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ecb3503a4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886ed07b22b40cd"/>
    <x:sheet xmlns:r="http://schemas.openxmlformats.org/officeDocument/2006/relationships" name="Premissas" sheetId="2" r:id="R5a7ded48ec854bdd"/>
    <x:sheet xmlns:r="http://schemas.openxmlformats.org/officeDocument/2006/relationships" name="Carta Contemplada" sheetId="3" r:id="Rf6a9f2808cb344cc"/>
    <x:sheet xmlns:r="http://schemas.openxmlformats.org/officeDocument/2006/relationships" name="Motor Caixa" sheetId="4" r:id="Rbe8ab5cdd8944fea"/>
    <x:sheet xmlns:r="http://schemas.openxmlformats.org/officeDocument/2006/relationships" name="Consorcio Direto" sheetId="5" r:id="R72f32994c9694369"/>
    <x:sheet xmlns:r="http://schemas.openxmlformats.org/officeDocument/2006/relationships" name="Financiamento" sheetId="6" r:id="R8bf480922de7475a"/>
    <x:sheet xmlns:r="http://schemas.openxmlformats.org/officeDocument/2006/relationships" name="Consorcio IQ" sheetId="7" r:id="R6d7275b95d52468c"/>
    <x:sheet xmlns:r="http://schemas.openxmlformats.org/officeDocument/2006/relationships" name="Amortizacao" sheetId="8" r:id="R2b3d4ffc009041f3"/>
    <x:sheet xmlns:r="http://schemas.openxmlformats.org/officeDocument/2006/relationships" name="Checks" sheetId="9" r:id="Rc70c165e8afc4012"/>
    <x:sheet xmlns:r="http://schemas.openxmlformats.org/officeDocument/2006/relationships" name="Fontes" sheetId="10" r:id="R47e8e136e62e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/mm/yyyy"/>
    <x:numFmt numFmtId="201" formatCode="&quot;R$&quot; #,##0;[Red]-&quot;R$&quot; #,##0;-"/>
    <x:numFmt numFmtId="202" formatCode="0.0%"/>
    <x:numFmt numFmtId="203" formatCode="@"/>
    <x:numFmt numFmtId="204" formatCode="0"/>
    <x:numFmt numFmtId="205" formatCode="0.00%"/>
    <x:numFmt numFmtId="206" formatCode="0.0000x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111827"/>
      <x:name val="Carlito"/>
    </x:font>
    <x:font>
      <x:sz val="11"/>
      <x:color rgb="FF008000"/>
      <x:name val="Carlito"/>
    </x:font>
    <x:font>
      <x:b/>
      <x:sz val="11"/>
      <x:color rgb="FF0000FF"/>
      <x:name val="Carlito"/>
    </x:font>
    <x:font>
      <x:b/>
      <x:sz val="11"/>
      <x:name val="Carlito"/>
    </x:font>
    <x:font>
      <x:b/>
      <x:sz val="10"/>
      <x:color rgb="FF111827"/>
      <x:name val="Calibri"/>
    </x:font>
    <x:font>
      <x:sz val="10"/>
      <x:color rgb="FF111827"/>
      <x:name val="Calibri"/>
    </x:font>
    <x:font>
      <x:b/>
      <x:sz val="16"/>
      <x:color rgb="FFFFFFFF"/>
      <x:name val="Calibri"/>
    </x:font>
    <x:font>
      <x:b/>
      <x:sz val="10"/>
      <x:color rgb="FFFFFFFF"/>
      <x:name val="Calibri"/>
    </x:font>
    <x:font>
      <x:sz val="10"/>
      <x:color rgb="FF0000FF"/>
      <x:name val="Calibri"/>
    </x:font>
    <x:font>
      <x:sz val="10"/>
      <x:color rgb="FF008000"/>
      <x:name val="Calibri"/>
    </x:font>
    <x:font>
      <x:b/>
      <x:sz val="10"/>
      <x:color rgb="FF0000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F6F7F9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  <x:fill>
      <x:patternFill patternType="solid">
        <x:fgColor rgb="FFEAF7EF"/>
      </x:patternFill>
    </x:fill>
  </x:fills>
  <x:borders count="13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F4E79"/>
      </x:left>
      <x:top style="thin">
        <x:color rgb="FF1F4E79"/>
      </x:top>
      <x:bottom style="thin">
        <x:color rgb="FF1F4E79"/>
      </x:bottom>
    </x:border>
    <x:border>
      <x:top style="thin">
        <x:color rgb="FF1F4E79"/>
      </x:top>
      <x:bottom style="thin">
        <x:color rgb="FF1F4E79"/>
      </x:bottom>
    </x:border>
    <x:border>
      <x:right style="thin">
        <x:color rgb="FF1F4E79"/>
      </x:right>
      <x:top style="thin">
        <x:color rgb="FF1F4E79"/>
      </x:top>
      <x:bottom style="thin">
        <x:color rgb="FF1F4E79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0" fillId="0" borderId="10" xfId="0" applyNumberFormat="1" applyFont="1" applyFill="1" applyBorder="1"/>
    <x:xf numFmtId="0" fontId="2" fillId="3" borderId="10" xfId="0" applyNumberFormat="1" applyFont="1" applyFill="1" applyBorder="1"/>
    <x:xf numFmtId="0" fontId="0" fillId="5" borderId="10" xfId="0" applyNumberFormat="1" applyFont="1" applyFill="1" applyBorder="1"/>
    <x:xf numFmtId="0" fontId="2" fillId="5" borderId="10" xfId="0" applyNumberFormat="1" applyFont="1" applyFill="1" applyBorder="1"/>
    <x:xf numFmtId="0" fontId="0" fillId="5" borderId="10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203" fontId="0" fillId="0" borderId="10" xfId="0" applyNumberFormat="1" applyFont="1" applyFill="1" applyBorder="1"/>
    <x:xf numFmtId="204" fontId="0" fillId="0" borderId="10" xfId="0" applyNumberFormat="1" applyFont="1" applyFill="1" applyBorder="1"/>
    <x:xf numFmtId="205" fontId="0" fillId="0" borderId="10" xfId="0" applyNumberFormat="1" applyFont="1" applyFill="1" applyBorder="1"/>
    <x:xf numFmtId="206" fontId="0" fillId="0" borderId="10" xfId="0" applyNumberFormat="1" applyFont="1" applyFill="1" applyBorder="1"/>
    <x:xf numFmtId="200" fontId="0" fillId="6" borderId="10" xfId="0" applyNumberFormat="1" applyFont="1" applyFill="1" applyBorder="1"/>
    <x:xf numFmtId="201" fontId="0" fillId="6" borderId="10" xfId="0" applyNumberFormat="1" applyFont="1" applyFill="1" applyBorder="1"/>
    <x:xf numFmtId="202" fontId="0" fillId="6" borderId="10" xfId="0" applyNumberFormat="1" applyFont="1" applyFill="1" applyBorder="1"/>
    <x:xf numFmtId="200" fontId="3" fillId="6" borderId="10" xfId="0" applyNumberFormat="1" applyFont="1" applyFill="1" applyBorder="1"/>
    <x:xf numFmtId="201" fontId="3" fillId="6" borderId="10" xfId="0" applyNumberFormat="1" applyFont="1" applyFill="1" applyBorder="1"/>
    <x:xf numFmtId="202" fontId="3" fillId="6" borderId="10" xfId="0" applyNumberFormat="1" applyFont="1" applyFill="1" applyBorder="1"/>
    <x:xf numFmtId="200" fontId="3" fillId="6" borderId="11" xfId="0" applyNumberFormat="1" applyFont="1" applyFill="1" applyBorder="1"/>
    <x:xf numFmtId="201" fontId="3" fillId="6" borderId="11" xfId="0" applyNumberFormat="1" applyFont="1" applyFill="1" applyBorder="1"/>
    <x:xf numFmtId="202" fontId="3" fillId="6" borderId="11" xfId="0" applyNumberFormat="1" applyFont="1" applyFill="1" applyBorder="1"/>
    <x:xf numFmtId="203" fontId="0" fillId="6" borderId="10" xfId="0" applyNumberFormat="1" applyFont="1" applyFill="1" applyBorder="1"/>
    <x:xf numFmtId="203" fontId="3" fillId="6" borderId="10" xfId="0" applyNumberFormat="1" applyFont="1" applyFill="1" applyBorder="1"/>
    <x:xf numFmtId="203" fontId="3" fillId="6" borderId="11" xfId="0" applyNumberFormat="1" applyFont="1" applyFill="1" applyBorder="1"/>
    <x:xf numFmtId="204" fontId="0" fillId="6" borderId="10" xfId="0" applyNumberFormat="1" applyFont="1" applyFill="1" applyBorder="1"/>
    <x:xf numFmtId="205" fontId="0" fillId="6" borderId="10" xfId="0" applyNumberFormat="1" applyFont="1" applyFill="1" applyBorder="1"/>
    <x:xf numFmtId="204" fontId="3" fillId="6" borderId="10" xfId="0" applyNumberFormat="1" applyFont="1" applyFill="1" applyBorder="1"/>
    <x:xf numFmtId="205" fontId="3" fillId="6" borderId="10" xfId="0" applyNumberFormat="1" applyFont="1" applyFill="1" applyBorder="1"/>
    <x:xf numFmtId="204" fontId="3" fillId="6" borderId="11" xfId="0" applyNumberFormat="1" applyFont="1" applyFill="1" applyBorder="1"/>
    <x:xf numFmtId="205" fontId="3" fillId="6" borderId="11" xfId="0" applyNumberFormat="1" applyFont="1" applyFill="1" applyBorder="1"/>
    <x:xf numFmtId="201" fontId="4" fillId="0" borderId="10" xfId="0" applyNumberFormat="1" applyFont="1" applyFill="1" applyBorder="1"/>
    <x:xf numFmtId="205" fontId="4" fillId="6" borderId="11" xfId="0" applyNumberFormat="1" applyFont="1" applyFill="1" applyBorder="1"/>
    <x:xf numFmtId="202" fontId="4" fillId="6" borderId="11" xfId="0" applyNumberFormat="1" applyFont="1" applyFill="1" applyBorder="1"/>
    <x:xf numFmtId="202" fontId="4" fillId="0" borderId="10" xfId="0" applyNumberFormat="1" applyFont="1" applyFill="1" applyBorder="1"/>
    <x:xf numFmtId="206" fontId="4" fillId="0" borderId="10" xfId="0" applyNumberFormat="1" applyFont="1" applyFill="1" applyBorder="1"/>
    <x:xf numFmtId="205" fontId="4" fillId="0" borderId="10" xfId="0" applyNumberFormat="1" applyFont="1" applyFill="1" applyBorder="1"/>
    <x:xf numFmtId="201" fontId="5" fillId="0" borderId="1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2" fillId="4" borderId="10" xfId="0" applyNumberFormat="1" applyFont="1" applyFill="1" applyBorder="1"/>
    <x:xf numFmtId="204" fontId="4" fillId="0" borderId="10" xfId="0" applyNumberFormat="1" applyFont="1" applyFill="1" applyBorder="1"/>
    <x:xf numFmtId="203" fontId="4" fillId="0" borderId="10" xfId="0" applyNumberFormat="1" applyFont="1" applyFill="1" applyBorder="1"/>
    <x:xf numFmtId="0" fontId="2" fillId="4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202" fontId="0" fillId="5" borderId="10" xfId="0" applyNumberFormat="1" applyFont="1" applyFill="1" applyBorder="1"/>
    <x:xf numFmtId="202" fontId="5" fillId="0" borderId="10" xfId="0" applyNumberFormat="1" applyFont="1" applyFill="1" applyBorder="1"/>
    <x:xf numFmtId="0" fontId="2" fillId="3" borderId="12" xfId="0" applyNumberFormat="1" applyFont="1" applyFill="1" applyBorder="1"/>
    <x:xf numFmtId="0" fontId="2" fillId="3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204" fontId="0" fillId="7" borderId="10" xfId="0" applyNumberFormat="1" applyFont="1" applyFill="1" applyBorder="1"/>
    <x:xf numFmtId="200" fontId="0" fillId="7" borderId="10" xfId="0" applyNumberFormat="1" applyFont="1" applyFill="1" applyBorder="1"/>
    <x:xf numFmtId="201" fontId="0" fillId="7" borderId="10" xfId="0" applyNumberFormat="1" applyFont="1" applyFill="1" applyBorder="1"/>
    <x:xf numFmtId="204" fontId="0" fillId="8" borderId="10" xfId="0" applyNumberFormat="1" applyFont="1" applyFill="1" applyBorder="1"/>
    <x:xf numFmtId="200" fontId="0" fillId="8" borderId="10" xfId="0" applyNumberFormat="1" applyFont="1" applyFill="1" applyBorder="1"/>
    <x:xf numFmtId="201" fontId="0" fillId="8" borderId="10" xfId="0" applyNumberFormat="1" applyFont="1" applyFill="1" applyBorder="1"/>
    <x:xf numFmtId="206" fontId="0" fillId="7" borderId="10" xfId="0" applyNumberFormat="1" applyFont="1" applyFill="1" applyBorder="1"/>
    <x:xf numFmtId="204" fontId="0" fillId="9" borderId="10" xfId="0" applyNumberFormat="1" applyFont="1" applyFill="1" applyBorder="1"/>
    <x:xf numFmtId="200" fontId="0" fillId="9" borderId="10" xfId="0" applyNumberFormat="1" applyFont="1" applyFill="1" applyBorder="1"/>
    <x:xf numFmtId="206" fontId="0" fillId="9" borderId="10" xfId="0" applyNumberFormat="1" applyFont="1" applyFill="1" applyBorder="1"/>
    <x:xf numFmtId="201" fontId="0" fillId="9" borderId="10" xfId="0" applyNumberFormat="1" applyFont="1" applyFill="1" applyBorder="1"/>
    <x:xf numFmtId="200" fontId="0" fillId="0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204" fontId="0" fillId="5" borderId="0" xfId="0" applyNumberFormat="1" applyFont="1" applyFill="1" applyBorder="1"/>
    <x:xf numFmtId="205" fontId="0" fillId="5" borderId="0" xfId="0" applyNumberFormat="1" applyFont="1" applyFill="1" applyBorder="1"/>
    <x:xf numFmtId="201" fontId="0" fillId="5" borderId="10" xfId="0" applyNumberFormat="1" applyFont="1" applyFill="1" applyBorder="1"/>
    <x:xf numFmtId="200" fontId="0" fillId="5" borderId="10" xfId="0" applyNumberFormat="1" applyFont="1" applyFill="1" applyBorder="1"/>
    <x:xf numFmtId="204" fontId="0" fillId="5" borderId="10" xfId="0" applyNumberFormat="1" applyFont="1" applyFill="1" applyBorder="1"/>
    <x:xf numFmtId="205" fontId="0" fillId="5" borderId="10" xfId="0" applyNumberFormat="1" applyFont="1" applyFill="1" applyBorder="1"/>
    <x:xf numFmtId="203" fontId="0" fillId="5" borderId="0" xfId="0" applyNumberFormat="1" applyFont="1" applyFill="1" applyBorder="1"/>
    <x:xf numFmtId="206" fontId="0" fillId="5" borderId="0" xfId="0" applyNumberFormat="1" applyFont="1" applyFill="1" applyBorder="1"/>
    <x:xf numFmtId="203" fontId="0" fillId="5" borderId="10" xfId="0" applyNumberFormat="1" applyFont="1" applyFill="1" applyBorder="1"/>
    <x:xf numFmtId="206" fontId="0" fillId="5" borderId="10" xfId="0" applyNumberFormat="1" applyFont="1" applyFill="1" applyBorder="1"/>
    <x:xf numFmtId="201" fontId="4" fillId="5" borderId="10" xfId="0" applyNumberFormat="1" applyFont="1" applyFill="1" applyBorder="1"/>
    <x:xf numFmtId="200" fontId="4" fillId="5" borderId="10" xfId="0" applyNumberFormat="1" applyFont="1" applyFill="1" applyBorder="1"/>
    <x:xf numFmtId="204" fontId="4" fillId="5" borderId="10" xfId="0" applyNumberFormat="1" applyFont="1" applyFill="1" applyBorder="1"/>
    <x:xf numFmtId="202" fontId="4" fillId="5" borderId="10" xfId="0" applyNumberFormat="1" applyFont="1" applyFill="1" applyBorder="1"/>
    <x:xf numFmtId="205" fontId="4" fillId="5" borderId="10" xfId="0" applyNumberFormat="1" applyFont="1" applyFill="1" applyBorder="1"/>
    <x:xf numFmtId="206" fontId="4" fillId="5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202" fontId="0" fillId="7" borderId="10" xfId="0" applyNumberFormat="1" applyFont="1" applyFill="1" applyBorder="1"/>
    <x:xf numFmtId="0" fontId="0" fillId="9" borderId="10" xfId="0" applyNumberFormat="1" applyFont="1" applyFill="1" applyBorder="1"/>
    <x:xf numFmtId="203" fontId="2" fillId="3" borderId="5" xfId="0" applyNumberFormat="1" applyFont="1" applyFill="1" applyBorder="1"/>
    <x:xf numFmtId="203" fontId="2" fillId="6" borderId="5" xfId="0" applyNumberFormat="1" applyFont="1" applyFill="1" applyBorder="1"/>
    <x:xf numFmtId="203" fontId="6" fillId="6" borderId="5" xfId="0" applyNumberFormat="1" applyFont="1" applyFill="1" applyBorder="1"/>
    <x:xf numFmtId="203" fontId="6" fillId="6" borderId="11" xfId="0" applyNumberFormat="1" applyFont="1" applyFill="1" applyBorder="1"/>
    <x:xf numFmtId="0" fontId="7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9" borderId="10" xfId="0" applyNumberFormat="1" applyFont="1" applyFill="1" applyBorder="1" applyAlignment="1">
      <x:alignment wrapText="1"/>
    </x:xf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10" xfId="0" applyNumberFormat="1" applyFont="1" applyFill="1" applyBorder="1" applyAlignment="1">
      <x:alignment wrapText="1"/>
    </x:xf>
    <x:xf numFmtId="0" fontId="7" fillId="5" borderId="10" xfId="0" applyNumberFormat="1" applyFont="1" applyFill="1" applyBorder="1"/>
    <x:xf numFmtId="0" fontId="0" fillId="8" borderId="10" xfId="0" applyNumberFormat="1" applyFont="1" applyFill="1" applyBorder="1"/>
    <x:xf numFmtId="0" fontId="8" fillId="2" borderId="1" xfId="0" applyNumberFormat="1" applyFont="1" applyFill="1" applyBorder="1"/>
    <x:xf numFmtId="0" fontId="8" fillId="2" borderId="2" xfId="0" applyNumberFormat="1" applyFont="1" applyFill="1" applyBorder="1"/>
    <x:xf numFmtId="0" fontId="8" fillId="2" borderId="3" xfId="0" applyNumberFormat="1" applyFont="1" applyFill="1" applyBorder="1"/>
    <x:xf numFmtId="0" fontId="9" fillId="0" borderId="0" xfId="0" applyNumberFormat="1" applyFont="1" applyFill="1" applyBorder="1"/>
    <x:xf numFmtId="0" fontId="8" fillId="5" borderId="10" xfId="0" applyNumberFormat="1" applyFont="1" applyFill="1" applyBorder="1"/>
    <x:xf numFmtId="0" fontId="9" fillId="5" borderId="10" xfId="0" applyNumberFormat="1" applyFont="1" applyFill="1" applyBorder="1"/>
    <x:xf numFmtId="201" fontId="9" fillId="5" borderId="10" xfId="0" applyNumberFormat="1" applyFont="1" applyFill="1" applyBorder="1"/>
    <x:xf numFmtId="202" fontId="9" fillId="5" borderId="10" xfId="0" applyNumberFormat="1" applyFont="1" applyFill="1" applyBorder="1"/>
    <x:xf numFmtId="204" fontId="9" fillId="5" borderId="10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12" xfId="0" applyNumberFormat="1" applyFont="1" applyFill="1" applyBorder="1" applyAlignment="1">
      <x:alignment wrapText="1"/>
    </x:xf>
    <x:xf numFmtId="0" fontId="9" fillId="7" borderId="10" xfId="0" applyNumberFormat="1" applyFont="1" applyFill="1" applyBorder="1"/>
    <x:xf numFmtId="201" fontId="9" fillId="7" borderId="10" xfId="0" applyNumberFormat="1" applyFont="1" applyFill="1" applyBorder="1"/>
    <x:xf numFmtId="204" fontId="9" fillId="7" borderId="10" xfId="0" applyNumberFormat="1" applyFont="1" applyFill="1" applyBorder="1"/>
    <x:xf numFmtId="201" fontId="9" fillId="9" borderId="10" xfId="0" applyNumberFormat="1" applyFont="1" applyFill="1" applyBorder="1"/>
    <x:xf numFmtId="201" fontId="9" fillId="8" borderId="10" xfId="0" applyNumberFormat="1" applyFont="1" applyFill="1" applyBorder="1"/>
    <x:xf numFmtId="0" fontId="9" fillId="7" borderId="10" xfId="0" applyNumberFormat="1" applyFont="1" applyFill="1" applyBorder="1" applyAlignment="1">
      <x:alignment wrapText="1"/>
    </x:xf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12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200" fontId="9" fillId="6" borderId="11" xfId="0" applyNumberFormat="1" applyFont="1" applyFill="1" applyBorder="1"/>
    <x:xf numFmtId="0" fontId="9" fillId="0" borderId="10" xfId="0" applyNumberFormat="1" applyFont="1" applyFill="1" applyBorder="1"/>
    <x:xf numFmtId="201" fontId="9" fillId="6" borderId="11" xfId="0" applyNumberFormat="1" applyFont="1" applyFill="1" applyBorder="1"/>
    <x:xf numFmtId="202" fontId="9" fillId="6" borderId="11" xfId="0" applyNumberFormat="1" applyFont="1" applyFill="1" applyBorder="1"/>
    <x:xf numFmtId="201" fontId="9" fillId="0" borderId="10" xfId="0" applyNumberFormat="1" applyFont="1" applyFill="1" applyBorder="1"/>
    <x:xf numFmtId="203" fontId="9" fillId="6" borderId="11" xfId="0" applyNumberFormat="1" applyFont="1" applyFill="1" applyBorder="1"/>
    <x:xf numFmtId="0" fontId="8" fillId="3" borderId="10" xfId="0" applyNumberFormat="1" applyFont="1" applyFill="1" applyBorder="1"/>
    <x:xf numFmtId="0" fontId="8" fillId="5" borderId="10" xfId="0" applyNumberFormat="1" applyFont="1" applyFill="1" applyBorder="1" applyAlignment="1">
      <x:alignment wrapText="1"/>
    </x:xf>
    <x:xf numFmtId="204" fontId="9" fillId="6" borderId="11" xfId="0" applyNumberFormat="1" applyFont="1" applyFill="1" applyBorder="1"/>
    <x:xf numFmtId="205" fontId="9" fillId="6" borderId="11" xfId="0" applyNumberFormat="1" applyFont="1" applyFill="1" applyBorder="1"/>
    <x:xf numFmtId="202" fontId="9" fillId="0" borderId="10" xfId="0" applyNumberFormat="1" applyFont="1" applyFill="1" applyBorder="1"/>
    <x:xf numFmtId="206" fontId="9" fillId="0" borderId="10" xfId="0" applyNumberFormat="1" applyFont="1" applyFill="1" applyBorder="1"/>
    <x:xf numFmtId="205" fontId="9" fillId="0" borderId="10" xfId="0" applyNumberFormat="1" applyFont="1" applyFill="1" applyBorder="1"/>
    <x:xf numFmtId="204" fontId="9" fillId="0" borderId="10" xfId="0" applyNumberFormat="1" applyFont="1" applyFill="1" applyBorder="1"/>
    <x:xf numFmtId="0" fontId="8" fillId="4" borderId="10" xfId="0" applyNumberFormat="1" applyFont="1" applyFill="1" applyBorder="1"/>
    <x:xf numFmtId="203" fontId="9" fillId="0" borderId="10" xfId="0" applyNumberFormat="1" applyFont="1" applyFill="1" applyBorder="1"/>
    <x:xf numFmtId="0" fontId="8" fillId="4" borderId="12" xfId="0" applyNumberFormat="1" applyFont="1" applyFill="1" applyBorder="1"/>
    <x:xf numFmtId="0" fontId="9" fillId="0" borderId="10" xfId="0" applyNumberFormat="1" applyFont="1" applyFill="1" applyBorder="1" applyAlignment="1">
      <x:alignment wrapText="1"/>
    </x:xf>
    <x:xf numFmtId="200" fontId="9" fillId="5" borderId="10" xfId="0" applyNumberFormat="1" applyFont="1" applyFill="1" applyBorder="1"/>
    <x:xf numFmtId="205" fontId="9" fillId="5" borderId="1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3" fontId="8" fillId="6" borderId="11" xfId="0" applyNumberFormat="1" applyFont="1" applyFill="1" applyBorder="1"/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204" fontId="9" fillId="9" borderId="10" xfId="0" applyNumberFormat="1" applyFont="1" applyFill="1" applyBorder="1"/>
    <x:xf numFmtId="200" fontId="9" fillId="9" borderId="10" xfId="0" applyNumberFormat="1" applyFont="1" applyFill="1" applyBorder="1"/>
    <x:xf numFmtId="206" fontId="9" fillId="9" borderId="10" xfId="0" applyNumberFormat="1" applyFont="1" applyFill="1" applyBorder="1"/>
    <x:xf numFmtId="0" fontId="9" fillId="9" borderId="10" xfId="0" applyNumberFormat="1" applyFont="1" applyFill="1" applyBorder="1"/>
    <x:xf numFmtId="200" fontId="9" fillId="7" borderId="10" xfId="0" applyNumberFormat="1" applyFont="1" applyFill="1" applyBorder="1"/>
    <x:xf numFmtId="206" fontId="9" fillId="7" borderId="10" xfId="0" applyNumberFormat="1" applyFont="1" applyFill="1" applyBorder="1"/>
    <x:xf numFmtId="0" fontId="8" fillId="0" borderId="0" xfId="0" applyNumberFormat="1" applyFont="1" applyFill="1" applyBorder="1"/>
    <x:xf numFmtId="0" fontId="9" fillId="9" borderId="10" xfId="0" applyNumberFormat="1" applyFont="1" applyFill="1" applyBorder="1" applyAlignment="1">
      <x:alignment wrapText="1"/>
    </x:xf>
    <x:xf numFmtId="202" fontId="9" fillId="7" borderId="10" xfId="0" applyNumberFormat="1" applyFont="1" applyFill="1" applyBorder="1"/>
    <x:xf numFmtId="206" fontId="9" fillId="5" borderId="10" xfId="0" applyNumberFormat="1" applyFont="1" applyFill="1" applyBorder="1"/>
    <x:xf numFmtId="204" fontId="9" fillId="8" borderId="10" xfId="0" applyNumberFormat="1" applyFont="1" applyFill="1" applyBorder="1"/>
    <x:xf numFmtId="200" fontId="9" fillId="8" borderId="10" xfId="0" applyNumberFormat="1" applyFont="1" applyFill="1" applyBorder="1"/>
    <x:xf numFmtId="0" fontId="8" fillId="7" borderId="10" xfId="0" applyNumberFormat="1" applyFont="1" applyFill="1" applyBorder="1" applyAlignment="1">
      <x:alignment wrapText="1"/>
    </x:xf>
    <x:xf numFmtId="0" fontId="8" fillId="7" borderId="10" xfId="0" applyNumberFormat="1" applyFont="1" applyFill="1" applyBorder="1"/>
    <x:xf numFmtId="0" fontId="10" fillId="2" borderId="1" xfId="0" applyNumberFormat="1" applyFont="1" applyFill="1" applyBorder="1"/>
    <x:xf numFmtId="0" fontId="10" fillId="2" borderId="2" xfId="0" applyNumberFormat="1" applyFont="1" applyFill="1" applyBorder="1"/>
    <x:xf numFmtId="0" fontId="10" fillId="2" borderId="3" xfId="0" applyNumberFormat="1" applyFont="1" applyFill="1" applyBorder="1"/>
    <x:xf numFmtId="0" fontId="11" fillId="4" borderId="12" xfId="0" applyNumberFormat="1" applyFont="1" applyFill="1" applyBorder="1" applyAlignment="1">
      <x:alignment wrapText="1"/>
    </x:xf>
    <x:xf numFmtId="0" fontId="11" fillId="3" borderId="12" xfId="0" applyNumberFormat="1" applyFont="1" applyFill="1" applyBorder="1" applyAlignment="1">
      <x:alignment wrapText="1"/>
    </x:xf>
    <x:xf numFmtId="200" fontId="12" fillId="6" borderId="11" xfId="0" applyNumberFormat="1" applyFont="1" applyFill="1" applyBorder="1"/>
    <x:xf numFmtId="201" fontId="12" fillId="6" borderId="11" xfId="0" applyNumberFormat="1" applyFont="1" applyFill="1" applyBorder="1"/>
    <x:xf numFmtId="202" fontId="12" fillId="6" borderId="11" xfId="0" applyNumberFormat="1" applyFont="1" applyFill="1" applyBorder="1"/>
    <x:xf numFmtId="203" fontId="12" fillId="6" borderId="11" xfId="0" applyNumberFormat="1" applyFont="1" applyFill="1" applyBorder="1"/>
    <x:xf numFmtId="204" fontId="12" fillId="6" borderId="11" xfId="0" applyNumberFormat="1" applyFont="1" applyFill="1" applyBorder="1"/>
    <x:xf numFmtId="205" fontId="12" fillId="6" borderId="11" xfId="0" applyNumberFormat="1" applyFont="1" applyFill="1" applyBorder="1"/>
    <x:xf numFmtId="201" fontId="13" fillId="0" borderId="10" xfId="0" applyNumberFormat="1" applyFont="1" applyFill="1" applyBorder="1"/>
    <x:xf numFmtId="202" fontId="13" fillId="0" borderId="10" xfId="0" applyNumberFormat="1" applyFont="1" applyFill="1" applyBorder="1"/>
    <x:xf numFmtId="203" fontId="14" fillId="6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3f7a3e1094d7e" /><Relationship Type="http://schemas.openxmlformats.org/officeDocument/2006/relationships/theme" Target="/xl/theme/theme1.xml" Id="R84b549eefcd641fe" /><Relationship Type="http://schemas.openxmlformats.org/officeDocument/2006/relationships/sharedStrings" Target="/xl/sharedStrings.xml" Id="R7c808f63c94145bc" /><Relationship Type="http://schemas.openxmlformats.org/officeDocument/2006/relationships/worksheet" Target="/xl/worksheets/sheet1.xml" Id="R3886ed07b22b40cd" /><Relationship Type="http://schemas.openxmlformats.org/officeDocument/2006/relationships/worksheet" Target="/xl/worksheets/sheet2.xml" Id="R5a7ded48ec854bdd" /><Relationship Type="http://schemas.openxmlformats.org/officeDocument/2006/relationships/worksheet" Target="/xl/worksheets/sheet3.xml" Id="Rf6a9f2808cb344cc" /><Relationship Type="http://schemas.openxmlformats.org/officeDocument/2006/relationships/worksheet" Target="/xl/worksheets/sheet4.xml" Id="Rbe8ab5cdd8944fea" /><Relationship Type="http://schemas.openxmlformats.org/officeDocument/2006/relationships/worksheet" Target="/xl/worksheets/sheet5.xml" Id="R72f32994c9694369" /><Relationship Type="http://schemas.openxmlformats.org/officeDocument/2006/relationships/worksheet" Target="/xl/worksheets/sheet6.xml" Id="R8bf480922de7475a" /><Relationship Type="http://schemas.openxmlformats.org/officeDocument/2006/relationships/worksheet" Target="/xl/worksheets/sheet7.xml" Id="R6d7275b95d52468c" /><Relationship Type="http://schemas.openxmlformats.org/officeDocument/2006/relationships/worksheet" Target="/xl/worksheets/sheet8.xml" Id="R2b3d4ffc009041f3" /><Relationship Type="http://schemas.openxmlformats.org/officeDocument/2006/relationships/worksheet" Target="/xl/worksheets/sheet9.xml" Id="Rc70c165e8afc4012" /><Relationship Type="http://schemas.openxmlformats.org/officeDocument/2006/relationships/worksheet" Target="/xl/worksheets/sheet10.xml" Id="R47e8e136e62e4c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85a6efe1cc4e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Patrimonio em R$ de hoje por estrategia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Patrimonio corrigido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'Resumo'!$A$18:$A$22</c:f>
              <c:strCache>
                <c:ptCount val="0"/>
              </c:strCache>
            </c:strRef>
          </c:cat>
          <c:val>
            <c:numRef>
              <c:f>'Resumo'!$B$18:$B$22</c:f>
              <c:numCache>
                <c:formatCode>"R$" #,##0;[Red]-"R$" #,##0;-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19</xdr:col>
      <xdr:colOff>0</xdr:colOff>
      <xdr:row>2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85a6efe1cc4e8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f95df1301140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6.5" hidden="0" customWidth="1"/>
    <x:col min="3" max="3" width="11.880000114440918" hidden="0" customWidth="1"/>
    <x:col min="4" max="4" width="11.880000114440918" hidden="0" customWidth="1"/>
    <x:col min="5" max="5" width="17.25" hidden="0" customWidth="1"/>
    <x:col min="6" max="6" width="17.25" hidden="0" customWidth="1"/>
    <x:col min="7" max="7" width="17.25" hidden="0" customWidth="1"/>
    <x:col min="8" max="8" width="17.25" hidden="0" customWidth="1"/>
    <x:col min="9" max="9" width="18.5" hidden="0" customWidth="1"/>
    <x:col min="10" max="10" width="18.5" hidden="0" customWidth="1"/>
    <x:col min="11" max="11" width="18.5" hidden="0" customWidth="1"/>
    <x:col min="12" max="12" width="18.5" hidden="0" customWidth="1"/>
    <x:col min="13" max="13" width="17.25" hidden="0" customWidth="1"/>
    <x:col min="14" max="14" width="17.25" hidden="0" customWidth="1"/>
    <x:col min="15" max="15" width="16.5" hidden="0" customWidth="1"/>
    <x:col min="16" max="16" width="16.5" hidden="0" customWidth="1"/>
    <x:col min="17" max="17" width="14.75" hidden="0" customWidth="1"/>
    <x:col min="18" max="18" width="33.130001068115234" hidden="0" customWidth="1"/>
    <x:col min="19" max="19" width="3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8.75" hidden="0" customWidth="1"/>
  </x:cols>
  <x:sheetData>
    <x:row r="1" ht="25.5" customHeight="1">
      <x:c r="A1" s="189" t="str">
        <x:v>Resumo executivo - comparativo de estrategias</x:v>
      </x:c>
      <x:c r="B1" s="190" t="str">
        <x:v>Resumo executivo - comparativo de estrategias</x:v>
      </x:c>
      <x:c r="C1" s="190" t="str">
        <x:v>Resumo executivo - comparativo de estrategias</x:v>
      </x:c>
      <x:c r="D1" s="190" t="str">
        <x:v>Resumo executivo - comparativo de estrategias</x:v>
      </x:c>
      <x:c r="E1" s="190" t="str">
        <x:v>Resumo executivo - comparativo de estrategias</x:v>
      </x:c>
      <x:c r="F1" s="190" t="str">
        <x:v>Resumo executivo - comparativo de estrategias</x:v>
      </x:c>
      <x:c r="G1" s="190" t="str">
        <x:v>Resumo executivo - comparativo de estrategias</x:v>
      </x:c>
      <x:c r="H1" s="190" t="str">
        <x:v>Resumo executivo - comparativo de estrategias</x:v>
      </x:c>
      <x:c r="I1" s="190" t="str">
        <x:v>Resumo executivo - comparativo de estrategias</x:v>
      </x:c>
      <x:c r="J1" s="190" t="str">
        <x:v>Resumo executivo - comparativo de estrategias</x:v>
      </x:c>
      <x:c r="K1" s="190" t="str">
        <x:v>Resumo executivo - comparativo de estrategias</x:v>
      </x:c>
      <x:c r="L1" s="190" t="str">
        <x:v>Resumo executivo - comparativo de estrategias</x:v>
      </x:c>
      <x:c r="M1" s="190" t="str">
        <x:v>Resumo executivo - comparativo de estrategias</x:v>
      </x:c>
      <x:c r="N1" s="190" t="str">
        <x:v>Resumo executivo - comparativo de estrategias</x:v>
      </x:c>
      <x:c r="O1" s="190" t="str">
        <x:v>Resumo executivo - comparativo de estrategias</x:v>
      </x:c>
      <x:c r="P1" s="191" t="str">
        <x:v>Resumo executivo - comparativo de estrategias</x:v>
      </x:c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  <x:c r="P2" s="130"/>
    </x:row>
    <x:row r="3">
      <x:c r="A3" s="131" t="str">
        <x:v>Checks do modelo</x:v>
      </x:c>
      <x:c r="B3" s="132" t="str">
        <x:f>Checks!$F$30</x:f>
        <x:v>OK</x:v>
      </x:c>
      <x:c r="C3" s="132" t="str"/>
      <x:c r="D3" s="131" t="str">
        <x:v>Tipo do bem</x:v>
      </x:c>
      <x:c r="E3" s="132" t="str">
        <x:f>Premissas!$B$11</x:f>
        <x:v>Imovel</x:v>
      </x:c>
      <x:c r="F3" s="132" t="str"/>
      <x:c r="G3" s="131" t="str">
        <x:v>Sistema financ.</x:v>
      </x:c>
      <x:c r="H3" s="132" t="str">
        <x:f>Premissas!$B$19</x:f>
        <x:v>SAC</x:v>
      </x:c>
      <x:c r="I3" s="132" t="str"/>
      <x:c r="J3" s="131" t="str">
        <x:v>Caixa livre mensal</x:v>
      </x:c>
      <x:c r="K3" s="133" t="n">
        <x:f>Premissas!$B$42</x:f>
        <x:v>7000</x:v>
      </x:c>
      <x:c r="L3" s="132" t="str"/>
      <x:c r="M3" s="131" t="str">
        <x:v>Rentabilidade a.a.</x:v>
      </x:c>
      <x:c r="N3" s="134" t="n">
        <x:f>Premissas!$B$40</x:f>
        <x:v>0.12</x:v>
      </x:c>
      <x:c r="O3" s="130"/>
      <x:c r="P3" s="130"/>
    </x:row>
    <x:row r="4">
      <x:c r="A4" s="131" t="str">
        <x:v>Valor do bem</x:v>
      </x:c>
      <x:c r="B4" s="133" t="n">
        <x:f>Premissas!$B$6</x:f>
        <x:v>200000</x:v>
      </x:c>
      <x:c r="C4" s="132" t="str"/>
      <x:c r="D4" s="131" t="str">
        <x:v>Finalidade do bem</x:v>
      </x:c>
      <x:c r="E4" s="132" t="str">
        <x:f>Premissas!$B$47</x:f>
        <x:v>Investimento</x:v>
      </x:c>
      <x:c r="F4" s="132" t="str"/>
      <x:c r="G4" s="131" t="str">
        <x:v>Horizonte</x:v>
      </x:c>
      <x:c r="H4" s="135" t="n">
        <x:f>Premissas!$B$39</x:f>
        <x:v>420</x:v>
      </x:c>
      <x:c r="I4" s="132" t="str"/>
      <x:c r="J4" s="131" t="str">
        <x:v>Valor em reserva</x:v>
      </x:c>
      <x:c r="K4" s="133" t="n">
        <x:f>Premissas!$B$43</x:f>
        <x:v>90000</x:v>
      </x:c>
      <x:c r="L4" s="132" t="str"/>
      <x:c r="M4" s="131" t="str">
        <x:v>FV base sem compra</x:v>
      </x:c>
      <x:c r="N4" s="133" t="n">
        <x:f>INDEX('Motor Caixa'!$G$5:$G$484,Premissas!$B$39)</x:f>
        <x:v>42920519.71350744</x:v>
      </x:c>
      <x:c r="O4" s="130"/>
      <x:c r="P4" s="130"/>
    </x:row>
    <x:row r="5">
      <x:c r="A5" s="131" t="str">
        <x:v>Entrada financiamento</x:v>
      </x:c>
      <x:c r="B5" s="133" t="n">
        <x:f>Premissas!$B$8</x:f>
        <x:v>40000</x:v>
      </x:c>
      <x:c r="C5" s="132" t="str"/>
      <x:c r="D5" s="131" t="str">
        <x:v>Disponibilidade/uso</x:v>
      </x:c>
      <x:c r="E5" s="135" t="n">
        <x:f>Premissas!$B$49</x:f>
        <x:v>1</x:v>
      </x:c>
      <x:c r="F5" s="132" t="str"/>
      <x:c r="G5" s="131" t="str">
        <x:v>Mes contemplacao IQ</x:v>
      </x:c>
      <x:c r="H5" s="135" t="n">
        <x:f>Premissas!$B$27</x:f>
        <x:v>60</x:v>
      </x:c>
      <x:c r="I5" s="132" t="str"/>
      <x:c r="J5" s="131" t="str">
        <x:v>Maior entrada/carta</x:v>
      </x:c>
      <x:c r="K5" s="133" t="n">
        <x:f>Premissas!$B$44</x:f>
        <x:v>47000</x:v>
      </x:c>
      <x:c r="L5" s="132" t="str"/>
      <x:c r="M5" s="131" t="str">
        <x:v>Valoriz./deprec. a.a.</x:v>
      </x:c>
      <x:c r="N5" s="134" t="n">
        <x:f>Premissas!$B$66</x:f>
        <x:v>0.06</x:v>
      </x:c>
      <x:c r="O5" s="130"/>
      <x:c r="P5" s="130"/>
    </x:row>
    <x:row r="6">
      <x:c r="A6" s="131" t="str">
        <x:v>Modelo / preco</x:v>
      </x:c>
      <x:c r="B6" s="132" t="str">
        <x:f>Premissas!$B$65&amp;" | "&amp;Premissas!$B$78</x:f>
        <x:v>Nominal | Financiamento atual; consorcio futuro</x:v>
      </x:c>
      <x:c r="C6" s="132" t="str"/>
      <x:c r="D6" s="131" t="str">
        <x:v>Taxas consorcio</x:v>
      </x:c>
      <x:c r="E6" s="134" t="n">
        <x:f>Premissas!$B$24</x:f>
        <x:v>0.26035</x:v>
      </x:c>
      <x:c r="F6" s="132" t="str"/>
      <x:c r="G6" s="131" t="str">
        <x:v>Carta IQ atualizada</x:v>
      </x:c>
      <x:c r="H6" s="133" t="n">
        <x:f>Premissas!$B$31</x:f>
        <x:v>137142.8571428574</x:v>
      </x:c>
      <x:c r="I6" s="132" t="str"/>
      <x:c r="J6" s="131" t="str">
        <x:v>Custo inicial carta</x:v>
      </x:c>
      <x:c r="K6" s="133" t="n">
        <x:f>'Carta Contemplada'!$B$37</x:f>
        <x:v>47000</x:v>
      </x:c>
      <x:c r="L6" s="132" t="str"/>
      <x:c r="M6" s="131" t="str">
        <x:v>Prazo consorcio</x:v>
      </x:c>
      <x:c r="N6" s="135" t="n">
        <x:f>Premissas!$B$25</x:f>
        <x:v>240</x:v>
      </x:c>
      <x:c r="O6" s="130"/>
      <x:c r="P6" s="130"/>
    </x:row>
    <x:row r="7">
      <x:c r="A7" s="130"/>
      <x:c r="B7" s="130"/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  <x:c r="N7" s="130"/>
      <x:c r="O7" s="130"/>
      <x:c r="P7" s="130"/>
    </x:row>
    <x:row r="8" ht="18" customHeight="1">
      <x:c r="A8" s="136" t="str">
        <x:v>Comparativo principal</x:v>
      </x:c>
      <x:c r="B8" s="137" t="str">
        <x:v>Comparativo principal</x:v>
      </x:c>
      <x:c r="C8" s="137" t="str">
        <x:v>Comparativo principal</x:v>
      </x:c>
      <x:c r="D8" s="137" t="str">
        <x:v>Comparativo principal</x:v>
      </x:c>
      <x:c r="E8" s="137" t="str">
        <x:v>Comparativo principal</x:v>
      </x:c>
      <x:c r="F8" s="137" t="str">
        <x:v>Comparativo principal</x:v>
      </x:c>
      <x:c r="G8" s="137" t="str">
        <x:v>Comparativo principal</x:v>
      </x:c>
      <x:c r="H8" s="137" t="str">
        <x:v>Comparativo principal</x:v>
      </x:c>
      <x:c r="I8" s="137" t="str">
        <x:v>Comparativo principal</x:v>
      </x:c>
      <x:c r="J8" s="137" t="str">
        <x:v>Comparativo principal</x:v>
      </x:c>
      <x:c r="K8" s="137" t="str">
        <x:v>Comparativo principal</x:v>
      </x:c>
      <x:c r="L8" s="137" t="str">
        <x:v>Comparativo principal</x:v>
      </x:c>
      <x:c r="M8" s="137" t="str">
        <x:v>Comparativo principal</x:v>
      </x:c>
      <x:c r="N8" s="137" t="str">
        <x:v>Comparativo principal</x:v>
      </x:c>
      <x:c r="O8" s="137" t="str">
        <x:v>Comparativo principal</x:v>
      </x:c>
      <x:c r="P8" s="138" t="str">
        <x:v>Comparativo principal</x:v>
      </x:c>
    </x:row>
    <x:row r="9" ht="25.5" customHeight="1">
      <x:c r="A9" s="193" t="str">
        <x:v>Estrategia</x:v>
      </x:c>
      <x:c r="B9" s="193" t="str">
        <x:v>Entrada/lance inicial</x:v>
      </x:c>
      <x:c r="C9" s="193" t="str">
        <x:v>Mes aquis./cont.</x:v>
      </x:c>
      <x:c r="D9" s="193" t="str">
        <x:v>Mes fim obrig./quit.</x:v>
      </x:c>
      <x:c r="E9" s="193" t="str">
        <x:v>Saidas nominais totais</x:v>
      </x:c>
      <x:c r="F9" s="193" t="str">
        <x:v>Entradas nominais totais</x:v>
      </x:c>
      <x:c r="G9" s="193" t="str">
        <x:v>Fluxo liquido nominal acum.</x:v>
      </x:c>
      <x:c r="H9" s="193" t="str">
        <x:v>Deficit nao coberto VF</x:v>
      </x:c>
      <x:c r="I9" s="193" t="str">
        <x:v>Patrimonio nominal</x:v>
      </x:c>
      <x:c r="J9" s="193" t="str">
        <x:v>Patrimonio em R$ de hoje</x:v>
      </x:c>
      <x:c r="K9" s="193" t="str">
        <x:v>VPL vs base</x:v>
      </x:c>
      <x:c r="L9" s="193" t="str">
        <x:v>Gap VF vs base</x:v>
      </x:c>
      <x:c r="M9" s="193" t="str">
        <x:v>Saldo investido</x:v>
      </x:c>
      <x:c r="N9" s="193" t="str">
        <x:v>Saldo devedor</x:v>
      </x:c>
      <x:c r="O9" s="193" t="str">
        <x:v>Status</x:v>
      </x:c>
      <x:c r="P9" s="193" t="str">
        <x:v>Observacao</x:v>
      </x:c>
    </x:row>
    <x:row r="10">
      <x:c r="A10" s="140" t="str">
        <x:v>1. Financiamento sem amortizacao</x:v>
      </x:c>
      <x:c r="B10" s="141" t="n">
        <x:f>Premissas!$B$8</x:f>
        <x:v>40000</x:v>
      </x:c>
      <x:c r="C10" s="142" t="n">
        <x:f>Premissas!$B$48</x:f>
        <x:v>1</x:v>
      </x:c>
      <x:c r="D10" s="142" t="n">
        <x:f>Premissas!$B$48+Premissas!$B$13-1</x:f>
        <x:v>420</x:v>
      </x:c>
      <x:c r="E10" s="141" t="n">
        <x:f>SUMIFS('Motor Caixa'!$L$5:$L$484,'Motor Caixa'!$A$5:$A$484,"&lt;="&amp;Premissas!$B$39)</x:f>
        <x:v>582582.5460367565</x:v>
      </x:c>
      <x:c r="F10" s="141" t="n">
        <x:f>SUMIFS('Motor Caixa'!$M$5:$M$484,'Motor Caixa'!$A$5:$A$484,"&lt;="&amp;Premissas!$B$39)</x:f>
        <x:v>855819.1094159831</x:v>
      </x:c>
      <x:c r="G10" s="141" t="n">
        <x:f>F10-E10</x:f>
        <x:v>273236.5633792266</x:v>
      </x:c>
      <x:c r="H10" s="141" t="n">
        <x:f>INDEX('Motor Caixa'!$Q$5:$Q$484,Premissas!$B$39)</x:f>
        <x:v>0</x:v>
      </x:c>
      <x:c r="I10" s="143" t="n">
        <x:f>IF(H10&gt;1,"Inviavel",INDEX('Motor Caixa'!$U$5:$U$484,Premissas!$B$39))</x:f>
        <x:v>39176998.12083761</x:v>
      </x:c>
      <x:c r="J10" s="143" t="n">
        <x:f>IF(H10&gt;1,"Inviavel",INDEX('Motor Caixa'!$U$5:$U$484,Premissas!$B$39)/Premissas!$B$69)</x:f>
        <x:v>5097131.892918848</x:v>
      </x:c>
      <x:c r="K10" s="144" t="n">
        <x:f>IF(H10&gt;1,"Inviavel",(INDEX('Motor Caixa'!$U$5:$U$484,Premissas!$B$39)-INDEX('Motor Caixa'!$G$5:$G$484,Premissas!$B$39))/(1+Premissas!$B$41)^Premissas!$B$39)</x:f>
        <x:v>-70900.54099842468</x:v>
      </x:c>
      <x:c r="L10" s="144" t="n">
        <x:f>IF(H10&gt;1,"Inviavel",INDEX('Motor Caixa'!$U$5:$U$484,Premissas!$B$39)-INDEX('Motor Caixa'!$G$5:$G$484,Premissas!$B$39))</x:f>
        <x:v>-3743521.592669837</x:v>
      </x:c>
      <x:c r="M10" s="141" t="n">
        <x:f>INDEX('Motor Caixa'!$R$5:$R$484,Premissas!$B$39)</x:f>
        <x:v>37647227.00065602</x:v>
      </x:c>
      <x:c r="N10" s="141" t="n">
        <x:f>INDEX('Motor Caixa'!$S$5:$S$484,Premissas!$B$39)</x:f>
        <x:v>0</x:v>
      </x:c>
      <x:c r="O10" s="145" t="str">
        <x:f>IF(H10&gt;1,"Inviavel","OK")</x:f>
        <x:v>OK</x:v>
      </x:c>
      <x:c r="P10" s="145" t="str">
        <x:f>"Compra por financiamento no mes 1 pelo valor atual; aluguel ou renda existem apenas para Imovel conforme a finalidade."</x:f>
        <x:v>Compra por financiamento no mes 1 pelo valor atual; aluguel ou renda existem apenas para Imovel conforme a finalidade.</x:v>
      </x:c>
    </x:row>
    <x:row r="11">
      <x:c r="A11" s="140" t="str">
        <x:v>2. Financiamento com amortizacao</x:v>
      </x:c>
      <x:c r="B11" s="141" t="n">
        <x:f>Premissas!$B$8</x:f>
        <x:v>40000</x:v>
      </x:c>
      <x:c r="C11" s="142" t="n">
        <x:f>Premissas!$B$48</x:f>
        <x:v>1</x:v>
      </x:c>
      <x:c r="D11" s="142" t="n">
        <x:f>Premissas!$B$48+MATCH("Quitado",Amortizacao!$N$6:$N$485,0)-1</x:f>
        <x:v>27</x:v>
      </x:c>
      <x:c r="E11" s="141" t="n">
        <x:f>SUMIFS('Motor Caixa'!$AB$5:$AB$484,'Motor Caixa'!$A$5:$A$484,"&lt;="&amp;Premissas!$B$39)</x:f>
        <x:v>225795.9624076597</x:v>
      </x:c>
      <x:c r="F11" s="141" t="n">
        <x:f>SUMIFS('Motor Caixa'!$AC$5:$AC$484,'Motor Caixa'!$A$5:$A$484,"&lt;="&amp;Premissas!$B$39)</x:f>
        <x:v>855819.1094159831</x:v>
      </x:c>
      <x:c r="G11" s="141" t="n">
        <x:f>F11-E11</x:f>
        <x:v>630023.1470083233</x:v>
      </x:c>
      <x:c r="H11" s="141" t="n">
        <x:f>INDEX('Motor Caixa'!$AG$5:$AG$484,Premissas!$B$39)</x:f>
        <x:v>0</x:v>
      </x:c>
      <x:c r="I11" s="143" t="n">
        <x:f>IF(H11&gt;1,"Inviavel",INDEX('Motor Caixa'!$AK$5:$AK$484,Premissas!$B$39))</x:f>
        <x:v>39807990.77401194</x:v>
      </x:c>
      <x:c r="J11" s="143" t="n">
        <x:f>IF(H11&gt;1,"Inviavel",INDEX('Motor Caixa'!$AK$5:$AK$484,Premissas!$B$39)/Premissas!$B$69)</x:f>
        <x:v>5179227.329806896</x:v>
      </x:c>
      <x:c r="K11" s="144" t="n">
        <x:f>IF(H11&gt;1,"Inviavel",(INDEX('Motor Caixa'!$AK$5:$AK$484,Premissas!$B$39)-INDEX('Motor Caixa'!$G$5:$G$484,Premissas!$B$39))/(1+Premissas!$B$41)^Premissas!$B$39)</x:f>
        <x:v>-58949.836462970095</x:v>
      </x:c>
      <x:c r="L11" s="144" t="n">
        <x:f>IF(H11&gt;1,"Inviavel",INDEX('Motor Caixa'!$AK$5:$AK$484,Premissas!$B$39)-INDEX('Motor Caixa'!$G$5:$G$484,Premissas!$B$39))</x:f>
        <x:v>-3112528.939495504</x:v>
      </x:c>
      <x:c r="M11" s="141" t="n">
        <x:f>INDEX('Motor Caixa'!$AH$5:$AH$484,Premissas!$B$39)</x:f>
        <x:v>38278219.65383036</x:v>
      </x:c>
      <x:c r="N11" s="141" t="n">
        <x:f>INDEX('Motor Caixa'!$AI$5:$AI$484,Premissas!$B$39)</x:f>
        <x:v>0</x:v>
      </x:c>
      <x:c r="O11" s="145" t="str">
        <x:f>IF(H11&gt;1,"Inviavel","OK")</x:f>
        <x:v>OK</x:v>
      </x:c>
      <x:c r="P11" s="145" t="str">
        <x:f>"Pagamento extra usa a sobra entre caixa livre mensal e prestacao ordinaria do sistema selecionado."</x:f>
        <x:v>Pagamento extra usa a sobra entre caixa livre mensal e prestacao ordinaria do sistema selecionado.</x:v>
      </x:c>
    </x:row>
    <x:row r="12">
      <x:c r="A12" s="140" t="str">
        <x:v>3. Financiamento + consorcio IQ</x:v>
      </x:c>
      <x:c r="B12" s="141" t="n">
        <x:f>Premissas!$B$8</x:f>
        <x:v>40000</x:v>
      </x:c>
      <x:c r="C12" s="142" t="n">
        <x:f>Premissas!$B$48</x:f>
        <x:v>1</x:v>
      </x:c>
      <x:c r="D12" s="142" t="n">
        <x:f>Premissas!$B$25</x:f>
        <x:v>240</x:v>
      </x:c>
      <x:c r="E12" s="141" t="n">
        <x:f>SUMIFS('Motor Caixa'!$AR$5:$AR$484,'Motor Caixa'!$A$5:$A$484,"&lt;="&amp;Premissas!$B$39)</x:f>
        <x:v>408370.4829168551</x:v>
      </x:c>
      <x:c r="F12" s="141" t="n">
        <x:f>SUMIFS('Motor Caixa'!$AS$5:$AS$484,'Motor Caixa'!$A$5:$A$484,"&lt;="&amp;Premissas!$B$39)</x:f>
        <x:v>855819.1094159831</x:v>
      </x:c>
      <x:c r="G12" s="141" t="n">
        <x:f>F12-E12</x:f>
        <x:v>447448.626499128</x:v>
      </x:c>
      <x:c r="H12" s="141" t="n">
        <x:f>INDEX('Motor Caixa'!$AW$5:$AW$484,Premissas!$B$39)</x:f>
        <x:v>0</x:v>
      </x:c>
      <x:c r="I12" s="143" t="n">
        <x:f>IF(H12&gt;1,"Inviavel",INDEX('Motor Caixa'!$BA$5:$BA$484,Premissas!$B$39))</x:f>
        <x:v>39505715.061547495</x:v>
      </x:c>
      <x:c r="J12" s="143" t="n">
        <x:f>IF(H12&gt;1,"Inviavel",INDEX('Motor Caixa'!$BA$5:$BA$484,Premissas!$B$39)/Premissas!$B$69)</x:f>
        <x:v>5139899.682249392</x:v>
      </x:c>
      <x:c r="K12" s="144" t="n">
        <x:f>IF(H12&gt;1,"Inviavel",(INDEX('Motor Caixa'!$BA$5:$BA$484,Premissas!$B$39)-INDEX('Motor Caixa'!$G$5:$G$484,Premissas!$B$39))/(1+Premissas!$B$41)^Premissas!$B$39)</x:f>
        <x:v>-64674.79650764521</x:v>
      </x:c>
      <x:c r="L12" s="144" t="n">
        <x:f>IF(H12&gt;1,"Inviavel",INDEX('Motor Caixa'!$BA$5:$BA$484,Premissas!$B$39)-INDEX('Motor Caixa'!$G$5:$G$484,Premissas!$B$39))</x:f>
        <x:v>-3414804.6519599482</x:v>
      </x:c>
      <x:c r="M12" s="141" t="n">
        <x:f>INDEX('Motor Caixa'!$AX$5:$AX$484,Premissas!$B$39)</x:f>
        <x:v>37975943.94136591</x:v>
      </x:c>
      <x:c r="N12" s="141" t="n">
        <x:f>INDEX('Motor Caixa'!$AY$5:$AY$484,Premissas!$B$39)</x:f>
        <x:v>0</x:v>
      </x:c>
      <x:c r="O12" s="145" t="str">
        <x:f>IF(H12&gt;1,"Inviavel","OK")</x:f>
        <x:v>OK</x:v>
      </x:c>
      <x:c r="P12" s="145" t="str">
        <x:f>"Financiamento compra no inicio; a carta quita o saldo no mes de contemplacao, mas o VP das parcelas do consorcio permanece como obrigacao."</x:f>
        <x:v>Financiamento compra no inicio; a carta quita o saldo no mes de contemplacao, mas o VP das parcelas do consorcio permanece como obrigacao.</x:v>
      </x:c>
    </x:row>
    <x:row r="13">
      <x:c r="A13" s="140" t="str">
        <x:v>4. Consorcio direto</x:v>
      </x:c>
      <x:c r="B13" s="141" t="n">
        <x:f>'Consorcio Direto'!$B$44</x:f>
        <x:v>0</x:v>
      </x:c>
      <x:c r="C13" s="142" t="n">
        <x:f>'Consorcio Direto'!$B$29</x:f>
        <x:v>60</x:v>
      </x:c>
      <x:c r="D13" s="142" t="n">
        <x:f>'Consorcio Direto'!$B$27</x:f>
        <x:v>240</x:v>
      </x:c>
      <x:c r="E13" s="141" t="n">
        <x:f>SUMIFS('Motor Caixa'!$BH$5:$BH$484,'Motor Caixa'!$A$5:$A$484,"&lt;="&amp;Premissas!$B$39)</x:f>
        <x:v>652085.7140246403</x:v>
      </x:c>
      <x:c r="F13" s="141" t="n">
        <x:f>SUMIFS('Motor Caixa'!$BI$5:$BI$484,'Motor Caixa'!$A$5:$A$484,"&lt;="&amp;Premissas!$B$39)</x:f>
        <x:v>813334.2207375823</x:v>
      </x:c>
      <x:c r="G13" s="141" t="n">
        <x:f>F13-E13</x:f>
        <x:v>161248.50671294203</x:v>
      </x:c>
      <x:c r="H13" s="141" t="n">
        <x:f>INDEX('Motor Caixa'!$BM$5:$BM$484,Premissas!$B$39)</x:f>
        <x:v>0</x:v>
      </x:c>
      <x:c r="I13" s="143" t="n">
        <x:f>IF(H13&gt;1,"Inviavel",INDEX('Motor Caixa'!$BQ$5:$BQ$484,Premissas!$B$39))</x:f>
        <x:v>37872099.41436785</x:v>
      </x:c>
      <x:c r="J13" s="143" t="n">
        <x:f>IF(H13&gt;1,"Inviavel",INDEX('Motor Caixa'!$BQ$5:$BQ$484,Premissas!$B$39)/Premissas!$B$69)</x:f>
        <x:v>4927357.761851928</x:v>
      </x:c>
      <x:c r="K13" s="144" t="n">
        <x:f>IF(H13&gt;1,"Inviavel",(INDEX('Motor Caixa'!$BQ$5:$BQ$484,Premissas!$B$39)-INDEX('Motor Caixa'!$G$5:$G$484,Premissas!$B$39))/(1+Premissas!$B$41)^Premissas!$B$39)</x:f>
        <x:v>-95614.70971539144</x:v>
      </x:c>
      <x:c r="L13" s="144" t="n">
        <x:f>IF(H13&gt;1,"Inviavel",INDEX('Motor Caixa'!$BQ$5:$BQ$484,Premissas!$B$39)-INDEX('Motor Caixa'!$G$5:$G$484,Premissas!$B$39))</x:f>
        <x:v>-5048420.2991395965</x:v>
      </x:c>
      <x:c r="M13" s="141" t="n">
        <x:f>INDEX('Motor Caixa'!$BN$5:$BN$484,Premissas!$B$39)</x:f>
        <x:v>36342328.294186264</x:v>
      </x:c>
      <x:c r="N13" s="141" t="n">
        <x:f>INDEX('Motor Caixa'!$BO$5:$BO$484,Premissas!$B$39)</x:f>
        <x:v>0</x:v>
      </x:c>
      <x:c r="O13" s="145" t="str">
        <x:f>IF(H13&gt;1,"Inviavel","OK")</x:f>
        <x:v>OK</x:v>
      </x:c>
      <x:c r="P13" s="145" t="str">
        <x:f>"Antes da contemplacao reconhece direito da cota e obrigacao; depois reconhece o bem pelo preco aplicavel e mantem o VP das parcelas futuras."</x:f>
        <x:v>Antes da contemplacao reconhece direito da cota e obrigacao; depois reconhece o bem pelo preco aplicavel e mantem o VP das parcelas futuras.</x:v>
      </x:c>
    </x:row>
    <x:row r="14">
      <x:c r="A14" s="140" t="str">
        <x:v>5. Compra de carta contemplada</x:v>
      </x:c>
      <x:c r="B14" s="141" t="n">
        <x:f>'Carta Contemplada'!$B$37</x:f>
        <x:v>47000</x:v>
      </x:c>
      <x:c r="C14" s="142" t="n">
        <x:f>'Carta Contemplada'!$B$44</x:f>
        <x:v>1</x:v>
      </x:c>
      <x:c r="D14" s="142" t="n">
        <x:f>'Carta Contemplada'!$B$23+'Carta Contemplada'!$B$31-1</x:f>
        <x:v>180</x:v>
      </x:c>
      <x:c r="E14" s="141" t="n">
        <x:f>SUMIFS('Motor Caixa'!$BX$5:$BX$484,'Motor Caixa'!$A$5:$A$484,"&lt;="&amp;Premissas!$B$39)</x:f>
        <x:v>382173.9663439258</x:v>
      </x:c>
      <x:c r="F14" s="141" t="n">
        <x:f>SUMIFS('Motor Caixa'!$BY$5:$BY$484,'Motor Caixa'!$A$5:$A$484,"&lt;="&amp;Premissas!$B$39)</x:f>
        <x:v>855819.1094159831</x:v>
      </x:c>
      <x:c r="G14" s="141" t="n">
        <x:f>F14-E14</x:f>
        <x:v>473645.1430720573</x:v>
      </x:c>
      <x:c r="H14" s="141" t="n">
        <x:f>INDEX('Motor Caixa'!$CC$5:$CC$484,Premissas!$B$39)</x:f>
        <x:v>0</x:v>
      </x:c>
      <x:c r="I14" s="143" t="n">
        <x:f>IF(H14&gt;1,"Inviavel",INDEX('Motor Caixa'!$CG$5:$CG$484,Premissas!$B$39))</x:f>
        <x:v>40570273.313163735</x:v>
      </x:c>
      <x:c r="J14" s="143" t="n">
        <x:f>IF(H14&gt;1,"Inviavel",INDEX('Motor Caixa'!$CG$5:$CG$484,Premissas!$B$39)/Premissas!$B$69)</x:f>
        <x:v>5278404.265970853</x:v>
      </x:c>
      <x:c r="K14" s="144" t="n">
        <x:f>IF(H14&gt;1,"Inviavel",(INDEX('Motor Caixa'!$CG$5:$CG$484,Premissas!$B$39)-INDEX('Motor Caixa'!$G$5:$G$484,Premissas!$B$39))/(1+Premissas!$B$41)^Premissas!$B$39)</x:f>
        <x:v>-44512.56314114855</x:v>
      </x:c>
      <x:c r="L14" s="144" t="n">
        <x:f>IF(H14&gt;1,"Inviavel",INDEX('Motor Caixa'!$CG$5:$CG$484,Premissas!$B$39)-INDEX('Motor Caixa'!$G$5:$G$484,Premissas!$B$39))</x:f>
        <x:v>-2350246.4003437087</x:v>
      </x:c>
      <x:c r="M14" s="141" t="n">
        <x:f>INDEX('Motor Caixa'!$CD$5:$CD$484,Premissas!$B$39)</x:f>
        <x:v>39040502.19298215</x:v>
      </x:c>
      <x:c r="N14" s="141" t="n">
        <x:f>INDEX('Motor Caixa'!$CE$5:$CE$484,Premissas!$B$39)</x:f>
        <x:v>0</x:v>
      </x:c>
      <x:c r="O14" s="145" t="str">
        <x:f>IF(H14&gt;1,"Inviavel","OK")</x:f>
        <x:v>OK</x:v>
      </x:c>
      <x:c r="P14" s="145" t="str">
        <x:f>"Compra carta ja contemplada; considera preco aplicavel, custo inicial, credito liquido, complemento, parcelas e obrigacao remanescente."</x:f>
        <x:v>Compra carta ja contemplada; considera preco aplicavel, custo inicial, credito liquido, complemento, parcelas e obrigacao remanescente.</x:v>
      </x:c>
    </x:row>
    <x:row r="15">
      <x:c r="A15" s="130"/>
      <x:c r="B15" s="130"/>
      <x:c r="C15" s="130"/>
      <x:c r="D15" s="130"/>
      <x:c r="E15" s="130"/>
      <x:c r="F15" s="130"/>
      <x:c r="G15" s="130"/>
      <x:c r="H15" s="130"/>
      <x:c r="I15" s="130"/>
      <x:c r="J15" s="130"/>
      <x:c r="K15" s="130"/>
      <x:c r="L15" s="130"/>
      <x:c r="M15" s="130"/>
      <x:c r="N15" s="130"/>
      <x:c r="O15" s="130"/>
      <x:c r="P15" s="130"/>
    </x:row>
    <x:row r="16" ht="18" customHeight="1">
      <x:c r="A16" s="146" t="str">
        <x:v>Grafico patrimonio corrigido</x:v>
      </x:c>
      <x:c r="B16" s="147" t="str">
        <x:v>Grafico patrimonio corrigido</x:v>
      </x:c>
      <x:c r="C16" s="148" t="str">
        <x:v>Grafico patrimonio corrigido</x:v>
      </x:c>
      <x:c r="D16" s="130"/>
      <x:c r="E16" s="130"/>
      <x:c r="F16" s="130"/>
      <x:c r="G16" s="130"/>
      <x:c r="H16" s="130"/>
      <x:c r="I16" s="130"/>
      <x:c r="J16" s="130"/>
      <x:c r="K16" s="130"/>
      <x:c r="L16" s="130"/>
      <x:c r="M16" s="130"/>
      <x:c r="N16" s="130"/>
      <x:c r="O16" s="130"/>
      <x:c r="P16" s="130"/>
    </x:row>
    <x:row r="17" ht="25.5" customHeight="1">
      <x:c r="A17" s="192" t="str">
        <x:v>Estrategia</x:v>
      </x:c>
      <x:c r="B17" s="192" t="str">
        <x:v>Patrimonio corrigido</x:v>
      </x:c>
      <x:c r="C17" s="192" t="str">
        <x:v>Dif. vs melhor</x:v>
      </x:c>
      <x:c r="D17" s="130"/>
      <x:c r="E17" s="130"/>
      <x:c r="F17" s="130"/>
      <x:c r="G17" s="130"/>
      <x:c r="H17" s="130"/>
      <x:c r="I17" s="130"/>
      <x:c r="J17" s="130"/>
      <x:c r="K17" s="130"/>
      <x:c r="L17" s="130"/>
      <x:c r="M17" s="130"/>
      <x:c r="N17" s="130"/>
      <x:c r="O17" s="130"/>
      <x:c r="P17" s="130"/>
    </x:row>
    <x:row r="18">
      <x:c r="A18" s="140" t="str">
        <x:v>Fin. sem amort.</x:v>
      </x:c>
      <x:c r="B18" s="143" t="n">
        <x:f>IF($O$10="Inviavel","",$J$10)</x:f>
        <x:v>5097131.892918848</x:v>
      </x:c>
      <x:c r="C18" s="144" t="n">
        <x:f>IF(B18="","",B18-MAX($B$18:$B$22))</x:f>
        <x:v>-181272.37305200472</x:v>
      </x:c>
      <x:c r="D18" s="130"/>
      <x:c r="E18" s="130"/>
      <x:c r="F18" s="130"/>
      <x:c r="G18" s="130"/>
      <x:c r="H18" s="130"/>
      <x:c r="I18" s="130"/>
      <x:c r="J18" s="130"/>
      <x:c r="K18" s="130"/>
      <x:c r="L18" s="130"/>
      <x:c r="M18" s="130"/>
      <x:c r="N18" s="130"/>
      <x:c r="O18" s="130"/>
      <x:c r="P18" s="130"/>
    </x:row>
    <x:row r="19">
      <x:c r="A19" s="140" t="str">
        <x:v>Fin. amort.</x:v>
      </x:c>
      <x:c r="B19" s="143" t="n">
        <x:f>IF($O$11="Inviavel","",$J$11)</x:f>
        <x:v>5179227.329806896</x:v>
      </x:c>
      <x:c r="C19" s="144" t="n">
        <x:f>IF(B19="","",B19-MAX($B$18:$B$22))</x:f>
        <x:v>-99176.93616395723</x:v>
      </x:c>
      <x:c r="D19" s="130"/>
      <x:c r="E19" s="130"/>
      <x:c r="F19" s="130"/>
      <x:c r="G19" s="130"/>
      <x:c r="H19" s="130"/>
      <x:c r="I19" s="130"/>
      <x:c r="J19" s="130"/>
      <x:c r="K19" s="130"/>
      <x:c r="L19" s="130"/>
      <x:c r="M19" s="130"/>
      <x:c r="N19" s="130"/>
      <x:c r="O19" s="130"/>
      <x:c r="P19" s="130"/>
    </x:row>
    <x:row r="20">
      <x:c r="A20" s="140" t="str">
        <x:v>Fin. + IQ</x:v>
      </x:c>
      <x:c r="B20" s="143" t="n">
        <x:f>IF($O$12="Inviavel","",$J$12)</x:f>
        <x:v>5139899.682249392</x:v>
      </x:c>
      <x:c r="C20" s="144" t="n">
        <x:f>IF(B20="","",B20-MAX($B$18:$B$22))</x:f>
        <x:v>-138504.58372146077</x:v>
      </x:c>
      <x:c r="D20" s="130"/>
      <x:c r="E20" s="130"/>
      <x:c r="F20" s="130"/>
      <x:c r="G20" s="130"/>
      <x:c r="H20" s="130"/>
      <x:c r="I20" s="130"/>
      <x:c r="J20" s="130"/>
      <x:c r="K20" s="130"/>
      <x:c r="L20" s="130"/>
      <x:c r="M20" s="130"/>
      <x:c r="N20" s="130"/>
      <x:c r="O20" s="130"/>
      <x:c r="P20" s="130"/>
    </x:row>
    <x:row r="21">
      <x:c r="A21" s="140" t="str">
        <x:v>Consorcio direto</x:v>
      </x:c>
      <x:c r="B21" s="143" t="n">
        <x:f>IF($O$13="Inviavel","",$J$13)</x:f>
        <x:v>4927357.761851928</x:v>
      </x:c>
      <x:c r="C21" s="144" t="n">
        <x:f>IF(B21="","",B21-MAX($B$18:$B$22))</x:f>
        <x:v>-351046.50411892496</x:v>
      </x:c>
      <x:c r="D21" s="130"/>
      <x:c r="E21" s="130"/>
      <x:c r="F21" s="130"/>
      <x:c r="G21" s="130"/>
      <x:c r="H21" s="130"/>
      <x:c r="I21" s="130"/>
      <x:c r="J21" s="130"/>
      <x:c r="K21" s="130"/>
      <x:c r="L21" s="130"/>
      <x:c r="M21" s="130"/>
      <x:c r="N21" s="130"/>
      <x:c r="O21" s="130"/>
      <x:c r="P21" s="130"/>
    </x:row>
    <x:row r="22">
      <x:c r="A22" s="140" t="str">
        <x:v>Carta contemplada</x:v>
      </x:c>
      <x:c r="B22" s="143" t="n">
        <x:f>IF($O$14="Inviavel","",$J$14)</x:f>
        <x:v>5278404.265970853</x:v>
      </x:c>
      <x:c r="C22" s="144" t="n">
        <x:f>IF(B22="","",B22-MAX($B$18:$B$22))</x:f>
        <x:v>0</x:v>
      </x:c>
      <x:c r="D22" s="130"/>
      <x:c r="E22" s="130"/>
      <x:c r="F22" s="130"/>
      <x:c r="G22" s="130"/>
      <x:c r="H22" s="130"/>
      <x:c r="I22" s="130"/>
      <x:c r="J22" s="130"/>
      <x:c r="K22" s="130"/>
      <x:c r="L22" s="130"/>
      <x:c r="M22" s="130"/>
      <x:c r="N22" s="130"/>
      <x:c r="O22" s="130"/>
      <x:c r="P22" s="130"/>
    </x:row>
    <x:row r="23">
      <x:c r="A23" s="130"/>
      <x:c r="B23" s="130"/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</x:row>
    <x:row r="24">
      <x:c r="A24" s="127" t="str">
        <x:v>Definicoes</x:v>
      </x:c>
      <x:c r="B24" s="128" t="str"/>
      <x:c r="C24" s="128" t="str"/>
      <x:c r="D24" s="128" t="str"/>
      <x:c r="E24" s="128" t="str"/>
      <x:c r="F24" s="128" t="str"/>
      <x:c r="G24" s="128" t="str"/>
      <x:c r="H24" s="128" t="str"/>
      <x:c r="I24" s="128" t="str"/>
      <x:c r="J24" s="128" t="str"/>
      <x:c r="K24" s="128" t="str"/>
      <x:c r="L24" s="128" t="str"/>
      <x:c r="M24" s="128" t="str"/>
      <x:c r="N24" s="128" t="str"/>
      <x:c r="O24" s="128" t="str"/>
      <x:c r="P24" s="129" t="str"/>
    </x:row>
    <x:row r="25">
      <x:c r="A25" s="132" t="str">
        <x:v>Saidas nominais totais</x:v>
      </x:c>
      <x:c r="B25" s="150" t="str">
        <x:v>Soma bruta das saidas do motor: entrada, parcelas, seguros, consorcio, lances e aluguel de espera quando aplicavel.</x:v>
      </x:c>
      <x:c r="C25" s="150" t="str"/>
      <x:c r="D25" s="150" t="str"/>
      <x:c r="E25" s="150" t="str"/>
      <x:c r="F25" s="150" t="str"/>
      <x:c r="G25" s="150" t="str"/>
      <x:c r="H25" s="150" t="str"/>
      <x:c r="I25" s="150" t="str"/>
      <x:c r="J25" s="150" t="str"/>
      <x:c r="K25" s="150" t="str"/>
      <x:c r="L25" s="150" t="str"/>
      <x:c r="M25" s="150" t="str"/>
      <x:c r="N25" s="150" t="str"/>
      <x:c r="O25" s="150" t="str"/>
      <x:c r="P25" s="150" t="str"/>
    </x:row>
    <x:row r="26">
      <x:c r="A26" s="132" t="str">
        <x:v>Entradas nominais totais</x:v>
      </x:c>
      <x:c r="B26" s="150" t="str">
        <x:v>Soma bruta das entradas do motor, principalmente renda liquida de Imovel em Investimento.</x:v>
      </x:c>
      <x:c r="C26" s="150" t="str"/>
      <x:c r="D26" s="150" t="str"/>
      <x:c r="E26" s="150" t="str"/>
      <x:c r="F26" s="150" t="str"/>
      <x:c r="G26" s="150" t="str"/>
      <x:c r="H26" s="150" t="str"/>
      <x:c r="I26" s="150" t="str"/>
      <x:c r="J26" s="150" t="str"/>
      <x:c r="K26" s="150" t="str"/>
      <x:c r="L26" s="150" t="str"/>
      <x:c r="M26" s="150" t="str"/>
      <x:c r="N26" s="150" t="str"/>
      <x:c r="O26" s="150" t="str"/>
      <x:c r="P26" s="150" t="str"/>
    </x:row>
    <x:row r="27">
      <x:c r="A27" s="132" t="str">
        <x:v>Fluxo liquido nominal acum.</x:v>
      </x:c>
      <x:c r="B27" s="150" t="str">
        <x:v>Entradas nominais totais menos saidas nominais totais. Nao substitui VPL nem Gap.</x:v>
      </x:c>
      <x:c r="C27" s="150" t="str"/>
      <x:c r="D27" s="150" t="str"/>
      <x:c r="E27" s="150" t="str"/>
      <x:c r="F27" s="150" t="str"/>
      <x:c r="G27" s="150" t="str"/>
      <x:c r="H27" s="150" t="str"/>
      <x:c r="I27" s="150" t="str"/>
      <x:c r="J27" s="150" t="str"/>
      <x:c r="K27" s="150" t="str"/>
      <x:c r="L27" s="150" t="str"/>
      <x:c r="M27" s="150" t="str"/>
      <x:c r="N27" s="150" t="str"/>
      <x:c r="O27" s="150" t="str"/>
      <x:c r="P27" s="150" t="str"/>
    </x:row>
    <x:row r="28">
      <x:c r="A28" s="132" t="str">
        <x:v>Patrimonio nominal</x:v>
      </x:c>
      <x:c r="B28" s="150" t="str">
        <x:v>Mostra o patrimonio no horizonte apenas quando a estrategia nao tem deficit nao coberto. Se houver deficit, mostra Inviavel.</x:v>
      </x:c>
      <x:c r="C28" s="150" t="str"/>
      <x:c r="D28" s="150" t="str"/>
      <x:c r="E28" s="150" t="str"/>
      <x:c r="F28" s="150" t="str"/>
      <x:c r="G28" s="150" t="str"/>
      <x:c r="H28" s="150" t="str"/>
      <x:c r="I28" s="150" t="str"/>
      <x:c r="J28" s="150" t="str"/>
      <x:c r="K28" s="150" t="str"/>
      <x:c r="L28" s="150" t="str"/>
      <x:c r="M28" s="150" t="str"/>
      <x:c r="N28" s="150" t="str"/>
      <x:c r="O28" s="150" t="str"/>
      <x:c r="P28" s="150" t="str"/>
    </x:row>
    <x:row r="29">
      <x:c r="A29" s="132" t="str">
        <x:v>Patrimonio em R$ de hoje</x:v>
      </x:c>
      <x:c r="B29" s="150" t="str">
        <x:v>Patrimonio nominal convertido para R$ de hoje pelo fator de inflacao acumulada. Se a estrategia for inviavel, tambem mostra Inviavel.</x:v>
      </x:c>
      <x:c r="C29" s="150" t="str"/>
      <x:c r="D29" s="150" t="str"/>
      <x:c r="E29" s="150" t="str"/>
      <x:c r="F29" s="150" t="str"/>
      <x:c r="G29" s="150" t="str"/>
      <x:c r="H29" s="150" t="str"/>
      <x:c r="I29" s="150" t="str"/>
      <x:c r="J29" s="150" t="str"/>
      <x:c r="K29" s="150" t="str"/>
      <x:c r="L29" s="150" t="str"/>
      <x:c r="M29" s="150" t="str"/>
      <x:c r="N29" s="150" t="str"/>
      <x:c r="O29" s="150" t="str"/>
      <x:c r="P29" s="150" t="str"/>
    </x:row>
    <x:row r="30">
      <x:c r="A30" s="132" t="str">
        <x:v>Inflacao esperada</x:v>
      </x:c>
      <x:c r="B30" s="150" t="str">
        <x:v>Premissa editavel usada apenas para converter valores nominais futuros em R$ de hoje. Nao altera financiamento, consorcio, renda/custos do bem, deficit nao coberto ou motor.</x:v>
      </x:c>
      <x:c r="C30" s="150" t="str"/>
      <x:c r="D30" s="150" t="str"/>
      <x:c r="E30" s="150" t="str"/>
      <x:c r="F30" s="150" t="str"/>
      <x:c r="G30" s="150" t="str"/>
      <x:c r="H30" s="150" t="str"/>
      <x:c r="I30" s="150" t="str"/>
      <x:c r="J30" s="150" t="str"/>
      <x:c r="K30" s="150" t="str"/>
      <x:c r="L30" s="150" t="str"/>
      <x:c r="M30" s="150" t="str"/>
      <x:c r="N30" s="150" t="str"/>
      <x:c r="O30" s="150" t="str"/>
      <x:c r="P30" s="150" t="str"/>
    </x:row>
    <x:row r="31">
      <x:c r="A31" s="132" t="str">
        <x:v>Modelo nominal</x:v>
      </x:c>
      <x:c r="B31" s="150" t="str">
        <x:v>Financiamento, consorcio, renda/custos do bem, valorizacao/depreciacao e taxa de oportunidade permanecem em base nominal.</x:v>
      </x:c>
      <x:c r="C31" s="150" t="str"/>
      <x:c r="D31" s="150" t="str"/>
      <x:c r="E31" s="150" t="str"/>
      <x:c r="F31" s="150" t="str"/>
      <x:c r="G31" s="150" t="str"/>
      <x:c r="H31" s="150" t="str"/>
      <x:c r="I31" s="150" t="str"/>
      <x:c r="J31" s="150" t="str"/>
      <x:c r="K31" s="150" t="str"/>
      <x:c r="L31" s="150" t="str"/>
      <x:c r="M31" s="150" t="str"/>
      <x:c r="N31" s="150" t="str"/>
      <x:c r="O31" s="150" t="str"/>
      <x:c r="P31" s="150" t="str"/>
    </x:row>
    <x:row r="32">
      <x:c r="A32" s="132" t="str">
        <x:v>Gap VF vs base</x:v>
      </x:c>
      <x:c r="B32" s="150" t="str">
        <x:v>Para estrategias executaveis, patrimonio nominal menos o valor futuro da alternativa base de investir reserva e caixa livre mensal. Estrategias inviaveis mostram Inviavel.</x:v>
      </x:c>
      <x:c r="C32" s="150" t="str"/>
      <x:c r="D32" s="150" t="str"/>
      <x:c r="E32" s="150" t="str"/>
      <x:c r="F32" s="150" t="str"/>
      <x:c r="G32" s="150" t="str"/>
      <x:c r="H32" s="150" t="str"/>
      <x:c r="I32" s="150" t="str"/>
      <x:c r="J32" s="150" t="str"/>
      <x:c r="K32" s="150" t="str"/>
      <x:c r="L32" s="150" t="str"/>
      <x:c r="M32" s="150" t="str"/>
      <x:c r="N32" s="150" t="str"/>
      <x:c r="O32" s="150" t="str"/>
      <x:c r="P32" s="150" t="str"/>
    </x:row>
    <x:row r="33">
      <x:c r="A33" s="132" t="str">
        <x:v>VPL vs base</x:v>
      </x:c>
      <x:c r="B33" s="150" t="str">
        <x:v>Para estrategias executaveis, Gap VF descontado pela taxa de oportunidade nominal. Estrategias inviaveis mostram Inviavel.</x:v>
      </x:c>
      <x:c r="C33" s="150" t="str"/>
      <x:c r="D33" s="150" t="str"/>
      <x:c r="E33" s="150" t="str"/>
      <x:c r="F33" s="150" t="str"/>
      <x:c r="G33" s="150" t="str"/>
      <x:c r="H33" s="150" t="str"/>
      <x:c r="I33" s="150" t="str"/>
      <x:c r="J33" s="150" t="str"/>
      <x:c r="K33" s="150" t="str"/>
      <x:c r="L33" s="150" t="str"/>
      <x:c r="M33" s="150" t="str"/>
      <x:c r="N33" s="150" t="str"/>
      <x:c r="O33" s="150" t="str"/>
      <x:c r="P33" s="150" t="str"/>
    </x:row>
    <x:row r="34">
      <x:c r="A34" s="132" t="str">
        <x:v>Metricas principais</x:v>
      </x:c>
      <x:c r="B34" s="150" t="str">
        <x:v>Usar Status de caixa primeiro. Se Status = Inviavel, patrimonio, VPL e Gap nao devem ser usados como recomendacao.</x:v>
      </x:c>
      <x:c r="C34" s="150" t="str"/>
      <x:c r="D34" s="150" t="str"/>
      <x:c r="E34" s="150" t="str"/>
      <x:c r="F34" s="150" t="str"/>
      <x:c r="G34" s="150" t="str"/>
      <x:c r="H34" s="150" t="str"/>
      <x:c r="I34" s="150" t="str"/>
      <x:c r="J34" s="150" t="str"/>
      <x:c r="K34" s="150" t="str"/>
      <x:c r="L34" s="150" t="str"/>
      <x:c r="M34" s="150" t="str"/>
      <x:c r="N34" s="150" t="str"/>
      <x:c r="O34" s="150" t="str"/>
      <x:c r="P34" s="150" t="str"/>
    </x:row>
    <x:row r="35">
      <x:c r="A35" s="132" t="str">
        <x:v>Tipo do bem</x:v>
      </x:c>
      <x:c r="B35" s="150" t="str">
        <x:v>Imovel usa valorizacao e pode ter Moradia ou Investimento. Veiculo usa depreciacao, nao gera aluguel/renda e tem valor residual com piso zero.</x:v>
      </x:c>
      <x:c r="C35" s="150" t="str"/>
      <x:c r="D35" s="150" t="str"/>
      <x:c r="E35" s="150" t="str"/>
      <x:c r="F35" s="150" t="str"/>
      <x:c r="G35" s="150" t="str"/>
      <x:c r="H35" s="150" t="str"/>
      <x:c r="I35" s="150" t="str"/>
      <x:c r="J35" s="150" t="str"/>
      <x:c r="K35" s="150" t="str"/>
      <x:c r="L35" s="150" t="str"/>
      <x:c r="M35" s="150" t="str"/>
      <x:c r="N35" s="150" t="str"/>
      <x:c r="O35" s="150" t="str"/>
      <x:c r="P35" s="150" t="str"/>
    </x:row>
    <x:row r="36">
      <x:c r="A36" s="132" t="str">
        <x:v>Sistema de financiamento</x:v>
      </x:c>
      <x:c r="B36" s="150" t="str">
        <x:v>SAC divide o saldo corrigido pelos meses restantes. PRICE recalcula a prestacao financeira pelo saldo corrigido e prazo remanescente, preservando amortizacao, juros, seguro e saldo final nas mesmas colunas.</x:v>
      </x:c>
      <x:c r="C36" s="150" t="str"/>
      <x:c r="D36" s="150" t="str"/>
      <x:c r="E36" s="150" t="str"/>
      <x:c r="F36" s="150" t="str"/>
      <x:c r="G36" s="150" t="str"/>
      <x:c r="H36" s="150" t="str"/>
      <x:c r="I36" s="150" t="str"/>
      <x:c r="J36" s="150" t="str"/>
      <x:c r="K36" s="150" t="str"/>
      <x:c r="L36" s="150" t="str"/>
      <x:c r="M36" s="150" t="str"/>
      <x:c r="N36" s="150" t="str"/>
      <x:c r="O36" s="150" t="str"/>
      <x:c r="P36" s="150" t="str"/>
    </x:row>
    <x:row r="37">
      <x:c r="A37" s="132" t="str">
        <x:v>Finalidade do Imovel</x:v>
      </x:c>
      <x:c r="B37" s="150" t="str">
        <x:v>Moradia aplica aluguel pago antes do acesso. Investimento aplica receita liquida depois do acesso. Para Veiculo, ambos os fluxos ficam zerados.</x:v>
      </x:c>
      <x:c r="C37" s="150" t="str"/>
      <x:c r="D37" s="150" t="str"/>
      <x:c r="E37" s="150" t="str"/>
      <x:c r="F37" s="150" t="str"/>
      <x:c r="G37" s="150" t="str"/>
      <x:c r="H37" s="150" t="str"/>
      <x:c r="I37" s="150" t="str"/>
      <x:c r="J37" s="150" t="str"/>
      <x:c r="K37" s="150" t="str"/>
      <x:c r="L37" s="150" t="str"/>
      <x:c r="M37" s="150" t="str"/>
      <x:c r="N37" s="150" t="str"/>
      <x:c r="O37" s="150" t="str"/>
      <x:c r="P37" s="150" t="str"/>
    </x:row>
    <x:row r="38">
      <x:c r="A38" s="132" t="str">
        <x:v>Preco na aquisicao</x:v>
      </x:c>
      <x:c r="B38" s="150" t="str">
        <x:v>Financiamento compra no mes 1 pelo valor atual. Consorcio direto e carta contemplada compram pelo preco futuro no mes de contemplacao ou uso.</x:v>
      </x:c>
      <x:c r="C38" s="150" t="str"/>
      <x:c r="D38" s="150" t="str"/>
      <x:c r="E38" s="150" t="str"/>
      <x:c r="F38" s="150" t="str"/>
      <x:c r="G38" s="150" t="str"/>
      <x:c r="H38" s="150" t="str"/>
      <x:c r="I38" s="150" t="str"/>
      <x:c r="J38" s="150" t="str"/>
      <x:c r="K38" s="150" t="str"/>
      <x:c r="L38" s="150" t="str"/>
      <x:c r="M38" s="150" t="str"/>
      <x:c r="N38" s="150" t="str"/>
      <x:c r="O38" s="150" t="str"/>
      <x:c r="P38" s="150" t="str"/>
    </x:row>
    <x:row r="39">
      <x:c r="A39" s="132" t="str">
        <x:v>Posicao dos consorcios</x:v>
      </x:c>
      <x:c r="B39" s="150" t="str">
        <x:v>IQ e consorcio direto reconhecem direito economico descontado e VP das parcelas futuras antes da contemplacao. Depois do uso do credito, o direito sai e a obrigacao permanece ate o fim do grupo.</x:v>
      </x:c>
      <x:c r="C39" s="150" t="str"/>
      <x:c r="D39" s="150" t="str"/>
      <x:c r="E39" s="150" t="str"/>
      <x:c r="F39" s="150" t="str"/>
      <x:c r="G39" s="150" t="str"/>
      <x:c r="H39" s="150" t="str"/>
      <x:c r="I39" s="150" t="str"/>
      <x:c r="J39" s="150" t="str"/>
      <x:c r="K39" s="150" t="str"/>
      <x:c r="L39" s="150" t="str"/>
      <x:c r="M39" s="150" t="str"/>
      <x:c r="N39" s="150" t="str"/>
      <x:c r="O39" s="150" t="str"/>
      <x:c r="P39" s="150" t="str"/>
    </x:row>
    <x:row r="40">
      <x:c r="A40" s="132" t="str">
        <x:v>Carta Contemplada</x:v>
      </x:c>
      <x:c r="B40" s="150" t="str">
        <x:v>Estrategia propria com preco aplicavel, custo inicial da carta, taxa de transferencia, credito liquido, complemento, parcelas restantes e obrigacao remanescente no patrimonio.</x:v>
      </x:c>
      <x:c r="C40" s="150" t="str"/>
      <x:c r="D40" s="150" t="str"/>
      <x:c r="E40" s="150" t="str"/>
      <x:c r="F40" s="150" t="str"/>
      <x:c r="G40" s="150" t="str"/>
      <x:c r="H40" s="150" t="str"/>
      <x:c r="I40" s="150" t="str"/>
      <x:c r="J40" s="150" t="str"/>
      <x:c r="K40" s="150" t="str"/>
      <x:c r="L40" s="150" t="str"/>
      <x:c r="M40" s="150" t="str"/>
      <x:c r="N40" s="150" t="str"/>
      <x:c r="O40" s="150" t="str"/>
      <x:c r="P40" s="150" t="str"/>
    </x:row>
  </x:sheetData>
  <x:mergeCells>
    <x:mergeCell ref="A1:P1"/>
    <x:mergeCell ref="A8:P8"/>
    <x:mergeCell ref="A16:C16"/>
    <x:mergeCell ref="A24:P24"/>
    <x:mergeCell ref="B25:P25"/>
    <x:mergeCell ref="B26:P26"/>
    <x:mergeCell ref="B27:P27"/>
    <x:mergeCell ref="B28:P28"/>
    <x:mergeCell ref="B29:P29"/>
    <x:mergeCell ref="B30:P30"/>
    <x:mergeCell ref="B31:P31"/>
    <x:mergeCell ref="B32:P32"/>
    <x:mergeCell ref="B33:P33"/>
    <x:mergeCell ref="B34:P34"/>
    <x:mergeCell ref="B35:P35"/>
    <x:mergeCell ref="B36:P36"/>
    <x:mergeCell ref="B37:P37"/>
    <x:mergeCell ref="B38:P38"/>
    <x:mergeCell ref="B39:P39"/>
    <x:mergeCell ref="B40:P40"/>
  </x:mergeCells>
  <x:pageMargins left="0.7" right="0.7" top="0.75" bottom="0.75" header="0.3" footer="0.3"/>
  <x:drawing xmlns:r="http://schemas.openxmlformats.org/officeDocument/2006/relationships" r:id="R5cf95df13011408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21.25" hidden="0" customWidth="1"/>
    <x:col min="3" max="3" width="17.5" hidden="0" customWidth="1"/>
    <x:col min="4" max="4" width="45" hidden="0" customWidth="1"/>
    <x:col min="5" max="5" width="22.5" hidden="0" customWidth="1"/>
  </x:cols>
  <x:sheetData>
    <x:row r="1" ht="25.5" customHeight="1">
      <x:c r="A1" s="189" t="str">
        <x:v>Simulador - Consorcio x Financiamento</x:v>
      </x:c>
      <x:c r="B1" s="190" t="str">
        <x:v>Simulador - Consorcio x Financiamento</x:v>
      </x:c>
      <x:c r="C1" s="190" t="str">
        <x:v>Simulador - Consorcio x Financiamento</x:v>
      </x:c>
      <x:c r="D1" s="190" t="str">
        <x:v>Simulador - Consorcio x Financiamento</x:v>
      </x:c>
      <x:c r="E1" s="191" t="str">
        <x:v>Simulador - Consorcio x Financiamento</x:v>
      </x:c>
    </x:row>
    <x:row r="2">
      <x:c r="A2" s="130"/>
      <x:c r="B2" s="130"/>
      <x:c r="C2" s="130"/>
      <x:c r="D2" s="130"/>
      <x:c r="E2" s="130"/>
    </x:row>
    <x:row r="3" ht="18" customHeight="1">
      <x:c r="A3" s="136" t="str">
        <x:v>Premissas gerais</x:v>
      </x:c>
      <x:c r="B3" s="137" t="str">
        <x:v>Premissas gerais</x:v>
      </x:c>
      <x:c r="C3" s="137" t="str">
        <x:v>Premissas gerais</x:v>
      </x:c>
      <x:c r="D3" s="137" t="str">
        <x:v>Premissas gerais</x:v>
      </x:c>
      <x:c r="E3" s="138" t="str">
        <x:v>Premissas gerais</x:v>
      </x:c>
    </x:row>
    <x:row r="4">
      <x:c r="A4" s="132" t="str">
        <x:v>Data de inicio dos pagamentos</x:v>
      </x:c>
      <x:c r="B4" s="194" t="n">
        <x:v>46539</x:v>
      </x:c>
      <x:c r="C4" s="152"/>
      <x:c r="D4" s="150" t="str">
        <x:v>Pagamento do imovel na planta e venda do imovel atual em junho/2027.</x:v>
      </x:c>
      <x:c r="E4" s="152"/>
    </x:row>
    <x:row r="5">
      <x:c r="A5" s="132" t="str">
        <x:v>Valor de venda do bem atual</x:v>
      </x:c>
      <x:c r="B5" s="195" t="n">
        <x:v>0</x:v>
      </x:c>
      <x:c r="C5" s="152"/>
      <x:c r="D5" s="150" t="str">
        <x:v>Entrada de caixa inicial considerada comum aos cenarios.</x:v>
      </x:c>
      <x:c r="E5" s="152"/>
    </x:row>
    <x:row r="6">
      <x:c r="A6" s="132" t="str">
        <x:v>Valor do bem novo</x:v>
      </x:c>
      <x:c r="B6" s="195" t="n">
        <x:v>200000</x:v>
      </x:c>
      <x:c r="C6" s="152"/>
      <x:c r="D6" s="150" t="str">
        <x:v>Preco do bem comparado na simulacao.</x:v>
      </x:c>
      <x:c r="E6" s="152"/>
    </x:row>
    <x:row r="7">
      <x:c r="A7" s="132" t="str">
        <x:v>Entrada (% do bem novo)</x:v>
      </x:c>
      <x:c r="B7" s="196" t="n">
        <x:v>0.2</x:v>
      </x:c>
      <x:c r="C7" s="152"/>
      <x:c r="D7" s="150" t="str">
        <x:v>Percentual minimo de entrada do financiamento.</x:v>
      </x:c>
      <x:c r="E7" s="152"/>
    </x:row>
    <x:row r="8">
      <x:c r="A8" s="132" t="str">
        <x:v>Entrada em R$</x:v>
      </x:c>
      <x:c r="B8" s="155" t="n">
        <x:f>B79*B7</x:f>
        <x:v>40000</x:v>
      </x:c>
      <x:c r="C8" s="152"/>
      <x:c r="D8" s="150" t="str">
        <x:v>Calculada sobre o preco aplicavel no mes de aquisicao do financiamento.</x:v>
      </x:c>
      <x:c r="E8" s="152"/>
    </x:row>
    <x:row r="9">
      <x:c r="A9" s="132" t="str">
        <x:v>Saldo da venda apos entrada</x:v>
      </x:c>
      <x:c r="B9" s="155" t="n">
        <x:f>B5-B8</x:f>
        <x:v>-40000</x:v>
      </x:c>
      <x:c r="C9" s="152"/>
      <x:c r="D9" s="150" t="str">
        <x:v>Liquidez remanescente da venda antes de outros custos de compra.</x:v>
      </x:c>
      <x:c r="E9" s="152"/>
    </x:row>
    <x:row r="10">
      <x:c r="A10" s="132" t="str">
        <x:v>Valor financiado</x:v>
      </x:c>
      <x:c r="B10" s="155" t="n">
        <x:f>MAX(0,B79-B8)</x:f>
        <x:v>160000</x:v>
      </x:c>
      <x:c r="C10" s="152"/>
      <x:c r="D10" s="150" t="str">
        <x:v>Preco aplicavel na aquisicao menos a entrada do financiamento.</x:v>
      </x:c>
      <x:c r="E10" s="152"/>
    </x:row>
    <x:row r="11">
      <x:c r="A11" s="132" t="str">
        <x:v>Tipo do bem</x:v>
      </x:c>
      <x:c r="B11" s="197" t="str">
        <x:v>Imovel</x:v>
      </x:c>
      <x:c r="C11" s="152"/>
      <x:c r="D11" s="150" t="str">
        <x:v>Escolha Imovel ou Veiculo. A selecao altera a valorizacao/depreciacao e os fluxos aplicaveis.</x:v>
      </x:c>
      <x:c r="E11" s="152"/>
    </x:row>
    <x:row r="12" ht="18" customHeight="1">
      <x:c r="A12" s="131" t="str">
        <x:v>Financiamento SAC/PRICE</x:v>
      </x:c>
      <x:c r="B12" s="157" t="str">
        <x:v>Financiamento SAC/PRICE</x:v>
      </x:c>
      <x:c r="C12" s="157" t="str">
        <x:v>Financiamento SAC/PRICE</x:v>
      </x:c>
      <x:c r="D12" s="158" t="str">
        <x:v>Financiamento SAC/PRICE</x:v>
      </x:c>
      <x:c r="E12" s="157" t="str">
        <x:v>Financiamento SAC/PRICE</x:v>
      </x:c>
    </x:row>
    <x:row r="13">
      <x:c r="A13" s="132" t="str">
        <x:v>Prazo financiamento (meses)</x:v>
      </x:c>
      <x:c r="B13" s="198" t="n">
        <x:v>420</x:v>
      </x:c>
      <x:c r="C13" s="152"/>
      <x:c r="D13" s="150" t="str">
        <x:v>Prazo informado pelo usuario.</x:v>
      </x:c>
      <x:c r="E13" s="152"/>
    </x:row>
    <x:row r="14">
      <x:c r="A14" s="132" t="str">
        <x:v>Juros a.a.</x:v>
      </x:c>
      <x:c r="B14" s="196" t="n">
        <x:v>0.12</x:v>
      </x:c>
      <x:c r="C14" s="152"/>
      <x:c r="D14" s="150" t="str">
        <x:v>Convertido para taxa mensal equivalente.</x:v>
      </x:c>
      <x:c r="E14" s="152"/>
    </x:row>
    <x:row r="15">
      <x:c r="A15" s="132" t="str">
        <x:v>Juros mensal equivalente</x:v>
      </x:c>
      <x:c r="B15" s="160" t="n">
        <x:f>(1+B14)^(1/12)-1</x:f>
        <x:v>0.009488792934583046</x:v>
      </x:c>
      <x:c r="C15" s="152"/>
      <x:c r="D15" s="150" t="str">
        <x:v>Taxa mensal equivalente composta.</x:v>
      </x:c>
      <x:c r="E15" s="152"/>
    </x:row>
    <x:row r="16">
      <x:c r="A16" s="132" t="str">
        <x:v>Indexador/correcao do saldo a.a.</x:v>
      </x:c>
      <x:c r="B16" s="154" t="n">
        <x:v>0</x:v>
      </x:c>
      <x:c r="C16" s="152"/>
      <x:c r="D16" s="150" t="str">
        <x:v>Indice contratual generico do saldo. O preset PRICE usa zero; altere conforme a proposta real.</x:v>
      </x:c>
      <x:c r="E16" s="152"/>
    </x:row>
    <x:row r="17">
      <x:c r="A17" s="132" t="str">
        <x:v>Indexador mensal equivalente</x:v>
      </x:c>
      <x:c r="B17" s="160" t="n">
        <x:f>(1+B16)^(1/12)-1</x:f>
        <x:v>0</x:v>
      </x:c>
      <x:c r="C17" s="152"/>
      <x:c r="D17" s="150" t="str">
        <x:v>Taxa mensal equivalente composta do indexador selecionado.</x:v>
      </x:c>
      <x:c r="E17" s="152"/>
    </x:row>
    <x:row r="18">
      <x:c r="A18" s="132" t="str">
        <x:v>Seguro mensal</x:v>
      </x:c>
      <x:c r="B18" s="195" t="n">
        <x:v>150</x:v>
      </x:c>
      <x:c r="C18" s="152"/>
      <x:c r="D18" s="150" t="str">
        <x:v>Incluido enquanto houver saldo devedor no financiamento.</x:v>
      </x:c>
      <x:c r="E18" s="152"/>
    </x:row>
    <x:row r="19">
      <x:c r="A19" s="132" t="str">
        <x:v>Sistema de financiamento</x:v>
      </x:c>
      <x:c r="B19" s="197" t="str">
        <x:v>SAC</x:v>
      </x:c>
      <x:c r="C19" s="152"/>
      <x:c r="D19" s="150" t="str">
        <x:v>Escolha SAC ou PRICE. O cronograma preserva as mesmas colunas logicas para alimentar IQ, amortizacao, motor e resumo.</x:v>
      </x:c>
      <x:c r="E19" s="152"/>
    </x:row>
    <x:row r="20" ht="18" customHeight="1">
      <x:c r="A20" s="131" t="str">
        <x:v>Consorcio como interveniente quitante</x:v>
      </x:c>
      <x:c r="B20" s="157" t="str">
        <x:v>Consorcio como interveniente quitante</x:v>
      </x:c>
      <x:c r="C20" s="157" t="str">
        <x:v>Consorcio como interveniente quitante</x:v>
      </x:c>
      <x:c r="D20" s="158" t="str">
        <x:v>Consorcio como interveniente quitante</x:v>
      </x:c>
      <x:c r="E20" s="157" t="str">
        <x:v>Consorcio como interveniente quitante</x:v>
      </x:c>
    </x:row>
    <x:row r="21">
      <x:c r="A21" s="132" t="str">
        <x:v>Taxa de administracao</x:v>
      </x:c>
      <x:c r="B21" s="196" t="n">
        <x:v>0.24</x:v>
      </x:c>
      <x:c r="C21" s="152"/>
      <x:c r="D21" s="150" t="str">
        <x:v>Componente editavel da taxa total do consorcio.</x:v>
      </x:c>
      <x:c r="E21" s="152"/>
    </x:row>
    <x:row r="22">
      <x:c r="A22" s="132" t="str">
        <x:v>Taxa do fundo reserva</x:v>
      </x:c>
      <x:c r="B22" s="196" t="n">
        <x:v>0.02</x:v>
      </x:c>
      <x:c r="C22" s="152"/>
      <x:c r="D22" s="150" t="str">
        <x:v>Componente editavel da taxa total do consorcio.</x:v>
      </x:c>
      <x:c r="E22" s="152"/>
    </x:row>
    <x:row r="23">
      <x:c r="A23" s="132" t="str">
        <x:v>Seguro prestamista (% do credito)</x:v>
      </x:c>
      <x:c r="B23" s="196" t="n">
        <x:v>0.00035</x:v>
      </x:c>
      <x:c r="C23" s="152"/>
      <x:c r="D23" s="150" t="str">
        <x:v>Tratado como percentual total sobre o credito para simplificar a simulacao.</x:v>
      </x:c>
      <x:c r="E23" s="152"/>
    </x:row>
    <x:row r="24">
      <x:c r="A24" s="132" t="str">
        <x:v>Taxas totais sobre credito</x:v>
      </x:c>
      <x:c r="B24" s="161" t="n">
        <x:f>SUM(B21:B23)</x:f>
        <x:v>0.26035</x:v>
      </x:c>
      <x:c r="C24" s="152"/>
      <x:c r="D24" s="150" t="str">
        <x:v>Soma de administracao, fundo reserva e seguro prestamista.</x:v>
      </x:c>
      <x:c r="E24" s="152"/>
    </x:row>
    <x:row r="25">
      <x:c r="A25" s="132" t="str">
        <x:v>Prazo consorcio (meses)</x:v>
      </x:c>
      <x:c r="B25" s="198" t="n">
        <x:v>240</x:v>
      </x:c>
      <x:c r="C25" s="152"/>
      <x:c r="D25" s="150" t="str">
        <x:v>Prazo informado pelo usuario.</x:v>
      </x:c>
      <x:c r="E25" s="152"/>
    </x:row>
    <x:row r="26">
      <x:c r="A26" s="132" t="str">
        <x:v>Reajuste anual credito/parcela</x:v>
      </x:c>
      <x:c r="B26" s="196" t="n">
        <x:v>0.06</x:v>
      </x:c>
      <x:c r="C26" s="152"/>
      <x:c r="D26" s="150" t="str">
        <x:v>Aplicado por degrau anual.</x:v>
      </x:c>
      <x:c r="E26" s="152"/>
    </x:row>
    <x:row r="27">
      <x:c r="A27" s="132" t="str">
        <x:v>Mes de contemplacao preset</x:v>
      </x:c>
      <x:c r="B27" s="198" t="n">
        <x:v>60</x:v>
      </x:c>
      <x:c r="C27" s="152"/>
      <x:c r="D27" s="150" t="str">
        <x:v>Preset editavel para a contemplacao do consorcio.</x:v>
      </x:c>
      <x:c r="E27" s="152"/>
    </x:row>
    <x:row r="28">
      <x:c r="A28" s="132" t="str">
        <x:v>Fator reajuste consorcio na contemplacao</x:v>
      </x:c>
      <x:c r="B28" s="162" t="n">
        <x:f>(1+B26)^INT((B27-1)/12)</x:f>
        <x:v>1.2624769600000003</x:v>
      </x:c>
      <x:c r="C28" s="152"/>
      <x:c r="D28" s="150" t="str">
        <x:v>Mes 60 recebe quatro reajustes anuais no preset, pois o 5o aniversario ocorre no mes 61.</x:v>
      </x:c>
      <x:c r="E28" s="152"/>
    </x:row>
    <x:row r="29">
      <x:c r="A29" s="132" t="str">
        <x:v>Saldo financiamento no mes da contemplacao</x:v>
      </x:c>
      <x:c r="B29" s="200" t="n">
        <x:f>IF(AND(B27&gt;=B48,B27-B48+1&lt;=B13),INDEX(Financiamento!$M$6:$M$485,B27-B48+1),0)</x:f>
        <x:v>137142.8571428574</x:v>
      </x:c>
      <x:c r="C29" s="152"/>
      <x:c r="D29" s="150" t="str">
        <x:v>Saldo ao fim do mes de contemplacao, considerando o mes de inicio do financiamento.</x:v>
      </x:c>
      <x:c r="E29" s="152"/>
    </x:row>
    <x:row r="30">
      <x:c r="A30" s="132" t="str">
        <x:v>Carta inicial contratada</x:v>
      </x:c>
      <x:c r="B30" s="200" t="n">
        <x:f>B29/B28</x:f>
        <x:v>108629.98810121442</x:v>
      </x:c>
      <x:c r="C30" s="152"/>
      <x:c r="D30" s="150" t="str">
        <x:v>Calculada para que a carta atualizada cubra o saldo devedor no mes de contemplacao.</x:v>
      </x:c>
      <x:c r="E30" s="152"/>
    </x:row>
    <x:row r="31">
      <x:c r="A31" s="132" t="str">
        <x:v>Credito atualizado na contemplacao</x:v>
      </x:c>
      <x:c r="B31" s="200" t="n">
        <x:f>B30*B28</x:f>
        <x:v>137142.8571428574</x:v>
      </x:c>
      <x:c r="C31" s="152"/>
      <x:c r="D31" s="150" t="str">
        <x:v>Valor usado como interveniente quitante.</x:v>
      </x:c>
      <x:c r="E31" s="152"/>
    </x:row>
    <x:row r="32">
      <x:c r="A32" s="132" t="str">
        <x:v>Parcela inicial do consorcio</x:v>
      </x:c>
      <x:c r="B32" s="155" t="n">
        <x:f>B30*(1+B24)/B25</x:f>
        <x:v>570.4658562640234</x:v>
      </x:c>
      <x:c r="C32" s="152"/>
      <x:c r="D32" s="150" t="str">
        <x:v>Credito contratado acrescido das taxas totais, dividido pelo prazo.</x:v>
      </x:c>
      <x:c r="E32" s="152"/>
    </x:row>
    <x:row r="33">
      <x:c r="A33" s="132"/>
      <x:c r="B33" s="152"/>
      <x:c r="C33" s="152"/>
      <x:c r="D33" s="150"/>
      <x:c r="E33" s="152"/>
    </x:row>
    <x:row r="34" ht="18" customHeight="1">
      <x:c r="A34" s="131" t="str">
        <x:v>Amortizacao com caixa livre</x:v>
      </x:c>
      <x:c r="B34" s="157" t="str">
        <x:v>Amortizacao com caixa livre</x:v>
      </x:c>
      <x:c r="C34" s="157" t="str">
        <x:v>Amortizacao com caixa livre</x:v>
      </x:c>
      <x:c r="D34" s="158" t="str">
        <x:v>Amortizacao com caixa livre</x:v>
      </x:c>
      <x:c r="E34" s="157" t="str">
        <x:v>Amortizacao com caixa livre</x:v>
      </x:c>
    </x:row>
    <x:row r="35">
      <x:c r="A35" s="132" t="str">
        <x:v>Caixa livre mensal alocado ao financiamento</x:v>
      </x:c>
      <x:c r="B35" s="200" t="n">
        <x:f>B42</x:f>
        <x:v>7000</x:v>
      </x:c>
      <x:c r="C35" s="152"/>
      <x:c r="D35" s="150" t="str">
        <x:v>Cenario 2 usa o caixa livre mensal informado em B42 como teto para prestacao ordinaria mais amortizacao extra enquanto houver saldo.</x:v>
      </x:c>
      <x:c r="E35" s="152"/>
    </x:row>
    <x:row r="36">
      <x:c r="A36" s="132" t="str">
        <x:v>Sobra inicial para amortizacao extra</x:v>
      </x:c>
      <x:c r="B36" s="155" t="n">
        <x:f>MAX(0,B35-INDEX(Financiamento!$J$6:$J$485,1))</x:f>
        <x:v>4950.840749514332</x:v>
      </x:c>
      <x:c r="C36" s="152"/>
      <x:c r="D36" s="150" t="str">
        <x:v>Diferenca inicial entre caixa livre mensal e prestacao ordinaria do financiamento selecionado. No cronograma, essa sobra e recalculada mes a mes.</x:v>
      </x:c>
      <x:c r="E36" s="152"/>
    </x:row>
    <x:row r="37">
      <x:c r="A37" s="132"/>
      <x:c r="B37" s="152"/>
      <x:c r="C37" s="152"/>
      <x:c r="D37" s="150"/>
      <x:c r="E37" s="152"/>
    </x:row>
    <x:row r="38" ht="18" customHeight="1">
      <x:c r="A38" s="131" t="str">
        <x:v>Custo de oportunidade</x:v>
      </x:c>
      <x:c r="B38" s="157" t="str">
        <x:v>Custo de oportunidade</x:v>
      </x:c>
      <x:c r="C38" s="157" t="str">
        <x:v>Custo de oportunidade</x:v>
      </x:c>
      <x:c r="D38" s="158" t="str">
        <x:v>Custo de oportunidade</x:v>
      </x:c>
      <x:c r="E38" s="157" t="str">
        <x:v>Custo de oportunidade</x:v>
      </x:c>
    </x:row>
    <x:row r="39">
      <x:c r="A39" s="132" t="str">
        <x:v>Horizonte de comparacao (meses)</x:v>
      </x:c>
      <x:c r="B39" s="198" t="n">
        <x:v>420</x:v>
      </x:c>
      <x:c r="C39" s="152"/>
      <x:c r="D39" s="150" t="str">
        <x:v>Prazo editavel para comparar patrimonio acumulado. O modelo mensal suporta ate 480 meses.</x:v>
      </x:c>
      <x:c r="E39" s="152"/>
    </x:row>
    <x:row r="40">
      <x:c r="A40" s="132" t="str">
        <x:v>Rentabilidade liquida a.a.</x:v>
      </x:c>
      <x:c r="B40" s="196" t="n">
        <x:v>0.12</x:v>
      </x:c>
      <x:c r="C40" s="152"/>
      <x:c r="D40" s="150" t="str">
        <x:v>Preset de 12% liquido ao ano para investimento das sobras mensais.</x:v>
      </x:c>
      <x:c r="E40" s="152"/>
    </x:row>
    <x:row r="41">
      <x:c r="A41" s="132" t="str">
        <x:v>Rentabilidade liquida mensal equivalente</x:v>
      </x:c>
      <x:c r="B41" s="163" t="n">
        <x:f>(1+B40)^(1/12)-1</x:f>
        <x:v>0.009488792934583046</x:v>
      </x:c>
      <x:c r="C41" s="152"/>
      <x:c r="D41" s="150" t="str">
        <x:v>Taxa mensal equivalente composta usada na evolucao dos investimentos.</x:v>
      </x:c>
      <x:c r="E41" s="152"/>
    </x:row>
    <x:row r="42">
      <x:c r="A42" s="132" t="str">
        <x:v>Caixa livre mensal antes dos fluxos do bem</x:v>
      </x:c>
      <x:c r="B42" s="195" t="n">
        <x:v>7000</x:v>
      </x:c>
      <x:c r="C42" s="152"/>
      <x:c r="D42" s="150" t="str">
        <x:v>Caixa mensal disponivel antes de entrada, parcelas, custo de espera, renda, consorcio e lances.</x:v>
      </x:c>
      <x:c r="E42" s="152"/>
    </x:row>
    <x:row r="43">
      <x:c r="A43" s="132" t="str">
        <x:v>Valor em reserva</x:v>
      </x:c>
      <x:c r="B43" s="195" t="n">
        <x:v>90000</x:v>
      </x:c>
      <x:c r="C43" s="152"/>
      <x:c r="D43" s="150" t="str">
        <x:v>Reserva inicial disponivel. Deve ser pelo menos a maior entrada exigida entre as estrategias.</x:v>
      </x:c>
      <x:c r="E43" s="152"/>
    </x:row>
    <x:row r="44">
      <x:c r="A44" s="132" t="str">
        <x:v>Maior entrada entre estrategias</x:v>
      </x:c>
      <x:c r="B44" s="200" t="n">
        <x:f>MAX(B8,'Consorcio Direto'!$B$44,'Carta Contemplada'!$B$37)</x:f>
        <x:v>47000</x:v>
      </x:c>
      <x:c r="C44" s="152"/>
      <x:c r="D44" s="150" t="str">
        <x:v>Check de reserva minima para comparar estrategias com e sem entrada/custo inicial de forma justa.</x:v>
      </x:c>
      <x:c r="E44" s="152"/>
    </x:row>
    <x:row r="45">
      <x:c r="A45" s="132" t="str">
        <x:v>Valor do bem no horizonte</x:v>
      </x:c>
      <x:c r="B45" s="200" t="n">
        <x:f>MAX(0,B6*(1+B66)^((B39-1)/12))</x:f>
        <x:v>1529771.1201815843</x:v>
      </x:c>
      <x:c r="C45" s="152"/>
      <x:c r="D45" s="150" t="str">
        <x:v>Valor de mercado no horizonte, usando a taxa selecionada pelo Tipo do bem e piso zero.</x:v>
      </x:c>
      <x:c r="E45" s="152"/>
    </x:row>
    <x:row r="46" ht="18" customHeight="1">
      <x:c r="A46" s="146" t="str">
        <x:v>Uso, disponibilidade, renda e custos</x:v>
      </x:c>
      <x:c r="B46" s="147" t="str">
        <x:v>Uso, disponibilidade, renda e custos</x:v>
      </x:c>
      <x:c r="C46" s="147" t="str">
        <x:v>Uso, disponibilidade, renda e custos</x:v>
      </x:c>
      <x:c r="D46" s="147" t="str">
        <x:v>Uso, disponibilidade, renda e custos</x:v>
      </x:c>
      <x:c r="E46" s="148" t="str">
        <x:v>Uso, disponibilidade, renda e custos</x:v>
      </x:c>
    </x:row>
    <x:row r="47">
      <x:c r="A47" s="132" t="str">
        <x:v>Finalidade do Imovel</x:v>
      </x:c>
      <x:c r="B47" s="197" t="str">
        <x:v>Investimento</x:v>
      </x:c>
      <x:c r="C47" s="152"/>
      <x:c r="D47" s="150" t="str">
        <x:v>Moradia aplica aluguel pago ate o acesso; Investimento aplica receita liquida depois do acesso. Para Veiculo, o campo e ignorado.</x:v>
      </x:c>
      <x:c r="E47" s="152"/>
    </x:row>
    <x:row r="48">
      <x:c r="A48" s="132" t="str">
        <x:v>Mes de aquisicao via financiamento</x:v>
      </x:c>
      <x:c r="B48" s="164" t="n">
        <x:f>1</x:f>
        <x:v>1</x:v>
      </x:c>
      <x:c r="C48" s="152"/>
      <x:c r="D48" s="150" t="str">
        <x:v>Financiamento e IQ compram o bem no mes inicial pelo valor atual.</x:v>
      </x:c>
      <x:c r="E48" s="152"/>
    </x:row>
    <x:row r="49">
      <x:c r="A49" s="132" t="str">
        <x:v>Mes de disponibilidade/uso</x:v>
      </x:c>
      <x:c r="B49" s="198" t="n">
        <x:v>1</x:v>
      </x:c>
      <x:c r="C49" s="152"/>
      <x:c r="D49" s="150" t="str">
        <x:v>Mes a partir do qual o bem pode ser ocupado, usado ou gerar renda.</x:v>
      </x:c>
      <x:c r="E49" s="152"/>
    </x:row>
    <x:row r="50">
      <x:c r="A50" s="132" t="str">
        <x:v>Mes fim aluguel de espera fin./IQ</x:v>
      </x:c>
      <x:c r="B50" s="164" t="n">
        <x:f>MAX(B48,B49)-1</x:f>
        <x:v>0</x:v>
      </x:c>
      <x:c r="C50" s="152"/>
      <x:c r="D50" s="150" t="str">
        <x:v>Em Moradia, financiamento e IQ carregam aluguel pago antes da aquisicao e disponibilidade.</x:v>
      </x:c>
      <x:c r="E50" s="152"/>
    </x:row>
    <x:row r="51">
      <x:c r="A51" s="132" t="str">
        <x:v>Inicio renda fin./IQ</x:v>
      </x:c>
      <x:c r="B51" s="164" t="n">
        <x:f>MAX(B48,B49)</x:f>
        <x:v>1</x:v>
      </x:c>
      <x:c r="C51" s="152"/>
      <x:c r="D51" s="150" t="str">
        <x:v>Em Investimento, financiamento e IQ reconhecem receita a partir do acesso ao imovel.</x:v>
      </x:c>
      <x:c r="E51" s="152"/>
    </x:row>
    <x:row r="52">
      <x:c r="A52" s="132" t="str">
        <x:v>Inicio renda consorcio direto</x:v>
      </x:c>
      <x:c r="B52" s="164" t="n">
        <x:f>MAX('Consorcio Direto'!$B$29,B49)</x:f>
        <x:v>60</x:v>
      </x:c>
      <x:c r="C52" s="152"/>
      <x:c r="D52" s="150" t="str">
        <x:v>Consorcio direto reconhece renda apenas apos contemplacao e disponibilidade.</x:v>
      </x:c>
      <x:c r="E52" s="152"/>
    </x:row>
    <x:row r="53">
      <x:c r="A53" s="132" t="str">
        <x:v>Aluguel pago (% valor Imovel a.m.)</x:v>
      </x:c>
      <x:c r="B53" s="199" t="n">
        <x:v>0.0035</x:v>
      </x:c>
      <x:c r="C53" s="152"/>
      <x:c r="D53" s="150" t="str">
        <x:v>Premissa opcional de Moradia. Para Veiculo, o campo e ignorado.</x:v>
      </x:c>
      <x:c r="E53" s="152"/>
    </x:row>
    <x:row r="54">
      <x:c r="A54" s="132" t="str">
        <x:v>Aluguel pago inicial mensal</x:v>
      </x:c>
      <x:c r="B54" s="155" t="n">
        <x:f>IF(B11="Imovel",B6*B53,0)</x:f>
        <x:v>700</x:v>
      </x:c>
      <x:c r="C54" s="152"/>
      <x:c r="D54" s="150" t="str">
        <x:v>Aluguel mensal inicial aplicado apenas em Moradia antes do acesso ao imovel.</x:v>
      </x:c>
      <x:c r="E54" s="152"/>
    </x:row>
    <x:row r="55">
      <x:c r="A55" s="132" t="str">
        <x:v>Receita bruta (% valor a.m.)</x:v>
      </x:c>
      <x:c r="B55" s="199" t="n">
        <x:v>0.004</x:v>
      </x:c>
      <x:c r="C55" s="152"/>
      <x:c r="D55" s="150" t="str">
        <x:v>Premissa opcional de aluguel ou renda operacional. Use zero quando o bem nao gerar receita.</x:v>
      </x:c>
      <x:c r="E55" s="152"/>
    </x:row>
    <x:row r="56">
      <x:c r="A56" s="132" t="str">
        <x:v>Receita bruta inicial</x:v>
      </x:c>
      <x:c r="B56" s="155" t="n">
        <x:f>B6*B55</x:f>
        <x:v>800</x:v>
      </x:c>
      <x:c r="C56" s="152"/>
      <x:c r="D56" s="150" t="str">
        <x:v>Receita bruta mensal antes dos redutores operacionais.</x:v>
      </x:c>
      <x:c r="E56" s="152"/>
    </x:row>
    <x:row r="57">
      <x:c r="A57" s="132" t="str">
        <x:v>Reajuste anual espera/renda</x:v>
      </x:c>
      <x:c r="B57" s="196" t="n">
        <x:v>0.06</x:v>
      </x:c>
      <x:c r="C57" s="152"/>
      <x:c r="D57" s="150" t="str">
        <x:v>Aplicado por degrau anual ao custo de espera e a receita.</x:v>
      </x:c>
      <x:c r="E57" s="152"/>
    </x:row>
    <x:row r="58">
      <x:c r="A58" s="132" t="str">
        <x:v>Vacancia/ociosidade</x:v>
      </x:c>
      <x:c r="B58" s="196" t="n">
        <x:v>0.05</x:v>
      </x:c>
      <x:c r="C58" s="152"/>
      <x:c r="D58" s="150" t="str">
        <x:v>Percentual redutor da receita bruta do bem.</x:v>
      </x:c>
      <x:c r="E58" s="152"/>
    </x:row>
    <x:row r="59">
      <x:c r="A59" s="132" t="str">
        <x:v>Inadimplencia</x:v>
      </x:c>
      <x:c r="B59" s="196" t="n">
        <x:v>0.02</x:v>
      </x:c>
      <x:c r="C59" s="152"/>
      <x:c r="D59" s="150" t="str">
        <x:v>Percentual redutor da receita bruta do bem.</x:v>
      </x:c>
      <x:c r="E59" s="152"/>
    </x:row>
    <x:row r="60">
      <x:c r="A60" s="132" t="str">
        <x:v>Administracao da renda</x:v>
      </x:c>
      <x:c r="B60" s="196" t="n">
        <x:v>0.08</x:v>
      </x:c>
      <x:c r="C60" s="152"/>
      <x:c r="D60" s="150" t="str">
        <x:v>Percentual redutor da receita bruta do bem.</x:v>
      </x:c>
      <x:c r="E60" s="152"/>
    </x:row>
    <x:row r="61">
      <x:c r="A61" s="132" t="str">
        <x:v>Manutencao/operacao</x:v>
      </x:c>
      <x:c r="B61" s="196" t="n">
        <x:v>0.03</x:v>
      </x:c>
      <x:c r="C61" s="152"/>
      <x:c r="D61" s="150" t="str">
        <x:v>Percentual redutor da receita bruta do bem.</x:v>
      </x:c>
      <x:c r="E61" s="152"/>
    </x:row>
    <x:row r="62">
      <x:c r="A62" s="132" t="str">
        <x:v>Impostos/taxas nao repassados</x:v>
      </x:c>
      <x:c r="B62" s="196" t="n">
        <x:v>0.02</x:v>
      </x:c>
      <x:c r="C62" s="152"/>
      <x:c r="D62" s="150" t="str">
        <x:v>Percentual redutor da receita bruta do bem.</x:v>
      </x:c>
      <x:c r="E62" s="152"/>
    </x:row>
    <x:row r="63">
      <x:c r="A63" s="132" t="str">
        <x:v>IR sobre renda</x:v>
      </x:c>
      <x:c r="B63" s="196" t="n">
        <x:v>0</x:v>
      </x:c>
      <x:c r="C63" s="152"/>
      <x:c r="D63" s="150" t="str">
        <x:v>Percentual redutor, se aplicavel.</x:v>
      </x:c>
      <x:c r="E63" s="152"/>
    </x:row>
    <x:row r="64">
      <x:c r="A64" s="132" t="str">
        <x:v>Receita liquida inicial</x:v>
      </x:c>
      <x:c r="B64" s="155" t="n">
        <x:f>IF(B11="Imovel",B56*(1-SUM(B58:B63)),0)</x:f>
        <x:v>640</x:v>
      </x:c>
      <x:c r="C64" s="152"/>
      <x:c r="D64" s="150" t="str">
        <x:v>Valor liquido usado apenas em Investimento, apos aquisicao/contemplacao e disponibilidade.</x:v>
      </x:c>
      <x:c r="E64" s="152"/>
    </x:row>
    <x:row r="65">
      <x:c r="A65" s="132" t="str">
        <x:v>Modelo nominal</x:v>
      </x:c>
      <x:c r="B65" s="197" t="str">
        <x:v>Nominal</x:v>
      </x:c>
      <x:c r="C65" s="152"/>
      <x:c r="D65" s="150" t="str">
        <x:v>O motor permanece nominal. Valores em R$ de hoje sao apenas conversoes de apresentacao usando a inflacao esperada.</x:v>
      </x:c>
      <x:c r="E65" s="152"/>
    </x:row>
    <x:row r="66">
      <x:c r="A66" s="132" t="str">
        <x:v>Taxa anual aplicada ao bem</x:v>
      </x:c>
      <x:c r="B66" s="201" t="n">
        <x:f>IF(B11="Veiculo",B92,B91)</x:f>
        <x:v>0.06</x:v>
      </x:c>
      <x:c r="C66" s="152"/>
      <x:c r="D66" s="150" t="str">
        <x:v>Selecionada automaticamente: valorizacao de imovel ou depreciacao de veiculo.</x:v>
      </x:c>
      <x:c r="E66" s="152"/>
    </x:row>
    <x:row r="67">
      <x:c r="A67" s="132" t="str">
        <x:v>Inflacao anual esperada</x:v>
      </x:c>
      <x:c r="B67" s="154" t="n">
        <x:v>0.06</x:v>
      </x:c>
      <x:c r="C67" s="152"/>
      <x:c r="D67" s="150" t="str">
        <x:v>Preset de 6% a.a.; usada apenas para converter valores nominais futuros em R$ de hoje. Nao altera o motor nominal.</x:v>
      </x:c>
      <x:c r="E67" s="152"/>
    </x:row>
    <x:row r="68">
      <x:c r="A68" s="132" t="str">
        <x:v>Inflacao mensal equivalente</x:v>
      </x:c>
      <x:c r="B68" s="163" t="n">
        <x:f>(1+B67)^(1/12)-1</x:f>
        <x:v>0.004867550565343048</x:v>
      </x:c>
      <x:c r="C68" s="152"/>
      <x:c r="D68" s="150" t="str">
        <x:v>Taxa mensal equivalente composta da inflacao esperada.</x:v>
      </x:c>
      <x:c r="E68" s="152"/>
    </x:row>
    <x:row r="69">
      <x:c r="A69" s="132" t="str">
        <x:v>Fator inflacao acumulada no horizonte</x:v>
      </x:c>
      <x:c r="B69" s="162" t="n">
        <x:f>(1+B67)^(B39/12)</x:f>
        <x:v>7.6860867923123495</x:v>
      </x:c>
      <x:c r="C69" s="152"/>
      <x:c r="D69" s="150" t="str">
        <x:v>Divide valores nominais futuros para apresentar equivalentes em R$ de hoje.</x:v>
      </x:c>
      <x:c r="E69" s="152"/>
    </x:row>
    <x:row r="70">
      <x:c r="A70" s="132"/>
      <x:c r="B70" s="152"/>
      <x:c r="C70" s="152"/>
      <x:c r="D70" s="150"/>
      <x:c r="E70" s="152"/>
    </x:row>
    <x:row r="71" ht="18" customHeight="1">
      <x:c r="A71" s="131" t="str">
        <x:v>Ponte de caixa e rotulos</x:v>
      </x:c>
      <x:c r="B71" s="165" t="str">
        <x:v>Ponte de caixa e rotulos</x:v>
      </x:c>
      <x:c r="C71" s="165" t="str">
        <x:v>Ponte de caixa e rotulos</x:v>
      </x:c>
      <x:c r="D71" s="158" t="str">
        <x:v>Ponte de caixa e rotulos</x:v>
      </x:c>
      <x:c r="E71" s="165" t="str">
        <x:v>Ponte de caixa e rotulos</x:v>
      </x:c>
    </x:row>
    <x:row r="72">
      <x:c r="A72" s="132" t="str">
        <x:v>Caixa comum incluido</x:v>
      </x:c>
      <x:c r="B72" s="155" t="n">
        <x:f>B43</x:f>
        <x:v>90000</x:v>
      </x:c>
      <x:c r="C72" s="152"/>
      <x:c r="D72" s="150" t="str">
        <x:v>Reserva efetivamente usada no motor mensal de caixa.</x:v>
      </x:c>
      <x:c r="E72" s="152"/>
    </x:row>
    <x:row r="73">
      <x:c r="A73" s="132" t="str">
        <x:v>Venda do imovel atual</x:v>
      </x:c>
      <x:c r="B73" s="155" t="n">
        <x:f>B5</x:f>
        <x:v>0</x:v>
      </x:c>
      <x:c r="C73" s="152"/>
      <x:c r="D73" s="150" t="str">
        <x:v>Entrada de caixa informativa da operacao.</x:v>
      </x:c>
      <x:c r="E73" s="152"/>
    </x:row>
    <x:row r="74">
      <x:c r="A74" s="132" t="str">
        <x:v>Entrada de financiamento</x:v>
      </x:c>
      <x:c r="B74" s="155" t="n">
        <x:f>B8</x:f>
        <x:v>40000</x:v>
      </x:c>
      <x:c r="C74" s="152"/>
      <x:c r="D74" s="150" t="str">
        <x:v>Entrada que consome reserva nas estrategias com financiamento.</x:v>
      </x:c>
      <x:c r="E74" s="152"/>
    </x:row>
    <x:row r="75">
      <x:c r="A75" s="132" t="str">
        <x:v>Saldo venda apos entrada</x:v>
      </x:c>
      <x:c r="B75" s="155" t="n">
        <x:f>B9</x:f>
        <x:v>-40000</x:v>
      </x:c>
      <x:c r="C75" s="152"/>
      <x:c r="D75" s="150" t="str">
        <x:v>Ponte informativa entre venda atual e entrada.</x:v>
      </x:c>
      <x:c r="E75" s="152"/>
    </x:row>
    <x:row r="76">
      <x:c r="A76" s="132" t="str">
        <x:v>Caixa comum excluido do ranking</x:v>
      </x:c>
      <x:c r="B76" s="155" t="n">
        <x:f>MAX(0,B5-B43)</x:f>
        <x:v>0</x:v>
      </x:c>
      <x:c r="C76" s="152"/>
      <x:c r="D76" s="150" t="str">
        <x:v>Valor da venda que nao entra no motor caso exceda a reserva informada.</x:v>
      </x:c>
      <x:c r="E76" s="152"/>
    </x:row>
    <x:row r="77">
      <x:c r="A77" s="132" t="str">
        <x:v>Reserva minima recomendada</x:v>
      </x:c>
      <x:c r="B77" s="155" t="n">
        <x:f>B44</x:f>
        <x:v>47000</x:v>
      </x:c>
      <x:c r="C77" s="152"/>
      <x:c r="D77" s="150" t="str">
        <x:v>Maior entrada inicial entre as estrategias comparadas.</x:v>
      </x:c>
      <x:c r="E77" s="152"/>
    </x:row>
    <x:row r="78">
      <x:c r="A78" s="132" t="str">
        <x:v>Regra do preco na aquisicao</x:v>
      </x:c>
      <x:c r="B78" s="166" t="str">
        <x:f>"Financiamento atual; consorcio futuro"</x:f>
        <x:v>Financiamento atual; consorcio futuro</x:v>
      </x:c>
      <x:c r="C78" s="152"/>
      <x:c r="D78" s="150" t="str">
        <x:v>Financiamento usa o valor atual no mes 1; consorcios usam o preco futuro no mes de contemplacao/uso.</x:v>
      </x:c>
      <x:c r="E78" s="152"/>
    </x:row>
    <x:row r="79">
      <x:c r="A79" s="132" t="str">
        <x:v>Preco do financiamento na aquisicao</x:v>
      </x:c>
      <x:c r="B79" s="155" t="n">
        <x:f>B6</x:f>
        <x:v>200000</x:v>
      </x:c>
      <x:c r="C79" s="152"/>
      <x:c r="D79" s="150" t="str">
        <x:v>Preco atual usado para calcular entrada e valor financiado no mes 1.</x:v>
      </x:c>
      <x:c r="E79" s="152"/>
    </x:row>
    <x:row r="80" ht="18" customHeight="1">
      <x:c r="A80" s="146" t="str">
        <x:v>Convencoes do modelo</x:v>
      </x:c>
      <x:c r="B80" s="147" t="str">
        <x:v>Convencoes do modelo</x:v>
      </x:c>
      <x:c r="C80" s="147" t="str">
        <x:v>Convencoes do modelo</x:v>
      </x:c>
      <x:c r="D80" s="147" t="str">
        <x:v>Convencoes do modelo</x:v>
      </x:c>
      <x:c r="E80" s="148" t="str">
        <x:v>Convencoes do modelo</x:v>
      </x:c>
    </x:row>
    <x:row r="81">
      <x:c r="A81" s="167" t="str">
        <x:v>Convencao</x:v>
      </x:c>
      <x:c r="B81" s="167" t="str">
        <x:v>Descricao</x:v>
      </x:c>
      <x:c r="C81" s="167" t="str"/>
      <x:c r="D81" s="167" t="str"/>
      <x:c r="E81" s="167" t="str"/>
    </x:row>
    <x:row r="82">
      <x:c r="A82" s="152" t="str">
        <x:v>SAC/PRICE com indexador</x:v>
      </x:c>
      <x:c r="B82" s="168" t="str">
        <x:v>O indexador mensal corrige o saldo no inicio do mes; juros incidem sobre o saldo corrigido. Em SAC, a amortizacao divide o saldo corrigido pelos meses restantes. Em PRICE, a prestacao financeira e recalculada pelo saldo corrigido e prazo remanescente.</x:v>
      </x:c>
      <x:c r="C82" s="168" t="str"/>
      <x:c r="D82" s="168" t="str"/>
      <x:c r="E82" s="168" t="str"/>
    </x:row>
    <x:row r="83">
      <x:c r="A83" s="152" t="str">
        <x:v>Consorcio</x:v>
      </x:c>
      <x:c r="B83" s="168" t="str">
        <x:v>Credito e parcela reajustam anualmente por degrau. A carta inicial e dimensionada para que o credito atualizado no mes da contemplacao quite o saldo do financiamento.</x:v>
      </x:c>
      <x:c r="C83" s="168" t="str"/>
      <x:c r="D83" s="168" t="str"/>
      <x:c r="E83" s="168" t="str"/>
    </x:row>
    <x:row r="84">
      <x:c r="A84" s="152" t="str">
        <x:v>Interveniente quitante</x:v>
      </x:c>
      <x:c r="B84" s="168" t="str">
        <x:v>No mes da contemplacao, o cliente paga a prestacao normal do financiamento e usa a carta para quitar o saldo restante daquele mes.</x:v>
      </x:c>
      <x:c r="C84" s="168" t="str"/>
      <x:c r="D84" s="168" t="str"/>
      <x:c r="E84" s="168" t="str"/>
    </x:row>
    <x:row r="85">
      <x:c r="A85" s="152" t="str">
        <x:v>Amortizacao de prazo</x:v>
      </x:c>
      <x:c r="B85" s="168" t="str">
        <x:v>A sobra entre o caixa livre mensal e a prestacao ordinaria do financiamento selecionado e usada como amortizacao extra direta no saldo devedor, reduzindo prazo.</x:v>
      </x:c>
      <x:c r="C85" s="168" t="str"/>
      <x:c r="D85" s="168" t="str"/>
      <x:c r="E85" s="168" t="str"/>
    </x:row>
    <x:row r="86">
      <x:c r="A86" s="152" t="str">
        <x:v>Motor Caixa</x:v>
      </x:c>
      <x:c r="B86" s="168" t="str">
        <x:v>O caixa livre mensal entra antes dos fluxos do imovel. Sobra vira investimento; deficit consome reserva/saldo investido; se a reserva/saldo acabar, o deficit nao coberto torna a estrategia inviavel.</x:v>
      </x:c>
      <x:c r="C86" s="168" t="str"/>
      <x:c r="D86" s="168" t="str"/>
      <x:c r="E86" s="168" t="str"/>
    </x:row>
    <x:row r="87">
      <x:c r="A87" s="152" t="str">
        <x:v>Patrimonio</x:v>
      </x:c>
      <x:c r="B87" s="168" t="str">
        <x:v>Mostra patrimonio apenas quando a estrategia nao tem deficit nao coberto. Estrategias inviaveis nao devem ser ranqueadas como recomendacao.</x:v>
      </x:c>
      <x:c r="C87" s="168" t="str"/>
      <x:c r="D87" s="168" t="str"/>
      <x:c r="E87" s="168" t="str"/>
    </x:row>
    <x:row r="88">
      <x:c r="A88" s="152" t="str">
        <x:v>Preco na aquisicao</x:v>
      </x:c>
      <x:c r="B88" s="168" t="str">
        <x:v>Financiamento compra no mes 1 pelo valor atual. Consorcio direto e carta contemplada usam o valor futuro do bem no mes de contemplacao ou uso do credito.</x:v>
      </x:c>
      <x:c r="C88" s="168" t="str"/>
      <x:c r="D88" s="168" t="str"/>
      <x:c r="E88" s="168" t="str"/>
    </x:row>
    <x:row r="89">
      <x:c r="A89" s="152" t="str">
        <x:v>Posicao dos consorcios</x:v>
      </x:c>
      <x:c r="B89" s="168" t="str">
        <x:v>Antes da contemplacao, o ativo inclui o direito economico descontado e a divida inclui o VP das parcelas futuras. Depois do uso do credito, o direito e substituido pelo bem, mas a obrigacao permanece ate o fim do grupo.</x:v>
      </x:c>
      <x:c r="C89" s="168" t="str"/>
      <x:c r="D89" s="168" t="str"/>
      <x:c r="E89" s="168" t="str"/>
    </x:row>
    <x:row r="90" ht="18" customHeight="1">
      <x:c r="A90" s="146" t="str">
        <x:v>Premissas por tipo do bem</x:v>
      </x:c>
      <x:c r="B90" s="147" t="str">
        <x:v>Premissas por tipo do bem</x:v>
      </x:c>
      <x:c r="C90" s="147" t="str">
        <x:v>Premissas por tipo do bem</x:v>
      </x:c>
      <x:c r="D90" s="147" t="str">
        <x:v>Premissas por tipo do bem</x:v>
      </x:c>
      <x:c r="E90" s="148" t="str">
        <x:v>Premissas por tipo do bem</x:v>
      </x:c>
    </x:row>
    <x:row r="91">
      <x:c r="A91" s="132" t="str">
        <x:v>Valorizacao anual do Imovel</x:v>
      </x:c>
      <x:c r="B91" s="196" t="n">
        <x:v>0.06</x:v>
      </x:c>
      <x:c r="C91" s="132"/>
      <x:c r="D91" s="150" t="str">
        <x:v>Taxa aplicada automaticamente quando Tipo do bem = Imovel.</x:v>
      </x:c>
      <x:c r="E91" s="132"/>
    </x:row>
    <x:row r="92">
      <x:c r="A92" s="132" t="str">
        <x:v>Depreciacao anual do Veiculo</x:v>
      </x:c>
      <x:c r="B92" s="196" t="n">
        <x:v>-0.15</x:v>
      </x:c>
      <x:c r="C92" s="132"/>
      <x:c r="D92" s="150" t="str">
        <x:v>Taxa aplicada automaticamente quando Tipo do bem = Veiculo. Deve ser maior que -100%.</x:v>
      </x:c>
      <x:c r="E92" s="132"/>
    </x:row>
  </x:sheetData>
  <x:mergeCells>
    <x:mergeCell ref="A1:E1"/>
    <x:mergeCell ref="A3:E3"/>
    <x:mergeCell ref="A12:E12"/>
    <x:mergeCell ref="A20:E20"/>
    <x:mergeCell ref="A34:E34"/>
    <x:mergeCell ref="A38:E38"/>
    <x:mergeCell ref="A46:E46"/>
    <x:mergeCell ref="A71:E71"/>
    <x:mergeCell ref="A80:E80"/>
    <x:mergeCell ref="A90:E90"/>
    <x:mergeCell ref="B82:E82"/>
    <x:mergeCell ref="B83:E83"/>
    <x:mergeCell ref="B84:E84"/>
    <x:mergeCell ref="B85:E85"/>
    <x:mergeCell ref="B86:E86"/>
    <x:mergeCell ref="B87:E87"/>
    <x:mergeCell ref="B88:E88"/>
    <x:mergeCell ref="B89:E89"/>
  </x:mergeCells>
  <x:dataValidations count="4">
    <x:dataValidation type="list" sqref="B11">
      <x:formula1>"Imovel,Veiculo"</x:formula1>
    </x:dataValidation>
    <x:dataValidation type="list" sqref="B19">
      <x:formula1>"SAC,PRICE"</x:formula1>
    </x:dataValidation>
    <x:dataValidation type="list" sqref="B47">
      <x:formula1>"Moradia,Investimento"</x:formula1>
    </x:dataValidation>
    <x:dataValidation type="list" sqref="B65">
      <x:formula1>"Nominal"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3.75" hidden="0" customWidth="1"/>
    <x:col min="3" max="3" width="18.1299991607666" hidden="0" customWidth="1"/>
    <x:col min="4" max="4" width="16.25" hidden="0" customWidth="1"/>
    <x:col min="5" max="5" width="17.25" hidden="0" customWidth="1"/>
    <x:col min="6" max="6" width="17.25" hidden="0" customWidth="1"/>
    <x:col min="7" max="7" width="17.25" hidden="0" customWidth="1"/>
    <x:col min="8" max="8" width="17.25" hidden="0" customWidth="1"/>
    <x:col min="9" max="9" width="18.1299991607666" hidden="0" customWidth="1"/>
    <x:col min="10" max="10" width="21.25" hidden="0" customWidth="1"/>
    <x:col min="11" max="11" width="17.25" hidden="0" customWidth="1"/>
  </x:cols>
  <x:sheetData>
    <x:row r="1" ht="25.5" customHeight="1">
      <x:c r="A1" s="189" t="str">
        <x:v>Carta Contemplada - parametros e cronograma</x:v>
      </x:c>
      <x:c r="B1" s="190" t="str">
        <x:v>Carta Contemplada - parametros e cronograma</x:v>
      </x:c>
      <x:c r="C1" s="190" t="str">
        <x:v>Carta Contemplada - parametros e cronograma</x:v>
      </x:c>
      <x:c r="D1" s="190" t="str">
        <x:v>Carta Contemplada - parametros e cronograma</x:v>
      </x:c>
      <x:c r="E1" s="190" t="str">
        <x:v>Carta Contemplada - parametros e cronograma</x:v>
      </x:c>
      <x:c r="F1" s="190" t="str">
        <x:v>Carta Contemplada - parametros e cronograma</x:v>
      </x:c>
      <x:c r="G1" s="190" t="str">
        <x:v>Carta Contemplada - parametros e cronograma</x:v>
      </x:c>
      <x:c r="H1" s="190" t="str">
        <x:v>Carta Contemplada - parametros e cronograma</x:v>
      </x:c>
      <x:c r="I1" s="190" t="str">
        <x:v>Carta Contemplada - parametros e cronograma</x:v>
      </x:c>
      <x:c r="J1" s="190" t="str">
        <x:v>Carta Contemplada - parametros e cronograma</x:v>
      </x:c>
      <x:c r="K1" s="191" t="str">
        <x:v>Carta Contemplada - parametros e cronograma</x:v>
      </x:c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3" ht="18" customHeight="1">
      <x:c r="A3" s="136" t="str">
        <x:v>Inputs e parametros</x:v>
      </x:c>
      <x:c r="B3" s="137" t="str">
        <x:v>Inputs e parametros</x:v>
      </x:c>
      <x:c r="C3" s="137" t="str">
        <x:v>Inputs e parametros</x:v>
      </x:c>
      <x:c r="D3" s="137" t="str">
        <x:v>Inputs e parametros</x:v>
      </x:c>
      <x:c r="E3" s="138" t="str">
        <x:v>Inputs e parametros</x:v>
      </x:c>
      <x:c r="F3" s="130"/>
      <x:c r="G3" s="136" t="str">
        <x:v>Checks auxiliares</x:v>
      </x:c>
      <x:c r="H3" s="137" t="str">
        <x:v>Checks auxiliares</x:v>
      </x:c>
      <x:c r="I3" s="137" t="str">
        <x:v>Checks auxiliares</x:v>
      </x:c>
      <x:c r="J3" s="138" t="str">
        <x:v>Checks auxiliares</x:v>
      </x:c>
      <x:c r="K3" s="130"/>
    </x:row>
    <x:row r="4" ht="25.5" customHeight="1">
      <x:c r="A4" s="132" t="str">
        <x:v>Preco futuro do bem na aquisicao</x:v>
      </x:c>
      <x:c r="B4" s="133" t="n">
        <x:f>MAX(0,Premissas!$B$6*(1+Premissas!$B$66)^((B44-1)/12))</x:f>
        <x:v>200000</x:v>
      </x:c>
      <x:c r="C4" s="132"/>
      <x:c r="D4" s="150" t="str">
        <x:v>Valor do bem atualizado ate o mes efetivo de aquisicao.</x:v>
      </x:c>
      <x:c r="E4" s="150"/>
      <x:c r="F4" s="130"/>
      <x:c r="G4" s="192" t="str">
        <x:v>Check</x:v>
      </x:c>
      <x:c r="H4" s="192" t="str">
        <x:v>Atual</x:v>
      </x:c>
      <x:c r="I4" s="192" t="str">
        <x:v>Esperado</x:v>
      </x:c>
      <x:c r="J4" s="192" t="str">
        <x:v>Status</x:v>
      </x:c>
      <x:c r="K4" s="130"/>
    </x:row>
    <x:row r="5">
      <x:c r="A5" s="132" t="str">
        <x:v>Data de inicio</x:v>
      </x:c>
      <x:c r="B5" s="169" t="n">
        <x:f>Premissas!$B$4</x:f>
        <x:v>46539</x:v>
      </x:c>
      <x:c r="C5" s="132"/>
      <x:c r="D5" s="150" t="str">
        <x:v>Inicio dos fluxos mensais.</x:v>
      </x:c>
      <x:c r="E5" s="150"/>
      <x:c r="F5" s="130"/>
      <x:c r="G5" s="140" t="str">
        <x:v>Credito liquido + complemento cobre bem</x:v>
      </x:c>
      <x:c r="H5" s="141" t="n">
        <x:f>$B$27+$B$35</x:f>
        <x:v>200000</x:v>
      </x:c>
      <x:c r="I5" s="141" t="n">
        <x:f>$B$4</x:f>
        <x:v>200000</x:v>
      </x:c>
      <x:c r="J5" s="140" t="str">
        <x:f>IF(H5+1&gt;=I5,"OK","Revisar")</x:f>
        <x:v>OK</x:v>
      </x:c>
      <x:c r="K5" s="130"/>
    </x:row>
    <x:row r="6">
      <x:c r="A6" s="132" t="str">
        <x:v>Caixa livre mensal antes dos fluxos do bem</x:v>
      </x:c>
      <x:c r="B6" s="133" t="n">
        <x:f>Premissas!$B$42</x:f>
        <x:v>7000</x:v>
      </x:c>
      <x:c r="C6" s="132"/>
      <x:c r="D6" s="150" t="str">
        <x:v>Caixa mensal antes de parcelas, custo da carta e demais fluxos.</x:v>
      </x:c>
      <x:c r="E6" s="150"/>
      <x:c r="F6" s="130"/>
      <x:c r="G6" s="140" t="str">
        <x:v>Custo inicial no mes de compra</x:v>
      </x:c>
      <x:c r="H6" s="141" t="n">
        <x:f>INDEX($E$55:$E$1013,$B$23)</x:f>
        <x:v>47000</x:v>
      </x:c>
      <x:c r="I6" s="141" t="n">
        <x:f>$B$37</x:f>
        <x:v>47000</x:v>
      </x:c>
      <x:c r="J6" s="140" t="str">
        <x:f>IF(ABS(H6-I6)&lt;=1,"OK","Revisar")</x:f>
        <x:v>OK</x:v>
      </x:c>
      <x:c r="K6" s="130"/>
    </x:row>
    <x:row r="7">
      <x:c r="A7" s="132" t="str">
        <x:v>Horizonte de comparacao (meses)</x:v>
      </x:c>
      <x:c r="B7" s="135" t="n">
        <x:f>Premissas!$B$39</x:f>
        <x:v>420</x:v>
      </x:c>
      <x:c r="C7" s="132"/>
      <x:c r="D7" s="150" t="str">
        <x:v>Puxa o horizonte das Premissas.</x:v>
      </x:c>
      <x:c r="E7" s="150"/>
      <x:c r="F7" s="130"/>
      <x:c r="G7" s="140" t="str">
        <x:v>Quantidade de parcelas restantes</x:v>
      </x:c>
      <x:c r="H7" s="142" t="n">
        <x:f>COUNTIF($C$55:$C$1013,"&gt;0")</x:f>
        <x:v>180</x:v>
      </x:c>
      <x:c r="I7" s="142" t="n">
        <x:f>$B$31</x:f>
        <x:v>180</x:v>
      </x:c>
      <x:c r="J7" s="140" t="str">
        <x:f>IF(H7=I7,"OK","Revisar")</x:f>
        <x:v>OK</x:v>
      </x:c>
      <x:c r="K7" s="130"/>
    </x:row>
    <x:row r="8">
      <x:c r="A8" s="132" t="str">
        <x:v>Rentabilidade liquida a.a.</x:v>
      </x:c>
      <x:c r="B8" s="134" t="n">
        <x:f>Premissas!$B$40</x:f>
        <x:v>0.12</x:v>
      </x:c>
      <x:c r="C8" s="132"/>
      <x:c r="D8" s="150" t="str">
        <x:v>Puxa a rentabilidade das Premissas.</x:v>
      </x:c>
      <x:c r="E8" s="150"/>
      <x:c r="F8" s="130"/>
      <x:c r="G8" s="140" t="str">
        <x:v>Obrigacao no horizonte bate cronograma</x:v>
      </x:c>
      <x:c r="H8" s="141" t="n">
        <x:f>INDEX($I$55:$I$1013,MAX(1,MIN($B$7,480)))</x:f>
        <x:v>0</x:v>
      </x:c>
      <x:c r="I8" s="141" t="n">
        <x:f>$B$40</x:f>
        <x:v>0</x:v>
      </x:c>
      <x:c r="J8" s="140" t="str">
        <x:f>IF(ABS(H8-I8)&lt;=1,"OK","Revisar")</x:f>
        <x:v>OK</x:v>
      </x:c>
      <x:c r="K8" s="130"/>
    </x:row>
    <x:row r="9">
      <x:c r="A9" s="132" t="str">
        <x:v>Rentabilidade liquida mensal</x:v>
      </x:c>
      <x:c r="B9" s="170" t="n">
        <x:f>(1+B8)^(1/12)-1</x:f>
        <x:v>0.009488792934583046</x:v>
      </x:c>
      <x:c r="C9" s="132"/>
      <x:c r="D9" s="150" t="str">
        <x:v>Taxa mensal equivalente composta.</x:v>
      </x:c>
      <x:c r="E9" s="150"/>
      <x:c r="F9" s="130"/>
      <x:c r="G9" s="140" t="str">
        <x:v>Credito excedente nunca vira caixa</x:v>
      </x:c>
      <x:c r="H9" s="141" t="n">
        <x:f>$B$36</x:f>
        <x:v>0</x:v>
      </x:c>
      <x:c r="I9" s="141" t="n">
        <x:f>0</x:f>
        <x:v>0</x:v>
      </x:c>
      <x:c r="J9" s="140" t="str">
        <x:f>IF(ABS(H9-I9)&lt;=1,"OK","Revisar")</x:f>
        <x:v>OK</x:v>
      </x:c>
      <x:c r="K9" s="130"/>
    </x:row>
    <x:row r="10">
      <x:c r="A10" s="130"/>
      <x:c r="B10" s="130"/>
      <x:c r="C10" s="130"/>
      <x:c r="D10" s="171"/>
      <x:c r="E10" s="171"/>
      <x:c r="F10" s="130"/>
      <x:c r="G10" s="130"/>
      <x:c r="H10" s="130"/>
      <x:c r="I10" s="130"/>
      <x:c r="J10" s="130"/>
      <x:c r="K10" s="130"/>
    </x:row>
    <x:row r="11">
      <x:c r="A11" s="130"/>
      <x:c r="B11" s="130"/>
      <x:c r="C11" s="130"/>
      <x:c r="D11" s="171"/>
      <x:c r="E11" s="171"/>
      <x:c r="F11" s="130"/>
      <x:c r="G11" s="130"/>
      <x:c r="H11" s="130"/>
      <x:c r="I11" s="130"/>
      <x:c r="J11" s="130"/>
      <x:c r="K11" s="130"/>
    </x:row>
    <x:row r="12">
      <x:c r="A12" s="130"/>
      <x:c r="B12" s="130"/>
      <x:c r="C12" s="130"/>
      <x:c r="D12" s="171"/>
      <x:c r="E12" s="171"/>
      <x:c r="F12" s="130"/>
      <x:c r="G12" s="130"/>
      <x:c r="H12" s="130"/>
      <x:c r="I12" s="130"/>
      <x:c r="J12" s="130"/>
      <x:c r="K12" s="130"/>
    </x:row>
    <x:row r="13">
      <x:c r="A13" s="130"/>
      <x:c r="B13" s="130"/>
      <x:c r="C13" s="130"/>
      <x:c r="D13" s="171"/>
      <x:c r="E13" s="171"/>
      <x:c r="F13" s="130"/>
      <x:c r="G13" s="130"/>
      <x:c r="H13" s="130"/>
      <x:c r="I13" s="130"/>
      <x:c r="J13" s="130"/>
      <x:c r="K13" s="130"/>
    </x:row>
    <x:row r="14">
      <x:c r="A14" s="130"/>
      <x:c r="B14" s="130"/>
      <x:c r="C14" s="130"/>
      <x:c r="D14" s="171"/>
      <x:c r="E14" s="171"/>
      <x:c r="F14" s="130"/>
      <x:c r="G14" s="130"/>
      <x:c r="H14" s="130"/>
      <x:c r="I14" s="130"/>
      <x:c r="J14" s="130"/>
      <x:c r="K14" s="130"/>
    </x:row>
    <x:row r="15">
      <x:c r="A15" s="130"/>
      <x:c r="B15" s="130"/>
      <x:c r="C15" s="130"/>
      <x:c r="D15" s="171"/>
      <x:c r="E15" s="171"/>
      <x:c r="F15" s="130"/>
      <x:c r="G15" s="130"/>
      <x:c r="H15" s="130"/>
      <x:c r="I15" s="130"/>
      <x:c r="J15" s="130"/>
      <x:c r="K15" s="130"/>
    </x:row>
    <x:row r="16">
      <x:c r="A16" s="130"/>
      <x:c r="B16" s="130"/>
      <x:c r="C16" s="130"/>
      <x:c r="D16" s="171"/>
      <x:c r="E16" s="171"/>
      <x:c r="F16" s="130"/>
      <x:c r="G16" s="130"/>
      <x:c r="H16" s="130"/>
      <x:c r="I16" s="130"/>
      <x:c r="J16" s="130"/>
      <x:c r="K16" s="130"/>
    </x:row>
    <x:row r="17">
      <x:c r="A17" s="130"/>
      <x:c r="B17" s="130"/>
      <x:c r="C17" s="130"/>
      <x:c r="D17" s="171"/>
      <x:c r="E17" s="171"/>
      <x:c r="F17" s="130"/>
      <x:c r="G17" s="130"/>
      <x:c r="H17" s="130"/>
      <x:c r="I17" s="130"/>
      <x:c r="J17" s="130"/>
      <x:c r="K17" s="130"/>
    </x:row>
    <x:row r="18">
      <x:c r="A18" s="130"/>
      <x:c r="B18" s="130"/>
      <x:c r="C18" s="130"/>
      <x:c r="D18" s="171"/>
      <x:c r="E18" s="171"/>
      <x:c r="F18" s="130"/>
      <x:c r="G18" s="130"/>
      <x:c r="H18" s="130"/>
      <x:c r="I18" s="130"/>
      <x:c r="J18" s="130"/>
      <x:c r="K18" s="130"/>
    </x:row>
    <x:row r="19">
      <x:c r="A19" s="130"/>
      <x:c r="B19" s="130"/>
      <x:c r="C19" s="130"/>
      <x:c r="D19" s="171"/>
      <x:c r="E19" s="171"/>
      <x:c r="F19" s="130"/>
      <x:c r="G19" s="130"/>
      <x:c r="H19" s="130"/>
      <x:c r="I19" s="130"/>
      <x:c r="J19" s="130"/>
      <x:c r="K19" s="130"/>
    </x:row>
    <x:row r="20">
      <x:c r="A20" s="130"/>
      <x:c r="B20" s="130"/>
      <x:c r="C20" s="130"/>
      <x:c r="D20" s="171"/>
      <x:c r="E20" s="171"/>
      <x:c r="F20" s="130"/>
      <x:c r="G20" s="130"/>
      <x:c r="H20" s="130"/>
      <x:c r="I20" s="130"/>
      <x:c r="J20" s="130"/>
      <x:c r="K20" s="130"/>
    </x:row>
    <x:row r="21">
      <x:c r="A21" s="130"/>
      <x:c r="B21" s="130"/>
      <x:c r="C21" s="130"/>
      <x:c r="D21" s="171"/>
      <x:c r="E21" s="171"/>
      <x:c r="F21" s="130"/>
      <x:c r="G21" s="130"/>
      <x:c r="H21" s="130"/>
      <x:c r="I21" s="130"/>
      <x:c r="J21" s="130"/>
      <x:c r="K21" s="130"/>
    </x:row>
    <x:row r="22" ht="18" customHeight="1">
      <x:c r="A22" s="136" t="str">
        <x:v>Comprar carta contemplada?</x:v>
      </x:c>
      <x:c r="B22" s="202" t="str">
        <x:v>Sim</x:v>
      </x:c>
      <x:c r="C22" s="137" t="str">
        <x:v>Compra da carta contemplada</x:v>
      </x:c>
      <x:c r="D22" s="173" t="str">
        <x:v>Se Sim, a estrategia 5 entra no Motor Caixa e no Resumo.</x:v>
      </x:c>
      <x:c r="E22" s="174" t="str">
        <x:v>Compra da carta contemplada</x:v>
      </x:c>
      <x:c r="F22" s="130"/>
      <x:c r="G22" s="130"/>
      <x:c r="H22" s="130"/>
      <x:c r="I22" s="130"/>
      <x:c r="J22" s="130"/>
      <x:c r="K22" s="130"/>
    </x:row>
    <x:row r="23">
      <x:c r="A23" s="132" t="str">
        <x:v>Mes de compra/transferencia</x:v>
      </x:c>
      <x:c r="B23" s="198" t="n">
        <x:v>1</x:v>
      </x:c>
      <x:c r="C23" s="132"/>
      <x:c r="D23" s="150" t="str">
        <x:v>Mes em que o cliente paga a carta e assume as parcelas restantes.</x:v>
      </x:c>
      <x:c r="E23" s="150"/>
      <x:c r="F23" s="130"/>
      <x:c r="G23" s="130"/>
      <x:c r="H23" s="130"/>
      <x:c r="I23" s="130"/>
      <x:c r="J23" s="130"/>
      <x:c r="K23" s="130"/>
    </x:row>
    <x:row r="24">
      <x:c r="A24" s="132" t="str">
        <x:v>Mes de uso do credito</x:v>
      </x:c>
      <x:c r="B24" s="198" t="n">
        <x:v>1</x:v>
      </x:c>
      <x:c r="C24" s="132"/>
      <x:c r="D24" s="150" t="str">
        <x:v>Mes em que o credito fica disponivel para compra do bem, sujeito a aprovacao da administradora.</x:v>
      </x:c>
      <x:c r="E24" s="150"/>
      <x:c r="F24" s="130"/>
      <x:c r="G24" s="130"/>
      <x:c r="H24" s="130"/>
      <x:c r="I24" s="130"/>
      <x:c r="J24" s="130"/>
      <x:c r="K24" s="130"/>
    </x:row>
    <x:row r="25">
      <x:c r="A25" s="132" t="str">
        <x:v>Credito bruto da carta</x:v>
      </x:c>
      <x:c r="B25" s="195" t="n">
        <x:v>200000</x:v>
      </x:c>
      <x:c r="C25" s="132"/>
      <x:c r="D25" s="150" t="str">
        <x:v>Credito bruto atualizado da carta contemplada comprada no mercado.</x:v>
      </x:c>
      <x:c r="E25" s="150"/>
      <x:c r="F25" s="130"/>
      <x:c r="G25" s="130"/>
      <x:c r="H25" s="130"/>
      <x:c r="I25" s="130"/>
      <x:c r="J25" s="130"/>
      <x:c r="K25" s="130"/>
    </x:row>
    <x:row r="26">
      <x:c r="A26" s="132" t="str">
        <x:v>Restricoes do credito</x:v>
      </x:c>
      <x:c r="B26" s="195" t="n">
        <x:v>0</x:v>
      </x:c>
      <x:c r="C26" s="132"/>
      <x:c r="D26" s="150" t="str">
        <x:v>Valor do credito que nao pode ser usado na compra, se houver restricao contratual.</x:v>
      </x:c>
      <x:c r="E26" s="150"/>
      <x:c r="F26" s="130"/>
      <x:c r="G26" s="130"/>
      <x:c r="H26" s="130"/>
      <x:c r="I26" s="130"/>
      <x:c r="J26" s="130"/>
      <x:c r="K26" s="130"/>
    </x:row>
    <x:row r="27">
      <x:c r="A27" s="132" t="str">
        <x:v>Credito liquido utilizavel</x:v>
      </x:c>
      <x:c r="B27" s="133" t="n">
        <x:f>MAX(0,B25-B26)</x:f>
        <x:v>200000</x:v>
      </x:c>
      <x:c r="C27" s="132"/>
      <x:c r="D27" s="150" t="str">
        <x:v>Credito efetivamente disponivel para aquisicao do bem.</x:v>
      </x:c>
      <x:c r="E27" s="150"/>
      <x:c r="F27" s="130"/>
      <x:c r="G27" s="130"/>
      <x:c r="H27" s="130"/>
      <x:c r="I27" s="130"/>
      <x:c r="J27" s="130"/>
      <x:c r="K27" s="130"/>
    </x:row>
    <x:row r="28">
      <x:c r="A28" s="132" t="str">
        <x:v>Preco pago pela carta</x:v>
      </x:c>
      <x:c r="B28" s="195" t="n">
        <x:v>45000</x:v>
      </x:c>
      <x:c r="C28" s="132"/>
      <x:c r="D28" s="150" t="str">
        <x:v>Preco efetivo pago ao vendedor da carta, incluindo eventual historico/agio negociado.</x:v>
      </x:c>
      <x:c r="E28" s="150"/>
      <x:c r="F28" s="130"/>
      <x:c r="G28" s="130"/>
      <x:c r="H28" s="130"/>
      <x:c r="I28" s="130"/>
      <x:c r="J28" s="130"/>
      <x:c r="K28" s="130"/>
    </x:row>
    <x:row r="29">
      <x:c r="A29" s="132" t="str">
        <x:v>Agio/desagio inicial vs credito</x:v>
      </x:c>
      <x:c r="B29" s="133" t="n">
        <x:f>B28-B27</x:f>
        <x:v>-155000</x:v>
      </x:c>
      <x:c r="C29" s="132"/>
      <x:c r="D29" s="150" t="str">
        <x:v>Diagnostico simples: preco pago menos credito liquido utilizavel. Nao substitui o custo economico completo.</x:v>
      </x:c>
      <x:c r="E29" s="150"/>
      <x:c r="F29" s="130"/>
      <x:c r="G29" s="130"/>
      <x:c r="H29" s="130"/>
      <x:c r="I29" s="130"/>
      <x:c r="J29" s="130"/>
      <x:c r="K29" s="130"/>
    </x:row>
    <x:row r="30">
      <x:c r="A30" s="132" t="str">
        <x:v>Taxa de transferencia</x:v>
      </x:c>
      <x:c r="B30" s="195" t="n">
        <x:v>2000</x:v>
      </x:c>
      <x:c r="C30" s="132"/>
      <x:c r="D30" s="150" t="str">
        <x:v>Taxas de cessao, transferencia e custos administrativos.</x:v>
      </x:c>
      <x:c r="E30" s="150"/>
      <x:c r="F30" s="130"/>
      <x:c r="G30" s="130"/>
      <x:c r="H30" s="130"/>
      <x:c r="I30" s="130"/>
      <x:c r="J30" s="130"/>
      <x:c r="K30" s="130"/>
    </x:row>
    <x:row r="31">
      <x:c r="A31" s="132" t="str">
        <x:v>Parcelas restantes</x:v>
      </x:c>
      <x:c r="B31" s="198" t="n">
        <x:v>180</x:v>
      </x:c>
      <x:c r="C31" s="132"/>
      <x:c r="D31" s="150" t="str">
        <x:v>Quantidade de parcelas que o comprador ainda assumira no grupo.</x:v>
      </x:c>
      <x:c r="E31" s="150"/>
      <x:c r="F31" s="130"/>
      <x:c r="G31" s="130"/>
      <x:c r="H31" s="130"/>
      <x:c r="I31" s="130"/>
      <x:c r="J31" s="130"/>
      <x:c r="K31" s="130"/>
    </x:row>
    <x:row r="32">
      <x:c r="A32" s="132" t="str">
        <x:v>Parcela atual</x:v>
      </x:c>
      <x:c r="B32" s="195" t="n">
        <x:v>1200</x:v>
      </x:c>
      <x:c r="C32" s="132"/>
      <x:c r="D32" s="150" t="str">
        <x:v>Parcela vigente da carta no mes de compra.</x:v>
      </x:c>
      <x:c r="E32" s="150"/>
      <x:c r="F32" s="130"/>
      <x:c r="G32" s="130"/>
      <x:c r="H32" s="130"/>
      <x:c r="I32" s="130"/>
      <x:c r="J32" s="130"/>
      <x:c r="K32" s="130"/>
    </x:row>
    <x:row r="33">
      <x:c r="A33" s="132" t="str">
        <x:v>Reajuste anual da parcela</x:v>
      </x:c>
      <x:c r="B33" s="196" t="n">
        <x:v>0.06</x:v>
      </x:c>
      <x:c r="C33" s="132"/>
      <x:c r="D33" s="150" t="str">
        <x:v>Reajuste anual por degrau aplicado as parcelas restantes.</x:v>
      </x:c>
      <x:c r="E33" s="150"/>
      <x:c r="F33" s="130"/>
      <x:c r="G33" s="130"/>
      <x:c r="H33" s="130"/>
      <x:c r="I33" s="130"/>
      <x:c r="J33" s="130"/>
      <x:c r="K33" s="130"/>
    </x:row>
    <x:row r="34">
      <x:c r="A34" s="132" t="str">
        <x:v>Credito excedente desconsiderado</x:v>
      </x:c>
      <x:c r="B34" s="133" t="n">
        <x:f>MAX(0,B27-B4)</x:f>
        <x:v>0</x:v>
      </x:c>
      <x:c r="C34" s="132"/>
      <x:c r="D34" s="150" t="str">
        <x:v>Tratamento conservador: o excedente nao vira caixa, investimento ou patrimonio financeiro.</x:v>
      </x:c>
      <x:c r="E34" s="150"/>
      <x:c r="F34" s="130"/>
      <x:c r="G34" s="130"/>
      <x:c r="H34" s="130"/>
      <x:c r="I34" s="130"/>
      <x:c r="J34" s="130"/>
      <x:c r="K34" s="130"/>
    </x:row>
    <x:row r="35">
      <x:c r="A35" s="132" t="str">
        <x:v>Complemento necessario</x:v>
      </x:c>
      <x:c r="B35" s="133" t="n">
        <x:f>MAX(0,B4-B27)</x:f>
        <x:v>0</x:v>
      </x:c>
      <x:c r="C35" s="132"/>
      <x:c r="D35" s="150" t="str">
        <x:v>Recursos proprios necessarios se o credito liquido nao cobrir o valor do bem.</x:v>
      </x:c>
      <x:c r="E35" s="150"/>
      <x:c r="F35" s="130"/>
      <x:c r="G35" s="130"/>
      <x:c r="H35" s="130"/>
      <x:c r="I35" s="130"/>
      <x:c r="J35" s="130"/>
      <x:c r="K35" s="130"/>
    </x:row>
    <x:row r="36">
      <x:c r="A36" s="132" t="str">
        <x:v>Credito excedente no caixa</x:v>
      </x:c>
      <x:c r="B36" s="133" t="n">
        <x:f>0</x:f>
        <x:v>0</x:v>
      </x:c>
      <x:c r="C36" s="132"/>
      <x:c r="D36" s="150" t="str">
        <x:v>O modelo nunca libera credito excedente como caixa investivel.</x:v>
      </x:c>
      <x:c r="E36" s="150"/>
      <x:c r="F36" s="130"/>
      <x:c r="G36" s="130"/>
      <x:c r="H36" s="130"/>
      <x:c r="I36" s="130"/>
      <x:c r="J36" s="130"/>
      <x:c r="K36" s="130"/>
    </x:row>
    <x:row r="37">
      <x:c r="A37" s="132" t="str">
        <x:v>Custo inicial total da carta</x:v>
      </x:c>
      <x:c r="B37" s="133" t="n">
        <x:f>MAX(0,B28+B30+B35)</x:f>
        <x:v>47000</x:v>
      </x:c>
      <x:c r="C37" s="132"/>
      <x:c r="D37" s="150" t="str">
        <x:v>Preco pago pela carta + transferencia + complemento necessario.</x:v>
      </x:c>
      <x:c r="E37" s="150"/>
      <x:c r="F37" s="130"/>
      <x:c r="G37" s="130"/>
      <x:c r="H37" s="130"/>
      <x:c r="I37" s="130"/>
      <x:c r="J37" s="130"/>
      <x:c r="K37" s="130"/>
    </x:row>
    <x:row r="38">
      <x:c r="A38" s="132" t="str">
        <x:v>VP parcelas restantes</x:v>
      </x:c>
      <x:c r="B38" s="133" t="n">
        <x:f>SUM($K$55:$K$1013)</x:f>
        <x:v>142186.5433281194</x:v>
      </x:c>
      <x:c r="C38" s="132"/>
      <x:c r="D38" s="150" t="str">
        <x:v>Valor presente das parcelas restantes pela taxa de oportunidade mensal.</x:v>
      </x:c>
      <x:c r="E38" s="150"/>
      <x:c r="F38" s="130"/>
      <x:c r="G38" s="130"/>
      <x:c r="H38" s="130"/>
      <x:c r="I38" s="130"/>
      <x:c r="J38" s="130"/>
      <x:c r="K38" s="130"/>
    </x:row>
    <x:row r="39">
      <x:c r="A39" s="132" t="str">
        <x:v>Custo economico da carta</x:v>
      </x:c>
      <x:c r="B39" s="133" t="n">
        <x:f>B28+B30+B38-B27</x:f>
        <x:v>-10813.456671880587</x:v>
      </x:c>
      <x:c r="C39" s="132"/>
      <x:c r="D39" s="150" t="str">
        <x:v>Preco + transferencia + VP das parcelas restantes - credito liquido utilizavel.</x:v>
      </x:c>
      <x:c r="E39" s="150"/>
      <x:c r="F39" s="130"/>
      <x:c r="G39" s="130"/>
      <x:c r="H39" s="130"/>
      <x:c r="I39" s="130"/>
      <x:c r="J39" s="130"/>
      <x:c r="K39" s="130"/>
    </x:row>
    <x:row r="40">
      <x:c r="A40" s="132" t="str">
        <x:v>Obrigacao remanescente no horizonte</x:v>
      </x:c>
      <x:c r="B40" s="133" t="n">
        <x:f>INDEX($I$55:$I$1013,MAX(1,MIN($B$7,480)))</x:f>
        <x:v>0</x:v>
      </x:c>
      <x:c r="C40" s="132"/>
      <x:c r="D40" s="150" t="str">
        <x:v>Obrigacao de parcelas futuras considerada como divida no patrimonio da estrategia 5.</x:v>
      </x:c>
      <x:c r="E40" s="150"/>
      <x:c r="F40" s="130"/>
      <x:c r="G40" s="130"/>
      <x:c r="H40" s="130"/>
      <x:c r="I40" s="130"/>
      <x:c r="J40" s="130"/>
      <x:c r="K40" s="130"/>
    </x:row>
    <x:row r="41">
      <x:c r="A41" s="132" t="str">
        <x:v>Parcela inicial da carta</x:v>
      </x:c>
      <x:c r="B41" s="133" t="n">
        <x:f>B32</x:f>
        <x:v>1200</x:v>
      </x:c>
      <x:c r="C41" s="132"/>
      <x:c r="D41" s="150" t="str">
        <x:v>Primeira parcela assumida apos a transferencia.</x:v>
      </x:c>
      <x:c r="E41" s="150"/>
      <x:c r="F41" s="130"/>
      <x:c r="G41" s="130"/>
      <x:c r="H41" s="130"/>
      <x:c r="I41" s="130"/>
      <x:c r="J41" s="130"/>
      <x:c r="K41" s="130"/>
    </x:row>
    <x:row r="42">
      <x:c r="A42" s="132" t="str">
        <x:v>Credito liquido cobre bem?</x:v>
      </x:c>
      <x:c r="B42" s="133" t="n">
        <x:f>B27+B35-B4</x:f>
        <x:v>0</x:v>
      </x:c>
      <x:c r="C42" s="132"/>
      <x:c r="D42" s="150" t="str">
        <x:v>Deve ser zero ou positivo quando o complemento foi calculado corretamente.</x:v>
      </x:c>
      <x:c r="E42" s="150"/>
      <x:c r="F42" s="130"/>
      <x:c r="G42" s="130"/>
      <x:c r="H42" s="130"/>
      <x:c r="I42" s="130"/>
      <x:c r="J42" s="130"/>
      <x:c r="K42" s="130"/>
    </x:row>
    <x:row r="43">
      <x:c r="A43" s="132" t="str">
        <x:v>Caixa proprio usado na compra</x:v>
      </x:c>
      <x:c r="B43" s="133" t="n">
        <x:f>B37</x:f>
        <x:v>47000</x:v>
      </x:c>
      <x:c r="C43" s="132"/>
      <x:c r="D43" s="150" t="str">
        <x:v>Desembolso inicial liquido usado pelo Motor Caixa.</x:v>
      </x:c>
      <x:c r="E43" s="150"/>
      <x:c r="F43" s="130"/>
      <x:c r="G43" s="130"/>
      <x:c r="H43" s="130"/>
      <x:c r="I43" s="130"/>
      <x:c r="J43" s="130"/>
      <x:c r="K43" s="130"/>
    </x:row>
    <x:row r="44">
      <x:c r="A44" s="132" t="str">
        <x:v>Mes efetivo de aquisicao</x:v>
      </x:c>
      <x:c r="B44" s="135" t="n">
        <x:f>MAX(B23,B24)</x:f>
        <x:v>1</x:v>
      </x:c>
      <x:c r="C44" s="132"/>
      <x:c r="D44" s="150" t="str">
        <x:v>Mes a partir do qual o bem pode entrar no patrimonio, antes da regra de disponibilidade/chaves.</x:v>
      </x:c>
      <x:c r="E44" s="150"/>
      <x:c r="F44" s="130"/>
      <x:c r="G44" s="130"/>
      <x:c r="H44" s="130"/>
      <x:c r="I44" s="130"/>
      <x:c r="J44" s="130"/>
      <x:c r="K44" s="130"/>
    </x:row>
    <x:row r="45">
      <x:c r="A45" s="130"/>
      <x:c r="B45" s="130"/>
      <x:c r="C45" s="130"/>
      <x:c r="D45" s="130"/>
      <x:c r="E45" s="130"/>
      <x:c r="F45" s="130"/>
      <x:c r="G45" s="130"/>
      <x:c r="H45" s="130"/>
      <x:c r="I45" s="130"/>
      <x:c r="J45" s="130"/>
      <x:c r="K45" s="130"/>
    </x:row>
    <x:row r="46">
      <x:c r="A46" s="130"/>
      <x:c r="B46" s="130"/>
      <x:c r="C46" s="130"/>
      <x:c r="D46" s="130"/>
      <x:c r="E46" s="130"/>
      <x:c r="F46" s="130"/>
      <x:c r="G46" s="130"/>
      <x:c r="H46" s="130"/>
      <x:c r="I46" s="130"/>
      <x:c r="J46" s="130"/>
      <x:c r="K46" s="130"/>
    </x:row>
    <x:row r="47">
      <x:c r="A47" s="130"/>
      <x:c r="B47" s="130"/>
      <x:c r="C47" s="130"/>
      <x:c r="D47" s="130"/>
      <x:c r="E47" s="130"/>
      <x:c r="F47" s="130"/>
      <x:c r="G47" s="130"/>
      <x:c r="H47" s="130"/>
      <x:c r="I47" s="130"/>
      <x:c r="J47" s="130"/>
      <x:c r="K47" s="130"/>
    </x:row>
    <x:row r="48">
      <x:c r="A48" s="130"/>
      <x:c r="B48" s="130"/>
      <x:c r="C48" s="130"/>
      <x:c r="D48" s="130"/>
      <x:c r="E48" s="130"/>
      <x:c r="F48" s="130"/>
      <x:c r="G48" s="130"/>
      <x:c r="H48" s="130"/>
      <x:c r="I48" s="130"/>
      <x:c r="J48" s="130"/>
      <x:c r="K48" s="130"/>
    </x:row>
    <x:row r="49">
      <x:c r="A49" s="130"/>
      <x:c r="B49" s="130"/>
      <x:c r="C49" s="130"/>
      <x:c r="D49" s="130"/>
      <x:c r="E49" s="130"/>
      <x:c r="F49" s="130"/>
      <x:c r="G49" s="130"/>
      <x:c r="H49" s="130"/>
      <x:c r="I49" s="130"/>
      <x:c r="J49" s="130"/>
      <x:c r="K49" s="130"/>
    </x:row>
    <x:row r="50">
      <x:c r="A50" s="130"/>
      <x:c r="B50" s="130"/>
      <x:c r="C50" s="130"/>
      <x:c r="D50" s="130"/>
      <x:c r="E50" s="130"/>
      <x:c r="F50" s="130"/>
      <x:c r="G50" s="130"/>
      <x:c r="H50" s="130"/>
      <x:c r="I50" s="130"/>
      <x:c r="J50" s="130"/>
      <x:c r="K50" s="130"/>
    </x:row>
    <x:row r="51">
      <x:c r="A51" s="130"/>
      <x:c r="B51" s="130"/>
      <x:c r="C51" s="130"/>
      <x:c r="D51" s="130"/>
      <x:c r="E51" s="130"/>
      <x:c r="F51" s="130"/>
      <x:c r="G51" s="130"/>
      <x:c r="H51" s="130"/>
      <x:c r="I51" s="130"/>
      <x:c r="J51" s="130"/>
      <x:c r="K51" s="130"/>
    </x:row>
    <x:row r="52">
      <x:c r="A52" s="130"/>
      <x:c r="B52" s="130"/>
      <x:c r="C52" s="130"/>
      <x:c r="D52" s="130"/>
      <x:c r="E52" s="130"/>
      <x:c r="F52" s="130"/>
      <x:c r="G52" s="130"/>
      <x:c r="H52" s="130"/>
      <x:c r="I52" s="130"/>
      <x:c r="J52" s="130"/>
      <x:c r="K52" s="130"/>
    </x:row>
    <x:row r="53">
      <x:c r="A53" s="130"/>
      <x:c r="B53" s="130"/>
      <x:c r="C53" s="130"/>
      <x:c r="D53" s="130"/>
      <x:c r="E53" s="130"/>
      <x:c r="F53" s="130"/>
      <x:c r="G53" s="130"/>
      <x:c r="H53" s="130"/>
      <x:c r="I53" s="130"/>
      <x:c r="J53" s="130"/>
      <x:c r="K53" s="130"/>
    </x:row>
    <x:row r="54" ht="25.5" customHeight="1">
      <x:c r="A54" s="192" t="str">
        <x:v>Mes</x:v>
      </x:c>
      <x:c r="B54" s="192" t="str">
        <x:v>Data</x:v>
      </x:c>
      <x:c r="C54" s="192" t="str">
        <x:v>Parcela carta</x:v>
      </x:c>
      <x:c r="D54" s="192" t="str">
        <x:v>Fator reajuste</x:v>
      </x:c>
      <x:c r="E54" s="192" t="str">
        <x:v>Custo inicial</x:v>
      </x:c>
      <x:c r="F54" s="192" t="str">
        <x:v>Credito liquido</x:v>
      </x:c>
      <x:c r="G54" s="192" t="str">
        <x:v>Complemento</x:v>
      </x:c>
      <x:c r="H54" s="192" t="str">
        <x:v>Credito excedente no caixa</x:v>
      </x:c>
      <x:c r="I54" s="192" t="str">
        <x:v>Obrigacao remanescente</x:v>
      </x:c>
      <x:c r="J54" s="192" t="str">
        <x:v>Status</x:v>
      </x:c>
      <x:c r="K54" s="192" t="str">
        <x:v>VP parcela</x:v>
      </x:c>
    </x:row>
    <x:row r="55">
      <x:c r="A55" s="175" t="n">
        <x:v>1</x:v>
      </x:c>
      <x:c r="B55" s="176" t="n">
        <x:f>EDATE($B$5,A55-1)</x:f>
        <x:v>46539</x:v>
      </x:c>
      <x:c r="C55" s="143" t="n">
        <x:f>IF(AND($B$22="Sim",A55&gt;=$B$23,A55&lt;$B$23+$B$31),$B$32*D55,0)</x:f>
        <x:v>1200</x:v>
      </x:c>
      <x:c r="D55" s="177" t="n">
        <x:f>IF(A55&lt;$B$23,1,(1+$B$33)^INT((A55-$B$23)/12))</x:f>
        <x:v>1</x:v>
      </x:c>
      <x:c r="E55" s="143" t="n">
        <x:f>IF(AND($B$22="Sim",A55=$B$23),$B$37,0)</x:f>
        <x:v>47000</x:v>
      </x:c>
      <x:c r="F55" s="143" t="n">
        <x:f>IF(AND($B$22="Sim",A55=$B$24),$B$27,0)</x:f>
        <x:v>200000</x:v>
      </x:c>
      <x:c r="G55" s="143" t="n">
        <x:f>IF(AND($B$22="Sim",A55=$B$23),$B$35,0)</x:f>
        <x:v>0</x:v>
      </x:c>
      <x:c r="H55" s="143" t="n">
        <x:f>IF(AND($B$22="Sim",A55=$B$23),$B$36,0)</x:f>
        <x:v>0</x:v>
      </x:c>
      <x:c r="I55" s="143" t="n">
        <x:f>IF(OR($B$22&lt;&gt;"Sim",A55&gt;=$B$23+$B$31-1),0,(I56+C56)/(1+$B$9))</x:f>
        <x:v>142335.72199584424</x:v>
      </x:c>
      <x:c r="J55" s="178" t="str">
        <x:f>IF($B$22&lt;&gt;"Sim","Desativada",IF(A55&lt;$B$23,"Antes da compra",IF(A55&lt;$B$23+$B$31,"Parcelas restantes","Encerrado")))</x:f>
        <x:v>Parcelas restantes</x:v>
      </x:c>
      <x:c r="K55" s="143" t="n">
        <x:f>IF(C55&gt;0,C55/(1+$B$9)^A55,0)</x:f>
        <x:v>1188.7204775316038</x:v>
      </x:c>
    </x:row>
    <x:row r="56">
      <x:c r="A56" s="142" t="n">
        <x:v>2</x:v>
      </x:c>
      <x:c r="B56" s="179" t="n">
        <x:f>EDATE($B$5,A56-1)</x:f>
        <x:v>46569</x:v>
      </x:c>
      <x:c r="C56" s="141" t="n">
        <x:f>IF(AND($B$22="Sim",A56&gt;=$B$23,A56&lt;$B$23+$B$31),$B$32*D56,0)</x:f>
        <x:v>1200</x:v>
      </x:c>
      <x:c r="D56" s="180" t="n">
        <x:f>IF(A56&lt;$B$23,1,(1+$B$33)^INT((A56-$B$23)/12))</x:f>
        <x:v>1</x:v>
      </x:c>
      <x:c r="E56" s="141" t="n">
        <x:f>IF(AND($B$22="Sim",A56=$B$23),$B$37,0)</x:f>
        <x:v>0</x:v>
      </x:c>
      <x:c r="F56" s="141" t="n">
        <x:f>IF(AND($B$22="Sim",A56=$B$24),$B$27,0)</x:f>
        <x:v>0</x:v>
      </x:c>
      <x:c r="G56" s="141" t="n">
        <x:f>IF(AND($B$22="Sim",A56=$B$23),$B$35,0)</x:f>
        <x:v>0</x:v>
      </x:c>
      <x:c r="H56" s="141" t="n">
        <x:f>IF(AND($B$22="Sim",A56=$B$23),$B$36,0)</x:f>
        <x:v>0</x:v>
      </x:c>
      <x:c r="I56" s="141" t="n">
        <x:f>IF(OR($B$22&lt;&gt;"Sim",A56&gt;=$B$23+$B$31-1),0,(I57+C57)/(1+$B$9))</x:f>
        <x:v>142486.3161890572</x:v>
      </x:c>
      <x:c r="J56" s="140" t="str">
        <x:f>IF($B$22&lt;&gt;"Sim","Desativada",IF(A56&lt;$B$23,"Antes da compra",IF(A56&lt;$B$23+$B$31,"Parcelas restantes","Encerrado")))</x:f>
        <x:v>Parcelas restantes</x:v>
      </x:c>
      <x:c r="K56" s="141" t="n">
        <x:f>IF(C56&gt;0,C56/(1+$B$9)^A56,0)</x:f>
        <x:v>1177.5469780858036</x:v>
      </x:c>
    </x:row>
    <x:row r="57">
      <x:c r="A57" s="142" t="n">
        <x:v>3</x:v>
      </x:c>
      <x:c r="B57" s="179" t="n">
        <x:f>EDATE($B$5,A57-1)</x:f>
        <x:v>46600</x:v>
      </x:c>
      <x:c r="C57" s="141" t="n">
        <x:f>IF(AND($B$22="Sim",A57&gt;=$B$23,A57&lt;$B$23+$B$31),$B$32*D57,0)</x:f>
        <x:v>1200</x:v>
      </x:c>
      <x:c r="D57" s="180" t="n">
        <x:f>IF(A57&lt;$B$23,1,(1+$B$33)^INT((A57-$B$23)/12))</x:f>
        <x:v>1</x:v>
      </x:c>
      <x:c r="E57" s="141" t="n">
        <x:f>IF(AND($B$22="Sim",A57=$B$23),$B$37,0)</x:f>
        <x:v>0</x:v>
      </x:c>
      <x:c r="F57" s="141" t="n">
        <x:f>IF(AND($B$22="Sim",A57=$B$24),$B$27,0)</x:f>
        <x:v>0</x:v>
      </x:c>
      <x:c r="G57" s="141" t="n">
        <x:f>IF(AND($B$22="Sim",A57=$B$23),$B$35,0)</x:f>
        <x:v>0</x:v>
      </x:c>
      <x:c r="H57" s="141" t="n">
        <x:f>IF(AND($B$22="Sim",A57=$B$23),$B$36,0)</x:f>
        <x:v>0</x:v>
      </x:c>
      <x:c r="I57" s="141" t="n">
        <x:f>IF(OR($B$22&lt;&gt;"Sim",A57&gt;=$B$23+$B$31-1),0,(I58+C58)/(1+$B$9))</x:f>
        <x:v>142638.33933938667</x:v>
      </x:c>
      <x:c r="J57" s="140" t="str">
        <x:f>IF($B$22&lt;&gt;"Sim","Desativada",IF(A57&lt;$B$23,"Antes da compra",IF(A57&lt;$B$23+$B$31,"Parcelas restantes","Encerrado")))</x:f>
        <x:v>Parcelas restantes</x:v>
      </x:c>
      <x:c r="K57" s="141" t="n">
        <x:f>IF(C57&gt;0,C57/(1+$B$9)^A57,0)</x:f>
        <x:v>1166.4785050883781</x:v>
      </x:c>
    </x:row>
    <x:row r="58">
      <x:c r="A58" s="142" t="n">
        <x:v>4</x:v>
      </x:c>
      <x:c r="B58" s="179" t="n">
        <x:f>EDATE($B$5,A58-1)</x:f>
        <x:v>46631</x:v>
      </x:c>
      <x:c r="C58" s="141" t="n">
        <x:f>IF(AND($B$22="Sim",A58&gt;=$B$23,A58&lt;$B$23+$B$31),$B$32*D58,0)</x:f>
        <x:v>1200</x:v>
      </x:c>
      <x:c r="D58" s="180" t="n">
        <x:f>IF(A58&lt;$B$23,1,(1+$B$33)^INT((A58-$B$23)/12))</x:f>
        <x:v>1</x:v>
      </x:c>
      <x:c r="E58" s="141" t="n">
        <x:f>IF(AND($B$22="Sim",A58=$B$23),$B$37,0)</x:f>
        <x:v>0</x:v>
      </x:c>
      <x:c r="F58" s="141" t="n">
        <x:f>IF(AND($B$22="Sim",A58=$B$24),$B$27,0)</x:f>
        <x:v>0</x:v>
      </x:c>
      <x:c r="G58" s="141" t="n">
        <x:f>IF(AND($B$22="Sim",A58=$B$23),$B$35,0)</x:f>
        <x:v>0</x:v>
      </x:c>
      <x:c r="H58" s="141" t="n">
        <x:f>IF(AND($B$22="Sim",A58=$B$23),$B$36,0)</x:f>
        <x:v>0</x:v>
      </x:c>
      <x:c r="I58" s="141" t="n">
        <x:f>IF(OR($B$22&lt;&gt;"Sim",A58&gt;=$B$23+$B$31-1),0,(I59+C59)/(1+$B$9))</x:f>
        <x:v>142791.8050059109</x:v>
      </x:c>
      <x:c r="J58" s="140" t="str">
        <x:f>IF($B$22&lt;&gt;"Sim","Desativada",IF(A58&lt;$B$23,"Antes da compra",IF(A58&lt;$B$23+$B$31,"Parcelas restantes","Encerrado")))</x:f>
        <x:v>Parcelas restantes</x:v>
      </x:c>
      <x:c r="K58" s="141" t="n">
        <x:f>IF(C58&gt;0,C58/(1+$B$9)^A58,0)</x:f>
        <x:v>1155.514071332507</x:v>
      </x:c>
    </x:row>
    <x:row r="59">
      <x:c r="A59" s="142" t="n">
        <x:v>5</x:v>
      </x:c>
      <x:c r="B59" s="179" t="n">
        <x:f>EDATE($B$5,A59-1)</x:f>
        <x:v>46661</x:v>
      </x:c>
      <x:c r="C59" s="141" t="n">
        <x:f>IF(AND($B$22="Sim",A59&gt;=$B$23,A59&lt;$B$23+$B$31),$B$32*D59,0)</x:f>
        <x:v>1200</x:v>
      </x:c>
      <x:c r="D59" s="180" t="n">
        <x:f>IF(A59&lt;$B$23,1,(1+$B$33)^INT((A59-$B$23)/12))</x:f>
        <x:v>1</x:v>
      </x:c>
      <x:c r="E59" s="141" t="n">
        <x:f>IF(AND($B$22="Sim",A59=$B$23),$B$37,0)</x:f>
        <x:v>0</x:v>
      </x:c>
      <x:c r="F59" s="141" t="n">
        <x:f>IF(AND($B$22="Sim",A59=$B$24),$B$27,0)</x:f>
        <x:v>0</x:v>
      </x:c>
      <x:c r="G59" s="141" t="n">
        <x:f>IF(AND($B$22="Sim",A59=$B$23),$B$35,0)</x:f>
        <x:v>0</x:v>
      </x:c>
      <x:c r="H59" s="141" t="n">
        <x:f>IF(AND($B$22="Sim",A59=$B$23),$B$36,0)</x:f>
        <x:v>0</x:v>
      </x:c>
      <x:c r="I59" s="141" t="n">
        <x:f>IF(OR($B$22&lt;&gt;"Sim",A59&gt;=$B$23+$B$31-1),0,(I60+C60)/(1+$B$9))</x:f>
        <x:v>142946.72687636735</x:v>
      </x:c>
      <x:c r="J59" s="140" t="str">
        <x:f>IF($B$22&lt;&gt;"Sim","Desativada",IF(A59&lt;$B$23,"Antes da compra",IF(A59&lt;$B$23+$B$31,"Parcelas restantes","Encerrado")))</x:f>
        <x:v>Parcelas restantes</x:v>
      </x:c>
      <x:c r="K59" s="141" t="n">
        <x:f>IF(C59&gt;0,C59/(1+$B$9)^A59,0)</x:f>
        <x:v>1144.6526988907215</x:v>
      </x:c>
    </x:row>
    <x:row r="60">
      <x:c r="A60" s="142" t="n">
        <x:v>6</x:v>
      </x:c>
      <x:c r="B60" s="179" t="n">
        <x:f>EDATE($B$5,A60-1)</x:f>
        <x:v>46692</x:v>
      </x:c>
      <x:c r="C60" s="141" t="n">
        <x:f>IF(AND($B$22="Sim",A60&gt;=$B$23,A60&lt;$B$23+$B$31),$B$32*D60,0)</x:f>
        <x:v>1200</x:v>
      </x:c>
      <x:c r="D60" s="180" t="n">
        <x:f>IF(A60&lt;$B$23,1,(1+$B$33)^INT((A60-$B$23)/12))</x:f>
        <x:v>1</x:v>
      </x:c>
      <x:c r="E60" s="141" t="n">
        <x:f>IF(AND($B$22="Sim",A60=$B$23),$B$37,0)</x:f>
        <x:v>0</x:v>
      </x:c>
      <x:c r="F60" s="141" t="n">
        <x:f>IF(AND($B$22="Sim",A60=$B$24),$B$27,0)</x:f>
        <x:v>0</x:v>
      </x:c>
      <x:c r="G60" s="141" t="n">
        <x:f>IF(AND($B$22="Sim",A60=$B$23),$B$35,0)</x:f>
        <x:v>0</x:v>
      </x:c>
      <x:c r="H60" s="141" t="n">
        <x:f>IF(AND($B$22="Sim",A60=$B$23),$B$36,0)</x:f>
        <x:v>0</x:v>
      </x:c>
      <x:c r="I60" s="141" t="n">
        <x:f>IF(OR($B$22&lt;&gt;"Sim",A60&gt;=$B$23+$B$31-1),0,(I61+C61)/(1+$B$9))</x:f>
        <x:v>143103.1187683736</x:v>
      </x:c>
      <x:c r="J60" s="140" t="str">
        <x:f>IF($B$22&lt;&gt;"Sim","Desativada",IF(A60&lt;$B$23,"Antes da compra",IF(A60&lt;$B$23+$B$31,"Parcelas restantes","Encerrado")))</x:f>
        <x:v>Parcelas restantes</x:v>
      </x:c>
      <x:c r="K60" s="141" t="n">
        <x:f>IF(C60&gt;0,C60/(1+$B$9)^A60,0)</x:f>
        <x:v>1133.8934190276811</x:v>
      </x:c>
    </x:row>
    <x:row r="61">
      <x:c r="A61" s="142" t="n">
        <x:v>7</x:v>
      </x:c>
      <x:c r="B61" s="179" t="n">
        <x:f>EDATE($B$5,A61-1)</x:f>
        <x:v>46722</x:v>
      </x:c>
      <x:c r="C61" s="141" t="n">
        <x:f>IF(AND($B$22="Sim",A61&gt;=$B$23,A61&lt;$B$23+$B$31),$B$32*D61,0)</x:f>
        <x:v>1200</x:v>
      </x:c>
      <x:c r="D61" s="180" t="n">
        <x:f>IF(A61&lt;$B$23,1,(1+$B$33)^INT((A61-$B$23)/12))</x:f>
        <x:v>1</x:v>
      </x:c>
      <x:c r="E61" s="141" t="n">
        <x:f>IF(AND($B$22="Sim",A61=$B$23),$B$37,0)</x:f>
        <x:v>0</x:v>
      </x:c>
      <x:c r="F61" s="141" t="n">
        <x:f>IF(AND($B$22="Sim",A61=$B$24),$B$27,0)</x:f>
        <x:v>0</x:v>
      </x:c>
      <x:c r="G61" s="141" t="n">
        <x:f>IF(AND($B$22="Sim",A61=$B$23),$B$35,0)</x:f>
        <x:v>0</x:v>
      </x:c>
      <x:c r="H61" s="141" t="n">
        <x:f>IF(AND($B$22="Sim",A61=$B$23),$B$36,0)</x:f>
        <x:v>0</x:v>
      </x:c>
      <x:c r="I61" s="141" t="n">
        <x:f>IF(OR($B$22&lt;&gt;"Sim",A61&gt;=$B$23+$B$31-1),0,(I62+C62)/(1+$B$9))</x:f>
        <x:v>143260.99463065973</x:v>
      </x:c>
      <x:c r="J61" s="140" t="str">
        <x:f>IF($B$22&lt;&gt;"Sim","Desativada",IF(A61&lt;$B$23,"Antes da compra",IF(A61&lt;$B$23+$B$31,"Parcelas restantes","Encerrado")))</x:f>
        <x:v>Parcelas restantes</x:v>
      </x:c>
      <x:c r="K61" s="141" t="n">
        <x:f>IF(C61&gt;0,C61/(1+$B$9)^A61,0)</x:f>
        <x:v>1123.2352721137736</x:v>
      </x:c>
    </x:row>
    <x:row r="62">
      <x:c r="A62" s="142" t="n">
        <x:v>8</x:v>
      </x:c>
      <x:c r="B62" s="179" t="n">
        <x:f>EDATE($B$5,A62-1)</x:f>
        <x:v>46753</x:v>
      </x:c>
      <x:c r="C62" s="141" t="n">
        <x:f>IF(AND($B$22="Sim",A62&gt;=$B$23,A62&lt;$B$23+$B$31),$B$32*D62,0)</x:f>
        <x:v>1200</x:v>
      </x:c>
      <x:c r="D62" s="180" t="n">
        <x:f>IF(A62&lt;$B$23,1,(1+$B$33)^INT((A62-$B$23)/12))</x:f>
        <x:v>1</x:v>
      </x:c>
      <x:c r="E62" s="141" t="n">
        <x:f>IF(AND($B$22="Sim",A62=$B$23),$B$37,0)</x:f>
        <x:v>0</x:v>
      </x:c>
      <x:c r="F62" s="141" t="n">
        <x:f>IF(AND($B$22="Sim",A62=$B$24),$B$27,0)</x:f>
        <x:v>0</x:v>
      </x:c>
      <x:c r="G62" s="141" t="n">
        <x:f>IF(AND($B$22="Sim",A62=$B$23),$B$35,0)</x:f>
        <x:v>0</x:v>
      </x:c>
      <x:c r="H62" s="141" t="n">
        <x:f>IF(AND($B$22="Sim",A62=$B$23),$B$36,0)</x:f>
        <x:v>0</x:v>
      </x:c>
      <x:c r="I62" s="141" t="n">
        <x:f>IF(OR($B$22&lt;&gt;"Sim",A62&gt;=$B$23+$B$31-1),0,(I63+C63)/(1+$B$9))</x:f>
        <x:v>143420.36854431249</x:v>
      </x:c>
      <x:c r="J62" s="140" t="str">
        <x:f>IF($B$22&lt;&gt;"Sim","Desativada",IF(A62&lt;$B$23,"Antes da compra",IF(A62&lt;$B$23+$B$31,"Parcelas restantes","Encerrado")))</x:f>
        <x:v>Parcelas restantes</x:v>
      </x:c>
      <x:c r="K62" s="141" t="n">
        <x:f>IF(C62&gt;0,C62/(1+$B$9)^A62,0)</x:f>
        <x:v>1112.6773075395215</x:v>
      </x:c>
    </x:row>
    <x:row r="63">
      <x:c r="A63" s="142" t="n">
        <x:v>9</x:v>
      </x:c>
      <x:c r="B63" s="179" t="n">
        <x:f>EDATE($B$5,A63-1)</x:f>
        <x:v>46784</x:v>
      </x:c>
      <x:c r="C63" s="141" t="n">
        <x:f>IF(AND($B$22="Sim",A63&gt;=$B$23,A63&lt;$B$23+$B$31),$B$32*D63,0)</x:f>
        <x:v>1200</x:v>
      </x:c>
      <x:c r="D63" s="180" t="n">
        <x:f>IF(A63&lt;$B$23,1,(1+$B$33)^INT((A63-$B$23)/12))</x:f>
        <x:v>1</x:v>
      </x:c>
      <x:c r="E63" s="141" t="n">
        <x:f>IF(AND($B$22="Sim",A63=$B$23),$B$37,0)</x:f>
        <x:v>0</x:v>
      </x:c>
      <x:c r="F63" s="141" t="n">
        <x:f>IF(AND($B$22="Sim",A63=$B$24),$B$27,0)</x:f>
        <x:v>0</x:v>
      </x:c>
      <x:c r="G63" s="141" t="n">
        <x:f>IF(AND($B$22="Sim",A63=$B$23),$B$35,0)</x:f>
        <x:v>0</x:v>
      </x:c>
      <x:c r="H63" s="141" t="n">
        <x:f>IF(AND($B$22="Sim",A63=$B$23),$B$36,0)</x:f>
        <x:v>0</x:v>
      </x:c>
      <x:c r="I63" s="141" t="n">
        <x:f>IF(OR($B$22&lt;&gt;"Sim",A63&gt;=$B$23+$B$31-1),0,(I64+C64)/(1+$B$9))</x:f>
        <x:v>143581.25472403105</x:v>
      </x:c>
      <x:c r="J63" s="140" t="str">
        <x:f>IF($B$22&lt;&gt;"Sim","Desativada",IF(A63&lt;$B$23,"Antes da compra",IF(A63&lt;$B$23+$B$31,"Parcelas restantes","Encerrado")))</x:f>
        <x:v>Parcelas restantes</x:v>
      </x:c>
      <x:c r="K63" s="141" t="n">
        <x:f>IF(C63&gt;0,C63/(1+$B$9)^A63,0)</x:f>
        <x:v>1102.2185836307997</x:v>
      </x:c>
    </x:row>
    <x:row r="64">
      <x:c r="A64" s="142" t="n">
        <x:v>10</x:v>
      </x:c>
      <x:c r="B64" s="179" t="n">
        <x:f>EDATE($B$5,A64-1)</x:f>
        <x:v>46813</x:v>
      </x:c>
      <x:c r="C64" s="141" t="n">
        <x:f>IF(AND($B$22="Sim",A64&gt;=$B$23,A64&lt;$B$23+$B$31),$B$32*D64,0)</x:f>
        <x:v>1200</x:v>
      </x:c>
      <x:c r="D64" s="180" t="n">
        <x:f>IF(A64&lt;$B$23,1,(1+$B$33)^INT((A64-$B$23)/12))</x:f>
        <x:v>1</x:v>
      </x:c>
      <x:c r="E64" s="141" t="n">
        <x:f>IF(AND($B$22="Sim",A64=$B$23),$B$37,0)</x:f>
        <x:v>0</x:v>
      </x:c>
      <x:c r="F64" s="141" t="n">
        <x:f>IF(AND($B$22="Sim",A64=$B$24),$B$27,0)</x:f>
        <x:v>0</x:v>
      </x:c>
      <x:c r="G64" s="141" t="n">
        <x:f>IF(AND($B$22="Sim",A64=$B$23),$B$35,0)</x:f>
        <x:v>0</x:v>
      </x:c>
      <x:c r="H64" s="141" t="n">
        <x:f>IF(AND($B$22="Sim",A64=$B$23),$B$36,0)</x:f>
        <x:v>0</x:v>
      </x:c>
      <x:c r="I64" s="141" t="n">
        <x:f>IF(OR($B$22&lt;&gt;"Sim",A64&gt;=$B$23+$B$31-1),0,(I65+C65)/(1+$B$9))</x:f>
        <x:v>143743.667519395</x:v>
      </x:c>
      <x:c r="J64" s="140" t="str">
        <x:f>IF($B$22&lt;&gt;"Sim","Desativada",IF(A64&lt;$B$23,"Antes da compra",IF(A64&lt;$B$23+$B$31,"Parcelas restantes","Encerrado")))</x:f>
        <x:v>Parcelas restantes</x:v>
      </x:c>
      <x:c r="K64" s="141" t="n">
        <x:f>IF(C64&gt;0,C64/(1+$B$9)^A64,0)</x:f>
        <x:v>1091.8581675648436</x:v>
      </x:c>
    </x:row>
    <x:row r="65">
      <x:c r="A65" s="142" t="n">
        <x:v>11</x:v>
      </x:c>
      <x:c r="B65" s="179" t="n">
        <x:f>EDATE($B$5,A65-1)</x:f>
        <x:v>46844</x:v>
      </x:c>
      <x:c r="C65" s="141" t="n">
        <x:f>IF(AND($B$22="Sim",A65&gt;=$B$23,A65&lt;$B$23+$B$31),$B$32*D65,0)</x:f>
        <x:v>1200</x:v>
      </x:c>
      <x:c r="D65" s="180" t="n">
        <x:f>IF(A65&lt;$B$23,1,(1+$B$33)^INT((A65-$B$23)/12))</x:f>
        <x:v>1</x:v>
      </x:c>
      <x:c r="E65" s="141" t="n">
        <x:f>IF(AND($B$22="Sim",A65=$B$23),$B$37,0)</x:f>
        <x:v>0</x:v>
      </x:c>
      <x:c r="F65" s="141" t="n">
        <x:f>IF(AND($B$22="Sim",A65=$B$24),$B$27,0)</x:f>
        <x:v>0</x:v>
      </x:c>
      <x:c r="G65" s="141" t="n">
        <x:f>IF(AND($B$22="Sim",A65=$B$23),$B$35,0)</x:f>
        <x:v>0</x:v>
      </x:c>
      <x:c r="H65" s="141" t="n">
        <x:f>IF(AND($B$22="Sim",A65=$B$23),$B$36,0)</x:f>
        <x:v>0</x:v>
      </x:c>
      <x:c r="I65" s="141" t="n">
        <x:f>IF(OR($B$22&lt;&gt;"Sim",A65&gt;=$B$23+$B$31-1),0,(I66+C66)/(1+$B$9))</x:f>
        <x:v>143907.6214161441</x:v>
      </x:c>
      <x:c r="J65" s="140" t="str">
        <x:f>IF($B$22&lt;&gt;"Sim","Desativada",IF(A65&lt;$B$23,"Antes da compra",IF(A65&lt;$B$23+$B$31,"Parcelas restantes","Encerrado")))</x:f>
        <x:v>Parcelas restantes</x:v>
      </x:c>
      <x:c r="K65" s="141" t="n">
        <x:f>IF(C65&gt;0,C65/(1+$B$9)^A65,0)</x:f>
        <x:v>1081.5951352870522</x:v>
      </x:c>
    </x:row>
    <x:row r="66">
      <x:c r="A66" s="142" t="n">
        <x:v>12</x:v>
      </x:c>
      <x:c r="B66" s="179" t="n">
        <x:f>EDATE($B$5,A66-1)</x:f>
        <x:v>46874</x:v>
      </x:c>
      <x:c r="C66" s="141" t="n">
        <x:f>IF(AND($B$22="Sim",A66&gt;=$B$23,A66&lt;$B$23+$B$31),$B$32*D66,0)</x:f>
        <x:v>1200</x:v>
      </x:c>
      <x:c r="D66" s="180" t="n">
        <x:f>IF(A66&lt;$B$23,1,(1+$B$33)^INT((A66-$B$23)/12))</x:f>
        <x:v>1</x:v>
      </x:c>
      <x:c r="E66" s="141" t="n">
        <x:f>IF(AND($B$22="Sim",A66=$B$23),$B$37,0)</x:f>
        <x:v>0</x:v>
      </x:c>
      <x:c r="F66" s="141" t="n">
        <x:f>IF(AND($B$22="Sim",A66=$B$24),$B$27,0)</x:f>
        <x:v>0</x:v>
      </x:c>
      <x:c r="G66" s="141" t="n">
        <x:f>IF(AND($B$22="Sim",A66=$B$23),$B$35,0)</x:f>
        <x:v>0</x:v>
      </x:c>
      <x:c r="H66" s="141" t="n">
        <x:f>IF(AND($B$22="Sim",A66=$B$23),$B$36,0)</x:f>
        <x:v>0</x:v>
      </x:c>
      <x:c r="I66" s="141" t="n">
        <x:f>IF(OR($B$22&lt;&gt;"Sim",A66&gt;=$B$23+$B$31-1),0,(I67+C67)/(1+$B$9))</x:f>
        <x:v>144073.13103747027</x:v>
      </x:c>
      <x:c r="J66" s="140" t="str">
        <x:f>IF($B$22&lt;&gt;"Sim","Desativada",IF(A66&lt;$B$23,"Antes da compra",IF(A66&lt;$B$23+$B$31,"Parcelas restantes","Encerrado")))</x:f>
        <x:v>Parcelas restantes</x:v>
      </x:c>
      <x:c r="K66" s="141" t="n">
        <x:f>IF(C66&gt;0,C66/(1+$B$9)^A66,0)</x:f>
        <x:v>1071.4285714285704</x:v>
      </x:c>
    </x:row>
    <x:row r="67">
      <x:c r="A67" s="142" t="n">
        <x:v>13</x:v>
      </x:c>
      <x:c r="B67" s="179" t="n">
        <x:f>EDATE($B$5,A67-1)</x:f>
        <x:v>46905</x:v>
      </x:c>
      <x:c r="C67" s="141" t="n">
        <x:f>IF(AND($B$22="Sim",A67&gt;=$B$23,A67&lt;$B$23+$B$31),$B$32*D67,0)</x:f>
        <x:v>1272</x:v>
      </x:c>
      <x:c r="D67" s="180" t="n">
        <x:f>IF(A67&lt;$B$23,1,(1+$B$33)^INT((A67-$B$23)/12))</x:f>
        <x:v>1.06</x:v>
      </x:c>
      <x:c r="E67" s="141" t="n">
        <x:f>IF(AND($B$22="Sim",A67=$B$23),$B$37,0)</x:f>
        <x:v>0</x:v>
      </x:c>
      <x:c r="F67" s="141" t="n">
        <x:f>IF(AND($B$22="Sim",A67=$B$24),$B$27,0)</x:f>
        <x:v>0</x:v>
      </x:c>
      <x:c r="G67" s="141" t="n">
        <x:f>IF(AND($B$22="Sim",A67=$B$23),$B$35,0)</x:f>
        <x:v>0</x:v>
      </x:c>
      <x:c r="H67" s="141" t="n">
        <x:f>IF(AND($B$22="Sim",A67=$B$23),$B$36,0)</x:f>
        <x:v>0</x:v>
      </x:c>
      <x:c r="I67" s="141" t="n">
        <x:f>IF(OR($B$22&lt;&gt;"Sim",A67&gt;=$B$23+$B$31-1),0,(I68+C68)/(1+$B$9))</x:f>
        <x:v>144168.21114532187</x:v>
      </x:c>
      <x:c r="J67" s="140" t="str">
        <x:f>IF($B$22&lt;&gt;"Sim","Desativada",IF(A67&lt;$B$23,"Antes da compra",IF(A67&lt;$B$23+$B$31,"Parcelas restantes","Encerrado")))</x:f>
        <x:v>Parcelas restantes</x:v>
      </x:c>
      <x:c r="K67" s="141" t="n">
        <x:f>IF(C67&gt;0,C67/(1+$B$9)^A67,0)</x:f>
        <x:v>1125.0390233781243</x:v>
      </x:c>
    </x:row>
    <x:row r="68">
      <x:c r="A68" s="142" t="n">
        <x:v>14</x:v>
      </x:c>
      <x:c r="B68" s="179" t="n">
        <x:f>EDATE($B$5,A68-1)</x:f>
        <x:v>46935</x:v>
      </x:c>
      <x:c r="C68" s="141" t="n">
        <x:f>IF(AND($B$22="Sim",A68&gt;=$B$23,A68&lt;$B$23+$B$31),$B$32*D68,0)</x:f>
        <x:v>1272</x:v>
      </x:c>
      <x:c r="D68" s="180" t="n">
        <x:f>IF(A68&lt;$B$23,1,(1+$B$33)^INT((A68-$B$23)/12))</x:f>
        <x:v>1.06</x:v>
      </x:c>
      <x:c r="E68" s="141" t="n">
        <x:f>IF(AND($B$22="Sim",A68=$B$23),$B$37,0)</x:f>
        <x:v>0</x:v>
      </x:c>
      <x:c r="F68" s="141" t="n">
        <x:f>IF(AND($B$22="Sim",A68=$B$24),$B$27,0)</x:f>
        <x:v>0</x:v>
      </x:c>
      <x:c r="G68" s="141" t="n">
        <x:f>IF(AND($B$22="Sim",A68=$B$23),$B$35,0)</x:f>
        <x:v>0</x:v>
      </x:c>
      <x:c r="H68" s="141" t="n">
        <x:f>IF(AND($B$22="Sim",A68=$B$23),$B$36,0)</x:f>
        <x:v>0</x:v>
      </x:c>
      <x:c r="I68" s="141" t="n">
        <x:f>IF(OR($B$22&lt;&gt;"Sim",A68&gt;=$B$23+$B$31-1),0,(I69+C69)/(1+$B$9))</x:f>
        <x:v>144264.19344862908</x:v>
      </x:c>
      <x:c r="J68" s="140" t="str">
        <x:f>IF($B$22&lt;&gt;"Sim","Desativada",IF(A68&lt;$B$23,"Antes da compra",IF(A68&lt;$B$23+$B$31,"Parcelas restantes","Encerrado")))</x:f>
        <x:v>Parcelas restantes</x:v>
      </x:c>
      <x:c r="K68" s="141" t="n">
        <x:f>IF(C68&gt;0,C68/(1+$B$9)^A68,0)</x:f>
        <x:v>1114.4641042597777</x:v>
      </x:c>
    </x:row>
    <x:row r="69">
      <x:c r="A69" s="142" t="n">
        <x:v>15</x:v>
      </x:c>
      <x:c r="B69" s="179" t="n">
        <x:f>EDATE($B$5,A69-1)</x:f>
        <x:v>46966</x:v>
      </x:c>
      <x:c r="C69" s="141" t="n">
        <x:f>IF(AND($B$22="Sim",A69&gt;=$B$23,A69&lt;$B$23+$B$31),$B$32*D69,0)</x:f>
        <x:v>1272</x:v>
      </x:c>
      <x:c r="D69" s="180" t="n">
        <x:f>IF(A69&lt;$B$23,1,(1+$B$33)^INT((A69-$B$23)/12))</x:f>
        <x:v>1.06</x:v>
      </x:c>
      <x:c r="E69" s="141" t="n">
        <x:f>IF(AND($B$22="Sim",A69=$B$23),$B$37,0)</x:f>
        <x:v>0</x:v>
      </x:c>
      <x:c r="F69" s="141" t="n">
        <x:f>IF(AND($B$22="Sim",A69=$B$24),$B$27,0)</x:f>
        <x:v>0</x:v>
      </x:c>
      <x:c r="G69" s="141" t="n">
        <x:f>IF(AND($B$22="Sim",A69=$B$23),$B$35,0)</x:f>
        <x:v>0</x:v>
      </x:c>
      <x:c r="H69" s="141" t="n">
        <x:f>IF(AND($B$22="Sim",A69=$B$23),$B$36,0)</x:f>
        <x:v>0</x:v>
      </x:c>
      <x:c r="I69" s="141" t="n">
        <x:f>IF(OR($B$22&lt;&gt;"Sim",A69&gt;=$B$23+$B$31-1),0,(I70+C70)/(1+$B$9))</x:f>
        <x:v>144361.08650813776</x:v>
      </x:c>
      <x:c r="J69" s="140" t="str">
        <x:f>IF($B$22&lt;&gt;"Sim","Desativada",IF(A69&lt;$B$23,"Antes da compra",IF(A69&lt;$B$23+$B$31,"Parcelas restantes","Encerrado")))</x:f>
        <x:v>Parcelas restantes</x:v>
      </x:c>
      <x:c r="K69" s="141" t="n">
        <x:f>IF(C69&gt;0,C69/(1+$B$9)^A69,0)</x:f>
        <x:v>1103.9885851729282</x:v>
      </x:c>
    </x:row>
    <x:row r="70">
      <x:c r="A70" s="142" t="n">
        <x:v>16</x:v>
      </x:c>
      <x:c r="B70" s="179" t="n">
        <x:f>EDATE($B$5,A70-1)</x:f>
        <x:v>46997</x:v>
      </x:c>
      <x:c r="C70" s="141" t="n">
        <x:f>IF(AND($B$22="Sim",A70&gt;=$B$23,A70&lt;$B$23+$B$31),$B$32*D70,0)</x:f>
        <x:v>1272</x:v>
      </x:c>
      <x:c r="D70" s="180" t="n">
        <x:f>IF(A70&lt;$B$23,1,(1+$B$33)^INT((A70-$B$23)/12))</x:f>
        <x:v>1.06</x:v>
      </x:c>
      <x:c r="E70" s="141" t="n">
        <x:f>IF(AND($B$22="Sim",A70=$B$23),$B$37,0)</x:f>
        <x:v>0</x:v>
      </x:c>
      <x:c r="F70" s="141" t="n">
        <x:f>IF(AND($B$22="Sim",A70=$B$24),$B$27,0)</x:f>
        <x:v>0</x:v>
      </x:c>
      <x:c r="G70" s="141" t="n">
        <x:f>IF(AND($B$22="Sim",A70=$B$23),$B$35,0)</x:f>
        <x:v>0</x:v>
      </x:c>
      <x:c r="H70" s="141" t="n">
        <x:f>IF(AND($B$22="Sim",A70=$B$23),$B$36,0)</x:f>
        <x:v>0</x:v>
      </x:c>
      <x:c r="I70" s="141" t="n">
        <x:f>IF(OR($B$22&lt;&gt;"Sim",A70&gt;=$B$23+$B$31-1),0,(I71+C71)/(1+$B$9))</x:f>
        <x:v>144458.89896582492</x:v>
      </x:c>
      <x:c r="J70" s="140" t="str">
        <x:f>IF($B$22&lt;&gt;"Sim","Desativada",IF(A70&lt;$B$23,"Antes da compra",IF(A70&lt;$B$23+$B$31,"Parcelas restantes","Encerrado")))</x:f>
        <x:v>Parcelas restantes</x:v>
      </x:c>
      <x:c r="K70" s="141" t="n">
        <x:f>IF(C70&gt;0,C70/(1+$B$9)^A70,0)</x:f>
        <x:v>1093.611531796836</x:v>
      </x:c>
    </x:row>
    <x:row r="71">
      <x:c r="A71" s="142" t="n">
        <x:v>17</x:v>
      </x:c>
      <x:c r="B71" s="179" t="n">
        <x:f>EDATE($B$5,A71-1)</x:f>
        <x:v>47027</x:v>
      </x:c>
      <x:c r="C71" s="141" t="n">
        <x:f>IF(AND($B$22="Sim",A71&gt;=$B$23,A71&lt;$B$23+$B$31),$B$32*D71,0)</x:f>
        <x:v>1272</x:v>
      </x:c>
      <x:c r="D71" s="180" t="n">
        <x:f>IF(A71&lt;$B$23,1,(1+$B$33)^INT((A71-$B$23)/12))</x:f>
        <x:v>1.06</x:v>
      </x:c>
      <x:c r="E71" s="141" t="n">
        <x:f>IF(AND($B$22="Sim",A71=$B$23),$B$37,0)</x:f>
        <x:v>0</x:v>
      </x:c>
      <x:c r="F71" s="141" t="n">
        <x:f>IF(AND($B$22="Sim",A71=$B$24),$B$27,0)</x:f>
        <x:v>0</x:v>
      </x:c>
      <x:c r="G71" s="141" t="n">
        <x:f>IF(AND($B$22="Sim",A71=$B$23),$B$35,0)</x:f>
        <x:v>0</x:v>
      </x:c>
      <x:c r="H71" s="141" t="n">
        <x:f>IF(AND($B$22="Sim",A71=$B$23),$B$36,0)</x:f>
        <x:v>0</x:v>
      </x:c>
      <x:c r="I71" s="141" t="n">
        <x:f>IF(OR($B$22&lt;&gt;"Sim",A71&gt;=$B$23+$B$31-1),0,(I72+C72)/(1+$B$9))</x:f>
        <x:v>144557.6395456695</x:v>
      </x:c>
      <x:c r="J71" s="140" t="str">
        <x:f>IF($B$22&lt;&gt;"Sim","Desativada",IF(A71&lt;$B$23,"Antes da compra",IF(A71&lt;$B$23+$B$31,"Parcelas restantes","Encerrado")))</x:f>
        <x:v>Parcelas restantes</x:v>
      </x:c>
      <x:c r="K71" s="141" t="n">
        <x:f>IF(C71&gt;0,C71/(1+$B$9)^A71,0)</x:f>
        <x:v>1083.332018593003</x:v>
      </x:c>
    </x:row>
    <x:row r="72">
      <x:c r="A72" s="142" t="n">
        <x:v>18</x:v>
      </x:c>
      <x:c r="B72" s="179" t="n">
        <x:f>EDATE($B$5,A72-1)</x:f>
        <x:v>47058</x:v>
      </x:c>
      <x:c r="C72" s="141" t="n">
        <x:f>IF(AND($B$22="Sim",A72&gt;=$B$23,A72&lt;$B$23+$B$31),$B$32*D72,0)</x:f>
        <x:v>1272</x:v>
      </x:c>
      <x:c r="D72" s="180" t="n">
        <x:f>IF(A72&lt;$B$23,1,(1+$B$33)^INT((A72-$B$23)/12))</x:f>
        <x:v>1.06</x:v>
      </x:c>
      <x:c r="E72" s="141" t="n">
        <x:f>IF(AND($B$22="Sim",A72=$B$23),$B$37,0)</x:f>
        <x:v>0</x:v>
      </x:c>
      <x:c r="F72" s="141" t="n">
        <x:f>IF(AND($B$22="Sim",A72=$B$24),$B$27,0)</x:f>
        <x:v>0</x:v>
      </x:c>
      <x:c r="G72" s="141" t="n">
        <x:f>IF(AND($B$22="Sim",A72=$B$23),$B$35,0)</x:f>
        <x:v>0</x:v>
      </x:c>
      <x:c r="H72" s="141" t="n">
        <x:f>IF(AND($B$22="Sim",A72=$B$23),$B$36,0)</x:f>
        <x:v>0</x:v>
      </x:c>
      <x:c r="I72" s="141" t="n">
        <x:f>IF(OR($B$22&lt;&gt;"Sim",A72&gt;=$B$23+$B$31-1),0,(I73+C73)/(1+$B$9))</x:f>
        <x:v>144657.31705443043</x:v>
      </x:c>
      <x:c r="J72" s="140" t="str">
        <x:f>IF($B$22&lt;&gt;"Sim","Desativada",IF(A72&lt;$B$23,"Antes da compra",IF(A72&lt;$B$23+$B$31,"Parcelas restantes","Encerrado")))</x:f>
        <x:v>Parcelas restantes</x:v>
      </x:c>
      <x:c r="K72" s="141" t="n">
        <x:f>IF(C72&gt;0,C72/(1+$B$9)^A72,0)</x:f>
        <x:v>1073.1491287226258</x:v>
      </x:c>
    </x:row>
    <x:row r="73">
      <x:c r="A73" s="142" t="n">
        <x:v>19</x:v>
      </x:c>
      <x:c r="B73" s="179" t="n">
        <x:f>EDATE($B$5,A73-1)</x:f>
        <x:v>47088</x:v>
      </x:c>
      <x:c r="C73" s="141" t="n">
        <x:f>IF(AND($B$22="Sim",A73&gt;=$B$23,A73&lt;$B$23+$B$31),$B$32*D73,0)</x:f>
        <x:v>1272</x:v>
      </x:c>
      <x:c r="D73" s="180" t="n">
        <x:f>IF(A73&lt;$B$23,1,(1+$B$33)^INT((A73-$B$23)/12))</x:f>
        <x:v>1.06</x:v>
      </x:c>
      <x:c r="E73" s="141" t="n">
        <x:f>IF(AND($B$22="Sim",A73=$B$23),$B$37,0)</x:f>
        <x:v>0</x:v>
      </x:c>
      <x:c r="F73" s="141" t="n">
        <x:f>IF(AND($B$22="Sim",A73=$B$24),$B$27,0)</x:f>
        <x:v>0</x:v>
      </x:c>
      <x:c r="G73" s="141" t="n">
        <x:f>IF(AND($B$22="Sim",A73=$B$23),$B$35,0)</x:f>
        <x:v>0</x:v>
      </x:c>
      <x:c r="H73" s="141" t="n">
        <x:f>IF(AND($B$22="Sim",A73=$B$23),$B$36,0)</x:f>
        <x:v>0</x:v>
      </x:c>
      <x:c r="I73" s="141" t="n">
        <x:f>IF(OR($B$22&lt;&gt;"Sim",A73&gt;=$B$23+$B$31-1),0,(I74+C74)/(1+$B$9))</x:f>
        <x:v>144757.94038243225</x:v>
      </x:c>
      <x:c r="J73" s="140" t="str">
        <x:f>IF($B$22&lt;&gt;"Sim","Desativada",IF(A73&lt;$B$23,"Antes da compra",IF(A73&lt;$B$23+$B$31,"Parcelas restantes","Encerrado")))</x:f>
        <x:v>Parcelas restantes</x:v>
      </x:c>
      <x:c r="K73" s="141" t="n">
        <x:f>IF(C73&gt;0,C73/(1+$B$9)^A73,0)</x:f>
        <x:v>1063.0619539648203</x:v>
      </x:c>
    </x:row>
    <x:row r="74">
      <x:c r="A74" s="142" t="n">
        <x:v>20</x:v>
      </x:c>
      <x:c r="B74" s="179" t="n">
        <x:f>EDATE($B$5,A74-1)</x:f>
        <x:v>47119</x:v>
      </x:c>
      <x:c r="C74" s="141" t="n">
        <x:f>IF(AND($B$22="Sim",A74&gt;=$B$23,A74&lt;$B$23+$B$31),$B$32*D74,0)</x:f>
        <x:v>1272</x:v>
      </x:c>
      <x:c r="D74" s="180" t="n">
        <x:f>IF(A74&lt;$B$23,1,(1+$B$33)^INT((A74-$B$23)/12))</x:f>
        <x:v>1.06</x:v>
      </x:c>
      <x:c r="E74" s="141" t="n">
        <x:f>IF(AND($B$22="Sim",A74=$B$23),$B$37,0)</x:f>
        <x:v>0</x:v>
      </x:c>
      <x:c r="F74" s="141" t="n">
        <x:f>IF(AND($B$22="Sim",A74=$B$24),$B$27,0)</x:f>
        <x:v>0</x:v>
      </x:c>
      <x:c r="G74" s="141" t="n">
        <x:f>IF(AND($B$22="Sim",A74=$B$23),$B$35,0)</x:f>
        <x:v>0</x:v>
      </x:c>
      <x:c r="H74" s="141" t="n">
        <x:f>IF(AND($B$22="Sim",A74=$B$23),$B$36,0)</x:f>
        <x:v>0</x:v>
      </x:c>
      <x:c r="I74" s="141" t="n">
        <x:f>IF(OR($B$22&lt;&gt;"Sim",A74&gt;=$B$23+$B$31-1),0,(I75+C75)/(1+$B$9))</x:f>
        <x:v>144859.51850435787</x:v>
      </x:c>
      <x:c r="J74" s="140" t="str">
        <x:f>IF($B$22&lt;&gt;"Sim","Desativada",IF(A74&lt;$B$23,"Antes da compra",IF(A74&lt;$B$23+$B$31,"Parcelas restantes","Encerrado")))</x:f>
        <x:v>Parcelas restantes</x:v>
      </x:c>
      <x:c r="K74" s="141" t="n">
        <x:f>IF(C74&gt;0,C74/(1+$B$9)^A74,0)</x:f>
        <x:v>1053.069594635618</x:v>
      </x:c>
    </x:row>
    <x:row r="75">
      <x:c r="A75" s="142" t="n">
        <x:v>21</x:v>
      </x:c>
      <x:c r="B75" s="179" t="n">
        <x:f>EDATE($B$5,A75-1)</x:f>
        <x:v>47150</x:v>
      </x:c>
      <x:c r="C75" s="141" t="n">
        <x:f>IF(AND($B$22="Sim",A75&gt;=$B$23,A75&lt;$B$23+$B$31),$B$32*D75,0)</x:f>
        <x:v>1272</x:v>
      </x:c>
      <x:c r="D75" s="180" t="n">
        <x:f>IF(A75&lt;$B$23,1,(1+$B$33)^INT((A75-$B$23)/12))</x:f>
        <x:v>1.06</x:v>
      </x:c>
      <x:c r="E75" s="141" t="n">
        <x:f>IF(AND($B$22="Sim",A75=$B$23),$B$37,0)</x:f>
        <x:v>0</x:v>
      </x:c>
      <x:c r="F75" s="141" t="n">
        <x:f>IF(AND($B$22="Sim",A75=$B$24),$B$27,0)</x:f>
        <x:v>0</x:v>
      </x:c>
      <x:c r="G75" s="141" t="n">
        <x:f>IF(AND($B$22="Sim",A75=$B$23),$B$35,0)</x:f>
        <x:v>0</x:v>
      </x:c>
      <x:c r="H75" s="141" t="n">
        <x:f>IF(AND($B$22="Sim",A75=$B$23),$B$36,0)</x:f>
        <x:v>0</x:v>
      </x:c>
      <x:c r="I75" s="141" t="n">
        <x:f>IF(OR($B$22&lt;&gt;"Sim",A75&gt;=$B$23+$B$31-1),0,(I76+C76)/(1+$B$9))</x:f>
        <x:v>144962.0604800491</x:v>
      </x:c>
      <x:c r="J75" s="140" t="str">
        <x:f>IF($B$22&lt;&gt;"Sim","Desativada",IF(A75&lt;$B$23,"Antes da compra",IF(A75&lt;$B$23+$B$31,"Parcelas restantes","Encerrado")))</x:f>
        <x:v>Parcelas restantes</x:v>
      </x:c>
      <x:c r="K75" s="141" t="n">
        <x:f>IF(C75&gt;0,C75/(1+$B$9)^A75,0)</x:f>
        <x:v>1043.1711595077202</x:v>
      </x:c>
    </x:row>
    <x:row r="76">
      <x:c r="A76" s="142" t="n">
        <x:v>22</x:v>
      </x:c>
      <x:c r="B76" s="179" t="n">
        <x:f>EDATE($B$5,A76-1)</x:f>
        <x:v>47178</x:v>
      </x:c>
      <x:c r="C76" s="141" t="n">
        <x:f>IF(AND($B$22="Sim",A76&gt;=$B$23,A76&lt;$B$23+$B$31),$B$32*D76,0)</x:f>
        <x:v>1272</x:v>
      </x:c>
      <x:c r="D76" s="180" t="n">
        <x:f>IF(A76&lt;$B$23,1,(1+$B$33)^INT((A76-$B$23)/12))</x:f>
        <x:v>1.06</x:v>
      </x:c>
      <x:c r="E76" s="141" t="n">
        <x:f>IF(AND($B$22="Sim",A76=$B$23),$B$37,0)</x:f>
        <x:v>0</x:v>
      </x:c>
      <x:c r="F76" s="141" t="n">
        <x:f>IF(AND($B$22="Sim",A76=$B$24),$B$27,0)</x:f>
        <x:v>0</x:v>
      </x:c>
      <x:c r="G76" s="141" t="n">
        <x:f>IF(AND($B$22="Sim",A76=$B$23),$B$35,0)</x:f>
        <x:v>0</x:v>
      </x:c>
      <x:c r="H76" s="141" t="n">
        <x:f>IF(AND($B$22="Sim",A76=$B$23),$B$36,0)</x:f>
        <x:v>0</x:v>
      </x:c>
      <x:c r="I76" s="141" t="n">
        <x:f>IF(OR($B$22&lt;&gt;"Sim",A76&gt;=$B$23+$B$31-1),0,(I77+C77)/(1+$B$9))</x:f>
        <x:v>145065.5754553148</x:v>
      </x:c>
      <x:c r="J76" s="140" t="str">
        <x:f>IF($B$22&lt;&gt;"Sim","Desativada",IF(A76&lt;$B$23,"Antes da compra",IF(A76&lt;$B$23+$B$31,"Parcelas restantes","Encerrado")))</x:f>
        <x:v>Parcelas restantes</x:v>
      </x:c>
      <x:c r="K76" s="141" t="n">
        <x:f>IF(C76&gt;0,C76/(1+$B$9)^A76,0)</x:f>
        <x:v>1033.3657657310116</x:v>
      </x:c>
    </x:row>
    <x:row r="77">
      <x:c r="A77" s="142" t="n">
        <x:v>23</x:v>
      </x:c>
      <x:c r="B77" s="179" t="n">
        <x:f>EDATE($B$5,A77-1)</x:f>
        <x:v>47209</x:v>
      </x:c>
      <x:c r="C77" s="141" t="n">
        <x:f>IF(AND($B$22="Sim",A77&gt;=$B$23,A77&lt;$B$23+$B$31),$B$32*D77,0)</x:f>
        <x:v>1272</x:v>
      </x:c>
      <x:c r="D77" s="180" t="n">
        <x:f>IF(A77&lt;$B$23,1,(1+$B$33)^INT((A77-$B$23)/12))</x:f>
        <x:v>1.06</x:v>
      </x:c>
      <x:c r="E77" s="141" t="n">
        <x:f>IF(AND($B$22="Sim",A77=$B$23),$B$37,0)</x:f>
        <x:v>0</x:v>
      </x:c>
      <x:c r="F77" s="141" t="n">
        <x:f>IF(AND($B$22="Sim",A77=$B$24),$B$27,0)</x:f>
        <x:v>0</x:v>
      </x:c>
      <x:c r="G77" s="141" t="n">
        <x:f>IF(AND($B$22="Sim",A77=$B$23),$B$35,0)</x:f>
        <x:v>0</x:v>
      </x:c>
      <x:c r="H77" s="141" t="n">
        <x:f>IF(AND($B$22="Sim",A77=$B$23),$B$36,0)</x:f>
        <x:v>0</x:v>
      </x:c>
      <x:c r="I77" s="141" t="n">
        <x:f>IF(OR($B$22&lt;&gt;"Sim",A77&gt;=$B$23+$B$31-1),0,(I78+C78)/(1+$B$9))</x:f>
        <x:v>145170.07266274642</x:v>
      </x:c>
      <x:c r="J77" s="140" t="str">
        <x:f>IF($B$22&lt;&gt;"Sim","Desativada",IF(A77&lt;$B$23,"Antes da compra",IF(A77&lt;$B$23+$B$31,"Parcelas restantes","Encerrado")))</x:f>
        <x:v>Parcelas restantes</x:v>
      </x:c>
      <x:c r="K77" s="141" t="n">
        <x:f>IF(C77&gt;0,C77/(1+$B$9)^A77,0)</x:f>
        <x:v>1023.6525387538165</x:v>
      </x:c>
    </x:row>
    <x:row r="78">
      <x:c r="A78" s="142" t="n">
        <x:v>24</x:v>
      </x:c>
      <x:c r="B78" s="179" t="n">
        <x:f>EDATE($B$5,A78-1)</x:f>
        <x:v>47239</x:v>
      </x:c>
      <x:c r="C78" s="141" t="n">
        <x:f>IF(AND($B$22="Sim",A78&gt;=$B$23,A78&lt;$B$23+$B$31),$B$32*D78,0)</x:f>
        <x:v>1272</x:v>
      </x:c>
      <x:c r="D78" s="180" t="n">
        <x:f>IF(A78&lt;$B$23,1,(1+$B$33)^INT((A78-$B$23)/12))</x:f>
        <x:v>1.06</x:v>
      </x:c>
      <x:c r="E78" s="141" t="n">
        <x:f>IF(AND($B$22="Sim",A78=$B$23),$B$37,0)</x:f>
        <x:v>0</x:v>
      </x:c>
      <x:c r="F78" s="141" t="n">
        <x:f>IF(AND($B$22="Sim",A78=$B$24),$B$27,0)</x:f>
        <x:v>0</x:v>
      </x:c>
      <x:c r="G78" s="141" t="n">
        <x:f>IF(AND($B$22="Sim",A78=$B$23),$B$35,0)</x:f>
        <x:v>0</x:v>
      </x:c>
      <x:c r="H78" s="141" t="n">
        <x:f>IF(AND($B$22="Sim",A78=$B$23),$B$36,0)</x:f>
        <x:v>0</x:v>
      </x:c>
      <x:c r="I78" s="141" t="n">
        <x:f>IF(OR($B$22&lt;&gt;"Sim",A78&gt;=$B$23+$B$31-1),0,(I79+C79)/(1+$B$9))</x:f>
        <x:v>145275.5614225416</x:v>
      </x:c>
      <x:c r="J78" s="140" t="str">
        <x:f>IF($B$22&lt;&gt;"Sim","Desativada",IF(A78&lt;$B$23,"Antes da compra",IF(A78&lt;$B$23+$B$31,"Parcelas restantes","Encerrado")))</x:f>
        <x:v>Parcelas restantes</x:v>
      </x:c>
      <x:c r="K78" s="141" t="n">
        <x:f>IF(C78&gt;0,C78/(1+$B$9)^A78,0)</x:f>
        <x:v>1014.0306122448962</x:v>
      </x:c>
    </x:row>
    <x:row r="79">
      <x:c r="A79" s="142" t="n">
        <x:v>25</x:v>
      </x:c>
      <x:c r="B79" s="179" t="n">
        <x:f>EDATE($B$5,A79-1)</x:f>
        <x:v>47270</x:v>
      </x:c>
      <x:c r="C79" s="141" t="n">
        <x:f>IF(AND($B$22="Sim",A79&gt;=$B$23,A79&lt;$B$23+$B$31),$B$32*D79,0)</x:f>
        <x:v>1348.3200000000002</x:v>
      </x:c>
      <x:c r="D79" s="180" t="n">
        <x:f>IF(A79&lt;$B$23,1,(1+$B$33)^INT((A79-$B$23)/12))</x:f>
        <x:v>1.1236000000000002</x:v>
      </x:c>
      <x:c r="E79" s="141" t="n">
        <x:f>IF(AND($B$22="Sim",A79=$B$23),$B$37,0)</x:f>
        <x:v>0</x:v>
      </x:c>
      <x:c r="F79" s="141" t="n">
        <x:f>IF(AND($B$22="Sim",A79=$B$24),$B$27,0)</x:f>
        <x:v>0</x:v>
      </x:c>
      <x:c r="G79" s="141" t="n">
        <x:f>IF(AND($B$22="Sim",A79=$B$23),$B$35,0)</x:f>
        <x:v>0</x:v>
      </x:c>
      <x:c r="H79" s="141" t="n">
        <x:f>IF(AND($B$22="Sim",A79=$B$23),$B$36,0)</x:f>
        <x:v>0</x:v>
      </x:c>
      <x:c r="I79" s="141" t="n">
        <x:f>IF(OR($B$22&lt;&gt;"Sim",A79&gt;=$B$23+$B$31-1),0,(I80+C80)/(1+$B$9))</x:f>
        <x:v>145305.73114333538</x:v>
      </x:c>
      <x:c r="J79" s="140" t="str">
        <x:f>IF($B$22&lt;&gt;"Sim","Desativada",IF(A79&lt;$B$23,"Antes da compra",IF(A79&lt;$B$23+$B$31,"Parcelas restantes","Encerrado")))</x:f>
        <x:v>Parcelas restantes</x:v>
      </x:c>
      <x:c r="K79" s="141" t="n">
        <x:f>IF(C79&gt;0,C79/(1+$B$9)^A79,0)</x:f>
        <x:v>1064.7690756971524</x:v>
      </x:c>
    </x:row>
    <x:row r="80">
      <x:c r="A80" s="142" t="n">
        <x:v>26</x:v>
      </x:c>
      <x:c r="B80" s="179" t="n">
        <x:f>EDATE($B$5,A80-1)</x:f>
        <x:v>47300</x:v>
      </x:c>
      <x:c r="C80" s="141" t="n">
        <x:f>IF(AND($B$22="Sim",A80&gt;=$B$23,A80&lt;$B$23+$B$31),$B$32*D80,0)</x:f>
        <x:v>1348.3200000000002</x:v>
      </x:c>
      <x:c r="D80" s="180" t="n">
        <x:f>IF(A80&lt;$B$23,1,(1+$B$33)^INT((A80-$B$23)/12))</x:f>
        <x:v>1.1236000000000002</x:v>
      </x:c>
      <x:c r="E80" s="141" t="n">
        <x:f>IF(AND($B$22="Sim",A80=$B$23),$B$37,0)</x:f>
        <x:v>0</x:v>
      </x:c>
      <x:c r="F80" s="141" t="n">
        <x:f>IF(AND($B$22="Sim",A80=$B$24),$B$27,0)</x:f>
        <x:v>0</x:v>
      </x:c>
      <x:c r="G80" s="141" t="n">
        <x:f>IF(AND($B$22="Sim",A80=$B$23),$B$35,0)</x:f>
        <x:v>0</x:v>
      </x:c>
      <x:c r="H80" s="141" t="n">
        <x:f>IF(AND($B$22="Sim",A80=$B$23),$B$36,0)</x:f>
        <x:v>0</x:v>
      </x:c>
      <x:c r="I80" s="141" t="n">
        <x:f>IF(OR($B$22&lt;&gt;"Sim",A80&gt;=$B$23+$B$31-1),0,(I81+C81)/(1+$B$9))</x:f>
        <x:v>145336.18713836267</x:v>
      </x:c>
      <x:c r="J80" s="140" t="str">
        <x:f>IF($B$22&lt;&gt;"Sim","Desativada",IF(A80&lt;$B$23,"Antes da compra",IF(A80&lt;$B$23+$B$31,"Parcelas restantes","Encerrado")))</x:f>
        <x:v>Parcelas restantes</x:v>
      </x:c>
      <x:c r="K80" s="141" t="n">
        <x:f>IF(C80&gt;0,C80/(1+$B$9)^A80,0)</x:f>
        <x:v>1054.7606701030031</x:v>
      </x:c>
    </x:row>
    <x:row r="81">
      <x:c r="A81" s="142" t="n">
        <x:v>27</x:v>
      </x:c>
      <x:c r="B81" s="179" t="n">
        <x:f>EDATE($B$5,A81-1)</x:f>
        <x:v>47331</x:v>
      </x:c>
      <x:c r="C81" s="141" t="n">
        <x:f>IF(AND($B$22="Sim",A81&gt;=$B$23,A81&lt;$B$23+$B$31),$B$32*D81,0)</x:f>
        <x:v>1348.3200000000002</x:v>
      </x:c>
      <x:c r="D81" s="180" t="n">
        <x:f>IF(A81&lt;$B$23,1,(1+$B$33)^INT((A81-$B$23)/12))</x:f>
        <x:v>1.1236000000000002</x:v>
      </x:c>
      <x:c r="E81" s="141" t="n">
        <x:f>IF(AND($B$22="Sim",A81=$B$23),$B$37,0)</x:f>
        <x:v>0</x:v>
      </x:c>
      <x:c r="F81" s="141" t="n">
        <x:f>IF(AND($B$22="Sim",A81=$B$24),$B$27,0)</x:f>
        <x:v>0</x:v>
      </x:c>
      <x:c r="G81" s="141" t="n">
        <x:f>IF(AND($B$22="Sim",A81=$B$23),$B$35,0)</x:f>
        <x:v>0</x:v>
      </x:c>
      <x:c r="H81" s="141" t="n">
        <x:f>IF(AND($B$22="Sim",A81=$B$23),$B$36,0)</x:f>
        <x:v>0</x:v>
      </x:c>
      <x:c r="I81" s="141" t="n">
        <x:f>IF(OR($B$22&lt;&gt;"Sim",A81&gt;=$B$23+$B$31-1),0,(I82+C82)/(1+$B$9))</x:f>
        <x:v>145366.9321240204</x:v>
      </x:c>
      <x:c r="J81" s="140" t="str">
        <x:f>IF($B$22&lt;&gt;"Sim","Desativada",IF(A81&lt;$B$23,"Antes da compra",IF(A81&lt;$B$23+$B$31,"Parcelas restantes","Encerrado")))</x:f>
        <x:v>Parcelas restantes</x:v>
      </x:c>
      <x:c r="K81" s="141" t="n">
        <x:f>IF(C81&gt;0,C81/(1+$B$9)^A81,0)</x:f>
        <x:v>1044.8463395386636</x:v>
      </x:c>
    </x:row>
    <x:row r="82">
      <x:c r="A82" s="142" t="n">
        <x:v>28</x:v>
      </x:c>
      <x:c r="B82" s="179" t="n">
        <x:f>EDATE($B$5,A82-1)</x:f>
        <x:v>47362</x:v>
      </x:c>
      <x:c r="C82" s="141" t="n">
        <x:f>IF(AND($B$22="Sim",A82&gt;=$B$23,A82&lt;$B$23+$B$31),$B$32*D82,0)</x:f>
        <x:v>1348.3200000000002</x:v>
      </x:c>
      <x:c r="D82" s="180" t="n">
        <x:f>IF(A82&lt;$B$23,1,(1+$B$33)^INT((A82-$B$23)/12))</x:f>
        <x:v>1.1236000000000002</x:v>
      </x:c>
      <x:c r="E82" s="141" t="n">
        <x:f>IF(AND($B$22="Sim",A82=$B$23),$B$37,0)</x:f>
        <x:v>0</x:v>
      </x:c>
      <x:c r="F82" s="141" t="n">
        <x:f>IF(AND($B$22="Sim",A82=$B$24),$B$27,0)</x:f>
        <x:v>0</x:v>
      </x:c>
      <x:c r="G82" s="141" t="n">
        <x:f>IF(AND($B$22="Sim",A82=$B$23),$B$35,0)</x:f>
        <x:v>0</x:v>
      </x:c>
      <x:c r="H82" s="141" t="n">
        <x:f>IF(AND($B$22="Sim",A82=$B$23),$B$36,0)</x:f>
        <x:v>0</x:v>
      </x:c>
      <x:c r="I82" s="141" t="n">
        <x:f>IF(OR($B$22&lt;&gt;"Sim",A82&gt;=$B$23+$B$31-1),0,(I83+C83)/(1+$B$9))</x:f>
        <x:v>145397.9688424808</x:v>
      </x:c>
      <x:c r="J82" s="140" t="str">
        <x:f>IF($B$22&lt;&gt;"Sim","Desativada",IF(A82&lt;$B$23,"Antes da compra",IF(A82&lt;$B$23+$B$31,"Parcelas restantes","Encerrado")))</x:f>
        <x:v>Parcelas restantes</x:v>
      </x:c>
      <x:c r="K82" s="141" t="n">
        <x:f>IF(C82&gt;0,C82/(1+$B$9)^A82,0)</x:f>
        <x:v>1035.0251997362905</x:v>
      </x:c>
    </x:row>
    <x:row r="83">
      <x:c r="A83" s="142" t="n">
        <x:v>29</x:v>
      </x:c>
      <x:c r="B83" s="179" t="n">
        <x:f>EDATE($B$5,A83-1)</x:f>
        <x:v>47392</x:v>
      </x:c>
      <x:c r="C83" s="141" t="n">
        <x:f>IF(AND($B$22="Sim",A83&gt;=$B$23,A83&lt;$B$23+$B$31),$B$32*D83,0)</x:f>
        <x:v>1348.3200000000002</x:v>
      </x:c>
      <x:c r="D83" s="180" t="n">
        <x:f>IF(A83&lt;$B$23,1,(1+$B$33)^INT((A83-$B$23)/12))</x:f>
        <x:v>1.1236000000000002</x:v>
      </x:c>
      <x:c r="E83" s="141" t="n">
        <x:f>IF(AND($B$22="Sim",A83=$B$23),$B$37,0)</x:f>
        <x:v>0</x:v>
      </x:c>
      <x:c r="F83" s="141" t="n">
        <x:f>IF(AND($B$22="Sim",A83=$B$24),$B$27,0)</x:f>
        <x:v>0</x:v>
      </x:c>
      <x:c r="G83" s="141" t="n">
        <x:f>IF(AND($B$22="Sim",A83=$B$23),$B$35,0)</x:f>
        <x:v>0</x:v>
      </x:c>
      <x:c r="H83" s="141" t="n">
        <x:f>IF(AND($B$22="Sim",A83=$B$23),$B$36,0)</x:f>
        <x:v>0</x:v>
      </x:c>
      <x:c r="I83" s="141" t="n">
        <x:f>IF(OR($B$22&lt;&gt;"Sim",A83&gt;=$B$23+$B$31-1),0,(I84+C84)/(1+$B$9))</x:f>
        <x:v>145429.30006193605</x:v>
      </x:c>
      <x:c r="J83" s="140" t="str">
        <x:f>IF($B$22&lt;&gt;"Sim","Desativada",IF(A83&lt;$B$23,"Antes da compra",IF(A83&lt;$B$23+$B$31,"Parcelas restantes","Encerrado")))</x:f>
        <x:v>Parcelas restantes</x:v>
      </x:c>
      <x:c r="K83" s="141" t="n">
        <x:f>IF(C83&gt;0,C83/(1+$B$9)^A83,0)</x:f>
        <x:v>1025.2963747398057</x:v>
      </x:c>
    </x:row>
    <x:row r="84">
      <x:c r="A84" s="142" t="n">
        <x:v>30</x:v>
      </x:c>
      <x:c r="B84" s="179" t="n">
        <x:f>EDATE($B$5,A84-1)</x:f>
        <x:v>47423</x:v>
      </x:c>
      <x:c r="C84" s="141" t="n">
        <x:f>IF(AND($B$22="Sim",A84&gt;=$B$23,A84&lt;$B$23+$B$31),$B$32*D84,0)</x:f>
        <x:v>1348.3200000000002</x:v>
      </x:c>
      <x:c r="D84" s="180" t="n">
        <x:f>IF(A84&lt;$B$23,1,(1+$B$33)^INT((A84-$B$23)/12))</x:f>
        <x:v>1.1236000000000002</x:v>
      </x:c>
      <x:c r="E84" s="141" t="n">
        <x:f>IF(AND($B$22="Sim",A84=$B$23),$B$37,0)</x:f>
        <x:v>0</x:v>
      </x:c>
      <x:c r="F84" s="141" t="n">
        <x:f>IF(AND($B$22="Sim",A84=$B$24),$B$27,0)</x:f>
        <x:v>0</x:v>
      </x:c>
      <x:c r="G84" s="141" t="n">
        <x:f>IF(AND($B$22="Sim",A84=$B$23),$B$35,0)</x:f>
        <x:v>0</x:v>
      </x:c>
      <x:c r="H84" s="141" t="n">
        <x:f>IF(AND($B$22="Sim",A84=$B$23),$B$36,0)</x:f>
        <x:v>0</x:v>
      </x:c>
      <x:c r="I84" s="141" t="n">
        <x:f>IF(OR($B$22&lt;&gt;"Sim",A84&gt;=$B$23+$B$31-1),0,(I85+C85)/(1+$B$9))</x:f>
        <x:v>145460.9285768451</x:v>
      </x:c>
      <x:c r="J84" s="140" t="str">
        <x:f>IF($B$22&lt;&gt;"Sim","Desativada",IF(A84&lt;$B$23,"Antes da compra",IF(A84&lt;$B$23+$B$31,"Parcelas restantes","Encerrado")))</x:f>
        <x:v>Parcelas restantes</x:v>
      </x:c>
      <x:c r="K84" s="141" t="n">
        <x:f>IF(C84&gt;0,C84/(1+$B$9)^A84,0)</x:f>
        <x:v>1015.6589968267702</x:v>
      </x:c>
    </x:row>
    <x:row r="85">
      <x:c r="A85" s="142" t="n">
        <x:v>31</x:v>
      </x:c>
      <x:c r="B85" s="179" t="n">
        <x:f>EDATE($B$5,A85-1)</x:f>
        <x:v>47453</x:v>
      </x:c>
      <x:c r="C85" s="141" t="n">
        <x:f>IF(AND($B$22="Sim",A85&gt;=$B$23,A85&lt;$B$23+$B$31),$B$32*D85,0)</x:f>
        <x:v>1348.3200000000002</x:v>
      </x:c>
      <x:c r="D85" s="180" t="n">
        <x:f>IF(A85&lt;$B$23,1,(1+$B$33)^INT((A85-$B$23)/12))</x:f>
        <x:v>1.1236000000000002</x:v>
      </x:c>
      <x:c r="E85" s="141" t="n">
        <x:f>IF(AND($B$22="Sim",A85=$B$23),$B$37,0)</x:f>
        <x:v>0</x:v>
      </x:c>
      <x:c r="F85" s="141" t="n">
        <x:f>IF(AND($B$22="Sim",A85=$B$24),$B$27,0)</x:f>
        <x:v>0</x:v>
      </x:c>
      <x:c r="G85" s="141" t="n">
        <x:f>IF(AND($B$22="Sim",A85=$B$23),$B$35,0)</x:f>
        <x:v>0</x:v>
      </x:c>
      <x:c r="H85" s="141" t="n">
        <x:f>IF(AND($B$22="Sim",A85=$B$23),$B$36,0)</x:f>
        <x:v>0</x:v>
      </x:c>
      <x:c r="I85" s="141" t="n">
        <x:f>IF(OR($B$22&lt;&gt;"Sim",A85&gt;=$B$23+$B$31-1),0,(I86+C86)/(1+$B$9))</x:f>
        <x:v>145492.85720818295</x:v>
      </x:c>
      <x:c r="J85" s="140" t="str">
        <x:f>IF($B$22&lt;&gt;"Sim","Desativada",IF(A85&lt;$B$23,"Antes da compra",IF(A85&lt;$B$23+$B$31,"Parcelas restantes","Encerrado")))</x:f>
        <x:v>Parcelas restantes</x:v>
      </x:c>
      <x:c r="K85" s="141" t="n">
        <x:f>IF(C85&gt;0,C85/(1+$B$9)^A85,0)</x:f>
        <x:v>1006.1122064309901</x:v>
      </x:c>
    </x:row>
    <x:row r="86">
      <x:c r="A86" s="142" t="n">
        <x:v>32</x:v>
      </x:c>
      <x:c r="B86" s="179" t="n">
        <x:f>EDATE($B$5,A86-1)</x:f>
        <x:v>47484</x:v>
      </x:c>
      <x:c r="C86" s="141" t="n">
        <x:f>IF(AND($B$22="Sim",A86&gt;=$B$23,A86&lt;$B$23+$B$31),$B$32*D86,0)</x:f>
        <x:v>1348.3200000000002</x:v>
      </x:c>
      <x:c r="D86" s="180" t="n">
        <x:f>IF(A86&lt;$B$23,1,(1+$B$33)^INT((A86-$B$23)/12))</x:f>
        <x:v>1.1236000000000002</x:v>
      </x:c>
      <x:c r="E86" s="141" t="n">
        <x:f>IF(AND($B$22="Sim",A86=$B$23),$B$37,0)</x:f>
        <x:v>0</x:v>
      </x:c>
      <x:c r="F86" s="141" t="n">
        <x:f>IF(AND($B$22="Sim",A86=$B$24),$B$27,0)</x:f>
        <x:v>0</x:v>
      </x:c>
      <x:c r="G86" s="141" t="n">
        <x:f>IF(AND($B$22="Sim",A86=$B$23),$B$35,0)</x:f>
        <x:v>0</x:v>
      </x:c>
      <x:c r="H86" s="141" t="n">
        <x:f>IF(AND($B$22="Sim",A86=$B$23),$B$36,0)</x:f>
        <x:v>0</x:v>
      </x:c>
      <x:c r="I86" s="141" t="n">
        <x:f>IF(OR($B$22&lt;&gt;"Sim",A86&gt;=$B$23+$B$31-1),0,(I87+C87)/(1+$B$9))</x:f>
        <x:v>145525.08880369226</x:v>
      </x:c>
      <x:c r="J86" s="140" t="str">
        <x:f>IF($B$22&lt;&gt;"Sim","Desativada",IF(A86&lt;$B$23,"Antes da compra",IF(A86&lt;$B$23+$B$31,"Parcelas restantes","Encerrado")))</x:f>
        <x:v>Parcelas restantes</x:v>
      </x:c>
      <x:c r="K86" s="141" t="n">
        <x:f>IF(C86&gt;0,C86/(1+$B$9)^A86,0)</x:f>
        <x:v>996.6551520658518</x:v>
      </x:c>
    </x:row>
    <x:row r="87">
      <x:c r="A87" s="142" t="n">
        <x:v>33</x:v>
      </x:c>
      <x:c r="B87" s="179" t="n">
        <x:f>EDATE($B$5,A87-1)</x:f>
        <x:v>47515</x:v>
      </x:c>
      <x:c r="C87" s="141" t="n">
        <x:f>IF(AND($B$22="Sim",A87&gt;=$B$23,A87&lt;$B$23+$B$31),$B$32*D87,0)</x:f>
        <x:v>1348.3200000000002</x:v>
      </x:c>
      <x:c r="D87" s="180" t="n">
        <x:f>IF(A87&lt;$B$23,1,(1+$B$33)^INT((A87-$B$23)/12))</x:f>
        <x:v>1.1236000000000002</x:v>
      </x:c>
      <x:c r="E87" s="141" t="n">
        <x:f>IF(AND($B$22="Sim",A87=$B$23),$B$37,0)</x:f>
        <x:v>0</x:v>
      </x:c>
      <x:c r="F87" s="141" t="n">
        <x:f>IF(AND($B$22="Sim",A87=$B$24),$B$27,0)</x:f>
        <x:v>0</x:v>
      </x:c>
      <x:c r="G87" s="141" t="n">
        <x:f>IF(AND($B$22="Sim",A87=$B$23),$B$35,0)</x:f>
        <x:v>0</x:v>
      </x:c>
      <x:c r="H87" s="141" t="n">
        <x:f>IF(AND($B$22="Sim",A87=$B$23),$B$36,0)</x:f>
        <x:v>0</x:v>
      </x:c>
      <x:c r="I87" s="141" t="n">
        <x:f>IF(OR($B$22&lt;&gt;"Sim",A87&gt;=$B$23+$B$31-1),0,(I88+C88)/(1+$B$9))</x:f>
        <x:v>145557.62623813728</x:v>
      </x:c>
      <x:c r="J87" s="140" t="str">
        <x:f>IF($B$22&lt;&gt;"Sim","Desativada",IF(A87&lt;$B$23,"Antes da compra",IF(A87&lt;$B$23+$B$31,"Parcelas restantes","Encerrado")))</x:f>
        <x:v>Parcelas restantes</x:v>
      </x:c>
      <x:c r="K87" s="141" t="n">
        <x:f>IF(C87&gt;0,C87/(1+$B$9)^A87,0)</x:f>
        <x:v>987.2869902483774</x:v>
      </x:c>
    </x:row>
    <x:row r="88">
      <x:c r="A88" s="142" t="n">
        <x:v>34</x:v>
      </x:c>
      <x:c r="B88" s="179" t="n">
        <x:f>EDATE($B$5,A88-1)</x:f>
        <x:v>47543</x:v>
      </x:c>
      <x:c r="C88" s="141" t="n">
        <x:f>IF(AND($B$22="Sim",A88&gt;=$B$23,A88&lt;$B$23+$B$31),$B$32*D88,0)</x:f>
        <x:v>1348.3200000000002</x:v>
      </x:c>
      <x:c r="D88" s="180" t="n">
        <x:f>IF(A88&lt;$B$23,1,(1+$B$33)^INT((A88-$B$23)/12))</x:f>
        <x:v>1.1236000000000002</x:v>
      </x:c>
      <x:c r="E88" s="141" t="n">
        <x:f>IF(AND($B$22="Sim",A88=$B$23),$B$37,0)</x:f>
        <x:v>0</x:v>
      </x:c>
      <x:c r="F88" s="141" t="n">
        <x:f>IF(AND($B$22="Sim",A88=$B$24),$B$27,0)</x:f>
        <x:v>0</x:v>
      </x:c>
      <x:c r="G88" s="141" t="n">
        <x:f>IF(AND($B$22="Sim",A88=$B$23),$B$35,0)</x:f>
        <x:v>0</x:v>
      </x:c>
      <x:c r="H88" s="141" t="n">
        <x:f>IF(AND($B$22="Sim",A88=$B$23),$B$36,0)</x:f>
        <x:v>0</x:v>
      </x:c>
      <x:c r="I88" s="141" t="n">
        <x:f>IF(OR($B$22&lt;&gt;"Sim",A88&gt;=$B$23+$B$31-1),0,(I89+C89)/(1+$B$9))</x:f>
        <x:v>145590.47241356038</x:v>
      </x:c>
      <x:c r="J88" s="140" t="str">
        <x:f>IF($B$22&lt;&gt;"Sim","Desativada",IF(A88&lt;$B$23,"Antes da compra",IF(A88&lt;$B$23+$B$31,"Parcelas restantes","Encerrado")))</x:f>
        <x:v>Parcelas restantes</x:v>
      </x:c>
      <x:c r="K88" s="141" t="n">
        <x:f>IF(C88&gt;0,C88/(1+$B$9)^A88,0)</x:f>
        <x:v>978.0068854239926</x:v>
      </x:c>
    </x:row>
    <x:row r="89">
      <x:c r="A89" s="142" t="n">
        <x:v>35</x:v>
      </x:c>
      <x:c r="B89" s="179" t="n">
        <x:f>EDATE($B$5,A89-1)</x:f>
        <x:v>47574</x:v>
      </x:c>
      <x:c r="C89" s="141" t="n">
        <x:f>IF(AND($B$22="Sim",A89&gt;=$B$23,A89&lt;$B$23+$B$31),$B$32*D89,0)</x:f>
        <x:v>1348.3200000000002</x:v>
      </x:c>
      <x:c r="D89" s="180" t="n">
        <x:f>IF(A89&lt;$B$23,1,(1+$B$33)^INT((A89-$B$23)/12))</x:f>
        <x:v>1.1236000000000002</x:v>
      </x:c>
      <x:c r="E89" s="141" t="n">
        <x:f>IF(AND($B$22="Sim",A89=$B$23),$B$37,0)</x:f>
        <x:v>0</x:v>
      </x:c>
      <x:c r="F89" s="141" t="n">
        <x:f>IF(AND($B$22="Sim",A89=$B$24),$B$27,0)</x:f>
        <x:v>0</x:v>
      </x:c>
      <x:c r="G89" s="141" t="n">
        <x:f>IF(AND($B$22="Sim",A89=$B$23),$B$35,0)</x:f>
        <x:v>0</x:v>
      </x:c>
      <x:c r="H89" s="141" t="n">
        <x:f>IF(AND($B$22="Sim",A89=$B$23),$B$36,0)</x:f>
        <x:v>0</x:v>
      </x:c>
      <x:c r="I89" s="141" t="n">
        <x:f>IF(OR($B$22&lt;&gt;"Sim",A89&gt;=$B$23+$B$31-1),0,(I90+C90)/(1+$B$9))</x:f>
        <x:v>145623.63025954078</x:v>
      </x:c>
      <x:c r="J89" s="140" t="str">
        <x:f>IF($B$22&lt;&gt;"Sim","Desativada",IF(A89&lt;$B$23,"Antes da compra",IF(A89&lt;$B$23+$B$31,"Parcelas restantes","Encerrado")))</x:f>
        <x:v>Parcelas restantes</x:v>
      </x:c>
      <x:c r="K89" s="141" t="n">
        <x:f>IF(C89&gt;0,C89/(1+$B$9)^A89,0)</x:f>
        <x:v>968.8140098920042</x:v>
      </x:c>
    </x:row>
    <x:row r="90">
      <x:c r="A90" s="142" t="n">
        <x:v>36</x:v>
      </x:c>
      <x:c r="B90" s="179" t="n">
        <x:f>EDATE($B$5,A90-1)</x:f>
        <x:v>47604</x:v>
      </x:c>
      <x:c r="C90" s="141" t="n">
        <x:f>IF(AND($B$22="Sim",A90&gt;=$B$23,A90&lt;$B$23+$B$31),$B$32*D90,0)</x:f>
        <x:v>1348.3200000000002</x:v>
      </x:c>
      <x:c r="D90" s="180" t="n">
        <x:f>IF(A90&lt;$B$23,1,(1+$B$33)^INT((A90-$B$23)/12))</x:f>
        <x:v>1.1236000000000002</x:v>
      </x:c>
      <x:c r="E90" s="141" t="n">
        <x:f>IF(AND($B$22="Sim",A90=$B$23),$B$37,0)</x:f>
        <x:v>0</x:v>
      </x:c>
      <x:c r="F90" s="141" t="n">
        <x:f>IF(AND($B$22="Sim",A90=$B$24),$B$27,0)</x:f>
        <x:v>0</x:v>
      </x:c>
      <x:c r="G90" s="141" t="n">
        <x:f>IF(AND($B$22="Sim",A90=$B$23),$B$35,0)</x:f>
        <x:v>0</x:v>
      </x:c>
      <x:c r="H90" s="141" t="n">
        <x:f>IF(AND($B$22="Sim",A90=$B$23),$B$36,0)</x:f>
        <x:v>0</x:v>
      </x:c>
      <x:c r="I90" s="141" t="n">
        <x:f>IF(OR($B$22&lt;&gt;"Sim",A90&gt;=$B$23+$B$31-1),0,(I91+C91)/(1+$B$9))</x:f>
        <x:v>145657.10273345583</x:v>
      </x:c>
      <x:c r="J90" s="140" t="str">
        <x:f>IF($B$22&lt;&gt;"Sim","Desativada",IF(A90&lt;$B$23,"Antes da compra",IF(A90&lt;$B$23+$B$31,"Parcelas restantes","Encerrado")))</x:f>
        <x:v>Parcelas restantes</x:v>
      </x:c>
      <x:c r="K90" s="141" t="n">
        <x:f>IF(C90&gt;0,C90/(1+$B$9)^A90,0)</x:f>
        <x:v>959.7075437317761</x:v>
      </x:c>
    </x:row>
    <x:row r="91">
      <x:c r="A91" s="142" t="n">
        <x:v>37</x:v>
      </x:c>
      <x:c r="B91" s="179" t="n">
        <x:f>EDATE($B$5,A91-1)</x:f>
        <x:v>47635</x:v>
      </x:c>
      <x:c r="C91" s="141" t="n">
        <x:f>IF(AND($B$22="Sim",A91&gt;=$B$23,A91&lt;$B$23+$B$31),$B$32*D91,0)</x:f>
        <x:v>1429.2192</x:v>
      </x:c>
      <x:c r="D91" s="180" t="n">
        <x:f>IF(A91&lt;$B$23,1,(1+$B$33)^INT((A91-$B$23)/12))</x:f>
        <x:v>1.191016</x:v>
      </x:c>
      <x:c r="E91" s="141" t="n">
        <x:f>IF(AND($B$22="Sim",A91=$B$23),$B$37,0)</x:f>
        <x:v>0</x:v>
      </x:c>
      <x:c r="F91" s="141" t="n">
        <x:f>IF(AND($B$22="Sim",A91=$B$24),$B$27,0)</x:f>
        <x:v>0</x:v>
      </x:c>
      <x:c r="G91" s="141" t="n">
        <x:f>IF(AND($B$22="Sim",A91=$B$23),$B$35,0)</x:f>
        <x:v>0</x:v>
      </x:c>
      <x:c r="H91" s="141" t="n">
        <x:f>IF(AND($B$22="Sim",A91=$B$23),$B$36,0)</x:f>
        <x:v>0</x:v>
      </x:c>
      <x:c r="I91" s="141" t="n">
        <x:f>IF(OR($B$22&lt;&gt;"Sim",A91&gt;=$B$23+$B$31-1),0,(I92+C92)/(1+$B$9))</x:f>
        <x:v>145609.99362074488</x:v>
      </x:c>
      <x:c r="J91" s="140" t="str">
        <x:f>IF($B$22&lt;&gt;"Sim","Desativada",IF(A91&lt;$B$23,"Antes da compra",IF(A91&lt;$B$23+$B$31,"Parcelas restantes","Encerrado")))</x:f>
        <x:v>Parcelas restantes</x:v>
      </x:c>
      <x:c r="K91" s="141" t="n">
        <x:f>IF(C91&gt;0,C91/(1+$B$9)^A91,0)</x:f>
        <x:v>1007.7278752133755</x:v>
      </x:c>
    </x:row>
    <x:row r="92">
      <x:c r="A92" s="142" t="n">
        <x:v>38</x:v>
      </x:c>
      <x:c r="B92" s="179" t="n">
        <x:f>EDATE($B$5,A92-1)</x:f>
        <x:v>47665</x:v>
      </x:c>
      <x:c r="C92" s="141" t="n">
        <x:f>IF(AND($B$22="Sim",A92&gt;=$B$23,A92&lt;$B$23+$B$31),$B$32*D92,0)</x:f>
        <x:v>1429.2192</x:v>
      </x:c>
      <x:c r="D92" s="180" t="n">
        <x:f>IF(A92&lt;$B$23,1,(1+$B$33)^INT((A92-$B$23)/12))</x:f>
        <x:v>1.191016</x:v>
      </x:c>
      <x:c r="E92" s="141" t="n">
        <x:f>IF(AND($B$22="Sim",A92=$B$23),$B$37,0)</x:f>
        <x:v>0</x:v>
      </x:c>
      <x:c r="F92" s="141" t="n">
        <x:f>IF(AND($B$22="Sim",A92=$B$24),$B$27,0)</x:f>
        <x:v>0</x:v>
      </x:c>
      <x:c r="G92" s="141" t="n">
        <x:f>IF(AND($B$22="Sim",A92=$B$23),$B$35,0)</x:f>
        <x:v>0</x:v>
      </x:c>
      <x:c r="H92" s="141" t="n">
        <x:f>IF(AND($B$22="Sim",A92=$B$23),$B$36,0)</x:f>
        <x:v>0</x:v>
      </x:c>
      <x:c r="I92" s="141" t="n">
        <x:f>IF(OR($B$22&lt;&gt;"Sim",A92&gt;=$B$23+$B$31-1),0,(I93+C93)/(1+$B$9))</x:f>
        <x:v>145562.4374994181</x:v>
      </x:c>
      <x:c r="J92" s="140" t="str">
        <x:f>IF($B$22&lt;&gt;"Sim","Desativada",IF(A92&lt;$B$23,"Antes da compra",IF(A92&lt;$B$23+$B$31,"Parcelas restantes","Encerrado")))</x:f>
        <x:v>Parcelas restantes</x:v>
      </x:c>
      <x:c r="K92" s="141" t="n">
        <x:f>IF(C92&gt;0,C92/(1+$B$9)^A92,0)</x:f>
        <x:v>998.2556342046269</x:v>
      </x:c>
    </x:row>
    <x:row r="93">
      <x:c r="A93" s="142" t="n">
        <x:v>39</x:v>
      </x:c>
      <x:c r="B93" s="179" t="n">
        <x:f>EDATE($B$5,A93-1)</x:f>
        <x:v>47696</x:v>
      </x:c>
      <x:c r="C93" s="141" t="n">
        <x:f>IF(AND($B$22="Sim",A93&gt;=$B$23,A93&lt;$B$23+$B$31),$B$32*D93,0)</x:f>
        <x:v>1429.2192</x:v>
      </x:c>
      <x:c r="D93" s="180" t="n">
        <x:f>IF(A93&lt;$B$23,1,(1+$B$33)^INT((A93-$B$23)/12))</x:f>
        <x:v>1.191016</x:v>
      </x:c>
      <x:c r="E93" s="141" t="n">
        <x:f>IF(AND($B$22="Sim",A93=$B$23),$B$37,0)</x:f>
        <x:v>0</x:v>
      </x:c>
      <x:c r="F93" s="141" t="n">
        <x:f>IF(AND($B$22="Sim",A93=$B$24),$B$27,0)</x:f>
        <x:v>0</x:v>
      </x:c>
      <x:c r="G93" s="141" t="n">
        <x:f>IF(AND($B$22="Sim",A93=$B$23),$B$35,0)</x:f>
        <x:v>0</x:v>
      </x:c>
      <x:c r="H93" s="141" t="n">
        <x:f>IF(AND($B$22="Sim",A93=$B$23),$B$36,0)</x:f>
        <x:v>0</x:v>
      </x:c>
      <x:c r="I93" s="141" t="n">
        <x:f>IF(OR($B$22&lt;&gt;"Sim",A93&gt;=$B$23+$B$31-1),0,(I94+C94)/(1+$B$9))</x:f>
        <x:v>145514.43012790327</x:v>
      </x:c>
      <x:c r="J93" s="140" t="str">
        <x:f>IF($B$22&lt;&gt;"Sim","Desativada",IF(A93&lt;$B$23,"Antes da compra",IF(A93&lt;$B$23+$B$31,"Parcelas restantes","Encerrado")))</x:f>
        <x:v>Parcelas restantes</x:v>
      </x:c>
      <x:c r="K93" s="141" t="n">
        <x:f>IF(C93&gt;0,C93/(1+$B$9)^A93,0)</x:f>
        <x:v>988.8724284919485</x:v>
      </x:c>
    </x:row>
    <x:row r="94">
      <x:c r="A94" s="142" t="n">
        <x:v>40</x:v>
      </x:c>
      <x:c r="B94" s="179" t="n">
        <x:f>EDATE($B$5,A94-1)</x:f>
        <x:v>47727</x:v>
      </x:c>
      <x:c r="C94" s="141" t="n">
        <x:f>IF(AND($B$22="Sim",A94&gt;=$B$23,A94&lt;$B$23+$B$31),$B$32*D94,0)</x:f>
        <x:v>1429.2192</x:v>
      </x:c>
      <x:c r="D94" s="180" t="n">
        <x:f>IF(A94&lt;$B$23,1,(1+$B$33)^INT((A94-$B$23)/12))</x:f>
        <x:v>1.191016</x:v>
      </x:c>
      <x:c r="E94" s="141" t="n">
        <x:f>IF(AND($B$22="Sim",A94=$B$23),$B$37,0)</x:f>
        <x:v>0</x:v>
      </x:c>
      <x:c r="F94" s="141" t="n">
        <x:f>IF(AND($B$22="Sim",A94=$B$24),$B$27,0)</x:f>
        <x:v>0</x:v>
      </x:c>
      <x:c r="G94" s="141" t="n">
        <x:f>IF(AND($B$22="Sim",A94=$B$23),$B$35,0)</x:f>
        <x:v>0</x:v>
      </x:c>
      <x:c r="H94" s="141" t="n">
        <x:f>IF(AND($B$22="Sim",A94=$B$23),$B$36,0)</x:f>
        <x:v>0</x:v>
      </x:c>
      <x:c r="I94" s="141" t="n">
        <x:f>IF(OR($B$22&lt;&gt;"Sim",A94&gt;=$B$23+$B$31-1),0,(I95+C95)/(1+$B$9))</x:f>
        <x:v>145465.9672243808</x:v>
      </x:c>
      <x:c r="J94" s="140" t="str">
        <x:f>IF($B$22&lt;&gt;"Sim","Desativada",IF(A94&lt;$B$23,"Antes da compra",IF(A94&lt;$B$23+$B$31,"Parcelas restantes","Encerrado")))</x:f>
        <x:v>Parcelas restantes</x:v>
      </x:c>
      <x:c r="K94" s="141" t="n">
        <x:f>IF(C94&gt;0,C94/(1+$B$9)^A94,0)</x:f>
        <x:v>979.5774211789883</x:v>
      </x:c>
    </x:row>
    <x:row r="95">
      <x:c r="A95" s="142" t="n">
        <x:v>41</x:v>
      </x:c>
      <x:c r="B95" s="179" t="n">
        <x:f>EDATE($B$5,A95-1)</x:f>
        <x:v>47757</x:v>
      </x:c>
      <x:c r="C95" s="141" t="n">
        <x:f>IF(AND($B$22="Sim",A95&gt;=$B$23,A95&lt;$B$23+$B$31),$B$32*D95,0)</x:f>
        <x:v>1429.2192</x:v>
      </x:c>
      <x:c r="D95" s="180" t="n">
        <x:f>IF(A95&lt;$B$23,1,(1+$B$33)^INT((A95-$B$23)/12))</x:f>
        <x:v>1.191016</x:v>
      </x:c>
      <x:c r="E95" s="141" t="n">
        <x:f>IF(AND($B$22="Sim",A95=$B$23),$B$37,0)</x:f>
        <x:v>0</x:v>
      </x:c>
      <x:c r="F95" s="141" t="n">
        <x:f>IF(AND($B$22="Sim",A95=$B$24),$B$27,0)</x:f>
        <x:v>0</x:v>
      </x:c>
      <x:c r="G95" s="141" t="n">
        <x:f>IF(AND($B$22="Sim",A95=$B$23),$B$35,0)</x:f>
        <x:v>0</x:v>
      </x:c>
      <x:c r="H95" s="141" t="n">
        <x:f>IF(AND($B$22="Sim",A95=$B$23),$B$36,0)</x:f>
        <x:v>0</x:v>
      </x:c>
      <x:c r="I95" s="141" t="n">
        <x:f>IF(OR($B$22&lt;&gt;"Sim",A95&gt;=$B$23+$B$31-1),0,(I96+C96)/(1+$B$9))</x:f>
        <x:v>145417.0444664018</x:v>
      </x:c>
      <x:c r="J95" s="140" t="str">
        <x:f>IF($B$22&lt;&gt;"Sim","Desativada",IF(A95&lt;$B$23,"Antes da compra",IF(A95&lt;$B$23+$B$31,"Parcelas restantes","Encerrado")))</x:f>
        <x:v>Parcelas restantes</x:v>
      </x:c>
      <x:c r="K95" s="141" t="n">
        <x:f>IF(C95&gt;0,C95/(1+$B$9)^A95,0)</x:f>
        <x:v>970.3697832358866</x:v>
      </x:c>
    </x:row>
    <x:row r="96">
      <x:c r="A96" s="142" t="n">
        <x:v>42</x:v>
      </x:c>
      <x:c r="B96" s="179" t="n">
        <x:f>EDATE($B$5,A96-1)</x:f>
        <x:v>47788</x:v>
      </x:c>
      <x:c r="C96" s="141" t="n">
        <x:f>IF(AND($B$22="Sim",A96&gt;=$B$23,A96&lt;$B$23+$B$31),$B$32*D96,0)</x:f>
        <x:v>1429.2192</x:v>
      </x:c>
      <x:c r="D96" s="180" t="n">
        <x:f>IF(A96&lt;$B$23,1,(1+$B$33)^INT((A96-$B$23)/12))</x:f>
        <x:v>1.191016</x:v>
      </x:c>
      <x:c r="E96" s="141" t="n">
        <x:f>IF(AND($B$22="Sim",A96=$B$23),$B$37,0)</x:f>
        <x:v>0</x:v>
      </x:c>
      <x:c r="F96" s="141" t="n">
        <x:f>IF(AND($B$22="Sim",A96=$B$24),$B$27,0)</x:f>
        <x:v>0</x:v>
      </x:c>
      <x:c r="G96" s="141" t="n">
        <x:f>IF(AND($B$22="Sim",A96=$B$23),$B$35,0)</x:f>
        <x:v>0</x:v>
      </x:c>
      <x:c r="H96" s="141" t="n">
        <x:f>IF(AND($B$22="Sim",A96=$B$23),$B$36,0)</x:f>
        <x:v>0</x:v>
      </x:c>
      <x:c r="I96" s="141" t="n">
        <x:f>IF(OR($B$22&lt;&gt;"Sim",A96&gt;=$B$23+$B$31-1),0,(I97+C97)/(1+$B$9))</x:f>
        <x:v>145367.65749050255</x:v>
      </x:c>
      <x:c r="J96" s="140" t="str">
        <x:f>IF($B$22&lt;&gt;"Sim","Desativada",IF(A96&lt;$B$23,"Antes da compra",IF(A96&lt;$B$23+$B$31,"Parcelas restantes","Encerrado")))</x:f>
        <x:v>Parcelas restantes</x:v>
      </x:c>
      <x:c r="K96" s="141" t="n">
        <x:f>IF(C96&gt;0,C96/(1+$B$9)^A96,0)</x:f>
        <x:v>961.2486934253351</x:v>
      </x:c>
    </x:row>
    <x:row r="97">
      <x:c r="A97" s="142" t="n">
        <x:v>43</x:v>
      </x:c>
      <x:c r="B97" s="179" t="n">
        <x:f>EDATE($B$5,A97-1)</x:f>
        <x:v>47818</x:v>
      </x:c>
      <x:c r="C97" s="141" t="n">
        <x:f>IF(AND($B$22="Sim",A97&gt;=$B$23,A97&lt;$B$23+$B$31),$B$32*D97,0)</x:f>
        <x:v>1429.2192</x:v>
      </x:c>
      <x:c r="D97" s="180" t="n">
        <x:f>IF(A97&lt;$B$23,1,(1+$B$33)^INT((A97-$B$23)/12))</x:f>
        <x:v>1.191016</x:v>
      </x:c>
      <x:c r="E97" s="141" t="n">
        <x:f>IF(AND($B$22="Sim",A97=$B$23),$B$37,0)</x:f>
        <x:v>0</x:v>
      </x:c>
      <x:c r="F97" s="141" t="n">
        <x:f>IF(AND($B$22="Sim",A97=$B$24),$B$27,0)</x:f>
        <x:v>0</x:v>
      </x:c>
      <x:c r="G97" s="141" t="n">
        <x:f>IF(AND($B$22="Sim",A97=$B$23),$B$35,0)</x:f>
        <x:v>0</x:v>
      </x:c>
      <x:c r="H97" s="141" t="n">
        <x:f>IF(AND($B$22="Sim",A97=$B$23),$B$36,0)</x:f>
        <x:v>0</x:v>
      </x:c>
      <x:c r="I97" s="141" t="n">
        <x:f>IF(OR($B$22&lt;&gt;"Sim",A97&gt;=$B$23+$B$31-1),0,(I98+C98)/(1+$B$9))</x:f>
        <x:v>145317.80189181532</x:v>
      </x:c>
      <x:c r="J97" s="140" t="str">
        <x:f>IF($B$22&lt;&gt;"Sim","Desativada",IF(A97&lt;$B$23,"Antes da compra",IF(A97&lt;$B$23+$B$31,"Parcelas restantes","Encerrado")))</x:f>
        <x:v>Parcelas restantes</x:v>
      </x:c>
      <x:c r="K97" s="141" t="n">
        <x:f>IF(C97&gt;0,C97/(1+$B$9)^A97,0)</x:f>
        <x:v>952.213338229329</x:v>
      </x:c>
    </x:row>
    <x:row r="98">
      <x:c r="A98" s="142" t="n">
        <x:v>44</x:v>
      </x:c>
      <x:c r="B98" s="179" t="n">
        <x:f>EDATE($B$5,A98-1)</x:f>
        <x:v>47849</x:v>
      </x:c>
      <x:c r="C98" s="141" t="n">
        <x:f>IF(AND($B$22="Sim",A98&gt;=$B$23,A98&lt;$B$23+$B$31),$B$32*D98,0)</x:f>
        <x:v>1429.2192</x:v>
      </x:c>
      <x:c r="D98" s="180" t="n">
        <x:f>IF(A98&lt;$B$23,1,(1+$B$33)^INT((A98-$B$23)/12))</x:f>
        <x:v>1.191016</x:v>
      </x:c>
      <x:c r="E98" s="141" t="n">
        <x:f>IF(AND($B$22="Sim",A98=$B$23),$B$37,0)</x:f>
        <x:v>0</x:v>
      </x:c>
      <x:c r="F98" s="141" t="n">
        <x:f>IF(AND($B$22="Sim",A98=$B$24),$B$27,0)</x:f>
        <x:v>0</x:v>
      </x:c>
      <x:c r="G98" s="141" t="n">
        <x:f>IF(AND($B$22="Sim",A98=$B$23),$B$35,0)</x:f>
        <x:v>0</x:v>
      </x:c>
      <x:c r="H98" s="141" t="n">
        <x:f>IF(AND($B$22="Sim",A98=$B$23),$B$36,0)</x:f>
        <x:v>0</x:v>
      </x:c>
      <x:c r="I98" s="141" t="n">
        <x:f>IF(OR($B$22&lt;&gt;"Sim",A98&gt;=$B$23+$B$31-1),0,(I99+C99)/(1+$B$9))</x:f>
        <x:v>145267.47322367554</x:v>
      </x:c>
      <x:c r="J98" s="140" t="str">
        <x:f>IF($B$22&lt;&gt;"Sim","Desativada",IF(A98&lt;$B$23,"Antes da compra",IF(A98&lt;$B$23+$B$31,"Parcelas restantes","Encerrado")))</x:f>
        <x:v>Parcelas restantes</x:v>
      </x:c>
      <x:c r="K98" s="141" t="n">
        <x:f>IF(C98&gt;0,C98/(1+$B$9)^A98,0)</x:f>
        <x:v>943.2629117766089</x:v>
      </x:c>
    </x:row>
    <x:row r="99">
      <x:c r="A99" s="142" t="n">
        <x:v>45</x:v>
      </x:c>
      <x:c r="B99" s="179" t="n">
        <x:f>EDATE($B$5,A99-1)</x:f>
        <x:v>47880</x:v>
      </x:c>
      <x:c r="C99" s="141" t="n">
        <x:f>IF(AND($B$22="Sim",A99&gt;=$B$23,A99&lt;$B$23+$B$31),$B$32*D99,0)</x:f>
        <x:v>1429.2192</x:v>
      </x:c>
      <x:c r="D99" s="180" t="n">
        <x:f>IF(A99&lt;$B$23,1,(1+$B$33)^INT((A99-$B$23)/12))</x:f>
        <x:v>1.191016</x:v>
      </x:c>
      <x:c r="E99" s="141" t="n">
        <x:f>IF(AND($B$22="Sim",A99=$B$23),$B$37,0)</x:f>
        <x:v>0</x:v>
      </x:c>
      <x:c r="F99" s="141" t="n">
        <x:f>IF(AND($B$22="Sim",A99=$B$24),$B$27,0)</x:f>
        <x:v>0</x:v>
      </x:c>
      <x:c r="G99" s="141" t="n">
        <x:f>IF(AND($B$22="Sim",A99=$B$23),$B$35,0)</x:f>
        <x:v>0</x:v>
      </x:c>
      <x:c r="H99" s="141" t="n">
        <x:f>IF(AND($B$22="Sim",A99=$B$23),$B$36,0)</x:f>
        <x:v>0</x:v>
      </x:c>
      <x:c r="I99" s="141" t="n">
        <x:f>IF(OR($B$22&lt;&gt;"Sim",A99&gt;=$B$23+$B$31-1),0,(I100+C100)/(1+$B$9))</x:f>
        <x:v>145216.66699722508</x:v>
      </x:c>
      <x:c r="J99" s="140" t="str">
        <x:f>IF($B$22&lt;&gt;"Sim","Desativada",IF(A99&lt;$B$23,"Antes da compra",IF(A99&lt;$B$23+$B$31,"Parcelas restantes","Encerrado")))</x:f>
        <x:v>Parcelas restantes</x:v>
      </x:c>
      <x:c r="K99" s="141" t="n">
        <x:f>IF(C99&gt;0,C99/(1+$B$9)^A99,0)</x:f>
        <x:v>934.3966157707847</x:v>
      </x:c>
    </x:row>
    <x:row r="100">
      <x:c r="A100" s="142" t="n">
        <x:v>46</x:v>
      </x:c>
      <x:c r="B100" s="179" t="n">
        <x:f>EDATE($B$5,A100-1)</x:f>
        <x:v>47908</x:v>
      </x:c>
      <x:c r="C100" s="141" t="n">
        <x:f>IF(AND($B$22="Sim",A100&gt;=$B$23,A100&lt;$B$23+$B$31),$B$32*D100,0)</x:f>
        <x:v>1429.2192</x:v>
      </x:c>
      <x:c r="D100" s="180" t="n">
        <x:f>IF(A100&lt;$B$23,1,(1+$B$33)^INT((A100-$B$23)/12))</x:f>
        <x:v>1.191016</x:v>
      </x:c>
      <x:c r="E100" s="141" t="n">
        <x:f>IF(AND($B$22="Sim",A100=$B$23),$B$37,0)</x:f>
        <x:v>0</x:v>
      </x:c>
      <x:c r="F100" s="141" t="n">
        <x:f>IF(AND($B$22="Sim",A100=$B$24),$B$27,0)</x:f>
        <x:v>0</x:v>
      </x:c>
      <x:c r="G100" s="141" t="n">
        <x:f>IF(AND($B$22="Sim",A100=$B$23),$B$35,0)</x:f>
        <x:v>0</x:v>
      </x:c>
      <x:c r="H100" s="141" t="n">
        <x:f>IF(AND($B$22="Sim",A100=$B$23),$B$36,0)</x:f>
        <x:v>0</x:v>
      </x:c>
      <x:c r="I100" s="141" t="n">
        <x:f>IF(OR($B$22&lt;&gt;"Sim",A100&gt;=$B$23+$B$31-1),0,(I101+C101)/(1+$B$9))</x:f>
        <x:v>145165.37868101205</x:v>
      </x:c>
      <x:c r="J100" s="140" t="str">
        <x:f>IF($B$22&lt;&gt;"Sim","Desativada",IF(A100&lt;$B$23,"Antes da compra",IF(A100&lt;$B$23+$B$31,"Parcelas restantes","Encerrado")))</x:f>
        <x:v>Parcelas restantes</x:v>
      </x:c>
      <x:c r="K100" s="141" t="n">
        <x:f>IF(C100&gt;0,C100/(1+$B$9)^A100,0)</x:f>
        <x:v>925.6136594191349</x:v>
      </x:c>
    </x:row>
    <x:row r="101">
      <x:c r="A101" s="142" t="n">
        <x:v>47</x:v>
      </x:c>
      <x:c r="B101" s="179" t="n">
        <x:f>EDATE($B$5,A101-1)</x:f>
        <x:v>47939</x:v>
      </x:c>
      <x:c r="C101" s="141" t="n">
        <x:f>IF(AND($B$22="Sim",A101&gt;=$B$23,A101&lt;$B$23+$B$31),$B$32*D101,0)</x:f>
        <x:v>1429.2192</x:v>
      </x:c>
      <x:c r="D101" s="180" t="n">
        <x:f>IF(A101&lt;$B$23,1,(1+$B$33)^INT((A101-$B$23)/12))</x:f>
        <x:v>1.191016</x:v>
      </x:c>
      <x:c r="E101" s="141" t="n">
        <x:f>IF(AND($B$22="Sim",A101=$B$23),$B$37,0)</x:f>
        <x:v>0</x:v>
      </x:c>
      <x:c r="F101" s="141" t="n">
        <x:f>IF(AND($B$22="Sim",A101=$B$24),$B$27,0)</x:f>
        <x:v>0</x:v>
      </x:c>
      <x:c r="G101" s="141" t="n">
        <x:f>IF(AND($B$22="Sim",A101=$B$23),$B$35,0)</x:f>
        <x:v>0</x:v>
      </x:c>
      <x:c r="H101" s="141" t="n">
        <x:f>IF(AND($B$22="Sim",A101=$B$23),$B$36,0)</x:f>
        <x:v>0</x:v>
      </x:c>
      <x:c r="I101" s="141" t="n">
        <x:f>IF(OR($B$22&lt;&gt;"Sim",A101&gt;=$B$23+$B$31-1),0,(I102+C102)/(1+$B$9))</x:f>
        <x:v>145113.6037005865</x:v>
      </x:c>
      <x:c r="J101" s="140" t="str">
        <x:f>IF($B$22&lt;&gt;"Sim","Desativada",IF(A101&lt;$B$23,"Antes da compra",IF(A101&lt;$B$23+$B$31,"Parcelas restantes","Encerrado")))</x:f>
        <x:v>Parcelas restantes</x:v>
      </x:c>
      <x:c r="K101" s="141" t="n">
        <x:f>IF(C101&gt;0,C101/(1+$B$9)^A101,0)</x:f>
        <x:v>916.9132593620745</x:v>
      </x:c>
    </x:row>
    <x:row r="102">
      <x:c r="A102" s="142" t="n">
        <x:v>48</x:v>
      </x:c>
      <x:c r="B102" s="179" t="n">
        <x:f>EDATE($B$5,A102-1)</x:f>
        <x:v>47969</x:v>
      </x:c>
      <x:c r="C102" s="141" t="n">
        <x:f>IF(AND($B$22="Sim",A102&gt;=$B$23,A102&lt;$B$23+$B$31),$B$32*D102,0)</x:f>
        <x:v>1429.2192</x:v>
      </x:c>
      <x:c r="D102" s="180" t="n">
        <x:f>IF(A102&lt;$B$23,1,(1+$B$33)^INT((A102-$B$23)/12))</x:f>
        <x:v>1.191016</x:v>
      </x:c>
      <x:c r="E102" s="141" t="n">
        <x:f>IF(AND($B$22="Sim",A102=$B$23),$B$37,0)</x:f>
        <x:v>0</x:v>
      </x:c>
      <x:c r="F102" s="141" t="n">
        <x:f>IF(AND($B$22="Sim",A102=$B$24),$B$27,0)</x:f>
        <x:v>0</x:v>
      </x:c>
      <x:c r="G102" s="141" t="n">
        <x:f>IF(AND($B$22="Sim",A102=$B$23),$B$35,0)</x:f>
        <x:v>0</x:v>
      </x:c>
      <x:c r="H102" s="141" t="n">
        <x:f>IF(AND($B$22="Sim",A102=$B$23),$B$36,0)</x:f>
        <x:v>0</x:v>
      </x:c>
      <x:c r="I102" s="141" t="n">
        <x:f>IF(OR($B$22&lt;&gt;"Sim",A102&gt;=$B$23+$B$31-1),0,(I103+C103)/(1+$B$9))</x:f>
        <x:v>145061.33743809254</x:v>
      </x:c>
      <x:c r="J102" s="140" t="str">
        <x:f>IF($B$22&lt;&gt;"Sim","Desativada",IF(A102&lt;$B$23,"Antes da compra",IF(A102&lt;$B$23+$B$31,"Parcelas restantes","Encerrado")))</x:f>
        <x:v>Parcelas restantes</x:v>
      </x:c>
      <x:c r="K102" s="141" t="n">
        <x:f>IF(C102&gt;0,C102/(1+$B$9)^A102,0)</x:f>
        <x:v>908.2946396032872</x:v>
      </x:c>
    </x:row>
    <x:row r="103">
      <x:c r="A103" s="142" t="n">
        <x:v>49</x:v>
      </x:c>
      <x:c r="B103" s="179" t="n">
        <x:f>EDATE($B$5,A103-1)</x:f>
        <x:v>48000</x:v>
      </x:c>
      <x:c r="C103" s="141" t="n">
        <x:f>IF(AND($B$22="Sim",A103&gt;=$B$23,A103&lt;$B$23+$B$31),$B$32*D103,0)</x:f>
        <x:v>1514.9723520000005</x:v>
      </x:c>
      <x:c r="D103" s="180" t="n">
        <x:f>IF(A103&lt;$B$23,1,(1+$B$33)^INT((A103-$B$23)/12))</x:f>
        <x:v>1.2624769600000003</x:v>
      </x:c>
      <x:c r="E103" s="141" t="n">
        <x:f>IF(AND($B$22="Sim",A103=$B$23),$B$37,0)</x:f>
        <x:v>0</x:v>
      </x:c>
      <x:c r="F103" s="141" t="n">
        <x:f>IF(AND($B$22="Sim",A103=$B$24),$B$27,0)</x:f>
        <x:v>0</x:v>
      </x:c>
      <x:c r="G103" s="141" t="n">
        <x:f>IF(AND($B$22="Sim",A103=$B$23),$B$35,0)</x:f>
        <x:v>0</x:v>
      </x:c>
      <x:c r="H103" s="141" t="n">
        <x:f>IF(AND($B$22="Sim",A103=$B$23),$B$36,0)</x:f>
        <x:v>0</x:v>
      </x:c>
      <x:c r="I103" s="141" t="n">
        <x:f>IF(OR($B$22&lt;&gt;"Sim",A103&gt;=$B$23+$B$31-1),0,(I104+C104)/(1+$B$9))</x:f>
        <x:v>144922.82207985627</x:v>
      </x:c>
      <x:c r="J103" s="140" t="str">
        <x:f>IF($B$22&lt;&gt;"Sim","Desativada",IF(A103&lt;$B$23,"Antes da compra",IF(A103&lt;$B$23+$B$31,"Parcelas restantes","Encerrado")))</x:f>
        <x:v>Parcelas restantes</x:v>
      </x:c>
      <x:c r="K103" s="141" t="n">
        <x:f>IF(C103&gt;0,C103/(1+$B$9)^A103,0)</x:f>
        <x:v>953.7424533269441</x:v>
      </x:c>
    </x:row>
    <x:row r="104">
      <x:c r="A104" s="142" t="n">
        <x:v>50</x:v>
      </x:c>
      <x:c r="B104" s="179" t="n">
        <x:f>EDATE($B$5,A104-1)</x:f>
        <x:v>48030</x:v>
      </x:c>
      <x:c r="C104" s="141" t="n">
        <x:f>IF(AND($B$22="Sim",A104&gt;=$B$23,A104&lt;$B$23+$B$31),$B$32*D104,0)</x:f>
        <x:v>1514.9723520000005</x:v>
      </x:c>
      <x:c r="D104" s="180" t="n">
        <x:f>IF(A104&lt;$B$23,1,(1+$B$33)^INT((A104-$B$23)/12))</x:f>
        <x:v>1.2624769600000003</x:v>
      </x:c>
      <x:c r="E104" s="141" t="n">
        <x:f>IF(AND($B$22="Sim",A104=$B$23),$B$37,0)</x:f>
        <x:v>0</x:v>
      </x:c>
      <x:c r="F104" s="141" t="n">
        <x:f>IF(AND($B$22="Sim",A104=$B$24),$B$27,0)</x:f>
        <x:v>0</x:v>
      </x:c>
      <x:c r="G104" s="141" t="n">
        <x:f>IF(AND($B$22="Sim",A104=$B$23),$B$35,0)</x:f>
        <x:v>0</x:v>
      </x:c>
      <x:c r="H104" s="141" t="n">
        <x:f>IF(AND($B$22="Sim",A104=$B$23),$B$36,0)</x:f>
        <x:v>0</x:v>
      </x:c>
      <x:c r="I104" s="141" t="n">
        <x:f>IF(OR($B$22&lt;&gt;"Sim",A104&gt;=$B$23+$B$31-1),0,(I105+C105)/(1+$B$9))</x:f>
        <x:v>144782.99237806743</x:v>
      </x:c>
      <x:c r="J104" s="140" t="str">
        <x:f>IF($B$22&lt;&gt;"Sim","Desativada",IF(A104&lt;$B$23,"Antes da compra",IF(A104&lt;$B$23+$B$31,"Parcelas restantes","Encerrado")))</x:f>
        <x:v>Parcelas restantes</x:v>
      </x:c>
      <x:c r="K104" s="141" t="n">
        <x:f>IF(C104&gt;0,C104/(1+$B$9)^A104,0)</x:f>
        <x:v>944.7776538008071</x:v>
      </x:c>
    </x:row>
    <x:row r="105">
      <x:c r="A105" s="142" t="n">
        <x:v>51</x:v>
      </x:c>
      <x:c r="B105" s="179" t="n">
        <x:f>EDATE($B$5,A105-1)</x:f>
        <x:v>48061</x:v>
      </x:c>
      <x:c r="C105" s="141" t="n">
        <x:f>IF(AND($B$22="Sim",A105&gt;=$B$23,A105&lt;$B$23+$B$31),$B$32*D105,0)</x:f>
        <x:v>1514.9723520000005</x:v>
      </x:c>
      <x:c r="D105" s="180" t="n">
        <x:f>IF(A105&lt;$B$23,1,(1+$B$33)^INT((A105-$B$23)/12))</x:f>
        <x:v>1.2624769600000003</x:v>
      </x:c>
      <x:c r="E105" s="141" t="n">
        <x:f>IF(AND($B$22="Sim",A105=$B$23),$B$37,0)</x:f>
        <x:v>0</x:v>
      </x:c>
      <x:c r="F105" s="141" t="n">
        <x:f>IF(AND($B$22="Sim",A105=$B$24),$B$27,0)</x:f>
        <x:v>0</x:v>
      </x:c>
      <x:c r="G105" s="141" t="n">
        <x:f>IF(AND($B$22="Sim",A105=$B$23),$B$35,0)</x:f>
        <x:v>0</x:v>
      </x:c>
      <x:c r="H105" s="141" t="n">
        <x:f>IF(AND($B$22="Sim",A105=$B$23),$B$36,0)</x:f>
        <x:v>0</x:v>
      </x:c>
      <x:c r="I105" s="141" t="n">
        <x:f>IF(OR($B$22&lt;&gt;"Sim",A105&gt;=$B$23+$B$31-1),0,(I106+C106)/(1+$B$9))</x:f>
        <x:v>144641.8358611922</x:v>
      </x:c>
      <x:c r="J105" s="140" t="str">
        <x:f>IF($B$22&lt;&gt;"Sim","Desativada",IF(A105&lt;$B$23,"Antes da compra",IF(A105&lt;$B$23+$B$31,"Parcelas restantes","Encerrado")))</x:f>
        <x:v>Parcelas restantes</x:v>
      </x:c>
      <x:c r="K105" s="141" t="n">
        <x:f>IF(C105&gt;0,C105/(1+$B$9)^A105,0)</x:f>
        <x:v>935.8971198227365</x:v>
      </x:c>
    </x:row>
    <x:row r="106">
      <x:c r="A106" s="142" t="n">
        <x:v>52</x:v>
      </x:c>
      <x:c r="B106" s="179" t="n">
        <x:f>EDATE($B$5,A106-1)</x:f>
        <x:v>48092</x:v>
      </x:c>
      <x:c r="C106" s="141" t="n">
        <x:f>IF(AND($B$22="Sim",A106&gt;=$B$23,A106&lt;$B$23+$B$31),$B$32*D106,0)</x:f>
        <x:v>1514.9723520000005</x:v>
      </x:c>
      <x:c r="D106" s="180" t="n">
        <x:f>IF(A106&lt;$B$23,1,(1+$B$33)^INT((A106-$B$23)/12))</x:f>
        <x:v>1.2624769600000003</x:v>
      </x:c>
      <x:c r="E106" s="141" t="n">
        <x:f>IF(AND($B$22="Sim",A106=$B$23),$B$37,0)</x:f>
        <x:v>0</x:v>
      </x:c>
      <x:c r="F106" s="141" t="n">
        <x:f>IF(AND($B$22="Sim",A106=$B$24),$B$27,0)</x:f>
        <x:v>0</x:v>
      </x:c>
      <x:c r="G106" s="141" t="n">
        <x:f>IF(AND($B$22="Sim",A106=$B$23),$B$35,0)</x:f>
        <x:v>0</x:v>
      </x:c>
      <x:c r="H106" s="141" t="n">
        <x:f>IF(AND($B$22="Sim",A106=$B$23),$B$36,0)</x:f>
        <x:v>0</x:v>
      </x:c>
      <x:c r="I106" s="141" t="n">
        <x:f>IF(OR($B$22&lt;&gt;"Sim",A106&gt;=$B$23+$B$31-1),0,(I107+C107)/(1+$B$9))</x:f>
        <x:v>144499.33993935699</x:v>
      </x:c>
      <x:c r="J106" s="140" t="str">
        <x:f>IF($B$22&lt;&gt;"Sim","Desativada",IF(A106&lt;$B$23,"Antes da compra",IF(A106&lt;$B$23+$B$31,"Parcelas restantes","Encerrado")))</x:f>
        <x:v>Parcelas restantes</x:v>
      </x:c>
      <x:c r="K106" s="141" t="n">
        <x:f>IF(C106&gt;0,C106/(1+$B$9)^A106,0)</x:f>
        <x:v>927.1000593301134</x:v>
      </x:c>
    </x:row>
    <x:row r="107">
      <x:c r="A107" s="142" t="n">
        <x:v>53</x:v>
      </x:c>
      <x:c r="B107" s="179" t="n">
        <x:f>EDATE($B$5,A107-1)</x:f>
        <x:v>48122</x:v>
      </x:c>
      <x:c r="C107" s="141" t="n">
        <x:f>IF(AND($B$22="Sim",A107&gt;=$B$23,A107&lt;$B$23+$B$31),$B$32*D107,0)</x:f>
        <x:v>1514.9723520000005</x:v>
      </x:c>
      <x:c r="D107" s="180" t="n">
        <x:f>IF(A107&lt;$B$23,1,(1+$B$33)^INT((A107-$B$23)/12))</x:f>
        <x:v>1.2624769600000003</x:v>
      </x:c>
      <x:c r="E107" s="141" t="n">
        <x:f>IF(AND($B$22="Sim",A107=$B$23),$B$37,0)</x:f>
        <x:v>0</x:v>
      </x:c>
      <x:c r="F107" s="141" t="n">
        <x:f>IF(AND($B$22="Sim",A107=$B$24),$B$27,0)</x:f>
        <x:v>0</x:v>
      </x:c>
      <x:c r="G107" s="141" t="n">
        <x:f>IF(AND($B$22="Sim",A107=$B$23),$B$35,0)</x:f>
        <x:v>0</x:v>
      </x:c>
      <x:c r="H107" s="141" t="n">
        <x:f>IF(AND($B$22="Sim",A107=$B$23),$B$36,0)</x:f>
        <x:v>0</x:v>
      </x:c>
      <x:c r="I107" s="141" t="n">
        <x:f>IF(OR($B$22&lt;&gt;"Sim",A107&gt;=$B$23+$B$31-1),0,(I108+C108)/(1+$B$9))</x:f>
        <x:v>144355.49190322545</x:v>
      </x:c>
      <x:c r="J107" s="140" t="str">
        <x:f>IF($B$22&lt;&gt;"Sim","Desativada",IF(A107&lt;$B$23,"Antes da compra",IF(A107&lt;$B$23+$B$31,"Parcelas restantes","Encerrado")))</x:f>
        <x:v>Parcelas restantes</x:v>
      </x:c>
      <x:c r="K107" s="141" t="n">
        <x:f>IF(C107&gt;0,C107/(1+$B$9)^A107,0)</x:f>
        <x:v>918.3856877053923</x:v>
      </x:c>
    </x:row>
    <x:row r="108">
      <x:c r="A108" s="142" t="n">
        <x:v>54</x:v>
      </x:c>
      <x:c r="B108" s="179" t="n">
        <x:f>EDATE($B$5,A108-1)</x:f>
        <x:v>48153</x:v>
      </x:c>
      <x:c r="C108" s="141" t="n">
        <x:f>IF(AND($B$22="Sim",A108&gt;=$B$23,A108&lt;$B$23+$B$31),$B$32*D108,0)</x:f>
        <x:v>1514.9723520000005</x:v>
      </x:c>
      <x:c r="D108" s="180" t="n">
        <x:f>IF(A108&lt;$B$23,1,(1+$B$33)^INT((A108-$B$23)/12))</x:f>
        <x:v>1.2624769600000003</x:v>
      </x:c>
      <x:c r="E108" s="141" t="n">
        <x:f>IF(AND($B$22="Sim",A108=$B$23),$B$37,0)</x:f>
        <x:v>0</x:v>
      </x:c>
      <x:c r="F108" s="141" t="n">
        <x:f>IF(AND($B$22="Sim",A108=$B$24),$B$27,0)</x:f>
        <x:v>0</x:v>
      </x:c>
      <x:c r="G108" s="141" t="n">
        <x:f>IF(AND($B$22="Sim",A108=$B$23),$B$35,0)</x:f>
        <x:v>0</x:v>
      </x:c>
      <x:c r="H108" s="141" t="n">
        <x:f>IF(AND($B$22="Sim",A108=$B$23),$B$36,0)</x:f>
        <x:v>0</x:v>
      </x:c>
      <x:c r="I108" s="141" t="n">
        <x:f>IF(OR($B$22&lt;&gt;"Sim",A108&gt;=$B$23+$B$31-1),0,(I109+C109)/(1+$B$9))</x:f>
        <x:v>144210.27892286502</x:v>
      </x:c>
      <x:c r="J108" s="140" t="str">
        <x:f>IF($B$22&lt;&gt;"Sim","Desativada",IF(A108&lt;$B$23,"Antes da compra",IF(A108&lt;$B$23+$B$31,"Parcelas restantes","Encerrado")))</x:f>
        <x:v>Parcelas restantes</x:v>
      </x:c>
      <x:c r="K108" s="141" t="n">
        <x:f>IF(C108&gt;0,C108/(1+$B$9)^A108,0)</x:f>
        <x:v>909.7532277061202</x:v>
      </x:c>
    </x:row>
    <x:row r="109">
      <x:c r="A109" s="142" t="n">
        <x:v>55</x:v>
      </x:c>
      <x:c r="B109" s="179" t="n">
        <x:f>EDATE($B$5,A109-1)</x:f>
        <x:v>48183</x:v>
      </x:c>
      <x:c r="C109" s="141" t="n">
        <x:f>IF(AND($B$22="Sim",A109&gt;=$B$23,A109&lt;$B$23+$B$31),$B$32*D109,0)</x:f>
        <x:v>1514.9723520000005</x:v>
      </x:c>
      <x:c r="D109" s="180" t="n">
        <x:f>IF(A109&lt;$B$23,1,(1+$B$33)^INT((A109-$B$23)/12))</x:f>
        <x:v>1.2624769600000003</x:v>
      </x:c>
      <x:c r="E109" s="141" t="n">
        <x:f>IF(AND($B$22="Sim",A109=$B$23),$B$37,0)</x:f>
        <x:v>0</x:v>
      </x:c>
      <x:c r="F109" s="141" t="n">
        <x:f>IF(AND($B$22="Sim",A109=$B$24),$B$27,0)</x:f>
        <x:v>0</x:v>
      </x:c>
      <x:c r="G109" s="141" t="n">
        <x:f>IF(AND($B$22="Sim",A109=$B$23),$B$35,0)</x:f>
        <x:v>0</x:v>
      </x:c>
      <x:c r="H109" s="141" t="n">
        <x:f>IF(AND($B$22="Sim",A109=$B$23),$B$36,0)</x:f>
        <x:v>0</x:v>
      </x:c>
      <x:c r="I109" s="141" t="n">
        <x:f>IF(OR($B$22&lt;&gt;"Sim",A109&gt;=$B$23+$B$31-1),0,(I110+C110)/(1+$B$9))</x:f>
        <x:v>144063.68804660253</x:v>
      </x:c>
      <x:c r="J109" s="140" t="str">
        <x:f>IF($B$22&lt;&gt;"Sim","Desativada",IF(A109&lt;$B$23,"Antes da compra",IF(A109&lt;$B$23+$B$31,"Parcelas restantes","Encerrado")))</x:f>
        <x:v>Parcelas restantes</x:v>
      </x:c>
      <x:c r="K109" s="141" t="n">
        <x:f>IF(C109&gt;0,C109/(1+$B$9)^A109,0)</x:f>
        <x:v>901.2019093956145</x:v>
      </x:c>
    </x:row>
    <x:row r="110">
      <x:c r="A110" s="142" t="n">
        <x:v>56</x:v>
      </x:c>
      <x:c r="B110" s="179" t="n">
        <x:f>EDATE($B$5,A110-1)</x:f>
        <x:v>48214</x:v>
      </x:c>
      <x:c r="C110" s="141" t="n">
        <x:f>IF(AND($B$22="Sim",A110&gt;=$B$23,A110&lt;$B$23+$B$31),$B$32*D110,0)</x:f>
        <x:v>1514.9723520000005</x:v>
      </x:c>
      <x:c r="D110" s="180" t="n">
        <x:f>IF(A110&lt;$B$23,1,(1+$B$33)^INT((A110-$B$23)/12))</x:f>
        <x:v>1.2624769600000003</x:v>
      </x:c>
      <x:c r="E110" s="141" t="n">
        <x:f>IF(AND($B$22="Sim",A110=$B$23),$B$37,0)</x:f>
        <x:v>0</x:v>
      </x:c>
      <x:c r="F110" s="141" t="n">
        <x:f>IF(AND($B$22="Sim",A110=$B$24),$B$27,0)</x:f>
        <x:v>0</x:v>
      </x:c>
      <x:c r="G110" s="141" t="n">
        <x:f>IF(AND($B$22="Sim",A110=$B$23),$B$35,0)</x:f>
        <x:v>0</x:v>
      </x:c>
      <x:c r="H110" s="141" t="n">
        <x:f>IF(AND($B$22="Sim",A110=$B$23),$B$36,0)</x:f>
        <x:v>0</x:v>
      </x:c>
      <x:c r="I110" s="141" t="n">
        <x:f>IF(OR($B$22&lt;&gt;"Sim",A110&gt;=$B$23+$B$31-1),0,(I111+C111)/(1+$B$9))</x:f>
        <x:v>143915.7061998691</x:v>
      </x:c>
      <x:c r="J110" s="140" t="str">
        <x:f>IF($B$22&lt;&gt;"Sim","Desativada",IF(A110&lt;$B$23,"Antes da compra",IF(A110&lt;$B$23+$B$31,"Parcelas restantes","Encerrado")))</x:f>
        <x:v>Parcelas restantes</x:v>
      </x:c>
      <x:c r="K110" s="141" t="n">
        <x:f>IF(C110&gt;0,C110/(1+$B$9)^A110,0)</x:f>
        <x:v>892.73097007429</x:v>
      </x:c>
    </x:row>
    <x:row r="111">
      <x:c r="A111" s="142" t="n">
        <x:v>57</x:v>
      </x:c>
      <x:c r="B111" s="179" t="n">
        <x:f>EDATE($B$5,A111-1)</x:f>
        <x:v>48245</x:v>
      </x:c>
      <x:c r="C111" s="141" t="n">
        <x:f>IF(AND($B$22="Sim",A111&gt;=$B$23,A111&lt;$B$23+$B$31),$B$32*D111,0)</x:f>
        <x:v>1514.9723520000005</x:v>
      </x:c>
      <x:c r="D111" s="180" t="n">
        <x:f>IF(A111&lt;$B$23,1,(1+$B$33)^INT((A111-$B$23)/12))</x:f>
        <x:v>1.2624769600000003</x:v>
      </x:c>
      <x:c r="E111" s="141" t="n">
        <x:f>IF(AND($B$22="Sim",A111=$B$23),$B$37,0)</x:f>
        <x:v>0</x:v>
      </x:c>
      <x:c r="F111" s="141" t="n">
        <x:f>IF(AND($B$22="Sim",A111=$B$24),$B$27,0)</x:f>
        <x:v>0</x:v>
      </x:c>
      <x:c r="G111" s="141" t="n">
        <x:f>IF(AND($B$22="Sim",A111=$B$23),$B$35,0)</x:f>
        <x:v>0</x:v>
      </x:c>
      <x:c r="H111" s="141" t="n">
        <x:f>IF(AND($B$22="Sim",A111=$B$23),$B$36,0)</x:f>
        <x:v>0</x:v>
      </x:c>
      <x:c r="I111" s="141" t="n">
        <x:f>IF(OR($B$22&lt;&gt;"Sim",A111&gt;=$B$23+$B$31-1),0,(I112+C112)/(1+$B$9))</x:f>
        <x:v>143766.32018403395</x:v>
      </x:c>
      <x:c r="J111" s="140" t="str">
        <x:f>IF($B$22&lt;&gt;"Sim","Desativada",IF(A111&lt;$B$23,"Antes da compra",IF(A111&lt;$B$23+$B$31,"Parcelas restantes","Encerrado")))</x:f>
        <x:v>Parcelas restantes</x:v>
      </x:c>
      <x:c r="K111" s="141" t="n">
        <x:f>IF(C111&gt;0,C111/(1+$B$9)^A111,0)</x:f>
        <x:v>884.3396542116351</x:v>
      </x:c>
    </x:row>
    <x:row r="112">
      <x:c r="A112" s="142" t="n">
        <x:v>58</x:v>
      </x:c>
      <x:c r="B112" s="179" t="n">
        <x:f>EDATE($B$5,A112-1)</x:f>
        <x:v>48274</x:v>
      </x:c>
      <x:c r="C112" s="141" t="n">
        <x:f>IF(AND($B$22="Sim",A112&gt;=$B$23,A112&lt;$B$23+$B$31),$B$32*D112,0)</x:f>
        <x:v>1514.9723520000005</x:v>
      </x:c>
      <x:c r="D112" s="180" t="n">
        <x:f>IF(A112&lt;$B$23,1,(1+$B$33)^INT((A112-$B$23)/12))</x:f>
        <x:v>1.2624769600000003</x:v>
      </x:c>
      <x:c r="E112" s="141" t="n">
        <x:f>IF(AND($B$22="Sim",A112=$B$23),$B$37,0)</x:f>
        <x:v>0</x:v>
      </x:c>
      <x:c r="F112" s="141" t="n">
        <x:f>IF(AND($B$22="Sim",A112=$B$24),$B$27,0)</x:f>
        <x:v>0</x:v>
      </x:c>
      <x:c r="G112" s="141" t="n">
        <x:f>IF(AND($B$22="Sim",A112=$B$23),$B$35,0)</x:f>
        <x:v>0</x:v>
      </x:c>
      <x:c r="H112" s="141" t="n">
        <x:f>IF(AND($B$22="Sim",A112=$B$23),$B$36,0)</x:f>
        <x:v>0</x:v>
      </x:c>
      <x:c r="I112" s="141" t="n">
        <x:f>IF(OR($B$22&lt;&gt;"Sim",A112&gt;=$B$23+$B$31-1),0,(I113+C113)/(1+$B$9))</x:f>
        <x:v>143615.5166752272</x:v>
      </x:c>
      <x:c r="J112" s="140" t="str">
        <x:f>IF($B$22&lt;&gt;"Sim","Desativada",IF(A112&lt;$B$23,"Antes da compra",IF(A112&lt;$B$23+$B$31,"Parcelas restantes","Encerrado")))</x:f>
        <x:v>Parcelas restantes</x:v>
      </x:c>
      <x:c r="K112" s="141" t="n">
        <x:f>IF(C112&gt;0,C112/(1+$B$9)^A112,0)</x:f>
        <x:v>876.0272133788236</x:v>
      </x:c>
    </x:row>
    <x:row r="113">
      <x:c r="A113" s="142" t="n">
        <x:v>59</x:v>
      </x:c>
      <x:c r="B113" s="179" t="n">
        <x:f>EDATE($B$5,A113-1)</x:f>
        <x:v>48305</x:v>
      </x:c>
      <x:c r="C113" s="141" t="n">
        <x:f>IF(AND($B$22="Sim",A113&gt;=$B$23,A113&lt;$B$23+$B$31),$B$32*D113,0)</x:f>
        <x:v>1514.9723520000005</x:v>
      </x:c>
      <x:c r="D113" s="180" t="n">
        <x:f>IF(A113&lt;$B$23,1,(1+$B$33)^INT((A113-$B$23)/12))</x:f>
        <x:v>1.2624769600000003</x:v>
      </x:c>
      <x:c r="E113" s="141" t="n">
        <x:f>IF(AND($B$22="Sim",A113=$B$23),$B$37,0)</x:f>
        <x:v>0</x:v>
      </x:c>
      <x:c r="F113" s="141" t="n">
        <x:f>IF(AND($B$22="Sim",A113=$B$24),$B$27,0)</x:f>
        <x:v>0</x:v>
      </x:c>
      <x:c r="G113" s="141" t="n">
        <x:f>IF(AND($B$22="Sim",A113=$B$23),$B$35,0)</x:f>
        <x:v>0</x:v>
      </x:c>
      <x:c r="H113" s="141" t="n">
        <x:f>IF(AND($B$22="Sim",A113=$B$23),$B$36,0)</x:f>
        <x:v>0</x:v>
      </x:c>
      <x:c r="I113" s="141" t="n">
        <x:f>IF(OR($B$22&lt;&gt;"Sim",A113&gt;=$B$23+$B$31-1),0,(I114+C114)/(1+$B$9))</x:f>
        <x:v>143463.2822231516</x:v>
      </x:c>
      <x:c r="J113" s="140" t="str">
        <x:f>IF($B$22&lt;&gt;"Sim","Desativada",IF(A113&lt;$B$23,"Antes da compra",IF(A113&lt;$B$23+$B$31,"Parcelas restantes","Encerrado")))</x:f>
        <x:v>Parcelas restantes</x:v>
      </x:c>
      <x:c r="K113" s="141" t="n">
        <x:f>IF(C113&gt;0,C113/(1+$B$9)^A113,0)</x:f>
        <x:v>867.7929061819628</x:v>
      </x:c>
    </x:row>
    <x:row r="114">
      <x:c r="A114" s="142" t="n">
        <x:v>60</x:v>
      </x:c>
      <x:c r="B114" s="179" t="n">
        <x:f>EDATE($B$5,A114-1)</x:f>
        <x:v>48335</x:v>
      </x:c>
      <x:c r="C114" s="141" t="n">
        <x:f>IF(AND($B$22="Sim",A114&gt;=$B$23,A114&lt;$B$23+$B$31),$B$32*D114,0)</x:f>
        <x:v>1514.9723520000005</x:v>
      </x:c>
      <x:c r="D114" s="180" t="n">
        <x:f>IF(A114&lt;$B$23,1,(1+$B$33)^INT((A114-$B$23)/12))</x:f>
        <x:v>1.2624769600000003</x:v>
      </x:c>
      <x:c r="E114" s="141" t="n">
        <x:f>IF(AND($B$22="Sim",A114=$B$23),$B$37,0)</x:f>
        <x:v>0</x:v>
      </x:c>
      <x:c r="F114" s="141" t="n">
        <x:f>IF(AND($B$22="Sim",A114=$B$24),$B$27,0)</x:f>
        <x:v>0</x:v>
      </x:c>
      <x:c r="G114" s="141" t="n">
        <x:f>IF(AND($B$22="Sim",A114=$B$23),$B$35,0)</x:f>
        <x:v>0</x:v>
      </x:c>
      <x:c r="H114" s="141" t="n">
        <x:f>IF(AND($B$22="Sim",A114=$B$23),$B$36,0)</x:f>
        <x:v>0</x:v>
      </x:c>
      <x:c r="I114" s="141" t="n">
        <x:f>IF(OR($B$22&lt;&gt;"Sim",A114&gt;=$B$23+$B$31-1),0,(I115+C115)/(1+$B$9))</x:f>
        <x:v>143309.60324988273</x:v>
      </x:c>
      <x:c r="J114" s="140" t="str">
        <x:f>IF($B$22&lt;&gt;"Sim","Desativada",IF(A114&lt;$B$23,"Antes da compra",IF(A114&lt;$B$23+$B$31,"Parcelas restantes","Encerrado")))</x:f>
        <x:v>Parcelas restantes</x:v>
      </x:c>
      <x:c r="K114" s="141" t="n">
        <x:f>IF(C114&gt;0,C114/(1+$B$9)^A114,0)</x:f>
        <x:v>859.6359981959678</x:v>
      </x:c>
    </x:row>
    <x:row r="115">
      <x:c r="A115" s="142" t="n">
        <x:v>61</x:v>
      </x:c>
      <x:c r="B115" s="179" t="n">
        <x:f>EDATE($B$5,A115-1)</x:f>
        <x:v>48366</x:v>
      </x:c>
      <x:c r="C115" s="141" t="n">
        <x:f>IF(AND($B$22="Sim",A115&gt;=$B$23,A115&lt;$B$23+$B$31),$B$32*D115,0)</x:f>
        <x:v>1605.8706931200004</x:v>
      </x:c>
      <x:c r="D115" s="180" t="n">
        <x:f>IF(A115&lt;$B$23,1,(1+$B$33)^INT((A115-$B$23)/12))</x:f>
        <x:v>1.3382255776000003</x:v>
      </x:c>
      <x:c r="E115" s="141" t="n">
        <x:f>IF(AND($B$22="Sim",A115=$B$23),$B$37,0)</x:f>
        <x:v>0</x:v>
      </x:c>
      <x:c r="F115" s="141" t="n">
        <x:f>IF(AND($B$22="Sim",A115=$B$24),$B$27,0)</x:f>
        <x:v>0</x:v>
      </x:c>
      <x:c r="G115" s="141" t="n">
        <x:f>IF(AND($B$22="Sim",A115=$B$23),$B$35,0)</x:f>
        <x:v>0</x:v>
      </x:c>
      <x:c r="H115" s="141" t="n">
        <x:f>IF(AND($B$22="Sim",A115=$B$23),$B$36,0)</x:f>
        <x:v>0</x:v>
      </x:c>
      <x:c r="I115" s="141" t="n">
        <x:f>IF(OR($B$22&lt;&gt;"Sim",A115&gt;=$B$23+$B$31-1),0,(I116+C116)/(1+$B$9))</x:f>
        <x:v>143063.5677075381</x:v>
      </x:c>
      <x:c r="J115" s="140" t="str">
        <x:f>IF($B$22&lt;&gt;"Sim","Desativada",IF(A115&lt;$B$23,"Antes da compra",IF(A115&lt;$B$23+$B$31,"Parcelas restantes","Encerrado")))</x:f>
        <x:v>Parcelas restantes</x:v>
      </x:c>
      <x:c r="K115" s="141" t="n">
        <x:f>IF(C115&gt;0,C115/(1+$B$9)^A115,0)</x:f>
        <x:v>902.649107613</x:v>
      </x:c>
    </x:row>
    <x:row r="116">
      <x:c r="A116" s="142" t="n">
        <x:v>62</x:v>
      </x:c>
      <x:c r="B116" s="179" t="n">
        <x:f>EDATE($B$5,A116-1)</x:f>
        <x:v>48396</x:v>
      </x:c>
      <x:c r="C116" s="141" t="n">
        <x:f>IF(AND($B$22="Sim",A116&gt;=$B$23,A116&lt;$B$23+$B$31),$B$32*D116,0)</x:f>
        <x:v>1605.8706931200004</x:v>
      </x:c>
      <x:c r="D116" s="180" t="n">
        <x:f>IF(A116&lt;$B$23,1,(1+$B$33)^INT((A116-$B$23)/12))</x:f>
        <x:v>1.3382255776000003</x:v>
      </x:c>
      <x:c r="E116" s="141" t="n">
        <x:f>IF(AND($B$22="Sim",A116=$B$23),$B$37,0)</x:f>
        <x:v>0</x:v>
      </x:c>
      <x:c r="F116" s="141" t="n">
        <x:f>IF(AND($B$22="Sim",A116=$B$24),$B$27,0)</x:f>
        <x:v>0</x:v>
      </x:c>
      <x:c r="G116" s="141" t="n">
        <x:f>IF(AND($B$22="Sim",A116=$B$23),$B$35,0)</x:f>
        <x:v>0</x:v>
      </x:c>
      <x:c r="H116" s="141" t="n">
        <x:f>IF(AND($B$22="Sim",A116=$B$23),$B$36,0)</x:f>
        <x:v>0</x:v>
      </x:c>
      <x:c r="I116" s="141" t="n">
        <x:f>IF(OR($B$22&lt;&gt;"Sim",A116&gt;=$B$23+$B$31-1),0,(I117+C117)/(1+$B$9))</x:f>
        <x:v>142815.19758487763</x:v>
      </x:c>
      <x:c r="J116" s="140" t="str">
        <x:f>IF($B$22&lt;&gt;"Sim","Desativada",IF(A116&lt;$B$23,"Antes da compra",IF(A116&lt;$B$23+$B$31,"Parcelas restantes","Encerrado")))</x:f>
        <x:v>Parcelas restantes</x:v>
      </x:c>
      <x:c r="K116" s="141" t="n">
        <x:f>IF(C116&gt;0,C116/(1+$B$9)^A116,0)</x:f>
        <x:v>894.1645652043344</x:v>
      </x:c>
    </x:row>
    <x:row r="117">
      <x:c r="A117" s="142" t="n">
        <x:v>63</x:v>
      </x:c>
      <x:c r="B117" s="179" t="n">
        <x:f>EDATE($B$5,A117-1)</x:f>
        <x:v>48427</x:v>
      </x:c>
      <x:c r="C117" s="141" t="n">
        <x:f>IF(AND($B$22="Sim",A117&gt;=$B$23,A117&lt;$B$23+$B$31),$B$32*D117,0)</x:f>
        <x:v>1605.8706931200004</x:v>
      </x:c>
      <x:c r="D117" s="180" t="n">
        <x:f>IF(A117&lt;$B$23,1,(1+$B$33)^INT((A117-$B$23)/12))</x:f>
        <x:v>1.3382255776000003</x:v>
      </x:c>
      <x:c r="E117" s="141" t="n">
        <x:f>IF(AND($B$22="Sim",A117=$B$23),$B$37,0)</x:f>
        <x:v>0</x:v>
      </x:c>
      <x:c r="F117" s="141" t="n">
        <x:f>IF(AND($B$22="Sim",A117=$B$24),$B$27,0)</x:f>
        <x:v>0</x:v>
      </x:c>
      <x:c r="G117" s="141" t="n">
        <x:f>IF(AND($B$22="Sim",A117=$B$23),$B$35,0)</x:f>
        <x:v>0</x:v>
      </x:c>
      <x:c r="H117" s="141" t="n">
        <x:f>IF(AND($B$22="Sim",A117=$B$23),$B$36,0)</x:f>
        <x:v>0</x:v>
      </x:c>
      <x:c r="I117" s="141" t="n">
        <x:f>IF(OR($B$22&lt;&gt;"Sim",A117&gt;=$B$23+$B$31-1),0,(I118+C118)/(1+$B$9))</x:f>
        <x:v>142564.4707295521</x:v>
      </x:c>
      <x:c r="J117" s="140" t="str">
        <x:f>IF($B$22&lt;&gt;"Sim","Desativada",IF(A117&lt;$B$23,"Antes da compra",IF(A117&lt;$B$23+$B$31,"Parcelas restantes","Encerrado")))</x:f>
        <x:v>Parcelas restantes</x:v>
      </x:c>
      <x:c r="K117" s="141" t="n">
        <x:f>IF(C117&gt;0,C117/(1+$B$9)^A117,0)</x:f>
        <x:v>885.7597741179462</x:v>
      </x:c>
    </x:row>
    <x:row r="118">
      <x:c r="A118" s="142" t="n">
        <x:v>64</x:v>
      </x:c>
      <x:c r="B118" s="179" t="n">
        <x:f>EDATE($B$5,A118-1)</x:f>
        <x:v>48458</x:v>
      </x:c>
      <x:c r="C118" s="141" t="n">
        <x:f>IF(AND($B$22="Sim",A118&gt;=$B$23,A118&lt;$B$23+$B$31),$B$32*D118,0)</x:f>
        <x:v>1605.8706931200004</x:v>
      </x:c>
      <x:c r="D118" s="180" t="n">
        <x:f>IF(A118&lt;$B$23,1,(1+$B$33)^INT((A118-$B$23)/12))</x:f>
        <x:v>1.3382255776000003</x:v>
      </x:c>
      <x:c r="E118" s="141" t="n">
        <x:f>IF(AND($B$22="Sim",A118=$B$23),$B$37,0)</x:f>
        <x:v>0</x:v>
      </x:c>
      <x:c r="F118" s="141" t="n">
        <x:f>IF(AND($B$22="Sim",A118=$B$24),$B$27,0)</x:f>
        <x:v>0</x:v>
      </x:c>
      <x:c r="G118" s="141" t="n">
        <x:f>IF(AND($B$22="Sim",A118=$B$23),$B$35,0)</x:f>
        <x:v>0</x:v>
      </x:c>
      <x:c r="H118" s="141" t="n">
        <x:f>IF(AND($B$22="Sim",A118=$B$23),$B$36,0)</x:f>
        <x:v>0</x:v>
      </x:c>
      <x:c r="I118" s="141" t="n">
        <x:f>IF(OR($B$22&lt;&gt;"Sim",A118&gt;=$B$23+$B$31-1),0,(I119+C119)/(1+$B$9))</x:f>
        <x:v>142311.36477901324</x:v>
      </x:c>
      <x:c r="J118" s="140" t="str">
        <x:f>IF($B$22&lt;&gt;"Sim","Desativada",IF(A118&lt;$B$23,"Antes da compra",IF(A118&lt;$B$23+$B$31,"Parcelas restantes","Encerrado")))</x:f>
        <x:v>Parcelas restantes</x:v>
      </x:c>
      <x:c r="K118" s="141" t="n">
        <x:f>IF(C118&gt;0,C118/(1+$B$9)^A118,0)</x:f>
        <x:v>877.4339847231422</x:v>
      </x:c>
    </x:row>
    <x:row r="119">
      <x:c r="A119" s="142" t="n">
        <x:v>65</x:v>
      </x:c>
      <x:c r="B119" s="179" t="n">
        <x:f>EDATE($B$5,A119-1)</x:f>
        <x:v>48488</x:v>
      </x:c>
      <x:c r="C119" s="141" t="n">
        <x:f>IF(AND($B$22="Sim",A119&gt;=$B$23,A119&lt;$B$23+$B$31),$B$32*D119,0)</x:f>
        <x:v>1605.8706931200004</x:v>
      </x:c>
      <x:c r="D119" s="180" t="n">
        <x:f>IF(A119&lt;$B$23,1,(1+$B$33)^INT((A119-$B$23)/12))</x:f>
        <x:v>1.3382255776000003</x:v>
      </x:c>
      <x:c r="E119" s="141" t="n">
        <x:f>IF(AND($B$22="Sim",A119=$B$23),$B$37,0)</x:f>
        <x:v>0</x:v>
      </x:c>
      <x:c r="F119" s="141" t="n">
        <x:f>IF(AND($B$22="Sim",A119=$B$24),$B$27,0)</x:f>
        <x:v>0</x:v>
      </x:c>
      <x:c r="G119" s="141" t="n">
        <x:f>IF(AND($B$22="Sim",A119=$B$23),$B$35,0)</x:f>
        <x:v>0</x:v>
      </x:c>
      <x:c r="H119" s="141" t="n">
        <x:f>IF(AND($B$22="Sim",A119=$B$23),$B$36,0)</x:f>
        <x:v>0</x:v>
      </x:c>
      <x:c r="I119" s="141" t="n">
        <x:f>IF(OR($B$22&lt;&gt;"Sim",A119&gt;=$B$23+$B$31-1),0,(I120+C120)/(1+$B$9))</x:f>
        <x:v>142055.8571585192</x:v>
      </x:c>
      <x:c r="J119" s="140" t="str">
        <x:f>IF($B$22&lt;&gt;"Sim","Desativada",IF(A119&lt;$B$23,"Antes da compra",IF(A119&lt;$B$23+$B$31,"Parcelas restantes","Encerrado")))</x:f>
        <x:v>Parcelas restantes</x:v>
      </x:c>
      <x:c r="K119" s="141" t="n">
        <x:f>IF(C119&gt;0,C119/(1+$B$9)^A119,0)</x:f>
        <x:v>869.1864544354597</x:v>
      </x:c>
    </x:row>
    <x:row r="120">
      <x:c r="A120" s="142" t="n">
        <x:v>66</x:v>
      </x:c>
      <x:c r="B120" s="179" t="n">
        <x:f>EDATE($B$5,A120-1)</x:f>
        <x:v>48519</x:v>
      </x:c>
      <x:c r="C120" s="141" t="n">
        <x:f>IF(AND($B$22="Sim",A120&gt;=$B$23,A120&lt;$B$23+$B$31),$B$32*D120,0)</x:f>
        <x:v>1605.8706931200004</x:v>
      </x:c>
      <x:c r="D120" s="180" t="n">
        <x:f>IF(A120&lt;$B$23,1,(1+$B$33)^INT((A120-$B$23)/12))</x:f>
        <x:v>1.3382255776000003</x:v>
      </x:c>
      <x:c r="E120" s="141" t="n">
        <x:f>IF(AND($B$22="Sim",A120=$B$23),$B$37,0)</x:f>
        <x:v>0</x:v>
      </x:c>
      <x:c r="F120" s="141" t="n">
        <x:f>IF(AND($B$22="Sim",A120=$B$24),$B$27,0)</x:f>
        <x:v>0</x:v>
      </x:c>
      <x:c r="G120" s="141" t="n">
        <x:f>IF(AND($B$22="Sim",A120=$B$23),$B$35,0)</x:f>
        <x:v>0</x:v>
      </x:c>
      <x:c r="H120" s="141" t="n">
        <x:f>IF(AND($B$22="Sim",A120=$B$23),$B$36,0)</x:f>
        <x:v>0</x:v>
      </x:c>
      <x:c r="I120" s="141" t="n">
        <x:f>IF(OR($B$22&lt;&gt;"Sim",A120&gt;=$B$23+$B$31-1),0,(I121+C121)/(1+$B$9))</x:f>
        <x:v>141797.9250791211</x:v>
      </x:c>
      <x:c r="J120" s="140" t="str">
        <x:f>IF($B$22&lt;&gt;"Sim","Desativada",IF(A120&lt;$B$23,"Antes da compra",IF(A120&lt;$B$23+$B$31,"Parcelas restantes","Encerrado")))</x:f>
        <x:v>Parcelas restantes</x:v>
      </x:c>
      <x:c r="K120" s="141" t="n">
        <x:f>IF(C120&gt;0,C120/(1+$B$9)^A120,0)</x:f>
        <x:v>861.0164476504345</x:v>
      </x:c>
    </x:row>
    <x:row r="121">
      <x:c r="A121" s="142" t="n">
        <x:v>67</x:v>
      </x:c>
      <x:c r="B121" s="179" t="n">
        <x:f>EDATE($B$5,A121-1)</x:f>
        <x:v>48549</x:v>
      </x:c>
      <x:c r="C121" s="141" t="n">
        <x:f>IF(AND($B$22="Sim",A121&gt;=$B$23,A121&lt;$B$23+$B$31),$B$32*D121,0)</x:f>
        <x:v>1605.8706931200004</x:v>
      </x:c>
      <x:c r="D121" s="180" t="n">
        <x:f>IF(A121&lt;$B$23,1,(1+$B$33)^INT((A121-$B$23)/12))</x:f>
        <x:v>1.3382255776000003</x:v>
      </x:c>
      <x:c r="E121" s="141" t="n">
        <x:f>IF(AND($B$22="Sim",A121=$B$23),$B$37,0)</x:f>
        <x:v>0</x:v>
      </x:c>
      <x:c r="F121" s="141" t="n">
        <x:f>IF(AND($B$22="Sim",A121=$B$24),$B$27,0)</x:f>
        <x:v>0</x:v>
      </x:c>
      <x:c r="G121" s="141" t="n">
        <x:f>IF(AND($B$22="Sim",A121=$B$23),$B$35,0)</x:f>
        <x:v>0</x:v>
      </x:c>
      <x:c r="H121" s="141" t="n">
        <x:f>IF(AND($B$22="Sim",A121=$B$23),$B$36,0)</x:f>
        <x:v>0</x:v>
      </x:c>
      <x:c r="I121" s="141" t="n">
        <x:f>IF(OR($B$22&lt;&gt;"Sim",A121&gt;=$B$23+$B$31-1),0,(I122+C122)/(1+$B$9))</x:f>
        <x:v>141537.5455356304</x:v>
      </x:c>
      <x:c r="J121" s="140" t="str">
        <x:f>IF($B$22&lt;&gt;"Sim","Desativada",IF(A121&lt;$B$23,"Antes da compra",IF(A121&lt;$B$23+$B$31,"Parcelas restantes","Encerrado")))</x:f>
        <x:v>Parcelas restantes</x:v>
      </x:c>
      <x:c r="K121" s="141" t="n">
        <x:f>IF(C121&gt;0,C121/(1+$B$9)^A121,0)</x:f>
        <x:v>852.9232356779914</x:v>
      </x:c>
    </x:row>
    <x:row r="122">
      <x:c r="A122" s="142" t="n">
        <x:v>68</x:v>
      </x:c>
      <x:c r="B122" s="179" t="n">
        <x:f>EDATE($B$5,A122-1)</x:f>
        <x:v>48580</x:v>
      </x:c>
      <x:c r="C122" s="141" t="n">
        <x:f>IF(AND($B$22="Sim",A122&gt;=$B$23,A122&lt;$B$23+$B$31),$B$32*D122,0)</x:f>
        <x:v>1605.8706931200004</x:v>
      </x:c>
      <x:c r="D122" s="180" t="n">
        <x:f>IF(A122&lt;$B$23,1,(1+$B$33)^INT((A122-$B$23)/12))</x:f>
        <x:v>1.3382255776000003</x:v>
      </x:c>
      <x:c r="E122" s="141" t="n">
        <x:f>IF(AND($B$22="Sim",A122=$B$23),$B$37,0)</x:f>
        <x:v>0</x:v>
      </x:c>
      <x:c r="F122" s="141" t="n">
        <x:f>IF(AND($B$22="Sim",A122=$B$24),$B$27,0)</x:f>
        <x:v>0</x:v>
      </x:c>
      <x:c r="G122" s="141" t="n">
        <x:f>IF(AND($B$22="Sim",A122=$B$23),$B$35,0)</x:f>
        <x:v>0</x:v>
      </x:c>
      <x:c r="H122" s="141" t="n">
        <x:f>IF(AND($B$22="Sim",A122=$B$23),$B$36,0)</x:f>
        <x:v>0</x:v>
      </x:c>
      <x:c r="I122" s="141" t="n">
        <x:f>IF(OR($B$22&lt;&gt;"Sim",A122&gt;=$B$23+$B$31-1),0,(I123+C123)/(1+$B$9))</x:f>
        <x:v>141274.6953045671</x:v>
      </x:c>
      <x:c r="J122" s="140" t="str">
        <x:f>IF($B$22&lt;&gt;"Sim","Desativada",IF(A122&lt;$B$23,"Antes da compra",IF(A122&lt;$B$23+$B$31,"Parcelas restantes","Encerrado")))</x:f>
        <x:v>Parcelas restantes</x:v>
      </x:c>
      <x:c r="K122" s="141" t="n">
        <x:f>IF(C122&gt;0,C122/(1+$B$9)^A122,0)</x:f>
        <x:v>844.9060966774523</x:v>
      </x:c>
    </x:row>
    <x:row r="123">
      <x:c r="A123" s="142" t="n">
        <x:v>69</x:v>
      </x:c>
      <x:c r="B123" s="179" t="n">
        <x:f>EDATE($B$5,A123-1)</x:f>
        <x:v>48611</x:v>
      </x:c>
      <x:c r="C123" s="141" t="n">
        <x:f>IF(AND($B$22="Sim",A123&gt;=$B$23,A123&lt;$B$23+$B$31),$B$32*D123,0)</x:f>
        <x:v>1605.8706931200004</x:v>
      </x:c>
      <x:c r="D123" s="180" t="n">
        <x:f>IF(A123&lt;$B$23,1,(1+$B$33)^INT((A123-$B$23)/12))</x:f>
        <x:v>1.3382255776000003</x:v>
      </x:c>
      <x:c r="E123" s="141" t="n">
        <x:f>IF(AND($B$22="Sim",A123=$B$23),$B$37,0)</x:f>
        <x:v>0</x:v>
      </x:c>
      <x:c r="F123" s="141" t="n">
        <x:f>IF(AND($B$22="Sim",A123=$B$24),$B$27,0)</x:f>
        <x:v>0</x:v>
      </x:c>
      <x:c r="G123" s="141" t="n">
        <x:f>IF(AND($B$22="Sim",A123=$B$23),$B$35,0)</x:f>
        <x:v>0</x:v>
      </x:c>
      <x:c r="H123" s="141" t="n">
        <x:f>IF(AND($B$22="Sim",A123=$B$23),$B$36,0)</x:f>
        <x:v>0</x:v>
      </x:c>
      <x:c r="I123" s="141" t="n">
        <x:f>IF(OR($B$22&lt;&gt;"Sim",A123&gt;=$B$23+$B$31-1),0,(I124+C124)/(1+$B$9))</x:f>
        <x:v>141009.35094208847</x:v>
      </x:c>
      <x:c r="J123" s="140" t="str">
        <x:f>IF($B$22&lt;&gt;"Sim","Desativada",IF(A123&lt;$B$23,"Antes da compra",IF(A123&lt;$B$23+$B$31,"Parcelas restantes","Encerrado")))</x:f>
        <x:v>Parcelas restantes</x:v>
      </x:c>
      <x:c r="K123" s="141" t="n">
        <x:f>IF(C123&gt;0,C123/(1+$B$9)^A123,0)</x:f>
        <x:v>836.9643155931539</x:v>
      </x:c>
    </x:row>
    <x:row r="124">
      <x:c r="A124" s="142" t="n">
        <x:v>70</x:v>
      </x:c>
      <x:c r="B124" s="179" t="n">
        <x:f>EDATE($B$5,A124-1)</x:f>
        <x:v>48639</x:v>
      </x:c>
      <x:c r="C124" s="141" t="n">
        <x:f>IF(AND($B$22="Sim",A124&gt;=$B$23,A124&lt;$B$23+$B$31),$B$32*D124,0)</x:f>
        <x:v>1605.8706931200004</x:v>
      </x:c>
      <x:c r="D124" s="180" t="n">
        <x:f>IF(A124&lt;$B$23,1,(1+$B$33)^INT((A124-$B$23)/12))</x:f>
        <x:v>1.3382255776000003</x:v>
      </x:c>
      <x:c r="E124" s="141" t="n">
        <x:f>IF(AND($B$22="Sim",A124=$B$23),$B$37,0)</x:f>
        <x:v>0</x:v>
      </x:c>
      <x:c r="F124" s="141" t="n">
        <x:f>IF(AND($B$22="Sim",A124=$B$24),$B$27,0)</x:f>
        <x:v>0</x:v>
      </x:c>
      <x:c r="G124" s="141" t="n">
        <x:f>IF(AND($B$22="Sim",A124=$B$23),$B$35,0)</x:f>
        <x:v>0</x:v>
      </x:c>
      <x:c r="H124" s="141" t="n">
        <x:f>IF(AND($B$22="Sim",A124=$B$23),$B$36,0)</x:f>
        <x:v>0</x:v>
      </x:c>
      <x:c r="I124" s="141" t="n">
        <x:f>IF(OR($B$22&lt;&gt;"Sim",A124&gt;=$B$23+$B$31-1),0,(I125+C125)/(1+$B$9))</x:f>
        <x:v>140741.4887818979</x:v>
      </x:c>
      <x:c r="J124" s="140" t="str">
        <x:f>IF($B$22&lt;&gt;"Sim","Desativada",IF(A124&lt;$B$23,"Antes da compra",IF(A124&lt;$B$23+$B$31,"Parcelas restantes","Encerrado")))</x:f>
        <x:v>Parcelas restantes</x:v>
      </x:c>
      <x:c r="K124" s="141" t="n">
        <x:f>IF(C124&gt;0,C124/(1+$B$9)^A124,0)</x:f>
        <x:v>829.0971840906716</x:v>
      </x:c>
    </x:row>
    <x:row r="125">
      <x:c r="A125" s="142" t="n">
        <x:v>71</x:v>
      </x:c>
      <x:c r="B125" s="179" t="n">
        <x:f>EDATE($B$5,A125-1)</x:f>
        <x:v>48670</x:v>
      </x:c>
      <x:c r="C125" s="141" t="n">
        <x:f>IF(AND($B$22="Sim",A125&gt;=$B$23,A125&lt;$B$23+$B$31),$B$32*D125,0)</x:f>
        <x:v>1605.8706931200004</x:v>
      </x:c>
      <x:c r="D125" s="180" t="n">
        <x:f>IF(A125&lt;$B$23,1,(1+$B$33)^INT((A125-$B$23)/12))</x:f>
        <x:v>1.3382255776000003</x:v>
      </x:c>
      <x:c r="E125" s="141" t="n">
        <x:f>IF(AND($B$22="Sim",A125=$B$23),$B$37,0)</x:f>
        <x:v>0</x:v>
      </x:c>
      <x:c r="F125" s="141" t="n">
        <x:f>IF(AND($B$22="Sim",A125=$B$24),$B$27,0)</x:f>
        <x:v>0</x:v>
      </x:c>
      <x:c r="G125" s="141" t="n">
        <x:f>IF(AND($B$22="Sim",A125=$B$23),$B$35,0)</x:f>
        <x:v>0</x:v>
      </x:c>
      <x:c r="H125" s="141" t="n">
        <x:f>IF(AND($B$22="Sim",A125=$B$23),$B$36,0)</x:f>
        <x:v>0</x:v>
      </x:c>
      <x:c r="I125" s="141" t="n">
        <x:f>IF(OR($B$22&lt;&gt;"Sim",A125&gt;=$B$23+$B$31-1),0,(I126+C126)/(1+$B$9))</x:f>
        <x:v>140471.0849331343</x:v>
      </x:c>
      <x:c r="J125" s="140" t="str">
        <x:f>IF($B$22&lt;&gt;"Sim","Desativada",IF(A125&lt;$B$23,"Antes da compra",IF(A125&lt;$B$23+$B$31,"Parcelas restantes","Encerrado")))</x:f>
        <x:v>Parcelas restantes</x:v>
      </x:c>
      <x:c r="K125" s="141" t="n">
        <x:f>IF(C125&gt;0,C125/(1+$B$9)^A125,0)</x:f>
        <x:v>821.3040004936427</x:v>
      </x:c>
    </x:row>
    <x:row r="126">
      <x:c r="A126" s="142" t="n">
        <x:v>72</x:v>
      </x:c>
      <x:c r="B126" s="179" t="n">
        <x:f>EDATE($B$5,A126-1)</x:f>
        <x:v>48700</x:v>
      </x:c>
      <x:c r="C126" s="141" t="n">
        <x:f>IF(AND($B$22="Sim",A126&gt;=$B$23,A126&lt;$B$23+$B$31),$B$32*D126,0)</x:f>
        <x:v>1605.8706931200004</x:v>
      </x:c>
      <x:c r="D126" s="180" t="n">
        <x:f>IF(A126&lt;$B$23,1,(1+$B$33)^INT((A126-$B$23)/12))</x:f>
        <x:v>1.3382255776000003</x:v>
      </x:c>
      <x:c r="E126" s="141" t="n">
        <x:f>IF(AND($B$22="Sim",A126=$B$23),$B$37,0)</x:f>
        <x:v>0</x:v>
      </x:c>
      <x:c r="F126" s="141" t="n">
        <x:f>IF(AND($B$22="Sim",A126=$B$24),$B$27,0)</x:f>
        <x:v>0</x:v>
      </x:c>
      <x:c r="G126" s="141" t="n">
        <x:f>IF(AND($B$22="Sim",A126=$B$23),$B$35,0)</x:f>
        <x:v>0</x:v>
      </x:c>
      <x:c r="H126" s="141" t="n">
        <x:f>IF(AND($B$22="Sim",A126=$B$23),$B$36,0)</x:f>
        <x:v>0</x:v>
      </x:c>
      <x:c r="I126" s="141" t="n">
        <x:f>IF(OR($B$22&lt;&gt;"Sim",A126&gt;=$B$23+$B$31-1),0,(I127+C127)/(1+$B$9))</x:f>
        <x:v>140198.11527824102</x:v>
      </x:c>
      <x:c r="J126" s="140" t="str">
        <x:f>IF($B$22&lt;&gt;"Sim","Desativada",IF(A126&lt;$B$23,"Antes da compra",IF(A126&lt;$B$23+$B$31,"Parcelas restantes","Encerrado")))</x:f>
        <x:v>Parcelas restantes</x:v>
      </x:c>
      <x:c r="K126" s="141" t="n">
        <x:f>IF(C126&gt;0,C126/(1+$B$9)^A126,0)</x:f>
        <x:v>813.584069721183</x:v>
      </x:c>
    </x:row>
    <x:row r="127">
      <x:c r="A127" s="142" t="n">
        <x:v>73</x:v>
      </x:c>
      <x:c r="B127" s="179" t="n">
        <x:f>EDATE($B$5,A127-1)</x:f>
        <x:v>48731</x:v>
      </x:c>
      <x:c r="C127" s="141" t="n">
        <x:f>IF(AND($B$22="Sim",A127&gt;=$B$23,A127&lt;$B$23+$B$31),$B$32*D127,0)</x:f>
        <x:v>1702.2229347072005</x:v>
      </x:c>
      <x:c r="D127" s="180" t="n">
        <x:f>IF(A127&lt;$B$23,1,(1+$B$33)^INT((A127-$B$23)/12))</x:f>
        <x:v>1.4185191122560004</x:v>
      </x:c>
      <x:c r="E127" s="141" t="n">
        <x:f>IF(AND($B$22="Sim",A127=$B$23),$B$37,0)</x:f>
        <x:v>0</x:v>
      </x:c>
      <x:c r="F127" s="141" t="n">
        <x:f>IF(AND($B$22="Sim",A127=$B$24),$B$27,0)</x:f>
        <x:v>0</x:v>
      </x:c>
      <x:c r="G127" s="141" t="n">
        <x:f>IF(AND($B$22="Sim",A127=$B$23),$B$35,0)</x:f>
        <x:v>0</x:v>
      </x:c>
      <x:c r="H127" s="141" t="n">
        <x:f>IF(AND($B$22="Sim",A127=$B$23),$B$36,0)</x:f>
        <x:v>0</x:v>
      </x:c>
      <x:c r="I127" s="141" t="n">
        <x:f>IF(OR($B$22&lt;&gt;"Sim",A127&gt;=$B$23+$B$31-1),0,(I128+C128)/(1+$B$9))</x:f>
        <x:v>139826.20322922783</x:v>
      </x:c>
      <x:c r="J127" s="140" t="str">
        <x:f>IF($B$22&lt;&gt;"Sim","Desativada",IF(A127&lt;$B$23,"Antes da compra",IF(A127&lt;$B$23+$B$31,"Parcelas restantes","Encerrado")))</x:f>
        <x:v>Parcelas restantes</x:v>
      </x:c>
      <x:c r="K127" s="141" t="n">
        <x:f>IF(C127&gt;0,C127/(1+$B$9)^A127,0)</x:f>
        <x:v>854.2929054194456</x:v>
      </x:c>
    </x:row>
    <x:row r="128">
      <x:c r="A128" s="142" t="n">
        <x:v>74</x:v>
      </x:c>
      <x:c r="B128" s="179" t="n">
        <x:f>EDATE($B$5,A128-1)</x:f>
        <x:v>48761</x:v>
      </x:c>
      <x:c r="C128" s="141" t="n">
        <x:f>IF(AND($B$22="Sim",A128&gt;=$B$23,A128&lt;$B$23+$B$31),$B$32*D128,0)</x:f>
        <x:v>1702.2229347072005</x:v>
      </x:c>
      <x:c r="D128" s="180" t="n">
        <x:f>IF(A128&lt;$B$23,1,(1+$B$33)^INT((A128-$B$23)/12))</x:f>
        <x:v>1.4185191122560004</x:v>
      </x:c>
      <x:c r="E128" s="141" t="n">
        <x:f>IF(AND($B$22="Sim",A128=$B$23),$B$37,0)</x:f>
        <x:v>0</x:v>
      </x:c>
      <x:c r="F128" s="141" t="n">
        <x:f>IF(AND($B$22="Sim",A128=$B$24),$B$27,0)</x:f>
        <x:v>0</x:v>
      </x:c>
      <x:c r="G128" s="141" t="n">
        <x:f>IF(AND($B$22="Sim",A128=$B$23),$B$35,0)</x:f>
        <x:v>0</x:v>
      </x:c>
      <x:c r="H128" s="141" t="n">
        <x:f>IF(AND($B$22="Sim",A128=$B$23),$B$36,0)</x:f>
        <x:v>0</x:v>
      </x:c>
      <x:c r="I128" s="141" t="n">
        <x:f>IF(OR($B$22&lt;&gt;"Sim",A128&gt;=$B$23+$B$31-1),0,(I129+C129)/(1+$B$9))</x:f>
        <x:v>139450.7621837917</x:v>
      </x:c>
      <x:c r="J128" s="140" t="str">
        <x:f>IF($B$22&lt;&gt;"Sim","Desativada",IF(A128&lt;$B$23,"Antes da compra",IF(A128&lt;$B$23+$B$31,"Parcelas restantes","Encerrado")))</x:f>
        <x:v>Parcelas restantes</x:v>
      </x:c>
      <x:c r="K128" s="141" t="n">
        <x:f>IF(C128&gt;0,C128/(1+$B$9)^A128,0)</x:f>
        <x:v>846.2628920683873</x:v>
      </x:c>
    </x:row>
    <x:row r="129">
      <x:c r="A129" s="142" t="n">
        <x:v>75</x:v>
      </x:c>
      <x:c r="B129" s="179" t="n">
        <x:f>EDATE($B$5,A129-1)</x:f>
        <x:v>48792</x:v>
      </x:c>
      <x:c r="C129" s="141" t="n">
        <x:f>IF(AND($B$22="Sim",A129&gt;=$B$23,A129&lt;$B$23+$B$31),$B$32*D129,0)</x:f>
        <x:v>1702.2229347072005</x:v>
      </x:c>
      <x:c r="D129" s="180" t="n">
        <x:f>IF(A129&lt;$B$23,1,(1+$B$33)^INT((A129-$B$23)/12))</x:f>
        <x:v>1.4185191122560004</x:v>
      </x:c>
      <x:c r="E129" s="141" t="n">
        <x:f>IF(AND($B$22="Sim",A129=$B$23),$B$37,0)</x:f>
        <x:v>0</x:v>
      </x:c>
      <x:c r="F129" s="141" t="n">
        <x:f>IF(AND($B$22="Sim",A129=$B$24),$B$27,0)</x:f>
        <x:v>0</x:v>
      </x:c>
      <x:c r="G129" s="141" t="n">
        <x:f>IF(AND($B$22="Sim",A129=$B$23),$B$35,0)</x:f>
        <x:v>0</x:v>
      </x:c>
      <x:c r="H129" s="141" t="n">
        <x:f>IF(AND($B$22="Sim",A129=$B$23),$B$36,0)</x:f>
        <x:v>0</x:v>
      </x:c>
      <x:c r="I129" s="141" t="n">
        <x:f>IF(OR($B$22&lt;&gt;"Sim",A129&gt;=$B$23+$B$31-1),0,(I130+C130)/(1+$B$9))</x:f>
        <x:v>139071.75865601626</x:v>
      </x:c>
      <x:c r="J129" s="140" t="str">
        <x:f>IF($B$22&lt;&gt;"Sim","Desativada",IF(A129&lt;$B$23,"Antes da compra",IF(A129&lt;$B$23+$B$31,"Parcelas restantes","Encerrado")))</x:f>
        <x:v>Parcelas restantes</x:v>
      </x:c>
      <x:c r="K129" s="141" t="n">
        <x:f>IF(C129&gt;0,C129/(1+$B$9)^A129,0)</x:f>
        <x:v>838.3083576473414</x:v>
      </x:c>
    </x:row>
    <x:row r="130">
      <x:c r="A130" s="142" t="n">
        <x:v>76</x:v>
      </x:c>
      <x:c r="B130" s="179" t="n">
        <x:f>EDATE($B$5,A130-1)</x:f>
        <x:v>48823</x:v>
      </x:c>
      <x:c r="C130" s="141" t="n">
        <x:f>IF(AND($B$22="Sim",A130&gt;=$B$23,A130&lt;$B$23+$B$31),$B$32*D130,0)</x:f>
        <x:v>1702.2229347072005</x:v>
      </x:c>
      <x:c r="D130" s="180" t="n">
        <x:f>IF(A130&lt;$B$23,1,(1+$B$33)^INT((A130-$B$23)/12))</x:f>
        <x:v>1.4185191122560004</x:v>
      </x:c>
      <x:c r="E130" s="141" t="n">
        <x:f>IF(AND($B$22="Sim",A130=$B$23),$B$37,0)</x:f>
        <x:v>0</x:v>
      </x:c>
      <x:c r="F130" s="141" t="n">
        <x:f>IF(AND($B$22="Sim",A130=$B$24),$B$27,0)</x:f>
        <x:v>0</x:v>
      </x:c>
      <x:c r="G130" s="141" t="n">
        <x:f>IF(AND($B$22="Sim",A130=$B$23),$B$35,0)</x:f>
        <x:v>0</x:v>
      </x:c>
      <x:c r="H130" s="141" t="n">
        <x:f>IF(AND($B$22="Sim",A130=$B$23),$B$36,0)</x:f>
        <x:v>0</x:v>
      </x:c>
      <x:c r="I130" s="141" t="n">
        <x:f>IF(OR($B$22&lt;&gt;"Sim",A130&gt;=$B$23+$B$31-1),0,(I131+C131)/(1+$B$9))</x:f>
        <x:v>138689.1588422443</x:v>
      </x:c>
      <x:c r="J130" s="140" t="str">
        <x:f>IF($B$22&lt;&gt;"Sim","Desativada",IF(A130&lt;$B$23,"Antes da compra",IF(A130&lt;$B$23+$B$31,"Parcelas restantes","Encerrado")))</x:f>
        <x:v>Parcelas restantes</x:v>
      </x:c>
      <x:c r="K130" s="141" t="n">
        <x:f>IF(C130&gt;0,C130/(1+$B$9)^A130,0)</x:f>
        <x:v>830.4285926844018</x:v>
      </x:c>
    </x:row>
    <x:row r="131">
      <x:c r="A131" s="142" t="n">
        <x:v>77</x:v>
      </x:c>
      <x:c r="B131" s="179" t="n">
        <x:f>EDATE($B$5,A131-1)</x:f>
        <x:v>48853</x:v>
      </x:c>
      <x:c r="C131" s="141" t="n">
        <x:f>IF(AND($B$22="Sim",A131&gt;=$B$23,A131&lt;$B$23+$B$31),$B$32*D131,0)</x:f>
        <x:v>1702.2229347072005</x:v>
      </x:c>
      <x:c r="D131" s="180" t="n">
        <x:f>IF(A131&lt;$B$23,1,(1+$B$33)^INT((A131-$B$23)/12))</x:f>
        <x:v>1.4185191122560004</x:v>
      </x:c>
      <x:c r="E131" s="141" t="n">
        <x:f>IF(AND($B$22="Sim",A131=$B$23),$B$37,0)</x:f>
        <x:v>0</x:v>
      </x:c>
      <x:c r="F131" s="141" t="n">
        <x:f>IF(AND($B$22="Sim",A131=$B$24),$B$27,0)</x:f>
        <x:v>0</x:v>
      </x:c>
      <x:c r="G131" s="141" t="n">
        <x:f>IF(AND($B$22="Sim",A131=$B$23),$B$35,0)</x:f>
        <x:v>0</x:v>
      </x:c>
      <x:c r="H131" s="141" t="n">
        <x:f>IF(AND($B$22="Sim",A131=$B$23),$B$36,0)</x:f>
        <x:v>0</x:v>
      </x:c>
      <x:c r="I131" s="141" t="n">
        <x:f>IF(OR($B$22&lt;&gt;"Sim",A131&gt;=$B$23+$B$31-1),0,(I132+C132)/(1+$B$9))</x:f>
        <x:v>138302.92861806264</x:v>
      </x:c>
      <x:c r="J131" s="140" t="str">
        <x:f>IF($B$22&lt;&gt;"Sim","Desativada",IF(A131&lt;$B$23,"Antes da compra",IF(A131&lt;$B$23+$B$31,"Parcelas restantes","Encerrado")))</x:f>
        <x:v>Parcelas restantes</x:v>
      </x:c>
      <x:c r="K131" s="141" t="n">
        <x:f>IF(C131&gt;0,C131/(1+$B$9)^A131,0)</x:f>
        <x:v>822.6228943764166</x:v>
      </x:c>
    </x:row>
    <x:row r="132">
      <x:c r="A132" s="142" t="n">
        <x:v>78</x:v>
      </x:c>
      <x:c r="B132" s="179" t="n">
        <x:f>EDATE($B$5,A132-1)</x:f>
        <x:v>48884</x:v>
      </x:c>
      <x:c r="C132" s="141" t="n">
        <x:f>IF(AND($B$22="Sim",A132&gt;=$B$23,A132&lt;$B$23+$B$31),$B$32*D132,0)</x:f>
        <x:v>1702.2229347072005</x:v>
      </x:c>
      <x:c r="D132" s="180" t="n">
        <x:f>IF(A132&lt;$B$23,1,(1+$B$33)^INT((A132-$B$23)/12))</x:f>
        <x:v>1.4185191122560004</x:v>
      </x:c>
      <x:c r="E132" s="141" t="n">
        <x:f>IF(AND($B$22="Sim",A132=$B$23),$B$37,0)</x:f>
        <x:v>0</x:v>
      </x:c>
      <x:c r="F132" s="141" t="n">
        <x:f>IF(AND($B$22="Sim",A132=$B$24),$B$27,0)</x:f>
        <x:v>0</x:v>
      </x:c>
      <x:c r="G132" s="141" t="n">
        <x:f>IF(AND($B$22="Sim",A132=$B$23),$B$35,0)</x:f>
        <x:v>0</x:v>
      </x:c>
      <x:c r="H132" s="141" t="n">
        <x:f>IF(AND($B$22="Sim",A132=$B$23),$B$36,0)</x:f>
        <x:v>0</x:v>
      </x:c>
      <x:c r="I132" s="141" t="n">
        <x:f>IF(OR($B$22&lt;&gt;"Sim",A132&gt;=$B$23+$B$31-1),0,(I133+C133)/(1+$B$9))</x:f>
        <x:v>137913.03353525864</x:v>
      </x:c>
      <x:c r="J132" s="140" t="str">
        <x:f>IF($B$22&lt;&gt;"Sim","Desativada",IF(A132&lt;$B$23,"Antes da compra",IF(A132&lt;$B$23+$B$31,"Parcelas restantes","Encerrado")))</x:f>
        <x:v>Parcelas restantes</x:v>
      </x:c>
      <x:c r="K132" s="141" t="n">
        <x:f>IF(C132&gt;0,C132/(1+$B$9)^A132,0)</x:f>
        <x:v>814.8905665263034</x:v>
      </x:c>
    </x:row>
    <x:row r="133">
      <x:c r="A133" s="142" t="n">
        <x:v>79</x:v>
      </x:c>
      <x:c r="B133" s="179" t="n">
        <x:f>EDATE($B$5,A133-1)</x:f>
        <x:v>48914</x:v>
      </x:c>
      <x:c r="C133" s="141" t="n">
        <x:f>IF(AND($B$22="Sim",A133&gt;=$B$23,A133&lt;$B$23+$B$31),$B$32*D133,0)</x:f>
        <x:v>1702.2229347072005</x:v>
      </x:c>
      <x:c r="D133" s="180" t="n">
        <x:f>IF(A133&lt;$B$23,1,(1+$B$33)^INT((A133-$B$23)/12))</x:f>
        <x:v>1.4185191122560004</x:v>
      </x:c>
      <x:c r="E133" s="141" t="n">
        <x:f>IF(AND($B$22="Sim",A133=$B$23),$B$37,0)</x:f>
        <x:v>0</x:v>
      </x:c>
      <x:c r="F133" s="141" t="n">
        <x:f>IF(AND($B$22="Sim",A133=$B$24),$B$27,0)</x:f>
        <x:v>0</x:v>
      </x:c>
      <x:c r="G133" s="141" t="n">
        <x:f>IF(AND($B$22="Sim",A133=$B$23),$B$35,0)</x:f>
        <x:v>0</x:v>
      </x:c>
      <x:c r="H133" s="141" t="n">
        <x:f>IF(AND($B$22="Sim",A133=$B$23),$B$36,0)</x:f>
        <x:v>0</x:v>
      </x:c>
      <x:c r="I133" s="141" t="n">
        <x:f>IF(OR($B$22&lt;&gt;"Sim",A133&gt;=$B$23+$B$31-1),0,(I134+C134)/(1+$B$9))</x:f>
        <x:v>137519.4388187477</x:v>
      </x:c>
      <x:c r="J133" s="140" t="str">
        <x:f>IF($B$22&lt;&gt;"Sim","Desativada",IF(A133&lt;$B$23,"Antes da compra",IF(A133&lt;$B$23+$B$31,"Parcelas restantes","Encerrado")))</x:f>
        <x:v>Parcelas restantes</x:v>
      </x:c>
      <x:c r="K133" s="141" t="n">
        <x:f>IF(C133&gt;0,C133/(1+$B$9)^A133,0)</x:f>
        <x:v>807.2309194809555</x:v>
      </x:c>
    </x:row>
    <x:row r="134">
      <x:c r="A134" s="142" t="n">
        <x:v>80</x:v>
      </x:c>
      <x:c r="B134" s="179" t="n">
        <x:f>EDATE($B$5,A134-1)</x:f>
        <x:v>48945</x:v>
      </x:c>
      <x:c r="C134" s="141" t="n">
        <x:f>IF(AND($B$22="Sim",A134&gt;=$B$23,A134&lt;$B$23+$B$31),$B$32*D134,0)</x:f>
        <x:v>1702.2229347072005</x:v>
      </x:c>
      <x:c r="D134" s="180" t="n">
        <x:f>IF(A134&lt;$B$23,1,(1+$B$33)^INT((A134-$B$23)/12))</x:f>
        <x:v>1.4185191122560004</x:v>
      </x:c>
      <x:c r="E134" s="141" t="n">
        <x:f>IF(AND($B$22="Sim",A134=$B$23),$B$37,0)</x:f>
        <x:v>0</x:v>
      </x:c>
      <x:c r="F134" s="141" t="n">
        <x:f>IF(AND($B$22="Sim",A134=$B$24),$B$27,0)</x:f>
        <x:v>0</x:v>
      </x:c>
      <x:c r="G134" s="141" t="n">
        <x:f>IF(AND($B$22="Sim",A134=$B$23),$B$35,0)</x:f>
        <x:v>0</x:v>
      </x:c>
      <x:c r="H134" s="141" t="n">
        <x:f>IF(AND($B$22="Sim",A134=$B$23),$B$36,0)</x:f>
        <x:v>0</x:v>
      </x:c>
      <x:c r="I134" s="141" t="n">
        <x:f>IF(OR($B$22&lt;&gt;"Sim",A134&gt;=$B$23+$B$31-1),0,(I135+C135)/(1+$B$9))</x:f>
        <x:v>137122.10936347165</x:v>
      </x:c>
      <x:c r="J134" s="140" t="str">
        <x:f>IF($B$22&lt;&gt;"Sim","Desativada",IF(A134&lt;$B$23,"Antes da compra",IF(A134&lt;$B$23+$B$31,"Parcelas restantes","Encerrado")))</x:f>
        <x:v>Parcelas restantes</x:v>
      </x:c>
      <x:c r="K134" s="141" t="n">
        <x:f>IF(C134&gt;0,C134/(1+$B$9)^A134,0)</x:f>
        <x:v>799.643270069731</x:v>
      </x:c>
    </x:row>
    <x:row r="135">
      <x:c r="A135" s="142" t="n">
        <x:v>81</x:v>
      </x:c>
      <x:c r="B135" s="179" t="n">
        <x:f>EDATE($B$5,A135-1)</x:f>
        <x:v>48976</x:v>
      </x:c>
      <x:c r="C135" s="141" t="n">
        <x:f>IF(AND($B$22="Sim",A135&gt;=$B$23,A135&lt;$B$23+$B$31),$B$32*D135,0)</x:f>
        <x:v>1702.2229347072005</x:v>
      </x:c>
      <x:c r="D135" s="180" t="n">
        <x:f>IF(A135&lt;$B$23,1,(1+$B$33)^INT((A135-$B$23)/12))</x:f>
        <x:v>1.4185191122560004</x:v>
      </x:c>
      <x:c r="E135" s="141" t="n">
        <x:f>IF(AND($B$22="Sim",A135=$B$23),$B$37,0)</x:f>
        <x:v>0</x:v>
      </x:c>
      <x:c r="F135" s="141" t="n">
        <x:f>IF(AND($B$22="Sim",A135=$B$24),$B$27,0)</x:f>
        <x:v>0</x:v>
      </x:c>
      <x:c r="G135" s="141" t="n">
        <x:f>IF(AND($B$22="Sim",A135=$B$23),$B$35,0)</x:f>
        <x:v>0</x:v>
      </x:c>
      <x:c r="H135" s="141" t="n">
        <x:f>IF(AND($B$22="Sim",A135=$B$23),$B$36,0)</x:f>
        <x:v>0</x:v>
      </x:c>
      <x:c r="I135" s="141" t="n">
        <x:f>IF(OR($B$22&lt;&gt;"Sim",A135&gt;=$B$23+$B$31-1),0,(I136+C136)/(1+$B$9))</x:f>
        <x:v>136721.00973126767</x:v>
      </x:c>
      <x:c r="J135" s="140" t="str">
        <x:f>IF($B$22&lt;&gt;"Sim","Desativada",IF(A135&lt;$B$23,"Antes da compra",IF(A135&lt;$B$23+$B$31,"Parcelas restantes","Encerrado")))</x:f>
        <x:v>Parcelas restantes</x:v>
      </x:c>
      <x:c r="K135" s="141" t="n">
        <x:f>IF(C135&gt;0,C135/(1+$B$9)^A135,0)</x:f>
        <x:v>792.1269415435199</x:v>
      </x:c>
    </x:row>
    <x:row r="136">
      <x:c r="A136" s="142" t="n">
        <x:v>82</x:v>
      </x:c>
      <x:c r="B136" s="179" t="n">
        <x:f>EDATE($B$5,A136-1)</x:f>
        <x:v>49004</x:v>
      </x:c>
      <x:c r="C136" s="141" t="n">
        <x:f>IF(AND($B$22="Sim",A136&gt;=$B$23,A136&lt;$B$23+$B$31),$B$32*D136,0)</x:f>
        <x:v>1702.2229347072005</x:v>
      </x:c>
      <x:c r="D136" s="180" t="n">
        <x:f>IF(A136&lt;$B$23,1,(1+$B$33)^INT((A136-$B$23)/12))</x:f>
        <x:v>1.4185191122560004</x:v>
      </x:c>
      <x:c r="E136" s="141" t="n">
        <x:f>IF(AND($B$22="Sim",A136=$B$23),$B$37,0)</x:f>
        <x:v>0</x:v>
      </x:c>
      <x:c r="F136" s="141" t="n">
        <x:f>IF(AND($B$22="Sim",A136=$B$24),$B$27,0)</x:f>
        <x:v>0</x:v>
      </x:c>
      <x:c r="G136" s="141" t="n">
        <x:f>IF(AND($B$22="Sim",A136=$B$23),$B$35,0)</x:f>
        <x:v>0</x:v>
      </x:c>
      <x:c r="H136" s="141" t="n">
        <x:f>IF(AND($B$22="Sim",A136=$B$23),$B$36,0)</x:f>
        <x:v>0</x:v>
      </x:c>
      <x:c r="I136" s="141" t="n">
        <x:f>IF(OR($B$22&lt;&gt;"Sim",A136&gt;=$B$23+$B$31-1),0,(I137+C137)/(1+$B$9))</x:f>
        <x:v>136316.10414770758</x:v>
      </x:c>
      <x:c r="J136" s="140" t="str">
        <x:f>IF($B$22&lt;&gt;"Sim","Desativada",IF(A136&lt;$B$23,"Antes da compra",IF(A136&lt;$B$23+$B$31,"Parcelas restantes","Encerrado")))</x:f>
        <x:v>Parcelas restantes</x:v>
      </x:c>
      <x:c r="K136" s="141" t="n">
        <x:f>IF(C136&gt;0,C136/(1+$B$9)^A136,0)</x:f>
        <x:v>784.681263514385</x:v>
      </x:c>
    </x:row>
    <x:row r="137">
      <x:c r="A137" s="142" t="n">
        <x:v>83</x:v>
      </x:c>
      <x:c r="B137" s="179" t="n">
        <x:f>EDATE($B$5,A137-1)</x:f>
        <x:v>49035</x:v>
      </x:c>
      <x:c r="C137" s="141" t="n">
        <x:f>IF(AND($B$22="Sim",A137&gt;=$B$23,A137&lt;$B$23+$B$31),$B$32*D137,0)</x:f>
        <x:v>1702.2229347072005</x:v>
      </x:c>
      <x:c r="D137" s="180" t="n">
        <x:f>IF(A137&lt;$B$23,1,(1+$B$33)^INT((A137-$B$23)/12))</x:f>
        <x:v>1.4185191122560004</x:v>
      </x:c>
      <x:c r="E137" s="141" t="n">
        <x:f>IF(AND($B$22="Sim",A137=$B$23),$B$37,0)</x:f>
        <x:v>0</x:v>
      </x:c>
      <x:c r="F137" s="141" t="n">
        <x:f>IF(AND($B$22="Sim",A137=$B$24),$B$27,0)</x:f>
        <x:v>0</x:v>
      </x:c>
      <x:c r="G137" s="141" t="n">
        <x:f>IF(AND($B$22="Sim",A137=$B$23),$B$35,0)</x:f>
        <x:v>0</x:v>
      </x:c>
      <x:c r="H137" s="141" t="n">
        <x:f>IF(AND($B$22="Sim",A137=$B$23),$B$36,0)</x:f>
        <x:v>0</x:v>
      </x:c>
      <x:c r="I137" s="141" t="n">
        <x:f>IF(OR($B$22&lt;&gt;"Sim",A137&gt;=$B$23+$B$31-1),0,(I138+C138)/(1+$B$9))</x:f>
        <x:v>135907.35649890703</x:v>
      </x:c>
      <x:c r="J137" s="140" t="str">
        <x:f>IF($B$22&lt;&gt;"Sim","Desativada",IF(A137&lt;$B$23,"Antes da compra",IF(A137&lt;$B$23+$B$31,"Parcelas restantes","Encerrado")))</x:f>
        <x:v>Parcelas restantes</x:v>
      </x:c>
      <x:c r="K137" s="141" t="n">
        <x:f>IF(C137&gt;0,C137/(1+$B$9)^A137,0)</x:f>
        <x:v>777.3055718957685</x:v>
      </x:c>
    </x:row>
    <x:row r="138">
      <x:c r="A138" s="142" t="n">
        <x:v>84</x:v>
      </x:c>
      <x:c r="B138" s="179" t="n">
        <x:f>EDATE($B$5,A138-1)</x:f>
        <x:v>49065</x:v>
      </x:c>
      <x:c r="C138" s="141" t="n">
        <x:f>IF(AND($B$22="Sim",A138&gt;=$B$23,A138&lt;$B$23+$B$31),$B$32*D138,0)</x:f>
        <x:v>1702.2229347072005</x:v>
      </x:c>
      <x:c r="D138" s="180" t="n">
        <x:f>IF(A138&lt;$B$23,1,(1+$B$33)^INT((A138-$B$23)/12))</x:f>
        <x:v>1.4185191122560004</x:v>
      </x:c>
      <x:c r="E138" s="141" t="n">
        <x:f>IF(AND($B$22="Sim",A138=$B$23),$B$37,0)</x:f>
        <x:v>0</x:v>
      </x:c>
      <x:c r="F138" s="141" t="n">
        <x:f>IF(AND($B$22="Sim",A138=$B$24),$B$27,0)</x:f>
        <x:v>0</x:v>
      </x:c>
      <x:c r="G138" s="141" t="n">
        <x:f>IF(AND($B$22="Sim",A138=$B$23),$B$35,0)</x:f>
        <x:v>0</x:v>
      </x:c>
      <x:c r="H138" s="141" t="n">
        <x:f>IF(AND($B$22="Sim",A138=$B$23),$B$36,0)</x:f>
        <x:v>0</x:v>
      </x:c>
      <x:c r="I138" s="141" t="n">
        <x:f>IF(OR($B$22&lt;&gt;"Sim",A138&gt;=$B$23+$B$31-1),0,(I139+C139)/(1+$B$9))</x:f>
        <x:v>135494.73032830452</x:v>
      </x:c>
      <x:c r="J138" s="140" t="str">
        <x:f>IF($B$22&lt;&gt;"Sim","Desativada",IF(A138&lt;$B$23,"Antes da compra",IF(A138&lt;$B$23+$B$31,"Parcelas restantes","Encerrado")))</x:f>
        <x:v>Parcelas restantes</x:v>
      </x:c>
      <x:c r="K138" s="141" t="n">
        <x:f>IF(C138&gt;0,C138/(1+$B$9)^A138,0)</x:f>
        <x:v>769.999208843262</x:v>
      </x:c>
    </x:row>
    <x:row r="139">
      <x:c r="A139" s="142" t="n">
        <x:v>85</x:v>
      </x:c>
      <x:c r="B139" s="179" t="n">
        <x:f>EDATE($B$5,A139-1)</x:f>
        <x:v>49096</x:v>
      </x:c>
      <x:c r="C139" s="141" t="n">
        <x:f>IF(AND($B$22="Sim",A139&gt;=$B$23,A139&lt;$B$23+$B$31),$B$32*D139,0)</x:f>
        <x:v>1804.3563107896327</x:v>
      </x:c>
      <x:c r="D139" s="180" t="n">
        <x:f>IF(A139&lt;$B$23,1,(1+$B$33)^INT((A139-$B$23)/12))</x:f>
        <x:v>1.5036302589913606</x:v>
      </x:c>
      <x:c r="E139" s="141" t="n">
        <x:f>IF(AND($B$22="Sim",A139=$B$23),$B$37,0)</x:f>
        <x:v>0</x:v>
      </x:c>
      <x:c r="F139" s="141" t="n">
        <x:f>IF(AND($B$22="Sim",A139=$B$24),$B$27,0)</x:f>
        <x:v>0</x:v>
      </x:c>
      <x:c r="G139" s="141" t="n">
        <x:f>IF(AND($B$22="Sim",A139=$B$23),$B$35,0)</x:f>
        <x:v>0</x:v>
      </x:c>
      <x:c r="H139" s="141" t="n">
        <x:f>IF(AND($B$22="Sim",A139=$B$23),$B$36,0)</x:f>
        <x:v>0</x:v>
      </x:c>
      <x:c r="I139" s="141" t="n">
        <x:f>IF(OR($B$22&lt;&gt;"Sim",A139&gt;=$B$23+$B$31-1),0,(I140+C140)/(1+$B$9))</x:f>
        <x:v>134976.05545732734</x:v>
      </x:c>
      <x:c r="J139" s="140" t="str">
        <x:f>IF($B$22&lt;&gt;"Sim","Desativada",IF(A139&lt;$B$23,"Antes da compra",IF(A139&lt;$B$23+$B$31,"Parcelas restantes","Encerrado")))</x:f>
        <x:v>Parcelas restantes</x:v>
      </x:c>
      <x:c r="K139" s="141" t="n">
        <x:f>IF(C139&gt;0,C139/(1+$B$9)^A139,0)</x:f>
        <x:v>808.527214057689</x:v>
      </x:c>
    </x:row>
    <x:row r="140">
      <x:c r="A140" s="142" t="n">
        <x:v>86</x:v>
      </x:c>
      <x:c r="B140" s="179" t="n">
        <x:f>EDATE($B$5,A140-1)</x:f>
        <x:v>49126</x:v>
      </x:c>
      <x:c r="C140" s="141" t="n">
        <x:f>IF(AND($B$22="Sim",A140&gt;=$B$23,A140&lt;$B$23+$B$31),$B$32*D140,0)</x:f>
        <x:v>1804.3563107896327</x:v>
      </x:c>
      <x:c r="D140" s="180" t="n">
        <x:f>IF(A140&lt;$B$23,1,(1+$B$33)^INT((A140-$B$23)/12))</x:f>
        <x:v>1.5036302589913606</x:v>
      </x:c>
      <x:c r="E140" s="141" t="n">
        <x:f>IF(AND($B$22="Sim",A140=$B$23),$B$37,0)</x:f>
        <x:v>0</x:v>
      </x:c>
      <x:c r="F140" s="141" t="n">
        <x:f>IF(AND($B$22="Sim",A140=$B$24),$B$27,0)</x:f>
        <x:v>0</x:v>
      </x:c>
      <x:c r="G140" s="141" t="n">
        <x:f>IF(AND($B$22="Sim",A140=$B$23),$B$35,0)</x:f>
        <x:v>0</x:v>
      </x:c>
      <x:c r="H140" s="141" t="n">
        <x:f>IF(AND($B$22="Sim",A140=$B$23),$B$36,0)</x:f>
        <x:v>0</x:v>
      </x:c>
      <x:c r="I140" s="141" t="n">
        <x:f>IF(OR($B$22&lt;&gt;"Sim",A140&gt;=$B$23+$B$31-1),0,(I141+C141)/(1+$B$9))</x:f>
        <x:v>134452.4589878991</x:v>
      </x:c>
      <x:c r="J140" s="140" t="str">
        <x:f>IF($B$22&lt;&gt;"Sim","Desativada",IF(A140&lt;$B$23,"Antes da compra",IF(A140&lt;$B$23+$B$31,"Parcelas restantes","Encerrado")))</x:f>
        <x:v>Parcelas restantes</x:v>
      </x:c>
      <x:c r="K140" s="141" t="n">
        <x:f>IF(C140&gt;0,C140/(1+$B$9)^A140,0)</x:f>
        <x:v>800.9273799932945</x:v>
      </x:c>
    </x:row>
    <x:row r="141">
      <x:c r="A141" s="142" t="n">
        <x:v>87</x:v>
      </x:c>
      <x:c r="B141" s="179" t="n">
        <x:f>EDATE($B$5,A141-1)</x:f>
        <x:v>49157</x:v>
      </x:c>
      <x:c r="C141" s="141" t="n">
        <x:f>IF(AND($B$22="Sim",A141&gt;=$B$23,A141&lt;$B$23+$B$31),$B$32*D141,0)</x:f>
        <x:v>1804.3563107896327</x:v>
      </x:c>
      <x:c r="D141" s="180" t="n">
        <x:f>IF(A141&lt;$B$23,1,(1+$B$33)^INT((A141-$B$23)/12))</x:f>
        <x:v>1.5036302589913606</x:v>
      </x:c>
      <x:c r="E141" s="141" t="n">
        <x:f>IF(AND($B$22="Sim",A141=$B$23),$B$37,0)</x:f>
        <x:v>0</x:v>
      </x:c>
      <x:c r="F141" s="141" t="n">
        <x:f>IF(AND($B$22="Sim",A141=$B$24),$B$27,0)</x:f>
        <x:v>0</x:v>
      </x:c>
      <x:c r="G141" s="141" t="n">
        <x:f>IF(AND($B$22="Sim",A141=$B$23),$B$35,0)</x:f>
        <x:v>0</x:v>
      </x:c>
      <x:c r="H141" s="141" t="n">
        <x:f>IF(AND($B$22="Sim",A141=$B$23),$B$36,0)</x:f>
        <x:v>0</x:v>
      </x:c>
      <x:c r="I141" s="141" t="n">
        <x:f>IF(OR($B$22&lt;&gt;"Sim",A141&gt;=$B$23+$B$31-1),0,(I142+C142)/(1+$B$9))</x:f>
        <x:v>133923.89421999117</x:v>
      </x:c>
      <x:c r="J141" s="140" t="str">
        <x:f>IF($B$22&lt;&gt;"Sim","Desativada",IF(A141&lt;$B$23,"Antes da compra",IF(A141&lt;$B$23+$B$31,"Parcelas restantes","Encerrado")))</x:f>
        <x:v>Parcelas restantes</x:v>
      </x:c>
      <x:c r="K141" s="141" t="n">
        <x:f>IF(C141&gt;0,C141/(1+$B$9)^A141,0)</x:f>
        <x:v>793.3989813448045</x:v>
      </x:c>
    </x:row>
    <x:row r="142">
      <x:c r="A142" s="142" t="n">
        <x:v>88</x:v>
      </x:c>
      <x:c r="B142" s="179" t="n">
        <x:f>EDATE($B$5,A142-1)</x:f>
        <x:v>49188</x:v>
      </x:c>
      <x:c r="C142" s="141" t="n">
        <x:f>IF(AND($B$22="Sim",A142&gt;=$B$23,A142&lt;$B$23+$B$31),$B$32*D142,0)</x:f>
        <x:v>1804.3563107896327</x:v>
      </x:c>
      <x:c r="D142" s="180" t="n">
        <x:f>IF(A142&lt;$B$23,1,(1+$B$33)^INT((A142-$B$23)/12))</x:f>
        <x:v>1.5036302589913606</x:v>
      </x:c>
      <x:c r="E142" s="141" t="n">
        <x:f>IF(AND($B$22="Sim",A142=$B$23),$B$37,0)</x:f>
        <x:v>0</x:v>
      </x:c>
      <x:c r="F142" s="141" t="n">
        <x:f>IF(AND($B$22="Sim",A142=$B$24),$B$27,0)</x:f>
        <x:v>0</x:v>
      </x:c>
      <x:c r="G142" s="141" t="n">
        <x:f>IF(AND($B$22="Sim",A142=$B$23),$B$35,0)</x:f>
        <x:v>0</x:v>
      </x:c>
      <x:c r="H142" s="141" t="n">
        <x:f>IF(AND($B$22="Sim",A142=$B$23),$B$36,0)</x:f>
        <x:v>0</x:v>
      </x:c>
      <x:c r="I142" s="141" t="n">
        <x:f>IF(OR($B$22&lt;&gt;"Sim",A142&gt;=$B$23+$B$31-1),0,(I143+C143)/(1+$B$9))</x:f>
        <x:v>133390.31401044806</x:v>
      </x:c>
      <x:c r="J142" s="140" t="str">
        <x:f>IF($B$22&lt;&gt;"Sim","Desativada",IF(A142&lt;$B$23,"Antes da compra",IF(A142&lt;$B$23+$B$31,"Parcelas restantes","Encerrado")))</x:f>
        <x:v>Parcelas restantes</x:v>
      </x:c>
      <x:c r="K142" s="141" t="n">
        <x:f>IF(C142&gt;0,C142/(1+$B$9)^A142,0)</x:f>
        <x:v>785.9413466477369</x:v>
      </x:c>
    </x:row>
    <x:row r="143">
      <x:c r="A143" s="142" t="n">
        <x:v>89</x:v>
      </x:c>
      <x:c r="B143" s="179" t="n">
        <x:f>EDATE($B$5,A143-1)</x:f>
        <x:v>49218</x:v>
      </x:c>
      <x:c r="C143" s="141" t="n">
        <x:f>IF(AND($B$22="Sim",A143&gt;=$B$23,A143&lt;$B$23+$B$31),$B$32*D143,0)</x:f>
        <x:v>1804.3563107896327</x:v>
      </x:c>
      <x:c r="D143" s="180" t="n">
        <x:f>IF(A143&lt;$B$23,1,(1+$B$33)^INT((A143-$B$23)/12))</x:f>
        <x:v>1.5036302589913606</x:v>
      </x:c>
      <x:c r="E143" s="141" t="n">
        <x:f>IF(AND($B$22="Sim",A143=$B$23),$B$37,0)</x:f>
        <x:v>0</x:v>
      </x:c>
      <x:c r="F143" s="141" t="n">
        <x:f>IF(AND($B$22="Sim",A143=$B$24),$B$27,0)</x:f>
        <x:v>0</x:v>
      </x:c>
      <x:c r="G143" s="141" t="n">
        <x:f>IF(AND($B$22="Sim",A143=$B$23),$B$35,0)</x:f>
        <x:v>0</x:v>
      </x:c>
      <x:c r="H143" s="141" t="n">
        <x:f>IF(AND($B$22="Sim",A143=$B$23),$B$36,0)</x:f>
        <x:v>0</x:v>
      </x:c>
      <x:c r="I143" s="141" t="n">
        <x:f>IF(OR($B$22&lt;&gt;"Sim",A143&gt;=$B$23+$B$31-1),0,(I144+C144)/(1+$B$9))</x:f>
        <x:v>132851.67076878258</x:v>
      </x:c>
      <x:c r="J143" s="140" t="str">
        <x:f>IF($B$22&lt;&gt;"Sim","Desativada",IF(A143&lt;$B$23,"Antes da compra",IF(A143&lt;$B$23+$B$31,"Parcelas restantes","Encerrado")))</x:f>
        <x:v>Parcelas restantes</x:v>
      </x:c>
      <x:c r="K143" s="141" t="n">
        <x:f>IF(C143&gt;0,C143/(1+$B$9)^A143,0)</x:f>
        <x:v>778.5538107491079</x:v>
      </x:c>
    </x:row>
    <x:row r="144">
      <x:c r="A144" s="142" t="n">
        <x:v>90</x:v>
      </x:c>
      <x:c r="B144" s="179" t="n">
        <x:f>EDATE($B$5,A144-1)</x:f>
        <x:v>49249</x:v>
      </x:c>
      <x:c r="C144" s="141" t="n">
        <x:f>IF(AND($B$22="Sim",A144&gt;=$B$23,A144&lt;$B$23+$B$31),$B$32*D144,0)</x:f>
        <x:v>1804.3563107896327</x:v>
      </x:c>
      <x:c r="D144" s="180" t="n">
        <x:f>IF(A144&lt;$B$23,1,(1+$B$33)^INT((A144-$B$23)/12))</x:f>
        <x:v>1.5036302589913606</x:v>
      </x:c>
      <x:c r="E144" s="141" t="n">
        <x:f>IF(AND($B$22="Sim",A144=$B$23),$B$37,0)</x:f>
        <x:v>0</x:v>
      </x:c>
      <x:c r="F144" s="141" t="n">
        <x:f>IF(AND($B$22="Sim",A144=$B$24),$B$27,0)</x:f>
        <x:v>0</x:v>
      </x:c>
      <x:c r="G144" s="141" t="n">
        <x:f>IF(AND($B$22="Sim",A144=$B$23),$B$35,0)</x:f>
        <x:v>0</x:v>
      </x:c>
      <x:c r="H144" s="141" t="n">
        <x:f>IF(AND($B$22="Sim",A144=$B$23),$B$36,0)</x:f>
        <x:v>0</x:v>
      </x:c>
      <x:c r="I144" s="141" t="n">
        <x:f>IF(OR($B$22&lt;&gt;"Sim",A144&gt;=$B$23+$B$31-1),0,(I145+C145)/(1+$B$9))</x:f>
        <x:v>132307.91645293136</x:v>
      </x:c>
      <x:c r="J144" s="140" t="str">
        <x:f>IF($B$22&lt;&gt;"Sim","Desativada",IF(A144&lt;$B$23,"Antes da compra",IF(A144&lt;$B$23+$B$31,"Parcelas restantes","Encerrado")))</x:f>
        <x:v>Parcelas restantes</x:v>
      </x:c>
      <x:c r="K144" s="141" t="n">
        <x:f>IF(C144&gt;0,C144/(1+$B$9)^A144,0)</x:f>
        <x:v>771.2357147481081</x:v>
      </x:c>
    </x:row>
    <x:row r="145">
      <x:c r="A145" s="142" t="n">
        <x:v>91</x:v>
      </x:c>
      <x:c r="B145" s="179" t="n">
        <x:f>EDATE($B$5,A145-1)</x:f>
        <x:v>49279</x:v>
      </x:c>
      <x:c r="C145" s="141" t="n">
        <x:f>IF(AND($B$22="Sim",A145&gt;=$B$23,A145&lt;$B$23+$B$31),$B$32*D145,0)</x:f>
        <x:v>1804.3563107896327</x:v>
      </x:c>
      <x:c r="D145" s="180" t="n">
        <x:f>IF(A145&lt;$B$23,1,(1+$B$33)^INT((A145-$B$23)/12))</x:f>
        <x:v>1.5036302589913606</x:v>
      </x:c>
      <x:c r="E145" s="141" t="n">
        <x:f>IF(AND($B$22="Sim",A145=$B$23),$B$37,0)</x:f>
        <x:v>0</x:v>
      </x:c>
      <x:c r="F145" s="141" t="n">
        <x:f>IF(AND($B$22="Sim",A145=$B$24),$B$27,0)</x:f>
        <x:v>0</x:v>
      </x:c>
      <x:c r="G145" s="141" t="n">
        <x:f>IF(AND($B$22="Sim",A145=$B$23),$B$35,0)</x:f>
        <x:v>0</x:v>
      </x:c>
      <x:c r="H145" s="141" t="n">
        <x:f>IF(AND($B$22="Sim",A145=$B$23),$B$36,0)</x:f>
        <x:v>0</x:v>
      </x:c>
      <x:c r="I145" s="141" t="n">
        <x:f>IF(OR($B$22&lt;&gt;"Sim",A145&gt;=$B$23+$B$31-1),0,(I146+C146)/(1+$B$9))</x:f>
        <x:v>131759.0025649697</x:v>
      </x:c>
      <x:c r="J145" s="140" t="str">
        <x:f>IF($B$22&lt;&gt;"Sim","Desativada",IF(A145&lt;$B$23,"Antes da compra",IF(A145&lt;$B$23+$B$31,"Parcelas restantes","Encerrado")))</x:f>
        <x:v>Parcelas restantes</x:v>
      </x:c>
      <x:c r="K145" s="141" t="n">
        <x:f>IF(C145&gt;0,C145/(1+$B$9)^A145,0)</x:f>
        <x:v>763.9864059373324</x:v>
      </x:c>
    </x:row>
    <x:row r="146">
      <x:c r="A146" s="142" t="n">
        <x:v>92</x:v>
      </x:c>
      <x:c r="B146" s="179" t="n">
        <x:f>EDATE($B$5,A146-1)</x:f>
        <x:v>49310</x:v>
      </x:c>
      <x:c r="C146" s="141" t="n">
        <x:f>IF(AND($B$22="Sim",A146&gt;=$B$23,A146&lt;$B$23+$B$31),$B$32*D146,0)</x:f>
        <x:v>1804.3563107896327</x:v>
      </x:c>
      <x:c r="D146" s="180" t="n">
        <x:f>IF(A146&lt;$B$23,1,(1+$B$33)^INT((A146-$B$23)/12))</x:f>
        <x:v>1.5036302589913606</x:v>
      </x:c>
      <x:c r="E146" s="141" t="n">
        <x:f>IF(AND($B$22="Sim",A146=$B$23),$B$37,0)</x:f>
        <x:v>0</x:v>
      </x:c>
      <x:c r="F146" s="141" t="n">
        <x:f>IF(AND($B$22="Sim",A146=$B$24),$B$27,0)</x:f>
        <x:v>0</x:v>
      </x:c>
      <x:c r="G146" s="141" t="n">
        <x:f>IF(AND($B$22="Sim",A146=$B$23),$B$35,0)</x:f>
        <x:v>0</x:v>
      </x:c>
      <x:c r="H146" s="141" t="n">
        <x:f>IF(AND($B$22="Sim",A146=$B$23),$B$36,0)</x:f>
        <x:v>0</x:v>
      </x:c>
      <x:c r="I146" s="141" t="n">
        <x:f>IF(OR($B$22&lt;&gt;"Sim",A146&gt;=$B$23+$B$31-1),0,(I147+C147)/(1+$B$9))</x:f>
        <x:v>131204.88014678628</x:v>
      </x:c>
      <x:c r="J146" s="140" t="str">
        <x:f>IF($B$22&lt;&gt;"Sim","Desativada",IF(A146&lt;$B$23,"Antes da compra",IF(A146&lt;$B$23+$B$31,"Parcelas restantes","Encerrado")))</x:f>
        <x:v>Parcelas restantes</x:v>
      </x:c>
      <x:c r="K146" s="141" t="n">
        <x:f>IF(C146&gt;0,C146/(1+$B$9)^A146,0)</x:f>
        <x:v>756.8052377445663</x:v>
      </x:c>
    </x:row>
    <x:row r="147">
      <x:c r="A147" s="142" t="n">
        <x:v>93</x:v>
      </x:c>
      <x:c r="B147" s="179" t="n">
        <x:f>EDATE($B$5,A147-1)</x:f>
        <x:v>49341</x:v>
      </x:c>
      <x:c r="C147" s="141" t="n">
        <x:f>IF(AND($B$22="Sim",A147&gt;=$B$23,A147&lt;$B$23+$B$31),$B$32*D147,0)</x:f>
        <x:v>1804.3563107896327</x:v>
      </x:c>
      <x:c r="D147" s="180" t="n">
        <x:f>IF(A147&lt;$B$23,1,(1+$B$33)^INT((A147-$B$23)/12))</x:f>
        <x:v>1.5036302589913606</x:v>
      </x:c>
      <x:c r="E147" s="141" t="n">
        <x:f>IF(AND($B$22="Sim",A147=$B$23),$B$37,0)</x:f>
        <x:v>0</x:v>
      </x:c>
      <x:c r="F147" s="141" t="n">
        <x:f>IF(AND($B$22="Sim",A147=$B$24),$B$27,0)</x:f>
        <x:v>0</x:v>
      </x:c>
      <x:c r="G147" s="141" t="n">
        <x:f>IF(AND($B$22="Sim",A147=$B$23),$B$35,0)</x:f>
        <x:v>0</x:v>
      </x:c>
      <x:c r="H147" s="141" t="n">
        <x:f>IF(AND($B$22="Sim",A147=$B$23),$B$36,0)</x:f>
        <x:v>0</x:v>
      </x:c>
      <x:c r="I147" s="141" t="n">
        <x:f>IF(OR($B$22&lt;&gt;"Sim",A147&gt;=$B$23+$B$31-1),0,(I148+C148)/(1+$B$9))</x:f>
        <x:v>130645.4997757163</x:v>
      </x:c>
      <x:c r="J147" s="140" t="str">
        <x:f>IF($B$22&lt;&gt;"Sim","Desativada",IF(A147&lt;$B$23,"Antes da compra",IF(A147&lt;$B$23+$B$31,"Parcelas restantes","Encerrado")))</x:f>
        <x:v>Parcelas restantes</x:v>
      </x:c>
      <x:c r="K147" s="141" t="n">
        <x:f>IF(C147&gt;0,C147/(1+$B$9)^A147,0)</x:f>
        <x:v>749.6915696751165</x:v>
      </x:c>
    </x:row>
    <x:row r="148">
      <x:c r="A148" s="142" t="n">
        <x:v>94</x:v>
      </x:c>
      <x:c r="B148" s="179" t="n">
        <x:f>EDATE($B$5,A148-1)</x:f>
        <x:v>49369</x:v>
      </x:c>
      <x:c r="C148" s="141" t="n">
        <x:f>IF(AND($B$22="Sim",A148&gt;=$B$23,A148&lt;$B$23+$B$31),$B$32*D148,0)</x:f>
        <x:v>1804.3563107896327</x:v>
      </x:c>
      <x:c r="D148" s="180" t="n">
        <x:f>IF(A148&lt;$B$23,1,(1+$B$33)^INT((A148-$B$23)/12))</x:f>
        <x:v>1.5036302589913606</x:v>
      </x:c>
      <x:c r="E148" s="141" t="n">
        <x:f>IF(AND($B$22="Sim",A148=$B$23),$B$37,0)</x:f>
        <x:v>0</x:v>
      </x:c>
      <x:c r="F148" s="141" t="n">
        <x:f>IF(AND($B$22="Sim",A148=$B$24),$B$27,0)</x:f>
        <x:v>0</x:v>
      </x:c>
      <x:c r="G148" s="141" t="n">
        <x:f>IF(AND($B$22="Sim",A148=$B$23),$B$35,0)</x:f>
        <x:v>0</x:v>
      </x:c>
      <x:c r="H148" s="141" t="n">
        <x:f>IF(AND($B$22="Sim",A148=$B$23),$B$36,0)</x:f>
        <x:v>0</x:v>
      </x:c>
      <x:c r="I148" s="141" t="n">
        <x:f>IF(OR($B$22&lt;&gt;"Sim",A148&gt;=$B$23+$B$31-1),0,(I149+C149)/(1+$B$9))</x:f>
        <x:v>130080.81156013354</x:v>
      </x:c>
      <x:c r="J148" s="140" t="str">
        <x:f>IF($B$22&lt;&gt;"Sim","Desativada",IF(A148&lt;$B$23,"Antes da compra",IF(A148&lt;$B$23+$B$31,"Parcelas restantes","Encerrado")))</x:f>
        <x:v>Parcelas restantes</x:v>
      </x:c>
      <x:c r="K148" s="141" t="n">
        <x:f>IF(C148&gt;0,C148/(1+$B$9)^A148,0)</x:f>
        <x:v>742.6447672546852</x:v>
      </x:c>
    </x:row>
    <x:row r="149">
      <x:c r="A149" s="142" t="n">
        <x:v>95</x:v>
      </x:c>
      <x:c r="B149" s="179" t="n">
        <x:f>EDATE($B$5,A149-1)</x:f>
        <x:v>49400</x:v>
      </x:c>
      <x:c r="C149" s="141" t="n">
        <x:f>IF(AND($B$22="Sim",A149&gt;=$B$23,A149&lt;$B$23+$B$31),$B$32*D149,0)</x:f>
        <x:v>1804.3563107896327</x:v>
      </x:c>
      <x:c r="D149" s="180" t="n">
        <x:f>IF(A149&lt;$B$23,1,(1+$B$33)^INT((A149-$B$23)/12))</x:f>
        <x:v>1.5036302589913606</x:v>
      </x:c>
      <x:c r="E149" s="141" t="n">
        <x:f>IF(AND($B$22="Sim",A149=$B$23),$B$37,0)</x:f>
        <x:v>0</x:v>
      </x:c>
      <x:c r="F149" s="141" t="n">
        <x:f>IF(AND($B$22="Sim",A149=$B$24),$B$27,0)</x:f>
        <x:v>0</x:v>
      </x:c>
      <x:c r="G149" s="141" t="n">
        <x:f>IF(AND($B$22="Sim",A149=$B$23),$B$35,0)</x:f>
        <x:v>0</x:v>
      </x:c>
      <x:c r="H149" s="141" t="n">
        <x:f>IF(AND($B$22="Sim",A149=$B$23),$B$36,0)</x:f>
        <x:v>0</x:v>
      </x:c>
      <x:c r="I149" s="141" t="n">
        <x:f>IF(OR($B$22&lt;&gt;"Sim",A149&gt;=$B$23+$B$31-1),0,(I150+C150)/(1+$B$9))</x:f>
        <x:v>129510.76513500053</x:v>
      </x:c>
      <x:c r="J149" s="140" t="str">
        <x:f>IF($B$22&lt;&gt;"Sim","Desativada",IF(A149&lt;$B$23,"Antes da compra",IF(A149&lt;$B$23+$B$31,"Parcelas restantes","Encerrado")))</x:f>
        <x:v>Parcelas restantes</x:v>
      </x:c>
      <x:c r="K149" s="141" t="n">
        <x:f>IF(C149&gt;0,C149/(1+$B$9)^A149,0)</x:f>
        <x:v>735.6642019727802</x:v>
      </x:c>
    </x:row>
    <x:row r="150">
      <x:c r="A150" s="142" t="n">
        <x:v>96</x:v>
      </x:c>
      <x:c r="B150" s="179" t="n">
        <x:f>EDATE($B$5,A150-1)</x:f>
        <x:v>49430</x:v>
      </x:c>
      <x:c r="C150" s="141" t="n">
        <x:f>IF(AND($B$22="Sim",A150&gt;=$B$23,A150&lt;$B$23+$B$31),$B$32*D150,0)</x:f>
        <x:v>1804.3563107896327</x:v>
      </x:c>
      <x:c r="D150" s="180" t="n">
        <x:f>IF(A150&lt;$B$23,1,(1+$B$33)^INT((A150-$B$23)/12))</x:f>
        <x:v>1.5036302589913606</x:v>
      </x:c>
      <x:c r="E150" s="141" t="n">
        <x:f>IF(AND($B$22="Sim",A150=$B$23),$B$37,0)</x:f>
        <x:v>0</x:v>
      </x:c>
      <x:c r="F150" s="141" t="n">
        <x:f>IF(AND($B$22="Sim",A150=$B$24),$B$27,0)</x:f>
        <x:v>0</x:v>
      </x:c>
      <x:c r="G150" s="141" t="n">
        <x:f>IF(AND($B$22="Sim",A150=$B$23),$B$35,0)</x:f>
        <x:v>0</x:v>
      </x:c>
      <x:c r="H150" s="141" t="n">
        <x:f>IF(AND($B$22="Sim",A150=$B$23),$B$36,0)</x:f>
        <x:v>0</x:v>
      </x:c>
      <x:c r="I150" s="141" t="n">
        <x:f>IF(OR($B$22&lt;&gt;"Sim",A150&gt;=$B$23+$B$31-1),0,(I151+C151)/(1+$B$9))</x:f>
        <x:v>128935.30965737633</x:v>
      </x:c>
      <x:c r="J150" s="140" t="str">
        <x:f>IF($B$22&lt;&gt;"Sim","Desativada",IF(A150&lt;$B$23,"Antes da compra",IF(A150&lt;$B$23+$B$31,"Parcelas restantes","Encerrado")))</x:f>
        <x:v>Parcelas restantes</x:v>
      </x:c>
      <x:c r="K150" s="141" t="n">
        <x:f>IF(C150&gt;0,C150/(1+$B$9)^A150,0)</x:f>
        <x:v>728.7492512266581</x:v>
      </x:c>
    </x:row>
    <x:row r="151">
      <x:c r="A151" s="142" t="n">
        <x:v>97</x:v>
      </x:c>
      <x:c r="B151" s="179" t="n">
        <x:f>EDATE($B$5,A151-1)</x:f>
        <x:v>49461</x:v>
      </x:c>
      <x:c r="C151" s="141" t="n">
        <x:f>IF(AND($B$22="Sim",A151&gt;=$B$23,A151&lt;$B$23+$B$31),$B$32*D151,0)</x:f>
        <x:v>1912.6176894370108</x:v>
      </x:c>
      <x:c r="D151" s="180" t="n">
        <x:f>IF(A151&lt;$B$23,1,(1+$B$33)^INT((A151-$B$23)/12))</x:f>
        <x:v>1.5938480745308423</x:v>
      </x:c>
      <x:c r="E151" s="141" t="n">
        <x:f>IF(AND($B$22="Sim",A151=$B$23),$B$37,0)</x:f>
        <x:v>0</x:v>
      </x:c>
      <x:c r="F151" s="141" t="n">
        <x:f>IF(AND($B$22="Sim",A151=$B$24),$B$27,0)</x:f>
        <x:v>0</x:v>
      </x:c>
      <x:c r="G151" s="141" t="n">
        <x:f>IF(AND($B$22="Sim",A151=$B$23),$B$35,0)</x:f>
        <x:v>0</x:v>
      </x:c>
      <x:c r="H151" s="141" t="n">
        <x:f>IF(AND($B$22="Sim",A151=$B$23),$B$36,0)</x:f>
        <x:v>0</x:v>
      </x:c>
      <x:c r="I151" s="141" t="n">
        <x:f>IF(OR($B$22&lt;&gt;"Sim",A151&gt;=$B$23+$B$31-1),0,(I152+C152)/(1+$B$9))</x:f>
        <x:v>128246.1324232345</x:v>
      </x:c>
      <x:c r="J151" s="140" t="str">
        <x:f>IF($B$22&lt;&gt;"Sim","Desativada",IF(A151&lt;$B$23,"Antes da compra",IF(A151&lt;$B$23+$B$31,"Parcelas restantes","Encerrado")))</x:f>
        <x:v>Parcelas restantes</x:v>
      </x:c>
      <x:c r="K151" s="141" t="n">
        <x:f>IF(C151&gt;0,C151/(1+$B$9)^A151,0)</x:f>
        <x:v>765.2132561617407</x:v>
      </x:c>
    </x:row>
    <x:row r="152">
      <x:c r="A152" s="142" t="n">
        <x:v>98</x:v>
      </x:c>
      <x:c r="B152" s="179" t="n">
        <x:f>EDATE($B$5,A152-1)</x:f>
        <x:v>49491</x:v>
      </x:c>
      <x:c r="C152" s="141" t="n">
        <x:f>IF(AND($B$22="Sim",A152&gt;=$B$23,A152&lt;$B$23+$B$31),$B$32*D152,0)</x:f>
        <x:v>1912.6176894370108</x:v>
      </x:c>
      <x:c r="D152" s="180" t="n">
        <x:f>IF(A152&lt;$B$23,1,(1+$B$33)^INT((A152-$B$23)/12))</x:f>
        <x:v>1.5938480745308423</x:v>
      </x:c>
      <x:c r="E152" s="141" t="n">
        <x:f>IF(AND($B$22="Sim",A152=$B$23),$B$37,0)</x:f>
        <x:v>0</x:v>
      </x:c>
      <x:c r="F152" s="141" t="n">
        <x:f>IF(AND($B$22="Sim",A152=$B$24),$B$27,0)</x:f>
        <x:v>0</x:v>
      </x:c>
      <x:c r="G152" s="141" t="n">
        <x:f>IF(AND($B$22="Sim",A152=$B$23),$B$35,0)</x:f>
        <x:v>0</x:v>
      </x:c>
      <x:c r="H152" s="141" t="n">
        <x:f>IF(AND($B$22="Sim",A152=$B$23),$B$36,0)</x:f>
        <x:v>0</x:v>
      </x:c>
      <x:c r="I152" s="141" t="n">
        <x:f>IF(OR($B$22&lt;&gt;"Sim",A152&gt;=$B$23+$B$31-1),0,(I153+C153)/(1+$B$9))</x:f>
        <x:v>127550.41572902269</x:v>
      </x:c>
      <x:c r="J152" s="140" t="str">
        <x:f>IF($B$22&lt;&gt;"Sim","Desativada",IF(A152&lt;$B$23,"Antes da compra",IF(A152&lt;$B$23+$B$31,"Parcelas restantes","Encerrado")))</x:f>
        <x:v>Parcelas restantes</x:v>
      </x:c>
      <x:c r="K152" s="141" t="n">
        <x:f>IF(C152&gt;0,C152/(1+$B$9)^A152,0)</x:f>
        <x:v>758.0205560650817</x:v>
      </x:c>
    </x:row>
    <x:row r="153">
      <x:c r="A153" s="142" t="n">
        <x:v>99</x:v>
      </x:c>
      <x:c r="B153" s="179" t="n">
        <x:f>EDATE($B$5,A153-1)</x:f>
        <x:v>49522</x:v>
      </x:c>
      <x:c r="C153" s="141" t="n">
        <x:f>IF(AND($B$22="Sim",A153&gt;=$B$23,A153&lt;$B$23+$B$31),$B$32*D153,0)</x:f>
        <x:v>1912.6176894370108</x:v>
      </x:c>
      <x:c r="D153" s="180" t="n">
        <x:f>IF(A153&lt;$B$23,1,(1+$B$33)^INT((A153-$B$23)/12))</x:f>
        <x:v>1.5938480745308423</x:v>
      </x:c>
      <x:c r="E153" s="141" t="n">
        <x:f>IF(AND($B$22="Sim",A153=$B$23),$B$37,0)</x:f>
        <x:v>0</x:v>
      </x:c>
      <x:c r="F153" s="141" t="n">
        <x:f>IF(AND($B$22="Sim",A153=$B$24),$B$27,0)</x:f>
        <x:v>0</x:v>
      </x:c>
      <x:c r="G153" s="141" t="n">
        <x:f>IF(AND($B$22="Sim",A153=$B$23),$B$35,0)</x:f>
        <x:v>0</x:v>
      </x:c>
      <x:c r="H153" s="141" t="n">
        <x:f>IF(AND($B$22="Sim",A153=$B$23),$B$36,0)</x:f>
        <x:v>0</x:v>
      </x:c>
      <x:c r="I153" s="141" t="n">
        <x:f>IF(OR($B$22&lt;&gt;"Sim",A153&gt;=$B$23+$B$31-1),0,(I154+C154)/(1+$B$9))</x:f>
        <x:v>126848.09752315836</x:v>
      </x:c>
      <x:c r="J153" s="140" t="str">
        <x:f>IF($B$22&lt;&gt;"Sim","Desativada",IF(A153&lt;$B$23,"Antes da compra",IF(A153&lt;$B$23+$B$31,"Parcelas restantes","Encerrado")))</x:f>
        <x:v>Parcelas restantes</x:v>
      </x:c>
      <x:c r="K153" s="141" t="n">
        <x:f>IF(C153&gt;0,C153/(1+$B$9)^A153,0)</x:f>
        <x:v>750.8954644870465</x:v>
      </x:c>
    </x:row>
    <x:row r="154">
      <x:c r="A154" s="142" t="n">
        <x:v>100</x:v>
      </x:c>
      <x:c r="B154" s="179" t="n">
        <x:f>EDATE($B$5,A154-1)</x:f>
        <x:v>49553</x:v>
      </x:c>
      <x:c r="C154" s="141" t="n">
        <x:f>IF(AND($B$22="Sim",A154&gt;=$B$23,A154&lt;$B$23+$B$31),$B$32*D154,0)</x:f>
        <x:v>1912.6176894370108</x:v>
      </x:c>
      <x:c r="D154" s="180" t="n">
        <x:f>IF(A154&lt;$B$23,1,(1+$B$33)^INT((A154-$B$23)/12))</x:f>
        <x:v>1.5938480745308423</x:v>
      </x:c>
      <x:c r="E154" s="141" t="n">
        <x:f>IF(AND($B$22="Sim",A154=$B$23),$B$37,0)</x:f>
        <x:v>0</x:v>
      </x:c>
      <x:c r="F154" s="141" t="n">
        <x:f>IF(AND($B$22="Sim",A154=$B$24),$B$27,0)</x:f>
        <x:v>0</x:v>
      </x:c>
      <x:c r="G154" s="141" t="n">
        <x:f>IF(AND($B$22="Sim",A154=$B$23),$B$35,0)</x:f>
        <x:v>0</x:v>
      </x:c>
      <x:c r="H154" s="141" t="n">
        <x:f>IF(AND($B$22="Sim",A154=$B$23),$B$36,0)</x:f>
        <x:v>0</x:v>
      </x:c>
      <x:c r="I154" s="141" t="n">
        <x:f>IF(OR($B$22&lt;&gt;"Sim",A154&gt;=$B$23+$B$31-1),0,(I155+C155)/(1+$B$9))</x:f>
        <x:v>126139.11516526439</x:v>
      </x:c>
      <x:c r="J154" s="140" t="str">
        <x:f>IF($B$22&lt;&gt;"Sim","Desativada",IF(A154&lt;$B$23,"Antes da compra",IF(A154&lt;$B$23+$B$31,"Parcelas restantes","Encerrado")))</x:f>
        <x:v>Parcelas restantes</x:v>
      </x:c>
      <x:c r="K154" s="141" t="n">
        <x:f>IF(C154&gt;0,C154/(1+$B$9)^A154,0)</x:f>
        <x:v>743.8373459344646</x:v>
      </x:c>
    </x:row>
    <x:row r="155">
      <x:c r="A155" s="142" t="n">
        <x:v>101</x:v>
      </x:c>
      <x:c r="B155" s="179" t="n">
        <x:f>EDATE($B$5,A155-1)</x:f>
        <x:v>49583</x:v>
      </x:c>
      <x:c r="C155" s="141" t="n">
        <x:f>IF(AND($B$22="Sim",A155&gt;=$B$23,A155&lt;$B$23+$B$31),$B$32*D155,0)</x:f>
        <x:v>1912.6176894370108</x:v>
      </x:c>
      <x:c r="D155" s="180" t="n">
        <x:f>IF(A155&lt;$B$23,1,(1+$B$33)^INT((A155-$B$23)/12))</x:f>
        <x:v>1.5938480745308423</x:v>
      </x:c>
      <x:c r="E155" s="141" t="n">
        <x:f>IF(AND($B$22="Sim",A155=$B$23),$B$37,0)</x:f>
        <x:v>0</x:v>
      </x:c>
      <x:c r="F155" s="141" t="n">
        <x:f>IF(AND($B$22="Sim",A155=$B$24),$B$27,0)</x:f>
        <x:v>0</x:v>
      </x:c>
      <x:c r="G155" s="141" t="n">
        <x:f>IF(AND($B$22="Sim",A155=$B$23),$B$35,0)</x:f>
        <x:v>0</x:v>
      </x:c>
      <x:c r="H155" s="141" t="n">
        <x:f>IF(AND($B$22="Sim",A155=$B$23),$B$36,0)</x:f>
        <x:v>0</x:v>
      </x:c>
      <x:c r="I155" s="141" t="n">
        <x:f>IF(OR($B$22&lt;&gt;"Sim",A155&gt;=$B$23+$B$31-1),0,(I156+C156)/(1+$B$9))</x:f>
        <x:v>125423.40542058209</x:v>
      </x:c>
      <x:c r="J155" s="140" t="str">
        <x:f>IF($B$22&lt;&gt;"Sim","Desativada",IF(A155&lt;$B$23,"Antes da compra",IF(A155&lt;$B$23+$B$31,"Parcelas restantes","Encerrado")))</x:f>
        <x:v>Parcelas restantes</x:v>
      </x:c>
      <x:c r="K155" s="141" t="n">
        <x:f>IF(C155&gt;0,C155/(1+$B$9)^A155,0)</x:f>
        <x:v>736.845570887548</x:v>
      </x:c>
    </x:row>
    <x:row r="156">
      <x:c r="A156" s="142" t="n">
        <x:v>102</x:v>
      </x:c>
      <x:c r="B156" s="179" t="n">
        <x:f>EDATE($B$5,A156-1)</x:f>
        <x:v>49614</x:v>
      </x:c>
      <x:c r="C156" s="141" t="n">
        <x:f>IF(AND($B$22="Sim",A156&gt;=$B$23,A156&lt;$B$23+$B$31),$B$32*D156,0)</x:f>
        <x:v>1912.6176894370108</x:v>
      </x:c>
      <x:c r="D156" s="180" t="n">
        <x:f>IF(A156&lt;$B$23,1,(1+$B$33)^INT((A156-$B$23)/12))</x:f>
        <x:v>1.5938480745308423</x:v>
      </x:c>
      <x:c r="E156" s="141" t="n">
        <x:f>IF(AND($B$22="Sim",A156=$B$23),$B$37,0)</x:f>
        <x:v>0</x:v>
      </x:c>
      <x:c r="F156" s="141" t="n">
        <x:f>IF(AND($B$22="Sim",A156=$B$24),$B$27,0)</x:f>
        <x:v>0</x:v>
      </x:c>
      <x:c r="G156" s="141" t="n">
        <x:f>IF(AND($B$22="Sim",A156=$B$23),$B$35,0)</x:f>
        <x:v>0</x:v>
      </x:c>
      <x:c r="H156" s="141" t="n">
        <x:f>IF(AND($B$22="Sim",A156=$B$23),$B$36,0)</x:f>
        <x:v>0</x:v>
      </x:c>
      <x:c r="I156" s="141" t="n">
        <x:f>IF(OR($B$22&lt;&gt;"Sim",A156&gt;=$B$23+$B$31-1),0,(I157+C157)/(1+$B$9))</x:f>
        <x:v>124700.90445433123</x:v>
      </x:c>
      <x:c r="J156" s="140" t="str">
        <x:f>IF($B$22&lt;&gt;"Sim","Desativada",IF(A156&lt;$B$23,"Antes da compra",IF(A156&lt;$B$23+$B$31,"Parcelas restantes","Encerrado")))</x:f>
        <x:v>Parcelas restantes</x:v>
      </x:c>
      <x:c r="K156" s="141" t="n">
        <x:f>IF(C156&gt;0,C156/(1+$B$9)^A156,0)</x:f>
        <x:v>729.9195157437445</x:v>
      </x:c>
    </x:row>
    <x:row r="157">
      <x:c r="A157" s="142" t="n">
        <x:v>103</x:v>
      </x:c>
      <x:c r="B157" s="179" t="n">
        <x:f>EDATE($B$5,A157-1)</x:f>
        <x:v>49644</x:v>
      </x:c>
      <x:c r="C157" s="141" t="n">
        <x:f>IF(AND($B$22="Sim",A157&gt;=$B$23,A157&lt;$B$23+$B$31),$B$32*D157,0)</x:f>
        <x:v>1912.6176894370108</x:v>
      </x:c>
      <x:c r="D157" s="180" t="n">
        <x:f>IF(A157&lt;$B$23,1,(1+$B$33)^INT((A157-$B$23)/12))</x:f>
        <x:v>1.5938480745308423</x:v>
      </x:c>
      <x:c r="E157" s="141" t="n">
        <x:f>IF(AND($B$22="Sim",A157=$B$23),$B$37,0)</x:f>
        <x:v>0</x:v>
      </x:c>
      <x:c r="F157" s="141" t="n">
        <x:f>IF(AND($B$22="Sim",A157=$B$24),$B$27,0)</x:f>
        <x:v>0</x:v>
      </x:c>
      <x:c r="G157" s="141" t="n">
        <x:f>IF(AND($B$22="Sim",A157=$B$23),$B$35,0)</x:f>
        <x:v>0</x:v>
      </x:c>
      <x:c r="H157" s="141" t="n">
        <x:f>IF(AND($B$22="Sim",A157=$B$23),$B$36,0)</x:f>
        <x:v>0</x:v>
      </x:c>
      <x:c r="I157" s="141" t="n">
        <x:f>IF(OR($B$22&lt;&gt;"Sim",A157&gt;=$B$23+$B$31-1),0,(I158+C158)/(1+$B$9))</x:f>
        <x:v>123971.5478260166</x:v>
      </x:c>
      <x:c r="J157" s="140" t="str">
        <x:f>IF($B$22&lt;&gt;"Sim","Desativada",IF(A157&lt;$B$23,"Antes da compra",IF(A157&lt;$B$23+$B$31,"Parcelas restantes","Encerrado")))</x:f>
        <x:v>Parcelas restantes</x:v>
      </x:c>
      <x:c r="K157" s="141" t="n">
        <x:f>IF(C157&gt;0,C157/(1+$B$9)^A157,0)</x:f>
        <x:v>723.0585627621176</x:v>
      </x:c>
    </x:row>
    <x:row r="158">
      <x:c r="A158" s="142" t="n">
        <x:v>104</x:v>
      </x:c>
      <x:c r="B158" s="179" t="n">
        <x:f>EDATE($B$5,A158-1)</x:f>
        <x:v>49675</x:v>
      </x:c>
      <x:c r="C158" s="141" t="n">
        <x:f>IF(AND($B$22="Sim",A158&gt;=$B$23,A158&lt;$B$23+$B$31),$B$32*D158,0)</x:f>
        <x:v>1912.6176894370108</x:v>
      </x:c>
      <x:c r="D158" s="180" t="n">
        <x:f>IF(A158&lt;$B$23,1,(1+$B$33)^INT((A158-$B$23)/12))</x:f>
        <x:v>1.5938480745308423</x:v>
      </x:c>
      <x:c r="E158" s="141" t="n">
        <x:f>IF(AND($B$22="Sim",A158=$B$23),$B$37,0)</x:f>
        <x:v>0</x:v>
      </x:c>
      <x:c r="F158" s="141" t="n">
        <x:f>IF(AND($B$22="Sim",A158=$B$24),$B$27,0)</x:f>
        <x:v>0</x:v>
      </x:c>
      <x:c r="G158" s="141" t="n">
        <x:f>IF(AND($B$22="Sim",A158=$B$23),$B$35,0)</x:f>
        <x:v>0</x:v>
      </x:c>
      <x:c r="H158" s="141" t="n">
        <x:f>IF(AND($B$22="Sim",A158=$B$23),$B$36,0)</x:f>
        <x:v>0</x:v>
      </x:c>
      <x:c r="I158" s="141" t="n">
        <x:f>IF(OR($B$22&lt;&gt;"Sim",A158&gt;=$B$23+$B$31-1),0,(I159+C159)/(1+$B$9))</x:f>
        <x:v>123235.27048368042</x:v>
      </x:c>
      <x:c r="J158" s="140" t="str">
        <x:f>IF($B$22&lt;&gt;"Sim","Desativada",IF(A158&lt;$B$23,"Antes da compra",IF(A158&lt;$B$23+$B$31,"Parcelas restantes","Encerrado")))</x:f>
        <x:v>Parcelas restantes</x:v>
      </x:c>
      <x:c r="K158" s="141" t="n">
        <x:f>IF(C158&gt;0,C158/(1+$B$9)^A158,0)</x:f>
        <x:v>716.2621000082496</x:v>
      </x:c>
    </x:row>
    <x:row r="159">
      <x:c r="A159" s="142" t="n">
        <x:v>105</x:v>
      </x:c>
      <x:c r="B159" s="179" t="n">
        <x:f>EDATE($B$5,A159-1)</x:f>
        <x:v>49706</x:v>
      </x:c>
      <x:c r="C159" s="141" t="n">
        <x:f>IF(AND($B$22="Sim",A159&gt;=$B$23,A159&lt;$B$23+$B$31),$B$32*D159,0)</x:f>
        <x:v>1912.6176894370108</x:v>
      </x:c>
      <x:c r="D159" s="180" t="n">
        <x:f>IF(A159&lt;$B$23,1,(1+$B$33)^INT((A159-$B$23)/12))</x:f>
        <x:v>1.5938480745308423</x:v>
      </x:c>
      <x:c r="E159" s="141" t="n">
        <x:f>IF(AND($B$22="Sim",A159=$B$23),$B$37,0)</x:f>
        <x:v>0</x:v>
      </x:c>
      <x:c r="F159" s="141" t="n">
        <x:f>IF(AND($B$22="Sim",A159=$B$24),$B$27,0)</x:f>
        <x:v>0</x:v>
      </x:c>
      <x:c r="G159" s="141" t="n">
        <x:f>IF(AND($B$22="Sim",A159=$B$23),$B$35,0)</x:f>
        <x:v>0</x:v>
      </x:c>
      <x:c r="H159" s="141" t="n">
        <x:f>IF(AND($B$22="Sim",A159=$B$23),$B$36,0)</x:f>
        <x:v>0</x:v>
      </x:c>
      <x:c r="I159" s="141" t="n">
        <x:f>IF(OR($B$22&lt;&gt;"Sim",A159&gt;=$B$23+$B$31-1),0,(I160+C160)/(1+$B$9))</x:f>
        <x:v>122492.00675810038</x:v>
      </x:c>
      <x:c r="J159" s="140" t="str">
        <x:f>IF($B$22&lt;&gt;"Sim","Desativada",IF(A159&lt;$B$23,"Antes da compra",IF(A159&lt;$B$23+$B$31,"Parcelas restantes","Encerrado")))</x:f>
        <x:v>Parcelas restantes</x:v>
      </x:c>
      <x:c r="K159" s="141" t="n">
        <x:f>IF(C159&gt;0,C159/(1+$B$9)^A159,0)</x:f>
        <x:v>709.5295212996633</x:v>
      </x:c>
    </x:row>
    <x:row r="160">
      <x:c r="A160" s="142" t="n">
        <x:v>106</x:v>
      </x:c>
      <x:c r="B160" s="179" t="n">
        <x:f>EDATE($B$5,A160-1)</x:f>
        <x:v>49735</x:v>
      </x:c>
      <x:c r="C160" s="141" t="n">
        <x:f>IF(AND($B$22="Sim",A160&gt;=$B$23,A160&lt;$B$23+$B$31),$B$32*D160,0)</x:f>
        <x:v>1912.6176894370108</x:v>
      </x:c>
      <x:c r="D160" s="180" t="n">
        <x:f>IF(A160&lt;$B$23,1,(1+$B$33)^INT((A160-$B$23)/12))</x:f>
        <x:v>1.5938480745308423</x:v>
      </x:c>
      <x:c r="E160" s="141" t="n">
        <x:f>IF(AND($B$22="Sim",A160=$B$23),$B$37,0)</x:f>
        <x:v>0</x:v>
      </x:c>
      <x:c r="F160" s="141" t="n">
        <x:f>IF(AND($B$22="Sim",A160=$B$24),$B$27,0)</x:f>
        <x:v>0</x:v>
      </x:c>
      <x:c r="G160" s="141" t="n">
        <x:f>IF(AND($B$22="Sim",A160=$B$23),$B$35,0)</x:f>
        <x:v>0</x:v>
      </x:c>
      <x:c r="H160" s="141" t="n">
        <x:f>IF(AND($B$22="Sim",A160=$B$23),$B$36,0)</x:f>
        <x:v>0</x:v>
      </x:c>
      <x:c r="I160" s="141" t="n">
        <x:f>IF(OR($B$22&lt;&gt;"Sim",A160&gt;=$B$23+$B$31-1),0,(I161+C161)/(1+$B$9))</x:f>
        <x:v>121741.69035693252</x:v>
      </x:c>
      <x:c r="J160" s="140" t="str">
        <x:f>IF($B$22&lt;&gt;"Sim","Desativada",IF(A160&lt;$B$23,"Antes da compra",IF(A160&lt;$B$23+$B$31,"Parcelas restantes","Encerrado")))</x:f>
        <x:v>Parcelas restantes</x:v>
      </x:c>
      <x:c r="K160" s="141" t="n">
        <x:f>IF(C160&gt;0,C160/(1+$B$9)^A160,0)</x:f>
        <x:v>702.8602261517551</x:v>
      </x:c>
    </x:row>
    <x:row r="161">
      <x:c r="A161" s="142" t="n">
        <x:v>107</x:v>
      </x:c>
      <x:c r="B161" s="179" t="n">
        <x:f>EDATE($B$5,A161-1)</x:f>
        <x:v>49766</x:v>
      </x:c>
      <x:c r="C161" s="141" t="n">
        <x:f>IF(AND($B$22="Sim",A161&gt;=$B$23,A161&lt;$B$23+$B$31),$B$32*D161,0)</x:f>
        <x:v>1912.6176894370108</x:v>
      </x:c>
      <x:c r="D161" s="180" t="n">
        <x:f>IF(A161&lt;$B$23,1,(1+$B$33)^INT((A161-$B$23)/12))</x:f>
        <x:v>1.5938480745308423</x:v>
      </x:c>
      <x:c r="E161" s="141" t="n">
        <x:f>IF(AND($B$22="Sim",A161=$B$23),$B$37,0)</x:f>
        <x:v>0</x:v>
      </x:c>
      <x:c r="F161" s="141" t="n">
        <x:f>IF(AND($B$22="Sim",A161=$B$24),$B$27,0)</x:f>
        <x:v>0</x:v>
      </x:c>
      <x:c r="G161" s="141" t="n">
        <x:f>IF(AND($B$22="Sim",A161=$B$23),$B$35,0)</x:f>
        <x:v>0</x:v>
      </x:c>
      <x:c r="H161" s="141" t="n">
        <x:f>IF(AND($B$22="Sim",A161=$B$23),$B$36,0)</x:f>
        <x:v>0</x:v>
      </x:c>
      <x:c r="I161" s="141" t="n">
        <x:f>IF(OR($B$22&lt;&gt;"Sim",A161&gt;=$B$23+$B$31-1),0,(I162+C162)/(1+$B$9))</x:f>
        <x:v>120984.25435879857</x:v>
      </x:c>
      <x:c r="J161" s="140" t="str">
        <x:f>IF($B$22&lt;&gt;"Sim","Desativada",IF(A161&lt;$B$23,"Antes da compra",IF(A161&lt;$B$23+$B$31,"Parcelas restantes","Encerrado")))</x:f>
        <x:v>Parcelas restantes</x:v>
      </x:c>
      <x:c r="K161" s="141" t="n">
        <x:f>IF(C161&gt;0,C161/(1+$B$9)^A161,0)</x:f>
        <x:v>696.2536197242379</x:v>
      </x:c>
    </x:row>
    <x:row r="162">
      <x:c r="A162" s="142" t="n">
        <x:v>108</x:v>
      </x:c>
      <x:c r="B162" s="179" t="n">
        <x:f>EDATE($B$5,A162-1)</x:f>
        <x:v>49796</x:v>
      </x:c>
      <x:c r="C162" s="141" t="n">
        <x:f>IF(AND($B$22="Sim",A162&gt;=$B$23,A162&lt;$B$23+$B$31),$B$32*D162,0)</x:f>
        <x:v>1912.6176894370108</x:v>
      </x:c>
      <x:c r="D162" s="180" t="n">
        <x:f>IF(A162&lt;$B$23,1,(1+$B$33)^INT((A162-$B$23)/12))</x:f>
        <x:v>1.5938480745308423</x:v>
      </x:c>
      <x:c r="E162" s="141" t="n">
        <x:f>IF(AND($B$22="Sim",A162=$B$23),$B$37,0)</x:f>
        <x:v>0</x:v>
      </x:c>
      <x:c r="F162" s="141" t="n">
        <x:f>IF(AND($B$22="Sim",A162=$B$24),$B$27,0)</x:f>
        <x:v>0</x:v>
      </x:c>
      <x:c r="G162" s="141" t="n">
        <x:f>IF(AND($B$22="Sim",A162=$B$23),$B$35,0)</x:f>
        <x:v>0</x:v>
      </x:c>
      <x:c r="H162" s="141" t="n">
        <x:f>IF(AND($B$22="Sim",A162=$B$23),$B$36,0)</x:f>
        <x:v>0</x:v>
      </x:c>
      <x:c r="I162" s="141" t="n">
        <x:f>IF(OR($B$22&lt;&gt;"Sim",A162&gt;=$B$23+$B$31-1),0,(I163+C163)/(1+$B$9))</x:f>
        <x:v>120219.63120731713</x:v>
      </x:c>
      <x:c r="J162" s="140" t="str">
        <x:f>IF($B$22&lt;&gt;"Sim","Desativada",IF(A162&lt;$B$23,"Antes da compra",IF(A162&lt;$B$23+$B$31,"Parcelas restantes","Encerrado")))</x:f>
        <x:v>Parcelas restantes</x:v>
      </x:c>
      <x:c r="K162" s="141" t="n">
        <x:f>IF(C162&gt;0,C162/(1+$B$9)^A162,0)</x:f>
        <x:v>689.7091127680866</x:v>
      </x:c>
    </x:row>
    <x:row r="163">
      <x:c r="A163" s="142" t="n">
        <x:v>109</x:v>
      </x:c>
      <x:c r="B163" s="179" t="n">
        <x:f>EDATE($B$5,A163-1)</x:f>
        <x:v>49827</x:v>
      </x:c>
      <x:c r="C163" s="141" t="n">
        <x:f>IF(AND($B$22="Sim",A163&gt;=$B$23,A163&lt;$B$23+$B$31),$B$32*D163,0)</x:f>
        <x:v>2027.3747508032313</x:v>
      </x:c>
      <x:c r="D163" s="180" t="n">
        <x:f>IF(A163&lt;$B$23,1,(1+$B$33)^INT((A163-$B$23)/12))</x:f>
        <x:v>1.6894789590026928</x:v>
      </x:c>
      <x:c r="E163" s="141" t="n">
        <x:f>IF(AND($B$22="Sim",A163=$B$23),$B$37,0)</x:f>
        <x:v>0</x:v>
      </x:c>
      <x:c r="F163" s="141" t="n">
        <x:f>IF(AND($B$22="Sim",A163=$B$24),$B$27,0)</x:f>
        <x:v>0</x:v>
      </x:c>
      <x:c r="G163" s="141" t="n">
        <x:f>IF(AND($B$22="Sim",A163=$B$23),$B$35,0)</x:f>
        <x:v>0</x:v>
      </x:c>
      <x:c r="H163" s="141" t="n">
        <x:f>IF(AND($B$22="Sim",A163=$B$23),$B$36,0)</x:f>
        <x:v>0</x:v>
      </x:c>
      <x:c r="I163" s="141" t="n">
        <x:f>IF(OR($B$22&lt;&gt;"Sim",A163&gt;=$B$23+$B$31-1),0,(I164+C164)/(1+$B$9))</x:f>
        <x:v>119332.99564371207</x:v>
      </x:c>
      <x:c r="J163" s="140" t="str">
        <x:f>IF($B$22&lt;&gt;"Sim","Desativada",IF(A163&lt;$B$23,"Antes da compra",IF(A163&lt;$B$23+$B$31,"Parcelas restantes","Encerrado")))</x:f>
        <x:v>Parcelas restantes</x:v>
      </x:c>
      <x:c r="K163" s="141" t="n">
        <x:f>IF(C163&gt;0,C163/(1+$B$9)^A163,0)</x:f>
        <x:v>724.2196888673611</x:v>
      </x:c>
    </x:row>
    <x:row r="164">
      <x:c r="A164" s="142" t="n">
        <x:v>110</x:v>
      </x:c>
      <x:c r="B164" s="179" t="n">
        <x:f>EDATE($B$5,A164-1)</x:f>
        <x:v>49857</x:v>
      </x:c>
      <x:c r="C164" s="141" t="n">
        <x:f>IF(AND($B$22="Sim",A164&gt;=$B$23,A164&lt;$B$23+$B$31),$B$32*D164,0)</x:f>
        <x:v>2027.3747508032313</x:v>
      </x:c>
      <x:c r="D164" s="180" t="n">
        <x:f>IF(A164&lt;$B$23,1,(1+$B$33)^INT((A164-$B$23)/12))</x:f>
        <x:v>1.6894789590026928</x:v>
      </x:c>
      <x:c r="E164" s="141" t="n">
        <x:f>IF(AND($B$22="Sim",A164=$B$23),$B$37,0)</x:f>
        <x:v>0</x:v>
      </x:c>
      <x:c r="F164" s="141" t="n">
        <x:f>IF(AND($B$22="Sim",A164=$B$24),$B$27,0)</x:f>
        <x:v>0</x:v>
      </x:c>
      <x:c r="G164" s="141" t="n">
        <x:f>IF(AND($B$22="Sim",A164=$B$23),$B$35,0)</x:f>
        <x:v>0</x:v>
      </x:c>
      <x:c r="H164" s="141" t="n">
        <x:f>IF(AND($B$22="Sim",A164=$B$23),$B$36,0)</x:f>
        <x:v>0</x:v>
      </x:c>
      <x:c r="I164" s="141" t="n">
        <x:f>IF(OR($B$22&lt;&gt;"Sim",A164&gt;=$B$23+$B$31-1),0,(I165+C165)/(1+$B$9))</x:f>
        <x:v>118437.94697883553</x:v>
      </x:c>
      <x:c r="J164" s="140" t="str">
        <x:f>IF($B$22&lt;&gt;"Sim","Desativada",IF(A164&lt;$B$23,"Antes da compra",IF(A164&lt;$B$23+$B$31,"Parcelas restantes","Encerrado")))</x:f>
        <x:v>Parcelas restantes</x:v>
      </x:c>
      <x:c r="K164" s="141" t="n">
        <x:f>IF(C164&gt;0,C164/(1+$B$9)^A164,0)</x:f>
        <x:v>717.412311990166</x:v>
      </x:c>
    </x:row>
    <x:row r="165">
      <x:c r="A165" s="142" t="n">
        <x:v>111</x:v>
      </x:c>
      <x:c r="B165" s="179" t="n">
        <x:f>EDATE($B$5,A165-1)</x:f>
        <x:v>49888</x:v>
      </x:c>
      <x:c r="C165" s="141" t="n">
        <x:f>IF(AND($B$22="Sim",A165&gt;=$B$23,A165&lt;$B$23+$B$31),$B$32*D165,0)</x:f>
        <x:v>2027.3747508032313</x:v>
      </x:c>
      <x:c r="D165" s="180" t="n">
        <x:f>IF(A165&lt;$B$23,1,(1+$B$33)^INT((A165-$B$23)/12))</x:f>
        <x:v>1.6894789590026928</x:v>
      </x:c>
      <x:c r="E165" s="141" t="n">
        <x:f>IF(AND($B$22="Sim",A165=$B$23),$B$37,0)</x:f>
        <x:v>0</x:v>
      </x:c>
      <x:c r="F165" s="141" t="n">
        <x:f>IF(AND($B$22="Sim",A165=$B$24),$B$27,0)</x:f>
        <x:v>0</x:v>
      </x:c>
      <x:c r="G165" s="141" t="n">
        <x:f>IF(AND($B$22="Sim",A165=$B$23),$B$35,0)</x:f>
        <x:v>0</x:v>
      </x:c>
      <x:c r="H165" s="141" t="n">
        <x:f>IF(AND($B$22="Sim",A165=$B$23),$B$36,0)</x:f>
        <x:v>0</x:v>
      </x:c>
      <x:c r="I165" s="141" t="n">
        <x:f>IF(OR($B$22&lt;&gt;"Sim",A165&gt;=$B$23+$B$31-1),0,(I166+C166)/(1+$B$9))</x:f>
        <x:v>117534.4053825116</x:v>
      </x:c>
      <x:c r="J165" s="140" t="str">
        <x:f>IF($B$22&lt;&gt;"Sim","Desativada",IF(A165&lt;$B$23,"Antes da compra",IF(A165&lt;$B$23+$B$31,"Parcelas restantes","Encerrado")))</x:f>
        <x:v>Parcelas restantes</x:v>
      </x:c>
      <x:c r="K165" s="141" t="n">
        <x:f>IF(C165&gt;0,C165/(1+$B$9)^A165,0)</x:f>
        <x:v>710.6689217466684</x:v>
      </x:c>
    </x:row>
    <x:row r="166">
      <x:c r="A166" s="142" t="n">
        <x:v>112</x:v>
      </x:c>
      <x:c r="B166" s="179" t="n">
        <x:f>EDATE($B$5,A166-1)</x:f>
        <x:v>49919</x:v>
      </x:c>
      <x:c r="C166" s="141" t="n">
        <x:f>IF(AND($B$22="Sim",A166&gt;=$B$23,A166&lt;$B$23+$B$31),$B$32*D166,0)</x:f>
        <x:v>2027.3747508032313</x:v>
      </x:c>
      <x:c r="D166" s="180" t="n">
        <x:f>IF(A166&lt;$B$23,1,(1+$B$33)^INT((A166-$B$23)/12))</x:f>
        <x:v>1.6894789590026928</x:v>
      </x:c>
      <x:c r="E166" s="141" t="n">
        <x:f>IF(AND($B$22="Sim",A166=$B$23),$B$37,0)</x:f>
        <x:v>0</x:v>
      </x:c>
      <x:c r="F166" s="141" t="n">
        <x:f>IF(AND($B$22="Sim",A166=$B$24),$B$27,0)</x:f>
        <x:v>0</x:v>
      </x:c>
      <x:c r="G166" s="141" t="n">
        <x:f>IF(AND($B$22="Sim",A166=$B$23),$B$35,0)</x:f>
        <x:v>0</x:v>
      </x:c>
      <x:c r="H166" s="141" t="n">
        <x:f>IF(AND($B$22="Sim",A166=$B$23),$B$36,0)</x:f>
        <x:v>0</x:v>
      </x:c>
      <x:c r="I166" s="141" t="n">
        <x:f>IF(OR($B$22&lt;&gt;"Sim",A166&gt;=$B$23+$B$31-1),0,(I167+C167)/(1+$B$9))</x:f>
        <x:v>116622.29026707237</x:v>
      </x:c>
      <x:c r="J166" s="140" t="str">
        <x:f>IF($B$22&lt;&gt;"Sim","Desativada",IF(A166&lt;$B$23,"Antes da compra",IF(A166&lt;$B$23+$B$31,"Parcelas restantes","Encerrado")))</x:f>
        <x:v>Parcelas restantes</x:v>
      </x:c>
      <x:c r="K166" s="141" t="n">
        <x:f>IF(C166&gt;0,C166/(1+$B$9)^A166,0)</x:f>
        <x:v>703.9889166879748</x:v>
      </x:c>
    </x:row>
    <x:row r="167">
      <x:c r="A167" s="142" t="n">
        <x:v>113</x:v>
      </x:c>
      <x:c r="B167" s="179" t="n">
        <x:f>EDATE($B$5,A167-1)</x:f>
        <x:v>49949</x:v>
      </x:c>
      <x:c r="C167" s="141" t="n">
        <x:f>IF(AND($B$22="Sim",A167&gt;=$B$23,A167&lt;$B$23+$B$31),$B$32*D167,0)</x:f>
        <x:v>2027.3747508032313</x:v>
      </x:c>
      <x:c r="D167" s="180" t="n">
        <x:f>IF(A167&lt;$B$23,1,(1+$B$33)^INT((A167-$B$23)/12))</x:f>
        <x:v>1.6894789590026928</x:v>
      </x:c>
      <x:c r="E167" s="141" t="n">
        <x:f>IF(AND($B$22="Sim",A167=$B$23),$B$37,0)</x:f>
        <x:v>0</x:v>
      </x:c>
      <x:c r="F167" s="141" t="n">
        <x:f>IF(AND($B$22="Sim",A167=$B$24),$B$27,0)</x:f>
        <x:v>0</x:v>
      </x:c>
      <x:c r="G167" s="141" t="n">
        <x:f>IF(AND($B$22="Sim",A167=$B$23),$B$35,0)</x:f>
        <x:v>0</x:v>
      </x:c>
      <x:c r="H167" s="141" t="n">
        <x:f>IF(AND($B$22="Sim",A167=$B$23),$B$36,0)</x:f>
        <x:v>0</x:v>
      </x:c>
      <x:c r="I167" s="141" t="n">
        <x:f>IF(OR($B$22&lt;&gt;"Sim",A167&gt;=$B$23+$B$31-1),0,(I168+C168)/(1+$B$9))</x:f>
        <x:v>115701.52028017024</x:v>
      </x:c>
      <x:c r="J167" s="140" t="str">
        <x:f>IF($B$22&lt;&gt;"Sim","Desativada",IF(A167&lt;$B$23,"Antes da compra",IF(A167&lt;$B$23+$B$31,"Parcelas restantes","Encerrado")))</x:f>
        <x:v>Parcelas restantes</x:v>
      </x:c>
      <x:c r="K167" s="141" t="n">
        <x:f>IF(C167&gt;0,C167/(1+$B$9)^A167,0)</x:f>
        <x:v>697.3717010185716</x:v>
      </x:c>
    </x:row>
    <x:row r="168">
      <x:c r="A168" s="142" t="n">
        <x:v>114</x:v>
      </x:c>
      <x:c r="B168" s="179" t="n">
        <x:f>EDATE($B$5,A168-1)</x:f>
        <x:v>49980</x:v>
      </x:c>
      <x:c r="C168" s="141" t="n">
        <x:f>IF(AND($B$22="Sim",A168&gt;=$B$23,A168&lt;$B$23+$B$31),$B$32*D168,0)</x:f>
        <x:v>2027.3747508032313</x:v>
      </x:c>
      <x:c r="D168" s="180" t="n">
        <x:f>IF(A168&lt;$B$23,1,(1+$B$33)^INT((A168-$B$23)/12))</x:f>
        <x:v>1.6894789590026928</x:v>
      </x:c>
      <x:c r="E168" s="141" t="n">
        <x:f>IF(AND($B$22="Sim",A168=$B$23),$B$37,0)</x:f>
        <x:v>0</x:v>
      </x:c>
      <x:c r="F168" s="141" t="n">
        <x:f>IF(AND($B$22="Sim",A168=$B$24),$B$27,0)</x:f>
        <x:v>0</x:v>
      </x:c>
      <x:c r="G168" s="141" t="n">
        <x:f>IF(AND($B$22="Sim",A168=$B$23),$B$35,0)</x:f>
        <x:v>0</x:v>
      </x:c>
      <x:c r="H168" s="141" t="n">
        <x:f>IF(AND($B$22="Sim",A168=$B$23),$B$36,0)</x:f>
        <x:v>0</x:v>
      </x:c>
      <x:c r="I168" s="141" t="n">
        <x:f>IF(OR($B$22&lt;&gt;"Sim",A168&gt;=$B$23+$B$31-1),0,(I169+C169)/(1+$B$9))</x:f>
        <x:v>114772.01329752202</x:v>
      </x:c>
      <x:c r="J168" s="140" t="str">
        <x:f>IF($B$22&lt;&gt;"Sim","Desativada",IF(A168&lt;$B$23,"Antes da compra",IF(A168&lt;$B$23+$B$31,"Parcelas restantes","Encerrado")))</x:f>
        <x:v>Parcelas restantes</x:v>
      </x:c>
      <x:c r="K168" s="141" t="n">
        <x:f>IF(C168&gt;0,C168/(1+$B$9)^A168,0)</x:f>
        <x:v>690.8166845431862</x:v>
      </x:c>
    </x:row>
    <x:row r="169">
      <x:c r="A169" s="142" t="n">
        <x:v>115</x:v>
      </x:c>
      <x:c r="B169" s="179" t="n">
        <x:f>EDATE($B$5,A169-1)</x:f>
        <x:v>50010</x:v>
      </x:c>
      <x:c r="C169" s="141" t="n">
        <x:f>IF(AND($B$22="Sim",A169&gt;=$B$23,A169&lt;$B$23+$B$31),$B$32*D169,0)</x:f>
        <x:v>2027.3747508032313</x:v>
      </x:c>
      <x:c r="D169" s="180" t="n">
        <x:f>IF(A169&lt;$B$23,1,(1+$B$33)^INT((A169-$B$23)/12))</x:f>
        <x:v>1.6894789590026928</x:v>
      </x:c>
      <x:c r="E169" s="141" t="n">
        <x:f>IF(AND($B$22="Sim",A169=$B$23),$B$37,0)</x:f>
        <x:v>0</x:v>
      </x:c>
      <x:c r="F169" s="141" t="n">
        <x:f>IF(AND($B$22="Sim",A169=$B$24),$B$27,0)</x:f>
        <x:v>0</x:v>
      </x:c>
      <x:c r="G169" s="141" t="n">
        <x:f>IF(AND($B$22="Sim",A169=$B$23),$B$35,0)</x:f>
        <x:v>0</x:v>
      </x:c>
      <x:c r="H169" s="141" t="n">
        <x:f>IF(AND($B$22="Sim",A169=$B$23),$B$36,0)</x:f>
        <x:v>0</x:v>
      </x:c>
      <x:c r="I169" s="141" t="n">
        <x:f>IF(OR($B$22&lt;&gt;"Sim",A169&gt;=$B$23+$B$31-1),0,(I170+C170)/(1+$B$9))</x:f>
        <x:v>113833.68641558419</x:v>
      </x:c>
      <x:c r="J169" s="140" t="str">
        <x:f>IF($B$22&lt;&gt;"Sim","Desativada",IF(A169&lt;$B$23,"Antes da compra",IF(A169&lt;$B$23+$B$31,"Parcelas restantes","Encerrado")))</x:f>
        <x:v>Parcelas restantes</x:v>
      </x:c>
      <x:c r="K169" s="141" t="n">
        <x:f>IF(C169&gt;0,C169/(1+$B$9)^A169,0)</x:f>
        <x:v>684.3232826141464</x:v>
      </x:c>
    </x:row>
    <x:row r="170">
      <x:c r="A170" s="142" t="n">
        <x:v>116</x:v>
      </x:c>
      <x:c r="B170" s="179" t="n">
        <x:f>EDATE($B$5,A170-1)</x:f>
        <x:v>50041</x:v>
      </x:c>
      <x:c r="C170" s="141" t="n">
        <x:f>IF(AND($B$22="Sim",A170&gt;=$B$23,A170&lt;$B$23+$B$31),$B$32*D170,0)</x:f>
        <x:v>2027.3747508032313</x:v>
      </x:c>
      <x:c r="D170" s="180" t="n">
        <x:f>IF(A170&lt;$B$23,1,(1+$B$33)^INT((A170-$B$23)/12))</x:f>
        <x:v>1.6894789590026928</x:v>
      </x:c>
      <x:c r="E170" s="141" t="n">
        <x:f>IF(AND($B$22="Sim",A170=$B$23),$B$37,0)</x:f>
        <x:v>0</x:v>
      </x:c>
      <x:c r="F170" s="141" t="n">
        <x:f>IF(AND($B$22="Sim",A170=$B$24),$B$27,0)</x:f>
        <x:v>0</x:v>
      </x:c>
      <x:c r="G170" s="141" t="n">
        <x:f>IF(AND($B$22="Sim",A170=$B$23),$B$35,0)</x:f>
        <x:v>0</x:v>
      </x:c>
      <x:c r="H170" s="141" t="n">
        <x:f>IF(AND($B$22="Sim",A170=$B$23),$B$36,0)</x:f>
        <x:v>0</x:v>
      </x:c>
      <x:c r="I170" s="141" t="n">
        <x:f>IF(OR($B$22&lt;&gt;"Sim",A170&gt;=$B$23+$B$31-1),0,(I171+C171)/(1+$B$9))</x:f>
        <x:v>112886.4559441587</x:v>
      </x:c>
      <x:c r="J170" s="140" t="str">
        <x:f>IF($B$22&lt;&gt;"Sim","Desativada",IF(A170&lt;$B$23,"Antes da compra",IF(A170&lt;$B$23+$B$31,"Parcelas restantes","Encerrado")))</x:f>
        <x:v>Parcelas restantes</x:v>
      </x:c>
      <x:c r="K170" s="141" t="n">
        <x:f>IF(C170&gt;0,C170/(1+$B$9)^A170,0)</x:f>
        <x:v>677.8909160792357</x:v>
      </x:c>
    </x:row>
    <x:row r="171">
      <x:c r="A171" s="142" t="n">
        <x:v>117</x:v>
      </x:c>
      <x:c r="B171" s="179" t="n">
        <x:f>EDATE($B$5,A171-1)</x:f>
        <x:v>50072</x:v>
      </x:c>
      <x:c r="C171" s="141" t="n">
        <x:f>IF(AND($B$22="Sim",A171&gt;=$B$23,A171&lt;$B$23+$B$31),$B$32*D171,0)</x:f>
        <x:v>2027.3747508032313</x:v>
      </x:c>
      <x:c r="D171" s="180" t="n">
        <x:f>IF(A171&lt;$B$23,1,(1+$B$33)^INT((A171-$B$23)/12))</x:f>
        <x:v>1.6894789590026928</x:v>
      </x:c>
      <x:c r="E171" s="141" t="n">
        <x:f>IF(AND($B$22="Sim",A171=$B$23),$B$37,0)</x:f>
        <x:v>0</x:v>
      </x:c>
      <x:c r="F171" s="141" t="n">
        <x:f>IF(AND($B$22="Sim",A171=$B$24),$B$27,0)</x:f>
        <x:v>0</x:v>
      </x:c>
      <x:c r="G171" s="141" t="n">
        <x:f>IF(AND($B$22="Sim",A171=$B$23),$B$35,0)</x:f>
        <x:v>0</x:v>
      </x:c>
      <x:c r="H171" s="141" t="n">
        <x:f>IF(AND($B$22="Sim",A171=$B$23),$B$36,0)</x:f>
        <x:v>0</x:v>
      </x:c>
      <x:c r="I171" s="141" t="n">
        <x:f>IF(OR($B$22&lt;&gt;"Sim",A171&gt;=$B$23+$B$31-1),0,(I172+C172)/(1+$B$9))</x:f>
        <x:v>111930.23739892853</x:v>
      </x:c>
      <x:c r="J171" s="140" t="str">
        <x:f>IF($B$22&lt;&gt;"Sim","Desativada",IF(A171&lt;$B$23,"Antes da compra",IF(A171&lt;$B$23+$B$31,"Parcelas restantes","Encerrado")))</x:f>
        <x:v>Parcelas restantes</x:v>
      </x:c>
      <x:c r="K171" s="141" t="n">
        <x:f>IF(C171&gt;0,C171/(1+$B$9)^A171,0)</x:f>
        <x:v>671.5190112300379</x:v>
      </x:c>
    </x:row>
    <x:row r="172">
      <x:c r="A172" s="142" t="n">
        <x:v>118</x:v>
      </x:c>
      <x:c r="B172" s="179" t="n">
        <x:f>EDATE($B$5,A172-1)</x:f>
        <x:v>50100</x:v>
      </x:c>
      <x:c r="C172" s="141" t="n">
        <x:f>IF(AND($B$22="Sim",A172&gt;=$B$23,A172&lt;$B$23+$B$31),$B$32*D172,0)</x:f>
        <x:v>2027.3747508032313</x:v>
      </x:c>
      <x:c r="D172" s="180" t="n">
        <x:f>IF(A172&lt;$B$23,1,(1+$B$33)^INT((A172-$B$23)/12))</x:f>
        <x:v>1.6894789590026928</x:v>
      </x:c>
      <x:c r="E172" s="141" t="n">
        <x:f>IF(AND($B$22="Sim",A172=$B$23),$B$37,0)</x:f>
        <x:v>0</x:v>
      </x:c>
      <x:c r="F172" s="141" t="n">
        <x:f>IF(AND($B$22="Sim",A172=$B$24),$B$27,0)</x:f>
        <x:v>0</x:v>
      </x:c>
      <x:c r="G172" s="141" t="n">
        <x:f>IF(AND($B$22="Sim",A172=$B$23),$B$35,0)</x:f>
        <x:v>0</x:v>
      </x:c>
      <x:c r="H172" s="141" t="n">
        <x:f>IF(AND($B$22="Sim",A172=$B$23),$B$36,0)</x:f>
        <x:v>0</x:v>
      </x:c>
      <x:c r="I172" s="141" t="n">
        <x:f>IF(OR($B$22&lt;&gt;"Sim",A172&gt;=$B$23+$B$31-1),0,(I173+C173)/(1+$B$9))</x:f>
        <x:v>110964.94549392245</x:v>
      </x:c>
      <x:c r="J172" s="140" t="str">
        <x:f>IF($B$22&lt;&gt;"Sim","Desativada",IF(A172&lt;$B$23,"Antes da compra",IF(A172&lt;$B$23+$B$31,"Parcelas restantes","Encerrado")))</x:f>
        <x:v>Parcelas restantes</x:v>
      </x:c>
      <x:c r="K172" s="141" t="n">
        <x:f>IF(C172&gt;0,C172/(1+$B$9)^A172,0)</x:f>
        <x:v>665.2069997507676</x:v>
      </x:c>
    </x:row>
    <x:row r="173">
      <x:c r="A173" s="142" t="n">
        <x:v>119</x:v>
      </x:c>
      <x:c r="B173" s="179" t="n">
        <x:f>EDATE($B$5,A173-1)</x:f>
        <x:v>50131</x:v>
      </x:c>
      <x:c r="C173" s="141" t="n">
        <x:f>IF(AND($B$22="Sim",A173&gt;=$B$23,A173&lt;$B$23+$B$31),$B$32*D173,0)</x:f>
        <x:v>2027.3747508032313</x:v>
      </x:c>
      <x:c r="D173" s="180" t="n">
        <x:f>IF(A173&lt;$B$23,1,(1+$B$33)^INT((A173-$B$23)/12))</x:f>
        <x:v>1.6894789590026928</x:v>
      </x:c>
      <x:c r="E173" s="141" t="n">
        <x:f>IF(AND($B$22="Sim",A173=$B$23),$B$37,0)</x:f>
        <x:v>0</x:v>
      </x:c>
      <x:c r="F173" s="141" t="n">
        <x:f>IF(AND($B$22="Sim",A173=$B$24),$B$27,0)</x:f>
        <x:v>0</x:v>
      </x:c>
      <x:c r="G173" s="141" t="n">
        <x:f>IF(AND($B$22="Sim",A173=$B$23),$B$35,0)</x:f>
        <x:v>0</x:v>
      </x:c>
      <x:c r="H173" s="141" t="n">
        <x:f>IF(AND($B$22="Sim",A173=$B$23),$B$36,0)</x:f>
        <x:v>0</x:v>
      </x:c>
      <x:c r="I173" s="141" t="n">
        <x:f>IF(OR($B$22&lt;&gt;"Sim",A173&gt;=$B$23+$B$31-1),0,(I174+C174)/(1+$B$9))</x:f>
        <x:v>109990.49413390835</x:v>
      </x:c>
      <x:c r="J173" s="140" t="str">
        <x:f>IF($B$22&lt;&gt;"Sim","Desativada",IF(A173&lt;$B$23,"Antes da compra",IF(A173&lt;$B$23+$B$31,"Parcelas restantes","Encerrado")))</x:f>
        <x:v>Parcelas restantes</x:v>
      </x:c>
      <x:c r="K173" s="141" t="n">
        <x:f>IF(C173&gt;0,C173/(1+$B$9)^A173,0)</x:f>
        <x:v>658.9543186675817</x:v>
      </x:c>
    </x:row>
    <x:row r="174">
      <x:c r="A174" s="142" t="n">
        <x:v>120</x:v>
      </x:c>
      <x:c r="B174" s="179" t="n">
        <x:f>EDATE($B$5,A174-1)</x:f>
        <x:v>50161</x:v>
      </x:c>
      <x:c r="C174" s="141" t="n">
        <x:f>IF(AND($B$22="Sim",A174&gt;=$B$23,A174&lt;$B$23+$B$31),$B$32*D174,0)</x:f>
        <x:v>2027.3747508032313</x:v>
      </x:c>
      <x:c r="D174" s="180" t="n">
        <x:f>IF(A174&lt;$B$23,1,(1+$B$33)^INT((A174-$B$23)/12))</x:f>
        <x:v>1.6894789590026928</x:v>
      </x:c>
      <x:c r="E174" s="141" t="n">
        <x:f>IF(AND($B$22="Sim",A174=$B$23),$B$37,0)</x:f>
        <x:v>0</x:v>
      </x:c>
      <x:c r="F174" s="141" t="n">
        <x:f>IF(AND($B$22="Sim",A174=$B$24),$B$27,0)</x:f>
        <x:v>0</x:v>
      </x:c>
      <x:c r="G174" s="141" t="n">
        <x:f>IF(AND($B$22="Sim",A174=$B$23),$B$35,0)</x:f>
        <x:v>0</x:v>
      </x:c>
      <x:c r="H174" s="141" t="n">
        <x:f>IF(AND($B$22="Sim",A174=$B$23),$B$36,0)</x:f>
        <x:v>0</x:v>
      </x:c>
      <x:c r="I174" s="141" t="n">
        <x:f>IF(OR($B$22&lt;&gt;"Sim",A174&gt;=$B$23+$B$31-1),0,(I175+C175)/(1+$B$9))</x:f>
        <x:v>109006.79640671425</x:v>
      </x:c>
      <x:c r="J174" s="140" t="str">
        <x:f>IF($B$22&lt;&gt;"Sim","Desativada",IF(A174&lt;$B$23,"Antes da compra",IF(A174&lt;$B$23+$B$31,"Parcelas restantes","Encerrado")))</x:f>
        <x:v>Parcelas restantes</x:v>
      </x:c>
      <x:c r="K174" s="141" t="n">
        <x:f>IF(C174&gt;0,C174/(1+$B$9)^A174,0)</x:f>
        <x:v>652.760410298367</x:v>
      </x:c>
    </x:row>
    <x:row r="175">
      <x:c r="A175" s="142" t="n">
        <x:v>121</x:v>
      </x:c>
      <x:c r="B175" s="179" t="n">
        <x:f>EDATE($B$5,A175-1)</x:f>
        <x:v>50192</x:v>
      </x:c>
      <x:c r="C175" s="141" t="n">
        <x:f>IF(AND($B$22="Sim",A175&gt;=$B$23,A175&lt;$B$23+$B$31),$B$32*D175,0)</x:f>
        <x:v>2149.0172358514255</x:v>
      </x:c>
      <x:c r="D175" s="180" t="n">
        <x:f>IF(A175&lt;$B$23,1,(1+$B$33)^INT((A175-$B$23)/12))</x:f>
        <x:v>1.7908476965428546</x:v>
      </x:c>
      <x:c r="E175" s="141" t="n">
        <x:f>IF(AND($B$22="Sim",A175=$B$23),$B$37,0)</x:f>
        <x:v>0</x:v>
      </x:c>
      <x:c r="F175" s="141" t="n">
        <x:f>IF(AND($B$22="Sim",A175=$B$24),$B$27,0)</x:f>
        <x:v>0</x:v>
      </x:c>
      <x:c r="G175" s="141" t="n">
        <x:f>IF(AND($B$22="Sim",A175=$B$23),$B$35,0)</x:f>
        <x:v>0</x:v>
      </x:c>
      <x:c r="H175" s="141" t="n">
        <x:f>IF(AND($B$22="Sim",A175=$B$23),$B$36,0)</x:f>
        <x:v>0</x:v>
      </x:c>
      <x:c r="I175" s="141" t="n">
        <x:f>IF(OR($B$22&lt;&gt;"Sim",A175&gt;=$B$23+$B$31-1),0,(I176+C176)/(1+$B$9))</x:f>
        <x:v>107892.12209042838</x:v>
      </x:c>
      <x:c r="J175" s="140" t="str">
        <x:f>IF($B$22&lt;&gt;"Sim","Desativada",IF(A175&lt;$B$23,"Antes da compra",IF(A175&lt;$B$23+$B$31,"Parcelas restantes","Encerrado")))</x:f>
        <x:v>Parcelas restantes</x:v>
      </x:c>
      <x:c r="K175" s="141" t="n">
        <x:f>IF(C175&gt;0,C175/(1+$B$9)^A175,0)</x:f>
        <x:v>685.4222055351806</x:v>
      </x:c>
    </x:row>
    <x:row r="176">
      <x:c r="A176" s="142" t="n">
        <x:v>122</x:v>
      </x:c>
      <x:c r="B176" s="179" t="n">
        <x:f>EDATE($B$5,A176-1)</x:f>
        <x:v>50222</x:v>
      </x:c>
      <x:c r="C176" s="141" t="n">
        <x:f>IF(AND($B$22="Sim",A176&gt;=$B$23,A176&lt;$B$23+$B$31),$B$32*D176,0)</x:f>
        <x:v>2149.0172358514255</x:v>
      </x:c>
      <x:c r="D176" s="180" t="n">
        <x:f>IF(A176&lt;$B$23,1,(1+$B$33)^INT((A176-$B$23)/12))</x:f>
        <x:v>1.7908476965428546</x:v>
      </x:c>
      <x:c r="E176" s="141" t="n">
        <x:f>IF(AND($B$22="Sim",A176=$B$23),$B$37,0)</x:f>
        <x:v>0</x:v>
      </x:c>
      <x:c r="F176" s="141" t="n">
        <x:f>IF(AND($B$22="Sim",A176=$B$24),$B$27,0)</x:f>
        <x:v>0</x:v>
      </x:c>
      <x:c r="G176" s="141" t="n">
        <x:f>IF(AND($B$22="Sim",A176=$B$23),$B$35,0)</x:f>
        <x:v>0</x:v>
      </x:c>
      <x:c r="H176" s="141" t="n">
        <x:f>IF(AND($B$22="Sim",A176=$B$23),$B$36,0)</x:f>
        <x:v>0</x:v>
      </x:c>
      <x:c r="I176" s="141" t="n">
        <x:f>IF(OR($B$22&lt;&gt;"Sim",A176&gt;=$B$23+$B$31-1),0,(I177+C177)/(1+$B$9))</x:f>
        <x:v>106766.87086036579</x:v>
      </x:c>
      <x:c r="J176" s="140" t="str">
        <x:f>IF($B$22&lt;&gt;"Sim","Desativada",IF(A176&lt;$B$23,"Antes da compra",IF(A176&lt;$B$23+$B$31,"Parcelas restantes","Encerrado")))</x:f>
        <x:v>Parcelas restantes</x:v>
      </x:c>
      <x:c r="K176" s="141" t="n">
        <x:f>IF(C176&gt;0,C176/(1+$B$9)^A176,0)</x:f>
        <x:v>678.9795095621209</x:v>
      </x:c>
    </x:row>
    <x:row r="177">
      <x:c r="A177" s="142" t="n">
        <x:v>123</x:v>
      </x:c>
      <x:c r="B177" s="179" t="n">
        <x:f>EDATE($B$5,A177-1)</x:f>
        <x:v>50253</x:v>
      </x:c>
      <x:c r="C177" s="141" t="n">
        <x:f>IF(AND($B$22="Sim",A177&gt;=$B$23,A177&lt;$B$23+$B$31),$B$32*D177,0)</x:f>
        <x:v>2149.0172358514255</x:v>
      </x:c>
      <x:c r="D177" s="180" t="n">
        <x:f>IF(A177&lt;$B$23,1,(1+$B$33)^INT((A177-$B$23)/12))</x:f>
        <x:v>1.7908476965428546</x:v>
      </x:c>
      <x:c r="E177" s="141" t="n">
        <x:f>IF(AND($B$22="Sim",A177=$B$23),$B$37,0)</x:f>
        <x:v>0</x:v>
      </x:c>
      <x:c r="F177" s="141" t="n">
        <x:f>IF(AND($B$22="Sim",A177=$B$24),$B$27,0)</x:f>
        <x:v>0</x:v>
      </x:c>
      <x:c r="G177" s="141" t="n">
        <x:f>IF(AND($B$22="Sim",A177=$B$23),$B$35,0)</x:f>
        <x:v>0</x:v>
      </x:c>
      <x:c r="H177" s="141" t="n">
        <x:f>IF(AND($B$22="Sim",A177=$B$23),$B$36,0)</x:f>
        <x:v>0</x:v>
      </x:c>
      <x:c r="I177" s="141" t="n">
        <x:f>IF(OR($B$22&lt;&gt;"Sim",A177&gt;=$B$23+$B$31-1),0,(I178+C178)/(1+$B$9))</x:f>
        <x:v>105630.94235438174</x:v>
      </x:c>
      <x:c r="J177" s="140" t="str">
        <x:f>IF($B$22&lt;&gt;"Sim","Desativada",IF(A177&lt;$B$23,"Antes da compra",IF(A177&lt;$B$23+$B$31,"Parcelas restantes","Encerrado")))</x:f>
        <x:v>Parcelas restantes</x:v>
      </x:c>
      <x:c r="K177" s="141" t="n">
        <x:f>IF(C177&gt;0,C177/(1+$B$9)^A177,0)</x:f>
        <x:v>672.5973723673821</x:v>
      </x:c>
    </x:row>
    <x:row r="178">
      <x:c r="A178" s="142" t="n">
        <x:v>124</x:v>
      </x:c>
      <x:c r="B178" s="179" t="n">
        <x:f>EDATE($B$5,A178-1)</x:f>
        <x:v>50284</x:v>
      </x:c>
      <x:c r="C178" s="141" t="n">
        <x:f>IF(AND($B$22="Sim",A178&gt;=$B$23,A178&lt;$B$23+$B$31),$B$32*D178,0)</x:f>
        <x:v>2149.0172358514255</x:v>
      </x:c>
      <x:c r="D178" s="180" t="n">
        <x:f>IF(A178&lt;$B$23,1,(1+$B$33)^INT((A178-$B$23)/12))</x:f>
        <x:v>1.7908476965428546</x:v>
      </x:c>
      <x:c r="E178" s="141" t="n">
        <x:f>IF(AND($B$22="Sim",A178=$B$23),$B$37,0)</x:f>
        <x:v>0</x:v>
      </x:c>
      <x:c r="F178" s="141" t="n">
        <x:f>IF(AND($B$22="Sim",A178=$B$24),$B$27,0)</x:f>
        <x:v>0</x:v>
      </x:c>
      <x:c r="G178" s="141" t="n">
        <x:f>IF(AND($B$22="Sim",A178=$B$23),$B$35,0)</x:f>
        <x:v>0</x:v>
      </x:c>
      <x:c r="H178" s="141" t="n">
        <x:f>IF(AND($B$22="Sim",A178=$B$23),$B$36,0)</x:f>
        <x:v>0</x:v>
      </x:c>
      <x:c r="I178" s="141" t="n">
        <x:f>IF(OR($B$22&lt;&gt;"Sim",A178&gt;=$B$23+$B$31-1),0,(I179+C179)/(1+$B$9))</x:f>
        <x:v>104484.23525801592</x:v>
      </x:c>
      <x:c r="J178" s="140" t="str">
        <x:f>IF($B$22&lt;&gt;"Sim","Desativada",IF(A178&lt;$B$23,"Antes da compra",IF(A178&lt;$B$23+$B$31,"Parcelas restantes","Encerrado")))</x:f>
        <x:v>Parcelas restantes</x:v>
      </x:c>
      <x:c r="K178" s="141" t="n">
        <x:f>IF(C178&gt;0,C178/(1+$B$9)^A178,0)</x:f>
        <x:v>666.2752247225471</x:v>
      </x:c>
    </x:row>
    <x:row r="179">
      <x:c r="A179" s="142" t="n">
        <x:v>125</x:v>
      </x:c>
      <x:c r="B179" s="179" t="n">
        <x:f>EDATE($B$5,A179-1)</x:f>
        <x:v>50314</x:v>
      </x:c>
      <x:c r="C179" s="141" t="n">
        <x:f>IF(AND($B$22="Sim",A179&gt;=$B$23,A179&lt;$B$23+$B$31),$B$32*D179,0)</x:f>
        <x:v>2149.0172358514255</x:v>
      </x:c>
      <x:c r="D179" s="180" t="n">
        <x:f>IF(A179&lt;$B$23,1,(1+$B$33)^INT((A179-$B$23)/12))</x:f>
        <x:v>1.7908476965428546</x:v>
      </x:c>
      <x:c r="E179" s="141" t="n">
        <x:f>IF(AND($B$22="Sim",A179=$B$23),$B$37,0)</x:f>
        <x:v>0</x:v>
      </x:c>
      <x:c r="F179" s="141" t="n">
        <x:f>IF(AND($B$22="Sim",A179=$B$24),$B$27,0)</x:f>
        <x:v>0</x:v>
      </x:c>
      <x:c r="G179" s="141" t="n">
        <x:f>IF(AND($B$22="Sim",A179=$B$23),$B$35,0)</x:f>
        <x:v>0</x:v>
      </x:c>
      <x:c r="H179" s="141" t="n">
        <x:f>IF(AND($B$22="Sim",A179=$B$23),$B$36,0)</x:f>
        <x:v>0</x:v>
      </x:c>
      <x:c r="I179" s="141" t="n">
        <x:f>IF(OR($B$22&lt;&gt;"Sim",A179&gt;=$B$23+$B$31-1),0,(I180+C180)/(1+$B$9))</x:f>
        <x:v>103326.64729545607</x:v>
      </x:c>
      <x:c r="J179" s="140" t="str">
        <x:f>IF($B$22&lt;&gt;"Sim","Desativada",IF(A179&lt;$B$23,"Antes da compra",IF(A179&lt;$B$23+$B$31,"Parcelas restantes","Encerrado")))</x:f>
        <x:v>Parcelas restantes</x:v>
      </x:c>
      <x:c r="K179" s="141" t="n">
        <x:f>IF(C179&gt;0,C179/(1+$B$9)^A179,0)</x:f>
        <x:v>660.0125027497191</x:v>
      </x:c>
    </x:row>
    <x:row r="180">
      <x:c r="A180" s="142" t="n">
        <x:v>126</x:v>
      </x:c>
      <x:c r="B180" s="179" t="n">
        <x:f>EDATE($B$5,A180-1)</x:f>
        <x:v>50345</x:v>
      </x:c>
      <x:c r="C180" s="141" t="n">
        <x:f>IF(AND($B$22="Sim",A180&gt;=$B$23,A180&lt;$B$23+$B$31),$B$32*D180,0)</x:f>
        <x:v>2149.0172358514255</x:v>
      </x:c>
      <x:c r="D180" s="180" t="n">
        <x:f>IF(A180&lt;$B$23,1,(1+$B$33)^INT((A180-$B$23)/12))</x:f>
        <x:v>1.7908476965428546</x:v>
      </x:c>
      <x:c r="E180" s="141" t="n">
        <x:f>IF(AND($B$22="Sim",A180=$B$23),$B$37,0)</x:f>
        <x:v>0</x:v>
      </x:c>
      <x:c r="F180" s="141" t="n">
        <x:f>IF(AND($B$22="Sim",A180=$B$24),$B$27,0)</x:f>
        <x:v>0</x:v>
      </x:c>
      <x:c r="G180" s="141" t="n">
        <x:f>IF(AND($B$22="Sim",A180=$B$23),$B$35,0)</x:f>
        <x:v>0</x:v>
      </x:c>
      <x:c r="H180" s="141" t="n">
        <x:f>IF(AND($B$22="Sim",A180=$B$23),$B$36,0)</x:f>
        <x:v>0</x:v>
      </x:c>
      <x:c r="I180" s="141" t="n">
        <x:f>IF(OR($B$22&lt;&gt;"Sim",A180&gt;=$B$23+$B$31-1),0,(I181+C181)/(1+$B$9))</x:f>
        <x:v>102158.07522041592</x:v>
      </x:c>
      <x:c r="J180" s="140" t="str">
        <x:f>IF($B$22&lt;&gt;"Sim","Desativada",IF(A180&lt;$B$23,"Antes da compra",IF(A180&lt;$B$23+$B$31,"Parcelas restantes","Encerrado")))</x:f>
        <x:v>Parcelas restantes</x:v>
      </x:c>
      <x:c r="K180" s="141" t="n">
        <x:f>IF(C180&gt;0,C180/(1+$B$9)^A180,0)</x:f>
        <x:v>653.8086478712293</x:v>
      </x:c>
    </x:row>
    <x:row r="181">
      <x:c r="A181" s="142" t="n">
        <x:v>127</x:v>
      </x:c>
      <x:c r="B181" s="179" t="n">
        <x:f>EDATE($B$5,A181-1)</x:f>
        <x:v>50375</x:v>
      </x:c>
      <x:c r="C181" s="141" t="n">
        <x:f>IF(AND($B$22="Sim",A181&gt;=$B$23,A181&lt;$B$23+$B$31),$B$32*D181,0)</x:f>
        <x:v>2149.0172358514255</x:v>
      </x:c>
      <x:c r="D181" s="180" t="n">
        <x:f>IF(A181&lt;$B$23,1,(1+$B$33)^INT((A181-$B$23)/12))</x:f>
        <x:v>1.7908476965428546</x:v>
      </x:c>
      <x:c r="E181" s="141" t="n">
        <x:f>IF(AND($B$22="Sim",A181=$B$23),$B$37,0)</x:f>
        <x:v>0</x:v>
      </x:c>
      <x:c r="F181" s="141" t="n">
        <x:f>IF(AND($B$22="Sim",A181=$B$24),$B$27,0)</x:f>
        <x:v>0</x:v>
      </x:c>
      <x:c r="G181" s="141" t="n">
        <x:f>IF(AND($B$22="Sim",A181=$B$23),$B$35,0)</x:f>
        <x:v>0</x:v>
      </x:c>
      <x:c r="H181" s="141" t="n">
        <x:f>IF(AND($B$22="Sim",A181=$B$23),$B$36,0)</x:f>
        <x:v>0</x:v>
      </x:c>
      <x:c r="I181" s="141" t="n">
        <x:f>IF(OR($B$22&lt;&gt;"Sim",A181&gt;=$B$23+$B$31-1),0,(I182+C182)/(1+$B$9))</x:f>
        <x:v>100978.41480692658</x:v>
      </x:c>
      <x:c r="J181" s="140" t="str">
        <x:f>IF($B$22&lt;&gt;"Sim","Desativada",IF(A181&lt;$B$23,"Antes da compra",IF(A181&lt;$B$23+$B$31,"Parcelas restantes","Encerrado")))</x:f>
        <x:v>Parcelas restantes</x:v>
      </x:c>
      <x:c r="K181" s="141" t="n">
        <x:f>IF(C181&gt;0,C181/(1+$B$9)^A181,0)</x:f>
        <x:v>647.6631067598166</x:v>
      </x:c>
    </x:row>
    <x:row r="182">
      <x:c r="A182" s="142" t="n">
        <x:v>128</x:v>
      </x:c>
      <x:c r="B182" s="179" t="n">
        <x:f>EDATE($B$5,A182-1)</x:f>
        <x:v>50406</x:v>
      </x:c>
      <x:c r="C182" s="141" t="n">
        <x:f>IF(AND($B$22="Sim",A182&gt;=$B$23,A182&lt;$B$23+$B$31),$B$32*D182,0)</x:f>
        <x:v>2149.0172358514255</x:v>
      </x:c>
      <x:c r="D182" s="180" t="n">
        <x:f>IF(A182&lt;$B$23,1,(1+$B$33)^INT((A182-$B$23)/12))</x:f>
        <x:v>1.7908476965428546</x:v>
      </x:c>
      <x:c r="E182" s="141" t="n">
        <x:f>IF(AND($B$22="Sim",A182=$B$23),$B$37,0)</x:f>
        <x:v>0</x:v>
      </x:c>
      <x:c r="F182" s="141" t="n">
        <x:f>IF(AND($B$22="Sim",A182=$B$24),$B$27,0)</x:f>
        <x:v>0</x:v>
      </x:c>
      <x:c r="G182" s="141" t="n">
        <x:f>IF(AND($B$22="Sim",A182=$B$23),$B$35,0)</x:f>
        <x:v>0</x:v>
      </x:c>
      <x:c r="H182" s="141" t="n">
        <x:f>IF(AND($B$22="Sim",A182=$B$23),$B$36,0)</x:f>
        <x:v>0</x:v>
      </x:c>
      <x:c r="I182" s="141" t="n">
        <x:f>IF(OR($B$22&lt;&gt;"Sim",A182&gt;=$B$23+$B$31-1),0,(I183+C183)/(1+$B$9))</x:f>
        <x:v>99787.56084004052</x:v>
      </x:c>
      <x:c r="J182" s="140" t="str">
        <x:f>IF($B$22&lt;&gt;"Sim","Desativada",IF(A182&lt;$B$23,"Antes da compra",IF(A182&lt;$B$23+$B$31,"Parcelas restantes","Encerrado")))</x:f>
        <x:v>Parcelas restantes</x:v>
      </x:c>
      <x:c r="K182" s="141" t="n">
        <x:f>IF(C182&gt;0,C182/(1+$B$9)^A182,0)</x:f>
        <x:v>641.5753312892762</x:v>
      </x:c>
    </x:row>
    <x:row r="183">
      <x:c r="A183" s="142" t="n">
        <x:v>129</x:v>
      </x:c>
      <x:c r="B183" s="179" t="n">
        <x:f>EDATE($B$5,A183-1)</x:f>
        <x:v>50437</x:v>
      </x:c>
      <x:c r="C183" s="141" t="n">
        <x:f>IF(AND($B$22="Sim",A183&gt;=$B$23,A183&lt;$B$23+$B$31),$B$32*D183,0)</x:f>
        <x:v>2149.0172358514255</x:v>
      </x:c>
      <x:c r="D183" s="180" t="n">
        <x:f>IF(A183&lt;$B$23,1,(1+$B$33)^INT((A183-$B$23)/12))</x:f>
        <x:v>1.7908476965428546</x:v>
      </x:c>
      <x:c r="E183" s="141" t="n">
        <x:f>IF(AND($B$22="Sim",A183=$B$23),$B$37,0)</x:f>
        <x:v>0</x:v>
      </x:c>
      <x:c r="F183" s="141" t="n">
        <x:f>IF(AND($B$22="Sim",A183=$B$24),$B$27,0)</x:f>
        <x:v>0</x:v>
      </x:c>
      <x:c r="G183" s="141" t="n">
        <x:f>IF(AND($B$22="Sim",A183=$B$23),$B$35,0)</x:f>
        <x:v>0</x:v>
      </x:c>
      <x:c r="H183" s="141" t="n">
        <x:f>IF(AND($B$22="Sim",A183=$B$23),$B$36,0)</x:f>
        <x:v>0</x:v>
      </x:c>
      <x:c r="I183" s="141" t="n">
        <x:f>IF(OR($B$22&lt;&gt;"Sim",A183&gt;=$B$23+$B$31-1),0,(I184+C184)/(1+$B$9))</x:f>
        <x:v>98585.40710644734</x:v>
      </x:c>
      <x:c r="J183" s="140" t="str">
        <x:f>IF($B$22&lt;&gt;"Sim","Desativada",IF(A183&lt;$B$23,"Antes da compra",IF(A183&lt;$B$23+$B$31,"Parcelas restantes","Encerrado")))</x:f>
        <x:v>Parcelas restantes</x:v>
      </x:c>
      <x:c r="K183" s="141" t="n">
        <x:f>IF(C183&gt;0,C183/(1+$B$9)^A183,0)</x:f>
        <x:v>635.5447784855711</x:v>
      </x:c>
    </x:row>
    <x:row r="184">
      <x:c r="A184" s="142" t="n">
        <x:v>130</x:v>
      </x:c>
      <x:c r="B184" s="179" t="n">
        <x:f>EDATE($B$5,A184-1)</x:f>
        <x:v>50465</x:v>
      </x:c>
      <x:c r="C184" s="141" t="n">
        <x:f>IF(AND($B$22="Sim",A184&gt;=$B$23,A184&lt;$B$23+$B$31),$B$32*D184,0)</x:f>
        <x:v>2149.0172358514255</x:v>
      </x:c>
      <x:c r="D184" s="180" t="n">
        <x:f>IF(A184&lt;$B$23,1,(1+$B$33)^INT((A184-$B$23)/12))</x:f>
        <x:v>1.7908476965428546</x:v>
      </x:c>
      <x:c r="E184" s="141" t="n">
        <x:f>IF(AND($B$22="Sim",A184=$B$23),$B$37,0)</x:f>
        <x:v>0</x:v>
      </x:c>
      <x:c r="F184" s="141" t="n">
        <x:f>IF(AND($B$22="Sim",A184=$B$24),$B$27,0)</x:f>
        <x:v>0</x:v>
      </x:c>
      <x:c r="G184" s="141" t="n">
        <x:f>IF(AND($B$22="Sim",A184=$B$23),$B$35,0)</x:f>
        <x:v>0</x:v>
      </x:c>
      <x:c r="H184" s="141" t="n">
        <x:f>IF(AND($B$22="Sim",A184=$B$23),$B$36,0)</x:f>
        <x:v>0</x:v>
      </x:c>
      <x:c r="I184" s="141" t="n">
        <x:f>IF(OR($B$22&lt;&gt;"Sim",A184&gt;=$B$23+$B$31-1),0,(I185+C185)/(1+$B$9))</x:f>
        <x:v>97371.84638500056</x:v>
      </x:c>
      <x:c r="J184" s="140" t="str">
        <x:f>IF($B$22&lt;&gt;"Sim","Desativada",IF(A184&lt;$B$23,"Antes da compra",IF(A184&lt;$B$23+$B$31,"Parcelas restantes","Encerrado")))</x:f>
        <x:v>Parcelas restantes</x:v>
      </x:c>
      <x:c r="K184" s="141" t="n">
        <x:f>IF(C184&gt;0,C184/(1+$B$9)^A184,0)</x:f>
        <x:v>629.5709104784046</x:v>
      </x:c>
    </x:row>
    <x:row r="185">
      <x:c r="A185" s="142" t="n">
        <x:v>131</x:v>
      </x:c>
      <x:c r="B185" s="179" t="n">
        <x:f>EDATE($B$5,A185-1)</x:f>
        <x:v>50496</x:v>
      </x:c>
      <x:c r="C185" s="141" t="n">
        <x:f>IF(AND($B$22="Sim",A185&gt;=$B$23,A185&lt;$B$23+$B$31),$B$32*D185,0)</x:f>
        <x:v>2149.0172358514255</x:v>
      </x:c>
      <x:c r="D185" s="180" t="n">
        <x:f>IF(A185&lt;$B$23,1,(1+$B$33)^INT((A185-$B$23)/12))</x:f>
        <x:v>1.7908476965428546</x:v>
      </x:c>
      <x:c r="E185" s="141" t="n">
        <x:f>IF(AND($B$22="Sim",A185=$B$23),$B$37,0)</x:f>
        <x:v>0</x:v>
      </x:c>
      <x:c r="F185" s="141" t="n">
        <x:f>IF(AND($B$22="Sim",A185=$B$24),$B$27,0)</x:f>
        <x:v>0</x:v>
      </x:c>
      <x:c r="G185" s="141" t="n">
        <x:f>IF(AND($B$22="Sim",A185=$B$23),$B$35,0)</x:f>
        <x:v>0</x:v>
      </x:c>
      <x:c r="H185" s="141" t="n">
        <x:f>IF(AND($B$22="Sim",A185=$B$23),$B$36,0)</x:f>
        <x:v>0</x:v>
      </x:c>
      <x:c r="I185" s="141" t="n">
        <x:f>IF(OR($B$22&lt;&gt;"Sim",A185&gt;=$B$23+$B$31-1),0,(I186+C186)/(1+$B$9))</x:f>
        <x:v>96146.77043715444</x:v>
      </x:c>
      <x:c r="J185" s="140" t="str">
        <x:f>IF($B$22&lt;&gt;"Sim","Desativada",IF(A185&lt;$B$23,"Antes da compra",IF(A185&lt;$B$23+$B$31,"Parcelas restantes","Encerrado")))</x:f>
        <x:v>Parcelas restantes</x:v>
      </x:c>
      <x:c r="K185" s="141" t="n">
        <x:f>IF(C185&gt;0,C185/(1+$B$9)^A185,0)</x:f>
        <x:v>623.6531944532466</x:v>
      </x:c>
    </x:row>
    <x:row r="186">
      <x:c r="A186" s="142" t="n">
        <x:v>132</x:v>
      </x:c>
      <x:c r="B186" s="179" t="n">
        <x:f>EDATE($B$5,A186-1)</x:f>
        <x:v>50526</x:v>
      </x:c>
      <x:c r="C186" s="141" t="n">
        <x:f>IF(AND($B$22="Sim",A186&gt;=$B$23,A186&lt;$B$23+$B$31),$B$32*D186,0)</x:f>
        <x:v>2149.0172358514255</x:v>
      </x:c>
      <x:c r="D186" s="180" t="n">
        <x:f>IF(A186&lt;$B$23,1,(1+$B$33)^INT((A186-$B$23)/12))</x:f>
        <x:v>1.7908476965428546</x:v>
      </x:c>
      <x:c r="E186" s="141" t="n">
        <x:f>IF(AND($B$22="Sim",A186=$B$23),$B$37,0)</x:f>
        <x:v>0</x:v>
      </x:c>
      <x:c r="F186" s="141" t="n">
        <x:f>IF(AND($B$22="Sim",A186=$B$24),$B$27,0)</x:f>
        <x:v>0</x:v>
      </x:c>
      <x:c r="G186" s="141" t="n">
        <x:f>IF(AND($B$22="Sim",A186=$B$23),$B$35,0)</x:f>
        <x:v>0</x:v>
      </x:c>
      <x:c r="H186" s="141" t="n">
        <x:f>IF(AND($B$22="Sim",A186=$B$23),$B$36,0)</x:f>
        <x:v>0</x:v>
      </x:c>
      <x:c r="I186" s="141" t="n">
        <x:f>IF(OR($B$22&lt;&gt;"Sim",A186&gt;=$B$23+$B$31-1),0,(I187+C187)/(1+$B$9))</x:f>
        <x:v>94910.06999731006</x:v>
      </x:c>
      <x:c r="J186" s="140" t="str">
        <x:f>IF($B$22&lt;&gt;"Sim","Desativada",IF(A186&lt;$B$23,"Antes da compra",IF(A186&lt;$B$23+$B$31,"Parcelas restantes","Encerrado")))</x:f>
        <x:v>Parcelas restantes</x:v>
      </x:c>
      <x:c r="K186" s="141" t="n">
        <x:f>IF(C186&gt;0,C186/(1+$B$9)^A186,0)</x:f>
        <x:v>617.7911026038112</x:v>
      </x:c>
    </x:row>
    <x:row r="187">
      <x:c r="A187" s="142" t="n">
        <x:v>133</x:v>
      </x:c>
      <x:c r="B187" s="179" t="n">
        <x:f>EDATE($B$5,A187-1)</x:f>
        <x:v>50557</x:v>
      </x:c>
      <x:c r="C187" s="141" t="n">
        <x:f>IF(AND($B$22="Sim",A187&gt;=$B$23,A187&lt;$B$23+$B$31),$B$32*D187,0)</x:f>
        <x:v>2277.958270002511</x:v>
      </x:c>
      <x:c r="D187" s="180" t="n">
        <x:f>IF(A187&lt;$B$23,1,(1+$B$33)^INT((A187-$B$23)/12))</x:f>
        <x:v>1.898298558335426</x:v>
      </x:c>
      <x:c r="E187" s="141" t="n">
        <x:f>IF(AND($B$22="Sim",A187=$B$23),$B$37,0)</x:f>
        <x:v>0</x:v>
      </x:c>
      <x:c r="F187" s="141" t="n">
        <x:f>IF(AND($B$22="Sim",A187=$B$24),$B$27,0)</x:f>
        <x:v>0</x:v>
      </x:c>
      <x:c r="G187" s="141" t="n">
        <x:f>IF(AND($B$22="Sim",A187=$B$23),$B$35,0)</x:f>
        <x:v>0</x:v>
      </x:c>
      <x:c r="H187" s="141" t="n">
        <x:f>IF(AND($B$22="Sim",A187=$B$23),$B$36,0)</x:f>
        <x:v>0</x:v>
      </x:c>
      <x:c r="I187" s="141" t="n">
        <x:f>IF(OR($B$22&lt;&gt;"Sim",A187&gt;=$B$23+$B$31-1),0,(I188+C188)/(1+$B$9))</x:f>
        <x:v>93532.6937289188</x:v>
      </x:c>
      <x:c r="J187" s="140" t="str">
        <x:f>IF($B$22&lt;&gt;"Sim","Desativada",IF(A187&lt;$B$23,"Antes da compra",IF(A187&lt;$B$23+$B$31,"Parcelas restantes","Encerrado")))</x:f>
        <x:v>Parcelas restantes</x:v>
      </x:c>
      <x:c r="K187" s="141" t="n">
        <x:f>IF(C187&gt;0,C187/(1+$B$9)^A187,0)</x:f>
        <x:v>648.7031588100812</x:v>
      </x:c>
    </x:row>
    <x:row r="188">
      <x:c r="A188" s="142" t="n">
        <x:v>134</x:v>
      </x:c>
      <x:c r="B188" s="179" t="n">
        <x:f>EDATE($B$5,A188-1)</x:f>
        <x:v>50587</x:v>
      </x:c>
      <x:c r="C188" s="141" t="n">
        <x:f>IF(AND($B$22="Sim",A188&gt;=$B$23,A188&lt;$B$23+$B$31),$B$32*D188,0)</x:f>
        <x:v>2277.958270002511</x:v>
      </x:c>
      <x:c r="D188" s="180" t="n">
        <x:f>IF(A188&lt;$B$23,1,(1+$B$33)^INT((A188-$B$23)/12))</x:f>
        <x:v>1.898298558335426</x:v>
      </x:c>
      <x:c r="E188" s="141" t="n">
        <x:f>IF(AND($B$22="Sim",A188=$B$23),$B$37,0)</x:f>
        <x:v>0</x:v>
      </x:c>
      <x:c r="F188" s="141" t="n">
        <x:f>IF(AND($B$22="Sim",A188=$B$24),$B$27,0)</x:f>
        <x:v>0</x:v>
      </x:c>
      <x:c r="G188" s="141" t="n">
        <x:f>IF(AND($B$22="Sim",A188=$B$23),$B$35,0)</x:f>
        <x:v>0</x:v>
      </x:c>
      <x:c r="H188" s="141" t="n">
        <x:f>IF(AND($B$22="Sim",A188=$B$23),$B$36,0)</x:f>
        <x:v>0</x:v>
      </x:c>
      <x:c r="I188" s="141" t="n">
        <x:f>IF(OR($B$22&lt;&gt;"Sim",A188&gt;=$B$23+$B$31-1),0,(I189+C189)/(1+$B$9))</x:f>
        <x:v>92142.24782232378</x:v>
      </x:c>
      <x:c r="J188" s="140" t="str">
        <x:f>IF($B$22&lt;&gt;"Sim","Desativada",IF(A188&lt;$B$23,"Antes da compra",IF(A188&lt;$B$23+$B$31,"Parcelas restantes","Encerrado")))</x:f>
        <x:v>Parcelas restantes</x:v>
      </x:c>
      <x:c r="K188" s="141" t="n">
        <x:f>IF(C188&gt;0,C188/(1+$B$9)^A188,0)</x:f>
        <x:v>642.6056072641496</x:v>
      </x:c>
    </x:row>
    <x:row r="189">
      <x:c r="A189" s="142" t="n">
        <x:v>135</x:v>
      </x:c>
      <x:c r="B189" s="179" t="n">
        <x:f>EDATE($B$5,A189-1)</x:f>
        <x:v>50618</x:v>
      </x:c>
      <x:c r="C189" s="141" t="n">
        <x:f>IF(AND($B$22="Sim",A189&gt;=$B$23,A189&lt;$B$23+$B$31),$B$32*D189,0)</x:f>
        <x:v>2277.958270002511</x:v>
      </x:c>
      <x:c r="D189" s="180" t="n">
        <x:f>IF(A189&lt;$B$23,1,(1+$B$33)^INT((A189-$B$23)/12))</x:f>
        <x:v>1.898298558335426</x:v>
      </x:c>
      <x:c r="E189" s="141" t="n">
        <x:f>IF(AND($B$22="Sim",A189=$B$23),$B$37,0)</x:f>
        <x:v>0</x:v>
      </x:c>
      <x:c r="F189" s="141" t="n">
        <x:f>IF(AND($B$22="Sim",A189=$B$24),$B$27,0)</x:f>
        <x:v>0</x:v>
      </x:c>
      <x:c r="G189" s="141" t="n">
        <x:f>IF(AND($B$22="Sim",A189=$B$23),$B$35,0)</x:f>
        <x:v>0</x:v>
      </x:c>
      <x:c r="H189" s="141" t="n">
        <x:f>IF(AND($B$22="Sim",A189=$B$23),$B$36,0)</x:f>
        <x:v>0</x:v>
      </x:c>
      <x:c r="I189" s="141" t="n">
        <x:f>IF(OR($B$22&lt;&gt;"Sim",A189&gt;=$B$23+$B$31-1),0,(I190+C190)/(1+$B$9))</x:f>
        <x:v>90738.60826243434</x:v>
      </x:c>
      <x:c r="J189" s="140" t="str">
        <x:f>IF($B$22&lt;&gt;"Sim","Desativada",IF(A189&lt;$B$23,"Antes da compra",IF(A189&lt;$B$23+$B$31,"Parcelas restantes","Encerrado")))</x:f>
        <x:v>Parcelas restantes</x:v>
      </x:c>
      <x:c r="K189" s="141" t="n">
        <x:f>IF(C189&gt;0,C189/(1+$B$9)^A189,0)</x:f>
        <x:v>636.5653702762719</x:v>
      </x:c>
    </x:row>
    <x:row r="190">
      <x:c r="A190" s="142" t="n">
        <x:v>136</x:v>
      </x:c>
      <x:c r="B190" s="179" t="n">
        <x:f>EDATE($B$5,A190-1)</x:f>
        <x:v>50649</x:v>
      </x:c>
      <x:c r="C190" s="141" t="n">
        <x:f>IF(AND($B$22="Sim",A190&gt;=$B$23,A190&lt;$B$23+$B$31),$B$32*D190,0)</x:f>
        <x:v>2277.958270002511</x:v>
      </x:c>
      <x:c r="D190" s="180" t="n">
        <x:f>IF(A190&lt;$B$23,1,(1+$B$33)^INT((A190-$B$23)/12))</x:f>
        <x:v>1.898298558335426</x:v>
      </x:c>
      <x:c r="E190" s="141" t="n">
        <x:f>IF(AND($B$22="Sim",A190=$B$23),$B$37,0)</x:f>
        <x:v>0</x:v>
      </x:c>
      <x:c r="F190" s="141" t="n">
        <x:f>IF(AND($B$22="Sim",A190=$B$24),$B$27,0)</x:f>
        <x:v>0</x:v>
      </x:c>
      <x:c r="G190" s="141" t="n">
        <x:f>IF(AND($B$22="Sim",A190=$B$23),$B$35,0)</x:f>
        <x:v>0</x:v>
      </x:c>
      <x:c r="H190" s="141" t="n">
        <x:f>IF(AND($B$22="Sim",A190=$B$23),$B$36,0)</x:f>
        <x:v>0</x:v>
      </x:c>
      <x:c r="I190" s="141" t="n">
        <x:f>IF(OR($B$22&lt;&gt;"Sim",A190&gt;=$B$23+$B$31-1),0,(I191+C191)/(1+$B$9))</x:f>
        <x:v>89321.64985740632</x:v>
      </x:c>
      <x:c r="J190" s="140" t="str">
        <x:f>IF($B$22&lt;&gt;"Sim","Desativada",IF(A190&lt;$B$23,"Antes da compra",IF(A190&lt;$B$23+$B$31,"Parcelas restantes","Encerrado")))</x:f>
        <x:v>Parcelas restantes</x:v>
      </x:c>
      <x:c r="K190" s="141" t="n">
        <x:f>IF(C190&gt;0,C190/(1+$B$9)^A190,0)</x:f>
        <x:v>630.5819091124101</x:v>
      </x:c>
    </x:row>
    <x:row r="191">
      <x:c r="A191" s="142" t="n">
        <x:v>137</x:v>
      </x:c>
      <x:c r="B191" s="179" t="n">
        <x:f>EDATE($B$5,A191-1)</x:f>
        <x:v>50679</x:v>
      </x:c>
      <x:c r="C191" s="141" t="n">
        <x:f>IF(AND($B$22="Sim",A191&gt;=$B$23,A191&lt;$B$23+$B$31),$B$32*D191,0)</x:f>
        <x:v>2277.958270002511</x:v>
      </x:c>
      <x:c r="D191" s="180" t="n">
        <x:f>IF(A191&lt;$B$23,1,(1+$B$33)^INT((A191-$B$23)/12))</x:f>
        <x:v>1.898298558335426</x:v>
      </x:c>
      <x:c r="E191" s="141" t="n">
        <x:f>IF(AND($B$22="Sim",A191=$B$23),$B$37,0)</x:f>
        <x:v>0</x:v>
      </x:c>
      <x:c r="F191" s="141" t="n">
        <x:f>IF(AND($B$22="Sim",A191=$B$24),$B$27,0)</x:f>
        <x:v>0</x:v>
      </x:c>
      <x:c r="G191" s="141" t="n">
        <x:f>IF(AND($B$22="Sim",A191=$B$23),$B$35,0)</x:f>
        <x:v>0</x:v>
      </x:c>
      <x:c r="H191" s="141" t="n">
        <x:f>IF(AND($B$22="Sim",A191=$B$23),$B$36,0)</x:f>
        <x:v>0</x:v>
      </x:c>
      <x:c r="I191" s="141" t="n">
        <x:f>IF(OR($B$22&lt;&gt;"Sim",A191&gt;=$B$23+$B$31-1),0,(I192+C192)/(1+$B$9))</x:f>
        <x:v>87891.24622747606</x:v>
      </x:c>
      <x:c r="J191" s="140" t="str">
        <x:f>IF($B$22&lt;&gt;"Sim","Desativada",IF(A191&lt;$B$23,"Antes da compra",IF(A191&lt;$B$23+$B$31,"Parcelas restantes","Encerrado")))</x:f>
        <x:v>Parcelas restantes</x:v>
      </x:c>
      <x:c r="K191" s="141" t="n">
        <x:f>IF(C191&gt;0,C191/(1+$B$9)^A191,0)</x:f>
        <x:v>624.6546901024122</x:v>
      </x:c>
    </x:row>
    <x:row r="192">
      <x:c r="A192" s="142" t="n">
        <x:v>138</x:v>
      </x:c>
      <x:c r="B192" s="179" t="n">
        <x:f>EDATE($B$5,A192-1)</x:f>
        <x:v>50710</x:v>
      </x:c>
      <x:c r="C192" s="141" t="n">
        <x:f>IF(AND($B$22="Sim",A192&gt;=$B$23,A192&lt;$B$23+$B$31),$B$32*D192,0)</x:f>
        <x:v>2277.958270002511</x:v>
      </x:c>
      <x:c r="D192" s="180" t="n">
        <x:f>IF(A192&lt;$B$23,1,(1+$B$33)^INT((A192-$B$23)/12))</x:f>
        <x:v>1.898298558335426</x:v>
      </x:c>
      <x:c r="E192" s="141" t="n">
        <x:f>IF(AND($B$22="Sim",A192=$B$23),$B$37,0)</x:f>
        <x:v>0</x:v>
      </x:c>
      <x:c r="F192" s="141" t="n">
        <x:f>IF(AND($B$22="Sim",A192=$B$24),$B$27,0)</x:f>
        <x:v>0</x:v>
      </x:c>
      <x:c r="G192" s="141" t="n">
        <x:f>IF(AND($B$22="Sim",A192=$B$23),$B$35,0)</x:f>
        <x:v>0</x:v>
      </x:c>
      <x:c r="H192" s="141" t="n">
        <x:f>IF(AND($B$22="Sim",A192=$B$23),$B$36,0)</x:f>
        <x:v>0</x:v>
      </x:c>
      <x:c r="I192" s="141" t="n">
        <x:f>IF(OR($B$22&lt;&gt;"Sim",A192&gt;=$B$23+$B$31-1),0,(I193+C193)/(1+$B$9))</x:f>
        <x:v>86447.26979368852</x:v>
      </x:c>
      <x:c r="J192" s="140" t="str">
        <x:f>IF($B$22&lt;&gt;"Sim","Desativada",IF(A192&lt;$B$23,"Antes da compra",IF(A192&lt;$B$23+$B$31,"Parcelas restantes","Encerrado")))</x:f>
        <x:v>Parcelas restantes</x:v>
      </x:c>
      <x:c r="K192" s="141" t="n">
        <x:f>IF(C192&gt;0,C192/(1+$B$9)^A192,0)</x:f>
        <x:v>618.7831845924129</x:v>
      </x:c>
    </x:row>
    <x:row r="193">
      <x:c r="A193" s="142" t="n">
        <x:v>139</x:v>
      </x:c>
      <x:c r="B193" s="179" t="n">
        <x:f>EDATE($B$5,A193-1)</x:f>
        <x:v>50740</x:v>
      </x:c>
      <x:c r="C193" s="141" t="n">
        <x:f>IF(AND($B$22="Sim",A193&gt;=$B$23,A193&lt;$B$23+$B$31),$B$32*D193,0)</x:f>
        <x:v>2277.958270002511</x:v>
      </x:c>
      <x:c r="D193" s="180" t="n">
        <x:f>IF(A193&lt;$B$23,1,(1+$B$33)^INT((A193-$B$23)/12))</x:f>
        <x:v>1.898298558335426</x:v>
      </x:c>
      <x:c r="E193" s="141" t="n">
        <x:f>IF(AND($B$22="Sim",A193=$B$23),$B$37,0)</x:f>
        <x:v>0</x:v>
      </x:c>
      <x:c r="F193" s="141" t="n">
        <x:f>IF(AND($B$22="Sim",A193=$B$24),$B$27,0)</x:f>
        <x:v>0</x:v>
      </x:c>
      <x:c r="G193" s="141" t="n">
        <x:f>IF(AND($B$22="Sim",A193=$B$23),$B$35,0)</x:f>
        <x:v>0</x:v>
      </x:c>
      <x:c r="H193" s="141" t="n">
        <x:f>IF(AND($B$22="Sim",A193=$B$23),$B$36,0)</x:f>
        <x:v>0</x:v>
      </x:c>
      <x:c r="I193" s="141" t="n">
        <x:f>IF(OR($B$22&lt;&gt;"Sim",A193&gt;=$B$23+$B$31-1),0,(I194+C194)/(1+$B$9))</x:f>
        <x:v>84989.59176651837</x:v>
      </x:c>
      <x:c r="J193" s="140" t="str">
        <x:f>IF($B$22&lt;&gt;"Sim","Desativada",IF(A193&lt;$B$23,"Antes da compra",IF(A193&lt;$B$23+$B$31,"Parcelas restantes","Encerrado")))</x:f>
        <x:v>Parcelas restantes</x:v>
      </x:c>
      <x:c r="K193" s="141" t="n">
        <x:f>IF(C193&gt;0,C193/(1+$B$9)^A193,0)</x:f>
        <x:v>612.9668688976832</x:v>
      </x:c>
    </x:row>
    <x:row r="194">
      <x:c r="A194" s="142" t="n">
        <x:v>140</x:v>
      </x:c>
      <x:c r="B194" s="179" t="n">
        <x:f>EDATE($B$5,A194-1)</x:f>
        <x:v>50771</x:v>
      </x:c>
      <x:c r="C194" s="141" t="n">
        <x:f>IF(AND($B$22="Sim",A194&gt;=$B$23,A194&lt;$B$23+$B$31),$B$32*D194,0)</x:f>
        <x:v>2277.958270002511</x:v>
      </x:c>
      <x:c r="D194" s="180" t="n">
        <x:f>IF(A194&lt;$B$23,1,(1+$B$33)^INT((A194-$B$23)/12))</x:f>
        <x:v>1.898298558335426</x:v>
      </x:c>
      <x:c r="E194" s="141" t="n">
        <x:f>IF(AND($B$22="Sim",A194=$B$23),$B$37,0)</x:f>
        <x:v>0</x:v>
      </x:c>
      <x:c r="F194" s="141" t="n">
        <x:f>IF(AND($B$22="Sim",A194=$B$24),$B$27,0)</x:f>
        <x:v>0</x:v>
      </x:c>
      <x:c r="G194" s="141" t="n">
        <x:f>IF(AND($B$22="Sim",A194=$B$23),$B$35,0)</x:f>
        <x:v>0</x:v>
      </x:c>
      <x:c r="H194" s="141" t="n">
        <x:f>IF(AND($B$22="Sim",A194=$B$23),$B$36,0)</x:f>
        <x:v>0</x:v>
      </x:c>
      <x:c r="I194" s="141" t="n">
        <x:f>IF(OR($B$22&lt;&gt;"Sim",A194&gt;=$B$23+$B$31-1),0,(I195+C195)/(1+$B$9))</x:f>
        <x:v>83518.08213438309</x:v>
      </x:c>
      <x:c r="J194" s="140" t="str">
        <x:f>IF($B$22&lt;&gt;"Sim","Desativada",IF(A194&lt;$B$23,"Antes da compra",IF(A194&lt;$B$23+$B$31,"Parcelas restantes","Encerrado")))</x:f>
        <x:v>Parcelas restantes</x:v>
      </x:c>
      <x:c r="K194" s="141" t="n">
        <x:f>IF(C194&gt;0,C194/(1+$B$9)^A194,0)</x:f>
        <x:v>607.2052242559216</x:v>
      </x:c>
    </x:row>
    <x:row r="195">
      <x:c r="A195" s="142" t="n">
        <x:v>141</x:v>
      </x:c>
      <x:c r="B195" s="179" t="n">
        <x:f>EDATE($B$5,A195-1)</x:f>
        <x:v>50802</x:v>
      </x:c>
      <x:c r="C195" s="141" t="n">
        <x:f>IF(AND($B$22="Sim",A195&gt;=$B$23,A195&lt;$B$23+$B$31),$B$32*D195,0)</x:f>
        <x:v>2277.958270002511</x:v>
      </x:c>
      <x:c r="D195" s="180" t="n">
        <x:f>IF(A195&lt;$B$23,1,(1+$B$33)^INT((A195-$B$23)/12))</x:f>
        <x:v>1.898298558335426</x:v>
      </x:c>
      <x:c r="E195" s="141" t="n">
        <x:f>IF(AND($B$22="Sim",A195=$B$23),$B$37,0)</x:f>
        <x:v>0</x:v>
      </x:c>
      <x:c r="F195" s="141" t="n">
        <x:f>IF(AND($B$22="Sim",A195=$B$24),$B$27,0)</x:f>
        <x:v>0</x:v>
      </x:c>
      <x:c r="G195" s="141" t="n">
        <x:f>IF(AND($B$22="Sim",A195=$B$23),$B$35,0)</x:f>
        <x:v>0</x:v>
      </x:c>
      <x:c r="H195" s="141" t="n">
        <x:f>IF(AND($B$22="Sim",A195=$B$23),$B$36,0)</x:f>
        <x:v>0</x:v>
      </x:c>
      <x:c r="I195" s="141" t="n">
        <x:f>IF(OR($B$22&lt;&gt;"Sim",A195&gt;=$B$23+$B$31-1),0,(I196+C196)/(1+$B$9))</x:f>
        <x:v>82032.60965204725</x:v>
      </x:c>
      <x:c r="J195" s="140" t="str">
        <x:f>IF($B$22&lt;&gt;"Sim","Desativada",IF(A195&lt;$B$23,"Antes da compra",IF(A195&lt;$B$23+$B$31,"Parcelas restantes","Encerrado")))</x:f>
        <x:v>Parcelas restantes</x:v>
      </x:c>
      <x:c r="K195" s="141" t="n">
        <x:f>IF(C195&gt;0,C195/(1+$B$9)^A195,0)</x:f>
        <x:v>601.4977367809865</x:v>
      </x:c>
    </x:row>
    <x:row r="196">
      <x:c r="A196" s="142" t="n">
        <x:v>142</x:v>
      </x:c>
      <x:c r="B196" s="179" t="n">
        <x:f>EDATE($B$5,A196-1)</x:f>
        <x:v>50830</x:v>
      </x:c>
      <x:c r="C196" s="141" t="n">
        <x:f>IF(AND($B$22="Sim",A196&gt;=$B$23,A196&lt;$B$23+$B$31),$B$32*D196,0)</x:f>
        <x:v>2277.958270002511</x:v>
      </x:c>
      <x:c r="D196" s="180" t="n">
        <x:f>IF(A196&lt;$B$23,1,(1+$B$33)^INT((A196-$B$23)/12))</x:f>
        <x:v>1.898298558335426</x:v>
      </x:c>
      <x:c r="E196" s="141" t="n">
        <x:f>IF(AND($B$22="Sim",A196=$B$23),$B$37,0)</x:f>
        <x:v>0</x:v>
      </x:c>
      <x:c r="F196" s="141" t="n">
        <x:f>IF(AND($B$22="Sim",A196=$B$24),$B$27,0)</x:f>
        <x:v>0</x:v>
      </x:c>
      <x:c r="G196" s="141" t="n">
        <x:f>IF(AND($B$22="Sim",A196=$B$23),$B$35,0)</x:f>
        <x:v>0</x:v>
      </x:c>
      <x:c r="H196" s="141" t="n">
        <x:f>IF(AND($B$22="Sim",A196=$B$23),$B$36,0)</x:f>
        <x:v>0</x:v>
      </x:c>
      <x:c r="I196" s="141" t="n">
        <x:f>IF(OR($B$22&lt;&gt;"Sim",A196&gt;=$B$23+$B$31-1),0,(I197+C197)/(1+$B$9))</x:f>
        <x:v>80533.0418289165</x:v>
      </x:c>
      <x:c r="J196" s="140" t="str">
        <x:f>IF($B$22&lt;&gt;"Sim","Desativada",IF(A196&lt;$B$23,"Antes da compra",IF(A196&lt;$B$23+$B$31,"Parcelas restantes","Encerrado")))</x:f>
        <x:v>Parcelas restantes</x:v>
      </x:c>
      <x:c r="K196" s="141" t="n">
        <x:f>IF(C196&gt;0,C196/(1+$B$9)^A196,0)</x:f>
        <x:v>595.843897417061</x:v>
      </x:c>
    </x:row>
    <x:row r="197">
      <x:c r="A197" s="142" t="n">
        <x:v>143</x:v>
      </x:c>
      <x:c r="B197" s="179" t="n">
        <x:f>EDATE($B$5,A197-1)</x:f>
        <x:v>50861</x:v>
      </x:c>
      <x:c r="C197" s="141" t="n">
        <x:f>IF(AND($B$22="Sim",A197&gt;=$B$23,A197&lt;$B$23+$B$31),$B$32*D197,0)</x:f>
        <x:v>2277.958270002511</x:v>
      </x:c>
      <x:c r="D197" s="180" t="n">
        <x:f>IF(A197&lt;$B$23,1,(1+$B$33)^INT((A197-$B$23)/12))</x:f>
        <x:v>1.898298558335426</x:v>
      </x:c>
      <x:c r="E197" s="141" t="n">
        <x:f>IF(AND($B$22="Sim",A197=$B$23),$B$37,0)</x:f>
        <x:v>0</x:v>
      </x:c>
      <x:c r="F197" s="141" t="n">
        <x:f>IF(AND($B$22="Sim",A197=$B$24),$B$27,0)</x:f>
        <x:v>0</x:v>
      </x:c>
      <x:c r="G197" s="141" t="n">
        <x:f>IF(AND($B$22="Sim",A197=$B$23),$B$35,0)</x:f>
        <x:v>0</x:v>
      </x:c>
      <x:c r="H197" s="141" t="n">
        <x:f>IF(AND($B$22="Sim",A197=$B$23),$B$36,0)</x:f>
        <x:v>0</x:v>
      </x:c>
      <x:c r="I197" s="141" t="n">
        <x:f>IF(OR($B$22&lt;&gt;"Sim",A197&gt;=$B$23+$B$31-1),0,(I198+C198)/(1+$B$9))</x:f>
        <x:v>79019.2449172207</x:v>
      </x:c>
      <x:c r="J197" s="140" t="str">
        <x:f>IF($B$22&lt;&gt;"Sim","Desativada",IF(A197&lt;$B$23,"Antes da compra",IF(A197&lt;$B$23+$B$31,"Parcelas restantes","Encerrado")))</x:f>
        <x:v>Parcelas restantes</x:v>
      </x:c>
      <x:c r="K197" s="141" t="n">
        <x:f>IF(C197&gt;0,C197/(1+$B$9)^A197,0)</x:f>
        <x:v>590.2432018932507</x:v>
      </x:c>
    </x:row>
    <x:row r="198">
      <x:c r="A198" s="142" t="n">
        <x:v>144</x:v>
      </x:c>
      <x:c r="B198" s="179" t="n">
        <x:f>EDATE($B$5,A198-1)</x:f>
        <x:v>50891</x:v>
      </x:c>
      <x:c r="C198" s="141" t="n">
        <x:f>IF(AND($B$22="Sim",A198&gt;=$B$23,A198&lt;$B$23+$B$31),$B$32*D198,0)</x:f>
        <x:v>2277.958270002511</x:v>
      </x:c>
      <x:c r="D198" s="180" t="n">
        <x:f>IF(A198&lt;$B$23,1,(1+$B$33)^INT((A198-$B$23)/12))</x:f>
        <x:v>1.898298558335426</x:v>
      </x:c>
      <x:c r="E198" s="141" t="n">
        <x:f>IF(AND($B$22="Sim",A198=$B$23),$B$37,0)</x:f>
        <x:v>0</x:v>
      </x:c>
      <x:c r="F198" s="141" t="n">
        <x:f>IF(AND($B$22="Sim",A198=$B$24),$B$27,0)</x:f>
        <x:v>0</x:v>
      </x:c>
      <x:c r="G198" s="141" t="n">
        <x:f>IF(AND($B$22="Sim",A198=$B$23),$B$35,0)</x:f>
        <x:v>0</x:v>
      </x:c>
      <x:c r="H198" s="141" t="n">
        <x:f>IF(AND($B$22="Sim",A198=$B$23),$B$36,0)</x:f>
        <x:v>0</x:v>
      </x:c>
      <x:c r="I198" s="141" t="n">
        <x:f>IF(OR($B$22&lt;&gt;"Sim",A198&gt;=$B$23+$B$31-1),0,(I199+C199)/(1+$B$9))</x:f>
        <x:v>77491.0839000848</x:v>
      </x:c>
      <x:c r="J198" s="140" t="str">
        <x:f>IF($B$22&lt;&gt;"Sim","Desativada",IF(A198&lt;$B$23,"Antes da compra",IF(A198&lt;$B$23+$B$31,"Parcelas restantes","Encerrado")))</x:f>
        <x:v>Parcelas restantes</x:v>
      </x:c>
      <x:c r="K198" s="141" t="n">
        <x:f>IF(C198&gt;0,C198/(1+$B$9)^A198,0)</x:f>
        <x:v>584.6951506786066</x:v>
      </x:c>
    </x:row>
    <x:row r="199">
      <x:c r="A199" s="142" t="n">
        <x:v>145</x:v>
      </x:c>
      <x:c r="B199" s="179" t="n">
        <x:f>EDATE($B$5,A199-1)</x:f>
        <x:v>50922</x:v>
      </x:c>
      <x:c r="C199" s="141" t="n">
        <x:f>IF(AND($B$22="Sim",A199&gt;=$B$23,A199&lt;$B$23+$B$31),$B$32*D199,0)</x:f>
        <x:v>2414.6357662026617</x:v>
      </x:c>
      <x:c r="D199" s="180" t="n">
        <x:f>IF(A199&lt;$B$23,1,(1+$B$33)^INT((A199-$B$23)/12))</x:f>
        <x:v>2.0121964718355514</x:v>
      </x:c>
      <x:c r="E199" s="141" t="n">
        <x:f>IF(AND($B$22="Sim",A199=$B$23),$B$37,0)</x:f>
        <x:v>0</x:v>
      </x:c>
      <x:c r="F199" s="141" t="n">
        <x:f>IF(AND($B$22="Sim",A199=$B$24),$B$27,0)</x:f>
        <x:v>0</x:v>
      </x:c>
      <x:c r="G199" s="141" t="n">
        <x:f>IF(AND($B$22="Sim",A199=$B$23),$B$35,0)</x:f>
        <x:v>0</x:v>
      </x:c>
      <x:c r="H199" s="141" t="n">
        <x:f>IF(AND($B$22="Sim",A199=$B$23),$B$36,0)</x:f>
        <x:v>0</x:v>
      </x:c>
      <x:c r="I199" s="141" t="n">
        <x:f>IF(OR($B$22&lt;&gt;"Sim",A199&gt;=$B$23+$B$31-1),0,(I200+C200)/(1+$B$9))</x:f>
        <x:v>75811.74498328645</x:v>
      </x:c>
      <x:c r="J199" s="140" t="str">
        <x:f>IF($B$22&lt;&gt;"Sim","Desativada",IF(A199&lt;$B$23,"Antes da compra",IF(A199&lt;$B$23+$B$31,"Parcelas restantes","Encerrado")))</x:f>
        <x:v>Parcelas restantes</x:v>
      </x:c>
      <x:c r="K199" s="141" t="n">
        <x:f>IF(C199&gt;0,C199/(1+$B$9)^A199,0)</x:f>
        <x:v>613.9512038738262</x:v>
      </x:c>
    </x:row>
    <x:row r="200">
      <x:c r="A200" s="142" t="n">
        <x:v>146</x:v>
      </x:c>
      <x:c r="B200" s="179" t="n">
        <x:f>EDATE($B$5,A200-1)</x:f>
        <x:v>50952</x:v>
      </x:c>
      <x:c r="C200" s="141" t="n">
        <x:f>IF(AND($B$22="Sim",A200&gt;=$B$23,A200&lt;$B$23+$B$31),$B$32*D200,0)</x:f>
        <x:v>2414.6357662026617</x:v>
      </x:c>
      <x:c r="D200" s="180" t="n">
        <x:f>IF(A200&lt;$B$23,1,(1+$B$33)^INT((A200-$B$23)/12))</x:f>
        <x:v>2.0121964718355514</x:v>
      </x:c>
      <x:c r="E200" s="141" t="n">
        <x:f>IF(AND($B$22="Sim",A200=$B$23),$B$37,0)</x:f>
        <x:v>0</x:v>
      </x:c>
      <x:c r="F200" s="141" t="n">
        <x:f>IF(AND($B$22="Sim",A200=$B$24),$B$27,0)</x:f>
        <x:v>0</x:v>
      </x:c>
      <x:c r="G200" s="141" t="n">
        <x:f>IF(AND($B$22="Sim",A200=$B$23),$B$35,0)</x:f>
        <x:v>0</x:v>
      </x:c>
      <x:c r="H200" s="141" t="n">
        <x:f>IF(AND($B$22="Sim",A200=$B$23),$B$36,0)</x:f>
        <x:v>0</x:v>
      </x:c>
      <x:c r="I200" s="141" t="n">
        <x:f>IF(OR($B$22&lt;&gt;"Sim",A200&gt;=$B$23+$B$31-1),0,(I201+C201)/(1+$B$9))</x:f>
        <x:v>74116.47116723961</x:v>
      </x:c>
      <x:c r="J200" s="140" t="str">
        <x:f>IF($B$22&lt;&gt;"Sim","Desativada",IF(A200&lt;$B$23,"Antes da compra",IF(A200&lt;$B$23+$B$31,"Parcelas restantes","Encerrado")))</x:f>
        <x:v>Parcelas restantes</x:v>
      </x:c>
      <x:c r="K200" s="141" t="n">
        <x:f>IF(C200&gt;0,C200/(1+$B$9)^A200,0)</x:f>
        <x:v>608.1803068749981</x:v>
      </x:c>
    </x:row>
    <x:row r="201">
      <x:c r="A201" s="142" t="n">
        <x:v>147</x:v>
      </x:c>
      <x:c r="B201" s="179" t="n">
        <x:f>EDATE($B$5,A201-1)</x:f>
        <x:v>50983</x:v>
      </x:c>
      <x:c r="C201" s="141" t="n">
        <x:f>IF(AND($B$22="Sim",A201&gt;=$B$23,A201&lt;$B$23+$B$31),$B$32*D201,0)</x:f>
        <x:v>2414.6357662026617</x:v>
      </x:c>
      <x:c r="D201" s="180" t="n">
        <x:f>IF(A201&lt;$B$23,1,(1+$B$33)^INT((A201-$B$23)/12))</x:f>
        <x:v>2.0121964718355514</x:v>
      </x:c>
      <x:c r="E201" s="141" t="n">
        <x:f>IF(AND($B$22="Sim",A201=$B$23),$B$37,0)</x:f>
        <x:v>0</x:v>
      </x:c>
      <x:c r="F201" s="141" t="n">
        <x:f>IF(AND($B$22="Sim",A201=$B$24),$B$27,0)</x:f>
        <x:v>0</x:v>
      </x:c>
      <x:c r="G201" s="141" t="n">
        <x:f>IF(AND($B$22="Sim",A201=$B$23),$B$35,0)</x:f>
        <x:v>0</x:v>
      </x:c>
      <x:c r="H201" s="141" t="n">
        <x:f>IF(AND($B$22="Sim",A201=$B$23),$B$36,0)</x:f>
        <x:v>0</x:v>
      </x:c>
      <x:c r="I201" s="141" t="n">
        <x:f>IF(OR($B$22&lt;&gt;"Sim",A201&gt;=$B$23+$B$31-1),0,(I202+C202)/(1+$B$9))</x:f>
        <x:v>72405.11124898489</x:v>
      </x:c>
      <x:c r="J201" s="140" t="str">
        <x:f>IF($B$22&lt;&gt;"Sim","Desativada",IF(A201&lt;$B$23,"Antes da compra",IF(A201&lt;$B$23+$B$31,"Parcelas restantes","Encerrado")))</x:f>
        <x:v>Parcelas restantes</x:v>
      </x:c>
      <x:c r="K201" s="141" t="n">
        <x:f>IF(C201&gt;0,C201/(1+$B$9)^A201,0)</x:f>
        <x:v>602.4636540114711</x:v>
      </x:c>
    </x:row>
    <x:row r="202">
      <x:c r="A202" s="142" t="n">
        <x:v>148</x:v>
      </x:c>
      <x:c r="B202" s="179" t="n">
        <x:f>EDATE($B$5,A202-1)</x:f>
        <x:v>51014</x:v>
      </x:c>
      <x:c r="C202" s="141" t="n">
        <x:f>IF(AND($B$22="Sim",A202&gt;=$B$23,A202&lt;$B$23+$B$31),$B$32*D202,0)</x:f>
        <x:v>2414.6357662026617</x:v>
      </x:c>
      <x:c r="D202" s="180" t="n">
        <x:f>IF(A202&lt;$B$23,1,(1+$B$33)^INT((A202-$B$23)/12))</x:f>
        <x:v>2.0121964718355514</x:v>
      </x:c>
      <x:c r="E202" s="141" t="n">
        <x:f>IF(AND($B$22="Sim",A202=$B$23),$B$37,0)</x:f>
        <x:v>0</x:v>
      </x:c>
      <x:c r="F202" s="141" t="n">
        <x:f>IF(AND($B$22="Sim",A202=$B$24),$B$27,0)</x:f>
        <x:v>0</x:v>
      </x:c>
      <x:c r="G202" s="141" t="n">
        <x:f>IF(AND($B$22="Sim",A202=$B$23),$B$35,0)</x:f>
        <x:v>0</x:v>
      </x:c>
      <x:c r="H202" s="141" t="n">
        <x:f>IF(AND($B$22="Sim",A202=$B$23),$B$36,0)</x:f>
        <x:v>0</x:v>
      </x:c>
      <x:c r="I202" s="141" t="n">
        <x:f>IF(OR($B$22&lt;&gt;"Sim",A202&gt;=$B$23+$B$31-1),0,(I203+C203)/(1+$B$9))</x:f>
        <x:v>70677.5125908293</x:v>
      </x:c>
      <x:c r="J202" s="140" t="str">
        <x:f>IF($B$22&lt;&gt;"Sim","Desativada",IF(A202&lt;$B$23,"Antes da compra",IF(A202&lt;$B$23+$B$31,"Parcelas restantes","Encerrado")))</x:f>
        <x:v>Parcelas restantes</x:v>
      </x:c>
      <x:c r="K202" s="141" t="n">
        <x:f>IF(C202&gt;0,C202/(1+$B$9)^A202,0)</x:f>
        <x:v>596.8007354099591</x:v>
      </x:c>
    </x:row>
    <x:row r="203">
      <x:c r="A203" s="142" t="n">
        <x:v>149</x:v>
      </x:c>
      <x:c r="B203" s="179" t="n">
        <x:f>EDATE($B$5,A203-1)</x:f>
        <x:v>51044</x:v>
      </x:c>
      <x:c r="C203" s="141" t="n">
        <x:f>IF(AND($B$22="Sim",A203&gt;=$B$23,A203&lt;$B$23+$B$31),$B$32*D203,0)</x:f>
        <x:v>2414.6357662026617</x:v>
      </x:c>
      <x:c r="D203" s="180" t="n">
        <x:f>IF(A203&lt;$B$23,1,(1+$B$33)^INT((A203-$B$23)/12))</x:f>
        <x:v>2.0121964718355514</x:v>
      </x:c>
      <x:c r="E203" s="141" t="n">
        <x:f>IF(AND($B$22="Sim",A203=$B$23),$B$37,0)</x:f>
        <x:v>0</x:v>
      </x:c>
      <x:c r="F203" s="141" t="n">
        <x:f>IF(AND($B$22="Sim",A203=$B$24),$B$27,0)</x:f>
        <x:v>0</x:v>
      </x:c>
      <x:c r="G203" s="141" t="n">
        <x:f>IF(AND($B$22="Sim",A203=$B$23),$B$35,0)</x:f>
        <x:v>0</x:v>
      </x:c>
      <x:c r="H203" s="141" t="n">
        <x:f>IF(AND($B$22="Sim",A203=$B$23),$B$36,0)</x:f>
        <x:v>0</x:v>
      </x:c>
      <x:c r="I203" s="141" t="n">
        <x:f>IF(OR($B$22&lt;&gt;"Sim",A203&gt;=$B$23+$B$31-1),0,(I204+C204)/(1+$B$9))</x:f>
        <x:v>68933.52110673241</x:v>
      </x:c>
      <x:c r="J203" s="140" t="str">
        <x:f>IF($B$22&lt;&gt;"Sim","Desativada",IF(A203&lt;$B$23,"Antes da compra",IF(A203&lt;$B$23+$B$31,"Parcelas restantes","Encerrado")))</x:f>
        <x:v>Parcelas restantes</x:v>
      </x:c>
      <x:c r="K203" s="141" t="n">
        <x:f>IF(C203&gt;0,C203/(1+$B$9)^A203,0)</x:f>
        <x:v>591.1910459897824</x:v>
      </x:c>
    </x:row>
    <x:row r="204">
      <x:c r="A204" s="142" t="n">
        <x:v>150</x:v>
      </x:c>
      <x:c r="B204" s="179" t="n">
        <x:f>EDATE($B$5,A204-1)</x:f>
        <x:v>51075</x:v>
      </x:c>
      <x:c r="C204" s="141" t="n">
        <x:f>IF(AND($B$22="Sim",A204&gt;=$B$23,A204&lt;$B$23+$B$31),$B$32*D204,0)</x:f>
        <x:v>2414.6357662026617</x:v>
      </x:c>
      <x:c r="D204" s="180" t="n">
        <x:f>IF(A204&lt;$B$23,1,(1+$B$33)^INT((A204-$B$23)/12))</x:f>
        <x:v>2.0121964718355514</x:v>
      </x:c>
      <x:c r="E204" s="141" t="n">
        <x:f>IF(AND($B$22="Sim",A204=$B$23),$B$37,0)</x:f>
        <x:v>0</x:v>
      </x:c>
      <x:c r="F204" s="141" t="n">
        <x:f>IF(AND($B$22="Sim",A204=$B$24),$B$27,0)</x:f>
        <x:v>0</x:v>
      </x:c>
      <x:c r="G204" s="141" t="n">
        <x:f>IF(AND($B$22="Sim",A204=$B$23),$B$35,0)</x:f>
        <x:v>0</x:v>
      </x:c>
      <x:c r="H204" s="141" t="n">
        <x:f>IF(AND($B$22="Sim",A204=$B$23),$B$36,0)</x:f>
        <x:v>0</x:v>
      </x:c>
      <x:c r="I204" s="141" t="n">
        <x:f>IF(OR($B$22&lt;&gt;"Sim",A204&gt;=$B$23+$B$31-1),0,(I205+C205)/(1+$B$9))</x:f>
        <x:v>67172.98124856324</x:v>
      </x:c>
      <x:c r="J204" s="140" t="str">
        <x:f>IF($B$22&lt;&gt;"Sim","Desativada",IF(A204&lt;$B$23,"Antes da compra",IF(A204&lt;$B$23+$B$31,"Parcelas restantes","Encerrado")))</x:f>
        <x:v>Parcelas restantes</x:v>
      </x:c>
      <x:c r="K204" s="141" t="n">
        <x:f>IF(C204&gt;0,C204/(1+$B$9)^A204,0)</x:f>
        <x:v>585.6340854178189</x:v>
      </x:c>
    </x:row>
    <x:row r="205">
      <x:c r="A205" s="142" t="n">
        <x:v>151</x:v>
      </x:c>
      <x:c r="B205" s="179" t="n">
        <x:f>EDATE($B$5,A205-1)</x:f>
        <x:v>51105</x:v>
      </x:c>
      <x:c r="C205" s="141" t="n">
        <x:f>IF(AND($B$22="Sim",A205&gt;=$B$23,A205&lt;$B$23+$B$31),$B$32*D205,0)</x:f>
        <x:v>2414.6357662026617</x:v>
      </x:c>
      <x:c r="D205" s="180" t="n">
        <x:f>IF(A205&lt;$B$23,1,(1+$B$33)^INT((A205-$B$23)/12))</x:f>
        <x:v>2.0121964718355514</x:v>
      </x:c>
      <x:c r="E205" s="141" t="n">
        <x:f>IF(AND($B$22="Sim",A205=$B$23),$B$37,0)</x:f>
        <x:v>0</x:v>
      </x:c>
      <x:c r="F205" s="141" t="n">
        <x:f>IF(AND($B$22="Sim",A205=$B$24),$B$27,0)</x:f>
        <x:v>0</x:v>
      </x:c>
      <x:c r="G205" s="141" t="n">
        <x:f>IF(AND($B$22="Sim",A205=$B$23),$B$35,0)</x:f>
        <x:v>0</x:v>
      </x:c>
      <x:c r="H205" s="141" t="n">
        <x:f>IF(AND($B$22="Sim",A205=$B$23),$B$36,0)</x:f>
        <x:v>0</x:v>
      </x:c>
      <x:c r="I205" s="141" t="n">
        <x:f>IF(OR($B$22&lt;&gt;"Sim",A205&gt;=$B$23+$B$31-1),0,(I206+C206)/(1+$B$9))</x:f>
        <x:v>65395.73599222683</x:v>
      </x:c>
      <x:c r="J205" s="140" t="str">
        <x:f>IF($B$22&lt;&gt;"Sim","Desativada",IF(A205&lt;$B$23,"Antes da compra",IF(A205&lt;$B$23+$B$31,"Parcelas restantes","Encerrado")))</x:f>
        <x:v>Parcelas restantes</x:v>
      </x:c>
      <x:c r="K205" s="141" t="n">
        <x:f>IF(C205&gt;0,C205/(1+$B$9)^A205,0)</x:f>
        <x:v>580.1293580638782</x:v>
      </x:c>
    </x:row>
    <x:row r="206">
      <x:c r="A206" s="142" t="n">
        <x:v>152</x:v>
      </x:c>
      <x:c r="B206" s="179" t="n">
        <x:f>EDATE($B$5,A206-1)</x:f>
        <x:v>51136</x:v>
      </x:c>
      <x:c r="C206" s="141" t="n">
        <x:f>IF(AND($B$22="Sim",A206&gt;=$B$23,A206&lt;$B$23+$B$31),$B$32*D206,0)</x:f>
        <x:v>2414.6357662026617</x:v>
      </x:c>
      <x:c r="D206" s="180" t="n">
        <x:f>IF(A206&lt;$B$23,1,(1+$B$33)^INT((A206-$B$23)/12))</x:f>
        <x:v>2.0121964718355514</x:v>
      </x:c>
      <x:c r="E206" s="141" t="n">
        <x:f>IF(AND($B$22="Sim",A206=$B$23),$B$37,0)</x:f>
        <x:v>0</x:v>
      </x:c>
      <x:c r="F206" s="141" t="n">
        <x:f>IF(AND($B$22="Sim",A206=$B$24),$B$27,0)</x:f>
        <x:v>0</x:v>
      </x:c>
      <x:c r="G206" s="141" t="n">
        <x:f>IF(AND($B$22="Sim",A206=$B$23),$B$35,0)</x:f>
        <x:v>0</x:v>
      </x:c>
      <x:c r="H206" s="141" t="n">
        <x:f>IF(AND($B$22="Sim",A206=$B$23),$B$36,0)</x:f>
        <x:v>0</x:v>
      </x:c>
      <x:c r="I206" s="141" t="n">
        <x:f>IF(OR($B$22&lt;&gt;"Sim",A206&gt;=$B$23+$B$31-1),0,(I207+C207)/(1+$B$9))</x:f>
        <x:v>63601.62682365907</x:v>
      </x:c>
      <x:c r="J206" s="140" t="str">
        <x:f>IF($B$22&lt;&gt;"Sim","Desativada",IF(A206&lt;$B$23,"Antes da compra",IF(A206&lt;$B$23+$B$31,"Parcelas restantes","Encerrado")))</x:f>
        <x:v>Parcelas restantes</x:v>
      </x:c>
      <x:c r="K206" s="141" t="n">
        <x:f>IF(C206&gt;0,C206/(1+$B$9)^A206,0)</x:f>
        <x:v>574.6763729564966</x:v>
      </x:c>
    </x:row>
    <x:row r="207">
      <x:c r="A207" s="142" t="n">
        <x:v>153</x:v>
      </x:c>
      <x:c r="B207" s="179" t="n">
        <x:f>EDATE($B$5,A207-1)</x:f>
        <x:v>51167</x:v>
      </x:c>
      <x:c r="C207" s="141" t="n">
        <x:f>IF(AND($B$22="Sim",A207&gt;=$B$23,A207&lt;$B$23+$B$31),$B$32*D207,0)</x:f>
        <x:v>2414.6357662026617</x:v>
      </x:c>
      <x:c r="D207" s="180" t="n">
        <x:f>IF(A207&lt;$B$23,1,(1+$B$33)^INT((A207-$B$23)/12))</x:f>
        <x:v>2.0121964718355514</x:v>
      </x:c>
      <x:c r="E207" s="141" t="n">
        <x:f>IF(AND($B$22="Sim",A207=$B$23),$B$37,0)</x:f>
        <x:v>0</x:v>
      </x:c>
      <x:c r="F207" s="141" t="n">
        <x:f>IF(AND($B$22="Sim",A207=$B$24),$B$27,0)</x:f>
        <x:v>0</x:v>
      </x:c>
      <x:c r="G207" s="141" t="n">
        <x:f>IF(AND($B$22="Sim",A207=$B$23),$B$35,0)</x:f>
        <x:v>0</x:v>
      </x:c>
      <x:c r="H207" s="141" t="n">
        <x:f>IF(AND($B$22="Sim",A207=$B$23),$B$36,0)</x:f>
        <x:v>0</x:v>
      </x:c>
      <x:c r="I207" s="141" t="n">
        <x:f>IF(OR($B$22&lt;&gt;"Sim",A207&gt;=$B$23+$B$31-1),0,(I208+C208)/(1+$B$9))</x:f>
        <x:v>61790.49372468873</x:v>
      </x:c>
      <x:c r="J207" s="140" t="str">
        <x:f>IF($B$22&lt;&gt;"Sim","Desativada",IF(A207&lt;$B$23,"Antes da compra",IF(A207&lt;$B$23+$B$31,"Parcelas restantes","Encerrado")))</x:f>
        <x:v>Parcelas restantes</x:v>
      </x:c>
      <x:c r="K207" s="141" t="n">
        <x:f>IF(C207&gt;0,C207/(1+$B$9)^A207,0)</x:f>
        <x:v>569.2746437391475</x:v>
      </x:c>
    </x:row>
    <x:row r="208">
      <x:c r="A208" s="142" t="n">
        <x:v>154</x:v>
      </x:c>
      <x:c r="B208" s="179" t="n">
        <x:f>EDATE($B$5,A208-1)</x:f>
        <x:v>51196</x:v>
      </x:c>
      <x:c r="C208" s="141" t="n">
        <x:f>IF(AND($B$22="Sim",A208&gt;=$B$23,A208&lt;$B$23+$B$31),$B$32*D208,0)</x:f>
        <x:v>2414.6357662026617</x:v>
      </x:c>
      <x:c r="D208" s="180" t="n">
        <x:f>IF(A208&lt;$B$23,1,(1+$B$33)^INT((A208-$B$23)/12))</x:f>
        <x:v>2.0121964718355514</x:v>
      </x:c>
      <x:c r="E208" s="141" t="n">
        <x:f>IF(AND($B$22="Sim",A208=$B$23),$B$37,0)</x:f>
        <x:v>0</x:v>
      </x:c>
      <x:c r="F208" s="141" t="n">
        <x:f>IF(AND($B$22="Sim",A208=$B$24),$B$27,0)</x:f>
        <x:v>0</x:v>
      </x:c>
      <x:c r="G208" s="141" t="n">
        <x:f>IF(AND($B$22="Sim",A208=$B$23),$B$35,0)</x:f>
        <x:v>0</x:v>
      </x:c>
      <x:c r="H208" s="141" t="n">
        <x:f>IF(AND($B$22="Sim",A208=$B$23),$B$36,0)</x:f>
        <x:v>0</x:v>
      </x:c>
      <x:c r="I208" s="141" t="n">
        <x:f>IF(OR($B$22&lt;&gt;"Sim",A208&gt;=$B$23+$B$31-1),0,(I209+C209)/(1+$B$9))</x:f>
        <x:v>59962.17515876529</x:v>
      </x:c>
      <x:c r="J208" s="140" t="str">
        <x:f>IF($B$22&lt;&gt;"Sim","Desativada",IF(A208&lt;$B$23,"Antes da compra",IF(A208&lt;$B$23+$B$31,"Parcelas restantes","Encerrado")))</x:f>
        <x:v>Parcelas restantes</x:v>
      </x:c>
      <x:c r="K208" s="141" t="n">
        <x:f>IF(C208&gt;0,C208/(1+$B$9)^A208,0)</x:f>
        <x:v>563.9236886268608</x:v>
      </x:c>
    </x:row>
    <x:row r="209">
      <x:c r="A209" s="142" t="n">
        <x:v>155</x:v>
      </x:c>
      <x:c r="B209" s="179" t="n">
        <x:f>EDATE($B$5,A209-1)</x:f>
        <x:v>51227</x:v>
      </x:c>
      <x:c r="C209" s="141" t="n">
        <x:f>IF(AND($B$22="Sim",A209&gt;=$B$23,A209&lt;$B$23+$B$31),$B$32*D209,0)</x:f>
        <x:v>2414.6357662026617</x:v>
      </x:c>
      <x:c r="D209" s="180" t="n">
        <x:f>IF(A209&lt;$B$23,1,(1+$B$33)^INT((A209-$B$23)/12))</x:f>
        <x:v>2.0121964718355514</x:v>
      </x:c>
      <x:c r="E209" s="141" t="n">
        <x:f>IF(AND($B$22="Sim",A209=$B$23),$B$37,0)</x:f>
        <x:v>0</x:v>
      </x:c>
      <x:c r="F209" s="141" t="n">
        <x:f>IF(AND($B$22="Sim",A209=$B$24),$B$27,0)</x:f>
        <x:v>0</x:v>
      </x:c>
      <x:c r="G209" s="141" t="n">
        <x:f>IF(AND($B$22="Sim",A209=$B$23),$B$35,0)</x:f>
        <x:v>0</x:v>
      </x:c>
      <x:c r="H209" s="141" t="n">
        <x:f>IF(AND($B$22="Sim",A209=$B$23),$B$36,0)</x:f>
        <x:v>0</x:v>
      </x:c>
      <x:c r="I209" s="141" t="n">
        <x:f>IF(OR($B$22&lt;&gt;"Sim",A209&gt;=$B$23+$B$31-1),0,(I210+C210)/(1+$B$9))</x:f>
        <x:v>58116.50805655135</x:v>
      </x:c>
      <x:c r="J209" s="140" t="str">
        <x:f>IF($B$22&lt;&gt;"Sim","Desativada",IF(A209&lt;$B$23,"Antes da compra",IF(A209&lt;$B$23+$B$31,"Parcelas restantes","Encerrado")))</x:f>
        <x:v>Parcelas restantes</x:v>
      </x:c>
      <x:c r="K209" s="141" t="n">
        <x:f>IF(C209&gt;0,C209/(1+$B$9)^A209,0)</x:f>
        <x:v>558.6230303632545</x:v>
      </x:c>
    </x:row>
    <x:row r="210">
      <x:c r="A210" s="142" t="n">
        <x:v>156</x:v>
      </x:c>
      <x:c r="B210" s="179" t="n">
        <x:f>EDATE($B$5,A210-1)</x:f>
        <x:v>51257</x:v>
      </x:c>
      <x:c r="C210" s="141" t="n">
        <x:f>IF(AND($B$22="Sim",A210&gt;=$B$23,A210&lt;$B$23+$B$31),$B$32*D210,0)</x:f>
        <x:v>2414.6357662026617</x:v>
      </x:c>
      <x:c r="D210" s="180" t="n">
        <x:f>IF(A210&lt;$B$23,1,(1+$B$33)^INT((A210-$B$23)/12))</x:f>
        <x:v>2.0121964718355514</x:v>
      </x:c>
      <x:c r="E210" s="141" t="n">
        <x:f>IF(AND($B$22="Sim",A210=$B$23),$B$37,0)</x:f>
        <x:v>0</x:v>
      </x:c>
      <x:c r="F210" s="141" t="n">
        <x:f>IF(AND($B$22="Sim",A210=$B$24),$B$27,0)</x:f>
        <x:v>0</x:v>
      </x:c>
      <x:c r="G210" s="141" t="n">
        <x:f>IF(AND($B$22="Sim",A210=$B$23),$B$35,0)</x:f>
        <x:v>0</x:v>
      </x:c>
      <x:c r="H210" s="141" t="n">
        <x:f>IF(AND($B$22="Sim",A210=$B$23),$B$36,0)</x:f>
        <x:v>0</x:v>
      </x:c>
      <x:c r="I210" s="141" t="n">
        <x:f>IF(OR($B$22&lt;&gt;"Sim",A210&gt;=$B$23+$B$31-1),0,(I211+C211)/(1+$B$9))</x:f>
        <x:v>56253.32780137833</x:v>
      </x:c>
      <x:c r="J210" s="140" t="str">
        <x:f>IF($B$22&lt;&gt;"Sim","Desativada",IF(A210&lt;$B$23,"Antes da compra",IF(A210&lt;$B$23+$B$31,"Parcelas restantes","Encerrado")))</x:f>
        <x:v>Parcelas restantes</x:v>
      </x:c>
      <x:c r="K210" s="141" t="n">
        <x:f>IF(C210&gt;0,C210/(1+$B$9)^A210,0)</x:f>
        <x:v>553.3721961779664</x:v>
      </x:c>
    </x:row>
    <x:row r="211">
      <x:c r="A211" s="142" t="n">
        <x:v>157</x:v>
      </x:c>
      <x:c r="B211" s="179" t="n">
        <x:f>EDATE($B$5,A211-1)</x:f>
        <x:v>51288</x:v>
      </x:c>
      <x:c r="C211" s="141" t="n">
        <x:f>IF(AND($B$22="Sim",A211&gt;=$B$23,A211&lt;$B$23+$B$31),$B$32*D211,0)</x:f>
        <x:v>2559.5139121748216</x:v>
      </x:c>
      <x:c r="D211" s="180" t="n">
        <x:f>IF(A211&lt;$B$23,1,(1+$B$33)^INT((A211-$B$23)/12))</x:f>
        <x:v>2.1329282601456847</x:v>
      </x:c>
      <x:c r="E211" s="141" t="n">
        <x:f>IF(AND($B$22="Sim",A211=$B$23),$B$37,0)</x:f>
        <x:v>0</x:v>
      </x:c>
      <x:c r="F211" s="141" t="n">
        <x:f>IF(AND($B$22="Sim",A211=$B$24),$B$27,0)</x:f>
        <x:v>0</x:v>
      </x:c>
      <x:c r="G211" s="141" t="n">
        <x:f>IF(AND($B$22="Sim",A211=$B$23),$B$35,0)</x:f>
        <x:v>0</x:v>
      </x:c>
      <x:c r="H211" s="141" t="n">
        <x:f>IF(AND($B$22="Sim",A211=$B$23),$B$36,0)</x:f>
        <x:v>0</x:v>
      </x:c>
      <x:c r="I211" s="141" t="n">
        <x:f>IF(OR($B$22&lt;&gt;"Sim",A211&gt;=$B$23+$B$31-1),0,(I212+C212)/(1+$B$9))</x:f>
        <x:v>54227.590068592006</x:v>
      </x:c>
      <x:c r="J211" s="140" t="str">
        <x:f>IF($B$22&lt;&gt;"Sim","Desativada",IF(A211&lt;$B$23,"Antes da compra",IF(A211&lt;$B$23+$B$31,"Parcelas restantes","Encerrado")))</x:f>
        <x:v>Parcelas restantes</x:v>
      </x:c>
      <x:c r="K211" s="141" t="n">
        <x:f>IF(C211&gt;0,C211/(1+$B$9)^A211,0)</x:f>
        <x:v>581.0609608091565</x:v>
      </x:c>
    </x:row>
    <x:row r="212">
      <x:c r="A212" s="142" t="n">
        <x:v>158</x:v>
      </x:c>
      <x:c r="B212" s="179" t="n">
        <x:f>EDATE($B$5,A212-1)</x:f>
        <x:v>51318</x:v>
      </x:c>
      <x:c r="C212" s="141" t="n">
        <x:f>IF(AND($B$22="Sim",A212&gt;=$B$23,A212&lt;$B$23+$B$31),$B$32*D212,0)</x:f>
        <x:v>2559.5139121748216</x:v>
      </x:c>
      <x:c r="D212" s="180" t="n">
        <x:f>IF(A212&lt;$B$23,1,(1+$B$33)^INT((A212-$B$23)/12))</x:f>
        <x:v>2.1329282601456847</x:v>
      </x:c>
      <x:c r="E212" s="141" t="n">
        <x:f>IF(AND($B$22="Sim",A212=$B$23),$B$37,0)</x:f>
        <x:v>0</x:v>
      </x:c>
      <x:c r="F212" s="141" t="n">
        <x:f>IF(AND($B$22="Sim",A212=$B$24),$B$27,0)</x:f>
        <x:v>0</x:v>
      </x:c>
      <x:c r="G212" s="141" t="n">
        <x:f>IF(AND($B$22="Sim",A212=$B$23),$B$35,0)</x:f>
        <x:v>0</x:v>
      </x:c>
      <x:c r="H212" s="141" t="n">
        <x:f>IF(AND($B$22="Sim",A212=$B$23),$B$36,0)</x:f>
        <x:v>0</x:v>
      </x:c>
      <x:c r="I212" s="141" t="n">
        <x:f>IF(OR($B$22&lt;&gt;"Sim",A212&gt;=$B$23+$B$31-1),0,(I213+C213)/(1+$B$9))</x:f>
        <x:v>52182.63052991951</x:v>
      </x:c>
      <x:c r="J212" s="140" t="str">
        <x:f>IF($B$22&lt;&gt;"Sim","Desativada",IF(A212&lt;$B$23,"Antes da compra",IF(A212&lt;$B$23+$B$31,"Parcelas restantes","Encerrado")))</x:f>
        <x:v>Parcelas restantes</x:v>
      </x:c>
      <x:c r="K212" s="141" t="n">
        <x:f>IF(C212&gt;0,C212/(1+$B$9)^A212,0)</x:f>
        <x:v>575.5992190066943</x:v>
      </x:c>
    </x:row>
    <x:row r="213">
      <x:c r="A213" s="142" t="n">
        <x:v>159</x:v>
      </x:c>
      <x:c r="B213" s="179" t="n">
        <x:f>EDATE($B$5,A213-1)</x:f>
        <x:v>51349</x:v>
      </x:c>
      <x:c r="C213" s="141" t="n">
        <x:f>IF(AND($B$22="Sim",A213&gt;=$B$23,A213&lt;$B$23+$B$31),$B$32*D213,0)</x:f>
        <x:v>2559.5139121748216</x:v>
      </x:c>
      <x:c r="D213" s="180" t="n">
        <x:f>IF(A213&lt;$B$23,1,(1+$B$33)^INT((A213-$B$23)/12))</x:f>
        <x:v>2.1329282601456847</x:v>
      </x:c>
      <x:c r="E213" s="141" t="n">
        <x:f>IF(AND($B$22="Sim",A213=$B$23),$B$37,0)</x:f>
        <x:v>0</x:v>
      </x:c>
      <x:c r="F213" s="141" t="n">
        <x:f>IF(AND($B$22="Sim",A213=$B$24),$B$27,0)</x:f>
        <x:v>0</x:v>
      </x:c>
      <x:c r="G213" s="141" t="n">
        <x:f>IF(AND($B$22="Sim",A213=$B$23),$B$35,0)</x:f>
        <x:v>0</x:v>
      </x:c>
      <x:c r="H213" s="141" t="n">
        <x:f>IF(AND($B$22="Sim",A213=$B$23),$B$36,0)</x:f>
        <x:v>0</x:v>
      </x:c>
      <x:c r="I213" s="141" t="n">
        <x:f>IF(OR($B$22&lt;&gt;"Sim",A213&gt;=$B$23+$B$31-1),0,(I214+C214)/(1+$B$9))</x:f>
        <x:v>50118.26679362494</x:v>
      </x:c>
      <x:c r="J213" s="140" t="str">
        <x:f>IF($B$22&lt;&gt;"Sim","Desativada",IF(A213&lt;$B$23,"Antes da compra",IF(A213&lt;$B$23+$B$31,"Parcelas restantes","Encerrado")))</x:f>
        <x:v>Parcelas restantes</x:v>
      </x:c>
      <x:c r="K213" s="141" t="n">
        <x:f>IF(C213&gt;0,C213/(1+$B$9)^A213,0)</x:f>
        <x:v>570.1888154037132</x:v>
      </x:c>
    </x:row>
    <x:row r="214">
      <x:c r="A214" s="142" t="n">
        <x:v>160</x:v>
      </x:c>
      <x:c r="B214" s="179" t="n">
        <x:f>EDATE($B$5,A214-1)</x:f>
        <x:v>51380</x:v>
      </x:c>
      <x:c r="C214" s="141" t="n">
        <x:f>IF(AND($B$22="Sim",A214&gt;=$B$23,A214&lt;$B$23+$B$31),$B$32*D214,0)</x:f>
        <x:v>2559.5139121748216</x:v>
      </x:c>
      <x:c r="D214" s="180" t="n">
        <x:f>IF(A214&lt;$B$23,1,(1+$B$33)^INT((A214-$B$23)/12))</x:f>
        <x:v>2.1329282601456847</x:v>
      </x:c>
      <x:c r="E214" s="141" t="n">
        <x:f>IF(AND($B$22="Sim",A214=$B$23),$B$37,0)</x:f>
        <x:v>0</x:v>
      </x:c>
      <x:c r="F214" s="141" t="n">
        <x:f>IF(AND($B$22="Sim",A214=$B$24),$B$27,0)</x:f>
        <x:v>0</x:v>
      </x:c>
      <x:c r="G214" s="141" t="n">
        <x:f>IF(AND($B$22="Sim",A214=$B$23),$B$35,0)</x:f>
        <x:v>0</x:v>
      </x:c>
      <x:c r="H214" s="141" t="n">
        <x:f>IF(AND($B$22="Sim",A214=$B$23),$B$36,0)</x:f>
        <x:v>0</x:v>
      </x:c>
      <x:c r="I214" s="141" t="n">
        <x:f>IF(OR($B$22&lt;&gt;"Sim",A214&gt;=$B$23+$B$31-1),0,(I215+C215)/(1+$B$9))</x:f>
        <x:v>48034.31473729502</x:v>
      </x:c>
      <x:c r="J214" s="140" t="str">
        <x:f>IF($B$22&lt;&gt;"Sim","Desativada",IF(A214&lt;$B$23,"Antes da compra",IF(A214&lt;$B$23+$B$31,"Parcelas restantes","Encerrado")))</x:f>
        <x:v>Parcelas restantes</x:v>
      </x:c>
      <x:c r="K214" s="141" t="n">
        <x:f>IF(C214&gt;0,C214/(1+$B$9)^A214,0)</x:f>
        <x:v>564.8292674415679</x:v>
      </x:c>
    </x:row>
    <x:row r="215">
      <x:c r="A215" s="142" t="n">
        <x:v>161</x:v>
      </x:c>
      <x:c r="B215" s="179" t="n">
        <x:f>EDATE($B$5,A215-1)</x:f>
        <x:v>51410</x:v>
      </x:c>
      <x:c r="C215" s="141" t="n">
        <x:f>IF(AND($B$22="Sim",A215&gt;=$B$23,A215&lt;$B$23+$B$31),$B$32*D215,0)</x:f>
        <x:v>2559.5139121748216</x:v>
      </x:c>
      <x:c r="D215" s="180" t="n">
        <x:f>IF(A215&lt;$B$23,1,(1+$B$33)^INT((A215-$B$23)/12))</x:f>
        <x:v>2.1329282601456847</x:v>
      </x:c>
      <x:c r="E215" s="141" t="n">
        <x:f>IF(AND($B$22="Sim",A215=$B$23),$B$37,0)</x:f>
        <x:v>0</x:v>
      </x:c>
      <x:c r="F215" s="141" t="n">
        <x:f>IF(AND($B$22="Sim",A215=$B$24),$B$27,0)</x:f>
        <x:v>0</x:v>
      </x:c>
      <x:c r="G215" s="141" t="n">
        <x:f>IF(AND($B$22="Sim",A215=$B$23),$B$35,0)</x:f>
        <x:v>0</x:v>
      </x:c>
      <x:c r="H215" s="141" t="n">
        <x:f>IF(AND($B$22="Sim",A215=$B$23),$B$36,0)</x:f>
        <x:v>0</x:v>
      </x:c>
      <x:c r="I215" s="141" t="n">
        <x:f>IF(OR($B$22&lt;&gt;"Sim",A215&gt;=$B$23+$B$31-1),0,(I216+C216)/(1+$B$9))</x:f>
        <x:v>45930.58849141698</x:v>
      </x:c>
      <x:c r="J215" s="140" t="str">
        <x:f>IF($B$22&lt;&gt;"Sim","Desativada",IF(A215&lt;$B$23,"Antes da compra",IF(A215&lt;$B$23+$B$31,"Parcelas restantes","Encerrado")))</x:f>
        <x:v>Parcelas restantes</x:v>
      </x:c>
      <x:c r="K215" s="141" t="n">
        <x:f>IF(C215&gt;0,C215/(1+$B$9)^A215,0)</x:f>
        <x:v>559.5200970974722</x:v>
      </x:c>
    </x:row>
    <x:row r="216">
      <x:c r="A216" s="142" t="n">
        <x:v>162</x:v>
      </x:c>
      <x:c r="B216" s="179" t="n">
        <x:f>EDATE($B$5,A216-1)</x:f>
        <x:v>51441</x:v>
      </x:c>
      <x:c r="C216" s="141" t="n">
        <x:f>IF(AND($B$22="Sim",A216&gt;=$B$23,A216&lt;$B$23+$B$31),$B$32*D216,0)</x:f>
        <x:v>2559.5139121748216</x:v>
      </x:c>
      <x:c r="D216" s="180" t="n">
        <x:f>IF(A216&lt;$B$23,1,(1+$B$33)^INT((A216-$B$23)/12))</x:f>
        <x:v>2.1329282601456847</x:v>
      </x:c>
      <x:c r="E216" s="141" t="n">
        <x:f>IF(AND($B$22="Sim",A216=$B$23),$B$37,0)</x:f>
        <x:v>0</x:v>
      </x:c>
      <x:c r="F216" s="141" t="n">
        <x:f>IF(AND($B$22="Sim",A216=$B$24),$B$27,0)</x:f>
        <x:v>0</x:v>
      </x:c>
      <x:c r="G216" s="141" t="n">
        <x:f>IF(AND($B$22="Sim",A216=$B$23),$B$35,0)</x:f>
        <x:v>0</x:v>
      </x:c>
      <x:c r="H216" s="141" t="n">
        <x:f>IF(AND($B$22="Sim",A216=$B$23),$B$36,0)</x:f>
        <x:v>0</x:v>
      </x:c>
      <x:c r="I216" s="141" t="n">
        <x:f>IF(OR($B$22&lt;&gt;"Sim",A216&gt;=$B$23+$B$31-1),0,(I217+C217)/(1+$B$9))</x:f>
        <x:v>43806.900422800754</x:v>
      </x:c>
      <x:c r="J216" s="140" t="str">
        <x:f>IF($B$22&lt;&gt;"Sim","Desativada",IF(A216&lt;$B$23,"Antes da compra",IF(A216&lt;$B$23+$B$31,"Parcelas restantes","Encerrado")))</x:f>
        <x:v>Parcelas restantes</x:v>
      </x:c>
      <x:c r="K216" s="141" t="n">
        <x:f>IF(C216&gt;0,C216/(1+$B$9)^A216,0)</x:f>
        <x:v>554.2608308418638</x:v>
      </x:c>
    </x:row>
    <x:row r="217">
      <x:c r="A217" s="142" t="n">
        <x:v>163</x:v>
      </x:c>
      <x:c r="B217" s="179" t="n">
        <x:f>EDATE($B$5,A217-1)</x:f>
        <x:v>51471</x:v>
      </x:c>
      <x:c r="C217" s="141" t="n">
        <x:f>IF(AND($B$22="Sim",A217&gt;=$B$23,A217&lt;$B$23+$B$31),$B$32*D217,0)</x:f>
        <x:v>2559.5139121748216</x:v>
      </x:c>
      <x:c r="D217" s="180" t="n">
        <x:f>IF(A217&lt;$B$23,1,(1+$B$33)^INT((A217-$B$23)/12))</x:f>
        <x:v>2.1329282601456847</x:v>
      </x:c>
      <x:c r="E217" s="141" t="n">
        <x:f>IF(AND($B$22="Sim",A217=$B$23),$B$37,0)</x:f>
        <x:v>0</x:v>
      </x:c>
      <x:c r="F217" s="141" t="n">
        <x:f>IF(AND($B$22="Sim",A217=$B$24),$B$27,0)</x:f>
        <x:v>0</x:v>
      </x:c>
      <x:c r="G217" s="141" t="n">
        <x:f>IF(AND($B$22="Sim",A217=$B$23),$B$35,0)</x:f>
        <x:v>0</x:v>
      </x:c>
      <x:c r="H217" s="141" t="n">
        <x:f>IF(AND($B$22="Sim",A217=$B$23),$B$36,0)</x:f>
        <x:v>0</x:v>
      </x:c>
      <x:c r="I217" s="141" t="n">
        <x:f>IF(OR($B$22&lt;&gt;"Sim",A217&gt;=$B$23+$B$31-1),0,(I218+C218)/(1+$B$9))</x:f>
        <x:v>41663.06111784379</x:v>
      </x:c>
      <x:c r="J217" s="140" t="str">
        <x:f>IF($B$22&lt;&gt;"Sim","Desativada",IF(A217&lt;$B$23,"Antes da compra",IF(A217&lt;$B$23+$B$31,"Parcelas restantes","Encerrado")))</x:f>
        <x:v>Parcelas restantes</x:v>
      </x:c>
      <x:c r="K217" s="141" t="n">
        <x:f>IF(C217&gt;0,C217/(1+$B$9)^A217,0)</x:f>
        <x:v>549.05099959617</x:v>
      </x:c>
    </x:row>
    <x:row r="218">
      <x:c r="A218" s="142" t="n">
        <x:v>164</x:v>
      </x:c>
      <x:c r="B218" s="179" t="n">
        <x:f>EDATE($B$5,A218-1)</x:f>
        <x:v>51502</x:v>
      </x:c>
      <x:c r="C218" s="141" t="n">
        <x:f>IF(AND($B$22="Sim",A218&gt;=$B$23,A218&lt;$B$23+$B$31),$B$32*D218,0)</x:f>
        <x:v>2559.5139121748216</x:v>
      </x:c>
      <x:c r="D218" s="180" t="n">
        <x:f>IF(A218&lt;$B$23,1,(1+$B$33)^INT((A218-$B$23)/12))</x:f>
        <x:v>2.1329282601456847</x:v>
      </x:c>
      <x:c r="E218" s="141" t="n">
        <x:f>IF(AND($B$22="Sim",A218=$B$23),$B$37,0)</x:f>
        <x:v>0</x:v>
      </x:c>
      <x:c r="F218" s="141" t="n">
        <x:f>IF(AND($B$22="Sim",A218=$B$24),$B$27,0)</x:f>
        <x:v>0</x:v>
      </x:c>
      <x:c r="G218" s="141" t="n">
        <x:f>IF(AND($B$22="Sim",A218=$B$23),$B$35,0)</x:f>
        <x:v>0</x:v>
      </x:c>
      <x:c r="H218" s="141" t="n">
        <x:f>IF(AND($B$22="Sim",A218=$B$23),$B$36,0)</x:f>
        <x:v>0</x:v>
      </x:c>
      <x:c r="I218" s="141" t="n">
        <x:f>IF(OR($B$22&lt;&gt;"Sim",A218&gt;=$B$23+$B$31-1),0,(I219+C219)/(1+$B$9))</x:f>
        <x:v>39498.87936563707</x:v>
      </x:c>
      <x:c r="J218" s="140" t="str">
        <x:f>IF($B$22&lt;&gt;"Sim","Desativada",IF(A218&lt;$B$23,"Antes da compra",IF(A218&lt;$B$23+$B$31,"Parcelas restantes","Encerrado")))</x:f>
        <x:v>Parcelas restantes</x:v>
      </x:c>
      <x:c r="K218" s="141" t="n">
        <x:f>IF(C218&gt;0,C218/(1+$B$9)^A218,0)</x:f>
        <x:v>543.8901386909697</x:v>
      </x:c>
    </x:row>
    <x:row r="219">
      <x:c r="A219" s="142" t="n">
        <x:v>165</x:v>
      </x:c>
      <x:c r="B219" s="179" t="n">
        <x:f>EDATE($B$5,A219-1)</x:f>
        <x:v>51533</x:v>
      </x:c>
      <x:c r="C219" s="141" t="n">
        <x:f>IF(AND($B$22="Sim",A219&gt;=$B$23,A219&lt;$B$23+$B$31),$B$32*D219,0)</x:f>
        <x:v>2559.5139121748216</x:v>
      </x:c>
      <x:c r="D219" s="180" t="n">
        <x:f>IF(A219&lt;$B$23,1,(1+$B$33)^INT((A219-$B$23)/12))</x:f>
        <x:v>2.1329282601456847</x:v>
      </x:c>
      <x:c r="E219" s="141" t="n">
        <x:f>IF(AND($B$22="Sim",A219=$B$23),$B$37,0)</x:f>
        <x:v>0</x:v>
      </x:c>
      <x:c r="F219" s="141" t="n">
        <x:f>IF(AND($B$22="Sim",A219=$B$24),$B$27,0)</x:f>
        <x:v>0</x:v>
      </x:c>
      <x:c r="G219" s="141" t="n">
        <x:f>IF(AND($B$22="Sim",A219=$B$23),$B$35,0)</x:f>
        <x:v>0</x:v>
      </x:c>
      <x:c r="H219" s="141" t="n">
        <x:f>IF(AND($B$22="Sim",A219=$B$23),$B$36,0)</x:f>
        <x:v>0</x:v>
      </x:c>
      <x:c r="I219" s="141" t="n">
        <x:f>IF(OR($B$22&lt;&gt;"Sim",A219&gt;=$B$23+$B$31-1),0,(I220+C220)/(1+$B$9))</x:f>
        <x:v>37314.162140910856</x:v>
      </x:c>
      <x:c r="J219" s="140" t="str">
        <x:f>IF($B$22&lt;&gt;"Sim","Desativada",IF(A219&lt;$B$23,"Antes da compra",IF(A219&lt;$B$23+$B$31,"Parcelas restantes","Encerrado")))</x:f>
        <x:v>Parcelas restantes</x:v>
      </x:c>
      <x:c r="K219" s="141" t="n">
        <x:f>IF(C219&gt;0,C219/(1+$B$9)^A219,0)</x:f>
        <x:v>538.7777878245498</x:v>
      </x:c>
    </x:row>
    <x:row r="220">
      <x:c r="A220" s="142" t="n">
        <x:v>166</x:v>
      </x:c>
      <x:c r="B220" s="179" t="n">
        <x:f>EDATE($B$5,A220-1)</x:f>
        <x:v>51561</x:v>
      </x:c>
      <x:c r="C220" s="141" t="n">
        <x:f>IF(AND($B$22="Sim",A220&gt;=$B$23,A220&lt;$B$23+$B$31),$B$32*D220,0)</x:f>
        <x:v>2559.5139121748216</x:v>
      </x:c>
      <x:c r="D220" s="180" t="n">
        <x:f>IF(A220&lt;$B$23,1,(1+$B$33)^INT((A220-$B$23)/12))</x:f>
        <x:v>2.1329282601456847</x:v>
      </x:c>
      <x:c r="E220" s="141" t="n">
        <x:f>IF(AND($B$22="Sim",A220=$B$23),$B$37,0)</x:f>
        <x:v>0</x:v>
      </x:c>
      <x:c r="F220" s="141" t="n">
        <x:f>IF(AND($B$22="Sim",A220=$B$24),$B$27,0)</x:f>
        <x:v>0</x:v>
      </x:c>
      <x:c r="G220" s="141" t="n">
        <x:f>IF(AND($B$22="Sim",A220=$B$23),$B$35,0)</x:f>
        <x:v>0</x:v>
      </x:c>
      <x:c r="H220" s="141" t="n">
        <x:f>IF(AND($B$22="Sim",A220=$B$23),$B$36,0)</x:f>
        <x:v>0</x:v>
      </x:c>
      <x:c r="I220" s="141" t="n">
        <x:f>IF(OR($B$22&lt;&gt;"Sim",A220&gt;=$B$23+$B$31-1),0,(I221+C221)/(1+$B$9))</x:f>
        <x:v>35108.7145868186</x:v>
      </x:c>
      <x:c r="J220" s="140" t="str">
        <x:f>IF($B$22&lt;&gt;"Sim","Desativada",IF(A220&lt;$B$23,"Antes da compra",IF(A220&lt;$B$23+$B$31,"Parcelas restantes","Encerrado")))</x:f>
        <x:v>Parcelas restantes</x:v>
      </x:c>
      <x:c r="K220" s="141" t="n">
        <x:f>IF(C220&gt;0,C220/(1+$B$9)^A220,0)</x:f>
        <x:v>533.71349102185</x:v>
      </x:c>
    </x:row>
    <x:row r="221">
      <x:c r="A221" s="142" t="n">
        <x:v>167</x:v>
      </x:c>
      <x:c r="B221" s="179" t="n">
        <x:f>EDATE($B$5,A221-1)</x:f>
        <x:v>51592</x:v>
      </x:c>
      <x:c r="C221" s="141" t="n">
        <x:f>IF(AND($B$22="Sim",A221&gt;=$B$23,A221&lt;$B$23+$B$31),$B$32*D221,0)</x:f>
        <x:v>2559.5139121748216</x:v>
      </x:c>
      <x:c r="D221" s="180" t="n">
        <x:f>IF(A221&lt;$B$23,1,(1+$B$33)^INT((A221-$B$23)/12))</x:f>
        <x:v>2.1329282601456847</x:v>
      </x:c>
      <x:c r="E221" s="141" t="n">
        <x:f>IF(AND($B$22="Sim",A221=$B$23),$B$37,0)</x:f>
        <x:v>0</x:v>
      </x:c>
      <x:c r="F221" s="141" t="n">
        <x:f>IF(AND($B$22="Sim",A221=$B$24),$B$27,0)</x:f>
        <x:v>0</x:v>
      </x:c>
      <x:c r="G221" s="141" t="n">
        <x:f>IF(AND($B$22="Sim",A221=$B$23),$B$35,0)</x:f>
        <x:v>0</x:v>
      </x:c>
      <x:c r="H221" s="141" t="n">
        <x:f>IF(AND($B$22="Sim",A221=$B$23),$B$36,0)</x:f>
        <x:v>0</x:v>
      </x:c>
      <x:c r="I221" s="141" t="n">
        <x:f>IF(OR($B$22&lt;&gt;"Sim",A221&gt;=$B$23+$B$31-1),0,(I222+C222)/(1+$B$9))</x:f>
        <x:v>32882.33999755747</x:v>
      </x:c>
      <x:c r="J221" s="140" t="str">
        <x:f>IF($B$22&lt;&gt;"Sim","Desativada",IF(A221&lt;$B$23,"Antes da compra",IF(A221&lt;$B$23+$B$31,"Parcelas restantes","Encerrado")))</x:f>
        <x:v>Parcelas restantes</x:v>
      </x:c>
      <x:c r="K221" s="141" t="n">
        <x:f>IF(C221&gt;0,C221/(1+$B$9)^A221,0)</x:f>
        <x:v>528.6967965937941</x:v>
      </x:c>
    </x:row>
    <x:row r="222">
      <x:c r="A222" s="142" t="n">
        <x:v>168</x:v>
      </x:c>
      <x:c r="B222" s="179" t="n">
        <x:f>EDATE($B$5,A222-1)</x:f>
        <x:v>51622</x:v>
      </x:c>
      <x:c r="C222" s="141" t="n">
        <x:f>IF(AND($B$22="Sim",A222&gt;=$B$23,A222&lt;$B$23+$B$31),$B$32*D222,0)</x:f>
        <x:v>2559.5139121748216</x:v>
      </x:c>
      <x:c r="D222" s="180" t="n">
        <x:f>IF(A222&lt;$B$23,1,(1+$B$33)^INT((A222-$B$23)/12))</x:f>
        <x:v>2.1329282601456847</x:v>
      </x:c>
      <x:c r="E222" s="141" t="n">
        <x:f>IF(AND($B$22="Sim",A222=$B$23),$B$37,0)</x:f>
        <x:v>0</x:v>
      </x:c>
      <x:c r="F222" s="141" t="n">
        <x:f>IF(AND($B$22="Sim",A222=$B$24),$B$27,0)</x:f>
        <x:v>0</x:v>
      </x:c>
      <x:c r="G222" s="141" t="n">
        <x:f>IF(AND($B$22="Sim",A222=$B$23),$B$35,0)</x:f>
        <x:v>0</x:v>
      </x:c>
      <x:c r="H222" s="141" t="n">
        <x:f>IF(AND($B$22="Sim",A222=$B$23),$B$36,0)</x:f>
        <x:v>0</x:v>
      </x:c>
      <x:c r="I222" s="141" t="n">
        <x:f>IF(OR($B$22&lt;&gt;"Sim",A222&gt;=$B$23+$B$31-1),0,(I223+C223)/(1+$B$9))</x:f>
        <x:v>30634.839800824033</x:v>
      </x:c>
      <x:c r="J222" s="140" t="str">
        <x:f>IF($B$22&lt;&gt;"Sim","Desativada",IF(A222&lt;$B$23,"Antes da compra",IF(A222&lt;$B$23+$B$31,"Parcelas restantes","Encerrado")))</x:f>
        <x:v>Parcelas restantes</x:v>
      </x:c>
      <x:c r="K222" s="141" t="n">
        <x:f>IF(C222&gt;0,C222/(1+$B$9)^A222,0)</x:f>
        <x:v>523.7272570970035</x:v>
      </x:c>
    </x:row>
    <x:row r="223">
      <x:c r="A223" s="142" t="n">
        <x:v>169</x:v>
      </x:c>
      <x:c r="B223" s="179" t="n">
        <x:f>EDATE($B$5,A223-1)</x:f>
        <x:v>51653</x:v>
      </x:c>
      <x:c r="C223" s="141" t="n">
        <x:f>IF(AND($B$22="Sim",A223&gt;=$B$23,A223&lt;$B$23+$B$31),$B$32*D223,0)</x:f>
        <x:v>2713.0847469053115</x:v>
      </x:c>
      <x:c r="D223" s="180" t="n">
        <x:f>IF(A223&lt;$B$23,1,(1+$B$33)^INT((A223-$B$23)/12))</x:f>
        <x:v>2.260903955754426</x:v>
      </x:c>
      <x:c r="E223" s="141" t="n">
        <x:f>IF(AND($B$22="Sim",A223=$B$23),$B$37,0)</x:f>
        <x:v>0</x:v>
      </x:c>
      <x:c r="F223" s="141" t="n">
        <x:f>IF(AND($B$22="Sim",A223=$B$24),$B$27,0)</x:f>
        <x:v>0</x:v>
      </x:c>
      <x:c r="G223" s="141" t="n">
        <x:f>IF(AND($B$22="Sim",A223=$B$23),$B$35,0)</x:f>
        <x:v>0</x:v>
      </x:c>
      <x:c r="H223" s="141" t="n">
        <x:f>IF(AND($B$22="Sim",A223=$B$23),$B$36,0)</x:f>
        <x:v>0</x:v>
      </x:c>
      <x:c r="I223" s="141" t="n">
        <x:f>IF(OR($B$22&lt;&gt;"Sim",A223&gt;=$B$23+$B$31-1),0,(I224+C224)/(1+$B$9))</x:f>
        <x:v>28212.442705372865</x:v>
      </x:c>
      <x:c r="J223" s="140" t="str">
        <x:f>IF($B$22&lt;&gt;"Sim","Desativada",IF(A223&lt;$B$23,"Antes da compra",IF(A223&lt;$B$23+$B$31,"Parcelas restantes","Encerrado")))</x:f>
        <x:v>Parcelas restantes</x:v>
      </x:c>
      <x:c r="K223" s="141" t="n">
        <x:f>IF(C223&gt;0,C223/(1+$B$9)^A223,0)</x:f>
        <x:v>549.9326950515227</x:v>
      </x:c>
    </x:row>
    <x:row r="224">
      <x:c r="A224" s="142" t="n">
        <x:v>170</x:v>
      </x:c>
      <x:c r="B224" s="179" t="n">
        <x:f>EDATE($B$5,A224-1)</x:f>
        <x:v>51683</x:v>
      </x:c>
      <x:c r="C224" s="141" t="n">
        <x:f>IF(AND($B$22="Sim",A224&gt;=$B$23,A224&lt;$B$23+$B$31),$B$32*D224,0)</x:f>
        <x:v>2713.0847469053115</x:v>
      </x:c>
      <x:c r="D224" s="180" t="n">
        <x:f>IF(A224&lt;$B$23,1,(1+$B$33)^INT((A224-$B$23)/12))</x:f>
        <x:v>2.260903955754426</x:v>
      </x:c>
      <x:c r="E224" s="141" t="n">
        <x:f>IF(AND($B$22="Sim",A224=$B$23),$B$37,0)</x:f>
        <x:v>0</x:v>
      </x:c>
      <x:c r="F224" s="141" t="n">
        <x:f>IF(AND($B$22="Sim",A224=$B$24),$B$27,0)</x:f>
        <x:v>0</x:v>
      </x:c>
      <x:c r="G224" s="141" t="n">
        <x:f>IF(AND($B$22="Sim",A224=$B$23),$B$35,0)</x:f>
        <x:v>0</x:v>
      </x:c>
      <x:c r="H224" s="141" t="n">
        <x:f>IF(AND($B$22="Sim",A224=$B$23),$B$36,0)</x:f>
        <x:v>0</x:v>
      </x:c>
      <x:c r="I224" s="141" t="n">
        <x:f>IF(OR($B$22&lt;&gt;"Sim",A224&gt;=$B$23+$B$31-1),0,(I225+C225)/(1+$B$9))</x:f>
        <x:v>25767.059985477623</x:v>
      </x:c>
      <x:c r="J224" s="140" t="str">
        <x:f>IF($B$22&lt;&gt;"Sim","Desativada",IF(A224&lt;$B$23,"Antes da compra",IF(A224&lt;$B$23+$B$31,"Parcelas restantes","Encerrado")))</x:f>
        <x:v>Parcelas restantes</x:v>
      </x:c>
      <x:c r="K224" s="141" t="n">
        <x:f>IF(C224&gt;0,C224/(1+$B$9)^A224,0)</x:f>
        <x:v>544.7635465599067</x:v>
      </x:c>
    </x:row>
    <x:row r="225">
      <x:c r="A225" s="142" t="n">
        <x:v>171</x:v>
      </x:c>
      <x:c r="B225" s="179" t="n">
        <x:f>EDATE($B$5,A225-1)</x:f>
        <x:v>51714</x:v>
      </x:c>
      <x:c r="C225" s="141" t="n">
        <x:f>IF(AND($B$22="Sim",A225&gt;=$B$23,A225&lt;$B$23+$B$31),$B$32*D225,0)</x:f>
        <x:v>2713.0847469053115</x:v>
      </x:c>
      <x:c r="D225" s="180" t="n">
        <x:f>IF(A225&lt;$B$23,1,(1+$B$33)^INT((A225-$B$23)/12))</x:f>
        <x:v>2.260903955754426</x:v>
      </x:c>
      <x:c r="E225" s="141" t="n">
        <x:f>IF(AND($B$22="Sim",A225=$B$23),$B$37,0)</x:f>
        <x:v>0</x:v>
      </x:c>
      <x:c r="F225" s="141" t="n">
        <x:f>IF(AND($B$22="Sim",A225=$B$24),$B$27,0)</x:f>
        <x:v>0</x:v>
      </x:c>
      <x:c r="G225" s="141" t="n">
        <x:f>IF(AND($B$22="Sim",A225=$B$23),$B$35,0)</x:f>
        <x:v>0</x:v>
      </x:c>
      <x:c r="H225" s="141" t="n">
        <x:f>IF(AND($B$22="Sim",A225=$B$23),$B$36,0)</x:f>
        <x:v>0</x:v>
      </x:c>
      <x:c r="I225" s="141" t="n">
        <x:f>IF(OR($B$22&lt;&gt;"Sim",A225&gt;=$B$23+$B$31-1),0,(I226+C226)/(1+$B$9))</x:f>
        <x:v>23298.47353530749</x:v>
      </x:c>
      <x:c r="J225" s="140" t="str">
        <x:f>IF($B$22&lt;&gt;"Sim","Desativada",IF(A225&lt;$B$23,"Antes da compra",IF(A225&lt;$B$23+$B$31,"Parcelas restantes","Encerrado")))</x:f>
        <x:v>Parcelas restantes</x:v>
      </x:c>
      <x:c r="K225" s="141" t="n">
        <x:f>IF(C225&gt;0,C225/(1+$B$9)^A225,0)</x:f>
        <x:v>539.6429860070854</x:v>
      </x:c>
    </x:row>
    <x:row r="226">
      <x:c r="A226" s="142" t="n">
        <x:v>172</x:v>
      </x:c>
      <x:c r="B226" s="179" t="n">
        <x:f>EDATE($B$5,A226-1)</x:f>
        <x:v>51745</x:v>
      </x:c>
      <x:c r="C226" s="141" t="n">
        <x:f>IF(AND($B$22="Sim",A226&gt;=$B$23,A226&lt;$B$23+$B$31),$B$32*D226,0)</x:f>
        <x:v>2713.0847469053115</x:v>
      </x:c>
      <x:c r="D226" s="180" t="n">
        <x:f>IF(A226&lt;$B$23,1,(1+$B$33)^INT((A226-$B$23)/12))</x:f>
        <x:v>2.260903955754426</x:v>
      </x:c>
      <x:c r="E226" s="141" t="n">
        <x:f>IF(AND($B$22="Sim",A226=$B$23),$B$37,0)</x:f>
        <x:v>0</x:v>
      </x:c>
      <x:c r="F226" s="141" t="n">
        <x:f>IF(AND($B$22="Sim",A226=$B$24),$B$27,0)</x:f>
        <x:v>0</x:v>
      </x:c>
      <x:c r="G226" s="141" t="n">
        <x:f>IF(AND($B$22="Sim",A226=$B$23),$B$35,0)</x:f>
        <x:v>0</x:v>
      </x:c>
      <x:c r="H226" s="141" t="n">
        <x:f>IF(AND($B$22="Sim",A226=$B$23),$B$36,0)</x:f>
        <x:v>0</x:v>
      </x:c>
      <x:c r="I226" s="141" t="n">
        <x:f>IF(OR($B$22&lt;&gt;"Sim",A226&gt;=$B$23+$B$31-1),0,(I227+C227)/(1+$B$9))</x:f>
        <x:v>20806.463179470575</x:v>
      </x:c>
      <x:c r="J226" s="140" t="str">
        <x:f>IF($B$22&lt;&gt;"Sim","Desativada",IF(A226&lt;$B$23,"Antes da compra",IF(A226&lt;$B$23+$B$31,"Parcelas restantes","Encerrado")))</x:f>
        <x:v>Parcelas restantes</x:v>
      </x:c>
      <x:c r="K226" s="141" t="n">
        <x:f>IF(C226&gt;0,C226/(1+$B$9)^A226,0)</x:f>
        <x:v>534.5705566857694</x:v>
      </x:c>
    </x:row>
    <x:row r="227">
      <x:c r="A227" s="142" t="n">
        <x:v>173</x:v>
      </x:c>
      <x:c r="B227" s="179" t="n">
        <x:f>EDATE($B$5,A227-1)</x:f>
        <x:v>51775</x:v>
      </x:c>
      <x:c r="C227" s="141" t="n">
        <x:f>IF(AND($B$22="Sim",A227&gt;=$B$23,A227&lt;$B$23+$B$31),$B$32*D227,0)</x:f>
        <x:v>2713.0847469053115</x:v>
      </x:c>
      <x:c r="D227" s="180" t="n">
        <x:f>IF(A227&lt;$B$23,1,(1+$B$33)^INT((A227-$B$23)/12))</x:f>
        <x:v>2.260903955754426</x:v>
      </x:c>
      <x:c r="E227" s="141" t="n">
        <x:f>IF(AND($B$22="Sim",A227=$B$23),$B$37,0)</x:f>
        <x:v>0</x:v>
      </x:c>
      <x:c r="F227" s="141" t="n">
        <x:f>IF(AND($B$22="Sim",A227=$B$24),$B$27,0)</x:f>
        <x:v>0</x:v>
      </x:c>
      <x:c r="G227" s="141" t="n">
        <x:f>IF(AND($B$22="Sim",A227=$B$23),$B$35,0)</x:f>
        <x:v>0</x:v>
      </x:c>
      <x:c r="H227" s="141" t="n">
        <x:f>IF(AND($B$22="Sim",A227=$B$23),$B$36,0)</x:f>
        <x:v>0</x:v>
      </x:c>
      <x:c r="I227" s="141" t="n">
        <x:f>IF(OR($B$22&lt;&gt;"Sim",A227&gt;=$B$23+$B$31-1),0,(I228+C228)/(1+$B$9))</x:f>
        <x:v>18290.806653376287</x:v>
      </x:c>
      <x:c r="J227" s="140" t="str">
        <x:f>IF($B$22&lt;&gt;"Sim","Desativada",IF(A227&lt;$B$23,"Antes da compra",IF(A227&lt;$B$23+$B$31,"Parcelas restantes","Encerrado")))</x:f>
        <x:v>Parcelas restantes</x:v>
      </x:c>
      <x:c r="K227" s="141" t="n">
        <x:f>IF(C227&gt;0,C227/(1+$B$9)^A227,0)</x:f>
        <x:v>529.5458061815359</x:v>
      </x:c>
    </x:row>
    <x:row r="228">
      <x:c r="A228" s="142" t="n">
        <x:v>174</x:v>
      </x:c>
      <x:c r="B228" s="179" t="n">
        <x:f>EDATE($B$5,A228-1)</x:f>
        <x:v>51806</x:v>
      </x:c>
      <x:c r="C228" s="141" t="n">
        <x:f>IF(AND($B$22="Sim",A228&gt;=$B$23,A228&lt;$B$23+$B$31),$B$32*D228,0)</x:f>
        <x:v>2713.0847469053115</x:v>
      </x:c>
      <x:c r="D228" s="180" t="n">
        <x:f>IF(A228&lt;$B$23,1,(1+$B$33)^INT((A228-$B$23)/12))</x:f>
        <x:v>2.260903955754426</x:v>
      </x:c>
      <x:c r="E228" s="141" t="n">
        <x:f>IF(AND($B$22="Sim",A228=$B$23),$B$37,0)</x:f>
        <x:v>0</x:v>
      </x:c>
      <x:c r="F228" s="141" t="n">
        <x:f>IF(AND($B$22="Sim",A228=$B$24),$B$27,0)</x:f>
        <x:v>0</x:v>
      </x:c>
      <x:c r="G228" s="141" t="n">
        <x:f>IF(AND($B$22="Sim",A228=$B$23),$B$35,0)</x:f>
        <x:v>0</x:v>
      </x:c>
      <x:c r="H228" s="141" t="n">
        <x:f>IF(AND($B$22="Sim",A228=$B$23),$B$36,0)</x:f>
        <x:v>0</x:v>
      </x:c>
      <x:c r="I228" s="141" t="n">
        <x:f>IF(OR($B$22&lt;&gt;"Sim",A228&gt;=$B$23+$B$31-1),0,(I229+C229)/(1+$B$9))</x:f>
        <x:v>15751.279583411357</x:v>
      </x:c>
      <x:c r="J228" s="140" t="str">
        <x:f>IF($B$22&lt;&gt;"Sim","Desativada",IF(A228&lt;$B$23,"Antes da compra",IF(A228&lt;$B$23+$B$31,"Parcelas restantes","Encerrado")))</x:f>
        <x:v>Parcelas restantes</x:v>
      </x:c>
      <x:c r="K228" s="141" t="n">
        <x:f>IF(C228&gt;0,C228/(1+$B$9)^A228,0)</x:f>
        <x:v>524.5682863324779</x:v>
      </x:c>
    </x:row>
    <x:row r="229">
      <x:c r="A229" s="142" t="n">
        <x:v>175</x:v>
      </x:c>
      <x:c r="B229" s="179" t="n">
        <x:f>EDATE($B$5,A229-1)</x:f>
        <x:v>51836</x:v>
      </x:c>
      <x:c r="C229" s="141" t="n">
        <x:f>IF(AND($B$22="Sim",A229&gt;=$B$23,A229&lt;$B$23+$B$31),$B$32*D229,0)</x:f>
        <x:v>2713.0847469053115</x:v>
      </x:c>
      <x:c r="D229" s="180" t="n">
        <x:f>IF(A229&lt;$B$23,1,(1+$B$33)^INT((A229-$B$23)/12))</x:f>
        <x:v>2.260903955754426</x:v>
      </x:c>
      <x:c r="E229" s="141" t="n">
        <x:f>IF(AND($B$22="Sim",A229=$B$23),$B$37,0)</x:f>
        <x:v>0</x:v>
      </x:c>
      <x:c r="F229" s="141" t="n">
        <x:f>IF(AND($B$22="Sim",A229=$B$24),$B$27,0)</x:f>
        <x:v>0</x:v>
      </x:c>
      <x:c r="G229" s="141" t="n">
        <x:f>IF(AND($B$22="Sim",A229=$B$23),$B$35,0)</x:f>
        <x:v>0</x:v>
      </x:c>
      <x:c r="H229" s="141" t="n">
        <x:f>IF(AND($B$22="Sim",A229=$B$23),$B$36,0)</x:f>
        <x:v>0</x:v>
      </x:c>
      <x:c r="I229" s="141" t="n">
        <x:f>IF(OR($B$22&lt;&gt;"Sim",A229&gt;=$B$23+$B$31-1),0,(I230+C230)/(1+$B$9))</x:f>
        <x:v>13187.655466927761</x:v>
      </x:c>
      <x:c r="J229" s="140" t="str">
        <x:f>IF($B$22&lt;&gt;"Sim","Desativada",IF(A229&lt;$B$23,"Antes da compra",IF(A229&lt;$B$23+$B$31,"Parcelas restantes","Encerrado")))</x:f>
        <x:v>Parcelas restantes</x:v>
      </x:c>
      <x:c r="K229" s="141" t="n">
        <x:f>IF(C229&gt;0,C229/(1+$B$9)^A229,0)</x:f>
        <x:v>519.637553189232</x:v>
      </x:c>
    </x:row>
    <x:row r="230">
      <x:c r="A230" s="142" t="n">
        <x:v>176</x:v>
      </x:c>
      <x:c r="B230" s="179" t="n">
        <x:f>EDATE($B$5,A230-1)</x:f>
        <x:v>51867</x:v>
      </x:c>
      <x:c r="C230" s="141" t="n">
        <x:f>IF(AND($B$22="Sim",A230&gt;=$B$23,A230&lt;$B$23+$B$31),$B$32*D230,0)</x:f>
        <x:v>2713.0847469053115</x:v>
      </x:c>
      <x:c r="D230" s="180" t="n">
        <x:f>IF(A230&lt;$B$23,1,(1+$B$33)^INT((A230-$B$23)/12))</x:f>
        <x:v>2.260903955754426</x:v>
      </x:c>
      <x:c r="E230" s="141" t="n">
        <x:f>IF(AND($B$22="Sim",A230=$B$23),$B$37,0)</x:f>
        <x:v>0</x:v>
      </x:c>
      <x:c r="F230" s="141" t="n">
        <x:f>IF(AND($B$22="Sim",A230=$B$24),$B$27,0)</x:f>
        <x:v>0</x:v>
      </x:c>
      <x:c r="G230" s="141" t="n">
        <x:f>IF(AND($B$22="Sim",A230=$B$23),$B$35,0)</x:f>
        <x:v>0</x:v>
      </x:c>
      <x:c r="H230" s="141" t="n">
        <x:f>IF(AND($B$22="Sim",A230=$B$23),$B$36,0)</x:f>
        <x:v>0</x:v>
      </x:c>
      <x:c r="I230" s="141" t="n">
        <x:f>IF(OR($B$22&lt;&gt;"Sim",A230&gt;=$B$23+$B$31-1),0,(I231+C231)/(1+$B$9))</x:f>
        <x:v>10599.70565204075</x:v>
      </x:c>
      <x:c r="J230" s="140" t="str">
        <x:f>IF($B$22&lt;&gt;"Sim","Desativada",IF(A230&lt;$B$23,"Antes da compra",IF(A230&lt;$B$23+$B$31,"Parcelas restantes","Encerrado")))</x:f>
        <x:v>Parcelas restantes</x:v>
      </x:c>
      <x:c r="K230" s="141" t="n">
        <x:f>IF(C230&gt;0,C230/(1+$B$9)^A230,0)</x:f>
        <x:v>514.7531669753816</x:v>
      </x:c>
    </x:row>
    <x:row r="231">
      <x:c r="A231" s="142" t="n">
        <x:v>177</x:v>
      </x:c>
      <x:c r="B231" s="179" t="n">
        <x:f>EDATE($B$5,A231-1)</x:f>
        <x:v>51898</x:v>
      </x:c>
      <x:c r="C231" s="141" t="n">
        <x:f>IF(AND($B$22="Sim",A231&gt;=$B$23,A231&lt;$B$23+$B$31),$B$32*D231,0)</x:f>
        <x:v>2713.0847469053115</x:v>
      </x:c>
      <x:c r="D231" s="180" t="n">
        <x:f>IF(A231&lt;$B$23,1,(1+$B$33)^INT((A231-$B$23)/12))</x:f>
        <x:v>2.260903955754426</x:v>
      </x:c>
      <x:c r="E231" s="141" t="n">
        <x:f>IF(AND($B$22="Sim",A231=$B$23),$B$37,0)</x:f>
        <x:v>0</x:v>
      </x:c>
      <x:c r="F231" s="141" t="n">
        <x:f>IF(AND($B$22="Sim",A231=$B$24),$B$27,0)</x:f>
        <x:v>0</x:v>
      </x:c>
      <x:c r="G231" s="141" t="n">
        <x:f>IF(AND($B$22="Sim",A231=$B$23),$B$35,0)</x:f>
        <x:v>0</x:v>
      </x:c>
      <x:c r="H231" s="141" t="n">
        <x:f>IF(AND($B$22="Sim",A231=$B$23),$B$36,0)</x:f>
        <x:v>0</x:v>
      </x:c>
      <x:c r="I231" s="141" t="n">
        <x:f>IF(OR($B$22&lt;&gt;"Sim",A231&gt;=$B$23+$B$31-1),0,(I232+C232)/(1+$B$9))</x:f>
        <x:v>7987.199317235182</x:v>
      </x:c>
      <x:c r="J231" s="140" t="str">
        <x:f>IF($B$22&lt;&gt;"Sim","Desativada",IF(A231&lt;$B$23,"Antes da compra",IF(A231&lt;$B$23+$B$31,"Parcelas restantes","Encerrado")))</x:f>
        <x:v>Parcelas restantes</x:v>
      </x:c>
      <x:c r="K231" s="141" t="n">
        <x:f>IF(C231&gt;0,C231/(1+$B$9)^A231,0)</x:f>
        <x:v>509.9146920482344</x:v>
      </x:c>
    </x:row>
    <x:row r="232">
      <x:c r="A232" s="142" t="n">
        <x:v>178</x:v>
      </x:c>
      <x:c r="B232" s="179" t="n">
        <x:f>EDATE($B$5,A232-1)</x:f>
        <x:v>51926</x:v>
      </x:c>
      <x:c r="C232" s="141" t="n">
        <x:f>IF(AND($B$22="Sim",A232&gt;=$B$23,A232&lt;$B$23+$B$31),$B$32*D232,0)</x:f>
        <x:v>2713.0847469053115</x:v>
      </x:c>
      <x:c r="D232" s="180" t="n">
        <x:f>IF(A232&lt;$B$23,1,(1+$B$33)^INT((A232-$B$23)/12))</x:f>
        <x:v>2.260903955754426</x:v>
      </x:c>
      <x:c r="E232" s="141" t="n">
        <x:f>IF(AND($B$22="Sim",A232=$B$23),$B$37,0)</x:f>
        <x:v>0</x:v>
      </x:c>
      <x:c r="F232" s="141" t="n">
        <x:f>IF(AND($B$22="Sim",A232=$B$24),$B$27,0)</x:f>
        <x:v>0</x:v>
      </x:c>
      <x:c r="G232" s="141" t="n">
        <x:f>IF(AND($B$22="Sim",A232=$B$23),$B$35,0)</x:f>
        <x:v>0</x:v>
      </x:c>
      <x:c r="H232" s="141" t="n">
        <x:f>IF(AND($B$22="Sim",A232=$B$23),$B$36,0)</x:f>
        <x:v>0</x:v>
      </x:c>
      <x:c r="I232" s="141" t="n">
        <x:f>IF(OR($B$22&lt;&gt;"Sim",A232&gt;=$B$23+$B$31-1),0,(I233+C233)/(1+$B$9))</x:f>
        <x:v>5349.903450778358</x:v>
      </x:c>
      <x:c r="J232" s="140" t="str">
        <x:f>IF($B$22&lt;&gt;"Sim","Desativada",IF(A232&lt;$B$23,"Antes da compra",IF(A232&lt;$B$23+$B$31,"Parcelas restantes","Encerrado")))</x:f>
        <x:v>Parcelas restantes</x:v>
      </x:c>
      <x:c r="K232" s="141" t="n">
        <x:f>IF(C232&gt;0,C232/(1+$B$9)^A232,0)</x:f>
        <x:v>505.12169685996486</x:v>
      </x:c>
    </x:row>
    <x:row r="233">
      <x:c r="A233" s="142" t="n">
        <x:v>179</x:v>
      </x:c>
      <x:c r="B233" s="179" t="n">
        <x:f>EDATE($B$5,A233-1)</x:f>
        <x:v>51957</x:v>
      </x:c>
      <x:c r="C233" s="141" t="n">
        <x:f>IF(AND($B$22="Sim",A233&gt;=$B$23,A233&lt;$B$23+$B$31),$B$32*D233,0)</x:f>
        <x:v>2713.0847469053115</x:v>
      </x:c>
      <x:c r="D233" s="180" t="n">
        <x:f>IF(A233&lt;$B$23,1,(1+$B$33)^INT((A233-$B$23)/12))</x:f>
        <x:v>2.260903955754426</x:v>
      </x:c>
      <x:c r="E233" s="141" t="n">
        <x:f>IF(AND($B$22="Sim",A233=$B$23),$B$37,0)</x:f>
        <x:v>0</x:v>
      </x:c>
      <x:c r="F233" s="141" t="n">
        <x:f>IF(AND($B$22="Sim",A233=$B$24),$B$27,0)</x:f>
        <x:v>0</x:v>
      </x:c>
      <x:c r="G233" s="141" t="n">
        <x:f>IF(AND($B$22="Sim",A233=$B$23),$B$35,0)</x:f>
        <x:v>0</x:v>
      </x:c>
      <x:c r="H233" s="141" t="n">
        <x:f>IF(AND($B$22="Sim",A233=$B$23),$B$36,0)</x:f>
        <x:v>0</x:v>
      </x:c>
      <x:c r="I233" s="141" t="n">
        <x:f>IF(OR($B$22&lt;&gt;"Sim",A233&gt;=$B$23+$B$31-1),0,(I234+C234)/(1+$B$9))</x:f>
        <x:v>2687.582829937494</x:v>
      </x:c>
      <x:c r="J233" s="140" t="str">
        <x:f>IF($B$22&lt;&gt;"Sim","Desativada",IF(A233&lt;$B$23,"Antes da compra",IF(A233&lt;$B$23+$B$31,"Parcelas restantes","Encerrado")))</x:f>
        <x:v>Parcelas restantes</x:v>
      </x:c>
      <x:c r="K233" s="141" t="n">
        <x:f>IF(C233&gt;0,C233/(1+$B$9)^A233,0)</x:f>
        <x:v>500.37375391912633</x:v>
      </x:c>
    </x:row>
    <x:row r="234">
      <x:c r="A234" s="142" t="n">
        <x:v>180</x:v>
      </x:c>
      <x:c r="B234" s="179" t="n">
        <x:f>EDATE($B$5,A234-1)</x:f>
        <x:v>51987</x:v>
      </x:c>
      <x:c r="C234" s="141" t="n">
        <x:f>IF(AND($B$22="Sim",A234&gt;=$B$23,A234&lt;$B$23+$B$31),$B$32*D234,0)</x:f>
        <x:v>2713.0847469053115</x:v>
      </x:c>
      <x:c r="D234" s="180" t="n">
        <x:f>IF(A234&lt;$B$23,1,(1+$B$33)^INT((A234-$B$23)/12))</x:f>
        <x:v>2.260903955754426</x:v>
      </x:c>
      <x:c r="E234" s="141" t="n">
        <x:f>IF(AND($B$22="Sim",A234=$B$23),$B$37,0)</x:f>
        <x:v>0</x:v>
      </x:c>
      <x:c r="F234" s="141" t="n">
        <x:f>IF(AND($B$22="Sim",A234=$B$24),$B$27,0)</x:f>
        <x:v>0</x:v>
      </x:c>
      <x:c r="G234" s="141" t="n">
        <x:f>IF(AND($B$22="Sim",A234=$B$23),$B$35,0)</x:f>
        <x:v>0</x:v>
      </x:c>
      <x:c r="H234" s="141" t="n">
        <x:f>IF(AND($B$22="Sim",A234=$B$23),$B$36,0)</x:f>
        <x:v>0</x:v>
      </x:c>
      <x:c r="I234" s="141" t="n">
        <x:f>IF(OR($B$22&lt;&gt;"Sim",A234&gt;=$B$23+$B$31-1),0,(I235+C235)/(1+$B$9))</x:f>
        <x:v>0</x:v>
      </x:c>
      <x:c r="J234" s="140" t="str">
        <x:f>IF($B$22&lt;&gt;"Sim","Desativada",IF(A234&lt;$B$23,"Antes da compra",IF(A234&lt;$B$23+$B$31,"Parcelas restantes","Encerrado")))</x:f>
        <x:v>Parcelas restantes</x:v>
      </x:c>
      <x:c r="K234" s="141" t="n">
        <x:f>IF(C234&gt;0,C234/(1+$B$9)^A234,0)</x:f>
        <x:v>495.6704397525209</x:v>
      </x:c>
    </x:row>
    <x:row r="235">
      <x:c r="A235" s="142" t="n">
        <x:v>181</x:v>
      </x:c>
      <x:c r="B235" s="179" t="n">
        <x:f>EDATE($B$5,A235-1)</x:f>
        <x:v>52018</x:v>
      </x:c>
      <x:c r="C235" s="141" t="n">
        <x:f>IF(AND($B$22="Sim",A235&gt;=$B$23,A235&lt;$B$23+$B$31),$B$32*D235,0)</x:f>
        <x:v>0</x:v>
      </x:c>
      <x:c r="D235" s="180" t="n">
        <x:f>IF(A235&lt;$B$23,1,(1+$B$33)^INT((A235-$B$23)/12))</x:f>
        <x:v>2.3965581930996915</x:v>
      </x:c>
      <x:c r="E235" s="141" t="n">
        <x:f>IF(AND($B$22="Sim",A235=$B$23),$B$37,0)</x:f>
        <x:v>0</x:v>
      </x:c>
      <x:c r="F235" s="141" t="n">
        <x:f>IF(AND($B$22="Sim",A235=$B$24),$B$27,0)</x:f>
        <x:v>0</x:v>
      </x:c>
      <x:c r="G235" s="141" t="n">
        <x:f>IF(AND($B$22="Sim",A235=$B$23),$B$35,0)</x:f>
        <x:v>0</x:v>
      </x:c>
      <x:c r="H235" s="141" t="n">
        <x:f>IF(AND($B$22="Sim",A235=$B$23),$B$36,0)</x:f>
        <x:v>0</x:v>
      </x:c>
      <x:c r="I235" s="141" t="n">
        <x:f>IF(OR($B$22&lt;&gt;"Sim",A235&gt;=$B$23+$B$31-1),0,(I236+C236)/(1+$B$9))</x:f>
        <x:v>0</x:v>
      </x:c>
      <x:c r="J235" s="140" t="str">
        <x:f>IF($B$22&lt;&gt;"Sim","Desativada",IF(A235&lt;$B$23,"Antes da compra",IF(A235&lt;$B$23+$B$31,"Parcelas restantes","Encerrado")))</x:f>
        <x:v>Encerrado</x:v>
      </x:c>
      <x:c r="K235" s="141" t="n">
        <x:f>IF(C235&gt;0,C235/(1+$B$9)^A235,0)</x:f>
        <x:v>0</x:v>
      </x:c>
    </x:row>
    <x:row r="236">
      <x:c r="A236" s="142" t="n">
        <x:v>182</x:v>
      </x:c>
      <x:c r="B236" s="179" t="n">
        <x:f>EDATE($B$5,A236-1)</x:f>
        <x:v>52048</x:v>
      </x:c>
      <x:c r="C236" s="141" t="n">
        <x:f>IF(AND($B$22="Sim",A236&gt;=$B$23,A236&lt;$B$23+$B$31),$B$32*D236,0)</x:f>
        <x:v>0</x:v>
      </x:c>
      <x:c r="D236" s="180" t="n">
        <x:f>IF(A236&lt;$B$23,1,(1+$B$33)^INT((A236-$B$23)/12))</x:f>
        <x:v>2.3965581930996915</x:v>
      </x:c>
      <x:c r="E236" s="141" t="n">
        <x:f>IF(AND($B$22="Sim",A236=$B$23),$B$37,0)</x:f>
        <x:v>0</x:v>
      </x:c>
      <x:c r="F236" s="141" t="n">
        <x:f>IF(AND($B$22="Sim",A236=$B$24),$B$27,0)</x:f>
        <x:v>0</x:v>
      </x:c>
      <x:c r="G236" s="141" t="n">
        <x:f>IF(AND($B$22="Sim",A236=$B$23),$B$35,0)</x:f>
        <x:v>0</x:v>
      </x:c>
      <x:c r="H236" s="141" t="n">
        <x:f>IF(AND($B$22="Sim",A236=$B$23),$B$36,0)</x:f>
        <x:v>0</x:v>
      </x:c>
      <x:c r="I236" s="141" t="n">
        <x:f>IF(OR($B$22&lt;&gt;"Sim",A236&gt;=$B$23+$B$31-1),0,(I237+C237)/(1+$B$9))</x:f>
        <x:v>0</x:v>
      </x:c>
      <x:c r="J236" s="140" t="str">
        <x:f>IF($B$22&lt;&gt;"Sim","Desativada",IF(A236&lt;$B$23,"Antes da compra",IF(A236&lt;$B$23+$B$31,"Parcelas restantes","Encerrado")))</x:f>
        <x:v>Encerrado</x:v>
      </x:c>
      <x:c r="K236" s="141" t="n">
        <x:f>IF(C236&gt;0,C236/(1+$B$9)^A236,0)</x:f>
        <x:v>0</x:v>
      </x:c>
    </x:row>
    <x:row r="237">
      <x:c r="A237" s="142" t="n">
        <x:v>183</x:v>
      </x:c>
      <x:c r="B237" s="179" t="n">
        <x:f>EDATE($B$5,A237-1)</x:f>
        <x:v>52079</x:v>
      </x:c>
      <x:c r="C237" s="141" t="n">
        <x:f>IF(AND($B$22="Sim",A237&gt;=$B$23,A237&lt;$B$23+$B$31),$B$32*D237,0)</x:f>
        <x:v>0</x:v>
      </x:c>
      <x:c r="D237" s="180" t="n">
        <x:f>IF(A237&lt;$B$23,1,(1+$B$33)^INT((A237-$B$23)/12))</x:f>
        <x:v>2.3965581930996915</x:v>
      </x:c>
      <x:c r="E237" s="141" t="n">
        <x:f>IF(AND($B$22="Sim",A237=$B$23),$B$37,0)</x:f>
        <x:v>0</x:v>
      </x:c>
      <x:c r="F237" s="141" t="n">
        <x:f>IF(AND($B$22="Sim",A237=$B$24),$B$27,0)</x:f>
        <x:v>0</x:v>
      </x:c>
      <x:c r="G237" s="141" t="n">
        <x:f>IF(AND($B$22="Sim",A237=$B$23),$B$35,0)</x:f>
        <x:v>0</x:v>
      </x:c>
      <x:c r="H237" s="141" t="n">
        <x:f>IF(AND($B$22="Sim",A237=$B$23),$B$36,0)</x:f>
        <x:v>0</x:v>
      </x:c>
      <x:c r="I237" s="141" t="n">
        <x:f>IF(OR($B$22&lt;&gt;"Sim",A237&gt;=$B$23+$B$31-1),0,(I238+C238)/(1+$B$9))</x:f>
        <x:v>0</x:v>
      </x:c>
      <x:c r="J237" s="140" t="str">
        <x:f>IF($B$22&lt;&gt;"Sim","Desativada",IF(A237&lt;$B$23,"Antes da compra",IF(A237&lt;$B$23+$B$31,"Parcelas restantes","Encerrado")))</x:f>
        <x:v>Encerrado</x:v>
      </x:c>
      <x:c r="K237" s="141" t="n">
        <x:f>IF(C237&gt;0,C237/(1+$B$9)^A237,0)</x:f>
        <x:v>0</x:v>
      </x:c>
    </x:row>
    <x:row r="238">
      <x:c r="A238" s="142" t="n">
        <x:v>184</x:v>
      </x:c>
      <x:c r="B238" s="179" t="n">
        <x:f>EDATE($B$5,A238-1)</x:f>
        <x:v>52110</x:v>
      </x:c>
      <x:c r="C238" s="141" t="n">
        <x:f>IF(AND($B$22="Sim",A238&gt;=$B$23,A238&lt;$B$23+$B$31),$B$32*D238,0)</x:f>
        <x:v>0</x:v>
      </x:c>
      <x:c r="D238" s="180" t="n">
        <x:f>IF(A238&lt;$B$23,1,(1+$B$33)^INT((A238-$B$23)/12))</x:f>
        <x:v>2.3965581930996915</x:v>
      </x:c>
      <x:c r="E238" s="141" t="n">
        <x:f>IF(AND($B$22="Sim",A238=$B$23),$B$37,0)</x:f>
        <x:v>0</x:v>
      </x:c>
      <x:c r="F238" s="141" t="n">
        <x:f>IF(AND($B$22="Sim",A238=$B$24),$B$27,0)</x:f>
        <x:v>0</x:v>
      </x:c>
      <x:c r="G238" s="141" t="n">
        <x:f>IF(AND($B$22="Sim",A238=$B$23),$B$35,0)</x:f>
        <x:v>0</x:v>
      </x:c>
      <x:c r="H238" s="141" t="n">
        <x:f>IF(AND($B$22="Sim",A238=$B$23),$B$36,0)</x:f>
        <x:v>0</x:v>
      </x:c>
      <x:c r="I238" s="141" t="n">
        <x:f>IF(OR($B$22&lt;&gt;"Sim",A238&gt;=$B$23+$B$31-1),0,(I239+C239)/(1+$B$9))</x:f>
        <x:v>0</x:v>
      </x:c>
      <x:c r="J238" s="140" t="str">
        <x:f>IF($B$22&lt;&gt;"Sim","Desativada",IF(A238&lt;$B$23,"Antes da compra",IF(A238&lt;$B$23+$B$31,"Parcelas restantes","Encerrado")))</x:f>
        <x:v>Encerrado</x:v>
      </x:c>
      <x:c r="K238" s="141" t="n">
        <x:f>IF(C238&gt;0,C238/(1+$B$9)^A238,0)</x:f>
        <x:v>0</x:v>
      </x:c>
    </x:row>
    <x:row r="239">
      <x:c r="A239" s="142" t="n">
        <x:v>185</x:v>
      </x:c>
      <x:c r="B239" s="179" t="n">
        <x:f>EDATE($B$5,A239-1)</x:f>
        <x:v>52140</x:v>
      </x:c>
      <x:c r="C239" s="141" t="n">
        <x:f>IF(AND($B$22="Sim",A239&gt;=$B$23,A239&lt;$B$23+$B$31),$B$32*D239,0)</x:f>
        <x:v>0</x:v>
      </x:c>
      <x:c r="D239" s="180" t="n">
        <x:f>IF(A239&lt;$B$23,1,(1+$B$33)^INT((A239-$B$23)/12))</x:f>
        <x:v>2.3965581930996915</x:v>
      </x:c>
      <x:c r="E239" s="141" t="n">
        <x:f>IF(AND($B$22="Sim",A239=$B$23),$B$37,0)</x:f>
        <x:v>0</x:v>
      </x:c>
      <x:c r="F239" s="141" t="n">
        <x:f>IF(AND($B$22="Sim",A239=$B$24),$B$27,0)</x:f>
        <x:v>0</x:v>
      </x:c>
      <x:c r="G239" s="141" t="n">
        <x:f>IF(AND($B$22="Sim",A239=$B$23),$B$35,0)</x:f>
        <x:v>0</x:v>
      </x:c>
      <x:c r="H239" s="141" t="n">
        <x:f>IF(AND($B$22="Sim",A239=$B$23),$B$36,0)</x:f>
        <x:v>0</x:v>
      </x:c>
      <x:c r="I239" s="141" t="n">
        <x:f>IF(OR($B$22&lt;&gt;"Sim",A239&gt;=$B$23+$B$31-1),0,(I240+C240)/(1+$B$9))</x:f>
        <x:v>0</x:v>
      </x:c>
      <x:c r="J239" s="140" t="str">
        <x:f>IF($B$22&lt;&gt;"Sim","Desativada",IF(A239&lt;$B$23,"Antes da compra",IF(A239&lt;$B$23+$B$31,"Parcelas restantes","Encerrado")))</x:f>
        <x:v>Encerrado</x:v>
      </x:c>
      <x:c r="K239" s="141" t="n">
        <x:f>IF(C239&gt;0,C239/(1+$B$9)^A239,0)</x:f>
        <x:v>0</x:v>
      </x:c>
    </x:row>
    <x:row r="240">
      <x:c r="A240" s="142" t="n">
        <x:v>186</x:v>
      </x:c>
      <x:c r="B240" s="179" t="n">
        <x:f>EDATE($B$5,A240-1)</x:f>
        <x:v>52171</x:v>
      </x:c>
      <x:c r="C240" s="141" t="n">
        <x:f>IF(AND($B$22="Sim",A240&gt;=$B$23,A240&lt;$B$23+$B$31),$B$32*D240,0)</x:f>
        <x:v>0</x:v>
      </x:c>
      <x:c r="D240" s="180" t="n">
        <x:f>IF(A240&lt;$B$23,1,(1+$B$33)^INT((A240-$B$23)/12))</x:f>
        <x:v>2.3965581930996915</x:v>
      </x:c>
      <x:c r="E240" s="141" t="n">
        <x:f>IF(AND($B$22="Sim",A240=$B$23),$B$37,0)</x:f>
        <x:v>0</x:v>
      </x:c>
      <x:c r="F240" s="141" t="n">
        <x:f>IF(AND($B$22="Sim",A240=$B$24),$B$27,0)</x:f>
        <x:v>0</x:v>
      </x:c>
      <x:c r="G240" s="141" t="n">
        <x:f>IF(AND($B$22="Sim",A240=$B$23),$B$35,0)</x:f>
        <x:v>0</x:v>
      </x:c>
      <x:c r="H240" s="141" t="n">
        <x:f>IF(AND($B$22="Sim",A240=$B$23),$B$36,0)</x:f>
        <x:v>0</x:v>
      </x:c>
      <x:c r="I240" s="141" t="n">
        <x:f>IF(OR($B$22&lt;&gt;"Sim",A240&gt;=$B$23+$B$31-1),0,(I241+C241)/(1+$B$9))</x:f>
        <x:v>0</x:v>
      </x:c>
      <x:c r="J240" s="140" t="str">
        <x:f>IF($B$22&lt;&gt;"Sim","Desativada",IF(A240&lt;$B$23,"Antes da compra",IF(A240&lt;$B$23+$B$31,"Parcelas restantes","Encerrado")))</x:f>
        <x:v>Encerrado</x:v>
      </x:c>
      <x:c r="K240" s="141" t="n">
        <x:f>IF(C240&gt;0,C240/(1+$B$9)^A240,0)</x:f>
        <x:v>0</x:v>
      </x:c>
    </x:row>
    <x:row r="241">
      <x:c r="A241" s="142" t="n">
        <x:v>187</x:v>
      </x:c>
      <x:c r="B241" s="179" t="n">
        <x:f>EDATE($B$5,A241-1)</x:f>
        <x:v>52201</x:v>
      </x:c>
      <x:c r="C241" s="141" t="n">
        <x:f>IF(AND($B$22="Sim",A241&gt;=$B$23,A241&lt;$B$23+$B$31),$B$32*D241,0)</x:f>
        <x:v>0</x:v>
      </x:c>
      <x:c r="D241" s="180" t="n">
        <x:f>IF(A241&lt;$B$23,1,(1+$B$33)^INT((A241-$B$23)/12))</x:f>
        <x:v>2.3965581930996915</x:v>
      </x:c>
      <x:c r="E241" s="141" t="n">
        <x:f>IF(AND($B$22="Sim",A241=$B$23),$B$37,0)</x:f>
        <x:v>0</x:v>
      </x:c>
      <x:c r="F241" s="141" t="n">
        <x:f>IF(AND($B$22="Sim",A241=$B$24),$B$27,0)</x:f>
        <x:v>0</x:v>
      </x:c>
      <x:c r="G241" s="141" t="n">
        <x:f>IF(AND($B$22="Sim",A241=$B$23),$B$35,0)</x:f>
        <x:v>0</x:v>
      </x:c>
      <x:c r="H241" s="141" t="n">
        <x:f>IF(AND($B$22="Sim",A241=$B$23),$B$36,0)</x:f>
        <x:v>0</x:v>
      </x:c>
      <x:c r="I241" s="141" t="n">
        <x:f>IF(OR($B$22&lt;&gt;"Sim",A241&gt;=$B$23+$B$31-1),0,(I242+C242)/(1+$B$9))</x:f>
        <x:v>0</x:v>
      </x:c>
      <x:c r="J241" s="140" t="str">
        <x:f>IF($B$22&lt;&gt;"Sim","Desativada",IF(A241&lt;$B$23,"Antes da compra",IF(A241&lt;$B$23+$B$31,"Parcelas restantes","Encerrado")))</x:f>
        <x:v>Encerrado</x:v>
      </x:c>
      <x:c r="K241" s="141" t="n">
        <x:f>IF(C241&gt;0,C241/(1+$B$9)^A241,0)</x:f>
        <x:v>0</x:v>
      </x:c>
    </x:row>
    <x:row r="242">
      <x:c r="A242" s="142" t="n">
        <x:v>188</x:v>
      </x:c>
      <x:c r="B242" s="179" t="n">
        <x:f>EDATE($B$5,A242-1)</x:f>
        <x:v>52232</x:v>
      </x:c>
      <x:c r="C242" s="141" t="n">
        <x:f>IF(AND($B$22="Sim",A242&gt;=$B$23,A242&lt;$B$23+$B$31),$B$32*D242,0)</x:f>
        <x:v>0</x:v>
      </x:c>
      <x:c r="D242" s="180" t="n">
        <x:f>IF(A242&lt;$B$23,1,(1+$B$33)^INT((A242-$B$23)/12))</x:f>
        <x:v>2.3965581930996915</x:v>
      </x:c>
      <x:c r="E242" s="141" t="n">
        <x:f>IF(AND($B$22="Sim",A242=$B$23),$B$37,0)</x:f>
        <x:v>0</x:v>
      </x:c>
      <x:c r="F242" s="141" t="n">
        <x:f>IF(AND($B$22="Sim",A242=$B$24),$B$27,0)</x:f>
        <x:v>0</x:v>
      </x:c>
      <x:c r="G242" s="141" t="n">
        <x:f>IF(AND($B$22="Sim",A242=$B$23),$B$35,0)</x:f>
        <x:v>0</x:v>
      </x:c>
      <x:c r="H242" s="141" t="n">
        <x:f>IF(AND($B$22="Sim",A242=$B$23),$B$36,0)</x:f>
        <x:v>0</x:v>
      </x:c>
      <x:c r="I242" s="141" t="n">
        <x:f>IF(OR($B$22&lt;&gt;"Sim",A242&gt;=$B$23+$B$31-1),0,(I243+C243)/(1+$B$9))</x:f>
        <x:v>0</x:v>
      </x:c>
      <x:c r="J242" s="140" t="str">
        <x:f>IF($B$22&lt;&gt;"Sim","Desativada",IF(A242&lt;$B$23,"Antes da compra",IF(A242&lt;$B$23+$B$31,"Parcelas restantes","Encerrado")))</x:f>
        <x:v>Encerrado</x:v>
      </x:c>
      <x:c r="K242" s="141" t="n">
        <x:f>IF(C242&gt;0,C242/(1+$B$9)^A242,0)</x:f>
        <x:v>0</x:v>
      </x:c>
    </x:row>
    <x:row r="243">
      <x:c r="A243" s="142" t="n">
        <x:v>189</x:v>
      </x:c>
      <x:c r="B243" s="179" t="n">
        <x:f>EDATE($B$5,A243-1)</x:f>
        <x:v>52263</x:v>
      </x:c>
      <x:c r="C243" s="141" t="n">
        <x:f>IF(AND($B$22="Sim",A243&gt;=$B$23,A243&lt;$B$23+$B$31),$B$32*D243,0)</x:f>
        <x:v>0</x:v>
      </x:c>
      <x:c r="D243" s="180" t="n">
        <x:f>IF(A243&lt;$B$23,1,(1+$B$33)^INT((A243-$B$23)/12))</x:f>
        <x:v>2.3965581930996915</x:v>
      </x:c>
      <x:c r="E243" s="141" t="n">
        <x:f>IF(AND($B$22="Sim",A243=$B$23),$B$37,0)</x:f>
        <x:v>0</x:v>
      </x:c>
      <x:c r="F243" s="141" t="n">
        <x:f>IF(AND($B$22="Sim",A243=$B$24),$B$27,0)</x:f>
        <x:v>0</x:v>
      </x:c>
      <x:c r="G243" s="141" t="n">
        <x:f>IF(AND($B$22="Sim",A243=$B$23),$B$35,0)</x:f>
        <x:v>0</x:v>
      </x:c>
      <x:c r="H243" s="141" t="n">
        <x:f>IF(AND($B$22="Sim",A243=$B$23),$B$36,0)</x:f>
        <x:v>0</x:v>
      </x:c>
      <x:c r="I243" s="141" t="n">
        <x:f>IF(OR($B$22&lt;&gt;"Sim",A243&gt;=$B$23+$B$31-1),0,(I244+C244)/(1+$B$9))</x:f>
        <x:v>0</x:v>
      </x:c>
      <x:c r="J243" s="140" t="str">
        <x:f>IF($B$22&lt;&gt;"Sim","Desativada",IF(A243&lt;$B$23,"Antes da compra",IF(A243&lt;$B$23+$B$31,"Parcelas restantes","Encerrado")))</x:f>
        <x:v>Encerrado</x:v>
      </x:c>
      <x:c r="K243" s="141" t="n">
        <x:f>IF(C243&gt;0,C243/(1+$B$9)^A243,0)</x:f>
        <x:v>0</x:v>
      </x:c>
    </x:row>
    <x:row r="244">
      <x:c r="A244" s="142" t="n">
        <x:v>190</x:v>
      </x:c>
      <x:c r="B244" s="179" t="n">
        <x:f>EDATE($B$5,A244-1)</x:f>
        <x:v>52291</x:v>
      </x:c>
      <x:c r="C244" s="141" t="n">
        <x:f>IF(AND($B$22="Sim",A244&gt;=$B$23,A244&lt;$B$23+$B$31),$B$32*D244,0)</x:f>
        <x:v>0</x:v>
      </x:c>
      <x:c r="D244" s="180" t="n">
        <x:f>IF(A244&lt;$B$23,1,(1+$B$33)^INT((A244-$B$23)/12))</x:f>
        <x:v>2.3965581930996915</x:v>
      </x:c>
      <x:c r="E244" s="141" t="n">
        <x:f>IF(AND($B$22="Sim",A244=$B$23),$B$37,0)</x:f>
        <x:v>0</x:v>
      </x:c>
      <x:c r="F244" s="141" t="n">
        <x:f>IF(AND($B$22="Sim",A244=$B$24),$B$27,0)</x:f>
        <x:v>0</x:v>
      </x:c>
      <x:c r="G244" s="141" t="n">
        <x:f>IF(AND($B$22="Sim",A244=$B$23),$B$35,0)</x:f>
        <x:v>0</x:v>
      </x:c>
      <x:c r="H244" s="141" t="n">
        <x:f>IF(AND($B$22="Sim",A244=$B$23),$B$36,0)</x:f>
        <x:v>0</x:v>
      </x:c>
      <x:c r="I244" s="141" t="n">
        <x:f>IF(OR($B$22&lt;&gt;"Sim",A244&gt;=$B$23+$B$31-1),0,(I245+C245)/(1+$B$9))</x:f>
        <x:v>0</x:v>
      </x:c>
      <x:c r="J244" s="140" t="str">
        <x:f>IF($B$22&lt;&gt;"Sim","Desativada",IF(A244&lt;$B$23,"Antes da compra",IF(A244&lt;$B$23+$B$31,"Parcelas restantes","Encerrado")))</x:f>
        <x:v>Encerrado</x:v>
      </x:c>
      <x:c r="K244" s="141" t="n">
        <x:f>IF(C244&gt;0,C244/(1+$B$9)^A244,0)</x:f>
        <x:v>0</x:v>
      </x:c>
    </x:row>
    <x:row r="245">
      <x:c r="A245" s="142" t="n">
        <x:v>191</x:v>
      </x:c>
      <x:c r="B245" s="179" t="n">
        <x:f>EDATE($B$5,A245-1)</x:f>
        <x:v>52322</x:v>
      </x:c>
      <x:c r="C245" s="141" t="n">
        <x:f>IF(AND($B$22="Sim",A245&gt;=$B$23,A245&lt;$B$23+$B$31),$B$32*D245,0)</x:f>
        <x:v>0</x:v>
      </x:c>
      <x:c r="D245" s="180" t="n">
        <x:f>IF(A245&lt;$B$23,1,(1+$B$33)^INT((A245-$B$23)/12))</x:f>
        <x:v>2.3965581930996915</x:v>
      </x:c>
      <x:c r="E245" s="141" t="n">
        <x:f>IF(AND($B$22="Sim",A245=$B$23),$B$37,0)</x:f>
        <x:v>0</x:v>
      </x:c>
      <x:c r="F245" s="141" t="n">
        <x:f>IF(AND($B$22="Sim",A245=$B$24),$B$27,0)</x:f>
        <x:v>0</x:v>
      </x:c>
      <x:c r="G245" s="141" t="n">
        <x:f>IF(AND($B$22="Sim",A245=$B$23),$B$35,0)</x:f>
        <x:v>0</x:v>
      </x:c>
      <x:c r="H245" s="141" t="n">
        <x:f>IF(AND($B$22="Sim",A245=$B$23),$B$36,0)</x:f>
        <x:v>0</x:v>
      </x:c>
      <x:c r="I245" s="141" t="n">
        <x:f>IF(OR($B$22&lt;&gt;"Sim",A245&gt;=$B$23+$B$31-1),0,(I246+C246)/(1+$B$9))</x:f>
        <x:v>0</x:v>
      </x:c>
      <x:c r="J245" s="140" t="str">
        <x:f>IF($B$22&lt;&gt;"Sim","Desativada",IF(A245&lt;$B$23,"Antes da compra",IF(A245&lt;$B$23+$B$31,"Parcelas restantes","Encerrado")))</x:f>
        <x:v>Encerrado</x:v>
      </x:c>
      <x:c r="K245" s="141" t="n">
        <x:f>IF(C245&gt;0,C245/(1+$B$9)^A245,0)</x:f>
        <x:v>0</x:v>
      </x:c>
    </x:row>
    <x:row r="246">
      <x:c r="A246" s="142" t="n">
        <x:v>192</x:v>
      </x:c>
      <x:c r="B246" s="179" t="n">
        <x:f>EDATE($B$5,A246-1)</x:f>
        <x:v>52352</x:v>
      </x:c>
      <x:c r="C246" s="141" t="n">
        <x:f>IF(AND($B$22="Sim",A246&gt;=$B$23,A246&lt;$B$23+$B$31),$B$32*D246,0)</x:f>
        <x:v>0</x:v>
      </x:c>
      <x:c r="D246" s="180" t="n">
        <x:f>IF(A246&lt;$B$23,1,(1+$B$33)^INT((A246-$B$23)/12))</x:f>
        <x:v>2.3965581930996915</x:v>
      </x:c>
      <x:c r="E246" s="141" t="n">
        <x:f>IF(AND($B$22="Sim",A246=$B$23),$B$37,0)</x:f>
        <x:v>0</x:v>
      </x:c>
      <x:c r="F246" s="141" t="n">
        <x:f>IF(AND($B$22="Sim",A246=$B$24),$B$27,0)</x:f>
        <x:v>0</x:v>
      </x:c>
      <x:c r="G246" s="141" t="n">
        <x:f>IF(AND($B$22="Sim",A246=$B$23),$B$35,0)</x:f>
        <x:v>0</x:v>
      </x:c>
      <x:c r="H246" s="141" t="n">
        <x:f>IF(AND($B$22="Sim",A246=$B$23),$B$36,0)</x:f>
        <x:v>0</x:v>
      </x:c>
      <x:c r="I246" s="141" t="n">
        <x:f>IF(OR($B$22&lt;&gt;"Sim",A246&gt;=$B$23+$B$31-1),0,(I247+C247)/(1+$B$9))</x:f>
        <x:v>0</x:v>
      </x:c>
      <x:c r="J246" s="140" t="str">
        <x:f>IF($B$22&lt;&gt;"Sim","Desativada",IF(A246&lt;$B$23,"Antes da compra",IF(A246&lt;$B$23+$B$31,"Parcelas restantes","Encerrado")))</x:f>
        <x:v>Encerrado</x:v>
      </x:c>
      <x:c r="K246" s="141" t="n">
        <x:f>IF(C246&gt;0,C246/(1+$B$9)^A246,0)</x:f>
        <x:v>0</x:v>
      </x:c>
    </x:row>
    <x:row r="247">
      <x:c r="A247" s="142" t="n">
        <x:v>193</x:v>
      </x:c>
      <x:c r="B247" s="179" t="n">
        <x:f>EDATE($B$5,A247-1)</x:f>
        <x:v>52383</x:v>
      </x:c>
      <x:c r="C247" s="141" t="n">
        <x:f>IF(AND($B$22="Sim",A247&gt;=$B$23,A247&lt;$B$23+$B$31),$B$32*D247,0)</x:f>
        <x:v>0</x:v>
      </x:c>
      <x:c r="D247" s="180" t="n">
        <x:f>IF(A247&lt;$B$23,1,(1+$B$33)^INT((A247-$B$23)/12))</x:f>
        <x:v>2.5403516846856733</x:v>
      </x:c>
      <x:c r="E247" s="141" t="n">
        <x:f>IF(AND($B$22="Sim",A247=$B$23),$B$37,0)</x:f>
        <x:v>0</x:v>
      </x:c>
      <x:c r="F247" s="141" t="n">
        <x:f>IF(AND($B$22="Sim",A247=$B$24),$B$27,0)</x:f>
        <x:v>0</x:v>
      </x:c>
      <x:c r="G247" s="141" t="n">
        <x:f>IF(AND($B$22="Sim",A247=$B$23),$B$35,0)</x:f>
        <x:v>0</x:v>
      </x:c>
      <x:c r="H247" s="141" t="n">
        <x:f>IF(AND($B$22="Sim",A247=$B$23),$B$36,0)</x:f>
        <x:v>0</x:v>
      </x:c>
      <x:c r="I247" s="141" t="n">
        <x:f>IF(OR($B$22&lt;&gt;"Sim",A247&gt;=$B$23+$B$31-1),0,(I248+C248)/(1+$B$9))</x:f>
        <x:v>0</x:v>
      </x:c>
      <x:c r="J247" s="140" t="str">
        <x:f>IF($B$22&lt;&gt;"Sim","Desativada",IF(A247&lt;$B$23,"Antes da compra",IF(A247&lt;$B$23+$B$31,"Parcelas restantes","Encerrado")))</x:f>
        <x:v>Encerrado</x:v>
      </x:c>
      <x:c r="K247" s="141" t="n">
        <x:f>IF(C247&gt;0,C247/(1+$B$9)^A247,0)</x:f>
        <x:v>0</x:v>
      </x:c>
    </x:row>
    <x:row r="248">
      <x:c r="A248" s="142" t="n">
        <x:v>194</x:v>
      </x:c>
      <x:c r="B248" s="179" t="n">
        <x:f>EDATE($B$5,A248-1)</x:f>
        <x:v>52413</x:v>
      </x:c>
      <x:c r="C248" s="141" t="n">
        <x:f>IF(AND($B$22="Sim",A248&gt;=$B$23,A248&lt;$B$23+$B$31),$B$32*D248,0)</x:f>
        <x:v>0</x:v>
      </x:c>
      <x:c r="D248" s="180" t="n">
        <x:f>IF(A248&lt;$B$23,1,(1+$B$33)^INT((A248-$B$23)/12))</x:f>
        <x:v>2.5403516846856733</x:v>
      </x:c>
      <x:c r="E248" s="141" t="n">
        <x:f>IF(AND($B$22="Sim",A248=$B$23),$B$37,0)</x:f>
        <x:v>0</x:v>
      </x:c>
      <x:c r="F248" s="141" t="n">
        <x:f>IF(AND($B$22="Sim",A248=$B$24),$B$27,0)</x:f>
        <x:v>0</x:v>
      </x:c>
      <x:c r="G248" s="141" t="n">
        <x:f>IF(AND($B$22="Sim",A248=$B$23),$B$35,0)</x:f>
        <x:v>0</x:v>
      </x:c>
      <x:c r="H248" s="141" t="n">
        <x:f>IF(AND($B$22="Sim",A248=$B$23),$B$36,0)</x:f>
        <x:v>0</x:v>
      </x:c>
      <x:c r="I248" s="141" t="n">
        <x:f>IF(OR($B$22&lt;&gt;"Sim",A248&gt;=$B$23+$B$31-1),0,(I249+C249)/(1+$B$9))</x:f>
        <x:v>0</x:v>
      </x:c>
      <x:c r="J248" s="140" t="str">
        <x:f>IF($B$22&lt;&gt;"Sim","Desativada",IF(A248&lt;$B$23,"Antes da compra",IF(A248&lt;$B$23+$B$31,"Parcelas restantes","Encerrado")))</x:f>
        <x:v>Encerrado</x:v>
      </x:c>
      <x:c r="K248" s="141" t="n">
        <x:f>IF(C248&gt;0,C248/(1+$B$9)^A248,0)</x:f>
        <x:v>0</x:v>
      </x:c>
    </x:row>
    <x:row r="249">
      <x:c r="A249" s="142" t="n">
        <x:v>195</x:v>
      </x:c>
      <x:c r="B249" s="179" t="n">
        <x:f>EDATE($B$5,A249-1)</x:f>
        <x:v>52444</x:v>
      </x:c>
      <x:c r="C249" s="141" t="n">
        <x:f>IF(AND($B$22="Sim",A249&gt;=$B$23,A249&lt;$B$23+$B$31),$B$32*D249,0)</x:f>
        <x:v>0</x:v>
      </x:c>
      <x:c r="D249" s="180" t="n">
        <x:f>IF(A249&lt;$B$23,1,(1+$B$33)^INT((A249-$B$23)/12))</x:f>
        <x:v>2.5403516846856733</x:v>
      </x:c>
      <x:c r="E249" s="141" t="n">
        <x:f>IF(AND($B$22="Sim",A249=$B$23),$B$37,0)</x:f>
        <x:v>0</x:v>
      </x:c>
      <x:c r="F249" s="141" t="n">
        <x:f>IF(AND($B$22="Sim",A249=$B$24),$B$27,0)</x:f>
        <x:v>0</x:v>
      </x:c>
      <x:c r="G249" s="141" t="n">
        <x:f>IF(AND($B$22="Sim",A249=$B$23),$B$35,0)</x:f>
        <x:v>0</x:v>
      </x:c>
      <x:c r="H249" s="141" t="n">
        <x:f>IF(AND($B$22="Sim",A249=$B$23),$B$36,0)</x:f>
        <x:v>0</x:v>
      </x:c>
      <x:c r="I249" s="141" t="n">
        <x:f>IF(OR($B$22&lt;&gt;"Sim",A249&gt;=$B$23+$B$31-1),0,(I250+C250)/(1+$B$9))</x:f>
        <x:v>0</x:v>
      </x:c>
      <x:c r="J249" s="140" t="str">
        <x:f>IF($B$22&lt;&gt;"Sim","Desativada",IF(A249&lt;$B$23,"Antes da compra",IF(A249&lt;$B$23+$B$31,"Parcelas restantes","Encerrado")))</x:f>
        <x:v>Encerrado</x:v>
      </x:c>
      <x:c r="K249" s="141" t="n">
        <x:f>IF(C249&gt;0,C249/(1+$B$9)^A249,0)</x:f>
        <x:v>0</x:v>
      </x:c>
    </x:row>
    <x:row r="250">
      <x:c r="A250" s="142" t="n">
        <x:v>196</x:v>
      </x:c>
      <x:c r="B250" s="179" t="n">
        <x:f>EDATE($B$5,A250-1)</x:f>
        <x:v>52475</x:v>
      </x:c>
      <x:c r="C250" s="141" t="n">
        <x:f>IF(AND($B$22="Sim",A250&gt;=$B$23,A250&lt;$B$23+$B$31),$B$32*D250,0)</x:f>
        <x:v>0</x:v>
      </x:c>
      <x:c r="D250" s="180" t="n">
        <x:f>IF(A250&lt;$B$23,1,(1+$B$33)^INT((A250-$B$23)/12))</x:f>
        <x:v>2.5403516846856733</x:v>
      </x:c>
      <x:c r="E250" s="141" t="n">
        <x:f>IF(AND($B$22="Sim",A250=$B$23),$B$37,0)</x:f>
        <x:v>0</x:v>
      </x:c>
      <x:c r="F250" s="141" t="n">
        <x:f>IF(AND($B$22="Sim",A250=$B$24),$B$27,0)</x:f>
        <x:v>0</x:v>
      </x:c>
      <x:c r="G250" s="141" t="n">
        <x:f>IF(AND($B$22="Sim",A250=$B$23),$B$35,0)</x:f>
        <x:v>0</x:v>
      </x:c>
      <x:c r="H250" s="141" t="n">
        <x:f>IF(AND($B$22="Sim",A250=$B$23),$B$36,0)</x:f>
        <x:v>0</x:v>
      </x:c>
      <x:c r="I250" s="141" t="n">
        <x:f>IF(OR($B$22&lt;&gt;"Sim",A250&gt;=$B$23+$B$31-1),0,(I251+C251)/(1+$B$9))</x:f>
        <x:v>0</x:v>
      </x:c>
      <x:c r="J250" s="140" t="str">
        <x:f>IF($B$22&lt;&gt;"Sim","Desativada",IF(A250&lt;$B$23,"Antes da compra",IF(A250&lt;$B$23+$B$31,"Parcelas restantes","Encerrado")))</x:f>
        <x:v>Encerrado</x:v>
      </x:c>
      <x:c r="K250" s="141" t="n">
        <x:f>IF(C250&gt;0,C250/(1+$B$9)^A250,0)</x:f>
        <x:v>0</x:v>
      </x:c>
    </x:row>
    <x:row r="251">
      <x:c r="A251" s="142" t="n">
        <x:v>197</x:v>
      </x:c>
      <x:c r="B251" s="179" t="n">
        <x:f>EDATE($B$5,A251-1)</x:f>
        <x:v>52505</x:v>
      </x:c>
      <x:c r="C251" s="141" t="n">
        <x:f>IF(AND($B$22="Sim",A251&gt;=$B$23,A251&lt;$B$23+$B$31),$B$32*D251,0)</x:f>
        <x:v>0</x:v>
      </x:c>
      <x:c r="D251" s="180" t="n">
        <x:f>IF(A251&lt;$B$23,1,(1+$B$33)^INT((A251-$B$23)/12))</x:f>
        <x:v>2.5403516846856733</x:v>
      </x:c>
      <x:c r="E251" s="141" t="n">
        <x:f>IF(AND($B$22="Sim",A251=$B$23),$B$37,0)</x:f>
        <x:v>0</x:v>
      </x:c>
      <x:c r="F251" s="141" t="n">
        <x:f>IF(AND($B$22="Sim",A251=$B$24),$B$27,0)</x:f>
        <x:v>0</x:v>
      </x:c>
      <x:c r="G251" s="141" t="n">
        <x:f>IF(AND($B$22="Sim",A251=$B$23),$B$35,0)</x:f>
        <x:v>0</x:v>
      </x:c>
      <x:c r="H251" s="141" t="n">
        <x:f>IF(AND($B$22="Sim",A251=$B$23),$B$36,0)</x:f>
        <x:v>0</x:v>
      </x:c>
      <x:c r="I251" s="141" t="n">
        <x:f>IF(OR($B$22&lt;&gt;"Sim",A251&gt;=$B$23+$B$31-1),0,(I252+C252)/(1+$B$9))</x:f>
        <x:v>0</x:v>
      </x:c>
      <x:c r="J251" s="140" t="str">
        <x:f>IF($B$22&lt;&gt;"Sim","Desativada",IF(A251&lt;$B$23,"Antes da compra",IF(A251&lt;$B$23+$B$31,"Parcelas restantes","Encerrado")))</x:f>
        <x:v>Encerrado</x:v>
      </x:c>
      <x:c r="K251" s="141" t="n">
        <x:f>IF(C251&gt;0,C251/(1+$B$9)^A251,0)</x:f>
        <x:v>0</x:v>
      </x:c>
    </x:row>
    <x:row r="252">
      <x:c r="A252" s="142" t="n">
        <x:v>198</x:v>
      </x:c>
      <x:c r="B252" s="179" t="n">
        <x:f>EDATE($B$5,A252-1)</x:f>
        <x:v>52536</x:v>
      </x:c>
      <x:c r="C252" s="141" t="n">
        <x:f>IF(AND($B$22="Sim",A252&gt;=$B$23,A252&lt;$B$23+$B$31),$B$32*D252,0)</x:f>
        <x:v>0</x:v>
      </x:c>
      <x:c r="D252" s="180" t="n">
        <x:f>IF(A252&lt;$B$23,1,(1+$B$33)^INT((A252-$B$23)/12))</x:f>
        <x:v>2.5403516846856733</x:v>
      </x:c>
      <x:c r="E252" s="141" t="n">
        <x:f>IF(AND($B$22="Sim",A252=$B$23),$B$37,0)</x:f>
        <x:v>0</x:v>
      </x:c>
      <x:c r="F252" s="141" t="n">
        <x:f>IF(AND($B$22="Sim",A252=$B$24),$B$27,0)</x:f>
        <x:v>0</x:v>
      </x:c>
      <x:c r="G252" s="141" t="n">
        <x:f>IF(AND($B$22="Sim",A252=$B$23),$B$35,0)</x:f>
        <x:v>0</x:v>
      </x:c>
      <x:c r="H252" s="141" t="n">
        <x:f>IF(AND($B$22="Sim",A252=$B$23),$B$36,0)</x:f>
        <x:v>0</x:v>
      </x:c>
      <x:c r="I252" s="141" t="n">
        <x:f>IF(OR($B$22&lt;&gt;"Sim",A252&gt;=$B$23+$B$31-1),0,(I253+C253)/(1+$B$9))</x:f>
        <x:v>0</x:v>
      </x:c>
      <x:c r="J252" s="140" t="str">
        <x:f>IF($B$22&lt;&gt;"Sim","Desativada",IF(A252&lt;$B$23,"Antes da compra",IF(A252&lt;$B$23+$B$31,"Parcelas restantes","Encerrado")))</x:f>
        <x:v>Encerrado</x:v>
      </x:c>
      <x:c r="K252" s="141" t="n">
        <x:f>IF(C252&gt;0,C252/(1+$B$9)^A252,0)</x:f>
        <x:v>0</x:v>
      </x:c>
    </x:row>
    <x:row r="253">
      <x:c r="A253" s="142" t="n">
        <x:v>199</x:v>
      </x:c>
      <x:c r="B253" s="179" t="n">
        <x:f>EDATE($B$5,A253-1)</x:f>
        <x:v>52566</x:v>
      </x:c>
      <x:c r="C253" s="141" t="n">
        <x:f>IF(AND($B$22="Sim",A253&gt;=$B$23,A253&lt;$B$23+$B$31),$B$32*D253,0)</x:f>
        <x:v>0</x:v>
      </x:c>
      <x:c r="D253" s="180" t="n">
        <x:f>IF(A253&lt;$B$23,1,(1+$B$33)^INT((A253-$B$23)/12))</x:f>
        <x:v>2.5403516846856733</x:v>
      </x:c>
      <x:c r="E253" s="141" t="n">
        <x:f>IF(AND($B$22="Sim",A253=$B$23),$B$37,0)</x:f>
        <x:v>0</x:v>
      </x:c>
      <x:c r="F253" s="141" t="n">
        <x:f>IF(AND($B$22="Sim",A253=$B$24),$B$27,0)</x:f>
        <x:v>0</x:v>
      </x:c>
      <x:c r="G253" s="141" t="n">
        <x:f>IF(AND($B$22="Sim",A253=$B$23),$B$35,0)</x:f>
        <x:v>0</x:v>
      </x:c>
      <x:c r="H253" s="141" t="n">
        <x:f>IF(AND($B$22="Sim",A253=$B$23),$B$36,0)</x:f>
        <x:v>0</x:v>
      </x:c>
      <x:c r="I253" s="141" t="n">
        <x:f>IF(OR($B$22&lt;&gt;"Sim",A253&gt;=$B$23+$B$31-1),0,(I254+C254)/(1+$B$9))</x:f>
        <x:v>0</x:v>
      </x:c>
      <x:c r="J253" s="140" t="str">
        <x:f>IF($B$22&lt;&gt;"Sim","Desativada",IF(A253&lt;$B$23,"Antes da compra",IF(A253&lt;$B$23+$B$31,"Parcelas restantes","Encerrado")))</x:f>
        <x:v>Encerrado</x:v>
      </x:c>
      <x:c r="K253" s="141" t="n">
        <x:f>IF(C253&gt;0,C253/(1+$B$9)^A253,0)</x:f>
        <x:v>0</x:v>
      </x:c>
    </x:row>
    <x:row r="254">
      <x:c r="A254" s="142" t="n">
        <x:v>200</x:v>
      </x:c>
      <x:c r="B254" s="179" t="n">
        <x:f>EDATE($B$5,A254-1)</x:f>
        <x:v>52597</x:v>
      </x:c>
      <x:c r="C254" s="141" t="n">
        <x:f>IF(AND($B$22="Sim",A254&gt;=$B$23,A254&lt;$B$23+$B$31),$B$32*D254,0)</x:f>
        <x:v>0</x:v>
      </x:c>
      <x:c r="D254" s="180" t="n">
        <x:f>IF(A254&lt;$B$23,1,(1+$B$33)^INT((A254-$B$23)/12))</x:f>
        <x:v>2.5403516846856733</x:v>
      </x:c>
      <x:c r="E254" s="141" t="n">
        <x:f>IF(AND($B$22="Sim",A254=$B$23),$B$37,0)</x:f>
        <x:v>0</x:v>
      </x:c>
      <x:c r="F254" s="141" t="n">
        <x:f>IF(AND($B$22="Sim",A254=$B$24),$B$27,0)</x:f>
        <x:v>0</x:v>
      </x:c>
      <x:c r="G254" s="141" t="n">
        <x:f>IF(AND($B$22="Sim",A254=$B$23),$B$35,0)</x:f>
        <x:v>0</x:v>
      </x:c>
      <x:c r="H254" s="141" t="n">
        <x:f>IF(AND($B$22="Sim",A254=$B$23),$B$36,0)</x:f>
        <x:v>0</x:v>
      </x:c>
      <x:c r="I254" s="141" t="n">
        <x:f>IF(OR($B$22&lt;&gt;"Sim",A254&gt;=$B$23+$B$31-1),0,(I255+C255)/(1+$B$9))</x:f>
        <x:v>0</x:v>
      </x:c>
      <x:c r="J254" s="140" t="str">
        <x:f>IF($B$22&lt;&gt;"Sim","Desativada",IF(A254&lt;$B$23,"Antes da compra",IF(A254&lt;$B$23+$B$31,"Parcelas restantes","Encerrado")))</x:f>
        <x:v>Encerrado</x:v>
      </x:c>
      <x:c r="K254" s="141" t="n">
        <x:f>IF(C254&gt;0,C254/(1+$B$9)^A254,0)</x:f>
        <x:v>0</x:v>
      </x:c>
    </x:row>
    <x:row r="255">
      <x:c r="A255" s="142" t="n">
        <x:v>201</x:v>
      </x:c>
      <x:c r="B255" s="179" t="n">
        <x:f>EDATE($B$5,A255-1)</x:f>
        <x:v>52628</x:v>
      </x:c>
      <x:c r="C255" s="141" t="n">
        <x:f>IF(AND($B$22="Sim",A255&gt;=$B$23,A255&lt;$B$23+$B$31),$B$32*D255,0)</x:f>
        <x:v>0</x:v>
      </x:c>
      <x:c r="D255" s="180" t="n">
        <x:f>IF(A255&lt;$B$23,1,(1+$B$33)^INT((A255-$B$23)/12))</x:f>
        <x:v>2.5403516846856733</x:v>
      </x:c>
      <x:c r="E255" s="141" t="n">
        <x:f>IF(AND($B$22="Sim",A255=$B$23),$B$37,0)</x:f>
        <x:v>0</x:v>
      </x:c>
      <x:c r="F255" s="141" t="n">
        <x:f>IF(AND($B$22="Sim",A255=$B$24),$B$27,0)</x:f>
        <x:v>0</x:v>
      </x:c>
      <x:c r="G255" s="141" t="n">
        <x:f>IF(AND($B$22="Sim",A255=$B$23),$B$35,0)</x:f>
        <x:v>0</x:v>
      </x:c>
      <x:c r="H255" s="141" t="n">
        <x:f>IF(AND($B$22="Sim",A255=$B$23),$B$36,0)</x:f>
        <x:v>0</x:v>
      </x:c>
      <x:c r="I255" s="141" t="n">
        <x:f>IF(OR($B$22&lt;&gt;"Sim",A255&gt;=$B$23+$B$31-1),0,(I256+C256)/(1+$B$9))</x:f>
        <x:v>0</x:v>
      </x:c>
      <x:c r="J255" s="140" t="str">
        <x:f>IF($B$22&lt;&gt;"Sim","Desativada",IF(A255&lt;$B$23,"Antes da compra",IF(A255&lt;$B$23+$B$31,"Parcelas restantes","Encerrado")))</x:f>
        <x:v>Encerrado</x:v>
      </x:c>
      <x:c r="K255" s="141" t="n">
        <x:f>IF(C255&gt;0,C255/(1+$B$9)^A255,0)</x:f>
        <x:v>0</x:v>
      </x:c>
    </x:row>
    <x:row r="256">
      <x:c r="A256" s="142" t="n">
        <x:v>202</x:v>
      </x:c>
      <x:c r="B256" s="179" t="n">
        <x:f>EDATE($B$5,A256-1)</x:f>
        <x:v>52657</x:v>
      </x:c>
      <x:c r="C256" s="141" t="n">
        <x:f>IF(AND($B$22="Sim",A256&gt;=$B$23,A256&lt;$B$23+$B$31),$B$32*D256,0)</x:f>
        <x:v>0</x:v>
      </x:c>
      <x:c r="D256" s="180" t="n">
        <x:f>IF(A256&lt;$B$23,1,(1+$B$33)^INT((A256-$B$23)/12))</x:f>
        <x:v>2.5403516846856733</x:v>
      </x:c>
      <x:c r="E256" s="141" t="n">
        <x:f>IF(AND($B$22="Sim",A256=$B$23),$B$37,0)</x:f>
        <x:v>0</x:v>
      </x:c>
      <x:c r="F256" s="141" t="n">
        <x:f>IF(AND($B$22="Sim",A256=$B$24),$B$27,0)</x:f>
        <x:v>0</x:v>
      </x:c>
      <x:c r="G256" s="141" t="n">
        <x:f>IF(AND($B$22="Sim",A256=$B$23),$B$35,0)</x:f>
        <x:v>0</x:v>
      </x:c>
      <x:c r="H256" s="141" t="n">
        <x:f>IF(AND($B$22="Sim",A256=$B$23),$B$36,0)</x:f>
        <x:v>0</x:v>
      </x:c>
      <x:c r="I256" s="141" t="n">
        <x:f>IF(OR($B$22&lt;&gt;"Sim",A256&gt;=$B$23+$B$31-1),0,(I257+C257)/(1+$B$9))</x:f>
        <x:v>0</x:v>
      </x:c>
      <x:c r="J256" s="140" t="str">
        <x:f>IF($B$22&lt;&gt;"Sim","Desativada",IF(A256&lt;$B$23,"Antes da compra",IF(A256&lt;$B$23+$B$31,"Parcelas restantes","Encerrado")))</x:f>
        <x:v>Encerrado</x:v>
      </x:c>
      <x:c r="K256" s="141" t="n">
        <x:f>IF(C256&gt;0,C256/(1+$B$9)^A256,0)</x:f>
        <x:v>0</x:v>
      </x:c>
    </x:row>
    <x:row r="257">
      <x:c r="A257" s="142" t="n">
        <x:v>203</x:v>
      </x:c>
      <x:c r="B257" s="179" t="n">
        <x:f>EDATE($B$5,A257-1)</x:f>
        <x:v>52688</x:v>
      </x:c>
      <x:c r="C257" s="141" t="n">
        <x:f>IF(AND($B$22="Sim",A257&gt;=$B$23,A257&lt;$B$23+$B$31),$B$32*D257,0)</x:f>
        <x:v>0</x:v>
      </x:c>
      <x:c r="D257" s="180" t="n">
        <x:f>IF(A257&lt;$B$23,1,(1+$B$33)^INT((A257-$B$23)/12))</x:f>
        <x:v>2.5403516846856733</x:v>
      </x:c>
      <x:c r="E257" s="141" t="n">
        <x:f>IF(AND($B$22="Sim",A257=$B$23),$B$37,0)</x:f>
        <x:v>0</x:v>
      </x:c>
      <x:c r="F257" s="141" t="n">
        <x:f>IF(AND($B$22="Sim",A257=$B$24),$B$27,0)</x:f>
        <x:v>0</x:v>
      </x:c>
      <x:c r="G257" s="141" t="n">
        <x:f>IF(AND($B$22="Sim",A257=$B$23),$B$35,0)</x:f>
        <x:v>0</x:v>
      </x:c>
      <x:c r="H257" s="141" t="n">
        <x:f>IF(AND($B$22="Sim",A257=$B$23),$B$36,0)</x:f>
        <x:v>0</x:v>
      </x:c>
      <x:c r="I257" s="141" t="n">
        <x:f>IF(OR($B$22&lt;&gt;"Sim",A257&gt;=$B$23+$B$31-1),0,(I258+C258)/(1+$B$9))</x:f>
        <x:v>0</x:v>
      </x:c>
      <x:c r="J257" s="140" t="str">
        <x:f>IF($B$22&lt;&gt;"Sim","Desativada",IF(A257&lt;$B$23,"Antes da compra",IF(A257&lt;$B$23+$B$31,"Parcelas restantes","Encerrado")))</x:f>
        <x:v>Encerrado</x:v>
      </x:c>
      <x:c r="K257" s="141" t="n">
        <x:f>IF(C257&gt;0,C257/(1+$B$9)^A257,0)</x:f>
        <x:v>0</x:v>
      </x:c>
    </x:row>
    <x:row r="258">
      <x:c r="A258" s="142" t="n">
        <x:v>204</x:v>
      </x:c>
      <x:c r="B258" s="179" t="n">
        <x:f>EDATE($B$5,A258-1)</x:f>
        <x:v>52718</x:v>
      </x:c>
      <x:c r="C258" s="141" t="n">
        <x:f>IF(AND($B$22="Sim",A258&gt;=$B$23,A258&lt;$B$23+$B$31),$B$32*D258,0)</x:f>
        <x:v>0</x:v>
      </x:c>
      <x:c r="D258" s="180" t="n">
        <x:f>IF(A258&lt;$B$23,1,(1+$B$33)^INT((A258-$B$23)/12))</x:f>
        <x:v>2.5403516846856733</x:v>
      </x:c>
      <x:c r="E258" s="141" t="n">
        <x:f>IF(AND($B$22="Sim",A258=$B$23),$B$37,0)</x:f>
        <x:v>0</x:v>
      </x:c>
      <x:c r="F258" s="141" t="n">
        <x:f>IF(AND($B$22="Sim",A258=$B$24),$B$27,0)</x:f>
        <x:v>0</x:v>
      </x:c>
      <x:c r="G258" s="141" t="n">
        <x:f>IF(AND($B$22="Sim",A258=$B$23),$B$35,0)</x:f>
        <x:v>0</x:v>
      </x:c>
      <x:c r="H258" s="141" t="n">
        <x:f>IF(AND($B$22="Sim",A258=$B$23),$B$36,0)</x:f>
        <x:v>0</x:v>
      </x:c>
      <x:c r="I258" s="141" t="n">
        <x:f>IF(OR($B$22&lt;&gt;"Sim",A258&gt;=$B$23+$B$31-1),0,(I259+C259)/(1+$B$9))</x:f>
        <x:v>0</x:v>
      </x:c>
      <x:c r="J258" s="140" t="str">
        <x:f>IF($B$22&lt;&gt;"Sim","Desativada",IF(A258&lt;$B$23,"Antes da compra",IF(A258&lt;$B$23+$B$31,"Parcelas restantes","Encerrado")))</x:f>
        <x:v>Encerrado</x:v>
      </x:c>
      <x:c r="K258" s="141" t="n">
        <x:f>IF(C258&gt;0,C258/(1+$B$9)^A258,0)</x:f>
        <x:v>0</x:v>
      </x:c>
    </x:row>
    <x:row r="259">
      <x:c r="A259" s="142" t="n">
        <x:v>205</x:v>
      </x:c>
      <x:c r="B259" s="179" t="n">
        <x:f>EDATE($B$5,A259-1)</x:f>
        <x:v>52749</x:v>
      </x:c>
      <x:c r="C259" s="141" t="n">
        <x:f>IF(AND($B$22="Sim",A259&gt;=$B$23,A259&lt;$B$23+$B$31),$B$32*D259,0)</x:f>
        <x:v>0</x:v>
      </x:c>
      <x:c r="D259" s="180" t="n">
        <x:f>IF(A259&lt;$B$23,1,(1+$B$33)^INT((A259-$B$23)/12))</x:f>
        <x:v>2.6927727857668136</x:v>
      </x:c>
      <x:c r="E259" s="141" t="n">
        <x:f>IF(AND($B$22="Sim",A259=$B$23),$B$37,0)</x:f>
        <x:v>0</x:v>
      </x:c>
      <x:c r="F259" s="141" t="n">
        <x:f>IF(AND($B$22="Sim",A259=$B$24),$B$27,0)</x:f>
        <x:v>0</x:v>
      </x:c>
      <x:c r="G259" s="141" t="n">
        <x:f>IF(AND($B$22="Sim",A259=$B$23),$B$35,0)</x:f>
        <x:v>0</x:v>
      </x:c>
      <x:c r="H259" s="141" t="n">
        <x:f>IF(AND($B$22="Sim",A259=$B$23),$B$36,0)</x:f>
        <x:v>0</x:v>
      </x:c>
      <x:c r="I259" s="141" t="n">
        <x:f>IF(OR($B$22&lt;&gt;"Sim",A259&gt;=$B$23+$B$31-1),0,(I260+C260)/(1+$B$9))</x:f>
        <x:v>0</x:v>
      </x:c>
      <x:c r="J259" s="140" t="str">
        <x:f>IF($B$22&lt;&gt;"Sim","Desativada",IF(A259&lt;$B$23,"Antes da compra",IF(A259&lt;$B$23+$B$31,"Parcelas restantes","Encerrado")))</x:f>
        <x:v>Encerrado</x:v>
      </x:c>
      <x:c r="K259" s="141" t="n">
        <x:f>IF(C259&gt;0,C259/(1+$B$9)^A259,0)</x:f>
        <x:v>0</x:v>
      </x:c>
    </x:row>
    <x:row r="260">
      <x:c r="A260" s="142" t="n">
        <x:v>206</x:v>
      </x:c>
      <x:c r="B260" s="179" t="n">
        <x:f>EDATE($B$5,A260-1)</x:f>
        <x:v>52779</x:v>
      </x:c>
      <x:c r="C260" s="141" t="n">
        <x:f>IF(AND($B$22="Sim",A260&gt;=$B$23,A260&lt;$B$23+$B$31),$B$32*D260,0)</x:f>
        <x:v>0</x:v>
      </x:c>
      <x:c r="D260" s="180" t="n">
        <x:f>IF(A260&lt;$B$23,1,(1+$B$33)^INT((A260-$B$23)/12))</x:f>
        <x:v>2.6927727857668136</x:v>
      </x:c>
      <x:c r="E260" s="141" t="n">
        <x:f>IF(AND($B$22="Sim",A260=$B$23),$B$37,0)</x:f>
        <x:v>0</x:v>
      </x:c>
      <x:c r="F260" s="141" t="n">
        <x:f>IF(AND($B$22="Sim",A260=$B$24),$B$27,0)</x:f>
        <x:v>0</x:v>
      </x:c>
      <x:c r="G260" s="141" t="n">
        <x:f>IF(AND($B$22="Sim",A260=$B$23),$B$35,0)</x:f>
        <x:v>0</x:v>
      </x:c>
      <x:c r="H260" s="141" t="n">
        <x:f>IF(AND($B$22="Sim",A260=$B$23),$B$36,0)</x:f>
        <x:v>0</x:v>
      </x:c>
      <x:c r="I260" s="141" t="n">
        <x:f>IF(OR($B$22&lt;&gt;"Sim",A260&gt;=$B$23+$B$31-1),0,(I261+C261)/(1+$B$9))</x:f>
        <x:v>0</x:v>
      </x:c>
      <x:c r="J260" s="140" t="str">
        <x:f>IF($B$22&lt;&gt;"Sim","Desativada",IF(A260&lt;$B$23,"Antes da compra",IF(A260&lt;$B$23+$B$31,"Parcelas restantes","Encerrado")))</x:f>
        <x:v>Encerrado</x:v>
      </x:c>
      <x:c r="K260" s="141" t="n">
        <x:f>IF(C260&gt;0,C260/(1+$B$9)^A260,0)</x:f>
        <x:v>0</x:v>
      </x:c>
    </x:row>
    <x:row r="261">
      <x:c r="A261" s="142" t="n">
        <x:v>207</x:v>
      </x:c>
      <x:c r="B261" s="179" t="n">
        <x:f>EDATE($B$5,A261-1)</x:f>
        <x:v>52810</x:v>
      </x:c>
      <x:c r="C261" s="141" t="n">
        <x:f>IF(AND($B$22="Sim",A261&gt;=$B$23,A261&lt;$B$23+$B$31),$B$32*D261,0)</x:f>
        <x:v>0</x:v>
      </x:c>
      <x:c r="D261" s="180" t="n">
        <x:f>IF(A261&lt;$B$23,1,(1+$B$33)^INT((A261-$B$23)/12))</x:f>
        <x:v>2.6927727857668136</x:v>
      </x:c>
      <x:c r="E261" s="141" t="n">
        <x:f>IF(AND($B$22="Sim",A261=$B$23),$B$37,0)</x:f>
        <x:v>0</x:v>
      </x:c>
      <x:c r="F261" s="141" t="n">
        <x:f>IF(AND($B$22="Sim",A261=$B$24),$B$27,0)</x:f>
        <x:v>0</x:v>
      </x:c>
      <x:c r="G261" s="141" t="n">
        <x:f>IF(AND($B$22="Sim",A261=$B$23),$B$35,0)</x:f>
        <x:v>0</x:v>
      </x:c>
      <x:c r="H261" s="141" t="n">
        <x:f>IF(AND($B$22="Sim",A261=$B$23),$B$36,0)</x:f>
        <x:v>0</x:v>
      </x:c>
      <x:c r="I261" s="141" t="n">
        <x:f>IF(OR($B$22&lt;&gt;"Sim",A261&gt;=$B$23+$B$31-1),0,(I262+C262)/(1+$B$9))</x:f>
        <x:v>0</x:v>
      </x:c>
      <x:c r="J261" s="140" t="str">
        <x:f>IF($B$22&lt;&gt;"Sim","Desativada",IF(A261&lt;$B$23,"Antes da compra",IF(A261&lt;$B$23+$B$31,"Parcelas restantes","Encerrado")))</x:f>
        <x:v>Encerrado</x:v>
      </x:c>
      <x:c r="K261" s="141" t="n">
        <x:f>IF(C261&gt;0,C261/(1+$B$9)^A261,0)</x:f>
        <x:v>0</x:v>
      </x:c>
    </x:row>
    <x:row r="262">
      <x:c r="A262" s="142" t="n">
        <x:v>208</x:v>
      </x:c>
      <x:c r="B262" s="179" t="n">
        <x:f>EDATE($B$5,A262-1)</x:f>
        <x:v>52841</x:v>
      </x:c>
      <x:c r="C262" s="141" t="n">
        <x:f>IF(AND($B$22="Sim",A262&gt;=$B$23,A262&lt;$B$23+$B$31),$B$32*D262,0)</x:f>
        <x:v>0</x:v>
      </x:c>
      <x:c r="D262" s="180" t="n">
        <x:f>IF(A262&lt;$B$23,1,(1+$B$33)^INT((A262-$B$23)/12))</x:f>
        <x:v>2.6927727857668136</x:v>
      </x:c>
      <x:c r="E262" s="141" t="n">
        <x:f>IF(AND($B$22="Sim",A262=$B$23),$B$37,0)</x:f>
        <x:v>0</x:v>
      </x:c>
      <x:c r="F262" s="141" t="n">
        <x:f>IF(AND($B$22="Sim",A262=$B$24),$B$27,0)</x:f>
        <x:v>0</x:v>
      </x:c>
      <x:c r="G262" s="141" t="n">
        <x:f>IF(AND($B$22="Sim",A262=$B$23),$B$35,0)</x:f>
        <x:v>0</x:v>
      </x:c>
      <x:c r="H262" s="141" t="n">
        <x:f>IF(AND($B$22="Sim",A262=$B$23),$B$36,0)</x:f>
        <x:v>0</x:v>
      </x:c>
      <x:c r="I262" s="141" t="n">
        <x:f>IF(OR($B$22&lt;&gt;"Sim",A262&gt;=$B$23+$B$31-1),0,(I263+C263)/(1+$B$9))</x:f>
        <x:v>0</x:v>
      </x:c>
      <x:c r="J262" s="140" t="str">
        <x:f>IF($B$22&lt;&gt;"Sim","Desativada",IF(A262&lt;$B$23,"Antes da compra",IF(A262&lt;$B$23+$B$31,"Parcelas restantes","Encerrado")))</x:f>
        <x:v>Encerrado</x:v>
      </x:c>
      <x:c r="K262" s="141" t="n">
        <x:f>IF(C262&gt;0,C262/(1+$B$9)^A262,0)</x:f>
        <x:v>0</x:v>
      </x:c>
    </x:row>
    <x:row r="263">
      <x:c r="A263" s="142" t="n">
        <x:v>209</x:v>
      </x:c>
      <x:c r="B263" s="179" t="n">
        <x:f>EDATE($B$5,A263-1)</x:f>
        <x:v>52871</x:v>
      </x:c>
      <x:c r="C263" s="141" t="n">
        <x:f>IF(AND($B$22="Sim",A263&gt;=$B$23,A263&lt;$B$23+$B$31),$B$32*D263,0)</x:f>
        <x:v>0</x:v>
      </x:c>
      <x:c r="D263" s="180" t="n">
        <x:f>IF(A263&lt;$B$23,1,(1+$B$33)^INT((A263-$B$23)/12))</x:f>
        <x:v>2.6927727857668136</x:v>
      </x:c>
      <x:c r="E263" s="141" t="n">
        <x:f>IF(AND($B$22="Sim",A263=$B$23),$B$37,0)</x:f>
        <x:v>0</x:v>
      </x:c>
      <x:c r="F263" s="141" t="n">
        <x:f>IF(AND($B$22="Sim",A263=$B$24),$B$27,0)</x:f>
        <x:v>0</x:v>
      </x:c>
      <x:c r="G263" s="141" t="n">
        <x:f>IF(AND($B$22="Sim",A263=$B$23),$B$35,0)</x:f>
        <x:v>0</x:v>
      </x:c>
      <x:c r="H263" s="141" t="n">
        <x:f>IF(AND($B$22="Sim",A263=$B$23),$B$36,0)</x:f>
        <x:v>0</x:v>
      </x:c>
      <x:c r="I263" s="141" t="n">
        <x:f>IF(OR($B$22&lt;&gt;"Sim",A263&gt;=$B$23+$B$31-1),0,(I264+C264)/(1+$B$9))</x:f>
        <x:v>0</x:v>
      </x:c>
      <x:c r="J263" s="140" t="str">
        <x:f>IF($B$22&lt;&gt;"Sim","Desativada",IF(A263&lt;$B$23,"Antes da compra",IF(A263&lt;$B$23+$B$31,"Parcelas restantes","Encerrado")))</x:f>
        <x:v>Encerrado</x:v>
      </x:c>
      <x:c r="K263" s="141" t="n">
        <x:f>IF(C263&gt;0,C263/(1+$B$9)^A263,0)</x:f>
        <x:v>0</x:v>
      </x:c>
    </x:row>
    <x:row r="264">
      <x:c r="A264" s="142" t="n">
        <x:v>210</x:v>
      </x:c>
      <x:c r="B264" s="179" t="n">
        <x:f>EDATE($B$5,A264-1)</x:f>
        <x:v>52902</x:v>
      </x:c>
      <x:c r="C264" s="141" t="n">
        <x:f>IF(AND($B$22="Sim",A264&gt;=$B$23,A264&lt;$B$23+$B$31),$B$32*D264,0)</x:f>
        <x:v>0</x:v>
      </x:c>
      <x:c r="D264" s="180" t="n">
        <x:f>IF(A264&lt;$B$23,1,(1+$B$33)^INT((A264-$B$23)/12))</x:f>
        <x:v>2.6927727857668136</x:v>
      </x:c>
      <x:c r="E264" s="141" t="n">
        <x:f>IF(AND($B$22="Sim",A264=$B$23),$B$37,0)</x:f>
        <x:v>0</x:v>
      </x:c>
      <x:c r="F264" s="141" t="n">
        <x:f>IF(AND($B$22="Sim",A264=$B$24),$B$27,0)</x:f>
        <x:v>0</x:v>
      </x:c>
      <x:c r="G264" s="141" t="n">
        <x:f>IF(AND($B$22="Sim",A264=$B$23),$B$35,0)</x:f>
        <x:v>0</x:v>
      </x:c>
      <x:c r="H264" s="141" t="n">
        <x:f>IF(AND($B$22="Sim",A264=$B$23),$B$36,0)</x:f>
        <x:v>0</x:v>
      </x:c>
      <x:c r="I264" s="141" t="n">
        <x:f>IF(OR($B$22&lt;&gt;"Sim",A264&gt;=$B$23+$B$31-1),0,(I265+C265)/(1+$B$9))</x:f>
        <x:v>0</x:v>
      </x:c>
      <x:c r="J264" s="140" t="str">
        <x:f>IF($B$22&lt;&gt;"Sim","Desativada",IF(A264&lt;$B$23,"Antes da compra",IF(A264&lt;$B$23+$B$31,"Parcelas restantes","Encerrado")))</x:f>
        <x:v>Encerrado</x:v>
      </x:c>
      <x:c r="K264" s="141" t="n">
        <x:f>IF(C264&gt;0,C264/(1+$B$9)^A264,0)</x:f>
        <x:v>0</x:v>
      </x:c>
    </x:row>
    <x:row r="265">
      <x:c r="A265" s="142" t="n">
        <x:v>211</x:v>
      </x:c>
      <x:c r="B265" s="179" t="n">
        <x:f>EDATE($B$5,A265-1)</x:f>
        <x:v>52932</x:v>
      </x:c>
      <x:c r="C265" s="141" t="n">
        <x:f>IF(AND($B$22="Sim",A265&gt;=$B$23,A265&lt;$B$23+$B$31),$B$32*D265,0)</x:f>
        <x:v>0</x:v>
      </x:c>
      <x:c r="D265" s="180" t="n">
        <x:f>IF(A265&lt;$B$23,1,(1+$B$33)^INT((A265-$B$23)/12))</x:f>
        <x:v>2.6927727857668136</x:v>
      </x:c>
      <x:c r="E265" s="141" t="n">
        <x:f>IF(AND($B$22="Sim",A265=$B$23),$B$37,0)</x:f>
        <x:v>0</x:v>
      </x:c>
      <x:c r="F265" s="141" t="n">
        <x:f>IF(AND($B$22="Sim",A265=$B$24),$B$27,0)</x:f>
        <x:v>0</x:v>
      </x:c>
      <x:c r="G265" s="141" t="n">
        <x:f>IF(AND($B$22="Sim",A265=$B$23),$B$35,0)</x:f>
        <x:v>0</x:v>
      </x:c>
      <x:c r="H265" s="141" t="n">
        <x:f>IF(AND($B$22="Sim",A265=$B$23),$B$36,0)</x:f>
        <x:v>0</x:v>
      </x:c>
      <x:c r="I265" s="141" t="n">
        <x:f>IF(OR($B$22&lt;&gt;"Sim",A265&gt;=$B$23+$B$31-1),0,(I266+C266)/(1+$B$9))</x:f>
        <x:v>0</x:v>
      </x:c>
      <x:c r="J265" s="140" t="str">
        <x:f>IF($B$22&lt;&gt;"Sim","Desativada",IF(A265&lt;$B$23,"Antes da compra",IF(A265&lt;$B$23+$B$31,"Parcelas restantes","Encerrado")))</x:f>
        <x:v>Encerrado</x:v>
      </x:c>
      <x:c r="K265" s="141" t="n">
        <x:f>IF(C265&gt;0,C265/(1+$B$9)^A265,0)</x:f>
        <x:v>0</x:v>
      </x:c>
    </x:row>
    <x:row r="266">
      <x:c r="A266" s="142" t="n">
        <x:v>212</x:v>
      </x:c>
      <x:c r="B266" s="179" t="n">
        <x:f>EDATE($B$5,A266-1)</x:f>
        <x:v>52963</x:v>
      </x:c>
      <x:c r="C266" s="141" t="n">
        <x:f>IF(AND($B$22="Sim",A266&gt;=$B$23,A266&lt;$B$23+$B$31),$B$32*D266,0)</x:f>
        <x:v>0</x:v>
      </x:c>
      <x:c r="D266" s="180" t="n">
        <x:f>IF(A266&lt;$B$23,1,(1+$B$33)^INT((A266-$B$23)/12))</x:f>
        <x:v>2.6927727857668136</x:v>
      </x:c>
      <x:c r="E266" s="141" t="n">
        <x:f>IF(AND($B$22="Sim",A266=$B$23),$B$37,0)</x:f>
        <x:v>0</x:v>
      </x:c>
      <x:c r="F266" s="141" t="n">
        <x:f>IF(AND($B$22="Sim",A266=$B$24),$B$27,0)</x:f>
        <x:v>0</x:v>
      </x:c>
      <x:c r="G266" s="141" t="n">
        <x:f>IF(AND($B$22="Sim",A266=$B$23),$B$35,0)</x:f>
        <x:v>0</x:v>
      </x:c>
      <x:c r="H266" s="141" t="n">
        <x:f>IF(AND($B$22="Sim",A266=$B$23),$B$36,0)</x:f>
        <x:v>0</x:v>
      </x:c>
      <x:c r="I266" s="141" t="n">
        <x:f>IF(OR($B$22&lt;&gt;"Sim",A266&gt;=$B$23+$B$31-1),0,(I267+C267)/(1+$B$9))</x:f>
        <x:v>0</x:v>
      </x:c>
      <x:c r="J266" s="140" t="str">
        <x:f>IF($B$22&lt;&gt;"Sim","Desativada",IF(A266&lt;$B$23,"Antes da compra",IF(A266&lt;$B$23+$B$31,"Parcelas restantes","Encerrado")))</x:f>
        <x:v>Encerrado</x:v>
      </x:c>
      <x:c r="K266" s="141" t="n">
        <x:f>IF(C266&gt;0,C266/(1+$B$9)^A266,0)</x:f>
        <x:v>0</x:v>
      </x:c>
    </x:row>
    <x:row r="267">
      <x:c r="A267" s="142" t="n">
        <x:v>213</x:v>
      </x:c>
      <x:c r="B267" s="179" t="n">
        <x:f>EDATE($B$5,A267-1)</x:f>
        <x:v>52994</x:v>
      </x:c>
      <x:c r="C267" s="141" t="n">
        <x:f>IF(AND($B$22="Sim",A267&gt;=$B$23,A267&lt;$B$23+$B$31),$B$32*D267,0)</x:f>
        <x:v>0</x:v>
      </x:c>
      <x:c r="D267" s="180" t="n">
        <x:f>IF(A267&lt;$B$23,1,(1+$B$33)^INT((A267-$B$23)/12))</x:f>
        <x:v>2.6927727857668136</x:v>
      </x:c>
      <x:c r="E267" s="141" t="n">
        <x:f>IF(AND($B$22="Sim",A267=$B$23),$B$37,0)</x:f>
        <x:v>0</x:v>
      </x:c>
      <x:c r="F267" s="141" t="n">
        <x:f>IF(AND($B$22="Sim",A267=$B$24),$B$27,0)</x:f>
        <x:v>0</x:v>
      </x:c>
      <x:c r="G267" s="141" t="n">
        <x:f>IF(AND($B$22="Sim",A267=$B$23),$B$35,0)</x:f>
        <x:v>0</x:v>
      </x:c>
      <x:c r="H267" s="141" t="n">
        <x:f>IF(AND($B$22="Sim",A267=$B$23),$B$36,0)</x:f>
        <x:v>0</x:v>
      </x:c>
      <x:c r="I267" s="141" t="n">
        <x:f>IF(OR($B$22&lt;&gt;"Sim",A267&gt;=$B$23+$B$31-1),0,(I268+C268)/(1+$B$9))</x:f>
        <x:v>0</x:v>
      </x:c>
      <x:c r="J267" s="140" t="str">
        <x:f>IF($B$22&lt;&gt;"Sim","Desativada",IF(A267&lt;$B$23,"Antes da compra",IF(A267&lt;$B$23+$B$31,"Parcelas restantes","Encerrado")))</x:f>
        <x:v>Encerrado</x:v>
      </x:c>
      <x:c r="K267" s="141" t="n">
        <x:f>IF(C267&gt;0,C267/(1+$B$9)^A267,0)</x:f>
        <x:v>0</x:v>
      </x:c>
    </x:row>
    <x:row r="268">
      <x:c r="A268" s="142" t="n">
        <x:v>214</x:v>
      </x:c>
      <x:c r="B268" s="179" t="n">
        <x:f>EDATE($B$5,A268-1)</x:f>
        <x:v>53022</x:v>
      </x:c>
      <x:c r="C268" s="141" t="n">
        <x:f>IF(AND($B$22="Sim",A268&gt;=$B$23,A268&lt;$B$23+$B$31),$B$32*D268,0)</x:f>
        <x:v>0</x:v>
      </x:c>
      <x:c r="D268" s="180" t="n">
        <x:f>IF(A268&lt;$B$23,1,(1+$B$33)^INT((A268-$B$23)/12))</x:f>
        <x:v>2.6927727857668136</x:v>
      </x:c>
      <x:c r="E268" s="141" t="n">
        <x:f>IF(AND($B$22="Sim",A268=$B$23),$B$37,0)</x:f>
        <x:v>0</x:v>
      </x:c>
      <x:c r="F268" s="141" t="n">
        <x:f>IF(AND($B$22="Sim",A268=$B$24),$B$27,0)</x:f>
        <x:v>0</x:v>
      </x:c>
      <x:c r="G268" s="141" t="n">
        <x:f>IF(AND($B$22="Sim",A268=$B$23),$B$35,0)</x:f>
        <x:v>0</x:v>
      </x:c>
      <x:c r="H268" s="141" t="n">
        <x:f>IF(AND($B$22="Sim",A268=$B$23),$B$36,0)</x:f>
        <x:v>0</x:v>
      </x:c>
      <x:c r="I268" s="141" t="n">
        <x:f>IF(OR($B$22&lt;&gt;"Sim",A268&gt;=$B$23+$B$31-1),0,(I269+C269)/(1+$B$9))</x:f>
        <x:v>0</x:v>
      </x:c>
      <x:c r="J268" s="140" t="str">
        <x:f>IF($B$22&lt;&gt;"Sim","Desativada",IF(A268&lt;$B$23,"Antes da compra",IF(A268&lt;$B$23+$B$31,"Parcelas restantes","Encerrado")))</x:f>
        <x:v>Encerrado</x:v>
      </x:c>
      <x:c r="K268" s="141" t="n">
        <x:f>IF(C268&gt;0,C268/(1+$B$9)^A268,0)</x:f>
        <x:v>0</x:v>
      </x:c>
    </x:row>
    <x:row r="269">
      <x:c r="A269" s="142" t="n">
        <x:v>215</x:v>
      </x:c>
      <x:c r="B269" s="179" t="n">
        <x:f>EDATE($B$5,A269-1)</x:f>
        <x:v>53053</x:v>
      </x:c>
      <x:c r="C269" s="141" t="n">
        <x:f>IF(AND($B$22="Sim",A269&gt;=$B$23,A269&lt;$B$23+$B$31),$B$32*D269,0)</x:f>
        <x:v>0</x:v>
      </x:c>
      <x:c r="D269" s="180" t="n">
        <x:f>IF(A269&lt;$B$23,1,(1+$B$33)^INT((A269-$B$23)/12))</x:f>
        <x:v>2.6927727857668136</x:v>
      </x:c>
      <x:c r="E269" s="141" t="n">
        <x:f>IF(AND($B$22="Sim",A269=$B$23),$B$37,0)</x:f>
        <x:v>0</x:v>
      </x:c>
      <x:c r="F269" s="141" t="n">
        <x:f>IF(AND($B$22="Sim",A269=$B$24),$B$27,0)</x:f>
        <x:v>0</x:v>
      </x:c>
      <x:c r="G269" s="141" t="n">
        <x:f>IF(AND($B$22="Sim",A269=$B$23),$B$35,0)</x:f>
        <x:v>0</x:v>
      </x:c>
      <x:c r="H269" s="141" t="n">
        <x:f>IF(AND($B$22="Sim",A269=$B$23),$B$36,0)</x:f>
        <x:v>0</x:v>
      </x:c>
      <x:c r="I269" s="141" t="n">
        <x:f>IF(OR($B$22&lt;&gt;"Sim",A269&gt;=$B$23+$B$31-1),0,(I270+C270)/(1+$B$9))</x:f>
        <x:v>0</x:v>
      </x:c>
      <x:c r="J269" s="140" t="str">
        <x:f>IF($B$22&lt;&gt;"Sim","Desativada",IF(A269&lt;$B$23,"Antes da compra",IF(A269&lt;$B$23+$B$31,"Parcelas restantes","Encerrado")))</x:f>
        <x:v>Encerrado</x:v>
      </x:c>
      <x:c r="K269" s="141" t="n">
        <x:f>IF(C269&gt;0,C269/(1+$B$9)^A269,0)</x:f>
        <x:v>0</x:v>
      </x:c>
    </x:row>
    <x:row r="270">
      <x:c r="A270" s="142" t="n">
        <x:v>216</x:v>
      </x:c>
      <x:c r="B270" s="179" t="n">
        <x:f>EDATE($B$5,A270-1)</x:f>
        <x:v>53083</x:v>
      </x:c>
      <x:c r="C270" s="141" t="n">
        <x:f>IF(AND($B$22="Sim",A270&gt;=$B$23,A270&lt;$B$23+$B$31),$B$32*D270,0)</x:f>
        <x:v>0</x:v>
      </x:c>
      <x:c r="D270" s="180" t="n">
        <x:f>IF(A270&lt;$B$23,1,(1+$B$33)^INT((A270-$B$23)/12))</x:f>
        <x:v>2.6927727857668136</x:v>
      </x:c>
      <x:c r="E270" s="141" t="n">
        <x:f>IF(AND($B$22="Sim",A270=$B$23),$B$37,0)</x:f>
        <x:v>0</x:v>
      </x:c>
      <x:c r="F270" s="141" t="n">
        <x:f>IF(AND($B$22="Sim",A270=$B$24),$B$27,0)</x:f>
        <x:v>0</x:v>
      </x:c>
      <x:c r="G270" s="141" t="n">
        <x:f>IF(AND($B$22="Sim",A270=$B$23),$B$35,0)</x:f>
        <x:v>0</x:v>
      </x:c>
      <x:c r="H270" s="141" t="n">
        <x:f>IF(AND($B$22="Sim",A270=$B$23),$B$36,0)</x:f>
        <x:v>0</x:v>
      </x:c>
      <x:c r="I270" s="141" t="n">
        <x:f>IF(OR($B$22&lt;&gt;"Sim",A270&gt;=$B$23+$B$31-1),0,(I271+C271)/(1+$B$9))</x:f>
        <x:v>0</x:v>
      </x:c>
      <x:c r="J270" s="140" t="str">
        <x:f>IF($B$22&lt;&gt;"Sim","Desativada",IF(A270&lt;$B$23,"Antes da compra",IF(A270&lt;$B$23+$B$31,"Parcelas restantes","Encerrado")))</x:f>
        <x:v>Encerrado</x:v>
      </x:c>
      <x:c r="K270" s="141" t="n">
        <x:f>IF(C270&gt;0,C270/(1+$B$9)^A270,0)</x:f>
        <x:v>0</x:v>
      </x:c>
    </x:row>
    <x:row r="271">
      <x:c r="A271" s="142" t="n">
        <x:v>217</x:v>
      </x:c>
      <x:c r="B271" s="179" t="n">
        <x:f>EDATE($B$5,A271-1)</x:f>
        <x:v>53114</x:v>
      </x:c>
      <x:c r="C271" s="141" t="n">
        <x:f>IF(AND($B$22="Sim",A271&gt;=$B$23,A271&lt;$B$23+$B$31),$B$32*D271,0)</x:f>
        <x:v>0</x:v>
      </x:c>
      <x:c r="D271" s="180" t="n">
        <x:f>IF(A271&lt;$B$23,1,(1+$B$33)^INT((A271-$B$23)/12))</x:f>
        <x:v>2.854339152912823</x:v>
      </x:c>
      <x:c r="E271" s="141" t="n">
        <x:f>IF(AND($B$22="Sim",A271=$B$23),$B$37,0)</x:f>
        <x:v>0</x:v>
      </x:c>
      <x:c r="F271" s="141" t="n">
        <x:f>IF(AND($B$22="Sim",A271=$B$24),$B$27,0)</x:f>
        <x:v>0</x:v>
      </x:c>
      <x:c r="G271" s="141" t="n">
        <x:f>IF(AND($B$22="Sim",A271=$B$23),$B$35,0)</x:f>
        <x:v>0</x:v>
      </x:c>
      <x:c r="H271" s="141" t="n">
        <x:f>IF(AND($B$22="Sim",A271=$B$23),$B$36,0)</x:f>
        <x:v>0</x:v>
      </x:c>
      <x:c r="I271" s="141" t="n">
        <x:f>IF(OR($B$22&lt;&gt;"Sim",A271&gt;=$B$23+$B$31-1),0,(I272+C272)/(1+$B$9))</x:f>
        <x:v>0</x:v>
      </x:c>
      <x:c r="J271" s="140" t="str">
        <x:f>IF($B$22&lt;&gt;"Sim","Desativada",IF(A271&lt;$B$23,"Antes da compra",IF(A271&lt;$B$23+$B$31,"Parcelas restantes","Encerrado")))</x:f>
        <x:v>Encerrado</x:v>
      </x:c>
      <x:c r="K271" s="141" t="n">
        <x:f>IF(C271&gt;0,C271/(1+$B$9)^A271,0)</x:f>
        <x:v>0</x:v>
      </x:c>
    </x:row>
    <x:row r="272">
      <x:c r="A272" s="142" t="n">
        <x:v>218</x:v>
      </x:c>
      <x:c r="B272" s="179" t="n">
        <x:f>EDATE($B$5,A272-1)</x:f>
        <x:v>53144</x:v>
      </x:c>
      <x:c r="C272" s="141" t="n">
        <x:f>IF(AND($B$22="Sim",A272&gt;=$B$23,A272&lt;$B$23+$B$31),$B$32*D272,0)</x:f>
        <x:v>0</x:v>
      </x:c>
      <x:c r="D272" s="180" t="n">
        <x:f>IF(A272&lt;$B$23,1,(1+$B$33)^INT((A272-$B$23)/12))</x:f>
        <x:v>2.854339152912823</x:v>
      </x:c>
      <x:c r="E272" s="141" t="n">
        <x:f>IF(AND($B$22="Sim",A272=$B$23),$B$37,0)</x:f>
        <x:v>0</x:v>
      </x:c>
      <x:c r="F272" s="141" t="n">
        <x:f>IF(AND($B$22="Sim",A272=$B$24),$B$27,0)</x:f>
        <x:v>0</x:v>
      </x:c>
      <x:c r="G272" s="141" t="n">
        <x:f>IF(AND($B$22="Sim",A272=$B$23),$B$35,0)</x:f>
        <x:v>0</x:v>
      </x:c>
      <x:c r="H272" s="141" t="n">
        <x:f>IF(AND($B$22="Sim",A272=$B$23),$B$36,0)</x:f>
        <x:v>0</x:v>
      </x:c>
      <x:c r="I272" s="141" t="n">
        <x:f>IF(OR($B$22&lt;&gt;"Sim",A272&gt;=$B$23+$B$31-1),0,(I273+C273)/(1+$B$9))</x:f>
        <x:v>0</x:v>
      </x:c>
      <x:c r="J272" s="140" t="str">
        <x:f>IF($B$22&lt;&gt;"Sim","Desativada",IF(A272&lt;$B$23,"Antes da compra",IF(A272&lt;$B$23+$B$31,"Parcelas restantes","Encerrado")))</x:f>
        <x:v>Encerrado</x:v>
      </x:c>
      <x:c r="K272" s="141" t="n">
        <x:f>IF(C272&gt;0,C272/(1+$B$9)^A272,0)</x:f>
        <x:v>0</x:v>
      </x:c>
    </x:row>
    <x:row r="273">
      <x:c r="A273" s="142" t="n">
        <x:v>219</x:v>
      </x:c>
      <x:c r="B273" s="179" t="n">
        <x:f>EDATE($B$5,A273-1)</x:f>
        <x:v>53175</x:v>
      </x:c>
      <x:c r="C273" s="141" t="n">
        <x:f>IF(AND($B$22="Sim",A273&gt;=$B$23,A273&lt;$B$23+$B$31),$B$32*D273,0)</x:f>
        <x:v>0</x:v>
      </x:c>
      <x:c r="D273" s="180" t="n">
        <x:f>IF(A273&lt;$B$23,1,(1+$B$33)^INT((A273-$B$23)/12))</x:f>
        <x:v>2.854339152912823</x:v>
      </x:c>
      <x:c r="E273" s="141" t="n">
        <x:f>IF(AND($B$22="Sim",A273=$B$23),$B$37,0)</x:f>
        <x:v>0</x:v>
      </x:c>
      <x:c r="F273" s="141" t="n">
        <x:f>IF(AND($B$22="Sim",A273=$B$24),$B$27,0)</x:f>
        <x:v>0</x:v>
      </x:c>
      <x:c r="G273" s="141" t="n">
        <x:f>IF(AND($B$22="Sim",A273=$B$23),$B$35,0)</x:f>
        <x:v>0</x:v>
      </x:c>
      <x:c r="H273" s="141" t="n">
        <x:f>IF(AND($B$22="Sim",A273=$B$23),$B$36,0)</x:f>
        <x:v>0</x:v>
      </x:c>
      <x:c r="I273" s="141" t="n">
        <x:f>IF(OR($B$22&lt;&gt;"Sim",A273&gt;=$B$23+$B$31-1),0,(I274+C274)/(1+$B$9))</x:f>
        <x:v>0</x:v>
      </x:c>
      <x:c r="J273" s="140" t="str">
        <x:f>IF($B$22&lt;&gt;"Sim","Desativada",IF(A273&lt;$B$23,"Antes da compra",IF(A273&lt;$B$23+$B$31,"Parcelas restantes","Encerrado")))</x:f>
        <x:v>Encerrado</x:v>
      </x:c>
      <x:c r="K273" s="141" t="n">
        <x:f>IF(C273&gt;0,C273/(1+$B$9)^A273,0)</x:f>
        <x:v>0</x:v>
      </x:c>
    </x:row>
    <x:row r="274">
      <x:c r="A274" s="142" t="n">
        <x:v>220</x:v>
      </x:c>
      <x:c r="B274" s="179" t="n">
        <x:f>EDATE($B$5,A274-1)</x:f>
        <x:v>53206</x:v>
      </x:c>
      <x:c r="C274" s="141" t="n">
        <x:f>IF(AND($B$22="Sim",A274&gt;=$B$23,A274&lt;$B$23+$B$31),$B$32*D274,0)</x:f>
        <x:v>0</x:v>
      </x:c>
      <x:c r="D274" s="180" t="n">
        <x:f>IF(A274&lt;$B$23,1,(1+$B$33)^INT((A274-$B$23)/12))</x:f>
        <x:v>2.854339152912823</x:v>
      </x:c>
      <x:c r="E274" s="141" t="n">
        <x:f>IF(AND($B$22="Sim",A274=$B$23),$B$37,0)</x:f>
        <x:v>0</x:v>
      </x:c>
      <x:c r="F274" s="141" t="n">
        <x:f>IF(AND($B$22="Sim",A274=$B$24),$B$27,0)</x:f>
        <x:v>0</x:v>
      </x:c>
      <x:c r="G274" s="141" t="n">
        <x:f>IF(AND($B$22="Sim",A274=$B$23),$B$35,0)</x:f>
        <x:v>0</x:v>
      </x:c>
      <x:c r="H274" s="141" t="n">
        <x:f>IF(AND($B$22="Sim",A274=$B$23),$B$36,0)</x:f>
        <x:v>0</x:v>
      </x:c>
      <x:c r="I274" s="141" t="n">
        <x:f>IF(OR($B$22&lt;&gt;"Sim",A274&gt;=$B$23+$B$31-1),0,(I275+C275)/(1+$B$9))</x:f>
        <x:v>0</x:v>
      </x:c>
      <x:c r="J274" s="140" t="str">
        <x:f>IF($B$22&lt;&gt;"Sim","Desativada",IF(A274&lt;$B$23,"Antes da compra",IF(A274&lt;$B$23+$B$31,"Parcelas restantes","Encerrado")))</x:f>
        <x:v>Encerrado</x:v>
      </x:c>
      <x:c r="K274" s="141" t="n">
        <x:f>IF(C274&gt;0,C274/(1+$B$9)^A274,0)</x:f>
        <x:v>0</x:v>
      </x:c>
    </x:row>
    <x:row r="275">
      <x:c r="A275" s="142" t="n">
        <x:v>221</x:v>
      </x:c>
      <x:c r="B275" s="179" t="n">
        <x:f>EDATE($B$5,A275-1)</x:f>
        <x:v>53236</x:v>
      </x:c>
      <x:c r="C275" s="141" t="n">
        <x:f>IF(AND($B$22="Sim",A275&gt;=$B$23,A275&lt;$B$23+$B$31),$B$32*D275,0)</x:f>
        <x:v>0</x:v>
      </x:c>
      <x:c r="D275" s="180" t="n">
        <x:f>IF(A275&lt;$B$23,1,(1+$B$33)^INT((A275-$B$23)/12))</x:f>
        <x:v>2.854339152912823</x:v>
      </x:c>
      <x:c r="E275" s="141" t="n">
        <x:f>IF(AND($B$22="Sim",A275=$B$23),$B$37,0)</x:f>
        <x:v>0</x:v>
      </x:c>
      <x:c r="F275" s="141" t="n">
        <x:f>IF(AND($B$22="Sim",A275=$B$24),$B$27,0)</x:f>
        <x:v>0</x:v>
      </x:c>
      <x:c r="G275" s="141" t="n">
        <x:f>IF(AND($B$22="Sim",A275=$B$23),$B$35,0)</x:f>
        <x:v>0</x:v>
      </x:c>
      <x:c r="H275" s="141" t="n">
        <x:f>IF(AND($B$22="Sim",A275=$B$23),$B$36,0)</x:f>
        <x:v>0</x:v>
      </x:c>
      <x:c r="I275" s="141" t="n">
        <x:f>IF(OR($B$22&lt;&gt;"Sim",A275&gt;=$B$23+$B$31-1),0,(I276+C276)/(1+$B$9))</x:f>
        <x:v>0</x:v>
      </x:c>
      <x:c r="J275" s="140" t="str">
        <x:f>IF($B$22&lt;&gt;"Sim","Desativada",IF(A275&lt;$B$23,"Antes da compra",IF(A275&lt;$B$23+$B$31,"Parcelas restantes","Encerrado")))</x:f>
        <x:v>Encerrado</x:v>
      </x:c>
      <x:c r="K275" s="141" t="n">
        <x:f>IF(C275&gt;0,C275/(1+$B$9)^A275,0)</x:f>
        <x:v>0</x:v>
      </x:c>
    </x:row>
    <x:row r="276">
      <x:c r="A276" s="142" t="n">
        <x:v>222</x:v>
      </x:c>
      <x:c r="B276" s="179" t="n">
        <x:f>EDATE($B$5,A276-1)</x:f>
        <x:v>53267</x:v>
      </x:c>
      <x:c r="C276" s="141" t="n">
        <x:f>IF(AND($B$22="Sim",A276&gt;=$B$23,A276&lt;$B$23+$B$31),$B$32*D276,0)</x:f>
        <x:v>0</x:v>
      </x:c>
      <x:c r="D276" s="180" t="n">
        <x:f>IF(A276&lt;$B$23,1,(1+$B$33)^INT((A276-$B$23)/12))</x:f>
        <x:v>2.854339152912823</x:v>
      </x:c>
      <x:c r="E276" s="141" t="n">
        <x:f>IF(AND($B$22="Sim",A276=$B$23),$B$37,0)</x:f>
        <x:v>0</x:v>
      </x:c>
      <x:c r="F276" s="141" t="n">
        <x:f>IF(AND($B$22="Sim",A276=$B$24),$B$27,0)</x:f>
        <x:v>0</x:v>
      </x:c>
      <x:c r="G276" s="141" t="n">
        <x:f>IF(AND($B$22="Sim",A276=$B$23),$B$35,0)</x:f>
        <x:v>0</x:v>
      </x:c>
      <x:c r="H276" s="141" t="n">
        <x:f>IF(AND($B$22="Sim",A276=$B$23),$B$36,0)</x:f>
        <x:v>0</x:v>
      </x:c>
      <x:c r="I276" s="141" t="n">
        <x:f>IF(OR($B$22&lt;&gt;"Sim",A276&gt;=$B$23+$B$31-1),0,(I277+C277)/(1+$B$9))</x:f>
        <x:v>0</x:v>
      </x:c>
      <x:c r="J276" s="140" t="str">
        <x:f>IF($B$22&lt;&gt;"Sim","Desativada",IF(A276&lt;$B$23,"Antes da compra",IF(A276&lt;$B$23+$B$31,"Parcelas restantes","Encerrado")))</x:f>
        <x:v>Encerrado</x:v>
      </x:c>
      <x:c r="K276" s="141" t="n">
        <x:f>IF(C276&gt;0,C276/(1+$B$9)^A276,0)</x:f>
        <x:v>0</x:v>
      </x:c>
    </x:row>
    <x:row r="277">
      <x:c r="A277" s="142" t="n">
        <x:v>223</x:v>
      </x:c>
      <x:c r="B277" s="179" t="n">
        <x:f>EDATE($B$5,A277-1)</x:f>
        <x:v>53297</x:v>
      </x:c>
      <x:c r="C277" s="141" t="n">
        <x:f>IF(AND($B$22="Sim",A277&gt;=$B$23,A277&lt;$B$23+$B$31),$B$32*D277,0)</x:f>
        <x:v>0</x:v>
      </x:c>
      <x:c r="D277" s="180" t="n">
        <x:f>IF(A277&lt;$B$23,1,(1+$B$33)^INT((A277-$B$23)/12))</x:f>
        <x:v>2.854339152912823</x:v>
      </x:c>
      <x:c r="E277" s="141" t="n">
        <x:f>IF(AND($B$22="Sim",A277=$B$23),$B$37,0)</x:f>
        <x:v>0</x:v>
      </x:c>
      <x:c r="F277" s="141" t="n">
        <x:f>IF(AND($B$22="Sim",A277=$B$24),$B$27,0)</x:f>
        <x:v>0</x:v>
      </x:c>
      <x:c r="G277" s="141" t="n">
        <x:f>IF(AND($B$22="Sim",A277=$B$23),$B$35,0)</x:f>
        <x:v>0</x:v>
      </x:c>
      <x:c r="H277" s="141" t="n">
        <x:f>IF(AND($B$22="Sim",A277=$B$23),$B$36,0)</x:f>
        <x:v>0</x:v>
      </x:c>
      <x:c r="I277" s="141" t="n">
        <x:f>IF(OR($B$22&lt;&gt;"Sim",A277&gt;=$B$23+$B$31-1),0,(I278+C278)/(1+$B$9))</x:f>
        <x:v>0</x:v>
      </x:c>
      <x:c r="J277" s="140" t="str">
        <x:f>IF($B$22&lt;&gt;"Sim","Desativada",IF(A277&lt;$B$23,"Antes da compra",IF(A277&lt;$B$23+$B$31,"Parcelas restantes","Encerrado")))</x:f>
        <x:v>Encerrado</x:v>
      </x:c>
      <x:c r="K277" s="141" t="n">
        <x:f>IF(C277&gt;0,C277/(1+$B$9)^A277,0)</x:f>
        <x:v>0</x:v>
      </x:c>
    </x:row>
    <x:row r="278">
      <x:c r="A278" s="142" t="n">
        <x:v>224</x:v>
      </x:c>
      <x:c r="B278" s="179" t="n">
        <x:f>EDATE($B$5,A278-1)</x:f>
        <x:v>53328</x:v>
      </x:c>
      <x:c r="C278" s="141" t="n">
        <x:f>IF(AND($B$22="Sim",A278&gt;=$B$23,A278&lt;$B$23+$B$31),$B$32*D278,0)</x:f>
        <x:v>0</x:v>
      </x:c>
      <x:c r="D278" s="180" t="n">
        <x:f>IF(A278&lt;$B$23,1,(1+$B$33)^INT((A278-$B$23)/12))</x:f>
        <x:v>2.854339152912823</x:v>
      </x:c>
      <x:c r="E278" s="141" t="n">
        <x:f>IF(AND($B$22="Sim",A278=$B$23),$B$37,0)</x:f>
        <x:v>0</x:v>
      </x:c>
      <x:c r="F278" s="141" t="n">
        <x:f>IF(AND($B$22="Sim",A278=$B$24),$B$27,0)</x:f>
        <x:v>0</x:v>
      </x:c>
      <x:c r="G278" s="141" t="n">
        <x:f>IF(AND($B$22="Sim",A278=$B$23),$B$35,0)</x:f>
        <x:v>0</x:v>
      </x:c>
      <x:c r="H278" s="141" t="n">
        <x:f>IF(AND($B$22="Sim",A278=$B$23),$B$36,0)</x:f>
        <x:v>0</x:v>
      </x:c>
      <x:c r="I278" s="141" t="n">
        <x:f>IF(OR($B$22&lt;&gt;"Sim",A278&gt;=$B$23+$B$31-1),0,(I279+C279)/(1+$B$9))</x:f>
        <x:v>0</x:v>
      </x:c>
      <x:c r="J278" s="140" t="str">
        <x:f>IF($B$22&lt;&gt;"Sim","Desativada",IF(A278&lt;$B$23,"Antes da compra",IF(A278&lt;$B$23+$B$31,"Parcelas restantes","Encerrado")))</x:f>
        <x:v>Encerrado</x:v>
      </x:c>
      <x:c r="K278" s="141" t="n">
        <x:f>IF(C278&gt;0,C278/(1+$B$9)^A278,0)</x:f>
        <x:v>0</x:v>
      </x:c>
    </x:row>
    <x:row r="279">
      <x:c r="A279" s="142" t="n">
        <x:v>225</x:v>
      </x:c>
      <x:c r="B279" s="179" t="n">
        <x:f>EDATE($B$5,A279-1)</x:f>
        <x:v>53359</x:v>
      </x:c>
      <x:c r="C279" s="141" t="n">
        <x:f>IF(AND($B$22="Sim",A279&gt;=$B$23,A279&lt;$B$23+$B$31),$B$32*D279,0)</x:f>
        <x:v>0</x:v>
      </x:c>
      <x:c r="D279" s="180" t="n">
        <x:f>IF(A279&lt;$B$23,1,(1+$B$33)^INT((A279-$B$23)/12))</x:f>
        <x:v>2.854339152912823</x:v>
      </x:c>
      <x:c r="E279" s="141" t="n">
        <x:f>IF(AND($B$22="Sim",A279=$B$23),$B$37,0)</x:f>
        <x:v>0</x:v>
      </x:c>
      <x:c r="F279" s="141" t="n">
        <x:f>IF(AND($B$22="Sim",A279=$B$24),$B$27,0)</x:f>
        <x:v>0</x:v>
      </x:c>
      <x:c r="G279" s="141" t="n">
        <x:f>IF(AND($B$22="Sim",A279=$B$23),$B$35,0)</x:f>
        <x:v>0</x:v>
      </x:c>
      <x:c r="H279" s="141" t="n">
        <x:f>IF(AND($B$22="Sim",A279=$B$23),$B$36,0)</x:f>
        <x:v>0</x:v>
      </x:c>
      <x:c r="I279" s="141" t="n">
        <x:f>IF(OR($B$22&lt;&gt;"Sim",A279&gt;=$B$23+$B$31-1),0,(I280+C280)/(1+$B$9))</x:f>
        <x:v>0</x:v>
      </x:c>
      <x:c r="J279" s="140" t="str">
        <x:f>IF($B$22&lt;&gt;"Sim","Desativada",IF(A279&lt;$B$23,"Antes da compra",IF(A279&lt;$B$23+$B$31,"Parcelas restantes","Encerrado")))</x:f>
        <x:v>Encerrado</x:v>
      </x:c>
      <x:c r="K279" s="141" t="n">
        <x:f>IF(C279&gt;0,C279/(1+$B$9)^A279,0)</x:f>
        <x:v>0</x:v>
      </x:c>
    </x:row>
    <x:row r="280">
      <x:c r="A280" s="142" t="n">
        <x:v>226</x:v>
      </x:c>
      <x:c r="B280" s="179" t="n">
        <x:f>EDATE($B$5,A280-1)</x:f>
        <x:v>53387</x:v>
      </x:c>
      <x:c r="C280" s="141" t="n">
        <x:f>IF(AND($B$22="Sim",A280&gt;=$B$23,A280&lt;$B$23+$B$31),$B$32*D280,0)</x:f>
        <x:v>0</x:v>
      </x:c>
      <x:c r="D280" s="180" t="n">
        <x:f>IF(A280&lt;$B$23,1,(1+$B$33)^INT((A280-$B$23)/12))</x:f>
        <x:v>2.854339152912823</x:v>
      </x:c>
      <x:c r="E280" s="141" t="n">
        <x:f>IF(AND($B$22="Sim",A280=$B$23),$B$37,0)</x:f>
        <x:v>0</x:v>
      </x:c>
      <x:c r="F280" s="141" t="n">
        <x:f>IF(AND($B$22="Sim",A280=$B$24),$B$27,0)</x:f>
        <x:v>0</x:v>
      </x:c>
      <x:c r="G280" s="141" t="n">
        <x:f>IF(AND($B$22="Sim",A280=$B$23),$B$35,0)</x:f>
        <x:v>0</x:v>
      </x:c>
      <x:c r="H280" s="141" t="n">
        <x:f>IF(AND($B$22="Sim",A280=$B$23),$B$36,0)</x:f>
        <x:v>0</x:v>
      </x:c>
      <x:c r="I280" s="141" t="n">
        <x:f>IF(OR($B$22&lt;&gt;"Sim",A280&gt;=$B$23+$B$31-1),0,(I281+C281)/(1+$B$9))</x:f>
        <x:v>0</x:v>
      </x:c>
      <x:c r="J280" s="140" t="str">
        <x:f>IF($B$22&lt;&gt;"Sim","Desativada",IF(A280&lt;$B$23,"Antes da compra",IF(A280&lt;$B$23+$B$31,"Parcelas restantes","Encerrado")))</x:f>
        <x:v>Encerrado</x:v>
      </x:c>
      <x:c r="K280" s="141" t="n">
        <x:f>IF(C280&gt;0,C280/(1+$B$9)^A280,0)</x:f>
        <x:v>0</x:v>
      </x:c>
    </x:row>
    <x:row r="281">
      <x:c r="A281" s="142" t="n">
        <x:v>227</x:v>
      </x:c>
      <x:c r="B281" s="179" t="n">
        <x:f>EDATE($B$5,A281-1)</x:f>
        <x:v>53418</x:v>
      </x:c>
      <x:c r="C281" s="141" t="n">
        <x:f>IF(AND($B$22="Sim",A281&gt;=$B$23,A281&lt;$B$23+$B$31),$B$32*D281,0)</x:f>
        <x:v>0</x:v>
      </x:c>
      <x:c r="D281" s="180" t="n">
        <x:f>IF(A281&lt;$B$23,1,(1+$B$33)^INT((A281-$B$23)/12))</x:f>
        <x:v>2.854339152912823</x:v>
      </x:c>
      <x:c r="E281" s="141" t="n">
        <x:f>IF(AND($B$22="Sim",A281=$B$23),$B$37,0)</x:f>
        <x:v>0</x:v>
      </x:c>
      <x:c r="F281" s="141" t="n">
        <x:f>IF(AND($B$22="Sim",A281=$B$24),$B$27,0)</x:f>
        <x:v>0</x:v>
      </x:c>
      <x:c r="G281" s="141" t="n">
        <x:f>IF(AND($B$22="Sim",A281=$B$23),$B$35,0)</x:f>
        <x:v>0</x:v>
      </x:c>
      <x:c r="H281" s="141" t="n">
        <x:f>IF(AND($B$22="Sim",A281=$B$23),$B$36,0)</x:f>
        <x:v>0</x:v>
      </x:c>
      <x:c r="I281" s="141" t="n">
        <x:f>IF(OR($B$22&lt;&gt;"Sim",A281&gt;=$B$23+$B$31-1),0,(I282+C282)/(1+$B$9))</x:f>
        <x:v>0</x:v>
      </x:c>
      <x:c r="J281" s="140" t="str">
        <x:f>IF($B$22&lt;&gt;"Sim","Desativada",IF(A281&lt;$B$23,"Antes da compra",IF(A281&lt;$B$23+$B$31,"Parcelas restantes","Encerrado")))</x:f>
        <x:v>Encerrado</x:v>
      </x:c>
      <x:c r="K281" s="141" t="n">
        <x:f>IF(C281&gt;0,C281/(1+$B$9)^A281,0)</x:f>
        <x:v>0</x:v>
      </x:c>
    </x:row>
    <x:row r="282">
      <x:c r="A282" s="142" t="n">
        <x:v>228</x:v>
      </x:c>
      <x:c r="B282" s="179" t="n">
        <x:f>EDATE($B$5,A282-1)</x:f>
        <x:v>53448</x:v>
      </x:c>
      <x:c r="C282" s="141" t="n">
        <x:f>IF(AND($B$22="Sim",A282&gt;=$B$23,A282&lt;$B$23+$B$31),$B$32*D282,0)</x:f>
        <x:v>0</x:v>
      </x:c>
      <x:c r="D282" s="180" t="n">
        <x:f>IF(A282&lt;$B$23,1,(1+$B$33)^INT((A282-$B$23)/12))</x:f>
        <x:v>2.854339152912823</x:v>
      </x:c>
      <x:c r="E282" s="141" t="n">
        <x:f>IF(AND($B$22="Sim",A282=$B$23),$B$37,0)</x:f>
        <x:v>0</x:v>
      </x:c>
      <x:c r="F282" s="141" t="n">
        <x:f>IF(AND($B$22="Sim",A282=$B$24),$B$27,0)</x:f>
        <x:v>0</x:v>
      </x:c>
      <x:c r="G282" s="141" t="n">
        <x:f>IF(AND($B$22="Sim",A282=$B$23),$B$35,0)</x:f>
        <x:v>0</x:v>
      </x:c>
      <x:c r="H282" s="141" t="n">
        <x:f>IF(AND($B$22="Sim",A282=$B$23),$B$36,0)</x:f>
        <x:v>0</x:v>
      </x:c>
      <x:c r="I282" s="141" t="n">
        <x:f>IF(OR($B$22&lt;&gt;"Sim",A282&gt;=$B$23+$B$31-1),0,(I283+C283)/(1+$B$9))</x:f>
        <x:v>0</x:v>
      </x:c>
      <x:c r="J282" s="140" t="str">
        <x:f>IF($B$22&lt;&gt;"Sim","Desativada",IF(A282&lt;$B$23,"Antes da compra",IF(A282&lt;$B$23+$B$31,"Parcelas restantes","Encerrado")))</x:f>
        <x:v>Encerrado</x:v>
      </x:c>
      <x:c r="K282" s="141" t="n">
        <x:f>IF(C282&gt;0,C282/(1+$B$9)^A282,0)</x:f>
        <x:v>0</x:v>
      </x:c>
    </x:row>
    <x:row r="283">
      <x:c r="A283" s="142" t="n">
        <x:v>229</x:v>
      </x:c>
      <x:c r="B283" s="179" t="n">
        <x:f>EDATE($B$5,A283-1)</x:f>
        <x:v>53479</x:v>
      </x:c>
      <x:c r="C283" s="141" t="n">
        <x:f>IF(AND($B$22="Sim",A283&gt;=$B$23,A283&lt;$B$23+$B$31),$B$32*D283,0)</x:f>
        <x:v>0</x:v>
      </x:c>
      <x:c r="D283" s="180" t="n">
        <x:f>IF(A283&lt;$B$23,1,(1+$B$33)^INT((A283-$B$23)/12))</x:f>
        <x:v>3.025599502087592</x:v>
      </x:c>
      <x:c r="E283" s="141" t="n">
        <x:f>IF(AND($B$22="Sim",A283=$B$23),$B$37,0)</x:f>
        <x:v>0</x:v>
      </x:c>
      <x:c r="F283" s="141" t="n">
        <x:f>IF(AND($B$22="Sim",A283=$B$24),$B$27,0)</x:f>
        <x:v>0</x:v>
      </x:c>
      <x:c r="G283" s="141" t="n">
        <x:f>IF(AND($B$22="Sim",A283=$B$23),$B$35,0)</x:f>
        <x:v>0</x:v>
      </x:c>
      <x:c r="H283" s="141" t="n">
        <x:f>IF(AND($B$22="Sim",A283=$B$23),$B$36,0)</x:f>
        <x:v>0</x:v>
      </x:c>
      <x:c r="I283" s="141" t="n">
        <x:f>IF(OR($B$22&lt;&gt;"Sim",A283&gt;=$B$23+$B$31-1),0,(I284+C284)/(1+$B$9))</x:f>
        <x:v>0</x:v>
      </x:c>
      <x:c r="J283" s="140" t="str">
        <x:f>IF($B$22&lt;&gt;"Sim","Desativada",IF(A283&lt;$B$23,"Antes da compra",IF(A283&lt;$B$23+$B$31,"Parcelas restantes","Encerrado")))</x:f>
        <x:v>Encerrado</x:v>
      </x:c>
      <x:c r="K283" s="141" t="n">
        <x:f>IF(C283&gt;0,C283/(1+$B$9)^A283,0)</x:f>
        <x:v>0</x:v>
      </x:c>
    </x:row>
    <x:row r="284">
      <x:c r="A284" s="142" t="n">
        <x:v>230</x:v>
      </x:c>
      <x:c r="B284" s="179" t="n">
        <x:f>EDATE($B$5,A284-1)</x:f>
        <x:v>53509</x:v>
      </x:c>
      <x:c r="C284" s="141" t="n">
        <x:f>IF(AND($B$22="Sim",A284&gt;=$B$23,A284&lt;$B$23+$B$31),$B$32*D284,0)</x:f>
        <x:v>0</x:v>
      </x:c>
      <x:c r="D284" s="180" t="n">
        <x:f>IF(A284&lt;$B$23,1,(1+$B$33)^INT((A284-$B$23)/12))</x:f>
        <x:v>3.025599502087592</x:v>
      </x:c>
      <x:c r="E284" s="141" t="n">
        <x:f>IF(AND($B$22="Sim",A284=$B$23),$B$37,0)</x:f>
        <x:v>0</x:v>
      </x:c>
      <x:c r="F284" s="141" t="n">
        <x:f>IF(AND($B$22="Sim",A284=$B$24),$B$27,0)</x:f>
        <x:v>0</x:v>
      </x:c>
      <x:c r="G284" s="141" t="n">
        <x:f>IF(AND($B$22="Sim",A284=$B$23),$B$35,0)</x:f>
        <x:v>0</x:v>
      </x:c>
      <x:c r="H284" s="141" t="n">
        <x:f>IF(AND($B$22="Sim",A284=$B$23),$B$36,0)</x:f>
        <x:v>0</x:v>
      </x:c>
      <x:c r="I284" s="141" t="n">
        <x:f>IF(OR($B$22&lt;&gt;"Sim",A284&gt;=$B$23+$B$31-1),0,(I285+C285)/(1+$B$9))</x:f>
        <x:v>0</x:v>
      </x:c>
      <x:c r="J284" s="140" t="str">
        <x:f>IF($B$22&lt;&gt;"Sim","Desativada",IF(A284&lt;$B$23,"Antes da compra",IF(A284&lt;$B$23+$B$31,"Parcelas restantes","Encerrado")))</x:f>
        <x:v>Encerrado</x:v>
      </x:c>
      <x:c r="K284" s="141" t="n">
        <x:f>IF(C284&gt;0,C284/(1+$B$9)^A284,0)</x:f>
        <x:v>0</x:v>
      </x:c>
    </x:row>
    <x:row r="285">
      <x:c r="A285" s="142" t="n">
        <x:v>231</x:v>
      </x:c>
      <x:c r="B285" s="179" t="n">
        <x:f>EDATE($B$5,A285-1)</x:f>
        <x:v>53540</x:v>
      </x:c>
      <x:c r="C285" s="141" t="n">
        <x:f>IF(AND($B$22="Sim",A285&gt;=$B$23,A285&lt;$B$23+$B$31),$B$32*D285,0)</x:f>
        <x:v>0</x:v>
      </x:c>
      <x:c r="D285" s="180" t="n">
        <x:f>IF(A285&lt;$B$23,1,(1+$B$33)^INT((A285-$B$23)/12))</x:f>
        <x:v>3.025599502087592</x:v>
      </x:c>
      <x:c r="E285" s="141" t="n">
        <x:f>IF(AND($B$22="Sim",A285=$B$23),$B$37,0)</x:f>
        <x:v>0</x:v>
      </x:c>
      <x:c r="F285" s="141" t="n">
        <x:f>IF(AND($B$22="Sim",A285=$B$24),$B$27,0)</x:f>
        <x:v>0</x:v>
      </x:c>
      <x:c r="G285" s="141" t="n">
        <x:f>IF(AND($B$22="Sim",A285=$B$23),$B$35,0)</x:f>
        <x:v>0</x:v>
      </x:c>
      <x:c r="H285" s="141" t="n">
        <x:f>IF(AND($B$22="Sim",A285=$B$23),$B$36,0)</x:f>
        <x:v>0</x:v>
      </x:c>
      <x:c r="I285" s="141" t="n">
        <x:f>IF(OR($B$22&lt;&gt;"Sim",A285&gt;=$B$23+$B$31-1),0,(I286+C286)/(1+$B$9))</x:f>
        <x:v>0</x:v>
      </x:c>
      <x:c r="J285" s="140" t="str">
        <x:f>IF($B$22&lt;&gt;"Sim","Desativada",IF(A285&lt;$B$23,"Antes da compra",IF(A285&lt;$B$23+$B$31,"Parcelas restantes","Encerrado")))</x:f>
        <x:v>Encerrado</x:v>
      </x:c>
      <x:c r="K285" s="141" t="n">
        <x:f>IF(C285&gt;0,C285/(1+$B$9)^A285,0)</x:f>
        <x:v>0</x:v>
      </x:c>
    </x:row>
    <x:row r="286">
      <x:c r="A286" s="142" t="n">
        <x:v>232</x:v>
      </x:c>
      <x:c r="B286" s="179" t="n">
        <x:f>EDATE($B$5,A286-1)</x:f>
        <x:v>53571</x:v>
      </x:c>
      <x:c r="C286" s="141" t="n">
        <x:f>IF(AND($B$22="Sim",A286&gt;=$B$23,A286&lt;$B$23+$B$31),$B$32*D286,0)</x:f>
        <x:v>0</x:v>
      </x:c>
      <x:c r="D286" s="180" t="n">
        <x:f>IF(A286&lt;$B$23,1,(1+$B$33)^INT((A286-$B$23)/12))</x:f>
        <x:v>3.025599502087592</x:v>
      </x:c>
      <x:c r="E286" s="141" t="n">
        <x:f>IF(AND($B$22="Sim",A286=$B$23),$B$37,0)</x:f>
        <x:v>0</x:v>
      </x:c>
      <x:c r="F286" s="141" t="n">
        <x:f>IF(AND($B$22="Sim",A286=$B$24),$B$27,0)</x:f>
        <x:v>0</x:v>
      </x:c>
      <x:c r="G286" s="141" t="n">
        <x:f>IF(AND($B$22="Sim",A286=$B$23),$B$35,0)</x:f>
        <x:v>0</x:v>
      </x:c>
      <x:c r="H286" s="141" t="n">
        <x:f>IF(AND($B$22="Sim",A286=$B$23),$B$36,0)</x:f>
        <x:v>0</x:v>
      </x:c>
      <x:c r="I286" s="141" t="n">
        <x:f>IF(OR($B$22&lt;&gt;"Sim",A286&gt;=$B$23+$B$31-1),0,(I287+C287)/(1+$B$9))</x:f>
        <x:v>0</x:v>
      </x:c>
      <x:c r="J286" s="140" t="str">
        <x:f>IF($B$22&lt;&gt;"Sim","Desativada",IF(A286&lt;$B$23,"Antes da compra",IF(A286&lt;$B$23+$B$31,"Parcelas restantes","Encerrado")))</x:f>
        <x:v>Encerrado</x:v>
      </x:c>
      <x:c r="K286" s="141" t="n">
        <x:f>IF(C286&gt;0,C286/(1+$B$9)^A286,0)</x:f>
        <x:v>0</x:v>
      </x:c>
    </x:row>
    <x:row r="287">
      <x:c r="A287" s="142" t="n">
        <x:v>233</x:v>
      </x:c>
      <x:c r="B287" s="179" t="n">
        <x:f>EDATE($B$5,A287-1)</x:f>
        <x:v>53601</x:v>
      </x:c>
      <x:c r="C287" s="141" t="n">
        <x:f>IF(AND($B$22="Sim",A287&gt;=$B$23,A287&lt;$B$23+$B$31),$B$32*D287,0)</x:f>
        <x:v>0</x:v>
      </x:c>
      <x:c r="D287" s="180" t="n">
        <x:f>IF(A287&lt;$B$23,1,(1+$B$33)^INT((A287-$B$23)/12))</x:f>
        <x:v>3.025599502087592</x:v>
      </x:c>
      <x:c r="E287" s="141" t="n">
        <x:f>IF(AND($B$22="Sim",A287=$B$23),$B$37,0)</x:f>
        <x:v>0</x:v>
      </x:c>
      <x:c r="F287" s="141" t="n">
        <x:f>IF(AND($B$22="Sim",A287=$B$24),$B$27,0)</x:f>
        <x:v>0</x:v>
      </x:c>
      <x:c r="G287" s="141" t="n">
        <x:f>IF(AND($B$22="Sim",A287=$B$23),$B$35,0)</x:f>
        <x:v>0</x:v>
      </x:c>
      <x:c r="H287" s="141" t="n">
        <x:f>IF(AND($B$22="Sim",A287=$B$23),$B$36,0)</x:f>
        <x:v>0</x:v>
      </x:c>
      <x:c r="I287" s="141" t="n">
        <x:f>IF(OR($B$22&lt;&gt;"Sim",A287&gt;=$B$23+$B$31-1),0,(I288+C288)/(1+$B$9))</x:f>
        <x:v>0</x:v>
      </x:c>
      <x:c r="J287" s="140" t="str">
        <x:f>IF($B$22&lt;&gt;"Sim","Desativada",IF(A287&lt;$B$23,"Antes da compra",IF(A287&lt;$B$23+$B$31,"Parcelas restantes","Encerrado")))</x:f>
        <x:v>Encerrado</x:v>
      </x:c>
      <x:c r="K287" s="141" t="n">
        <x:f>IF(C287&gt;0,C287/(1+$B$9)^A287,0)</x:f>
        <x:v>0</x:v>
      </x:c>
    </x:row>
    <x:row r="288">
      <x:c r="A288" s="142" t="n">
        <x:v>234</x:v>
      </x:c>
      <x:c r="B288" s="179" t="n">
        <x:f>EDATE($B$5,A288-1)</x:f>
        <x:v>53632</x:v>
      </x:c>
      <x:c r="C288" s="141" t="n">
        <x:f>IF(AND($B$22="Sim",A288&gt;=$B$23,A288&lt;$B$23+$B$31),$B$32*D288,0)</x:f>
        <x:v>0</x:v>
      </x:c>
      <x:c r="D288" s="180" t="n">
        <x:f>IF(A288&lt;$B$23,1,(1+$B$33)^INT((A288-$B$23)/12))</x:f>
        <x:v>3.025599502087592</x:v>
      </x:c>
      <x:c r="E288" s="141" t="n">
        <x:f>IF(AND($B$22="Sim",A288=$B$23),$B$37,0)</x:f>
        <x:v>0</x:v>
      </x:c>
      <x:c r="F288" s="141" t="n">
        <x:f>IF(AND($B$22="Sim",A288=$B$24),$B$27,0)</x:f>
        <x:v>0</x:v>
      </x:c>
      <x:c r="G288" s="141" t="n">
        <x:f>IF(AND($B$22="Sim",A288=$B$23),$B$35,0)</x:f>
        <x:v>0</x:v>
      </x:c>
      <x:c r="H288" s="141" t="n">
        <x:f>IF(AND($B$22="Sim",A288=$B$23),$B$36,0)</x:f>
        <x:v>0</x:v>
      </x:c>
      <x:c r="I288" s="141" t="n">
        <x:f>IF(OR($B$22&lt;&gt;"Sim",A288&gt;=$B$23+$B$31-1),0,(I289+C289)/(1+$B$9))</x:f>
        <x:v>0</x:v>
      </x:c>
      <x:c r="J288" s="140" t="str">
        <x:f>IF($B$22&lt;&gt;"Sim","Desativada",IF(A288&lt;$B$23,"Antes da compra",IF(A288&lt;$B$23+$B$31,"Parcelas restantes","Encerrado")))</x:f>
        <x:v>Encerrado</x:v>
      </x:c>
      <x:c r="K288" s="141" t="n">
        <x:f>IF(C288&gt;0,C288/(1+$B$9)^A288,0)</x:f>
        <x:v>0</x:v>
      </x:c>
    </x:row>
    <x:row r="289">
      <x:c r="A289" s="142" t="n">
        <x:v>235</x:v>
      </x:c>
      <x:c r="B289" s="179" t="n">
        <x:f>EDATE($B$5,A289-1)</x:f>
        <x:v>53662</x:v>
      </x:c>
      <x:c r="C289" s="141" t="n">
        <x:f>IF(AND($B$22="Sim",A289&gt;=$B$23,A289&lt;$B$23+$B$31),$B$32*D289,0)</x:f>
        <x:v>0</x:v>
      </x:c>
      <x:c r="D289" s="180" t="n">
        <x:f>IF(A289&lt;$B$23,1,(1+$B$33)^INT((A289-$B$23)/12))</x:f>
        <x:v>3.025599502087592</x:v>
      </x:c>
      <x:c r="E289" s="141" t="n">
        <x:f>IF(AND($B$22="Sim",A289=$B$23),$B$37,0)</x:f>
        <x:v>0</x:v>
      </x:c>
      <x:c r="F289" s="141" t="n">
        <x:f>IF(AND($B$22="Sim",A289=$B$24),$B$27,0)</x:f>
        <x:v>0</x:v>
      </x:c>
      <x:c r="G289" s="141" t="n">
        <x:f>IF(AND($B$22="Sim",A289=$B$23),$B$35,0)</x:f>
        <x:v>0</x:v>
      </x:c>
      <x:c r="H289" s="141" t="n">
        <x:f>IF(AND($B$22="Sim",A289=$B$23),$B$36,0)</x:f>
        <x:v>0</x:v>
      </x:c>
      <x:c r="I289" s="141" t="n">
        <x:f>IF(OR($B$22&lt;&gt;"Sim",A289&gt;=$B$23+$B$31-1),0,(I290+C290)/(1+$B$9))</x:f>
        <x:v>0</x:v>
      </x:c>
      <x:c r="J289" s="140" t="str">
        <x:f>IF($B$22&lt;&gt;"Sim","Desativada",IF(A289&lt;$B$23,"Antes da compra",IF(A289&lt;$B$23+$B$31,"Parcelas restantes","Encerrado")))</x:f>
        <x:v>Encerrado</x:v>
      </x:c>
      <x:c r="K289" s="141" t="n">
        <x:f>IF(C289&gt;0,C289/(1+$B$9)^A289,0)</x:f>
        <x:v>0</x:v>
      </x:c>
    </x:row>
    <x:row r="290">
      <x:c r="A290" s="142" t="n">
        <x:v>236</x:v>
      </x:c>
      <x:c r="B290" s="179" t="n">
        <x:f>EDATE($B$5,A290-1)</x:f>
        <x:v>53693</x:v>
      </x:c>
      <x:c r="C290" s="141" t="n">
        <x:f>IF(AND($B$22="Sim",A290&gt;=$B$23,A290&lt;$B$23+$B$31),$B$32*D290,0)</x:f>
        <x:v>0</x:v>
      </x:c>
      <x:c r="D290" s="180" t="n">
        <x:f>IF(A290&lt;$B$23,1,(1+$B$33)^INT((A290-$B$23)/12))</x:f>
        <x:v>3.025599502087592</x:v>
      </x:c>
      <x:c r="E290" s="141" t="n">
        <x:f>IF(AND($B$22="Sim",A290=$B$23),$B$37,0)</x:f>
        <x:v>0</x:v>
      </x:c>
      <x:c r="F290" s="141" t="n">
        <x:f>IF(AND($B$22="Sim",A290=$B$24),$B$27,0)</x:f>
        <x:v>0</x:v>
      </x:c>
      <x:c r="G290" s="141" t="n">
        <x:f>IF(AND($B$22="Sim",A290=$B$23),$B$35,0)</x:f>
        <x:v>0</x:v>
      </x:c>
      <x:c r="H290" s="141" t="n">
        <x:f>IF(AND($B$22="Sim",A290=$B$23),$B$36,0)</x:f>
        <x:v>0</x:v>
      </x:c>
      <x:c r="I290" s="141" t="n">
        <x:f>IF(OR($B$22&lt;&gt;"Sim",A290&gt;=$B$23+$B$31-1),0,(I291+C291)/(1+$B$9))</x:f>
        <x:v>0</x:v>
      </x:c>
      <x:c r="J290" s="140" t="str">
        <x:f>IF($B$22&lt;&gt;"Sim","Desativada",IF(A290&lt;$B$23,"Antes da compra",IF(A290&lt;$B$23+$B$31,"Parcelas restantes","Encerrado")))</x:f>
        <x:v>Encerrado</x:v>
      </x:c>
      <x:c r="K290" s="141" t="n">
        <x:f>IF(C290&gt;0,C290/(1+$B$9)^A290,0)</x:f>
        <x:v>0</x:v>
      </x:c>
    </x:row>
    <x:row r="291">
      <x:c r="A291" s="142" t="n">
        <x:v>237</x:v>
      </x:c>
      <x:c r="B291" s="179" t="n">
        <x:f>EDATE($B$5,A291-1)</x:f>
        <x:v>53724</x:v>
      </x:c>
      <x:c r="C291" s="141" t="n">
        <x:f>IF(AND($B$22="Sim",A291&gt;=$B$23,A291&lt;$B$23+$B$31),$B$32*D291,0)</x:f>
        <x:v>0</x:v>
      </x:c>
      <x:c r="D291" s="180" t="n">
        <x:f>IF(A291&lt;$B$23,1,(1+$B$33)^INT((A291-$B$23)/12))</x:f>
        <x:v>3.025599502087592</x:v>
      </x:c>
      <x:c r="E291" s="141" t="n">
        <x:f>IF(AND($B$22="Sim",A291=$B$23),$B$37,0)</x:f>
        <x:v>0</x:v>
      </x:c>
      <x:c r="F291" s="141" t="n">
        <x:f>IF(AND($B$22="Sim",A291=$B$24),$B$27,0)</x:f>
        <x:v>0</x:v>
      </x:c>
      <x:c r="G291" s="141" t="n">
        <x:f>IF(AND($B$22="Sim",A291=$B$23),$B$35,0)</x:f>
        <x:v>0</x:v>
      </x:c>
      <x:c r="H291" s="141" t="n">
        <x:f>IF(AND($B$22="Sim",A291=$B$23),$B$36,0)</x:f>
        <x:v>0</x:v>
      </x:c>
      <x:c r="I291" s="141" t="n">
        <x:f>IF(OR($B$22&lt;&gt;"Sim",A291&gt;=$B$23+$B$31-1),0,(I292+C292)/(1+$B$9))</x:f>
        <x:v>0</x:v>
      </x:c>
      <x:c r="J291" s="140" t="str">
        <x:f>IF($B$22&lt;&gt;"Sim","Desativada",IF(A291&lt;$B$23,"Antes da compra",IF(A291&lt;$B$23+$B$31,"Parcelas restantes","Encerrado")))</x:f>
        <x:v>Encerrado</x:v>
      </x:c>
      <x:c r="K291" s="141" t="n">
        <x:f>IF(C291&gt;0,C291/(1+$B$9)^A291,0)</x:f>
        <x:v>0</x:v>
      </x:c>
    </x:row>
    <x:row r="292">
      <x:c r="A292" s="142" t="n">
        <x:v>238</x:v>
      </x:c>
      <x:c r="B292" s="179" t="n">
        <x:f>EDATE($B$5,A292-1)</x:f>
        <x:v>53752</x:v>
      </x:c>
      <x:c r="C292" s="141" t="n">
        <x:f>IF(AND($B$22="Sim",A292&gt;=$B$23,A292&lt;$B$23+$B$31),$B$32*D292,0)</x:f>
        <x:v>0</x:v>
      </x:c>
      <x:c r="D292" s="180" t="n">
        <x:f>IF(A292&lt;$B$23,1,(1+$B$33)^INT((A292-$B$23)/12))</x:f>
        <x:v>3.025599502087592</x:v>
      </x:c>
      <x:c r="E292" s="141" t="n">
        <x:f>IF(AND($B$22="Sim",A292=$B$23),$B$37,0)</x:f>
        <x:v>0</x:v>
      </x:c>
      <x:c r="F292" s="141" t="n">
        <x:f>IF(AND($B$22="Sim",A292=$B$24),$B$27,0)</x:f>
        <x:v>0</x:v>
      </x:c>
      <x:c r="G292" s="141" t="n">
        <x:f>IF(AND($B$22="Sim",A292=$B$23),$B$35,0)</x:f>
        <x:v>0</x:v>
      </x:c>
      <x:c r="H292" s="141" t="n">
        <x:f>IF(AND($B$22="Sim",A292=$B$23),$B$36,0)</x:f>
        <x:v>0</x:v>
      </x:c>
      <x:c r="I292" s="141" t="n">
        <x:f>IF(OR($B$22&lt;&gt;"Sim",A292&gt;=$B$23+$B$31-1),0,(I293+C293)/(1+$B$9))</x:f>
        <x:v>0</x:v>
      </x:c>
      <x:c r="J292" s="140" t="str">
        <x:f>IF($B$22&lt;&gt;"Sim","Desativada",IF(A292&lt;$B$23,"Antes da compra",IF(A292&lt;$B$23+$B$31,"Parcelas restantes","Encerrado")))</x:f>
        <x:v>Encerrado</x:v>
      </x:c>
      <x:c r="K292" s="141" t="n">
        <x:f>IF(C292&gt;0,C292/(1+$B$9)^A292,0)</x:f>
        <x:v>0</x:v>
      </x:c>
    </x:row>
    <x:row r="293">
      <x:c r="A293" s="142" t="n">
        <x:v>239</x:v>
      </x:c>
      <x:c r="B293" s="179" t="n">
        <x:f>EDATE($B$5,A293-1)</x:f>
        <x:v>53783</x:v>
      </x:c>
      <x:c r="C293" s="141" t="n">
        <x:f>IF(AND($B$22="Sim",A293&gt;=$B$23,A293&lt;$B$23+$B$31),$B$32*D293,0)</x:f>
        <x:v>0</x:v>
      </x:c>
      <x:c r="D293" s="180" t="n">
        <x:f>IF(A293&lt;$B$23,1,(1+$B$33)^INT((A293-$B$23)/12))</x:f>
        <x:v>3.025599502087592</x:v>
      </x:c>
      <x:c r="E293" s="141" t="n">
        <x:f>IF(AND($B$22="Sim",A293=$B$23),$B$37,0)</x:f>
        <x:v>0</x:v>
      </x:c>
      <x:c r="F293" s="141" t="n">
        <x:f>IF(AND($B$22="Sim",A293=$B$24),$B$27,0)</x:f>
        <x:v>0</x:v>
      </x:c>
      <x:c r="G293" s="141" t="n">
        <x:f>IF(AND($B$22="Sim",A293=$B$23),$B$35,0)</x:f>
        <x:v>0</x:v>
      </x:c>
      <x:c r="H293" s="141" t="n">
        <x:f>IF(AND($B$22="Sim",A293=$B$23),$B$36,0)</x:f>
        <x:v>0</x:v>
      </x:c>
      <x:c r="I293" s="141" t="n">
        <x:f>IF(OR($B$22&lt;&gt;"Sim",A293&gt;=$B$23+$B$31-1),0,(I294+C294)/(1+$B$9))</x:f>
        <x:v>0</x:v>
      </x:c>
      <x:c r="J293" s="140" t="str">
        <x:f>IF($B$22&lt;&gt;"Sim","Desativada",IF(A293&lt;$B$23,"Antes da compra",IF(A293&lt;$B$23+$B$31,"Parcelas restantes","Encerrado")))</x:f>
        <x:v>Encerrado</x:v>
      </x:c>
      <x:c r="K293" s="141" t="n">
        <x:f>IF(C293&gt;0,C293/(1+$B$9)^A293,0)</x:f>
        <x:v>0</x:v>
      </x:c>
    </x:row>
    <x:row r="294">
      <x:c r="A294" s="142" t="n">
        <x:v>240</x:v>
      </x:c>
      <x:c r="B294" s="179" t="n">
        <x:f>EDATE($B$5,A294-1)</x:f>
        <x:v>53813</x:v>
      </x:c>
      <x:c r="C294" s="141" t="n">
        <x:f>IF(AND($B$22="Sim",A294&gt;=$B$23,A294&lt;$B$23+$B$31),$B$32*D294,0)</x:f>
        <x:v>0</x:v>
      </x:c>
      <x:c r="D294" s="180" t="n">
        <x:f>IF(A294&lt;$B$23,1,(1+$B$33)^INT((A294-$B$23)/12))</x:f>
        <x:v>3.025599502087592</x:v>
      </x:c>
      <x:c r="E294" s="141" t="n">
        <x:f>IF(AND($B$22="Sim",A294=$B$23),$B$37,0)</x:f>
        <x:v>0</x:v>
      </x:c>
      <x:c r="F294" s="141" t="n">
        <x:f>IF(AND($B$22="Sim",A294=$B$24),$B$27,0)</x:f>
        <x:v>0</x:v>
      </x:c>
      <x:c r="G294" s="141" t="n">
        <x:f>IF(AND($B$22="Sim",A294=$B$23),$B$35,0)</x:f>
        <x:v>0</x:v>
      </x:c>
      <x:c r="H294" s="141" t="n">
        <x:f>IF(AND($B$22="Sim",A294=$B$23),$B$36,0)</x:f>
        <x:v>0</x:v>
      </x:c>
      <x:c r="I294" s="141" t="n">
        <x:f>IF(OR($B$22&lt;&gt;"Sim",A294&gt;=$B$23+$B$31-1),0,(I295+C295)/(1+$B$9))</x:f>
        <x:v>0</x:v>
      </x:c>
      <x:c r="J294" s="140" t="str">
        <x:f>IF($B$22&lt;&gt;"Sim","Desativada",IF(A294&lt;$B$23,"Antes da compra",IF(A294&lt;$B$23+$B$31,"Parcelas restantes","Encerrado")))</x:f>
        <x:v>Encerrado</x:v>
      </x:c>
      <x:c r="K294" s="141" t="n">
        <x:f>IF(C294&gt;0,C294/(1+$B$9)^A294,0)</x:f>
        <x:v>0</x:v>
      </x:c>
    </x:row>
    <x:row r="295">
      <x:c r="A295" s="142" t="n">
        <x:v>241</x:v>
      </x:c>
      <x:c r="B295" s="179" t="n">
        <x:f>EDATE($B$5,A295-1)</x:f>
        <x:v>53844</x:v>
      </x:c>
      <x:c r="C295" s="141" t="n">
        <x:f>IF(AND($B$22="Sim",A295&gt;=$B$23,A295&lt;$B$23+$B$31),$B$32*D295,0)</x:f>
        <x:v>0</x:v>
      </x:c>
      <x:c r="D295" s="180" t="n">
        <x:f>IF(A295&lt;$B$23,1,(1+$B$33)^INT((A295-$B$23)/12))</x:f>
        <x:v>3.207135472212848</x:v>
      </x:c>
      <x:c r="E295" s="141" t="n">
        <x:f>IF(AND($B$22="Sim",A295=$B$23),$B$37,0)</x:f>
        <x:v>0</x:v>
      </x:c>
      <x:c r="F295" s="141" t="n">
        <x:f>IF(AND($B$22="Sim",A295=$B$24),$B$27,0)</x:f>
        <x:v>0</x:v>
      </x:c>
      <x:c r="G295" s="141" t="n">
        <x:f>IF(AND($B$22="Sim",A295=$B$23),$B$35,0)</x:f>
        <x:v>0</x:v>
      </x:c>
      <x:c r="H295" s="141" t="n">
        <x:f>IF(AND($B$22="Sim",A295=$B$23),$B$36,0)</x:f>
        <x:v>0</x:v>
      </x:c>
      <x:c r="I295" s="141" t="n">
        <x:f>IF(OR($B$22&lt;&gt;"Sim",A295&gt;=$B$23+$B$31-1),0,(I296+C296)/(1+$B$9))</x:f>
        <x:v>0</x:v>
      </x:c>
      <x:c r="J295" s="140" t="str">
        <x:f>IF($B$22&lt;&gt;"Sim","Desativada",IF(A295&lt;$B$23,"Antes da compra",IF(A295&lt;$B$23+$B$31,"Parcelas restantes","Encerrado")))</x:f>
        <x:v>Encerrado</x:v>
      </x:c>
      <x:c r="K295" s="141" t="n">
        <x:f>IF(C295&gt;0,C295/(1+$B$9)^A295,0)</x:f>
        <x:v>0</x:v>
      </x:c>
    </x:row>
    <x:row r="296">
      <x:c r="A296" s="142" t="n">
        <x:v>242</x:v>
      </x:c>
      <x:c r="B296" s="179" t="n">
        <x:f>EDATE($B$5,A296-1)</x:f>
        <x:v>53874</x:v>
      </x:c>
      <x:c r="C296" s="141" t="n">
        <x:f>IF(AND($B$22="Sim",A296&gt;=$B$23,A296&lt;$B$23+$B$31),$B$32*D296,0)</x:f>
        <x:v>0</x:v>
      </x:c>
      <x:c r="D296" s="180" t="n">
        <x:f>IF(A296&lt;$B$23,1,(1+$B$33)^INT((A296-$B$23)/12))</x:f>
        <x:v>3.207135472212848</x:v>
      </x:c>
      <x:c r="E296" s="141" t="n">
        <x:f>IF(AND($B$22="Sim",A296=$B$23),$B$37,0)</x:f>
        <x:v>0</x:v>
      </x:c>
      <x:c r="F296" s="141" t="n">
        <x:f>IF(AND($B$22="Sim",A296=$B$24),$B$27,0)</x:f>
        <x:v>0</x:v>
      </x:c>
      <x:c r="G296" s="141" t="n">
        <x:f>IF(AND($B$22="Sim",A296=$B$23),$B$35,0)</x:f>
        <x:v>0</x:v>
      </x:c>
      <x:c r="H296" s="141" t="n">
        <x:f>IF(AND($B$22="Sim",A296=$B$23),$B$36,0)</x:f>
        <x:v>0</x:v>
      </x:c>
      <x:c r="I296" s="141" t="n">
        <x:f>IF(OR($B$22&lt;&gt;"Sim",A296&gt;=$B$23+$B$31-1),0,(I297+C297)/(1+$B$9))</x:f>
        <x:v>0</x:v>
      </x:c>
      <x:c r="J296" s="140" t="str">
        <x:f>IF($B$22&lt;&gt;"Sim","Desativada",IF(A296&lt;$B$23,"Antes da compra",IF(A296&lt;$B$23+$B$31,"Parcelas restantes","Encerrado")))</x:f>
        <x:v>Encerrado</x:v>
      </x:c>
      <x:c r="K296" s="141" t="n">
        <x:f>IF(C296&gt;0,C296/(1+$B$9)^A296,0)</x:f>
        <x:v>0</x:v>
      </x:c>
    </x:row>
    <x:row r="297">
      <x:c r="A297" s="142" t="n">
        <x:v>243</x:v>
      </x:c>
      <x:c r="B297" s="179" t="n">
        <x:f>EDATE($B$5,A297-1)</x:f>
        <x:v>53905</x:v>
      </x:c>
      <x:c r="C297" s="141" t="n">
        <x:f>IF(AND($B$22="Sim",A297&gt;=$B$23,A297&lt;$B$23+$B$31),$B$32*D297,0)</x:f>
        <x:v>0</x:v>
      </x:c>
      <x:c r="D297" s="180" t="n">
        <x:f>IF(A297&lt;$B$23,1,(1+$B$33)^INT((A297-$B$23)/12))</x:f>
        <x:v>3.207135472212848</x:v>
      </x:c>
      <x:c r="E297" s="141" t="n">
        <x:f>IF(AND($B$22="Sim",A297=$B$23),$B$37,0)</x:f>
        <x:v>0</x:v>
      </x:c>
      <x:c r="F297" s="141" t="n">
        <x:f>IF(AND($B$22="Sim",A297=$B$24),$B$27,0)</x:f>
        <x:v>0</x:v>
      </x:c>
      <x:c r="G297" s="141" t="n">
        <x:f>IF(AND($B$22="Sim",A297=$B$23),$B$35,0)</x:f>
        <x:v>0</x:v>
      </x:c>
      <x:c r="H297" s="141" t="n">
        <x:f>IF(AND($B$22="Sim",A297=$B$23),$B$36,0)</x:f>
        <x:v>0</x:v>
      </x:c>
      <x:c r="I297" s="141" t="n">
        <x:f>IF(OR($B$22&lt;&gt;"Sim",A297&gt;=$B$23+$B$31-1),0,(I298+C298)/(1+$B$9))</x:f>
        <x:v>0</x:v>
      </x:c>
      <x:c r="J297" s="140" t="str">
        <x:f>IF($B$22&lt;&gt;"Sim","Desativada",IF(A297&lt;$B$23,"Antes da compra",IF(A297&lt;$B$23+$B$31,"Parcelas restantes","Encerrado")))</x:f>
        <x:v>Encerrado</x:v>
      </x:c>
      <x:c r="K297" s="141" t="n">
        <x:f>IF(C297&gt;0,C297/(1+$B$9)^A297,0)</x:f>
        <x:v>0</x:v>
      </x:c>
    </x:row>
    <x:row r="298">
      <x:c r="A298" s="142" t="n">
        <x:v>244</x:v>
      </x:c>
      <x:c r="B298" s="179" t="n">
        <x:f>EDATE($B$5,A298-1)</x:f>
        <x:v>53936</x:v>
      </x:c>
      <x:c r="C298" s="141" t="n">
        <x:f>IF(AND($B$22="Sim",A298&gt;=$B$23,A298&lt;$B$23+$B$31),$B$32*D298,0)</x:f>
        <x:v>0</x:v>
      </x:c>
      <x:c r="D298" s="180" t="n">
        <x:f>IF(A298&lt;$B$23,1,(1+$B$33)^INT((A298-$B$23)/12))</x:f>
        <x:v>3.207135472212848</x:v>
      </x:c>
      <x:c r="E298" s="141" t="n">
        <x:f>IF(AND($B$22="Sim",A298=$B$23),$B$37,0)</x:f>
        <x:v>0</x:v>
      </x:c>
      <x:c r="F298" s="141" t="n">
        <x:f>IF(AND($B$22="Sim",A298=$B$24),$B$27,0)</x:f>
        <x:v>0</x:v>
      </x:c>
      <x:c r="G298" s="141" t="n">
        <x:f>IF(AND($B$22="Sim",A298=$B$23),$B$35,0)</x:f>
        <x:v>0</x:v>
      </x:c>
      <x:c r="H298" s="141" t="n">
        <x:f>IF(AND($B$22="Sim",A298=$B$23),$B$36,0)</x:f>
        <x:v>0</x:v>
      </x:c>
      <x:c r="I298" s="141" t="n">
        <x:f>IF(OR($B$22&lt;&gt;"Sim",A298&gt;=$B$23+$B$31-1),0,(I299+C299)/(1+$B$9))</x:f>
        <x:v>0</x:v>
      </x:c>
      <x:c r="J298" s="140" t="str">
        <x:f>IF($B$22&lt;&gt;"Sim","Desativada",IF(A298&lt;$B$23,"Antes da compra",IF(A298&lt;$B$23+$B$31,"Parcelas restantes","Encerrado")))</x:f>
        <x:v>Encerrado</x:v>
      </x:c>
      <x:c r="K298" s="141" t="n">
        <x:f>IF(C298&gt;0,C298/(1+$B$9)^A298,0)</x:f>
        <x:v>0</x:v>
      </x:c>
    </x:row>
    <x:row r="299">
      <x:c r="A299" s="142" t="n">
        <x:v>245</x:v>
      </x:c>
      <x:c r="B299" s="179" t="n">
        <x:f>EDATE($B$5,A299-1)</x:f>
        <x:v>53966</x:v>
      </x:c>
      <x:c r="C299" s="141" t="n">
        <x:f>IF(AND($B$22="Sim",A299&gt;=$B$23,A299&lt;$B$23+$B$31),$B$32*D299,0)</x:f>
        <x:v>0</x:v>
      </x:c>
      <x:c r="D299" s="180" t="n">
        <x:f>IF(A299&lt;$B$23,1,(1+$B$33)^INT((A299-$B$23)/12))</x:f>
        <x:v>3.207135472212848</x:v>
      </x:c>
      <x:c r="E299" s="141" t="n">
        <x:f>IF(AND($B$22="Sim",A299=$B$23),$B$37,0)</x:f>
        <x:v>0</x:v>
      </x:c>
      <x:c r="F299" s="141" t="n">
        <x:f>IF(AND($B$22="Sim",A299=$B$24),$B$27,0)</x:f>
        <x:v>0</x:v>
      </x:c>
      <x:c r="G299" s="141" t="n">
        <x:f>IF(AND($B$22="Sim",A299=$B$23),$B$35,0)</x:f>
        <x:v>0</x:v>
      </x:c>
      <x:c r="H299" s="141" t="n">
        <x:f>IF(AND($B$22="Sim",A299=$B$23),$B$36,0)</x:f>
        <x:v>0</x:v>
      </x:c>
      <x:c r="I299" s="141" t="n">
        <x:f>IF(OR($B$22&lt;&gt;"Sim",A299&gt;=$B$23+$B$31-1),0,(I300+C300)/(1+$B$9))</x:f>
        <x:v>0</x:v>
      </x:c>
      <x:c r="J299" s="140" t="str">
        <x:f>IF($B$22&lt;&gt;"Sim","Desativada",IF(A299&lt;$B$23,"Antes da compra",IF(A299&lt;$B$23+$B$31,"Parcelas restantes","Encerrado")))</x:f>
        <x:v>Encerrado</x:v>
      </x:c>
      <x:c r="K299" s="141" t="n">
        <x:f>IF(C299&gt;0,C299/(1+$B$9)^A299,0)</x:f>
        <x:v>0</x:v>
      </x:c>
    </x:row>
    <x:row r="300">
      <x:c r="A300" s="142" t="n">
        <x:v>246</x:v>
      </x:c>
      <x:c r="B300" s="179" t="n">
        <x:f>EDATE($B$5,A300-1)</x:f>
        <x:v>53997</x:v>
      </x:c>
      <x:c r="C300" s="141" t="n">
        <x:f>IF(AND($B$22="Sim",A300&gt;=$B$23,A300&lt;$B$23+$B$31),$B$32*D300,0)</x:f>
        <x:v>0</x:v>
      </x:c>
      <x:c r="D300" s="180" t="n">
        <x:f>IF(A300&lt;$B$23,1,(1+$B$33)^INT((A300-$B$23)/12))</x:f>
        <x:v>3.207135472212848</x:v>
      </x:c>
      <x:c r="E300" s="141" t="n">
        <x:f>IF(AND($B$22="Sim",A300=$B$23),$B$37,0)</x:f>
        <x:v>0</x:v>
      </x:c>
      <x:c r="F300" s="141" t="n">
        <x:f>IF(AND($B$22="Sim",A300=$B$24),$B$27,0)</x:f>
        <x:v>0</x:v>
      </x:c>
      <x:c r="G300" s="141" t="n">
        <x:f>IF(AND($B$22="Sim",A300=$B$23),$B$35,0)</x:f>
        <x:v>0</x:v>
      </x:c>
      <x:c r="H300" s="141" t="n">
        <x:f>IF(AND($B$22="Sim",A300=$B$23),$B$36,0)</x:f>
        <x:v>0</x:v>
      </x:c>
      <x:c r="I300" s="141" t="n">
        <x:f>IF(OR($B$22&lt;&gt;"Sim",A300&gt;=$B$23+$B$31-1),0,(I301+C301)/(1+$B$9))</x:f>
        <x:v>0</x:v>
      </x:c>
      <x:c r="J300" s="140" t="str">
        <x:f>IF($B$22&lt;&gt;"Sim","Desativada",IF(A300&lt;$B$23,"Antes da compra",IF(A300&lt;$B$23+$B$31,"Parcelas restantes","Encerrado")))</x:f>
        <x:v>Encerrado</x:v>
      </x:c>
      <x:c r="K300" s="141" t="n">
        <x:f>IF(C300&gt;0,C300/(1+$B$9)^A300,0)</x:f>
        <x:v>0</x:v>
      </x:c>
    </x:row>
    <x:row r="301">
      <x:c r="A301" s="142" t="n">
        <x:v>247</x:v>
      </x:c>
      <x:c r="B301" s="179" t="n">
        <x:f>EDATE($B$5,A301-1)</x:f>
        <x:v>54027</x:v>
      </x:c>
      <x:c r="C301" s="141" t="n">
        <x:f>IF(AND($B$22="Sim",A301&gt;=$B$23,A301&lt;$B$23+$B$31),$B$32*D301,0)</x:f>
        <x:v>0</x:v>
      </x:c>
      <x:c r="D301" s="180" t="n">
        <x:f>IF(A301&lt;$B$23,1,(1+$B$33)^INT((A301-$B$23)/12))</x:f>
        <x:v>3.207135472212848</x:v>
      </x:c>
      <x:c r="E301" s="141" t="n">
        <x:f>IF(AND($B$22="Sim",A301=$B$23),$B$37,0)</x:f>
        <x:v>0</x:v>
      </x:c>
      <x:c r="F301" s="141" t="n">
        <x:f>IF(AND($B$22="Sim",A301=$B$24),$B$27,0)</x:f>
        <x:v>0</x:v>
      </x:c>
      <x:c r="G301" s="141" t="n">
        <x:f>IF(AND($B$22="Sim",A301=$B$23),$B$35,0)</x:f>
        <x:v>0</x:v>
      </x:c>
      <x:c r="H301" s="141" t="n">
        <x:f>IF(AND($B$22="Sim",A301=$B$23),$B$36,0)</x:f>
        <x:v>0</x:v>
      </x:c>
      <x:c r="I301" s="141" t="n">
        <x:f>IF(OR($B$22&lt;&gt;"Sim",A301&gt;=$B$23+$B$31-1),0,(I302+C302)/(1+$B$9))</x:f>
        <x:v>0</x:v>
      </x:c>
      <x:c r="J301" s="140" t="str">
        <x:f>IF($B$22&lt;&gt;"Sim","Desativada",IF(A301&lt;$B$23,"Antes da compra",IF(A301&lt;$B$23+$B$31,"Parcelas restantes","Encerrado")))</x:f>
        <x:v>Encerrado</x:v>
      </x:c>
      <x:c r="K301" s="141" t="n">
        <x:f>IF(C301&gt;0,C301/(1+$B$9)^A301,0)</x:f>
        <x:v>0</x:v>
      </x:c>
    </x:row>
    <x:row r="302">
      <x:c r="A302" s="142" t="n">
        <x:v>248</x:v>
      </x:c>
      <x:c r="B302" s="179" t="n">
        <x:f>EDATE($B$5,A302-1)</x:f>
        <x:v>54058</x:v>
      </x:c>
      <x:c r="C302" s="141" t="n">
        <x:f>IF(AND($B$22="Sim",A302&gt;=$B$23,A302&lt;$B$23+$B$31),$B$32*D302,0)</x:f>
        <x:v>0</x:v>
      </x:c>
      <x:c r="D302" s="180" t="n">
        <x:f>IF(A302&lt;$B$23,1,(1+$B$33)^INT((A302-$B$23)/12))</x:f>
        <x:v>3.207135472212848</x:v>
      </x:c>
      <x:c r="E302" s="141" t="n">
        <x:f>IF(AND($B$22="Sim",A302=$B$23),$B$37,0)</x:f>
        <x:v>0</x:v>
      </x:c>
      <x:c r="F302" s="141" t="n">
        <x:f>IF(AND($B$22="Sim",A302=$B$24),$B$27,0)</x:f>
        <x:v>0</x:v>
      </x:c>
      <x:c r="G302" s="141" t="n">
        <x:f>IF(AND($B$22="Sim",A302=$B$23),$B$35,0)</x:f>
        <x:v>0</x:v>
      </x:c>
      <x:c r="H302" s="141" t="n">
        <x:f>IF(AND($B$22="Sim",A302=$B$23),$B$36,0)</x:f>
        <x:v>0</x:v>
      </x:c>
      <x:c r="I302" s="141" t="n">
        <x:f>IF(OR($B$22&lt;&gt;"Sim",A302&gt;=$B$23+$B$31-1),0,(I303+C303)/(1+$B$9))</x:f>
        <x:v>0</x:v>
      </x:c>
      <x:c r="J302" s="140" t="str">
        <x:f>IF($B$22&lt;&gt;"Sim","Desativada",IF(A302&lt;$B$23,"Antes da compra",IF(A302&lt;$B$23+$B$31,"Parcelas restantes","Encerrado")))</x:f>
        <x:v>Encerrado</x:v>
      </x:c>
      <x:c r="K302" s="141" t="n">
        <x:f>IF(C302&gt;0,C302/(1+$B$9)^A302,0)</x:f>
        <x:v>0</x:v>
      </x:c>
    </x:row>
    <x:row r="303">
      <x:c r="A303" s="142" t="n">
        <x:v>249</x:v>
      </x:c>
      <x:c r="B303" s="179" t="n">
        <x:f>EDATE($B$5,A303-1)</x:f>
        <x:v>54089</x:v>
      </x:c>
      <x:c r="C303" s="141" t="n">
        <x:f>IF(AND($B$22="Sim",A303&gt;=$B$23,A303&lt;$B$23+$B$31),$B$32*D303,0)</x:f>
        <x:v>0</x:v>
      </x:c>
      <x:c r="D303" s="180" t="n">
        <x:f>IF(A303&lt;$B$23,1,(1+$B$33)^INT((A303-$B$23)/12))</x:f>
        <x:v>3.207135472212848</x:v>
      </x:c>
      <x:c r="E303" s="141" t="n">
        <x:f>IF(AND($B$22="Sim",A303=$B$23),$B$37,0)</x:f>
        <x:v>0</x:v>
      </x:c>
      <x:c r="F303" s="141" t="n">
        <x:f>IF(AND($B$22="Sim",A303=$B$24),$B$27,0)</x:f>
        <x:v>0</x:v>
      </x:c>
      <x:c r="G303" s="141" t="n">
        <x:f>IF(AND($B$22="Sim",A303=$B$23),$B$35,0)</x:f>
        <x:v>0</x:v>
      </x:c>
      <x:c r="H303" s="141" t="n">
        <x:f>IF(AND($B$22="Sim",A303=$B$23),$B$36,0)</x:f>
        <x:v>0</x:v>
      </x:c>
      <x:c r="I303" s="141" t="n">
        <x:f>IF(OR($B$22&lt;&gt;"Sim",A303&gt;=$B$23+$B$31-1),0,(I304+C304)/(1+$B$9))</x:f>
        <x:v>0</x:v>
      </x:c>
      <x:c r="J303" s="140" t="str">
        <x:f>IF($B$22&lt;&gt;"Sim","Desativada",IF(A303&lt;$B$23,"Antes da compra",IF(A303&lt;$B$23+$B$31,"Parcelas restantes","Encerrado")))</x:f>
        <x:v>Encerrado</x:v>
      </x:c>
      <x:c r="K303" s="141" t="n">
        <x:f>IF(C303&gt;0,C303/(1+$B$9)^A303,0)</x:f>
        <x:v>0</x:v>
      </x:c>
    </x:row>
    <x:row r="304">
      <x:c r="A304" s="142" t="n">
        <x:v>250</x:v>
      </x:c>
      <x:c r="B304" s="179" t="n">
        <x:f>EDATE($B$5,A304-1)</x:f>
        <x:v>54118</x:v>
      </x:c>
      <x:c r="C304" s="141" t="n">
        <x:f>IF(AND($B$22="Sim",A304&gt;=$B$23,A304&lt;$B$23+$B$31),$B$32*D304,0)</x:f>
        <x:v>0</x:v>
      </x:c>
      <x:c r="D304" s="180" t="n">
        <x:f>IF(A304&lt;$B$23,1,(1+$B$33)^INT((A304-$B$23)/12))</x:f>
        <x:v>3.207135472212848</x:v>
      </x:c>
      <x:c r="E304" s="141" t="n">
        <x:f>IF(AND($B$22="Sim",A304=$B$23),$B$37,0)</x:f>
        <x:v>0</x:v>
      </x:c>
      <x:c r="F304" s="141" t="n">
        <x:f>IF(AND($B$22="Sim",A304=$B$24),$B$27,0)</x:f>
        <x:v>0</x:v>
      </x:c>
      <x:c r="G304" s="141" t="n">
        <x:f>IF(AND($B$22="Sim",A304=$B$23),$B$35,0)</x:f>
        <x:v>0</x:v>
      </x:c>
      <x:c r="H304" s="141" t="n">
        <x:f>IF(AND($B$22="Sim",A304=$B$23),$B$36,0)</x:f>
        <x:v>0</x:v>
      </x:c>
      <x:c r="I304" s="141" t="n">
        <x:f>IF(OR($B$22&lt;&gt;"Sim",A304&gt;=$B$23+$B$31-1),0,(I305+C305)/(1+$B$9))</x:f>
        <x:v>0</x:v>
      </x:c>
      <x:c r="J304" s="140" t="str">
        <x:f>IF($B$22&lt;&gt;"Sim","Desativada",IF(A304&lt;$B$23,"Antes da compra",IF(A304&lt;$B$23+$B$31,"Parcelas restantes","Encerrado")))</x:f>
        <x:v>Encerrado</x:v>
      </x:c>
      <x:c r="K304" s="141" t="n">
        <x:f>IF(C304&gt;0,C304/(1+$B$9)^A304,0)</x:f>
        <x:v>0</x:v>
      </x:c>
    </x:row>
    <x:row r="305">
      <x:c r="A305" s="142" t="n">
        <x:v>251</x:v>
      </x:c>
      <x:c r="B305" s="179" t="n">
        <x:f>EDATE($B$5,A305-1)</x:f>
        <x:v>54149</x:v>
      </x:c>
      <x:c r="C305" s="141" t="n">
        <x:f>IF(AND($B$22="Sim",A305&gt;=$B$23,A305&lt;$B$23+$B$31),$B$32*D305,0)</x:f>
        <x:v>0</x:v>
      </x:c>
      <x:c r="D305" s="180" t="n">
        <x:f>IF(A305&lt;$B$23,1,(1+$B$33)^INT((A305-$B$23)/12))</x:f>
        <x:v>3.207135472212848</x:v>
      </x:c>
      <x:c r="E305" s="141" t="n">
        <x:f>IF(AND($B$22="Sim",A305=$B$23),$B$37,0)</x:f>
        <x:v>0</x:v>
      </x:c>
      <x:c r="F305" s="141" t="n">
        <x:f>IF(AND($B$22="Sim",A305=$B$24),$B$27,0)</x:f>
        <x:v>0</x:v>
      </x:c>
      <x:c r="G305" s="141" t="n">
        <x:f>IF(AND($B$22="Sim",A305=$B$23),$B$35,0)</x:f>
        <x:v>0</x:v>
      </x:c>
      <x:c r="H305" s="141" t="n">
        <x:f>IF(AND($B$22="Sim",A305=$B$23),$B$36,0)</x:f>
        <x:v>0</x:v>
      </x:c>
      <x:c r="I305" s="141" t="n">
        <x:f>IF(OR($B$22&lt;&gt;"Sim",A305&gt;=$B$23+$B$31-1),0,(I306+C306)/(1+$B$9))</x:f>
        <x:v>0</x:v>
      </x:c>
      <x:c r="J305" s="140" t="str">
        <x:f>IF($B$22&lt;&gt;"Sim","Desativada",IF(A305&lt;$B$23,"Antes da compra",IF(A305&lt;$B$23+$B$31,"Parcelas restantes","Encerrado")))</x:f>
        <x:v>Encerrado</x:v>
      </x:c>
      <x:c r="K305" s="141" t="n">
        <x:f>IF(C305&gt;0,C305/(1+$B$9)^A305,0)</x:f>
        <x:v>0</x:v>
      </x:c>
    </x:row>
    <x:row r="306">
      <x:c r="A306" s="142" t="n">
        <x:v>252</x:v>
      </x:c>
      <x:c r="B306" s="179" t="n">
        <x:f>EDATE($B$5,A306-1)</x:f>
        <x:v>54179</x:v>
      </x:c>
      <x:c r="C306" s="141" t="n">
        <x:f>IF(AND($B$22="Sim",A306&gt;=$B$23,A306&lt;$B$23+$B$31),$B$32*D306,0)</x:f>
        <x:v>0</x:v>
      </x:c>
      <x:c r="D306" s="180" t="n">
        <x:f>IF(A306&lt;$B$23,1,(1+$B$33)^INT((A306-$B$23)/12))</x:f>
        <x:v>3.207135472212848</x:v>
      </x:c>
      <x:c r="E306" s="141" t="n">
        <x:f>IF(AND($B$22="Sim",A306=$B$23),$B$37,0)</x:f>
        <x:v>0</x:v>
      </x:c>
      <x:c r="F306" s="141" t="n">
        <x:f>IF(AND($B$22="Sim",A306=$B$24),$B$27,0)</x:f>
        <x:v>0</x:v>
      </x:c>
      <x:c r="G306" s="141" t="n">
        <x:f>IF(AND($B$22="Sim",A306=$B$23),$B$35,0)</x:f>
        <x:v>0</x:v>
      </x:c>
      <x:c r="H306" s="141" t="n">
        <x:f>IF(AND($B$22="Sim",A306=$B$23),$B$36,0)</x:f>
        <x:v>0</x:v>
      </x:c>
      <x:c r="I306" s="141" t="n">
        <x:f>IF(OR($B$22&lt;&gt;"Sim",A306&gt;=$B$23+$B$31-1),0,(I307+C307)/(1+$B$9))</x:f>
        <x:v>0</x:v>
      </x:c>
      <x:c r="J306" s="140" t="str">
        <x:f>IF($B$22&lt;&gt;"Sim","Desativada",IF(A306&lt;$B$23,"Antes da compra",IF(A306&lt;$B$23+$B$31,"Parcelas restantes","Encerrado")))</x:f>
        <x:v>Encerrado</x:v>
      </x:c>
      <x:c r="K306" s="141" t="n">
        <x:f>IF(C306&gt;0,C306/(1+$B$9)^A306,0)</x:f>
        <x:v>0</x:v>
      </x:c>
    </x:row>
    <x:row r="307">
      <x:c r="A307" s="142" t="n">
        <x:v>253</x:v>
      </x:c>
      <x:c r="B307" s="179" t="n">
        <x:f>EDATE($B$5,A307-1)</x:f>
        <x:v>54210</x:v>
      </x:c>
      <x:c r="C307" s="141" t="n">
        <x:f>IF(AND($B$22="Sim",A307&gt;=$B$23,A307&lt;$B$23+$B$31),$B$32*D307,0)</x:f>
        <x:v>0</x:v>
      </x:c>
      <x:c r="D307" s="180" t="n">
        <x:f>IF(A307&lt;$B$23,1,(1+$B$33)^INT((A307-$B$23)/12))</x:f>
        <x:v>3.399563600545619</x:v>
      </x:c>
      <x:c r="E307" s="141" t="n">
        <x:f>IF(AND($B$22="Sim",A307=$B$23),$B$37,0)</x:f>
        <x:v>0</x:v>
      </x:c>
      <x:c r="F307" s="141" t="n">
        <x:f>IF(AND($B$22="Sim",A307=$B$24),$B$27,0)</x:f>
        <x:v>0</x:v>
      </x:c>
      <x:c r="G307" s="141" t="n">
        <x:f>IF(AND($B$22="Sim",A307=$B$23),$B$35,0)</x:f>
        <x:v>0</x:v>
      </x:c>
      <x:c r="H307" s="141" t="n">
        <x:f>IF(AND($B$22="Sim",A307=$B$23),$B$36,0)</x:f>
        <x:v>0</x:v>
      </x:c>
      <x:c r="I307" s="141" t="n">
        <x:f>IF(OR($B$22&lt;&gt;"Sim",A307&gt;=$B$23+$B$31-1),0,(I308+C308)/(1+$B$9))</x:f>
        <x:v>0</x:v>
      </x:c>
      <x:c r="J307" s="140" t="str">
        <x:f>IF($B$22&lt;&gt;"Sim","Desativada",IF(A307&lt;$B$23,"Antes da compra",IF(A307&lt;$B$23+$B$31,"Parcelas restantes","Encerrado")))</x:f>
        <x:v>Encerrado</x:v>
      </x:c>
      <x:c r="K307" s="141" t="n">
        <x:f>IF(C307&gt;0,C307/(1+$B$9)^A307,0)</x:f>
        <x:v>0</x:v>
      </x:c>
    </x:row>
    <x:row r="308">
      <x:c r="A308" s="142" t="n">
        <x:v>254</x:v>
      </x:c>
      <x:c r="B308" s="179" t="n">
        <x:f>EDATE($B$5,A308-1)</x:f>
        <x:v>54240</x:v>
      </x:c>
      <x:c r="C308" s="141" t="n">
        <x:f>IF(AND($B$22="Sim",A308&gt;=$B$23,A308&lt;$B$23+$B$31),$B$32*D308,0)</x:f>
        <x:v>0</x:v>
      </x:c>
      <x:c r="D308" s="180" t="n">
        <x:f>IF(A308&lt;$B$23,1,(1+$B$33)^INT((A308-$B$23)/12))</x:f>
        <x:v>3.399563600545619</x:v>
      </x:c>
      <x:c r="E308" s="141" t="n">
        <x:f>IF(AND($B$22="Sim",A308=$B$23),$B$37,0)</x:f>
        <x:v>0</x:v>
      </x:c>
      <x:c r="F308" s="141" t="n">
        <x:f>IF(AND($B$22="Sim",A308=$B$24),$B$27,0)</x:f>
        <x:v>0</x:v>
      </x:c>
      <x:c r="G308" s="141" t="n">
        <x:f>IF(AND($B$22="Sim",A308=$B$23),$B$35,0)</x:f>
        <x:v>0</x:v>
      </x:c>
      <x:c r="H308" s="141" t="n">
        <x:f>IF(AND($B$22="Sim",A308=$B$23),$B$36,0)</x:f>
        <x:v>0</x:v>
      </x:c>
      <x:c r="I308" s="141" t="n">
        <x:f>IF(OR($B$22&lt;&gt;"Sim",A308&gt;=$B$23+$B$31-1),0,(I309+C309)/(1+$B$9))</x:f>
        <x:v>0</x:v>
      </x:c>
      <x:c r="J308" s="140" t="str">
        <x:f>IF($B$22&lt;&gt;"Sim","Desativada",IF(A308&lt;$B$23,"Antes da compra",IF(A308&lt;$B$23+$B$31,"Parcelas restantes","Encerrado")))</x:f>
        <x:v>Encerrado</x:v>
      </x:c>
      <x:c r="K308" s="141" t="n">
        <x:f>IF(C308&gt;0,C308/(1+$B$9)^A308,0)</x:f>
        <x:v>0</x:v>
      </x:c>
    </x:row>
    <x:row r="309">
      <x:c r="A309" s="142" t="n">
        <x:v>255</x:v>
      </x:c>
      <x:c r="B309" s="179" t="n">
        <x:f>EDATE($B$5,A309-1)</x:f>
        <x:v>54271</x:v>
      </x:c>
      <x:c r="C309" s="141" t="n">
        <x:f>IF(AND($B$22="Sim",A309&gt;=$B$23,A309&lt;$B$23+$B$31),$B$32*D309,0)</x:f>
        <x:v>0</x:v>
      </x:c>
      <x:c r="D309" s="180" t="n">
        <x:f>IF(A309&lt;$B$23,1,(1+$B$33)^INT((A309-$B$23)/12))</x:f>
        <x:v>3.399563600545619</x:v>
      </x:c>
      <x:c r="E309" s="141" t="n">
        <x:f>IF(AND($B$22="Sim",A309=$B$23),$B$37,0)</x:f>
        <x:v>0</x:v>
      </x:c>
      <x:c r="F309" s="141" t="n">
        <x:f>IF(AND($B$22="Sim",A309=$B$24),$B$27,0)</x:f>
        <x:v>0</x:v>
      </x:c>
      <x:c r="G309" s="141" t="n">
        <x:f>IF(AND($B$22="Sim",A309=$B$23),$B$35,0)</x:f>
        <x:v>0</x:v>
      </x:c>
      <x:c r="H309" s="141" t="n">
        <x:f>IF(AND($B$22="Sim",A309=$B$23),$B$36,0)</x:f>
        <x:v>0</x:v>
      </x:c>
      <x:c r="I309" s="141" t="n">
        <x:f>IF(OR($B$22&lt;&gt;"Sim",A309&gt;=$B$23+$B$31-1),0,(I310+C310)/(1+$B$9))</x:f>
        <x:v>0</x:v>
      </x:c>
      <x:c r="J309" s="140" t="str">
        <x:f>IF($B$22&lt;&gt;"Sim","Desativada",IF(A309&lt;$B$23,"Antes da compra",IF(A309&lt;$B$23+$B$31,"Parcelas restantes","Encerrado")))</x:f>
        <x:v>Encerrado</x:v>
      </x:c>
      <x:c r="K309" s="141" t="n">
        <x:f>IF(C309&gt;0,C309/(1+$B$9)^A309,0)</x:f>
        <x:v>0</x:v>
      </x:c>
    </x:row>
    <x:row r="310">
      <x:c r="A310" s="142" t="n">
        <x:v>256</x:v>
      </x:c>
      <x:c r="B310" s="179" t="n">
        <x:f>EDATE($B$5,A310-1)</x:f>
        <x:v>54302</x:v>
      </x:c>
      <x:c r="C310" s="141" t="n">
        <x:f>IF(AND($B$22="Sim",A310&gt;=$B$23,A310&lt;$B$23+$B$31),$B$32*D310,0)</x:f>
        <x:v>0</x:v>
      </x:c>
      <x:c r="D310" s="180" t="n">
        <x:f>IF(A310&lt;$B$23,1,(1+$B$33)^INT((A310-$B$23)/12))</x:f>
        <x:v>3.399563600545619</x:v>
      </x:c>
      <x:c r="E310" s="141" t="n">
        <x:f>IF(AND($B$22="Sim",A310=$B$23),$B$37,0)</x:f>
        <x:v>0</x:v>
      </x:c>
      <x:c r="F310" s="141" t="n">
        <x:f>IF(AND($B$22="Sim",A310=$B$24),$B$27,0)</x:f>
        <x:v>0</x:v>
      </x:c>
      <x:c r="G310" s="141" t="n">
        <x:f>IF(AND($B$22="Sim",A310=$B$23),$B$35,0)</x:f>
        <x:v>0</x:v>
      </x:c>
      <x:c r="H310" s="141" t="n">
        <x:f>IF(AND($B$22="Sim",A310=$B$23),$B$36,0)</x:f>
        <x:v>0</x:v>
      </x:c>
      <x:c r="I310" s="141" t="n">
        <x:f>IF(OR($B$22&lt;&gt;"Sim",A310&gt;=$B$23+$B$31-1),0,(I311+C311)/(1+$B$9))</x:f>
        <x:v>0</x:v>
      </x:c>
      <x:c r="J310" s="140" t="str">
        <x:f>IF($B$22&lt;&gt;"Sim","Desativada",IF(A310&lt;$B$23,"Antes da compra",IF(A310&lt;$B$23+$B$31,"Parcelas restantes","Encerrado")))</x:f>
        <x:v>Encerrado</x:v>
      </x:c>
      <x:c r="K310" s="141" t="n">
        <x:f>IF(C310&gt;0,C310/(1+$B$9)^A310,0)</x:f>
        <x:v>0</x:v>
      </x:c>
    </x:row>
    <x:row r="311">
      <x:c r="A311" s="142" t="n">
        <x:v>257</x:v>
      </x:c>
      <x:c r="B311" s="179" t="n">
        <x:f>EDATE($B$5,A311-1)</x:f>
        <x:v>54332</x:v>
      </x:c>
      <x:c r="C311" s="141" t="n">
        <x:f>IF(AND($B$22="Sim",A311&gt;=$B$23,A311&lt;$B$23+$B$31),$B$32*D311,0)</x:f>
        <x:v>0</x:v>
      </x:c>
      <x:c r="D311" s="180" t="n">
        <x:f>IF(A311&lt;$B$23,1,(1+$B$33)^INT((A311-$B$23)/12))</x:f>
        <x:v>3.399563600545619</x:v>
      </x:c>
      <x:c r="E311" s="141" t="n">
        <x:f>IF(AND($B$22="Sim",A311=$B$23),$B$37,0)</x:f>
        <x:v>0</x:v>
      </x:c>
      <x:c r="F311" s="141" t="n">
        <x:f>IF(AND($B$22="Sim",A311=$B$24),$B$27,0)</x:f>
        <x:v>0</x:v>
      </x:c>
      <x:c r="G311" s="141" t="n">
        <x:f>IF(AND($B$22="Sim",A311=$B$23),$B$35,0)</x:f>
        <x:v>0</x:v>
      </x:c>
      <x:c r="H311" s="141" t="n">
        <x:f>IF(AND($B$22="Sim",A311=$B$23),$B$36,0)</x:f>
        <x:v>0</x:v>
      </x:c>
      <x:c r="I311" s="141" t="n">
        <x:f>IF(OR($B$22&lt;&gt;"Sim",A311&gt;=$B$23+$B$31-1),0,(I312+C312)/(1+$B$9))</x:f>
        <x:v>0</x:v>
      </x:c>
      <x:c r="J311" s="140" t="str">
        <x:f>IF($B$22&lt;&gt;"Sim","Desativada",IF(A311&lt;$B$23,"Antes da compra",IF(A311&lt;$B$23+$B$31,"Parcelas restantes","Encerrado")))</x:f>
        <x:v>Encerrado</x:v>
      </x:c>
      <x:c r="K311" s="141" t="n">
        <x:f>IF(C311&gt;0,C311/(1+$B$9)^A311,0)</x:f>
        <x:v>0</x:v>
      </x:c>
    </x:row>
    <x:row r="312">
      <x:c r="A312" s="142" t="n">
        <x:v>258</x:v>
      </x:c>
      <x:c r="B312" s="179" t="n">
        <x:f>EDATE($B$5,A312-1)</x:f>
        <x:v>54363</x:v>
      </x:c>
      <x:c r="C312" s="141" t="n">
        <x:f>IF(AND($B$22="Sim",A312&gt;=$B$23,A312&lt;$B$23+$B$31),$B$32*D312,0)</x:f>
        <x:v>0</x:v>
      </x:c>
      <x:c r="D312" s="180" t="n">
        <x:f>IF(A312&lt;$B$23,1,(1+$B$33)^INT((A312-$B$23)/12))</x:f>
        <x:v>3.399563600545619</x:v>
      </x:c>
      <x:c r="E312" s="141" t="n">
        <x:f>IF(AND($B$22="Sim",A312=$B$23),$B$37,0)</x:f>
        <x:v>0</x:v>
      </x:c>
      <x:c r="F312" s="141" t="n">
        <x:f>IF(AND($B$22="Sim",A312=$B$24),$B$27,0)</x:f>
        <x:v>0</x:v>
      </x:c>
      <x:c r="G312" s="141" t="n">
        <x:f>IF(AND($B$22="Sim",A312=$B$23),$B$35,0)</x:f>
        <x:v>0</x:v>
      </x:c>
      <x:c r="H312" s="141" t="n">
        <x:f>IF(AND($B$22="Sim",A312=$B$23),$B$36,0)</x:f>
        <x:v>0</x:v>
      </x:c>
      <x:c r="I312" s="141" t="n">
        <x:f>IF(OR($B$22&lt;&gt;"Sim",A312&gt;=$B$23+$B$31-1),0,(I313+C313)/(1+$B$9))</x:f>
        <x:v>0</x:v>
      </x:c>
      <x:c r="J312" s="140" t="str">
        <x:f>IF($B$22&lt;&gt;"Sim","Desativada",IF(A312&lt;$B$23,"Antes da compra",IF(A312&lt;$B$23+$B$31,"Parcelas restantes","Encerrado")))</x:f>
        <x:v>Encerrado</x:v>
      </x:c>
      <x:c r="K312" s="141" t="n">
        <x:f>IF(C312&gt;0,C312/(1+$B$9)^A312,0)</x:f>
        <x:v>0</x:v>
      </x:c>
    </x:row>
    <x:row r="313">
      <x:c r="A313" s="142" t="n">
        <x:v>259</x:v>
      </x:c>
      <x:c r="B313" s="179" t="n">
        <x:f>EDATE($B$5,A313-1)</x:f>
        <x:v>54393</x:v>
      </x:c>
      <x:c r="C313" s="141" t="n">
        <x:f>IF(AND($B$22="Sim",A313&gt;=$B$23,A313&lt;$B$23+$B$31),$B$32*D313,0)</x:f>
        <x:v>0</x:v>
      </x:c>
      <x:c r="D313" s="180" t="n">
        <x:f>IF(A313&lt;$B$23,1,(1+$B$33)^INT((A313-$B$23)/12))</x:f>
        <x:v>3.399563600545619</x:v>
      </x:c>
      <x:c r="E313" s="141" t="n">
        <x:f>IF(AND($B$22="Sim",A313=$B$23),$B$37,0)</x:f>
        <x:v>0</x:v>
      </x:c>
      <x:c r="F313" s="141" t="n">
        <x:f>IF(AND($B$22="Sim",A313=$B$24),$B$27,0)</x:f>
        <x:v>0</x:v>
      </x:c>
      <x:c r="G313" s="141" t="n">
        <x:f>IF(AND($B$22="Sim",A313=$B$23),$B$35,0)</x:f>
        <x:v>0</x:v>
      </x:c>
      <x:c r="H313" s="141" t="n">
        <x:f>IF(AND($B$22="Sim",A313=$B$23),$B$36,0)</x:f>
        <x:v>0</x:v>
      </x:c>
      <x:c r="I313" s="141" t="n">
        <x:f>IF(OR($B$22&lt;&gt;"Sim",A313&gt;=$B$23+$B$31-1),0,(I314+C314)/(1+$B$9))</x:f>
        <x:v>0</x:v>
      </x:c>
      <x:c r="J313" s="140" t="str">
        <x:f>IF($B$22&lt;&gt;"Sim","Desativada",IF(A313&lt;$B$23,"Antes da compra",IF(A313&lt;$B$23+$B$31,"Parcelas restantes","Encerrado")))</x:f>
        <x:v>Encerrado</x:v>
      </x:c>
      <x:c r="K313" s="141" t="n">
        <x:f>IF(C313&gt;0,C313/(1+$B$9)^A313,0)</x:f>
        <x:v>0</x:v>
      </x:c>
    </x:row>
    <x:row r="314">
      <x:c r="A314" s="142" t="n">
        <x:v>260</x:v>
      </x:c>
      <x:c r="B314" s="179" t="n">
        <x:f>EDATE($B$5,A314-1)</x:f>
        <x:v>54424</x:v>
      </x:c>
      <x:c r="C314" s="141" t="n">
        <x:f>IF(AND($B$22="Sim",A314&gt;=$B$23,A314&lt;$B$23+$B$31),$B$32*D314,0)</x:f>
        <x:v>0</x:v>
      </x:c>
      <x:c r="D314" s="180" t="n">
        <x:f>IF(A314&lt;$B$23,1,(1+$B$33)^INT((A314-$B$23)/12))</x:f>
        <x:v>3.399563600545619</x:v>
      </x:c>
      <x:c r="E314" s="141" t="n">
        <x:f>IF(AND($B$22="Sim",A314=$B$23),$B$37,0)</x:f>
        <x:v>0</x:v>
      </x:c>
      <x:c r="F314" s="141" t="n">
        <x:f>IF(AND($B$22="Sim",A314=$B$24),$B$27,0)</x:f>
        <x:v>0</x:v>
      </x:c>
      <x:c r="G314" s="141" t="n">
        <x:f>IF(AND($B$22="Sim",A314=$B$23),$B$35,0)</x:f>
        <x:v>0</x:v>
      </x:c>
      <x:c r="H314" s="141" t="n">
        <x:f>IF(AND($B$22="Sim",A314=$B$23),$B$36,0)</x:f>
        <x:v>0</x:v>
      </x:c>
      <x:c r="I314" s="141" t="n">
        <x:f>IF(OR($B$22&lt;&gt;"Sim",A314&gt;=$B$23+$B$31-1),0,(I315+C315)/(1+$B$9))</x:f>
        <x:v>0</x:v>
      </x:c>
      <x:c r="J314" s="140" t="str">
        <x:f>IF($B$22&lt;&gt;"Sim","Desativada",IF(A314&lt;$B$23,"Antes da compra",IF(A314&lt;$B$23+$B$31,"Parcelas restantes","Encerrado")))</x:f>
        <x:v>Encerrado</x:v>
      </x:c>
      <x:c r="K314" s="141" t="n">
        <x:f>IF(C314&gt;0,C314/(1+$B$9)^A314,0)</x:f>
        <x:v>0</x:v>
      </x:c>
    </x:row>
    <x:row r="315">
      <x:c r="A315" s="142" t="n">
        <x:v>261</x:v>
      </x:c>
      <x:c r="B315" s="179" t="n">
        <x:f>EDATE($B$5,A315-1)</x:f>
        <x:v>54455</x:v>
      </x:c>
      <x:c r="C315" s="141" t="n">
        <x:f>IF(AND($B$22="Sim",A315&gt;=$B$23,A315&lt;$B$23+$B$31),$B$32*D315,0)</x:f>
        <x:v>0</x:v>
      </x:c>
      <x:c r="D315" s="180" t="n">
        <x:f>IF(A315&lt;$B$23,1,(1+$B$33)^INT((A315-$B$23)/12))</x:f>
        <x:v>3.399563600545619</x:v>
      </x:c>
      <x:c r="E315" s="141" t="n">
        <x:f>IF(AND($B$22="Sim",A315=$B$23),$B$37,0)</x:f>
        <x:v>0</x:v>
      </x:c>
      <x:c r="F315" s="141" t="n">
        <x:f>IF(AND($B$22="Sim",A315=$B$24),$B$27,0)</x:f>
        <x:v>0</x:v>
      </x:c>
      <x:c r="G315" s="141" t="n">
        <x:f>IF(AND($B$22="Sim",A315=$B$23),$B$35,0)</x:f>
        <x:v>0</x:v>
      </x:c>
      <x:c r="H315" s="141" t="n">
        <x:f>IF(AND($B$22="Sim",A315=$B$23),$B$36,0)</x:f>
        <x:v>0</x:v>
      </x:c>
      <x:c r="I315" s="141" t="n">
        <x:f>IF(OR($B$22&lt;&gt;"Sim",A315&gt;=$B$23+$B$31-1),0,(I316+C316)/(1+$B$9))</x:f>
        <x:v>0</x:v>
      </x:c>
      <x:c r="J315" s="140" t="str">
        <x:f>IF($B$22&lt;&gt;"Sim","Desativada",IF(A315&lt;$B$23,"Antes da compra",IF(A315&lt;$B$23+$B$31,"Parcelas restantes","Encerrado")))</x:f>
        <x:v>Encerrado</x:v>
      </x:c>
      <x:c r="K315" s="141" t="n">
        <x:f>IF(C315&gt;0,C315/(1+$B$9)^A315,0)</x:f>
        <x:v>0</x:v>
      </x:c>
    </x:row>
    <x:row r="316">
      <x:c r="A316" s="142" t="n">
        <x:v>262</x:v>
      </x:c>
      <x:c r="B316" s="179" t="n">
        <x:f>EDATE($B$5,A316-1)</x:f>
        <x:v>54483</x:v>
      </x:c>
      <x:c r="C316" s="141" t="n">
        <x:f>IF(AND($B$22="Sim",A316&gt;=$B$23,A316&lt;$B$23+$B$31),$B$32*D316,0)</x:f>
        <x:v>0</x:v>
      </x:c>
      <x:c r="D316" s="180" t="n">
        <x:f>IF(A316&lt;$B$23,1,(1+$B$33)^INT((A316-$B$23)/12))</x:f>
        <x:v>3.399563600545619</x:v>
      </x:c>
      <x:c r="E316" s="141" t="n">
        <x:f>IF(AND($B$22="Sim",A316=$B$23),$B$37,0)</x:f>
        <x:v>0</x:v>
      </x:c>
      <x:c r="F316" s="141" t="n">
        <x:f>IF(AND($B$22="Sim",A316=$B$24),$B$27,0)</x:f>
        <x:v>0</x:v>
      </x:c>
      <x:c r="G316" s="141" t="n">
        <x:f>IF(AND($B$22="Sim",A316=$B$23),$B$35,0)</x:f>
        <x:v>0</x:v>
      </x:c>
      <x:c r="H316" s="141" t="n">
        <x:f>IF(AND($B$22="Sim",A316=$B$23),$B$36,0)</x:f>
        <x:v>0</x:v>
      </x:c>
      <x:c r="I316" s="141" t="n">
        <x:f>IF(OR($B$22&lt;&gt;"Sim",A316&gt;=$B$23+$B$31-1),0,(I317+C317)/(1+$B$9))</x:f>
        <x:v>0</x:v>
      </x:c>
      <x:c r="J316" s="140" t="str">
        <x:f>IF($B$22&lt;&gt;"Sim","Desativada",IF(A316&lt;$B$23,"Antes da compra",IF(A316&lt;$B$23+$B$31,"Parcelas restantes","Encerrado")))</x:f>
        <x:v>Encerrado</x:v>
      </x:c>
      <x:c r="K316" s="141" t="n">
        <x:f>IF(C316&gt;0,C316/(1+$B$9)^A316,0)</x:f>
        <x:v>0</x:v>
      </x:c>
    </x:row>
    <x:row r="317">
      <x:c r="A317" s="142" t="n">
        <x:v>263</x:v>
      </x:c>
      <x:c r="B317" s="179" t="n">
        <x:f>EDATE($B$5,A317-1)</x:f>
        <x:v>54514</x:v>
      </x:c>
      <x:c r="C317" s="141" t="n">
        <x:f>IF(AND($B$22="Sim",A317&gt;=$B$23,A317&lt;$B$23+$B$31),$B$32*D317,0)</x:f>
        <x:v>0</x:v>
      </x:c>
      <x:c r="D317" s="180" t="n">
        <x:f>IF(A317&lt;$B$23,1,(1+$B$33)^INT((A317-$B$23)/12))</x:f>
        <x:v>3.399563600545619</x:v>
      </x:c>
      <x:c r="E317" s="141" t="n">
        <x:f>IF(AND($B$22="Sim",A317=$B$23),$B$37,0)</x:f>
        <x:v>0</x:v>
      </x:c>
      <x:c r="F317" s="141" t="n">
        <x:f>IF(AND($B$22="Sim",A317=$B$24),$B$27,0)</x:f>
        <x:v>0</x:v>
      </x:c>
      <x:c r="G317" s="141" t="n">
        <x:f>IF(AND($B$22="Sim",A317=$B$23),$B$35,0)</x:f>
        <x:v>0</x:v>
      </x:c>
      <x:c r="H317" s="141" t="n">
        <x:f>IF(AND($B$22="Sim",A317=$B$23),$B$36,0)</x:f>
        <x:v>0</x:v>
      </x:c>
      <x:c r="I317" s="141" t="n">
        <x:f>IF(OR($B$22&lt;&gt;"Sim",A317&gt;=$B$23+$B$31-1),0,(I318+C318)/(1+$B$9))</x:f>
        <x:v>0</x:v>
      </x:c>
      <x:c r="J317" s="140" t="str">
        <x:f>IF($B$22&lt;&gt;"Sim","Desativada",IF(A317&lt;$B$23,"Antes da compra",IF(A317&lt;$B$23+$B$31,"Parcelas restantes","Encerrado")))</x:f>
        <x:v>Encerrado</x:v>
      </x:c>
      <x:c r="K317" s="141" t="n">
        <x:f>IF(C317&gt;0,C317/(1+$B$9)^A317,0)</x:f>
        <x:v>0</x:v>
      </x:c>
    </x:row>
    <x:row r="318">
      <x:c r="A318" s="142" t="n">
        <x:v>264</x:v>
      </x:c>
      <x:c r="B318" s="179" t="n">
        <x:f>EDATE($B$5,A318-1)</x:f>
        <x:v>54544</x:v>
      </x:c>
      <x:c r="C318" s="141" t="n">
        <x:f>IF(AND($B$22="Sim",A318&gt;=$B$23,A318&lt;$B$23+$B$31),$B$32*D318,0)</x:f>
        <x:v>0</x:v>
      </x:c>
      <x:c r="D318" s="180" t="n">
        <x:f>IF(A318&lt;$B$23,1,(1+$B$33)^INT((A318-$B$23)/12))</x:f>
        <x:v>3.399563600545619</x:v>
      </x:c>
      <x:c r="E318" s="141" t="n">
        <x:f>IF(AND($B$22="Sim",A318=$B$23),$B$37,0)</x:f>
        <x:v>0</x:v>
      </x:c>
      <x:c r="F318" s="141" t="n">
        <x:f>IF(AND($B$22="Sim",A318=$B$24),$B$27,0)</x:f>
        <x:v>0</x:v>
      </x:c>
      <x:c r="G318" s="141" t="n">
        <x:f>IF(AND($B$22="Sim",A318=$B$23),$B$35,0)</x:f>
        <x:v>0</x:v>
      </x:c>
      <x:c r="H318" s="141" t="n">
        <x:f>IF(AND($B$22="Sim",A318=$B$23),$B$36,0)</x:f>
        <x:v>0</x:v>
      </x:c>
      <x:c r="I318" s="141" t="n">
        <x:f>IF(OR($B$22&lt;&gt;"Sim",A318&gt;=$B$23+$B$31-1),0,(I319+C319)/(1+$B$9))</x:f>
        <x:v>0</x:v>
      </x:c>
      <x:c r="J318" s="140" t="str">
        <x:f>IF($B$22&lt;&gt;"Sim","Desativada",IF(A318&lt;$B$23,"Antes da compra",IF(A318&lt;$B$23+$B$31,"Parcelas restantes","Encerrado")))</x:f>
        <x:v>Encerrado</x:v>
      </x:c>
      <x:c r="K318" s="141" t="n">
        <x:f>IF(C318&gt;0,C318/(1+$B$9)^A318,0)</x:f>
        <x:v>0</x:v>
      </x:c>
    </x:row>
    <x:row r="319">
      <x:c r="A319" s="142" t="n">
        <x:v>265</x:v>
      </x:c>
      <x:c r="B319" s="179" t="n">
        <x:f>EDATE($B$5,A319-1)</x:f>
        <x:v>54575</x:v>
      </x:c>
      <x:c r="C319" s="141" t="n">
        <x:f>IF(AND($B$22="Sim",A319&gt;=$B$23,A319&lt;$B$23+$B$31),$B$32*D319,0)</x:f>
        <x:v>0</x:v>
      </x:c>
      <x:c r="D319" s="180" t="n">
        <x:f>IF(A319&lt;$B$23,1,(1+$B$33)^INT((A319-$B$23)/12))</x:f>
        <x:v>3.6035374165783565</x:v>
      </x:c>
      <x:c r="E319" s="141" t="n">
        <x:f>IF(AND($B$22="Sim",A319=$B$23),$B$37,0)</x:f>
        <x:v>0</x:v>
      </x:c>
      <x:c r="F319" s="141" t="n">
        <x:f>IF(AND($B$22="Sim",A319=$B$24),$B$27,0)</x:f>
        <x:v>0</x:v>
      </x:c>
      <x:c r="G319" s="141" t="n">
        <x:f>IF(AND($B$22="Sim",A319=$B$23),$B$35,0)</x:f>
        <x:v>0</x:v>
      </x:c>
      <x:c r="H319" s="141" t="n">
        <x:f>IF(AND($B$22="Sim",A319=$B$23),$B$36,0)</x:f>
        <x:v>0</x:v>
      </x:c>
      <x:c r="I319" s="141" t="n">
        <x:f>IF(OR($B$22&lt;&gt;"Sim",A319&gt;=$B$23+$B$31-1),0,(I320+C320)/(1+$B$9))</x:f>
        <x:v>0</x:v>
      </x:c>
      <x:c r="J319" s="140" t="str">
        <x:f>IF($B$22&lt;&gt;"Sim","Desativada",IF(A319&lt;$B$23,"Antes da compra",IF(A319&lt;$B$23+$B$31,"Parcelas restantes","Encerrado")))</x:f>
        <x:v>Encerrado</x:v>
      </x:c>
      <x:c r="K319" s="141" t="n">
        <x:f>IF(C319&gt;0,C319/(1+$B$9)^A319,0)</x:f>
        <x:v>0</x:v>
      </x:c>
    </x:row>
    <x:row r="320">
      <x:c r="A320" s="142" t="n">
        <x:v>266</x:v>
      </x:c>
      <x:c r="B320" s="179" t="n">
        <x:f>EDATE($B$5,A320-1)</x:f>
        <x:v>54605</x:v>
      </x:c>
      <x:c r="C320" s="141" t="n">
        <x:f>IF(AND($B$22="Sim",A320&gt;=$B$23,A320&lt;$B$23+$B$31),$B$32*D320,0)</x:f>
        <x:v>0</x:v>
      </x:c>
      <x:c r="D320" s="180" t="n">
        <x:f>IF(A320&lt;$B$23,1,(1+$B$33)^INT((A320-$B$23)/12))</x:f>
        <x:v>3.6035374165783565</x:v>
      </x:c>
      <x:c r="E320" s="141" t="n">
        <x:f>IF(AND($B$22="Sim",A320=$B$23),$B$37,0)</x:f>
        <x:v>0</x:v>
      </x:c>
      <x:c r="F320" s="141" t="n">
        <x:f>IF(AND($B$22="Sim",A320=$B$24),$B$27,0)</x:f>
        <x:v>0</x:v>
      </x:c>
      <x:c r="G320" s="141" t="n">
        <x:f>IF(AND($B$22="Sim",A320=$B$23),$B$35,0)</x:f>
        <x:v>0</x:v>
      </x:c>
      <x:c r="H320" s="141" t="n">
        <x:f>IF(AND($B$22="Sim",A320=$B$23),$B$36,0)</x:f>
        <x:v>0</x:v>
      </x:c>
      <x:c r="I320" s="141" t="n">
        <x:f>IF(OR($B$22&lt;&gt;"Sim",A320&gt;=$B$23+$B$31-1),0,(I321+C321)/(1+$B$9))</x:f>
        <x:v>0</x:v>
      </x:c>
      <x:c r="J320" s="140" t="str">
        <x:f>IF($B$22&lt;&gt;"Sim","Desativada",IF(A320&lt;$B$23,"Antes da compra",IF(A320&lt;$B$23+$B$31,"Parcelas restantes","Encerrado")))</x:f>
        <x:v>Encerrado</x:v>
      </x:c>
      <x:c r="K320" s="141" t="n">
        <x:f>IF(C320&gt;0,C320/(1+$B$9)^A320,0)</x:f>
        <x:v>0</x:v>
      </x:c>
    </x:row>
    <x:row r="321">
      <x:c r="A321" s="142" t="n">
        <x:v>267</x:v>
      </x:c>
      <x:c r="B321" s="179" t="n">
        <x:f>EDATE($B$5,A321-1)</x:f>
        <x:v>54636</x:v>
      </x:c>
      <x:c r="C321" s="141" t="n">
        <x:f>IF(AND($B$22="Sim",A321&gt;=$B$23,A321&lt;$B$23+$B$31),$B$32*D321,0)</x:f>
        <x:v>0</x:v>
      </x:c>
      <x:c r="D321" s="180" t="n">
        <x:f>IF(A321&lt;$B$23,1,(1+$B$33)^INT((A321-$B$23)/12))</x:f>
        <x:v>3.6035374165783565</x:v>
      </x:c>
      <x:c r="E321" s="141" t="n">
        <x:f>IF(AND($B$22="Sim",A321=$B$23),$B$37,0)</x:f>
        <x:v>0</x:v>
      </x:c>
      <x:c r="F321" s="141" t="n">
        <x:f>IF(AND($B$22="Sim",A321=$B$24),$B$27,0)</x:f>
        <x:v>0</x:v>
      </x:c>
      <x:c r="G321" s="141" t="n">
        <x:f>IF(AND($B$22="Sim",A321=$B$23),$B$35,0)</x:f>
        <x:v>0</x:v>
      </x:c>
      <x:c r="H321" s="141" t="n">
        <x:f>IF(AND($B$22="Sim",A321=$B$23),$B$36,0)</x:f>
        <x:v>0</x:v>
      </x:c>
      <x:c r="I321" s="141" t="n">
        <x:f>IF(OR($B$22&lt;&gt;"Sim",A321&gt;=$B$23+$B$31-1),0,(I322+C322)/(1+$B$9))</x:f>
        <x:v>0</x:v>
      </x:c>
      <x:c r="J321" s="140" t="str">
        <x:f>IF($B$22&lt;&gt;"Sim","Desativada",IF(A321&lt;$B$23,"Antes da compra",IF(A321&lt;$B$23+$B$31,"Parcelas restantes","Encerrado")))</x:f>
        <x:v>Encerrado</x:v>
      </x:c>
      <x:c r="K321" s="141" t="n">
        <x:f>IF(C321&gt;0,C321/(1+$B$9)^A321,0)</x:f>
        <x:v>0</x:v>
      </x:c>
    </x:row>
    <x:row r="322">
      <x:c r="A322" s="142" t="n">
        <x:v>268</x:v>
      </x:c>
      <x:c r="B322" s="179" t="n">
        <x:f>EDATE($B$5,A322-1)</x:f>
        <x:v>54667</x:v>
      </x:c>
      <x:c r="C322" s="141" t="n">
        <x:f>IF(AND($B$22="Sim",A322&gt;=$B$23,A322&lt;$B$23+$B$31),$B$32*D322,0)</x:f>
        <x:v>0</x:v>
      </x:c>
      <x:c r="D322" s="180" t="n">
        <x:f>IF(A322&lt;$B$23,1,(1+$B$33)^INT((A322-$B$23)/12))</x:f>
        <x:v>3.6035374165783565</x:v>
      </x:c>
      <x:c r="E322" s="141" t="n">
        <x:f>IF(AND($B$22="Sim",A322=$B$23),$B$37,0)</x:f>
        <x:v>0</x:v>
      </x:c>
      <x:c r="F322" s="141" t="n">
        <x:f>IF(AND($B$22="Sim",A322=$B$24),$B$27,0)</x:f>
        <x:v>0</x:v>
      </x:c>
      <x:c r="G322" s="141" t="n">
        <x:f>IF(AND($B$22="Sim",A322=$B$23),$B$35,0)</x:f>
        <x:v>0</x:v>
      </x:c>
      <x:c r="H322" s="141" t="n">
        <x:f>IF(AND($B$22="Sim",A322=$B$23),$B$36,0)</x:f>
        <x:v>0</x:v>
      </x:c>
      <x:c r="I322" s="141" t="n">
        <x:f>IF(OR($B$22&lt;&gt;"Sim",A322&gt;=$B$23+$B$31-1),0,(I323+C323)/(1+$B$9))</x:f>
        <x:v>0</x:v>
      </x:c>
      <x:c r="J322" s="140" t="str">
        <x:f>IF($B$22&lt;&gt;"Sim","Desativada",IF(A322&lt;$B$23,"Antes da compra",IF(A322&lt;$B$23+$B$31,"Parcelas restantes","Encerrado")))</x:f>
        <x:v>Encerrado</x:v>
      </x:c>
      <x:c r="K322" s="141" t="n">
        <x:f>IF(C322&gt;0,C322/(1+$B$9)^A322,0)</x:f>
        <x:v>0</x:v>
      </x:c>
    </x:row>
    <x:row r="323">
      <x:c r="A323" s="142" t="n">
        <x:v>269</x:v>
      </x:c>
      <x:c r="B323" s="179" t="n">
        <x:f>EDATE($B$5,A323-1)</x:f>
        <x:v>54697</x:v>
      </x:c>
      <x:c r="C323" s="141" t="n">
        <x:f>IF(AND($B$22="Sim",A323&gt;=$B$23,A323&lt;$B$23+$B$31),$B$32*D323,0)</x:f>
        <x:v>0</x:v>
      </x:c>
      <x:c r="D323" s="180" t="n">
        <x:f>IF(A323&lt;$B$23,1,(1+$B$33)^INT((A323-$B$23)/12))</x:f>
        <x:v>3.6035374165783565</x:v>
      </x:c>
      <x:c r="E323" s="141" t="n">
        <x:f>IF(AND($B$22="Sim",A323=$B$23),$B$37,0)</x:f>
        <x:v>0</x:v>
      </x:c>
      <x:c r="F323" s="141" t="n">
        <x:f>IF(AND($B$22="Sim",A323=$B$24),$B$27,0)</x:f>
        <x:v>0</x:v>
      </x:c>
      <x:c r="G323" s="141" t="n">
        <x:f>IF(AND($B$22="Sim",A323=$B$23),$B$35,0)</x:f>
        <x:v>0</x:v>
      </x:c>
      <x:c r="H323" s="141" t="n">
        <x:f>IF(AND($B$22="Sim",A323=$B$23),$B$36,0)</x:f>
        <x:v>0</x:v>
      </x:c>
      <x:c r="I323" s="141" t="n">
        <x:f>IF(OR($B$22&lt;&gt;"Sim",A323&gt;=$B$23+$B$31-1),0,(I324+C324)/(1+$B$9))</x:f>
        <x:v>0</x:v>
      </x:c>
      <x:c r="J323" s="140" t="str">
        <x:f>IF($B$22&lt;&gt;"Sim","Desativada",IF(A323&lt;$B$23,"Antes da compra",IF(A323&lt;$B$23+$B$31,"Parcelas restantes","Encerrado")))</x:f>
        <x:v>Encerrado</x:v>
      </x:c>
      <x:c r="K323" s="141" t="n">
        <x:f>IF(C323&gt;0,C323/(1+$B$9)^A323,0)</x:f>
        <x:v>0</x:v>
      </x:c>
    </x:row>
    <x:row r="324">
      <x:c r="A324" s="142" t="n">
        <x:v>270</x:v>
      </x:c>
      <x:c r="B324" s="179" t="n">
        <x:f>EDATE($B$5,A324-1)</x:f>
        <x:v>54728</x:v>
      </x:c>
      <x:c r="C324" s="141" t="n">
        <x:f>IF(AND($B$22="Sim",A324&gt;=$B$23,A324&lt;$B$23+$B$31),$B$32*D324,0)</x:f>
        <x:v>0</x:v>
      </x:c>
      <x:c r="D324" s="180" t="n">
        <x:f>IF(A324&lt;$B$23,1,(1+$B$33)^INT((A324-$B$23)/12))</x:f>
        <x:v>3.6035374165783565</x:v>
      </x:c>
      <x:c r="E324" s="141" t="n">
        <x:f>IF(AND($B$22="Sim",A324=$B$23),$B$37,0)</x:f>
        <x:v>0</x:v>
      </x:c>
      <x:c r="F324" s="141" t="n">
        <x:f>IF(AND($B$22="Sim",A324=$B$24),$B$27,0)</x:f>
        <x:v>0</x:v>
      </x:c>
      <x:c r="G324" s="141" t="n">
        <x:f>IF(AND($B$22="Sim",A324=$B$23),$B$35,0)</x:f>
        <x:v>0</x:v>
      </x:c>
      <x:c r="H324" s="141" t="n">
        <x:f>IF(AND($B$22="Sim",A324=$B$23),$B$36,0)</x:f>
        <x:v>0</x:v>
      </x:c>
      <x:c r="I324" s="141" t="n">
        <x:f>IF(OR($B$22&lt;&gt;"Sim",A324&gt;=$B$23+$B$31-1),0,(I325+C325)/(1+$B$9))</x:f>
        <x:v>0</x:v>
      </x:c>
      <x:c r="J324" s="140" t="str">
        <x:f>IF($B$22&lt;&gt;"Sim","Desativada",IF(A324&lt;$B$23,"Antes da compra",IF(A324&lt;$B$23+$B$31,"Parcelas restantes","Encerrado")))</x:f>
        <x:v>Encerrado</x:v>
      </x:c>
      <x:c r="K324" s="141" t="n">
        <x:f>IF(C324&gt;0,C324/(1+$B$9)^A324,0)</x:f>
        <x:v>0</x:v>
      </x:c>
    </x:row>
    <x:row r="325">
      <x:c r="A325" s="142" t="n">
        <x:v>271</x:v>
      </x:c>
      <x:c r="B325" s="179" t="n">
        <x:f>EDATE($B$5,A325-1)</x:f>
        <x:v>54758</x:v>
      </x:c>
      <x:c r="C325" s="141" t="n">
        <x:f>IF(AND($B$22="Sim",A325&gt;=$B$23,A325&lt;$B$23+$B$31),$B$32*D325,0)</x:f>
        <x:v>0</x:v>
      </x:c>
      <x:c r="D325" s="180" t="n">
        <x:f>IF(A325&lt;$B$23,1,(1+$B$33)^INT((A325-$B$23)/12))</x:f>
        <x:v>3.6035374165783565</x:v>
      </x:c>
      <x:c r="E325" s="141" t="n">
        <x:f>IF(AND($B$22="Sim",A325=$B$23),$B$37,0)</x:f>
        <x:v>0</x:v>
      </x:c>
      <x:c r="F325" s="141" t="n">
        <x:f>IF(AND($B$22="Sim",A325=$B$24),$B$27,0)</x:f>
        <x:v>0</x:v>
      </x:c>
      <x:c r="G325" s="141" t="n">
        <x:f>IF(AND($B$22="Sim",A325=$B$23),$B$35,0)</x:f>
        <x:v>0</x:v>
      </x:c>
      <x:c r="H325" s="141" t="n">
        <x:f>IF(AND($B$22="Sim",A325=$B$23),$B$36,0)</x:f>
        <x:v>0</x:v>
      </x:c>
      <x:c r="I325" s="141" t="n">
        <x:f>IF(OR($B$22&lt;&gt;"Sim",A325&gt;=$B$23+$B$31-1),0,(I326+C326)/(1+$B$9))</x:f>
        <x:v>0</x:v>
      </x:c>
      <x:c r="J325" s="140" t="str">
        <x:f>IF($B$22&lt;&gt;"Sim","Desativada",IF(A325&lt;$B$23,"Antes da compra",IF(A325&lt;$B$23+$B$31,"Parcelas restantes","Encerrado")))</x:f>
        <x:v>Encerrado</x:v>
      </x:c>
      <x:c r="K325" s="141" t="n">
        <x:f>IF(C325&gt;0,C325/(1+$B$9)^A325,0)</x:f>
        <x:v>0</x:v>
      </x:c>
    </x:row>
    <x:row r="326">
      <x:c r="A326" s="142" t="n">
        <x:v>272</x:v>
      </x:c>
      <x:c r="B326" s="179" t="n">
        <x:f>EDATE($B$5,A326-1)</x:f>
        <x:v>54789</x:v>
      </x:c>
      <x:c r="C326" s="141" t="n">
        <x:f>IF(AND($B$22="Sim",A326&gt;=$B$23,A326&lt;$B$23+$B$31),$B$32*D326,0)</x:f>
        <x:v>0</x:v>
      </x:c>
      <x:c r="D326" s="180" t="n">
        <x:f>IF(A326&lt;$B$23,1,(1+$B$33)^INT((A326-$B$23)/12))</x:f>
        <x:v>3.6035374165783565</x:v>
      </x:c>
      <x:c r="E326" s="141" t="n">
        <x:f>IF(AND($B$22="Sim",A326=$B$23),$B$37,0)</x:f>
        <x:v>0</x:v>
      </x:c>
      <x:c r="F326" s="141" t="n">
        <x:f>IF(AND($B$22="Sim",A326=$B$24),$B$27,0)</x:f>
        <x:v>0</x:v>
      </x:c>
      <x:c r="G326" s="141" t="n">
        <x:f>IF(AND($B$22="Sim",A326=$B$23),$B$35,0)</x:f>
        <x:v>0</x:v>
      </x:c>
      <x:c r="H326" s="141" t="n">
        <x:f>IF(AND($B$22="Sim",A326=$B$23),$B$36,0)</x:f>
        <x:v>0</x:v>
      </x:c>
      <x:c r="I326" s="141" t="n">
        <x:f>IF(OR($B$22&lt;&gt;"Sim",A326&gt;=$B$23+$B$31-1),0,(I327+C327)/(1+$B$9))</x:f>
        <x:v>0</x:v>
      </x:c>
      <x:c r="J326" s="140" t="str">
        <x:f>IF($B$22&lt;&gt;"Sim","Desativada",IF(A326&lt;$B$23,"Antes da compra",IF(A326&lt;$B$23+$B$31,"Parcelas restantes","Encerrado")))</x:f>
        <x:v>Encerrado</x:v>
      </x:c>
      <x:c r="K326" s="141" t="n">
        <x:f>IF(C326&gt;0,C326/(1+$B$9)^A326,0)</x:f>
        <x:v>0</x:v>
      </x:c>
    </x:row>
    <x:row r="327">
      <x:c r="A327" s="142" t="n">
        <x:v>273</x:v>
      </x:c>
      <x:c r="B327" s="179" t="n">
        <x:f>EDATE($B$5,A327-1)</x:f>
        <x:v>54820</x:v>
      </x:c>
      <x:c r="C327" s="141" t="n">
        <x:f>IF(AND($B$22="Sim",A327&gt;=$B$23,A327&lt;$B$23+$B$31),$B$32*D327,0)</x:f>
        <x:v>0</x:v>
      </x:c>
      <x:c r="D327" s="180" t="n">
        <x:f>IF(A327&lt;$B$23,1,(1+$B$33)^INT((A327-$B$23)/12))</x:f>
        <x:v>3.6035374165783565</x:v>
      </x:c>
      <x:c r="E327" s="141" t="n">
        <x:f>IF(AND($B$22="Sim",A327=$B$23),$B$37,0)</x:f>
        <x:v>0</x:v>
      </x:c>
      <x:c r="F327" s="141" t="n">
        <x:f>IF(AND($B$22="Sim",A327=$B$24),$B$27,0)</x:f>
        <x:v>0</x:v>
      </x:c>
      <x:c r="G327" s="141" t="n">
        <x:f>IF(AND($B$22="Sim",A327=$B$23),$B$35,0)</x:f>
        <x:v>0</x:v>
      </x:c>
      <x:c r="H327" s="141" t="n">
        <x:f>IF(AND($B$22="Sim",A327=$B$23),$B$36,0)</x:f>
        <x:v>0</x:v>
      </x:c>
      <x:c r="I327" s="141" t="n">
        <x:f>IF(OR($B$22&lt;&gt;"Sim",A327&gt;=$B$23+$B$31-1),0,(I328+C328)/(1+$B$9))</x:f>
        <x:v>0</x:v>
      </x:c>
      <x:c r="J327" s="140" t="str">
        <x:f>IF($B$22&lt;&gt;"Sim","Desativada",IF(A327&lt;$B$23,"Antes da compra",IF(A327&lt;$B$23+$B$31,"Parcelas restantes","Encerrado")))</x:f>
        <x:v>Encerrado</x:v>
      </x:c>
      <x:c r="K327" s="141" t="n">
        <x:f>IF(C327&gt;0,C327/(1+$B$9)^A327,0)</x:f>
        <x:v>0</x:v>
      </x:c>
    </x:row>
    <x:row r="328">
      <x:c r="A328" s="142" t="n">
        <x:v>274</x:v>
      </x:c>
      <x:c r="B328" s="179" t="n">
        <x:f>EDATE($B$5,A328-1)</x:f>
        <x:v>54848</x:v>
      </x:c>
      <x:c r="C328" s="141" t="n">
        <x:f>IF(AND($B$22="Sim",A328&gt;=$B$23,A328&lt;$B$23+$B$31),$B$32*D328,0)</x:f>
        <x:v>0</x:v>
      </x:c>
      <x:c r="D328" s="180" t="n">
        <x:f>IF(A328&lt;$B$23,1,(1+$B$33)^INT((A328-$B$23)/12))</x:f>
        <x:v>3.6035374165783565</x:v>
      </x:c>
      <x:c r="E328" s="141" t="n">
        <x:f>IF(AND($B$22="Sim",A328=$B$23),$B$37,0)</x:f>
        <x:v>0</x:v>
      </x:c>
      <x:c r="F328" s="141" t="n">
        <x:f>IF(AND($B$22="Sim",A328=$B$24),$B$27,0)</x:f>
        <x:v>0</x:v>
      </x:c>
      <x:c r="G328" s="141" t="n">
        <x:f>IF(AND($B$22="Sim",A328=$B$23),$B$35,0)</x:f>
        <x:v>0</x:v>
      </x:c>
      <x:c r="H328" s="141" t="n">
        <x:f>IF(AND($B$22="Sim",A328=$B$23),$B$36,0)</x:f>
        <x:v>0</x:v>
      </x:c>
      <x:c r="I328" s="141" t="n">
        <x:f>IF(OR($B$22&lt;&gt;"Sim",A328&gt;=$B$23+$B$31-1),0,(I329+C329)/(1+$B$9))</x:f>
        <x:v>0</x:v>
      </x:c>
      <x:c r="J328" s="140" t="str">
        <x:f>IF($B$22&lt;&gt;"Sim","Desativada",IF(A328&lt;$B$23,"Antes da compra",IF(A328&lt;$B$23+$B$31,"Parcelas restantes","Encerrado")))</x:f>
        <x:v>Encerrado</x:v>
      </x:c>
      <x:c r="K328" s="141" t="n">
        <x:f>IF(C328&gt;0,C328/(1+$B$9)^A328,0)</x:f>
        <x:v>0</x:v>
      </x:c>
    </x:row>
    <x:row r="329">
      <x:c r="A329" s="142" t="n">
        <x:v>275</x:v>
      </x:c>
      <x:c r="B329" s="179" t="n">
        <x:f>EDATE($B$5,A329-1)</x:f>
        <x:v>54879</x:v>
      </x:c>
      <x:c r="C329" s="141" t="n">
        <x:f>IF(AND($B$22="Sim",A329&gt;=$B$23,A329&lt;$B$23+$B$31),$B$32*D329,0)</x:f>
        <x:v>0</x:v>
      </x:c>
      <x:c r="D329" s="180" t="n">
        <x:f>IF(A329&lt;$B$23,1,(1+$B$33)^INT((A329-$B$23)/12))</x:f>
        <x:v>3.6035374165783565</x:v>
      </x:c>
      <x:c r="E329" s="141" t="n">
        <x:f>IF(AND($B$22="Sim",A329=$B$23),$B$37,0)</x:f>
        <x:v>0</x:v>
      </x:c>
      <x:c r="F329" s="141" t="n">
        <x:f>IF(AND($B$22="Sim",A329=$B$24),$B$27,0)</x:f>
        <x:v>0</x:v>
      </x:c>
      <x:c r="G329" s="141" t="n">
        <x:f>IF(AND($B$22="Sim",A329=$B$23),$B$35,0)</x:f>
        <x:v>0</x:v>
      </x:c>
      <x:c r="H329" s="141" t="n">
        <x:f>IF(AND($B$22="Sim",A329=$B$23),$B$36,0)</x:f>
        <x:v>0</x:v>
      </x:c>
      <x:c r="I329" s="141" t="n">
        <x:f>IF(OR($B$22&lt;&gt;"Sim",A329&gt;=$B$23+$B$31-1),0,(I330+C330)/(1+$B$9))</x:f>
        <x:v>0</x:v>
      </x:c>
      <x:c r="J329" s="140" t="str">
        <x:f>IF($B$22&lt;&gt;"Sim","Desativada",IF(A329&lt;$B$23,"Antes da compra",IF(A329&lt;$B$23+$B$31,"Parcelas restantes","Encerrado")))</x:f>
        <x:v>Encerrado</x:v>
      </x:c>
      <x:c r="K329" s="141" t="n">
        <x:f>IF(C329&gt;0,C329/(1+$B$9)^A329,0)</x:f>
        <x:v>0</x:v>
      </x:c>
    </x:row>
    <x:row r="330">
      <x:c r="A330" s="142" t="n">
        <x:v>276</x:v>
      </x:c>
      <x:c r="B330" s="179" t="n">
        <x:f>EDATE($B$5,A330-1)</x:f>
        <x:v>54909</x:v>
      </x:c>
      <x:c r="C330" s="141" t="n">
        <x:f>IF(AND($B$22="Sim",A330&gt;=$B$23,A330&lt;$B$23+$B$31),$B$32*D330,0)</x:f>
        <x:v>0</x:v>
      </x:c>
      <x:c r="D330" s="180" t="n">
        <x:f>IF(A330&lt;$B$23,1,(1+$B$33)^INT((A330-$B$23)/12))</x:f>
        <x:v>3.6035374165783565</x:v>
      </x:c>
      <x:c r="E330" s="141" t="n">
        <x:f>IF(AND($B$22="Sim",A330=$B$23),$B$37,0)</x:f>
        <x:v>0</x:v>
      </x:c>
      <x:c r="F330" s="141" t="n">
        <x:f>IF(AND($B$22="Sim",A330=$B$24),$B$27,0)</x:f>
        <x:v>0</x:v>
      </x:c>
      <x:c r="G330" s="141" t="n">
        <x:f>IF(AND($B$22="Sim",A330=$B$23),$B$35,0)</x:f>
        <x:v>0</x:v>
      </x:c>
      <x:c r="H330" s="141" t="n">
        <x:f>IF(AND($B$22="Sim",A330=$B$23),$B$36,0)</x:f>
        <x:v>0</x:v>
      </x:c>
      <x:c r="I330" s="141" t="n">
        <x:f>IF(OR($B$22&lt;&gt;"Sim",A330&gt;=$B$23+$B$31-1),0,(I331+C331)/(1+$B$9))</x:f>
        <x:v>0</x:v>
      </x:c>
      <x:c r="J330" s="140" t="str">
        <x:f>IF($B$22&lt;&gt;"Sim","Desativada",IF(A330&lt;$B$23,"Antes da compra",IF(A330&lt;$B$23+$B$31,"Parcelas restantes","Encerrado")))</x:f>
        <x:v>Encerrado</x:v>
      </x:c>
      <x:c r="K330" s="141" t="n">
        <x:f>IF(C330&gt;0,C330/(1+$B$9)^A330,0)</x:f>
        <x:v>0</x:v>
      </x:c>
    </x:row>
    <x:row r="331">
      <x:c r="A331" s="142" t="n">
        <x:v>277</x:v>
      </x:c>
      <x:c r="B331" s="179" t="n">
        <x:f>EDATE($B$5,A331-1)</x:f>
        <x:v>54940</x:v>
      </x:c>
      <x:c r="C331" s="141" t="n">
        <x:f>IF(AND($B$22="Sim",A331&gt;=$B$23,A331&lt;$B$23+$B$31),$B$32*D331,0)</x:f>
        <x:v>0</x:v>
      </x:c>
      <x:c r="D331" s="180" t="n">
        <x:f>IF(A331&lt;$B$23,1,(1+$B$33)^INT((A331-$B$23)/12))</x:f>
        <x:v>3.819749661573058</x:v>
      </x:c>
      <x:c r="E331" s="141" t="n">
        <x:f>IF(AND($B$22="Sim",A331=$B$23),$B$37,0)</x:f>
        <x:v>0</x:v>
      </x:c>
      <x:c r="F331" s="141" t="n">
        <x:f>IF(AND($B$22="Sim",A331=$B$24),$B$27,0)</x:f>
        <x:v>0</x:v>
      </x:c>
      <x:c r="G331" s="141" t="n">
        <x:f>IF(AND($B$22="Sim",A331=$B$23),$B$35,0)</x:f>
        <x:v>0</x:v>
      </x:c>
      <x:c r="H331" s="141" t="n">
        <x:f>IF(AND($B$22="Sim",A331=$B$23),$B$36,0)</x:f>
        <x:v>0</x:v>
      </x:c>
      <x:c r="I331" s="141" t="n">
        <x:f>IF(OR($B$22&lt;&gt;"Sim",A331&gt;=$B$23+$B$31-1),0,(I332+C332)/(1+$B$9))</x:f>
        <x:v>0</x:v>
      </x:c>
      <x:c r="J331" s="140" t="str">
        <x:f>IF($B$22&lt;&gt;"Sim","Desativada",IF(A331&lt;$B$23,"Antes da compra",IF(A331&lt;$B$23+$B$31,"Parcelas restantes","Encerrado")))</x:f>
        <x:v>Encerrado</x:v>
      </x:c>
      <x:c r="K331" s="141" t="n">
        <x:f>IF(C331&gt;0,C331/(1+$B$9)^A331,0)</x:f>
        <x:v>0</x:v>
      </x:c>
    </x:row>
    <x:row r="332">
      <x:c r="A332" s="142" t="n">
        <x:v>278</x:v>
      </x:c>
      <x:c r="B332" s="179" t="n">
        <x:f>EDATE($B$5,A332-1)</x:f>
        <x:v>54970</x:v>
      </x:c>
      <x:c r="C332" s="141" t="n">
        <x:f>IF(AND($B$22="Sim",A332&gt;=$B$23,A332&lt;$B$23+$B$31),$B$32*D332,0)</x:f>
        <x:v>0</x:v>
      </x:c>
      <x:c r="D332" s="180" t="n">
        <x:f>IF(A332&lt;$B$23,1,(1+$B$33)^INT((A332-$B$23)/12))</x:f>
        <x:v>3.819749661573058</x:v>
      </x:c>
      <x:c r="E332" s="141" t="n">
        <x:f>IF(AND($B$22="Sim",A332=$B$23),$B$37,0)</x:f>
        <x:v>0</x:v>
      </x:c>
      <x:c r="F332" s="141" t="n">
        <x:f>IF(AND($B$22="Sim",A332=$B$24),$B$27,0)</x:f>
        <x:v>0</x:v>
      </x:c>
      <x:c r="G332" s="141" t="n">
        <x:f>IF(AND($B$22="Sim",A332=$B$23),$B$35,0)</x:f>
        <x:v>0</x:v>
      </x:c>
      <x:c r="H332" s="141" t="n">
        <x:f>IF(AND($B$22="Sim",A332=$B$23),$B$36,0)</x:f>
        <x:v>0</x:v>
      </x:c>
      <x:c r="I332" s="141" t="n">
        <x:f>IF(OR($B$22&lt;&gt;"Sim",A332&gt;=$B$23+$B$31-1),0,(I333+C333)/(1+$B$9))</x:f>
        <x:v>0</x:v>
      </x:c>
      <x:c r="J332" s="140" t="str">
        <x:f>IF($B$22&lt;&gt;"Sim","Desativada",IF(A332&lt;$B$23,"Antes da compra",IF(A332&lt;$B$23+$B$31,"Parcelas restantes","Encerrado")))</x:f>
        <x:v>Encerrado</x:v>
      </x:c>
      <x:c r="K332" s="141" t="n">
        <x:f>IF(C332&gt;0,C332/(1+$B$9)^A332,0)</x:f>
        <x:v>0</x:v>
      </x:c>
    </x:row>
    <x:row r="333">
      <x:c r="A333" s="142" t="n">
        <x:v>279</x:v>
      </x:c>
      <x:c r="B333" s="179" t="n">
        <x:f>EDATE($B$5,A333-1)</x:f>
        <x:v>55001</x:v>
      </x:c>
      <x:c r="C333" s="141" t="n">
        <x:f>IF(AND($B$22="Sim",A333&gt;=$B$23,A333&lt;$B$23+$B$31),$B$32*D333,0)</x:f>
        <x:v>0</x:v>
      </x:c>
      <x:c r="D333" s="180" t="n">
        <x:f>IF(A333&lt;$B$23,1,(1+$B$33)^INT((A333-$B$23)/12))</x:f>
        <x:v>3.819749661573058</x:v>
      </x:c>
      <x:c r="E333" s="141" t="n">
        <x:f>IF(AND($B$22="Sim",A333=$B$23),$B$37,0)</x:f>
        <x:v>0</x:v>
      </x:c>
      <x:c r="F333" s="141" t="n">
        <x:f>IF(AND($B$22="Sim",A333=$B$24),$B$27,0)</x:f>
        <x:v>0</x:v>
      </x:c>
      <x:c r="G333" s="141" t="n">
        <x:f>IF(AND($B$22="Sim",A333=$B$23),$B$35,0)</x:f>
        <x:v>0</x:v>
      </x:c>
      <x:c r="H333" s="141" t="n">
        <x:f>IF(AND($B$22="Sim",A333=$B$23),$B$36,0)</x:f>
        <x:v>0</x:v>
      </x:c>
      <x:c r="I333" s="141" t="n">
        <x:f>IF(OR($B$22&lt;&gt;"Sim",A333&gt;=$B$23+$B$31-1),0,(I334+C334)/(1+$B$9))</x:f>
        <x:v>0</x:v>
      </x:c>
      <x:c r="J333" s="140" t="str">
        <x:f>IF($B$22&lt;&gt;"Sim","Desativada",IF(A333&lt;$B$23,"Antes da compra",IF(A333&lt;$B$23+$B$31,"Parcelas restantes","Encerrado")))</x:f>
        <x:v>Encerrado</x:v>
      </x:c>
      <x:c r="K333" s="141" t="n">
        <x:f>IF(C333&gt;0,C333/(1+$B$9)^A333,0)</x:f>
        <x:v>0</x:v>
      </x:c>
    </x:row>
    <x:row r="334">
      <x:c r="A334" s="142" t="n">
        <x:v>280</x:v>
      </x:c>
      <x:c r="B334" s="179" t="n">
        <x:f>EDATE($B$5,A334-1)</x:f>
        <x:v>55032</x:v>
      </x:c>
      <x:c r="C334" s="141" t="n">
        <x:f>IF(AND($B$22="Sim",A334&gt;=$B$23,A334&lt;$B$23+$B$31),$B$32*D334,0)</x:f>
        <x:v>0</x:v>
      </x:c>
      <x:c r="D334" s="180" t="n">
        <x:f>IF(A334&lt;$B$23,1,(1+$B$33)^INT((A334-$B$23)/12))</x:f>
        <x:v>3.819749661573058</x:v>
      </x:c>
      <x:c r="E334" s="141" t="n">
        <x:f>IF(AND($B$22="Sim",A334=$B$23),$B$37,0)</x:f>
        <x:v>0</x:v>
      </x:c>
      <x:c r="F334" s="141" t="n">
        <x:f>IF(AND($B$22="Sim",A334=$B$24),$B$27,0)</x:f>
        <x:v>0</x:v>
      </x:c>
      <x:c r="G334" s="141" t="n">
        <x:f>IF(AND($B$22="Sim",A334=$B$23),$B$35,0)</x:f>
        <x:v>0</x:v>
      </x:c>
      <x:c r="H334" s="141" t="n">
        <x:f>IF(AND($B$22="Sim",A334=$B$23),$B$36,0)</x:f>
        <x:v>0</x:v>
      </x:c>
      <x:c r="I334" s="141" t="n">
        <x:f>IF(OR($B$22&lt;&gt;"Sim",A334&gt;=$B$23+$B$31-1),0,(I335+C335)/(1+$B$9))</x:f>
        <x:v>0</x:v>
      </x:c>
      <x:c r="J334" s="140" t="str">
        <x:f>IF($B$22&lt;&gt;"Sim","Desativada",IF(A334&lt;$B$23,"Antes da compra",IF(A334&lt;$B$23+$B$31,"Parcelas restantes","Encerrado")))</x:f>
        <x:v>Encerrado</x:v>
      </x:c>
      <x:c r="K334" s="141" t="n">
        <x:f>IF(C334&gt;0,C334/(1+$B$9)^A334,0)</x:f>
        <x:v>0</x:v>
      </x:c>
    </x:row>
    <x:row r="335">
      <x:c r="A335" s="142" t="n">
        <x:v>281</x:v>
      </x:c>
      <x:c r="B335" s="179" t="n">
        <x:f>EDATE($B$5,A335-1)</x:f>
        <x:v>55062</x:v>
      </x:c>
      <x:c r="C335" s="141" t="n">
        <x:f>IF(AND($B$22="Sim",A335&gt;=$B$23,A335&lt;$B$23+$B$31),$B$32*D335,0)</x:f>
        <x:v>0</x:v>
      </x:c>
      <x:c r="D335" s="180" t="n">
        <x:f>IF(A335&lt;$B$23,1,(1+$B$33)^INT((A335-$B$23)/12))</x:f>
        <x:v>3.819749661573058</x:v>
      </x:c>
      <x:c r="E335" s="141" t="n">
        <x:f>IF(AND($B$22="Sim",A335=$B$23),$B$37,0)</x:f>
        <x:v>0</x:v>
      </x:c>
      <x:c r="F335" s="141" t="n">
        <x:f>IF(AND($B$22="Sim",A335=$B$24),$B$27,0)</x:f>
        <x:v>0</x:v>
      </x:c>
      <x:c r="G335" s="141" t="n">
        <x:f>IF(AND($B$22="Sim",A335=$B$23),$B$35,0)</x:f>
        <x:v>0</x:v>
      </x:c>
      <x:c r="H335" s="141" t="n">
        <x:f>IF(AND($B$22="Sim",A335=$B$23),$B$36,0)</x:f>
        <x:v>0</x:v>
      </x:c>
      <x:c r="I335" s="141" t="n">
        <x:f>IF(OR($B$22&lt;&gt;"Sim",A335&gt;=$B$23+$B$31-1),0,(I336+C336)/(1+$B$9))</x:f>
        <x:v>0</x:v>
      </x:c>
      <x:c r="J335" s="140" t="str">
        <x:f>IF($B$22&lt;&gt;"Sim","Desativada",IF(A335&lt;$B$23,"Antes da compra",IF(A335&lt;$B$23+$B$31,"Parcelas restantes","Encerrado")))</x:f>
        <x:v>Encerrado</x:v>
      </x:c>
      <x:c r="K335" s="141" t="n">
        <x:f>IF(C335&gt;0,C335/(1+$B$9)^A335,0)</x:f>
        <x:v>0</x:v>
      </x:c>
    </x:row>
    <x:row r="336">
      <x:c r="A336" s="142" t="n">
        <x:v>282</x:v>
      </x:c>
      <x:c r="B336" s="179" t="n">
        <x:f>EDATE($B$5,A336-1)</x:f>
        <x:v>55093</x:v>
      </x:c>
      <x:c r="C336" s="141" t="n">
        <x:f>IF(AND($B$22="Sim",A336&gt;=$B$23,A336&lt;$B$23+$B$31),$B$32*D336,0)</x:f>
        <x:v>0</x:v>
      </x:c>
      <x:c r="D336" s="180" t="n">
        <x:f>IF(A336&lt;$B$23,1,(1+$B$33)^INT((A336-$B$23)/12))</x:f>
        <x:v>3.819749661573058</x:v>
      </x:c>
      <x:c r="E336" s="141" t="n">
        <x:f>IF(AND($B$22="Sim",A336=$B$23),$B$37,0)</x:f>
        <x:v>0</x:v>
      </x:c>
      <x:c r="F336" s="141" t="n">
        <x:f>IF(AND($B$22="Sim",A336=$B$24),$B$27,0)</x:f>
        <x:v>0</x:v>
      </x:c>
      <x:c r="G336" s="141" t="n">
        <x:f>IF(AND($B$22="Sim",A336=$B$23),$B$35,0)</x:f>
        <x:v>0</x:v>
      </x:c>
      <x:c r="H336" s="141" t="n">
        <x:f>IF(AND($B$22="Sim",A336=$B$23),$B$36,0)</x:f>
        <x:v>0</x:v>
      </x:c>
      <x:c r="I336" s="141" t="n">
        <x:f>IF(OR($B$22&lt;&gt;"Sim",A336&gt;=$B$23+$B$31-1),0,(I337+C337)/(1+$B$9))</x:f>
        <x:v>0</x:v>
      </x:c>
      <x:c r="J336" s="140" t="str">
        <x:f>IF($B$22&lt;&gt;"Sim","Desativada",IF(A336&lt;$B$23,"Antes da compra",IF(A336&lt;$B$23+$B$31,"Parcelas restantes","Encerrado")))</x:f>
        <x:v>Encerrado</x:v>
      </x:c>
      <x:c r="K336" s="141" t="n">
        <x:f>IF(C336&gt;0,C336/(1+$B$9)^A336,0)</x:f>
        <x:v>0</x:v>
      </x:c>
    </x:row>
    <x:row r="337">
      <x:c r="A337" s="142" t="n">
        <x:v>283</x:v>
      </x:c>
      <x:c r="B337" s="179" t="n">
        <x:f>EDATE($B$5,A337-1)</x:f>
        <x:v>55123</x:v>
      </x:c>
      <x:c r="C337" s="141" t="n">
        <x:f>IF(AND($B$22="Sim",A337&gt;=$B$23,A337&lt;$B$23+$B$31),$B$32*D337,0)</x:f>
        <x:v>0</x:v>
      </x:c>
      <x:c r="D337" s="180" t="n">
        <x:f>IF(A337&lt;$B$23,1,(1+$B$33)^INT((A337-$B$23)/12))</x:f>
        <x:v>3.819749661573058</x:v>
      </x:c>
      <x:c r="E337" s="141" t="n">
        <x:f>IF(AND($B$22="Sim",A337=$B$23),$B$37,0)</x:f>
        <x:v>0</x:v>
      </x:c>
      <x:c r="F337" s="141" t="n">
        <x:f>IF(AND($B$22="Sim",A337=$B$24),$B$27,0)</x:f>
        <x:v>0</x:v>
      </x:c>
      <x:c r="G337" s="141" t="n">
        <x:f>IF(AND($B$22="Sim",A337=$B$23),$B$35,0)</x:f>
        <x:v>0</x:v>
      </x:c>
      <x:c r="H337" s="141" t="n">
        <x:f>IF(AND($B$22="Sim",A337=$B$23),$B$36,0)</x:f>
        <x:v>0</x:v>
      </x:c>
      <x:c r="I337" s="141" t="n">
        <x:f>IF(OR($B$22&lt;&gt;"Sim",A337&gt;=$B$23+$B$31-1),0,(I338+C338)/(1+$B$9))</x:f>
        <x:v>0</x:v>
      </x:c>
      <x:c r="J337" s="140" t="str">
        <x:f>IF($B$22&lt;&gt;"Sim","Desativada",IF(A337&lt;$B$23,"Antes da compra",IF(A337&lt;$B$23+$B$31,"Parcelas restantes","Encerrado")))</x:f>
        <x:v>Encerrado</x:v>
      </x:c>
      <x:c r="K337" s="141" t="n">
        <x:f>IF(C337&gt;0,C337/(1+$B$9)^A337,0)</x:f>
        <x:v>0</x:v>
      </x:c>
    </x:row>
    <x:row r="338">
      <x:c r="A338" s="142" t="n">
        <x:v>284</x:v>
      </x:c>
      <x:c r="B338" s="179" t="n">
        <x:f>EDATE($B$5,A338-1)</x:f>
        <x:v>55154</x:v>
      </x:c>
      <x:c r="C338" s="141" t="n">
        <x:f>IF(AND($B$22="Sim",A338&gt;=$B$23,A338&lt;$B$23+$B$31),$B$32*D338,0)</x:f>
        <x:v>0</x:v>
      </x:c>
      <x:c r="D338" s="180" t="n">
        <x:f>IF(A338&lt;$B$23,1,(1+$B$33)^INT((A338-$B$23)/12))</x:f>
        <x:v>3.819749661573058</x:v>
      </x:c>
      <x:c r="E338" s="141" t="n">
        <x:f>IF(AND($B$22="Sim",A338=$B$23),$B$37,0)</x:f>
        <x:v>0</x:v>
      </x:c>
      <x:c r="F338" s="141" t="n">
        <x:f>IF(AND($B$22="Sim",A338=$B$24),$B$27,0)</x:f>
        <x:v>0</x:v>
      </x:c>
      <x:c r="G338" s="141" t="n">
        <x:f>IF(AND($B$22="Sim",A338=$B$23),$B$35,0)</x:f>
        <x:v>0</x:v>
      </x:c>
      <x:c r="H338" s="141" t="n">
        <x:f>IF(AND($B$22="Sim",A338=$B$23),$B$36,0)</x:f>
        <x:v>0</x:v>
      </x:c>
      <x:c r="I338" s="141" t="n">
        <x:f>IF(OR($B$22&lt;&gt;"Sim",A338&gt;=$B$23+$B$31-1),0,(I339+C339)/(1+$B$9))</x:f>
        <x:v>0</x:v>
      </x:c>
      <x:c r="J338" s="140" t="str">
        <x:f>IF($B$22&lt;&gt;"Sim","Desativada",IF(A338&lt;$B$23,"Antes da compra",IF(A338&lt;$B$23+$B$31,"Parcelas restantes","Encerrado")))</x:f>
        <x:v>Encerrado</x:v>
      </x:c>
      <x:c r="K338" s="141" t="n">
        <x:f>IF(C338&gt;0,C338/(1+$B$9)^A338,0)</x:f>
        <x:v>0</x:v>
      </x:c>
    </x:row>
    <x:row r="339">
      <x:c r="A339" s="142" t="n">
        <x:v>285</x:v>
      </x:c>
      <x:c r="B339" s="179" t="n">
        <x:f>EDATE($B$5,A339-1)</x:f>
        <x:v>55185</x:v>
      </x:c>
      <x:c r="C339" s="141" t="n">
        <x:f>IF(AND($B$22="Sim",A339&gt;=$B$23,A339&lt;$B$23+$B$31),$B$32*D339,0)</x:f>
        <x:v>0</x:v>
      </x:c>
      <x:c r="D339" s="180" t="n">
        <x:f>IF(A339&lt;$B$23,1,(1+$B$33)^INT((A339-$B$23)/12))</x:f>
        <x:v>3.819749661573058</x:v>
      </x:c>
      <x:c r="E339" s="141" t="n">
        <x:f>IF(AND($B$22="Sim",A339=$B$23),$B$37,0)</x:f>
        <x:v>0</x:v>
      </x:c>
      <x:c r="F339" s="141" t="n">
        <x:f>IF(AND($B$22="Sim",A339=$B$24),$B$27,0)</x:f>
        <x:v>0</x:v>
      </x:c>
      <x:c r="G339" s="141" t="n">
        <x:f>IF(AND($B$22="Sim",A339=$B$23),$B$35,0)</x:f>
        <x:v>0</x:v>
      </x:c>
      <x:c r="H339" s="141" t="n">
        <x:f>IF(AND($B$22="Sim",A339=$B$23),$B$36,0)</x:f>
        <x:v>0</x:v>
      </x:c>
      <x:c r="I339" s="141" t="n">
        <x:f>IF(OR($B$22&lt;&gt;"Sim",A339&gt;=$B$23+$B$31-1),0,(I340+C340)/(1+$B$9))</x:f>
        <x:v>0</x:v>
      </x:c>
      <x:c r="J339" s="140" t="str">
        <x:f>IF($B$22&lt;&gt;"Sim","Desativada",IF(A339&lt;$B$23,"Antes da compra",IF(A339&lt;$B$23+$B$31,"Parcelas restantes","Encerrado")))</x:f>
        <x:v>Encerrado</x:v>
      </x:c>
      <x:c r="K339" s="141" t="n">
        <x:f>IF(C339&gt;0,C339/(1+$B$9)^A339,0)</x:f>
        <x:v>0</x:v>
      </x:c>
    </x:row>
    <x:row r="340">
      <x:c r="A340" s="142" t="n">
        <x:v>286</x:v>
      </x:c>
      <x:c r="B340" s="179" t="n">
        <x:f>EDATE($B$5,A340-1)</x:f>
        <x:v>55213</x:v>
      </x:c>
      <x:c r="C340" s="141" t="n">
        <x:f>IF(AND($B$22="Sim",A340&gt;=$B$23,A340&lt;$B$23+$B$31),$B$32*D340,0)</x:f>
        <x:v>0</x:v>
      </x:c>
      <x:c r="D340" s="180" t="n">
        <x:f>IF(A340&lt;$B$23,1,(1+$B$33)^INT((A340-$B$23)/12))</x:f>
        <x:v>3.819749661573058</x:v>
      </x:c>
      <x:c r="E340" s="141" t="n">
        <x:f>IF(AND($B$22="Sim",A340=$B$23),$B$37,0)</x:f>
        <x:v>0</x:v>
      </x:c>
      <x:c r="F340" s="141" t="n">
        <x:f>IF(AND($B$22="Sim",A340=$B$24),$B$27,0)</x:f>
        <x:v>0</x:v>
      </x:c>
      <x:c r="G340" s="141" t="n">
        <x:f>IF(AND($B$22="Sim",A340=$B$23),$B$35,0)</x:f>
        <x:v>0</x:v>
      </x:c>
      <x:c r="H340" s="141" t="n">
        <x:f>IF(AND($B$22="Sim",A340=$B$23),$B$36,0)</x:f>
        <x:v>0</x:v>
      </x:c>
      <x:c r="I340" s="141" t="n">
        <x:f>IF(OR($B$22&lt;&gt;"Sim",A340&gt;=$B$23+$B$31-1),0,(I341+C341)/(1+$B$9))</x:f>
        <x:v>0</x:v>
      </x:c>
      <x:c r="J340" s="140" t="str">
        <x:f>IF($B$22&lt;&gt;"Sim","Desativada",IF(A340&lt;$B$23,"Antes da compra",IF(A340&lt;$B$23+$B$31,"Parcelas restantes","Encerrado")))</x:f>
        <x:v>Encerrado</x:v>
      </x:c>
      <x:c r="K340" s="141" t="n">
        <x:f>IF(C340&gt;0,C340/(1+$B$9)^A340,0)</x:f>
        <x:v>0</x:v>
      </x:c>
    </x:row>
    <x:row r="341">
      <x:c r="A341" s="142" t="n">
        <x:v>287</x:v>
      </x:c>
      <x:c r="B341" s="179" t="n">
        <x:f>EDATE($B$5,A341-1)</x:f>
        <x:v>55244</x:v>
      </x:c>
      <x:c r="C341" s="141" t="n">
        <x:f>IF(AND($B$22="Sim",A341&gt;=$B$23,A341&lt;$B$23+$B$31),$B$32*D341,0)</x:f>
        <x:v>0</x:v>
      </x:c>
      <x:c r="D341" s="180" t="n">
        <x:f>IF(A341&lt;$B$23,1,(1+$B$33)^INT((A341-$B$23)/12))</x:f>
        <x:v>3.819749661573058</x:v>
      </x:c>
      <x:c r="E341" s="141" t="n">
        <x:f>IF(AND($B$22="Sim",A341=$B$23),$B$37,0)</x:f>
        <x:v>0</x:v>
      </x:c>
      <x:c r="F341" s="141" t="n">
        <x:f>IF(AND($B$22="Sim",A341=$B$24),$B$27,0)</x:f>
        <x:v>0</x:v>
      </x:c>
      <x:c r="G341" s="141" t="n">
        <x:f>IF(AND($B$22="Sim",A341=$B$23),$B$35,0)</x:f>
        <x:v>0</x:v>
      </x:c>
      <x:c r="H341" s="141" t="n">
        <x:f>IF(AND($B$22="Sim",A341=$B$23),$B$36,0)</x:f>
        <x:v>0</x:v>
      </x:c>
      <x:c r="I341" s="141" t="n">
        <x:f>IF(OR($B$22&lt;&gt;"Sim",A341&gt;=$B$23+$B$31-1),0,(I342+C342)/(1+$B$9))</x:f>
        <x:v>0</x:v>
      </x:c>
      <x:c r="J341" s="140" t="str">
        <x:f>IF($B$22&lt;&gt;"Sim","Desativada",IF(A341&lt;$B$23,"Antes da compra",IF(A341&lt;$B$23+$B$31,"Parcelas restantes","Encerrado")))</x:f>
        <x:v>Encerrado</x:v>
      </x:c>
      <x:c r="K341" s="141" t="n">
        <x:f>IF(C341&gt;0,C341/(1+$B$9)^A341,0)</x:f>
        <x:v>0</x:v>
      </x:c>
    </x:row>
    <x:row r="342">
      <x:c r="A342" s="142" t="n">
        <x:v>288</x:v>
      </x:c>
      <x:c r="B342" s="179" t="n">
        <x:f>EDATE($B$5,A342-1)</x:f>
        <x:v>55274</x:v>
      </x:c>
      <x:c r="C342" s="141" t="n">
        <x:f>IF(AND($B$22="Sim",A342&gt;=$B$23,A342&lt;$B$23+$B$31),$B$32*D342,0)</x:f>
        <x:v>0</x:v>
      </x:c>
      <x:c r="D342" s="180" t="n">
        <x:f>IF(A342&lt;$B$23,1,(1+$B$33)^INT((A342-$B$23)/12))</x:f>
        <x:v>3.819749661573058</x:v>
      </x:c>
      <x:c r="E342" s="141" t="n">
        <x:f>IF(AND($B$22="Sim",A342=$B$23),$B$37,0)</x:f>
        <x:v>0</x:v>
      </x:c>
      <x:c r="F342" s="141" t="n">
        <x:f>IF(AND($B$22="Sim",A342=$B$24),$B$27,0)</x:f>
        <x:v>0</x:v>
      </x:c>
      <x:c r="G342" s="141" t="n">
        <x:f>IF(AND($B$22="Sim",A342=$B$23),$B$35,0)</x:f>
        <x:v>0</x:v>
      </x:c>
      <x:c r="H342" s="141" t="n">
        <x:f>IF(AND($B$22="Sim",A342=$B$23),$B$36,0)</x:f>
        <x:v>0</x:v>
      </x:c>
      <x:c r="I342" s="141" t="n">
        <x:f>IF(OR($B$22&lt;&gt;"Sim",A342&gt;=$B$23+$B$31-1),0,(I343+C343)/(1+$B$9))</x:f>
        <x:v>0</x:v>
      </x:c>
      <x:c r="J342" s="140" t="str">
        <x:f>IF($B$22&lt;&gt;"Sim","Desativada",IF(A342&lt;$B$23,"Antes da compra",IF(A342&lt;$B$23+$B$31,"Parcelas restantes","Encerrado")))</x:f>
        <x:v>Encerrado</x:v>
      </x:c>
      <x:c r="K342" s="141" t="n">
        <x:f>IF(C342&gt;0,C342/(1+$B$9)^A342,0)</x:f>
        <x:v>0</x:v>
      </x:c>
    </x:row>
    <x:row r="343">
      <x:c r="A343" s="142" t="n">
        <x:v>289</x:v>
      </x:c>
      <x:c r="B343" s="179" t="n">
        <x:f>EDATE($B$5,A343-1)</x:f>
        <x:v>55305</x:v>
      </x:c>
      <x:c r="C343" s="141" t="n">
        <x:f>IF(AND($B$22="Sim",A343&gt;=$B$23,A343&lt;$B$23+$B$31),$B$32*D343,0)</x:f>
        <x:v>0</x:v>
      </x:c>
      <x:c r="D343" s="180" t="n">
        <x:f>IF(A343&lt;$B$23,1,(1+$B$33)^INT((A343-$B$23)/12))</x:f>
        <x:v>4.048934641267442</x:v>
      </x:c>
      <x:c r="E343" s="141" t="n">
        <x:f>IF(AND($B$22="Sim",A343=$B$23),$B$37,0)</x:f>
        <x:v>0</x:v>
      </x:c>
      <x:c r="F343" s="141" t="n">
        <x:f>IF(AND($B$22="Sim",A343=$B$24),$B$27,0)</x:f>
        <x:v>0</x:v>
      </x:c>
      <x:c r="G343" s="141" t="n">
        <x:f>IF(AND($B$22="Sim",A343=$B$23),$B$35,0)</x:f>
        <x:v>0</x:v>
      </x:c>
      <x:c r="H343" s="141" t="n">
        <x:f>IF(AND($B$22="Sim",A343=$B$23),$B$36,0)</x:f>
        <x:v>0</x:v>
      </x:c>
      <x:c r="I343" s="141" t="n">
        <x:f>IF(OR($B$22&lt;&gt;"Sim",A343&gt;=$B$23+$B$31-1),0,(I344+C344)/(1+$B$9))</x:f>
        <x:v>0</x:v>
      </x:c>
      <x:c r="J343" s="140" t="str">
        <x:f>IF($B$22&lt;&gt;"Sim","Desativada",IF(A343&lt;$B$23,"Antes da compra",IF(A343&lt;$B$23+$B$31,"Parcelas restantes","Encerrado")))</x:f>
        <x:v>Encerrado</x:v>
      </x:c>
      <x:c r="K343" s="141" t="n">
        <x:f>IF(C343&gt;0,C343/(1+$B$9)^A343,0)</x:f>
        <x:v>0</x:v>
      </x:c>
    </x:row>
    <x:row r="344">
      <x:c r="A344" s="142" t="n">
        <x:v>290</x:v>
      </x:c>
      <x:c r="B344" s="179" t="n">
        <x:f>EDATE($B$5,A344-1)</x:f>
        <x:v>55335</x:v>
      </x:c>
      <x:c r="C344" s="141" t="n">
        <x:f>IF(AND($B$22="Sim",A344&gt;=$B$23,A344&lt;$B$23+$B$31),$B$32*D344,0)</x:f>
        <x:v>0</x:v>
      </x:c>
      <x:c r="D344" s="180" t="n">
        <x:f>IF(A344&lt;$B$23,1,(1+$B$33)^INT((A344-$B$23)/12))</x:f>
        <x:v>4.048934641267442</x:v>
      </x:c>
      <x:c r="E344" s="141" t="n">
        <x:f>IF(AND($B$22="Sim",A344=$B$23),$B$37,0)</x:f>
        <x:v>0</x:v>
      </x:c>
      <x:c r="F344" s="141" t="n">
        <x:f>IF(AND($B$22="Sim",A344=$B$24),$B$27,0)</x:f>
        <x:v>0</x:v>
      </x:c>
      <x:c r="G344" s="141" t="n">
        <x:f>IF(AND($B$22="Sim",A344=$B$23),$B$35,0)</x:f>
        <x:v>0</x:v>
      </x:c>
      <x:c r="H344" s="141" t="n">
        <x:f>IF(AND($B$22="Sim",A344=$B$23),$B$36,0)</x:f>
        <x:v>0</x:v>
      </x:c>
      <x:c r="I344" s="141" t="n">
        <x:f>IF(OR($B$22&lt;&gt;"Sim",A344&gt;=$B$23+$B$31-1),0,(I345+C345)/(1+$B$9))</x:f>
        <x:v>0</x:v>
      </x:c>
      <x:c r="J344" s="140" t="str">
        <x:f>IF($B$22&lt;&gt;"Sim","Desativada",IF(A344&lt;$B$23,"Antes da compra",IF(A344&lt;$B$23+$B$31,"Parcelas restantes","Encerrado")))</x:f>
        <x:v>Encerrado</x:v>
      </x:c>
      <x:c r="K344" s="141" t="n">
        <x:f>IF(C344&gt;0,C344/(1+$B$9)^A344,0)</x:f>
        <x:v>0</x:v>
      </x:c>
    </x:row>
    <x:row r="345">
      <x:c r="A345" s="142" t="n">
        <x:v>291</x:v>
      </x:c>
      <x:c r="B345" s="179" t="n">
        <x:f>EDATE($B$5,A345-1)</x:f>
        <x:v>55366</x:v>
      </x:c>
      <x:c r="C345" s="141" t="n">
        <x:f>IF(AND($B$22="Sim",A345&gt;=$B$23,A345&lt;$B$23+$B$31),$B$32*D345,0)</x:f>
        <x:v>0</x:v>
      </x:c>
      <x:c r="D345" s="180" t="n">
        <x:f>IF(A345&lt;$B$23,1,(1+$B$33)^INT((A345-$B$23)/12))</x:f>
        <x:v>4.048934641267442</x:v>
      </x:c>
      <x:c r="E345" s="141" t="n">
        <x:f>IF(AND($B$22="Sim",A345=$B$23),$B$37,0)</x:f>
        <x:v>0</x:v>
      </x:c>
      <x:c r="F345" s="141" t="n">
        <x:f>IF(AND($B$22="Sim",A345=$B$24),$B$27,0)</x:f>
        <x:v>0</x:v>
      </x:c>
      <x:c r="G345" s="141" t="n">
        <x:f>IF(AND($B$22="Sim",A345=$B$23),$B$35,0)</x:f>
        <x:v>0</x:v>
      </x:c>
      <x:c r="H345" s="141" t="n">
        <x:f>IF(AND($B$22="Sim",A345=$B$23),$B$36,0)</x:f>
        <x:v>0</x:v>
      </x:c>
      <x:c r="I345" s="141" t="n">
        <x:f>IF(OR($B$22&lt;&gt;"Sim",A345&gt;=$B$23+$B$31-1),0,(I346+C346)/(1+$B$9))</x:f>
        <x:v>0</x:v>
      </x:c>
      <x:c r="J345" s="140" t="str">
        <x:f>IF($B$22&lt;&gt;"Sim","Desativada",IF(A345&lt;$B$23,"Antes da compra",IF(A345&lt;$B$23+$B$31,"Parcelas restantes","Encerrado")))</x:f>
        <x:v>Encerrado</x:v>
      </x:c>
      <x:c r="K345" s="141" t="n">
        <x:f>IF(C345&gt;0,C345/(1+$B$9)^A345,0)</x:f>
        <x:v>0</x:v>
      </x:c>
    </x:row>
    <x:row r="346">
      <x:c r="A346" s="142" t="n">
        <x:v>292</x:v>
      </x:c>
      <x:c r="B346" s="179" t="n">
        <x:f>EDATE($B$5,A346-1)</x:f>
        <x:v>55397</x:v>
      </x:c>
      <x:c r="C346" s="141" t="n">
        <x:f>IF(AND($B$22="Sim",A346&gt;=$B$23,A346&lt;$B$23+$B$31),$B$32*D346,0)</x:f>
        <x:v>0</x:v>
      </x:c>
      <x:c r="D346" s="180" t="n">
        <x:f>IF(A346&lt;$B$23,1,(1+$B$33)^INT((A346-$B$23)/12))</x:f>
        <x:v>4.048934641267442</x:v>
      </x:c>
      <x:c r="E346" s="141" t="n">
        <x:f>IF(AND($B$22="Sim",A346=$B$23),$B$37,0)</x:f>
        <x:v>0</x:v>
      </x:c>
      <x:c r="F346" s="141" t="n">
        <x:f>IF(AND($B$22="Sim",A346=$B$24),$B$27,0)</x:f>
        <x:v>0</x:v>
      </x:c>
      <x:c r="G346" s="141" t="n">
        <x:f>IF(AND($B$22="Sim",A346=$B$23),$B$35,0)</x:f>
        <x:v>0</x:v>
      </x:c>
      <x:c r="H346" s="141" t="n">
        <x:f>IF(AND($B$22="Sim",A346=$B$23),$B$36,0)</x:f>
        <x:v>0</x:v>
      </x:c>
      <x:c r="I346" s="141" t="n">
        <x:f>IF(OR($B$22&lt;&gt;"Sim",A346&gt;=$B$23+$B$31-1),0,(I347+C347)/(1+$B$9))</x:f>
        <x:v>0</x:v>
      </x:c>
      <x:c r="J346" s="140" t="str">
        <x:f>IF($B$22&lt;&gt;"Sim","Desativada",IF(A346&lt;$B$23,"Antes da compra",IF(A346&lt;$B$23+$B$31,"Parcelas restantes","Encerrado")))</x:f>
        <x:v>Encerrado</x:v>
      </x:c>
      <x:c r="K346" s="141" t="n">
        <x:f>IF(C346&gt;0,C346/(1+$B$9)^A346,0)</x:f>
        <x:v>0</x:v>
      </x:c>
    </x:row>
    <x:row r="347">
      <x:c r="A347" s="142" t="n">
        <x:v>293</x:v>
      </x:c>
      <x:c r="B347" s="179" t="n">
        <x:f>EDATE($B$5,A347-1)</x:f>
        <x:v>55427</x:v>
      </x:c>
      <x:c r="C347" s="141" t="n">
        <x:f>IF(AND($B$22="Sim",A347&gt;=$B$23,A347&lt;$B$23+$B$31),$B$32*D347,0)</x:f>
        <x:v>0</x:v>
      </x:c>
      <x:c r="D347" s="180" t="n">
        <x:f>IF(A347&lt;$B$23,1,(1+$B$33)^INT((A347-$B$23)/12))</x:f>
        <x:v>4.048934641267442</x:v>
      </x:c>
      <x:c r="E347" s="141" t="n">
        <x:f>IF(AND($B$22="Sim",A347=$B$23),$B$37,0)</x:f>
        <x:v>0</x:v>
      </x:c>
      <x:c r="F347" s="141" t="n">
        <x:f>IF(AND($B$22="Sim",A347=$B$24),$B$27,0)</x:f>
        <x:v>0</x:v>
      </x:c>
      <x:c r="G347" s="141" t="n">
        <x:f>IF(AND($B$22="Sim",A347=$B$23),$B$35,0)</x:f>
        <x:v>0</x:v>
      </x:c>
      <x:c r="H347" s="141" t="n">
        <x:f>IF(AND($B$22="Sim",A347=$B$23),$B$36,0)</x:f>
        <x:v>0</x:v>
      </x:c>
      <x:c r="I347" s="141" t="n">
        <x:f>IF(OR($B$22&lt;&gt;"Sim",A347&gt;=$B$23+$B$31-1),0,(I348+C348)/(1+$B$9))</x:f>
        <x:v>0</x:v>
      </x:c>
      <x:c r="J347" s="140" t="str">
        <x:f>IF($B$22&lt;&gt;"Sim","Desativada",IF(A347&lt;$B$23,"Antes da compra",IF(A347&lt;$B$23+$B$31,"Parcelas restantes","Encerrado")))</x:f>
        <x:v>Encerrado</x:v>
      </x:c>
      <x:c r="K347" s="141" t="n">
        <x:f>IF(C347&gt;0,C347/(1+$B$9)^A347,0)</x:f>
        <x:v>0</x:v>
      </x:c>
    </x:row>
    <x:row r="348">
      <x:c r="A348" s="142" t="n">
        <x:v>294</x:v>
      </x:c>
      <x:c r="B348" s="179" t="n">
        <x:f>EDATE($B$5,A348-1)</x:f>
        <x:v>55458</x:v>
      </x:c>
      <x:c r="C348" s="141" t="n">
        <x:f>IF(AND($B$22="Sim",A348&gt;=$B$23,A348&lt;$B$23+$B$31),$B$32*D348,0)</x:f>
        <x:v>0</x:v>
      </x:c>
      <x:c r="D348" s="180" t="n">
        <x:f>IF(A348&lt;$B$23,1,(1+$B$33)^INT((A348-$B$23)/12))</x:f>
        <x:v>4.048934641267442</x:v>
      </x:c>
      <x:c r="E348" s="141" t="n">
        <x:f>IF(AND($B$22="Sim",A348=$B$23),$B$37,0)</x:f>
        <x:v>0</x:v>
      </x:c>
      <x:c r="F348" s="141" t="n">
        <x:f>IF(AND($B$22="Sim",A348=$B$24),$B$27,0)</x:f>
        <x:v>0</x:v>
      </x:c>
      <x:c r="G348" s="141" t="n">
        <x:f>IF(AND($B$22="Sim",A348=$B$23),$B$35,0)</x:f>
        <x:v>0</x:v>
      </x:c>
      <x:c r="H348" s="141" t="n">
        <x:f>IF(AND($B$22="Sim",A348=$B$23),$B$36,0)</x:f>
        <x:v>0</x:v>
      </x:c>
      <x:c r="I348" s="141" t="n">
        <x:f>IF(OR($B$22&lt;&gt;"Sim",A348&gt;=$B$23+$B$31-1),0,(I349+C349)/(1+$B$9))</x:f>
        <x:v>0</x:v>
      </x:c>
      <x:c r="J348" s="140" t="str">
        <x:f>IF($B$22&lt;&gt;"Sim","Desativada",IF(A348&lt;$B$23,"Antes da compra",IF(A348&lt;$B$23+$B$31,"Parcelas restantes","Encerrado")))</x:f>
        <x:v>Encerrado</x:v>
      </x:c>
      <x:c r="K348" s="141" t="n">
        <x:f>IF(C348&gt;0,C348/(1+$B$9)^A348,0)</x:f>
        <x:v>0</x:v>
      </x:c>
    </x:row>
    <x:row r="349">
      <x:c r="A349" s="142" t="n">
        <x:v>295</x:v>
      </x:c>
      <x:c r="B349" s="179" t="n">
        <x:f>EDATE($B$5,A349-1)</x:f>
        <x:v>55488</x:v>
      </x:c>
      <x:c r="C349" s="141" t="n">
        <x:f>IF(AND($B$22="Sim",A349&gt;=$B$23,A349&lt;$B$23+$B$31),$B$32*D349,0)</x:f>
        <x:v>0</x:v>
      </x:c>
      <x:c r="D349" s="180" t="n">
        <x:f>IF(A349&lt;$B$23,1,(1+$B$33)^INT((A349-$B$23)/12))</x:f>
        <x:v>4.048934641267442</x:v>
      </x:c>
      <x:c r="E349" s="141" t="n">
        <x:f>IF(AND($B$22="Sim",A349=$B$23),$B$37,0)</x:f>
        <x:v>0</x:v>
      </x:c>
      <x:c r="F349" s="141" t="n">
        <x:f>IF(AND($B$22="Sim",A349=$B$24),$B$27,0)</x:f>
        <x:v>0</x:v>
      </x:c>
      <x:c r="G349" s="141" t="n">
        <x:f>IF(AND($B$22="Sim",A349=$B$23),$B$35,0)</x:f>
        <x:v>0</x:v>
      </x:c>
      <x:c r="H349" s="141" t="n">
        <x:f>IF(AND($B$22="Sim",A349=$B$23),$B$36,0)</x:f>
        <x:v>0</x:v>
      </x:c>
      <x:c r="I349" s="141" t="n">
        <x:f>IF(OR($B$22&lt;&gt;"Sim",A349&gt;=$B$23+$B$31-1),0,(I350+C350)/(1+$B$9))</x:f>
        <x:v>0</x:v>
      </x:c>
      <x:c r="J349" s="140" t="str">
        <x:f>IF($B$22&lt;&gt;"Sim","Desativada",IF(A349&lt;$B$23,"Antes da compra",IF(A349&lt;$B$23+$B$31,"Parcelas restantes","Encerrado")))</x:f>
        <x:v>Encerrado</x:v>
      </x:c>
      <x:c r="K349" s="141" t="n">
        <x:f>IF(C349&gt;0,C349/(1+$B$9)^A349,0)</x:f>
        <x:v>0</x:v>
      </x:c>
    </x:row>
    <x:row r="350">
      <x:c r="A350" s="142" t="n">
        <x:v>296</x:v>
      </x:c>
      <x:c r="B350" s="179" t="n">
        <x:f>EDATE($B$5,A350-1)</x:f>
        <x:v>55519</x:v>
      </x:c>
      <x:c r="C350" s="141" t="n">
        <x:f>IF(AND($B$22="Sim",A350&gt;=$B$23,A350&lt;$B$23+$B$31),$B$32*D350,0)</x:f>
        <x:v>0</x:v>
      </x:c>
      <x:c r="D350" s="180" t="n">
        <x:f>IF(A350&lt;$B$23,1,(1+$B$33)^INT((A350-$B$23)/12))</x:f>
        <x:v>4.048934641267442</x:v>
      </x:c>
      <x:c r="E350" s="141" t="n">
        <x:f>IF(AND($B$22="Sim",A350=$B$23),$B$37,0)</x:f>
        <x:v>0</x:v>
      </x:c>
      <x:c r="F350" s="141" t="n">
        <x:f>IF(AND($B$22="Sim",A350=$B$24),$B$27,0)</x:f>
        <x:v>0</x:v>
      </x:c>
      <x:c r="G350" s="141" t="n">
        <x:f>IF(AND($B$22="Sim",A350=$B$23),$B$35,0)</x:f>
        <x:v>0</x:v>
      </x:c>
      <x:c r="H350" s="141" t="n">
        <x:f>IF(AND($B$22="Sim",A350=$B$23),$B$36,0)</x:f>
        <x:v>0</x:v>
      </x:c>
      <x:c r="I350" s="141" t="n">
        <x:f>IF(OR($B$22&lt;&gt;"Sim",A350&gt;=$B$23+$B$31-1),0,(I351+C351)/(1+$B$9))</x:f>
        <x:v>0</x:v>
      </x:c>
      <x:c r="J350" s="140" t="str">
        <x:f>IF($B$22&lt;&gt;"Sim","Desativada",IF(A350&lt;$B$23,"Antes da compra",IF(A350&lt;$B$23+$B$31,"Parcelas restantes","Encerrado")))</x:f>
        <x:v>Encerrado</x:v>
      </x:c>
      <x:c r="K350" s="141" t="n">
        <x:f>IF(C350&gt;0,C350/(1+$B$9)^A350,0)</x:f>
        <x:v>0</x:v>
      </x:c>
    </x:row>
    <x:row r="351">
      <x:c r="A351" s="142" t="n">
        <x:v>297</x:v>
      </x:c>
      <x:c r="B351" s="179" t="n">
        <x:f>EDATE($B$5,A351-1)</x:f>
        <x:v>55550</x:v>
      </x:c>
      <x:c r="C351" s="141" t="n">
        <x:f>IF(AND($B$22="Sim",A351&gt;=$B$23,A351&lt;$B$23+$B$31),$B$32*D351,0)</x:f>
        <x:v>0</x:v>
      </x:c>
      <x:c r="D351" s="180" t="n">
        <x:f>IF(A351&lt;$B$23,1,(1+$B$33)^INT((A351-$B$23)/12))</x:f>
        <x:v>4.048934641267442</x:v>
      </x:c>
      <x:c r="E351" s="141" t="n">
        <x:f>IF(AND($B$22="Sim",A351=$B$23),$B$37,0)</x:f>
        <x:v>0</x:v>
      </x:c>
      <x:c r="F351" s="141" t="n">
        <x:f>IF(AND($B$22="Sim",A351=$B$24),$B$27,0)</x:f>
        <x:v>0</x:v>
      </x:c>
      <x:c r="G351" s="141" t="n">
        <x:f>IF(AND($B$22="Sim",A351=$B$23),$B$35,0)</x:f>
        <x:v>0</x:v>
      </x:c>
      <x:c r="H351" s="141" t="n">
        <x:f>IF(AND($B$22="Sim",A351=$B$23),$B$36,0)</x:f>
        <x:v>0</x:v>
      </x:c>
      <x:c r="I351" s="141" t="n">
        <x:f>IF(OR($B$22&lt;&gt;"Sim",A351&gt;=$B$23+$B$31-1),0,(I352+C352)/(1+$B$9))</x:f>
        <x:v>0</x:v>
      </x:c>
      <x:c r="J351" s="140" t="str">
        <x:f>IF($B$22&lt;&gt;"Sim","Desativada",IF(A351&lt;$B$23,"Antes da compra",IF(A351&lt;$B$23+$B$31,"Parcelas restantes","Encerrado")))</x:f>
        <x:v>Encerrado</x:v>
      </x:c>
      <x:c r="K351" s="141" t="n">
        <x:f>IF(C351&gt;0,C351/(1+$B$9)^A351,0)</x:f>
        <x:v>0</x:v>
      </x:c>
    </x:row>
    <x:row r="352">
      <x:c r="A352" s="142" t="n">
        <x:v>298</x:v>
      </x:c>
      <x:c r="B352" s="179" t="n">
        <x:f>EDATE($B$5,A352-1)</x:f>
        <x:v>55579</x:v>
      </x:c>
      <x:c r="C352" s="141" t="n">
        <x:f>IF(AND($B$22="Sim",A352&gt;=$B$23,A352&lt;$B$23+$B$31),$B$32*D352,0)</x:f>
        <x:v>0</x:v>
      </x:c>
      <x:c r="D352" s="180" t="n">
        <x:f>IF(A352&lt;$B$23,1,(1+$B$33)^INT((A352-$B$23)/12))</x:f>
        <x:v>4.048934641267442</x:v>
      </x:c>
      <x:c r="E352" s="141" t="n">
        <x:f>IF(AND($B$22="Sim",A352=$B$23),$B$37,0)</x:f>
        <x:v>0</x:v>
      </x:c>
      <x:c r="F352" s="141" t="n">
        <x:f>IF(AND($B$22="Sim",A352=$B$24),$B$27,0)</x:f>
        <x:v>0</x:v>
      </x:c>
      <x:c r="G352" s="141" t="n">
        <x:f>IF(AND($B$22="Sim",A352=$B$23),$B$35,0)</x:f>
        <x:v>0</x:v>
      </x:c>
      <x:c r="H352" s="141" t="n">
        <x:f>IF(AND($B$22="Sim",A352=$B$23),$B$36,0)</x:f>
        <x:v>0</x:v>
      </x:c>
      <x:c r="I352" s="141" t="n">
        <x:f>IF(OR($B$22&lt;&gt;"Sim",A352&gt;=$B$23+$B$31-1),0,(I353+C353)/(1+$B$9))</x:f>
        <x:v>0</x:v>
      </x:c>
      <x:c r="J352" s="140" t="str">
        <x:f>IF($B$22&lt;&gt;"Sim","Desativada",IF(A352&lt;$B$23,"Antes da compra",IF(A352&lt;$B$23+$B$31,"Parcelas restantes","Encerrado")))</x:f>
        <x:v>Encerrado</x:v>
      </x:c>
      <x:c r="K352" s="141" t="n">
        <x:f>IF(C352&gt;0,C352/(1+$B$9)^A352,0)</x:f>
        <x:v>0</x:v>
      </x:c>
    </x:row>
    <x:row r="353">
      <x:c r="A353" s="142" t="n">
        <x:v>299</x:v>
      </x:c>
      <x:c r="B353" s="179" t="n">
        <x:f>EDATE($B$5,A353-1)</x:f>
        <x:v>55610</x:v>
      </x:c>
      <x:c r="C353" s="141" t="n">
        <x:f>IF(AND($B$22="Sim",A353&gt;=$B$23,A353&lt;$B$23+$B$31),$B$32*D353,0)</x:f>
        <x:v>0</x:v>
      </x:c>
      <x:c r="D353" s="180" t="n">
        <x:f>IF(A353&lt;$B$23,1,(1+$B$33)^INT((A353-$B$23)/12))</x:f>
        <x:v>4.048934641267442</x:v>
      </x:c>
      <x:c r="E353" s="141" t="n">
        <x:f>IF(AND($B$22="Sim",A353=$B$23),$B$37,0)</x:f>
        <x:v>0</x:v>
      </x:c>
      <x:c r="F353" s="141" t="n">
        <x:f>IF(AND($B$22="Sim",A353=$B$24),$B$27,0)</x:f>
        <x:v>0</x:v>
      </x:c>
      <x:c r="G353" s="141" t="n">
        <x:f>IF(AND($B$22="Sim",A353=$B$23),$B$35,0)</x:f>
        <x:v>0</x:v>
      </x:c>
      <x:c r="H353" s="141" t="n">
        <x:f>IF(AND($B$22="Sim",A353=$B$23),$B$36,0)</x:f>
        <x:v>0</x:v>
      </x:c>
      <x:c r="I353" s="141" t="n">
        <x:f>IF(OR($B$22&lt;&gt;"Sim",A353&gt;=$B$23+$B$31-1),0,(I354+C354)/(1+$B$9))</x:f>
        <x:v>0</x:v>
      </x:c>
      <x:c r="J353" s="140" t="str">
        <x:f>IF($B$22&lt;&gt;"Sim","Desativada",IF(A353&lt;$B$23,"Antes da compra",IF(A353&lt;$B$23+$B$31,"Parcelas restantes","Encerrado")))</x:f>
        <x:v>Encerrado</x:v>
      </x:c>
      <x:c r="K353" s="141" t="n">
        <x:f>IF(C353&gt;0,C353/(1+$B$9)^A353,0)</x:f>
        <x:v>0</x:v>
      </x:c>
    </x:row>
    <x:row r="354">
      <x:c r="A354" s="142" t="n">
        <x:v>300</x:v>
      </x:c>
      <x:c r="B354" s="179" t="n">
        <x:f>EDATE($B$5,A354-1)</x:f>
        <x:v>55640</x:v>
      </x:c>
      <x:c r="C354" s="141" t="n">
        <x:f>IF(AND($B$22="Sim",A354&gt;=$B$23,A354&lt;$B$23+$B$31),$B$32*D354,0)</x:f>
        <x:v>0</x:v>
      </x:c>
      <x:c r="D354" s="180" t="n">
        <x:f>IF(A354&lt;$B$23,1,(1+$B$33)^INT((A354-$B$23)/12))</x:f>
        <x:v>4.048934641267442</x:v>
      </x:c>
      <x:c r="E354" s="141" t="n">
        <x:f>IF(AND($B$22="Sim",A354=$B$23),$B$37,0)</x:f>
        <x:v>0</x:v>
      </x:c>
      <x:c r="F354" s="141" t="n">
        <x:f>IF(AND($B$22="Sim",A354=$B$24),$B$27,0)</x:f>
        <x:v>0</x:v>
      </x:c>
      <x:c r="G354" s="141" t="n">
        <x:f>IF(AND($B$22="Sim",A354=$B$23),$B$35,0)</x:f>
        <x:v>0</x:v>
      </x:c>
      <x:c r="H354" s="141" t="n">
        <x:f>IF(AND($B$22="Sim",A354=$B$23),$B$36,0)</x:f>
        <x:v>0</x:v>
      </x:c>
      <x:c r="I354" s="141" t="n">
        <x:f>IF(OR($B$22&lt;&gt;"Sim",A354&gt;=$B$23+$B$31-1),0,(I355+C355)/(1+$B$9))</x:f>
        <x:v>0</x:v>
      </x:c>
      <x:c r="J354" s="140" t="str">
        <x:f>IF($B$22&lt;&gt;"Sim","Desativada",IF(A354&lt;$B$23,"Antes da compra",IF(A354&lt;$B$23+$B$31,"Parcelas restantes","Encerrado")))</x:f>
        <x:v>Encerrado</x:v>
      </x:c>
      <x:c r="K354" s="141" t="n">
        <x:f>IF(C354&gt;0,C354/(1+$B$9)^A354,0)</x:f>
        <x:v>0</x:v>
      </x:c>
    </x:row>
    <x:row r="355">
      <x:c r="A355" s="142" t="n">
        <x:v>301</x:v>
      </x:c>
      <x:c r="B355" s="179" t="n">
        <x:f>EDATE($B$5,A355-1)</x:f>
        <x:v>55671</x:v>
      </x:c>
      <x:c r="C355" s="141" t="n">
        <x:f>IF(AND($B$22="Sim",A355&gt;=$B$23,A355&lt;$B$23+$B$31),$B$32*D355,0)</x:f>
        <x:v>0</x:v>
      </x:c>
      <x:c r="D355" s="180" t="n">
        <x:f>IF(A355&lt;$B$23,1,(1+$B$33)^INT((A355-$B$23)/12))</x:f>
        <x:v>4.291870719743488</x:v>
      </x:c>
      <x:c r="E355" s="141" t="n">
        <x:f>IF(AND($B$22="Sim",A355=$B$23),$B$37,0)</x:f>
        <x:v>0</x:v>
      </x:c>
      <x:c r="F355" s="141" t="n">
        <x:f>IF(AND($B$22="Sim",A355=$B$24),$B$27,0)</x:f>
        <x:v>0</x:v>
      </x:c>
      <x:c r="G355" s="141" t="n">
        <x:f>IF(AND($B$22="Sim",A355=$B$23),$B$35,0)</x:f>
        <x:v>0</x:v>
      </x:c>
      <x:c r="H355" s="141" t="n">
        <x:f>IF(AND($B$22="Sim",A355=$B$23),$B$36,0)</x:f>
        <x:v>0</x:v>
      </x:c>
      <x:c r="I355" s="141" t="n">
        <x:f>IF(OR($B$22&lt;&gt;"Sim",A355&gt;=$B$23+$B$31-1),0,(I356+C356)/(1+$B$9))</x:f>
        <x:v>0</x:v>
      </x:c>
      <x:c r="J355" s="140" t="str">
        <x:f>IF($B$22&lt;&gt;"Sim","Desativada",IF(A355&lt;$B$23,"Antes da compra",IF(A355&lt;$B$23+$B$31,"Parcelas restantes","Encerrado")))</x:f>
        <x:v>Encerrado</x:v>
      </x:c>
      <x:c r="K355" s="141" t="n">
        <x:f>IF(C355&gt;0,C355/(1+$B$9)^A355,0)</x:f>
        <x:v>0</x:v>
      </x:c>
    </x:row>
    <x:row r="356">
      <x:c r="A356" s="142" t="n">
        <x:v>302</x:v>
      </x:c>
      <x:c r="B356" s="179" t="n">
        <x:f>EDATE($B$5,A356-1)</x:f>
        <x:v>55701</x:v>
      </x:c>
      <x:c r="C356" s="141" t="n">
        <x:f>IF(AND($B$22="Sim",A356&gt;=$B$23,A356&lt;$B$23+$B$31),$B$32*D356,0)</x:f>
        <x:v>0</x:v>
      </x:c>
      <x:c r="D356" s="180" t="n">
        <x:f>IF(A356&lt;$B$23,1,(1+$B$33)^INT((A356-$B$23)/12))</x:f>
        <x:v>4.291870719743488</x:v>
      </x:c>
      <x:c r="E356" s="141" t="n">
        <x:f>IF(AND($B$22="Sim",A356=$B$23),$B$37,0)</x:f>
        <x:v>0</x:v>
      </x:c>
      <x:c r="F356" s="141" t="n">
        <x:f>IF(AND($B$22="Sim",A356=$B$24),$B$27,0)</x:f>
        <x:v>0</x:v>
      </x:c>
      <x:c r="G356" s="141" t="n">
        <x:f>IF(AND($B$22="Sim",A356=$B$23),$B$35,0)</x:f>
        <x:v>0</x:v>
      </x:c>
      <x:c r="H356" s="141" t="n">
        <x:f>IF(AND($B$22="Sim",A356=$B$23),$B$36,0)</x:f>
        <x:v>0</x:v>
      </x:c>
      <x:c r="I356" s="141" t="n">
        <x:f>IF(OR($B$22&lt;&gt;"Sim",A356&gt;=$B$23+$B$31-1),0,(I357+C357)/(1+$B$9))</x:f>
        <x:v>0</x:v>
      </x:c>
      <x:c r="J356" s="140" t="str">
        <x:f>IF($B$22&lt;&gt;"Sim","Desativada",IF(A356&lt;$B$23,"Antes da compra",IF(A356&lt;$B$23+$B$31,"Parcelas restantes","Encerrado")))</x:f>
        <x:v>Encerrado</x:v>
      </x:c>
      <x:c r="K356" s="141" t="n">
        <x:f>IF(C356&gt;0,C356/(1+$B$9)^A356,0)</x:f>
        <x:v>0</x:v>
      </x:c>
    </x:row>
    <x:row r="357">
      <x:c r="A357" s="142" t="n">
        <x:v>303</x:v>
      </x:c>
      <x:c r="B357" s="179" t="n">
        <x:f>EDATE($B$5,A357-1)</x:f>
        <x:v>55732</x:v>
      </x:c>
      <x:c r="C357" s="141" t="n">
        <x:f>IF(AND($B$22="Sim",A357&gt;=$B$23,A357&lt;$B$23+$B$31),$B$32*D357,0)</x:f>
        <x:v>0</x:v>
      </x:c>
      <x:c r="D357" s="180" t="n">
        <x:f>IF(A357&lt;$B$23,1,(1+$B$33)^INT((A357-$B$23)/12))</x:f>
        <x:v>4.291870719743488</x:v>
      </x:c>
      <x:c r="E357" s="141" t="n">
        <x:f>IF(AND($B$22="Sim",A357=$B$23),$B$37,0)</x:f>
        <x:v>0</x:v>
      </x:c>
      <x:c r="F357" s="141" t="n">
        <x:f>IF(AND($B$22="Sim",A357=$B$24),$B$27,0)</x:f>
        <x:v>0</x:v>
      </x:c>
      <x:c r="G357" s="141" t="n">
        <x:f>IF(AND($B$22="Sim",A357=$B$23),$B$35,0)</x:f>
        <x:v>0</x:v>
      </x:c>
      <x:c r="H357" s="141" t="n">
        <x:f>IF(AND($B$22="Sim",A357=$B$23),$B$36,0)</x:f>
        <x:v>0</x:v>
      </x:c>
      <x:c r="I357" s="141" t="n">
        <x:f>IF(OR($B$22&lt;&gt;"Sim",A357&gt;=$B$23+$B$31-1),0,(I358+C358)/(1+$B$9))</x:f>
        <x:v>0</x:v>
      </x:c>
      <x:c r="J357" s="140" t="str">
        <x:f>IF($B$22&lt;&gt;"Sim","Desativada",IF(A357&lt;$B$23,"Antes da compra",IF(A357&lt;$B$23+$B$31,"Parcelas restantes","Encerrado")))</x:f>
        <x:v>Encerrado</x:v>
      </x:c>
      <x:c r="K357" s="141" t="n">
        <x:f>IF(C357&gt;0,C357/(1+$B$9)^A357,0)</x:f>
        <x:v>0</x:v>
      </x:c>
    </x:row>
    <x:row r="358">
      <x:c r="A358" s="142" t="n">
        <x:v>304</x:v>
      </x:c>
      <x:c r="B358" s="179" t="n">
        <x:f>EDATE($B$5,A358-1)</x:f>
        <x:v>55763</x:v>
      </x:c>
      <x:c r="C358" s="141" t="n">
        <x:f>IF(AND($B$22="Sim",A358&gt;=$B$23,A358&lt;$B$23+$B$31),$B$32*D358,0)</x:f>
        <x:v>0</x:v>
      </x:c>
      <x:c r="D358" s="180" t="n">
        <x:f>IF(A358&lt;$B$23,1,(1+$B$33)^INT((A358-$B$23)/12))</x:f>
        <x:v>4.291870719743488</x:v>
      </x:c>
      <x:c r="E358" s="141" t="n">
        <x:f>IF(AND($B$22="Sim",A358=$B$23),$B$37,0)</x:f>
        <x:v>0</x:v>
      </x:c>
      <x:c r="F358" s="141" t="n">
        <x:f>IF(AND($B$22="Sim",A358=$B$24),$B$27,0)</x:f>
        <x:v>0</x:v>
      </x:c>
      <x:c r="G358" s="141" t="n">
        <x:f>IF(AND($B$22="Sim",A358=$B$23),$B$35,0)</x:f>
        <x:v>0</x:v>
      </x:c>
      <x:c r="H358" s="141" t="n">
        <x:f>IF(AND($B$22="Sim",A358=$B$23),$B$36,0)</x:f>
        <x:v>0</x:v>
      </x:c>
      <x:c r="I358" s="141" t="n">
        <x:f>IF(OR($B$22&lt;&gt;"Sim",A358&gt;=$B$23+$B$31-1),0,(I359+C359)/(1+$B$9))</x:f>
        <x:v>0</x:v>
      </x:c>
      <x:c r="J358" s="140" t="str">
        <x:f>IF($B$22&lt;&gt;"Sim","Desativada",IF(A358&lt;$B$23,"Antes da compra",IF(A358&lt;$B$23+$B$31,"Parcelas restantes","Encerrado")))</x:f>
        <x:v>Encerrado</x:v>
      </x:c>
      <x:c r="K358" s="141" t="n">
        <x:f>IF(C358&gt;0,C358/(1+$B$9)^A358,0)</x:f>
        <x:v>0</x:v>
      </x:c>
    </x:row>
    <x:row r="359">
      <x:c r="A359" s="142" t="n">
        <x:v>305</x:v>
      </x:c>
      <x:c r="B359" s="179" t="n">
        <x:f>EDATE($B$5,A359-1)</x:f>
        <x:v>55793</x:v>
      </x:c>
      <x:c r="C359" s="141" t="n">
        <x:f>IF(AND($B$22="Sim",A359&gt;=$B$23,A359&lt;$B$23+$B$31),$B$32*D359,0)</x:f>
        <x:v>0</x:v>
      </x:c>
      <x:c r="D359" s="180" t="n">
        <x:f>IF(A359&lt;$B$23,1,(1+$B$33)^INT((A359-$B$23)/12))</x:f>
        <x:v>4.291870719743488</x:v>
      </x:c>
      <x:c r="E359" s="141" t="n">
        <x:f>IF(AND($B$22="Sim",A359=$B$23),$B$37,0)</x:f>
        <x:v>0</x:v>
      </x:c>
      <x:c r="F359" s="141" t="n">
        <x:f>IF(AND($B$22="Sim",A359=$B$24),$B$27,0)</x:f>
        <x:v>0</x:v>
      </x:c>
      <x:c r="G359" s="141" t="n">
        <x:f>IF(AND($B$22="Sim",A359=$B$23),$B$35,0)</x:f>
        <x:v>0</x:v>
      </x:c>
      <x:c r="H359" s="141" t="n">
        <x:f>IF(AND($B$22="Sim",A359=$B$23),$B$36,0)</x:f>
        <x:v>0</x:v>
      </x:c>
      <x:c r="I359" s="141" t="n">
        <x:f>IF(OR($B$22&lt;&gt;"Sim",A359&gt;=$B$23+$B$31-1),0,(I360+C360)/(1+$B$9))</x:f>
        <x:v>0</x:v>
      </x:c>
      <x:c r="J359" s="140" t="str">
        <x:f>IF($B$22&lt;&gt;"Sim","Desativada",IF(A359&lt;$B$23,"Antes da compra",IF(A359&lt;$B$23+$B$31,"Parcelas restantes","Encerrado")))</x:f>
        <x:v>Encerrado</x:v>
      </x:c>
      <x:c r="K359" s="141" t="n">
        <x:f>IF(C359&gt;0,C359/(1+$B$9)^A359,0)</x:f>
        <x:v>0</x:v>
      </x:c>
    </x:row>
    <x:row r="360">
      <x:c r="A360" s="142" t="n">
        <x:v>306</x:v>
      </x:c>
      <x:c r="B360" s="179" t="n">
        <x:f>EDATE($B$5,A360-1)</x:f>
        <x:v>55824</x:v>
      </x:c>
      <x:c r="C360" s="141" t="n">
        <x:f>IF(AND($B$22="Sim",A360&gt;=$B$23,A360&lt;$B$23+$B$31),$B$32*D360,0)</x:f>
        <x:v>0</x:v>
      </x:c>
      <x:c r="D360" s="180" t="n">
        <x:f>IF(A360&lt;$B$23,1,(1+$B$33)^INT((A360-$B$23)/12))</x:f>
        <x:v>4.291870719743488</x:v>
      </x:c>
      <x:c r="E360" s="141" t="n">
        <x:f>IF(AND($B$22="Sim",A360=$B$23),$B$37,0)</x:f>
        <x:v>0</x:v>
      </x:c>
      <x:c r="F360" s="141" t="n">
        <x:f>IF(AND($B$22="Sim",A360=$B$24),$B$27,0)</x:f>
        <x:v>0</x:v>
      </x:c>
      <x:c r="G360" s="141" t="n">
        <x:f>IF(AND($B$22="Sim",A360=$B$23),$B$35,0)</x:f>
        <x:v>0</x:v>
      </x:c>
      <x:c r="H360" s="141" t="n">
        <x:f>IF(AND($B$22="Sim",A360=$B$23),$B$36,0)</x:f>
        <x:v>0</x:v>
      </x:c>
      <x:c r="I360" s="141" t="n">
        <x:f>IF(OR($B$22&lt;&gt;"Sim",A360&gt;=$B$23+$B$31-1),0,(I361+C361)/(1+$B$9))</x:f>
        <x:v>0</x:v>
      </x:c>
      <x:c r="J360" s="140" t="str">
        <x:f>IF($B$22&lt;&gt;"Sim","Desativada",IF(A360&lt;$B$23,"Antes da compra",IF(A360&lt;$B$23+$B$31,"Parcelas restantes","Encerrado")))</x:f>
        <x:v>Encerrado</x:v>
      </x:c>
      <x:c r="K360" s="141" t="n">
        <x:f>IF(C360&gt;0,C360/(1+$B$9)^A360,0)</x:f>
        <x:v>0</x:v>
      </x:c>
    </x:row>
    <x:row r="361">
      <x:c r="A361" s="142" t="n">
        <x:v>307</x:v>
      </x:c>
      <x:c r="B361" s="179" t="n">
        <x:f>EDATE($B$5,A361-1)</x:f>
        <x:v>55854</x:v>
      </x:c>
      <x:c r="C361" s="141" t="n">
        <x:f>IF(AND($B$22="Sim",A361&gt;=$B$23,A361&lt;$B$23+$B$31),$B$32*D361,0)</x:f>
        <x:v>0</x:v>
      </x:c>
      <x:c r="D361" s="180" t="n">
        <x:f>IF(A361&lt;$B$23,1,(1+$B$33)^INT((A361-$B$23)/12))</x:f>
        <x:v>4.291870719743488</x:v>
      </x:c>
      <x:c r="E361" s="141" t="n">
        <x:f>IF(AND($B$22="Sim",A361=$B$23),$B$37,0)</x:f>
        <x:v>0</x:v>
      </x:c>
      <x:c r="F361" s="141" t="n">
        <x:f>IF(AND($B$22="Sim",A361=$B$24),$B$27,0)</x:f>
        <x:v>0</x:v>
      </x:c>
      <x:c r="G361" s="141" t="n">
        <x:f>IF(AND($B$22="Sim",A361=$B$23),$B$35,0)</x:f>
        <x:v>0</x:v>
      </x:c>
      <x:c r="H361" s="141" t="n">
        <x:f>IF(AND($B$22="Sim",A361=$B$23),$B$36,0)</x:f>
        <x:v>0</x:v>
      </x:c>
      <x:c r="I361" s="141" t="n">
        <x:f>IF(OR($B$22&lt;&gt;"Sim",A361&gt;=$B$23+$B$31-1),0,(I362+C362)/(1+$B$9))</x:f>
        <x:v>0</x:v>
      </x:c>
      <x:c r="J361" s="140" t="str">
        <x:f>IF($B$22&lt;&gt;"Sim","Desativada",IF(A361&lt;$B$23,"Antes da compra",IF(A361&lt;$B$23+$B$31,"Parcelas restantes","Encerrado")))</x:f>
        <x:v>Encerrado</x:v>
      </x:c>
      <x:c r="K361" s="141" t="n">
        <x:f>IF(C361&gt;0,C361/(1+$B$9)^A361,0)</x:f>
        <x:v>0</x:v>
      </x:c>
    </x:row>
    <x:row r="362">
      <x:c r="A362" s="142" t="n">
        <x:v>308</x:v>
      </x:c>
      <x:c r="B362" s="179" t="n">
        <x:f>EDATE($B$5,A362-1)</x:f>
        <x:v>55885</x:v>
      </x:c>
      <x:c r="C362" s="141" t="n">
        <x:f>IF(AND($B$22="Sim",A362&gt;=$B$23,A362&lt;$B$23+$B$31),$B$32*D362,0)</x:f>
        <x:v>0</x:v>
      </x:c>
      <x:c r="D362" s="180" t="n">
        <x:f>IF(A362&lt;$B$23,1,(1+$B$33)^INT((A362-$B$23)/12))</x:f>
        <x:v>4.291870719743488</x:v>
      </x:c>
      <x:c r="E362" s="141" t="n">
        <x:f>IF(AND($B$22="Sim",A362=$B$23),$B$37,0)</x:f>
        <x:v>0</x:v>
      </x:c>
      <x:c r="F362" s="141" t="n">
        <x:f>IF(AND($B$22="Sim",A362=$B$24),$B$27,0)</x:f>
        <x:v>0</x:v>
      </x:c>
      <x:c r="G362" s="141" t="n">
        <x:f>IF(AND($B$22="Sim",A362=$B$23),$B$35,0)</x:f>
        <x:v>0</x:v>
      </x:c>
      <x:c r="H362" s="141" t="n">
        <x:f>IF(AND($B$22="Sim",A362=$B$23),$B$36,0)</x:f>
        <x:v>0</x:v>
      </x:c>
      <x:c r="I362" s="141" t="n">
        <x:f>IF(OR($B$22&lt;&gt;"Sim",A362&gt;=$B$23+$B$31-1),0,(I363+C363)/(1+$B$9))</x:f>
        <x:v>0</x:v>
      </x:c>
      <x:c r="J362" s="140" t="str">
        <x:f>IF($B$22&lt;&gt;"Sim","Desativada",IF(A362&lt;$B$23,"Antes da compra",IF(A362&lt;$B$23+$B$31,"Parcelas restantes","Encerrado")))</x:f>
        <x:v>Encerrado</x:v>
      </x:c>
      <x:c r="K362" s="141" t="n">
        <x:f>IF(C362&gt;0,C362/(1+$B$9)^A362,0)</x:f>
        <x:v>0</x:v>
      </x:c>
    </x:row>
    <x:row r="363">
      <x:c r="A363" s="142" t="n">
        <x:v>309</x:v>
      </x:c>
      <x:c r="B363" s="179" t="n">
        <x:f>EDATE($B$5,A363-1)</x:f>
        <x:v>55916</x:v>
      </x:c>
      <x:c r="C363" s="141" t="n">
        <x:f>IF(AND($B$22="Sim",A363&gt;=$B$23,A363&lt;$B$23+$B$31),$B$32*D363,0)</x:f>
        <x:v>0</x:v>
      </x:c>
      <x:c r="D363" s="180" t="n">
        <x:f>IF(A363&lt;$B$23,1,(1+$B$33)^INT((A363-$B$23)/12))</x:f>
        <x:v>4.291870719743488</x:v>
      </x:c>
      <x:c r="E363" s="141" t="n">
        <x:f>IF(AND($B$22="Sim",A363=$B$23),$B$37,0)</x:f>
        <x:v>0</x:v>
      </x:c>
      <x:c r="F363" s="141" t="n">
        <x:f>IF(AND($B$22="Sim",A363=$B$24),$B$27,0)</x:f>
        <x:v>0</x:v>
      </x:c>
      <x:c r="G363" s="141" t="n">
        <x:f>IF(AND($B$22="Sim",A363=$B$23),$B$35,0)</x:f>
        <x:v>0</x:v>
      </x:c>
      <x:c r="H363" s="141" t="n">
        <x:f>IF(AND($B$22="Sim",A363=$B$23),$B$36,0)</x:f>
        <x:v>0</x:v>
      </x:c>
      <x:c r="I363" s="141" t="n">
        <x:f>IF(OR($B$22&lt;&gt;"Sim",A363&gt;=$B$23+$B$31-1),0,(I364+C364)/(1+$B$9))</x:f>
        <x:v>0</x:v>
      </x:c>
      <x:c r="J363" s="140" t="str">
        <x:f>IF($B$22&lt;&gt;"Sim","Desativada",IF(A363&lt;$B$23,"Antes da compra",IF(A363&lt;$B$23+$B$31,"Parcelas restantes","Encerrado")))</x:f>
        <x:v>Encerrado</x:v>
      </x:c>
      <x:c r="K363" s="141" t="n">
        <x:f>IF(C363&gt;0,C363/(1+$B$9)^A363,0)</x:f>
        <x:v>0</x:v>
      </x:c>
    </x:row>
    <x:row r="364">
      <x:c r="A364" s="142" t="n">
        <x:v>310</x:v>
      </x:c>
      <x:c r="B364" s="179" t="n">
        <x:f>EDATE($B$5,A364-1)</x:f>
        <x:v>55944</x:v>
      </x:c>
      <x:c r="C364" s="141" t="n">
        <x:f>IF(AND($B$22="Sim",A364&gt;=$B$23,A364&lt;$B$23+$B$31),$B$32*D364,0)</x:f>
        <x:v>0</x:v>
      </x:c>
      <x:c r="D364" s="180" t="n">
        <x:f>IF(A364&lt;$B$23,1,(1+$B$33)^INT((A364-$B$23)/12))</x:f>
        <x:v>4.291870719743488</x:v>
      </x:c>
      <x:c r="E364" s="141" t="n">
        <x:f>IF(AND($B$22="Sim",A364=$B$23),$B$37,0)</x:f>
        <x:v>0</x:v>
      </x:c>
      <x:c r="F364" s="141" t="n">
        <x:f>IF(AND($B$22="Sim",A364=$B$24),$B$27,0)</x:f>
        <x:v>0</x:v>
      </x:c>
      <x:c r="G364" s="141" t="n">
        <x:f>IF(AND($B$22="Sim",A364=$B$23),$B$35,0)</x:f>
        <x:v>0</x:v>
      </x:c>
      <x:c r="H364" s="141" t="n">
        <x:f>IF(AND($B$22="Sim",A364=$B$23),$B$36,0)</x:f>
        <x:v>0</x:v>
      </x:c>
      <x:c r="I364" s="141" t="n">
        <x:f>IF(OR($B$22&lt;&gt;"Sim",A364&gt;=$B$23+$B$31-1),0,(I365+C365)/(1+$B$9))</x:f>
        <x:v>0</x:v>
      </x:c>
      <x:c r="J364" s="140" t="str">
        <x:f>IF($B$22&lt;&gt;"Sim","Desativada",IF(A364&lt;$B$23,"Antes da compra",IF(A364&lt;$B$23+$B$31,"Parcelas restantes","Encerrado")))</x:f>
        <x:v>Encerrado</x:v>
      </x:c>
      <x:c r="K364" s="141" t="n">
        <x:f>IF(C364&gt;0,C364/(1+$B$9)^A364,0)</x:f>
        <x:v>0</x:v>
      </x:c>
    </x:row>
    <x:row r="365">
      <x:c r="A365" s="142" t="n">
        <x:v>311</x:v>
      </x:c>
      <x:c r="B365" s="179" t="n">
        <x:f>EDATE($B$5,A365-1)</x:f>
        <x:v>55975</x:v>
      </x:c>
      <x:c r="C365" s="141" t="n">
        <x:f>IF(AND($B$22="Sim",A365&gt;=$B$23,A365&lt;$B$23+$B$31),$B$32*D365,0)</x:f>
        <x:v>0</x:v>
      </x:c>
      <x:c r="D365" s="180" t="n">
        <x:f>IF(A365&lt;$B$23,1,(1+$B$33)^INT((A365-$B$23)/12))</x:f>
        <x:v>4.291870719743488</x:v>
      </x:c>
      <x:c r="E365" s="141" t="n">
        <x:f>IF(AND($B$22="Sim",A365=$B$23),$B$37,0)</x:f>
        <x:v>0</x:v>
      </x:c>
      <x:c r="F365" s="141" t="n">
        <x:f>IF(AND($B$22="Sim",A365=$B$24),$B$27,0)</x:f>
        <x:v>0</x:v>
      </x:c>
      <x:c r="G365" s="141" t="n">
        <x:f>IF(AND($B$22="Sim",A365=$B$23),$B$35,0)</x:f>
        <x:v>0</x:v>
      </x:c>
      <x:c r="H365" s="141" t="n">
        <x:f>IF(AND($B$22="Sim",A365=$B$23),$B$36,0)</x:f>
        <x:v>0</x:v>
      </x:c>
      <x:c r="I365" s="141" t="n">
        <x:f>IF(OR($B$22&lt;&gt;"Sim",A365&gt;=$B$23+$B$31-1),0,(I366+C366)/(1+$B$9))</x:f>
        <x:v>0</x:v>
      </x:c>
      <x:c r="J365" s="140" t="str">
        <x:f>IF($B$22&lt;&gt;"Sim","Desativada",IF(A365&lt;$B$23,"Antes da compra",IF(A365&lt;$B$23+$B$31,"Parcelas restantes","Encerrado")))</x:f>
        <x:v>Encerrado</x:v>
      </x:c>
      <x:c r="K365" s="141" t="n">
        <x:f>IF(C365&gt;0,C365/(1+$B$9)^A365,0)</x:f>
        <x:v>0</x:v>
      </x:c>
    </x:row>
    <x:row r="366">
      <x:c r="A366" s="142" t="n">
        <x:v>312</x:v>
      </x:c>
      <x:c r="B366" s="179" t="n">
        <x:f>EDATE($B$5,A366-1)</x:f>
        <x:v>56005</x:v>
      </x:c>
      <x:c r="C366" s="141" t="n">
        <x:f>IF(AND($B$22="Sim",A366&gt;=$B$23,A366&lt;$B$23+$B$31),$B$32*D366,0)</x:f>
        <x:v>0</x:v>
      </x:c>
      <x:c r="D366" s="180" t="n">
        <x:f>IF(A366&lt;$B$23,1,(1+$B$33)^INT((A366-$B$23)/12))</x:f>
        <x:v>4.291870719743488</x:v>
      </x:c>
      <x:c r="E366" s="141" t="n">
        <x:f>IF(AND($B$22="Sim",A366=$B$23),$B$37,0)</x:f>
        <x:v>0</x:v>
      </x:c>
      <x:c r="F366" s="141" t="n">
        <x:f>IF(AND($B$22="Sim",A366=$B$24),$B$27,0)</x:f>
        <x:v>0</x:v>
      </x:c>
      <x:c r="G366" s="141" t="n">
        <x:f>IF(AND($B$22="Sim",A366=$B$23),$B$35,0)</x:f>
        <x:v>0</x:v>
      </x:c>
      <x:c r="H366" s="141" t="n">
        <x:f>IF(AND($B$22="Sim",A366=$B$23),$B$36,0)</x:f>
        <x:v>0</x:v>
      </x:c>
      <x:c r="I366" s="141" t="n">
        <x:f>IF(OR($B$22&lt;&gt;"Sim",A366&gt;=$B$23+$B$31-1),0,(I367+C367)/(1+$B$9))</x:f>
        <x:v>0</x:v>
      </x:c>
      <x:c r="J366" s="140" t="str">
        <x:f>IF($B$22&lt;&gt;"Sim","Desativada",IF(A366&lt;$B$23,"Antes da compra",IF(A366&lt;$B$23+$B$31,"Parcelas restantes","Encerrado")))</x:f>
        <x:v>Encerrado</x:v>
      </x:c>
      <x:c r="K366" s="141" t="n">
        <x:f>IF(C366&gt;0,C366/(1+$B$9)^A366,0)</x:f>
        <x:v>0</x:v>
      </x:c>
    </x:row>
    <x:row r="367">
      <x:c r="A367" s="142" t="n">
        <x:v>313</x:v>
      </x:c>
      <x:c r="B367" s="179" t="n">
        <x:f>EDATE($B$5,A367-1)</x:f>
        <x:v>56036</x:v>
      </x:c>
      <x:c r="C367" s="141" t="n">
        <x:f>IF(AND($B$22="Sim",A367&gt;=$B$23,A367&lt;$B$23+$B$31),$B$32*D367,0)</x:f>
        <x:v>0</x:v>
      </x:c>
      <x:c r="D367" s="180" t="n">
        <x:f>IF(A367&lt;$B$23,1,(1+$B$33)^INT((A367-$B$23)/12))</x:f>
        <x:v>4.549382962928098</x:v>
      </x:c>
      <x:c r="E367" s="141" t="n">
        <x:f>IF(AND($B$22="Sim",A367=$B$23),$B$37,0)</x:f>
        <x:v>0</x:v>
      </x:c>
      <x:c r="F367" s="141" t="n">
        <x:f>IF(AND($B$22="Sim",A367=$B$24),$B$27,0)</x:f>
        <x:v>0</x:v>
      </x:c>
      <x:c r="G367" s="141" t="n">
        <x:f>IF(AND($B$22="Sim",A367=$B$23),$B$35,0)</x:f>
        <x:v>0</x:v>
      </x:c>
      <x:c r="H367" s="141" t="n">
        <x:f>IF(AND($B$22="Sim",A367=$B$23),$B$36,0)</x:f>
        <x:v>0</x:v>
      </x:c>
      <x:c r="I367" s="141" t="n">
        <x:f>IF(OR($B$22&lt;&gt;"Sim",A367&gt;=$B$23+$B$31-1),0,(I368+C368)/(1+$B$9))</x:f>
        <x:v>0</x:v>
      </x:c>
      <x:c r="J367" s="140" t="str">
        <x:f>IF($B$22&lt;&gt;"Sim","Desativada",IF(A367&lt;$B$23,"Antes da compra",IF(A367&lt;$B$23+$B$31,"Parcelas restantes","Encerrado")))</x:f>
        <x:v>Encerrado</x:v>
      </x:c>
      <x:c r="K367" s="141" t="n">
        <x:f>IF(C367&gt;0,C367/(1+$B$9)^A367,0)</x:f>
        <x:v>0</x:v>
      </x:c>
    </x:row>
    <x:row r="368">
      <x:c r="A368" s="142" t="n">
        <x:v>314</x:v>
      </x:c>
      <x:c r="B368" s="179" t="n">
        <x:f>EDATE($B$5,A368-1)</x:f>
        <x:v>56066</x:v>
      </x:c>
      <x:c r="C368" s="141" t="n">
        <x:f>IF(AND($B$22="Sim",A368&gt;=$B$23,A368&lt;$B$23+$B$31),$B$32*D368,0)</x:f>
        <x:v>0</x:v>
      </x:c>
      <x:c r="D368" s="180" t="n">
        <x:f>IF(A368&lt;$B$23,1,(1+$B$33)^INT((A368-$B$23)/12))</x:f>
        <x:v>4.549382962928098</x:v>
      </x:c>
      <x:c r="E368" s="141" t="n">
        <x:f>IF(AND($B$22="Sim",A368=$B$23),$B$37,0)</x:f>
        <x:v>0</x:v>
      </x:c>
      <x:c r="F368" s="141" t="n">
        <x:f>IF(AND($B$22="Sim",A368=$B$24),$B$27,0)</x:f>
        <x:v>0</x:v>
      </x:c>
      <x:c r="G368" s="141" t="n">
        <x:f>IF(AND($B$22="Sim",A368=$B$23),$B$35,0)</x:f>
        <x:v>0</x:v>
      </x:c>
      <x:c r="H368" s="141" t="n">
        <x:f>IF(AND($B$22="Sim",A368=$B$23),$B$36,0)</x:f>
        <x:v>0</x:v>
      </x:c>
      <x:c r="I368" s="141" t="n">
        <x:f>IF(OR($B$22&lt;&gt;"Sim",A368&gt;=$B$23+$B$31-1),0,(I369+C369)/(1+$B$9))</x:f>
        <x:v>0</x:v>
      </x:c>
      <x:c r="J368" s="140" t="str">
        <x:f>IF($B$22&lt;&gt;"Sim","Desativada",IF(A368&lt;$B$23,"Antes da compra",IF(A368&lt;$B$23+$B$31,"Parcelas restantes","Encerrado")))</x:f>
        <x:v>Encerrado</x:v>
      </x:c>
      <x:c r="K368" s="141" t="n">
        <x:f>IF(C368&gt;0,C368/(1+$B$9)^A368,0)</x:f>
        <x:v>0</x:v>
      </x:c>
    </x:row>
    <x:row r="369">
      <x:c r="A369" s="142" t="n">
        <x:v>315</x:v>
      </x:c>
      <x:c r="B369" s="179" t="n">
        <x:f>EDATE($B$5,A369-1)</x:f>
        <x:v>56097</x:v>
      </x:c>
      <x:c r="C369" s="141" t="n">
        <x:f>IF(AND($B$22="Sim",A369&gt;=$B$23,A369&lt;$B$23+$B$31),$B$32*D369,0)</x:f>
        <x:v>0</x:v>
      </x:c>
      <x:c r="D369" s="180" t="n">
        <x:f>IF(A369&lt;$B$23,1,(1+$B$33)^INT((A369-$B$23)/12))</x:f>
        <x:v>4.549382962928098</x:v>
      </x:c>
      <x:c r="E369" s="141" t="n">
        <x:f>IF(AND($B$22="Sim",A369=$B$23),$B$37,0)</x:f>
        <x:v>0</x:v>
      </x:c>
      <x:c r="F369" s="141" t="n">
        <x:f>IF(AND($B$22="Sim",A369=$B$24),$B$27,0)</x:f>
        <x:v>0</x:v>
      </x:c>
      <x:c r="G369" s="141" t="n">
        <x:f>IF(AND($B$22="Sim",A369=$B$23),$B$35,0)</x:f>
        <x:v>0</x:v>
      </x:c>
      <x:c r="H369" s="141" t="n">
        <x:f>IF(AND($B$22="Sim",A369=$B$23),$B$36,0)</x:f>
        <x:v>0</x:v>
      </x:c>
      <x:c r="I369" s="141" t="n">
        <x:f>IF(OR($B$22&lt;&gt;"Sim",A369&gt;=$B$23+$B$31-1),0,(I370+C370)/(1+$B$9))</x:f>
        <x:v>0</x:v>
      </x:c>
      <x:c r="J369" s="140" t="str">
        <x:f>IF($B$22&lt;&gt;"Sim","Desativada",IF(A369&lt;$B$23,"Antes da compra",IF(A369&lt;$B$23+$B$31,"Parcelas restantes","Encerrado")))</x:f>
        <x:v>Encerrado</x:v>
      </x:c>
      <x:c r="K369" s="141" t="n">
        <x:f>IF(C369&gt;0,C369/(1+$B$9)^A369,0)</x:f>
        <x:v>0</x:v>
      </x:c>
    </x:row>
    <x:row r="370">
      <x:c r="A370" s="142" t="n">
        <x:v>316</x:v>
      </x:c>
      <x:c r="B370" s="179" t="n">
        <x:f>EDATE($B$5,A370-1)</x:f>
        <x:v>56128</x:v>
      </x:c>
      <x:c r="C370" s="141" t="n">
        <x:f>IF(AND($B$22="Sim",A370&gt;=$B$23,A370&lt;$B$23+$B$31),$B$32*D370,0)</x:f>
        <x:v>0</x:v>
      </x:c>
      <x:c r="D370" s="180" t="n">
        <x:f>IF(A370&lt;$B$23,1,(1+$B$33)^INT((A370-$B$23)/12))</x:f>
        <x:v>4.549382962928098</x:v>
      </x:c>
      <x:c r="E370" s="141" t="n">
        <x:f>IF(AND($B$22="Sim",A370=$B$23),$B$37,0)</x:f>
        <x:v>0</x:v>
      </x:c>
      <x:c r="F370" s="141" t="n">
        <x:f>IF(AND($B$22="Sim",A370=$B$24),$B$27,0)</x:f>
        <x:v>0</x:v>
      </x:c>
      <x:c r="G370" s="141" t="n">
        <x:f>IF(AND($B$22="Sim",A370=$B$23),$B$35,0)</x:f>
        <x:v>0</x:v>
      </x:c>
      <x:c r="H370" s="141" t="n">
        <x:f>IF(AND($B$22="Sim",A370=$B$23),$B$36,0)</x:f>
        <x:v>0</x:v>
      </x:c>
      <x:c r="I370" s="141" t="n">
        <x:f>IF(OR($B$22&lt;&gt;"Sim",A370&gt;=$B$23+$B$31-1),0,(I371+C371)/(1+$B$9))</x:f>
        <x:v>0</x:v>
      </x:c>
      <x:c r="J370" s="140" t="str">
        <x:f>IF($B$22&lt;&gt;"Sim","Desativada",IF(A370&lt;$B$23,"Antes da compra",IF(A370&lt;$B$23+$B$31,"Parcelas restantes","Encerrado")))</x:f>
        <x:v>Encerrado</x:v>
      </x:c>
      <x:c r="K370" s="141" t="n">
        <x:f>IF(C370&gt;0,C370/(1+$B$9)^A370,0)</x:f>
        <x:v>0</x:v>
      </x:c>
    </x:row>
    <x:row r="371">
      <x:c r="A371" s="142" t="n">
        <x:v>317</x:v>
      </x:c>
      <x:c r="B371" s="179" t="n">
        <x:f>EDATE($B$5,A371-1)</x:f>
        <x:v>56158</x:v>
      </x:c>
      <x:c r="C371" s="141" t="n">
        <x:f>IF(AND($B$22="Sim",A371&gt;=$B$23,A371&lt;$B$23+$B$31),$B$32*D371,0)</x:f>
        <x:v>0</x:v>
      </x:c>
      <x:c r="D371" s="180" t="n">
        <x:f>IF(A371&lt;$B$23,1,(1+$B$33)^INT((A371-$B$23)/12))</x:f>
        <x:v>4.549382962928098</x:v>
      </x:c>
      <x:c r="E371" s="141" t="n">
        <x:f>IF(AND($B$22="Sim",A371=$B$23),$B$37,0)</x:f>
        <x:v>0</x:v>
      </x:c>
      <x:c r="F371" s="141" t="n">
        <x:f>IF(AND($B$22="Sim",A371=$B$24),$B$27,0)</x:f>
        <x:v>0</x:v>
      </x:c>
      <x:c r="G371" s="141" t="n">
        <x:f>IF(AND($B$22="Sim",A371=$B$23),$B$35,0)</x:f>
        <x:v>0</x:v>
      </x:c>
      <x:c r="H371" s="141" t="n">
        <x:f>IF(AND($B$22="Sim",A371=$B$23),$B$36,0)</x:f>
        <x:v>0</x:v>
      </x:c>
      <x:c r="I371" s="141" t="n">
        <x:f>IF(OR($B$22&lt;&gt;"Sim",A371&gt;=$B$23+$B$31-1),0,(I372+C372)/(1+$B$9))</x:f>
        <x:v>0</x:v>
      </x:c>
      <x:c r="J371" s="140" t="str">
        <x:f>IF($B$22&lt;&gt;"Sim","Desativada",IF(A371&lt;$B$23,"Antes da compra",IF(A371&lt;$B$23+$B$31,"Parcelas restantes","Encerrado")))</x:f>
        <x:v>Encerrado</x:v>
      </x:c>
      <x:c r="K371" s="141" t="n">
        <x:f>IF(C371&gt;0,C371/(1+$B$9)^A371,0)</x:f>
        <x:v>0</x:v>
      </x:c>
    </x:row>
    <x:row r="372">
      <x:c r="A372" s="142" t="n">
        <x:v>318</x:v>
      </x:c>
      <x:c r="B372" s="179" t="n">
        <x:f>EDATE($B$5,A372-1)</x:f>
        <x:v>56189</x:v>
      </x:c>
      <x:c r="C372" s="141" t="n">
        <x:f>IF(AND($B$22="Sim",A372&gt;=$B$23,A372&lt;$B$23+$B$31),$B$32*D372,0)</x:f>
        <x:v>0</x:v>
      </x:c>
      <x:c r="D372" s="180" t="n">
        <x:f>IF(A372&lt;$B$23,1,(1+$B$33)^INT((A372-$B$23)/12))</x:f>
        <x:v>4.549382962928098</x:v>
      </x:c>
      <x:c r="E372" s="141" t="n">
        <x:f>IF(AND($B$22="Sim",A372=$B$23),$B$37,0)</x:f>
        <x:v>0</x:v>
      </x:c>
      <x:c r="F372" s="141" t="n">
        <x:f>IF(AND($B$22="Sim",A372=$B$24),$B$27,0)</x:f>
        <x:v>0</x:v>
      </x:c>
      <x:c r="G372" s="141" t="n">
        <x:f>IF(AND($B$22="Sim",A372=$B$23),$B$35,0)</x:f>
        <x:v>0</x:v>
      </x:c>
      <x:c r="H372" s="141" t="n">
        <x:f>IF(AND($B$22="Sim",A372=$B$23),$B$36,0)</x:f>
        <x:v>0</x:v>
      </x:c>
      <x:c r="I372" s="141" t="n">
        <x:f>IF(OR($B$22&lt;&gt;"Sim",A372&gt;=$B$23+$B$31-1),0,(I373+C373)/(1+$B$9))</x:f>
        <x:v>0</x:v>
      </x:c>
      <x:c r="J372" s="140" t="str">
        <x:f>IF($B$22&lt;&gt;"Sim","Desativada",IF(A372&lt;$B$23,"Antes da compra",IF(A372&lt;$B$23+$B$31,"Parcelas restantes","Encerrado")))</x:f>
        <x:v>Encerrado</x:v>
      </x:c>
      <x:c r="K372" s="141" t="n">
        <x:f>IF(C372&gt;0,C372/(1+$B$9)^A372,0)</x:f>
        <x:v>0</x:v>
      </x:c>
    </x:row>
    <x:row r="373">
      <x:c r="A373" s="142" t="n">
        <x:v>319</x:v>
      </x:c>
      <x:c r="B373" s="179" t="n">
        <x:f>EDATE($B$5,A373-1)</x:f>
        <x:v>56219</x:v>
      </x:c>
      <x:c r="C373" s="141" t="n">
        <x:f>IF(AND($B$22="Sim",A373&gt;=$B$23,A373&lt;$B$23+$B$31),$B$32*D373,0)</x:f>
        <x:v>0</x:v>
      </x:c>
      <x:c r="D373" s="180" t="n">
        <x:f>IF(A373&lt;$B$23,1,(1+$B$33)^INT((A373-$B$23)/12))</x:f>
        <x:v>4.549382962928098</x:v>
      </x:c>
      <x:c r="E373" s="141" t="n">
        <x:f>IF(AND($B$22="Sim",A373=$B$23),$B$37,0)</x:f>
        <x:v>0</x:v>
      </x:c>
      <x:c r="F373" s="141" t="n">
        <x:f>IF(AND($B$22="Sim",A373=$B$24),$B$27,0)</x:f>
        <x:v>0</x:v>
      </x:c>
      <x:c r="G373" s="141" t="n">
        <x:f>IF(AND($B$22="Sim",A373=$B$23),$B$35,0)</x:f>
        <x:v>0</x:v>
      </x:c>
      <x:c r="H373" s="141" t="n">
        <x:f>IF(AND($B$22="Sim",A373=$B$23),$B$36,0)</x:f>
        <x:v>0</x:v>
      </x:c>
      <x:c r="I373" s="141" t="n">
        <x:f>IF(OR($B$22&lt;&gt;"Sim",A373&gt;=$B$23+$B$31-1),0,(I374+C374)/(1+$B$9))</x:f>
        <x:v>0</x:v>
      </x:c>
      <x:c r="J373" s="140" t="str">
        <x:f>IF($B$22&lt;&gt;"Sim","Desativada",IF(A373&lt;$B$23,"Antes da compra",IF(A373&lt;$B$23+$B$31,"Parcelas restantes","Encerrado")))</x:f>
        <x:v>Encerrado</x:v>
      </x:c>
      <x:c r="K373" s="141" t="n">
        <x:f>IF(C373&gt;0,C373/(1+$B$9)^A373,0)</x:f>
        <x:v>0</x:v>
      </x:c>
    </x:row>
    <x:row r="374">
      <x:c r="A374" s="142" t="n">
        <x:v>320</x:v>
      </x:c>
      <x:c r="B374" s="179" t="n">
        <x:f>EDATE($B$5,A374-1)</x:f>
        <x:v>56250</x:v>
      </x:c>
      <x:c r="C374" s="141" t="n">
        <x:f>IF(AND($B$22="Sim",A374&gt;=$B$23,A374&lt;$B$23+$B$31),$B$32*D374,0)</x:f>
        <x:v>0</x:v>
      </x:c>
      <x:c r="D374" s="180" t="n">
        <x:f>IF(A374&lt;$B$23,1,(1+$B$33)^INT((A374-$B$23)/12))</x:f>
        <x:v>4.549382962928098</x:v>
      </x:c>
      <x:c r="E374" s="141" t="n">
        <x:f>IF(AND($B$22="Sim",A374=$B$23),$B$37,0)</x:f>
        <x:v>0</x:v>
      </x:c>
      <x:c r="F374" s="141" t="n">
        <x:f>IF(AND($B$22="Sim",A374=$B$24),$B$27,0)</x:f>
        <x:v>0</x:v>
      </x:c>
      <x:c r="G374" s="141" t="n">
        <x:f>IF(AND($B$22="Sim",A374=$B$23),$B$35,0)</x:f>
        <x:v>0</x:v>
      </x:c>
      <x:c r="H374" s="141" t="n">
        <x:f>IF(AND($B$22="Sim",A374=$B$23),$B$36,0)</x:f>
        <x:v>0</x:v>
      </x:c>
      <x:c r="I374" s="141" t="n">
        <x:f>IF(OR($B$22&lt;&gt;"Sim",A374&gt;=$B$23+$B$31-1),0,(I375+C375)/(1+$B$9))</x:f>
        <x:v>0</x:v>
      </x:c>
      <x:c r="J374" s="140" t="str">
        <x:f>IF($B$22&lt;&gt;"Sim","Desativada",IF(A374&lt;$B$23,"Antes da compra",IF(A374&lt;$B$23+$B$31,"Parcelas restantes","Encerrado")))</x:f>
        <x:v>Encerrado</x:v>
      </x:c>
      <x:c r="K374" s="141" t="n">
        <x:f>IF(C374&gt;0,C374/(1+$B$9)^A374,0)</x:f>
        <x:v>0</x:v>
      </x:c>
    </x:row>
    <x:row r="375">
      <x:c r="A375" s="142" t="n">
        <x:v>321</x:v>
      </x:c>
      <x:c r="B375" s="179" t="n">
        <x:f>EDATE($B$5,A375-1)</x:f>
        <x:v>56281</x:v>
      </x:c>
      <x:c r="C375" s="141" t="n">
        <x:f>IF(AND($B$22="Sim",A375&gt;=$B$23,A375&lt;$B$23+$B$31),$B$32*D375,0)</x:f>
        <x:v>0</x:v>
      </x:c>
      <x:c r="D375" s="180" t="n">
        <x:f>IF(A375&lt;$B$23,1,(1+$B$33)^INT((A375-$B$23)/12))</x:f>
        <x:v>4.549382962928098</x:v>
      </x:c>
      <x:c r="E375" s="141" t="n">
        <x:f>IF(AND($B$22="Sim",A375=$B$23),$B$37,0)</x:f>
        <x:v>0</x:v>
      </x:c>
      <x:c r="F375" s="141" t="n">
        <x:f>IF(AND($B$22="Sim",A375=$B$24),$B$27,0)</x:f>
        <x:v>0</x:v>
      </x:c>
      <x:c r="G375" s="141" t="n">
        <x:f>IF(AND($B$22="Sim",A375=$B$23),$B$35,0)</x:f>
        <x:v>0</x:v>
      </x:c>
      <x:c r="H375" s="141" t="n">
        <x:f>IF(AND($B$22="Sim",A375=$B$23),$B$36,0)</x:f>
        <x:v>0</x:v>
      </x:c>
      <x:c r="I375" s="141" t="n">
        <x:f>IF(OR($B$22&lt;&gt;"Sim",A375&gt;=$B$23+$B$31-1),0,(I376+C376)/(1+$B$9))</x:f>
        <x:v>0</x:v>
      </x:c>
      <x:c r="J375" s="140" t="str">
        <x:f>IF($B$22&lt;&gt;"Sim","Desativada",IF(A375&lt;$B$23,"Antes da compra",IF(A375&lt;$B$23+$B$31,"Parcelas restantes","Encerrado")))</x:f>
        <x:v>Encerrado</x:v>
      </x:c>
      <x:c r="K375" s="141" t="n">
        <x:f>IF(C375&gt;0,C375/(1+$B$9)^A375,0)</x:f>
        <x:v>0</x:v>
      </x:c>
    </x:row>
    <x:row r="376">
      <x:c r="A376" s="142" t="n">
        <x:v>322</x:v>
      </x:c>
      <x:c r="B376" s="179" t="n">
        <x:f>EDATE($B$5,A376-1)</x:f>
        <x:v>56309</x:v>
      </x:c>
      <x:c r="C376" s="141" t="n">
        <x:f>IF(AND($B$22="Sim",A376&gt;=$B$23,A376&lt;$B$23+$B$31),$B$32*D376,0)</x:f>
        <x:v>0</x:v>
      </x:c>
      <x:c r="D376" s="180" t="n">
        <x:f>IF(A376&lt;$B$23,1,(1+$B$33)^INT((A376-$B$23)/12))</x:f>
        <x:v>4.549382962928098</x:v>
      </x:c>
      <x:c r="E376" s="141" t="n">
        <x:f>IF(AND($B$22="Sim",A376=$B$23),$B$37,0)</x:f>
        <x:v>0</x:v>
      </x:c>
      <x:c r="F376" s="141" t="n">
        <x:f>IF(AND($B$22="Sim",A376=$B$24),$B$27,0)</x:f>
        <x:v>0</x:v>
      </x:c>
      <x:c r="G376" s="141" t="n">
        <x:f>IF(AND($B$22="Sim",A376=$B$23),$B$35,0)</x:f>
        <x:v>0</x:v>
      </x:c>
      <x:c r="H376" s="141" t="n">
        <x:f>IF(AND($B$22="Sim",A376=$B$23),$B$36,0)</x:f>
        <x:v>0</x:v>
      </x:c>
      <x:c r="I376" s="141" t="n">
        <x:f>IF(OR($B$22&lt;&gt;"Sim",A376&gt;=$B$23+$B$31-1),0,(I377+C377)/(1+$B$9))</x:f>
        <x:v>0</x:v>
      </x:c>
      <x:c r="J376" s="140" t="str">
        <x:f>IF($B$22&lt;&gt;"Sim","Desativada",IF(A376&lt;$B$23,"Antes da compra",IF(A376&lt;$B$23+$B$31,"Parcelas restantes","Encerrado")))</x:f>
        <x:v>Encerrado</x:v>
      </x:c>
      <x:c r="K376" s="141" t="n">
        <x:f>IF(C376&gt;0,C376/(1+$B$9)^A376,0)</x:f>
        <x:v>0</x:v>
      </x:c>
    </x:row>
    <x:row r="377">
      <x:c r="A377" s="142" t="n">
        <x:v>323</x:v>
      </x:c>
      <x:c r="B377" s="179" t="n">
        <x:f>EDATE($B$5,A377-1)</x:f>
        <x:v>56340</x:v>
      </x:c>
      <x:c r="C377" s="141" t="n">
        <x:f>IF(AND($B$22="Sim",A377&gt;=$B$23,A377&lt;$B$23+$B$31),$B$32*D377,0)</x:f>
        <x:v>0</x:v>
      </x:c>
      <x:c r="D377" s="180" t="n">
        <x:f>IF(A377&lt;$B$23,1,(1+$B$33)^INT((A377-$B$23)/12))</x:f>
        <x:v>4.549382962928098</x:v>
      </x:c>
      <x:c r="E377" s="141" t="n">
        <x:f>IF(AND($B$22="Sim",A377=$B$23),$B$37,0)</x:f>
        <x:v>0</x:v>
      </x:c>
      <x:c r="F377" s="141" t="n">
        <x:f>IF(AND($B$22="Sim",A377=$B$24),$B$27,0)</x:f>
        <x:v>0</x:v>
      </x:c>
      <x:c r="G377" s="141" t="n">
        <x:f>IF(AND($B$22="Sim",A377=$B$23),$B$35,0)</x:f>
        <x:v>0</x:v>
      </x:c>
      <x:c r="H377" s="141" t="n">
        <x:f>IF(AND($B$22="Sim",A377=$B$23),$B$36,0)</x:f>
        <x:v>0</x:v>
      </x:c>
      <x:c r="I377" s="141" t="n">
        <x:f>IF(OR($B$22&lt;&gt;"Sim",A377&gt;=$B$23+$B$31-1),0,(I378+C378)/(1+$B$9))</x:f>
        <x:v>0</x:v>
      </x:c>
      <x:c r="J377" s="140" t="str">
        <x:f>IF($B$22&lt;&gt;"Sim","Desativada",IF(A377&lt;$B$23,"Antes da compra",IF(A377&lt;$B$23+$B$31,"Parcelas restantes","Encerrado")))</x:f>
        <x:v>Encerrado</x:v>
      </x:c>
      <x:c r="K377" s="141" t="n">
        <x:f>IF(C377&gt;0,C377/(1+$B$9)^A377,0)</x:f>
        <x:v>0</x:v>
      </x:c>
    </x:row>
    <x:row r="378">
      <x:c r="A378" s="142" t="n">
        <x:v>324</x:v>
      </x:c>
      <x:c r="B378" s="179" t="n">
        <x:f>EDATE($B$5,A378-1)</x:f>
        <x:v>56370</x:v>
      </x:c>
      <x:c r="C378" s="141" t="n">
        <x:f>IF(AND($B$22="Sim",A378&gt;=$B$23,A378&lt;$B$23+$B$31),$B$32*D378,0)</x:f>
        <x:v>0</x:v>
      </x:c>
      <x:c r="D378" s="180" t="n">
        <x:f>IF(A378&lt;$B$23,1,(1+$B$33)^INT((A378-$B$23)/12))</x:f>
        <x:v>4.549382962928098</x:v>
      </x:c>
      <x:c r="E378" s="141" t="n">
        <x:f>IF(AND($B$22="Sim",A378=$B$23),$B$37,0)</x:f>
        <x:v>0</x:v>
      </x:c>
      <x:c r="F378" s="141" t="n">
        <x:f>IF(AND($B$22="Sim",A378=$B$24),$B$27,0)</x:f>
        <x:v>0</x:v>
      </x:c>
      <x:c r="G378" s="141" t="n">
        <x:f>IF(AND($B$22="Sim",A378=$B$23),$B$35,0)</x:f>
        <x:v>0</x:v>
      </x:c>
      <x:c r="H378" s="141" t="n">
        <x:f>IF(AND($B$22="Sim",A378=$B$23),$B$36,0)</x:f>
        <x:v>0</x:v>
      </x:c>
      <x:c r="I378" s="141" t="n">
        <x:f>IF(OR($B$22&lt;&gt;"Sim",A378&gt;=$B$23+$B$31-1),0,(I379+C379)/(1+$B$9))</x:f>
        <x:v>0</x:v>
      </x:c>
      <x:c r="J378" s="140" t="str">
        <x:f>IF($B$22&lt;&gt;"Sim","Desativada",IF(A378&lt;$B$23,"Antes da compra",IF(A378&lt;$B$23+$B$31,"Parcelas restantes","Encerrado")))</x:f>
        <x:v>Encerrado</x:v>
      </x:c>
      <x:c r="K378" s="141" t="n">
        <x:f>IF(C378&gt;0,C378/(1+$B$9)^A378,0)</x:f>
        <x:v>0</x:v>
      </x:c>
    </x:row>
    <x:row r="379">
      <x:c r="A379" s="142" t="n">
        <x:v>325</x:v>
      </x:c>
      <x:c r="B379" s="179" t="n">
        <x:f>EDATE($B$5,A379-1)</x:f>
        <x:v>56401</x:v>
      </x:c>
      <x:c r="C379" s="141" t="n">
        <x:f>IF(AND($B$22="Sim",A379&gt;=$B$23,A379&lt;$B$23+$B$31),$B$32*D379,0)</x:f>
        <x:v>0</x:v>
      </x:c>
      <x:c r="D379" s="180" t="n">
        <x:f>IF(A379&lt;$B$23,1,(1+$B$33)^INT((A379-$B$23)/12))</x:f>
        <x:v>4.822345940703784</x:v>
      </x:c>
      <x:c r="E379" s="141" t="n">
        <x:f>IF(AND($B$22="Sim",A379=$B$23),$B$37,0)</x:f>
        <x:v>0</x:v>
      </x:c>
      <x:c r="F379" s="141" t="n">
        <x:f>IF(AND($B$22="Sim",A379=$B$24),$B$27,0)</x:f>
        <x:v>0</x:v>
      </x:c>
      <x:c r="G379" s="141" t="n">
        <x:f>IF(AND($B$22="Sim",A379=$B$23),$B$35,0)</x:f>
        <x:v>0</x:v>
      </x:c>
      <x:c r="H379" s="141" t="n">
        <x:f>IF(AND($B$22="Sim",A379=$B$23),$B$36,0)</x:f>
        <x:v>0</x:v>
      </x:c>
      <x:c r="I379" s="141" t="n">
        <x:f>IF(OR($B$22&lt;&gt;"Sim",A379&gt;=$B$23+$B$31-1),0,(I380+C380)/(1+$B$9))</x:f>
        <x:v>0</x:v>
      </x:c>
      <x:c r="J379" s="140" t="str">
        <x:f>IF($B$22&lt;&gt;"Sim","Desativada",IF(A379&lt;$B$23,"Antes da compra",IF(A379&lt;$B$23+$B$31,"Parcelas restantes","Encerrado")))</x:f>
        <x:v>Encerrado</x:v>
      </x:c>
      <x:c r="K379" s="141" t="n">
        <x:f>IF(C379&gt;0,C379/(1+$B$9)^A379,0)</x:f>
        <x:v>0</x:v>
      </x:c>
    </x:row>
    <x:row r="380">
      <x:c r="A380" s="142" t="n">
        <x:v>326</x:v>
      </x:c>
      <x:c r="B380" s="179" t="n">
        <x:f>EDATE($B$5,A380-1)</x:f>
        <x:v>56431</x:v>
      </x:c>
      <x:c r="C380" s="141" t="n">
        <x:f>IF(AND($B$22="Sim",A380&gt;=$B$23,A380&lt;$B$23+$B$31),$B$32*D380,0)</x:f>
        <x:v>0</x:v>
      </x:c>
      <x:c r="D380" s="180" t="n">
        <x:f>IF(A380&lt;$B$23,1,(1+$B$33)^INT((A380-$B$23)/12))</x:f>
        <x:v>4.822345940703784</x:v>
      </x:c>
      <x:c r="E380" s="141" t="n">
        <x:f>IF(AND($B$22="Sim",A380=$B$23),$B$37,0)</x:f>
        <x:v>0</x:v>
      </x:c>
      <x:c r="F380" s="141" t="n">
        <x:f>IF(AND($B$22="Sim",A380=$B$24),$B$27,0)</x:f>
        <x:v>0</x:v>
      </x:c>
      <x:c r="G380" s="141" t="n">
        <x:f>IF(AND($B$22="Sim",A380=$B$23),$B$35,0)</x:f>
        <x:v>0</x:v>
      </x:c>
      <x:c r="H380" s="141" t="n">
        <x:f>IF(AND($B$22="Sim",A380=$B$23),$B$36,0)</x:f>
        <x:v>0</x:v>
      </x:c>
      <x:c r="I380" s="141" t="n">
        <x:f>IF(OR($B$22&lt;&gt;"Sim",A380&gt;=$B$23+$B$31-1),0,(I381+C381)/(1+$B$9))</x:f>
        <x:v>0</x:v>
      </x:c>
      <x:c r="J380" s="140" t="str">
        <x:f>IF($B$22&lt;&gt;"Sim","Desativada",IF(A380&lt;$B$23,"Antes da compra",IF(A380&lt;$B$23+$B$31,"Parcelas restantes","Encerrado")))</x:f>
        <x:v>Encerrado</x:v>
      </x:c>
      <x:c r="K380" s="141" t="n">
        <x:f>IF(C380&gt;0,C380/(1+$B$9)^A380,0)</x:f>
        <x:v>0</x:v>
      </x:c>
    </x:row>
    <x:row r="381">
      <x:c r="A381" s="142" t="n">
        <x:v>327</x:v>
      </x:c>
      <x:c r="B381" s="179" t="n">
        <x:f>EDATE($B$5,A381-1)</x:f>
        <x:v>56462</x:v>
      </x:c>
      <x:c r="C381" s="141" t="n">
        <x:f>IF(AND($B$22="Sim",A381&gt;=$B$23,A381&lt;$B$23+$B$31),$B$32*D381,0)</x:f>
        <x:v>0</x:v>
      </x:c>
      <x:c r="D381" s="180" t="n">
        <x:f>IF(A381&lt;$B$23,1,(1+$B$33)^INT((A381-$B$23)/12))</x:f>
        <x:v>4.822345940703784</x:v>
      </x:c>
      <x:c r="E381" s="141" t="n">
        <x:f>IF(AND($B$22="Sim",A381=$B$23),$B$37,0)</x:f>
        <x:v>0</x:v>
      </x:c>
      <x:c r="F381" s="141" t="n">
        <x:f>IF(AND($B$22="Sim",A381=$B$24),$B$27,0)</x:f>
        <x:v>0</x:v>
      </x:c>
      <x:c r="G381" s="141" t="n">
        <x:f>IF(AND($B$22="Sim",A381=$B$23),$B$35,0)</x:f>
        <x:v>0</x:v>
      </x:c>
      <x:c r="H381" s="141" t="n">
        <x:f>IF(AND($B$22="Sim",A381=$B$23),$B$36,0)</x:f>
        <x:v>0</x:v>
      </x:c>
      <x:c r="I381" s="141" t="n">
        <x:f>IF(OR($B$22&lt;&gt;"Sim",A381&gt;=$B$23+$B$31-1),0,(I382+C382)/(1+$B$9))</x:f>
        <x:v>0</x:v>
      </x:c>
      <x:c r="J381" s="140" t="str">
        <x:f>IF($B$22&lt;&gt;"Sim","Desativada",IF(A381&lt;$B$23,"Antes da compra",IF(A381&lt;$B$23+$B$31,"Parcelas restantes","Encerrado")))</x:f>
        <x:v>Encerrado</x:v>
      </x:c>
      <x:c r="K381" s="141" t="n">
        <x:f>IF(C381&gt;0,C381/(1+$B$9)^A381,0)</x:f>
        <x:v>0</x:v>
      </x:c>
    </x:row>
    <x:row r="382">
      <x:c r="A382" s="142" t="n">
        <x:v>328</x:v>
      </x:c>
      <x:c r="B382" s="179" t="n">
        <x:f>EDATE($B$5,A382-1)</x:f>
        <x:v>56493</x:v>
      </x:c>
      <x:c r="C382" s="141" t="n">
        <x:f>IF(AND($B$22="Sim",A382&gt;=$B$23,A382&lt;$B$23+$B$31),$B$32*D382,0)</x:f>
        <x:v>0</x:v>
      </x:c>
      <x:c r="D382" s="180" t="n">
        <x:f>IF(A382&lt;$B$23,1,(1+$B$33)^INT((A382-$B$23)/12))</x:f>
        <x:v>4.822345940703784</x:v>
      </x:c>
      <x:c r="E382" s="141" t="n">
        <x:f>IF(AND($B$22="Sim",A382=$B$23),$B$37,0)</x:f>
        <x:v>0</x:v>
      </x:c>
      <x:c r="F382" s="141" t="n">
        <x:f>IF(AND($B$22="Sim",A382=$B$24),$B$27,0)</x:f>
        <x:v>0</x:v>
      </x:c>
      <x:c r="G382" s="141" t="n">
        <x:f>IF(AND($B$22="Sim",A382=$B$23),$B$35,0)</x:f>
        <x:v>0</x:v>
      </x:c>
      <x:c r="H382" s="141" t="n">
        <x:f>IF(AND($B$22="Sim",A382=$B$23),$B$36,0)</x:f>
        <x:v>0</x:v>
      </x:c>
      <x:c r="I382" s="141" t="n">
        <x:f>IF(OR($B$22&lt;&gt;"Sim",A382&gt;=$B$23+$B$31-1),0,(I383+C383)/(1+$B$9))</x:f>
        <x:v>0</x:v>
      </x:c>
      <x:c r="J382" s="140" t="str">
        <x:f>IF($B$22&lt;&gt;"Sim","Desativada",IF(A382&lt;$B$23,"Antes da compra",IF(A382&lt;$B$23+$B$31,"Parcelas restantes","Encerrado")))</x:f>
        <x:v>Encerrado</x:v>
      </x:c>
      <x:c r="K382" s="141" t="n">
        <x:f>IF(C382&gt;0,C382/(1+$B$9)^A382,0)</x:f>
        <x:v>0</x:v>
      </x:c>
    </x:row>
    <x:row r="383">
      <x:c r="A383" s="142" t="n">
        <x:v>329</x:v>
      </x:c>
      <x:c r="B383" s="179" t="n">
        <x:f>EDATE($B$5,A383-1)</x:f>
        <x:v>56523</x:v>
      </x:c>
      <x:c r="C383" s="141" t="n">
        <x:f>IF(AND($B$22="Sim",A383&gt;=$B$23,A383&lt;$B$23+$B$31),$B$32*D383,0)</x:f>
        <x:v>0</x:v>
      </x:c>
      <x:c r="D383" s="180" t="n">
        <x:f>IF(A383&lt;$B$23,1,(1+$B$33)^INT((A383-$B$23)/12))</x:f>
        <x:v>4.822345940703784</x:v>
      </x:c>
      <x:c r="E383" s="141" t="n">
        <x:f>IF(AND($B$22="Sim",A383=$B$23),$B$37,0)</x:f>
        <x:v>0</x:v>
      </x:c>
      <x:c r="F383" s="141" t="n">
        <x:f>IF(AND($B$22="Sim",A383=$B$24),$B$27,0)</x:f>
        <x:v>0</x:v>
      </x:c>
      <x:c r="G383" s="141" t="n">
        <x:f>IF(AND($B$22="Sim",A383=$B$23),$B$35,0)</x:f>
        <x:v>0</x:v>
      </x:c>
      <x:c r="H383" s="141" t="n">
        <x:f>IF(AND($B$22="Sim",A383=$B$23),$B$36,0)</x:f>
        <x:v>0</x:v>
      </x:c>
      <x:c r="I383" s="141" t="n">
        <x:f>IF(OR($B$22&lt;&gt;"Sim",A383&gt;=$B$23+$B$31-1),0,(I384+C384)/(1+$B$9))</x:f>
        <x:v>0</x:v>
      </x:c>
      <x:c r="J383" s="140" t="str">
        <x:f>IF($B$22&lt;&gt;"Sim","Desativada",IF(A383&lt;$B$23,"Antes da compra",IF(A383&lt;$B$23+$B$31,"Parcelas restantes","Encerrado")))</x:f>
        <x:v>Encerrado</x:v>
      </x:c>
      <x:c r="K383" s="141" t="n">
        <x:f>IF(C383&gt;0,C383/(1+$B$9)^A383,0)</x:f>
        <x:v>0</x:v>
      </x:c>
    </x:row>
    <x:row r="384">
      <x:c r="A384" s="142" t="n">
        <x:v>330</x:v>
      </x:c>
      <x:c r="B384" s="179" t="n">
        <x:f>EDATE($B$5,A384-1)</x:f>
        <x:v>56554</x:v>
      </x:c>
      <x:c r="C384" s="141" t="n">
        <x:f>IF(AND($B$22="Sim",A384&gt;=$B$23,A384&lt;$B$23+$B$31),$B$32*D384,0)</x:f>
        <x:v>0</x:v>
      </x:c>
      <x:c r="D384" s="180" t="n">
        <x:f>IF(A384&lt;$B$23,1,(1+$B$33)^INT((A384-$B$23)/12))</x:f>
        <x:v>4.822345940703784</x:v>
      </x:c>
      <x:c r="E384" s="141" t="n">
        <x:f>IF(AND($B$22="Sim",A384=$B$23),$B$37,0)</x:f>
        <x:v>0</x:v>
      </x:c>
      <x:c r="F384" s="141" t="n">
        <x:f>IF(AND($B$22="Sim",A384=$B$24),$B$27,0)</x:f>
        <x:v>0</x:v>
      </x:c>
      <x:c r="G384" s="141" t="n">
        <x:f>IF(AND($B$22="Sim",A384=$B$23),$B$35,0)</x:f>
        <x:v>0</x:v>
      </x:c>
      <x:c r="H384" s="141" t="n">
        <x:f>IF(AND($B$22="Sim",A384=$B$23),$B$36,0)</x:f>
        <x:v>0</x:v>
      </x:c>
      <x:c r="I384" s="141" t="n">
        <x:f>IF(OR($B$22&lt;&gt;"Sim",A384&gt;=$B$23+$B$31-1),0,(I385+C385)/(1+$B$9))</x:f>
        <x:v>0</x:v>
      </x:c>
      <x:c r="J384" s="140" t="str">
        <x:f>IF($B$22&lt;&gt;"Sim","Desativada",IF(A384&lt;$B$23,"Antes da compra",IF(A384&lt;$B$23+$B$31,"Parcelas restantes","Encerrado")))</x:f>
        <x:v>Encerrado</x:v>
      </x:c>
      <x:c r="K384" s="141" t="n">
        <x:f>IF(C384&gt;0,C384/(1+$B$9)^A384,0)</x:f>
        <x:v>0</x:v>
      </x:c>
    </x:row>
    <x:row r="385">
      <x:c r="A385" s="142" t="n">
        <x:v>331</x:v>
      </x:c>
      <x:c r="B385" s="179" t="n">
        <x:f>EDATE($B$5,A385-1)</x:f>
        <x:v>56584</x:v>
      </x:c>
      <x:c r="C385" s="141" t="n">
        <x:f>IF(AND($B$22="Sim",A385&gt;=$B$23,A385&lt;$B$23+$B$31),$B$32*D385,0)</x:f>
        <x:v>0</x:v>
      </x:c>
      <x:c r="D385" s="180" t="n">
        <x:f>IF(A385&lt;$B$23,1,(1+$B$33)^INT((A385-$B$23)/12))</x:f>
        <x:v>4.822345940703784</x:v>
      </x:c>
      <x:c r="E385" s="141" t="n">
        <x:f>IF(AND($B$22="Sim",A385=$B$23),$B$37,0)</x:f>
        <x:v>0</x:v>
      </x:c>
      <x:c r="F385" s="141" t="n">
        <x:f>IF(AND($B$22="Sim",A385=$B$24),$B$27,0)</x:f>
        <x:v>0</x:v>
      </x:c>
      <x:c r="G385" s="141" t="n">
        <x:f>IF(AND($B$22="Sim",A385=$B$23),$B$35,0)</x:f>
        <x:v>0</x:v>
      </x:c>
      <x:c r="H385" s="141" t="n">
        <x:f>IF(AND($B$22="Sim",A385=$B$23),$B$36,0)</x:f>
        <x:v>0</x:v>
      </x:c>
      <x:c r="I385" s="141" t="n">
        <x:f>IF(OR($B$22&lt;&gt;"Sim",A385&gt;=$B$23+$B$31-1),0,(I386+C386)/(1+$B$9))</x:f>
        <x:v>0</x:v>
      </x:c>
      <x:c r="J385" s="140" t="str">
        <x:f>IF($B$22&lt;&gt;"Sim","Desativada",IF(A385&lt;$B$23,"Antes da compra",IF(A385&lt;$B$23+$B$31,"Parcelas restantes","Encerrado")))</x:f>
        <x:v>Encerrado</x:v>
      </x:c>
      <x:c r="K385" s="141" t="n">
        <x:f>IF(C385&gt;0,C385/(1+$B$9)^A385,0)</x:f>
        <x:v>0</x:v>
      </x:c>
    </x:row>
    <x:row r="386">
      <x:c r="A386" s="142" t="n">
        <x:v>332</x:v>
      </x:c>
      <x:c r="B386" s="179" t="n">
        <x:f>EDATE($B$5,A386-1)</x:f>
        <x:v>56615</x:v>
      </x:c>
      <x:c r="C386" s="141" t="n">
        <x:f>IF(AND($B$22="Sim",A386&gt;=$B$23,A386&lt;$B$23+$B$31),$B$32*D386,0)</x:f>
        <x:v>0</x:v>
      </x:c>
      <x:c r="D386" s="180" t="n">
        <x:f>IF(A386&lt;$B$23,1,(1+$B$33)^INT((A386-$B$23)/12))</x:f>
        <x:v>4.822345940703784</x:v>
      </x:c>
      <x:c r="E386" s="141" t="n">
        <x:f>IF(AND($B$22="Sim",A386=$B$23),$B$37,0)</x:f>
        <x:v>0</x:v>
      </x:c>
      <x:c r="F386" s="141" t="n">
        <x:f>IF(AND($B$22="Sim",A386=$B$24),$B$27,0)</x:f>
        <x:v>0</x:v>
      </x:c>
      <x:c r="G386" s="141" t="n">
        <x:f>IF(AND($B$22="Sim",A386=$B$23),$B$35,0)</x:f>
        <x:v>0</x:v>
      </x:c>
      <x:c r="H386" s="141" t="n">
        <x:f>IF(AND($B$22="Sim",A386=$B$23),$B$36,0)</x:f>
        <x:v>0</x:v>
      </x:c>
      <x:c r="I386" s="141" t="n">
        <x:f>IF(OR($B$22&lt;&gt;"Sim",A386&gt;=$B$23+$B$31-1),0,(I387+C387)/(1+$B$9))</x:f>
        <x:v>0</x:v>
      </x:c>
      <x:c r="J386" s="140" t="str">
        <x:f>IF($B$22&lt;&gt;"Sim","Desativada",IF(A386&lt;$B$23,"Antes da compra",IF(A386&lt;$B$23+$B$31,"Parcelas restantes","Encerrado")))</x:f>
        <x:v>Encerrado</x:v>
      </x:c>
      <x:c r="K386" s="141" t="n">
        <x:f>IF(C386&gt;0,C386/(1+$B$9)^A386,0)</x:f>
        <x:v>0</x:v>
      </x:c>
    </x:row>
    <x:row r="387">
      <x:c r="A387" s="142" t="n">
        <x:v>333</x:v>
      </x:c>
      <x:c r="B387" s="179" t="n">
        <x:f>EDATE($B$5,A387-1)</x:f>
        <x:v>56646</x:v>
      </x:c>
      <x:c r="C387" s="141" t="n">
        <x:f>IF(AND($B$22="Sim",A387&gt;=$B$23,A387&lt;$B$23+$B$31),$B$32*D387,0)</x:f>
        <x:v>0</x:v>
      </x:c>
      <x:c r="D387" s="180" t="n">
        <x:f>IF(A387&lt;$B$23,1,(1+$B$33)^INT((A387-$B$23)/12))</x:f>
        <x:v>4.822345940703784</x:v>
      </x:c>
      <x:c r="E387" s="141" t="n">
        <x:f>IF(AND($B$22="Sim",A387=$B$23),$B$37,0)</x:f>
        <x:v>0</x:v>
      </x:c>
      <x:c r="F387" s="141" t="n">
        <x:f>IF(AND($B$22="Sim",A387=$B$24),$B$27,0)</x:f>
        <x:v>0</x:v>
      </x:c>
      <x:c r="G387" s="141" t="n">
        <x:f>IF(AND($B$22="Sim",A387=$B$23),$B$35,0)</x:f>
        <x:v>0</x:v>
      </x:c>
      <x:c r="H387" s="141" t="n">
        <x:f>IF(AND($B$22="Sim",A387=$B$23),$B$36,0)</x:f>
        <x:v>0</x:v>
      </x:c>
      <x:c r="I387" s="141" t="n">
        <x:f>IF(OR($B$22&lt;&gt;"Sim",A387&gt;=$B$23+$B$31-1),0,(I388+C388)/(1+$B$9))</x:f>
        <x:v>0</x:v>
      </x:c>
      <x:c r="J387" s="140" t="str">
        <x:f>IF($B$22&lt;&gt;"Sim","Desativada",IF(A387&lt;$B$23,"Antes da compra",IF(A387&lt;$B$23+$B$31,"Parcelas restantes","Encerrado")))</x:f>
        <x:v>Encerrado</x:v>
      </x:c>
      <x:c r="K387" s="141" t="n">
        <x:f>IF(C387&gt;0,C387/(1+$B$9)^A387,0)</x:f>
        <x:v>0</x:v>
      </x:c>
    </x:row>
    <x:row r="388">
      <x:c r="A388" s="142" t="n">
        <x:v>334</x:v>
      </x:c>
      <x:c r="B388" s="179" t="n">
        <x:f>EDATE($B$5,A388-1)</x:f>
        <x:v>56674</x:v>
      </x:c>
      <x:c r="C388" s="141" t="n">
        <x:f>IF(AND($B$22="Sim",A388&gt;=$B$23,A388&lt;$B$23+$B$31),$B$32*D388,0)</x:f>
        <x:v>0</x:v>
      </x:c>
      <x:c r="D388" s="180" t="n">
        <x:f>IF(A388&lt;$B$23,1,(1+$B$33)^INT((A388-$B$23)/12))</x:f>
        <x:v>4.822345940703784</x:v>
      </x:c>
      <x:c r="E388" s="141" t="n">
        <x:f>IF(AND($B$22="Sim",A388=$B$23),$B$37,0)</x:f>
        <x:v>0</x:v>
      </x:c>
      <x:c r="F388" s="141" t="n">
        <x:f>IF(AND($B$22="Sim",A388=$B$24),$B$27,0)</x:f>
        <x:v>0</x:v>
      </x:c>
      <x:c r="G388" s="141" t="n">
        <x:f>IF(AND($B$22="Sim",A388=$B$23),$B$35,0)</x:f>
        <x:v>0</x:v>
      </x:c>
      <x:c r="H388" s="141" t="n">
        <x:f>IF(AND($B$22="Sim",A388=$B$23),$B$36,0)</x:f>
        <x:v>0</x:v>
      </x:c>
      <x:c r="I388" s="141" t="n">
        <x:f>IF(OR($B$22&lt;&gt;"Sim",A388&gt;=$B$23+$B$31-1),0,(I389+C389)/(1+$B$9))</x:f>
        <x:v>0</x:v>
      </x:c>
      <x:c r="J388" s="140" t="str">
        <x:f>IF($B$22&lt;&gt;"Sim","Desativada",IF(A388&lt;$B$23,"Antes da compra",IF(A388&lt;$B$23+$B$31,"Parcelas restantes","Encerrado")))</x:f>
        <x:v>Encerrado</x:v>
      </x:c>
      <x:c r="K388" s="141" t="n">
        <x:f>IF(C388&gt;0,C388/(1+$B$9)^A388,0)</x:f>
        <x:v>0</x:v>
      </x:c>
    </x:row>
    <x:row r="389">
      <x:c r="A389" s="142" t="n">
        <x:v>335</x:v>
      </x:c>
      <x:c r="B389" s="179" t="n">
        <x:f>EDATE($B$5,A389-1)</x:f>
        <x:v>56705</x:v>
      </x:c>
      <x:c r="C389" s="141" t="n">
        <x:f>IF(AND($B$22="Sim",A389&gt;=$B$23,A389&lt;$B$23+$B$31),$B$32*D389,0)</x:f>
        <x:v>0</x:v>
      </x:c>
      <x:c r="D389" s="180" t="n">
        <x:f>IF(A389&lt;$B$23,1,(1+$B$33)^INT((A389-$B$23)/12))</x:f>
        <x:v>4.822345940703784</x:v>
      </x:c>
      <x:c r="E389" s="141" t="n">
        <x:f>IF(AND($B$22="Sim",A389=$B$23),$B$37,0)</x:f>
        <x:v>0</x:v>
      </x:c>
      <x:c r="F389" s="141" t="n">
        <x:f>IF(AND($B$22="Sim",A389=$B$24),$B$27,0)</x:f>
        <x:v>0</x:v>
      </x:c>
      <x:c r="G389" s="141" t="n">
        <x:f>IF(AND($B$22="Sim",A389=$B$23),$B$35,0)</x:f>
        <x:v>0</x:v>
      </x:c>
      <x:c r="H389" s="141" t="n">
        <x:f>IF(AND($B$22="Sim",A389=$B$23),$B$36,0)</x:f>
        <x:v>0</x:v>
      </x:c>
      <x:c r="I389" s="141" t="n">
        <x:f>IF(OR($B$22&lt;&gt;"Sim",A389&gt;=$B$23+$B$31-1),0,(I390+C390)/(1+$B$9))</x:f>
        <x:v>0</x:v>
      </x:c>
      <x:c r="J389" s="140" t="str">
        <x:f>IF($B$22&lt;&gt;"Sim","Desativada",IF(A389&lt;$B$23,"Antes da compra",IF(A389&lt;$B$23+$B$31,"Parcelas restantes","Encerrado")))</x:f>
        <x:v>Encerrado</x:v>
      </x:c>
      <x:c r="K389" s="141" t="n">
        <x:f>IF(C389&gt;0,C389/(1+$B$9)^A389,0)</x:f>
        <x:v>0</x:v>
      </x:c>
    </x:row>
    <x:row r="390">
      <x:c r="A390" s="142" t="n">
        <x:v>336</x:v>
      </x:c>
      <x:c r="B390" s="179" t="n">
        <x:f>EDATE($B$5,A390-1)</x:f>
        <x:v>56735</x:v>
      </x:c>
      <x:c r="C390" s="141" t="n">
        <x:f>IF(AND($B$22="Sim",A390&gt;=$B$23,A390&lt;$B$23+$B$31),$B$32*D390,0)</x:f>
        <x:v>0</x:v>
      </x:c>
      <x:c r="D390" s="180" t="n">
        <x:f>IF(A390&lt;$B$23,1,(1+$B$33)^INT((A390-$B$23)/12))</x:f>
        <x:v>4.822345940703784</x:v>
      </x:c>
      <x:c r="E390" s="141" t="n">
        <x:f>IF(AND($B$22="Sim",A390=$B$23),$B$37,0)</x:f>
        <x:v>0</x:v>
      </x:c>
      <x:c r="F390" s="141" t="n">
        <x:f>IF(AND($B$22="Sim",A390=$B$24),$B$27,0)</x:f>
        <x:v>0</x:v>
      </x:c>
      <x:c r="G390" s="141" t="n">
        <x:f>IF(AND($B$22="Sim",A390=$B$23),$B$35,0)</x:f>
        <x:v>0</x:v>
      </x:c>
      <x:c r="H390" s="141" t="n">
        <x:f>IF(AND($B$22="Sim",A390=$B$23),$B$36,0)</x:f>
        <x:v>0</x:v>
      </x:c>
      <x:c r="I390" s="141" t="n">
        <x:f>IF(OR($B$22&lt;&gt;"Sim",A390&gt;=$B$23+$B$31-1),0,(I391+C391)/(1+$B$9))</x:f>
        <x:v>0</x:v>
      </x:c>
      <x:c r="J390" s="140" t="str">
        <x:f>IF($B$22&lt;&gt;"Sim","Desativada",IF(A390&lt;$B$23,"Antes da compra",IF(A390&lt;$B$23+$B$31,"Parcelas restantes","Encerrado")))</x:f>
        <x:v>Encerrado</x:v>
      </x:c>
      <x:c r="K390" s="141" t="n">
        <x:f>IF(C390&gt;0,C390/(1+$B$9)^A390,0)</x:f>
        <x:v>0</x:v>
      </x:c>
    </x:row>
    <x:row r="391">
      <x:c r="A391" s="142" t="n">
        <x:v>337</x:v>
      </x:c>
      <x:c r="B391" s="179" t="n">
        <x:f>EDATE($B$5,A391-1)</x:f>
        <x:v>56766</x:v>
      </x:c>
      <x:c r="C391" s="141" t="n">
        <x:f>IF(AND($B$22="Sim",A391&gt;=$B$23,A391&lt;$B$23+$B$31),$B$32*D391,0)</x:f>
        <x:v>0</x:v>
      </x:c>
      <x:c r="D391" s="180" t="n">
        <x:f>IF(A391&lt;$B$23,1,(1+$B$33)^INT((A391-$B$23)/12))</x:f>
        <x:v>5.111686697146011</x:v>
      </x:c>
      <x:c r="E391" s="141" t="n">
        <x:f>IF(AND($B$22="Sim",A391=$B$23),$B$37,0)</x:f>
        <x:v>0</x:v>
      </x:c>
      <x:c r="F391" s="141" t="n">
        <x:f>IF(AND($B$22="Sim",A391=$B$24),$B$27,0)</x:f>
        <x:v>0</x:v>
      </x:c>
      <x:c r="G391" s="141" t="n">
        <x:f>IF(AND($B$22="Sim",A391=$B$23),$B$35,0)</x:f>
        <x:v>0</x:v>
      </x:c>
      <x:c r="H391" s="141" t="n">
        <x:f>IF(AND($B$22="Sim",A391=$B$23),$B$36,0)</x:f>
        <x:v>0</x:v>
      </x:c>
      <x:c r="I391" s="141" t="n">
        <x:f>IF(OR($B$22&lt;&gt;"Sim",A391&gt;=$B$23+$B$31-1),0,(I392+C392)/(1+$B$9))</x:f>
        <x:v>0</x:v>
      </x:c>
      <x:c r="J391" s="140" t="str">
        <x:f>IF($B$22&lt;&gt;"Sim","Desativada",IF(A391&lt;$B$23,"Antes da compra",IF(A391&lt;$B$23+$B$31,"Parcelas restantes","Encerrado")))</x:f>
        <x:v>Encerrado</x:v>
      </x:c>
      <x:c r="K391" s="141" t="n">
        <x:f>IF(C391&gt;0,C391/(1+$B$9)^A391,0)</x:f>
        <x:v>0</x:v>
      </x:c>
    </x:row>
    <x:row r="392">
      <x:c r="A392" s="142" t="n">
        <x:v>338</x:v>
      </x:c>
      <x:c r="B392" s="179" t="n">
        <x:f>EDATE($B$5,A392-1)</x:f>
        <x:v>56796</x:v>
      </x:c>
      <x:c r="C392" s="141" t="n">
        <x:f>IF(AND($B$22="Sim",A392&gt;=$B$23,A392&lt;$B$23+$B$31),$B$32*D392,0)</x:f>
        <x:v>0</x:v>
      </x:c>
      <x:c r="D392" s="180" t="n">
        <x:f>IF(A392&lt;$B$23,1,(1+$B$33)^INT((A392-$B$23)/12))</x:f>
        <x:v>5.111686697146011</x:v>
      </x:c>
      <x:c r="E392" s="141" t="n">
        <x:f>IF(AND($B$22="Sim",A392=$B$23),$B$37,0)</x:f>
        <x:v>0</x:v>
      </x:c>
      <x:c r="F392" s="141" t="n">
        <x:f>IF(AND($B$22="Sim",A392=$B$24),$B$27,0)</x:f>
        <x:v>0</x:v>
      </x:c>
      <x:c r="G392" s="141" t="n">
        <x:f>IF(AND($B$22="Sim",A392=$B$23),$B$35,0)</x:f>
        <x:v>0</x:v>
      </x:c>
      <x:c r="H392" s="141" t="n">
        <x:f>IF(AND($B$22="Sim",A392=$B$23),$B$36,0)</x:f>
        <x:v>0</x:v>
      </x:c>
      <x:c r="I392" s="141" t="n">
        <x:f>IF(OR($B$22&lt;&gt;"Sim",A392&gt;=$B$23+$B$31-1),0,(I393+C393)/(1+$B$9))</x:f>
        <x:v>0</x:v>
      </x:c>
      <x:c r="J392" s="140" t="str">
        <x:f>IF($B$22&lt;&gt;"Sim","Desativada",IF(A392&lt;$B$23,"Antes da compra",IF(A392&lt;$B$23+$B$31,"Parcelas restantes","Encerrado")))</x:f>
        <x:v>Encerrado</x:v>
      </x:c>
      <x:c r="K392" s="141" t="n">
        <x:f>IF(C392&gt;0,C392/(1+$B$9)^A392,0)</x:f>
        <x:v>0</x:v>
      </x:c>
    </x:row>
    <x:row r="393">
      <x:c r="A393" s="142" t="n">
        <x:v>339</x:v>
      </x:c>
      <x:c r="B393" s="179" t="n">
        <x:f>EDATE($B$5,A393-1)</x:f>
        <x:v>56827</x:v>
      </x:c>
      <x:c r="C393" s="141" t="n">
        <x:f>IF(AND($B$22="Sim",A393&gt;=$B$23,A393&lt;$B$23+$B$31),$B$32*D393,0)</x:f>
        <x:v>0</x:v>
      </x:c>
      <x:c r="D393" s="180" t="n">
        <x:f>IF(A393&lt;$B$23,1,(1+$B$33)^INT((A393-$B$23)/12))</x:f>
        <x:v>5.111686697146011</x:v>
      </x:c>
      <x:c r="E393" s="141" t="n">
        <x:f>IF(AND($B$22="Sim",A393=$B$23),$B$37,0)</x:f>
        <x:v>0</x:v>
      </x:c>
      <x:c r="F393" s="141" t="n">
        <x:f>IF(AND($B$22="Sim",A393=$B$24),$B$27,0)</x:f>
        <x:v>0</x:v>
      </x:c>
      <x:c r="G393" s="141" t="n">
        <x:f>IF(AND($B$22="Sim",A393=$B$23),$B$35,0)</x:f>
        <x:v>0</x:v>
      </x:c>
      <x:c r="H393" s="141" t="n">
        <x:f>IF(AND($B$22="Sim",A393=$B$23),$B$36,0)</x:f>
        <x:v>0</x:v>
      </x:c>
      <x:c r="I393" s="141" t="n">
        <x:f>IF(OR($B$22&lt;&gt;"Sim",A393&gt;=$B$23+$B$31-1),0,(I394+C394)/(1+$B$9))</x:f>
        <x:v>0</x:v>
      </x:c>
      <x:c r="J393" s="140" t="str">
        <x:f>IF($B$22&lt;&gt;"Sim","Desativada",IF(A393&lt;$B$23,"Antes da compra",IF(A393&lt;$B$23+$B$31,"Parcelas restantes","Encerrado")))</x:f>
        <x:v>Encerrado</x:v>
      </x:c>
      <x:c r="K393" s="141" t="n">
        <x:f>IF(C393&gt;0,C393/(1+$B$9)^A393,0)</x:f>
        <x:v>0</x:v>
      </x:c>
    </x:row>
    <x:row r="394">
      <x:c r="A394" s="142" t="n">
        <x:v>340</x:v>
      </x:c>
      <x:c r="B394" s="179" t="n">
        <x:f>EDATE($B$5,A394-1)</x:f>
        <x:v>56858</x:v>
      </x:c>
      <x:c r="C394" s="141" t="n">
        <x:f>IF(AND($B$22="Sim",A394&gt;=$B$23,A394&lt;$B$23+$B$31),$B$32*D394,0)</x:f>
        <x:v>0</x:v>
      </x:c>
      <x:c r="D394" s="180" t="n">
        <x:f>IF(A394&lt;$B$23,1,(1+$B$33)^INT((A394-$B$23)/12))</x:f>
        <x:v>5.111686697146011</x:v>
      </x:c>
      <x:c r="E394" s="141" t="n">
        <x:f>IF(AND($B$22="Sim",A394=$B$23),$B$37,0)</x:f>
        <x:v>0</x:v>
      </x:c>
      <x:c r="F394" s="141" t="n">
        <x:f>IF(AND($B$22="Sim",A394=$B$24),$B$27,0)</x:f>
        <x:v>0</x:v>
      </x:c>
      <x:c r="G394" s="141" t="n">
        <x:f>IF(AND($B$22="Sim",A394=$B$23),$B$35,0)</x:f>
        <x:v>0</x:v>
      </x:c>
      <x:c r="H394" s="141" t="n">
        <x:f>IF(AND($B$22="Sim",A394=$B$23),$B$36,0)</x:f>
        <x:v>0</x:v>
      </x:c>
      <x:c r="I394" s="141" t="n">
        <x:f>IF(OR($B$22&lt;&gt;"Sim",A394&gt;=$B$23+$B$31-1),0,(I395+C395)/(1+$B$9))</x:f>
        <x:v>0</x:v>
      </x:c>
      <x:c r="J394" s="140" t="str">
        <x:f>IF($B$22&lt;&gt;"Sim","Desativada",IF(A394&lt;$B$23,"Antes da compra",IF(A394&lt;$B$23+$B$31,"Parcelas restantes","Encerrado")))</x:f>
        <x:v>Encerrado</x:v>
      </x:c>
      <x:c r="K394" s="141" t="n">
        <x:f>IF(C394&gt;0,C394/(1+$B$9)^A394,0)</x:f>
        <x:v>0</x:v>
      </x:c>
    </x:row>
    <x:row r="395">
      <x:c r="A395" s="142" t="n">
        <x:v>341</x:v>
      </x:c>
      <x:c r="B395" s="179" t="n">
        <x:f>EDATE($B$5,A395-1)</x:f>
        <x:v>56888</x:v>
      </x:c>
      <x:c r="C395" s="141" t="n">
        <x:f>IF(AND($B$22="Sim",A395&gt;=$B$23,A395&lt;$B$23+$B$31),$B$32*D395,0)</x:f>
        <x:v>0</x:v>
      </x:c>
      <x:c r="D395" s="180" t="n">
        <x:f>IF(A395&lt;$B$23,1,(1+$B$33)^INT((A395-$B$23)/12))</x:f>
        <x:v>5.111686697146011</x:v>
      </x:c>
      <x:c r="E395" s="141" t="n">
        <x:f>IF(AND($B$22="Sim",A395=$B$23),$B$37,0)</x:f>
        <x:v>0</x:v>
      </x:c>
      <x:c r="F395" s="141" t="n">
        <x:f>IF(AND($B$22="Sim",A395=$B$24),$B$27,0)</x:f>
        <x:v>0</x:v>
      </x:c>
      <x:c r="G395" s="141" t="n">
        <x:f>IF(AND($B$22="Sim",A395=$B$23),$B$35,0)</x:f>
        <x:v>0</x:v>
      </x:c>
      <x:c r="H395" s="141" t="n">
        <x:f>IF(AND($B$22="Sim",A395=$B$23),$B$36,0)</x:f>
        <x:v>0</x:v>
      </x:c>
      <x:c r="I395" s="141" t="n">
        <x:f>IF(OR($B$22&lt;&gt;"Sim",A395&gt;=$B$23+$B$31-1),0,(I396+C396)/(1+$B$9))</x:f>
        <x:v>0</x:v>
      </x:c>
      <x:c r="J395" s="140" t="str">
        <x:f>IF($B$22&lt;&gt;"Sim","Desativada",IF(A395&lt;$B$23,"Antes da compra",IF(A395&lt;$B$23+$B$31,"Parcelas restantes","Encerrado")))</x:f>
        <x:v>Encerrado</x:v>
      </x:c>
      <x:c r="K395" s="141" t="n">
        <x:f>IF(C395&gt;0,C395/(1+$B$9)^A395,0)</x:f>
        <x:v>0</x:v>
      </x:c>
    </x:row>
    <x:row r="396">
      <x:c r="A396" s="142" t="n">
        <x:v>342</x:v>
      </x:c>
      <x:c r="B396" s="179" t="n">
        <x:f>EDATE($B$5,A396-1)</x:f>
        <x:v>56919</x:v>
      </x:c>
      <x:c r="C396" s="141" t="n">
        <x:f>IF(AND($B$22="Sim",A396&gt;=$B$23,A396&lt;$B$23+$B$31),$B$32*D396,0)</x:f>
        <x:v>0</x:v>
      </x:c>
      <x:c r="D396" s="180" t="n">
        <x:f>IF(A396&lt;$B$23,1,(1+$B$33)^INT((A396-$B$23)/12))</x:f>
        <x:v>5.111686697146011</x:v>
      </x:c>
      <x:c r="E396" s="141" t="n">
        <x:f>IF(AND($B$22="Sim",A396=$B$23),$B$37,0)</x:f>
        <x:v>0</x:v>
      </x:c>
      <x:c r="F396" s="141" t="n">
        <x:f>IF(AND($B$22="Sim",A396=$B$24),$B$27,0)</x:f>
        <x:v>0</x:v>
      </x:c>
      <x:c r="G396" s="141" t="n">
        <x:f>IF(AND($B$22="Sim",A396=$B$23),$B$35,0)</x:f>
        <x:v>0</x:v>
      </x:c>
      <x:c r="H396" s="141" t="n">
        <x:f>IF(AND($B$22="Sim",A396=$B$23),$B$36,0)</x:f>
        <x:v>0</x:v>
      </x:c>
      <x:c r="I396" s="141" t="n">
        <x:f>IF(OR($B$22&lt;&gt;"Sim",A396&gt;=$B$23+$B$31-1),0,(I397+C397)/(1+$B$9))</x:f>
        <x:v>0</x:v>
      </x:c>
      <x:c r="J396" s="140" t="str">
        <x:f>IF($B$22&lt;&gt;"Sim","Desativada",IF(A396&lt;$B$23,"Antes da compra",IF(A396&lt;$B$23+$B$31,"Parcelas restantes","Encerrado")))</x:f>
        <x:v>Encerrado</x:v>
      </x:c>
      <x:c r="K396" s="141" t="n">
        <x:f>IF(C396&gt;0,C396/(1+$B$9)^A396,0)</x:f>
        <x:v>0</x:v>
      </x:c>
    </x:row>
    <x:row r="397">
      <x:c r="A397" s="142" t="n">
        <x:v>343</x:v>
      </x:c>
      <x:c r="B397" s="179" t="n">
        <x:f>EDATE($B$5,A397-1)</x:f>
        <x:v>56949</x:v>
      </x:c>
      <x:c r="C397" s="141" t="n">
        <x:f>IF(AND($B$22="Sim",A397&gt;=$B$23,A397&lt;$B$23+$B$31),$B$32*D397,0)</x:f>
        <x:v>0</x:v>
      </x:c>
      <x:c r="D397" s="180" t="n">
        <x:f>IF(A397&lt;$B$23,1,(1+$B$33)^INT((A397-$B$23)/12))</x:f>
        <x:v>5.111686697146011</x:v>
      </x:c>
      <x:c r="E397" s="141" t="n">
        <x:f>IF(AND($B$22="Sim",A397=$B$23),$B$37,0)</x:f>
        <x:v>0</x:v>
      </x:c>
      <x:c r="F397" s="141" t="n">
        <x:f>IF(AND($B$22="Sim",A397=$B$24),$B$27,0)</x:f>
        <x:v>0</x:v>
      </x:c>
      <x:c r="G397" s="141" t="n">
        <x:f>IF(AND($B$22="Sim",A397=$B$23),$B$35,0)</x:f>
        <x:v>0</x:v>
      </x:c>
      <x:c r="H397" s="141" t="n">
        <x:f>IF(AND($B$22="Sim",A397=$B$23),$B$36,0)</x:f>
        <x:v>0</x:v>
      </x:c>
      <x:c r="I397" s="141" t="n">
        <x:f>IF(OR($B$22&lt;&gt;"Sim",A397&gt;=$B$23+$B$31-1),0,(I398+C398)/(1+$B$9))</x:f>
        <x:v>0</x:v>
      </x:c>
      <x:c r="J397" s="140" t="str">
        <x:f>IF($B$22&lt;&gt;"Sim","Desativada",IF(A397&lt;$B$23,"Antes da compra",IF(A397&lt;$B$23+$B$31,"Parcelas restantes","Encerrado")))</x:f>
        <x:v>Encerrado</x:v>
      </x:c>
      <x:c r="K397" s="141" t="n">
        <x:f>IF(C397&gt;0,C397/(1+$B$9)^A397,0)</x:f>
        <x:v>0</x:v>
      </x:c>
    </x:row>
    <x:row r="398">
      <x:c r="A398" s="142" t="n">
        <x:v>344</x:v>
      </x:c>
      <x:c r="B398" s="179" t="n">
        <x:f>EDATE($B$5,A398-1)</x:f>
        <x:v>56980</x:v>
      </x:c>
      <x:c r="C398" s="141" t="n">
        <x:f>IF(AND($B$22="Sim",A398&gt;=$B$23,A398&lt;$B$23+$B$31),$B$32*D398,0)</x:f>
        <x:v>0</x:v>
      </x:c>
      <x:c r="D398" s="180" t="n">
        <x:f>IF(A398&lt;$B$23,1,(1+$B$33)^INT((A398-$B$23)/12))</x:f>
        <x:v>5.111686697146011</x:v>
      </x:c>
      <x:c r="E398" s="141" t="n">
        <x:f>IF(AND($B$22="Sim",A398=$B$23),$B$37,0)</x:f>
        <x:v>0</x:v>
      </x:c>
      <x:c r="F398" s="141" t="n">
        <x:f>IF(AND($B$22="Sim",A398=$B$24),$B$27,0)</x:f>
        <x:v>0</x:v>
      </x:c>
      <x:c r="G398" s="141" t="n">
        <x:f>IF(AND($B$22="Sim",A398=$B$23),$B$35,0)</x:f>
        <x:v>0</x:v>
      </x:c>
      <x:c r="H398" s="141" t="n">
        <x:f>IF(AND($B$22="Sim",A398=$B$23),$B$36,0)</x:f>
        <x:v>0</x:v>
      </x:c>
      <x:c r="I398" s="141" t="n">
        <x:f>IF(OR($B$22&lt;&gt;"Sim",A398&gt;=$B$23+$B$31-1),0,(I399+C399)/(1+$B$9))</x:f>
        <x:v>0</x:v>
      </x:c>
      <x:c r="J398" s="140" t="str">
        <x:f>IF($B$22&lt;&gt;"Sim","Desativada",IF(A398&lt;$B$23,"Antes da compra",IF(A398&lt;$B$23+$B$31,"Parcelas restantes","Encerrado")))</x:f>
        <x:v>Encerrado</x:v>
      </x:c>
      <x:c r="K398" s="141" t="n">
        <x:f>IF(C398&gt;0,C398/(1+$B$9)^A398,0)</x:f>
        <x:v>0</x:v>
      </x:c>
    </x:row>
    <x:row r="399">
      <x:c r="A399" s="142" t="n">
        <x:v>345</x:v>
      </x:c>
      <x:c r="B399" s="179" t="n">
        <x:f>EDATE($B$5,A399-1)</x:f>
        <x:v>57011</x:v>
      </x:c>
      <x:c r="C399" s="141" t="n">
        <x:f>IF(AND($B$22="Sim",A399&gt;=$B$23,A399&lt;$B$23+$B$31),$B$32*D399,0)</x:f>
        <x:v>0</x:v>
      </x:c>
      <x:c r="D399" s="180" t="n">
        <x:f>IF(A399&lt;$B$23,1,(1+$B$33)^INT((A399-$B$23)/12))</x:f>
        <x:v>5.111686697146011</x:v>
      </x:c>
      <x:c r="E399" s="141" t="n">
        <x:f>IF(AND($B$22="Sim",A399=$B$23),$B$37,0)</x:f>
        <x:v>0</x:v>
      </x:c>
      <x:c r="F399" s="141" t="n">
        <x:f>IF(AND($B$22="Sim",A399=$B$24),$B$27,0)</x:f>
        <x:v>0</x:v>
      </x:c>
      <x:c r="G399" s="141" t="n">
        <x:f>IF(AND($B$22="Sim",A399=$B$23),$B$35,0)</x:f>
        <x:v>0</x:v>
      </x:c>
      <x:c r="H399" s="141" t="n">
        <x:f>IF(AND($B$22="Sim",A399=$B$23),$B$36,0)</x:f>
        <x:v>0</x:v>
      </x:c>
      <x:c r="I399" s="141" t="n">
        <x:f>IF(OR($B$22&lt;&gt;"Sim",A399&gt;=$B$23+$B$31-1),0,(I400+C400)/(1+$B$9))</x:f>
        <x:v>0</x:v>
      </x:c>
      <x:c r="J399" s="140" t="str">
        <x:f>IF($B$22&lt;&gt;"Sim","Desativada",IF(A399&lt;$B$23,"Antes da compra",IF(A399&lt;$B$23+$B$31,"Parcelas restantes","Encerrado")))</x:f>
        <x:v>Encerrado</x:v>
      </x:c>
      <x:c r="K399" s="141" t="n">
        <x:f>IF(C399&gt;0,C399/(1+$B$9)^A399,0)</x:f>
        <x:v>0</x:v>
      </x:c>
    </x:row>
    <x:row r="400">
      <x:c r="A400" s="142" t="n">
        <x:v>346</x:v>
      </x:c>
      <x:c r="B400" s="179" t="n">
        <x:f>EDATE($B$5,A400-1)</x:f>
        <x:v>57040</x:v>
      </x:c>
      <x:c r="C400" s="141" t="n">
        <x:f>IF(AND($B$22="Sim",A400&gt;=$B$23,A400&lt;$B$23+$B$31),$B$32*D400,0)</x:f>
        <x:v>0</x:v>
      </x:c>
      <x:c r="D400" s="180" t="n">
        <x:f>IF(A400&lt;$B$23,1,(1+$B$33)^INT((A400-$B$23)/12))</x:f>
        <x:v>5.111686697146011</x:v>
      </x:c>
      <x:c r="E400" s="141" t="n">
        <x:f>IF(AND($B$22="Sim",A400=$B$23),$B$37,0)</x:f>
        <x:v>0</x:v>
      </x:c>
      <x:c r="F400" s="141" t="n">
        <x:f>IF(AND($B$22="Sim",A400=$B$24),$B$27,0)</x:f>
        <x:v>0</x:v>
      </x:c>
      <x:c r="G400" s="141" t="n">
        <x:f>IF(AND($B$22="Sim",A400=$B$23),$B$35,0)</x:f>
        <x:v>0</x:v>
      </x:c>
      <x:c r="H400" s="141" t="n">
        <x:f>IF(AND($B$22="Sim",A400=$B$23),$B$36,0)</x:f>
        <x:v>0</x:v>
      </x:c>
      <x:c r="I400" s="141" t="n">
        <x:f>IF(OR($B$22&lt;&gt;"Sim",A400&gt;=$B$23+$B$31-1),0,(I401+C401)/(1+$B$9))</x:f>
        <x:v>0</x:v>
      </x:c>
      <x:c r="J400" s="140" t="str">
        <x:f>IF($B$22&lt;&gt;"Sim","Desativada",IF(A400&lt;$B$23,"Antes da compra",IF(A400&lt;$B$23+$B$31,"Parcelas restantes","Encerrado")))</x:f>
        <x:v>Encerrado</x:v>
      </x:c>
      <x:c r="K400" s="141" t="n">
        <x:f>IF(C400&gt;0,C400/(1+$B$9)^A400,0)</x:f>
        <x:v>0</x:v>
      </x:c>
    </x:row>
    <x:row r="401">
      <x:c r="A401" s="142" t="n">
        <x:v>347</x:v>
      </x:c>
      <x:c r="B401" s="179" t="n">
        <x:f>EDATE($B$5,A401-1)</x:f>
        <x:v>57071</x:v>
      </x:c>
      <x:c r="C401" s="141" t="n">
        <x:f>IF(AND($B$22="Sim",A401&gt;=$B$23,A401&lt;$B$23+$B$31),$B$32*D401,0)</x:f>
        <x:v>0</x:v>
      </x:c>
      <x:c r="D401" s="180" t="n">
        <x:f>IF(A401&lt;$B$23,1,(1+$B$33)^INT((A401-$B$23)/12))</x:f>
        <x:v>5.111686697146011</x:v>
      </x:c>
      <x:c r="E401" s="141" t="n">
        <x:f>IF(AND($B$22="Sim",A401=$B$23),$B$37,0)</x:f>
        <x:v>0</x:v>
      </x:c>
      <x:c r="F401" s="141" t="n">
        <x:f>IF(AND($B$22="Sim",A401=$B$24),$B$27,0)</x:f>
        <x:v>0</x:v>
      </x:c>
      <x:c r="G401" s="141" t="n">
        <x:f>IF(AND($B$22="Sim",A401=$B$23),$B$35,0)</x:f>
        <x:v>0</x:v>
      </x:c>
      <x:c r="H401" s="141" t="n">
        <x:f>IF(AND($B$22="Sim",A401=$B$23),$B$36,0)</x:f>
        <x:v>0</x:v>
      </x:c>
      <x:c r="I401" s="141" t="n">
        <x:f>IF(OR($B$22&lt;&gt;"Sim",A401&gt;=$B$23+$B$31-1),0,(I402+C402)/(1+$B$9))</x:f>
        <x:v>0</x:v>
      </x:c>
      <x:c r="J401" s="140" t="str">
        <x:f>IF($B$22&lt;&gt;"Sim","Desativada",IF(A401&lt;$B$23,"Antes da compra",IF(A401&lt;$B$23+$B$31,"Parcelas restantes","Encerrado")))</x:f>
        <x:v>Encerrado</x:v>
      </x:c>
      <x:c r="K401" s="141" t="n">
        <x:f>IF(C401&gt;0,C401/(1+$B$9)^A401,0)</x:f>
        <x:v>0</x:v>
      </x:c>
    </x:row>
    <x:row r="402">
      <x:c r="A402" s="142" t="n">
        <x:v>348</x:v>
      </x:c>
      <x:c r="B402" s="179" t="n">
        <x:f>EDATE($B$5,A402-1)</x:f>
        <x:v>57101</x:v>
      </x:c>
      <x:c r="C402" s="141" t="n">
        <x:f>IF(AND($B$22="Sim",A402&gt;=$B$23,A402&lt;$B$23+$B$31),$B$32*D402,0)</x:f>
        <x:v>0</x:v>
      </x:c>
      <x:c r="D402" s="180" t="n">
        <x:f>IF(A402&lt;$B$23,1,(1+$B$33)^INT((A402-$B$23)/12))</x:f>
        <x:v>5.111686697146011</x:v>
      </x:c>
      <x:c r="E402" s="141" t="n">
        <x:f>IF(AND($B$22="Sim",A402=$B$23),$B$37,0)</x:f>
        <x:v>0</x:v>
      </x:c>
      <x:c r="F402" s="141" t="n">
        <x:f>IF(AND($B$22="Sim",A402=$B$24),$B$27,0)</x:f>
        <x:v>0</x:v>
      </x:c>
      <x:c r="G402" s="141" t="n">
        <x:f>IF(AND($B$22="Sim",A402=$B$23),$B$35,0)</x:f>
        <x:v>0</x:v>
      </x:c>
      <x:c r="H402" s="141" t="n">
        <x:f>IF(AND($B$22="Sim",A402=$B$23),$B$36,0)</x:f>
        <x:v>0</x:v>
      </x:c>
      <x:c r="I402" s="141" t="n">
        <x:f>IF(OR($B$22&lt;&gt;"Sim",A402&gt;=$B$23+$B$31-1),0,(I403+C403)/(1+$B$9))</x:f>
        <x:v>0</x:v>
      </x:c>
      <x:c r="J402" s="140" t="str">
        <x:f>IF($B$22&lt;&gt;"Sim","Desativada",IF(A402&lt;$B$23,"Antes da compra",IF(A402&lt;$B$23+$B$31,"Parcelas restantes","Encerrado")))</x:f>
        <x:v>Encerrado</x:v>
      </x:c>
      <x:c r="K402" s="141" t="n">
        <x:f>IF(C402&gt;0,C402/(1+$B$9)^A402,0)</x:f>
        <x:v>0</x:v>
      </x:c>
    </x:row>
    <x:row r="403">
      <x:c r="A403" s="142" t="n">
        <x:v>349</x:v>
      </x:c>
      <x:c r="B403" s="179" t="n">
        <x:f>EDATE($B$5,A403-1)</x:f>
        <x:v>57132</x:v>
      </x:c>
      <x:c r="C403" s="141" t="n">
        <x:f>IF(AND($B$22="Sim",A403&gt;=$B$23,A403&lt;$B$23+$B$31),$B$32*D403,0)</x:f>
        <x:v>0</x:v>
      </x:c>
      <x:c r="D403" s="180" t="n">
        <x:f>IF(A403&lt;$B$23,1,(1+$B$33)^INT((A403-$B$23)/12))</x:f>
        <x:v>5.418387898974772</x:v>
      </x:c>
      <x:c r="E403" s="141" t="n">
        <x:f>IF(AND($B$22="Sim",A403=$B$23),$B$37,0)</x:f>
        <x:v>0</x:v>
      </x:c>
      <x:c r="F403" s="141" t="n">
        <x:f>IF(AND($B$22="Sim",A403=$B$24),$B$27,0)</x:f>
        <x:v>0</x:v>
      </x:c>
      <x:c r="G403" s="141" t="n">
        <x:f>IF(AND($B$22="Sim",A403=$B$23),$B$35,0)</x:f>
        <x:v>0</x:v>
      </x:c>
      <x:c r="H403" s="141" t="n">
        <x:f>IF(AND($B$22="Sim",A403=$B$23),$B$36,0)</x:f>
        <x:v>0</x:v>
      </x:c>
      <x:c r="I403" s="141" t="n">
        <x:f>IF(OR($B$22&lt;&gt;"Sim",A403&gt;=$B$23+$B$31-1),0,(I404+C404)/(1+$B$9))</x:f>
        <x:v>0</x:v>
      </x:c>
      <x:c r="J403" s="140" t="str">
        <x:f>IF($B$22&lt;&gt;"Sim","Desativada",IF(A403&lt;$B$23,"Antes da compra",IF(A403&lt;$B$23+$B$31,"Parcelas restantes","Encerrado")))</x:f>
        <x:v>Encerrado</x:v>
      </x:c>
      <x:c r="K403" s="141" t="n">
        <x:f>IF(C403&gt;0,C403/(1+$B$9)^A403,0)</x:f>
        <x:v>0</x:v>
      </x:c>
    </x:row>
    <x:row r="404">
      <x:c r="A404" s="142" t="n">
        <x:v>350</x:v>
      </x:c>
      <x:c r="B404" s="179" t="n">
        <x:f>EDATE($B$5,A404-1)</x:f>
        <x:v>57162</x:v>
      </x:c>
      <x:c r="C404" s="141" t="n">
        <x:f>IF(AND($B$22="Sim",A404&gt;=$B$23,A404&lt;$B$23+$B$31),$B$32*D404,0)</x:f>
        <x:v>0</x:v>
      </x:c>
      <x:c r="D404" s="180" t="n">
        <x:f>IF(A404&lt;$B$23,1,(1+$B$33)^INT((A404-$B$23)/12))</x:f>
        <x:v>5.418387898974772</x:v>
      </x:c>
      <x:c r="E404" s="141" t="n">
        <x:f>IF(AND($B$22="Sim",A404=$B$23),$B$37,0)</x:f>
        <x:v>0</x:v>
      </x:c>
      <x:c r="F404" s="141" t="n">
        <x:f>IF(AND($B$22="Sim",A404=$B$24),$B$27,0)</x:f>
        <x:v>0</x:v>
      </x:c>
      <x:c r="G404" s="141" t="n">
        <x:f>IF(AND($B$22="Sim",A404=$B$23),$B$35,0)</x:f>
        <x:v>0</x:v>
      </x:c>
      <x:c r="H404" s="141" t="n">
        <x:f>IF(AND($B$22="Sim",A404=$B$23),$B$36,0)</x:f>
        <x:v>0</x:v>
      </x:c>
      <x:c r="I404" s="141" t="n">
        <x:f>IF(OR($B$22&lt;&gt;"Sim",A404&gt;=$B$23+$B$31-1),0,(I405+C405)/(1+$B$9))</x:f>
        <x:v>0</x:v>
      </x:c>
      <x:c r="J404" s="140" t="str">
        <x:f>IF($B$22&lt;&gt;"Sim","Desativada",IF(A404&lt;$B$23,"Antes da compra",IF(A404&lt;$B$23+$B$31,"Parcelas restantes","Encerrado")))</x:f>
        <x:v>Encerrado</x:v>
      </x:c>
      <x:c r="K404" s="141" t="n">
        <x:f>IF(C404&gt;0,C404/(1+$B$9)^A404,0)</x:f>
        <x:v>0</x:v>
      </x:c>
    </x:row>
    <x:row r="405">
      <x:c r="A405" s="142" t="n">
        <x:v>351</x:v>
      </x:c>
      <x:c r="B405" s="179" t="n">
        <x:f>EDATE($B$5,A405-1)</x:f>
        <x:v>57193</x:v>
      </x:c>
      <x:c r="C405" s="141" t="n">
        <x:f>IF(AND($B$22="Sim",A405&gt;=$B$23,A405&lt;$B$23+$B$31),$B$32*D405,0)</x:f>
        <x:v>0</x:v>
      </x:c>
      <x:c r="D405" s="180" t="n">
        <x:f>IF(A405&lt;$B$23,1,(1+$B$33)^INT((A405-$B$23)/12))</x:f>
        <x:v>5.418387898974772</x:v>
      </x:c>
      <x:c r="E405" s="141" t="n">
        <x:f>IF(AND($B$22="Sim",A405=$B$23),$B$37,0)</x:f>
        <x:v>0</x:v>
      </x:c>
      <x:c r="F405" s="141" t="n">
        <x:f>IF(AND($B$22="Sim",A405=$B$24),$B$27,0)</x:f>
        <x:v>0</x:v>
      </x:c>
      <x:c r="G405" s="141" t="n">
        <x:f>IF(AND($B$22="Sim",A405=$B$23),$B$35,0)</x:f>
        <x:v>0</x:v>
      </x:c>
      <x:c r="H405" s="141" t="n">
        <x:f>IF(AND($B$22="Sim",A405=$B$23),$B$36,0)</x:f>
        <x:v>0</x:v>
      </x:c>
      <x:c r="I405" s="141" t="n">
        <x:f>IF(OR($B$22&lt;&gt;"Sim",A405&gt;=$B$23+$B$31-1),0,(I406+C406)/(1+$B$9))</x:f>
        <x:v>0</x:v>
      </x:c>
      <x:c r="J405" s="140" t="str">
        <x:f>IF($B$22&lt;&gt;"Sim","Desativada",IF(A405&lt;$B$23,"Antes da compra",IF(A405&lt;$B$23+$B$31,"Parcelas restantes","Encerrado")))</x:f>
        <x:v>Encerrado</x:v>
      </x:c>
      <x:c r="K405" s="141" t="n">
        <x:f>IF(C405&gt;0,C405/(1+$B$9)^A405,0)</x:f>
        <x:v>0</x:v>
      </x:c>
    </x:row>
    <x:row r="406">
      <x:c r="A406" s="142" t="n">
        <x:v>352</x:v>
      </x:c>
      <x:c r="B406" s="179" t="n">
        <x:f>EDATE($B$5,A406-1)</x:f>
        <x:v>57224</x:v>
      </x:c>
      <x:c r="C406" s="141" t="n">
        <x:f>IF(AND($B$22="Sim",A406&gt;=$B$23,A406&lt;$B$23+$B$31),$B$32*D406,0)</x:f>
        <x:v>0</x:v>
      </x:c>
      <x:c r="D406" s="180" t="n">
        <x:f>IF(A406&lt;$B$23,1,(1+$B$33)^INT((A406-$B$23)/12))</x:f>
        <x:v>5.418387898974772</x:v>
      </x:c>
      <x:c r="E406" s="141" t="n">
        <x:f>IF(AND($B$22="Sim",A406=$B$23),$B$37,0)</x:f>
        <x:v>0</x:v>
      </x:c>
      <x:c r="F406" s="141" t="n">
        <x:f>IF(AND($B$22="Sim",A406=$B$24),$B$27,0)</x:f>
        <x:v>0</x:v>
      </x:c>
      <x:c r="G406" s="141" t="n">
        <x:f>IF(AND($B$22="Sim",A406=$B$23),$B$35,0)</x:f>
        <x:v>0</x:v>
      </x:c>
      <x:c r="H406" s="141" t="n">
        <x:f>IF(AND($B$22="Sim",A406=$B$23),$B$36,0)</x:f>
        <x:v>0</x:v>
      </x:c>
      <x:c r="I406" s="141" t="n">
        <x:f>IF(OR($B$22&lt;&gt;"Sim",A406&gt;=$B$23+$B$31-1),0,(I407+C407)/(1+$B$9))</x:f>
        <x:v>0</x:v>
      </x:c>
      <x:c r="J406" s="140" t="str">
        <x:f>IF($B$22&lt;&gt;"Sim","Desativada",IF(A406&lt;$B$23,"Antes da compra",IF(A406&lt;$B$23+$B$31,"Parcelas restantes","Encerrado")))</x:f>
        <x:v>Encerrado</x:v>
      </x:c>
      <x:c r="K406" s="141" t="n">
        <x:f>IF(C406&gt;0,C406/(1+$B$9)^A406,0)</x:f>
        <x:v>0</x:v>
      </x:c>
    </x:row>
    <x:row r="407">
      <x:c r="A407" s="142" t="n">
        <x:v>353</x:v>
      </x:c>
      <x:c r="B407" s="179" t="n">
        <x:f>EDATE($B$5,A407-1)</x:f>
        <x:v>57254</x:v>
      </x:c>
      <x:c r="C407" s="141" t="n">
        <x:f>IF(AND($B$22="Sim",A407&gt;=$B$23,A407&lt;$B$23+$B$31),$B$32*D407,0)</x:f>
        <x:v>0</x:v>
      </x:c>
      <x:c r="D407" s="180" t="n">
        <x:f>IF(A407&lt;$B$23,1,(1+$B$33)^INT((A407-$B$23)/12))</x:f>
        <x:v>5.418387898974772</x:v>
      </x:c>
      <x:c r="E407" s="141" t="n">
        <x:f>IF(AND($B$22="Sim",A407=$B$23),$B$37,0)</x:f>
        <x:v>0</x:v>
      </x:c>
      <x:c r="F407" s="141" t="n">
        <x:f>IF(AND($B$22="Sim",A407=$B$24),$B$27,0)</x:f>
        <x:v>0</x:v>
      </x:c>
      <x:c r="G407" s="141" t="n">
        <x:f>IF(AND($B$22="Sim",A407=$B$23),$B$35,0)</x:f>
        <x:v>0</x:v>
      </x:c>
      <x:c r="H407" s="141" t="n">
        <x:f>IF(AND($B$22="Sim",A407=$B$23),$B$36,0)</x:f>
        <x:v>0</x:v>
      </x:c>
      <x:c r="I407" s="141" t="n">
        <x:f>IF(OR($B$22&lt;&gt;"Sim",A407&gt;=$B$23+$B$31-1),0,(I408+C408)/(1+$B$9))</x:f>
        <x:v>0</x:v>
      </x:c>
      <x:c r="J407" s="140" t="str">
        <x:f>IF($B$22&lt;&gt;"Sim","Desativada",IF(A407&lt;$B$23,"Antes da compra",IF(A407&lt;$B$23+$B$31,"Parcelas restantes","Encerrado")))</x:f>
        <x:v>Encerrado</x:v>
      </x:c>
      <x:c r="K407" s="141" t="n">
        <x:f>IF(C407&gt;0,C407/(1+$B$9)^A407,0)</x:f>
        <x:v>0</x:v>
      </x:c>
    </x:row>
    <x:row r="408">
      <x:c r="A408" s="142" t="n">
        <x:v>354</x:v>
      </x:c>
      <x:c r="B408" s="179" t="n">
        <x:f>EDATE($B$5,A408-1)</x:f>
        <x:v>57285</x:v>
      </x:c>
      <x:c r="C408" s="141" t="n">
        <x:f>IF(AND($B$22="Sim",A408&gt;=$B$23,A408&lt;$B$23+$B$31),$B$32*D408,0)</x:f>
        <x:v>0</x:v>
      </x:c>
      <x:c r="D408" s="180" t="n">
        <x:f>IF(A408&lt;$B$23,1,(1+$B$33)^INT((A408-$B$23)/12))</x:f>
        <x:v>5.418387898974772</x:v>
      </x:c>
      <x:c r="E408" s="141" t="n">
        <x:f>IF(AND($B$22="Sim",A408=$B$23),$B$37,0)</x:f>
        <x:v>0</x:v>
      </x:c>
      <x:c r="F408" s="141" t="n">
        <x:f>IF(AND($B$22="Sim",A408=$B$24),$B$27,0)</x:f>
        <x:v>0</x:v>
      </x:c>
      <x:c r="G408" s="141" t="n">
        <x:f>IF(AND($B$22="Sim",A408=$B$23),$B$35,0)</x:f>
        <x:v>0</x:v>
      </x:c>
      <x:c r="H408" s="141" t="n">
        <x:f>IF(AND($B$22="Sim",A408=$B$23),$B$36,0)</x:f>
        <x:v>0</x:v>
      </x:c>
      <x:c r="I408" s="141" t="n">
        <x:f>IF(OR($B$22&lt;&gt;"Sim",A408&gt;=$B$23+$B$31-1),0,(I409+C409)/(1+$B$9))</x:f>
        <x:v>0</x:v>
      </x:c>
      <x:c r="J408" s="140" t="str">
        <x:f>IF($B$22&lt;&gt;"Sim","Desativada",IF(A408&lt;$B$23,"Antes da compra",IF(A408&lt;$B$23+$B$31,"Parcelas restantes","Encerrado")))</x:f>
        <x:v>Encerrado</x:v>
      </x:c>
      <x:c r="K408" s="141" t="n">
        <x:f>IF(C408&gt;0,C408/(1+$B$9)^A408,0)</x:f>
        <x:v>0</x:v>
      </x:c>
    </x:row>
    <x:row r="409">
      <x:c r="A409" s="142" t="n">
        <x:v>355</x:v>
      </x:c>
      <x:c r="B409" s="179" t="n">
        <x:f>EDATE($B$5,A409-1)</x:f>
        <x:v>57315</x:v>
      </x:c>
      <x:c r="C409" s="141" t="n">
        <x:f>IF(AND($B$22="Sim",A409&gt;=$B$23,A409&lt;$B$23+$B$31),$B$32*D409,0)</x:f>
        <x:v>0</x:v>
      </x:c>
      <x:c r="D409" s="180" t="n">
        <x:f>IF(A409&lt;$B$23,1,(1+$B$33)^INT((A409-$B$23)/12))</x:f>
        <x:v>5.418387898974772</x:v>
      </x:c>
      <x:c r="E409" s="141" t="n">
        <x:f>IF(AND($B$22="Sim",A409=$B$23),$B$37,0)</x:f>
        <x:v>0</x:v>
      </x:c>
      <x:c r="F409" s="141" t="n">
        <x:f>IF(AND($B$22="Sim",A409=$B$24),$B$27,0)</x:f>
        <x:v>0</x:v>
      </x:c>
      <x:c r="G409" s="141" t="n">
        <x:f>IF(AND($B$22="Sim",A409=$B$23),$B$35,0)</x:f>
        <x:v>0</x:v>
      </x:c>
      <x:c r="H409" s="141" t="n">
        <x:f>IF(AND($B$22="Sim",A409=$B$23),$B$36,0)</x:f>
        <x:v>0</x:v>
      </x:c>
      <x:c r="I409" s="141" t="n">
        <x:f>IF(OR($B$22&lt;&gt;"Sim",A409&gt;=$B$23+$B$31-1),0,(I410+C410)/(1+$B$9))</x:f>
        <x:v>0</x:v>
      </x:c>
      <x:c r="J409" s="140" t="str">
        <x:f>IF($B$22&lt;&gt;"Sim","Desativada",IF(A409&lt;$B$23,"Antes da compra",IF(A409&lt;$B$23+$B$31,"Parcelas restantes","Encerrado")))</x:f>
        <x:v>Encerrado</x:v>
      </x:c>
      <x:c r="K409" s="141" t="n">
        <x:f>IF(C409&gt;0,C409/(1+$B$9)^A409,0)</x:f>
        <x:v>0</x:v>
      </x:c>
    </x:row>
    <x:row r="410">
      <x:c r="A410" s="142" t="n">
        <x:v>356</x:v>
      </x:c>
      <x:c r="B410" s="179" t="n">
        <x:f>EDATE($B$5,A410-1)</x:f>
        <x:v>57346</x:v>
      </x:c>
      <x:c r="C410" s="141" t="n">
        <x:f>IF(AND($B$22="Sim",A410&gt;=$B$23,A410&lt;$B$23+$B$31),$B$32*D410,0)</x:f>
        <x:v>0</x:v>
      </x:c>
      <x:c r="D410" s="180" t="n">
        <x:f>IF(A410&lt;$B$23,1,(1+$B$33)^INT((A410-$B$23)/12))</x:f>
        <x:v>5.418387898974772</x:v>
      </x:c>
      <x:c r="E410" s="141" t="n">
        <x:f>IF(AND($B$22="Sim",A410=$B$23),$B$37,0)</x:f>
        <x:v>0</x:v>
      </x:c>
      <x:c r="F410" s="141" t="n">
        <x:f>IF(AND($B$22="Sim",A410=$B$24),$B$27,0)</x:f>
        <x:v>0</x:v>
      </x:c>
      <x:c r="G410" s="141" t="n">
        <x:f>IF(AND($B$22="Sim",A410=$B$23),$B$35,0)</x:f>
        <x:v>0</x:v>
      </x:c>
      <x:c r="H410" s="141" t="n">
        <x:f>IF(AND($B$22="Sim",A410=$B$23),$B$36,0)</x:f>
        <x:v>0</x:v>
      </x:c>
      <x:c r="I410" s="141" t="n">
        <x:f>IF(OR($B$22&lt;&gt;"Sim",A410&gt;=$B$23+$B$31-1),0,(I411+C411)/(1+$B$9))</x:f>
        <x:v>0</x:v>
      </x:c>
      <x:c r="J410" s="140" t="str">
        <x:f>IF($B$22&lt;&gt;"Sim","Desativada",IF(A410&lt;$B$23,"Antes da compra",IF(A410&lt;$B$23+$B$31,"Parcelas restantes","Encerrado")))</x:f>
        <x:v>Encerrado</x:v>
      </x:c>
      <x:c r="K410" s="141" t="n">
        <x:f>IF(C410&gt;0,C410/(1+$B$9)^A410,0)</x:f>
        <x:v>0</x:v>
      </x:c>
    </x:row>
    <x:row r="411">
      <x:c r="A411" s="142" t="n">
        <x:v>357</x:v>
      </x:c>
      <x:c r="B411" s="179" t="n">
        <x:f>EDATE($B$5,A411-1)</x:f>
        <x:v>57377</x:v>
      </x:c>
      <x:c r="C411" s="141" t="n">
        <x:f>IF(AND($B$22="Sim",A411&gt;=$B$23,A411&lt;$B$23+$B$31),$B$32*D411,0)</x:f>
        <x:v>0</x:v>
      </x:c>
      <x:c r="D411" s="180" t="n">
        <x:f>IF(A411&lt;$B$23,1,(1+$B$33)^INT((A411-$B$23)/12))</x:f>
        <x:v>5.418387898974772</x:v>
      </x:c>
      <x:c r="E411" s="141" t="n">
        <x:f>IF(AND($B$22="Sim",A411=$B$23),$B$37,0)</x:f>
        <x:v>0</x:v>
      </x:c>
      <x:c r="F411" s="141" t="n">
        <x:f>IF(AND($B$22="Sim",A411=$B$24),$B$27,0)</x:f>
        <x:v>0</x:v>
      </x:c>
      <x:c r="G411" s="141" t="n">
        <x:f>IF(AND($B$22="Sim",A411=$B$23),$B$35,0)</x:f>
        <x:v>0</x:v>
      </x:c>
      <x:c r="H411" s="141" t="n">
        <x:f>IF(AND($B$22="Sim",A411=$B$23),$B$36,0)</x:f>
        <x:v>0</x:v>
      </x:c>
      <x:c r="I411" s="141" t="n">
        <x:f>IF(OR($B$22&lt;&gt;"Sim",A411&gt;=$B$23+$B$31-1),0,(I412+C412)/(1+$B$9))</x:f>
        <x:v>0</x:v>
      </x:c>
      <x:c r="J411" s="140" t="str">
        <x:f>IF($B$22&lt;&gt;"Sim","Desativada",IF(A411&lt;$B$23,"Antes da compra",IF(A411&lt;$B$23+$B$31,"Parcelas restantes","Encerrado")))</x:f>
        <x:v>Encerrado</x:v>
      </x:c>
      <x:c r="K411" s="141" t="n">
        <x:f>IF(C411&gt;0,C411/(1+$B$9)^A411,0)</x:f>
        <x:v>0</x:v>
      </x:c>
    </x:row>
    <x:row r="412">
      <x:c r="A412" s="142" t="n">
        <x:v>358</x:v>
      </x:c>
      <x:c r="B412" s="179" t="n">
        <x:f>EDATE($B$5,A412-1)</x:f>
        <x:v>57405</x:v>
      </x:c>
      <x:c r="C412" s="141" t="n">
        <x:f>IF(AND($B$22="Sim",A412&gt;=$B$23,A412&lt;$B$23+$B$31),$B$32*D412,0)</x:f>
        <x:v>0</x:v>
      </x:c>
      <x:c r="D412" s="180" t="n">
        <x:f>IF(A412&lt;$B$23,1,(1+$B$33)^INT((A412-$B$23)/12))</x:f>
        <x:v>5.418387898974772</x:v>
      </x:c>
      <x:c r="E412" s="141" t="n">
        <x:f>IF(AND($B$22="Sim",A412=$B$23),$B$37,0)</x:f>
        <x:v>0</x:v>
      </x:c>
      <x:c r="F412" s="141" t="n">
        <x:f>IF(AND($B$22="Sim",A412=$B$24),$B$27,0)</x:f>
        <x:v>0</x:v>
      </x:c>
      <x:c r="G412" s="141" t="n">
        <x:f>IF(AND($B$22="Sim",A412=$B$23),$B$35,0)</x:f>
        <x:v>0</x:v>
      </x:c>
      <x:c r="H412" s="141" t="n">
        <x:f>IF(AND($B$22="Sim",A412=$B$23),$B$36,0)</x:f>
        <x:v>0</x:v>
      </x:c>
      <x:c r="I412" s="141" t="n">
        <x:f>IF(OR($B$22&lt;&gt;"Sim",A412&gt;=$B$23+$B$31-1),0,(I413+C413)/(1+$B$9))</x:f>
        <x:v>0</x:v>
      </x:c>
      <x:c r="J412" s="140" t="str">
        <x:f>IF($B$22&lt;&gt;"Sim","Desativada",IF(A412&lt;$B$23,"Antes da compra",IF(A412&lt;$B$23+$B$31,"Parcelas restantes","Encerrado")))</x:f>
        <x:v>Encerrado</x:v>
      </x:c>
      <x:c r="K412" s="141" t="n">
        <x:f>IF(C412&gt;0,C412/(1+$B$9)^A412,0)</x:f>
        <x:v>0</x:v>
      </x:c>
    </x:row>
    <x:row r="413">
      <x:c r="A413" s="142" t="n">
        <x:v>359</x:v>
      </x:c>
      <x:c r="B413" s="179" t="n">
        <x:f>EDATE($B$5,A413-1)</x:f>
        <x:v>57436</x:v>
      </x:c>
      <x:c r="C413" s="141" t="n">
        <x:f>IF(AND($B$22="Sim",A413&gt;=$B$23,A413&lt;$B$23+$B$31),$B$32*D413,0)</x:f>
        <x:v>0</x:v>
      </x:c>
      <x:c r="D413" s="180" t="n">
        <x:f>IF(A413&lt;$B$23,1,(1+$B$33)^INT((A413-$B$23)/12))</x:f>
        <x:v>5.418387898974772</x:v>
      </x:c>
      <x:c r="E413" s="141" t="n">
        <x:f>IF(AND($B$22="Sim",A413=$B$23),$B$37,0)</x:f>
        <x:v>0</x:v>
      </x:c>
      <x:c r="F413" s="141" t="n">
        <x:f>IF(AND($B$22="Sim",A413=$B$24),$B$27,0)</x:f>
        <x:v>0</x:v>
      </x:c>
      <x:c r="G413" s="141" t="n">
        <x:f>IF(AND($B$22="Sim",A413=$B$23),$B$35,0)</x:f>
        <x:v>0</x:v>
      </x:c>
      <x:c r="H413" s="141" t="n">
        <x:f>IF(AND($B$22="Sim",A413=$B$23),$B$36,0)</x:f>
        <x:v>0</x:v>
      </x:c>
      <x:c r="I413" s="141" t="n">
        <x:f>IF(OR($B$22&lt;&gt;"Sim",A413&gt;=$B$23+$B$31-1),0,(I414+C414)/(1+$B$9))</x:f>
        <x:v>0</x:v>
      </x:c>
      <x:c r="J413" s="140" t="str">
        <x:f>IF($B$22&lt;&gt;"Sim","Desativada",IF(A413&lt;$B$23,"Antes da compra",IF(A413&lt;$B$23+$B$31,"Parcelas restantes","Encerrado")))</x:f>
        <x:v>Encerrado</x:v>
      </x:c>
      <x:c r="K413" s="141" t="n">
        <x:f>IF(C413&gt;0,C413/(1+$B$9)^A413,0)</x:f>
        <x:v>0</x:v>
      </x:c>
    </x:row>
    <x:row r="414">
      <x:c r="A414" s="142" t="n">
        <x:v>360</x:v>
      </x:c>
      <x:c r="B414" s="179" t="n">
        <x:f>EDATE($B$5,A414-1)</x:f>
        <x:v>57466</x:v>
      </x:c>
      <x:c r="C414" s="141" t="n">
        <x:f>IF(AND($B$22="Sim",A414&gt;=$B$23,A414&lt;$B$23+$B$31),$B$32*D414,0)</x:f>
        <x:v>0</x:v>
      </x:c>
      <x:c r="D414" s="180" t="n">
        <x:f>IF(A414&lt;$B$23,1,(1+$B$33)^INT((A414-$B$23)/12))</x:f>
        <x:v>5.418387898974772</x:v>
      </x:c>
      <x:c r="E414" s="141" t="n">
        <x:f>IF(AND($B$22="Sim",A414=$B$23),$B$37,0)</x:f>
        <x:v>0</x:v>
      </x:c>
      <x:c r="F414" s="141" t="n">
        <x:f>IF(AND($B$22="Sim",A414=$B$24),$B$27,0)</x:f>
        <x:v>0</x:v>
      </x:c>
      <x:c r="G414" s="141" t="n">
        <x:f>IF(AND($B$22="Sim",A414=$B$23),$B$35,0)</x:f>
        <x:v>0</x:v>
      </x:c>
      <x:c r="H414" s="141" t="n">
        <x:f>IF(AND($B$22="Sim",A414=$B$23),$B$36,0)</x:f>
        <x:v>0</x:v>
      </x:c>
      <x:c r="I414" s="141" t="n">
        <x:f>IF(OR($B$22&lt;&gt;"Sim",A414&gt;=$B$23+$B$31-1),0,(I415+C415)/(1+$B$9))</x:f>
        <x:v>0</x:v>
      </x:c>
      <x:c r="J414" s="140" t="str">
        <x:f>IF($B$22&lt;&gt;"Sim","Desativada",IF(A414&lt;$B$23,"Antes da compra",IF(A414&lt;$B$23+$B$31,"Parcelas restantes","Encerrado")))</x:f>
        <x:v>Encerrado</x:v>
      </x:c>
      <x:c r="K414" s="141" t="n">
        <x:f>IF(C414&gt;0,C414/(1+$B$9)^A414,0)</x:f>
        <x:v>0</x:v>
      </x:c>
    </x:row>
    <x:row r="415">
      <x:c r="A415" s="142" t="n">
        <x:v>361</x:v>
      </x:c>
      <x:c r="B415" s="179" t="n">
        <x:f>EDATE($B$5,A415-1)</x:f>
        <x:v>57497</x:v>
      </x:c>
      <x:c r="C415" s="141" t="n">
        <x:f>IF(AND($B$22="Sim",A415&gt;=$B$23,A415&lt;$B$23+$B$31),$B$32*D415,0)</x:f>
        <x:v>0</x:v>
      </x:c>
      <x:c r="D415" s="180" t="n">
        <x:f>IF(A415&lt;$B$23,1,(1+$B$33)^INT((A415-$B$23)/12))</x:f>
        <x:v>5.7434911729132585</x:v>
      </x:c>
      <x:c r="E415" s="141" t="n">
        <x:f>IF(AND($B$22="Sim",A415=$B$23),$B$37,0)</x:f>
        <x:v>0</x:v>
      </x:c>
      <x:c r="F415" s="141" t="n">
        <x:f>IF(AND($B$22="Sim",A415=$B$24),$B$27,0)</x:f>
        <x:v>0</x:v>
      </x:c>
      <x:c r="G415" s="141" t="n">
        <x:f>IF(AND($B$22="Sim",A415=$B$23),$B$35,0)</x:f>
        <x:v>0</x:v>
      </x:c>
      <x:c r="H415" s="141" t="n">
        <x:f>IF(AND($B$22="Sim",A415=$B$23),$B$36,0)</x:f>
        <x:v>0</x:v>
      </x:c>
      <x:c r="I415" s="141" t="n">
        <x:f>IF(OR($B$22&lt;&gt;"Sim",A415&gt;=$B$23+$B$31-1),0,(I416+C416)/(1+$B$9))</x:f>
        <x:v>0</x:v>
      </x:c>
      <x:c r="J415" s="140" t="str">
        <x:f>IF($B$22&lt;&gt;"Sim","Desativada",IF(A415&lt;$B$23,"Antes da compra",IF(A415&lt;$B$23+$B$31,"Parcelas restantes","Encerrado")))</x:f>
        <x:v>Encerrado</x:v>
      </x:c>
      <x:c r="K415" s="141" t="n">
        <x:f>IF(C415&gt;0,C415/(1+$B$9)^A415,0)</x:f>
        <x:v>0</x:v>
      </x:c>
    </x:row>
    <x:row r="416">
      <x:c r="A416" s="142" t="n">
        <x:v>362</x:v>
      </x:c>
      <x:c r="B416" s="179" t="n">
        <x:f>EDATE($B$5,A416-1)</x:f>
        <x:v>57527</x:v>
      </x:c>
      <x:c r="C416" s="141" t="n">
        <x:f>IF(AND($B$22="Sim",A416&gt;=$B$23,A416&lt;$B$23+$B$31),$B$32*D416,0)</x:f>
        <x:v>0</x:v>
      </x:c>
      <x:c r="D416" s="180" t="n">
        <x:f>IF(A416&lt;$B$23,1,(1+$B$33)^INT((A416-$B$23)/12))</x:f>
        <x:v>5.7434911729132585</x:v>
      </x:c>
      <x:c r="E416" s="141" t="n">
        <x:f>IF(AND($B$22="Sim",A416=$B$23),$B$37,0)</x:f>
        <x:v>0</x:v>
      </x:c>
      <x:c r="F416" s="141" t="n">
        <x:f>IF(AND($B$22="Sim",A416=$B$24),$B$27,0)</x:f>
        <x:v>0</x:v>
      </x:c>
      <x:c r="G416" s="141" t="n">
        <x:f>IF(AND($B$22="Sim",A416=$B$23),$B$35,0)</x:f>
        <x:v>0</x:v>
      </x:c>
      <x:c r="H416" s="141" t="n">
        <x:f>IF(AND($B$22="Sim",A416=$B$23),$B$36,0)</x:f>
        <x:v>0</x:v>
      </x:c>
      <x:c r="I416" s="141" t="n">
        <x:f>IF(OR($B$22&lt;&gt;"Sim",A416&gt;=$B$23+$B$31-1),0,(I417+C417)/(1+$B$9))</x:f>
        <x:v>0</x:v>
      </x:c>
      <x:c r="J416" s="140" t="str">
        <x:f>IF($B$22&lt;&gt;"Sim","Desativada",IF(A416&lt;$B$23,"Antes da compra",IF(A416&lt;$B$23+$B$31,"Parcelas restantes","Encerrado")))</x:f>
        <x:v>Encerrado</x:v>
      </x:c>
      <x:c r="K416" s="141" t="n">
        <x:f>IF(C416&gt;0,C416/(1+$B$9)^A416,0)</x:f>
        <x:v>0</x:v>
      </x:c>
    </x:row>
    <x:row r="417">
      <x:c r="A417" s="142" t="n">
        <x:v>363</x:v>
      </x:c>
      <x:c r="B417" s="179" t="n">
        <x:f>EDATE($B$5,A417-1)</x:f>
        <x:v>57558</x:v>
      </x:c>
      <x:c r="C417" s="141" t="n">
        <x:f>IF(AND($B$22="Sim",A417&gt;=$B$23,A417&lt;$B$23+$B$31),$B$32*D417,0)</x:f>
        <x:v>0</x:v>
      </x:c>
      <x:c r="D417" s="180" t="n">
        <x:f>IF(A417&lt;$B$23,1,(1+$B$33)^INT((A417-$B$23)/12))</x:f>
        <x:v>5.7434911729132585</x:v>
      </x:c>
      <x:c r="E417" s="141" t="n">
        <x:f>IF(AND($B$22="Sim",A417=$B$23),$B$37,0)</x:f>
        <x:v>0</x:v>
      </x:c>
      <x:c r="F417" s="141" t="n">
        <x:f>IF(AND($B$22="Sim",A417=$B$24),$B$27,0)</x:f>
        <x:v>0</x:v>
      </x:c>
      <x:c r="G417" s="141" t="n">
        <x:f>IF(AND($B$22="Sim",A417=$B$23),$B$35,0)</x:f>
        <x:v>0</x:v>
      </x:c>
      <x:c r="H417" s="141" t="n">
        <x:f>IF(AND($B$22="Sim",A417=$B$23),$B$36,0)</x:f>
        <x:v>0</x:v>
      </x:c>
      <x:c r="I417" s="141" t="n">
        <x:f>IF(OR($B$22&lt;&gt;"Sim",A417&gt;=$B$23+$B$31-1),0,(I418+C418)/(1+$B$9))</x:f>
        <x:v>0</x:v>
      </x:c>
      <x:c r="J417" s="140" t="str">
        <x:f>IF($B$22&lt;&gt;"Sim","Desativada",IF(A417&lt;$B$23,"Antes da compra",IF(A417&lt;$B$23+$B$31,"Parcelas restantes","Encerrado")))</x:f>
        <x:v>Encerrado</x:v>
      </x:c>
      <x:c r="K417" s="141" t="n">
        <x:f>IF(C417&gt;0,C417/(1+$B$9)^A417,0)</x:f>
        <x:v>0</x:v>
      </x:c>
    </x:row>
    <x:row r="418">
      <x:c r="A418" s="142" t="n">
        <x:v>364</x:v>
      </x:c>
      <x:c r="B418" s="179" t="n">
        <x:f>EDATE($B$5,A418-1)</x:f>
        <x:v>57589</x:v>
      </x:c>
      <x:c r="C418" s="141" t="n">
        <x:f>IF(AND($B$22="Sim",A418&gt;=$B$23,A418&lt;$B$23+$B$31),$B$32*D418,0)</x:f>
        <x:v>0</x:v>
      </x:c>
      <x:c r="D418" s="180" t="n">
        <x:f>IF(A418&lt;$B$23,1,(1+$B$33)^INT((A418-$B$23)/12))</x:f>
        <x:v>5.7434911729132585</x:v>
      </x:c>
      <x:c r="E418" s="141" t="n">
        <x:f>IF(AND($B$22="Sim",A418=$B$23),$B$37,0)</x:f>
        <x:v>0</x:v>
      </x:c>
      <x:c r="F418" s="141" t="n">
        <x:f>IF(AND($B$22="Sim",A418=$B$24),$B$27,0)</x:f>
        <x:v>0</x:v>
      </x:c>
      <x:c r="G418" s="141" t="n">
        <x:f>IF(AND($B$22="Sim",A418=$B$23),$B$35,0)</x:f>
        <x:v>0</x:v>
      </x:c>
      <x:c r="H418" s="141" t="n">
        <x:f>IF(AND($B$22="Sim",A418=$B$23),$B$36,0)</x:f>
        <x:v>0</x:v>
      </x:c>
      <x:c r="I418" s="141" t="n">
        <x:f>IF(OR($B$22&lt;&gt;"Sim",A418&gt;=$B$23+$B$31-1),0,(I419+C419)/(1+$B$9))</x:f>
        <x:v>0</x:v>
      </x:c>
      <x:c r="J418" s="140" t="str">
        <x:f>IF($B$22&lt;&gt;"Sim","Desativada",IF(A418&lt;$B$23,"Antes da compra",IF(A418&lt;$B$23+$B$31,"Parcelas restantes","Encerrado")))</x:f>
        <x:v>Encerrado</x:v>
      </x:c>
      <x:c r="K418" s="141" t="n">
        <x:f>IF(C418&gt;0,C418/(1+$B$9)^A418,0)</x:f>
        <x:v>0</x:v>
      </x:c>
    </x:row>
    <x:row r="419">
      <x:c r="A419" s="142" t="n">
        <x:v>365</x:v>
      </x:c>
      <x:c r="B419" s="179" t="n">
        <x:f>EDATE($B$5,A419-1)</x:f>
        <x:v>57619</x:v>
      </x:c>
      <x:c r="C419" s="141" t="n">
        <x:f>IF(AND($B$22="Sim",A419&gt;=$B$23,A419&lt;$B$23+$B$31),$B$32*D419,0)</x:f>
        <x:v>0</x:v>
      </x:c>
      <x:c r="D419" s="180" t="n">
        <x:f>IF(A419&lt;$B$23,1,(1+$B$33)^INT((A419-$B$23)/12))</x:f>
        <x:v>5.7434911729132585</x:v>
      </x:c>
      <x:c r="E419" s="141" t="n">
        <x:f>IF(AND($B$22="Sim",A419=$B$23),$B$37,0)</x:f>
        <x:v>0</x:v>
      </x:c>
      <x:c r="F419" s="141" t="n">
        <x:f>IF(AND($B$22="Sim",A419=$B$24),$B$27,0)</x:f>
        <x:v>0</x:v>
      </x:c>
      <x:c r="G419" s="141" t="n">
        <x:f>IF(AND($B$22="Sim",A419=$B$23),$B$35,0)</x:f>
        <x:v>0</x:v>
      </x:c>
      <x:c r="H419" s="141" t="n">
        <x:f>IF(AND($B$22="Sim",A419=$B$23),$B$36,0)</x:f>
        <x:v>0</x:v>
      </x:c>
      <x:c r="I419" s="141" t="n">
        <x:f>IF(OR($B$22&lt;&gt;"Sim",A419&gt;=$B$23+$B$31-1),0,(I420+C420)/(1+$B$9))</x:f>
        <x:v>0</x:v>
      </x:c>
      <x:c r="J419" s="140" t="str">
        <x:f>IF($B$22&lt;&gt;"Sim","Desativada",IF(A419&lt;$B$23,"Antes da compra",IF(A419&lt;$B$23+$B$31,"Parcelas restantes","Encerrado")))</x:f>
        <x:v>Encerrado</x:v>
      </x:c>
      <x:c r="K419" s="141" t="n">
        <x:f>IF(C419&gt;0,C419/(1+$B$9)^A419,0)</x:f>
        <x:v>0</x:v>
      </x:c>
    </x:row>
    <x:row r="420">
      <x:c r="A420" s="142" t="n">
        <x:v>366</x:v>
      </x:c>
      <x:c r="B420" s="179" t="n">
        <x:f>EDATE($B$5,A420-1)</x:f>
        <x:v>57650</x:v>
      </x:c>
      <x:c r="C420" s="141" t="n">
        <x:f>IF(AND($B$22="Sim",A420&gt;=$B$23,A420&lt;$B$23+$B$31),$B$32*D420,0)</x:f>
        <x:v>0</x:v>
      </x:c>
      <x:c r="D420" s="180" t="n">
        <x:f>IF(A420&lt;$B$23,1,(1+$B$33)^INT((A420-$B$23)/12))</x:f>
        <x:v>5.7434911729132585</x:v>
      </x:c>
      <x:c r="E420" s="141" t="n">
        <x:f>IF(AND($B$22="Sim",A420=$B$23),$B$37,0)</x:f>
        <x:v>0</x:v>
      </x:c>
      <x:c r="F420" s="141" t="n">
        <x:f>IF(AND($B$22="Sim",A420=$B$24),$B$27,0)</x:f>
        <x:v>0</x:v>
      </x:c>
      <x:c r="G420" s="141" t="n">
        <x:f>IF(AND($B$22="Sim",A420=$B$23),$B$35,0)</x:f>
        <x:v>0</x:v>
      </x:c>
      <x:c r="H420" s="141" t="n">
        <x:f>IF(AND($B$22="Sim",A420=$B$23),$B$36,0)</x:f>
        <x:v>0</x:v>
      </x:c>
      <x:c r="I420" s="141" t="n">
        <x:f>IF(OR($B$22&lt;&gt;"Sim",A420&gt;=$B$23+$B$31-1),0,(I421+C421)/(1+$B$9))</x:f>
        <x:v>0</x:v>
      </x:c>
      <x:c r="J420" s="140" t="str">
        <x:f>IF($B$22&lt;&gt;"Sim","Desativada",IF(A420&lt;$B$23,"Antes da compra",IF(A420&lt;$B$23+$B$31,"Parcelas restantes","Encerrado")))</x:f>
        <x:v>Encerrado</x:v>
      </x:c>
      <x:c r="K420" s="141" t="n">
        <x:f>IF(C420&gt;0,C420/(1+$B$9)^A420,0)</x:f>
        <x:v>0</x:v>
      </x:c>
    </x:row>
    <x:row r="421">
      <x:c r="A421" s="142" t="n">
        <x:v>367</x:v>
      </x:c>
      <x:c r="B421" s="179" t="n">
        <x:f>EDATE($B$5,A421-1)</x:f>
        <x:v>57680</x:v>
      </x:c>
      <x:c r="C421" s="141" t="n">
        <x:f>IF(AND($B$22="Sim",A421&gt;=$B$23,A421&lt;$B$23+$B$31),$B$32*D421,0)</x:f>
        <x:v>0</x:v>
      </x:c>
      <x:c r="D421" s="180" t="n">
        <x:f>IF(A421&lt;$B$23,1,(1+$B$33)^INT((A421-$B$23)/12))</x:f>
        <x:v>5.7434911729132585</x:v>
      </x:c>
      <x:c r="E421" s="141" t="n">
        <x:f>IF(AND($B$22="Sim",A421=$B$23),$B$37,0)</x:f>
        <x:v>0</x:v>
      </x:c>
      <x:c r="F421" s="141" t="n">
        <x:f>IF(AND($B$22="Sim",A421=$B$24),$B$27,0)</x:f>
        <x:v>0</x:v>
      </x:c>
      <x:c r="G421" s="141" t="n">
        <x:f>IF(AND($B$22="Sim",A421=$B$23),$B$35,0)</x:f>
        <x:v>0</x:v>
      </x:c>
      <x:c r="H421" s="141" t="n">
        <x:f>IF(AND($B$22="Sim",A421=$B$23),$B$36,0)</x:f>
        <x:v>0</x:v>
      </x:c>
      <x:c r="I421" s="141" t="n">
        <x:f>IF(OR($B$22&lt;&gt;"Sim",A421&gt;=$B$23+$B$31-1),0,(I422+C422)/(1+$B$9))</x:f>
        <x:v>0</x:v>
      </x:c>
      <x:c r="J421" s="140" t="str">
        <x:f>IF($B$22&lt;&gt;"Sim","Desativada",IF(A421&lt;$B$23,"Antes da compra",IF(A421&lt;$B$23+$B$31,"Parcelas restantes","Encerrado")))</x:f>
        <x:v>Encerrado</x:v>
      </x:c>
      <x:c r="K421" s="141" t="n">
        <x:f>IF(C421&gt;0,C421/(1+$B$9)^A421,0)</x:f>
        <x:v>0</x:v>
      </x:c>
    </x:row>
    <x:row r="422">
      <x:c r="A422" s="142" t="n">
        <x:v>368</x:v>
      </x:c>
      <x:c r="B422" s="179" t="n">
        <x:f>EDATE($B$5,A422-1)</x:f>
        <x:v>57711</x:v>
      </x:c>
      <x:c r="C422" s="141" t="n">
        <x:f>IF(AND($B$22="Sim",A422&gt;=$B$23,A422&lt;$B$23+$B$31),$B$32*D422,0)</x:f>
        <x:v>0</x:v>
      </x:c>
      <x:c r="D422" s="180" t="n">
        <x:f>IF(A422&lt;$B$23,1,(1+$B$33)^INT((A422-$B$23)/12))</x:f>
        <x:v>5.7434911729132585</x:v>
      </x:c>
      <x:c r="E422" s="141" t="n">
        <x:f>IF(AND($B$22="Sim",A422=$B$23),$B$37,0)</x:f>
        <x:v>0</x:v>
      </x:c>
      <x:c r="F422" s="141" t="n">
        <x:f>IF(AND($B$22="Sim",A422=$B$24),$B$27,0)</x:f>
        <x:v>0</x:v>
      </x:c>
      <x:c r="G422" s="141" t="n">
        <x:f>IF(AND($B$22="Sim",A422=$B$23),$B$35,0)</x:f>
        <x:v>0</x:v>
      </x:c>
      <x:c r="H422" s="141" t="n">
        <x:f>IF(AND($B$22="Sim",A422=$B$23),$B$36,0)</x:f>
        <x:v>0</x:v>
      </x:c>
      <x:c r="I422" s="141" t="n">
        <x:f>IF(OR($B$22&lt;&gt;"Sim",A422&gt;=$B$23+$B$31-1),0,(I423+C423)/(1+$B$9))</x:f>
        <x:v>0</x:v>
      </x:c>
      <x:c r="J422" s="140" t="str">
        <x:f>IF($B$22&lt;&gt;"Sim","Desativada",IF(A422&lt;$B$23,"Antes da compra",IF(A422&lt;$B$23+$B$31,"Parcelas restantes","Encerrado")))</x:f>
        <x:v>Encerrado</x:v>
      </x:c>
      <x:c r="K422" s="141" t="n">
        <x:f>IF(C422&gt;0,C422/(1+$B$9)^A422,0)</x:f>
        <x:v>0</x:v>
      </x:c>
    </x:row>
    <x:row r="423">
      <x:c r="A423" s="142" t="n">
        <x:v>369</x:v>
      </x:c>
      <x:c r="B423" s="179" t="n">
        <x:f>EDATE($B$5,A423-1)</x:f>
        <x:v>57742</x:v>
      </x:c>
      <x:c r="C423" s="141" t="n">
        <x:f>IF(AND($B$22="Sim",A423&gt;=$B$23,A423&lt;$B$23+$B$31),$B$32*D423,0)</x:f>
        <x:v>0</x:v>
      </x:c>
      <x:c r="D423" s="180" t="n">
        <x:f>IF(A423&lt;$B$23,1,(1+$B$33)^INT((A423-$B$23)/12))</x:f>
        <x:v>5.7434911729132585</x:v>
      </x:c>
      <x:c r="E423" s="141" t="n">
        <x:f>IF(AND($B$22="Sim",A423=$B$23),$B$37,0)</x:f>
        <x:v>0</x:v>
      </x:c>
      <x:c r="F423" s="141" t="n">
        <x:f>IF(AND($B$22="Sim",A423=$B$24),$B$27,0)</x:f>
        <x:v>0</x:v>
      </x:c>
      <x:c r="G423" s="141" t="n">
        <x:f>IF(AND($B$22="Sim",A423=$B$23),$B$35,0)</x:f>
        <x:v>0</x:v>
      </x:c>
      <x:c r="H423" s="141" t="n">
        <x:f>IF(AND($B$22="Sim",A423=$B$23),$B$36,0)</x:f>
        <x:v>0</x:v>
      </x:c>
      <x:c r="I423" s="141" t="n">
        <x:f>IF(OR($B$22&lt;&gt;"Sim",A423&gt;=$B$23+$B$31-1),0,(I424+C424)/(1+$B$9))</x:f>
        <x:v>0</x:v>
      </x:c>
      <x:c r="J423" s="140" t="str">
        <x:f>IF($B$22&lt;&gt;"Sim","Desativada",IF(A423&lt;$B$23,"Antes da compra",IF(A423&lt;$B$23+$B$31,"Parcelas restantes","Encerrado")))</x:f>
        <x:v>Encerrado</x:v>
      </x:c>
      <x:c r="K423" s="141" t="n">
        <x:f>IF(C423&gt;0,C423/(1+$B$9)^A423,0)</x:f>
        <x:v>0</x:v>
      </x:c>
    </x:row>
    <x:row r="424">
      <x:c r="A424" s="142" t="n">
        <x:v>370</x:v>
      </x:c>
      <x:c r="B424" s="179" t="n">
        <x:f>EDATE($B$5,A424-1)</x:f>
        <x:v>57770</x:v>
      </x:c>
      <x:c r="C424" s="141" t="n">
        <x:f>IF(AND($B$22="Sim",A424&gt;=$B$23,A424&lt;$B$23+$B$31),$B$32*D424,0)</x:f>
        <x:v>0</x:v>
      </x:c>
      <x:c r="D424" s="180" t="n">
        <x:f>IF(A424&lt;$B$23,1,(1+$B$33)^INT((A424-$B$23)/12))</x:f>
        <x:v>5.7434911729132585</x:v>
      </x:c>
      <x:c r="E424" s="141" t="n">
        <x:f>IF(AND($B$22="Sim",A424=$B$23),$B$37,0)</x:f>
        <x:v>0</x:v>
      </x:c>
      <x:c r="F424" s="141" t="n">
        <x:f>IF(AND($B$22="Sim",A424=$B$24),$B$27,0)</x:f>
        <x:v>0</x:v>
      </x:c>
      <x:c r="G424" s="141" t="n">
        <x:f>IF(AND($B$22="Sim",A424=$B$23),$B$35,0)</x:f>
        <x:v>0</x:v>
      </x:c>
      <x:c r="H424" s="141" t="n">
        <x:f>IF(AND($B$22="Sim",A424=$B$23),$B$36,0)</x:f>
        <x:v>0</x:v>
      </x:c>
      <x:c r="I424" s="141" t="n">
        <x:f>IF(OR($B$22&lt;&gt;"Sim",A424&gt;=$B$23+$B$31-1),0,(I425+C425)/(1+$B$9))</x:f>
        <x:v>0</x:v>
      </x:c>
      <x:c r="J424" s="140" t="str">
        <x:f>IF($B$22&lt;&gt;"Sim","Desativada",IF(A424&lt;$B$23,"Antes da compra",IF(A424&lt;$B$23+$B$31,"Parcelas restantes","Encerrado")))</x:f>
        <x:v>Encerrado</x:v>
      </x:c>
      <x:c r="K424" s="141" t="n">
        <x:f>IF(C424&gt;0,C424/(1+$B$9)^A424,0)</x:f>
        <x:v>0</x:v>
      </x:c>
    </x:row>
    <x:row r="425">
      <x:c r="A425" s="142" t="n">
        <x:v>371</x:v>
      </x:c>
      <x:c r="B425" s="179" t="n">
        <x:f>EDATE($B$5,A425-1)</x:f>
        <x:v>57801</x:v>
      </x:c>
      <x:c r="C425" s="141" t="n">
        <x:f>IF(AND($B$22="Sim",A425&gt;=$B$23,A425&lt;$B$23+$B$31),$B$32*D425,0)</x:f>
        <x:v>0</x:v>
      </x:c>
      <x:c r="D425" s="180" t="n">
        <x:f>IF(A425&lt;$B$23,1,(1+$B$33)^INT((A425-$B$23)/12))</x:f>
        <x:v>5.7434911729132585</x:v>
      </x:c>
      <x:c r="E425" s="141" t="n">
        <x:f>IF(AND($B$22="Sim",A425=$B$23),$B$37,0)</x:f>
        <x:v>0</x:v>
      </x:c>
      <x:c r="F425" s="141" t="n">
        <x:f>IF(AND($B$22="Sim",A425=$B$24),$B$27,0)</x:f>
        <x:v>0</x:v>
      </x:c>
      <x:c r="G425" s="141" t="n">
        <x:f>IF(AND($B$22="Sim",A425=$B$23),$B$35,0)</x:f>
        <x:v>0</x:v>
      </x:c>
      <x:c r="H425" s="141" t="n">
        <x:f>IF(AND($B$22="Sim",A425=$B$23),$B$36,0)</x:f>
        <x:v>0</x:v>
      </x:c>
      <x:c r="I425" s="141" t="n">
        <x:f>IF(OR($B$22&lt;&gt;"Sim",A425&gt;=$B$23+$B$31-1),0,(I426+C426)/(1+$B$9))</x:f>
        <x:v>0</x:v>
      </x:c>
      <x:c r="J425" s="140" t="str">
        <x:f>IF($B$22&lt;&gt;"Sim","Desativada",IF(A425&lt;$B$23,"Antes da compra",IF(A425&lt;$B$23+$B$31,"Parcelas restantes","Encerrado")))</x:f>
        <x:v>Encerrado</x:v>
      </x:c>
      <x:c r="K425" s="141" t="n">
        <x:f>IF(C425&gt;0,C425/(1+$B$9)^A425,0)</x:f>
        <x:v>0</x:v>
      </x:c>
    </x:row>
    <x:row r="426">
      <x:c r="A426" s="142" t="n">
        <x:v>372</x:v>
      </x:c>
      <x:c r="B426" s="179" t="n">
        <x:f>EDATE($B$5,A426-1)</x:f>
        <x:v>57831</x:v>
      </x:c>
      <x:c r="C426" s="141" t="n">
        <x:f>IF(AND($B$22="Sim",A426&gt;=$B$23,A426&lt;$B$23+$B$31),$B$32*D426,0)</x:f>
        <x:v>0</x:v>
      </x:c>
      <x:c r="D426" s="180" t="n">
        <x:f>IF(A426&lt;$B$23,1,(1+$B$33)^INT((A426-$B$23)/12))</x:f>
        <x:v>5.7434911729132585</x:v>
      </x:c>
      <x:c r="E426" s="141" t="n">
        <x:f>IF(AND($B$22="Sim",A426=$B$23),$B$37,0)</x:f>
        <x:v>0</x:v>
      </x:c>
      <x:c r="F426" s="141" t="n">
        <x:f>IF(AND($B$22="Sim",A426=$B$24),$B$27,0)</x:f>
        <x:v>0</x:v>
      </x:c>
      <x:c r="G426" s="141" t="n">
        <x:f>IF(AND($B$22="Sim",A426=$B$23),$B$35,0)</x:f>
        <x:v>0</x:v>
      </x:c>
      <x:c r="H426" s="141" t="n">
        <x:f>IF(AND($B$22="Sim",A426=$B$23),$B$36,0)</x:f>
        <x:v>0</x:v>
      </x:c>
      <x:c r="I426" s="141" t="n">
        <x:f>IF(OR($B$22&lt;&gt;"Sim",A426&gt;=$B$23+$B$31-1),0,(I427+C427)/(1+$B$9))</x:f>
        <x:v>0</x:v>
      </x:c>
      <x:c r="J426" s="140" t="str">
        <x:f>IF($B$22&lt;&gt;"Sim","Desativada",IF(A426&lt;$B$23,"Antes da compra",IF(A426&lt;$B$23+$B$31,"Parcelas restantes","Encerrado")))</x:f>
        <x:v>Encerrado</x:v>
      </x:c>
      <x:c r="K426" s="141" t="n">
        <x:f>IF(C426&gt;0,C426/(1+$B$9)^A426,0)</x:f>
        <x:v>0</x:v>
      </x:c>
    </x:row>
    <x:row r="427">
      <x:c r="A427" s="142" t="n">
        <x:v>373</x:v>
      </x:c>
      <x:c r="B427" s="179" t="n">
        <x:f>EDATE($B$5,A427-1)</x:f>
        <x:v>57862</x:v>
      </x:c>
      <x:c r="C427" s="141" t="n">
        <x:f>IF(AND($B$22="Sim",A427&gt;=$B$23,A427&lt;$B$23+$B$31),$B$32*D427,0)</x:f>
        <x:v>0</x:v>
      </x:c>
      <x:c r="D427" s="180" t="n">
        <x:f>IF(A427&lt;$B$23,1,(1+$B$33)^INT((A427-$B$23)/12))</x:f>
        <x:v>6.088100643288055</x:v>
      </x:c>
      <x:c r="E427" s="141" t="n">
        <x:f>IF(AND($B$22="Sim",A427=$B$23),$B$37,0)</x:f>
        <x:v>0</x:v>
      </x:c>
      <x:c r="F427" s="141" t="n">
        <x:f>IF(AND($B$22="Sim",A427=$B$24),$B$27,0)</x:f>
        <x:v>0</x:v>
      </x:c>
      <x:c r="G427" s="141" t="n">
        <x:f>IF(AND($B$22="Sim",A427=$B$23),$B$35,0)</x:f>
        <x:v>0</x:v>
      </x:c>
      <x:c r="H427" s="141" t="n">
        <x:f>IF(AND($B$22="Sim",A427=$B$23),$B$36,0)</x:f>
        <x:v>0</x:v>
      </x:c>
      <x:c r="I427" s="141" t="n">
        <x:f>IF(OR($B$22&lt;&gt;"Sim",A427&gt;=$B$23+$B$31-1),0,(I428+C428)/(1+$B$9))</x:f>
        <x:v>0</x:v>
      </x:c>
      <x:c r="J427" s="140" t="str">
        <x:f>IF($B$22&lt;&gt;"Sim","Desativada",IF(A427&lt;$B$23,"Antes da compra",IF(A427&lt;$B$23+$B$31,"Parcelas restantes","Encerrado")))</x:f>
        <x:v>Encerrado</x:v>
      </x:c>
      <x:c r="K427" s="141" t="n">
        <x:f>IF(C427&gt;0,C427/(1+$B$9)^A427,0)</x:f>
        <x:v>0</x:v>
      </x:c>
    </x:row>
    <x:row r="428">
      <x:c r="A428" s="142" t="n">
        <x:v>374</x:v>
      </x:c>
      <x:c r="B428" s="179" t="n">
        <x:f>EDATE($B$5,A428-1)</x:f>
        <x:v>57892</x:v>
      </x:c>
      <x:c r="C428" s="141" t="n">
        <x:f>IF(AND($B$22="Sim",A428&gt;=$B$23,A428&lt;$B$23+$B$31),$B$32*D428,0)</x:f>
        <x:v>0</x:v>
      </x:c>
      <x:c r="D428" s="180" t="n">
        <x:f>IF(A428&lt;$B$23,1,(1+$B$33)^INT((A428-$B$23)/12))</x:f>
        <x:v>6.088100643288055</x:v>
      </x:c>
      <x:c r="E428" s="141" t="n">
        <x:f>IF(AND($B$22="Sim",A428=$B$23),$B$37,0)</x:f>
        <x:v>0</x:v>
      </x:c>
      <x:c r="F428" s="141" t="n">
        <x:f>IF(AND($B$22="Sim",A428=$B$24),$B$27,0)</x:f>
        <x:v>0</x:v>
      </x:c>
      <x:c r="G428" s="141" t="n">
        <x:f>IF(AND($B$22="Sim",A428=$B$23),$B$35,0)</x:f>
        <x:v>0</x:v>
      </x:c>
      <x:c r="H428" s="141" t="n">
        <x:f>IF(AND($B$22="Sim",A428=$B$23),$B$36,0)</x:f>
        <x:v>0</x:v>
      </x:c>
      <x:c r="I428" s="141" t="n">
        <x:f>IF(OR($B$22&lt;&gt;"Sim",A428&gt;=$B$23+$B$31-1),0,(I429+C429)/(1+$B$9))</x:f>
        <x:v>0</x:v>
      </x:c>
      <x:c r="J428" s="140" t="str">
        <x:f>IF($B$22&lt;&gt;"Sim","Desativada",IF(A428&lt;$B$23,"Antes da compra",IF(A428&lt;$B$23+$B$31,"Parcelas restantes","Encerrado")))</x:f>
        <x:v>Encerrado</x:v>
      </x:c>
      <x:c r="K428" s="141" t="n">
        <x:f>IF(C428&gt;0,C428/(1+$B$9)^A428,0)</x:f>
        <x:v>0</x:v>
      </x:c>
    </x:row>
    <x:row r="429">
      <x:c r="A429" s="142" t="n">
        <x:v>375</x:v>
      </x:c>
      <x:c r="B429" s="179" t="n">
        <x:f>EDATE($B$5,A429-1)</x:f>
        <x:v>57923</x:v>
      </x:c>
      <x:c r="C429" s="141" t="n">
        <x:f>IF(AND($B$22="Sim",A429&gt;=$B$23,A429&lt;$B$23+$B$31),$B$32*D429,0)</x:f>
        <x:v>0</x:v>
      </x:c>
      <x:c r="D429" s="180" t="n">
        <x:f>IF(A429&lt;$B$23,1,(1+$B$33)^INT((A429-$B$23)/12))</x:f>
        <x:v>6.088100643288055</x:v>
      </x:c>
      <x:c r="E429" s="141" t="n">
        <x:f>IF(AND($B$22="Sim",A429=$B$23),$B$37,0)</x:f>
        <x:v>0</x:v>
      </x:c>
      <x:c r="F429" s="141" t="n">
        <x:f>IF(AND($B$22="Sim",A429=$B$24),$B$27,0)</x:f>
        <x:v>0</x:v>
      </x:c>
      <x:c r="G429" s="141" t="n">
        <x:f>IF(AND($B$22="Sim",A429=$B$23),$B$35,0)</x:f>
        <x:v>0</x:v>
      </x:c>
      <x:c r="H429" s="141" t="n">
        <x:f>IF(AND($B$22="Sim",A429=$B$23),$B$36,0)</x:f>
        <x:v>0</x:v>
      </x:c>
      <x:c r="I429" s="141" t="n">
        <x:f>IF(OR($B$22&lt;&gt;"Sim",A429&gt;=$B$23+$B$31-1),0,(I430+C430)/(1+$B$9))</x:f>
        <x:v>0</x:v>
      </x:c>
      <x:c r="J429" s="140" t="str">
        <x:f>IF($B$22&lt;&gt;"Sim","Desativada",IF(A429&lt;$B$23,"Antes da compra",IF(A429&lt;$B$23+$B$31,"Parcelas restantes","Encerrado")))</x:f>
        <x:v>Encerrado</x:v>
      </x:c>
      <x:c r="K429" s="141" t="n">
        <x:f>IF(C429&gt;0,C429/(1+$B$9)^A429,0)</x:f>
        <x:v>0</x:v>
      </x:c>
    </x:row>
    <x:row r="430">
      <x:c r="A430" s="142" t="n">
        <x:v>376</x:v>
      </x:c>
      <x:c r="B430" s="179" t="n">
        <x:f>EDATE($B$5,A430-1)</x:f>
        <x:v>57954</x:v>
      </x:c>
      <x:c r="C430" s="141" t="n">
        <x:f>IF(AND($B$22="Sim",A430&gt;=$B$23,A430&lt;$B$23+$B$31),$B$32*D430,0)</x:f>
        <x:v>0</x:v>
      </x:c>
      <x:c r="D430" s="180" t="n">
        <x:f>IF(A430&lt;$B$23,1,(1+$B$33)^INT((A430-$B$23)/12))</x:f>
        <x:v>6.088100643288055</x:v>
      </x:c>
      <x:c r="E430" s="141" t="n">
        <x:f>IF(AND($B$22="Sim",A430=$B$23),$B$37,0)</x:f>
        <x:v>0</x:v>
      </x:c>
      <x:c r="F430" s="141" t="n">
        <x:f>IF(AND($B$22="Sim",A430=$B$24),$B$27,0)</x:f>
        <x:v>0</x:v>
      </x:c>
      <x:c r="G430" s="141" t="n">
        <x:f>IF(AND($B$22="Sim",A430=$B$23),$B$35,0)</x:f>
        <x:v>0</x:v>
      </x:c>
      <x:c r="H430" s="141" t="n">
        <x:f>IF(AND($B$22="Sim",A430=$B$23),$B$36,0)</x:f>
        <x:v>0</x:v>
      </x:c>
      <x:c r="I430" s="141" t="n">
        <x:f>IF(OR($B$22&lt;&gt;"Sim",A430&gt;=$B$23+$B$31-1),0,(I431+C431)/(1+$B$9))</x:f>
        <x:v>0</x:v>
      </x:c>
      <x:c r="J430" s="140" t="str">
        <x:f>IF($B$22&lt;&gt;"Sim","Desativada",IF(A430&lt;$B$23,"Antes da compra",IF(A430&lt;$B$23+$B$31,"Parcelas restantes","Encerrado")))</x:f>
        <x:v>Encerrado</x:v>
      </x:c>
      <x:c r="K430" s="141" t="n">
        <x:f>IF(C430&gt;0,C430/(1+$B$9)^A430,0)</x:f>
        <x:v>0</x:v>
      </x:c>
    </x:row>
    <x:row r="431">
      <x:c r="A431" s="142" t="n">
        <x:v>377</x:v>
      </x:c>
      <x:c r="B431" s="179" t="n">
        <x:f>EDATE($B$5,A431-1)</x:f>
        <x:v>57984</x:v>
      </x:c>
      <x:c r="C431" s="141" t="n">
        <x:f>IF(AND($B$22="Sim",A431&gt;=$B$23,A431&lt;$B$23+$B$31),$B$32*D431,0)</x:f>
        <x:v>0</x:v>
      </x:c>
      <x:c r="D431" s="180" t="n">
        <x:f>IF(A431&lt;$B$23,1,(1+$B$33)^INT((A431-$B$23)/12))</x:f>
        <x:v>6.088100643288055</x:v>
      </x:c>
      <x:c r="E431" s="141" t="n">
        <x:f>IF(AND($B$22="Sim",A431=$B$23),$B$37,0)</x:f>
        <x:v>0</x:v>
      </x:c>
      <x:c r="F431" s="141" t="n">
        <x:f>IF(AND($B$22="Sim",A431=$B$24),$B$27,0)</x:f>
        <x:v>0</x:v>
      </x:c>
      <x:c r="G431" s="141" t="n">
        <x:f>IF(AND($B$22="Sim",A431=$B$23),$B$35,0)</x:f>
        <x:v>0</x:v>
      </x:c>
      <x:c r="H431" s="141" t="n">
        <x:f>IF(AND($B$22="Sim",A431=$B$23),$B$36,0)</x:f>
        <x:v>0</x:v>
      </x:c>
      <x:c r="I431" s="141" t="n">
        <x:f>IF(OR($B$22&lt;&gt;"Sim",A431&gt;=$B$23+$B$31-1),0,(I432+C432)/(1+$B$9))</x:f>
        <x:v>0</x:v>
      </x:c>
      <x:c r="J431" s="140" t="str">
        <x:f>IF($B$22&lt;&gt;"Sim","Desativada",IF(A431&lt;$B$23,"Antes da compra",IF(A431&lt;$B$23+$B$31,"Parcelas restantes","Encerrado")))</x:f>
        <x:v>Encerrado</x:v>
      </x:c>
      <x:c r="K431" s="141" t="n">
        <x:f>IF(C431&gt;0,C431/(1+$B$9)^A431,0)</x:f>
        <x:v>0</x:v>
      </x:c>
    </x:row>
    <x:row r="432">
      <x:c r="A432" s="142" t="n">
        <x:v>378</x:v>
      </x:c>
      <x:c r="B432" s="179" t="n">
        <x:f>EDATE($B$5,A432-1)</x:f>
        <x:v>58015</x:v>
      </x:c>
      <x:c r="C432" s="141" t="n">
        <x:f>IF(AND($B$22="Sim",A432&gt;=$B$23,A432&lt;$B$23+$B$31),$B$32*D432,0)</x:f>
        <x:v>0</x:v>
      </x:c>
      <x:c r="D432" s="180" t="n">
        <x:f>IF(A432&lt;$B$23,1,(1+$B$33)^INT((A432-$B$23)/12))</x:f>
        <x:v>6.088100643288055</x:v>
      </x:c>
      <x:c r="E432" s="141" t="n">
        <x:f>IF(AND($B$22="Sim",A432=$B$23),$B$37,0)</x:f>
        <x:v>0</x:v>
      </x:c>
      <x:c r="F432" s="141" t="n">
        <x:f>IF(AND($B$22="Sim",A432=$B$24),$B$27,0)</x:f>
        <x:v>0</x:v>
      </x:c>
      <x:c r="G432" s="141" t="n">
        <x:f>IF(AND($B$22="Sim",A432=$B$23),$B$35,0)</x:f>
        <x:v>0</x:v>
      </x:c>
      <x:c r="H432" s="141" t="n">
        <x:f>IF(AND($B$22="Sim",A432=$B$23),$B$36,0)</x:f>
        <x:v>0</x:v>
      </x:c>
      <x:c r="I432" s="141" t="n">
        <x:f>IF(OR($B$22&lt;&gt;"Sim",A432&gt;=$B$23+$B$31-1),0,(I433+C433)/(1+$B$9))</x:f>
        <x:v>0</x:v>
      </x:c>
      <x:c r="J432" s="140" t="str">
        <x:f>IF($B$22&lt;&gt;"Sim","Desativada",IF(A432&lt;$B$23,"Antes da compra",IF(A432&lt;$B$23+$B$31,"Parcelas restantes","Encerrado")))</x:f>
        <x:v>Encerrado</x:v>
      </x:c>
      <x:c r="K432" s="141" t="n">
        <x:f>IF(C432&gt;0,C432/(1+$B$9)^A432,0)</x:f>
        <x:v>0</x:v>
      </x:c>
    </x:row>
    <x:row r="433">
      <x:c r="A433" s="142" t="n">
        <x:v>379</x:v>
      </x:c>
      <x:c r="B433" s="179" t="n">
        <x:f>EDATE($B$5,A433-1)</x:f>
        <x:v>58045</x:v>
      </x:c>
      <x:c r="C433" s="141" t="n">
        <x:f>IF(AND($B$22="Sim",A433&gt;=$B$23,A433&lt;$B$23+$B$31),$B$32*D433,0)</x:f>
        <x:v>0</x:v>
      </x:c>
      <x:c r="D433" s="180" t="n">
        <x:f>IF(A433&lt;$B$23,1,(1+$B$33)^INT((A433-$B$23)/12))</x:f>
        <x:v>6.088100643288055</x:v>
      </x:c>
      <x:c r="E433" s="141" t="n">
        <x:f>IF(AND($B$22="Sim",A433=$B$23),$B$37,0)</x:f>
        <x:v>0</x:v>
      </x:c>
      <x:c r="F433" s="141" t="n">
        <x:f>IF(AND($B$22="Sim",A433=$B$24),$B$27,0)</x:f>
        <x:v>0</x:v>
      </x:c>
      <x:c r="G433" s="141" t="n">
        <x:f>IF(AND($B$22="Sim",A433=$B$23),$B$35,0)</x:f>
        <x:v>0</x:v>
      </x:c>
      <x:c r="H433" s="141" t="n">
        <x:f>IF(AND($B$22="Sim",A433=$B$23),$B$36,0)</x:f>
        <x:v>0</x:v>
      </x:c>
      <x:c r="I433" s="141" t="n">
        <x:f>IF(OR($B$22&lt;&gt;"Sim",A433&gt;=$B$23+$B$31-1),0,(I434+C434)/(1+$B$9))</x:f>
        <x:v>0</x:v>
      </x:c>
      <x:c r="J433" s="140" t="str">
        <x:f>IF($B$22&lt;&gt;"Sim","Desativada",IF(A433&lt;$B$23,"Antes da compra",IF(A433&lt;$B$23+$B$31,"Parcelas restantes","Encerrado")))</x:f>
        <x:v>Encerrado</x:v>
      </x:c>
      <x:c r="K433" s="141" t="n">
        <x:f>IF(C433&gt;0,C433/(1+$B$9)^A433,0)</x:f>
        <x:v>0</x:v>
      </x:c>
    </x:row>
    <x:row r="434">
      <x:c r="A434" s="142" t="n">
        <x:v>380</x:v>
      </x:c>
      <x:c r="B434" s="179" t="n">
        <x:f>EDATE($B$5,A434-1)</x:f>
        <x:v>58076</x:v>
      </x:c>
      <x:c r="C434" s="141" t="n">
        <x:f>IF(AND($B$22="Sim",A434&gt;=$B$23,A434&lt;$B$23+$B$31),$B$32*D434,0)</x:f>
        <x:v>0</x:v>
      </x:c>
      <x:c r="D434" s="180" t="n">
        <x:f>IF(A434&lt;$B$23,1,(1+$B$33)^INT((A434-$B$23)/12))</x:f>
        <x:v>6.088100643288055</x:v>
      </x:c>
      <x:c r="E434" s="141" t="n">
        <x:f>IF(AND($B$22="Sim",A434=$B$23),$B$37,0)</x:f>
        <x:v>0</x:v>
      </x:c>
      <x:c r="F434" s="141" t="n">
        <x:f>IF(AND($B$22="Sim",A434=$B$24),$B$27,0)</x:f>
        <x:v>0</x:v>
      </x:c>
      <x:c r="G434" s="141" t="n">
        <x:f>IF(AND($B$22="Sim",A434=$B$23),$B$35,0)</x:f>
        <x:v>0</x:v>
      </x:c>
      <x:c r="H434" s="141" t="n">
        <x:f>IF(AND($B$22="Sim",A434=$B$23),$B$36,0)</x:f>
        <x:v>0</x:v>
      </x:c>
      <x:c r="I434" s="141" t="n">
        <x:f>IF(OR($B$22&lt;&gt;"Sim",A434&gt;=$B$23+$B$31-1),0,(I435+C435)/(1+$B$9))</x:f>
        <x:v>0</x:v>
      </x:c>
      <x:c r="J434" s="140" t="str">
        <x:f>IF($B$22&lt;&gt;"Sim","Desativada",IF(A434&lt;$B$23,"Antes da compra",IF(A434&lt;$B$23+$B$31,"Parcelas restantes","Encerrado")))</x:f>
        <x:v>Encerrado</x:v>
      </x:c>
      <x:c r="K434" s="141" t="n">
        <x:f>IF(C434&gt;0,C434/(1+$B$9)^A434,0)</x:f>
        <x:v>0</x:v>
      </x:c>
    </x:row>
    <x:row r="435">
      <x:c r="A435" s="142" t="n">
        <x:v>381</x:v>
      </x:c>
      <x:c r="B435" s="179" t="n">
        <x:f>EDATE($B$5,A435-1)</x:f>
        <x:v>58107</x:v>
      </x:c>
      <x:c r="C435" s="141" t="n">
        <x:f>IF(AND($B$22="Sim",A435&gt;=$B$23,A435&lt;$B$23+$B$31),$B$32*D435,0)</x:f>
        <x:v>0</x:v>
      </x:c>
      <x:c r="D435" s="180" t="n">
        <x:f>IF(A435&lt;$B$23,1,(1+$B$33)^INT((A435-$B$23)/12))</x:f>
        <x:v>6.088100643288055</x:v>
      </x:c>
      <x:c r="E435" s="141" t="n">
        <x:f>IF(AND($B$22="Sim",A435=$B$23),$B$37,0)</x:f>
        <x:v>0</x:v>
      </x:c>
      <x:c r="F435" s="141" t="n">
        <x:f>IF(AND($B$22="Sim",A435=$B$24),$B$27,0)</x:f>
        <x:v>0</x:v>
      </x:c>
      <x:c r="G435" s="141" t="n">
        <x:f>IF(AND($B$22="Sim",A435=$B$23),$B$35,0)</x:f>
        <x:v>0</x:v>
      </x:c>
      <x:c r="H435" s="141" t="n">
        <x:f>IF(AND($B$22="Sim",A435=$B$23),$B$36,0)</x:f>
        <x:v>0</x:v>
      </x:c>
      <x:c r="I435" s="141" t="n">
        <x:f>IF(OR($B$22&lt;&gt;"Sim",A435&gt;=$B$23+$B$31-1),0,(I436+C436)/(1+$B$9))</x:f>
        <x:v>0</x:v>
      </x:c>
      <x:c r="J435" s="140" t="str">
        <x:f>IF($B$22&lt;&gt;"Sim","Desativada",IF(A435&lt;$B$23,"Antes da compra",IF(A435&lt;$B$23+$B$31,"Parcelas restantes","Encerrado")))</x:f>
        <x:v>Encerrado</x:v>
      </x:c>
      <x:c r="K435" s="141" t="n">
        <x:f>IF(C435&gt;0,C435/(1+$B$9)^A435,0)</x:f>
        <x:v>0</x:v>
      </x:c>
    </x:row>
    <x:row r="436">
      <x:c r="A436" s="142" t="n">
        <x:v>382</x:v>
      </x:c>
      <x:c r="B436" s="179" t="n">
        <x:f>EDATE($B$5,A436-1)</x:f>
        <x:v>58135</x:v>
      </x:c>
      <x:c r="C436" s="141" t="n">
        <x:f>IF(AND($B$22="Sim",A436&gt;=$B$23,A436&lt;$B$23+$B$31),$B$32*D436,0)</x:f>
        <x:v>0</x:v>
      </x:c>
      <x:c r="D436" s="180" t="n">
        <x:f>IF(A436&lt;$B$23,1,(1+$B$33)^INT((A436-$B$23)/12))</x:f>
        <x:v>6.088100643288055</x:v>
      </x:c>
      <x:c r="E436" s="141" t="n">
        <x:f>IF(AND($B$22="Sim",A436=$B$23),$B$37,0)</x:f>
        <x:v>0</x:v>
      </x:c>
      <x:c r="F436" s="141" t="n">
        <x:f>IF(AND($B$22="Sim",A436=$B$24),$B$27,0)</x:f>
        <x:v>0</x:v>
      </x:c>
      <x:c r="G436" s="141" t="n">
        <x:f>IF(AND($B$22="Sim",A436=$B$23),$B$35,0)</x:f>
        <x:v>0</x:v>
      </x:c>
      <x:c r="H436" s="141" t="n">
        <x:f>IF(AND($B$22="Sim",A436=$B$23),$B$36,0)</x:f>
        <x:v>0</x:v>
      </x:c>
      <x:c r="I436" s="141" t="n">
        <x:f>IF(OR($B$22&lt;&gt;"Sim",A436&gt;=$B$23+$B$31-1),0,(I437+C437)/(1+$B$9))</x:f>
        <x:v>0</x:v>
      </x:c>
      <x:c r="J436" s="140" t="str">
        <x:f>IF($B$22&lt;&gt;"Sim","Desativada",IF(A436&lt;$B$23,"Antes da compra",IF(A436&lt;$B$23+$B$31,"Parcelas restantes","Encerrado")))</x:f>
        <x:v>Encerrado</x:v>
      </x:c>
      <x:c r="K436" s="141" t="n">
        <x:f>IF(C436&gt;0,C436/(1+$B$9)^A436,0)</x:f>
        <x:v>0</x:v>
      </x:c>
    </x:row>
    <x:row r="437">
      <x:c r="A437" s="142" t="n">
        <x:v>383</x:v>
      </x:c>
      <x:c r="B437" s="179" t="n">
        <x:f>EDATE($B$5,A437-1)</x:f>
        <x:v>58166</x:v>
      </x:c>
      <x:c r="C437" s="141" t="n">
        <x:f>IF(AND($B$22="Sim",A437&gt;=$B$23,A437&lt;$B$23+$B$31),$B$32*D437,0)</x:f>
        <x:v>0</x:v>
      </x:c>
      <x:c r="D437" s="180" t="n">
        <x:f>IF(A437&lt;$B$23,1,(1+$B$33)^INT((A437-$B$23)/12))</x:f>
        <x:v>6.088100643288055</x:v>
      </x:c>
      <x:c r="E437" s="141" t="n">
        <x:f>IF(AND($B$22="Sim",A437=$B$23),$B$37,0)</x:f>
        <x:v>0</x:v>
      </x:c>
      <x:c r="F437" s="141" t="n">
        <x:f>IF(AND($B$22="Sim",A437=$B$24),$B$27,0)</x:f>
        <x:v>0</x:v>
      </x:c>
      <x:c r="G437" s="141" t="n">
        <x:f>IF(AND($B$22="Sim",A437=$B$23),$B$35,0)</x:f>
        <x:v>0</x:v>
      </x:c>
      <x:c r="H437" s="141" t="n">
        <x:f>IF(AND($B$22="Sim",A437=$B$23),$B$36,0)</x:f>
        <x:v>0</x:v>
      </x:c>
      <x:c r="I437" s="141" t="n">
        <x:f>IF(OR($B$22&lt;&gt;"Sim",A437&gt;=$B$23+$B$31-1),0,(I438+C438)/(1+$B$9))</x:f>
        <x:v>0</x:v>
      </x:c>
      <x:c r="J437" s="140" t="str">
        <x:f>IF($B$22&lt;&gt;"Sim","Desativada",IF(A437&lt;$B$23,"Antes da compra",IF(A437&lt;$B$23+$B$31,"Parcelas restantes","Encerrado")))</x:f>
        <x:v>Encerrado</x:v>
      </x:c>
      <x:c r="K437" s="141" t="n">
        <x:f>IF(C437&gt;0,C437/(1+$B$9)^A437,0)</x:f>
        <x:v>0</x:v>
      </x:c>
    </x:row>
    <x:row r="438">
      <x:c r="A438" s="142" t="n">
        <x:v>384</x:v>
      </x:c>
      <x:c r="B438" s="179" t="n">
        <x:f>EDATE($B$5,A438-1)</x:f>
        <x:v>58196</x:v>
      </x:c>
      <x:c r="C438" s="141" t="n">
        <x:f>IF(AND($B$22="Sim",A438&gt;=$B$23,A438&lt;$B$23+$B$31),$B$32*D438,0)</x:f>
        <x:v>0</x:v>
      </x:c>
      <x:c r="D438" s="180" t="n">
        <x:f>IF(A438&lt;$B$23,1,(1+$B$33)^INT((A438-$B$23)/12))</x:f>
        <x:v>6.088100643288055</x:v>
      </x:c>
      <x:c r="E438" s="141" t="n">
        <x:f>IF(AND($B$22="Sim",A438=$B$23),$B$37,0)</x:f>
        <x:v>0</x:v>
      </x:c>
      <x:c r="F438" s="141" t="n">
        <x:f>IF(AND($B$22="Sim",A438=$B$24),$B$27,0)</x:f>
        <x:v>0</x:v>
      </x:c>
      <x:c r="G438" s="141" t="n">
        <x:f>IF(AND($B$22="Sim",A438=$B$23),$B$35,0)</x:f>
        <x:v>0</x:v>
      </x:c>
      <x:c r="H438" s="141" t="n">
        <x:f>IF(AND($B$22="Sim",A438=$B$23),$B$36,0)</x:f>
        <x:v>0</x:v>
      </x:c>
      <x:c r="I438" s="141" t="n">
        <x:f>IF(OR($B$22&lt;&gt;"Sim",A438&gt;=$B$23+$B$31-1),0,(I439+C439)/(1+$B$9))</x:f>
        <x:v>0</x:v>
      </x:c>
      <x:c r="J438" s="140" t="str">
        <x:f>IF($B$22&lt;&gt;"Sim","Desativada",IF(A438&lt;$B$23,"Antes da compra",IF(A438&lt;$B$23+$B$31,"Parcelas restantes","Encerrado")))</x:f>
        <x:v>Encerrado</x:v>
      </x:c>
      <x:c r="K438" s="141" t="n">
        <x:f>IF(C438&gt;0,C438/(1+$B$9)^A438,0)</x:f>
        <x:v>0</x:v>
      </x:c>
    </x:row>
    <x:row r="439">
      <x:c r="A439" s="142" t="n">
        <x:v>385</x:v>
      </x:c>
      <x:c r="B439" s="179" t="n">
        <x:f>EDATE($B$5,A439-1)</x:f>
        <x:v>58227</x:v>
      </x:c>
      <x:c r="C439" s="141" t="n">
        <x:f>IF(AND($B$22="Sim",A439&gt;=$B$23,A439&lt;$B$23+$B$31),$B$32*D439,0)</x:f>
        <x:v>0</x:v>
      </x:c>
      <x:c r="D439" s="180" t="n">
        <x:f>IF(A439&lt;$B$23,1,(1+$B$33)^INT((A439-$B$23)/12))</x:f>
        <x:v>6.4533866818853385</x:v>
      </x:c>
      <x:c r="E439" s="141" t="n">
        <x:f>IF(AND($B$22="Sim",A439=$B$23),$B$37,0)</x:f>
        <x:v>0</x:v>
      </x:c>
      <x:c r="F439" s="141" t="n">
        <x:f>IF(AND($B$22="Sim",A439=$B$24),$B$27,0)</x:f>
        <x:v>0</x:v>
      </x:c>
      <x:c r="G439" s="141" t="n">
        <x:f>IF(AND($B$22="Sim",A439=$B$23),$B$35,0)</x:f>
        <x:v>0</x:v>
      </x:c>
      <x:c r="H439" s="141" t="n">
        <x:f>IF(AND($B$22="Sim",A439=$B$23),$B$36,0)</x:f>
        <x:v>0</x:v>
      </x:c>
      <x:c r="I439" s="141" t="n">
        <x:f>IF(OR($B$22&lt;&gt;"Sim",A439&gt;=$B$23+$B$31-1),0,(I440+C440)/(1+$B$9))</x:f>
        <x:v>0</x:v>
      </x:c>
      <x:c r="J439" s="140" t="str">
        <x:f>IF($B$22&lt;&gt;"Sim","Desativada",IF(A439&lt;$B$23,"Antes da compra",IF(A439&lt;$B$23+$B$31,"Parcelas restantes","Encerrado")))</x:f>
        <x:v>Encerrado</x:v>
      </x:c>
      <x:c r="K439" s="141" t="n">
        <x:f>IF(C439&gt;0,C439/(1+$B$9)^A439,0)</x:f>
        <x:v>0</x:v>
      </x:c>
    </x:row>
    <x:row r="440">
      <x:c r="A440" s="142" t="n">
        <x:v>386</x:v>
      </x:c>
      <x:c r="B440" s="179" t="n">
        <x:f>EDATE($B$5,A440-1)</x:f>
        <x:v>58257</x:v>
      </x:c>
      <x:c r="C440" s="141" t="n">
        <x:f>IF(AND($B$22="Sim",A440&gt;=$B$23,A440&lt;$B$23+$B$31),$B$32*D440,0)</x:f>
        <x:v>0</x:v>
      </x:c>
      <x:c r="D440" s="180" t="n">
        <x:f>IF(A440&lt;$B$23,1,(1+$B$33)^INT((A440-$B$23)/12))</x:f>
        <x:v>6.4533866818853385</x:v>
      </x:c>
      <x:c r="E440" s="141" t="n">
        <x:f>IF(AND($B$22="Sim",A440=$B$23),$B$37,0)</x:f>
        <x:v>0</x:v>
      </x:c>
      <x:c r="F440" s="141" t="n">
        <x:f>IF(AND($B$22="Sim",A440=$B$24),$B$27,0)</x:f>
        <x:v>0</x:v>
      </x:c>
      <x:c r="G440" s="141" t="n">
        <x:f>IF(AND($B$22="Sim",A440=$B$23),$B$35,0)</x:f>
        <x:v>0</x:v>
      </x:c>
      <x:c r="H440" s="141" t="n">
        <x:f>IF(AND($B$22="Sim",A440=$B$23),$B$36,0)</x:f>
        <x:v>0</x:v>
      </x:c>
      <x:c r="I440" s="141" t="n">
        <x:f>IF(OR($B$22&lt;&gt;"Sim",A440&gt;=$B$23+$B$31-1),0,(I441+C441)/(1+$B$9))</x:f>
        <x:v>0</x:v>
      </x:c>
      <x:c r="J440" s="140" t="str">
        <x:f>IF($B$22&lt;&gt;"Sim","Desativada",IF(A440&lt;$B$23,"Antes da compra",IF(A440&lt;$B$23+$B$31,"Parcelas restantes","Encerrado")))</x:f>
        <x:v>Encerrado</x:v>
      </x:c>
      <x:c r="K440" s="141" t="n">
        <x:f>IF(C440&gt;0,C440/(1+$B$9)^A440,0)</x:f>
        <x:v>0</x:v>
      </x:c>
    </x:row>
    <x:row r="441">
      <x:c r="A441" s="142" t="n">
        <x:v>387</x:v>
      </x:c>
      <x:c r="B441" s="179" t="n">
        <x:f>EDATE($B$5,A441-1)</x:f>
        <x:v>58288</x:v>
      </x:c>
      <x:c r="C441" s="141" t="n">
        <x:f>IF(AND($B$22="Sim",A441&gt;=$B$23,A441&lt;$B$23+$B$31),$B$32*D441,0)</x:f>
        <x:v>0</x:v>
      </x:c>
      <x:c r="D441" s="180" t="n">
        <x:f>IF(A441&lt;$B$23,1,(1+$B$33)^INT((A441-$B$23)/12))</x:f>
        <x:v>6.4533866818853385</x:v>
      </x:c>
      <x:c r="E441" s="141" t="n">
        <x:f>IF(AND($B$22="Sim",A441=$B$23),$B$37,0)</x:f>
        <x:v>0</x:v>
      </x:c>
      <x:c r="F441" s="141" t="n">
        <x:f>IF(AND($B$22="Sim",A441=$B$24),$B$27,0)</x:f>
        <x:v>0</x:v>
      </x:c>
      <x:c r="G441" s="141" t="n">
        <x:f>IF(AND($B$22="Sim",A441=$B$23),$B$35,0)</x:f>
        <x:v>0</x:v>
      </x:c>
      <x:c r="H441" s="141" t="n">
        <x:f>IF(AND($B$22="Sim",A441=$B$23),$B$36,0)</x:f>
        <x:v>0</x:v>
      </x:c>
      <x:c r="I441" s="141" t="n">
        <x:f>IF(OR($B$22&lt;&gt;"Sim",A441&gt;=$B$23+$B$31-1),0,(I442+C442)/(1+$B$9))</x:f>
        <x:v>0</x:v>
      </x:c>
      <x:c r="J441" s="140" t="str">
        <x:f>IF($B$22&lt;&gt;"Sim","Desativada",IF(A441&lt;$B$23,"Antes da compra",IF(A441&lt;$B$23+$B$31,"Parcelas restantes","Encerrado")))</x:f>
        <x:v>Encerrado</x:v>
      </x:c>
      <x:c r="K441" s="141" t="n">
        <x:f>IF(C441&gt;0,C441/(1+$B$9)^A441,0)</x:f>
        <x:v>0</x:v>
      </x:c>
    </x:row>
    <x:row r="442">
      <x:c r="A442" s="142" t="n">
        <x:v>388</x:v>
      </x:c>
      <x:c r="B442" s="179" t="n">
        <x:f>EDATE($B$5,A442-1)</x:f>
        <x:v>58319</x:v>
      </x:c>
      <x:c r="C442" s="141" t="n">
        <x:f>IF(AND($B$22="Sim",A442&gt;=$B$23,A442&lt;$B$23+$B$31),$B$32*D442,0)</x:f>
        <x:v>0</x:v>
      </x:c>
      <x:c r="D442" s="180" t="n">
        <x:f>IF(A442&lt;$B$23,1,(1+$B$33)^INT((A442-$B$23)/12))</x:f>
        <x:v>6.4533866818853385</x:v>
      </x:c>
      <x:c r="E442" s="141" t="n">
        <x:f>IF(AND($B$22="Sim",A442=$B$23),$B$37,0)</x:f>
        <x:v>0</x:v>
      </x:c>
      <x:c r="F442" s="141" t="n">
        <x:f>IF(AND($B$22="Sim",A442=$B$24),$B$27,0)</x:f>
        <x:v>0</x:v>
      </x:c>
      <x:c r="G442" s="141" t="n">
        <x:f>IF(AND($B$22="Sim",A442=$B$23),$B$35,0)</x:f>
        <x:v>0</x:v>
      </x:c>
      <x:c r="H442" s="141" t="n">
        <x:f>IF(AND($B$22="Sim",A442=$B$23),$B$36,0)</x:f>
        <x:v>0</x:v>
      </x:c>
      <x:c r="I442" s="141" t="n">
        <x:f>IF(OR($B$22&lt;&gt;"Sim",A442&gt;=$B$23+$B$31-1),0,(I443+C443)/(1+$B$9))</x:f>
        <x:v>0</x:v>
      </x:c>
      <x:c r="J442" s="140" t="str">
        <x:f>IF($B$22&lt;&gt;"Sim","Desativada",IF(A442&lt;$B$23,"Antes da compra",IF(A442&lt;$B$23+$B$31,"Parcelas restantes","Encerrado")))</x:f>
        <x:v>Encerrado</x:v>
      </x:c>
      <x:c r="K442" s="141" t="n">
        <x:f>IF(C442&gt;0,C442/(1+$B$9)^A442,0)</x:f>
        <x:v>0</x:v>
      </x:c>
    </x:row>
    <x:row r="443">
      <x:c r="A443" s="142" t="n">
        <x:v>389</x:v>
      </x:c>
      <x:c r="B443" s="179" t="n">
        <x:f>EDATE($B$5,A443-1)</x:f>
        <x:v>58349</x:v>
      </x:c>
      <x:c r="C443" s="141" t="n">
        <x:f>IF(AND($B$22="Sim",A443&gt;=$B$23,A443&lt;$B$23+$B$31),$B$32*D443,0)</x:f>
        <x:v>0</x:v>
      </x:c>
      <x:c r="D443" s="180" t="n">
        <x:f>IF(A443&lt;$B$23,1,(1+$B$33)^INT((A443-$B$23)/12))</x:f>
        <x:v>6.4533866818853385</x:v>
      </x:c>
      <x:c r="E443" s="141" t="n">
        <x:f>IF(AND($B$22="Sim",A443=$B$23),$B$37,0)</x:f>
        <x:v>0</x:v>
      </x:c>
      <x:c r="F443" s="141" t="n">
        <x:f>IF(AND($B$22="Sim",A443=$B$24),$B$27,0)</x:f>
        <x:v>0</x:v>
      </x:c>
      <x:c r="G443" s="141" t="n">
        <x:f>IF(AND($B$22="Sim",A443=$B$23),$B$35,0)</x:f>
        <x:v>0</x:v>
      </x:c>
      <x:c r="H443" s="141" t="n">
        <x:f>IF(AND($B$22="Sim",A443=$B$23),$B$36,0)</x:f>
        <x:v>0</x:v>
      </x:c>
      <x:c r="I443" s="141" t="n">
        <x:f>IF(OR($B$22&lt;&gt;"Sim",A443&gt;=$B$23+$B$31-1),0,(I444+C444)/(1+$B$9))</x:f>
        <x:v>0</x:v>
      </x:c>
      <x:c r="J443" s="140" t="str">
        <x:f>IF($B$22&lt;&gt;"Sim","Desativada",IF(A443&lt;$B$23,"Antes da compra",IF(A443&lt;$B$23+$B$31,"Parcelas restantes","Encerrado")))</x:f>
        <x:v>Encerrado</x:v>
      </x:c>
      <x:c r="K443" s="141" t="n">
        <x:f>IF(C443&gt;0,C443/(1+$B$9)^A443,0)</x:f>
        <x:v>0</x:v>
      </x:c>
    </x:row>
    <x:row r="444">
      <x:c r="A444" s="142" t="n">
        <x:v>390</x:v>
      </x:c>
      <x:c r="B444" s="179" t="n">
        <x:f>EDATE($B$5,A444-1)</x:f>
        <x:v>58380</x:v>
      </x:c>
      <x:c r="C444" s="141" t="n">
        <x:f>IF(AND($B$22="Sim",A444&gt;=$B$23,A444&lt;$B$23+$B$31),$B$32*D444,0)</x:f>
        <x:v>0</x:v>
      </x:c>
      <x:c r="D444" s="180" t="n">
        <x:f>IF(A444&lt;$B$23,1,(1+$B$33)^INT((A444-$B$23)/12))</x:f>
        <x:v>6.4533866818853385</x:v>
      </x:c>
      <x:c r="E444" s="141" t="n">
        <x:f>IF(AND($B$22="Sim",A444=$B$23),$B$37,0)</x:f>
        <x:v>0</x:v>
      </x:c>
      <x:c r="F444" s="141" t="n">
        <x:f>IF(AND($B$22="Sim",A444=$B$24),$B$27,0)</x:f>
        <x:v>0</x:v>
      </x:c>
      <x:c r="G444" s="141" t="n">
        <x:f>IF(AND($B$22="Sim",A444=$B$23),$B$35,0)</x:f>
        <x:v>0</x:v>
      </x:c>
      <x:c r="H444" s="141" t="n">
        <x:f>IF(AND($B$22="Sim",A444=$B$23),$B$36,0)</x:f>
        <x:v>0</x:v>
      </x:c>
      <x:c r="I444" s="141" t="n">
        <x:f>IF(OR($B$22&lt;&gt;"Sim",A444&gt;=$B$23+$B$31-1),0,(I445+C445)/(1+$B$9))</x:f>
        <x:v>0</x:v>
      </x:c>
      <x:c r="J444" s="140" t="str">
        <x:f>IF($B$22&lt;&gt;"Sim","Desativada",IF(A444&lt;$B$23,"Antes da compra",IF(A444&lt;$B$23+$B$31,"Parcelas restantes","Encerrado")))</x:f>
        <x:v>Encerrado</x:v>
      </x:c>
      <x:c r="K444" s="141" t="n">
        <x:f>IF(C444&gt;0,C444/(1+$B$9)^A444,0)</x:f>
        <x:v>0</x:v>
      </x:c>
    </x:row>
    <x:row r="445">
      <x:c r="A445" s="142" t="n">
        <x:v>391</x:v>
      </x:c>
      <x:c r="B445" s="179" t="n">
        <x:f>EDATE($B$5,A445-1)</x:f>
        <x:v>58410</x:v>
      </x:c>
      <x:c r="C445" s="141" t="n">
        <x:f>IF(AND($B$22="Sim",A445&gt;=$B$23,A445&lt;$B$23+$B$31),$B$32*D445,0)</x:f>
        <x:v>0</x:v>
      </x:c>
      <x:c r="D445" s="180" t="n">
        <x:f>IF(A445&lt;$B$23,1,(1+$B$33)^INT((A445-$B$23)/12))</x:f>
        <x:v>6.4533866818853385</x:v>
      </x:c>
      <x:c r="E445" s="141" t="n">
        <x:f>IF(AND($B$22="Sim",A445=$B$23),$B$37,0)</x:f>
        <x:v>0</x:v>
      </x:c>
      <x:c r="F445" s="141" t="n">
        <x:f>IF(AND($B$22="Sim",A445=$B$24),$B$27,0)</x:f>
        <x:v>0</x:v>
      </x:c>
      <x:c r="G445" s="141" t="n">
        <x:f>IF(AND($B$22="Sim",A445=$B$23),$B$35,0)</x:f>
        <x:v>0</x:v>
      </x:c>
      <x:c r="H445" s="141" t="n">
        <x:f>IF(AND($B$22="Sim",A445=$B$23),$B$36,0)</x:f>
        <x:v>0</x:v>
      </x:c>
      <x:c r="I445" s="141" t="n">
        <x:f>IF(OR($B$22&lt;&gt;"Sim",A445&gt;=$B$23+$B$31-1),0,(I446+C446)/(1+$B$9))</x:f>
        <x:v>0</x:v>
      </x:c>
      <x:c r="J445" s="140" t="str">
        <x:f>IF($B$22&lt;&gt;"Sim","Desativada",IF(A445&lt;$B$23,"Antes da compra",IF(A445&lt;$B$23+$B$31,"Parcelas restantes","Encerrado")))</x:f>
        <x:v>Encerrado</x:v>
      </x:c>
      <x:c r="K445" s="141" t="n">
        <x:f>IF(C445&gt;0,C445/(1+$B$9)^A445,0)</x:f>
        <x:v>0</x:v>
      </x:c>
    </x:row>
    <x:row r="446">
      <x:c r="A446" s="142" t="n">
        <x:v>392</x:v>
      </x:c>
      <x:c r="B446" s="179" t="n">
        <x:f>EDATE($B$5,A446-1)</x:f>
        <x:v>58441</x:v>
      </x:c>
      <x:c r="C446" s="141" t="n">
        <x:f>IF(AND($B$22="Sim",A446&gt;=$B$23,A446&lt;$B$23+$B$31),$B$32*D446,0)</x:f>
        <x:v>0</x:v>
      </x:c>
      <x:c r="D446" s="180" t="n">
        <x:f>IF(A446&lt;$B$23,1,(1+$B$33)^INT((A446-$B$23)/12))</x:f>
        <x:v>6.4533866818853385</x:v>
      </x:c>
      <x:c r="E446" s="141" t="n">
        <x:f>IF(AND($B$22="Sim",A446=$B$23),$B$37,0)</x:f>
        <x:v>0</x:v>
      </x:c>
      <x:c r="F446" s="141" t="n">
        <x:f>IF(AND($B$22="Sim",A446=$B$24),$B$27,0)</x:f>
        <x:v>0</x:v>
      </x:c>
      <x:c r="G446" s="141" t="n">
        <x:f>IF(AND($B$22="Sim",A446=$B$23),$B$35,0)</x:f>
        <x:v>0</x:v>
      </x:c>
      <x:c r="H446" s="141" t="n">
        <x:f>IF(AND($B$22="Sim",A446=$B$23),$B$36,0)</x:f>
        <x:v>0</x:v>
      </x:c>
      <x:c r="I446" s="141" t="n">
        <x:f>IF(OR($B$22&lt;&gt;"Sim",A446&gt;=$B$23+$B$31-1),0,(I447+C447)/(1+$B$9))</x:f>
        <x:v>0</x:v>
      </x:c>
      <x:c r="J446" s="140" t="str">
        <x:f>IF($B$22&lt;&gt;"Sim","Desativada",IF(A446&lt;$B$23,"Antes da compra",IF(A446&lt;$B$23+$B$31,"Parcelas restantes","Encerrado")))</x:f>
        <x:v>Encerrado</x:v>
      </x:c>
      <x:c r="K446" s="141" t="n">
        <x:f>IF(C446&gt;0,C446/(1+$B$9)^A446,0)</x:f>
        <x:v>0</x:v>
      </x:c>
    </x:row>
    <x:row r="447">
      <x:c r="A447" s="142" t="n">
        <x:v>393</x:v>
      </x:c>
      <x:c r="B447" s="179" t="n">
        <x:f>EDATE($B$5,A447-1)</x:f>
        <x:v>58472</x:v>
      </x:c>
      <x:c r="C447" s="141" t="n">
        <x:f>IF(AND($B$22="Sim",A447&gt;=$B$23,A447&lt;$B$23+$B$31),$B$32*D447,0)</x:f>
        <x:v>0</x:v>
      </x:c>
      <x:c r="D447" s="180" t="n">
        <x:f>IF(A447&lt;$B$23,1,(1+$B$33)^INT((A447-$B$23)/12))</x:f>
        <x:v>6.4533866818853385</x:v>
      </x:c>
      <x:c r="E447" s="141" t="n">
        <x:f>IF(AND($B$22="Sim",A447=$B$23),$B$37,0)</x:f>
        <x:v>0</x:v>
      </x:c>
      <x:c r="F447" s="141" t="n">
        <x:f>IF(AND($B$22="Sim",A447=$B$24),$B$27,0)</x:f>
        <x:v>0</x:v>
      </x:c>
      <x:c r="G447" s="141" t="n">
        <x:f>IF(AND($B$22="Sim",A447=$B$23),$B$35,0)</x:f>
        <x:v>0</x:v>
      </x:c>
      <x:c r="H447" s="141" t="n">
        <x:f>IF(AND($B$22="Sim",A447=$B$23),$B$36,0)</x:f>
        <x:v>0</x:v>
      </x:c>
      <x:c r="I447" s="141" t="n">
        <x:f>IF(OR($B$22&lt;&gt;"Sim",A447&gt;=$B$23+$B$31-1),0,(I448+C448)/(1+$B$9))</x:f>
        <x:v>0</x:v>
      </x:c>
      <x:c r="J447" s="140" t="str">
        <x:f>IF($B$22&lt;&gt;"Sim","Desativada",IF(A447&lt;$B$23,"Antes da compra",IF(A447&lt;$B$23+$B$31,"Parcelas restantes","Encerrado")))</x:f>
        <x:v>Encerrado</x:v>
      </x:c>
      <x:c r="K447" s="141" t="n">
        <x:f>IF(C447&gt;0,C447/(1+$B$9)^A447,0)</x:f>
        <x:v>0</x:v>
      </x:c>
    </x:row>
    <x:row r="448">
      <x:c r="A448" s="142" t="n">
        <x:v>394</x:v>
      </x:c>
      <x:c r="B448" s="179" t="n">
        <x:f>EDATE($B$5,A448-1)</x:f>
        <x:v>58501</x:v>
      </x:c>
      <x:c r="C448" s="141" t="n">
        <x:f>IF(AND($B$22="Sim",A448&gt;=$B$23,A448&lt;$B$23+$B$31),$B$32*D448,0)</x:f>
        <x:v>0</x:v>
      </x:c>
      <x:c r="D448" s="180" t="n">
        <x:f>IF(A448&lt;$B$23,1,(1+$B$33)^INT((A448-$B$23)/12))</x:f>
        <x:v>6.4533866818853385</x:v>
      </x:c>
      <x:c r="E448" s="141" t="n">
        <x:f>IF(AND($B$22="Sim",A448=$B$23),$B$37,0)</x:f>
        <x:v>0</x:v>
      </x:c>
      <x:c r="F448" s="141" t="n">
        <x:f>IF(AND($B$22="Sim",A448=$B$24),$B$27,0)</x:f>
        <x:v>0</x:v>
      </x:c>
      <x:c r="G448" s="141" t="n">
        <x:f>IF(AND($B$22="Sim",A448=$B$23),$B$35,0)</x:f>
        <x:v>0</x:v>
      </x:c>
      <x:c r="H448" s="141" t="n">
        <x:f>IF(AND($B$22="Sim",A448=$B$23),$B$36,0)</x:f>
        <x:v>0</x:v>
      </x:c>
      <x:c r="I448" s="141" t="n">
        <x:f>IF(OR($B$22&lt;&gt;"Sim",A448&gt;=$B$23+$B$31-1),0,(I449+C449)/(1+$B$9))</x:f>
        <x:v>0</x:v>
      </x:c>
      <x:c r="J448" s="140" t="str">
        <x:f>IF($B$22&lt;&gt;"Sim","Desativada",IF(A448&lt;$B$23,"Antes da compra",IF(A448&lt;$B$23+$B$31,"Parcelas restantes","Encerrado")))</x:f>
        <x:v>Encerrado</x:v>
      </x:c>
      <x:c r="K448" s="141" t="n">
        <x:f>IF(C448&gt;0,C448/(1+$B$9)^A448,0)</x:f>
        <x:v>0</x:v>
      </x:c>
    </x:row>
    <x:row r="449">
      <x:c r="A449" s="142" t="n">
        <x:v>395</x:v>
      </x:c>
      <x:c r="B449" s="179" t="n">
        <x:f>EDATE($B$5,A449-1)</x:f>
        <x:v>58532</x:v>
      </x:c>
      <x:c r="C449" s="141" t="n">
        <x:f>IF(AND($B$22="Sim",A449&gt;=$B$23,A449&lt;$B$23+$B$31),$B$32*D449,0)</x:f>
        <x:v>0</x:v>
      </x:c>
      <x:c r="D449" s="180" t="n">
        <x:f>IF(A449&lt;$B$23,1,(1+$B$33)^INT((A449-$B$23)/12))</x:f>
        <x:v>6.4533866818853385</x:v>
      </x:c>
      <x:c r="E449" s="141" t="n">
        <x:f>IF(AND($B$22="Sim",A449=$B$23),$B$37,0)</x:f>
        <x:v>0</x:v>
      </x:c>
      <x:c r="F449" s="141" t="n">
        <x:f>IF(AND($B$22="Sim",A449=$B$24),$B$27,0)</x:f>
        <x:v>0</x:v>
      </x:c>
      <x:c r="G449" s="141" t="n">
        <x:f>IF(AND($B$22="Sim",A449=$B$23),$B$35,0)</x:f>
        <x:v>0</x:v>
      </x:c>
      <x:c r="H449" s="141" t="n">
        <x:f>IF(AND($B$22="Sim",A449=$B$23),$B$36,0)</x:f>
        <x:v>0</x:v>
      </x:c>
      <x:c r="I449" s="141" t="n">
        <x:f>IF(OR($B$22&lt;&gt;"Sim",A449&gt;=$B$23+$B$31-1),0,(I450+C450)/(1+$B$9))</x:f>
        <x:v>0</x:v>
      </x:c>
      <x:c r="J449" s="140" t="str">
        <x:f>IF($B$22&lt;&gt;"Sim","Desativada",IF(A449&lt;$B$23,"Antes da compra",IF(A449&lt;$B$23+$B$31,"Parcelas restantes","Encerrado")))</x:f>
        <x:v>Encerrado</x:v>
      </x:c>
      <x:c r="K449" s="141" t="n">
        <x:f>IF(C449&gt;0,C449/(1+$B$9)^A449,0)</x:f>
        <x:v>0</x:v>
      </x:c>
    </x:row>
    <x:row r="450">
      <x:c r="A450" s="142" t="n">
        <x:v>396</x:v>
      </x:c>
      <x:c r="B450" s="179" t="n">
        <x:f>EDATE($B$5,A450-1)</x:f>
        <x:v>58562</x:v>
      </x:c>
      <x:c r="C450" s="141" t="n">
        <x:f>IF(AND($B$22="Sim",A450&gt;=$B$23,A450&lt;$B$23+$B$31),$B$32*D450,0)</x:f>
        <x:v>0</x:v>
      </x:c>
      <x:c r="D450" s="180" t="n">
        <x:f>IF(A450&lt;$B$23,1,(1+$B$33)^INT((A450-$B$23)/12))</x:f>
        <x:v>6.4533866818853385</x:v>
      </x:c>
      <x:c r="E450" s="141" t="n">
        <x:f>IF(AND($B$22="Sim",A450=$B$23),$B$37,0)</x:f>
        <x:v>0</x:v>
      </x:c>
      <x:c r="F450" s="141" t="n">
        <x:f>IF(AND($B$22="Sim",A450=$B$24),$B$27,0)</x:f>
        <x:v>0</x:v>
      </x:c>
      <x:c r="G450" s="141" t="n">
        <x:f>IF(AND($B$22="Sim",A450=$B$23),$B$35,0)</x:f>
        <x:v>0</x:v>
      </x:c>
      <x:c r="H450" s="141" t="n">
        <x:f>IF(AND($B$22="Sim",A450=$B$23),$B$36,0)</x:f>
        <x:v>0</x:v>
      </x:c>
      <x:c r="I450" s="141" t="n">
        <x:f>IF(OR($B$22&lt;&gt;"Sim",A450&gt;=$B$23+$B$31-1),0,(I451+C451)/(1+$B$9))</x:f>
        <x:v>0</x:v>
      </x:c>
      <x:c r="J450" s="140" t="str">
        <x:f>IF($B$22&lt;&gt;"Sim","Desativada",IF(A450&lt;$B$23,"Antes da compra",IF(A450&lt;$B$23+$B$31,"Parcelas restantes","Encerrado")))</x:f>
        <x:v>Encerrado</x:v>
      </x:c>
      <x:c r="K450" s="141" t="n">
        <x:f>IF(C450&gt;0,C450/(1+$B$9)^A450,0)</x:f>
        <x:v>0</x:v>
      </x:c>
    </x:row>
    <x:row r="451">
      <x:c r="A451" s="142" t="n">
        <x:v>397</x:v>
      </x:c>
      <x:c r="B451" s="179" t="n">
        <x:f>EDATE($B$5,A451-1)</x:f>
        <x:v>58593</x:v>
      </x:c>
      <x:c r="C451" s="141" t="n">
        <x:f>IF(AND($B$22="Sim",A451&gt;=$B$23,A451&lt;$B$23+$B$31),$B$32*D451,0)</x:f>
        <x:v>0</x:v>
      </x:c>
      <x:c r="D451" s="180" t="n">
        <x:f>IF(A451&lt;$B$23,1,(1+$B$33)^INT((A451-$B$23)/12))</x:f>
        <x:v>6.840589882798459</x:v>
      </x:c>
      <x:c r="E451" s="141" t="n">
        <x:f>IF(AND($B$22="Sim",A451=$B$23),$B$37,0)</x:f>
        <x:v>0</x:v>
      </x:c>
      <x:c r="F451" s="141" t="n">
        <x:f>IF(AND($B$22="Sim",A451=$B$24),$B$27,0)</x:f>
        <x:v>0</x:v>
      </x:c>
      <x:c r="G451" s="141" t="n">
        <x:f>IF(AND($B$22="Sim",A451=$B$23),$B$35,0)</x:f>
        <x:v>0</x:v>
      </x:c>
      <x:c r="H451" s="141" t="n">
        <x:f>IF(AND($B$22="Sim",A451=$B$23),$B$36,0)</x:f>
        <x:v>0</x:v>
      </x:c>
      <x:c r="I451" s="141" t="n">
        <x:f>IF(OR($B$22&lt;&gt;"Sim",A451&gt;=$B$23+$B$31-1),0,(I452+C452)/(1+$B$9))</x:f>
        <x:v>0</x:v>
      </x:c>
      <x:c r="J451" s="140" t="str">
        <x:f>IF($B$22&lt;&gt;"Sim","Desativada",IF(A451&lt;$B$23,"Antes da compra",IF(A451&lt;$B$23+$B$31,"Parcelas restantes","Encerrado")))</x:f>
        <x:v>Encerrado</x:v>
      </x:c>
      <x:c r="K451" s="141" t="n">
        <x:f>IF(C451&gt;0,C451/(1+$B$9)^A451,0)</x:f>
        <x:v>0</x:v>
      </x:c>
    </x:row>
    <x:row r="452">
      <x:c r="A452" s="142" t="n">
        <x:v>398</x:v>
      </x:c>
      <x:c r="B452" s="179" t="n">
        <x:f>EDATE($B$5,A452-1)</x:f>
        <x:v>58623</x:v>
      </x:c>
      <x:c r="C452" s="141" t="n">
        <x:f>IF(AND($B$22="Sim",A452&gt;=$B$23,A452&lt;$B$23+$B$31),$B$32*D452,0)</x:f>
        <x:v>0</x:v>
      </x:c>
      <x:c r="D452" s="180" t="n">
        <x:f>IF(A452&lt;$B$23,1,(1+$B$33)^INT((A452-$B$23)/12))</x:f>
        <x:v>6.840589882798459</x:v>
      </x:c>
      <x:c r="E452" s="141" t="n">
        <x:f>IF(AND($B$22="Sim",A452=$B$23),$B$37,0)</x:f>
        <x:v>0</x:v>
      </x:c>
      <x:c r="F452" s="141" t="n">
        <x:f>IF(AND($B$22="Sim",A452=$B$24),$B$27,0)</x:f>
        <x:v>0</x:v>
      </x:c>
      <x:c r="G452" s="141" t="n">
        <x:f>IF(AND($B$22="Sim",A452=$B$23),$B$35,0)</x:f>
        <x:v>0</x:v>
      </x:c>
      <x:c r="H452" s="141" t="n">
        <x:f>IF(AND($B$22="Sim",A452=$B$23),$B$36,0)</x:f>
        <x:v>0</x:v>
      </x:c>
      <x:c r="I452" s="141" t="n">
        <x:f>IF(OR($B$22&lt;&gt;"Sim",A452&gt;=$B$23+$B$31-1),0,(I453+C453)/(1+$B$9))</x:f>
        <x:v>0</x:v>
      </x:c>
      <x:c r="J452" s="140" t="str">
        <x:f>IF($B$22&lt;&gt;"Sim","Desativada",IF(A452&lt;$B$23,"Antes da compra",IF(A452&lt;$B$23+$B$31,"Parcelas restantes","Encerrado")))</x:f>
        <x:v>Encerrado</x:v>
      </x:c>
      <x:c r="K452" s="141" t="n">
        <x:f>IF(C452&gt;0,C452/(1+$B$9)^A452,0)</x:f>
        <x:v>0</x:v>
      </x:c>
    </x:row>
    <x:row r="453">
      <x:c r="A453" s="142" t="n">
        <x:v>399</x:v>
      </x:c>
      <x:c r="B453" s="179" t="n">
        <x:f>EDATE($B$5,A453-1)</x:f>
        <x:v>58654</x:v>
      </x:c>
      <x:c r="C453" s="141" t="n">
        <x:f>IF(AND($B$22="Sim",A453&gt;=$B$23,A453&lt;$B$23+$B$31),$B$32*D453,0)</x:f>
        <x:v>0</x:v>
      </x:c>
      <x:c r="D453" s="180" t="n">
        <x:f>IF(A453&lt;$B$23,1,(1+$B$33)^INT((A453-$B$23)/12))</x:f>
        <x:v>6.840589882798459</x:v>
      </x:c>
      <x:c r="E453" s="141" t="n">
        <x:f>IF(AND($B$22="Sim",A453=$B$23),$B$37,0)</x:f>
        <x:v>0</x:v>
      </x:c>
      <x:c r="F453" s="141" t="n">
        <x:f>IF(AND($B$22="Sim",A453=$B$24),$B$27,0)</x:f>
        <x:v>0</x:v>
      </x:c>
      <x:c r="G453" s="141" t="n">
        <x:f>IF(AND($B$22="Sim",A453=$B$23),$B$35,0)</x:f>
        <x:v>0</x:v>
      </x:c>
      <x:c r="H453" s="141" t="n">
        <x:f>IF(AND($B$22="Sim",A453=$B$23),$B$36,0)</x:f>
        <x:v>0</x:v>
      </x:c>
      <x:c r="I453" s="141" t="n">
        <x:f>IF(OR($B$22&lt;&gt;"Sim",A453&gt;=$B$23+$B$31-1),0,(I454+C454)/(1+$B$9))</x:f>
        <x:v>0</x:v>
      </x:c>
      <x:c r="J453" s="140" t="str">
        <x:f>IF($B$22&lt;&gt;"Sim","Desativada",IF(A453&lt;$B$23,"Antes da compra",IF(A453&lt;$B$23+$B$31,"Parcelas restantes","Encerrado")))</x:f>
        <x:v>Encerrado</x:v>
      </x:c>
      <x:c r="K453" s="141" t="n">
        <x:f>IF(C453&gt;0,C453/(1+$B$9)^A453,0)</x:f>
        <x:v>0</x:v>
      </x:c>
    </x:row>
    <x:row r="454">
      <x:c r="A454" s="142" t="n">
        <x:v>400</x:v>
      </x:c>
      <x:c r="B454" s="179" t="n">
        <x:f>EDATE($B$5,A454-1)</x:f>
        <x:v>58685</x:v>
      </x:c>
      <x:c r="C454" s="141" t="n">
        <x:f>IF(AND($B$22="Sim",A454&gt;=$B$23,A454&lt;$B$23+$B$31),$B$32*D454,0)</x:f>
        <x:v>0</x:v>
      </x:c>
      <x:c r="D454" s="180" t="n">
        <x:f>IF(A454&lt;$B$23,1,(1+$B$33)^INT((A454-$B$23)/12))</x:f>
        <x:v>6.840589882798459</x:v>
      </x:c>
      <x:c r="E454" s="141" t="n">
        <x:f>IF(AND($B$22="Sim",A454=$B$23),$B$37,0)</x:f>
        <x:v>0</x:v>
      </x:c>
      <x:c r="F454" s="141" t="n">
        <x:f>IF(AND($B$22="Sim",A454=$B$24),$B$27,0)</x:f>
        <x:v>0</x:v>
      </x:c>
      <x:c r="G454" s="141" t="n">
        <x:f>IF(AND($B$22="Sim",A454=$B$23),$B$35,0)</x:f>
        <x:v>0</x:v>
      </x:c>
      <x:c r="H454" s="141" t="n">
        <x:f>IF(AND($B$22="Sim",A454=$B$23),$B$36,0)</x:f>
        <x:v>0</x:v>
      </x:c>
      <x:c r="I454" s="141" t="n">
        <x:f>IF(OR($B$22&lt;&gt;"Sim",A454&gt;=$B$23+$B$31-1),0,(I455+C455)/(1+$B$9))</x:f>
        <x:v>0</x:v>
      </x:c>
      <x:c r="J454" s="140" t="str">
        <x:f>IF($B$22&lt;&gt;"Sim","Desativada",IF(A454&lt;$B$23,"Antes da compra",IF(A454&lt;$B$23+$B$31,"Parcelas restantes","Encerrado")))</x:f>
        <x:v>Encerrado</x:v>
      </x:c>
      <x:c r="K454" s="141" t="n">
        <x:f>IF(C454&gt;0,C454/(1+$B$9)^A454,0)</x:f>
        <x:v>0</x:v>
      </x:c>
    </x:row>
    <x:row r="455">
      <x:c r="A455" s="142" t="n">
        <x:v>401</x:v>
      </x:c>
      <x:c r="B455" s="179" t="n">
        <x:f>EDATE($B$5,A455-1)</x:f>
        <x:v>58715</x:v>
      </x:c>
      <x:c r="C455" s="141" t="n">
        <x:f>IF(AND($B$22="Sim",A455&gt;=$B$23,A455&lt;$B$23+$B$31),$B$32*D455,0)</x:f>
        <x:v>0</x:v>
      </x:c>
      <x:c r="D455" s="180" t="n">
        <x:f>IF(A455&lt;$B$23,1,(1+$B$33)^INT((A455-$B$23)/12))</x:f>
        <x:v>6.840589882798459</x:v>
      </x:c>
      <x:c r="E455" s="141" t="n">
        <x:f>IF(AND($B$22="Sim",A455=$B$23),$B$37,0)</x:f>
        <x:v>0</x:v>
      </x:c>
      <x:c r="F455" s="141" t="n">
        <x:f>IF(AND($B$22="Sim",A455=$B$24),$B$27,0)</x:f>
        <x:v>0</x:v>
      </x:c>
      <x:c r="G455" s="141" t="n">
        <x:f>IF(AND($B$22="Sim",A455=$B$23),$B$35,0)</x:f>
        <x:v>0</x:v>
      </x:c>
      <x:c r="H455" s="141" t="n">
        <x:f>IF(AND($B$22="Sim",A455=$B$23),$B$36,0)</x:f>
        <x:v>0</x:v>
      </x:c>
      <x:c r="I455" s="141" t="n">
        <x:f>IF(OR($B$22&lt;&gt;"Sim",A455&gt;=$B$23+$B$31-1),0,(I456+C456)/(1+$B$9))</x:f>
        <x:v>0</x:v>
      </x:c>
      <x:c r="J455" s="140" t="str">
        <x:f>IF($B$22&lt;&gt;"Sim","Desativada",IF(A455&lt;$B$23,"Antes da compra",IF(A455&lt;$B$23+$B$31,"Parcelas restantes","Encerrado")))</x:f>
        <x:v>Encerrado</x:v>
      </x:c>
      <x:c r="K455" s="141" t="n">
        <x:f>IF(C455&gt;0,C455/(1+$B$9)^A455,0)</x:f>
        <x:v>0</x:v>
      </x:c>
    </x:row>
    <x:row r="456">
      <x:c r="A456" s="142" t="n">
        <x:v>402</x:v>
      </x:c>
      <x:c r="B456" s="179" t="n">
        <x:f>EDATE($B$5,A456-1)</x:f>
        <x:v>58746</x:v>
      </x:c>
      <x:c r="C456" s="141" t="n">
        <x:f>IF(AND($B$22="Sim",A456&gt;=$B$23,A456&lt;$B$23+$B$31),$B$32*D456,0)</x:f>
        <x:v>0</x:v>
      </x:c>
      <x:c r="D456" s="180" t="n">
        <x:f>IF(A456&lt;$B$23,1,(1+$B$33)^INT((A456-$B$23)/12))</x:f>
        <x:v>6.840589882798459</x:v>
      </x:c>
      <x:c r="E456" s="141" t="n">
        <x:f>IF(AND($B$22="Sim",A456=$B$23),$B$37,0)</x:f>
        <x:v>0</x:v>
      </x:c>
      <x:c r="F456" s="141" t="n">
        <x:f>IF(AND($B$22="Sim",A456=$B$24),$B$27,0)</x:f>
        <x:v>0</x:v>
      </x:c>
      <x:c r="G456" s="141" t="n">
        <x:f>IF(AND($B$22="Sim",A456=$B$23),$B$35,0)</x:f>
        <x:v>0</x:v>
      </x:c>
      <x:c r="H456" s="141" t="n">
        <x:f>IF(AND($B$22="Sim",A456=$B$23),$B$36,0)</x:f>
        <x:v>0</x:v>
      </x:c>
      <x:c r="I456" s="141" t="n">
        <x:f>IF(OR($B$22&lt;&gt;"Sim",A456&gt;=$B$23+$B$31-1),0,(I457+C457)/(1+$B$9))</x:f>
        <x:v>0</x:v>
      </x:c>
      <x:c r="J456" s="140" t="str">
        <x:f>IF($B$22&lt;&gt;"Sim","Desativada",IF(A456&lt;$B$23,"Antes da compra",IF(A456&lt;$B$23+$B$31,"Parcelas restantes","Encerrado")))</x:f>
        <x:v>Encerrado</x:v>
      </x:c>
      <x:c r="K456" s="141" t="n">
        <x:f>IF(C456&gt;0,C456/(1+$B$9)^A456,0)</x:f>
        <x:v>0</x:v>
      </x:c>
    </x:row>
    <x:row r="457">
      <x:c r="A457" s="142" t="n">
        <x:v>403</x:v>
      </x:c>
      <x:c r="B457" s="179" t="n">
        <x:f>EDATE($B$5,A457-1)</x:f>
        <x:v>58776</x:v>
      </x:c>
      <x:c r="C457" s="141" t="n">
        <x:f>IF(AND($B$22="Sim",A457&gt;=$B$23,A457&lt;$B$23+$B$31),$B$32*D457,0)</x:f>
        <x:v>0</x:v>
      </x:c>
      <x:c r="D457" s="180" t="n">
        <x:f>IF(A457&lt;$B$23,1,(1+$B$33)^INT((A457-$B$23)/12))</x:f>
        <x:v>6.840589882798459</x:v>
      </x:c>
      <x:c r="E457" s="141" t="n">
        <x:f>IF(AND($B$22="Sim",A457=$B$23),$B$37,0)</x:f>
        <x:v>0</x:v>
      </x:c>
      <x:c r="F457" s="141" t="n">
        <x:f>IF(AND($B$22="Sim",A457=$B$24),$B$27,0)</x:f>
        <x:v>0</x:v>
      </x:c>
      <x:c r="G457" s="141" t="n">
        <x:f>IF(AND($B$22="Sim",A457=$B$23),$B$35,0)</x:f>
        <x:v>0</x:v>
      </x:c>
      <x:c r="H457" s="141" t="n">
        <x:f>IF(AND($B$22="Sim",A457=$B$23),$B$36,0)</x:f>
        <x:v>0</x:v>
      </x:c>
      <x:c r="I457" s="141" t="n">
        <x:f>IF(OR($B$22&lt;&gt;"Sim",A457&gt;=$B$23+$B$31-1),0,(I458+C458)/(1+$B$9))</x:f>
        <x:v>0</x:v>
      </x:c>
      <x:c r="J457" s="140" t="str">
        <x:f>IF($B$22&lt;&gt;"Sim","Desativada",IF(A457&lt;$B$23,"Antes da compra",IF(A457&lt;$B$23+$B$31,"Parcelas restantes","Encerrado")))</x:f>
        <x:v>Encerrado</x:v>
      </x:c>
      <x:c r="K457" s="141" t="n">
        <x:f>IF(C457&gt;0,C457/(1+$B$9)^A457,0)</x:f>
        <x:v>0</x:v>
      </x:c>
    </x:row>
    <x:row r="458">
      <x:c r="A458" s="142" t="n">
        <x:v>404</x:v>
      </x:c>
      <x:c r="B458" s="179" t="n">
        <x:f>EDATE($B$5,A458-1)</x:f>
        <x:v>58807</x:v>
      </x:c>
      <x:c r="C458" s="141" t="n">
        <x:f>IF(AND($B$22="Sim",A458&gt;=$B$23,A458&lt;$B$23+$B$31),$B$32*D458,0)</x:f>
        <x:v>0</x:v>
      </x:c>
      <x:c r="D458" s="180" t="n">
        <x:f>IF(A458&lt;$B$23,1,(1+$B$33)^INT((A458-$B$23)/12))</x:f>
        <x:v>6.840589882798459</x:v>
      </x:c>
      <x:c r="E458" s="141" t="n">
        <x:f>IF(AND($B$22="Sim",A458=$B$23),$B$37,0)</x:f>
        <x:v>0</x:v>
      </x:c>
      <x:c r="F458" s="141" t="n">
        <x:f>IF(AND($B$22="Sim",A458=$B$24),$B$27,0)</x:f>
        <x:v>0</x:v>
      </x:c>
      <x:c r="G458" s="141" t="n">
        <x:f>IF(AND($B$22="Sim",A458=$B$23),$B$35,0)</x:f>
        <x:v>0</x:v>
      </x:c>
      <x:c r="H458" s="141" t="n">
        <x:f>IF(AND($B$22="Sim",A458=$B$23),$B$36,0)</x:f>
        <x:v>0</x:v>
      </x:c>
      <x:c r="I458" s="141" t="n">
        <x:f>IF(OR($B$22&lt;&gt;"Sim",A458&gt;=$B$23+$B$31-1),0,(I459+C459)/(1+$B$9))</x:f>
        <x:v>0</x:v>
      </x:c>
      <x:c r="J458" s="140" t="str">
        <x:f>IF($B$22&lt;&gt;"Sim","Desativada",IF(A458&lt;$B$23,"Antes da compra",IF(A458&lt;$B$23+$B$31,"Parcelas restantes","Encerrado")))</x:f>
        <x:v>Encerrado</x:v>
      </x:c>
      <x:c r="K458" s="141" t="n">
        <x:f>IF(C458&gt;0,C458/(1+$B$9)^A458,0)</x:f>
        <x:v>0</x:v>
      </x:c>
    </x:row>
    <x:row r="459">
      <x:c r="A459" s="142" t="n">
        <x:v>405</x:v>
      </x:c>
      <x:c r="B459" s="179" t="n">
        <x:f>EDATE($B$5,A459-1)</x:f>
        <x:v>58838</x:v>
      </x:c>
      <x:c r="C459" s="141" t="n">
        <x:f>IF(AND($B$22="Sim",A459&gt;=$B$23,A459&lt;$B$23+$B$31),$B$32*D459,0)</x:f>
        <x:v>0</x:v>
      </x:c>
      <x:c r="D459" s="180" t="n">
        <x:f>IF(A459&lt;$B$23,1,(1+$B$33)^INT((A459-$B$23)/12))</x:f>
        <x:v>6.840589882798459</x:v>
      </x:c>
      <x:c r="E459" s="141" t="n">
        <x:f>IF(AND($B$22="Sim",A459=$B$23),$B$37,0)</x:f>
        <x:v>0</x:v>
      </x:c>
      <x:c r="F459" s="141" t="n">
        <x:f>IF(AND($B$22="Sim",A459=$B$24),$B$27,0)</x:f>
        <x:v>0</x:v>
      </x:c>
      <x:c r="G459" s="141" t="n">
        <x:f>IF(AND($B$22="Sim",A459=$B$23),$B$35,0)</x:f>
        <x:v>0</x:v>
      </x:c>
      <x:c r="H459" s="141" t="n">
        <x:f>IF(AND($B$22="Sim",A459=$B$23),$B$36,0)</x:f>
        <x:v>0</x:v>
      </x:c>
      <x:c r="I459" s="141" t="n">
        <x:f>IF(OR($B$22&lt;&gt;"Sim",A459&gt;=$B$23+$B$31-1),0,(I460+C460)/(1+$B$9))</x:f>
        <x:v>0</x:v>
      </x:c>
      <x:c r="J459" s="140" t="str">
        <x:f>IF($B$22&lt;&gt;"Sim","Desativada",IF(A459&lt;$B$23,"Antes da compra",IF(A459&lt;$B$23+$B$31,"Parcelas restantes","Encerrado")))</x:f>
        <x:v>Encerrado</x:v>
      </x:c>
      <x:c r="K459" s="141" t="n">
        <x:f>IF(C459&gt;0,C459/(1+$B$9)^A459,0)</x:f>
        <x:v>0</x:v>
      </x:c>
    </x:row>
    <x:row r="460">
      <x:c r="A460" s="142" t="n">
        <x:v>406</x:v>
      </x:c>
      <x:c r="B460" s="179" t="n">
        <x:f>EDATE($B$5,A460-1)</x:f>
        <x:v>58866</x:v>
      </x:c>
      <x:c r="C460" s="141" t="n">
        <x:f>IF(AND($B$22="Sim",A460&gt;=$B$23,A460&lt;$B$23+$B$31),$B$32*D460,0)</x:f>
        <x:v>0</x:v>
      </x:c>
      <x:c r="D460" s="180" t="n">
        <x:f>IF(A460&lt;$B$23,1,(1+$B$33)^INT((A460-$B$23)/12))</x:f>
        <x:v>6.840589882798459</x:v>
      </x:c>
      <x:c r="E460" s="141" t="n">
        <x:f>IF(AND($B$22="Sim",A460=$B$23),$B$37,0)</x:f>
        <x:v>0</x:v>
      </x:c>
      <x:c r="F460" s="141" t="n">
        <x:f>IF(AND($B$22="Sim",A460=$B$24),$B$27,0)</x:f>
        <x:v>0</x:v>
      </x:c>
      <x:c r="G460" s="141" t="n">
        <x:f>IF(AND($B$22="Sim",A460=$B$23),$B$35,0)</x:f>
        <x:v>0</x:v>
      </x:c>
      <x:c r="H460" s="141" t="n">
        <x:f>IF(AND($B$22="Sim",A460=$B$23),$B$36,0)</x:f>
        <x:v>0</x:v>
      </x:c>
      <x:c r="I460" s="141" t="n">
        <x:f>IF(OR($B$22&lt;&gt;"Sim",A460&gt;=$B$23+$B$31-1),0,(I461+C461)/(1+$B$9))</x:f>
        <x:v>0</x:v>
      </x:c>
      <x:c r="J460" s="140" t="str">
        <x:f>IF($B$22&lt;&gt;"Sim","Desativada",IF(A460&lt;$B$23,"Antes da compra",IF(A460&lt;$B$23+$B$31,"Parcelas restantes","Encerrado")))</x:f>
        <x:v>Encerrado</x:v>
      </x:c>
      <x:c r="K460" s="141" t="n">
        <x:f>IF(C460&gt;0,C460/(1+$B$9)^A460,0)</x:f>
        <x:v>0</x:v>
      </x:c>
    </x:row>
    <x:row r="461">
      <x:c r="A461" s="142" t="n">
        <x:v>407</x:v>
      </x:c>
      <x:c r="B461" s="179" t="n">
        <x:f>EDATE($B$5,A461-1)</x:f>
        <x:v>58897</x:v>
      </x:c>
      <x:c r="C461" s="141" t="n">
        <x:f>IF(AND($B$22="Sim",A461&gt;=$B$23,A461&lt;$B$23+$B$31),$B$32*D461,0)</x:f>
        <x:v>0</x:v>
      </x:c>
      <x:c r="D461" s="180" t="n">
        <x:f>IF(A461&lt;$B$23,1,(1+$B$33)^INT((A461-$B$23)/12))</x:f>
        <x:v>6.840589882798459</x:v>
      </x:c>
      <x:c r="E461" s="141" t="n">
        <x:f>IF(AND($B$22="Sim",A461=$B$23),$B$37,0)</x:f>
        <x:v>0</x:v>
      </x:c>
      <x:c r="F461" s="141" t="n">
        <x:f>IF(AND($B$22="Sim",A461=$B$24),$B$27,0)</x:f>
        <x:v>0</x:v>
      </x:c>
      <x:c r="G461" s="141" t="n">
        <x:f>IF(AND($B$22="Sim",A461=$B$23),$B$35,0)</x:f>
        <x:v>0</x:v>
      </x:c>
      <x:c r="H461" s="141" t="n">
        <x:f>IF(AND($B$22="Sim",A461=$B$23),$B$36,0)</x:f>
        <x:v>0</x:v>
      </x:c>
      <x:c r="I461" s="141" t="n">
        <x:f>IF(OR($B$22&lt;&gt;"Sim",A461&gt;=$B$23+$B$31-1),0,(I462+C462)/(1+$B$9))</x:f>
        <x:v>0</x:v>
      </x:c>
      <x:c r="J461" s="140" t="str">
        <x:f>IF($B$22&lt;&gt;"Sim","Desativada",IF(A461&lt;$B$23,"Antes da compra",IF(A461&lt;$B$23+$B$31,"Parcelas restantes","Encerrado")))</x:f>
        <x:v>Encerrado</x:v>
      </x:c>
      <x:c r="K461" s="141" t="n">
        <x:f>IF(C461&gt;0,C461/(1+$B$9)^A461,0)</x:f>
        <x:v>0</x:v>
      </x:c>
    </x:row>
    <x:row r="462">
      <x:c r="A462" s="142" t="n">
        <x:v>408</x:v>
      </x:c>
      <x:c r="B462" s="179" t="n">
        <x:f>EDATE($B$5,A462-1)</x:f>
        <x:v>58927</x:v>
      </x:c>
      <x:c r="C462" s="141" t="n">
        <x:f>IF(AND($B$22="Sim",A462&gt;=$B$23,A462&lt;$B$23+$B$31),$B$32*D462,0)</x:f>
        <x:v>0</x:v>
      </x:c>
      <x:c r="D462" s="180" t="n">
        <x:f>IF(A462&lt;$B$23,1,(1+$B$33)^INT((A462-$B$23)/12))</x:f>
        <x:v>6.840589882798459</x:v>
      </x:c>
      <x:c r="E462" s="141" t="n">
        <x:f>IF(AND($B$22="Sim",A462=$B$23),$B$37,0)</x:f>
        <x:v>0</x:v>
      </x:c>
      <x:c r="F462" s="141" t="n">
        <x:f>IF(AND($B$22="Sim",A462=$B$24),$B$27,0)</x:f>
        <x:v>0</x:v>
      </x:c>
      <x:c r="G462" s="141" t="n">
        <x:f>IF(AND($B$22="Sim",A462=$B$23),$B$35,0)</x:f>
        <x:v>0</x:v>
      </x:c>
      <x:c r="H462" s="141" t="n">
        <x:f>IF(AND($B$22="Sim",A462=$B$23),$B$36,0)</x:f>
        <x:v>0</x:v>
      </x:c>
      <x:c r="I462" s="141" t="n">
        <x:f>IF(OR($B$22&lt;&gt;"Sim",A462&gt;=$B$23+$B$31-1),0,(I463+C463)/(1+$B$9))</x:f>
        <x:v>0</x:v>
      </x:c>
      <x:c r="J462" s="140" t="str">
        <x:f>IF($B$22&lt;&gt;"Sim","Desativada",IF(A462&lt;$B$23,"Antes da compra",IF(A462&lt;$B$23+$B$31,"Parcelas restantes","Encerrado")))</x:f>
        <x:v>Encerrado</x:v>
      </x:c>
      <x:c r="K462" s="141" t="n">
        <x:f>IF(C462&gt;0,C462/(1+$B$9)^A462,0)</x:f>
        <x:v>0</x:v>
      </x:c>
    </x:row>
    <x:row r="463">
      <x:c r="A463" s="142" t="n">
        <x:v>409</x:v>
      </x:c>
      <x:c r="B463" s="179" t="n">
        <x:f>EDATE($B$5,A463-1)</x:f>
        <x:v>58958</x:v>
      </x:c>
      <x:c r="C463" s="141" t="n">
        <x:f>IF(AND($B$22="Sim",A463&gt;=$B$23,A463&lt;$B$23+$B$31),$B$32*D463,0)</x:f>
        <x:v>0</x:v>
      </x:c>
      <x:c r="D463" s="180" t="n">
        <x:f>IF(A463&lt;$B$23,1,(1+$B$33)^INT((A463-$B$23)/12))</x:f>
        <x:v>7.2510252757663665</x:v>
      </x:c>
      <x:c r="E463" s="141" t="n">
        <x:f>IF(AND($B$22="Sim",A463=$B$23),$B$37,0)</x:f>
        <x:v>0</x:v>
      </x:c>
      <x:c r="F463" s="141" t="n">
        <x:f>IF(AND($B$22="Sim",A463=$B$24),$B$27,0)</x:f>
        <x:v>0</x:v>
      </x:c>
      <x:c r="G463" s="141" t="n">
        <x:f>IF(AND($B$22="Sim",A463=$B$23),$B$35,0)</x:f>
        <x:v>0</x:v>
      </x:c>
      <x:c r="H463" s="141" t="n">
        <x:f>IF(AND($B$22="Sim",A463=$B$23),$B$36,0)</x:f>
        <x:v>0</x:v>
      </x:c>
      <x:c r="I463" s="141" t="n">
        <x:f>IF(OR($B$22&lt;&gt;"Sim",A463&gt;=$B$23+$B$31-1),0,(I464+C464)/(1+$B$9))</x:f>
        <x:v>0</x:v>
      </x:c>
      <x:c r="J463" s="140" t="str">
        <x:f>IF($B$22&lt;&gt;"Sim","Desativada",IF(A463&lt;$B$23,"Antes da compra",IF(A463&lt;$B$23+$B$31,"Parcelas restantes","Encerrado")))</x:f>
        <x:v>Encerrado</x:v>
      </x:c>
      <x:c r="K463" s="141" t="n">
        <x:f>IF(C463&gt;0,C463/(1+$B$9)^A463,0)</x:f>
        <x:v>0</x:v>
      </x:c>
    </x:row>
    <x:row r="464">
      <x:c r="A464" s="142" t="n">
        <x:v>410</x:v>
      </x:c>
      <x:c r="B464" s="179" t="n">
        <x:f>EDATE($B$5,A464-1)</x:f>
        <x:v>58988</x:v>
      </x:c>
      <x:c r="C464" s="141" t="n">
        <x:f>IF(AND($B$22="Sim",A464&gt;=$B$23,A464&lt;$B$23+$B$31),$B$32*D464,0)</x:f>
        <x:v>0</x:v>
      </x:c>
      <x:c r="D464" s="180" t="n">
        <x:f>IF(A464&lt;$B$23,1,(1+$B$33)^INT((A464-$B$23)/12))</x:f>
        <x:v>7.2510252757663665</x:v>
      </x:c>
      <x:c r="E464" s="141" t="n">
        <x:f>IF(AND($B$22="Sim",A464=$B$23),$B$37,0)</x:f>
        <x:v>0</x:v>
      </x:c>
      <x:c r="F464" s="141" t="n">
        <x:f>IF(AND($B$22="Sim",A464=$B$24),$B$27,0)</x:f>
        <x:v>0</x:v>
      </x:c>
      <x:c r="G464" s="141" t="n">
        <x:f>IF(AND($B$22="Sim",A464=$B$23),$B$35,0)</x:f>
        <x:v>0</x:v>
      </x:c>
      <x:c r="H464" s="141" t="n">
        <x:f>IF(AND($B$22="Sim",A464=$B$23),$B$36,0)</x:f>
        <x:v>0</x:v>
      </x:c>
      <x:c r="I464" s="141" t="n">
        <x:f>IF(OR($B$22&lt;&gt;"Sim",A464&gt;=$B$23+$B$31-1),0,(I465+C465)/(1+$B$9))</x:f>
        <x:v>0</x:v>
      </x:c>
      <x:c r="J464" s="140" t="str">
        <x:f>IF($B$22&lt;&gt;"Sim","Desativada",IF(A464&lt;$B$23,"Antes da compra",IF(A464&lt;$B$23+$B$31,"Parcelas restantes","Encerrado")))</x:f>
        <x:v>Encerrado</x:v>
      </x:c>
      <x:c r="K464" s="141" t="n">
        <x:f>IF(C464&gt;0,C464/(1+$B$9)^A464,0)</x:f>
        <x:v>0</x:v>
      </x:c>
    </x:row>
    <x:row r="465">
      <x:c r="A465" s="142" t="n">
        <x:v>411</x:v>
      </x:c>
      <x:c r="B465" s="179" t="n">
        <x:f>EDATE($B$5,A465-1)</x:f>
        <x:v>59019</x:v>
      </x:c>
      <x:c r="C465" s="141" t="n">
        <x:f>IF(AND($B$22="Sim",A465&gt;=$B$23,A465&lt;$B$23+$B$31),$B$32*D465,0)</x:f>
        <x:v>0</x:v>
      </x:c>
      <x:c r="D465" s="180" t="n">
        <x:f>IF(A465&lt;$B$23,1,(1+$B$33)^INT((A465-$B$23)/12))</x:f>
        <x:v>7.2510252757663665</x:v>
      </x:c>
      <x:c r="E465" s="141" t="n">
        <x:f>IF(AND($B$22="Sim",A465=$B$23),$B$37,0)</x:f>
        <x:v>0</x:v>
      </x:c>
      <x:c r="F465" s="141" t="n">
        <x:f>IF(AND($B$22="Sim",A465=$B$24),$B$27,0)</x:f>
        <x:v>0</x:v>
      </x:c>
      <x:c r="G465" s="141" t="n">
        <x:f>IF(AND($B$22="Sim",A465=$B$23),$B$35,0)</x:f>
        <x:v>0</x:v>
      </x:c>
      <x:c r="H465" s="141" t="n">
        <x:f>IF(AND($B$22="Sim",A465=$B$23),$B$36,0)</x:f>
        <x:v>0</x:v>
      </x:c>
      <x:c r="I465" s="141" t="n">
        <x:f>IF(OR($B$22&lt;&gt;"Sim",A465&gt;=$B$23+$B$31-1),0,(I466+C466)/(1+$B$9))</x:f>
        <x:v>0</x:v>
      </x:c>
      <x:c r="J465" s="140" t="str">
        <x:f>IF($B$22&lt;&gt;"Sim","Desativada",IF(A465&lt;$B$23,"Antes da compra",IF(A465&lt;$B$23+$B$31,"Parcelas restantes","Encerrado")))</x:f>
        <x:v>Encerrado</x:v>
      </x:c>
      <x:c r="K465" s="141" t="n">
        <x:f>IF(C465&gt;0,C465/(1+$B$9)^A465,0)</x:f>
        <x:v>0</x:v>
      </x:c>
    </x:row>
    <x:row r="466">
      <x:c r="A466" s="142" t="n">
        <x:v>412</x:v>
      </x:c>
      <x:c r="B466" s="179" t="n">
        <x:f>EDATE($B$5,A466-1)</x:f>
        <x:v>59050</x:v>
      </x:c>
      <x:c r="C466" s="141" t="n">
        <x:f>IF(AND($B$22="Sim",A466&gt;=$B$23,A466&lt;$B$23+$B$31),$B$32*D466,0)</x:f>
        <x:v>0</x:v>
      </x:c>
      <x:c r="D466" s="180" t="n">
        <x:f>IF(A466&lt;$B$23,1,(1+$B$33)^INT((A466-$B$23)/12))</x:f>
        <x:v>7.2510252757663665</x:v>
      </x:c>
      <x:c r="E466" s="141" t="n">
        <x:f>IF(AND($B$22="Sim",A466=$B$23),$B$37,0)</x:f>
        <x:v>0</x:v>
      </x:c>
      <x:c r="F466" s="141" t="n">
        <x:f>IF(AND($B$22="Sim",A466=$B$24),$B$27,0)</x:f>
        <x:v>0</x:v>
      </x:c>
      <x:c r="G466" s="141" t="n">
        <x:f>IF(AND($B$22="Sim",A466=$B$23),$B$35,0)</x:f>
        <x:v>0</x:v>
      </x:c>
      <x:c r="H466" s="141" t="n">
        <x:f>IF(AND($B$22="Sim",A466=$B$23),$B$36,0)</x:f>
        <x:v>0</x:v>
      </x:c>
      <x:c r="I466" s="141" t="n">
        <x:f>IF(OR($B$22&lt;&gt;"Sim",A466&gt;=$B$23+$B$31-1),0,(I467+C467)/(1+$B$9))</x:f>
        <x:v>0</x:v>
      </x:c>
      <x:c r="J466" s="140" t="str">
        <x:f>IF($B$22&lt;&gt;"Sim","Desativada",IF(A466&lt;$B$23,"Antes da compra",IF(A466&lt;$B$23+$B$31,"Parcelas restantes","Encerrado")))</x:f>
        <x:v>Encerrado</x:v>
      </x:c>
      <x:c r="K466" s="141" t="n">
        <x:f>IF(C466&gt;0,C466/(1+$B$9)^A466,0)</x:f>
        <x:v>0</x:v>
      </x:c>
    </x:row>
    <x:row r="467">
      <x:c r="A467" s="142" t="n">
        <x:v>413</x:v>
      </x:c>
      <x:c r="B467" s="179" t="n">
        <x:f>EDATE($B$5,A467-1)</x:f>
        <x:v>59080</x:v>
      </x:c>
      <x:c r="C467" s="141" t="n">
        <x:f>IF(AND($B$22="Sim",A467&gt;=$B$23,A467&lt;$B$23+$B$31),$B$32*D467,0)</x:f>
        <x:v>0</x:v>
      </x:c>
      <x:c r="D467" s="180" t="n">
        <x:f>IF(A467&lt;$B$23,1,(1+$B$33)^INT((A467-$B$23)/12))</x:f>
        <x:v>7.2510252757663665</x:v>
      </x:c>
      <x:c r="E467" s="141" t="n">
        <x:f>IF(AND($B$22="Sim",A467=$B$23),$B$37,0)</x:f>
        <x:v>0</x:v>
      </x:c>
      <x:c r="F467" s="141" t="n">
        <x:f>IF(AND($B$22="Sim",A467=$B$24),$B$27,0)</x:f>
        <x:v>0</x:v>
      </x:c>
      <x:c r="G467" s="141" t="n">
        <x:f>IF(AND($B$22="Sim",A467=$B$23),$B$35,0)</x:f>
        <x:v>0</x:v>
      </x:c>
      <x:c r="H467" s="141" t="n">
        <x:f>IF(AND($B$22="Sim",A467=$B$23),$B$36,0)</x:f>
        <x:v>0</x:v>
      </x:c>
      <x:c r="I467" s="141" t="n">
        <x:f>IF(OR($B$22&lt;&gt;"Sim",A467&gt;=$B$23+$B$31-1),0,(I468+C468)/(1+$B$9))</x:f>
        <x:v>0</x:v>
      </x:c>
      <x:c r="J467" s="140" t="str">
        <x:f>IF($B$22&lt;&gt;"Sim","Desativada",IF(A467&lt;$B$23,"Antes da compra",IF(A467&lt;$B$23+$B$31,"Parcelas restantes","Encerrado")))</x:f>
        <x:v>Encerrado</x:v>
      </x:c>
      <x:c r="K467" s="141" t="n">
        <x:f>IF(C467&gt;0,C467/(1+$B$9)^A467,0)</x:f>
        <x:v>0</x:v>
      </x:c>
    </x:row>
    <x:row r="468">
      <x:c r="A468" s="142" t="n">
        <x:v>414</x:v>
      </x:c>
      <x:c r="B468" s="179" t="n">
        <x:f>EDATE($B$5,A468-1)</x:f>
        <x:v>59111</x:v>
      </x:c>
      <x:c r="C468" s="141" t="n">
        <x:f>IF(AND($B$22="Sim",A468&gt;=$B$23,A468&lt;$B$23+$B$31),$B$32*D468,0)</x:f>
        <x:v>0</x:v>
      </x:c>
      <x:c r="D468" s="180" t="n">
        <x:f>IF(A468&lt;$B$23,1,(1+$B$33)^INT((A468-$B$23)/12))</x:f>
        <x:v>7.2510252757663665</x:v>
      </x:c>
      <x:c r="E468" s="141" t="n">
        <x:f>IF(AND($B$22="Sim",A468=$B$23),$B$37,0)</x:f>
        <x:v>0</x:v>
      </x:c>
      <x:c r="F468" s="141" t="n">
        <x:f>IF(AND($B$22="Sim",A468=$B$24),$B$27,0)</x:f>
        <x:v>0</x:v>
      </x:c>
      <x:c r="G468" s="141" t="n">
        <x:f>IF(AND($B$22="Sim",A468=$B$23),$B$35,0)</x:f>
        <x:v>0</x:v>
      </x:c>
      <x:c r="H468" s="141" t="n">
        <x:f>IF(AND($B$22="Sim",A468=$B$23),$B$36,0)</x:f>
        <x:v>0</x:v>
      </x:c>
      <x:c r="I468" s="141" t="n">
        <x:f>IF(OR($B$22&lt;&gt;"Sim",A468&gt;=$B$23+$B$31-1),0,(I469+C469)/(1+$B$9))</x:f>
        <x:v>0</x:v>
      </x:c>
      <x:c r="J468" s="140" t="str">
        <x:f>IF($B$22&lt;&gt;"Sim","Desativada",IF(A468&lt;$B$23,"Antes da compra",IF(A468&lt;$B$23+$B$31,"Parcelas restantes","Encerrado")))</x:f>
        <x:v>Encerrado</x:v>
      </x:c>
      <x:c r="K468" s="141" t="n">
        <x:f>IF(C468&gt;0,C468/(1+$B$9)^A468,0)</x:f>
        <x:v>0</x:v>
      </x:c>
    </x:row>
    <x:row r="469">
      <x:c r="A469" s="142" t="n">
        <x:v>415</x:v>
      </x:c>
      <x:c r="B469" s="179" t="n">
        <x:f>EDATE($B$5,A469-1)</x:f>
        <x:v>59141</x:v>
      </x:c>
      <x:c r="C469" s="141" t="n">
        <x:f>IF(AND($B$22="Sim",A469&gt;=$B$23,A469&lt;$B$23+$B$31),$B$32*D469,0)</x:f>
        <x:v>0</x:v>
      </x:c>
      <x:c r="D469" s="180" t="n">
        <x:f>IF(A469&lt;$B$23,1,(1+$B$33)^INT((A469-$B$23)/12))</x:f>
        <x:v>7.2510252757663665</x:v>
      </x:c>
      <x:c r="E469" s="141" t="n">
        <x:f>IF(AND($B$22="Sim",A469=$B$23),$B$37,0)</x:f>
        <x:v>0</x:v>
      </x:c>
      <x:c r="F469" s="141" t="n">
        <x:f>IF(AND($B$22="Sim",A469=$B$24),$B$27,0)</x:f>
        <x:v>0</x:v>
      </x:c>
      <x:c r="G469" s="141" t="n">
        <x:f>IF(AND($B$22="Sim",A469=$B$23),$B$35,0)</x:f>
        <x:v>0</x:v>
      </x:c>
      <x:c r="H469" s="141" t="n">
        <x:f>IF(AND($B$22="Sim",A469=$B$23),$B$36,0)</x:f>
        <x:v>0</x:v>
      </x:c>
      <x:c r="I469" s="141" t="n">
        <x:f>IF(OR($B$22&lt;&gt;"Sim",A469&gt;=$B$23+$B$31-1),0,(I470+C470)/(1+$B$9))</x:f>
        <x:v>0</x:v>
      </x:c>
      <x:c r="J469" s="140" t="str">
        <x:f>IF($B$22&lt;&gt;"Sim","Desativada",IF(A469&lt;$B$23,"Antes da compra",IF(A469&lt;$B$23+$B$31,"Parcelas restantes","Encerrado")))</x:f>
        <x:v>Encerrado</x:v>
      </x:c>
      <x:c r="K469" s="141" t="n">
        <x:f>IF(C469&gt;0,C469/(1+$B$9)^A469,0)</x:f>
        <x:v>0</x:v>
      </x:c>
    </x:row>
    <x:row r="470">
      <x:c r="A470" s="142" t="n">
        <x:v>416</x:v>
      </x:c>
      <x:c r="B470" s="179" t="n">
        <x:f>EDATE($B$5,A470-1)</x:f>
        <x:v>59172</x:v>
      </x:c>
      <x:c r="C470" s="141" t="n">
        <x:f>IF(AND($B$22="Sim",A470&gt;=$B$23,A470&lt;$B$23+$B$31),$B$32*D470,0)</x:f>
        <x:v>0</x:v>
      </x:c>
      <x:c r="D470" s="180" t="n">
        <x:f>IF(A470&lt;$B$23,1,(1+$B$33)^INT((A470-$B$23)/12))</x:f>
        <x:v>7.2510252757663665</x:v>
      </x:c>
      <x:c r="E470" s="141" t="n">
        <x:f>IF(AND($B$22="Sim",A470=$B$23),$B$37,0)</x:f>
        <x:v>0</x:v>
      </x:c>
      <x:c r="F470" s="141" t="n">
        <x:f>IF(AND($B$22="Sim",A470=$B$24),$B$27,0)</x:f>
        <x:v>0</x:v>
      </x:c>
      <x:c r="G470" s="141" t="n">
        <x:f>IF(AND($B$22="Sim",A470=$B$23),$B$35,0)</x:f>
        <x:v>0</x:v>
      </x:c>
      <x:c r="H470" s="141" t="n">
        <x:f>IF(AND($B$22="Sim",A470=$B$23),$B$36,0)</x:f>
        <x:v>0</x:v>
      </x:c>
      <x:c r="I470" s="141" t="n">
        <x:f>IF(OR($B$22&lt;&gt;"Sim",A470&gt;=$B$23+$B$31-1),0,(I471+C471)/(1+$B$9))</x:f>
        <x:v>0</x:v>
      </x:c>
      <x:c r="J470" s="140" t="str">
        <x:f>IF($B$22&lt;&gt;"Sim","Desativada",IF(A470&lt;$B$23,"Antes da compra",IF(A470&lt;$B$23+$B$31,"Parcelas restantes","Encerrado")))</x:f>
        <x:v>Encerrado</x:v>
      </x:c>
      <x:c r="K470" s="141" t="n">
        <x:f>IF(C470&gt;0,C470/(1+$B$9)^A470,0)</x:f>
        <x:v>0</x:v>
      </x:c>
    </x:row>
    <x:row r="471">
      <x:c r="A471" s="142" t="n">
        <x:v>417</x:v>
      </x:c>
      <x:c r="B471" s="179" t="n">
        <x:f>EDATE($B$5,A471-1)</x:f>
        <x:v>59203</x:v>
      </x:c>
      <x:c r="C471" s="141" t="n">
        <x:f>IF(AND($B$22="Sim",A471&gt;=$B$23,A471&lt;$B$23+$B$31),$B$32*D471,0)</x:f>
        <x:v>0</x:v>
      </x:c>
      <x:c r="D471" s="180" t="n">
        <x:f>IF(A471&lt;$B$23,1,(1+$B$33)^INT((A471-$B$23)/12))</x:f>
        <x:v>7.2510252757663665</x:v>
      </x:c>
      <x:c r="E471" s="141" t="n">
        <x:f>IF(AND($B$22="Sim",A471=$B$23),$B$37,0)</x:f>
        <x:v>0</x:v>
      </x:c>
      <x:c r="F471" s="141" t="n">
        <x:f>IF(AND($B$22="Sim",A471=$B$24),$B$27,0)</x:f>
        <x:v>0</x:v>
      </x:c>
      <x:c r="G471" s="141" t="n">
        <x:f>IF(AND($B$22="Sim",A471=$B$23),$B$35,0)</x:f>
        <x:v>0</x:v>
      </x:c>
      <x:c r="H471" s="141" t="n">
        <x:f>IF(AND($B$22="Sim",A471=$B$23),$B$36,0)</x:f>
        <x:v>0</x:v>
      </x:c>
      <x:c r="I471" s="141" t="n">
        <x:f>IF(OR($B$22&lt;&gt;"Sim",A471&gt;=$B$23+$B$31-1),0,(I472+C472)/(1+$B$9))</x:f>
        <x:v>0</x:v>
      </x:c>
      <x:c r="J471" s="140" t="str">
        <x:f>IF($B$22&lt;&gt;"Sim","Desativada",IF(A471&lt;$B$23,"Antes da compra",IF(A471&lt;$B$23+$B$31,"Parcelas restantes","Encerrado")))</x:f>
        <x:v>Encerrado</x:v>
      </x:c>
      <x:c r="K471" s="141" t="n">
        <x:f>IF(C471&gt;0,C471/(1+$B$9)^A471,0)</x:f>
        <x:v>0</x:v>
      </x:c>
    </x:row>
    <x:row r="472">
      <x:c r="A472" s="142" t="n">
        <x:v>418</x:v>
      </x:c>
      <x:c r="B472" s="179" t="n">
        <x:f>EDATE($B$5,A472-1)</x:f>
        <x:v>59231</x:v>
      </x:c>
      <x:c r="C472" s="141" t="n">
        <x:f>IF(AND($B$22="Sim",A472&gt;=$B$23,A472&lt;$B$23+$B$31),$B$32*D472,0)</x:f>
        <x:v>0</x:v>
      </x:c>
      <x:c r="D472" s="180" t="n">
        <x:f>IF(A472&lt;$B$23,1,(1+$B$33)^INT((A472-$B$23)/12))</x:f>
        <x:v>7.2510252757663665</x:v>
      </x:c>
      <x:c r="E472" s="141" t="n">
        <x:f>IF(AND($B$22="Sim",A472=$B$23),$B$37,0)</x:f>
        <x:v>0</x:v>
      </x:c>
      <x:c r="F472" s="141" t="n">
        <x:f>IF(AND($B$22="Sim",A472=$B$24),$B$27,0)</x:f>
        <x:v>0</x:v>
      </x:c>
      <x:c r="G472" s="141" t="n">
        <x:f>IF(AND($B$22="Sim",A472=$B$23),$B$35,0)</x:f>
        <x:v>0</x:v>
      </x:c>
      <x:c r="H472" s="141" t="n">
        <x:f>IF(AND($B$22="Sim",A472=$B$23),$B$36,0)</x:f>
        <x:v>0</x:v>
      </x:c>
      <x:c r="I472" s="141" t="n">
        <x:f>IF(OR($B$22&lt;&gt;"Sim",A472&gt;=$B$23+$B$31-1),0,(I473+C473)/(1+$B$9))</x:f>
        <x:v>0</x:v>
      </x:c>
      <x:c r="J472" s="140" t="str">
        <x:f>IF($B$22&lt;&gt;"Sim","Desativada",IF(A472&lt;$B$23,"Antes da compra",IF(A472&lt;$B$23+$B$31,"Parcelas restantes","Encerrado")))</x:f>
        <x:v>Encerrado</x:v>
      </x:c>
      <x:c r="K472" s="141" t="n">
        <x:f>IF(C472&gt;0,C472/(1+$B$9)^A472,0)</x:f>
        <x:v>0</x:v>
      </x:c>
    </x:row>
    <x:row r="473">
      <x:c r="A473" s="142" t="n">
        <x:v>419</x:v>
      </x:c>
      <x:c r="B473" s="179" t="n">
        <x:f>EDATE($B$5,A473-1)</x:f>
        <x:v>59262</x:v>
      </x:c>
      <x:c r="C473" s="141" t="n">
        <x:f>IF(AND($B$22="Sim",A473&gt;=$B$23,A473&lt;$B$23+$B$31),$B$32*D473,0)</x:f>
        <x:v>0</x:v>
      </x:c>
      <x:c r="D473" s="180" t="n">
        <x:f>IF(A473&lt;$B$23,1,(1+$B$33)^INT((A473-$B$23)/12))</x:f>
        <x:v>7.2510252757663665</x:v>
      </x:c>
      <x:c r="E473" s="141" t="n">
        <x:f>IF(AND($B$22="Sim",A473=$B$23),$B$37,0)</x:f>
        <x:v>0</x:v>
      </x:c>
      <x:c r="F473" s="141" t="n">
        <x:f>IF(AND($B$22="Sim",A473=$B$24),$B$27,0)</x:f>
        <x:v>0</x:v>
      </x:c>
      <x:c r="G473" s="141" t="n">
        <x:f>IF(AND($B$22="Sim",A473=$B$23),$B$35,0)</x:f>
        <x:v>0</x:v>
      </x:c>
      <x:c r="H473" s="141" t="n">
        <x:f>IF(AND($B$22="Sim",A473=$B$23),$B$36,0)</x:f>
        <x:v>0</x:v>
      </x:c>
      <x:c r="I473" s="141" t="n">
        <x:f>IF(OR($B$22&lt;&gt;"Sim",A473&gt;=$B$23+$B$31-1),0,(I474+C474)/(1+$B$9))</x:f>
        <x:v>0</x:v>
      </x:c>
      <x:c r="J473" s="140" t="str">
        <x:f>IF($B$22&lt;&gt;"Sim","Desativada",IF(A473&lt;$B$23,"Antes da compra",IF(A473&lt;$B$23+$B$31,"Parcelas restantes","Encerrado")))</x:f>
        <x:v>Encerrado</x:v>
      </x:c>
      <x:c r="K473" s="141" t="n">
        <x:f>IF(C473&gt;0,C473/(1+$B$9)^A473,0)</x:f>
        <x:v>0</x:v>
      </x:c>
    </x:row>
    <x:row r="474">
      <x:c r="A474" s="142" t="n">
        <x:v>420</x:v>
      </x:c>
      <x:c r="B474" s="179" t="n">
        <x:f>EDATE($B$5,A474-1)</x:f>
        <x:v>59292</x:v>
      </x:c>
      <x:c r="C474" s="141" t="n">
        <x:f>IF(AND($B$22="Sim",A474&gt;=$B$23,A474&lt;$B$23+$B$31),$B$32*D474,0)</x:f>
        <x:v>0</x:v>
      </x:c>
      <x:c r="D474" s="180" t="n">
        <x:f>IF(A474&lt;$B$23,1,(1+$B$33)^INT((A474-$B$23)/12))</x:f>
        <x:v>7.2510252757663665</x:v>
      </x:c>
      <x:c r="E474" s="141" t="n">
        <x:f>IF(AND($B$22="Sim",A474=$B$23),$B$37,0)</x:f>
        <x:v>0</x:v>
      </x:c>
      <x:c r="F474" s="141" t="n">
        <x:f>IF(AND($B$22="Sim",A474=$B$24),$B$27,0)</x:f>
        <x:v>0</x:v>
      </x:c>
      <x:c r="G474" s="141" t="n">
        <x:f>IF(AND($B$22="Sim",A474=$B$23),$B$35,0)</x:f>
        <x:v>0</x:v>
      </x:c>
      <x:c r="H474" s="141" t="n">
        <x:f>IF(AND($B$22="Sim",A474=$B$23),$B$36,0)</x:f>
        <x:v>0</x:v>
      </x:c>
      <x:c r="I474" s="141" t="n">
        <x:f>IF(OR($B$22&lt;&gt;"Sim",A474&gt;=$B$23+$B$31-1),0,(I475+C475)/(1+$B$9))</x:f>
        <x:v>0</x:v>
      </x:c>
      <x:c r="J474" s="140" t="str">
        <x:f>IF($B$22&lt;&gt;"Sim","Desativada",IF(A474&lt;$B$23,"Antes da compra",IF(A474&lt;$B$23+$B$31,"Parcelas restantes","Encerrado")))</x:f>
        <x:v>Encerrado</x:v>
      </x:c>
      <x:c r="K474" s="141" t="n">
        <x:f>IF(C474&gt;0,C474/(1+$B$9)^A474,0)</x:f>
        <x:v>0</x:v>
      </x:c>
    </x:row>
    <x:row r="475">
      <x:c r="A475" s="142" t="n">
        <x:v>421</x:v>
      </x:c>
      <x:c r="B475" s="179" t="n">
        <x:f>EDATE($B$5,A475-1)</x:f>
        <x:v>59323</x:v>
      </x:c>
      <x:c r="C475" s="141" t="n">
        <x:f>IF(AND($B$22="Sim",A475&gt;=$B$23,A475&lt;$B$23+$B$31),$B$32*D475,0)</x:f>
        <x:v>0</x:v>
      </x:c>
      <x:c r="D475" s="180" t="n">
        <x:f>IF(A475&lt;$B$23,1,(1+$B$33)^INT((A475-$B$23)/12))</x:f>
        <x:v>7.6860867923123495</x:v>
      </x:c>
      <x:c r="E475" s="141" t="n">
        <x:f>IF(AND($B$22="Sim",A475=$B$23),$B$37,0)</x:f>
        <x:v>0</x:v>
      </x:c>
      <x:c r="F475" s="141" t="n">
        <x:f>IF(AND($B$22="Sim",A475=$B$24),$B$27,0)</x:f>
        <x:v>0</x:v>
      </x:c>
      <x:c r="G475" s="141" t="n">
        <x:f>IF(AND($B$22="Sim",A475=$B$23),$B$35,0)</x:f>
        <x:v>0</x:v>
      </x:c>
      <x:c r="H475" s="141" t="n">
        <x:f>IF(AND($B$22="Sim",A475=$B$23),$B$36,0)</x:f>
        <x:v>0</x:v>
      </x:c>
      <x:c r="I475" s="141" t="n">
        <x:f>IF(OR($B$22&lt;&gt;"Sim",A475&gt;=$B$23+$B$31-1),0,(I476+C476)/(1+$B$9))</x:f>
        <x:v>0</x:v>
      </x:c>
      <x:c r="J475" s="140" t="str">
        <x:f>IF($B$22&lt;&gt;"Sim","Desativada",IF(A475&lt;$B$23,"Antes da compra",IF(A475&lt;$B$23+$B$31,"Parcelas restantes","Encerrado")))</x:f>
        <x:v>Encerrado</x:v>
      </x:c>
      <x:c r="K475" s="141" t="n">
        <x:f>IF(C475&gt;0,C475/(1+$B$9)^A475,0)</x:f>
        <x:v>0</x:v>
      </x:c>
    </x:row>
    <x:row r="476">
      <x:c r="A476" s="142" t="n">
        <x:v>422</x:v>
      </x:c>
      <x:c r="B476" s="179" t="n">
        <x:f>EDATE($B$5,A476-1)</x:f>
        <x:v>59353</x:v>
      </x:c>
      <x:c r="C476" s="141" t="n">
        <x:f>IF(AND($B$22="Sim",A476&gt;=$B$23,A476&lt;$B$23+$B$31),$B$32*D476,0)</x:f>
        <x:v>0</x:v>
      </x:c>
      <x:c r="D476" s="180" t="n">
        <x:f>IF(A476&lt;$B$23,1,(1+$B$33)^INT((A476-$B$23)/12))</x:f>
        <x:v>7.6860867923123495</x:v>
      </x:c>
      <x:c r="E476" s="141" t="n">
        <x:f>IF(AND($B$22="Sim",A476=$B$23),$B$37,0)</x:f>
        <x:v>0</x:v>
      </x:c>
      <x:c r="F476" s="141" t="n">
        <x:f>IF(AND($B$22="Sim",A476=$B$24),$B$27,0)</x:f>
        <x:v>0</x:v>
      </x:c>
      <x:c r="G476" s="141" t="n">
        <x:f>IF(AND($B$22="Sim",A476=$B$23),$B$35,0)</x:f>
        <x:v>0</x:v>
      </x:c>
      <x:c r="H476" s="141" t="n">
        <x:f>IF(AND($B$22="Sim",A476=$B$23),$B$36,0)</x:f>
        <x:v>0</x:v>
      </x:c>
      <x:c r="I476" s="141" t="n">
        <x:f>IF(OR($B$22&lt;&gt;"Sim",A476&gt;=$B$23+$B$31-1),0,(I477+C477)/(1+$B$9))</x:f>
        <x:v>0</x:v>
      </x:c>
      <x:c r="J476" s="140" t="str">
        <x:f>IF($B$22&lt;&gt;"Sim","Desativada",IF(A476&lt;$B$23,"Antes da compra",IF(A476&lt;$B$23+$B$31,"Parcelas restantes","Encerrado")))</x:f>
        <x:v>Encerrado</x:v>
      </x:c>
      <x:c r="K476" s="141" t="n">
        <x:f>IF(C476&gt;0,C476/(1+$B$9)^A476,0)</x:f>
        <x:v>0</x:v>
      </x:c>
    </x:row>
    <x:row r="477">
      <x:c r="A477" s="142" t="n">
        <x:v>423</x:v>
      </x:c>
      <x:c r="B477" s="179" t="n">
        <x:f>EDATE($B$5,A477-1)</x:f>
        <x:v>59384</x:v>
      </x:c>
      <x:c r="C477" s="141" t="n">
        <x:f>IF(AND($B$22="Sim",A477&gt;=$B$23,A477&lt;$B$23+$B$31),$B$32*D477,0)</x:f>
        <x:v>0</x:v>
      </x:c>
      <x:c r="D477" s="180" t="n">
        <x:f>IF(A477&lt;$B$23,1,(1+$B$33)^INT((A477-$B$23)/12))</x:f>
        <x:v>7.6860867923123495</x:v>
      </x:c>
      <x:c r="E477" s="141" t="n">
        <x:f>IF(AND($B$22="Sim",A477=$B$23),$B$37,0)</x:f>
        <x:v>0</x:v>
      </x:c>
      <x:c r="F477" s="141" t="n">
        <x:f>IF(AND($B$22="Sim",A477=$B$24),$B$27,0)</x:f>
        <x:v>0</x:v>
      </x:c>
      <x:c r="G477" s="141" t="n">
        <x:f>IF(AND($B$22="Sim",A477=$B$23),$B$35,0)</x:f>
        <x:v>0</x:v>
      </x:c>
      <x:c r="H477" s="141" t="n">
        <x:f>IF(AND($B$22="Sim",A477=$B$23),$B$36,0)</x:f>
        <x:v>0</x:v>
      </x:c>
      <x:c r="I477" s="141" t="n">
        <x:f>IF(OR($B$22&lt;&gt;"Sim",A477&gt;=$B$23+$B$31-1),0,(I478+C478)/(1+$B$9))</x:f>
        <x:v>0</x:v>
      </x:c>
      <x:c r="J477" s="140" t="str">
        <x:f>IF($B$22&lt;&gt;"Sim","Desativada",IF(A477&lt;$B$23,"Antes da compra",IF(A477&lt;$B$23+$B$31,"Parcelas restantes","Encerrado")))</x:f>
        <x:v>Encerrado</x:v>
      </x:c>
      <x:c r="K477" s="141" t="n">
        <x:f>IF(C477&gt;0,C477/(1+$B$9)^A477,0)</x:f>
        <x:v>0</x:v>
      </x:c>
    </x:row>
    <x:row r="478">
      <x:c r="A478" s="142" t="n">
        <x:v>424</x:v>
      </x:c>
      <x:c r="B478" s="179" t="n">
        <x:f>EDATE($B$5,A478-1)</x:f>
        <x:v>59415</x:v>
      </x:c>
      <x:c r="C478" s="141" t="n">
        <x:f>IF(AND($B$22="Sim",A478&gt;=$B$23,A478&lt;$B$23+$B$31),$B$32*D478,0)</x:f>
        <x:v>0</x:v>
      </x:c>
      <x:c r="D478" s="180" t="n">
        <x:f>IF(A478&lt;$B$23,1,(1+$B$33)^INT((A478-$B$23)/12))</x:f>
        <x:v>7.6860867923123495</x:v>
      </x:c>
      <x:c r="E478" s="141" t="n">
        <x:f>IF(AND($B$22="Sim",A478=$B$23),$B$37,0)</x:f>
        <x:v>0</x:v>
      </x:c>
      <x:c r="F478" s="141" t="n">
        <x:f>IF(AND($B$22="Sim",A478=$B$24),$B$27,0)</x:f>
        <x:v>0</x:v>
      </x:c>
      <x:c r="G478" s="141" t="n">
        <x:f>IF(AND($B$22="Sim",A478=$B$23),$B$35,0)</x:f>
        <x:v>0</x:v>
      </x:c>
      <x:c r="H478" s="141" t="n">
        <x:f>IF(AND($B$22="Sim",A478=$B$23),$B$36,0)</x:f>
        <x:v>0</x:v>
      </x:c>
      <x:c r="I478" s="141" t="n">
        <x:f>IF(OR($B$22&lt;&gt;"Sim",A478&gt;=$B$23+$B$31-1),0,(I479+C479)/(1+$B$9))</x:f>
        <x:v>0</x:v>
      </x:c>
      <x:c r="J478" s="140" t="str">
        <x:f>IF($B$22&lt;&gt;"Sim","Desativada",IF(A478&lt;$B$23,"Antes da compra",IF(A478&lt;$B$23+$B$31,"Parcelas restantes","Encerrado")))</x:f>
        <x:v>Encerrado</x:v>
      </x:c>
      <x:c r="K478" s="141" t="n">
        <x:f>IF(C478&gt;0,C478/(1+$B$9)^A478,0)</x:f>
        <x:v>0</x:v>
      </x:c>
    </x:row>
    <x:row r="479">
      <x:c r="A479" s="142" t="n">
        <x:v>425</x:v>
      </x:c>
      <x:c r="B479" s="179" t="n">
        <x:f>EDATE($B$5,A479-1)</x:f>
        <x:v>59445</x:v>
      </x:c>
      <x:c r="C479" s="141" t="n">
        <x:f>IF(AND($B$22="Sim",A479&gt;=$B$23,A479&lt;$B$23+$B$31),$B$32*D479,0)</x:f>
        <x:v>0</x:v>
      </x:c>
      <x:c r="D479" s="180" t="n">
        <x:f>IF(A479&lt;$B$23,1,(1+$B$33)^INT((A479-$B$23)/12))</x:f>
        <x:v>7.6860867923123495</x:v>
      </x:c>
      <x:c r="E479" s="141" t="n">
        <x:f>IF(AND($B$22="Sim",A479=$B$23),$B$37,0)</x:f>
        <x:v>0</x:v>
      </x:c>
      <x:c r="F479" s="141" t="n">
        <x:f>IF(AND($B$22="Sim",A479=$B$24),$B$27,0)</x:f>
        <x:v>0</x:v>
      </x:c>
      <x:c r="G479" s="141" t="n">
        <x:f>IF(AND($B$22="Sim",A479=$B$23),$B$35,0)</x:f>
        <x:v>0</x:v>
      </x:c>
      <x:c r="H479" s="141" t="n">
        <x:f>IF(AND($B$22="Sim",A479=$B$23),$B$36,0)</x:f>
        <x:v>0</x:v>
      </x:c>
      <x:c r="I479" s="141" t="n">
        <x:f>IF(OR($B$22&lt;&gt;"Sim",A479&gt;=$B$23+$B$31-1),0,(I480+C480)/(1+$B$9))</x:f>
        <x:v>0</x:v>
      </x:c>
      <x:c r="J479" s="140" t="str">
        <x:f>IF($B$22&lt;&gt;"Sim","Desativada",IF(A479&lt;$B$23,"Antes da compra",IF(A479&lt;$B$23+$B$31,"Parcelas restantes","Encerrado")))</x:f>
        <x:v>Encerrado</x:v>
      </x:c>
      <x:c r="K479" s="141" t="n">
        <x:f>IF(C479&gt;0,C479/(1+$B$9)^A479,0)</x:f>
        <x:v>0</x:v>
      </x:c>
    </x:row>
    <x:row r="480">
      <x:c r="A480" s="142" t="n">
        <x:v>426</x:v>
      </x:c>
      <x:c r="B480" s="179" t="n">
        <x:f>EDATE($B$5,A480-1)</x:f>
        <x:v>59476</x:v>
      </x:c>
      <x:c r="C480" s="141" t="n">
        <x:f>IF(AND($B$22="Sim",A480&gt;=$B$23,A480&lt;$B$23+$B$31),$B$32*D480,0)</x:f>
        <x:v>0</x:v>
      </x:c>
      <x:c r="D480" s="180" t="n">
        <x:f>IF(A480&lt;$B$23,1,(1+$B$33)^INT((A480-$B$23)/12))</x:f>
        <x:v>7.6860867923123495</x:v>
      </x:c>
      <x:c r="E480" s="141" t="n">
        <x:f>IF(AND($B$22="Sim",A480=$B$23),$B$37,0)</x:f>
        <x:v>0</x:v>
      </x:c>
      <x:c r="F480" s="141" t="n">
        <x:f>IF(AND($B$22="Sim",A480=$B$24),$B$27,0)</x:f>
        <x:v>0</x:v>
      </x:c>
      <x:c r="G480" s="141" t="n">
        <x:f>IF(AND($B$22="Sim",A480=$B$23),$B$35,0)</x:f>
        <x:v>0</x:v>
      </x:c>
      <x:c r="H480" s="141" t="n">
        <x:f>IF(AND($B$22="Sim",A480=$B$23),$B$36,0)</x:f>
        <x:v>0</x:v>
      </x:c>
      <x:c r="I480" s="141" t="n">
        <x:f>IF(OR($B$22&lt;&gt;"Sim",A480&gt;=$B$23+$B$31-1),0,(I481+C481)/(1+$B$9))</x:f>
        <x:v>0</x:v>
      </x:c>
      <x:c r="J480" s="140" t="str">
        <x:f>IF($B$22&lt;&gt;"Sim","Desativada",IF(A480&lt;$B$23,"Antes da compra",IF(A480&lt;$B$23+$B$31,"Parcelas restantes","Encerrado")))</x:f>
        <x:v>Encerrado</x:v>
      </x:c>
      <x:c r="K480" s="141" t="n">
        <x:f>IF(C480&gt;0,C480/(1+$B$9)^A480,0)</x:f>
        <x:v>0</x:v>
      </x:c>
    </x:row>
    <x:row r="481">
      <x:c r="A481" s="142" t="n">
        <x:v>427</x:v>
      </x:c>
      <x:c r="B481" s="179" t="n">
        <x:f>EDATE($B$5,A481-1)</x:f>
        <x:v>59506</x:v>
      </x:c>
      <x:c r="C481" s="141" t="n">
        <x:f>IF(AND($B$22="Sim",A481&gt;=$B$23,A481&lt;$B$23+$B$31),$B$32*D481,0)</x:f>
        <x:v>0</x:v>
      </x:c>
      <x:c r="D481" s="180" t="n">
        <x:f>IF(A481&lt;$B$23,1,(1+$B$33)^INT((A481-$B$23)/12))</x:f>
        <x:v>7.6860867923123495</x:v>
      </x:c>
      <x:c r="E481" s="141" t="n">
        <x:f>IF(AND($B$22="Sim",A481=$B$23),$B$37,0)</x:f>
        <x:v>0</x:v>
      </x:c>
      <x:c r="F481" s="141" t="n">
        <x:f>IF(AND($B$22="Sim",A481=$B$24),$B$27,0)</x:f>
        <x:v>0</x:v>
      </x:c>
      <x:c r="G481" s="141" t="n">
        <x:f>IF(AND($B$22="Sim",A481=$B$23),$B$35,0)</x:f>
        <x:v>0</x:v>
      </x:c>
      <x:c r="H481" s="141" t="n">
        <x:f>IF(AND($B$22="Sim",A481=$B$23),$B$36,0)</x:f>
        <x:v>0</x:v>
      </x:c>
      <x:c r="I481" s="141" t="n">
        <x:f>IF(OR($B$22&lt;&gt;"Sim",A481&gt;=$B$23+$B$31-1),0,(I482+C482)/(1+$B$9))</x:f>
        <x:v>0</x:v>
      </x:c>
      <x:c r="J481" s="140" t="str">
        <x:f>IF($B$22&lt;&gt;"Sim","Desativada",IF(A481&lt;$B$23,"Antes da compra",IF(A481&lt;$B$23+$B$31,"Parcelas restantes","Encerrado")))</x:f>
        <x:v>Encerrado</x:v>
      </x:c>
      <x:c r="K481" s="141" t="n">
        <x:f>IF(C481&gt;0,C481/(1+$B$9)^A481,0)</x:f>
        <x:v>0</x:v>
      </x:c>
    </x:row>
    <x:row r="482">
      <x:c r="A482" s="142" t="n">
        <x:v>428</x:v>
      </x:c>
      <x:c r="B482" s="179" t="n">
        <x:f>EDATE($B$5,A482-1)</x:f>
        <x:v>59537</x:v>
      </x:c>
      <x:c r="C482" s="141" t="n">
        <x:f>IF(AND($B$22="Sim",A482&gt;=$B$23,A482&lt;$B$23+$B$31),$B$32*D482,0)</x:f>
        <x:v>0</x:v>
      </x:c>
      <x:c r="D482" s="180" t="n">
        <x:f>IF(A482&lt;$B$23,1,(1+$B$33)^INT((A482-$B$23)/12))</x:f>
        <x:v>7.6860867923123495</x:v>
      </x:c>
      <x:c r="E482" s="141" t="n">
        <x:f>IF(AND($B$22="Sim",A482=$B$23),$B$37,0)</x:f>
        <x:v>0</x:v>
      </x:c>
      <x:c r="F482" s="141" t="n">
        <x:f>IF(AND($B$22="Sim",A482=$B$24),$B$27,0)</x:f>
        <x:v>0</x:v>
      </x:c>
      <x:c r="G482" s="141" t="n">
        <x:f>IF(AND($B$22="Sim",A482=$B$23),$B$35,0)</x:f>
        <x:v>0</x:v>
      </x:c>
      <x:c r="H482" s="141" t="n">
        <x:f>IF(AND($B$22="Sim",A482=$B$23),$B$36,0)</x:f>
        <x:v>0</x:v>
      </x:c>
      <x:c r="I482" s="141" t="n">
        <x:f>IF(OR($B$22&lt;&gt;"Sim",A482&gt;=$B$23+$B$31-1),0,(I483+C483)/(1+$B$9))</x:f>
        <x:v>0</x:v>
      </x:c>
      <x:c r="J482" s="140" t="str">
        <x:f>IF($B$22&lt;&gt;"Sim","Desativada",IF(A482&lt;$B$23,"Antes da compra",IF(A482&lt;$B$23+$B$31,"Parcelas restantes","Encerrado")))</x:f>
        <x:v>Encerrado</x:v>
      </x:c>
      <x:c r="K482" s="141" t="n">
        <x:f>IF(C482&gt;0,C482/(1+$B$9)^A482,0)</x:f>
        <x:v>0</x:v>
      </x:c>
    </x:row>
    <x:row r="483">
      <x:c r="A483" s="142" t="n">
        <x:v>429</x:v>
      </x:c>
      <x:c r="B483" s="179" t="n">
        <x:f>EDATE($B$5,A483-1)</x:f>
        <x:v>59568</x:v>
      </x:c>
      <x:c r="C483" s="141" t="n">
        <x:f>IF(AND($B$22="Sim",A483&gt;=$B$23,A483&lt;$B$23+$B$31),$B$32*D483,0)</x:f>
        <x:v>0</x:v>
      </x:c>
      <x:c r="D483" s="180" t="n">
        <x:f>IF(A483&lt;$B$23,1,(1+$B$33)^INT((A483-$B$23)/12))</x:f>
        <x:v>7.6860867923123495</x:v>
      </x:c>
      <x:c r="E483" s="141" t="n">
        <x:f>IF(AND($B$22="Sim",A483=$B$23),$B$37,0)</x:f>
        <x:v>0</x:v>
      </x:c>
      <x:c r="F483" s="141" t="n">
        <x:f>IF(AND($B$22="Sim",A483=$B$24),$B$27,0)</x:f>
        <x:v>0</x:v>
      </x:c>
      <x:c r="G483" s="141" t="n">
        <x:f>IF(AND($B$22="Sim",A483=$B$23),$B$35,0)</x:f>
        <x:v>0</x:v>
      </x:c>
      <x:c r="H483" s="141" t="n">
        <x:f>IF(AND($B$22="Sim",A483=$B$23),$B$36,0)</x:f>
        <x:v>0</x:v>
      </x:c>
      <x:c r="I483" s="141" t="n">
        <x:f>IF(OR($B$22&lt;&gt;"Sim",A483&gt;=$B$23+$B$31-1),0,(I484+C484)/(1+$B$9))</x:f>
        <x:v>0</x:v>
      </x:c>
      <x:c r="J483" s="140" t="str">
        <x:f>IF($B$22&lt;&gt;"Sim","Desativada",IF(A483&lt;$B$23,"Antes da compra",IF(A483&lt;$B$23+$B$31,"Parcelas restantes","Encerrado")))</x:f>
        <x:v>Encerrado</x:v>
      </x:c>
      <x:c r="K483" s="141" t="n">
        <x:f>IF(C483&gt;0,C483/(1+$B$9)^A483,0)</x:f>
        <x:v>0</x:v>
      </x:c>
    </x:row>
    <x:row r="484">
      <x:c r="A484" s="142" t="n">
        <x:v>430</x:v>
      </x:c>
      <x:c r="B484" s="179" t="n">
        <x:f>EDATE($B$5,A484-1)</x:f>
        <x:v>59596</x:v>
      </x:c>
      <x:c r="C484" s="141" t="n">
        <x:f>IF(AND($B$22="Sim",A484&gt;=$B$23,A484&lt;$B$23+$B$31),$B$32*D484,0)</x:f>
        <x:v>0</x:v>
      </x:c>
      <x:c r="D484" s="180" t="n">
        <x:f>IF(A484&lt;$B$23,1,(1+$B$33)^INT((A484-$B$23)/12))</x:f>
        <x:v>7.6860867923123495</x:v>
      </x:c>
      <x:c r="E484" s="141" t="n">
        <x:f>IF(AND($B$22="Sim",A484=$B$23),$B$37,0)</x:f>
        <x:v>0</x:v>
      </x:c>
      <x:c r="F484" s="141" t="n">
        <x:f>IF(AND($B$22="Sim",A484=$B$24),$B$27,0)</x:f>
        <x:v>0</x:v>
      </x:c>
      <x:c r="G484" s="141" t="n">
        <x:f>IF(AND($B$22="Sim",A484=$B$23),$B$35,0)</x:f>
        <x:v>0</x:v>
      </x:c>
      <x:c r="H484" s="141" t="n">
        <x:f>IF(AND($B$22="Sim",A484=$B$23),$B$36,0)</x:f>
        <x:v>0</x:v>
      </x:c>
      <x:c r="I484" s="141" t="n">
        <x:f>IF(OR($B$22&lt;&gt;"Sim",A484&gt;=$B$23+$B$31-1),0,(I485+C485)/(1+$B$9))</x:f>
        <x:v>0</x:v>
      </x:c>
      <x:c r="J484" s="140" t="str">
        <x:f>IF($B$22&lt;&gt;"Sim","Desativada",IF(A484&lt;$B$23,"Antes da compra",IF(A484&lt;$B$23+$B$31,"Parcelas restantes","Encerrado")))</x:f>
        <x:v>Encerrado</x:v>
      </x:c>
      <x:c r="K484" s="141" t="n">
        <x:f>IF(C484&gt;0,C484/(1+$B$9)^A484,0)</x:f>
        <x:v>0</x:v>
      </x:c>
    </x:row>
    <x:row r="485">
      <x:c r="A485" s="142" t="n">
        <x:v>431</x:v>
      </x:c>
      <x:c r="B485" s="179" t="n">
        <x:f>EDATE($B$5,A485-1)</x:f>
        <x:v>59627</x:v>
      </x:c>
      <x:c r="C485" s="141" t="n">
        <x:f>IF(AND($B$22="Sim",A485&gt;=$B$23,A485&lt;$B$23+$B$31),$B$32*D485,0)</x:f>
        <x:v>0</x:v>
      </x:c>
      <x:c r="D485" s="180" t="n">
        <x:f>IF(A485&lt;$B$23,1,(1+$B$33)^INT((A485-$B$23)/12))</x:f>
        <x:v>7.6860867923123495</x:v>
      </x:c>
      <x:c r="E485" s="141" t="n">
        <x:f>IF(AND($B$22="Sim",A485=$B$23),$B$37,0)</x:f>
        <x:v>0</x:v>
      </x:c>
      <x:c r="F485" s="141" t="n">
        <x:f>IF(AND($B$22="Sim",A485=$B$24),$B$27,0)</x:f>
        <x:v>0</x:v>
      </x:c>
      <x:c r="G485" s="141" t="n">
        <x:f>IF(AND($B$22="Sim",A485=$B$23),$B$35,0)</x:f>
        <x:v>0</x:v>
      </x:c>
      <x:c r="H485" s="141" t="n">
        <x:f>IF(AND($B$22="Sim",A485=$B$23),$B$36,0)</x:f>
        <x:v>0</x:v>
      </x:c>
      <x:c r="I485" s="141" t="n">
        <x:f>IF(OR($B$22&lt;&gt;"Sim",A485&gt;=$B$23+$B$31-1),0,(I486+C486)/(1+$B$9))</x:f>
        <x:v>0</x:v>
      </x:c>
      <x:c r="J485" s="140" t="str">
        <x:f>IF($B$22&lt;&gt;"Sim","Desativada",IF(A485&lt;$B$23,"Antes da compra",IF(A485&lt;$B$23+$B$31,"Parcelas restantes","Encerrado")))</x:f>
        <x:v>Encerrado</x:v>
      </x:c>
      <x:c r="K485" s="141" t="n">
        <x:f>IF(C485&gt;0,C485/(1+$B$9)^A485,0)</x:f>
        <x:v>0</x:v>
      </x:c>
    </x:row>
    <x:row r="486">
      <x:c r="A486" s="142" t="n">
        <x:v>432</x:v>
      </x:c>
      <x:c r="B486" s="179" t="n">
        <x:f>EDATE($B$5,A486-1)</x:f>
        <x:v>59657</x:v>
      </x:c>
      <x:c r="C486" s="141" t="n">
        <x:f>IF(AND($B$22="Sim",A486&gt;=$B$23,A486&lt;$B$23+$B$31),$B$32*D486,0)</x:f>
        <x:v>0</x:v>
      </x:c>
      <x:c r="D486" s="180" t="n">
        <x:f>IF(A486&lt;$B$23,1,(1+$B$33)^INT((A486-$B$23)/12))</x:f>
        <x:v>7.6860867923123495</x:v>
      </x:c>
      <x:c r="E486" s="141" t="n">
        <x:f>IF(AND($B$22="Sim",A486=$B$23),$B$37,0)</x:f>
        <x:v>0</x:v>
      </x:c>
      <x:c r="F486" s="141" t="n">
        <x:f>IF(AND($B$22="Sim",A486=$B$24),$B$27,0)</x:f>
        <x:v>0</x:v>
      </x:c>
      <x:c r="G486" s="141" t="n">
        <x:f>IF(AND($B$22="Sim",A486=$B$23),$B$35,0)</x:f>
        <x:v>0</x:v>
      </x:c>
      <x:c r="H486" s="141" t="n">
        <x:f>IF(AND($B$22="Sim",A486=$B$23),$B$36,0)</x:f>
        <x:v>0</x:v>
      </x:c>
      <x:c r="I486" s="141" t="n">
        <x:f>IF(OR($B$22&lt;&gt;"Sim",A486&gt;=$B$23+$B$31-1),0,(I487+C487)/(1+$B$9))</x:f>
        <x:v>0</x:v>
      </x:c>
      <x:c r="J486" s="140" t="str">
        <x:f>IF($B$22&lt;&gt;"Sim","Desativada",IF(A486&lt;$B$23,"Antes da compra",IF(A486&lt;$B$23+$B$31,"Parcelas restantes","Encerrado")))</x:f>
        <x:v>Encerrado</x:v>
      </x:c>
      <x:c r="K486" s="141" t="n">
        <x:f>IF(C486&gt;0,C486/(1+$B$9)^A486,0)</x:f>
        <x:v>0</x:v>
      </x:c>
    </x:row>
    <x:row r="487">
      <x:c r="A487" s="142" t="n">
        <x:v>433</x:v>
      </x:c>
      <x:c r="B487" s="179" t="n">
        <x:f>EDATE($B$5,A487-1)</x:f>
        <x:v>59688</x:v>
      </x:c>
      <x:c r="C487" s="141" t="n">
        <x:f>IF(AND($B$22="Sim",A487&gt;=$B$23,A487&lt;$B$23+$B$31),$B$32*D487,0)</x:f>
        <x:v>0</x:v>
      </x:c>
      <x:c r="D487" s="180" t="n">
        <x:f>IF(A487&lt;$B$23,1,(1+$B$33)^INT((A487-$B$23)/12))</x:f>
        <x:v>8.14725199985109</x:v>
      </x:c>
      <x:c r="E487" s="141" t="n">
        <x:f>IF(AND($B$22="Sim",A487=$B$23),$B$37,0)</x:f>
        <x:v>0</x:v>
      </x:c>
      <x:c r="F487" s="141" t="n">
        <x:f>IF(AND($B$22="Sim",A487=$B$24),$B$27,0)</x:f>
        <x:v>0</x:v>
      </x:c>
      <x:c r="G487" s="141" t="n">
        <x:f>IF(AND($B$22="Sim",A487=$B$23),$B$35,0)</x:f>
        <x:v>0</x:v>
      </x:c>
      <x:c r="H487" s="141" t="n">
        <x:f>IF(AND($B$22="Sim",A487=$B$23),$B$36,0)</x:f>
        <x:v>0</x:v>
      </x:c>
      <x:c r="I487" s="141" t="n">
        <x:f>IF(OR($B$22&lt;&gt;"Sim",A487&gt;=$B$23+$B$31-1),0,(I488+C488)/(1+$B$9))</x:f>
        <x:v>0</x:v>
      </x:c>
      <x:c r="J487" s="140" t="str">
        <x:f>IF($B$22&lt;&gt;"Sim","Desativada",IF(A487&lt;$B$23,"Antes da compra",IF(A487&lt;$B$23+$B$31,"Parcelas restantes","Encerrado")))</x:f>
        <x:v>Encerrado</x:v>
      </x:c>
      <x:c r="K487" s="141" t="n">
        <x:f>IF(C487&gt;0,C487/(1+$B$9)^A487,0)</x:f>
        <x:v>0</x:v>
      </x:c>
    </x:row>
    <x:row r="488">
      <x:c r="A488" s="142" t="n">
        <x:v>434</x:v>
      </x:c>
      <x:c r="B488" s="179" t="n">
        <x:f>EDATE($B$5,A488-1)</x:f>
        <x:v>59718</x:v>
      </x:c>
      <x:c r="C488" s="141" t="n">
        <x:f>IF(AND($B$22="Sim",A488&gt;=$B$23,A488&lt;$B$23+$B$31),$B$32*D488,0)</x:f>
        <x:v>0</x:v>
      </x:c>
      <x:c r="D488" s="180" t="n">
        <x:f>IF(A488&lt;$B$23,1,(1+$B$33)^INT((A488-$B$23)/12))</x:f>
        <x:v>8.14725199985109</x:v>
      </x:c>
      <x:c r="E488" s="141" t="n">
        <x:f>IF(AND($B$22="Sim",A488=$B$23),$B$37,0)</x:f>
        <x:v>0</x:v>
      </x:c>
      <x:c r="F488" s="141" t="n">
        <x:f>IF(AND($B$22="Sim",A488=$B$24),$B$27,0)</x:f>
        <x:v>0</x:v>
      </x:c>
      <x:c r="G488" s="141" t="n">
        <x:f>IF(AND($B$22="Sim",A488=$B$23),$B$35,0)</x:f>
        <x:v>0</x:v>
      </x:c>
      <x:c r="H488" s="141" t="n">
        <x:f>IF(AND($B$22="Sim",A488=$B$23),$B$36,0)</x:f>
        <x:v>0</x:v>
      </x:c>
      <x:c r="I488" s="141" t="n">
        <x:f>IF(OR($B$22&lt;&gt;"Sim",A488&gt;=$B$23+$B$31-1),0,(I489+C489)/(1+$B$9))</x:f>
        <x:v>0</x:v>
      </x:c>
      <x:c r="J488" s="140" t="str">
        <x:f>IF($B$22&lt;&gt;"Sim","Desativada",IF(A488&lt;$B$23,"Antes da compra",IF(A488&lt;$B$23+$B$31,"Parcelas restantes","Encerrado")))</x:f>
        <x:v>Encerrado</x:v>
      </x:c>
      <x:c r="K488" s="141" t="n">
        <x:f>IF(C488&gt;0,C488/(1+$B$9)^A488,0)</x:f>
        <x:v>0</x:v>
      </x:c>
    </x:row>
    <x:row r="489">
      <x:c r="A489" s="142" t="n">
        <x:v>435</x:v>
      </x:c>
      <x:c r="B489" s="179" t="n">
        <x:f>EDATE($B$5,A489-1)</x:f>
        <x:v>59749</x:v>
      </x:c>
      <x:c r="C489" s="141" t="n">
        <x:f>IF(AND($B$22="Sim",A489&gt;=$B$23,A489&lt;$B$23+$B$31),$B$32*D489,0)</x:f>
        <x:v>0</x:v>
      </x:c>
      <x:c r="D489" s="180" t="n">
        <x:f>IF(A489&lt;$B$23,1,(1+$B$33)^INT((A489-$B$23)/12))</x:f>
        <x:v>8.14725199985109</x:v>
      </x:c>
      <x:c r="E489" s="141" t="n">
        <x:f>IF(AND($B$22="Sim",A489=$B$23),$B$37,0)</x:f>
        <x:v>0</x:v>
      </x:c>
      <x:c r="F489" s="141" t="n">
        <x:f>IF(AND($B$22="Sim",A489=$B$24),$B$27,0)</x:f>
        <x:v>0</x:v>
      </x:c>
      <x:c r="G489" s="141" t="n">
        <x:f>IF(AND($B$22="Sim",A489=$B$23),$B$35,0)</x:f>
        <x:v>0</x:v>
      </x:c>
      <x:c r="H489" s="141" t="n">
        <x:f>IF(AND($B$22="Sim",A489=$B$23),$B$36,0)</x:f>
        <x:v>0</x:v>
      </x:c>
      <x:c r="I489" s="141" t="n">
        <x:f>IF(OR($B$22&lt;&gt;"Sim",A489&gt;=$B$23+$B$31-1),0,(I490+C490)/(1+$B$9))</x:f>
        <x:v>0</x:v>
      </x:c>
      <x:c r="J489" s="140" t="str">
        <x:f>IF($B$22&lt;&gt;"Sim","Desativada",IF(A489&lt;$B$23,"Antes da compra",IF(A489&lt;$B$23+$B$31,"Parcelas restantes","Encerrado")))</x:f>
        <x:v>Encerrado</x:v>
      </x:c>
      <x:c r="K489" s="141" t="n">
        <x:f>IF(C489&gt;0,C489/(1+$B$9)^A489,0)</x:f>
        <x:v>0</x:v>
      </x:c>
    </x:row>
    <x:row r="490">
      <x:c r="A490" s="142" t="n">
        <x:v>436</x:v>
      </x:c>
      <x:c r="B490" s="179" t="n">
        <x:f>EDATE($B$5,A490-1)</x:f>
        <x:v>59780</x:v>
      </x:c>
      <x:c r="C490" s="141" t="n">
        <x:f>IF(AND($B$22="Sim",A490&gt;=$B$23,A490&lt;$B$23+$B$31),$B$32*D490,0)</x:f>
        <x:v>0</x:v>
      </x:c>
      <x:c r="D490" s="180" t="n">
        <x:f>IF(A490&lt;$B$23,1,(1+$B$33)^INT((A490-$B$23)/12))</x:f>
        <x:v>8.14725199985109</x:v>
      </x:c>
      <x:c r="E490" s="141" t="n">
        <x:f>IF(AND($B$22="Sim",A490=$B$23),$B$37,0)</x:f>
        <x:v>0</x:v>
      </x:c>
      <x:c r="F490" s="141" t="n">
        <x:f>IF(AND($B$22="Sim",A490=$B$24),$B$27,0)</x:f>
        <x:v>0</x:v>
      </x:c>
      <x:c r="G490" s="141" t="n">
        <x:f>IF(AND($B$22="Sim",A490=$B$23),$B$35,0)</x:f>
        <x:v>0</x:v>
      </x:c>
      <x:c r="H490" s="141" t="n">
        <x:f>IF(AND($B$22="Sim",A490=$B$23),$B$36,0)</x:f>
        <x:v>0</x:v>
      </x:c>
      <x:c r="I490" s="141" t="n">
        <x:f>IF(OR($B$22&lt;&gt;"Sim",A490&gt;=$B$23+$B$31-1),0,(I491+C491)/(1+$B$9))</x:f>
        <x:v>0</x:v>
      </x:c>
      <x:c r="J490" s="140" t="str">
        <x:f>IF($B$22&lt;&gt;"Sim","Desativada",IF(A490&lt;$B$23,"Antes da compra",IF(A490&lt;$B$23+$B$31,"Parcelas restantes","Encerrado")))</x:f>
        <x:v>Encerrado</x:v>
      </x:c>
      <x:c r="K490" s="141" t="n">
        <x:f>IF(C490&gt;0,C490/(1+$B$9)^A490,0)</x:f>
        <x:v>0</x:v>
      </x:c>
    </x:row>
    <x:row r="491">
      <x:c r="A491" s="142" t="n">
        <x:v>437</x:v>
      </x:c>
      <x:c r="B491" s="179" t="n">
        <x:f>EDATE($B$5,A491-1)</x:f>
        <x:v>59810</x:v>
      </x:c>
      <x:c r="C491" s="141" t="n">
        <x:f>IF(AND($B$22="Sim",A491&gt;=$B$23,A491&lt;$B$23+$B$31),$B$32*D491,0)</x:f>
        <x:v>0</x:v>
      </x:c>
      <x:c r="D491" s="180" t="n">
        <x:f>IF(A491&lt;$B$23,1,(1+$B$33)^INT((A491-$B$23)/12))</x:f>
        <x:v>8.14725199985109</x:v>
      </x:c>
      <x:c r="E491" s="141" t="n">
        <x:f>IF(AND($B$22="Sim",A491=$B$23),$B$37,0)</x:f>
        <x:v>0</x:v>
      </x:c>
      <x:c r="F491" s="141" t="n">
        <x:f>IF(AND($B$22="Sim",A491=$B$24),$B$27,0)</x:f>
        <x:v>0</x:v>
      </x:c>
      <x:c r="G491" s="141" t="n">
        <x:f>IF(AND($B$22="Sim",A491=$B$23),$B$35,0)</x:f>
        <x:v>0</x:v>
      </x:c>
      <x:c r="H491" s="141" t="n">
        <x:f>IF(AND($B$22="Sim",A491=$B$23),$B$36,0)</x:f>
        <x:v>0</x:v>
      </x:c>
      <x:c r="I491" s="141" t="n">
        <x:f>IF(OR($B$22&lt;&gt;"Sim",A491&gt;=$B$23+$B$31-1),0,(I492+C492)/(1+$B$9))</x:f>
        <x:v>0</x:v>
      </x:c>
      <x:c r="J491" s="140" t="str">
        <x:f>IF($B$22&lt;&gt;"Sim","Desativada",IF(A491&lt;$B$23,"Antes da compra",IF(A491&lt;$B$23+$B$31,"Parcelas restantes","Encerrado")))</x:f>
        <x:v>Encerrado</x:v>
      </x:c>
      <x:c r="K491" s="141" t="n">
        <x:f>IF(C491&gt;0,C491/(1+$B$9)^A491,0)</x:f>
        <x:v>0</x:v>
      </x:c>
    </x:row>
    <x:row r="492">
      <x:c r="A492" s="142" t="n">
        <x:v>438</x:v>
      </x:c>
      <x:c r="B492" s="179" t="n">
        <x:f>EDATE($B$5,A492-1)</x:f>
        <x:v>59841</x:v>
      </x:c>
      <x:c r="C492" s="141" t="n">
        <x:f>IF(AND($B$22="Sim",A492&gt;=$B$23,A492&lt;$B$23+$B$31),$B$32*D492,0)</x:f>
        <x:v>0</x:v>
      </x:c>
      <x:c r="D492" s="180" t="n">
        <x:f>IF(A492&lt;$B$23,1,(1+$B$33)^INT((A492-$B$23)/12))</x:f>
        <x:v>8.14725199985109</x:v>
      </x:c>
      <x:c r="E492" s="141" t="n">
        <x:f>IF(AND($B$22="Sim",A492=$B$23),$B$37,0)</x:f>
        <x:v>0</x:v>
      </x:c>
      <x:c r="F492" s="141" t="n">
        <x:f>IF(AND($B$22="Sim",A492=$B$24),$B$27,0)</x:f>
        <x:v>0</x:v>
      </x:c>
      <x:c r="G492" s="141" t="n">
        <x:f>IF(AND($B$22="Sim",A492=$B$23),$B$35,0)</x:f>
        <x:v>0</x:v>
      </x:c>
      <x:c r="H492" s="141" t="n">
        <x:f>IF(AND($B$22="Sim",A492=$B$23),$B$36,0)</x:f>
        <x:v>0</x:v>
      </x:c>
      <x:c r="I492" s="141" t="n">
        <x:f>IF(OR($B$22&lt;&gt;"Sim",A492&gt;=$B$23+$B$31-1),0,(I493+C493)/(1+$B$9))</x:f>
        <x:v>0</x:v>
      </x:c>
      <x:c r="J492" s="140" t="str">
        <x:f>IF($B$22&lt;&gt;"Sim","Desativada",IF(A492&lt;$B$23,"Antes da compra",IF(A492&lt;$B$23+$B$31,"Parcelas restantes","Encerrado")))</x:f>
        <x:v>Encerrado</x:v>
      </x:c>
      <x:c r="K492" s="141" t="n">
        <x:f>IF(C492&gt;0,C492/(1+$B$9)^A492,0)</x:f>
        <x:v>0</x:v>
      </x:c>
    </x:row>
    <x:row r="493">
      <x:c r="A493" s="142" t="n">
        <x:v>439</x:v>
      </x:c>
      <x:c r="B493" s="179" t="n">
        <x:f>EDATE($B$5,A493-1)</x:f>
        <x:v>59871</x:v>
      </x:c>
      <x:c r="C493" s="141" t="n">
        <x:f>IF(AND($B$22="Sim",A493&gt;=$B$23,A493&lt;$B$23+$B$31),$B$32*D493,0)</x:f>
        <x:v>0</x:v>
      </x:c>
      <x:c r="D493" s="180" t="n">
        <x:f>IF(A493&lt;$B$23,1,(1+$B$33)^INT((A493-$B$23)/12))</x:f>
        <x:v>8.14725199985109</x:v>
      </x:c>
      <x:c r="E493" s="141" t="n">
        <x:f>IF(AND($B$22="Sim",A493=$B$23),$B$37,0)</x:f>
        <x:v>0</x:v>
      </x:c>
      <x:c r="F493" s="141" t="n">
        <x:f>IF(AND($B$22="Sim",A493=$B$24),$B$27,0)</x:f>
        <x:v>0</x:v>
      </x:c>
      <x:c r="G493" s="141" t="n">
        <x:f>IF(AND($B$22="Sim",A493=$B$23),$B$35,0)</x:f>
        <x:v>0</x:v>
      </x:c>
      <x:c r="H493" s="141" t="n">
        <x:f>IF(AND($B$22="Sim",A493=$B$23),$B$36,0)</x:f>
        <x:v>0</x:v>
      </x:c>
      <x:c r="I493" s="141" t="n">
        <x:f>IF(OR($B$22&lt;&gt;"Sim",A493&gt;=$B$23+$B$31-1),0,(I494+C494)/(1+$B$9))</x:f>
        <x:v>0</x:v>
      </x:c>
      <x:c r="J493" s="140" t="str">
        <x:f>IF($B$22&lt;&gt;"Sim","Desativada",IF(A493&lt;$B$23,"Antes da compra",IF(A493&lt;$B$23+$B$31,"Parcelas restantes","Encerrado")))</x:f>
        <x:v>Encerrado</x:v>
      </x:c>
      <x:c r="K493" s="141" t="n">
        <x:f>IF(C493&gt;0,C493/(1+$B$9)^A493,0)</x:f>
        <x:v>0</x:v>
      </x:c>
    </x:row>
    <x:row r="494">
      <x:c r="A494" s="142" t="n">
        <x:v>440</x:v>
      </x:c>
      <x:c r="B494" s="179" t="n">
        <x:f>EDATE($B$5,A494-1)</x:f>
        <x:v>59902</x:v>
      </x:c>
      <x:c r="C494" s="141" t="n">
        <x:f>IF(AND($B$22="Sim",A494&gt;=$B$23,A494&lt;$B$23+$B$31),$B$32*D494,0)</x:f>
        <x:v>0</x:v>
      </x:c>
      <x:c r="D494" s="180" t="n">
        <x:f>IF(A494&lt;$B$23,1,(1+$B$33)^INT((A494-$B$23)/12))</x:f>
        <x:v>8.14725199985109</x:v>
      </x:c>
      <x:c r="E494" s="141" t="n">
        <x:f>IF(AND($B$22="Sim",A494=$B$23),$B$37,0)</x:f>
        <x:v>0</x:v>
      </x:c>
      <x:c r="F494" s="141" t="n">
        <x:f>IF(AND($B$22="Sim",A494=$B$24),$B$27,0)</x:f>
        <x:v>0</x:v>
      </x:c>
      <x:c r="G494" s="141" t="n">
        <x:f>IF(AND($B$22="Sim",A494=$B$23),$B$35,0)</x:f>
        <x:v>0</x:v>
      </x:c>
      <x:c r="H494" s="141" t="n">
        <x:f>IF(AND($B$22="Sim",A494=$B$23),$B$36,0)</x:f>
        <x:v>0</x:v>
      </x:c>
      <x:c r="I494" s="141" t="n">
        <x:f>IF(OR($B$22&lt;&gt;"Sim",A494&gt;=$B$23+$B$31-1),0,(I495+C495)/(1+$B$9))</x:f>
        <x:v>0</x:v>
      </x:c>
      <x:c r="J494" s="140" t="str">
        <x:f>IF($B$22&lt;&gt;"Sim","Desativada",IF(A494&lt;$B$23,"Antes da compra",IF(A494&lt;$B$23+$B$31,"Parcelas restantes","Encerrado")))</x:f>
        <x:v>Encerrado</x:v>
      </x:c>
      <x:c r="K494" s="141" t="n">
        <x:f>IF(C494&gt;0,C494/(1+$B$9)^A494,0)</x:f>
        <x:v>0</x:v>
      </x:c>
    </x:row>
    <x:row r="495">
      <x:c r="A495" s="142" t="n">
        <x:v>441</x:v>
      </x:c>
      <x:c r="B495" s="179" t="n">
        <x:f>EDATE($B$5,A495-1)</x:f>
        <x:v>59933</x:v>
      </x:c>
      <x:c r="C495" s="141" t="n">
        <x:f>IF(AND($B$22="Sim",A495&gt;=$B$23,A495&lt;$B$23+$B$31),$B$32*D495,0)</x:f>
        <x:v>0</x:v>
      </x:c>
      <x:c r="D495" s="180" t="n">
        <x:f>IF(A495&lt;$B$23,1,(1+$B$33)^INT((A495-$B$23)/12))</x:f>
        <x:v>8.14725199985109</x:v>
      </x:c>
      <x:c r="E495" s="141" t="n">
        <x:f>IF(AND($B$22="Sim",A495=$B$23),$B$37,0)</x:f>
        <x:v>0</x:v>
      </x:c>
      <x:c r="F495" s="141" t="n">
        <x:f>IF(AND($B$22="Sim",A495=$B$24),$B$27,0)</x:f>
        <x:v>0</x:v>
      </x:c>
      <x:c r="G495" s="141" t="n">
        <x:f>IF(AND($B$22="Sim",A495=$B$23),$B$35,0)</x:f>
        <x:v>0</x:v>
      </x:c>
      <x:c r="H495" s="141" t="n">
        <x:f>IF(AND($B$22="Sim",A495=$B$23),$B$36,0)</x:f>
        <x:v>0</x:v>
      </x:c>
      <x:c r="I495" s="141" t="n">
        <x:f>IF(OR($B$22&lt;&gt;"Sim",A495&gt;=$B$23+$B$31-1),0,(I496+C496)/(1+$B$9))</x:f>
        <x:v>0</x:v>
      </x:c>
      <x:c r="J495" s="140" t="str">
        <x:f>IF($B$22&lt;&gt;"Sim","Desativada",IF(A495&lt;$B$23,"Antes da compra",IF(A495&lt;$B$23+$B$31,"Parcelas restantes","Encerrado")))</x:f>
        <x:v>Encerrado</x:v>
      </x:c>
      <x:c r="K495" s="141" t="n">
        <x:f>IF(C495&gt;0,C495/(1+$B$9)^A495,0)</x:f>
        <x:v>0</x:v>
      </x:c>
    </x:row>
    <x:row r="496">
      <x:c r="A496" s="142" t="n">
        <x:v>442</x:v>
      </x:c>
      <x:c r="B496" s="179" t="n">
        <x:f>EDATE($B$5,A496-1)</x:f>
        <x:v>59962</x:v>
      </x:c>
      <x:c r="C496" s="141" t="n">
        <x:f>IF(AND($B$22="Sim",A496&gt;=$B$23,A496&lt;$B$23+$B$31),$B$32*D496,0)</x:f>
        <x:v>0</x:v>
      </x:c>
      <x:c r="D496" s="180" t="n">
        <x:f>IF(A496&lt;$B$23,1,(1+$B$33)^INT((A496-$B$23)/12))</x:f>
        <x:v>8.14725199985109</x:v>
      </x:c>
      <x:c r="E496" s="141" t="n">
        <x:f>IF(AND($B$22="Sim",A496=$B$23),$B$37,0)</x:f>
        <x:v>0</x:v>
      </x:c>
      <x:c r="F496" s="141" t="n">
        <x:f>IF(AND($B$22="Sim",A496=$B$24),$B$27,0)</x:f>
        <x:v>0</x:v>
      </x:c>
      <x:c r="G496" s="141" t="n">
        <x:f>IF(AND($B$22="Sim",A496=$B$23),$B$35,0)</x:f>
        <x:v>0</x:v>
      </x:c>
      <x:c r="H496" s="141" t="n">
        <x:f>IF(AND($B$22="Sim",A496=$B$23),$B$36,0)</x:f>
        <x:v>0</x:v>
      </x:c>
      <x:c r="I496" s="141" t="n">
        <x:f>IF(OR($B$22&lt;&gt;"Sim",A496&gt;=$B$23+$B$31-1),0,(I497+C497)/(1+$B$9))</x:f>
        <x:v>0</x:v>
      </x:c>
      <x:c r="J496" s="140" t="str">
        <x:f>IF($B$22&lt;&gt;"Sim","Desativada",IF(A496&lt;$B$23,"Antes da compra",IF(A496&lt;$B$23+$B$31,"Parcelas restantes","Encerrado")))</x:f>
        <x:v>Encerrado</x:v>
      </x:c>
      <x:c r="K496" s="141" t="n">
        <x:f>IF(C496&gt;0,C496/(1+$B$9)^A496,0)</x:f>
        <x:v>0</x:v>
      </x:c>
    </x:row>
    <x:row r="497">
      <x:c r="A497" s="142" t="n">
        <x:v>443</x:v>
      </x:c>
      <x:c r="B497" s="179" t="n">
        <x:f>EDATE($B$5,A497-1)</x:f>
        <x:v>59993</x:v>
      </x:c>
      <x:c r="C497" s="141" t="n">
        <x:f>IF(AND($B$22="Sim",A497&gt;=$B$23,A497&lt;$B$23+$B$31),$B$32*D497,0)</x:f>
        <x:v>0</x:v>
      </x:c>
      <x:c r="D497" s="180" t="n">
        <x:f>IF(A497&lt;$B$23,1,(1+$B$33)^INT((A497-$B$23)/12))</x:f>
        <x:v>8.14725199985109</x:v>
      </x:c>
      <x:c r="E497" s="141" t="n">
        <x:f>IF(AND($B$22="Sim",A497=$B$23),$B$37,0)</x:f>
        <x:v>0</x:v>
      </x:c>
      <x:c r="F497" s="141" t="n">
        <x:f>IF(AND($B$22="Sim",A497=$B$24),$B$27,0)</x:f>
        <x:v>0</x:v>
      </x:c>
      <x:c r="G497" s="141" t="n">
        <x:f>IF(AND($B$22="Sim",A497=$B$23),$B$35,0)</x:f>
        <x:v>0</x:v>
      </x:c>
      <x:c r="H497" s="141" t="n">
        <x:f>IF(AND($B$22="Sim",A497=$B$23),$B$36,0)</x:f>
        <x:v>0</x:v>
      </x:c>
      <x:c r="I497" s="141" t="n">
        <x:f>IF(OR($B$22&lt;&gt;"Sim",A497&gt;=$B$23+$B$31-1),0,(I498+C498)/(1+$B$9))</x:f>
        <x:v>0</x:v>
      </x:c>
      <x:c r="J497" s="140" t="str">
        <x:f>IF($B$22&lt;&gt;"Sim","Desativada",IF(A497&lt;$B$23,"Antes da compra",IF(A497&lt;$B$23+$B$31,"Parcelas restantes","Encerrado")))</x:f>
        <x:v>Encerrado</x:v>
      </x:c>
      <x:c r="K497" s="141" t="n">
        <x:f>IF(C497&gt;0,C497/(1+$B$9)^A497,0)</x:f>
        <x:v>0</x:v>
      </x:c>
    </x:row>
    <x:row r="498">
      <x:c r="A498" s="142" t="n">
        <x:v>444</x:v>
      </x:c>
      <x:c r="B498" s="179" t="n">
        <x:f>EDATE($B$5,A498-1)</x:f>
        <x:v>60023</x:v>
      </x:c>
      <x:c r="C498" s="141" t="n">
        <x:f>IF(AND($B$22="Sim",A498&gt;=$B$23,A498&lt;$B$23+$B$31),$B$32*D498,0)</x:f>
        <x:v>0</x:v>
      </x:c>
      <x:c r="D498" s="180" t="n">
        <x:f>IF(A498&lt;$B$23,1,(1+$B$33)^INT((A498-$B$23)/12))</x:f>
        <x:v>8.14725199985109</x:v>
      </x:c>
      <x:c r="E498" s="141" t="n">
        <x:f>IF(AND($B$22="Sim",A498=$B$23),$B$37,0)</x:f>
        <x:v>0</x:v>
      </x:c>
      <x:c r="F498" s="141" t="n">
        <x:f>IF(AND($B$22="Sim",A498=$B$24),$B$27,0)</x:f>
        <x:v>0</x:v>
      </x:c>
      <x:c r="G498" s="141" t="n">
        <x:f>IF(AND($B$22="Sim",A498=$B$23),$B$35,0)</x:f>
        <x:v>0</x:v>
      </x:c>
      <x:c r="H498" s="141" t="n">
        <x:f>IF(AND($B$22="Sim",A498=$B$23),$B$36,0)</x:f>
        <x:v>0</x:v>
      </x:c>
      <x:c r="I498" s="141" t="n">
        <x:f>IF(OR($B$22&lt;&gt;"Sim",A498&gt;=$B$23+$B$31-1),0,(I499+C499)/(1+$B$9))</x:f>
        <x:v>0</x:v>
      </x:c>
      <x:c r="J498" s="140" t="str">
        <x:f>IF($B$22&lt;&gt;"Sim","Desativada",IF(A498&lt;$B$23,"Antes da compra",IF(A498&lt;$B$23+$B$31,"Parcelas restantes","Encerrado")))</x:f>
        <x:v>Encerrado</x:v>
      </x:c>
      <x:c r="K498" s="141" t="n">
        <x:f>IF(C498&gt;0,C498/(1+$B$9)^A498,0)</x:f>
        <x:v>0</x:v>
      </x:c>
    </x:row>
    <x:row r="499">
      <x:c r="A499" s="142" t="n">
        <x:v>445</x:v>
      </x:c>
      <x:c r="B499" s="179" t="n">
        <x:f>EDATE($B$5,A499-1)</x:f>
        <x:v>60054</x:v>
      </x:c>
      <x:c r="C499" s="141" t="n">
        <x:f>IF(AND($B$22="Sim",A499&gt;=$B$23,A499&lt;$B$23+$B$31),$B$32*D499,0)</x:f>
        <x:v>0</x:v>
      </x:c>
      <x:c r="D499" s="180" t="n">
        <x:f>IF(A499&lt;$B$23,1,(1+$B$33)^INT((A499-$B$23)/12))</x:f>
        <x:v>8.636087119842156</x:v>
      </x:c>
      <x:c r="E499" s="141" t="n">
        <x:f>IF(AND($B$22="Sim",A499=$B$23),$B$37,0)</x:f>
        <x:v>0</x:v>
      </x:c>
      <x:c r="F499" s="141" t="n">
        <x:f>IF(AND($B$22="Sim",A499=$B$24),$B$27,0)</x:f>
        <x:v>0</x:v>
      </x:c>
      <x:c r="G499" s="141" t="n">
        <x:f>IF(AND($B$22="Sim",A499=$B$23),$B$35,0)</x:f>
        <x:v>0</x:v>
      </x:c>
      <x:c r="H499" s="141" t="n">
        <x:f>IF(AND($B$22="Sim",A499=$B$23),$B$36,0)</x:f>
        <x:v>0</x:v>
      </x:c>
      <x:c r="I499" s="141" t="n">
        <x:f>IF(OR($B$22&lt;&gt;"Sim",A499&gt;=$B$23+$B$31-1),0,(I500+C500)/(1+$B$9))</x:f>
        <x:v>0</x:v>
      </x:c>
      <x:c r="J499" s="140" t="str">
        <x:f>IF($B$22&lt;&gt;"Sim","Desativada",IF(A499&lt;$B$23,"Antes da compra",IF(A499&lt;$B$23+$B$31,"Parcelas restantes","Encerrado")))</x:f>
        <x:v>Encerrado</x:v>
      </x:c>
      <x:c r="K499" s="141" t="n">
        <x:f>IF(C499&gt;0,C499/(1+$B$9)^A499,0)</x:f>
        <x:v>0</x:v>
      </x:c>
    </x:row>
    <x:row r="500">
      <x:c r="A500" s="142" t="n">
        <x:v>446</x:v>
      </x:c>
      <x:c r="B500" s="179" t="n">
        <x:f>EDATE($B$5,A500-1)</x:f>
        <x:v>60084</x:v>
      </x:c>
      <x:c r="C500" s="141" t="n">
        <x:f>IF(AND($B$22="Sim",A500&gt;=$B$23,A500&lt;$B$23+$B$31),$B$32*D500,0)</x:f>
        <x:v>0</x:v>
      </x:c>
      <x:c r="D500" s="180" t="n">
        <x:f>IF(A500&lt;$B$23,1,(1+$B$33)^INT((A500-$B$23)/12))</x:f>
        <x:v>8.636087119842156</x:v>
      </x:c>
      <x:c r="E500" s="141" t="n">
        <x:f>IF(AND($B$22="Sim",A500=$B$23),$B$37,0)</x:f>
        <x:v>0</x:v>
      </x:c>
      <x:c r="F500" s="141" t="n">
        <x:f>IF(AND($B$22="Sim",A500=$B$24),$B$27,0)</x:f>
        <x:v>0</x:v>
      </x:c>
      <x:c r="G500" s="141" t="n">
        <x:f>IF(AND($B$22="Sim",A500=$B$23),$B$35,0)</x:f>
        <x:v>0</x:v>
      </x:c>
      <x:c r="H500" s="141" t="n">
        <x:f>IF(AND($B$22="Sim",A500=$B$23),$B$36,0)</x:f>
        <x:v>0</x:v>
      </x:c>
      <x:c r="I500" s="141" t="n">
        <x:f>IF(OR($B$22&lt;&gt;"Sim",A500&gt;=$B$23+$B$31-1),0,(I501+C501)/(1+$B$9))</x:f>
        <x:v>0</x:v>
      </x:c>
      <x:c r="J500" s="140" t="str">
        <x:f>IF($B$22&lt;&gt;"Sim","Desativada",IF(A500&lt;$B$23,"Antes da compra",IF(A500&lt;$B$23+$B$31,"Parcelas restantes","Encerrado")))</x:f>
        <x:v>Encerrado</x:v>
      </x:c>
      <x:c r="K500" s="141" t="n">
        <x:f>IF(C500&gt;0,C500/(1+$B$9)^A500,0)</x:f>
        <x:v>0</x:v>
      </x:c>
    </x:row>
    <x:row r="501">
      <x:c r="A501" s="142" t="n">
        <x:v>447</x:v>
      </x:c>
      <x:c r="B501" s="179" t="n">
        <x:f>EDATE($B$5,A501-1)</x:f>
        <x:v>60115</x:v>
      </x:c>
      <x:c r="C501" s="141" t="n">
        <x:f>IF(AND($B$22="Sim",A501&gt;=$B$23,A501&lt;$B$23+$B$31),$B$32*D501,0)</x:f>
        <x:v>0</x:v>
      </x:c>
      <x:c r="D501" s="180" t="n">
        <x:f>IF(A501&lt;$B$23,1,(1+$B$33)^INT((A501-$B$23)/12))</x:f>
        <x:v>8.636087119842156</x:v>
      </x:c>
      <x:c r="E501" s="141" t="n">
        <x:f>IF(AND($B$22="Sim",A501=$B$23),$B$37,0)</x:f>
        <x:v>0</x:v>
      </x:c>
      <x:c r="F501" s="141" t="n">
        <x:f>IF(AND($B$22="Sim",A501=$B$24),$B$27,0)</x:f>
        <x:v>0</x:v>
      </x:c>
      <x:c r="G501" s="141" t="n">
        <x:f>IF(AND($B$22="Sim",A501=$B$23),$B$35,0)</x:f>
        <x:v>0</x:v>
      </x:c>
      <x:c r="H501" s="141" t="n">
        <x:f>IF(AND($B$22="Sim",A501=$B$23),$B$36,0)</x:f>
        <x:v>0</x:v>
      </x:c>
      <x:c r="I501" s="141" t="n">
        <x:f>IF(OR($B$22&lt;&gt;"Sim",A501&gt;=$B$23+$B$31-1),0,(I502+C502)/(1+$B$9))</x:f>
        <x:v>0</x:v>
      </x:c>
      <x:c r="J501" s="140" t="str">
        <x:f>IF($B$22&lt;&gt;"Sim","Desativada",IF(A501&lt;$B$23,"Antes da compra",IF(A501&lt;$B$23+$B$31,"Parcelas restantes","Encerrado")))</x:f>
        <x:v>Encerrado</x:v>
      </x:c>
      <x:c r="K501" s="141" t="n">
        <x:f>IF(C501&gt;0,C501/(1+$B$9)^A501,0)</x:f>
        <x:v>0</x:v>
      </x:c>
    </x:row>
    <x:row r="502">
      <x:c r="A502" s="142" t="n">
        <x:v>448</x:v>
      </x:c>
      <x:c r="B502" s="179" t="n">
        <x:f>EDATE($B$5,A502-1)</x:f>
        <x:v>60146</x:v>
      </x:c>
      <x:c r="C502" s="141" t="n">
        <x:f>IF(AND($B$22="Sim",A502&gt;=$B$23,A502&lt;$B$23+$B$31),$B$32*D502,0)</x:f>
        <x:v>0</x:v>
      </x:c>
      <x:c r="D502" s="180" t="n">
        <x:f>IF(A502&lt;$B$23,1,(1+$B$33)^INT((A502-$B$23)/12))</x:f>
        <x:v>8.636087119842156</x:v>
      </x:c>
      <x:c r="E502" s="141" t="n">
        <x:f>IF(AND($B$22="Sim",A502=$B$23),$B$37,0)</x:f>
        <x:v>0</x:v>
      </x:c>
      <x:c r="F502" s="141" t="n">
        <x:f>IF(AND($B$22="Sim",A502=$B$24),$B$27,0)</x:f>
        <x:v>0</x:v>
      </x:c>
      <x:c r="G502" s="141" t="n">
        <x:f>IF(AND($B$22="Sim",A502=$B$23),$B$35,0)</x:f>
        <x:v>0</x:v>
      </x:c>
      <x:c r="H502" s="141" t="n">
        <x:f>IF(AND($B$22="Sim",A502=$B$23),$B$36,0)</x:f>
        <x:v>0</x:v>
      </x:c>
      <x:c r="I502" s="141" t="n">
        <x:f>IF(OR($B$22&lt;&gt;"Sim",A502&gt;=$B$23+$B$31-1),0,(I503+C503)/(1+$B$9))</x:f>
        <x:v>0</x:v>
      </x:c>
      <x:c r="J502" s="140" t="str">
        <x:f>IF($B$22&lt;&gt;"Sim","Desativada",IF(A502&lt;$B$23,"Antes da compra",IF(A502&lt;$B$23+$B$31,"Parcelas restantes","Encerrado")))</x:f>
        <x:v>Encerrado</x:v>
      </x:c>
      <x:c r="K502" s="141" t="n">
        <x:f>IF(C502&gt;0,C502/(1+$B$9)^A502,0)</x:f>
        <x:v>0</x:v>
      </x:c>
    </x:row>
    <x:row r="503">
      <x:c r="A503" s="142" t="n">
        <x:v>449</x:v>
      </x:c>
      <x:c r="B503" s="179" t="n">
        <x:f>EDATE($B$5,A503-1)</x:f>
        <x:v>60176</x:v>
      </x:c>
      <x:c r="C503" s="141" t="n">
        <x:f>IF(AND($B$22="Sim",A503&gt;=$B$23,A503&lt;$B$23+$B$31),$B$32*D503,0)</x:f>
        <x:v>0</x:v>
      </x:c>
      <x:c r="D503" s="180" t="n">
        <x:f>IF(A503&lt;$B$23,1,(1+$B$33)^INT((A503-$B$23)/12))</x:f>
        <x:v>8.636087119842156</x:v>
      </x:c>
      <x:c r="E503" s="141" t="n">
        <x:f>IF(AND($B$22="Sim",A503=$B$23),$B$37,0)</x:f>
        <x:v>0</x:v>
      </x:c>
      <x:c r="F503" s="141" t="n">
        <x:f>IF(AND($B$22="Sim",A503=$B$24),$B$27,0)</x:f>
        <x:v>0</x:v>
      </x:c>
      <x:c r="G503" s="141" t="n">
        <x:f>IF(AND($B$22="Sim",A503=$B$23),$B$35,0)</x:f>
        <x:v>0</x:v>
      </x:c>
      <x:c r="H503" s="141" t="n">
        <x:f>IF(AND($B$22="Sim",A503=$B$23),$B$36,0)</x:f>
        <x:v>0</x:v>
      </x:c>
      <x:c r="I503" s="141" t="n">
        <x:f>IF(OR($B$22&lt;&gt;"Sim",A503&gt;=$B$23+$B$31-1),0,(I504+C504)/(1+$B$9))</x:f>
        <x:v>0</x:v>
      </x:c>
      <x:c r="J503" s="140" t="str">
        <x:f>IF($B$22&lt;&gt;"Sim","Desativada",IF(A503&lt;$B$23,"Antes da compra",IF(A503&lt;$B$23+$B$31,"Parcelas restantes","Encerrado")))</x:f>
        <x:v>Encerrado</x:v>
      </x:c>
      <x:c r="K503" s="141" t="n">
        <x:f>IF(C503&gt;0,C503/(1+$B$9)^A503,0)</x:f>
        <x:v>0</x:v>
      </x:c>
    </x:row>
    <x:row r="504">
      <x:c r="A504" s="142" t="n">
        <x:v>450</x:v>
      </x:c>
      <x:c r="B504" s="179" t="n">
        <x:f>EDATE($B$5,A504-1)</x:f>
        <x:v>60207</x:v>
      </x:c>
      <x:c r="C504" s="141" t="n">
        <x:f>IF(AND($B$22="Sim",A504&gt;=$B$23,A504&lt;$B$23+$B$31),$B$32*D504,0)</x:f>
        <x:v>0</x:v>
      </x:c>
      <x:c r="D504" s="180" t="n">
        <x:f>IF(A504&lt;$B$23,1,(1+$B$33)^INT((A504-$B$23)/12))</x:f>
        <x:v>8.636087119842156</x:v>
      </x:c>
      <x:c r="E504" s="141" t="n">
        <x:f>IF(AND($B$22="Sim",A504=$B$23),$B$37,0)</x:f>
        <x:v>0</x:v>
      </x:c>
      <x:c r="F504" s="141" t="n">
        <x:f>IF(AND($B$22="Sim",A504=$B$24),$B$27,0)</x:f>
        <x:v>0</x:v>
      </x:c>
      <x:c r="G504" s="141" t="n">
        <x:f>IF(AND($B$22="Sim",A504=$B$23),$B$35,0)</x:f>
        <x:v>0</x:v>
      </x:c>
      <x:c r="H504" s="141" t="n">
        <x:f>IF(AND($B$22="Sim",A504=$B$23),$B$36,0)</x:f>
        <x:v>0</x:v>
      </x:c>
      <x:c r="I504" s="141" t="n">
        <x:f>IF(OR($B$22&lt;&gt;"Sim",A504&gt;=$B$23+$B$31-1),0,(I505+C505)/(1+$B$9))</x:f>
        <x:v>0</x:v>
      </x:c>
      <x:c r="J504" s="140" t="str">
        <x:f>IF($B$22&lt;&gt;"Sim","Desativada",IF(A504&lt;$B$23,"Antes da compra",IF(A504&lt;$B$23+$B$31,"Parcelas restantes","Encerrado")))</x:f>
        <x:v>Encerrado</x:v>
      </x:c>
      <x:c r="K504" s="141" t="n">
        <x:f>IF(C504&gt;0,C504/(1+$B$9)^A504,0)</x:f>
        <x:v>0</x:v>
      </x:c>
    </x:row>
    <x:row r="505">
      <x:c r="A505" s="142" t="n">
        <x:v>451</x:v>
      </x:c>
      <x:c r="B505" s="179" t="n">
        <x:f>EDATE($B$5,A505-1)</x:f>
        <x:v>60237</x:v>
      </x:c>
      <x:c r="C505" s="141" t="n">
        <x:f>IF(AND($B$22="Sim",A505&gt;=$B$23,A505&lt;$B$23+$B$31),$B$32*D505,0)</x:f>
        <x:v>0</x:v>
      </x:c>
      <x:c r="D505" s="180" t="n">
        <x:f>IF(A505&lt;$B$23,1,(1+$B$33)^INT((A505-$B$23)/12))</x:f>
        <x:v>8.636087119842156</x:v>
      </x:c>
      <x:c r="E505" s="141" t="n">
        <x:f>IF(AND($B$22="Sim",A505=$B$23),$B$37,0)</x:f>
        <x:v>0</x:v>
      </x:c>
      <x:c r="F505" s="141" t="n">
        <x:f>IF(AND($B$22="Sim",A505=$B$24),$B$27,0)</x:f>
        <x:v>0</x:v>
      </x:c>
      <x:c r="G505" s="141" t="n">
        <x:f>IF(AND($B$22="Sim",A505=$B$23),$B$35,0)</x:f>
        <x:v>0</x:v>
      </x:c>
      <x:c r="H505" s="141" t="n">
        <x:f>IF(AND($B$22="Sim",A505=$B$23),$B$36,0)</x:f>
        <x:v>0</x:v>
      </x:c>
      <x:c r="I505" s="141" t="n">
        <x:f>IF(OR($B$22&lt;&gt;"Sim",A505&gt;=$B$23+$B$31-1),0,(I506+C506)/(1+$B$9))</x:f>
        <x:v>0</x:v>
      </x:c>
      <x:c r="J505" s="140" t="str">
        <x:f>IF($B$22&lt;&gt;"Sim","Desativada",IF(A505&lt;$B$23,"Antes da compra",IF(A505&lt;$B$23+$B$31,"Parcelas restantes","Encerrado")))</x:f>
        <x:v>Encerrado</x:v>
      </x:c>
      <x:c r="K505" s="141" t="n">
        <x:f>IF(C505&gt;0,C505/(1+$B$9)^A505,0)</x:f>
        <x:v>0</x:v>
      </x:c>
    </x:row>
    <x:row r="506">
      <x:c r="A506" s="142" t="n">
        <x:v>452</x:v>
      </x:c>
      <x:c r="B506" s="179" t="n">
        <x:f>EDATE($B$5,A506-1)</x:f>
        <x:v>60268</x:v>
      </x:c>
      <x:c r="C506" s="141" t="n">
        <x:f>IF(AND($B$22="Sim",A506&gt;=$B$23,A506&lt;$B$23+$B$31),$B$32*D506,0)</x:f>
        <x:v>0</x:v>
      </x:c>
      <x:c r="D506" s="180" t="n">
        <x:f>IF(A506&lt;$B$23,1,(1+$B$33)^INT((A506-$B$23)/12))</x:f>
        <x:v>8.636087119842156</x:v>
      </x:c>
      <x:c r="E506" s="141" t="n">
        <x:f>IF(AND($B$22="Sim",A506=$B$23),$B$37,0)</x:f>
        <x:v>0</x:v>
      </x:c>
      <x:c r="F506" s="141" t="n">
        <x:f>IF(AND($B$22="Sim",A506=$B$24),$B$27,0)</x:f>
        <x:v>0</x:v>
      </x:c>
      <x:c r="G506" s="141" t="n">
        <x:f>IF(AND($B$22="Sim",A506=$B$23),$B$35,0)</x:f>
        <x:v>0</x:v>
      </x:c>
      <x:c r="H506" s="141" t="n">
        <x:f>IF(AND($B$22="Sim",A506=$B$23),$B$36,0)</x:f>
        <x:v>0</x:v>
      </x:c>
      <x:c r="I506" s="141" t="n">
        <x:f>IF(OR($B$22&lt;&gt;"Sim",A506&gt;=$B$23+$B$31-1),0,(I507+C507)/(1+$B$9))</x:f>
        <x:v>0</x:v>
      </x:c>
      <x:c r="J506" s="140" t="str">
        <x:f>IF($B$22&lt;&gt;"Sim","Desativada",IF(A506&lt;$B$23,"Antes da compra",IF(A506&lt;$B$23+$B$31,"Parcelas restantes","Encerrado")))</x:f>
        <x:v>Encerrado</x:v>
      </x:c>
      <x:c r="K506" s="141" t="n">
        <x:f>IF(C506&gt;0,C506/(1+$B$9)^A506,0)</x:f>
        <x:v>0</x:v>
      </x:c>
    </x:row>
    <x:row r="507">
      <x:c r="A507" s="142" t="n">
        <x:v>453</x:v>
      </x:c>
      <x:c r="B507" s="179" t="n">
        <x:f>EDATE($B$5,A507-1)</x:f>
        <x:v>60299</x:v>
      </x:c>
      <x:c r="C507" s="141" t="n">
        <x:f>IF(AND($B$22="Sim",A507&gt;=$B$23,A507&lt;$B$23+$B$31),$B$32*D507,0)</x:f>
        <x:v>0</x:v>
      </x:c>
      <x:c r="D507" s="180" t="n">
        <x:f>IF(A507&lt;$B$23,1,(1+$B$33)^INT((A507-$B$23)/12))</x:f>
        <x:v>8.636087119842156</x:v>
      </x:c>
      <x:c r="E507" s="141" t="n">
        <x:f>IF(AND($B$22="Sim",A507=$B$23),$B$37,0)</x:f>
        <x:v>0</x:v>
      </x:c>
      <x:c r="F507" s="141" t="n">
        <x:f>IF(AND($B$22="Sim",A507=$B$24),$B$27,0)</x:f>
        <x:v>0</x:v>
      </x:c>
      <x:c r="G507" s="141" t="n">
        <x:f>IF(AND($B$22="Sim",A507=$B$23),$B$35,0)</x:f>
        <x:v>0</x:v>
      </x:c>
      <x:c r="H507" s="141" t="n">
        <x:f>IF(AND($B$22="Sim",A507=$B$23),$B$36,0)</x:f>
        <x:v>0</x:v>
      </x:c>
      <x:c r="I507" s="141" t="n">
        <x:f>IF(OR($B$22&lt;&gt;"Sim",A507&gt;=$B$23+$B$31-1),0,(I508+C508)/(1+$B$9))</x:f>
        <x:v>0</x:v>
      </x:c>
      <x:c r="J507" s="140" t="str">
        <x:f>IF($B$22&lt;&gt;"Sim","Desativada",IF(A507&lt;$B$23,"Antes da compra",IF(A507&lt;$B$23+$B$31,"Parcelas restantes","Encerrado")))</x:f>
        <x:v>Encerrado</x:v>
      </x:c>
      <x:c r="K507" s="141" t="n">
        <x:f>IF(C507&gt;0,C507/(1+$B$9)^A507,0)</x:f>
        <x:v>0</x:v>
      </x:c>
    </x:row>
    <x:row r="508">
      <x:c r="A508" s="142" t="n">
        <x:v>454</x:v>
      </x:c>
      <x:c r="B508" s="179" t="n">
        <x:f>EDATE($B$5,A508-1)</x:f>
        <x:v>60327</x:v>
      </x:c>
      <x:c r="C508" s="141" t="n">
        <x:f>IF(AND($B$22="Sim",A508&gt;=$B$23,A508&lt;$B$23+$B$31),$B$32*D508,0)</x:f>
        <x:v>0</x:v>
      </x:c>
      <x:c r="D508" s="180" t="n">
        <x:f>IF(A508&lt;$B$23,1,(1+$B$33)^INT((A508-$B$23)/12))</x:f>
        <x:v>8.636087119842156</x:v>
      </x:c>
      <x:c r="E508" s="141" t="n">
        <x:f>IF(AND($B$22="Sim",A508=$B$23),$B$37,0)</x:f>
        <x:v>0</x:v>
      </x:c>
      <x:c r="F508" s="141" t="n">
        <x:f>IF(AND($B$22="Sim",A508=$B$24),$B$27,0)</x:f>
        <x:v>0</x:v>
      </x:c>
      <x:c r="G508" s="141" t="n">
        <x:f>IF(AND($B$22="Sim",A508=$B$23),$B$35,0)</x:f>
        <x:v>0</x:v>
      </x:c>
      <x:c r="H508" s="141" t="n">
        <x:f>IF(AND($B$22="Sim",A508=$B$23),$B$36,0)</x:f>
        <x:v>0</x:v>
      </x:c>
      <x:c r="I508" s="141" t="n">
        <x:f>IF(OR($B$22&lt;&gt;"Sim",A508&gt;=$B$23+$B$31-1),0,(I509+C509)/(1+$B$9))</x:f>
        <x:v>0</x:v>
      </x:c>
      <x:c r="J508" s="140" t="str">
        <x:f>IF($B$22&lt;&gt;"Sim","Desativada",IF(A508&lt;$B$23,"Antes da compra",IF(A508&lt;$B$23+$B$31,"Parcelas restantes","Encerrado")))</x:f>
        <x:v>Encerrado</x:v>
      </x:c>
      <x:c r="K508" s="141" t="n">
        <x:f>IF(C508&gt;0,C508/(1+$B$9)^A508,0)</x:f>
        <x:v>0</x:v>
      </x:c>
    </x:row>
    <x:row r="509">
      <x:c r="A509" s="142" t="n">
        <x:v>455</x:v>
      </x:c>
      <x:c r="B509" s="179" t="n">
        <x:f>EDATE($B$5,A509-1)</x:f>
        <x:v>60358</x:v>
      </x:c>
      <x:c r="C509" s="141" t="n">
        <x:f>IF(AND($B$22="Sim",A509&gt;=$B$23,A509&lt;$B$23+$B$31),$B$32*D509,0)</x:f>
        <x:v>0</x:v>
      </x:c>
      <x:c r="D509" s="180" t="n">
        <x:f>IF(A509&lt;$B$23,1,(1+$B$33)^INT((A509-$B$23)/12))</x:f>
        <x:v>8.636087119842156</x:v>
      </x:c>
      <x:c r="E509" s="141" t="n">
        <x:f>IF(AND($B$22="Sim",A509=$B$23),$B$37,0)</x:f>
        <x:v>0</x:v>
      </x:c>
      <x:c r="F509" s="141" t="n">
        <x:f>IF(AND($B$22="Sim",A509=$B$24),$B$27,0)</x:f>
        <x:v>0</x:v>
      </x:c>
      <x:c r="G509" s="141" t="n">
        <x:f>IF(AND($B$22="Sim",A509=$B$23),$B$35,0)</x:f>
        <x:v>0</x:v>
      </x:c>
      <x:c r="H509" s="141" t="n">
        <x:f>IF(AND($B$22="Sim",A509=$B$23),$B$36,0)</x:f>
        <x:v>0</x:v>
      </x:c>
      <x:c r="I509" s="141" t="n">
        <x:f>IF(OR($B$22&lt;&gt;"Sim",A509&gt;=$B$23+$B$31-1),0,(I510+C510)/(1+$B$9))</x:f>
        <x:v>0</x:v>
      </x:c>
      <x:c r="J509" s="140" t="str">
        <x:f>IF($B$22&lt;&gt;"Sim","Desativada",IF(A509&lt;$B$23,"Antes da compra",IF(A509&lt;$B$23+$B$31,"Parcelas restantes","Encerrado")))</x:f>
        <x:v>Encerrado</x:v>
      </x:c>
      <x:c r="K509" s="141" t="n">
        <x:f>IF(C509&gt;0,C509/(1+$B$9)^A509,0)</x:f>
        <x:v>0</x:v>
      </x:c>
    </x:row>
    <x:row r="510">
      <x:c r="A510" s="142" t="n">
        <x:v>456</x:v>
      </x:c>
      <x:c r="B510" s="179" t="n">
        <x:f>EDATE($B$5,A510-1)</x:f>
        <x:v>60388</x:v>
      </x:c>
      <x:c r="C510" s="141" t="n">
        <x:f>IF(AND($B$22="Sim",A510&gt;=$B$23,A510&lt;$B$23+$B$31),$B$32*D510,0)</x:f>
        <x:v>0</x:v>
      </x:c>
      <x:c r="D510" s="180" t="n">
        <x:f>IF(A510&lt;$B$23,1,(1+$B$33)^INT((A510-$B$23)/12))</x:f>
        <x:v>8.636087119842156</x:v>
      </x:c>
      <x:c r="E510" s="141" t="n">
        <x:f>IF(AND($B$22="Sim",A510=$B$23),$B$37,0)</x:f>
        <x:v>0</x:v>
      </x:c>
      <x:c r="F510" s="141" t="n">
        <x:f>IF(AND($B$22="Sim",A510=$B$24),$B$27,0)</x:f>
        <x:v>0</x:v>
      </x:c>
      <x:c r="G510" s="141" t="n">
        <x:f>IF(AND($B$22="Sim",A510=$B$23),$B$35,0)</x:f>
        <x:v>0</x:v>
      </x:c>
      <x:c r="H510" s="141" t="n">
        <x:f>IF(AND($B$22="Sim",A510=$B$23),$B$36,0)</x:f>
        <x:v>0</x:v>
      </x:c>
      <x:c r="I510" s="141" t="n">
        <x:f>IF(OR($B$22&lt;&gt;"Sim",A510&gt;=$B$23+$B$31-1),0,(I511+C511)/(1+$B$9))</x:f>
        <x:v>0</x:v>
      </x:c>
      <x:c r="J510" s="140" t="str">
        <x:f>IF($B$22&lt;&gt;"Sim","Desativada",IF(A510&lt;$B$23,"Antes da compra",IF(A510&lt;$B$23+$B$31,"Parcelas restantes","Encerrado")))</x:f>
        <x:v>Encerrado</x:v>
      </x:c>
      <x:c r="K510" s="141" t="n">
        <x:f>IF(C510&gt;0,C510/(1+$B$9)^A510,0)</x:f>
        <x:v>0</x:v>
      </x:c>
    </x:row>
    <x:row r="511">
      <x:c r="A511" s="142" t="n">
        <x:v>457</x:v>
      </x:c>
      <x:c r="B511" s="179" t="n">
        <x:f>EDATE($B$5,A511-1)</x:f>
        <x:v>60419</x:v>
      </x:c>
      <x:c r="C511" s="141" t="n">
        <x:f>IF(AND($B$22="Sim",A511&gt;=$B$23,A511&lt;$B$23+$B$31),$B$32*D511,0)</x:f>
        <x:v>0</x:v>
      </x:c>
      <x:c r="D511" s="180" t="n">
        <x:f>IF(A511&lt;$B$23,1,(1+$B$33)^INT((A511-$B$23)/12))</x:f>
        <x:v>9.154252347032687</x:v>
      </x:c>
      <x:c r="E511" s="141" t="n">
        <x:f>IF(AND($B$22="Sim",A511=$B$23),$B$37,0)</x:f>
        <x:v>0</x:v>
      </x:c>
      <x:c r="F511" s="141" t="n">
        <x:f>IF(AND($B$22="Sim",A511=$B$24),$B$27,0)</x:f>
        <x:v>0</x:v>
      </x:c>
      <x:c r="G511" s="141" t="n">
        <x:f>IF(AND($B$22="Sim",A511=$B$23),$B$35,0)</x:f>
        <x:v>0</x:v>
      </x:c>
      <x:c r="H511" s="141" t="n">
        <x:f>IF(AND($B$22="Sim",A511=$B$23),$B$36,0)</x:f>
        <x:v>0</x:v>
      </x:c>
      <x:c r="I511" s="141" t="n">
        <x:f>IF(OR($B$22&lt;&gt;"Sim",A511&gt;=$B$23+$B$31-1),0,(I512+C512)/(1+$B$9))</x:f>
        <x:v>0</x:v>
      </x:c>
      <x:c r="J511" s="140" t="str">
        <x:f>IF($B$22&lt;&gt;"Sim","Desativada",IF(A511&lt;$B$23,"Antes da compra",IF(A511&lt;$B$23+$B$31,"Parcelas restantes","Encerrado")))</x:f>
        <x:v>Encerrado</x:v>
      </x:c>
      <x:c r="K511" s="141" t="n">
        <x:f>IF(C511&gt;0,C511/(1+$B$9)^A511,0)</x:f>
        <x:v>0</x:v>
      </x:c>
    </x:row>
    <x:row r="512">
      <x:c r="A512" s="142" t="n">
        <x:v>458</x:v>
      </x:c>
      <x:c r="B512" s="179" t="n">
        <x:f>EDATE($B$5,A512-1)</x:f>
        <x:v>60449</x:v>
      </x:c>
      <x:c r="C512" s="141" t="n">
        <x:f>IF(AND($B$22="Sim",A512&gt;=$B$23,A512&lt;$B$23+$B$31),$B$32*D512,0)</x:f>
        <x:v>0</x:v>
      </x:c>
      <x:c r="D512" s="180" t="n">
        <x:f>IF(A512&lt;$B$23,1,(1+$B$33)^INT((A512-$B$23)/12))</x:f>
        <x:v>9.154252347032687</x:v>
      </x:c>
      <x:c r="E512" s="141" t="n">
        <x:f>IF(AND($B$22="Sim",A512=$B$23),$B$37,0)</x:f>
        <x:v>0</x:v>
      </x:c>
      <x:c r="F512" s="141" t="n">
        <x:f>IF(AND($B$22="Sim",A512=$B$24),$B$27,0)</x:f>
        <x:v>0</x:v>
      </x:c>
      <x:c r="G512" s="141" t="n">
        <x:f>IF(AND($B$22="Sim",A512=$B$23),$B$35,0)</x:f>
        <x:v>0</x:v>
      </x:c>
      <x:c r="H512" s="141" t="n">
        <x:f>IF(AND($B$22="Sim",A512=$B$23),$B$36,0)</x:f>
        <x:v>0</x:v>
      </x:c>
      <x:c r="I512" s="141" t="n">
        <x:f>IF(OR($B$22&lt;&gt;"Sim",A512&gt;=$B$23+$B$31-1),0,(I513+C513)/(1+$B$9))</x:f>
        <x:v>0</x:v>
      </x:c>
      <x:c r="J512" s="140" t="str">
        <x:f>IF($B$22&lt;&gt;"Sim","Desativada",IF(A512&lt;$B$23,"Antes da compra",IF(A512&lt;$B$23+$B$31,"Parcelas restantes","Encerrado")))</x:f>
        <x:v>Encerrado</x:v>
      </x:c>
      <x:c r="K512" s="141" t="n">
        <x:f>IF(C512&gt;0,C512/(1+$B$9)^A512,0)</x:f>
        <x:v>0</x:v>
      </x:c>
    </x:row>
    <x:row r="513">
      <x:c r="A513" s="142" t="n">
        <x:v>459</x:v>
      </x:c>
      <x:c r="B513" s="179" t="n">
        <x:f>EDATE($B$5,A513-1)</x:f>
        <x:v>60480</x:v>
      </x:c>
      <x:c r="C513" s="141" t="n">
        <x:f>IF(AND($B$22="Sim",A513&gt;=$B$23,A513&lt;$B$23+$B$31),$B$32*D513,0)</x:f>
        <x:v>0</x:v>
      </x:c>
      <x:c r="D513" s="180" t="n">
        <x:f>IF(A513&lt;$B$23,1,(1+$B$33)^INT((A513-$B$23)/12))</x:f>
        <x:v>9.154252347032687</x:v>
      </x:c>
      <x:c r="E513" s="141" t="n">
        <x:f>IF(AND($B$22="Sim",A513=$B$23),$B$37,0)</x:f>
        <x:v>0</x:v>
      </x:c>
      <x:c r="F513" s="141" t="n">
        <x:f>IF(AND($B$22="Sim",A513=$B$24),$B$27,0)</x:f>
        <x:v>0</x:v>
      </x:c>
      <x:c r="G513" s="141" t="n">
        <x:f>IF(AND($B$22="Sim",A513=$B$23),$B$35,0)</x:f>
        <x:v>0</x:v>
      </x:c>
      <x:c r="H513" s="141" t="n">
        <x:f>IF(AND($B$22="Sim",A513=$B$23),$B$36,0)</x:f>
        <x:v>0</x:v>
      </x:c>
      <x:c r="I513" s="141" t="n">
        <x:f>IF(OR($B$22&lt;&gt;"Sim",A513&gt;=$B$23+$B$31-1),0,(I514+C514)/(1+$B$9))</x:f>
        <x:v>0</x:v>
      </x:c>
      <x:c r="J513" s="140" t="str">
        <x:f>IF($B$22&lt;&gt;"Sim","Desativada",IF(A513&lt;$B$23,"Antes da compra",IF(A513&lt;$B$23+$B$31,"Parcelas restantes","Encerrado")))</x:f>
        <x:v>Encerrado</x:v>
      </x:c>
      <x:c r="K513" s="141" t="n">
        <x:f>IF(C513&gt;0,C513/(1+$B$9)^A513,0)</x:f>
        <x:v>0</x:v>
      </x:c>
    </x:row>
    <x:row r="514">
      <x:c r="A514" s="142" t="n">
        <x:v>460</x:v>
      </x:c>
      <x:c r="B514" s="179" t="n">
        <x:f>EDATE($B$5,A514-1)</x:f>
        <x:v>60511</x:v>
      </x:c>
      <x:c r="C514" s="141" t="n">
        <x:f>IF(AND($B$22="Sim",A514&gt;=$B$23,A514&lt;$B$23+$B$31),$B$32*D514,0)</x:f>
        <x:v>0</x:v>
      </x:c>
      <x:c r="D514" s="180" t="n">
        <x:f>IF(A514&lt;$B$23,1,(1+$B$33)^INT((A514-$B$23)/12))</x:f>
        <x:v>9.154252347032687</x:v>
      </x:c>
      <x:c r="E514" s="141" t="n">
        <x:f>IF(AND($B$22="Sim",A514=$B$23),$B$37,0)</x:f>
        <x:v>0</x:v>
      </x:c>
      <x:c r="F514" s="141" t="n">
        <x:f>IF(AND($B$22="Sim",A514=$B$24),$B$27,0)</x:f>
        <x:v>0</x:v>
      </x:c>
      <x:c r="G514" s="141" t="n">
        <x:f>IF(AND($B$22="Sim",A514=$B$23),$B$35,0)</x:f>
        <x:v>0</x:v>
      </x:c>
      <x:c r="H514" s="141" t="n">
        <x:f>IF(AND($B$22="Sim",A514=$B$23),$B$36,0)</x:f>
        <x:v>0</x:v>
      </x:c>
      <x:c r="I514" s="141" t="n">
        <x:f>IF(OR($B$22&lt;&gt;"Sim",A514&gt;=$B$23+$B$31-1),0,(I515+C515)/(1+$B$9))</x:f>
        <x:v>0</x:v>
      </x:c>
      <x:c r="J514" s="140" t="str">
        <x:f>IF($B$22&lt;&gt;"Sim","Desativada",IF(A514&lt;$B$23,"Antes da compra",IF(A514&lt;$B$23+$B$31,"Parcelas restantes","Encerrado")))</x:f>
        <x:v>Encerrado</x:v>
      </x:c>
      <x:c r="K514" s="141" t="n">
        <x:f>IF(C514&gt;0,C514/(1+$B$9)^A514,0)</x:f>
        <x:v>0</x:v>
      </x:c>
    </x:row>
    <x:row r="515">
      <x:c r="A515" s="142" t="n">
        <x:v>461</x:v>
      </x:c>
      <x:c r="B515" s="179" t="n">
        <x:f>EDATE($B$5,A515-1)</x:f>
        <x:v>60541</x:v>
      </x:c>
      <x:c r="C515" s="141" t="n">
        <x:f>IF(AND($B$22="Sim",A515&gt;=$B$23,A515&lt;$B$23+$B$31),$B$32*D515,0)</x:f>
        <x:v>0</x:v>
      </x:c>
      <x:c r="D515" s="180" t="n">
        <x:f>IF(A515&lt;$B$23,1,(1+$B$33)^INT((A515-$B$23)/12))</x:f>
        <x:v>9.154252347032687</x:v>
      </x:c>
      <x:c r="E515" s="141" t="n">
        <x:f>IF(AND($B$22="Sim",A515=$B$23),$B$37,0)</x:f>
        <x:v>0</x:v>
      </x:c>
      <x:c r="F515" s="141" t="n">
        <x:f>IF(AND($B$22="Sim",A515=$B$24),$B$27,0)</x:f>
        <x:v>0</x:v>
      </x:c>
      <x:c r="G515" s="141" t="n">
        <x:f>IF(AND($B$22="Sim",A515=$B$23),$B$35,0)</x:f>
        <x:v>0</x:v>
      </x:c>
      <x:c r="H515" s="141" t="n">
        <x:f>IF(AND($B$22="Sim",A515=$B$23),$B$36,0)</x:f>
        <x:v>0</x:v>
      </x:c>
      <x:c r="I515" s="141" t="n">
        <x:f>IF(OR($B$22&lt;&gt;"Sim",A515&gt;=$B$23+$B$31-1),0,(I516+C516)/(1+$B$9))</x:f>
        <x:v>0</x:v>
      </x:c>
      <x:c r="J515" s="140" t="str">
        <x:f>IF($B$22&lt;&gt;"Sim","Desativada",IF(A515&lt;$B$23,"Antes da compra",IF(A515&lt;$B$23+$B$31,"Parcelas restantes","Encerrado")))</x:f>
        <x:v>Encerrado</x:v>
      </x:c>
      <x:c r="K515" s="141" t="n">
        <x:f>IF(C515&gt;0,C515/(1+$B$9)^A515,0)</x:f>
        <x:v>0</x:v>
      </x:c>
    </x:row>
    <x:row r="516">
      <x:c r="A516" s="142" t="n">
        <x:v>462</x:v>
      </x:c>
      <x:c r="B516" s="179" t="n">
        <x:f>EDATE($B$5,A516-1)</x:f>
        <x:v>60572</x:v>
      </x:c>
      <x:c r="C516" s="141" t="n">
        <x:f>IF(AND($B$22="Sim",A516&gt;=$B$23,A516&lt;$B$23+$B$31),$B$32*D516,0)</x:f>
        <x:v>0</x:v>
      </x:c>
      <x:c r="D516" s="180" t="n">
        <x:f>IF(A516&lt;$B$23,1,(1+$B$33)^INT((A516-$B$23)/12))</x:f>
        <x:v>9.154252347032687</x:v>
      </x:c>
      <x:c r="E516" s="141" t="n">
        <x:f>IF(AND($B$22="Sim",A516=$B$23),$B$37,0)</x:f>
        <x:v>0</x:v>
      </x:c>
      <x:c r="F516" s="141" t="n">
        <x:f>IF(AND($B$22="Sim",A516=$B$24),$B$27,0)</x:f>
        <x:v>0</x:v>
      </x:c>
      <x:c r="G516" s="141" t="n">
        <x:f>IF(AND($B$22="Sim",A516=$B$23),$B$35,0)</x:f>
        <x:v>0</x:v>
      </x:c>
      <x:c r="H516" s="141" t="n">
        <x:f>IF(AND($B$22="Sim",A516=$B$23),$B$36,0)</x:f>
        <x:v>0</x:v>
      </x:c>
      <x:c r="I516" s="141" t="n">
        <x:f>IF(OR($B$22&lt;&gt;"Sim",A516&gt;=$B$23+$B$31-1),0,(I517+C517)/(1+$B$9))</x:f>
        <x:v>0</x:v>
      </x:c>
      <x:c r="J516" s="140" t="str">
        <x:f>IF($B$22&lt;&gt;"Sim","Desativada",IF(A516&lt;$B$23,"Antes da compra",IF(A516&lt;$B$23+$B$31,"Parcelas restantes","Encerrado")))</x:f>
        <x:v>Encerrado</x:v>
      </x:c>
      <x:c r="K516" s="141" t="n">
        <x:f>IF(C516&gt;0,C516/(1+$B$9)^A516,0)</x:f>
        <x:v>0</x:v>
      </x:c>
    </x:row>
    <x:row r="517">
      <x:c r="A517" s="142" t="n">
        <x:v>463</x:v>
      </x:c>
      <x:c r="B517" s="179" t="n">
        <x:f>EDATE($B$5,A517-1)</x:f>
        <x:v>60602</x:v>
      </x:c>
      <x:c r="C517" s="141" t="n">
        <x:f>IF(AND($B$22="Sim",A517&gt;=$B$23,A517&lt;$B$23+$B$31),$B$32*D517,0)</x:f>
        <x:v>0</x:v>
      </x:c>
      <x:c r="D517" s="180" t="n">
        <x:f>IF(A517&lt;$B$23,1,(1+$B$33)^INT((A517-$B$23)/12))</x:f>
        <x:v>9.154252347032687</x:v>
      </x:c>
      <x:c r="E517" s="141" t="n">
        <x:f>IF(AND($B$22="Sim",A517=$B$23),$B$37,0)</x:f>
        <x:v>0</x:v>
      </x:c>
      <x:c r="F517" s="141" t="n">
        <x:f>IF(AND($B$22="Sim",A517=$B$24),$B$27,0)</x:f>
        <x:v>0</x:v>
      </x:c>
      <x:c r="G517" s="141" t="n">
        <x:f>IF(AND($B$22="Sim",A517=$B$23),$B$35,0)</x:f>
        <x:v>0</x:v>
      </x:c>
      <x:c r="H517" s="141" t="n">
        <x:f>IF(AND($B$22="Sim",A517=$B$23),$B$36,0)</x:f>
        <x:v>0</x:v>
      </x:c>
      <x:c r="I517" s="141" t="n">
        <x:f>IF(OR($B$22&lt;&gt;"Sim",A517&gt;=$B$23+$B$31-1),0,(I518+C518)/(1+$B$9))</x:f>
        <x:v>0</x:v>
      </x:c>
      <x:c r="J517" s="140" t="str">
        <x:f>IF($B$22&lt;&gt;"Sim","Desativada",IF(A517&lt;$B$23,"Antes da compra",IF(A517&lt;$B$23+$B$31,"Parcelas restantes","Encerrado")))</x:f>
        <x:v>Encerrado</x:v>
      </x:c>
      <x:c r="K517" s="141" t="n">
        <x:f>IF(C517&gt;0,C517/(1+$B$9)^A517,0)</x:f>
        <x:v>0</x:v>
      </x:c>
    </x:row>
    <x:row r="518">
      <x:c r="A518" s="142" t="n">
        <x:v>464</x:v>
      </x:c>
      <x:c r="B518" s="179" t="n">
        <x:f>EDATE($B$5,A518-1)</x:f>
        <x:v>60633</x:v>
      </x:c>
      <x:c r="C518" s="141" t="n">
        <x:f>IF(AND($B$22="Sim",A518&gt;=$B$23,A518&lt;$B$23+$B$31),$B$32*D518,0)</x:f>
        <x:v>0</x:v>
      </x:c>
      <x:c r="D518" s="180" t="n">
        <x:f>IF(A518&lt;$B$23,1,(1+$B$33)^INT((A518-$B$23)/12))</x:f>
        <x:v>9.154252347032687</x:v>
      </x:c>
      <x:c r="E518" s="141" t="n">
        <x:f>IF(AND($B$22="Sim",A518=$B$23),$B$37,0)</x:f>
        <x:v>0</x:v>
      </x:c>
      <x:c r="F518" s="141" t="n">
        <x:f>IF(AND($B$22="Sim",A518=$B$24),$B$27,0)</x:f>
        <x:v>0</x:v>
      </x:c>
      <x:c r="G518" s="141" t="n">
        <x:f>IF(AND($B$22="Sim",A518=$B$23),$B$35,0)</x:f>
        <x:v>0</x:v>
      </x:c>
      <x:c r="H518" s="141" t="n">
        <x:f>IF(AND($B$22="Sim",A518=$B$23),$B$36,0)</x:f>
        <x:v>0</x:v>
      </x:c>
      <x:c r="I518" s="141" t="n">
        <x:f>IF(OR($B$22&lt;&gt;"Sim",A518&gt;=$B$23+$B$31-1),0,(I519+C519)/(1+$B$9))</x:f>
        <x:v>0</x:v>
      </x:c>
      <x:c r="J518" s="140" t="str">
        <x:f>IF($B$22&lt;&gt;"Sim","Desativada",IF(A518&lt;$B$23,"Antes da compra",IF(A518&lt;$B$23+$B$31,"Parcelas restantes","Encerrado")))</x:f>
        <x:v>Encerrado</x:v>
      </x:c>
      <x:c r="K518" s="141" t="n">
        <x:f>IF(C518&gt;0,C518/(1+$B$9)^A518,0)</x:f>
        <x:v>0</x:v>
      </x:c>
    </x:row>
    <x:row r="519">
      <x:c r="A519" s="142" t="n">
        <x:v>465</x:v>
      </x:c>
      <x:c r="B519" s="179" t="n">
        <x:f>EDATE($B$5,A519-1)</x:f>
        <x:v>60664</x:v>
      </x:c>
      <x:c r="C519" s="141" t="n">
        <x:f>IF(AND($B$22="Sim",A519&gt;=$B$23,A519&lt;$B$23+$B$31),$B$32*D519,0)</x:f>
        <x:v>0</x:v>
      </x:c>
      <x:c r="D519" s="180" t="n">
        <x:f>IF(A519&lt;$B$23,1,(1+$B$33)^INT((A519-$B$23)/12))</x:f>
        <x:v>9.154252347032687</x:v>
      </x:c>
      <x:c r="E519" s="141" t="n">
        <x:f>IF(AND($B$22="Sim",A519=$B$23),$B$37,0)</x:f>
        <x:v>0</x:v>
      </x:c>
      <x:c r="F519" s="141" t="n">
        <x:f>IF(AND($B$22="Sim",A519=$B$24),$B$27,0)</x:f>
        <x:v>0</x:v>
      </x:c>
      <x:c r="G519" s="141" t="n">
        <x:f>IF(AND($B$22="Sim",A519=$B$23),$B$35,0)</x:f>
        <x:v>0</x:v>
      </x:c>
      <x:c r="H519" s="141" t="n">
        <x:f>IF(AND($B$22="Sim",A519=$B$23),$B$36,0)</x:f>
        <x:v>0</x:v>
      </x:c>
      <x:c r="I519" s="141" t="n">
        <x:f>IF(OR($B$22&lt;&gt;"Sim",A519&gt;=$B$23+$B$31-1),0,(I520+C520)/(1+$B$9))</x:f>
        <x:v>0</x:v>
      </x:c>
      <x:c r="J519" s="140" t="str">
        <x:f>IF($B$22&lt;&gt;"Sim","Desativada",IF(A519&lt;$B$23,"Antes da compra",IF(A519&lt;$B$23+$B$31,"Parcelas restantes","Encerrado")))</x:f>
        <x:v>Encerrado</x:v>
      </x:c>
      <x:c r="K519" s="141" t="n">
        <x:f>IF(C519&gt;0,C519/(1+$B$9)^A519,0)</x:f>
        <x:v>0</x:v>
      </x:c>
    </x:row>
    <x:row r="520">
      <x:c r="A520" s="142" t="n">
        <x:v>466</x:v>
      </x:c>
      <x:c r="B520" s="179" t="n">
        <x:f>EDATE($B$5,A520-1)</x:f>
        <x:v>60692</x:v>
      </x:c>
      <x:c r="C520" s="141" t="n">
        <x:f>IF(AND($B$22="Sim",A520&gt;=$B$23,A520&lt;$B$23+$B$31),$B$32*D520,0)</x:f>
        <x:v>0</x:v>
      </x:c>
      <x:c r="D520" s="180" t="n">
        <x:f>IF(A520&lt;$B$23,1,(1+$B$33)^INT((A520-$B$23)/12))</x:f>
        <x:v>9.154252347032687</x:v>
      </x:c>
      <x:c r="E520" s="141" t="n">
        <x:f>IF(AND($B$22="Sim",A520=$B$23),$B$37,0)</x:f>
        <x:v>0</x:v>
      </x:c>
      <x:c r="F520" s="141" t="n">
        <x:f>IF(AND($B$22="Sim",A520=$B$24),$B$27,0)</x:f>
        <x:v>0</x:v>
      </x:c>
      <x:c r="G520" s="141" t="n">
        <x:f>IF(AND($B$22="Sim",A520=$B$23),$B$35,0)</x:f>
        <x:v>0</x:v>
      </x:c>
      <x:c r="H520" s="141" t="n">
        <x:f>IF(AND($B$22="Sim",A520=$B$23),$B$36,0)</x:f>
        <x:v>0</x:v>
      </x:c>
      <x:c r="I520" s="141" t="n">
        <x:f>IF(OR($B$22&lt;&gt;"Sim",A520&gt;=$B$23+$B$31-1),0,(I521+C521)/(1+$B$9))</x:f>
        <x:v>0</x:v>
      </x:c>
      <x:c r="J520" s="140" t="str">
        <x:f>IF($B$22&lt;&gt;"Sim","Desativada",IF(A520&lt;$B$23,"Antes da compra",IF(A520&lt;$B$23+$B$31,"Parcelas restantes","Encerrado")))</x:f>
        <x:v>Encerrado</x:v>
      </x:c>
      <x:c r="K520" s="141" t="n">
        <x:f>IF(C520&gt;0,C520/(1+$B$9)^A520,0)</x:f>
        <x:v>0</x:v>
      </x:c>
    </x:row>
    <x:row r="521">
      <x:c r="A521" s="142" t="n">
        <x:v>467</x:v>
      </x:c>
      <x:c r="B521" s="179" t="n">
        <x:f>EDATE($B$5,A521-1)</x:f>
        <x:v>60723</x:v>
      </x:c>
      <x:c r="C521" s="141" t="n">
        <x:f>IF(AND($B$22="Sim",A521&gt;=$B$23,A521&lt;$B$23+$B$31),$B$32*D521,0)</x:f>
        <x:v>0</x:v>
      </x:c>
      <x:c r="D521" s="180" t="n">
        <x:f>IF(A521&lt;$B$23,1,(1+$B$33)^INT((A521-$B$23)/12))</x:f>
        <x:v>9.154252347032687</x:v>
      </x:c>
      <x:c r="E521" s="141" t="n">
        <x:f>IF(AND($B$22="Sim",A521=$B$23),$B$37,0)</x:f>
        <x:v>0</x:v>
      </x:c>
      <x:c r="F521" s="141" t="n">
        <x:f>IF(AND($B$22="Sim",A521=$B$24),$B$27,0)</x:f>
        <x:v>0</x:v>
      </x:c>
      <x:c r="G521" s="141" t="n">
        <x:f>IF(AND($B$22="Sim",A521=$B$23),$B$35,0)</x:f>
        <x:v>0</x:v>
      </x:c>
      <x:c r="H521" s="141" t="n">
        <x:f>IF(AND($B$22="Sim",A521=$B$23),$B$36,0)</x:f>
        <x:v>0</x:v>
      </x:c>
      <x:c r="I521" s="141" t="n">
        <x:f>IF(OR($B$22&lt;&gt;"Sim",A521&gt;=$B$23+$B$31-1),0,(I522+C522)/(1+$B$9))</x:f>
        <x:v>0</x:v>
      </x:c>
      <x:c r="J521" s="140" t="str">
        <x:f>IF($B$22&lt;&gt;"Sim","Desativada",IF(A521&lt;$B$23,"Antes da compra",IF(A521&lt;$B$23+$B$31,"Parcelas restantes","Encerrado")))</x:f>
        <x:v>Encerrado</x:v>
      </x:c>
      <x:c r="K521" s="141" t="n">
        <x:f>IF(C521&gt;0,C521/(1+$B$9)^A521,0)</x:f>
        <x:v>0</x:v>
      </x:c>
    </x:row>
    <x:row r="522">
      <x:c r="A522" s="142" t="n">
        <x:v>468</x:v>
      </x:c>
      <x:c r="B522" s="179" t="n">
        <x:f>EDATE($B$5,A522-1)</x:f>
        <x:v>60753</x:v>
      </x:c>
      <x:c r="C522" s="141" t="n">
        <x:f>IF(AND($B$22="Sim",A522&gt;=$B$23,A522&lt;$B$23+$B$31),$B$32*D522,0)</x:f>
        <x:v>0</x:v>
      </x:c>
      <x:c r="D522" s="180" t="n">
        <x:f>IF(A522&lt;$B$23,1,(1+$B$33)^INT((A522-$B$23)/12))</x:f>
        <x:v>9.154252347032687</x:v>
      </x:c>
      <x:c r="E522" s="141" t="n">
        <x:f>IF(AND($B$22="Sim",A522=$B$23),$B$37,0)</x:f>
        <x:v>0</x:v>
      </x:c>
      <x:c r="F522" s="141" t="n">
        <x:f>IF(AND($B$22="Sim",A522=$B$24),$B$27,0)</x:f>
        <x:v>0</x:v>
      </x:c>
      <x:c r="G522" s="141" t="n">
        <x:f>IF(AND($B$22="Sim",A522=$B$23),$B$35,0)</x:f>
        <x:v>0</x:v>
      </x:c>
      <x:c r="H522" s="141" t="n">
        <x:f>IF(AND($B$22="Sim",A522=$B$23),$B$36,0)</x:f>
        <x:v>0</x:v>
      </x:c>
      <x:c r="I522" s="141" t="n">
        <x:f>IF(OR($B$22&lt;&gt;"Sim",A522&gt;=$B$23+$B$31-1),0,(I523+C523)/(1+$B$9))</x:f>
        <x:v>0</x:v>
      </x:c>
      <x:c r="J522" s="140" t="str">
        <x:f>IF($B$22&lt;&gt;"Sim","Desativada",IF(A522&lt;$B$23,"Antes da compra",IF(A522&lt;$B$23+$B$31,"Parcelas restantes","Encerrado")))</x:f>
        <x:v>Encerrado</x:v>
      </x:c>
      <x:c r="K522" s="141" t="n">
        <x:f>IF(C522&gt;0,C522/(1+$B$9)^A522,0)</x:f>
        <x:v>0</x:v>
      </x:c>
    </x:row>
    <x:row r="523">
      <x:c r="A523" s="142" t="n">
        <x:v>469</x:v>
      </x:c>
      <x:c r="B523" s="179" t="n">
        <x:f>EDATE($B$5,A523-1)</x:f>
        <x:v>60784</x:v>
      </x:c>
      <x:c r="C523" s="141" t="n">
        <x:f>IF(AND($B$22="Sim",A523&gt;=$B$23,A523&lt;$B$23+$B$31),$B$32*D523,0)</x:f>
        <x:v>0</x:v>
      </x:c>
      <x:c r="D523" s="180" t="n">
        <x:f>IF(A523&lt;$B$23,1,(1+$B$33)^INT((A523-$B$23)/12))</x:f>
        <x:v>9.703507487854647</x:v>
      </x:c>
      <x:c r="E523" s="141" t="n">
        <x:f>IF(AND($B$22="Sim",A523=$B$23),$B$37,0)</x:f>
        <x:v>0</x:v>
      </x:c>
      <x:c r="F523" s="141" t="n">
        <x:f>IF(AND($B$22="Sim",A523=$B$24),$B$27,0)</x:f>
        <x:v>0</x:v>
      </x:c>
      <x:c r="G523" s="141" t="n">
        <x:f>IF(AND($B$22="Sim",A523=$B$23),$B$35,0)</x:f>
        <x:v>0</x:v>
      </x:c>
      <x:c r="H523" s="141" t="n">
        <x:f>IF(AND($B$22="Sim",A523=$B$23),$B$36,0)</x:f>
        <x:v>0</x:v>
      </x:c>
      <x:c r="I523" s="141" t="n">
        <x:f>IF(OR($B$22&lt;&gt;"Sim",A523&gt;=$B$23+$B$31-1),0,(I524+C524)/(1+$B$9))</x:f>
        <x:v>0</x:v>
      </x:c>
      <x:c r="J523" s="140" t="str">
        <x:f>IF($B$22&lt;&gt;"Sim","Desativada",IF(A523&lt;$B$23,"Antes da compra",IF(A523&lt;$B$23+$B$31,"Parcelas restantes","Encerrado")))</x:f>
        <x:v>Encerrado</x:v>
      </x:c>
      <x:c r="K523" s="141" t="n">
        <x:f>IF(C523&gt;0,C523/(1+$B$9)^A523,0)</x:f>
        <x:v>0</x:v>
      </x:c>
    </x:row>
    <x:row r="524">
      <x:c r="A524" s="142" t="n">
        <x:v>470</x:v>
      </x:c>
      <x:c r="B524" s="179" t="n">
        <x:f>EDATE($B$5,A524-1)</x:f>
        <x:v>60814</x:v>
      </x:c>
      <x:c r="C524" s="141" t="n">
        <x:f>IF(AND($B$22="Sim",A524&gt;=$B$23,A524&lt;$B$23+$B$31),$B$32*D524,0)</x:f>
        <x:v>0</x:v>
      </x:c>
      <x:c r="D524" s="180" t="n">
        <x:f>IF(A524&lt;$B$23,1,(1+$B$33)^INT((A524-$B$23)/12))</x:f>
        <x:v>9.703507487854647</x:v>
      </x:c>
      <x:c r="E524" s="141" t="n">
        <x:f>IF(AND($B$22="Sim",A524=$B$23),$B$37,0)</x:f>
        <x:v>0</x:v>
      </x:c>
      <x:c r="F524" s="141" t="n">
        <x:f>IF(AND($B$22="Sim",A524=$B$24),$B$27,0)</x:f>
        <x:v>0</x:v>
      </x:c>
      <x:c r="G524" s="141" t="n">
        <x:f>IF(AND($B$22="Sim",A524=$B$23),$B$35,0)</x:f>
        <x:v>0</x:v>
      </x:c>
      <x:c r="H524" s="141" t="n">
        <x:f>IF(AND($B$22="Sim",A524=$B$23),$B$36,0)</x:f>
        <x:v>0</x:v>
      </x:c>
      <x:c r="I524" s="141" t="n">
        <x:f>IF(OR($B$22&lt;&gt;"Sim",A524&gt;=$B$23+$B$31-1),0,(I525+C525)/(1+$B$9))</x:f>
        <x:v>0</x:v>
      </x:c>
      <x:c r="J524" s="140" t="str">
        <x:f>IF($B$22&lt;&gt;"Sim","Desativada",IF(A524&lt;$B$23,"Antes da compra",IF(A524&lt;$B$23+$B$31,"Parcelas restantes","Encerrado")))</x:f>
        <x:v>Encerrado</x:v>
      </x:c>
      <x:c r="K524" s="141" t="n">
        <x:f>IF(C524&gt;0,C524/(1+$B$9)^A524,0)</x:f>
        <x:v>0</x:v>
      </x:c>
    </x:row>
    <x:row r="525">
      <x:c r="A525" s="142" t="n">
        <x:v>471</x:v>
      </x:c>
      <x:c r="B525" s="179" t="n">
        <x:f>EDATE($B$5,A525-1)</x:f>
        <x:v>60845</x:v>
      </x:c>
      <x:c r="C525" s="141" t="n">
        <x:f>IF(AND($B$22="Sim",A525&gt;=$B$23,A525&lt;$B$23+$B$31),$B$32*D525,0)</x:f>
        <x:v>0</x:v>
      </x:c>
      <x:c r="D525" s="180" t="n">
        <x:f>IF(A525&lt;$B$23,1,(1+$B$33)^INT((A525-$B$23)/12))</x:f>
        <x:v>9.703507487854647</x:v>
      </x:c>
      <x:c r="E525" s="141" t="n">
        <x:f>IF(AND($B$22="Sim",A525=$B$23),$B$37,0)</x:f>
        <x:v>0</x:v>
      </x:c>
      <x:c r="F525" s="141" t="n">
        <x:f>IF(AND($B$22="Sim",A525=$B$24),$B$27,0)</x:f>
        <x:v>0</x:v>
      </x:c>
      <x:c r="G525" s="141" t="n">
        <x:f>IF(AND($B$22="Sim",A525=$B$23),$B$35,0)</x:f>
        <x:v>0</x:v>
      </x:c>
      <x:c r="H525" s="141" t="n">
        <x:f>IF(AND($B$22="Sim",A525=$B$23),$B$36,0)</x:f>
        <x:v>0</x:v>
      </x:c>
      <x:c r="I525" s="141" t="n">
        <x:f>IF(OR($B$22&lt;&gt;"Sim",A525&gt;=$B$23+$B$31-1),0,(I526+C526)/(1+$B$9))</x:f>
        <x:v>0</x:v>
      </x:c>
      <x:c r="J525" s="140" t="str">
        <x:f>IF($B$22&lt;&gt;"Sim","Desativada",IF(A525&lt;$B$23,"Antes da compra",IF(A525&lt;$B$23+$B$31,"Parcelas restantes","Encerrado")))</x:f>
        <x:v>Encerrado</x:v>
      </x:c>
      <x:c r="K525" s="141" t="n">
        <x:f>IF(C525&gt;0,C525/(1+$B$9)^A525,0)</x:f>
        <x:v>0</x:v>
      </x:c>
    </x:row>
    <x:row r="526">
      <x:c r="A526" s="142" t="n">
        <x:v>472</x:v>
      </x:c>
      <x:c r="B526" s="179" t="n">
        <x:f>EDATE($B$5,A526-1)</x:f>
        <x:v>60876</x:v>
      </x:c>
      <x:c r="C526" s="141" t="n">
        <x:f>IF(AND($B$22="Sim",A526&gt;=$B$23,A526&lt;$B$23+$B$31),$B$32*D526,0)</x:f>
        <x:v>0</x:v>
      </x:c>
      <x:c r="D526" s="180" t="n">
        <x:f>IF(A526&lt;$B$23,1,(1+$B$33)^INT((A526-$B$23)/12))</x:f>
        <x:v>9.703507487854647</x:v>
      </x:c>
      <x:c r="E526" s="141" t="n">
        <x:f>IF(AND($B$22="Sim",A526=$B$23),$B$37,0)</x:f>
        <x:v>0</x:v>
      </x:c>
      <x:c r="F526" s="141" t="n">
        <x:f>IF(AND($B$22="Sim",A526=$B$24),$B$27,0)</x:f>
        <x:v>0</x:v>
      </x:c>
      <x:c r="G526" s="141" t="n">
        <x:f>IF(AND($B$22="Sim",A526=$B$23),$B$35,0)</x:f>
        <x:v>0</x:v>
      </x:c>
      <x:c r="H526" s="141" t="n">
        <x:f>IF(AND($B$22="Sim",A526=$B$23),$B$36,0)</x:f>
        <x:v>0</x:v>
      </x:c>
      <x:c r="I526" s="141" t="n">
        <x:f>IF(OR($B$22&lt;&gt;"Sim",A526&gt;=$B$23+$B$31-1),0,(I527+C527)/(1+$B$9))</x:f>
        <x:v>0</x:v>
      </x:c>
      <x:c r="J526" s="140" t="str">
        <x:f>IF($B$22&lt;&gt;"Sim","Desativada",IF(A526&lt;$B$23,"Antes da compra",IF(A526&lt;$B$23+$B$31,"Parcelas restantes","Encerrado")))</x:f>
        <x:v>Encerrado</x:v>
      </x:c>
      <x:c r="K526" s="141" t="n">
        <x:f>IF(C526&gt;0,C526/(1+$B$9)^A526,0)</x:f>
        <x:v>0</x:v>
      </x:c>
    </x:row>
    <x:row r="527">
      <x:c r="A527" s="142" t="n">
        <x:v>473</x:v>
      </x:c>
      <x:c r="B527" s="179" t="n">
        <x:f>EDATE($B$5,A527-1)</x:f>
        <x:v>60906</x:v>
      </x:c>
      <x:c r="C527" s="141" t="n">
        <x:f>IF(AND($B$22="Sim",A527&gt;=$B$23,A527&lt;$B$23+$B$31),$B$32*D527,0)</x:f>
        <x:v>0</x:v>
      </x:c>
      <x:c r="D527" s="180" t="n">
        <x:f>IF(A527&lt;$B$23,1,(1+$B$33)^INT((A527-$B$23)/12))</x:f>
        <x:v>9.703507487854647</x:v>
      </x:c>
      <x:c r="E527" s="141" t="n">
        <x:f>IF(AND($B$22="Sim",A527=$B$23),$B$37,0)</x:f>
        <x:v>0</x:v>
      </x:c>
      <x:c r="F527" s="141" t="n">
        <x:f>IF(AND($B$22="Sim",A527=$B$24),$B$27,0)</x:f>
        <x:v>0</x:v>
      </x:c>
      <x:c r="G527" s="141" t="n">
        <x:f>IF(AND($B$22="Sim",A527=$B$23),$B$35,0)</x:f>
        <x:v>0</x:v>
      </x:c>
      <x:c r="H527" s="141" t="n">
        <x:f>IF(AND($B$22="Sim",A527=$B$23),$B$36,0)</x:f>
        <x:v>0</x:v>
      </x:c>
      <x:c r="I527" s="141" t="n">
        <x:f>IF(OR($B$22&lt;&gt;"Sim",A527&gt;=$B$23+$B$31-1),0,(I528+C528)/(1+$B$9))</x:f>
        <x:v>0</x:v>
      </x:c>
      <x:c r="J527" s="140" t="str">
        <x:f>IF($B$22&lt;&gt;"Sim","Desativada",IF(A527&lt;$B$23,"Antes da compra",IF(A527&lt;$B$23+$B$31,"Parcelas restantes","Encerrado")))</x:f>
        <x:v>Encerrado</x:v>
      </x:c>
      <x:c r="K527" s="141" t="n">
        <x:f>IF(C527&gt;0,C527/(1+$B$9)^A527,0)</x:f>
        <x:v>0</x:v>
      </x:c>
    </x:row>
    <x:row r="528">
      <x:c r="A528" s="142" t="n">
        <x:v>474</x:v>
      </x:c>
      <x:c r="B528" s="179" t="n">
        <x:f>EDATE($B$5,A528-1)</x:f>
        <x:v>60937</x:v>
      </x:c>
      <x:c r="C528" s="141" t="n">
        <x:f>IF(AND($B$22="Sim",A528&gt;=$B$23,A528&lt;$B$23+$B$31),$B$32*D528,0)</x:f>
        <x:v>0</x:v>
      </x:c>
      <x:c r="D528" s="180" t="n">
        <x:f>IF(A528&lt;$B$23,1,(1+$B$33)^INT((A528-$B$23)/12))</x:f>
        <x:v>9.703507487854647</x:v>
      </x:c>
      <x:c r="E528" s="141" t="n">
        <x:f>IF(AND($B$22="Sim",A528=$B$23),$B$37,0)</x:f>
        <x:v>0</x:v>
      </x:c>
      <x:c r="F528" s="141" t="n">
        <x:f>IF(AND($B$22="Sim",A528=$B$24),$B$27,0)</x:f>
        <x:v>0</x:v>
      </x:c>
      <x:c r="G528" s="141" t="n">
        <x:f>IF(AND($B$22="Sim",A528=$B$23),$B$35,0)</x:f>
        <x:v>0</x:v>
      </x:c>
      <x:c r="H528" s="141" t="n">
        <x:f>IF(AND($B$22="Sim",A528=$B$23),$B$36,0)</x:f>
        <x:v>0</x:v>
      </x:c>
      <x:c r="I528" s="141" t="n">
        <x:f>IF(OR($B$22&lt;&gt;"Sim",A528&gt;=$B$23+$B$31-1),0,(I529+C529)/(1+$B$9))</x:f>
        <x:v>0</x:v>
      </x:c>
      <x:c r="J528" s="140" t="str">
        <x:f>IF($B$22&lt;&gt;"Sim","Desativada",IF(A528&lt;$B$23,"Antes da compra",IF(A528&lt;$B$23+$B$31,"Parcelas restantes","Encerrado")))</x:f>
        <x:v>Encerrado</x:v>
      </x:c>
      <x:c r="K528" s="141" t="n">
        <x:f>IF(C528&gt;0,C528/(1+$B$9)^A528,0)</x:f>
        <x:v>0</x:v>
      </x:c>
    </x:row>
    <x:row r="529">
      <x:c r="A529" s="142" t="n">
        <x:v>475</x:v>
      </x:c>
      <x:c r="B529" s="179" t="n">
        <x:f>EDATE($B$5,A529-1)</x:f>
        <x:v>60967</x:v>
      </x:c>
      <x:c r="C529" s="141" t="n">
        <x:f>IF(AND($B$22="Sim",A529&gt;=$B$23,A529&lt;$B$23+$B$31),$B$32*D529,0)</x:f>
        <x:v>0</x:v>
      </x:c>
      <x:c r="D529" s="180" t="n">
        <x:f>IF(A529&lt;$B$23,1,(1+$B$33)^INT((A529-$B$23)/12))</x:f>
        <x:v>9.703507487854647</x:v>
      </x:c>
      <x:c r="E529" s="141" t="n">
        <x:f>IF(AND($B$22="Sim",A529=$B$23),$B$37,0)</x:f>
        <x:v>0</x:v>
      </x:c>
      <x:c r="F529" s="141" t="n">
        <x:f>IF(AND($B$22="Sim",A529=$B$24),$B$27,0)</x:f>
        <x:v>0</x:v>
      </x:c>
      <x:c r="G529" s="141" t="n">
        <x:f>IF(AND($B$22="Sim",A529=$B$23),$B$35,0)</x:f>
        <x:v>0</x:v>
      </x:c>
      <x:c r="H529" s="141" t="n">
        <x:f>IF(AND($B$22="Sim",A529=$B$23),$B$36,0)</x:f>
        <x:v>0</x:v>
      </x:c>
      <x:c r="I529" s="141" t="n">
        <x:f>IF(OR($B$22&lt;&gt;"Sim",A529&gt;=$B$23+$B$31-1),0,(I530+C530)/(1+$B$9))</x:f>
        <x:v>0</x:v>
      </x:c>
      <x:c r="J529" s="140" t="str">
        <x:f>IF($B$22&lt;&gt;"Sim","Desativada",IF(A529&lt;$B$23,"Antes da compra",IF(A529&lt;$B$23+$B$31,"Parcelas restantes","Encerrado")))</x:f>
        <x:v>Encerrado</x:v>
      </x:c>
      <x:c r="K529" s="141" t="n">
        <x:f>IF(C529&gt;0,C529/(1+$B$9)^A529,0)</x:f>
        <x:v>0</x:v>
      </x:c>
    </x:row>
    <x:row r="530">
      <x:c r="A530" s="142" t="n">
        <x:v>476</x:v>
      </x:c>
      <x:c r="B530" s="179" t="n">
        <x:f>EDATE($B$5,A530-1)</x:f>
        <x:v>60998</x:v>
      </x:c>
      <x:c r="C530" s="141" t="n">
        <x:f>IF(AND($B$22="Sim",A530&gt;=$B$23,A530&lt;$B$23+$B$31),$B$32*D530,0)</x:f>
        <x:v>0</x:v>
      </x:c>
      <x:c r="D530" s="180" t="n">
        <x:f>IF(A530&lt;$B$23,1,(1+$B$33)^INT((A530-$B$23)/12))</x:f>
        <x:v>9.703507487854647</x:v>
      </x:c>
      <x:c r="E530" s="141" t="n">
        <x:f>IF(AND($B$22="Sim",A530=$B$23),$B$37,0)</x:f>
        <x:v>0</x:v>
      </x:c>
      <x:c r="F530" s="141" t="n">
        <x:f>IF(AND($B$22="Sim",A530=$B$24),$B$27,0)</x:f>
        <x:v>0</x:v>
      </x:c>
      <x:c r="G530" s="141" t="n">
        <x:f>IF(AND($B$22="Sim",A530=$B$23),$B$35,0)</x:f>
        <x:v>0</x:v>
      </x:c>
      <x:c r="H530" s="141" t="n">
        <x:f>IF(AND($B$22="Sim",A530=$B$23),$B$36,0)</x:f>
        <x:v>0</x:v>
      </x:c>
      <x:c r="I530" s="141" t="n">
        <x:f>IF(OR($B$22&lt;&gt;"Sim",A530&gt;=$B$23+$B$31-1),0,(I531+C531)/(1+$B$9))</x:f>
        <x:v>0</x:v>
      </x:c>
      <x:c r="J530" s="140" t="str">
        <x:f>IF($B$22&lt;&gt;"Sim","Desativada",IF(A530&lt;$B$23,"Antes da compra",IF(A530&lt;$B$23+$B$31,"Parcelas restantes","Encerrado")))</x:f>
        <x:v>Encerrado</x:v>
      </x:c>
      <x:c r="K530" s="141" t="n">
        <x:f>IF(C530&gt;0,C530/(1+$B$9)^A530,0)</x:f>
        <x:v>0</x:v>
      </x:c>
    </x:row>
    <x:row r="531">
      <x:c r="A531" s="142" t="n">
        <x:v>477</x:v>
      </x:c>
      <x:c r="B531" s="179" t="n">
        <x:f>EDATE($B$5,A531-1)</x:f>
        <x:v>61029</x:v>
      </x:c>
      <x:c r="C531" s="141" t="n">
        <x:f>IF(AND($B$22="Sim",A531&gt;=$B$23,A531&lt;$B$23+$B$31),$B$32*D531,0)</x:f>
        <x:v>0</x:v>
      </x:c>
      <x:c r="D531" s="180" t="n">
        <x:f>IF(A531&lt;$B$23,1,(1+$B$33)^INT((A531-$B$23)/12))</x:f>
        <x:v>9.703507487854647</x:v>
      </x:c>
      <x:c r="E531" s="141" t="n">
        <x:f>IF(AND($B$22="Sim",A531=$B$23),$B$37,0)</x:f>
        <x:v>0</x:v>
      </x:c>
      <x:c r="F531" s="141" t="n">
        <x:f>IF(AND($B$22="Sim",A531=$B$24),$B$27,0)</x:f>
        <x:v>0</x:v>
      </x:c>
      <x:c r="G531" s="141" t="n">
        <x:f>IF(AND($B$22="Sim",A531=$B$23),$B$35,0)</x:f>
        <x:v>0</x:v>
      </x:c>
      <x:c r="H531" s="141" t="n">
        <x:f>IF(AND($B$22="Sim",A531=$B$23),$B$36,0)</x:f>
        <x:v>0</x:v>
      </x:c>
      <x:c r="I531" s="141" t="n">
        <x:f>IF(OR($B$22&lt;&gt;"Sim",A531&gt;=$B$23+$B$31-1),0,(I532+C532)/(1+$B$9))</x:f>
        <x:v>0</x:v>
      </x:c>
      <x:c r="J531" s="140" t="str">
        <x:f>IF($B$22&lt;&gt;"Sim","Desativada",IF(A531&lt;$B$23,"Antes da compra",IF(A531&lt;$B$23+$B$31,"Parcelas restantes","Encerrado")))</x:f>
        <x:v>Encerrado</x:v>
      </x:c>
      <x:c r="K531" s="141" t="n">
        <x:f>IF(C531&gt;0,C531/(1+$B$9)^A531,0)</x:f>
        <x:v>0</x:v>
      </x:c>
    </x:row>
    <x:row r="532">
      <x:c r="A532" s="142" t="n">
        <x:v>478</x:v>
      </x:c>
      <x:c r="B532" s="179" t="n">
        <x:f>EDATE($B$5,A532-1)</x:f>
        <x:v>61057</x:v>
      </x:c>
      <x:c r="C532" s="141" t="n">
        <x:f>IF(AND($B$22="Sim",A532&gt;=$B$23,A532&lt;$B$23+$B$31),$B$32*D532,0)</x:f>
        <x:v>0</x:v>
      </x:c>
      <x:c r="D532" s="180" t="n">
        <x:f>IF(A532&lt;$B$23,1,(1+$B$33)^INT((A532-$B$23)/12))</x:f>
        <x:v>9.703507487854647</x:v>
      </x:c>
      <x:c r="E532" s="141" t="n">
        <x:f>IF(AND($B$22="Sim",A532=$B$23),$B$37,0)</x:f>
        <x:v>0</x:v>
      </x:c>
      <x:c r="F532" s="141" t="n">
        <x:f>IF(AND($B$22="Sim",A532=$B$24),$B$27,0)</x:f>
        <x:v>0</x:v>
      </x:c>
      <x:c r="G532" s="141" t="n">
        <x:f>IF(AND($B$22="Sim",A532=$B$23),$B$35,0)</x:f>
        <x:v>0</x:v>
      </x:c>
      <x:c r="H532" s="141" t="n">
        <x:f>IF(AND($B$22="Sim",A532=$B$23),$B$36,0)</x:f>
        <x:v>0</x:v>
      </x:c>
      <x:c r="I532" s="141" t="n">
        <x:f>IF(OR($B$22&lt;&gt;"Sim",A532&gt;=$B$23+$B$31-1),0,(I533+C533)/(1+$B$9))</x:f>
        <x:v>0</x:v>
      </x:c>
      <x:c r="J532" s="140" t="str">
        <x:f>IF($B$22&lt;&gt;"Sim","Desativada",IF(A532&lt;$B$23,"Antes da compra",IF(A532&lt;$B$23+$B$31,"Parcelas restantes","Encerrado")))</x:f>
        <x:v>Encerrado</x:v>
      </x:c>
      <x:c r="K532" s="141" t="n">
        <x:f>IF(C532&gt;0,C532/(1+$B$9)^A532,0)</x:f>
        <x:v>0</x:v>
      </x:c>
    </x:row>
    <x:row r="533">
      <x:c r="A533" s="142" t="n">
        <x:v>479</x:v>
      </x:c>
      <x:c r="B533" s="179" t="n">
        <x:f>EDATE($B$5,A533-1)</x:f>
        <x:v>61088</x:v>
      </x:c>
      <x:c r="C533" s="141" t="n">
        <x:f>IF(AND($B$22="Sim",A533&gt;=$B$23,A533&lt;$B$23+$B$31),$B$32*D533,0)</x:f>
        <x:v>0</x:v>
      </x:c>
      <x:c r="D533" s="180" t="n">
        <x:f>IF(A533&lt;$B$23,1,(1+$B$33)^INT((A533-$B$23)/12))</x:f>
        <x:v>9.703507487854647</x:v>
      </x:c>
      <x:c r="E533" s="141" t="n">
        <x:f>IF(AND($B$22="Sim",A533=$B$23),$B$37,0)</x:f>
        <x:v>0</x:v>
      </x:c>
      <x:c r="F533" s="141" t="n">
        <x:f>IF(AND($B$22="Sim",A533=$B$24),$B$27,0)</x:f>
        <x:v>0</x:v>
      </x:c>
      <x:c r="G533" s="141" t="n">
        <x:f>IF(AND($B$22="Sim",A533=$B$23),$B$35,0)</x:f>
        <x:v>0</x:v>
      </x:c>
      <x:c r="H533" s="141" t="n">
        <x:f>IF(AND($B$22="Sim",A533=$B$23),$B$36,0)</x:f>
        <x:v>0</x:v>
      </x:c>
      <x:c r="I533" s="141" t="n">
        <x:f>IF(OR($B$22&lt;&gt;"Sim",A533&gt;=$B$23+$B$31-1),0,(I534+C534)/(1+$B$9))</x:f>
        <x:v>0</x:v>
      </x:c>
      <x:c r="J533" s="140" t="str">
        <x:f>IF($B$22&lt;&gt;"Sim","Desativada",IF(A533&lt;$B$23,"Antes da compra",IF(A533&lt;$B$23+$B$31,"Parcelas restantes","Encerrado")))</x:f>
        <x:v>Encerrado</x:v>
      </x:c>
      <x:c r="K533" s="141" t="n">
        <x:f>IF(C533&gt;0,C533/(1+$B$9)^A533,0)</x:f>
        <x:v>0</x:v>
      </x:c>
    </x:row>
    <x:row r="534">
      <x:c r="A534" s="142" t="n">
        <x:v>480</x:v>
      </x:c>
      <x:c r="B534" s="179" t="n">
        <x:f>EDATE($B$5,A534-1)</x:f>
        <x:v>61118</x:v>
      </x:c>
      <x:c r="C534" s="141" t="n">
        <x:f>IF(AND($B$22="Sim",A534&gt;=$B$23,A534&lt;$B$23+$B$31),$B$32*D534,0)</x:f>
        <x:v>0</x:v>
      </x:c>
      <x:c r="D534" s="180" t="n">
        <x:f>IF(A534&lt;$B$23,1,(1+$B$33)^INT((A534-$B$23)/12))</x:f>
        <x:v>9.703507487854647</x:v>
      </x:c>
      <x:c r="E534" s="141" t="n">
        <x:f>IF(AND($B$22="Sim",A534=$B$23),$B$37,0)</x:f>
        <x:v>0</x:v>
      </x:c>
      <x:c r="F534" s="141" t="n">
        <x:f>IF(AND($B$22="Sim",A534=$B$24),$B$27,0)</x:f>
        <x:v>0</x:v>
      </x:c>
      <x:c r="G534" s="141" t="n">
        <x:f>IF(AND($B$22="Sim",A534=$B$23),$B$35,0)</x:f>
        <x:v>0</x:v>
      </x:c>
      <x:c r="H534" s="141" t="n">
        <x:f>IF(AND($B$22="Sim",A534=$B$23),$B$36,0)</x:f>
        <x:v>0</x:v>
      </x:c>
      <x:c r="I534" s="141" t="n">
        <x:f>IF(OR($B$22&lt;&gt;"Sim",A534&gt;=$B$23+$B$31-1),0,(I535+C535)/(1+$B$9))</x:f>
        <x:v>0</x:v>
      </x:c>
      <x:c r="J534" s="140" t="str">
        <x:f>IF($B$22&lt;&gt;"Sim","Desativada",IF(A534&lt;$B$23,"Antes da compra",IF(A534&lt;$B$23+$B$31,"Parcelas restantes","Encerrado")))</x:f>
        <x:v>Encerrado</x:v>
      </x:c>
      <x:c r="K534" s="141" t="n">
        <x:f>IF(C534&gt;0,C534/(1+$B$9)^A534,0)</x:f>
        <x:v>0</x:v>
      </x:c>
    </x:row>
    <x:row r="535">
      <x:c r="A535" s="142" t="n">
        <x:v>481</x:v>
      </x:c>
      <x:c r="B535" s="179" t="n">
        <x:f>EDATE($B$5,A535-1)</x:f>
        <x:v>61149</x:v>
      </x:c>
      <x:c r="C535" s="141" t="n">
        <x:f>IF(AND($B$22="Sim",A535&gt;=$B$23,A535&lt;$B$23+$B$31),$B$32*D535,0)</x:f>
        <x:v>0</x:v>
      </x:c>
      <x:c r="D535" s="180" t="n">
        <x:f>IF(A535&lt;$B$23,1,(1+$B$33)^INT((A535-$B$23)/12))</x:f>
        <x:v>10.285717937125927</x:v>
      </x:c>
      <x:c r="E535" s="141" t="n">
        <x:f>IF(AND($B$22="Sim",A535=$B$23),$B$37,0)</x:f>
        <x:v>0</x:v>
      </x:c>
      <x:c r="F535" s="141" t="n">
        <x:f>IF(AND($B$22="Sim",A535=$B$24),$B$27,0)</x:f>
        <x:v>0</x:v>
      </x:c>
      <x:c r="G535" s="141" t="n">
        <x:f>IF(AND($B$22="Sim",A535=$B$23),$B$35,0)</x:f>
        <x:v>0</x:v>
      </x:c>
      <x:c r="H535" s="141" t="n">
        <x:f>IF(AND($B$22="Sim",A535=$B$23),$B$36,0)</x:f>
        <x:v>0</x:v>
      </x:c>
      <x:c r="I535" s="141" t="n">
        <x:f>IF(OR($B$22&lt;&gt;"Sim",A535&gt;=$B$23+$B$31-1),0,(I536+C536)/(1+$B$9))</x:f>
        <x:v>0</x:v>
      </x:c>
      <x:c r="J535" s="140" t="str">
        <x:f>IF($B$22&lt;&gt;"Sim","Desativada",IF(A535&lt;$B$23,"Antes da compra",IF(A535&lt;$B$23+$B$31,"Parcelas restantes","Encerrado")))</x:f>
        <x:v>Encerrado</x:v>
      </x:c>
      <x:c r="K535" s="141" t="n">
        <x:f>IF(C535&gt;0,C535/(1+$B$9)^A535,0)</x:f>
        <x:v>0</x:v>
      </x:c>
    </x:row>
    <x:row r="536">
      <x:c r="A536" s="142" t="n">
        <x:v>482</x:v>
      </x:c>
      <x:c r="B536" s="179" t="n">
        <x:f>EDATE($B$5,A536-1)</x:f>
        <x:v>61179</x:v>
      </x:c>
      <x:c r="C536" s="141" t="n">
        <x:f>IF(AND($B$22="Sim",A536&gt;=$B$23,A536&lt;$B$23+$B$31),$B$32*D536,0)</x:f>
        <x:v>0</x:v>
      </x:c>
      <x:c r="D536" s="180" t="n">
        <x:f>IF(A536&lt;$B$23,1,(1+$B$33)^INT((A536-$B$23)/12))</x:f>
        <x:v>10.285717937125927</x:v>
      </x:c>
      <x:c r="E536" s="141" t="n">
        <x:f>IF(AND($B$22="Sim",A536=$B$23),$B$37,0)</x:f>
        <x:v>0</x:v>
      </x:c>
      <x:c r="F536" s="141" t="n">
        <x:f>IF(AND($B$22="Sim",A536=$B$24),$B$27,0)</x:f>
        <x:v>0</x:v>
      </x:c>
      <x:c r="G536" s="141" t="n">
        <x:f>IF(AND($B$22="Sim",A536=$B$23),$B$35,0)</x:f>
        <x:v>0</x:v>
      </x:c>
      <x:c r="H536" s="141" t="n">
        <x:f>IF(AND($B$22="Sim",A536=$B$23),$B$36,0)</x:f>
        <x:v>0</x:v>
      </x:c>
      <x:c r="I536" s="141" t="n">
        <x:f>IF(OR($B$22&lt;&gt;"Sim",A536&gt;=$B$23+$B$31-1),0,(I537+C537)/(1+$B$9))</x:f>
        <x:v>0</x:v>
      </x:c>
      <x:c r="J536" s="140" t="str">
        <x:f>IF($B$22&lt;&gt;"Sim","Desativada",IF(A536&lt;$B$23,"Antes da compra",IF(A536&lt;$B$23+$B$31,"Parcelas restantes","Encerrado")))</x:f>
        <x:v>Encerrado</x:v>
      </x:c>
      <x:c r="K536" s="141" t="n">
        <x:f>IF(C536&gt;0,C536/(1+$B$9)^A536,0)</x:f>
        <x:v>0</x:v>
      </x:c>
    </x:row>
    <x:row r="537">
      <x:c r="A537" s="142" t="n">
        <x:v>483</x:v>
      </x:c>
      <x:c r="B537" s="179" t="n">
        <x:f>EDATE($B$5,A537-1)</x:f>
        <x:v>61210</x:v>
      </x:c>
      <x:c r="C537" s="141" t="n">
        <x:f>IF(AND($B$22="Sim",A537&gt;=$B$23,A537&lt;$B$23+$B$31),$B$32*D537,0)</x:f>
        <x:v>0</x:v>
      </x:c>
      <x:c r="D537" s="180" t="n">
        <x:f>IF(A537&lt;$B$23,1,(1+$B$33)^INT((A537-$B$23)/12))</x:f>
        <x:v>10.285717937125927</x:v>
      </x:c>
      <x:c r="E537" s="141" t="n">
        <x:f>IF(AND($B$22="Sim",A537=$B$23),$B$37,0)</x:f>
        <x:v>0</x:v>
      </x:c>
      <x:c r="F537" s="141" t="n">
        <x:f>IF(AND($B$22="Sim",A537=$B$24),$B$27,0)</x:f>
        <x:v>0</x:v>
      </x:c>
      <x:c r="G537" s="141" t="n">
        <x:f>IF(AND($B$22="Sim",A537=$B$23),$B$35,0)</x:f>
        <x:v>0</x:v>
      </x:c>
      <x:c r="H537" s="141" t="n">
        <x:f>IF(AND($B$22="Sim",A537=$B$23),$B$36,0)</x:f>
        <x:v>0</x:v>
      </x:c>
      <x:c r="I537" s="141" t="n">
        <x:f>IF(OR($B$22&lt;&gt;"Sim",A537&gt;=$B$23+$B$31-1),0,(I538+C538)/(1+$B$9))</x:f>
        <x:v>0</x:v>
      </x:c>
      <x:c r="J537" s="140" t="str">
        <x:f>IF($B$22&lt;&gt;"Sim","Desativada",IF(A537&lt;$B$23,"Antes da compra",IF(A537&lt;$B$23+$B$31,"Parcelas restantes","Encerrado")))</x:f>
        <x:v>Encerrado</x:v>
      </x:c>
      <x:c r="K537" s="141" t="n">
        <x:f>IF(C537&gt;0,C537/(1+$B$9)^A537,0)</x:f>
        <x:v>0</x:v>
      </x:c>
    </x:row>
    <x:row r="538">
      <x:c r="A538" s="142" t="n">
        <x:v>484</x:v>
      </x:c>
      <x:c r="B538" s="179" t="n">
        <x:f>EDATE($B$5,A538-1)</x:f>
        <x:v>61241</x:v>
      </x:c>
      <x:c r="C538" s="141" t="n">
        <x:f>IF(AND($B$22="Sim",A538&gt;=$B$23,A538&lt;$B$23+$B$31),$B$32*D538,0)</x:f>
        <x:v>0</x:v>
      </x:c>
      <x:c r="D538" s="180" t="n">
        <x:f>IF(A538&lt;$B$23,1,(1+$B$33)^INT((A538-$B$23)/12))</x:f>
        <x:v>10.285717937125927</x:v>
      </x:c>
      <x:c r="E538" s="141" t="n">
        <x:f>IF(AND($B$22="Sim",A538=$B$23),$B$37,0)</x:f>
        <x:v>0</x:v>
      </x:c>
      <x:c r="F538" s="141" t="n">
        <x:f>IF(AND($B$22="Sim",A538=$B$24),$B$27,0)</x:f>
        <x:v>0</x:v>
      </x:c>
      <x:c r="G538" s="141" t="n">
        <x:f>IF(AND($B$22="Sim",A538=$B$23),$B$35,0)</x:f>
        <x:v>0</x:v>
      </x:c>
      <x:c r="H538" s="141" t="n">
        <x:f>IF(AND($B$22="Sim",A538=$B$23),$B$36,0)</x:f>
        <x:v>0</x:v>
      </x:c>
      <x:c r="I538" s="141" t="n">
        <x:f>IF(OR($B$22&lt;&gt;"Sim",A538&gt;=$B$23+$B$31-1),0,(I539+C539)/(1+$B$9))</x:f>
        <x:v>0</x:v>
      </x:c>
      <x:c r="J538" s="140" t="str">
        <x:f>IF($B$22&lt;&gt;"Sim","Desativada",IF(A538&lt;$B$23,"Antes da compra",IF(A538&lt;$B$23+$B$31,"Parcelas restantes","Encerrado")))</x:f>
        <x:v>Encerrado</x:v>
      </x:c>
      <x:c r="K538" s="141" t="n">
        <x:f>IF(C538&gt;0,C538/(1+$B$9)^A538,0)</x:f>
        <x:v>0</x:v>
      </x:c>
    </x:row>
    <x:row r="539">
      <x:c r="A539" s="142" t="n">
        <x:v>485</x:v>
      </x:c>
      <x:c r="B539" s="179" t="n">
        <x:f>EDATE($B$5,A539-1)</x:f>
        <x:v>61271</x:v>
      </x:c>
      <x:c r="C539" s="141" t="n">
        <x:f>IF(AND($B$22="Sim",A539&gt;=$B$23,A539&lt;$B$23+$B$31),$B$32*D539,0)</x:f>
        <x:v>0</x:v>
      </x:c>
      <x:c r="D539" s="180" t="n">
        <x:f>IF(A539&lt;$B$23,1,(1+$B$33)^INT((A539-$B$23)/12))</x:f>
        <x:v>10.285717937125927</x:v>
      </x:c>
      <x:c r="E539" s="141" t="n">
        <x:f>IF(AND($B$22="Sim",A539=$B$23),$B$37,0)</x:f>
        <x:v>0</x:v>
      </x:c>
      <x:c r="F539" s="141" t="n">
        <x:f>IF(AND($B$22="Sim",A539=$B$24),$B$27,0)</x:f>
        <x:v>0</x:v>
      </x:c>
      <x:c r="G539" s="141" t="n">
        <x:f>IF(AND($B$22="Sim",A539=$B$23),$B$35,0)</x:f>
        <x:v>0</x:v>
      </x:c>
      <x:c r="H539" s="141" t="n">
        <x:f>IF(AND($B$22="Sim",A539=$B$23),$B$36,0)</x:f>
        <x:v>0</x:v>
      </x:c>
      <x:c r="I539" s="141" t="n">
        <x:f>IF(OR($B$22&lt;&gt;"Sim",A539&gt;=$B$23+$B$31-1),0,(I540+C540)/(1+$B$9))</x:f>
        <x:v>0</x:v>
      </x:c>
      <x:c r="J539" s="140" t="str">
        <x:f>IF($B$22&lt;&gt;"Sim","Desativada",IF(A539&lt;$B$23,"Antes da compra",IF(A539&lt;$B$23+$B$31,"Parcelas restantes","Encerrado")))</x:f>
        <x:v>Encerrado</x:v>
      </x:c>
      <x:c r="K539" s="141" t="n">
        <x:f>IF(C539&gt;0,C539/(1+$B$9)^A539,0)</x:f>
        <x:v>0</x:v>
      </x:c>
    </x:row>
    <x:row r="540">
      <x:c r="A540" s="142" t="n">
        <x:v>486</x:v>
      </x:c>
      <x:c r="B540" s="179" t="n">
        <x:f>EDATE($B$5,A540-1)</x:f>
        <x:v>61302</x:v>
      </x:c>
      <x:c r="C540" s="141" t="n">
        <x:f>IF(AND($B$22="Sim",A540&gt;=$B$23,A540&lt;$B$23+$B$31),$B$32*D540,0)</x:f>
        <x:v>0</x:v>
      </x:c>
      <x:c r="D540" s="180" t="n">
        <x:f>IF(A540&lt;$B$23,1,(1+$B$33)^INT((A540-$B$23)/12))</x:f>
        <x:v>10.285717937125927</x:v>
      </x:c>
      <x:c r="E540" s="141" t="n">
        <x:f>IF(AND($B$22="Sim",A540=$B$23),$B$37,0)</x:f>
        <x:v>0</x:v>
      </x:c>
      <x:c r="F540" s="141" t="n">
        <x:f>IF(AND($B$22="Sim",A540=$B$24),$B$27,0)</x:f>
        <x:v>0</x:v>
      </x:c>
      <x:c r="G540" s="141" t="n">
        <x:f>IF(AND($B$22="Sim",A540=$B$23),$B$35,0)</x:f>
        <x:v>0</x:v>
      </x:c>
      <x:c r="H540" s="141" t="n">
        <x:f>IF(AND($B$22="Sim",A540=$B$23),$B$36,0)</x:f>
        <x:v>0</x:v>
      </x:c>
      <x:c r="I540" s="141" t="n">
        <x:f>IF(OR($B$22&lt;&gt;"Sim",A540&gt;=$B$23+$B$31-1),0,(I541+C541)/(1+$B$9))</x:f>
        <x:v>0</x:v>
      </x:c>
      <x:c r="J540" s="140" t="str">
        <x:f>IF($B$22&lt;&gt;"Sim","Desativada",IF(A540&lt;$B$23,"Antes da compra",IF(A540&lt;$B$23+$B$31,"Parcelas restantes","Encerrado")))</x:f>
        <x:v>Encerrado</x:v>
      </x:c>
      <x:c r="K540" s="141" t="n">
        <x:f>IF(C540&gt;0,C540/(1+$B$9)^A540,0)</x:f>
        <x:v>0</x:v>
      </x:c>
    </x:row>
    <x:row r="541">
      <x:c r="A541" s="142" t="n">
        <x:v>487</x:v>
      </x:c>
      <x:c r="B541" s="179" t="n">
        <x:f>EDATE($B$5,A541-1)</x:f>
        <x:v>61332</x:v>
      </x:c>
      <x:c r="C541" s="141" t="n">
        <x:f>IF(AND($B$22="Sim",A541&gt;=$B$23,A541&lt;$B$23+$B$31),$B$32*D541,0)</x:f>
        <x:v>0</x:v>
      </x:c>
      <x:c r="D541" s="180" t="n">
        <x:f>IF(A541&lt;$B$23,1,(1+$B$33)^INT((A541-$B$23)/12))</x:f>
        <x:v>10.285717937125927</x:v>
      </x:c>
      <x:c r="E541" s="141" t="n">
        <x:f>IF(AND($B$22="Sim",A541=$B$23),$B$37,0)</x:f>
        <x:v>0</x:v>
      </x:c>
      <x:c r="F541" s="141" t="n">
        <x:f>IF(AND($B$22="Sim",A541=$B$24),$B$27,0)</x:f>
        <x:v>0</x:v>
      </x:c>
      <x:c r="G541" s="141" t="n">
        <x:f>IF(AND($B$22="Sim",A541=$B$23),$B$35,0)</x:f>
        <x:v>0</x:v>
      </x:c>
      <x:c r="H541" s="141" t="n">
        <x:f>IF(AND($B$22="Sim",A541=$B$23),$B$36,0)</x:f>
        <x:v>0</x:v>
      </x:c>
      <x:c r="I541" s="141" t="n">
        <x:f>IF(OR($B$22&lt;&gt;"Sim",A541&gt;=$B$23+$B$31-1),0,(I542+C542)/(1+$B$9))</x:f>
        <x:v>0</x:v>
      </x:c>
      <x:c r="J541" s="140" t="str">
        <x:f>IF($B$22&lt;&gt;"Sim","Desativada",IF(A541&lt;$B$23,"Antes da compra",IF(A541&lt;$B$23+$B$31,"Parcelas restantes","Encerrado")))</x:f>
        <x:v>Encerrado</x:v>
      </x:c>
      <x:c r="K541" s="141" t="n">
        <x:f>IF(C541&gt;0,C541/(1+$B$9)^A541,0)</x:f>
        <x:v>0</x:v>
      </x:c>
    </x:row>
    <x:row r="542">
      <x:c r="A542" s="142" t="n">
        <x:v>488</x:v>
      </x:c>
      <x:c r="B542" s="179" t="n">
        <x:f>EDATE($B$5,A542-1)</x:f>
        <x:v>61363</x:v>
      </x:c>
      <x:c r="C542" s="141" t="n">
        <x:f>IF(AND($B$22="Sim",A542&gt;=$B$23,A542&lt;$B$23+$B$31),$B$32*D542,0)</x:f>
        <x:v>0</x:v>
      </x:c>
      <x:c r="D542" s="180" t="n">
        <x:f>IF(A542&lt;$B$23,1,(1+$B$33)^INT((A542-$B$23)/12))</x:f>
        <x:v>10.285717937125927</x:v>
      </x:c>
      <x:c r="E542" s="141" t="n">
        <x:f>IF(AND($B$22="Sim",A542=$B$23),$B$37,0)</x:f>
        <x:v>0</x:v>
      </x:c>
      <x:c r="F542" s="141" t="n">
        <x:f>IF(AND($B$22="Sim",A542=$B$24),$B$27,0)</x:f>
        <x:v>0</x:v>
      </x:c>
      <x:c r="G542" s="141" t="n">
        <x:f>IF(AND($B$22="Sim",A542=$B$23),$B$35,0)</x:f>
        <x:v>0</x:v>
      </x:c>
      <x:c r="H542" s="141" t="n">
        <x:f>IF(AND($B$22="Sim",A542=$B$23),$B$36,0)</x:f>
        <x:v>0</x:v>
      </x:c>
      <x:c r="I542" s="141" t="n">
        <x:f>IF(OR($B$22&lt;&gt;"Sim",A542&gt;=$B$23+$B$31-1),0,(I543+C543)/(1+$B$9))</x:f>
        <x:v>0</x:v>
      </x:c>
      <x:c r="J542" s="140" t="str">
        <x:f>IF($B$22&lt;&gt;"Sim","Desativada",IF(A542&lt;$B$23,"Antes da compra",IF(A542&lt;$B$23+$B$31,"Parcelas restantes","Encerrado")))</x:f>
        <x:v>Encerrado</x:v>
      </x:c>
      <x:c r="K542" s="141" t="n">
        <x:f>IF(C542&gt;0,C542/(1+$B$9)^A542,0)</x:f>
        <x:v>0</x:v>
      </x:c>
    </x:row>
    <x:row r="543">
      <x:c r="A543" s="142" t="n">
        <x:v>489</x:v>
      </x:c>
      <x:c r="B543" s="179" t="n">
        <x:f>EDATE($B$5,A543-1)</x:f>
        <x:v>61394</x:v>
      </x:c>
      <x:c r="C543" s="141" t="n">
        <x:f>IF(AND($B$22="Sim",A543&gt;=$B$23,A543&lt;$B$23+$B$31),$B$32*D543,0)</x:f>
        <x:v>0</x:v>
      </x:c>
      <x:c r="D543" s="180" t="n">
        <x:f>IF(A543&lt;$B$23,1,(1+$B$33)^INT((A543-$B$23)/12))</x:f>
        <x:v>10.285717937125927</x:v>
      </x:c>
      <x:c r="E543" s="141" t="n">
        <x:f>IF(AND($B$22="Sim",A543=$B$23),$B$37,0)</x:f>
        <x:v>0</x:v>
      </x:c>
      <x:c r="F543" s="141" t="n">
        <x:f>IF(AND($B$22="Sim",A543=$B$24),$B$27,0)</x:f>
        <x:v>0</x:v>
      </x:c>
      <x:c r="G543" s="141" t="n">
        <x:f>IF(AND($B$22="Sim",A543=$B$23),$B$35,0)</x:f>
        <x:v>0</x:v>
      </x:c>
      <x:c r="H543" s="141" t="n">
        <x:f>IF(AND($B$22="Sim",A543=$B$23),$B$36,0)</x:f>
        <x:v>0</x:v>
      </x:c>
      <x:c r="I543" s="141" t="n">
        <x:f>IF(OR($B$22&lt;&gt;"Sim",A543&gt;=$B$23+$B$31-1),0,(I544+C544)/(1+$B$9))</x:f>
        <x:v>0</x:v>
      </x:c>
      <x:c r="J543" s="140" t="str">
        <x:f>IF($B$22&lt;&gt;"Sim","Desativada",IF(A543&lt;$B$23,"Antes da compra",IF(A543&lt;$B$23+$B$31,"Parcelas restantes","Encerrado")))</x:f>
        <x:v>Encerrado</x:v>
      </x:c>
      <x:c r="K543" s="141" t="n">
        <x:f>IF(C543&gt;0,C543/(1+$B$9)^A543,0)</x:f>
        <x:v>0</x:v>
      </x:c>
    </x:row>
    <x:row r="544">
      <x:c r="A544" s="142" t="n">
        <x:v>490</x:v>
      </x:c>
      <x:c r="B544" s="179" t="n">
        <x:f>EDATE($B$5,A544-1)</x:f>
        <x:v>61423</x:v>
      </x:c>
      <x:c r="C544" s="141" t="n">
        <x:f>IF(AND($B$22="Sim",A544&gt;=$B$23,A544&lt;$B$23+$B$31),$B$32*D544,0)</x:f>
        <x:v>0</x:v>
      </x:c>
      <x:c r="D544" s="180" t="n">
        <x:f>IF(A544&lt;$B$23,1,(1+$B$33)^INT((A544-$B$23)/12))</x:f>
        <x:v>10.285717937125927</x:v>
      </x:c>
      <x:c r="E544" s="141" t="n">
        <x:f>IF(AND($B$22="Sim",A544=$B$23),$B$37,0)</x:f>
        <x:v>0</x:v>
      </x:c>
      <x:c r="F544" s="141" t="n">
        <x:f>IF(AND($B$22="Sim",A544=$B$24),$B$27,0)</x:f>
        <x:v>0</x:v>
      </x:c>
      <x:c r="G544" s="141" t="n">
        <x:f>IF(AND($B$22="Sim",A544=$B$23),$B$35,0)</x:f>
        <x:v>0</x:v>
      </x:c>
      <x:c r="H544" s="141" t="n">
        <x:f>IF(AND($B$22="Sim",A544=$B$23),$B$36,0)</x:f>
        <x:v>0</x:v>
      </x:c>
      <x:c r="I544" s="141" t="n">
        <x:f>IF(OR($B$22&lt;&gt;"Sim",A544&gt;=$B$23+$B$31-1),0,(I545+C545)/(1+$B$9))</x:f>
        <x:v>0</x:v>
      </x:c>
      <x:c r="J544" s="140" t="str">
        <x:f>IF($B$22&lt;&gt;"Sim","Desativada",IF(A544&lt;$B$23,"Antes da compra",IF(A544&lt;$B$23+$B$31,"Parcelas restantes","Encerrado")))</x:f>
        <x:v>Encerrado</x:v>
      </x:c>
      <x:c r="K544" s="141" t="n">
        <x:f>IF(C544&gt;0,C544/(1+$B$9)^A544,0)</x:f>
        <x:v>0</x:v>
      </x:c>
    </x:row>
    <x:row r="545">
      <x:c r="A545" s="142" t="n">
        <x:v>491</x:v>
      </x:c>
      <x:c r="B545" s="179" t="n">
        <x:f>EDATE($B$5,A545-1)</x:f>
        <x:v>61454</x:v>
      </x:c>
      <x:c r="C545" s="141" t="n">
        <x:f>IF(AND($B$22="Sim",A545&gt;=$B$23,A545&lt;$B$23+$B$31),$B$32*D545,0)</x:f>
        <x:v>0</x:v>
      </x:c>
      <x:c r="D545" s="180" t="n">
        <x:f>IF(A545&lt;$B$23,1,(1+$B$33)^INT((A545-$B$23)/12))</x:f>
        <x:v>10.285717937125927</x:v>
      </x:c>
      <x:c r="E545" s="141" t="n">
        <x:f>IF(AND($B$22="Sim",A545=$B$23),$B$37,0)</x:f>
        <x:v>0</x:v>
      </x:c>
      <x:c r="F545" s="141" t="n">
        <x:f>IF(AND($B$22="Sim",A545=$B$24),$B$27,0)</x:f>
        <x:v>0</x:v>
      </x:c>
      <x:c r="G545" s="141" t="n">
        <x:f>IF(AND($B$22="Sim",A545=$B$23),$B$35,0)</x:f>
        <x:v>0</x:v>
      </x:c>
      <x:c r="H545" s="141" t="n">
        <x:f>IF(AND($B$22="Sim",A545=$B$23),$B$36,0)</x:f>
        <x:v>0</x:v>
      </x:c>
      <x:c r="I545" s="141" t="n">
        <x:f>IF(OR($B$22&lt;&gt;"Sim",A545&gt;=$B$23+$B$31-1),0,(I546+C546)/(1+$B$9))</x:f>
        <x:v>0</x:v>
      </x:c>
      <x:c r="J545" s="140" t="str">
        <x:f>IF($B$22&lt;&gt;"Sim","Desativada",IF(A545&lt;$B$23,"Antes da compra",IF(A545&lt;$B$23+$B$31,"Parcelas restantes","Encerrado")))</x:f>
        <x:v>Encerrado</x:v>
      </x:c>
      <x:c r="K545" s="141" t="n">
        <x:f>IF(C545&gt;0,C545/(1+$B$9)^A545,0)</x:f>
        <x:v>0</x:v>
      </x:c>
    </x:row>
    <x:row r="546">
      <x:c r="A546" s="142" t="n">
        <x:v>492</x:v>
      </x:c>
      <x:c r="B546" s="179" t="n">
        <x:f>EDATE($B$5,A546-1)</x:f>
        <x:v>61484</x:v>
      </x:c>
      <x:c r="C546" s="141" t="n">
        <x:f>IF(AND($B$22="Sim",A546&gt;=$B$23,A546&lt;$B$23+$B$31),$B$32*D546,0)</x:f>
        <x:v>0</x:v>
      </x:c>
      <x:c r="D546" s="180" t="n">
        <x:f>IF(A546&lt;$B$23,1,(1+$B$33)^INT((A546-$B$23)/12))</x:f>
        <x:v>10.285717937125927</x:v>
      </x:c>
      <x:c r="E546" s="141" t="n">
        <x:f>IF(AND($B$22="Sim",A546=$B$23),$B$37,0)</x:f>
        <x:v>0</x:v>
      </x:c>
      <x:c r="F546" s="141" t="n">
        <x:f>IF(AND($B$22="Sim",A546=$B$24),$B$27,0)</x:f>
        <x:v>0</x:v>
      </x:c>
      <x:c r="G546" s="141" t="n">
        <x:f>IF(AND($B$22="Sim",A546=$B$23),$B$35,0)</x:f>
        <x:v>0</x:v>
      </x:c>
      <x:c r="H546" s="141" t="n">
        <x:f>IF(AND($B$22="Sim",A546=$B$23),$B$36,0)</x:f>
        <x:v>0</x:v>
      </x:c>
      <x:c r="I546" s="141" t="n">
        <x:f>IF(OR($B$22&lt;&gt;"Sim",A546&gt;=$B$23+$B$31-1),0,(I547+C547)/(1+$B$9))</x:f>
        <x:v>0</x:v>
      </x:c>
      <x:c r="J546" s="140" t="str">
        <x:f>IF($B$22&lt;&gt;"Sim","Desativada",IF(A546&lt;$B$23,"Antes da compra",IF(A546&lt;$B$23+$B$31,"Parcelas restantes","Encerrado")))</x:f>
        <x:v>Encerrado</x:v>
      </x:c>
      <x:c r="K546" s="141" t="n">
        <x:f>IF(C546&gt;0,C546/(1+$B$9)^A546,0)</x:f>
        <x:v>0</x:v>
      </x:c>
    </x:row>
    <x:row r="547">
      <x:c r="A547" s="142" t="n">
        <x:v>493</x:v>
      </x:c>
      <x:c r="B547" s="179" t="n">
        <x:f>EDATE($B$5,A547-1)</x:f>
        <x:v>61515</x:v>
      </x:c>
      <x:c r="C547" s="141" t="n">
        <x:f>IF(AND($B$22="Sim",A547&gt;=$B$23,A547&lt;$B$23+$B$31),$B$32*D547,0)</x:f>
        <x:v>0</x:v>
      </x:c>
      <x:c r="D547" s="180" t="n">
        <x:f>IF(A547&lt;$B$23,1,(1+$B$33)^INT((A547-$B$23)/12))</x:f>
        <x:v>10.902861013353483</x:v>
      </x:c>
      <x:c r="E547" s="141" t="n">
        <x:f>IF(AND($B$22="Sim",A547=$B$23),$B$37,0)</x:f>
        <x:v>0</x:v>
      </x:c>
      <x:c r="F547" s="141" t="n">
        <x:f>IF(AND($B$22="Sim",A547=$B$24),$B$27,0)</x:f>
        <x:v>0</x:v>
      </x:c>
      <x:c r="G547" s="141" t="n">
        <x:f>IF(AND($B$22="Sim",A547=$B$23),$B$35,0)</x:f>
        <x:v>0</x:v>
      </x:c>
      <x:c r="H547" s="141" t="n">
        <x:f>IF(AND($B$22="Sim",A547=$B$23),$B$36,0)</x:f>
        <x:v>0</x:v>
      </x:c>
      <x:c r="I547" s="141" t="n">
        <x:f>IF(OR($B$22&lt;&gt;"Sim",A547&gt;=$B$23+$B$31-1),0,(I548+C548)/(1+$B$9))</x:f>
        <x:v>0</x:v>
      </x:c>
      <x:c r="J547" s="140" t="str">
        <x:f>IF($B$22&lt;&gt;"Sim","Desativada",IF(A547&lt;$B$23,"Antes da compra",IF(A547&lt;$B$23+$B$31,"Parcelas restantes","Encerrado")))</x:f>
        <x:v>Encerrado</x:v>
      </x:c>
      <x:c r="K547" s="141" t="n">
        <x:f>IF(C547&gt;0,C547/(1+$B$9)^A547,0)</x:f>
        <x:v>0</x:v>
      </x:c>
    </x:row>
    <x:row r="548">
      <x:c r="A548" s="142" t="n">
        <x:v>494</x:v>
      </x:c>
      <x:c r="B548" s="179" t="n">
        <x:f>EDATE($B$5,A548-1)</x:f>
        <x:v>61545</x:v>
      </x:c>
      <x:c r="C548" s="141" t="n">
        <x:f>IF(AND($B$22="Sim",A548&gt;=$B$23,A548&lt;$B$23+$B$31),$B$32*D548,0)</x:f>
        <x:v>0</x:v>
      </x:c>
      <x:c r="D548" s="180" t="n">
        <x:f>IF(A548&lt;$B$23,1,(1+$B$33)^INT((A548-$B$23)/12))</x:f>
        <x:v>10.902861013353483</x:v>
      </x:c>
      <x:c r="E548" s="141" t="n">
        <x:f>IF(AND($B$22="Sim",A548=$B$23),$B$37,0)</x:f>
        <x:v>0</x:v>
      </x:c>
      <x:c r="F548" s="141" t="n">
        <x:f>IF(AND($B$22="Sim",A548=$B$24),$B$27,0)</x:f>
        <x:v>0</x:v>
      </x:c>
      <x:c r="G548" s="141" t="n">
        <x:f>IF(AND($B$22="Sim",A548=$B$23),$B$35,0)</x:f>
        <x:v>0</x:v>
      </x:c>
      <x:c r="H548" s="141" t="n">
        <x:f>IF(AND($B$22="Sim",A548=$B$23),$B$36,0)</x:f>
        <x:v>0</x:v>
      </x:c>
      <x:c r="I548" s="141" t="n">
        <x:f>IF(OR($B$22&lt;&gt;"Sim",A548&gt;=$B$23+$B$31-1),0,(I549+C549)/(1+$B$9))</x:f>
        <x:v>0</x:v>
      </x:c>
      <x:c r="J548" s="140" t="str">
        <x:f>IF($B$22&lt;&gt;"Sim","Desativada",IF(A548&lt;$B$23,"Antes da compra",IF(A548&lt;$B$23+$B$31,"Parcelas restantes","Encerrado")))</x:f>
        <x:v>Encerrado</x:v>
      </x:c>
      <x:c r="K548" s="141" t="n">
        <x:f>IF(C548&gt;0,C548/(1+$B$9)^A548,0)</x:f>
        <x:v>0</x:v>
      </x:c>
    </x:row>
    <x:row r="549">
      <x:c r="A549" s="142" t="n">
        <x:v>495</x:v>
      </x:c>
      <x:c r="B549" s="179" t="n">
        <x:f>EDATE($B$5,A549-1)</x:f>
        <x:v>61576</x:v>
      </x:c>
      <x:c r="C549" s="141" t="n">
        <x:f>IF(AND($B$22="Sim",A549&gt;=$B$23,A549&lt;$B$23+$B$31),$B$32*D549,0)</x:f>
        <x:v>0</x:v>
      </x:c>
      <x:c r="D549" s="180" t="n">
        <x:f>IF(A549&lt;$B$23,1,(1+$B$33)^INT((A549-$B$23)/12))</x:f>
        <x:v>10.902861013353483</x:v>
      </x:c>
      <x:c r="E549" s="141" t="n">
        <x:f>IF(AND($B$22="Sim",A549=$B$23),$B$37,0)</x:f>
        <x:v>0</x:v>
      </x:c>
      <x:c r="F549" s="141" t="n">
        <x:f>IF(AND($B$22="Sim",A549=$B$24),$B$27,0)</x:f>
        <x:v>0</x:v>
      </x:c>
      <x:c r="G549" s="141" t="n">
        <x:f>IF(AND($B$22="Sim",A549=$B$23),$B$35,0)</x:f>
        <x:v>0</x:v>
      </x:c>
      <x:c r="H549" s="141" t="n">
        <x:f>IF(AND($B$22="Sim",A549=$B$23),$B$36,0)</x:f>
        <x:v>0</x:v>
      </x:c>
      <x:c r="I549" s="141" t="n">
        <x:f>IF(OR($B$22&lt;&gt;"Sim",A549&gt;=$B$23+$B$31-1),0,(I550+C550)/(1+$B$9))</x:f>
        <x:v>0</x:v>
      </x:c>
      <x:c r="J549" s="140" t="str">
        <x:f>IF($B$22&lt;&gt;"Sim","Desativada",IF(A549&lt;$B$23,"Antes da compra",IF(A549&lt;$B$23+$B$31,"Parcelas restantes","Encerrado")))</x:f>
        <x:v>Encerrado</x:v>
      </x:c>
      <x:c r="K549" s="141" t="n">
        <x:f>IF(C549&gt;0,C549/(1+$B$9)^A549,0)</x:f>
        <x:v>0</x:v>
      </x:c>
    </x:row>
    <x:row r="550">
      <x:c r="A550" s="142" t="n">
        <x:v>496</x:v>
      </x:c>
      <x:c r="B550" s="179" t="n">
        <x:f>EDATE($B$5,A550-1)</x:f>
        <x:v>61607</x:v>
      </x:c>
      <x:c r="C550" s="141" t="n">
        <x:f>IF(AND($B$22="Sim",A550&gt;=$B$23,A550&lt;$B$23+$B$31),$B$32*D550,0)</x:f>
        <x:v>0</x:v>
      </x:c>
      <x:c r="D550" s="180" t="n">
        <x:f>IF(A550&lt;$B$23,1,(1+$B$33)^INT((A550-$B$23)/12))</x:f>
        <x:v>10.902861013353483</x:v>
      </x:c>
      <x:c r="E550" s="141" t="n">
        <x:f>IF(AND($B$22="Sim",A550=$B$23),$B$37,0)</x:f>
        <x:v>0</x:v>
      </x:c>
      <x:c r="F550" s="141" t="n">
        <x:f>IF(AND($B$22="Sim",A550=$B$24),$B$27,0)</x:f>
        <x:v>0</x:v>
      </x:c>
      <x:c r="G550" s="141" t="n">
        <x:f>IF(AND($B$22="Sim",A550=$B$23),$B$35,0)</x:f>
        <x:v>0</x:v>
      </x:c>
      <x:c r="H550" s="141" t="n">
        <x:f>IF(AND($B$22="Sim",A550=$B$23),$B$36,0)</x:f>
        <x:v>0</x:v>
      </x:c>
      <x:c r="I550" s="141" t="n">
        <x:f>IF(OR($B$22&lt;&gt;"Sim",A550&gt;=$B$23+$B$31-1),0,(I551+C551)/(1+$B$9))</x:f>
        <x:v>0</x:v>
      </x:c>
      <x:c r="J550" s="140" t="str">
        <x:f>IF($B$22&lt;&gt;"Sim","Desativada",IF(A550&lt;$B$23,"Antes da compra",IF(A550&lt;$B$23+$B$31,"Parcelas restantes","Encerrado")))</x:f>
        <x:v>Encerrado</x:v>
      </x:c>
      <x:c r="K550" s="141" t="n">
        <x:f>IF(C550&gt;0,C550/(1+$B$9)^A550,0)</x:f>
        <x:v>0</x:v>
      </x:c>
    </x:row>
    <x:row r="551">
      <x:c r="A551" s="142" t="n">
        <x:v>497</x:v>
      </x:c>
      <x:c r="B551" s="179" t="n">
        <x:f>EDATE($B$5,A551-1)</x:f>
        <x:v>61637</x:v>
      </x:c>
      <x:c r="C551" s="141" t="n">
        <x:f>IF(AND($B$22="Sim",A551&gt;=$B$23,A551&lt;$B$23+$B$31),$B$32*D551,0)</x:f>
        <x:v>0</x:v>
      </x:c>
      <x:c r="D551" s="180" t="n">
        <x:f>IF(A551&lt;$B$23,1,(1+$B$33)^INT((A551-$B$23)/12))</x:f>
        <x:v>10.902861013353483</x:v>
      </x:c>
      <x:c r="E551" s="141" t="n">
        <x:f>IF(AND($B$22="Sim",A551=$B$23),$B$37,0)</x:f>
        <x:v>0</x:v>
      </x:c>
      <x:c r="F551" s="141" t="n">
        <x:f>IF(AND($B$22="Sim",A551=$B$24),$B$27,0)</x:f>
        <x:v>0</x:v>
      </x:c>
      <x:c r="G551" s="141" t="n">
        <x:f>IF(AND($B$22="Sim",A551=$B$23),$B$35,0)</x:f>
        <x:v>0</x:v>
      </x:c>
      <x:c r="H551" s="141" t="n">
        <x:f>IF(AND($B$22="Sim",A551=$B$23),$B$36,0)</x:f>
        <x:v>0</x:v>
      </x:c>
      <x:c r="I551" s="141" t="n">
        <x:f>IF(OR($B$22&lt;&gt;"Sim",A551&gt;=$B$23+$B$31-1),0,(I552+C552)/(1+$B$9))</x:f>
        <x:v>0</x:v>
      </x:c>
      <x:c r="J551" s="140" t="str">
        <x:f>IF($B$22&lt;&gt;"Sim","Desativada",IF(A551&lt;$B$23,"Antes da compra",IF(A551&lt;$B$23+$B$31,"Parcelas restantes","Encerrado")))</x:f>
        <x:v>Encerrado</x:v>
      </x:c>
      <x:c r="K551" s="141" t="n">
        <x:f>IF(C551&gt;0,C551/(1+$B$9)^A551,0)</x:f>
        <x:v>0</x:v>
      </x:c>
    </x:row>
    <x:row r="552">
      <x:c r="A552" s="142" t="n">
        <x:v>498</x:v>
      </x:c>
      <x:c r="B552" s="179" t="n">
        <x:f>EDATE($B$5,A552-1)</x:f>
        <x:v>61668</x:v>
      </x:c>
      <x:c r="C552" s="141" t="n">
        <x:f>IF(AND($B$22="Sim",A552&gt;=$B$23,A552&lt;$B$23+$B$31),$B$32*D552,0)</x:f>
        <x:v>0</x:v>
      </x:c>
      <x:c r="D552" s="180" t="n">
        <x:f>IF(A552&lt;$B$23,1,(1+$B$33)^INT((A552-$B$23)/12))</x:f>
        <x:v>10.902861013353483</x:v>
      </x:c>
      <x:c r="E552" s="141" t="n">
        <x:f>IF(AND($B$22="Sim",A552=$B$23),$B$37,0)</x:f>
        <x:v>0</x:v>
      </x:c>
      <x:c r="F552" s="141" t="n">
        <x:f>IF(AND($B$22="Sim",A552=$B$24),$B$27,0)</x:f>
        <x:v>0</x:v>
      </x:c>
      <x:c r="G552" s="141" t="n">
        <x:f>IF(AND($B$22="Sim",A552=$B$23),$B$35,0)</x:f>
        <x:v>0</x:v>
      </x:c>
      <x:c r="H552" s="141" t="n">
        <x:f>IF(AND($B$22="Sim",A552=$B$23),$B$36,0)</x:f>
        <x:v>0</x:v>
      </x:c>
      <x:c r="I552" s="141" t="n">
        <x:f>IF(OR($B$22&lt;&gt;"Sim",A552&gt;=$B$23+$B$31-1),0,(I553+C553)/(1+$B$9))</x:f>
        <x:v>0</x:v>
      </x:c>
      <x:c r="J552" s="140" t="str">
        <x:f>IF($B$22&lt;&gt;"Sim","Desativada",IF(A552&lt;$B$23,"Antes da compra",IF(A552&lt;$B$23+$B$31,"Parcelas restantes","Encerrado")))</x:f>
        <x:v>Encerrado</x:v>
      </x:c>
      <x:c r="K552" s="141" t="n">
        <x:f>IF(C552&gt;0,C552/(1+$B$9)^A552,0)</x:f>
        <x:v>0</x:v>
      </x:c>
    </x:row>
    <x:row r="553">
      <x:c r="A553" s="142" t="n">
        <x:v>499</x:v>
      </x:c>
      <x:c r="B553" s="179" t="n">
        <x:f>EDATE($B$5,A553-1)</x:f>
        <x:v>61698</x:v>
      </x:c>
      <x:c r="C553" s="141" t="n">
        <x:f>IF(AND($B$22="Sim",A553&gt;=$B$23,A553&lt;$B$23+$B$31),$B$32*D553,0)</x:f>
        <x:v>0</x:v>
      </x:c>
      <x:c r="D553" s="180" t="n">
        <x:f>IF(A553&lt;$B$23,1,(1+$B$33)^INT((A553-$B$23)/12))</x:f>
        <x:v>10.902861013353483</x:v>
      </x:c>
      <x:c r="E553" s="141" t="n">
        <x:f>IF(AND($B$22="Sim",A553=$B$23),$B$37,0)</x:f>
        <x:v>0</x:v>
      </x:c>
      <x:c r="F553" s="141" t="n">
        <x:f>IF(AND($B$22="Sim",A553=$B$24),$B$27,0)</x:f>
        <x:v>0</x:v>
      </x:c>
      <x:c r="G553" s="141" t="n">
        <x:f>IF(AND($B$22="Sim",A553=$B$23),$B$35,0)</x:f>
        <x:v>0</x:v>
      </x:c>
      <x:c r="H553" s="141" t="n">
        <x:f>IF(AND($B$22="Sim",A553=$B$23),$B$36,0)</x:f>
        <x:v>0</x:v>
      </x:c>
      <x:c r="I553" s="141" t="n">
        <x:f>IF(OR($B$22&lt;&gt;"Sim",A553&gt;=$B$23+$B$31-1),0,(I554+C554)/(1+$B$9))</x:f>
        <x:v>0</x:v>
      </x:c>
      <x:c r="J553" s="140" t="str">
        <x:f>IF($B$22&lt;&gt;"Sim","Desativada",IF(A553&lt;$B$23,"Antes da compra",IF(A553&lt;$B$23+$B$31,"Parcelas restantes","Encerrado")))</x:f>
        <x:v>Encerrado</x:v>
      </x:c>
      <x:c r="K553" s="141" t="n">
        <x:f>IF(C553&gt;0,C553/(1+$B$9)^A553,0)</x:f>
        <x:v>0</x:v>
      </x:c>
    </x:row>
    <x:row r="554">
      <x:c r="A554" s="142" t="n">
        <x:v>500</x:v>
      </x:c>
      <x:c r="B554" s="179" t="n">
        <x:f>EDATE($B$5,A554-1)</x:f>
        <x:v>61729</x:v>
      </x:c>
      <x:c r="C554" s="141" t="n">
        <x:f>IF(AND($B$22="Sim",A554&gt;=$B$23,A554&lt;$B$23+$B$31),$B$32*D554,0)</x:f>
        <x:v>0</x:v>
      </x:c>
      <x:c r="D554" s="180" t="n">
        <x:f>IF(A554&lt;$B$23,1,(1+$B$33)^INT((A554-$B$23)/12))</x:f>
        <x:v>10.902861013353483</x:v>
      </x:c>
      <x:c r="E554" s="141" t="n">
        <x:f>IF(AND($B$22="Sim",A554=$B$23),$B$37,0)</x:f>
        <x:v>0</x:v>
      </x:c>
      <x:c r="F554" s="141" t="n">
        <x:f>IF(AND($B$22="Sim",A554=$B$24),$B$27,0)</x:f>
        <x:v>0</x:v>
      </x:c>
      <x:c r="G554" s="141" t="n">
        <x:f>IF(AND($B$22="Sim",A554=$B$23),$B$35,0)</x:f>
        <x:v>0</x:v>
      </x:c>
      <x:c r="H554" s="141" t="n">
        <x:f>IF(AND($B$22="Sim",A554=$B$23),$B$36,0)</x:f>
        <x:v>0</x:v>
      </x:c>
      <x:c r="I554" s="141" t="n">
        <x:f>IF(OR($B$22&lt;&gt;"Sim",A554&gt;=$B$23+$B$31-1),0,(I555+C555)/(1+$B$9))</x:f>
        <x:v>0</x:v>
      </x:c>
      <x:c r="J554" s="140" t="str">
        <x:f>IF($B$22&lt;&gt;"Sim","Desativada",IF(A554&lt;$B$23,"Antes da compra",IF(A554&lt;$B$23+$B$31,"Parcelas restantes","Encerrado")))</x:f>
        <x:v>Encerrado</x:v>
      </x:c>
      <x:c r="K554" s="141" t="n">
        <x:f>IF(C554&gt;0,C554/(1+$B$9)^A554,0)</x:f>
        <x:v>0</x:v>
      </x:c>
    </x:row>
    <x:row r="555">
      <x:c r="A555" s="142" t="n">
        <x:v>501</x:v>
      </x:c>
      <x:c r="B555" s="179" t="n">
        <x:f>EDATE($B$5,A555-1)</x:f>
        <x:v>61760</x:v>
      </x:c>
      <x:c r="C555" s="141" t="n">
        <x:f>IF(AND($B$22="Sim",A555&gt;=$B$23,A555&lt;$B$23+$B$31),$B$32*D555,0)</x:f>
        <x:v>0</x:v>
      </x:c>
      <x:c r="D555" s="180" t="n">
        <x:f>IF(A555&lt;$B$23,1,(1+$B$33)^INT((A555-$B$23)/12))</x:f>
        <x:v>10.902861013353483</x:v>
      </x:c>
      <x:c r="E555" s="141" t="n">
        <x:f>IF(AND($B$22="Sim",A555=$B$23),$B$37,0)</x:f>
        <x:v>0</x:v>
      </x:c>
      <x:c r="F555" s="141" t="n">
        <x:f>IF(AND($B$22="Sim",A555=$B$24),$B$27,0)</x:f>
        <x:v>0</x:v>
      </x:c>
      <x:c r="G555" s="141" t="n">
        <x:f>IF(AND($B$22="Sim",A555=$B$23),$B$35,0)</x:f>
        <x:v>0</x:v>
      </x:c>
      <x:c r="H555" s="141" t="n">
        <x:f>IF(AND($B$22="Sim",A555=$B$23),$B$36,0)</x:f>
        <x:v>0</x:v>
      </x:c>
      <x:c r="I555" s="141" t="n">
        <x:f>IF(OR($B$22&lt;&gt;"Sim",A555&gt;=$B$23+$B$31-1),0,(I556+C556)/(1+$B$9))</x:f>
        <x:v>0</x:v>
      </x:c>
      <x:c r="J555" s="140" t="str">
        <x:f>IF($B$22&lt;&gt;"Sim","Desativada",IF(A555&lt;$B$23,"Antes da compra",IF(A555&lt;$B$23+$B$31,"Parcelas restantes","Encerrado")))</x:f>
        <x:v>Encerrado</x:v>
      </x:c>
      <x:c r="K555" s="141" t="n">
        <x:f>IF(C555&gt;0,C555/(1+$B$9)^A555,0)</x:f>
        <x:v>0</x:v>
      </x:c>
    </x:row>
    <x:row r="556">
      <x:c r="A556" s="142" t="n">
        <x:v>502</x:v>
      </x:c>
      <x:c r="B556" s="179" t="n">
        <x:f>EDATE($B$5,A556-1)</x:f>
        <x:v>61788</x:v>
      </x:c>
      <x:c r="C556" s="141" t="n">
        <x:f>IF(AND($B$22="Sim",A556&gt;=$B$23,A556&lt;$B$23+$B$31),$B$32*D556,0)</x:f>
        <x:v>0</x:v>
      </x:c>
      <x:c r="D556" s="180" t="n">
        <x:f>IF(A556&lt;$B$23,1,(1+$B$33)^INT((A556-$B$23)/12))</x:f>
        <x:v>10.902861013353483</x:v>
      </x:c>
      <x:c r="E556" s="141" t="n">
        <x:f>IF(AND($B$22="Sim",A556=$B$23),$B$37,0)</x:f>
        <x:v>0</x:v>
      </x:c>
      <x:c r="F556" s="141" t="n">
        <x:f>IF(AND($B$22="Sim",A556=$B$24),$B$27,0)</x:f>
        <x:v>0</x:v>
      </x:c>
      <x:c r="G556" s="141" t="n">
        <x:f>IF(AND($B$22="Sim",A556=$B$23),$B$35,0)</x:f>
        <x:v>0</x:v>
      </x:c>
      <x:c r="H556" s="141" t="n">
        <x:f>IF(AND($B$22="Sim",A556=$B$23),$B$36,0)</x:f>
        <x:v>0</x:v>
      </x:c>
      <x:c r="I556" s="141" t="n">
        <x:f>IF(OR($B$22&lt;&gt;"Sim",A556&gt;=$B$23+$B$31-1),0,(I557+C557)/(1+$B$9))</x:f>
        <x:v>0</x:v>
      </x:c>
      <x:c r="J556" s="140" t="str">
        <x:f>IF($B$22&lt;&gt;"Sim","Desativada",IF(A556&lt;$B$23,"Antes da compra",IF(A556&lt;$B$23+$B$31,"Parcelas restantes","Encerrado")))</x:f>
        <x:v>Encerrado</x:v>
      </x:c>
      <x:c r="K556" s="141" t="n">
        <x:f>IF(C556&gt;0,C556/(1+$B$9)^A556,0)</x:f>
        <x:v>0</x:v>
      </x:c>
    </x:row>
    <x:row r="557">
      <x:c r="A557" s="142" t="n">
        <x:v>503</x:v>
      </x:c>
      <x:c r="B557" s="179" t="n">
        <x:f>EDATE($B$5,A557-1)</x:f>
        <x:v>61819</x:v>
      </x:c>
      <x:c r="C557" s="141" t="n">
        <x:f>IF(AND($B$22="Sim",A557&gt;=$B$23,A557&lt;$B$23+$B$31),$B$32*D557,0)</x:f>
        <x:v>0</x:v>
      </x:c>
      <x:c r="D557" s="180" t="n">
        <x:f>IF(A557&lt;$B$23,1,(1+$B$33)^INT((A557-$B$23)/12))</x:f>
        <x:v>10.902861013353483</x:v>
      </x:c>
      <x:c r="E557" s="141" t="n">
        <x:f>IF(AND($B$22="Sim",A557=$B$23),$B$37,0)</x:f>
        <x:v>0</x:v>
      </x:c>
      <x:c r="F557" s="141" t="n">
        <x:f>IF(AND($B$22="Sim",A557=$B$24),$B$27,0)</x:f>
        <x:v>0</x:v>
      </x:c>
      <x:c r="G557" s="141" t="n">
        <x:f>IF(AND($B$22="Sim",A557=$B$23),$B$35,0)</x:f>
        <x:v>0</x:v>
      </x:c>
      <x:c r="H557" s="141" t="n">
        <x:f>IF(AND($B$22="Sim",A557=$B$23),$B$36,0)</x:f>
        <x:v>0</x:v>
      </x:c>
      <x:c r="I557" s="141" t="n">
        <x:f>IF(OR($B$22&lt;&gt;"Sim",A557&gt;=$B$23+$B$31-1),0,(I558+C558)/(1+$B$9))</x:f>
        <x:v>0</x:v>
      </x:c>
      <x:c r="J557" s="140" t="str">
        <x:f>IF($B$22&lt;&gt;"Sim","Desativada",IF(A557&lt;$B$23,"Antes da compra",IF(A557&lt;$B$23+$B$31,"Parcelas restantes","Encerrado")))</x:f>
        <x:v>Encerrado</x:v>
      </x:c>
      <x:c r="K557" s="141" t="n">
        <x:f>IF(C557&gt;0,C557/(1+$B$9)^A557,0)</x:f>
        <x:v>0</x:v>
      </x:c>
    </x:row>
    <x:row r="558">
      <x:c r="A558" s="142" t="n">
        <x:v>504</x:v>
      </x:c>
      <x:c r="B558" s="179" t="n">
        <x:f>EDATE($B$5,A558-1)</x:f>
        <x:v>61849</x:v>
      </x:c>
      <x:c r="C558" s="141" t="n">
        <x:f>IF(AND($B$22="Sim",A558&gt;=$B$23,A558&lt;$B$23+$B$31),$B$32*D558,0)</x:f>
        <x:v>0</x:v>
      </x:c>
      <x:c r="D558" s="180" t="n">
        <x:f>IF(A558&lt;$B$23,1,(1+$B$33)^INT((A558-$B$23)/12))</x:f>
        <x:v>10.902861013353483</x:v>
      </x:c>
      <x:c r="E558" s="141" t="n">
        <x:f>IF(AND($B$22="Sim",A558=$B$23),$B$37,0)</x:f>
        <x:v>0</x:v>
      </x:c>
      <x:c r="F558" s="141" t="n">
        <x:f>IF(AND($B$22="Sim",A558=$B$24),$B$27,0)</x:f>
        <x:v>0</x:v>
      </x:c>
      <x:c r="G558" s="141" t="n">
        <x:f>IF(AND($B$22="Sim",A558=$B$23),$B$35,0)</x:f>
        <x:v>0</x:v>
      </x:c>
      <x:c r="H558" s="141" t="n">
        <x:f>IF(AND($B$22="Sim",A558=$B$23),$B$36,0)</x:f>
        <x:v>0</x:v>
      </x:c>
      <x:c r="I558" s="141" t="n">
        <x:f>IF(OR($B$22&lt;&gt;"Sim",A558&gt;=$B$23+$B$31-1),0,(I559+C559)/(1+$B$9))</x:f>
        <x:v>0</x:v>
      </x:c>
      <x:c r="J558" s="140" t="str">
        <x:f>IF($B$22&lt;&gt;"Sim","Desativada",IF(A558&lt;$B$23,"Antes da compra",IF(A558&lt;$B$23+$B$31,"Parcelas restantes","Encerrado")))</x:f>
        <x:v>Encerrado</x:v>
      </x:c>
      <x:c r="K558" s="141" t="n">
        <x:f>IF(C558&gt;0,C558/(1+$B$9)^A558,0)</x:f>
        <x:v>0</x:v>
      </x:c>
    </x:row>
    <x:row r="559">
      <x:c r="A559" s="142" t="n">
        <x:v>505</x:v>
      </x:c>
      <x:c r="B559" s="179" t="n">
        <x:f>EDATE($B$5,A559-1)</x:f>
        <x:v>61880</x:v>
      </x:c>
      <x:c r="C559" s="141" t="n">
        <x:f>IF(AND($B$22="Sim",A559&gt;=$B$23,A559&lt;$B$23+$B$31),$B$32*D559,0)</x:f>
        <x:v>0</x:v>
      </x:c>
      <x:c r="D559" s="180" t="n">
        <x:f>IF(A559&lt;$B$23,1,(1+$B$33)^INT((A559-$B$23)/12))</x:f>
        <x:v>11.557032674154692</x:v>
      </x:c>
      <x:c r="E559" s="141" t="n">
        <x:f>IF(AND($B$22="Sim",A559=$B$23),$B$37,0)</x:f>
        <x:v>0</x:v>
      </x:c>
      <x:c r="F559" s="141" t="n">
        <x:f>IF(AND($B$22="Sim",A559=$B$24),$B$27,0)</x:f>
        <x:v>0</x:v>
      </x:c>
      <x:c r="G559" s="141" t="n">
        <x:f>IF(AND($B$22="Sim",A559=$B$23),$B$35,0)</x:f>
        <x:v>0</x:v>
      </x:c>
      <x:c r="H559" s="141" t="n">
        <x:f>IF(AND($B$22="Sim",A559=$B$23),$B$36,0)</x:f>
        <x:v>0</x:v>
      </x:c>
      <x:c r="I559" s="141" t="n">
        <x:f>IF(OR($B$22&lt;&gt;"Sim",A559&gt;=$B$23+$B$31-1),0,(I560+C560)/(1+$B$9))</x:f>
        <x:v>0</x:v>
      </x:c>
      <x:c r="J559" s="140" t="str">
        <x:f>IF($B$22&lt;&gt;"Sim","Desativada",IF(A559&lt;$B$23,"Antes da compra",IF(A559&lt;$B$23+$B$31,"Parcelas restantes","Encerrado")))</x:f>
        <x:v>Encerrado</x:v>
      </x:c>
      <x:c r="K559" s="141" t="n">
        <x:f>IF(C559&gt;0,C559/(1+$B$9)^A559,0)</x:f>
        <x:v>0</x:v>
      </x:c>
    </x:row>
    <x:row r="560">
      <x:c r="A560" s="142" t="n">
        <x:v>506</x:v>
      </x:c>
      <x:c r="B560" s="179" t="n">
        <x:f>EDATE($B$5,A560-1)</x:f>
        <x:v>61910</x:v>
      </x:c>
      <x:c r="C560" s="141" t="n">
        <x:f>IF(AND($B$22="Sim",A560&gt;=$B$23,A560&lt;$B$23+$B$31),$B$32*D560,0)</x:f>
        <x:v>0</x:v>
      </x:c>
      <x:c r="D560" s="180" t="n">
        <x:f>IF(A560&lt;$B$23,1,(1+$B$33)^INT((A560-$B$23)/12))</x:f>
        <x:v>11.557032674154692</x:v>
      </x:c>
      <x:c r="E560" s="141" t="n">
        <x:f>IF(AND($B$22="Sim",A560=$B$23),$B$37,0)</x:f>
        <x:v>0</x:v>
      </x:c>
      <x:c r="F560" s="141" t="n">
        <x:f>IF(AND($B$22="Sim",A560=$B$24),$B$27,0)</x:f>
        <x:v>0</x:v>
      </x:c>
      <x:c r="G560" s="141" t="n">
        <x:f>IF(AND($B$22="Sim",A560=$B$23),$B$35,0)</x:f>
        <x:v>0</x:v>
      </x:c>
      <x:c r="H560" s="141" t="n">
        <x:f>IF(AND($B$22="Sim",A560=$B$23),$B$36,0)</x:f>
        <x:v>0</x:v>
      </x:c>
      <x:c r="I560" s="141" t="n">
        <x:f>IF(OR($B$22&lt;&gt;"Sim",A560&gt;=$B$23+$B$31-1),0,(I561+C561)/(1+$B$9))</x:f>
        <x:v>0</x:v>
      </x:c>
      <x:c r="J560" s="140" t="str">
        <x:f>IF($B$22&lt;&gt;"Sim","Desativada",IF(A560&lt;$B$23,"Antes da compra",IF(A560&lt;$B$23+$B$31,"Parcelas restantes","Encerrado")))</x:f>
        <x:v>Encerrado</x:v>
      </x:c>
      <x:c r="K560" s="141" t="n">
        <x:f>IF(C560&gt;0,C560/(1+$B$9)^A560,0)</x:f>
        <x:v>0</x:v>
      </x:c>
    </x:row>
    <x:row r="561">
      <x:c r="A561" s="142" t="n">
        <x:v>507</x:v>
      </x:c>
      <x:c r="B561" s="179" t="n">
        <x:f>EDATE($B$5,A561-1)</x:f>
        <x:v>61941</x:v>
      </x:c>
      <x:c r="C561" s="141" t="n">
        <x:f>IF(AND($B$22="Sim",A561&gt;=$B$23,A561&lt;$B$23+$B$31),$B$32*D561,0)</x:f>
        <x:v>0</x:v>
      </x:c>
      <x:c r="D561" s="180" t="n">
        <x:f>IF(A561&lt;$B$23,1,(1+$B$33)^INT((A561-$B$23)/12))</x:f>
        <x:v>11.557032674154692</x:v>
      </x:c>
      <x:c r="E561" s="141" t="n">
        <x:f>IF(AND($B$22="Sim",A561=$B$23),$B$37,0)</x:f>
        <x:v>0</x:v>
      </x:c>
      <x:c r="F561" s="141" t="n">
        <x:f>IF(AND($B$22="Sim",A561=$B$24),$B$27,0)</x:f>
        <x:v>0</x:v>
      </x:c>
      <x:c r="G561" s="141" t="n">
        <x:f>IF(AND($B$22="Sim",A561=$B$23),$B$35,0)</x:f>
        <x:v>0</x:v>
      </x:c>
      <x:c r="H561" s="141" t="n">
        <x:f>IF(AND($B$22="Sim",A561=$B$23),$B$36,0)</x:f>
        <x:v>0</x:v>
      </x:c>
      <x:c r="I561" s="141" t="n">
        <x:f>IF(OR($B$22&lt;&gt;"Sim",A561&gt;=$B$23+$B$31-1),0,(I562+C562)/(1+$B$9))</x:f>
        <x:v>0</x:v>
      </x:c>
      <x:c r="J561" s="140" t="str">
        <x:f>IF($B$22&lt;&gt;"Sim","Desativada",IF(A561&lt;$B$23,"Antes da compra",IF(A561&lt;$B$23+$B$31,"Parcelas restantes","Encerrado")))</x:f>
        <x:v>Encerrado</x:v>
      </x:c>
      <x:c r="K561" s="141" t="n">
        <x:f>IF(C561&gt;0,C561/(1+$B$9)^A561,0)</x:f>
        <x:v>0</x:v>
      </x:c>
    </x:row>
    <x:row r="562">
      <x:c r="A562" s="142" t="n">
        <x:v>508</x:v>
      </x:c>
      <x:c r="B562" s="179" t="n">
        <x:f>EDATE($B$5,A562-1)</x:f>
        <x:v>61972</x:v>
      </x:c>
      <x:c r="C562" s="141" t="n">
        <x:f>IF(AND($B$22="Sim",A562&gt;=$B$23,A562&lt;$B$23+$B$31),$B$32*D562,0)</x:f>
        <x:v>0</x:v>
      </x:c>
      <x:c r="D562" s="180" t="n">
        <x:f>IF(A562&lt;$B$23,1,(1+$B$33)^INT((A562-$B$23)/12))</x:f>
        <x:v>11.557032674154692</x:v>
      </x:c>
      <x:c r="E562" s="141" t="n">
        <x:f>IF(AND($B$22="Sim",A562=$B$23),$B$37,0)</x:f>
        <x:v>0</x:v>
      </x:c>
      <x:c r="F562" s="141" t="n">
        <x:f>IF(AND($B$22="Sim",A562=$B$24),$B$27,0)</x:f>
        <x:v>0</x:v>
      </x:c>
      <x:c r="G562" s="141" t="n">
        <x:f>IF(AND($B$22="Sim",A562=$B$23),$B$35,0)</x:f>
        <x:v>0</x:v>
      </x:c>
      <x:c r="H562" s="141" t="n">
        <x:f>IF(AND($B$22="Sim",A562=$B$23),$B$36,0)</x:f>
        <x:v>0</x:v>
      </x:c>
      <x:c r="I562" s="141" t="n">
        <x:f>IF(OR($B$22&lt;&gt;"Sim",A562&gt;=$B$23+$B$31-1),0,(I563+C563)/(1+$B$9))</x:f>
        <x:v>0</x:v>
      </x:c>
      <x:c r="J562" s="140" t="str">
        <x:f>IF($B$22&lt;&gt;"Sim","Desativada",IF(A562&lt;$B$23,"Antes da compra",IF(A562&lt;$B$23+$B$31,"Parcelas restantes","Encerrado")))</x:f>
        <x:v>Encerrado</x:v>
      </x:c>
      <x:c r="K562" s="141" t="n">
        <x:f>IF(C562&gt;0,C562/(1+$B$9)^A562,0)</x:f>
        <x:v>0</x:v>
      </x:c>
    </x:row>
    <x:row r="563">
      <x:c r="A563" s="142" t="n">
        <x:v>509</x:v>
      </x:c>
      <x:c r="B563" s="179" t="n">
        <x:f>EDATE($B$5,A563-1)</x:f>
        <x:v>62002</x:v>
      </x:c>
      <x:c r="C563" s="141" t="n">
        <x:f>IF(AND($B$22="Sim",A563&gt;=$B$23,A563&lt;$B$23+$B$31),$B$32*D563,0)</x:f>
        <x:v>0</x:v>
      </x:c>
      <x:c r="D563" s="180" t="n">
        <x:f>IF(A563&lt;$B$23,1,(1+$B$33)^INT((A563-$B$23)/12))</x:f>
        <x:v>11.557032674154692</x:v>
      </x:c>
      <x:c r="E563" s="141" t="n">
        <x:f>IF(AND($B$22="Sim",A563=$B$23),$B$37,0)</x:f>
        <x:v>0</x:v>
      </x:c>
      <x:c r="F563" s="141" t="n">
        <x:f>IF(AND($B$22="Sim",A563=$B$24),$B$27,0)</x:f>
        <x:v>0</x:v>
      </x:c>
      <x:c r="G563" s="141" t="n">
        <x:f>IF(AND($B$22="Sim",A563=$B$23),$B$35,0)</x:f>
        <x:v>0</x:v>
      </x:c>
      <x:c r="H563" s="141" t="n">
        <x:f>IF(AND($B$22="Sim",A563=$B$23),$B$36,0)</x:f>
        <x:v>0</x:v>
      </x:c>
      <x:c r="I563" s="141" t="n">
        <x:f>IF(OR($B$22&lt;&gt;"Sim",A563&gt;=$B$23+$B$31-1),0,(I564+C564)/(1+$B$9))</x:f>
        <x:v>0</x:v>
      </x:c>
      <x:c r="J563" s="140" t="str">
        <x:f>IF($B$22&lt;&gt;"Sim","Desativada",IF(A563&lt;$B$23,"Antes da compra",IF(A563&lt;$B$23+$B$31,"Parcelas restantes","Encerrado")))</x:f>
        <x:v>Encerrado</x:v>
      </x:c>
      <x:c r="K563" s="141" t="n">
        <x:f>IF(C563&gt;0,C563/(1+$B$9)^A563,0)</x:f>
        <x:v>0</x:v>
      </x:c>
    </x:row>
    <x:row r="564">
      <x:c r="A564" s="142" t="n">
        <x:v>510</x:v>
      </x:c>
      <x:c r="B564" s="179" t="n">
        <x:f>EDATE($B$5,A564-1)</x:f>
        <x:v>62033</x:v>
      </x:c>
      <x:c r="C564" s="141" t="n">
        <x:f>IF(AND($B$22="Sim",A564&gt;=$B$23,A564&lt;$B$23+$B$31),$B$32*D564,0)</x:f>
        <x:v>0</x:v>
      </x:c>
      <x:c r="D564" s="180" t="n">
        <x:f>IF(A564&lt;$B$23,1,(1+$B$33)^INT((A564-$B$23)/12))</x:f>
        <x:v>11.557032674154692</x:v>
      </x:c>
      <x:c r="E564" s="141" t="n">
        <x:f>IF(AND($B$22="Sim",A564=$B$23),$B$37,0)</x:f>
        <x:v>0</x:v>
      </x:c>
      <x:c r="F564" s="141" t="n">
        <x:f>IF(AND($B$22="Sim",A564=$B$24),$B$27,0)</x:f>
        <x:v>0</x:v>
      </x:c>
      <x:c r="G564" s="141" t="n">
        <x:f>IF(AND($B$22="Sim",A564=$B$23),$B$35,0)</x:f>
        <x:v>0</x:v>
      </x:c>
      <x:c r="H564" s="141" t="n">
        <x:f>IF(AND($B$22="Sim",A564=$B$23),$B$36,0)</x:f>
        <x:v>0</x:v>
      </x:c>
      <x:c r="I564" s="141" t="n">
        <x:f>IF(OR($B$22&lt;&gt;"Sim",A564&gt;=$B$23+$B$31-1),0,(I565+C565)/(1+$B$9))</x:f>
        <x:v>0</x:v>
      </x:c>
      <x:c r="J564" s="140" t="str">
        <x:f>IF($B$22&lt;&gt;"Sim","Desativada",IF(A564&lt;$B$23,"Antes da compra",IF(A564&lt;$B$23+$B$31,"Parcelas restantes","Encerrado")))</x:f>
        <x:v>Encerrado</x:v>
      </x:c>
      <x:c r="K564" s="141" t="n">
        <x:f>IF(C564&gt;0,C564/(1+$B$9)^A564,0)</x:f>
        <x:v>0</x:v>
      </x:c>
    </x:row>
    <x:row r="565">
      <x:c r="A565" s="142" t="n">
        <x:v>511</x:v>
      </x:c>
      <x:c r="B565" s="179" t="n">
        <x:f>EDATE($B$5,A565-1)</x:f>
        <x:v>62063</x:v>
      </x:c>
      <x:c r="C565" s="141" t="n">
        <x:f>IF(AND($B$22="Sim",A565&gt;=$B$23,A565&lt;$B$23+$B$31),$B$32*D565,0)</x:f>
        <x:v>0</x:v>
      </x:c>
      <x:c r="D565" s="180" t="n">
        <x:f>IF(A565&lt;$B$23,1,(1+$B$33)^INT((A565-$B$23)/12))</x:f>
        <x:v>11.557032674154692</x:v>
      </x:c>
      <x:c r="E565" s="141" t="n">
        <x:f>IF(AND($B$22="Sim",A565=$B$23),$B$37,0)</x:f>
        <x:v>0</x:v>
      </x:c>
      <x:c r="F565" s="141" t="n">
        <x:f>IF(AND($B$22="Sim",A565=$B$24),$B$27,0)</x:f>
        <x:v>0</x:v>
      </x:c>
      <x:c r="G565" s="141" t="n">
        <x:f>IF(AND($B$22="Sim",A565=$B$23),$B$35,0)</x:f>
        <x:v>0</x:v>
      </x:c>
      <x:c r="H565" s="141" t="n">
        <x:f>IF(AND($B$22="Sim",A565=$B$23),$B$36,0)</x:f>
        <x:v>0</x:v>
      </x:c>
      <x:c r="I565" s="141" t="n">
        <x:f>IF(OR($B$22&lt;&gt;"Sim",A565&gt;=$B$23+$B$31-1),0,(I566+C566)/(1+$B$9))</x:f>
        <x:v>0</x:v>
      </x:c>
      <x:c r="J565" s="140" t="str">
        <x:f>IF($B$22&lt;&gt;"Sim","Desativada",IF(A565&lt;$B$23,"Antes da compra",IF(A565&lt;$B$23+$B$31,"Parcelas restantes","Encerrado")))</x:f>
        <x:v>Encerrado</x:v>
      </x:c>
      <x:c r="K565" s="141" t="n">
        <x:f>IF(C565&gt;0,C565/(1+$B$9)^A565,0)</x:f>
        <x:v>0</x:v>
      </x:c>
    </x:row>
    <x:row r="566">
      <x:c r="A566" s="142" t="n">
        <x:v>512</x:v>
      </x:c>
      <x:c r="B566" s="179" t="n">
        <x:f>EDATE($B$5,A566-1)</x:f>
        <x:v>62094</x:v>
      </x:c>
      <x:c r="C566" s="141" t="n">
        <x:f>IF(AND($B$22="Sim",A566&gt;=$B$23,A566&lt;$B$23+$B$31),$B$32*D566,0)</x:f>
        <x:v>0</x:v>
      </x:c>
      <x:c r="D566" s="180" t="n">
        <x:f>IF(A566&lt;$B$23,1,(1+$B$33)^INT((A566-$B$23)/12))</x:f>
        <x:v>11.557032674154692</x:v>
      </x:c>
      <x:c r="E566" s="141" t="n">
        <x:f>IF(AND($B$22="Sim",A566=$B$23),$B$37,0)</x:f>
        <x:v>0</x:v>
      </x:c>
      <x:c r="F566" s="141" t="n">
        <x:f>IF(AND($B$22="Sim",A566=$B$24),$B$27,0)</x:f>
        <x:v>0</x:v>
      </x:c>
      <x:c r="G566" s="141" t="n">
        <x:f>IF(AND($B$22="Sim",A566=$B$23),$B$35,0)</x:f>
        <x:v>0</x:v>
      </x:c>
      <x:c r="H566" s="141" t="n">
        <x:f>IF(AND($B$22="Sim",A566=$B$23),$B$36,0)</x:f>
        <x:v>0</x:v>
      </x:c>
      <x:c r="I566" s="141" t="n">
        <x:f>IF(OR($B$22&lt;&gt;"Sim",A566&gt;=$B$23+$B$31-1),0,(I567+C567)/(1+$B$9))</x:f>
        <x:v>0</x:v>
      </x:c>
      <x:c r="J566" s="140" t="str">
        <x:f>IF($B$22&lt;&gt;"Sim","Desativada",IF(A566&lt;$B$23,"Antes da compra",IF(A566&lt;$B$23+$B$31,"Parcelas restantes","Encerrado")))</x:f>
        <x:v>Encerrado</x:v>
      </x:c>
      <x:c r="K566" s="141" t="n">
        <x:f>IF(C566&gt;0,C566/(1+$B$9)^A566,0)</x:f>
        <x:v>0</x:v>
      </x:c>
    </x:row>
    <x:row r="567">
      <x:c r="A567" s="142" t="n">
        <x:v>513</x:v>
      </x:c>
      <x:c r="B567" s="179" t="n">
        <x:f>EDATE($B$5,A567-1)</x:f>
        <x:v>62125</x:v>
      </x:c>
      <x:c r="C567" s="141" t="n">
        <x:f>IF(AND($B$22="Sim",A567&gt;=$B$23,A567&lt;$B$23+$B$31),$B$32*D567,0)</x:f>
        <x:v>0</x:v>
      </x:c>
      <x:c r="D567" s="180" t="n">
        <x:f>IF(A567&lt;$B$23,1,(1+$B$33)^INT((A567-$B$23)/12))</x:f>
        <x:v>11.557032674154692</x:v>
      </x:c>
      <x:c r="E567" s="141" t="n">
        <x:f>IF(AND($B$22="Sim",A567=$B$23),$B$37,0)</x:f>
        <x:v>0</x:v>
      </x:c>
      <x:c r="F567" s="141" t="n">
        <x:f>IF(AND($B$22="Sim",A567=$B$24),$B$27,0)</x:f>
        <x:v>0</x:v>
      </x:c>
      <x:c r="G567" s="141" t="n">
        <x:f>IF(AND($B$22="Sim",A567=$B$23),$B$35,0)</x:f>
        <x:v>0</x:v>
      </x:c>
      <x:c r="H567" s="141" t="n">
        <x:f>IF(AND($B$22="Sim",A567=$B$23),$B$36,0)</x:f>
        <x:v>0</x:v>
      </x:c>
      <x:c r="I567" s="141" t="n">
        <x:f>IF(OR($B$22&lt;&gt;"Sim",A567&gt;=$B$23+$B$31-1),0,(I568+C568)/(1+$B$9))</x:f>
        <x:v>0</x:v>
      </x:c>
      <x:c r="J567" s="140" t="str">
        <x:f>IF($B$22&lt;&gt;"Sim","Desativada",IF(A567&lt;$B$23,"Antes da compra",IF(A567&lt;$B$23+$B$31,"Parcelas restantes","Encerrado")))</x:f>
        <x:v>Encerrado</x:v>
      </x:c>
      <x:c r="K567" s="141" t="n">
        <x:f>IF(C567&gt;0,C567/(1+$B$9)^A567,0)</x:f>
        <x:v>0</x:v>
      </x:c>
    </x:row>
    <x:row r="568">
      <x:c r="A568" s="142" t="n">
        <x:v>514</x:v>
      </x:c>
      <x:c r="B568" s="179" t="n">
        <x:f>EDATE($B$5,A568-1)</x:f>
        <x:v>62153</x:v>
      </x:c>
      <x:c r="C568" s="141" t="n">
        <x:f>IF(AND($B$22="Sim",A568&gt;=$B$23,A568&lt;$B$23+$B$31),$B$32*D568,0)</x:f>
        <x:v>0</x:v>
      </x:c>
      <x:c r="D568" s="180" t="n">
        <x:f>IF(A568&lt;$B$23,1,(1+$B$33)^INT((A568-$B$23)/12))</x:f>
        <x:v>11.557032674154692</x:v>
      </x:c>
      <x:c r="E568" s="141" t="n">
        <x:f>IF(AND($B$22="Sim",A568=$B$23),$B$37,0)</x:f>
        <x:v>0</x:v>
      </x:c>
      <x:c r="F568" s="141" t="n">
        <x:f>IF(AND($B$22="Sim",A568=$B$24),$B$27,0)</x:f>
        <x:v>0</x:v>
      </x:c>
      <x:c r="G568" s="141" t="n">
        <x:f>IF(AND($B$22="Sim",A568=$B$23),$B$35,0)</x:f>
        <x:v>0</x:v>
      </x:c>
      <x:c r="H568" s="141" t="n">
        <x:f>IF(AND($B$22="Sim",A568=$B$23),$B$36,0)</x:f>
        <x:v>0</x:v>
      </x:c>
      <x:c r="I568" s="141" t="n">
        <x:f>IF(OR($B$22&lt;&gt;"Sim",A568&gt;=$B$23+$B$31-1),0,(I569+C569)/(1+$B$9))</x:f>
        <x:v>0</x:v>
      </x:c>
      <x:c r="J568" s="140" t="str">
        <x:f>IF($B$22&lt;&gt;"Sim","Desativada",IF(A568&lt;$B$23,"Antes da compra",IF(A568&lt;$B$23+$B$31,"Parcelas restantes","Encerrado")))</x:f>
        <x:v>Encerrado</x:v>
      </x:c>
      <x:c r="K568" s="141" t="n">
        <x:f>IF(C568&gt;0,C568/(1+$B$9)^A568,0)</x:f>
        <x:v>0</x:v>
      </x:c>
    </x:row>
    <x:row r="569">
      <x:c r="A569" s="142" t="n">
        <x:v>515</x:v>
      </x:c>
      <x:c r="B569" s="179" t="n">
        <x:f>EDATE($B$5,A569-1)</x:f>
        <x:v>62184</x:v>
      </x:c>
      <x:c r="C569" s="141" t="n">
        <x:f>IF(AND($B$22="Sim",A569&gt;=$B$23,A569&lt;$B$23+$B$31),$B$32*D569,0)</x:f>
        <x:v>0</x:v>
      </x:c>
      <x:c r="D569" s="180" t="n">
        <x:f>IF(A569&lt;$B$23,1,(1+$B$33)^INT((A569-$B$23)/12))</x:f>
        <x:v>11.557032674154692</x:v>
      </x:c>
      <x:c r="E569" s="141" t="n">
        <x:f>IF(AND($B$22="Sim",A569=$B$23),$B$37,0)</x:f>
        <x:v>0</x:v>
      </x:c>
      <x:c r="F569" s="141" t="n">
        <x:f>IF(AND($B$22="Sim",A569=$B$24),$B$27,0)</x:f>
        <x:v>0</x:v>
      </x:c>
      <x:c r="G569" s="141" t="n">
        <x:f>IF(AND($B$22="Sim",A569=$B$23),$B$35,0)</x:f>
        <x:v>0</x:v>
      </x:c>
      <x:c r="H569" s="141" t="n">
        <x:f>IF(AND($B$22="Sim",A569=$B$23),$B$36,0)</x:f>
        <x:v>0</x:v>
      </x:c>
      <x:c r="I569" s="141" t="n">
        <x:f>IF(OR($B$22&lt;&gt;"Sim",A569&gt;=$B$23+$B$31-1),0,(I570+C570)/(1+$B$9))</x:f>
        <x:v>0</x:v>
      </x:c>
      <x:c r="J569" s="140" t="str">
        <x:f>IF($B$22&lt;&gt;"Sim","Desativada",IF(A569&lt;$B$23,"Antes da compra",IF(A569&lt;$B$23+$B$31,"Parcelas restantes","Encerrado")))</x:f>
        <x:v>Encerrado</x:v>
      </x:c>
      <x:c r="K569" s="141" t="n">
        <x:f>IF(C569&gt;0,C569/(1+$B$9)^A569,0)</x:f>
        <x:v>0</x:v>
      </x:c>
    </x:row>
    <x:row r="570">
      <x:c r="A570" s="142" t="n">
        <x:v>516</x:v>
      </x:c>
      <x:c r="B570" s="179" t="n">
        <x:f>EDATE($B$5,A570-1)</x:f>
        <x:v>62214</x:v>
      </x:c>
      <x:c r="C570" s="141" t="n">
        <x:f>IF(AND($B$22="Sim",A570&gt;=$B$23,A570&lt;$B$23+$B$31),$B$32*D570,0)</x:f>
        <x:v>0</x:v>
      </x:c>
      <x:c r="D570" s="180" t="n">
        <x:f>IF(A570&lt;$B$23,1,(1+$B$33)^INT((A570-$B$23)/12))</x:f>
        <x:v>11.557032674154692</x:v>
      </x:c>
      <x:c r="E570" s="141" t="n">
        <x:f>IF(AND($B$22="Sim",A570=$B$23),$B$37,0)</x:f>
        <x:v>0</x:v>
      </x:c>
      <x:c r="F570" s="141" t="n">
        <x:f>IF(AND($B$22="Sim",A570=$B$24),$B$27,0)</x:f>
        <x:v>0</x:v>
      </x:c>
      <x:c r="G570" s="141" t="n">
        <x:f>IF(AND($B$22="Sim",A570=$B$23),$B$35,0)</x:f>
        <x:v>0</x:v>
      </x:c>
      <x:c r="H570" s="141" t="n">
        <x:f>IF(AND($B$22="Sim",A570=$B$23),$B$36,0)</x:f>
        <x:v>0</x:v>
      </x:c>
      <x:c r="I570" s="141" t="n">
        <x:f>IF(OR($B$22&lt;&gt;"Sim",A570&gt;=$B$23+$B$31-1),0,(I571+C571)/(1+$B$9))</x:f>
        <x:v>0</x:v>
      </x:c>
      <x:c r="J570" s="140" t="str">
        <x:f>IF($B$22&lt;&gt;"Sim","Desativada",IF(A570&lt;$B$23,"Antes da compra",IF(A570&lt;$B$23+$B$31,"Parcelas restantes","Encerrado")))</x:f>
        <x:v>Encerrado</x:v>
      </x:c>
      <x:c r="K570" s="141" t="n">
        <x:f>IF(C570&gt;0,C570/(1+$B$9)^A570,0)</x:f>
        <x:v>0</x:v>
      </x:c>
    </x:row>
    <x:row r="571">
      <x:c r="A571" s="142" t="n">
        <x:v>517</x:v>
      </x:c>
      <x:c r="B571" s="179" t="n">
        <x:f>EDATE($B$5,A571-1)</x:f>
        <x:v>62245</x:v>
      </x:c>
      <x:c r="C571" s="141" t="n">
        <x:f>IF(AND($B$22="Sim",A571&gt;=$B$23,A571&lt;$B$23+$B$31),$B$32*D571,0)</x:f>
        <x:v>0</x:v>
      </x:c>
      <x:c r="D571" s="180" t="n">
        <x:f>IF(A571&lt;$B$23,1,(1+$B$33)^INT((A571-$B$23)/12))</x:f>
        <x:v>12.250454634603976</x:v>
      </x:c>
      <x:c r="E571" s="141" t="n">
        <x:f>IF(AND($B$22="Sim",A571=$B$23),$B$37,0)</x:f>
        <x:v>0</x:v>
      </x:c>
      <x:c r="F571" s="141" t="n">
        <x:f>IF(AND($B$22="Sim",A571=$B$24),$B$27,0)</x:f>
        <x:v>0</x:v>
      </x:c>
      <x:c r="G571" s="141" t="n">
        <x:f>IF(AND($B$22="Sim",A571=$B$23),$B$35,0)</x:f>
        <x:v>0</x:v>
      </x:c>
      <x:c r="H571" s="141" t="n">
        <x:f>IF(AND($B$22="Sim",A571=$B$23),$B$36,0)</x:f>
        <x:v>0</x:v>
      </x:c>
      <x:c r="I571" s="141" t="n">
        <x:f>IF(OR($B$22&lt;&gt;"Sim",A571&gt;=$B$23+$B$31-1),0,(I572+C572)/(1+$B$9))</x:f>
        <x:v>0</x:v>
      </x:c>
      <x:c r="J571" s="140" t="str">
        <x:f>IF($B$22&lt;&gt;"Sim","Desativada",IF(A571&lt;$B$23,"Antes da compra",IF(A571&lt;$B$23+$B$31,"Parcelas restantes","Encerrado")))</x:f>
        <x:v>Encerrado</x:v>
      </x:c>
      <x:c r="K571" s="141" t="n">
        <x:f>IF(C571&gt;0,C571/(1+$B$9)^A571,0)</x:f>
        <x:v>0</x:v>
      </x:c>
    </x:row>
    <x:row r="572">
      <x:c r="A572" s="142" t="n">
        <x:v>518</x:v>
      </x:c>
      <x:c r="B572" s="179" t="n">
        <x:f>EDATE($B$5,A572-1)</x:f>
        <x:v>62275</x:v>
      </x:c>
      <x:c r="C572" s="141" t="n">
        <x:f>IF(AND($B$22="Sim",A572&gt;=$B$23,A572&lt;$B$23+$B$31),$B$32*D572,0)</x:f>
        <x:v>0</x:v>
      </x:c>
      <x:c r="D572" s="180" t="n">
        <x:f>IF(A572&lt;$B$23,1,(1+$B$33)^INT((A572-$B$23)/12))</x:f>
        <x:v>12.250454634603976</x:v>
      </x:c>
      <x:c r="E572" s="141" t="n">
        <x:f>IF(AND($B$22="Sim",A572=$B$23),$B$37,0)</x:f>
        <x:v>0</x:v>
      </x:c>
      <x:c r="F572" s="141" t="n">
        <x:f>IF(AND($B$22="Sim",A572=$B$24),$B$27,0)</x:f>
        <x:v>0</x:v>
      </x:c>
      <x:c r="G572" s="141" t="n">
        <x:f>IF(AND($B$22="Sim",A572=$B$23),$B$35,0)</x:f>
        <x:v>0</x:v>
      </x:c>
      <x:c r="H572" s="141" t="n">
        <x:f>IF(AND($B$22="Sim",A572=$B$23),$B$36,0)</x:f>
        <x:v>0</x:v>
      </x:c>
      <x:c r="I572" s="141" t="n">
        <x:f>IF(OR($B$22&lt;&gt;"Sim",A572&gt;=$B$23+$B$31-1),0,(I573+C573)/(1+$B$9))</x:f>
        <x:v>0</x:v>
      </x:c>
      <x:c r="J572" s="140" t="str">
        <x:f>IF($B$22&lt;&gt;"Sim","Desativada",IF(A572&lt;$B$23,"Antes da compra",IF(A572&lt;$B$23+$B$31,"Parcelas restantes","Encerrado")))</x:f>
        <x:v>Encerrado</x:v>
      </x:c>
      <x:c r="K572" s="141" t="n">
        <x:f>IF(C572&gt;0,C572/(1+$B$9)^A572,0)</x:f>
        <x:v>0</x:v>
      </x:c>
    </x:row>
    <x:row r="573">
      <x:c r="A573" s="142" t="n">
        <x:v>519</x:v>
      </x:c>
      <x:c r="B573" s="179" t="n">
        <x:f>EDATE($B$5,A573-1)</x:f>
        <x:v>62306</x:v>
      </x:c>
      <x:c r="C573" s="141" t="n">
        <x:f>IF(AND($B$22="Sim",A573&gt;=$B$23,A573&lt;$B$23+$B$31),$B$32*D573,0)</x:f>
        <x:v>0</x:v>
      </x:c>
      <x:c r="D573" s="180" t="n">
        <x:f>IF(A573&lt;$B$23,1,(1+$B$33)^INT((A573-$B$23)/12))</x:f>
        <x:v>12.250454634603976</x:v>
      </x:c>
      <x:c r="E573" s="141" t="n">
        <x:f>IF(AND($B$22="Sim",A573=$B$23),$B$37,0)</x:f>
        <x:v>0</x:v>
      </x:c>
      <x:c r="F573" s="141" t="n">
        <x:f>IF(AND($B$22="Sim",A573=$B$24),$B$27,0)</x:f>
        <x:v>0</x:v>
      </x:c>
      <x:c r="G573" s="141" t="n">
        <x:f>IF(AND($B$22="Sim",A573=$B$23),$B$35,0)</x:f>
        <x:v>0</x:v>
      </x:c>
      <x:c r="H573" s="141" t="n">
        <x:f>IF(AND($B$22="Sim",A573=$B$23),$B$36,0)</x:f>
        <x:v>0</x:v>
      </x:c>
      <x:c r="I573" s="141" t="n">
        <x:f>IF(OR($B$22&lt;&gt;"Sim",A573&gt;=$B$23+$B$31-1),0,(I574+C574)/(1+$B$9))</x:f>
        <x:v>0</x:v>
      </x:c>
      <x:c r="J573" s="140" t="str">
        <x:f>IF($B$22&lt;&gt;"Sim","Desativada",IF(A573&lt;$B$23,"Antes da compra",IF(A573&lt;$B$23+$B$31,"Parcelas restantes","Encerrado")))</x:f>
        <x:v>Encerrado</x:v>
      </x:c>
      <x:c r="K573" s="141" t="n">
        <x:f>IF(C573&gt;0,C573/(1+$B$9)^A573,0)</x:f>
        <x:v>0</x:v>
      </x:c>
    </x:row>
    <x:row r="574">
      <x:c r="A574" s="142" t="n">
        <x:v>520</x:v>
      </x:c>
      <x:c r="B574" s="179" t="n">
        <x:f>EDATE($B$5,A574-1)</x:f>
        <x:v>62337</x:v>
      </x:c>
      <x:c r="C574" s="141" t="n">
        <x:f>IF(AND($B$22="Sim",A574&gt;=$B$23,A574&lt;$B$23+$B$31),$B$32*D574,0)</x:f>
        <x:v>0</x:v>
      </x:c>
      <x:c r="D574" s="180" t="n">
        <x:f>IF(A574&lt;$B$23,1,(1+$B$33)^INT((A574-$B$23)/12))</x:f>
        <x:v>12.250454634603976</x:v>
      </x:c>
      <x:c r="E574" s="141" t="n">
        <x:f>IF(AND($B$22="Sim",A574=$B$23),$B$37,0)</x:f>
        <x:v>0</x:v>
      </x:c>
      <x:c r="F574" s="141" t="n">
        <x:f>IF(AND($B$22="Sim",A574=$B$24),$B$27,0)</x:f>
        <x:v>0</x:v>
      </x:c>
      <x:c r="G574" s="141" t="n">
        <x:f>IF(AND($B$22="Sim",A574=$B$23),$B$35,0)</x:f>
        <x:v>0</x:v>
      </x:c>
      <x:c r="H574" s="141" t="n">
        <x:f>IF(AND($B$22="Sim",A574=$B$23),$B$36,0)</x:f>
        <x:v>0</x:v>
      </x:c>
      <x:c r="I574" s="141" t="n">
        <x:f>IF(OR($B$22&lt;&gt;"Sim",A574&gt;=$B$23+$B$31-1),0,(I575+C575)/(1+$B$9))</x:f>
        <x:v>0</x:v>
      </x:c>
      <x:c r="J574" s="140" t="str">
        <x:f>IF($B$22&lt;&gt;"Sim","Desativada",IF(A574&lt;$B$23,"Antes da compra",IF(A574&lt;$B$23+$B$31,"Parcelas restantes","Encerrado")))</x:f>
        <x:v>Encerrado</x:v>
      </x:c>
      <x:c r="K574" s="141" t="n">
        <x:f>IF(C574&gt;0,C574/(1+$B$9)^A574,0)</x:f>
        <x:v>0</x:v>
      </x:c>
    </x:row>
    <x:row r="575">
      <x:c r="A575" s="142" t="n">
        <x:v>521</x:v>
      </x:c>
      <x:c r="B575" s="179" t="n">
        <x:f>EDATE($B$5,A575-1)</x:f>
        <x:v>62367</x:v>
      </x:c>
      <x:c r="C575" s="141" t="n">
        <x:f>IF(AND($B$22="Sim",A575&gt;=$B$23,A575&lt;$B$23+$B$31),$B$32*D575,0)</x:f>
        <x:v>0</x:v>
      </x:c>
      <x:c r="D575" s="180" t="n">
        <x:f>IF(A575&lt;$B$23,1,(1+$B$33)^INT((A575-$B$23)/12))</x:f>
        <x:v>12.250454634603976</x:v>
      </x:c>
      <x:c r="E575" s="141" t="n">
        <x:f>IF(AND($B$22="Sim",A575=$B$23),$B$37,0)</x:f>
        <x:v>0</x:v>
      </x:c>
      <x:c r="F575" s="141" t="n">
        <x:f>IF(AND($B$22="Sim",A575=$B$24),$B$27,0)</x:f>
        <x:v>0</x:v>
      </x:c>
      <x:c r="G575" s="141" t="n">
        <x:f>IF(AND($B$22="Sim",A575=$B$23),$B$35,0)</x:f>
        <x:v>0</x:v>
      </x:c>
      <x:c r="H575" s="141" t="n">
        <x:f>IF(AND($B$22="Sim",A575=$B$23),$B$36,0)</x:f>
        <x:v>0</x:v>
      </x:c>
      <x:c r="I575" s="141" t="n">
        <x:f>IF(OR($B$22&lt;&gt;"Sim",A575&gt;=$B$23+$B$31-1),0,(I576+C576)/(1+$B$9))</x:f>
        <x:v>0</x:v>
      </x:c>
      <x:c r="J575" s="140" t="str">
        <x:f>IF($B$22&lt;&gt;"Sim","Desativada",IF(A575&lt;$B$23,"Antes da compra",IF(A575&lt;$B$23+$B$31,"Parcelas restantes","Encerrado")))</x:f>
        <x:v>Encerrado</x:v>
      </x:c>
      <x:c r="K575" s="141" t="n">
        <x:f>IF(C575&gt;0,C575/(1+$B$9)^A575,0)</x:f>
        <x:v>0</x:v>
      </x:c>
    </x:row>
    <x:row r="576">
      <x:c r="A576" s="142" t="n">
        <x:v>522</x:v>
      </x:c>
      <x:c r="B576" s="179" t="n">
        <x:f>EDATE($B$5,A576-1)</x:f>
        <x:v>62398</x:v>
      </x:c>
      <x:c r="C576" s="141" t="n">
        <x:f>IF(AND($B$22="Sim",A576&gt;=$B$23,A576&lt;$B$23+$B$31),$B$32*D576,0)</x:f>
        <x:v>0</x:v>
      </x:c>
      <x:c r="D576" s="180" t="n">
        <x:f>IF(A576&lt;$B$23,1,(1+$B$33)^INT((A576-$B$23)/12))</x:f>
        <x:v>12.250454634603976</x:v>
      </x:c>
      <x:c r="E576" s="141" t="n">
        <x:f>IF(AND($B$22="Sim",A576=$B$23),$B$37,0)</x:f>
        <x:v>0</x:v>
      </x:c>
      <x:c r="F576" s="141" t="n">
        <x:f>IF(AND($B$22="Sim",A576=$B$24),$B$27,0)</x:f>
        <x:v>0</x:v>
      </x:c>
      <x:c r="G576" s="141" t="n">
        <x:f>IF(AND($B$22="Sim",A576=$B$23),$B$35,0)</x:f>
        <x:v>0</x:v>
      </x:c>
      <x:c r="H576" s="141" t="n">
        <x:f>IF(AND($B$22="Sim",A576=$B$23),$B$36,0)</x:f>
        <x:v>0</x:v>
      </x:c>
      <x:c r="I576" s="141" t="n">
        <x:f>IF(OR($B$22&lt;&gt;"Sim",A576&gt;=$B$23+$B$31-1),0,(I577+C577)/(1+$B$9))</x:f>
        <x:v>0</x:v>
      </x:c>
      <x:c r="J576" s="140" t="str">
        <x:f>IF($B$22&lt;&gt;"Sim","Desativada",IF(A576&lt;$B$23,"Antes da compra",IF(A576&lt;$B$23+$B$31,"Parcelas restantes","Encerrado")))</x:f>
        <x:v>Encerrado</x:v>
      </x:c>
      <x:c r="K576" s="141" t="n">
        <x:f>IF(C576&gt;0,C576/(1+$B$9)^A576,0)</x:f>
        <x:v>0</x:v>
      </x:c>
    </x:row>
    <x:row r="577">
      <x:c r="A577" s="142" t="n">
        <x:v>523</x:v>
      </x:c>
      <x:c r="B577" s="179" t="n">
        <x:f>EDATE($B$5,A577-1)</x:f>
        <x:v>62428</x:v>
      </x:c>
      <x:c r="C577" s="141" t="n">
        <x:f>IF(AND($B$22="Sim",A577&gt;=$B$23,A577&lt;$B$23+$B$31),$B$32*D577,0)</x:f>
        <x:v>0</x:v>
      </x:c>
      <x:c r="D577" s="180" t="n">
        <x:f>IF(A577&lt;$B$23,1,(1+$B$33)^INT((A577-$B$23)/12))</x:f>
        <x:v>12.250454634603976</x:v>
      </x:c>
      <x:c r="E577" s="141" t="n">
        <x:f>IF(AND($B$22="Sim",A577=$B$23),$B$37,0)</x:f>
        <x:v>0</x:v>
      </x:c>
      <x:c r="F577" s="141" t="n">
        <x:f>IF(AND($B$22="Sim",A577=$B$24),$B$27,0)</x:f>
        <x:v>0</x:v>
      </x:c>
      <x:c r="G577" s="141" t="n">
        <x:f>IF(AND($B$22="Sim",A577=$B$23),$B$35,0)</x:f>
        <x:v>0</x:v>
      </x:c>
      <x:c r="H577" s="141" t="n">
        <x:f>IF(AND($B$22="Sim",A577=$B$23),$B$36,0)</x:f>
        <x:v>0</x:v>
      </x:c>
      <x:c r="I577" s="141" t="n">
        <x:f>IF(OR($B$22&lt;&gt;"Sim",A577&gt;=$B$23+$B$31-1),0,(I578+C578)/(1+$B$9))</x:f>
        <x:v>0</x:v>
      </x:c>
      <x:c r="J577" s="140" t="str">
        <x:f>IF($B$22&lt;&gt;"Sim","Desativada",IF(A577&lt;$B$23,"Antes da compra",IF(A577&lt;$B$23+$B$31,"Parcelas restantes","Encerrado")))</x:f>
        <x:v>Encerrado</x:v>
      </x:c>
      <x:c r="K577" s="141" t="n">
        <x:f>IF(C577&gt;0,C577/(1+$B$9)^A577,0)</x:f>
        <x:v>0</x:v>
      </x:c>
    </x:row>
    <x:row r="578">
      <x:c r="A578" s="142" t="n">
        <x:v>524</x:v>
      </x:c>
      <x:c r="B578" s="179" t="n">
        <x:f>EDATE($B$5,A578-1)</x:f>
        <x:v>62459</x:v>
      </x:c>
      <x:c r="C578" s="141" t="n">
        <x:f>IF(AND($B$22="Sim",A578&gt;=$B$23,A578&lt;$B$23+$B$31),$B$32*D578,0)</x:f>
        <x:v>0</x:v>
      </x:c>
      <x:c r="D578" s="180" t="n">
        <x:f>IF(A578&lt;$B$23,1,(1+$B$33)^INT((A578-$B$23)/12))</x:f>
        <x:v>12.250454634603976</x:v>
      </x:c>
      <x:c r="E578" s="141" t="n">
        <x:f>IF(AND($B$22="Sim",A578=$B$23),$B$37,0)</x:f>
        <x:v>0</x:v>
      </x:c>
      <x:c r="F578" s="141" t="n">
        <x:f>IF(AND($B$22="Sim",A578=$B$24),$B$27,0)</x:f>
        <x:v>0</x:v>
      </x:c>
      <x:c r="G578" s="141" t="n">
        <x:f>IF(AND($B$22="Sim",A578=$B$23),$B$35,0)</x:f>
        <x:v>0</x:v>
      </x:c>
      <x:c r="H578" s="141" t="n">
        <x:f>IF(AND($B$22="Sim",A578=$B$23),$B$36,0)</x:f>
        <x:v>0</x:v>
      </x:c>
      <x:c r="I578" s="141" t="n">
        <x:f>IF(OR($B$22&lt;&gt;"Sim",A578&gt;=$B$23+$B$31-1),0,(I579+C579)/(1+$B$9))</x:f>
        <x:v>0</x:v>
      </x:c>
      <x:c r="J578" s="140" t="str">
        <x:f>IF($B$22&lt;&gt;"Sim","Desativada",IF(A578&lt;$B$23,"Antes da compra",IF(A578&lt;$B$23+$B$31,"Parcelas restantes","Encerrado")))</x:f>
        <x:v>Encerrado</x:v>
      </x:c>
      <x:c r="K578" s="141" t="n">
        <x:f>IF(C578&gt;0,C578/(1+$B$9)^A578,0)</x:f>
        <x:v>0</x:v>
      </x:c>
    </x:row>
    <x:row r="579">
      <x:c r="A579" s="142" t="n">
        <x:v>525</x:v>
      </x:c>
      <x:c r="B579" s="179" t="n">
        <x:f>EDATE($B$5,A579-1)</x:f>
        <x:v>62490</x:v>
      </x:c>
      <x:c r="C579" s="141" t="n">
        <x:f>IF(AND($B$22="Sim",A579&gt;=$B$23,A579&lt;$B$23+$B$31),$B$32*D579,0)</x:f>
        <x:v>0</x:v>
      </x:c>
      <x:c r="D579" s="180" t="n">
        <x:f>IF(A579&lt;$B$23,1,(1+$B$33)^INT((A579-$B$23)/12))</x:f>
        <x:v>12.250454634603976</x:v>
      </x:c>
      <x:c r="E579" s="141" t="n">
        <x:f>IF(AND($B$22="Sim",A579=$B$23),$B$37,0)</x:f>
        <x:v>0</x:v>
      </x:c>
      <x:c r="F579" s="141" t="n">
        <x:f>IF(AND($B$22="Sim",A579=$B$24),$B$27,0)</x:f>
        <x:v>0</x:v>
      </x:c>
      <x:c r="G579" s="141" t="n">
        <x:f>IF(AND($B$22="Sim",A579=$B$23),$B$35,0)</x:f>
        <x:v>0</x:v>
      </x:c>
      <x:c r="H579" s="141" t="n">
        <x:f>IF(AND($B$22="Sim",A579=$B$23),$B$36,0)</x:f>
        <x:v>0</x:v>
      </x:c>
      <x:c r="I579" s="141" t="n">
        <x:f>IF(OR($B$22&lt;&gt;"Sim",A579&gt;=$B$23+$B$31-1),0,(I580+C580)/(1+$B$9))</x:f>
        <x:v>0</x:v>
      </x:c>
      <x:c r="J579" s="140" t="str">
        <x:f>IF($B$22&lt;&gt;"Sim","Desativada",IF(A579&lt;$B$23,"Antes da compra",IF(A579&lt;$B$23+$B$31,"Parcelas restantes","Encerrado")))</x:f>
        <x:v>Encerrado</x:v>
      </x:c>
      <x:c r="K579" s="141" t="n">
        <x:f>IF(C579&gt;0,C579/(1+$B$9)^A579,0)</x:f>
        <x:v>0</x:v>
      </x:c>
    </x:row>
    <x:row r="580">
      <x:c r="A580" s="142" t="n">
        <x:v>526</x:v>
      </x:c>
      <x:c r="B580" s="179" t="n">
        <x:f>EDATE($B$5,A580-1)</x:f>
        <x:v>62518</x:v>
      </x:c>
      <x:c r="C580" s="141" t="n">
        <x:f>IF(AND($B$22="Sim",A580&gt;=$B$23,A580&lt;$B$23+$B$31),$B$32*D580,0)</x:f>
        <x:v>0</x:v>
      </x:c>
      <x:c r="D580" s="180" t="n">
        <x:f>IF(A580&lt;$B$23,1,(1+$B$33)^INT((A580-$B$23)/12))</x:f>
        <x:v>12.250454634603976</x:v>
      </x:c>
      <x:c r="E580" s="141" t="n">
        <x:f>IF(AND($B$22="Sim",A580=$B$23),$B$37,0)</x:f>
        <x:v>0</x:v>
      </x:c>
      <x:c r="F580" s="141" t="n">
        <x:f>IF(AND($B$22="Sim",A580=$B$24),$B$27,0)</x:f>
        <x:v>0</x:v>
      </x:c>
      <x:c r="G580" s="141" t="n">
        <x:f>IF(AND($B$22="Sim",A580=$B$23),$B$35,0)</x:f>
        <x:v>0</x:v>
      </x:c>
      <x:c r="H580" s="141" t="n">
        <x:f>IF(AND($B$22="Sim",A580=$B$23),$B$36,0)</x:f>
        <x:v>0</x:v>
      </x:c>
      <x:c r="I580" s="141" t="n">
        <x:f>IF(OR($B$22&lt;&gt;"Sim",A580&gt;=$B$23+$B$31-1),0,(I581+C581)/(1+$B$9))</x:f>
        <x:v>0</x:v>
      </x:c>
      <x:c r="J580" s="140" t="str">
        <x:f>IF($B$22&lt;&gt;"Sim","Desativada",IF(A580&lt;$B$23,"Antes da compra",IF(A580&lt;$B$23+$B$31,"Parcelas restantes","Encerrado")))</x:f>
        <x:v>Encerrado</x:v>
      </x:c>
      <x:c r="K580" s="141" t="n">
        <x:f>IF(C580&gt;0,C580/(1+$B$9)^A580,0)</x:f>
        <x:v>0</x:v>
      </x:c>
    </x:row>
    <x:row r="581">
      <x:c r="A581" s="142" t="n">
        <x:v>527</x:v>
      </x:c>
      <x:c r="B581" s="179" t="n">
        <x:f>EDATE($B$5,A581-1)</x:f>
        <x:v>62549</x:v>
      </x:c>
      <x:c r="C581" s="141" t="n">
        <x:f>IF(AND($B$22="Sim",A581&gt;=$B$23,A581&lt;$B$23+$B$31),$B$32*D581,0)</x:f>
        <x:v>0</x:v>
      </x:c>
      <x:c r="D581" s="180" t="n">
        <x:f>IF(A581&lt;$B$23,1,(1+$B$33)^INT((A581-$B$23)/12))</x:f>
        <x:v>12.250454634603976</x:v>
      </x:c>
      <x:c r="E581" s="141" t="n">
        <x:f>IF(AND($B$22="Sim",A581=$B$23),$B$37,0)</x:f>
        <x:v>0</x:v>
      </x:c>
      <x:c r="F581" s="141" t="n">
        <x:f>IF(AND($B$22="Sim",A581=$B$24),$B$27,0)</x:f>
        <x:v>0</x:v>
      </x:c>
      <x:c r="G581" s="141" t="n">
        <x:f>IF(AND($B$22="Sim",A581=$B$23),$B$35,0)</x:f>
        <x:v>0</x:v>
      </x:c>
      <x:c r="H581" s="141" t="n">
        <x:f>IF(AND($B$22="Sim",A581=$B$23),$B$36,0)</x:f>
        <x:v>0</x:v>
      </x:c>
      <x:c r="I581" s="141" t="n">
        <x:f>IF(OR($B$22&lt;&gt;"Sim",A581&gt;=$B$23+$B$31-1),0,(I582+C582)/(1+$B$9))</x:f>
        <x:v>0</x:v>
      </x:c>
      <x:c r="J581" s="140" t="str">
        <x:f>IF($B$22&lt;&gt;"Sim","Desativada",IF(A581&lt;$B$23,"Antes da compra",IF(A581&lt;$B$23+$B$31,"Parcelas restantes","Encerrado")))</x:f>
        <x:v>Encerrado</x:v>
      </x:c>
      <x:c r="K581" s="141" t="n">
        <x:f>IF(C581&gt;0,C581/(1+$B$9)^A581,0)</x:f>
        <x:v>0</x:v>
      </x:c>
    </x:row>
    <x:row r="582">
      <x:c r="A582" s="142" t="n">
        <x:v>528</x:v>
      </x:c>
      <x:c r="B582" s="179" t="n">
        <x:f>EDATE($B$5,A582-1)</x:f>
        <x:v>62579</x:v>
      </x:c>
      <x:c r="C582" s="141" t="n">
        <x:f>IF(AND($B$22="Sim",A582&gt;=$B$23,A582&lt;$B$23+$B$31),$B$32*D582,0)</x:f>
        <x:v>0</x:v>
      </x:c>
      <x:c r="D582" s="180" t="n">
        <x:f>IF(A582&lt;$B$23,1,(1+$B$33)^INT((A582-$B$23)/12))</x:f>
        <x:v>12.250454634603976</x:v>
      </x:c>
      <x:c r="E582" s="141" t="n">
        <x:f>IF(AND($B$22="Sim",A582=$B$23),$B$37,0)</x:f>
        <x:v>0</x:v>
      </x:c>
      <x:c r="F582" s="141" t="n">
        <x:f>IF(AND($B$22="Sim",A582=$B$24),$B$27,0)</x:f>
        <x:v>0</x:v>
      </x:c>
      <x:c r="G582" s="141" t="n">
        <x:f>IF(AND($B$22="Sim",A582=$B$23),$B$35,0)</x:f>
        <x:v>0</x:v>
      </x:c>
      <x:c r="H582" s="141" t="n">
        <x:f>IF(AND($B$22="Sim",A582=$B$23),$B$36,0)</x:f>
        <x:v>0</x:v>
      </x:c>
      <x:c r="I582" s="141" t="n">
        <x:f>IF(OR($B$22&lt;&gt;"Sim",A582&gt;=$B$23+$B$31-1),0,(I583+C583)/(1+$B$9))</x:f>
        <x:v>0</x:v>
      </x:c>
      <x:c r="J582" s="140" t="str">
        <x:f>IF($B$22&lt;&gt;"Sim","Desativada",IF(A582&lt;$B$23,"Antes da compra",IF(A582&lt;$B$23+$B$31,"Parcelas restantes","Encerrado")))</x:f>
        <x:v>Encerrado</x:v>
      </x:c>
      <x:c r="K582" s="141" t="n">
        <x:f>IF(C582&gt;0,C582/(1+$B$9)^A582,0)</x:f>
        <x:v>0</x:v>
      </x:c>
    </x:row>
    <x:row r="583">
      <x:c r="A583" s="142" t="n">
        <x:v>529</x:v>
      </x:c>
      <x:c r="B583" s="179" t="n">
        <x:f>EDATE($B$5,A583-1)</x:f>
        <x:v>62610</x:v>
      </x:c>
      <x:c r="C583" s="141" t="n">
        <x:f>IF(AND($B$22="Sim",A583&gt;=$B$23,A583&lt;$B$23+$B$31),$B$32*D583,0)</x:f>
        <x:v>0</x:v>
      </x:c>
      <x:c r="D583" s="180" t="n">
        <x:f>IF(A583&lt;$B$23,1,(1+$B$33)^INT((A583-$B$23)/12))</x:f>
        <x:v>12.985481912680214</x:v>
      </x:c>
      <x:c r="E583" s="141" t="n">
        <x:f>IF(AND($B$22="Sim",A583=$B$23),$B$37,0)</x:f>
        <x:v>0</x:v>
      </x:c>
      <x:c r="F583" s="141" t="n">
        <x:f>IF(AND($B$22="Sim",A583=$B$24),$B$27,0)</x:f>
        <x:v>0</x:v>
      </x:c>
      <x:c r="G583" s="141" t="n">
        <x:f>IF(AND($B$22="Sim",A583=$B$23),$B$35,0)</x:f>
        <x:v>0</x:v>
      </x:c>
      <x:c r="H583" s="141" t="n">
        <x:f>IF(AND($B$22="Sim",A583=$B$23),$B$36,0)</x:f>
        <x:v>0</x:v>
      </x:c>
      <x:c r="I583" s="141" t="n">
        <x:f>IF(OR($B$22&lt;&gt;"Sim",A583&gt;=$B$23+$B$31-1),0,(I584+C584)/(1+$B$9))</x:f>
        <x:v>0</x:v>
      </x:c>
      <x:c r="J583" s="140" t="str">
        <x:f>IF($B$22&lt;&gt;"Sim","Desativada",IF(A583&lt;$B$23,"Antes da compra",IF(A583&lt;$B$23+$B$31,"Parcelas restantes","Encerrado")))</x:f>
        <x:v>Encerrado</x:v>
      </x:c>
      <x:c r="K583" s="141" t="n">
        <x:f>IF(C583&gt;0,C583/(1+$B$9)^A583,0)</x:f>
        <x:v>0</x:v>
      </x:c>
    </x:row>
    <x:row r="584">
      <x:c r="A584" s="142" t="n">
        <x:v>530</x:v>
      </x:c>
      <x:c r="B584" s="179" t="n">
        <x:f>EDATE($B$5,A584-1)</x:f>
        <x:v>62640</x:v>
      </x:c>
      <x:c r="C584" s="141" t="n">
        <x:f>IF(AND($B$22="Sim",A584&gt;=$B$23,A584&lt;$B$23+$B$31),$B$32*D584,0)</x:f>
        <x:v>0</x:v>
      </x:c>
      <x:c r="D584" s="180" t="n">
        <x:f>IF(A584&lt;$B$23,1,(1+$B$33)^INT((A584-$B$23)/12))</x:f>
        <x:v>12.985481912680214</x:v>
      </x:c>
      <x:c r="E584" s="141" t="n">
        <x:f>IF(AND($B$22="Sim",A584=$B$23),$B$37,0)</x:f>
        <x:v>0</x:v>
      </x:c>
      <x:c r="F584" s="141" t="n">
        <x:f>IF(AND($B$22="Sim",A584=$B$24),$B$27,0)</x:f>
        <x:v>0</x:v>
      </x:c>
      <x:c r="G584" s="141" t="n">
        <x:f>IF(AND($B$22="Sim",A584=$B$23),$B$35,0)</x:f>
        <x:v>0</x:v>
      </x:c>
      <x:c r="H584" s="141" t="n">
        <x:f>IF(AND($B$22="Sim",A584=$B$23),$B$36,0)</x:f>
        <x:v>0</x:v>
      </x:c>
      <x:c r="I584" s="141" t="n">
        <x:f>IF(OR($B$22&lt;&gt;"Sim",A584&gt;=$B$23+$B$31-1),0,(I585+C585)/(1+$B$9))</x:f>
        <x:v>0</x:v>
      </x:c>
      <x:c r="J584" s="140" t="str">
        <x:f>IF($B$22&lt;&gt;"Sim","Desativada",IF(A584&lt;$B$23,"Antes da compra",IF(A584&lt;$B$23+$B$31,"Parcelas restantes","Encerrado")))</x:f>
        <x:v>Encerrado</x:v>
      </x:c>
      <x:c r="K584" s="141" t="n">
        <x:f>IF(C584&gt;0,C584/(1+$B$9)^A584,0)</x:f>
        <x:v>0</x:v>
      </x:c>
    </x:row>
    <x:row r="585">
      <x:c r="A585" s="142" t="n">
        <x:v>531</x:v>
      </x:c>
      <x:c r="B585" s="179" t="n">
        <x:f>EDATE($B$5,A585-1)</x:f>
        <x:v>62671</x:v>
      </x:c>
      <x:c r="C585" s="141" t="n">
        <x:f>IF(AND($B$22="Sim",A585&gt;=$B$23,A585&lt;$B$23+$B$31),$B$32*D585,0)</x:f>
        <x:v>0</x:v>
      </x:c>
      <x:c r="D585" s="180" t="n">
        <x:f>IF(A585&lt;$B$23,1,(1+$B$33)^INT((A585-$B$23)/12))</x:f>
        <x:v>12.985481912680214</x:v>
      </x:c>
      <x:c r="E585" s="141" t="n">
        <x:f>IF(AND($B$22="Sim",A585=$B$23),$B$37,0)</x:f>
        <x:v>0</x:v>
      </x:c>
      <x:c r="F585" s="141" t="n">
        <x:f>IF(AND($B$22="Sim",A585=$B$24),$B$27,0)</x:f>
        <x:v>0</x:v>
      </x:c>
      <x:c r="G585" s="141" t="n">
        <x:f>IF(AND($B$22="Sim",A585=$B$23),$B$35,0)</x:f>
        <x:v>0</x:v>
      </x:c>
      <x:c r="H585" s="141" t="n">
        <x:f>IF(AND($B$22="Sim",A585=$B$23),$B$36,0)</x:f>
        <x:v>0</x:v>
      </x:c>
      <x:c r="I585" s="141" t="n">
        <x:f>IF(OR($B$22&lt;&gt;"Sim",A585&gt;=$B$23+$B$31-1),0,(I586+C586)/(1+$B$9))</x:f>
        <x:v>0</x:v>
      </x:c>
      <x:c r="J585" s="140" t="str">
        <x:f>IF($B$22&lt;&gt;"Sim","Desativada",IF(A585&lt;$B$23,"Antes da compra",IF(A585&lt;$B$23+$B$31,"Parcelas restantes","Encerrado")))</x:f>
        <x:v>Encerrado</x:v>
      </x:c>
      <x:c r="K585" s="141" t="n">
        <x:f>IF(C585&gt;0,C585/(1+$B$9)^A585,0)</x:f>
        <x:v>0</x:v>
      </x:c>
    </x:row>
    <x:row r="586">
      <x:c r="A586" s="142" t="n">
        <x:v>532</x:v>
      </x:c>
      <x:c r="B586" s="179" t="n">
        <x:f>EDATE($B$5,A586-1)</x:f>
        <x:v>62702</x:v>
      </x:c>
      <x:c r="C586" s="141" t="n">
        <x:f>IF(AND($B$22="Sim",A586&gt;=$B$23,A586&lt;$B$23+$B$31),$B$32*D586,0)</x:f>
        <x:v>0</x:v>
      </x:c>
      <x:c r="D586" s="180" t="n">
        <x:f>IF(A586&lt;$B$23,1,(1+$B$33)^INT((A586-$B$23)/12))</x:f>
        <x:v>12.985481912680214</x:v>
      </x:c>
      <x:c r="E586" s="141" t="n">
        <x:f>IF(AND($B$22="Sim",A586=$B$23),$B$37,0)</x:f>
        <x:v>0</x:v>
      </x:c>
      <x:c r="F586" s="141" t="n">
        <x:f>IF(AND($B$22="Sim",A586=$B$24),$B$27,0)</x:f>
        <x:v>0</x:v>
      </x:c>
      <x:c r="G586" s="141" t="n">
        <x:f>IF(AND($B$22="Sim",A586=$B$23),$B$35,0)</x:f>
        <x:v>0</x:v>
      </x:c>
      <x:c r="H586" s="141" t="n">
        <x:f>IF(AND($B$22="Sim",A586=$B$23),$B$36,0)</x:f>
        <x:v>0</x:v>
      </x:c>
      <x:c r="I586" s="141" t="n">
        <x:f>IF(OR($B$22&lt;&gt;"Sim",A586&gt;=$B$23+$B$31-1),0,(I587+C587)/(1+$B$9))</x:f>
        <x:v>0</x:v>
      </x:c>
      <x:c r="J586" s="140" t="str">
        <x:f>IF($B$22&lt;&gt;"Sim","Desativada",IF(A586&lt;$B$23,"Antes da compra",IF(A586&lt;$B$23+$B$31,"Parcelas restantes","Encerrado")))</x:f>
        <x:v>Encerrado</x:v>
      </x:c>
      <x:c r="K586" s="141" t="n">
        <x:f>IF(C586&gt;0,C586/(1+$B$9)^A586,0)</x:f>
        <x:v>0</x:v>
      </x:c>
    </x:row>
    <x:row r="587">
      <x:c r="A587" s="142" t="n">
        <x:v>533</x:v>
      </x:c>
      <x:c r="B587" s="179" t="n">
        <x:f>EDATE($B$5,A587-1)</x:f>
        <x:v>62732</x:v>
      </x:c>
      <x:c r="C587" s="141" t="n">
        <x:f>IF(AND($B$22="Sim",A587&gt;=$B$23,A587&lt;$B$23+$B$31),$B$32*D587,0)</x:f>
        <x:v>0</x:v>
      </x:c>
      <x:c r="D587" s="180" t="n">
        <x:f>IF(A587&lt;$B$23,1,(1+$B$33)^INT((A587-$B$23)/12))</x:f>
        <x:v>12.985481912680214</x:v>
      </x:c>
      <x:c r="E587" s="141" t="n">
        <x:f>IF(AND($B$22="Sim",A587=$B$23),$B$37,0)</x:f>
        <x:v>0</x:v>
      </x:c>
      <x:c r="F587" s="141" t="n">
        <x:f>IF(AND($B$22="Sim",A587=$B$24),$B$27,0)</x:f>
        <x:v>0</x:v>
      </x:c>
      <x:c r="G587" s="141" t="n">
        <x:f>IF(AND($B$22="Sim",A587=$B$23),$B$35,0)</x:f>
        <x:v>0</x:v>
      </x:c>
      <x:c r="H587" s="141" t="n">
        <x:f>IF(AND($B$22="Sim",A587=$B$23),$B$36,0)</x:f>
        <x:v>0</x:v>
      </x:c>
      <x:c r="I587" s="141" t="n">
        <x:f>IF(OR($B$22&lt;&gt;"Sim",A587&gt;=$B$23+$B$31-1),0,(I588+C588)/(1+$B$9))</x:f>
        <x:v>0</x:v>
      </x:c>
      <x:c r="J587" s="140" t="str">
        <x:f>IF($B$22&lt;&gt;"Sim","Desativada",IF(A587&lt;$B$23,"Antes da compra",IF(A587&lt;$B$23+$B$31,"Parcelas restantes","Encerrado")))</x:f>
        <x:v>Encerrado</x:v>
      </x:c>
      <x:c r="K587" s="141" t="n">
        <x:f>IF(C587&gt;0,C587/(1+$B$9)^A587,0)</x:f>
        <x:v>0</x:v>
      </x:c>
    </x:row>
    <x:row r="588">
      <x:c r="A588" s="142" t="n">
        <x:v>534</x:v>
      </x:c>
      <x:c r="B588" s="179" t="n">
        <x:f>EDATE($B$5,A588-1)</x:f>
        <x:v>62763</x:v>
      </x:c>
      <x:c r="C588" s="141" t="n">
        <x:f>IF(AND($B$22="Sim",A588&gt;=$B$23,A588&lt;$B$23+$B$31),$B$32*D588,0)</x:f>
        <x:v>0</x:v>
      </x:c>
      <x:c r="D588" s="180" t="n">
        <x:f>IF(A588&lt;$B$23,1,(1+$B$33)^INT((A588-$B$23)/12))</x:f>
        <x:v>12.985481912680214</x:v>
      </x:c>
      <x:c r="E588" s="141" t="n">
        <x:f>IF(AND($B$22="Sim",A588=$B$23),$B$37,0)</x:f>
        <x:v>0</x:v>
      </x:c>
      <x:c r="F588" s="141" t="n">
        <x:f>IF(AND($B$22="Sim",A588=$B$24),$B$27,0)</x:f>
        <x:v>0</x:v>
      </x:c>
      <x:c r="G588" s="141" t="n">
        <x:f>IF(AND($B$22="Sim",A588=$B$23),$B$35,0)</x:f>
        <x:v>0</x:v>
      </x:c>
      <x:c r="H588" s="141" t="n">
        <x:f>IF(AND($B$22="Sim",A588=$B$23),$B$36,0)</x:f>
        <x:v>0</x:v>
      </x:c>
      <x:c r="I588" s="141" t="n">
        <x:f>IF(OR($B$22&lt;&gt;"Sim",A588&gt;=$B$23+$B$31-1),0,(I589+C589)/(1+$B$9))</x:f>
        <x:v>0</x:v>
      </x:c>
      <x:c r="J588" s="140" t="str">
        <x:f>IF($B$22&lt;&gt;"Sim","Desativada",IF(A588&lt;$B$23,"Antes da compra",IF(A588&lt;$B$23+$B$31,"Parcelas restantes","Encerrado")))</x:f>
        <x:v>Encerrado</x:v>
      </x:c>
      <x:c r="K588" s="141" t="n">
        <x:f>IF(C588&gt;0,C588/(1+$B$9)^A588,0)</x:f>
        <x:v>0</x:v>
      </x:c>
    </x:row>
    <x:row r="589">
      <x:c r="A589" s="142" t="n">
        <x:v>535</x:v>
      </x:c>
      <x:c r="B589" s="179" t="n">
        <x:f>EDATE($B$5,A589-1)</x:f>
        <x:v>62793</x:v>
      </x:c>
      <x:c r="C589" s="141" t="n">
        <x:f>IF(AND($B$22="Sim",A589&gt;=$B$23,A589&lt;$B$23+$B$31),$B$32*D589,0)</x:f>
        <x:v>0</x:v>
      </x:c>
      <x:c r="D589" s="180" t="n">
        <x:f>IF(A589&lt;$B$23,1,(1+$B$33)^INT((A589-$B$23)/12))</x:f>
        <x:v>12.985481912680214</x:v>
      </x:c>
      <x:c r="E589" s="141" t="n">
        <x:f>IF(AND($B$22="Sim",A589=$B$23),$B$37,0)</x:f>
        <x:v>0</x:v>
      </x:c>
      <x:c r="F589" s="141" t="n">
        <x:f>IF(AND($B$22="Sim",A589=$B$24),$B$27,0)</x:f>
        <x:v>0</x:v>
      </x:c>
      <x:c r="G589" s="141" t="n">
        <x:f>IF(AND($B$22="Sim",A589=$B$23),$B$35,0)</x:f>
        <x:v>0</x:v>
      </x:c>
      <x:c r="H589" s="141" t="n">
        <x:f>IF(AND($B$22="Sim",A589=$B$23),$B$36,0)</x:f>
        <x:v>0</x:v>
      </x:c>
      <x:c r="I589" s="141" t="n">
        <x:f>IF(OR($B$22&lt;&gt;"Sim",A589&gt;=$B$23+$B$31-1),0,(I590+C590)/(1+$B$9))</x:f>
        <x:v>0</x:v>
      </x:c>
      <x:c r="J589" s="140" t="str">
        <x:f>IF($B$22&lt;&gt;"Sim","Desativada",IF(A589&lt;$B$23,"Antes da compra",IF(A589&lt;$B$23+$B$31,"Parcelas restantes","Encerrado")))</x:f>
        <x:v>Encerrado</x:v>
      </x:c>
      <x:c r="K589" s="141" t="n">
        <x:f>IF(C589&gt;0,C589/(1+$B$9)^A589,0)</x:f>
        <x:v>0</x:v>
      </x:c>
    </x:row>
    <x:row r="590">
      <x:c r="A590" s="142" t="n">
        <x:v>536</x:v>
      </x:c>
      <x:c r="B590" s="179" t="n">
        <x:f>EDATE($B$5,A590-1)</x:f>
        <x:v>62824</x:v>
      </x:c>
      <x:c r="C590" s="141" t="n">
        <x:f>IF(AND($B$22="Sim",A590&gt;=$B$23,A590&lt;$B$23+$B$31),$B$32*D590,0)</x:f>
        <x:v>0</x:v>
      </x:c>
      <x:c r="D590" s="180" t="n">
        <x:f>IF(A590&lt;$B$23,1,(1+$B$33)^INT((A590-$B$23)/12))</x:f>
        <x:v>12.985481912680214</x:v>
      </x:c>
      <x:c r="E590" s="141" t="n">
        <x:f>IF(AND($B$22="Sim",A590=$B$23),$B$37,0)</x:f>
        <x:v>0</x:v>
      </x:c>
      <x:c r="F590" s="141" t="n">
        <x:f>IF(AND($B$22="Sim",A590=$B$24),$B$27,0)</x:f>
        <x:v>0</x:v>
      </x:c>
      <x:c r="G590" s="141" t="n">
        <x:f>IF(AND($B$22="Sim",A590=$B$23),$B$35,0)</x:f>
        <x:v>0</x:v>
      </x:c>
      <x:c r="H590" s="141" t="n">
        <x:f>IF(AND($B$22="Sim",A590=$B$23),$B$36,0)</x:f>
        <x:v>0</x:v>
      </x:c>
      <x:c r="I590" s="141" t="n">
        <x:f>IF(OR($B$22&lt;&gt;"Sim",A590&gt;=$B$23+$B$31-1),0,(I591+C591)/(1+$B$9))</x:f>
        <x:v>0</x:v>
      </x:c>
      <x:c r="J590" s="140" t="str">
        <x:f>IF($B$22&lt;&gt;"Sim","Desativada",IF(A590&lt;$B$23,"Antes da compra",IF(A590&lt;$B$23+$B$31,"Parcelas restantes","Encerrado")))</x:f>
        <x:v>Encerrado</x:v>
      </x:c>
      <x:c r="K590" s="141" t="n">
        <x:f>IF(C590&gt;0,C590/(1+$B$9)^A590,0)</x:f>
        <x:v>0</x:v>
      </x:c>
    </x:row>
    <x:row r="591">
      <x:c r="A591" s="142" t="n">
        <x:v>537</x:v>
      </x:c>
      <x:c r="B591" s="179" t="n">
        <x:f>EDATE($B$5,A591-1)</x:f>
        <x:v>62855</x:v>
      </x:c>
      <x:c r="C591" s="141" t="n">
        <x:f>IF(AND($B$22="Sim",A591&gt;=$B$23,A591&lt;$B$23+$B$31),$B$32*D591,0)</x:f>
        <x:v>0</x:v>
      </x:c>
      <x:c r="D591" s="180" t="n">
        <x:f>IF(A591&lt;$B$23,1,(1+$B$33)^INT((A591-$B$23)/12))</x:f>
        <x:v>12.985481912680214</x:v>
      </x:c>
      <x:c r="E591" s="141" t="n">
        <x:f>IF(AND($B$22="Sim",A591=$B$23),$B$37,0)</x:f>
        <x:v>0</x:v>
      </x:c>
      <x:c r="F591" s="141" t="n">
        <x:f>IF(AND($B$22="Sim",A591=$B$24),$B$27,0)</x:f>
        <x:v>0</x:v>
      </x:c>
      <x:c r="G591" s="141" t="n">
        <x:f>IF(AND($B$22="Sim",A591=$B$23),$B$35,0)</x:f>
        <x:v>0</x:v>
      </x:c>
      <x:c r="H591" s="141" t="n">
        <x:f>IF(AND($B$22="Sim",A591=$B$23),$B$36,0)</x:f>
        <x:v>0</x:v>
      </x:c>
      <x:c r="I591" s="141" t="n">
        <x:f>IF(OR($B$22&lt;&gt;"Sim",A591&gt;=$B$23+$B$31-1),0,(I592+C592)/(1+$B$9))</x:f>
        <x:v>0</x:v>
      </x:c>
      <x:c r="J591" s="140" t="str">
        <x:f>IF($B$22&lt;&gt;"Sim","Desativada",IF(A591&lt;$B$23,"Antes da compra",IF(A591&lt;$B$23+$B$31,"Parcelas restantes","Encerrado")))</x:f>
        <x:v>Encerrado</x:v>
      </x:c>
      <x:c r="K591" s="141" t="n">
        <x:f>IF(C591&gt;0,C591/(1+$B$9)^A591,0)</x:f>
        <x:v>0</x:v>
      </x:c>
    </x:row>
    <x:row r="592">
      <x:c r="A592" s="142" t="n">
        <x:v>538</x:v>
      </x:c>
      <x:c r="B592" s="179" t="n">
        <x:f>EDATE($B$5,A592-1)</x:f>
        <x:v>62884</x:v>
      </x:c>
      <x:c r="C592" s="141" t="n">
        <x:f>IF(AND($B$22="Sim",A592&gt;=$B$23,A592&lt;$B$23+$B$31),$B$32*D592,0)</x:f>
        <x:v>0</x:v>
      </x:c>
      <x:c r="D592" s="180" t="n">
        <x:f>IF(A592&lt;$B$23,1,(1+$B$33)^INT((A592-$B$23)/12))</x:f>
        <x:v>12.985481912680214</x:v>
      </x:c>
      <x:c r="E592" s="141" t="n">
        <x:f>IF(AND($B$22="Sim",A592=$B$23),$B$37,0)</x:f>
        <x:v>0</x:v>
      </x:c>
      <x:c r="F592" s="141" t="n">
        <x:f>IF(AND($B$22="Sim",A592=$B$24),$B$27,0)</x:f>
        <x:v>0</x:v>
      </x:c>
      <x:c r="G592" s="141" t="n">
        <x:f>IF(AND($B$22="Sim",A592=$B$23),$B$35,0)</x:f>
        <x:v>0</x:v>
      </x:c>
      <x:c r="H592" s="141" t="n">
        <x:f>IF(AND($B$22="Sim",A592=$B$23),$B$36,0)</x:f>
        <x:v>0</x:v>
      </x:c>
      <x:c r="I592" s="141" t="n">
        <x:f>IF(OR($B$22&lt;&gt;"Sim",A592&gt;=$B$23+$B$31-1),0,(I593+C593)/(1+$B$9))</x:f>
        <x:v>0</x:v>
      </x:c>
      <x:c r="J592" s="140" t="str">
        <x:f>IF($B$22&lt;&gt;"Sim","Desativada",IF(A592&lt;$B$23,"Antes da compra",IF(A592&lt;$B$23+$B$31,"Parcelas restantes","Encerrado")))</x:f>
        <x:v>Encerrado</x:v>
      </x:c>
      <x:c r="K592" s="141" t="n">
        <x:f>IF(C592&gt;0,C592/(1+$B$9)^A592,0)</x:f>
        <x:v>0</x:v>
      </x:c>
    </x:row>
    <x:row r="593">
      <x:c r="A593" s="142" t="n">
        <x:v>539</x:v>
      </x:c>
      <x:c r="B593" s="179" t="n">
        <x:f>EDATE($B$5,A593-1)</x:f>
        <x:v>62915</x:v>
      </x:c>
      <x:c r="C593" s="141" t="n">
        <x:f>IF(AND($B$22="Sim",A593&gt;=$B$23,A593&lt;$B$23+$B$31),$B$32*D593,0)</x:f>
        <x:v>0</x:v>
      </x:c>
      <x:c r="D593" s="180" t="n">
        <x:f>IF(A593&lt;$B$23,1,(1+$B$33)^INT((A593-$B$23)/12))</x:f>
        <x:v>12.985481912680214</x:v>
      </x:c>
      <x:c r="E593" s="141" t="n">
        <x:f>IF(AND($B$22="Sim",A593=$B$23),$B$37,0)</x:f>
        <x:v>0</x:v>
      </x:c>
      <x:c r="F593" s="141" t="n">
        <x:f>IF(AND($B$22="Sim",A593=$B$24),$B$27,0)</x:f>
        <x:v>0</x:v>
      </x:c>
      <x:c r="G593" s="141" t="n">
        <x:f>IF(AND($B$22="Sim",A593=$B$23),$B$35,0)</x:f>
        <x:v>0</x:v>
      </x:c>
      <x:c r="H593" s="141" t="n">
        <x:f>IF(AND($B$22="Sim",A593=$B$23),$B$36,0)</x:f>
        <x:v>0</x:v>
      </x:c>
      <x:c r="I593" s="141" t="n">
        <x:f>IF(OR($B$22&lt;&gt;"Sim",A593&gt;=$B$23+$B$31-1),0,(I594+C594)/(1+$B$9))</x:f>
        <x:v>0</x:v>
      </x:c>
      <x:c r="J593" s="140" t="str">
        <x:f>IF($B$22&lt;&gt;"Sim","Desativada",IF(A593&lt;$B$23,"Antes da compra",IF(A593&lt;$B$23+$B$31,"Parcelas restantes","Encerrado")))</x:f>
        <x:v>Encerrado</x:v>
      </x:c>
      <x:c r="K593" s="141" t="n">
        <x:f>IF(C593&gt;0,C593/(1+$B$9)^A593,0)</x:f>
        <x:v>0</x:v>
      </x:c>
    </x:row>
    <x:row r="594">
      <x:c r="A594" s="142" t="n">
        <x:v>540</x:v>
      </x:c>
      <x:c r="B594" s="179" t="n">
        <x:f>EDATE($B$5,A594-1)</x:f>
        <x:v>62945</x:v>
      </x:c>
      <x:c r="C594" s="141" t="n">
        <x:f>IF(AND($B$22="Sim",A594&gt;=$B$23,A594&lt;$B$23+$B$31),$B$32*D594,0)</x:f>
        <x:v>0</x:v>
      </x:c>
      <x:c r="D594" s="180" t="n">
        <x:f>IF(A594&lt;$B$23,1,(1+$B$33)^INT((A594-$B$23)/12))</x:f>
        <x:v>12.985481912680214</x:v>
      </x:c>
      <x:c r="E594" s="141" t="n">
        <x:f>IF(AND($B$22="Sim",A594=$B$23),$B$37,0)</x:f>
        <x:v>0</x:v>
      </x:c>
      <x:c r="F594" s="141" t="n">
        <x:f>IF(AND($B$22="Sim",A594=$B$24),$B$27,0)</x:f>
        <x:v>0</x:v>
      </x:c>
      <x:c r="G594" s="141" t="n">
        <x:f>IF(AND($B$22="Sim",A594=$B$23),$B$35,0)</x:f>
        <x:v>0</x:v>
      </x:c>
      <x:c r="H594" s="141" t="n">
        <x:f>IF(AND($B$22="Sim",A594=$B$23),$B$36,0)</x:f>
        <x:v>0</x:v>
      </x:c>
      <x:c r="I594" s="141" t="n">
        <x:f>IF(OR($B$22&lt;&gt;"Sim",A594&gt;=$B$23+$B$31-1),0,(I595+C595)/(1+$B$9))</x:f>
        <x:v>0</x:v>
      </x:c>
      <x:c r="J594" s="140" t="str">
        <x:f>IF($B$22&lt;&gt;"Sim","Desativada",IF(A594&lt;$B$23,"Antes da compra",IF(A594&lt;$B$23+$B$31,"Parcelas restantes","Encerrado")))</x:f>
        <x:v>Encerrado</x:v>
      </x:c>
      <x:c r="K594" s="141" t="n">
        <x:f>IF(C594&gt;0,C594/(1+$B$9)^A594,0)</x:f>
        <x:v>0</x:v>
      </x:c>
    </x:row>
    <x:row r="595">
      <x:c r="A595" s="142" t="n">
        <x:v>541</x:v>
      </x:c>
      <x:c r="B595" s="179" t="n">
        <x:f>EDATE($B$5,A595-1)</x:f>
        <x:v>62976</x:v>
      </x:c>
      <x:c r="C595" s="141" t="n">
        <x:f>IF(AND($B$22="Sim",A595&gt;=$B$23,A595&lt;$B$23+$B$31),$B$32*D595,0)</x:f>
        <x:v>0</x:v>
      </x:c>
      <x:c r="D595" s="180" t="n">
        <x:f>IF(A595&lt;$B$23,1,(1+$B$33)^INT((A595-$B$23)/12))</x:f>
        <x:v>13.764610827441029</x:v>
      </x:c>
      <x:c r="E595" s="141" t="n">
        <x:f>IF(AND($B$22="Sim",A595=$B$23),$B$37,0)</x:f>
        <x:v>0</x:v>
      </x:c>
      <x:c r="F595" s="141" t="n">
        <x:f>IF(AND($B$22="Sim",A595=$B$24),$B$27,0)</x:f>
        <x:v>0</x:v>
      </x:c>
      <x:c r="G595" s="141" t="n">
        <x:f>IF(AND($B$22="Sim",A595=$B$23),$B$35,0)</x:f>
        <x:v>0</x:v>
      </x:c>
      <x:c r="H595" s="141" t="n">
        <x:f>IF(AND($B$22="Sim",A595=$B$23),$B$36,0)</x:f>
        <x:v>0</x:v>
      </x:c>
      <x:c r="I595" s="141" t="n">
        <x:f>IF(OR($B$22&lt;&gt;"Sim",A595&gt;=$B$23+$B$31-1),0,(I596+C596)/(1+$B$9))</x:f>
        <x:v>0</x:v>
      </x:c>
      <x:c r="J595" s="140" t="str">
        <x:f>IF($B$22&lt;&gt;"Sim","Desativada",IF(A595&lt;$B$23,"Antes da compra",IF(A595&lt;$B$23+$B$31,"Parcelas restantes","Encerrado")))</x:f>
        <x:v>Encerrado</x:v>
      </x:c>
      <x:c r="K595" s="141" t="n">
        <x:f>IF(C595&gt;0,C595/(1+$B$9)^A595,0)</x:f>
        <x:v>0</x:v>
      </x:c>
    </x:row>
    <x:row r="596">
      <x:c r="A596" s="142" t="n">
        <x:v>542</x:v>
      </x:c>
      <x:c r="B596" s="179" t="n">
        <x:f>EDATE($B$5,A596-1)</x:f>
        <x:v>63006</x:v>
      </x:c>
      <x:c r="C596" s="141" t="n">
        <x:f>IF(AND($B$22="Sim",A596&gt;=$B$23,A596&lt;$B$23+$B$31),$B$32*D596,0)</x:f>
        <x:v>0</x:v>
      </x:c>
      <x:c r="D596" s="180" t="n">
        <x:f>IF(A596&lt;$B$23,1,(1+$B$33)^INT((A596-$B$23)/12))</x:f>
        <x:v>13.764610827441029</x:v>
      </x:c>
      <x:c r="E596" s="141" t="n">
        <x:f>IF(AND($B$22="Sim",A596=$B$23),$B$37,0)</x:f>
        <x:v>0</x:v>
      </x:c>
      <x:c r="F596" s="141" t="n">
        <x:f>IF(AND($B$22="Sim",A596=$B$24),$B$27,0)</x:f>
        <x:v>0</x:v>
      </x:c>
      <x:c r="G596" s="141" t="n">
        <x:f>IF(AND($B$22="Sim",A596=$B$23),$B$35,0)</x:f>
        <x:v>0</x:v>
      </x:c>
      <x:c r="H596" s="141" t="n">
        <x:f>IF(AND($B$22="Sim",A596=$B$23),$B$36,0)</x:f>
        <x:v>0</x:v>
      </x:c>
      <x:c r="I596" s="141" t="n">
        <x:f>IF(OR($B$22&lt;&gt;"Sim",A596&gt;=$B$23+$B$31-1),0,(I597+C597)/(1+$B$9))</x:f>
        <x:v>0</x:v>
      </x:c>
      <x:c r="J596" s="140" t="str">
        <x:f>IF($B$22&lt;&gt;"Sim","Desativada",IF(A596&lt;$B$23,"Antes da compra",IF(A596&lt;$B$23+$B$31,"Parcelas restantes","Encerrado")))</x:f>
        <x:v>Encerrado</x:v>
      </x:c>
      <x:c r="K596" s="141" t="n">
        <x:f>IF(C596&gt;0,C596/(1+$B$9)^A596,0)</x:f>
        <x:v>0</x:v>
      </x:c>
    </x:row>
    <x:row r="597">
      <x:c r="A597" s="142" t="n">
        <x:v>543</x:v>
      </x:c>
      <x:c r="B597" s="179" t="n">
        <x:f>EDATE($B$5,A597-1)</x:f>
        <x:v>63037</x:v>
      </x:c>
      <x:c r="C597" s="141" t="n">
        <x:f>IF(AND($B$22="Sim",A597&gt;=$B$23,A597&lt;$B$23+$B$31),$B$32*D597,0)</x:f>
        <x:v>0</x:v>
      </x:c>
      <x:c r="D597" s="180" t="n">
        <x:f>IF(A597&lt;$B$23,1,(1+$B$33)^INT((A597-$B$23)/12))</x:f>
        <x:v>13.764610827441029</x:v>
      </x:c>
      <x:c r="E597" s="141" t="n">
        <x:f>IF(AND($B$22="Sim",A597=$B$23),$B$37,0)</x:f>
        <x:v>0</x:v>
      </x:c>
      <x:c r="F597" s="141" t="n">
        <x:f>IF(AND($B$22="Sim",A597=$B$24),$B$27,0)</x:f>
        <x:v>0</x:v>
      </x:c>
      <x:c r="G597" s="141" t="n">
        <x:f>IF(AND($B$22="Sim",A597=$B$23),$B$35,0)</x:f>
        <x:v>0</x:v>
      </x:c>
      <x:c r="H597" s="141" t="n">
        <x:f>IF(AND($B$22="Sim",A597=$B$23),$B$36,0)</x:f>
        <x:v>0</x:v>
      </x:c>
      <x:c r="I597" s="141" t="n">
        <x:f>IF(OR($B$22&lt;&gt;"Sim",A597&gt;=$B$23+$B$31-1),0,(I598+C598)/(1+$B$9))</x:f>
        <x:v>0</x:v>
      </x:c>
      <x:c r="J597" s="140" t="str">
        <x:f>IF($B$22&lt;&gt;"Sim","Desativada",IF(A597&lt;$B$23,"Antes da compra",IF(A597&lt;$B$23+$B$31,"Parcelas restantes","Encerrado")))</x:f>
        <x:v>Encerrado</x:v>
      </x:c>
      <x:c r="K597" s="141" t="n">
        <x:f>IF(C597&gt;0,C597/(1+$B$9)^A597,0)</x:f>
        <x:v>0</x:v>
      </x:c>
    </x:row>
    <x:row r="598">
      <x:c r="A598" s="142" t="n">
        <x:v>544</x:v>
      </x:c>
      <x:c r="B598" s="179" t="n">
        <x:f>EDATE($B$5,A598-1)</x:f>
        <x:v>63068</x:v>
      </x:c>
      <x:c r="C598" s="141" t="n">
        <x:f>IF(AND($B$22="Sim",A598&gt;=$B$23,A598&lt;$B$23+$B$31),$B$32*D598,0)</x:f>
        <x:v>0</x:v>
      </x:c>
      <x:c r="D598" s="180" t="n">
        <x:f>IF(A598&lt;$B$23,1,(1+$B$33)^INT((A598-$B$23)/12))</x:f>
        <x:v>13.764610827441029</x:v>
      </x:c>
      <x:c r="E598" s="141" t="n">
        <x:f>IF(AND($B$22="Sim",A598=$B$23),$B$37,0)</x:f>
        <x:v>0</x:v>
      </x:c>
      <x:c r="F598" s="141" t="n">
        <x:f>IF(AND($B$22="Sim",A598=$B$24),$B$27,0)</x:f>
        <x:v>0</x:v>
      </x:c>
      <x:c r="G598" s="141" t="n">
        <x:f>IF(AND($B$22="Sim",A598=$B$23),$B$35,0)</x:f>
        <x:v>0</x:v>
      </x:c>
      <x:c r="H598" s="141" t="n">
        <x:f>IF(AND($B$22="Sim",A598=$B$23),$B$36,0)</x:f>
        <x:v>0</x:v>
      </x:c>
      <x:c r="I598" s="141" t="n">
        <x:f>IF(OR($B$22&lt;&gt;"Sim",A598&gt;=$B$23+$B$31-1),0,(I599+C599)/(1+$B$9))</x:f>
        <x:v>0</x:v>
      </x:c>
      <x:c r="J598" s="140" t="str">
        <x:f>IF($B$22&lt;&gt;"Sim","Desativada",IF(A598&lt;$B$23,"Antes da compra",IF(A598&lt;$B$23+$B$31,"Parcelas restantes","Encerrado")))</x:f>
        <x:v>Encerrado</x:v>
      </x:c>
      <x:c r="K598" s="141" t="n">
        <x:f>IF(C598&gt;0,C598/(1+$B$9)^A598,0)</x:f>
        <x:v>0</x:v>
      </x:c>
    </x:row>
    <x:row r="599">
      <x:c r="A599" s="142" t="n">
        <x:v>545</x:v>
      </x:c>
      <x:c r="B599" s="179" t="n">
        <x:f>EDATE($B$5,A599-1)</x:f>
        <x:v>63098</x:v>
      </x:c>
      <x:c r="C599" s="141" t="n">
        <x:f>IF(AND($B$22="Sim",A599&gt;=$B$23,A599&lt;$B$23+$B$31),$B$32*D599,0)</x:f>
        <x:v>0</x:v>
      </x:c>
      <x:c r="D599" s="180" t="n">
        <x:f>IF(A599&lt;$B$23,1,(1+$B$33)^INT((A599-$B$23)/12))</x:f>
        <x:v>13.764610827441029</x:v>
      </x:c>
      <x:c r="E599" s="141" t="n">
        <x:f>IF(AND($B$22="Sim",A599=$B$23),$B$37,0)</x:f>
        <x:v>0</x:v>
      </x:c>
      <x:c r="F599" s="141" t="n">
        <x:f>IF(AND($B$22="Sim",A599=$B$24),$B$27,0)</x:f>
        <x:v>0</x:v>
      </x:c>
      <x:c r="G599" s="141" t="n">
        <x:f>IF(AND($B$22="Sim",A599=$B$23),$B$35,0)</x:f>
        <x:v>0</x:v>
      </x:c>
      <x:c r="H599" s="141" t="n">
        <x:f>IF(AND($B$22="Sim",A599=$B$23),$B$36,0)</x:f>
        <x:v>0</x:v>
      </x:c>
      <x:c r="I599" s="141" t="n">
        <x:f>IF(OR($B$22&lt;&gt;"Sim",A599&gt;=$B$23+$B$31-1),0,(I600+C600)/(1+$B$9))</x:f>
        <x:v>0</x:v>
      </x:c>
      <x:c r="J599" s="140" t="str">
        <x:f>IF($B$22&lt;&gt;"Sim","Desativada",IF(A599&lt;$B$23,"Antes da compra",IF(A599&lt;$B$23+$B$31,"Parcelas restantes","Encerrado")))</x:f>
        <x:v>Encerrado</x:v>
      </x:c>
      <x:c r="K599" s="141" t="n">
        <x:f>IF(C599&gt;0,C599/(1+$B$9)^A599,0)</x:f>
        <x:v>0</x:v>
      </x:c>
    </x:row>
    <x:row r="600">
      <x:c r="A600" s="142" t="n">
        <x:v>546</x:v>
      </x:c>
      <x:c r="B600" s="179" t="n">
        <x:f>EDATE($B$5,A600-1)</x:f>
        <x:v>63129</x:v>
      </x:c>
      <x:c r="C600" s="141" t="n">
        <x:f>IF(AND($B$22="Sim",A600&gt;=$B$23,A600&lt;$B$23+$B$31),$B$32*D600,0)</x:f>
        <x:v>0</x:v>
      </x:c>
      <x:c r="D600" s="180" t="n">
        <x:f>IF(A600&lt;$B$23,1,(1+$B$33)^INT((A600-$B$23)/12))</x:f>
        <x:v>13.764610827441029</x:v>
      </x:c>
      <x:c r="E600" s="141" t="n">
        <x:f>IF(AND($B$22="Sim",A600=$B$23),$B$37,0)</x:f>
        <x:v>0</x:v>
      </x:c>
      <x:c r="F600" s="141" t="n">
        <x:f>IF(AND($B$22="Sim",A600=$B$24),$B$27,0)</x:f>
        <x:v>0</x:v>
      </x:c>
      <x:c r="G600" s="141" t="n">
        <x:f>IF(AND($B$22="Sim",A600=$B$23),$B$35,0)</x:f>
        <x:v>0</x:v>
      </x:c>
      <x:c r="H600" s="141" t="n">
        <x:f>IF(AND($B$22="Sim",A600=$B$23),$B$36,0)</x:f>
        <x:v>0</x:v>
      </x:c>
      <x:c r="I600" s="141" t="n">
        <x:f>IF(OR($B$22&lt;&gt;"Sim",A600&gt;=$B$23+$B$31-1),0,(I601+C601)/(1+$B$9))</x:f>
        <x:v>0</x:v>
      </x:c>
      <x:c r="J600" s="140" t="str">
        <x:f>IF($B$22&lt;&gt;"Sim","Desativada",IF(A600&lt;$B$23,"Antes da compra",IF(A600&lt;$B$23+$B$31,"Parcelas restantes","Encerrado")))</x:f>
        <x:v>Encerrado</x:v>
      </x:c>
      <x:c r="K600" s="141" t="n">
        <x:f>IF(C600&gt;0,C600/(1+$B$9)^A600,0)</x:f>
        <x:v>0</x:v>
      </x:c>
    </x:row>
    <x:row r="601">
      <x:c r="A601" s="142" t="n">
        <x:v>547</x:v>
      </x:c>
      <x:c r="B601" s="179" t="n">
        <x:f>EDATE($B$5,A601-1)</x:f>
        <x:v>63159</x:v>
      </x:c>
      <x:c r="C601" s="141" t="n">
        <x:f>IF(AND($B$22="Sim",A601&gt;=$B$23,A601&lt;$B$23+$B$31),$B$32*D601,0)</x:f>
        <x:v>0</x:v>
      </x:c>
      <x:c r="D601" s="180" t="n">
        <x:f>IF(A601&lt;$B$23,1,(1+$B$33)^INT((A601-$B$23)/12))</x:f>
        <x:v>13.764610827441029</x:v>
      </x:c>
      <x:c r="E601" s="141" t="n">
        <x:f>IF(AND($B$22="Sim",A601=$B$23),$B$37,0)</x:f>
        <x:v>0</x:v>
      </x:c>
      <x:c r="F601" s="141" t="n">
        <x:f>IF(AND($B$22="Sim",A601=$B$24),$B$27,0)</x:f>
        <x:v>0</x:v>
      </x:c>
      <x:c r="G601" s="141" t="n">
        <x:f>IF(AND($B$22="Sim",A601=$B$23),$B$35,0)</x:f>
        <x:v>0</x:v>
      </x:c>
      <x:c r="H601" s="141" t="n">
        <x:f>IF(AND($B$22="Sim",A601=$B$23),$B$36,0)</x:f>
        <x:v>0</x:v>
      </x:c>
      <x:c r="I601" s="141" t="n">
        <x:f>IF(OR($B$22&lt;&gt;"Sim",A601&gt;=$B$23+$B$31-1),0,(I602+C602)/(1+$B$9))</x:f>
        <x:v>0</x:v>
      </x:c>
      <x:c r="J601" s="140" t="str">
        <x:f>IF($B$22&lt;&gt;"Sim","Desativada",IF(A601&lt;$B$23,"Antes da compra",IF(A601&lt;$B$23+$B$31,"Parcelas restantes","Encerrado")))</x:f>
        <x:v>Encerrado</x:v>
      </x:c>
      <x:c r="K601" s="141" t="n">
        <x:f>IF(C601&gt;0,C601/(1+$B$9)^A601,0)</x:f>
        <x:v>0</x:v>
      </x:c>
    </x:row>
    <x:row r="602">
      <x:c r="A602" s="142" t="n">
        <x:v>548</x:v>
      </x:c>
      <x:c r="B602" s="179" t="n">
        <x:f>EDATE($B$5,A602-1)</x:f>
        <x:v>63190</x:v>
      </x:c>
      <x:c r="C602" s="141" t="n">
        <x:f>IF(AND($B$22="Sim",A602&gt;=$B$23,A602&lt;$B$23+$B$31),$B$32*D602,0)</x:f>
        <x:v>0</x:v>
      </x:c>
      <x:c r="D602" s="180" t="n">
        <x:f>IF(A602&lt;$B$23,1,(1+$B$33)^INT((A602-$B$23)/12))</x:f>
        <x:v>13.764610827441029</x:v>
      </x:c>
      <x:c r="E602" s="141" t="n">
        <x:f>IF(AND($B$22="Sim",A602=$B$23),$B$37,0)</x:f>
        <x:v>0</x:v>
      </x:c>
      <x:c r="F602" s="141" t="n">
        <x:f>IF(AND($B$22="Sim",A602=$B$24),$B$27,0)</x:f>
        <x:v>0</x:v>
      </x:c>
      <x:c r="G602" s="141" t="n">
        <x:f>IF(AND($B$22="Sim",A602=$B$23),$B$35,0)</x:f>
        <x:v>0</x:v>
      </x:c>
      <x:c r="H602" s="141" t="n">
        <x:f>IF(AND($B$22="Sim",A602=$B$23),$B$36,0)</x:f>
        <x:v>0</x:v>
      </x:c>
      <x:c r="I602" s="141" t="n">
        <x:f>IF(OR($B$22&lt;&gt;"Sim",A602&gt;=$B$23+$B$31-1),0,(I603+C603)/(1+$B$9))</x:f>
        <x:v>0</x:v>
      </x:c>
      <x:c r="J602" s="140" t="str">
        <x:f>IF($B$22&lt;&gt;"Sim","Desativada",IF(A602&lt;$B$23,"Antes da compra",IF(A602&lt;$B$23+$B$31,"Parcelas restantes","Encerrado")))</x:f>
        <x:v>Encerrado</x:v>
      </x:c>
      <x:c r="K602" s="141" t="n">
        <x:f>IF(C602&gt;0,C602/(1+$B$9)^A602,0)</x:f>
        <x:v>0</x:v>
      </x:c>
    </x:row>
    <x:row r="603">
      <x:c r="A603" s="142" t="n">
        <x:v>549</x:v>
      </x:c>
      <x:c r="B603" s="179" t="n">
        <x:f>EDATE($B$5,A603-1)</x:f>
        <x:v>63221</x:v>
      </x:c>
      <x:c r="C603" s="141" t="n">
        <x:f>IF(AND($B$22="Sim",A603&gt;=$B$23,A603&lt;$B$23+$B$31),$B$32*D603,0)</x:f>
        <x:v>0</x:v>
      </x:c>
      <x:c r="D603" s="180" t="n">
        <x:f>IF(A603&lt;$B$23,1,(1+$B$33)^INT((A603-$B$23)/12))</x:f>
        <x:v>13.764610827441029</x:v>
      </x:c>
      <x:c r="E603" s="141" t="n">
        <x:f>IF(AND($B$22="Sim",A603=$B$23),$B$37,0)</x:f>
        <x:v>0</x:v>
      </x:c>
      <x:c r="F603" s="141" t="n">
        <x:f>IF(AND($B$22="Sim",A603=$B$24),$B$27,0)</x:f>
        <x:v>0</x:v>
      </x:c>
      <x:c r="G603" s="141" t="n">
        <x:f>IF(AND($B$22="Sim",A603=$B$23),$B$35,0)</x:f>
        <x:v>0</x:v>
      </x:c>
      <x:c r="H603" s="141" t="n">
        <x:f>IF(AND($B$22="Sim",A603=$B$23),$B$36,0)</x:f>
        <x:v>0</x:v>
      </x:c>
      <x:c r="I603" s="141" t="n">
        <x:f>IF(OR($B$22&lt;&gt;"Sim",A603&gt;=$B$23+$B$31-1),0,(I604+C604)/(1+$B$9))</x:f>
        <x:v>0</x:v>
      </x:c>
      <x:c r="J603" s="140" t="str">
        <x:f>IF($B$22&lt;&gt;"Sim","Desativada",IF(A603&lt;$B$23,"Antes da compra",IF(A603&lt;$B$23+$B$31,"Parcelas restantes","Encerrado")))</x:f>
        <x:v>Encerrado</x:v>
      </x:c>
      <x:c r="K603" s="141" t="n">
        <x:f>IF(C603&gt;0,C603/(1+$B$9)^A603,0)</x:f>
        <x:v>0</x:v>
      </x:c>
    </x:row>
    <x:row r="604">
      <x:c r="A604" s="142" t="n">
        <x:v>550</x:v>
      </x:c>
      <x:c r="B604" s="179" t="n">
        <x:f>EDATE($B$5,A604-1)</x:f>
        <x:v>63249</x:v>
      </x:c>
      <x:c r="C604" s="141" t="n">
        <x:f>IF(AND($B$22="Sim",A604&gt;=$B$23,A604&lt;$B$23+$B$31),$B$32*D604,0)</x:f>
        <x:v>0</x:v>
      </x:c>
      <x:c r="D604" s="180" t="n">
        <x:f>IF(A604&lt;$B$23,1,(1+$B$33)^INT((A604-$B$23)/12))</x:f>
        <x:v>13.764610827441029</x:v>
      </x:c>
      <x:c r="E604" s="141" t="n">
        <x:f>IF(AND($B$22="Sim",A604=$B$23),$B$37,0)</x:f>
        <x:v>0</x:v>
      </x:c>
      <x:c r="F604" s="141" t="n">
        <x:f>IF(AND($B$22="Sim",A604=$B$24),$B$27,0)</x:f>
        <x:v>0</x:v>
      </x:c>
      <x:c r="G604" s="141" t="n">
        <x:f>IF(AND($B$22="Sim",A604=$B$23),$B$35,0)</x:f>
        <x:v>0</x:v>
      </x:c>
      <x:c r="H604" s="141" t="n">
        <x:f>IF(AND($B$22="Sim",A604=$B$23),$B$36,0)</x:f>
        <x:v>0</x:v>
      </x:c>
      <x:c r="I604" s="141" t="n">
        <x:f>IF(OR($B$22&lt;&gt;"Sim",A604&gt;=$B$23+$B$31-1),0,(I605+C605)/(1+$B$9))</x:f>
        <x:v>0</x:v>
      </x:c>
      <x:c r="J604" s="140" t="str">
        <x:f>IF($B$22&lt;&gt;"Sim","Desativada",IF(A604&lt;$B$23,"Antes da compra",IF(A604&lt;$B$23+$B$31,"Parcelas restantes","Encerrado")))</x:f>
        <x:v>Encerrado</x:v>
      </x:c>
      <x:c r="K604" s="141" t="n">
        <x:f>IF(C604&gt;0,C604/(1+$B$9)^A604,0)</x:f>
        <x:v>0</x:v>
      </x:c>
    </x:row>
    <x:row r="605">
      <x:c r="A605" s="142" t="n">
        <x:v>551</x:v>
      </x:c>
      <x:c r="B605" s="179" t="n">
        <x:f>EDATE($B$5,A605-1)</x:f>
        <x:v>63280</x:v>
      </x:c>
      <x:c r="C605" s="141" t="n">
        <x:f>IF(AND($B$22="Sim",A605&gt;=$B$23,A605&lt;$B$23+$B$31),$B$32*D605,0)</x:f>
        <x:v>0</x:v>
      </x:c>
      <x:c r="D605" s="180" t="n">
        <x:f>IF(A605&lt;$B$23,1,(1+$B$33)^INT((A605-$B$23)/12))</x:f>
        <x:v>13.764610827441029</x:v>
      </x:c>
      <x:c r="E605" s="141" t="n">
        <x:f>IF(AND($B$22="Sim",A605=$B$23),$B$37,0)</x:f>
        <x:v>0</x:v>
      </x:c>
      <x:c r="F605" s="141" t="n">
        <x:f>IF(AND($B$22="Sim",A605=$B$24),$B$27,0)</x:f>
        <x:v>0</x:v>
      </x:c>
      <x:c r="G605" s="141" t="n">
        <x:f>IF(AND($B$22="Sim",A605=$B$23),$B$35,0)</x:f>
        <x:v>0</x:v>
      </x:c>
      <x:c r="H605" s="141" t="n">
        <x:f>IF(AND($B$22="Sim",A605=$B$23),$B$36,0)</x:f>
        <x:v>0</x:v>
      </x:c>
      <x:c r="I605" s="141" t="n">
        <x:f>IF(OR($B$22&lt;&gt;"Sim",A605&gt;=$B$23+$B$31-1),0,(I606+C606)/(1+$B$9))</x:f>
        <x:v>0</x:v>
      </x:c>
      <x:c r="J605" s="140" t="str">
        <x:f>IF($B$22&lt;&gt;"Sim","Desativada",IF(A605&lt;$B$23,"Antes da compra",IF(A605&lt;$B$23+$B$31,"Parcelas restantes","Encerrado")))</x:f>
        <x:v>Encerrado</x:v>
      </x:c>
      <x:c r="K605" s="141" t="n">
        <x:f>IF(C605&gt;0,C605/(1+$B$9)^A605,0)</x:f>
        <x:v>0</x:v>
      </x:c>
    </x:row>
    <x:row r="606">
      <x:c r="A606" s="142" t="n">
        <x:v>552</x:v>
      </x:c>
      <x:c r="B606" s="179" t="n">
        <x:f>EDATE($B$5,A606-1)</x:f>
        <x:v>63310</x:v>
      </x:c>
      <x:c r="C606" s="141" t="n">
        <x:f>IF(AND($B$22="Sim",A606&gt;=$B$23,A606&lt;$B$23+$B$31),$B$32*D606,0)</x:f>
        <x:v>0</x:v>
      </x:c>
      <x:c r="D606" s="180" t="n">
        <x:f>IF(A606&lt;$B$23,1,(1+$B$33)^INT((A606-$B$23)/12))</x:f>
        <x:v>13.764610827441029</x:v>
      </x:c>
      <x:c r="E606" s="141" t="n">
        <x:f>IF(AND($B$22="Sim",A606=$B$23),$B$37,0)</x:f>
        <x:v>0</x:v>
      </x:c>
      <x:c r="F606" s="141" t="n">
        <x:f>IF(AND($B$22="Sim",A606=$B$24),$B$27,0)</x:f>
        <x:v>0</x:v>
      </x:c>
      <x:c r="G606" s="141" t="n">
        <x:f>IF(AND($B$22="Sim",A606=$B$23),$B$35,0)</x:f>
        <x:v>0</x:v>
      </x:c>
      <x:c r="H606" s="141" t="n">
        <x:f>IF(AND($B$22="Sim",A606=$B$23),$B$36,0)</x:f>
        <x:v>0</x:v>
      </x:c>
      <x:c r="I606" s="141" t="n">
        <x:f>IF(OR($B$22&lt;&gt;"Sim",A606&gt;=$B$23+$B$31-1),0,(I607+C607)/(1+$B$9))</x:f>
        <x:v>0</x:v>
      </x:c>
      <x:c r="J606" s="140" t="str">
        <x:f>IF($B$22&lt;&gt;"Sim","Desativada",IF(A606&lt;$B$23,"Antes da compra",IF(A606&lt;$B$23+$B$31,"Parcelas restantes","Encerrado")))</x:f>
        <x:v>Encerrado</x:v>
      </x:c>
      <x:c r="K606" s="141" t="n">
        <x:f>IF(C606&gt;0,C606/(1+$B$9)^A606,0)</x:f>
        <x:v>0</x:v>
      </x:c>
    </x:row>
    <x:row r="607">
      <x:c r="A607" s="142" t="n">
        <x:v>553</x:v>
      </x:c>
      <x:c r="B607" s="179" t="n">
        <x:f>EDATE($B$5,A607-1)</x:f>
        <x:v>63341</x:v>
      </x:c>
      <x:c r="C607" s="141" t="n">
        <x:f>IF(AND($B$22="Sim",A607&gt;=$B$23,A607&lt;$B$23+$B$31),$B$32*D607,0)</x:f>
        <x:v>0</x:v>
      </x:c>
      <x:c r="D607" s="180" t="n">
        <x:f>IF(A607&lt;$B$23,1,(1+$B$33)^INT((A607-$B$23)/12))</x:f>
        <x:v>14.59048747708749</x:v>
      </x:c>
      <x:c r="E607" s="141" t="n">
        <x:f>IF(AND($B$22="Sim",A607=$B$23),$B$37,0)</x:f>
        <x:v>0</x:v>
      </x:c>
      <x:c r="F607" s="141" t="n">
        <x:f>IF(AND($B$22="Sim",A607=$B$24),$B$27,0)</x:f>
        <x:v>0</x:v>
      </x:c>
      <x:c r="G607" s="141" t="n">
        <x:f>IF(AND($B$22="Sim",A607=$B$23),$B$35,0)</x:f>
        <x:v>0</x:v>
      </x:c>
      <x:c r="H607" s="141" t="n">
        <x:f>IF(AND($B$22="Sim",A607=$B$23),$B$36,0)</x:f>
        <x:v>0</x:v>
      </x:c>
      <x:c r="I607" s="141" t="n">
        <x:f>IF(OR($B$22&lt;&gt;"Sim",A607&gt;=$B$23+$B$31-1),0,(I608+C608)/(1+$B$9))</x:f>
        <x:v>0</x:v>
      </x:c>
      <x:c r="J607" s="140" t="str">
        <x:f>IF($B$22&lt;&gt;"Sim","Desativada",IF(A607&lt;$B$23,"Antes da compra",IF(A607&lt;$B$23+$B$31,"Parcelas restantes","Encerrado")))</x:f>
        <x:v>Encerrado</x:v>
      </x:c>
      <x:c r="K607" s="141" t="n">
        <x:f>IF(C607&gt;0,C607/(1+$B$9)^A607,0)</x:f>
        <x:v>0</x:v>
      </x:c>
    </x:row>
    <x:row r="608">
      <x:c r="A608" s="142" t="n">
        <x:v>554</x:v>
      </x:c>
      <x:c r="B608" s="179" t="n">
        <x:f>EDATE($B$5,A608-1)</x:f>
        <x:v>63371</x:v>
      </x:c>
      <x:c r="C608" s="141" t="n">
        <x:f>IF(AND($B$22="Sim",A608&gt;=$B$23,A608&lt;$B$23+$B$31),$B$32*D608,0)</x:f>
        <x:v>0</x:v>
      </x:c>
      <x:c r="D608" s="180" t="n">
        <x:f>IF(A608&lt;$B$23,1,(1+$B$33)^INT((A608-$B$23)/12))</x:f>
        <x:v>14.59048747708749</x:v>
      </x:c>
      <x:c r="E608" s="141" t="n">
        <x:f>IF(AND($B$22="Sim",A608=$B$23),$B$37,0)</x:f>
        <x:v>0</x:v>
      </x:c>
      <x:c r="F608" s="141" t="n">
        <x:f>IF(AND($B$22="Sim",A608=$B$24),$B$27,0)</x:f>
        <x:v>0</x:v>
      </x:c>
      <x:c r="G608" s="141" t="n">
        <x:f>IF(AND($B$22="Sim",A608=$B$23),$B$35,0)</x:f>
        <x:v>0</x:v>
      </x:c>
      <x:c r="H608" s="141" t="n">
        <x:f>IF(AND($B$22="Sim",A608=$B$23),$B$36,0)</x:f>
        <x:v>0</x:v>
      </x:c>
      <x:c r="I608" s="141" t="n">
        <x:f>IF(OR($B$22&lt;&gt;"Sim",A608&gt;=$B$23+$B$31-1),0,(I609+C609)/(1+$B$9))</x:f>
        <x:v>0</x:v>
      </x:c>
      <x:c r="J608" s="140" t="str">
        <x:f>IF($B$22&lt;&gt;"Sim","Desativada",IF(A608&lt;$B$23,"Antes da compra",IF(A608&lt;$B$23+$B$31,"Parcelas restantes","Encerrado")))</x:f>
        <x:v>Encerrado</x:v>
      </x:c>
      <x:c r="K608" s="141" t="n">
        <x:f>IF(C608&gt;0,C608/(1+$B$9)^A608,0)</x:f>
        <x:v>0</x:v>
      </x:c>
    </x:row>
    <x:row r="609">
      <x:c r="A609" s="142" t="n">
        <x:v>555</x:v>
      </x:c>
      <x:c r="B609" s="179" t="n">
        <x:f>EDATE($B$5,A609-1)</x:f>
        <x:v>63402</x:v>
      </x:c>
      <x:c r="C609" s="141" t="n">
        <x:f>IF(AND($B$22="Sim",A609&gt;=$B$23,A609&lt;$B$23+$B$31),$B$32*D609,0)</x:f>
        <x:v>0</x:v>
      </x:c>
      <x:c r="D609" s="180" t="n">
        <x:f>IF(A609&lt;$B$23,1,(1+$B$33)^INT((A609-$B$23)/12))</x:f>
        <x:v>14.59048747708749</x:v>
      </x:c>
      <x:c r="E609" s="141" t="n">
        <x:f>IF(AND($B$22="Sim",A609=$B$23),$B$37,0)</x:f>
        <x:v>0</x:v>
      </x:c>
      <x:c r="F609" s="141" t="n">
        <x:f>IF(AND($B$22="Sim",A609=$B$24),$B$27,0)</x:f>
        <x:v>0</x:v>
      </x:c>
      <x:c r="G609" s="141" t="n">
        <x:f>IF(AND($B$22="Sim",A609=$B$23),$B$35,0)</x:f>
        <x:v>0</x:v>
      </x:c>
      <x:c r="H609" s="141" t="n">
        <x:f>IF(AND($B$22="Sim",A609=$B$23),$B$36,0)</x:f>
        <x:v>0</x:v>
      </x:c>
      <x:c r="I609" s="141" t="n">
        <x:f>IF(OR($B$22&lt;&gt;"Sim",A609&gt;=$B$23+$B$31-1),0,(I610+C610)/(1+$B$9))</x:f>
        <x:v>0</x:v>
      </x:c>
      <x:c r="J609" s="140" t="str">
        <x:f>IF($B$22&lt;&gt;"Sim","Desativada",IF(A609&lt;$B$23,"Antes da compra",IF(A609&lt;$B$23+$B$31,"Parcelas restantes","Encerrado")))</x:f>
        <x:v>Encerrado</x:v>
      </x:c>
      <x:c r="K609" s="141" t="n">
        <x:f>IF(C609&gt;0,C609/(1+$B$9)^A609,0)</x:f>
        <x:v>0</x:v>
      </x:c>
    </x:row>
    <x:row r="610">
      <x:c r="A610" s="142" t="n">
        <x:v>556</x:v>
      </x:c>
      <x:c r="B610" s="179" t="n">
        <x:f>EDATE($B$5,A610-1)</x:f>
        <x:v>63433</x:v>
      </x:c>
      <x:c r="C610" s="141" t="n">
        <x:f>IF(AND($B$22="Sim",A610&gt;=$B$23,A610&lt;$B$23+$B$31),$B$32*D610,0)</x:f>
        <x:v>0</x:v>
      </x:c>
      <x:c r="D610" s="180" t="n">
        <x:f>IF(A610&lt;$B$23,1,(1+$B$33)^INT((A610-$B$23)/12))</x:f>
        <x:v>14.59048747708749</x:v>
      </x:c>
      <x:c r="E610" s="141" t="n">
        <x:f>IF(AND($B$22="Sim",A610=$B$23),$B$37,0)</x:f>
        <x:v>0</x:v>
      </x:c>
      <x:c r="F610" s="141" t="n">
        <x:f>IF(AND($B$22="Sim",A610=$B$24),$B$27,0)</x:f>
        <x:v>0</x:v>
      </x:c>
      <x:c r="G610" s="141" t="n">
        <x:f>IF(AND($B$22="Sim",A610=$B$23),$B$35,0)</x:f>
        <x:v>0</x:v>
      </x:c>
      <x:c r="H610" s="141" t="n">
        <x:f>IF(AND($B$22="Sim",A610=$B$23),$B$36,0)</x:f>
        <x:v>0</x:v>
      </x:c>
      <x:c r="I610" s="141" t="n">
        <x:f>IF(OR($B$22&lt;&gt;"Sim",A610&gt;=$B$23+$B$31-1),0,(I611+C611)/(1+$B$9))</x:f>
        <x:v>0</x:v>
      </x:c>
      <x:c r="J610" s="140" t="str">
        <x:f>IF($B$22&lt;&gt;"Sim","Desativada",IF(A610&lt;$B$23,"Antes da compra",IF(A610&lt;$B$23+$B$31,"Parcelas restantes","Encerrado")))</x:f>
        <x:v>Encerrado</x:v>
      </x:c>
      <x:c r="K610" s="141" t="n">
        <x:f>IF(C610&gt;0,C610/(1+$B$9)^A610,0)</x:f>
        <x:v>0</x:v>
      </x:c>
    </x:row>
    <x:row r="611">
      <x:c r="A611" s="142" t="n">
        <x:v>557</x:v>
      </x:c>
      <x:c r="B611" s="179" t="n">
        <x:f>EDATE($B$5,A611-1)</x:f>
        <x:v>63463</x:v>
      </x:c>
      <x:c r="C611" s="141" t="n">
        <x:f>IF(AND($B$22="Sim",A611&gt;=$B$23,A611&lt;$B$23+$B$31),$B$32*D611,0)</x:f>
        <x:v>0</x:v>
      </x:c>
      <x:c r="D611" s="180" t="n">
        <x:f>IF(A611&lt;$B$23,1,(1+$B$33)^INT((A611-$B$23)/12))</x:f>
        <x:v>14.59048747708749</x:v>
      </x:c>
      <x:c r="E611" s="141" t="n">
        <x:f>IF(AND($B$22="Sim",A611=$B$23),$B$37,0)</x:f>
        <x:v>0</x:v>
      </x:c>
      <x:c r="F611" s="141" t="n">
        <x:f>IF(AND($B$22="Sim",A611=$B$24),$B$27,0)</x:f>
        <x:v>0</x:v>
      </x:c>
      <x:c r="G611" s="141" t="n">
        <x:f>IF(AND($B$22="Sim",A611=$B$23),$B$35,0)</x:f>
        <x:v>0</x:v>
      </x:c>
      <x:c r="H611" s="141" t="n">
        <x:f>IF(AND($B$22="Sim",A611=$B$23),$B$36,0)</x:f>
        <x:v>0</x:v>
      </x:c>
      <x:c r="I611" s="141" t="n">
        <x:f>IF(OR($B$22&lt;&gt;"Sim",A611&gt;=$B$23+$B$31-1),0,(I612+C612)/(1+$B$9))</x:f>
        <x:v>0</x:v>
      </x:c>
      <x:c r="J611" s="140" t="str">
        <x:f>IF($B$22&lt;&gt;"Sim","Desativada",IF(A611&lt;$B$23,"Antes da compra",IF(A611&lt;$B$23+$B$31,"Parcelas restantes","Encerrado")))</x:f>
        <x:v>Encerrado</x:v>
      </x:c>
      <x:c r="K611" s="141" t="n">
        <x:f>IF(C611&gt;0,C611/(1+$B$9)^A611,0)</x:f>
        <x:v>0</x:v>
      </x:c>
    </x:row>
    <x:row r="612">
      <x:c r="A612" s="142" t="n">
        <x:v>558</x:v>
      </x:c>
      <x:c r="B612" s="179" t="n">
        <x:f>EDATE($B$5,A612-1)</x:f>
        <x:v>63494</x:v>
      </x:c>
      <x:c r="C612" s="141" t="n">
        <x:f>IF(AND($B$22="Sim",A612&gt;=$B$23,A612&lt;$B$23+$B$31),$B$32*D612,0)</x:f>
        <x:v>0</x:v>
      </x:c>
      <x:c r="D612" s="180" t="n">
        <x:f>IF(A612&lt;$B$23,1,(1+$B$33)^INT((A612-$B$23)/12))</x:f>
        <x:v>14.59048747708749</x:v>
      </x:c>
      <x:c r="E612" s="141" t="n">
        <x:f>IF(AND($B$22="Sim",A612=$B$23),$B$37,0)</x:f>
        <x:v>0</x:v>
      </x:c>
      <x:c r="F612" s="141" t="n">
        <x:f>IF(AND($B$22="Sim",A612=$B$24),$B$27,0)</x:f>
        <x:v>0</x:v>
      </x:c>
      <x:c r="G612" s="141" t="n">
        <x:f>IF(AND($B$22="Sim",A612=$B$23),$B$35,0)</x:f>
        <x:v>0</x:v>
      </x:c>
      <x:c r="H612" s="141" t="n">
        <x:f>IF(AND($B$22="Sim",A612=$B$23),$B$36,0)</x:f>
        <x:v>0</x:v>
      </x:c>
      <x:c r="I612" s="141" t="n">
        <x:f>IF(OR($B$22&lt;&gt;"Sim",A612&gt;=$B$23+$B$31-1),0,(I613+C613)/(1+$B$9))</x:f>
        <x:v>0</x:v>
      </x:c>
      <x:c r="J612" s="140" t="str">
        <x:f>IF($B$22&lt;&gt;"Sim","Desativada",IF(A612&lt;$B$23,"Antes da compra",IF(A612&lt;$B$23+$B$31,"Parcelas restantes","Encerrado")))</x:f>
        <x:v>Encerrado</x:v>
      </x:c>
      <x:c r="K612" s="141" t="n">
        <x:f>IF(C612&gt;0,C612/(1+$B$9)^A612,0)</x:f>
        <x:v>0</x:v>
      </x:c>
    </x:row>
    <x:row r="613">
      <x:c r="A613" s="142" t="n">
        <x:v>559</x:v>
      </x:c>
      <x:c r="B613" s="179" t="n">
        <x:f>EDATE($B$5,A613-1)</x:f>
        <x:v>63524</x:v>
      </x:c>
      <x:c r="C613" s="141" t="n">
        <x:f>IF(AND($B$22="Sim",A613&gt;=$B$23,A613&lt;$B$23+$B$31),$B$32*D613,0)</x:f>
        <x:v>0</x:v>
      </x:c>
      <x:c r="D613" s="180" t="n">
        <x:f>IF(A613&lt;$B$23,1,(1+$B$33)^INT((A613-$B$23)/12))</x:f>
        <x:v>14.59048747708749</x:v>
      </x:c>
      <x:c r="E613" s="141" t="n">
        <x:f>IF(AND($B$22="Sim",A613=$B$23),$B$37,0)</x:f>
        <x:v>0</x:v>
      </x:c>
      <x:c r="F613" s="141" t="n">
        <x:f>IF(AND($B$22="Sim",A613=$B$24),$B$27,0)</x:f>
        <x:v>0</x:v>
      </x:c>
      <x:c r="G613" s="141" t="n">
        <x:f>IF(AND($B$22="Sim",A613=$B$23),$B$35,0)</x:f>
        <x:v>0</x:v>
      </x:c>
      <x:c r="H613" s="141" t="n">
        <x:f>IF(AND($B$22="Sim",A613=$B$23),$B$36,0)</x:f>
        <x:v>0</x:v>
      </x:c>
      <x:c r="I613" s="141" t="n">
        <x:f>IF(OR($B$22&lt;&gt;"Sim",A613&gt;=$B$23+$B$31-1),0,(I614+C614)/(1+$B$9))</x:f>
        <x:v>0</x:v>
      </x:c>
      <x:c r="J613" s="140" t="str">
        <x:f>IF($B$22&lt;&gt;"Sim","Desativada",IF(A613&lt;$B$23,"Antes da compra",IF(A613&lt;$B$23+$B$31,"Parcelas restantes","Encerrado")))</x:f>
        <x:v>Encerrado</x:v>
      </x:c>
      <x:c r="K613" s="141" t="n">
        <x:f>IF(C613&gt;0,C613/(1+$B$9)^A613,0)</x:f>
        <x:v>0</x:v>
      </x:c>
    </x:row>
    <x:row r="614">
      <x:c r="A614" s="142" t="n">
        <x:v>560</x:v>
      </x:c>
      <x:c r="B614" s="179" t="n">
        <x:f>EDATE($B$5,A614-1)</x:f>
        <x:v>63555</x:v>
      </x:c>
      <x:c r="C614" s="141" t="n">
        <x:f>IF(AND($B$22="Sim",A614&gt;=$B$23,A614&lt;$B$23+$B$31),$B$32*D614,0)</x:f>
        <x:v>0</x:v>
      </x:c>
      <x:c r="D614" s="180" t="n">
        <x:f>IF(A614&lt;$B$23,1,(1+$B$33)^INT((A614-$B$23)/12))</x:f>
        <x:v>14.59048747708749</x:v>
      </x:c>
      <x:c r="E614" s="141" t="n">
        <x:f>IF(AND($B$22="Sim",A614=$B$23),$B$37,0)</x:f>
        <x:v>0</x:v>
      </x:c>
      <x:c r="F614" s="141" t="n">
        <x:f>IF(AND($B$22="Sim",A614=$B$24),$B$27,0)</x:f>
        <x:v>0</x:v>
      </x:c>
      <x:c r="G614" s="141" t="n">
        <x:f>IF(AND($B$22="Sim",A614=$B$23),$B$35,0)</x:f>
        <x:v>0</x:v>
      </x:c>
      <x:c r="H614" s="141" t="n">
        <x:f>IF(AND($B$22="Sim",A614=$B$23),$B$36,0)</x:f>
        <x:v>0</x:v>
      </x:c>
      <x:c r="I614" s="141" t="n">
        <x:f>IF(OR($B$22&lt;&gt;"Sim",A614&gt;=$B$23+$B$31-1),0,(I615+C615)/(1+$B$9))</x:f>
        <x:v>0</x:v>
      </x:c>
      <x:c r="J614" s="140" t="str">
        <x:f>IF($B$22&lt;&gt;"Sim","Desativada",IF(A614&lt;$B$23,"Antes da compra",IF(A614&lt;$B$23+$B$31,"Parcelas restantes","Encerrado")))</x:f>
        <x:v>Encerrado</x:v>
      </x:c>
      <x:c r="K614" s="141" t="n">
        <x:f>IF(C614&gt;0,C614/(1+$B$9)^A614,0)</x:f>
        <x:v>0</x:v>
      </x:c>
    </x:row>
    <x:row r="615">
      <x:c r="A615" s="142" t="n">
        <x:v>561</x:v>
      </x:c>
      <x:c r="B615" s="179" t="n">
        <x:f>EDATE($B$5,A615-1)</x:f>
        <x:v>63586</x:v>
      </x:c>
      <x:c r="C615" s="141" t="n">
        <x:f>IF(AND($B$22="Sim",A615&gt;=$B$23,A615&lt;$B$23+$B$31),$B$32*D615,0)</x:f>
        <x:v>0</x:v>
      </x:c>
      <x:c r="D615" s="180" t="n">
        <x:f>IF(A615&lt;$B$23,1,(1+$B$33)^INT((A615-$B$23)/12))</x:f>
        <x:v>14.59048747708749</x:v>
      </x:c>
      <x:c r="E615" s="141" t="n">
        <x:f>IF(AND($B$22="Sim",A615=$B$23),$B$37,0)</x:f>
        <x:v>0</x:v>
      </x:c>
      <x:c r="F615" s="141" t="n">
        <x:f>IF(AND($B$22="Sim",A615=$B$24),$B$27,0)</x:f>
        <x:v>0</x:v>
      </x:c>
      <x:c r="G615" s="141" t="n">
        <x:f>IF(AND($B$22="Sim",A615=$B$23),$B$35,0)</x:f>
        <x:v>0</x:v>
      </x:c>
      <x:c r="H615" s="141" t="n">
        <x:f>IF(AND($B$22="Sim",A615=$B$23),$B$36,0)</x:f>
        <x:v>0</x:v>
      </x:c>
      <x:c r="I615" s="141" t="n">
        <x:f>IF(OR($B$22&lt;&gt;"Sim",A615&gt;=$B$23+$B$31-1),0,(I616+C616)/(1+$B$9))</x:f>
        <x:v>0</x:v>
      </x:c>
      <x:c r="J615" s="140" t="str">
        <x:f>IF($B$22&lt;&gt;"Sim","Desativada",IF(A615&lt;$B$23,"Antes da compra",IF(A615&lt;$B$23+$B$31,"Parcelas restantes","Encerrado")))</x:f>
        <x:v>Encerrado</x:v>
      </x:c>
      <x:c r="K615" s="141" t="n">
        <x:f>IF(C615&gt;0,C615/(1+$B$9)^A615,0)</x:f>
        <x:v>0</x:v>
      </x:c>
    </x:row>
    <x:row r="616">
      <x:c r="A616" s="142" t="n">
        <x:v>562</x:v>
      </x:c>
      <x:c r="B616" s="179" t="n">
        <x:f>EDATE($B$5,A616-1)</x:f>
        <x:v>63614</x:v>
      </x:c>
      <x:c r="C616" s="141" t="n">
        <x:f>IF(AND($B$22="Sim",A616&gt;=$B$23,A616&lt;$B$23+$B$31),$B$32*D616,0)</x:f>
        <x:v>0</x:v>
      </x:c>
      <x:c r="D616" s="180" t="n">
        <x:f>IF(A616&lt;$B$23,1,(1+$B$33)^INT((A616-$B$23)/12))</x:f>
        <x:v>14.59048747708749</x:v>
      </x:c>
      <x:c r="E616" s="141" t="n">
        <x:f>IF(AND($B$22="Sim",A616=$B$23),$B$37,0)</x:f>
        <x:v>0</x:v>
      </x:c>
      <x:c r="F616" s="141" t="n">
        <x:f>IF(AND($B$22="Sim",A616=$B$24),$B$27,0)</x:f>
        <x:v>0</x:v>
      </x:c>
      <x:c r="G616" s="141" t="n">
        <x:f>IF(AND($B$22="Sim",A616=$B$23),$B$35,0)</x:f>
        <x:v>0</x:v>
      </x:c>
      <x:c r="H616" s="141" t="n">
        <x:f>IF(AND($B$22="Sim",A616=$B$23),$B$36,0)</x:f>
        <x:v>0</x:v>
      </x:c>
      <x:c r="I616" s="141" t="n">
        <x:f>IF(OR($B$22&lt;&gt;"Sim",A616&gt;=$B$23+$B$31-1),0,(I617+C617)/(1+$B$9))</x:f>
        <x:v>0</x:v>
      </x:c>
      <x:c r="J616" s="140" t="str">
        <x:f>IF($B$22&lt;&gt;"Sim","Desativada",IF(A616&lt;$B$23,"Antes da compra",IF(A616&lt;$B$23+$B$31,"Parcelas restantes","Encerrado")))</x:f>
        <x:v>Encerrado</x:v>
      </x:c>
      <x:c r="K616" s="141" t="n">
        <x:f>IF(C616&gt;0,C616/(1+$B$9)^A616,0)</x:f>
        <x:v>0</x:v>
      </x:c>
    </x:row>
    <x:row r="617">
      <x:c r="A617" s="142" t="n">
        <x:v>563</x:v>
      </x:c>
      <x:c r="B617" s="179" t="n">
        <x:f>EDATE($B$5,A617-1)</x:f>
        <x:v>63645</x:v>
      </x:c>
      <x:c r="C617" s="141" t="n">
        <x:f>IF(AND($B$22="Sim",A617&gt;=$B$23,A617&lt;$B$23+$B$31),$B$32*D617,0)</x:f>
        <x:v>0</x:v>
      </x:c>
      <x:c r="D617" s="180" t="n">
        <x:f>IF(A617&lt;$B$23,1,(1+$B$33)^INT((A617-$B$23)/12))</x:f>
        <x:v>14.59048747708749</x:v>
      </x:c>
      <x:c r="E617" s="141" t="n">
        <x:f>IF(AND($B$22="Sim",A617=$B$23),$B$37,0)</x:f>
        <x:v>0</x:v>
      </x:c>
      <x:c r="F617" s="141" t="n">
        <x:f>IF(AND($B$22="Sim",A617=$B$24),$B$27,0)</x:f>
        <x:v>0</x:v>
      </x:c>
      <x:c r="G617" s="141" t="n">
        <x:f>IF(AND($B$22="Sim",A617=$B$23),$B$35,0)</x:f>
        <x:v>0</x:v>
      </x:c>
      <x:c r="H617" s="141" t="n">
        <x:f>IF(AND($B$22="Sim",A617=$B$23),$B$36,0)</x:f>
        <x:v>0</x:v>
      </x:c>
      <x:c r="I617" s="141" t="n">
        <x:f>IF(OR($B$22&lt;&gt;"Sim",A617&gt;=$B$23+$B$31-1),0,(I618+C618)/(1+$B$9))</x:f>
        <x:v>0</x:v>
      </x:c>
      <x:c r="J617" s="140" t="str">
        <x:f>IF($B$22&lt;&gt;"Sim","Desativada",IF(A617&lt;$B$23,"Antes da compra",IF(A617&lt;$B$23+$B$31,"Parcelas restantes","Encerrado")))</x:f>
        <x:v>Encerrado</x:v>
      </x:c>
      <x:c r="K617" s="141" t="n">
        <x:f>IF(C617&gt;0,C617/(1+$B$9)^A617,0)</x:f>
        <x:v>0</x:v>
      </x:c>
    </x:row>
    <x:row r="618">
      <x:c r="A618" s="142" t="n">
        <x:v>564</x:v>
      </x:c>
      <x:c r="B618" s="179" t="n">
        <x:f>EDATE($B$5,A618-1)</x:f>
        <x:v>63675</x:v>
      </x:c>
      <x:c r="C618" s="141" t="n">
        <x:f>IF(AND($B$22="Sim",A618&gt;=$B$23,A618&lt;$B$23+$B$31),$B$32*D618,0)</x:f>
        <x:v>0</x:v>
      </x:c>
      <x:c r="D618" s="180" t="n">
        <x:f>IF(A618&lt;$B$23,1,(1+$B$33)^INT((A618-$B$23)/12))</x:f>
        <x:v>14.59048747708749</x:v>
      </x:c>
      <x:c r="E618" s="141" t="n">
        <x:f>IF(AND($B$22="Sim",A618=$B$23),$B$37,0)</x:f>
        <x:v>0</x:v>
      </x:c>
      <x:c r="F618" s="141" t="n">
        <x:f>IF(AND($B$22="Sim",A618=$B$24),$B$27,0)</x:f>
        <x:v>0</x:v>
      </x:c>
      <x:c r="G618" s="141" t="n">
        <x:f>IF(AND($B$22="Sim",A618=$B$23),$B$35,0)</x:f>
        <x:v>0</x:v>
      </x:c>
      <x:c r="H618" s="141" t="n">
        <x:f>IF(AND($B$22="Sim",A618=$B$23),$B$36,0)</x:f>
        <x:v>0</x:v>
      </x:c>
      <x:c r="I618" s="141" t="n">
        <x:f>IF(OR($B$22&lt;&gt;"Sim",A618&gt;=$B$23+$B$31-1),0,(I619+C619)/(1+$B$9))</x:f>
        <x:v>0</x:v>
      </x:c>
      <x:c r="J618" s="140" t="str">
        <x:f>IF($B$22&lt;&gt;"Sim","Desativada",IF(A618&lt;$B$23,"Antes da compra",IF(A618&lt;$B$23+$B$31,"Parcelas restantes","Encerrado")))</x:f>
        <x:v>Encerrado</x:v>
      </x:c>
      <x:c r="K618" s="141" t="n">
        <x:f>IF(C618&gt;0,C618/(1+$B$9)^A618,0)</x:f>
        <x:v>0</x:v>
      </x:c>
    </x:row>
    <x:row r="619">
      <x:c r="A619" s="142" t="n">
        <x:v>565</x:v>
      </x:c>
      <x:c r="B619" s="179" t="n">
        <x:f>EDATE($B$5,A619-1)</x:f>
        <x:v>63706</x:v>
      </x:c>
      <x:c r="C619" s="141" t="n">
        <x:f>IF(AND($B$22="Sim",A619&gt;=$B$23,A619&lt;$B$23+$B$31),$B$32*D619,0)</x:f>
        <x:v>0</x:v>
      </x:c>
      <x:c r="D619" s="180" t="n">
        <x:f>IF(A619&lt;$B$23,1,(1+$B$33)^INT((A619-$B$23)/12))</x:f>
        <x:v>15.46591672571274</x:v>
      </x:c>
      <x:c r="E619" s="141" t="n">
        <x:f>IF(AND($B$22="Sim",A619=$B$23),$B$37,0)</x:f>
        <x:v>0</x:v>
      </x:c>
      <x:c r="F619" s="141" t="n">
        <x:f>IF(AND($B$22="Sim",A619=$B$24),$B$27,0)</x:f>
        <x:v>0</x:v>
      </x:c>
      <x:c r="G619" s="141" t="n">
        <x:f>IF(AND($B$22="Sim",A619=$B$23),$B$35,0)</x:f>
        <x:v>0</x:v>
      </x:c>
      <x:c r="H619" s="141" t="n">
        <x:f>IF(AND($B$22="Sim",A619=$B$23),$B$36,0)</x:f>
        <x:v>0</x:v>
      </x:c>
      <x:c r="I619" s="141" t="n">
        <x:f>IF(OR($B$22&lt;&gt;"Sim",A619&gt;=$B$23+$B$31-1),0,(I620+C620)/(1+$B$9))</x:f>
        <x:v>0</x:v>
      </x:c>
      <x:c r="J619" s="140" t="str">
        <x:f>IF($B$22&lt;&gt;"Sim","Desativada",IF(A619&lt;$B$23,"Antes da compra",IF(A619&lt;$B$23+$B$31,"Parcelas restantes","Encerrado")))</x:f>
        <x:v>Encerrado</x:v>
      </x:c>
      <x:c r="K619" s="141" t="n">
        <x:f>IF(C619&gt;0,C619/(1+$B$9)^A619,0)</x:f>
        <x:v>0</x:v>
      </x:c>
    </x:row>
    <x:row r="620">
      <x:c r="A620" s="142" t="n">
        <x:v>566</x:v>
      </x:c>
      <x:c r="B620" s="179" t="n">
        <x:f>EDATE($B$5,A620-1)</x:f>
        <x:v>63736</x:v>
      </x:c>
      <x:c r="C620" s="141" t="n">
        <x:f>IF(AND($B$22="Sim",A620&gt;=$B$23,A620&lt;$B$23+$B$31),$B$32*D620,0)</x:f>
        <x:v>0</x:v>
      </x:c>
      <x:c r="D620" s="180" t="n">
        <x:f>IF(A620&lt;$B$23,1,(1+$B$33)^INT((A620-$B$23)/12))</x:f>
        <x:v>15.46591672571274</x:v>
      </x:c>
      <x:c r="E620" s="141" t="n">
        <x:f>IF(AND($B$22="Sim",A620=$B$23),$B$37,0)</x:f>
        <x:v>0</x:v>
      </x:c>
      <x:c r="F620" s="141" t="n">
        <x:f>IF(AND($B$22="Sim",A620=$B$24),$B$27,0)</x:f>
        <x:v>0</x:v>
      </x:c>
      <x:c r="G620" s="141" t="n">
        <x:f>IF(AND($B$22="Sim",A620=$B$23),$B$35,0)</x:f>
        <x:v>0</x:v>
      </x:c>
      <x:c r="H620" s="141" t="n">
        <x:f>IF(AND($B$22="Sim",A620=$B$23),$B$36,0)</x:f>
        <x:v>0</x:v>
      </x:c>
      <x:c r="I620" s="141" t="n">
        <x:f>IF(OR($B$22&lt;&gt;"Sim",A620&gt;=$B$23+$B$31-1),0,(I621+C621)/(1+$B$9))</x:f>
        <x:v>0</x:v>
      </x:c>
      <x:c r="J620" s="140" t="str">
        <x:f>IF($B$22&lt;&gt;"Sim","Desativada",IF(A620&lt;$B$23,"Antes da compra",IF(A620&lt;$B$23+$B$31,"Parcelas restantes","Encerrado")))</x:f>
        <x:v>Encerrado</x:v>
      </x:c>
      <x:c r="K620" s="141" t="n">
        <x:f>IF(C620&gt;0,C620/(1+$B$9)^A620,0)</x:f>
        <x:v>0</x:v>
      </x:c>
    </x:row>
    <x:row r="621">
      <x:c r="A621" s="142" t="n">
        <x:v>567</x:v>
      </x:c>
      <x:c r="B621" s="179" t="n">
        <x:f>EDATE($B$5,A621-1)</x:f>
        <x:v>63767</x:v>
      </x:c>
      <x:c r="C621" s="141" t="n">
        <x:f>IF(AND($B$22="Sim",A621&gt;=$B$23,A621&lt;$B$23+$B$31),$B$32*D621,0)</x:f>
        <x:v>0</x:v>
      </x:c>
      <x:c r="D621" s="180" t="n">
        <x:f>IF(A621&lt;$B$23,1,(1+$B$33)^INT((A621-$B$23)/12))</x:f>
        <x:v>15.46591672571274</x:v>
      </x:c>
      <x:c r="E621" s="141" t="n">
        <x:f>IF(AND($B$22="Sim",A621=$B$23),$B$37,0)</x:f>
        <x:v>0</x:v>
      </x:c>
      <x:c r="F621" s="141" t="n">
        <x:f>IF(AND($B$22="Sim",A621=$B$24),$B$27,0)</x:f>
        <x:v>0</x:v>
      </x:c>
      <x:c r="G621" s="141" t="n">
        <x:f>IF(AND($B$22="Sim",A621=$B$23),$B$35,0)</x:f>
        <x:v>0</x:v>
      </x:c>
      <x:c r="H621" s="141" t="n">
        <x:f>IF(AND($B$22="Sim",A621=$B$23),$B$36,0)</x:f>
        <x:v>0</x:v>
      </x:c>
      <x:c r="I621" s="141" t="n">
        <x:f>IF(OR($B$22&lt;&gt;"Sim",A621&gt;=$B$23+$B$31-1),0,(I622+C622)/(1+$B$9))</x:f>
        <x:v>0</x:v>
      </x:c>
      <x:c r="J621" s="140" t="str">
        <x:f>IF($B$22&lt;&gt;"Sim","Desativada",IF(A621&lt;$B$23,"Antes da compra",IF(A621&lt;$B$23+$B$31,"Parcelas restantes","Encerrado")))</x:f>
        <x:v>Encerrado</x:v>
      </x:c>
      <x:c r="K621" s="141" t="n">
        <x:f>IF(C621&gt;0,C621/(1+$B$9)^A621,0)</x:f>
        <x:v>0</x:v>
      </x:c>
    </x:row>
    <x:row r="622">
      <x:c r="A622" s="142" t="n">
        <x:v>568</x:v>
      </x:c>
      <x:c r="B622" s="179" t="n">
        <x:f>EDATE($B$5,A622-1)</x:f>
        <x:v>63798</x:v>
      </x:c>
      <x:c r="C622" s="141" t="n">
        <x:f>IF(AND($B$22="Sim",A622&gt;=$B$23,A622&lt;$B$23+$B$31),$B$32*D622,0)</x:f>
        <x:v>0</x:v>
      </x:c>
      <x:c r="D622" s="180" t="n">
        <x:f>IF(A622&lt;$B$23,1,(1+$B$33)^INT((A622-$B$23)/12))</x:f>
        <x:v>15.46591672571274</x:v>
      </x:c>
      <x:c r="E622" s="141" t="n">
        <x:f>IF(AND($B$22="Sim",A622=$B$23),$B$37,0)</x:f>
        <x:v>0</x:v>
      </x:c>
      <x:c r="F622" s="141" t="n">
        <x:f>IF(AND($B$22="Sim",A622=$B$24),$B$27,0)</x:f>
        <x:v>0</x:v>
      </x:c>
      <x:c r="G622" s="141" t="n">
        <x:f>IF(AND($B$22="Sim",A622=$B$23),$B$35,0)</x:f>
        <x:v>0</x:v>
      </x:c>
      <x:c r="H622" s="141" t="n">
        <x:f>IF(AND($B$22="Sim",A622=$B$23),$B$36,0)</x:f>
        <x:v>0</x:v>
      </x:c>
      <x:c r="I622" s="141" t="n">
        <x:f>IF(OR($B$22&lt;&gt;"Sim",A622&gt;=$B$23+$B$31-1),0,(I623+C623)/(1+$B$9))</x:f>
        <x:v>0</x:v>
      </x:c>
      <x:c r="J622" s="140" t="str">
        <x:f>IF($B$22&lt;&gt;"Sim","Desativada",IF(A622&lt;$B$23,"Antes da compra",IF(A622&lt;$B$23+$B$31,"Parcelas restantes","Encerrado")))</x:f>
        <x:v>Encerrado</x:v>
      </x:c>
      <x:c r="K622" s="141" t="n">
        <x:f>IF(C622&gt;0,C622/(1+$B$9)^A622,0)</x:f>
        <x:v>0</x:v>
      </x:c>
    </x:row>
    <x:row r="623">
      <x:c r="A623" s="142" t="n">
        <x:v>569</x:v>
      </x:c>
      <x:c r="B623" s="179" t="n">
        <x:f>EDATE($B$5,A623-1)</x:f>
        <x:v>63828</x:v>
      </x:c>
      <x:c r="C623" s="141" t="n">
        <x:f>IF(AND($B$22="Sim",A623&gt;=$B$23,A623&lt;$B$23+$B$31),$B$32*D623,0)</x:f>
        <x:v>0</x:v>
      </x:c>
      <x:c r="D623" s="180" t="n">
        <x:f>IF(A623&lt;$B$23,1,(1+$B$33)^INT((A623-$B$23)/12))</x:f>
        <x:v>15.46591672571274</x:v>
      </x:c>
      <x:c r="E623" s="141" t="n">
        <x:f>IF(AND($B$22="Sim",A623=$B$23),$B$37,0)</x:f>
        <x:v>0</x:v>
      </x:c>
      <x:c r="F623" s="141" t="n">
        <x:f>IF(AND($B$22="Sim",A623=$B$24),$B$27,0)</x:f>
        <x:v>0</x:v>
      </x:c>
      <x:c r="G623" s="141" t="n">
        <x:f>IF(AND($B$22="Sim",A623=$B$23),$B$35,0)</x:f>
        <x:v>0</x:v>
      </x:c>
      <x:c r="H623" s="141" t="n">
        <x:f>IF(AND($B$22="Sim",A623=$B$23),$B$36,0)</x:f>
        <x:v>0</x:v>
      </x:c>
      <x:c r="I623" s="141" t="n">
        <x:f>IF(OR($B$22&lt;&gt;"Sim",A623&gt;=$B$23+$B$31-1),0,(I624+C624)/(1+$B$9))</x:f>
        <x:v>0</x:v>
      </x:c>
      <x:c r="J623" s="140" t="str">
        <x:f>IF($B$22&lt;&gt;"Sim","Desativada",IF(A623&lt;$B$23,"Antes da compra",IF(A623&lt;$B$23+$B$31,"Parcelas restantes","Encerrado")))</x:f>
        <x:v>Encerrado</x:v>
      </x:c>
      <x:c r="K623" s="141" t="n">
        <x:f>IF(C623&gt;0,C623/(1+$B$9)^A623,0)</x:f>
        <x:v>0</x:v>
      </x:c>
    </x:row>
    <x:row r="624">
      <x:c r="A624" s="142" t="n">
        <x:v>570</x:v>
      </x:c>
      <x:c r="B624" s="179" t="n">
        <x:f>EDATE($B$5,A624-1)</x:f>
        <x:v>63859</x:v>
      </x:c>
      <x:c r="C624" s="141" t="n">
        <x:f>IF(AND($B$22="Sim",A624&gt;=$B$23,A624&lt;$B$23+$B$31),$B$32*D624,0)</x:f>
        <x:v>0</x:v>
      </x:c>
      <x:c r="D624" s="180" t="n">
        <x:f>IF(A624&lt;$B$23,1,(1+$B$33)^INT((A624-$B$23)/12))</x:f>
        <x:v>15.46591672571274</x:v>
      </x:c>
      <x:c r="E624" s="141" t="n">
        <x:f>IF(AND($B$22="Sim",A624=$B$23),$B$37,0)</x:f>
        <x:v>0</x:v>
      </x:c>
      <x:c r="F624" s="141" t="n">
        <x:f>IF(AND($B$22="Sim",A624=$B$24),$B$27,0)</x:f>
        <x:v>0</x:v>
      </x:c>
      <x:c r="G624" s="141" t="n">
        <x:f>IF(AND($B$22="Sim",A624=$B$23),$B$35,0)</x:f>
        <x:v>0</x:v>
      </x:c>
      <x:c r="H624" s="141" t="n">
        <x:f>IF(AND($B$22="Sim",A624=$B$23),$B$36,0)</x:f>
        <x:v>0</x:v>
      </x:c>
      <x:c r="I624" s="141" t="n">
        <x:f>IF(OR($B$22&lt;&gt;"Sim",A624&gt;=$B$23+$B$31-1),0,(I625+C625)/(1+$B$9))</x:f>
        <x:v>0</x:v>
      </x:c>
      <x:c r="J624" s="140" t="str">
        <x:f>IF($B$22&lt;&gt;"Sim","Desativada",IF(A624&lt;$B$23,"Antes da compra",IF(A624&lt;$B$23+$B$31,"Parcelas restantes","Encerrado")))</x:f>
        <x:v>Encerrado</x:v>
      </x:c>
      <x:c r="K624" s="141" t="n">
        <x:f>IF(C624&gt;0,C624/(1+$B$9)^A624,0)</x:f>
        <x:v>0</x:v>
      </x:c>
    </x:row>
    <x:row r="625">
      <x:c r="A625" s="142" t="n">
        <x:v>571</x:v>
      </x:c>
      <x:c r="B625" s="179" t="n">
        <x:f>EDATE($B$5,A625-1)</x:f>
        <x:v>63889</x:v>
      </x:c>
      <x:c r="C625" s="141" t="n">
        <x:f>IF(AND($B$22="Sim",A625&gt;=$B$23,A625&lt;$B$23+$B$31),$B$32*D625,0)</x:f>
        <x:v>0</x:v>
      </x:c>
      <x:c r="D625" s="180" t="n">
        <x:f>IF(A625&lt;$B$23,1,(1+$B$33)^INT((A625-$B$23)/12))</x:f>
        <x:v>15.46591672571274</x:v>
      </x:c>
      <x:c r="E625" s="141" t="n">
        <x:f>IF(AND($B$22="Sim",A625=$B$23),$B$37,0)</x:f>
        <x:v>0</x:v>
      </x:c>
      <x:c r="F625" s="141" t="n">
        <x:f>IF(AND($B$22="Sim",A625=$B$24),$B$27,0)</x:f>
        <x:v>0</x:v>
      </x:c>
      <x:c r="G625" s="141" t="n">
        <x:f>IF(AND($B$22="Sim",A625=$B$23),$B$35,0)</x:f>
        <x:v>0</x:v>
      </x:c>
      <x:c r="H625" s="141" t="n">
        <x:f>IF(AND($B$22="Sim",A625=$B$23),$B$36,0)</x:f>
        <x:v>0</x:v>
      </x:c>
      <x:c r="I625" s="141" t="n">
        <x:f>IF(OR($B$22&lt;&gt;"Sim",A625&gt;=$B$23+$B$31-1),0,(I626+C626)/(1+$B$9))</x:f>
        <x:v>0</x:v>
      </x:c>
      <x:c r="J625" s="140" t="str">
        <x:f>IF($B$22&lt;&gt;"Sim","Desativada",IF(A625&lt;$B$23,"Antes da compra",IF(A625&lt;$B$23+$B$31,"Parcelas restantes","Encerrado")))</x:f>
        <x:v>Encerrado</x:v>
      </x:c>
      <x:c r="K625" s="141" t="n">
        <x:f>IF(C625&gt;0,C625/(1+$B$9)^A625,0)</x:f>
        <x:v>0</x:v>
      </x:c>
    </x:row>
    <x:row r="626">
      <x:c r="A626" s="142" t="n">
        <x:v>572</x:v>
      </x:c>
      <x:c r="B626" s="179" t="n">
        <x:f>EDATE($B$5,A626-1)</x:f>
        <x:v>63920</x:v>
      </x:c>
      <x:c r="C626" s="141" t="n">
        <x:f>IF(AND($B$22="Sim",A626&gt;=$B$23,A626&lt;$B$23+$B$31),$B$32*D626,0)</x:f>
        <x:v>0</x:v>
      </x:c>
      <x:c r="D626" s="180" t="n">
        <x:f>IF(A626&lt;$B$23,1,(1+$B$33)^INT((A626-$B$23)/12))</x:f>
        <x:v>15.46591672571274</x:v>
      </x:c>
      <x:c r="E626" s="141" t="n">
        <x:f>IF(AND($B$22="Sim",A626=$B$23),$B$37,0)</x:f>
        <x:v>0</x:v>
      </x:c>
      <x:c r="F626" s="141" t="n">
        <x:f>IF(AND($B$22="Sim",A626=$B$24),$B$27,0)</x:f>
        <x:v>0</x:v>
      </x:c>
      <x:c r="G626" s="141" t="n">
        <x:f>IF(AND($B$22="Sim",A626=$B$23),$B$35,0)</x:f>
        <x:v>0</x:v>
      </x:c>
      <x:c r="H626" s="141" t="n">
        <x:f>IF(AND($B$22="Sim",A626=$B$23),$B$36,0)</x:f>
        <x:v>0</x:v>
      </x:c>
      <x:c r="I626" s="141" t="n">
        <x:f>IF(OR($B$22&lt;&gt;"Sim",A626&gt;=$B$23+$B$31-1),0,(I627+C627)/(1+$B$9))</x:f>
        <x:v>0</x:v>
      </x:c>
      <x:c r="J626" s="140" t="str">
        <x:f>IF($B$22&lt;&gt;"Sim","Desativada",IF(A626&lt;$B$23,"Antes da compra",IF(A626&lt;$B$23+$B$31,"Parcelas restantes","Encerrado")))</x:f>
        <x:v>Encerrado</x:v>
      </x:c>
      <x:c r="K626" s="141" t="n">
        <x:f>IF(C626&gt;0,C626/(1+$B$9)^A626,0)</x:f>
        <x:v>0</x:v>
      </x:c>
    </x:row>
    <x:row r="627">
      <x:c r="A627" s="142" t="n">
        <x:v>573</x:v>
      </x:c>
      <x:c r="B627" s="179" t="n">
        <x:f>EDATE($B$5,A627-1)</x:f>
        <x:v>63951</x:v>
      </x:c>
      <x:c r="C627" s="141" t="n">
        <x:f>IF(AND($B$22="Sim",A627&gt;=$B$23,A627&lt;$B$23+$B$31),$B$32*D627,0)</x:f>
        <x:v>0</x:v>
      </x:c>
      <x:c r="D627" s="180" t="n">
        <x:f>IF(A627&lt;$B$23,1,(1+$B$33)^INT((A627-$B$23)/12))</x:f>
        <x:v>15.46591672571274</x:v>
      </x:c>
      <x:c r="E627" s="141" t="n">
        <x:f>IF(AND($B$22="Sim",A627=$B$23),$B$37,0)</x:f>
        <x:v>0</x:v>
      </x:c>
      <x:c r="F627" s="141" t="n">
        <x:f>IF(AND($B$22="Sim",A627=$B$24),$B$27,0)</x:f>
        <x:v>0</x:v>
      </x:c>
      <x:c r="G627" s="141" t="n">
        <x:f>IF(AND($B$22="Sim",A627=$B$23),$B$35,0)</x:f>
        <x:v>0</x:v>
      </x:c>
      <x:c r="H627" s="141" t="n">
        <x:f>IF(AND($B$22="Sim",A627=$B$23),$B$36,0)</x:f>
        <x:v>0</x:v>
      </x:c>
      <x:c r="I627" s="141" t="n">
        <x:f>IF(OR($B$22&lt;&gt;"Sim",A627&gt;=$B$23+$B$31-1),0,(I628+C628)/(1+$B$9))</x:f>
        <x:v>0</x:v>
      </x:c>
      <x:c r="J627" s="140" t="str">
        <x:f>IF($B$22&lt;&gt;"Sim","Desativada",IF(A627&lt;$B$23,"Antes da compra",IF(A627&lt;$B$23+$B$31,"Parcelas restantes","Encerrado")))</x:f>
        <x:v>Encerrado</x:v>
      </x:c>
      <x:c r="K627" s="141" t="n">
        <x:f>IF(C627&gt;0,C627/(1+$B$9)^A627,0)</x:f>
        <x:v>0</x:v>
      </x:c>
    </x:row>
    <x:row r="628">
      <x:c r="A628" s="142" t="n">
        <x:v>574</x:v>
      </x:c>
      <x:c r="B628" s="179" t="n">
        <x:f>EDATE($B$5,A628-1)</x:f>
        <x:v>63979</x:v>
      </x:c>
      <x:c r="C628" s="141" t="n">
        <x:f>IF(AND($B$22="Sim",A628&gt;=$B$23,A628&lt;$B$23+$B$31),$B$32*D628,0)</x:f>
        <x:v>0</x:v>
      </x:c>
      <x:c r="D628" s="180" t="n">
        <x:f>IF(A628&lt;$B$23,1,(1+$B$33)^INT((A628-$B$23)/12))</x:f>
        <x:v>15.46591672571274</x:v>
      </x:c>
      <x:c r="E628" s="141" t="n">
        <x:f>IF(AND($B$22="Sim",A628=$B$23),$B$37,0)</x:f>
        <x:v>0</x:v>
      </x:c>
      <x:c r="F628" s="141" t="n">
        <x:f>IF(AND($B$22="Sim",A628=$B$24),$B$27,0)</x:f>
        <x:v>0</x:v>
      </x:c>
      <x:c r="G628" s="141" t="n">
        <x:f>IF(AND($B$22="Sim",A628=$B$23),$B$35,0)</x:f>
        <x:v>0</x:v>
      </x:c>
      <x:c r="H628" s="141" t="n">
        <x:f>IF(AND($B$22="Sim",A628=$B$23),$B$36,0)</x:f>
        <x:v>0</x:v>
      </x:c>
      <x:c r="I628" s="141" t="n">
        <x:f>IF(OR($B$22&lt;&gt;"Sim",A628&gt;=$B$23+$B$31-1),0,(I629+C629)/(1+$B$9))</x:f>
        <x:v>0</x:v>
      </x:c>
      <x:c r="J628" s="140" t="str">
        <x:f>IF($B$22&lt;&gt;"Sim","Desativada",IF(A628&lt;$B$23,"Antes da compra",IF(A628&lt;$B$23+$B$31,"Parcelas restantes","Encerrado")))</x:f>
        <x:v>Encerrado</x:v>
      </x:c>
      <x:c r="K628" s="141" t="n">
        <x:f>IF(C628&gt;0,C628/(1+$B$9)^A628,0)</x:f>
        <x:v>0</x:v>
      </x:c>
    </x:row>
    <x:row r="629">
      <x:c r="A629" s="142" t="n">
        <x:v>575</x:v>
      </x:c>
      <x:c r="B629" s="179" t="n">
        <x:f>EDATE($B$5,A629-1)</x:f>
        <x:v>64010</x:v>
      </x:c>
      <x:c r="C629" s="141" t="n">
        <x:f>IF(AND($B$22="Sim",A629&gt;=$B$23,A629&lt;$B$23+$B$31),$B$32*D629,0)</x:f>
        <x:v>0</x:v>
      </x:c>
      <x:c r="D629" s="180" t="n">
        <x:f>IF(A629&lt;$B$23,1,(1+$B$33)^INT((A629-$B$23)/12))</x:f>
        <x:v>15.46591672571274</x:v>
      </x:c>
      <x:c r="E629" s="141" t="n">
        <x:f>IF(AND($B$22="Sim",A629=$B$23),$B$37,0)</x:f>
        <x:v>0</x:v>
      </x:c>
      <x:c r="F629" s="141" t="n">
        <x:f>IF(AND($B$22="Sim",A629=$B$24),$B$27,0)</x:f>
        <x:v>0</x:v>
      </x:c>
      <x:c r="G629" s="141" t="n">
        <x:f>IF(AND($B$22="Sim",A629=$B$23),$B$35,0)</x:f>
        <x:v>0</x:v>
      </x:c>
      <x:c r="H629" s="141" t="n">
        <x:f>IF(AND($B$22="Sim",A629=$B$23),$B$36,0)</x:f>
        <x:v>0</x:v>
      </x:c>
      <x:c r="I629" s="141" t="n">
        <x:f>IF(OR($B$22&lt;&gt;"Sim",A629&gt;=$B$23+$B$31-1),0,(I630+C630)/(1+$B$9))</x:f>
        <x:v>0</x:v>
      </x:c>
      <x:c r="J629" s="140" t="str">
        <x:f>IF($B$22&lt;&gt;"Sim","Desativada",IF(A629&lt;$B$23,"Antes da compra",IF(A629&lt;$B$23+$B$31,"Parcelas restantes","Encerrado")))</x:f>
        <x:v>Encerrado</x:v>
      </x:c>
      <x:c r="K629" s="141" t="n">
        <x:f>IF(C629&gt;0,C629/(1+$B$9)^A629,0)</x:f>
        <x:v>0</x:v>
      </x:c>
    </x:row>
    <x:row r="630">
      <x:c r="A630" s="142" t="n">
        <x:v>576</x:v>
      </x:c>
      <x:c r="B630" s="179" t="n">
        <x:f>EDATE($B$5,A630-1)</x:f>
        <x:v>64040</x:v>
      </x:c>
      <x:c r="C630" s="141" t="n">
        <x:f>IF(AND($B$22="Sim",A630&gt;=$B$23,A630&lt;$B$23+$B$31),$B$32*D630,0)</x:f>
        <x:v>0</x:v>
      </x:c>
      <x:c r="D630" s="180" t="n">
        <x:f>IF(A630&lt;$B$23,1,(1+$B$33)^INT((A630-$B$23)/12))</x:f>
        <x:v>15.46591672571274</x:v>
      </x:c>
      <x:c r="E630" s="141" t="n">
        <x:f>IF(AND($B$22="Sim",A630=$B$23),$B$37,0)</x:f>
        <x:v>0</x:v>
      </x:c>
      <x:c r="F630" s="141" t="n">
        <x:f>IF(AND($B$22="Sim",A630=$B$24),$B$27,0)</x:f>
        <x:v>0</x:v>
      </x:c>
      <x:c r="G630" s="141" t="n">
        <x:f>IF(AND($B$22="Sim",A630=$B$23),$B$35,0)</x:f>
        <x:v>0</x:v>
      </x:c>
      <x:c r="H630" s="141" t="n">
        <x:f>IF(AND($B$22="Sim",A630=$B$23),$B$36,0)</x:f>
        <x:v>0</x:v>
      </x:c>
      <x:c r="I630" s="141" t="n">
        <x:f>IF(OR($B$22&lt;&gt;"Sim",A630&gt;=$B$23+$B$31-1),0,(I631+C631)/(1+$B$9))</x:f>
        <x:v>0</x:v>
      </x:c>
      <x:c r="J630" s="140" t="str">
        <x:f>IF($B$22&lt;&gt;"Sim","Desativada",IF(A630&lt;$B$23,"Antes da compra",IF(A630&lt;$B$23+$B$31,"Parcelas restantes","Encerrado")))</x:f>
        <x:v>Encerrado</x:v>
      </x:c>
      <x:c r="K630" s="141" t="n">
        <x:f>IF(C630&gt;0,C630/(1+$B$9)^A630,0)</x:f>
        <x:v>0</x:v>
      </x:c>
    </x:row>
    <x:row r="631">
      <x:c r="A631" s="142" t="n">
        <x:v>577</x:v>
      </x:c>
      <x:c r="B631" s="179" t="n">
        <x:f>EDATE($B$5,A631-1)</x:f>
        <x:v>64071</x:v>
      </x:c>
      <x:c r="C631" s="141" t="n">
        <x:f>IF(AND($B$22="Sim",A631&gt;=$B$23,A631&lt;$B$23+$B$31),$B$32*D631,0)</x:f>
        <x:v>0</x:v>
      </x:c>
      <x:c r="D631" s="180" t="n">
        <x:f>IF(A631&lt;$B$23,1,(1+$B$33)^INT((A631-$B$23)/12))</x:f>
        <x:v>16.393871729255505</x:v>
      </x:c>
      <x:c r="E631" s="141" t="n">
        <x:f>IF(AND($B$22="Sim",A631=$B$23),$B$37,0)</x:f>
        <x:v>0</x:v>
      </x:c>
      <x:c r="F631" s="141" t="n">
        <x:f>IF(AND($B$22="Sim",A631=$B$24),$B$27,0)</x:f>
        <x:v>0</x:v>
      </x:c>
      <x:c r="G631" s="141" t="n">
        <x:f>IF(AND($B$22="Sim",A631=$B$23),$B$35,0)</x:f>
        <x:v>0</x:v>
      </x:c>
      <x:c r="H631" s="141" t="n">
        <x:f>IF(AND($B$22="Sim",A631=$B$23),$B$36,0)</x:f>
        <x:v>0</x:v>
      </x:c>
      <x:c r="I631" s="141" t="n">
        <x:f>IF(OR($B$22&lt;&gt;"Sim",A631&gt;=$B$23+$B$31-1),0,(I632+C632)/(1+$B$9))</x:f>
        <x:v>0</x:v>
      </x:c>
      <x:c r="J631" s="140" t="str">
        <x:f>IF($B$22&lt;&gt;"Sim","Desativada",IF(A631&lt;$B$23,"Antes da compra",IF(A631&lt;$B$23+$B$31,"Parcelas restantes","Encerrado")))</x:f>
        <x:v>Encerrado</x:v>
      </x:c>
      <x:c r="K631" s="141" t="n">
        <x:f>IF(C631&gt;0,C631/(1+$B$9)^A631,0)</x:f>
        <x:v>0</x:v>
      </x:c>
    </x:row>
    <x:row r="632">
      <x:c r="A632" s="142" t="n">
        <x:v>578</x:v>
      </x:c>
      <x:c r="B632" s="179" t="n">
        <x:f>EDATE($B$5,A632-1)</x:f>
        <x:v>64101</x:v>
      </x:c>
      <x:c r="C632" s="141" t="n">
        <x:f>IF(AND($B$22="Sim",A632&gt;=$B$23,A632&lt;$B$23+$B$31),$B$32*D632,0)</x:f>
        <x:v>0</x:v>
      </x:c>
      <x:c r="D632" s="180" t="n">
        <x:f>IF(A632&lt;$B$23,1,(1+$B$33)^INT((A632-$B$23)/12))</x:f>
        <x:v>16.393871729255505</x:v>
      </x:c>
      <x:c r="E632" s="141" t="n">
        <x:f>IF(AND($B$22="Sim",A632=$B$23),$B$37,0)</x:f>
        <x:v>0</x:v>
      </x:c>
      <x:c r="F632" s="141" t="n">
        <x:f>IF(AND($B$22="Sim",A632=$B$24),$B$27,0)</x:f>
        <x:v>0</x:v>
      </x:c>
      <x:c r="G632" s="141" t="n">
        <x:f>IF(AND($B$22="Sim",A632=$B$23),$B$35,0)</x:f>
        <x:v>0</x:v>
      </x:c>
      <x:c r="H632" s="141" t="n">
        <x:f>IF(AND($B$22="Sim",A632=$B$23),$B$36,0)</x:f>
        <x:v>0</x:v>
      </x:c>
      <x:c r="I632" s="141" t="n">
        <x:f>IF(OR($B$22&lt;&gt;"Sim",A632&gt;=$B$23+$B$31-1),0,(I633+C633)/(1+$B$9))</x:f>
        <x:v>0</x:v>
      </x:c>
      <x:c r="J632" s="140" t="str">
        <x:f>IF($B$22&lt;&gt;"Sim","Desativada",IF(A632&lt;$B$23,"Antes da compra",IF(A632&lt;$B$23+$B$31,"Parcelas restantes","Encerrado")))</x:f>
        <x:v>Encerrado</x:v>
      </x:c>
      <x:c r="K632" s="141" t="n">
        <x:f>IF(C632&gt;0,C632/(1+$B$9)^A632,0)</x:f>
        <x:v>0</x:v>
      </x:c>
    </x:row>
    <x:row r="633">
      <x:c r="A633" s="142" t="n">
        <x:v>579</x:v>
      </x:c>
      <x:c r="B633" s="179" t="n">
        <x:f>EDATE($B$5,A633-1)</x:f>
        <x:v>64132</x:v>
      </x:c>
      <x:c r="C633" s="141" t="n">
        <x:f>IF(AND($B$22="Sim",A633&gt;=$B$23,A633&lt;$B$23+$B$31),$B$32*D633,0)</x:f>
        <x:v>0</x:v>
      </x:c>
      <x:c r="D633" s="180" t="n">
        <x:f>IF(A633&lt;$B$23,1,(1+$B$33)^INT((A633-$B$23)/12))</x:f>
        <x:v>16.393871729255505</x:v>
      </x:c>
      <x:c r="E633" s="141" t="n">
        <x:f>IF(AND($B$22="Sim",A633=$B$23),$B$37,0)</x:f>
        <x:v>0</x:v>
      </x:c>
      <x:c r="F633" s="141" t="n">
        <x:f>IF(AND($B$22="Sim",A633=$B$24),$B$27,0)</x:f>
        <x:v>0</x:v>
      </x:c>
      <x:c r="G633" s="141" t="n">
        <x:f>IF(AND($B$22="Sim",A633=$B$23),$B$35,0)</x:f>
        <x:v>0</x:v>
      </x:c>
      <x:c r="H633" s="141" t="n">
        <x:f>IF(AND($B$22="Sim",A633=$B$23),$B$36,0)</x:f>
        <x:v>0</x:v>
      </x:c>
      <x:c r="I633" s="141" t="n">
        <x:f>IF(OR($B$22&lt;&gt;"Sim",A633&gt;=$B$23+$B$31-1),0,(I634+C634)/(1+$B$9))</x:f>
        <x:v>0</x:v>
      </x:c>
      <x:c r="J633" s="140" t="str">
        <x:f>IF($B$22&lt;&gt;"Sim","Desativada",IF(A633&lt;$B$23,"Antes da compra",IF(A633&lt;$B$23+$B$31,"Parcelas restantes","Encerrado")))</x:f>
        <x:v>Encerrado</x:v>
      </x:c>
      <x:c r="K633" s="141" t="n">
        <x:f>IF(C633&gt;0,C633/(1+$B$9)^A633,0)</x:f>
        <x:v>0</x:v>
      </x:c>
    </x:row>
    <x:row r="634">
      <x:c r="A634" s="142" t="n">
        <x:v>580</x:v>
      </x:c>
      <x:c r="B634" s="179" t="n">
        <x:f>EDATE($B$5,A634-1)</x:f>
        <x:v>64163</x:v>
      </x:c>
      <x:c r="C634" s="141" t="n">
        <x:f>IF(AND($B$22="Sim",A634&gt;=$B$23,A634&lt;$B$23+$B$31),$B$32*D634,0)</x:f>
        <x:v>0</x:v>
      </x:c>
      <x:c r="D634" s="180" t="n">
        <x:f>IF(A634&lt;$B$23,1,(1+$B$33)^INT((A634-$B$23)/12))</x:f>
        <x:v>16.393871729255505</x:v>
      </x:c>
      <x:c r="E634" s="141" t="n">
        <x:f>IF(AND($B$22="Sim",A634=$B$23),$B$37,0)</x:f>
        <x:v>0</x:v>
      </x:c>
      <x:c r="F634" s="141" t="n">
        <x:f>IF(AND($B$22="Sim",A634=$B$24),$B$27,0)</x:f>
        <x:v>0</x:v>
      </x:c>
      <x:c r="G634" s="141" t="n">
        <x:f>IF(AND($B$22="Sim",A634=$B$23),$B$35,0)</x:f>
        <x:v>0</x:v>
      </x:c>
      <x:c r="H634" s="141" t="n">
        <x:f>IF(AND($B$22="Sim",A634=$B$23),$B$36,0)</x:f>
        <x:v>0</x:v>
      </x:c>
      <x:c r="I634" s="141" t="n">
        <x:f>IF(OR($B$22&lt;&gt;"Sim",A634&gt;=$B$23+$B$31-1),0,(I635+C635)/(1+$B$9))</x:f>
        <x:v>0</x:v>
      </x:c>
      <x:c r="J634" s="140" t="str">
        <x:f>IF($B$22&lt;&gt;"Sim","Desativada",IF(A634&lt;$B$23,"Antes da compra",IF(A634&lt;$B$23+$B$31,"Parcelas restantes","Encerrado")))</x:f>
        <x:v>Encerrado</x:v>
      </x:c>
      <x:c r="K634" s="141" t="n">
        <x:f>IF(C634&gt;0,C634/(1+$B$9)^A634,0)</x:f>
        <x:v>0</x:v>
      </x:c>
    </x:row>
    <x:row r="635">
      <x:c r="A635" s="142" t="n">
        <x:v>581</x:v>
      </x:c>
      <x:c r="B635" s="179" t="n">
        <x:f>EDATE($B$5,A635-1)</x:f>
        <x:v>64193</x:v>
      </x:c>
      <x:c r="C635" s="141" t="n">
        <x:f>IF(AND($B$22="Sim",A635&gt;=$B$23,A635&lt;$B$23+$B$31),$B$32*D635,0)</x:f>
        <x:v>0</x:v>
      </x:c>
      <x:c r="D635" s="180" t="n">
        <x:f>IF(A635&lt;$B$23,1,(1+$B$33)^INT((A635-$B$23)/12))</x:f>
        <x:v>16.393871729255505</x:v>
      </x:c>
      <x:c r="E635" s="141" t="n">
        <x:f>IF(AND($B$22="Sim",A635=$B$23),$B$37,0)</x:f>
        <x:v>0</x:v>
      </x:c>
      <x:c r="F635" s="141" t="n">
        <x:f>IF(AND($B$22="Sim",A635=$B$24),$B$27,0)</x:f>
        <x:v>0</x:v>
      </x:c>
      <x:c r="G635" s="141" t="n">
        <x:f>IF(AND($B$22="Sim",A635=$B$23),$B$35,0)</x:f>
        <x:v>0</x:v>
      </x:c>
      <x:c r="H635" s="141" t="n">
        <x:f>IF(AND($B$22="Sim",A635=$B$23),$B$36,0)</x:f>
        <x:v>0</x:v>
      </x:c>
      <x:c r="I635" s="141" t="n">
        <x:f>IF(OR($B$22&lt;&gt;"Sim",A635&gt;=$B$23+$B$31-1),0,(I636+C636)/(1+$B$9))</x:f>
        <x:v>0</x:v>
      </x:c>
      <x:c r="J635" s="140" t="str">
        <x:f>IF($B$22&lt;&gt;"Sim","Desativada",IF(A635&lt;$B$23,"Antes da compra",IF(A635&lt;$B$23+$B$31,"Parcelas restantes","Encerrado")))</x:f>
        <x:v>Encerrado</x:v>
      </x:c>
      <x:c r="K635" s="141" t="n">
        <x:f>IF(C635&gt;0,C635/(1+$B$9)^A635,0)</x:f>
        <x:v>0</x:v>
      </x:c>
    </x:row>
    <x:row r="636">
      <x:c r="A636" s="142" t="n">
        <x:v>582</x:v>
      </x:c>
      <x:c r="B636" s="179" t="n">
        <x:f>EDATE($B$5,A636-1)</x:f>
        <x:v>64224</x:v>
      </x:c>
      <x:c r="C636" s="141" t="n">
        <x:f>IF(AND($B$22="Sim",A636&gt;=$B$23,A636&lt;$B$23+$B$31),$B$32*D636,0)</x:f>
        <x:v>0</x:v>
      </x:c>
      <x:c r="D636" s="180" t="n">
        <x:f>IF(A636&lt;$B$23,1,(1+$B$33)^INT((A636-$B$23)/12))</x:f>
        <x:v>16.393871729255505</x:v>
      </x:c>
      <x:c r="E636" s="141" t="n">
        <x:f>IF(AND($B$22="Sim",A636=$B$23),$B$37,0)</x:f>
        <x:v>0</x:v>
      </x:c>
      <x:c r="F636" s="141" t="n">
        <x:f>IF(AND($B$22="Sim",A636=$B$24),$B$27,0)</x:f>
        <x:v>0</x:v>
      </x:c>
      <x:c r="G636" s="141" t="n">
        <x:f>IF(AND($B$22="Sim",A636=$B$23),$B$35,0)</x:f>
        <x:v>0</x:v>
      </x:c>
      <x:c r="H636" s="141" t="n">
        <x:f>IF(AND($B$22="Sim",A636=$B$23),$B$36,0)</x:f>
        <x:v>0</x:v>
      </x:c>
      <x:c r="I636" s="141" t="n">
        <x:f>IF(OR($B$22&lt;&gt;"Sim",A636&gt;=$B$23+$B$31-1),0,(I637+C637)/(1+$B$9))</x:f>
        <x:v>0</x:v>
      </x:c>
      <x:c r="J636" s="140" t="str">
        <x:f>IF($B$22&lt;&gt;"Sim","Desativada",IF(A636&lt;$B$23,"Antes da compra",IF(A636&lt;$B$23+$B$31,"Parcelas restantes","Encerrado")))</x:f>
        <x:v>Encerrado</x:v>
      </x:c>
      <x:c r="K636" s="141" t="n">
        <x:f>IF(C636&gt;0,C636/(1+$B$9)^A636,0)</x:f>
        <x:v>0</x:v>
      </x:c>
    </x:row>
    <x:row r="637">
      <x:c r="A637" s="142" t="n">
        <x:v>583</x:v>
      </x:c>
      <x:c r="B637" s="179" t="n">
        <x:f>EDATE($B$5,A637-1)</x:f>
        <x:v>64254</x:v>
      </x:c>
      <x:c r="C637" s="141" t="n">
        <x:f>IF(AND($B$22="Sim",A637&gt;=$B$23,A637&lt;$B$23+$B$31),$B$32*D637,0)</x:f>
        <x:v>0</x:v>
      </x:c>
      <x:c r="D637" s="180" t="n">
        <x:f>IF(A637&lt;$B$23,1,(1+$B$33)^INT((A637-$B$23)/12))</x:f>
        <x:v>16.393871729255505</x:v>
      </x:c>
      <x:c r="E637" s="141" t="n">
        <x:f>IF(AND($B$22="Sim",A637=$B$23),$B$37,0)</x:f>
        <x:v>0</x:v>
      </x:c>
      <x:c r="F637" s="141" t="n">
        <x:f>IF(AND($B$22="Sim",A637=$B$24),$B$27,0)</x:f>
        <x:v>0</x:v>
      </x:c>
      <x:c r="G637" s="141" t="n">
        <x:f>IF(AND($B$22="Sim",A637=$B$23),$B$35,0)</x:f>
        <x:v>0</x:v>
      </x:c>
      <x:c r="H637" s="141" t="n">
        <x:f>IF(AND($B$22="Sim",A637=$B$23),$B$36,0)</x:f>
        <x:v>0</x:v>
      </x:c>
      <x:c r="I637" s="141" t="n">
        <x:f>IF(OR($B$22&lt;&gt;"Sim",A637&gt;=$B$23+$B$31-1),0,(I638+C638)/(1+$B$9))</x:f>
        <x:v>0</x:v>
      </x:c>
      <x:c r="J637" s="140" t="str">
        <x:f>IF($B$22&lt;&gt;"Sim","Desativada",IF(A637&lt;$B$23,"Antes da compra",IF(A637&lt;$B$23+$B$31,"Parcelas restantes","Encerrado")))</x:f>
        <x:v>Encerrado</x:v>
      </x:c>
      <x:c r="K637" s="141" t="n">
        <x:f>IF(C637&gt;0,C637/(1+$B$9)^A637,0)</x:f>
        <x:v>0</x:v>
      </x:c>
    </x:row>
    <x:row r="638">
      <x:c r="A638" s="142" t="n">
        <x:v>584</x:v>
      </x:c>
      <x:c r="B638" s="179" t="n">
        <x:f>EDATE($B$5,A638-1)</x:f>
        <x:v>64285</x:v>
      </x:c>
      <x:c r="C638" s="141" t="n">
        <x:f>IF(AND($B$22="Sim",A638&gt;=$B$23,A638&lt;$B$23+$B$31),$B$32*D638,0)</x:f>
        <x:v>0</x:v>
      </x:c>
      <x:c r="D638" s="180" t="n">
        <x:f>IF(A638&lt;$B$23,1,(1+$B$33)^INT((A638-$B$23)/12))</x:f>
        <x:v>16.393871729255505</x:v>
      </x:c>
      <x:c r="E638" s="141" t="n">
        <x:f>IF(AND($B$22="Sim",A638=$B$23),$B$37,0)</x:f>
        <x:v>0</x:v>
      </x:c>
      <x:c r="F638" s="141" t="n">
        <x:f>IF(AND($B$22="Sim",A638=$B$24),$B$27,0)</x:f>
        <x:v>0</x:v>
      </x:c>
      <x:c r="G638" s="141" t="n">
        <x:f>IF(AND($B$22="Sim",A638=$B$23),$B$35,0)</x:f>
        <x:v>0</x:v>
      </x:c>
      <x:c r="H638" s="141" t="n">
        <x:f>IF(AND($B$22="Sim",A638=$B$23),$B$36,0)</x:f>
        <x:v>0</x:v>
      </x:c>
      <x:c r="I638" s="141" t="n">
        <x:f>IF(OR($B$22&lt;&gt;"Sim",A638&gt;=$B$23+$B$31-1),0,(I639+C639)/(1+$B$9))</x:f>
        <x:v>0</x:v>
      </x:c>
      <x:c r="J638" s="140" t="str">
        <x:f>IF($B$22&lt;&gt;"Sim","Desativada",IF(A638&lt;$B$23,"Antes da compra",IF(A638&lt;$B$23+$B$31,"Parcelas restantes","Encerrado")))</x:f>
        <x:v>Encerrado</x:v>
      </x:c>
      <x:c r="K638" s="141" t="n">
        <x:f>IF(C638&gt;0,C638/(1+$B$9)^A638,0)</x:f>
        <x:v>0</x:v>
      </x:c>
    </x:row>
    <x:row r="639">
      <x:c r="A639" s="142" t="n">
        <x:v>585</x:v>
      </x:c>
      <x:c r="B639" s="179" t="n">
        <x:f>EDATE($B$5,A639-1)</x:f>
        <x:v>64316</x:v>
      </x:c>
      <x:c r="C639" s="141" t="n">
        <x:f>IF(AND($B$22="Sim",A639&gt;=$B$23,A639&lt;$B$23+$B$31),$B$32*D639,0)</x:f>
        <x:v>0</x:v>
      </x:c>
      <x:c r="D639" s="180" t="n">
        <x:f>IF(A639&lt;$B$23,1,(1+$B$33)^INT((A639-$B$23)/12))</x:f>
        <x:v>16.393871729255505</x:v>
      </x:c>
      <x:c r="E639" s="141" t="n">
        <x:f>IF(AND($B$22="Sim",A639=$B$23),$B$37,0)</x:f>
        <x:v>0</x:v>
      </x:c>
      <x:c r="F639" s="141" t="n">
        <x:f>IF(AND($B$22="Sim",A639=$B$24),$B$27,0)</x:f>
        <x:v>0</x:v>
      </x:c>
      <x:c r="G639" s="141" t="n">
        <x:f>IF(AND($B$22="Sim",A639=$B$23),$B$35,0)</x:f>
        <x:v>0</x:v>
      </x:c>
      <x:c r="H639" s="141" t="n">
        <x:f>IF(AND($B$22="Sim",A639=$B$23),$B$36,0)</x:f>
        <x:v>0</x:v>
      </x:c>
      <x:c r="I639" s="141" t="n">
        <x:f>IF(OR($B$22&lt;&gt;"Sim",A639&gt;=$B$23+$B$31-1),0,(I640+C640)/(1+$B$9))</x:f>
        <x:v>0</x:v>
      </x:c>
      <x:c r="J639" s="140" t="str">
        <x:f>IF($B$22&lt;&gt;"Sim","Desativada",IF(A639&lt;$B$23,"Antes da compra",IF(A639&lt;$B$23+$B$31,"Parcelas restantes","Encerrado")))</x:f>
        <x:v>Encerrado</x:v>
      </x:c>
      <x:c r="K639" s="141" t="n">
        <x:f>IF(C639&gt;0,C639/(1+$B$9)^A639,0)</x:f>
        <x:v>0</x:v>
      </x:c>
    </x:row>
    <x:row r="640">
      <x:c r="A640" s="142" t="n">
        <x:v>586</x:v>
      </x:c>
      <x:c r="B640" s="179" t="n">
        <x:f>EDATE($B$5,A640-1)</x:f>
        <x:v>64345</x:v>
      </x:c>
      <x:c r="C640" s="141" t="n">
        <x:f>IF(AND($B$22="Sim",A640&gt;=$B$23,A640&lt;$B$23+$B$31),$B$32*D640,0)</x:f>
        <x:v>0</x:v>
      </x:c>
      <x:c r="D640" s="180" t="n">
        <x:f>IF(A640&lt;$B$23,1,(1+$B$33)^INT((A640-$B$23)/12))</x:f>
        <x:v>16.393871729255505</x:v>
      </x:c>
      <x:c r="E640" s="141" t="n">
        <x:f>IF(AND($B$22="Sim",A640=$B$23),$B$37,0)</x:f>
        <x:v>0</x:v>
      </x:c>
      <x:c r="F640" s="141" t="n">
        <x:f>IF(AND($B$22="Sim",A640=$B$24),$B$27,0)</x:f>
        <x:v>0</x:v>
      </x:c>
      <x:c r="G640" s="141" t="n">
        <x:f>IF(AND($B$22="Sim",A640=$B$23),$B$35,0)</x:f>
        <x:v>0</x:v>
      </x:c>
      <x:c r="H640" s="141" t="n">
        <x:f>IF(AND($B$22="Sim",A640=$B$23),$B$36,0)</x:f>
        <x:v>0</x:v>
      </x:c>
      <x:c r="I640" s="141" t="n">
        <x:f>IF(OR($B$22&lt;&gt;"Sim",A640&gt;=$B$23+$B$31-1),0,(I641+C641)/(1+$B$9))</x:f>
        <x:v>0</x:v>
      </x:c>
      <x:c r="J640" s="140" t="str">
        <x:f>IF($B$22&lt;&gt;"Sim","Desativada",IF(A640&lt;$B$23,"Antes da compra",IF(A640&lt;$B$23+$B$31,"Parcelas restantes","Encerrado")))</x:f>
        <x:v>Encerrado</x:v>
      </x:c>
      <x:c r="K640" s="141" t="n">
        <x:f>IF(C640&gt;0,C640/(1+$B$9)^A640,0)</x:f>
        <x:v>0</x:v>
      </x:c>
    </x:row>
    <x:row r="641">
      <x:c r="A641" s="142" t="n">
        <x:v>587</x:v>
      </x:c>
      <x:c r="B641" s="179" t="n">
        <x:f>EDATE($B$5,A641-1)</x:f>
        <x:v>64376</x:v>
      </x:c>
      <x:c r="C641" s="141" t="n">
        <x:f>IF(AND($B$22="Sim",A641&gt;=$B$23,A641&lt;$B$23+$B$31),$B$32*D641,0)</x:f>
        <x:v>0</x:v>
      </x:c>
      <x:c r="D641" s="180" t="n">
        <x:f>IF(A641&lt;$B$23,1,(1+$B$33)^INT((A641-$B$23)/12))</x:f>
        <x:v>16.393871729255505</x:v>
      </x:c>
      <x:c r="E641" s="141" t="n">
        <x:f>IF(AND($B$22="Sim",A641=$B$23),$B$37,0)</x:f>
        <x:v>0</x:v>
      </x:c>
      <x:c r="F641" s="141" t="n">
        <x:f>IF(AND($B$22="Sim",A641=$B$24),$B$27,0)</x:f>
        <x:v>0</x:v>
      </x:c>
      <x:c r="G641" s="141" t="n">
        <x:f>IF(AND($B$22="Sim",A641=$B$23),$B$35,0)</x:f>
        <x:v>0</x:v>
      </x:c>
      <x:c r="H641" s="141" t="n">
        <x:f>IF(AND($B$22="Sim",A641=$B$23),$B$36,0)</x:f>
        <x:v>0</x:v>
      </x:c>
      <x:c r="I641" s="141" t="n">
        <x:f>IF(OR($B$22&lt;&gt;"Sim",A641&gt;=$B$23+$B$31-1),0,(I642+C642)/(1+$B$9))</x:f>
        <x:v>0</x:v>
      </x:c>
      <x:c r="J641" s="140" t="str">
        <x:f>IF($B$22&lt;&gt;"Sim","Desativada",IF(A641&lt;$B$23,"Antes da compra",IF(A641&lt;$B$23+$B$31,"Parcelas restantes","Encerrado")))</x:f>
        <x:v>Encerrado</x:v>
      </x:c>
      <x:c r="K641" s="141" t="n">
        <x:f>IF(C641&gt;0,C641/(1+$B$9)^A641,0)</x:f>
        <x:v>0</x:v>
      </x:c>
    </x:row>
    <x:row r="642">
      <x:c r="A642" s="142" t="n">
        <x:v>588</x:v>
      </x:c>
      <x:c r="B642" s="179" t="n">
        <x:f>EDATE($B$5,A642-1)</x:f>
        <x:v>64406</x:v>
      </x:c>
      <x:c r="C642" s="141" t="n">
        <x:f>IF(AND($B$22="Sim",A642&gt;=$B$23,A642&lt;$B$23+$B$31),$B$32*D642,0)</x:f>
        <x:v>0</x:v>
      </x:c>
      <x:c r="D642" s="180" t="n">
        <x:f>IF(A642&lt;$B$23,1,(1+$B$33)^INT((A642-$B$23)/12))</x:f>
        <x:v>16.393871729255505</x:v>
      </x:c>
      <x:c r="E642" s="141" t="n">
        <x:f>IF(AND($B$22="Sim",A642=$B$23),$B$37,0)</x:f>
        <x:v>0</x:v>
      </x:c>
      <x:c r="F642" s="141" t="n">
        <x:f>IF(AND($B$22="Sim",A642=$B$24),$B$27,0)</x:f>
        <x:v>0</x:v>
      </x:c>
      <x:c r="G642" s="141" t="n">
        <x:f>IF(AND($B$22="Sim",A642=$B$23),$B$35,0)</x:f>
        <x:v>0</x:v>
      </x:c>
      <x:c r="H642" s="141" t="n">
        <x:f>IF(AND($B$22="Sim",A642=$B$23),$B$36,0)</x:f>
        <x:v>0</x:v>
      </x:c>
      <x:c r="I642" s="141" t="n">
        <x:f>IF(OR($B$22&lt;&gt;"Sim",A642&gt;=$B$23+$B$31-1),0,(I643+C643)/(1+$B$9))</x:f>
        <x:v>0</x:v>
      </x:c>
      <x:c r="J642" s="140" t="str">
        <x:f>IF($B$22&lt;&gt;"Sim","Desativada",IF(A642&lt;$B$23,"Antes da compra",IF(A642&lt;$B$23+$B$31,"Parcelas restantes","Encerrado")))</x:f>
        <x:v>Encerrado</x:v>
      </x:c>
      <x:c r="K642" s="141" t="n">
        <x:f>IF(C642&gt;0,C642/(1+$B$9)^A642,0)</x:f>
        <x:v>0</x:v>
      </x:c>
    </x:row>
    <x:row r="643">
      <x:c r="A643" s="142" t="n">
        <x:v>589</x:v>
      </x:c>
      <x:c r="B643" s="179" t="n">
        <x:f>EDATE($B$5,A643-1)</x:f>
        <x:v>64437</x:v>
      </x:c>
      <x:c r="C643" s="141" t="n">
        <x:f>IF(AND($B$22="Sim",A643&gt;=$B$23,A643&lt;$B$23+$B$31),$B$32*D643,0)</x:f>
        <x:v>0</x:v>
      </x:c>
      <x:c r="D643" s="180" t="n">
        <x:f>IF(A643&lt;$B$23,1,(1+$B$33)^INT((A643-$B$23)/12))</x:f>
        <x:v>17.377504033010837</x:v>
      </x:c>
      <x:c r="E643" s="141" t="n">
        <x:f>IF(AND($B$22="Sim",A643=$B$23),$B$37,0)</x:f>
        <x:v>0</x:v>
      </x:c>
      <x:c r="F643" s="141" t="n">
        <x:f>IF(AND($B$22="Sim",A643=$B$24),$B$27,0)</x:f>
        <x:v>0</x:v>
      </x:c>
      <x:c r="G643" s="141" t="n">
        <x:f>IF(AND($B$22="Sim",A643=$B$23),$B$35,0)</x:f>
        <x:v>0</x:v>
      </x:c>
      <x:c r="H643" s="141" t="n">
        <x:f>IF(AND($B$22="Sim",A643=$B$23),$B$36,0)</x:f>
        <x:v>0</x:v>
      </x:c>
      <x:c r="I643" s="141" t="n">
        <x:f>IF(OR($B$22&lt;&gt;"Sim",A643&gt;=$B$23+$B$31-1),0,(I644+C644)/(1+$B$9))</x:f>
        <x:v>0</x:v>
      </x:c>
      <x:c r="J643" s="140" t="str">
        <x:f>IF($B$22&lt;&gt;"Sim","Desativada",IF(A643&lt;$B$23,"Antes da compra",IF(A643&lt;$B$23+$B$31,"Parcelas restantes","Encerrado")))</x:f>
        <x:v>Encerrado</x:v>
      </x:c>
      <x:c r="K643" s="141" t="n">
        <x:f>IF(C643&gt;0,C643/(1+$B$9)^A643,0)</x:f>
        <x:v>0</x:v>
      </x:c>
    </x:row>
    <x:row r="644">
      <x:c r="A644" s="142" t="n">
        <x:v>590</x:v>
      </x:c>
      <x:c r="B644" s="179" t="n">
        <x:f>EDATE($B$5,A644-1)</x:f>
        <x:v>64467</x:v>
      </x:c>
      <x:c r="C644" s="141" t="n">
        <x:f>IF(AND($B$22="Sim",A644&gt;=$B$23,A644&lt;$B$23+$B$31),$B$32*D644,0)</x:f>
        <x:v>0</x:v>
      </x:c>
      <x:c r="D644" s="180" t="n">
        <x:f>IF(A644&lt;$B$23,1,(1+$B$33)^INT((A644-$B$23)/12))</x:f>
        <x:v>17.377504033010837</x:v>
      </x:c>
      <x:c r="E644" s="141" t="n">
        <x:f>IF(AND($B$22="Sim",A644=$B$23),$B$37,0)</x:f>
        <x:v>0</x:v>
      </x:c>
      <x:c r="F644" s="141" t="n">
        <x:f>IF(AND($B$22="Sim",A644=$B$24),$B$27,0)</x:f>
        <x:v>0</x:v>
      </x:c>
      <x:c r="G644" s="141" t="n">
        <x:f>IF(AND($B$22="Sim",A644=$B$23),$B$35,0)</x:f>
        <x:v>0</x:v>
      </x:c>
      <x:c r="H644" s="141" t="n">
        <x:f>IF(AND($B$22="Sim",A644=$B$23),$B$36,0)</x:f>
        <x:v>0</x:v>
      </x:c>
      <x:c r="I644" s="141" t="n">
        <x:f>IF(OR($B$22&lt;&gt;"Sim",A644&gt;=$B$23+$B$31-1),0,(I645+C645)/(1+$B$9))</x:f>
        <x:v>0</x:v>
      </x:c>
      <x:c r="J644" s="140" t="str">
        <x:f>IF($B$22&lt;&gt;"Sim","Desativada",IF(A644&lt;$B$23,"Antes da compra",IF(A644&lt;$B$23+$B$31,"Parcelas restantes","Encerrado")))</x:f>
        <x:v>Encerrado</x:v>
      </x:c>
      <x:c r="K644" s="141" t="n">
        <x:f>IF(C644&gt;0,C644/(1+$B$9)^A644,0)</x:f>
        <x:v>0</x:v>
      </x:c>
    </x:row>
    <x:row r="645">
      <x:c r="A645" s="142" t="n">
        <x:v>591</x:v>
      </x:c>
      <x:c r="B645" s="179" t="n">
        <x:f>EDATE($B$5,A645-1)</x:f>
        <x:v>64498</x:v>
      </x:c>
      <x:c r="C645" s="141" t="n">
        <x:f>IF(AND($B$22="Sim",A645&gt;=$B$23,A645&lt;$B$23+$B$31),$B$32*D645,0)</x:f>
        <x:v>0</x:v>
      </x:c>
      <x:c r="D645" s="180" t="n">
        <x:f>IF(A645&lt;$B$23,1,(1+$B$33)^INT((A645-$B$23)/12))</x:f>
        <x:v>17.377504033010837</x:v>
      </x:c>
      <x:c r="E645" s="141" t="n">
        <x:f>IF(AND($B$22="Sim",A645=$B$23),$B$37,0)</x:f>
        <x:v>0</x:v>
      </x:c>
      <x:c r="F645" s="141" t="n">
        <x:f>IF(AND($B$22="Sim",A645=$B$24),$B$27,0)</x:f>
        <x:v>0</x:v>
      </x:c>
      <x:c r="G645" s="141" t="n">
        <x:f>IF(AND($B$22="Sim",A645=$B$23),$B$35,0)</x:f>
        <x:v>0</x:v>
      </x:c>
      <x:c r="H645" s="141" t="n">
        <x:f>IF(AND($B$22="Sim",A645=$B$23),$B$36,0)</x:f>
        <x:v>0</x:v>
      </x:c>
      <x:c r="I645" s="141" t="n">
        <x:f>IF(OR($B$22&lt;&gt;"Sim",A645&gt;=$B$23+$B$31-1),0,(I646+C646)/(1+$B$9))</x:f>
        <x:v>0</x:v>
      </x:c>
      <x:c r="J645" s="140" t="str">
        <x:f>IF($B$22&lt;&gt;"Sim","Desativada",IF(A645&lt;$B$23,"Antes da compra",IF(A645&lt;$B$23+$B$31,"Parcelas restantes","Encerrado")))</x:f>
        <x:v>Encerrado</x:v>
      </x:c>
      <x:c r="K645" s="141" t="n">
        <x:f>IF(C645&gt;0,C645/(1+$B$9)^A645,0)</x:f>
        <x:v>0</x:v>
      </x:c>
    </x:row>
    <x:row r="646">
      <x:c r="A646" s="142" t="n">
        <x:v>592</x:v>
      </x:c>
      <x:c r="B646" s="179" t="n">
        <x:f>EDATE($B$5,A646-1)</x:f>
        <x:v>64529</x:v>
      </x:c>
      <x:c r="C646" s="141" t="n">
        <x:f>IF(AND($B$22="Sim",A646&gt;=$B$23,A646&lt;$B$23+$B$31),$B$32*D646,0)</x:f>
        <x:v>0</x:v>
      </x:c>
      <x:c r="D646" s="180" t="n">
        <x:f>IF(A646&lt;$B$23,1,(1+$B$33)^INT((A646-$B$23)/12))</x:f>
        <x:v>17.377504033010837</x:v>
      </x:c>
      <x:c r="E646" s="141" t="n">
        <x:f>IF(AND($B$22="Sim",A646=$B$23),$B$37,0)</x:f>
        <x:v>0</x:v>
      </x:c>
      <x:c r="F646" s="141" t="n">
        <x:f>IF(AND($B$22="Sim",A646=$B$24),$B$27,0)</x:f>
        <x:v>0</x:v>
      </x:c>
      <x:c r="G646" s="141" t="n">
        <x:f>IF(AND($B$22="Sim",A646=$B$23),$B$35,0)</x:f>
        <x:v>0</x:v>
      </x:c>
      <x:c r="H646" s="141" t="n">
        <x:f>IF(AND($B$22="Sim",A646=$B$23),$B$36,0)</x:f>
        <x:v>0</x:v>
      </x:c>
      <x:c r="I646" s="141" t="n">
        <x:f>IF(OR($B$22&lt;&gt;"Sim",A646&gt;=$B$23+$B$31-1),0,(I647+C647)/(1+$B$9))</x:f>
        <x:v>0</x:v>
      </x:c>
      <x:c r="J646" s="140" t="str">
        <x:f>IF($B$22&lt;&gt;"Sim","Desativada",IF(A646&lt;$B$23,"Antes da compra",IF(A646&lt;$B$23+$B$31,"Parcelas restantes","Encerrado")))</x:f>
        <x:v>Encerrado</x:v>
      </x:c>
      <x:c r="K646" s="141" t="n">
        <x:f>IF(C646&gt;0,C646/(1+$B$9)^A646,0)</x:f>
        <x:v>0</x:v>
      </x:c>
    </x:row>
    <x:row r="647">
      <x:c r="A647" s="142" t="n">
        <x:v>593</x:v>
      </x:c>
      <x:c r="B647" s="179" t="n">
        <x:f>EDATE($B$5,A647-1)</x:f>
        <x:v>64559</x:v>
      </x:c>
      <x:c r="C647" s="141" t="n">
        <x:f>IF(AND($B$22="Sim",A647&gt;=$B$23,A647&lt;$B$23+$B$31),$B$32*D647,0)</x:f>
        <x:v>0</x:v>
      </x:c>
      <x:c r="D647" s="180" t="n">
        <x:f>IF(A647&lt;$B$23,1,(1+$B$33)^INT((A647-$B$23)/12))</x:f>
        <x:v>17.377504033010837</x:v>
      </x:c>
      <x:c r="E647" s="141" t="n">
        <x:f>IF(AND($B$22="Sim",A647=$B$23),$B$37,0)</x:f>
        <x:v>0</x:v>
      </x:c>
      <x:c r="F647" s="141" t="n">
        <x:f>IF(AND($B$22="Sim",A647=$B$24),$B$27,0)</x:f>
        <x:v>0</x:v>
      </x:c>
      <x:c r="G647" s="141" t="n">
        <x:f>IF(AND($B$22="Sim",A647=$B$23),$B$35,0)</x:f>
        <x:v>0</x:v>
      </x:c>
      <x:c r="H647" s="141" t="n">
        <x:f>IF(AND($B$22="Sim",A647=$B$23),$B$36,0)</x:f>
        <x:v>0</x:v>
      </x:c>
      <x:c r="I647" s="141" t="n">
        <x:f>IF(OR($B$22&lt;&gt;"Sim",A647&gt;=$B$23+$B$31-1),0,(I648+C648)/(1+$B$9))</x:f>
        <x:v>0</x:v>
      </x:c>
      <x:c r="J647" s="140" t="str">
        <x:f>IF($B$22&lt;&gt;"Sim","Desativada",IF(A647&lt;$B$23,"Antes da compra",IF(A647&lt;$B$23+$B$31,"Parcelas restantes","Encerrado")))</x:f>
        <x:v>Encerrado</x:v>
      </x:c>
      <x:c r="K647" s="141" t="n">
        <x:f>IF(C647&gt;0,C647/(1+$B$9)^A647,0)</x:f>
        <x:v>0</x:v>
      </x:c>
    </x:row>
    <x:row r="648">
      <x:c r="A648" s="142" t="n">
        <x:v>594</x:v>
      </x:c>
      <x:c r="B648" s="179" t="n">
        <x:f>EDATE($B$5,A648-1)</x:f>
        <x:v>64590</x:v>
      </x:c>
      <x:c r="C648" s="141" t="n">
        <x:f>IF(AND($B$22="Sim",A648&gt;=$B$23,A648&lt;$B$23+$B$31),$B$32*D648,0)</x:f>
        <x:v>0</x:v>
      </x:c>
      <x:c r="D648" s="180" t="n">
        <x:f>IF(A648&lt;$B$23,1,(1+$B$33)^INT((A648-$B$23)/12))</x:f>
        <x:v>17.377504033010837</x:v>
      </x:c>
      <x:c r="E648" s="141" t="n">
        <x:f>IF(AND($B$22="Sim",A648=$B$23),$B$37,0)</x:f>
        <x:v>0</x:v>
      </x:c>
      <x:c r="F648" s="141" t="n">
        <x:f>IF(AND($B$22="Sim",A648=$B$24),$B$27,0)</x:f>
        <x:v>0</x:v>
      </x:c>
      <x:c r="G648" s="141" t="n">
        <x:f>IF(AND($B$22="Sim",A648=$B$23),$B$35,0)</x:f>
        <x:v>0</x:v>
      </x:c>
      <x:c r="H648" s="141" t="n">
        <x:f>IF(AND($B$22="Sim",A648=$B$23),$B$36,0)</x:f>
        <x:v>0</x:v>
      </x:c>
      <x:c r="I648" s="141" t="n">
        <x:f>IF(OR($B$22&lt;&gt;"Sim",A648&gt;=$B$23+$B$31-1),0,(I649+C649)/(1+$B$9))</x:f>
        <x:v>0</x:v>
      </x:c>
      <x:c r="J648" s="140" t="str">
        <x:f>IF($B$22&lt;&gt;"Sim","Desativada",IF(A648&lt;$B$23,"Antes da compra",IF(A648&lt;$B$23+$B$31,"Parcelas restantes","Encerrado")))</x:f>
        <x:v>Encerrado</x:v>
      </x:c>
      <x:c r="K648" s="141" t="n">
        <x:f>IF(C648&gt;0,C648/(1+$B$9)^A648,0)</x:f>
        <x:v>0</x:v>
      </x:c>
    </x:row>
    <x:row r="649">
      <x:c r="A649" s="142" t="n">
        <x:v>595</x:v>
      </x:c>
      <x:c r="B649" s="179" t="n">
        <x:f>EDATE($B$5,A649-1)</x:f>
        <x:v>64620</x:v>
      </x:c>
      <x:c r="C649" s="141" t="n">
        <x:f>IF(AND($B$22="Sim",A649&gt;=$B$23,A649&lt;$B$23+$B$31),$B$32*D649,0)</x:f>
        <x:v>0</x:v>
      </x:c>
      <x:c r="D649" s="180" t="n">
        <x:f>IF(A649&lt;$B$23,1,(1+$B$33)^INT((A649-$B$23)/12))</x:f>
        <x:v>17.377504033010837</x:v>
      </x:c>
      <x:c r="E649" s="141" t="n">
        <x:f>IF(AND($B$22="Sim",A649=$B$23),$B$37,0)</x:f>
        <x:v>0</x:v>
      </x:c>
      <x:c r="F649" s="141" t="n">
        <x:f>IF(AND($B$22="Sim",A649=$B$24),$B$27,0)</x:f>
        <x:v>0</x:v>
      </x:c>
      <x:c r="G649" s="141" t="n">
        <x:f>IF(AND($B$22="Sim",A649=$B$23),$B$35,0)</x:f>
        <x:v>0</x:v>
      </x:c>
      <x:c r="H649" s="141" t="n">
        <x:f>IF(AND($B$22="Sim",A649=$B$23),$B$36,0)</x:f>
        <x:v>0</x:v>
      </x:c>
      <x:c r="I649" s="141" t="n">
        <x:f>IF(OR($B$22&lt;&gt;"Sim",A649&gt;=$B$23+$B$31-1),0,(I650+C650)/(1+$B$9))</x:f>
        <x:v>0</x:v>
      </x:c>
      <x:c r="J649" s="140" t="str">
        <x:f>IF($B$22&lt;&gt;"Sim","Desativada",IF(A649&lt;$B$23,"Antes da compra",IF(A649&lt;$B$23+$B$31,"Parcelas restantes","Encerrado")))</x:f>
        <x:v>Encerrado</x:v>
      </x:c>
      <x:c r="K649" s="141" t="n">
        <x:f>IF(C649&gt;0,C649/(1+$B$9)^A649,0)</x:f>
        <x:v>0</x:v>
      </x:c>
    </x:row>
    <x:row r="650">
      <x:c r="A650" s="142" t="n">
        <x:v>596</x:v>
      </x:c>
      <x:c r="B650" s="179" t="n">
        <x:f>EDATE($B$5,A650-1)</x:f>
        <x:v>64651</x:v>
      </x:c>
      <x:c r="C650" s="141" t="n">
        <x:f>IF(AND($B$22="Sim",A650&gt;=$B$23,A650&lt;$B$23+$B$31),$B$32*D650,0)</x:f>
        <x:v>0</x:v>
      </x:c>
      <x:c r="D650" s="180" t="n">
        <x:f>IF(A650&lt;$B$23,1,(1+$B$33)^INT((A650-$B$23)/12))</x:f>
        <x:v>17.377504033010837</x:v>
      </x:c>
      <x:c r="E650" s="141" t="n">
        <x:f>IF(AND($B$22="Sim",A650=$B$23),$B$37,0)</x:f>
        <x:v>0</x:v>
      </x:c>
      <x:c r="F650" s="141" t="n">
        <x:f>IF(AND($B$22="Sim",A650=$B$24),$B$27,0)</x:f>
        <x:v>0</x:v>
      </x:c>
      <x:c r="G650" s="141" t="n">
        <x:f>IF(AND($B$22="Sim",A650=$B$23),$B$35,0)</x:f>
        <x:v>0</x:v>
      </x:c>
      <x:c r="H650" s="141" t="n">
        <x:f>IF(AND($B$22="Sim",A650=$B$23),$B$36,0)</x:f>
        <x:v>0</x:v>
      </x:c>
      <x:c r="I650" s="141" t="n">
        <x:f>IF(OR($B$22&lt;&gt;"Sim",A650&gt;=$B$23+$B$31-1),0,(I651+C651)/(1+$B$9))</x:f>
        <x:v>0</x:v>
      </x:c>
      <x:c r="J650" s="140" t="str">
        <x:f>IF($B$22&lt;&gt;"Sim","Desativada",IF(A650&lt;$B$23,"Antes da compra",IF(A650&lt;$B$23+$B$31,"Parcelas restantes","Encerrado")))</x:f>
        <x:v>Encerrado</x:v>
      </x:c>
      <x:c r="K650" s="141" t="n">
        <x:f>IF(C650&gt;0,C650/(1+$B$9)^A650,0)</x:f>
        <x:v>0</x:v>
      </x:c>
    </x:row>
    <x:row r="651">
      <x:c r="A651" s="142" t="n">
        <x:v>597</x:v>
      </x:c>
      <x:c r="B651" s="179" t="n">
        <x:f>EDATE($B$5,A651-1)</x:f>
        <x:v>64682</x:v>
      </x:c>
      <x:c r="C651" s="141" t="n">
        <x:f>IF(AND($B$22="Sim",A651&gt;=$B$23,A651&lt;$B$23+$B$31),$B$32*D651,0)</x:f>
        <x:v>0</x:v>
      </x:c>
      <x:c r="D651" s="180" t="n">
        <x:f>IF(A651&lt;$B$23,1,(1+$B$33)^INT((A651-$B$23)/12))</x:f>
        <x:v>17.377504033010837</x:v>
      </x:c>
      <x:c r="E651" s="141" t="n">
        <x:f>IF(AND($B$22="Sim",A651=$B$23),$B$37,0)</x:f>
        <x:v>0</x:v>
      </x:c>
      <x:c r="F651" s="141" t="n">
        <x:f>IF(AND($B$22="Sim",A651=$B$24),$B$27,0)</x:f>
        <x:v>0</x:v>
      </x:c>
      <x:c r="G651" s="141" t="n">
        <x:f>IF(AND($B$22="Sim",A651=$B$23),$B$35,0)</x:f>
        <x:v>0</x:v>
      </x:c>
      <x:c r="H651" s="141" t="n">
        <x:f>IF(AND($B$22="Sim",A651=$B$23),$B$36,0)</x:f>
        <x:v>0</x:v>
      </x:c>
      <x:c r="I651" s="141" t="n">
        <x:f>IF(OR($B$22&lt;&gt;"Sim",A651&gt;=$B$23+$B$31-1),0,(I652+C652)/(1+$B$9))</x:f>
        <x:v>0</x:v>
      </x:c>
      <x:c r="J651" s="140" t="str">
        <x:f>IF($B$22&lt;&gt;"Sim","Desativada",IF(A651&lt;$B$23,"Antes da compra",IF(A651&lt;$B$23+$B$31,"Parcelas restantes","Encerrado")))</x:f>
        <x:v>Encerrado</x:v>
      </x:c>
      <x:c r="K651" s="141" t="n">
        <x:f>IF(C651&gt;0,C651/(1+$B$9)^A651,0)</x:f>
        <x:v>0</x:v>
      </x:c>
    </x:row>
    <x:row r="652">
      <x:c r="A652" s="142" t="n">
        <x:v>598</x:v>
      </x:c>
      <x:c r="B652" s="179" t="n">
        <x:f>EDATE($B$5,A652-1)</x:f>
        <x:v>64710</x:v>
      </x:c>
      <x:c r="C652" s="141" t="n">
        <x:f>IF(AND($B$22="Sim",A652&gt;=$B$23,A652&lt;$B$23+$B$31),$B$32*D652,0)</x:f>
        <x:v>0</x:v>
      </x:c>
      <x:c r="D652" s="180" t="n">
        <x:f>IF(A652&lt;$B$23,1,(1+$B$33)^INT((A652-$B$23)/12))</x:f>
        <x:v>17.377504033010837</x:v>
      </x:c>
      <x:c r="E652" s="141" t="n">
        <x:f>IF(AND($B$22="Sim",A652=$B$23),$B$37,0)</x:f>
        <x:v>0</x:v>
      </x:c>
      <x:c r="F652" s="141" t="n">
        <x:f>IF(AND($B$22="Sim",A652=$B$24),$B$27,0)</x:f>
        <x:v>0</x:v>
      </x:c>
      <x:c r="G652" s="141" t="n">
        <x:f>IF(AND($B$22="Sim",A652=$B$23),$B$35,0)</x:f>
        <x:v>0</x:v>
      </x:c>
      <x:c r="H652" s="141" t="n">
        <x:f>IF(AND($B$22="Sim",A652=$B$23),$B$36,0)</x:f>
        <x:v>0</x:v>
      </x:c>
      <x:c r="I652" s="141" t="n">
        <x:f>IF(OR($B$22&lt;&gt;"Sim",A652&gt;=$B$23+$B$31-1),0,(I653+C653)/(1+$B$9))</x:f>
        <x:v>0</x:v>
      </x:c>
      <x:c r="J652" s="140" t="str">
        <x:f>IF($B$22&lt;&gt;"Sim","Desativada",IF(A652&lt;$B$23,"Antes da compra",IF(A652&lt;$B$23+$B$31,"Parcelas restantes","Encerrado")))</x:f>
        <x:v>Encerrado</x:v>
      </x:c>
      <x:c r="K652" s="141" t="n">
        <x:f>IF(C652&gt;0,C652/(1+$B$9)^A652,0)</x:f>
        <x:v>0</x:v>
      </x:c>
    </x:row>
    <x:row r="653">
      <x:c r="A653" s="142" t="n">
        <x:v>599</x:v>
      </x:c>
      <x:c r="B653" s="179" t="n">
        <x:f>EDATE($B$5,A653-1)</x:f>
        <x:v>64741</x:v>
      </x:c>
      <x:c r="C653" s="141" t="n">
        <x:f>IF(AND($B$22="Sim",A653&gt;=$B$23,A653&lt;$B$23+$B$31),$B$32*D653,0)</x:f>
        <x:v>0</x:v>
      </x:c>
      <x:c r="D653" s="180" t="n">
        <x:f>IF(A653&lt;$B$23,1,(1+$B$33)^INT((A653-$B$23)/12))</x:f>
        <x:v>17.377504033010837</x:v>
      </x:c>
      <x:c r="E653" s="141" t="n">
        <x:f>IF(AND($B$22="Sim",A653=$B$23),$B$37,0)</x:f>
        <x:v>0</x:v>
      </x:c>
      <x:c r="F653" s="141" t="n">
        <x:f>IF(AND($B$22="Sim",A653=$B$24),$B$27,0)</x:f>
        <x:v>0</x:v>
      </x:c>
      <x:c r="G653" s="141" t="n">
        <x:f>IF(AND($B$22="Sim",A653=$B$23),$B$35,0)</x:f>
        <x:v>0</x:v>
      </x:c>
      <x:c r="H653" s="141" t="n">
        <x:f>IF(AND($B$22="Sim",A653=$B$23),$B$36,0)</x:f>
        <x:v>0</x:v>
      </x:c>
      <x:c r="I653" s="141" t="n">
        <x:f>IF(OR($B$22&lt;&gt;"Sim",A653&gt;=$B$23+$B$31-1),0,(I654+C654)/(1+$B$9))</x:f>
        <x:v>0</x:v>
      </x:c>
      <x:c r="J653" s="140" t="str">
        <x:f>IF($B$22&lt;&gt;"Sim","Desativada",IF(A653&lt;$B$23,"Antes da compra",IF(A653&lt;$B$23+$B$31,"Parcelas restantes","Encerrado")))</x:f>
        <x:v>Encerrado</x:v>
      </x:c>
      <x:c r="K653" s="141" t="n">
        <x:f>IF(C653&gt;0,C653/(1+$B$9)^A653,0)</x:f>
        <x:v>0</x:v>
      </x:c>
    </x:row>
    <x:row r="654">
      <x:c r="A654" s="142" t="n">
        <x:v>600</x:v>
      </x:c>
      <x:c r="B654" s="179" t="n">
        <x:f>EDATE($B$5,A654-1)</x:f>
        <x:v>64771</x:v>
      </x:c>
      <x:c r="C654" s="141" t="n">
        <x:f>IF(AND($B$22="Sim",A654&gt;=$B$23,A654&lt;$B$23+$B$31),$B$32*D654,0)</x:f>
        <x:v>0</x:v>
      </x:c>
      <x:c r="D654" s="180" t="n">
        <x:f>IF(A654&lt;$B$23,1,(1+$B$33)^INT((A654-$B$23)/12))</x:f>
        <x:v>17.377504033010837</x:v>
      </x:c>
      <x:c r="E654" s="141" t="n">
        <x:f>IF(AND($B$22="Sim",A654=$B$23),$B$37,0)</x:f>
        <x:v>0</x:v>
      </x:c>
      <x:c r="F654" s="141" t="n">
        <x:f>IF(AND($B$22="Sim",A654=$B$24),$B$27,0)</x:f>
        <x:v>0</x:v>
      </x:c>
      <x:c r="G654" s="141" t="n">
        <x:f>IF(AND($B$22="Sim",A654=$B$23),$B$35,0)</x:f>
        <x:v>0</x:v>
      </x:c>
      <x:c r="H654" s="141" t="n">
        <x:f>IF(AND($B$22="Sim",A654=$B$23),$B$36,0)</x:f>
        <x:v>0</x:v>
      </x:c>
      <x:c r="I654" s="141" t="n">
        <x:f>IF(OR($B$22&lt;&gt;"Sim",A654&gt;=$B$23+$B$31-1),0,(I655+C655)/(1+$B$9))</x:f>
        <x:v>0</x:v>
      </x:c>
      <x:c r="J654" s="140" t="str">
        <x:f>IF($B$22&lt;&gt;"Sim","Desativada",IF(A654&lt;$B$23,"Antes da compra",IF(A654&lt;$B$23+$B$31,"Parcelas restantes","Encerrado")))</x:f>
        <x:v>Encerrado</x:v>
      </x:c>
      <x:c r="K654" s="141" t="n">
        <x:f>IF(C654&gt;0,C654/(1+$B$9)^A654,0)</x:f>
        <x:v>0</x:v>
      </x:c>
    </x:row>
    <x:row r="655">
      <x:c r="A655" s="142" t="n">
        <x:v>601</x:v>
      </x:c>
      <x:c r="B655" s="179" t="n">
        <x:f>EDATE($B$5,A655-1)</x:f>
        <x:v>64802</x:v>
      </x:c>
      <x:c r="C655" s="141" t="n">
        <x:f>IF(AND($B$22="Sim",A655&gt;=$B$23,A655&lt;$B$23+$B$31),$B$32*D655,0)</x:f>
        <x:v>0</x:v>
      </x:c>
      <x:c r="D655" s="180" t="n">
        <x:f>IF(A655&lt;$B$23,1,(1+$B$33)^INT((A655-$B$23)/12))</x:f>
        <x:v>18.42015427499149</x:v>
      </x:c>
      <x:c r="E655" s="141" t="n">
        <x:f>IF(AND($B$22="Sim",A655=$B$23),$B$37,0)</x:f>
        <x:v>0</x:v>
      </x:c>
      <x:c r="F655" s="141" t="n">
        <x:f>IF(AND($B$22="Sim",A655=$B$24),$B$27,0)</x:f>
        <x:v>0</x:v>
      </x:c>
      <x:c r="G655" s="141" t="n">
        <x:f>IF(AND($B$22="Sim",A655=$B$23),$B$35,0)</x:f>
        <x:v>0</x:v>
      </x:c>
      <x:c r="H655" s="141" t="n">
        <x:f>IF(AND($B$22="Sim",A655=$B$23),$B$36,0)</x:f>
        <x:v>0</x:v>
      </x:c>
      <x:c r="I655" s="141" t="n">
        <x:f>IF(OR($B$22&lt;&gt;"Sim",A655&gt;=$B$23+$B$31-1),0,(I656+C656)/(1+$B$9))</x:f>
        <x:v>0</x:v>
      </x:c>
      <x:c r="J655" s="140" t="str">
        <x:f>IF($B$22&lt;&gt;"Sim","Desativada",IF(A655&lt;$B$23,"Antes da compra",IF(A655&lt;$B$23+$B$31,"Parcelas restantes","Encerrado")))</x:f>
        <x:v>Encerrado</x:v>
      </x:c>
      <x:c r="K655" s="141" t="n">
        <x:f>IF(C655&gt;0,C655/(1+$B$9)^A655,0)</x:f>
        <x:v>0</x:v>
      </x:c>
    </x:row>
    <x:row r="656">
      <x:c r="A656" s="142" t="n">
        <x:v>602</x:v>
      </x:c>
      <x:c r="B656" s="179" t="n">
        <x:f>EDATE($B$5,A656-1)</x:f>
        <x:v>64832</x:v>
      </x:c>
      <x:c r="C656" s="141" t="n">
        <x:f>IF(AND($B$22="Sim",A656&gt;=$B$23,A656&lt;$B$23+$B$31),$B$32*D656,0)</x:f>
        <x:v>0</x:v>
      </x:c>
      <x:c r="D656" s="180" t="n">
        <x:f>IF(A656&lt;$B$23,1,(1+$B$33)^INT((A656-$B$23)/12))</x:f>
        <x:v>18.42015427499149</x:v>
      </x:c>
      <x:c r="E656" s="141" t="n">
        <x:f>IF(AND($B$22="Sim",A656=$B$23),$B$37,0)</x:f>
        <x:v>0</x:v>
      </x:c>
      <x:c r="F656" s="141" t="n">
        <x:f>IF(AND($B$22="Sim",A656=$B$24),$B$27,0)</x:f>
        <x:v>0</x:v>
      </x:c>
      <x:c r="G656" s="141" t="n">
        <x:f>IF(AND($B$22="Sim",A656=$B$23),$B$35,0)</x:f>
        <x:v>0</x:v>
      </x:c>
      <x:c r="H656" s="141" t="n">
        <x:f>IF(AND($B$22="Sim",A656=$B$23),$B$36,0)</x:f>
        <x:v>0</x:v>
      </x:c>
      <x:c r="I656" s="141" t="n">
        <x:f>IF(OR($B$22&lt;&gt;"Sim",A656&gt;=$B$23+$B$31-1),0,(I657+C657)/(1+$B$9))</x:f>
        <x:v>0</x:v>
      </x:c>
      <x:c r="J656" s="140" t="str">
        <x:f>IF($B$22&lt;&gt;"Sim","Desativada",IF(A656&lt;$B$23,"Antes da compra",IF(A656&lt;$B$23+$B$31,"Parcelas restantes","Encerrado")))</x:f>
        <x:v>Encerrado</x:v>
      </x:c>
      <x:c r="K656" s="141" t="n">
        <x:f>IF(C656&gt;0,C656/(1+$B$9)^A656,0)</x:f>
        <x:v>0</x:v>
      </x:c>
    </x:row>
    <x:row r="657">
      <x:c r="A657" s="142" t="n">
        <x:v>603</x:v>
      </x:c>
      <x:c r="B657" s="179" t="n">
        <x:f>EDATE($B$5,A657-1)</x:f>
        <x:v>64863</x:v>
      </x:c>
      <x:c r="C657" s="141" t="n">
        <x:f>IF(AND($B$22="Sim",A657&gt;=$B$23,A657&lt;$B$23+$B$31),$B$32*D657,0)</x:f>
        <x:v>0</x:v>
      </x:c>
      <x:c r="D657" s="180" t="n">
        <x:f>IF(A657&lt;$B$23,1,(1+$B$33)^INT((A657-$B$23)/12))</x:f>
        <x:v>18.42015427499149</x:v>
      </x:c>
      <x:c r="E657" s="141" t="n">
        <x:f>IF(AND($B$22="Sim",A657=$B$23),$B$37,0)</x:f>
        <x:v>0</x:v>
      </x:c>
      <x:c r="F657" s="141" t="n">
        <x:f>IF(AND($B$22="Sim",A657=$B$24),$B$27,0)</x:f>
        <x:v>0</x:v>
      </x:c>
      <x:c r="G657" s="141" t="n">
        <x:f>IF(AND($B$22="Sim",A657=$B$23),$B$35,0)</x:f>
        <x:v>0</x:v>
      </x:c>
      <x:c r="H657" s="141" t="n">
        <x:f>IF(AND($B$22="Sim",A657=$B$23),$B$36,0)</x:f>
        <x:v>0</x:v>
      </x:c>
      <x:c r="I657" s="141" t="n">
        <x:f>IF(OR($B$22&lt;&gt;"Sim",A657&gt;=$B$23+$B$31-1),0,(I658+C658)/(1+$B$9))</x:f>
        <x:v>0</x:v>
      </x:c>
      <x:c r="J657" s="140" t="str">
        <x:f>IF($B$22&lt;&gt;"Sim","Desativada",IF(A657&lt;$B$23,"Antes da compra",IF(A657&lt;$B$23+$B$31,"Parcelas restantes","Encerrado")))</x:f>
        <x:v>Encerrado</x:v>
      </x:c>
      <x:c r="K657" s="141" t="n">
        <x:f>IF(C657&gt;0,C657/(1+$B$9)^A657,0)</x:f>
        <x:v>0</x:v>
      </x:c>
    </x:row>
    <x:row r="658">
      <x:c r="A658" s="142" t="n">
        <x:v>604</x:v>
      </x:c>
      <x:c r="B658" s="179" t="n">
        <x:f>EDATE($B$5,A658-1)</x:f>
        <x:v>64894</x:v>
      </x:c>
      <x:c r="C658" s="141" t="n">
        <x:f>IF(AND($B$22="Sim",A658&gt;=$B$23,A658&lt;$B$23+$B$31),$B$32*D658,0)</x:f>
        <x:v>0</x:v>
      </x:c>
      <x:c r="D658" s="180" t="n">
        <x:f>IF(A658&lt;$B$23,1,(1+$B$33)^INT((A658-$B$23)/12))</x:f>
        <x:v>18.42015427499149</x:v>
      </x:c>
      <x:c r="E658" s="141" t="n">
        <x:f>IF(AND($B$22="Sim",A658=$B$23),$B$37,0)</x:f>
        <x:v>0</x:v>
      </x:c>
      <x:c r="F658" s="141" t="n">
        <x:f>IF(AND($B$22="Sim",A658=$B$24),$B$27,0)</x:f>
        <x:v>0</x:v>
      </x:c>
      <x:c r="G658" s="141" t="n">
        <x:f>IF(AND($B$22="Sim",A658=$B$23),$B$35,0)</x:f>
        <x:v>0</x:v>
      </x:c>
      <x:c r="H658" s="141" t="n">
        <x:f>IF(AND($B$22="Sim",A658=$B$23),$B$36,0)</x:f>
        <x:v>0</x:v>
      </x:c>
      <x:c r="I658" s="141" t="n">
        <x:f>IF(OR($B$22&lt;&gt;"Sim",A658&gt;=$B$23+$B$31-1),0,(I659+C659)/(1+$B$9))</x:f>
        <x:v>0</x:v>
      </x:c>
      <x:c r="J658" s="140" t="str">
        <x:f>IF($B$22&lt;&gt;"Sim","Desativada",IF(A658&lt;$B$23,"Antes da compra",IF(A658&lt;$B$23+$B$31,"Parcelas restantes","Encerrado")))</x:f>
        <x:v>Encerrado</x:v>
      </x:c>
      <x:c r="K658" s="141" t="n">
        <x:f>IF(C658&gt;0,C658/(1+$B$9)^A658,0)</x:f>
        <x:v>0</x:v>
      </x:c>
    </x:row>
    <x:row r="659">
      <x:c r="A659" s="142" t="n">
        <x:v>605</x:v>
      </x:c>
      <x:c r="B659" s="179" t="n">
        <x:f>EDATE($B$5,A659-1)</x:f>
        <x:v>64924</x:v>
      </x:c>
      <x:c r="C659" s="141" t="n">
        <x:f>IF(AND($B$22="Sim",A659&gt;=$B$23,A659&lt;$B$23+$B$31),$B$32*D659,0)</x:f>
        <x:v>0</x:v>
      </x:c>
      <x:c r="D659" s="180" t="n">
        <x:f>IF(A659&lt;$B$23,1,(1+$B$33)^INT((A659-$B$23)/12))</x:f>
        <x:v>18.42015427499149</x:v>
      </x:c>
      <x:c r="E659" s="141" t="n">
        <x:f>IF(AND($B$22="Sim",A659=$B$23),$B$37,0)</x:f>
        <x:v>0</x:v>
      </x:c>
      <x:c r="F659" s="141" t="n">
        <x:f>IF(AND($B$22="Sim",A659=$B$24),$B$27,0)</x:f>
        <x:v>0</x:v>
      </x:c>
      <x:c r="G659" s="141" t="n">
        <x:f>IF(AND($B$22="Sim",A659=$B$23),$B$35,0)</x:f>
        <x:v>0</x:v>
      </x:c>
      <x:c r="H659" s="141" t="n">
        <x:f>IF(AND($B$22="Sim",A659=$B$23),$B$36,0)</x:f>
        <x:v>0</x:v>
      </x:c>
      <x:c r="I659" s="141" t="n">
        <x:f>IF(OR($B$22&lt;&gt;"Sim",A659&gt;=$B$23+$B$31-1),0,(I660+C660)/(1+$B$9))</x:f>
        <x:v>0</x:v>
      </x:c>
      <x:c r="J659" s="140" t="str">
        <x:f>IF($B$22&lt;&gt;"Sim","Desativada",IF(A659&lt;$B$23,"Antes da compra",IF(A659&lt;$B$23+$B$31,"Parcelas restantes","Encerrado")))</x:f>
        <x:v>Encerrado</x:v>
      </x:c>
      <x:c r="K659" s="141" t="n">
        <x:f>IF(C659&gt;0,C659/(1+$B$9)^A659,0)</x:f>
        <x:v>0</x:v>
      </x:c>
    </x:row>
    <x:row r="660">
      <x:c r="A660" s="142" t="n">
        <x:v>606</x:v>
      </x:c>
      <x:c r="B660" s="179" t="n">
        <x:f>EDATE($B$5,A660-1)</x:f>
        <x:v>64955</x:v>
      </x:c>
      <x:c r="C660" s="141" t="n">
        <x:f>IF(AND($B$22="Sim",A660&gt;=$B$23,A660&lt;$B$23+$B$31),$B$32*D660,0)</x:f>
        <x:v>0</x:v>
      </x:c>
      <x:c r="D660" s="180" t="n">
        <x:f>IF(A660&lt;$B$23,1,(1+$B$33)^INT((A660-$B$23)/12))</x:f>
        <x:v>18.42015427499149</x:v>
      </x:c>
      <x:c r="E660" s="141" t="n">
        <x:f>IF(AND($B$22="Sim",A660=$B$23),$B$37,0)</x:f>
        <x:v>0</x:v>
      </x:c>
      <x:c r="F660" s="141" t="n">
        <x:f>IF(AND($B$22="Sim",A660=$B$24),$B$27,0)</x:f>
        <x:v>0</x:v>
      </x:c>
      <x:c r="G660" s="141" t="n">
        <x:f>IF(AND($B$22="Sim",A660=$B$23),$B$35,0)</x:f>
        <x:v>0</x:v>
      </x:c>
      <x:c r="H660" s="141" t="n">
        <x:f>IF(AND($B$22="Sim",A660=$B$23),$B$36,0)</x:f>
        <x:v>0</x:v>
      </x:c>
      <x:c r="I660" s="141" t="n">
        <x:f>IF(OR($B$22&lt;&gt;"Sim",A660&gt;=$B$23+$B$31-1),0,(I661+C661)/(1+$B$9))</x:f>
        <x:v>0</x:v>
      </x:c>
      <x:c r="J660" s="140" t="str">
        <x:f>IF($B$22&lt;&gt;"Sim","Desativada",IF(A660&lt;$B$23,"Antes da compra",IF(A660&lt;$B$23+$B$31,"Parcelas restantes","Encerrado")))</x:f>
        <x:v>Encerrado</x:v>
      </x:c>
      <x:c r="K660" s="141" t="n">
        <x:f>IF(C660&gt;0,C660/(1+$B$9)^A660,0)</x:f>
        <x:v>0</x:v>
      </x:c>
    </x:row>
    <x:row r="661">
      <x:c r="A661" s="142" t="n">
        <x:v>607</x:v>
      </x:c>
      <x:c r="B661" s="179" t="n">
        <x:f>EDATE($B$5,A661-1)</x:f>
        <x:v>64985</x:v>
      </x:c>
      <x:c r="C661" s="141" t="n">
        <x:f>IF(AND($B$22="Sim",A661&gt;=$B$23,A661&lt;$B$23+$B$31),$B$32*D661,0)</x:f>
        <x:v>0</x:v>
      </x:c>
      <x:c r="D661" s="180" t="n">
        <x:f>IF(A661&lt;$B$23,1,(1+$B$33)^INT((A661-$B$23)/12))</x:f>
        <x:v>18.42015427499149</x:v>
      </x:c>
      <x:c r="E661" s="141" t="n">
        <x:f>IF(AND($B$22="Sim",A661=$B$23),$B$37,0)</x:f>
        <x:v>0</x:v>
      </x:c>
      <x:c r="F661" s="141" t="n">
        <x:f>IF(AND($B$22="Sim",A661=$B$24),$B$27,0)</x:f>
        <x:v>0</x:v>
      </x:c>
      <x:c r="G661" s="141" t="n">
        <x:f>IF(AND($B$22="Sim",A661=$B$23),$B$35,0)</x:f>
        <x:v>0</x:v>
      </x:c>
      <x:c r="H661" s="141" t="n">
        <x:f>IF(AND($B$22="Sim",A661=$B$23),$B$36,0)</x:f>
        <x:v>0</x:v>
      </x:c>
      <x:c r="I661" s="141" t="n">
        <x:f>IF(OR($B$22&lt;&gt;"Sim",A661&gt;=$B$23+$B$31-1),0,(I662+C662)/(1+$B$9))</x:f>
        <x:v>0</x:v>
      </x:c>
      <x:c r="J661" s="140" t="str">
        <x:f>IF($B$22&lt;&gt;"Sim","Desativada",IF(A661&lt;$B$23,"Antes da compra",IF(A661&lt;$B$23+$B$31,"Parcelas restantes","Encerrado")))</x:f>
        <x:v>Encerrado</x:v>
      </x:c>
      <x:c r="K661" s="141" t="n">
        <x:f>IF(C661&gt;0,C661/(1+$B$9)^A661,0)</x:f>
        <x:v>0</x:v>
      </x:c>
    </x:row>
    <x:row r="662">
      <x:c r="A662" s="142" t="n">
        <x:v>608</x:v>
      </x:c>
      <x:c r="B662" s="179" t="n">
        <x:f>EDATE($B$5,A662-1)</x:f>
        <x:v>65016</x:v>
      </x:c>
      <x:c r="C662" s="141" t="n">
        <x:f>IF(AND($B$22="Sim",A662&gt;=$B$23,A662&lt;$B$23+$B$31),$B$32*D662,0)</x:f>
        <x:v>0</x:v>
      </x:c>
      <x:c r="D662" s="180" t="n">
        <x:f>IF(A662&lt;$B$23,1,(1+$B$33)^INT((A662-$B$23)/12))</x:f>
        <x:v>18.42015427499149</x:v>
      </x:c>
      <x:c r="E662" s="141" t="n">
        <x:f>IF(AND($B$22="Sim",A662=$B$23),$B$37,0)</x:f>
        <x:v>0</x:v>
      </x:c>
      <x:c r="F662" s="141" t="n">
        <x:f>IF(AND($B$22="Sim",A662=$B$24),$B$27,0)</x:f>
        <x:v>0</x:v>
      </x:c>
      <x:c r="G662" s="141" t="n">
        <x:f>IF(AND($B$22="Sim",A662=$B$23),$B$35,0)</x:f>
        <x:v>0</x:v>
      </x:c>
      <x:c r="H662" s="141" t="n">
        <x:f>IF(AND($B$22="Sim",A662=$B$23),$B$36,0)</x:f>
        <x:v>0</x:v>
      </x:c>
      <x:c r="I662" s="141" t="n">
        <x:f>IF(OR($B$22&lt;&gt;"Sim",A662&gt;=$B$23+$B$31-1),0,(I663+C663)/(1+$B$9))</x:f>
        <x:v>0</x:v>
      </x:c>
      <x:c r="J662" s="140" t="str">
        <x:f>IF($B$22&lt;&gt;"Sim","Desativada",IF(A662&lt;$B$23,"Antes da compra",IF(A662&lt;$B$23+$B$31,"Parcelas restantes","Encerrado")))</x:f>
        <x:v>Encerrado</x:v>
      </x:c>
      <x:c r="K662" s="141" t="n">
        <x:f>IF(C662&gt;0,C662/(1+$B$9)^A662,0)</x:f>
        <x:v>0</x:v>
      </x:c>
    </x:row>
    <x:row r="663">
      <x:c r="A663" s="142" t="n">
        <x:v>609</x:v>
      </x:c>
      <x:c r="B663" s="179" t="n">
        <x:f>EDATE($B$5,A663-1)</x:f>
        <x:v>65047</x:v>
      </x:c>
      <x:c r="C663" s="141" t="n">
        <x:f>IF(AND($B$22="Sim",A663&gt;=$B$23,A663&lt;$B$23+$B$31),$B$32*D663,0)</x:f>
        <x:v>0</x:v>
      </x:c>
      <x:c r="D663" s="180" t="n">
        <x:f>IF(A663&lt;$B$23,1,(1+$B$33)^INT((A663-$B$23)/12))</x:f>
        <x:v>18.42015427499149</x:v>
      </x:c>
      <x:c r="E663" s="141" t="n">
        <x:f>IF(AND($B$22="Sim",A663=$B$23),$B$37,0)</x:f>
        <x:v>0</x:v>
      </x:c>
      <x:c r="F663" s="141" t="n">
        <x:f>IF(AND($B$22="Sim",A663=$B$24),$B$27,0)</x:f>
        <x:v>0</x:v>
      </x:c>
      <x:c r="G663" s="141" t="n">
        <x:f>IF(AND($B$22="Sim",A663=$B$23),$B$35,0)</x:f>
        <x:v>0</x:v>
      </x:c>
      <x:c r="H663" s="141" t="n">
        <x:f>IF(AND($B$22="Sim",A663=$B$23),$B$36,0)</x:f>
        <x:v>0</x:v>
      </x:c>
      <x:c r="I663" s="141" t="n">
        <x:f>IF(OR($B$22&lt;&gt;"Sim",A663&gt;=$B$23+$B$31-1),0,(I664+C664)/(1+$B$9))</x:f>
        <x:v>0</x:v>
      </x:c>
      <x:c r="J663" s="140" t="str">
        <x:f>IF($B$22&lt;&gt;"Sim","Desativada",IF(A663&lt;$B$23,"Antes da compra",IF(A663&lt;$B$23+$B$31,"Parcelas restantes","Encerrado")))</x:f>
        <x:v>Encerrado</x:v>
      </x:c>
      <x:c r="K663" s="141" t="n">
        <x:f>IF(C663&gt;0,C663/(1+$B$9)^A663,0)</x:f>
        <x:v>0</x:v>
      </x:c>
    </x:row>
    <x:row r="664">
      <x:c r="A664" s="142" t="n">
        <x:v>610</x:v>
      </x:c>
      <x:c r="B664" s="179" t="n">
        <x:f>EDATE($B$5,A664-1)</x:f>
        <x:v>65075</x:v>
      </x:c>
      <x:c r="C664" s="141" t="n">
        <x:f>IF(AND($B$22="Sim",A664&gt;=$B$23,A664&lt;$B$23+$B$31),$B$32*D664,0)</x:f>
        <x:v>0</x:v>
      </x:c>
      <x:c r="D664" s="180" t="n">
        <x:f>IF(A664&lt;$B$23,1,(1+$B$33)^INT((A664-$B$23)/12))</x:f>
        <x:v>18.42015427499149</x:v>
      </x:c>
      <x:c r="E664" s="141" t="n">
        <x:f>IF(AND($B$22="Sim",A664=$B$23),$B$37,0)</x:f>
        <x:v>0</x:v>
      </x:c>
      <x:c r="F664" s="141" t="n">
        <x:f>IF(AND($B$22="Sim",A664=$B$24),$B$27,0)</x:f>
        <x:v>0</x:v>
      </x:c>
      <x:c r="G664" s="141" t="n">
        <x:f>IF(AND($B$22="Sim",A664=$B$23),$B$35,0)</x:f>
        <x:v>0</x:v>
      </x:c>
      <x:c r="H664" s="141" t="n">
        <x:f>IF(AND($B$22="Sim",A664=$B$23),$B$36,0)</x:f>
        <x:v>0</x:v>
      </x:c>
      <x:c r="I664" s="141" t="n">
        <x:f>IF(OR($B$22&lt;&gt;"Sim",A664&gt;=$B$23+$B$31-1),0,(I665+C665)/(1+$B$9))</x:f>
        <x:v>0</x:v>
      </x:c>
      <x:c r="J664" s="140" t="str">
        <x:f>IF($B$22&lt;&gt;"Sim","Desativada",IF(A664&lt;$B$23,"Antes da compra",IF(A664&lt;$B$23+$B$31,"Parcelas restantes","Encerrado")))</x:f>
        <x:v>Encerrado</x:v>
      </x:c>
      <x:c r="K664" s="141" t="n">
        <x:f>IF(C664&gt;0,C664/(1+$B$9)^A664,0)</x:f>
        <x:v>0</x:v>
      </x:c>
    </x:row>
    <x:row r="665">
      <x:c r="A665" s="142" t="n">
        <x:v>611</x:v>
      </x:c>
      <x:c r="B665" s="179" t="n">
        <x:f>EDATE($B$5,A665-1)</x:f>
        <x:v>65106</x:v>
      </x:c>
      <x:c r="C665" s="141" t="n">
        <x:f>IF(AND($B$22="Sim",A665&gt;=$B$23,A665&lt;$B$23+$B$31),$B$32*D665,0)</x:f>
        <x:v>0</x:v>
      </x:c>
      <x:c r="D665" s="180" t="n">
        <x:f>IF(A665&lt;$B$23,1,(1+$B$33)^INT((A665-$B$23)/12))</x:f>
        <x:v>18.42015427499149</x:v>
      </x:c>
      <x:c r="E665" s="141" t="n">
        <x:f>IF(AND($B$22="Sim",A665=$B$23),$B$37,0)</x:f>
        <x:v>0</x:v>
      </x:c>
      <x:c r="F665" s="141" t="n">
        <x:f>IF(AND($B$22="Sim",A665=$B$24),$B$27,0)</x:f>
        <x:v>0</x:v>
      </x:c>
      <x:c r="G665" s="141" t="n">
        <x:f>IF(AND($B$22="Sim",A665=$B$23),$B$35,0)</x:f>
        <x:v>0</x:v>
      </x:c>
      <x:c r="H665" s="141" t="n">
        <x:f>IF(AND($B$22="Sim",A665=$B$23),$B$36,0)</x:f>
        <x:v>0</x:v>
      </x:c>
      <x:c r="I665" s="141" t="n">
        <x:f>IF(OR($B$22&lt;&gt;"Sim",A665&gt;=$B$23+$B$31-1),0,(I666+C666)/(1+$B$9))</x:f>
        <x:v>0</x:v>
      </x:c>
      <x:c r="J665" s="140" t="str">
        <x:f>IF($B$22&lt;&gt;"Sim","Desativada",IF(A665&lt;$B$23,"Antes da compra",IF(A665&lt;$B$23+$B$31,"Parcelas restantes","Encerrado")))</x:f>
        <x:v>Encerrado</x:v>
      </x:c>
      <x:c r="K665" s="141" t="n">
        <x:f>IF(C665&gt;0,C665/(1+$B$9)^A665,0)</x:f>
        <x:v>0</x:v>
      </x:c>
    </x:row>
    <x:row r="666">
      <x:c r="A666" s="142" t="n">
        <x:v>612</x:v>
      </x:c>
      <x:c r="B666" s="179" t="n">
        <x:f>EDATE($B$5,A666-1)</x:f>
        <x:v>65136</x:v>
      </x:c>
      <x:c r="C666" s="141" t="n">
        <x:f>IF(AND($B$22="Sim",A666&gt;=$B$23,A666&lt;$B$23+$B$31),$B$32*D666,0)</x:f>
        <x:v>0</x:v>
      </x:c>
      <x:c r="D666" s="180" t="n">
        <x:f>IF(A666&lt;$B$23,1,(1+$B$33)^INT((A666-$B$23)/12))</x:f>
        <x:v>18.42015427499149</x:v>
      </x:c>
      <x:c r="E666" s="141" t="n">
        <x:f>IF(AND($B$22="Sim",A666=$B$23),$B$37,0)</x:f>
        <x:v>0</x:v>
      </x:c>
      <x:c r="F666" s="141" t="n">
        <x:f>IF(AND($B$22="Sim",A666=$B$24),$B$27,0)</x:f>
        <x:v>0</x:v>
      </x:c>
      <x:c r="G666" s="141" t="n">
        <x:f>IF(AND($B$22="Sim",A666=$B$23),$B$35,0)</x:f>
        <x:v>0</x:v>
      </x:c>
      <x:c r="H666" s="141" t="n">
        <x:f>IF(AND($B$22="Sim",A666=$B$23),$B$36,0)</x:f>
        <x:v>0</x:v>
      </x:c>
      <x:c r="I666" s="141" t="n">
        <x:f>IF(OR($B$22&lt;&gt;"Sim",A666&gt;=$B$23+$B$31-1),0,(I667+C667)/(1+$B$9))</x:f>
        <x:v>0</x:v>
      </x:c>
      <x:c r="J666" s="140" t="str">
        <x:f>IF($B$22&lt;&gt;"Sim","Desativada",IF(A666&lt;$B$23,"Antes da compra",IF(A666&lt;$B$23+$B$31,"Parcelas restantes","Encerrado")))</x:f>
        <x:v>Encerrado</x:v>
      </x:c>
      <x:c r="K666" s="141" t="n">
        <x:f>IF(C666&gt;0,C666/(1+$B$9)^A666,0)</x:f>
        <x:v>0</x:v>
      </x:c>
    </x:row>
    <x:row r="667">
      <x:c r="A667" s="142" t="n">
        <x:v>613</x:v>
      </x:c>
      <x:c r="B667" s="179" t="n">
        <x:f>EDATE($B$5,A667-1)</x:f>
        <x:v>65167</x:v>
      </x:c>
      <x:c r="C667" s="141" t="n">
        <x:f>IF(AND($B$22="Sim",A667&gt;=$B$23,A667&lt;$B$23+$B$31),$B$32*D667,0)</x:f>
        <x:v>0</x:v>
      </x:c>
      <x:c r="D667" s="180" t="n">
        <x:f>IF(A667&lt;$B$23,1,(1+$B$33)^INT((A667-$B$23)/12))</x:f>
        <x:v>19.525363531490978</x:v>
      </x:c>
      <x:c r="E667" s="141" t="n">
        <x:f>IF(AND($B$22="Sim",A667=$B$23),$B$37,0)</x:f>
        <x:v>0</x:v>
      </x:c>
      <x:c r="F667" s="141" t="n">
        <x:f>IF(AND($B$22="Sim",A667=$B$24),$B$27,0)</x:f>
        <x:v>0</x:v>
      </x:c>
      <x:c r="G667" s="141" t="n">
        <x:f>IF(AND($B$22="Sim",A667=$B$23),$B$35,0)</x:f>
        <x:v>0</x:v>
      </x:c>
      <x:c r="H667" s="141" t="n">
        <x:f>IF(AND($B$22="Sim",A667=$B$23),$B$36,0)</x:f>
        <x:v>0</x:v>
      </x:c>
      <x:c r="I667" s="141" t="n">
        <x:f>IF(OR($B$22&lt;&gt;"Sim",A667&gt;=$B$23+$B$31-1),0,(I668+C668)/(1+$B$9))</x:f>
        <x:v>0</x:v>
      </x:c>
      <x:c r="J667" s="140" t="str">
        <x:f>IF($B$22&lt;&gt;"Sim","Desativada",IF(A667&lt;$B$23,"Antes da compra",IF(A667&lt;$B$23+$B$31,"Parcelas restantes","Encerrado")))</x:f>
        <x:v>Encerrado</x:v>
      </x:c>
      <x:c r="K667" s="141" t="n">
        <x:f>IF(C667&gt;0,C667/(1+$B$9)^A667,0)</x:f>
        <x:v>0</x:v>
      </x:c>
    </x:row>
    <x:row r="668">
      <x:c r="A668" s="142" t="n">
        <x:v>614</x:v>
      </x:c>
      <x:c r="B668" s="179" t="n">
        <x:f>EDATE($B$5,A668-1)</x:f>
        <x:v>65197</x:v>
      </x:c>
      <x:c r="C668" s="141" t="n">
        <x:f>IF(AND($B$22="Sim",A668&gt;=$B$23,A668&lt;$B$23+$B$31),$B$32*D668,0)</x:f>
        <x:v>0</x:v>
      </x:c>
      <x:c r="D668" s="180" t="n">
        <x:f>IF(A668&lt;$B$23,1,(1+$B$33)^INT((A668-$B$23)/12))</x:f>
        <x:v>19.525363531490978</x:v>
      </x:c>
      <x:c r="E668" s="141" t="n">
        <x:f>IF(AND($B$22="Sim",A668=$B$23),$B$37,0)</x:f>
        <x:v>0</x:v>
      </x:c>
      <x:c r="F668" s="141" t="n">
        <x:f>IF(AND($B$22="Sim",A668=$B$24),$B$27,0)</x:f>
        <x:v>0</x:v>
      </x:c>
      <x:c r="G668" s="141" t="n">
        <x:f>IF(AND($B$22="Sim",A668=$B$23),$B$35,0)</x:f>
        <x:v>0</x:v>
      </x:c>
      <x:c r="H668" s="141" t="n">
        <x:f>IF(AND($B$22="Sim",A668=$B$23),$B$36,0)</x:f>
        <x:v>0</x:v>
      </x:c>
      <x:c r="I668" s="141" t="n">
        <x:f>IF(OR($B$22&lt;&gt;"Sim",A668&gt;=$B$23+$B$31-1),0,(I669+C669)/(1+$B$9))</x:f>
        <x:v>0</x:v>
      </x:c>
      <x:c r="J668" s="140" t="str">
        <x:f>IF($B$22&lt;&gt;"Sim","Desativada",IF(A668&lt;$B$23,"Antes da compra",IF(A668&lt;$B$23+$B$31,"Parcelas restantes","Encerrado")))</x:f>
        <x:v>Encerrado</x:v>
      </x:c>
      <x:c r="K668" s="141" t="n">
        <x:f>IF(C668&gt;0,C668/(1+$B$9)^A668,0)</x:f>
        <x:v>0</x:v>
      </x:c>
    </x:row>
    <x:row r="669">
      <x:c r="A669" s="142" t="n">
        <x:v>615</x:v>
      </x:c>
      <x:c r="B669" s="179" t="n">
        <x:f>EDATE($B$5,A669-1)</x:f>
        <x:v>65228</x:v>
      </x:c>
      <x:c r="C669" s="141" t="n">
        <x:f>IF(AND($B$22="Sim",A669&gt;=$B$23,A669&lt;$B$23+$B$31),$B$32*D669,0)</x:f>
        <x:v>0</x:v>
      </x:c>
      <x:c r="D669" s="180" t="n">
        <x:f>IF(A669&lt;$B$23,1,(1+$B$33)^INT((A669-$B$23)/12))</x:f>
        <x:v>19.525363531490978</x:v>
      </x:c>
      <x:c r="E669" s="141" t="n">
        <x:f>IF(AND($B$22="Sim",A669=$B$23),$B$37,0)</x:f>
        <x:v>0</x:v>
      </x:c>
      <x:c r="F669" s="141" t="n">
        <x:f>IF(AND($B$22="Sim",A669=$B$24),$B$27,0)</x:f>
        <x:v>0</x:v>
      </x:c>
      <x:c r="G669" s="141" t="n">
        <x:f>IF(AND($B$22="Sim",A669=$B$23),$B$35,0)</x:f>
        <x:v>0</x:v>
      </x:c>
      <x:c r="H669" s="141" t="n">
        <x:f>IF(AND($B$22="Sim",A669=$B$23),$B$36,0)</x:f>
        <x:v>0</x:v>
      </x:c>
      <x:c r="I669" s="141" t="n">
        <x:f>IF(OR($B$22&lt;&gt;"Sim",A669&gt;=$B$23+$B$31-1),0,(I670+C670)/(1+$B$9))</x:f>
        <x:v>0</x:v>
      </x:c>
      <x:c r="J669" s="140" t="str">
        <x:f>IF($B$22&lt;&gt;"Sim","Desativada",IF(A669&lt;$B$23,"Antes da compra",IF(A669&lt;$B$23+$B$31,"Parcelas restantes","Encerrado")))</x:f>
        <x:v>Encerrado</x:v>
      </x:c>
      <x:c r="K669" s="141" t="n">
        <x:f>IF(C669&gt;0,C669/(1+$B$9)^A669,0)</x:f>
        <x:v>0</x:v>
      </x:c>
    </x:row>
    <x:row r="670">
      <x:c r="A670" s="142" t="n">
        <x:v>616</x:v>
      </x:c>
      <x:c r="B670" s="179" t="n">
        <x:f>EDATE($B$5,A670-1)</x:f>
        <x:v>65259</x:v>
      </x:c>
      <x:c r="C670" s="141" t="n">
        <x:f>IF(AND($B$22="Sim",A670&gt;=$B$23,A670&lt;$B$23+$B$31),$B$32*D670,0)</x:f>
        <x:v>0</x:v>
      </x:c>
      <x:c r="D670" s="180" t="n">
        <x:f>IF(A670&lt;$B$23,1,(1+$B$33)^INT((A670-$B$23)/12))</x:f>
        <x:v>19.525363531490978</x:v>
      </x:c>
      <x:c r="E670" s="141" t="n">
        <x:f>IF(AND($B$22="Sim",A670=$B$23),$B$37,0)</x:f>
        <x:v>0</x:v>
      </x:c>
      <x:c r="F670" s="141" t="n">
        <x:f>IF(AND($B$22="Sim",A670=$B$24),$B$27,0)</x:f>
        <x:v>0</x:v>
      </x:c>
      <x:c r="G670" s="141" t="n">
        <x:f>IF(AND($B$22="Sim",A670=$B$23),$B$35,0)</x:f>
        <x:v>0</x:v>
      </x:c>
      <x:c r="H670" s="141" t="n">
        <x:f>IF(AND($B$22="Sim",A670=$B$23),$B$36,0)</x:f>
        <x:v>0</x:v>
      </x:c>
      <x:c r="I670" s="141" t="n">
        <x:f>IF(OR($B$22&lt;&gt;"Sim",A670&gt;=$B$23+$B$31-1),0,(I671+C671)/(1+$B$9))</x:f>
        <x:v>0</x:v>
      </x:c>
      <x:c r="J670" s="140" t="str">
        <x:f>IF($B$22&lt;&gt;"Sim","Desativada",IF(A670&lt;$B$23,"Antes da compra",IF(A670&lt;$B$23+$B$31,"Parcelas restantes","Encerrado")))</x:f>
        <x:v>Encerrado</x:v>
      </x:c>
      <x:c r="K670" s="141" t="n">
        <x:f>IF(C670&gt;0,C670/(1+$B$9)^A670,0)</x:f>
        <x:v>0</x:v>
      </x:c>
    </x:row>
    <x:row r="671">
      <x:c r="A671" s="142" t="n">
        <x:v>617</x:v>
      </x:c>
      <x:c r="B671" s="179" t="n">
        <x:f>EDATE($B$5,A671-1)</x:f>
        <x:v>65289</x:v>
      </x:c>
      <x:c r="C671" s="141" t="n">
        <x:f>IF(AND($B$22="Sim",A671&gt;=$B$23,A671&lt;$B$23+$B$31),$B$32*D671,0)</x:f>
        <x:v>0</x:v>
      </x:c>
      <x:c r="D671" s="180" t="n">
        <x:f>IF(A671&lt;$B$23,1,(1+$B$33)^INT((A671-$B$23)/12))</x:f>
        <x:v>19.525363531490978</x:v>
      </x:c>
      <x:c r="E671" s="141" t="n">
        <x:f>IF(AND($B$22="Sim",A671=$B$23),$B$37,0)</x:f>
        <x:v>0</x:v>
      </x:c>
      <x:c r="F671" s="141" t="n">
        <x:f>IF(AND($B$22="Sim",A671=$B$24),$B$27,0)</x:f>
        <x:v>0</x:v>
      </x:c>
      <x:c r="G671" s="141" t="n">
        <x:f>IF(AND($B$22="Sim",A671=$B$23),$B$35,0)</x:f>
        <x:v>0</x:v>
      </x:c>
      <x:c r="H671" s="141" t="n">
        <x:f>IF(AND($B$22="Sim",A671=$B$23),$B$36,0)</x:f>
        <x:v>0</x:v>
      </x:c>
      <x:c r="I671" s="141" t="n">
        <x:f>IF(OR($B$22&lt;&gt;"Sim",A671&gt;=$B$23+$B$31-1),0,(I672+C672)/(1+$B$9))</x:f>
        <x:v>0</x:v>
      </x:c>
      <x:c r="J671" s="140" t="str">
        <x:f>IF($B$22&lt;&gt;"Sim","Desativada",IF(A671&lt;$B$23,"Antes da compra",IF(A671&lt;$B$23+$B$31,"Parcelas restantes","Encerrado")))</x:f>
        <x:v>Encerrado</x:v>
      </x:c>
      <x:c r="K671" s="141" t="n">
        <x:f>IF(C671&gt;0,C671/(1+$B$9)^A671,0)</x:f>
        <x:v>0</x:v>
      </x:c>
    </x:row>
    <x:row r="672">
      <x:c r="A672" s="142" t="n">
        <x:v>618</x:v>
      </x:c>
      <x:c r="B672" s="179" t="n">
        <x:f>EDATE($B$5,A672-1)</x:f>
        <x:v>65320</x:v>
      </x:c>
      <x:c r="C672" s="141" t="n">
        <x:f>IF(AND($B$22="Sim",A672&gt;=$B$23,A672&lt;$B$23+$B$31),$B$32*D672,0)</x:f>
        <x:v>0</x:v>
      </x:c>
      <x:c r="D672" s="180" t="n">
        <x:f>IF(A672&lt;$B$23,1,(1+$B$33)^INT((A672-$B$23)/12))</x:f>
        <x:v>19.525363531490978</x:v>
      </x:c>
      <x:c r="E672" s="141" t="n">
        <x:f>IF(AND($B$22="Sim",A672=$B$23),$B$37,0)</x:f>
        <x:v>0</x:v>
      </x:c>
      <x:c r="F672" s="141" t="n">
        <x:f>IF(AND($B$22="Sim",A672=$B$24),$B$27,0)</x:f>
        <x:v>0</x:v>
      </x:c>
      <x:c r="G672" s="141" t="n">
        <x:f>IF(AND($B$22="Sim",A672=$B$23),$B$35,0)</x:f>
        <x:v>0</x:v>
      </x:c>
      <x:c r="H672" s="141" t="n">
        <x:f>IF(AND($B$22="Sim",A672=$B$23),$B$36,0)</x:f>
        <x:v>0</x:v>
      </x:c>
      <x:c r="I672" s="141" t="n">
        <x:f>IF(OR($B$22&lt;&gt;"Sim",A672&gt;=$B$23+$B$31-1),0,(I673+C673)/(1+$B$9))</x:f>
        <x:v>0</x:v>
      </x:c>
      <x:c r="J672" s="140" t="str">
        <x:f>IF($B$22&lt;&gt;"Sim","Desativada",IF(A672&lt;$B$23,"Antes da compra",IF(A672&lt;$B$23+$B$31,"Parcelas restantes","Encerrado")))</x:f>
        <x:v>Encerrado</x:v>
      </x:c>
      <x:c r="K672" s="141" t="n">
        <x:f>IF(C672&gt;0,C672/(1+$B$9)^A672,0)</x:f>
        <x:v>0</x:v>
      </x:c>
    </x:row>
    <x:row r="673">
      <x:c r="A673" s="142" t="n">
        <x:v>619</x:v>
      </x:c>
      <x:c r="B673" s="179" t="n">
        <x:f>EDATE($B$5,A673-1)</x:f>
        <x:v>65350</x:v>
      </x:c>
      <x:c r="C673" s="141" t="n">
        <x:f>IF(AND($B$22="Sim",A673&gt;=$B$23,A673&lt;$B$23+$B$31),$B$32*D673,0)</x:f>
        <x:v>0</x:v>
      </x:c>
      <x:c r="D673" s="180" t="n">
        <x:f>IF(A673&lt;$B$23,1,(1+$B$33)^INT((A673-$B$23)/12))</x:f>
        <x:v>19.525363531490978</x:v>
      </x:c>
      <x:c r="E673" s="141" t="n">
        <x:f>IF(AND($B$22="Sim",A673=$B$23),$B$37,0)</x:f>
        <x:v>0</x:v>
      </x:c>
      <x:c r="F673" s="141" t="n">
        <x:f>IF(AND($B$22="Sim",A673=$B$24),$B$27,0)</x:f>
        <x:v>0</x:v>
      </x:c>
      <x:c r="G673" s="141" t="n">
        <x:f>IF(AND($B$22="Sim",A673=$B$23),$B$35,0)</x:f>
        <x:v>0</x:v>
      </x:c>
      <x:c r="H673" s="141" t="n">
        <x:f>IF(AND($B$22="Sim",A673=$B$23),$B$36,0)</x:f>
        <x:v>0</x:v>
      </x:c>
      <x:c r="I673" s="141" t="n">
        <x:f>IF(OR($B$22&lt;&gt;"Sim",A673&gt;=$B$23+$B$31-1),0,(I674+C674)/(1+$B$9))</x:f>
        <x:v>0</x:v>
      </x:c>
      <x:c r="J673" s="140" t="str">
        <x:f>IF($B$22&lt;&gt;"Sim","Desativada",IF(A673&lt;$B$23,"Antes da compra",IF(A673&lt;$B$23+$B$31,"Parcelas restantes","Encerrado")))</x:f>
        <x:v>Encerrado</x:v>
      </x:c>
      <x:c r="K673" s="141" t="n">
        <x:f>IF(C673&gt;0,C673/(1+$B$9)^A673,0)</x:f>
        <x:v>0</x:v>
      </x:c>
    </x:row>
    <x:row r="674">
      <x:c r="A674" s="142" t="n">
        <x:v>620</x:v>
      </x:c>
      <x:c r="B674" s="179" t="n">
        <x:f>EDATE($B$5,A674-1)</x:f>
        <x:v>65381</x:v>
      </x:c>
      <x:c r="C674" s="141" t="n">
        <x:f>IF(AND($B$22="Sim",A674&gt;=$B$23,A674&lt;$B$23+$B$31),$B$32*D674,0)</x:f>
        <x:v>0</x:v>
      </x:c>
      <x:c r="D674" s="180" t="n">
        <x:f>IF(A674&lt;$B$23,1,(1+$B$33)^INT((A674-$B$23)/12))</x:f>
        <x:v>19.525363531490978</x:v>
      </x:c>
      <x:c r="E674" s="141" t="n">
        <x:f>IF(AND($B$22="Sim",A674=$B$23),$B$37,0)</x:f>
        <x:v>0</x:v>
      </x:c>
      <x:c r="F674" s="141" t="n">
        <x:f>IF(AND($B$22="Sim",A674=$B$24),$B$27,0)</x:f>
        <x:v>0</x:v>
      </x:c>
      <x:c r="G674" s="141" t="n">
        <x:f>IF(AND($B$22="Sim",A674=$B$23),$B$35,0)</x:f>
        <x:v>0</x:v>
      </x:c>
      <x:c r="H674" s="141" t="n">
        <x:f>IF(AND($B$22="Sim",A674=$B$23),$B$36,0)</x:f>
        <x:v>0</x:v>
      </x:c>
      <x:c r="I674" s="141" t="n">
        <x:f>IF(OR($B$22&lt;&gt;"Sim",A674&gt;=$B$23+$B$31-1),0,(I675+C675)/(1+$B$9))</x:f>
        <x:v>0</x:v>
      </x:c>
      <x:c r="J674" s="140" t="str">
        <x:f>IF($B$22&lt;&gt;"Sim","Desativada",IF(A674&lt;$B$23,"Antes da compra",IF(A674&lt;$B$23+$B$31,"Parcelas restantes","Encerrado")))</x:f>
        <x:v>Encerrado</x:v>
      </x:c>
      <x:c r="K674" s="141" t="n">
        <x:f>IF(C674&gt;0,C674/(1+$B$9)^A674,0)</x:f>
        <x:v>0</x:v>
      </x:c>
    </x:row>
    <x:row r="675">
      <x:c r="A675" s="142" t="n">
        <x:v>621</x:v>
      </x:c>
      <x:c r="B675" s="179" t="n">
        <x:f>EDATE($B$5,A675-1)</x:f>
        <x:v>65412</x:v>
      </x:c>
      <x:c r="C675" s="141" t="n">
        <x:f>IF(AND($B$22="Sim",A675&gt;=$B$23,A675&lt;$B$23+$B$31),$B$32*D675,0)</x:f>
        <x:v>0</x:v>
      </x:c>
      <x:c r="D675" s="180" t="n">
        <x:f>IF(A675&lt;$B$23,1,(1+$B$33)^INT((A675-$B$23)/12))</x:f>
        <x:v>19.525363531490978</x:v>
      </x:c>
      <x:c r="E675" s="141" t="n">
        <x:f>IF(AND($B$22="Sim",A675=$B$23),$B$37,0)</x:f>
        <x:v>0</x:v>
      </x:c>
      <x:c r="F675" s="141" t="n">
        <x:f>IF(AND($B$22="Sim",A675=$B$24),$B$27,0)</x:f>
        <x:v>0</x:v>
      </x:c>
      <x:c r="G675" s="141" t="n">
        <x:f>IF(AND($B$22="Sim",A675=$B$23),$B$35,0)</x:f>
        <x:v>0</x:v>
      </x:c>
      <x:c r="H675" s="141" t="n">
        <x:f>IF(AND($B$22="Sim",A675=$B$23),$B$36,0)</x:f>
        <x:v>0</x:v>
      </x:c>
      <x:c r="I675" s="141" t="n">
        <x:f>IF(OR($B$22&lt;&gt;"Sim",A675&gt;=$B$23+$B$31-1),0,(I676+C676)/(1+$B$9))</x:f>
        <x:v>0</x:v>
      </x:c>
      <x:c r="J675" s="140" t="str">
        <x:f>IF($B$22&lt;&gt;"Sim","Desativada",IF(A675&lt;$B$23,"Antes da compra",IF(A675&lt;$B$23+$B$31,"Parcelas restantes","Encerrado")))</x:f>
        <x:v>Encerrado</x:v>
      </x:c>
      <x:c r="K675" s="141" t="n">
        <x:f>IF(C675&gt;0,C675/(1+$B$9)^A675,0)</x:f>
        <x:v>0</x:v>
      </x:c>
    </x:row>
    <x:row r="676">
      <x:c r="A676" s="142" t="n">
        <x:v>622</x:v>
      </x:c>
      <x:c r="B676" s="179" t="n">
        <x:f>EDATE($B$5,A676-1)</x:f>
        <x:v>65440</x:v>
      </x:c>
      <x:c r="C676" s="141" t="n">
        <x:f>IF(AND($B$22="Sim",A676&gt;=$B$23,A676&lt;$B$23+$B$31),$B$32*D676,0)</x:f>
        <x:v>0</x:v>
      </x:c>
      <x:c r="D676" s="180" t="n">
        <x:f>IF(A676&lt;$B$23,1,(1+$B$33)^INT((A676-$B$23)/12))</x:f>
        <x:v>19.525363531490978</x:v>
      </x:c>
      <x:c r="E676" s="141" t="n">
        <x:f>IF(AND($B$22="Sim",A676=$B$23),$B$37,0)</x:f>
        <x:v>0</x:v>
      </x:c>
      <x:c r="F676" s="141" t="n">
        <x:f>IF(AND($B$22="Sim",A676=$B$24),$B$27,0)</x:f>
        <x:v>0</x:v>
      </x:c>
      <x:c r="G676" s="141" t="n">
        <x:f>IF(AND($B$22="Sim",A676=$B$23),$B$35,0)</x:f>
        <x:v>0</x:v>
      </x:c>
      <x:c r="H676" s="141" t="n">
        <x:f>IF(AND($B$22="Sim",A676=$B$23),$B$36,0)</x:f>
        <x:v>0</x:v>
      </x:c>
      <x:c r="I676" s="141" t="n">
        <x:f>IF(OR($B$22&lt;&gt;"Sim",A676&gt;=$B$23+$B$31-1),0,(I677+C677)/(1+$B$9))</x:f>
        <x:v>0</x:v>
      </x:c>
      <x:c r="J676" s="140" t="str">
        <x:f>IF($B$22&lt;&gt;"Sim","Desativada",IF(A676&lt;$B$23,"Antes da compra",IF(A676&lt;$B$23+$B$31,"Parcelas restantes","Encerrado")))</x:f>
        <x:v>Encerrado</x:v>
      </x:c>
      <x:c r="K676" s="141" t="n">
        <x:f>IF(C676&gt;0,C676/(1+$B$9)^A676,0)</x:f>
        <x:v>0</x:v>
      </x:c>
    </x:row>
    <x:row r="677">
      <x:c r="A677" s="142" t="n">
        <x:v>623</x:v>
      </x:c>
      <x:c r="B677" s="179" t="n">
        <x:f>EDATE($B$5,A677-1)</x:f>
        <x:v>65471</x:v>
      </x:c>
      <x:c r="C677" s="141" t="n">
        <x:f>IF(AND($B$22="Sim",A677&gt;=$B$23,A677&lt;$B$23+$B$31),$B$32*D677,0)</x:f>
        <x:v>0</x:v>
      </x:c>
      <x:c r="D677" s="180" t="n">
        <x:f>IF(A677&lt;$B$23,1,(1+$B$33)^INT((A677-$B$23)/12))</x:f>
        <x:v>19.525363531490978</x:v>
      </x:c>
      <x:c r="E677" s="141" t="n">
        <x:f>IF(AND($B$22="Sim",A677=$B$23),$B$37,0)</x:f>
        <x:v>0</x:v>
      </x:c>
      <x:c r="F677" s="141" t="n">
        <x:f>IF(AND($B$22="Sim",A677=$B$24),$B$27,0)</x:f>
        <x:v>0</x:v>
      </x:c>
      <x:c r="G677" s="141" t="n">
        <x:f>IF(AND($B$22="Sim",A677=$B$23),$B$35,0)</x:f>
        <x:v>0</x:v>
      </x:c>
      <x:c r="H677" s="141" t="n">
        <x:f>IF(AND($B$22="Sim",A677=$B$23),$B$36,0)</x:f>
        <x:v>0</x:v>
      </x:c>
      <x:c r="I677" s="141" t="n">
        <x:f>IF(OR($B$22&lt;&gt;"Sim",A677&gt;=$B$23+$B$31-1),0,(I678+C678)/(1+$B$9))</x:f>
        <x:v>0</x:v>
      </x:c>
      <x:c r="J677" s="140" t="str">
        <x:f>IF($B$22&lt;&gt;"Sim","Desativada",IF(A677&lt;$B$23,"Antes da compra",IF(A677&lt;$B$23+$B$31,"Parcelas restantes","Encerrado")))</x:f>
        <x:v>Encerrado</x:v>
      </x:c>
      <x:c r="K677" s="141" t="n">
        <x:f>IF(C677&gt;0,C677/(1+$B$9)^A677,0)</x:f>
        <x:v>0</x:v>
      </x:c>
    </x:row>
    <x:row r="678">
      <x:c r="A678" s="142" t="n">
        <x:v>624</x:v>
      </x:c>
      <x:c r="B678" s="179" t="n">
        <x:f>EDATE($B$5,A678-1)</x:f>
        <x:v>65501</x:v>
      </x:c>
      <x:c r="C678" s="141" t="n">
        <x:f>IF(AND($B$22="Sim",A678&gt;=$B$23,A678&lt;$B$23+$B$31),$B$32*D678,0)</x:f>
        <x:v>0</x:v>
      </x:c>
      <x:c r="D678" s="180" t="n">
        <x:f>IF(A678&lt;$B$23,1,(1+$B$33)^INT((A678-$B$23)/12))</x:f>
        <x:v>19.525363531490978</x:v>
      </x:c>
      <x:c r="E678" s="141" t="n">
        <x:f>IF(AND($B$22="Sim",A678=$B$23),$B$37,0)</x:f>
        <x:v>0</x:v>
      </x:c>
      <x:c r="F678" s="141" t="n">
        <x:f>IF(AND($B$22="Sim",A678=$B$24),$B$27,0)</x:f>
        <x:v>0</x:v>
      </x:c>
      <x:c r="G678" s="141" t="n">
        <x:f>IF(AND($B$22="Sim",A678=$B$23),$B$35,0)</x:f>
        <x:v>0</x:v>
      </x:c>
      <x:c r="H678" s="141" t="n">
        <x:f>IF(AND($B$22="Sim",A678=$B$23),$B$36,0)</x:f>
        <x:v>0</x:v>
      </x:c>
      <x:c r="I678" s="141" t="n">
        <x:f>IF(OR($B$22&lt;&gt;"Sim",A678&gt;=$B$23+$B$31-1),0,(I679+C679)/(1+$B$9))</x:f>
        <x:v>0</x:v>
      </x:c>
      <x:c r="J678" s="140" t="str">
        <x:f>IF($B$22&lt;&gt;"Sim","Desativada",IF(A678&lt;$B$23,"Antes da compra",IF(A678&lt;$B$23+$B$31,"Parcelas restantes","Encerrado")))</x:f>
        <x:v>Encerrado</x:v>
      </x:c>
      <x:c r="K678" s="141" t="n">
        <x:f>IF(C678&gt;0,C678/(1+$B$9)^A678,0)</x:f>
        <x:v>0</x:v>
      </x:c>
    </x:row>
    <x:row r="679">
      <x:c r="A679" s="142" t="n">
        <x:v>625</x:v>
      </x:c>
      <x:c r="B679" s="179" t="n">
        <x:f>EDATE($B$5,A679-1)</x:f>
        <x:v>65532</x:v>
      </x:c>
      <x:c r="C679" s="141" t="n">
        <x:f>IF(AND($B$22="Sim",A679&gt;=$B$23,A679&lt;$B$23+$B$31),$B$32*D679,0)</x:f>
        <x:v>0</x:v>
      </x:c>
      <x:c r="D679" s="180" t="n">
        <x:f>IF(A679&lt;$B$23,1,(1+$B$33)^INT((A679-$B$23)/12))</x:f>
        <x:v>20.696885343380437</x:v>
      </x:c>
      <x:c r="E679" s="141" t="n">
        <x:f>IF(AND($B$22="Sim",A679=$B$23),$B$37,0)</x:f>
        <x:v>0</x:v>
      </x:c>
      <x:c r="F679" s="141" t="n">
        <x:f>IF(AND($B$22="Sim",A679=$B$24),$B$27,0)</x:f>
        <x:v>0</x:v>
      </x:c>
      <x:c r="G679" s="141" t="n">
        <x:f>IF(AND($B$22="Sim",A679=$B$23),$B$35,0)</x:f>
        <x:v>0</x:v>
      </x:c>
      <x:c r="H679" s="141" t="n">
        <x:f>IF(AND($B$22="Sim",A679=$B$23),$B$36,0)</x:f>
        <x:v>0</x:v>
      </x:c>
      <x:c r="I679" s="141" t="n">
        <x:f>IF(OR($B$22&lt;&gt;"Sim",A679&gt;=$B$23+$B$31-1),0,(I680+C680)/(1+$B$9))</x:f>
        <x:v>0</x:v>
      </x:c>
      <x:c r="J679" s="140" t="str">
        <x:f>IF($B$22&lt;&gt;"Sim","Desativada",IF(A679&lt;$B$23,"Antes da compra",IF(A679&lt;$B$23+$B$31,"Parcelas restantes","Encerrado")))</x:f>
        <x:v>Encerrado</x:v>
      </x:c>
      <x:c r="K679" s="141" t="n">
        <x:f>IF(C679&gt;0,C679/(1+$B$9)^A679,0)</x:f>
        <x:v>0</x:v>
      </x:c>
    </x:row>
    <x:row r="680">
      <x:c r="A680" s="142" t="n">
        <x:v>626</x:v>
      </x:c>
      <x:c r="B680" s="179" t="n">
        <x:f>EDATE($B$5,A680-1)</x:f>
        <x:v>65562</x:v>
      </x:c>
      <x:c r="C680" s="141" t="n">
        <x:f>IF(AND($B$22="Sim",A680&gt;=$B$23,A680&lt;$B$23+$B$31),$B$32*D680,0)</x:f>
        <x:v>0</x:v>
      </x:c>
      <x:c r="D680" s="180" t="n">
        <x:f>IF(A680&lt;$B$23,1,(1+$B$33)^INT((A680-$B$23)/12))</x:f>
        <x:v>20.696885343380437</x:v>
      </x:c>
      <x:c r="E680" s="141" t="n">
        <x:f>IF(AND($B$22="Sim",A680=$B$23),$B$37,0)</x:f>
        <x:v>0</x:v>
      </x:c>
      <x:c r="F680" s="141" t="n">
        <x:f>IF(AND($B$22="Sim",A680=$B$24),$B$27,0)</x:f>
        <x:v>0</x:v>
      </x:c>
      <x:c r="G680" s="141" t="n">
        <x:f>IF(AND($B$22="Sim",A680=$B$23),$B$35,0)</x:f>
        <x:v>0</x:v>
      </x:c>
      <x:c r="H680" s="141" t="n">
        <x:f>IF(AND($B$22="Sim",A680=$B$23),$B$36,0)</x:f>
        <x:v>0</x:v>
      </x:c>
      <x:c r="I680" s="141" t="n">
        <x:f>IF(OR($B$22&lt;&gt;"Sim",A680&gt;=$B$23+$B$31-1),0,(I681+C681)/(1+$B$9))</x:f>
        <x:v>0</x:v>
      </x:c>
      <x:c r="J680" s="140" t="str">
        <x:f>IF($B$22&lt;&gt;"Sim","Desativada",IF(A680&lt;$B$23,"Antes da compra",IF(A680&lt;$B$23+$B$31,"Parcelas restantes","Encerrado")))</x:f>
        <x:v>Encerrado</x:v>
      </x:c>
      <x:c r="K680" s="141" t="n">
        <x:f>IF(C680&gt;0,C680/(1+$B$9)^A680,0)</x:f>
        <x:v>0</x:v>
      </x:c>
    </x:row>
    <x:row r="681">
      <x:c r="A681" s="142" t="n">
        <x:v>627</x:v>
      </x:c>
      <x:c r="B681" s="179" t="n">
        <x:f>EDATE($B$5,A681-1)</x:f>
        <x:v>65593</x:v>
      </x:c>
      <x:c r="C681" s="141" t="n">
        <x:f>IF(AND($B$22="Sim",A681&gt;=$B$23,A681&lt;$B$23+$B$31),$B$32*D681,0)</x:f>
        <x:v>0</x:v>
      </x:c>
      <x:c r="D681" s="180" t="n">
        <x:f>IF(A681&lt;$B$23,1,(1+$B$33)^INT((A681-$B$23)/12))</x:f>
        <x:v>20.696885343380437</x:v>
      </x:c>
      <x:c r="E681" s="141" t="n">
        <x:f>IF(AND($B$22="Sim",A681=$B$23),$B$37,0)</x:f>
        <x:v>0</x:v>
      </x:c>
      <x:c r="F681" s="141" t="n">
        <x:f>IF(AND($B$22="Sim",A681=$B$24),$B$27,0)</x:f>
        <x:v>0</x:v>
      </x:c>
      <x:c r="G681" s="141" t="n">
        <x:f>IF(AND($B$22="Sim",A681=$B$23),$B$35,0)</x:f>
        <x:v>0</x:v>
      </x:c>
      <x:c r="H681" s="141" t="n">
        <x:f>IF(AND($B$22="Sim",A681=$B$23),$B$36,0)</x:f>
        <x:v>0</x:v>
      </x:c>
      <x:c r="I681" s="141" t="n">
        <x:f>IF(OR($B$22&lt;&gt;"Sim",A681&gt;=$B$23+$B$31-1),0,(I682+C682)/(1+$B$9))</x:f>
        <x:v>0</x:v>
      </x:c>
      <x:c r="J681" s="140" t="str">
        <x:f>IF($B$22&lt;&gt;"Sim","Desativada",IF(A681&lt;$B$23,"Antes da compra",IF(A681&lt;$B$23+$B$31,"Parcelas restantes","Encerrado")))</x:f>
        <x:v>Encerrado</x:v>
      </x:c>
      <x:c r="K681" s="141" t="n">
        <x:f>IF(C681&gt;0,C681/(1+$B$9)^A681,0)</x:f>
        <x:v>0</x:v>
      </x:c>
    </x:row>
    <x:row r="682">
      <x:c r="A682" s="142" t="n">
        <x:v>628</x:v>
      </x:c>
      <x:c r="B682" s="179" t="n">
        <x:f>EDATE($B$5,A682-1)</x:f>
        <x:v>65624</x:v>
      </x:c>
      <x:c r="C682" s="141" t="n">
        <x:f>IF(AND($B$22="Sim",A682&gt;=$B$23,A682&lt;$B$23+$B$31),$B$32*D682,0)</x:f>
        <x:v>0</x:v>
      </x:c>
      <x:c r="D682" s="180" t="n">
        <x:f>IF(A682&lt;$B$23,1,(1+$B$33)^INT((A682-$B$23)/12))</x:f>
        <x:v>20.696885343380437</x:v>
      </x:c>
      <x:c r="E682" s="141" t="n">
        <x:f>IF(AND($B$22="Sim",A682=$B$23),$B$37,0)</x:f>
        <x:v>0</x:v>
      </x:c>
      <x:c r="F682" s="141" t="n">
        <x:f>IF(AND($B$22="Sim",A682=$B$24),$B$27,0)</x:f>
        <x:v>0</x:v>
      </x:c>
      <x:c r="G682" s="141" t="n">
        <x:f>IF(AND($B$22="Sim",A682=$B$23),$B$35,0)</x:f>
        <x:v>0</x:v>
      </x:c>
      <x:c r="H682" s="141" t="n">
        <x:f>IF(AND($B$22="Sim",A682=$B$23),$B$36,0)</x:f>
        <x:v>0</x:v>
      </x:c>
      <x:c r="I682" s="141" t="n">
        <x:f>IF(OR($B$22&lt;&gt;"Sim",A682&gt;=$B$23+$B$31-1),0,(I683+C683)/(1+$B$9))</x:f>
        <x:v>0</x:v>
      </x:c>
      <x:c r="J682" s="140" t="str">
        <x:f>IF($B$22&lt;&gt;"Sim","Desativada",IF(A682&lt;$B$23,"Antes da compra",IF(A682&lt;$B$23+$B$31,"Parcelas restantes","Encerrado")))</x:f>
        <x:v>Encerrado</x:v>
      </x:c>
      <x:c r="K682" s="141" t="n">
        <x:f>IF(C682&gt;0,C682/(1+$B$9)^A682,0)</x:f>
        <x:v>0</x:v>
      </x:c>
    </x:row>
    <x:row r="683">
      <x:c r="A683" s="142" t="n">
        <x:v>629</x:v>
      </x:c>
      <x:c r="B683" s="179" t="n">
        <x:f>EDATE($B$5,A683-1)</x:f>
        <x:v>65654</x:v>
      </x:c>
      <x:c r="C683" s="141" t="n">
        <x:f>IF(AND($B$22="Sim",A683&gt;=$B$23,A683&lt;$B$23+$B$31),$B$32*D683,0)</x:f>
        <x:v>0</x:v>
      </x:c>
      <x:c r="D683" s="180" t="n">
        <x:f>IF(A683&lt;$B$23,1,(1+$B$33)^INT((A683-$B$23)/12))</x:f>
        <x:v>20.696885343380437</x:v>
      </x:c>
      <x:c r="E683" s="141" t="n">
        <x:f>IF(AND($B$22="Sim",A683=$B$23),$B$37,0)</x:f>
        <x:v>0</x:v>
      </x:c>
      <x:c r="F683" s="141" t="n">
        <x:f>IF(AND($B$22="Sim",A683=$B$24),$B$27,0)</x:f>
        <x:v>0</x:v>
      </x:c>
      <x:c r="G683" s="141" t="n">
        <x:f>IF(AND($B$22="Sim",A683=$B$23),$B$35,0)</x:f>
        <x:v>0</x:v>
      </x:c>
      <x:c r="H683" s="141" t="n">
        <x:f>IF(AND($B$22="Sim",A683=$B$23),$B$36,0)</x:f>
        <x:v>0</x:v>
      </x:c>
      <x:c r="I683" s="141" t="n">
        <x:f>IF(OR($B$22&lt;&gt;"Sim",A683&gt;=$B$23+$B$31-1),0,(I684+C684)/(1+$B$9))</x:f>
        <x:v>0</x:v>
      </x:c>
      <x:c r="J683" s="140" t="str">
        <x:f>IF($B$22&lt;&gt;"Sim","Desativada",IF(A683&lt;$B$23,"Antes da compra",IF(A683&lt;$B$23+$B$31,"Parcelas restantes","Encerrado")))</x:f>
        <x:v>Encerrado</x:v>
      </x:c>
      <x:c r="K683" s="141" t="n">
        <x:f>IF(C683&gt;0,C683/(1+$B$9)^A683,0)</x:f>
        <x:v>0</x:v>
      </x:c>
    </x:row>
    <x:row r="684">
      <x:c r="A684" s="142" t="n">
        <x:v>630</x:v>
      </x:c>
      <x:c r="B684" s="179" t="n">
        <x:f>EDATE($B$5,A684-1)</x:f>
        <x:v>65685</x:v>
      </x:c>
      <x:c r="C684" s="141" t="n">
        <x:f>IF(AND($B$22="Sim",A684&gt;=$B$23,A684&lt;$B$23+$B$31),$B$32*D684,0)</x:f>
        <x:v>0</x:v>
      </x:c>
      <x:c r="D684" s="180" t="n">
        <x:f>IF(A684&lt;$B$23,1,(1+$B$33)^INT((A684-$B$23)/12))</x:f>
        <x:v>20.696885343380437</x:v>
      </x:c>
      <x:c r="E684" s="141" t="n">
        <x:f>IF(AND($B$22="Sim",A684=$B$23),$B$37,0)</x:f>
        <x:v>0</x:v>
      </x:c>
      <x:c r="F684" s="141" t="n">
        <x:f>IF(AND($B$22="Sim",A684=$B$24),$B$27,0)</x:f>
        <x:v>0</x:v>
      </x:c>
      <x:c r="G684" s="141" t="n">
        <x:f>IF(AND($B$22="Sim",A684=$B$23),$B$35,0)</x:f>
        <x:v>0</x:v>
      </x:c>
      <x:c r="H684" s="141" t="n">
        <x:f>IF(AND($B$22="Sim",A684=$B$23),$B$36,0)</x:f>
        <x:v>0</x:v>
      </x:c>
      <x:c r="I684" s="141" t="n">
        <x:f>IF(OR($B$22&lt;&gt;"Sim",A684&gt;=$B$23+$B$31-1),0,(I685+C685)/(1+$B$9))</x:f>
        <x:v>0</x:v>
      </x:c>
      <x:c r="J684" s="140" t="str">
        <x:f>IF($B$22&lt;&gt;"Sim","Desativada",IF(A684&lt;$B$23,"Antes da compra",IF(A684&lt;$B$23+$B$31,"Parcelas restantes","Encerrado")))</x:f>
        <x:v>Encerrado</x:v>
      </x:c>
      <x:c r="K684" s="141" t="n">
        <x:f>IF(C684&gt;0,C684/(1+$B$9)^A684,0)</x:f>
        <x:v>0</x:v>
      </x:c>
    </x:row>
    <x:row r="685">
      <x:c r="A685" s="142" t="n">
        <x:v>631</x:v>
      </x:c>
      <x:c r="B685" s="179" t="n">
        <x:f>EDATE($B$5,A685-1)</x:f>
        <x:v>65715</x:v>
      </x:c>
      <x:c r="C685" s="141" t="n">
        <x:f>IF(AND($B$22="Sim",A685&gt;=$B$23,A685&lt;$B$23+$B$31),$B$32*D685,0)</x:f>
        <x:v>0</x:v>
      </x:c>
      <x:c r="D685" s="180" t="n">
        <x:f>IF(A685&lt;$B$23,1,(1+$B$33)^INT((A685-$B$23)/12))</x:f>
        <x:v>20.696885343380437</x:v>
      </x:c>
      <x:c r="E685" s="141" t="n">
        <x:f>IF(AND($B$22="Sim",A685=$B$23),$B$37,0)</x:f>
        <x:v>0</x:v>
      </x:c>
      <x:c r="F685" s="141" t="n">
        <x:f>IF(AND($B$22="Sim",A685=$B$24),$B$27,0)</x:f>
        <x:v>0</x:v>
      </x:c>
      <x:c r="G685" s="141" t="n">
        <x:f>IF(AND($B$22="Sim",A685=$B$23),$B$35,0)</x:f>
        <x:v>0</x:v>
      </x:c>
      <x:c r="H685" s="141" t="n">
        <x:f>IF(AND($B$22="Sim",A685=$B$23),$B$36,0)</x:f>
        <x:v>0</x:v>
      </x:c>
      <x:c r="I685" s="141" t="n">
        <x:f>IF(OR($B$22&lt;&gt;"Sim",A685&gt;=$B$23+$B$31-1),0,(I686+C686)/(1+$B$9))</x:f>
        <x:v>0</x:v>
      </x:c>
      <x:c r="J685" s="140" t="str">
        <x:f>IF($B$22&lt;&gt;"Sim","Desativada",IF(A685&lt;$B$23,"Antes da compra",IF(A685&lt;$B$23+$B$31,"Parcelas restantes","Encerrado")))</x:f>
        <x:v>Encerrado</x:v>
      </x:c>
      <x:c r="K685" s="141" t="n">
        <x:f>IF(C685&gt;0,C685/(1+$B$9)^A685,0)</x:f>
        <x:v>0</x:v>
      </x:c>
    </x:row>
    <x:row r="686">
      <x:c r="A686" s="142" t="n">
        <x:v>632</x:v>
      </x:c>
      <x:c r="B686" s="179" t="n">
        <x:f>EDATE($B$5,A686-1)</x:f>
        <x:v>65746</x:v>
      </x:c>
      <x:c r="C686" s="141" t="n">
        <x:f>IF(AND($B$22="Sim",A686&gt;=$B$23,A686&lt;$B$23+$B$31),$B$32*D686,0)</x:f>
        <x:v>0</x:v>
      </x:c>
      <x:c r="D686" s="180" t="n">
        <x:f>IF(A686&lt;$B$23,1,(1+$B$33)^INT((A686-$B$23)/12))</x:f>
        <x:v>20.696885343380437</x:v>
      </x:c>
      <x:c r="E686" s="141" t="n">
        <x:f>IF(AND($B$22="Sim",A686=$B$23),$B$37,0)</x:f>
        <x:v>0</x:v>
      </x:c>
      <x:c r="F686" s="141" t="n">
        <x:f>IF(AND($B$22="Sim",A686=$B$24),$B$27,0)</x:f>
        <x:v>0</x:v>
      </x:c>
      <x:c r="G686" s="141" t="n">
        <x:f>IF(AND($B$22="Sim",A686=$B$23),$B$35,0)</x:f>
        <x:v>0</x:v>
      </x:c>
      <x:c r="H686" s="141" t="n">
        <x:f>IF(AND($B$22="Sim",A686=$B$23),$B$36,0)</x:f>
        <x:v>0</x:v>
      </x:c>
      <x:c r="I686" s="141" t="n">
        <x:f>IF(OR($B$22&lt;&gt;"Sim",A686&gt;=$B$23+$B$31-1),0,(I687+C687)/(1+$B$9))</x:f>
        <x:v>0</x:v>
      </x:c>
      <x:c r="J686" s="140" t="str">
        <x:f>IF($B$22&lt;&gt;"Sim","Desativada",IF(A686&lt;$B$23,"Antes da compra",IF(A686&lt;$B$23+$B$31,"Parcelas restantes","Encerrado")))</x:f>
        <x:v>Encerrado</x:v>
      </x:c>
      <x:c r="K686" s="141" t="n">
        <x:f>IF(C686&gt;0,C686/(1+$B$9)^A686,0)</x:f>
        <x:v>0</x:v>
      </x:c>
    </x:row>
    <x:row r="687">
      <x:c r="A687" s="142" t="n">
        <x:v>633</x:v>
      </x:c>
      <x:c r="B687" s="179" t="n">
        <x:f>EDATE($B$5,A687-1)</x:f>
        <x:v>65777</x:v>
      </x:c>
      <x:c r="C687" s="141" t="n">
        <x:f>IF(AND($B$22="Sim",A687&gt;=$B$23,A687&lt;$B$23+$B$31),$B$32*D687,0)</x:f>
        <x:v>0</x:v>
      </x:c>
      <x:c r="D687" s="180" t="n">
        <x:f>IF(A687&lt;$B$23,1,(1+$B$33)^INT((A687-$B$23)/12))</x:f>
        <x:v>20.696885343380437</x:v>
      </x:c>
      <x:c r="E687" s="141" t="n">
        <x:f>IF(AND($B$22="Sim",A687=$B$23),$B$37,0)</x:f>
        <x:v>0</x:v>
      </x:c>
      <x:c r="F687" s="141" t="n">
        <x:f>IF(AND($B$22="Sim",A687=$B$24),$B$27,0)</x:f>
        <x:v>0</x:v>
      </x:c>
      <x:c r="G687" s="141" t="n">
        <x:f>IF(AND($B$22="Sim",A687=$B$23),$B$35,0)</x:f>
        <x:v>0</x:v>
      </x:c>
      <x:c r="H687" s="141" t="n">
        <x:f>IF(AND($B$22="Sim",A687=$B$23),$B$36,0)</x:f>
        <x:v>0</x:v>
      </x:c>
      <x:c r="I687" s="141" t="n">
        <x:f>IF(OR($B$22&lt;&gt;"Sim",A687&gt;=$B$23+$B$31-1),0,(I688+C688)/(1+$B$9))</x:f>
        <x:v>0</x:v>
      </x:c>
      <x:c r="J687" s="140" t="str">
        <x:f>IF($B$22&lt;&gt;"Sim","Desativada",IF(A687&lt;$B$23,"Antes da compra",IF(A687&lt;$B$23+$B$31,"Parcelas restantes","Encerrado")))</x:f>
        <x:v>Encerrado</x:v>
      </x:c>
      <x:c r="K687" s="141" t="n">
        <x:f>IF(C687&gt;0,C687/(1+$B$9)^A687,0)</x:f>
        <x:v>0</x:v>
      </x:c>
    </x:row>
    <x:row r="688">
      <x:c r="A688" s="142" t="n">
        <x:v>634</x:v>
      </x:c>
      <x:c r="B688" s="179" t="n">
        <x:f>EDATE($B$5,A688-1)</x:f>
        <x:v>65806</x:v>
      </x:c>
      <x:c r="C688" s="141" t="n">
        <x:f>IF(AND($B$22="Sim",A688&gt;=$B$23,A688&lt;$B$23+$B$31),$B$32*D688,0)</x:f>
        <x:v>0</x:v>
      </x:c>
      <x:c r="D688" s="180" t="n">
        <x:f>IF(A688&lt;$B$23,1,(1+$B$33)^INT((A688-$B$23)/12))</x:f>
        <x:v>20.696885343380437</x:v>
      </x:c>
      <x:c r="E688" s="141" t="n">
        <x:f>IF(AND($B$22="Sim",A688=$B$23),$B$37,0)</x:f>
        <x:v>0</x:v>
      </x:c>
      <x:c r="F688" s="141" t="n">
        <x:f>IF(AND($B$22="Sim",A688=$B$24),$B$27,0)</x:f>
        <x:v>0</x:v>
      </x:c>
      <x:c r="G688" s="141" t="n">
        <x:f>IF(AND($B$22="Sim",A688=$B$23),$B$35,0)</x:f>
        <x:v>0</x:v>
      </x:c>
      <x:c r="H688" s="141" t="n">
        <x:f>IF(AND($B$22="Sim",A688=$B$23),$B$36,0)</x:f>
        <x:v>0</x:v>
      </x:c>
      <x:c r="I688" s="141" t="n">
        <x:f>IF(OR($B$22&lt;&gt;"Sim",A688&gt;=$B$23+$B$31-1),0,(I689+C689)/(1+$B$9))</x:f>
        <x:v>0</x:v>
      </x:c>
      <x:c r="J688" s="140" t="str">
        <x:f>IF($B$22&lt;&gt;"Sim","Desativada",IF(A688&lt;$B$23,"Antes da compra",IF(A688&lt;$B$23+$B$31,"Parcelas restantes","Encerrado")))</x:f>
        <x:v>Encerrado</x:v>
      </x:c>
      <x:c r="K688" s="141" t="n">
        <x:f>IF(C688&gt;0,C688/(1+$B$9)^A688,0)</x:f>
        <x:v>0</x:v>
      </x:c>
    </x:row>
    <x:row r="689">
      <x:c r="A689" s="142" t="n">
        <x:v>635</x:v>
      </x:c>
      <x:c r="B689" s="179" t="n">
        <x:f>EDATE($B$5,A689-1)</x:f>
        <x:v>65837</x:v>
      </x:c>
      <x:c r="C689" s="141" t="n">
        <x:f>IF(AND($B$22="Sim",A689&gt;=$B$23,A689&lt;$B$23+$B$31),$B$32*D689,0)</x:f>
        <x:v>0</x:v>
      </x:c>
      <x:c r="D689" s="180" t="n">
        <x:f>IF(A689&lt;$B$23,1,(1+$B$33)^INT((A689-$B$23)/12))</x:f>
        <x:v>20.696885343380437</x:v>
      </x:c>
      <x:c r="E689" s="141" t="n">
        <x:f>IF(AND($B$22="Sim",A689=$B$23),$B$37,0)</x:f>
        <x:v>0</x:v>
      </x:c>
      <x:c r="F689" s="141" t="n">
        <x:f>IF(AND($B$22="Sim",A689=$B$24),$B$27,0)</x:f>
        <x:v>0</x:v>
      </x:c>
      <x:c r="G689" s="141" t="n">
        <x:f>IF(AND($B$22="Sim",A689=$B$23),$B$35,0)</x:f>
        <x:v>0</x:v>
      </x:c>
      <x:c r="H689" s="141" t="n">
        <x:f>IF(AND($B$22="Sim",A689=$B$23),$B$36,0)</x:f>
        <x:v>0</x:v>
      </x:c>
      <x:c r="I689" s="141" t="n">
        <x:f>IF(OR($B$22&lt;&gt;"Sim",A689&gt;=$B$23+$B$31-1),0,(I690+C690)/(1+$B$9))</x:f>
        <x:v>0</x:v>
      </x:c>
      <x:c r="J689" s="140" t="str">
        <x:f>IF($B$22&lt;&gt;"Sim","Desativada",IF(A689&lt;$B$23,"Antes da compra",IF(A689&lt;$B$23+$B$31,"Parcelas restantes","Encerrado")))</x:f>
        <x:v>Encerrado</x:v>
      </x:c>
      <x:c r="K689" s="141" t="n">
        <x:f>IF(C689&gt;0,C689/(1+$B$9)^A689,0)</x:f>
        <x:v>0</x:v>
      </x:c>
    </x:row>
    <x:row r="690">
      <x:c r="A690" s="142" t="n">
        <x:v>636</x:v>
      </x:c>
      <x:c r="B690" s="179" t="n">
        <x:f>EDATE($B$5,A690-1)</x:f>
        <x:v>65867</x:v>
      </x:c>
      <x:c r="C690" s="141" t="n">
        <x:f>IF(AND($B$22="Sim",A690&gt;=$B$23,A690&lt;$B$23+$B$31),$B$32*D690,0)</x:f>
        <x:v>0</x:v>
      </x:c>
      <x:c r="D690" s="180" t="n">
        <x:f>IF(A690&lt;$B$23,1,(1+$B$33)^INT((A690-$B$23)/12))</x:f>
        <x:v>20.696885343380437</x:v>
      </x:c>
      <x:c r="E690" s="141" t="n">
        <x:f>IF(AND($B$22="Sim",A690=$B$23),$B$37,0)</x:f>
        <x:v>0</x:v>
      </x:c>
      <x:c r="F690" s="141" t="n">
        <x:f>IF(AND($B$22="Sim",A690=$B$24),$B$27,0)</x:f>
        <x:v>0</x:v>
      </x:c>
      <x:c r="G690" s="141" t="n">
        <x:f>IF(AND($B$22="Sim",A690=$B$23),$B$35,0)</x:f>
        <x:v>0</x:v>
      </x:c>
      <x:c r="H690" s="141" t="n">
        <x:f>IF(AND($B$22="Sim",A690=$B$23),$B$36,0)</x:f>
        <x:v>0</x:v>
      </x:c>
      <x:c r="I690" s="141" t="n">
        <x:f>IF(OR($B$22&lt;&gt;"Sim",A690&gt;=$B$23+$B$31-1),0,(I691+C691)/(1+$B$9))</x:f>
        <x:v>0</x:v>
      </x:c>
      <x:c r="J690" s="140" t="str">
        <x:f>IF($B$22&lt;&gt;"Sim","Desativada",IF(A690&lt;$B$23,"Antes da compra",IF(A690&lt;$B$23+$B$31,"Parcelas restantes","Encerrado")))</x:f>
        <x:v>Encerrado</x:v>
      </x:c>
      <x:c r="K690" s="141" t="n">
        <x:f>IF(C690&gt;0,C690/(1+$B$9)^A690,0)</x:f>
        <x:v>0</x:v>
      </x:c>
    </x:row>
    <x:row r="691">
      <x:c r="A691" s="142" t="n">
        <x:v>637</x:v>
      </x:c>
      <x:c r="B691" s="179" t="n">
        <x:f>EDATE($B$5,A691-1)</x:f>
        <x:v>65898</x:v>
      </x:c>
      <x:c r="C691" s="141" t="n">
        <x:f>IF(AND($B$22="Sim",A691&gt;=$B$23,A691&lt;$B$23+$B$31),$B$32*D691,0)</x:f>
        <x:v>0</x:v>
      </x:c>
      <x:c r="D691" s="180" t="n">
        <x:f>IF(A691&lt;$B$23,1,(1+$B$33)^INT((A691-$B$23)/12))</x:f>
        <x:v>21.938698463983265</x:v>
      </x:c>
      <x:c r="E691" s="141" t="n">
        <x:f>IF(AND($B$22="Sim",A691=$B$23),$B$37,0)</x:f>
        <x:v>0</x:v>
      </x:c>
      <x:c r="F691" s="141" t="n">
        <x:f>IF(AND($B$22="Sim",A691=$B$24),$B$27,0)</x:f>
        <x:v>0</x:v>
      </x:c>
      <x:c r="G691" s="141" t="n">
        <x:f>IF(AND($B$22="Sim",A691=$B$23),$B$35,0)</x:f>
        <x:v>0</x:v>
      </x:c>
      <x:c r="H691" s="141" t="n">
        <x:f>IF(AND($B$22="Sim",A691=$B$23),$B$36,0)</x:f>
        <x:v>0</x:v>
      </x:c>
      <x:c r="I691" s="141" t="n">
        <x:f>IF(OR($B$22&lt;&gt;"Sim",A691&gt;=$B$23+$B$31-1),0,(I692+C692)/(1+$B$9))</x:f>
        <x:v>0</x:v>
      </x:c>
      <x:c r="J691" s="140" t="str">
        <x:f>IF($B$22&lt;&gt;"Sim","Desativada",IF(A691&lt;$B$23,"Antes da compra",IF(A691&lt;$B$23+$B$31,"Parcelas restantes","Encerrado")))</x:f>
        <x:v>Encerrado</x:v>
      </x:c>
      <x:c r="K691" s="141" t="n">
        <x:f>IF(C691&gt;0,C691/(1+$B$9)^A691,0)</x:f>
        <x:v>0</x:v>
      </x:c>
    </x:row>
    <x:row r="692">
      <x:c r="A692" s="142" t="n">
        <x:v>638</x:v>
      </x:c>
      <x:c r="B692" s="179" t="n">
        <x:f>EDATE($B$5,A692-1)</x:f>
        <x:v>65928</x:v>
      </x:c>
      <x:c r="C692" s="141" t="n">
        <x:f>IF(AND($B$22="Sim",A692&gt;=$B$23,A692&lt;$B$23+$B$31),$B$32*D692,0)</x:f>
        <x:v>0</x:v>
      </x:c>
      <x:c r="D692" s="180" t="n">
        <x:f>IF(A692&lt;$B$23,1,(1+$B$33)^INT((A692-$B$23)/12))</x:f>
        <x:v>21.938698463983265</x:v>
      </x:c>
      <x:c r="E692" s="141" t="n">
        <x:f>IF(AND($B$22="Sim",A692=$B$23),$B$37,0)</x:f>
        <x:v>0</x:v>
      </x:c>
      <x:c r="F692" s="141" t="n">
        <x:f>IF(AND($B$22="Sim",A692=$B$24),$B$27,0)</x:f>
        <x:v>0</x:v>
      </x:c>
      <x:c r="G692" s="141" t="n">
        <x:f>IF(AND($B$22="Sim",A692=$B$23),$B$35,0)</x:f>
        <x:v>0</x:v>
      </x:c>
      <x:c r="H692" s="141" t="n">
        <x:f>IF(AND($B$22="Sim",A692=$B$23),$B$36,0)</x:f>
        <x:v>0</x:v>
      </x:c>
      <x:c r="I692" s="141" t="n">
        <x:f>IF(OR($B$22&lt;&gt;"Sim",A692&gt;=$B$23+$B$31-1),0,(I693+C693)/(1+$B$9))</x:f>
        <x:v>0</x:v>
      </x:c>
      <x:c r="J692" s="140" t="str">
        <x:f>IF($B$22&lt;&gt;"Sim","Desativada",IF(A692&lt;$B$23,"Antes da compra",IF(A692&lt;$B$23+$B$31,"Parcelas restantes","Encerrado")))</x:f>
        <x:v>Encerrado</x:v>
      </x:c>
      <x:c r="K692" s="141" t="n">
        <x:f>IF(C692&gt;0,C692/(1+$B$9)^A692,0)</x:f>
        <x:v>0</x:v>
      </x:c>
    </x:row>
    <x:row r="693">
      <x:c r="A693" s="142" t="n">
        <x:v>639</x:v>
      </x:c>
      <x:c r="B693" s="179" t="n">
        <x:f>EDATE($B$5,A693-1)</x:f>
        <x:v>65959</x:v>
      </x:c>
      <x:c r="C693" s="141" t="n">
        <x:f>IF(AND($B$22="Sim",A693&gt;=$B$23,A693&lt;$B$23+$B$31),$B$32*D693,0)</x:f>
        <x:v>0</x:v>
      </x:c>
      <x:c r="D693" s="180" t="n">
        <x:f>IF(A693&lt;$B$23,1,(1+$B$33)^INT((A693-$B$23)/12))</x:f>
        <x:v>21.938698463983265</x:v>
      </x:c>
      <x:c r="E693" s="141" t="n">
        <x:f>IF(AND($B$22="Sim",A693=$B$23),$B$37,0)</x:f>
        <x:v>0</x:v>
      </x:c>
      <x:c r="F693" s="141" t="n">
        <x:f>IF(AND($B$22="Sim",A693=$B$24),$B$27,0)</x:f>
        <x:v>0</x:v>
      </x:c>
      <x:c r="G693" s="141" t="n">
        <x:f>IF(AND($B$22="Sim",A693=$B$23),$B$35,0)</x:f>
        <x:v>0</x:v>
      </x:c>
      <x:c r="H693" s="141" t="n">
        <x:f>IF(AND($B$22="Sim",A693=$B$23),$B$36,0)</x:f>
        <x:v>0</x:v>
      </x:c>
      <x:c r="I693" s="141" t="n">
        <x:f>IF(OR($B$22&lt;&gt;"Sim",A693&gt;=$B$23+$B$31-1),0,(I694+C694)/(1+$B$9))</x:f>
        <x:v>0</x:v>
      </x:c>
      <x:c r="J693" s="140" t="str">
        <x:f>IF($B$22&lt;&gt;"Sim","Desativada",IF(A693&lt;$B$23,"Antes da compra",IF(A693&lt;$B$23+$B$31,"Parcelas restantes","Encerrado")))</x:f>
        <x:v>Encerrado</x:v>
      </x:c>
      <x:c r="K693" s="141" t="n">
        <x:f>IF(C693&gt;0,C693/(1+$B$9)^A693,0)</x:f>
        <x:v>0</x:v>
      </x:c>
    </x:row>
    <x:row r="694">
      <x:c r="A694" s="142" t="n">
        <x:v>640</x:v>
      </x:c>
      <x:c r="B694" s="179" t="n">
        <x:f>EDATE($B$5,A694-1)</x:f>
        <x:v>65990</x:v>
      </x:c>
      <x:c r="C694" s="141" t="n">
        <x:f>IF(AND($B$22="Sim",A694&gt;=$B$23,A694&lt;$B$23+$B$31),$B$32*D694,0)</x:f>
        <x:v>0</x:v>
      </x:c>
      <x:c r="D694" s="180" t="n">
        <x:f>IF(A694&lt;$B$23,1,(1+$B$33)^INT((A694-$B$23)/12))</x:f>
        <x:v>21.938698463983265</x:v>
      </x:c>
      <x:c r="E694" s="141" t="n">
        <x:f>IF(AND($B$22="Sim",A694=$B$23),$B$37,0)</x:f>
        <x:v>0</x:v>
      </x:c>
      <x:c r="F694" s="141" t="n">
        <x:f>IF(AND($B$22="Sim",A694=$B$24),$B$27,0)</x:f>
        <x:v>0</x:v>
      </x:c>
      <x:c r="G694" s="141" t="n">
        <x:f>IF(AND($B$22="Sim",A694=$B$23),$B$35,0)</x:f>
        <x:v>0</x:v>
      </x:c>
      <x:c r="H694" s="141" t="n">
        <x:f>IF(AND($B$22="Sim",A694=$B$23),$B$36,0)</x:f>
        <x:v>0</x:v>
      </x:c>
      <x:c r="I694" s="141" t="n">
        <x:f>IF(OR($B$22&lt;&gt;"Sim",A694&gt;=$B$23+$B$31-1),0,(I695+C695)/(1+$B$9))</x:f>
        <x:v>0</x:v>
      </x:c>
      <x:c r="J694" s="140" t="str">
        <x:f>IF($B$22&lt;&gt;"Sim","Desativada",IF(A694&lt;$B$23,"Antes da compra",IF(A694&lt;$B$23+$B$31,"Parcelas restantes","Encerrado")))</x:f>
        <x:v>Encerrado</x:v>
      </x:c>
      <x:c r="K694" s="141" t="n">
        <x:f>IF(C694&gt;0,C694/(1+$B$9)^A694,0)</x:f>
        <x:v>0</x:v>
      </x:c>
    </x:row>
    <x:row r="695">
      <x:c r="A695" s="142" t="n">
        <x:v>641</x:v>
      </x:c>
      <x:c r="B695" s="179" t="n">
        <x:f>EDATE($B$5,A695-1)</x:f>
        <x:v>66020</x:v>
      </x:c>
      <x:c r="C695" s="141" t="n">
        <x:f>IF(AND($B$22="Sim",A695&gt;=$B$23,A695&lt;$B$23+$B$31),$B$32*D695,0)</x:f>
        <x:v>0</x:v>
      </x:c>
      <x:c r="D695" s="180" t="n">
        <x:f>IF(A695&lt;$B$23,1,(1+$B$33)^INT((A695-$B$23)/12))</x:f>
        <x:v>21.938698463983265</x:v>
      </x:c>
      <x:c r="E695" s="141" t="n">
        <x:f>IF(AND($B$22="Sim",A695=$B$23),$B$37,0)</x:f>
        <x:v>0</x:v>
      </x:c>
      <x:c r="F695" s="141" t="n">
        <x:f>IF(AND($B$22="Sim",A695=$B$24),$B$27,0)</x:f>
        <x:v>0</x:v>
      </x:c>
      <x:c r="G695" s="141" t="n">
        <x:f>IF(AND($B$22="Sim",A695=$B$23),$B$35,0)</x:f>
        <x:v>0</x:v>
      </x:c>
      <x:c r="H695" s="141" t="n">
        <x:f>IF(AND($B$22="Sim",A695=$B$23),$B$36,0)</x:f>
        <x:v>0</x:v>
      </x:c>
      <x:c r="I695" s="141" t="n">
        <x:f>IF(OR($B$22&lt;&gt;"Sim",A695&gt;=$B$23+$B$31-1),0,(I696+C696)/(1+$B$9))</x:f>
        <x:v>0</x:v>
      </x:c>
      <x:c r="J695" s="140" t="str">
        <x:f>IF($B$22&lt;&gt;"Sim","Desativada",IF(A695&lt;$B$23,"Antes da compra",IF(A695&lt;$B$23+$B$31,"Parcelas restantes","Encerrado")))</x:f>
        <x:v>Encerrado</x:v>
      </x:c>
      <x:c r="K695" s="141" t="n">
        <x:f>IF(C695&gt;0,C695/(1+$B$9)^A695,0)</x:f>
        <x:v>0</x:v>
      </x:c>
    </x:row>
    <x:row r="696">
      <x:c r="A696" s="142" t="n">
        <x:v>642</x:v>
      </x:c>
      <x:c r="B696" s="179" t="n">
        <x:f>EDATE($B$5,A696-1)</x:f>
        <x:v>66051</x:v>
      </x:c>
      <x:c r="C696" s="141" t="n">
        <x:f>IF(AND($B$22="Sim",A696&gt;=$B$23,A696&lt;$B$23+$B$31),$B$32*D696,0)</x:f>
        <x:v>0</x:v>
      </x:c>
      <x:c r="D696" s="180" t="n">
        <x:f>IF(A696&lt;$B$23,1,(1+$B$33)^INT((A696-$B$23)/12))</x:f>
        <x:v>21.938698463983265</x:v>
      </x:c>
      <x:c r="E696" s="141" t="n">
        <x:f>IF(AND($B$22="Sim",A696=$B$23),$B$37,0)</x:f>
        <x:v>0</x:v>
      </x:c>
      <x:c r="F696" s="141" t="n">
        <x:f>IF(AND($B$22="Sim",A696=$B$24),$B$27,0)</x:f>
        <x:v>0</x:v>
      </x:c>
      <x:c r="G696" s="141" t="n">
        <x:f>IF(AND($B$22="Sim",A696=$B$23),$B$35,0)</x:f>
        <x:v>0</x:v>
      </x:c>
      <x:c r="H696" s="141" t="n">
        <x:f>IF(AND($B$22="Sim",A696=$B$23),$B$36,0)</x:f>
        <x:v>0</x:v>
      </x:c>
      <x:c r="I696" s="141" t="n">
        <x:f>IF(OR($B$22&lt;&gt;"Sim",A696&gt;=$B$23+$B$31-1),0,(I697+C697)/(1+$B$9))</x:f>
        <x:v>0</x:v>
      </x:c>
      <x:c r="J696" s="140" t="str">
        <x:f>IF($B$22&lt;&gt;"Sim","Desativada",IF(A696&lt;$B$23,"Antes da compra",IF(A696&lt;$B$23+$B$31,"Parcelas restantes","Encerrado")))</x:f>
        <x:v>Encerrado</x:v>
      </x:c>
      <x:c r="K696" s="141" t="n">
        <x:f>IF(C696&gt;0,C696/(1+$B$9)^A696,0)</x:f>
        <x:v>0</x:v>
      </x:c>
    </x:row>
    <x:row r="697">
      <x:c r="A697" s="142" t="n">
        <x:v>643</x:v>
      </x:c>
      <x:c r="B697" s="179" t="n">
        <x:f>EDATE($B$5,A697-1)</x:f>
        <x:v>66081</x:v>
      </x:c>
      <x:c r="C697" s="141" t="n">
        <x:f>IF(AND($B$22="Sim",A697&gt;=$B$23,A697&lt;$B$23+$B$31),$B$32*D697,0)</x:f>
        <x:v>0</x:v>
      </x:c>
      <x:c r="D697" s="180" t="n">
        <x:f>IF(A697&lt;$B$23,1,(1+$B$33)^INT((A697-$B$23)/12))</x:f>
        <x:v>21.938698463983265</x:v>
      </x:c>
      <x:c r="E697" s="141" t="n">
        <x:f>IF(AND($B$22="Sim",A697=$B$23),$B$37,0)</x:f>
        <x:v>0</x:v>
      </x:c>
      <x:c r="F697" s="141" t="n">
        <x:f>IF(AND($B$22="Sim",A697=$B$24),$B$27,0)</x:f>
        <x:v>0</x:v>
      </x:c>
      <x:c r="G697" s="141" t="n">
        <x:f>IF(AND($B$22="Sim",A697=$B$23),$B$35,0)</x:f>
        <x:v>0</x:v>
      </x:c>
      <x:c r="H697" s="141" t="n">
        <x:f>IF(AND($B$22="Sim",A697=$B$23),$B$36,0)</x:f>
        <x:v>0</x:v>
      </x:c>
      <x:c r="I697" s="141" t="n">
        <x:f>IF(OR($B$22&lt;&gt;"Sim",A697&gt;=$B$23+$B$31-1),0,(I698+C698)/(1+$B$9))</x:f>
        <x:v>0</x:v>
      </x:c>
      <x:c r="J697" s="140" t="str">
        <x:f>IF($B$22&lt;&gt;"Sim","Desativada",IF(A697&lt;$B$23,"Antes da compra",IF(A697&lt;$B$23+$B$31,"Parcelas restantes","Encerrado")))</x:f>
        <x:v>Encerrado</x:v>
      </x:c>
      <x:c r="K697" s="141" t="n">
        <x:f>IF(C697&gt;0,C697/(1+$B$9)^A697,0)</x:f>
        <x:v>0</x:v>
      </x:c>
    </x:row>
    <x:row r="698">
      <x:c r="A698" s="142" t="n">
        <x:v>644</x:v>
      </x:c>
      <x:c r="B698" s="179" t="n">
        <x:f>EDATE($B$5,A698-1)</x:f>
        <x:v>66112</x:v>
      </x:c>
      <x:c r="C698" s="141" t="n">
        <x:f>IF(AND($B$22="Sim",A698&gt;=$B$23,A698&lt;$B$23+$B$31),$B$32*D698,0)</x:f>
        <x:v>0</x:v>
      </x:c>
      <x:c r="D698" s="180" t="n">
        <x:f>IF(A698&lt;$B$23,1,(1+$B$33)^INT((A698-$B$23)/12))</x:f>
        <x:v>21.938698463983265</x:v>
      </x:c>
      <x:c r="E698" s="141" t="n">
        <x:f>IF(AND($B$22="Sim",A698=$B$23),$B$37,0)</x:f>
        <x:v>0</x:v>
      </x:c>
      <x:c r="F698" s="141" t="n">
        <x:f>IF(AND($B$22="Sim",A698=$B$24),$B$27,0)</x:f>
        <x:v>0</x:v>
      </x:c>
      <x:c r="G698" s="141" t="n">
        <x:f>IF(AND($B$22="Sim",A698=$B$23),$B$35,0)</x:f>
        <x:v>0</x:v>
      </x:c>
      <x:c r="H698" s="141" t="n">
        <x:f>IF(AND($B$22="Sim",A698=$B$23),$B$36,0)</x:f>
        <x:v>0</x:v>
      </x:c>
      <x:c r="I698" s="141" t="n">
        <x:f>IF(OR($B$22&lt;&gt;"Sim",A698&gt;=$B$23+$B$31-1),0,(I699+C699)/(1+$B$9))</x:f>
        <x:v>0</x:v>
      </x:c>
      <x:c r="J698" s="140" t="str">
        <x:f>IF($B$22&lt;&gt;"Sim","Desativada",IF(A698&lt;$B$23,"Antes da compra",IF(A698&lt;$B$23+$B$31,"Parcelas restantes","Encerrado")))</x:f>
        <x:v>Encerrado</x:v>
      </x:c>
      <x:c r="K698" s="141" t="n">
        <x:f>IF(C698&gt;0,C698/(1+$B$9)^A698,0)</x:f>
        <x:v>0</x:v>
      </x:c>
    </x:row>
    <x:row r="699">
      <x:c r="A699" s="142" t="n">
        <x:v>645</x:v>
      </x:c>
      <x:c r="B699" s="179" t="n">
        <x:f>EDATE($B$5,A699-1)</x:f>
        <x:v>66143</x:v>
      </x:c>
      <x:c r="C699" s="141" t="n">
        <x:f>IF(AND($B$22="Sim",A699&gt;=$B$23,A699&lt;$B$23+$B$31),$B$32*D699,0)</x:f>
        <x:v>0</x:v>
      </x:c>
      <x:c r="D699" s="180" t="n">
        <x:f>IF(A699&lt;$B$23,1,(1+$B$33)^INT((A699-$B$23)/12))</x:f>
        <x:v>21.938698463983265</x:v>
      </x:c>
      <x:c r="E699" s="141" t="n">
        <x:f>IF(AND($B$22="Sim",A699=$B$23),$B$37,0)</x:f>
        <x:v>0</x:v>
      </x:c>
      <x:c r="F699" s="141" t="n">
        <x:f>IF(AND($B$22="Sim",A699=$B$24),$B$27,0)</x:f>
        <x:v>0</x:v>
      </x:c>
      <x:c r="G699" s="141" t="n">
        <x:f>IF(AND($B$22="Sim",A699=$B$23),$B$35,0)</x:f>
        <x:v>0</x:v>
      </x:c>
      <x:c r="H699" s="141" t="n">
        <x:f>IF(AND($B$22="Sim",A699=$B$23),$B$36,0)</x:f>
        <x:v>0</x:v>
      </x:c>
      <x:c r="I699" s="141" t="n">
        <x:f>IF(OR($B$22&lt;&gt;"Sim",A699&gt;=$B$23+$B$31-1),0,(I700+C700)/(1+$B$9))</x:f>
        <x:v>0</x:v>
      </x:c>
      <x:c r="J699" s="140" t="str">
        <x:f>IF($B$22&lt;&gt;"Sim","Desativada",IF(A699&lt;$B$23,"Antes da compra",IF(A699&lt;$B$23+$B$31,"Parcelas restantes","Encerrado")))</x:f>
        <x:v>Encerrado</x:v>
      </x:c>
      <x:c r="K699" s="141" t="n">
        <x:f>IF(C699&gt;0,C699/(1+$B$9)^A699,0)</x:f>
        <x:v>0</x:v>
      </x:c>
    </x:row>
    <x:row r="700">
      <x:c r="A700" s="142" t="n">
        <x:v>646</x:v>
      </x:c>
      <x:c r="B700" s="179" t="n">
        <x:f>EDATE($B$5,A700-1)</x:f>
        <x:v>66171</x:v>
      </x:c>
      <x:c r="C700" s="141" t="n">
        <x:f>IF(AND($B$22="Sim",A700&gt;=$B$23,A700&lt;$B$23+$B$31),$B$32*D700,0)</x:f>
        <x:v>0</x:v>
      </x:c>
      <x:c r="D700" s="180" t="n">
        <x:f>IF(A700&lt;$B$23,1,(1+$B$33)^INT((A700-$B$23)/12))</x:f>
        <x:v>21.938698463983265</x:v>
      </x:c>
      <x:c r="E700" s="141" t="n">
        <x:f>IF(AND($B$22="Sim",A700=$B$23),$B$37,0)</x:f>
        <x:v>0</x:v>
      </x:c>
      <x:c r="F700" s="141" t="n">
        <x:f>IF(AND($B$22="Sim",A700=$B$24),$B$27,0)</x:f>
        <x:v>0</x:v>
      </x:c>
      <x:c r="G700" s="141" t="n">
        <x:f>IF(AND($B$22="Sim",A700=$B$23),$B$35,0)</x:f>
        <x:v>0</x:v>
      </x:c>
      <x:c r="H700" s="141" t="n">
        <x:f>IF(AND($B$22="Sim",A700=$B$23),$B$36,0)</x:f>
        <x:v>0</x:v>
      </x:c>
      <x:c r="I700" s="141" t="n">
        <x:f>IF(OR($B$22&lt;&gt;"Sim",A700&gt;=$B$23+$B$31-1),0,(I701+C701)/(1+$B$9))</x:f>
        <x:v>0</x:v>
      </x:c>
      <x:c r="J700" s="140" t="str">
        <x:f>IF($B$22&lt;&gt;"Sim","Desativada",IF(A700&lt;$B$23,"Antes da compra",IF(A700&lt;$B$23+$B$31,"Parcelas restantes","Encerrado")))</x:f>
        <x:v>Encerrado</x:v>
      </x:c>
      <x:c r="K700" s="141" t="n">
        <x:f>IF(C700&gt;0,C700/(1+$B$9)^A700,0)</x:f>
        <x:v>0</x:v>
      </x:c>
    </x:row>
    <x:row r="701">
      <x:c r="A701" s="142" t="n">
        <x:v>647</x:v>
      </x:c>
      <x:c r="B701" s="179" t="n">
        <x:f>EDATE($B$5,A701-1)</x:f>
        <x:v>66202</x:v>
      </x:c>
      <x:c r="C701" s="141" t="n">
        <x:f>IF(AND($B$22="Sim",A701&gt;=$B$23,A701&lt;$B$23+$B$31),$B$32*D701,0)</x:f>
        <x:v>0</x:v>
      </x:c>
      <x:c r="D701" s="180" t="n">
        <x:f>IF(A701&lt;$B$23,1,(1+$B$33)^INT((A701-$B$23)/12))</x:f>
        <x:v>21.938698463983265</x:v>
      </x:c>
      <x:c r="E701" s="141" t="n">
        <x:f>IF(AND($B$22="Sim",A701=$B$23),$B$37,0)</x:f>
        <x:v>0</x:v>
      </x:c>
      <x:c r="F701" s="141" t="n">
        <x:f>IF(AND($B$22="Sim",A701=$B$24),$B$27,0)</x:f>
        <x:v>0</x:v>
      </x:c>
      <x:c r="G701" s="141" t="n">
        <x:f>IF(AND($B$22="Sim",A701=$B$23),$B$35,0)</x:f>
        <x:v>0</x:v>
      </x:c>
      <x:c r="H701" s="141" t="n">
        <x:f>IF(AND($B$22="Sim",A701=$B$23),$B$36,0)</x:f>
        <x:v>0</x:v>
      </x:c>
      <x:c r="I701" s="141" t="n">
        <x:f>IF(OR($B$22&lt;&gt;"Sim",A701&gt;=$B$23+$B$31-1),0,(I702+C702)/(1+$B$9))</x:f>
        <x:v>0</x:v>
      </x:c>
      <x:c r="J701" s="140" t="str">
        <x:f>IF($B$22&lt;&gt;"Sim","Desativada",IF(A701&lt;$B$23,"Antes da compra",IF(A701&lt;$B$23+$B$31,"Parcelas restantes","Encerrado")))</x:f>
        <x:v>Encerrado</x:v>
      </x:c>
      <x:c r="K701" s="141" t="n">
        <x:f>IF(C701&gt;0,C701/(1+$B$9)^A701,0)</x:f>
        <x:v>0</x:v>
      </x:c>
    </x:row>
    <x:row r="702">
      <x:c r="A702" s="142" t="n">
        <x:v>648</x:v>
      </x:c>
      <x:c r="B702" s="179" t="n">
        <x:f>EDATE($B$5,A702-1)</x:f>
        <x:v>66232</x:v>
      </x:c>
      <x:c r="C702" s="141" t="n">
        <x:f>IF(AND($B$22="Sim",A702&gt;=$B$23,A702&lt;$B$23+$B$31),$B$32*D702,0)</x:f>
        <x:v>0</x:v>
      </x:c>
      <x:c r="D702" s="180" t="n">
        <x:f>IF(A702&lt;$B$23,1,(1+$B$33)^INT((A702-$B$23)/12))</x:f>
        <x:v>21.938698463983265</x:v>
      </x:c>
      <x:c r="E702" s="141" t="n">
        <x:f>IF(AND($B$22="Sim",A702=$B$23),$B$37,0)</x:f>
        <x:v>0</x:v>
      </x:c>
      <x:c r="F702" s="141" t="n">
        <x:f>IF(AND($B$22="Sim",A702=$B$24),$B$27,0)</x:f>
        <x:v>0</x:v>
      </x:c>
      <x:c r="G702" s="141" t="n">
        <x:f>IF(AND($B$22="Sim",A702=$B$23),$B$35,0)</x:f>
        <x:v>0</x:v>
      </x:c>
      <x:c r="H702" s="141" t="n">
        <x:f>IF(AND($B$22="Sim",A702=$B$23),$B$36,0)</x:f>
        <x:v>0</x:v>
      </x:c>
      <x:c r="I702" s="141" t="n">
        <x:f>IF(OR($B$22&lt;&gt;"Sim",A702&gt;=$B$23+$B$31-1),0,(I703+C703)/(1+$B$9))</x:f>
        <x:v>0</x:v>
      </x:c>
      <x:c r="J702" s="140" t="str">
        <x:f>IF($B$22&lt;&gt;"Sim","Desativada",IF(A702&lt;$B$23,"Antes da compra",IF(A702&lt;$B$23+$B$31,"Parcelas restantes","Encerrado")))</x:f>
        <x:v>Encerrado</x:v>
      </x:c>
      <x:c r="K702" s="141" t="n">
        <x:f>IF(C702&gt;0,C702/(1+$B$9)^A702,0)</x:f>
        <x:v>0</x:v>
      </x:c>
    </x:row>
    <x:row r="703">
      <x:c r="A703" s="142" t="n">
        <x:v>649</x:v>
      </x:c>
      <x:c r="B703" s="179" t="n">
        <x:f>EDATE($B$5,A703-1)</x:f>
        <x:v>66263</x:v>
      </x:c>
      <x:c r="C703" s="141" t="n">
        <x:f>IF(AND($B$22="Sim",A703&gt;=$B$23,A703&lt;$B$23+$B$31),$B$32*D703,0)</x:f>
        <x:v>0</x:v>
      </x:c>
      <x:c r="D703" s="180" t="n">
        <x:f>IF(A703&lt;$B$23,1,(1+$B$33)^INT((A703-$B$23)/12))</x:f>
        <x:v>23.255020371822262</x:v>
      </x:c>
      <x:c r="E703" s="141" t="n">
        <x:f>IF(AND($B$22="Sim",A703=$B$23),$B$37,0)</x:f>
        <x:v>0</x:v>
      </x:c>
      <x:c r="F703" s="141" t="n">
        <x:f>IF(AND($B$22="Sim",A703=$B$24),$B$27,0)</x:f>
        <x:v>0</x:v>
      </x:c>
      <x:c r="G703" s="141" t="n">
        <x:f>IF(AND($B$22="Sim",A703=$B$23),$B$35,0)</x:f>
        <x:v>0</x:v>
      </x:c>
      <x:c r="H703" s="141" t="n">
        <x:f>IF(AND($B$22="Sim",A703=$B$23),$B$36,0)</x:f>
        <x:v>0</x:v>
      </x:c>
      <x:c r="I703" s="141" t="n">
        <x:f>IF(OR($B$22&lt;&gt;"Sim",A703&gt;=$B$23+$B$31-1),0,(I704+C704)/(1+$B$9))</x:f>
        <x:v>0</x:v>
      </x:c>
      <x:c r="J703" s="140" t="str">
        <x:f>IF($B$22&lt;&gt;"Sim","Desativada",IF(A703&lt;$B$23,"Antes da compra",IF(A703&lt;$B$23+$B$31,"Parcelas restantes","Encerrado")))</x:f>
        <x:v>Encerrado</x:v>
      </x:c>
      <x:c r="K703" s="141" t="n">
        <x:f>IF(C703&gt;0,C703/(1+$B$9)^A703,0)</x:f>
        <x:v>0</x:v>
      </x:c>
    </x:row>
    <x:row r="704">
      <x:c r="A704" s="142" t="n">
        <x:v>650</x:v>
      </x:c>
      <x:c r="B704" s="179" t="n">
        <x:f>EDATE($B$5,A704-1)</x:f>
        <x:v>66293</x:v>
      </x:c>
      <x:c r="C704" s="141" t="n">
        <x:f>IF(AND($B$22="Sim",A704&gt;=$B$23,A704&lt;$B$23+$B$31),$B$32*D704,0)</x:f>
        <x:v>0</x:v>
      </x:c>
      <x:c r="D704" s="180" t="n">
        <x:f>IF(A704&lt;$B$23,1,(1+$B$33)^INT((A704-$B$23)/12))</x:f>
        <x:v>23.255020371822262</x:v>
      </x:c>
      <x:c r="E704" s="141" t="n">
        <x:f>IF(AND($B$22="Sim",A704=$B$23),$B$37,0)</x:f>
        <x:v>0</x:v>
      </x:c>
      <x:c r="F704" s="141" t="n">
        <x:f>IF(AND($B$22="Sim",A704=$B$24),$B$27,0)</x:f>
        <x:v>0</x:v>
      </x:c>
      <x:c r="G704" s="141" t="n">
        <x:f>IF(AND($B$22="Sim",A704=$B$23),$B$35,0)</x:f>
        <x:v>0</x:v>
      </x:c>
      <x:c r="H704" s="141" t="n">
        <x:f>IF(AND($B$22="Sim",A704=$B$23),$B$36,0)</x:f>
        <x:v>0</x:v>
      </x:c>
      <x:c r="I704" s="141" t="n">
        <x:f>IF(OR($B$22&lt;&gt;"Sim",A704&gt;=$B$23+$B$31-1),0,(I705+C705)/(1+$B$9))</x:f>
        <x:v>0</x:v>
      </x:c>
      <x:c r="J704" s="140" t="str">
        <x:f>IF($B$22&lt;&gt;"Sim","Desativada",IF(A704&lt;$B$23,"Antes da compra",IF(A704&lt;$B$23+$B$31,"Parcelas restantes","Encerrado")))</x:f>
        <x:v>Encerrado</x:v>
      </x:c>
      <x:c r="K704" s="141" t="n">
        <x:f>IF(C704&gt;0,C704/(1+$B$9)^A704,0)</x:f>
        <x:v>0</x:v>
      </x:c>
    </x:row>
    <x:row r="705">
      <x:c r="A705" s="142" t="n">
        <x:v>651</x:v>
      </x:c>
      <x:c r="B705" s="179" t="n">
        <x:f>EDATE($B$5,A705-1)</x:f>
        <x:v>66324</x:v>
      </x:c>
      <x:c r="C705" s="141" t="n">
        <x:f>IF(AND($B$22="Sim",A705&gt;=$B$23,A705&lt;$B$23+$B$31),$B$32*D705,0)</x:f>
        <x:v>0</x:v>
      </x:c>
      <x:c r="D705" s="180" t="n">
        <x:f>IF(A705&lt;$B$23,1,(1+$B$33)^INT((A705-$B$23)/12))</x:f>
        <x:v>23.255020371822262</x:v>
      </x:c>
      <x:c r="E705" s="141" t="n">
        <x:f>IF(AND($B$22="Sim",A705=$B$23),$B$37,0)</x:f>
        <x:v>0</x:v>
      </x:c>
      <x:c r="F705" s="141" t="n">
        <x:f>IF(AND($B$22="Sim",A705=$B$24),$B$27,0)</x:f>
        <x:v>0</x:v>
      </x:c>
      <x:c r="G705" s="141" t="n">
        <x:f>IF(AND($B$22="Sim",A705=$B$23),$B$35,0)</x:f>
        <x:v>0</x:v>
      </x:c>
      <x:c r="H705" s="141" t="n">
        <x:f>IF(AND($B$22="Sim",A705=$B$23),$B$36,0)</x:f>
        <x:v>0</x:v>
      </x:c>
      <x:c r="I705" s="141" t="n">
        <x:f>IF(OR($B$22&lt;&gt;"Sim",A705&gt;=$B$23+$B$31-1),0,(I706+C706)/(1+$B$9))</x:f>
        <x:v>0</x:v>
      </x:c>
      <x:c r="J705" s="140" t="str">
        <x:f>IF($B$22&lt;&gt;"Sim","Desativada",IF(A705&lt;$B$23,"Antes da compra",IF(A705&lt;$B$23+$B$31,"Parcelas restantes","Encerrado")))</x:f>
        <x:v>Encerrado</x:v>
      </x:c>
      <x:c r="K705" s="141" t="n">
        <x:f>IF(C705&gt;0,C705/(1+$B$9)^A705,0)</x:f>
        <x:v>0</x:v>
      </x:c>
    </x:row>
    <x:row r="706">
      <x:c r="A706" s="142" t="n">
        <x:v>652</x:v>
      </x:c>
      <x:c r="B706" s="179" t="n">
        <x:f>EDATE($B$5,A706-1)</x:f>
        <x:v>66355</x:v>
      </x:c>
      <x:c r="C706" s="141" t="n">
        <x:f>IF(AND($B$22="Sim",A706&gt;=$B$23,A706&lt;$B$23+$B$31),$B$32*D706,0)</x:f>
        <x:v>0</x:v>
      </x:c>
      <x:c r="D706" s="180" t="n">
        <x:f>IF(A706&lt;$B$23,1,(1+$B$33)^INT((A706-$B$23)/12))</x:f>
        <x:v>23.255020371822262</x:v>
      </x:c>
      <x:c r="E706" s="141" t="n">
        <x:f>IF(AND($B$22="Sim",A706=$B$23),$B$37,0)</x:f>
        <x:v>0</x:v>
      </x:c>
      <x:c r="F706" s="141" t="n">
        <x:f>IF(AND($B$22="Sim",A706=$B$24),$B$27,0)</x:f>
        <x:v>0</x:v>
      </x:c>
      <x:c r="G706" s="141" t="n">
        <x:f>IF(AND($B$22="Sim",A706=$B$23),$B$35,0)</x:f>
        <x:v>0</x:v>
      </x:c>
      <x:c r="H706" s="141" t="n">
        <x:f>IF(AND($B$22="Sim",A706=$B$23),$B$36,0)</x:f>
        <x:v>0</x:v>
      </x:c>
      <x:c r="I706" s="141" t="n">
        <x:f>IF(OR($B$22&lt;&gt;"Sim",A706&gt;=$B$23+$B$31-1),0,(I707+C707)/(1+$B$9))</x:f>
        <x:v>0</x:v>
      </x:c>
      <x:c r="J706" s="140" t="str">
        <x:f>IF($B$22&lt;&gt;"Sim","Desativada",IF(A706&lt;$B$23,"Antes da compra",IF(A706&lt;$B$23+$B$31,"Parcelas restantes","Encerrado")))</x:f>
        <x:v>Encerrado</x:v>
      </x:c>
      <x:c r="K706" s="141" t="n">
        <x:f>IF(C706&gt;0,C706/(1+$B$9)^A706,0)</x:f>
        <x:v>0</x:v>
      </x:c>
    </x:row>
    <x:row r="707">
      <x:c r="A707" s="142" t="n">
        <x:v>653</x:v>
      </x:c>
      <x:c r="B707" s="179" t="n">
        <x:f>EDATE($B$5,A707-1)</x:f>
        <x:v>66385</x:v>
      </x:c>
      <x:c r="C707" s="141" t="n">
        <x:f>IF(AND($B$22="Sim",A707&gt;=$B$23,A707&lt;$B$23+$B$31),$B$32*D707,0)</x:f>
        <x:v>0</x:v>
      </x:c>
      <x:c r="D707" s="180" t="n">
        <x:f>IF(A707&lt;$B$23,1,(1+$B$33)^INT((A707-$B$23)/12))</x:f>
        <x:v>23.255020371822262</x:v>
      </x:c>
      <x:c r="E707" s="141" t="n">
        <x:f>IF(AND($B$22="Sim",A707=$B$23),$B$37,0)</x:f>
        <x:v>0</x:v>
      </x:c>
      <x:c r="F707" s="141" t="n">
        <x:f>IF(AND($B$22="Sim",A707=$B$24),$B$27,0)</x:f>
        <x:v>0</x:v>
      </x:c>
      <x:c r="G707" s="141" t="n">
        <x:f>IF(AND($B$22="Sim",A707=$B$23),$B$35,0)</x:f>
        <x:v>0</x:v>
      </x:c>
      <x:c r="H707" s="141" t="n">
        <x:f>IF(AND($B$22="Sim",A707=$B$23),$B$36,0)</x:f>
        <x:v>0</x:v>
      </x:c>
      <x:c r="I707" s="141" t="n">
        <x:f>IF(OR($B$22&lt;&gt;"Sim",A707&gt;=$B$23+$B$31-1),0,(I708+C708)/(1+$B$9))</x:f>
        <x:v>0</x:v>
      </x:c>
      <x:c r="J707" s="140" t="str">
        <x:f>IF($B$22&lt;&gt;"Sim","Desativada",IF(A707&lt;$B$23,"Antes da compra",IF(A707&lt;$B$23+$B$31,"Parcelas restantes","Encerrado")))</x:f>
        <x:v>Encerrado</x:v>
      </x:c>
      <x:c r="K707" s="141" t="n">
        <x:f>IF(C707&gt;0,C707/(1+$B$9)^A707,0)</x:f>
        <x:v>0</x:v>
      </x:c>
    </x:row>
    <x:row r="708">
      <x:c r="A708" s="142" t="n">
        <x:v>654</x:v>
      </x:c>
      <x:c r="B708" s="179" t="n">
        <x:f>EDATE($B$5,A708-1)</x:f>
        <x:v>66416</x:v>
      </x:c>
      <x:c r="C708" s="141" t="n">
        <x:f>IF(AND($B$22="Sim",A708&gt;=$B$23,A708&lt;$B$23+$B$31),$B$32*D708,0)</x:f>
        <x:v>0</x:v>
      </x:c>
      <x:c r="D708" s="180" t="n">
        <x:f>IF(A708&lt;$B$23,1,(1+$B$33)^INT((A708-$B$23)/12))</x:f>
        <x:v>23.255020371822262</x:v>
      </x:c>
      <x:c r="E708" s="141" t="n">
        <x:f>IF(AND($B$22="Sim",A708=$B$23),$B$37,0)</x:f>
        <x:v>0</x:v>
      </x:c>
      <x:c r="F708" s="141" t="n">
        <x:f>IF(AND($B$22="Sim",A708=$B$24),$B$27,0)</x:f>
        <x:v>0</x:v>
      </x:c>
      <x:c r="G708" s="141" t="n">
        <x:f>IF(AND($B$22="Sim",A708=$B$23),$B$35,0)</x:f>
        <x:v>0</x:v>
      </x:c>
      <x:c r="H708" s="141" t="n">
        <x:f>IF(AND($B$22="Sim",A708=$B$23),$B$36,0)</x:f>
        <x:v>0</x:v>
      </x:c>
      <x:c r="I708" s="141" t="n">
        <x:f>IF(OR($B$22&lt;&gt;"Sim",A708&gt;=$B$23+$B$31-1),0,(I709+C709)/(1+$B$9))</x:f>
        <x:v>0</x:v>
      </x:c>
      <x:c r="J708" s="140" t="str">
        <x:f>IF($B$22&lt;&gt;"Sim","Desativada",IF(A708&lt;$B$23,"Antes da compra",IF(A708&lt;$B$23+$B$31,"Parcelas restantes","Encerrado")))</x:f>
        <x:v>Encerrado</x:v>
      </x:c>
      <x:c r="K708" s="141" t="n">
        <x:f>IF(C708&gt;0,C708/(1+$B$9)^A708,0)</x:f>
        <x:v>0</x:v>
      </x:c>
    </x:row>
    <x:row r="709">
      <x:c r="A709" s="142" t="n">
        <x:v>655</x:v>
      </x:c>
      <x:c r="B709" s="179" t="n">
        <x:f>EDATE($B$5,A709-1)</x:f>
        <x:v>66446</x:v>
      </x:c>
      <x:c r="C709" s="141" t="n">
        <x:f>IF(AND($B$22="Sim",A709&gt;=$B$23,A709&lt;$B$23+$B$31),$B$32*D709,0)</x:f>
        <x:v>0</x:v>
      </x:c>
      <x:c r="D709" s="180" t="n">
        <x:f>IF(A709&lt;$B$23,1,(1+$B$33)^INT((A709-$B$23)/12))</x:f>
        <x:v>23.255020371822262</x:v>
      </x:c>
      <x:c r="E709" s="141" t="n">
        <x:f>IF(AND($B$22="Sim",A709=$B$23),$B$37,0)</x:f>
        <x:v>0</x:v>
      </x:c>
      <x:c r="F709" s="141" t="n">
        <x:f>IF(AND($B$22="Sim",A709=$B$24),$B$27,0)</x:f>
        <x:v>0</x:v>
      </x:c>
      <x:c r="G709" s="141" t="n">
        <x:f>IF(AND($B$22="Sim",A709=$B$23),$B$35,0)</x:f>
        <x:v>0</x:v>
      </x:c>
      <x:c r="H709" s="141" t="n">
        <x:f>IF(AND($B$22="Sim",A709=$B$23),$B$36,0)</x:f>
        <x:v>0</x:v>
      </x:c>
      <x:c r="I709" s="141" t="n">
        <x:f>IF(OR($B$22&lt;&gt;"Sim",A709&gt;=$B$23+$B$31-1),0,(I710+C710)/(1+$B$9))</x:f>
        <x:v>0</x:v>
      </x:c>
      <x:c r="J709" s="140" t="str">
        <x:f>IF($B$22&lt;&gt;"Sim","Desativada",IF(A709&lt;$B$23,"Antes da compra",IF(A709&lt;$B$23+$B$31,"Parcelas restantes","Encerrado")))</x:f>
        <x:v>Encerrado</x:v>
      </x:c>
      <x:c r="K709" s="141" t="n">
        <x:f>IF(C709&gt;0,C709/(1+$B$9)^A709,0)</x:f>
        <x:v>0</x:v>
      </x:c>
    </x:row>
    <x:row r="710">
      <x:c r="A710" s="142" t="n">
        <x:v>656</x:v>
      </x:c>
      <x:c r="B710" s="179" t="n">
        <x:f>EDATE($B$5,A710-1)</x:f>
        <x:v>66477</x:v>
      </x:c>
      <x:c r="C710" s="141" t="n">
        <x:f>IF(AND($B$22="Sim",A710&gt;=$B$23,A710&lt;$B$23+$B$31),$B$32*D710,0)</x:f>
        <x:v>0</x:v>
      </x:c>
      <x:c r="D710" s="180" t="n">
        <x:f>IF(A710&lt;$B$23,1,(1+$B$33)^INT((A710-$B$23)/12))</x:f>
        <x:v>23.255020371822262</x:v>
      </x:c>
      <x:c r="E710" s="141" t="n">
        <x:f>IF(AND($B$22="Sim",A710=$B$23),$B$37,0)</x:f>
        <x:v>0</x:v>
      </x:c>
      <x:c r="F710" s="141" t="n">
        <x:f>IF(AND($B$22="Sim",A710=$B$24),$B$27,0)</x:f>
        <x:v>0</x:v>
      </x:c>
      <x:c r="G710" s="141" t="n">
        <x:f>IF(AND($B$22="Sim",A710=$B$23),$B$35,0)</x:f>
        <x:v>0</x:v>
      </x:c>
      <x:c r="H710" s="141" t="n">
        <x:f>IF(AND($B$22="Sim",A710=$B$23),$B$36,0)</x:f>
        <x:v>0</x:v>
      </x:c>
      <x:c r="I710" s="141" t="n">
        <x:f>IF(OR($B$22&lt;&gt;"Sim",A710&gt;=$B$23+$B$31-1),0,(I711+C711)/(1+$B$9))</x:f>
        <x:v>0</x:v>
      </x:c>
      <x:c r="J710" s="140" t="str">
        <x:f>IF($B$22&lt;&gt;"Sim","Desativada",IF(A710&lt;$B$23,"Antes da compra",IF(A710&lt;$B$23+$B$31,"Parcelas restantes","Encerrado")))</x:f>
        <x:v>Encerrado</x:v>
      </x:c>
      <x:c r="K710" s="141" t="n">
        <x:f>IF(C710&gt;0,C710/(1+$B$9)^A710,0)</x:f>
        <x:v>0</x:v>
      </x:c>
    </x:row>
    <x:row r="711">
      <x:c r="A711" s="142" t="n">
        <x:v>657</x:v>
      </x:c>
      <x:c r="B711" s="179" t="n">
        <x:f>EDATE($B$5,A711-1)</x:f>
        <x:v>66508</x:v>
      </x:c>
      <x:c r="C711" s="141" t="n">
        <x:f>IF(AND($B$22="Sim",A711&gt;=$B$23,A711&lt;$B$23+$B$31),$B$32*D711,0)</x:f>
        <x:v>0</x:v>
      </x:c>
      <x:c r="D711" s="180" t="n">
        <x:f>IF(A711&lt;$B$23,1,(1+$B$33)^INT((A711-$B$23)/12))</x:f>
        <x:v>23.255020371822262</x:v>
      </x:c>
      <x:c r="E711" s="141" t="n">
        <x:f>IF(AND($B$22="Sim",A711=$B$23),$B$37,0)</x:f>
        <x:v>0</x:v>
      </x:c>
      <x:c r="F711" s="141" t="n">
        <x:f>IF(AND($B$22="Sim",A711=$B$24),$B$27,0)</x:f>
        <x:v>0</x:v>
      </x:c>
      <x:c r="G711" s="141" t="n">
        <x:f>IF(AND($B$22="Sim",A711=$B$23),$B$35,0)</x:f>
        <x:v>0</x:v>
      </x:c>
      <x:c r="H711" s="141" t="n">
        <x:f>IF(AND($B$22="Sim",A711=$B$23),$B$36,0)</x:f>
        <x:v>0</x:v>
      </x:c>
      <x:c r="I711" s="141" t="n">
        <x:f>IF(OR($B$22&lt;&gt;"Sim",A711&gt;=$B$23+$B$31-1),0,(I712+C712)/(1+$B$9))</x:f>
        <x:v>0</x:v>
      </x:c>
      <x:c r="J711" s="140" t="str">
        <x:f>IF($B$22&lt;&gt;"Sim","Desativada",IF(A711&lt;$B$23,"Antes da compra",IF(A711&lt;$B$23+$B$31,"Parcelas restantes","Encerrado")))</x:f>
        <x:v>Encerrado</x:v>
      </x:c>
      <x:c r="K711" s="141" t="n">
        <x:f>IF(C711&gt;0,C711/(1+$B$9)^A711,0)</x:f>
        <x:v>0</x:v>
      </x:c>
    </x:row>
    <x:row r="712">
      <x:c r="A712" s="142" t="n">
        <x:v>658</x:v>
      </x:c>
      <x:c r="B712" s="179" t="n">
        <x:f>EDATE($B$5,A712-1)</x:f>
        <x:v>66536</x:v>
      </x:c>
      <x:c r="C712" s="141" t="n">
        <x:f>IF(AND($B$22="Sim",A712&gt;=$B$23,A712&lt;$B$23+$B$31),$B$32*D712,0)</x:f>
        <x:v>0</x:v>
      </x:c>
      <x:c r="D712" s="180" t="n">
        <x:f>IF(A712&lt;$B$23,1,(1+$B$33)^INT((A712-$B$23)/12))</x:f>
        <x:v>23.255020371822262</x:v>
      </x:c>
      <x:c r="E712" s="141" t="n">
        <x:f>IF(AND($B$22="Sim",A712=$B$23),$B$37,0)</x:f>
        <x:v>0</x:v>
      </x:c>
      <x:c r="F712" s="141" t="n">
        <x:f>IF(AND($B$22="Sim",A712=$B$24),$B$27,0)</x:f>
        <x:v>0</x:v>
      </x:c>
      <x:c r="G712" s="141" t="n">
        <x:f>IF(AND($B$22="Sim",A712=$B$23),$B$35,0)</x:f>
        <x:v>0</x:v>
      </x:c>
      <x:c r="H712" s="141" t="n">
        <x:f>IF(AND($B$22="Sim",A712=$B$23),$B$36,0)</x:f>
        <x:v>0</x:v>
      </x:c>
      <x:c r="I712" s="141" t="n">
        <x:f>IF(OR($B$22&lt;&gt;"Sim",A712&gt;=$B$23+$B$31-1),0,(I713+C713)/(1+$B$9))</x:f>
        <x:v>0</x:v>
      </x:c>
      <x:c r="J712" s="140" t="str">
        <x:f>IF($B$22&lt;&gt;"Sim","Desativada",IF(A712&lt;$B$23,"Antes da compra",IF(A712&lt;$B$23+$B$31,"Parcelas restantes","Encerrado")))</x:f>
        <x:v>Encerrado</x:v>
      </x:c>
      <x:c r="K712" s="141" t="n">
        <x:f>IF(C712&gt;0,C712/(1+$B$9)^A712,0)</x:f>
        <x:v>0</x:v>
      </x:c>
    </x:row>
    <x:row r="713">
      <x:c r="A713" s="142" t="n">
        <x:v>659</x:v>
      </x:c>
      <x:c r="B713" s="179" t="n">
        <x:f>EDATE($B$5,A713-1)</x:f>
        <x:v>66567</x:v>
      </x:c>
      <x:c r="C713" s="141" t="n">
        <x:f>IF(AND($B$22="Sim",A713&gt;=$B$23,A713&lt;$B$23+$B$31),$B$32*D713,0)</x:f>
        <x:v>0</x:v>
      </x:c>
      <x:c r="D713" s="180" t="n">
        <x:f>IF(A713&lt;$B$23,1,(1+$B$33)^INT((A713-$B$23)/12))</x:f>
        <x:v>23.255020371822262</x:v>
      </x:c>
      <x:c r="E713" s="141" t="n">
        <x:f>IF(AND($B$22="Sim",A713=$B$23),$B$37,0)</x:f>
        <x:v>0</x:v>
      </x:c>
      <x:c r="F713" s="141" t="n">
        <x:f>IF(AND($B$22="Sim",A713=$B$24),$B$27,0)</x:f>
        <x:v>0</x:v>
      </x:c>
      <x:c r="G713" s="141" t="n">
        <x:f>IF(AND($B$22="Sim",A713=$B$23),$B$35,0)</x:f>
        <x:v>0</x:v>
      </x:c>
      <x:c r="H713" s="141" t="n">
        <x:f>IF(AND($B$22="Sim",A713=$B$23),$B$36,0)</x:f>
        <x:v>0</x:v>
      </x:c>
      <x:c r="I713" s="141" t="n">
        <x:f>IF(OR($B$22&lt;&gt;"Sim",A713&gt;=$B$23+$B$31-1),0,(I714+C714)/(1+$B$9))</x:f>
        <x:v>0</x:v>
      </x:c>
      <x:c r="J713" s="140" t="str">
        <x:f>IF($B$22&lt;&gt;"Sim","Desativada",IF(A713&lt;$B$23,"Antes da compra",IF(A713&lt;$B$23+$B$31,"Parcelas restantes","Encerrado")))</x:f>
        <x:v>Encerrado</x:v>
      </x:c>
      <x:c r="K713" s="141" t="n">
        <x:f>IF(C713&gt;0,C713/(1+$B$9)^A713,0)</x:f>
        <x:v>0</x:v>
      </x:c>
    </x:row>
    <x:row r="714">
      <x:c r="A714" s="142" t="n">
        <x:v>660</x:v>
      </x:c>
      <x:c r="B714" s="179" t="n">
        <x:f>EDATE($B$5,A714-1)</x:f>
        <x:v>66597</x:v>
      </x:c>
      <x:c r="C714" s="141" t="n">
        <x:f>IF(AND($B$22="Sim",A714&gt;=$B$23,A714&lt;$B$23+$B$31),$B$32*D714,0)</x:f>
        <x:v>0</x:v>
      </x:c>
      <x:c r="D714" s="180" t="n">
        <x:f>IF(A714&lt;$B$23,1,(1+$B$33)^INT((A714-$B$23)/12))</x:f>
        <x:v>23.255020371822262</x:v>
      </x:c>
      <x:c r="E714" s="141" t="n">
        <x:f>IF(AND($B$22="Sim",A714=$B$23),$B$37,0)</x:f>
        <x:v>0</x:v>
      </x:c>
      <x:c r="F714" s="141" t="n">
        <x:f>IF(AND($B$22="Sim",A714=$B$24),$B$27,0)</x:f>
        <x:v>0</x:v>
      </x:c>
      <x:c r="G714" s="141" t="n">
        <x:f>IF(AND($B$22="Sim",A714=$B$23),$B$35,0)</x:f>
        <x:v>0</x:v>
      </x:c>
      <x:c r="H714" s="141" t="n">
        <x:f>IF(AND($B$22="Sim",A714=$B$23),$B$36,0)</x:f>
        <x:v>0</x:v>
      </x:c>
      <x:c r="I714" s="141" t="n">
        <x:f>IF(OR($B$22&lt;&gt;"Sim",A714&gt;=$B$23+$B$31-1),0,(I715+C715)/(1+$B$9))</x:f>
        <x:v>0</x:v>
      </x:c>
      <x:c r="J714" s="140" t="str">
        <x:f>IF($B$22&lt;&gt;"Sim","Desativada",IF(A714&lt;$B$23,"Antes da compra",IF(A714&lt;$B$23+$B$31,"Parcelas restantes","Encerrado")))</x:f>
        <x:v>Encerrado</x:v>
      </x:c>
      <x:c r="K714" s="141" t="n">
        <x:f>IF(C714&gt;0,C714/(1+$B$9)^A714,0)</x:f>
        <x:v>0</x:v>
      </x:c>
    </x:row>
    <x:row r="715">
      <x:c r="A715" s="142" t="n">
        <x:v>661</x:v>
      </x:c>
      <x:c r="B715" s="179" t="n">
        <x:f>EDATE($B$5,A715-1)</x:f>
        <x:v>66628</x:v>
      </x:c>
      <x:c r="C715" s="141" t="n">
        <x:f>IF(AND($B$22="Sim",A715&gt;=$B$23,A715&lt;$B$23+$B$31),$B$32*D715,0)</x:f>
        <x:v>0</x:v>
      </x:c>
      <x:c r="D715" s="180" t="n">
        <x:f>IF(A715&lt;$B$23,1,(1+$B$33)^INT((A715-$B$23)/12))</x:f>
        <x:v>24.6503215941316</x:v>
      </x:c>
      <x:c r="E715" s="141" t="n">
        <x:f>IF(AND($B$22="Sim",A715=$B$23),$B$37,0)</x:f>
        <x:v>0</x:v>
      </x:c>
      <x:c r="F715" s="141" t="n">
        <x:f>IF(AND($B$22="Sim",A715=$B$24),$B$27,0)</x:f>
        <x:v>0</x:v>
      </x:c>
      <x:c r="G715" s="141" t="n">
        <x:f>IF(AND($B$22="Sim",A715=$B$23),$B$35,0)</x:f>
        <x:v>0</x:v>
      </x:c>
      <x:c r="H715" s="141" t="n">
        <x:f>IF(AND($B$22="Sim",A715=$B$23),$B$36,0)</x:f>
        <x:v>0</x:v>
      </x:c>
      <x:c r="I715" s="141" t="n">
        <x:f>IF(OR($B$22&lt;&gt;"Sim",A715&gt;=$B$23+$B$31-1),0,(I716+C716)/(1+$B$9))</x:f>
        <x:v>0</x:v>
      </x:c>
      <x:c r="J715" s="140" t="str">
        <x:f>IF($B$22&lt;&gt;"Sim","Desativada",IF(A715&lt;$B$23,"Antes da compra",IF(A715&lt;$B$23+$B$31,"Parcelas restantes","Encerrado")))</x:f>
        <x:v>Encerrado</x:v>
      </x:c>
      <x:c r="K715" s="141" t="n">
        <x:f>IF(C715&gt;0,C715/(1+$B$9)^A715,0)</x:f>
        <x:v>0</x:v>
      </x:c>
    </x:row>
    <x:row r="716">
      <x:c r="A716" s="142" t="n">
        <x:v>662</x:v>
      </x:c>
      <x:c r="B716" s="179" t="n">
        <x:f>EDATE($B$5,A716-1)</x:f>
        <x:v>66658</x:v>
      </x:c>
      <x:c r="C716" s="141" t="n">
        <x:f>IF(AND($B$22="Sim",A716&gt;=$B$23,A716&lt;$B$23+$B$31),$B$32*D716,0)</x:f>
        <x:v>0</x:v>
      </x:c>
      <x:c r="D716" s="180" t="n">
        <x:f>IF(A716&lt;$B$23,1,(1+$B$33)^INT((A716-$B$23)/12))</x:f>
        <x:v>24.6503215941316</x:v>
      </x:c>
      <x:c r="E716" s="141" t="n">
        <x:f>IF(AND($B$22="Sim",A716=$B$23),$B$37,0)</x:f>
        <x:v>0</x:v>
      </x:c>
      <x:c r="F716" s="141" t="n">
        <x:f>IF(AND($B$22="Sim",A716=$B$24),$B$27,0)</x:f>
        <x:v>0</x:v>
      </x:c>
      <x:c r="G716" s="141" t="n">
        <x:f>IF(AND($B$22="Sim",A716=$B$23),$B$35,0)</x:f>
        <x:v>0</x:v>
      </x:c>
      <x:c r="H716" s="141" t="n">
        <x:f>IF(AND($B$22="Sim",A716=$B$23),$B$36,0)</x:f>
        <x:v>0</x:v>
      </x:c>
      <x:c r="I716" s="141" t="n">
        <x:f>IF(OR($B$22&lt;&gt;"Sim",A716&gt;=$B$23+$B$31-1),0,(I717+C717)/(1+$B$9))</x:f>
        <x:v>0</x:v>
      </x:c>
      <x:c r="J716" s="140" t="str">
        <x:f>IF($B$22&lt;&gt;"Sim","Desativada",IF(A716&lt;$B$23,"Antes da compra",IF(A716&lt;$B$23+$B$31,"Parcelas restantes","Encerrado")))</x:f>
        <x:v>Encerrado</x:v>
      </x:c>
      <x:c r="K716" s="141" t="n">
        <x:f>IF(C716&gt;0,C716/(1+$B$9)^A716,0)</x:f>
        <x:v>0</x:v>
      </x:c>
    </x:row>
    <x:row r="717">
      <x:c r="A717" s="142" t="n">
        <x:v>663</x:v>
      </x:c>
      <x:c r="B717" s="179" t="n">
        <x:f>EDATE($B$5,A717-1)</x:f>
        <x:v>66689</x:v>
      </x:c>
      <x:c r="C717" s="141" t="n">
        <x:f>IF(AND($B$22="Sim",A717&gt;=$B$23,A717&lt;$B$23+$B$31),$B$32*D717,0)</x:f>
        <x:v>0</x:v>
      </x:c>
      <x:c r="D717" s="180" t="n">
        <x:f>IF(A717&lt;$B$23,1,(1+$B$33)^INT((A717-$B$23)/12))</x:f>
        <x:v>24.6503215941316</x:v>
      </x:c>
      <x:c r="E717" s="141" t="n">
        <x:f>IF(AND($B$22="Sim",A717=$B$23),$B$37,0)</x:f>
        <x:v>0</x:v>
      </x:c>
      <x:c r="F717" s="141" t="n">
        <x:f>IF(AND($B$22="Sim",A717=$B$24),$B$27,0)</x:f>
        <x:v>0</x:v>
      </x:c>
      <x:c r="G717" s="141" t="n">
        <x:f>IF(AND($B$22="Sim",A717=$B$23),$B$35,0)</x:f>
        <x:v>0</x:v>
      </x:c>
      <x:c r="H717" s="141" t="n">
        <x:f>IF(AND($B$22="Sim",A717=$B$23),$B$36,0)</x:f>
        <x:v>0</x:v>
      </x:c>
      <x:c r="I717" s="141" t="n">
        <x:f>IF(OR($B$22&lt;&gt;"Sim",A717&gt;=$B$23+$B$31-1),0,(I718+C718)/(1+$B$9))</x:f>
        <x:v>0</x:v>
      </x:c>
      <x:c r="J717" s="140" t="str">
        <x:f>IF($B$22&lt;&gt;"Sim","Desativada",IF(A717&lt;$B$23,"Antes da compra",IF(A717&lt;$B$23+$B$31,"Parcelas restantes","Encerrado")))</x:f>
        <x:v>Encerrado</x:v>
      </x:c>
      <x:c r="K717" s="141" t="n">
        <x:f>IF(C717&gt;0,C717/(1+$B$9)^A717,0)</x:f>
        <x:v>0</x:v>
      </x:c>
    </x:row>
    <x:row r="718">
      <x:c r="A718" s="142" t="n">
        <x:v>664</x:v>
      </x:c>
      <x:c r="B718" s="179" t="n">
        <x:f>EDATE($B$5,A718-1)</x:f>
        <x:v>66720</x:v>
      </x:c>
      <x:c r="C718" s="141" t="n">
        <x:f>IF(AND($B$22="Sim",A718&gt;=$B$23,A718&lt;$B$23+$B$31),$B$32*D718,0)</x:f>
        <x:v>0</x:v>
      </x:c>
      <x:c r="D718" s="180" t="n">
        <x:f>IF(A718&lt;$B$23,1,(1+$B$33)^INT((A718-$B$23)/12))</x:f>
        <x:v>24.6503215941316</x:v>
      </x:c>
      <x:c r="E718" s="141" t="n">
        <x:f>IF(AND($B$22="Sim",A718=$B$23),$B$37,0)</x:f>
        <x:v>0</x:v>
      </x:c>
      <x:c r="F718" s="141" t="n">
        <x:f>IF(AND($B$22="Sim",A718=$B$24),$B$27,0)</x:f>
        <x:v>0</x:v>
      </x:c>
      <x:c r="G718" s="141" t="n">
        <x:f>IF(AND($B$22="Sim",A718=$B$23),$B$35,0)</x:f>
        <x:v>0</x:v>
      </x:c>
      <x:c r="H718" s="141" t="n">
        <x:f>IF(AND($B$22="Sim",A718=$B$23),$B$36,0)</x:f>
        <x:v>0</x:v>
      </x:c>
      <x:c r="I718" s="141" t="n">
        <x:f>IF(OR($B$22&lt;&gt;"Sim",A718&gt;=$B$23+$B$31-1),0,(I719+C719)/(1+$B$9))</x:f>
        <x:v>0</x:v>
      </x:c>
      <x:c r="J718" s="140" t="str">
        <x:f>IF($B$22&lt;&gt;"Sim","Desativada",IF(A718&lt;$B$23,"Antes da compra",IF(A718&lt;$B$23+$B$31,"Parcelas restantes","Encerrado")))</x:f>
        <x:v>Encerrado</x:v>
      </x:c>
      <x:c r="K718" s="141" t="n">
        <x:f>IF(C718&gt;0,C718/(1+$B$9)^A718,0)</x:f>
        <x:v>0</x:v>
      </x:c>
    </x:row>
    <x:row r="719">
      <x:c r="A719" s="142" t="n">
        <x:v>665</x:v>
      </x:c>
      <x:c r="B719" s="179" t="n">
        <x:f>EDATE($B$5,A719-1)</x:f>
        <x:v>66750</x:v>
      </x:c>
      <x:c r="C719" s="141" t="n">
        <x:f>IF(AND($B$22="Sim",A719&gt;=$B$23,A719&lt;$B$23+$B$31),$B$32*D719,0)</x:f>
        <x:v>0</x:v>
      </x:c>
      <x:c r="D719" s="180" t="n">
        <x:f>IF(A719&lt;$B$23,1,(1+$B$33)^INT((A719-$B$23)/12))</x:f>
        <x:v>24.6503215941316</x:v>
      </x:c>
      <x:c r="E719" s="141" t="n">
        <x:f>IF(AND($B$22="Sim",A719=$B$23),$B$37,0)</x:f>
        <x:v>0</x:v>
      </x:c>
      <x:c r="F719" s="141" t="n">
        <x:f>IF(AND($B$22="Sim",A719=$B$24),$B$27,0)</x:f>
        <x:v>0</x:v>
      </x:c>
      <x:c r="G719" s="141" t="n">
        <x:f>IF(AND($B$22="Sim",A719=$B$23),$B$35,0)</x:f>
        <x:v>0</x:v>
      </x:c>
      <x:c r="H719" s="141" t="n">
        <x:f>IF(AND($B$22="Sim",A719=$B$23),$B$36,0)</x:f>
        <x:v>0</x:v>
      </x:c>
      <x:c r="I719" s="141" t="n">
        <x:f>IF(OR($B$22&lt;&gt;"Sim",A719&gt;=$B$23+$B$31-1),0,(I720+C720)/(1+$B$9))</x:f>
        <x:v>0</x:v>
      </x:c>
      <x:c r="J719" s="140" t="str">
        <x:f>IF($B$22&lt;&gt;"Sim","Desativada",IF(A719&lt;$B$23,"Antes da compra",IF(A719&lt;$B$23+$B$31,"Parcelas restantes","Encerrado")))</x:f>
        <x:v>Encerrado</x:v>
      </x:c>
      <x:c r="K719" s="141" t="n">
        <x:f>IF(C719&gt;0,C719/(1+$B$9)^A719,0)</x:f>
        <x:v>0</x:v>
      </x:c>
    </x:row>
    <x:row r="720">
      <x:c r="A720" s="142" t="n">
        <x:v>666</x:v>
      </x:c>
      <x:c r="B720" s="179" t="n">
        <x:f>EDATE($B$5,A720-1)</x:f>
        <x:v>66781</x:v>
      </x:c>
      <x:c r="C720" s="141" t="n">
        <x:f>IF(AND($B$22="Sim",A720&gt;=$B$23,A720&lt;$B$23+$B$31),$B$32*D720,0)</x:f>
        <x:v>0</x:v>
      </x:c>
      <x:c r="D720" s="180" t="n">
        <x:f>IF(A720&lt;$B$23,1,(1+$B$33)^INT((A720-$B$23)/12))</x:f>
        <x:v>24.6503215941316</x:v>
      </x:c>
      <x:c r="E720" s="141" t="n">
        <x:f>IF(AND($B$22="Sim",A720=$B$23),$B$37,0)</x:f>
        <x:v>0</x:v>
      </x:c>
      <x:c r="F720" s="141" t="n">
        <x:f>IF(AND($B$22="Sim",A720=$B$24),$B$27,0)</x:f>
        <x:v>0</x:v>
      </x:c>
      <x:c r="G720" s="141" t="n">
        <x:f>IF(AND($B$22="Sim",A720=$B$23),$B$35,0)</x:f>
        <x:v>0</x:v>
      </x:c>
      <x:c r="H720" s="141" t="n">
        <x:f>IF(AND($B$22="Sim",A720=$B$23),$B$36,0)</x:f>
        <x:v>0</x:v>
      </x:c>
      <x:c r="I720" s="141" t="n">
        <x:f>IF(OR($B$22&lt;&gt;"Sim",A720&gt;=$B$23+$B$31-1),0,(I721+C721)/(1+$B$9))</x:f>
        <x:v>0</x:v>
      </x:c>
      <x:c r="J720" s="140" t="str">
        <x:f>IF($B$22&lt;&gt;"Sim","Desativada",IF(A720&lt;$B$23,"Antes da compra",IF(A720&lt;$B$23+$B$31,"Parcelas restantes","Encerrado")))</x:f>
        <x:v>Encerrado</x:v>
      </x:c>
      <x:c r="K720" s="141" t="n">
        <x:f>IF(C720&gt;0,C720/(1+$B$9)^A720,0)</x:f>
        <x:v>0</x:v>
      </x:c>
    </x:row>
    <x:row r="721">
      <x:c r="A721" s="142" t="n">
        <x:v>667</x:v>
      </x:c>
      <x:c r="B721" s="179" t="n">
        <x:f>EDATE($B$5,A721-1)</x:f>
        <x:v>66811</x:v>
      </x:c>
      <x:c r="C721" s="141" t="n">
        <x:f>IF(AND($B$22="Sim",A721&gt;=$B$23,A721&lt;$B$23+$B$31),$B$32*D721,0)</x:f>
        <x:v>0</x:v>
      </x:c>
      <x:c r="D721" s="180" t="n">
        <x:f>IF(A721&lt;$B$23,1,(1+$B$33)^INT((A721-$B$23)/12))</x:f>
        <x:v>24.6503215941316</x:v>
      </x:c>
      <x:c r="E721" s="141" t="n">
        <x:f>IF(AND($B$22="Sim",A721=$B$23),$B$37,0)</x:f>
        <x:v>0</x:v>
      </x:c>
      <x:c r="F721" s="141" t="n">
        <x:f>IF(AND($B$22="Sim",A721=$B$24),$B$27,0)</x:f>
        <x:v>0</x:v>
      </x:c>
      <x:c r="G721" s="141" t="n">
        <x:f>IF(AND($B$22="Sim",A721=$B$23),$B$35,0)</x:f>
        <x:v>0</x:v>
      </x:c>
      <x:c r="H721" s="141" t="n">
        <x:f>IF(AND($B$22="Sim",A721=$B$23),$B$36,0)</x:f>
        <x:v>0</x:v>
      </x:c>
      <x:c r="I721" s="141" t="n">
        <x:f>IF(OR($B$22&lt;&gt;"Sim",A721&gt;=$B$23+$B$31-1),0,(I722+C722)/(1+$B$9))</x:f>
        <x:v>0</x:v>
      </x:c>
      <x:c r="J721" s="140" t="str">
        <x:f>IF($B$22&lt;&gt;"Sim","Desativada",IF(A721&lt;$B$23,"Antes da compra",IF(A721&lt;$B$23+$B$31,"Parcelas restantes","Encerrado")))</x:f>
        <x:v>Encerrado</x:v>
      </x:c>
      <x:c r="K721" s="141" t="n">
        <x:f>IF(C721&gt;0,C721/(1+$B$9)^A721,0)</x:f>
        <x:v>0</x:v>
      </x:c>
    </x:row>
    <x:row r="722">
      <x:c r="A722" s="142" t="n">
        <x:v>668</x:v>
      </x:c>
      <x:c r="B722" s="179" t="n">
        <x:f>EDATE($B$5,A722-1)</x:f>
        <x:v>66842</x:v>
      </x:c>
      <x:c r="C722" s="141" t="n">
        <x:f>IF(AND($B$22="Sim",A722&gt;=$B$23,A722&lt;$B$23+$B$31),$B$32*D722,0)</x:f>
        <x:v>0</x:v>
      </x:c>
      <x:c r="D722" s="180" t="n">
        <x:f>IF(A722&lt;$B$23,1,(1+$B$33)^INT((A722-$B$23)/12))</x:f>
        <x:v>24.6503215941316</x:v>
      </x:c>
      <x:c r="E722" s="141" t="n">
        <x:f>IF(AND($B$22="Sim",A722=$B$23),$B$37,0)</x:f>
        <x:v>0</x:v>
      </x:c>
      <x:c r="F722" s="141" t="n">
        <x:f>IF(AND($B$22="Sim",A722=$B$24),$B$27,0)</x:f>
        <x:v>0</x:v>
      </x:c>
      <x:c r="G722" s="141" t="n">
        <x:f>IF(AND($B$22="Sim",A722=$B$23),$B$35,0)</x:f>
        <x:v>0</x:v>
      </x:c>
      <x:c r="H722" s="141" t="n">
        <x:f>IF(AND($B$22="Sim",A722=$B$23),$B$36,0)</x:f>
        <x:v>0</x:v>
      </x:c>
      <x:c r="I722" s="141" t="n">
        <x:f>IF(OR($B$22&lt;&gt;"Sim",A722&gt;=$B$23+$B$31-1),0,(I723+C723)/(1+$B$9))</x:f>
        <x:v>0</x:v>
      </x:c>
      <x:c r="J722" s="140" t="str">
        <x:f>IF($B$22&lt;&gt;"Sim","Desativada",IF(A722&lt;$B$23,"Antes da compra",IF(A722&lt;$B$23+$B$31,"Parcelas restantes","Encerrado")))</x:f>
        <x:v>Encerrado</x:v>
      </x:c>
      <x:c r="K722" s="141" t="n">
        <x:f>IF(C722&gt;0,C722/(1+$B$9)^A722,0)</x:f>
        <x:v>0</x:v>
      </x:c>
    </x:row>
    <x:row r="723">
      <x:c r="A723" s="142" t="n">
        <x:v>669</x:v>
      </x:c>
      <x:c r="B723" s="179" t="n">
        <x:f>EDATE($B$5,A723-1)</x:f>
        <x:v>66873</x:v>
      </x:c>
      <x:c r="C723" s="141" t="n">
        <x:f>IF(AND($B$22="Sim",A723&gt;=$B$23,A723&lt;$B$23+$B$31),$B$32*D723,0)</x:f>
        <x:v>0</x:v>
      </x:c>
      <x:c r="D723" s="180" t="n">
        <x:f>IF(A723&lt;$B$23,1,(1+$B$33)^INT((A723-$B$23)/12))</x:f>
        <x:v>24.6503215941316</x:v>
      </x:c>
      <x:c r="E723" s="141" t="n">
        <x:f>IF(AND($B$22="Sim",A723=$B$23),$B$37,0)</x:f>
        <x:v>0</x:v>
      </x:c>
      <x:c r="F723" s="141" t="n">
        <x:f>IF(AND($B$22="Sim",A723=$B$24),$B$27,0)</x:f>
        <x:v>0</x:v>
      </x:c>
      <x:c r="G723" s="141" t="n">
        <x:f>IF(AND($B$22="Sim",A723=$B$23),$B$35,0)</x:f>
        <x:v>0</x:v>
      </x:c>
      <x:c r="H723" s="141" t="n">
        <x:f>IF(AND($B$22="Sim",A723=$B$23),$B$36,0)</x:f>
        <x:v>0</x:v>
      </x:c>
      <x:c r="I723" s="141" t="n">
        <x:f>IF(OR($B$22&lt;&gt;"Sim",A723&gt;=$B$23+$B$31-1),0,(I724+C724)/(1+$B$9))</x:f>
        <x:v>0</x:v>
      </x:c>
      <x:c r="J723" s="140" t="str">
        <x:f>IF($B$22&lt;&gt;"Sim","Desativada",IF(A723&lt;$B$23,"Antes da compra",IF(A723&lt;$B$23+$B$31,"Parcelas restantes","Encerrado")))</x:f>
        <x:v>Encerrado</x:v>
      </x:c>
      <x:c r="K723" s="141" t="n">
        <x:f>IF(C723&gt;0,C723/(1+$B$9)^A723,0)</x:f>
        <x:v>0</x:v>
      </x:c>
    </x:row>
    <x:row r="724">
      <x:c r="A724" s="142" t="n">
        <x:v>670</x:v>
      </x:c>
      <x:c r="B724" s="179" t="n">
        <x:f>EDATE($B$5,A724-1)</x:f>
        <x:v>66901</x:v>
      </x:c>
      <x:c r="C724" s="141" t="n">
        <x:f>IF(AND($B$22="Sim",A724&gt;=$B$23,A724&lt;$B$23+$B$31),$B$32*D724,0)</x:f>
        <x:v>0</x:v>
      </x:c>
      <x:c r="D724" s="180" t="n">
        <x:f>IF(A724&lt;$B$23,1,(1+$B$33)^INT((A724-$B$23)/12))</x:f>
        <x:v>24.6503215941316</x:v>
      </x:c>
      <x:c r="E724" s="141" t="n">
        <x:f>IF(AND($B$22="Sim",A724=$B$23),$B$37,0)</x:f>
        <x:v>0</x:v>
      </x:c>
      <x:c r="F724" s="141" t="n">
        <x:f>IF(AND($B$22="Sim",A724=$B$24),$B$27,0)</x:f>
        <x:v>0</x:v>
      </x:c>
      <x:c r="G724" s="141" t="n">
        <x:f>IF(AND($B$22="Sim",A724=$B$23),$B$35,0)</x:f>
        <x:v>0</x:v>
      </x:c>
      <x:c r="H724" s="141" t="n">
        <x:f>IF(AND($B$22="Sim",A724=$B$23),$B$36,0)</x:f>
        <x:v>0</x:v>
      </x:c>
      <x:c r="I724" s="141" t="n">
        <x:f>IF(OR($B$22&lt;&gt;"Sim",A724&gt;=$B$23+$B$31-1),0,(I725+C725)/(1+$B$9))</x:f>
        <x:v>0</x:v>
      </x:c>
      <x:c r="J724" s="140" t="str">
        <x:f>IF($B$22&lt;&gt;"Sim","Desativada",IF(A724&lt;$B$23,"Antes da compra",IF(A724&lt;$B$23+$B$31,"Parcelas restantes","Encerrado")))</x:f>
        <x:v>Encerrado</x:v>
      </x:c>
      <x:c r="K724" s="141" t="n">
        <x:f>IF(C724&gt;0,C724/(1+$B$9)^A724,0)</x:f>
        <x:v>0</x:v>
      </x:c>
    </x:row>
    <x:row r="725">
      <x:c r="A725" s="142" t="n">
        <x:v>671</x:v>
      </x:c>
      <x:c r="B725" s="179" t="n">
        <x:f>EDATE($B$5,A725-1)</x:f>
        <x:v>66932</x:v>
      </x:c>
      <x:c r="C725" s="141" t="n">
        <x:f>IF(AND($B$22="Sim",A725&gt;=$B$23,A725&lt;$B$23+$B$31),$B$32*D725,0)</x:f>
        <x:v>0</x:v>
      </x:c>
      <x:c r="D725" s="180" t="n">
        <x:f>IF(A725&lt;$B$23,1,(1+$B$33)^INT((A725-$B$23)/12))</x:f>
        <x:v>24.6503215941316</x:v>
      </x:c>
      <x:c r="E725" s="141" t="n">
        <x:f>IF(AND($B$22="Sim",A725=$B$23),$B$37,0)</x:f>
        <x:v>0</x:v>
      </x:c>
      <x:c r="F725" s="141" t="n">
        <x:f>IF(AND($B$22="Sim",A725=$B$24),$B$27,0)</x:f>
        <x:v>0</x:v>
      </x:c>
      <x:c r="G725" s="141" t="n">
        <x:f>IF(AND($B$22="Sim",A725=$B$23),$B$35,0)</x:f>
        <x:v>0</x:v>
      </x:c>
      <x:c r="H725" s="141" t="n">
        <x:f>IF(AND($B$22="Sim",A725=$B$23),$B$36,0)</x:f>
        <x:v>0</x:v>
      </x:c>
      <x:c r="I725" s="141" t="n">
        <x:f>IF(OR($B$22&lt;&gt;"Sim",A725&gt;=$B$23+$B$31-1),0,(I726+C726)/(1+$B$9))</x:f>
        <x:v>0</x:v>
      </x:c>
      <x:c r="J725" s="140" t="str">
        <x:f>IF($B$22&lt;&gt;"Sim","Desativada",IF(A725&lt;$B$23,"Antes da compra",IF(A725&lt;$B$23+$B$31,"Parcelas restantes","Encerrado")))</x:f>
        <x:v>Encerrado</x:v>
      </x:c>
      <x:c r="K725" s="141" t="n">
        <x:f>IF(C725&gt;0,C725/(1+$B$9)^A725,0)</x:f>
        <x:v>0</x:v>
      </x:c>
    </x:row>
    <x:row r="726">
      <x:c r="A726" s="142" t="n">
        <x:v>672</x:v>
      </x:c>
      <x:c r="B726" s="179" t="n">
        <x:f>EDATE($B$5,A726-1)</x:f>
        <x:v>66962</x:v>
      </x:c>
      <x:c r="C726" s="141" t="n">
        <x:f>IF(AND($B$22="Sim",A726&gt;=$B$23,A726&lt;$B$23+$B$31),$B$32*D726,0)</x:f>
        <x:v>0</x:v>
      </x:c>
      <x:c r="D726" s="180" t="n">
        <x:f>IF(A726&lt;$B$23,1,(1+$B$33)^INT((A726-$B$23)/12))</x:f>
        <x:v>24.6503215941316</x:v>
      </x:c>
      <x:c r="E726" s="141" t="n">
        <x:f>IF(AND($B$22="Sim",A726=$B$23),$B$37,0)</x:f>
        <x:v>0</x:v>
      </x:c>
      <x:c r="F726" s="141" t="n">
        <x:f>IF(AND($B$22="Sim",A726=$B$24),$B$27,0)</x:f>
        <x:v>0</x:v>
      </x:c>
      <x:c r="G726" s="141" t="n">
        <x:f>IF(AND($B$22="Sim",A726=$B$23),$B$35,0)</x:f>
        <x:v>0</x:v>
      </x:c>
      <x:c r="H726" s="141" t="n">
        <x:f>IF(AND($B$22="Sim",A726=$B$23),$B$36,0)</x:f>
        <x:v>0</x:v>
      </x:c>
      <x:c r="I726" s="141" t="n">
        <x:f>IF(OR($B$22&lt;&gt;"Sim",A726&gt;=$B$23+$B$31-1),0,(I727+C727)/(1+$B$9))</x:f>
        <x:v>0</x:v>
      </x:c>
      <x:c r="J726" s="140" t="str">
        <x:f>IF($B$22&lt;&gt;"Sim","Desativada",IF(A726&lt;$B$23,"Antes da compra",IF(A726&lt;$B$23+$B$31,"Parcelas restantes","Encerrado")))</x:f>
        <x:v>Encerrado</x:v>
      </x:c>
      <x:c r="K726" s="141" t="n">
        <x:f>IF(C726&gt;0,C726/(1+$B$9)^A726,0)</x:f>
        <x:v>0</x:v>
      </x:c>
    </x:row>
    <x:row r="727">
      <x:c r="A727" s="142" t="n">
        <x:v>673</x:v>
      </x:c>
      <x:c r="B727" s="179" t="n">
        <x:f>EDATE($B$5,A727-1)</x:f>
        <x:v>66993</x:v>
      </x:c>
      <x:c r="C727" s="141" t="n">
        <x:f>IF(AND($B$22="Sim",A727&gt;=$B$23,A727&lt;$B$23+$B$31),$B$32*D727,0)</x:f>
        <x:v>0</x:v>
      </x:c>
      <x:c r="D727" s="180" t="n">
        <x:f>IF(A727&lt;$B$23,1,(1+$B$33)^INT((A727-$B$23)/12))</x:f>
        <x:v>26.129340889779495</x:v>
      </x:c>
      <x:c r="E727" s="141" t="n">
        <x:f>IF(AND($B$22="Sim",A727=$B$23),$B$37,0)</x:f>
        <x:v>0</x:v>
      </x:c>
      <x:c r="F727" s="141" t="n">
        <x:f>IF(AND($B$22="Sim",A727=$B$24),$B$27,0)</x:f>
        <x:v>0</x:v>
      </x:c>
      <x:c r="G727" s="141" t="n">
        <x:f>IF(AND($B$22="Sim",A727=$B$23),$B$35,0)</x:f>
        <x:v>0</x:v>
      </x:c>
      <x:c r="H727" s="141" t="n">
        <x:f>IF(AND($B$22="Sim",A727=$B$23),$B$36,0)</x:f>
        <x:v>0</x:v>
      </x:c>
      <x:c r="I727" s="141" t="n">
        <x:f>IF(OR($B$22&lt;&gt;"Sim",A727&gt;=$B$23+$B$31-1),0,(I728+C728)/(1+$B$9))</x:f>
        <x:v>0</x:v>
      </x:c>
      <x:c r="J727" s="140" t="str">
        <x:f>IF($B$22&lt;&gt;"Sim","Desativada",IF(A727&lt;$B$23,"Antes da compra",IF(A727&lt;$B$23+$B$31,"Parcelas restantes","Encerrado")))</x:f>
        <x:v>Encerrado</x:v>
      </x:c>
      <x:c r="K727" s="141" t="n">
        <x:f>IF(C727&gt;0,C727/(1+$B$9)^A727,0)</x:f>
        <x:v>0</x:v>
      </x:c>
    </x:row>
    <x:row r="728">
      <x:c r="A728" s="142" t="n">
        <x:v>674</x:v>
      </x:c>
      <x:c r="B728" s="179" t="n">
        <x:f>EDATE($B$5,A728-1)</x:f>
        <x:v>67023</x:v>
      </x:c>
      <x:c r="C728" s="141" t="n">
        <x:f>IF(AND($B$22="Sim",A728&gt;=$B$23,A728&lt;$B$23+$B$31),$B$32*D728,0)</x:f>
        <x:v>0</x:v>
      </x:c>
      <x:c r="D728" s="180" t="n">
        <x:f>IF(A728&lt;$B$23,1,(1+$B$33)^INT((A728-$B$23)/12))</x:f>
        <x:v>26.129340889779495</x:v>
      </x:c>
      <x:c r="E728" s="141" t="n">
        <x:f>IF(AND($B$22="Sim",A728=$B$23),$B$37,0)</x:f>
        <x:v>0</x:v>
      </x:c>
      <x:c r="F728" s="141" t="n">
        <x:f>IF(AND($B$22="Sim",A728=$B$24),$B$27,0)</x:f>
        <x:v>0</x:v>
      </x:c>
      <x:c r="G728" s="141" t="n">
        <x:f>IF(AND($B$22="Sim",A728=$B$23),$B$35,0)</x:f>
        <x:v>0</x:v>
      </x:c>
      <x:c r="H728" s="141" t="n">
        <x:f>IF(AND($B$22="Sim",A728=$B$23),$B$36,0)</x:f>
        <x:v>0</x:v>
      </x:c>
      <x:c r="I728" s="141" t="n">
        <x:f>IF(OR($B$22&lt;&gt;"Sim",A728&gt;=$B$23+$B$31-1),0,(I729+C729)/(1+$B$9))</x:f>
        <x:v>0</x:v>
      </x:c>
      <x:c r="J728" s="140" t="str">
        <x:f>IF($B$22&lt;&gt;"Sim","Desativada",IF(A728&lt;$B$23,"Antes da compra",IF(A728&lt;$B$23+$B$31,"Parcelas restantes","Encerrado")))</x:f>
        <x:v>Encerrado</x:v>
      </x:c>
      <x:c r="K728" s="141" t="n">
        <x:f>IF(C728&gt;0,C728/(1+$B$9)^A728,0)</x:f>
        <x:v>0</x:v>
      </x:c>
    </x:row>
    <x:row r="729">
      <x:c r="A729" s="142" t="n">
        <x:v>675</x:v>
      </x:c>
      <x:c r="B729" s="179" t="n">
        <x:f>EDATE($B$5,A729-1)</x:f>
        <x:v>67054</x:v>
      </x:c>
      <x:c r="C729" s="141" t="n">
        <x:f>IF(AND($B$22="Sim",A729&gt;=$B$23,A729&lt;$B$23+$B$31),$B$32*D729,0)</x:f>
        <x:v>0</x:v>
      </x:c>
      <x:c r="D729" s="180" t="n">
        <x:f>IF(A729&lt;$B$23,1,(1+$B$33)^INT((A729-$B$23)/12))</x:f>
        <x:v>26.129340889779495</x:v>
      </x:c>
      <x:c r="E729" s="141" t="n">
        <x:f>IF(AND($B$22="Sim",A729=$B$23),$B$37,0)</x:f>
        <x:v>0</x:v>
      </x:c>
      <x:c r="F729" s="141" t="n">
        <x:f>IF(AND($B$22="Sim",A729=$B$24),$B$27,0)</x:f>
        <x:v>0</x:v>
      </x:c>
      <x:c r="G729" s="141" t="n">
        <x:f>IF(AND($B$22="Sim",A729=$B$23),$B$35,0)</x:f>
        <x:v>0</x:v>
      </x:c>
      <x:c r="H729" s="141" t="n">
        <x:f>IF(AND($B$22="Sim",A729=$B$23),$B$36,0)</x:f>
        <x:v>0</x:v>
      </x:c>
      <x:c r="I729" s="141" t="n">
        <x:f>IF(OR($B$22&lt;&gt;"Sim",A729&gt;=$B$23+$B$31-1),0,(I730+C730)/(1+$B$9))</x:f>
        <x:v>0</x:v>
      </x:c>
      <x:c r="J729" s="140" t="str">
        <x:f>IF($B$22&lt;&gt;"Sim","Desativada",IF(A729&lt;$B$23,"Antes da compra",IF(A729&lt;$B$23+$B$31,"Parcelas restantes","Encerrado")))</x:f>
        <x:v>Encerrado</x:v>
      </x:c>
      <x:c r="K729" s="141" t="n">
        <x:f>IF(C729&gt;0,C729/(1+$B$9)^A729,0)</x:f>
        <x:v>0</x:v>
      </x:c>
    </x:row>
    <x:row r="730">
      <x:c r="A730" s="142" t="n">
        <x:v>676</x:v>
      </x:c>
      <x:c r="B730" s="179" t="n">
        <x:f>EDATE($B$5,A730-1)</x:f>
        <x:v>67085</x:v>
      </x:c>
      <x:c r="C730" s="141" t="n">
        <x:f>IF(AND($B$22="Sim",A730&gt;=$B$23,A730&lt;$B$23+$B$31),$B$32*D730,0)</x:f>
        <x:v>0</x:v>
      </x:c>
      <x:c r="D730" s="180" t="n">
        <x:f>IF(A730&lt;$B$23,1,(1+$B$33)^INT((A730-$B$23)/12))</x:f>
        <x:v>26.129340889779495</x:v>
      </x:c>
      <x:c r="E730" s="141" t="n">
        <x:f>IF(AND($B$22="Sim",A730=$B$23),$B$37,0)</x:f>
        <x:v>0</x:v>
      </x:c>
      <x:c r="F730" s="141" t="n">
        <x:f>IF(AND($B$22="Sim",A730=$B$24),$B$27,0)</x:f>
        <x:v>0</x:v>
      </x:c>
      <x:c r="G730" s="141" t="n">
        <x:f>IF(AND($B$22="Sim",A730=$B$23),$B$35,0)</x:f>
        <x:v>0</x:v>
      </x:c>
      <x:c r="H730" s="141" t="n">
        <x:f>IF(AND($B$22="Sim",A730=$B$23),$B$36,0)</x:f>
        <x:v>0</x:v>
      </x:c>
      <x:c r="I730" s="141" t="n">
        <x:f>IF(OR($B$22&lt;&gt;"Sim",A730&gt;=$B$23+$B$31-1),0,(I731+C731)/(1+$B$9))</x:f>
        <x:v>0</x:v>
      </x:c>
      <x:c r="J730" s="140" t="str">
        <x:f>IF($B$22&lt;&gt;"Sim","Desativada",IF(A730&lt;$B$23,"Antes da compra",IF(A730&lt;$B$23+$B$31,"Parcelas restantes","Encerrado")))</x:f>
        <x:v>Encerrado</x:v>
      </x:c>
      <x:c r="K730" s="141" t="n">
        <x:f>IF(C730&gt;0,C730/(1+$B$9)^A730,0)</x:f>
        <x:v>0</x:v>
      </x:c>
    </x:row>
    <x:row r="731">
      <x:c r="A731" s="142" t="n">
        <x:v>677</x:v>
      </x:c>
      <x:c r="B731" s="179" t="n">
        <x:f>EDATE($B$5,A731-1)</x:f>
        <x:v>67115</x:v>
      </x:c>
      <x:c r="C731" s="141" t="n">
        <x:f>IF(AND($B$22="Sim",A731&gt;=$B$23,A731&lt;$B$23+$B$31),$B$32*D731,0)</x:f>
        <x:v>0</x:v>
      </x:c>
      <x:c r="D731" s="180" t="n">
        <x:f>IF(A731&lt;$B$23,1,(1+$B$33)^INT((A731-$B$23)/12))</x:f>
        <x:v>26.129340889779495</x:v>
      </x:c>
      <x:c r="E731" s="141" t="n">
        <x:f>IF(AND($B$22="Sim",A731=$B$23),$B$37,0)</x:f>
        <x:v>0</x:v>
      </x:c>
      <x:c r="F731" s="141" t="n">
        <x:f>IF(AND($B$22="Sim",A731=$B$24),$B$27,0)</x:f>
        <x:v>0</x:v>
      </x:c>
      <x:c r="G731" s="141" t="n">
        <x:f>IF(AND($B$22="Sim",A731=$B$23),$B$35,0)</x:f>
        <x:v>0</x:v>
      </x:c>
      <x:c r="H731" s="141" t="n">
        <x:f>IF(AND($B$22="Sim",A731=$B$23),$B$36,0)</x:f>
        <x:v>0</x:v>
      </x:c>
      <x:c r="I731" s="141" t="n">
        <x:f>IF(OR($B$22&lt;&gt;"Sim",A731&gt;=$B$23+$B$31-1),0,(I732+C732)/(1+$B$9))</x:f>
        <x:v>0</x:v>
      </x:c>
      <x:c r="J731" s="140" t="str">
        <x:f>IF($B$22&lt;&gt;"Sim","Desativada",IF(A731&lt;$B$23,"Antes da compra",IF(A731&lt;$B$23+$B$31,"Parcelas restantes","Encerrado")))</x:f>
        <x:v>Encerrado</x:v>
      </x:c>
      <x:c r="K731" s="141" t="n">
        <x:f>IF(C731&gt;0,C731/(1+$B$9)^A731,0)</x:f>
        <x:v>0</x:v>
      </x:c>
    </x:row>
    <x:row r="732">
      <x:c r="A732" s="142" t="n">
        <x:v>678</x:v>
      </x:c>
      <x:c r="B732" s="179" t="n">
        <x:f>EDATE($B$5,A732-1)</x:f>
        <x:v>67146</x:v>
      </x:c>
      <x:c r="C732" s="141" t="n">
        <x:f>IF(AND($B$22="Sim",A732&gt;=$B$23,A732&lt;$B$23+$B$31),$B$32*D732,0)</x:f>
        <x:v>0</x:v>
      </x:c>
      <x:c r="D732" s="180" t="n">
        <x:f>IF(A732&lt;$B$23,1,(1+$B$33)^INT((A732-$B$23)/12))</x:f>
        <x:v>26.129340889779495</x:v>
      </x:c>
      <x:c r="E732" s="141" t="n">
        <x:f>IF(AND($B$22="Sim",A732=$B$23),$B$37,0)</x:f>
        <x:v>0</x:v>
      </x:c>
      <x:c r="F732" s="141" t="n">
        <x:f>IF(AND($B$22="Sim",A732=$B$24),$B$27,0)</x:f>
        <x:v>0</x:v>
      </x:c>
      <x:c r="G732" s="141" t="n">
        <x:f>IF(AND($B$22="Sim",A732=$B$23),$B$35,0)</x:f>
        <x:v>0</x:v>
      </x:c>
      <x:c r="H732" s="141" t="n">
        <x:f>IF(AND($B$22="Sim",A732=$B$23),$B$36,0)</x:f>
        <x:v>0</x:v>
      </x:c>
      <x:c r="I732" s="141" t="n">
        <x:f>IF(OR($B$22&lt;&gt;"Sim",A732&gt;=$B$23+$B$31-1),0,(I733+C733)/(1+$B$9))</x:f>
        <x:v>0</x:v>
      </x:c>
      <x:c r="J732" s="140" t="str">
        <x:f>IF($B$22&lt;&gt;"Sim","Desativada",IF(A732&lt;$B$23,"Antes da compra",IF(A732&lt;$B$23+$B$31,"Parcelas restantes","Encerrado")))</x:f>
        <x:v>Encerrado</x:v>
      </x:c>
      <x:c r="K732" s="141" t="n">
        <x:f>IF(C732&gt;0,C732/(1+$B$9)^A732,0)</x:f>
        <x:v>0</x:v>
      </x:c>
    </x:row>
    <x:row r="733">
      <x:c r="A733" s="142" t="n">
        <x:v>679</x:v>
      </x:c>
      <x:c r="B733" s="179" t="n">
        <x:f>EDATE($B$5,A733-1)</x:f>
        <x:v>67176</x:v>
      </x:c>
      <x:c r="C733" s="141" t="n">
        <x:f>IF(AND($B$22="Sim",A733&gt;=$B$23,A733&lt;$B$23+$B$31),$B$32*D733,0)</x:f>
        <x:v>0</x:v>
      </x:c>
      <x:c r="D733" s="180" t="n">
        <x:f>IF(A733&lt;$B$23,1,(1+$B$33)^INT((A733-$B$23)/12))</x:f>
        <x:v>26.129340889779495</x:v>
      </x:c>
      <x:c r="E733" s="141" t="n">
        <x:f>IF(AND($B$22="Sim",A733=$B$23),$B$37,0)</x:f>
        <x:v>0</x:v>
      </x:c>
      <x:c r="F733" s="141" t="n">
        <x:f>IF(AND($B$22="Sim",A733=$B$24),$B$27,0)</x:f>
        <x:v>0</x:v>
      </x:c>
      <x:c r="G733" s="141" t="n">
        <x:f>IF(AND($B$22="Sim",A733=$B$23),$B$35,0)</x:f>
        <x:v>0</x:v>
      </x:c>
      <x:c r="H733" s="141" t="n">
        <x:f>IF(AND($B$22="Sim",A733=$B$23),$B$36,0)</x:f>
        <x:v>0</x:v>
      </x:c>
      <x:c r="I733" s="141" t="n">
        <x:f>IF(OR($B$22&lt;&gt;"Sim",A733&gt;=$B$23+$B$31-1),0,(I734+C734)/(1+$B$9))</x:f>
        <x:v>0</x:v>
      </x:c>
      <x:c r="J733" s="140" t="str">
        <x:f>IF($B$22&lt;&gt;"Sim","Desativada",IF(A733&lt;$B$23,"Antes da compra",IF(A733&lt;$B$23+$B$31,"Parcelas restantes","Encerrado")))</x:f>
        <x:v>Encerrado</x:v>
      </x:c>
      <x:c r="K733" s="141" t="n">
        <x:f>IF(C733&gt;0,C733/(1+$B$9)^A733,0)</x:f>
        <x:v>0</x:v>
      </x:c>
    </x:row>
    <x:row r="734">
      <x:c r="A734" s="142" t="n">
        <x:v>680</x:v>
      </x:c>
      <x:c r="B734" s="179" t="n">
        <x:f>EDATE($B$5,A734-1)</x:f>
        <x:v>67207</x:v>
      </x:c>
      <x:c r="C734" s="141" t="n">
        <x:f>IF(AND($B$22="Sim",A734&gt;=$B$23,A734&lt;$B$23+$B$31),$B$32*D734,0)</x:f>
        <x:v>0</x:v>
      </x:c>
      <x:c r="D734" s="180" t="n">
        <x:f>IF(A734&lt;$B$23,1,(1+$B$33)^INT((A734-$B$23)/12))</x:f>
        <x:v>26.129340889779495</x:v>
      </x:c>
      <x:c r="E734" s="141" t="n">
        <x:f>IF(AND($B$22="Sim",A734=$B$23),$B$37,0)</x:f>
        <x:v>0</x:v>
      </x:c>
      <x:c r="F734" s="141" t="n">
        <x:f>IF(AND($B$22="Sim",A734=$B$24),$B$27,0)</x:f>
        <x:v>0</x:v>
      </x:c>
      <x:c r="G734" s="141" t="n">
        <x:f>IF(AND($B$22="Sim",A734=$B$23),$B$35,0)</x:f>
        <x:v>0</x:v>
      </x:c>
      <x:c r="H734" s="141" t="n">
        <x:f>IF(AND($B$22="Sim",A734=$B$23),$B$36,0)</x:f>
        <x:v>0</x:v>
      </x:c>
      <x:c r="I734" s="141" t="n">
        <x:f>IF(OR($B$22&lt;&gt;"Sim",A734&gt;=$B$23+$B$31-1),0,(I735+C735)/(1+$B$9))</x:f>
        <x:v>0</x:v>
      </x:c>
      <x:c r="J734" s="140" t="str">
        <x:f>IF($B$22&lt;&gt;"Sim","Desativada",IF(A734&lt;$B$23,"Antes da compra",IF(A734&lt;$B$23+$B$31,"Parcelas restantes","Encerrado")))</x:f>
        <x:v>Encerrado</x:v>
      </x:c>
      <x:c r="K734" s="141" t="n">
        <x:f>IF(C734&gt;0,C734/(1+$B$9)^A734,0)</x:f>
        <x:v>0</x:v>
      </x:c>
    </x:row>
    <x:row r="735">
      <x:c r="A735" s="142" t="n">
        <x:v>681</x:v>
      </x:c>
      <x:c r="B735" s="179" t="n">
        <x:f>EDATE($B$5,A735-1)</x:f>
        <x:v>67238</x:v>
      </x:c>
      <x:c r="C735" s="141" t="n">
        <x:f>IF(AND($B$22="Sim",A735&gt;=$B$23,A735&lt;$B$23+$B$31),$B$32*D735,0)</x:f>
        <x:v>0</x:v>
      </x:c>
      <x:c r="D735" s="180" t="n">
        <x:f>IF(A735&lt;$B$23,1,(1+$B$33)^INT((A735-$B$23)/12))</x:f>
        <x:v>26.129340889779495</x:v>
      </x:c>
      <x:c r="E735" s="141" t="n">
        <x:f>IF(AND($B$22="Sim",A735=$B$23),$B$37,0)</x:f>
        <x:v>0</x:v>
      </x:c>
      <x:c r="F735" s="141" t="n">
        <x:f>IF(AND($B$22="Sim",A735=$B$24),$B$27,0)</x:f>
        <x:v>0</x:v>
      </x:c>
      <x:c r="G735" s="141" t="n">
        <x:f>IF(AND($B$22="Sim",A735=$B$23),$B$35,0)</x:f>
        <x:v>0</x:v>
      </x:c>
      <x:c r="H735" s="141" t="n">
        <x:f>IF(AND($B$22="Sim",A735=$B$23),$B$36,0)</x:f>
        <x:v>0</x:v>
      </x:c>
      <x:c r="I735" s="141" t="n">
        <x:f>IF(OR($B$22&lt;&gt;"Sim",A735&gt;=$B$23+$B$31-1),0,(I736+C736)/(1+$B$9))</x:f>
        <x:v>0</x:v>
      </x:c>
      <x:c r="J735" s="140" t="str">
        <x:f>IF($B$22&lt;&gt;"Sim","Desativada",IF(A735&lt;$B$23,"Antes da compra",IF(A735&lt;$B$23+$B$31,"Parcelas restantes","Encerrado")))</x:f>
        <x:v>Encerrado</x:v>
      </x:c>
      <x:c r="K735" s="141" t="n">
        <x:f>IF(C735&gt;0,C735/(1+$B$9)^A735,0)</x:f>
        <x:v>0</x:v>
      </x:c>
    </x:row>
    <x:row r="736">
      <x:c r="A736" s="142" t="n">
        <x:v>682</x:v>
      </x:c>
      <x:c r="B736" s="179" t="n">
        <x:f>EDATE($B$5,A736-1)</x:f>
        <x:v>67267</x:v>
      </x:c>
      <x:c r="C736" s="141" t="n">
        <x:f>IF(AND($B$22="Sim",A736&gt;=$B$23,A736&lt;$B$23+$B$31),$B$32*D736,0)</x:f>
        <x:v>0</x:v>
      </x:c>
      <x:c r="D736" s="180" t="n">
        <x:f>IF(A736&lt;$B$23,1,(1+$B$33)^INT((A736-$B$23)/12))</x:f>
        <x:v>26.129340889779495</x:v>
      </x:c>
      <x:c r="E736" s="141" t="n">
        <x:f>IF(AND($B$22="Sim",A736=$B$23),$B$37,0)</x:f>
        <x:v>0</x:v>
      </x:c>
      <x:c r="F736" s="141" t="n">
        <x:f>IF(AND($B$22="Sim",A736=$B$24),$B$27,0)</x:f>
        <x:v>0</x:v>
      </x:c>
      <x:c r="G736" s="141" t="n">
        <x:f>IF(AND($B$22="Sim",A736=$B$23),$B$35,0)</x:f>
        <x:v>0</x:v>
      </x:c>
      <x:c r="H736" s="141" t="n">
        <x:f>IF(AND($B$22="Sim",A736=$B$23),$B$36,0)</x:f>
        <x:v>0</x:v>
      </x:c>
      <x:c r="I736" s="141" t="n">
        <x:f>IF(OR($B$22&lt;&gt;"Sim",A736&gt;=$B$23+$B$31-1),0,(I737+C737)/(1+$B$9))</x:f>
        <x:v>0</x:v>
      </x:c>
      <x:c r="J736" s="140" t="str">
        <x:f>IF($B$22&lt;&gt;"Sim","Desativada",IF(A736&lt;$B$23,"Antes da compra",IF(A736&lt;$B$23+$B$31,"Parcelas restantes","Encerrado")))</x:f>
        <x:v>Encerrado</x:v>
      </x:c>
      <x:c r="K736" s="141" t="n">
        <x:f>IF(C736&gt;0,C736/(1+$B$9)^A736,0)</x:f>
        <x:v>0</x:v>
      </x:c>
    </x:row>
    <x:row r="737">
      <x:c r="A737" s="142" t="n">
        <x:v>683</x:v>
      </x:c>
      <x:c r="B737" s="179" t="n">
        <x:f>EDATE($B$5,A737-1)</x:f>
        <x:v>67298</x:v>
      </x:c>
      <x:c r="C737" s="141" t="n">
        <x:f>IF(AND($B$22="Sim",A737&gt;=$B$23,A737&lt;$B$23+$B$31),$B$32*D737,0)</x:f>
        <x:v>0</x:v>
      </x:c>
      <x:c r="D737" s="180" t="n">
        <x:f>IF(A737&lt;$B$23,1,(1+$B$33)^INT((A737-$B$23)/12))</x:f>
        <x:v>26.129340889779495</x:v>
      </x:c>
      <x:c r="E737" s="141" t="n">
        <x:f>IF(AND($B$22="Sim",A737=$B$23),$B$37,0)</x:f>
        <x:v>0</x:v>
      </x:c>
      <x:c r="F737" s="141" t="n">
        <x:f>IF(AND($B$22="Sim",A737=$B$24),$B$27,0)</x:f>
        <x:v>0</x:v>
      </x:c>
      <x:c r="G737" s="141" t="n">
        <x:f>IF(AND($B$22="Sim",A737=$B$23),$B$35,0)</x:f>
        <x:v>0</x:v>
      </x:c>
      <x:c r="H737" s="141" t="n">
        <x:f>IF(AND($B$22="Sim",A737=$B$23),$B$36,0)</x:f>
        <x:v>0</x:v>
      </x:c>
      <x:c r="I737" s="141" t="n">
        <x:f>IF(OR($B$22&lt;&gt;"Sim",A737&gt;=$B$23+$B$31-1),0,(I738+C738)/(1+$B$9))</x:f>
        <x:v>0</x:v>
      </x:c>
      <x:c r="J737" s="140" t="str">
        <x:f>IF($B$22&lt;&gt;"Sim","Desativada",IF(A737&lt;$B$23,"Antes da compra",IF(A737&lt;$B$23+$B$31,"Parcelas restantes","Encerrado")))</x:f>
        <x:v>Encerrado</x:v>
      </x:c>
      <x:c r="K737" s="141" t="n">
        <x:f>IF(C737&gt;0,C737/(1+$B$9)^A737,0)</x:f>
        <x:v>0</x:v>
      </x:c>
    </x:row>
    <x:row r="738">
      <x:c r="A738" s="142" t="n">
        <x:v>684</x:v>
      </x:c>
      <x:c r="B738" s="179" t="n">
        <x:f>EDATE($B$5,A738-1)</x:f>
        <x:v>67328</x:v>
      </x:c>
      <x:c r="C738" s="141" t="n">
        <x:f>IF(AND($B$22="Sim",A738&gt;=$B$23,A738&lt;$B$23+$B$31),$B$32*D738,0)</x:f>
        <x:v>0</x:v>
      </x:c>
      <x:c r="D738" s="180" t="n">
        <x:f>IF(A738&lt;$B$23,1,(1+$B$33)^INT((A738-$B$23)/12))</x:f>
        <x:v>26.129340889779495</x:v>
      </x:c>
      <x:c r="E738" s="141" t="n">
        <x:f>IF(AND($B$22="Sim",A738=$B$23),$B$37,0)</x:f>
        <x:v>0</x:v>
      </x:c>
      <x:c r="F738" s="141" t="n">
        <x:f>IF(AND($B$22="Sim",A738=$B$24),$B$27,0)</x:f>
        <x:v>0</x:v>
      </x:c>
      <x:c r="G738" s="141" t="n">
        <x:f>IF(AND($B$22="Sim",A738=$B$23),$B$35,0)</x:f>
        <x:v>0</x:v>
      </x:c>
      <x:c r="H738" s="141" t="n">
        <x:f>IF(AND($B$22="Sim",A738=$B$23),$B$36,0)</x:f>
        <x:v>0</x:v>
      </x:c>
      <x:c r="I738" s="141" t="n">
        <x:f>IF(OR($B$22&lt;&gt;"Sim",A738&gt;=$B$23+$B$31-1),0,(I739+C739)/(1+$B$9))</x:f>
        <x:v>0</x:v>
      </x:c>
      <x:c r="J738" s="140" t="str">
        <x:f>IF($B$22&lt;&gt;"Sim","Desativada",IF(A738&lt;$B$23,"Antes da compra",IF(A738&lt;$B$23+$B$31,"Parcelas restantes","Encerrado")))</x:f>
        <x:v>Encerrado</x:v>
      </x:c>
      <x:c r="K738" s="141" t="n">
        <x:f>IF(C738&gt;0,C738/(1+$B$9)^A738,0)</x:f>
        <x:v>0</x:v>
      </x:c>
    </x:row>
    <x:row r="739">
      <x:c r="A739" s="142" t="n">
        <x:v>685</x:v>
      </x:c>
      <x:c r="B739" s="179" t="n">
        <x:f>EDATE($B$5,A739-1)</x:f>
        <x:v>67359</x:v>
      </x:c>
      <x:c r="C739" s="141" t="n">
        <x:f>IF(AND($B$22="Sim",A739&gt;=$B$23,A739&lt;$B$23+$B$31),$B$32*D739,0)</x:f>
        <x:v>0</x:v>
      </x:c>
      <x:c r="D739" s="180" t="n">
        <x:f>IF(A739&lt;$B$23,1,(1+$B$33)^INT((A739-$B$23)/12))</x:f>
        <x:v>27.697101343166267</x:v>
      </x:c>
      <x:c r="E739" s="141" t="n">
        <x:f>IF(AND($B$22="Sim",A739=$B$23),$B$37,0)</x:f>
        <x:v>0</x:v>
      </x:c>
      <x:c r="F739" s="141" t="n">
        <x:f>IF(AND($B$22="Sim",A739=$B$24),$B$27,0)</x:f>
        <x:v>0</x:v>
      </x:c>
      <x:c r="G739" s="141" t="n">
        <x:f>IF(AND($B$22="Sim",A739=$B$23),$B$35,0)</x:f>
        <x:v>0</x:v>
      </x:c>
      <x:c r="H739" s="141" t="n">
        <x:f>IF(AND($B$22="Sim",A739=$B$23),$B$36,0)</x:f>
        <x:v>0</x:v>
      </x:c>
      <x:c r="I739" s="141" t="n">
        <x:f>IF(OR($B$22&lt;&gt;"Sim",A739&gt;=$B$23+$B$31-1),0,(I740+C740)/(1+$B$9))</x:f>
        <x:v>0</x:v>
      </x:c>
      <x:c r="J739" s="140" t="str">
        <x:f>IF($B$22&lt;&gt;"Sim","Desativada",IF(A739&lt;$B$23,"Antes da compra",IF(A739&lt;$B$23+$B$31,"Parcelas restantes","Encerrado")))</x:f>
        <x:v>Encerrado</x:v>
      </x:c>
      <x:c r="K739" s="141" t="n">
        <x:f>IF(C739&gt;0,C739/(1+$B$9)^A739,0)</x:f>
        <x:v>0</x:v>
      </x:c>
    </x:row>
    <x:row r="740">
      <x:c r="A740" s="142" t="n">
        <x:v>686</x:v>
      </x:c>
      <x:c r="B740" s="179" t="n">
        <x:f>EDATE($B$5,A740-1)</x:f>
        <x:v>67389</x:v>
      </x:c>
      <x:c r="C740" s="141" t="n">
        <x:f>IF(AND($B$22="Sim",A740&gt;=$B$23,A740&lt;$B$23+$B$31),$B$32*D740,0)</x:f>
        <x:v>0</x:v>
      </x:c>
      <x:c r="D740" s="180" t="n">
        <x:f>IF(A740&lt;$B$23,1,(1+$B$33)^INT((A740-$B$23)/12))</x:f>
        <x:v>27.697101343166267</x:v>
      </x:c>
      <x:c r="E740" s="141" t="n">
        <x:f>IF(AND($B$22="Sim",A740=$B$23),$B$37,0)</x:f>
        <x:v>0</x:v>
      </x:c>
      <x:c r="F740" s="141" t="n">
        <x:f>IF(AND($B$22="Sim",A740=$B$24),$B$27,0)</x:f>
        <x:v>0</x:v>
      </x:c>
      <x:c r="G740" s="141" t="n">
        <x:f>IF(AND($B$22="Sim",A740=$B$23),$B$35,0)</x:f>
        <x:v>0</x:v>
      </x:c>
      <x:c r="H740" s="141" t="n">
        <x:f>IF(AND($B$22="Sim",A740=$B$23),$B$36,0)</x:f>
        <x:v>0</x:v>
      </x:c>
      <x:c r="I740" s="141" t="n">
        <x:f>IF(OR($B$22&lt;&gt;"Sim",A740&gt;=$B$23+$B$31-1),0,(I741+C741)/(1+$B$9))</x:f>
        <x:v>0</x:v>
      </x:c>
      <x:c r="J740" s="140" t="str">
        <x:f>IF($B$22&lt;&gt;"Sim","Desativada",IF(A740&lt;$B$23,"Antes da compra",IF(A740&lt;$B$23+$B$31,"Parcelas restantes","Encerrado")))</x:f>
        <x:v>Encerrado</x:v>
      </x:c>
      <x:c r="K740" s="141" t="n">
        <x:f>IF(C740&gt;0,C740/(1+$B$9)^A740,0)</x:f>
        <x:v>0</x:v>
      </x:c>
    </x:row>
    <x:row r="741">
      <x:c r="A741" s="142" t="n">
        <x:v>687</x:v>
      </x:c>
      <x:c r="B741" s="179" t="n">
        <x:f>EDATE($B$5,A741-1)</x:f>
        <x:v>67420</x:v>
      </x:c>
      <x:c r="C741" s="141" t="n">
        <x:f>IF(AND($B$22="Sim",A741&gt;=$B$23,A741&lt;$B$23+$B$31),$B$32*D741,0)</x:f>
        <x:v>0</x:v>
      </x:c>
      <x:c r="D741" s="180" t="n">
        <x:f>IF(A741&lt;$B$23,1,(1+$B$33)^INT((A741-$B$23)/12))</x:f>
        <x:v>27.697101343166267</x:v>
      </x:c>
      <x:c r="E741" s="141" t="n">
        <x:f>IF(AND($B$22="Sim",A741=$B$23),$B$37,0)</x:f>
        <x:v>0</x:v>
      </x:c>
      <x:c r="F741" s="141" t="n">
        <x:f>IF(AND($B$22="Sim",A741=$B$24),$B$27,0)</x:f>
        <x:v>0</x:v>
      </x:c>
      <x:c r="G741" s="141" t="n">
        <x:f>IF(AND($B$22="Sim",A741=$B$23),$B$35,0)</x:f>
        <x:v>0</x:v>
      </x:c>
      <x:c r="H741" s="141" t="n">
        <x:f>IF(AND($B$22="Sim",A741=$B$23),$B$36,0)</x:f>
        <x:v>0</x:v>
      </x:c>
      <x:c r="I741" s="141" t="n">
        <x:f>IF(OR($B$22&lt;&gt;"Sim",A741&gt;=$B$23+$B$31-1),0,(I742+C742)/(1+$B$9))</x:f>
        <x:v>0</x:v>
      </x:c>
      <x:c r="J741" s="140" t="str">
        <x:f>IF($B$22&lt;&gt;"Sim","Desativada",IF(A741&lt;$B$23,"Antes da compra",IF(A741&lt;$B$23+$B$31,"Parcelas restantes","Encerrado")))</x:f>
        <x:v>Encerrado</x:v>
      </x:c>
      <x:c r="K741" s="141" t="n">
        <x:f>IF(C741&gt;0,C741/(1+$B$9)^A741,0)</x:f>
        <x:v>0</x:v>
      </x:c>
    </x:row>
    <x:row r="742">
      <x:c r="A742" s="142" t="n">
        <x:v>688</x:v>
      </x:c>
      <x:c r="B742" s="179" t="n">
        <x:f>EDATE($B$5,A742-1)</x:f>
        <x:v>67451</x:v>
      </x:c>
      <x:c r="C742" s="141" t="n">
        <x:f>IF(AND($B$22="Sim",A742&gt;=$B$23,A742&lt;$B$23+$B$31),$B$32*D742,0)</x:f>
        <x:v>0</x:v>
      </x:c>
      <x:c r="D742" s="180" t="n">
        <x:f>IF(A742&lt;$B$23,1,(1+$B$33)^INT((A742-$B$23)/12))</x:f>
        <x:v>27.697101343166267</x:v>
      </x:c>
      <x:c r="E742" s="141" t="n">
        <x:f>IF(AND($B$22="Sim",A742=$B$23),$B$37,0)</x:f>
        <x:v>0</x:v>
      </x:c>
      <x:c r="F742" s="141" t="n">
        <x:f>IF(AND($B$22="Sim",A742=$B$24),$B$27,0)</x:f>
        <x:v>0</x:v>
      </x:c>
      <x:c r="G742" s="141" t="n">
        <x:f>IF(AND($B$22="Sim",A742=$B$23),$B$35,0)</x:f>
        <x:v>0</x:v>
      </x:c>
      <x:c r="H742" s="141" t="n">
        <x:f>IF(AND($B$22="Sim",A742=$B$23),$B$36,0)</x:f>
        <x:v>0</x:v>
      </x:c>
      <x:c r="I742" s="141" t="n">
        <x:f>IF(OR($B$22&lt;&gt;"Sim",A742&gt;=$B$23+$B$31-1),0,(I743+C743)/(1+$B$9))</x:f>
        <x:v>0</x:v>
      </x:c>
      <x:c r="J742" s="140" t="str">
        <x:f>IF($B$22&lt;&gt;"Sim","Desativada",IF(A742&lt;$B$23,"Antes da compra",IF(A742&lt;$B$23+$B$31,"Parcelas restantes","Encerrado")))</x:f>
        <x:v>Encerrado</x:v>
      </x:c>
      <x:c r="K742" s="141" t="n">
        <x:f>IF(C742&gt;0,C742/(1+$B$9)^A742,0)</x:f>
        <x:v>0</x:v>
      </x:c>
    </x:row>
    <x:row r="743">
      <x:c r="A743" s="142" t="n">
        <x:v>689</x:v>
      </x:c>
      <x:c r="B743" s="179" t="n">
        <x:f>EDATE($B$5,A743-1)</x:f>
        <x:v>67481</x:v>
      </x:c>
      <x:c r="C743" s="141" t="n">
        <x:f>IF(AND($B$22="Sim",A743&gt;=$B$23,A743&lt;$B$23+$B$31),$B$32*D743,0)</x:f>
        <x:v>0</x:v>
      </x:c>
      <x:c r="D743" s="180" t="n">
        <x:f>IF(A743&lt;$B$23,1,(1+$B$33)^INT((A743-$B$23)/12))</x:f>
        <x:v>27.697101343166267</x:v>
      </x:c>
      <x:c r="E743" s="141" t="n">
        <x:f>IF(AND($B$22="Sim",A743=$B$23),$B$37,0)</x:f>
        <x:v>0</x:v>
      </x:c>
      <x:c r="F743" s="141" t="n">
        <x:f>IF(AND($B$22="Sim",A743=$B$24),$B$27,0)</x:f>
        <x:v>0</x:v>
      </x:c>
      <x:c r="G743" s="141" t="n">
        <x:f>IF(AND($B$22="Sim",A743=$B$23),$B$35,0)</x:f>
        <x:v>0</x:v>
      </x:c>
      <x:c r="H743" s="141" t="n">
        <x:f>IF(AND($B$22="Sim",A743=$B$23),$B$36,0)</x:f>
        <x:v>0</x:v>
      </x:c>
      <x:c r="I743" s="141" t="n">
        <x:f>IF(OR($B$22&lt;&gt;"Sim",A743&gt;=$B$23+$B$31-1),0,(I744+C744)/(1+$B$9))</x:f>
        <x:v>0</x:v>
      </x:c>
      <x:c r="J743" s="140" t="str">
        <x:f>IF($B$22&lt;&gt;"Sim","Desativada",IF(A743&lt;$B$23,"Antes da compra",IF(A743&lt;$B$23+$B$31,"Parcelas restantes","Encerrado")))</x:f>
        <x:v>Encerrado</x:v>
      </x:c>
      <x:c r="K743" s="141" t="n">
        <x:f>IF(C743&gt;0,C743/(1+$B$9)^A743,0)</x:f>
        <x:v>0</x:v>
      </x:c>
    </x:row>
    <x:row r="744">
      <x:c r="A744" s="142" t="n">
        <x:v>690</x:v>
      </x:c>
      <x:c r="B744" s="179" t="n">
        <x:f>EDATE($B$5,A744-1)</x:f>
        <x:v>67512</x:v>
      </x:c>
      <x:c r="C744" s="141" t="n">
        <x:f>IF(AND($B$22="Sim",A744&gt;=$B$23,A744&lt;$B$23+$B$31),$B$32*D744,0)</x:f>
        <x:v>0</x:v>
      </x:c>
      <x:c r="D744" s="180" t="n">
        <x:f>IF(A744&lt;$B$23,1,(1+$B$33)^INT((A744-$B$23)/12))</x:f>
        <x:v>27.697101343166267</x:v>
      </x:c>
      <x:c r="E744" s="141" t="n">
        <x:f>IF(AND($B$22="Sim",A744=$B$23),$B$37,0)</x:f>
        <x:v>0</x:v>
      </x:c>
      <x:c r="F744" s="141" t="n">
        <x:f>IF(AND($B$22="Sim",A744=$B$24),$B$27,0)</x:f>
        <x:v>0</x:v>
      </x:c>
      <x:c r="G744" s="141" t="n">
        <x:f>IF(AND($B$22="Sim",A744=$B$23),$B$35,0)</x:f>
        <x:v>0</x:v>
      </x:c>
      <x:c r="H744" s="141" t="n">
        <x:f>IF(AND($B$22="Sim",A744=$B$23),$B$36,0)</x:f>
        <x:v>0</x:v>
      </x:c>
      <x:c r="I744" s="141" t="n">
        <x:f>IF(OR($B$22&lt;&gt;"Sim",A744&gt;=$B$23+$B$31-1),0,(I745+C745)/(1+$B$9))</x:f>
        <x:v>0</x:v>
      </x:c>
      <x:c r="J744" s="140" t="str">
        <x:f>IF($B$22&lt;&gt;"Sim","Desativada",IF(A744&lt;$B$23,"Antes da compra",IF(A744&lt;$B$23+$B$31,"Parcelas restantes","Encerrado")))</x:f>
        <x:v>Encerrado</x:v>
      </x:c>
      <x:c r="K744" s="141" t="n">
        <x:f>IF(C744&gt;0,C744/(1+$B$9)^A744,0)</x:f>
        <x:v>0</x:v>
      </x:c>
    </x:row>
    <x:row r="745">
      <x:c r="A745" s="142" t="n">
        <x:v>691</x:v>
      </x:c>
      <x:c r="B745" s="179" t="n">
        <x:f>EDATE($B$5,A745-1)</x:f>
        <x:v>67542</x:v>
      </x:c>
      <x:c r="C745" s="141" t="n">
        <x:f>IF(AND($B$22="Sim",A745&gt;=$B$23,A745&lt;$B$23+$B$31),$B$32*D745,0)</x:f>
        <x:v>0</x:v>
      </x:c>
      <x:c r="D745" s="180" t="n">
        <x:f>IF(A745&lt;$B$23,1,(1+$B$33)^INT((A745-$B$23)/12))</x:f>
        <x:v>27.697101343166267</x:v>
      </x:c>
      <x:c r="E745" s="141" t="n">
        <x:f>IF(AND($B$22="Sim",A745=$B$23),$B$37,0)</x:f>
        <x:v>0</x:v>
      </x:c>
      <x:c r="F745" s="141" t="n">
        <x:f>IF(AND($B$22="Sim",A745=$B$24),$B$27,0)</x:f>
        <x:v>0</x:v>
      </x:c>
      <x:c r="G745" s="141" t="n">
        <x:f>IF(AND($B$22="Sim",A745=$B$23),$B$35,0)</x:f>
        <x:v>0</x:v>
      </x:c>
      <x:c r="H745" s="141" t="n">
        <x:f>IF(AND($B$22="Sim",A745=$B$23),$B$36,0)</x:f>
        <x:v>0</x:v>
      </x:c>
      <x:c r="I745" s="141" t="n">
        <x:f>IF(OR($B$22&lt;&gt;"Sim",A745&gt;=$B$23+$B$31-1),0,(I746+C746)/(1+$B$9))</x:f>
        <x:v>0</x:v>
      </x:c>
      <x:c r="J745" s="140" t="str">
        <x:f>IF($B$22&lt;&gt;"Sim","Desativada",IF(A745&lt;$B$23,"Antes da compra",IF(A745&lt;$B$23+$B$31,"Parcelas restantes","Encerrado")))</x:f>
        <x:v>Encerrado</x:v>
      </x:c>
      <x:c r="K745" s="141" t="n">
        <x:f>IF(C745&gt;0,C745/(1+$B$9)^A745,0)</x:f>
        <x:v>0</x:v>
      </x:c>
    </x:row>
    <x:row r="746">
      <x:c r="A746" s="142" t="n">
        <x:v>692</x:v>
      </x:c>
      <x:c r="B746" s="179" t="n">
        <x:f>EDATE($B$5,A746-1)</x:f>
        <x:v>67573</x:v>
      </x:c>
      <x:c r="C746" s="141" t="n">
        <x:f>IF(AND($B$22="Sim",A746&gt;=$B$23,A746&lt;$B$23+$B$31),$B$32*D746,0)</x:f>
        <x:v>0</x:v>
      </x:c>
      <x:c r="D746" s="180" t="n">
        <x:f>IF(A746&lt;$B$23,1,(1+$B$33)^INT((A746-$B$23)/12))</x:f>
        <x:v>27.697101343166267</x:v>
      </x:c>
      <x:c r="E746" s="141" t="n">
        <x:f>IF(AND($B$22="Sim",A746=$B$23),$B$37,0)</x:f>
        <x:v>0</x:v>
      </x:c>
      <x:c r="F746" s="141" t="n">
        <x:f>IF(AND($B$22="Sim",A746=$B$24),$B$27,0)</x:f>
        <x:v>0</x:v>
      </x:c>
      <x:c r="G746" s="141" t="n">
        <x:f>IF(AND($B$22="Sim",A746=$B$23),$B$35,0)</x:f>
        <x:v>0</x:v>
      </x:c>
      <x:c r="H746" s="141" t="n">
        <x:f>IF(AND($B$22="Sim",A746=$B$23),$B$36,0)</x:f>
        <x:v>0</x:v>
      </x:c>
      <x:c r="I746" s="141" t="n">
        <x:f>IF(OR($B$22&lt;&gt;"Sim",A746&gt;=$B$23+$B$31-1),0,(I747+C747)/(1+$B$9))</x:f>
        <x:v>0</x:v>
      </x:c>
      <x:c r="J746" s="140" t="str">
        <x:f>IF($B$22&lt;&gt;"Sim","Desativada",IF(A746&lt;$B$23,"Antes da compra",IF(A746&lt;$B$23+$B$31,"Parcelas restantes","Encerrado")))</x:f>
        <x:v>Encerrado</x:v>
      </x:c>
      <x:c r="K746" s="141" t="n">
        <x:f>IF(C746&gt;0,C746/(1+$B$9)^A746,0)</x:f>
        <x:v>0</x:v>
      </x:c>
    </x:row>
    <x:row r="747">
      <x:c r="A747" s="142" t="n">
        <x:v>693</x:v>
      </x:c>
      <x:c r="B747" s="179" t="n">
        <x:f>EDATE($B$5,A747-1)</x:f>
        <x:v>67604</x:v>
      </x:c>
      <x:c r="C747" s="141" t="n">
        <x:f>IF(AND($B$22="Sim",A747&gt;=$B$23,A747&lt;$B$23+$B$31),$B$32*D747,0)</x:f>
        <x:v>0</x:v>
      </x:c>
      <x:c r="D747" s="180" t="n">
        <x:f>IF(A747&lt;$B$23,1,(1+$B$33)^INT((A747-$B$23)/12))</x:f>
        <x:v>27.697101343166267</x:v>
      </x:c>
      <x:c r="E747" s="141" t="n">
        <x:f>IF(AND($B$22="Sim",A747=$B$23),$B$37,0)</x:f>
        <x:v>0</x:v>
      </x:c>
      <x:c r="F747" s="141" t="n">
        <x:f>IF(AND($B$22="Sim",A747=$B$24),$B$27,0)</x:f>
        <x:v>0</x:v>
      </x:c>
      <x:c r="G747" s="141" t="n">
        <x:f>IF(AND($B$22="Sim",A747=$B$23),$B$35,0)</x:f>
        <x:v>0</x:v>
      </x:c>
      <x:c r="H747" s="141" t="n">
        <x:f>IF(AND($B$22="Sim",A747=$B$23),$B$36,0)</x:f>
        <x:v>0</x:v>
      </x:c>
      <x:c r="I747" s="141" t="n">
        <x:f>IF(OR($B$22&lt;&gt;"Sim",A747&gt;=$B$23+$B$31-1),0,(I748+C748)/(1+$B$9))</x:f>
        <x:v>0</x:v>
      </x:c>
      <x:c r="J747" s="140" t="str">
        <x:f>IF($B$22&lt;&gt;"Sim","Desativada",IF(A747&lt;$B$23,"Antes da compra",IF(A747&lt;$B$23+$B$31,"Parcelas restantes","Encerrado")))</x:f>
        <x:v>Encerrado</x:v>
      </x:c>
      <x:c r="K747" s="141" t="n">
        <x:f>IF(C747&gt;0,C747/(1+$B$9)^A747,0)</x:f>
        <x:v>0</x:v>
      </x:c>
    </x:row>
    <x:row r="748">
      <x:c r="A748" s="142" t="n">
        <x:v>694</x:v>
      </x:c>
      <x:c r="B748" s="179" t="n">
        <x:f>EDATE($B$5,A748-1)</x:f>
        <x:v>67632</x:v>
      </x:c>
      <x:c r="C748" s="141" t="n">
        <x:f>IF(AND($B$22="Sim",A748&gt;=$B$23,A748&lt;$B$23+$B$31),$B$32*D748,0)</x:f>
        <x:v>0</x:v>
      </x:c>
      <x:c r="D748" s="180" t="n">
        <x:f>IF(A748&lt;$B$23,1,(1+$B$33)^INT((A748-$B$23)/12))</x:f>
        <x:v>27.697101343166267</x:v>
      </x:c>
      <x:c r="E748" s="141" t="n">
        <x:f>IF(AND($B$22="Sim",A748=$B$23),$B$37,0)</x:f>
        <x:v>0</x:v>
      </x:c>
      <x:c r="F748" s="141" t="n">
        <x:f>IF(AND($B$22="Sim",A748=$B$24),$B$27,0)</x:f>
        <x:v>0</x:v>
      </x:c>
      <x:c r="G748" s="141" t="n">
        <x:f>IF(AND($B$22="Sim",A748=$B$23),$B$35,0)</x:f>
        <x:v>0</x:v>
      </x:c>
      <x:c r="H748" s="141" t="n">
        <x:f>IF(AND($B$22="Sim",A748=$B$23),$B$36,0)</x:f>
        <x:v>0</x:v>
      </x:c>
      <x:c r="I748" s="141" t="n">
        <x:f>IF(OR($B$22&lt;&gt;"Sim",A748&gt;=$B$23+$B$31-1),0,(I749+C749)/(1+$B$9))</x:f>
        <x:v>0</x:v>
      </x:c>
      <x:c r="J748" s="140" t="str">
        <x:f>IF($B$22&lt;&gt;"Sim","Desativada",IF(A748&lt;$B$23,"Antes da compra",IF(A748&lt;$B$23+$B$31,"Parcelas restantes","Encerrado")))</x:f>
        <x:v>Encerrado</x:v>
      </x:c>
      <x:c r="K748" s="141" t="n">
        <x:f>IF(C748&gt;0,C748/(1+$B$9)^A748,0)</x:f>
        <x:v>0</x:v>
      </x:c>
    </x:row>
    <x:row r="749">
      <x:c r="A749" s="142" t="n">
        <x:v>695</x:v>
      </x:c>
      <x:c r="B749" s="179" t="n">
        <x:f>EDATE($B$5,A749-1)</x:f>
        <x:v>67663</x:v>
      </x:c>
      <x:c r="C749" s="141" t="n">
        <x:f>IF(AND($B$22="Sim",A749&gt;=$B$23,A749&lt;$B$23+$B$31),$B$32*D749,0)</x:f>
        <x:v>0</x:v>
      </x:c>
      <x:c r="D749" s="180" t="n">
        <x:f>IF(A749&lt;$B$23,1,(1+$B$33)^INT((A749-$B$23)/12))</x:f>
        <x:v>27.697101343166267</x:v>
      </x:c>
      <x:c r="E749" s="141" t="n">
        <x:f>IF(AND($B$22="Sim",A749=$B$23),$B$37,0)</x:f>
        <x:v>0</x:v>
      </x:c>
      <x:c r="F749" s="141" t="n">
        <x:f>IF(AND($B$22="Sim",A749=$B$24),$B$27,0)</x:f>
        <x:v>0</x:v>
      </x:c>
      <x:c r="G749" s="141" t="n">
        <x:f>IF(AND($B$22="Sim",A749=$B$23),$B$35,0)</x:f>
        <x:v>0</x:v>
      </x:c>
      <x:c r="H749" s="141" t="n">
        <x:f>IF(AND($B$22="Sim",A749=$B$23),$B$36,0)</x:f>
        <x:v>0</x:v>
      </x:c>
      <x:c r="I749" s="141" t="n">
        <x:f>IF(OR($B$22&lt;&gt;"Sim",A749&gt;=$B$23+$B$31-1),0,(I750+C750)/(1+$B$9))</x:f>
        <x:v>0</x:v>
      </x:c>
      <x:c r="J749" s="140" t="str">
        <x:f>IF($B$22&lt;&gt;"Sim","Desativada",IF(A749&lt;$B$23,"Antes da compra",IF(A749&lt;$B$23+$B$31,"Parcelas restantes","Encerrado")))</x:f>
        <x:v>Encerrado</x:v>
      </x:c>
      <x:c r="K749" s="141" t="n">
        <x:f>IF(C749&gt;0,C749/(1+$B$9)^A749,0)</x:f>
        <x:v>0</x:v>
      </x:c>
    </x:row>
    <x:row r="750">
      <x:c r="A750" s="142" t="n">
        <x:v>696</x:v>
      </x:c>
      <x:c r="B750" s="179" t="n">
        <x:f>EDATE($B$5,A750-1)</x:f>
        <x:v>67693</x:v>
      </x:c>
      <x:c r="C750" s="141" t="n">
        <x:f>IF(AND($B$22="Sim",A750&gt;=$B$23,A750&lt;$B$23+$B$31),$B$32*D750,0)</x:f>
        <x:v>0</x:v>
      </x:c>
      <x:c r="D750" s="180" t="n">
        <x:f>IF(A750&lt;$B$23,1,(1+$B$33)^INT((A750-$B$23)/12))</x:f>
        <x:v>27.697101343166267</x:v>
      </x:c>
      <x:c r="E750" s="141" t="n">
        <x:f>IF(AND($B$22="Sim",A750=$B$23),$B$37,0)</x:f>
        <x:v>0</x:v>
      </x:c>
      <x:c r="F750" s="141" t="n">
        <x:f>IF(AND($B$22="Sim",A750=$B$24),$B$27,0)</x:f>
        <x:v>0</x:v>
      </x:c>
      <x:c r="G750" s="141" t="n">
        <x:f>IF(AND($B$22="Sim",A750=$B$23),$B$35,0)</x:f>
        <x:v>0</x:v>
      </x:c>
      <x:c r="H750" s="141" t="n">
        <x:f>IF(AND($B$22="Sim",A750=$B$23),$B$36,0)</x:f>
        <x:v>0</x:v>
      </x:c>
      <x:c r="I750" s="141" t="n">
        <x:f>IF(OR($B$22&lt;&gt;"Sim",A750&gt;=$B$23+$B$31-1),0,(I751+C751)/(1+$B$9))</x:f>
        <x:v>0</x:v>
      </x:c>
      <x:c r="J750" s="140" t="str">
        <x:f>IF($B$22&lt;&gt;"Sim","Desativada",IF(A750&lt;$B$23,"Antes da compra",IF(A750&lt;$B$23+$B$31,"Parcelas restantes","Encerrado")))</x:f>
        <x:v>Encerrado</x:v>
      </x:c>
      <x:c r="K750" s="141" t="n">
        <x:f>IF(C750&gt;0,C750/(1+$B$9)^A750,0)</x:f>
        <x:v>0</x:v>
      </x:c>
    </x:row>
    <x:row r="751">
      <x:c r="A751" s="142" t="n">
        <x:v>697</x:v>
      </x:c>
      <x:c r="B751" s="179" t="n">
        <x:f>EDATE($B$5,A751-1)</x:f>
        <x:v>67724</x:v>
      </x:c>
      <x:c r="C751" s="141" t="n">
        <x:f>IF(AND($B$22="Sim",A751&gt;=$B$23,A751&lt;$B$23+$B$31),$B$32*D751,0)</x:f>
        <x:v>0</x:v>
      </x:c>
      <x:c r="D751" s="180" t="n">
        <x:f>IF(A751&lt;$B$23,1,(1+$B$33)^INT((A751-$B$23)/12))</x:f>
        <x:v>29.358927423756246</x:v>
      </x:c>
      <x:c r="E751" s="141" t="n">
        <x:f>IF(AND($B$22="Sim",A751=$B$23),$B$37,0)</x:f>
        <x:v>0</x:v>
      </x:c>
      <x:c r="F751" s="141" t="n">
        <x:f>IF(AND($B$22="Sim",A751=$B$24),$B$27,0)</x:f>
        <x:v>0</x:v>
      </x:c>
      <x:c r="G751" s="141" t="n">
        <x:f>IF(AND($B$22="Sim",A751=$B$23),$B$35,0)</x:f>
        <x:v>0</x:v>
      </x:c>
      <x:c r="H751" s="141" t="n">
        <x:f>IF(AND($B$22="Sim",A751=$B$23),$B$36,0)</x:f>
        <x:v>0</x:v>
      </x:c>
      <x:c r="I751" s="141" t="n">
        <x:f>IF(OR($B$22&lt;&gt;"Sim",A751&gt;=$B$23+$B$31-1),0,(I752+C752)/(1+$B$9))</x:f>
        <x:v>0</x:v>
      </x:c>
      <x:c r="J751" s="140" t="str">
        <x:f>IF($B$22&lt;&gt;"Sim","Desativada",IF(A751&lt;$B$23,"Antes da compra",IF(A751&lt;$B$23+$B$31,"Parcelas restantes","Encerrado")))</x:f>
        <x:v>Encerrado</x:v>
      </x:c>
      <x:c r="K751" s="141" t="n">
        <x:f>IF(C751&gt;0,C751/(1+$B$9)^A751,0)</x:f>
        <x:v>0</x:v>
      </x:c>
    </x:row>
    <x:row r="752">
      <x:c r="A752" s="142" t="n">
        <x:v>698</x:v>
      </x:c>
      <x:c r="B752" s="179" t="n">
        <x:f>EDATE($B$5,A752-1)</x:f>
        <x:v>67754</x:v>
      </x:c>
      <x:c r="C752" s="141" t="n">
        <x:f>IF(AND($B$22="Sim",A752&gt;=$B$23,A752&lt;$B$23+$B$31),$B$32*D752,0)</x:f>
        <x:v>0</x:v>
      </x:c>
      <x:c r="D752" s="180" t="n">
        <x:f>IF(A752&lt;$B$23,1,(1+$B$33)^INT((A752-$B$23)/12))</x:f>
        <x:v>29.358927423756246</x:v>
      </x:c>
      <x:c r="E752" s="141" t="n">
        <x:f>IF(AND($B$22="Sim",A752=$B$23),$B$37,0)</x:f>
        <x:v>0</x:v>
      </x:c>
      <x:c r="F752" s="141" t="n">
        <x:f>IF(AND($B$22="Sim",A752=$B$24),$B$27,0)</x:f>
        <x:v>0</x:v>
      </x:c>
      <x:c r="G752" s="141" t="n">
        <x:f>IF(AND($B$22="Sim",A752=$B$23),$B$35,0)</x:f>
        <x:v>0</x:v>
      </x:c>
      <x:c r="H752" s="141" t="n">
        <x:f>IF(AND($B$22="Sim",A752=$B$23),$B$36,0)</x:f>
        <x:v>0</x:v>
      </x:c>
      <x:c r="I752" s="141" t="n">
        <x:f>IF(OR($B$22&lt;&gt;"Sim",A752&gt;=$B$23+$B$31-1),0,(I753+C753)/(1+$B$9))</x:f>
        <x:v>0</x:v>
      </x:c>
      <x:c r="J752" s="140" t="str">
        <x:f>IF($B$22&lt;&gt;"Sim","Desativada",IF(A752&lt;$B$23,"Antes da compra",IF(A752&lt;$B$23+$B$31,"Parcelas restantes","Encerrado")))</x:f>
        <x:v>Encerrado</x:v>
      </x:c>
      <x:c r="K752" s="141" t="n">
        <x:f>IF(C752&gt;0,C752/(1+$B$9)^A752,0)</x:f>
        <x:v>0</x:v>
      </x:c>
    </x:row>
    <x:row r="753">
      <x:c r="A753" s="142" t="n">
        <x:v>699</x:v>
      </x:c>
      <x:c r="B753" s="179" t="n">
        <x:f>EDATE($B$5,A753-1)</x:f>
        <x:v>67785</x:v>
      </x:c>
      <x:c r="C753" s="141" t="n">
        <x:f>IF(AND($B$22="Sim",A753&gt;=$B$23,A753&lt;$B$23+$B$31),$B$32*D753,0)</x:f>
        <x:v>0</x:v>
      </x:c>
      <x:c r="D753" s="180" t="n">
        <x:f>IF(A753&lt;$B$23,1,(1+$B$33)^INT((A753-$B$23)/12))</x:f>
        <x:v>29.358927423756246</x:v>
      </x:c>
      <x:c r="E753" s="141" t="n">
        <x:f>IF(AND($B$22="Sim",A753=$B$23),$B$37,0)</x:f>
        <x:v>0</x:v>
      </x:c>
      <x:c r="F753" s="141" t="n">
        <x:f>IF(AND($B$22="Sim",A753=$B$24),$B$27,0)</x:f>
        <x:v>0</x:v>
      </x:c>
      <x:c r="G753" s="141" t="n">
        <x:f>IF(AND($B$22="Sim",A753=$B$23),$B$35,0)</x:f>
        <x:v>0</x:v>
      </x:c>
      <x:c r="H753" s="141" t="n">
        <x:f>IF(AND($B$22="Sim",A753=$B$23),$B$36,0)</x:f>
        <x:v>0</x:v>
      </x:c>
      <x:c r="I753" s="141" t="n">
        <x:f>IF(OR($B$22&lt;&gt;"Sim",A753&gt;=$B$23+$B$31-1),0,(I754+C754)/(1+$B$9))</x:f>
        <x:v>0</x:v>
      </x:c>
      <x:c r="J753" s="140" t="str">
        <x:f>IF($B$22&lt;&gt;"Sim","Desativada",IF(A753&lt;$B$23,"Antes da compra",IF(A753&lt;$B$23+$B$31,"Parcelas restantes","Encerrado")))</x:f>
        <x:v>Encerrado</x:v>
      </x:c>
      <x:c r="K753" s="141" t="n">
        <x:f>IF(C753&gt;0,C753/(1+$B$9)^A753,0)</x:f>
        <x:v>0</x:v>
      </x:c>
    </x:row>
    <x:row r="754">
      <x:c r="A754" s="142" t="n">
        <x:v>700</x:v>
      </x:c>
      <x:c r="B754" s="179" t="n">
        <x:f>EDATE($B$5,A754-1)</x:f>
        <x:v>67816</x:v>
      </x:c>
      <x:c r="C754" s="141" t="n">
        <x:f>IF(AND($B$22="Sim",A754&gt;=$B$23,A754&lt;$B$23+$B$31),$B$32*D754,0)</x:f>
        <x:v>0</x:v>
      </x:c>
      <x:c r="D754" s="180" t="n">
        <x:f>IF(A754&lt;$B$23,1,(1+$B$33)^INT((A754-$B$23)/12))</x:f>
        <x:v>29.358927423756246</x:v>
      </x:c>
      <x:c r="E754" s="141" t="n">
        <x:f>IF(AND($B$22="Sim",A754=$B$23),$B$37,0)</x:f>
        <x:v>0</x:v>
      </x:c>
      <x:c r="F754" s="141" t="n">
        <x:f>IF(AND($B$22="Sim",A754=$B$24),$B$27,0)</x:f>
        <x:v>0</x:v>
      </x:c>
      <x:c r="G754" s="141" t="n">
        <x:f>IF(AND($B$22="Sim",A754=$B$23),$B$35,0)</x:f>
        <x:v>0</x:v>
      </x:c>
      <x:c r="H754" s="141" t="n">
        <x:f>IF(AND($B$22="Sim",A754=$B$23),$B$36,0)</x:f>
        <x:v>0</x:v>
      </x:c>
      <x:c r="I754" s="141" t="n">
        <x:f>IF(OR($B$22&lt;&gt;"Sim",A754&gt;=$B$23+$B$31-1),0,(I755+C755)/(1+$B$9))</x:f>
        <x:v>0</x:v>
      </x:c>
      <x:c r="J754" s="140" t="str">
        <x:f>IF($B$22&lt;&gt;"Sim","Desativada",IF(A754&lt;$B$23,"Antes da compra",IF(A754&lt;$B$23+$B$31,"Parcelas restantes","Encerrado")))</x:f>
        <x:v>Encerrado</x:v>
      </x:c>
      <x:c r="K754" s="141" t="n">
        <x:f>IF(C754&gt;0,C754/(1+$B$9)^A754,0)</x:f>
        <x:v>0</x:v>
      </x:c>
    </x:row>
    <x:row r="755">
      <x:c r="A755" s="142" t="n">
        <x:v>701</x:v>
      </x:c>
      <x:c r="B755" s="179" t="n">
        <x:f>EDATE($B$5,A755-1)</x:f>
        <x:v>67846</x:v>
      </x:c>
      <x:c r="C755" s="141" t="n">
        <x:f>IF(AND($B$22="Sim",A755&gt;=$B$23,A755&lt;$B$23+$B$31),$B$32*D755,0)</x:f>
        <x:v>0</x:v>
      </x:c>
      <x:c r="D755" s="180" t="n">
        <x:f>IF(A755&lt;$B$23,1,(1+$B$33)^INT((A755-$B$23)/12))</x:f>
        <x:v>29.358927423756246</x:v>
      </x:c>
      <x:c r="E755" s="141" t="n">
        <x:f>IF(AND($B$22="Sim",A755=$B$23),$B$37,0)</x:f>
        <x:v>0</x:v>
      </x:c>
      <x:c r="F755" s="141" t="n">
        <x:f>IF(AND($B$22="Sim",A755=$B$24),$B$27,0)</x:f>
        <x:v>0</x:v>
      </x:c>
      <x:c r="G755" s="141" t="n">
        <x:f>IF(AND($B$22="Sim",A755=$B$23),$B$35,0)</x:f>
        <x:v>0</x:v>
      </x:c>
      <x:c r="H755" s="141" t="n">
        <x:f>IF(AND($B$22="Sim",A755=$B$23),$B$36,0)</x:f>
        <x:v>0</x:v>
      </x:c>
      <x:c r="I755" s="141" t="n">
        <x:f>IF(OR($B$22&lt;&gt;"Sim",A755&gt;=$B$23+$B$31-1),0,(I756+C756)/(1+$B$9))</x:f>
        <x:v>0</x:v>
      </x:c>
      <x:c r="J755" s="140" t="str">
        <x:f>IF($B$22&lt;&gt;"Sim","Desativada",IF(A755&lt;$B$23,"Antes da compra",IF(A755&lt;$B$23+$B$31,"Parcelas restantes","Encerrado")))</x:f>
        <x:v>Encerrado</x:v>
      </x:c>
      <x:c r="K755" s="141" t="n">
        <x:f>IF(C755&gt;0,C755/(1+$B$9)^A755,0)</x:f>
        <x:v>0</x:v>
      </x:c>
    </x:row>
    <x:row r="756">
      <x:c r="A756" s="142" t="n">
        <x:v>702</x:v>
      </x:c>
      <x:c r="B756" s="179" t="n">
        <x:f>EDATE($B$5,A756-1)</x:f>
        <x:v>67877</x:v>
      </x:c>
      <x:c r="C756" s="141" t="n">
        <x:f>IF(AND($B$22="Sim",A756&gt;=$B$23,A756&lt;$B$23+$B$31),$B$32*D756,0)</x:f>
        <x:v>0</x:v>
      </x:c>
      <x:c r="D756" s="180" t="n">
        <x:f>IF(A756&lt;$B$23,1,(1+$B$33)^INT((A756-$B$23)/12))</x:f>
        <x:v>29.358927423756246</x:v>
      </x:c>
      <x:c r="E756" s="141" t="n">
        <x:f>IF(AND($B$22="Sim",A756=$B$23),$B$37,0)</x:f>
        <x:v>0</x:v>
      </x:c>
      <x:c r="F756" s="141" t="n">
        <x:f>IF(AND($B$22="Sim",A756=$B$24),$B$27,0)</x:f>
        <x:v>0</x:v>
      </x:c>
      <x:c r="G756" s="141" t="n">
        <x:f>IF(AND($B$22="Sim",A756=$B$23),$B$35,0)</x:f>
        <x:v>0</x:v>
      </x:c>
      <x:c r="H756" s="141" t="n">
        <x:f>IF(AND($B$22="Sim",A756=$B$23),$B$36,0)</x:f>
        <x:v>0</x:v>
      </x:c>
      <x:c r="I756" s="141" t="n">
        <x:f>IF(OR($B$22&lt;&gt;"Sim",A756&gt;=$B$23+$B$31-1),0,(I757+C757)/(1+$B$9))</x:f>
        <x:v>0</x:v>
      </x:c>
      <x:c r="J756" s="140" t="str">
        <x:f>IF($B$22&lt;&gt;"Sim","Desativada",IF(A756&lt;$B$23,"Antes da compra",IF(A756&lt;$B$23+$B$31,"Parcelas restantes","Encerrado")))</x:f>
        <x:v>Encerrado</x:v>
      </x:c>
      <x:c r="K756" s="141" t="n">
        <x:f>IF(C756&gt;0,C756/(1+$B$9)^A756,0)</x:f>
        <x:v>0</x:v>
      </x:c>
    </x:row>
    <x:row r="757">
      <x:c r="A757" s="142" t="n">
        <x:v>703</x:v>
      </x:c>
      <x:c r="B757" s="179" t="n">
        <x:f>EDATE($B$5,A757-1)</x:f>
        <x:v>67907</x:v>
      </x:c>
      <x:c r="C757" s="141" t="n">
        <x:f>IF(AND($B$22="Sim",A757&gt;=$B$23,A757&lt;$B$23+$B$31),$B$32*D757,0)</x:f>
        <x:v>0</x:v>
      </x:c>
      <x:c r="D757" s="180" t="n">
        <x:f>IF(A757&lt;$B$23,1,(1+$B$33)^INT((A757-$B$23)/12))</x:f>
        <x:v>29.358927423756246</x:v>
      </x:c>
      <x:c r="E757" s="141" t="n">
        <x:f>IF(AND($B$22="Sim",A757=$B$23),$B$37,0)</x:f>
        <x:v>0</x:v>
      </x:c>
      <x:c r="F757" s="141" t="n">
        <x:f>IF(AND($B$22="Sim",A757=$B$24),$B$27,0)</x:f>
        <x:v>0</x:v>
      </x:c>
      <x:c r="G757" s="141" t="n">
        <x:f>IF(AND($B$22="Sim",A757=$B$23),$B$35,0)</x:f>
        <x:v>0</x:v>
      </x:c>
      <x:c r="H757" s="141" t="n">
        <x:f>IF(AND($B$22="Sim",A757=$B$23),$B$36,0)</x:f>
        <x:v>0</x:v>
      </x:c>
      <x:c r="I757" s="141" t="n">
        <x:f>IF(OR($B$22&lt;&gt;"Sim",A757&gt;=$B$23+$B$31-1),0,(I758+C758)/(1+$B$9))</x:f>
        <x:v>0</x:v>
      </x:c>
      <x:c r="J757" s="140" t="str">
        <x:f>IF($B$22&lt;&gt;"Sim","Desativada",IF(A757&lt;$B$23,"Antes da compra",IF(A757&lt;$B$23+$B$31,"Parcelas restantes","Encerrado")))</x:f>
        <x:v>Encerrado</x:v>
      </x:c>
      <x:c r="K757" s="141" t="n">
        <x:f>IF(C757&gt;0,C757/(1+$B$9)^A757,0)</x:f>
        <x:v>0</x:v>
      </x:c>
    </x:row>
    <x:row r="758">
      <x:c r="A758" s="142" t="n">
        <x:v>704</x:v>
      </x:c>
      <x:c r="B758" s="179" t="n">
        <x:f>EDATE($B$5,A758-1)</x:f>
        <x:v>67938</x:v>
      </x:c>
      <x:c r="C758" s="141" t="n">
        <x:f>IF(AND($B$22="Sim",A758&gt;=$B$23,A758&lt;$B$23+$B$31),$B$32*D758,0)</x:f>
        <x:v>0</x:v>
      </x:c>
      <x:c r="D758" s="180" t="n">
        <x:f>IF(A758&lt;$B$23,1,(1+$B$33)^INT((A758-$B$23)/12))</x:f>
        <x:v>29.358927423756246</x:v>
      </x:c>
      <x:c r="E758" s="141" t="n">
        <x:f>IF(AND($B$22="Sim",A758=$B$23),$B$37,0)</x:f>
        <x:v>0</x:v>
      </x:c>
      <x:c r="F758" s="141" t="n">
        <x:f>IF(AND($B$22="Sim",A758=$B$24),$B$27,0)</x:f>
        <x:v>0</x:v>
      </x:c>
      <x:c r="G758" s="141" t="n">
        <x:f>IF(AND($B$22="Sim",A758=$B$23),$B$35,0)</x:f>
        <x:v>0</x:v>
      </x:c>
      <x:c r="H758" s="141" t="n">
        <x:f>IF(AND($B$22="Sim",A758=$B$23),$B$36,0)</x:f>
        <x:v>0</x:v>
      </x:c>
      <x:c r="I758" s="141" t="n">
        <x:f>IF(OR($B$22&lt;&gt;"Sim",A758&gt;=$B$23+$B$31-1),0,(I759+C759)/(1+$B$9))</x:f>
        <x:v>0</x:v>
      </x:c>
      <x:c r="J758" s="140" t="str">
        <x:f>IF($B$22&lt;&gt;"Sim","Desativada",IF(A758&lt;$B$23,"Antes da compra",IF(A758&lt;$B$23+$B$31,"Parcelas restantes","Encerrado")))</x:f>
        <x:v>Encerrado</x:v>
      </x:c>
      <x:c r="K758" s="141" t="n">
        <x:f>IF(C758&gt;0,C758/(1+$B$9)^A758,0)</x:f>
        <x:v>0</x:v>
      </x:c>
    </x:row>
    <x:row r="759">
      <x:c r="A759" s="142" t="n">
        <x:v>705</x:v>
      </x:c>
      <x:c r="B759" s="179" t="n">
        <x:f>EDATE($B$5,A759-1)</x:f>
        <x:v>67969</x:v>
      </x:c>
      <x:c r="C759" s="141" t="n">
        <x:f>IF(AND($B$22="Sim",A759&gt;=$B$23,A759&lt;$B$23+$B$31),$B$32*D759,0)</x:f>
        <x:v>0</x:v>
      </x:c>
      <x:c r="D759" s="180" t="n">
        <x:f>IF(A759&lt;$B$23,1,(1+$B$33)^INT((A759-$B$23)/12))</x:f>
        <x:v>29.358927423756246</x:v>
      </x:c>
      <x:c r="E759" s="141" t="n">
        <x:f>IF(AND($B$22="Sim",A759=$B$23),$B$37,0)</x:f>
        <x:v>0</x:v>
      </x:c>
      <x:c r="F759" s="141" t="n">
        <x:f>IF(AND($B$22="Sim",A759=$B$24),$B$27,0)</x:f>
        <x:v>0</x:v>
      </x:c>
      <x:c r="G759" s="141" t="n">
        <x:f>IF(AND($B$22="Sim",A759=$B$23),$B$35,0)</x:f>
        <x:v>0</x:v>
      </x:c>
      <x:c r="H759" s="141" t="n">
        <x:f>IF(AND($B$22="Sim",A759=$B$23),$B$36,0)</x:f>
        <x:v>0</x:v>
      </x:c>
      <x:c r="I759" s="141" t="n">
        <x:f>IF(OR($B$22&lt;&gt;"Sim",A759&gt;=$B$23+$B$31-1),0,(I760+C760)/(1+$B$9))</x:f>
        <x:v>0</x:v>
      </x:c>
      <x:c r="J759" s="140" t="str">
        <x:f>IF($B$22&lt;&gt;"Sim","Desativada",IF(A759&lt;$B$23,"Antes da compra",IF(A759&lt;$B$23+$B$31,"Parcelas restantes","Encerrado")))</x:f>
        <x:v>Encerrado</x:v>
      </x:c>
      <x:c r="K759" s="141" t="n">
        <x:f>IF(C759&gt;0,C759/(1+$B$9)^A759,0)</x:f>
        <x:v>0</x:v>
      </x:c>
    </x:row>
    <x:row r="760">
      <x:c r="A760" s="142" t="n">
        <x:v>706</x:v>
      </x:c>
      <x:c r="B760" s="179" t="n">
        <x:f>EDATE($B$5,A760-1)</x:f>
        <x:v>67997</x:v>
      </x:c>
      <x:c r="C760" s="141" t="n">
        <x:f>IF(AND($B$22="Sim",A760&gt;=$B$23,A760&lt;$B$23+$B$31),$B$32*D760,0)</x:f>
        <x:v>0</x:v>
      </x:c>
      <x:c r="D760" s="180" t="n">
        <x:f>IF(A760&lt;$B$23,1,(1+$B$33)^INT((A760-$B$23)/12))</x:f>
        <x:v>29.358927423756246</x:v>
      </x:c>
      <x:c r="E760" s="141" t="n">
        <x:f>IF(AND($B$22="Sim",A760=$B$23),$B$37,0)</x:f>
        <x:v>0</x:v>
      </x:c>
      <x:c r="F760" s="141" t="n">
        <x:f>IF(AND($B$22="Sim",A760=$B$24),$B$27,0)</x:f>
        <x:v>0</x:v>
      </x:c>
      <x:c r="G760" s="141" t="n">
        <x:f>IF(AND($B$22="Sim",A760=$B$23),$B$35,0)</x:f>
        <x:v>0</x:v>
      </x:c>
      <x:c r="H760" s="141" t="n">
        <x:f>IF(AND($B$22="Sim",A760=$B$23),$B$36,0)</x:f>
        <x:v>0</x:v>
      </x:c>
      <x:c r="I760" s="141" t="n">
        <x:f>IF(OR($B$22&lt;&gt;"Sim",A760&gt;=$B$23+$B$31-1),0,(I761+C761)/(1+$B$9))</x:f>
        <x:v>0</x:v>
      </x:c>
      <x:c r="J760" s="140" t="str">
        <x:f>IF($B$22&lt;&gt;"Sim","Desativada",IF(A760&lt;$B$23,"Antes da compra",IF(A760&lt;$B$23+$B$31,"Parcelas restantes","Encerrado")))</x:f>
        <x:v>Encerrado</x:v>
      </x:c>
      <x:c r="K760" s="141" t="n">
        <x:f>IF(C760&gt;0,C760/(1+$B$9)^A760,0)</x:f>
        <x:v>0</x:v>
      </x:c>
    </x:row>
    <x:row r="761">
      <x:c r="A761" s="142" t="n">
        <x:v>707</x:v>
      </x:c>
      <x:c r="B761" s="179" t="n">
        <x:f>EDATE($B$5,A761-1)</x:f>
        <x:v>68028</x:v>
      </x:c>
      <x:c r="C761" s="141" t="n">
        <x:f>IF(AND($B$22="Sim",A761&gt;=$B$23,A761&lt;$B$23+$B$31),$B$32*D761,0)</x:f>
        <x:v>0</x:v>
      </x:c>
      <x:c r="D761" s="180" t="n">
        <x:f>IF(A761&lt;$B$23,1,(1+$B$33)^INT((A761-$B$23)/12))</x:f>
        <x:v>29.358927423756246</x:v>
      </x:c>
      <x:c r="E761" s="141" t="n">
        <x:f>IF(AND($B$22="Sim",A761=$B$23),$B$37,0)</x:f>
        <x:v>0</x:v>
      </x:c>
      <x:c r="F761" s="141" t="n">
        <x:f>IF(AND($B$22="Sim",A761=$B$24),$B$27,0)</x:f>
        <x:v>0</x:v>
      </x:c>
      <x:c r="G761" s="141" t="n">
        <x:f>IF(AND($B$22="Sim",A761=$B$23),$B$35,0)</x:f>
        <x:v>0</x:v>
      </x:c>
      <x:c r="H761" s="141" t="n">
        <x:f>IF(AND($B$22="Sim",A761=$B$23),$B$36,0)</x:f>
        <x:v>0</x:v>
      </x:c>
      <x:c r="I761" s="141" t="n">
        <x:f>IF(OR($B$22&lt;&gt;"Sim",A761&gt;=$B$23+$B$31-1),0,(I762+C762)/(1+$B$9))</x:f>
        <x:v>0</x:v>
      </x:c>
      <x:c r="J761" s="140" t="str">
        <x:f>IF($B$22&lt;&gt;"Sim","Desativada",IF(A761&lt;$B$23,"Antes da compra",IF(A761&lt;$B$23+$B$31,"Parcelas restantes","Encerrado")))</x:f>
        <x:v>Encerrado</x:v>
      </x:c>
      <x:c r="K761" s="141" t="n">
        <x:f>IF(C761&gt;0,C761/(1+$B$9)^A761,0)</x:f>
        <x:v>0</x:v>
      </x:c>
    </x:row>
    <x:row r="762">
      <x:c r="A762" s="142" t="n">
        <x:v>708</x:v>
      </x:c>
      <x:c r="B762" s="179" t="n">
        <x:f>EDATE($B$5,A762-1)</x:f>
        <x:v>68058</x:v>
      </x:c>
      <x:c r="C762" s="141" t="n">
        <x:f>IF(AND($B$22="Sim",A762&gt;=$B$23,A762&lt;$B$23+$B$31),$B$32*D762,0)</x:f>
        <x:v>0</x:v>
      </x:c>
      <x:c r="D762" s="180" t="n">
        <x:f>IF(A762&lt;$B$23,1,(1+$B$33)^INT((A762-$B$23)/12))</x:f>
        <x:v>29.358927423756246</x:v>
      </x:c>
      <x:c r="E762" s="141" t="n">
        <x:f>IF(AND($B$22="Sim",A762=$B$23),$B$37,0)</x:f>
        <x:v>0</x:v>
      </x:c>
      <x:c r="F762" s="141" t="n">
        <x:f>IF(AND($B$22="Sim",A762=$B$24),$B$27,0)</x:f>
        <x:v>0</x:v>
      </x:c>
      <x:c r="G762" s="141" t="n">
        <x:f>IF(AND($B$22="Sim",A762=$B$23),$B$35,0)</x:f>
        <x:v>0</x:v>
      </x:c>
      <x:c r="H762" s="141" t="n">
        <x:f>IF(AND($B$22="Sim",A762=$B$23),$B$36,0)</x:f>
        <x:v>0</x:v>
      </x:c>
      <x:c r="I762" s="141" t="n">
        <x:f>IF(OR($B$22&lt;&gt;"Sim",A762&gt;=$B$23+$B$31-1),0,(I763+C763)/(1+$B$9))</x:f>
        <x:v>0</x:v>
      </x:c>
      <x:c r="J762" s="140" t="str">
        <x:f>IF($B$22&lt;&gt;"Sim","Desativada",IF(A762&lt;$B$23,"Antes da compra",IF(A762&lt;$B$23+$B$31,"Parcelas restantes","Encerrado")))</x:f>
        <x:v>Encerrado</x:v>
      </x:c>
      <x:c r="K762" s="141" t="n">
        <x:f>IF(C762&gt;0,C762/(1+$B$9)^A762,0)</x:f>
        <x:v>0</x:v>
      </x:c>
    </x:row>
    <x:row r="763">
      <x:c r="A763" s="142" t="n">
        <x:v>709</x:v>
      </x:c>
      <x:c r="B763" s="179" t="n">
        <x:f>EDATE($B$5,A763-1)</x:f>
        <x:v>68089</x:v>
      </x:c>
      <x:c r="C763" s="141" t="n">
        <x:f>IF(AND($B$22="Sim",A763&gt;=$B$23,A763&lt;$B$23+$B$31),$B$32*D763,0)</x:f>
        <x:v>0</x:v>
      </x:c>
      <x:c r="D763" s="180" t="n">
        <x:f>IF(A763&lt;$B$23,1,(1+$B$33)^INT((A763-$B$23)/12))</x:f>
        <x:v>31.12046306918162</x:v>
      </x:c>
      <x:c r="E763" s="141" t="n">
        <x:f>IF(AND($B$22="Sim",A763=$B$23),$B$37,0)</x:f>
        <x:v>0</x:v>
      </x:c>
      <x:c r="F763" s="141" t="n">
        <x:f>IF(AND($B$22="Sim",A763=$B$24),$B$27,0)</x:f>
        <x:v>0</x:v>
      </x:c>
      <x:c r="G763" s="141" t="n">
        <x:f>IF(AND($B$22="Sim",A763=$B$23),$B$35,0)</x:f>
        <x:v>0</x:v>
      </x:c>
      <x:c r="H763" s="141" t="n">
        <x:f>IF(AND($B$22="Sim",A763=$B$23),$B$36,0)</x:f>
        <x:v>0</x:v>
      </x:c>
      <x:c r="I763" s="141" t="n">
        <x:f>IF(OR($B$22&lt;&gt;"Sim",A763&gt;=$B$23+$B$31-1),0,(I764+C764)/(1+$B$9))</x:f>
        <x:v>0</x:v>
      </x:c>
      <x:c r="J763" s="140" t="str">
        <x:f>IF($B$22&lt;&gt;"Sim","Desativada",IF(A763&lt;$B$23,"Antes da compra",IF(A763&lt;$B$23+$B$31,"Parcelas restantes","Encerrado")))</x:f>
        <x:v>Encerrado</x:v>
      </x:c>
      <x:c r="K763" s="141" t="n">
        <x:f>IF(C763&gt;0,C763/(1+$B$9)^A763,0)</x:f>
        <x:v>0</x:v>
      </x:c>
    </x:row>
    <x:row r="764">
      <x:c r="A764" s="142" t="n">
        <x:v>710</x:v>
      </x:c>
      <x:c r="B764" s="179" t="n">
        <x:f>EDATE($B$5,A764-1)</x:f>
        <x:v>68119</x:v>
      </x:c>
      <x:c r="C764" s="141" t="n">
        <x:f>IF(AND($B$22="Sim",A764&gt;=$B$23,A764&lt;$B$23+$B$31),$B$32*D764,0)</x:f>
        <x:v>0</x:v>
      </x:c>
      <x:c r="D764" s="180" t="n">
        <x:f>IF(A764&lt;$B$23,1,(1+$B$33)^INT((A764-$B$23)/12))</x:f>
        <x:v>31.12046306918162</x:v>
      </x:c>
      <x:c r="E764" s="141" t="n">
        <x:f>IF(AND($B$22="Sim",A764=$B$23),$B$37,0)</x:f>
        <x:v>0</x:v>
      </x:c>
      <x:c r="F764" s="141" t="n">
        <x:f>IF(AND($B$22="Sim",A764=$B$24),$B$27,0)</x:f>
        <x:v>0</x:v>
      </x:c>
      <x:c r="G764" s="141" t="n">
        <x:f>IF(AND($B$22="Sim",A764=$B$23),$B$35,0)</x:f>
        <x:v>0</x:v>
      </x:c>
      <x:c r="H764" s="141" t="n">
        <x:f>IF(AND($B$22="Sim",A764=$B$23),$B$36,0)</x:f>
        <x:v>0</x:v>
      </x:c>
      <x:c r="I764" s="141" t="n">
        <x:f>IF(OR($B$22&lt;&gt;"Sim",A764&gt;=$B$23+$B$31-1),0,(I765+C765)/(1+$B$9))</x:f>
        <x:v>0</x:v>
      </x:c>
      <x:c r="J764" s="140" t="str">
        <x:f>IF($B$22&lt;&gt;"Sim","Desativada",IF(A764&lt;$B$23,"Antes da compra",IF(A764&lt;$B$23+$B$31,"Parcelas restantes","Encerrado")))</x:f>
        <x:v>Encerrado</x:v>
      </x:c>
      <x:c r="K764" s="141" t="n">
        <x:f>IF(C764&gt;0,C764/(1+$B$9)^A764,0)</x:f>
        <x:v>0</x:v>
      </x:c>
    </x:row>
    <x:row r="765">
      <x:c r="A765" s="142" t="n">
        <x:v>711</x:v>
      </x:c>
      <x:c r="B765" s="179" t="n">
        <x:f>EDATE($B$5,A765-1)</x:f>
        <x:v>68150</x:v>
      </x:c>
      <x:c r="C765" s="141" t="n">
        <x:f>IF(AND($B$22="Sim",A765&gt;=$B$23,A765&lt;$B$23+$B$31),$B$32*D765,0)</x:f>
        <x:v>0</x:v>
      </x:c>
      <x:c r="D765" s="180" t="n">
        <x:f>IF(A765&lt;$B$23,1,(1+$B$33)^INT((A765-$B$23)/12))</x:f>
        <x:v>31.12046306918162</x:v>
      </x:c>
      <x:c r="E765" s="141" t="n">
        <x:f>IF(AND($B$22="Sim",A765=$B$23),$B$37,0)</x:f>
        <x:v>0</x:v>
      </x:c>
      <x:c r="F765" s="141" t="n">
        <x:f>IF(AND($B$22="Sim",A765=$B$24),$B$27,0)</x:f>
        <x:v>0</x:v>
      </x:c>
      <x:c r="G765" s="141" t="n">
        <x:f>IF(AND($B$22="Sim",A765=$B$23),$B$35,0)</x:f>
        <x:v>0</x:v>
      </x:c>
      <x:c r="H765" s="141" t="n">
        <x:f>IF(AND($B$22="Sim",A765=$B$23),$B$36,0)</x:f>
        <x:v>0</x:v>
      </x:c>
      <x:c r="I765" s="141" t="n">
        <x:f>IF(OR($B$22&lt;&gt;"Sim",A765&gt;=$B$23+$B$31-1),0,(I766+C766)/(1+$B$9))</x:f>
        <x:v>0</x:v>
      </x:c>
      <x:c r="J765" s="140" t="str">
        <x:f>IF($B$22&lt;&gt;"Sim","Desativada",IF(A765&lt;$B$23,"Antes da compra",IF(A765&lt;$B$23+$B$31,"Parcelas restantes","Encerrado")))</x:f>
        <x:v>Encerrado</x:v>
      </x:c>
      <x:c r="K765" s="141" t="n">
        <x:f>IF(C765&gt;0,C765/(1+$B$9)^A765,0)</x:f>
        <x:v>0</x:v>
      </x:c>
    </x:row>
    <x:row r="766">
      <x:c r="A766" s="142" t="n">
        <x:v>712</x:v>
      </x:c>
      <x:c r="B766" s="179" t="n">
        <x:f>EDATE($B$5,A766-1)</x:f>
        <x:v>68181</x:v>
      </x:c>
      <x:c r="C766" s="141" t="n">
        <x:f>IF(AND($B$22="Sim",A766&gt;=$B$23,A766&lt;$B$23+$B$31),$B$32*D766,0)</x:f>
        <x:v>0</x:v>
      </x:c>
      <x:c r="D766" s="180" t="n">
        <x:f>IF(A766&lt;$B$23,1,(1+$B$33)^INT((A766-$B$23)/12))</x:f>
        <x:v>31.12046306918162</x:v>
      </x:c>
      <x:c r="E766" s="141" t="n">
        <x:f>IF(AND($B$22="Sim",A766=$B$23),$B$37,0)</x:f>
        <x:v>0</x:v>
      </x:c>
      <x:c r="F766" s="141" t="n">
        <x:f>IF(AND($B$22="Sim",A766=$B$24),$B$27,0)</x:f>
        <x:v>0</x:v>
      </x:c>
      <x:c r="G766" s="141" t="n">
        <x:f>IF(AND($B$22="Sim",A766=$B$23),$B$35,0)</x:f>
        <x:v>0</x:v>
      </x:c>
      <x:c r="H766" s="141" t="n">
        <x:f>IF(AND($B$22="Sim",A766=$B$23),$B$36,0)</x:f>
        <x:v>0</x:v>
      </x:c>
      <x:c r="I766" s="141" t="n">
        <x:f>IF(OR($B$22&lt;&gt;"Sim",A766&gt;=$B$23+$B$31-1),0,(I767+C767)/(1+$B$9))</x:f>
        <x:v>0</x:v>
      </x:c>
      <x:c r="J766" s="140" t="str">
        <x:f>IF($B$22&lt;&gt;"Sim","Desativada",IF(A766&lt;$B$23,"Antes da compra",IF(A766&lt;$B$23+$B$31,"Parcelas restantes","Encerrado")))</x:f>
        <x:v>Encerrado</x:v>
      </x:c>
      <x:c r="K766" s="141" t="n">
        <x:f>IF(C766&gt;0,C766/(1+$B$9)^A766,0)</x:f>
        <x:v>0</x:v>
      </x:c>
    </x:row>
    <x:row r="767">
      <x:c r="A767" s="142" t="n">
        <x:v>713</x:v>
      </x:c>
      <x:c r="B767" s="179" t="n">
        <x:f>EDATE($B$5,A767-1)</x:f>
        <x:v>68211</x:v>
      </x:c>
      <x:c r="C767" s="141" t="n">
        <x:f>IF(AND($B$22="Sim",A767&gt;=$B$23,A767&lt;$B$23+$B$31),$B$32*D767,0)</x:f>
        <x:v>0</x:v>
      </x:c>
      <x:c r="D767" s="180" t="n">
        <x:f>IF(A767&lt;$B$23,1,(1+$B$33)^INT((A767-$B$23)/12))</x:f>
        <x:v>31.12046306918162</x:v>
      </x:c>
      <x:c r="E767" s="141" t="n">
        <x:f>IF(AND($B$22="Sim",A767=$B$23),$B$37,0)</x:f>
        <x:v>0</x:v>
      </x:c>
      <x:c r="F767" s="141" t="n">
        <x:f>IF(AND($B$22="Sim",A767=$B$24),$B$27,0)</x:f>
        <x:v>0</x:v>
      </x:c>
      <x:c r="G767" s="141" t="n">
        <x:f>IF(AND($B$22="Sim",A767=$B$23),$B$35,0)</x:f>
        <x:v>0</x:v>
      </x:c>
      <x:c r="H767" s="141" t="n">
        <x:f>IF(AND($B$22="Sim",A767=$B$23),$B$36,0)</x:f>
        <x:v>0</x:v>
      </x:c>
      <x:c r="I767" s="141" t="n">
        <x:f>IF(OR($B$22&lt;&gt;"Sim",A767&gt;=$B$23+$B$31-1),0,(I768+C768)/(1+$B$9))</x:f>
        <x:v>0</x:v>
      </x:c>
      <x:c r="J767" s="140" t="str">
        <x:f>IF($B$22&lt;&gt;"Sim","Desativada",IF(A767&lt;$B$23,"Antes da compra",IF(A767&lt;$B$23+$B$31,"Parcelas restantes","Encerrado")))</x:f>
        <x:v>Encerrado</x:v>
      </x:c>
      <x:c r="K767" s="141" t="n">
        <x:f>IF(C767&gt;0,C767/(1+$B$9)^A767,0)</x:f>
        <x:v>0</x:v>
      </x:c>
    </x:row>
    <x:row r="768">
      <x:c r="A768" s="142" t="n">
        <x:v>714</x:v>
      </x:c>
      <x:c r="B768" s="179" t="n">
        <x:f>EDATE($B$5,A768-1)</x:f>
        <x:v>68242</x:v>
      </x:c>
      <x:c r="C768" s="141" t="n">
        <x:f>IF(AND($B$22="Sim",A768&gt;=$B$23,A768&lt;$B$23+$B$31),$B$32*D768,0)</x:f>
        <x:v>0</x:v>
      </x:c>
      <x:c r="D768" s="180" t="n">
        <x:f>IF(A768&lt;$B$23,1,(1+$B$33)^INT((A768-$B$23)/12))</x:f>
        <x:v>31.12046306918162</x:v>
      </x:c>
      <x:c r="E768" s="141" t="n">
        <x:f>IF(AND($B$22="Sim",A768=$B$23),$B$37,0)</x:f>
        <x:v>0</x:v>
      </x:c>
      <x:c r="F768" s="141" t="n">
        <x:f>IF(AND($B$22="Sim",A768=$B$24),$B$27,0)</x:f>
        <x:v>0</x:v>
      </x:c>
      <x:c r="G768" s="141" t="n">
        <x:f>IF(AND($B$22="Sim",A768=$B$23),$B$35,0)</x:f>
        <x:v>0</x:v>
      </x:c>
      <x:c r="H768" s="141" t="n">
        <x:f>IF(AND($B$22="Sim",A768=$B$23),$B$36,0)</x:f>
        <x:v>0</x:v>
      </x:c>
      <x:c r="I768" s="141" t="n">
        <x:f>IF(OR($B$22&lt;&gt;"Sim",A768&gt;=$B$23+$B$31-1),0,(I769+C769)/(1+$B$9))</x:f>
        <x:v>0</x:v>
      </x:c>
      <x:c r="J768" s="140" t="str">
        <x:f>IF($B$22&lt;&gt;"Sim","Desativada",IF(A768&lt;$B$23,"Antes da compra",IF(A768&lt;$B$23+$B$31,"Parcelas restantes","Encerrado")))</x:f>
        <x:v>Encerrado</x:v>
      </x:c>
      <x:c r="K768" s="141" t="n">
        <x:f>IF(C768&gt;0,C768/(1+$B$9)^A768,0)</x:f>
        <x:v>0</x:v>
      </x:c>
    </x:row>
    <x:row r="769">
      <x:c r="A769" s="142" t="n">
        <x:v>715</x:v>
      </x:c>
      <x:c r="B769" s="179" t="n">
        <x:f>EDATE($B$5,A769-1)</x:f>
        <x:v>68272</x:v>
      </x:c>
      <x:c r="C769" s="141" t="n">
        <x:f>IF(AND($B$22="Sim",A769&gt;=$B$23,A769&lt;$B$23+$B$31),$B$32*D769,0)</x:f>
        <x:v>0</x:v>
      </x:c>
      <x:c r="D769" s="180" t="n">
        <x:f>IF(A769&lt;$B$23,1,(1+$B$33)^INT((A769-$B$23)/12))</x:f>
        <x:v>31.12046306918162</x:v>
      </x:c>
      <x:c r="E769" s="141" t="n">
        <x:f>IF(AND($B$22="Sim",A769=$B$23),$B$37,0)</x:f>
        <x:v>0</x:v>
      </x:c>
      <x:c r="F769" s="141" t="n">
        <x:f>IF(AND($B$22="Sim",A769=$B$24),$B$27,0)</x:f>
        <x:v>0</x:v>
      </x:c>
      <x:c r="G769" s="141" t="n">
        <x:f>IF(AND($B$22="Sim",A769=$B$23),$B$35,0)</x:f>
        <x:v>0</x:v>
      </x:c>
      <x:c r="H769" s="141" t="n">
        <x:f>IF(AND($B$22="Sim",A769=$B$23),$B$36,0)</x:f>
        <x:v>0</x:v>
      </x:c>
      <x:c r="I769" s="141" t="n">
        <x:f>IF(OR($B$22&lt;&gt;"Sim",A769&gt;=$B$23+$B$31-1),0,(I770+C770)/(1+$B$9))</x:f>
        <x:v>0</x:v>
      </x:c>
      <x:c r="J769" s="140" t="str">
        <x:f>IF($B$22&lt;&gt;"Sim","Desativada",IF(A769&lt;$B$23,"Antes da compra",IF(A769&lt;$B$23+$B$31,"Parcelas restantes","Encerrado")))</x:f>
        <x:v>Encerrado</x:v>
      </x:c>
      <x:c r="K769" s="141" t="n">
        <x:f>IF(C769&gt;0,C769/(1+$B$9)^A769,0)</x:f>
        <x:v>0</x:v>
      </x:c>
    </x:row>
    <x:row r="770">
      <x:c r="A770" s="142" t="n">
        <x:v>716</x:v>
      </x:c>
      <x:c r="B770" s="179" t="n">
        <x:f>EDATE($B$5,A770-1)</x:f>
        <x:v>68303</x:v>
      </x:c>
      <x:c r="C770" s="141" t="n">
        <x:f>IF(AND($B$22="Sim",A770&gt;=$B$23,A770&lt;$B$23+$B$31),$B$32*D770,0)</x:f>
        <x:v>0</x:v>
      </x:c>
      <x:c r="D770" s="180" t="n">
        <x:f>IF(A770&lt;$B$23,1,(1+$B$33)^INT((A770-$B$23)/12))</x:f>
        <x:v>31.12046306918162</x:v>
      </x:c>
      <x:c r="E770" s="141" t="n">
        <x:f>IF(AND($B$22="Sim",A770=$B$23),$B$37,0)</x:f>
        <x:v>0</x:v>
      </x:c>
      <x:c r="F770" s="141" t="n">
        <x:f>IF(AND($B$22="Sim",A770=$B$24),$B$27,0)</x:f>
        <x:v>0</x:v>
      </x:c>
      <x:c r="G770" s="141" t="n">
        <x:f>IF(AND($B$22="Sim",A770=$B$23),$B$35,0)</x:f>
        <x:v>0</x:v>
      </x:c>
      <x:c r="H770" s="141" t="n">
        <x:f>IF(AND($B$22="Sim",A770=$B$23),$B$36,0)</x:f>
        <x:v>0</x:v>
      </x:c>
      <x:c r="I770" s="141" t="n">
        <x:f>IF(OR($B$22&lt;&gt;"Sim",A770&gt;=$B$23+$B$31-1),0,(I771+C771)/(1+$B$9))</x:f>
        <x:v>0</x:v>
      </x:c>
      <x:c r="J770" s="140" t="str">
        <x:f>IF($B$22&lt;&gt;"Sim","Desativada",IF(A770&lt;$B$23,"Antes da compra",IF(A770&lt;$B$23+$B$31,"Parcelas restantes","Encerrado")))</x:f>
        <x:v>Encerrado</x:v>
      </x:c>
      <x:c r="K770" s="141" t="n">
        <x:f>IF(C770&gt;0,C770/(1+$B$9)^A770,0)</x:f>
        <x:v>0</x:v>
      </x:c>
    </x:row>
    <x:row r="771">
      <x:c r="A771" s="142" t="n">
        <x:v>717</x:v>
      </x:c>
      <x:c r="B771" s="179" t="n">
        <x:f>EDATE($B$5,A771-1)</x:f>
        <x:v>68334</x:v>
      </x:c>
      <x:c r="C771" s="141" t="n">
        <x:f>IF(AND($B$22="Sim",A771&gt;=$B$23,A771&lt;$B$23+$B$31),$B$32*D771,0)</x:f>
        <x:v>0</x:v>
      </x:c>
      <x:c r="D771" s="180" t="n">
        <x:f>IF(A771&lt;$B$23,1,(1+$B$33)^INT((A771-$B$23)/12))</x:f>
        <x:v>31.12046306918162</x:v>
      </x:c>
      <x:c r="E771" s="141" t="n">
        <x:f>IF(AND($B$22="Sim",A771=$B$23),$B$37,0)</x:f>
        <x:v>0</x:v>
      </x:c>
      <x:c r="F771" s="141" t="n">
        <x:f>IF(AND($B$22="Sim",A771=$B$24),$B$27,0)</x:f>
        <x:v>0</x:v>
      </x:c>
      <x:c r="G771" s="141" t="n">
        <x:f>IF(AND($B$22="Sim",A771=$B$23),$B$35,0)</x:f>
        <x:v>0</x:v>
      </x:c>
      <x:c r="H771" s="141" t="n">
        <x:f>IF(AND($B$22="Sim",A771=$B$23),$B$36,0)</x:f>
        <x:v>0</x:v>
      </x:c>
      <x:c r="I771" s="141" t="n">
        <x:f>IF(OR($B$22&lt;&gt;"Sim",A771&gt;=$B$23+$B$31-1),0,(I772+C772)/(1+$B$9))</x:f>
        <x:v>0</x:v>
      </x:c>
      <x:c r="J771" s="140" t="str">
        <x:f>IF($B$22&lt;&gt;"Sim","Desativada",IF(A771&lt;$B$23,"Antes da compra",IF(A771&lt;$B$23+$B$31,"Parcelas restantes","Encerrado")))</x:f>
        <x:v>Encerrado</x:v>
      </x:c>
      <x:c r="K771" s="141" t="n">
        <x:f>IF(C771&gt;0,C771/(1+$B$9)^A771,0)</x:f>
        <x:v>0</x:v>
      </x:c>
    </x:row>
    <x:row r="772">
      <x:c r="A772" s="142" t="n">
        <x:v>718</x:v>
      </x:c>
      <x:c r="B772" s="179" t="n">
        <x:f>EDATE($B$5,A772-1)</x:f>
        <x:v>68362</x:v>
      </x:c>
      <x:c r="C772" s="141" t="n">
        <x:f>IF(AND($B$22="Sim",A772&gt;=$B$23,A772&lt;$B$23+$B$31),$B$32*D772,0)</x:f>
        <x:v>0</x:v>
      </x:c>
      <x:c r="D772" s="180" t="n">
        <x:f>IF(A772&lt;$B$23,1,(1+$B$33)^INT((A772-$B$23)/12))</x:f>
        <x:v>31.12046306918162</x:v>
      </x:c>
      <x:c r="E772" s="141" t="n">
        <x:f>IF(AND($B$22="Sim",A772=$B$23),$B$37,0)</x:f>
        <x:v>0</x:v>
      </x:c>
      <x:c r="F772" s="141" t="n">
        <x:f>IF(AND($B$22="Sim",A772=$B$24),$B$27,0)</x:f>
        <x:v>0</x:v>
      </x:c>
      <x:c r="G772" s="141" t="n">
        <x:f>IF(AND($B$22="Sim",A772=$B$23),$B$35,0)</x:f>
        <x:v>0</x:v>
      </x:c>
      <x:c r="H772" s="141" t="n">
        <x:f>IF(AND($B$22="Sim",A772=$B$23),$B$36,0)</x:f>
        <x:v>0</x:v>
      </x:c>
      <x:c r="I772" s="141" t="n">
        <x:f>IF(OR($B$22&lt;&gt;"Sim",A772&gt;=$B$23+$B$31-1),0,(I773+C773)/(1+$B$9))</x:f>
        <x:v>0</x:v>
      </x:c>
      <x:c r="J772" s="140" t="str">
        <x:f>IF($B$22&lt;&gt;"Sim","Desativada",IF(A772&lt;$B$23,"Antes da compra",IF(A772&lt;$B$23+$B$31,"Parcelas restantes","Encerrado")))</x:f>
        <x:v>Encerrado</x:v>
      </x:c>
      <x:c r="K772" s="141" t="n">
        <x:f>IF(C772&gt;0,C772/(1+$B$9)^A772,0)</x:f>
        <x:v>0</x:v>
      </x:c>
    </x:row>
    <x:row r="773">
      <x:c r="A773" s="142" t="n">
        <x:v>719</x:v>
      </x:c>
      <x:c r="B773" s="179" t="n">
        <x:f>EDATE($B$5,A773-1)</x:f>
        <x:v>68393</x:v>
      </x:c>
      <x:c r="C773" s="141" t="n">
        <x:f>IF(AND($B$22="Sim",A773&gt;=$B$23,A773&lt;$B$23+$B$31),$B$32*D773,0)</x:f>
        <x:v>0</x:v>
      </x:c>
      <x:c r="D773" s="180" t="n">
        <x:f>IF(A773&lt;$B$23,1,(1+$B$33)^INT((A773-$B$23)/12))</x:f>
        <x:v>31.12046306918162</x:v>
      </x:c>
      <x:c r="E773" s="141" t="n">
        <x:f>IF(AND($B$22="Sim",A773=$B$23),$B$37,0)</x:f>
        <x:v>0</x:v>
      </x:c>
      <x:c r="F773" s="141" t="n">
        <x:f>IF(AND($B$22="Sim",A773=$B$24),$B$27,0)</x:f>
        <x:v>0</x:v>
      </x:c>
      <x:c r="G773" s="141" t="n">
        <x:f>IF(AND($B$22="Sim",A773=$B$23),$B$35,0)</x:f>
        <x:v>0</x:v>
      </x:c>
      <x:c r="H773" s="141" t="n">
        <x:f>IF(AND($B$22="Sim",A773=$B$23),$B$36,0)</x:f>
        <x:v>0</x:v>
      </x:c>
      <x:c r="I773" s="141" t="n">
        <x:f>IF(OR($B$22&lt;&gt;"Sim",A773&gt;=$B$23+$B$31-1),0,(I774+C774)/(1+$B$9))</x:f>
        <x:v>0</x:v>
      </x:c>
      <x:c r="J773" s="140" t="str">
        <x:f>IF($B$22&lt;&gt;"Sim","Desativada",IF(A773&lt;$B$23,"Antes da compra",IF(A773&lt;$B$23+$B$31,"Parcelas restantes","Encerrado")))</x:f>
        <x:v>Encerrado</x:v>
      </x:c>
      <x:c r="K773" s="141" t="n">
        <x:f>IF(C773&gt;0,C773/(1+$B$9)^A773,0)</x:f>
        <x:v>0</x:v>
      </x:c>
    </x:row>
    <x:row r="774">
      <x:c r="A774" s="142" t="n">
        <x:v>720</x:v>
      </x:c>
      <x:c r="B774" s="179" t="n">
        <x:f>EDATE($B$5,A774-1)</x:f>
        <x:v>68423</x:v>
      </x:c>
      <x:c r="C774" s="141" t="n">
        <x:f>IF(AND($B$22="Sim",A774&gt;=$B$23,A774&lt;$B$23+$B$31),$B$32*D774,0)</x:f>
        <x:v>0</x:v>
      </x:c>
      <x:c r="D774" s="180" t="n">
        <x:f>IF(A774&lt;$B$23,1,(1+$B$33)^INT((A774-$B$23)/12))</x:f>
        <x:v>31.12046306918162</x:v>
      </x:c>
      <x:c r="E774" s="141" t="n">
        <x:f>IF(AND($B$22="Sim",A774=$B$23),$B$37,0)</x:f>
        <x:v>0</x:v>
      </x:c>
      <x:c r="F774" s="141" t="n">
        <x:f>IF(AND($B$22="Sim",A774=$B$24),$B$27,0)</x:f>
        <x:v>0</x:v>
      </x:c>
      <x:c r="G774" s="141" t="n">
        <x:f>IF(AND($B$22="Sim",A774=$B$23),$B$35,0)</x:f>
        <x:v>0</x:v>
      </x:c>
      <x:c r="H774" s="141" t="n">
        <x:f>IF(AND($B$22="Sim",A774=$B$23),$B$36,0)</x:f>
        <x:v>0</x:v>
      </x:c>
      <x:c r="I774" s="141" t="n">
        <x:f>IF(OR($B$22&lt;&gt;"Sim",A774&gt;=$B$23+$B$31-1),0,(I775+C775)/(1+$B$9))</x:f>
        <x:v>0</x:v>
      </x:c>
      <x:c r="J774" s="140" t="str">
        <x:f>IF($B$22&lt;&gt;"Sim","Desativada",IF(A774&lt;$B$23,"Antes da compra",IF(A774&lt;$B$23+$B$31,"Parcelas restantes","Encerrado")))</x:f>
        <x:v>Encerrado</x:v>
      </x:c>
      <x:c r="K774" s="141" t="n">
        <x:f>IF(C774&gt;0,C774/(1+$B$9)^A774,0)</x:f>
        <x:v>0</x:v>
      </x:c>
    </x:row>
    <x:row r="775">
      <x:c r="A775" s="142" t="n">
        <x:v>721</x:v>
      </x:c>
      <x:c r="B775" s="179" t="n">
        <x:f>EDATE($B$5,A775-1)</x:f>
        <x:v>68454</x:v>
      </x:c>
      <x:c r="C775" s="141" t="n">
        <x:f>IF(AND($B$22="Sim",A775&gt;=$B$23,A775&lt;$B$23+$B$31),$B$32*D775,0)</x:f>
        <x:v>0</x:v>
      </x:c>
      <x:c r="D775" s="180" t="n">
        <x:f>IF(A775&lt;$B$23,1,(1+$B$33)^INT((A775-$B$23)/12))</x:f>
        <x:v>32.98769085333252</x:v>
      </x:c>
      <x:c r="E775" s="141" t="n">
        <x:f>IF(AND($B$22="Sim",A775=$B$23),$B$37,0)</x:f>
        <x:v>0</x:v>
      </x:c>
      <x:c r="F775" s="141" t="n">
        <x:f>IF(AND($B$22="Sim",A775=$B$24),$B$27,0)</x:f>
        <x:v>0</x:v>
      </x:c>
      <x:c r="G775" s="141" t="n">
        <x:f>IF(AND($B$22="Sim",A775=$B$23),$B$35,0)</x:f>
        <x:v>0</x:v>
      </x:c>
      <x:c r="H775" s="141" t="n">
        <x:f>IF(AND($B$22="Sim",A775=$B$23),$B$36,0)</x:f>
        <x:v>0</x:v>
      </x:c>
      <x:c r="I775" s="141" t="n">
        <x:f>IF(OR($B$22&lt;&gt;"Sim",A775&gt;=$B$23+$B$31-1),0,(I776+C776)/(1+$B$9))</x:f>
        <x:v>0</x:v>
      </x:c>
      <x:c r="J775" s="140" t="str">
        <x:f>IF($B$22&lt;&gt;"Sim","Desativada",IF(A775&lt;$B$23,"Antes da compra",IF(A775&lt;$B$23+$B$31,"Parcelas restantes","Encerrado")))</x:f>
        <x:v>Encerrado</x:v>
      </x:c>
      <x:c r="K775" s="141" t="n">
        <x:f>IF(C775&gt;0,C775/(1+$B$9)^A775,0)</x:f>
        <x:v>0</x:v>
      </x:c>
    </x:row>
    <x:row r="776">
      <x:c r="A776" s="142" t="n">
        <x:v>722</x:v>
      </x:c>
      <x:c r="B776" s="179" t="n">
        <x:f>EDATE($B$5,A776-1)</x:f>
        <x:v>68484</x:v>
      </x:c>
      <x:c r="C776" s="141" t="n">
        <x:f>IF(AND($B$22="Sim",A776&gt;=$B$23,A776&lt;$B$23+$B$31),$B$32*D776,0)</x:f>
        <x:v>0</x:v>
      </x:c>
      <x:c r="D776" s="180" t="n">
        <x:f>IF(A776&lt;$B$23,1,(1+$B$33)^INT((A776-$B$23)/12))</x:f>
        <x:v>32.98769085333252</x:v>
      </x:c>
      <x:c r="E776" s="141" t="n">
        <x:f>IF(AND($B$22="Sim",A776=$B$23),$B$37,0)</x:f>
        <x:v>0</x:v>
      </x:c>
      <x:c r="F776" s="141" t="n">
        <x:f>IF(AND($B$22="Sim",A776=$B$24),$B$27,0)</x:f>
        <x:v>0</x:v>
      </x:c>
      <x:c r="G776" s="141" t="n">
        <x:f>IF(AND($B$22="Sim",A776=$B$23),$B$35,0)</x:f>
        <x:v>0</x:v>
      </x:c>
      <x:c r="H776" s="141" t="n">
        <x:f>IF(AND($B$22="Sim",A776=$B$23),$B$36,0)</x:f>
        <x:v>0</x:v>
      </x:c>
      <x:c r="I776" s="141" t="n">
        <x:f>IF(OR($B$22&lt;&gt;"Sim",A776&gt;=$B$23+$B$31-1),0,(I777+C777)/(1+$B$9))</x:f>
        <x:v>0</x:v>
      </x:c>
      <x:c r="J776" s="140" t="str">
        <x:f>IF($B$22&lt;&gt;"Sim","Desativada",IF(A776&lt;$B$23,"Antes da compra",IF(A776&lt;$B$23+$B$31,"Parcelas restantes","Encerrado")))</x:f>
        <x:v>Encerrado</x:v>
      </x:c>
      <x:c r="K776" s="141" t="n">
        <x:f>IF(C776&gt;0,C776/(1+$B$9)^A776,0)</x:f>
        <x:v>0</x:v>
      </x:c>
    </x:row>
    <x:row r="777">
      <x:c r="A777" s="142" t="n">
        <x:v>723</x:v>
      </x:c>
      <x:c r="B777" s="179" t="n">
        <x:f>EDATE($B$5,A777-1)</x:f>
        <x:v>68515</x:v>
      </x:c>
      <x:c r="C777" s="141" t="n">
        <x:f>IF(AND($B$22="Sim",A777&gt;=$B$23,A777&lt;$B$23+$B$31),$B$32*D777,0)</x:f>
        <x:v>0</x:v>
      </x:c>
      <x:c r="D777" s="180" t="n">
        <x:f>IF(A777&lt;$B$23,1,(1+$B$33)^INT((A777-$B$23)/12))</x:f>
        <x:v>32.98769085333252</x:v>
      </x:c>
      <x:c r="E777" s="141" t="n">
        <x:f>IF(AND($B$22="Sim",A777=$B$23),$B$37,0)</x:f>
        <x:v>0</x:v>
      </x:c>
      <x:c r="F777" s="141" t="n">
        <x:f>IF(AND($B$22="Sim",A777=$B$24),$B$27,0)</x:f>
        <x:v>0</x:v>
      </x:c>
      <x:c r="G777" s="141" t="n">
        <x:f>IF(AND($B$22="Sim",A777=$B$23),$B$35,0)</x:f>
        <x:v>0</x:v>
      </x:c>
      <x:c r="H777" s="141" t="n">
        <x:f>IF(AND($B$22="Sim",A777=$B$23),$B$36,0)</x:f>
        <x:v>0</x:v>
      </x:c>
      <x:c r="I777" s="141" t="n">
        <x:f>IF(OR($B$22&lt;&gt;"Sim",A777&gt;=$B$23+$B$31-1),0,(I778+C778)/(1+$B$9))</x:f>
        <x:v>0</x:v>
      </x:c>
      <x:c r="J777" s="140" t="str">
        <x:f>IF($B$22&lt;&gt;"Sim","Desativada",IF(A777&lt;$B$23,"Antes da compra",IF(A777&lt;$B$23+$B$31,"Parcelas restantes","Encerrado")))</x:f>
        <x:v>Encerrado</x:v>
      </x:c>
      <x:c r="K777" s="141" t="n">
        <x:f>IF(C777&gt;0,C777/(1+$B$9)^A777,0)</x:f>
        <x:v>0</x:v>
      </x:c>
    </x:row>
    <x:row r="778">
      <x:c r="A778" s="142" t="n">
        <x:v>724</x:v>
      </x:c>
      <x:c r="B778" s="179" t="n">
        <x:f>EDATE($B$5,A778-1)</x:f>
        <x:v>68546</x:v>
      </x:c>
      <x:c r="C778" s="141" t="n">
        <x:f>IF(AND($B$22="Sim",A778&gt;=$B$23,A778&lt;$B$23+$B$31),$B$32*D778,0)</x:f>
        <x:v>0</x:v>
      </x:c>
      <x:c r="D778" s="180" t="n">
        <x:f>IF(A778&lt;$B$23,1,(1+$B$33)^INT((A778-$B$23)/12))</x:f>
        <x:v>32.98769085333252</x:v>
      </x:c>
      <x:c r="E778" s="141" t="n">
        <x:f>IF(AND($B$22="Sim",A778=$B$23),$B$37,0)</x:f>
        <x:v>0</x:v>
      </x:c>
      <x:c r="F778" s="141" t="n">
        <x:f>IF(AND($B$22="Sim",A778=$B$24),$B$27,0)</x:f>
        <x:v>0</x:v>
      </x:c>
      <x:c r="G778" s="141" t="n">
        <x:f>IF(AND($B$22="Sim",A778=$B$23),$B$35,0)</x:f>
        <x:v>0</x:v>
      </x:c>
      <x:c r="H778" s="141" t="n">
        <x:f>IF(AND($B$22="Sim",A778=$B$23),$B$36,0)</x:f>
        <x:v>0</x:v>
      </x:c>
      <x:c r="I778" s="141" t="n">
        <x:f>IF(OR($B$22&lt;&gt;"Sim",A778&gt;=$B$23+$B$31-1),0,(I779+C779)/(1+$B$9))</x:f>
        <x:v>0</x:v>
      </x:c>
      <x:c r="J778" s="140" t="str">
        <x:f>IF($B$22&lt;&gt;"Sim","Desativada",IF(A778&lt;$B$23,"Antes da compra",IF(A778&lt;$B$23+$B$31,"Parcelas restantes","Encerrado")))</x:f>
        <x:v>Encerrado</x:v>
      </x:c>
      <x:c r="K778" s="141" t="n">
        <x:f>IF(C778&gt;0,C778/(1+$B$9)^A778,0)</x:f>
        <x:v>0</x:v>
      </x:c>
    </x:row>
    <x:row r="779">
      <x:c r="A779" s="142" t="n">
        <x:v>725</x:v>
      </x:c>
      <x:c r="B779" s="179" t="n">
        <x:f>EDATE($B$5,A779-1)</x:f>
        <x:v>68576</x:v>
      </x:c>
      <x:c r="C779" s="141" t="n">
        <x:f>IF(AND($B$22="Sim",A779&gt;=$B$23,A779&lt;$B$23+$B$31),$B$32*D779,0)</x:f>
        <x:v>0</x:v>
      </x:c>
      <x:c r="D779" s="180" t="n">
        <x:f>IF(A779&lt;$B$23,1,(1+$B$33)^INT((A779-$B$23)/12))</x:f>
        <x:v>32.98769085333252</x:v>
      </x:c>
      <x:c r="E779" s="141" t="n">
        <x:f>IF(AND($B$22="Sim",A779=$B$23),$B$37,0)</x:f>
        <x:v>0</x:v>
      </x:c>
      <x:c r="F779" s="141" t="n">
        <x:f>IF(AND($B$22="Sim",A779=$B$24),$B$27,0)</x:f>
        <x:v>0</x:v>
      </x:c>
      <x:c r="G779" s="141" t="n">
        <x:f>IF(AND($B$22="Sim",A779=$B$23),$B$35,0)</x:f>
        <x:v>0</x:v>
      </x:c>
      <x:c r="H779" s="141" t="n">
        <x:f>IF(AND($B$22="Sim",A779=$B$23),$B$36,0)</x:f>
        <x:v>0</x:v>
      </x:c>
      <x:c r="I779" s="141" t="n">
        <x:f>IF(OR($B$22&lt;&gt;"Sim",A779&gt;=$B$23+$B$31-1),0,(I780+C780)/(1+$B$9))</x:f>
        <x:v>0</x:v>
      </x:c>
      <x:c r="J779" s="140" t="str">
        <x:f>IF($B$22&lt;&gt;"Sim","Desativada",IF(A779&lt;$B$23,"Antes da compra",IF(A779&lt;$B$23+$B$31,"Parcelas restantes","Encerrado")))</x:f>
        <x:v>Encerrado</x:v>
      </x:c>
      <x:c r="K779" s="141" t="n">
        <x:f>IF(C779&gt;0,C779/(1+$B$9)^A779,0)</x:f>
        <x:v>0</x:v>
      </x:c>
    </x:row>
    <x:row r="780">
      <x:c r="A780" s="142" t="n">
        <x:v>726</x:v>
      </x:c>
      <x:c r="B780" s="179" t="n">
        <x:f>EDATE($B$5,A780-1)</x:f>
        <x:v>68607</x:v>
      </x:c>
      <x:c r="C780" s="141" t="n">
        <x:f>IF(AND($B$22="Sim",A780&gt;=$B$23,A780&lt;$B$23+$B$31),$B$32*D780,0)</x:f>
        <x:v>0</x:v>
      </x:c>
      <x:c r="D780" s="180" t="n">
        <x:f>IF(A780&lt;$B$23,1,(1+$B$33)^INT((A780-$B$23)/12))</x:f>
        <x:v>32.98769085333252</x:v>
      </x:c>
      <x:c r="E780" s="141" t="n">
        <x:f>IF(AND($B$22="Sim",A780=$B$23),$B$37,0)</x:f>
        <x:v>0</x:v>
      </x:c>
      <x:c r="F780" s="141" t="n">
        <x:f>IF(AND($B$22="Sim",A780=$B$24),$B$27,0)</x:f>
        <x:v>0</x:v>
      </x:c>
      <x:c r="G780" s="141" t="n">
        <x:f>IF(AND($B$22="Sim",A780=$B$23),$B$35,0)</x:f>
        <x:v>0</x:v>
      </x:c>
      <x:c r="H780" s="141" t="n">
        <x:f>IF(AND($B$22="Sim",A780=$B$23),$B$36,0)</x:f>
        <x:v>0</x:v>
      </x:c>
      <x:c r="I780" s="141" t="n">
        <x:f>IF(OR($B$22&lt;&gt;"Sim",A780&gt;=$B$23+$B$31-1),0,(I781+C781)/(1+$B$9))</x:f>
        <x:v>0</x:v>
      </x:c>
      <x:c r="J780" s="140" t="str">
        <x:f>IF($B$22&lt;&gt;"Sim","Desativada",IF(A780&lt;$B$23,"Antes da compra",IF(A780&lt;$B$23+$B$31,"Parcelas restantes","Encerrado")))</x:f>
        <x:v>Encerrado</x:v>
      </x:c>
      <x:c r="K780" s="141" t="n">
        <x:f>IF(C780&gt;0,C780/(1+$B$9)^A780,0)</x:f>
        <x:v>0</x:v>
      </x:c>
    </x:row>
    <x:row r="781">
      <x:c r="A781" s="142" t="n">
        <x:v>727</x:v>
      </x:c>
      <x:c r="B781" s="179" t="n">
        <x:f>EDATE($B$5,A781-1)</x:f>
        <x:v>68637</x:v>
      </x:c>
      <x:c r="C781" s="141" t="n">
        <x:f>IF(AND($B$22="Sim",A781&gt;=$B$23,A781&lt;$B$23+$B$31),$B$32*D781,0)</x:f>
        <x:v>0</x:v>
      </x:c>
      <x:c r="D781" s="180" t="n">
        <x:f>IF(A781&lt;$B$23,1,(1+$B$33)^INT((A781-$B$23)/12))</x:f>
        <x:v>32.98769085333252</x:v>
      </x:c>
      <x:c r="E781" s="141" t="n">
        <x:f>IF(AND($B$22="Sim",A781=$B$23),$B$37,0)</x:f>
        <x:v>0</x:v>
      </x:c>
      <x:c r="F781" s="141" t="n">
        <x:f>IF(AND($B$22="Sim",A781=$B$24),$B$27,0)</x:f>
        <x:v>0</x:v>
      </x:c>
      <x:c r="G781" s="141" t="n">
        <x:f>IF(AND($B$22="Sim",A781=$B$23),$B$35,0)</x:f>
        <x:v>0</x:v>
      </x:c>
      <x:c r="H781" s="141" t="n">
        <x:f>IF(AND($B$22="Sim",A781=$B$23),$B$36,0)</x:f>
        <x:v>0</x:v>
      </x:c>
      <x:c r="I781" s="141" t="n">
        <x:f>IF(OR($B$22&lt;&gt;"Sim",A781&gt;=$B$23+$B$31-1),0,(I782+C782)/(1+$B$9))</x:f>
        <x:v>0</x:v>
      </x:c>
      <x:c r="J781" s="140" t="str">
        <x:f>IF($B$22&lt;&gt;"Sim","Desativada",IF(A781&lt;$B$23,"Antes da compra",IF(A781&lt;$B$23+$B$31,"Parcelas restantes","Encerrado")))</x:f>
        <x:v>Encerrado</x:v>
      </x:c>
      <x:c r="K781" s="141" t="n">
        <x:f>IF(C781&gt;0,C781/(1+$B$9)^A781,0)</x:f>
        <x:v>0</x:v>
      </x:c>
    </x:row>
    <x:row r="782">
      <x:c r="A782" s="142" t="n">
        <x:v>728</x:v>
      </x:c>
      <x:c r="B782" s="179" t="n">
        <x:f>EDATE($B$5,A782-1)</x:f>
        <x:v>68668</x:v>
      </x:c>
      <x:c r="C782" s="141" t="n">
        <x:f>IF(AND($B$22="Sim",A782&gt;=$B$23,A782&lt;$B$23+$B$31),$B$32*D782,0)</x:f>
        <x:v>0</x:v>
      </x:c>
      <x:c r="D782" s="180" t="n">
        <x:f>IF(A782&lt;$B$23,1,(1+$B$33)^INT((A782-$B$23)/12))</x:f>
        <x:v>32.98769085333252</x:v>
      </x:c>
      <x:c r="E782" s="141" t="n">
        <x:f>IF(AND($B$22="Sim",A782=$B$23),$B$37,0)</x:f>
        <x:v>0</x:v>
      </x:c>
      <x:c r="F782" s="141" t="n">
        <x:f>IF(AND($B$22="Sim",A782=$B$24),$B$27,0)</x:f>
        <x:v>0</x:v>
      </x:c>
      <x:c r="G782" s="141" t="n">
        <x:f>IF(AND($B$22="Sim",A782=$B$23),$B$35,0)</x:f>
        <x:v>0</x:v>
      </x:c>
      <x:c r="H782" s="141" t="n">
        <x:f>IF(AND($B$22="Sim",A782=$B$23),$B$36,0)</x:f>
        <x:v>0</x:v>
      </x:c>
      <x:c r="I782" s="141" t="n">
        <x:f>IF(OR($B$22&lt;&gt;"Sim",A782&gt;=$B$23+$B$31-1),0,(I783+C783)/(1+$B$9))</x:f>
        <x:v>0</x:v>
      </x:c>
      <x:c r="J782" s="140" t="str">
        <x:f>IF($B$22&lt;&gt;"Sim","Desativada",IF(A782&lt;$B$23,"Antes da compra",IF(A782&lt;$B$23+$B$31,"Parcelas restantes","Encerrado")))</x:f>
        <x:v>Encerrado</x:v>
      </x:c>
      <x:c r="K782" s="141" t="n">
        <x:f>IF(C782&gt;0,C782/(1+$B$9)^A782,0)</x:f>
        <x:v>0</x:v>
      </x:c>
    </x:row>
    <x:row r="783">
      <x:c r="A783" s="142" t="n">
        <x:v>729</x:v>
      </x:c>
      <x:c r="B783" s="179" t="n">
        <x:f>EDATE($B$5,A783-1)</x:f>
        <x:v>68699</x:v>
      </x:c>
      <x:c r="C783" s="141" t="n">
        <x:f>IF(AND($B$22="Sim",A783&gt;=$B$23,A783&lt;$B$23+$B$31),$B$32*D783,0)</x:f>
        <x:v>0</x:v>
      </x:c>
      <x:c r="D783" s="180" t="n">
        <x:f>IF(A783&lt;$B$23,1,(1+$B$33)^INT((A783-$B$23)/12))</x:f>
        <x:v>32.98769085333252</x:v>
      </x:c>
      <x:c r="E783" s="141" t="n">
        <x:f>IF(AND($B$22="Sim",A783=$B$23),$B$37,0)</x:f>
        <x:v>0</x:v>
      </x:c>
      <x:c r="F783" s="141" t="n">
        <x:f>IF(AND($B$22="Sim",A783=$B$24),$B$27,0)</x:f>
        <x:v>0</x:v>
      </x:c>
      <x:c r="G783" s="141" t="n">
        <x:f>IF(AND($B$22="Sim",A783=$B$23),$B$35,0)</x:f>
        <x:v>0</x:v>
      </x:c>
      <x:c r="H783" s="141" t="n">
        <x:f>IF(AND($B$22="Sim",A783=$B$23),$B$36,0)</x:f>
        <x:v>0</x:v>
      </x:c>
      <x:c r="I783" s="141" t="n">
        <x:f>IF(OR($B$22&lt;&gt;"Sim",A783&gt;=$B$23+$B$31-1),0,(I784+C784)/(1+$B$9))</x:f>
        <x:v>0</x:v>
      </x:c>
      <x:c r="J783" s="140" t="str">
        <x:f>IF($B$22&lt;&gt;"Sim","Desativada",IF(A783&lt;$B$23,"Antes da compra",IF(A783&lt;$B$23+$B$31,"Parcelas restantes","Encerrado")))</x:f>
        <x:v>Encerrado</x:v>
      </x:c>
      <x:c r="K783" s="141" t="n">
        <x:f>IF(C783&gt;0,C783/(1+$B$9)^A783,0)</x:f>
        <x:v>0</x:v>
      </x:c>
    </x:row>
    <x:row r="784">
      <x:c r="A784" s="142" t="n">
        <x:v>730</x:v>
      </x:c>
      <x:c r="B784" s="179" t="n">
        <x:f>EDATE($B$5,A784-1)</x:f>
        <x:v>68728</x:v>
      </x:c>
      <x:c r="C784" s="141" t="n">
        <x:f>IF(AND($B$22="Sim",A784&gt;=$B$23,A784&lt;$B$23+$B$31),$B$32*D784,0)</x:f>
        <x:v>0</x:v>
      </x:c>
      <x:c r="D784" s="180" t="n">
        <x:f>IF(A784&lt;$B$23,1,(1+$B$33)^INT((A784-$B$23)/12))</x:f>
        <x:v>32.98769085333252</x:v>
      </x:c>
      <x:c r="E784" s="141" t="n">
        <x:f>IF(AND($B$22="Sim",A784=$B$23),$B$37,0)</x:f>
        <x:v>0</x:v>
      </x:c>
      <x:c r="F784" s="141" t="n">
        <x:f>IF(AND($B$22="Sim",A784=$B$24),$B$27,0)</x:f>
        <x:v>0</x:v>
      </x:c>
      <x:c r="G784" s="141" t="n">
        <x:f>IF(AND($B$22="Sim",A784=$B$23),$B$35,0)</x:f>
        <x:v>0</x:v>
      </x:c>
      <x:c r="H784" s="141" t="n">
        <x:f>IF(AND($B$22="Sim",A784=$B$23),$B$36,0)</x:f>
        <x:v>0</x:v>
      </x:c>
      <x:c r="I784" s="141" t="n">
        <x:f>IF(OR($B$22&lt;&gt;"Sim",A784&gt;=$B$23+$B$31-1),0,(I785+C785)/(1+$B$9))</x:f>
        <x:v>0</x:v>
      </x:c>
      <x:c r="J784" s="140" t="str">
        <x:f>IF($B$22&lt;&gt;"Sim","Desativada",IF(A784&lt;$B$23,"Antes da compra",IF(A784&lt;$B$23+$B$31,"Parcelas restantes","Encerrado")))</x:f>
        <x:v>Encerrado</x:v>
      </x:c>
      <x:c r="K784" s="141" t="n">
        <x:f>IF(C784&gt;0,C784/(1+$B$9)^A784,0)</x:f>
        <x:v>0</x:v>
      </x:c>
    </x:row>
    <x:row r="785">
      <x:c r="A785" s="142" t="n">
        <x:v>731</x:v>
      </x:c>
      <x:c r="B785" s="179" t="n">
        <x:f>EDATE($B$5,A785-1)</x:f>
        <x:v>68759</x:v>
      </x:c>
      <x:c r="C785" s="141" t="n">
        <x:f>IF(AND($B$22="Sim",A785&gt;=$B$23,A785&lt;$B$23+$B$31),$B$32*D785,0)</x:f>
        <x:v>0</x:v>
      </x:c>
      <x:c r="D785" s="180" t="n">
        <x:f>IF(A785&lt;$B$23,1,(1+$B$33)^INT((A785-$B$23)/12))</x:f>
        <x:v>32.98769085333252</x:v>
      </x:c>
      <x:c r="E785" s="141" t="n">
        <x:f>IF(AND($B$22="Sim",A785=$B$23),$B$37,0)</x:f>
        <x:v>0</x:v>
      </x:c>
      <x:c r="F785" s="141" t="n">
        <x:f>IF(AND($B$22="Sim",A785=$B$24),$B$27,0)</x:f>
        <x:v>0</x:v>
      </x:c>
      <x:c r="G785" s="141" t="n">
        <x:f>IF(AND($B$22="Sim",A785=$B$23),$B$35,0)</x:f>
        <x:v>0</x:v>
      </x:c>
      <x:c r="H785" s="141" t="n">
        <x:f>IF(AND($B$22="Sim",A785=$B$23),$B$36,0)</x:f>
        <x:v>0</x:v>
      </x:c>
      <x:c r="I785" s="141" t="n">
        <x:f>IF(OR($B$22&lt;&gt;"Sim",A785&gt;=$B$23+$B$31-1),0,(I786+C786)/(1+$B$9))</x:f>
        <x:v>0</x:v>
      </x:c>
      <x:c r="J785" s="140" t="str">
        <x:f>IF($B$22&lt;&gt;"Sim","Desativada",IF(A785&lt;$B$23,"Antes da compra",IF(A785&lt;$B$23+$B$31,"Parcelas restantes","Encerrado")))</x:f>
        <x:v>Encerrado</x:v>
      </x:c>
      <x:c r="K785" s="141" t="n">
        <x:f>IF(C785&gt;0,C785/(1+$B$9)^A785,0)</x:f>
        <x:v>0</x:v>
      </x:c>
    </x:row>
    <x:row r="786">
      <x:c r="A786" s="142" t="n">
        <x:v>732</x:v>
      </x:c>
      <x:c r="B786" s="179" t="n">
        <x:f>EDATE($B$5,A786-1)</x:f>
        <x:v>68789</x:v>
      </x:c>
      <x:c r="C786" s="141" t="n">
        <x:f>IF(AND($B$22="Sim",A786&gt;=$B$23,A786&lt;$B$23+$B$31),$B$32*D786,0)</x:f>
        <x:v>0</x:v>
      </x:c>
      <x:c r="D786" s="180" t="n">
        <x:f>IF(A786&lt;$B$23,1,(1+$B$33)^INT((A786-$B$23)/12))</x:f>
        <x:v>32.98769085333252</x:v>
      </x:c>
      <x:c r="E786" s="141" t="n">
        <x:f>IF(AND($B$22="Sim",A786=$B$23),$B$37,0)</x:f>
        <x:v>0</x:v>
      </x:c>
      <x:c r="F786" s="141" t="n">
        <x:f>IF(AND($B$22="Sim",A786=$B$24),$B$27,0)</x:f>
        <x:v>0</x:v>
      </x:c>
      <x:c r="G786" s="141" t="n">
        <x:f>IF(AND($B$22="Sim",A786=$B$23),$B$35,0)</x:f>
        <x:v>0</x:v>
      </x:c>
      <x:c r="H786" s="141" t="n">
        <x:f>IF(AND($B$22="Sim",A786=$B$23),$B$36,0)</x:f>
        <x:v>0</x:v>
      </x:c>
      <x:c r="I786" s="141" t="n">
        <x:f>IF(OR($B$22&lt;&gt;"Sim",A786&gt;=$B$23+$B$31-1),0,(I787+C787)/(1+$B$9))</x:f>
        <x:v>0</x:v>
      </x:c>
      <x:c r="J786" s="140" t="str">
        <x:f>IF($B$22&lt;&gt;"Sim","Desativada",IF(A786&lt;$B$23,"Antes da compra",IF(A786&lt;$B$23+$B$31,"Parcelas restantes","Encerrado")))</x:f>
        <x:v>Encerrado</x:v>
      </x:c>
      <x:c r="K786" s="141" t="n">
        <x:f>IF(C786&gt;0,C786/(1+$B$9)^A786,0)</x:f>
        <x:v>0</x:v>
      </x:c>
    </x:row>
    <x:row r="787">
      <x:c r="A787" s="142" t="n">
        <x:v>733</x:v>
      </x:c>
      <x:c r="B787" s="179" t="n">
        <x:f>EDATE($B$5,A787-1)</x:f>
        <x:v>68820</x:v>
      </x:c>
      <x:c r="C787" s="141" t="n">
        <x:f>IF(AND($B$22="Sim",A787&gt;=$B$23,A787&lt;$B$23+$B$31),$B$32*D787,0)</x:f>
        <x:v>0</x:v>
      </x:c>
      <x:c r="D787" s="180" t="n">
        <x:f>IF(A787&lt;$B$23,1,(1+$B$33)^INT((A787-$B$23)/12))</x:f>
        <x:v>34.96695230453248</x:v>
      </x:c>
      <x:c r="E787" s="141" t="n">
        <x:f>IF(AND($B$22="Sim",A787=$B$23),$B$37,0)</x:f>
        <x:v>0</x:v>
      </x:c>
      <x:c r="F787" s="141" t="n">
        <x:f>IF(AND($B$22="Sim",A787=$B$24),$B$27,0)</x:f>
        <x:v>0</x:v>
      </x:c>
      <x:c r="G787" s="141" t="n">
        <x:f>IF(AND($B$22="Sim",A787=$B$23),$B$35,0)</x:f>
        <x:v>0</x:v>
      </x:c>
      <x:c r="H787" s="141" t="n">
        <x:f>IF(AND($B$22="Sim",A787=$B$23),$B$36,0)</x:f>
        <x:v>0</x:v>
      </x:c>
      <x:c r="I787" s="141" t="n">
        <x:f>IF(OR($B$22&lt;&gt;"Sim",A787&gt;=$B$23+$B$31-1),0,(I788+C788)/(1+$B$9))</x:f>
        <x:v>0</x:v>
      </x:c>
      <x:c r="J787" s="140" t="str">
        <x:f>IF($B$22&lt;&gt;"Sim","Desativada",IF(A787&lt;$B$23,"Antes da compra",IF(A787&lt;$B$23+$B$31,"Parcelas restantes","Encerrado")))</x:f>
        <x:v>Encerrado</x:v>
      </x:c>
      <x:c r="K787" s="141" t="n">
        <x:f>IF(C787&gt;0,C787/(1+$B$9)^A787,0)</x:f>
        <x:v>0</x:v>
      </x:c>
    </x:row>
    <x:row r="788">
      <x:c r="A788" s="142" t="n">
        <x:v>734</x:v>
      </x:c>
      <x:c r="B788" s="179" t="n">
        <x:f>EDATE($B$5,A788-1)</x:f>
        <x:v>68850</x:v>
      </x:c>
      <x:c r="C788" s="141" t="n">
        <x:f>IF(AND($B$22="Sim",A788&gt;=$B$23,A788&lt;$B$23+$B$31),$B$32*D788,0)</x:f>
        <x:v>0</x:v>
      </x:c>
      <x:c r="D788" s="180" t="n">
        <x:f>IF(A788&lt;$B$23,1,(1+$B$33)^INT((A788-$B$23)/12))</x:f>
        <x:v>34.96695230453248</x:v>
      </x:c>
      <x:c r="E788" s="141" t="n">
        <x:f>IF(AND($B$22="Sim",A788=$B$23),$B$37,0)</x:f>
        <x:v>0</x:v>
      </x:c>
      <x:c r="F788" s="141" t="n">
        <x:f>IF(AND($B$22="Sim",A788=$B$24),$B$27,0)</x:f>
        <x:v>0</x:v>
      </x:c>
      <x:c r="G788" s="141" t="n">
        <x:f>IF(AND($B$22="Sim",A788=$B$23),$B$35,0)</x:f>
        <x:v>0</x:v>
      </x:c>
      <x:c r="H788" s="141" t="n">
        <x:f>IF(AND($B$22="Sim",A788=$B$23),$B$36,0)</x:f>
        <x:v>0</x:v>
      </x:c>
      <x:c r="I788" s="141" t="n">
        <x:f>IF(OR($B$22&lt;&gt;"Sim",A788&gt;=$B$23+$B$31-1),0,(I789+C789)/(1+$B$9))</x:f>
        <x:v>0</x:v>
      </x:c>
      <x:c r="J788" s="140" t="str">
        <x:f>IF($B$22&lt;&gt;"Sim","Desativada",IF(A788&lt;$B$23,"Antes da compra",IF(A788&lt;$B$23+$B$31,"Parcelas restantes","Encerrado")))</x:f>
        <x:v>Encerrado</x:v>
      </x:c>
      <x:c r="K788" s="141" t="n">
        <x:f>IF(C788&gt;0,C788/(1+$B$9)^A788,0)</x:f>
        <x:v>0</x:v>
      </x:c>
    </x:row>
    <x:row r="789">
      <x:c r="A789" s="142" t="n">
        <x:v>735</x:v>
      </x:c>
      <x:c r="B789" s="179" t="n">
        <x:f>EDATE($B$5,A789-1)</x:f>
        <x:v>68881</x:v>
      </x:c>
      <x:c r="C789" s="141" t="n">
        <x:f>IF(AND($B$22="Sim",A789&gt;=$B$23,A789&lt;$B$23+$B$31),$B$32*D789,0)</x:f>
        <x:v>0</x:v>
      </x:c>
      <x:c r="D789" s="180" t="n">
        <x:f>IF(A789&lt;$B$23,1,(1+$B$33)^INT((A789-$B$23)/12))</x:f>
        <x:v>34.96695230453248</x:v>
      </x:c>
      <x:c r="E789" s="141" t="n">
        <x:f>IF(AND($B$22="Sim",A789=$B$23),$B$37,0)</x:f>
        <x:v>0</x:v>
      </x:c>
      <x:c r="F789" s="141" t="n">
        <x:f>IF(AND($B$22="Sim",A789=$B$24),$B$27,0)</x:f>
        <x:v>0</x:v>
      </x:c>
      <x:c r="G789" s="141" t="n">
        <x:f>IF(AND($B$22="Sim",A789=$B$23),$B$35,0)</x:f>
        <x:v>0</x:v>
      </x:c>
      <x:c r="H789" s="141" t="n">
        <x:f>IF(AND($B$22="Sim",A789=$B$23),$B$36,0)</x:f>
        <x:v>0</x:v>
      </x:c>
      <x:c r="I789" s="141" t="n">
        <x:f>IF(OR($B$22&lt;&gt;"Sim",A789&gt;=$B$23+$B$31-1),0,(I790+C790)/(1+$B$9))</x:f>
        <x:v>0</x:v>
      </x:c>
      <x:c r="J789" s="140" t="str">
        <x:f>IF($B$22&lt;&gt;"Sim","Desativada",IF(A789&lt;$B$23,"Antes da compra",IF(A789&lt;$B$23+$B$31,"Parcelas restantes","Encerrado")))</x:f>
        <x:v>Encerrado</x:v>
      </x:c>
      <x:c r="K789" s="141" t="n">
        <x:f>IF(C789&gt;0,C789/(1+$B$9)^A789,0)</x:f>
        <x:v>0</x:v>
      </x:c>
    </x:row>
    <x:row r="790">
      <x:c r="A790" s="142" t="n">
        <x:v>736</x:v>
      </x:c>
      <x:c r="B790" s="179" t="n">
        <x:f>EDATE($B$5,A790-1)</x:f>
        <x:v>68912</x:v>
      </x:c>
      <x:c r="C790" s="141" t="n">
        <x:f>IF(AND($B$22="Sim",A790&gt;=$B$23,A790&lt;$B$23+$B$31),$B$32*D790,0)</x:f>
        <x:v>0</x:v>
      </x:c>
      <x:c r="D790" s="180" t="n">
        <x:f>IF(A790&lt;$B$23,1,(1+$B$33)^INT((A790-$B$23)/12))</x:f>
        <x:v>34.96695230453248</x:v>
      </x:c>
      <x:c r="E790" s="141" t="n">
        <x:f>IF(AND($B$22="Sim",A790=$B$23),$B$37,0)</x:f>
        <x:v>0</x:v>
      </x:c>
      <x:c r="F790" s="141" t="n">
        <x:f>IF(AND($B$22="Sim",A790=$B$24),$B$27,0)</x:f>
        <x:v>0</x:v>
      </x:c>
      <x:c r="G790" s="141" t="n">
        <x:f>IF(AND($B$22="Sim",A790=$B$23),$B$35,0)</x:f>
        <x:v>0</x:v>
      </x:c>
      <x:c r="H790" s="141" t="n">
        <x:f>IF(AND($B$22="Sim",A790=$B$23),$B$36,0)</x:f>
        <x:v>0</x:v>
      </x:c>
      <x:c r="I790" s="141" t="n">
        <x:f>IF(OR($B$22&lt;&gt;"Sim",A790&gt;=$B$23+$B$31-1),0,(I791+C791)/(1+$B$9))</x:f>
        <x:v>0</x:v>
      </x:c>
      <x:c r="J790" s="140" t="str">
        <x:f>IF($B$22&lt;&gt;"Sim","Desativada",IF(A790&lt;$B$23,"Antes da compra",IF(A790&lt;$B$23+$B$31,"Parcelas restantes","Encerrado")))</x:f>
        <x:v>Encerrado</x:v>
      </x:c>
      <x:c r="K790" s="141" t="n">
        <x:f>IF(C790&gt;0,C790/(1+$B$9)^A790,0)</x:f>
        <x:v>0</x:v>
      </x:c>
    </x:row>
    <x:row r="791">
      <x:c r="A791" s="142" t="n">
        <x:v>737</x:v>
      </x:c>
      <x:c r="B791" s="179" t="n">
        <x:f>EDATE($B$5,A791-1)</x:f>
        <x:v>68942</x:v>
      </x:c>
      <x:c r="C791" s="141" t="n">
        <x:f>IF(AND($B$22="Sim",A791&gt;=$B$23,A791&lt;$B$23+$B$31),$B$32*D791,0)</x:f>
        <x:v>0</x:v>
      </x:c>
      <x:c r="D791" s="180" t="n">
        <x:f>IF(A791&lt;$B$23,1,(1+$B$33)^INT((A791-$B$23)/12))</x:f>
        <x:v>34.96695230453248</x:v>
      </x:c>
      <x:c r="E791" s="141" t="n">
        <x:f>IF(AND($B$22="Sim",A791=$B$23),$B$37,0)</x:f>
        <x:v>0</x:v>
      </x:c>
      <x:c r="F791" s="141" t="n">
        <x:f>IF(AND($B$22="Sim",A791=$B$24),$B$27,0)</x:f>
        <x:v>0</x:v>
      </x:c>
      <x:c r="G791" s="141" t="n">
        <x:f>IF(AND($B$22="Sim",A791=$B$23),$B$35,0)</x:f>
        <x:v>0</x:v>
      </x:c>
      <x:c r="H791" s="141" t="n">
        <x:f>IF(AND($B$22="Sim",A791=$B$23),$B$36,0)</x:f>
        <x:v>0</x:v>
      </x:c>
      <x:c r="I791" s="141" t="n">
        <x:f>IF(OR($B$22&lt;&gt;"Sim",A791&gt;=$B$23+$B$31-1),0,(I792+C792)/(1+$B$9))</x:f>
        <x:v>0</x:v>
      </x:c>
      <x:c r="J791" s="140" t="str">
        <x:f>IF($B$22&lt;&gt;"Sim","Desativada",IF(A791&lt;$B$23,"Antes da compra",IF(A791&lt;$B$23+$B$31,"Parcelas restantes","Encerrado")))</x:f>
        <x:v>Encerrado</x:v>
      </x:c>
      <x:c r="K791" s="141" t="n">
        <x:f>IF(C791&gt;0,C791/(1+$B$9)^A791,0)</x:f>
        <x:v>0</x:v>
      </x:c>
    </x:row>
    <x:row r="792">
      <x:c r="A792" s="142" t="n">
        <x:v>738</x:v>
      </x:c>
      <x:c r="B792" s="179" t="n">
        <x:f>EDATE($B$5,A792-1)</x:f>
        <x:v>68973</x:v>
      </x:c>
      <x:c r="C792" s="141" t="n">
        <x:f>IF(AND($B$22="Sim",A792&gt;=$B$23,A792&lt;$B$23+$B$31),$B$32*D792,0)</x:f>
        <x:v>0</x:v>
      </x:c>
      <x:c r="D792" s="180" t="n">
        <x:f>IF(A792&lt;$B$23,1,(1+$B$33)^INT((A792-$B$23)/12))</x:f>
        <x:v>34.96695230453248</x:v>
      </x:c>
      <x:c r="E792" s="141" t="n">
        <x:f>IF(AND($B$22="Sim",A792=$B$23),$B$37,0)</x:f>
        <x:v>0</x:v>
      </x:c>
      <x:c r="F792" s="141" t="n">
        <x:f>IF(AND($B$22="Sim",A792=$B$24),$B$27,0)</x:f>
        <x:v>0</x:v>
      </x:c>
      <x:c r="G792" s="141" t="n">
        <x:f>IF(AND($B$22="Sim",A792=$B$23),$B$35,0)</x:f>
        <x:v>0</x:v>
      </x:c>
      <x:c r="H792" s="141" t="n">
        <x:f>IF(AND($B$22="Sim",A792=$B$23),$B$36,0)</x:f>
        <x:v>0</x:v>
      </x:c>
      <x:c r="I792" s="141" t="n">
        <x:f>IF(OR($B$22&lt;&gt;"Sim",A792&gt;=$B$23+$B$31-1),0,(I793+C793)/(1+$B$9))</x:f>
        <x:v>0</x:v>
      </x:c>
      <x:c r="J792" s="140" t="str">
        <x:f>IF($B$22&lt;&gt;"Sim","Desativada",IF(A792&lt;$B$23,"Antes da compra",IF(A792&lt;$B$23+$B$31,"Parcelas restantes","Encerrado")))</x:f>
        <x:v>Encerrado</x:v>
      </x:c>
      <x:c r="K792" s="141" t="n">
        <x:f>IF(C792&gt;0,C792/(1+$B$9)^A792,0)</x:f>
        <x:v>0</x:v>
      </x:c>
    </x:row>
    <x:row r="793">
      <x:c r="A793" s="142" t="n">
        <x:v>739</x:v>
      </x:c>
      <x:c r="B793" s="179" t="n">
        <x:f>EDATE($B$5,A793-1)</x:f>
        <x:v>69003</x:v>
      </x:c>
      <x:c r="C793" s="141" t="n">
        <x:f>IF(AND($B$22="Sim",A793&gt;=$B$23,A793&lt;$B$23+$B$31),$B$32*D793,0)</x:f>
        <x:v>0</x:v>
      </x:c>
      <x:c r="D793" s="180" t="n">
        <x:f>IF(A793&lt;$B$23,1,(1+$B$33)^INT((A793-$B$23)/12))</x:f>
        <x:v>34.96695230453248</x:v>
      </x:c>
      <x:c r="E793" s="141" t="n">
        <x:f>IF(AND($B$22="Sim",A793=$B$23),$B$37,0)</x:f>
        <x:v>0</x:v>
      </x:c>
      <x:c r="F793" s="141" t="n">
        <x:f>IF(AND($B$22="Sim",A793=$B$24),$B$27,0)</x:f>
        <x:v>0</x:v>
      </x:c>
      <x:c r="G793" s="141" t="n">
        <x:f>IF(AND($B$22="Sim",A793=$B$23),$B$35,0)</x:f>
        <x:v>0</x:v>
      </x:c>
      <x:c r="H793" s="141" t="n">
        <x:f>IF(AND($B$22="Sim",A793=$B$23),$B$36,0)</x:f>
        <x:v>0</x:v>
      </x:c>
      <x:c r="I793" s="141" t="n">
        <x:f>IF(OR($B$22&lt;&gt;"Sim",A793&gt;=$B$23+$B$31-1),0,(I794+C794)/(1+$B$9))</x:f>
        <x:v>0</x:v>
      </x:c>
      <x:c r="J793" s="140" t="str">
        <x:f>IF($B$22&lt;&gt;"Sim","Desativada",IF(A793&lt;$B$23,"Antes da compra",IF(A793&lt;$B$23+$B$31,"Parcelas restantes","Encerrado")))</x:f>
        <x:v>Encerrado</x:v>
      </x:c>
      <x:c r="K793" s="141" t="n">
        <x:f>IF(C793&gt;0,C793/(1+$B$9)^A793,0)</x:f>
        <x:v>0</x:v>
      </x:c>
    </x:row>
    <x:row r="794">
      <x:c r="A794" s="142" t="n">
        <x:v>740</x:v>
      </x:c>
      <x:c r="B794" s="179" t="n">
        <x:f>EDATE($B$5,A794-1)</x:f>
        <x:v>69034</x:v>
      </x:c>
      <x:c r="C794" s="141" t="n">
        <x:f>IF(AND($B$22="Sim",A794&gt;=$B$23,A794&lt;$B$23+$B$31),$B$32*D794,0)</x:f>
        <x:v>0</x:v>
      </x:c>
      <x:c r="D794" s="180" t="n">
        <x:f>IF(A794&lt;$B$23,1,(1+$B$33)^INT((A794-$B$23)/12))</x:f>
        <x:v>34.96695230453248</x:v>
      </x:c>
      <x:c r="E794" s="141" t="n">
        <x:f>IF(AND($B$22="Sim",A794=$B$23),$B$37,0)</x:f>
        <x:v>0</x:v>
      </x:c>
      <x:c r="F794" s="141" t="n">
        <x:f>IF(AND($B$22="Sim",A794=$B$24),$B$27,0)</x:f>
        <x:v>0</x:v>
      </x:c>
      <x:c r="G794" s="141" t="n">
        <x:f>IF(AND($B$22="Sim",A794=$B$23),$B$35,0)</x:f>
        <x:v>0</x:v>
      </x:c>
      <x:c r="H794" s="141" t="n">
        <x:f>IF(AND($B$22="Sim",A794=$B$23),$B$36,0)</x:f>
        <x:v>0</x:v>
      </x:c>
      <x:c r="I794" s="141" t="n">
        <x:f>IF(OR($B$22&lt;&gt;"Sim",A794&gt;=$B$23+$B$31-1),0,(I795+C795)/(1+$B$9))</x:f>
        <x:v>0</x:v>
      </x:c>
      <x:c r="J794" s="140" t="str">
        <x:f>IF($B$22&lt;&gt;"Sim","Desativada",IF(A794&lt;$B$23,"Antes da compra",IF(A794&lt;$B$23+$B$31,"Parcelas restantes","Encerrado")))</x:f>
        <x:v>Encerrado</x:v>
      </x:c>
      <x:c r="K794" s="141" t="n">
        <x:f>IF(C794&gt;0,C794/(1+$B$9)^A794,0)</x:f>
        <x:v>0</x:v>
      </x:c>
    </x:row>
    <x:row r="795">
      <x:c r="A795" s="142" t="n">
        <x:v>741</x:v>
      </x:c>
      <x:c r="B795" s="179" t="n">
        <x:f>EDATE($B$5,A795-1)</x:f>
        <x:v>69065</x:v>
      </x:c>
      <x:c r="C795" s="141" t="n">
        <x:f>IF(AND($B$22="Sim",A795&gt;=$B$23,A795&lt;$B$23+$B$31),$B$32*D795,0)</x:f>
        <x:v>0</x:v>
      </x:c>
      <x:c r="D795" s="180" t="n">
        <x:f>IF(A795&lt;$B$23,1,(1+$B$33)^INT((A795-$B$23)/12))</x:f>
        <x:v>34.96695230453248</x:v>
      </x:c>
      <x:c r="E795" s="141" t="n">
        <x:f>IF(AND($B$22="Sim",A795=$B$23),$B$37,0)</x:f>
        <x:v>0</x:v>
      </x:c>
      <x:c r="F795" s="141" t="n">
        <x:f>IF(AND($B$22="Sim",A795=$B$24),$B$27,0)</x:f>
        <x:v>0</x:v>
      </x:c>
      <x:c r="G795" s="141" t="n">
        <x:f>IF(AND($B$22="Sim",A795=$B$23),$B$35,0)</x:f>
        <x:v>0</x:v>
      </x:c>
      <x:c r="H795" s="141" t="n">
        <x:f>IF(AND($B$22="Sim",A795=$B$23),$B$36,0)</x:f>
        <x:v>0</x:v>
      </x:c>
      <x:c r="I795" s="141" t="n">
        <x:f>IF(OR($B$22&lt;&gt;"Sim",A795&gt;=$B$23+$B$31-1),0,(I796+C796)/(1+$B$9))</x:f>
        <x:v>0</x:v>
      </x:c>
      <x:c r="J795" s="140" t="str">
        <x:f>IF($B$22&lt;&gt;"Sim","Desativada",IF(A795&lt;$B$23,"Antes da compra",IF(A795&lt;$B$23+$B$31,"Parcelas restantes","Encerrado")))</x:f>
        <x:v>Encerrado</x:v>
      </x:c>
      <x:c r="K795" s="141" t="n">
        <x:f>IF(C795&gt;0,C795/(1+$B$9)^A795,0)</x:f>
        <x:v>0</x:v>
      </x:c>
    </x:row>
    <x:row r="796">
      <x:c r="A796" s="142" t="n">
        <x:v>742</x:v>
      </x:c>
      <x:c r="B796" s="179" t="n">
        <x:f>EDATE($B$5,A796-1)</x:f>
        <x:v>69093</x:v>
      </x:c>
      <x:c r="C796" s="141" t="n">
        <x:f>IF(AND($B$22="Sim",A796&gt;=$B$23,A796&lt;$B$23+$B$31),$B$32*D796,0)</x:f>
        <x:v>0</x:v>
      </x:c>
      <x:c r="D796" s="180" t="n">
        <x:f>IF(A796&lt;$B$23,1,(1+$B$33)^INT((A796-$B$23)/12))</x:f>
        <x:v>34.96695230453248</x:v>
      </x:c>
      <x:c r="E796" s="141" t="n">
        <x:f>IF(AND($B$22="Sim",A796=$B$23),$B$37,0)</x:f>
        <x:v>0</x:v>
      </x:c>
      <x:c r="F796" s="141" t="n">
        <x:f>IF(AND($B$22="Sim",A796=$B$24),$B$27,0)</x:f>
        <x:v>0</x:v>
      </x:c>
      <x:c r="G796" s="141" t="n">
        <x:f>IF(AND($B$22="Sim",A796=$B$23),$B$35,0)</x:f>
        <x:v>0</x:v>
      </x:c>
      <x:c r="H796" s="141" t="n">
        <x:f>IF(AND($B$22="Sim",A796=$B$23),$B$36,0)</x:f>
        <x:v>0</x:v>
      </x:c>
      <x:c r="I796" s="141" t="n">
        <x:f>IF(OR($B$22&lt;&gt;"Sim",A796&gt;=$B$23+$B$31-1),0,(I797+C797)/(1+$B$9))</x:f>
        <x:v>0</x:v>
      </x:c>
      <x:c r="J796" s="140" t="str">
        <x:f>IF($B$22&lt;&gt;"Sim","Desativada",IF(A796&lt;$B$23,"Antes da compra",IF(A796&lt;$B$23+$B$31,"Parcelas restantes","Encerrado")))</x:f>
        <x:v>Encerrado</x:v>
      </x:c>
      <x:c r="K796" s="141" t="n">
        <x:f>IF(C796&gt;0,C796/(1+$B$9)^A796,0)</x:f>
        <x:v>0</x:v>
      </x:c>
    </x:row>
    <x:row r="797">
      <x:c r="A797" s="142" t="n">
        <x:v>743</x:v>
      </x:c>
      <x:c r="B797" s="179" t="n">
        <x:f>EDATE($B$5,A797-1)</x:f>
        <x:v>69124</x:v>
      </x:c>
      <x:c r="C797" s="141" t="n">
        <x:f>IF(AND($B$22="Sim",A797&gt;=$B$23,A797&lt;$B$23+$B$31),$B$32*D797,0)</x:f>
        <x:v>0</x:v>
      </x:c>
      <x:c r="D797" s="180" t="n">
        <x:f>IF(A797&lt;$B$23,1,(1+$B$33)^INT((A797-$B$23)/12))</x:f>
        <x:v>34.96695230453248</x:v>
      </x:c>
      <x:c r="E797" s="141" t="n">
        <x:f>IF(AND($B$22="Sim",A797=$B$23),$B$37,0)</x:f>
        <x:v>0</x:v>
      </x:c>
      <x:c r="F797" s="141" t="n">
        <x:f>IF(AND($B$22="Sim",A797=$B$24),$B$27,0)</x:f>
        <x:v>0</x:v>
      </x:c>
      <x:c r="G797" s="141" t="n">
        <x:f>IF(AND($B$22="Sim",A797=$B$23),$B$35,0)</x:f>
        <x:v>0</x:v>
      </x:c>
      <x:c r="H797" s="141" t="n">
        <x:f>IF(AND($B$22="Sim",A797=$B$23),$B$36,0)</x:f>
        <x:v>0</x:v>
      </x:c>
      <x:c r="I797" s="141" t="n">
        <x:f>IF(OR($B$22&lt;&gt;"Sim",A797&gt;=$B$23+$B$31-1),0,(I798+C798)/(1+$B$9))</x:f>
        <x:v>0</x:v>
      </x:c>
      <x:c r="J797" s="140" t="str">
        <x:f>IF($B$22&lt;&gt;"Sim","Desativada",IF(A797&lt;$B$23,"Antes da compra",IF(A797&lt;$B$23+$B$31,"Parcelas restantes","Encerrado")))</x:f>
        <x:v>Encerrado</x:v>
      </x:c>
      <x:c r="K797" s="141" t="n">
        <x:f>IF(C797&gt;0,C797/(1+$B$9)^A797,0)</x:f>
        <x:v>0</x:v>
      </x:c>
    </x:row>
    <x:row r="798">
      <x:c r="A798" s="142" t="n">
        <x:v>744</x:v>
      </x:c>
      <x:c r="B798" s="179" t="n">
        <x:f>EDATE($B$5,A798-1)</x:f>
        <x:v>69154</x:v>
      </x:c>
      <x:c r="C798" s="141" t="n">
        <x:f>IF(AND($B$22="Sim",A798&gt;=$B$23,A798&lt;$B$23+$B$31),$B$32*D798,0)</x:f>
        <x:v>0</x:v>
      </x:c>
      <x:c r="D798" s="180" t="n">
        <x:f>IF(A798&lt;$B$23,1,(1+$B$33)^INT((A798-$B$23)/12))</x:f>
        <x:v>34.96695230453248</x:v>
      </x:c>
      <x:c r="E798" s="141" t="n">
        <x:f>IF(AND($B$22="Sim",A798=$B$23),$B$37,0)</x:f>
        <x:v>0</x:v>
      </x:c>
      <x:c r="F798" s="141" t="n">
        <x:f>IF(AND($B$22="Sim",A798=$B$24),$B$27,0)</x:f>
        <x:v>0</x:v>
      </x:c>
      <x:c r="G798" s="141" t="n">
        <x:f>IF(AND($B$22="Sim",A798=$B$23),$B$35,0)</x:f>
        <x:v>0</x:v>
      </x:c>
      <x:c r="H798" s="141" t="n">
        <x:f>IF(AND($B$22="Sim",A798=$B$23),$B$36,0)</x:f>
        <x:v>0</x:v>
      </x:c>
      <x:c r="I798" s="141" t="n">
        <x:f>IF(OR($B$22&lt;&gt;"Sim",A798&gt;=$B$23+$B$31-1),0,(I799+C799)/(1+$B$9))</x:f>
        <x:v>0</x:v>
      </x:c>
      <x:c r="J798" s="140" t="str">
        <x:f>IF($B$22&lt;&gt;"Sim","Desativada",IF(A798&lt;$B$23,"Antes da compra",IF(A798&lt;$B$23+$B$31,"Parcelas restantes","Encerrado")))</x:f>
        <x:v>Encerrado</x:v>
      </x:c>
      <x:c r="K798" s="141" t="n">
        <x:f>IF(C798&gt;0,C798/(1+$B$9)^A798,0)</x:f>
        <x:v>0</x:v>
      </x:c>
    </x:row>
    <x:row r="799">
      <x:c r="A799" s="142" t="n">
        <x:v>745</x:v>
      </x:c>
      <x:c r="B799" s="179" t="n">
        <x:f>EDATE($B$5,A799-1)</x:f>
        <x:v>69185</x:v>
      </x:c>
      <x:c r="C799" s="141" t="n">
        <x:f>IF(AND($B$22="Sim",A799&gt;=$B$23,A799&lt;$B$23+$B$31),$B$32*D799,0)</x:f>
        <x:v>0</x:v>
      </x:c>
      <x:c r="D799" s="180" t="n">
        <x:f>IF(A799&lt;$B$23,1,(1+$B$33)^INT((A799-$B$23)/12))</x:f>
        <x:v>37.064969442804426</x:v>
      </x:c>
      <x:c r="E799" s="141" t="n">
        <x:f>IF(AND($B$22="Sim",A799=$B$23),$B$37,0)</x:f>
        <x:v>0</x:v>
      </x:c>
      <x:c r="F799" s="141" t="n">
        <x:f>IF(AND($B$22="Sim",A799=$B$24),$B$27,0)</x:f>
        <x:v>0</x:v>
      </x:c>
      <x:c r="G799" s="141" t="n">
        <x:f>IF(AND($B$22="Sim",A799=$B$23),$B$35,0)</x:f>
        <x:v>0</x:v>
      </x:c>
      <x:c r="H799" s="141" t="n">
        <x:f>IF(AND($B$22="Sim",A799=$B$23),$B$36,0)</x:f>
        <x:v>0</x:v>
      </x:c>
      <x:c r="I799" s="141" t="n">
        <x:f>IF(OR($B$22&lt;&gt;"Sim",A799&gt;=$B$23+$B$31-1),0,(I800+C800)/(1+$B$9))</x:f>
        <x:v>0</x:v>
      </x:c>
      <x:c r="J799" s="140" t="str">
        <x:f>IF($B$22&lt;&gt;"Sim","Desativada",IF(A799&lt;$B$23,"Antes da compra",IF(A799&lt;$B$23+$B$31,"Parcelas restantes","Encerrado")))</x:f>
        <x:v>Encerrado</x:v>
      </x:c>
      <x:c r="K799" s="141" t="n">
        <x:f>IF(C799&gt;0,C799/(1+$B$9)^A799,0)</x:f>
        <x:v>0</x:v>
      </x:c>
    </x:row>
    <x:row r="800">
      <x:c r="A800" s="142" t="n">
        <x:v>746</x:v>
      </x:c>
      <x:c r="B800" s="179" t="n">
        <x:f>EDATE($B$5,A800-1)</x:f>
        <x:v>69215</x:v>
      </x:c>
      <x:c r="C800" s="141" t="n">
        <x:f>IF(AND($B$22="Sim",A800&gt;=$B$23,A800&lt;$B$23+$B$31),$B$32*D800,0)</x:f>
        <x:v>0</x:v>
      </x:c>
      <x:c r="D800" s="180" t="n">
        <x:f>IF(A800&lt;$B$23,1,(1+$B$33)^INT((A800-$B$23)/12))</x:f>
        <x:v>37.064969442804426</x:v>
      </x:c>
      <x:c r="E800" s="141" t="n">
        <x:f>IF(AND($B$22="Sim",A800=$B$23),$B$37,0)</x:f>
        <x:v>0</x:v>
      </x:c>
      <x:c r="F800" s="141" t="n">
        <x:f>IF(AND($B$22="Sim",A800=$B$24),$B$27,0)</x:f>
        <x:v>0</x:v>
      </x:c>
      <x:c r="G800" s="141" t="n">
        <x:f>IF(AND($B$22="Sim",A800=$B$23),$B$35,0)</x:f>
        <x:v>0</x:v>
      </x:c>
      <x:c r="H800" s="141" t="n">
        <x:f>IF(AND($B$22="Sim",A800=$B$23),$B$36,0)</x:f>
        <x:v>0</x:v>
      </x:c>
      <x:c r="I800" s="141" t="n">
        <x:f>IF(OR($B$22&lt;&gt;"Sim",A800&gt;=$B$23+$B$31-1),0,(I801+C801)/(1+$B$9))</x:f>
        <x:v>0</x:v>
      </x:c>
      <x:c r="J800" s="140" t="str">
        <x:f>IF($B$22&lt;&gt;"Sim","Desativada",IF(A800&lt;$B$23,"Antes da compra",IF(A800&lt;$B$23+$B$31,"Parcelas restantes","Encerrado")))</x:f>
        <x:v>Encerrado</x:v>
      </x:c>
      <x:c r="K800" s="141" t="n">
        <x:f>IF(C800&gt;0,C800/(1+$B$9)^A800,0)</x:f>
        <x:v>0</x:v>
      </x:c>
    </x:row>
    <x:row r="801">
      <x:c r="A801" s="142" t="n">
        <x:v>747</x:v>
      </x:c>
      <x:c r="B801" s="179" t="n">
        <x:f>EDATE($B$5,A801-1)</x:f>
        <x:v>69246</x:v>
      </x:c>
      <x:c r="C801" s="141" t="n">
        <x:f>IF(AND($B$22="Sim",A801&gt;=$B$23,A801&lt;$B$23+$B$31),$B$32*D801,0)</x:f>
        <x:v>0</x:v>
      </x:c>
      <x:c r="D801" s="180" t="n">
        <x:f>IF(A801&lt;$B$23,1,(1+$B$33)^INT((A801-$B$23)/12))</x:f>
        <x:v>37.064969442804426</x:v>
      </x:c>
      <x:c r="E801" s="141" t="n">
        <x:f>IF(AND($B$22="Sim",A801=$B$23),$B$37,0)</x:f>
        <x:v>0</x:v>
      </x:c>
      <x:c r="F801" s="141" t="n">
        <x:f>IF(AND($B$22="Sim",A801=$B$24),$B$27,0)</x:f>
        <x:v>0</x:v>
      </x:c>
      <x:c r="G801" s="141" t="n">
        <x:f>IF(AND($B$22="Sim",A801=$B$23),$B$35,0)</x:f>
        <x:v>0</x:v>
      </x:c>
      <x:c r="H801" s="141" t="n">
        <x:f>IF(AND($B$22="Sim",A801=$B$23),$B$36,0)</x:f>
        <x:v>0</x:v>
      </x:c>
      <x:c r="I801" s="141" t="n">
        <x:f>IF(OR($B$22&lt;&gt;"Sim",A801&gt;=$B$23+$B$31-1),0,(I802+C802)/(1+$B$9))</x:f>
        <x:v>0</x:v>
      </x:c>
      <x:c r="J801" s="140" t="str">
        <x:f>IF($B$22&lt;&gt;"Sim","Desativada",IF(A801&lt;$B$23,"Antes da compra",IF(A801&lt;$B$23+$B$31,"Parcelas restantes","Encerrado")))</x:f>
        <x:v>Encerrado</x:v>
      </x:c>
      <x:c r="K801" s="141" t="n">
        <x:f>IF(C801&gt;0,C801/(1+$B$9)^A801,0)</x:f>
        <x:v>0</x:v>
      </x:c>
    </x:row>
    <x:row r="802">
      <x:c r="A802" s="142" t="n">
        <x:v>748</x:v>
      </x:c>
      <x:c r="B802" s="179" t="n">
        <x:f>EDATE($B$5,A802-1)</x:f>
        <x:v>69277</x:v>
      </x:c>
      <x:c r="C802" s="141" t="n">
        <x:f>IF(AND($B$22="Sim",A802&gt;=$B$23,A802&lt;$B$23+$B$31),$B$32*D802,0)</x:f>
        <x:v>0</x:v>
      </x:c>
      <x:c r="D802" s="180" t="n">
        <x:f>IF(A802&lt;$B$23,1,(1+$B$33)^INT((A802-$B$23)/12))</x:f>
        <x:v>37.064969442804426</x:v>
      </x:c>
      <x:c r="E802" s="141" t="n">
        <x:f>IF(AND($B$22="Sim",A802=$B$23),$B$37,0)</x:f>
        <x:v>0</x:v>
      </x:c>
      <x:c r="F802" s="141" t="n">
        <x:f>IF(AND($B$22="Sim",A802=$B$24),$B$27,0)</x:f>
        <x:v>0</x:v>
      </x:c>
      <x:c r="G802" s="141" t="n">
        <x:f>IF(AND($B$22="Sim",A802=$B$23),$B$35,0)</x:f>
        <x:v>0</x:v>
      </x:c>
      <x:c r="H802" s="141" t="n">
        <x:f>IF(AND($B$22="Sim",A802=$B$23),$B$36,0)</x:f>
        <x:v>0</x:v>
      </x:c>
      <x:c r="I802" s="141" t="n">
        <x:f>IF(OR($B$22&lt;&gt;"Sim",A802&gt;=$B$23+$B$31-1),0,(I803+C803)/(1+$B$9))</x:f>
        <x:v>0</x:v>
      </x:c>
      <x:c r="J802" s="140" t="str">
        <x:f>IF($B$22&lt;&gt;"Sim","Desativada",IF(A802&lt;$B$23,"Antes da compra",IF(A802&lt;$B$23+$B$31,"Parcelas restantes","Encerrado")))</x:f>
        <x:v>Encerrado</x:v>
      </x:c>
      <x:c r="K802" s="141" t="n">
        <x:f>IF(C802&gt;0,C802/(1+$B$9)^A802,0)</x:f>
        <x:v>0</x:v>
      </x:c>
    </x:row>
    <x:row r="803">
      <x:c r="A803" s="142" t="n">
        <x:v>749</x:v>
      </x:c>
      <x:c r="B803" s="179" t="n">
        <x:f>EDATE($B$5,A803-1)</x:f>
        <x:v>69307</x:v>
      </x:c>
      <x:c r="C803" s="141" t="n">
        <x:f>IF(AND($B$22="Sim",A803&gt;=$B$23,A803&lt;$B$23+$B$31),$B$32*D803,0)</x:f>
        <x:v>0</x:v>
      </x:c>
      <x:c r="D803" s="180" t="n">
        <x:f>IF(A803&lt;$B$23,1,(1+$B$33)^INT((A803-$B$23)/12))</x:f>
        <x:v>37.064969442804426</x:v>
      </x:c>
      <x:c r="E803" s="141" t="n">
        <x:f>IF(AND($B$22="Sim",A803=$B$23),$B$37,0)</x:f>
        <x:v>0</x:v>
      </x:c>
      <x:c r="F803" s="141" t="n">
        <x:f>IF(AND($B$22="Sim",A803=$B$24),$B$27,0)</x:f>
        <x:v>0</x:v>
      </x:c>
      <x:c r="G803" s="141" t="n">
        <x:f>IF(AND($B$22="Sim",A803=$B$23),$B$35,0)</x:f>
        <x:v>0</x:v>
      </x:c>
      <x:c r="H803" s="141" t="n">
        <x:f>IF(AND($B$22="Sim",A803=$B$23),$B$36,0)</x:f>
        <x:v>0</x:v>
      </x:c>
      <x:c r="I803" s="141" t="n">
        <x:f>IF(OR($B$22&lt;&gt;"Sim",A803&gt;=$B$23+$B$31-1),0,(I804+C804)/(1+$B$9))</x:f>
        <x:v>0</x:v>
      </x:c>
      <x:c r="J803" s="140" t="str">
        <x:f>IF($B$22&lt;&gt;"Sim","Desativada",IF(A803&lt;$B$23,"Antes da compra",IF(A803&lt;$B$23+$B$31,"Parcelas restantes","Encerrado")))</x:f>
        <x:v>Encerrado</x:v>
      </x:c>
      <x:c r="K803" s="141" t="n">
        <x:f>IF(C803&gt;0,C803/(1+$B$9)^A803,0)</x:f>
        <x:v>0</x:v>
      </x:c>
    </x:row>
    <x:row r="804">
      <x:c r="A804" s="142" t="n">
        <x:v>750</x:v>
      </x:c>
      <x:c r="B804" s="179" t="n">
        <x:f>EDATE($B$5,A804-1)</x:f>
        <x:v>69338</x:v>
      </x:c>
      <x:c r="C804" s="141" t="n">
        <x:f>IF(AND($B$22="Sim",A804&gt;=$B$23,A804&lt;$B$23+$B$31),$B$32*D804,0)</x:f>
        <x:v>0</x:v>
      </x:c>
      <x:c r="D804" s="180" t="n">
        <x:f>IF(A804&lt;$B$23,1,(1+$B$33)^INT((A804-$B$23)/12))</x:f>
        <x:v>37.064969442804426</x:v>
      </x:c>
      <x:c r="E804" s="141" t="n">
        <x:f>IF(AND($B$22="Sim",A804=$B$23),$B$37,0)</x:f>
        <x:v>0</x:v>
      </x:c>
      <x:c r="F804" s="141" t="n">
        <x:f>IF(AND($B$22="Sim",A804=$B$24),$B$27,0)</x:f>
        <x:v>0</x:v>
      </x:c>
      <x:c r="G804" s="141" t="n">
        <x:f>IF(AND($B$22="Sim",A804=$B$23),$B$35,0)</x:f>
        <x:v>0</x:v>
      </x:c>
      <x:c r="H804" s="141" t="n">
        <x:f>IF(AND($B$22="Sim",A804=$B$23),$B$36,0)</x:f>
        <x:v>0</x:v>
      </x:c>
      <x:c r="I804" s="141" t="n">
        <x:f>IF(OR($B$22&lt;&gt;"Sim",A804&gt;=$B$23+$B$31-1),0,(I805+C805)/(1+$B$9))</x:f>
        <x:v>0</x:v>
      </x:c>
      <x:c r="J804" s="140" t="str">
        <x:f>IF($B$22&lt;&gt;"Sim","Desativada",IF(A804&lt;$B$23,"Antes da compra",IF(A804&lt;$B$23+$B$31,"Parcelas restantes","Encerrado")))</x:f>
        <x:v>Encerrado</x:v>
      </x:c>
      <x:c r="K804" s="141" t="n">
        <x:f>IF(C804&gt;0,C804/(1+$B$9)^A804,0)</x:f>
        <x:v>0</x:v>
      </x:c>
    </x:row>
    <x:row r="805">
      <x:c r="A805" s="142" t="n">
        <x:v>751</x:v>
      </x:c>
      <x:c r="B805" s="179" t="n">
        <x:f>EDATE($B$5,A805-1)</x:f>
        <x:v>69368</x:v>
      </x:c>
      <x:c r="C805" s="141" t="n">
        <x:f>IF(AND($B$22="Sim",A805&gt;=$B$23,A805&lt;$B$23+$B$31),$B$32*D805,0)</x:f>
        <x:v>0</x:v>
      </x:c>
      <x:c r="D805" s="180" t="n">
        <x:f>IF(A805&lt;$B$23,1,(1+$B$33)^INT((A805-$B$23)/12))</x:f>
        <x:v>37.064969442804426</x:v>
      </x:c>
      <x:c r="E805" s="141" t="n">
        <x:f>IF(AND($B$22="Sim",A805=$B$23),$B$37,0)</x:f>
        <x:v>0</x:v>
      </x:c>
      <x:c r="F805" s="141" t="n">
        <x:f>IF(AND($B$22="Sim",A805=$B$24),$B$27,0)</x:f>
        <x:v>0</x:v>
      </x:c>
      <x:c r="G805" s="141" t="n">
        <x:f>IF(AND($B$22="Sim",A805=$B$23),$B$35,0)</x:f>
        <x:v>0</x:v>
      </x:c>
      <x:c r="H805" s="141" t="n">
        <x:f>IF(AND($B$22="Sim",A805=$B$23),$B$36,0)</x:f>
        <x:v>0</x:v>
      </x:c>
      <x:c r="I805" s="141" t="n">
        <x:f>IF(OR($B$22&lt;&gt;"Sim",A805&gt;=$B$23+$B$31-1),0,(I806+C806)/(1+$B$9))</x:f>
        <x:v>0</x:v>
      </x:c>
      <x:c r="J805" s="140" t="str">
        <x:f>IF($B$22&lt;&gt;"Sim","Desativada",IF(A805&lt;$B$23,"Antes da compra",IF(A805&lt;$B$23+$B$31,"Parcelas restantes","Encerrado")))</x:f>
        <x:v>Encerrado</x:v>
      </x:c>
      <x:c r="K805" s="141" t="n">
        <x:f>IF(C805&gt;0,C805/(1+$B$9)^A805,0)</x:f>
        <x:v>0</x:v>
      </x:c>
    </x:row>
    <x:row r="806">
      <x:c r="A806" s="142" t="n">
        <x:v>752</x:v>
      </x:c>
      <x:c r="B806" s="179" t="n">
        <x:f>EDATE($B$5,A806-1)</x:f>
        <x:v>69399</x:v>
      </x:c>
      <x:c r="C806" s="141" t="n">
        <x:f>IF(AND($B$22="Sim",A806&gt;=$B$23,A806&lt;$B$23+$B$31),$B$32*D806,0)</x:f>
        <x:v>0</x:v>
      </x:c>
      <x:c r="D806" s="180" t="n">
        <x:f>IF(A806&lt;$B$23,1,(1+$B$33)^INT((A806-$B$23)/12))</x:f>
        <x:v>37.064969442804426</x:v>
      </x:c>
      <x:c r="E806" s="141" t="n">
        <x:f>IF(AND($B$22="Sim",A806=$B$23),$B$37,0)</x:f>
        <x:v>0</x:v>
      </x:c>
      <x:c r="F806" s="141" t="n">
        <x:f>IF(AND($B$22="Sim",A806=$B$24),$B$27,0)</x:f>
        <x:v>0</x:v>
      </x:c>
      <x:c r="G806" s="141" t="n">
        <x:f>IF(AND($B$22="Sim",A806=$B$23),$B$35,0)</x:f>
        <x:v>0</x:v>
      </x:c>
      <x:c r="H806" s="141" t="n">
        <x:f>IF(AND($B$22="Sim",A806=$B$23),$B$36,0)</x:f>
        <x:v>0</x:v>
      </x:c>
      <x:c r="I806" s="141" t="n">
        <x:f>IF(OR($B$22&lt;&gt;"Sim",A806&gt;=$B$23+$B$31-1),0,(I807+C807)/(1+$B$9))</x:f>
        <x:v>0</x:v>
      </x:c>
      <x:c r="J806" s="140" t="str">
        <x:f>IF($B$22&lt;&gt;"Sim","Desativada",IF(A806&lt;$B$23,"Antes da compra",IF(A806&lt;$B$23+$B$31,"Parcelas restantes","Encerrado")))</x:f>
        <x:v>Encerrado</x:v>
      </x:c>
      <x:c r="K806" s="141" t="n">
        <x:f>IF(C806&gt;0,C806/(1+$B$9)^A806,0)</x:f>
        <x:v>0</x:v>
      </x:c>
    </x:row>
    <x:row r="807">
      <x:c r="A807" s="142" t="n">
        <x:v>753</x:v>
      </x:c>
      <x:c r="B807" s="179" t="n">
        <x:f>EDATE($B$5,A807-1)</x:f>
        <x:v>69430</x:v>
      </x:c>
      <x:c r="C807" s="141" t="n">
        <x:f>IF(AND($B$22="Sim",A807&gt;=$B$23,A807&lt;$B$23+$B$31),$B$32*D807,0)</x:f>
        <x:v>0</x:v>
      </x:c>
      <x:c r="D807" s="180" t="n">
        <x:f>IF(A807&lt;$B$23,1,(1+$B$33)^INT((A807-$B$23)/12))</x:f>
        <x:v>37.064969442804426</x:v>
      </x:c>
      <x:c r="E807" s="141" t="n">
        <x:f>IF(AND($B$22="Sim",A807=$B$23),$B$37,0)</x:f>
        <x:v>0</x:v>
      </x:c>
      <x:c r="F807" s="141" t="n">
        <x:f>IF(AND($B$22="Sim",A807=$B$24),$B$27,0)</x:f>
        <x:v>0</x:v>
      </x:c>
      <x:c r="G807" s="141" t="n">
        <x:f>IF(AND($B$22="Sim",A807=$B$23),$B$35,0)</x:f>
        <x:v>0</x:v>
      </x:c>
      <x:c r="H807" s="141" t="n">
        <x:f>IF(AND($B$22="Sim",A807=$B$23),$B$36,0)</x:f>
        <x:v>0</x:v>
      </x:c>
      <x:c r="I807" s="141" t="n">
        <x:f>IF(OR($B$22&lt;&gt;"Sim",A807&gt;=$B$23+$B$31-1),0,(I808+C808)/(1+$B$9))</x:f>
        <x:v>0</x:v>
      </x:c>
      <x:c r="J807" s="140" t="str">
        <x:f>IF($B$22&lt;&gt;"Sim","Desativada",IF(A807&lt;$B$23,"Antes da compra",IF(A807&lt;$B$23+$B$31,"Parcelas restantes","Encerrado")))</x:f>
        <x:v>Encerrado</x:v>
      </x:c>
      <x:c r="K807" s="141" t="n">
        <x:f>IF(C807&gt;0,C807/(1+$B$9)^A807,0)</x:f>
        <x:v>0</x:v>
      </x:c>
    </x:row>
    <x:row r="808">
      <x:c r="A808" s="142" t="n">
        <x:v>754</x:v>
      </x:c>
      <x:c r="B808" s="179" t="n">
        <x:f>EDATE($B$5,A808-1)</x:f>
        <x:v>69458</x:v>
      </x:c>
      <x:c r="C808" s="141" t="n">
        <x:f>IF(AND($B$22="Sim",A808&gt;=$B$23,A808&lt;$B$23+$B$31),$B$32*D808,0)</x:f>
        <x:v>0</x:v>
      </x:c>
      <x:c r="D808" s="180" t="n">
        <x:f>IF(A808&lt;$B$23,1,(1+$B$33)^INT((A808-$B$23)/12))</x:f>
        <x:v>37.064969442804426</x:v>
      </x:c>
      <x:c r="E808" s="141" t="n">
        <x:f>IF(AND($B$22="Sim",A808=$B$23),$B$37,0)</x:f>
        <x:v>0</x:v>
      </x:c>
      <x:c r="F808" s="141" t="n">
        <x:f>IF(AND($B$22="Sim",A808=$B$24),$B$27,0)</x:f>
        <x:v>0</x:v>
      </x:c>
      <x:c r="G808" s="141" t="n">
        <x:f>IF(AND($B$22="Sim",A808=$B$23),$B$35,0)</x:f>
        <x:v>0</x:v>
      </x:c>
      <x:c r="H808" s="141" t="n">
        <x:f>IF(AND($B$22="Sim",A808=$B$23),$B$36,0)</x:f>
        <x:v>0</x:v>
      </x:c>
      <x:c r="I808" s="141" t="n">
        <x:f>IF(OR($B$22&lt;&gt;"Sim",A808&gt;=$B$23+$B$31-1),0,(I809+C809)/(1+$B$9))</x:f>
        <x:v>0</x:v>
      </x:c>
      <x:c r="J808" s="140" t="str">
        <x:f>IF($B$22&lt;&gt;"Sim","Desativada",IF(A808&lt;$B$23,"Antes da compra",IF(A808&lt;$B$23+$B$31,"Parcelas restantes","Encerrado")))</x:f>
        <x:v>Encerrado</x:v>
      </x:c>
      <x:c r="K808" s="141" t="n">
        <x:f>IF(C808&gt;0,C808/(1+$B$9)^A808,0)</x:f>
        <x:v>0</x:v>
      </x:c>
    </x:row>
    <x:row r="809">
      <x:c r="A809" s="142" t="n">
        <x:v>755</x:v>
      </x:c>
      <x:c r="B809" s="179" t="n">
        <x:f>EDATE($B$5,A809-1)</x:f>
        <x:v>69489</x:v>
      </x:c>
      <x:c r="C809" s="141" t="n">
        <x:f>IF(AND($B$22="Sim",A809&gt;=$B$23,A809&lt;$B$23+$B$31),$B$32*D809,0)</x:f>
        <x:v>0</x:v>
      </x:c>
      <x:c r="D809" s="180" t="n">
        <x:f>IF(A809&lt;$B$23,1,(1+$B$33)^INT((A809-$B$23)/12))</x:f>
        <x:v>37.064969442804426</x:v>
      </x:c>
      <x:c r="E809" s="141" t="n">
        <x:f>IF(AND($B$22="Sim",A809=$B$23),$B$37,0)</x:f>
        <x:v>0</x:v>
      </x:c>
      <x:c r="F809" s="141" t="n">
        <x:f>IF(AND($B$22="Sim",A809=$B$24),$B$27,0)</x:f>
        <x:v>0</x:v>
      </x:c>
      <x:c r="G809" s="141" t="n">
        <x:f>IF(AND($B$22="Sim",A809=$B$23),$B$35,0)</x:f>
        <x:v>0</x:v>
      </x:c>
      <x:c r="H809" s="141" t="n">
        <x:f>IF(AND($B$22="Sim",A809=$B$23),$B$36,0)</x:f>
        <x:v>0</x:v>
      </x:c>
      <x:c r="I809" s="141" t="n">
        <x:f>IF(OR($B$22&lt;&gt;"Sim",A809&gt;=$B$23+$B$31-1),0,(I810+C810)/(1+$B$9))</x:f>
        <x:v>0</x:v>
      </x:c>
      <x:c r="J809" s="140" t="str">
        <x:f>IF($B$22&lt;&gt;"Sim","Desativada",IF(A809&lt;$B$23,"Antes da compra",IF(A809&lt;$B$23+$B$31,"Parcelas restantes","Encerrado")))</x:f>
        <x:v>Encerrado</x:v>
      </x:c>
      <x:c r="K809" s="141" t="n">
        <x:f>IF(C809&gt;0,C809/(1+$B$9)^A809,0)</x:f>
        <x:v>0</x:v>
      </x:c>
    </x:row>
    <x:row r="810">
      <x:c r="A810" s="142" t="n">
        <x:v>756</x:v>
      </x:c>
      <x:c r="B810" s="179" t="n">
        <x:f>EDATE($B$5,A810-1)</x:f>
        <x:v>69519</x:v>
      </x:c>
      <x:c r="C810" s="141" t="n">
        <x:f>IF(AND($B$22="Sim",A810&gt;=$B$23,A810&lt;$B$23+$B$31),$B$32*D810,0)</x:f>
        <x:v>0</x:v>
      </x:c>
      <x:c r="D810" s="180" t="n">
        <x:f>IF(A810&lt;$B$23,1,(1+$B$33)^INT((A810-$B$23)/12))</x:f>
        <x:v>37.064969442804426</x:v>
      </x:c>
      <x:c r="E810" s="141" t="n">
        <x:f>IF(AND($B$22="Sim",A810=$B$23),$B$37,0)</x:f>
        <x:v>0</x:v>
      </x:c>
      <x:c r="F810" s="141" t="n">
        <x:f>IF(AND($B$22="Sim",A810=$B$24),$B$27,0)</x:f>
        <x:v>0</x:v>
      </x:c>
      <x:c r="G810" s="141" t="n">
        <x:f>IF(AND($B$22="Sim",A810=$B$23),$B$35,0)</x:f>
        <x:v>0</x:v>
      </x:c>
      <x:c r="H810" s="141" t="n">
        <x:f>IF(AND($B$22="Sim",A810=$B$23),$B$36,0)</x:f>
        <x:v>0</x:v>
      </x:c>
      <x:c r="I810" s="141" t="n">
        <x:f>IF(OR($B$22&lt;&gt;"Sim",A810&gt;=$B$23+$B$31-1),0,(I811+C811)/(1+$B$9))</x:f>
        <x:v>0</x:v>
      </x:c>
      <x:c r="J810" s="140" t="str">
        <x:f>IF($B$22&lt;&gt;"Sim","Desativada",IF(A810&lt;$B$23,"Antes da compra",IF(A810&lt;$B$23+$B$31,"Parcelas restantes","Encerrado")))</x:f>
        <x:v>Encerrado</x:v>
      </x:c>
      <x:c r="K810" s="141" t="n">
        <x:f>IF(C810&gt;0,C810/(1+$B$9)^A810,0)</x:f>
        <x:v>0</x:v>
      </x:c>
    </x:row>
    <x:row r="811">
      <x:c r="A811" s="142" t="n">
        <x:v>757</x:v>
      </x:c>
      <x:c r="B811" s="179" t="n">
        <x:f>EDATE($B$5,A811-1)</x:f>
        <x:v>69550</x:v>
      </x:c>
      <x:c r="C811" s="141" t="n">
        <x:f>IF(AND($B$22="Sim",A811&gt;=$B$23,A811&lt;$B$23+$B$31),$B$32*D811,0)</x:f>
        <x:v>0</x:v>
      </x:c>
      <x:c r="D811" s="180" t="n">
        <x:f>IF(A811&lt;$B$23,1,(1+$B$33)^INT((A811-$B$23)/12))</x:f>
        <x:v>39.288867609372694</x:v>
      </x:c>
      <x:c r="E811" s="141" t="n">
        <x:f>IF(AND($B$22="Sim",A811=$B$23),$B$37,0)</x:f>
        <x:v>0</x:v>
      </x:c>
      <x:c r="F811" s="141" t="n">
        <x:f>IF(AND($B$22="Sim",A811=$B$24),$B$27,0)</x:f>
        <x:v>0</x:v>
      </x:c>
      <x:c r="G811" s="141" t="n">
        <x:f>IF(AND($B$22="Sim",A811=$B$23),$B$35,0)</x:f>
        <x:v>0</x:v>
      </x:c>
      <x:c r="H811" s="141" t="n">
        <x:f>IF(AND($B$22="Sim",A811=$B$23),$B$36,0)</x:f>
        <x:v>0</x:v>
      </x:c>
      <x:c r="I811" s="141" t="n">
        <x:f>IF(OR($B$22&lt;&gt;"Sim",A811&gt;=$B$23+$B$31-1),0,(I812+C812)/(1+$B$9))</x:f>
        <x:v>0</x:v>
      </x:c>
      <x:c r="J811" s="140" t="str">
        <x:f>IF($B$22&lt;&gt;"Sim","Desativada",IF(A811&lt;$B$23,"Antes da compra",IF(A811&lt;$B$23+$B$31,"Parcelas restantes","Encerrado")))</x:f>
        <x:v>Encerrado</x:v>
      </x:c>
      <x:c r="K811" s="141" t="n">
        <x:f>IF(C811&gt;0,C811/(1+$B$9)^A811,0)</x:f>
        <x:v>0</x:v>
      </x:c>
    </x:row>
    <x:row r="812">
      <x:c r="A812" s="142" t="n">
        <x:v>758</x:v>
      </x:c>
      <x:c r="B812" s="179" t="n">
        <x:f>EDATE($B$5,A812-1)</x:f>
        <x:v>69580</x:v>
      </x:c>
      <x:c r="C812" s="141" t="n">
        <x:f>IF(AND($B$22="Sim",A812&gt;=$B$23,A812&lt;$B$23+$B$31),$B$32*D812,0)</x:f>
        <x:v>0</x:v>
      </x:c>
      <x:c r="D812" s="180" t="n">
        <x:f>IF(A812&lt;$B$23,1,(1+$B$33)^INT((A812-$B$23)/12))</x:f>
        <x:v>39.288867609372694</x:v>
      </x:c>
      <x:c r="E812" s="141" t="n">
        <x:f>IF(AND($B$22="Sim",A812=$B$23),$B$37,0)</x:f>
        <x:v>0</x:v>
      </x:c>
      <x:c r="F812" s="141" t="n">
        <x:f>IF(AND($B$22="Sim",A812=$B$24),$B$27,0)</x:f>
        <x:v>0</x:v>
      </x:c>
      <x:c r="G812" s="141" t="n">
        <x:f>IF(AND($B$22="Sim",A812=$B$23),$B$35,0)</x:f>
        <x:v>0</x:v>
      </x:c>
      <x:c r="H812" s="141" t="n">
        <x:f>IF(AND($B$22="Sim",A812=$B$23),$B$36,0)</x:f>
        <x:v>0</x:v>
      </x:c>
      <x:c r="I812" s="141" t="n">
        <x:f>IF(OR($B$22&lt;&gt;"Sim",A812&gt;=$B$23+$B$31-1),0,(I813+C813)/(1+$B$9))</x:f>
        <x:v>0</x:v>
      </x:c>
      <x:c r="J812" s="140" t="str">
        <x:f>IF($B$22&lt;&gt;"Sim","Desativada",IF(A812&lt;$B$23,"Antes da compra",IF(A812&lt;$B$23+$B$31,"Parcelas restantes","Encerrado")))</x:f>
        <x:v>Encerrado</x:v>
      </x:c>
      <x:c r="K812" s="141" t="n">
        <x:f>IF(C812&gt;0,C812/(1+$B$9)^A812,0)</x:f>
        <x:v>0</x:v>
      </x:c>
    </x:row>
    <x:row r="813">
      <x:c r="A813" s="142" t="n">
        <x:v>759</x:v>
      </x:c>
      <x:c r="B813" s="179" t="n">
        <x:f>EDATE($B$5,A813-1)</x:f>
        <x:v>69611</x:v>
      </x:c>
      <x:c r="C813" s="141" t="n">
        <x:f>IF(AND($B$22="Sim",A813&gt;=$B$23,A813&lt;$B$23+$B$31),$B$32*D813,0)</x:f>
        <x:v>0</x:v>
      </x:c>
      <x:c r="D813" s="180" t="n">
        <x:f>IF(A813&lt;$B$23,1,(1+$B$33)^INT((A813-$B$23)/12))</x:f>
        <x:v>39.288867609372694</x:v>
      </x:c>
      <x:c r="E813" s="141" t="n">
        <x:f>IF(AND($B$22="Sim",A813=$B$23),$B$37,0)</x:f>
        <x:v>0</x:v>
      </x:c>
      <x:c r="F813" s="141" t="n">
        <x:f>IF(AND($B$22="Sim",A813=$B$24),$B$27,0)</x:f>
        <x:v>0</x:v>
      </x:c>
      <x:c r="G813" s="141" t="n">
        <x:f>IF(AND($B$22="Sim",A813=$B$23),$B$35,0)</x:f>
        <x:v>0</x:v>
      </x:c>
      <x:c r="H813" s="141" t="n">
        <x:f>IF(AND($B$22="Sim",A813=$B$23),$B$36,0)</x:f>
        <x:v>0</x:v>
      </x:c>
      <x:c r="I813" s="141" t="n">
        <x:f>IF(OR($B$22&lt;&gt;"Sim",A813&gt;=$B$23+$B$31-1),0,(I814+C814)/(1+$B$9))</x:f>
        <x:v>0</x:v>
      </x:c>
      <x:c r="J813" s="140" t="str">
        <x:f>IF($B$22&lt;&gt;"Sim","Desativada",IF(A813&lt;$B$23,"Antes da compra",IF(A813&lt;$B$23+$B$31,"Parcelas restantes","Encerrado")))</x:f>
        <x:v>Encerrado</x:v>
      </x:c>
      <x:c r="K813" s="141" t="n">
        <x:f>IF(C813&gt;0,C813/(1+$B$9)^A813,0)</x:f>
        <x:v>0</x:v>
      </x:c>
    </x:row>
    <x:row r="814">
      <x:c r="A814" s="142" t="n">
        <x:v>760</x:v>
      </x:c>
      <x:c r="B814" s="179" t="n">
        <x:f>EDATE($B$5,A814-1)</x:f>
        <x:v>69642</x:v>
      </x:c>
      <x:c r="C814" s="141" t="n">
        <x:f>IF(AND($B$22="Sim",A814&gt;=$B$23,A814&lt;$B$23+$B$31),$B$32*D814,0)</x:f>
        <x:v>0</x:v>
      </x:c>
      <x:c r="D814" s="180" t="n">
        <x:f>IF(A814&lt;$B$23,1,(1+$B$33)^INT((A814-$B$23)/12))</x:f>
        <x:v>39.288867609372694</x:v>
      </x:c>
      <x:c r="E814" s="141" t="n">
        <x:f>IF(AND($B$22="Sim",A814=$B$23),$B$37,0)</x:f>
        <x:v>0</x:v>
      </x:c>
      <x:c r="F814" s="141" t="n">
        <x:f>IF(AND($B$22="Sim",A814=$B$24),$B$27,0)</x:f>
        <x:v>0</x:v>
      </x:c>
      <x:c r="G814" s="141" t="n">
        <x:f>IF(AND($B$22="Sim",A814=$B$23),$B$35,0)</x:f>
        <x:v>0</x:v>
      </x:c>
      <x:c r="H814" s="141" t="n">
        <x:f>IF(AND($B$22="Sim",A814=$B$23),$B$36,0)</x:f>
        <x:v>0</x:v>
      </x:c>
      <x:c r="I814" s="141" t="n">
        <x:f>IF(OR($B$22&lt;&gt;"Sim",A814&gt;=$B$23+$B$31-1),0,(I815+C815)/(1+$B$9))</x:f>
        <x:v>0</x:v>
      </x:c>
      <x:c r="J814" s="140" t="str">
        <x:f>IF($B$22&lt;&gt;"Sim","Desativada",IF(A814&lt;$B$23,"Antes da compra",IF(A814&lt;$B$23+$B$31,"Parcelas restantes","Encerrado")))</x:f>
        <x:v>Encerrado</x:v>
      </x:c>
      <x:c r="K814" s="141" t="n">
        <x:f>IF(C814&gt;0,C814/(1+$B$9)^A814,0)</x:f>
        <x:v>0</x:v>
      </x:c>
    </x:row>
    <x:row r="815">
      <x:c r="A815" s="142" t="n">
        <x:v>761</x:v>
      </x:c>
      <x:c r="B815" s="179" t="n">
        <x:f>EDATE($B$5,A815-1)</x:f>
        <x:v>69672</x:v>
      </x:c>
      <x:c r="C815" s="141" t="n">
        <x:f>IF(AND($B$22="Sim",A815&gt;=$B$23,A815&lt;$B$23+$B$31),$B$32*D815,0)</x:f>
        <x:v>0</x:v>
      </x:c>
      <x:c r="D815" s="180" t="n">
        <x:f>IF(A815&lt;$B$23,1,(1+$B$33)^INT((A815-$B$23)/12))</x:f>
        <x:v>39.288867609372694</x:v>
      </x:c>
      <x:c r="E815" s="141" t="n">
        <x:f>IF(AND($B$22="Sim",A815=$B$23),$B$37,0)</x:f>
        <x:v>0</x:v>
      </x:c>
      <x:c r="F815" s="141" t="n">
        <x:f>IF(AND($B$22="Sim",A815=$B$24),$B$27,0)</x:f>
        <x:v>0</x:v>
      </x:c>
      <x:c r="G815" s="141" t="n">
        <x:f>IF(AND($B$22="Sim",A815=$B$23),$B$35,0)</x:f>
        <x:v>0</x:v>
      </x:c>
      <x:c r="H815" s="141" t="n">
        <x:f>IF(AND($B$22="Sim",A815=$B$23),$B$36,0)</x:f>
        <x:v>0</x:v>
      </x:c>
      <x:c r="I815" s="141" t="n">
        <x:f>IF(OR($B$22&lt;&gt;"Sim",A815&gt;=$B$23+$B$31-1),0,(I816+C816)/(1+$B$9))</x:f>
        <x:v>0</x:v>
      </x:c>
      <x:c r="J815" s="140" t="str">
        <x:f>IF($B$22&lt;&gt;"Sim","Desativada",IF(A815&lt;$B$23,"Antes da compra",IF(A815&lt;$B$23+$B$31,"Parcelas restantes","Encerrado")))</x:f>
        <x:v>Encerrado</x:v>
      </x:c>
      <x:c r="K815" s="141" t="n">
        <x:f>IF(C815&gt;0,C815/(1+$B$9)^A815,0)</x:f>
        <x:v>0</x:v>
      </x:c>
    </x:row>
    <x:row r="816">
      <x:c r="A816" s="142" t="n">
        <x:v>762</x:v>
      </x:c>
      <x:c r="B816" s="179" t="n">
        <x:f>EDATE($B$5,A816-1)</x:f>
        <x:v>69703</x:v>
      </x:c>
      <x:c r="C816" s="141" t="n">
        <x:f>IF(AND($B$22="Sim",A816&gt;=$B$23,A816&lt;$B$23+$B$31),$B$32*D816,0)</x:f>
        <x:v>0</x:v>
      </x:c>
      <x:c r="D816" s="180" t="n">
        <x:f>IF(A816&lt;$B$23,1,(1+$B$33)^INT((A816-$B$23)/12))</x:f>
        <x:v>39.288867609372694</x:v>
      </x:c>
      <x:c r="E816" s="141" t="n">
        <x:f>IF(AND($B$22="Sim",A816=$B$23),$B$37,0)</x:f>
        <x:v>0</x:v>
      </x:c>
      <x:c r="F816" s="141" t="n">
        <x:f>IF(AND($B$22="Sim",A816=$B$24),$B$27,0)</x:f>
        <x:v>0</x:v>
      </x:c>
      <x:c r="G816" s="141" t="n">
        <x:f>IF(AND($B$22="Sim",A816=$B$23),$B$35,0)</x:f>
        <x:v>0</x:v>
      </x:c>
      <x:c r="H816" s="141" t="n">
        <x:f>IF(AND($B$22="Sim",A816=$B$23),$B$36,0)</x:f>
        <x:v>0</x:v>
      </x:c>
      <x:c r="I816" s="141" t="n">
        <x:f>IF(OR($B$22&lt;&gt;"Sim",A816&gt;=$B$23+$B$31-1),0,(I817+C817)/(1+$B$9))</x:f>
        <x:v>0</x:v>
      </x:c>
      <x:c r="J816" s="140" t="str">
        <x:f>IF($B$22&lt;&gt;"Sim","Desativada",IF(A816&lt;$B$23,"Antes da compra",IF(A816&lt;$B$23+$B$31,"Parcelas restantes","Encerrado")))</x:f>
        <x:v>Encerrado</x:v>
      </x:c>
      <x:c r="K816" s="141" t="n">
        <x:f>IF(C816&gt;0,C816/(1+$B$9)^A816,0)</x:f>
        <x:v>0</x:v>
      </x:c>
    </x:row>
    <x:row r="817">
      <x:c r="A817" s="142" t="n">
        <x:v>763</x:v>
      </x:c>
      <x:c r="B817" s="179" t="n">
        <x:f>EDATE($B$5,A817-1)</x:f>
        <x:v>69733</x:v>
      </x:c>
      <x:c r="C817" s="141" t="n">
        <x:f>IF(AND($B$22="Sim",A817&gt;=$B$23,A817&lt;$B$23+$B$31),$B$32*D817,0)</x:f>
        <x:v>0</x:v>
      </x:c>
      <x:c r="D817" s="180" t="n">
        <x:f>IF(A817&lt;$B$23,1,(1+$B$33)^INT((A817-$B$23)/12))</x:f>
        <x:v>39.288867609372694</x:v>
      </x:c>
      <x:c r="E817" s="141" t="n">
        <x:f>IF(AND($B$22="Sim",A817=$B$23),$B$37,0)</x:f>
        <x:v>0</x:v>
      </x:c>
      <x:c r="F817" s="141" t="n">
        <x:f>IF(AND($B$22="Sim",A817=$B$24),$B$27,0)</x:f>
        <x:v>0</x:v>
      </x:c>
      <x:c r="G817" s="141" t="n">
        <x:f>IF(AND($B$22="Sim",A817=$B$23),$B$35,0)</x:f>
        <x:v>0</x:v>
      </x:c>
      <x:c r="H817" s="141" t="n">
        <x:f>IF(AND($B$22="Sim",A817=$B$23),$B$36,0)</x:f>
        <x:v>0</x:v>
      </x:c>
      <x:c r="I817" s="141" t="n">
        <x:f>IF(OR($B$22&lt;&gt;"Sim",A817&gt;=$B$23+$B$31-1),0,(I818+C818)/(1+$B$9))</x:f>
        <x:v>0</x:v>
      </x:c>
      <x:c r="J817" s="140" t="str">
        <x:f>IF($B$22&lt;&gt;"Sim","Desativada",IF(A817&lt;$B$23,"Antes da compra",IF(A817&lt;$B$23+$B$31,"Parcelas restantes","Encerrado")))</x:f>
        <x:v>Encerrado</x:v>
      </x:c>
      <x:c r="K817" s="141" t="n">
        <x:f>IF(C817&gt;0,C817/(1+$B$9)^A817,0)</x:f>
        <x:v>0</x:v>
      </x:c>
    </x:row>
    <x:row r="818">
      <x:c r="A818" s="142" t="n">
        <x:v>764</x:v>
      </x:c>
      <x:c r="B818" s="179" t="n">
        <x:f>EDATE($B$5,A818-1)</x:f>
        <x:v>69764</x:v>
      </x:c>
      <x:c r="C818" s="141" t="n">
        <x:f>IF(AND($B$22="Sim",A818&gt;=$B$23,A818&lt;$B$23+$B$31),$B$32*D818,0)</x:f>
        <x:v>0</x:v>
      </x:c>
      <x:c r="D818" s="180" t="n">
        <x:f>IF(A818&lt;$B$23,1,(1+$B$33)^INT((A818-$B$23)/12))</x:f>
        <x:v>39.288867609372694</x:v>
      </x:c>
      <x:c r="E818" s="141" t="n">
        <x:f>IF(AND($B$22="Sim",A818=$B$23),$B$37,0)</x:f>
        <x:v>0</x:v>
      </x:c>
      <x:c r="F818" s="141" t="n">
        <x:f>IF(AND($B$22="Sim",A818=$B$24),$B$27,0)</x:f>
        <x:v>0</x:v>
      </x:c>
      <x:c r="G818" s="141" t="n">
        <x:f>IF(AND($B$22="Sim",A818=$B$23),$B$35,0)</x:f>
        <x:v>0</x:v>
      </x:c>
      <x:c r="H818" s="141" t="n">
        <x:f>IF(AND($B$22="Sim",A818=$B$23),$B$36,0)</x:f>
        <x:v>0</x:v>
      </x:c>
      <x:c r="I818" s="141" t="n">
        <x:f>IF(OR($B$22&lt;&gt;"Sim",A818&gt;=$B$23+$B$31-1),0,(I819+C819)/(1+$B$9))</x:f>
        <x:v>0</x:v>
      </x:c>
      <x:c r="J818" s="140" t="str">
        <x:f>IF($B$22&lt;&gt;"Sim","Desativada",IF(A818&lt;$B$23,"Antes da compra",IF(A818&lt;$B$23+$B$31,"Parcelas restantes","Encerrado")))</x:f>
        <x:v>Encerrado</x:v>
      </x:c>
      <x:c r="K818" s="141" t="n">
        <x:f>IF(C818&gt;0,C818/(1+$B$9)^A818,0)</x:f>
        <x:v>0</x:v>
      </x:c>
    </x:row>
    <x:row r="819">
      <x:c r="A819" s="142" t="n">
        <x:v>765</x:v>
      </x:c>
      <x:c r="B819" s="179" t="n">
        <x:f>EDATE($B$5,A819-1)</x:f>
        <x:v>69795</x:v>
      </x:c>
      <x:c r="C819" s="141" t="n">
        <x:f>IF(AND($B$22="Sim",A819&gt;=$B$23,A819&lt;$B$23+$B$31),$B$32*D819,0)</x:f>
        <x:v>0</x:v>
      </x:c>
      <x:c r="D819" s="180" t="n">
        <x:f>IF(A819&lt;$B$23,1,(1+$B$33)^INT((A819-$B$23)/12))</x:f>
        <x:v>39.288867609372694</x:v>
      </x:c>
      <x:c r="E819" s="141" t="n">
        <x:f>IF(AND($B$22="Sim",A819=$B$23),$B$37,0)</x:f>
        <x:v>0</x:v>
      </x:c>
      <x:c r="F819" s="141" t="n">
        <x:f>IF(AND($B$22="Sim",A819=$B$24),$B$27,0)</x:f>
        <x:v>0</x:v>
      </x:c>
      <x:c r="G819" s="141" t="n">
        <x:f>IF(AND($B$22="Sim",A819=$B$23),$B$35,0)</x:f>
        <x:v>0</x:v>
      </x:c>
      <x:c r="H819" s="141" t="n">
        <x:f>IF(AND($B$22="Sim",A819=$B$23),$B$36,0)</x:f>
        <x:v>0</x:v>
      </x:c>
      <x:c r="I819" s="141" t="n">
        <x:f>IF(OR($B$22&lt;&gt;"Sim",A819&gt;=$B$23+$B$31-1),0,(I820+C820)/(1+$B$9))</x:f>
        <x:v>0</x:v>
      </x:c>
      <x:c r="J819" s="140" t="str">
        <x:f>IF($B$22&lt;&gt;"Sim","Desativada",IF(A819&lt;$B$23,"Antes da compra",IF(A819&lt;$B$23+$B$31,"Parcelas restantes","Encerrado")))</x:f>
        <x:v>Encerrado</x:v>
      </x:c>
      <x:c r="K819" s="141" t="n">
        <x:f>IF(C819&gt;0,C819/(1+$B$9)^A819,0)</x:f>
        <x:v>0</x:v>
      </x:c>
    </x:row>
    <x:row r="820">
      <x:c r="A820" s="142" t="n">
        <x:v>766</x:v>
      </x:c>
      <x:c r="B820" s="179" t="n">
        <x:f>EDATE($B$5,A820-1)</x:f>
        <x:v>69823</x:v>
      </x:c>
      <x:c r="C820" s="141" t="n">
        <x:f>IF(AND($B$22="Sim",A820&gt;=$B$23,A820&lt;$B$23+$B$31),$B$32*D820,0)</x:f>
        <x:v>0</x:v>
      </x:c>
      <x:c r="D820" s="180" t="n">
        <x:f>IF(A820&lt;$B$23,1,(1+$B$33)^INT((A820-$B$23)/12))</x:f>
        <x:v>39.288867609372694</x:v>
      </x:c>
      <x:c r="E820" s="141" t="n">
        <x:f>IF(AND($B$22="Sim",A820=$B$23),$B$37,0)</x:f>
        <x:v>0</x:v>
      </x:c>
      <x:c r="F820" s="141" t="n">
        <x:f>IF(AND($B$22="Sim",A820=$B$24),$B$27,0)</x:f>
        <x:v>0</x:v>
      </x:c>
      <x:c r="G820" s="141" t="n">
        <x:f>IF(AND($B$22="Sim",A820=$B$23),$B$35,0)</x:f>
        <x:v>0</x:v>
      </x:c>
      <x:c r="H820" s="141" t="n">
        <x:f>IF(AND($B$22="Sim",A820=$B$23),$B$36,0)</x:f>
        <x:v>0</x:v>
      </x:c>
      <x:c r="I820" s="141" t="n">
        <x:f>IF(OR($B$22&lt;&gt;"Sim",A820&gt;=$B$23+$B$31-1),0,(I821+C821)/(1+$B$9))</x:f>
        <x:v>0</x:v>
      </x:c>
      <x:c r="J820" s="140" t="str">
        <x:f>IF($B$22&lt;&gt;"Sim","Desativada",IF(A820&lt;$B$23,"Antes da compra",IF(A820&lt;$B$23+$B$31,"Parcelas restantes","Encerrado")))</x:f>
        <x:v>Encerrado</x:v>
      </x:c>
      <x:c r="K820" s="141" t="n">
        <x:f>IF(C820&gt;0,C820/(1+$B$9)^A820,0)</x:f>
        <x:v>0</x:v>
      </x:c>
    </x:row>
    <x:row r="821">
      <x:c r="A821" s="142" t="n">
        <x:v>767</x:v>
      </x:c>
      <x:c r="B821" s="179" t="n">
        <x:f>EDATE($B$5,A821-1)</x:f>
        <x:v>69854</x:v>
      </x:c>
      <x:c r="C821" s="141" t="n">
        <x:f>IF(AND($B$22="Sim",A821&gt;=$B$23,A821&lt;$B$23+$B$31),$B$32*D821,0)</x:f>
        <x:v>0</x:v>
      </x:c>
      <x:c r="D821" s="180" t="n">
        <x:f>IF(A821&lt;$B$23,1,(1+$B$33)^INT((A821-$B$23)/12))</x:f>
        <x:v>39.288867609372694</x:v>
      </x:c>
      <x:c r="E821" s="141" t="n">
        <x:f>IF(AND($B$22="Sim",A821=$B$23),$B$37,0)</x:f>
        <x:v>0</x:v>
      </x:c>
      <x:c r="F821" s="141" t="n">
        <x:f>IF(AND($B$22="Sim",A821=$B$24),$B$27,0)</x:f>
        <x:v>0</x:v>
      </x:c>
      <x:c r="G821" s="141" t="n">
        <x:f>IF(AND($B$22="Sim",A821=$B$23),$B$35,0)</x:f>
        <x:v>0</x:v>
      </x:c>
      <x:c r="H821" s="141" t="n">
        <x:f>IF(AND($B$22="Sim",A821=$B$23),$B$36,0)</x:f>
        <x:v>0</x:v>
      </x:c>
      <x:c r="I821" s="141" t="n">
        <x:f>IF(OR($B$22&lt;&gt;"Sim",A821&gt;=$B$23+$B$31-1),0,(I822+C822)/(1+$B$9))</x:f>
        <x:v>0</x:v>
      </x:c>
      <x:c r="J821" s="140" t="str">
        <x:f>IF($B$22&lt;&gt;"Sim","Desativada",IF(A821&lt;$B$23,"Antes da compra",IF(A821&lt;$B$23+$B$31,"Parcelas restantes","Encerrado")))</x:f>
        <x:v>Encerrado</x:v>
      </x:c>
      <x:c r="K821" s="141" t="n">
        <x:f>IF(C821&gt;0,C821/(1+$B$9)^A821,0)</x:f>
        <x:v>0</x:v>
      </x:c>
    </x:row>
    <x:row r="822">
      <x:c r="A822" s="142" t="n">
        <x:v>768</x:v>
      </x:c>
      <x:c r="B822" s="179" t="n">
        <x:f>EDATE($B$5,A822-1)</x:f>
        <x:v>69884</x:v>
      </x:c>
      <x:c r="C822" s="141" t="n">
        <x:f>IF(AND($B$22="Sim",A822&gt;=$B$23,A822&lt;$B$23+$B$31),$B$32*D822,0)</x:f>
        <x:v>0</x:v>
      </x:c>
      <x:c r="D822" s="180" t="n">
        <x:f>IF(A822&lt;$B$23,1,(1+$B$33)^INT((A822-$B$23)/12))</x:f>
        <x:v>39.288867609372694</x:v>
      </x:c>
      <x:c r="E822" s="141" t="n">
        <x:f>IF(AND($B$22="Sim",A822=$B$23),$B$37,0)</x:f>
        <x:v>0</x:v>
      </x:c>
      <x:c r="F822" s="141" t="n">
        <x:f>IF(AND($B$22="Sim",A822=$B$24),$B$27,0)</x:f>
        <x:v>0</x:v>
      </x:c>
      <x:c r="G822" s="141" t="n">
        <x:f>IF(AND($B$22="Sim",A822=$B$23),$B$35,0)</x:f>
        <x:v>0</x:v>
      </x:c>
      <x:c r="H822" s="141" t="n">
        <x:f>IF(AND($B$22="Sim",A822=$B$23),$B$36,0)</x:f>
        <x:v>0</x:v>
      </x:c>
      <x:c r="I822" s="141" t="n">
        <x:f>IF(OR($B$22&lt;&gt;"Sim",A822&gt;=$B$23+$B$31-1),0,(I823+C823)/(1+$B$9))</x:f>
        <x:v>0</x:v>
      </x:c>
      <x:c r="J822" s="140" t="str">
        <x:f>IF($B$22&lt;&gt;"Sim","Desativada",IF(A822&lt;$B$23,"Antes da compra",IF(A822&lt;$B$23+$B$31,"Parcelas restantes","Encerrado")))</x:f>
        <x:v>Encerrado</x:v>
      </x:c>
      <x:c r="K822" s="141" t="n">
        <x:f>IF(C822&gt;0,C822/(1+$B$9)^A822,0)</x:f>
        <x:v>0</x:v>
      </x:c>
    </x:row>
    <x:row r="823">
      <x:c r="A823" s="142" t="n">
        <x:v>769</x:v>
      </x:c>
      <x:c r="B823" s="179" t="n">
        <x:f>EDATE($B$5,A823-1)</x:f>
        <x:v>69915</x:v>
      </x:c>
      <x:c r="C823" s="141" t="n">
        <x:f>IF(AND($B$22="Sim",A823&gt;=$B$23,A823&lt;$B$23+$B$31),$B$32*D823,0)</x:f>
        <x:v>0</x:v>
      </x:c>
      <x:c r="D823" s="180" t="n">
        <x:f>IF(A823&lt;$B$23,1,(1+$B$33)^INT((A823-$B$23)/12))</x:f>
        <x:v>41.64619966593506</x:v>
      </x:c>
      <x:c r="E823" s="141" t="n">
        <x:f>IF(AND($B$22="Sim",A823=$B$23),$B$37,0)</x:f>
        <x:v>0</x:v>
      </x:c>
      <x:c r="F823" s="141" t="n">
        <x:f>IF(AND($B$22="Sim",A823=$B$24),$B$27,0)</x:f>
        <x:v>0</x:v>
      </x:c>
      <x:c r="G823" s="141" t="n">
        <x:f>IF(AND($B$22="Sim",A823=$B$23),$B$35,0)</x:f>
        <x:v>0</x:v>
      </x:c>
      <x:c r="H823" s="141" t="n">
        <x:f>IF(AND($B$22="Sim",A823=$B$23),$B$36,0)</x:f>
        <x:v>0</x:v>
      </x:c>
      <x:c r="I823" s="141" t="n">
        <x:f>IF(OR($B$22&lt;&gt;"Sim",A823&gt;=$B$23+$B$31-1),0,(I824+C824)/(1+$B$9))</x:f>
        <x:v>0</x:v>
      </x:c>
      <x:c r="J823" s="140" t="str">
        <x:f>IF($B$22&lt;&gt;"Sim","Desativada",IF(A823&lt;$B$23,"Antes da compra",IF(A823&lt;$B$23+$B$31,"Parcelas restantes","Encerrado")))</x:f>
        <x:v>Encerrado</x:v>
      </x:c>
      <x:c r="K823" s="141" t="n">
        <x:f>IF(C823&gt;0,C823/(1+$B$9)^A823,0)</x:f>
        <x:v>0</x:v>
      </x:c>
    </x:row>
    <x:row r="824">
      <x:c r="A824" s="142" t="n">
        <x:v>770</x:v>
      </x:c>
      <x:c r="B824" s="179" t="n">
        <x:f>EDATE($B$5,A824-1)</x:f>
        <x:v>69945</x:v>
      </x:c>
      <x:c r="C824" s="141" t="n">
        <x:f>IF(AND($B$22="Sim",A824&gt;=$B$23,A824&lt;$B$23+$B$31),$B$32*D824,0)</x:f>
        <x:v>0</x:v>
      </x:c>
      <x:c r="D824" s="180" t="n">
        <x:f>IF(A824&lt;$B$23,1,(1+$B$33)^INT((A824-$B$23)/12))</x:f>
        <x:v>41.64619966593506</x:v>
      </x:c>
      <x:c r="E824" s="141" t="n">
        <x:f>IF(AND($B$22="Sim",A824=$B$23),$B$37,0)</x:f>
        <x:v>0</x:v>
      </x:c>
      <x:c r="F824" s="141" t="n">
        <x:f>IF(AND($B$22="Sim",A824=$B$24),$B$27,0)</x:f>
        <x:v>0</x:v>
      </x:c>
      <x:c r="G824" s="141" t="n">
        <x:f>IF(AND($B$22="Sim",A824=$B$23),$B$35,0)</x:f>
        <x:v>0</x:v>
      </x:c>
      <x:c r="H824" s="141" t="n">
        <x:f>IF(AND($B$22="Sim",A824=$B$23),$B$36,0)</x:f>
        <x:v>0</x:v>
      </x:c>
      <x:c r="I824" s="141" t="n">
        <x:f>IF(OR($B$22&lt;&gt;"Sim",A824&gt;=$B$23+$B$31-1),0,(I825+C825)/(1+$B$9))</x:f>
        <x:v>0</x:v>
      </x:c>
      <x:c r="J824" s="140" t="str">
        <x:f>IF($B$22&lt;&gt;"Sim","Desativada",IF(A824&lt;$B$23,"Antes da compra",IF(A824&lt;$B$23+$B$31,"Parcelas restantes","Encerrado")))</x:f>
        <x:v>Encerrado</x:v>
      </x:c>
      <x:c r="K824" s="141" t="n">
        <x:f>IF(C824&gt;0,C824/(1+$B$9)^A824,0)</x:f>
        <x:v>0</x:v>
      </x:c>
    </x:row>
    <x:row r="825">
      <x:c r="A825" s="142" t="n">
        <x:v>771</x:v>
      </x:c>
      <x:c r="B825" s="179" t="n">
        <x:f>EDATE($B$5,A825-1)</x:f>
        <x:v>69976</x:v>
      </x:c>
      <x:c r="C825" s="141" t="n">
        <x:f>IF(AND($B$22="Sim",A825&gt;=$B$23,A825&lt;$B$23+$B$31),$B$32*D825,0)</x:f>
        <x:v>0</x:v>
      </x:c>
      <x:c r="D825" s="180" t="n">
        <x:f>IF(A825&lt;$B$23,1,(1+$B$33)^INT((A825-$B$23)/12))</x:f>
        <x:v>41.64619966593506</x:v>
      </x:c>
      <x:c r="E825" s="141" t="n">
        <x:f>IF(AND($B$22="Sim",A825=$B$23),$B$37,0)</x:f>
        <x:v>0</x:v>
      </x:c>
      <x:c r="F825" s="141" t="n">
        <x:f>IF(AND($B$22="Sim",A825=$B$24),$B$27,0)</x:f>
        <x:v>0</x:v>
      </x:c>
      <x:c r="G825" s="141" t="n">
        <x:f>IF(AND($B$22="Sim",A825=$B$23),$B$35,0)</x:f>
        <x:v>0</x:v>
      </x:c>
      <x:c r="H825" s="141" t="n">
        <x:f>IF(AND($B$22="Sim",A825=$B$23),$B$36,0)</x:f>
        <x:v>0</x:v>
      </x:c>
      <x:c r="I825" s="141" t="n">
        <x:f>IF(OR($B$22&lt;&gt;"Sim",A825&gt;=$B$23+$B$31-1),0,(I826+C826)/(1+$B$9))</x:f>
        <x:v>0</x:v>
      </x:c>
      <x:c r="J825" s="140" t="str">
        <x:f>IF($B$22&lt;&gt;"Sim","Desativada",IF(A825&lt;$B$23,"Antes da compra",IF(A825&lt;$B$23+$B$31,"Parcelas restantes","Encerrado")))</x:f>
        <x:v>Encerrado</x:v>
      </x:c>
      <x:c r="K825" s="141" t="n">
        <x:f>IF(C825&gt;0,C825/(1+$B$9)^A825,0)</x:f>
        <x:v>0</x:v>
      </x:c>
    </x:row>
    <x:row r="826">
      <x:c r="A826" s="142" t="n">
        <x:v>772</x:v>
      </x:c>
      <x:c r="B826" s="179" t="n">
        <x:f>EDATE($B$5,A826-1)</x:f>
        <x:v>70007</x:v>
      </x:c>
      <x:c r="C826" s="141" t="n">
        <x:f>IF(AND($B$22="Sim",A826&gt;=$B$23,A826&lt;$B$23+$B$31),$B$32*D826,0)</x:f>
        <x:v>0</x:v>
      </x:c>
      <x:c r="D826" s="180" t="n">
        <x:f>IF(A826&lt;$B$23,1,(1+$B$33)^INT((A826-$B$23)/12))</x:f>
        <x:v>41.64619966593506</x:v>
      </x:c>
      <x:c r="E826" s="141" t="n">
        <x:f>IF(AND($B$22="Sim",A826=$B$23),$B$37,0)</x:f>
        <x:v>0</x:v>
      </x:c>
      <x:c r="F826" s="141" t="n">
        <x:f>IF(AND($B$22="Sim",A826=$B$24),$B$27,0)</x:f>
        <x:v>0</x:v>
      </x:c>
      <x:c r="G826" s="141" t="n">
        <x:f>IF(AND($B$22="Sim",A826=$B$23),$B$35,0)</x:f>
        <x:v>0</x:v>
      </x:c>
      <x:c r="H826" s="141" t="n">
        <x:f>IF(AND($B$22="Sim",A826=$B$23),$B$36,0)</x:f>
        <x:v>0</x:v>
      </x:c>
      <x:c r="I826" s="141" t="n">
        <x:f>IF(OR($B$22&lt;&gt;"Sim",A826&gt;=$B$23+$B$31-1),0,(I827+C827)/(1+$B$9))</x:f>
        <x:v>0</x:v>
      </x:c>
      <x:c r="J826" s="140" t="str">
        <x:f>IF($B$22&lt;&gt;"Sim","Desativada",IF(A826&lt;$B$23,"Antes da compra",IF(A826&lt;$B$23+$B$31,"Parcelas restantes","Encerrado")))</x:f>
        <x:v>Encerrado</x:v>
      </x:c>
      <x:c r="K826" s="141" t="n">
        <x:f>IF(C826&gt;0,C826/(1+$B$9)^A826,0)</x:f>
        <x:v>0</x:v>
      </x:c>
    </x:row>
    <x:row r="827">
      <x:c r="A827" s="142" t="n">
        <x:v>773</x:v>
      </x:c>
      <x:c r="B827" s="179" t="n">
        <x:f>EDATE($B$5,A827-1)</x:f>
        <x:v>70037</x:v>
      </x:c>
      <x:c r="C827" s="141" t="n">
        <x:f>IF(AND($B$22="Sim",A827&gt;=$B$23,A827&lt;$B$23+$B$31),$B$32*D827,0)</x:f>
        <x:v>0</x:v>
      </x:c>
      <x:c r="D827" s="180" t="n">
        <x:f>IF(A827&lt;$B$23,1,(1+$B$33)^INT((A827-$B$23)/12))</x:f>
        <x:v>41.64619966593506</x:v>
      </x:c>
      <x:c r="E827" s="141" t="n">
        <x:f>IF(AND($B$22="Sim",A827=$B$23),$B$37,0)</x:f>
        <x:v>0</x:v>
      </x:c>
      <x:c r="F827" s="141" t="n">
        <x:f>IF(AND($B$22="Sim",A827=$B$24),$B$27,0)</x:f>
        <x:v>0</x:v>
      </x:c>
      <x:c r="G827" s="141" t="n">
        <x:f>IF(AND($B$22="Sim",A827=$B$23),$B$35,0)</x:f>
        <x:v>0</x:v>
      </x:c>
      <x:c r="H827" s="141" t="n">
        <x:f>IF(AND($B$22="Sim",A827=$B$23),$B$36,0)</x:f>
        <x:v>0</x:v>
      </x:c>
      <x:c r="I827" s="141" t="n">
        <x:f>IF(OR($B$22&lt;&gt;"Sim",A827&gt;=$B$23+$B$31-1),0,(I828+C828)/(1+$B$9))</x:f>
        <x:v>0</x:v>
      </x:c>
      <x:c r="J827" s="140" t="str">
        <x:f>IF($B$22&lt;&gt;"Sim","Desativada",IF(A827&lt;$B$23,"Antes da compra",IF(A827&lt;$B$23+$B$31,"Parcelas restantes","Encerrado")))</x:f>
        <x:v>Encerrado</x:v>
      </x:c>
      <x:c r="K827" s="141" t="n">
        <x:f>IF(C827&gt;0,C827/(1+$B$9)^A827,0)</x:f>
        <x:v>0</x:v>
      </x:c>
    </x:row>
    <x:row r="828">
      <x:c r="A828" s="142" t="n">
        <x:v>774</x:v>
      </x:c>
      <x:c r="B828" s="179" t="n">
        <x:f>EDATE($B$5,A828-1)</x:f>
        <x:v>70068</x:v>
      </x:c>
      <x:c r="C828" s="141" t="n">
        <x:f>IF(AND($B$22="Sim",A828&gt;=$B$23,A828&lt;$B$23+$B$31),$B$32*D828,0)</x:f>
        <x:v>0</x:v>
      </x:c>
      <x:c r="D828" s="180" t="n">
        <x:f>IF(A828&lt;$B$23,1,(1+$B$33)^INT((A828-$B$23)/12))</x:f>
        <x:v>41.64619966593506</x:v>
      </x:c>
      <x:c r="E828" s="141" t="n">
        <x:f>IF(AND($B$22="Sim",A828=$B$23),$B$37,0)</x:f>
        <x:v>0</x:v>
      </x:c>
      <x:c r="F828" s="141" t="n">
        <x:f>IF(AND($B$22="Sim",A828=$B$24),$B$27,0)</x:f>
        <x:v>0</x:v>
      </x:c>
      <x:c r="G828" s="141" t="n">
        <x:f>IF(AND($B$22="Sim",A828=$B$23),$B$35,0)</x:f>
        <x:v>0</x:v>
      </x:c>
      <x:c r="H828" s="141" t="n">
        <x:f>IF(AND($B$22="Sim",A828=$B$23),$B$36,0)</x:f>
        <x:v>0</x:v>
      </x:c>
      <x:c r="I828" s="141" t="n">
        <x:f>IF(OR($B$22&lt;&gt;"Sim",A828&gt;=$B$23+$B$31-1),0,(I829+C829)/(1+$B$9))</x:f>
        <x:v>0</x:v>
      </x:c>
      <x:c r="J828" s="140" t="str">
        <x:f>IF($B$22&lt;&gt;"Sim","Desativada",IF(A828&lt;$B$23,"Antes da compra",IF(A828&lt;$B$23+$B$31,"Parcelas restantes","Encerrado")))</x:f>
        <x:v>Encerrado</x:v>
      </x:c>
      <x:c r="K828" s="141" t="n">
        <x:f>IF(C828&gt;0,C828/(1+$B$9)^A828,0)</x:f>
        <x:v>0</x:v>
      </x:c>
    </x:row>
    <x:row r="829">
      <x:c r="A829" s="142" t="n">
        <x:v>775</x:v>
      </x:c>
      <x:c r="B829" s="179" t="n">
        <x:f>EDATE($B$5,A829-1)</x:f>
        <x:v>70098</x:v>
      </x:c>
      <x:c r="C829" s="141" t="n">
        <x:f>IF(AND($B$22="Sim",A829&gt;=$B$23,A829&lt;$B$23+$B$31),$B$32*D829,0)</x:f>
        <x:v>0</x:v>
      </x:c>
      <x:c r="D829" s="180" t="n">
        <x:f>IF(A829&lt;$B$23,1,(1+$B$33)^INT((A829-$B$23)/12))</x:f>
        <x:v>41.64619966593506</x:v>
      </x:c>
      <x:c r="E829" s="141" t="n">
        <x:f>IF(AND($B$22="Sim",A829=$B$23),$B$37,0)</x:f>
        <x:v>0</x:v>
      </x:c>
      <x:c r="F829" s="141" t="n">
        <x:f>IF(AND($B$22="Sim",A829=$B$24),$B$27,0)</x:f>
        <x:v>0</x:v>
      </x:c>
      <x:c r="G829" s="141" t="n">
        <x:f>IF(AND($B$22="Sim",A829=$B$23),$B$35,0)</x:f>
        <x:v>0</x:v>
      </x:c>
      <x:c r="H829" s="141" t="n">
        <x:f>IF(AND($B$22="Sim",A829=$B$23),$B$36,0)</x:f>
        <x:v>0</x:v>
      </x:c>
      <x:c r="I829" s="141" t="n">
        <x:f>IF(OR($B$22&lt;&gt;"Sim",A829&gt;=$B$23+$B$31-1),0,(I830+C830)/(1+$B$9))</x:f>
        <x:v>0</x:v>
      </x:c>
      <x:c r="J829" s="140" t="str">
        <x:f>IF($B$22&lt;&gt;"Sim","Desativada",IF(A829&lt;$B$23,"Antes da compra",IF(A829&lt;$B$23+$B$31,"Parcelas restantes","Encerrado")))</x:f>
        <x:v>Encerrado</x:v>
      </x:c>
      <x:c r="K829" s="141" t="n">
        <x:f>IF(C829&gt;0,C829/(1+$B$9)^A829,0)</x:f>
        <x:v>0</x:v>
      </x:c>
    </x:row>
    <x:row r="830">
      <x:c r="A830" s="142" t="n">
        <x:v>776</x:v>
      </x:c>
      <x:c r="B830" s="179" t="n">
        <x:f>EDATE($B$5,A830-1)</x:f>
        <x:v>70129</x:v>
      </x:c>
      <x:c r="C830" s="141" t="n">
        <x:f>IF(AND($B$22="Sim",A830&gt;=$B$23,A830&lt;$B$23+$B$31),$B$32*D830,0)</x:f>
        <x:v>0</x:v>
      </x:c>
      <x:c r="D830" s="180" t="n">
        <x:f>IF(A830&lt;$B$23,1,(1+$B$33)^INT((A830-$B$23)/12))</x:f>
        <x:v>41.64619966593506</x:v>
      </x:c>
      <x:c r="E830" s="141" t="n">
        <x:f>IF(AND($B$22="Sim",A830=$B$23),$B$37,0)</x:f>
        <x:v>0</x:v>
      </x:c>
      <x:c r="F830" s="141" t="n">
        <x:f>IF(AND($B$22="Sim",A830=$B$24),$B$27,0)</x:f>
        <x:v>0</x:v>
      </x:c>
      <x:c r="G830" s="141" t="n">
        <x:f>IF(AND($B$22="Sim",A830=$B$23),$B$35,0)</x:f>
        <x:v>0</x:v>
      </x:c>
      <x:c r="H830" s="141" t="n">
        <x:f>IF(AND($B$22="Sim",A830=$B$23),$B$36,0)</x:f>
        <x:v>0</x:v>
      </x:c>
      <x:c r="I830" s="141" t="n">
        <x:f>IF(OR($B$22&lt;&gt;"Sim",A830&gt;=$B$23+$B$31-1),0,(I831+C831)/(1+$B$9))</x:f>
        <x:v>0</x:v>
      </x:c>
      <x:c r="J830" s="140" t="str">
        <x:f>IF($B$22&lt;&gt;"Sim","Desativada",IF(A830&lt;$B$23,"Antes da compra",IF(A830&lt;$B$23+$B$31,"Parcelas restantes","Encerrado")))</x:f>
        <x:v>Encerrado</x:v>
      </x:c>
      <x:c r="K830" s="141" t="n">
        <x:f>IF(C830&gt;0,C830/(1+$B$9)^A830,0)</x:f>
        <x:v>0</x:v>
      </x:c>
    </x:row>
    <x:row r="831">
      <x:c r="A831" s="142" t="n">
        <x:v>777</x:v>
      </x:c>
      <x:c r="B831" s="179" t="n">
        <x:f>EDATE($B$5,A831-1)</x:f>
        <x:v>70160</x:v>
      </x:c>
      <x:c r="C831" s="141" t="n">
        <x:f>IF(AND($B$22="Sim",A831&gt;=$B$23,A831&lt;$B$23+$B$31),$B$32*D831,0)</x:f>
        <x:v>0</x:v>
      </x:c>
      <x:c r="D831" s="180" t="n">
        <x:f>IF(A831&lt;$B$23,1,(1+$B$33)^INT((A831-$B$23)/12))</x:f>
        <x:v>41.64619966593506</x:v>
      </x:c>
      <x:c r="E831" s="141" t="n">
        <x:f>IF(AND($B$22="Sim",A831=$B$23),$B$37,0)</x:f>
        <x:v>0</x:v>
      </x:c>
      <x:c r="F831" s="141" t="n">
        <x:f>IF(AND($B$22="Sim",A831=$B$24),$B$27,0)</x:f>
        <x:v>0</x:v>
      </x:c>
      <x:c r="G831" s="141" t="n">
        <x:f>IF(AND($B$22="Sim",A831=$B$23),$B$35,0)</x:f>
        <x:v>0</x:v>
      </x:c>
      <x:c r="H831" s="141" t="n">
        <x:f>IF(AND($B$22="Sim",A831=$B$23),$B$36,0)</x:f>
        <x:v>0</x:v>
      </x:c>
      <x:c r="I831" s="141" t="n">
        <x:f>IF(OR($B$22&lt;&gt;"Sim",A831&gt;=$B$23+$B$31-1),0,(I832+C832)/(1+$B$9))</x:f>
        <x:v>0</x:v>
      </x:c>
      <x:c r="J831" s="140" t="str">
        <x:f>IF($B$22&lt;&gt;"Sim","Desativada",IF(A831&lt;$B$23,"Antes da compra",IF(A831&lt;$B$23+$B$31,"Parcelas restantes","Encerrado")))</x:f>
        <x:v>Encerrado</x:v>
      </x:c>
      <x:c r="K831" s="141" t="n">
        <x:f>IF(C831&gt;0,C831/(1+$B$9)^A831,0)</x:f>
        <x:v>0</x:v>
      </x:c>
    </x:row>
    <x:row r="832">
      <x:c r="A832" s="142" t="n">
        <x:v>778</x:v>
      </x:c>
      <x:c r="B832" s="179" t="n">
        <x:f>EDATE($B$5,A832-1)</x:f>
        <x:v>70189</x:v>
      </x:c>
      <x:c r="C832" s="141" t="n">
        <x:f>IF(AND($B$22="Sim",A832&gt;=$B$23,A832&lt;$B$23+$B$31),$B$32*D832,0)</x:f>
        <x:v>0</x:v>
      </x:c>
      <x:c r="D832" s="180" t="n">
        <x:f>IF(A832&lt;$B$23,1,(1+$B$33)^INT((A832-$B$23)/12))</x:f>
        <x:v>41.64619966593506</x:v>
      </x:c>
      <x:c r="E832" s="141" t="n">
        <x:f>IF(AND($B$22="Sim",A832=$B$23),$B$37,0)</x:f>
        <x:v>0</x:v>
      </x:c>
      <x:c r="F832" s="141" t="n">
        <x:f>IF(AND($B$22="Sim",A832=$B$24),$B$27,0)</x:f>
        <x:v>0</x:v>
      </x:c>
      <x:c r="G832" s="141" t="n">
        <x:f>IF(AND($B$22="Sim",A832=$B$23),$B$35,0)</x:f>
        <x:v>0</x:v>
      </x:c>
      <x:c r="H832" s="141" t="n">
        <x:f>IF(AND($B$22="Sim",A832=$B$23),$B$36,0)</x:f>
        <x:v>0</x:v>
      </x:c>
      <x:c r="I832" s="141" t="n">
        <x:f>IF(OR($B$22&lt;&gt;"Sim",A832&gt;=$B$23+$B$31-1),0,(I833+C833)/(1+$B$9))</x:f>
        <x:v>0</x:v>
      </x:c>
      <x:c r="J832" s="140" t="str">
        <x:f>IF($B$22&lt;&gt;"Sim","Desativada",IF(A832&lt;$B$23,"Antes da compra",IF(A832&lt;$B$23+$B$31,"Parcelas restantes","Encerrado")))</x:f>
        <x:v>Encerrado</x:v>
      </x:c>
      <x:c r="K832" s="141" t="n">
        <x:f>IF(C832&gt;0,C832/(1+$B$9)^A832,0)</x:f>
        <x:v>0</x:v>
      </x:c>
    </x:row>
    <x:row r="833">
      <x:c r="A833" s="142" t="n">
        <x:v>779</x:v>
      </x:c>
      <x:c r="B833" s="179" t="n">
        <x:f>EDATE($B$5,A833-1)</x:f>
        <x:v>70220</x:v>
      </x:c>
      <x:c r="C833" s="141" t="n">
        <x:f>IF(AND($B$22="Sim",A833&gt;=$B$23,A833&lt;$B$23+$B$31),$B$32*D833,0)</x:f>
        <x:v>0</x:v>
      </x:c>
      <x:c r="D833" s="180" t="n">
        <x:f>IF(A833&lt;$B$23,1,(1+$B$33)^INT((A833-$B$23)/12))</x:f>
        <x:v>41.64619966593506</x:v>
      </x:c>
      <x:c r="E833" s="141" t="n">
        <x:f>IF(AND($B$22="Sim",A833=$B$23),$B$37,0)</x:f>
        <x:v>0</x:v>
      </x:c>
      <x:c r="F833" s="141" t="n">
        <x:f>IF(AND($B$22="Sim",A833=$B$24),$B$27,0)</x:f>
        <x:v>0</x:v>
      </x:c>
      <x:c r="G833" s="141" t="n">
        <x:f>IF(AND($B$22="Sim",A833=$B$23),$B$35,0)</x:f>
        <x:v>0</x:v>
      </x:c>
      <x:c r="H833" s="141" t="n">
        <x:f>IF(AND($B$22="Sim",A833=$B$23),$B$36,0)</x:f>
        <x:v>0</x:v>
      </x:c>
      <x:c r="I833" s="141" t="n">
        <x:f>IF(OR($B$22&lt;&gt;"Sim",A833&gt;=$B$23+$B$31-1),0,(I834+C834)/(1+$B$9))</x:f>
        <x:v>0</x:v>
      </x:c>
      <x:c r="J833" s="140" t="str">
        <x:f>IF($B$22&lt;&gt;"Sim","Desativada",IF(A833&lt;$B$23,"Antes da compra",IF(A833&lt;$B$23+$B$31,"Parcelas restantes","Encerrado")))</x:f>
        <x:v>Encerrado</x:v>
      </x:c>
      <x:c r="K833" s="141" t="n">
        <x:f>IF(C833&gt;0,C833/(1+$B$9)^A833,0)</x:f>
        <x:v>0</x:v>
      </x:c>
    </x:row>
    <x:row r="834">
      <x:c r="A834" s="142" t="n">
        <x:v>780</x:v>
      </x:c>
      <x:c r="B834" s="179" t="n">
        <x:f>EDATE($B$5,A834-1)</x:f>
        <x:v>70250</x:v>
      </x:c>
      <x:c r="C834" s="141" t="n">
        <x:f>IF(AND($B$22="Sim",A834&gt;=$B$23,A834&lt;$B$23+$B$31),$B$32*D834,0)</x:f>
        <x:v>0</x:v>
      </x:c>
      <x:c r="D834" s="180" t="n">
        <x:f>IF(A834&lt;$B$23,1,(1+$B$33)^INT((A834-$B$23)/12))</x:f>
        <x:v>41.64619966593506</x:v>
      </x:c>
      <x:c r="E834" s="141" t="n">
        <x:f>IF(AND($B$22="Sim",A834=$B$23),$B$37,0)</x:f>
        <x:v>0</x:v>
      </x:c>
      <x:c r="F834" s="141" t="n">
        <x:f>IF(AND($B$22="Sim",A834=$B$24),$B$27,0)</x:f>
        <x:v>0</x:v>
      </x:c>
      <x:c r="G834" s="141" t="n">
        <x:f>IF(AND($B$22="Sim",A834=$B$23),$B$35,0)</x:f>
        <x:v>0</x:v>
      </x:c>
      <x:c r="H834" s="141" t="n">
        <x:f>IF(AND($B$22="Sim",A834=$B$23),$B$36,0)</x:f>
        <x:v>0</x:v>
      </x:c>
      <x:c r="I834" s="141" t="n">
        <x:f>IF(OR($B$22&lt;&gt;"Sim",A834&gt;=$B$23+$B$31-1),0,(I835+C835)/(1+$B$9))</x:f>
        <x:v>0</x:v>
      </x:c>
      <x:c r="J834" s="140" t="str">
        <x:f>IF($B$22&lt;&gt;"Sim","Desativada",IF(A834&lt;$B$23,"Antes da compra",IF(A834&lt;$B$23+$B$31,"Parcelas restantes","Encerrado")))</x:f>
        <x:v>Encerrado</x:v>
      </x:c>
      <x:c r="K834" s="141" t="n">
        <x:f>IF(C834&gt;0,C834/(1+$B$9)^A834,0)</x:f>
        <x:v>0</x:v>
      </x:c>
    </x:row>
    <x:row r="835">
      <x:c r="A835" s="142" t="n">
        <x:v>781</x:v>
      </x:c>
      <x:c r="B835" s="179" t="n">
        <x:f>EDATE($B$5,A835-1)</x:f>
        <x:v>70281</x:v>
      </x:c>
      <x:c r="C835" s="141" t="n">
        <x:f>IF(AND($B$22="Sim",A835&gt;=$B$23,A835&lt;$B$23+$B$31),$B$32*D835,0)</x:f>
        <x:v>0</x:v>
      </x:c>
      <x:c r="D835" s="180" t="n">
        <x:f>IF(A835&lt;$B$23,1,(1+$B$33)^INT((A835-$B$23)/12))</x:f>
        <x:v>44.14497164589116</x:v>
      </x:c>
      <x:c r="E835" s="141" t="n">
        <x:f>IF(AND($B$22="Sim",A835=$B$23),$B$37,0)</x:f>
        <x:v>0</x:v>
      </x:c>
      <x:c r="F835" s="141" t="n">
        <x:f>IF(AND($B$22="Sim",A835=$B$24),$B$27,0)</x:f>
        <x:v>0</x:v>
      </x:c>
      <x:c r="G835" s="141" t="n">
        <x:f>IF(AND($B$22="Sim",A835=$B$23),$B$35,0)</x:f>
        <x:v>0</x:v>
      </x:c>
      <x:c r="H835" s="141" t="n">
        <x:f>IF(AND($B$22="Sim",A835=$B$23),$B$36,0)</x:f>
        <x:v>0</x:v>
      </x:c>
      <x:c r="I835" s="141" t="n">
        <x:f>IF(OR($B$22&lt;&gt;"Sim",A835&gt;=$B$23+$B$31-1),0,(I836+C836)/(1+$B$9))</x:f>
        <x:v>0</x:v>
      </x:c>
      <x:c r="J835" s="140" t="str">
        <x:f>IF($B$22&lt;&gt;"Sim","Desativada",IF(A835&lt;$B$23,"Antes da compra",IF(A835&lt;$B$23+$B$31,"Parcelas restantes","Encerrado")))</x:f>
        <x:v>Encerrado</x:v>
      </x:c>
      <x:c r="K835" s="141" t="n">
        <x:f>IF(C835&gt;0,C835/(1+$B$9)^A835,0)</x:f>
        <x:v>0</x:v>
      </x:c>
    </x:row>
    <x:row r="836">
      <x:c r="A836" s="142" t="n">
        <x:v>782</x:v>
      </x:c>
      <x:c r="B836" s="179" t="n">
        <x:f>EDATE($B$5,A836-1)</x:f>
        <x:v>70311</x:v>
      </x:c>
      <x:c r="C836" s="141" t="n">
        <x:f>IF(AND($B$22="Sim",A836&gt;=$B$23,A836&lt;$B$23+$B$31),$B$32*D836,0)</x:f>
        <x:v>0</x:v>
      </x:c>
      <x:c r="D836" s="180" t="n">
        <x:f>IF(A836&lt;$B$23,1,(1+$B$33)^INT((A836-$B$23)/12))</x:f>
        <x:v>44.14497164589116</x:v>
      </x:c>
      <x:c r="E836" s="141" t="n">
        <x:f>IF(AND($B$22="Sim",A836=$B$23),$B$37,0)</x:f>
        <x:v>0</x:v>
      </x:c>
      <x:c r="F836" s="141" t="n">
        <x:f>IF(AND($B$22="Sim",A836=$B$24),$B$27,0)</x:f>
        <x:v>0</x:v>
      </x:c>
      <x:c r="G836" s="141" t="n">
        <x:f>IF(AND($B$22="Sim",A836=$B$23),$B$35,0)</x:f>
        <x:v>0</x:v>
      </x:c>
      <x:c r="H836" s="141" t="n">
        <x:f>IF(AND($B$22="Sim",A836=$B$23),$B$36,0)</x:f>
        <x:v>0</x:v>
      </x:c>
      <x:c r="I836" s="141" t="n">
        <x:f>IF(OR($B$22&lt;&gt;"Sim",A836&gt;=$B$23+$B$31-1),0,(I837+C837)/(1+$B$9))</x:f>
        <x:v>0</x:v>
      </x:c>
      <x:c r="J836" s="140" t="str">
        <x:f>IF($B$22&lt;&gt;"Sim","Desativada",IF(A836&lt;$B$23,"Antes da compra",IF(A836&lt;$B$23+$B$31,"Parcelas restantes","Encerrado")))</x:f>
        <x:v>Encerrado</x:v>
      </x:c>
      <x:c r="K836" s="141" t="n">
        <x:f>IF(C836&gt;0,C836/(1+$B$9)^A836,0)</x:f>
        <x:v>0</x:v>
      </x:c>
    </x:row>
    <x:row r="837">
      <x:c r="A837" s="142" t="n">
        <x:v>783</x:v>
      </x:c>
      <x:c r="B837" s="179" t="n">
        <x:f>EDATE($B$5,A837-1)</x:f>
        <x:v>70342</x:v>
      </x:c>
      <x:c r="C837" s="141" t="n">
        <x:f>IF(AND($B$22="Sim",A837&gt;=$B$23,A837&lt;$B$23+$B$31),$B$32*D837,0)</x:f>
        <x:v>0</x:v>
      </x:c>
      <x:c r="D837" s="180" t="n">
        <x:f>IF(A837&lt;$B$23,1,(1+$B$33)^INT((A837-$B$23)/12))</x:f>
        <x:v>44.14497164589116</x:v>
      </x:c>
      <x:c r="E837" s="141" t="n">
        <x:f>IF(AND($B$22="Sim",A837=$B$23),$B$37,0)</x:f>
        <x:v>0</x:v>
      </x:c>
      <x:c r="F837" s="141" t="n">
        <x:f>IF(AND($B$22="Sim",A837=$B$24),$B$27,0)</x:f>
        <x:v>0</x:v>
      </x:c>
      <x:c r="G837" s="141" t="n">
        <x:f>IF(AND($B$22="Sim",A837=$B$23),$B$35,0)</x:f>
        <x:v>0</x:v>
      </x:c>
      <x:c r="H837" s="141" t="n">
        <x:f>IF(AND($B$22="Sim",A837=$B$23),$B$36,0)</x:f>
        <x:v>0</x:v>
      </x:c>
      <x:c r="I837" s="141" t="n">
        <x:f>IF(OR($B$22&lt;&gt;"Sim",A837&gt;=$B$23+$B$31-1),0,(I838+C838)/(1+$B$9))</x:f>
        <x:v>0</x:v>
      </x:c>
      <x:c r="J837" s="140" t="str">
        <x:f>IF($B$22&lt;&gt;"Sim","Desativada",IF(A837&lt;$B$23,"Antes da compra",IF(A837&lt;$B$23+$B$31,"Parcelas restantes","Encerrado")))</x:f>
        <x:v>Encerrado</x:v>
      </x:c>
      <x:c r="K837" s="141" t="n">
        <x:f>IF(C837&gt;0,C837/(1+$B$9)^A837,0)</x:f>
        <x:v>0</x:v>
      </x:c>
    </x:row>
    <x:row r="838">
      <x:c r="A838" s="142" t="n">
        <x:v>784</x:v>
      </x:c>
      <x:c r="B838" s="179" t="n">
        <x:f>EDATE($B$5,A838-1)</x:f>
        <x:v>70373</x:v>
      </x:c>
      <x:c r="C838" s="141" t="n">
        <x:f>IF(AND($B$22="Sim",A838&gt;=$B$23,A838&lt;$B$23+$B$31),$B$32*D838,0)</x:f>
        <x:v>0</x:v>
      </x:c>
      <x:c r="D838" s="180" t="n">
        <x:f>IF(A838&lt;$B$23,1,(1+$B$33)^INT((A838-$B$23)/12))</x:f>
        <x:v>44.14497164589116</x:v>
      </x:c>
      <x:c r="E838" s="141" t="n">
        <x:f>IF(AND($B$22="Sim",A838=$B$23),$B$37,0)</x:f>
        <x:v>0</x:v>
      </x:c>
      <x:c r="F838" s="141" t="n">
        <x:f>IF(AND($B$22="Sim",A838=$B$24),$B$27,0)</x:f>
        <x:v>0</x:v>
      </x:c>
      <x:c r="G838" s="141" t="n">
        <x:f>IF(AND($B$22="Sim",A838=$B$23),$B$35,0)</x:f>
        <x:v>0</x:v>
      </x:c>
      <x:c r="H838" s="141" t="n">
        <x:f>IF(AND($B$22="Sim",A838=$B$23),$B$36,0)</x:f>
        <x:v>0</x:v>
      </x:c>
      <x:c r="I838" s="141" t="n">
        <x:f>IF(OR($B$22&lt;&gt;"Sim",A838&gt;=$B$23+$B$31-1),0,(I839+C839)/(1+$B$9))</x:f>
        <x:v>0</x:v>
      </x:c>
      <x:c r="J838" s="140" t="str">
        <x:f>IF($B$22&lt;&gt;"Sim","Desativada",IF(A838&lt;$B$23,"Antes da compra",IF(A838&lt;$B$23+$B$31,"Parcelas restantes","Encerrado")))</x:f>
        <x:v>Encerrado</x:v>
      </x:c>
      <x:c r="K838" s="141" t="n">
        <x:f>IF(C838&gt;0,C838/(1+$B$9)^A838,0)</x:f>
        <x:v>0</x:v>
      </x:c>
    </x:row>
    <x:row r="839">
      <x:c r="A839" s="142" t="n">
        <x:v>785</x:v>
      </x:c>
      <x:c r="B839" s="179" t="n">
        <x:f>EDATE($B$5,A839-1)</x:f>
        <x:v>70403</x:v>
      </x:c>
      <x:c r="C839" s="141" t="n">
        <x:f>IF(AND($B$22="Sim",A839&gt;=$B$23,A839&lt;$B$23+$B$31),$B$32*D839,0)</x:f>
        <x:v>0</x:v>
      </x:c>
      <x:c r="D839" s="180" t="n">
        <x:f>IF(A839&lt;$B$23,1,(1+$B$33)^INT((A839-$B$23)/12))</x:f>
        <x:v>44.14497164589116</x:v>
      </x:c>
      <x:c r="E839" s="141" t="n">
        <x:f>IF(AND($B$22="Sim",A839=$B$23),$B$37,0)</x:f>
        <x:v>0</x:v>
      </x:c>
      <x:c r="F839" s="141" t="n">
        <x:f>IF(AND($B$22="Sim",A839=$B$24),$B$27,0)</x:f>
        <x:v>0</x:v>
      </x:c>
      <x:c r="G839" s="141" t="n">
        <x:f>IF(AND($B$22="Sim",A839=$B$23),$B$35,0)</x:f>
        <x:v>0</x:v>
      </x:c>
      <x:c r="H839" s="141" t="n">
        <x:f>IF(AND($B$22="Sim",A839=$B$23),$B$36,0)</x:f>
        <x:v>0</x:v>
      </x:c>
      <x:c r="I839" s="141" t="n">
        <x:f>IF(OR($B$22&lt;&gt;"Sim",A839&gt;=$B$23+$B$31-1),0,(I840+C840)/(1+$B$9))</x:f>
        <x:v>0</x:v>
      </x:c>
      <x:c r="J839" s="140" t="str">
        <x:f>IF($B$22&lt;&gt;"Sim","Desativada",IF(A839&lt;$B$23,"Antes da compra",IF(A839&lt;$B$23+$B$31,"Parcelas restantes","Encerrado")))</x:f>
        <x:v>Encerrado</x:v>
      </x:c>
      <x:c r="K839" s="141" t="n">
        <x:f>IF(C839&gt;0,C839/(1+$B$9)^A839,0)</x:f>
        <x:v>0</x:v>
      </x:c>
    </x:row>
    <x:row r="840">
      <x:c r="A840" s="142" t="n">
        <x:v>786</x:v>
      </x:c>
      <x:c r="B840" s="179" t="n">
        <x:f>EDATE($B$5,A840-1)</x:f>
        <x:v>70434</x:v>
      </x:c>
      <x:c r="C840" s="141" t="n">
        <x:f>IF(AND($B$22="Sim",A840&gt;=$B$23,A840&lt;$B$23+$B$31),$B$32*D840,0)</x:f>
        <x:v>0</x:v>
      </x:c>
      <x:c r="D840" s="180" t="n">
        <x:f>IF(A840&lt;$B$23,1,(1+$B$33)^INT((A840-$B$23)/12))</x:f>
        <x:v>44.14497164589116</x:v>
      </x:c>
      <x:c r="E840" s="141" t="n">
        <x:f>IF(AND($B$22="Sim",A840=$B$23),$B$37,0)</x:f>
        <x:v>0</x:v>
      </x:c>
      <x:c r="F840" s="141" t="n">
        <x:f>IF(AND($B$22="Sim",A840=$B$24),$B$27,0)</x:f>
        <x:v>0</x:v>
      </x:c>
      <x:c r="G840" s="141" t="n">
        <x:f>IF(AND($B$22="Sim",A840=$B$23),$B$35,0)</x:f>
        <x:v>0</x:v>
      </x:c>
      <x:c r="H840" s="141" t="n">
        <x:f>IF(AND($B$22="Sim",A840=$B$23),$B$36,0)</x:f>
        <x:v>0</x:v>
      </x:c>
      <x:c r="I840" s="141" t="n">
        <x:f>IF(OR($B$22&lt;&gt;"Sim",A840&gt;=$B$23+$B$31-1),0,(I841+C841)/(1+$B$9))</x:f>
        <x:v>0</x:v>
      </x:c>
      <x:c r="J840" s="140" t="str">
        <x:f>IF($B$22&lt;&gt;"Sim","Desativada",IF(A840&lt;$B$23,"Antes da compra",IF(A840&lt;$B$23+$B$31,"Parcelas restantes","Encerrado")))</x:f>
        <x:v>Encerrado</x:v>
      </x:c>
      <x:c r="K840" s="141" t="n">
        <x:f>IF(C840&gt;0,C840/(1+$B$9)^A840,0)</x:f>
        <x:v>0</x:v>
      </x:c>
    </x:row>
    <x:row r="841">
      <x:c r="A841" s="142" t="n">
        <x:v>787</x:v>
      </x:c>
      <x:c r="B841" s="179" t="n">
        <x:f>EDATE($B$5,A841-1)</x:f>
        <x:v>70464</x:v>
      </x:c>
      <x:c r="C841" s="141" t="n">
        <x:f>IF(AND($B$22="Sim",A841&gt;=$B$23,A841&lt;$B$23+$B$31),$B$32*D841,0)</x:f>
        <x:v>0</x:v>
      </x:c>
      <x:c r="D841" s="180" t="n">
        <x:f>IF(A841&lt;$B$23,1,(1+$B$33)^INT((A841-$B$23)/12))</x:f>
        <x:v>44.14497164589116</x:v>
      </x:c>
      <x:c r="E841" s="141" t="n">
        <x:f>IF(AND($B$22="Sim",A841=$B$23),$B$37,0)</x:f>
        <x:v>0</x:v>
      </x:c>
      <x:c r="F841" s="141" t="n">
        <x:f>IF(AND($B$22="Sim",A841=$B$24),$B$27,0)</x:f>
        <x:v>0</x:v>
      </x:c>
      <x:c r="G841" s="141" t="n">
        <x:f>IF(AND($B$22="Sim",A841=$B$23),$B$35,0)</x:f>
        <x:v>0</x:v>
      </x:c>
      <x:c r="H841" s="141" t="n">
        <x:f>IF(AND($B$22="Sim",A841=$B$23),$B$36,0)</x:f>
        <x:v>0</x:v>
      </x:c>
      <x:c r="I841" s="141" t="n">
        <x:f>IF(OR($B$22&lt;&gt;"Sim",A841&gt;=$B$23+$B$31-1),0,(I842+C842)/(1+$B$9))</x:f>
        <x:v>0</x:v>
      </x:c>
      <x:c r="J841" s="140" t="str">
        <x:f>IF($B$22&lt;&gt;"Sim","Desativada",IF(A841&lt;$B$23,"Antes da compra",IF(A841&lt;$B$23+$B$31,"Parcelas restantes","Encerrado")))</x:f>
        <x:v>Encerrado</x:v>
      </x:c>
      <x:c r="K841" s="141" t="n">
        <x:f>IF(C841&gt;0,C841/(1+$B$9)^A841,0)</x:f>
        <x:v>0</x:v>
      </x:c>
    </x:row>
    <x:row r="842">
      <x:c r="A842" s="142" t="n">
        <x:v>788</x:v>
      </x:c>
      <x:c r="B842" s="179" t="n">
        <x:f>EDATE($B$5,A842-1)</x:f>
        <x:v>70495</x:v>
      </x:c>
      <x:c r="C842" s="141" t="n">
        <x:f>IF(AND($B$22="Sim",A842&gt;=$B$23,A842&lt;$B$23+$B$31),$B$32*D842,0)</x:f>
        <x:v>0</x:v>
      </x:c>
      <x:c r="D842" s="180" t="n">
        <x:f>IF(A842&lt;$B$23,1,(1+$B$33)^INT((A842-$B$23)/12))</x:f>
        <x:v>44.14497164589116</x:v>
      </x:c>
      <x:c r="E842" s="141" t="n">
        <x:f>IF(AND($B$22="Sim",A842=$B$23),$B$37,0)</x:f>
        <x:v>0</x:v>
      </x:c>
      <x:c r="F842" s="141" t="n">
        <x:f>IF(AND($B$22="Sim",A842=$B$24),$B$27,0)</x:f>
        <x:v>0</x:v>
      </x:c>
      <x:c r="G842" s="141" t="n">
        <x:f>IF(AND($B$22="Sim",A842=$B$23),$B$35,0)</x:f>
        <x:v>0</x:v>
      </x:c>
      <x:c r="H842" s="141" t="n">
        <x:f>IF(AND($B$22="Sim",A842=$B$23),$B$36,0)</x:f>
        <x:v>0</x:v>
      </x:c>
      <x:c r="I842" s="141" t="n">
        <x:f>IF(OR($B$22&lt;&gt;"Sim",A842&gt;=$B$23+$B$31-1),0,(I843+C843)/(1+$B$9))</x:f>
        <x:v>0</x:v>
      </x:c>
      <x:c r="J842" s="140" t="str">
        <x:f>IF($B$22&lt;&gt;"Sim","Desativada",IF(A842&lt;$B$23,"Antes da compra",IF(A842&lt;$B$23+$B$31,"Parcelas restantes","Encerrado")))</x:f>
        <x:v>Encerrado</x:v>
      </x:c>
      <x:c r="K842" s="141" t="n">
        <x:f>IF(C842&gt;0,C842/(1+$B$9)^A842,0)</x:f>
        <x:v>0</x:v>
      </x:c>
    </x:row>
    <x:row r="843">
      <x:c r="A843" s="142" t="n">
        <x:v>789</x:v>
      </x:c>
      <x:c r="B843" s="179" t="n">
        <x:f>EDATE($B$5,A843-1)</x:f>
        <x:v>70526</x:v>
      </x:c>
      <x:c r="C843" s="141" t="n">
        <x:f>IF(AND($B$22="Sim",A843&gt;=$B$23,A843&lt;$B$23+$B$31),$B$32*D843,0)</x:f>
        <x:v>0</x:v>
      </x:c>
      <x:c r="D843" s="180" t="n">
        <x:f>IF(A843&lt;$B$23,1,(1+$B$33)^INT((A843-$B$23)/12))</x:f>
        <x:v>44.14497164589116</x:v>
      </x:c>
      <x:c r="E843" s="141" t="n">
        <x:f>IF(AND($B$22="Sim",A843=$B$23),$B$37,0)</x:f>
        <x:v>0</x:v>
      </x:c>
      <x:c r="F843" s="141" t="n">
        <x:f>IF(AND($B$22="Sim",A843=$B$24),$B$27,0)</x:f>
        <x:v>0</x:v>
      </x:c>
      <x:c r="G843" s="141" t="n">
        <x:f>IF(AND($B$22="Sim",A843=$B$23),$B$35,0)</x:f>
        <x:v>0</x:v>
      </x:c>
      <x:c r="H843" s="141" t="n">
        <x:f>IF(AND($B$22="Sim",A843=$B$23),$B$36,0)</x:f>
        <x:v>0</x:v>
      </x:c>
      <x:c r="I843" s="141" t="n">
        <x:f>IF(OR($B$22&lt;&gt;"Sim",A843&gt;=$B$23+$B$31-1),0,(I844+C844)/(1+$B$9))</x:f>
        <x:v>0</x:v>
      </x:c>
      <x:c r="J843" s="140" t="str">
        <x:f>IF($B$22&lt;&gt;"Sim","Desativada",IF(A843&lt;$B$23,"Antes da compra",IF(A843&lt;$B$23+$B$31,"Parcelas restantes","Encerrado")))</x:f>
        <x:v>Encerrado</x:v>
      </x:c>
      <x:c r="K843" s="141" t="n">
        <x:f>IF(C843&gt;0,C843/(1+$B$9)^A843,0)</x:f>
        <x:v>0</x:v>
      </x:c>
    </x:row>
    <x:row r="844">
      <x:c r="A844" s="142" t="n">
        <x:v>790</x:v>
      </x:c>
      <x:c r="B844" s="179" t="n">
        <x:f>EDATE($B$5,A844-1)</x:f>
        <x:v>70554</x:v>
      </x:c>
      <x:c r="C844" s="141" t="n">
        <x:f>IF(AND($B$22="Sim",A844&gt;=$B$23,A844&lt;$B$23+$B$31),$B$32*D844,0)</x:f>
        <x:v>0</x:v>
      </x:c>
      <x:c r="D844" s="180" t="n">
        <x:f>IF(A844&lt;$B$23,1,(1+$B$33)^INT((A844-$B$23)/12))</x:f>
        <x:v>44.14497164589116</x:v>
      </x:c>
      <x:c r="E844" s="141" t="n">
        <x:f>IF(AND($B$22="Sim",A844=$B$23),$B$37,0)</x:f>
        <x:v>0</x:v>
      </x:c>
      <x:c r="F844" s="141" t="n">
        <x:f>IF(AND($B$22="Sim",A844=$B$24),$B$27,0)</x:f>
        <x:v>0</x:v>
      </x:c>
      <x:c r="G844" s="141" t="n">
        <x:f>IF(AND($B$22="Sim",A844=$B$23),$B$35,0)</x:f>
        <x:v>0</x:v>
      </x:c>
      <x:c r="H844" s="141" t="n">
        <x:f>IF(AND($B$22="Sim",A844=$B$23),$B$36,0)</x:f>
        <x:v>0</x:v>
      </x:c>
      <x:c r="I844" s="141" t="n">
        <x:f>IF(OR($B$22&lt;&gt;"Sim",A844&gt;=$B$23+$B$31-1),0,(I845+C845)/(1+$B$9))</x:f>
        <x:v>0</x:v>
      </x:c>
      <x:c r="J844" s="140" t="str">
        <x:f>IF($B$22&lt;&gt;"Sim","Desativada",IF(A844&lt;$B$23,"Antes da compra",IF(A844&lt;$B$23+$B$31,"Parcelas restantes","Encerrado")))</x:f>
        <x:v>Encerrado</x:v>
      </x:c>
      <x:c r="K844" s="141" t="n">
        <x:f>IF(C844&gt;0,C844/(1+$B$9)^A844,0)</x:f>
        <x:v>0</x:v>
      </x:c>
    </x:row>
    <x:row r="845">
      <x:c r="A845" s="142" t="n">
        <x:v>791</x:v>
      </x:c>
      <x:c r="B845" s="179" t="n">
        <x:f>EDATE($B$5,A845-1)</x:f>
        <x:v>70585</x:v>
      </x:c>
      <x:c r="C845" s="141" t="n">
        <x:f>IF(AND($B$22="Sim",A845&gt;=$B$23,A845&lt;$B$23+$B$31),$B$32*D845,0)</x:f>
        <x:v>0</x:v>
      </x:c>
      <x:c r="D845" s="180" t="n">
        <x:f>IF(A845&lt;$B$23,1,(1+$B$33)^INT((A845-$B$23)/12))</x:f>
        <x:v>44.14497164589116</x:v>
      </x:c>
      <x:c r="E845" s="141" t="n">
        <x:f>IF(AND($B$22="Sim",A845=$B$23),$B$37,0)</x:f>
        <x:v>0</x:v>
      </x:c>
      <x:c r="F845" s="141" t="n">
        <x:f>IF(AND($B$22="Sim",A845=$B$24),$B$27,0)</x:f>
        <x:v>0</x:v>
      </x:c>
      <x:c r="G845" s="141" t="n">
        <x:f>IF(AND($B$22="Sim",A845=$B$23),$B$35,0)</x:f>
        <x:v>0</x:v>
      </x:c>
      <x:c r="H845" s="141" t="n">
        <x:f>IF(AND($B$22="Sim",A845=$B$23),$B$36,0)</x:f>
        <x:v>0</x:v>
      </x:c>
      <x:c r="I845" s="141" t="n">
        <x:f>IF(OR($B$22&lt;&gt;"Sim",A845&gt;=$B$23+$B$31-1),0,(I846+C846)/(1+$B$9))</x:f>
        <x:v>0</x:v>
      </x:c>
      <x:c r="J845" s="140" t="str">
        <x:f>IF($B$22&lt;&gt;"Sim","Desativada",IF(A845&lt;$B$23,"Antes da compra",IF(A845&lt;$B$23+$B$31,"Parcelas restantes","Encerrado")))</x:f>
        <x:v>Encerrado</x:v>
      </x:c>
      <x:c r="K845" s="141" t="n">
        <x:f>IF(C845&gt;0,C845/(1+$B$9)^A845,0)</x:f>
        <x:v>0</x:v>
      </x:c>
    </x:row>
    <x:row r="846">
      <x:c r="A846" s="142" t="n">
        <x:v>792</x:v>
      </x:c>
      <x:c r="B846" s="179" t="n">
        <x:f>EDATE($B$5,A846-1)</x:f>
        <x:v>70615</x:v>
      </x:c>
      <x:c r="C846" s="141" t="n">
        <x:f>IF(AND($B$22="Sim",A846&gt;=$B$23,A846&lt;$B$23+$B$31),$B$32*D846,0)</x:f>
        <x:v>0</x:v>
      </x:c>
      <x:c r="D846" s="180" t="n">
        <x:f>IF(A846&lt;$B$23,1,(1+$B$33)^INT((A846-$B$23)/12))</x:f>
        <x:v>44.14497164589116</x:v>
      </x:c>
      <x:c r="E846" s="141" t="n">
        <x:f>IF(AND($B$22="Sim",A846=$B$23),$B$37,0)</x:f>
        <x:v>0</x:v>
      </x:c>
      <x:c r="F846" s="141" t="n">
        <x:f>IF(AND($B$22="Sim",A846=$B$24),$B$27,0)</x:f>
        <x:v>0</x:v>
      </x:c>
      <x:c r="G846" s="141" t="n">
        <x:f>IF(AND($B$22="Sim",A846=$B$23),$B$35,0)</x:f>
        <x:v>0</x:v>
      </x:c>
      <x:c r="H846" s="141" t="n">
        <x:f>IF(AND($B$22="Sim",A846=$B$23),$B$36,0)</x:f>
        <x:v>0</x:v>
      </x:c>
      <x:c r="I846" s="141" t="n">
        <x:f>IF(OR($B$22&lt;&gt;"Sim",A846&gt;=$B$23+$B$31-1),0,(I847+C847)/(1+$B$9))</x:f>
        <x:v>0</x:v>
      </x:c>
      <x:c r="J846" s="140" t="str">
        <x:f>IF($B$22&lt;&gt;"Sim","Desativada",IF(A846&lt;$B$23,"Antes da compra",IF(A846&lt;$B$23+$B$31,"Parcelas restantes","Encerrado")))</x:f>
        <x:v>Encerrado</x:v>
      </x:c>
      <x:c r="K846" s="141" t="n">
        <x:f>IF(C846&gt;0,C846/(1+$B$9)^A846,0)</x:f>
        <x:v>0</x:v>
      </x:c>
    </x:row>
    <x:row r="847">
      <x:c r="A847" s="142" t="n">
        <x:v>793</x:v>
      </x:c>
      <x:c r="B847" s="179" t="n">
        <x:f>EDATE($B$5,A847-1)</x:f>
        <x:v>70646</x:v>
      </x:c>
      <x:c r="C847" s="141" t="n">
        <x:f>IF(AND($B$22="Sim",A847&gt;=$B$23,A847&lt;$B$23+$B$31),$B$32*D847,0)</x:f>
        <x:v>0</x:v>
      </x:c>
      <x:c r="D847" s="180" t="n">
        <x:f>IF(A847&lt;$B$23,1,(1+$B$33)^INT((A847-$B$23)/12))</x:f>
        <x:v>46.793669944644634</x:v>
      </x:c>
      <x:c r="E847" s="141" t="n">
        <x:f>IF(AND($B$22="Sim",A847=$B$23),$B$37,0)</x:f>
        <x:v>0</x:v>
      </x:c>
      <x:c r="F847" s="141" t="n">
        <x:f>IF(AND($B$22="Sim",A847=$B$24),$B$27,0)</x:f>
        <x:v>0</x:v>
      </x:c>
      <x:c r="G847" s="141" t="n">
        <x:f>IF(AND($B$22="Sim",A847=$B$23),$B$35,0)</x:f>
        <x:v>0</x:v>
      </x:c>
      <x:c r="H847" s="141" t="n">
        <x:f>IF(AND($B$22="Sim",A847=$B$23),$B$36,0)</x:f>
        <x:v>0</x:v>
      </x:c>
      <x:c r="I847" s="141" t="n">
        <x:f>IF(OR($B$22&lt;&gt;"Sim",A847&gt;=$B$23+$B$31-1),0,(I848+C848)/(1+$B$9))</x:f>
        <x:v>0</x:v>
      </x:c>
      <x:c r="J847" s="140" t="str">
        <x:f>IF($B$22&lt;&gt;"Sim","Desativada",IF(A847&lt;$B$23,"Antes da compra",IF(A847&lt;$B$23+$B$31,"Parcelas restantes","Encerrado")))</x:f>
        <x:v>Encerrado</x:v>
      </x:c>
      <x:c r="K847" s="141" t="n">
        <x:f>IF(C847&gt;0,C847/(1+$B$9)^A847,0)</x:f>
        <x:v>0</x:v>
      </x:c>
    </x:row>
    <x:row r="848">
      <x:c r="A848" s="142" t="n">
        <x:v>794</x:v>
      </x:c>
      <x:c r="B848" s="179" t="n">
        <x:f>EDATE($B$5,A848-1)</x:f>
        <x:v>70676</x:v>
      </x:c>
      <x:c r="C848" s="141" t="n">
        <x:f>IF(AND($B$22="Sim",A848&gt;=$B$23,A848&lt;$B$23+$B$31),$B$32*D848,0)</x:f>
        <x:v>0</x:v>
      </x:c>
      <x:c r="D848" s="180" t="n">
        <x:f>IF(A848&lt;$B$23,1,(1+$B$33)^INT((A848-$B$23)/12))</x:f>
        <x:v>46.793669944644634</x:v>
      </x:c>
      <x:c r="E848" s="141" t="n">
        <x:f>IF(AND($B$22="Sim",A848=$B$23),$B$37,0)</x:f>
        <x:v>0</x:v>
      </x:c>
      <x:c r="F848" s="141" t="n">
        <x:f>IF(AND($B$22="Sim",A848=$B$24),$B$27,0)</x:f>
        <x:v>0</x:v>
      </x:c>
      <x:c r="G848" s="141" t="n">
        <x:f>IF(AND($B$22="Sim",A848=$B$23),$B$35,0)</x:f>
        <x:v>0</x:v>
      </x:c>
      <x:c r="H848" s="141" t="n">
        <x:f>IF(AND($B$22="Sim",A848=$B$23),$B$36,0)</x:f>
        <x:v>0</x:v>
      </x:c>
      <x:c r="I848" s="141" t="n">
        <x:f>IF(OR($B$22&lt;&gt;"Sim",A848&gt;=$B$23+$B$31-1),0,(I849+C849)/(1+$B$9))</x:f>
        <x:v>0</x:v>
      </x:c>
      <x:c r="J848" s="140" t="str">
        <x:f>IF($B$22&lt;&gt;"Sim","Desativada",IF(A848&lt;$B$23,"Antes da compra",IF(A848&lt;$B$23+$B$31,"Parcelas restantes","Encerrado")))</x:f>
        <x:v>Encerrado</x:v>
      </x:c>
      <x:c r="K848" s="141" t="n">
        <x:f>IF(C848&gt;0,C848/(1+$B$9)^A848,0)</x:f>
        <x:v>0</x:v>
      </x:c>
    </x:row>
    <x:row r="849">
      <x:c r="A849" s="142" t="n">
        <x:v>795</x:v>
      </x:c>
      <x:c r="B849" s="179" t="n">
        <x:f>EDATE($B$5,A849-1)</x:f>
        <x:v>70707</x:v>
      </x:c>
      <x:c r="C849" s="141" t="n">
        <x:f>IF(AND($B$22="Sim",A849&gt;=$B$23,A849&lt;$B$23+$B$31),$B$32*D849,0)</x:f>
        <x:v>0</x:v>
      </x:c>
      <x:c r="D849" s="180" t="n">
        <x:f>IF(A849&lt;$B$23,1,(1+$B$33)^INT((A849-$B$23)/12))</x:f>
        <x:v>46.793669944644634</x:v>
      </x:c>
      <x:c r="E849" s="141" t="n">
        <x:f>IF(AND($B$22="Sim",A849=$B$23),$B$37,0)</x:f>
        <x:v>0</x:v>
      </x:c>
      <x:c r="F849" s="141" t="n">
        <x:f>IF(AND($B$22="Sim",A849=$B$24),$B$27,0)</x:f>
        <x:v>0</x:v>
      </x:c>
      <x:c r="G849" s="141" t="n">
        <x:f>IF(AND($B$22="Sim",A849=$B$23),$B$35,0)</x:f>
        <x:v>0</x:v>
      </x:c>
      <x:c r="H849" s="141" t="n">
        <x:f>IF(AND($B$22="Sim",A849=$B$23),$B$36,0)</x:f>
        <x:v>0</x:v>
      </x:c>
      <x:c r="I849" s="141" t="n">
        <x:f>IF(OR($B$22&lt;&gt;"Sim",A849&gt;=$B$23+$B$31-1),0,(I850+C850)/(1+$B$9))</x:f>
        <x:v>0</x:v>
      </x:c>
      <x:c r="J849" s="140" t="str">
        <x:f>IF($B$22&lt;&gt;"Sim","Desativada",IF(A849&lt;$B$23,"Antes da compra",IF(A849&lt;$B$23+$B$31,"Parcelas restantes","Encerrado")))</x:f>
        <x:v>Encerrado</x:v>
      </x:c>
      <x:c r="K849" s="141" t="n">
        <x:f>IF(C849&gt;0,C849/(1+$B$9)^A849,0)</x:f>
        <x:v>0</x:v>
      </x:c>
    </x:row>
    <x:row r="850">
      <x:c r="A850" s="142" t="n">
        <x:v>796</x:v>
      </x:c>
      <x:c r="B850" s="179" t="n">
        <x:f>EDATE($B$5,A850-1)</x:f>
        <x:v>70738</x:v>
      </x:c>
      <x:c r="C850" s="141" t="n">
        <x:f>IF(AND($B$22="Sim",A850&gt;=$B$23,A850&lt;$B$23+$B$31),$B$32*D850,0)</x:f>
        <x:v>0</x:v>
      </x:c>
      <x:c r="D850" s="180" t="n">
        <x:f>IF(A850&lt;$B$23,1,(1+$B$33)^INT((A850-$B$23)/12))</x:f>
        <x:v>46.793669944644634</x:v>
      </x:c>
      <x:c r="E850" s="141" t="n">
        <x:f>IF(AND($B$22="Sim",A850=$B$23),$B$37,0)</x:f>
        <x:v>0</x:v>
      </x:c>
      <x:c r="F850" s="141" t="n">
        <x:f>IF(AND($B$22="Sim",A850=$B$24),$B$27,0)</x:f>
        <x:v>0</x:v>
      </x:c>
      <x:c r="G850" s="141" t="n">
        <x:f>IF(AND($B$22="Sim",A850=$B$23),$B$35,0)</x:f>
        <x:v>0</x:v>
      </x:c>
      <x:c r="H850" s="141" t="n">
        <x:f>IF(AND($B$22="Sim",A850=$B$23),$B$36,0)</x:f>
        <x:v>0</x:v>
      </x:c>
      <x:c r="I850" s="141" t="n">
        <x:f>IF(OR($B$22&lt;&gt;"Sim",A850&gt;=$B$23+$B$31-1),0,(I851+C851)/(1+$B$9))</x:f>
        <x:v>0</x:v>
      </x:c>
      <x:c r="J850" s="140" t="str">
        <x:f>IF($B$22&lt;&gt;"Sim","Desativada",IF(A850&lt;$B$23,"Antes da compra",IF(A850&lt;$B$23+$B$31,"Parcelas restantes","Encerrado")))</x:f>
        <x:v>Encerrado</x:v>
      </x:c>
      <x:c r="K850" s="141" t="n">
        <x:f>IF(C850&gt;0,C850/(1+$B$9)^A850,0)</x:f>
        <x:v>0</x:v>
      </x:c>
    </x:row>
    <x:row r="851">
      <x:c r="A851" s="142" t="n">
        <x:v>797</x:v>
      </x:c>
      <x:c r="B851" s="179" t="n">
        <x:f>EDATE($B$5,A851-1)</x:f>
        <x:v>70768</x:v>
      </x:c>
      <x:c r="C851" s="141" t="n">
        <x:f>IF(AND($B$22="Sim",A851&gt;=$B$23,A851&lt;$B$23+$B$31),$B$32*D851,0)</x:f>
        <x:v>0</x:v>
      </x:c>
      <x:c r="D851" s="180" t="n">
        <x:f>IF(A851&lt;$B$23,1,(1+$B$33)^INT((A851-$B$23)/12))</x:f>
        <x:v>46.793669944644634</x:v>
      </x:c>
      <x:c r="E851" s="141" t="n">
        <x:f>IF(AND($B$22="Sim",A851=$B$23),$B$37,0)</x:f>
        <x:v>0</x:v>
      </x:c>
      <x:c r="F851" s="141" t="n">
        <x:f>IF(AND($B$22="Sim",A851=$B$24),$B$27,0)</x:f>
        <x:v>0</x:v>
      </x:c>
      <x:c r="G851" s="141" t="n">
        <x:f>IF(AND($B$22="Sim",A851=$B$23),$B$35,0)</x:f>
        <x:v>0</x:v>
      </x:c>
      <x:c r="H851" s="141" t="n">
        <x:f>IF(AND($B$22="Sim",A851=$B$23),$B$36,0)</x:f>
        <x:v>0</x:v>
      </x:c>
      <x:c r="I851" s="141" t="n">
        <x:f>IF(OR($B$22&lt;&gt;"Sim",A851&gt;=$B$23+$B$31-1),0,(I852+C852)/(1+$B$9))</x:f>
        <x:v>0</x:v>
      </x:c>
      <x:c r="J851" s="140" t="str">
        <x:f>IF($B$22&lt;&gt;"Sim","Desativada",IF(A851&lt;$B$23,"Antes da compra",IF(A851&lt;$B$23+$B$31,"Parcelas restantes","Encerrado")))</x:f>
        <x:v>Encerrado</x:v>
      </x:c>
      <x:c r="K851" s="141" t="n">
        <x:f>IF(C851&gt;0,C851/(1+$B$9)^A851,0)</x:f>
        <x:v>0</x:v>
      </x:c>
    </x:row>
    <x:row r="852">
      <x:c r="A852" s="142" t="n">
        <x:v>798</x:v>
      </x:c>
      <x:c r="B852" s="179" t="n">
        <x:f>EDATE($B$5,A852-1)</x:f>
        <x:v>70799</x:v>
      </x:c>
      <x:c r="C852" s="141" t="n">
        <x:f>IF(AND($B$22="Sim",A852&gt;=$B$23,A852&lt;$B$23+$B$31),$B$32*D852,0)</x:f>
        <x:v>0</x:v>
      </x:c>
      <x:c r="D852" s="180" t="n">
        <x:f>IF(A852&lt;$B$23,1,(1+$B$33)^INT((A852-$B$23)/12))</x:f>
        <x:v>46.793669944644634</x:v>
      </x:c>
      <x:c r="E852" s="141" t="n">
        <x:f>IF(AND($B$22="Sim",A852=$B$23),$B$37,0)</x:f>
        <x:v>0</x:v>
      </x:c>
      <x:c r="F852" s="141" t="n">
        <x:f>IF(AND($B$22="Sim",A852=$B$24),$B$27,0)</x:f>
        <x:v>0</x:v>
      </x:c>
      <x:c r="G852" s="141" t="n">
        <x:f>IF(AND($B$22="Sim",A852=$B$23),$B$35,0)</x:f>
        <x:v>0</x:v>
      </x:c>
      <x:c r="H852" s="141" t="n">
        <x:f>IF(AND($B$22="Sim",A852=$B$23),$B$36,0)</x:f>
        <x:v>0</x:v>
      </x:c>
      <x:c r="I852" s="141" t="n">
        <x:f>IF(OR($B$22&lt;&gt;"Sim",A852&gt;=$B$23+$B$31-1),0,(I853+C853)/(1+$B$9))</x:f>
        <x:v>0</x:v>
      </x:c>
      <x:c r="J852" s="140" t="str">
        <x:f>IF($B$22&lt;&gt;"Sim","Desativada",IF(A852&lt;$B$23,"Antes da compra",IF(A852&lt;$B$23+$B$31,"Parcelas restantes","Encerrado")))</x:f>
        <x:v>Encerrado</x:v>
      </x:c>
      <x:c r="K852" s="141" t="n">
        <x:f>IF(C852&gt;0,C852/(1+$B$9)^A852,0)</x:f>
        <x:v>0</x:v>
      </x:c>
    </x:row>
    <x:row r="853">
      <x:c r="A853" s="142" t="n">
        <x:v>799</x:v>
      </x:c>
      <x:c r="B853" s="179" t="n">
        <x:f>EDATE($B$5,A853-1)</x:f>
        <x:v>70829</x:v>
      </x:c>
      <x:c r="C853" s="141" t="n">
        <x:f>IF(AND($B$22="Sim",A853&gt;=$B$23,A853&lt;$B$23+$B$31),$B$32*D853,0)</x:f>
        <x:v>0</x:v>
      </x:c>
      <x:c r="D853" s="180" t="n">
        <x:f>IF(A853&lt;$B$23,1,(1+$B$33)^INT((A853-$B$23)/12))</x:f>
        <x:v>46.793669944644634</x:v>
      </x:c>
      <x:c r="E853" s="141" t="n">
        <x:f>IF(AND($B$22="Sim",A853=$B$23),$B$37,0)</x:f>
        <x:v>0</x:v>
      </x:c>
      <x:c r="F853" s="141" t="n">
        <x:f>IF(AND($B$22="Sim",A853=$B$24),$B$27,0)</x:f>
        <x:v>0</x:v>
      </x:c>
      <x:c r="G853" s="141" t="n">
        <x:f>IF(AND($B$22="Sim",A853=$B$23),$B$35,0)</x:f>
        <x:v>0</x:v>
      </x:c>
      <x:c r="H853" s="141" t="n">
        <x:f>IF(AND($B$22="Sim",A853=$B$23),$B$36,0)</x:f>
        <x:v>0</x:v>
      </x:c>
      <x:c r="I853" s="141" t="n">
        <x:f>IF(OR($B$22&lt;&gt;"Sim",A853&gt;=$B$23+$B$31-1),0,(I854+C854)/(1+$B$9))</x:f>
        <x:v>0</x:v>
      </x:c>
      <x:c r="J853" s="140" t="str">
        <x:f>IF($B$22&lt;&gt;"Sim","Desativada",IF(A853&lt;$B$23,"Antes da compra",IF(A853&lt;$B$23+$B$31,"Parcelas restantes","Encerrado")))</x:f>
        <x:v>Encerrado</x:v>
      </x:c>
      <x:c r="K853" s="141" t="n">
        <x:f>IF(C853&gt;0,C853/(1+$B$9)^A853,0)</x:f>
        <x:v>0</x:v>
      </x:c>
    </x:row>
    <x:row r="854">
      <x:c r="A854" s="142" t="n">
        <x:v>800</x:v>
      </x:c>
      <x:c r="B854" s="179" t="n">
        <x:f>EDATE($B$5,A854-1)</x:f>
        <x:v>70860</x:v>
      </x:c>
      <x:c r="C854" s="141" t="n">
        <x:f>IF(AND($B$22="Sim",A854&gt;=$B$23,A854&lt;$B$23+$B$31),$B$32*D854,0)</x:f>
        <x:v>0</x:v>
      </x:c>
      <x:c r="D854" s="180" t="n">
        <x:f>IF(A854&lt;$B$23,1,(1+$B$33)^INT((A854-$B$23)/12))</x:f>
        <x:v>46.793669944644634</x:v>
      </x:c>
      <x:c r="E854" s="141" t="n">
        <x:f>IF(AND($B$22="Sim",A854=$B$23),$B$37,0)</x:f>
        <x:v>0</x:v>
      </x:c>
      <x:c r="F854" s="141" t="n">
        <x:f>IF(AND($B$22="Sim",A854=$B$24),$B$27,0)</x:f>
        <x:v>0</x:v>
      </x:c>
      <x:c r="G854" s="141" t="n">
        <x:f>IF(AND($B$22="Sim",A854=$B$23),$B$35,0)</x:f>
        <x:v>0</x:v>
      </x:c>
      <x:c r="H854" s="141" t="n">
        <x:f>IF(AND($B$22="Sim",A854=$B$23),$B$36,0)</x:f>
        <x:v>0</x:v>
      </x:c>
      <x:c r="I854" s="141" t="n">
        <x:f>IF(OR($B$22&lt;&gt;"Sim",A854&gt;=$B$23+$B$31-1),0,(I855+C855)/(1+$B$9))</x:f>
        <x:v>0</x:v>
      </x:c>
      <x:c r="J854" s="140" t="str">
        <x:f>IF($B$22&lt;&gt;"Sim","Desativada",IF(A854&lt;$B$23,"Antes da compra",IF(A854&lt;$B$23+$B$31,"Parcelas restantes","Encerrado")))</x:f>
        <x:v>Encerrado</x:v>
      </x:c>
      <x:c r="K854" s="141" t="n">
        <x:f>IF(C854&gt;0,C854/(1+$B$9)^A854,0)</x:f>
        <x:v>0</x:v>
      </x:c>
    </x:row>
    <x:row r="855">
      <x:c r="A855" s="142" t="n">
        <x:v>801</x:v>
      </x:c>
      <x:c r="B855" s="179" t="n">
        <x:f>EDATE($B$5,A855-1)</x:f>
        <x:v>70891</x:v>
      </x:c>
      <x:c r="C855" s="141" t="n">
        <x:f>IF(AND($B$22="Sim",A855&gt;=$B$23,A855&lt;$B$23+$B$31),$B$32*D855,0)</x:f>
        <x:v>0</x:v>
      </x:c>
      <x:c r="D855" s="180" t="n">
        <x:f>IF(A855&lt;$B$23,1,(1+$B$33)^INT((A855-$B$23)/12))</x:f>
        <x:v>46.793669944644634</x:v>
      </x:c>
      <x:c r="E855" s="141" t="n">
        <x:f>IF(AND($B$22="Sim",A855=$B$23),$B$37,0)</x:f>
        <x:v>0</x:v>
      </x:c>
      <x:c r="F855" s="141" t="n">
        <x:f>IF(AND($B$22="Sim",A855=$B$24),$B$27,0)</x:f>
        <x:v>0</x:v>
      </x:c>
      <x:c r="G855" s="141" t="n">
        <x:f>IF(AND($B$22="Sim",A855=$B$23),$B$35,0)</x:f>
        <x:v>0</x:v>
      </x:c>
      <x:c r="H855" s="141" t="n">
        <x:f>IF(AND($B$22="Sim",A855=$B$23),$B$36,0)</x:f>
        <x:v>0</x:v>
      </x:c>
      <x:c r="I855" s="141" t="n">
        <x:f>IF(OR($B$22&lt;&gt;"Sim",A855&gt;=$B$23+$B$31-1),0,(I856+C856)/(1+$B$9))</x:f>
        <x:v>0</x:v>
      </x:c>
      <x:c r="J855" s="140" t="str">
        <x:f>IF($B$22&lt;&gt;"Sim","Desativada",IF(A855&lt;$B$23,"Antes da compra",IF(A855&lt;$B$23+$B$31,"Parcelas restantes","Encerrado")))</x:f>
        <x:v>Encerrado</x:v>
      </x:c>
      <x:c r="K855" s="141" t="n">
        <x:f>IF(C855&gt;0,C855/(1+$B$9)^A855,0)</x:f>
        <x:v>0</x:v>
      </x:c>
    </x:row>
    <x:row r="856">
      <x:c r="A856" s="142" t="n">
        <x:v>802</x:v>
      </x:c>
      <x:c r="B856" s="179" t="n">
        <x:f>EDATE($B$5,A856-1)</x:f>
        <x:v>70919</x:v>
      </x:c>
      <x:c r="C856" s="141" t="n">
        <x:f>IF(AND($B$22="Sim",A856&gt;=$B$23,A856&lt;$B$23+$B$31),$B$32*D856,0)</x:f>
        <x:v>0</x:v>
      </x:c>
      <x:c r="D856" s="180" t="n">
        <x:f>IF(A856&lt;$B$23,1,(1+$B$33)^INT((A856-$B$23)/12))</x:f>
        <x:v>46.793669944644634</x:v>
      </x:c>
      <x:c r="E856" s="141" t="n">
        <x:f>IF(AND($B$22="Sim",A856=$B$23),$B$37,0)</x:f>
        <x:v>0</x:v>
      </x:c>
      <x:c r="F856" s="141" t="n">
        <x:f>IF(AND($B$22="Sim",A856=$B$24),$B$27,0)</x:f>
        <x:v>0</x:v>
      </x:c>
      <x:c r="G856" s="141" t="n">
        <x:f>IF(AND($B$22="Sim",A856=$B$23),$B$35,0)</x:f>
        <x:v>0</x:v>
      </x:c>
      <x:c r="H856" s="141" t="n">
        <x:f>IF(AND($B$22="Sim",A856=$B$23),$B$36,0)</x:f>
        <x:v>0</x:v>
      </x:c>
      <x:c r="I856" s="141" t="n">
        <x:f>IF(OR($B$22&lt;&gt;"Sim",A856&gt;=$B$23+$B$31-1),0,(I857+C857)/(1+$B$9))</x:f>
        <x:v>0</x:v>
      </x:c>
      <x:c r="J856" s="140" t="str">
        <x:f>IF($B$22&lt;&gt;"Sim","Desativada",IF(A856&lt;$B$23,"Antes da compra",IF(A856&lt;$B$23+$B$31,"Parcelas restantes","Encerrado")))</x:f>
        <x:v>Encerrado</x:v>
      </x:c>
      <x:c r="K856" s="141" t="n">
        <x:f>IF(C856&gt;0,C856/(1+$B$9)^A856,0)</x:f>
        <x:v>0</x:v>
      </x:c>
    </x:row>
    <x:row r="857">
      <x:c r="A857" s="142" t="n">
        <x:v>803</x:v>
      </x:c>
      <x:c r="B857" s="179" t="n">
        <x:f>EDATE($B$5,A857-1)</x:f>
        <x:v>70950</x:v>
      </x:c>
      <x:c r="C857" s="141" t="n">
        <x:f>IF(AND($B$22="Sim",A857&gt;=$B$23,A857&lt;$B$23+$B$31),$B$32*D857,0)</x:f>
        <x:v>0</x:v>
      </x:c>
      <x:c r="D857" s="180" t="n">
        <x:f>IF(A857&lt;$B$23,1,(1+$B$33)^INT((A857-$B$23)/12))</x:f>
        <x:v>46.793669944644634</x:v>
      </x:c>
      <x:c r="E857" s="141" t="n">
        <x:f>IF(AND($B$22="Sim",A857=$B$23),$B$37,0)</x:f>
        <x:v>0</x:v>
      </x:c>
      <x:c r="F857" s="141" t="n">
        <x:f>IF(AND($B$22="Sim",A857=$B$24),$B$27,0)</x:f>
        <x:v>0</x:v>
      </x:c>
      <x:c r="G857" s="141" t="n">
        <x:f>IF(AND($B$22="Sim",A857=$B$23),$B$35,0)</x:f>
        <x:v>0</x:v>
      </x:c>
      <x:c r="H857" s="141" t="n">
        <x:f>IF(AND($B$22="Sim",A857=$B$23),$B$36,0)</x:f>
        <x:v>0</x:v>
      </x:c>
      <x:c r="I857" s="141" t="n">
        <x:f>IF(OR($B$22&lt;&gt;"Sim",A857&gt;=$B$23+$B$31-1),0,(I858+C858)/(1+$B$9))</x:f>
        <x:v>0</x:v>
      </x:c>
      <x:c r="J857" s="140" t="str">
        <x:f>IF($B$22&lt;&gt;"Sim","Desativada",IF(A857&lt;$B$23,"Antes da compra",IF(A857&lt;$B$23+$B$31,"Parcelas restantes","Encerrado")))</x:f>
        <x:v>Encerrado</x:v>
      </x:c>
      <x:c r="K857" s="141" t="n">
        <x:f>IF(C857&gt;0,C857/(1+$B$9)^A857,0)</x:f>
        <x:v>0</x:v>
      </x:c>
    </x:row>
    <x:row r="858">
      <x:c r="A858" s="142" t="n">
        <x:v>804</x:v>
      </x:c>
      <x:c r="B858" s="179" t="n">
        <x:f>EDATE($B$5,A858-1)</x:f>
        <x:v>70980</x:v>
      </x:c>
      <x:c r="C858" s="141" t="n">
        <x:f>IF(AND($B$22="Sim",A858&gt;=$B$23,A858&lt;$B$23+$B$31),$B$32*D858,0)</x:f>
        <x:v>0</x:v>
      </x:c>
      <x:c r="D858" s="180" t="n">
        <x:f>IF(A858&lt;$B$23,1,(1+$B$33)^INT((A858-$B$23)/12))</x:f>
        <x:v>46.793669944644634</x:v>
      </x:c>
      <x:c r="E858" s="141" t="n">
        <x:f>IF(AND($B$22="Sim",A858=$B$23),$B$37,0)</x:f>
        <x:v>0</x:v>
      </x:c>
      <x:c r="F858" s="141" t="n">
        <x:f>IF(AND($B$22="Sim",A858=$B$24),$B$27,0)</x:f>
        <x:v>0</x:v>
      </x:c>
      <x:c r="G858" s="141" t="n">
        <x:f>IF(AND($B$22="Sim",A858=$B$23),$B$35,0)</x:f>
        <x:v>0</x:v>
      </x:c>
      <x:c r="H858" s="141" t="n">
        <x:f>IF(AND($B$22="Sim",A858=$B$23),$B$36,0)</x:f>
        <x:v>0</x:v>
      </x:c>
      <x:c r="I858" s="141" t="n">
        <x:f>IF(OR($B$22&lt;&gt;"Sim",A858&gt;=$B$23+$B$31-1),0,(I859+C859)/(1+$B$9))</x:f>
        <x:v>0</x:v>
      </x:c>
      <x:c r="J858" s="140" t="str">
        <x:f>IF($B$22&lt;&gt;"Sim","Desativada",IF(A858&lt;$B$23,"Antes da compra",IF(A858&lt;$B$23+$B$31,"Parcelas restantes","Encerrado")))</x:f>
        <x:v>Encerrado</x:v>
      </x:c>
      <x:c r="K858" s="141" t="n">
        <x:f>IF(C858&gt;0,C858/(1+$B$9)^A858,0)</x:f>
        <x:v>0</x:v>
      </x:c>
    </x:row>
    <x:row r="859">
      <x:c r="A859" s="142" t="n">
        <x:v>805</x:v>
      </x:c>
      <x:c r="B859" s="179" t="n">
        <x:f>EDATE($B$5,A859-1)</x:f>
        <x:v>71011</x:v>
      </x:c>
      <x:c r="C859" s="141" t="n">
        <x:f>IF(AND($B$22="Sim",A859&gt;=$B$23,A859&lt;$B$23+$B$31),$B$32*D859,0)</x:f>
        <x:v>0</x:v>
      </x:c>
      <x:c r="D859" s="180" t="n">
        <x:f>IF(A859&lt;$B$23,1,(1+$B$33)^INT((A859-$B$23)/12))</x:f>
        <x:v>49.60129014132331</x:v>
      </x:c>
      <x:c r="E859" s="141" t="n">
        <x:f>IF(AND($B$22="Sim",A859=$B$23),$B$37,0)</x:f>
        <x:v>0</x:v>
      </x:c>
      <x:c r="F859" s="141" t="n">
        <x:f>IF(AND($B$22="Sim",A859=$B$24),$B$27,0)</x:f>
        <x:v>0</x:v>
      </x:c>
      <x:c r="G859" s="141" t="n">
        <x:f>IF(AND($B$22="Sim",A859=$B$23),$B$35,0)</x:f>
        <x:v>0</x:v>
      </x:c>
      <x:c r="H859" s="141" t="n">
        <x:f>IF(AND($B$22="Sim",A859=$B$23),$B$36,0)</x:f>
        <x:v>0</x:v>
      </x:c>
      <x:c r="I859" s="141" t="n">
        <x:f>IF(OR($B$22&lt;&gt;"Sim",A859&gt;=$B$23+$B$31-1),0,(I860+C860)/(1+$B$9))</x:f>
        <x:v>0</x:v>
      </x:c>
      <x:c r="J859" s="140" t="str">
        <x:f>IF($B$22&lt;&gt;"Sim","Desativada",IF(A859&lt;$B$23,"Antes da compra",IF(A859&lt;$B$23+$B$31,"Parcelas restantes","Encerrado")))</x:f>
        <x:v>Encerrado</x:v>
      </x:c>
      <x:c r="K859" s="141" t="n">
        <x:f>IF(C859&gt;0,C859/(1+$B$9)^A859,0)</x:f>
        <x:v>0</x:v>
      </x:c>
    </x:row>
    <x:row r="860">
      <x:c r="A860" s="142" t="n">
        <x:v>806</x:v>
      </x:c>
      <x:c r="B860" s="179" t="n">
        <x:f>EDATE($B$5,A860-1)</x:f>
        <x:v>71041</x:v>
      </x:c>
      <x:c r="C860" s="141" t="n">
        <x:f>IF(AND($B$22="Sim",A860&gt;=$B$23,A860&lt;$B$23+$B$31),$B$32*D860,0)</x:f>
        <x:v>0</x:v>
      </x:c>
      <x:c r="D860" s="180" t="n">
        <x:f>IF(A860&lt;$B$23,1,(1+$B$33)^INT((A860-$B$23)/12))</x:f>
        <x:v>49.60129014132331</x:v>
      </x:c>
      <x:c r="E860" s="141" t="n">
        <x:f>IF(AND($B$22="Sim",A860=$B$23),$B$37,0)</x:f>
        <x:v>0</x:v>
      </x:c>
      <x:c r="F860" s="141" t="n">
        <x:f>IF(AND($B$22="Sim",A860=$B$24),$B$27,0)</x:f>
        <x:v>0</x:v>
      </x:c>
      <x:c r="G860" s="141" t="n">
        <x:f>IF(AND($B$22="Sim",A860=$B$23),$B$35,0)</x:f>
        <x:v>0</x:v>
      </x:c>
      <x:c r="H860" s="141" t="n">
        <x:f>IF(AND($B$22="Sim",A860=$B$23),$B$36,0)</x:f>
        <x:v>0</x:v>
      </x:c>
      <x:c r="I860" s="141" t="n">
        <x:f>IF(OR($B$22&lt;&gt;"Sim",A860&gt;=$B$23+$B$31-1),0,(I861+C861)/(1+$B$9))</x:f>
        <x:v>0</x:v>
      </x:c>
      <x:c r="J860" s="140" t="str">
        <x:f>IF($B$22&lt;&gt;"Sim","Desativada",IF(A860&lt;$B$23,"Antes da compra",IF(A860&lt;$B$23+$B$31,"Parcelas restantes","Encerrado")))</x:f>
        <x:v>Encerrado</x:v>
      </x:c>
      <x:c r="K860" s="141" t="n">
        <x:f>IF(C860&gt;0,C860/(1+$B$9)^A860,0)</x:f>
        <x:v>0</x:v>
      </x:c>
    </x:row>
    <x:row r="861">
      <x:c r="A861" s="142" t="n">
        <x:v>807</x:v>
      </x:c>
      <x:c r="B861" s="179" t="n">
        <x:f>EDATE($B$5,A861-1)</x:f>
        <x:v>71072</x:v>
      </x:c>
      <x:c r="C861" s="141" t="n">
        <x:f>IF(AND($B$22="Sim",A861&gt;=$B$23,A861&lt;$B$23+$B$31),$B$32*D861,0)</x:f>
        <x:v>0</x:v>
      </x:c>
      <x:c r="D861" s="180" t="n">
        <x:f>IF(A861&lt;$B$23,1,(1+$B$33)^INT((A861-$B$23)/12))</x:f>
        <x:v>49.60129014132331</x:v>
      </x:c>
      <x:c r="E861" s="141" t="n">
        <x:f>IF(AND($B$22="Sim",A861=$B$23),$B$37,0)</x:f>
        <x:v>0</x:v>
      </x:c>
      <x:c r="F861" s="141" t="n">
        <x:f>IF(AND($B$22="Sim",A861=$B$24),$B$27,0)</x:f>
        <x:v>0</x:v>
      </x:c>
      <x:c r="G861" s="141" t="n">
        <x:f>IF(AND($B$22="Sim",A861=$B$23),$B$35,0)</x:f>
        <x:v>0</x:v>
      </x:c>
      <x:c r="H861" s="141" t="n">
        <x:f>IF(AND($B$22="Sim",A861=$B$23),$B$36,0)</x:f>
        <x:v>0</x:v>
      </x:c>
      <x:c r="I861" s="141" t="n">
        <x:f>IF(OR($B$22&lt;&gt;"Sim",A861&gt;=$B$23+$B$31-1),0,(I862+C862)/(1+$B$9))</x:f>
        <x:v>0</x:v>
      </x:c>
      <x:c r="J861" s="140" t="str">
        <x:f>IF($B$22&lt;&gt;"Sim","Desativada",IF(A861&lt;$B$23,"Antes da compra",IF(A861&lt;$B$23+$B$31,"Parcelas restantes","Encerrado")))</x:f>
        <x:v>Encerrado</x:v>
      </x:c>
      <x:c r="K861" s="141" t="n">
        <x:f>IF(C861&gt;0,C861/(1+$B$9)^A861,0)</x:f>
        <x:v>0</x:v>
      </x:c>
    </x:row>
    <x:row r="862">
      <x:c r="A862" s="142" t="n">
        <x:v>808</x:v>
      </x:c>
      <x:c r="B862" s="179" t="n">
        <x:f>EDATE($B$5,A862-1)</x:f>
        <x:v>71103</x:v>
      </x:c>
      <x:c r="C862" s="141" t="n">
        <x:f>IF(AND($B$22="Sim",A862&gt;=$B$23,A862&lt;$B$23+$B$31),$B$32*D862,0)</x:f>
        <x:v>0</x:v>
      </x:c>
      <x:c r="D862" s="180" t="n">
        <x:f>IF(A862&lt;$B$23,1,(1+$B$33)^INT((A862-$B$23)/12))</x:f>
        <x:v>49.60129014132331</x:v>
      </x:c>
      <x:c r="E862" s="141" t="n">
        <x:f>IF(AND($B$22="Sim",A862=$B$23),$B$37,0)</x:f>
        <x:v>0</x:v>
      </x:c>
      <x:c r="F862" s="141" t="n">
        <x:f>IF(AND($B$22="Sim",A862=$B$24),$B$27,0)</x:f>
        <x:v>0</x:v>
      </x:c>
      <x:c r="G862" s="141" t="n">
        <x:f>IF(AND($B$22="Sim",A862=$B$23),$B$35,0)</x:f>
        <x:v>0</x:v>
      </x:c>
      <x:c r="H862" s="141" t="n">
        <x:f>IF(AND($B$22="Sim",A862=$B$23),$B$36,0)</x:f>
        <x:v>0</x:v>
      </x:c>
      <x:c r="I862" s="141" t="n">
        <x:f>IF(OR($B$22&lt;&gt;"Sim",A862&gt;=$B$23+$B$31-1),0,(I863+C863)/(1+$B$9))</x:f>
        <x:v>0</x:v>
      </x:c>
      <x:c r="J862" s="140" t="str">
        <x:f>IF($B$22&lt;&gt;"Sim","Desativada",IF(A862&lt;$B$23,"Antes da compra",IF(A862&lt;$B$23+$B$31,"Parcelas restantes","Encerrado")))</x:f>
        <x:v>Encerrado</x:v>
      </x:c>
      <x:c r="K862" s="141" t="n">
        <x:f>IF(C862&gt;0,C862/(1+$B$9)^A862,0)</x:f>
        <x:v>0</x:v>
      </x:c>
    </x:row>
    <x:row r="863">
      <x:c r="A863" s="142" t="n">
        <x:v>809</x:v>
      </x:c>
      <x:c r="B863" s="179" t="n">
        <x:f>EDATE($B$5,A863-1)</x:f>
        <x:v>71133</x:v>
      </x:c>
      <x:c r="C863" s="141" t="n">
        <x:f>IF(AND($B$22="Sim",A863&gt;=$B$23,A863&lt;$B$23+$B$31),$B$32*D863,0)</x:f>
        <x:v>0</x:v>
      </x:c>
      <x:c r="D863" s="180" t="n">
        <x:f>IF(A863&lt;$B$23,1,(1+$B$33)^INT((A863-$B$23)/12))</x:f>
        <x:v>49.60129014132331</x:v>
      </x:c>
      <x:c r="E863" s="141" t="n">
        <x:f>IF(AND($B$22="Sim",A863=$B$23),$B$37,0)</x:f>
        <x:v>0</x:v>
      </x:c>
      <x:c r="F863" s="141" t="n">
        <x:f>IF(AND($B$22="Sim",A863=$B$24),$B$27,0)</x:f>
        <x:v>0</x:v>
      </x:c>
      <x:c r="G863" s="141" t="n">
        <x:f>IF(AND($B$22="Sim",A863=$B$23),$B$35,0)</x:f>
        <x:v>0</x:v>
      </x:c>
      <x:c r="H863" s="141" t="n">
        <x:f>IF(AND($B$22="Sim",A863=$B$23),$B$36,0)</x:f>
        <x:v>0</x:v>
      </x:c>
      <x:c r="I863" s="141" t="n">
        <x:f>IF(OR($B$22&lt;&gt;"Sim",A863&gt;=$B$23+$B$31-1),0,(I864+C864)/(1+$B$9))</x:f>
        <x:v>0</x:v>
      </x:c>
      <x:c r="J863" s="140" t="str">
        <x:f>IF($B$22&lt;&gt;"Sim","Desativada",IF(A863&lt;$B$23,"Antes da compra",IF(A863&lt;$B$23+$B$31,"Parcelas restantes","Encerrado")))</x:f>
        <x:v>Encerrado</x:v>
      </x:c>
      <x:c r="K863" s="141" t="n">
        <x:f>IF(C863&gt;0,C863/(1+$B$9)^A863,0)</x:f>
        <x:v>0</x:v>
      </x:c>
    </x:row>
    <x:row r="864">
      <x:c r="A864" s="142" t="n">
        <x:v>810</x:v>
      </x:c>
      <x:c r="B864" s="179" t="n">
        <x:f>EDATE($B$5,A864-1)</x:f>
        <x:v>71164</x:v>
      </x:c>
      <x:c r="C864" s="141" t="n">
        <x:f>IF(AND($B$22="Sim",A864&gt;=$B$23,A864&lt;$B$23+$B$31),$B$32*D864,0)</x:f>
        <x:v>0</x:v>
      </x:c>
      <x:c r="D864" s="180" t="n">
        <x:f>IF(A864&lt;$B$23,1,(1+$B$33)^INT((A864-$B$23)/12))</x:f>
        <x:v>49.60129014132331</x:v>
      </x:c>
      <x:c r="E864" s="141" t="n">
        <x:f>IF(AND($B$22="Sim",A864=$B$23),$B$37,0)</x:f>
        <x:v>0</x:v>
      </x:c>
      <x:c r="F864" s="141" t="n">
        <x:f>IF(AND($B$22="Sim",A864=$B$24),$B$27,0)</x:f>
        <x:v>0</x:v>
      </x:c>
      <x:c r="G864" s="141" t="n">
        <x:f>IF(AND($B$22="Sim",A864=$B$23),$B$35,0)</x:f>
        <x:v>0</x:v>
      </x:c>
      <x:c r="H864" s="141" t="n">
        <x:f>IF(AND($B$22="Sim",A864=$B$23),$B$36,0)</x:f>
        <x:v>0</x:v>
      </x:c>
      <x:c r="I864" s="141" t="n">
        <x:f>IF(OR($B$22&lt;&gt;"Sim",A864&gt;=$B$23+$B$31-1),0,(I865+C865)/(1+$B$9))</x:f>
        <x:v>0</x:v>
      </x:c>
      <x:c r="J864" s="140" t="str">
        <x:f>IF($B$22&lt;&gt;"Sim","Desativada",IF(A864&lt;$B$23,"Antes da compra",IF(A864&lt;$B$23+$B$31,"Parcelas restantes","Encerrado")))</x:f>
        <x:v>Encerrado</x:v>
      </x:c>
      <x:c r="K864" s="141" t="n">
        <x:f>IF(C864&gt;0,C864/(1+$B$9)^A864,0)</x:f>
        <x:v>0</x:v>
      </x:c>
    </x:row>
    <x:row r="865">
      <x:c r="A865" s="142" t="n">
        <x:v>811</x:v>
      </x:c>
      <x:c r="B865" s="179" t="n">
        <x:f>EDATE($B$5,A865-1)</x:f>
        <x:v>71194</x:v>
      </x:c>
      <x:c r="C865" s="141" t="n">
        <x:f>IF(AND($B$22="Sim",A865&gt;=$B$23,A865&lt;$B$23+$B$31),$B$32*D865,0)</x:f>
        <x:v>0</x:v>
      </x:c>
      <x:c r="D865" s="180" t="n">
        <x:f>IF(A865&lt;$B$23,1,(1+$B$33)^INT((A865-$B$23)/12))</x:f>
        <x:v>49.60129014132331</x:v>
      </x:c>
      <x:c r="E865" s="141" t="n">
        <x:f>IF(AND($B$22="Sim",A865=$B$23),$B$37,0)</x:f>
        <x:v>0</x:v>
      </x:c>
      <x:c r="F865" s="141" t="n">
        <x:f>IF(AND($B$22="Sim",A865=$B$24),$B$27,0)</x:f>
        <x:v>0</x:v>
      </x:c>
      <x:c r="G865" s="141" t="n">
        <x:f>IF(AND($B$22="Sim",A865=$B$23),$B$35,0)</x:f>
        <x:v>0</x:v>
      </x:c>
      <x:c r="H865" s="141" t="n">
        <x:f>IF(AND($B$22="Sim",A865=$B$23),$B$36,0)</x:f>
        <x:v>0</x:v>
      </x:c>
      <x:c r="I865" s="141" t="n">
        <x:f>IF(OR($B$22&lt;&gt;"Sim",A865&gt;=$B$23+$B$31-1),0,(I866+C866)/(1+$B$9))</x:f>
        <x:v>0</x:v>
      </x:c>
      <x:c r="J865" s="140" t="str">
        <x:f>IF($B$22&lt;&gt;"Sim","Desativada",IF(A865&lt;$B$23,"Antes da compra",IF(A865&lt;$B$23+$B$31,"Parcelas restantes","Encerrado")))</x:f>
        <x:v>Encerrado</x:v>
      </x:c>
      <x:c r="K865" s="141" t="n">
        <x:f>IF(C865&gt;0,C865/(1+$B$9)^A865,0)</x:f>
        <x:v>0</x:v>
      </x:c>
    </x:row>
    <x:row r="866">
      <x:c r="A866" s="142" t="n">
        <x:v>812</x:v>
      </x:c>
      <x:c r="B866" s="179" t="n">
        <x:f>EDATE($B$5,A866-1)</x:f>
        <x:v>71225</x:v>
      </x:c>
      <x:c r="C866" s="141" t="n">
        <x:f>IF(AND($B$22="Sim",A866&gt;=$B$23,A866&lt;$B$23+$B$31),$B$32*D866,0)</x:f>
        <x:v>0</x:v>
      </x:c>
      <x:c r="D866" s="180" t="n">
        <x:f>IF(A866&lt;$B$23,1,(1+$B$33)^INT((A866-$B$23)/12))</x:f>
        <x:v>49.60129014132331</x:v>
      </x:c>
      <x:c r="E866" s="141" t="n">
        <x:f>IF(AND($B$22="Sim",A866=$B$23),$B$37,0)</x:f>
        <x:v>0</x:v>
      </x:c>
      <x:c r="F866" s="141" t="n">
        <x:f>IF(AND($B$22="Sim",A866=$B$24),$B$27,0)</x:f>
        <x:v>0</x:v>
      </x:c>
      <x:c r="G866" s="141" t="n">
        <x:f>IF(AND($B$22="Sim",A866=$B$23),$B$35,0)</x:f>
        <x:v>0</x:v>
      </x:c>
      <x:c r="H866" s="141" t="n">
        <x:f>IF(AND($B$22="Sim",A866=$B$23),$B$36,0)</x:f>
        <x:v>0</x:v>
      </x:c>
      <x:c r="I866" s="141" t="n">
        <x:f>IF(OR($B$22&lt;&gt;"Sim",A866&gt;=$B$23+$B$31-1),0,(I867+C867)/(1+$B$9))</x:f>
        <x:v>0</x:v>
      </x:c>
      <x:c r="J866" s="140" t="str">
        <x:f>IF($B$22&lt;&gt;"Sim","Desativada",IF(A866&lt;$B$23,"Antes da compra",IF(A866&lt;$B$23+$B$31,"Parcelas restantes","Encerrado")))</x:f>
        <x:v>Encerrado</x:v>
      </x:c>
      <x:c r="K866" s="141" t="n">
        <x:f>IF(C866&gt;0,C866/(1+$B$9)^A866,0)</x:f>
        <x:v>0</x:v>
      </x:c>
    </x:row>
    <x:row r="867">
      <x:c r="A867" s="142" t="n">
        <x:v>813</x:v>
      </x:c>
      <x:c r="B867" s="179" t="n">
        <x:f>EDATE($B$5,A867-1)</x:f>
        <x:v>71256</x:v>
      </x:c>
      <x:c r="C867" s="141" t="n">
        <x:f>IF(AND($B$22="Sim",A867&gt;=$B$23,A867&lt;$B$23+$B$31),$B$32*D867,0)</x:f>
        <x:v>0</x:v>
      </x:c>
      <x:c r="D867" s="180" t="n">
        <x:f>IF(A867&lt;$B$23,1,(1+$B$33)^INT((A867-$B$23)/12))</x:f>
        <x:v>49.60129014132331</x:v>
      </x:c>
      <x:c r="E867" s="141" t="n">
        <x:f>IF(AND($B$22="Sim",A867=$B$23),$B$37,0)</x:f>
        <x:v>0</x:v>
      </x:c>
      <x:c r="F867" s="141" t="n">
        <x:f>IF(AND($B$22="Sim",A867=$B$24),$B$27,0)</x:f>
        <x:v>0</x:v>
      </x:c>
      <x:c r="G867" s="141" t="n">
        <x:f>IF(AND($B$22="Sim",A867=$B$23),$B$35,0)</x:f>
        <x:v>0</x:v>
      </x:c>
      <x:c r="H867" s="141" t="n">
        <x:f>IF(AND($B$22="Sim",A867=$B$23),$B$36,0)</x:f>
        <x:v>0</x:v>
      </x:c>
      <x:c r="I867" s="141" t="n">
        <x:f>IF(OR($B$22&lt;&gt;"Sim",A867&gt;=$B$23+$B$31-1),0,(I868+C868)/(1+$B$9))</x:f>
        <x:v>0</x:v>
      </x:c>
      <x:c r="J867" s="140" t="str">
        <x:f>IF($B$22&lt;&gt;"Sim","Desativada",IF(A867&lt;$B$23,"Antes da compra",IF(A867&lt;$B$23+$B$31,"Parcelas restantes","Encerrado")))</x:f>
        <x:v>Encerrado</x:v>
      </x:c>
      <x:c r="K867" s="141" t="n">
        <x:f>IF(C867&gt;0,C867/(1+$B$9)^A867,0)</x:f>
        <x:v>0</x:v>
      </x:c>
    </x:row>
    <x:row r="868">
      <x:c r="A868" s="142" t="n">
        <x:v>814</x:v>
      </x:c>
      <x:c r="B868" s="179" t="n">
        <x:f>EDATE($B$5,A868-1)</x:f>
        <x:v>71284</x:v>
      </x:c>
      <x:c r="C868" s="141" t="n">
        <x:f>IF(AND($B$22="Sim",A868&gt;=$B$23,A868&lt;$B$23+$B$31),$B$32*D868,0)</x:f>
        <x:v>0</x:v>
      </x:c>
      <x:c r="D868" s="180" t="n">
        <x:f>IF(A868&lt;$B$23,1,(1+$B$33)^INT((A868-$B$23)/12))</x:f>
        <x:v>49.60129014132331</x:v>
      </x:c>
      <x:c r="E868" s="141" t="n">
        <x:f>IF(AND($B$22="Sim",A868=$B$23),$B$37,0)</x:f>
        <x:v>0</x:v>
      </x:c>
      <x:c r="F868" s="141" t="n">
        <x:f>IF(AND($B$22="Sim",A868=$B$24),$B$27,0)</x:f>
        <x:v>0</x:v>
      </x:c>
      <x:c r="G868" s="141" t="n">
        <x:f>IF(AND($B$22="Sim",A868=$B$23),$B$35,0)</x:f>
        <x:v>0</x:v>
      </x:c>
      <x:c r="H868" s="141" t="n">
        <x:f>IF(AND($B$22="Sim",A868=$B$23),$B$36,0)</x:f>
        <x:v>0</x:v>
      </x:c>
      <x:c r="I868" s="141" t="n">
        <x:f>IF(OR($B$22&lt;&gt;"Sim",A868&gt;=$B$23+$B$31-1),0,(I869+C869)/(1+$B$9))</x:f>
        <x:v>0</x:v>
      </x:c>
      <x:c r="J868" s="140" t="str">
        <x:f>IF($B$22&lt;&gt;"Sim","Desativada",IF(A868&lt;$B$23,"Antes da compra",IF(A868&lt;$B$23+$B$31,"Parcelas restantes","Encerrado")))</x:f>
        <x:v>Encerrado</x:v>
      </x:c>
      <x:c r="K868" s="141" t="n">
        <x:f>IF(C868&gt;0,C868/(1+$B$9)^A868,0)</x:f>
        <x:v>0</x:v>
      </x:c>
    </x:row>
    <x:row r="869">
      <x:c r="A869" s="142" t="n">
        <x:v>815</x:v>
      </x:c>
      <x:c r="B869" s="179" t="n">
        <x:f>EDATE($B$5,A869-1)</x:f>
        <x:v>71315</x:v>
      </x:c>
      <x:c r="C869" s="141" t="n">
        <x:f>IF(AND($B$22="Sim",A869&gt;=$B$23,A869&lt;$B$23+$B$31),$B$32*D869,0)</x:f>
        <x:v>0</x:v>
      </x:c>
      <x:c r="D869" s="180" t="n">
        <x:f>IF(A869&lt;$B$23,1,(1+$B$33)^INT((A869-$B$23)/12))</x:f>
        <x:v>49.60129014132331</x:v>
      </x:c>
      <x:c r="E869" s="141" t="n">
        <x:f>IF(AND($B$22="Sim",A869=$B$23),$B$37,0)</x:f>
        <x:v>0</x:v>
      </x:c>
      <x:c r="F869" s="141" t="n">
        <x:f>IF(AND($B$22="Sim",A869=$B$24),$B$27,0)</x:f>
        <x:v>0</x:v>
      </x:c>
      <x:c r="G869" s="141" t="n">
        <x:f>IF(AND($B$22="Sim",A869=$B$23),$B$35,0)</x:f>
        <x:v>0</x:v>
      </x:c>
      <x:c r="H869" s="141" t="n">
        <x:f>IF(AND($B$22="Sim",A869=$B$23),$B$36,0)</x:f>
        <x:v>0</x:v>
      </x:c>
      <x:c r="I869" s="141" t="n">
        <x:f>IF(OR($B$22&lt;&gt;"Sim",A869&gt;=$B$23+$B$31-1),0,(I870+C870)/(1+$B$9))</x:f>
        <x:v>0</x:v>
      </x:c>
      <x:c r="J869" s="140" t="str">
        <x:f>IF($B$22&lt;&gt;"Sim","Desativada",IF(A869&lt;$B$23,"Antes da compra",IF(A869&lt;$B$23+$B$31,"Parcelas restantes","Encerrado")))</x:f>
        <x:v>Encerrado</x:v>
      </x:c>
      <x:c r="K869" s="141" t="n">
        <x:f>IF(C869&gt;0,C869/(1+$B$9)^A869,0)</x:f>
        <x:v>0</x:v>
      </x:c>
    </x:row>
    <x:row r="870">
      <x:c r="A870" s="142" t="n">
        <x:v>816</x:v>
      </x:c>
      <x:c r="B870" s="179" t="n">
        <x:f>EDATE($B$5,A870-1)</x:f>
        <x:v>71345</x:v>
      </x:c>
      <x:c r="C870" s="141" t="n">
        <x:f>IF(AND($B$22="Sim",A870&gt;=$B$23,A870&lt;$B$23+$B$31),$B$32*D870,0)</x:f>
        <x:v>0</x:v>
      </x:c>
      <x:c r="D870" s="180" t="n">
        <x:f>IF(A870&lt;$B$23,1,(1+$B$33)^INT((A870-$B$23)/12))</x:f>
        <x:v>49.60129014132331</x:v>
      </x:c>
      <x:c r="E870" s="141" t="n">
        <x:f>IF(AND($B$22="Sim",A870=$B$23),$B$37,0)</x:f>
        <x:v>0</x:v>
      </x:c>
      <x:c r="F870" s="141" t="n">
        <x:f>IF(AND($B$22="Sim",A870=$B$24),$B$27,0)</x:f>
        <x:v>0</x:v>
      </x:c>
      <x:c r="G870" s="141" t="n">
        <x:f>IF(AND($B$22="Sim",A870=$B$23),$B$35,0)</x:f>
        <x:v>0</x:v>
      </x:c>
      <x:c r="H870" s="141" t="n">
        <x:f>IF(AND($B$22="Sim",A870=$B$23),$B$36,0)</x:f>
        <x:v>0</x:v>
      </x:c>
      <x:c r="I870" s="141" t="n">
        <x:f>IF(OR($B$22&lt;&gt;"Sim",A870&gt;=$B$23+$B$31-1),0,(I871+C871)/(1+$B$9))</x:f>
        <x:v>0</x:v>
      </x:c>
      <x:c r="J870" s="140" t="str">
        <x:f>IF($B$22&lt;&gt;"Sim","Desativada",IF(A870&lt;$B$23,"Antes da compra",IF(A870&lt;$B$23+$B$31,"Parcelas restantes","Encerrado")))</x:f>
        <x:v>Encerrado</x:v>
      </x:c>
      <x:c r="K870" s="141" t="n">
        <x:f>IF(C870&gt;0,C870/(1+$B$9)^A870,0)</x:f>
        <x:v>0</x:v>
      </x:c>
    </x:row>
    <x:row r="871">
      <x:c r="A871" s="142" t="n">
        <x:v>817</x:v>
      </x:c>
      <x:c r="B871" s="179" t="n">
        <x:f>EDATE($B$5,A871-1)</x:f>
        <x:v>71376</x:v>
      </x:c>
      <x:c r="C871" s="141" t="n">
        <x:f>IF(AND($B$22="Sim",A871&gt;=$B$23,A871&lt;$B$23+$B$31),$B$32*D871,0)</x:f>
        <x:v>0</x:v>
      </x:c>
      <x:c r="D871" s="180" t="n">
        <x:f>IF(A871&lt;$B$23,1,(1+$B$33)^INT((A871-$B$23)/12))</x:f>
        <x:v>52.577367549802716</x:v>
      </x:c>
      <x:c r="E871" s="141" t="n">
        <x:f>IF(AND($B$22="Sim",A871=$B$23),$B$37,0)</x:f>
        <x:v>0</x:v>
      </x:c>
      <x:c r="F871" s="141" t="n">
        <x:f>IF(AND($B$22="Sim",A871=$B$24),$B$27,0)</x:f>
        <x:v>0</x:v>
      </x:c>
      <x:c r="G871" s="141" t="n">
        <x:f>IF(AND($B$22="Sim",A871=$B$23),$B$35,0)</x:f>
        <x:v>0</x:v>
      </x:c>
      <x:c r="H871" s="141" t="n">
        <x:f>IF(AND($B$22="Sim",A871=$B$23),$B$36,0)</x:f>
        <x:v>0</x:v>
      </x:c>
      <x:c r="I871" s="141" t="n">
        <x:f>IF(OR($B$22&lt;&gt;"Sim",A871&gt;=$B$23+$B$31-1),0,(I872+C872)/(1+$B$9))</x:f>
        <x:v>0</x:v>
      </x:c>
      <x:c r="J871" s="140" t="str">
        <x:f>IF($B$22&lt;&gt;"Sim","Desativada",IF(A871&lt;$B$23,"Antes da compra",IF(A871&lt;$B$23+$B$31,"Parcelas restantes","Encerrado")))</x:f>
        <x:v>Encerrado</x:v>
      </x:c>
      <x:c r="K871" s="141" t="n">
        <x:f>IF(C871&gt;0,C871/(1+$B$9)^A871,0)</x:f>
        <x:v>0</x:v>
      </x:c>
    </x:row>
    <x:row r="872">
      <x:c r="A872" s="142" t="n">
        <x:v>818</x:v>
      </x:c>
      <x:c r="B872" s="179" t="n">
        <x:f>EDATE($B$5,A872-1)</x:f>
        <x:v>71406</x:v>
      </x:c>
      <x:c r="C872" s="141" t="n">
        <x:f>IF(AND($B$22="Sim",A872&gt;=$B$23,A872&lt;$B$23+$B$31),$B$32*D872,0)</x:f>
        <x:v>0</x:v>
      </x:c>
      <x:c r="D872" s="180" t="n">
        <x:f>IF(A872&lt;$B$23,1,(1+$B$33)^INT((A872-$B$23)/12))</x:f>
        <x:v>52.577367549802716</x:v>
      </x:c>
      <x:c r="E872" s="141" t="n">
        <x:f>IF(AND($B$22="Sim",A872=$B$23),$B$37,0)</x:f>
        <x:v>0</x:v>
      </x:c>
      <x:c r="F872" s="141" t="n">
        <x:f>IF(AND($B$22="Sim",A872=$B$24),$B$27,0)</x:f>
        <x:v>0</x:v>
      </x:c>
      <x:c r="G872" s="141" t="n">
        <x:f>IF(AND($B$22="Sim",A872=$B$23),$B$35,0)</x:f>
        <x:v>0</x:v>
      </x:c>
      <x:c r="H872" s="141" t="n">
        <x:f>IF(AND($B$22="Sim",A872=$B$23),$B$36,0)</x:f>
        <x:v>0</x:v>
      </x:c>
      <x:c r="I872" s="141" t="n">
        <x:f>IF(OR($B$22&lt;&gt;"Sim",A872&gt;=$B$23+$B$31-1),0,(I873+C873)/(1+$B$9))</x:f>
        <x:v>0</x:v>
      </x:c>
      <x:c r="J872" s="140" t="str">
        <x:f>IF($B$22&lt;&gt;"Sim","Desativada",IF(A872&lt;$B$23,"Antes da compra",IF(A872&lt;$B$23+$B$31,"Parcelas restantes","Encerrado")))</x:f>
        <x:v>Encerrado</x:v>
      </x:c>
      <x:c r="K872" s="141" t="n">
        <x:f>IF(C872&gt;0,C872/(1+$B$9)^A872,0)</x:f>
        <x:v>0</x:v>
      </x:c>
    </x:row>
    <x:row r="873">
      <x:c r="A873" s="142" t="n">
        <x:v>819</x:v>
      </x:c>
      <x:c r="B873" s="179" t="n">
        <x:f>EDATE($B$5,A873-1)</x:f>
        <x:v>71437</x:v>
      </x:c>
      <x:c r="C873" s="141" t="n">
        <x:f>IF(AND($B$22="Sim",A873&gt;=$B$23,A873&lt;$B$23+$B$31),$B$32*D873,0)</x:f>
        <x:v>0</x:v>
      </x:c>
      <x:c r="D873" s="180" t="n">
        <x:f>IF(A873&lt;$B$23,1,(1+$B$33)^INT((A873-$B$23)/12))</x:f>
        <x:v>52.577367549802716</x:v>
      </x:c>
      <x:c r="E873" s="141" t="n">
        <x:f>IF(AND($B$22="Sim",A873=$B$23),$B$37,0)</x:f>
        <x:v>0</x:v>
      </x:c>
      <x:c r="F873" s="141" t="n">
        <x:f>IF(AND($B$22="Sim",A873=$B$24),$B$27,0)</x:f>
        <x:v>0</x:v>
      </x:c>
      <x:c r="G873" s="141" t="n">
        <x:f>IF(AND($B$22="Sim",A873=$B$23),$B$35,0)</x:f>
        <x:v>0</x:v>
      </x:c>
      <x:c r="H873" s="141" t="n">
        <x:f>IF(AND($B$22="Sim",A873=$B$23),$B$36,0)</x:f>
        <x:v>0</x:v>
      </x:c>
      <x:c r="I873" s="141" t="n">
        <x:f>IF(OR($B$22&lt;&gt;"Sim",A873&gt;=$B$23+$B$31-1),0,(I874+C874)/(1+$B$9))</x:f>
        <x:v>0</x:v>
      </x:c>
      <x:c r="J873" s="140" t="str">
        <x:f>IF($B$22&lt;&gt;"Sim","Desativada",IF(A873&lt;$B$23,"Antes da compra",IF(A873&lt;$B$23+$B$31,"Parcelas restantes","Encerrado")))</x:f>
        <x:v>Encerrado</x:v>
      </x:c>
      <x:c r="K873" s="141" t="n">
        <x:f>IF(C873&gt;0,C873/(1+$B$9)^A873,0)</x:f>
        <x:v>0</x:v>
      </x:c>
    </x:row>
    <x:row r="874">
      <x:c r="A874" s="142" t="n">
        <x:v>820</x:v>
      </x:c>
      <x:c r="B874" s="179" t="n">
        <x:f>EDATE($B$5,A874-1)</x:f>
        <x:v>71468</x:v>
      </x:c>
      <x:c r="C874" s="141" t="n">
        <x:f>IF(AND($B$22="Sim",A874&gt;=$B$23,A874&lt;$B$23+$B$31),$B$32*D874,0)</x:f>
        <x:v>0</x:v>
      </x:c>
      <x:c r="D874" s="180" t="n">
        <x:f>IF(A874&lt;$B$23,1,(1+$B$33)^INT((A874-$B$23)/12))</x:f>
        <x:v>52.577367549802716</x:v>
      </x:c>
      <x:c r="E874" s="141" t="n">
        <x:f>IF(AND($B$22="Sim",A874=$B$23),$B$37,0)</x:f>
        <x:v>0</x:v>
      </x:c>
      <x:c r="F874" s="141" t="n">
        <x:f>IF(AND($B$22="Sim",A874=$B$24),$B$27,0)</x:f>
        <x:v>0</x:v>
      </x:c>
      <x:c r="G874" s="141" t="n">
        <x:f>IF(AND($B$22="Sim",A874=$B$23),$B$35,0)</x:f>
        <x:v>0</x:v>
      </x:c>
      <x:c r="H874" s="141" t="n">
        <x:f>IF(AND($B$22="Sim",A874=$B$23),$B$36,0)</x:f>
        <x:v>0</x:v>
      </x:c>
      <x:c r="I874" s="141" t="n">
        <x:f>IF(OR($B$22&lt;&gt;"Sim",A874&gt;=$B$23+$B$31-1),0,(I875+C875)/(1+$B$9))</x:f>
        <x:v>0</x:v>
      </x:c>
      <x:c r="J874" s="140" t="str">
        <x:f>IF($B$22&lt;&gt;"Sim","Desativada",IF(A874&lt;$B$23,"Antes da compra",IF(A874&lt;$B$23+$B$31,"Parcelas restantes","Encerrado")))</x:f>
        <x:v>Encerrado</x:v>
      </x:c>
      <x:c r="K874" s="141" t="n">
        <x:f>IF(C874&gt;0,C874/(1+$B$9)^A874,0)</x:f>
        <x:v>0</x:v>
      </x:c>
    </x:row>
    <x:row r="875">
      <x:c r="A875" s="142" t="n">
        <x:v>821</x:v>
      </x:c>
      <x:c r="B875" s="179" t="n">
        <x:f>EDATE($B$5,A875-1)</x:f>
        <x:v>71498</x:v>
      </x:c>
      <x:c r="C875" s="141" t="n">
        <x:f>IF(AND($B$22="Sim",A875&gt;=$B$23,A875&lt;$B$23+$B$31),$B$32*D875,0)</x:f>
        <x:v>0</x:v>
      </x:c>
      <x:c r="D875" s="180" t="n">
        <x:f>IF(A875&lt;$B$23,1,(1+$B$33)^INT((A875-$B$23)/12))</x:f>
        <x:v>52.577367549802716</x:v>
      </x:c>
      <x:c r="E875" s="141" t="n">
        <x:f>IF(AND($B$22="Sim",A875=$B$23),$B$37,0)</x:f>
        <x:v>0</x:v>
      </x:c>
      <x:c r="F875" s="141" t="n">
        <x:f>IF(AND($B$22="Sim",A875=$B$24),$B$27,0)</x:f>
        <x:v>0</x:v>
      </x:c>
      <x:c r="G875" s="141" t="n">
        <x:f>IF(AND($B$22="Sim",A875=$B$23),$B$35,0)</x:f>
        <x:v>0</x:v>
      </x:c>
      <x:c r="H875" s="141" t="n">
        <x:f>IF(AND($B$22="Sim",A875=$B$23),$B$36,0)</x:f>
        <x:v>0</x:v>
      </x:c>
      <x:c r="I875" s="141" t="n">
        <x:f>IF(OR($B$22&lt;&gt;"Sim",A875&gt;=$B$23+$B$31-1),0,(I876+C876)/(1+$B$9))</x:f>
        <x:v>0</x:v>
      </x:c>
      <x:c r="J875" s="140" t="str">
        <x:f>IF($B$22&lt;&gt;"Sim","Desativada",IF(A875&lt;$B$23,"Antes da compra",IF(A875&lt;$B$23+$B$31,"Parcelas restantes","Encerrado")))</x:f>
        <x:v>Encerrado</x:v>
      </x:c>
      <x:c r="K875" s="141" t="n">
        <x:f>IF(C875&gt;0,C875/(1+$B$9)^A875,0)</x:f>
        <x:v>0</x:v>
      </x:c>
    </x:row>
    <x:row r="876">
      <x:c r="A876" s="142" t="n">
        <x:v>822</x:v>
      </x:c>
      <x:c r="B876" s="179" t="n">
        <x:f>EDATE($B$5,A876-1)</x:f>
        <x:v>71529</x:v>
      </x:c>
      <x:c r="C876" s="141" t="n">
        <x:f>IF(AND($B$22="Sim",A876&gt;=$B$23,A876&lt;$B$23+$B$31),$B$32*D876,0)</x:f>
        <x:v>0</x:v>
      </x:c>
      <x:c r="D876" s="180" t="n">
        <x:f>IF(A876&lt;$B$23,1,(1+$B$33)^INT((A876-$B$23)/12))</x:f>
        <x:v>52.577367549802716</x:v>
      </x:c>
      <x:c r="E876" s="141" t="n">
        <x:f>IF(AND($B$22="Sim",A876=$B$23),$B$37,0)</x:f>
        <x:v>0</x:v>
      </x:c>
      <x:c r="F876" s="141" t="n">
        <x:f>IF(AND($B$22="Sim",A876=$B$24),$B$27,0)</x:f>
        <x:v>0</x:v>
      </x:c>
      <x:c r="G876" s="141" t="n">
        <x:f>IF(AND($B$22="Sim",A876=$B$23),$B$35,0)</x:f>
        <x:v>0</x:v>
      </x:c>
      <x:c r="H876" s="141" t="n">
        <x:f>IF(AND($B$22="Sim",A876=$B$23),$B$36,0)</x:f>
        <x:v>0</x:v>
      </x:c>
      <x:c r="I876" s="141" t="n">
        <x:f>IF(OR($B$22&lt;&gt;"Sim",A876&gt;=$B$23+$B$31-1),0,(I877+C877)/(1+$B$9))</x:f>
        <x:v>0</x:v>
      </x:c>
      <x:c r="J876" s="140" t="str">
        <x:f>IF($B$22&lt;&gt;"Sim","Desativada",IF(A876&lt;$B$23,"Antes da compra",IF(A876&lt;$B$23+$B$31,"Parcelas restantes","Encerrado")))</x:f>
        <x:v>Encerrado</x:v>
      </x:c>
      <x:c r="K876" s="141" t="n">
        <x:f>IF(C876&gt;0,C876/(1+$B$9)^A876,0)</x:f>
        <x:v>0</x:v>
      </x:c>
    </x:row>
    <x:row r="877">
      <x:c r="A877" s="142" t="n">
        <x:v>823</x:v>
      </x:c>
      <x:c r="B877" s="179" t="n">
        <x:f>EDATE($B$5,A877-1)</x:f>
        <x:v>71559</x:v>
      </x:c>
      <x:c r="C877" s="141" t="n">
        <x:f>IF(AND($B$22="Sim",A877&gt;=$B$23,A877&lt;$B$23+$B$31),$B$32*D877,0)</x:f>
        <x:v>0</x:v>
      </x:c>
      <x:c r="D877" s="180" t="n">
        <x:f>IF(A877&lt;$B$23,1,(1+$B$33)^INT((A877-$B$23)/12))</x:f>
        <x:v>52.577367549802716</x:v>
      </x:c>
      <x:c r="E877" s="141" t="n">
        <x:f>IF(AND($B$22="Sim",A877=$B$23),$B$37,0)</x:f>
        <x:v>0</x:v>
      </x:c>
      <x:c r="F877" s="141" t="n">
        <x:f>IF(AND($B$22="Sim",A877=$B$24),$B$27,0)</x:f>
        <x:v>0</x:v>
      </x:c>
      <x:c r="G877" s="141" t="n">
        <x:f>IF(AND($B$22="Sim",A877=$B$23),$B$35,0)</x:f>
        <x:v>0</x:v>
      </x:c>
      <x:c r="H877" s="141" t="n">
        <x:f>IF(AND($B$22="Sim",A877=$B$23),$B$36,0)</x:f>
        <x:v>0</x:v>
      </x:c>
      <x:c r="I877" s="141" t="n">
        <x:f>IF(OR($B$22&lt;&gt;"Sim",A877&gt;=$B$23+$B$31-1),0,(I878+C878)/(1+$B$9))</x:f>
        <x:v>0</x:v>
      </x:c>
      <x:c r="J877" s="140" t="str">
        <x:f>IF($B$22&lt;&gt;"Sim","Desativada",IF(A877&lt;$B$23,"Antes da compra",IF(A877&lt;$B$23+$B$31,"Parcelas restantes","Encerrado")))</x:f>
        <x:v>Encerrado</x:v>
      </x:c>
      <x:c r="K877" s="141" t="n">
        <x:f>IF(C877&gt;0,C877/(1+$B$9)^A877,0)</x:f>
        <x:v>0</x:v>
      </x:c>
    </x:row>
    <x:row r="878">
      <x:c r="A878" s="142" t="n">
        <x:v>824</x:v>
      </x:c>
      <x:c r="B878" s="179" t="n">
        <x:f>EDATE($B$5,A878-1)</x:f>
        <x:v>71590</x:v>
      </x:c>
      <x:c r="C878" s="141" t="n">
        <x:f>IF(AND($B$22="Sim",A878&gt;=$B$23,A878&lt;$B$23+$B$31),$B$32*D878,0)</x:f>
        <x:v>0</x:v>
      </x:c>
      <x:c r="D878" s="180" t="n">
        <x:f>IF(A878&lt;$B$23,1,(1+$B$33)^INT((A878-$B$23)/12))</x:f>
        <x:v>52.577367549802716</x:v>
      </x:c>
      <x:c r="E878" s="141" t="n">
        <x:f>IF(AND($B$22="Sim",A878=$B$23),$B$37,0)</x:f>
        <x:v>0</x:v>
      </x:c>
      <x:c r="F878" s="141" t="n">
        <x:f>IF(AND($B$22="Sim",A878=$B$24),$B$27,0)</x:f>
        <x:v>0</x:v>
      </x:c>
      <x:c r="G878" s="141" t="n">
        <x:f>IF(AND($B$22="Sim",A878=$B$23),$B$35,0)</x:f>
        <x:v>0</x:v>
      </x:c>
      <x:c r="H878" s="141" t="n">
        <x:f>IF(AND($B$22="Sim",A878=$B$23),$B$36,0)</x:f>
        <x:v>0</x:v>
      </x:c>
      <x:c r="I878" s="141" t="n">
        <x:f>IF(OR($B$22&lt;&gt;"Sim",A878&gt;=$B$23+$B$31-1),0,(I879+C879)/(1+$B$9))</x:f>
        <x:v>0</x:v>
      </x:c>
      <x:c r="J878" s="140" t="str">
        <x:f>IF($B$22&lt;&gt;"Sim","Desativada",IF(A878&lt;$B$23,"Antes da compra",IF(A878&lt;$B$23+$B$31,"Parcelas restantes","Encerrado")))</x:f>
        <x:v>Encerrado</x:v>
      </x:c>
      <x:c r="K878" s="141" t="n">
        <x:f>IF(C878&gt;0,C878/(1+$B$9)^A878,0)</x:f>
        <x:v>0</x:v>
      </x:c>
    </x:row>
    <x:row r="879">
      <x:c r="A879" s="142" t="n">
        <x:v>825</x:v>
      </x:c>
      <x:c r="B879" s="179" t="n">
        <x:f>EDATE($B$5,A879-1)</x:f>
        <x:v>71621</x:v>
      </x:c>
      <x:c r="C879" s="141" t="n">
        <x:f>IF(AND($B$22="Sim",A879&gt;=$B$23,A879&lt;$B$23+$B$31),$B$32*D879,0)</x:f>
        <x:v>0</x:v>
      </x:c>
      <x:c r="D879" s="180" t="n">
        <x:f>IF(A879&lt;$B$23,1,(1+$B$33)^INT((A879-$B$23)/12))</x:f>
        <x:v>52.577367549802716</x:v>
      </x:c>
      <x:c r="E879" s="141" t="n">
        <x:f>IF(AND($B$22="Sim",A879=$B$23),$B$37,0)</x:f>
        <x:v>0</x:v>
      </x:c>
      <x:c r="F879" s="141" t="n">
        <x:f>IF(AND($B$22="Sim",A879=$B$24),$B$27,0)</x:f>
        <x:v>0</x:v>
      </x:c>
      <x:c r="G879" s="141" t="n">
        <x:f>IF(AND($B$22="Sim",A879=$B$23),$B$35,0)</x:f>
        <x:v>0</x:v>
      </x:c>
      <x:c r="H879" s="141" t="n">
        <x:f>IF(AND($B$22="Sim",A879=$B$23),$B$36,0)</x:f>
        <x:v>0</x:v>
      </x:c>
      <x:c r="I879" s="141" t="n">
        <x:f>IF(OR($B$22&lt;&gt;"Sim",A879&gt;=$B$23+$B$31-1),0,(I880+C880)/(1+$B$9))</x:f>
        <x:v>0</x:v>
      </x:c>
      <x:c r="J879" s="140" t="str">
        <x:f>IF($B$22&lt;&gt;"Sim","Desativada",IF(A879&lt;$B$23,"Antes da compra",IF(A879&lt;$B$23+$B$31,"Parcelas restantes","Encerrado")))</x:f>
        <x:v>Encerrado</x:v>
      </x:c>
      <x:c r="K879" s="141" t="n">
        <x:f>IF(C879&gt;0,C879/(1+$B$9)^A879,0)</x:f>
        <x:v>0</x:v>
      </x:c>
    </x:row>
    <x:row r="880">
      <x:c r="A880" s="142" t="n">
        <x:v>826</x:v>
      </x:c>
      <x:c r="B880" s="179" t="n">
        <x:f>EDATE($B$5,A880-1)</x:f>
        <x:v>71650</x:v>
      </x:c>
      <x:c r="C880" s="141" t="n">
        <x:f>IF(AND($B$22="Sim",A880&gt;=$B$23,A880&lt;$B$23+$B$31),$B$32*D880,0)</x:f>
        <x:v>0</x:v>
      </x:c>
      <x:c r="D880" s="180" t="n">
        <x:f>IF(A880&lt;$B$23,1,(1+$B$33)^INT((A880-$B$23)/12))</x:f>
        <x:v>52.577367549802716</x:v>
      </x:c>
      <x:c r="E880" s="141" t="n">
        <x:f>IF(AND($B$22="Sim",A880=$B$23),$B$37,0)</x:f>
        <x:v>0</x:v>
      </x:c>
      <x:c r="F880" s="141" t="n">
        <x:f>IF(AND($B$22="Sim",A880=$B$24),$B$27,0)</x:f>
        <x:v>0</x:v>
      </x:c>
      <x:c r="G880" s="141" t="n">
        <x:f>IF(AND($B$22="Sim",A880=$B$23),$B$35,0)</x:f>
        <x:v>0</x:v>
      </x:c>
      <x:c r="H880" s="141" t="n">
        <x:f>IF(AND($B$22="Sim",A880=$B$23),$B$36,0)</x:f>
        <x:v>0</x:v>
      </x:c>
      <x:c r="I880" s="141" t="n">
        <x:f>IF(OR($B$22&lt;&gt;"Sim",A880&gt;=$B$23+$B$31-1),0,(I881+C881)/(1+$B$9))</x:f>
        <x:v>0</x:v>
      </x:c>
      <x:c r="J880" s="140" t="str">
        <x:f>IF($B$22&lt;&gt;"Sim","Desativada",IF(A880&lt;$B$23,"Antes da compra",IF(A880&lt;$B$23+$B$31,"Parcelas restantes","Encerrado")))</x:f>
        <x:v>Encerrado</x:v>
      </x:c>
      <x:c r="K880" s="141" t="n">
        <x:f>IF(C880&gt;0,C880/(1+$B$9)^A880,0)</x:f>
        <x:v>0</x:v>
      </x:c>
    </x:row>
    <x:row r="881">
      <x:c r="A881" s="142" t="n">
        <x:v>827</x:v>
      </x:c>
      <x:c r="B881" s="179" t="n">
        <x:f>EDATE($B$5,A881-1)</x:f>
        <x:v>71681</x:v>
      </x:c>
      <x:c r="C881" s="141" t="n">
        <x:f>IF(AND($B$22="Sim",A881&gt;=$B$23,A881&lt;$B$23+$B$31),$B$32*D881,0)</x:f>
        <x:v>0</x:v>
      </x:c>
      <x:c r="D881" s="180" t="n">
        <x:f>IF(A881&lt;$B$23,1,(1+$B$33)^INT((A881-$B$23)/12))</x:f>
        <x:v>52.577367549802716</x:v>
      </x:c>
      <x:c r="E881" s="141" t="n">
        <x:f>IF(AND($B$22="Sim",A881=$B$23),$B$37,0)</x:f>
        <x:v>0</x:v>
      </x:c>
      <x:c r="F881" s="141" t="n">
        <x:f>IF(AND($B$22="Sim",A881=$B$24),$B$27,0)</x:f>
        <x:v>0</x:v>
      </x:c>
      <x:c r="G881" s="141" t="n">
        <x:f>IF(AND($B$22="Sim",A881=$B$23),$B$35,0)</x:f>
        <x:v>0</x:v>
      </x:c>
      <x:c r="H881" s="141" t="n">
        <x:f>IF(AND($B$22="Sim",A881=$B$23),$B$36,0)</x:f>
        <x:v>0</x:v>
      </x:c>
      <x:c r="I881" s="141" t="n">
        <x:f>IF(OR($B$22&lt;&gt;"Sim",A881&gt;=$B$23+$B$31-1),0,(I882+C882)/(1+$B$9))</x:f>
        <x:v>0</x:v>
      </x:c>
      <x:c r="J881" s="140" t="str">
        <x:f>IF($B$22&lt;&gt;"Sim","Desativada",IF(A881&lt;$B$23,"Antes da compra",IF(A881&lt;$B$23+$B$31,"Parcelas restantes","Encerrado")))</x:f>
        <x:v>Encerrado</x:v>
      </x:c>
      <x:c r="K881" s="141" t="n">
        <x:f>IF(C881&gt;0,C881/(1+$B$9)^A881,0)</x:f>
        <x:v>0</x:v>
      </x:c>
    </x:row>
    <x:row r="882">
      <x:c r="A882" s="142" t="n">
        <x:v>828</x:v>
      </x:c>
      <x:c r="B882" s="179" t="n">
        <x:f>EDATE($B$5,A882-1)</x:f>
        <x:v>71711</x:v>
      </x:c>
      <x:c r="C882" s="141" t="n">
        <x:f>IF(AND($B$22="Sim",A882&gt;=$B$23,A882&lt;$B$23+$B$31),$B$32*D882,0)</x:f>
        <x:v>0</x:v>
      </x:c>
      <x:c r="D882" s="180" t="n">
        <x:f>IF(A882&lt;$B$23,1,(1+$B$33)^INT((A882-$B$23)/12))</x:f>
        <x:v>52.577367549802716</x:v>
      </x:c>
      <x:c r="E882" s="141" t="n">
        <x:f>IF(AND($B$22="Sim",A882=$B$23),$B$37,0)</x:f>
        <x:v>0</x:v>
      </x:c>
      <x:c r="F882" s="141" t="n">
        <x:f>IF(AND($B$22="Sim",A882=$B$24),$B$27,0)</x:f>
        <x:v>0</x:v>
      </x:c>
      <x:c r="G882" s="141" t="n">
        <x:f>IF(AND($B$22="Sim",A882=$B$23),$B$35,0)</x:f>
        <x:v>0</x:v>
      </x:c>
      <x:c r="H882" s="141" t="n">
        <x:f>IF(AND($B$22="Sim",A882=$B$23),$B$36,0)</x:f>
        <x:v>0</x:v>
      </x:c>
      <x:c r="I882" s="141" t="n">
        <x:f>IF(OR($B$22&lt;&gt;"Sim",A882&gt;=$B$23+$B$31-1),0,(I883+C883)/(1+$B$9))</x:f>
        <x:v>0</x:v>
      </x:c>
      <x:c r="J882" s="140" t="str">
        <x:f>IF($B$22&lt;&gt;"Sim","Desativada",IF(A882&lt;$B$23,"Antes da compra",IF(A882&lt;$B$23+$B$31,"Parcelas restantes","Encerrado")))</x:f>
        <x:v>Encerrado</x:v>
      </x:c>
      <x:c r="K882" s="141" t="n">
        <x:f>IF(C882&gt;0,C882/(1+$B$9)^A882,0)</x:f>
        <x:v>0</x:v>
      </x:c>
    </x:row>
    <x:row r="883">
      <x:c r="A883" s="142" t="n">
        <x:v>829</x:v>
      </x:c>
      <x:c r="B883" s="179" t="n">
        <x:f>EDATE($B$5,A883-1)</x:f>
        <x:v>71742</x:v>
      </x:c>
      <x:c r="C883" s="141" t="n">
        <x:f>IF(AND($B$22="Sim",A883&gt;=$B$23,A883&lt;$B$23+$B$31),$B$32*D883,0)</x:f>
        <x:v>0</x:v>
      </x:c>
      <x:c r="D883" s="180" t="n">
        <x:f>IF(A883&lt;$B$23,1,(1+$B$33)^INT((A883-$B$23)/12))</x:f>
        <x:v>55.73200960279088</x:v>
      </x:c>
      <x:c r="E883" s="141" t="n">
        <x:f>IF(AND($B$22="Sim",A883=$B$23),$B$37,0)</x:f>
        <x:v>0</x:v>
      </x:c>
      <x:c r="F883" s="141" t="n">
        <x:f>IF(AND($B$22="Sim",A883=$B$24),$B$27,0)</x:f>
        <x:v>0</x:v>
      </x:c>
      <x:c r="G883" s="141" t="n">
        <x:f>IF(AND($B$22="Sim",A883=$B$23),$B$35,0)</x:f>
        <x:v>0</x:v>
      </x:c>
      <x:c r="H883" s="141" t="n">
        <x:f>IF(AND($B$22="Sim",A883=$B$23),$B$36,0)</x:f>
        <x:v>0</x:v>
      </x:c>
      <x:c r="I883" s="141" t="n">
        <x:f>IF(OR($B$22&lt;&gt;"Sim",A883&gt;=$B$23+$B$31-1),0,(I884+C884)/(1+$B$9))</x:f>
        <x:v>0</x:v>
      </x:c>
      <x:c r="J883" s="140" t="str">
        <x:f>IF($B$22&lt;&gt;"Sim","Desativada",IF(A883&lt;$B$23,"Antes da compra",IF(A883&lt;$B$23+$B$31,"Parcelas restantes","Encerrado")))</x:f>
        <x:v>Encerrado</x:v>
      </x:c>
      <x:c r="K883" s="141" t="n">
        <x:f>IF(C883&gt;0,C883/(1+$B$9)^A883,0)</x:f>
        <x:v>0</x:v>
      </x:c>
    </x:row>
    <x:row r="884">
      <x:c r="A884" s="142" t="n">
        <x:v>830</x:v>
      </x:c>
      <x:c r="B884" s="179" t="n">
        <x:f>EDATE($B$5,A884-1)</x:f>
        <x:v>71772</x:v>
      </x:c>
      <x:c r="C884" s="141" t="n">
        <x:f>IF(AND($B$22="Sim",A884&gt;=$B$23,A884&lt;$B$23+$B$31),$B$32*D884,0)</x:f>
        <x:v>0</x:v>
      </x:c>
      <x:c r="D884" s="180" t="n">
        <x:f>IF(A884&lt;$B$23,1,(1+$B$33)^INT((A884-$B$23)/12))</x:f>
        <x:v>55.73200960279088</x:v>
      </x:c>
      <x:c r="E884" s="141" t="n">
        <x:f>IF(AND($B$22="Sim",A884=$B$23),$B$37,0)</x:f>
        <x:v>0</x:v>
      </x:c>
      <x:c r="F884" s="141" t="n">
        <x:f>IF(AND($B$22="Sim",A884=$B$24),$B$27,0)</x:f>
        <x:v>0</x:v>
      </x:c>
      <x:c r="G884" s="141" t="n">
        <x:f>IF(AND($B$22="Sim",A884=$B$23),$B$35,0)</x:f>
        <x:v>0</x:v>
      </x:c>
      <x:c r="H884" s="141" t="n">
        <x:f>IF(AND($B$22="Sim",A884=$B$23),$B$36,0)</x:f>
        <x:v>0</x:v>
      </x:c>
      <x:c r="I884" s="141" t="n">
        <x:f>IF(OR($B$22&lt;&gt;"Sim",A884&gt;=$B$23+$B$31-1),0,(I885+C885)/(1+$B$9))</x:f>
        <x:v>0</x:v>
      </x:c>
      <x:c r="J884" s="140" t="str">
        <x:f>IF($B$22&lt;&gt;"Sim","Desativada",IF(A884&lt;$B$23,"Antes da compra",IF(A884&lt;$B$23+$B$31,"Parcelas restantes","Encerrado")))</x:f>
        <x:v>Encerrado</x:v>
      </x:c>
      <x:c r="K884" s="141" t="n">
        <x:f>IF(C884&gt;0,C884/(1+$B$9)^A884,0)</x:f>
        <x:v>0</x:v>
      </x:c>
    </x:row>
    <x:row r="885">
      <x:c r="A885" s="142" t="n">
        <x:v>831</x:v>
      </x:c>
      <x:c r="B885" s="179" t="n">
        <x:f>EDATE($B$5,A885-1)</x:f>
        <x:v>71803</x:v>
      </x:c>
      <x:c r="C885" s="141" t="n">
        <x:f>IF(AND($B$22="Sim",A885&gt;=$B$23,A885&lt;$B$23+$B$31),$B$32*D885,0)</x:f>
        <x:v>0</x:v>
      </x:c>
      <x:c r="D885" s="180" t="n">
        <x:f>IF(A885&lt;$B$23,1,(1+$B$33)^INT((A885-$B$23)/12))</x:f>
        <x:v>55.73200960279088</x:v>
      </x:c>
      <x:c r="E885" s="141" t="n">
        <x:f>IF(AND($B$22="Sim",A885=$B$23),$B$37,0)</x:f>
        <x:v>0</x:v>
      </x:c>
      <x:c r="F885" s="141" t="n">
        <x:f>IF(AND($B$22="Sim",A885=$B$24),$B$27,0)</x:f>
        <x:v>0</x:v>
      </x:c>
      <x:c r="G885" s="141" t="n">
        <x:f>IF(AND($B$22="Sim",A885=$B$23),$B$35,0)</x:f>
        <x:v>0</x:v>
      </x:c>
      <x:c r="H885" s="141" t="n">
        <x:f>IF(AND($B$22="Sim",A885=$B$23),$B$36,0)</x:f>
        <x:v>0</x:v>
      </x:c>
      <x:c r="I885" s="141" t="n">
        <x:f>IF(OR($B$22&lt;&gt;"Sim",A885&gt;=$B$23+$B$31-1),0,(I886+C886)/(1+$B$9))</x:f>
        <x:v>0</x:v>
      </x:c>
      <x:c r="J885" s="140" t="str">
        <x:f>IF($B$22&lt;&gt;"Sim","Desativada",IF(A885&lt;$B$23,"Antes da compra",IF(A885&lt;$B$23+$B$31,"Parcelas restantes","Encerrado")))</x:f>
        <x:v>Encerrado</x:v>
      </x:c>
      <x:c r="K885" s="141" t="n">
        <x:f>IF(C885&gt;0,C885/(1+$B$9)^A885,0)</x:f>
        <x:v>0</x:v>
      </x:c>
    </x:row>
    <x:row r="886">
      <x:c r="A886" s="142" t="n">
        <x:v>832</x:v>
      </x:c>
      <x:c r="B886" s="179" t="n">
        <x:f>EDATE($B$5,A886-1)</x:f>
        <x:v>71834</x:v>
      </x:c>
      <x:c r="C886" s="141" t="n">
        <x:f>IF(AND($B$22="Sim",A886&gt;=$B$23,A886&lt;$B$23+$B$31),$B$32*D886,0)</x:f>
        <x:v>0</x:v>
      </x:c>
      <x:c r="D886" s="180" t="n">
        <x:f>IF(A886&lt;$B$23,1,(1+$B$33)^INT((A886-$B$23)/12))</x:f>
        <x:v>55.73200960279088</x:v>
      </x:c>
      <x:c r="E886" s="141" t="n">
        <x:f>IF(AND($B$22="Sim",A886=$B$23),$B$37,0)</x:f>
        <x:v>0</x:v>
      </x:c>
      <x:c r="F886" s="141" t="n">
        <x:f>IF(AND($B$22="Sim",A886=$B$24),$B$27,0)</x:f>
        <x:v>0</x:v>
      </x:c>
      <x:c r="G886" s="141" t="n">
        <x:f>IF(AND($B$22="Sim",A886=$B$23),$B$35,0)</x:f>
        <x:v>0</x:v>
      </x:c>
      <x:c r="H886" s="141" t="n">
        <x:f>IF(AND($B$22="Sim",A886=$B$23),$B$36,0)</x:f>
        <x:v>0</x:v>
      </x:c>
      <x:c r="I886" s="141" t="n">
        <x:f>IF(OR($B$22&lt;&gt;"Sim",A886&gt;=$B$23+$B$31-1),0,(I887+C887)/(1+$B$9))</x:f>
        <x:v>0</x:v>
      </x:c>
      <x:c r="J886" s="140" t="str">
        <x:f>IF($B$22&lt;&gt;"Sim","Desativada",IF(A886&lt;$B$23,"Antes da compra",IF(A886&lt;$B$23+$B$31,"Parcelas restantes","Encerrado")))</x:f>
        <x:v>Encerrado</x:v>
      </x:c>
      <x:c r="K886" s="141" t="n">
        <x:f>IF(C886&gt;0,C886/(1+$B$9)^A886,0)</x:f>
        <x:v>0</x:v>
      </x:c>
    </x:row>
    <x:row r="887">
      <x:c r="A887" s="142" t="n">
        <x:v>833</x:v>
      </x:c>
      <x:c r="B887" s="179" t="n">
        <x:f>EDATE($B$5,A887-1)</x:f>
        <x:v>71864</x:v>
      </x:c>
      <x:c r="C887" s="141" t="n">
        <x:f>IF(AND($B$22="Sim",A887&gt;=$B$23,A887&lt;$B$23+$B$31),$B$32*D887,0)</x:f>
        <x:v>0</x:v>
      </x:c>
      <x:c r="D887" s="180" t="n">
        <x:f>IF(A887&lt;$B$23,1,(1+$B$33)^INT((A887-$B$23)/12))</x:f>
        <x:v>55.73200960279088</x:v>
      </x:c>
      <x:c r="E887" s="141" t="n">
        <x:f>IF(AND($B$22="Sim",A887=$B$23),$B$37,0)</x:f>
        <x:v>0</x:v>
      </x:c>
      <x:c r="F887" s="141" t="n">
        <x:f>IF(AND($B$22="Sim",A887=$B$24),$B$27,0)</x:f>
        <x:v>0</x:v>
      </x:c>
      <x:c r="G887" s="141" t="n">
        <x:f>IF(AND($B$22="Sim",A887=$B$23),$B$35,0)</x:f>
        <x:v>0</x:v>
      </x:c>
      <x:c r="H887" s="141" t="n">
        <x:f>IF(AND($B$22="Sim",A887=$B$23),$B$36,0)</x:f>
        <x:v>0</x:v>
      </x:c>
      <x:c r="I887" s="141" t="n">
        <x:f>IF(OR($B$22&lt;&gt;"Sim",A887&gt;=$B$23+$B$31-1),0,(I888+C888)/(1+$B$9))</x:f>
        <x:v>0</x:v>
      </x:c>
      <x:c r="J887" s="140" t="str">
        <x:f>IF($B$22&lt;&gt;"Sim","Desativada",IF(A887&lt;$B$23,"Antes da compra",IF(A887&lt;$B$23+$B$31,"Parcelas restantes","Encerrado")))</x:f>
        <x:v>Encerrado</x:v>
      </x:c>
      <x:c r="K887" s="141" t="n">
        <x:f>IF(C887&gt;0,C887/(1+$B$9)^A887,0)</x:f>
        <x:v>0</x:v>
      </x:c>
    </x:row>
    <x:row r="888">
      <x:c r="A888" s="142" t="n">
        <x:v>834</x:v>
      </x:c>
      <x:c r="B888" s="179" t="n">
        <x:f>EDATE($B$5,A888-1)</x:f>
        <x:v>71895</x:v>
      </x:c>
      <x:c r="C888" s="141" t="n">
        <x:f>IF(AND($B$22="Sim",A888&gt;=$B$23,A888&lt;$B$23+$B$31),$B$32*D888,0)</x:f>
        <x:v>0</x:v>
      </x:c>
      <x:c r="D888" s="180" t="n">
        <x:f>IF(A888&lt;$B$23,1,(1+$B$33)^INT((A888-$B$23)/12))</x:f>
        <x:v>55.73200960279088</x:v>
      </x:c>
      <x:c r="E888" s="141" t="n">
        <x:f>IF(AND($B$22="Sim",A888=$B$23),$B$37,0)</x:f>
        <x:v>0</x:v>
      </x:c>
      <x:c r="F888" s="141" t="n">
        <x:f>IF(AND($B$22="Sim",A888=$B$24),$B$27,0)</x:f>
        <x:v>0</x:v>
      </x:c>
      <x:c r="G888" s="141" t="n">
        <x:f>IF(AND($B$22="Sim",A888=$B$23),$B$35,0)</x:f>
        <x:v>0</x:v>
      </x:c>
      <x:c r="H888" s="141" t="n">
        <x:f>IF(AND($B$22="Sim",A888=$B$23),$B$36,0)</x:f>
        <x:v>0</x:v>
      </x:c>
      <x:c r="I888" s="141" t="n">
        <x:f>IF(OR($B$22&lt;&gt;"Sim",A888&gt;=$B$23+$B$31-1),0,(I889+C889)/(1+$B$9))</x:f>
        <x:v>0</x:v>
      </x:c>
      <x:c r="J888" s="140" t="str">
        <x:f>IF($B$22&lt;&gt;"Sim","Desativada",IF(A888&lt;$B$23,"Antes da compra",IF(A888&lt;$B$23+$B$31,"Parcelas restantes","Encerrado")))</x:f>
        <x:v>Encerrado</x:v>
      </x:c>
      <x:c r="K888" s="141" t="n">
        <x:f>IF(C888&gt;0,C888/(1+$B$9)^A888,0)</x:f>
        <x:v>0</x:v>
      </x:c>
    </x:row>
    <x:row r="889">
      <x:c r="A889" s="142" t="n">
        <x:v>835</x:v>
      </x:c>
      <x:c r="B889" s="179" t="n">
        <x:f>EDATE($B$5,A889-1)</x:f>
        <x:v>71925</x:v>
      </x:c>
      <x:c r="C889" s="141" t="n">
        <x:f>IF(AND($B$22="Sim",A889&gt;=$B$23,A889&lt;$B$23+$B$31),$B$32*D889,0)</x:f>
        <x:v>0</x:v>
      </x:c>
      <x:c r="D889" s="180" t="n">
        <x:f>IF(A889&lt;$B$23,1,(1+$B$33)^INT((A889-$B$23)/12))</x:f>
        <x:v>55.73200960279088</x:v>
      </x:c>
      <x:c r="E889" s="141" t="n">
        <x:f>IF(AND($B$22="Sim",A889=$B$23),$B$37,0)</x:f>
        <x:v>0</x:v>
      </x:c>
      <x:c r="F889" s="141" t="n">
        <x:f>IF(AND($B$22="Sim",A889=$B$24),$B$27,0)</x:f>
        <x:v>0</x:v>
      </x:c>
      <x:c r="G889" s="141" t="n">
        <x:f>IF(AND($B$22="Sim",A889=$B$23),$B$35,0)</x:f>
        <x:v>0</x:v>
      </x:c>
      <x:c r="H889" s="141" t="n">
        <x:f>IF(AND($B$22="Sim",A889=$B$23),$B$36,0)</x:f>
        <x:v>0</x:v>
      </x:c>
      <x:c r="I889" s="141" t="n">
        <x:f>IF(OR($B$22&lt;&gt;"Sim",A889&gt;=$B$23+$B$31-1),0,(I890+C890)/(1+$B$9))</x:f>
        <x:v>0</x:v>
      </x:c>
      <x:c r="J889" s="140" t="str">
        <x:f>IF($B$22&lt;&gt;"Sim","Desativada",IF(A889&lt;$B$23,"Antes da compra",IF(A889&lt;$B$23+$B$31,"Parcelas restantes","Encerrado")))</x:f>
        <x:v>Encerrado</x:v>
      </x:c>
      <x:c r="K889" s="141" t="n">
        <x:f>IF(C889&gt;0,C889/(1+$B$9)^A889,0)</x:f>
        <x:v>0</x:v>
      </x:c>
    </x:row>
    <x:row r="890">
      <x:c r="A890" s="142" t="n">
        <x:v>836</x:v>
      </x:c>
      <x:c r="B890" s="179" t="n">
        <x:f>EDATE($B$5,A890-1)</x:f>
        <x:v>71956</x:v>
      </x:c>
      <x:c r="C890" s="141" t="n">
        <x:f>IF(AND($B$22="Sim",A890&gt;=$B$23,A890&lt;$B$23+$B$31),$B$32*D890,0)</x:f>
        <x:v>0</x:v>
      </x:c>
      <x:c r="D890" s="180" t="n">
        <x:f>IF(A890&lt;$B$23,1,(1+$B$33)^INT((A890-$B$23)/12))</x:f>
        <x:v>55.73200960279088</x:v>
      </x:c>
      <x:c r="E890" s="141" t="n">
        <x:f>IF(AND($B$22="Sim",A890=$B$23),$B$37,0)</x:f>
        <x:v>0</x:v>
      </x:c>
      <x:c r="F890" s="141" t="n">
        <x:f>IF(AND($B$22="Sim",A890=$B$24),$B$27,0)</x:f>
        <x:v>0</x:v>
      </x:c>
      <x:c r="G890" s="141" t="n">
        <x:f>IF(AND($B$22="Sim",A890=$B$23),$B$35,0)</x:f>
        <x:v>0</x:v>
      </x:c>
      <x:c r="H890" s="141" t="n">
        <x:f>IF(AND($B$22="Sim",A890=$B$23),$B$36,0)</x:f>
        <x:v>0</x:v>
      </x:c>
      <x:c r="I890" s="141" t="n">
        <x:f>IF(OR($B$22&lt;&gt;"Sim",A890&gt;=$B$23+$B$31-1),0,(I891+C891)/(1+$B$9))</x:f>
        <x:v>0</x:v>
      </x:c>
      <x:c r="J890" s="140" t="str">
        <x:f>IF($B$22&lt;&gt;"Sim","Desativada",IF(A890&lt;$B$23,"Antes da compra",IF(A890&lt;$B$23+$B$31,"Parcelas restantes","Encerrado")))</x:f>
        <x:v>Encerrado</x:v>
      </x:c>
      <x:c r="K890" s="141" t="n">
        <x:f>IF(C890&gt;0,C890/(1+$B$9)^A890,0)</x:f>
        <x:v>0</x:v>
      </x:c>
    </x:row>
    <x:row r="891">
      <x:c r="A891" s="142" t="n">
        <x:v>837</x:v>
      </x:c>
      <x:c r="B891" s="179" t="n">
        <x:f>EDATE($B$5,A891-1)</x:f>
        <x:v>71987</x:v>
      </x:c>
      <x:c r="C891" s="141" t="n">
        <x:f>IF(AND($B$22="Sim",A891&gt;=$B$23,A891&lt;$B$23+$B$31),$B$32*D891,0)</x:f>
        <x:v>0</x:v>
      </x:c>
      <x:c r="D891" s="180" t="n">
        <x:f>IF(A891&lt;$B$23,1,(1+$B$33)^INT((A891-$B$23)/12))</x:f>
        <x:v>55.73200960279088</x:v>
      </x:c>
      <x:c r="E891" s="141" t="n">
        <x:f>IF(AND($B$22="Sim",A891=$B$23),$B$37,0)</x:f>
        <x:v>0</x:v>
      </x:c>
      <x:c r="F891" s="141" t="n">
        <x:f>IF(AND($B$22="Sim",A891=$B$24),$B$27,0)</x:f>
        <x:v>0</x:v>
      </x:c>
      <x:c r="G891" s="141" t="n">
        <x:f>IF(AND($B$22="Sim",A891=$B$23),$B$35,0)</x:f>
        <x:v>0</x:v>
      </x:c>
      <x:c r="H891" s="141" t="n">
        <x:f>IF(AND($B$22="Sim",A891=$B$23),$B$36,0)</x:f>
        <x:v>0</x:v>
      </x:c>
      <x:c r="I891" s="141" t="n">
        <x:f>IF(OR($B$22&lt;&gt;"Sim",A891&gt;=$B$23+$B$31-1),0,(I892+C892)/(1+$B$9))</x:f>
        <x:v>0</x:v>
      </x:c>
      <x:c r="J891" s="140" t="str">
        <x:f>IF($B$22&lt;&gt;"Sim","Desativada",IF(A891&lt;$B$23,"Antes da compra",IF(A891&lt;$B$23+$B$31,"Parcelas restantes","Encerrado")))</x:f>
        <x:v>Encerrado</x:v>
      </x:c>
      <x:c r="K891" s="141" t="n">
        <x:f>IF(C891&gt;0,C891/(1+$B$9)^A891,0)</x:f>
        <x:v>0</x:v>
      </x:c>
    </x:row>
    <x:row r="892">
      <x:c r="A892" s="142" t="n">
        <x:v>838</x:v>
      </x:c>
      <x:c r="B892" s="179" t="n">
        <x:f>EDATE($B$5,A892-1)</x:f>
        <x:v>72015</x:v>
      </x:c>
      <x:c r="C892" s="141" t="n">
        <x:f>IF(AND($B$22="Sim",A892&gt;=$B$23,A892&lt;$B$23+$B$31),$B$32*D892,0)</x:f>
        <x:v>0</x:v>
      </x:c>
      <x:c r="D892" s="180" t="n">
        <x:f>IF(A892&lt;$B$23,1,(1+$B$33)^INT((A892-$B$23)/12))</x:f>
        <x:v>55.73200960279088</x:v>
      </x:c>
      <x:c r="E892" s="141" t="n">
        <x:f>IF(AND($B$22="Sim",A892=$B$23),$B$37,0)</x:f>
        <x:v>0</x:v>
      </x:c>
      <x:c r="F892" s="141" t="n">
        <x:f>IF(AND($B$22="Sim",A892=$B$24),$B$27,0)</x:f>
        <x:v>0</x:v>
      </x:c>
      <x:c r="G892" s="141" t="n">
        <x:f>IF(AND($B$22="Sim",A892=$B$23),$B$35,0)</x:f>
        <x:v>0</x:v>
      </x:c>
      <x:c r="H892" s="141" t="n">
        <x:f>IF(AND($B$22="Sim",A892=$B$23),$B$36,0)</x:f>
        <x:v>0</x:v>
      </x:c>
      <x:c r="I892" s="141" t="n">
        <x:f>IF(OR($B$22&lt;&gt;"Sim",A892&gt;=$B$23+$B$31-1),0,(I893+C893)/(1+$B$9))</x:f>
        <x:v>0</x:v>
      </x:c>
      <x:c r="J892" s="140" t="str">
        <x:f>IF($B$22&lt;&gt;"Sim","Desativada",IF(A892&lt;$B$23,"Antes da compra",IF(A892&lt;$B$23+$B$31,"Parcelas restantes","Encerrado")))</x:f>
        <x:v>Encerrado</x:v>
      </x:c>
      <x:c r="K892" s="141" t="n">
        <x:f>IF(C892&gt;0,C892/(1+$B$9)^A892,0)</x:f>
        <x:v>0</x:v>
      </x:c>
    </x:row>
    <x:row r="893">
      <x:c r="A893" s="142" t="n">
        <x:v>839</x:v>
      </x:c>
      <x:c r="B893" s="179" t="n">
        <x:f>EDATE($B$5,A893-1)</x:f>
        <x:v>72046</x:v>
      </x:c>
      <x:c r="C893" s="141" t="n">
        <x:f>IF(AND($B$22="Sim",A893&gt;=$B$23,A893&lt;$B$23+$B$31),$B$32*D893,0)</x:f>
        <x:v>0</x:v>
      </x:c>
      <x:c r="D893" s="180" t="n">
        <x:f>IF(A893&lt;$B$23,1,(1+$B$33)^INT((A893-$B$23)/12))</x:f>
        <x:v>55.73200960279088</x:v>
      </x:c>
      <x:c r="E893" s="141" t="n">
        <x:f>IF(AND($B$22="Sim",A893=$B$23),$B$37,0)</x:f>
        <x:v>0</x:v>
      </x:c>
      <x:c r="F893" s="141" t="n">
        <x:f>IF(AND($B$22="Sim",A893=$B$24),$B$27,0)</x:f>
        <x:v>0</x:v>
      </x:c>
      <x:c r="G893" s="141" t="n">
        <x:f>IF(AND($B$22="Sim",A893=$B$23),$B$35,0)</x:f>
        <x:v>0</x:v>
      </x:c>
      <x:c r="H893" s="141" t="n">
        <x:f>IF(AND($B$22="Sim",A893=$B$23),$B$36,0)</x:f>
        <x:v>0</x:v>
      </x:c>
      <x:c r="I893" s="141" t="n">
        <x:f>IF(OR($B$22&lt;&gt;"Sim",A893&gt;=$B$23+$B$31-1),0,(I894+C894)/(1+$B$9))</x:f>
        <x:v>0</x:v>
      </x:c>
      <x:c r="J893" s="140" t="str">
        <x:f>IF($B$22&lt;&gt;"Sim","Desativada",IF(A893&lt;$B$23,"Antes da compra",IF(A893&lt;$B$23+$B$31,"Parcelas restantes","Encerrado")))</x:f>
        <x:v>Encerrado</x:v>
      </x:c>
      <x:c r="K893" s="141" t="n">
        <x:f>IF(C893&gt;0,C893/(1+$B$9)^A893,0)</x:f>
        <x:v>0</x:v>
      </x:c>
    </x:row>
    <x:row r="894">
      <x:c r="A894" s="142" t="n">
        <x:v>840</x:v>
      </x:c>
      <x:c r="B894" s="179" t="n">
        <x:f>EDATE($B$5,A894-1)</x:f>
        <x:v>72076</x:v>
      </x:c>
      <x:c r="C894" s="141" t="n">
        <x:f>IF(AND($B$22="Sim",A894&gt;=$B$23,A894&lt;$B$23+$B$31),$B$32*D894,0)</x:f>
        <x:v>0</x:v>
      </x:c>
      <x:c r="D894" s="180" t="n">
        <x:f>IF(A894&lt;$B$23,1,(1+$B$33)^INT((A894-$B$23)/12))</x:f>
        <x:v>55.73200960279088</x:v>
      </x:c>
      <x:c r="E894" s="141" t="n">
        <x:f>IF(AND($B$22="Sim",A894=$B$23),$B$37,0)</x:f>
        <x:v>0</x:v>
      </x:c>
      <x:c r="F894" s="141" t="n">
        <x:f>IF(AND($B$22="Sim",A894=$B$24),$B$27,0)</x:f>
        <x:v>0</x:v>
      </x:c>
      <x:c r="G894" s="141" t="n">
        <x:f>IF(AND($B$22="Sim",A894=$B$23),$B$35,0)</x:f>
        <x:v>0</x:v>
      </x:c>
      <x:c r="H894" s="141" t="n">
        <x:f>IF(AND($B$22="Sim",A894=$B$23),$B$36,0)</x:f>
        <x:v>0</x:v>
      </x:c>
      <x:c r="I894" s="141" t="n">
        <x:f>IF(OR($B$22&lt;&gt;"Sim",A894&gt;=$B$23+$B$31-1),0,(I895+C895)/(1+$B$9))</x:f>
        <x:v>0</x:v>
      </x:c>
      <x:c r="J894" s="140" t="str">
        <x:f>IF($B$22&lt;&gt;"Sim","Desativada",IF(A894&lt;$B$23,"Antes da compra",IF(A894&lt;$B$23+$B$31,"Parcelas restantes","Encerrado")))</x:f>
        <x:v>Encerrado</x:v>
      </x:c>
      <x:c r="K894" s="141" t="n">
        <x:f>IF(C894&gt;0,C894/(1+$B$9)^A894,0)</x:f>
        <x:v>0</x:v>
      </x:c>
    </x:row>
    <x:row r="895">
      <x:c r="A895" s="142" t="n">
        <x:v>841</x:v>
      </x:c>
      <x:c r="B895" s="179" t="n">
        <x:f>EDATE($B$5,A895-1)</x:f>
        <x:v>72107</x:v>
      </x:c>
      <x:c r="C895" s="141" t="n">
        <x:f>IF(AND($B$22="Sim",A895&gt;=$B$23,A895&lt;$B$23+$B$31),$B$32*D895,0)</x:f>
        <x:v>0</x:v>
      </x:c>
      <x:c r="D895" s="180" t="n">
        <x:f>IF(A895&lt;$B$23,1,(1+$B$33)^INT((A895-$B$23)/12))</x:f>
        <x:v>59.07593017895834</x:v>
      </x:c>
      <x:c r="E895" s="141" t="n">
        <x:f>IF(AND($B$22="Sim",A895=$B$23),$B$37,0)</x:f>
        <x:v>0</x:v>
      </x:c>
      <x:c r="F895" s="141" t="n">
        <x:f>IF(AND($B$22="Sim",A895=$B$24),$B$27,0)</x:f>
        <x:v>0</x:v>
      </x:c>
      <x:c r="G895" s="141" t="n">
        <x:f>IF(AND($B$22="Sim",A895=$B$23),$B$35,0)</x:f>
        <x:v>0</x:v>
      </x:c>
      <x:c r="H895" s="141" t="n">
        <x:f>IF(AND($B$22="Sim",A895=$B$23),$B$36,0)</x:f>
        <x:v>0</x:v>
      </x:c>
      <x:c r="I895" s="141" t="n">
        <x:f>IF(OR($B$22&lt;&gt;"Sim",A895&gt;=$B$23+$B$31-1),0,(I896+C896)/(1+$B$9))</x:f>
        <x:v>0</x:v>
      </x:c>
      <x:c r="J895" s="140" t="str">
        <x:f>IF($B$22&lt;&gt;"Sim","Desativada",IF(A895&lt;$B$23,"Antes da compra",IF(A895&lt;$B$23+$B$31,"Parcelas restantes","Encerrado")))</x:f>
        <x:v>Encerrado</x:v>
      </x:c>
      <x:c r="K895" s="141" t="n">
        <x:f>IF(C895&gt;0,C895/(1+$B$9)^A895,0)</x:f>
        <x:v>0</x:v>
      </x:c>
    </x:row>
    <x:row r="896">
      <x:c r="A896" s="142" t="n">
        <x:v>842</x:v>
      </x:c>
      <x:c r="B896" s="179" t="n">
        <x:f>EDATE($B$5,A896-1)</x:f>
        <x:v>72137</x:v>
      </x:c>
      <x:c r="C896" s="141" t="n">
        <x:f>IF(AND($B$22="Sim",A896&gt;=$B$23,A896&lt;$B$23+$B$31),$B$32*D896,0)</x:f>
        <x:v>0</x:v>
      </x:c>
      <x:c r="D896" s="180" t="n">
        <x:f>IF(A896&lt;$B$23,1,(1+$B$33)^INT((A896-$B$23)/12))</x:f>
        <x:v>59.07593017895834</x:v>
      </x:c>
      <x:c r="E896" s="141" t="n">
        <x:f>IF(AND($B$22="Sim",A896=$B$23),$B$37,0)</x:f>
        <x:v>0</x:v>
      </x:c>
      <x:c r="F896" s="141" t="n">
        <x:f>IF(AND($B$22="Sim",A896=$B$24),$B$27,0)</x:f>
        <x:v>0</x:v>
      </x:c>
      <x:c r="G896" s="141" t="n">
        <x:f>IF(AND($B$22="Sim",A896=$B$23),$B$35,0)</x:f>
        <x:v>0</x:v>
      </x:c>
      <x:c r="H896" s="141" t="n">
        <x:f>IF(AND($B$22="Sim",A896=$B$23),$B$36,0)</x:f>
        <x:v>0</x:v>
      </x:c>
      <x:c r="I896" s="141" t="n">
        <x:f>IF(OR($B$22&lt;&gt;"Sim",A896&gt;=$B$23+$B$31-1),0,(I897+C897)/(1+$B$9))</x:f>
        <x:v>0</x:v>
      </x:c>
      <x:c r="J896" s="140" t="str">
        <x:f>IF($B$22&lt;&gt;"Sim","Desativada",IF(A896&lt;$B$23,"Antes da compra",IF(A896&lt;$B$23+$B$31,"Parcelas restantes","Encerrado")))</x:f>
        <x:v>Encerrado</x:v>
      </x:c>
      <x:c r="K896" s="141" t="n">
        <x:f>IF(C896&gt;0,C896/(1+$B$9)^A896,0)</x:f>
        <x:v>0</x:v>
      </x:c>
    </x:row>
    <x:row r="897">
      <x:c r="A897" s="142" t="n">
        <x:v>843</x:v>
      </x:c>
      <x:c r="B897" s="179" t="n">
        <x:f>EDATE($B$5,A897-1)</x:f>
        <x:v>72168</x:v>
      </x:c>
      <x:c r="C897" s="141" t="n">
        <x:f>IF(AND($B$22="Sim",A897&gt;=$B$23,A897&lt;$B$23+$B$31),$B$32*D897,0)</x:f>
        <x:v>0</x:v>
      </x:c>
      <x:c r="D897" s="180" t="n">
        <x:f>IF(A897&lt;$B$23,1,(1+$B$33)^INT((A897-$B$23)/12))</x:f>
        <x:v>59.07593017895834</x:v>
      </x:c>
      <x:c r="E897" s="141" t="n">
        <x:f>IF(AND($B$22="Sim",A897=$B$23),$B$37,0)</x:f>
        <x:v>0</x:v>
      </x:c>
      <x:c r="F897" s="141" t="n">
        <x:f>IF(AND($B$22="Sim",A897=$B$24),$B$27,0)</x:f>
        <x:v>0</x:v>
      </x:c>
      <x:c r="G897" s="141" t="n">
        <x:f>IF(AND($B$22="Sim",A897=$B$23),$B$35,0)</x:f>
        <x:v>0</x:v>
      </x:c>
      <x:c r="H897" s="141" t="n">
        <x:f>IF(AND($B$22="Sim",A897=$B$23),$B$36,0)</x:f>
        <x:v>0</x:v>
      </x:c>
      <x:c r="I897" s="141" t="n">
        <x:f>IF(OR($B$22&lt;&gt;"Sim",A897&gt;=$B$23+$B$31-1),0,(I898+C898)/(1+$B$9))</x:f>
        <x:v>0</x:v>
      </x:c>
      <x:c r="J897" s="140" t="str">
        <x:f>IF($B$22&lt;&gt;"Sim","Desativada",IF(A897&lt;$B$23,"Antes da compra",IF(A897&lt;$B$23+$B$31,"Parcelas restantes","Encerrado")))</x:f>
        <x:v>Encerrado</x:v>
      </x:c>
      <x:c r="K897" s="141" t="n">
        <x:f>IF(C897&gt;0,C897/(1+$B$9)^A897,0)</x:f>
        <x:v>0</x:v>
      </x:c>
    </x:row>
    <x:row r="898">
      <x:c r="A898" s="142" t="n">
        <x:v>844</x:v>
      </x:c>
      <x:c r="B898" s="179" t="n">
        <x:f>EDATE($B$5,A898-1)</x:f>
        <x:v>72199</x:v>
      </x:c>
      <x:c r="C898" s="141" t="n">
        <x:f>IF(AND($B$22="Sim",A898&gt;=$B$23,A898&lt;$B$23+$B$31),$B$32*D898,0)</x:f>
        <x:v>0</x:v>
      </x:c>
      <x:c r="D898" s="180" t="n">
        <x:f>IF(A898&lt;$B$23,1,(1+$B$33)^INT((A898-$B$23)/12))</x:f>
        <x:v>59.07593017895834</x:v>
      </x:c>
      <x:c r="E898" s="141" t="n">
        <x:f>IF(AND($B$22="Sim",A898=$B$23),$B$37,0)</x:f>
        <x:v>0</x:v>
      </x:c>
      <x:c r="F898" s="141" t="n">
        <x:f>IF(AND($B$22="Sim",A898=$B$24),$B$27,0)</x:f>
        <x:v>0</x:v>
      </x:c>
      <x:c r="G898" s="141" t="n">
        <x:f>IF(AND($B$22="Sim",A898=$B$23),$B$35,0)</x:f>
        <x:v>0</x:v>
      </x:c>
      <x:c r="H898" s="141" t="n">
        <x:f>IF(AND($B$22="Sim",A898=$B$23),$B$36,0)</x:f>
        <x:v>0</x:v>
      </x:c>
      <x:c r="I898" s="141" t="n">
        <x:f>IF(OR($B$22&lt;&gt;"Sim",A898&gt;=$B$23+$B$31-1),0,(I899+C899)/(1+$B$9))</x:f>
        <x:v>0</x:v>
      </x:c>
      <x:c r="J898" s="140" t="str">
        <x:f>IF($B$22&lt;&gt;"Sim","Desativada",IF(A898&lt;$B$23,"Antes da compra",IF(A898&lt;$B$23+$B$31,"Parcelas restantes","Encerrado")))</x:f>
        <x:v>Encerrado</x:v>
      </x:c>
      <x:c r="K898" s="141" t="n">
        <x:f>IF(C898&gt;0,C898/(1+$B$9)^A898,0)</x:f>
        <x:v>0</x:v>
      </x:c>
    </x:row>
    <x:row r="899">
      <x:c r="A899" s="142" t="n">
        <x:v>845</x:v>
      </x:c>
      <x:c r="B899" s="179" t="n">
        <x:f>EDATE($B$5,A899-1)</x:f>
        <x:v>72229</x:v>
      </x:c>
      <x:c r="C899" s="141" t="n">
        <x:f>IF(AND($B$22="Sim",A899&gt;=$B$23,A899&lt;$B$23+$B$31),$B$32*D899,0)</x:f>
        <x:v>0</x:v>
      </x:c>
      <x:c r="D899" s="180" t="n">
        <x:f>IF(A899&lt;$B$23,1,(1+$B$33)^INT((A899-$B$23)/12))</x:f>
        <x:v>59.07593017895834</x:v>
      </x:c>
      <x:c r="E899" s="141" t="n">
        <x:f>IF(AND($B$22="Sim",A899=$B$23),$B$37,0)</x:f>
        <x:v>0</x:v>
      </x:c>
      <x:c r="F899" s="141" t="n">
        <x:f>IF(AND($B$22="Sim",A899=$B$24),$B$27,0)</x:f>
        <x:v>0</x:v>
      </x:c>
      <x:c r="G899" s="141" t="n">
        <x:f>IF(AND($B$22="Sim",A899=$B$23),$B$35,0)</x:f>
        <x:v>0</x:v>
      </x:c>
      <x:c r="H899" s="141" t="n">
        <x:f>IF(AND($B$22="Sim",A899=$B$23),$B$36,0)</x:f>
        <x:v>0</x:v>
      </x:c>
      <x:c r="I899" s="141" t="n">
        <x:f>IF(OR($B$22&lt;&gt;"Sim",A899&gt;=$B$23+$B$31-1),0,(I900+C900)/(1+$B$9))</x:f>
        <x:v>0</x:v>
      </x:c>
      <x:c r="J899" s="140" t="str">
        <x:f>IF($B$22&lt;&gt;"Sim","Desativada",IF(A899&lt;$B$23,"Antes da compra",IF(A899&lt;$B$23+$B$31,"Parcelas restantes","Encerrado")))</x:f>
        <x:v>Encerrado</x:v>
      </x:c>
      <x:c r="K899" s="141" t="n">
        <x:f>IF(C899&gt;0,C899/(1+$B$9)^A899,0)</x:f>
        <x:v>0</x:v>
      </x:c>
    </x:row>
    <x:row r="900">
      <x:c r="A900" s="142" t="n">
        <x:v>846</x:v>
      </x:c>
      <x:c r="B900" s="179" t="n">
        <x:f>EDATE($B$5,A900-1)</x:f>
        <x:v>72260</x:v>
      </x:c>
      <x:c r="C900" s="141" t="n">
        <x:f>IF(AND($B$22="Sim",A900&gt;=$B$23,A900&lt;$B$23+$B$31),$B$32*D900,0)</x:f>
        <x:v>0</x:v>
      </x:c>
      <x:c r="D900" s="180" t="n">
        <x:f>IF(A900&lt;$B$23,1,(1+$B$33)^INT((A900-$B$23)/12))</x:f>
        <x:v>59.07593017895834</x:v>
      </x:c>
      <x:c r="E900" s="141" t="n">
        <x:f>IF(AND($B$22="Sim",A900=$B$23),$B$37,0)</x:f>
        <x:v>0</x:v>
      </x:c>
      <x:c r="F900" s="141" t="n">
        <x:f>IF(AND($B$22="Sim",A900=$B$24),$B$27,0)</x:f>
        <x:v>0</x:v>
      </x:c>
      <x:c r="G900" s="141" t="n">
        <x:f>IF(AND($B$22="Sim",A900=$B$23),$B$35,0)</x:f>
        <x:v>0</x:v>
      </x:c>
      <x:c r="H900" s="141" t="n">
        <x:f>IF(AND($B$22="Sim",A900=$B$23),$B$36,0)</x:f>
        <x:v>0</x:v>
      </x:c>
      <x:c r="I900" s="141" t="n">
        <x:f>IF(OR($B$22&lt;&gt;"Sim",A900&gt;=$B$23+$B$31-1),0,(I901+C901)/(1+$B$9))</x:f>
        <x:v>0</x:v>
      </x:c>
      <x:c r="J900" s="140" t="str">
        <x:f>IF($B$22&lt;&gt;"Sim","Desativada",IF(A900&lt;$B$23,"Antes da compra",IF(A900&lt;$B$23+$B$31,"Parcelas restantes","Encerrado")))</x:f>
        <x:v>Encerrado</x:v>
      </x:c>
      <x:c r="K900" s="141" t="n">
        <x:f>IF(C900&gt;0,C900/(1+$B$9)^A900,0)</x:f>
        <x:v>0</x:v>
      </x:c>
    </x:row>
    <x:row r="901">
      <x:c r="A901" s="142" t="n">
        <x:v>847</x:v>
      </x:c>
      <x:c r="B901" s="179" t="n">
        <x:f>EDATE($B$5,A901-1)</x:f>
        <x:v>72290</x:v>
      </x:c>
      <x:c r="C901" s="141" t="n">
        <x:f>IF(AND($B$22="Sim",A901&gt;=$B$23,A901&lt;$B$23+$B$31),$B$32*D901,0)</x:f>
        <x:v>0</x:v>
      </x:c>
      <x:c r="D901" s="180" t="n">
        <x:f>IF(A901&lt;$B$23,1,(1+$B$33)^INT((A901-$B$23)/12))</x:f>
        <x:v>59.07593017895834</x:v>
      </x:c>
      <x:c r="E901" s="141" t="n">
        <x:f>IF(AND($B$22="Sim",A901=$B$23),$B$37,0)</x:f>
        <x:v>0</x:v>
      </x:c>
      <x:c r="F901" s="141" t="n">
        <x:f>IF(AND($B$22="Sim",A901=$B$24),$B$27,0)</x:f>
        <x:v>0</x:v>
      </x:c>
      <x:c r="G901" s="141" t="n">
        <x:f>IF(AND($B$22="Sim",A901=$B$23),$B$35,0)</x:f>
        <x:v>0</x:v>
      </x:c>
      <x:c r="H901" s="141" t="n">
        <x:f>IF(AND($B$22="Sim",A901=$B$23),$B$36,0)</x:f>
        <x:v>0</x:v>
      </x:c>
      <x:c r="I901" s="141" t="n">
        <x:f>IF(OR($B$22&lt;&gt;"Sim",A901&gt;=$B$23+$B$31-1),0,(I902+C902)/(1+$B$9))</x:f>
        <x:v>0</x:v>
      </x:c>
      <x:c r="J901" s="140" t="str">
        <x:f>IF($B$22&lt;&gt;"Sim","Desativada",IF(A901&lt;$B$23,"Antes da compra",IF(A901&lt;$B$23+$B$31,"Parcelas restantes","Encerrado")))</x:f>
        <x:v>Encerrado</x:v>
      </x:c>
      <x:c r="K901" s="141" t="n">
        <x:f>IF(C901&gt;0,C901/(1+$B$9)^A901,0)</x:f>
        <x:v>0</x:v>
      </x:c>
    </x:row>
    <x:row r="902">
      <x:c r="A902" s="142" t="n">
        <x:v>848</x:v>
      </x:c>
      <x:c r="B902" s="179" t="n">
        <x:f>EDATE($B$5,A902-1)</x:f>
        <x:v>72321</x:v>
      </x:c>
      <x:c r="C902" s="141" t="n">
        <x:f>IF(AND($B$22="Sim",A902&gt;=$B$23,A902&lt;$B$23+$B$31),$B$32*D902,0)</x:f>
        <x:v>0</x:v>
      </x:c>
      <x:c r="D902" s="180" t="n">
        <x:f>IF(A902&lt;$B$23,1,(1+$B$33)^INT((A902-$B$23)/12))</x:f>
        <x:v>59.07593017895834</x:v>
      </x:c>
      <x:c r="E902" s="141" t="n">
        <x:f>IF(AND($B$22="Sim",A902=$B$23),$B$37,0)</x:f>
        <x:v>0</x:v>
      </x:c>
      <x:c r="F902" s="141" t="n">
        <x:f>IF(AND($B$22="Sim",A902=$B$24),$B$27,0)</x:f>
        <x:v>0</x:v>
      </x:c>
      <x:c r="G902" s="141" t="n">
        <x:f>IF(AND($B$22="Sim",A902=$B$23),$B$35,0)</x:f>
        <x:v>0</x:v>
      </x:c>
      <x:c r="H902" s="141" t="n">
        <x:f>IF(AND($B$22="Sim",A902=$B$23),$B$36,0)</x:f>
        <x:v>0</x:v>
      </x:c>
      <x:c r="I902" s="141" t="n">
        <x:f>IF(OR($B$22&lt;&gt;"Sim",A902&gt;=$B$23+$B$31-1),0,(I903+C903)/(1+$B$9))</x:f>
        <x:v>0</x:v>
      </x:c>
      <x:c r="J902" s="140" t="str">
        <x:f>IF($B$22&lt;&gt;"Sim","Desativada",IF(A902&lt;$B$23,"Antes da compra",IF(A902&lt;$B$23+$B$31,"Parcelas restantes","Encerrado")))</x:f>
        <x:v>Encerrado</x:v>
      </x:c>
      <x:c r="K902" s="141" t="n">
        <x:f>IF(C902&gt;0,C902/(1+$B$9)^A902,0)</x:f>
        <x:v>0</x:v>
      </x:c>
    </x:row>
    <x:row r="903">
      <x:c r="A903" s="142" t="n">
        <x:v>849</x:v>
      </x:c>
      <x:c r="B903" s="179" t="n">
        <x:f>EDATE($B$5,A903-1)</x:f>
        <x:v>72352</x:v>
      </x:c>
      <x:c r="C903" s="141" t="n">
        <x:f>IF(AND($B$22="Sim",A903&gt;=$B$23,A903&lt;$B$23+$B$31),$B$32*D903,0)</x:f>
        <x:v>0</x:v>
      </x:c>
      <x:c r="D903" s="180" t="n">
        <x:f>IF(A903&lt;$B$23,1,(1+$B$33)^INT((A903-$B$23)/12))</x:f>
        <x:v>59.07593017895834</x:v>
      </x:c>
      <x:c r="E903" s="141" t="n">
        <x:f>IF(AND($B$22="Sim",A903=$B$23),$B$37,0)</x:f>
        <x:v>0</x:v>
      </x:c>
      <x:c r="F903" s="141" t="n">
        <x:f>IF(AND($B$22="Sim",A903=$B$24),$B$27,0)</x:f>
        <x:v>0</x:v>
      </x:c>
      <x:c r="G903" s="141" t="n">
        <x:f>IF(AND($B$22="Sim",A903=$B$23),$B$35,0)</x:f>
        <x:v>0</x:v>
      </x:c>
      <x:c r="H903" s="141" t="n">
        <x:f>IF(AND($B$22="Sim",A903=$B$23),$B$36,0)</x:f>
        <x:v>0</x:v>
      </x:c>
      <x:c r="I903" s="141" t="n">
        <x:f>IF(OR($B$22&lt;&gt;"Sim",A903&gt;=$B$23+$B$31-1),0,(I904+C904)/(1+$B$9))</x:f>
        <x:v>0</x:v>
      </x:c>
      <x:c r="J903" s="140" t="str">
        <x:f>IF($B$22&lt;&gt;"Sim","Desativada",IF(A903&lt;$B$23,"Antes da compra",IF(A903&lt;$B$23+$B$31,"Parcelas restantes","Encerrado")))</x:f>
        <x:v>Encerrado</x:v>
      </x:c>
      <x:c r="K903" s="141" t="n">
        <x:f>IF(C903&gt;0,C903/(1+$B$9)^A903,0)</x:f>
        <x:v>0</x:v>
      </x:c>
    </x:row>
    <x:row r="904">
      <x:c r="A904" s="142" t="n">
        <x:v>850</x:v>
      </x:c>
      <x:c r="B904" s="179" t="n">
        <x:f>EDATE($B$5,A904-1)</x:f>
        <x:v>72380</x:v>
      </x:c>
      <x:c r="C904" s="141" t="n">
        <x:f>IF(AND($B$22="Sim",A904&gt;=$B$23,A904&lt;$B$23+$B$31),$B$32*D904,0)</x:f>
        <x:v>0</x:v>
      </x:c>
      <x:c r="D904" s="180" t="n">
        <x:f>IF(A904&lt;$B$23,1,(1+$B$33)^INT((A904-$B$23)/12))</x:f>
        <x:v>59.07593017895834</x:v>
      </x:c>
      <x:c r="E904" s="141" t="n">
        <x:f>IF(AND($B$22="Sim",A904=$B$23),$B$37,0)</x:f>
        <x:v>0</x:v>
      </x:c>
      <x:c r="F904" s="141" t="n">
        <x:f>IF(AND($B$22="Sim",A904=$B$24),$B$27,0)</x:f>
        <x:v>0</x:v>
      </x:c>
      <x:c r="G904" s="141" t="n">
        <x:f>IF(AND($B$22="Sim",A904=$B$23),$B$35,0)</x:f>
        <x:v>0</x:v>
      </x:c>
      <x:c r="H904" s="141" t="n">
        <x:f>IF(AND($B$22="Sim",A904=$B$23),$B$36,0)</x:f>
        <x:v>0</x:v>
      </x:c>
      <x:c r="I904" s="141" t="n">
        <x:f>IF(OR($B$22&lt;&gt;"Sim",A904&gt;=$B$23+$B$31-1),0,(I905+C905)/(1+$B$9))</x:f>
        <x:v>0</x:v>
      </x:c>
      <x:c r="J904" s="140" t="str">
        <x:f>IF($B$22&lt;&gt;"Sim","Desativada",IF(A904&lt;$B$23,"Antes da compra",IF(A904&lt;$B$23+$B$31,"Parcelas restantes","Encerrado")))</x:f>
        <x:v>Encerrado</x:v>
      </x:c>
      <x:c r="K904" s="141" t="n">
        <x:f>IF(C904&gt;0,C904/(1+$B$9)^A904,0)</x:f>
        <x:v>0</x:v>
      </x:c>
    </x:row>
    <x:row r="905">
      <x:c r="A905" s="142" t="n">
        <x:v>851</x:v>
      </x:c>
      <x:c r="B905" s="179" t="n">
        <x:f>EDATE($B$5,A905-1)</x:f>
        <x:v>72411</x:v>
      </x:c>
      <x:c r="C905" s="141" t="n">
        <x:f>IF(AND($B$22="Sim",A905&gt;=$B$23,A905&lt;$B$23+$B$31),$B$32*D905,0)</x:f>
        <x:v>0</x:v>
      </x:c>
      <x:c r="D905" s="180" t="n">
        <x:f>IF(A905&lt;$B$23,1,(1+$B$33)^INT((A905-$B$23)/12))</x:f>
        <x:v>59.07593017895834</x:v>
      </x:c>
      <x:c r="E905" s="141" t="n">
        <x:f>IF(AND($B$22="Sim",A905=$B$23),$B$37,0)</x:f>
        <x:v>0</x:v>
      </x:c>
      <x:c r="F905" s="141" t="n">
        <x:f>IF(AND($B$22="Sim",A905=$B$24),$B$27,0)</x:f>
        <x:v>0</x:v>
      </x:c>
      <x:c r="G905" s="141" t="n">
        <x:f>IF(AND($B$22="Sim",A905=$B$23),$B$35,0)</x:f>
        <x:v>0</x:v>
      </x:c>
      <x:c r="H905" s="141" t="n">
        <x:f>IF(AND($B$22="Sim",A905=$B$23),$B$36,0)</x:f>
        <x:v>0</x:v>
      </x:c>
      <x:c r="I905" s="141" t="n">
        <x:f>IF(OR($B$22&lt;&gt;"Sim",A905&gt;=$B$23+$B$31-1),0,(I906+C906)/(1+$B$9))</x:f>
        <x:v>0</x:v>
      </x:c>
      <x:c r="J905" s="140" t="str">
        <x:f>IF($B$22&lt;&gt;"Sim","Desativada",IF(A905&lt;$B$23,"Antes da compra",IF(A905&lt;$B$23+$B$31,"Parcelas restantes","Encerrado")))</x:f>
        <x:v>Encerrado</x:v>
      </x:c>
      <x:c r="K905" s="141" t="n">
        <x:f>IF(C905&gt;0,C905/(1+$B$9)^A905,0)</x:f>
        <x:v>0</x:v>
      </x:c>
    </x:row>
    <x:row r="906">
      <x:c r="A906" s="142" t="n">
        <x:v>852</x:v>
      </x:c>
      <x:c r="B906" s="179" t="n">
        <x:f>EDATE($B$5,A906-1)</x:f>
        <x:v>72441</x:v>
      </x:c>
      <x:c r="C906" s="141" t="n">
        <x:f>IF(AND($B$22="Sim",A906&gt;=$B$23,A906&lt;$B$23+$B$31),$B$32*D906,0)</x:f>
        <x:v>0</x:v>
      </x:c>
      <x:c r="D906" s="180" t="n">
        <x:f>IF(A906&lt;$B$23,1,(1+$B$33)^INT((A906-$B$23)/12))</x:f>
        <x:v>59.07593017895834</x:v>
      </x:c>
      <x:c r="E906" s="141" t="n">
        <x:f>IF(AND($B$22="Sim",A906=$B$23),$B$37,0)</x:f>
        <x:v>0</x:v>
      </x:c>
      <x:c r="F906" s="141" t="n">
        <x:f>IF(AND($B$22="Sim",A906=$B$24),$B$27,0)</x:f>
        <x:v>0</x:v>
      </x:c>
      <x:c r="G906" s="141" t="n">
        <x:f>IF(AND($B$22="Sim",A906=$B$23),$B$35,0)</x:f>
        <x:v>0</x:v>
      </x:c>
      <x:c r="H906" s="141" t="n">
        <x:f>IF(AND($B$22="Sim",A906=$B$23),$B$36,0)</x:f>
        <x:v>0</x:v>
      </x:c>
      <x:c r="I906" s="141" t="n">
        <x:f>IF(OR($B$22&lt;&gt;"Sim",A906&gt;=$B$23+$B$31-1),0,(I907+C907)/(1+$B$9))</x:f>
        <x:v>0</x:v>
      </x:c>
      <x:c r="J906" s="140" t="str">
        <x:f>IF($B$22&lt;&gt;"Sim","Desativada",IF(A906&lt;$B$23,"Antes da compra",IF(A906&lt;$B$23+$B$31,"Parcelas restantes","Encerrado")))</x:f>
        <x:v>Encerrado</x:v>
      </x:c>
      <x:c r="K906" s="141" t="n">
        <x:f>IF(C906&gt;0,C906/(1+$B$9)^A906,0)</x:f>
        <x:v>0</x:v>
      </x:c>
    </x:row>
    <x:row r="907">
      <x:c r="A907" s="142" t="n">
        <x:v>853</x:v>
      </x:c>
      <x:c r="B907" s="179" t="n">
        <x:f>EDATE($B$5,A907-1)</x:f>
        <x:v>72472</x:v>
      </x:c>
      <x:c r="C907" s="141" t="n">
        <x:f>IF(AND($B$22="Sim",A907&gt;=$B$23,A907&lt;$B$23+$B$31),$B$32*D907,0)</x:f>
        <x:v>0</x:v>
      </x:c>
      <x:c r="D907" s="180" t="n">
        <x:f>IF(A907&lt;$B$23,1,(1+$B$33)^INT((A907-$B$23)/12))</x:f>
        <x:v>62.62048598969584</x:v>
      </x:c>
      <x:c r="E907" s="141" t="n">
        <x:f>IF(AND($B$22="Sim",A907=$B$23),$B$37,0)</x:f>
        <x:v>0</x:v>
      </x:c>
      <x:c r="F907" s="141" t="n">
        <x:f>IF(AND($B$22="Sim",A907=$B$24),$B$27,0)</x:f>
        <x:v>0</x:v>
      </x:c>
      <x:c r="G907" s="141" t="n">
        <x:f>IF(AND($B$22="Sim",A907=$B$23),$B$35,0)</x:f>
        <x:v>0</x:v>
      </x:c>
      <x:c r="H907" s="141" t="n">
        <x:f>IF(AND($B$22="Sim",A907=$B$23),$B$36,0)</x:f>
        <x:v>0</x:v>
      </x:c>
      <x:c r="I907" s="141" t="n">
        <x:f>IF(OR($B$22&lt;&gt;"Sim",A907&gt;=$B$23+$B$31-1),0,(I908+C908)/(1+$B$9))</x:f>
        <x:v>0</x:v>
      </x:c>
      <x:c r="J907" s="140" t="str">
        <x:f>IF($B$22&lt;&gt;"Sim","Desativada",IF(A907&lt;$B$23,"Antes da compra",IF(A907&lt;$B$23+$B$31,"Parcelas restantes","Encerrado")))</x:f>
        <x:v>Encerrado</x:v>
      </x:c>
      <x:c r="K907" s="141" t="n">
        <x:f>IF(C907&gt;0,C907/(1+$B$9)^A907,0)</x:f>
        <x:v>0</x:v>
      </x:c>
    </x:row>
    <x:row r="908">
      <x:c r="A908" s="142" t="n">
        <x:v>854</x:v>
      </x:c>
      <x:c r="B908" s="179" t="n">
        <x:f>EDATE($B$5,A908-1)</x:f>
        <x:v>72502</x:v>
      </x:c>
      <x:c r="C908" s="141" t="n">
        <x:f>IF(AND($B$22="Sim",A908&gt;=$B$23,A908&lt;$B$23+$B$31),$B$32*D908,0)</x:f>
        <x:v>0</x:v>
      </x:c>
      <x:c r="D908" s="180" t="n">
        <x:f>IF(A908&lt;$B$23,1,(1+$B$33)^INT((A908-$B$23)/12))</x:f>
        <x:v>62.62048598969584</x:v>
      </x:c>
      <x:c r="E908" s="141" t="n">
        <x:f>IF(AND($B$22="Sim",A908=$B$23),$B$37,0)</x:f>
        <x:v>0</x:v>
      </x:c>
      <x:c r="F908" s="141" t="n">
        <x:f>IF(AND($B$22="Sim",A908=$B$24),$B$27,0)</x:f>
        <x:v>0</x:v>
      </x:c>
      <x:c r="G908" s="141" t="n">
        <x:f>IF(AND($B$22="Sim",A908=$B$23),$B$35,0)</x:f>
        <x:v>0</x:v>
      </x:c>
      <x:c r="H908" s="141" t="n">
        <x:f>IF(AND($B$22="Sim",A908=$B$23),$B$36,0)</x:f>
        <x:v>0</x:v>
      </x:c>
      <x:c r="I908" s="141" t="n">
        <x:f>IF(OR($B$22&lt;&gt;"Sim",A908&gt;=$B$23+$B$31-1),0,(I909+C909)/(1+$B$9))</x:f>
        <x:v>0</x:v>
      </x:c>
      <x:c r="J908" s="140" t="str">
        <x:f>IF($B$22&lt;&gt;"Sim","Desativada",IF(A908&lt;$B$23,"Antes da compra",IF(A908&lt;$B$23+$B$31,"Parcelas restantes","Encerrado")))</x:f>
        <x:v>Encerrado</x:v>
      </x:c>
      <x:c r="K908" s="141" t="n">
        <x:f>IF(C908&gt;0,C908/(1+$B$9)^A908,0)</x:f>
        <x:v>0</x:v>
      </x:c>
    </x:row>
    <x:row r="909">
      <x:c r="A909" s="142" t="n">
        <x:v>855</x:v>
      </x:c>
      <x:c r="B909" s="179" t="n">
        <x:f>EDATE($B$5,A909-1)</x:f>
        <x:v>72533</x:v>
      </x:c>
      <x:c r="C909" s="141" t="n">
        <x:f>IF(AND($B$22="Sim",A909&gt;=$B$23,A909&lt;$B$23+$B$31),$B$32*D909,0)</x:f>
        <x:v>0</x:v>
      </x:c>
      <x:c r="D909" s="180" t="n">
        <x:f>IF(A909&lt;$B$23,1,(1+$B$33)^INT((A909-$B$23)/12))</x:f>
        <x:v>62.62048598969584</x:v>
      </x:c>
      <x:c r="E909" s="141" t="n">
        <x:f>IF(AND($B$22="Sim",A909=$B$23),$B$37,0)</x:f>
        <x:v>0</x:v>
      </x:c>
      <x:c r="F909" s="141" t="n">
        <x:f>IF(AND($B$22="Sim",A909=$B$24),$B$27,0)</x:f>
        <x:v>0</x:v>
      </x:c>
      <x:c r="G909" s="141" t="n">
        <x:f>IF(AND($B$22="Sim",A909=$B$23),$B$35,0)</x:f>
        <x:v>0</x:v>
      </x:c>
      <x:c r="H909" s="141" t="n">
        <x:f>IF(AND($B$22="Sim",A909=$B$23),$B$36,0)</x:f>
        <x:v>0</x:v>
      </x:c>
      <x:c r="I909" s="141" t="n">
        <x:f>IF(OR($B$22&lt;&gt;"Sim",A909&gt;=$B$23+$B$31-1),0,(I910+C910)/(1+$B$9))</x:f>
        <x:v>0</x:v>
      </x:c>
      <x:c r="J909" s="140" t="str">
        <x:f>IF($B$22&lt;&gt;"Sim","Desativada",IF(A909&lt;$B$23,"Antes da compra",IF(A909&lt;$B$23+$B$31,"Parcelas restantes","Encerrado")))</x:f>
        <x:v>Encerrado</x:v>
      </x:c>
      <x:c r="K909" s="141" t="n">
        <x:f>IF(C909&gt;0,C909/(1+$B$9)^A909,0)</x:f>
        <x:v>0</x:v>
      </x:c>
    </x:row>
    <x:row r="910">
      <x:c r="A910" s="142" t="n">
        <x:v>856</x:v>
      </x:c>
      <x:c r="B910" s="179" t="n">
        <x:f>EDATE($B$5,A910-1)</x:f>
        <x:v>72564</x:v>
      </x:c>
      <x:c r="C910" s="141" t="n">
        <x:f>IF(AND($B$22="Sim",A910&gt;=$B$23,A910&lt;$B$23+$B$31),$B$32*D910,0)</x:f>
        <x:v>0</x:v>
      </x:c>
      <x:c r="D910" s="180" t="n">
        <x:f>IF(A910&lt;$B$23,1,(1+$B$33)^INT((A910-$B$23)/12))</x:f>
        <x:v>62.62048598969584</x:v>
      </x:c>
      <x:c r="E910" s="141" t="n">
        <x:f>IF(AND($B$22="Sim",A910=$B$23),$B$37,0)</x:f>
        <x:v>0</x:v>
      </x:c>
      <x:c r="F910" s="141" t="n">
        <x:f>IF(AND($B$22="Sim",A910=$B$24),$B$27,0)</x:f>
        <x:v>0</x:v>
      </x:c>
      <x:c r="G910" s="141" t="n">
        <x:f>IF(AND($B$22="Sim",A910=$B$23),$B$35,0)</x:f>
        <x:v>0</x:v>
      </x:c>
      <x:c r="H910" s="141" t="n">
        <x:f>IF(AND($B$22="Sim",A910=$B$23),$B$36,0)</x:f>
        <x:v>0</x:v>
      </x:c>
      <x:c r="I910" s="141" t="n">
        <x:f>IF(OR($B$22&lt;&gt;"Sim",A910&gt;=$B$23+$B$31-1),0,(I911+C911)/(1+$B$9))</x:f>
        <x:v>0</x:v>
      </x:c>
      <x:c r="J910" s="140" t="str">
        <x:f>IF($B$22&lt;&gt;"Sim","Desativada",IF(A910&lt;$B$23,"Antes da compra",IF(A910&lt;$B$23+$B$31,"Parcelas restantes","Encerrado")))</x:f>
        <x:v>Encerrado</x:v>
      </x:c>
      <x:c r="K910" s="141" t="n">
        <x:f>IF(C910&gt;0,C910/(1+$B$9)^A910,0)</x:f>
        <x:v>0</x:v>
      </x:c>
    </x:row>
    <x:row r="911">
      <x:c r="A911" s="142" t="n">
        <x:v>857</x:v>
      </x:c>
      <x:c r="B911" s="179" t="n">
        <x:f>EDATE($B$5,A911-1)</x:f>
        <x:v>72594</x:v>
      </x:c>
      <x:c r="C911" s="141" t="n">
        <x:f>IF(AND($B$22="Sim",A911&gt;=$B$23,A911&lt;$B$23+$B$31),$B$32*D911,0)</x:f>
        <x:v>0</x:v>
      </x:c>
      <x:c r="D911" s="180" t="n">
        <x:f>IF(A911&lt;$B$23,1,(1+$B$33)^INT((A911-$B$23)/12))</x:f>
        <x:v>62.62048598969584</x:v>
      </x:c>
      <x:c r="E911" s="141" t="n">
        <x:f>IF(AND($B$22="Sim",A911=$B$23),$B$37,0)</x:f>
        <x:v>0</x:v>
      </x:c>
      <x:c r="F911" s="141" t="n">
        <x:f>IF(AND($B$22="Sim",A911=$B$24),$B$27,0)</x:f>
        <x:v>0</x:v>
      </x:c>
      <x:c r="G911" s="141" t="n">
        <x:f>IF(AND($B$22="Sim",A911=$B$23),$B$35,0)</x:f>
        <x:v>0</x:v>
      </x:c>
      <x:c r="H911" s="141" t="n">
        <x:f>IF(AND($B$22="Sim",A911=$B$23),$B$36,0)</x:f>
        <x:v>0</x:v>
      </x:c>
      <x:c r="I911" s="141" t="n">
        <x:f>IF(OR($B$22&lt;&gt;"Sim",A911&gt;=$B$23+$B$31-1),0,(I912+C912)/(1+$B$9))</x:f>
        <x:v>0</x:v>
      </x:c>
      <x:c r="J911" s="140" t="str">
        <x:f>IF($B$22&lt;&gt;"Sim","Desativada",IF(A911&lt;$B$23,"Antes da compra",IF(A911&lt;$B$23+$B$31,"Parcelas restantes","Encerrado")))</x:f>
        <x:v>Encerrado</x:v>
      </x:c>
      <x:c r="K911" s="141" t="n">
        <x:f>IF(C911&gt;0,C911/(1+$B$9)^A911,0)</x:f>
        <x:v>0</x:v>
      </x:c>
    </x:row>
    <x:row r="912">
      <x:c r="A912" s="142" t="n">
        <x:v>858</x:v>
      </x:c>
      <x:c r="B912" s="179" t="n">
        <x:f>EDATE($B$5,A912-1)</x:f>
        <x:v>72625</x:v>
      </x:c>
      <x:c r="C912" s="141" t="n">
        <x:f>IF(AND($B$22="Sim",A912&gt;=$B$23,A912&lt;$B$23+$B$31),$B$32*D912,0)</x:f>
        <x:v>0</x:v>
      </x:c>
      <x:c r="D912" s="180" t="n">
        <x:f>IF(A912&lt;$B$23,1,(1+$B$33)^INT((A912-$B$23)/12))</x:f>
        <x:v>62.62048598969584</x:v>
      </x:c>
      <x:c r="E912" s="141" t="n">
        <x:f>IF(AND($B$22="Sim",A912=$B$23),$B$37,0)</x:f>
        <x:v>0</x:v>
      </x:c>
      <x:c r="F912" s="141" t="n">
        <x:f>IF(AND($B$22="Sim",A912=$B$24),$B$27,0)</x:f>
        <x:v>0</x:v>
      </x:c>
      <x:c r="G912" s="141" t="n">
        <x:f>IF(AND($B$22="Sim",A912=$B$23),$B$35,0)</x:f>
        <x:v>0</x:v>
      </x:c>
      <x:c r="H912" s="141" t="n">
        <x:f>IF(AND($B$22="Sim",A912=$B$23),$B$36,0)</x:f>
        <x:v>0</x:v>
      </x:c>
      <x:c r="I912" s="141" t="n">
        <x:f>IF(OR($B$22&lt;&gt;"Sim",A912&gt;=$B$23+$B$31-1),0,(I913+C913)/(1+$B$9))</x:f>
        <x:v>0</x:v>
      </x:c>
      <x:c r="J912" s="140" t="str">
        <x:f>IF($B$22&lt;&gt;"Sim","Desativada",IF(A912&lt;$B$23,"Antes da compra",IF(A912&lt;$B$23+$B$31,"Parcelas restantes","Encerrado")))</x:f>
        <x:v>Encerrado</x:v>
      </x:c>
      <x:c r="K912" s="141" t="n">
        <x:f>IF(C912&gt;0,C912/(1+$B$9)^A912,0)</x:f>
        <x:v>0</x:v>
      </x:c>
    </x:row>
    <x:row r="913">
      <x:c r="A913" s="142" t="n">
        <x:v>859</x:v>
      </x:c>
      <x:c r="B913" s="179" t="n">
        <x:f>EDATE($B$5,A913-1)</x:f>
        <x:v>72655</x:v>
      </x:c>
      <x:c r="C913" s="141" t="n">
        <x:f>IF(AND($B$22="Sim",A913&gt;=$B$23,A913&lt;$B$23+$B$31),$B$32*D913,0)</x:f>
        <x:v>0</x:v>
      </x:c>
      <x:c r="D913" s="180" t="n">
        <x:f>IF(A913&lt;$B$23,1,(1+$B$33)^INT((A913-$B$23)/12))</x:f>
        <x:v>62.62048598969584</x:v>
      </x:c>
      <x:c r="E913" s="141" t="n">
        <x:f>IF(AND($B$22="Sim",A913=$B$23),$B$37,0)</x:f>
        <x:v>0</x:v>
      </x:c>
      <x:c r="F913" s="141" t="n">
        <x:f>IF(AND($B$22="Sim",A913=$B$24),$B$27,0)</x:f>
        <x:v>0</x:v>
      </x:c>
      <x:c r="G913" s="141" t="n">
        <x:f>IF(AND($B$22="Sim",A913=$B$23),$B$35,0)</x:f>
        <x:v>0</x:v>
      </x:c>
      <x:c r="H913" s="141" t="n">
        <x:f>IF(AND($B$22="Sim",A913=$B$23),$B$36,0)</x:f>
        <x:v>0</x:v>
      </x:c>
      <x:c r="I913" s="141" t="n">
        <x:f>IF(OR($B$22&lt;&gt;"Sim",A913&gt;=$B$23+$B$31-1),0,(I914+C914)/(1+$B$9))</x:f>
        <x:v>0</x:v>
      </x:c>
      <x:c r="J913" s="140" t="str">
        <x:f>IF($B$22&lt;&gt;"Sim","Desativada",IF(A913&lt;$B$23,"Antes da compra",IF(A913&lt;$B$23+$B$31,"Parcelas restantes","Encerrado")))</x:f>
        <x:v>Encerrado</x:v>
      </x:c>
      <x:c r="K913" s="141" t="n">
        <x:f>IF(C913&gt;0,C913/(1+$B$9)^A913,0)</x:f>
        <x:v>0</x:v>
      </x:c>
    </x:row>
    <x:row r="914">
      <x:c r="A914" s="142" t="n">
        <x:v>860</x:v>
      </x:c>
      <x:c r="B914" s="179" t="n">
        <x:f>EDATE($B$5,A914-1)</x:f>
        <x:v>72686</x:v>
      </x:c>
      <x:c r="C914" s="141" t="n">
        <x:f>IF(AND($B$22="Sim",A914&gt;=$B$23,A914&lt;$B$23+$B$31),$B$32*D914,0)</x:f>
        <x:v>0</x:v>
      </x:c>
      <x:c r="D914" s="180" t="n">
        <x:f>IF(A914&lt;$B$23,1,(1+$B$33)^INT((A914-$B$23)/12))</x:f>
        <x:v>62.62048598969584</x:v>
      </x:c>
      <x:c r="E914" s="141" t="n">
        <x:f>IF(AND($B$22="Sim",A914=$B$23),$B$37,0)</x:f>
        <x:v>0</x:v>
      </x:c>
      <x:c r="F914" s="141" t="n">
        <x:f>IF(AND($B$22="Sim",A914=$B$24),$B$27,0)</x:f>
        <x:v>0</x:v>
      </x:c>
      <x:c r="G914" s="141" t="n">
        <x:f>IF(AND($B$22="Sim",A914=$B$23),$B$35,0)</x:f>
        <x:v>0</x:v>
      </x:c>
      <x:c r="H914" s="141" t="n">
        <x:f>IF(AND($B$22="Sim",A914=$B$23),$B$36,0)</x:f>
        <x:v>0</x:v>
      </x:c>
      <x:c r="I914" s="141" t="n">
        <x:f>IF(OR($B$22&lt;&gt;"Sim",A914&gt;=$B$23+$B$31-1),0,(I915+C915)/(1+$B$9))</x:f>
        <x:v>0</x:v>
      </x:c>
      <x:c r="J914" s="140" t="str">
        <x:f>IF($B$22&lt;&gt;"Sim","Desativada",IF(A914&lt;$B$23,"Antes da compra",IF(A914&lt;$B$23+$B$31,"Parcelas restantes","Encerrado")))</x:f>
        <x:v>Encerrado</x:v>
      </x:c>
      <x:c r="K914" s="141" t="n">
        <x:f>IF(C914&gt;0,C914/(1+$B$9)^A914,0)</x:f>
        <x:v>0</x:v>
      </x:c>
    </x:row>
    <x:row r="915">
      <x:c r="A915" s="142" t="n">
        <x:v>861</x:v>
      </x:c>
      <x:c r="B915" s="179" t="n">
        <x:f>EDATE($B$5,A915-1)</x:f>
        <x:v>72717</x:v>
      </x:c>
      <x:c r="C915" s="141" t="n">
        <x:f>IF(AND($B$22="Sim",A915&gt;=$B$23,A915&lt;$B$23+$B$31),$B$32*D915,0)</x:f>
        <x:v>0</x:v>
      </x:c>
      <x:c r="D915" s="180" t="n">
        <x:f>IF(A915&lt;$B$23,1,(1+$B$33)^INT((A915-$B$23)/12))</x:f>
        <x:v>62.62048598969584</x:v>
      </x:c>
      <x:c r="E915" s="141" t="n">
        <x:f>IF(AND($B$22="Sim",A915=$B$23),$B$37,0)</x:f>
        <x:v>0</x:v>
      </x:c>
      <x:c r="F915" s="141" t="n">
        <x:f>IF(AND($B$22="Sim",A915=$B$24),$B$27,0)</x:f>
        <x:v>0</x:v>
      </x:c>
      <x:c r="G915" s="141" t="n">
        <x:f>IF(AND($B$22="Sim",A915=$B$23),$B$35,0)</x:f>
        <x:v>0</x:v>
      </x:c>
      <x:c r="H915" s="141" t="n">
        <x:f>IF(AND($B$22="Sim",A915=$B$23),$B$36,0)</x:f>
        <x:v>0</x:v>
      </x:c>
      <x:c r="I915" s="141" t="n">
        <x:f>IF(OR($B$22&lt;&gt;"Sim",A915&gt;=$B$23+$B$31-1),0,(I916+C916)/(1+$B$9))</x:f>
        <x:v>0</x:v>
      </x:c>
      <x:c r="J915" s="140" t="str">
        <x:f>IF($B$22&lt;&gt;"Sim","Desativada",IF(A915&lt;$B$23,"Antes da compra",IF(A915&lt;$B$23+$B$31,"Parcelas restantes","Encerrado")))</x:f>
        <x:v>Encerrado</x:v>
      </x:c>
      <x:c r="K915" s="141" t="n">
        <x:f>IF(C915&gt;0,C915/(1+$B$9)^A915,0)</x:f>
        <x:v>0</x:v>
      </x:c>
    </x:row>
    <x:row r="916">
      <x:c r="A916" s="142" t="n">
        <x:v>862</x:v>
      </x:c>
      <x:c r="B916" s="179" t="n">
        <x:f>EDATE($B$5,A916-1)</x:f>
        <x:v>72745</x:v>
      </x:c>
      <x:c r="C916" s="141" t="n">
        <x:f>IF(AND($B$22="Sim",A916&gt;=$B$23,A916&lt;$B$23+$B$31),$B$32*D916,0)</x:f>
        <x:v>0</x:v>
      </x:c>
      <x:c r="D916" s="180" t="n">
        <x:f>IF(A916&lt;$B$23,1,(1+$B$33)^INT((A916-$B$23)/12))</x:f>
        <x:v>62.62048598969584</x:v>
      </x:c>
      <x:c r="E916" s="141" t="n">
        <x:f>IF(AND($B$22="Sim",A916=$B$23),$B$37,0)</x:f>
        <x:v>0</x:v>
      </x:c>
      <x:c r="F916" s="141" t="n">
        <x:f>IF(AND($B$22="Sim",A916=$B$24),$B$27,0)</x:f>
        <x:v>0</x:v>
      </x:c>
      <x:c r="G916" s="141" t="n">
        <x:f>IF(AND($B$22="Sim",A916=$B$23),$B$35,0)</x:f>
        <x:v>0</x:v>
      </x:c>
      <x:c r="H916" s="141" t="n">
        <x:f>IF(AND($B$22="Sim",A916=$B$23),$B$36,0)</x:f>
        <x:v>0</x:v>
      </x:c>
      <x:c r="I916" s="141" t="n">
        <x:f>IF(OR($B$22&lt;&gt;"Sim",A916&gt;=$B$23+$B$31-1),0,(I917+C917)/(1+$B$9))</x:f>
        <x:v>0</x:v>
      </x:c>
      <x:c r="J916" s="140" t="str">
        <x:f>IF($B$22&lt;&gt;"Sim","Desativada",IF(A916&lt;$B$23,"Antes da compra",IF(A916&lt;$B$23+$B$31,"Parcelas restantes","Encerrado")))</x:f>
        <x:v>Encerrado</x:v>
      </x:c>
      <x:c r="K916" s="141" t="n">
        <x:f>IF(C916&gt;0,C916/(1+$B$9)^A916,0)</x:f>
        <x:v>0</x:v>
      </x:c>
    </x:row>
    <x:row r="917">
      <x:c r="A917" s="142" t="n">
        <x:v>863</x:v>
      </x:c>
      <x:c r="B917" s="179" t="n">
        <x:f>EDATE($B$5,A917-1)</x:f>
        <x:v>72776</x:v>
      </x:c>
      <x:c r="C917" s="141" t="n">
        <x:f>IF(AND($B$22="Sim",A917&gt;=$B$23,A917&lt;$B$23+$B$31),$B$32*D917,0)</x:f>
        <x:v>0</x:v>
      </x:c>
      <x:c r="D917" s="180" t="n">
        <x:f>IF(A917&lt;$B$23,1,(1+$B$33)^INT((A917-$B$23)/12))</x:f>
        <x:v>62.62048598969584</x:v>
      </x:c>
      <x:c r="E917" s="141" t="n">
        <x:f>IF(AND($B$22="Sim",A917=$B$23),$B$37,0)</x:f>
        <x:v>0</x:v>
      </x:c>
      <x:c r="F917" s="141" t="n">
        <x:f>IF(AND($B$22="Sim",A917=$B$24),$B$27,0)</x:f>
        <x:v>0</x:v>
      </x:c>
      <x:c r="G917" s="141" t="n">
        <x:f>IF(AND($B$22="Sim",A917=$B$23),$B$35,0)</x:f>
        <x:v>0</x:v>
      </x:c>
      <x:c r="H917" s="141" t="n">
        <x:f>IF(AND($B$22="Sim",A917=$B$23),$B$36,0)</x:f>
        <x:v>0</x:v>
      </x:c>
      <x:c r="I917" s="141" t="n">
        <x:f>IF(OR($B$22&lt;&gt;"Sim",A917&gt;=$B$23+$B$31-1),0,(I918+C918)/(1+$B$9))</x:f>
        <x:v>0</x:v>
      </x:c>
      <x:c r="J917" s="140" t="str">
        <x:f>IF($B$22&lt;&gt;"Sim","Desativada",IF(A917&lt;$B$23,"Antes da compra",IF(A917&lt;$B$23+$B$31,"Parcelas restantes","Encerrado")))</x:f>
        <x:v>Encerrado</x:v>
      </x:c>
      <x:c r="K917" s="141" t="n">
        <x:f>IF(C917&gt;0,C917/(1+$B$9)^A917,0)</x:f>
        <x:v>0</x:v>
      </x:c>
    </x:row>
    <x:row r="918">
      <x:c r="A918" s="142" t="n">
        <x:v>864</x:v>
      </x:c>
      <x:c r="B918" s="179" t="n">
        <x:f>EDATE($B$5,A918-1)</x:f>
        <x:v>72806</x:v>
      </x:c>
      <x:c r="C918" s="141" t="n">
        <x:f>IF(AND($B$22="Sim",A918&gt;=$B$23,A918&lt;$B$23+$B$31),$B$32*D918,0)</x:f>
        <x:v>0</x:v>
      </x:c>
      <x:c r="D918" s="180" t="n">
        <x:f>IF(A918&lt;$B$23,1,(1+$B$33)^INT((A918-$B$23)/12))</x:f>
        <x:v>62.62048598969584</x:v>
      </x:c>
      <x:c r="E918" s="141" t="n">
        <x:f>IF(AND($B$22="Sim",A918=$B$23),$B$37,0)</x:f>
        <x:v>0</x:v>
      </x:c>
      <x:c r="F918" s="141" t="n">
        <x:f>IF(AND($B$22="Sim",A918=$B$24),$B$27,0)</x:f>
        <x:v>0</x:v>
      </x:c>
      <x:c r="G918" s="141" t="n">
        <x:f>IF(AND($B$22="Sim",A918=$B$23),$B$35,0)</x:f>
        <x:v>0</x:v>
      </x:c>
      <x:c r="H918" s="141" t="n">
        <x:f>IF(AND($B$22="Sim",A918=$B$23),$B$36,0)</x:f>
        <x:v>0</x:v>
      </x:c>
      <x:c r="I918" s="141" t="n">
        <x:f>IF(OR($B$22&lt;&gt;"Sim",A918&gt;=$B$23+$B$31-1),0,(I919+C919)/(1+$B$9))</x:f>
        <x:v>0</x:v>
      </x:c>
      <x:c r="J918" s="140" t="str">
        <x:f>IF($B$22&lt;&gt;"Sim","Desativada",IF(A918&lt;$B$23,"Antes da compra",IF(A918&lt;$B$23+$B$31,"Parcelas restantes","Encerrado")))</x:f>
        <x:v>Encerrado</x:v>
      </x:c>
      <x:c r="K918" s="141" t="n">
        <x:f>IF(C918&gt;0,C918/(1+$B$9)^A918,0)</x:f>
        <x:v>0</x:v>
      </x:c>
    </x:row>
    <x:row r="919">
      <x:c r="A919" s="142" t="n">
        <x:v>865</x:v>
      </x:c>
      <x:c r="B919" s="179" t="n">
        <x:f>EDATE($B$5,A919-1)</x:f>
        <x:v>72837</x:v>
      </x:c>
      <x:c r="C919" s="141" t="n">
        <x:f>IF(AND($B$22="Sim",A919&gt;=$B$23,A919&lt;$B$23+$B$31),$B$32*D919,0)</x:f>
        <x:v>0</x:v>
      </x:c>
      <x:c r="D919" s="180" t="n">
        <x:f>IF(A919&lt;$B$23,1,(1+$B$33)^INT((A919-$B$23)/12))</x:f>
        <x:v>66.37771514907759</x:v>
      </x:c>
      <x:c r="E919" s="141" t="n">
        <x:f>IF(AND($B$22="Sim",A919=$B$23),$B$37,0)</x:f>
        <x:v>0</x:v>
      </x:c>
      <x:c r="F919" s="141" t="n">
        <x:f>IF(AND($B$22="Sim",A919=$B$24),$B$27,0)</x:f>
        <x:v>0</x:v>
      </x:c>
      <x:c r="G919" s="141" t="n">
        <x:f>IF(AND($B$22="Sim",A919=$B$23),$B$35,0)</x:f>
        <x:v>0</x:v>
      </x:c>
      <x:c r="H919" s="141" t="n">
        <x:f>IF(AND($B$22="Sim",A919=$B$23),$B$36,0)</x:f>
        <x:v>0</x:v>
      </x:c>
      <x:c r="I919" s="141" t="n">
        <x:f>IF(OR($B$22&lt;&gt;"Sim",A919&gt;=$B$23+$B$31-1),0,(I920+C920)/(1+$B$9))</x:f>
        <x:v>0</x:v>
      </x:c>
      <x:c r="J919" s="140" t="str">
        <x:f>IF($B$22&lt;&gt;"Sim","Desativada",IF(A919&lt;$B$23,"Antes da compra",IF(A919&lt;$B$23+$B$31,"Parcelas restantes","Encerrado")))</x:f>
        <x:v>Encerrado</x:v>
      </x:c>
      <x:c r="K919" s="141" t="n">
        <x:f>IF(C919&gt;0,C919/(1+$B$9)^A919,0)</x:f>
        <x:v>0</x:v>
      </x:c>
    </x:row>
    <x:row r="920">
      <x:c r="A920" s="142" t="n">
        <x:v>866</x:v>
      </x:c>
      <x:c r="B920" s="179" t="n">
        <x:f>EDATE($B$5,A920-1)</x:f>
        <x:v>72867</x:v>
      </x:c>
      <x:c r="C920" s="141" t="n">
        <x:f>IF(AND($B$22="Sim",A920&gt;=$B$23,A920&lt;$B$23+$B$31),$B$32*D920,0)</x:f>
        <x:v>0</x:v>
      </x:c>
      <x:c r="D920" s="180" t="n">
        <x:f>IF(A920&lt;$B$23,1,(1+$B$33)^INT((A920-$B$23)/12))</x:f>
        <x:v>66.37771514907759</x:v>
      </x:c>
      <x:c r="E920" s="141" t="n">
        <x:f>IF(AND($B$22="Sim",A920=$B$23),$B$37,0)</x:f>
        <x:v>0</x:v>
      </x:c>
      <x:c r="F920" s="141" t="n">
        <x:f>IF(AND($B$22="Sim",A920=$B$24),$B$27,0)</x:f>
        <x:v>0</x:v>
      </x:c>
      <x:c r="G920" s="141" t="n">
        <x:f>IF(AND($B$22="Sim",A920=$B$23),$B$35,0)</x:f>
        <x:v>0</x:v>
      </x:c>
      <x:c r="H920" s="141" t="n">
        <x:f>IF(AND($B$22="Sim",A920=$B$23),$B$36,0)</x:f>
        <x:v>0</x:v>
      </x:c>
      <x:c r="I920" s="141" t="n">
        <x:f>IF(OR($B$22&lt;&gt;"Sim",A920&gt;=$B$23+$B$31-1),0,(I921+C921)/(1+$B$9))</x:f>
        <x:v>0</x:v>
      </x:c>
      <x:c r="J920" s="140" t="str">
        <x:f>IF($B$22&lt;&gt;"Sim","Desativada",IF(A920&lt;$B$23,"Antes da compra",IF(A920&lt;$B$23+$B$31,"Parcelas restantes","Encerrado")))</x:f>
        <x:v>Encerrado</x:v>
      </x:c>
      <x:c r="K920" s="141" t="n">
        <x:f>IF(C920&gt;0,C920/(1+$B$9)^A920,0)</x:f>
        <x:v>0</x:v>
      </x:c>
    </x:row>
    <x:row r="921">
      <x:c r="A921" s="142" t="n">
        <x:v>867</x:v>
      </x:c>
      <x:c r="B921" s="179" t="n">
        <x:f>EDATE($B$5,A921-1)</x:f>
        <x:v>72898</x:v>
      </x:c>
      <x:c r="C921" s="141" t="n">
        <x:f>IF(AND($B$22="Sim",A921&gt;=$B$23,A921&lt;$B$23+$B$31),$B$32*D921,0)</x:f>
        <x:v>0</x:v>
      </x:c>
      <x:c r="D921" s="180" t="n">
        <x:f>IF(A921&lt;$B$23,1,(1+$B$33)^INT((A921-$B$23)/12))</x:f>
        <x:v>66.37771514907759</x:v>
      </x:c>
      <x:c r="E921" s="141" t="n">
        <x:f>IF(AND($B$22="Sim",A921=$B$23),$B$37,0)</x:f>
        <x:v>0</x:v>
      </x:c>
      <x:c r="F921" s="141" t="n">
        <x:f>IF(AND($B$22="Sim",A921=$B$24),$B$27,0)</x:f>
        <x:v>0</x:v>
      </x:c>
      <x:c r="G921" s="141" t="n">
        <x:f>IF(AND($B$22="Sim",A921=$B$23),$B$35,0)</x:f>
        <x:v>0</x:v>
      </x:c>
      <x:c r="H921" s="141" t="n">
        <x:f>IF(AND($B$22="Sim",A921=$B$23),$B$36,0)</x:f>
        <x:v>0</x:v>
      </x:c>
      <x:c r="I921" s="141" t="n">
        <x:f>IF(OR($B$22&lt;&gt;"Sim",A921&gt;=$B$23+$B$31-1),0,(I922+C922)/(1+$B$9))</x:f>
        <x:v>0</x:v>
      </x:c>
      <x:c r="J921" s="140" t="str">
        <x:f>IF($B$22&lt;&gt;"Sim","Desativada",IF(A921&lt;$B$23,"Antes da compra",IF(A921&lt;$B$23+$B$31,"Parcelas restantes","Encerrado")))</x:f>
        <x:v>Encerrado</x:v>
      </x:c>
      <x:c r="K921" s="141" t="n">
        <x:f>IF(C921&gt;0,C921/(1+$B$9)^A921,0)</x:f>
        <x:v>0</x:v>
      </x:c>
    </x:row>
    <x:row r="922">
      <x:c r="A922" s="142" t="n">
        <x:v>868</x:v>
      </x:c>
      <x:c r="B922" s="179" t="n">
        <x:f>EDATE($B$5,A922-1)</x:f>
        <x:v>72929</x:v>
      </x:c>
      <x:c r="C922" s="141" t="n">
        <x:f>IF(AND($B$22="Sim",A922&gt;=$B$23,A922&lt;$B$23+$B$31),$B$32*D922,0)</x:f>
        <x:v>0</x:v>
      </x:c>
      <x:c r="D922" s="180" t="n">
        <x:f>IF(A922&lt;$B$23,1,(1+$B$33)^INT((A922-$B$23)/12))</x:f>
        <x:v>66.37771514907759</x:v>
      </x:c>
      <x:c r="E922" s="141" t="n">
        <x:f>IF(AND($B$22="Sim",A922=$B$23),$B$37,0)</x:f>
        <x:v>0</x:v>
      </x:c>
      <x:c r="F922" s="141" t="n">
        <x:f>IF(AND($B$22="Sim",A922=$B$24),$B$27,0)</x:f>
        <x:v>0</x:v>
      </x:c>
      <x:c r="G922" s="141" t="n">
        <x:f>IF(AND($B$22="Sim",A922=$B$23),$B$35,0)</x:f>
        <x:v>0</x:v>
      </x:c>
      <x:c r="H922" s="141" t="n">
        <x:f>IF(AND($B$22="Sim",A922=$B$23),$B$36,0)</x:f>
        <x:v>0</x:v>
      </x:c>
      <x:c r="I922" s="141" t="n">
        <x:f>IF(OR($B$22&lt;&gt;"Sim",A922&gt;=$B$23+$B$31-1),0,(I923+C923)/(1+$B$9))</x:f>
        <x:v>0</x:v>
      </x:c>
      <x:c r="J922" s="140" t="str">
        <x:f>IF($B$22&lt;&gt;"Sim","Desativada",IF(A922&lt;$B$23,"Antes da compra",IF(A922&lt;$B$23+$B$31,"Parcelas restantes","Encerrado")))</x:f>
        <x:v>Encerrado</x:v>
      </x:c>
      <x:c r="K922" s="141" t="n">
        <x:f>IF(C922&gt;0,C922/(1+$B$9)^A922,0)</x:f>
        <x:v>0</x:v>
      </x:c>
    </x:row>
    <x:row r="923">
      <x:c r="A923" s="142" t="n">
        <x:v>869</x:v>
      </x:c>
      <x:c r="B923" s="179" t="n">
        <x:f>EDATE($B$5,A923-1)</x:f>
        <x:v>72959</x:v>
      </x:c>
      <x:c r="C923" s="141" t="n">
        <x:f>IF(AND($B$22="Sim",A923&gt;=$B$23,A923&lt;$B$23+$B$31),$B$32*D923,0)</x:f>
        <x:v>0</x:v>
      </x:c>
      <x:c r="D923" s="180" t="n">
        <x:f>IF(A923&lt;$B$23,1,(1+$B$33)^INT((A923-$B$23)/12))</x:f>
        <x:v>66.37771514907759</x:v>
      </x:c>
      <x:c r="E923" s="141" t="n">
        <x:f>IF(AND($B$22="Sim",A923=$B$23),$B$37,0)</x:f>
        <x:v>0</x:v>
      </x:c>
      <x:c r="F923" s="141" t="n">
        <x:f>IF(AND($B$22="Sim",A923=$B$24),$B$27,0)</x:f>
        <x:v>0</x:v>
      </x:c>
      <x:c r="G923" s="141" t="n">
        <x:f>IF(AND($B$22="Sim",A923=$B$23),$B$35,0)</x:f>
        <x:v>0</x:v>
      </x:c>
      <x:c r="H923" s="141" t="n">
        <x:f>IF(AND($B$22="Sim",A923=$B$23),$B$36,0)</x:f>
        <x:v>0</x:v>
      </x:c>
      <x:c r="I923" s="141" t="n">
        <x:f>IF(OR($B$22&lt;&gt;"Sim",A923&gt;=$B$23+$B$31-1),0,(I924+C924)/(1+$B$9))</x:f>
        <x:v>0</x:v>
      </x:c>
      <x:c r="J923" s="140" t="str">
        <x:f>IF($B$22&lt;&gt;"Sim","Desativada",IF(A923&lt;$B$23,"Antes da compra",IF(A923&lt;$B$23+$B$31,"Parcelas restantes","Encerrado")))</x:f>
        <x:v>Encerrado</x:v>
      </x:c>
      <x:c r="K923" s="141" t="n">
        <x:f>IF(C923&gt;0,C923/(1+$B$9)^A923,0)</x:f>
        <x:v>0</x:v>
      </x:c>
    </x:row>
    <x:row r="924">
      <x:c r="A924" s="142" t="n">
        <x:v>870</x:v>
      </x:c>
      <x:c r="B924" s="179" t="n">
        <x:f>EDATE($B$5,A924-1)</x:f>
        <x:v>72990</x:v>
      </x:c>
      <x:c r="C924" s="141" t="n">
        <x:f>IF(AND($B$22="Sim",A924&gt;=$B$23,A924&lt;$B$23+$B$31),$B$32*D924,0)</x:f>
        <x:v>0</x:v>
      </x:c>
      <x:c r="D924" s="180" t="n">
        <x:f>IF(A924&lt;$B$23,1,(1+$B$33)^INT((A924-$B$23)/12))</x:f>
        <x:v>66.37771514907759</x:v>
      </x:c>
      <x:c r="E924" s="141" t="n">
        <x:f>IF(AND($B$22="Sim",A924=$B$23),$B$37,0)</x:f>
        <x:v>0</x:v>
      </x:c>
      <x:c r="F924" s="141" t="n">
        <x:f>IF(AND($B$22="Sim",A924=$B$24),$B$27,0)</x:f>
        <x:v>0</x:v>
      </x:c>
      <x:c r="G924" s="141" t="n">
        <x:f>IF(AND($B$22="Sim",A924=$B$23),$B$35,0)</x:f>
        <x:v>0</x:v>
      </x:c>
      <x:c r="H924" s="141" t="n">
        <x:f>IF(AND($B$22="Sim",A924=$B$23),$B$36,0)</x:f>
        <x:v>0</x:v>
      </x:c>
      <x:c r="I924" s="141" t="n">
        <x:f>IF(OR($B$22&lt;&gt;"Sim",A924&gt;=$B$23+$B$31-1),0,(I925+C925)/(1+$B$9))</x:f>
        <x:v>0</x:v>
      </x:c>
      <x:c r="J924" s="140" t="str">
        <x:f>IF($B$22&lt;&gt;"Sim","Desativada",IF(A924&lt;$B$23,"Antes da compra",IF(A924&lt;$B$23+$B$31,"Parcelas restantes","Encerrado")))</x:f>
        <x:v>Encerrado</x:v>
      </x:c>
      <x:c r="K924" s="141" t="n">
        <x:f>IF(C924&gt;0,C924/(1+$B$9)^A924,0)</x:f>
        <x:v>0</x:v>
      </x:c>
    </x:row>
    <x:row r="925">
      <x:c r="A925" s="142" t="n">
        <x:v>871</x:v>
      </x:c>
      <x:c r="B925" s="179" t="n">
        <x:f>EDATE($B$5,A925-1)</x:f>
        <x:v>73020</x:v>
      </x:c>
      <x:c r="C925" s="141" t="n">
        <x:f>IF(AND($B$22="Sim",A925&gt;=$B$23,A925&lt;$B$23+$B$31),$B$32*D925,0)</x:f>
        <x:v>0</x:v>
      </x:c>
      <x:c r="D925" s="180" t="n">
        <x:f>IF(A925&lt;$B$23,1,(1+$B$33)^INT((A925-$B$23)/12))</x:f>
        <x:v>66.37771514907759</x:v>
      </x:c>
      <x:c r="E925" s="141" t="n">
        <x:f>IF(AND($B$22="Sim",A925=$B$23),$B$37,0)</x:f>
        <x:v>0</x:v>
      </x:c>
      <x:c r="F925" s="141" t="n">
        <x:f>IF(AND($B$22="Sim",A925=$B$24),$B$27,0)</x:f>
        <x:v>0</x:v>
      </x:c>
      <x:c r="G925" s="141" t="n">
        <x:f>IF(AND($B$22="Sim",A925=$B$23),$B$35,0)</x:f>
        <x:v>0</x:v>
      </x:c>
      <x:c r="H925" s="141" t="n">
        <x:f>IF(AND($B$22="Sim",A925=$B$23),$B$36,0)</x:f>
        <x:v>0</x:v>
      </x:c>
      <x:c r="I925" s="141" t="n">
        <x:f>IF(OR($B$22&lt;&gt;"Sim",A925&gt;=$B$23+$B$31-1),0,(I926+C926)/(1+$B$9))</x:f>
        <x:v>0</x:v>
      </x:c>
      <x:c r="J925" s="140" t="str">
        <x:f>IF($B$22&lt;&gt;"Sim","Desativada",IF(A925&lt;$B$23,"Antes da compra",IF(A925&lt;$B$23+$B$31,"Parcelas restantes","Encerrado")))</x:f>
        <x:v>Encerrado</x:v>
      </x:c>
      <x:c r="K925" s="141" t="n">
        <x:f>IF(C925&gt;0,C925/(1+$B$9)^A925,0)</x:f>
        <x:v>0</x:v>
      </x:c>
    </x:row>
    <x:row r="926">
      <x:c r="A926" s="142" t="n">
        <x:v>872</x:v>
      </x:c>
      <x:c r="B926" s="179" t="n">
        <x:f>EDATE($B$5,A926-1)</x:f>
        <x:v>73051</x:v>
      </x:c>
      <x:c r="C926" s="141" t="n">
        <x:f>IF(AND($B$22="Sim",A926&gt;=$B$23,A926&lt;$B$23+$B$31),$B$32*D926,0)</x:f>
        <x:v>0</x:v>
      </x:c>
      <x:c r="D926" s="180" t="n">
        <x:f>IF(A926&lt;$B$23,1,(1+$B$33)^INT((A926-$B$23)/12))</x:f>
        <x:v>66.37771514907759</x:v>
      </x:c>
      <x:c r="E926" s="141" t="n">
        <x:f>IF(AND($B$22="Sim",A926=$B$23),$B$37,0)</x:f>
        <x:v>0</x:v>
      </x:c>
      <x:c r="F926" s="141" t="n">
        <x:f>IF(AND($B$22="Sim",A926=$B$24),$B$27,0)</x:f>
        <x:v>0</x:v>
      </x:c>
      <x:c r="G926" s="141" t="n">
        <x:f>IF(AND($B$22="Sim",A926=$B$23),$B$35,0)</x:f>
        <x:v>0</x:v>
      </x:c>
      <x:c r="H926" s="141" t="n">
        <x:f>IF(AND($B$22="Sim",A926=$B$23),$B$36,0)</x:f>
        <x:v>0</x:v>
      </x:c>
      <x:c r="I926" s="141" t="n">
        <x:f>IF(OR($B$22&lt;&gt;"Sim",A926&gt;=$B$23+$B$31-1),0,(I927+C927)/(1+$B$9))</x:f>
        <x:v>0</x:v>
      </x:c>
      <x:c r="J926" s="140" t="str">
        <x:f>IF($B$22&lt;&gt;"Sim","Desativada",IF(A926&lt;$B$23,"Antes da compra",IF(A926&lt;$B$23+$B$31,"Parcelas restantes","Encerrado")))</x:f>
        <x:v>Encerrado</x:v>
      </x:c>
      <x:c r="K926" s="141" t="n">
        <x:f>IF(C926&gt;0,C926/(1+$B$9)^A926,0)</x:f>
        <x:v>0</x:v>
      </x:c>
    </x:row>
    <x:row r="927">
      <x:c r="A927" s="142" t="n">
        <x:v>873</x:v>
      </x:c>
      <x:c r="B927" s="179" t="n">
        <x:f>EDATE($B$5,A927-1)</x:f>
        <x:v>73082</x:v>
      </x:c>
      <x:c r="C927" s="141" t="n">
        <x:f>IF(AND($B$22="Sim",A927&gt;=$B$23,A927&lt;$B$23+$B$31),$B$32*D927,0)</x:f>
        <x:v>0</x:v>
      </x:c>
      <x:c r="D927" s="180" t="n">
        <x:f>IF(A927&lt;$B$23,1,(1+$B$33)^INT((A927-$B$23)/12))</x:f>
        <x:v>66.37771514907759</x:v>
      </x:c>
      <x:c r="E927" s="141" t="n">
        <x:f>IF(AND($B$22="Sim",A927=$B$23),$B$37,0)</x:f>
        <x:v>0</x:v>
      </x:c>
      <x:c r="F927" s="141" t="n">
        <x:f>IF(AND($B$22="Sim",A927=$B$24),$B$27,0)</x:f>
        <x:v>0</x:v>
      </x:c>
      <x:c r="G927" s="141" t="n">
        <x:f>IF(AND($B$22="Sim",A927=$B$23),$B$35,0)</x:f>
        <x:v>0</x:v>
      </x:c>
      <x:c r="H927" s="141" t="n">
        <x:f>IF(AND($B$22="Sim",A927=$B$23),$B$36,0)</x:f>
        <x:v>0</x:v>
      </x:c>
      <x:c r="I927" s="141" t="n">
        <x:f>IF(OR($B$22&lt;&gt;"Sim",A927&gt;=$B$23+$B$31-1),0,(I928+C928)/(1+$B$9))</x:f>
        <x:v>0</x:v>
      </x:c>
      <x:c r="J927" s="140" t="str">
        <x:f>IF($B$22&lt;&gt;"Sim","Desativada",IF(A927&lt;$B$23,"Antes da compra",IF(A927&lt;$B$23+$B$31,"Parcelas restantes","Encerrado")))</x:f>
        <x:v>Encerrado</x:v>
      </x:c>
      <x:c r="K927" s="141" t="n">
        <x:f>IF(C927&gt;0,C927/(1+$B$9)^A927,0)</x:f>
        <x:v>0</x:v>
      </x:c>
    </x:row>
    <x:row r="928">
      <x:c r="A928" s="142" t="n">
        <x:v>874</x:v>
      </x:c>
      <x:c r="B928" s="179" t="n">
        <x:f>EDATE($B$5,A928-1)</x:f>
        <x:v>73110</x:v>
      </x:c>
      <x:c r="C928" s="141" t="n">
        <x:f>IF(AND($B$22="Sim",A928&gt;=$B$23,A928&lt;$B$23+$B$31),$B$32*D928,0)</x:f>
        <x:v>0</x:v>
      </x:c>
      <x:c r="D928" s="180" t="n">
        <x:f>IF(A928&lt;$B$23,1,(1+$B$33)^INT((A928-$B$23)/12))</x:f>
        <x:v>66.37771514907759</x:v>
      </x:c>
      <x:c r="E928" s="141" t="n">
        <x:f>IF(AND($B$22="Sim",A928=$B$23),$B$37,0)</x:f>
        <x:v>0</x:v>
      </x:c>
      <x:c r="F928" s="141" t="n">
        <x:f>IF(AND($B$22="Sim",A928=$B$24),$B$27,0)</x:f>
        <x:v>0</x:v>
      </x:c>
      <x:c r="G928" s="141" t="n">
        <x:f>IF(AND($B$22="Sim",A928=$B$23),$B$35,0)</x:f>
        <x:v>0</x:v>
      </x:c>
      <x:c r="H928" s="141" t="n">
        <x:f>IF(AND($B$22="Sim",A928=$B$23),$B$36,0)</x:f>
        <x:v>0</x:v>
      </x:c>
      <x:c r="I928" s="141" t="n">
        <x:f>IF(OR($B$22&lt;&gt;"Sim",A928&gt;=$B$23+$B$31-1),0,(I929+C929)/(1+$B$9))</x:f>
        <x:v>0</x:v>
      </x:c>
      <x:c r="J928" s="140" t="str">
        <x:f>IF($B$22&lt;&gt;"Sim","Desativada",IF(A928&lt;$B$23,"Antes da compra",IF(A928&lt;$B$23+$B$31,"Parcelas restantes","Encerrado")))</x:f>
        <x:v>Encerrado</x:v>
      </x:c>
      <x:c r="K928" s="141" t="n">
        <x:f>IF(C928&gt;0,C928/(1+$B$9)^A928,0)</x:f>
        <x:v>0</x:v>
      </x:c>
    </x:row>
    <x:row r="929">
      <x:c r="A929" s="142" t="n">
        <x:v>875</x:v>
      </x:c>
      <x:c r="B929" s="179" t="n">
        <x:f>EDATE($B$5,A929-1)</x:f>
        <x:v>73141</x:v>
      </x:c>
      <x:c r="C929" s="141" t="n">
        <x:f>IF(AND($B$22="Sim",A929&gt;=$B$23,A929&lt;$B$23+$B$31),$B$32*D929,0)</x:f>
        <x:v>0</x:v>
      </x:c>
      <x:c r="D929" s="180" t="n">
        <x:f>IF(A929&lt;$B$23,1,(1+$B$33)^INT((A929-$B$23)/12))</x:f>
        <x:v>66.37771514907759</x:v>
      </x:c>
      <x:c r="E929" s="141" t="n">
        <x:f>IF(AND($B$22="Sim",A929=$B$23),$B$37,0)</x:f>
        <x:v>0</x:v>
      </x:c>
      <x:c r="F929" s="141" t="n">
        <x:f>IF(AND($B$22="Sim",A929=$B$24),$B$27,0)</x:f>
        <x:v>0</x:v>
      </x:c>
      <x:c r="G929" s="141" t="n">
        <x:f>IF(AND($B$22="Sim",A929=$B$23),$B$35,0)</x:f>
        <x:v>0</x:v>
      </x:c>
      <x:c r="H929" s="141" t="n">
        <x:f>IF(AND($B$22="Sim",A929=$B$23),$B$36,0)</x:f>
        <x:v>0</x:v>
      </x:c>
      <x:c r="I929" s="141" t="n">
        <x:f>IF(OR($B$22&lt;&gt;"Sim",A929&gt;=$B$23+$B$31-1),0,(I930+C930)/(1+$B$9))</x:f>
        <x:v>0</x:v>
      </x:c>
      <x:c r="J929" s="140" t="str">
        <x:f>IF($B$22&lt;&gt;"Sim","Desativada",IF(A929&lt;$B$23,"Antes da compra",IF(A929&lt;$B$23+$B$31,"Parcelas restantes","Encerrado")))</x:f>
        <x:v>Encerrado</x:v>
      </x:c>
      <x:c r="K929" s="141" t="n">
        <x:f>IF(C929&gt;0,C929/(1+$B$9)^A929,0)</x:f>
        <x:v>0</x:v>
      </x:c>
    </x:row>
    <x:row r="930">
      <x:c r="A930" s="142" t="n">
        <x:v>876</x:v>
      </x:c>
      <x:c r="B930" s="179" t="n">
        <x:f>EDATE($B$5,A930-1)</x:f>
        <x:v>73171</x:v>
      </x:c>
      <x:c r="C930" s="141" t="n">
        <x:f>IF(AND($B$22="Sim",A930&gt;=$B$23,A930&lt;$B$23+$B$31),$B$32*D930,0)</x:f>
        <x:v>0</x:v>
      </x:c>
      <x:c r="D930" s="180" t="n">
        <x:f>IF(A930&lt;$B$23,1,(1+$B$33)^INT((A930-$B$23)/12))</x:f>
        <x:v>66.37771514907759</x:v>
      </x:c>
      <x:c r="E930" s="141" t="n">
        <x:f>IF(AND($B$22="Sim",A930=$B$23),$B$37,0)</x:f>
        <x:v>0</x:v>
      </x:c>
      <x:c r="F930" s="141" t="n">
        <x:f>IF(AND($B$22="Sim",A930=$B$24),$B$27,0)</x:f>
        <x:v>0</x:v>
      </x:c>
      <x:c r="G930" s="141" t="n">
        <x:f>IF(AND($B$22="Sim",A930=$B$23),$B$35,0)</x:f>
        <x:v>0</x:v>
      </x:c>
      <x:c r="H930" s="141" t="n">
        <x:f>IF(AND($B$22="Sim",A930=$B$23),$B$36,0)</x:f>
        <x:v>0</x:v>
      </x:c>
      <x:c r="I930" s="141" t="n">
        <x:f>IF(OR($B$22&lt;&gt;"Sim",A930&gt;=$B$23+$B$31-1),0,(I931+C931)/(1+$B$9))</x:f>
        <x:v>0</x:v>
      </x:c>
      <x:c r="J930" s="140" t="str">
        <x:f>IF($B$22&lt;&gt;"Sim","Desativada",IF(A930&lt;$B$23,"Antes da compra",IF(A930&lt;$B$23+$B$31,"Parcelas restantes","Encerrado")))</x:f>
        <x:v>Encerrado</x:v>
      </x:c>
      <x:c r="K930" s="141" t="n">
        <x:f>IF(C930&gt;0,C930/(1+$B$9)^A930,0)</x:f>
        <x:v>0</x:v>
      </x:c>
    </x:row>
    <x:row r="931">
      <x:c r="A931" s="142" t="n">
        <x:v>877</x:v>
      </x:c>
      <x:c r="B931" s="179" t="n">
        <x:f>EDATE($B$5,A931-1)</x:f>
        <x:v>73202</x:v>
      </x:c>
      <x:c r="C931" s="141" t="n">
        <x:f>IF(AND($B$22="Sim",A931&gt;=$B$23,A931&lt;$B$23+$B$31),$B$32*D931,0)</x:f>
        <x:v>0</x:v>
      </x:c>
      <x:c r="D931" s="180" t="n">
        <x:f>IF(A931&lt;$B$23,1,(1+$B$33)^INT((A931-$B$23)/12))</x:f>
        <x:v>70.36037805802225</x:v>
      </x:c>
      <x:c r="E931" s="141" t="n">
        <x:f>IF(AND($B$22="Sim",A931=$B$23),$B$37,0)</x:f>
        <x:v>0</x:v>
      </x:c>
      <x:c r="F931" s="141" t="n">
        <x:f>IF(AND($B$22="Sim",A931=$B$24),$B$27,0)</x:f>
        <x:v>0</x:v>
      </x:c>
      <x:c r="G931" s="141" t="n">
        <x:f>IF(AND($B$22="Sim",A931=$B$23),$B$35,0)</x:f>
        <x:v>0</x:v>
      </x:c>
      <x:c r="H931" s="141" t="n">
        <x:f>IF(AND($B$22="Sim",A931=$B$23),$B$36,0)</x:f>
        <x:v>0</x:v>
      </x:c>
      <x:c r="I931" s="141" t="n">
        <x:f>IF(OR($B$22&lt;&gt;"Sim",A931&gt;=$B$23+$B$31-1),0,(I932+C932)/(1+$B$9))</x:f>
        <x:v>0</x:v>
      </x:c>
      <x:c r="J931" s="140" t="str">
        <x:f>IF($B$22&lt;&gt;"Sim","Desativada",IF(A931&lt;$B$23,"Antes da compra",IF(A931&lt;$B$23+$B$31,"Parcelas restantes","Encerrado")))</x:f>
        <x:v>Encerrado</x:v>
      </x:c>
      <x:c r="K931" s="141" t="n">
        <x:f>IF(C931&gt;0,C931/(1+$B$9)^A931,0)</x:f>
        <x:v>0</x:v>
      </x:c>
    </x:row>
    <x:row r="932">
      <x:c r="A932" s="142" t="n">
        <x:v>878</x:v>
      </x:c>
      <x:c r="B932" s="179" t="n">
        <x:f>EDATE($B$5,A932-1)</x:f>
        <x:v>73232</x:v>
      </x:c>
      <x:c r="C932" s="141" t="n">
        <x:f>IF(AND($B$22="Sim",A932&gt;=$B$23,A932&lt;$B$23+$B$31),$B$32*D932,0)</x:f>
        <x:v>0</x:v>
      </x:c>
      <x:c r="D932" s="180" t="n">
        <x:f>IF(A932&lt;$B$23,1,(1+$B$33)^INT((A932-$B$23)/12))</x:f>
        <x:v>70.36037805802225</x:v>
      </x:c>
      <x:c r="E932" s="141" t="n">
        <x:f>IF(AND($B$22="Sim",A932=$B$23),$B$37,0)</x:f>
        <x:v>0</x:v>
      </x:c>
      <x:c r="F932" s="141" t="n">
        <x:f>IF(AND($B$22="Sim",A932=$B$24),$B$27,0)</x:f>
        <x:v>0</x:v>
      </x:c>
      <x:c r="G932" s="141" t="n">
        <x:f>IF(AND($B$22="Sim",A932=$B$23),$B$35,0)</x:f>
        <x:v>0</x:v>
      </x:c>
      <x:c r="H932" s="141" t="n">
        <x:f>IF(AND($B$22="Sim",A932=$B$23),$B$36,0)</x:f>
        <x:v>0</x:v>
      </x:c>
      <x:c r="I932" s="141" t="n">
        <x:f>IF(OR($B$22&lt;&gt;"Sim",A932&gt;=$B$23+$B$31-1),0,(I933+C933)/(1+$B$9))</x:f>
        <x:v>0</x:v>
      </x:c>
      <x:c r="J932" s="140" t="str">
        <x:f>IF($B$22&lt;&gt;"Sim","Desativada",IF(A932&lt;$B$23,"Antes da compra",IF(A932&lt;$B$23+$B$31,"Parcelas restantes","Encerrado")))</x:f>
        <x:v>Encerrado</x:v>
      </x:c>
      <x:c r="K932" s="141" t="n">
        <x:f>IF(C932&gt;0,C932/(1+$B$9)^A932,0)</x:f>
        <x:v>0</x:v>
      </x:c>
    </x:row>
    <x:row r="933">
      <x:c r="A933" s="142" t="n">
        <x:v>879</x:v>
      </x:c>
      <x:c r="B933" s="179" t="n">
        <x:f>EDATE($B$5,A933-1)</x:f>
        <x:v>73263</x:v>
      </x:c>
      <x:c r="C933" s="141" t="n">
        <x:f>IF(AND($B$22="Sim",A933&gt;=$B$23,A933&lt;$B$23+$B$31),$B$32*D933,0)</x:f>
        <x:v>0</x:v>
      </x:c>
      <x:c r="D933" s="180" t="n">
        <x:f>IF(A933&lt;$B$23,1,(1+$B$33)^INT((A933-$B$23)/12))</x:f>
        <x:v>70.36037805802225</x:v>
      </x:c>
      <x:c r="E933" s="141" t="n">
        <x:f>IF(AND($B$22="Sim",A933=$B$23),$B$37,0)</x:f>
        <x:v>0</x:v>
      </x:c>
      <x:c r="F933" s="141" t="n">
        <x:f>IF(AND($B$22="Sim",A933=$B$24),$B$27,0)</x:f>
        <x:v>0</x:v>
      </x:c>
      <x:c r="G933" s="141" t="n">
        <x:f>IF(AND($B$22="Sim",A933=$B$23),$B$35,0)</x:f>
        <x:v>0</x:v>
      </x:c>
      <x:c r="H933" s="141" t="n">
        <x:f>IF(AND($B$22="Sim",A933=$B$23),$B$36,0)</x:f>
        <x:v>0</x:v>
      </x:c>
      <x:c r="I933" s="141" t="n">
        <x:f>IF(OR($B$22&lt;&gt;"Sim",A933&gt;=$B$23+$B$31-1),0,(I934+C934)/(1+$B$9))</x:f>
        <x:v>0</x:v>
      </x:c>
      <x:c r="J933" s="140" t="str">
        <x:f>IF($B$22&lt;&gt;"Sim","Desativada",IF(A933&lt;$B$23,"Antes da compra",IF(A933&lt;$B$23+$B$31,"Parcelas restantes","Encerrado")))</x:f>
        <x:v>Encerrado</x:v>
      </x:c>
      <x:c r="K933" s="141" t="n">
        <x:f>IF(C933&gt;0,C933/(1+$B$9)^A933,0)</x:f>
        <x:v>0</x:v>
      </x:c>
    </x:row>
    <x:row r="934">
      <x:c r="A934" s="142" t="n">
        <x:v>880</x:v>
      </x:c>
      <x:c r="B934" s="179" t="n">
        <x:f>EDATE($B$5,A934-1)</x:f>
        <x:v>73294</x:v>
      </x:c>
      <x:c r="C934" s="141" t="n">
        <x:f>IF(AND($B$22="Sim",A934&gt;=$B$23,A934&lt;$B$23+$B$31),$B$32*D934,0)</x:f>
        <x:v>0</x:v>
      </x:c>
      <x:c r="D934" s="180" t="n">
        <x:f>IF(A934&lt;$B$23,1,(1+$B$33)^INT((A934-$B$23)/12))</x:f>
        <x:v>70.36037805802225</x:v>
      </x:c>
      <x:c r="E934" s="141" t="n">
        <x:f>IF(AND($B$22="Sim",A934=$B$23),$B$37,0)</x:f>
        <x:v>0</x:v>
      </x:c>
      <x:c r="F934" s="141" t="n">
        <x:f>IF(AND($B$22="Sim",A934=$B$24),$B$27,0)</x:f>
        <x:v>0</x:v>
      </x:c>
      <x:c r="G934" s="141" t="n">
        <x:f>IF(AND($B$22="Sim",A934=$B$23),$B$35,0)</x:f>
        <x:v>0</x:v>
      </x:c>
      <x:c r="H934" s="141" t="n">
        <x:f>IF(AND($B$22="Sim",A934=$B$23),$B$36,0)</x:f>
        <x:v>0</x:v>
      </x:c>
      <x:c r="I934" s="141" t="n">
        <x:f>IF(OR($B$22&lt;&gt;"Sim",A934&gt;=$B$23+$B$31-1),0,(I935+C935)/(1+$B$9))</x:f>
        <x:v>0</x:v>
      </x:c>
      <x:c r="J934" s="140" t="str">
        <x:f>IF($B$22&lt;&gt;"Sim","Desativada",IF(A934&lt;$B$23,"Antes da compra",IF(A934&lt;$B$23+$B$31,"Parcelas restantes","Encerrado")))</x:f>
        <x:v>Encerrado</x:v>
      </x:c>
      <x:c r="K934" s="141" t="n">
        <x:f>IF(C934&gt;0,C934/(1+$B$9)^A934,0)</x:f>
        <x:v>0</x:v>
      </x:c>
    </x:row>
    <x:row r="935">
      <x:c r="A935" s="142" t="n">
        <x:v>881</x:v>
      </x:c>
      <x:c r="B935" s="179" t="n">
        <x:f>EDATE($B$5,A935-1)</x:f>
        <x:v>73324</x:v>
      </x:c>
      <x:c r="C935" s="141" t="n">
        <x:f>IF(AND($B$22="Sim",A935&gt;=$B$23,A935&lt;$B$23+$B$31),$B$32*D935,0)</x:f>
        <x:v>0</x:v>
      </x:c>
      <x:c r="D935" s="180" t="n">
        <x:f>IF(A935&lt;$B$23,1,(1+$B$33)^INT((A935-$B$23)/12))</x:f>
        <x:v>70.36037805802225</x:v>
      </x:c>
      <x:c r="E935" s="141" t="n">
        <x:f>IF(AND($B$22="Sim",A935=$B$23),$B$37,0)</x:f>
        <x:v>0</x:v>
      </x:c>
      <x:c r="F935" s="141" t="n">
        <x:f>IF(AND($B$22="Sim",A935=$B$24),$B$27,0)</x:f>
        <x:v>0</x:v>
      </x:c>
      <x:c r="G935" s="141" t="n">
        <x:f>IF(AND($B$22="Sim",A935=$B$23),$B$35,0)</x:f>
        <x:v>0</x:v>
      </x:c>
      <x:c r="H935" s="141" t="n">
        <x:f>IF(AND($B$22="Sim",A935=$B$23),$B$36,0)</x:f>
        <x:v>0</x:v>
      </x:c>
      <x:c r="I935" s="141" t="n">
        <x:f>IF(OR($B$22&lt;&gt;"Sim",A935&gt;=$B$23+$B$31-1),0,(I936+C936)/(1+$B$9))</x:f>
        <x:v>0</x:v>
      </x:c>
      <x:c r="J935" s="140" t="str">
        <x:f>IF($B$22&lt;&gt;"Sim","Desativada",IF(A935&lt;$B$23,"Antes da compra",IF(A935&lt;$B$23+$B$31,"Parcelas restantes","Encerrado")))</x:f>
        <x:v>Encerrado</x:v>
      </x:c>
      <x:c r="K935" s="141" t="n">
        <x:f>IF(C935&gt;0,C935/(1+$B$9)^A935,0)</x:f>
        <x:v>0</x:v>
      </x:c>
    </x:row>
    <x:row r="936">
      <x:c r="A936" s="142" t="n">
        <x:v>882</x:v>
      </x:c>
      <x:c r="B936" s="179" t="n">
        <x:f>EDATE($B$5,A936-1)</x:f>
        <x:v>73355</x:v>
      </x:c>
      <x:c r="C936" s="141" t="n">
        <x:f>IF(AND($B$22="Sim",A936&gt;=$B$23,A936&lt;$B$23+$B$31),$B$32*D936,0)</x:f>
        <x:v>0</x:v>
      </x:c>
      <x:c r="D936" s="180" t="n">
        <x:f>IF(A936&lt;$B$23,1,(1+$B$33)^INT((A936-$B$23)/12))</x:f>
        <x:v>70.36037805802225</x:v>
      </x:c>
      <x:c r="E936" s="141" t="n">
        <x:f>IF(AND($B$22="Sim",A936=$B$23),$B$37,0)</x:f>
        <x:v>0</x:v>
      </x:c>
      <x:c r="F936" s="141" t="n">
        <x:f>IF(AND($B$22="Sim",A936=$B$24),$B$27,0)</x:f>
        <x:v>0</x:v>
      </x:c>
      <x:c r="G936" s="141" t="n">
        <x:f>IF(AND($B$22="Sim",A936=$B$23),$B$35,0)</x:f>
        <x:v>0</x:v>
      </x:c>
      <x:c r="H936" s="141" t="n">
        <x:f>IF(AND($B$22="Sim",A936=$B$23),$B$36,0)</x:f>
        <x:v>0</x:v>
      </x:c>
      <x:c r="I936" s="141" t="n">
        <x:f>IF(OR($B$22&lt;&gt;"Sim",A936&gt;=$B$23+$B$31-1),0,(I937+C937)/(1+$B$9))</x:f>
        <x:v>0</x:v>
      </x:c>
      <x:c r="J936" s="140" t="str">
        <x:f>IF($B$22&lt;&gt;"Sim","Desativada",IF(A936&lt;$B$23,"Antes da compra",IF(A936&lt;$B$23+$B$31,"Parcelas restantes","Encerrado")))</x:f>
        <x:v>Encerrado</x:v>
      </x:c>
      <x:c r="K936" s="141" t="n">
        <x:f>IF(C936&gt;0,C936/(1+$B$9)^A936,0)</x:f>
        <x:v>0</x:v>
      </x:c>
    </x:row>
    <x:row r="937">
      <x:c r="A937" s="142" t="n">
        <x:v>883</x:v>
      </x:c>
      <x:c r="B937" s="179" t="n">
        <x:f>EDATE($B$5,A937-1)</x:f>
        <x:v>73385</x:v>
      </x:c>
      <x:c r="C937" s="141" t="n">
        <x:f>IF(AND($B$22="Sim",A937&gt;=$B$23,A937&lt;$B$23+$B$31),$B$32*D937,0)</x:f>
        <x:v>0</x:v>
      </x:c>
      <x:c r="D937" s="180" t="n">
        <x:f>IF(A937&lt;$B$23,1,(1+$B$33)^INT((A937-$B$23)/12))</x:f>
        <x:v>70.36037805802225</x:v>
      </x:c>
      <x:c r="E937" s="141" t="n">
        <x:f>IF(AND($B$22="Sim",A937=$B$23),$B$37,0)</x:f>
        <x:v>0</x:v>
      </x:c>
      <x:c r="F937" s="141" t="n">
        <x:f>IF(AND($B$22="Sim",A937=$B$24),$B$27,0)</x:f>
        <x:v>0</x:v>
      </x:c>
      <x:c r="G937" s="141" t="n">
        <x:f>IF(AND($B$22="Sim",A937=$B$23),$B$35,0)</x:f>
        <x:v>0</x:v>
      </x:c>
      <x:c r="H937" s="141" t="n">
        <x:f>IF(AND($B$22="Sim",A937=$B$23),$B$36,0)</x:f>
        <x:v>0</x:v>
      </x:c>
      <x:c r="I937" s="141" t="n">
        <x:f>IF(OR($B$22&lt;&gt;"Sim",A937&gt;=$B$23+$B$31-1),0,(I938+C938)/(1+$B$9))</x:f>
        <x:v>0</x:v>
      </x:c>
      <x:c r="J937" s="140" t="str">
        <x:f>IF($B$22&lt;&gt;"Sim","Desativada",IF(A937&lt;$B$23,"Antes da compra",IF(A937&lt;$B$23+$B$31,"Parcelas restantes","Encerrado")))</x:f>
        <x:v>Encerrado</x:v>
      </x:c>
      <x:c r="K937" s="141" t="n">
        <x:f>IF(C937&gt;0,C937/(1+$B$9)^A937,0)</x:f>
        <x:v>0</x:v>
      </x:c>
    </x:row>
    <x:row r="938">
      <x:c r="A938" s="142" t="n">
        <x:v>884</x:v>
      </x:c>
      <x:c r="B938" s="179" t="n">
        <x:f>EDATE($B$5,A938-1)</x:f>
        <x:v>73416</x:v>
      </x:c>
      <x:c r="C938" s="141" t="n">
        <x:f>IF(AND($B$22="Sim",A938&gt;=$B$23,A938&lt;$B$23+$B$31),$B$32*D938,0)</x:f>
        <x:v>0</x:v>
      </x:c>
      <x:c r="D938" s="180" t="n">
        <x:f>IF(A938&lt;$B$23,1,(1+$B$33)^INT((A938-$B$23)/12))</x:f>
        <x:v>70.36037805802225</x:v>
      </x:c>
      <x:c r="E938" s="141" t="n">
        <x:f>IF(AND($B$22="Sim",A938=$B$23),$B$37,0)</x:f>
        <x:v>0</x:v>
      </x:c>
      <x:c r="F938" s="141" t="n">
        <x:f>IF(AND($B$22="Sim",A938=$B$24),$B$27,0)</x:f>
        <x:v>0</x:v>
      </x:c>
      <x:c r="G938" s="141" t="n">
        <x:f>IF(AND($B$22="Sim",A938=$B$23),$B$35,0)</x:f>
        <x:v>0</x:v>
      </x:c>
      <x:c r="H938" s="141" t="n">
        <x:f>IF(AND($B$22="Sim",A938=$B$23),$B$36,0)</x:f>
        <x:v>0</x:v>
      </x:c>
      <x:c r="I938" s="141" t="n">
        <x:f>IF(OR($B$22&lt;&gt;"Sim",A938&gt;=$B$23+$B$31-1),0,(I939+C939)/(1+$B$9))</x:f>
        <x:v>0</x:v>
      </x:c>
      <x:c r="J938" s="140" t="str">
        <x:f>IF($B$22&lt;&gt;"Sim","Desativada",IF(A938&lt;$B$23,"Antes da compra",IF(A938&lt;$B$23+$B$31,"Parcelas restantes","Encerrado")))</x:f>
        <x:v>Encerrado</x:v>
      </x:c>
      <x:c r="K938" s="141" t="n">
        <x:f>IF(C938&gt;0,C938/(1+$B$9)^A938,0)</x:f>
        <x:v>0</x:v>
      </x:c>
    </x:row>
    <x:row r="939">
      <x:c r="A939" s="142" t="n">
        <x:v>885</x:v>
      </x:c>
      <x:c r="B939" s="179" t="n">
        <x:f>EDATE($B$5,A939-1)</x:f>
        <x:v>73447</x:v>
      </x:c>
      <x:c r="C939" s="141" t="n">
        <x:f>IF(AND($B$22="Sim",A939&gt;=$B$23,A939&lt;$B$23+$B$31),$B$32*D939,0)</x:f>
        <x:v>0</x:v>
      </x:c>
      <x:c r="D939" s="180" t="n">
        <x:f>IF(A939&lt;$B$23,1,(1+$B$33)^INT((A939-$B$23)/12))</x:f>
        <x:v>70.36037805802225</x:v>
      </x:c>
      <x:c r="E939" s="141" t="n">
        <x:f>IF(AND($B$22="Sim",A939=$B$23),$B$37,0)</x:f>
        <x:v>0</x:v>
      </x:c>
      <x:c r="F939" s="141" t="n">
        <x:f>IF(AND($B$22="Sim",A939=$B$24),$B$27,0)</x:f>
        <x:v>0</x:v>
      </x:c>
      <x:c r="G939" s="141" t="n">
        <x:f>IF(AND($B$22="Sim",A939=$B$23),$B$35,0)</x:f>
        <x:v>0</x:v>
      </x:c>
      <x:c r="H939" s="141" t="n">
        <x:f>IF(AND($B$22="Sim",A939=$B$23),$B$36,0)</x:f>
        <x:v>0</x:v>
      </x:c>
      <x:c r="I939" s="141" t="n">
        <x:f>IF(OR($B$22&lt;&gt;"Sim",A939&gt;=$B$23+$B$31-1),0,(I940+C940)/(1+$B$9))</x:f>
        <x:v>0</x:v>
      </x:c>
      <x:c r="J939" s="140" t="str">
        <x:f>IF($B$22&lt;&gt;"Sim","Desativada",IF(A939&lt;$B$23,"Antes da compra",IF(A939&lt;$B$23+$B$31,"Parcelas restantes","Encerrado")))</x:f>
        <x:v>Encerrado</x:v>
      </x:c>
      <x:c r="K939" s="141" t="n">
        <x:f>IF(C939&gt;0,C939/(1+$B$9)^A939,0)</x:f>
        <x:v>0</x:v>
      </x:c>
    </x:row>
    <x:row r="940">
      <x:c r="A940" s="142" t="n">
        <x:v>886</x:v>
      </x:c>
      <x:c r="B940" s="179" t="n">
        <x:f>EDATE($B$5,A940-1)</x:f>
        <x:v>73475</x:v>
      </x:c>
      <x:c r="C940" s="141" t="n">
        <x:f>IF(AND($B$22="Sim",A940&gt;=$B$23,A940&lt;$B$23+$B$31),$B$32*D940,0)</x:f>
        <x:v>0</x:v>
      </x:c>
      <x:c r="D940" s="180" t="n">
        <x:f>IF(A940&lt;$B$23,1,(1+$B$33)^INT((A940-$B$23)/12))</x:f>
        <x:v>70.36037805802225</x:v>
      </x:c>
      <x:c r="E940" s="141" t="n">
        <x:f>IF(AND($B$22="Sim",A940=$B$23),$B$37,0)</x:f>
        <x:v>0</x:v>
      </x:c>
      <x:c r="F940" s="141" t="n">
        <x:f>IF(AND($B$22="Sim",A940=$B$24),$B$27,0)</x:f>
        <x:v>0</x:v>
      </x:c>
      <x:c r="G940" s="141" t="n">
        <x:f>IF(AND($B$22="Sim",A940=$B$23),$B$35,0)</x:f>
        <x:v>0</x:v>
      </x:c>
      <x:c r="H940" s="141" t="n">
        <x:f>IF(AND($B$22="Sim",A940=$B$23),$B$36,0)</x:f>
        <x:v>0</x:v>
      </x:c>
      <x:c r="I940" s="141" t="n">
        <x:f>IF(OR($B$22&lt;&gt;"Sim",A940&gt;=$B$23+$B$31-1),0,(I941+C941)/(1+$B$9))</x:f>
        <x:v>0</x:v>
      </x:c>
      <x:c r="J940" s="140" t="str">
        <x:f>IF($B$22&lt;&gt;"Sim","Desativada",IF(A940&lt;$B$23,"Antes da compra",IF(A940&lt;$B$23+$B$31,"Parcelas restantes","Encerrado")))</x:f>
        <x:v>Encerrado</x:v>
      </x:c>
      <x:c r="K940" s="141" t="n">
        <x:f>IF(C940&gt;0,C940/(1+$B$9)^A940,0)</x:f>
        <x:v>0</x:v>
      </x:c>
    </x:row>
    <x:row r="941">
      <x:c r="A941" s="142" t="n">
        <x:v>887</x:v>
      </x:c>
      <x:c r="B941" s="179" t="n">
        <x:f>EDATE($B$5,A941-1)</x:f>
        <x:v>73506</x:v>
      </x:c>
      <x:c r="C941" s="141" t="n">
        <x:f>IF(AND($B$22="Sim",A941&gt;=$B$23,A941&lt;$B$23+$B$31),$B$32*D941,0)</x:f>
        <x:v>0</x:v>
      </x:c>
      <x:c r="D941" s="180" t="n">
        <x:f>IF(A941&lt;$B$23,1,(1+$B$33)^INT((A941-$B$23)/12))</x:f>
        <x:v>70.36037805802225</x:v>
      </x:c>
      <x:c r="E941" s="141" t="n">
        <x:f>IF(AND($B$22="Sim",A941=$B$23),$B$37,0)</x:f>
        <x:v>0</x:v>
      </x:c>
      <x:c r="F941" s="141" t="n">
        <x:f>IF(AND($B$22="Sim",A941=$B$24),$B$27,0)</x:f>
        <x:v>0</x:v>
      </x:c>
      <x:c r="G941" s="141" t="n">
        <x:f>IF(AND($B$22="Sim",A941=$B$23),$B$35,0)</x:f>
        <x:v>0</x:v>
      </x:c>
      <x:c r="H941" s="141" t="n">
        <x:f>IF(AND($B$22="Sim",A941=$B$23),$B$36,0)</x:f>
        <x:v>0</x:v>
      </x:c>
      <x:c r="I941" s="141" t="n">
        <x:f>IF(OR($B$22&lt;&gt;"Sim",A941&gt;=$B$23+$B$31-1),0,(I942+C942)/(1+$B$9))</x:f>
        <x:v>0</x:v>
      </x:c>
      <x:c r="J941" s="140" t="str">
        <x:f>IF($B$22&lt;&gt;"Sim","Desativada",IF(A941&lt;$B$23,"Antes da compra",IF(A941&lt;$B$23+$B$31,"Parcelas restantes","Encerrado")))</x:f>
        <x:v>Encerrado</x:v>
      </x:c>
      <x:c r="K941" s="141" t="n">
        <x:f>IF(C941&gt;0,C941/(1+$B$9)^A941,0)</x:f>
        <x:v>0</x:v>
      </x:c>
    </x:row>
    <x:row r="942">
      <x:c r="A942" s="142" t="n">
        <x:v>888</x:v>
      </x:c>
      <x:c r="B942" s="179" t="n">
        <x:f>EDATE($B$5,A942-1)</x:f>
        <x:v>73536</x:v>
      </x:c>
      <x:c r="C942" s="141" t="n">
        <x:f>IF(AND($B$22="Sim",A942&gt;=$B$23,A942&lt;$B$23+$B$31),$B$32*D942,0)</x:f>
        <x:v>0</x:v>
      </x:c>
      <x:c r="D942" s="180" t="n">
        <x:f>IF(A942&lt;$B$23,1,(1+$B$33)^INT((A942-$B$23)/12))</x:f>
        <x:v>70.36037805802225</x:v>
      </x:c>
      <x:c r="E942" s="141" t="n">
        <x:f>IF(AND($B$22="Sim",A942=$B$23),$B$37,0)</x:f>
        <x:v>0</x:v>
      </x:c>
      <x:c r="F942" s="141" t="n">
        <x:f>IF(AND($B$22="Sim",A942=$B$24),$B$27,0)</x:f>
        <x:v>0</x:v>
      </x:c>
      <x:c r="G942" s="141" t="n">
        <x:f>IF(AND($B$22="Sim",A942=$B$23),$B$35,0)</x:f>
        <x:v>0</x:v>
      </x:c>
      <x:c r="H942" s="141" t="n">
        <x:f>IF(AND($B$22="Sim",A942=$B$23),$B$36,0)</x:f>
        <x:v>0</x:v>
      </x:c>
      <x:c r="I942" s="141" t="n">
        <x:f>IF(OR($B$22&lt;&gt;"Sim",A942&gt;=$B$23+$B$31-1),0,(I943+C943)/(1+$B$9))</x:f>
        <x:v>0</x:v>
      </x:c>
      <x:c r="J942" s="140" t="str">
        <x:f>IF($B$22&lt;&gt;"Sim","Desativada",IF(A942&lt;$B$23,"Antes da compra",IF(A942&lt;$B$23+$B$31,"Parcelas restantes","Encerrado")))</x:f>
        <x:v>Encerrado</x:v>
      </x:c>
      <x:c r="K942" s="141" t="n">
        <x:f>IF(C942&gt;0,C942/(1+$B$9)^A942,0)</x:f>
        <x:v>0</x:v>
      </x:c>
    </x:row>
    <x:row r="943">
      <x:c r="A943" s="142" t="n">
        <x:v>889</x:v>
      </x:c>
      <x:c r="B943" s="179" t="n">
        <x:f>EDATE($B$5,A943-1)</x:f>
        <x:v>73567</x:v>
      </x:c>
      <x:c r="C943" s="141" t="n">
        <x:f>IF(AND($B$22="Sim",A943&gt;=$B$23,A943&lt;$B$23+$B$31),$B$32*D943,0)</x:f>
        <x:v>0</x:v>
      </x:c>
      <x:c r="D943" s="180" t="n">
        <x:f>IF(A943&lt;$B$23,1,(1+$B$33)^INT((A943-$B$23)/12))</x:f>
        <x:v>74.58200074150359</x:v>
      </x:c>
      <x:c r="E943" s="141" t="n">
        <x:f>IF(AND($B$22="Sim",A943=$B$23),$B$37,0)</x:f>
        <x:v>0</x:v>
      </x:c>
      <x:c r="F943" s="141" t="n">
        <x:f>IF(AND($B$22="Sim",A943=$B$24),$B$27,0)</x:f>
        <x:v>0</x:v>
      </x:c>
      <x:c r="G943" s="141" t="n">
        <x:f>IF(AND($B$22="Sim",A943=$B$23),$B$35,0)</x:f>
        <x:v>0</x:v>
      </x:c>
      <x:c r="H943" s="141" t="n">
        <x:f>IF(AND($B$22="Sim",A943=$B$23),$B$36,0)</x:f>
        <x:v>0</x:v>
      </x:c>
      <x:c r="I943" s="141" t="n">
        <x:f>IF(OR($B$22&lt;&gt;"Sim",A943&gt;=$B$23+$B$31-1),0,(I944+C944)/(1+$B$9))</x:f>
        <x:v>0</x:v>
      </x:c>
      <x:c r="J943" s="140" t="str">
        <x:f>IF($B$22&lt;&gt;"Sim","Desativada",IF(A943&lt;$B$23,"Antes da compra",IF(A943&lt;$B$23+$B$31,"Parcelas restantes","Encerrado")))</x:f>
        <x:v>Encerrado</x:v>
      </x:c>
      <x:c r="K943" s="141" t="n">
        <x:f>IF(C943&gt;0,C943/(1+$B$9)^A943,0)</x:f>
        <x:v>0</x:v>
      </x:c>
    </x:row>
    <x:row r="944">
      <x:c r="A944" s="142" t="n">
        <x:v>890</x:v>
      </x:c>
      <x:c r="B944" s="179" t="n">
        <x:f>EDATE($B$5,A944-1)</x:f>
        <x:v>73597</x:v>
      </x:c>
      <x:c r="C944" s="141" t="n">
        <x:f>IF(AND($B$22="Sim",A944&gt;=$B$23,A944&lt;$B$23+$B$31),$B$32*D944,0)</x:f>
        <x:v>0</x:v>
      </x:c>
      <x:c r="D944" s="180" t="n">
        <x:f>IF(A944&lt;$B$23,1,(1+$B$33)^INT((A944-$B$23)/12))</x:f>
        <x:v>74.58200074150359</x:v>
      </x:c>
      <x:c r="E944" s="141" t="n">
        <x:f>IF(AND($B$22="Sim",A944=$B$23),$B$37,0)</x:f>
        <x:v>0</x:v>
      </x:c>
      <x:c r="F944" s="141" t="n">
        <x:f>IF(AND($B$22="Sim",A944=$B$24),$B$27,0)</x:f>
        <x:v>0</x:v>
      </x:c>
      <x:c r="G944" s="141" t="n">
        <x:f>IF(AND($B$22="Sim",A944=$B$23),$B$35,0)</x:f>
        <x:v>0</x:v>
      </x:c>
      <x:c r="H944" s="141" t="n">
        <x:f>IF(AND($B$22="Sim",A944=$B$23),$B$36,0)</x:f>
        <x:v>0</x:v>
      </x:c>
      <x:c r="I944" s="141" t="n">
        <x:f>IF(OR($B$22&lt;&gt;"Sim",A944&gt;=$B$23+$B$31-1),0,(I945+C945)/(1+$B$9))</x:f>
        <x:v>0</x:v>
      </x:c>
      <x:c r="J944" s="140" t="str">
        <x:f>IF($B$22&lt;&gt;"Sim","Desativada",IF(A944&lt;$B$23,"Antes da compra",IF(A944&lt;$B$23+$B$31,"Parcelas restantes","Encerrado")))</x:f>
        <x:v>Encerrado</x:v>
      </x:c>
      <x:c r="K944" s="141" t="n">
        <x:f>IF(C944&gt;0,C944/(1+$B$9)^A944,0)</x:f>
        <x:v>0</x:v>
      </x:c>
    </x:row>
    <x:row r="945">
      <x:c r="A945" s="142" t="n">
        <x:v>891</x:v>
      </x:c>
      <x:c r="B945" s="179" t="n">
        <x:f>EDATE($B$5,A945-1)</x:f>
        <x:v>73628</x:v>
      </x:c>
      <x:c r="C945" s="141" t="n">
        <x:f>IF(AND($B$22="Sim",A945&gt;=$B$23,A945&lt;$B$23+$B$31),$B$32*D945,0)</x:f>
        <x:v>0</x:v>
      </x:c>
      <x:c r="D945" s="180" t="n">
        <x:f>IF(A945&lt;$B$23,1,(1+$B$33)^INT((A945-$B$23)/12))</x:f>
        <x:v>74.58200074150359</x:v>
      </x:c>
      <x:c r="E945" s="141" t="n">
        <x:f>IF(AND($B$22="Sim",A945=$B$23),$B$37,0)</x:f>
        <x:v>0</x:v>
      </x:c>
      <x:c r="F945" s="141" t="n">
        <x:f>IF(AND($B$22="Sim",A945=$B$24),$B$27,0)</x:f>
        <x:v>0</x:v>
      </x:c>
      <x:c r="G945" s="141" t="n">
        <x:f>IF(AND($B$22="Sim",A945=$B$23),$B$35,0)</x:f>
        <x:v>0</x:v>
      </x:c>
      <x:c r="H945" s="141" t="n">
        <x:f>IF(AND($B$22="Sim",A945=$B$23),$B$36,0)</x:f>
        <x:v>0</x:v>
      </x:c>
      <x:c r="I945" s="141" t="n">
        <x:f>IF(OR($B$22&lt;&gt;"Sim",A945&gt;=$B$23+$B$31-1),0,(I946+C946)/(1+$B$9))</x:f>
        <x:v>0</x:v>
      </x:c>
      <x:c r="J945" s="140" t="str">
        <x:f>IF($B$22&lt;&gt;"Sim","Desativada",IF(A945&lt;$B$23,"Antes da compra",IF(A945&lt;$B$23+$B$31,"Parcelas restantes","Encerrado")))</x:f>
        <x:v>Encerrado</x:v>
      </x:c>
      <x:c r="K945" s="141" t="n">
        <x:f>IF(C945&gt;0,C945/(1+$B$9)^A945,0)</x:f>
        <x:v>0</x:v>
      </x:c>
    </x:row>
    <x:row r="946">
      <x:c r="A946" s="142" t="n">
        <x:v>892</x:v>
      </x:c>
      <x:c r="B946" s="179" t="n">
        <x:f>EDATE($B$5,A946-1)</x:f>
        <x:v>73659</x:v>
      </x:c>
      <x:c r="C946" s="141" t="n">
        <x:f>IF(AND($B$22="Sim",A946&gt;=$B$23,A946&lt;$B$23+$B$31),$B$32*D946,0)</x:f>
        <x:v>0</x:v>
      </x:c>
      <x:c r="D946" s="180" t="n">
        <x:f>IF(A946&lt;$B$23,1,(1+$B$33)^INT((A946-$B$23)/12))</x:f>
        <x:v>74.58200074150359</x:v>
      </x:c>
      <x:c r="E946" s="141" t="n">
        <x:f>IF(AND($B$22="Sim",A946=$B$23),$B$37,0)</x:f>
        <x:v>0</x:v>
      </x:c>
      <x:c r="F946" s="141" t="n">
        <x:f>IF(AND($B$22="Sim",A946=$B$24),$B$27,0)</x:f>
        <x:v>0</x:v>
      </x:c>
      <x:c r="G946" s="141" t="n">
        <x:f>IF(AND($B$22="Sim",A946=$B$23),$B$35,0)</x:f>
        <x:v>0</x:v>
      </x:c>
      <x:c r="H946" s="141" t="n">
        <x:f>IF(AND($B$22="Sim",A946=$B$23),$B$36,0)</x:f>
        <x:v>0</x:v>
      </x:c>
      <x:c r="I946" s="141" t="n">
        <x:f>IF(OR($B$22&lt;&gt;"Sim",A946&gt;=$B$23+$B$31-1),0,(I947+C947)/(1+$B$9))</x:f>
        <x:v>0</x:v>
      </x:c>
      <x:c r="J946" s="140" t="str">
        <x:f>IF($B$22&lt;&gt;"Sim","Desativada",IF(A946&lt;$B$23,"Antes da compra",IF(A946&lt;$B$23+$B$31,"Parcelas restantes","Encerrado")))</x:f>
        <x:v>Encerrado</x:v>
      </x:c>
      <x:c r="K946" s="141" t="n">
        <x:f>IF(C946&gt;0,C946/(1+$B$9)^A946,0)</x:f>
        <x:v>0</x:v>
      </x:c>
    </x:row>
    <x:row r="947">
      <x:c r="A947" s="142" t="n">
        <x:v>893</x:v>
      </x:c>
      <x:c r="B947" s="179" t="n">
        <x:f>EDATE($B$5,A947-1)</x:f>
        <x:v>73689</x:v>
      </x:c>
      <x:c r="C947" s="141" t="n">
        <x:f>IF(AND($B$22="Sim",A947&gt;=$B$23,A947&lt;$B$23+$B$31),$B$32*D947,0)</x:f>
        <x:v>0</x:v>
      </x:c>
      <x:c r="D947" s="180" t="n">
        <x:f>IF(A947&lt;$B$23,1,(1+$B$33)^INT((A947-$B$23)/12))</x:f>
        <x:v>74.58200074150359</x:v>
      </x:c>
      <x:c r="E947" s="141" t="n">
        <x:f>IF(AND($B$22="Sim",A947=$B$23),$B$37,0)</x:f>
        <x:v>0</x:v>
      </x:c>
      <x:c r="F947" s="141" t="n">
        <x:f>IF(AND($B$22="Sim",A947=$B$24),$B$27,0)</x:f>
        <x:v>0</x:v>
      </x:c>
      <x:c r="G947" s="141" t="n">
        <x:f>IF(AND($B$22="Sim",A947=$B$23),$B$35,0)</x:f>
        <x:v>0</x:v>
      </x:c>
      <x:c r="H947" s="141" t="n">
        <x:f>IF(AND($B$22="Sim",A947=$B$23),$B$36,0)</x:f>
        <x:v>0</x:v>
      </x:c>
      <x:c r="I947" s="141" t="n">
        <x:f>IF(OR($B$22&lt;&gt;"Sim",A947&gt;=$B$23+$B$31-1),0,(I948+C948)/(1+$B$9))</x:f>
        <x:v>0</x:v>
      </x:c>
      <x:c r="J947" s="140" t="str">
        <x:f>IF($B$22&lt;&gt;"Sim","Desativada",IF(A947&lt;$B$23,"Antes da compra",IF(A947&lt;$B$23+$B$31,"Parcelas restantes","Encerrado")))</x:f>
        <x:v>Encerrado</x:v>
      </x:c>
      <x:c r="K947" s="141" t="n">
        <x:f>IF(C947&gt;0,C947/(1+$B$9)^A947,0)</x:f>
        <x:v>0</x:v>
      </x:c>
    </x:row>
    <x:row r="948">
      <x:c r="A948" s="142" t="n">
        <x:v>894</x:v>
      </x:c>
      <x:c r="B948" s="179" t="n">
        <x:f>EDATE($B$5,A948-1)</x:f>
        <x:v>73720</x:v>
      </x:c>
      <x:c r="C948" s="141" t="n">
        <x:f>IF(AND($B$22="Sim",A948&gt;=$B$23,A948&lt;$B$23+$B$31),$B$32*D948,0)</x:f>
        <x:v>0</x:v>
      </x:c>
      <x:c r="D948" s="180" t="n">
        <x:f>IF(A948&lt;$B$23,1,(1+$B$33)^INT((A948-$B$23)/12))</x:f>
        <x:v>74.58200074150359</x:v>
      </x:c>
      <x:c r="E948" s="141" t="n">
        <x:f>IF(AND($B$22="Sim",A948=$B$23),$B$37,0)</x:f>
        <x:v>0</x:v>
      </x:c>
      <x:c r="F948" s="141" t="n">
        <x:f>IF(AND($B$22="Sim",A948=$B$24),$B$27,0)</x:f>
        <x:v>0</x:v>
      </x:c>
      <x:c r="G948" s="141" t="n">
        <x:f>IF(AND($B$22="Sim",A948=$B$23),$B$35,0)</x:f>
        <x:v>0</x:v>
      </x:c>
      <x:c r="H948" s="141" t="n">
        <x:f>IF(AND($B$22="Sim",A948=$B$23),$B$36,0)</x:f>
        <x:v>0</x:v>
      </x:c>
      <x:c r="I948" s="141" t="n">
        <x:f>IF(OR($B$22&lt;&gt;"Sim",A948&gt;=$B$23+$B$31-1),0,(I949+C949)/(1+$B$9))</x:f>
        <x:v>0</x:v>
      </x:c>
      <x:c r="J948" s="140" t="str">
        <x:f>IF($B$22&lt;&gt;"Sim","Desativada",IF(A948&lt;$B$23,"Antes da compra",IF(A948&lt;$B$23+$B$31,"Parcelas restantes","Encerrado")))</x:f>
        <x:v>Encerrado</x:v>
      </x:c>
      <x:c r="K948" s="141" t="n">
        <x:f>IF(C948&gt;0,C948/(1+$B$9)^A948,0)</x:f>
        <x:v>0</x:v>
      </x:c>
    </x:row>
    <x:row r="949">
      <x:c r="A949" s="142" t="n">
        <x:v>895</x:v>
      </x:c>
      <x:c r="B949" s="179" t="n">
        <x:f>EDATE($B$5,A949-1)</x:f>
        <x:v>73750</x:v>
      </x:c>
      <x:c r="C949" s="141" t="n">
        <x:f>IF(AND($B$22="Sim",A949&gt;=$B$23,A949&lt;$B$23+$B$31),$B$32*D949,0)</x:f>
        <x:v>0</x:v>
      </x:c>
      <x:c r="D949" s="180" t="n">
        <x:f>IF(A949&lt;$B$23,1,(1+$B$33)^INT((A949-$B$23)/12))</x:f>
        <x:v>74.58200074150359</x:v>
      </x:c>
      <x:c r="E949" s="141" t="n">
        <x:f>IF(AND($B$22="Sim",A949=$B$23),$B$37,0)</x:f>
        <x:v>0</x:v>
      </x:c>
      <x:c r="F949" s="141" t="n">
        <x:f>IF(AND($B$22="Sim",A949=$B$24),$B$27,0)</x:f>
        <x:v>0</x:v>
      </x:c>
      <x:c r="G949" s="141" t="n">
        <x:f>IF(AND($B$22="Sim",A949=$B$23),$B$35,0)</x:f>
        <x:v>0</x:v>
      </x:c>
      <x:c r="H949" s="141" t="n">
        <x:f>IF(AND($B$22="Sim",A949=$B$23),$B$36,0)</x:f>
        <x:v>0</x:v>
      </x:c>
      <x:c r="I949" s="141" t="n">
        <x:f>IF(OR($B$22&lt;&gt;"Sim",A949&gt;=$B$23+$B$31-1),0,(I950+C950)/(1+$B$9))</x:f>
        <x:v>0</x:v>
      </x:c>
      <x:c r="J949" s="140" t="str">
        <x:f>IF($B$22&lt;&gt;"Sim","Desativada",IF(A949&lt;$B$23,"Antes da compra",IF(A949&lt;$B$23+$B$31,"Parcelas restantes","Encerrado")))</x:f>
        <x:v>Encerrado</x:v>
      </x:c>
      <x:c r="K949" s="141" t="n">
        <x:f>IF(C949&gt;0,C949/(1+$B$9)^A949,0)</x:f>
        <x:v>0</x:v>
      </x:c>
    </x:row>
    <x:row r="950">
      <x:c r="A950" s="142" t="n">
        <x:v>896</x:v>
      </x:c>
      <x:c r="B950" s="179" t="n">
        <x:f>EDATE($B$5,A950-1)</x:f>
        <x:v>73781</x:v>
      </x:c>
      <x:c r="C950" s="141" t="n">
        <x:f>IF(AND($B$22="Sim",A950&gt;=$B$23,A950&lt;$B$23+$B$31),$B$32*D950,0)</x:f>
        <x:v>0</x:v>
      </x:c>
      <x:c r="D950" s="180" t="n">
        <x:f>IF(A950&lt;$B$23,1,(1+$B$33)^INT((A950-$B$23)/12))</x:f>
        <x:v>74.58200074150359</x:v>
      </x:c>
      <x:c r="E950" s="141" t="n">
        <x:f>IF(AND($B$22="Sim",A950=$B$23),$B$37,0)</x:f>
        <x:v>0</x:v>
      </x:c>
      <x:c r="F950" s="141" t="n">
        <x:f>IF(AND($B$22="Sim",A950=$B$24),$B$27,0)</x:f>
        <x:v>0</x:v>
      </x:c>
      <x:c r="G950" s="141" t="n">
        <x:f>IF(AND($B$22="Sim",A950=$B$23),$B$35,0)</x:f>
        <x:v>0</x:v>
      </x:c>
      <x:c r="H950" s="141" t="n">
        <x:f>IF(AND($B$22="Sim",A950=$B$23),$B$36,0)</x:f>
        <x:v>0</x:v>
      </x:c>
      <x:c r="I950" s="141" t="n">
        <x:f>IF(OR($B$22&lt;&gt;"Sim",A950&gt;=$B$23+$B$31-1),0,(I951+C951)/(1+$B$9))</x:f>
        <x:v>0</x:v>
      </x:c>
      <x:c r="J950" s="140" t="str">
        <x:f>IF($B$22&lt;&gt;"Sim","Desativada",IF(A950&lt;$B$23,"Antes da compra",IF(A950&lt;$B$23+$B$31,"Parcelas restantes","Encerrado")))</x:f>
        <x:v>Encerrado</x:v>
      </x:c>
      <x:c r="K950" s="141" t="n">
        <x:f>IF(C950&gt;0,C950/(1+$B$9)^A950,0)</x:f>
        <x:v>0</x:v>
      </x:c>
    </x:row>
    <x:row r="951">
      <x:c r="A951" s="142" t="n">
        <x:v>897</x:v>
      </x:c>
      <x:c r="B951" s="179" t="n">
        <x:f>EDATE($B$5,A951-1)</x:f>
        <x:v>73812</x:v>
      </x:c>
      <x:c r="C951" s="141" t="n">
        <x:f>IF(AND($B$22="Sim",A951&gt;=$B$23,A951&lt;$B$23+$B$31),$B$32*D951,0)</x:f>
        <x:v>0</x:v>
      </x:c>
      <x:c r="D951" s="180" t="n">
        <x:f>IF(A951&lt;$B$23,1,(1+$B$33)^INT((A951-$B$23)/12))</x:f>
        <x:v>74.58200074150359</x:v>
      </x:c>
      <x:c r="E951" s="141" t="n">
        <x:f>IF(AND($B$22="Sim",A951=$B$23),$B$37,0)</x:f>
        <x:v>0</x:v>
      </x:c>
      <x:c r="F951" s="141" t="n">
        <x:f>IF(AND($B$22="Sim",A951=$B$24),$B$27,0)</x:f>
        <x:v>0</x:v>
      </x:c>
      <x:c r="G951" s="141" t="n">
        <x:f>IF(AND($B$22="Sim",A951=$B$23),$B$35,0)</x:f>
        <x:v>0</x:v>
      </x:c>
      <x:c r="H951" s="141" t="n">
        <x:f>IF(AND($B$22="Sim",A951=$B$23),$B$36,0)</x:f>
        <x:v>0</x:v>
      </x:c>
      <x:c r="I951" s="141" t="n">
        <x:f>IF(OR($B$22&lt;&gt;"Sim",A951&gt;=$B$23+$B$31-1),0,(I952+C952)/(1+$B$9))</x:f>
        <x:v>0</x:v>
      </x:c>
      <x:c r="J951" s="140" t="str">
        <x:f>IF($B$22&lt;&gt;"Sim","Desativada",IF(A951&lt;$B$23,"Antes da compra",IF(A951&lt;$B$23+$B$31,"Parcelas restantes","Encerrado")))</x:f>
        <x:v>Encerrado</x:v>
      </x:c>
      <x:c r="K951" s="141" t="n">
        <x:f>IF(C951&gt;0,C951/(1+$B$9)^A951,0)</x:f>
        <x:v>0</x:v>
      </x:c>
    </x:row>
    <x:row r="952">
      <x:c r="A952" s="142" t="n">
        <x:v>898</x:v>
      </x:c>
      <x:c r="B952" s="179" t="n">
        <x:f>EDATE($B$5,A952-1)</x:f>
        <x:v>73840</x:v>
      </x:c>
      <x:c r="C952" s="141" t="n">
        <x:f>IF(AND($B$22="Sim",A952&gt;=$B$23,A952&lt;$B$23+$B$31),$B$32*D952,0)</x:f>
        <x:v>0</x:v>
      </x:c>
      <x:c r="D952" s="180" t="n">
        <x:f>IF(A952&lt;$B$23,1,(1+$B$33)^INT((A952-$B$23)/12))</x:f>
        <x:v>74.58200074150359</x:v>
      </x:c>
      <x:c r="E952" s="141" t="n">
        <x:f>IF(AND($B$22="Sim",A952=$B$23),$B$37,0)</x:f>
        <x:v>0</x:v>
      </x:c>
      <x:c r="F952" s="141" t="n">
        <x:f>IF(AND($B$22="Sim",A952=$B$24),$B$27,0)</x:f>
        <x:v>0</x:v>
      </x:c>
      <x:c r="G952" s="141" t="n">
        <x:f>IF(AND($B$22="Sim",A952=$B$23),$B$35,0)</x:f>
        <x:v>0</x:v>
      </x:c>
      <x:c r="H952" s="141" t="n">
        <x:f>IF(AND($B$22="Sim",A952=$B$23),$B$36,0)</x:f>
        <x:v>0</x:v>
      </x:c>
      <x:c r="I952" s="141" t="n">
        <x:f>IF(OR($B$22&lt;&gt;"Sim",A952&gt;=$B$23+$B$31-1),0,(I953+C953)/(1+$B$9))</x:f>
        <x:v>0</x:v>
      </x:c>
      <x:c r="J952" s="140" t="str">
        <x:f>IF($B$22&lt;&gt;"Sim","Desativada",IF(A952&lt;$B$23,"Antes da compra",IF(A952&lt;$B$23+$B$31,"Parcelas restantes","Encerrado")))</x:f>
        <x:v>Encerrado</x:v>
      </x:c>
      <x:c r="K952" s="141" t="n">
        <x:f>IF(C952&gt;0,C952/(1+$B$9)^A952,0)</x:f>
        <x:v>0</x:v>
      </x:c>
    </x:row>
    <x:row r="953">
      <x:c r="A953" s="142" t="n">
        <x:v>899</x:v>
      </x:c>
      <x:c r="B953" s="179" t="n">
        <x:f>EDATE($B$5,A953-1)</x:f>
        <x:v>73871</x:v>
      </x:c>
      <x:c r="C953" s="141" t="n">
        <x:f>IF(AND($B$22="Sim",A953&gt;=$B$23,A953&lt;$B$23+$B$31),$B$32*D953,0)</x:f>
        <x:v>0</x:v>
      </x:c>
      <x:c r="D953" s="180" t="n">
        <x:f>IF(A953&lt;$B$23,1,(1+$B$33)^INT((A953-$B$23)/12))</x:f>
        <x:v>74.58200074150359</x:v>
      </x:c>
      <x:c r="E953" s="141" t="n">
        <x:f>IF(AND($B$22="Sim",A953=$B$23),$B$37,0)</x:f>
        <x:v>0</x:v>
      </x:c>
      <x:c r="F953" s="141" t="n">
        <x:f>IF(AND($B$22="Sim",A953=$B$24),$B$27,0)</x:f>
        <x:v>0</x:v>
      </x:c>
      <x:c r="G953" s="141" t="n">
        <x:f>IF(AND($B$22="Sim",A953=$B$23),$B$35,0)</x:f>
        <x:v>0</x:v>
      </x:c>
      <x:c r="H953" s="141" t="n">
        <x:f>IF(AND($B$22="Sim",A953=$B$23),$B$36,0)</x:f>
        <x:v>0</x:v>
      </x:c>
      <x:c r="I953" s="141" t="n">
        <x:f>IF(OR($B$22&lt;&gt;"Sim",A953&gt;=$B$23+$B$31-1),0,(I954+C954)/(1+$B$9))</x:f>
        <x:v>0</x:v>
      </x:c>
      <x:c r="J953" s="140" t="str">
        <x:f>IF($B$22&lt;&gt;"Sim","Desativada",IF(A953&lt;$B$23,"Antes da compra",IF(A953&lt;$B$23+$B$31,"Parcelas restantes","Encerrado")))</x:f>
        <x:v>Encerrado</x:v>
      </x:c>
      <x:c r="K953" s="141" t="n">
        <x:f>IF(C953&gt;0,C953/(1+$B$9)^A953,0)</x:f>
        <x:v>0</x:v>
      </x:c>
    </x:row>
    <x:row r="954">
      <x:c r="A954" s="142" t="n">
        <x:v>900</x:v>
      </x:c>
      <x:c r="B954" s="179" t="n">
        <x:f>EDATE($B$5,A954-1)</x:f>
        <x:v>73901</x:v>
      </x:c>
      <x:c r="C954" s="141" t="n">
        <x:f>IF(AND($B$22="Sim",A954&gt;=$B$23,A954&lt;$B$23+$B$31),$B$32*D954,0)</x:f>
        <x:v>0</x:v>
      </x:c>
      <x:c r="D954" s="180" t="n">
        <x:f>IF(A954&lt;$B$23,1,(1+$B$33)^INT((A954-$B$23)/12))</x:f>
        <x:v>74.58200074150359</x:v>
      </x:c>
      <x:c r="E954" s="141" t="n">
        <x:f>IF(AND($B$22="Sim",A954=$B$23),$B$37,0)</x:f>
        <x:v>0</x:v>
      </x:c>
      <x:c r="F954" s="141" t="n">
        <x:f>IF(AND($B$22="Sim",A954=$B$24),$B$27,0)</x:f>
        <x:v>0</x:v>
      </x:c>
      <x:c r="G954" s="141" t="n">
        <x:f>IF(AND($B$22="Sim",A954=$B$23),$B$35,0)</x:f>
        <x:v>0</x:v>
      </x:c>
      <x:c r="H954" s="141" t="n">
        <x:f>IF(AND($B$22="Sim",A954=$B$23),$B$36,0)</x:f>
        <x:v>0</x:v>
      </x:c>
      <x:c r="I954" s="141" t="n">
        <x:f>IF(OR($B$22&lt;&gt;"Sim",A954&gt;=$B$23+$B$31-1),0,(I955+C955)/(1+$B$9))</x:f>
        <x:v>0</x:v>
      </x:c>
      <x:c r="J954" s="140" t="str">
        <x:f>IF($B$22&lt;&gt;"Sim","Desativada",IF(A954&lt;$B$23,"Antes da compra",IF(A954&lt;$B$23+$B$31,"Parcelas restantes","Encerrado")))</x:f>
        <x:v>Encerrado</x:v>
      </x:c>
      <x:c r="K954" s="141" t="n">
        <x:f>IF(C954&gt;0,C954/(1+$B$9)^A954,0)</x:f>
        <x:v>0</x:v>
      </x:c>
    </x:row>
    <x:row r="955">
      <x:c r="A955" s="142" t="n">
        <x:v>901</x:v>
      </x:c>
      <x:c r="B955" s="179" t="n">
        <x:f>EDATE($B$5,A955-1)</x:f>
        <x:v>73932</x:v>
      </x:c>
      <x:c r="C955" s="141" t="n">
        <x:f>IF(AND($B$22="Sim",A955&gt;=$B$23,A955&lt;$B$23+$B$31),$B$32*D955,0)</x:f>
        <x:v>0</x:v>
      </x:c>
      <x:c r="D955" s="180" t="n">
        <x:f>IF(A955&lt;$B$23,1,(1+$B$33)^INT((A955-$B$23)/12))</x:f>
        <x:v>79.05692078599381</x:v>
      </x:c>
      <x:c r="E955" s="141" t="n">
        <x:f>IF(AND($B$22="Sim",A955=$B$23),$B$37,0)</x:f>
        <x:v>0</x:v>
      </x:c>
      <x:c r="F955" s="141" t="n">
        <x:f>IF(AND($B$22="Sim",A955=$B$24),$B$27,0)</x:f>
        <x:v>0</x:v>
      </x:c>
      <x:c r="G955" s="141" t="n">
        <x:f>IF(AND($B$22="Sim",A955=$B$23),$B$35,0)</x:f>
        <x:v>0</x:v>
      </x:c>
      <x:c r="H955" s="141" t="n">
        <x:f>IF(AND($B$22="Sim",A955=$B$23),$B$36,0)</x:f>
        <x:v>0</x:v>
      </x:c>
      <x:c r="I955" s="141" t="n">
        <x:f>IF(OR($B$22&lt;&gt;"Sim",A955&gt;=$B$23+$B$31-1),0,(I956+C956)/(1+$B$9))</x:f>
        <x:v>0</x:v>
      </x:c>
      <x:c r="J955" s="140" t="str">
        <x:f>IF($B$22&lt;&gt;"Sim","Desativada",IF(A955&lt;$B$23,"Antes da compra",IF(A955&lt;$B$23+$B$31,"Parcelas restantes","Encerrado")))</x:f>
        <x:v>Encerrado</x:v>
      </x:c>
      <x:c r="K955" s="141" t="n">
        <x:f>IF(C955&gt;0,C955/(1+$B$9)^A955,0)</x:f>
        <x:v>0</x:v>
      </x:c>
    </x:row>
    <x:row r="956">
      <x:c r="A956" s="142" t="n">
        <x:v>902</x:v>
      </x:c>
      <x:c r="B956" s="179" t="n">
        <x:f>EDATE($B$5,A956-1)</x:f>
        <x:v>73962</x:v>
      </x:c>
      <x:c r="C956" s="141" t="n">
        <x:f>IF(AND($B$22="Sim",A956&gt;=$B$23,A956&lt;$B$23+$B$31),$B$32*D956,0)</x:f>
        <x:v>0</x:v>
      </x:c>
      <x:c r="D956" s="180" t="n">
        <x:f>IF(A956&lt;$B$23,1,(1+$B$33)^INT((A956-$B$23)/12))</x:f>
        <x:v>79.05692078599381</x:v>
      </x:c>
      <x:c r="E956" s="141" t="n">
        <x:f>IF(AND($B$22="Sim",A956=$B$23),$B$37,0)</x:f>
        <x:v>0</x:v>
      </x:c>
      <x:c r="F956" s="141" t="n">
        <x:f>IF(AND($B$22="Sim",A956=$B$24),$B$27,0)</x:f>
        <x:v>0</x:v>
      </x:c>
      <x:c r="G956" s="141" t="n">
        <x:f>IF(AND($B$22="Sim",A956=$B$23),$B$35,0)</x:f>
        <x:v>0</x:v>
      </x:c>
      <x:c r="H956" s="141" t="n">
        <x:f>IF(AND($B$22="Sim",A956=$B$23),$B$36,0)</x:f>
        <x:v>0</x:v>
      </x:c>
      <x:c r="I956" s="141" t="n">
        <x:f>IF(OR($B$22&lt;&gt;"Sim",A956&gt;=$B$23+$B$31-1),0,(I957+C957)/(1+$B$9))</x:f>
        <x:v>0</x:v>
      </x:c>
      <x:c r="J956" s="140" t="str">
        <x:f>IF($B$22&lt;&gt;"Sim","Desativada",IF(A956&lt;$B$23,"Antes da compra",IF(A956&lt;$B$23+$B$31,"Parcelas restantes","Encerrado")))</x:f>
        <x:v>Encerrado</x:v>
      </x:c>
      <x:c r="K956" s="141" t="n">
        <x:f>IF(C956&gt;0,C956/(1+$B$9)^A956,0)</x:f>
        <x:v>0</x:v>
      </x:c>
    </x:row>
    <x:row r="957">
      <x:c r="A957" s="142" t="n">
        <x:v>903</x:v>
      </x:c>
      <x:c r="B957" s="179" t="n">
        <x:f>EDATE($B$5,A957-1)</x:f>
        <x:v>73993</x:v>
      </x:c>
      <x:c r="C957" s="141" t="n">
        <x:f>IF(AND($B$22="Sim",A957&gt;=$B$23,A957&lt;$B$23+$B$31),$B$32*D957,0)</x:f>
        <x:v>0</x:v>
      </x:c>
      <x:c r="D957" s="180" t="n">
        <x:f>IF(A957&lt;$B$23,1,(1+$B$33)^INT((A957-$B$23)/12))</x:f>
        <x:v>79.05692078599381</x:v>
      </x:c>
      <x:c r="E957" s="141" t="n">
        <x:f>IF(AND($B$22="Sim",A957=$B$23),$B$37,0)</x:f>
        <x:v>0</x:v>
      </x:c>
      <x:c r="F957" s="141" t="n">
        <x:f>IF(AND($B$22="Sim",A957=$B$24),$B$27,0)</x:f>
        <x:v>0</x:v>
      </x:c>
      <x:c r="G957" s="141" t="n">
        <x:f>IF(AND($B$22="Sim",A957=$B$23),$B$35,0)</x:f>
        <x:v>0</x:v>
      </x:c>
      <x:c r="H957" s="141" t="n">
        <x:f>IF(AND($B$22="Sim",A957=$B$23),$B$36,0)</x:f>
        <x:v>0</x:v>
      </x:c>
      <x:c r="I957" s="141" t="n">
        <x:f>IF(OR($B$22&lt;&gt;"Sim",A957&gt;=$B$23+$B$31-1),0,(I958+C958)/(1+$B$9))</x:f>
        <x:v>0</x:v>
      </x:c>
      <x:c r="J957" s="140" t="str">
        <x:f>IF($B$22&lt;&gt;"Sim","Desativada",IF(A957&lt;$B$23,"Antes da compra",IF(A957&lt;$B$23+$B$31,"Parcelas restantes","Encerrado")))</x:f>
        <x:v>Encerrado</x:v>
      </x:c>
      <x:c r="K957" s="141" t="n">
        <x:f>IF(C957&gt;0,C957/(1+$B$9)^A957,0)</x:f>
        <x:v>0</x:v>
      </x:c>
    </x:row>
    <x:row r="958">
      <x:c r="A958" s="142" t="n">
        <x:v>904</x:v>
      </x:c>
      <x:c r="B958" s="179" t="n">
        <x:f>EDATE($B$5,A958-1)</x:f>
        <x:v>74024</x:v>
      </x:c>
      <x:c r="C958" s="141" t="n">
        <x:f>IF(AND($B$22="Sim",A958&gt;=$B$23,A958&lt;$B$23+$B$31),$B$32*D958,0)</x:f>
        <x:v>0</x:v>
      </x:c>
      <x:c r="D958" s="180" t="n">
        <x:f>IF(A958&lt;$B$23,1,(1+$B$33)^INT((A958-$B$23)/12))</x:f>
        <x:v>79.05692078599381</x:v>
      </x:c>
      <x:c r="E958" s="141" t="n">
        <x:f>IF(AND($B$22="Sim",A958=$B$23),$B$37,0)</x:f>
        <x:v>0</x:v>
      </x:c>
      <x:c r="F958" s="141" t="n">
        <x:f>IF(AND($B$22="Sim",A958=$B$24),$B$27,0)</x:f>
        <x:v>0</x:v>
      </x:c>
      <x:c r="G958" s="141" t="n">
        <x:f>IF(AND($B$22="Sim",A958=$B$23),$B$35,0)</x:f>
        <x:v>0</x:v>
      </x:c>
      <x:c r="H958" s="141" t="n">
        <x:f>IF(AND($B$22="Sim",A958=$B$23),$B$36,0)</x:f>
        <x:v>0</x:v>
      </x:c>
      <x:c r="I958" s="141" t="n">
        <x:f>IF(OR($B$22&lt;&gt;"Sim",A958&gt;=$B$23+$B$31-1),0,(I959+C959)/(1+$B$9))</x:f>
        <x:v>0</x:v>
      </x:c>
      <x:c r="J958" s="140" t="str">
        <x:f>IF($B$22&lt;&gt;"Sim","Desativada",IF(A958&lt;$B$23,"Antes da compra",IF(A958&lt;$B$23+$B$31,"Parcelas restantes","Encerrado")))</x:f>
        <x:v>Encerrado</x:v>
      </x:c>
      <x:c r="K958" s="141" t="n">
        <x:f>IF(C958&gt;0,C958/(1+$B$9)^A958,0)</x:f>
        <x:v>0</x:v>
      </x:c>
    </x:row>
    <x:row r="959">
      <x:c r="A959" s="142" t="n">
        <x:v>905</x:v>
      </x:c>
      <x:c r="B959" s="179" t="n">
        <x:f>EDATE($B$5,A959-1)</x:f>
        <x:v>74054</x:v>
      </x:c>
      <x:c r="C959" s="141" t="n">
        <x:f>IF(AND($B$22="Sim",A959&gt;=$B$23,A959&lt;$B$23+$B$31),$B$32*D959,0)</x:f>
        <x:v>0</x:v>
      </x:c>
      <x:c r="D959" s="180" t="n">
        <x:f>IF(A959&lt;$B$23,1,(1+$B$33)^INT((A959-$B$23)/12))</x:f>
        <x:v>79.05692078599381</x:v>
      </x:c>
      <x:c r="E959" s="141" t="n">
        <x:f>IF(AND($B$22="Sim",A959=$B$23),$B$37,0)</x:f>
        <x:v>0</x:v>
      </x:c>
      <x:c r="F959" s="141" t="n">
        <x:f>IF(AND($B$22="Sim",A959=$B$24),$B$27,0)</x:f>
        <x:v>0</x:v>
      </x:c>
      <x:c r="G959" s="141" t="n">
        <x:f>IF(AND($B$22="Sim",A959=$B$23),$B$35,0)</x:f>
        <x:v>0</x:v>
      </x:c>
      <x:c r="H959" s="141" t="n">
        <x:f>IF(AND($B$22="Sim",A959=$B$23),$B$36,0)</x:f>
        <x:v>0</x:v>
      </x:c>
      <x:c r="I959" s="141" t="n">
        <x:f>IF(OR($B$22&lt;&gt;"Sim",A959&gt;=$B$23+$B$31-1),0,(I960+C960)/(1+$B$9))</x:f>
        <x:v>0</x:v>
      </x:c>
      <x:c r="J959" s="140" t="str">
        <x:f>IF($B$22&lt;&gt;"Sim","Desativada",IF(A959&lt;$B$23,"Antes da compra",IF(A959&lt;$B$23+$B$31,"Parcelas restantes","Encerrado")))</x:f>
        <x:v>Encerrado</x:v>
      </x:c>
      <x:c r="K959" s="141" t="n">
        <x:f>IF(C959&gt;0,C959/(1+$B$9)^A959,0)</x:f>
        <x:v>0</x:v>
      </x:c>
    </x:row>
    <x:row r="960">
      <x:c r="A960" s="142" t="n">
        <x:v>906</x:v>
      </x:c>
      <x:c r="B960" s="179" t="n">
        <x:f>EDATE($B$5,A960-1)</x:f>
        <x:v>74085</x:v>
      </x:c>
      <x:c r="C960" s="141" t="n">
        <x:f>IF(AND($B$22="Sim",A960&gt;=$B$23,A960&lt;$B$23+$B$31),$B$32*D960,0)</x:f>
        <x:v>0</x:v>
      </x:c>
      <x:c r="D960" s="180" t="n">
        <x:f>IF(A960&lt;$B$23,1,(1+$B$33)^INT((A960-$B$23)/12))</x:f>
        <x:v>79.05692078599381</x:v>
      </x:c>
      <x:c r="E960" s="141" t="n">
        <x:f>IF(AND($B$22="Sim",A960=$B$23),$B$37,0)</x:f>
        <x:v>0</x:v>
      </x:c>
      <x:c r="F960" s="141" t="n">
        <x:f>IF(AND($B$22="Sim",A960=$B$24),$B$27,0)</x:f>
        <x:v>0</x:v>
      </x:c>
      <x:c r="G960" s="141" t="n">
        <x:f>IF(AND($B$22="Sim",A960=$B$23),$B$35,0)</x:f>
        <x:v>0</x:v>
      </x:c>
      <x:c r="H960" s="141" t="n">
        <x:f>IF(AND($B$22="Sim",A960=$B$23),$B$36,0)</x:f>
        <x:v>0</x:v>
      </x:c>
      <x:c r="I960" s="141" t="n">
        <x:f>IF(OR($B$22&lt;&gt;"Sim",A960&gt;=$B$23+$B$31-1),0,(I961+C961)/(1+$B$9))</x:f>
        <x:v>0</x:v>
      </x:c>
      <x:c r="J960" s="140" t="str">
        <x:f>IF($B$22&lt;&gt;"Sim","Desativada",IF(A960&lt;$B$23,"Antes da compra",IF(A960&lt;$B$23+$B$31,"Parcelas restantes","Encerrado")))</x:f>
        <x:v>Encerrado</x:v>
      </x:c>
      <x:c r="K960" s="141" t="n">
        <x:f>IF(C960&gt;0,C960/(1+$B$9)^A960,0)</x:f>
        <x:v>0</x:v>
      </x:c>
    </x:row>
    <x:row r="961">
      <x:c r="A961" s="142" t="n">
        <x:v>907</x:v>
      </x:c>
      <x:c r="B961" s="179" t="n">
        <x:f>EDATE($B$5,A961-1)</x:f>
        <x:v>74115</x:v>
      </x:c>
      <x:c r="C961" s="141" t="n">
        <x:f>IF(AND($B$22="Sim",A961&gt;=$B$23,A961&lt;$B$23+$B$31),$B$32*D961,0)</x:f>
        <x:v>0</x:v>
      </x:c>
      <x:c r="D961" s="180" t="n">
        <x:f>IF(A961&lt;$B$23,1,(1+$B$33)^INT((A961-$B$23)/12))</x:f>
        <x:v>79.05692078599381</x:v>
      </x:c>
      <x:c r="E961" s="141" t="n">
        <x:f>IF(AND($B$22="Sim",A961=$B$23),$B$37,0)</x:f>
        <x:v>0</x:v>
      </x:c>
      <x:c r="F961" s="141" t="n">
        <x:f>IF(AND($B$22="Sim",A961=$B$24),$B$27,0)</x:f>
        <x:v>0</x:v>
      </x:c>
      <x:c r="G961" s="141" t="n">
        <x:f>IF(AND($B$22="Sim",A961=$B$23),$B$35,0)</x:f>
        <x:v>0</x:v>
      </x:c>
      <x:c r="H961" s="141" t="n">
        <x:f>IF(AND($B$22="Sim",A961=$B$23),$B$36,0)</x:f>
        <x:v>0</x:v>
      </x:c>
      <x:c r="I961" s="141" t="n">
        <x:f>IF(OR($B$22&lt;&gt;"Sim",A961&gt;=$B$23+$B$31-1),0,(I962+C962)/(1+$B$9))</x:f>
        <x:v>0</x:v>
      </x:c>
      <x:c r="J961" s="140" t="str">
        <x:f>IF($B$22&lt;&gt;"Sim","Desativada",IF(A961&lt;$B$23,"Antes da compra",IF(A961&lt;$B$23+$B$31,"Parcelas restantes","Encerrado")))</x:f>
        <x:v>Encerrado</x:v>
      </x:c>
      <x:c r="K961" s="141" t="n">
        <x:f>IF(C961&gt;0,C961/(1+$B$9)^A961,0)</x:f>
        <x:v>0</x:v>
      </x:c>
    </x:row>
    <x:row r="962">
      <x:c r="A962" s="142" t="n">
        <x:v>908</x:v>
      </x:c>
      <x:c r="B962" s="179" t="n">
        <x:f>EDATE($B$5,A962-1)</x:f>
        <x:v>74146</x:v>
      </x:c>
      <x:c r="C962" s="141" t="n">
        <x:f>IF(AND($B$22="Sim",A962&gt;=$B$23,A962&lt;$B$23+$B$31),$B$32*D962,0)</x:f>
        <x:v>0</x:v>
      </x:c>
      <x:c r="D962" s="180" t="n">
        <x:f>IF(A962&lt;$B$23,1,(1+$B$33)^INT((A962-$B$23)/12))</x:f>
        <x:v>79.05692078599381</x:v>
      </x:c>
      <x:c r="E962" s="141" t="n">
        <x:f>IF(AND($B$22="Sim",A962=$B$23),$B$37,0)</x:f>
        <x:v>0</x:v>
      </x:c>
      <x:c r="F962" s="141" t="n">
        <x:f>IF(AND($B$22="Sim",A962=$B$24),$B$27,0)</x:f>
        <x:v>0</x:v>
      </x:c>
      <x:c r="G962" s="141" t="n">
        <x:f>IF(AND($B$22="Sim",A962=$B$23),$B$35,0)</x:f>
        <x:v>0</x:v>
      </x:c>
      <x:c r="H962" s="141" t="n">
        <x:f>IF(AND($B$22="Sim",A962=$B$23),$B$36,0)</x:f>
        <x:v>0</x:v>
      </x:c>
      <x:c r="I962" s="141" t="n">
        <x:f>IF(OR($B$22&lt;&gt;"Sim",A962&gt;=$B$23+$B$31-1),0,(I963+C963)/(1+$B$9))</x:f>
        <x:v>0</x:v>
      </x:c>
      <x:c r="J962" s="140" t="str">
        <x:f>IF($B$22&lt;&gt;"Sim","Desativada",IF(A962&lt;$B$23,"Antes da compra",IF(A962&lt;$B$23+$B$31,"Parcelas restantes","Encerrado")))</x:f>
        <x:v>Encerrado</x:v>
      </x:c>
      <x:c r="K962" s="141" t="n">
        <x:f>IF(C962&gt;0,C962/(1+$B$9)^A962,0)</x:f>
        <x:v>0</x:v>
      </x:c>
    </x:row>
    <x:row r="963">
      <x:c r="A963" s="142" t="n">
        <x:v>909</x:v>
      </x:c>
      <x:c r="B963" s="179" t="n">
        <x:f>EDATE($B$5,A963-1)</x:f>
        <x:v>74177</x:v>
      </x:c>
      <x:c r="C963" s="141" t="n">
        <x:f>IF(AND($B$22="Sim",A963&gt;=$B$23,A963&lt;$B$23+$B$31),$B$32*D963,0)</x:f>
        <x:v>0</x:v>
      </x:c>
      <x:c r="D963" s="180" t="n">
        <x:f>IF(A963&lt;$B$23,1,(1+$B$33)^INT((A963-$B$23)/12))</x:f>
        <x:v>79.05692078599381</x:v>
      </x:c>
      <x:c r="E963" s="141" t="n">
        <x:f>IF(AND($B$22="Sim",A963=$B$23),$B$37,0)</x:f>
        <x:v>0</x:v>
      </x:c>
      <x:c r="F963" s="141" t="n">
        <x:f>IF(AND($B$22="Sim",A963=$B$24),$B$27,0)</x:f>
        <x:v>0</x:v>
      </x:c>
      <x:c r="G963" s="141" t="n">
        <x:f>IF(AND($B$22="Sim",A963=$B$23),$B$35,0)</x:f>
        <x:v>0</x:v>
      </x:c>
      <x:c r="H963" s="141" t="n">
        <x:f>IF(AND($B$22="Sim",A963=$B$23),$B$36,0)</x:f>
        <x:v>0</x:v>
      </x:c>
      <x:c r="I963" s="141" t="n">
        <x:f>IF(OR($B$22&lt;&gt;"Sim",A963&gt;=$B$23+$B$31-1),0,(I964+C964)/(1+$B$9))</x:f>
        <x:v>0</x:v>
      </x:c>
      <x:c r="J963" s="140" t="str">
        <x:f>IF($B$22&lt;&gt;"Sim","Desativada",IF(A963&lt;$B$23,"Antes da compra",IF(A963&lt;$B$23+$B$31,"Parcelas restantes","Encerrado")))</x:f>
        <x:v>Encerrado</x:v>
      </x:c>
      <x:c r="K963" s="141" t="n">
        <x:f>IF(C963&gt;0,C963/(1+$B$9)^A963,0)</x:f>
        <x:v>0</x:v>
      </x:c>
    </x:row>
    <x:row r="964">
      <x:c r="A964" s="142" t="n">
        <x:v>910</x:v>
      </x:c>
      <x:c r="B964" s="179" t="n">
        <x:f>EDATE($B$5,A964-1)</x:f>
        <x:v>74205</x:v>
      </x:c>
      <x:c r="C964" s="141" t="n">
        <x:f>IF(AND($B$22="Sim",A964&gt;=$B$23,A964&lt;$B$23+$B$31),$B$32*D964,0)</x:f>
        <x:v>0</x:v>
      </x:c>
      <x:c r="D964" s="180" t="n">
        <x:f>IF(A964&lt;$B$23,1,(1+$B$33)^INT((A964-$B$23)/12))</x:f>
        <x:v>79.05692078599381</x:v>
      </x:c>
      <x:c r="E964" s="141" t="n">
        <x:f>IF(AND($B$22="Sim",A964=$B$23),$B$37,0)</x:f>
        <x:v>0</x:v>
      </x:c>
      <x:c r="F964" s="141" t="n">
        <x:f>IF(AND($B$22="Sim",A964=$B$24),$B$27,0)</x:f>
        <x:v>0</x:v>
      </x:c>
      <x:c r="G964" s="141" t="n">
        <x:f>IF(AND($B$22="Sim",A964=$B$23),$B$35,0)</x:f>
        <x:v>0</x:v>
      </x:c>
      <x:c r="H964" s="141" t="n">
        <x:f>IF(AND($B$22="Sim",A964=$B$23),$B$36,0)</x:f>
        <x:v>0</x:v>
      </x:c>
      <x:c r="I964" s="141" t="n">
        <x:f>IF(OR($B$22&lt;&gt;"Sim",A964&gt;=$B$23+$B$31-1),0,(I965+C965)/(1+$B$9))</x:f>
        <x:v>0</x:v>
      </x:c>
      <x:c r="J964" s="140" t="str">
        <x:f>IF($B$22&lt;&gt;"Sim","Desativada",IF(A964&lt;$B$23,"Antes da compra",IF(A964&lt;$B$23+$B$31,"Parcelas restantes","Encerrado")))</x:f>
        <x:v>Encerrado</x:v>
      </x:c>
      <x:c r="K964" s="141" t="n">
        <x:f>IF(C964&gt;0,C964/(1+$B$9)^A964,0)</x:f>
        <x:v>0</x:v>
      </x:c>
    </x:row>
    <x:row r="965">
      <x:c r="A965" s="142" t="n">
        <x:v>911</x:v>
      </x:c>
      <x:c r="B965" s="179" t="n">
        <x:f>EDATE($B$5,A965-1)</x:f>
        <x:v>74236</x:v>
      </x:c>
      <x:c r="C965" s="141" t="n">
        <x:f>IF(AND($B$22="Sim",A965&gt;=$B$23,A965&lt;$B$23+$B$31),$B$32*D965,0)</x:f>
        <x:v>0</x:v>
      </x:c>
      <x:c r="D965" s="180" t="n">
        <x:f>IF(A965&lt;$B$23,1,(1+$B$33)^INT((A965-$B$23)/12))</x:f>
        <x:v>79.05692078599381</x:v>
      </x:c>
      <x:c r="E965" s="141" t="n">
        <x:f>IF(AND($B$22="Sim",A965=$B$23),$B$37,0)</x:f>
        <x:v>0</x:v>
      </x:c>
      <x:c r="F965" s="141" t="n">
        <x:f>IF(AND($B$22="Sim",A965=$B$24),$B$27,0)</x:f>
        <x:v>0</x:v>
      </x:c>
      <x:c r="G965" s="141" t="n">
        <x:f>IF(AND($B$22="Sim",A965=$B$23),$B$35,0)</x:f>
        <x:v>0</x:v>
      </x:c>
      <x:c r="H965" s="141" t="n">
        <x:f>IF(AND($B$22="Sim",A965=$B$23),$B$36,0)</x:f>
        <x:v>0</x:v>
      </x:c>
      <x:c r="I965" s="141" t="n">
        <x:f>IF(OR($B$22&lt;&gt;"Sim",A965&gt;=$B$23+$B$31-1),0,(I966+C966)/(1+$B$9))</x:f>
        <x:v>0</x:v>
      </x:c>
      <x:c r="J965" s="140" t="str">
        <x:f>IF($B$22&lt;&gt;"Sim","Desativada",IF(A965&lt;$B$23,"Antes da compra",IF(A965&lt;$B$23+$B$31,"Parcelas restantes","Encerrado")))</x:f>
        <x:v>Encerrado</x:v>
      </x:c>
      <x:c r="K965" s="141" t="n">
        <x:f>IF(C965&gt;0,C965/(1+$B$9)^A965,0)</x:f>
        <x:v>0</x:v>
      </x:c>
    </x:row>
    <x:row r="966">
      <x:c r="A966" s="142" t="n">
        <x:v>912</x:v>
      </x:c>
      <x:c r="B966" s="179" t="n">
        <x:f>EDATE($B$5,A966-1)</x:f>
        <x:v>74266</x:v>
      </x:c>
      <x:c r="C966" s="141" t="n">
        <x:f>IF(AND($B$22="Sim",A966&gt;=$B$23,A966&lt;$B$23+$B$31),$B$32*D966,0)</x:f>
        <x:v>0</x:v>
      </x:c>
      <x:c r="D966" s="180" t="n">
        <x:f>IF(A966&lt;$B$23,1,(1+$B$33)^INT((A966-$B$23)/12))</x:f>
        <x:v>79.05692078599381</x:v>
      </x:c>
      <x:c r="E966" s="141" t="n">
        <x:f>IF(AND($B$22="Sim",A966=$B$23),$B$37,0)</x:f>
        <x:v>0</x:v>
      </x:c>
      <x:c r="F966" s="141" t="n">
        <x:f>IF(AND($B$22="Sim",A966=$B$24),$B$27,0)</x:f>
        <x:v>0</x:v>
      </x:c>
      <x:c r="G966" s="141" t="n">
        <x:f>IF(AND($B$22="Sim",A966=$B$23),$B$35,0)</x:f>
        <x:v>0</x:v>
      </x:c>
      <x:c r="H966" s="141" t="n">
        <x:f>IF(AND($B$22="Sim",A966=$B$23),$B$36,0)</x:f>
        <x:v>0</x:v>
      </x:c>
      <x:c r="I966" s="141" t="n">
        <x:f>IF(OR($B$22&lt;&gt;"Sim",A966&gt;=$B$23+$B$31-1),0,(I967+C967)/(1+$B$9))</x:f>
        <x:v>0</x:v>
      </x:c>
      <x:c r="J966" s="140" t="str">
        <x:f>IF($B$22&lt;&gt;"Sim","Desativada",IF(A966&lt;$B$23,"Antes da compra",IF(A966&lt;$B$23+$B$31,"Parcelas restantes","Encerrado")))</x:f>
        <x:v>Encerrado</x:v>
      </x:c>
      <x:c r="K966" s="141" t="n">
        <x:f>IF(C966&gt;0,C966/(1+$B$9)^A966,0)</x:f>
        <x:v>0</x:v>
      </x:c>
    </x:row>
    <x:row r="967">
      <x:c r="A967" s="142" t="n">
        <x:v>913</x:v>
      </x:c>
      <x:c r="B967" s="179" t="n">
        <x:f>EDATE($B$5,A967-1)</x:f>
        <x:v>74297</x:v>
      </x:c>
      <x:c r="C967" s="141" t="n">
        <x:f>IF(AND($B$22="Sim",A967&gt;=$B$23,A967&lt;$B$23+$B$31),$B$32*D967,0)</x:f>
        <x:v>0</x:v>
      </x:c>
      <x:c r="D967" s="180" t="n">
        <x:f>IF(A967&lt;$B$23,1,(1+$B$33)^INT((A967-$B$23)/12))</x:f>
        <x:v>83.80033603315344</x:v>
      </x:c>
      <x:c r="E967" s="141" t="n">
        <x:f>IF(AND($B$22="Sim",A967=$B$23),$B$37,0)</x:f>
        <x:v>0</x:v>
      </x:c>
      <x:c r="F967" s="141" t="n">
        <x:f>IF(AND($B$22="Sim",A967=$B$24),$B$27,0)</x:f>
        <x:v>0</x:v>
      </x:c>
      <x:c r="G967" s="141" t="n">
        <x:f>IF(AND($B$22="Sim",A967=$B$23),$B$35,0)</x:f>
        <x:v>0</x:v>
      </x:c>
      <x:c r="H967" s="141" t="n">
        <x:f>IF(AND($B$22="Sim",A967=$B$23),$B$36,0)</x:f>
        <x:v>0</x:v>
      </x:c>
      <x:c r="I967" s="141" t="n">
        <x:f>IF(OR($B$22&lt;&gt;"Sim",A967&gt;=$B$23+$B$31-1),0,(I968+C968)/(1+$B$9))</x:f>
        <x:v>0</x:v>
      </x:c>
      <x:c r="J967" s="140" t="str">
        <x:f>IF($B$22&lt;&gt;"Sim","Desativada",IF(A967&lt;$B$23,"Antes da compra",IF(A967&lt;$B$23+$B$31,"Parcelas restantes","Encerrado")))</x:f>
        <x:v>Encerrado</x:v>
      </x:c>
      <x:c r="K967" s="141" t="n">
        <x:f>IF(C967&gt;0,C967/(1+$B$9)^A967,0)</x:f>
        <x:v>0</x:v>
      </x:c>
    </x:row>
    <x:row r="968">
      <x:c r="A968" s="142" t="n">
        <x:v>914</x:v>
      </x:c>
      <x:c r="B968" s="179" t="n">
        <x:f>EDATE($B$5,A968-1)</x:f>
        <x:v>74327</x:v>
      </x:c>
      <x:c r="C968" s="141" t="n">
        <x:f>IF(AND($B$22="Sim",A968&gt;=$B$23,A968&lt;$B$23+$B$31),$B$32*D968,0)</x:f>
        <x:v>0</x:v>
      </x:c>
      <x:c r="D968" s="180" t="n">
        <x:f>IF(A968&lt;$B$23,1,(1+$B$33)^INT((A968-$B$23)/12))</x:f>
        <x:v>83.80033603315344</x:v>
      </x:c>
      <x:c r="E968" s="141" t="n">
        <x:f>IF(AND($B$22="Sim",A968=$B$23),$B$37,0)</x:f>
        <x:v>0</x:v>
      </x:c>
      <x:c r="F968" s="141" t="n">
        <x:f>IF(AND($B$22="Sim",A968=$B$24),$B$27,0)</x:f>
        <x:v>0</x:v>
      </x:c>
      <x:c r="G968" s="141" t="n">
        <x:f>IF(AND($B$22="Sim",A968=$B$23),$B$35,0)</x:f>
        <x:v>0</x:v>
      </x:c>
      <x:c r="H968" s="141" t="n">
        <x:f>IF(AND($B$22="Sim",A968=$B$23),$B$36,0)</x:f>
        <x:v>0</x:v>
      </x:c>
      <x:c r="I968" s="141" t="n">
        <x:f>IF(OR($B$22&lt;&gt;"Sim",A968&gt;=$B$23+$B$31-1),0,(I969+C969)/(1+$B$9))</x:f>
        <x:v>0</x:v>
      </x:c>
      <x:c r="J968" s="140" t="str">
        <x:f>IF($B$22&lt;&gt;"Sim","Desativada",IF(A968&lt;$B$23,"Antes da compra",IF(A968&lt;$B$23+$B$31,"Parcelas restantes","Encerrado")))</x:f>
        <x:v>Encerrado</x:v>
      </x:c>
      <x:c r="K968" s="141" t="n">
        <x:f>IF(C968&gt;0,C968/(1+$B$9)^A968,0)</x:f>
        <x:v>0</x:v>
      </x:c>
    </x:row>
    <x:row r="969">
      <x:c r="A969" s="142" t="n">
        <x:v>915</x:v>
      </x:c>
      <x:c r="B969" s="179" t="n">
        <x:f>EDATE($B$5,A969-1)</x:f>
        <x:v>74358</x:v>
      </x:c>
      <x:c r="C969" s="141" t="n">
        <x:f>IF(AND($B$22="Sim",A969&gt;=$B$23,A969&lt;$B$23+$B$31),$B$32*D969,0)</x:f>
        <x:v>0</x:v>
      </x:c>
      <x:c r="D969" s="180" t="n">
        <x:f>IF(A969&lt;$B$23,1,(1+$B$33)^INT((A969-$B$23)/12))</x:f>
        <x:v>83.80033603315344</x:v>
      </x:c>
      <x:c r="E969" s="141" t="n">
        <x:f>IF(AND($B$22="Sim",A969=$B$23),$B$37,0)</x:f>
        <x:v>0</x:v>
      </x:c>
      <x:c r="F969" s="141" t="n">
        <x:f>IF(AND($B$22="Sim",A969=$B$24),$B$27,0)</x:f>
        <x:v>0</x:v>
      </x:c>
      <x:c r="G969" s="141" t="n">
        <x:f>IF(AND($B$22="Sim",A969=$B$23),$B$35,0)</x:f>
        <x:v>0</x:v>
      </x:c>
      <x:c r="H969" s="141" t="n">
        <x:f>IF(AND($B$22="Sim",A969=$B$23),$B$36,0)</x:f>
        <x:v>0</x:v>
      </x:c>
      <x:c r="I969" s="141" t="n">
        <x:f>IF(OR($B$22&lt;&gt;"Sim",A969&gt;=$B$23+$B$31-1),0,(I970+C970)/(1+$B$9))</x:f>
        <x:v>0</x:v>
      </x:c>
      <x:c r="J969" s="140" t="str">
        <x:f>IF($B$22&lt;&gt;"Sim","Desativada",IF(A969&lt;$B$23,"Antes da compra",IF(A969&lt;$B$23+$B$31,"Parcelas restantes","Encerrado")))</x:f>
        <x:v>Encerrado</x:v>
      </x:c>
      <x:c r="K969" s="141" t="n">
        <x:f>IF(C969&gt;0,C969/(1+$B$9)^A969,0)</x:f>
        <x:v>0</x:v>
      </x:c>
    </x:row>
    <x:row r="970">
      <x:c r="A970" s="142" t="n">
        <x:v>916</x:v>
      </x:c>
      <x:c r="B970" s="179" t="n">
        <x:f>EDATE($B$5,A970-1)</x:f>
        <x:v>74389</x:v>
      </x:c>
      <x:c r="C970" s="141" t="n">
        <x:f>IF(AND($B$22="Sim",A970&gt;=$B$23,A970&lt;$B$23+$B$31),$B$32*D970,0)</x:f>
        <x:v>0</x:v>
      </x:c>
      <x:c r="D970" s="180" t="n">
        <x:f>IF(A970&lt;$B$23,1,(1+$B$33)^INT((A970-$B$23)/12))</x:f>
        <x:v>83.80033603315344</x:v>
      </x:c>
      <x:c r="E970" s="141" t="n">
        <x:f>IF(AND($B$22="Sim",A970=$B$23),$B$37,0)</x:f>
        <x:v>0</x:v>
      </x:c>
      <x:c r="F970" s="141" t="n">
        <x:f>IF(AND($B$22="Sim",A970=$B$24),$B$27,0)</x:f>
        <x:v>0</x:v>
      </x:c>
      <x:c r="G970" s="141" t="n">
        <x:f>IF(AND($B$22="Sim",A970=$B$23),$B$35,0)</x:f>
        <x:v>0</x:v>
      </x:c>
      <x:c r="H970" s="141" t="n">
        <x:f>IF(AND($B$22="Sim",A970=$B$23),$B$36,0)</x:f>
        <x:v>0</x:v>
      </x:c>
      <x:c r="I970" s="141" t="n">
        <x:f>IF(OR($B$22&lt;&gt;"Sim",A970&gt;=$B$23+$B$31-1),0,(I971+C971)/(1+$B$9))</x:f>
        <x:v>0</x:v>
      </x:c>
      <x:c r="J970" s="140" t="str">
        <x:f>IF($B$22&lt;&gt;"Sim","Desativada",IF(A970&lt;$B$23,"Antes da compra",IF(A970&lt;$B$23+$B$31,"Parcelas restantes","Encerrado")))</x:f>
        <x:v>Encerrado</x:v>
      </x:c>
      <x:c r="K970" s="141" t="n">
        <x:f>IF(C970&gt;0,C970/(1+$B$9)^A970,0)</x:f>
        <x:v>0</x:v>
      </x:c>
    </x:row>
    <x:row r="971">
      <x:c r="A971" s="142" t="n">
        <x:v>917</x:v>
      </x:c>
      <x:c r="B971" s="179" t="n">
        <x:f>EDATE($B$5,A971-1)</x:f>
        <x:v>74419</x:v>
      </x:c>
      <x:c r="C971" s="141" t="n">
        <x:f>IF(AND($B$22="Sim",A971&gt;=$B$23,A971&lt;$B$23+$B$31),$B$32*D971,0)</x:f>
        <x:v>0</x:v>
      </x:c>
      <x:c r="D971" s="180" t="n">
        <x:f>IF(A971&lt;$B$23,1,(1+$B$33)^INT((A971-$B$23)/12))</x:f>
        <x:v>83.80033603315344</x:v>
      </x:c>
      <x:c r="E971" s="141" t="n">
        <x:f>IF(AND($B$22="Sim",A971=$B$23),$B$37,0)</x:f>
        <x:v>0</x:v>
      </x:c>
      <x:c r="F971" s="141" t="n">
        <x:f>IF(AND($B$22="Sim",A971=$B$24),$B$27,0)</x:f>
        <x:v>0</x:v>
      </x:c>
      <x:c r="G971" s="141" t="n">
        <x:f>IF(AND($B$22="Sim",A971=$B$23),$B$35,0)</x:f>
        <x:v>0</x:v>
      </x:c>
      <x:c r="H971" s="141" t="n">
        <x:f>IF(AND($B$22="Sim",A971=$B$23),$B$36,0)</x:f>
        <x:v>0</x:v>
      </x:c>
      <x:c r="I971" s="141" t="n">
        <x:f>IF(OR($B$22&lt;&gt;"Sim",A971&gt;=$B$23+$B$31-1),0,(I972+C972)/(1+$B$9))</x:f>
        <x:v>0</x:v>
      </x:c>
      <x:c r="J971" s="140" t="str">
        <x:f>IF($B$22&lt;&gt;"Sim","Desativada",IF(A971&lt;$B$23,"Antes da compra",IF(A971&lt;$B$23+$B$31,"Parcelas restantes","Encerrado")))</x:f>
        <x:v>Encerrado</x:v>
      </x:c>
      <x:c r="K971" s="141" t="n">
        <x:f>IF(C971&gt;0,C971/(1+$B$9)^A971,0)</x:f>
        <x:v>0</x:v>
      </x:c>
    </x:row>
    <x:row r="972">
      <x:c r="A972" s="142" t="n">
        <x:v>918</x:v>
      </x:c>
      <x:c r="B972" s="179" t="n">
        <x:f>EDATE($B$5,A972-1)</x:f>
        <x:v>74450</x:v>
      </x:c>
      <x:c r="C972" s="141" t="n">
        <x:f>IF(AND($B$22="Sim",A972&gt;=$B$23,A972&lt;$B$23+$B$31),$B$32*D972,0)</x:f>
        <x:v>0</x:v>
      </x:c>
      <x:c r="D972" s="180" t="n">
        <x:f>IF(A972&lt;$B$23,1,(1+$B$33)^INT((A972-$B$23)/12))</x:f>
        <x:v>83.80033603315344</x:v>
      </x:c>
      <x:c r="E972" s="141" t="n">
        <x:f>IF(AND($B$22="Sim",A972=$B$23),$B$37,0)</x:f>
        <x:v>0</x:v>
      </x:c>
      <x:c r="F972" s="141" t="n">
        <x:f>IF(AND($B$22="Sim",A972=$B$24),$B$27,0)</x:f>
        <x:v>0</x:v>
      </x:c>
      <x:c r="G972" s="141" t="n">
        <x:f>IF(AND($B$22="Sim",A972=$B$23),$B$35,0)</x:f>
        <x:v>0</x:v>
      </x:c>
      <x:c r="H972" s="141" t="n">
        <x:f>IF(AND($B$22="Sim",A972=$B$23),$B$36,0)</x:f>
        <x:v>0</x:v>
      </x:c>
      <x:c r="I972" s="141" t="n">
        <x:f>IF(OR($B$22&lt;&gt;"Sim",A972&gt;=$B$23+$B$31-1),0,(I973+C973)/(1+$B$9))</x:f>
        <x:v>0</x:v>
      </x:c>
      <x:c r="J972" s="140" t="str">
        <x:f>IF($B$22&lt;&gt;"Sim","Desativada",IF(A972&lt;$B$23,"Antes da compra",IF(A972&lt;$B$23+$B$31,"Parcelas restantes","Encerrado")))</x:f>
        <x:v>Encerrado</x:v>
      </x:c>
      <x:c r="K972" s="141" t="n">
        <x:f>IF(C972&gt;0,C972/(1+$B$9)^A972,0)</x:f>
        <x:v>0</x:v>
      </x:c>
    </x:row>
    <x:row r="973">
      <x:c r="A973" s="142" t="n">
        <x:v>919</x:v>
      </x:c>
      <x:c r="B973" s="179" t="n">
        <x:f>EDATE($B$5,A973-1)</x:f>
        <x:v>74480</x:v>
      </x:c>
      <x:c r="C973" s="141" t="n">
        <x:f>IF(AND($B$22="Sim",A973&gt;=$B$23,A973&lt;$B$23+$B$31),$B$32*D973,0)</x:f>
        <x:v>0</x:v>
      </x:c>
      <x:c r="D973" s="180" t="n">
        <x:f>IF(A973&lt;$B$23,1,(1+$B$33)^INT((A973-$B$23)/12))</x:f>
        <x:v>83.80033603315344</x:v>
      </x:c>
      <x:c r="E973" s="141" t="n">
        <x:f>IF(AND($B$22="Sim",A973=$B$23),$B$37,0)</x:f>
        <x:v>0</x:v>
      </x:c>
      <x:c r="F973" s="141" t="n">
        <x:f>IF(AND($B$22="Sim",A973=$B$24),$B$27,0)</x:f>
        <x:v>0</x:v>
      </x:c>
      <x:c r="G973" s="141" t="n">
        <x:f>IF(AND($B$22="Sim",A973=$B$23),$B$35,0)</x:f>
        <x:v>0</x:v>
      </x:c>
      <x:c r="H973" s="141" t="n">
        <x:f>IF(AND($B$22="Sim",A973=$B$23),$B$36,0)</x:f>
        <x:v>0</x:v>
      </x:c>
      <x:c r="I973" s="141" t="n">
        <x:f>IF(OR($B$22&lt;&gt;"Sim",A973&gt;=$B$23+$B$31-1),0,(I974+C974)/(1+$B$9))</x:f>
        <x:v>0</x:v>
      </x:c>
      <x:c r="J973" s="140" t="str">
        <x:f>IF($B$22&lt;&gt;"Sim","Desativada",IF(A973&lt;$B$23,"Antes da compra",IF(A973&lt;$B$23+$B$31,"Parcelas restantes","Encerrado")))</x:f>
        <x:v>Encerrado</x:v>
      </x:c>
      <x:c r="K973" s="141" t="n">
        <x:f>IF(C973&gt;0,C973/(1+$B$9)^A973,0)</x:f>
        <x:v>0</x:v>
      </x:c>
    </x:row>
    <x:row r="974">
      <x:c r="A974" s="142" t="n">
        <x:v>920</x:v>
      </x:c>
      <x:c r="B974" s="179" t="n">
        <x:f>EDATE($B$5,A974-1)</x:f>
        <x:v>74511</x:v>
      </x:c>
      <x:c r="C974" s="141" t="n">
        <x:f>IF(AND($B$22="Sim",A974&gt;=$B$23,A974&lt;$B$23+$B$31),$B$32*D974,0)</x:f>
        <x:v>0</x:v>
      </x:c>
      <x:c r="D974" s="180" t="n">
        <x:f>IF(A974&lt;$B$23,1,(1+$B$33)^INT((A974-$B$23)/12))</x:f>
        <x:v>83.80033603315344</x:v>
      </x:c>
      <x:c r="E974" s="141" t="n">
        <x:f>IF(AND($B$22="Sim",A974=$B$23),$B$37,0)</x:f>
        <x:v>0</x:v>
      </x:c>
      <x:c r="F974" s="141" t="n">
        <x:f>IF(AND($B$22="Sim",A974=$B$24),$B$27,0)</x:f>
        <x:v>0</x:v>
      </x:c>
      <x:c r="G974" s="141" t="n">
        <x:f>IF(AND($B$22="Sim",A974=$B$23),$B$35,0)</x:f>
        <x:v>0</x:v>
      </x:c>
      <x:c r="H974" s="141" t="n">
        <x:f>IF(AND($B$22="Sim",A974=$B$23),$B$36,0)</x:f>
        <x:v>0</x:v>
      </x:c>
      <x:c r="I974" s="141" t="n">
        <x:f>IF(OR($B$22&lt;&gt;"Sim",A974&gt;=$B$23+$B$31-1),0,(I975+C975)/(1+$B$9))</x:f>
        <x:v>0</x:v>
      </x:c>
      <x:c r="J974" s="140" t="str">
        <x:f>IF($B$22&lt;&gt;"Sim","Desativada",IF(A974&lt;$B$23,"Antes da compra",IF(A974&lt;$B$23+$B$31,"Parcelas restantes","Encerrado")))</x:f>
        <x:v>Encerrado</x:v>
      </x:c>
      <x:c r="K974" s="141" t="n">
        <x:f>IF(C974&gt;0,C974/(1+$B$9)^A974,0)</x:f>
        <x:v>0</x:v>
      </x:c>
    </x:row>
    <x:row r="975">
      <x:c r="A975" s="142" t="n">
        <x:v>921</x:v>
      </x:c>
      <x:c r="B975" s="179" t="n">
        <x:f>EDATE($B$5,A975-1)</x:f>
        <x:v>74542</x:v>
      </x:c>
      <x:c r="C975" s="141" t="n">
        <x:f>IF(AND($B$22="Sim",A975&gt;=$B$23,A975&lt;$B$23+$B$31),$B$32*D975,0)</x:f>
        <x:v>0</x:v>
      </x:c>
      <x:c r="D975" s="180" t="n">
        <x:f>IF(A975&lt;$B$23,1,(1+$B$33)^INT((A975-$B$23)/12))</x:f>
        <x:v>83.80033603315344</x:v>
      </x:c>
      <x:c r="E975" s="141" t="n">
        <x:f>IF(AND($B$22="Sim",A975=$B$23),$B$37,0)</x:f>
        <x:v>0</x:v>
      </x:c>
      <x:c r="F975" s="141" t="n">
        <x:f>IF(AND($B$22="Sim",A975=$B$24),$B$27,0)</x:f>
        <x:v>0</x:v>
      </x:c>
      <x:c r="G975" s="141" t="n">
        <x:f>IF(AND($B$22="Sim",A975=$B$23),$B$35,0)</x:f>
        <x:v>0</x:v>
      </x:c>
      <x:c r="H975" s="141" t="n">
        <x:f>IF(AND($B$22="Sim",A975=$B$23),$B$36,0)</x:f>
        <x:v>0</x:v>
      </x:c>
      <x:c r="I975" s="141" t="n">
        <x:f>IF(OR($B$22&lt;&gt;"Sim",A975&gt;=$B$23+$B$31-1),0,(I976+C976)/(1+$B$9))</x:f>
        <x:v>0</x:v>
      </x:c>
      <x:c r="J975" s="140" t="str">
        <x:f>IF($B$22&lt;&gt;"Sim","Desativada",IF(A975&lt;$B$23,"Antes da compra",IF(A975&lt;$B$23+$B$31,"Parcelas restantes","Encerrado")))</x:f>
        <x:v>Encerrado</x:v>
      </x:c>
      <x:c r="K975" s="141" t="n">
        <x:f>IF(C975&gt;0,C975/(1+$B$9)^A975,0)</x:f>
        <x:v>0</x:v>
      </x:c>
    </x:row>
    <x:row r="976">
      <x:c r="A976" s="142" t="n">
        <x:v>922</x:v>
      </x:c>
      <x:c r="B976" s="179" t="n">
        <x:f>EDATE($B$5,A976-1)</x:f>
        <x:v>74571</x:v>
      </x:c>
      <x:c r="C976" s="141" t="n">
        <x:f>IF(AND($B$22="Sim",A976&gt;=$B$23,A976&lt;$B$23+$B$31),$B$32*D976,0)</x:f>
        <x:v>0</x:v>
      </x:c>
      <x:c r="D976" s="180" t="n">
        <x:f>IF(A976&lt;$B$23,1,(1+$B$33)^INT((A976-$B$23)/12))</x:f>
        <x:v>83.80033603315344</x:v>
      </x:c>
      <x:c r="E976" s="141" t="n">
        <x:f>IF(AND($B$22="Sim",A976=$B$23),$B$37,0)</x:f>
        <x:v>0</x:v>
      </x:c>
      <x:c r="F976" s="141" t="n">
        <x:f>IF(AND($B$22="Sim",A976=$B$24),$B$27,0)</x:f>
        <x:v>0</x:v>
      </x:c>
      <x:c r="G976" s="141" t="n">
        <x:f>IF(AND($B$22="Sim",A976=$B$23),$B$35,0)</x:f>
        <x:v>0</x:v>
      </x:c>
      <x:c r="H976" s="141" t="n">
        <x:f>IF(AND($B$22="Sim",A976=$B$23),$B$36,0)</x:f>
        <x:v>0</x:v>
      </x:c>
      <x:c r="I976" s="141" t="n">
        <x:f>IF(OR($B$22&lt;&gt;"Sim",A976&gt;=$B$23+$B$31-1),0,(I977+C977)/(1+$B$9))</x:f>
        <x:v>0</x:v>
      </x:c>
      <x:c r="J976" s="140" t="str">
        <x:f>IF($B$22&lt;&gt;"Sim","Desativada",IF(A976&lt;$B$23,"Antes da compra",IF(A976&lt;$B$23+$B$31,"Parcelas restantes","Encerrado")))</x:f>
        <x:v>Encerrado</x:v>
      </x:c>
      <x:c r="K976" s="141" t="n">
        <x:f>IF(C976&gt;0,C976/(1+$B$9)^A976,0)</x:f>
        <x:v>0</x:v>
      </x:c>
    </x:row>
    <x:row r="977">
      <x:c r="A977" s="142" t="n">
        <x:v>923</x:v>
      </x:c>
      <x:c r="B977" s="179" t="n">
        <x:f>EDATE($B$5,A977-1)</x:f>
        <x:v>74602</x:v>
      </x:c>
      <x:c r="C977" s="141" t="n">
        <x:f>IF(AND($B$22="Sim",A977&gt;=$B$23,A977&lt;$B$23+$B$31),$B$32*D977,0)</x:f>
        <x:v>0</x:v>
      </x:c>
      <x:c r="D977" s="180" t="n">
        <x:f>IF(A977&lt;$B$23,1,(1+$B$33)^INT((A977-$B$23)/12))</x:f>
        <x:v>83.80033603315344</x:v>
      </x:c>
      <x:c r="E977" s="141" t="n">
        <x:f>IF(AND($B$22="Sim",A977=$B$23),$B$37,0)</x:f>
        <x:v>0</x:v>
      </x:c>
      <x:c r="F977" s="141" t="n">
        <x:f>IF(AND($B$22="Sim",A977=$B$24),$B$27,0)</x:f>
        <x:v>0</x:v>
      </x:c>
      <x:c r="G977" s="141" t="n">
        <x:f>IF(AND($B$22="Sim",A977=$B$23),$B$35,0)</x:f>
        <x:v>0</x:v>
      </x:c>
      <x:c r="H977" s="141" t="n">
        <x:f>IF(AND($B$22="Sim",A977=$B$23),$B$36,0)</x:f>
        <x:v>0</x:v>
      </x:c>
      <x:c r="I977" s="141" t="n">
        <x:f>IF(OR($B$22&lt;&gt;"Sim",A977&gt;=$B$23+$B$31-1),0,(I978+C978)/(1+$B$9))</x:f>
        <x:v>0</x:v>
      </x:c>
      <x:c r="J977" s="140" t="str">
        <x:f>IF($B$22&lt;&gt;"Sim","Desativada",IF(A977&lt;$B$23,"Antes da compra",IF(A977&lt;$B$23+$B$31,"Parcelas restantes","Encerrado")))</x:f>
        <x:v>Encerrado</x:v>
      </x:c>
      <x:c r="K977" s="141" t="n">
        <x:f>IF(C977&gt;0,C977/(1+$B$9)^A977,0)</x:f>
        <x:v>0</x:v>
      </x:c>
    </x:row>
    <x:row r="978">
      <x:c r="A978" s="142" t="n">
        <x:v>924</x:v>
      </x:c>
      <x:c r="B978" s="179" t="n">
        <x:f>EDATE($B$5,A978-1)</x:f>
        <x:v>74632</x:v>
      </x:c>
      <x:c r="C978" s="141" t="n">
        <x:f>IF(AND($B$22="Sim",A978&gt;=$B$23,A978&lt;$B$23+$B$31),$B$32*D978,0)</x:f>
        <x:v>0</x:v>
      </x:c>
      <x:c r="D978" s="180" t="n">
        <x:f>IF(A978&lt;$B$23,1,(1+$B$33)^INT((A978-$B$23)/12))</x:f>
        <x:v>83.80033603315344</x:v>
      </x:c>
      <x:c r="E978" s="141" t="n">
        <x:f>IF(AND($B$22="Sim",A978=$B$23),$B$37,0)</x:f>
        <x:v>0</x:v>
      </x:c>
      <x:c r="F978" s="141" t="n">
        <x:f>IF(AND($B$22="Sim",A978=$B$24),$B$27,0)</x:f>
        <x:v>0</x:v>
      </x:c>
      <x:c r="G978" s="141" t="n">
        <x:f>IF(AND($B$22="Sim",A978=$B$23),$B$35,0)</x:f>
        <x:v>0</x:v>
      </x:c>
      <x:c r="H978" s="141" t="n">
        <x:f>IF(AND($B$22="Sim",A978=$B$23),$B$36,0)</x:f>
        <x:v>0</x:v>
      </x:c>
      <x:c r="I978" s="141" t="n">
        <x:f>IF(OR($B$22&lt;&gt;"Sim",A978&gt;=$B$23+$B$31-1),0,(I979+C979)/(1+$B$9))</x:f>
        <x:v>0</x:v>
      </x:c>
      <x:c r="J978" s="140" t="str">
        <x:f>IF($B$22&lt;&gt;"Sim","Desativada",IF(A978&lt;$B$23,"Antes da compra",IF(A978&lt;$B$23+$B$31,"Parcelas restantes","Encerrado")))</x:f>
        <x:v>Encerrado</x:v>
      </x:c>
      <x:c r="K978" s="141" t="n">
        <x:f>IF(C978&gt;0,C978/(1+$B$9)^A978,0)</x:f>
        <x:v>0</x:v>
      </x:c>
    </x:row>
    <x:row r="979">
      <x:c r="A979" s="142" t="n">
        <x:v>925</x:v>
      </x:c>
      <x:c r="B979" s="179" t="n">
        <x:f>EDATE($B$5,A979-1)</x:f>
        <x:v>74663</x:v>
      </x:c>
      <x:c r="C979" s="141" t="n">
        <x:f>IF(AND($B$22="Sim",A979&gt;=$B$23,A979&lt;$B$23+$B$31),$B$32*D979,0)</x:f>
        <x:v>0</x:v>
      </x:c>
      <x:c r="D979" s="180" t="n">
        <x:f>IF(A979&lt;$B$23,1,(1+$B$33)^INT((A979-$B$23)/12))</x:f>
        <x:v>88.82835619514266</x:v>
      </x:c>
      <x:c r="E979" s="141" t="n">
        <x:f>IF(AND($B$22="Sim",A979=$B$23),$B$37,0)</x:f>
        <x:v>0</x:v>
      </x:c>
      <x:c r="F979" s="141" t="n">
        <x:f>IF(AND($B$22="Sim",A979=$B$24),$B$27,0)</x:f>
        <x:v>0</x:v>
      </x:c>
      <x:c r="G979" s="141" t="n">
        <x:f>IF(AND($B$22="Sim",A979=$B$23),$B$35,0)</x:f>
        <x:v>0</x:v>
      </x:c>
      <x:c r="H979" s="141" t="n">
        <x:f>IF(AND($B$22="Sim",A979=$B$23),$B$36,0)</x:f>
        <x:v>0</x:v>
      </x:c>
      <x:c r="I979" s="141" t="n">
        <x:f>IF(OR($B$22&lt;&gt;"Sim",A979&gt;=$B$23+$B$31-1),0,(I980+C980)/(1+$B$9))</x:f>
        <x:v>0</x:v>
      </x:c>
      <x:c r="J979" s="140" t="str">
        <x:f>IF($B$22&lt;&gt;"Sim","Desativada",IF(A979&lt;$B$23,"Antes da compra",IF(A979&lt;$B$23+$B$31,"Parcelas restantes","Encerrado")))</x:f>
        <x:v>Encerrado</x:v>
      </x:c>
      <x:c r="K979" s="141" t="n">
        <x:f>IF(C979&gt;0,C979/(1+$B$9)^A979,0)</x:f>
        <x:v>0</x:v>
      </x:c>
    </x:row>
    <x:row r="980">
      <x:c r="A980" s="142" t="n">
        <x:v>926</x:v>
      </x:c>
      <x:c r="B980" s="179" t="n">
        <x:f>EDATE($B$5,A980-1)</x:f>
        <x:v>74693</x:v>
      </x:c>
      <x:c r="C980" s="141" t="n">
        <x:f>IF(AND($B$22="Sim",A980&gt;=$B$23,A980&lt;$B$23+$B$31),$B$32*D980,0)</x:f>
        <x:v>0</x:v>
      </x:c>
      <x:c r="D980" s="180" t="n">
        <x:f>IF(A980&lt;$B$23,1,(1+$B$33)^INT((A980-$B$23)/12))</x:f>
        <x:v>88.82835619514266</x:v>
      </x:c>
      <x:c r="E980" s="141" t="n">
        <x:f>IF(AND($B$22="Sim",A980=$B$23),$B$37,0)</x:f>
        <x:v>0</x:v>
      </x:c>
      <x:c r="F980" s="141" t="n">
        <x:f>IF(AND($B$22="Sim",A980=$B$24),$B$27,0)</x:f>
        <x:v>0</x:v>
      </x:c>
      <x:c r="G980" s="141" t="n">
        <x:f>IF(AND($B$22="Sim",A980=$B$23),$B$35,0)</x:f>
        <x:v>0</x:v>
      </x:c>
      <x:c r="H980" s="141" t="n">
        <x:f>IF(AND($B$22="Sim",A980=$B$23),$B$36,0)</x:f>
        <x:v>0</x:v>
      </x:c>
      <x:c r="I980" s="141" t="n">
        <x:f>IF(OR($B$22&lt;&gt;"Sim",A980&gt;=$B$23+$B$31-1),0,(I981+C981)/(1+$B$9))</x:f>
        <x:v>0</x:v>
      </x:c>
      <x:c r="J980" s="140" t="str">
        <x:f>IF($B$22&lt;&gt;"Sim","Desativada",IF(A980&lt;$B$23,"Antes da compra",IF(A980&lt;$B$23+$B$31,"Parcelas restantes","Encerrado")))</x:f>
        <x:v>Encerrado</x:v>
      </x:c>
      <x:c r="K980" s="141" t="n">
        <x:f>IF(C980&gt;0,C980/(1+$B$9)^A980,0)</x:f>
        <x:v>0</x:v>
      </x:c>
    </x:row>
    <x:row r="981">
      <x:c r="A981" s="142" t="n">
        <x:v>927</x:v>
      </x:c>
      <x:c r="B981" s="179" t="n">
        <x:f>EDATE($B$5,A981-1)</x:f>
        <x:v>74724</x:v>
      </x:c>
      <x:c r="C981" s="141" t="n">
        <x:f>IF(AND($B$22="Sim",A981&gt;=$B$23,A981&lt;$B$23+$B$31),$B$32*D981,0)</x:f>
        <x:v>0</x:v>
      </x:c>
      <x:c r="D981" s="180" t="n">
        <x:f>IF(A981&lt;$B$23,1,(1+$B$33)^INT((A981-$B$23)/12))</x:f>
        <x:v>88.82835619514266</x:v>
      </x:c>
      <x:c r="E981" s="141" t="n">
        <x:f>IF(AND($B$22="Sim",A981=$B$23),$B$37,0)</x:f>
        <x:v>0</x:v>
      </x:c>
      <x:c r="F981" s="141" t="n">
        <x:f>IF(AND($B$22="Sim",A981=$B$24),$B$27,0)</x:f>
        <x:v>0</x:v>
      </x:c>
      <x:c r="G981" s="141" t="n">
        <x:f>IF(AND($B$22="Sim",A981=$B$23),$B$35,0)</x:f>
        <x:v>0</x:v>
      </x:c>
      <x:c r="H981" s="141" t="n">
        <x:f>IF(AND($B$22="Sim",A981=$B$23),$B$36,0)</x:f>
        <x:v>0</x:v>
      </x:c>
      <x:c r="I981" s="141" t="n">
        <x:f>IF(OR($B$22&lt;&gt;"Sim",A981&gt;=$B$23+$B$31-1),0,(I982+C982)/(1+$B$9))</x:f>
        <x:v>0</x:v>
      </x:c>
      <x:c r="J981" s="140" t="str">
        <x:f>IF($B$22&lt;&gt;"Sim","Desativada",IF(A981&lt;$B$23,"Antes da compra",IF(A981&lt;$B$23+$B$31,"Parcelas restantes","Encerrado")))</x:f>
        <x:v>Encerrado</x:v>
      </x:c>
      <x:c r="K981" s="141" t="n">
        <x:f>IF(C981&gt;0,C981/(1+$B$9)^A981,0)</x:f>
        <x:v>0</x:v>
      </x:c>
    </x:row>
    <x:row r="982">
      <x:c r="A982" s="142" t="n">
        <x:v>928</x:v>
      </x:c>
      <x:c r="B982" s="179" t="n">
        <x:f>EDATE($B$5,A982-1)</x:f>
        <x:v>74755</x:v>
      </x:c>
      <x:c r="C982" s="141" t="n">
        <x:f>IF(AND($B$22="Sim",A982&gt;=$B$23,A982&lt;$B$23+$B$31),$B$32*D982,0)</x:f>
        <x:v>0</x:v>
      </x:c>
      <x:c r="D982" s="180" t="n">
        <x:f>IF(A982&lt;$B$23,1,(1+$B$33)^INT((A982-$B$23)/12))</x:f>
        <x:v>88.82835619514266</x:v>
      </x:c>
      <x:c r="E982" s="141" t="n">
        <x:f>IF(AND($B$22="Sim",A982=$B$23),$B$37,0)</x:f>
        <x:v>0</x:v>
      </x:c>
      <x:c r="F982" s="141" t="n">
        <x:f>IF(AND($B$22="Sim",A982=$B$24),$B$27,0)</x:f>
        <x:v>0</x:v>
      </x:c>
      <x:c r="G982" s="141" t="n">
        <x:f>IF(AND($B$22="Sim",A982=$B$23),$B$35,0)</x:f>
        <x:v>0</x:v>
      </x:c>
      <x:c r="H982" s="141" t="n">
        <x:f>IF(AND($B$22="Sim",A982=$B$23),$B$36,0)</x:f>
        <x:v>0</x:v>
      </x:c>
      <x:c r="I982" s="141" t="n">
        <x:f>IF(OR($B$22&lt;&gt;"Sim",A982&gt;=$B$23+$B$31-1),0,(I983+C983)/(1+$B$9))</x:f>
        <x:v>0</x:v>
      </x:c>
      <x:c r="J982" s="140" t="str">
        <x:f>IF($B$22&lt;&gt;"Sim","Desativada",IF(A982&lt;$B$23,"Antes da compra",IF(A982&lt;$B$23+$B$31,"Parcelas restantes","Encerrado")))</x:f>
        <x:v>Encerrado</x:v>
      </x:c>
      <x:c r="K982" s="141" t="n">
        <x:f>IF(C982&gt;0,C982/(1+$B$9)^A982,0)</x:f>
        <x:v>0</x:v>
      </x:c>
    </x:row>
    <x:row r="983">
      <x:c r="A983" s="142" t="n">
        <x:v>929</x:v>
      </x:c>
      <x:c r="B983" s="179" t="n">
        <x:f>EDATE($B$5,A983-1)</x:f>
        <x:v>74785</x:v>
      </x:c>
      <x:c r="C983" s="141" t="n">
        <x:f>IF(AND($B$22="Sim",A983&gt;=$B$23,A983&lt;$B$23+$B$31),$B$32*D983,0)</x:f>
        <x:v>0</x:v>
      </x:c>
      <x:c r="D983" s="180" t="n">
        <x:f>IF(A983&lt;$B$23,1,(1+$B$33)^INT((A983-$B$23)/12))</x:f>
        <x:v>88.82835619514266</x:v>
      </x:c>
      <x:c r="E983" s="141" t="n">
        <x:f>IF(AND($B$22="Sim",A983=$B$23),$B$37,0)</x:f>
        <x:v>0</x:v>
      </x:c>
      <x:c r="F983" s="141" t="n">
        <x:f>IF(AND($B$22="Sim",A983=$B$24),$B$27,0)</x:f>
        <x:v>0</x:v>
      </x:c>
      <x:c r="G983" s="141" t="n">
        <x:f>IF(AND($B$22="Sim",A983=$B$23),$B$35,0)</x:f>
        <x:v>0</x:v>
      </x:c>
      <x:c r="H983" s="141" t="n">
        <x:f>IF(AND($B$22="Sim",A983=$B$23),$B$36,0)</x:f>
        <x:v>0</x:v>
      </x:c>
      <x:c r="I983" s="141" t="n">
        <x:f>IF(OR($B$22&lt;&gt;"Sim",A983&gt;=$B$23+$B$31-1),0,(I984+C984)/(1+$B$9))</x:f>
        <x:v>0</x:v>
      </x:c>
      <x:c r="J983" s="140" t="str">
        <x:f>IF($B$22&lt;&gt;"Sim","Desativada",IF(A983&lt;$B$23,"Antes da compra",IF(A983&lt;$B$23+$B$31,"Parcelas restantes","Encerrado")))</x:f>
        <x:v>Encerrado</x:v>
      </x:c>
      <x:c r="K983" s="141" t="n">
        <x:f>IF(C983&gt;0,C983/(1+$B$9)^A983,0)</x:f>
        <x:v>0</x:v>
      </x:c>
    </x:row>
    <x:row r="984">
      <x:c r="A984" s="142" t="n">
        <x:v>930</x:v>
      </x:c>
      <x:c r="B984" s="179" t="n">
        <x:f>EDATE($B$5,A984-1)</x:f>
        <x:v>74816</x:v>
      </x:c>
      <x:c r="C984" s="141" t="n">
        <x:f>IF(AND($B$22="Sim",A984&gt;=$B$23,A984&lt;$B$23+$B$31),$B$32*D984,0)</x:f>
        <x:v>0</x:v>
      </x:c>
      <x:c r="D984" s="180" t="n">
        <x:f>IF(A984&lt;$B$23,1,(1+$B$33)^INT((A984-$B$23)/12))</x:f>
        <x:v>88.82835619514266</x:v>
      </x:c>
      <x:c r="E984" s="141" t="n">
        <x:f>IF(AND($B$22="Sim",A984=$B$23),$B$37,0)</x:f>
        <x:v>0</x:v>
      </x:c>
      <x:c r="F984" s="141" t="n">
        <x:f>IF(AND($B$22="Sim",A984=$B$24),$B$27,0)</x:f>
        <x:v>0</x:v>
      </x:c>
      <x:c r="G984" s="141" t="n">
        <x:f>IF(AND($B$22="Sim",A984=$B$23),$B$35,0)</x:f>
        <x:v>0</x:v>
      </x:c>
      <x:c r="H984" s="141" t="n">
        <x:f>IF(AND($B$22="Sim",A984=$B$23),$B$36,0)</x:f>
        <x:v>0</x:v>
      </x:c>
      <x:c r="I984" s="141" t="n">
        <x:f>IF(OR($B$22&lt;&gt;"Sim",A984&gt;=$B$23+$B$31-1),0,(I985+C985)/(1+$B$9))</x:f>
        <x:v>0</x:v>
      </x:c>
      <x:c r="J984" s="140" t="str">
        <x:f>IF($B$22&lt;&gt;"Sim","Desativada",IF(A984&lt;$B$23,"Antes da compra",IF(A984&lt;$B$23+$B$31,"Parcelas restantes","Encerrado")))</x:f>
        <x:v>Encerrado</x:v>
      </x:c>
      <x:c r="K984" s="141" t="n">
        <x:f>IF(C984&gt;0,C984/(1+$B$9)^A984,0)</x:f>
        <x:v>0</x:v>
      </x:c>
    </x:row>
    <x:row r="985">
      <x:c r="A985" s="142" t="n">
        <x:v>931</x:v>
      </x:c>
      <x:c r="B985" s="179" t="n">
        <x:f>EDATE($B$5,A985-1)</x:f>
        <x:v>74846</x:v>
      </x:c>
      <x:c r="C985" s="141" t="n">
        <x:f>IF(AND($B$22="Sim",A985&gt;=$B$23,A985&lt;$B$23+$B$31),$B$32*D985,0)</x:f>
        <x:v>0</x:v>
      </x:c>
      <x:c r="D985" s="180" t="n">
        <x:f>IF(A985&lt;$B$23,1,(1+$B$33)^INT((A985-$B$23)/12))</x:f>
        <x:v>88.82835619514266</x:v>
      </x:c>
      <x:c r="E985" s="141" t="n">
        <x:f>IF(AND($B$22="Sim",A985=$B$23),$B$37,0)</x:f>
        <x:v>0</x:v>
      </x:c>
      <x:c r="F985" s="141" t="n">
        <x:f>IF(AND($B$22="Sim",A985=$B$24),$B$27,0)</x:f>
        <x:v>0</x:v>
      </x:c>
      <x:c r="G985" s="141" t="n">
        <x:f>IF(AND($B$22="Sim",A985=$B$23),$B$35,0)</x:f>
        <x:v>0</x:v>
      </x:c>
      <x:c r="H985" s="141" t="n">
        <x:f>IF(AND($B$22="Sim",A985=$B$23),$B$36,0)</x:f>
        <x:v>0</x:v>
      </x:c>
      <x:c r="I985" s="141" t="n">
        <x:f>IF(OR($B$22&lt;&gt;"Sim",A985&gt;=$B$23+$B$31-1),0,(I986+C986)/(1+$B$9))</x:f>
        <x:v>0</x:v>
      </x:c>
      <x:c r="J985" s="140" t="str">
        <x:f>IF($B$22&lt;&gt;"Sim","Desativada",IF(A985&lt;$B$23,"Antes da compra",IF(A985&lt;$B$23+$B$31,"Parcelas restantes","Encerrado")))</x:f>
        <x:v>Encerrado</x:v>
      </x:c>
      <x:c r="K985" s="141" t="n">
        <x:f>IF(C985&gt;0,C985/(1+$B$9)^A985,0)</x:f>
        <x:v>0</x:v>
      </x:c>
    </x:row>
    <x:row r="986">
      <x:c r="A986" s="142" t="n">
        <x:v>932</x:v>
      </x:c>
      <x:c r="B986" s="179" t="n">
        <x:f>EDATE($B$5,A986-1)</x:f>
        <x:v>74877</x:v>
      </x:c>
      <x:c r="C986" s="141" t="n">
        <x:f>IF(AND($B$22="Sim",A986&gt;=$B$23,A986&lt;$B$23+$B$31),$B$32*D986,0)</x:f>
        <x:v>0</x:v>
      </x:c>
      <x:c r="D986" s="180" t="n">
        <x:f>IF(A986&lt;$B$23,1,(1+$B$33)^INT((A986-$B$23)/12))</x:f>
        <x:v>88.82835619514266</x:v>
      </x:c>
      <x:c r="E986" s="141" t="n">
        <x:f>IF(AND($B$22="Sim",A986=$B$23),$B$37,0)</x:f>
        <x:v>0</x:v>
      </x:c>
      <x:c r="F986" s="141" t="n">
        <x:f>IF(AND($B$22="Sim",A986=$B$24),$B$27,0)</x:f>
        <x:v>0</x:v>
      </x:c>
      <x:c r="G986" s="141" t="n">
        <x:f>IF(AND($B$22="Sim",A986=$B$23),$B$35,0)</x:f>
        <x:v>0</x:v>
      </x:c>
      <x:c r="H986" s="141" t="n">
        <x:f>IF(AND($B$22="Sim",A986=$B$23),$B$36,0)</x:f>
        <x:v>0</x:v>
      </x:c>
      <x:c r="I986" s="141" t="n">
        <x:f>IF(OR($B$22&lt;&gt;"Sim",A986&gt;=$B$23+$B$31-1),0,(I987+C987)/(1+$B$9))</x:f>
        <x:v>0</x:v>
      </x:c>
      <x:c r="J986" s="140" t="str">
        <x:f>IF($B$22&lt;&gt;"Sim","Desativada",IF(A986&lt;$B$23,"Antes da compra",IF(A986&lt;$B$23+$B$31,"Parcelas restantes","Encerrado")))</x:f>
        <x:v>Encerrado</x:v>
      </x:c>
      <x:c r="K986" s="141" t="n">
        <x:f>IF(C986&gt;0,C986/(1+$B$9)^A986,0)</x:f>
        <x:v>0</x:v>
      </x:c>
    </x:row>
    <x:row r="987">
      <x:c r="A987" s="142" t="n">
        <x:v>933</x:v>
      </x:c>
      <x:c r="B987" s="179" t="n">
        <x:f>EDATE($B$5,A987-1)</x:f>
        <x:v>74908</x:v>
      </x:c>
      <x:c r="C987" s="141" t="n">
        <x:f>IF(AND($B$22="Sim",A987&gt;=$B$23,A987&lt;$B$23+$B$31),$B$32*D987,0)</x:f>
        <x:v>0</x:v>
      </x:c>
      <x:c r="D987" s="180" t="n">
        <x:f>IF(A987&lt;$B$23,1,(1+$B$33)^INT((A987-$B$23)/12))</x:f>
        <x:v>88.82835619514266</x:v>
      </x:c>
      <x:c r="E987" s="141" t="n">
        <x:f>IF(AND($B$22="Sim",A987=$B$23),$B$37,0)</x:f>
        <x:v>0</x:v>
      </x:c>
      <x:c r="F987" s="141" t="n">
        <x:f>IF(AND($B$22="Sim",A987=$B$24),$B$27,0)</x:f>
        <x:v>0</x:v>
      </x:c>
      <x:c r="G987" s="141" t="n">
        <x:f>IF(AND($B$22="Sim",A987=$B$23),$B$35,0)</x:f>
        <x:v>0</x:v>
      </x:c>
      <x:c r="H987" s="141" t="n">
        <x:f>IF(AND($B$22="Sim",A987=$B$23),$B$36,0)</x:f>
        <x:v>0</x:v>
      </x:c>
      <x:c r="I987" s="141" t="n">
        <x:f>IF(OR($B$22&lt;&gt;"Sim",A987&gt;=$B$23+$B$31-1),0,(I988+C988)/(1+$B$9))</x:f>
        <x:v>0</x:v>
      </x:c>
      <x:c r="J987" s="140" t="str">
        <x:f>IF($B$22&lt;&gt;"Sim","Desativada",IF(A987&lt;$B$23,"Antes da compra",IF(A987&lt;$B$23+$B$31,"Parcelas restantes","Encerrado")))</x:f>
        <x:v>Encerrado</x:v>
      </x:c>
      <x:c r="K987" s="141" t="n">
        <x:f>IF(C987&gt;0,C987/(1+$B$9)^A987,0)</x:f>
        <x:v>0</x:v>
      </x:c>
    </x:row>
    <x:row r="988">
      <x:c r="A988" s="142" t="n">
        <x:v>934</x:v>
      </x:c>
      <x:c r="B988" s="179" t="n">
        <x:f>EDATE($B$5,A988-1)</x:f>
        <x:v>74936</x:v>
      </x:c>
      <x:c r="C988" s="141" t="n">
        <x:f>IF(AND($B$22="Sim",A988&gt;=$B$23,A988&lt;$B$23+$B$31),$B$32*D988,0)</x:f>
        <x:v>0</x:v>
      </x:c>
      <x:c r="D988" s="180" t="n">
        <x:f>IF(A988&lt;$B$23,1,(1+$B$33)^INT((A988-$B$23)/12))</x:f>
        <x:v>88.82835619514266</x:v>
      </x:c>
      <x:c r="E988" s="141" t="n">
        <x:f>IF(AND($B$22="Sim",A988=$B$23),$B$37,0)</x:f>
        <x:v>0</x:v>
      </x:c>
      <x:c r="F988" s="141" t="n">
        <x:f>IF(AND($B$22="Sim",A988=$B$24),$B$27,0)</x:f>
        <x:v>0</x:v>
      </x:c>
      <x:c r="G988" s="141" t="n">
        <x:f>IF(AND($B$22="Sim",A988=$B$23),$B$35,0)</x:f>
        <x:v>0</x:v>
      </x:c>
      <x:c r="H988" s="141" t="n">
        <x:f>IF(AND($B$22="Sim",A988=$B$23),$B$36,0)</x:f>
        <x:v>0</x:v>
      </x:c>
      <x:c r="I988" s="141" t="n">
        <x:f>IF(OR($B$22&lt;&gt;"Sim",A988&gt;=$B$23+$B$31-1),0,(I989+C989)/(1+$B$9))</x:f>
        <x:v>0</x:v>
      </x:c>
      <x:c r="J988" s="140" t="str">
        <x:f>IF($B$22&lt;&gt;"Sim","Desativada",IF(A988&lt;$B$23,"Antes da compra",IF(A988&lt;$B$23+$B$31,"Parcelas restantes","Encerrado")))</x:f>
        <x:v>Encerrado</x:v>
      </x:c>
      <x:c r="K988" s="141" t="n">
        <x:f>IF(C988&gt;0,C988/(1+$B$9)^A988,0)</x:f>
        <x:v>0</x:v>
      </x:c>
    </x:row>
    <x:row r="989">
      <x:c r="A989" s="142" t="n">
        <x:v>935</x:v>
      </x:c>
      <x:c r="B989" s="179" t="n">
        <x:f>EDATE($B$5,A989-1)</x:f>
        <x:v>74967</x:v>
      </x:c>
      <x:c r="C989" s="141" t="n">
        <x:f>IF(AND($B$22="Sim",A989&gt;=$B$23,A989&lt;$B$23+$B$31),$B$32*D989,0)</x:f>
        <x:v>0</x:v>
      </x:c>
      <x:c r="D989" s="180" t="n">
        <x:f>IF(A989&lt;$B$23,1,(1+$B$33)^INT((A989-$B$23)/12))</x:f>
        <x:v>88.82835619514266</x:v>
      </x:c>
      <x:c r="E989" s="141" t="n">
        <x:f>IF(AND($B$22="Sim",A989=$B$23),$B$37,0)</x:f>
        <x:v>0</x:v>
      </x:c>
      <x:c r="F989" s="141" t="n">
        <x:f>IF(AND($B$22="Sim",A989=$B$24),$B$27,0)</x:f>
        <x:v>0</x:v>
      </x:c>
      <x:c r="G989" s="141" t="n">
        <x:f>IF(AND($B$22="Sim",A989=$B$23),$B$35,0)</x:f>
        <x:v>0</x:v>
      </x:c>
      <x:c r="H989" s="141" t="n">
        <x:f>IF(AND($B$22="Sim",A989=$B$23),$B$36,0)</x:f>
        <x:v>0</x:v>
      </x:c>
      <x:c r="I989" s="141" t="n">
        <x:f>IF(OR($B$22&lt;&gt;"Sim",A989&gt;=$B$23+$B$31-1),0,(I990+C990)/(1+$B$9))</x:f>
        <x:v>0</x:v>
      </x:c>
      <x:c r="J989" s="140" t="str">
        <x:f>IF($B$22&lt;&gt;"Sim","Desativada",IF(A989&lt;$B$23,"Antes da compra",IF(A989&lt;$B$23+$B$31,"Parcelas restantes","Encerrado")))</x:f>
        <x:v>Encerrado</x:v>
      </x:c>
      <x:c r="K989" s="141" t="n">
        <x:f>IF(C989&gt;0,C989/(1+$B$9)^A989,0)</x:f>
        <x:v>0</x:v>
      </x:c>
    </x:row>
    <x:row r="990">
      <x:c r="A990" s="142" t="n">
        <x:v>936</x:v>
      </x:c>
      <x:c r="B990" s="179" t="n">
        <x:f>EDATE($B$5,A990-1)</x:f>
        <x:v>74997</x:v>
      </x:c>
      <x:c r="C990" s="141" t="n">
        <x:f>IF(AND($B$22="Sim",A990&gt;=$B$23,A990&lt;$B$23+$B$31),$B$32*D990,0)</x:f>
        <x:v>0</x:v>
      </x:c>
      <x:c r="D990" s="180" t="n">
        <x:f>IF(A990&lt;$B$23,1,(1+$B$33)^INT((A990-$B$23)/12))</x:f>
        <x:v>88.82835619514266</x:v>
      </x:c>
      <x:c r="E990" s="141" t="n">
        <x:f>IF(AND($B$22="Sim",A990=$B$23),$B$37,0)</x:f>
        <x:v>0</x:v>
      </x:c>
      <x:c r="F990" s="141" t="n">
        <x:f>IF(AND($B$22="Sim",A990=$B$24),$B$27,0)</x:f>
        <x:v>0</x:v>
      </x:c>
      <x:c r="G990" s="141" t="n">
        <x:f>IF(AND($B$22="Sim",A990=$B$23),$B$35,0)</x:f>
        <x:v>0</x:v>
      </x:c>
      <x:c r="H990" s="141" t="n">
        <x:f>IF(AND($B$22="Sim",A990=$B$23),$B$36,0)</x:f>
        <x:v>0</x:v>
      </x:c>
      <x:c r="I990" s="141" t="n">
        <x:f>IF(OR($B$22&lt;&gt;"Sim",A990&gt;=$B$23+$B$31-1),0,(I991+C991)/(1+$B$9))</x:f>
        <x:v>0</x:v>
      </x:c>
      <x:c r="J990" s="140" t="str">
        <x:f>IF($B$22&lt;&gt;"Sim","Desativada",IF(A990&lt;$B$23,"Antes da compra",IF(A990&lt;$B$23+$B$31,"Parcelas restantes","Encerrado")))</x:f>
        <x:v>Encerrado</x:v>
      </x:c>
      <x:c r="K990" s="141" t="n">
        <x:f>IF(C990&gt;0,C990/(1+$B$9)^A990,0)</x:f>
        <x:v>0</x:v>
      </x:c>
    </x:row>
    <x:row r="991">
      <x:c r="A991" s="142" t="n">
        <x:v>937</x:v>
      </x:c>
      <x:c r="B991" s="179" t="n">
        <x:f>EDATE($B$5,A991-1)</x:f>
        <x:v>75028</x:v>
      </x:c>
      <x:c r="C991" s="141" t="n">
        <x:f>IF(AND($B$22="Sim",A991&gt;=$B$23,A991&lt;$B$23+$B$31),$B$32*D991,0)</x:f>
        <x:v>0</x:v>
      </x:c>
      <x:c r="D991" s="180" t="n">
        <x:f>IF(A991&lt;$B$23,1,(1+$B$33)^INT((A991-$B$23)/12))</x:f>
        <x:v>94.15805756685121</x:v>
      </x:c>
      <x:c r="E991" s="141" t="n">
        <x:f>IF(AND($B$22="Sim",A991=$B$23),$B$37,0)</x:f>
        <x:v>0</x:v>
      </x:c>
      <x:c r="F991" s="141" t="n">
        <x:f>IF(AND($B$22="Sim",A991=$B$24),$B$27,0)</x:f>
        <x:v>0</x:v>
      </x:c>
      <x:c r="G991" s="141" t="n">
        <x:f>IF(AND($B$22="Sim",A991=$B$23),$B$35,0)</x:f>
        <x:v>0</x:v>
      </x:c>
      <x:c r="H991" s="141" t="n">
        <x:f>IF(AND($B$22="Sim",A991=$B$23),$B$36,0)</x:f>
        <x:v>0</x:v>
      </x:c>
      <x:c r="I991" s="141" t="n">
        <x:f>IF(OR($B$22&lt;&gt;"Sim",A991&gt;=$B$23+$B$31-1),0,(I992+C992)/(1+$B$9))</x:f>
        <x:v>0</x:v>
      </x:c>
      <x:c r="J991" s="140" t="str">
        <x:f>IF($B$22&lt;&gt;"Sim","Desativada",IF(A991&lt;$B$23,"Antes da compra",IF(A991&lt;$B$23+$B$31,"Parcelas restantes","Encerrado")))</x:f>
        <x:v>Encerrado</x:v>
      </x:c>
      <x:c r="K991" s="141" t="n">
        <x:f>IF(C991&gt;0,C991/(1+$B$9)^A991,0)</x:f>
        <x:v>0</x:v>
      </x:c>
    </x:row>
    <x:row r="992">
      <x:c r="A992" s="142" t="n">
        <x:v>938</x:v>
      </x:c>
      <x:c r="B992" s="179" t="n">
        <x:f>EDATE($B$5,A992-1)</x:f>
        <x:v>75058</x:v>
      </x:c>
      <x:c r="C992" s="141" t="n">
        <x:f>IF(AND($B$22="Sim",A992&gt;=$B$23,A992&lt;$B$23+$B$31),$B$32*D992,0)</x:f>
        <x:v>0</x:v>
      </x:c>
      <x:c r="D992" s="180" t="n">
        <x:f>IF(A992&lt;$B$23,1,(1+$B$33)^INT((A992-$B$23)/12))</x:f>
        <x:v>94.15805756685121</x:v>
      </x:c>
      <x:c r="E992" s="141" t="n">
        <x:f>IF(AND($B$22="Sim",A992=$B$23),$B$37,0)</x:f>
        <x:v>0</x:v>
      </x:c>
      <x:c r="F992" s="141" t="n">
        <x:f>IF(AND($B$22="Sim",A992=$B$24),$B$27,0)</x:f>
        <x:v>0</x:v>
      </x:c>
      <x:c r="G992" s="141" t="n">
        <x:f>IF(AND($B$22="Sim",A992=$B$23),$B$35,0)</x:f>
        <x:v>0</x:v>
      </x:c>
      <x:c r="H992" s="141" t="n">
        <x:f>IF(AND($B$22="Sim",A992=$B$23),$B$36,0)</x:f>
        <x:v>0</x:v>
      </x:c>
      <x:c r="I992" s="141" t="n">
        <x:f>IF(OR($B$22&lt;&gt;"Sim",A992&gt;=$B$23+$B$31-1),0,(I993+C993)/(1+$B$9))</x:f>
        <x:v>0</x:v>
      </x:c>
      <x:c r="J992" s="140" t="str">
        <x:f>IF($B$22&lt;&gt;"Sim","Desativada",IF(A992&lt;$B$23,"Antes da compra",IF(A992&lt;$B$23+$B$31,"Parcelas restantes","Encerrado")))</x:f>
        <x:v>Encerrado</x:v>
      </x:c>
      <x:c r="K992" s="141" t="n">
        <x:f>IF(C992&gt;0,C992/(1+$B$9)^A992,0)</x:f>
        <x:v>0</x:v>
      </x:c>
    </x:row>
    <x:row r="993">
      <x:c r="A993" s="142" t="n">
        <x:v>939</x:v>
      </x:c>
      <x:c r="B993" s="179" t="n">
        <x:f>EDATE($B$5,A993-1)</x:f>
        <x:v>75089</x:v>
      </x:c>
      <x:c r="C993" s="141" t="n">
        <x:f>IF(AND($B$22="Sim",A993&gt;=$B$23,A993&lt;$B$23+$B$31),$B$32*D993,0)</x:f>
        <x:v>0</x:v>
      </x:c>
      <x:c r="D993" s="180" t="n">
        <x:f>IF(A993&lt;$B$23,1,(1+$B$33)^INT((A993-$B$23)/12))</x:f>
        <x:v>94.15805756685121</x:v>
      </x:c>
      <x:c r="E993" s="141" t="n">
        <x:f>IF(AND($B$22="Sim",A993=$B$23),$B$37,0)</x:f>
        <x:v>0</x:v>
      </x:c>
      <x:c r="F993" s="141" t="n">
        <x:f>IF(AND($B$22="Sim",A993=$B$24),$B$27,0)</x:f>
        <x:v>0</x:v>
      </x:c>
      <x:c r="G993" s="141" t="n">
        <x:f>IF(AND($B$22="Sim",A993=$B$23),$B$35,0)</x:f>
        <x:v>0</x:v>
      </x:c>
      <x:c r="H993" s="141" t="n">
        <x:f>IF(AND($B$22="Sim",A993=$B$23),$B$36,0)</x:f>
        <x:v>0</x:v>
      </x:c>
      <x:c r="I993" s="141" t="n">
        <x:f>IF(OR($B$22&lt;&gt;"Sim",A993&gt;=$B$23+$B$31-1),0,(I994+C994)/(1+$B$9))</x:f>
        <x:v>0</x:v>
      </x:c>
      <x:c r="J993" s="140" t="str">
        <x:f>IF($B$22&lt;&gt;"Sim","Desativada",IF(A993&lt;$B$23,"Antes da compra",IF(A993&lt;$B$23+$B$31,"Parcelas restantes","Encerrado")))</x:f>
        <x:v>Encerrado</x:v>
      </x:c>
      <x:c r="K993" s="141" t="n">
        <x:f>IF(C993&gt;0,C993/(1+$B$9)^A993,0)</x:f>
        <x:v>0</x:v>
      </x:c>
    </x:row>
    <x:row r="994">
      <x:c r="A994" s="142" t="n">
        <x:v>940</x:v>
      </x:c>
      <x:c r="B994" s="179" t="n">
        <x:f>EDATE($B$5,A994-1)</x:f>
        <x:v>75120</x:v>
      </x:c>
      <x:c r="C994" s="141" t="n">
        <x:f>IF(AND($B$22="Sim",A994&gt;=$B$23,A994&lt;$B$23+$B$31),$B$32*D994,0)</x:f>
        <x:v>0</x:v>
      </x:c>
      <x:c r="D994" s="180" t="n">
        <x:f>IF(A994&lt;$B$23,1,(1+$B$33)^INT((A994-$B$23)/12))</x:f>
        <x:v>94.15805756685121</x:v>
      </x:c>
      <x:c r="E994" s="141" t="n">
        <x:f>IF(AND($B$22="Sim",A994=$B$23),$B$37,0)</x:f>
        <x:v>0</x:v>
      </x:c>
      <x:c r="F994" s="141" t="n">
        <x:f>IF(AND($B$22="Sim",A994=$B$24),$B$27,0)</x:f>
        <x:v>0</x:v>
      </x:c>
      <x:c r="G994" s="141" t="n">
        <x:f>IF(AND($B$22="Sim",A994=$B$23),$B$35,0)</x:f>
        <x:v>0</x:v>
      </x:c>
      <x:c r="H994" s="141" t="n">
        <x:f>IF(AND($B$22="Sim",A994=$B$23),$B$36,0)</x:f>
        <x:v>0</x:v>
      </x:c>
      <x:c r="I994" s="141" t="n">
        <x:f>IF(OR($B$22&lt;&gt;"Sim",A994&gt;=$B$23+$B$31-1),0,(I995+C995)/(1+$B$9))</x:f>
        <x:v>0</x:v>
      </x:c>
      <x:c r="J994" s="140" t="str">
        <x:f>IF($B$22&lt;&gt;"Sim","Desativada",IF(A994&lt;$B$23,"Antes da compra",IF(A994&lt;$B$23+$B$31,"Parcelas restantes","Encerrado")))</x:f>
        <x:v>Encerrado</x:v>
      </x:c>
      <x:c r="K994" s="141" t="n">
        <x:f>IF(C994&gt;0,C994/(1+$B$9)^A994,0)</x:f>
        <x:v>0</x:v>
      </x:c>
    </x:row>
    <x:row r="995">
      <x:c r="A995" s="142" t="n">
        <x:v>941</x:v>
      </x:c>
      <x:c r="B995" s="179" t="n">
        <x:f>EDATE($B$5,A995-1)</x:f>
        <x:v>75150</x:v>
      </x:c>
      <x:c r="C995" s="141" t="n">
        <x:f>IF(AND($B$22="Sim",A995&gt;=$B$23,A995&lt;$B$23+$B$31),$B$32*D995,0)</x:f>
        <x:v>0</x:v>
      </x:c>
      <x:c r="D995" s="180" t="n">
        <x:f>IF(A995&lt;$B$23,1,(1+$B$33)^INT((A995-$B$23)/12))</x:f>
        <x:v>94.15805756685121</x:v>
      </x:c>
      <x:c r="E995" s="141" t="n">
        <x:f>IF(AND($B$22="Sim",A995=$B$23),$B$37,0)</x:f>
        <x:v>0</x:v>
      </x:c>
      <x:c r="F995" s="141" t="n">
        <x:f>IF(AND($B$22="Sim",A995=$B$24),$B$27,0)</x:f>
        <x:v>0</x:v>
      </x:c>
      <x:c r="G995" s="141" t="n">
        <x:f>IF(AND($B$22="Sim",A995=$B$23),$B$35,0)</x:f>
        <x:v>0</x:v>
      </x:c>
      <x:c r="H995" s="141" t="n">
        <x:f>IF(AND($B$22="Sim",A995=$B$23),$B$36,0)</x:f>
        <x:v>0</x:v>
      </x:c>
      <x:c r="I995" s="141" t="n">
        <x:f>IF(OR($B$22&lt;&gt;"Sim",A995&gt;=$B$23+$B$31-1),0,(I996+C996)/(1+$B$9))</x:f>
        <x:v>0</x:v>
      </x:c>
      <x:c r="J995" s="140" t="str">
        <x:f>IF($B$22&lt;&gt;"Sim","Desativada",IF(A995&lt;$B$23,"Antes da compra",IF(A995&lt;$B$23+$B$31,"Parcelas restantes","Encerrado")))</x:f>
        <x:v>Encerrado</x:v>
      </x:c>
      <x:c r="K995" s="141" t="n">
        <x:f>IF(C995&gt;0,C995/(1+$B$9)^A995,0)</x:f>
        <x:v>0</x:v>
      </x:c>
    </x:row>
    <x:row r="996">
      <x:c r="A996" s="142" t="n">
        <x:v>942</x:v>
      </x:c>
      <x:c r="B996" s="179" t="n">
        <x:f>EDATE($B$5,A996-1)</x:f>
        <x:v>75181</x:v>
      </x:c>
      <x:c r="C996" s="141" t="n">
        <x:f>IF(AND($B$22="Sim",A996&gt;=$B$23,A996&lt;$B$23+$B$31),$B$32*D996,0)</x:f>
        <x:v>0</x:v>
      </x:c>
      <x:c r="D996" s="180" t="n">
        <x:f>IF(A996&lt;$B$23,1,(1+$B$33)^INT((A996-$B$23)/12))</x:f>
        <x:v>94.15805756685121</x:v>
      </x:c>
      <x:c r="E996" s="141" t="n">
        <x:f>IF(AND($B$22="Sim",A996=$B$23),$B$37,0)</x:f>
        <x:v>0</x:v>
      </x:c>
      <x:c r="F996" s="141" t="n">
        <x:f>IF(AND($B$22="Sim",A996=$B$24),$B$27,0)</x:f>
        <x:v>0</x:v>
      </x:c>
      <x:c r="G996" s="141" t="n">
        <x:f>IF(AND($B$22="Sim",A996=$B$23),$B$35,0)</x:f>
        <x:v>0</x:v>
      </x:c>
      <x:c r="H996" s="141" t="n">
        <x:f>IF(AND($B$22="Sim",A996=$B$23),$B$36,0)</x:f>
        <x:v>0</x:v>
      </x:c>
      <x:c r="I996" s="141" t="n">
        <x:f>IF(OR($B$22&lt;&gt;"Sim",A996&gt;=$B$23+$B$31-1),0,(I997+C997)/(1+$B$9))</x:f>
        <x:v>0</x:v>
      </x:c>
      <x:c r="J996" s="140" t="str">
        <x:f>IF($B$22&lt;&gt;"Sim","Desativada",IF(A996&lt;$B$23,"Antes da compra",IF(A996&lt;$B$23+$B$31,"Parcelas restantes","Encerrado")))</x:f>
        <x:v>Encerrado</x:v>
      </x:c>
      <x:c r="K996" s="141" t="n">
        <x:f>IF(C996&gt;0,C996/(1+$B$9)^A996,0)</x:f>
        <x:v>0</x:v>
      </x:c>
    </x:row>
    <x:row r="997">
      <x:c r="A997" s="142" t="n">
        <x:v>943</x:v>
      </x:c>
      <x:c r="B997" s="179" t="n">
        <x:f>EDATE($B$5,A997-1)</x:f>
        <x:v>75211</x:v>
      </x:c>
      <x:c r="C997" s="141" t="n">
        <x:f>IF(AND($B$22="Sim",A997&gt;=$B$23,A997&lt;$B$23+$B$31),$B$32*D997,0)</x:f>
        <x:v>0</x:v>
      </x:c>
      <x:c r="D997" s="180" t="n">
        <x:f>IF(A997&lt;$B$23,1,(1+$B$33)^INT((A997-$B$23)/12))</x:f>
        <x:v>94.15805756685121</x:v>
      </x:c>
      <x:c r="E997" s="141" t="n">
        <x:f>IF(AND($B$22="Sim",A997=$B$23),$B$37,0)</x:f>
        <x:v>0</x:v>
      </x:c>
      <x:c r="F997" s="141" t="n">
        <x:f>IF(AND($B$22="Sim",A997=$B$24),$B$27,0)</x:f>
        <x:v>0</x:v>
      </x:c>
      <x:c r="G997" s="141" t="n">
        <x:f>IF(AND($B$22="Sim",A997=$B$23),$B$35,0)</x:f>
        <x:v>0</x:v>
      </x:c>
      <x:c r="H997" s="141" t="n">
        <x:f>IF(AND($B$22="Sim",A997=$B$23),$B$36,0)</x:f>
        <x:v>0</x:v>
      </x:c>
      <x:c r="I997" s="141" t="n">
        <x:f>IF(OR($B$22&lt;&gt;"Sim",A997&gt;=$B$23+$B$31-1),0,(I998+C998)/(1+$B$9))</x:f>
        <x:v>0</x:v>
      </x:c>
      <x:c r="J997" s="140" t="str">
        <x:f>IF($B$22&lt;&gt;"Sim","Desativada",IF(A997&lt;$B$23,"Antes da compra",IF(A997&lt;$B$23+$B$31,"Parcelas restantes","Encerrado")))</x:f>
        <x:v>Encerrado</x:v>
      </x:c>
      <x:c r="K997" s="141" t="n">
        <x:f>IF(C997&gt;0,C997/(1+$B$9)^A997,0)</x:f>
        <x:v>0</x:v>
      </x:c>
    </x:row>
    <x:row r="998">
      <x:c r="A998" s="142" t="n">
        <x:v>944</x:v>
      </x:c>
      <x:c r="B998" s="179" t="n">
        <x:f>EDATE($B$5,A998-1)</x:f>
        <x:v>75242</x:v>
      </x:c>
      <x:c r="C998" s="141" t="n">
        <x:f>IF(AND($B$22="Sim",A998&gt;=$B$23,A998&lt;$B$23+$B$31),$B$32*D998,0)</x:f>
        <x:v>0</x:v>
      </x:c>
      <x:c r="D998" s="180" t="n">
        <x:f>IF(A998&lt;$B$23,1,(1+$B$33)^INT((A998-$B$23)/12))</x:f>
        <x:v>94.15805756685121</x:v>
      </x:c>
      <x:c r="E998" s="141" t="n">
        <x:f>IF(AND($B$22="Sim",A998=$B$23),$B$37,0)</x:f>
        <x:v>0</x:v>
      </x:c>
      <x:c r="F998" s="141" t="n">
        <x:f>IF(AND($B$22="Sim",A998=$B$24),$B$27,0)</x:f>
        <x:v>0</x:v>
      </x:c>
      <x:c r="G998" s="141" t="n">
        <x:f>IF(AND($B$22="Sim",A998=$B$23),$B$35,0)</x:f>
        <x:v>0</x:v>
      </x:c>
      <x:c r="H998" s="141" t="n">
        <x:f>IF(AND($B$22="Sim",A998=$B$23),$B$36,0)</x:f>
        <x:v>0</x:v>
      </x:c>
      <x:c r="I998" s="141" t="n">
        <x:f>IF(OR($B$22&lt;&gt;"Sim",A998&gt;=$B$23+$B$31-1),0,(I999+C999)/(1+$B$9))</x:f>
        <x:v>0</x:v>
      </x:c>
      <x:c r="J998" s="140" t="str">
        <x:f>IF($B$22&lt;&gt;"Sim","Desativada",IF(A998&lt;$B$23,"Antes da compra",IF(A998&lt;$B$23+$B$31,"Parcelas restantes","Encerrado")))</x:f>
        <x:v>Encerrado</x:v>
      </x:c>
      <x:c r="K998" s="141" t="n">
        <x:f>IF(C998&gt;0,C998/(1+$B$9)^A998,0)</x:f>
        <x:v>0</x:v>
      </x:c>
    </x:row>
    <x:row r="999">
      <x:c r="A999" s="142" t="n">
        <x:v>945</x:v>
      </x:c>
      <x:c r="B999" s="179" t="n">
        <x:f>EDATE($B$5,A999-1)</x:f>
        <x:v>75273</x:v>
      </x:c>
      <x:c r="C999" s="141" t="n">
        <x:f>IF(AND($B$22="Sim",A999&gt;=$B$23,A999&lt;$B$23+$B$31),$B$32*D999,0)</x:f>
        <x:v>0</x:v>
      </x:c>
      <x:c r="D999" s="180" t="n">
        <x:f>IF(A999&lt;$B$23,1,(1+$B$33)^INT((A999-$B$23)/12))</x:f>
        <x:v>94.15805756685121</x:v>
      </x:c>
      <x:c r="E999" s="141" t="n">
        <x:f>IF(AND($B$22="Sim",A999=$B$23),$B$37,0)</x:f>
        <x:v>0</x:v>
      </x:c>
      <x:c r="F999" s="141" t="n">
        <x:f>IF(AND($B$22="Sim",A999=$B$24),$B$27,0)</x:f>
        <x:v>0</x:v>
      </x:c>
      <x:c r="G999" s="141" t="n">
        <x:f>IF(AND($B$22="Sim",A999=$B$23),$B$35,0)</x:f>
        <x:v>0</x:v>
      </x:c>
      <x:c r="H999" s="141" t="n">
        <x:f>IF(AND($B$22="Sim",A999=$B$23),$B$36,0)</x:f>
        <x:v>0</x:v>
      </x:c>
      <x:c r="I999" s="141" t="n">
        <x:f>IF(OR($B$22&lt;&gt;"Sim",A999&gt;=$B$23+$B$31-1),0,(I1000+C1000)/(1+$B$9))</x:f>
        <x:v>0</x:v>
      </x:c>
      <x:c r="J999" s="140" t="str">
        <x:f>IF($B$22&lt;&gt;"Sim","Desativada",IF(A999&lt;$B$23,"Antes da compra",IF(A999&lt;$B$23+$B$31,"Parcelas restantes","Encerrado")))</x:f>
        <x:v>Encerrado</x:v>
      </x:c>
      <x:c r="K999" s="141" t="n">
        <x:f>IF(C999&gt;0,C999/(1+$B$9)^A999,0)</x:f>
        <x:v>0</x:v>
      </x:c>
    </x:row>
    <x:row r="1000">
      <x:c r="A1000" s="142" t="n">
        <x:v>946</x:v>
      </x:c>
      <x:c r="B1000" s="179" t="n">
        <x:f>EDATE($B$5,A1000-1)</x:f>
        <x:v>75301</x:v>
      </x:c>
      <x:c r="C1000" s="141" t="n">
        <x:f>IF(AND($B$22="Sim",A1000&gt;=$B$23,A1000&lt;$B$23+$B$31),$B$32*D1000,0)</x:f>
        <x:v>0</x:v>
      </x:c>
      <x:c r="D1000" s="180" t="n">
        <x:f>IF(A1000&lt;$B$23,1,(1+$B$33)^INT((A1000-$B$23)/12))</x:f>
        <x:v>94.15805756685121</x:v>
      </x:c>
      <x:c r="E1000" s="141" t="n">
        <x:f>IF(AND($B$22="Sim",A1000=$B$23),$B$37,0)</x:f>
        <x:v>0</x:v>
      </x:c>
      <x:c r="F1000" s="141" t="n">
        <x:f>IF(AND($B$22="Sim",A1000=$B$24),$B$27,0)</x:f>
        <x:v>0</x:v>
      </x:c>
      <x:c r="G1000" s="141" t="n">
        <x:f>IF(AND($B$22="Sim",A1000=$B$23),$B$35,0)</x:f>
        <x:v>0</x:v>
      </x:c>
      <x:c r="H1000" s="141" t="n">
        <x:f>IF(AND($B$22="Sim",A1000=$B$23),$B$36,0)</x:f>
        <x:v>0</x:v>
      </x:c>
      <x:c r="I1000" s="141" t="n">
        <x:f>IF(OR($B$22&lt;&gt;"Sim",A1000&gt;=$B$23+$B$31-1),0,(I1001+C1001)/(1+$B$9))</x:f>
        <x:v>0</x:v>
      </x:c>
      <x:c r="J1000" s="140" t="str">
        <x:f>IF($B$22&lt;&gt;"Sim","Desativada",IF(A1000&lt;$B$23,"Antes da compra",IF(A1000&lt;$B$23+$B$31,"Parcelas restantes","Encerrado")))</x:f>
        <x:v>Encerrado</x:v>
      </x:c>
      <x:c r="K1000" s="141" t="n">
        <x:f>IF(C1000&gt;0,C1000/(1+$B$9)^A1000,0)</x:f>
        <x:v>0</x:v>
      </x:c>
    </x:row>
    <x:row r="1001">
      <x:c r="A1001" s="142" t="n">
        <x:v>947</x:v>
      </x:c>
      <x:c r="B1001" s="179" t="n">
        <x:f>EDATE($B$5,A1001-1)</x:f>
        <x:v>75332</x:v>
      </x:c>
      <x:c r="C1001" s="141" t="n">
        <x:f>IF(AND($B$22="Sim",A1001&gt;=$B$23,A1001&lt;$B$23+$B$31),$B$32*D1001,0)</x:f>
        <x:v>0</x:v>
      </x:c>
      <x:c r="D1001" s="180" t="n">
        <x:f>IF(A1001&lt;$B$23,1,(1+$B$33)^INT((A1001-$B$23)/12))</x:f>
        <x:v>94.15805756685121</x:v>
      </x:c>
      <x:c r="E1001" s="141" t="n">
        <x:f>IF(AND($B$22="Sim",A1001=$B$23),$B$37,0)</x:f>
        <x:v>0</x:v>
      </x:c>
      <x:c r="F1001" s="141" t="n">
        <x:f>IF(AND($B$22="Sim",A1001=$B$24),$B$27,0)</x:f>
        <x:v>0</x:v>
      </x:c>
      <x:c r="G1001" s="141" t="n">
        <x:f>IF(AND($B$22="Sim",A1001=$B$23),$B$35,0)</x:f>
        <x:v>0</x:v>
      </x:c>
      <x:c r="H1001" s="141" t="n">
        <x:f>IF(AND($B$22="Sim",A1001=$B$23),$B$36,0)</x:f>
        <x:v>0</x:v>
      </x:c>
      <x:c r="I1001" s="141" t="n">
        <x:f>IF(OR($B$22&lt;&gt;"Sim",A1001&gt;=$B$23+$B$31-1),0,(I1002+C1002)/(1+$B$9))</x:f>
        <x:v>0</x:v>
      </x:c>
      <x:c r="J1001" s="140" t="str">
        <x:f>IF($B$22&lt;&gt;"Sim","Desativada",IF(A1001&lt;$B$23,"Antes da compra",IF(A1001&lt;$B$23+$B$31,"Parcelas restantes","Encerrado")))</x:f>
        <x:v>Encerrado</x:v>
      </x:c>
      <x:c r="K1001" s="141" t="n">
        <x:f>IF(C1001&gt;0,C1001/(1+$B$9)^A1001,0)</x:f>
        <x:v>0</x:v>
      </x:c>
    </x:row>
    <x:row r="1002">
      <x:c r="A1002" s="142" t="n">
        <x:v>948</x:v>
      </x:c>
      <x:c r="B1002" s="179" t="n">
        <x:f>EDATE($B$5,A1002-1)</x:f>
        <x:v>75362</x:v>
      </x:c>
      <x:c r="C1002" s="141" t="n">
        <x:f>IF(AND($B$22="Sim",A1002&gt;=$B$23,A1002&lt;$B$23+$B$31),$B$32*D1002,0)</x:f>
        <x:v>0</x:v>
      </x:c>
      <x:c r="D1002" s="180" t="n">
        <x:f>IF(A1002&lt;$B$23,1,(1+$B$33)^INT((A1002-$B$23)/12))</x:f>
        <x:v>94.15805756685121</x:v>
      </x:c>
      <x:c r="E1002" s="141" t="n">
        <x:f>IF(AND($B$22="Sim",A1002=$B$23),$B$37,0)</x:f>
        <x:v>0</x:v>
      </x:c>
      <x:c r="F1002" s="141" t="n">
        <x:f>IF(AND($B$22="Sim",A1002=$B$24),$B$27,0)</x:f>
        <x:v>0</x:v>
      </x:c>
      <x:c r="G1002" s="141" t="n">
        <x:f>IF(AND($B$22="Sim",A1002=$B$23),$B$35,0)</x:f>
        <x:v>0</x:v>
      </x:c>
      <x:c r="H1002" s="141" t="n">
        <x:f>IF(AND($B$22="Sim",A1002=$B$23),$B$36,0)</x:f>
        <x:v>0</x:v>
      </x:c>
      <x:c r="I1002" s="141" t="n">
        <x:f>IF(OR($B$22&lt;&gt;"Sim",A1002&gt;=$B$23+$B$31-1),0,(I1003+C1003)/(1+$B$9))</x:f>
        <x:v>0</x:v>
      </x:c>
      <x:c r="J1002" s="140" t="str">
        <x:f>IF($B$22&lt;&gt;"Sim","Desativada",IF(A1002&lt;$B$23,"Antes da compra",IF(A1002&lt;$B$23+$B$31,"Parcelas restantes","Encerrado")))</x:f>
        <x:v>Encerrado</x:v>
      </x:c>
      <x:c r="K1002" s="141" t="n">
        <x:f>IF(C1002&gt;0,C1002/(1+$B$9)^A1002,0)</x:f>
        <x:v>0</x:v>
      </x:c>
    </x:row>
    <x:row r="1003">
      <x:c r="A1003" s="142" t="n">
        <x:v>949</x:v>
      </x:c>
      <x:c r="B1003" s="179" t="n">
        <x:f>EDATE($B$5,A1003-1)</x:f>
        <x:v>75393</x:v>
      </x:c>
      <x:c r="C1003" s="141" t="n">
        <x:f>IF(AND($B$22="Sim",A1003&gt;=$B$23,A1003&lt;$B$23+$B$31),$B$32*D1003,0)</x:f>
        <x:v>0</x:v>
      </x:c>
      <x:c r="D1003" s="180" t="n">
        <x:f>IF(A1003&lt;$B$23,1,(1+$B$33)^INT((A1003-$B$23)/12))</x:f>
        <x:v>99.8075410208623</x:v>
      </x:c>
      <x:c r="E1003" s="141" t="n">
        <x:f>IF(AND($B$22="Sim",A1003=$B$23),$B$37,0)</x:f>
        <x:v>0</x:v>
      </x:c>
      <x:c r="F1003" s="141" t="n">
        <x:f>IF(AND($B$22="Sim",A1003=$B$24),$B$27,0)</x:f>
        <x:v>0</x:v>
      </x:c>
      <x:c r="G1003" s="141" t="n">
        <x:f>IF(AND($B$22="Sim",A1003=$B$23),$B$35,0)</x:f>
        <x:v>0</x:v>
      </x:c>
      <x:c r="H1003" s="141" t="n">
        <x:f>IF(AND($B$22="Sim",A1003=$B$23),$B$36,0)</x:f>
        <x:v>0</x:v>
      </x:c>
      <x:c r="I1003" s="141" t="n">
        <x:f>IF(OR($B$22&lt;&gt;"Sim",A1003&gt;=$B$23+$B$31-1),0,(I1004+C1004)/(1+$B$9))</x:f>
        <x:v>0</x:v>
      </x:c>
      <x:c r="J1003" s="140" t="str">
        <x:f>IF($B$22&lt;&gt;"Sim","Desativada",IF(A1003&lt;$B$23,"Antes da compra",IF(A1003&lt;$B$23+$B$31,"Parcelas restantes","Encerrado")))</x:f>
        <x:v>Encerrado</x:v>
      </x:c>
      <x:c r="K1003" s="141" t="n">
        <x:f>IF(C1003&gt;0,C1003/(1+$B$9)^A1003,0)</x:f>
        <x:v>0</x:v>
      </x:c>
    </x:row>
    <x:row r="1004">
      <x:c r="A1004" s="142" t="n">
        <x:v>950</x:v>
      </x:c>
      <x:c r="B1004" s="179" t="n">
        <x:f>EDATE($B$5,A1004-1)</x:f>
        <x:v>75423</x:v>
      </x:c>
      <x:c r="C1004" s="141" t="n">
        <x:f>IF(AND($B$22="Sim",A1004&gt;=$B$23,A1004&lt;$B$23+$B$31),$B$32*D1004,0)</x:f>
        <x:v>0</x:v>
      </x:c>
      <x:c r="D1004" s="180" t="n">
        <x:f>IF(A1004&lt;$B$23,1,(1+$B$33)^INT((A1004-$B$23)/12))</x:f>
        <x:v>99.8075410208623</x:v>
      </x:c>
      <x:c r="E1004" s="141" t="n">
        <x:f>IF(AND($B$22="Sim",A1004=$B$23),$B$37,0)</x:f>
        <x:v>0</x:v>
      </x:c>
      <x:c r="F1004" s="141" t="n">
        <x:f>IF(AND($B$22="Sim",A1004=$B$24),$B$27,0)</x:f>
        <x:v>0</x:v>
      </x:c>
      <x:c r="G1004" s="141" t="n">
        <x:f>IF(AND($B$22="Sim",A1004=$B$23),$B$35,0)</x:f>
        <x:v>0</x:v>
      </x:c>
      <x:c r="H1004" s="141" t="n">
        <x:f>IF(AND($B$22="Sim",A1004=$B$23),$B$36,0)</x:f>
        <x:v>0</x:v>
      </x:c>
      <x:c r="I1004" s="141" t="n">
        <x:f>IF(OR($B$22&lt;&gt;"Sim",A1004&gt;=$B$23+$B$31-1),0,(I1005+C1005)/(1+$B$9))</x:f>
        <x:v>0</x:v>
      </x:c>
      <x:c r="J1004" s="140" t="str">
        <x:f>IF($B$22&lt;&gt;"Sim","Desativada",IF(A1004&lt;$B$23,"Antes da compra",IF(A1004&lt;$B$23+$B$31,"Parcelas restantes","Encerrado")))</x:f>
        <x:v>Encerrado</x:v>
      </x:c>
      <x:c r="K1004" s="141" t="n">
        <x:f>IF(C1004&gt;0,C1004/(1+$B$9)^A1004,0)</x:f>
        <x:v>0</x:v>
      </x:c>
    </x:row>
    <x:row r="1005">
      <x:c r="A1005" s="142" t="n">
        <x:v>951</x:v>
      </x:c>
      <x:c r="B1005" s="179" t="n">
        <x:f>EDATE($B$5,A1005-1)</x:f>
        <x:v>75454</x:v>
      </x:c>
      <x:c r="C1005" s="141" t="n">
        <x:f>IF(AND($B$22="Sim",A1005&gt;=$B$23,A1005&lt;$B$23+$B$31),$B$32*D1005,0)</x:f>
        <x:v>0</x:v>
      </x:c>
      <x:c r="D1005" s="180" t="n">
        <x:f>IF(A1005&lt;$B$23,1,(1+$B$33)^INT((A1005-$B$23)/12))</x:f>
        <x:v>99.8075410208623</x:v>
      </x:c>
      <x:c r="E1005" s="141" t="n">
        <x:f>IF(AND($B$22="Sim",A1005=$B$23),$B$37,0)</x:f>
        <x:v>0</x:v>
      </x:c>
      <x:c r="F1005" s="141" t="n">
        <x:f>IF(AND($B$22="Sim",A1005=$B$24),$B$27,0)</x:f>
        <x:v>0</x:v>
      </x:c>
      <x:c r="G1005" s="141" t="n">
        <x:f>IF(AND($B$22="Sim",A1005=$B$23),$B$35,0)</x:f>
        <x:v>0</x:v>
      </x:c>
      <x:c r="H1005" s="141" t="n">
        <x:f>IF(AND($B$22="Sim",A1005=$B$23),$B$36,0)</x:f>
        <x:v>0</x:v>
      </x:c>
      <x:c r="I1005" s="141" t="n">
        <x:f>IF(OR($B$22&lt;&gt;"Sim",A1005&gt;=$B$23+$B$31-1),0,(I1006+C1006)/(1+$B$9))</x:f>
        <x:v>0</x:v>
      </x:c>
      <x:c r="J1005" s="140" t="str">
        <x:f>IF($B$22&lt;&gt;"Sim","Desativada",IF(A1005&lt;$B$23,"Antes da compra",IF(A1005&lt;$B$23+$B$31,"Parcelas restantes","Encerrado")))</x:f>
        <x:v>Encerrado</x:v>
      </x:c>
      <x:c r="K1005" s="141" t="n">
        <x:f>IF(C1005&gt;0,C1005/(1+$B$9)^A1005,0)</x:f>
        <x:v>0</x:v>
      </x:c>
    </x:row>
    <x:row r="1006">
      <x:c r="A1006" s="142" t="n">
        <x:v>952</x:v>
      </x:c>
      <x:c r="B1006" s="179" t="n">
        <x:f>EDATE($B$5,A1006-1)</x:f>
        <x:v>75485</x:v>
      </x:c>
      <x:c r="C1006" s="141" t="n">
        <x:f>IF(AND($B$22="Sim",A1006&gt;=$B$23,A1006&lt;$B$23+$B$31),$B$32*D1006,0)</x:f>
        <x:v>0</x:v>
      </x:c>
      <x:c r="D1006" s="180" t="n">
        <x:f>IF(A1006&lt;$B$23,1,(1+$B$33)^INT((A1006-$B$23)/12))</x:f>
        <x:v>99.8075410208623</x:v>
      </x:c>
      <x:c r="E1006" s="141" t="n">
        <x:f>IF(AND($B$22="Sim",A1006=$B$23),$B$37,0)</x:f>
        <x:v>0</x:v>
      </x:c>
      <x:c r="F1006" s="141" t="n">
        <x:f>IF(AND($B$22="Sim",A1006=$B$24),$B$27,0)</x:f>
        <x:v>0</x:v>
      </x:c>
      <x:c r="G1006" s="141" t="n">
        <x:f>IF(AND($B$22="Sim",A1006=$B$23),$B$35,0)</x:f>
        <x:v>0</x:v>
      </x:c>
      <x:c r="H1006" s="141" t="n">
        <x:f>IF(AND($B$22="Sim",A1006=$B$23),$B$36,0)</x:f>
        <x:v>0</x:v>
      </x:c>
      <x:c r="I1006" s="141" t="n">
        <x:f>IF(OR($B$22&lt;&gt;"Sim",A1006&gt;=$B$23+$B$31-1),0,(I1007+C1007)/(1+$B$9))</x:f>
        <x:v>0</x:v>
      </x:c>
      <x:c r="J1006" s="140" t="str">
        <x:f>IF($B$22&lt;&gt;"Sim","Desativada",IF(A1006&lt;$B$23,"Antes da compra",IF(A1006&lt;$B$23+$B$31,"Parcelas restantes","Encerrado")))</x:f>
        <x:v>Encerrado</x:v>
      </x:c>
      <x:c r="K1006" s="141" t="n">
        <x:f>IF(C1006&gt;0,C1006/(1+$B$9)^A1006,0)</x:f>
        <x:v>0</x:v>
      </x:c>
    </x:row>
    <x:row r="1007">
      <x:c r="A1007" s="142" t="n">
        <x:v>953</x:v>
      </x:c>
      <x:c r="B1007" s="179" t="n">
        <x:f>EDATE($B$5,A1007-1)</x:f>
        <x:v>75515</x:v>
      </x:c>
      <x:c r="C1007" s="141" t="n">
        <x:f>IF(AND($B$22="Sim",A1007&gt;=$B$23,A1007&lt;$B$23+$B$31),$B$32*D1007,0)</x:f>
        <x:v>0</x:v>
      </x:c>
      <x:c r="D1007" s="180" t="n">
        <x:f>IF(A1007&lt;$B$23,1,(1+$B$33)^INT((A1007-$B$23)/12))</x:f>
        <x:v>99.8075410208623</x:v>
      </x:c>
      <x:c r="E1007" s="141" t="n">
        <x:f>IF(AND($B$22="Sim",A1007=$B$23),$B$37,0)</x:f>
        <x:v>0</x:v>
      </x:c>
      <x:c r="F1007" s="141" t="n">
        <x:f>IF(AND($B$22="Sim",A1007=$B$24),$B$27,0)</x:f>
        <x:v>0</x:v>
      </x:c>
      <x:c r="G1007" s="141" t="n">
        <x:f>IF(AND($B$22="Sim",A1007=$B$23),$B$35,0)</x:f>
        <x:v>0</x:v>
      </x:c>
      <x:c r="H1007" s="141" t="n">
        <x:f>IF(AND($B$22="Sim",A1007=$B$23),$B$36,0)</x:f>
        <x:v>0</x:v>
      </x:c>
      <x:c r="I1007" s="141" t="n">
        <x:f>IF(OR($B$22&lt;&gt;"Sim",A1007&gt;=$B$23+$B$31-1),0,(I1008+C1008)/(1+$B$9))</x:f>
        <x:v>0</x:v>
      </x:c>
      <x:c r="J1007" s="140" t="str">
        <x:f>IF($B$22&lt;&gt;"Sim","Desativada",IF(A1007&lt;$B$23,"Antes da compra",IF(A1007&lt;$B$23+$B$31,"Parcelas restantes","Encerrado")))</x:f>
        <x:v>Encerrado</x:v>
      </x:c>
      <x:c r="K1007" s="141" t="n">
        <x:f>IF(C1007&gt;0,C1007/(1+$B$9)^A1007,0)</x:f>
        <x:v>0</x:v>
      </x:c>
    </x:row>
    <x:row r="1008">
      <x:c r="A1008" s="142" t="n">
        <x:v>954</x:v>
      </x:c>
      <x:c r="B1008" s="179" t="n">
        <x:f>EDATE($B$5,A1008-1)</x:f>
        <x:v>75546</x:v>
      </x:c>
      <x:c r="C1008" s="141" t="n">
        <x:f>IF(AND($B$22="Sim",A1008&gt;=$B$23,A1008&lt;$B$23+$B$31),$B$32*D1008,0)</x:f>
        <x:v>0</x:v>
      </x:c>
      <x:c r="D1008" s="180" t="n">
        <x:f>IF(A1008&lt;$B$23,1,(1+$B$33)^INT((A1008-$B$23)/12))</x:f>
        <x:v>99.8075410208623</x:v>
      </x:c>
      <x:c r="E1008" s="141" t="n">
        <x:f>IF(AND($B$22="Sim",A1008=$B$23),$B$37,0)</x:f>
        <x:v>0</x:v>
      </x:c>
      <x:c r="F1008" s="141" t="n">
        <x:f>IF(AND($B$22="Sim",A1008=$B$24),$B$27,0)</x:f>
        <x:v>0</x:v>
      </x:c>
      <x:c r="G1008" s="141" t="n">
        <x:f>IF(AND($B$22="Sim",A1008=$B$23),$B$35,0)</x:f>
        <x:v>0</x:v>
      </x:c>
      <x:c r="H1008" s="141" t="n">
        <x:f>IF(AND($B$22="Sim",A1008=$B$23),$B$36,0)</x:f>
        <x:v>0</x:v>
      </x:c>
      <x:c r="I1008" s="141" t="n">
        <x:f>IF(OR($B$22&lt;&gt;"Sim",A1008&gt;=$B$23+$B$31-1),0,(I1009+C1009)/(1+$B$9))</x:f>
        <x:v>0</x:v>
      </x:c>
      <x:c r="J1008" s="140" t="str">
        <x:f>IF($B$22&lt;&gt;"Sim","Desativada",IF(A1008&lt;$B$23,"Antes da compra",IF(A1008&lt;$B$23+$B$31,"Parcelas restantes","Encerrado")))</x:f>
        <x:v>Encerrado</x:v>
      </x:c>
      <x:c r="K1008" s="141" t="n">
        <x:f>IF(C1008&gt;0,C1008/(1+$B$9)^A1008,0)</x:f>
        <x:v>0</x:v>
      </x:c>
    </x:row>
    <x:row r="1009">
      <x:c r="A1009" s="142" t="n">
        <x:v>955</x:v>
      </x:c>
      <x:c r="B1009" s="179" t="n">
        <x:f>EDATE($B$5,A1009-1)</x:f>
        <x:v>75576</x:v>
      </x:c>
      <x:c r="C1009" s="141" t="n">
        <x:f>IF(AND($B$22="Sim",A1009&gt;=$B$23,A1009&lt;$B$23+$B$31),$B$32*D1009,0)</x:f>
        <x:v>0</x:v>
      </x:c>
      <x:c r="D1009" s="180" t="n">
        <x:f>IF(A1009&lt;$B$23,1,(1+$B$33)^INT((A1009-$B$23)/12))</x:f>
        <x:v>99.8075410208623</x:v>
      </x:c>
      <x:c r="E1009" s="141" t="n">
        <x:f>IF(AND($B$22="Sim",A1009=$B$23),$B$37,0)</x:f>
        <x:v>0</x:v>
      </x:c>
      <x:c r="F1009" s="141" t="n">
        <x:f>IF(AND($B$22="Sim",A1009=$B$24),$B$27,0)</x:f>
        <x:v>0</x:v>
      </x:c>
      <x:c r="G1009" s="141" t="n">
        <x:f>IF(AND($B$22="Sim",A1009=$B$23),$B$35,0)</x:f>
        <x:v>0</x:v>
      </x:c>
      <x:c r="H1009" s="141" t="n">
        <x:f>IF(AND($B$22="Sim",A1009=$B$23),$B$36,0)</x:f>
        <x:v>0</x:v>
      </x:c>
      <x:c r="I1009" s="141" t="n">
        <x:f>IF(OR($B$22&lt;&gt;"Sim",A1009&gt;=$B$23+$B$31-1),0,(I1010+C1010)/(1+$B$9))</x:f>
        <x:v>0</x:v>
      </x:c>
      <x:c r="J1009" s="140" t="str">
        <x:f>IF($B$22&lt;&gt;"Sim","Desativada",IF(A1009&lt;$B$23,"Antes da compra",IF(A1009&lt;$B$23+$B$31,"Parcelas restantes","Encerrado")))</x:f>
        <x:v>Encerrado</x:v>
      </x:c>
      <x:c r="K1009" s="141" t="n">
        <x:f>IF(C1009&gt;0,C1009/(1+$B$9)^A1009,0)</x:f>
        <x:v>0</x:v>
      </x:c>
    </x:row>
    <x:row r="1010">
      <x:c r="A1010" s="142" t="n">
        <x:v>956</x:v>
      </x:c>
      <x:c r="B1010" s="179" t="n">
        <x:f>EDATE($B$5,A1010-1)</x:f>
        <x:v>75607</x:v>
      </x:c>
      <x:c r="C1010" s="141" t="n">
        <x:f>IF(AND($B$22="Sim",A1010&gt;=$B$23,A1010&lt;$B$23+$B$31),$B$32*D1010,0)</x:f>
        <x:v>0</x:v>
      </x:c>
      <x:c r="D1010" s="180" t="n">
        <x:f>IF(A1010&lt;$B$23,1,(1+$B$33)^INT((A1010-$B$23)/12))</x:f>
        <x:v>99.8075410208623</x:v>
      </x:c>
      <x:c r="E1010" s="141" t="n">
        <x:f>IF(AND($B$22="Sim",A1010=$B$23),$B$37,0)</x:f>
        <x:v>0</x:v>
      </x:c>
      <x:c r="F1010" s="141" t="n">
        <x:f>IF(AND($B$22="Sim",A1010=$B$24),$B$27,0)</x:f>
        <x:v>0</x:v>
      </x:c>
      <x:c r="G1010" s="141" t="n">
        <x:f>IF(AND($B$22="Sim",A1010=$B$23),$B$35,0)</x:f>
        <x:v>0</x:v>
      </x:c>
      <x:c r="H1010" s="141" t="n">
        <x:f>IF(AND($B$22="Sim",A1010=$B$23),$B$36,0)</x:f>
        <x:v>0</x:v>
      </x:c>
      <x:c r="I1010" s="141" t="n">
        <x:f>IF(OR($B$22&lt;&gt;"Sim",A1010&gt;=$B$23+$B$31-1),0,(I1011+C1011)/(1+$B$9))</x:f>
        <x:v>0</x:v>
      </x:c>
      <x:c r="J1010" s="140" t="str">
        <x:f>IF($B$22&lt;&gt;"Sim","Desativada",IF(A1010&lt;$B$23,"Antes da compra",IF(A1010&lt;$B$23+$B$31,"Parcelas restantes","Encerrado")))</x:f>
        <x:v>Encerrado</x:v>
      </x:c>
      <x:c r="K1010" s="141" t="n">
        <x:f>IF(C1010&gt;0,C1010/(1+$B$9)^A1010,0)</x:f>
        <x:v>0</x:v>
      </x:c>
    </x:row>
    <x:row r="1011">
      <x:c r="A1011" s="142" t="n">
        <x:v>957</x:v>
      </x:c>
      <x:c r="B1011" s="179" t="n">
        <x:f>EDATE($B$5,A1011-1)</x:f>
        <x:v>75638</x:v>
      </x:c>
      <x:c r="C1011" s="141" t="n">
        <x:f>IF(AND($B$22="Sim",A1011&gt;=$B$23,A1011&lt;$B$23+$B$31),$B$32*D1011,0)</x:f>
        <x:v>0</x:v>
      </x:c>
      <x:c r="D1011" s="180" t="n">
        <x:f>IF(A1011&lt;$B$23,1,(1+$B$33)^INT((A1011-$B$23)/12))</x:f>
        <x:v>99.8075410208623</x:v>
      </x:c>
      <x:c r="E1011" s="141" t="n">
        <x:f>IF(AND($B$22="Sim",A1011=$B$23),$B$37,0)</x:f>
        <x:v>0</x:v>
      </x:c>
      <x:c r="F1011" s="141" t="n">
        <x:f>IF(AND($B$22="Sim",A1011=$B$24),$B$27,0)</x:f>
        <x:v>0</x:v>
      </x:c>
      <x:c r="G1011" s="141" t="n">
        <x:f>IF(AND($B$22="Sim",A1011=$B$23),$B$35,0)</x:f>
        <x:v>0</x:v>
      </x:c>
      <x:c r="H1011" s="141" t="n">
        <x:f>IF(AND($B$22="Sim",A1011=$B$23),$B$36,0)</x:f>
        <x:v>0</x:v>
      </x:c>
      <x:c r="I1011" s="141" t="n">
        <x:f>IF(OR($B$22&lt;&gt;"Sim",A1011&gt;=$B$23+$B$31-1),0,(I1012+C1012)/(1+$B$9))</x:f>
        <x:v>0</x:v>
      </x:c>
      <x:c r="J1011" s="140" t="str">
        <x:f>IF($B$22&lt;&gt;"Sim","Desativada",IF(A1011&lt;$B$23,"Antes da compra",IF(A1011&lt;$B$23+$B$31,"Parcelas restantes","Encerrado")))</x:f>
        <x:v>Encerrado</x:v>
      </x:c>
      <x:c r="K1011" s="141" t="n">
        <x:f>IF(C1011&gt;0,C1011/(1+$B$9)^A1011,0)</x:f>
        <x:v>0</x:v>
      </x:c>
    </x:row>
    <x:row r="1012">
      <x:c r="A1012" s="142" t="n">
        <x:v>958</x:v>
      </x:c>
      <x:c r="B1012" s="179" t="n">
        <x:f>EDATE($B$5,A1012-1)</x:f>
        <x:v>75666</x:v>
      </x:c>
      <x:c r="C1012" s="141" t="n">
        <x:f>IF(AND($B$22="Sim",A1012&gt;=$B$23,A1012&lt;$B$23+$B$31),$B$32*D1012,0)</x:f>
        <x:v>0</x:v>
      </x:c>
      <x:c r="D1012" s="180" t="n">
        <x:f>IF(A1012&lt;$B$23,1,(1+$B$33)^INT((A1012-$B$23)/12))</x:f>
        <x:v>99.8075410208623</x:v>
      </x:c>
      <x:c r="E1012" s="141" t="n">
        <x:f>IF(AND($B$22="Sim",A1012=$B$23),$B$37,0)</x:f>
        <x:v>0</x:v>
      </x:c>
      <x:c r="F1012" s="141" t="n">
        <x:f>IF(AND($B$22="Sim",A1012=$B$24),$B$27,0)</x:f>
        <x:v>0</x:v>
      </x:c>
      <x:c r="G1012" s="141" t="n">
        <x:f>IF(AND($B$22="Sim",A1012=$B$23),$B$35,0)</x:f>
        <x:v>0</x:v>
      </x:c>
      <x:c r="H1012" s="141" t="n">
        <x:f>IF(AND($B$22="Sim",A1012=$B$23),$B$36,0)</x:f>
        <x:v>0</x:v>
      </x:c>
      <x:c r="I1012" s="141" t="n">
        <x:f>IF(OR($B$22&lt;&gt;"Sim",A1012&gt;=$B$23+$B$31-1),0,(I1013+C1013)/(1+$B$9))</x:f>
        <x:v>0</x:v>
      </x:c>
      <x:c r="J1012" s="140" t="str">
        <x:f>IF($B$22&lt;&gt;"Sim","Desativada",IF(A1012&lt;$B$23,"Antes da compra",IF(A1012&lt;$B$23+$B$31,"Parcelas restantes","Encerrado")))</x:f>
        <x:v>Encerrado</x:v>
      </x:c>
      <x:c r="K1012" s="141" t="n">
        <x:f>IF(C1012&gt;0,C1012/(1+$B$9)^A1012,0)</x:f>
        <x:v>0</x:v>
      </x:c>
    </x:row>
    <x:row r="1013">
      <x:c r="A1013" s="142" t="n">
        <x:v>959</x:v>
      </x:c>
      <x:c r="B1013" s="179" t="n">
        <x:f>EDATE($B$5,A1013-1)</x:f>
        <x:v>75697</x:v>
      </x:c>
      <x:c r="C1013" s="141" t="n">
        <x:f>IF(AND($B$22="Sim",A1013&gt;=$B$23,A1013&lt;$B$23+$B$31),$B$32*D1013,0)</x:f>
        <x:v>0</x:v>
      </x:c>
      <x:c r="D1013" s="180" t="n">
        <x:f>IF(A1013&lt;$B$23,1,(1+$B$33)^INT((A1013-$B$23)/12))</x:f>
        <x:v>99.8075410208623</x:v>
      </x:c>
      <x:c r="E1013" s="141" t="n">
        <x:f>IF(AND($B$22="Sim",A1013=$B$23),$B$37,0)</x:f>
        <x:v>0</x:v>
      </x:c>
      <x:c r="F1013" s="141" t="n">
        <x:f>IF(AND($B$22="Sim",A1013=$B$24),$B$27,0)</x:f>
        <x:v>0</x:v>
      </x:c>
      <x:c r="G1013" s="141" t="n">
        <x:f>IF(AND($B$22="Sim",A1013=$B$23),$B$35,0)</x:f>
        <x:v>0</x:v>
      </x:c>
      <x:c r="H1013" s="141" t="n">
        <x:f>IF(AND($B$22="Sim",A1013=$B$23),$B$36,0)</x:f>
        <x:v>0</x:v>
      </x:c>
      <x:c r="I1013" s="141" t="n">
        <x:f>0</x:f>
        <x:v>0</x:v>
      </x:c>
      <x:c r="J1013" s="140" t="str">
        <x:f>IF($B$22&lt;&gt;"Sim","Desativada",IF(A1013&lt;$B$23,"Antes da compra",IF(A1013&lt;$B$23+$B$31,"Parcelas restantes","Encerrado")))</x:f>
        <x:v>Encerrado</x:v>
      </x:c>
      <x:c r="K1013" s="141" t="n">
        <x:f>IF(C1013&gt;0,C1013/(1+$B$9)^A1013,0)</x:f>
        <x:v>0</x:v>
      </x:c>
    </x:row>
  </x:sheetData>
  <x:mergeCells>
    <x:mergeCell ref="A1:K1"/>
    <x:mergeCell ref="A3:E3"/>
    <x:mergeCell ref="A22:E22"/>
    <x:mergeCell ref="G3:J3"/>
    <x:mergeCell ref="D4:E4"/>
    <x:mergeCell ref="D5:E5"/>
    <x:mergeCell ref="D6:E6"/>
    <x:mergeCell ref="D7:E7"/>
    <x:mergeCell ref="D8:E8"/>
    <x:mergeCell ref="D9:E9"/>
    <x:mergeCell ref="D22:E22"/>
    <x:mergeCell ref="D23:E23"/>
    <x:mergeCell ref="D24:E24"/>
    <x:mergeCell ref="D25:E25"/>
    <x:mergeCell ref="D26:E26"/>
    <x:mergeCell ref="D27:E27"/>
    <x:mergeCell ref="D28:E28"/>
    <x:mergeCell ref="D29:E29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D41:E41"/>
    <x:mergeCell ref="D42:E42"/>
    <x:mergeCell ref="D43:E43"/>
    <x:mergeCell ref="D44:E44"/>
  </x:mergeCells>
  <x:dataValidations count="1">
    <x:dataValidation type="list" sqref="B22">
      <x:formula1>"Sim,Nao"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1.5" hidden="0" customWidth="1"/>
    <x:col min="3" max="3" width="14.75" hidden="0" customWidth="1"/>
    <x:col min="4" max="4" width="16" hidden="0" customWidth="1"/>
    <x:col min="5" max="5" width="17.75" hidden="0" customWidth="1"/>
    <x:col min="6" max="6" width="16.25" hidden="0" customWidth="1"/>
    <x:col min="7" max="7" width="17.25" hidden="0" customWidth="1"/>
    <x:col min="8" max="8" width="15.25" hidden="0" customWidth="1"/>
    <x:col min="9" max="9" width="15.25" hidden="0" customWidth="1"/>
    <x:col min="10" max="10" width="15.25" hidden="0" customWidth="1"/>
    <x:col min="11" max="11" width="15.25" hidden="0" customWidth="1"/>
    <x:col min="12" max="12" width="15.25" hidden="0" customWidth="1"/>
    <x:col min="13" max="13" width="15.25" hidden="0" customWidth="1"/>
    <x:col min="14" max="14" width="15.25" hidden="0" customWidth="1"/>
    <x:col min="15" max="15" width="15.25" hidden="0" customWidth="1"/>
    <x:col min="16" max="16" width="15.25" hidden="0" customWidth="1"/>
    <x:col min="17" max="17" width="15.25" hidden="0" customWidth="1"/>
    <x:col min="18" max="18" width="15.25" hidden="0" customWidth="1"/>
    <x:col min="19" max="19" width="15.25" hidden="0" customWidth="1"/>
    <x:col min="20" max="20" width="15.25" hidden="0" customWidth="1"/>
    <x:col min="21" max="21" width="15.25" hidden="0" customWidth="1"/>
    <x:col min="22" max="22" width="15.25" hidden="0" customWidth="1"/>
    <x:col min="23" max="23" width="14.75" hidden="0" customWidth="1"/>
    <x:col min="24" max="24" width="15.25" hidden="0" customWidth="1"/>
    <x:col min="25" max="25" width="15.25" hidden="0" customWidth="1"/>
    <x:col min="26" max="26" width="15.25" hidden="0" customWidth="1"/>
    <x:col min="27" max="27" width="15.25" hidden="0" customWidth="1"/>
    <x:col min="28" max="28" width="15.25" hidden="0" customWidth="1"/>
    <x:col min="29" max="29" width="15.25" hidden="0" customWidth="1"/>
    <x:col min="30" max="30" width="15.25" hidden="0" customWidth="1"/>
    <x:col min="31" max="31" width="15.25" hidden="0" customWidth="1"/>
    <x:col min="32" max="32" width="15.25" hidden="0" customWidth="1"/>
    <x:col min="33" max="33" width="15.25" hidden="0" customWidth="1"/>
    <x:col min="34" max="34" width="15.25" hidden="0" customWidth="1"/>
    <x:col min="35" max="35" width="15.25" hidden="0" customWidth="1"/>
    <x:col min="36" max="36" width="15.25" hidden="0" customWidth="1"/>
    <x:col min="37" max="37" width="15.25" hidden="0" customWidth="1"/>
    <x:col min="38" max="38" width="15.25" hidden="0" customWidth="1"/>
    <x:col min="39" max="39" width="14.75" hidden="0" customWidth="1"/>
    <x:col min="40" max="40" width="15.25" hidden="0" customWidth="1"/>
    <x:col min="41" max="41" width="15.25" hidden="0" customWidth="1"/>
    <x:col min="42" max="42" width="15.25" hidden="0" customWidth="1"/>
    <x:col min="43" max="43" width="15.25" hidden="0" customWidth="1"/>
    <x:col min="44" max="44" width="15.25" hidden="0" customWidth="1"/>
    <x:col min="45" max="45" width="15.25" hidden="0" customWidth="1"/>
    <x:col min="46" max="46" width="15.25" hidden="0" customWidth="1"/>
    <x:col min="47" max="47" width="15.25" hidden="0" customWidth="1"/>
    <x:col min="48" max="48" width="15.25" hidden="0" customWidth="1"/>
    <x:col min="49" max="49" width="15.25" hidden="0" customWidth="1"/>
    <x:col min="50" max="50" width="15.25" hidden="0" customWidth="1"/>
    <x:col min="51" max="51" width="15.25" hidden="0" customWidth="1"/>
    <x:col min="52" max="52" width="15.25" hidden="0" customWidth="1"/>
    <x:col min="53" max="53" width="15.25" hidden="0" customWidth="1"/>
    <x:col min="54" max="54" width="15.25" hidden="0" customWidth="1"/>
    <x:col min="55" max="55" width="14.75" hidden="0" customWidth="1"/>
    <x:col min="56" max="56" width="15.25" hidden="0" customWidth="1"/>
    <x:col min="57" max="57" width="15.25" hidden="0" customWidth="1"/>
    <x:col min="58" max="58" width="15.25" hidden="0" customWidth="1"/>
    <x:col min="59" max="59" width="15.25" hidden="0" customWidth="1"/>
    <x:col min="60" max="60" width="15.25" hidden="0" customWidth="1"/>
    <x:col min="61" max="61" width="15.25" hidden="0" customWidth="1"/>
    <x:col min="62" max="62" width="15.25" hidden="0" customWidth="1"/>
    <x:col min="63" max="63" width="15.25" hidden="0" customWidth="1"/>
    <x:col min="64" max="64" width="15.25" hidden="0" customWidth="1"/>
    <x:col min="65" max="65" width="15.25" hidden="0" customWidth="1"/>
    <x:col min="66" max="66" width="15.25" hidden="0" customWidth="1"/>
    <x:col min="67" max="67" width="15.25" hidden="0" customWidth="1"/>
    <x:col min="68" max="68" width="15.25" hidden="0" customWidth="1"/>
    <x:col min="69" max="69" width="15.25" hidden="0" customWidth="1"/>
    <x:col min="70" max="70" width="15.25" hidden="0" customWidth="1"/>
    <x:col min="71" max="71" width="14.75" hidden="0" customWidth="1"/>
    <x:col min="72" max="72" width="15.25" hidden="0" customWidth="1"/>
    <x:col min="73" max="73" width="15.25" hidden="0" customWidth="1"/>
    <x:col min="74" max="74" width="15.25" hidden="0" customWidth="1"/>
    <x:col min="75" max="75" width="15.25" hidden="0" customWidth="1"/>
    <x:col min="76" max="76" width="15.25" hidden="0" customWidth="1"/>
    <x:col min="77" max="77" width="15.25" hidden="0" customWidth="1"/>
    <x:col min="78" max="78" width="15.25" hidden="0" customWidth="1"/>
    <x:col min="79" max="79" width="15.25" hidden="0" customWidth="1"/>
    <x:col min="80" max="80" width="15.25" hidden="0" customWidth="1"/>
    <x:col min="81" max="81" width="15.25" hidden="0" customWidth="1"/>
    <x:col min="82" max="82" width="15.25" hidden="0" customWidth="1"/>
    <x:col min="83" max="83" width="15.25" hidden="0" customWidth="1"/>
    <x:col min="84" max="84" width="15.25" hidden="0" customWidth="1"/>
    <x:col min="85" max="85" width="15.25" hidden="0" customWidth="1"/>
    <x:col min="86" max="86" width="15.25" hidden="0" customWidth="1"/>
    <x:col min="87" max="87" width="14.75" hidden="0" customWidth="1"/>
  </x:cols>
  <x:sheetData>
    <x:row r="1" ht="25.5" customHeight="1">
      <x:c r="A1" s="189" t="str">
        <x:v>Motor mensal de caixa e patrimonio</x:v>
      </x:c>
      <x:c r="B1" s="190" t="str">
        <x:v>Motor mensal de caixa e patrimonio</x:v>
      </x:c>
      <x:c r="C1" s="190" t="str">
        <x:v>Motor mensal de caixa e patrimonio</x:v>
      </x:c>
      <x:c r="D1" s="190" t="str">
        <x:v>Motor mensal de caixa e patrimonio</x:v>
      </x:c>
      <x:c r="E1" s="190" t="str">
        <x:v>Motor mensal de caixa e patrimonio</x:v>
      </x:c>
      <x:c r="F1" s="190" t="str">
        <x:v>Motor mensal de caixa e patrimonio</x:v>
      </x:c>
      <x:c r="G1" s="190" t="str">
        <x:v>Motor mensal de caixa e patrimonio</x:v>
      </x:c>
      <x:c r="H1" s="190" t="str">
        <x:v>Motor mensal de caixa e patrimonio</x:v>
      </x:c>
      <x:c r="I1" s="190" t="str">
        <x:v>Motor mensal de caixa e patrimonio</x:v>
      </x:c>
      <x:c r="J1" s="190" t="str">
        <x:v>Motor mensal de caixa e patrimonio</x:v>
      </x:c>
      <x:c r="K1" s="190" t="str">
        <x:v>Motor mensal de caixa e patrimonio</x:v>
      </x:c>
      <x:c r="L1" s="190" t="str">
        <x:v>Motor mensal de caixa e patrimonio</x:v>
      </x:c>
      <x:c r="M1" s="190" t="str">
        <x:v>Motor mensal de caixa e patrimonio</x:v>
      </x:c>
      <x:c r="N1" s="190" t="str">
        <x:v>Motor mensal de caixa e patrimonio</x:v>
      </x:c>
      <x:c r="O1" s="190" t="str">
        <x:v>Motor mensal de caixa e patrimonio</x:v>
      </x:c>
      <x:c r="P1" s="190" t="str">
        <x:v>Motor mensal de caixa e patrimonio</x:v>
      </x:c>
      <x:c r="Q1" s="190" t="str">
        <x:v>Motor mensal de caixa e patrimonio</x:v>
      </x:c>
      <x:c r="R1" s="190" t="str">
        <x:v>Motor mensal de caixa e patrimonio</x:v>
      </x:c>
      <x:c r="S1" s="190" t="str">
        <x:v>Motor mensal de caixa e patrimonio</x:v>
      </x:c>
      <x:c r="T1" s="190" t="str">
        <x:v>Motor mensal de caixa e patrimonio</x:v>
      </x:c>
      <x:c r="U1" s="190" t="str">
        <x:v>Motor mensal de caixa e patrimonio</x:v>
      </x:c>
      <x:c r="V1" s="190" t="str">
        <x:v>Motor mensal de caixa e patrimonio</x:v>
      </x:c>
      <x:c r="W1" s="190" t="str">
        <x:v>Motor mensal de caixa e patrimonio</x:v>
      </x:c>
      <x:c r="X1" s="190" t="str">
        <x:v>Motor mensal de caixa e patrimonio</x:v>
      </x:c>
      <x:c r="Y1" s="190" t="str">
        <x:v>Motor mensal de caixa e patrimonio</x:v>
      </x:c>
      <x:c r="Z1" s="190" t="str">
        <x:v>Motor mensal de caixa e patrimonio</x:v>
      </x:c>
      <x:c r="AA1" s="190" t="str">
        <x:v>Motor mensal de caixa e patrimonio</x:v>
      </x:c>
      <x:c r="AB1" s="190" t="str">
        <x:v>Motor mensal de caixa e patrimonio</x:v>
      </x:c>
      <x:c r="AC1" s="190" t="str">
        <x:v>Motor mensal de caixa e patrimonio</x:v>
      </x:c>
      <x:c r="AD1" s="190" t="str">
        <x:v>Motor mensal de caixa e patrimonio</x:v>
      </x:c>
      <x:c r="AE1" s="190" t="str">
        <x:v>Motor mensal de caixa e patrimonio</x:v>
      </x:c>
      <x:c r="AF1" s="190" t="str">
        <x:v>Motor mensal de caixa e patrimonio</x:v>
      </x:c>
      <x:c r="AG1" s="190" t="str">
        <x:v>Motor mensal de caixa e patrimonio</x:v>
      </x:c>
      <x:c r="AH1" s="190" t="str">
        <x:v>Motor mensal de caixa e patrimonio</x:v>
      </x:c>
      <x:c r="AI1" s="190" t="str">
        <x:v>Motor mensal de caixa e patrimonio</x:v>
      </x:c>
      <x:c r="AJ1" s="190" t="str">
        <x:v>Motor mensal de caixa e patrimonio</x:v>
      </x:c>
      <x:c r="AK1" s="190" t="str">
        <x:v>Motor mensal de caixa e patrimonio</x:v>
      </x:c>
      <x:c r="AL1" s="190" t="str">
        <x:v>Motor mensal de caixa e patrimonio</x:v>
      </x:c>
      <x:c r="AM1" s="190" t="str">
        <x:v>Motor mensal de caixa e patrimonio</x:v>
      </x:c>
      <x:c r="AN1" s="190" t="str">
        <x:v>Motor mensal de caixa e patrimonio</x:v>
      </x:c>
      <x:c r="AO1" s="190" t="str">
        <x:v>Motor mensal de caixa e patrimonio</x:v>
      </x:c>
      <x:c r="AP1" s="190" t="str">
        <x:v>Motor mensal de caixa e patrimonio</x:v>
      </x:c>
      <x:c r="AQ1" s="190" t="str">
        <x:v>Motor mensal de caixa e patrimonio</x:v>
      </x:c>
      <x:c r="AR1" s="190" t="str">
        <x:v>Motor mensal de caixa e patrimonio</x:v>
      </x:c>
      <x:c r="AS1" s="190" t="str">
        <x:v>Motor mensal de caixa e patrimonio</x:v>
      </x:c>
      <x:c r="AT1" s="190" t="str">
        <x:v>Motor mensal de caixa e patrimonio</x:v>
      </x:c>
      <x:c r="AU1" s="190" t="str">
        <x:v>Motor mensal de caixa e patrimonio</x:v>
      </x:c>
      <x:c r="AV1" s="190" t="str">
        <x:v>Motor mensal de caixa e patrimonio</x:v>
      </x:c>
      <x:c r="AW1" s="190" t="str">
        <x:v>Motor mensal de caixa e patrimonio</x:v>
      </x:c>
      <x:c r="AX1" s="190" t="str">
        <x:v>Motor mensal de caixa e patrimonio</x:v>
      </x:c>
      <x:c r="AY1" s="190" t="str">
        <x:v>Motor mensal de caixa e patrimonio</x:v>
      </x:c>
      <x:c r="AZ1" s="190" t="str">
        <x:v>Motor mensal de caixa e patrimonio</x:v>
      </x:c>
      <x:c r="BA1" s="190" t="str">
        <x:v>Motor mensal de caixa e patrimonio</x:v>
      </x:c>
      <x:c r="BB1" s="190" t="str">
        <x:v>Motor mensal de caixa e patrimonio</x:v>
      </x:c>
      <x:c r="BC1" s="190" t="str">
        <x:v>Motor mensal de caixa e patrimonio</x:v>
      </x:c>
      <x:c r="BD1" s="190" t="str">
        <x:v>Motor mensal de caixa e patrimonio</x:v>
      </x:c>
      <x:c r="BE1" s="190" t="str">
        <x:v>Motor mensal de caixa e patrimonio</x:v>
      </x:c>
      <x:c r="BF1" s="190" t="str">
        <x:v>Motor mensal de caixa e patrimonio</x:v>
      </x:c>
      <x:c r="BG1" s="190" t="str">
        <x:v>Motor mensal de caixa e patrimonio</x:v>
      </x:c>
      <x:c r="BH1" s="190" t="str">
        <x:v>Motor mensal de caixa e patrimonio</x:v>
      </x:c>
      <x:c r="BI1" s="190" t="str">
        <x:v>Motor mensal de caixa e patrimonio</x:v>
      </x:c>
      <x:c r="BJ1" s="190" t="str">
        <x:v>Motor mensal de caixa e patrimonio</x:v>
      </x:c>
      <x:c r="BK1" s="190" t="str">
        <x:v>Motor mensal de caixa e patrimonio</x:v>
      </x:c>
      <x:c r="BL1" s="190" t="str">
        <x:v>Motor mensal de caixa e patrimonio</x:v>
      </x:c>
      <x:c r="BM1" s="190" t="str">
        <x:v>Motor mensal de caixa e patrimonio</x:v>
      </x:c>
      <x:c r="BN1" s="190" t="str">
        <x:v>Motor mensal de caixa e patrimonio</x:v>
      </x:c>
      <x:c r="BO1" s="190" t="str">
        <x:v>Motor mensal de caixa e patrimonio</x:v>
      </x:c>
      <x:c r="BP1" s="190" t="str">
        <x:v>Motor mensal de caixa e patrimonio</x:v>
      </x:c>
      <x:c r="BQ1" s="190" t="str">
        <x:v>Motor mensal de caixa e patrimonio</x:v>
      </x:c>
      <x:c r="BR1" s="190" t="str">
        <x:v>Motor mensal de caixa e patrimonio</x:v>
      </x:c>
      <x:c r="BS1" s="190" t="str">
        <x:v>Motor mensal de caixa e patrimonio</x:v>
      </x:c>
      <x:c r="BT1" s="190" t="str">
        <x:v>Motor mensal de caixa e patrimonio</x:v>
      </x:c>
      <x:c r="BU1" s="190" t="str">
        <x:v>Motor mensal de caixa e patrimonio</x:v>
      </x:c>
      <x:c r="BV1" s="190" t="str">
        <x:v>Motor mensal de caixa e patrimonio</x:v>
      </x:c>
      <x:c r="BW1" s="190" t="str">
        <x:v>Motor mensal de caixa e patrimonio</x:v>
      </x:c>
      <x:c r="BX1" s="190" t="str">
        <x:v>Motor mensal de caixa e patrimonio</x:v>
      </x:c>
      <x:c r="BY1" s="190" t="str">
        <x:v>Motor mensal de caixa e patrimonio</x:v>
      </x:c>
      <x:c r="BZ1" s="190" t="str">
        <x:v>Motor mensal de caixa e patrimonio</x:v>
      </x:c>
      <x:c r="CA1" s="190" t="str">
        <x:v>Motor mensal de caixa e patrimonio</x:v>
      </x:c>
      <x:c r="CB1" s="190" t="str">
        <x:v>Motor mensal de caixa e patrimonio</x:v>
      </x:c>
      <x:c r="CC1" s="190" t="str">
        <x:v>Motor mensal de caixa e patrimonio</x:v>
      </x:c>
      <x:c r="CD1" s="190" t="str">
        <x:v>Motor mensal de caixa e patrimonio</x:v>
      </x:c>
      <x:c r="CE1" s="190" t="str">
        <x:v>Motor mensal de caixa e patrimonio</x:v>
      </x:c>
      <x:c r="CF1" s="190" t="str">
        <x:v>Motor mensal de caixa e patrimonio</x:v>
      </x:c>
      <x:c r="CG1" s="190" t="str">
        <x:v>Motor mensal de caixa e patrimonio</x:v>
      </x:c>
      <x:c r="CH1" s="190" t="str">
        <x:v>Motor mensal de caixa e patrimonio</x:v>
      </x:c>
      <x:c r="CI1" s="191" t="str">
        <x:v>Motor mensal de caixa e patrimonio</x:v>
      </x:c>
    </x:row>
    <x:row r="2">
      <x:c r="A2" s="130"/>
      <x:c r="B2" s="130"/>
      <x:c r="C2" s="130"/>
      <x:c r="D2" s="130"/>
      <x:c r="E2" s="130"/>
      <x:c r="F2" s="130"/>
      <x:c r="G2" s="130"/>
      <x:c r="H2" s="127" t="str">
        <x:v>1. Financiamento sem amortizacao</x:v>
      </x:c>
      <x:c r="I2" s="128"/>
      <x:c r="J2" s="128"/>
      <x:c r="K2" s="128"/>
      <x:c r="L2" s="128"/>
      <x:c r="M2" s="128"/>
      <x:c r="N2" s="128"/>
      <x:c r="O2" s="128"/>
      <x:c r="P2" s="128"/>
      <x:c r="Q2" s="128"/>
      <x:c r="R2" s="128"/>
      <x:c r="S2" s="128"/>
      <x:c r="T2" s="128"/>
      <x:c r="U2" s="128"/>
      <x:c r="V2" s="128"/>
      <x:c r="W2" s="129"/>
      <x:c r="X2" s="127" t="str">
        <x:v>2. Financiamento com amortizacao</x:v>
      </x:c>
      <x:c r="Y2" s="128"/>
      <x:c r="Z2" s="128"/>
      <x:c r="AA2" s="128"/>
      <x:c r="AB2" s="128"/>
      <x:c r="AC2" s="128"/>
      <x:c r="AD2" s="128"/>
      <x:c r="AE2" s="128"/>
      <x:c r="AF2" s="128"/>
      <x:c r="AG2" s="128"/>
      <x:c r="AH2" s="128"/>
      <x:c r="AI2" s="128"/>
      <x:c r="AJ2" s="128"/>
      <x:c r="AK2" s="128"/>
      <x:c r="AL2" s="128"/>
      <x:c r="AM2" s="129"/>
      <x:c r="AN2" s="127" t="str">
        <x:v>3. Financiamento + consorcio IQ</x:v>
      </x:c>
      <x:c r="AO2" s="128"/>
      <x:c r="AP2" s="128"/>
      <x:c r="AQ2" s="128"/>
      <x:c r="AR2" s="128"/>
      <x:c r="AS2" s="128"/>
      <x:c r="AT2" s="128"/>
      <x:c r="AU2" s="128"/>
      <x:c r="AV2" s="128"/>
      <x:c r="AW2" s="128"/>
      <x:c r="AX2" s="128"/>
      <x:c r="AY2" s="128"/>
      <x:c r="AZ2" s="128"/>
      <x:c r="BA2" s="128"/>
      <x:c r="BB2" s="128"/>
      <x:c r="BC2" s="129"/>
      <x:c r="BD2" s="127" t="str">
        <x:v>4. Consorcio direto</x:v>
      </x:c>
      <x:c r="BE2" s="128"/>
      <x:c r="BF2" s="128"/>
      <x:c r="BG2" s="128"/>
      <x:c r="BH2" s="128"/>
      <x:c r="BI2" s="128"/>
      <x:c r="BJ2" s="128"/>
      <x:c r="BK2" s="128"/>
      <x:c r="BL2" s="128"/>
      <x:c r="BM2" s="128"/>
      <x:c r="BN2" s="128"/>
      <x:c r="BO2" s="128"/>
      <x:c r="BP2" s="128"/>
      <x:c r="BQ2" s="128"/>
      <x:c r="BR2" s="128"/>
      <x:c r="BS2" s="129"/>
      <x:c r="BT2" s="127" t="str">
        <x:v>5. Carta contemplada</x:v>
      </x:c>
      <x:c r="BU2" s="128"/>
      <x:c r="BV2" s="128"/>
      <x:c r="BW2" s="128"/>
      <x:c r="BX2" s="128"/>
      <x:c r="BY2" s="128"/>
      <x:c r="BZ2" s="128"/>
      <x:c r="CA2" s="128"/>
      <x:c r="CB2" s="128"/>
      <x:c r="CC2" s="128"/>
      <x:c r="CD2" s="128"/>
      <x:c r="CE2" s="128"/>
      <x:c r="CF2" s="128"/>
      <x:c r="CG2" s="128"/>
      <x:c r="CH2" s="128"/>
      <x:c r="CI2" s="129"/>
    </x:row>
    <x:row r="3">
      <x:c r="A3" s="181" t="str">
        <x:v>Metodo</x:v>
      </x:c>
      <x:c r="B3" s="171" t="str">
        <x:v>A capacidade mensal e o caixa livre antes dos fluxos do bem. Aluguel de espera, renda, parcelas e entradas iniciais entram no mes. Consorcios carregam direito economico e VP das parcelas futuras; deficit nao coberto torna a estrategia inviavel.</x:v>
      </x:c>
      <x:c r="C3" s="171" t="str"/>
      <x:c r="D3" s="171" t="str"/>
      <x:c r="E3" s="171" t="str"/>
      <x:c r="F3" s="171" t="str"/>
      <x:c r="G3" s="171" t="str"/>
      <x:c r="H3" s="171" t="str"/>
      <x:c r="I3" s="171" t="str"/>
      <x:c r="J3" s="171" t="str"/>
      <x:c r="K3" s="171" t="str"/>
      <x:c r="L3" s="171" t="str"/>
      <x:c r="M3" s="171" t="str"/>
      <x:c r="N3" s="171" t="str"/>
      <x:c r="O3" s="171" t="str"/>
      <x:c r="P3" s="171" t="str"/>
      <x:c r="Q3" s="171" t="str"/>
      <x:c r="R3" s="171" t="str"/>
      <x:c r="S3" s="171" t="str"/>
      <x:c r="T3" s="171" t="str"/>
      <x:c r="U3" s="171" t="str"/>
      <x:c r="V3" s="171" t="str"/>
      <x:c r="W3" s="171" t="str"/>
      <x:c r="X3" s="171" t="str"/>
      <x:c r="Y3" s="171" t="str"/>
      <x:c r="Z3" s="171" t="str"/>
      <x:c r="AA3" s="171" t="str"/>
      <x:c r="AB3" s="171" t="str"/>
      <x:c r="AC3" s="171" t="str"/>
      <x:c r="AD3" s="171" t="str"/>
      <x:c r="AE3" s="171" t="str"/>
      <x:c r="AF3" s="171" t="str"/>
      <x:c r="AG3" s="171" t="str"/>
      <x:c r="AH3" s="171" t="str"/>
      <x:c r="AI3" s="171" t="str"/>
      <x:c r="AJ3" s="171" t="str"/>
      <x:c r="AK3" s="171" t="str"/>
      <x:c r="AL3" s="171" t="str"/>
      <x:c r="AM3" s="171" t="str"/>
      <x:c r="AN3" s="171" t="str"/>
      <x:c r="AO3" s="171" t="str"/>
      <x:c r="AP3" s="171" t="str"/>
      <x:c r="AQ3" s="171" t="str"/>
      <x:c r="AR3" s="171" t="str"/>
      <x:c r="AS3" s="171" t="str"/>
      <x:c r="AT3" s="171" t="str"/>
      <x:c r="AU3" s="171" t="str"/>
      <x:c r="AV3" s="171" t="str"/>
      <x:c r="AW3" s="171" t="str"/>
      <x:c r="AX3" s="171" t="str"/>
      <x:c r="AY3" s="171" t="str"/>
      <x:c r="AZ3" s="171" t="str"/>
      <x:c r="BA3" s="171" t="str"/>
      <x:c r="BB3" s="171" t="str"/>
      <x:c r="BC3" s="171" t="str"/>
      <x:c r="BD3" s="171" t="str"/>
      <x:c r="BE3" s="171" t="str"/>
      <x:c r="BF3" s="171" t="str"/>
      <x:c r="BG3" s="171" t="str"/>
      <x:c r="BH3" s="171" t="str"/>
      <x:c r="BI3" s="171" t="str"/>
      <x:c r="BJ3" s="171" t="str"/>
      <x:c r="BK3" s="171" t="str"/>
      <x:c r="BL3" s="171" t="str"/>
      <x:c r="BM3" s="171" t="str"/>
      <x:c r="BN3" s="171" t="str"/>
      <x:c r="BO3" s="171" t="str"/>
      <x:c r="BP3" s="171" t="str"/>
      <x:c r="BQ3" s="171" t="str"/>
      <x:c r="BR3" s="171" t="str"/>
      <x:c r="BS3" s="171" t="str"/>
      <x:c r="BT3" s="171" t="str"/>
      <x:c r="BU3" s="171" t="str"/>
      <x:c r="BV3" s="171" t="str"/>
      <x:c r="BW3" s="171" t="str"/>
      <x:c r="BX3" s="171" t="str"/>
      <x:c r="BY3" s="171" t="str"/>
      <x:c r="BZ3" s="171" t="str"/>
      <x:c r="CA3" s="171" t="str"/>
      <x:c r="CB3" s="171" t="str"/>
      <x:c r="CC3" s="171" t="str"/>
      <x:c r="CD3" s="171" t="str"/>
      <x:c r="CE3" s="171" t="str"/>
      <x:c r="CF3" s="171" t="str"/>
      <x:c r="CG3" s="171" t="str"/>
      <x:c r="CH3" s="171" t="str"/>
      <x:c r="CI3" s="171" t="str"/>
    </x:row>
    <x:row r="4" ht="25.5" customHeight="1">
      <x:c r="A4" s="192" t="str">
        <x:v>Mes</x:v>
      </x:c>
      <x:c r="B4" s="192" t="str">
        <x:v>Data</x:v>
      </x:c>
      <x:c r="C4" s="192" t="str">
        <x:v>Caixa livre mensal</x:v>
      </x:c>
      <x:c r="D4" s="192" t="str">
        <x:v>Custo de espera base</x:v>
      </x:c>
      <x:c r="E4" s="192" t="str">
        <x:v>Renda liquida base</x:v>
      </x:c>
      <x:c r="F4" s="192" t="str">
        <x:v>Valor bem no mes</x:v>
      </x:c>
      <x:c r="G4" s="192" t="str">
        <x:v>FV base sem compra</x:v>
      </x:c>
      <x:c r="H4" s="192" t="str">
        <x:v>Entrada/lance</x:v>
      </x:c>
      <x:c r="I4" s="192" t="str">
        <x:v>Parcela/desembolso</x:v>
      </x:c>
      <x:c r="J4" s="192" t="str">
        <x:v>Aluguel de espera</x:v>
      </x:c>
      <x:c r="K4" s="192" t="str">
        <x:v>Renda do bem</x:v>
      </x:c>
      <x:c r="L4" s="192" t="str">
        <x:v>Saidas totais</x:v>
      </x:c>
      <x:c r="M4" s="192" t="str">
        <x:v>Entradas totais</x:v>
      </x:c>
      <x:c r="N4" s="192" t="str">
        <x:v>Fluxo livre</x:v>
      </x:c>
      <x:c r="O4" s="192" t="str">
        <x:v>Saldo antes ajuste</x:v>
      </x:c>
      <x:c r="P4" s="192" t="str">
        <x:v>Deficit nao coberto mes</x:v>
      </x:c>
      <x:c r="Q4" s="192" t="str">
        <x:v>Deficit nao coberto VF</x:v>
      </x:c>
      <x:c r="R4" s="192" t="str">
        <x:v>Saldo investido</x:v>
      </x:c>
      <x:c r="S4" s="192" t="str">
        <x:v>Saldo devedor</x:v>
      </x:c>
      <x:c r="T4" s="192" t="str">
        <x:v>Patrimonio bem</x:v>
      </x:c>
      <x:c r="U4" s="192" t="str">
        <x:v>Patrimonio bruto</x:v>
      </x:c>
      <x:c r="V4" s="192" t="str">
        <x:v>Patrimonio</x:v>
      </x:c>
      <x:c r="W4" s="192" t="str">
        <x:v>Status</x:v>
      </x:c>
      <x:c r="X4" s="192" t="str">
        <x:v>Entrada/lance</x:v>
      </x:c>
      <x:c r="Y4" s="192" t="str">
        <x:v>Parcela/desembolso</x:v>
      </x:c>
      <x:c r="Z4" s="192" t="str">
        <x:v>Aluguel de espera</x:v>
      </x:c>
      <x:c r="AA4" s="192" t="str">
        <x:v>Renda do bem</x:v>
      </x:c>
      <x:c r="AB4" s="192" t="str">
        <x:v>Saidas totais</x:v>
      </x:c>
      <x:c r="AC4" s="192" t="str">
        <x:v>Entradas totais</x:v>
      </x:c>
      <x:c r="AD4" s="192" t="str">
        <x:v>Fluxo livre</x:v>
      </x:c>
      <x:c r="AE4" s="192" t="str">
        <x:v>Saldo antes ajuste</x:v>
      </x:c>
      <x:c r="AF4" s="192" t="str">
        <x:v>Deficit nao coberto mes</x:v>
      </x:c>
      <x:c r="AG4" s="192" t="str">
        <x:v>Deficit nao coberto VF</x:v>
      </x:c>
      <x:c r="AH4" s="192" t="str">
        <x:v>Saldo investido</x:v>
      </x:c>
      <x:c r="AI4" s="192" t="str">
        <x:v>Saldo devedor</x:v>
      </x:c>
      <x:c r="AJ4" s="192" t="str">
        <x:v>Patrimonio bem</x:v>
      </x:c>
      <x:c r="AK4" s="192" t="str">
        <x:v>Patrimonio bruto</x:v>
      </x:c>
      <x:c r="AL4" s="192" t="str">
        <x:v>Patrimonio</x:v>
      </x:c>
      <x:c r="AM4" s="192" t="str">
        <x:v>Status</x:v>
      </x:c>
      <x:c r="AN4" s="192" t="str">
        <x:v>Entrada/lance</x:v>
      </x:c>
      <x:c r="AO4" s="192" t="str">
        <x:v>Parcela/desembolso</x:v>
      </x:c>
      <x:c r="AP4" s="192" t="str">
        <x:v>Aluguel de espera</x:v>
      </x:c>
      <x:c r="AQ4" s="192" t="str">
        <x:v>Renda do bem</x:v>
      </x:c>
      <x:c r="AR4" s="192" t="str">
        <x:v>Saidas totais</x:v>
      </x:c>
      <x:c r="AS4" s="192" t="str">
        <x:v>Entradas totais</x:v>
      </x:c>
      <x:c r="AT4" s="192" t="str">
        <x:v>Fluxo livre</x:v>
      </x:c>
      <x:c r="AU4" s="192" t="str">
        <x:v>Saldo antes ajuste</x:v>
      </x:c>
      <x:c r="AV4" s="192" t="str">
        <x:v>Deficit nao coberto mes</x:v>
      </x:c>
      <x:c r="AW4" s="192" t="str">
        <x:v>Deficit nao coberto VF</x:v>
      </x:c>
      <x:c r="AX4" s="192" t="str">
        <x:v>Saldo investido</x:v>
      </x:c>
      <x:c r="AY4" s="192" t="str">
        <x:v>Saldo devedor</x:v>
      </x:c>
      <x:c r="AZ4" s="192" t="str">
        <x:v>Patrimonio bem</x:v>
      </x:c>
      <x:c r="BA4" s="192" t="str">
        <x:v>Patrimonio bruto</x:v>
      </x:c>
      <x:c r="BB4" s="192" t="str">
        <x:v>Patrimonio</x:v>
      </x:c>
      <x:c r="BC4" s="192" t="str">
        <x:v>Status</x:v>
      </x:c>
      <x:c r="BD4" s="192" t="str">
        <x:v>Entrada/lance</x:v>
      </x:c>
      <x:c r="BE4" s="192" t="str">
        <x:v>Parcela/desembolso</x:v>
      </x:c>
      <x:c r="BF4" s="192" t="str">
        <x:v>Aluguel de espera</x:v>
      </x:c>
      <x:c r="BG4" s="192" t="str">
        <x:v>Renda do bem</x:v>
      </x:c>
      <x:c r="BH4" s="192" t="str">
        <x:v>Saidas totais</x:v>
      </x:c>
      <x:c r="BI4" s="192" t="str">
        <x:v>Entradas totais</x:v>
      </x:c>
      <x:c r="BJ4" s="192" t="str">
        <x:v>Fluxo livre</x:v>
      </x:c>
      <x:c r="BK4" s="192" t="str">
        <x:v>Saldo antes ajuste</x:v>
      </x:c>
      <x:c r="BL4" s="192" t="str">
        <x:v>Deficit nao coberto mes</x:v>
      </x:c>
      <x:c r="BM4" s="192" t="str">
        <x:v>Deficit nao coberto VF</x:v>
      </x:c>
      <x:c r="BN4" s="192" t="str">
        <x:v>Saldo investido</x:v>
      </x:c>
      <x:c r="BO4" s="192" t="str">
        <x:v>Saldo devedor</x:v>
      </x:c>
      <x:c r="BP4" s="192" t="str">
        <x:v>Patrimonio bem</x:v>
      </x:c>
      <x:c r="BQ4" s="192" t="str">
        <x:v>Patrimonio bruto</x:v>
      </x:c>
      <x:c r="BR4" s="192" t="str">
        <x:v>Patrimonio</x:v>
      </x:c>
      <x:c r="BS4" s="192" t="str">
        <x:v>Status</x:v>
      </x:c>
      <x:c r="BT4" s="192" t="str">
        <x:v>Entrada/lance</x:v>
      </x:c>
      <x:c r="BU4" s="192" t="str">
        <x:v>Parcela/desembolso</x:v>
      </x:c>
      <x:c r="BV4" s="192" t="str">
        <x:v>Aluguel de espera</x:v>
      </x:c>
      <x:c r="BW4" s="192" t="str">
        <x:v>Renda do bem</x:v>
      </x:c>
      <x:c r="BX4" s="192" t="str">
        <x:v>Saidas totais</x:v>
      </x:c>
      <x:c r="BY4" s="192" t="str">
        <x:v>Entradas totais</x:v>
      </x:c>
      <x:c r="BZ4" s="192" t="str">
        <x:v>Fluxo livre</x:v>
      </x:c>
      <x:c r="CA4" s="192" t="str">
        <x:v>Saldo antes ajuste</x:v>
      </x:c>
      <x:c r="CB4" s="192" t="str">
        <x:v>Deficit nao coberto mes</x:v>
      </x:c>
      <x:c r="CC4" s="192" t="str">
        <x:v>Deficit nao coberto VF</x:v>
      </x:c>
      <x:c r="CD4" s="192" t="str">
        <x:v>Saldo investido</x:v>
      </x:c>
      <x:c r="CE4" s="192" t="str">
        <x:v>Saldo devedor</x:v>
      </x:c>
      <x:c r="CF4" s="192" t="str">
        <x:v>Patrimonio bem</x:v>
      </x:c>
      <x:c r="CG4" s="192" t="str">
        <x:v>Patrimonio bruto</x:v>
      </x:c>
      <x:c r="CH4" s="192" t="str">
        <x:v>Patrimonio</x:v>
      </x:c>
      <x:c r="CI4" s="192" t="str">
        <x:v>Status</x:v>
      </x:c>
    </x:row>
    <x:row r="5">
      <x:c r="A5" s="175" t="n">
        <x:v>1</x:v>
      </x:c>
      <x:c r="B5" s="176" t="n">
        <x:f>EDATE(Premissas!$B$4,A5-1)</x:f>
        <x:v>46539</x:v>
      </x:c>
      <x:c r="C5" s="143" t="n">
        <x:f>IF(A5&lt;=Premissas!$B$39,Premissas!$B$42,0)</x:f>
        <x:v>7000</x:v>
      </x:c>
      <x:c r="D5" s="143" t="n">
        <x:f>Premissas!$B$54*(1+Premissas!$B$57)^INT((A5-1)/12)</x:f>
        <x:v>700</x:v>
      </x:c>
      <x:c r="E5" s="143" t="n">
        <x:f>Premissas!$B$64*(1+Premissas!$B$57)^INT((A5-1)/12)</x:f>
        <x:v>640</x:v>
      </x:c>
      <x:c r="F5" s="143" t="n">
        <x:f>MAX(0,Premissas!$B$6*(1+Premissas!$B$66)^((A5-1)/12))</x:f>
        <x:v>200000</x:v>
      </x:c>
      <x:c r="G5" s="143" t="n">
        <x:f>Premissas!$B$43+C5</x:f>
        <x:v>97000</x:v>
      </x:c>
      <x:c r="H5" s="143" t="n">
        <x:f>IF($A5=Premissas!$B$48,Premissas!$B$8,0)</x:f>
        <x:v>40000</x:v>
      </x:c>
      <x:c r="I5" s="143" t="n">
        <x:f>IF(AND($A5&gt;=Premissas!$B$48,$A5-Premissas!$B$48+1&lt;=Premissas!$B$13),INDEX(Financiamento!$J$6:$J$485,$A5-Premissas!$B$48+1),0)</x:f>
        <x:v>2049.159250485668</x:v>
      </x:c>
      <x:c r="J5" s="143" t="n">
        <x:f>IF(AND(TRUE,Premissas!$B$11="Imovel",Premissas!$B$47="Moradia",$A5&lt;MAX(Premissas!$B$48,Premissas!$B$49)),$D5,0)</x:f>
        <x:v>0</x:v>
      </x:c>
      <x:c r="K5" s="143" t="n">
        <x:f>IF(AND(TRUE,Premissas!$B$11="Imovel",Premissas!$B$47="Investimento",$A5&gt;=MAX(Premissas!$B$48,Premissas!$B$49)),$E5,0)</x:f>
        <x:v>640</x:v>
      </x:c>
      <x:c r="L5" s="143" t="n">
        <x:f>H5+I5+J5</x:f>
        <x:v>42049.15925048567</x:v>
      </x:c>
      <x:c r="M5" s="143" t="n">
        <x:f>K5</x:f>
        <x:v>640</x:v>
      </x:c>
      <x:c r="N5" s="143" t="n">
        <x:f>$C5+M5-L5</x:f>
        <x:v>-34409.15925048567</x:v>
      </x:c>
      <x:c r="O5" s="143" t="n">
        <x:f>Premissas!$B$43+N5</x:f>
        <x:v>55590.84074951433</x:v>
      </x:c>
      <x:c r="P5" s="143" t="n">
        <x:f>MAX(0,-O5)</x:f>
        <x:v>0</x:v>
      </x:c>
      <x:c r="Q5" s="143" t="n">
        <x:f>P5</x:f>
        <x:v>0</x:v>
      </x:c>
      <x:c r="R5" s="143" t="n">
        <x:f>MAX(0,O5)</x:f>
        <x:v>55590.84074951433</x:v>
      </x:c>
      <x:c r="S5" s="143" t="n">
        <x:f>IF(AND($A5&gt;=Premissas!$B$48,$A5-Premissas!$B$48+1&lt;=Premissas!$B$13),INDEX(Financiamento!$M$6:$M$485,$A5-Premissas!$B$48+1),0)</x:f>
        <x:v>159619.04761904763</x:v>
      </x:c>
      <x:c r="T5" s="143" t="n">
        <x:f>IF($A5&gt;=Premissas!$B$48,$F5,0)</x:f>
        <x:v>200000</x:v>
      </x:c>
      <x:c r="U5" s="143" t="n">
        <x:f>R5+T5-S5</x:f>
        <x:v>95971.79313046671</x:v>
      </x:c>
      <x:c r="V5" s="143" t="n">
        <x:f>IF(Q5&gt;1,"Inviavel",U5)</x:f>
        <x:v>95971.79313046671</x:v>
      </x:c>
      <x:c r="W5" s="143" t="str">
        <x:f>IF(Q5&gt;1,"Inviavel","OK")</x:f>
        <x:v>OK</x:v>
      </x:c>
      <x:c r="X5" s="143" t="n">
        <x:f>IF($A5=Premissas!$B$48,Premissas!$B$8,0)</x:f>
        <x:v>40000</x:v>
      </x:c>
      <x:c r="Y5" s="143" t="n">
        <x:f>IF(AND($A5&gt;=Premissas!$B$48,$A5-Premissas!$B$48+1&lt;=Premissas!$B$13),INDEX(Amortizacao!$K$6:$K$485,$A5-Premissas!$B$48+1),0)</x:f>
        <x:v>7000</x:v>
      </x:c>
      <x:c r="Z5" s="143" t="n">
        <x:f>IF(AND(TRUE,Premissas!$B$11="Imovel",Premissas!$B$47="Moradia",$A5&lt;MAX(Premissas!$B$48,Premissas!$B$49)),$D5,0)</x:f>
        <x:v>0</x:v>
      </x:c>
      <x:c r="AA5" s="143" t="n">
        <x:f>IF(AND(TRUE,Premissas!$B$11="Imovel",Premissas!$B$47="Investimento",$A5&gt;=MAX(Premissas!$B$48,Premissas!$B$49)),$E5,0)</x:f>
        <x:v>640</x:v>
      </x:c>
      <x:c r="AB5" s="143" t="n">
        <x:f>X5+Y5+Z5</x:f>
        <x:v>47000</x:v>
      </x:c>
      <x:c r="AC5" s="143" t="n">
        <x:f>AA5</x:f>
        <x:v>640</x:v>
      </x:c>
      <x:c r="AD5" s="143" t="n">
        <x:f>$C5+AC5-AB5</x:f>
        <x:v>-39360</x:v>
      </x:c>
      <x:c r="AE5" s="143" t="n">
        <x:f>Premissas!$B$43+AD5</x:f>
        <x:v>50640</x:v>
      </x:c>
      <x:c r="AF5" s="143" t="n">
        <x:f>MAX(0,-AE5)</x:f>
        <x:v>0</x:v>
      </x:c>
      <x:c r="AG5" s="143" t="n">
        <x:f>AF5</x:f>
        <x:v>0</x:v>
      </x:c>
      <x:c r="AH5" s="143" t="n">
        <x:f>MAX(0,AE5)</x:f>
        <x:v>50640</x:v>
      </x:c>
      <x:c r="AI5" s="143" t="n">
        <x:f>IF(AND($A5&gt;=Premissas!$B$48,$A5-Premissas!$B$48+1&lt;=Premissas!$B$13),INDEX(Amortizacao!$L$6:$L$485,$A5-Premissas!$B$48+1),0)</x:f>
        <x:v>154668.20686953331</x:v>
      </x:c>
      <x:c r="AJ5" s="143" t="n">
        <x:f>IF($A5&gt;=Premissas!$B$48,$F5,0)</x:f>
        <x:v>200000</x:v>
      </x:c>
      <x:c r="AK5" s="143" t="n">
        <x:f>AH5+AJ5-AI5</x:f>
        <x:v>95971.79313046669</x:v>
      </x:c>
      <x:c r="AL5" s="143" t="n">
        <x:f>IF(AG5&gt;1,"Inviavel",AK5)</x:f>
        <x:v>95971.79313046669</x:v>
      </x:c>
      <x:c r="AM5" s="143" t="str">
        <x:f>IF(AG5&gt;1,"Inviavel","OK")</x:f>
        <x:v>OK</x:v>
      </x:c>
      <x:c r="AN5" s="143" t="n">
        <x:f>IF($A5=Premissas!$B$48,Premissas!$B$8,0)</x:f>
        <x:v>40000</x:v>
      </x:c>
      <x:c r="AO5" s="143" t="n">
        <x:f>IF($A5&lt;=Premissas!$B$25,INDEX('Consorcio IQ'!$K$6:$K$485,$A5),0)</x:f>
        <x:v>2619.6251067496914</x:v>
      </x:c>
      <x:c r="AP5" s="143" t="n">
        <x:f>IF(AND(TRUE,Premissas!$B$11="Imovel",Premissas!$B$47="Moradia",$A5&lt;MAX(Premissas!$B$48,Premissas!$B$49)),$D5,0)</x:f>
        <x:v>0</x:v>
      </x:c>
      <x:c r="AQ5" s="143" t="n">
        <x:f>IF(AND(TRUE,Premissas!$B$11="Imovel",Premissas!$B$47="Investimento",$A5&gt;=MAX(Premissas!$B$48,Premissas!$B$49)),$E5,0)</x:f>
        <x:v>640</x:v>
      </x:c>
      <x:c r="AR5" s="143" t="n">
        <x:f>AN5+AO5+AP5</x:f>
        <x:v>42619.62510674969</x:v>
      </x:c>
      <x:c r="AS5" s="143" t="n">
        <x:f>AQ5</x:f>
        <x:v>640</x:v>
      </x:c>
      <x:c r="AT5" s="143" t="n">
        <x:f>$C5+AS5-AR5</x:f>
        <x:v>-34979.62510674969</x:v>
      </x:c>
      <x:c r="AU5" s="143" t="n">
        <x:f>Premissas!$B$43+AT5</x:f>
        <x:v>55020.37489325031</x:v>
      </x:c>
      <x:c r="AV5" s="143" t="n">
        <x:f>MAX(0,-AU5)</x:f>
        <x:v>0</x:v>
      </x:c>
      <x:c r="AW5" s="143" t="n">
        <x:f>AV5</x:f>
        <x:v>0</x:v>
      </x:c>
      <x:c r="AX5" s="143" t="n">
        <x:f>MAX(0,AU5)</x:f>
        <x:v>55020.37489325031</x:v>
      </x:c>
      <x:c r="AY5" s="143" t="n">
        <x:f>INDEX('Consorcio IQ'!$P$6:$P$485,$A5)</x:f>
        <x:v>240073.53456339374</x:v>
      </x:c>
      <x:c r="AZ5" s="143" t="n">
        <x:f>IF($A5&gt;=Premissas!$B$48,$F5,0)+IF($A5&lt;Premissas!$B$27,INDEX('Consorcio IQ'!$O$6:$O$485,$A5),0)</x:f>
        <x:v>278556.94422738743</x:v>
      </x:c>
      <x:c r="BA5" s="143" t="n">
        <x:f>AX5+AZ5-AY5</x:f>
        <x:v>93503.78455724398</x:v>
      </x:c>
      <x:c r="BB5" s="143" t="n">
        <x:f>IF(AW5&gt;1,"Inviavel",BA5)</x:f>
        <x:v>93503.78455724398</x:v>
      </x:c>
      <x:c r="BC5" s="143" t="str">
        <x:f>IF(AW5&gt;1,"Inviavel","OK")</x:f>
        <x:v>OK</x:v>
      </x:c>
      <x:c r="BD5" s="143" t="n">
        <x:f>IF($A5='Consorcio Direto'!$B$29,'Consorcio Direto'!$B$44,0)</x:f>
        <x:v>0</x:v>
      </x:c>
      <x:c r="BE5" s="143" t="n">
        <x:f>IF($A5&lt;='Consorcio Direto'!$B$27,INDEX('Consorcio Direto'!$E$55:$E$534,$A5),0)</x:f>
        <x:v>1477.2217705578066</x:v>
      </x:c>
      <x:c r="BF5" s="143" t="n">
        <x:f>IF(AND(TRUE,Premissas!$B$11="Imovel",Premissas!$B$47="Moradia",$A5&lt;MAX('Consorcio Direto'!$B$29,Premissas!$B$49)),$D5,0)</x:f>
        <x:v>0</x:v>
      </x:c>
      <x:c r="BG5" s="143" t="n">
        <x:f>IF(AND(TRUE,Premissas!$B$11="Imovel",Premissas!$B$47="Investimento",$A5&gt;=MAX('Consorcio Direto'!$B$29,Premissas!$B$49)),$E5,0)</x:f>
        <x:v>0</x:v>
      </x:c>
      <x:c r="BH5" s="143" t="n">
        <x:f>BD5+BE5+BF5</x:f>
        <x:v>1477.2217705578066</x:v>
      </x:c>
      <x:c r="BI5" s="143" t="n">
        <x:f>BG5</x:f>
        <x:v>0</x:v>
      </x:c>
      <x:c r="BJ5" s="143" t="n">
        <x:f>$C5+BI5-BH5</x:f>
        <x:v>5522.778229442193</x:v>
      </x:c>
      <x:c r="BK5" s="143" t="n">
        <x:f>Premissas!$B$43+BJ5</x:f>
        <x:v>95522.77822944219</x:v>
      </x:c>
      <x:c r="BL5" s="143" t="n">
        <x:f>MAX(0,-BK5)</x:f>
        <x:v>0</x:v>
      </x:c>
      <x:c r="BM5" s="143" t="n">
        <x:f>BL5</x:f>
        <x:v>0</x:v>
      </x:c>
      <x:c r="BN5" s="143" t="n">
        <x:f>MAX(0,BK5)</x:f>
        <x:v>95522.77822944219</x:v>
      </x:c>
      <x:c r="BO5" s="143" t="n">
        <x:f>INDEX('Consorcio Direto'!$K$55:$K$534,$A5)</x:f>
        <x:v>208336.9553992045</x:v>
      </x:c>
      <x:c r="BP5" s="143" t="n">
        <x:f>IF($A5&lt;'Consorcio Direto'!$B$29,INDEX('Consorcio Direto'!$L$55:$L$534,$A5),$F5)</x:f>
        <x:v>152567.4503131222</x:v>
      </x:c>
      <x:c r="BQ5" s="143" t="n">
        <x:f>BN5+BP5-BO5</x:f>
        <x:v>39753.27314335987</x:v>
      </x:c>
      <x:c r="BR5" s="143" t="n">
        <x:f>IF(BM5&gt;1,"Inviavel",BQ5)</x:f>
        <x:v>39753.27314335987</x:v>
      </x:c>
      <x:c r="BS5" s="143" t="str">
        <x:f>IF(BM5&gt;1,"Inviavel","OK")</x:f>
        <x:v>OK</x:v>
      </x:c>
      <x:c r="BT5" s="143" t="n">
        <x:f>IF(AND('Carta Contemplada'!$B$22="Sim",$A5='Carta Contemplada'!$B$23),'Carta Contemplada'!$B$37,0)</x:f>
        <x:v>47000</x:v>
      </x:c>
      <x:c r="BU5" s="143" t="n">
        <x:f>IF('Carta Contemplada'!$B$22="Sim",INDEX('Carta Contemplada'!$C$55:$C$1013,$A5),0)</x:f>
        <x:v>1200</x:v>
      </x:c>
      <x:c r="BV5" s="143" t="n">
        <x:f>IF(AND('Carta Contemplada'!$B$22="Sim",Premissas!$B$11="Imovel",Premissas!$B$47="Moradia",$A5&lt;MAX('Carta Contemplada'!$B$44,Premissas!$B$49)),$D5,0)</x:f>
        <x:v>0</x:v>
      </x:c>
      <x:c r="BW5" s="143" t="n">
        <x:f>IF(AND('Carta Contemplada'!$B$22="Sim",Premissas!$B$11="Imovel",Premissas!$B$47="Investimento",$A5&gt;=MAX('Carta Contemplada'!$B$44,Premissas!$B$49)),$E5,0)</x:f>
        <x:v>640</x:v>
      </x:c>
      <x:c r="BX5" s="143" t="n">
        <x:f>BT5+BU5+BV5</x:f>
        <x:v>48200</x:v>
      </x:c>
      <x:c r="BY5" s="143" t="n">
        <x:f>BW5</x:f>
        <x:v>640</x:v>
      </x:c>
      <x:c r="BZ5" s="143" t="n">
        <x:f>$C5+BY5-BX5</x:f>
        <x:v>-40560</x:v>
      </x:c>
      <x:c r="CA5" s="143" t="n">
        <x:f>Premissas!$B$43+BZ5</x:f>
        <x:v>49440</x:v>
      </x:c>
      <x:c r="CB5" s="143" t="n">
        <x:f>MAX(0,-CA5)</x:f>
        <x:v>0</x:v>
      </x:c>
      <x:c r="CC5" s="143" t="n">
        <x:f>CB5</x:f>
        <x:v>0</x:v>
      </x:c>
      <x:c r="CD5" s="143" t="n">
        <x:f>MAX(0,CA5)</x:f>
        <x:v>49440</x:v>
      </x:c>
      <x:c r="CE5" s="143" t="n">
        <x:f>IF(AND('Carta Contemplada'!$B$22="Sim",$A5&gt;='Carta Contemplada'!$B$23),INDEX('Carta Contemplada'!$I$55:$I$1013,$A5),0)</x:f>
        <x:v>142335.72199584424</x:v>
      </x:c>
      <x:c r="CF5" s="143" t="n">
        <x:f>IF(AND('Carta Contemplada'!$B$22="Sim",$A5&gt;='Carta Contemplada'!$B$44),$F5,0)</x:f>
        <x:v>200000</x:v>
      </x:c>
      <x:c r="CG5" s="143" t="n">
        <x:f>CD5+CF5-CE5</x:f>
        <x:v>107104.27800415576</x:v>
      </x:c>
      <x:c r="CH5" s="143" t="n">
        <x:f>IF(CC5&gt;1,"Inviavel",CG5)</x:f>
        <x:v>107104.27800415576</x:v>
      </x:c>
      <x:c r="CI5" s="182" t="str">
        <x:f>IF(CC5&gt;1,"Inviavel","OK")</x:f>
        <x:v>OK</x:v>
      </x:c>
    </x:row>
    <x:row r="6">
      <x:c r="A6" s="142" t="n">
        <x:v>2</x:v>
      </x:c>
      <x:c r="B6" s="179" t="n">
        <x:f>EDATE(Premissas!$B$4,A6-1)</x:f>
        <x:v>46569</x:v>
      </x:c>
      <x:c r="C6" s="141" t="n">
        <x:f>IF(A6&lt;=Premissas!$B$39,Premissas!$B$42,0)</x:f>
        <x:v>7000</x:v>
      </x:c>
      <x:c r="D6" s="141" t="n">
        <x:f>Premissas!$B$54*(1+Premissas!$B$57)^INT((A6-1)/12)</x:f>
        <x:v>700</x:v>
      </x:c>
      <x:c r="E6" s="141" t="n">
        <x:f>Premissas!$B$64*(1+Premissas!$B$57)^INT((A6-1)/12)</x:f>
        <x:v>640</x:v>
      </x:c>
      <x:c r="F6" s="141" t="n">
        <x:f>MAX(0,Premissas!$B$6*(1+Premissas!$B$66)^((A6-1)/12))</x:f>
        <x:v>200973.51011306862</x:v>
      </x:c>
      <x:c r="G6" s="141" t="n">
        <x:f>G5*(1+Premissas!$B$41)+C6</x:f>
        <x:v>104920.41291465456</x:v>
      </x:c>
      <x:c r="H6" s="141" t="n">
        <x:f>IF($A6=Premissas!$B$48,Premissas!$B$8,0)</x:f>
        <x:v>0</x:v>
      </x:c>
      <x:c r="I6" s="141" t="n">
        <x:f>IF(AND($A6&gt;=Premissas!$B$48,$A6-Premissas!$B$48+1&lt;=Premissas!$B$13),INDEX(Financiamento!$J$6:$J$485,$A6-Premissas!$B$48+1),0)</x:f>
        <x:v>2045.5444722248749</x:v>
      </x:c>
      <x:c r="J6" s="141" t="n">
        <x:f>IF(AND(TRUE,Premissas!$B$11="Imovel",Premissas!$B$47="Moradia",$A6&lt;MAX(Premissas!$B$48,Premissas!$B$49)),$D6,0)</x:f>
        <x:v>0</x:v>
      </x:c>
      <x:c r="K6" s="141" t="n">
        <x:f>IF(AND(TRUE,Premissas!$B$11="Imovel",Premissas!$B$47="Investimento",$A6&gt;=MAX(Premissas!$B$48,Premissas!$B$49)),$E6,0)</x:f>
        <x:v>640</x:v>
      </x:c>
      <x:c r="L6" s="141" t="n">
        <x:f>H6+I6+J6</x:f>
        <x:v>2045.5444722248749</x:v>
      </x:c>
      <x:c r="M6" s="141" t="n">
        <x:f>K6</x:f>
        <x:v>640</x:v>
      </x:c>
      <x:c r="N6" s="141" t="n">
        <x:f>$C6+M6-L6</x:f>
        <x:v>5594.455527775125</x:v>
      </x:c>
      <x:c r="O6" s="141" t="n">
        <x:f>R5*(1+Premissas!$B$41)+N6</x:f>
        <x:v>61712.786254220984</x:v>
      </x:c>
      <x:c r="P6" s="141" t="n">
        <x:f>MAX(0,-O6)</x:f>
        <x:v>0</x:v>
      </x:c>
      <x:c r="Q6" s="141" t="n">
        <x:f>Q5*(1+Premissas!$B$41)+P6</x:f>
        <x:v>0</x:v>
      </x:c>
      <x:c r="R6" s="141" t="n">
        <x:f>MAX(0,O6)</x:f>
        <x:v>61712.786254220984</x:v>
      </x:c>
      <x:c r="S6" s="141" t="n">
        <x:f>IF(AND($A6&gt;=Premissas!$B$48,$A6-Premissas!$B$48+1&lt;=Premissas!$B$13),INDEX(Financiamento!$M$6:$M$485,$A6-Premissas!$B$48+1),0)</x:f>
        <x:v>159238.09523809527</x:v>
      </x:c>
      <x:c r="T6" s="141" t="n">
        <x:f>IF($A6&gt;=Premissas!$B$48,$F6,0)</x:f>
        <x:v>200973.51011306862</x:v>
      </x:c>
      <x:c r="U6" s="141" t="n">
        <x:f>R6+T6-S6</x:f>
        <x:v>103448.20112919435</x:v>
      </x:c>
      <x:c r="V6" s="141" t="n">
        <x:f>IF(Q6&gt;1,"Inviavel",U6)</x:f>
        <x:v>103448.20112919435</x:v>
      </x:c>
      <x:c r="W6" s="141" t="str">
        <x:f>IF(Q6&gt;1,"Inviavel","OK")</x:f>
        <x:v>OK</x:v>
      </x:c>
      <x:c r="X6" s="141" t="n">
        <x:f>IF($A6=Premissas!$B$48,Premissas!$B$8,0)</x:f>
        <x:v>0</x:v>
      </x:c>
      <x:c r="Y6" s="141" t="n">
        <x:f>IF(AND($A6&gt;=Premissas!$B$48,$A6-Premissas!$B$48+1&lt;=Premissas!$B$13),INDEX(Amortizacao!$K$6:$K$485,$A6-Premissas!$B$48+1),0)</x:f>
        <x:v>7000</x:v>
      </x:c>
      <x:c r="Z6" s="141" t="n">
        <x:f>IF(AND(TRUE,Premissas!$B$11="Imovel",Premissas!$B$47="Moradia",$A6&lt;MAX(Premissas!$B$48,Premissas!$B$49)),$D6,0)</x:f>
        <x:v>0</x:v>
      </x:c>
      <x:c r="AA6" s="141" t="n">
        <x:f>IF(AND(TRUE,Premissas!$B$11="Imovel",Premissas!$B$47="Investimento",$A6&gt;=MAX(Premissas!$B$48,Premissas!$B$49)),$E6,0)</x:f>
        <x:v>640</x:v>
      </x:c>
      <x:c r="AB6" s="141" t="n">
        <x:f>X6+Y6+Z6</x:f>
        <x:v>7000</x:v>
      </x:c>
      <x:c r="AC6" s="141" t="n">
        <x:f>AA6</x:f>
        <x:v>640</x:v>
      </x:c>
      <x:c r="AD6" s="141" t="n">
        <x:f>$C6+AC6-AB6</x:f>
        <x:v>640</x:v>
      </x:c>
      <x:c r="AE6" s="141" t="n">
        <x:f>AH5*(1+Premissas!$B$41)+AD6</x:f>
        <x:v>51760.51247420729</x:v>
      </x:c>
      <x:c r="AF6" s="141" t="n">
        <x:f>MAX(0,-AE6)</x:f>
        <x:v>0</x:v>
      </x:c>
      <x:c r="AG6" s="141" t="n">
        <x:f>AG5*(1+Premissas!$B$41)+AF6</x:f>
        <x:v>0</x:v>
      </x:c>
      <x:c r="AH6" s="141" t="n">
        <x:f>MAX(0,AE6)</x:f>
        <x:v>51760.51247420729</x:v>
      </x:c>
      <x:c r="AI6" s="141" t="n">
        <x:f>IF(AND($A6&gt;=Premissas!$B$48,$A6-Premissas!$B$48+1&lt;=Premissas!$B$13),INDEX(Amortizacao!$L$6:$L$485,$A6-Premissas!$B$48+1),0)</x:f>
        <x:v>149285.8214580816</x:v>
      </x:c>
      <x:c r="AJ6" s="141" t="n">
        <x:f>IF($A6&gt;=Premissas!$B$48,$F6,0)</x:f>
        <x:v>200973.51011306862</x:v>
      </x:c>
      <x:c r="AK6" s="141" t="n">
        <x:f>AH6+AJ6-AI6</x:f>
        <x:v>103448.20112919432</x:v>
      </x:c>
      <x:c r="AL6" s="141" t="n">
        <x:f>IF(AG6&gt;1,"Inviavel",AK6)</x:f>
        <x:v>103448.20112919432</x:v>
      </x:c>
      <x:c r="AM6" s="141" t="str">
        <x:f>IF(AG6&gt;1,"Inviavel","OK")</x:f>
        <x:v>OK</x:v>
      </x:c>
      <x:c r="AN6" s="141" t="n">
        <x:f>IF($A6=Premissas!$B$48,Premissas!$B$8,0)</x:f>
        <x:v>0</x:v>
      </x:c>
      <x:c r="AO6" s="141" t="n">
        <x:f>IF($A6&lt;=Premissas!$B$25,INDEX('Consorcio IQ'!$K$6:$K$485,$A6),0)</x:f>
        <x:v>2616.0103284888983</x:v>
      </x:c>
      <x:c r="AP6" s="141" t="n">
        <x:f>IF(AND(TRUE,Premissas!$B$11="Imovel",Premissas!$B$47="Moradia",$A6&lt;MAX(Premissas!$B$48,Premissas!$B$49)),$D6,0)</x:f>
        <x:v>0</x:v>
      </x:c>
      <x:c r="AQ6" s="141" t="n">
        <x:f>IF(AND(TRUE,Premissas!$B$11="Imovel",Premissas!$B$47="Investimento",$A6&gt;=MAX(Premissas!$B$48,Premissas!$B$49)),$E6,0)</x:f>
        <x:v>640</x:v>
      </x:c>
      <x:c r="AR6" s="141" t="n">
        <x:f>AN6+AO6+AP6</x:f>
        <x:v>2616.0103284888983</x:v>
      </x:c>
      <x:c r="AS6" s="141" t="n">
        <x:f>AQ6</x:f>
        <x:v>640</x:v>
      </x:c>
      <x:c r="AT6" s="141" t="n">
        <x:f>$C6+AS6-AR6</x:f>
        <x:v>5023.989671511102</x:v>
      </x:c>
      <x:c r="AU6" s="141" t="n">
        <x:f>AX5*(1+Premissas!$B$41)+AT6</x:f>
        <x:v>60566.44150930659</x:v>
      </x:c>
      <x:c r="AV6" s="141" t="n">
        <x:f>MAX(0,-AU6)</x:f>
        <x:v>0</x:v>
      </x:c>
      <x:c r="AW6" s="141" t="n">
        <x:f>AW5*(1+Premissas!$B$41)+AV6</x:f>
        <x:v>0</x:v>
      </x:c>
      <x:c r="AX6" s="141" t="n">
        <x:f>MAX(0,AU6)</x:f>
        <x:v>60566.44150930659</x:v>
      </x:c>
      <x:c r="AY6" s="141" t="n">
        <x:f>INDEX('Consorcio IQ'!$P$6:$P$485,$A6)</x:f>
        <x:v>239885.53229345035</x:v>
      </x:c>
      <x:c r="AZ6" s="141" t="n">
        <x:f>IF($A6&gt;=Premissas!$B$48,$F6,0)+IF($A6&lt;Premissas!$B$27,INDEX('Consorcio IQ'!$O$6:$O$485,$A6),0)</x:f>
        <x:v>280275.8649178033</x:v>
      </x:c>
      <x:c r="BA6" s="141" t="n">
        <x:f>AX6+AZ6-AY6</x:f>
        <x:v>100956.77413365958</x:v>
      </x:c>
      <x:c r="BB6" s="141" t="n">
        <x:f>IF(AW6&gt;1,"Inviavel",BA6)</x:f>
        <x:v>100956.77413365958</x:v>
      </x:c>
      <x:c r="BC6" s="141" t="str">
        <x:f>IF(AW6&gt;1,"Inviavel","OK")</x:f>
        <x:v>OK</x:v>
      </x:c>
      <x:c r="BD6" s="141" t="n">
        <x:f>IF($A6='Consorcio Direto'!$B$29,'Consorcio Direto'!$B$44,0)</x:f>
        <x:v>0</x:v>
      </x:c>
      <x:c r="BE6" s="141" t="n">
        <x:f>IF($A6&lt;='Consorcio Direto'!$B$27,INDEX('Consorcio Direto'!$E$55:$E$534,$A6),0)</x:f>
        <x:v>1477.2217705578066</x:v>
      </x:c>
      <x:c r="BF6" s="141" t="n">
        <x:f>IF(AND(TRUE,Premissas!$B$11="Imovel",Premissas!$B$47="Moradia",$A6&lt;MAX('Consorcio Direto'!$B$29,Premissas!$B$49)),$D6,0)</x:f>
        <x:v>0</x:v>
      </x:c>
      <x:c r="BG6" s="141" t="n">
        <x:f>IF(AND(TRUE,Premissas!$B$11="Imovel",Premissas!$B$47="Investimento",$A6&gt;=MAX('Consorcio Direto'!$B$29,Premissas!$B$49)),$E6,0)</x:f>
        <x:v>0</x:v>
      </x:c>
      <x:c r="BH6" s="141" t="n">
        <x:f>BD6+BE6+BF6</x:f>
        <x:v>1477.2217705578066</x:v>
      </x:c>
      <x:c r="BI6" s="141" t="n">
        <x:f>BG6</x:f>
        <x:v>0</x:v>
      </x:c>
      <x:c r="BJ6" s="141" t="n">
        <x:f>$C6+BI6-BH6</x:f>
        <x:v>5522.778229442193</x:v>
      </x:c>
      <x:c r="BK6" s="141" t="n">
        <x:f>BN5*(1+Premissas!$B$41)+BJ6</x:f>
        <x:v>101951.95232203967</x:v>
      </x:c>
      <x:c r="BL6" s="141" t="n">
        <x:f>MAX(0,-BK6)</x:f>
        <x:v>0</x:v>
      </x:c>
      <x:c r="BM6" s="141" t="n">
        <x:f>BM5*(1+Premissas!$B$41)+BL6</x:f>
        <x:v>0</x:v>
      </x:c>
      <x:c r="BN6" s="141" t="n">
        <x:f>MAX(0,BK6)</x:f>
        <x:v>101951.95232203967</x:v>
      </x:c>
      <x:c r="BO6" s="141" t="n">
        <x:f>INDEX('Consorcio Direto'!$K$55:$K$534,$A6)</x:f>
        <x:v>208836.59985905123</x:v>
      </x:c>
      <x:c r="BP6" s="141" t="n">
        <x:f>IF($A6&lt;'Consorcio Direto'!$B$29,INDEX('Consorcio Direto'!$L$55:$L$534,$A6),$F6)</x:f>
        <x:v>154015.1312577007</x:v>
      </x:c>
      <x:c r="BQ6" s="141" t="n">
        <x:f>BN6+BP6-BO6</x:f>
        <x:v>47130.48372068914</x:v>
      </x:c>
      <x:c r="BR6" s="141" t="n">
        <x:f>IF(BM6&gt;1,"Inviavel",BQ6)</x:f>
        <x:v>47130.48372068914</x:v>
      </x:c>
      <x:c r="BS6" s="141" t="str">
        <x:f>IF(BM6&gt;1,"Inviavel","OK")</x:f>
        <x:v>OK</x:v>
      </x:c>
      <x:c r="BT6" s="141" t="n">
        <x:f>IF(AND('Carta Contemplada'!$B$22="Sim",$A6='Carta Contemplada'!$B$23),'Carta Contemplada'!$B$37,0)</x:f>
        <x:v>0</x:v>
      </x:c>
      <x:c r="BU6" s="141" t="n">
        <x:f>IF('Carta Contemplada'!$B$22="Sim",INDEX('Carta Contemplada'!$C$55:$C$1013,$A6),0)</x:f>
        <x:v>1200</x:v>
      </x:c>
      <x:c r="BV6" s="141" t="n">
        <x:f>IF(AND('Carta Contemplada'!$B$22="Sim",Premissas!$B$11="Imovel",Premissas!$B$47="Moradia",$A6&lt;MAX('Carta Contemplada'!$B$44,Premissas!$B$49)),$D6,0)</x:f>
        <x:v>0</x:v>
      </x:c>
      <x:c r="BW6" s="141" t="n">
        <x:f>IF(AND('Carta Contemplada'!$B$22="Sim",Premissas!$B$11="Imovel",Premissas!$B$47="Investimento",$A6&gt;=MAX('Carta Contemplada'!$B$44,Premissas!$B$49)),$E6,0)</x:f>
        <x:v>640</x:v>
      </x:c>
      <x:c r="BX6" s="141" t="n">
        <x:f>BT6+BU6+BV6</x:f>
        <x:v>1200</x:v>
      </x:c>
      <x:c r="BY6" s="141" t="n">
        <x:f>BW6</x:f>
        <x:v>640</x:v>
      </x:c>
      <x:c r="BZ6" s="141" t="n">
        <x:f>$C6+BY6-BX6</x:f>
        <x:v>6440</x:v>
      </x:c>
      <x:c r="CA6" s="141" t="n">
        <x:f>CD5*(1+Premissas!$B$41)+BZ6</x:f>
        <x:v>56349.12592268579</x:v>
      </x:c>
      <x:c r="CB6" s="141" t="n">
        <x:f>MAX(0,-CA6)</x:f>
        <x:v>0</x:v>
      </x:c>
      <x:c r="CC6" s="141" t="n">
        <x:f>CC5*(1+Premissas!$B$41)+CB6</x:f>
        <x:v>0</x:v>
      </x:c>
      <x:c r="CD6" s="141" t="n">
        <x:f>MAX(0,CA6)</x:f>
        <x:v>56349.12592268579</x:v>
      </x:c>
      <x:c r="CE6" s="141" t="n">
        <x:f>IF(AND('Carta Contemplada'!$B$22="Sim",$A6&gt;='Carta Contemplada'!$B$23),INDEX('Carta Contemplada'!$I$55:$I$1013,$A6),0)</x:f>
        <x:v>142486.3161890572</x:v>
      </x:c>
      <x:c r="CF6" s="141" t="n">
        <x:f>IF(AND('Carta Contemplada'!$B$22="Sim",$A6&gt;='Carta Contemplada'!$B$44),$F6,0)</x:f>
        <x:v>200973.51011306862</x:v>
      </x:c>
      <x:c r="CG6" s="141" t="n">
        <x:f>CD6+CF6-CE6</x:f>
        <x:v>114836.31984669721</x:v>
      </x:c>
      <x:c r="CH6" s="141" t="n">
        <x:f>IF(CC6&gt;1,"Inviavel",CG6)</x:f>
        <x:v>114836.31984669721</x:v>
      </x:c>
      <x:c r="CI6" s="145" t="str">
        <x:f>IF(CC6&gt;1,"Inviavel","OK")</x:f>
        <x:v>OK</x:v>
      </x:c>
    </x:row>
    <x:row r="7">
      <x:c r="A7" s="142" t="n">
        <x:v>3</x:v>
      </x:c>
      <x:c r="B7" s="179" t="n">
        <x:f>EDATE(Premissas!$B$4,A7-1)</x:f>
        <x:v>46600</x:v>
      </x:c>
      <x:c r="C7" s="141" t="n">
        <x:f>IF(A7&lt;=Premissas!$B$39,Premissas!$B$42,0)</x:f>
        <x:v>7000</x:v>
      </x:c>
      <x:c r="D7" s="141" t="n">
        <x:f>Premissas!$B$54*(1+Premissas!$B$57)^INT((A7-1)/12)</x:f>
        <x:v>700</x:v>
      </x:c>
      <x:c r="E7" s="141" t="n">
        <x:f>Premissas!$B$64*(1+Premissas!$B$57)^INT((A7-1)/12)</x:f>
        <x:v>640</x:v>
      </x:c>
      <x:c r="F7" s="141" t="n">
        <x:f>MAX(0,Premissas!$B$6*(1+Premissas!$B$66)^((A7-1)/12))</x:f>
        <x:v>201951.75883583847</x:v>
      </x:c>
      <x:c r="G7" s="141" t="n">
        <x:f>G6*(1+Premissas!$B$41)+C7</x:f>
        <x:v>112915.98098741267</x:v>
      </x:c>
      <x:c r="H7" s="141" t="n">
        <x:f>IF($A7=Premissas!$B$48,Premissas!$B$8,0)</x:f>
        <x:v>0</x:v>
      </x:c>
      <x:c r="I7" s="141" t="n">
        <x:f>IF(AND($A7&gt;=Premissas!$B$48,$A7-Premissas!$B$48+1&lt;=Premissas!$B$13),INDEX(Financiamento!$J$6:$J$485,$A7-Premissas!$B$48+1),0)</x:f>
        <x:v>2041.9296939640815</x:v>
      </x:c>
      <x:c r="J7" s="141" t="n">
        <x:f>IF(AND(TRUE,Premissas!$B$11="Imovel",Premissas!$B$47="Moradia",$A7&lt;MAX(Premissas!$B$48,Premissas!$B$49)),$D7,0)</x:f>
        <x:v>0</x:v>
      </x:c>
      <x:c r="K7" s="141" t="n">
        <x:f>IF(AND(TRUE,Premissas!$B$11="Imovel",Premissas!$B$47="Investimento",$A7&gt;=MAX(Premissas!$B$48,Premissas!$B$49)),$E7,0)</x:f>
        <x:v>640</x:v>
      </x:c>
      <x:c r="L7" s="141" t="n">
        <x:f>H7+I7+J7</x:f>
        <x:v>2041.9296939640815</x:v>
      </x:c>
      <x:c r="M7" s="141" t="n">
        <x:f>K7</x:f>
        <x:v>640</x:v>
      </x:c>
      <x:c r="N7" s="141" t="n">
        <x:f>$C7+M7-L7</x:f>
        <x:v>5598.070306035918</x:v>
      </x:c>
      <x:c r="O7" s="141" t="n">
        <x:f>R6*(1+Premissas!$B$41)+N7</x:f>
        <x:v>67896.43641043939</x:v>
      </x:c>
      <x:c r="P7" s="141" t="n">
        <x:f>MAX(0,-O7)</x:f>
        <x:v>0</x:v>
      </x:c>
      <x:c r="Q7" s="141" t="n">
        <x:f>Q6*(1+Premissas!$B$41)+P7</x:f>
        <x:v>0</x:v>
      </x:c>
      <x:c r="R7" s="141" t="n">
        <x:f>MAX(0,O7)</x:f>
        <x:v>67896.43641043939</x:v>
      </x:c>
      <x:c r="S7" s="141" t="n">
        <x:f>IF(AND($A7&gt;=Premissas!$B$48,$A7-Premissas!$B$48+1&lt;=Premissas!$B$13),INDEX(Financiamento!$M$6:$M$485,$A7-Premissas!$B$48+1),0)</x:f>
        <x:v>158857.1428571429</x:v>
      </x:c>
      <x:c r="T7" s="141" t="n">
        <x:f>IF($A7&gt;=Premissas!$B$48,$F7,0)</x:f>
        <x:v>201951.75883583847</x:v>
      </x:c>
      <x:c r="U7" s="141" t="n">
        <x:f>R7+T7-S7</x:f>
        <x:v>110991.05238913494</x:v>
      </x:c>
      <x:c r="V7" s="141" t="n">
        <x:f>IF(Q7&gt;1,"Inviavel",U7)</x:f>
        <x:v>110991.05238913494</x:v>
      </x:c>
      <x:c r="W7" s="141" t="str">
        <x:f>IF(Q7&gt;1,"Inviavel","OK")</x:f>
        <x:v>OK</x:v>
      </x:c>
      <x:c r="X7" s="141" t="n">
        <x:f>IF($A7=Premissas!$B$48,Premissas!$B$8,0)</x:f>
        <x:v>0</x:v>
      </x:c>
      <x:c r="Y7" s="141" t="n">
        <x:f>IF(AND($A7&gt;=Premissas!$B$48,$A7-Premissas!$B$48+1&lt;=Premissas!$B$13),INDEX(Amortizacao!$K$6:$K$485,$A7-Premissas!$B$48+1),0)</x:f>
        <x:v>7000</x:v>
      </x:c>
      <x:c r="Z7" s="141" t="n">
        <x:f>IF(AND(TRUE,Premissas!$B$11="Imovel",Premissas!$B$47="Moradia",$A7&lt;MAX(Premissas!$B$48,Premissas!$B$49)),$D7,0)</x:f>
        <x:v>0</x:v>
      </x:c>
      <x:c r="AA7" s="141" t="n">
        <x:f>IF(AND(TRUE,Premissas!$B$11="Imovel",Premissas!$B$47="Investimento",$A7&gt;=MAX(Premissas!$B$48,Premissas!$B$49)),$E7,0)</x:f>
        <x:v>640</x:v>
      </x:c>
      <x:c r="AB7" s="141" t="n">
        <x:f>X7+Y7+Z7</x:f>
        <x:v>7000</x:v>
      </x:c>
      <x:c r="AC7" s="141" t="n">
        <x:f>AA7</x:f>
        <x:v>640</x:v>
      </x:c>
      <x:c r="AD7" s="141" t="n">
        <x:f>$C7+AC7-AB7</x:f>
        <x:v>640</x:v>
      </x:c>
      <x:c r="AE7" s="141" t="n">
        <x:f>AH6*(1+Premissas!$B$41)+AD7</x:f>
        <x:v>52891.657259262945</x:v>
      </x:c>
      <x:c r="AF7" s="141" t="n">
        <x:f>MAX(0,-AE7)</x:f>
        <x:v>0</x:v>
      </x:c>
      <x:c r="AG7" s="141" t="n">
        <x:f>AG6*(1+Premissas!$B$41)+AF7</x:f>
        <x:v>0</x:v>
      </x:c>
      <x:c r="AH7" s="141" t="n">
        <x:f>MAX(0,AE7)</x:f>
        <x:v>52891.657259262945</x:v>
      </x:c>
      <x:c r="AI7" s="141" t="n">
        <x:f>IF(AND($A7&gt;=Premissas!$B$48,$A7-Premissas!$B$48+1&lt;=Premissas!$B$13),INDEX(Amortizacao!$L$6:$L$485,$A7-Premissas!$B$48+1),0)</x:f>
        <x:v>143852.36370596648</x:v>
      </x:c>
      <x:c r="AJ7" s="141" t="n">
        <x:f>IF($A7&gt;=Premissas!$B$48,$F7,0)</x:f>
        <x:v>201951.75883583847</x:v>
      </x:c>
      <x:c r="AK7" s="141" t="n">
        <x:f>AH7+AJ7-AI7</x:f>
        <x:v>110991.05238913494</x:v>
      </x:c>
      <x:c r="AL7" s="141" t="n">
        <x:f>IF(AG7&gt;1,"Inviavel",AK7)</x:f>
        <x:v>110991.05238913494</x:v>
      </x:c>
      <x:c r="AM7" s="141" t="str">
        <x:f>IF(AG7&gt;1,"Inviavel","OK")</x:f>
        <x:v>OK</x:v>
      </x:c>
      <x:c r="AN7" s="141" t="n">
        <x:f>IF($A7=Premissas!$B$48,Premissas!$B$8,0)</x:f>
        <x:v>0</x:v>
      </x:c>
      <x:c r="AO7" s="141" t="n">
        <x:f>IF($A7&lt;=Premissas!$B$25,INDEX('Consorcio IQ'!$K$6:$K$485,$A7),0)</x:f>
        <x:v>2612.395550228105</x:v>
      </x:c>
      <x:c r="AP7" s="141" t="n">
        <x:f>IF(AND(TRUE,Premissas!$B$11="Imovel",Premissas!$B$47="Moradia",$A7&lt;MAX(Premissas!$B$48,Premissas!$B$49)),$D7,0)</x:f>
        <x:v>0</x:v>
      </x:c>
      <x:c r="AQ7" s="141" t="n">
        <x:f>IF(AND(TRUE,Premissas!$B$11="Imovel",Premissas!$B$47="Investimento",$A7&gt;=MAX(Premissas!$B$48,Premissas!$B$49)),$E7,0)</x:f>
        <x:v>640</x:v>
      </x:c>
      <x:c r="AR7" s="141" t="n">
        <x:f>AN7+AO7+AP7</x:f>
        <x:v>2612.395550228105</x:v>
      </x:c>
      <x:c r="AS7" s="141" t="n">
        <x:f>AQ7</x:f>
        <x:v>640</x:v>
      </x:c>
      <x:c r="AT7" s="141" t="n">
        <x:f>$C7+AS7-AR7</x:f>
        <x:v>5027.604449771895</x:v>
      </x:c>
      <x:c r="AU7" s="141" t="n">
        <x:f>AX6*(1+Premissas!$B$41)+AT7</x:f>
        <x:v>66168.74838134483</x:v>
      </x:c>
      <x:c r="AV7" s="141" t="n">
        <x:f>MAX(0,-AU7)</x:f>
        <x:v>0</x:v>
      </x:c>
      <x:c r="AW7" s="141" t="n">
        <x:f>AW6*(1+Premissas!$B$41)+AV7</x:f>
        <x:v>0</x:v>
      </x:c>
      <x:c r="AX7" s="141" t="n">
        <x:f>MAX(0,AU7)</x:f>
        <x:v>66168.74838134483</x:v>
      </x:c>
      <x:c r="AY7" s="141" t="n">
        <x:f>INDEX('Consorcio IQ'!$P$6:$P$485,$A7)</x:f>
        <x:v>239699.36088715703</x:v>
      </x:c>
      <x:c r="AZ7" s="141" t="n">
        <x:f>IF($A7&gt;=Premissas!$B$48,$F7,0)+IF($A7&lt;Premissas!$B$27,INDEX('Consorcio IQ'!$O$6:$O$485,$A7),0)</x:f>
        <x:v>282006.59726454015</x:v>
      </x:c>
      <x:c r="BA7" s="141" t="n">
        <x:f>AX7+AZ7-AY7</x:f>
        <x:v>108475.98475872795</x:v>
      </x:c>
      <x:c r="BB7" s="141" t="n">
        <x:f>IF(AW7&gt;1,"Inviavel",BA7)</x:f>
        <x:v>108475.98475872795</x:v>
      </x:c>
      <x:c r="BC7" s="141" t="str">
        <x:f>IF(AW7&gt;1,"Inviavel","OK")</x:f>
        <x:v>OK</x:v>
      </x:c>
      <x:c r="BD7" s="141" t="n">
        <x:f>IF($A7='Consorcio Direto'!$B$29,'Consorcio Direto'!$B$44,0)</x:f>
        <x:v>0</x:v>
      </x:c>
      <x:c r="BE7" s="141" t="n">
        <x:f>IF($A7&lt;='Consorcio Direto'!$B$27,INDEX('Consorcio Direto'!$E$55:$E$534,$A7),0)</x:f>
        <x:v>1477.2217705578066</x:v>
      </x:c>
      <x:c r="BF7" s="141" t="n">
        <x:f>IF(AND(TRUE,Premissas!$B$11="Imovel",Premissas!$B$47="Moradia",$A7&lt;MAX('Consorcio Direto'!$B$29,Premissas!$B$49)),$D7,0)</x:f>
        <x:v>0</x:v>
      </x:c>
      <x:c r="BG7" s="141" t="n">
        <x:f>IF(AND(TRUE,Premissas!$B$11="Imovel",Premissas!$B$47="Investimento",$A7&gt;=MAX('Consorcio Direto'!$B$29,Premissas!$B$49)),$E7,0)</x:f>
        <x:v>0</x:v>
      </x:c>
      <x:c r="BH7" s="141" t="n">
        <x:f>BD7+BE7+BF7</x:f>
        <x:v>1477.2217705578066</x:v>
      </x:c>
      <x:c r="BI7" s="141" t="n">
        <x:f>BG7</x:f>
        <x:v>0</x:v>
      </x:c>
      <x:c r="BJ7" s="141" t="n">
        <x:f>$C7+BI7-BH7</x:f>
        <x:v>5522.778229442193</x:v>
      </x:c>
      <x:c r="BK7" s="141" t="n">
        <x:f>BN6*(1+Premissas!$B$41)+BJ7</x:f>
        <x:v>108442.13151634218</x:v>
      </x:c>
      <x:c r="BL7" s="141" t="n">
        <x:f>MAX(0,-BK7)</x:f>
        <x:v>0</x:v>
      </x:c>
      <x:c r="BM7" s="141" t="n">
        <x:f>BM6*(1+Premissas!$B$41)+BL7</x:f>
        <x:v>0</x:v>
      </x:c>
      <x:c r="BN7" s="141" t="n">
        <x:f>MAX(0,BK7)</x:f>
        <x:v>108442.13151634218</x:v>
      </x:c>
      <x:c r="BO7" s="141" t="n">
        <x:f>INDEX('Consorcio Direto'!$K$55:$K$534,$A7)</x:f>
        <x:v>209340.98534171833</x:v>
      </x:c>
      <x:c r="BP7" s="141" t="n">
        <x:f>IF($A7&lt;'Consorcio Direto'!$B$29,INDEX('Consorcio Direto'!$L$55:$L$534,$A7),$F7)</x:f>
        <x:v>155476.54894699765</x:v>
      </x:c>
      <x:c r="BQ7" s="141" t="n">
        <x:f>BN7+BP7-BO7</x:f>
        <x:v>54577.69512162151</x:v>
      </x:c>
      <x:c r="BR7" s="141" t="n">
        <x:f>IF(BM7&gt;1,"Inviavel",BQ7)</x:f>
        <x:v>54577.69512162151</x:v>
      </x:c>
      <x:c r="BS7" s="141" t="str">
        <x:f>IF(BM7&gt;1,"Inviavel","OK")</x:f>
        <x:v>OK</x:v>
      </x:c>
      <x:c r="BT7" s="141" t="n">
        <x:f>IF(AND('Carta Contemplada'!$B$22="Sim",$A7='Carta Contemplada'!$B$23),'Carta Contemplada'!$B$37,0)</x:f>
        <x:v>0</x:v>
      </x:c>
      <x:c r="BU7" s="141" t="n">
        <x:f>IF('Carta Contemplada'!$B$22="Sim",INDEX('Carta Contemplada'!$C$55:$C$1013,$A7),0)</x:f>
        <x:v>1200</x:v>
      </x:c>
      <x:c r="BV7" s="141" t="n">
        <x:f>IF(AND('Carta Contemplada'!$B$22="Sim",Premissas!$B$11="Imovel",Premissas!$B$47="Moradia",$A7&lt;MAX('Carta Contemplada'!$B$44,Premissas!$B$49)),$D7,0)</x:f>
        <x:v>0</x:v>
      </x:c>
      <x:c r="BW7" s="141" t="n">
        <x:f>IF(AND('Carta Contemplada'!$B$22="Sim",Premissas!$B$11="Imovel",Premissas!$B$47="Investimento",$A7&gt;=MAX('Carta Contemplada'!$B$44,Premissas!$B$49)),$E7,0)</x:f>
        <x:v>640</x:v>
      </x:c>
      <x:c r="BX7" s="141" t="n">
        <x:f>BT7+BU7+BV7</x:f>
        <x:v>1200</x:v>
      </x:c>
      <x:c r="BY7" s="141" t="n">
        <x:f>BW7</x:f>
        <x:v>640</x:v>
      </x:c>
      <x:c r="BZ7" s="141" t="n">
        <x:f>$C7+BY7-BX7</x:f>
        <x:v>6440</x:v>
      </x:c>
      <x:c r="CA7" s="141" t="n">
        <x:f>CD6*(1+Premissas!$B$41)+BZ7</x:f>
        <x:v>63323.8111106109</x:v>
      </x:c>
      <x:c r="CB7" s="141" t="n">
        <x:f>MAX(0,-CA7)</x:f>
        <x:v>0</x:v>
      </x:c>
      <x:c r="CC7" s="141" t="n">
        <x:f>CC6*(1+Premissas!$B$41)+CB7</x:f>
        <x:v>0</x:v>
      </x:c>
      <x:c r="CD7" s="141" t="n">
        <x:f>MAX(0,CA7)</x:f>
        <x:v>63323.8111106109</x:v>
      </x:c>
      <x:c r="CE7" s="141" t="n">
        <x:f>IF(AND('Carta Contemplada'!$B$22="Sim",$A7&gt;='Carta Contemplada'!$B$23),INDEX('Carta Contemplada'!$I$55:$I$1013,$A7),0)</x:f>
        <x:v>142638.33933938667</x:v>
      </x:c>
      <x:c r="CF7" s="141" t="n">
        <x:f>IF(AND('Carta Contemplada'!$B$22="Sim",$A7&gt;='Carta Contemplada'!$B$44),$F7,0)</x:f>
        <x:v>201951.75883583847</x:v>
      </x:c>
      <x:c r="CG7" s="141" t="n">
        <x:f>CD7+CF7-CE7</x:f>
        <x:v>122637.2306070627</x:v>
      </x:c>
      <x:c r="CH7" s="141" t="n">
        <x:f>IF(CC7&gt;1,"Inviavel",CG7)</x:f>
        <x:v>122637.2306070627</x:v>
      </x:c>
      <x:c r="CI7" s="145" t="str">
        <x:f>IF(CC7&gt;1,"Inviavel","OK")</x:f>
        <x:v>OK</x:v>
      </x:c>
    </x:row>
    <x:row r="8">
      <x:c r="A8" s="142" t="n">
        <x:v>4</x:v>
      </x:c>
      <x:c r="B8" s="179" t="n">
        <x:f>EDATE(Premissas!$B$4,A8-1)</x:f>
        <x:v>46631</x:v>
      </x:c>
      <x:c r="C8" s="141" t="n">
        <x:f>IF(A8&lt;=Premissas!$B$39,Premissas!$B$42,0)</x:f>
        <x:v>7000</x:v>
      </x:c>
      <x:c r="D8" s="141" t="n">
        <x:f>Premissas!$B$54*(1+Premissas!$B$57)^INT((A8-1)/12)</x:f>
        <x:v>700</x:v>
      </x:c>
      <x:c r="E8" s="141" t="n">
        <x:f>Premissas!$B$64*(1+Premissas!$B$57)^INT((A8-1)/12)</x:f>
        <x:v>640</x:v>
      </x:c>
      <x:c r="F8" s="141" t="n">
        <x:f>MAX(0,Premissas!$B$6*(1+Premissas!$B$66)^((A8-1)/12))</x:f>
        <x:v>202934.76923373187</x:v>
      </x:c>
      <x:c r="G8" s="141" t="n">
        <x:f>G7*(1+Premissas!$B$41)+C8</x:f>
        <x:v>120987.41735000754</x:v>
      </x:c>
      <x:c r="H8" s="141" t="n">
        <x:f>IF($A8=Premissas!$B$48,Premissas!$B$8,0)</x:f>
        <x:v>0</x:v>
      </x:c>
      <x:c r="I8" s="141" t="n">
        <x:f>IF(AND($A8&gt;=Premissas!$B$48,$A8-Premissas!$B$48+1&lt;=Premissas!$B$13),INDEX(Financiamento!$J$6:$J$485,$A8-Premissas!$B$48+1),0)</x:f>
        <x:v>2038.314915703288</x:v>
      </x:c>
      <x:c r="J8" s="141" t="n">
        <x:f>IF(AND(TRUE,Premissas!$B$11="Imovel",Premissas!$B$47="Moradia",$A8&lt;MAX(Premissas!$B$48,Premissas!$B$49)),$D8,0)</x:f>
        <x:v>0</x:v>
      </x:c>
      <x:c r="K8" s="141" t="n">
        <x:f>IF(AND(TRUE,Premissas!$B$11="Imovel",Premissas!$B$47="Investimento",$A8&gt;=MAX(Premissas!$B$48,Premissas!$B$49)),$E8,0)</x:f>
        <x:v>640</x:v>
      </x:c>
      <x:c r="L8" s="141" t="n">
        <x:f>H8+I8+J8</x:f>
        <x:v>2038.314915703288</x:v>
      </x:c>
      <x:c r="M8" s="141" t="n">
        <x:f>K8</x:f>
        <x:v>640</x:v>
      </x:c>
      <x:c r="N8" s="141" t="n">
        <x:f>$C8+M8-L8</x:f>
        <x:v>5601.685084296712</x:v>
      </x:c>
      <x:c r="O8" s="141" t="n">
        <x:f>R7*(1+Premissas!$B$41)+N8</x:f>
        <x:v>74142.37672083084</x:v>
      </x:c>
      <x:c r="P8" s="141" t="n">
        <x:f>MAX(0,-O8)</x:f>
        <x:v>0</x:v>
      </x:c>
      <x:c r="Q8" s="141" t="n">
        <x:f>Q7*(1+Premissas!$B$41)+P8</x:f>
        <x:v>0</x:v>
      </x:c>
      <x:c r="R8" s="141" t="n">
        <x:f>MAX(0,O8)</x:f>
        <x:v>74142.37672083084</x:v>
      </x:c>
      <x:c r="S8" s="141" t="n">
        <x:f>IF(AND($A8&gt;=Premissas!$B$48,$A8-Premissas!$B$48+1&lt;=Premissas!$B$13),INDEX(Financiamento!$M$6:$M$485,$A8-Premissas!$B$48+1),0)</x:f>
        <x:v>158476.19047619053</x:v>
      </x:c>
      <x:c r="T8" s="141" t="n">
        <x:f>IF($A8&gt;=Premissas!$B$48,$F8,0)</x:f>
        <x:v>202934.76923373187</x:v>
      </x:c>
      <x:c r="U8" s="141" t="n">
        <x:f>R8+T8-S8</x:f>
        <x:v>118600.95547837217</x:v>
      </x:c>
      <x:c r="V8" s="141" t="n">
        <x:f>IF(Q8&gt;1,"Inviavel",U8)</x:f>
        <x:v>118600.95547837217</x:v>
      </x:c>
      <x:c r="W8" s="141" t="str">
        <x:f>IF(Q8&gt;1,"Inviavel","OK")</x:f>
        <x:v>OK</x:v>
      </x:c>
      <x:c r="X8" s="141" t="n">
        <x:f>IF($A8=Premissas!$B$48,Premissas!$B$8,0)</x:f>
        <x:v>0</x:v>
      </x:c>
      <x:c r="Y8" s="141" t="n">
        <x:f>IF(AND($A8&gt;=Premissas!$B$48,$A8-Premissas!$B$48+1&lt;=Premissas!$B$13),INDEX(Amortizacao!$K$6:$K$485,$A8-Premissas!$B$48+1),0)</x:f>
        <x:v>7000</x:v>
      </x:c>
      <x:c r="Z8" s="141" t="n">
        <x:f>IF(AND(TRUE,Premissas!$B$11="Imovel",Premissas!$B$47="Moradia",$A8&lt;MAX(Premissas!$B$48,Premissas!$B$49)),$D8,0)</x:f>
        <x:v>0</x:v>
      </x:c>
      <x:c r="AA8" s="141" t="n">
        <x:f>IF(AND(TRUE,Premissas!$B$11="Imovel",Premissas!$B$47="Investimento",$A8&gt;=MAX(Premissas!$B$48,Premissas!$B$49)),$E8,0)</x:f>
        <x:v>640</x:v>
      </x:c>
      <x:c r="AB8" s="141" t="n">
        <x:f>X8+Y8+Z8</x:f>
        <x:v>7000</x:v>
      </x:c>
      <x:c r="AC8" s="141" t="n">
        <x:f>AA8</x:f>
        <x:v>640</x:v>
      </x:c>
      <x:c r="AD8" s="141" t="n">
        <x:f>$C8+AC8-AB8</x:f>
        <x:v>640</x:v>
      </x:c>
      <x:c r="AE8" s="141" t="n">
        <x:f>AH7*(1+Premissas!$B$41)+AD8</x:f>
        <x:v>54033.53524296303</x:v>
      </x:c>
      <x:c r="AF8" s="141" t="n">
        <x:f>MAX(0,-AE8)</x:f>
        <x:v>0</x:v>
      </x:c>
      <x:c r="AG8" s="141" t="n">
        <x:f>AG7*(1+Premissas!$B$41)+AF8</x:f>
        <x:v>0</x:v>
      </x:c>
      <x:c r="AH8" s="141" t="n">
        <x:f>MAX(0,AE8)</x:f>
        <x:v>54033.53524296303</x:v>
      </x:c>
      <x:c r="AI8" s="141" t="n">
        <x:f>IF(AND($A8&gt;=Premissas!$B$48,$A8-Premissas!$B$48+1&lt;=Premissas!$B$13),INDEX(Amortizacao!$L$6:$L$485,$A8-Premissas!$B$48+1),0)</x:f>
        <x:v>138367.34899832273</x:v>
      </x:c>
      <x:c r="AJ8" s="141" t="n">
        <x:f>IF($A8&gt;=Premissas!$B$48,$F8,0)</x:f>
        <x:v>202934.76923373187</x:v>
      </x:c>
      <x:c r="AK8" s="141" t="n">
        <x:f>AH8+AJ8-AI8</x:f>
        <x:v>118600.95547837217</x:v>
      </x:c>
      <x:c r="AL8" s="141" t="n">
        <x:f>IF(AG8&gt;1,"Inviavel",AK8)</x:f>
        <x:v>118600.95547837217</x:v>
      </x:c>
      <x:c r="AM8" s="141" t="str">
        <x:f>IF(AG8&gt;1,"Inviavel","OK")</x:f>
        <x:v>OK</x:v>
      </x:c>
      <x:c r="AN8" s="141" t="n">
        <x:f>IF($A8=Premissas!$B$48,Premissas!$B$8,0)</x:f>
        <x:v>0</x:v>
      </x:c>
      <x:c r="AO8" s="141" t="n">
        <x:f>IF($A8&lt;=Premissas!$B$25,INDEX('Consorcio IQ'!$K$6:$K$485,$A8),0)</x:f>
        <x:v>2608.7807719673115</x:v>
      </x:c>
      <x:c r="AP8" s="141" t="n">
        <x:f>IF(AND(TRUE,Premissas!$B$11="Imovel",Premissas!$B$47="Moradia",$A8&lt;MAX(Premissas!$B$48,Premissas!$B$49)),$D8,0)</x:f>
        <x:v>0</x:v>
      </x:c>
      <x:c r="AQ8" s="141" t="n">
        <x:f>IF(AND(TRUE,Premissas!$B$11="Imovel",Premissas!$B$47="Investimento",$A8&gt;=MAX(Premissas!$B$48,Premissas!$B$49)),$E8,0)</x:f>
        <x:v>640</x:v>
      </x:c>
      <x:c r="AR8" s="141" t="n">
        <x:f>AN8+AO8+AP8</x:f>
        <x:v>2608.7807719673115</x:v>
      </x:c>
      <x:c r="AS8" s="141" t="n">
        <x:f>AQ8</x:f>
        <x:v>640</x:v>
      </x:c>
      <x:c r="AT8" s="141" t="n">
        <x:f>$C8+AS8-AR8</x:f>
        <x:v>5031.219228032689</x:v>
      </x:c>
      <x:c r="AU8" s="141" t="n">
        <x:f>AX7*(1+Premissas!$B$41)+AT8</x:f>
        <x:v>71827.82916150863</x:v>
      </x:c>
      <x:c r="AV8" s="141" t="n">
        <x:f>MAX(0,-AU8)</x:f>
        <x:v>0</x:v>
      </x:c>
      <x:c r="AW8" s="141" t="n">
        <x:f>AW7*(1+Premissas!$B$41)+AV8</x:f>
        <x:v>0</x:v>
      </x:c>
      <x:c r="AX8" s="141" t="n">
        <x:f>MAX(0,AU8)</x:f>
        <x:v>71827.82916150863</x:v>
      </x:c>
      <x:c r="AY8" s="141" t="n">
        <x:f>INDEX('Consorcio IQ'!$P$6:$P$485,$A8)</x:f>
        <x:v>239515.03771719988</x:v>
      </x:c>
      <x:c r="AZ8" s="141" t="n">
        <x:f>IF($A8&gt;=Premissas!$B$48,$F8,0)+IF($A8&lt;Premissas!$B$27,INDEX('Consorcio IQ'!$O$6:$O$485,$A8),0)</x:f>
        <x:v>283749.231447695</x:v>
      </x:c>
      <x:c r="BA8" s="141" t="n">
        <x:f>AX8+AZ8-AY8</x:f>
        <x:v>116062.02289200376</x:v>
      </x:c>
      <x:c r="BB8" s="141" t="n">
        <x:f>IF(AW8&gt;1,"Inviavel",BA8)</x:f>
        <x:v>116062.02289200376</x:v>
      </x:c>
      <x:c r="BC8" s="141" t="str">
        <x:f>IF(AW8&gt;1,"Inviavel","OK")</x:f>
        <x:v>OK</x:v>
      </x:c>
      <x:c r="BD8" s="141" t="n">
        <x:f>IF($A8='Consorcio Direto'!$B$29,'Consorcio Direto'!$B$44,0)</x:f>
        <x:v>0</x:v>
      </x:c>
      <x:c r="BE8" s="141" t="n">
        <x:f>IF($A8&lt;='Consorcio Direto'!$B$27,INDEX('Consorcio Direto'!$E$55:$E$534,$A8),0)</x:f>
        <x:v>1477.2217705578066</x:v>
      </x:c>
      <x:c r="BF8" s="141" t="n">
        <x:f>IF(AND(TRUE,Premissas!$B$11="Imovel",Premissas!$B$47="Moradia",$A8&lt;MAX('Consorcio Direto'!$B$29,Premissas!$B$49)),$D8,0)</x:f>
        <x:v>0</x:v>
      </x:c>
      <x:c r="BG8" s="141" t="n">
        <x:f>IF(AND(TRUE,Premissas!$B$11="Imovel",Premissas!$B$47="Investimento",$A8&gt;=MAX('Consorcio Direto'!$B$29,Premissas!$B$49)),$E8,0)</x:f>
        <x:v>0</x:v>
      </x:c>
      <x:c r="BH8" s="141" t="n">
        <x:f>BD8+BE8+BF8</x:f>
        <x:v>1477.2217705578066</x:v>
      </x:c>
      <x:c r="BI8" s="141" t="n">
        <x:f>BG8</x:f>
        <x:v>0</x:v>
      </x:c>
      <x:c r="BJ8" s="141" t="n">
        <x:f>$C8+BI8-BH8</x:f>
        <x:v>5522.778229442193</x:v>
      </x:c>
      <x:c r="BK8" s="141" t="n">
        <x:f>BN7*(1+Premissas!$B$41)+BJ8</x:f>
        <x:v>114993.89467712777</x:v>
      </x:c>
      <x:c r="BL8" s="141" t="n">
        <x:f>MAX(0,-BK8)</x:f>
        <x:v>0</x:v>
      </x:c>
      <x:c r="BM8" s="141" t="n">
        <x:f>BM7*(1+Premissas!$B$41)+BL8</x:f>
        <x:v>0</x:v>
      </x:c>
      <x:c r="BN8" s="141" t="n">
        <x:f>MAX(0,BK8)</x:f>
        <x:v>114993.89467712777</x:v>
      </x:c>
      <x:c r="BO8" s="141" t="n">
        <x:f>INDEX('Consorcio Direto'!$K$55:$K$534,$A8)</x:f>
        <x:v>209850.1568337897</x:v>
      </x:c>
      <x:c r="BP8" s="141" t="n">
        <x:f>IF($A8&lt;'Consorcio Direto'!$B$29,INDEX('Consorcio Direto'!$L$55:$L$534,$A8),$F8)</x:f>
        <x:v>156951.83372613927</x:v>
      </x:c>
      <x:c r="BQ8" s="141" t="n">
        <x:f>BN8+BP8-BO8</x:f>
        <x:v>62095.57156947735</x:v>
      </x:c>
      <x:c r="BR8" s="141" t="n">
        <x:f>IF(BM8&gt;1,"Inviavel",BQ8)</x:f>
        <x:v>62095.57156947735</x:v>
      </x:c>
      <x:c r="BS8" s="141" t="str">
        <x:f>IF(BM8&gt;1,"Inviavel","OK")</x:f>
        <x:v>OK</x:v>
      </x:c>
      <x:c r="BT8" s="141" t="n">
        <x:f>IF(AND('Carta Contemplada'!$B$22="Sim",$A8='Carta Contemplada'!$B$23),'Carta Contemplada'!$B$37,0)</x:f>
        <x:v>0</x:v>
      </x:c>
      <x:c r="BU8" s="141" t="n">
        <x:f>IF('Carta Contemplada'!$B$22="Sim",INDEX('Carta Contemplada'!$C$55:$C$1013,$A8),0)</x:f>
        <x:v>1200</x:v>
      </x:c>
      <x:c r="BV8" s="141" t="n">
        <x:f>IF(AND('Carta Contemplada'!$B$22="Sim",Premissas!$B$11="Imovel",Premissas!$B$47="Moradia",$A8&lt;MAX('Carta Contemplada'!$B$44,Premissas!$B$49)),$D8,0)</x:f>
        <x:v>0</x:v>
      </x:c>
      <x:c r="BW8" s="141" t="n">
        <x:f>IF(AND('Carta Contemplada'!$B$22="Sim",Premissas!$B$11="Imovel",Premissas!$B$47="Investimento",$A8&gt;=MAX('Carta Contemplada'!$B$44,Premissas!$B$49)),$E8,0)</x:f>
        <x:v>640</x:v>
      </x:c>
      <x:c r="BX8" s="141" t="n">
        <x:f>BT8+BU8+BV8</x:f>
        <x:v>1200</x:v>
      </x:c>
      <x:c r="BY8" s="141" t="n">
        <x:f>BW8</x:f>
        <x:v>640</x:v>
      </x:c>
      <x:c r="BZ8" s="141" t="n">
        <x:f>$C8+BY8-BX8</x:f>
        <x:v>6440</x:v>
      </x:c>
      <x:c r="CA8" s="141" t="n">
        <x:f>CD7*(1+Premissas!$B$41)+BZ8</x:f>
        <x:v>70364.67764206813</x:v>
      </x:c>
      <x:c r="CB8" s="141" t="n">
        <x:f>MAX(0,-CA8)</x:f>
        <x:v>0</x:v>
      </x:c>
      <x:c r="CC8" s="141" t="n">
        <x:f>CC7*(1+Premissas!$B$41)+CB8</x:f>
        <x:v>0</x:v>
      </x:c>
      <x:c r="CD8" s="141" t="n">
        <x:f>MAX(0,CA8)</x:f>
        <x:v>70364.67764206813</x:v>
      </x:c>
      <x:c r="CE8" s="141" t="n">
        <x:f>IF(AND('Carta Contemplada'!$B$22="Sim",$A8&gt;='Carta Contemplada'!$B$23),INDEX('Carta Contemplada'!$I$55:$I$1013,$A8),0)</x:f>
        <x:v>142791.8050059109</x:v>
      </x:c>
      <x:c r="CF8" s="141" t="n">
        <x:f>IF(AND('Carta Contemplada'!$B$22="Sim",$A8&gt;='Carta Contemplada'!$B$44),$F8,0)</x:f>
        <x:v>202934.76923373187</x:v>
      </x:c>
      <x:c r="CG8" s="141" t="n">
        <x:f>CD8+CF8-CE8</x:f>
        <x:v>130507.64186988914</x:v>
      </x:c>
      <x:c r="CH8" s="141" t="n">
        <x:f>IF(CC8&gt;1,"Inviavel",CG8)</x:f>
        <x:v>130507.64186988914</x:v>
      </x:c>
      <x:c r="CI8" s="145" t="str">
        <x:f>IF(CC8&gt;1,"Inviavel","OK")</x:f>
        <x:v>OK</x:v>
      </x:c>
    </x:row>
    <x:row r="9">
      <x:c r="A9" s="142" t="n">
        <x:v>5</x:v>
      </x:c>
      <x:c r="B9" s="179" t="n">
        <x:f>EDATE(Premissas!$B$4,A9-1)</x:f>
        <x:v>46661</x:v>
      </x:c>
      <x:c r="C9" s="141" t="n">
        <x:f>IF(A9&lt;=Premissas!$B$39,Premissas!$B$42,0)</x:f>
        <x:v>7000</x:v>
      </x:c>
      <x:c r="D9" s="141" t="n">
        <x:f>Premissas!$B$54*(1+Premissas!$B$57)^INT((A9-1)/12)</x:f>
        <x:v>700</x:v>
      </x:c>
      <x:c r="E9" s="141" t="n">
        <x:f>Premissas!$B$64*(1+Premissas!$B$57)^INT((A9-1)/12)</x:f>
        <x:v>640</x:v>
      </x:c>
      <x:c r="F9" s="141" t="n">
        <x:f>MAX(0,Premissas!$B$6*(1+Premissas!$B$66)^((A9-1)/12))</x:f>
        <x:v>203922.56448444325</x:v>
      </x:c>
      <x:c r="G9" s="141" t="n">
        <x:f>G8*(1+Premissas!$B$41)+C9</x:f>
        <x:v>129135.44190093175</x:v>
      </x:c>
      <x:c r="H9" s="141" t="n">
        <x:f>IF($A9=Premissas!$B$48,Premissas!$B$8,0)</x:f>
        <x:v>0</x:v>
      </x:c>
      <x:c r="I9" s="141" t="n">
        <x:f>IF(AND($A9&gt;=Premissas!$B$48,$A9-Premissas!$B$48+1&lt;=Premissas!$B$13),INDEX(Financiamento!$J$6:$J$485,$A9-Premissas!$B$48+1),0)</x:f>
        <x:v>2034.700137442495</x:v>
      </x:c>
      <x:c r="J9" s="141" t="n">
        <x:f>IF(AND(TRUE,Premissas!$B$11="Imovel",Premissas!$B$47="Moradia",$A9&lt;MAX(Premissas!$B$48,Premissas!$B$49)),$D9,0)</x:f>
        <x:v>0</x:v>
      </x:c>
      <x:c r="K9" s="141" t="n">
        <x:f>IF(AND(TRUE,Premissas!$B$11="Imovel",Premissas!$B$47="Investimento",$A9&gt;=MAX(Premissas!$B$48,Premissas!$B$49)),$E9,0)</x:f>
        <x:v>640</x:v>
      </x:c>
      <x:c r="L9" s="141" t="n">
        <x:f>H9+I9+J9</x:f>
        <x:v>2034.700137442495</x:v>
      </x:c>
      <x:c r="M9" s="141" t="n">
        <x:f>K9</x:f>
        <x:v>640</x:v>
      </x:c>
      <x:c r="N9" s="141" t="n">
        <x:f>$C9+M9-L9</x:f>
        <x:v>5605.299862557506</x:v>
      </x:c>
      <x:c r="O9" s="141" t="n">
        <x:f>R8*(1+Premissas!$B$41)+N9</x:f>
        <x:v>80451.19824377017</x:v>
      </x:c>
      <x:c r="P9" s="141" t="n">
        <x:f>MAX(0,-O9)</x:f>
        <x:v>0</x:v>
      </x:c>
      <x:c r="Q9" s="141" t="n">
        <x:f>Q8*(1+Premissas!$B$41)+P9</x:f>
        <x:v>0</x:v>
      </x:c>
      <x:c r="R9" s="141" t="n">
        <x:f>MAX(0,O9)</x:f>
        <x:v>80451.19824377017</x:v>
      </x:c>
      <x:c r="S9" s="141" t="n">
        <x:f>IF(AND($A9&gt;=Premissas!$B$48,$A9-Premissas!$B$48+1&lt;=Premissas!$B$13),INDEX(Financiamento!$M$6:$M$485,$A9-Premissas!$B$48+1),0)</x:f>
        <x:v>158095.23809523816</x:v>
      </x:c>
      <x:c r="T9" s="141" t="n">
        <x:f>IF($A9&gt;=Premissas!$B$48,$F9,0)</x:f>
        <x:v>203922.56448444325</x:v>
      </x:c>
      <x:c r="U9" s="141" t="n">
        <x:f>R9+T9-S9</x:f>
        <x:v>126278.52463297528</x:v>
      </x:c>
      <x:c r="V9" s="141" t="n">
        <x:f>IF(Q9&gt;1,"Inviavel",U9)</x:f>
        <x:v>126278.52463297528</x:v>
      </x:c>
      <x:c r="W9" s="141" t="str">
        <x:f>IF(Q9&gt;1,"Inviavel","OK")</x:f>
        <x:v>OK</x:v>
      </x:c>
      <x:c r="X9" s="141" t="n">
        <x:f>IF($A9=Premissas!$B$48,Premissas!$B$8,0)</x:f>
        <x:v>0</x:v>
      </x:c>
      <x:c r="Y9" s="141" t="n">
        <x:f>IF(AND($A9&gt;=Premissas!$B$48,$A9-Premissas!$B$48+1&lt;=Premissas!$B$13),INDEX(Amortizacao!$K$6:$K$485,$A9-Premissas!$B$48+1),0)</x:f>
        <x:v>7000</x:v>
      </x:c>
      <x:c r="Z9" s="141" t="n">
        <x:f>IF(AND(TRUE,Premissas!$B$11="Imovel",Premissas!$B$47="Moradia",$A9&lt;MAX(Premissas!$B$48,Premissas!$B$49)),$D9,0)</x:f>
        <x:v>0</x:v>
      </x:c>
      <x:c r="AA9" s="141" t="n">
        <x:f>IF(AND(TRUE,Premissas!$B$11="Imovel",Premissas!$B$47="Investimento",$A9&gt;=MAX(Premissas!$B$48,Premissas!$B$49)),$E9,0)</x:f>
        <x:v>640</x:v>
      </x:c>
      <x:c r="AB9" s="141" t="n">
        <x:f>X9+Y9+Z9</x:f>
        <x:v>7000</x:v>
      </x:c>
      <x:c r="AC9" s="141" t="n">
        <x:f>AA9</x:f>
        <x:v>640</x:v>
      </x:c>
      <x:c r="AD9" s="141" t="n">
        <x:f>$C9+AC9-AB9</x:f>
        <x:v>640</x:v>
      </x:c>
      <x:c r="AE9" s="141" t="n">
        <x:f>AH8*(1+Premissas!$B$41)+AD9</x:f>
        <x:v>55186.248270407</x:v>
      </x:c>
      <x:c r="AF9" s="141" t="n">
        <x:f>MAX(0,-AE9)</x:f>
        <x:v>0</x:v>
      </x:c>
      <x:c r="AG9" s="141" t="n">
        <x:f>AG8*(1+Premissas!$B$41)+AF9</x:f>
        <x:v>0</x:v>
      </x:c>
      <x:c r="AH9" s="141" t="n">
        <x:f>MAX(0,AE9)</x:f>
        <x:v>55186.248270407</x:v>
      </x:c>
      <x:c r="AI9" s="141" t="n">
        <x:f>IF(AND($A9&gt;=Premissas!$B$48,$A9-Premissas!$B$48+1&lt;=Premissas!$B$13),INDEX(Amortizacao!$L$6:$L$485,$A9-Premissas!$B$48+1),0)</x:f>
        <x:v>132830.28812187503</x:v>
      </x:c>
      <x:c r="AJ9" s="141" t="n">
        <x:f>IF($A9&gt;=Premissas!$B$48,$F9,0)</x:f>
        <x:v>203922.56448444325</x:v>
      </x:c>
      <x:c r="AK9" s="141" t="n">
        <x:f>AH9+AJ9-AI9</x:f>
        <x:v>126278.52463297523</x:v>
      </x:c>
      <x:c r="AL9" s="141" t="n">
        <x:f>IF(AG9&gt;1,"Inviavel",AK9)</x:f>
        <x:v>126278.52463297523</x:v>
      </x:c>
      <x:c r="AM9" s="141" t="str">
        <x:f>IF(AG9&gt;1,"Inviavel","OK")</x:f>
        <x:v>OK</x:v>
      </x:c>
      <x:c r="AN9" s="141" t="n">
        <x:f>IF($A9=Premissas!$B$48,Premissas!$B$8,0)</x:f>
        <x:v>0</x:v>
      </x:c>
      <x:c r="AO9" s="141" t="n">
        <x:f>IF($A9&lt;=Premissas!$B$25,INDEX('Consorcio IQ'!$K$6:$K$485,$A9),0)</x:f>
        <x:v>2605.1659937065183</x:v>
      </x:c>
      <x:c r="AP9" s="141" t="n">
        <x:f>IF(AND(TRUE,Premissas!$B$11="Imovel",Premissas!$B$47="Moradia",$A9&lt;MAX(Premissas!$B$48,Premissas!$B$49)),$D9,0)</x:f>
        <x:v>0</x:v>
      </x:c>
      <x:c r="AQ9" s="141" t="n">
        <x:f>IF(AND(TRUE,Premissas!$B$11="Imovel",Premissas!$B$47="Investimento",$A9&gt;=MAX(Premissas!$B$48,Premissas!$B$49)),$E9,0)</x:f>
        <x:v>640</x:v>
      </x:c>
      <x:c r="AR9" s="141" t="n">
        <x:f>AN9+AO9+AP9</x:f>
        <x:v>2605.1659937065183</x:v>
      </x:c>
      <x:c r="AS9" s="141" t="n">
        <x:f>AQ9</x:f>
        <x:v>640</x:v>
      </x:c>
      <x:c r="AT9" s="141" t="n">
        <x:f>$C9+AS9-AR9</x:f>
        <x:v>5034.834006293482</x:v>
      </x:c>
      <x:c r="AU9" s="141" t="n">
        <x:f>AX8*(1+Premissas!$B$41)+AT9</x:f>
        <x:v>77544.22256565628</x:v>
      </x:c>
      <x:c r="AV9" s="141" t="n">
        <x:f>MAX(0,-AU9)</x:f>
        <x:v>0</x:v>
      </x:c>
      <x:c r="AW9" s="141" t="n">
        <x:f>AW8*(1+Premissas!$B$41)+AV9</x:f>
        <x:v>0</x:v>
      </x:c>
      <x:c r="AX9" s="141" t="n">
        <x:f>MAX(0,AU9)</x:f>
        <x:v>77544.22256565628</x:v>
      </x:c>
      <x:c r="AY9" s="141" t="n">
        <x:f>INDEX('Consorcio IQ'!$P$6:$P$485,$A9)</x:f>
        <x:v>239332.58032111073</x:v>
      </x:c>
      <x:c r="AZ9" s="141" t="n">
        <x:f>IF($A9&gt;=Premissas!$B$48,$F9,0)+IF($A9&lt;Premissas!$B$27,INDEX('Consorcio IQ'!$O$6:$O$485,$A9),0)</x:f>
        <x:v>285503.85839647433</x:v>
      </x:c>
      <x:c r="BA9" s="141" t="n">
        <x:f>AX9+AZ9-AY9</x:f>
        <x:v>123715.5006410199</x:v>
      </x:c>
      <x:c r="BB9" s="141" t="n">
        <x:f>IF(AW9&gt;1,"Inviavel",BA9)</x:f>
        <x:v>123715.5006410199</x:v>
      </x:c>
      <x:c r="BC9" s="141" t="str">
        <x:f>IF(AW9&gt;1,"Inviavel","OK")</x:f>
        <x:v>OK</x:v>
      </x:c>
      <x:c r="BD9" s="141" t="n">
        <x:f>IF($A9='Consorcio Direto'!$B$29,'Consorcio Direto'!$B$44,0)</x:f>
        <x:v>0</x:v>
      </x:c>
      <x:c r="BE9" s="141" t="n">
        <x:f>IF($A9&lt;='Consorcio Direto'!$B$27,INDEX('Consorcio Direto'!$E$55:$E$534,$A9),0)</x:f>
        <x:v>1477.2217705578066</x:v>
      </x:c>
      <x:c r="BF9" s="141" t="n">
        <x:f>IF(AND(TRUE,Premissas!$B$11="Imovel",Premissas!$B$47="Moradia",$A9&lt;MAX('Consorcio Direto'!$B$29,Premissas!$B$49)),$D9,0)</x:f>
        <x:v>0</x:v>
      </x:c>
      <x:c r="BG9" s="141" t="n">
        <x:f>IF(AND(TRUE,Premissas!$B$11="Imovel",Premissas!$B$47="Investimento",$A9&gt;=MAX('Consorcio Direto'!$B$29,Premissas!$B$49)),$E9,0)</x:f>
        <x:v>0</x:v>
      </x:c>
      <x:c r="BH9" s="141" t="n">
        <x:f>BD9+BE9+BF9</x:f>
        <x:v>1477.2217705578066</x:v>
      </x:c>
      <x:c r="BI9" s="141" t="n">
        <x:f>BG9</x:f>
        <x:v>0</x:v>
      </x:c>
      <x:c r="BJ9" s="141" t="n">
        <x:f>$C9+BI9-BH9</x:f>
        <x:v>5522.778229442193</x:v>
      </x:c>
      <x:c r="BK9" s="141" t="n">
        <x:f>BN8*(1+Premissas!$B$41)+BJ9</x:f>
        <x:v>121607.82616190249</x:v>
      </x:c>
      <x:c r="BL9" s="141" t="n">
        <x:f>MAX(0,-BK9)</x:f>
        <x:v>0</x:v>
      </x:c>
      <x:c r="BM9" s="141" t="n">
        <x:f>BM8*(1+Premissas!$B$41)+BL9</x:f>
        <x:v>0</x:v>
      </x:c>
      <x:c r="BN9" s="141" t="n">
        <x:f>MAX(0,BK9)</x:f>
        <x:v>121607.82616190249</x:v>
      </x:c>
      <x:c r="BO9" s="141" t="n">
        <x:f>INDEX('Consorcio Direto'!$K$55:$K$534,$A9)</x:f>
        <x:v>210364.1597487175</x:v>
      </x:c>
      <x:c r="BP9" s="141" t="n">
        <x:f>IF($A9&lt;'Consorcio Direto'!$B$29,INDEX('Consorcio Direto'!$L$55:$L$534,$A9),$F9)</x:f>
        <x:v>158441.1171770697</x:v>
      </x:c>
      <x:c r="BQ9" s="141" t="n">
        <x:f>BN9+BP9-BO9</x:f>
        <x:v>69684.78359025466</x:v>
      </x:c>
      <x:c r="BR9" s="141" t="n">
        <x:f>IF(BM9&gt;1,"Inviavel",BQ9)</x:f>
        <x:v>69684.78359025466</x:v>
      </x:c>
      <x:c r="BS9" s="141" t="str">
        <x:f>IF(BM9&gt;1,"Inviavel","OK")</x:f>
        <x:v>OK</x:v>
      </x:c>
      <x:c r="BT9" s="141" t="n">
        <x:f>IF(AND('Carta Contemplada'!$B$22="Sim",$A9='Carta Contemplada'!$B$23),'Carta Contemplada'!$B$37,0)</x:f>
        <x:v>0</x:v>
      </x:c>
      <x:c r="BU9" s="141" t="n">
        <x:f>IF('Carta Contemplada'!$B$22="Sim",INDEX('Carta Contemplada'!$C$55:$C$1013,$A9),0)</x:f>
        <x:v>1200</x:v>
      </x:c>
      <x:c r="BV9" s="141" t="n">
        <x:f>IF(AND('Carta Contemplada'!$B$22="Sim",Premissas!$B$11="Imovel",Premissas!$B$47="Moradia",$A9&lt;MAX('Carta Contemplada'!$B$44,Premissas!$B$49)),$D9,0)</x:f>
        <x:v>0</x:v>
      </x:c>
      <x:c r="BW9" s="141" t="n">
        <x:f>IF(AND('Carta Contemplada'!$B$22="Sim",Premissas!$B$11="Imovel",Premissas!$B$47="Investimento",$A9&gt;=MAX('Carta Contemplada'!$B$44,Premissas!$B$49)),$E9,0)</x:f>
        <x:v>640</x:v>
      </x:c>
      <x:c r="BX9" s="141" t="n">
        <x:f>BT9+BU9+BV9</x:f>
        <x:v>1200</x:v>
      </x:c>
      <x:c r="BY9" s="141" t="n">
        <x:f>BW9</x:f>
        <x:v>640</x:v>
      </x:c>
      <x:c r="BZ9" s="141" t="n">
        <x:f>$C9+BY9-BX9</x:f>
        <x:v>6440</x:v>
      </x:c>
      <x:c r="CA9" s="141" t="n">
        <x:f>CD8*(1+Premissas!$B$41)+BZ9</x:f>
        <x:v>77472.3534981224</x:v>
      </x:c>
      <x:c r="CB9" s="141" t="n">
        <x:f>MAX(0,-CA9)</x:f>
        <x:v>0</x:v>
      </x:c>
      <x:c r="CC9" s="141" t="n">
        <x:f>CC8*(1+Premissas!$B$41)+CB9</x:f>
        <x:v>0</x:v>
      </x:c>
      <x:c r="CD9" s="141" t="n">
        <x:f>MAX(0,CA9)</x:f>
        <x:v>77472.3534981224</x:v>
      </x:c>
      <x:c r="CE9" s="141" t="n">
        <x:f>IF(AND('Carta Contemplada'!$B$22="Sim",$A9&gt;='Carta Contemplada'!$B$23),INDEX('Carta Contemplada'!$I$55:$I$1013,$A9),0)</x:f>
        <x:v>142946.72687636735</x:v>
      </x:c>
      <x:c r="CF9" s="141" t="n">
        <x:f>IF(AND('Carta Contemplada'!$B$22="Sim",$A9&gt;='Carta Contemplada'!$B$44),$F9,0)</x:f>
        <x:v>203922.56448444325</x:v>
      </x:c>
      <x:c r="CG9" s="141" t="n">
        <x:f>CD9+CF9-CE9</x:f>
        <x:v>138448.1911061983</x:v>
      </x:c>
      <x:c r="CH9" s="141" t="n">
        <x:f>IF(CC9&gt;1,"Inviavel",CG9)</x:f>
        <x:v>138448.1911061983</x:v>
      </x:c>
      <x:c r="CI9" s="145" t="str">
        <x:f>IF(CC9&gt;1,"Inviavel","OK")</x:f>
        <x:v>OK</x:v>
      </x:c>
    </x:row>
    <x:row r="10">
      <x:c r="A10" s="142" t="n">
        <x:v>6</x:v>
      </x:c>
      <x:c r="B10" s="179" t="n">
        <x:f>EDATE(Premissas!$B$4,A10-1)</x:f>
        <x:v>46692</x:v>
      </x:c>
      <x:c r="C10" s="141" t="n">
        <x:f>IF(A10&lt;=Premissas!$B$39,Premissas!$B$42,0)</x:f>
        <x:v>7000</x:v>
      </x:c>
      <x:c r="D10" s="141" t="n">
        <x:f>Premissas!$B$54*(1+Premissas!$B$57)^INT((A10-1)/12)</x:f>
        <x:v>700</x:v>
      </x:c>
      <x:c r="E10" s="141" t="n">
        <x:f>Premissas!$B$64*(1+Premissas!$B$57)^INT((A10-1)/12)</x:f>
        <x:v>640</x:v>
      </x:c>
      <x:c r="F10" s="141" t="n">
        <x:f>MAX(0,Premissas!$B$6*(1+Premissas!$B$66)^((A10-1)/12))</x:f>
        <x:v>204915.16787848575</x:v>
      </x:c>
      <x:c r="G10" s="141" t="n">
        <x:f>G9*(1+Premissas!$B$41)+C10</x:f>
        <x:v>137360.78136964556</x:v>
      </x:c>
      <x:c r="H10" s="141" t="n">
        <x:f>IF($A10=Premissas!$B$48,Premissas!$B$8,0)</x:f>
        <x:v>0</x:v>
      </x:c>
      <x:c r="I10" s="141" t="n">
        <x:f>IF(AND($A10&gt;=Premissas!$B$48,$A10-Premissas!$B$48+1&lt;=Premissas!$B$13),INDEX(Financiamento!$J$6:$J$485,$A10-Premissas!$B$48+1),0)</x:f>
        <x:v>2031.0853591817015</x:v>
      </x:c>
      <x:c r="J10" s="141" t="n">
        <x:f>IF(AND(TRUE,Premissas!$B$11="Imovel",Premissas!$B$47="Moradia",$A10&lt;MAX(Premissas!$B$48,Premissas!$B$49)),$D10,0)</x:f>
        <x:v>0</x:v>
      </x:c>
      <x:c r="K10" s="141" t="n">
        <x:f>IF(AND(TRUE,Premissas!$B$11="Imovel",Premissas!$B$47="Investimento",$A10&gt;=MAX(Premissas!$B$48,Premissas!$B$49)),$E10,0)</x:f>
        <x:v>640</x:v>
      </x:c>
      <x:c r="L10" s="141" t="n">
        <x:f>H10+I10+J10</x:f>
        <x:v>2031.0853591817015</x:v>
      </x:c>
      <x:c r="M10" s="141" t="n">
        <x:f>K10</x:f>
        <x:v>640</x:v>
      </x:c>
      <x:c r="N10" s="141" t="n">
        <x:f>$C10+M10-L10</x:f>
        <x:v>5608.914640818299</x:v>
      </x:c>
      <x:c r="O10" s="141" t="n">
        <x:f>R9*(1+Premissas!$B$41)+N10</x:f>
        <x:v>86823.4976460627</x:v>
      </x:c>
      <x:c r="P10" s="141" t="n">
        <x:f>MAX(0,-O10)</x:f>
        <x:v>0</x:v>
      </x:c>
      <x:c r="Q10" s="141" t="n">
        <x:f>Q9*(1+Premissas!$B$41)+P10</x:f>
        <x:v>0</x:v>
      </x:c>
      <x:c r="R10" s="141" t="n">
        <x:f>MAX(0,O10)</x:f>
        <x:v>86823.4976460627</x:v>
      </x:c>
      <x:c r="S10" s="141" t="n">
        <x:f>IF(AND($A10&gt;=Premissas!$B$48,$A10-Premissas!$B$48+1&lt;=Premissas!$B$13),INDEX(Financiamento!$M$6:$M$485,$A10-Premissas!$B$48+1),0)</x:f>
        <x:v>157714.2857142858</x:v>
      </x:c>
      <x:c r="T10" s="141" t="n">
        <x:f>IF($A10&gt;=Premissas!$B$48,$F10,0)</x:f>
        <x:v>204915.16787848575</x:v>
      </x:c>
      <x:c r="U10" s="141" t="n">
        <x:f>R10+T10-S10</x:f>
        <x:v>134024.37981026265</x:v>
      </x:c>
      <x:c r="V10" s="141" t="n">
        <x:f>IF(Q10&gt;1,"Inviavel",U10)</x:f>
        <x:v>134024.37981026265</x:v>
      </x:c>
      <x:c r="W10" s="141" t="str">
        <x:f>IF(Q10&gt;1,"Inviavel","OK")</x:f>
        <x:v>OK</x:v>
      </x:c>
      <x:c r="X10" s="141" t="n">
        <x:f>IF($A10=Premissas!$B$48,Premissas!$B$8,0)</x:f>
        <x:v>0</x:v>
      </x:c>
      <x:c r="Y10" s="141" t="n">
        <x:f>IF(AND($A10&gt;=Premissas!$B$48,$A10-Premissas!$B$48+1&lt;=Premissas!$B$13),INDEX(Amortizacao!$K$6:$K$485,$A10-Premissas!$B$48+1),0)</x:f>
        <x:v>7000</x:v>
      </x:c>
      <x:c r="Z10" s="141" t="n">
        <x:f>IF(AND(TRUE,Premissas!$B$11="Imovel",Premissas!$B$47="Moradia",$A10&lt;MAX(Premissas!$B$48,Premissas!$B$49)),$D10,0)</x:f>
        <x:v>0</x:v>
      </x:c>
      <x:c r="AA10" s="141" t="n">
        <x:f>IF(AND(TRUE,Premissas!$B$11="Imovel",Premissas!$B$47="Investimento",$A10&gt;=MAX(Premissas!$B$48,Premissas!$B$49)),$E10,0)</x:f>
        <x:v>640</x:v>
      </x:c>
      <x:c r="AB10" s="141" t="n">
        <x:f>X10+Y10+Z10</x:f>
        <x:v>7000</x:v>
      </x:c>
      <x:c r="AC10" s="141" t="n">
        <x:f>AA10</x:f>
        <x:v>640</x:v>
      </x:c>
      <x:c r="AD10" s="141" t="n">
        <x:f>$C10+AC10-AB10</x:f>
        <x:v>640</x:v>
      </x:c>
      <x:c r="AE10" s="141" t="n">
        <x:f>AH9*(1+Premissas!$B$41)+AD10</x:f>
        <x:v>56349.89915308138</x:v>
      </x:c>
      <x:c r="AF10" s="141" t="n">
        <x:f>MAX(0,-AE10)</x:f>
        <x:v>0</x:v>
      </x:c>
      <x:c r="AG10" s="141" t="n">
        <x:f>AG9*(1+Premissas!$B$41)+AF10</x:f>
        <x:v>0</x:v>
      </x:c>
      <x:c r="AH10" s="141" t="n">
        <x:f>MAX(0,AE10)</x:f>
        <x:v>56349.89915308138</x:v>
      </x:c>
      <x:c r="AI10" s="141" t="n">
        <x:f>IF(AND($A10&gt;=Premissas!$B$48,$A10-Premissas!$B$48+1&lt;=Premissas!$B$13),INDEX(Amortizacao!$L$6:$L$485,$A10-Premissas!$B$48+1),0)</x:f>
        <x:v>127240.68722130451</x:v>
      </x:c>
      <x:c r="AJ10" s="141" t="n">
        <x:f>IF($A10&gt;=Premissas!$B$48,$F10,0)</x:f>
        <x:v>204915.16787848575</x:v>
      </x:c>
      <x:c r="AK10" s="141" t="n">
        <x:f>AH10+AJ10-AI10</x:f>
        <x:v>134024.37981026262</x:v>
      </x:c>
      <x:c r="AL10" s="141" t="n">
        <x:f>IF(AG10&gt;1,"Inviavel",AK10)</x:f>
        <x:v>134024.37981026262</x:v>
      </x:c>
      <x:c r="AM10" s="141" t="str">
        <x:f>IF(AG10&gt;1,"Inviavel","OK")</x:f>
        <x:v>OK</x:v>
      </x:c>
      <x:c r="AN10" s="141" t="n">
        <x:f>IF($A10=Premissas!$B$48,Premissas!$B$8,0)</x:f>
        <x:v>0</x:v>
      </x:c>
      <x:c r="AO10" s="141" t="n">
        <x:f>IF($A10&lt;=Premissas!$B$25,INDEX('Consorcio IQ'!$K$6:$K$485,$A10),0)</x:f>
        <x:v>2601.5512154457247</x:v>
      </x:c>
      <x:c r="AP10" s="141" t="n">
        <x:f>IF(AND(TRUE,Premissas!$B$11="Imovel",Premissas!$B$47="Moradia",$A10&lt;MAX(Premissas!$B$48,Premissas!$B$49)),$D10,0)</x:f>
        <x:v>0</x:v>
      </x:c>
      <x:c r="AQ10" s="141" t="n">
        <x:f>IF(AND(TRUE,Premissas!$B$11="Imovel",Premissas!$B$47="Investimento",$A10&gt;=MAX(Premissas!$B$48,Premissas!$B$49)),$E10,0)</x:f>
        <x:v>640</x:v>
      </x:c>
      <x:c r="AR10" s="141" t="n">
        <x:f>AN10+AO10+AP10</x:f>
        <x:v>2601.5512154457247</x:v>
      </x:c>
      <x:c r="AS10" s="141" t="n">
        <x:f>AQ10</x:f>
        <x:v>640</x:v>
      </x:c>
      <x:c r="AT10" s="141" t="n">
        <x:f>$C10+AS10-AR10</x:f>
        <x:v>5038.448784554275</x:v>
      </x:c>
      <x:c r="AU10" s="141" t="n">
        <x:f>AX9*(1+Premissas!$B$41)+AT10</x:f>
        <x:v>83318.47242140929</x:v>
      </x:c>
      <x:c r="AV10" s="141" t="n">
        <x:f>MAX(0,-AU10)</x:f>
        <x:v>0</x:v>
      </x:c>
      <x:c r="AW10" s="141" t="n">
        <x:f>AW9*(1+Premissas!$B$41)+AV10</x:f>
        <x:v>0</x:v>
      </x:c>
      <x:c r="AX10" s="141" t="n">
        <x:f>MAX(0,AU10)</x:f>
        <x:v>83318.47242140929</x:v>
      </x:c>
      <x:c r="AY10" s="141" t="n">
        <x:f>INDEX('Consorcio IQ'!$P$6:$P$485,$A10)</x:f>
        <x:v>239152.0064028315</x:v>
      </x:c>
      <x:c r="AZ10" s="141" t="n">
        <x:f>IF($A10&gt;=Premissas!$B$48,$F10,0)+IF($A10&lt;Premissas!$B$27,INDEX('Consorcio IQ'!$O$6:$O$485,$A10),0)</x:f>
        <x:v>287270.5697957835</x:v>
      </x:c>
      <x:c r="BA10" s="141" t="n">
        <x:f>AX10+AZ10-AY10</x:f>
        <x:v>131437.03581436127</x:v>
      </x:c>
      <x:c r="BB10" s="141" t="n">
        <x:f>IF(AW10&gt;1,"Inviavel",BA10)</x:f>
        <x:v>131437.03581436127</x:v>
      </x:c>
      <x:c r="BC10" s="141" t="str">
        <x:f>IF(AW10&gt;1,"Inviavel","OK")</x:f>
        <x:v>OK</x:v>
      </x:c>
      <x:c r="BD10" s="141" t="n">
        <x:f>IF($A10='Consorcio Direto'!$B$29,'Consorcio Direto'!$B$44,0)</x:f>
        <x:v>0</x:v>
      </x:c>
      <x:c r="BE10" s="141" t="n">
        <x:f>IF($A10&lt;='Consorcio Direto'!$B$27,INDEX('Consorcio Direto'!$E$55:$E$534,$A10),0)</x:f>
        <x:v>1477.2217705578066</x:v>
      </x:c>
      <x:c r="BF10" s="141" t="n">
        <x:f>IF(AND(TRUE,Premissas!$B$11="Imovel",Premissas!$B$47="Moradia",$A10&lt;MAX('Consorcio Direto'!$B$29,Premissas!$B$49)),$D10,0)</x:f>
        <x:v>0</x:v>
      </x:c>
      <x:c r="BG10" s="141" t="n">
        <x:f>IF(AND(TRUE,Premissas!$B$11="Imovel",Premissas!$B$47="Investimento",$A10&gt;=MAX('Consorcio Direto'!$B$29,Premissas!$B$49)),$E10,0)</x:f>
        <x:v>0</x:v>
      </x:c>
      <x:c r="BH10" s="141" t="n">
        <x:f>BD10+BE10+BF10</x:f>
        <x:v>1477.2217705578066</x:v>
      </x:c>
      <x:c r="BI10" s="141" t="n">
        <x:f>BG10</x:f>
        <x:v>0</x:v>
      </x:c>
      <x:c r="BJ10" s="141" t="n">
        <x:f>$C10+BI10-BH10</x:f>
        <x:v>5522.778229442193</x:v>
      </x:c>
      <x:c r="BK10" s="141" t="n">
        <x:f>BN9*(1+Premissas!$B$41)+BJ10</x:f>
        <x:v>128284.51587301974</x:v>
      </x:c>
      <x:c r="BL10" s="141" t="n">
        <x:f>MAX(0,-BK10)</x:f>
        <x:v>0</x:v>
      </x:c>
      <x:c r="BM10" s="141" t="n">
        <x:f>BM9*(1+Premissas!$B$41)+BL10</x:f>
        <x:v>0</x:v>
      </x:c>
      <x:c r="BN10" s="141" t="n">
        <x:f>MAX(0,BK10)</x:f>
        <x:v>128284.51587301974</x:v>
      </x:c>
      <x:c r="BO10" s="141" t="n">
        <x:f>INDEX('Consorcio Direto'!$K$55:$K$534,$A10)</x:f>
        <x:v>210883.03993087282</x:v>
      </x:c>
      <x:c r="BP10" s="141" t="n">
        <x:f>IF($A10&lt;'Consorcio Direto'!$B$29,INDEX('Consorcio Direto'!$L$55:$L$534,$A10),$F10)</x:f>
        <x:v>159944.53213028694</x:v>
      </x:c>
      <x:c r="BQ10" s="141" t="n">
        <x:f>BN10+BP10-BO10</x:f>
        <x:v>77346.00807243385</x:v>
      </x:c>
      <x:c r="BR10" s="141" t="n">
        <x:f>IF(BM10&gt;1,"Inviavel",BQ10)</x:f>
        <x:v>77346.00807243385</x:v>
      </x:c>
      <x:c r="BS10" s="141" t="str">
        <x:f>IF(BM10&gt;1,"Inviavel","OK")</x:f>
        <x:v>OK</x:v>
      </x:c>
      <x:c r="BT10" s="141" t="n">
        <x:f>IF(AND('Carta Contemplada'!$B$22="Sim",$A10='Carta Contemplada'!$B$23),'Carta Contemplada'!$B$37,0)</x:f>
        <x:v>0</x:v>
      </x:c>
      <x:c r="BU10" s="141" t="n">
        <x:f>IF('Carta Contemplada'!$B$22="Sim",INDEX('Carta Contemplada'!$C$55:$C$1013,$A10),0)</x:f>
        <x:v>1200</x:v>
      </x:c>
      <x:c r="BV10" s="141" t="n">
        <x:f>IF(AND('Carta Contemplada'!$B$22="Sim",Premissas!$B$11="Imovel",Premissas!$B$47="Moradia",$A10&lt;MAX('Carta Contemplada'!$B$44,Premissas!$B$49)),$D10,0)</x:f>
        <x:v>0</x:v>
      </x:c>
      <x:c r="BW10" s="141" t="n">
        <x:f>IF(AND('Carta Contemplada'!$B$22="Sim",Premissas!$B$11="Imovel",Premissas!$B$47="Investimento",$A10&gt;=MAX('Carta Contemplada'!$B$44,Premissas!$B$49)),$E10,0)</x:f>
        <x:v>640</x:v>
      </x:c>
      <x:c r="BX10" s="141" t="n">
        <x:f>BT10+BU10+BV10</x:f>
        <x:v>1200</x:v>
      </x:c>
      <x:c r="BY10" s="141" t="n">
        <x:f>BW10</x:f>
        <x:v>640</x:v>
      </x:c>
      <x:c r="BZ10" s="141" t="n">
        <x:f>$C10+BY10-BX10</x:f>
        <x:v>6440</x:v>
      </x:c>
      <x:c r="CA10" s="141" t="n">
        <x:f>CD9*(1+Premissas!$B$41)+BZ10</x:f>
        <x:v>84647.4726186209</x:v>
      </x:c>
      <x:c r="CB10" s="141" t="n">
        <x:f>MAX(0,-CA10)</x:f>
        <x:v>0</x:v>
      </x:c>
      <x:c r="CC10" s="141" t="n">
        <x:f>CC9*(1+Premissas!$B$41)+CB10</x:f>
        <x:v>0</x:v>
      </x:c>
      <x:c r="CD10" s="141" t="n">
        <x:f>MAX(0,CA10)</x:f>
        <x:v>84647.4726186209</x:v>
      </x:c>
      <x:c r="CE10" s="141" t="n">
        <x:f>IF(AND('Carta Contemplada'!$B$22="Sim",$A10&gt;='Carta Contemplada'!$B$23),INDEX('Carta Contemplada'!$I$55:$I$1013,$A10),0)</x:f>
        <x:v>143103.1187683736</x:v>
      </x:c>
      <x:c r="CF10" s="141" t="n">
        <x:f>IF(AND('Carta Contemplada'!$B$22="Sim",$A10&gt;='Carta Contemplada'!$B$44),$F10,0)</x:f>
        <x:v>204915.16787848575</x:v>
      </x:c>
      <x:c r="CG10" s="141" t="n">
        <x:f>CD10+CF10-CE10</x:f>
        <x:v>146459.52172873306</x:v>
      </x:c>
      <x:c r="CH10" s="141" t="n">
        <x:f>IF(CC10&gt;1,"Inviavel",CG10)</x:f>
        <x:v>146459.52172873306</x:v>
      </x:c>
      <x:c r="CI10" s="145" t="str">
        <x:f>IF(CC10&gt;1,"Inviavel","OK")</x:f>
        <x:v>OK</x:v>
      </x:c>
    </x:row>
    <x:row r="11">
      <x:c r="A11" s="142" t="n">
        <x:v>7</x:v>
      </x:c>
      <x:c r="B11" s="179" t="n">
        <x:f>EDATE(Premissas!$B$4,A11-1)</x:f>
        <x:v>46722</x:v>
      </x:c>
      <x:c r="C11" s="141" t="n">
        <x:f>IF(A11&lt;=Premissas!$B$39,Premissas!$B$42,0)</x:f>
        <x:v>7000</x:v>
      </x:c>
      <x:c r="D11" s="141" t="n">
        <x:f>Premissas!$B$54*(1+Premissas!$B$57)^INT((A11-1)/12)</x:f>
        <x:v>700</x:v>
      </x:c>
      <x:c r="E11" s="141" t="n">
        <x:f>Premissas!$B$64*(1+Premissas!$B$57)^INT((A11-1)/12)</x:f>
        <x:v>640</x:v>
      </x:c>
      <x:c r="F11" s="141" t="n">
        <x:f>MAX(0,Premissas!$B$6*(1+Premissas!$B$66)^((A11-1)/12))</x:f>
        <x:v>205912.60281974</x:v>
      </x:c>
      <x:c r="G11" s="141" t="n">
        <x:f>G10*(1+Premissas!$B$41)+C11</x:f>
        <x:v>145664.16938139466</x:v>
      </x:c>
      <x:c r="H11" s="141" t="n">
        <x:f>IF($A11=Premissas!$B$48,Premissas!$B$8,0)</x:f>
        <x:v>0</x:v>
      </x:c>
      <x:c r="I11" s="141" t="n">
        <x:f>IF(AND($A11&gt;=Premissas!$B$48,$A11-Premissas!$B$48+1&lt;=Premissas!$B$13),INDEX(Financiamento!$J$6:$J$485,$A11-Premissas!$B$48+1),0)</x:f>
        <x:v>2027.470580920908</x:v>
      </x:c>
      <x:c r="J11" s="141" t="n">
        <x:f>IF(AND(TRUE,Premissas!$B$11="Imovel",Premissas!$B$47="Moradia",$A11&lt;MAX(Premissas!$B$48,Premissas!$B$49)),$D11,0)</x:f>
        <x:v>0</x:v>
      </x:c>
      <x:c r="K11" s="141" t="n">
        <x:f>IF(AND(TRUE,Premissas!$B$11="Imovel",Premissas!$B$47="Investimento",$A11&gt;=MAX(Premissas!$B$48,Premissas!$B$49)),$E11,0)</x:f>
        <x:v>640</x:v>
      </x:c>
      <x:c r="L11" s="141" t="n">
        <x:f>H11+I11+J11</x:f>
        <x:v>2027.470580920908</x:v>
      </x:c>
      <x:c r="M11" s="141" t="n">
        <x:f>K11</x:f>
        <x:v>640</x:v>
      </x:c>
      <x:c r="N11" s="141" t="n">
        <x:f>$C11+M11-L11</x:f>
        <x:v>5612.529419079092</x:v>
      </x:c>
      <x:c r="O11" s="141" t="n">
        <x:f>R10*(1+Premissas!$B$41)+N11</x:f>
        <x:v>93259.87725616153</x:v>
      </x:c>
      <x:c r="P11" s="141" t="n">
        <x:f>MAX(0,-O11)</x:f>
        <x:v>0</x:v>
      </x:c>
      <x:c r="Q11" s="141" t="n">
        <x:f>Q10*(1+Premissas!$B$41)+P11</x:f>
        <x:v>0</x:v>
      </x:c>
      <x:c r="R11" s="141" t="n">
        <x:f>MAX(0,O11)</x:f>
        <x:v>93259.87725616153</x:v>
      </x:c>
      <x:c r="S11" s="141" t="n">
        <x:f>IF(AND($A11&gt;=Premissas!$B$48,$A11-Premissas!$B$48+1&lt;=Premissas!$B$13),INDEX(Financiamento!$M$6:$M$485,$A11-Premissas!$B$48+1),0)</x:f>
        <x:v>157333.33333333343</x:v>
      </x:c>
      <x:c r="T11" s="141" t="n">
        <x:f>IF($A11&gt;=Premissas!$B$48,$F11,0)</x:f>
        <x:v>205912.60281974</x:v>
      </x:c>
      <x:c r="U11" s="141" t="n">
        <x:f>R11+T11-S11</x:f>
        <x:v>141839.14674256806</x:v>
      </x:c>
      <x:c r="V11" s="141" t="n">
        <x:f>IF(Q11&gt;1,"Inviavel",U11)</x:f>
        <x:v>141839.14674256806</x:v>
      </x:c>
      <x:c r="W11" s="141" t="str">
        <x:f>IF(Q11&gt;1,"Inviavel","OK")</x:f>
        <x:v>OK</x:v>
      </x:c>
      <x:c r="X11" s="141" t="n">
        <x:f>IF($A11=Premissas!$B$48,Premissas!$B$8,0)</x:f>
        <x:v>0</x:v>
      </x:c>
      <x:c r="Y11" s="141" t="n">
        <x:f>IF(AND($A11&gt;=Premissas!$B$48,$A11-Premissas!$B$48+1&lt;=Premissas!$B$13),INDEX(Amortizacao!$K$6:$K$485,$A11-Premissas!$B$48+1),0)</x:f>
        <x:v>7000</x:v>
      </x:c>
      <x:c r="Z11" s="141" t="n">
        <x:f>IF(AND(TRUE,Premissas!$B$11="Imovel",Premissas!$B$47="Moradia",$A11&lt;MAX(Premissas!$B$48,Premissas!$B$49)),$D11,0)</x:f>
        <x:v>0</x:v>
      </x:c>
      <x:c r="AA11" s="141" t="n">
        <x:f>IF(AND(TRUE,Premissas!$B$11="Imovel",Premissas!$B$47="Investimento",$A11&gt;=MAX(Premissas!$B$48,Premissas!$B$49)),$E11,0)</x:f>
        <x:v>640</x:v>
      </x:c>
      <x:c r="AB11" s="141" t="n">
        <x:f>X11+Y11+Z11</x:f>
        <x:v>7000</x:v>
      </x:c>
      <x:c r="AC11" s="141" t="n">
        <x:f>AA11</x:f>
        <x:v>640</x:v>
      </x:c>
      <x:c r="AD11" s="141" t="n">
        <x:f>$C11+AC11-AB11</x:f>
        <x:v>640</x:v>
      </x:c>
      <x:c r="AE11" s="141" t="n">
        <x:f>AH10*(1+Premissas!$B$41)+AD11</x:f>
        <x:v>57524.5916780296</x:v>
      </x:c>
      <x:c r="AF11" s="141" t="n">
        <x:f>MAX(0,-AE11)</x:f>
        <x:v>0</x:v>
      </x:c>
      <x:c r="AG11" s="141" t="n">
        <x:f>AG10*(1+Premissas!$B$41)+AF11</x:f>
        <x:v>0</x:v>
      </x:c>
      <x:c r="AH11" s="141" t="n">
        <x:f>MAX(0,AE11)</x:f>
        <x:v>57524.5916780296</x:v>
      </x:c>
      <x:c r="AI11" s="141" t="n">
        <x:f>IF(AND($A11&gt;=Premissas!$B$48,$A11-Premissas!$B$48+1&lt;=Premissas!$B$13),INDEX(Amortizacao!$L$6:$L$485,$A11-Premissas!$B$48+1),0)</x:f>
        <x:v>121598.04775520152</x:v>
      </x:c>
      <x:c r="AJ11" s="141" t="n">
        <x:f>IF($A11&gt;=Premissas!$B$48,$F11,0)</x:f>
        <x:v>205912.60281974</x:v>
      </x:c>
      <x:c r="AK11" s="141" t="n">
        <x:f>AH11+AJ11-AI11</x:f>
        <x:v>141839.14674256806</x:v>
      </x:c>
      <x:c r="AL11" s="141" t="n">
        <x:f>IF(AG11&gt;1,"Inviavel",AK11)</x:f>
        <x:v>141839.14674256806</x:v>
      </x:c>
      <x:c r="AM11" s="141" t="str">
        <x:f>IF(AG11&gt;1,"Inviavel","OK")</x:f>
        <x:v>OK</x:v>
      </x:c>
      <x:c r="AN11" s="141" t="n">
        <x:f>IF($A11=Premissas!$B$48,Premissas!$B$8,0)</x:f>
        <x:v>0</x:v>
      </x:c>
      <x:c r="AO11" s="141" t="n">
        <x:f>IF($A11&lt;=Premissas!$B$25,INDEX('Consorcio IQ'!$K$6:$K$485,$A11),0)</x:f>
        <x:v>2597.9364371849315</x:v>
      </x:c>
      <x:c r="AP11" s="141" t="n">
        <x:f>IF(AND(TRUE,Premissas!$B$11="Imovel",Premissas!$B$47="Moradia",$A11&lt;MAX(Premissas!$B$48,Premissas!$B$49)),$D11,0)</x:f>
        <x:v>0</x:v>
      </x:c>
      <x:c r="AQ11" s="141" t="n">
        <x:f>IF(AND(TRUE,Premissas!$B$11="Imovel",Premissas!$B$47="Investimento",$A11&gt;=MAX(Premissas!$B$48,Premissas!$B$49)),$E11,0)</x:f>
        <x:v>640</x:v>
      </x:c>
      <x:c r="AR11" s="141" t="n">
        <x:f>AN11+AO11+AP11</x:f>
        <x:v>2597.9364371849315</x:v>
      </x:c>
      <x:c r="AS11" s="141" t="n">
        <x:f>AQ11</x:f>
        <x:v>640</x:v>
      </x:c>
      <x:c r="AT11" s="141" t="n">
        <x:f>$C11+AS11-AR11</x:f>
        <x:v>5042.0635628150685</x:v>
      </x:c>
      <x:c r="AU11" s="141" t="n">
        <x:f>AX10*(1+Premissas!$B$41)+AT11</x:f>
        <x:v>89151.12771665688</x:v>
      </x:c>
      <x:c r="AV11" s="141" t="n">
        <x:f>MAX(0,-AU11)</x:f>
        <x:v>0</x:v>
      </x:c>
      <x:c r="AW11" s="141" t="n">
        <x:f>AW10*(1+Premissas!$B$41)+AV11</x:f>
        <x:v>0</x:v>
      </x:c>
      <x:c r="AX11" s="141" t="n">
        <x:f>MAX(0,AU11)</x:f>
        <x:v>89151.12771665688</x:v>
      </x:c>
      <x:c r="AY11" s="141" t="n">
        <x:f>INDEX('Consorcio IQ'!$P$6:$P$485,$A11)</x:f>
        <x:v>238973.33383429312</x:v>
      </x:c>
      <x:c r="AZ11" s="141" t="n">
        <x:f>IF($A11&gt;=Premissas!$B$48,$F11,0)+IF($A11&lt;Premissas!$B$27,INDEX('Consorcio IQ'!$O$6:$O$485,$A11),0)</x:f>
        <x:v>289049.4580928753</x:v>
      </x:c>
      <x:c r="BA11" s="141" t="n">
        <x:f>AX11+AZ11-AY11</x:f>
        <x:v>139227.25197523908</x:v>
      </x:c>
      <x:c r="BB11" s="141" t="n">
        <x:f>IF(AW11&gt;1,"Inviavel",BA11)</x:f>
        <x:v>139227.25197523908</x:v>
      </x:c>
      <x:c r="BC11" s="141" t="str">
        <x:f>IF(AW11&gt;1,"Inviavel","OK")</x:f>
        <x:v>OK</x:v>
      </x:c>
      <x:c r="BD11" s="141" t="n">
        <x:f>IF($A11='Consorcio Direto'!$B$29,'Consorcio Direto'!$B$44,0)</x:f>
        <x:v>0</x:v>
      </x:c>
      <x:c r="BE11" s="141" t="n">
        <x:f>IF($A11&lt;='Consorcio Direto'!$B$27,INDEX('Consorcio Direto'!$E$55:$E$534,$A11),0)</x:f>
        <x:v>1477.2217705578066</x:v>
      </x:c>
      <x:c r="BF11" s="141" t="n">
        <x:f>IF(AND(TRUE,Premissas!$B$11="Imovel",Premissas!$B$47="Moradia",$A11&lt;MAX('Consorcio Direto'!$B$29,Premissas!$B$49)),$D11,0)</x:f>
        <x:v>0</x:v>
      </x:c>
      <x:c r="BG11" s="141" t="n">
        <x:f>IF(AND(TRUE,Premissas!$B$11="Imovel",Premissas!$B$47="Investimento",$A11&gt;=MAX('Consorcio Direto'!$B$29,Premissas!$B$49)),$E11,0)</x:f>
        <x:v>0</x:v>
      </x:c>
      <x:c r="BH11" s="141" t="n">
        <x:f>BD11+BE11+BF11</x:f>
        <x:v>1477.2217705578066</x:v>
      </x:c>
      <x:c r="BI11" s="141" t="n">
        <x:f>BG11</x:f>
        <x:v>0</x:v>
      </x:c>
      <x:c r="BJ11" s="141" t="n">
        <x:f>$C11+BI11-BH11</x:f>
        <x:v>5522.778229442193</x:v>
      </x:c>
      <x:c r="BK11" s="141" t="n">
        <x:f>BN10*(1+Premissas!$B$41)+BJ11</x:f>
        <x:v>135024.55931029425</x:v>
      </x:c>
      <x:c r="BL11" s="141" t="n">
        <x:f>MAX(0,-BK11)</x:f>
        <x:v>0</x:v>
      </x:c>
      <x:c r="BM11" s="141" t="n">
        <x:f>BM10*(1+Premissas!$B$41)+BL11</x:f>
        <x:v>0</x:v>
      </x:c>
      <x:c r="BN11" s="141" t="n">
        <x:f>MAX(0,BK11)</x:f>
        <x:v>135024.55931029425</x:v>
      </x:c>
      <x:c r="BO11" s="141" t="n">
        <x:f>INDEX('Consorcio Direto'!$K$55:$K$534,$A11)</x:f>
        <x:v>211406.84365963447</x:v>
      </x:c>
      <x:c r="BP11" s="141" t="n">
        <x:f>IF($A11&lt;'Consorcio Direto'!$B$29,INDEX('Consorcio Direto'!$L$55:$L$534,$A11),$F11)</x:f>
        <x:v>161462.21267669002</x:v>
      </x:c>
      <x:c r="BQ11" s="141" t="n">
        <x:f>BN11+BP11-BO11</x:f>
        <x:v>85079.92832734983</x:v>
      </x:c>
      <x:c r="BR11" s="141" t="n">
        <x:f>IF(BM11&gt;1,"Inviavel",BQ11)</x:f>
        <x:v>85079.92832734983</x:v>
      </x:c>
      <x:c r="BS11" s="141" t="str">
        <x:f>IF(BM11&gt;1,"Inviavel","OK")</x:f>
        <x:v>OK</x:v>
      </x:c>
      <x:c r="BT11" s="141" t="n">
        <x:f>IF(AND('Carta Contemplada'!$B$22="Sim",$A11='Carta Contemplada'!$B$23),'Carta Contemplada'!$B$37,0)</x:f>
        <x:v>0</x:v>
      </x:c>
      <x:c r="BU11" s="141" t="n">
        <x:f>IF('Carta Contemplada'!$B$22="Sim",INDEX('Carta Contemplada'!$C$55:$C$1013,$A11),0)</x:f>
        <x:v>1200</x:v>
      </x:c>
      <x:c r="BV11" s="141" t="n">
        <x:f>IF(AND('Carta Contemplada'!$B$22="Sim",Premissas!$B$11="Imovel",Premissas!$B$47="Moradia",$A11&lt;MAX('Carta Contemplada'!$B$44,Premissas!$B$49)),$D11,0)</x:f>
        <x:v>0</x:v>
      </x:c>
      <x:c r="BW11" s="141" t="n">
        <x:f>IF(AND('Carta Contemplada'!$B$22="Sim",Premissas!$B$11="Imovel",Premissas!$B$47="Investimento",$A11&gt;=MAX('Carta Contemplada'!$B$44,Premissas!$B$49)),$E11,0)</x:f>
        <x:v>640</x:v>
      </x:c>
      <x:c r="BX11" s="141" t="n">
        <x:f>BT11+BU11+BV11</x:f>
        <x:v>1200</x:v>
      </x:c>
      <x:c r="BY11" s="141" t="n">
        <x:f>BW11</x:f>
        <x:v>640</x:v>
      </x:c>
      <x:c r="BZ11" s="141" t="n">
        <x:f>$C11+BY11-BX11</x:f>
        <x:v>6440</x:v>
      </x:c>
      <x:c r="CA11" s="141" t="n">
        <x:f>CD10*(1+Premissas!$B$41)+BZ11</x:f>
        <x:v>91890.67495873479</x:v>
      </x:c>
      <x:c r="CB11" s="141" t="n">
        <x:f>MAX(0,-CA11)</x:f>
        <x:v>0</x:v>
      </x:c>
      <x:c r="CC11" s="141" t="n">
        <x:f>CC10*(1+Premissas!$B$41)+CB11</x:f>
        <x:v>0</x:v>
      </x:c>
      <x:c r="CD11" s="141" t="n">
        <x:f>MAX(0,CA11)</x:f>
        <x:v>91890.67495873479</x:v>
      </x:c>
      <x:c r="CE11" s="141" t="n">
        <x:f>IF(AND('Carta Contemplada'!$B$22="Sim",$A11&gt;='Carta Contemplada'!$B$23),INDEX('Carta Contemplada'!$I$55:$I$1013,$A11),0)</x:f>
        <x:v>143260.99463065973</x:v>
      </x:c>
      <x:c r="CF11" s="141" t="n">
        <x:f>IF(AND('Carta Contemplada'!$B$22="Sim",$A11&gt;='Carta Contemplada'!$B$44),$F11,0)</x:f>
        <x:v>205912.60281974</x:v>
      </x:c>
      <x:c r="CG11" s="141" t="n">
        <x:f>CD11+CF11-CE11</x:f>
        <x:v>154542.28314781506</x:v>
      </x:c>
      <x:c r="CH11" s="141" t="n">
        <x:f>IF(CC11&gt;1,"Inviavel",CG11)</x:f>
        <x:v>154542.28314781506</x:v>
      </x:c>
      <x:c r="CI11" s="145" t="str">
        <x:f>IF(CC11&gt;1,"Inviavel","OK")</x:f>
        <x:v>OK</x:v>
      </x:c>
    </x:row>
    <x:row r="12">
      <x:c r="A12" s="142" t="n">
        <x:v>8</x:v>
      </x:c>
      <x:c r="B12" s="179" t="n">
        <x:f>EDATE(Premissas!$B$4,A12-1)</x:f>
        <x:v>46753</x:v>
      </x:c>
      <x:c r="C12" s="141" t="n">
        <x:f>IF(A12&lt;=Premissas!$B$39,Premissas!$B$42,0)</x:f>
        <x:v>7000</x:v>
      </x:c>
      <x:c r="D12" s="141" t="n">
        <x:f>Premissas!$B$54*(1+Premissas!$B$57)^INT((A12-1)/12)</x:f>
        <x:v>700</x:v>
      </x:c>
      <x:c r="E12" s="141" t="n">
        <x:f>Premissas!$B$64*(1+Premissas!$B$57)^INT((A12-1)/12)</x:f>
        <x:v>640</x:v>
      </x:c>
      <x:c r="F12" s="141" t="n">
        <x:f>MAX(0,Premissas!$B$6*(1+Premissas!$B$66)^((A12-1)/12))</x:f>
        <x:v>206914.89282600651</x:v>
      </x:c>
      <x:c r="G12" s="141" t="n">
        <x:f>G11*(1+Premissas!$B$41)+C12</x:f>
        <x:v>154046.34652264274</x:v>
      </x:c>
      <x:c r="H12" s="141" t="n">
        <x:f>IF($A12=Premissas!$B$48,Premissas!$B$8,0)</x:f>
        <x:v>0</x:v>
      </x:c>
      <x:c r="I12" s="141" t="n">
        <x:f>IF(AND($A12&gt;=Premissas!$B$48,$A12-Premissas!$B$48+1&lt;=Premissas!$B$13),INDEX(Financiamento!$J$6:$J$485,$A12-Premissas!$B$48+1),0)</x:f>
        <x:v>2023.8558026601147</x:v>
      </x:c>
      <x:c r="J12" s="141" t="n">
        <x:f>IF(AND(TRUE,Premissas!$B$11="Imovel",Premissas!$B$47="Moradia",$A12&lt;MAX(Premissas!$B$48,Premissas!$B$49)),$D12,0)</x:f>
        <x:v>0</x:v>
      </x:c>
      <x:c r="K12" s="141" t="n">
        <x:f>IF(AND(TRUE,Premissas!$B$11="Imovel",Premissas!$B$47="Investimento",$A12&gt;=MAX(Premissas!$B$48,Premissas!$B$49)),$E12,0)</x:f>
        <x:v>640</x:v>
      </x:c>
      <x:c r="L12" s="141" t="n">
        <x:f>H12+I12+J12</x:f>
        <x:v>2023.8558026601147</x:v>
      </x:c>
      <x:c r="M12" s="141" t="n">
        <x:f>K12</x:f>
        <x:v>640</x:v>
      </x:c>
      <x:c r="N12" s="141" t="n">
        <x:f>$C12+M12-L12</x:f>
        <x:v>5616.144197339885</x:v>
      </x:c>
      <x:c r="O12" s="141" t="n">
        <x:f>R11*(1+Premissas!$B$41)+N12</x:f>
        <x:v>99760.94511788977</x:v>
      </x:c>
      <x:c r="P12" s="141" t="n">
        <x:f>MAX(0,-O12)</x:f>
        <x:v>0</x:v>
      </x:c>
      <x:c r="Q12" s="141" t="n">
        <x:f>Q11*(1+Premissas!$B$41)+P12</x:f>
        <x:v>0</x:v>
      </x:c>
      <x:c r="R12" s="141" t="n">
        <x:f>MAX(0,O12)</x:f>
        <x:v>99760.94511788977</x:v>
      </x:c>
      <x:c r="S12" s="141" t="n">
        <x:f>IF(AND($A12&gt;=Premissas!$B$48,$A12-Premissas!$B$48+1&lt;=Premissas!$B$13),INDEX(Financiamento!$M$6:$M$485,$A12-Premissas!$B$48+1),0)</x:f>
        <x:v>156952.38095238106</x:v>
      </x:c>
      <x:c r="T12" s="141" t="n">
        <x:f>IF($A12&gt;=Premissas!$B$48,$F12,0)</x:f>
        <x:v>206914.89282600651</x:v>
      </x:c>
      <x:c r="U12" s="141" t="n">
        <x:f>R12+T12-S12</x:f>
        <x:v>149723.45699151524</x:v>
      </x:c>
      <x:c r="V12" s="141" t="n">
        <x:f>IF(Q12&gt;1,"Inviavel",U12)</x:f>
        <x:v>149723.45699151524</x:v>
      </x:c>
      <x:c r="W12" s="141" t="str">
        <x:f>IF(Q12&gt;1,"Inviavel","OK")</x:f>
        <x:v>OK</x:v>
      </x:c>
      <x:c r="X12" s="141" t="n">
        <x:f>IF($A12=Premissas!$B$48,Premissas!$B$8,0)</x:f>
        <x:v>0</x:v>
      </x:c>
      <x:c r="Y12" s="141" t="n">
        <x:f>IF(AND($A12&gt;=Premissas!$B$48,$A12-Premissas!$B$48+1&lt;=Premissas!$B$13),INDEX(Amortizacao!$K$6:$K$485,$A12-Premissas!$B$48+1),0)</x:f>
        <x:v>7000</x:v>
      </x:c>
      <x:c r="Z12" s="141" t="n">
        <x:f>IF(AND(TRUE,Premissas!$B$11="Imovel",Premissas!$B$47="Moradia",$A12&lt;MAX(Premissas!$B$48,Premissas!$B$49)),$D12,0)</x:f>
        <x:v>0</x:v>
      </x:c>
      <x:c r="AA12" s="141" t="n">
        <x:f>IF(AND(TRUE,Premissas!$B$11="Imovel",Premissas!$B$47="Investimento",$A12&gt;=MAX(Premissas!$B$48,Premissas!$B$49)),$E12,0)</x:f>
        <x:v>640</x:v>
      </x:c>
      <x:c r="AB12" s="141" t="n">
        <x:f>X12+Y12+Z12</x:f>
        <x:v>7000</x:v>
      </x:c>
      <x:c r="AC12" s="141" t="n">
        <x:f>AA12</x:f>
        <x:v>640</x:v>
      </x:c>
      <x:c r="AD12" s="141" t="n">
        <x:f>$C12+AC12-AB12</x:f>
        <x:v>640</x:v>
      </x:c>
      <x:c r="AE12" s="141" t="n">
        <x:f>AH11*(1+Premissas!$B$41)+AD12</x:f>
        <x:v>58710.43061710887</x:v>
      </x:c>
      <x:c r="AF12" s="141" t="n">
        <x:f>MAX(0,-AE12)</x:f>
        <x:v>0</x:v>
      </x:c>
      <x:c r="AG12" s="141" t="n">
        <x:f>AG11*(1+Premissas!$B$41)+AF12</x:f>
        <x:v>0</x:v>
      </x:c>
      <x:c r="AH12" s="141" t="n">
        <x:f>MAX(0,AE12)</x:f>
        <x:v>58710.43061710887</x:v>
      </x:c>
      <x:c r="AI12" s="141" t="n">
        <x:f>IF(AND($A12&gt;=Premissas!$B$48,$A12-Premissas!$B$48+1&lt;=Premissas!$B$13),INDEX(Amortizacao!$L$6:$L$485,$A12-Premissas!$B$48+1),0)</x:f>
        <x:v>115901.86645160017</x:v>
      </x:c>
      <x:c r="AJ12" s="141" t="n">
        <x:f>IF($A12&gt;=Premissas!$B$48,$F12,0)</x:f>
        <x:v>206914.89282600651</x:v>
      </x:c>
      <x:c r="AK12" s="141" t="n">
        <x:f>AH12+AJ12-AI12</x:f>
        <x:v>149723.45699151524</x:v>
      </x:c>
      <x:c r="AL12" s="141" t="n">
        <x:f>IF(AG12&gt;1,"Inviavel",AK12)</x:f>
        <x:v>149723.45699151524</x:v>
      </x:c>
      <x:c r="AM12" s="141" t="str">
        <x:f>IF(AG12&gt;1,"Inviavel","OK")</x:f>
        <x:v>OK</x:v>
      </x:c>
      <x:c r="AN12" s="141" t="n">
        <x:f>IF($A12=Premissas!$B$48,Premissas!$B$8,0)</x:f>
        <x:v>0</x:v>
      </x:c>
      <x:c r="AO12" s="141" t="n">
        <x:f>IF($A12&lt;=Premissas!$B$25,INDEX('Consorcio IQ'!$K$6:$K$485,$A12),0)</x:f>
        <x:v>2594.3216589241383</x:v>
      </x:c>
      <x:c r="AP12" s="141" t="n">
        <x:f>IF(AND(TRUE,Premissas!$B$11="Imovel",Premissas!$B$47="Moradia",$A12&lt;MAX(Premissas!$B$48,Premissas!$B$49)),$D12,0)</x:f>
        <x:v>0</x:v>
      </x:c>
      <x:c r="AQ12" s="141" t="n">
        <x:f>IF(AND(TRUE,Premissas!$B$11="Imovel",Premissas!$B$47="Investimento",$A12&gt;=MAX(Premissas!$B$48,Premissas!$B$49)),$E12,0)</x:f>
        <x:v>640</x:v>
      </x:c>
      <x:c r="AR12" s="141" t="n">
        <x:f>AN12+AO12+AP12</x:f>
        <x:v>2594.3216589241383</x:v>
      </x:c>
      <x:c r="AS12" s="141" t="n">
        <x:f>AQ12</x:f>
        <x:v>640</x:v>
      </x:c>
      <x:c r="AT12" s="141" t="n">
        <x:f>$C12+AS12-AR12</x:f>
        <x:v>5045.678341075862</x:v>
      </x:c>
      <x:c r="AU12" s="141" t="n">
        <x:f>AX11*(1+Premissas!$B$41)+AT12</x:f>
        <x:v>95042.74264852067</x:v>
      </x:c>
      <x:c r="AV12" s="141" t="n">
        <x:f>MAX(0,-AU12)</x:f>
        <x:v>0</x:v>
      </x:c>
      <x:c r="AW12" s="141" t="n">
        <x:f>AW11*(1+Premissas!$B$41)+AV12</x:f>
        <x:v>0</x:v>
      </x:c>
      <x:c r="AX12" s="141" t="n">
        <x:f>MAX(0,AU12)</x:f>
        <x:v>95042.74264852067</x:v>
      </x:c>
      <x:c r="AY12" s="141" t="n">
        <x:f>INDEX('Consorcio IQ'!$P$6:$P$485,$A12)</x:f>
        <x:v>238796.5806570096</x:v>
      </x:c>
      <x:c r="AZ12" s="141" t="n">
        <x:f>IF($A12&gt;=Premissas!$B$48,$F12,0)+IF($A12&lt;Premissas!$B$27,INDEX('Consorcio IQ'!$O$6:$O$485,$A12),0)</x:f>
        <x:v>290840.61650406104</x:v>
      </x:c>
      <x:c r="BA12" s="141" t="n">
        <x:f>AX12+AZ12-AY12</x:f>
        <x:v>147086.77849557213</x:v>
      </x:c>
      <x:c r="BB12" s="141" t="n">
        <x:f>IF(AW12&gt;1,"Inviavel",BA12)</x:f>
        <x:v>147086.77849557213</x:v>
      </x:c>
      <x:c r="BC12" s="141" t="str">
        <x:f>IF(AW12&gt;1,"Inviavel","OK")</x:f>
        <x:v>OK</x:v>
      </x:c>
      <x:c r="BD12" s="141" t="n">
        <x:f>IF($A12='Consorcio Direto'!$B$29,'Consorcio Direto'!$B$44,0)</x:f>
        <x:v>0</x:v>
      </x:c>
      <x:c r="BE12" s="141" t="n">
        <x:f>IF($A12&lt;='Consorcio Direto'!$B$27,INDEX('Consorcio Direto'!$E$55:$E$534,$A12),0)</x:f>
        <x:v>1477.2217705578066</x:v>
      </x:c>
      <x:c r="BF12" s="141" t="n">
        <x:f>IF(AND(TRUE,Premissas!$B$11="Imovel",Premissas!$B$47="Moradia",$A12&lt;MAX('Consorcio Direto'!$B$29,Premissas!$B$49)),$D12,0)</x:f>
        <x:v>0</x:v>
      </x:c>
      <x:c r="BG12" s="141" t="n">
        <x:f>IF(AND(TRUE,Premissas!$B$11="Imovel",Premissas!$B$47="Investimento",$A12&gt;=MAX('Consorcio Direto'!$B$29,Premissas!$B$49)),$E12,0)</x:f>
        <x:v>0</x:v>
      </x:c>
      <x:c r="BH12" s="141" t="n">
        <x:f>BD12+BE12+BF12</x:f>
        <x:v>1477.2217705578066</x:v>
      </x:c>
      <x:c r="BI12" s="141" t="n">
        <x:f>BG12</x:f>
        <x:v>0</x:v>
      </x:c>
      <x:c r="BJ12" s="141" t="n">
        <x:f>$C12+BI12-BH12</x:f>
        <x:v>5522.778229442193</x:v>
      </x:c>
      <x:c r="BK12" s="141" t="n">
        <x:f>BN11*(1+Premissas!$B$41)+BJ12</x:f>
        <x:v>141828.55762411514</x:v>
      </x:c>
      <x:c r="BL12" s="141" t="n">
        <x:f>MAX(0,-BK12)</x:f>
        <x:v>0</x:v>
      </x:c>
      <x:c r="BM12" s="141" t="n">
        <x:f>BM11*(1+Premissas!$B$41)+BL12</x:f>
        <x:v>0</x:v>
      </x:c>
      <x:c r="BN12" s="141" t="n">
        <x:f>MAX(0,BK12)</x:f>
        <x:v>141828.55762411514</x:v>
      </x:c>
      <x:c r="BO12" s="141" t="n">
        <x:f>INDEX('Consorcio Direto'!$K$55:$K$534,$A12)</x:f>
        <x:v>211935.6176535167</x:v>
      </x:c>
      <x:c r="BP12" s="141" t="n">
        <x:f>IF($A12&lt;'Consorcio Direto'!$B$29,INDEX('Consorcio Direto'!$L$55:$L$534,$A12),$F12)</x:f>
        <x:v>162994.2941795387</x:v>
      </x:c>
      <x:c r="BQ12" s="141" t="n">
        <x:f>BN12+BP12-BO12</x:f>
        <x:v>92887.23415013717</x:v>
      </x:c>
      <x:c r="BR12" s="141" t="n">
        <x:f>IF(BM12&gt;1,"Inviavel",BQ12)</x:f>
        <x:v>92887.23415013717</x:v>
      </x:c>
      <x:c r="BS12" s="141" t="str">
        <x:f>IF(BM12&gt;1,"Inviavel","OK")</x:f>
        <x:v>OK</x:v>
      </x:c>
      <x:c r="BT12" s="141" t="n">
        <x:f>IF(AND('Carta Contemplada'!$B$22="Sim",$A12='Carta Contemplada'!$B$23),'Carta Contemplada'!$B$37,0)</x:f>
        <x:v>0</x:v>
      </x:c>
      <x:c r="BU12" s="141" t="n">
        <x:f>IF('Carta Contemplada'!$B$22="Sim",INDEX('Carta Contemplada'!$C$55:$C$1013,$A12),0)</x:f>
        <x:v>1200</x:v>
      </x:c>
      <x:c r="BV12" s="141" t="n">
        <x:f>IF(AND('Carta Contemplada'!$B$22="Sim",Premissas!$B$11="Imovel",Premissas!$B$47="Moradia",$A12&lt;MAX('Carta Contemplada'!$B$44,Premissas!$B$49)),$D12,0)</x:f>
        <x:v>0</x:v>
      </x:c>
      <x:c r="BW12" s="141" t="n">
        <x:f>IF(AND('Carta Contemplada'!$B$22="Sim",Premissas!$B$11="Imovel",Premissas!$B$47="Investimento",$A12&gt;=MAX('Carta Contemplada'!$B$44,Premissas!$B$49)),$E12,0)</x:f>
        <x:v>640</x:v>
      </x:c>
      <x:c r="BX12" s="141" t="n">
        <x:f>BT12+BU12+BV12</x:f>
        <x:v>1200</x:v>
      </x:c>
      <x:c r="BY12" s="141" t="n">
        <x:f>BW12</x:f>
        <x:v>640</x:v>
      </x:c>
      <x:c r="BZ12" s="141" t="n">
        <x:f>$C12+BY12-BX12</x:f>
        <x:v>6440</x:v>
      </x:c>
      <x:c r="CA12" s="141" t="n">
        <x:f>CD11*(1+Premissas!$B$41)+BZ12</x:f>
        <x:v>99202.60654603729</x:v>
      </x:c>
      <x:c r="CB12" s="141" t="n">
        <x:f>MAX(0,-CA12)</x:f>
        <x:v>0</x:v>
      </x:c>
      <x:c r="CC12" s="141" t="n">
        <x:f>CC11*(1+Premissas!$B$41)+CB12</x:f>
        <x:v>0</x:v>
      </x:c>
      <x:c r="CD12" s="141" t="n">
        <x:f>MAX(0,CA12)</x:f>
        <x:v>99202.60654603729</x:v>
      </x:c>
      <x:c r="CE12" s="141" t="n">
        <x:f>IF(AND('Carta Contemplada'!$B$22="Sim",$A12&gt;='Carta Contemplada'!$B$23),INDEX('Carta Contemplada'!$I$55:$I$1013,$A12),0)</x:f>
        <x:v>143420.36854431249</x:v>
      </x:c>
      <x:c r="CF12" s="141" t="n">
        <x:f>IF(AND('Carta Contemplada'!$B$22="Sim",$A12&gt;='Carta Contemplada'!$B$44),$F12,0)</x:f>
        <x:v>206914.89282600651</x:v>
      </x:c>
      <x:c r="CG12" s="141" t="n">
        <x:f>CD12+CF12-CE12</x:f>
        <x:v>162697.13082773134</x:v>
      </x:c>
      <x:c r="CH12" s="141" t="n">
        <x:f>IF(CC12&gt;1,"Inviavel",CG12)</x:f>
        <x:v>162697.13082773134</x:v>
      </x:c>
      <x:c r="CI12" s="145" t="str">
        <x:f>IF(CC12&gt;1,"Inviavel","OK")</x:f>
        <x:v>OK</x:v>
      </x:c>
    </x:row>
    <x:row r="13">
      <x:c r="A13" s="142" t="n">
        <x:v>9</x:v>
      </x:c>
      <x:c r="B13" s="179" t="n">
        <x:f>EDATE(Premissas!$B$4,A13-1)</x:f>
        <x:v>46784</x:v>
      </x:c>
      <x:c r="C13" s="141" t="n">
        <x:f>IF(A13&lt;=Premissas!$B$39,Premissas!$B$42,0)</x:f>
        <x:v>7000</x:v>
      </x:c>
      <x:c r="D13" s="141" t="n">
        <x:f>Premissas!$B$54*(1+Premissas!$B$57)^INT((A13-1)/12)</x:f>
        <x:v>700</x:v>
      </x:c>
      <x:c r="E13" s="141" t="n">
        <x:f>Premissas!$B$64*(1+Premissas!$B$57)^INT((A13-1)/12)</x:f>
        <x:v>640</x:v>
      </x:c>
      <x:c r="F13" s="141" t="n">
        <x:f>MAX(0,Premissas!$B$6*(1+Premissas!$B$66)^((A13-1)/12))</x:f>
        <x:v>207922.0615295596</x:v>
      </x:c>
      <x:c r="G13" s="141" t="n">
        <x:f>G12*(1+Premissas!$B$41)+C13</x:f>
        <x:v>162508.06040712513</x:v>
      </x:c>
      <x:c r="H13" s="141" t="n">
        <x:f>IF($A13=Premissas!$B$48,Premissas!$B$8,0)</x:f>
        <x:v>0</x:v>
      </x:c>
      <x:c r="I13" s="141" t="n">
        <x:f>IF(AND($A13&gt;=Premissas!$B$48,$A13-Premissas!$B$48+1&lt;=Premissas!$B$13),INDEX(Financiamento!$J$6:$J$485,$A13-Premissas!$B$48+1),0)</x:f>
        <x:v>2020.2410243993213</x:v>
      </x:c>
      <x:c r="J13" s="141" t="n">
        <x:f>IF(AND(TRUE,Premissas!$B$11="Imovel",Premissas!$B$47="Moradia",$A13&lt;MAX(Premissas!$B$48,Premissas!$B$49)),$D13,0)</x:f>
        <x:v>0</x:v>
      </x:c>
      <x:c r="K13" s="141" t="n">
        <x:f>IF(AND(TRUE,Premissas!$B$11="Imovel",Premissas!$B$47="Investimento",$A13&gt;=MAX(Premissas!$B$48,Premissas!$B$49)),$E13,0)</x:f>
        <x:v>640</x:v>
      </x:c>
      <x:c r="L13" s="141" t="n">
        <x:f>H13+I13+J13</x:f>
        <x:v>2020.2410243993213</x:v>
      </x:c>
      <x:c r="M13" s="141" t="n">
        <x:f>K13</x:f>
        <x:v>640</x:v>
      </x:c>
      <x:c r="N13" s="141" t="n">
        <x:f>$C13+M13-L13</x:f>
        <x:v>5619.758975600678</x:v>
      </x:c>
      <x:c r="O13" s="141" t="n">
        <x:f>R12*(1+Premissas!$B$41)+N13</x:f>
        <x:v>106327.3150446724</x:v>
      </x:c>
      <x:c r="P13" s="141" t="n">
        <x:f>MAX(0,-O13)</x:f>
        <x:v>0</x:v>
      </x:c>
      <x:c r="Q13" s="141" t="n">
        <x:f>Q12*(1+Premissas!$B$41)+P13</x:f>
        <x:v>0</x:v>
      </x:c>
      <x:c r="R13" s="141" t="n">
        <x:f>MAX(0,O13)</x:f>
        <x:v>106327.3150446724</x:v>
      </x:c>
      <x:c r="S13" s="141" t="n">
        <x:f>IF(AND($A13&gt;=Premissas!$B$48,$A13-Premissas!$B$48+1&lt;=Premissas!$B$13),INDEX(Financiamento!$M$6:$M$485,$A13-Premissas!$B$48+1),0)</x:f>
        <x:v>156571.4285714287</x:v>
      </x:c>
      <x:c r="T13" s="141" t="n">
        <x:f>IF($A13&gt;=Premissas!$B$48,$F13,0)</x:f>
        <x:v>207922.0615295596</x:v>
      </x:c>
      <x:c r="U13" s="141" t="n">
        <x:f>R13+T13-S13</x:f>
        <x:v>157677.9480028033</x:v>
      </x:c>
      <x:c r="V13" s="141" t="n">
        <x:f>IF(Q13&gt;1,"Inviavel",U13)</x:f>
        <x:v>157677.9480028033</x:v>
      </x:c>
      <x:c r="W13" s="141" t="str">
        <x:f>IF(Q13&gt;1,"Inviavel","OK")</x:f>
        <x:v>OK</x:v>
      </x:c>
      <x:c r="X13" s="141" t="n">
        <x:f>IF($A13=Premissas!$B$48,Premissas!$B$8,0)</x:f>
        <x:v>0</x:v>
      </x:c>
      <x:c r="Y13" s="141" t="n">
        <x:f>IF(AND($A13&gt;=Premissas!$B$48,$A13-Premissas!$B$48+1&lt;=Premissas!$B$13),INDEX(Amortizacao!$K$6:$K$485,$A13-Premissas!$B$48+1),0)</x:f>
        <x:v>7000</x:v>
      </x:c>
      <x:c r="Z13" s="141" t="n">
        <x:f>IF(AND(TRUE,Premissas!$B$11="Imovel",Premissas!$B$47="Moradia",$A13&lt;MAX(Premissas!$B$48,Premissas!$B$49)),$D13,0)</x:f>
        <x:v>0</x:v>
      </x:c>
      <x:c r="AA13" s="141" t="n">
        <x:f>IF(AND(TRUE,Premissas!$B$11="Imovel",Premissas!$B$47="Investimento",$A13&gt;=MAX(Premissas!$B$48,Premissas!$B$49)),$E13,0)</x:f>
        <x:v>640</x:v>
      </x:c>
      <x:c r="AB13" s="141" t="n">
        <x:f>X13+Y13+Z13</x:f>
        <x:v>7000</x:v>
      </x:c>
      <x:c r="AC13" s="141" t="n">
        <x:f>AA13</x:f>
        <x:v>640</x:v>
      </x:c>
      <x:c r="AD13" s="141" t="n">
        <x:f>$C13+AC13-AB13</x:f>
        <x:v>640</x:v>
      </x:c>
      <x:c r="AE13" s="141" t="n">
        <x:f>AH12*(1+Premissas!$B$41)+AD13</x:f>
        <x:v>59907.52173633482</x:v>
      </x:c>
      <x:c r="AF13" s="141" t="n">
        <x:f>MAX(0,-AE13)</x:f>
        <x:v>0</x:v>
      </x:c>
      <x:c r="AG13" s="141" t="n">
        <x:f>AG12*(1+Premissas!$B$41)+AF13</x:f>
        <x:v>0</x:v>
      </x:c>
      <x:c r="AH13" s="141" t="n">
        <x:f>MAX(0,AE13)</x:f>
        <x:v>59907.52173633482</x:v>
      </x:c>
      <x:c r="AI13" s="141" t="n">
        <x:f>IF(AND($A13&gt;=Premissas!$B$48,$A13-Premissas!$B$48+1&lt;=Premissas!$B$13),INDEX(Amortizacao!$L$6:$L$485,$A13-Premissas!$B$48+1),0)</x:f>
        <x:v>110151.6352630911</x:v>
      </x:c>
      <x:c r="AJ13" s="141" t="n">
        <x:f>IF($A13&gt;=Premissas!$B$48,$F13,0)</x:f>
        <x:v>207922.0615295596</x:v>
      </x:c>
      <x:c r="AK13" s="141" t="n">
        <x:f>AH13+AJ13-AI13</x:f>
        <x:v>157677.94800280334</x:v>
      </x:c>
      <x:c r="AL13" s="141" t="n">
        <x:f>IF(AG13&gt;1,"Inviavel",AK13)</x:f>
        <x:v>157677.94800280334</x:v>
      </x:c>
      <x:c r="AM13" s="141" t="str">
        <x:f>IF(AG13&gt;1,"Inviavel","OK")</x:f>
        <x:v>OK</x:v>
      </x:c>
      <x:c r="AN13" s="141" t="n">
        <x:f>IF($A13=Premissas!$B$48,Premissas!$B$8,0)</x:f>
        <x:v>0</x:v>
      </x:c>
      <x:c r="AO13" s="141" t="n">
        <x:f>IF($A13&lt;=Premissas!$B$25,INDEX('Consorcio IQ'!$K$6:$K$485,$A13),0)</x:f>
        <x:v>2590.7068806633447</x:v>
      </x:c>
      <x:c r="AP13" s="141" t="n">
        <x:f>IF(AND(TRUE,Premissas!$B$11="Imovel",Premissas!$B$47="Moradia",$A13&lt;MAX(Premissas!$B$48,Premissas!$B$49)),$D13,0)</x:f>
        <x:v>0</x:v>
      </x:c>
      <x:c r="AQ13" s="141" t="n">
        <x:f>IF(AND(TRUE,Premissas!$B$11="Imovel",Premissas!$B$47="Investimento",$A13&gt;=MAX(Premissas!$B$48,Premissas!$B$49)),$E13,0)</x:f>
        <x:v>640</x:v>
      </x:c>
      <x:c r="AR13" s="141" t="n">
        <x:f>AN13+AO13+AP13</x:f>
        <x:v>2590.7068806633447</x:v>
      </x:c>
      <x:c r="AS13" s="141" t="n">
        <x:f>AQ13</x:f>
        <x:v>640</x:v>
      </x:c>
      <x:c r="AT13" s="141" t="n">
        <x:f>$C13+AS13-AR13</x:f>
        <x:v>5049.293119336655</x:v>
      </x:c>
      <x:c r="AU13" s="141" t="n">
        <x:f>AX12*(1+Premissas!$B$41)+AT13</x:f>
        <x:v>100993.876672784</x:v>
      </x:c>
      <x:c r="AV13" s="141" t="n">
        <x:f>MAX(0,-AU13)</x:f>
        <x:v>0</x:v>
      </x:c>
      <x:c r="AW13" s="141" t="n">
        <x:f>AW12*(1+Premissas!$B$41)+AV13</x:f>
        <x:v>0</x:v>
      </x:c>
      <x:c r="AX13" s="141" t="n">
        <x:f>MAX(0,AU13)</x:f>
        <x:v>100993.876672784</x:v>
      </x:c>
      <x:c r="AY13" s="141" t="n">
        <x:f>INDEX('Consorcio IQ'!$P$6:$P$485,$A13)</x:f>
        <x:v>238621.7650836871</x:v>
      </x:c>
      <x:c r="AZ13" s="141" t="n">
        <x:f>IF($A13&gt;=Premissas!$B$48,$F13,0)+IF($A13&lt;Premissas!$B$27,INDEX('Consorcio IQ'!$O$6:$O$485,$A13),0)</x:f>
        <x:v>292644.1390214802</x:v>
      </x:c>
      <x:c r="BA13" s="141" t="n">
        <x:f>AX13+AZ13-AY13</x:f>
        <x:v>155016.25061057712</x:v>
      </x:c>
      <x:c r="BB13" s="141" t="n">
        <x:f>IF(AW13&gt;1,"Inviavel",BA13)</x:f>
        <x:v>155016.25061057712</x:v>
      </x:c>
      <x:c r="BC13" s="141" t="str">
        <x:f>IF(AW13&gt;1,"Inviavel","OK")</x:f>
        <x:v>OK</x:v>
      </x:c>
      <x:c r="BD13" s="141" t="n">
        <x:f>IF($A13='Consorcio Direto'!$B$29,'Consorcio Direto'!$B$44,0)</x:f>
        <x:v>0</x:v>
      </x:c>
      <x:c r="BE13" s="141" t="n">
        <x:f>IF($A13&lt;='Consorcio Direto'!$B$27,INDEX('Consorcio Direto'!$E$55:$E$534,$A13),0)</x:f>
        <x:v>1477.2217705578066</x:v>
      </x:c>
      <x:c r="BF13" s="141" t="n">
        <x:f>IF(AND(TRUE,Premissas!$B$11="Imovel",Premissas!$B$47="Moradia",$A13&lt;MAX('Consorcio Direto'!$B$29,Premissas!$B$49)),$D13,0)</x:f>
        <x:v>0</x:v>
      </x:c>
      <x:c r="BG13" s="141" t="n">
        <x:f>IF(AND(TRUE,Premissas!$B$11="Imovel",Premissas!$B$47="Investimento",$A13&gt;=MAX('Consorcio Direto'!$B$29,Premissas!$B$49)),$E13,0)</x:f>
        <x:v>0</x:v>
      </x:c>
      <x:c r="BH13" s="141" t="n">
        <x:f>BD13+BE13+BF13</x:f>
        <x:v>1477.2217705578066</x:v>
      </x:c>
      <x:c r="BI13" s="141" t="n">
        <x:f>BG13</x:f>
        <x:v>0</x:v>
      </x:c>
      <x:c r="BJ13" s="141" t="n">
        <x:f>$C13+BI13-BH13</x:f>
        <x:v>5522.778229442193</x:v>
      </x:c>
      <x:c r="BK13" s="141" t="n">
        <x:f>BN12*(1+Premissas!$B$41)+BJ13</x:f>
        <x:v>148697.11766906315</x:v>
      </x:c>
      <x:c r="BL13" s="141" t="n">
        <x:f>MAX(0,-BK13)</x:f>
        <x:v>0</x:v>
      </x:c>
      <x:c r="BM13" s="141" t="n">
        <x:f>BM12*(1+Premissas!$B$41)+BL13</x:f>
        <x:v>0</x:v>
      </x:c>
      <x:c r="BN13" s="141" t="n">
        <x:f>MAX(0,BK13)</x:f>
        <x:v>148697.11766906315</x:v>
      </x:c>
      <x:c r="BO13" s="141" t="n">
        <x:f>INDEX('Consorcio Direto'!$K$55:$K$534,$A13)</x:f>
        <x:v>212469.4090743361</x:v>
      </x:c>
      <x:c r="BP13" s="141" t="n">
        <x:f>IF($A13&lt;'Consorcio Direto'!$B$29,INDEX('Consorcio Direto'!$L$55:$L$534,$A13),$F13)</x:f>
        <x:v>164540.9132865269</x:v>
      </x:c>
      <x:c r="BQ13" s="141" t="n">
        <x:f>BN13+BP13-BO13</x:f>
        <x:v>100768.62188125399</x:v>
      </x:c>
      <x:c r="BR13" s="141" t="n">
        <x:f>IF(BM13&gt;1,"Inviavel",BQ13)</x:f>
        <x:v>100768.62188125399</x:v>
      </x:c>
      <x:c r="BS13" s="141" t="str">
        <x:f>IF(BM13&gt;1,"Inviavel","OK")</x:f>
        <x:v>OK</x:v>
      </x:c>
      <x:c r="BT13" s="141" t="n">
        <x:f>IF(AND('Carta Contemplada'!$B$22="Sim",$A13='Carta Contemplada'!$B$23),'Carta Contemplada'!$B$37,0)</x:f>
        <x:v>0</x:v>
      </x:c>
      <x:c r="BU13" s="141" t="n">
        <x:f>IF('Carta Contemplada'!$B$22="Sim",INDEX('Carta Contemplada'!$C$55:$C$1013,$A13),0)</x:f>
        <x:v>1200</x:v>
      </x:c>
      <x:c r="BV13" s="141" t="n">
        <x:f>IF(AND('Carta Contemplada'!$B$22="Sim",Premissas!$B$11="Imovel",Premissas!$B$47="Moradia",$A13&lt;MAX('Carta Contemplada'!$B$44,Premissas!$B$49)),$D13,0)</x:f>
        <x:v>0</x:v>
      </x:c>
      <x:c r="BW13" s="141" t="n">
        <x:f>IF(AND('Carta Contemplada'!$B$22="Sim",Premissas!$B$11="Imovel",Premissas!$B$47="Investimento",$A13&gt;=MAX('Carta Contemplada'!$B$44,Premissas!$B$49)),$E13,0)</x:f>
        <x:v>640</x:v>
      </x:c>
      <x:c r="BX13" s="141" t="n">
        <x:f>BT13+BU13+BV13</x:f>
        <x:v>1200</x:v>
      </x:c>
      <x:c r="BY13" s="141" t="n">
        <x:f>BW13</x:f>
        <x:v>640</x:v>
      </x:c>
      <x:c r="BZ13" s="141" t="n">
        <x:f>$C13+BY13-BX13</x:f>
        <x:v>6440</x:v>
      </x:c>
      <x:c r="CA13" s="141" t="n">
        <x:f>CD12*(1+Premissas!$B$41)+BZ13</x:f>
        <x:v>106583.91953812355</x:v>
      </x:c>
      <x:c r="CB13" s="141" t="n">
        <x:f>MAX(0,-CA13)</x:f>
        <x:v>0</x:v>
      </x:c>
      <x:c r="CC13" s="141" t="n">
        <x:f>CC12*(1+Premissas!$B$41)+CB13</x:f>
        <x:v>0</x:v>
      </x:c>
      <x:c r="CD13" s="141" t="n">
        <x:f>MAX(0,CA13)</x:f>
        <x:v>106583.91953812355</x:v>
      </x:c>
      <x:c r="CE13" s="141" t="n">
        <x:f>IF(AND('Carta Contemplada'!$B$22="Sim",$A13&gt;='Carta Contemplada'!$B$23),INDEX('Carta Contemplada'!$I$55:$I$1013,$A13),0)</x:f>
        <x:v>143581.25472403105</x:v>
      </x:c>
      <x:c r="CF13" s="141" t="n">
        <x:f>IF(AND('Carta Contemplada'!$B$22="Sim",$A13&gt;='Carta Contemplada'!$B$44),$F13,0)</x:f>
        <x:v>207922.0615295596</x:v>
      </x:c>
      <x:c r="CG13" s="141" t="n">
        <x:f>CD13+CF13-CE13</x:f>
        <x:v>170924.7263436521</x:v>
      </x:c>
      <x:c r="CH13" s="141" t="n">
        <x:f>IF(CC13&gt;1,"Inviavel",CG13)</x:f>
        <x:v>170924.7263436521</x:v>
      </x:c>
      <x:c r="CI13" s="145" t="str">
        <x:f>IF(CC13&gt;1,"Inviavel","OK")</x:f>
        <x:v>OK</x:v>
      </x:c>
    </x:row>
    <x:row r="14">
      <x:c r="A14" s="142" t="n">
        <x:v>10</x:v>
      </x:c>
      <x:c r="B14" s="179" t="n">
        <x:f>EDATE(Premissas!$B$4,A14-1)</x:f>
        <x:v>46813</x:v>
      </x:c>
      <x:c r="C14" s="141" t="n">
        <x:f>IF(A14&lt;=Premissas!$B$39,Premissas!$B$42,0)</x:f>
        <x:v>7000</x:v>
      </x:c>
      <x:c r="D14" s="141" t="n">
        <x:f>Premissas!$B$54*(1+Premissas!$B$57)^INT((A14-1)/12)</x:f>
        <x:v>700</x:v>
      </x:c>
      <x:c r="E14" s="141" t="n">
        <x:f>Premissas!$B$64*(1+Premissas!$B$57)^INT((A14-1)/12)</x:f>
        <x:v>640</x:v>
      </x:c>
      <x:c r="F14" s="141" t="n">
        <x:f>MAX(0,Premissas!$B$6*(1+Premissas!$B$66)^((A14-1)/12))</x:f>
        <x:v>208934.13267770514</x:v>
      </x:c>
      <x:c r="G14" s="141" t="n">
        <x:f>G13*(1+Premissas!$B$41)+C14</x:f>
        <x:v>171050.06574252906</x:v>
      </x:c>
      <x:c r="H14" s="141" t="n">
        <x:f>IF($A14=Premissas!$B$48,Premissas!$B$8,0)</x:f>
        <x:v>0</x:v>
      </x:c>
      <x:c r="I14" s="141" t="n">
        <x:f>IF(AND($A14&gt;=Premissas!$B$48,$A14-Premissas!$B$48+1&lt;=Premissas!$B$13),INDEX(Financiamento!$J$6:$J$485,$A14-Premissas!$B$48+1),0)</x:f>
        <x:v>2016.626246138528</x:v>
      </x:c>
      <x:c r="J14" s="141" t="n">
        <x:f>IF(AND(TRUE,Premissas!$B$11="Imovel",Premissas!$B$47="Moradia",$A14&lt;MAX(Premissas!$B$48,Premissas!$B$49)),$D14,0)</x:f>
        <x:v>0</x:v>
      </x:c>
      <x:c r="K14" s="141" t="n">
        <x:f>IF(AND(TRUE,Premissas!$B$11="Imovel",Premissas!$B$47="Investimento",$A14&gt;=MAX(Premissas!$B$48,Premissas!$B$49)),$E14,0)</x:f>
        <x:v>640</x:v>
      </x:c>
      <x:c r="L14" s="141" t="n">
        <x:f>H14+I14+J14</x:f>
        <x:v>2016.626246138528</x:v>
      </x:c>
      <x:c r="M14" s="141" t="n">
        <x:f>K14</x:f>
        <x:v>640</x:v>
      </x:c>
      <x:c r="N14" s="141" t="n">
        <x:f>$C14+M14-L14</x:f>
        <x:v>5623.373753861472</x:v>
      </x:c>
      <x:c r="O14" s="141" t="n">
        <x:f>R13*(1+Premissas!$B$41)+N14</x:f>
        <x:v>112959.60667428294</x:v>
      </x:c>
      <x:c r="P14" s="141" t="n">
        <x:f>MAX(0,-O14)</x:f>
        <x:v>0</x:v>
      </x:c>
      <x:c r="Q14" s="141" t="n">
        <x:f>Q13*(1+Premissas!$B$41)+P14</x:f>
        <x:v>0</x:v>
      </x:c>
      <x:c r="R14" s="141" t="n">
        <x:f>MAX(0,O14)</x:f>
        <x:v>112959.60667428294</x:v>
      </x:c>
      <x:c r="S14" s="141" t="n">
        <x:f>IF(AND($A14&gt;=Premissas!$B$48,$A14-Premissas!$B$48+1&lt;=Premissas!$B$13),INDEX(Financiamento!$M$6:$M$485,$A14-Premissas!$B$48+1),0)</x:f>
        <x:v>156190.47619047633</x:v>
      </x:c>
      <x:c r="T14" s="141" t="n">
        <x:f>IF($A14&gt;=Premissas!$B$48,$F14,0)</x:f>
        <x:v>208934.13267770514</x:v>
      </x:c>
      <x:c r="U14" s="141" t="n">
        <x:f>R14+T14-S14</x:f>
        <x:v>165703.26316151174</x:v>
      </x:c>
      <x:c r="V14" s="141" t="n">
        <x:f>IF(Q14&gt;1,"Inviavel",U14)</x:f>
        <x:v>165703.26316151174</x:v>
      </x:c>
      <x:c r="W14" s="141" t="str">
        <x:f>IF(Q14&gt;1,"Inviavel","OK")</x:f>
        <x:v>OK</x:v>
      </x:c>
      <x:c r="X14" s="141" t="n">
        <x:f>IF($A14=Premissas!$B$48,Premissas!$B$8,0)</x:f>
        <x:v>0</x:v>
      </x:c>
      <x:c r="Y14" s="141" t="n">
        <x:f>IF(AND($A14&gt;=Premissas!$B$48,$A14-Premissas!$B$48+1&lt;=Premissas!$B$13),INDEX(Amortizacao!$K$6:$K$485,$A14-Premissas!$B$48+1),0)</x:f>
        <x:v>7000</x:v>
      </x:c>
      <x:c r="Z14" s="141" t="n">
        <x:f>IF(AND(TRUE,Premissas!$B$11="Imovel",Premissas!$B$47="Moradia",$A14&lt;MAX(Premissas!$B$48,Premissas!$B$49)),$D14,0)</x:f>
        <x:v>0</x:v>
      </x:c>
      <x:c r="AA14" s="141" t="n">
        <x:f>IF(AND(TRUE,Premissas!$B$11="Imovel",Premissas!$B$47="Investimento",$A14&gt;=MAX(Premissas!$B$48,Premissas!$B$49)),$E14,0)</x:f>
        <x:v>640</x:v>
      </x:c>
      <x:c r="AB14" s="141" t="n">
        <x:f>X14+Y14+Z14</x:f>
        <x:v>7000</x:v>
      </x:c>
      <x:c r="AC14" s="141" t="n">
        <x:f>AA14</x:f>
        <x:v>640</x:v>
      </x:c>
      <x:c r="AD14" s="141" t="n">
        <x:f>$C14+AC14-AB14</x:f>
        <x:v>640</x:v>
      </x:c>
      <x:c r="AE14" s="141" t="n">
        <x:f>AH13*(1+Premissas!$B$41)+AD14</x:f>
        <x:v>61115.97180531493</x:v>
      </x:c>
      <x:c r="AF14" s="141" t="n">
        <x:f>MAX(0,-AE14)</x:f>
        <x:v>0</x:v>
      </x:c>
      <x:c r="AG14" s="141" t="n">
        <x:f>AG13*(1+Premissas!$B$41)+AF14</x:f>
        <x:v>0</x:v>
      </x:c>
      <x:c r="AH14" s="141" t="n">
        <x:f>MAX(0,AE14)</x:f>
        <x:v>61115.97180531493</x:v>
      </x:c>
      <x:c r="AI14" s="141" t="n">
        <x:f>IF(AND($A14&gt;=Premissas!$B$48,$A14-Premissas!$B$48+1&lt;=Premissas!$B$13),INDEX(Amortizacao!$L$6:$L$485,$A14-Premissas!$B$48+1),0)</x:f>
        <x:v>104346.84132150828</x:v>
      </x:c>
      <x:c r="AJ14" s="141" t="n">
        <x:f>IF($A14&gt;=Premissas!$B$48,$F14,0)</x:f>
        <x:v>208934.13267770514</x:v>
      </x:c>
      <x:c r="AK14" s="141" t="n">
        <x:f>AH14+AJ14-AI14</x:f>
        <x:v>165703.2631615118</x:v>
      </x:c>
      <x:c r="AL14" s="141" t="n">
        <x:f>IF(AG14&gt;1,"Inviavel",AK14)</x:f>
        <x:v>165703.2631615118</x:v>
      </x:c>
      <x:c r="AM14" s="141" t="str">
        <x:f>IF(AG14&gt;1,"Inviavel","OK")</x:f>
        <x:v>OK</x:v>
      </x:c>
      <x:c r="AN14" s="141" t="n">
        <x:f>IF($A14=Premissas!$B$48,Premissas!$B$8,0)</x:f>
        <x:v>0</x:v>
      </x:c>
      <x:c r="AO14" s="141" t="n">
        <x:f>IF($A14&lt;=Premissas!$B$25,INDEX('Consorcio IQ'!$K$6:$K$485,$A14),0)</x:f>
        <x:v>2587.092102402551</x:v>
      </x:c>
      <x:c r="AP14" s="141" t="n">
        <x:f>IF(AND(TRUE,Premissas!$B$11="Imovel",Premissas!$B$47="Moradia",$A14&lt;MAX(Premissas!$B$48,Premissas!$B$49)),$D14,0)</x:f>
        <x:v>0</x:v>
      </x:c>
      <x:c r="AQ14" s="141" t="n">
        <x:f>IF(AND(TRUE,Premissas!$B$11="Imovel",Premissas!$B$47="Investimento",$A14&gt;=MAX(Premissas!$B$48,Premissas!$B$49)),$E14,0)</x:f>
        <x:v>640</x:v>
      </x:c>
      <x:c r="AR14" s="141" t="n">
        <x:f>AN14+AO14+AP14</x:f>
        <x:v>2587.092102402551</x:v>
      </x:c>
      <x:c r="AS14" s="141" t="n">
        <x:f>AQ14</x:f>
        <x:v>640</x:v>
      </x:c>
      <x:c r="AT14" s="141" t="n">
        <x:f>$C14+AS14-AR14</x:f>
        <x:v>5052.907897597449</x:v>
      </x:c>
      <x:c r="AU14" s="141" t="n">
        <x:f>AX13*(1+Premissas!$B$41)+AT14</x:f>
        <x:v>107005.09455379032</x:v>
      </x:c>
      <x:c r="AV14" s="141" t="n">
        <x:f>MAX(0,-AU14)</x:f>
        <x:v>0</x:v>
      </x:c>
      <x:c r="AW14" s="141" t="n">
        <x:f>AW13*(1+Premissas!$B$41)+AV14</x:f>
        <x:v>0</x:v>
      </x:c>
      <x:c r="AX14" s="141" t="n">
        <x:f>MAX(0,AU14)</x:f>
        <x:v>107005.09455379032</x:v>
      </x:c>
      <x:c r="AY14" s="141" t="n">
        <x:f>INDEX('Consorcio IQ'!$P$6:$P$485,$A14)</x:f>
        <x:v>238448.90549984836</x:v>
      </x:c>
      <x:c r="AZ14" s="141" t="n">
        <x:f>IF($A14&gt;=Premissas!$B$48,$F14,0)+IF($A14&lt;Premissas!$B$27,INDEX('Consorcio IQ'!$O$6:$O$485,$A14),0)</x:f>
        <x:v>294460.1204199343</x:v>
      </x:c>
      <x:c r="BA14" s="141" t="n">
        <x:f>AX14+AZ14-AY14</x:f>
        <x:v>163016.3094738762</x:v>
      </x:c>
      <x:c r="BB14" s="141" t="n">
        <x:f>IF(AW14&gt;1,"Inviavel",BA14)</x:f>
        <x:v>163016.3094738762</x:v>
      </x:c>
      <x:c r="BC14" s="141" t="str">
        <x:f>IF(AW14&gt;1,"Inviavel","OK")</x:f>
        <x:v>OK</x:v>
      </x:c>
      <x:c r="BD14" s="141" t="n">
        <x:f>IF($A14='Consorcio Direto'!$B$29,'Consorcio Direto'!$B$44,0)</x:f>
        <x:v>0</x:v>
      </x:c>
      <x:c r="BE14" s="141" t="n">
        <x:f>IF($A14&lt;='Consorcio Direto'!$B$27,INDEX('Consorcio Direto'!$E$55:$E$534,$A14),0)</x:f>
        <x:v>1477.2217705578066</x:v>
      </x:c>
      <x:c r="BF14" s="141" t="n">
        <x:f>IF(AND(TRUE,Premissas!$B$11="Imovel",Premissas!$B$47="Moradia",$A14&lt;MAX('Consorcio Direto'!$B$29,Premissas!$B$49)),$D14,0)</x:f>
        <x:v>0</x:v>
      </x:c>
      <x:c r="BG14" s="141" t="n">
        <x:f>IF(AND(TRUE,Premissas!$B$11="Imovel",Premissas!$B$47="Investimento",$A14&gt;=MAX('Consorcio Direto'!$B$29,Premissas!$B$49)),$E14,0)</x:f>
        <x:v>0</x:v>
      </x:c>
      <x:c r="BH14" s="141" t="n">
        <x:f>BD14+BE14+BF14</x:f>
        <x:v>1477.2217705578066</x:v>
      </x:c>
      <x:c r="BI14" s="141" t="n">
        <x:f>BG14</x:f>
        <x:v>0</x:v>
      </x:c>
      <x:c r="BJ14" s="141" t="n">
        <x:f>$C14+BI14-BH14</x:f>
        <x:v>5522.778229442193</x:v>
      </x:c>
      <x:c r="BK14" s="141" t="n">
        <x:f>BN13*(1+Premissas!$B$41)+BJ14</x:f>
        <x:v>155630.85205803643</x:v>
      </x:c>
      <x:c r="BL14" s="141" t="n">
        <x:f>MAX(0,-BK14)</x:f>
        <x:v>0</x:v>
      </x:c>
      <x:c r="BM14" s="141" t="n">
        <x:f>BM13*(1+Premissas!$B$41)+BL14</x:f>
        <x:v>0</x:v>
      </x:c>
      <x:c r="BN14" s="141" t="n">
        <x:f>MAX(0,BK14)</x:f>
        <x:v>155630.85205803643</x:v>
      </x:c>
      <x:c r="BO14" s="141" t="n">
        <x:f>INDEX('Consorcio Direto'!$K$55:$K$534,$A14)</x:f>
        <x:v>213008.26553141788</x:v>
      </x:c>
      <x:c r="BP14" s="141" t="n">
        <x:f>IF($A14&lt;'Consorcio Direto'!$B$29,INDEX('Consorcio Direto'!$L$55:$L$534,$A14),$F14)</x:f>
        <x:v>166102.20794196991</x:v>
      </x:c>
      <x:c r="BQ14" s="141" t="n">
        <x:f>BN14+BP14-BO14</x:f>
        <x:v>108724.79446858846</x:v>
      </x:c>
      <x:c r="BR14" s="141" t="n">
        <x:f>IF(BM14&gt;1,"Inviavel",BQ14)</x:f>
        <x:v>108724.79446858846</x:v>
      </x:c>
      <x:c r="BS14" s="141" t="str">
        <x:f>IF(BM14&gt;1,"Inviavel","OK")</x:f>
        <x:v>OK</x:v>
      </x:c>
      <x:c r="BT14" s="141" t="n">
        <x:f>IF(AND('Carta Contemplada'!$B$22="Sim",$A14='Carta Contemplada'!$B$23),'Carta Contemplada'!$B$37,0)</x:f>
        <x:v>0</x:v>
      </x:c>
      <x:c r="BU14" s="141" t="n">
        <x:f>IF('Carta Contemplada'!$B$22="Sim",INDEX('Carta Contemplada'!$C$55:$C$1013,$A14),0)</x:f>
        <x:v>1200</x:v>
      </x:c>
      <x:c r="BV14" s="141" t="n">
        <x:f>IF(AND('Carta Contemplada'!$B$22="Sim",Premissas!$B$11="Imovel",Premissas!$B$47="Moradia",$A14&lt;MAX('Carta Contemplada'!$B$44,Premissas!$B$49)),$D14,0)</x:f>
        <x:v>0</x:v>
      </x:c>
      <x:c r="BW14" s="141" t="n">
        <x:f>IF(AND('Carta Contemplada'!$B$22="Sim",Premissas!$B$11="Imovel",Premissas!$B$47="Investimento",$A14&gt;=MAX('Carta Contemplada'!$B$44,Premissas!$B$49)),$E14,0)</x:f>
        <x:v>640</x:v>
      </x:c>
      <x:c r="BX14" s="141" t="n">
        <x:f>BT14+BU14+BV14</x:f>
        <x:v>1200</x:v>
      </x:c>
      <x:c r="BY14" s="141" t="n">
        <x:f>BW14</x:f>
        <x:v>640</x:v>
      </x:c>
      <x:c r="BZ14" s="141" t="n">
        <x:f>$C14+BY14-BX14</x:f>
        <x:v>6440</x:v>
      </x:c>
      <x:c r="CA14" s="141" t="n">
        <x:f>CD13*(1+Premissas!$B$41)+BZ14</x:f>
        <x:v>114035.27228077706</x:v>
      </x:c>
      <x:c r="CB14" s="141" t="n">
        <x:f>MAX(0,-CA14)</x:f>
        <x:v>0</x:v>
      </x:c>
      <x:c r="CC14" s="141" t="n">
        <x:f>CC13*(1+Premissas!$B$41)+CB14</x:f>
        <x:v>0</x:v>
      </x:c>
      <x:c r="CD14" s="141" t="n">
        <x:f>MAX(0,CA14)</x:f>
        <x:v>114035.27228077706</x:v>
      </x:c>
      <x:c r="CE14" s="141" t="n">
        <x:f>IF(AND('Carta Contemplada'!$B$22="Sim",$A14&gt;='Carta Contemplada'!$B$23),INDEX('Carta Contemplada'!$I$55:$I$1013,$A14),0)</x:f>
        <x:v>143743.667519395</x:v>
      </x:c>
      <x:c r="CF14" s="141" t="n">
        <x:f>IF(AND('Carta Contemplada'!$B$22="Sim",$A14&gt;='Carta Contemplada'!$B$44),$F14,0)</x:f>
        <x:v>208934.13267770514</x:v>
      </x:c>
      <x:c r="CG14" s="141" t="n">
        <x:f>CD14+CF14-CE14</x:f>
        <x:v>179225.73743908718</x:v>
      </x:c>
      <x:c r="CH14" s="141" t="n">
        <x:f>IF(CC14&gt;1,"Inviavel",CG14)</x:f>
        <x:v>179225.73743908718</x:v>
      </x:c>
      <x:c r="CI14" s="145" t="str">
        <x:f>IF(CC14&gt;1,"Inviavel","OK")</x:f>
        <x:v>OK</x:v>
      </x:c>
    </x:row>
    <x:row r="15">
      <x:c r="A15" s="142" t="n">
        <x:v>11</x:v>
      </x:c>
      <x:c r="B15" s="179" t="n">
        <x:f>EDATE(Premissas!$B$4,A15-1)</x:f>
        <x:v>46844</x:v>
      </x:c>
      <x:c r="C15" s="141" t="n">
        <x:f>IF(A15&lt;=Premissas!$B$39,Premissas!$B$42,0)</x:f>
        <x:v>7000</x:v>
      </x:c>
      <x:c r="D15" s="141" t="n">
        <x:f>Premissas!$B$54*(1+Premissas!$B$57)^INT((A15-1)/12)</x:f>
        <x:v>700</x:v>
      </x:c>
      <x:c r="E15" s="141" t="n">
        <x:f>Premissas!$B$64*(1+Premissas!$B$57)^INT((A15-1)/12)</x:f>
        <x:v>640</x:v>
      </x:c>
      <x:c r="F15" s="141" t="n">
        <x:f>MAX(0,Premissas!$B$6*(1+Premissas!$B$66)^((A15-1)/12))</x:f>
        <x:v>209951.13013333993</x:v>
      </x:c>
      <x:c r="G15" s="141" t="n">
        <x:f>G14*(1+Premissas!$B$41)+C15</x:f>
        <x:v>179673.12439780674</x:v>
      </x:c>
      <x:c r="H15" s="141" t="n">
        <x:f>IF($A15=Premissas!$B$48,Premissas!$B$8,0)</x:f>
        <x:v>0</x:v>
      </x:c>
      <x:c r="I15" s="141" t="n">
        <x:f>IF(AND($A15&gt;=Premissas!$B$48,$A15-Premissas!$B$48+1&lt;=Premissas!$B$13),INDEX(Financiamento!$J$6:$J$485,$A15-Premissas!$B$48+1),0)</x:f>
        <x:v>2013.0114678777345</x:v>
      </x:c>
      <x:c r="J15" s="141" t="n">
        <x:f>IF(AND(TRUE,Premissas!$B$11="Imovel",Premissas!$B$47="Moradia",$A15&lt;MAX(Premissas!$B$48,Premissas!$B$49)),$D15,0)</x:f>
        <x:v>0</x:v>
      </x:c>
      <x:c r="K15" s="141" t="n">
        <x:f>IF(AND(TRUE,Premissas!$B$11="Imovel",Premissas!$B$47="Investimento",$A15&gt;=MAX(Premissas!$B$48,Premissas!$B$49)),$E15,0)</x:f>
        <x:v>640</x:v>
      </x:c>
      <x:c r="L15" s="141" t="n">
        <x:f>H15+I15+J15</x:f>
        <x:v>2013.0114678777345</x:v>
      </x:c>
      <x:c r="M15" s="141" t="n">
        <x:f>K15</x:f>
        <x:v>640</x:v>
      </x:c>
      <x:c r="N15" s="141" t="n">
        <x:f>$C15+M15-L15</x:f>
        <x:v>5626.9885321222655</x:v>
      </x:c>
      <x:c r="O15" s="141" t="n">
        <x:f>R14*(1+Premissas!$B$41)+N15</x:f>
        <x:v>119658.44552410943</x:v>
      </x:c>
      <x:c r="P15" s="141" t="n">
        <x:f>MAX(0,-O15)</x:f>
        <x:v>0</x:v>
      </x:c>
      <x:c r="Q15" s="141" t="n">
        <x:f>Q14*(1+Premissas!$B$41)+P15</x:f>
        <x:v>0</x:v>
      </x:c>
      <x:c r="R15" s="141" t="n">
        <x:f>MAX(0,O15)</x:f>
        <x:v>119658.44552410943</x:v>
      </x:c>
      <x:c r="S15" s="141" t="n">
        <x:f>IF(AND($A15&gt;=Premissas!$B$48,$A15-Premissas!$B$48+1&lt;=Premissas!$B$13),INDEX(Financiamento!$M$6:$M$485,$A15-Premissas!$B$48+1),0)</x:f>
        <x:v>155809.52380952396</x:v>
      </x:c>
      <x:c r="T15" s="141" t="n">
        <x:f>IF($A15&gt;=Premissas!$B$48,$F15,0)</x:f>
        <x:v>209951.13013333993</x:v>
      </x:c>
      <x:c r="U15" s="141" t="n">
        <x:f>R15+T15-S15</x:f>
        <x:v>173800.0518479254</x:v>
      </x:c>
      <x:c r="V15" s="141" t="n">
        <x:f>IF(Q15&gt;1,"Inviavel",U15)</x:f>
        <x:v>173800.0518479254</x:v>
      </x:c>
      <x:c r="W15" s="141" t="str">
        <x:f>IF(Q15&gt;1,"Inviavel","OK")</x:f>
        <x:v>OK</x:v>
      </x:c>
      <x:c r="X15" s="141" t="n">
        <x:f>IF($A15=Premissas!$B$48,Premissas!$B$8,0)</x:f>
        <x:v>0</x:v>
      </x:c>
      <x:c r="Y15" s="141" t="n">
        <x:f>IF(AND($A15&gt;=Premissas!$B$48,$A15-Premissas!$B$48+1&lt;=Premissas!$B$13),INDEX(Amortizacao!$K$6:$K$485,$A15-Premissas!$B$48+1),0)</x:f>
        <x:v>7000</x:v>
      </x:c>
      <x:c r="Z15" s="141" t="n">
        <x:f>IF(AND(TRUE,Premissas!$B$11="Imovel",Premissas!$B$47="Moradia",$A15&lt;MAX(Premissas!$B$48,Premissas!$B$49)),$D15,0)</x:f>
        <x:v>0</x:v>
      </x:c>
      <x:c r="AA15" s="141" t="n">
        <x:f>IF(AND(TRUE,Premissas!$B$11="Imovel",Premissas!$B$47="Investimento",$A15&gt;=MAX(Premissas!$B$48,Premissas!$B$49)),$E15,0)</x:f>
        <x:v>640</x:v>
      </x:c>
      <x:c r="AB15" s="141" t="n">
        <x:f>X15+Y15+Z15</x:f>
        <x:v>7000</x:v>
      </x:c>
      <x:c r="AC15" s="141" t="n">
        <x:f>AA15</x:f>
        <x:v>640</x:v>
      </x:c>
      <x:c r="AD15" s="141" t="n">
        <x:f>$C15+AC15-AB15</x:f>
        <x:v>640</x:v>
      </x:c>
      <x:c r="AE15" s="141" t="n">
        <x:f>AH14*(1+Premissas!$B$41)+AD15</x:f>
        <x:v>62335.88860677138</x:v>
      </x:c>
      <x:c r="AF15" s="141" t="n">
        <x:f>MAX(0,-AE15)</x:f>
        <x:v>0</x:v>
      </x:c>
      <x:c r="AG15" s="141" t="n">
        <x:f>AG14*(1+Premissas!$B$41)+AF15</x:f>
        <x:v>0</x:v>
      </x:c>
      <x:c r="AH15" s="141" t="n">
        <x:f>MAX(0,AE15)</x:f>
        <x:v>62335.88860677138</x:v>
      </x:c>
      <x:c r="AI15" s="141" t="n">
        <x:f>IF(AND($A15&gt;=Premissas!$B$48,$A15-Premissas!$B$48+1&lt;=Premissas!$B$13),INDEX(Amortizacao!$L$6:$L$485,$A15-Premissas!$B$48+1),0)</x:f>
        <x:v>98486.96689218587</x:v>
      </x:c>
      <x:c r="AJ15" s="141" t="n">
        <x:f>IF($A15&gt;=Premissas!$B$48,$F15,0)</x:f>
        <x:v>209951.13013333993</x:v>
      </x:c>
      <x:c r="AK15" s="141" t="n">
        <x:f>AH15+AJ15-AI15</x:f>
        <x:v>173800.05184792547</x:v>
      </x:c>
      <x:c r="AL15" s="141" t="n">
        <x:f>IF(AG15&gt;1,"Inviavel",AK15)</x:f>
        <x:v>173800.05184792547</x:v>
      </x:c>
      <x:c r="AM15" s="141" t="str">
        <x:f>IF(AG15&gt;1,"Inviavel","OK")</x:f>
        <x:v>OK</x:v>
      </x:c>
      <x:c r="AN15" s="141" t="n">
        <x:f>IF($A15=Premissas!$B$48,Premissas!$B$8,0)</x:f>
        <x:v>0</x:v>
      </x:c>
      <x:c r="AO15" s="141" t="n">
        <x:f>IF($A15&lt;=Premissas!$B$25,INDEX('Consorcio IQ'!$K$6:$K$485,$A15),0)</x:f>
        <x:v>2583.477324141758</x:v>
      </x:c>
      <x:c r="AP15" s="141" t="n">
        <x:f>IF(AND(TRUE,Premissas!$B$11="Imovel",Premissas!$B$47="Moradia",$A15&lt;MAX(Premissas!$B$48,Premissas!$B$49)),$D15,0)</x:f>
        <x:v>0</x:v>
      </x:c>
      <x:c r="AQ15" s="141" t="n">
        <x:f>IF(AND(TRUE,Premissas!$B$11="Imovel",Premissas!$B$47="Investimento",$A15&gt;=MAX(Premissas!$B$48,Premissas!$B$49)),$E15,0)</x:f>
        <x:v>640</x:v>
      </x:c>
      <x:c r="AR15" s="141" t="n">
        <x:f>AN15+AO15+AP15</x:f>
        <x:v>2583.477324141758</x:v>
      </x:c>
      <x:c r="AS15" s="141" t="n">
        <x:f>AQ15</x:f>
        <x:v>640</x:v>
      </x:c>
      <x:c r="AT15" s="141" t="n">
        <x:f>$C15+AS15-AR15</x:f>
        <x:v>5056.522675858242</x:v>
      </x:c>
      <x:c r="AU15" s="141" t="n">
        <x:f>AX14*(1+Premissas!$B$41)+AT15</x:f>
        <x:v>113076.96641481496</x:v>
      </x:c>
      <x:c r="AV15" s="141" t="n">
        <x:f>MAX(0,-AU15)</x:f>
        <x:v>0</x:v>
      </x:c>
      <x:c r="AW15" s="141" t="n">
        <x:f>AW14*(1+Premissas!$B$41)+AV15</x:f>
        <x:v>0</x:v>
      </x:c>
      <x:c r="AX15" s="141" t="n">
        <x:f>MAX(0,AU15)</x:f>
        <x:v>113076.96641481496</x:v>
      </x:c>
      <x:c r="AY15" s="141" t="n">
        <x:f>INDEX('Consorcio IQ'!$P$6:$P$485,$A15)</x:f>
        <x:v>238278.02046547265</x:v>
      </x:c>
      <x:c r="AZ15" s="141" t="n">
        <x:f>IF($A15&gt;=Premissas!$B$48,$F15,0)+IF($A15&lt;Premissas!$B$27,INDEX('Consorcio IQ'!$O$6:$O$485,$A15),0)</x:f>
        <x:v>296288.6562637808</x:v>
      </x:c>
      <x:c r="BA15" s="141" t="n">
        <x:f>AX15+AZ15-AY15</x:f>
        <x:v>171087.60221312306</x:v>
      </x:c>
      <x:c r="BB15" s="141" t="n">
        <x:f>IF(AW15&gt;1,"Inviavel",BA15)</x:f>
        <x:v>171087.60221312306</x:v>
      </x:c>
      <x:c r="BC15" s="141" t="str">
        <x:f>IF(AW15&gt;1,"Inviavel","OK")</x:f>
        <x:v>OK</x:v>
      </x:c>
      <x:c r="BD15" s="141" t="n">
        <x:f>IF($A15='Consorcio Direto'!$B$29,'Consorcio Direto'!$B$44,0)</x:f>
        <x:v>0</x:v>
      </x:c>
      <x:c r="BE15" s="141" t="n">
        <x:f>IF($A15&lt;='Consorcio Direto'!$B$27,INDEX('Consorcio Direto'!$E$55:$E$534,$A15),0)</x:f>
        <x:v>1477.2217705578066</x:v>
      </x:c>
      <x:c r="BF15" s="141" t="n">
        <x:f>IF(AND(TRUE,Premissas!$B$11="Imovel",Premissas!$B$47="Moradia",$A15&lt;MAX('Consorcio Direto'!$B$29,Premissas!$B$49)),$D15,0)</x:f>
        <x:v>0</x:v>
      </x:c>
      <x:c r="BG15" s="141" t="n">
        <x:f>IF(AND(TRUE,Premissas!$B$11="Imovel",Premissas!$B$47="Investimento",$A15&gt;=MAX('Consorcio Direto'!$B$29,Premissas!$B$49)),$E15,0)</x:f>
        <x:v>0</x:v>
      </x:c>
      <x:c r="BH15" s="141" t="n">
        <x:f>BD15+BE15+BF15</x:f>
        <x:v>1477.2217705578066</x:v>
      </x:c>
      <x:c r="BI15" s="141" t="n">
        <x:f>BG15</x:f>
        <x:v>0</x:v>
      </x:c>
      <x:c r="BJ15" s="141" t="n">
        <x:f>$C15+BI15-BH15</x:f>
        <x:v>5522.778229442193</x:v>
      </x:c>
      <x:c r="BK15" s="141" t="n">
        <x:f>BN14*(1+Premissas!$B$41)+BJ15</x:f>
        <x:v>162630.37921689005</x:v>
      </x:c>
      <x:c r="BL15" s="141" t="n">
        <x:f>MAX(0,-BK15)</x:f>
        <x:v>0</x:v>
      </x:c>
      <x:c r="BM15" s="141" t="n">
        <x:f>BM14*(1+Premissas!$B$41)+BL15</x:f>
        <x:v>0</x:v>
      </x:c>
      <x:c r="BN15" s="141" t="n">
        <x:f>MAX(0,BK15)</x:f>
        <x:v>162630.37921689005</x:v>
      </x:c>
      <x:c r="BO15" s="141" t="n">
        <x:f>INDEX('Consorcio Direto'!$K$55:$K$534,$A15)</x:f>
        <x:v>213552.23508584237</x:v>
      </x:c>
      <x:c r="BP15" s="141" t="n">
        <x:f>IF($A15&lt;'Consorcio Direto'!$B$29,INDEX('Consorcio Direto'!$L$55:$L$534,$A15),$F15)</x:f>
        <x:v>167678.31739910832</x:v>
      </x:c>
      <x:c r="BQ15" s="141" t="n">
        <x:f>BN15+BP15-BO15</x:f>
        <x:v>116756.46153015603</x:v>
      </x:c>
      <x:c r="BR15" s="141" t="n">
        <x:f>IF(BM15&gt;1,"Inviavel",BQ15)</x:f>
        <x:v>116756.46153015603</x:v>
      </x:c>
      <x:c r="BS15" s="141" t="str">
        <x:f>IF(BM15&gt;1,"Inviavel","OK")</x:f>
        <x:v>OK</x:v>
      </x:c>
      <x:c r="BT15" s="141" t="n">
        <x:f>IF(AND('Carta Contemplada'!$B$22="Sim",$A15='Carta Contemplada'!$B$23),'Carta Contemplada'!$B$37,0)</x:f>
        <x:v>0</x:v>
      </x:c>
      <x:c r="BU15" s="141" t="n">
        <x:f>IF('Carta Contemplada'!$B$22="Sim",INDEX('Carta Contemplada'!$C$55:$C$1013,$A15),0)</x:f>
        <x:v>1200</x:v>
      </x:c>
      <x:c r="BV15" s="141" t="n">
        <x:f>IF(AND('Carta Contemplada'!$B$22="Sim",Premissas!$B$11="Imovel",Premissas!$B$47="Moradia",$A15&lt;MAX('Carta Contemplada'!$B$44,Premissas!$B$49)),$D15,0)</x:f>
        <x:v>0</x:v>
      </x:c>
      <x:c r="BW15" s="141" t="n">
        <x:f>IF(AND('Carta Contemplada'!$B$22="Sim",Premissas!$B$11="Imovel",Premissas!$B$47="Investimento",$A15&gt;=MAX('Carta Contemplada'!$B$44,Premissas!$B$49)),$E15,0)</x:f>
        <x:v>640</x:v>
      </x:c>
      <x:c r="BX15" s="141" t="n">
        <x:f>BT15+BU15+BV15</x:f>
        <x:v>1200</x:v>
      </x:c>
      <x:c r="BY15" s="141" t="n">
        <x:f>BW15</x:f>
        <x:v>640</x:v>
      </x:c>
      <x:c r="BZ15" s="141" t="n">
        <x:f>$C15+BY15-BX15</x:f>
        <x:v>6440</x:v>
      </x:c>
      <x:c r="CA15" s="141" t="n">
        <x:f>CD14*(1+Premissas!$B$41)+BZ15</x:f>
        <x:v>121557.32936668815</x:v>
      </x:c>
      <x:c r="CB15" s="141" t="n">
        <x:f>MAX(0,-CA15)</x:f>
        <x:v>0</x:v>
      </x:c>
      <x:c r="CC15" s="141" t="n">
        <x:f>CC14*(1+Premissas!$B$41)+CB15</x:f>
        <x:v>0</x:v>
      </x:c>
      <x:c r="CD15" s="141" t="n">
        <x:f>MAX(0,CA15)</x:f>
        <x:v>121557.32936668815</x:v>
      </x:c>
      <x:c r="CE15" s="141" t="n">
        <x:f>IF(AND('Carta Contemplada'!$B$22="Sim",$A15&gt;='Carta Contemplada'!$B$23),INDEX('Carta Contemplada'!$I$55:$I$1013,$A15),0)</x:f>
        <x:v>143907.6214161441</x:v>
      </x:c>
      <x:c r="CF15" s="141" t="n">
        <x:f>IF(AND('Carta Contemplada'!$B$22="Sim",$A15&gt;='Carta Contemplada'!$B$44),$F15,0)</x:f>
        <x:v>209951.13013333993</x:v>
      </x:c>
      <x:c r="CG15" s="141" t="n">
        <x:f>CD15+CF15-CE15</x:f>
        <x:v>187600.83808388395</x:v>
      </x:c>
      <x:c r="CH15" s="141" t="n">
        <x:f>IF(CC15&gt;1,"Inviavel",CG15)</x:f>
        <x:v>187600.83808388395</x:v>
      </x:c>
      <x:c r="CI15" s="145" t="str">
        <x:f>IF(CC15&gt;1,"Inviavel","OK")</x:f>
        <x:v>OK</x:v>
      </x:c>
    </x:row>
    <x:row r="16">
      <x:c r="A16" s="142" t="n">
        <x:v>12</x:v>
      </x:c>
      <x:c r="B16" s="179" t="n">
        <x:f>EDATE(Premissas!$B$4,A16-1)</x:f>
        <x:v>46874</x:v>
      </x:c>
      <x:c r="C16" s="141" t="n">
        <x:f>IF(A16&lt;=Premissas!$B$39,Premissas!$B$42,0)</x:f>
        <x:v>7000</x:v>
      </x:c>
      <x:c r="D16" s="141" t="n">
        <x:f>Premissas!$B$54*(1+Premissas!$B$57)^INT((A16-1)/12)</x:f>
        <x:v>700</x:v>
      </x:c>
      <x:c r="E16" s="141" t="n">
        <x:f>Premissas!$B$64*(1+Premissas!$B$57)^INT((A16-1)/12)</x:f>
        <x:v>640</x:v>
      </x:c>
      <x:c r="F16" s="141" t="n">
        <x:f>MAX(0,Premissas!$B$6*(1+Premissas!$B$66)^((A16-1)/12))</x:f>
        <x:v>210973.07787551486</x:v>
      </x:c>
      <x:c r="G16" s="141" t="n">
        <x:f>G15*(1+Premissas!$B$41)+C16</x:f>
        <x:v>188378.0054711271</x:v>
      </x:c>
      <x:c r="H16" s="141" t="n">
        <x:f>IF($A16=Premissas!$B$48,Premissas!$B$8,0)</x:f>
        <x:v>0</x:v>
      </x:c>
      <x:c r="I16" s="141" t="n">
        <x:f>IF(AND($A16&gt;=Premissas!$B$48,$A16-Premissas!$B$48+1&lt;=Premissas!$B$13),INDEX(Financiamento!$J$6:$J$485,$A16-Premissas!$B$48+1),0)</x:f>
        <x:v>2009.3966896169413</x:v>
      </x:c>
      <x:c r="J16" s="141" t="n">
        <x:f>IF(AND(TRUE,Premissas!$B$11="Imovel",Premissas!$B$47="Moradia",$A16&lt;MAX(Premissas!$B$48,Premissas!$B$49)),$D16,0)</x:f>
        <x:v>0</x:v>
      </x:c>
      <x:c r="K16" s="141" t="n">
        <x:f>IF(AND(TRUE,Premissas!$B$11="Imovel",Premissas!$B$47="Investimento",$A16&gt;=MAX(Premissas!$B$48,Premissas!$B$49)),$E16,0)</x:f>
        <x:v>640</x:v>
      </x:c>
      <x:c r="L16" s="141" t="n">
        <x:f>H16+I16+J16</x:f>
        <x:v>2009.3966896169413</x:v>
      </x:c>
      <x:c r="M16" s="141" t="n">
        <x:f>K16</x:f>
        <x:v>640</x:v>
      </x:c>
      <x:c r="N16" s="141" t="n">
        <x:f>$C16+M16-L16</x:f>
        <x:v>5630.603310383059</x:v>
      </x:c>
      <x:c r="O16" s="141" t="n">
        <x:f>R15*(1+Premissas!$B$41)+N16</x:f>
        <x:v>126424.46304694485</x:v>
      </x:c>
      <x:c r="P16" s="141" t="n">
        <x:f>MAX(0,-O16)</x:f>
        <x:v>0</x:v>
      </x:c>
      <x:c r="Q16" s="141" t="n">
        <x:f>Q15*(1+Premissas!$B$41)+P16</x:f>
        <x:v>0</x:v>
      </x:c>
      <x:c r="R16" s="141" t="n">
        <x:f>MAX(0,O16)</x:f>
        <x:v>126424.46304694485</x:v>
      </x:c>
      <x:c r="S16" s="141" t="n">
        <x:f>IF(AND($A16&gt;=Premissas!$B$48,$A16-Premissas!$B$48+1&lt;=Premissas!$B$13),INDEX(Financiamento!$M$6:$M$485,$A16-Premissas!$B$48+1),0)</x:f>
        <x:v>155428.5714285716</x:v>
      </x:c>
      <x:c r="T16" s="141" t="n">
        <x:f>IF($A16&gt;=Premissas!$B$48,$F16,0)</x:f>
        <x:v>210973.07787551486</x:v>
      </x:c>
      <x:c r="U16" s="141" t="n">
        <x:f>R16+T16-S16</x:f>
        <x:v>181968.9694938881</x:v>
      </x:c>
      <x:c r="V16" s="141" t="n">
        <x:f>IF(Q16&gt;1,"Inviavel",U16)</x:f>
        <x:v>181968.9694938881</x:v>
      </x:c>
      <x:c r="W16" s="141" t="str">
        <x:f>IF(Q16&gt;1,"Inviavel","OK")</x:f>
        <x:v>OK</x:v>
      </x:c>
      <x:c r="X16" s="141" t="n">
        <x:f>IF($A16=Premissas!$B$48,Premissas!$B$8,0)</x:f>
        <x:v>0</x:v>
      </x:c>
      <x:c r="Y16" s="141" t="n">
        <x:f>IF(AND($A16&gt;=Premissas!$B$48,$A16-Premissas!$B$48+1&lt;=Premissas!$B$13),INDEX(Amortizacao!$K$6:$K$485,$A16-Premissas!$B$48+1),0)</x:f>
        <x:v>7000</x:v>
      </x:c>
      <x:c r="Z16" s="141" t="n">
        <x:f>IF(AND(TRUE,Premissas!$B$11="Imovel",Premissas!$B$47="Moradia",$A16&lt;MAX(Premissas!$B$48,Premissas!$B$49)),$D16,0)</x:f>
        <x:v>0</x:v>
      </x:c>
      <x:c r="AA16" s="141" t="n">
        <x:f>IF(AND(TRUE,Premissas!$B$11="Imovel",Premissas!$B$47="Investimento",$A16&gt;=MAX(Premissas!$B$48,Premissas!$B$49)),$E16,0)</x:f>
        <x:v>640</x:v>
      </x:c>
      <x:c r="AB16" s="141" t="n">
        <x:f>X16+Y16+Z16</x:f>
        <x:v>7000</x:v>
      </x:c>
      <x:c r="AC16" s="141" t="n">
        <x:f>AA16</x:f>
        <x:v>640</x:v>
      </x:c>
      <x:c r="AD16" s="141" t="n">
        <x:f>$C16+AC16-AB16</x:f>
        <x:v>640</x:v>
      </x:c>
      <x:c r="AE16" s="141" t="n">
        <x:f>AH15*(1+Premissas!$B$41)+AD16</x:f>
        <x:v>63567.38094615427</x:v>
      </x:c>
      <x:c r="AF16" s="141" t="n">
        <x:f>MAX(0,-AE16)</x:f>
        <x:v>0</x:v>
      </x:c>
      <x:c r="AG16" s="141" t="n">
        <x:f>AG15*(1+Premissas!$B$41)+AF16</x:f>
        <x:v>0</x:v>
      </x:c>
      <x:c r="AH16" s="141" t="n">
        <x:f>MAX(0,AE16)</x:f>
        <x:v>63567.38094615427</x:v>
      </x:c>
      <x:c r="AI16" s="141" t="n">
        <x:f>IF(AND($A16&gt;=Premissas!$B$48,$A16-Premissas!$B$48+1&lt;=Premissas!$B$13),INDEX(Amortizacao!$L$6:$L$485,$A16-Premissas!$B$48+1),0)</x:f>
        <x:v>92571.48932778096</x:v>
      </x:c>
      <x:c r="AJ16" s="141" t="n">
        <x:f>IF($A16&gt;=Premissas!$B$48,$F16,0)</x:f>
        <x:v>210973.07787551486</x:v>
      </x:c>
      <x:c r="AK16" s="141" t="n">
        <x:f>AH16+AJ16-AI16</x:f>
        <x:v>181968.96949388814</x:v>
      </x:c>
      <x:c r="AL16" s="141" t="n">
        <x:f>IF(AG16&gt;1,"Inviavel",AK16)</x:f>
        <x:v>181968.96949388814</x:v>
      </x:c>
      <x:c r="AM16" s="141" t="str">
        <x:f>IF(AG16&gt;1,"Inviavel","OK")</x:f>
        <x:v>OK</x:v>
      </x:c>
      <x:c r="AN16" s="141" t="n">
        <x:f>IF($A16=Premissas!$B$48,Premissas!$B$8,0)</x:f>
        <x:v>0</x:v>
      </x:c>
      <x:c r="AO16" s="141" t="n">
        <x:f>IF($A16&lt;=Premissas!$B$25,INDEX('Consorcio IQ'!$K$6:$K$485,$A16),0)</x:f>
        <x:v>2579.8625458809647</x:v>
      </x:c>
      <x:c r="AP16" s="141" t="n">
        <x:f>IF(AND(TRUE,Premissas!$B$11="Imovel",Premissas!$B$47="Moradia",$A16&lt;MAX(Premissas!$B$48,Premissas!$B$49)),$D16,0)</x:f>
        <x:v>0</x:v>
      </x:c>
      <x:c r="AQ16" s="141" t="n">
        <x:f>IF(AND(TRUE,Premissas!$B$11="Imovel",Premissas!$B$47="Investimento",$A16&gt;=MAX(Premissas!$B$48,Premissas!$B$49)),$E16,0)</x:f>
        <x:v>640</x:v>
      </x:c>
      <x:c r="AR16" s="141" t="n">
        <x:f>AN16+AO16+AP16</x:f>
        <x:v>2579.8625458809647</x:v>
      </x:c>
      <x:c r="AS16" s="141" t="n">
        <x:f>AQ16</x:f>
        <x:v>640</x:v>
      </x:c>
      <x:c r="AT16" s="141" t="n">
        <x:f>$C16+AS16-AR16</x:f>
        <x:v>5060.137454119035</x:v>
      </x:c>
      <x:c r="AU16" s="141" t="n">
        <x:f>AX15*(1+Premissas!$B$41)+AT16</x:f>
        <x:v>119210.06778891497</x:v>
      </x:c>
      <x:c r="AV16" s="141" t="n">
        <x:f>MAX(0,-AU16)</x:f>
        <x:v>0</x:v>
      </x:c>
      <x:c r="AW16" s="141" t="n">
        <x:f>AW15*(1+Premissas!$B$41)+AV16</x:f>
        <x:v>0</x:v>
      </x:c>
      <x:c r="AX16" s="141" t="n">
        <x:f>MAX(0,AU16)</x:f>
        <x:v>119210.06778891497</x:v>
      </x:c>
      <x:c r="AY16" s="141" t="n">
        <x:f>INDEX('Consorcio IQ'!$P$6:$P$485,$A16)</x:f>
        <x:v>238109.12871665088</x:v>
      </x:c>
      <x:c r="AZ16" s="141" t="n">
        <x:f>IF($A16&gt;=Premissas!$B$48,$F16,0)+IF($A16&lt;Premissas!$B$27,INDEX('Consorcio IQ'!$O$6:$O$485,$A16),0)</x:f>
        <x:v>298129.8429138916</x:v>
      </x:c>
      <x:c r="BA16" s="141" t="n">
        <x:f>AX16+AZ16-AY16</x:f>
        <x:v>179230.78198615566</x:v>
      </x:c>
      <x:c r="BB16" s="141" t="n">
        <x:f>IF(AW16&gt;1,"Inviavel",BA16)</x:f>
        <x:v>179230.78198615566</x:v>
      </x:c>
      <x:c r="BC16" s="141" t="str">
        <x:f>IF(AW16&gt;1,"Inviavel","OK")</x:f>
        <x:v>OK</x:v>
      </x:c>
      <x:c r="BD16" s="141" t="n">
        <x:f>IF($A16='Consorcio Direto'!$B$29,'Consorcio Direto'!$B$44,0)</x:f>
        <x:v>0</x:v>
      </x:c>
      <x:c r="BE16" s="141" t="n">
        <x:f>IF($A16&lt;='Consorcio Direto'!$B$27,INDEX('Consorcio Direto'!$E$55:$E$534,$A16),0)</x:f>
        <x:v>1477.2217705578066</x:v>
      </x:c>
      <x:c r="BF16" s="141" t="n">
        <x:f>IF(AND(TRUE,Premissas!$B$11="Imovel",Premissas!$B$47="Moradia",$A16&lt;MAX('Consorcio Direto'!$B$29,Premissas!$B$49)),$D16,0)</x:f>
        <x:v>0</x:v>
      </x:c>
      <x:c r="BG16" s="141" t="n">
        <x:f>IF(AND(TRUE,Premissas!$B$11="Imovel",Premissas!$B$47="Investimento",$A16&gt;=MAX('Consorcio Direto'!$B$29,Premissas!$B$49)),$E16,0)</x:f>
        <x:v>0</x:v>
      </x:c>
      <x:c r="BH16" s="141" t="n">
        <x:f>BD16+BE16+BF16</x:f>
        <x:v>1477.2217705578066</x:v>
      </x:c>
      <x:c r="BI16" s="141" t="n">
        <x:f>BG16</x:f>
        <x:v>0</x:v>
      </x:c>
      <x:c r="BJ16" s="141" t="n">
        <x:f>$C16+BI16-BH16</x:f>
        <x:v>5522.778229442193</x:v>
      </x:c>
      <x:c r="BK16" s="141" t="n">
        <x:f>BN15*(1+Premissas!$B$41)+BJ16</x:f>
        <x:v>169696.32343959404</x:v>
      </x:c>
      <x:c r="BL16" s="141" t="n">
        <x:f>MAX(0,-BK16)</x:f>
        <x:v>0</x:v>
      </x:c>
      <x:c r="BM16" s="141" t="n">
        <x:f>BM15*(1+Premissas!$B$41)+BL16</x:f>
        <x:v>0</x:v>
      </x:c>
      <x:c r="BN16" s="141" t="n">
        <x:f>MAX(0,BK16)</x:f>
        <x:v>169696.32343959404</x:v>
      </x:c>
      <x:c r="BO16" s="141" t="n">
        <x:f>INDEX('Consorcio Direto'!$K$55:$K$534,$A16)</x:f>
        <x:v>214101.36625473152</x:v>
      </x:c>
      <x:c r="BP16" s="141" t="n">
        <x:f>IF($A16&lt;'Consorcio Direto'!$B$29,INDEX('Consorcio Direto'!$L$55:$L$534,$A16),$F16)</x:f>
        <x:v>169269.38223252777</x:v>
      </x:c>
      <x:c r="BQ16" s="141" t="n">
        <x:f>BN16+BP16-BO16</x:f>
        <x:v>124864.33941739032</x:v>
      </x:c>
      <x:c r="BR16" s="141" t="n">
        <x:f>IF(BM16&gt;1,"Inviavel",BQ16)</x:f>
        <x:v>124864.33941739032</x:v>
      </x:c>
      <x:c r="BS16" s="141" t="str">
        <x:f>IF(BM16&gt;1,"Inviavel","OK")</x:f>
        <x:v>OK</x:v>
      </x:c>
      <x:c r="BT16" s="141" t="n">
        <x:f>IF(AND('Carta Contemplada'!$B$22="Sim",$A16='Carta Contemplada'!$B$23),'Carta Contemplada'!$B$37,0)</x:f>
        <x:v>0</x:v>
      </x:c>
      <x:c r="BU16" s="141" t="n">
        <x:f>IF('Carta Contemplada'!$B$22="Sim",INDEX('Carta Contemplada'!$C$55:$C$1013,$A16),0)</x:f>
        <x:v>1200</x:v>
      </x:c>
      <x:c r="BV16" s="141" t="n">
        <x:f>IF(AND('Carta Contemplada'!$B$22="Sim",Premissas!$B$11="Imovel",Premissas!$B$47="Moradia",$A16&lt;MAX('Carta Contemplada'!$B$44,Premissas!$B$49)),$D16,0)</x:f>
        <x:v>0</x:v>
      </x:c>
      <x:c r="BW16" s="141" t="n">
        <x:f>IF(AND('Carta Contemplada'!$B$22="Sim",Premissas!$B$11="Imovel",Premissas!$B$47="Investimento",$A16&gt;=MAX('Carta Contemplada'!$B$44,Premissas!$B$49)),$E16,0)</x:f>
        <x:v>640</x:v>
      </x:c>
      <x:c r="BX16" s="141" t="n">
        <x:f>BT16+BU16+BV16</x:f>
        <x:v>1200</x:v>
      </x:c>
      <x:c r="BY16" s="141" t="n">
        <x:f>BW16</x:f>
        <x:v>640</x:v>
      </x:c>
      <x:c r="BZ16" s="141" t="n">
        <x:f>$C16+BY16-BX16</x:f>
        <x:v>6440</x:v>
      </x:c>
      <x:c r="CA16" s="141" t="n">
        <x:f>CD15*(1+Premissas!$B$41)+BZ16</x:f>
        <x:v>129150.76169472956</x:v>
      </x:c>
      <x:c r="CB16" s="141" t="n">
        <x:f>MAX(0,-CA16)</x:f>
        <x:v>0</x:v>
      </x:c>
      <x:c r="CC16" s="141" t="n">
        <x:f>CC15*(1+Premissas!$B$41)+CB16</x:f>
        <x:v>0</x:v>
      </x:c>
      <x:c r="CD16" s="141" t="n">
        <x:f>MAX(0,CA16)</x:f>
        <x:v>129150.76169472956</x:v>
      </x:c>
      <x:c r="CE16" s="141" t="n">
        <x:f>IF(AND('Carta Contemplada'!$B$22="Sim",$A16&gt;='Carta Contemplada'!$B$23),INDEX('Carta Contemplada'!$I$55:$I$1013,$A16),0)</x:f>
        <x:v>144073.13103747027</x:v>
      </x:c>
      <x:c r="CF16" s="141" t="n">
        <x:f>IF(AND('Carta Contemplada'!$B$22="Sim",$A16&gt;='Carta Contemplada'!$B$44),$F16,0)</x:f>
        <x:v>210973.07787551486</x:v>
      </x:c>
      <x:c r="CG16" s="141" t="n">
        <x:f>CD16+CF16-CE16</x:f>
        <x:v>196050.70853277415</x:v>
      </x:c>
      <x:c r="CH16" s="141" t="n">
        <x:f>IF(CC16&gt;1,"Inviavel",CG16)</x:f>
        <x:v>196050.70853277415</x:v>
      </x:c>
      <x:c r="CI16" s="145" t="str">
        <x:f>IF(CC16&gt;1,"Inviavel","OK")</x:f>
        <x:v>OK</x:v>
      </x:c>
    </x:row>
    <x:row r="17">
      <x:c r="A17" s="142" t="n">
        <x:v>13</x:v>
      </x:c>
      <x:c r="B17" s="179" t="n">
        <x:f>EDATE(Premissas!$B$4,A17-1)</x:f>
        <x:v>46905</x:v>
      </x:c>
      <x:c r="C17" s="141" t="n">
        <x:f>IF(A17&lt;=Premissas!$B$39,Premissas!$B$42,0)</x:f>
        <x:v>7000</x:v>
      </x:c>
      <x:c r="D17" s="141" t="n">
        <x:f>Premissas!$B$54*(1+Premissas!$B$57)^INT((A17-1)/12)</x:f>
        <x:v>742</x:v>
      </x:c>
      <x:c r="E17" s="141" t="n">
        <x:f>Premissas!$B$64*(1+Premissas!$B$57)^INT((A17-1)/12)</x:f>
        <x:v>678.4000000000001</x:v>
      </x:c>
      <x:c r="F17" s="141" t="n">
        <x:f>MAX(0,Premissas!$B$6*(1+Premissas!$B$66)^((A17-1)/12))</x:f>
        <x:v>212000</x:v>
      </x:c>
      <x:c r="G17" s="141" t="n">
        <x:f>G16*(1+Premissas!$B$41)+C17</x:f>
        <x:v>197165.4853584724</x:v>
      </x:c>
      <x:c r="H17" s="141" t="n">
        <x:f>IF($A17=Premissas!$B$48,Premissas!$B$8,0)</x:f>
        <x:v>0</x:v>
      </x:c>
      <x:c r="I17" s="141" t="n">
        <x:f>IF(AND($A17&gt;=Premissas!$B$48,$A17-Premissas!$B$48+1&lt;=Premissas!$B$13),INDEX(Financiamento!$J$6:$J$485,$A17-Premissas!$B$48+1),0)</x:f>
        <x:v>2005.781911356148</x:v>
      </x:c>
      <x:c r="J17" s="141" t="n">
        <x:f>IF(AND(TRUE,Premissas!$B$11="Imovel",Premissas!$B$47="Moradia",$A17&lt;MAX(Premissas!$B$48,Premissas!$B$49)),$D17,0)</x:f>
        <x:v>0</x:v>
      </x:c>
      <x:c r="K17" s="141" t="n">
        <x:f>IF(AND(TRUE,Premissas!$B$11="Imovel",Premissas!$B$47="Investimento",$A17&gt;=MAX(Premissas!$B$48,Premissas!$B$49)),$E17,0)</x:f>
        <x:v>678.4000000000001</x:v>
      </x:c>
      <x:c r="L17" s="141" t="n">
        <x:f>H17+I17+J17</x:f>
        <x:v>2005.781911356148</x:v>
      </x:c>
      <x:c r="M17" s="141" t="n">
        <x:f>K17</x:f>
        <x:v>678.4000000000001</x:v>
      </x:c>
      <x:c r="N17" s="141" t="n">
        <x:f>$C17+M17-L17</x:f>
        <x:v>5672.6180886438515</x:v>
      </x:c>
      <x:c r="O17" s="141" t="n">
        <x:f>R16*(1+Premissas!$B$41)+N17</x:f>
        <x:v>133296.696687307</x:v>
      </x:c>
      <x:c r="P17" s="141" t="n">
        <x:f>MAX(0,-O17)</x:f>
        <x:v>0</x:v>
      </x:c>
      <x:c r="Q17" s="141" t="n">
        <x:f>Q16*(1+Premissas!$B$41)+P17</x:f>
        <x:v>0</x:v>
      </x:c>
      <x:c r="R17" s="141" t="n">
        <x:f>MAX(0,O17)</x:f>
        <x:v>133296.696687307</x:v>
      </x:c>
      <x:c r="S17" s="141" t="n">
        <x:f>IF(AND($A17&gt;=Premissas!$B$48,$A17-Premissas!$B$48+1&lt;=Premissas!$B$13),INDEX(Financiamento!$M$6:$M$485,$A17-Premissas!$B$48+1),0)</x:f>
        <x:v>155047.61904761923</x:v>
      </x:c>
      <x:c r="T17" s="141" t="n">
        <x:f>IF($A17&gt;=Premissas!$B$48,$F17,0)</x:f>
        <x:v>212000</x:v>
      </x:c>
      <x:c r="U17" s="141" t="n">
        <x:f>R17+T17-S17</x:f>
        <x:v>190249.07763968775</x:v>
      </x:c>
      <x:c r="V17" s="141" t="n">
        <x:f>IF(Q17&gt;1,"Inviavel",U17)</x:f>
        <x:v>190249.07763968775</x:v>
      </x:c>
      <x:c r="W17" s="141" t="str">
        <x:f>IF(Q17&gt;1,"Inviavel","OK")</x:f>
        <x:v>OK</x:v>
      </x:c>
      <x:c r="X17" s="141" t="n">
        <x:f>IF($A17=Premissas!$B$48,Premissas!$B$8,0)</x:f>
        <x:v>0</x:v>
      </x:c>
      <x:c r="Y17" s="141" t="n">
        <x:f>IF(AND($A17&gt;=Premissas!$B$48,$A17-Premissas!$B$48+1&lt;=Premissas!$B$13),INDEX(Amortizacao!$K$6:$K$485,$A17-Premissas!$B$48+1),0)</x:f>
        <x:v>7000</x:v>
      </x:c>
      <x:c r="Z17" s="141" t="n">
        <x:f>IF(AND(TRUE,Premissas!$B$11="Imovel",Premissas!$B$47="Moradia",$A17&lt;MAX(Premissas!$B$48,Premissas!$B$49)),$D17,0)</x:f>
        <x:v>0</x:v>
      </x:c>
      <x:c r="AA17" s="141" t="n">
        <x:f>IF(AND(TRUE,Premissas!$B$11="Imovel",Premissas!$B$47="Investimento",$A17&gt;=MAX(Premissas!$B$48,Premissas!$B$49)),$E17,0)</x:f>
        <x:v>678.4000000000001</x:v>
      </x:c>
      <x:c r="AB17" s="141" t="n">
        <x:f>X17+Y17+Z17</x:f>
        <x:v>7000</x:v>
      </x:c>
      <x:c r="AC17" s="141" t="n">
        <x:f>AA17</x:f>
        <x:v>678.4000000000001</x:v>
      </x:c>
      <x:c r="AD17" s="141" t="n">
        <x:f>$C17+AC17-AB17</x:f>
        <x:v>678.3999999999996</x:v>
      </x:c>
      <x:c r="AE17" s="141" t="n">
        <x:f>AH16*(1+Premissas!$B$41)+AD17</x:f>
        <x:v>64848.958661346085</x:v>
      </x:c>
      <x:c r="AF17" s="141" t="n">
        <x:f>MAX(0,-AE17)</x:f>
        <x:v>0</x:v>
      </x:c>
      <x:c r="AG17" s="141" t="n">
        <x:f>AG16*(1+Premissas!$B$41)+AF17</x:f>
        <x:v>0</x:v>
      </x:c>
      <x:c r="AH17" s="141" t="n">
        <x:f>MAX(0,AE17)</x:f>
        <x:v>64848.958661346085</x:v>
      </x:c>
      <x:c r="AI17" s="141" t="n">
        <x:f>IF(AND($A17&gt;=Premissas!$B$48,$A17-Premissas!$B$48+1&lt;=Premissas!$B$13),INDEX(Amortizacao!$L$6:$L$485,$A17-Premissas!$B$48+1),0)</x:f>
        <x:v>86599.88102165824</x:v>
      </x:c>
      <x:c r="AJ17" s="141" t="n">
        <x:f>IF($A17&gt;=Premissas!$B$48,$F17,0)</x:f>
        <x:v>212000</x:v>
      </x:c>
      <x:c r="AK17" s="141" t="n">
        <x:f>AH17+AJ17-AI17</x:f>
        <x:v>190249.07763968786</x:v>
      </x:c>
      <x:c r="AL17" s="141" t="n">
        <x:f>IF(AG17&gt;1,"Inviavel",AK17)</x:f>
        <x:v>190249.07763968786</x:v>
      </x:c>
      <x:c r="AM17" s="141" t="str">
        <x:f>IF(AG17&gt;1,"Inviavel","OK")</x:f>
        <x:v>OK</x:v>
      </x:c>
      <x:c r="AN17" s="141" t="n">
        <x:f>IF($A17=Premissas!$B$48,Premissas!$B$8,0)</x:f>
        <x:v>0</x:v>
      </x:c>
      <x:c r="AO17" s="141" t="n">
        <x:f>IF($A17&lt;=Premissas!$B$25,INDEX('Consorcio IQ'!$K$6:$K$485,$A17),0)</x:f>
        <x:v>2610.475718996013</x:v>
      </x:c>
      <x:c r="AP17" s="141" t="n">
        <x:f>IF(AND(TRUE,Premissas!$B$11="Imovel",Premissas!$B$47="Moradia",$A17&lt;MAX(Premissas!$B$48,Premissas!$B$49)),$D17,0)</x:f>
        <x:v>0</x:v>
      </x:c>
      <x:c r="AQ17" s="141" t="n">
        <x:f>IF(AND(TRUE,Premissas!$B$11="Imovel",Premissas!$B$47="Investimento",$A17&gt;=MAX(Premissas!$B$48,Premissas!$B$49)),$E17,0)</x:f>
        <x:v>678.4000000000001</x:v>
      </x:c>
      <x:c r="AR17" s="141" t="n">
        <x:f>AN17+AO17+AP17</x:f>
        <x:v>2610.475718996013</x:v>
      </x:c>
      <x:c r="AS17" s="141" t="n">
        <x:f>AQ17</x:f>
        <x:v>678.4000000000001</x:v>
      </x:c>
      <x:c r="AT17" s="141" t="n">
        <x:f>$C17+AS17-AR17</x:f>
        <x:v>5067.924281003987</x:v>
      </x:c>
      <x:c r="AU17" s="141" t="n">
        <x:f>AX16*(1+Premissas!$B$41)+AT17</x:f>
        <x:v>125409.15171888558</x:v>
      </x:c>
      <x:c r="AV17" s="141" t="n">
        <x:f>MAX(0,-AU17)</x:f>
        <x:v>0</x:v>
      </x:c>
      <x:c r="AW17" s="141" t="n">
        <x:f>AW16*(1+Premissas!$B$41)+AV17</x:f>
        <x:v>0</x:v>
      </x:c>
      <x:c r="AX17" s="141" t="n">
        <x:f>MAX(0,AU17)</x:f>
        <x:v>125409.15171888558</x:v>
      </x:c>
      <x:c r="AY17" s="141" t="n">
        <x:f>INDEX('Consorcio IQ'!$P$6:$P$485,$A17)</x:f>
        <x:v>237908.02121588116</x:v>
      </x:c>
      <x:c r="AZ17" s="141" t="n">
        <x:f>IF($A17&gt;=Premissas!$B$48,$F17,0)+IF($A17&lt;Premissas!$B$27,INDEX('Consorcio IQ'!$O$6:$O$485,$A17),0)</x:f>
        <x:v>299983.777534674</x:v>
      </x:c>
      <x:c r="BA17" s="141" t="n">
        <x:f>AX17+AZ17-AY17</x:f>
        <x:v>187484.9080376784</x:v>
      </x:c>
      <x:c r="BB17" s="141" t="n">
        <x:f>IF(AW17&gt;1,"Inviavel",BA17)</x:f>
        <x:v>187484.9080376784</x:v>
      </x:c>
      <x:c r="BC17" s="141" t="str">
        <x:f>IF(AW17&gt;1,"Inviavel","OK")</x:f>
        <x:v>OK</x:v>
      </x:c>
      <x:c r="BD17" s="141" t="n">
        <x:f>IF($A17='Consorcio Direto'!$B$29,'Consorcio Direto'!$B$44,0)</x:f>
        <x:v>0</x:v>
      </x:c>
      <x:c r="BE17" s="141" t="n">
        <x:f>IF($A17&lt;='Consorcio Direto'!$B$27,INDEX('Consorcio Direto'!$E$55:$E$534,$A17),0)</x:f>
        <x:v>1565.855076791275</x:v>
      </x:c>
      <x:c r="BF17" s="141" t="n">
        <x:f>IF(AND(TRUE,Premissas!$B$11="Imovel",Premissas!$B$47="Moradia",$A17&lt;MAX('Consorcio Direto'!$B$29,Premissas!$B$49)),$D17,0)</x:f>
        <x:v>0</x:v>
      </x:c>
      <x:c r="BG17" s="141" t="n">
        <x:f>IF(AND(TRUE,Premissas!$B$11="Imovel",Premissas!$B$47="Investimento",$A17&gt;=MAX('Consorcio Direto'!$B$29,Premissas!$B$49)),$E17,0)</x:f>
        <x:v>0</x:v>
      </x:c>
      <x:c r="BH17" s="141" t="n">
        <x:f>BD17+BE17+BF17</x:f>
        <x:v>1565.855076791275</x:v>
      </x:c>
      <x:c r="BI17" s="141" t="n">
        <x:f>BG17</x:f>
        <x:v>0</x:v>
      </x:c>
      <x:c r="BJ17" s="141" t="n">
        <x:f>$C17+BI17-BH17</x:f>
        <x:v>5434.144923208725</x:v>
      </x:c>
      <x:c r="BK17" s="141" t="n">
        <x:f>BN16*(1+Premissas!$B$41)+BJ17</x:f>
        <x:v>176740.6816376811</x:v>
      </x:c>
      <x:c r="BL17" s="141" t="n">
        <x:f>MAX(0,-BK17)</x:f>
        <x:v>0</x:v>
      </x:c>
      <x:c r="BM17" s="141" t="n">
        <x:f>BM16*(1+Premissas!$B$41)+BL17</x:f>
        <x:v>0</x:v>
      </x:c>
      <x:c r="BN17" s="141" t="n">
        <x:f>MAX(0,BK17)</x:f>
        <x:v>176740.6816376811</x:v>
      </x:c>
      <x:c r="BO17" s="141" t="n">
        <x:f>INDEX('Consorcio Direto'!$K$55:$K$534,$A17)</x:f>
        <x:v>214567.0747093427</x:v>
      </x:c>
      <x:c r="BP17" s="141" t="n">
        <x:f>IF($A17&lt;'Consorcio Direto'!$B$29,INDEX('Consorcio Direto'!$L$55:$L$534,$A17),$F17)</x:f>
        <x:v>170875.544350697</x:v>
      </x:c>
      <x:c r="BQ17" s="141" t="n">
        <x:f>BN17+BP17-BO17</x:f>
        <x:v>133049.15127903534</x:v>
      </x:c>
      <x:c r="BR17" s="141" t="n">
        <x:f>IF(BM17&gt;1,"Inviavel",BQ17)</x:f>
        <x:v>133049.15127903534</x:v>
      </x:c>
      <x:c r="BS17" s="141" t="str">
        <x:f>IF(BM17&gt;1,"Inviavel","OK")</x:f>
        <x:v>OK</x:v>
      </x:c>
      <x:c r="BT17" s="141" t="n">
        <x:f>IF(AND('Carta Contemplada'!$B$22="Sim",$A17='Carta Contemplada'!$B$23),'Carta Contemplada'!$B$37,0)</x:f>
        <x:v>0</x:v>
      </x:c>
      <x:c r="BU17" s="141" t="n">
        <x:f>IF('Carta Contemplada'!$B$22="Sim",INDEX('Carta Contemplada'!$C$55:$C$1013,$A17),0)</x:f>
        <x:v>1272</x:v>
      </x:c>
      <x:c r="BV17" s="141" t="n">
        <x:f>IF(AND('Carta Contemplada'!$B$22="Sim",Premissas!$B$11="Imovel",Premissas!$B$47="Moradia",$A17&lt;MAX('Carta Contemplada'!$B$44,Premissas!$B$49)),$D17,0)</x:f>
        <x:v>0</x:v>
      </x:c>
      <x:c r="BW17" s="141" t="n">
        <x:f>IF(AND('Carta Contemplada'!$B$22="Sim",Premissas!$B$11="Imovel",Premissas!$B$47="Investimento",$A17&gt;=MAX('Carta Contemplada'!$B$44,Premissas!$B$49)),$E17,0)</x:f>
        <x:v>678.4000000000001</x:v>
      </x:c>
      <x:c r="BX17" s="141" t="n">
        <x:f>BT17+BU17+BV17</x:f>
        <x:v>1272</x:v>
      </x:c>
      <x:c r="BY17" s="141" t="n">
        <x:f>BW17</x:f>
        <x:v>678.4000000000001</x:v>
      </x:c>
      <x:c r="BZ17" s="141" t="n">
        <x:f>$C17+BY17-BX17</x:f>
        <x:v>6406.4</x:v>
      </x:c>
      <x:c r="CA17" s="141" t="n">
        <x:f>CD16*(1+Premissas!$B$41)+BZ17</x:f>
        <x:v>136782.64652979453</x:v>
      </x:c>
      <x:c r="CB17" s="141" t="n">
        <x:f>MAX(0,-CA17)</x:f>
        <x:v>0</x:v>
      </x:c>
      <x:c r="CC17" s="141" t="n">
        <x:f>CC16*(1+Premissas!$B$41)+CB17</x:f>
        <x:v>0</x:v>
      </x:c>
      <x:c r="CD17" s="141" t="n">
        <x:f>MAX(0,CA17)</x:f>
        <x:v>136782.64652979453</x:v>
      </x:c>
      <x:c r="CE17" s="141" t="n">
        <x:f>IF(AND('Carta Contemplada'!$B$22="Sim",$A17&gt;='Carta Contemplada'!$B$23),INDEX('Carta Contemplada'!$I$55:$I$1013,$A17),0)</x:f>
        <x:v>144168.21114532187</x:v>
      </x:c>
      <x:c r="CF17" s="141" t="n">
        <x:f>IF(AND('Carta Contemplada'!$B$22="Sim",$A17&gt;='Carta Contemplada'!$B$44),$F17,0)</x:f>
        <x:v>212000</x:v>
      </x:c>
      <x:c r="CG17" s="141" t="n">
        <x:f>CD17+CF17-CE17</x:f>
        <x:v>204614.4353844727</x:v>
      </x:c>
      <x:c r="CH17" s="141" t="n">
        <x:f>IF(CC17&gt;1,"Inviavel",CG17)</x:f>
        <x:v>204614.4353844727</x:v>
      </x:c>
      <x:c r="CI17" s="145" t="str">
        <x:f>IF(CC17&gt;1,"Inviavel","OK")</x:f>
        <x:v>OK</x:v>
      </x:c>
    </x:row>
    <x:row r="18">
      <x:c r="A18" s="142" t="n">
        <x:v>14</x:v>
      </x:c>
      <x:c r="B18" s="179" t="n">
        <x:f>EDATE(Premissas!$B$4,A18-1)</x:f>
        <x:v>46935</x:v>
      </x:c>
      <x:c r="C18" s="141" t="n">
        <x:f>IF(A18&lt;=Premissas!$B$39,Premissas!$B$42,0)</x:f>
        <x:v>7000</x:v>
      </x:c>
      <x:c r="D18" s="141" t="n">
        <x:f>Premissas!$B$54*(1+Premissas!$B$57)^INT((A18-1)/12)</x:f>
        <x:v>742</x:v>
      </x:c>
      <x:c r="E18" s="141" t="n">
        <x:f>Premissas!$B$64*(1+Premissas!$B$57)^INT((A18-1)/12)</x:f>
        <x:v>678.4000000000001</x:v>
      </x:c>
      <x:c r="F18" s="141" t="n">
        <x:f>MAX(0,Premissas!$B$6*(1+Premissas!$B$66)^((A18-1)/12))</x:f>
        <x:v>213031.92071985273</x:v>
      </x:c>
      <x:c r="G18" s="141" t="n">
        <x:f>G17*(1+Premissas!$B$41)+C18</x:f>
        <x:v>206036.3478228855</x:v>
      </x:c>
      <x:c r="H18" s="141" t="n">
        <x:f>IF($A18=Premissas!$B$48,Premissas!$B$8,0)</x:f>
        <x:v>0</x:v>
      </x:c>
      <x:c r="I18" s="141" t="n">
        <x:f>IF(AND($A18&gt;=Premissas!$B$48,$A18-Premissas!$B$48+1&lt;=Premissas!$B$13),INDEX(Financiamento!$J$6:$J$485,$A18-Premissas!$B$48+1),0)</x:f>
        <x:v>2002.1671330953543</x:v>
      </x:c>
      <x:c r="J18" s="141" t="n">
        <x:f>IF(AND(TRUE,Premissas!$B$11="Imovel",Premissas!$B$47="Moradia",$A18&lt;MAX(Premissas!$B$48,Premissas!$B$49)),$D18,0)</x:f>
        <x:v>0</x:v>
      </x:c>
      <x:c r="K18" s="141" t="n">
        <x:f>IF(AND(TRUE,Premissas!$B$11="Imovel",Premissas!$B$47="Investimento",$A18&gt;=MAX(Premissas!$B$48,Premissas!$B$49)),$E18,0)</x:f>
        <x:v>678.4000000000001</x:v>
      </x:c>
      <x:c r="L18" s="141" t="n">
        <x:f>H18+I18+J18</x:f>
        <x:v>2002.1671330953543</x:v>
      </x:c>
      <x:c r="M18" s="141" t="n">
        <x:f>K18</x:f>
        <x:v>678.4000000000001</x:v>
      </x:c>
      <x:c r="N18" s="141" t="n">
        <x:f>$C18+M18-L18</x:f>
        <x:v>5676.232866904646</x:v>
      </x:c>
      <x:c r="O18" s="141" t="n">
        <x:f>R17*(1+Premissas!$B$41)+N18</x:f>
        <x:v>140237.75430794142</x:v>
      </x:c>
      <x:c r="P18" s="141" t="n">
        <x:f>MAX(0,-O18)</x:f>
        <x:v>0</x:v>
      </x:c>
      <x:c r="Q18" s="141" t="n">
        <x:f>Q17*(1+Premissas!$B$41)+P18</x:f>
        <x:v>0</x:v>
      </x:c>
      <x:c r="R18" s="141" t="n">
        <x:f>MAX(0,O18)</x:f>
        <x:v>140237.75430794142</x:v>
      </x:c>
      <x:c r="S18" s="141" t="n">
        <x:f>IF(AND($A18&gt;=Premissas!$B$48,$A18-Premissas!$B$48+1&lt;=Premissas!$B$13),INDEX(Financiamento!$M$6:$M$485,$A18-Premissas!$B$48+1),0)</x:f>
        <x:v>154666.66666666686</x:v>
      </x:c>
      <x:c r="T18" s="141" t="n">
        <x:f>IF($A18&gt;=Premissas!$B$48,$F18,0)</x:f>
        <x:v>213031.92071985273</x:v>
      </x:c>
      <x:c r="U18" s="141" t="n">
        <x:f>R18+T18-S18</x:f>
        <x:v>198603.0083611273</x:v>
      </x:c>
      <x:c r="V18" s="141" t="n">
        <x:f>IF(Q18&gt;1,"Inviavel",U18)</x:f>
        <x:v>198603.0083611273</x:v>
      </x:c>
      <x:c r="W18" s="141" t="str">
        <x:f>IF(Q18&gt;1,"Inviavel","OK")</x:f>
        <x:v>OK</x:v>
      </x:c>
      <x:c r="X18" s="141" t="n">
        <x:f>IF($A18=Premissas!$B$48,Premissas!$B$8,0)</x:f>
        <x:v>0</x:v>
      </x:c>
      <x:c r="Y18" s="141" t="n">
        <x:f>IF(AND($A18&gt;=Premissas!$B$48,$A18-Premissas!$B$48+1&lt;=Premissas!$B$13),INDEX(Amortizacao!$K$6:$K$485,$A18-Premissas!$B$48+1),0)</x:f>
        <x:v>7000</x:v>
      </x:c>
      <x:c r="Z18" s="141" t="n">
        <x:f>IF(AND(TRUE,Premissas!$B$11="Imovel",Premissas!$B$47="Moradia",$A18&lt;MAX(Premissas!$B$48,Premissas!$B$49)),$D18,0)</x:f>
        <x:v>0</x:v>
      </x:c>
      <x:c r="AA18" s="141" t="n">
        <x:f>IF(AND(TRUE,Premissas!$B$11="Imovel",Premissas!$B$47="Investimento",$A18&gt;=MAX(Premissas!$B$48,Premissas!$B$49)),$E18,0)</x:f>
        <x:v>678.4000000000001</x:v>
      </x:c>
      <x:c r="AB18" s="141" t="n">
        <x:f>X18+Y18+Z18</x:f>
        <x:v>7000</x:v>
      </x:c>
      <x:c r="AC18" s="141" t="n">
        <x:f>AA18</x:f>
        <x:v>678.4000000000001</x:v>
      </x:c>
      <x:c r="AD18" s="141" t="n">
        <x:f>$C18+AC18-AB18</x:f>
        <x:v>678.3999999999996</x:v>
      </x:c>
      <x:c r="AE18" s="141" t="n">
        <x:f>AH17*(1+Premissas!$B$41)+AD18</x:f>
        <x:v>66142.69700210693</x:v>
      </x:c>
      <x:c r="AF18" s="141" t="n">
        <x:f>MAX(0,-AE18)</x:f>
        <x:v>0</x:v>
      </x:c>
      <x:c r="AG18" s="141" t="n">
        <x:f>AG17*(1+Premissas!$B$41)+AF18</x:f>
        <x:v>0</x:v>
      </x:c>
      <x:c r="AH18" s="141" t="n">
        <x:f>MAX(0,AE18)</x:f>
        <x:v>66142.69700210693</x:v>
      </x:c>
      <x:c r="AI18" s="141" t="n">
        <x:f>IF(AND($A18&gt;=Premissas!$B$48,$A18-Premissas!$B$48+1&lt;=Premissas!$B$13),INDEX(Amortizacao!$L$6:$L$485,$A18-Premissas!$B$48+1),0)</x:f>
        <x:v>80571.60936083228</x:v>
      </x:c>
      <x:c r="AJ18" s="141" t="n">
        <x:f>IF($A18&gt;=Premissas!$B$48,$F18,0)</x:f>
        <x:v>213031.92071985273</x:v>
      </x:c>
      <x:c r="AK18" s="141" t="n">
        <x:f>AH18+AJ18-AI18</x:f>
        <x:v>198603.00836112737</x:v>
      </x:c>
      <x:c r="AL18" s="141" t="n">
        <x:f>IF(AG18&gt;1,"Inviavel",AK18)</x:f>
        <x:v>198603.00836112737</x:v>
      </x:c>
      <x:c r="AM18" s="141" t="str">
        <x:f>IF(AG18&gt;1,"Inviavel","OK")</x:f>
        <x:v>OK</x:v>
      </x:c>
      <x:c r="AN18" s="141" t="n">
        <x:f>IF($A18=Premissas!$B$48,Premissas!$B$8,0)</x:f>
        <x:v>0</x:v>
      </x:c>
      <x:c r="AO18" s="141" t="n">
        <x:f>IF($A18&lt;=Premissas!$B$25,INDEX('Consorcio IQ'!$K$6:$K$485,$A18),0)</x:f>
        <x:v>2606.860940735219</x:v>
      </x:c>
      <x:c r="AP18" s="141" t="n">
        <x:f>IF(AND(TRUE,Premissas!$B$11="Imovel",Premissas!$B$47="Moradia",$A18&lt;MAX(Premissas!$B$48,Premissas!$B$49)),$D18,0)</x:f>
        <x:v>0</x:v>
      </x:c>
      <x:c r="AQ18" s="141" t="n">
        <x:f>IF(AND(TRUE,Premissas!$B$11="Imovel",Premissas!$B$47="Investimento",$A18&gt;=MAX(Premissas!$B$48,Premissas!$B$49)),$E18,0)</x:f>
        <x:v>678.4000000000001</x:v>
      </x:c>
      <x:c r="AR18" s="141" t="n">
        <x:f>AN18+AO18+AP18</x:f>
        <x:v>2606.860940735219</x:v>
      </x:c>
      <x:c r="AS18" s="141" t="n">
        <x:f>AQ18</x:f>
        <x:v>678.4000000000001</x:v>
      </x:c>
      <x:c r="AT18" s="141" t="n">
        <x:f>$C18+AS18-AR18</x:f>
        <x:v>5071.53905926478</x:v>
      </x:c>
      <x:c r="AU18" s="141" t="n">
        <x:f>AX17*(1+Premissas!$B$41)+AT18</x:f>
        <x:v>131670.67225091258</x:v>
      </x:c>
      <x:c r="AV18" s="141" t="n">
        <x:f>MAX(0,-AU18)</x:f>
        <x:v>0</x:v>
      </x:c>
      <x:c r="AW18" s="141" t="n">
        <x:f>AW17*(1+Premissas!$B$41)+AV18</x:f>
        <x:v>0</x:v>
      </x:c>
      <x:c r="AX18" s="141" t="n">
        <x:f>MAX(0,AU18)</x:f>
        <x:v>131670.67225091258</x:v>
      </x:c>
      <x:c r="AY18" s="141" t="n">
        <x:f>INDEX('Consorcio IQ'!$P$6:$P$485,$A18)</x:f>
        <x:v>237708.62022593984</x:v>
      </x:c>
      <x:c r="AZ18" s="141" t="n">
        <x:f>IF($A18&gt;=Premissas!$B$48,$F18,0)+IF($A18&lt;Premissas!$B$27,INDEX('Consorcio IQ'!$O$6:$O$485,$A18),0)</x:f>
        <x:v>301850.5581011557</x:v>
      </x:c>
      <x:c r="BA18" s="141" t="n">
        <x:f>AX18+AZ18-AY18</x:f>
        <x:v>195812.61012612842</x:v>
      </x:c>
      <x:c r="BB18" s="141" t="n">
        <x:f>IF(AW18&gt;1,"Inviavel",BA18)</x:f>
        <x:v>195812.61012612842</x:v>
      </x:c>
      <x:c r="BC18" s="141" t="str">
        <x:f>IF(AW18&gt;1,"Inviavel","OK")</x:f>
        <x:v>OK</x:v>
      </x:c>
      <x:c r="BD18" s="141" t="n">
        <x:f>IF($A18='Consorcio Direto'!$B$29,'Consorcio Direto'!$B$44,0)</x:f>
        <x:v>0</x:v>
      </x:c>
      <x:c r="BE18" s="141" t="n">
        <x:f>IF($A18&lt;='Consorcio Direto'!$B$27,INDEX('Consorcio Direto'!$E$55:$E$534,$A18),0)</x:f>
        <x:v>1565.855076791275</x:v>
      </x:c>
      <x:c r="BF18" s="141" t="n">
        <x:f>IF(AND(TRUE,Premissas!$B$11="Imovel",Premissas!$B$47="Moradia",$A18&lt;MAX('Consorcio Direto'!$B$29,Premissas!$B$49)),$D18,0)</x:f>
        <x:v>0</x:v>
      </x:c>
      <x:c r="BG18" s="141" t="n">
        <x:f>IF(AND(TRUE,Premissas!$B$11="Imovel",Premissas!$B$47="Investimento",$A18&gt;=MAX('Consorcio Direto'!$B$29,Premissas!$B$49)),$E18,0)</x:f>
        <x:v>0</x:v>
      </x:c>
      <x:c r="BH18" s="141" t="n">
        <x:f>BD18+BE18+BF18</x:f>
        <x:v>1565.855076791275</x:v>
      </x:c>
      <x:c r="BI18" s="141" t="n">
        <x:f>BG18</x:f>
        <x:v>0</x:v>
      </x:c>
      <x:c r="BJ18" s="141" t="n">
        <x:f>$C18+BI18-BH18</x:f>
        <x:v>5434.144923208725</x:v>
      </x:c>
      <x:c r="BK18" s="141" t="n">
        <x:f>BN17*(1+Premissas!$B$41)+BJ18</x:f>
        <x:v>183851.88229206682</x:v>
      </x:c>
      <x:c r="BL18" s="141" t="n">
        <x:f>MAX(0,-BK18)</x:f>
        <x:v>0</x:v>
      </x:c>
      <x:c r="BM18" s="141" t="n">
        <x:f>BM17*(1+Premissas!$B$41)+BL18</x:f>
        <x:v>0</x:v>
      </x:c>
      <x:c r="BN18" s="141" t="n">
        <x:f>MAX(0,BK18)</x:f>
        <x:v>183851.88229206682</x:v>
      </x:c>
      <x:c r="BO18" s="141" t="n">
        <x:f>INDEX('Consorcio Direto'!$K$55:$K$534,$A18)</x:f>
        <x:v>215037.2021750476</x:v>
      </x:c>
      <x:c r="BP18" s="141" t="n">
        <x:f>IF($A18&lt;'Consorcio Direto'!$B$29,INDEX('Consorcio Direto'!$L$55:$L$534,$A18),$F18)</x:f>
        <x:v>172496.94700862493</x:v>
      </x:c>
      <x:c r="BQ18" s="141" t="n">
        <x:f>BN18+BP18-BO18</x:f>
        <x:v>141311.62712564413</x:v>
      </x:c>
      <x:c r="BR18" s="141" t="n">
        <x:f>IF(BM18&gt;1,"Inviavel",BQ18)</x:f>
        <x:v>141311.62712564413</x:v>
      </x:c>
      <x:c r="BS18" s="141" t="str">
        <x:f>IF(BM18&gt;1,"Inviavel","OK")</x:f>
        <x:v>OK</x:v>
      </x:c>
      <x:c r="BT18" s="141" t="n">
        <x:f>IF(AND('Carta Contemplada'!$B$22="Sim",$A18='Carta Contemplada'!$B$23),'Carta Contemplada'!$B$37,0)</x:f>
        <x:v>0</x:v>
      </x:c>
      <x:c r="BU18" s="141" t="n">
        <x:f>IF('Carta Contemplada'!$B$22="Sim",INDEX('Carta Contemplada'!$C$55:$C$1013,$A18),0)</x:f>
        <x:v>1272</x:v>
      </x:c>
      <x:c r="BV18" s="141" t="n">
        <x:f>IF(AND('Carta Contemplada'!$B$22="Sim",Premissas!$B$11="Imovel",Premissas!$B$47="Moradia",$A18&lt;MAX('Carta Contemplada'!$B$44,Premissas!$B$49)),$D18,0)</x:f>
        <x:v>0</x:v>
      </x:c>
      <x:c r="BW18" s="141" t="n">
        <x:f>IF(AND('Carta Contemplada'!$B$22="Sim",Premissas!$B$11="Imovel",Premissas!$B$47="Investimento",$A18&gt;=MAX('Carta Contemplada'!$B$44,Premissas!$B$49)),$E18,0)</x:f>
        <x:v>678.4000000000001</x:v>
      </x:c>
      <x:c r="BX18" s="141" t="n">
        <x:f>BT18+BU18+BV18</x:f>
        <x:v>1272</x:v>
      </x:c>
      <x:c r="BY18" s="141" t="n">
        <x:f>BW18</x:f>
        <x:v>678.4000000000001</x:v>
      </x:c>
      <x:c r="BZ18" s="141" t="n">
        <x:f>$C18+BY18-BX18</x:f>
        <x:v>6406.4</x:v>
      </x:c>
      <x:c r="CA18" s="141" t="n">
        <x:f>CD17*(1+Premissas!$B$41)+BZ18</x:f>
        <x:v>144486.94873976</x:v>
      </x:c>
      <x:c r="CB18" s="141" t="n">
        <x:f>MAX(0,-CA18)</x:f>
        <x:v>0</x:v>
      </x:c>
      <x:c r="CC18" s="141" t="n">
        <x:f>CC17*(1+Premissas!$B$41)+CB18</x:f>
        <x:v>0</x:v>
      </x:c>
      <x:c r="CD18" s="141" t="n">
        <x:f>MAX(0,CA18)</x:f>
        <x:v>144486.94873976</x:v>
      </x:c>
      <x:c r="CE18" s="141" t="n">
        <x:f>IF(AND('Carta Contemplada'!$B$22="Sim",$A18&gt;='Carta Contemplada'!$B$23),INDEX('Carta Contemplada'!$I$55:$I$1013,$A18),0)</x:f>
        <x:v>144264.19344862908</x:v>
      </x:c>
      <x:c r="CF18" s="141" t="n">
        <x:f>IF(AND('Carta Contemplada'!$B$22="Sim",$A18&gt;='Carta Contemplada'!$B$44),$F18,0)</x:f>
        <x:v>213031.92071985273</x:v>
      </x:c>
      <x:c r="CG18" s="141" t="n">
        <x:f>CD18+CF18-CE18</x:f>
        <x:v>213254.67601098368</x:v>
      </x:c>
      <x:c r="CH18" s="141" t="n">
        <x:f>IF(CC18&gt;1,"Inviavel",CG18)</x:f>
        <x:v>213254.67601098368</x:v>
      </x:c>
      <x:c r="CI18" s="145" t="str">
        <x:f>IF(CC18&gt;1,"Inviavel","OK")</x:f>
        <x:v>OK</x:v>
      </x:c>
    </x:row>
    <x:row r="19">
      <x:c r="A19" s="142" t="n">
        <x:v>15</x:v>
      </x:c>
      <x:c r="B19" s="179" t="n">
        <x:f>EDATE(Premissas!$B$4,A19-1)</x:f>
        <x:v>46966</x:v>
      </x:c>
      <x:c r="C19" s="141" t="n">
        <x:f>IF(A19&lt;=Premissas!$B$39,Premissas!$B$42,0)</x:f>
        <x:v>7000</x:v>
      </x:c>
      <x:c r="D19" s="141" t="n">
        <x:f>Premissas!$B$54*(1+Premissas!$B$57)^INT((A19-1)/12)</x:f>
        <x:v>742</x:v>
      </x:c>
      <x:c r="E19" s="141" t="n">
        <x:f>Premissas!$B$64*(1+Premissas!$B$57)^INT((A19-1)/12)</x:f>
        <x:v>678.4000000000001</x:v>
      </x:c>
      <x:c r="F19" s="141" t="n">
        <x:f>MAX(0,Premissas!$B$6*(1+Premissas!$B$66)^((A19-1)/12))</x:f>
        <x:v>214068.86436598876</x:v>
      </x:c>
      <x:c r="G19" s="141" t="n">
        <x:f>G18*(1+Premissas!$B$41)+C19</x:f>
        <x:v>214991.38406437458</x:v>
      </x:c>
      <x:c r="H19" s="141" t="n">
        <x:f>IF($A19=Premissas!$B$48,Premissas!$B$8,0)</x:f>
        <x:v>0</x:v>
      </x:c>
      <x:c r="I19" s="141" t="n">
        <x:f>IF(AND($A19&gt;=Premissas!$B$48,$A19-Premissas!$B$48+1&lt;=Premissas!$B$13),INDEX(Financiamento!$J$6:$J$485,$A19-Premissas!$B$48+1),0)</x:f>
        <x:v>1998.552354834561</x:v>
      </x:c>
      <x:c r="J19" s="141" t="n">
        <x:f>IF(AND(TRUE,Premissas!$B$11="Imovel",Premissas!$B$47="Moradia",$A19&lt;MAX(Premissas!$B$48,Premissas!$B$49)),$D19,0)</x:f>
        <x:v>0</x:v>
      </x:c>
      <x:c r="K19" s="141" t="n">
        <x:f>IF(AND(TRUE,Premissas!$B$11="Imovel",Premissas!$B$47="Investimento",$A19&gt;=MAX(Premissas!$B$48,Premissas!$B$49)),$E19,0)</x:f>
        <x:v>678.4000000000001</x:v>
      </x:c>
      <x:c r="L19" s="141" t="n">
        <x:f>H19+I19+J19</x:f>
        <x:v>1998.552354834561</x:v>
      </x:c>
      <x:c r="M19" s="141" t="n">
        <x:f>K19</x:f>
        <x:v>678.4000000000001</x:v>
      </x:c>
      <x:c r="N19" s="141" t="n">
        <x:f>$C19+M19-L19</x:f>
        <x:v>5679.847645165439</x:v>
      </x:c>
      <x:c r="O19" s="141" t="n">
        <x:f>R18*(1+Premissas!$B$41)+N19</x:f>
        <x:v>147248.28896534583</x:v>
      </x:c>
      <x:c r="P19" s="141" t="n">
        <x:f>MAX(0,-O19)</x:f>
        <x:v>0</x:v>
      </x:c>
      <x:c r="Q19" s="141" t="n">
        <x:f>Q18*(1+Premissas!$B$41)+P19</x:f>
        <x:v>0</x:v>
      </x:c>
      <x:c r="R19" s="141" t="n">
        <x:f>MAX(0,O19)</x:f>
        <x:v>147248.28896534583</x:v>
      </x:c>
      <x:c r="S19" s="141" t="n">
        <x:f>IF(AND($A19&gt;=Premissas!$B$48,$A19-Premissas!$B$48+1&lt;=Premissas!$B$13),INDEX(Financiamento!$M$6:$M$485,$A19-Premissas!$B$48+1),0)</x:f>
        <x:v>154285.7142857145</x:v>
      </x:c>
      <x:c r="T19" s="141" t="n">
        <x:f>IF($A19&gt;=Premissas!$B$48,$F19,0)</x:f>
        <x:v>214068.86436598876</x:v>
      </x:c>
      <x:c r="U19" s="141" t="n">
        <x:f>R19+T19-S19</x:f>
        <x:v>207031.4390456201</x:v>
      </x:c>
      <x:c r="V19" s="141" t="n">
        <x:f>IF(Q19&gt;1,"Inviavel",U19)</x:f>
        <x:v>207031.4390456201</x:v>
      </x:c>
      <x:c r="W19" s="141" t="str">
        <x:f>IF(Q19&gt;1,"Inviavel","OK")</x:f>
        <x:v>OK</x:v>
      </x:c>
      <x:c r="X19" s="141" t="n">
        <x:f>IF($A19=Premissas!$B$48,Premissas!$B$8,0)</x:f>
        <x:v>0</x:v>
      </x:c>
      <x:c r="Y19" s="141" t="n">
        <x:f>IF(AND($A19&gt;=Premissas!$B$48,$A19-Premissas!$B$48+1&lt;=Premissas!$B$13),INDEX(Amortizacao!$K$6:$K$485,$A19-Premissas!$B$48+1),0)</x:f>
        <x:v>7000</x:v>
      </x:c>
      <x:c r="Z19" s="141" t="n">
        <x:f>IF(AND(TRUE,Premissas!$B$11="Imovel",Premissas!$B$47="Moradia",$A19&lt;MAX(Premissas!$B$48,Premissas!$B$49)),$D19,0)</x:f>
        <x:v>0</x:v>
      </x:c>
      <x:c r="AA19" s="141" t="n">
        <x:f>IF(AND(TRUE,Premissas!$B$11="Imovel",Premissas!$B$47="Investimento",$A19&gt;=MAX(Premissas!$B$48,Premissas!$B$49)),$E19,0)</x:f>
        <x:v>678.4000000000001</x:v>
      </x:c>
      <x:c r="AB19" s="141" t="n">
        <x:f>X19+Y19+Z19</x:f>
        <x:v>7000</x:v>
      </x:c>
      <x:c r="AC19" s="141" t="n">
        <x:f>AA19</x:f>
        <x:v>678.4000000000001</x:v>
      </x:c>
      <x:c r="AD19" s="141" t="n">
        <x:f>$C19+AC19-AB19</x:f>
        <x:v>678.3999999999996</x:v>
      </x:c>
      <x:c r="AE19" s="141" t="n">
        <x:f>AH18*(1+Premissas!$B$41)+AD19</x:f>
        <x:v>67448.71135809478</x:v>
      </x:c>
      <x:c r="AF19" s="141" t="n">
        <x:f>MAX(0,-AE19)</x:f>
        <x:v>0</x:v>
      </x:c>
      <x:c r="AG19" s="141" t="n">
        <x:f>AG18*(1+Premissas!$B$41)+AF19</x:f>
        <x:v>0</x:v>
      </x:c>
      <x:c r="AH19" s="141" t="n">
        <x:f>MAX(0,AE19)</x:f>
        <x:v>67448.71135809478</x:v>
      </x:c>
      <x:c r="AI19" s="141" t="n">
        <x:f>IF(AND($A19&gt;=Premissas!$B$48,$A19-Premissas!$B$48+1&lt;=Premissas!$B$13),INDEX(Amortizacao!$L$6:$L$485,$A19-Premissas!$B$48+1),0)</x:f>
        <x:v>74486.13667846333</x:v>
      </x:c>
      <x:c r="AJ19" s="141" t="n">
        <x:f>IF($A19&gt;=Premissas!$B$48,$F19,0)</x:f>
        <x:v>214068.86436598876</x:v>
      </x:c>
      <x:c r="AK19" s="141" t="n">
        <x:f>AH19+AJ19-AI19</x:f>
        <x:v>207031.4390456202</x:v>
      </x:c>
      <x:c r="AL19" s="141" t="n">
        <x:f>IF(AG19&gt;1,"Inviavel",AK19)</x:f>
        <x:v>207031.4390456202</x:v>
      </x:c>
      <x:c r="AM19" s="141" t="str">
        <x:f>IF(AG19&gt;1,"Inviavel","OK")</x:f>
        <x:v>OK</x:v>
      </x:c>
      <x:c r="AN19" s="141" t="n">
        <x:f>IF($A19=Premissas!$B$48,Premissas!$B$8,0)</x:f>
        <x:v>0</x:v>
      </x:c>
      <x:c r="AO19" s="141" t="n">
        <x:f>IF($A19&lt;=Premissas!$B$25,INDEX('Consorcio IQ'!$K$6:$K$485,$A19),0)</x:f>
        <x:v>2603.2461624744255</x:v>
      </x:c>
      <x:c r="AP19" s="141" t="n">
        <x:f>IF(AND(TRUE,Premissas!$B$11="Imovel",Premissas!$B$47="Moradia",$A19&lt;MAX(Premissas!$B$48,Premissas!$B$49)),$D19,0)</x:f>
        <x:v>0</x:v>
      </x:c>
      <x:c r="AQ19" s="141" t="n">
        <x:f>IF(AND(TRUE,Premissas!$B$11="Imovel",Premissas!$B$47="Investimento",$A19&gt;=MAX(Premissas!$B$48,Premissas!$B$49)),$E19,0)</x:f>
        <x:v>678.4000000000001</x:v>
      </x:c>
      <x:c r="AR19" s="141" t="n">
        <x:f>AN19+AO19+AP19</x:f>
        <x:v>2603.2461624744255</x:v>
      </x:c>
      <x:c r="AS19" s="141" t="n">
        <x:f>AQ19</x:f>
        <x:v>678.4000000000001</x:v>
      </x:c>
      <x:c r="AT19" s="141" t="n">
        <x:f>$C19+AS19-AR19</x:f>
        <x:v>5075.153837525574</x:v>
      </x:c>
      <x:c r="AU19" s="141" t="n">
        <x:f>AX18*(1+Premissas!$B$41)+AT19</x:f>
        <x:v>137995.22183298442</x:v>
      </x:c>
      <x:c r="AV19" s="141" t="n">
        <x:f>MAX(0,-AU19)</x:f>
        <x:v>0</x:v>
      </x:c>
      <x:c r="AW19" s="141" t="n">
        <x:f>AW18*(1+Premissas!$B$41)+AV19</x:f>
        <x:v>0</x:v>
      </x:c>
      <x:c r="AX19" s="141" t="n">
        <x:f>MAX(0,AU19)</x:f>
        <x:v>137995.22183298442</x:v>
      </x:c>
      <x:c r="AY19" s="141" t="n">
        <x:f>INDEX('Consorcio IQ'!$P$6:$P$485,$A19)</x:f>
        <x:v>237510.94193955482</x:v>
      </x:c>
      <x:c r="AZ19" s="141" t="n">
        <x:f>IF($A19&gt;=Premissas!$B$48,$F19,0)+IF($A19&lt;Premissas!$B$27,INDEX('Consorcio IQ'!$O$6:$O$485,$A19),0)</x:f>
        <x:v>303730.2834061347</x:v>
      </x:c>
      <x:c r="BA19" s="141" t="n">
        <x:f>AX19+AZ19-AY19</x:f>
        <x:v>204214.5632995643</x:v>
      </x:c>
      <x:c r="BB19" s="141" t="n">
        <x:f>IF(AW19&gt;1,"Inviavel",BA19)</x:f>
        <x:v>204214.5632995643</x:v>
      </x:c>
      <x:c r="BC19" s="141" t="str">
        <x:f>IF(AW19&gt;1,"Inviavel","OK")</x:f>
        <x:v>OK</x:v>
      </x:c>
      <x:c r="BD19" s="141" t="n">
        <x:f>IF($A19='Consorcio Direto'!$B$29,'Consorcio Direto'!$B$44,0)</x:f>
        <x:v>0</x:v>
      </x:c>
      <x:c r="BE19" s="141" t="n">
        <x:f>IF($A19&lt;='Consorcio Direto'!$B$27,INDEX('Consorcio Direto'!$E$55:$E$534,$A19),0)</x:f>
        <x:v>1565.855076791275</x:v>
      </x:c>
      <x:c r="BF19" s="141" t="n">
        <x:f>IF(AND(TRUE,Premissas!$B$11="Imovel",Premissas!$B$47="Moradia",$A19&lt;MAX('Consorcio Direto'!$B$29,Premissas!$B$49)),$D19,0)</x:f>
        <x:v>0</x:v>
      </x:c>
      <x:c r="BG19" s="141" t="n">
        <x:f>IF(AND(TRUE,Premissas!$B$11="Imovel",Premissas!$B$47="Investimento",$A19&gt;=MAX('Consorcio Direto'!$B$29,Premissas!$B$49)),$E19,0)</x:f>
        <x:v>0</x:v>
      </x:c>
      <x:c r="BH19" s="141" t="n">
        <x:f>BD19+BE19+BF19</x:f>
        <x:v>1565.855076791275</x:v>
      </x:c>
      <x:c r="BI19" s="141" t="n">
        <x:f>BG19</x:f>
        <x:v>0</x:v>
      </x:c>
      <x:c r="BJ19" s="141" t="n">
        <x:f>$C19+BI19-BH19</x:f>
        <x:v>5434.144923208725</x:v>
      </x:c>
      <x:c r="BK19" s="141" t="n">
        <x:f>BN18*(1+Premissas!$B$41)+BJ19</x:f>
        <x:v>191030.5596569783</x:v>
      </x:c>
      <x:c r="BL19" s="141" t="n">
        <x:f>MAX(0,-BK19)</x:f>
        <x:v>0</x:v>
      </x:c>
      <x:c r="BM19" s="141" t="n">
        <x:f>BM18*(1+Premissas!$B$41)+BL19</x:f>
        <x:v>0</x:v>
      </x:c>
      <x:c r="BN19" s="141" t="n">
        <x:f>MAX(0,BK19)</x:f>
        <x:v>191030.5596569783</x:v>
      </x:c>
      <x:c r="BO19" s="141" t="n">
        <x:f>INDEX('Consorcio Direto'!$K$55:$K$534,$A19)</x:f>
        <x:v>215511.7905829274</x:v>
      </x:c>
      <x:c r="BP19" s="141" t="n">
        <x:f>IF($A19&lt;'Consorcio Direto'!$B$29,INDEX('Consorcio Direto'!$L$55:$L$534,$A19),$F19)</x:f>
        <x:v>174133.7348206375</x:v>
      </x:c>
      <x:c r="BQ19" s="141" t="n">
        <x:f>BN19+BP19-BO19</x:f>
        <x:v>149652.5038946884</x:v>
      </x:c>
      <x:c r="BR19" s="141" t="n">
        <x:f>IF(BM19&gt;1,"Inviavel",BQ19)</x:f>
        <x:v>149652.5038946884</x:v>
      </x:c>
      <x:c r="BS19" s="141" t="str">
        <x:f>IF(BM19&gt;1,"Inviavel","OK")</x:f>
        <x:v>OK</x:v>
      </x:c>
      <x:c r="BT19" s="141" t="n">
        <x:f>IF(AND('Carta Contemplada'!$B$22="Sim",$A19='Carta Contemplada'!$B$23),'Carta Contemplada'!$B$37,0)</x:f>
        <x:v>0</x:v>
      </x:c>
      <x:c r="BU19" s="141" t="n">
        <x:f>IF('Carta Contemplada'!$B$22="Sim",INDEX('Carta Contemplada'!$C$55:$C$1013,$A19),0)</x:f>
        <x:v>1272</x:v>
      </x:c>
      <x:c r="BV19" s="141" t="n">
        <x:f>IF(AND('Carta Contemplada'!$B$22="Sim",Premissas!$B$11="Imovel",Premissas!$B$47="Moradia",$A19&lt;MAX('Carta Contemplada'!$B$44,Premissas!$B$49)),$D19,0)</x:f>
        <x:v>0</x:v>
      </x:c>
      <x:c r="BW19" s="141" t="n">
        <x:f>IF(AND('Carta Contemplada'!$B$22="Sim",Premissas!$B$11="Imovel",Premissas!$B$47="Investimento",$A19&gt;=MAX('Carta Contemplada'!$B$44,Premissas!$B$49)),$E19,0)</x:f>
        <x:v>678.4000000000001</x:v>
      </x:c>
      <x:c r="BX19" s="141" t="n">
        <x:f>BT19+BU19+BV19</x:f>
        <x:v>1272</x:v>
      </x:c>
      <x:c r="BY19" s="141" t="n">
        <x:f>BW19</x:f>
        <x:v>678.4000000000001</x:v>
      </x:c>
      <x:c r="BZ19" s="141" t="n">
        <x:f>$C19+BY19-BX19</x:f>
        <x:v>6406.4</x:v>
      </x:c>
      <x:c r="CA19" s="141" t="n">
        <x:f>CD18*(1+Premissas!$B$41)+BZ19</x:f>
        <x:v>152264.3554781013</x:v>
      </x:c>
      <x:c r="CB19" s="141" t="n">
        <x:f>MAX(0,-CA19)</x:f>
        <x:v>0</x:v>
      </x:c>
      <x:c r="CC19" s="141" t="n">
        <x:f>CC18*(1+Premissas!$B$41)+CB19</x:f>
        <x:v>0</x:v>
      </x:c>
      <x:c r="CD19" s="141" t="n">
        <x:f>MAX(0,CA19)</x:f>
        <x:v>152264.3554781013</x:v>
      </x:c>
      <x:c r="CE19" s="141" t="n">
        <x:f>IF(AND('Carta Contemplada'!$B$22="Sim",$A19&gt;='Carta Contemplada'!$B$23),INDEX('Carta Contemplada'!$I$55:$I$1013,$A19),0)</x:f>
        <x:v>144361.08650813776</x:v>
      </x:c>
      <x:c r="CF19" s="141" t="n">
        <x:f>IF(AND('Carta Contemplada'!$B$22="Sim",$A19&gt;='Carta Contemplada'!$B$44),$F19,0)</x:f>
        <x:v>214068.86436598876</x:v>
      </x:c>
      <x:c r="CG19" s="141" t="n">
        <x:f>CD19+CF19-CE19</x:f>
        <x:v>221972.1333359523</x:v>
      </x:c>
      <x:c r="CH19" s="141" t="n">
        <x:f>IF(CC19&gt;1,"Inviavel",CG19)</x:f>
        <x:v>221972.1333359523</x:v>
      </x:c>
      <x:c r="CI19" s="145" t="str">
        <x:f>IF(CC19&gt;1,"Inviavel","OK")</x:f>
        <x:v>OK</x:v>
      </x:c>
    </x:row>
    <x:row r="20">
      <x:c r="A20" s="142" t="n">
        <x:v>16</x:v>
      </x:c>
      <x:c r="B20" s="179" t="n">
        <x:f>EDATE(Premissas!$B$4,A20-1)</x:f>
        <x:v>46997</x:v>
      </x:c>
      <x:c r="C20" s="141" t="n">
        <x:f>IF(A20&lt;=Premissas!$B$39,Premissas!$B$42,0)</x:f>
        <x:v>7000</x:v>
      </x:c>
      <x:c r="D20" s="141" t="n">
        <x:f>Premissas!$B$54*(1+Premissas!$B$57)^INT((A20-1)/12)</x:f>
        <x:v>742</x:v>
      </x:c>
      <x:c r="E20" s="141" t="n">
        <x:f>Premissas!$B$64*(1+Premissas!$B$57)^INT((A20-1)/12)</x:f>
        <x:v>678.4000000000001</x:v>
      </x:c>
      <x:c r="F20" s="141" t="n">
        <x:f>MAX(0,Premissas!$B$6*(1+Premissas!$B$66)^((A20-1)/12))</x:f>
        <x:v>215110.8553877558</x:v>
      </x:c>
      <x:c r="G20" s="141" t="n">
        <x:f>G19*(1+Premissas!$B$41)+C20</x:f>
        <x:v>224031.39279048084</x:v>
      </x:c>
      <x:c r="H20" s="141" t="n">
        <x:f>IF($A20=Premissas!$B$48,Premissas!$B$8,0)</x:f>
        <x:v>0</x:v>
      </x:c>
      <x:c r="I20" s="141" t="n">
        <x:f>IF(AND($A20&gt;=Premissas!$B$48,$A20-Premissas!$B$48+1&lt;=Premissas!$B$13),INDEX(Financiamento!$J$6:$J$485,$A20-Premissas!$B$48+1),0)</x:f>
        <x:v>1994.9375765737675</x:v>
      </x:c>
      <x:c r="J20" s="141" t="n">
        <x:f>IF(AND(TRUE,Premissas!$B$11="Imovel",Premissas!$B$47="Moradia",$A20&lt;MAX(Premissas!$B$48,Premissas!$B$49)),$D20,0)</x:f>
        <x:v>0</x:v>
      </x:c>
      <x:c r="K20" s="141" t="n">
        <x:f>IF(AND(TRUE,Premissas!$B$11="Imovel",Premissas!$B$47="Investimento",$A20&gt;=MAX(Premissas!$B$48,Premissas!$B$49)),$E20,0)</x:f>
        <x:v>678.4000000000001</x:v>
      </x:c>
      <x:c r="L20" s="141" t="n">
        <x:f>H20+I20+J20</x:f>
        <x:v>1994.9375765737675</x:v>
      </x:c>
      <x:c r="M20" s="141" t="n">
        <x:f>K20</x:f>
        <x:v>678.4000000000001</x:v>
      </x:c>
      <x:c r="N20" s="141" t="n">
        <x:f>$C20+M20-L20</x:f>
        <x:v>5683.462423426232</x:v>
      </x:c>
      <x:c r="O20" s="141" t="n">
        <x:f>R19*(1+Premissas!$B$41)+N20</x:f>
        <x:v>154328.95991273588</x:v>
      </x:c>
      <x:c r="P20" s="141" t="n">
        <x:f>MAX(0,-O20)</x:f>
        <x:v>0</x:v>
      </x:c>
      <x:c r="Q20" s="141" t="n">
        <x:f>Q19*(1+Premissas!$B$41)+P20</x:f>
        <x:v>0</x:v>
      </x:c>
      <x:c r="R20" s="141" t="n">
        <x:f>MAX(0,O20)</x:f>
        <x:v>154328.95991273588</x:v>
      </x:c>
      <x:c r="S20" s="141" t="n">
        <x:f>IF(AND($A20&gt;=Premissas!$B$48,$A20-Premissas!$B$48+1&lt;=Premissas!$B$13),INDEX(Financiamento!$M$6:$M$485,$A20-Premissas!$B$48+1),0)</x:f>
        <x:v>153904.76190476213</x:v>
      </x:c>
      <x:c r="T20" s="141" t="n">
        <x:f>IF($A20&gt;=Premissas!$B$48,$F20,0)</x:f>
        <x:v>215110.8553877558</x:v>
      </x:c>
      <x:c r="U20" s="141" t="n">
        <x:f>R20+T20-S20</x:f>
        <x:v>215535.0533957295</x:v>
      </x:c>
      <x:c r="V20" s="141" t="n">
        <x:f>IF(Q20&gt;1,"Inviavel",U20)</x:f>
        <x:v>215535.0533957295</x:v>
      </x:c>
      <x:c r="W20" s="141" t="str">
        <x:f>IF(Q20&gt;1,"Inviavel","OK")</x:f>
        <x:v>OK</x:v>
      </x:c>
      <x:c r="X20" s="141" t="n">
        <x:f>IF($A20=Premissas!$B$48,Premissas!$B$8,0)</x:f>
        <x:v>0</x:v>
      </x:c>
      <x:c r="Y20" s="141" t="n">
        <x:f>IF(AND($A20&gt;=Premissas!$B$48,$A20-Premissas!$B$48+1&lt;=Premissas!$B$13),INDEX(Amortizacao!$K$6:$K$485,$A20-Premissas!$B$48+1),0)</x:f>
        <x:v>7000</x:v>
      </x:c>
      <x:c r="Z20" s="141" t="n">
        <x:f>IF(AND(TRUE,Premissas!$B$11="Imovel",Premissas!$B$47="Moradia",$A20&lt;MAX(Premissas!$B$48,Premissas!$B$49)),$D20,0)</x:f>
        <x:v>0</x:v>
      </x:c>
      <x:c r="AA20" s="141" t="n">
        <x:f>IF(AND(TRUE,Premissas!$B$11="Imovel",Premissas!$B$47="Investimento",$A20&gt;=MAX(Premissas!$B$48,Premissas!$B$49)),$E20,0)</x:f>
        <x:v>678.4000000000001</x:v>
      </x:c>
      <x:c r="AB20" s="141" t="n">
        <x:f>X20+Y20+Z20</x:f>
        <x:v>7000</x:v>
      </x:c>
      <x:c r="AC20" s="141" t="n">
        <x:f>AA20</x:f>
        <x:v>678.4000000000001</x:v>
      </x:c>
      <x:c r="AD20" s="141" t="n">
        <x:f>$C20+AC20-AB20</x:f>
        <x:v>678.3999999999996</x:v>
      </x:c>
      <x:c r="AE20" s="141" t="n">
        <x:f>AH19*(1+Premissas!$B$41)+AD20</x:f>
        <x:v>68767.1182138762</x:v>
      </x:c>
      <x:c r="AF20" s="141" t="n">
        <x:f>MAX(0,-AE20)</x:f>
        <x:v>0</x:v>
      </x:c>
      <x:c r="AG20" s="141" t="n">
        <x:f>AG19*(1+Premissas!$B$41)+AF20</x:f>
        <x:v>0</x:v>
      </x:c>
      <x:c r="AH20" s="141" t="n">
        <x:f>MAX(0,AE20)</x:f>
        <x:v>68767.1182138762</x:v>
      </x:c>
      <x:c r="AI20" s="141" t="n">
        <x:f>IF(AND($A20&gt;=Premissas!$B$48,$A20-Premissas!$B$48+1&lt;=Premissas!$B$13),INDEX(Amortizacao!$L$6:$L$485,$A20-Premissas!$B$48+1),0)</x:f>
        <x:v>68342.92020590232</x:v>
      </x:c>
      <x:c r="AJ20" s="141" t="n">
        <x:f>IF($A20&gt;=Premissas!$B$48,$F20,0)</x:f>
        <x:v>215110.8553877558</x:v>
      </x:c>
      <x:c r="AK20" s="141" t="n">
        <x:f>AH20+AJ20-AI20</x:f>
        <x:v>215535.0533957297</x:v>
      </x:c>
      <x:c r="AL20" s="141" t="n">
        <x:f>IF(AG20&gt;1,"Inviavel",AK20)</x:f>
        <x:v>215535.0533957297</x:v>
      </x:c>
      <x:c r="AM20" s="141" t="str">
        <x:f>IF(AG20&gt;1,"Inviavel","OK")</x:f>
        <x:v>OK</x:v>
      </x:c>
      <x:c r="AN20" s="141" t="n">
        <x:f>IF($A20=Premissas!$B$48,Premissas!$B$8,0)</x:f>
        <x:v>0</x:v>
      </x:c>
      <x:c r="AO20" s="141" t="n">
        <x:f>IF($A20&lt;=Premissas!$B$25,INDEX('Consorcio IQ'!$K$6:$K$485,$A20),0)</x:f>
        <x:v>2599.6313842136324</x:v>
      </x:c>
      <x:c r="AP20" s="141" t="n">
        <x:f>IF(AND(TRUE,Premissas!$B$11="Imovel",Premissas!$B$47="Moradia",$A20&lt;MAX(Premissas!$B$48,Premissas!$B$49)),$D20,0)</x:f>
        <x:v>0</x:v>
      </x:c>
      <x:c r="AQ20" s="141" t="n">
        <x:f>IF(AND(TRUE,Premissas!$B$11="Imovel",Premissas!$B$47="Investimento",$A20&gt;=MAX(Premissas!$B$48,Premissas!$B$49)),$E20,0)</x:f>
        <x:v>678.4000000000001</x:v>
      </x:c>
      <x:c r="AR20" s="141" t="n">
        <x:f>AN20+AO20+AP20</x:f>
        <x:v>2599.6313842136324</x:v>
      </x:c>
      <x:c r="AS20" s="141" t="n">
        <x:f>AQ20</x:f>
        <x:v>678.4000000000001</x:v>
      </x:c>
      <x:c r="AT20" s="141" t="n">
        <x:f>$C20+AS20-AR20</x:f>
        <x:v>5078.768615786367</x:v>
      </x:c>
      <x:c r="AU20" s="141" t="n">
        <x:f>AX19*(1+Premissas!$B$41)+AT20</x:f>
        <x:v>144383.39853470583</x:v>
      </x:c>
      <x:c r="AV20" s="141" t="n">
        <x:f>MAX(0,-AU20)</x:f>
        <x:v>0</x:v>
      </x:c>
      <x:c r="AW20" s="141" t="n">
        <x:f>AW19*(1+Premissas!$B$41)+AV20</x:f>
        <x:v>0</x:v>
      </x:c>
      <x:c r="AX20" s="141" t="n">
        <x:f>MAX(0,AU20)</x:f>
        <x:v>144383.39853470583</x:v>
      </x:c>
      <x:c r="AY20" s="141" t="n">
        <x:f>INDEX('Consorcio IQ'!$P$6:$P$485,$A20)</x:f>
        <x:v>237315.0027031034</x:v>
      </x:c>
      <x:c r="AZ20" s="141" t="n">
        <x:f>IF($A20&gt;=Premissas!$B$48,$F20,0)+IF($A20&lt;Premissas!$B$27,INDEX('Consorcio IQ'!$O$6:$O$485,$A20),0)</x:f>
        <x:v>305623.05306739453</x:v>
      </x:c>
      <x:c r="BA20" s="141" t="n">
        <x:f>AX20+AZ20-AY20</x:f>
        <x:v>212691.44889899698</x:v>
      </x:c>
      <x:c r="BB20" s="141" t="n">
        <x:f>IF(AW20&gt;1,"Inviavel",BA20)</x:f>
        <x:v>212691.44889899698</x:v>
      </x:c>
      <x:c r="BC20" s="141" t="str">
        <x:f>IF(AW20&gt;1,"Inviavel","OK")</x:f>
        <x:v>OK</x:v>
      </x:c>
      <x:c r="BD20" s="141" t="n">
        <x:f>IF($A20='Consorcio Direto'!$B$29,'Consorcio Direto'!$B$44,0)</x:f>
        <x:v>0</x:v>
      </x:c>
      <x:c r="BE20" s="141" t="n">
        <x:f>IF($A20&lt;='Consorcio Direto'!$B$27,INDEX('Consorcio Direto'!$E$55:$E$534,$A20),0)</x:f>
        <x:v>1565.855076791275</x:v>
      </x:c>
      <x:c r="BF20" s="141" t="n">
        <x:f>IF(AND(TRUE,Premissas!$B$11="Imovel",Premissas!$B$47="Moradia",$A20&lt;MAX('Consorcio Direto'!$B$29,Premissas!$B$49)),$D20,0)</x:f>
        <x:v>0</x:v>
      </x:c>
      <x:c r="BG20" s="141" t="n">
        <x:f>IF(AND(TRUE,Premissas!$B$11="Imovel",Premissas!$B$47="Investimento",$A20&gt;=MAX('Consorcio Direto'!$B$29,Premissas!$B$49)),$E20,0)</x:f>
        <x:v>0</x:v>
      </x:c>
      <x:c r="BH20" s="141" t="n">
        <x:f>BD20+BE20+BF20</x:f>
        <x:v>1565.855076791275</x:v>
      </x:c>
      <x:c r="BI20" s="141" t="n">
        <x:f>BG20</x:f>
        <x:v>0</x:v>
      </x:c>
      <x:c r="BJ20" s="141" t="n">
        <x:f>$C20+BI20-BH20</x:f>
        <x:v>5434.144923208725</x:v>
      </x:c>
      <x:c r="BK20" s="141" t="n">
        <x:f>BN19*(1+Premissas!$B$41)+BJ20</x:f>
        <x:v>198277.3540049496</x:v>
      </x:c>
      <x:c r="BL20" s="141" t="n">
        <x:f>MAX(0,-BK20)</x:f>
        <x:v>0</x:v>
      </x:c>
      <x:c r="BM20" s="141" t="n">
        <x:f>BM19*(1+Premissas!$B$41)+BL20</x:f>
        <x:v>0</x:v>
      </x:c>
      <x:c r="BN20" s="141" t="n">
        <x:f>MAX(0,BK20)</x:f>
        <x:v>198277.3540049496</x:v>
      </x:c>
      <x:c r="BO20" s="141" t="n">
        <x:f>INDEX('Consorcio Direto'!$K$55:$K$534,$A20)</x:f>
        <x:v>215990.88226193876</x:v>
      </x:c>
      <x:c r="BP20" s="141" t="n">
        <x:f>IF($A20&lt;'Consorcio Direto'!$B$29,INDEX('Consorcio Direto'!$L$55:$L$534,$A20),$F20)</x:f>
        <x:v>175786.05377327613</x:v>
      </x:c>
      <x:c r="BQ20" s="141" t="n">
        <x:f>BN20+BP20-BO20</x:f>
        <x:v>158072.52551628696</x:v>
      </x:c>
      <x:c r="BR20" s="141" t="n">
        <x:f>IF(BM20&gt;1,"Inviavel",BQ20)</x:f>
        <x:v>158072.52551628696</x:v>
      </x:c>
      <x:c r="BS20" s="141" t="str">
        <x:f>IF(BM20&gt;1,"Inviavel","OK")</x:f>
        <x:v>OK</x:v>
      </x:c>
      <x:c r="BT20" s="141" t="n">
        <x:f>IF(AND('Carta Contemplada'!$B$22="Sim",$A20='Carta Contemplada'!$B$23),'Carta Contemplada'!$B$37,0)</x:f>
        <x:v>0</x:v>
      </x:c>
      <x:c r="BU20" s="141" t="n">
        <x:f>IF('Carta Contemplada'!$B$22="Sim",INDEX('Carta Contemplada'!$C$55:$C$1013,$A20),0)</x:f>
        <x:v>1272</x:v>
      </x:c>
      <x:c r="BV20" s="141" t="n">
        <x:f>IF(AND('Carta Contemplada'!$B$22="Sim",Premissas!$B$11="Imovel",Premissas!$B$47="Moradia",$A20&lt;MAX('Carta Contemplada'!$B$44,Premissas!$B$49)),$D20,0)</x:f>
        <x:v>0</x:v>
      </x:c>
      <x:c r="BW20" s="141" t="n">
        <x:f>IF(AND('Carta Contemplada'!$B$22="Sim",Premissas!$B$11="Imovel",Premissas!$B$47="Investimento",$A20&gt;=MAX('Carta Contemplada'!$B$44,Premissas!$B$49)),$E20,0)</x:f>
        <x:v>678.4000000000001</x:v>
      </x:c>
      <x:c r="BX20" s="141" t="n">
        <x:f>BT20+BU20+BV20</x:f>
        <x:v>1272</x:v>
      </x:c>
      <x:c r="BY20" s="141" t="n">
        <x:f>BW20</x:f>
        <x:v>678.4000000000001</x:v>
      </x:c>
      <x:c r="BZ20" s="141" t="n">
        <x:f>$C20+BY20-BX20</x:f>
        <x:v>6406.4</x:v>
      </x:c>
      <x:c r="CA20" s="141" t="n">
        <x:f>CD19*(1+Premissas!$B$41)+BZ20</x:f>
        <x:v>160115.56041855074</x:v>
      </x:c>
      <x:c r="CB20" s="141" t="n">
        <x:f>MAX(0,-CA20)</x:f>
        <x:v>0</x:v>
      </x:c>
      <x:c r="CC20" s="141" t="n">
        <x:f>CC19*(1+Premissas!$B$41)+CB20</x:f>
        <x:v>0</x:v>
      </x:c>
      <x:c r="CD20" s="141" t="n">
        <x:f>MAX(0,CA20)</x:f>
        <x:v>160115.56041855074</x:v>
      </x:c>
      <x:c r="CE20" s="141" t="n">
        <x:f>IF(AND('Carta Contemplada'!$B$22="Sim",$A20&gt;='Carta Contemplada'!$B$23),INDEX('Carta Contemplada'!$I$55:$I$1013,$A20),0)</x:f>
        <x:v>144458.89896582492</x:v>
      </x:c>
      <x:c r="CF20" s="141" t="n">
        <x:f>IF(AND('Carta Contemplada'!$B$22="Sim",$A20&gt;='Carta Contemplada'!$B$44),$F20,0)</x:f>
        <x:v>215110.8553877558</x:v>
      </x:c>
      <x:c r="CG20" s="141" t="n">
        <x:f>CD20+CF20-CE20</x:f>
        <x:v>230767.5168404816</x:v>
      </x:c>
      <x:c r="CH20" s="141" t="n">
        <x:f>IF(CC20&gt;1,"Inviavel",CG20)</x:f>
        <x:v>230767.5168404816</x:v>
      </x:c>
      <x:c r="CI20" s="145" t="str">
        <x:f>IF(CC20&gt;1,"Inviavel","OK")</x:f>
        <x:v>OK</x:v>
      </x:c>
    </x:row>
    <x:row r="21">
      <x:c r="A21" s="142" t="n">
        <x:v>17</x:v>
      </x:c>
      <x:c r="B21" s="179" t="n">
        <x:f>EDATE(Premissas!$B$4,A21-1)</x:f>
        <x:v>47027</x:v>
      </x:c>
      <x:c r="C21" s="141" t="n">
        <x:f>IF(A21&lt;=Premissas!$B$39,Premissas!$B$42,0)</x:f>
        <x:v>7000</x:v>
      </x:c>
      <x:c r="D21" s="141" t="n">
        <x:f>Premissas!$B$54*(1+Premissas!$B$57)^INT((A21-1)/12)</x:f>
        <x:v>742</x:v>
      </x:c>
      <x:c r="E21" s="141" t="n">
        <x:f>Premissas!$B$64*(1+Premissas!$B$57)^INT((A21-1)/12)</x:f>
        <x:v>678.4000000000001</x:v>
      </x:c>
      <x:c r="F21" s="141" t="n">
        <x:f>MAX(0,Premissas!$B$6*(1+Premissas!$B$66)^((A21-1)/12))</x:f>
        <x:v>216157.9183535099</x:v>
      </x:c>
      <x:c r="G21" s="141" t="n">
        <x:f>G20*(1+Premissas!$B$41)+C21</x:f>
        <x:v>233157.18028751595</x:v>
      </x:c>
      <x:c r="H21" s="141" t="n">
        <x:f>IF($A21=Premissas!$B$48,Premissas!$B$8,0)</x:f>
        <x:v>0</x:v>
      </x:c>
      <x:c r="I21" s="141" t="n">
        <x:f>IF(AND($A21&gt;=Premissas!$B$48,$A21-Premissas!$B$48+1&lt;=Premissas!$B$13),INDEX(Financiamento!$J$6:$J$485,$A21-Premissas!$B$48+1),0)</x:f>
        <x:v>1991.322798312974</x:v>
      </x:c>
      <x:c r="J21" s="141" t="n">
        <x:f>IF(AND(TRUE,Premissas!$B$11="Imovel",Premissas!$B$47="Moradia",$A21&lt;MAX(Premissas!$B$48,Premissas!$B$49)),$D21,0)</x:f>
        <x:v>0</x:v>
      </x:c>
      <x:c r="K21" s="141" t="n">
        <x:f>IF(AND(TRUE,Premissas!$B$11="Imovel",Premissas!$B$47="Investimento",$A21&gt;=MAX(Premissas!$B$48,Premissas!$B$49)),$E21,0)</x:f>
        <x:v>678.4000000000001</x:v>
      </x:c>
      <x:c r="L21" s="141" t="n">
        <x:f>H21+I21+J21</x:f>
        <x:v>1991.322798312974</x:v>
      </x:c>
      <x:c r="M21" s="141" t="n">
        <x:f>K21</x:f>
        <x:v>678.4000000000001</x:v>
      </x:c>
      <x:c r="N21" s="141" t="n">
        <x:f>$C21+M21-L21</x:f>
        <x:v>5687.077201687025</x:v>
      </x:c>
      <x:c r="O21" s="141" t="n">
        <x:f>R20*(1+Premissas!$B$41)+N21</x:f>
        <x:v>161480.43265884442</x:v>
      </x:c>
      <x:c r="P21" s="141" t="n">
        <x:f>MAX(0,-O21)</x:f>
        <x:v>0</x:v>
      </x:c>
      <x:c r="Q21" s="141" t="n">
        <x:f>Q20*(1+Premissas!$B$41)+P21</x:f>
        <x:v>0</x:v>
      </x:c>
      <x:c r="R21" s="141" t="n">
        <x:f>MAX(0,O21)</x:f>
        <x:v>161480.43265884442</x:v>
      </x:c>
      <x:c r="S21" s="141" t="n">
        <x:f>IF(AND($A21&gt;=Premissas!$B$48,$A21-Premissas!$B$48+1&lt;=Premissas!$B$13),INDEX(Financiamento!$M$6:$M$485,$A21-Premissas!$B$48+1),0)</x:f>
        <x:v>153523.80952380976</x:v>
      </x:c>
      <x:c r="T21" s="141" t="n">
        <x:f>IF($A21&gt;=Premissas!$B$48,$F21,0)</x:f>
        <x:v>216157.9183535099</x:v>
      </x:c>
      <x:c r="U21" s="141" t="n">
        <x:f>R21+T21-S21</x:f>
        <x:v>224114.54148854455</x:v>
      </x:c>
      <x:c r="V21" s="141" t="n">
        <x:f>IF(Q21&gt;1,"Inviavel",U21)</x:f>
        <x:v>224114.54148854455</x:v>
      </x:c>
      <x:c r="W21" s="141" t="str">
        <x:f>IF(Q21&gt;1,"Inviavel","OK")</x:f>
        <x:v>OK</x:v>
      </x:c>
      <x:c r="X21" s="141" t="n">
        <x:f>IF($A21=Premissas!$B$48,Premissas!$B$8,0)</x:f>
        <x:v>0</x:v>
      </x:c>
      <x:c r="Y21" s="141" t="n">
        <x:f>IF(AND($A21&gt;=Premissas!$B$48,$A21-Premissas!$B$48+1&lt;=Premissas!$B$13),INDEX(Amortizacao!$K$6:$K$485,$A21-Premissas!$B$48+1),0)</x:f>
        <x:v>7000</x:v>
      </x:c>
      <x:c r="Z21" s="141" t="n">
        <x:f>IF(AND(TRUE,Premissas!$B$11="Imovel",Premissas!$B$47="Moradia",$A21&lt;MAX(Premissas!$B$48,Premissas!$B$49)),$D21,0)</x:f>
        <x:v>0</x:v>
      </x:c>
      <x:c r="AA21" s="141" t="n">
        <x:f>IF(AND(TRUE,Premissas!$B$11="Imovel",Premissas!$B$47="Investimento",$A21&gt;=MAX(Premissas!$B$48,Premissas!$B$49)),$E21,0)</x:f>
        <x:v>678.4000000000001</x:v>
      </x:c>
      <x:c r="AB21" s="141" t="n">
        <x:f>X21+Y21+Z21</x:f>
        <x:v>7000</x:v>
      </x:c>
      <x:c r="AC21" s="141" t="n">
        <x:f>AA21</x:f>
        <x:v>678.4000000000001</x:v>
      </x:c>
      <x:c r="AD21" s="141" t="n">
        <x:f>$C21+AC21-AB21</x:f>
        <x:v>678.3999999999996</x:v>
      </x:c>
      <x:c r="AE21" s="141" t="n">
        <x:f>AH20*(1+Premissas!$B$41)+AD21</x:f>
        <x:v>70098.03515931565</x:v>
      </x:c>
      <x:c r="AF21" s="141" t="n">
        <x:f>MAX(0,-AE21)</x:f>
        <x:v>0</x:v>
      </x:c>
      <x:c r="AG21" s="141" t="n">
        <x:f>AG20*(1+Premissas!$B$41)+AF21</x:f>
        <x:v>0</x:v>
      </x:c>
      <x:c r="AH21" s="141" t="n">
        <x:f>MAX(0,AE21)</x:f>
        <x:v>70098.03515931565</x:v>
      </x:c>
      <x:c r="AI21" s="141" t="n">
        <x:f>IF(AND($A21&gt;=Premissas!$B$48,$A21-Premissas!$B$48+1&lt;=Premissas!$B$13),INDEX(Amortizacao!$L$6:$L$485,$A21-Premissas!$B$48+1),0)</x:f>
        <x:v>62141.412024280864</x:v>
      </x:c>
      <x:c r="AJ21" s="141" t="n">
        <x:f>IF($A21&gt;=Premissas!$B$48,$F21,0)</x:f>
        <x:v>216157.9183535099</x:v>
      </x:c>
      <x:c r="AK21" s="141" t="n">
        <x:f>AH21+AJ21-AI21</x:f>
        <x:v>224114.54148854467</x:v>
      </x:c>
      <x:c r="AL21" s="141" t="n">
        <x:f>IF(AG21&gt;1,"Inviavel",AK21)</x:f>
        <x:v>224114.54148854467</x:v>
      </x:c>
      <x:c r="AM21" s="141" t="str">
        <x:f>IF(AG21&gt;1,"Inviavel","OK")</x:f>
        <x:v>OK</x:v>
      </x:c>
      <x:c r="AN21" s="141" t="n">
        <x:f>IF($A21=Premissas!$B$48,Premissas!$B$8,0)</x:f>
        <x:v>0</x:v>
      </x:c>
      <x:c r="AO21" s="141" t="n">
        <x:f>IF($A21&lt;=Premissas!$B$25,INDEX('Consorcio IQ'!$K$6:$K$485,$A21),0)</x:f>
        <x:v>2596.016605952839</x:v>
      </x:c>
      <x:c r="AP21" s="141" t="n">
        <x:f>IF(AND(TRUE,Premissas!$B$11="Imovel",Premissas!$B$47="Moradia",$A21&lt;MAX(Premissas!$B$48,Premissas!$B$49)),$D21,0)</x:f>
        <x:v>0</x:v>
      </x:c>
      <x:c r="AQ21" s="141" t="n">
        <x:f>IF(AND(TRUE,Premissas!$B$11="Imovel",Premissas!$B$47="Investimento",$A21&gt;=MAX(Premissas!$B$48,Premissas!$B$49)),$E21,0)</x:f>
        <x:v>678.4000000000001</x:v>
      </x:c>
      <x:c r="AR21" s="141" t="n">
        <x:f>AN21+AO21+AP21</x:f>
        <x:v>2596.016605952839</x:v>
      </x:c>
      <x:c r="AS21" s="141" t="n">
        <x:f>AQ21</x:f>
        <x:v>678.4000000000001</x:v>
      </x:c>
      <x:c r="AT21" s="141" t="n">
        <x:f>$C21+AS21-AR21</x:f>
        <x:v>5082.38339404716</x:v>
      </x:c>
      <x:c r="AU21" s="141" t="n">
        <x:f>AX20*(1+Premissas!$B$41)+AT21</x:f>
        <x:v>150835.80610064018</x:v>
      </x:c>
      <x:c r="AV21" s="141" t="n">
        <x:f>MAX(0,-AU21)</x:f>
        <x:v>0</x:v>
      </x:c>
      <x:c r="AW21" s="141" t="n">
        <x:f>AW20*(1+Premissas!$B$41)+AV21</x:f>
        <x:v>0</x:v>
      </x:c>
      <x:c r="AX21" s="141" t="n">
        <x:f>MAX(0,AU21)</x:f>
        <x:v>150835.80610064018</x:v>
      </x:c>
      <x:c r="AY21" s="141" t="n">
        <x:f>INDEX('Consorcio IQ'!$P$6:$P$485,$A21)</x:f>
        <x:v>237120.81901807035</x:v>
      </x:c>
      <x:c r="AZ21" s="141" t="n">
        <x:f>IF($A21&gt;=Premissas!$B$48,$F21,0)+IF($A21&lt;Premissas!$B$27,INDEX('Consorcio IQ'!$O$6:$O$485,$A21),0)</x:f>
        <x:v>307528.9675349848</x:v>
      </x:c>
      <x:c r="BA21" s="141" t="n">
        <x:f>AX21+AZ21-AY21</x:f>
        <x:v>221243.95461755467</x:v>
      </x:c>
      <x:c r="BB21" s="141" t="n">
        <x:f>IF(AW21&gt;1,"Inviavel",BA21)</x:f>
        <x:v>221243.95461755467</x:v>
      </x:c>
      <x:c r="BC21" s="141" t="str">
        <x:f>IF(AW21&gt;1,"Inviavel","OK")</x:f>
        <x:v>OK</x:v>
      </x:c>
      <x:c r="BD21" s="141" t="n">
        <x:f>IF($A21='Consorcio Direto'!$B$29,'Consorcio Direto'!$B$44,0)</x:f>
        <x:v>0</x:v>
      </x:c>
      <x:c r="BE21" s="141" t="n">
        <x:f>IF($A21&lt;='Consorcio Direto'!$B$27,INDEX('Consorcio Direto'!$E$55:$E$534,$A21),0)</x:f>
        <x:v>1565.855076791275</x:v>
      </x:c>
      <x:c r="BF21" s="141" t="n">
        <x:f>IF(AND(TRUE,Premissas!$B$11="Imovel",Premissas!$B$47="Moradia",$A21&lt;MAX('Consorcio Direto'!$B$29,Premissas!$B$49)),$D21,0)</x:f>
        <x:v>0</x:v>
      </x:c>
      <x:c r="BG21" s="141" t="n">
        <x:f>IF(AND(TRUE,Premissas!$B$11="Imovel",Premissas!$B$47="Investimento",$A21&gt;=MAX('Consorcio Direto'!$B$29,Premissas!$B$49)),$E21,0)</x:f>
        <x:v>0</x:v>
      </x:c>
      <x:c r="BH21" s="141" t="n">
        <x:f>BD21+BE21+BF21</x:f>
        <x:v>1565.855076791275</x:v>
      </x:c>
      <x:c r="BI21" s="141" t="n">
        <x:f>BG21</x:f>
        <x:v>0</x:v>
      </x:c>
      <x:c r="BJ21" s="141" t="n">
        <x:f>$C21+BI21-BH21</x:f>
        <x:v>5434.144923208725</x:v>
      </x:c>
      <x:c r="BK21" s="141" t="n">
        <x:f>BN20*(1+Premissas!$B$41)+BJ21</x:f>
        <x:v>205592.9116839283</x:v>
      </x:c>
      <x:c r="BL21" s="141" t="n">
        <x:f>MAX(0,-BK21)</x:f>
        <x:v>0</x:v>
      </x:c>
      <x:c r="BM21" s="141" t="n">
        <x:f>BM20*(1+Premissas!$B$41)+BL21</x:f>
        <x:v>0</x:v>
      </x:c>
      <x:c r="BN21" s="141" t="n">
        <x:f>MAX(0,BK21)</x:f>
        <x:v>205592.9116839283</x:v>
      </x:c>
      <x:c r="BO21" s="141" t="n">
        <x:f>INDEX('Consorcio Direto'!$K$55:$K$534,$A21)</x:f>
        <x:v>216474.51994268893</x:v>
      </x:c>
      <x:c r="BP21" s="141" t="n">
        <x:f>IF($A21&lt;'Consorcio Direto'!$B$29,INDEX('Consorcio Direto'!$L$55:$L$534,$A21),$F21)</x:f>
        <x:v>177454.05123831824</x:v>
      </x:c>
      <x:c r="BQ21" s="141" t="n">
        <x:f>BN21+BP21-BO21</x:f>
        <x:v>166572.4429795576</x:v>
      </x:c>
      <x:c r="BR21" s="141" t="n">
        <x:f>IF(BM21&gt;1,"Inviavel",BQ21)</x:f>
        <x:v>166572.4429795576</x:v>
      </x:c>
      <x:c r="BS21" s="141" t="str">
        <x:f>IF(BM21&gt;1,"Inviavel","OK")</x:f>
        <x:v>OK</x:v>
      </x:c>
      <x:c r="BT21" s="141" t="n">
        <x:f>IF(AND('Carta Contemplada'!$B$22="Sim",$A21='Carta Contemplada'!$B$23),'Carta Contemplada'!$B$37,0)</x:f>
        <x:v>0</x:v>
      </x:c>
      <x:c r="BU21" s="141" t="n">
        <x:f>IF('Carta Contemplada'!$B$22="Sim",INDEX('Carta Contemplada'!$C$55:$C$1013,$A21),0)</x:f>
        <x:v>1272</x:v>
      </x:c>
      <x:c r="BV21" s="141" t="n">
        <x:f>IF(AND('Carta Contemplada'!$B$22="Sim",Premissas!$B$11="Imovel",Premissas!$B$47="Moradia",$A21&lt;MAX('Carta Contemplada'!$B$44,Premissas!$B$49)),$D21,0)</x:f>
        <x:v>0</x:v>
      </x:c>
      <x:c r="BW21" s="141" t="n">
        <x:f>IF(AND('Carta Contemplada'!$B$22="Sim",Premissas!$B$11="Imovel",Premissas!$B$47="Investimento",$A21&gt;=MAX('Carta Contemplada'!$B$44,Premissas!$B$49)),$E21,0)</x:f>
        <x:v>678.4000000000001</x:v>
      </x:c>
      <x:c r="BX21" s="141" t="n">
        <x:f>BT21+BU21+BV21</x:f>
        <x:v>1272</x:v>
      </x:c>
      <x:c r="BY21" s="141" t="n">
        <x:f>BW21</x:f>
        <x:v>678.4000000000001</x:v>
      </x:c>
      <x:c r="BZ21" s="141" t="n">
        <x:f>$C21+BY21-BX21</x:f>
        <x:v>6406.4</x:v>
      </x:c>
      <x:c r="CA21" s="141" t="n">
        <x:f>CD20*(1+Premissas!$B$41)+BZ21</x:f>
        <x:v>168041.26381696708</x:v>
      </x:c>
      <x:c r="CB21" s="141" t="n">
        <x:f>MAX(0,-CA21)</x:f>
        <x:v>0</x:v>
      </x:c>
      <x:c r="CC21" s="141" t="n">
        <x:f>CC20*(1+Premissas!$B$41)+CB21</x:f>
        <x:v>0</x:v>
      </x:c>
      <x:c r="CD21" s="141" t="n">
        <x:f>MAX(0,CA21)</x:f>
        <x:v>168041.26381696708</x:v>
      </x:c>
      <x:c r="CE21" s="141" t="n">
        <x:f>IF(AND('Carta Contemplada'!$B$22="Sim",$A21&gt;='Carta Contemplada'!$B$23),INDEX('Carta Contemplada'!$I$55:$I$1013,$A21),0)</x:f>
        <x:v>144557.6395456695</x:v>
      </x:c>
      <x:c r="CF21" s="141" t="n">
        <x:f>IF(AND('Carta Contemplada'!$B$22="Sim",$A21&gt;='Carta Contemplada'!$B$44),$F21,0)</x:f>
        <x:v>216157.9183535099</x:v>
      </x:c>
      <x:c r="CG21" s="141" t="n">
        <x:f>CD21+CF21-CE21</x:f>
        <x:v>239641.5426248075</x:v>
      </x:c>
      <x:c r="CH21" s="141" t="n">
        <x:f>IF(CC21&gt;1,"Inviavel",CG21)</x:f>
        <x:v>239641.5426248075</x:v>
      </x:c>
      <x:c r="CI21" s="145" t="str">
        <x:f>IF(CC21&gt;1,"Inviavel","OK")</x:f>
        <x:v>OK</x:v>
      </x:c>
    </x:row>
    <x:row r="22">
      <x:c r="A22" s="142" t="n">
        <x:v>18</x:v>
      </x:c>
      <x:c r="B22" s="179" t="n">
        <x:f>EDATE(Premissas!$B$4,A22-1)</x:f>
        <x:v>47058</x:v>
      </x:c>
      <x:c r="C22" s="141" t="n">
        <x:f>IF(A22&lt;=Premissas!$B$39,Premissas!$B$42,0)</x:f>
        <x:v>7000</x:v>
      </x:c>
      <x:c r="D22" s="141" t="n">
        <x:f>Premissas!$B$54*(1+Premissas!$B$57)^INT((A22-1)/12)</x:f>
        <x:v>742</x:v>
      </x:c>
      <x:c r="E22" s="141" t="n">
        <x:f>Premissas!$B$64*(1+Premissas!$B$57)^INT((A22-1)/12)</x:f>
        <x:v>678.4000000000001</x:v>
      </x:c>
      <x:c r="F22" s="141" t="n">
        <x:f>MAX(0,Premissas!$B$6*(1+Premissas!$B$66)^((A22-1)/12))</x:f>
        <x:v>217210.07795119486</x:v>
      </x:c>
      <x:c r="G22" s="141" t="n">
        <x:f>G21*(1+Premissas!$B$41)+C22</x:f>
        <x:v>242369.56049247543</x:v>
      </x:c>
      <x:c r="H22" s="141" t="n">
        <x:f>IF($A22=Premissas!$B$48,Premissas!$B$8,0)</x:f>
        <x:v>0</x:v>
      </x:c>
      <x:c r="I22" s="141" t="n">
        <x:f>IF(AND($A22&gt;=Premissas!$B$48,$A22-Premissas!$B$48+1&lt;=Premissas!$B$13),INDEX(Financiamento!$J$6:$J$485,$A22-Premissas!$B$48+1),0)</x:f>
        <x:v>1987.708020052181</x:v>
      </x:c>
      <x:c r="J22" s="141" t="n">
        <x:f>IF(AND(TRUE,Premissas!$B$11="Imovel",Premissas!$B$47="Moradia",$A22&lt;MAX(Premissas!$B$48,Premissas!$B$49)),$D22,0)</x:f>
        <x:v>0</x:v>
      </x:c>
      <x:c r="K22" s="141" t="n">
        <x:f>IF(AND(TRUE,Premissas!$B$11="Imovel",Premissas!$B$47="Investimento",$A22&gt;=MAX(Premissas!$B$48,Premissas!$B$49)),$E22,0)</x:f>
        <x:v>678.4000000000001</x:v>
      </x:c>
      <x:c r="L22" s="141" t="n">
        <x:f>H22+I22+J22</x:f>
        <x:v>1987.708020052181</x:v>
      </x:c>
      <x:c r="M22" s="141" t="n">
        <x:f>K22</x:f>
        <x:v>678.4000000000001</x:v>
      </x:c>
      <x:c r="N22" s="141" t="n">
        <x:f>$C22+M22-L22</x:f>
        <x:v>5690.691979947818</x:v>
      </x:c>
      <x:c r="O22" s="141" t="n">
        <x:f>R21*(1+Premissas!$B$41)+N22</x:f>
        <x:v>168703.3790272789</x:v>
      </x:c>
      <x:c r="P22" s="141" t="n">
        <x:f>MAX(0,-O22)</x:f>
        <x:v>0</x:v>
      </x:c>
      <x:c r="Q22" s="141" t="n">
        <x:f>Q21*(1+Premissas!$B$41)+P22</x:f>
        <x:v>0</x:v>
      </x:c>
      <x:c r="R22" s="141" t="n">
        <x:f>MAX(0,O22)</x:f>
        <x:v>168703.3790272789</x:v>
      </x:c>
      <x:c r="S22" s="141" t="n">
        <x:f>IF(AND($A22&gt;=Premissas!$B$48,$A22-Premissas!$B$48+1&lt;=Premissas!$B$13),INDEX(Financiamento!$M$6:$M$485,$A22-Premissas!$B$48+1),0)</x:f>
        <x:v>153142.8571428574</x:v>
      </x:c>
      <x:c r="T22" s="141" t="n">
        <x:f>IF($A22&gt;=Premissas!$B$48,$F22,0)</x:f>
        <x:v>217210.07795119486</x:v>
      </x:c>
      <x:c r="U22" s="141" t="n">
        <x:f>R22+T22-S22</x:f>
        <x:v>232770.59983561636</x:v>
      </x:c>
      <x:c r="V22" s="141" t="n">
        <x:f>IF(Q22&gt;1,"Inviavel",U22)</x:f>
        <x:v>232770.59983561636</x:v>
      </x:c>
      <x:c r="W22" s="141" t="str">
        <x:f>IF(Q22&gt;1,"Inviavel","OK")</x:f>
        <x:v>OK</x:v>
      </x:c>
      <x:c r="X22" s="141" t="n">
        <x:f>IF($A22=Premissas!$B$48,Premissas!$B$8,0)</x:f>
        <x:v>0</x:v>
      </x:c>
      <x:c r="Y22" s="141" t="n">
        <x:f>IF(AND($A22&gt;=Premissas!$B$48,$A22-Premissas!$B$48+1&lt;=Premissas!$B$13),INDEX(Amortizacao!$K$6:$K$485,$A22-Premissas!$B$48+1),0)</x:f>
        <x:v>7000</x:v>
      </x:c>
      <x:c r="Z22" s="141" t="n">
        <x:f>IF(AND(TRUE,Premissas!$B$11="Imovel",Premissas!$B$47="Moradia",$A22&lt;MAX(Premissas!$B$48,Premissas!$B$49)),$D22,0)</x:f>
        <x:v>0</x:v>
      </x:c>
      <x:c r="AA22" s="141" t="n">
        <x:f>IF(AND(TRUE,Premissas!$B$11="Imovel",Premissas!$B$47="Investimento",$A22&gt;=MAX(Premissas!$B$48,Premissas!$B$49)),$E22,0)</x:f>
        <x:v>678.4000000000001</x:v>
      </x:c>
      <x:c r="AB22" s="141" t="n">
        <x:f>X22+Y22+Z22</x:f>
        <x:v>7000</x:v>
      </x:c>
      <x:c r="AC22" s="141" t="n">
        <x:f>AA22</x:f>
        <x:v>678.4000000000001</x:v>
      </x:c>
      <x:c r="AD22" s="141" t="n">
        <x:f>$C22+AC22-AB22</x:f>
        <x:v>678.3999999999996</x:v>
      </x:c>
      <x:c r="AE22" s="141" t="n">
        <x:f>AH21*(1+Premissas!$B$41)+AD22</x:f>
        <x:v>71441.58090006352</x:v>
      </x:c>
      <x:c r="AF22" s="141" t="n">
        <x:f>MAX(0,-AE22)</x:f>
        <x:v>0</x:v>
      </x:c>
      <x:c r="AG22" s="141" t="n">
        <x:f>AG21*(1+Premissas!$B$41)+AF22</x:f>
        <x:v>0</x:v>
      </x:c>
      <x:c r="AH22" s="141" t="n">
        <x:f>MAX(0,AE22)</x:f>
        <x:v>71441.58090006352</x:v>
      </x:c>
      <x:c r="AI22" s="141" t="n">
        <x:f>IF(AND($A22&gt;=Premissas!$B$48,$A22-Premissas!$B$48+1&lt;=Premissas!$B$13),INDEX(Amortizacao!$L$6:$L$485,$A22-Premissas!$B$48+1),0)</x:f>
        <x:v>55881.05901564188</x:v>
      </x:c>
      <x:c r="AJ22" s="141" t="n">
        <x:f>IF($A22&gt;=Premissas!$B$48,$F22,0)</x:f>
        <x:v>217210.07795119486</x:v>
      </x:c>
      <x:c r="AK22" s="141" t="n">
        <x:f>AH22+AJ22-AI22</x:f>
        <x:v>232770.59983561654</x:v>
      </x:c>
      <x:c r="AL22" s="141" t="n">
        <x:f>IF(AG22&gt;1,"Inviavel",AK22)</x:f>
        <x:v>232770.59983561654</x:v>
      </x:c>
      <x:c r="AM22" s="141" t="str">
        <x:f>IF(AG22&gt;1,"Inviavel","OK")</x:f>
        <x:v>OK</x:v>
      </x:c>
      <x:c r="AN22" s="141" t="n">
        <x:f>IF($A22=Premissas!$B$48,Premissas!$B$8,0)</x:f>
        <x:v>0</x:v>
      </x:c>
      <x:c r="AO22" s="141" t="n">
        <x:f>IF($A22&lt;=Premissas!$B$25,INDEX('Consorcio IQ'!$K$6:$K$485,$A22),0)</x:f>
        <x:v>2592.401827692046</x:v>
      </x:c>
      <x:c r="AP22" s="141" t="n">
        <x:f>IF(AND(TRUE,Premissas!$B$11="Imovel",Premissas!$B$47="Moradia",$A22&lt;MAX(Premissas!$B$48,Premissas!$B$49)),$D22,0)</x:f>
        <x:v>0</x:v>
      </x:c>
      <x:c r="AQ22" s="141" t="n">
        <x:f>IF(AND(TRUE,Premissas!$B$11="Imovel",Premissas!$B$47="Investimento",$A22&gt;=MAX(Premissas!$B$48,Premissas!$B$49)),$E22,0)</x:f>
        <x:v>678.4000000000001</x:v>
      </x:c>
      <x:c r="AR22" s="141" t="n">
        <x:f>AN22+AO22+AP22</x:f>
        <x:v>2592.401827692046</x:v>
      </x:c>
      <x:c r="AS22" s="141" t="n">
        <x:f>AQ22</x:f>
        <x:v>678.4000000000001</x:v>
      </x:c>
      <x:c r="AT22" s="141" t="n">
        <x:f>$C22+AS22-AR22</x:f>
        <x:v>5085.998172307954</x:v>
      </x:c>
      <x:c r="AU22" s="141" t="n">
        <x:f>AX21*(1+Premissas!$B$41)+AT22</x:f>
        <x:v>157353.054004158</x:v>
      </x:c>
      <x:c r="AV22" s="141" t="n">
        <x:f>MAX(0,-AU22)</x:f>
        <x:v>0</x:v>
      </x:c>
      <x:c r="AW22" s="141" t="n">
        <x:f>AW21*(1+Premissas!$B$41)+AV22</x:f>
        <x:v>0</x:v>
      </x:c>
      <x:c r="AX22" s="141" t="n">
        <x:f>MAX(0,AU22)</x:f>
        <x:v>157353.054004158</x:v>
      </x:c>
      <x:c r="AY22" s="141" t="n">
        <x:f>INDEX('Consorcio IQ'!$P$6:$P$485,$A22)</x:f>
        <x:v>236928.40754251956</x:v>
      </x:c>
      <x:c r="AZ22" s="141" t="n">
        <x:f>IF($A22&gt;=Premissas!$B$48,$F22,0)+IF($A22&lt;Premissas!$B$27,INDEX('Consorcio IQ'!$O$6:$O$485,$A22),0)</x:f>
        <x:v>309448.1280985684</x:v>
      </x:c>
      <x:c r="BA22" s="141" t="n">
        <x:f>AX22+AZ22-AY22</x:f>
        <x:v>229872.77456020686</x:v>
      </x:c>
      <x:c r="BB22" s="141" t="n">
        <x:f>IF(AW22&gt;1,"Inviavel",BA22)</x:f>
        <x:v>229872.77456020686</x:v>
      </x:c>
      <x:c r="BC22" s="141" t="str">
        <x:f>IF(AW22&gt;1,"Inviavel","OK")</x:f>
        <x:v>OK</x:v>
      </x:c>
      <x:c r="BD22" s="141" t="n">
        <x:f>IF($A22='Consorcio Direto'!$B$29,'Consorcio Direto'!$B$44,0)</x:f>
        <x:v>0</x:v>
      </x:c>
      <x:c r="BE22" s="141" t="n">
        <x:f>IF($A22&lt;='Consorcio Direto'!$B$27,INDEX('Consorcio Direto'!$E$55:$E$534,$A22),0)</x:f>
        <x:v>1565.855076791275</x:v>
      </x:c>
      <x:c r="BF22" s="141" t="n">
        <x:f>IF(AND(TRUE,Premissas!$B$11="Imovel",Premissas!$B$47="Moradia",$A22&lt;MAX('Consorcio Direto'!$B$29,Premissas!$B$49)),$D22,0)</x:f>
        <x:v>0</x:v>
      </x:c>
      <x:c r="BG22" s="141" t="n">
        <x:f>IF(AND(TRUE,Premissas!$B$11="Imovel",Premissas!$B$47="Investimento",$A22&gt;=MAX('Consorcio Direto'!$B$29,Premissas!$B$49)),$E22,0)</x:f>
        <x:v>0</x:v>
      </x:c>
      <x:c r="BH22" s="141" t="n">
        <x:f>BD22+BE22+BF22</x:f>
        <x:v>1565.855076791275</x:v>
      </x:c>
      <x:c r="BI22" s="141" t="n">
        <x:f>BG22</x:f>
        <x:v>0</x:v>
      </x:c>
      <x:c r="BJ22" s="141" t="n">
        <x:f>$C22+BI22-BH22</x:f>
        <x:v>5434.144923208725</x:v>
      </x:c>
      <x:c r="BK22" s="141" t="n">
        <x:f>BN21*(1+Premissas!$B$41)+BJ22</x:f>
        <x:v>212977.88517492384</x:v>
      </x:c>
      <x:c r="BL22" s="141" t="n">
        <x:f>MAX(0,-BK22)</x:f>
        <x:v>0</x:v>
      </x:c>
      <x:c r="BM22" s="141" t="n">
        <x:f>BM21*(1+Premissas!$B$41)+BL22</x:f>
        <x:v>0</x:v>
      </x:c>
      <x:c r="BN22" s="141" t="n">
        <x:f>MAX(0,BK22)</x:f>
        <x:v>212977.88517492384</x:v>
      </x:c>
      <x:c r="BO22" s="141" t="n">
        <x:f>INDEX('Consorcio Direto'!$K$55:$K$534,$A22)</x:f>
        <x:v>216962.74676124708</x:v>
      </x:c>
      <x:c r="BP22" s="141" t="n">
        <x:f>IF($A22&lt;'Consorcio Direto'!$B$29,INDEX('Consorcio Direto'!$L$55:$L$534,$A22),$F22)</x:f>
        <x:v>179137.8759859215</x:v>
      </x:c>
      <x:c r="BQ22" s="141" t="n">
        <x:f>BN22+BP22-BO22</x:f>
        <x:v>175153.01439959827</x:v>
      </x:c>
      <x:c r="BR22" s="141" t="n">
        <x:f>IF(BM22&gt;1,"Inviavel",BQ22)</x:f>
        <x:v>175153.01439959827</x:v>
      </x:c>
      <x:c r="BS22" s="141" t="str">
        <x:f>IF(BM22&gt;1,"Inviavel","OK")</x:f>
        <x:v>OK</x:v>
      </x:c>
      <x:c r="BT22" s="141" t="n">
        <x:f>IF(AND('Carta Contemplada'!$B$22="Sim",$A22='Carta Contemplada'!$B$23),'Carta Contemplada'!$B$37,0)</x:f>
        <x:v>0</x:v>
      </x:c>
      <x:c r="BU22" s="141" t="n">
        <x:f>IF('Carta Contemplada'!$B$22="Sim",INDEX('Carta Contemplada'!$C$55:$C$1013,$A22),0)</x:f>
        <x:v>1272</x:v>
      </x:c>
      <x:c r="BV22" s="141" t="n">
        <x:f>IF(AND('Carta Contemplada'!$B$22="Sim",Premissas!$B$11="Imovel",Premissas!$B$47="Moradia",$A22&lt;MAX('Carta Contemplada'!$B$44,Premissas!$B$49)),$D22,0)</x:f>
        <x:v>0</x:v>
      </x:c>
      <x:c r="BW22" s="141" t="n">
        <x:f>IF(AND('Carta Contemplada'!$B$22="Sim",Premissas!$B$11="Imovel",Premissas!$B$47="Investimento",$A22&gt;=MAX('Carta Contemplada'!$B$44,Premissas!$B$49)),$E22,0)</x:f>
        <x:v>678.4000000000001</x:v>
      </x:c>
      <x:c r="BX22" s="141" t="n">
        <x:f>BT22+BU22+BV22</x:f>
        <x:v>1272</x:v>
      </x:c>
      <x:c r="BY22" s="141" t="n">
        <x:f>BW22</x:f>
        <x:v>678.4000000000001</x:v>
      </x:c>
      <x:c r="BZ22" s="141" t="n">
        <x:f>$C22+BY22-BX22</x:f>
        <x:v>6406.4</x:v>
      </x:c>
      <x:c r="CA22" s="141" t="n">
        <x:f>CD21*(1+Premissas!$B$41)+BZ22</x:f>
        <x:v>176042.17257379193</x:v>
      </x:c>
      <x:c r="CB22" s="141" t="n">
        <x:f>MAX(0,-CA22)</x:f>
        <x:v>0</x:v>
      </x:c>
      <x:c r="CC22" s="141" t="n">
        <x:f>CC21*(1+Premissas!$B$41)+CB22</x:f>
        <x:v>0</x:v>
      </x:c>
      <x:c r="CD22" s="141" t="n">
        <x:f>MAX(0,CA22)</x:f>
        <x:v>176042.17257379193</x:v>
      </x:c>
      <x:c r="CE22" s="141" t="n">
        <x:f>IF(AND('Carta Contemplada'!$B$22="Sim",$A22&gt;='Carta Contemplada'!$B$23),INDEX('Carta Contemplada'!$I$55:$I$1013,$A22),0)</x:f>
        <x:v>144657.31705443043</x:v>
      </x:c>
      <x:c r="CF22" s="141" t="n">
        <x:f>IF(AND('Carta Contemplada'!$B$22="Sim",$A22&gt;='Carta Contemplada'!$B$44),$F22,0)</x:f>
        <x:v>217210.07795119486</x:v>
      </x:c>
      <x:c r="CG22" s="141" t="n">
        <x:f>CD22+CF22-CE22</x:f>
        <x:v>248594.93347055634</x:v>
      </x:c>
      <x:c r="CH22" s="141" t="n">
        <x:f>IF(CC22&gt;1,"Inviavel",CG22)</x:f>
        <x:v>248594.93347055634</x:v>
      </x:c>
      <x:c r="CI22" s="145" t="str">
        <x:f>IF(CC22&gt;1,"Inviavel","OK")</x:f>
        <x:v>OK</x:v>
      </x:c>
    </x:row>
    <x:row r="23">
      <x:c r="A23" s="142" t="n">
        <x:v>19</x:v>
      </x:c>
      <x:c r="B23" s="179" t="n">
        <x:f>EDATE(Premissas!$B$4,A23-1)</x:f>
        <x:v>47088</x:v>
      </x:c>
      <x:c r="C23" s="141" t="n">
        <x:f>IF(A23&lt;=Premissas!$B$39,Premissas!$B$42,0)</x:f>
        <x:v>7000</x:v>
      </x:c>
      <x:c r="D23" s="141" t="n">
        <x:f>Premissas!$B$54*(1+Premissas!$B$57)^INT((A23-1)/12)</x:f>
        <x:v>742</x:v>
      </x:c>
      <x:c r="E23" s="141" t="n">
        <x:f>Premissas!$B$64*(1+Premissas!$B$57)^INT((A23-1)/12)</x:f>
        <x:v>678.4000000000001</x:v>
      </x:c>
      <x:c r="F23" s="141" t="n">
        <x:f>MAX(0,Premissas!$B$6*(1+Premissas!$B$66)^((A23-1)/12))</x:f>
        <x:v>218267.35898892445</x:v>
      </x:c>
      <x:c r="G23" s="141" t="n">
        <x:f>G22*(1+Premissas!$B$41)+C23</x:f>
        <x:v>251669.35506563442</x:v>
      </x:c>
      <x:c r="H23" s="141" t="n">
        <x:f>IF($A23=Premissas!$B$48,Premissas!$B$8,0)</x:f>
        <x:v>0</x:v>
      </x:c>
      <x:c r="I23" s="141" t="n">
        <x:f>IF(AND($A23&gt;=Premissas!$B$48,$A23-Premissas!$B$48+1&lt;=Premissas!$B$13),INDEX(Financiamento!$J$6:$J$485,$A23-Premissas!$B$48+1),0)</x:f>
        <x:v>1984.0932417913875</x:v>
      </x:c>
      <x:c r="J23" s="141" t="n">
        <x:f>IF(AND(TRUE,Premissas!$B$11="Imovel",Premissas!$B$47="Moradia",$A23&lt;MAX(Premissas!$B$48,Premissas!$B$49)),$D23,0)</x:f>
        <x:v>0</x:v>
      </x:c>
      <x:c r="K23" s="141" t="n">
        <x:f>IF(AND(TRUE,Premissas!$B$11="Imovel",Premissas!$B$47="Investimento",$A23&gt;=MAX(Premissas!$B$48,Premissas!$B$49)),$E23,0)</x:f>
        <x:v>678.4000000000001</x:v>
      </x:c>
      <x:c r="L23" s="141" t="n">
        <x:f>H23+I23+J23</x:f>
        <x:v>1984.0932417913875</x:v>
      </x:c>
      <x:c r="M23" s="141" t="n">
        <x:f>K23</x:f>
        <x:v>678.4000000000001</x:v>
      </x:c>
      <x:c r="N23" s="141" t="n">
        <x:f>$C23+M23-L23</x:f>
        <x:v>5694.306758208612</x:v>
      </x:c>
      <x:c r="O23" s="141" t="n">
        <x:f>R22*(1+Premissas!$B$41)+N23</x:f>
        <x:v>175998.47721644182</x:v>
      </x:c>
      <x:c r="P23" s="141" t="n">
        <x:f>MAX(0,-O23)</x:f>
        <x:v>0</x:v>
      </x:c>
      <x:c r="Q23" s="141" t="n">
        <x:f>Q22*(1+Premissas!$B$41)+P23</x:f>
        <x:v>0</x:v>
      </x:c>
      <x:c r="R23" s="141" t="n">
        <x:f>MAX(0,O23)</x:f>
        <x:v>175998.47721644182</x:v>
      </x:c>
      <x:c r="S23" s="141" t="n">
        <x:f>IF(AND($A23&gt;=Premissas!$B$48,$A23-Premissas!$B$48+1&lt;=Premissas!$B$13),INDEX(Financiamento!$M$6:$M$485,$A23-Premissas!$B$48+1),0)</x:f>
        <x:v>152761.90476190503</x:v>
      </x:c>
      <x:c r="T23" s="141" t="n">
        <x:f>IF($A23&gt;=Premissas!$B$48,$F23,0)</x:f>
        <x:v>218267.35898892445</x:v>
      </x:c>
      <x:c r="U23" s="141" t="n">
        <x:f>R23+T23-S23</x:f>
        <x:v>241503.93144346128</x:v>
      </x:c>
      <x:c r="V23" s="141" t="n">
        <x:f>IF(Q23&gt;1,"Inviavel",U23)</x:f>
        <x:v>241503.93144346128</x:v>
      </x:c>
      <x:c r="W23" s="141" t="str">
        <x:f>IF(Q23&gt;1,"Inviavel","OK")</x:f>
        <x:v>OK</x:v>
      </x:c>
      <x:c r="X23" s="141" t="n">
        <x:f>IF($A23=Premissas!$B$48,Premissas!$B$8,0)</x:f>
        <x:v>0</x:v>
      </x:c>
      <x:c r="Y23" s="141" t="n">
        <x:f>IF(AND($A23&gt;=Premissas!$B$48,$A23-Premissas!$B$48+1&lt;=Premissas!$B$13),INDEX(Amortizacao!$K$6:$K$485,$A23-Premissas!$B$48+1),0)</x:f>
        <x:v>7000</x:v>
      </x:c>
      <x:c r="Z23" s="141" t="n">
        <x:f>IF(AND(TRUE,Premissas!$B$11="Imovel",Premissas!$B$47="Moradia",$A23&lt;MAX(Premissas!$B$48,Premissas!$B$49)),$D23,0)</x:f>
        <x:v>0</x:v>
      </x:c>
      <x:c r="AA23" s="141" t="n">
        <x:f>IF(AND(TRUE,Premissas!$B$11="Imovel",Premissas!$B$47="Investimento",$A23&gt;=MAX(Premissas!$B$48,Premissas!$B$49)),$E23,0)</x:f>
        <x:v>678.4000000000001</x:v>
      </x:c>
      <x:c r="AB23" s="141" t="n">
        <x:f>X23+Y23+Z23</x:f>
        <x:v>7000</x:v>
      </x:c>
      <x:c r="AC23" s="141" t="n">
        <x:f>AA23</x:f>
        <x:v>678.4000000000001</x:v>
      </x:c>
      <x:c r="AD23" s="141" t="n">
        <x:f>$C23+AC23-AB23</x:f>
        <x:v>678.3999999999996</x:v>
      </x:c>
      <x:c r="AE23" s="141" t="n">
        <x:f>AH22*(1+Premissas!$B$41)+AD23</x:f>
        <x:v>72797.87526814349</x:v>
      </x:c>
      <x:c r="AF23" s="141" t="n">
        <x:f>MAX(0,-AE23)</x:f>
        <x:v>0</x:v>
      </x:c>
      <x:c r="AG23" s="141" t="n">
        <x:f>AG22*(1+Premissas!$B$41)+AF23</x:f>
        <x:v>0</x:v>
      </x:c>
      <x:c r="AH23" s="141" t="n">
        <x:f>MAX(0,AE23)</x:f>
        <x:v>72797.87526814349</x:v>
      </x:c>
      <x:c r="AI23" s="141" t="n">
        <x:f>IF(AND($A23&gt;=Premissas!$B$48,$A23-Premissas!$B$48+1&lt;=Premissas!$B$13),INDEX(Amortizacao!$L$6:$L$485,$A23-Premissas!$B$48+1),0)</x:f>
        <x:v>49561.30281360652</x:v>
      </x:c>
      <x:c r="AJ23" s="141" t="n">
        <x:f>IF($A23&gt;=Premissas!$B$48,$F23,0)</x:f>
        <x:v>218267.35898892445</x:v>
      </x:c>
      <x:c r="AK23" s="141" t="n">
        <x:f>AH23+AJ23-AI23</x:f>
        <x:v>241503.9314434614</x:v>
      </x:c>
      <x:c r="AL23" s="141" t="n">
        <x:f>IF(AG23&gt;1,"Inviavel",AK23)</x:f>
        <x:v>241503.9314434614</x:v>
      </x:c>
      <x:c r="AM23" s="141" t="str">
        <x:f>IF(AG23&gt;1,"Inviavel","OK")</x:f>
        <x:v>OK</x:v>
      </x:c>
      <x:c r="AN23" s="141" t="n">
        <x:f>IF($A23=Premissas!$B$48,Premissas!$B$8,0)</x:f>
        <x:v>0</x:v>
      </x:c>
      <x:c r="AO23" s="141" t="n">
        <x:f>IF($A23&lt;=Premissas!$B$25,INDEX('Consorcio IQ'!$K$6:$K$485,$A23),0)</x:f>
        <x:v>2588.7870494312524</x:v>
      </x:c>
      <x:c r="AP23" s="141" t="n">
        <x:f>IF(AND(TRUE,Premissas!$B$11="Imovel",Premissas!$B$47="Moradia",$A23&lt;MAX(Premissas!$B$48,Premissas!$B$49)),$D23,0)</x:f>
        <x:v>0</x:v>
      </x:c>
      <x:c r="AQ23" s="141" t="n">
        <x:f>IF(AND(TRUE,Premissas!$B$11="Imovel",Premissas!$B$47="Investimento",$A23&gt;=MAX(Premissas!$B$48,Premissas!$B$49)),$E23,0)</x:f>
        <x:v>678.4000000000001</x:v>
      </x:c>
      <x:c r="AR23" s="141" t="n">
        <x:f>AN23+AO23+AP23</x:f>
        <x:v>2588.7870494312524</x:v>
      </x:c>
      <x:c r="AS23" s="141" t="n">
        <x:f>AQ23</x:f>
        <x:v>678.4000000000001</x:v>
      </x:c>
      <x:c r="AT23" s="141" t="n">
        <x:f>$C23+AS23-AR23</x:f>
        <x:v>5089.612950568748</x:v>
      </x:c>
      <x:c r="AU23" s="141" t="n">
        <x:f>AX22*(1+Premissas!$B$41)+AT23</x:f>
        <x:v>163935.7575017965</x:v>
      </x:c>
      <x:c r="AV23" s="141" t="n">
        <x:f>MAX(0,-AU23)</x:f>
        <x:v>0</x:v>
      </x:c>
      <x:c r="AW23" s="141" t="n">
        <x:f>AW22*(1+Premissas!$B$41)+AV23</x:f>
        <x:v>0</x:v>
      </x:c>
      <x:c r="AX23" s="141" t="n">
        <x:f>MAX(0,AU23)</x:f>
        <x:v>163935.7575017965</x:v>
      </x:c>
      <x:c r="AY23" s="141" t="n">
        <x:f>INDEX('Consorcio IQ'!$P$6:$P$485,$A23)</x:f>
        <x:v>236737.78509257978</x:v>
      </x:c>
      <x:c r="AZ23" s="141" t="n">
        <x:f>IF($A23&gt;=Premissas!$B$48,$F23,0)+IF($A23&lt;Premissas!$B$27,INDEX('Consorcio IQ'!$O$6:$O$485,$A23),0)</x:f>
        <x:v>311380.6368948361</x:v>
      </x:c>
      <x:c r="BA23" s="141" t="n">
        <x:f>AX23+AZ23-AY23</x:f>
        <x:v>238578.60930405278</x:v>
      </x:c>
      <x:c r="BB23" s="141" t="n">
        <x:f>IF(AW23&gt;1,"Inviavel",BA23)</x:f>
        <x:v>238578.60930405278</x:v>
      </x:c>
      <x:c r="BC23" s="141" t="str">
        <x:f>IF(AW23&gt;1,"Inviavel","OK")</x:f>
        <x:v>OK</x:v>
      </x:c>
      <x:c r="BD23" s="141" t="n">
        <x:f>IF($A23='Consorcio Direto'!$B$29,'Consorcio Direto'!$B$44,0)</x:f>
        <x:v>0</x:v>
      </x:c>
      <x:c r="BE23" s="141" t="n">
        <x:f>IF($A23&lt;='Consorcio Direto'!$B$27,INDEX('Consorcio Direto'!$E$55:$E$534,$A23),0)</x:f>
        <x:v>1565.855076791275</x:v>
      </x:c>
      <x:c r="BF23" s="141" t="n">
        <x:f>IF(AND(TRUE,Premissas!$B$11="Imovel",Premissas!$B$47="Moradia",$A23&lt;MAX('Consorcio Direto'!$B$29,Premissas!$B$49)),$D23,0)</x:f>
        <x:v>0</x:v>
      </x:c>
      <x:c r="BG23" s="141" t="n">
        <x:f>IF(AND(TRUE,Premissas!$B$11="Imovel",Premissas!$B$47="Investimento",$A23&gt;=MAX('Consorcio Direto'!$B$29,Premissas!$B$49)),$E23,0)</x:f>
        <x:v>0</x:v>
      </x:c>
      <x:c r="BH23" s="141" t="n">
        <x:f>BD23+BE23+BF23</x:f>
        <x:v>1565.855076791275</x:v>
      </x:c>
      <x:c r="BI23" s="141" t="n">
        <x:f>BG23</x:f>
        <x:v>0</x:v>
      </x:c>
      <x:c r="BJ23" s="141" t="n">
        <x:f>$C23+BI23-BH23</x:f>
        <x:v>5434.144923208725</x:v>
      </x:c>
      <x:c r="BK23" s="141" t="n">
        <x:f>BN22*(1+Premissas!$B$41)+BJ23</x:f>
        <x:v>220432.93315020282</x:v>
      </x:c>
      <x:c r="BL23" s="141" t="n">
        <x:f>MAX(0,-BK23)</x:f>
        <x:v>0</x:v>
      </x:c>
      <x:c r="BM23" s="141" t="n">
        <x:f>BM22*(1+Premissas!$B$41)+BL23</x:f>
        <x:v>0</x:v>
      </x:c>
      <x:c r="BN23" s="141" t="n">
        <x:f>MAX(0,BK23)</x:f>
        <x:v>220432.93315020282</x:v>
      </x:c>
      <x:c r="BO23" s="141" t="n">
        <x:f>INDEX('Consorcio Direto'!$K$55:$K$534,$A23)</x:f>
        <x:v>217455.60626299164</x:v>
      </x:c>
      <x:c r="BP23" s="141" t="n">
        <x:f>IF($A23&lt;'Consorcio Direto'!$B$29,INDEX('Consorcio Direto'!$L$55:$L$534,$A23),$F23)</x:f>
        <x:v>180837.67819789294</x:v>
      </x:c>
      <x:c r="BQ23" s="141" t="n">
        <x:f>BN23+BP23-BO23</x:f>
        <x:v>183815.00508510412</x:v>
      </x:c>
      <x:c r="BR23" s="141" t="n">
        <x:f>IF(BM23&gt;1,"Inviavel",BQ23)</x:f>
        <x:v>183815.00508510412</x:v>
      </x:c>
      <x:c r="BS23" s="141" t="str">
        <x:f>IF(BM23&gt;1,"Inviavel","OK")</x:f>
        <x:v>OK</x:v>
      </x:c>
      <x:c r="BT23" s="141" t="n">
        <x:f>IF(AND('Carta Contemplada'!$B$22="Sim",$A23='Carta Contemplada'!$B$23),'Carta Contemplada'!$B$37,0)</x:f>
        <x:v>0</x:v>
      </x:c>
      <x:c r="BU23" s="141" t="n">
        <x:f>IF('Carta Contemplada'!$B$22="Sim",INDEX('Carta Contemplada'!$C$55:$C$1013,$A23),0)</x:f>
        <x:v>1272</x:v>
      </x:c>
      <x:c r="BV23" s="141" t="n">
        <x:f>IF(AND('Carta Contemplada'!$B$22="Sim",Premissas!$B$11="Imovel",Premissas!$B$47="Moradia",$A23&lt;MAX('Carta Contemplada'!$B$44,Premissas!$B$49)),$D23,0)</x:f>
        <x:v>0</x:v>
      </x:c>
      <x:c r="BW23" s="141" t="n">
        <x:f>IF(AND('Carta Contemplada'!$B$22="Sim",Premissas!$B$11="Imovel",Premissas!$B$47="Investimento",$A23&gt;=MAX('Carta Contemplada'!$B$44,Premissas!$B$49)),$E23,0)</x:f>
        <x:v>678.4000000000001</x:v>
      </x:c>
      <x:c r="BX23" s="141" t="n">
        <x:f>BT23+BU23+BV23</x:f>
        <x:v>1272</x:v>
      </x:c>
      <x:c r="BY23" s="141" t="n">
        <x:f>BW23</x:f>
        <x:v>678.4000000000001</x:v>
      </x:c>
      <x:c r="BZ23" s="141" t="n">
        <x:f>$C23+BY23-BX23</x:f>
        <x:v>6406.4</x:v>
      </x:c>
      <x:c r="CA23" s="141" t="n">
        <x:f>CD22*(1+Premissas!$B$41)+BZ23</x:f>
        <x:v>184119.00029709877</x:v>
      </x:c>
      <x:c r="CB23" s="141" t="n">
        <x:f>MAX(0,-CA23)</x:f>
        <x:v>0</x:v>
      </x:c>
      <x:c r="CC23" s="141" t="n">
        <x:f>CC22*(1+Premissas!$B$41)+CB23</x:f>
        <x:v>0</x:v>
      </x:c>
      <x:c r="CD23" s="141" t="n">
        <x:f>MAX(0,CA23)</x:f>
        <x:v>184119.00029709877</x:v>
      </x:c>
      <x:c r="CE23" s="141" t="n">
        <x:f>IF(AND('Carta Contemplada'!$B$22="Sim",$A23&gt;='Carta Contemplada'!$B$23),INDEX('Carta Contemplada'!$I$55:$I$1013,$A23),0)</x:f>
        <x:v>144757.94038243225</x:v>
      </x:c>
      <x:c r="CF23" s="141" t="n">
        <x:f>IF(AND('Carta Contemplada'!$B$22="Sim",$A23&gt;='Carta Contemplada'!$B$44),$F23,0)</x:f>
        <x:v>218267.35898892445</x:v>
      </x:c>
      <x:c r="CG23" s="141" t="n">
        <x:f>CD23+CF23-CE23</x:f>
        <x:v>257628.41890359094</x:v>
      </x:c>
      <x:c r="CH23" s="141" t="n">
        <x:f>IF(CC23&gt;1,"Inviavel",CG23)</x:f>
        <x:v>257628.41890359094</x:v>
      </x:c>
      <x:c r="CI23" s="145" t="str">
        <x:f>IF(CC23&gt;1,"Inviavel","OK")</x:f>
        <x:v>OK</x:v>
      </x:c>
    </x:row>
    <x:row r="24">
      <x:c r="A24" s="142" t="n">
        <x:v>20</x:v>
      </x:c>
      <x:c r="B24" s="179" t="n">
        <x:f>EDATE(Premissas!$B$4,A24-1)</x:f>
        <x:v>47119</x:v>
      </x:c>
      <x:c r="C24" s="141" t="n">
        <x:f>IF(A24&lt;=Premissas!$B$39,Premissas!$B$42,0)</x:f>
        <x:v>7000</x:v>
      </x:c>
      <x:c r="D24" s="141" t="n">
        <x:f>Premissas!$B$54*(1+Premissas!$B$57)^INT((A24-1)/12)</x:f>
        <x:v>742</x:v>
      </x:c>
      <x:c r="E24" s="141" t="n">
        <x:f>Premissas!$B$64*(1+Premissas!$B$57)^INT((A24-1)/12)</x:f>
        <x:v>678.4000000000001</x:v>
      </x:c>
      <x:c r="F24" s="141" t="n">
        <x:f>MAX(0,Premissas!$B$6*(1+Premissas!$B$66)^((A24-1)/12))</x:f>
        <x:v>219329.78639556692</x:v>
      </x:c>
      <x:c r="G24" s="141" t="n">
        <x:f>G23*(1+Premissas!$B$41)+C24</x:f>
        <x:v>261057.39346383227</x:v>
      </x:c>
      <x:c r="H24" s="141" t="n">
        <x:f>IF($A24=Premissas!$B$48,Premissas!$B$8,0)</x:f>
        <x:v>0</x:v>
      </x:c>
      <x:c r="I24" s="141" t="n">
        <x:f>IF(AND($A24&gt;=Premissas!$B$48,$A24-Premissas!$B$48+1&lt;=Premissas!$B$13),INDEX(Financiamento!$J$6:$J$485,$A24-Premissas!$B$48+1),0)</x:f>
        <x:v>1980.4784635305941</x:v>
      </x:c>
      <x:c r="J24" s="141" t="n">
        <x:f>IF(AND(TRUE,Premissas!$B$11="Imovel",Premissas!$B$47="Moradia",$A24&lt;MAX(Premissas!$B$48,Premissas!$B$49)),$D24,0)</x:f>
        <x:v>0</x:v>
      </x:c>
      <x:c r="K24" s="141" t="n">
        <x:f>IF(AND(TRUE,Premissas!$B$11="Imovel",Premissas!$B$47="Investimento",$A24&gt;=MAX(Premissas!$B$48,Premissas!$B$49)),$E24,0)</x:f>
        <x:v>678.4000000000001</x:v>
      </x:c>
      <x:c r="L24" s="141" t="n">
        <x:f>H24+I24+J24</x:f>
        <x:v>1980.4784635305941</x:v>
      </x:c>
      <x:c r="M24" s="141" t="n">
        <x:f>K24</x:f>
        <x:v>678.4000000000001</x:v>
      </x:c>
      <x:c r="N24" s="141" t="n">
        <x:f>$C24+M24-L24</x:f>
        <x:v>5697.9215364694055</x:v>
      </x:c>
      <x:c r="O24" s="141" t="n">
        <x:f>R23*(1+Premissas!$B$41)+N24</x:f>
        <x:v>183366.41186001996</x:v>
      </x:c>
      <x:c r="P24" s="141" t="n">
        <x:f>MAX(0,-O24)</x:f>
        <x:v>0</x:v>
      </x:c>
      <x:c r="Q24" s="141" t="n">
        <x:f>Q23*(1+Premissas!$B$41)+P24</x:f>
        <x:v>0</x:v>
      </x:c>
      <x:c r="R24" s="141" t="n">
        <x:f>MAX(0,O24)</x:f>
        <x:v>183366.41186001996</x:v>
      </x:c>
      <x:c r="S24" s="141" t="n">
        <x:f>IF(AND($A24&gt;=Premissas!$B$48,$A24-Premissas!$B$48+1&lt;=Premissas!$B$13),INDEX(Financiamento!$M$6:$M$485,$A24-Premissas!$B$48+1),0)</x:f>
        <x:v>152380.95238095266</x:v>
      </x:c>
      <x:c r="T24" s="141" t="n">
        <x:f>IF($A24&gt;=Premissas!$B$48,$F24,0)</x:f>
        <x:v>219329.78639556692</x:v>
      </x:c>
      <x:c r="U24" s="141" t="n">
        <x:f>R24+T24-S24</x:f>
        <x:v>250315.24587463425</x:v>
      </x:c>
      <x:c r="V24" s="141" t="n">
        <x:f>IF(Q24&gt;1,"Inviavel",U24)</x:f>
        <x:v>250315.24587463425</x:v>
      </x:c>
      <x:c r="W24" s="141" t="str">
        <x:f>IF(Q24&gt;1,"Inviavel","OK")</x:f>
        <x:v>OK</x:v>
      </x:c>
      <x:c r="X24" s="141" t="n">
        <x:f>IF($A24=Premissas!$B$48,Premissas!$B$8,0)</x:f>
        <x:v>0</x:v>
      </x:c>
      <x:c r="Y24" s="141" t="n">
        <x:f>IF(AND($A24&gt;=Premissas!$B$48,$A24-Premissas!$B$48+1&lt;=Premissas!$B$13),INDEX(Amortizacao!$K$6:$K$485,$A24-Premissas!$B$48+1),0)</x:f>
        <x:v>7000</x:v>
      </x:c>
      <x:c r="Z24" s="141" t="n">
        <x:f>IF(AND(TRUE,Premissas!$B$11="Imovel",Premissas!$B$47="Moradia",$A24&lt;MAX(Premissas!$B$48,Premissas!$B$49)),$D24,0)</x:f>
        <x:v>0</x:v>
      </x:c>
      <x:c r="AA24" s="141" t="n">
        <x:f>IF(AND(TRUE,Premissas!$B$11="Imovel",Premissas!$B$47="Investimento",$A24&gt;=MAX(Premissas!$B$48,Premissas!$B$49)),$E24,0)</x:f>
        <x:v>678.4000000000001</x:v>
      </x:c>
      <x:c r="AB24" s="141" t="n">
        <x:f>X24+Y24+Z24</x:f>
        <x:v>7000</x:v>
      </x:c>
      <x:c r="AC24" s="141" t="n">
        <x:f>AA24</x:f>
        <x:v>678.4000000000001</x:v>
      </x:c>
      <x:c r="AD24" s="141" t="n">
        <x:f>$C24+AC24-AB24</x:f>
        <x:v>678.3999999999996</x:v>
      </x:c>
      <x:c r="AE24" s="141" t="n">
        <x:f>AH23*(1+Premissas!$B$41)+AD24</x:f>
        <x:v>74167.0392326405</x:v>
      </x:c>
      <x:c r="AF24" s="141" t="n">
        <x:f>MAX(0,-AE24)</x:f>
        <x:v>0</x:v>
      </x:c>
      <x:c r="AG24" s="141" t="n">
        <x:f>AG23*(1+Premissas!$B$41)+AF24</x:f>
        <x:v>0</x:v>
      </x:c>
      <x:c r="AH24" s="141" t="n">
        <x:f>MAX(0,AE24)</x:f>
        <x:v>74167.0392326405</x:v>
      </x:c>
      <x:c r="AI24" s="141" t="n">
        <x:f>IF(AND($A24&gt;=Premissas!$B$48,$A24-Premissas!$B$48+1&lt;=Premissas!$B$13),INDEX(Amortizacao!$L$6:$L$485,$A24-Premissas!$B$48+1),0)</x:f>
        <x:v>43181.579753573</x:v>
      </x:c>
      <x:c r="AJ24" s="141" t="n">
        <x:f>IF($A24&gt;=Premissas!$B$48,$F24,0)</x:f>
        <x:v>219329.78639556692</x:v>
      </x:c>
      <x:c r="AK24" s="141" t="n">
        <x:f>AH24+AJ24-AI24</x:f>
        <x:v>250315.24587463442</x:v>
      </x:c>
      <x:c r="AL24" s="141" t="n">
        <x:f>IF(AG24&gt;1,"Inviavel",AK24)</x:f>
        <x:v>250315.24587463442</x:v>
      </x:c>
      <x:c r="AM24" s="141" t="str">
        <x:f>IF(AG24&gt;1,"Inviavel","OK")</x:f>
        <x:v>OK</x:v>
      </x:c>
      <x:c r="AN24" s="141" t="n">
        <x:f>IF($A24=Premissas!$B$48,Premissas!$B$8,0)</x:f>
        <x:v>0</x:v>
      </x:c>
      <x:c r="AO24" s="141" t="n">
        <x:f>IF($A24&lt;=Premissas!$B$25,INDEX('Consorcio IQ'!$K$6:$K$485,$A24),0)</x:f>
        <x:v>2585.1722711704588</x:v>
      </x:c>
      <x:c r="AP24" s="141" t="n">
        <x:f>IF(AND(TRUE,Premissas!$B$11="Imovel",Premissas!$B$47="Moradia",$A24&lt;MAX(Premissas!$B$48,Premissas!$B$49)),$D24,0)</x:f>
        <x:v>0</x:v>
      </x:c>
      <x:c r="AQ24" s="141" t="n">
        <x:f>IF(AND(TRUE,Premissas!$B$11="Imovel",Premissas!$B$47="Investimento",$A24&gt;=MAX(Premissas!$B$48,Premissas!$B$49)),$E24,0)</x:f>
        <x:v>678.4000000000001</x:v>
      </x:c>
      <x:c r="AR24" s="141" t="n">
        <x:f>AN24+AO24+AP24</x:f>
        <x:v>2585.1722711704588</x:v>
      </x:c>
      <x:c r="AS24" s="141" t="n">
        <x:f>AQ24</x:f>
        <x:v>678.4000000000001</x:v>
      </x:c>
      <x:c r="AT24" s="141" t="n">
        <x:f>$C24+AS24-AR24</x:f>
        <x:v>5093.227728829541</x:v>
      </x:c>
      <x:c r="AU24" s="141" t="n">
        <x:f>AX23*(1+Premissas!$B$41)+AT24</x:f>
        <x:v>170584.53768813462</x:v>
      </x:c>
      <x:c r="AV24" s="141" t="n">
        <x:f>MAX(0,-AU24)</x:f>
        <x:v>0</x:v>
      </x:c>
      <x:c r="AW24" s="141" t="n">
        <x:f>AW23*(1+Premissas!$B$41)+AV24</x:f>
        <x:v>0</x:v>
      </x:c>
      <x:c r="AX24" s="141" t="n">
        <x:f>MAX(0,AU24)</x:f>
        <x:v>170584.53768813462</x:v>
      </x:c>
      <x:c r="AY24" s="141" t="n">
        <x:f>INDEX('Consorcio IQ'!$P$6:$P$485,$A24)</x:f>
        <x:v>236548.96864394465</x:v>
      </x:c>
      <x:c r="AZ24" s="141" t="n">
        <x:f>IF($A24&gt;=Premissas!$B$48,$F24,0)+IF($A24&lt;Premissas!$B$27,INDEX('Consorcio IQ'!$O$6:$O$485,$A24),0)</x:f>
        <x:v>313326.596914988</x:v>
      </x:c>
      <x:c r="BA24" s="141" t="n">
        <x:f>AX24+AZ24-AY24</x:f>
        <x:v>247362.16595917795</x:v>
      </x:c>
      <x:c r="BB24" s="141" t="n">
        <x:f>IF(AW24&gt;1,"Inviavel",BA24)</x:f>
        <x:v>247362.16595917795</x:v>
      </x:c>
      <x:c r="BC24" s="141" t="str">
        <x:f>IF(AW24&gt;1,"Inviavel","OK")</x:f>
        <x:v>OK</x:v>
      </x:c>
      <x:c r="BD24" s="141" t="n">
        <x:f>IF($A24='Consorcio Direto'!$B$29,'Consorcio Direto'!$B$44,0)</x:f>
        <x:v>0</x:v>
      </x:c>
      <x:c r="BE24" s="141" t="n">
        <x:f>IF($A24&lt;='Consorcio Direto'!$B$27,INDEX('Consorcio Direto'!$E$55:$E$534,$A24),0)</x:f>
        <x:v>1565.855076791275</x:v>
      </x:c>
      <x:c r="BF24" s="141" t="n">
        <x:f>IF(AND(TRUE,Premissas!$B$11="Imovel",Premissas!$B$47="Moradia",$A24&lt;MAX('Consorcio Direto'!$B$29,Premissas!$B$49)),$D24,0)</x:f>
        <x:v>0</x:v>
      </x:c>
      <x:c r="BG24" s="141" t="n">
        <x:f>IF(AND(TRUE,Premissas!$B$11="Imovel",Premissas!$B$47="Investimento",$A24&gt;=MAX('Consorcio Direto'!$B$29,Premissas!$B$49)),$E24,0)</x:f>
        <x:v>0</x:v>
      </x:c>
      <x:c r="BH24" s="141" t="n">
        <x:f>BD24+BE24+BF24</x:f>
        <x:v>1565.855076791275</x:v>
      </x:c>
      <x:c r="BI24" s="141" t="n">
        <x:f>BG24</x:f>
        <x:v>0</x:v>
      </x:c>
      <x:c r="BJ24" s="141" t="n">
        <x:f>$C24+BI24-BH24</x:f>
        <x:v>5434.144923208725</x:v>
      </x:c>
      <x:c r="BK24" s="141" t="n">
        <x:f>BN23*(1+Premissas!$B$41)+BJ24</x:f>
        <x:v>227958.7205320366</x:v>
      </x:c>
      <x:c r="BL24" s="141" t="n">
        <x:f>MAX(0,-BK24)</x:f>
        <x:v>0</x:v>
      </x:c>
      <x:c r="BM24" s="141" t="n">
        <x:f>BM23*(1+Premissas!$B$41)+BL24</x:f>
        <x:v>0</x:v>
      </x:c>
      <x:c r="BN24" s="141" t="n">
        <x:f>MAX(0,BK24)</x:f>
        <x:v>227958.7205320366</x:v>
      </x:c>
      <x:c r="BO24" s="141" t="n">
        <x:f>INDEX('Consorcio Direto'!$K$55:$K$534,$A24)</x:f>
        <x:v>217953.1424064941</x:v>
      </x:c>
      <x:c r="BP24" s="141" t="n">
        <x:f>IF($A24&lt;'Consorcio Direto'!$B$29,INDEX('Consorcio Direto'!$L$55:$L$534,$A24),$F24)</x:f>
        <x:v>182553.60948108352</x:v>
      </x:c>
      <x:c r="BQ24" s="141" t="n">
        <x:f>BN24+BP24-BO24</x:f>
        <x:v>192559.187606626</x:v>
      </x:c>
      <x:c r="BR24" s="141" t="n">
        <x:f>IF(BM24&gt;1,"Inviavel",BQ24)</x:f>
        <x:v>192559.187606626</x:v>
      </x:c>
      <x:c r="BS24" s="141" t="str">
        <x:f>IF(BM24&gt;1,"Inviavel","OK")</x:f>
        <x:v>OK</x:v>
      </x:c>
      <x:c r="BT24" s="141" t="n">
        <x:f>IF(AND('Carta Contemplada'!$B$22="Sim",$A24='Carta Contemplada'!$B$23),'Carta Contemplada'!$B$37,0)</x:f>
        <x:v>0</x:v>
      </x:c>
      <x:c r="BU24" s="141" t="n">
        <x:f>IF('Carta Contemplada'!$B$22="Sim",INDEX('Carta Contemplada'!$C$55:$C$1013,$A24),0)</x:f>
        <x:v>1272</x:v>
      </x:c>
      <x:c r="BV24" s="141" t="n">
        <x:f>IF(AND('Carta Contemplada'!$B$22="Sim",Premissas!$B$11="Imovel",Premissas!$B$47="Moradia",$A24&lt;MAX('Carta Contemplada'!$B$44,Premissas!$B$49)),$D24,0)</x:f>
        <x:v>0</x:v>
      </x:c>
      <x:c r="BW24" s="141" t="n">
        <x:f>IF(AND('Carta Contemplada'!$B$22="Sim",Premissas!$B$11="Imovel",Premissas!$B$47="Investimento",$A24&gt;=MAX('Carta Contemplada'!$B$44,Premissas!$B$49)),$E24,0)</x:f>
        <x:v>678.4000000000001</x:v>
      </x:c>
      <x:c r="BX24" s="141" t="n">
        <x:f>BT24+BU24+BV24</x:f>
        <x:v>1272</x:v>
      </x:c>
      <x:c r="BY24" s="141" t="n">
        <x:f>BW24</x:f>
        <x:v>678.4000000000001</x:v>
      </x:c>
      <x:c r="BZ24" s="141" t="n">
        <x:f>$C24+BY24-BX24</x:f>
        <x:v>6406.4</x:v>
      </x:c>
      <x:c r="CA24" s="141" t="n">
        <x:f>CD23*(1+Premissas!$B$41)+BZ24</x:f>
        <x:v>192272.46736624037</x:v>
      </x:c>
      <x:c r="CB24" s="141" t="n">
        <x:f>MAX(0,-CA24)</x:f>
        <x:v>0</x:v>
      </x:c>
      <x:c r="CC24" s="141" t="n">
        <x:f>CC23*(1+Premissas!$B$41)+CB24</x:f>
        <x:v>0</x:v>
      </x:c>
      <x:c r="CD24" s="141" t="n">
        <x:f>MAX(0,CA24)</x:f>
        <x:v>192272.46736624037</x:v>
      </x:c>
      <x:c r="CE24" s="141" t="n">
        <x:f>IF(AND('Carta Contemplada'!$B$22="Sim",$A24&gt;='Carta Contemplada'!$B$23),INDEX('Carta Contemplada'!$I$55:$I$1013,$A24),0)</x:f>
        <x:v>144859.51850435787</x:v>
      </x:c>
      <x:c r="CF24" s="141" t="n">
        <x:f>IF(AND('Carta Contemplada'!$B$22="Sim",$A24&gt;='Carta Contemplada'!$B$44),$F24,0)</x:f>
        <x:v>219329.78639556692</x:v>
      </x:c>
      <x:c r="CG24" s="141" t="n">
        <x:f>CD24+CF24-CE24</x:f>
        <x:v>266742.73525744944</x:v>
      </x:c>
      <x:c r="CH24" s="141" t="n">
        <x:f>IF(CC24&gt;1,"Inviavel",CG24)</x:f>
        <x:v>266742.73525744944</x:v>
      </x:c>
      <x:c r="CI24" s="145" t="str">
        <x:f>IF(CC24&gt;1,"Inviavel","OK")</x:f>
        <x:v>OK</x:v>
      </x:c>
    </x:row>
    <x:row r="25">
      <x:c r="A25" s="142" t="n">
        <x:v>21</x:v>
      </x:c>
      <x:c r="B25" s="179" t="n">
        <x:f>EDATE(Premissas!$B$4,A25-1)</x:f>
        <x:v>47150</x:v>
      </x:c>
      <x:c r="C25" s="141" t="n">
        <x:f>IF(A25&lt;=Premissas!$B$39,Premissas!$B$42,0)</x:f>
        <x:v>7000</x:v>
      </x:c>
      <x:c r="D25" s="141" t="n">
        <x:f>Premissas!$B$54*(1+Premissas!$B$57)^INT((A25-1)/12)</x:f>
        <x:v>742</x:v>
      </x:c>
      <x:c r="E25" s="141" t="n">
        <x:f>Premissas!$B$64*(1+Premissas!$B$57)^INT((A25-1)/12)</x:f>
        <x:v>678.4000000000001</x:v>
      </x:c>
      <x:c r="F25" s="141" t="n">
        <x:f>MAX(0,Premissas!$B$6*(1+Premissas!$B$66)^((A25-1)/12))</x:f>
        <x:v>220397.38522133318</x:v>
      </x:c>
      <x:c r="G25" s="141" t="n">
        <x:f>G24*(1+Premissas!$B$41)+C25</x:f>
        <x:v>270534.51301445253</x:v>
      </x:c>
      <x:c r="H25" s="141" t="n">
        <x:f>IF($A25=Premissas!$B$48,Premissas!$B$8,0)</x:f>
        <x:v>0</x:v>
      </x:c>
      <x:c r="I25" s="141" t="n">
        <x:f>IF(AND($A25&gt;=Premissas!$B$48,$A25-Premissas!$B$48+1&lt;=Premissas!$B$13),INDEX(Financiamento!$J$6:$J$485,$A25-Premissas!$B$48+1),0)</x:f>
        <x:v>1976.8636852698007</x:v>
      </x:c>
      <x:c r="J25" s="141" t="n">
        <x:f>IF(AND(TRUE,Premissas!$B$11="Imovel",Premissas!$B$47="Moradia",$A25&lt;MAX(Premissas!$B$48,Premissas!$B$49)),$D25,0)</x:f>
        <x:v>0</x:v>
      </x:c>
      <x:c r="K25" s="141" t="n">
        <x:f>IF(AND(TRUE,Premissas!$B$11="Imovel",Premissas!$B$47="Investimento",$A25&gt;=MAX(Premissas!$B$48,Premissas!$B$49)),$E25,0)</x:f>
        <x:v>678.4000000000001</x:v>
      </x:c>
      <x:c r="L25" s="141" t="n">
        <x:f>H25+I25+J25</x:f>
        <x:v>1976.8636852698007</x:v>
      </x:c>
      <x:c r="M25" s="141" t="n">
        <x:f>K25</x:f>
        <x:v>678.4000000000001</x:v>
      </x:c>
      <x:c r="N25" s="141" t="n">
        <x:f>$C25+M25-L25</x:f>
        <x:v>5701.536314730199</x:v>
      </x:c>
      <x:c r="O25" s="141" t="n">
        <x:f>R24*(1+Premissas!$B$41)+N25</x:f>
        <x:v>190807.87408804736</x:v>
      </x:c>
      <x:c r="P25" s="141" t="n">
        <x:f>MAX(0,-O25)</x:f>
        <x:v>0</x:v>
      </x:c>
      <x:c r="Q25" s="141" t="n">
        <x:f>Q24*(1+Premissas!$B$41)+P25</x:f>
        <x:v>0</x:v>
      </x:c>
      <x:c r="R25" s="141" t="n">
        <x:f>MAX(0,O25)</x:f>
        <x:v>190807.87408804736</x:v>
      </x:c>
      <x:c r="S25" s="141" t="n">
        <x:f>IF(AND($A25&gt;=Premissas!$B$48,$A25-Premissas!$B$48+1&lt;=Premissas!$B$13),INDEX(Financiamento!$M$6:$M$485,$A25-Premissas!$B$48+1),0)</x:f>
        <x:v>152000.0000000003</x:v>
      </x:c>
      <x:c r="T25" s="141" t="n">
        <x:f>IF($A25&gt;=Premissas!$B$48,$F25,0)</x:f>
        <x:v>220397.38522133318</x:v>
      </x:c>
      <x:c r="U25" s="141" t="n">
        <x:f>R25+T25-S25</x:f>
        <x:v>259205.25930938026</x:v>
      </x:c>
      <x:c r="V25" s="141" t="n">
        <x:f>IF(Q25&gt;1,"Inviavel",U25)</x:f>
        <x:v>259205.25930938026</x:v>
      </x:c>
      <x:c r="W25" s="141" t="str">
        <x:f>IF(Q25&gt;1,"Inviavel","OK")</x:f>
        <x:v>OK</x:v>
      </x:c>
      <x:c r="X25" s="141" t="n">
        <x:f>IF($A25=Premissas!$B$48,Premissas!$B$8,0)</x:f>
        <x:v>0</x:v>
      </x:c>
      <x:c r="Y25" s="141" t="n">
        <x:f>IF(AND($A25&gt;=Premissas!$B$48,$A25-Premissas!$B$48+1&lt;=Premissas!$B$13),INDEX(Amortizacao!$K$6:$K$485,$A25-Premissas!$B$48+1),0)</x:f>
        <x:v>7000</x:v>
      </x:c>
      <x:c r="Z25" s="141" t="n">
        <x:f>IF(AND(TRUE,Premissas!$B$11="Imovel",Premissas!$B$47="Moradia",$A25&lt;MAX(Premissas!$B$48,Premissas!$B$49)),$D25,0)</x:f>
        <x:v>0</x:v>
      </x:c>
      <x:c r="AA25" s="141" t="n">
        <x:f>IF(AND(TRUE,Premissas!$B$11="Imovel",Premissas!$B$47="Investimento",$A25&gt;=MAX(Premissas!$B$48,Premissas!$B$49)),$E25,0)</x:f>
        <x:v>678.4000000000001</x:v>
      </x:c>
      <x:c r="AB25" s="141" t="n">
        <x:f>X25+Y25+Z25</x:f>
        <x:v>7000</x:v>
      </x:c>
      <x:c r="AC25" s="141" t="n">
        <x:f>AA25</x:f>
        <x:v>678.4000000000001</x:v>
      </x:c>
      <x:c r="AD25" s="141" t="n">
        <x:f>$C25+AC25-AB25</x:f>
        <x:v>678.3999999999996</x:v>
      </x:c>
      <x:c r="AE25" s="141" t="n">
        <x:f>AH24*(1+Premissas!$B$41)+AD25</x:f>
        <x:v>75549.19491049011</x:v>
      </x:c>
      <x:c r="AF25" s="141" t="n">
        <x:f>MAX(0,-AE25)</x:f>
        <x:v>0</x:v>
      </x:c>
      <x:c r="AG25" s="141" t="n">
        <x:f>AG24*(1+Premissas!$B$41)+AF25</x:f>
        <x:v>0</x:v>
      </x:c>
      <x:c r="AH25" s="141" t="n">
        <x:f>MAX(0,AE25)</x:f>
        <x:v>75549.19491049011</x:v>
      </x:c>
      <x:c r="AI25" s="141" t="n">
        <x:f>IF(AND($A25&gt;=Premissas!$B$48,$A25-Premissas!$B$48+1&lt;=Premissas!$B$13),INDEX(Amortizacao!$L$6:$L$485,$A25-Premissas!$B$48+1),0)</x:f>
        <x:v>36741.32082244284</x:v>
      </x:c>
      <x:c r="AJ25" s="141" t="n">
        <x:f>IF($A25&gt;=Premissas!$B$48,$F25,0)</x:f>
        <x:v>220397.38522133318</x:v>
      </x:c>
      <x:c r="AK25" s="141" t="n">
        <x:f>AH25+AJ25-AI25</x:f>
        <x:v>259205.2593093805</x:v>
      </x:c>
      <x:c r="AL25" s="141" t="n">
        <x:f>IF(AG25&gt;1,"Inviavel",AK25)</x:f>
        <x:v>259205.2593093805</x:v>
      </x:c>
      <x:c r="AM25" s="141" t="str">
        <x:f>IF(AG25&gt;1,"Inviavel","OK")</x:f>
        <x:v>OK</x:v>
      </x:c>
      <x:c r="AN25" s="141" t="n">
        <x:f>IF($A25=Premissas!$B$48,Premissas!$B$8,0)</x:f>
        <x:v>0</x:v>
      </x:c>
      <x:c r="AO25" s="141" t="n">
        <x:f>IF($A25&lt;=Premissas!$B$25,INDEX('Consorcio IQ'!$K$6:$K$485,$A25),0)</x:f>
        <x:v>2581.5574929096656</x:v>
      </x:c>
      <x:c r="AP25" s="141" t="n">
        <x:f>IF(AND(TRUE,Premissas!$B$11="Imovel",Premissas!$B$47="Moradia",$A25&lt;MAX(Premissas!$B$48,Premissas!$B$49)),$D25,0)</x:f>
        <x:v>0</x:v>
      </x:c>
      <x:c r="AQ25" s="141" t="n">
        <x:f>IF(AND(TRUE,Premissas!$B$11="Imovel",Premissas!$B$47="Investimento",$A25&gt;=MAX(Premissas!$B$48,Premissas!$B$49)),$E25,0)</x:f>
        <x:v>678.4000000000001</x:v>
      </x:c>
      <x:c r="AR25" s="141" t="n">
        <x:f>AN25+AO25+AP25</x:f>
        <x:v>2581.5574929096656</x:v>
      </x:c>
      <x:c r="AS25" s="141" t="n">
        <x:f>AQ25</x:f>
        <x:v>678.4000000000001</x:v>
      </x:c>
      <x:c r="AT25" s="141" t="n">
        <x:f>$C25+AS25-AR25</x:f>
        <x:v>5096.842507090334</x:v>
      </x:c>
      <x:c r="AU25" s="141" t="n">
        <x:f>AX24*(1+Premissas!$B$41)+AT25</x:f>
        <x:v>177300.02155118925</x:v>
      </x:c>
      <x:c r="AV25" s="141" t="n">
        <x:f>MAX(0,-AU25)</x:f>
        <x:v>0</x:v>
      </x:c>
      <x:c r="AW25" s="141" t="n">
        <x:f>AW24*(1+Premissas!$B$41)+AV25</x:f>
        <x:v>0</x:v>
      </x:c>
      <x:c r="AX25" s="141" t="n">
        <x:f>MAX(0,AU25)</x:f>
        <x:v>177300.02155118925</x:v>
      </x:c>
      <x:c r="AY25" s="141" t="n">
        <x:f>INDEX('Consorcio IQ'!$P$6:$P$485,$A25)</x:f>
        <x:v>236361.97533338657</x:v>
      </x:c>
      <x:c r="AZ25" s="141" t="n">
        <x:f>IF($A25&gt;=Premissas!$B$48,$F25,0)+IF($A25&lt;Premissas!$B$27,INDEX('Consorcio IQ'!$O$6:$O$485,$A25),0)</x:f>
        <x:v>315286.11201228434</x:v>
      </x:c>
      <x:c r="BA25" s="141" t="n">
        <x:f>AX25+AZ25-AY25</x:f>
        <x:v>256224.15823008702</x:v>
      </x:c>
      <x:c r="BB25" s="141" t="n">
        <x:f>IF(AW25&gt;1,"Inviavel",BA25)</x:f>
        <x:v>256224.15823008702</x:v>
      </x:c>
      <x:c r="BC25" s="141" t="str">
        <x:f>IF(AW25&gt;1,"Inviavel","OK")</x:f>
        <x:v>OK</x:v>
      </x:c>
      <x:c r="BD25" s="141" t="n">
        <x:f>IF($A25='Consorcio Direto'!$B$29,'Consorcio Direto'!$B$44,0)</x:f>
        <x:v>0</x:v>
      </x:c>
      <x:c r="BE25" s="141" t="n">
        <x:f>IF($A25&lt;='Consorcio Direto'!$B$27,INDEX('Consorcio Direto'!$E$55:$E$534,$A25),0)</x:f>
        <x:v>1565.855076791275</x:v>
      </x:c>
      <x:c r="BF25" s="141" t="n">
        <x:f>IF(AND(TRUE,Premissas!$B$11="Imovel",Premissas!$B$47="Moradia",$A25&lt;MAX('Consorcio Direto'!$B$29,Premissas!$B$49)),$D25,0)</x:f>
        <x:v>0</x:v>
      </x:c>
      <x:c r="BG25" s="141" t="n">
        <x:f>IF(AND(TRUE,Premissas!$B$11="Imovel",Premissas!$B$47="Investimento",$A25&gt;=MAX('Consorcio Direto'!$B$29,Premissas!$B$49)),$E25,0)</x:f>
        <x:v>0</x:v>
      </x:c>
      <x:c r="BH25" s="141" t="n">
        <x:f>BD25+BE25+BF25</x:f>
        <x:v>1565.855076791275</x:v>
      </x:c>
      <x:c r="BI25" s="141" t="n">
        <x:f>BG25</x:f>
        <x:v>0</x:v>
      </x:c>
      <x:c r="BJ25" s="141" t="n">
        <x:f>$C25+BI25-BH25</x:f>
        <x:v>5434.144923208725</x:v>
      </x:c>
      <x:c r="BK25" s="141" t="n">
        <x:f>BN24*(1+Premissas!$B$41)+BJ25</x:f>
        <x:v>235555.91855200627</x:v>
      </x:c>
      <x:c r="BL25" s="141" t="n">
        <x:f>MAX(0,-BK25)</x:f>
        <x:v>0</x:v>
      </x:c>
      <x:c r="BM25" s="141" t="n">
        <x:f>BM24*(1+Premissas!$B$41)+BL25</x:f>
        <x:v>0</x:v>
      </x:c>
      <x:c r="BN25" s="141" t="n">
        <x:f>MAX(0,BK25)</x:f>
        <x:v>235555.91855200627</x:v>
      </x:c>
      <x:c r="BO25" s="141" t="n">
        <x:f>INDEX('Consorcio Direto'!$K$55:$K$534,$A25)</x:f>
        <x:v>218455.39956743972</x:v>
      </x:c>
      <x:c r="BP25" s="141" t="n">
        <x:f>IF($A25&lt;'Consorcio Direto'!$B$29,INDEX('Consorcio Direto'!$L$55:$L$534,$A25),$F25)</x:f>
        <x:v>184285.82288091024</x:v>
      </x:c>
      <x:c r="BQ25" s="141" t="n">
        <x:f>BN25+BP25-BO25</x:f>
        <x:v>201386.34186547677</x:v>
      </x:c>
      <x:c r="BR25" s="141" t="n">
        <x:f>IF(BM25&gt;1,"Inviavel",BQ25)</x:f>
        <x:v>201386.34186547677</x:v>
      </x:c>
      <x:c r="BS25" s="141" t="str">
        <x:f>IF(BM25&gt;1,"Inviavel","OK")</x:f>
        <x:v>OK</x:v>
      </x:c>
      <x:c r="BT25" s="141" t="n">
        <x:f>IF(AND('Carta Contemplada'!$B$22="Sim",$A25='Carta Contemplada'!$B$23),'Carta Contemplada'!$B$37,0)</x:f>
        <x:v>0</x:v>
      </x:c>
      <x:c r="BU25" s="141" t="n">
        <x:f>IF('Carta Contemplada'!$B$22="Sim",INDEX('Carta Contemplada'!$C$55:$C$1013,$A25),0)</x:f>
        <x:v>1272</x:v>
      </x:c>
      <x:c r="BV25" s="141" t="n">
        <x:f>IF(AND('Carta Contemplada'!$B$22="Sim",Premissas!$B$11="Imovel",Premissas!$B$47="Moradia",$A25&lt;MAX('Carta Contemplada'!$B$44,Premissas!$B$49)),$D25,0)</x:f>
        <x:v>0</x:v>
      </x:c>
      <x:c r="BW25" s="141" t="n">
        <x:f>IF(AND('Carta Contemplada'!$B$22="Sim",Premissas!$B$11="Imovel",Premissas!$B$47="Investimento",$A25&gt;=MAX('Carta Contemplada'!$B$44,Premissas!$B$49)),$E25,0)</x:f>
        <x:v>678.4000000000001</x:v>
      </x:c>
      <x:c r="BX25" s="141" t="n">
        <x:f>BT25+BU25+BV25</x:f>
        <x:v>1272</x:v>
      </x:c>
      <x:c r="BY25" s="141" t="n">
        <x:f>BW25</x:f>
        <x:v>678.4000000000001</x:v>
      </x:c>
      <x:c r="BZ25" s="141" t="n">
        <x:f>$C25+BY25-BX25</x:f>
        <x:v>6406.4</x:v>
      </x:c>
      <x:c r="CA25" s="141" t="n">
        <x:f>CD24*(1+Premissas!$B$41)+BZ25</x:f>
        <x:v>200503.30099609998</x:v>
      </x:c>
      <x:c r="CB25" s="141" t="n">
        <x:f>MAX(0,-CA25)</x:f>
        <x:v>0</x:v>
      </x:c>
      <x:c r="CC25" s="141" t="n">
        <x:f>CC24*(1+Premissas!$B$41)+CB25</x:f>
        <x:v>0</x:v>
      </x:c>
      <x:c r="CD25" s="141" t="n">
        <x:f>MAX(0,CA25)</x:f>
        <x:v>200503.30099609998</x:v>
      </x:c>
      <x:c r="CE25" s="141" t="n">
        <x:f>IF(AND('Carta Contemplada'!$B$22="Sim",$A25&gt;='Carta Contemplada'!$B$23),INDEX('Carta Contemplada'!$I$55:$I$1013,$A25),0)</x:f>
        <x:v>144962.0604800491</x:v>
      </x:c>
      <x:c r="CF25" s="141" t="n">
        <x:f>IF(AND('Carta Contemplada'!$B$22="Sim",$A25&gt;='Carta Contemplada'!$B$44),$F25,0)</x:f>
        <x:v>220397.38522133318</x:v>
      </x:c>
      <x:c r="CG25" s="141" t="n">
        <x:f>CD25+CF25-CE25</x:f>
        <x:v>275938.6257373841</x:v>
      </x:c>
      <x:c r="CH25" s="141" t="n">
        <x:f>IF(CC25&gt;1,"Inviavel",CG25)</x:f>
        <x:v>275938.6257373841</x:v>
      </x:c>
      <x:c r="CI25" s="145" t="str">
        <x:f>IF(CC25&gt;1,"Inviavel","OK")</x:f>
        <x:v>OK</x:v>
      </x:c>
    </x:row>
    <x:row r="26">
      <x:c r="A26" s="142" t="n">
        <x:v>22</x:v>
      </x:c>
      <x:c r="B26" s="179" t="n">
        <x:f>EDATE(Premissas!$B$4,A26-1)</x:f>
        <x:v>47178</x:v>
      </x:c>
      <x:c r="C26" s="141" t="n">
        <x:f>IF(A26&lt;=Premissas!$B$39,Premissas!$B$42,0)</x:f>
        <x:v>7000</x:v>
      </x:c>
      <x:c r="D26" s="141" t="n">
        <x:f>Premissas!$B$54*(1+Premissas!$B$57)^INT((A26-1)/12)</x:f>
        <x:v>742</x:v>
      </x:c>
      <x:c r="E26" s="141" t="n">
        <x:f>Premissas!$B$64*(1+Premissas!$B$57)^INT((A26-1)/12)</x:f>
        <x:v>678.4000000000001</x:v>
      </x:c>
      <x:c r="F26" s="141" t="n">
        <x:f>MAX(0,Premissas!$B$6*(1+Premissas!$B$66)^((A26-1)/12))</x:f>
        <x:v>221470.18063836743</x:v>
      </x:c>
      <x:c r="G26" s="141" t="n">
        <x:f>G25*(1+Premissas!$B$41)+C26</x:f>
        <x:v>280101.55899010494</x:v>
      </x:c>
      <x:c r="H26" s="141" t="n">
        <x:f>IF($A26=Premissas!$B$48,Premissas!$B$8,0)</x:f>
        <x:v>0</x:v>
      </x:c>
      <x:c r="I26" s="141" t="n">
        <x:f>IF(AND($A26&gt;=Premissas!$B$48,$A26-Premissas!$B$48+1&lt;=Premissas!$B$13),INDEX(Financiamento!$J$6:$J$485,$A26-Premissas!$B$48+1),0)</x:f>
        <x:v>1973.2489070090073</x:v>
      </x:c>
      <x:c r="J26" s="141" t="n">
        <x:f>IF(AND(TRUE,Premissas!$B$11="Imovel",Premissas!$B$47="Moradia",$A26&lt;MAX(Premissas!$B$48,Premissas!$B$49)),$D26,0)</x:f>
        <x:v>0</x:v>
      </x:c>
      <x:c r="K26" s="141" t="n">
        <x:f>IF(AND(TRUE,Premissas!$B$11="Imovel",Premissas!$B$47="Investimento",$A26&gt;=MAX(Premissas!$B$48,Premissas!$B$49)),$E26,0)</x:f>
        <x:v>678.4000000000001</x:v>
      </x:c>
      <x:c r="L26" s="141" t="n">
        <x:f>H26+I26+J26</x:f>
        <x:v>1973.2489070090073</x:v>
      </x:c>
      <x:c r="M26" s="141" t="n">
        <x:f>K26</x:f>
        <x:v>678.4000000000001</x:v>
      </x:c>
      <x:c r="N26" s="141" t="n">
        <x:f>$C26+M26-L26</x:f>
        <x:v>5705.151092990993</x:v>
      </x:c>
      <x:c r="O26" s="141" t="n">
        <x:f>R25*(1+Premissas!$B$41)+N26</x:f>
        <x:v>198323.56158854783</x:v>
      </x:c>
      <x:c r="P26" s="141" t="n">
        <x:f>MAX(0,-O26)</x:f>
        <x:v>0</x:v>
      </x:c>
      <x:c r="Q26" s="141" t="n">
        <x:f>Q25*(1+Premissas!$B$41)+P26</x:f>
        <x:v>0</x:v>
      </x:c>
      <x:c r="R26" s="141" t="n">
        <x:f>MAX(0,O26)</x:f>
        <x:v>198323.56158854783</x:v>
      </x:c>
      <x:c r="S26" s="141" t="n">
        <x:f>IF(AND($A26&gt;=Premissas!$B$48,$A26-Premissas!$B$48+1&lt;=Premissas!$B$13),INDEX(Financiamento!$M$6:$M$485,$A26-Premissas!$B$48+1),0)</x:f>
        <x:v>151619.0476190479</x:v>
      </x:c>
      <x:c r="T26" s="141" t="n">
        <x:f>IF($A26&gt;=Premissas!$B$48,$F26,0)</x:f>
        <x:v>221470.18063836743</x:v>
      </x:c>
      <x:c r="U26" s="141" t="n">
        <x:f>R26+T26-S26</x:f>
        <x:v>268174.6946078674</x:v>
      </x:c>
      <x:c r="V26" s="141" t="n">
        <x:f>IF(Q26&gt;1,"Inviavel",U26)</x:f>
        <x:v>268174.6946078674</x:v>
      </x:c>
      <x:c r="W26" s="141" t="str">
        <x:f>IF(Q26&gt;1,"Inviavel","OK")</x:f>
        <x:v>OK</x:v>
      </x:c>
      <x:c r="X26" s="141" t="n">
        <x:f>IF($A26=Premissas!$B$48,Premissas!$B$8,0)</x:f>
        <x:v>0</x:v>
      </x:c>
      <x:c r="Y26" s="141" t="n">
        <x:f>IF(AND($A26&gt;=Premissas!$B$48,$A26-Premissas!$B$48+1&lt;=Premissas!$B$13),INDEX(Amortizacao!$K$6:$K$485,$A26-Premissas!$B$48+1),0)</x:f>
        <x:v>7000</x:v>
      </x:c>
      <x:c r="Z26" s="141" t="n">
        <x:f>IF(AND(TRUE,Premissas!$B$11="Imovel",Premissas!$B$47="Moradia",$A26&lt;MAX(Premissas!$B$48,Premissas!$B$49)),$D26,0)</x:f>
        <x:v>0</x:v>
      </x:c>
      <x:c r="AA26" s="141" t="n">
        <x:f>IF(AND(TRUE,Premissas!$B$11="Imovel",Premissas!$B$47="Investimento",$A26&gt;=MAX(Premissas!$B$48,Premissas!$B$49)),$E26,0)</x:f>
        <x:v>678.4000000000001</x:v>
      </x:c>
      <x:c r="AB26" s="141" t="n">
        <x:f>X26+Y26+Z26</x:f>
        <x:v>7000</x:v>
      </x:c>
      <x:c r="AC26" s="141" t="n">
        <x:f>AA26</x:f>
        <x:v>678.4000000000001</x:v>
      </x:c>
      <x:c r="AD26" s="141" t="n">
        <x:f>$C26+AC26-AB26</x:f>
        <x:v>678.3999999999996</x:v>
      </x:c>
      <x:c r="AE26" s="141" t="n">
        <x:f>AH25*(1+Premissas!$B$41)+AD26</x:f>
        <x:v>76944.46557737021</x:v>
      </x:c>
      <x:c r="AF26" s="141" t="n">
        <x:f>MAX(0,-AE26)</x:f>
        <x:v>0</x:v>
      </x:c>
      <x:c r="AG26" s="141" t="n">
        <x:f>AG25*(1+Premissas!$B$41)+AF26</x:f>
        <x:v>0</x:v>
      </x:c>
      <x:c r="AH26" s="141" t="n">
        <x:f>MAX(0,AE26)</x:f>
        <x:v>76944.46557737021</x:v>
      </x:c>
      <x:c r="AI26" s="141" t="n">
        <x:f>IF(AND($A26&gt;=Premissas!$B$48,$A26-Premissas!$B$48+1&lt;=Premissas!$B$13),INDEX(Amortizacao!$L$6:$L$485,$A26-Premissas!$B$48+1),0)</x:f>
        <x:v>30239.951607870084</x:v>
      </x:c>
      <x:c r="AJ26" s="141" t="n">
        <x:f>IF($A26&gt;=Premissas!$B$48,$F26,0)</x:f>
        <x:v>221470.18063836743</x:v>
      </x:c>
      <x:c r="AK26" s="141" t="n">
        <x:f>AH26+AJ26-AI26</x:f>
        <x:v>268174.6946078675</x:v>
      </x:c>
      <x:c r="AL26" s="141" t="n">
        <x:f>IF(AG26&gt;1,"Inviavel",AK26)</x:f>
        <x:v>268174.6946078675</x:v>
      </x:c>
      <x:c r="AM26" s="141" t="str">
        <x:f>IF(AG26&gt;1,"Inviavel","OK")</x:f>
        <x:v>OK</x:v>
      </x:c>
      <x:c r="AN26" s="141" t="n">
        <x:f>IF($A26=Premissas!$B$48,Premissas!$B$8,0)</x:f>
        <x:v>0</x:v>
      </x:c>
      <x:c r="AO26" s="141" t="n">
        <x:f>IF($A26&lt;=Premissas!$B$25,INDEX('Consorcio IQ'!$K$6:$K$485,$A26),0)</x:f>
        <x:v>2577.9427146488724</x:v>
      </x:c>
      <x:c r="AP26" s="141" t="n">
        <x:f>IF(AND(TRUE,Premissas!$B$11="Imovel",Premissas!$B$47="Moradia",$A26&lt;MAX(Premissas!$B$48,Premissas!$B$49)),$D26,0)</x:f>
        <x:v>0</x:v>
      </x:c>
      <x:c r="AQ26" s="141" t="n">
        <x:f>IF(AND(TRUE,Premissas!$B$11="Imovel",Premissas!$B$47="Investimento",$A26&gt;=MAX(Premissas!$B$48,Premissas!$B$49)),$E26,0)</x:f>
        <x:v>678.4000000000001</x:v>
      </x:c>
      <x:c r="AR26" s="141" t="n">
        <x:f>AN26+AO26+AP26</x:f>
        <x:v>2577.9427146488724</x:v>
      </x:c>
      <x:c r="AS26" s="141" t="n">
        <x:f>AQ26</x:f>
        <x:v>678.4000000000001</x:v>
      </x:c>
      <x:c r="AT26" s="141" t="n">
        <x:f>$C26+AS26-AR26</x:f>
        <x:v>5100.457285351127</x:v>
      </x:c>
      <x:c r="AU26" s="141" t="n">
        <x:f>AX25*(1+Premissas!$B$41)+AT26</x:f>
        <x:v>184082.84202833672</x:v>
      </x:c>
      <x:c r="AV26" s="141" t="n">
        <x:f>MAX(0,-AU26)</x:f>
        <x:v>0</x:v>
      </x:c>
      <x:c r="AW26" s="141" t="n">
        <x:f>AW25*(1+Premissas!$B$41)+AV26</x:f>
        <x:v>0</x:v>
      </x:c>
      <x:c r="AX26" s="141" t="n">
        <x:f>MAX(0,AU26)</x:f>
        <x:v>184082.84202833672</x:v>
      </x:c>
      <x:c r="AY26" s="141" t="n">
        <x:f>INDEX('Consorcio IQ'!$P$6:$P$485,$A26)</x:f>
        <x:v>236176.8224602852</x:v>
      </x:c>
      <x:c r="AZ26" s="141" t="n">
        <x:f>IF($A26&gt;=Premissas!$B$48,$F26,0)+IF($A26&lt;Premissas!$B$27,INDEX('Consorcio IQ'!$O$6:$O$485,$A26),0)</x:f>
        <x:v>317259.2869096641</x:v>
      </x:c>
      <x:c r="BA26" s="141" t="n">
        <x:f>AX26+AZ26-AY26</x:f>
        <x:v>265165.3064777156</x:v>
      </x:c>
      <x:c r="BB26" s="141" t="n">
        <x:f>IF(AW26&gt;1,"Inviavel",BA26)</x:f>
        <x:v>265165.3064777156</x:v>
      </x:c>
      <x:c r="BC26" s="141" t="str">
        <x:f>IF(AW26&gt;1,"Inviavel","OK")</x:f>
        <x:v>OK</x:v>
      </x:c>
      <x:c r="BD26" s="141" t="n">
        <x:f>IF($A26='Consorcio Direto'!$B$29,'Consorcio Direto'!$B$44,0)</x:f>
        <x:v>0</x:v>
      </x:c>
      <x:c r="BE26" s="141" t="n">
        <x:f>IF($A26&lt;='Consorcio Direto'!$B$27,INDEX('Consorcio Direto'!$E$55:$E$534,$A26),0)</x:f>
        <x:v>1565.855076791275</x:v>
      </x:c>
      <x:c r="BF26" s="141" t="n">
        <x:f>IF(AND(TRUE,Premissas!$B$11="Imovel",Premissas!$B$47="Moradia",$A26&lt;MAX('Consorcio Direto'!$B$29,Premissas!$B$49)),$D26,0)</x:f>
        <x:v>0</x:v>
      </x:c>
      <x:c r="BG26" s="141" t="n">
        <x:f>IF(AND(TRUE,Premissas!$B$11="Imovel",Premissas!$B$47="Investimento",$A26&gt;=MAX('Consorcio Direto'!$B$29,Premissas!$B$49)),$E26,0)</x:f>
        <x:v>0</x:v>
      </x:c>
      <x:c r="BH26" s="141" t="n">
        <x:f>BD26+BE26+BF26</x:f>
        <x:v>1565.855076791275</x:v>
      </x:c>
      <x:c r="BI26" s="141" t="n">
        <x:f>BG26</x:f>
        <x:v>0</x:v>
      </x:c>
      <x:c r="BJ26" s="141" t="n">
        <x:f>$C26+BI26-BH26</x:f>
        <x:v>5434.144923208725</x:v>
      </x:c>
      <x:c r="BK26" s="141" t="n">
        <x:f>BN25*(1+Premissas!$B$41)+BJ26</x:f>
        <x:v>243225.2048108705</x:v>
      </x:c>
      <x:c r="BL26" s="141" t="n">
        <x:f>MAX(0,-BK26)</x:f>
        <x:v>0</x:v>
      </x:c>
      <x:c r="BM26" s="141" t="n">
        <x:f>BM25*(1+Premissas!$B$41)+BL26</x:f>
        <x:v>0</x:v>
      </x:c>
      <x:c r="BN26" s="141" t="n">
        <x:f>MAX(0,BK26)</x:f>
        <x:v>243225.2048108705</x:v>
      </x:c>
      <x:c r="BO26" s="141" t="n">
        <x:f>INDEX('Consorcio Direto'!$K$55:$K$534,$A26)</x:f>
        <x:v>218962.42254258547</x:v>
      </x:c>
      <x:c r="BP26" s="141" t="n">
        <x:f>IF($A26&lt;'Consorcio Direto'!$B$29,INDEX('Consorcio Direto'!$L$55:$L$534,$A26),$F26)</x:f>
        <x:v>186034.47289500645</x:v>
      </x:c>
      <x:c r="BQ26" s="141" t="n">
        <x:f>BN26+BP26-BO26</x:f>
        <x:v>210297.25516329147</x:v>
      </x:c>
      <x:c r="BR26" s="141" t="n">
        <x:f>IF(BM26&gt;1,"Inviavel",BQ26)</x:f>
        <x:v>210297.25516329147</x:v>
      </x:c>
      <x:c r="BS26" s="141" t="str">
        <x:f>IF(BM26&gt;1,"Inviavel","OK")</x:f>
        <x:v>OK</x:v>
      </x:c>
      <x:c r="BT26" s="141" t="n">
        <x:f>IF(AND('Carta Contemplada'!$B$22="Sim",$A26='Carta Contemplada'!$B$23),'Carta Contemplada'!$B$37,0)</x:f>
        <x:v>0</x:v>
      </x:c>
      <x:c r="BU26" s="141" t="n">
        <x:f>IF('Carta Contemplada'!$B$22="Sim",INDEX('Carta Contemplada'!$C$55:$C$1013,$A26),0)</x:f>
        <x:v>1272</x:v>
      </x:c>
      <x:c r="BV26" s="141" t="n">
        <x:f>IF(AND('Carta Contemplada'!$B$22="Sim",Premissas!$B$11="Imovel",Premissas!$B$47="Moradia",$A26&lt;MAX('Carta Contemplada'!$B$44,Premissas!$B$49)),$D26,0)</x:f>
        <x:v>0</x:v>
      </x:c>
      <x:c r="BW26" s="141" t="n">
        <x:f>IF(AND('Carta Contemplada'!$B$22="Sim",Premissas!$B$11="Imovel",Premissas!$B$47="Investimento",$A26&gt;=MAX('Carta Contemplada'!$B$44,Premissas!$B$49)),$E26,0)</x:f>
        <x:v>678.4000000000001</x:v>
      </x:c>
      <x:c r="BX26" s="141" t="n">
        <x:f>BT26+BU26+BV26</x:f>
        <x:v>1272</x:v>
      </x:c>
      <x:c r="BY26" s="141" t="n">
        <x:f>BW26</x:f>
        <x:v>678.4000000000001</x:v>
      </x:c>
      <x:c r="BZ26" s="141" t="n">
        <x:f>$C26+BY26-BX26</x:f>
        <x:v>6406.4</x:v>
      </x:c>
      <x:c r="CA26" s="141" t="n">
        <x:f>CD25*(1+Premissas!$B$41)+BZ26</x:f>
        <x:v>208812.23530195234</x:v>
      </x:c>
      <x:c r="CB26" s="141" t="n">
        <x:f>MAX(0,-CA26)</x:f>
        <x:v>0</x:v>
      </x:c>
      <x:c r="CC26" s="141" t="n">
        <x:f>CC25*(1+Premissas!$B$41)+CB26</x:f>
        <x:v>0</x:v>
      </x:c>
      <x:c r="CD26" s="141" t="n">
        <x:f>MAX(0,CA26)</x:f>
        <x:v>208812.23530195234</x:v>
      </x:c>
      <x:c r="CE26" s="141" t="n">
        <x:f>IF(AND('Carta Contemplada'!$B$22="Sim",$A26&gt;='Carta Contemplada'!$B$23),INDEX('Carta Contemplada'!$I$55:$I$1013,$A26),0)</x:f>
        <x:v>145065.5754553148</x:v>
      </x:c>
      <x:c r="CF26" s="141" t="n">
        <x:f>IF(AND('Carta Contemplada'!$B$22="Sim",$A26&gt;='Carta Contemplada'!$B$44),$F26,0)</x:f>
        <x:v>221470.18063836743</x:v>
      </x:c>
      <x:c r="CG26" s="141" t="n">
        <x:f>CD26+CF26-CE26</x:f>
        <x:v>285216.84048500494</x:v>
      </x:c>
      <x:c r="CH26" s="141" t="n">
        <x:f>IF(CC26&gt;1,"Inviavel",CG26)</x:f>
        <x:v>285216.84048500494</x:v>
      </x:c>
      <x:c r="CI26" s="145" t="str">
        <x:f>IF(CC26&gt;1,"Inviavel","OK")</x:f>
        <x:v>OK</x:v>
      </x:c>
    </x:row>
    <x:row r="27">
      <x:c r="A27" s="142" t="n">
        <x:v>23</x:v>
      </x:c>
      <x:c r="B27" s="179" t="n">
        <x:f>EDATE(Premissas!$B$4,A27-1)</x:f>
        <x:v>47209</x:v>
      </x:c>
      <x:c r="C27" s="141" t="n">
        <x:f>IF(A27&lt;=Premissas!$B$39,Premissas!$B$42,0)</x:f>
        <x:v>7000</x:v>
      </x:c>
      <x:c r="D27" s="141" t="n">
        <x:f>Premissas!$B$54*(1+Premissas!$B$57)^INT((A27-1)/12)</x:f>
        <x:v>742</x:v>
      </x:c>
      <x:c r="E27" s="141" t="n">
        <x:f>Premissas!$B$64*(1+Premissas!$B$57)^INT((A27-1)/12)</x:f>
        <x:v>678.4000000000001</x:v>
      </x:c>
      <x:c r="F27" s="141" t="n">
        <x:f>MAX(0,Premissas!$B$6*(1+Premissas!$B$66)^((A27-1)/12))</x:f>
        <x:v>222548.19794134036</x:v>
      </x:c>
      <x:c r="G27" s="141" t="n">
        <x:f>G26*(1+Premissas!$B$41)+C27</x:f>
        <x:v>289759.38468401594</x:v>
      </x:c>
      <x:c r="H27" s="141" t="n">
        <x:f>IF($A27=Premissas!$B$48,Premissas!$B$8,0)</x:f>
        <x:v>0</x:v>
      </x:c>
      <x:c r="I27" s="141" t="n">
        <x:f>IF(AND($A27&gt;=Premissas!$B$48,$A27-Premissas!$B$48+1&lt;=Premissas!$B$13),INDEX(Financiamento!$J$6:$J$485,$A27-Premissas!$B$48+1),0)</x:f>
        <x:v>1969.6341287482137</x:v>
      </x:c>
      <x:c r="J27" s="141" t="n">
        <x:f>IF(AND(TRUE,Premissas!$B$11="Imovel",Premissas!$B$47="Moradia",$A27&lt;MAX(Premissas!$B$48,Premissas!$B$49)),$D27,0)</x:f>
        <x:v>0</x:v>
      </x:c>
      <x:c r="K27" s="141" t="n">
        <x:f>IF(AND(TRUE,Premissas!$B$11="Imovel",Premissas!$B$47="Investimento",$A27&gt;=MAX(Premissas!$B$48,Premissas!$B$49)),$E27,0)</x:f>
        <x:v>678.4000000000001</x:v>
      </x:c>
      <x:c r="L27" s="141" t="n">
        <x:f>H27+I27+J27</x:f>
        <x:v>1969.6341287482137</x:v>
      </x:c>
      <x:c r="M27" s="141" t="n">
        <x:f>K27</x:f>
        <x:v>678.4000000000001</x:v>
      </x:c>
      <x:c r="N27" s="141" t="n">
        <x:f>$C27+M27-L27</x:f>
        <x:v>5708.765871251786</x:v>
      </x:c>
      <x:c r="O27" s="141" t="n">
        <x:f>R26*(1+Premissas!$B$41)+N27</x:f>
        <x:v>205914.1786697624</x:v>
      </x:c>
      <x:c r="P27" s="141" t="n">
        <x:f>MAX(0,-O27)</x:f>
        <x:v>0</x:v>
      </x:c>
      <x:c r="Q27" s="141" t="n">
        <x:f>Q26*(1+Premissas!$B$41)+P27</x:f>
        <x:v>0</x:v>
      </x:c>
      <x:c r="R27" s="141" t="n">
        <x:f>MAX(0,O27)</x:f>
        <x:v>205914.1786697624</x:v>
      </x:c>
      <x:c r="S27" s="141" t="n">
        <x:f>IF(AND($A27&gt;=Premissas!$B$48,$A27-Premissas!$B$48+1&lt;=Premissas!$B$13),INDEX(Financiamento!$M$6:$M$485,$A27-Premissas!$B$48+1),0)</x:f>
        <x:v>151238.0952380955</x:v>
      </x:c>
      <x:c r="T27" s="141" t="n">
        <x:f>IF($A27&gt;=Premissas!$B$48,$F27,0)</x:f>
        <x:v>222548.19794134036</x:v>
      </x:c>
      <x:c r="U27" s="141" t="n">
        <x:f>R27+T27-S27</x:f>
        <x:v>277224.2813730072</x:v>
      </x:c>
      <x:c r="V27" s="141" t="n">
        <x:f>IF(Q27&gt;1,"Inviavel",U27)</x:f>
        <x:v>277224.2813730072</x:v>
      </x:c>
      <x:c r="W27" s="141" t="str">
        <x:f>IF(Q27&gt;1,"Inviavel","OK")</x:f>
        <x:v>OK</x:v>
      </x:c>
      <x:c r="X27" s="141" t="n">
        <x:f>IF($A27=Premissas!$B$48,Premissas!$B$8,0)</x:f>
        <x:v>0</x:v>
      </x:c>
      <x:c r="Y27" s="141" t="n">
        <x:f>IF(AND($A27&gt;=Premissas!$B$48,$A27-Premissas!$B$48+1&lt;=Premissas!$B$13),INDEX(Amortizacao!$K$6:$K$485,$A27-Premissas!$B$48+1),0)</x:f>
        <x:v>7000</x:v>
      </x:c>
      <x:c r="Z27" s="141" t="n">
        <x:f>IF(AND(TRUE,Premissas!$B$11="Imovel",Premissas!$B$47="Moradia",$A27&lt;MAX(Premissas!$B$48,Premissas!$B$49)),$D27,0)</x:f>
        <x:v>0</x:v>
      </x:c>
      <x:c r="AA27" s="141" t="n">
        <x:f>IF(AND(TRUE,Premissas!$B$11="Imovel",Premissas!$B$47="Investimento",$A27&gt;=MAX(Premissas!$B$48,Premissas!$B$49)),$E27,0)</x:f>
        <x:v>678.4000000000001</x:v>
      </x:c>
      <x:c r="AB27" s="141" t="n">
        <x:f>X27+Y27+Z27</x:f>
        <x:v>7000</x:v>
      </x:c>
      <x:c r="AC27" s="141" t="n">
        <x:f>AA27</x:f>
        <x:v>678.4000000000001</x:v>
      </x:c>
      <x:c r="AD27" s="141" t="n">
        <x:f>$C27+AC27-AB27</x:f>
        <x:v>678.3999999999996</x:v>
      </x:c>
      <x:c r="AE27" s="141" t="n">
        <x:f>AH26*(1+Premissas!$B$41)+AD27</x:f>
        <x:v>78352.97567869602</x:v>
      </x:c>
      <x:c r="AF27" s="141" t="n">
        <x:f>MAX(0,-AE27)</x:f>
        <x:v>0</x:v>
      </x:c>
      <x:c r="AG27" s="141" t="n">
        <x:f>AG26*(1+Premissas!$B$41)+AF27</x:f>
        <x:v>0</x:v>
      </x:c>
      <x:c r="AH27" s="141" t="n">
        <x:f>MAX(0,AE27)</x:f>
        <x:v>78352.97567869602</x:v>
      </x:c>
      <x:c r="AI27" s="141" t="n">
        <x:f>IF(AND($A27&gt;=Premissas!$B$48,$A27-Premissas!$B$48+1&lt;=Premissas!$B$13),INDEX(Amortizacao!$L$6:$L$485,$A27-Premissas!$B$48+1),0)</x:f>
        <x:v>23676.892247028976</x:v>
      </x:c>
      <x:c r="AJ27" s="141" t="n">
        <x:f>IF($A27&gt;=Premissas!$B$48,$F27,0)</x:f>
        <x:v>222548.19794134036</x:v>
      </x:c>
      <x:c r="AK27" s="141" t="n">
        <x:f>AH27+AJ27-AI27</x:f>
        <x:v>277224.2813730074</x:v>
      </x:c>
      <x:c r="AL27" s="141" t="n">
        <x:f>IF(AG27&gt;1,"Inviavel",AK27)</x:f>
        <x:v>277224.2813730074</x:v>
      </x:c>
      <x:c r="AM27" s="141" t="str">
        <x:f>IF(AG27&gt;1,"Inviavel","OK")</x:f>
        <x:v>OK</x:v>
      </x:c>
      <x:c r="AN27" s="141" t="n">
        <x:f>IF($A27=Premissas!$B$48,Premissas!$B$8,0)</x:f>
        <x:v>0</x:v>
      </x:c>
      <x:c r="AO27" s="141" t="n">
        <x:f>IF($A27&lt;=Premissas!$B$25,INDEX('Consorcio IQ'!$K$6:$K$485,$A27),0)</x:f>
        <x:v>2574.3279363880783</x:v>
      </x:c>
      <x:c r="AP27" s="141" t="n">
        <x:f>IF(AND(TRUE,Premissas!$B$11="Imovel",Premissas!$B$47="Moradia",$A27&lt;MAX(Premissas!$B$48,Premissas!$B$49)),$D27,0)</x:f>
        <x:v>0</x:v>
      </x:c>
      <x:c r="AQ27" s="141" t="n">
        <x:f>IF(AND(TRUE,Premissas!$B$11="Imovel",Premissas!$B$47="Investimento",$A27&gt;=MAX(Premissas!$B$48,Premissas!$B$49)),$E27,0)</x:f>
        <x:v>678.4000000000001</x:v>
      </x:c>
      <x:c r="AR27" s="141" t="n">
        <x:f>AN27+AO27+AP27</x:f>
        <x:v>2574.3279363880783</x:v>
      </x:c>
      <x:c r="AS27" s="141" t="n">
        <x:f>AQ27</x:f>
        <x:v>678.4000000000001</x:v>
      </x:c>
      <x:c r="AT27" s="141" t="n">
        <x:f>$C27+AS27-AR27</x:f>
        <x:v>5104.072063611921</x:v>
      </x:c>
      <x:c r="AU27" s="141" t="n">
        <x:f>AX26*(1+Premissas!$B$41)+AT27</x:f>
        <x:v>190933.63806276507</x:v>
      </x:c>
      <x:c r="AV27" s="141" t="n">
        <x:f>MAX(0,-AU27)</x:f>
        <x:v>0</x:v>
      </x:c>
      <x:c r="AW27" s="141" t="n">
        <x:f>AW26*(1+Premissas!$B$41)+AV27</x:f>
        <x:v>0</x:v>
      </x:c>
      <x:c r="AX27" s="141" t="n">
        <x:f>MAX(0,AU27)</x:f>
        <x:v>190933.63806276507</x:v>
      </x:c>
      <x:c r="AY27" s="141" t="n">
        <x:f>INDEX('Consorcio IQ'!$P$6:$P$485,$A27)</x:f>
        <x:v>235993.52748817054</x:v>
      </x:c>
      <x:c r="AZ27" s="141" t="n">
        <x:f>IF($A27&gt;=Premissas!$B$48,$F27,0)+IF($A27&lt;Premissas!$B$27,INDEX('Consorcio IQ'!$O$6:$O$485,$A27),0)</x:f>
        <x:v>319246.22720743413</x:v>
      </x:c>
      <x:c r="BA27" s="141" t="n">
        <x:f>AX27+AZ27-AY27</x:f>
        <x:v>274186.33778202866</x:v>
      </x:c>
      <x:c r="BB27" s="141" t="n">
        <x:f>IF(AW27&gt;1,"Inviavel",BA27)</x:f>
        <x:v>274186.33778202866</x:v>
      </x:c>
      <x:c r="BC27" s="141" t="str">
        <x:f>IF(AW27&gt;1,"Inviavel","OK")</x:f>
        <x:v>OK</x:v>
      </x:c>
      <x:c r="BD27" s="141" t="n">
        <x:f>IF($A27='Consorcio Direto'!$B$29,'Consorcio Direto'!$B$44,0)</x:f>
        <x:v>0</x:v>
      </x:c>
      <x:c r="BE27" s="141" t="n">
        <x:f>IF($A27&lt;='Consorcio Direto'!$B$27,INDEX('Consorcio Direto'!$E$55:$E$534,$A27),0)</x:f>
        <x:v>1565.855076791275</x:v>
      </x:c>
      <x:c r="BF27" s="141" t="n">
        <x:f>IF(AND(TRUE,Premissas!$B$11="Imovel",Premissas!$B$47="Moradia",$A27&lt;MAX('Consorcio Direto'!$B$29,Premissas!$B$49)),$D27,0)</x:f>
        <x:v>0</x:v>
      </x:c>
      <x:c r="BG27" s="141" t="n">
        <x:f>IF(AND(TRUE,Premissas!$B$11="Imovel",Premissas!$B$47="Investimento",$A27&gt;=MAX('Consorcio Direto'!$B$29,Premissas!$B$49)),$E27,0)</x:f>
        <x:v>0</x:v>
      </x:c>
      <x:c r="BH27" s="141" t="n">
        <x:f>BD27+BE27+BF27</x:f>
        <x:v>1565.855076791275</x:v>
      </x:c>
      <x:c r="BI27" s="141" t="n">
        <x:f>BG27</x:f>
        <x:v>0</x:v>
      </x:c>
      <x:c r="BJ27" s="141" t="n">
        <x:f>$C27+BI27-BH27</x:f>
        <x:v>5434.144923208725</x:v>
      </x:c>
      <x:c r="BK27" s="141" t="n">
        <x:f>BN26*(1+Premissas!$B$41)+BJ27</x:f>
        <x:v>250967.2633390011</x:v>
      </x:c>
      <x:c r="BL27" s="141" t="n">
        <x:f>MAX(0,-BK27)</x:f>
        <x:v>0</x:v>
      </x:c>
      <x:c r="BM27" s="141" t="n">
        <x:f>BM26*(1+Premissas!$B$41)+BL27</x:f>
        <x:v>0</x:v>
      </x:c>
      <x:c r="BN27" s="141" t="n">
        <x:f>MAX(0,BK27)</x:f>
        <x:v>250967.2633390011</x:v>
      </x:c>
      <x:c r="BO27" s="141" t="n">
        <x:f>INDEX('Consorcio Direto'!$K$55:$K$534,$A27)</x:f>
        <x:v>219474.25655375546</x:v>
      </x:c>
      <x:c r="BP27" s="141" t="n">
        <x:f>IF($A27&lt;'Consorcio Direto'!$B$29,INDEX('Consorcio Direto'!$L$55:$L$534,$A27),$F27)</x:f>
        <x:v>187799.71548700146</x:v>
      </x:c>
      <x:c r="BQ27" s="141" t="n">
        <x:f>BN27+BP27-BO27</x:f>
        <x:v>219292.7222722471</x:v>
      </x:c>
      <x:c r="BR27" s="141" t="n">
        <x:f>IF(BM27&gt;1,"Inviavel",BQ27)</x:f>
        <x:v>219292.7222722471</x:v>
      </x:c>
      <x:c r="BS27" s="141" t="str">
        <x:f>IF(BM27&gt;1,"Inviavel","OK")</x:f>
        <x:v>OK</x:v>
      </x:c>
      <x:c r="BT27" s="141" t="n">
        <x:f>IF(AND('Carta Contemplada'!$B$22="Sim",$A27='Carta Contemplada'!$B$23),'Carta Contemplada'!$B$37,0)</x:f>
        <x:v>0</x:v>
      </x:c>
      <x:c r="BU27" s="141" t="n">
        <x:f>IF('Carta Contemplada'!$B$22="Sim",INDEX('Carta Contemplada'!$C$55:$C$1013,$A27),0)</x:f>
        <x:v>1272</x:v>
      </x:c>
      <x:c r="BV27" s="141" t="n">
        <x:f>IF(AND('Carta Contemplada'!$B$22="Sim",Premissas!$B$11="Imovel",Premissas!$B$47="Moradia",$A27&lt;MAX('Carta Contemplada'!$B$44,Premissas!$B$49)),$D27,0)</x:f>
        <x:v>0</x:v>
      </x:c>
      <x:c r="BW27" s="141" t="n">
        <x:f>IF(AND('Carta Contemplada'!$B$22="Sim",Premissas!$B$11="Imovel",Premissas!$B$47="Investimento",$A27&gt;=MAX('Carta Contemplada'!$B$44,Premissas!$B$49)),$E27,0)</x:f>
        <x:v>678.4000000000001</x:v>
      </x:c>
      <x:c r="BX27" s="141" t="n">
        <x:f>BT27+BU27+BV27</x:f>
        <x:v>1272</x:v>
      </x:c>
      <x:c r="BY27" s="141" t="n">
        <x:f>BW27</x:f>
        <x:v>678.4000000000001</x:v>
      </x:c>
      <x:c r="BZ27" s="141" t="n">
        <x:f>$C27+BY27-BX27</x:f>
        <x:v>6406.4</x:v>
      </x:c>
      <x:c r="CA27" s="141" t="n">
        <x:f>CD26*(1+Premissas!$B$41)+BZ27</x:f>
        <x:v>217200.01136494</x:v>
      </x:c>
      <x:c r="CB27" s="141" t="n">
        <x:f>MAX(0,-CA27)</x:f>
        <x:v>0</x:v>
      </x:c>
      <x:c r="CC27" s="141" t="n">
        <x:f>CC26*(1+Premissas!$B$41)+CB27</x:f>
        <x:v>0</x:v>
      </x:c>
      <x:c r="CD27" s="141" t="n">
        <x:f>MAX(0,CA27)</x:f>
        <x:v>217200.01136494</x:v>
      </x:c>
      <x:c r="CE27" s="141" t="n">
        <x:f>IF(AND('Carta Contemplada'!$B$22="Sim",$A27&gt;='Carta Contemplada'!$B$23),INDEX('Carta Contemplada'!$I$55:$I$1013,$A27),0)</x:f>
        <x:v>145170.07266274642</x:v>
      </x:c>
      <x:c r="CF27" s="141" t="n">
        <x:f>IF(AND('Carta Contemplada'!$B$22="Sim",$A27&gt;='Carta Contemplada'!$B$44),$F27,0)</x:f>
        <x:v>222548.19794134036</x:v>
      </x:c>
      <x:c r="CG27" s="141" t="n">
        <x:f>CD27+CF27-CE27</x:f>
        <x:v>294578.13664353394</x:v>
      </x:c>
      <x:c r="CH27" s="141" t="n">
        <x:f>IF(CC27&gt;1,"Inviavel",CG27)</x:f>
        <x:v>294578.13664353394</x:v>
      </x:c>
      <x:c r="CI27" s="145" t="str">
        <x:f>IF(CC27&gt;1,"Inviavel","OK")</x:f>
        <x:v>OK</x:v>
      </x:c>
    </x:row>
    <x:row r="28">
      <x:c r="A28" s="142" t="n">
        <x:v>24</x:v>
      </x:c>
      <x:c r="B28" s="179" t="n">
        <x:f>EDATE(Premissas!$B$4,A28-1)</x:f>
        <x:v>47239</x:v>
      </x:c>
      <x:c r="C28" s="141" t="n">
        <x:f>IF(A28&lt;=Premissas!$B$39,Premissas!$B$42,0)</x:f>
        <x:v>7000</x:v>
      </x:c>
      <x:c r="D28" s="141" t="n">
        <x:f>Premissas!$B$54*(1+Premissas!$B$57)^INT((A28-1)/12)</x:f>
        <x:v>742</x:v>
      </x:c>
      <x:c r="E28" s="141" t="n">
        <x:f>Premissas!$B$64*(1+Premissas!$B$57)^INT((A28-1)/12)</x:f>
        <x:v>678.4000000000001</x:v>
      </x:c>
      <x:c r="F28" s="141" t="n">
        <x:f>MAX(0,Premissas!$B$6*(1+Premissas!$B$66)^((A28-1)/12))</x:f>
        <x:v>223631.4625480458</x:v>
      </x:c>
      <x:c r="G28" s="141" t="n">
        <x:f>G27*(1+Premissas!$B$41)+C28</x:f>
        <x:v>299508.85148613475</x:v>
      </x:c>
      <x:c r="H28" s="141" t="n">
        <x:f>IF($A28=Premissas!$B$48,Premissas!$B$8,0)</x:f>
        <x:v>0</x:v>
      </x:c>
      <x:c r="I28" s="141" t="n">
        <x:f>IF(AND($A28&gt;=Premissas!$B$48,$A28-Premissas!$B$48+1&lt;=Premissas!$B$13),INDEX(Financiamento!$J$6:$J$485,$A28-Premissas!$B$48+1),0)</x:f>
        <x:v>1966.01935048742</x:v>
      </x:c>
      <x:c r="J28" s="141" t="n">
        <x:f>IF(AND(TRUE,Premissas!$B$11="Imovel",Premissas!$B$47="Moradia",$A28&lt;MAX(Premissas!$B$48,Premissas!$B$49)),$D28,0)</x:f>
        <x:v>0</x:v>
      </x:c>
      <x:c r="K28" s="141" t="n">
        <x:f>IF(AND(TRUE,Premissas!$B$11="Imovel",Premissas!$B$47="Investimento",$A28&gt;=MAX(Premissas!$B$48,Premissas!$B$49)),$E28,0)</x:f>
        <x:v>678.4000000000001</x:v>
      </x:c>
      <x:c r="L28" s="141" t="n">
        <x:f>H28+I28+J28</x:f>
        <x:v>1966.01935048742</x:v>
      </x:c>
      <x:c r="M28" s="141" t="n">
        <x:f>K28</x:f>
        <x:v>678.4000000000001</x:v>
      </x:c>
      <x:c r="N28" s="141" t="n">
        <x:f>$C28+M28-L28</x:f>
        <x:v>5712.380649512579</x:v>
      </x:c>
      <x:c r="O28" s="141" t="n">
        <x:f>R27*(1+Premissas!$B$41)+N28</x:f>
        <x:v>213580.43632296709</x:v>
      </x:c>
      <x:c r="P28" s="141" t="n">
        <x:f>MAX(0,-O28)</x:f>
        <x:v>0</x:v>
      </x:c>
      <x:c r="Q28" s="141" t="n">
        <x:f>Q27*(1+Premissas!$B$41)+P28</x:f>
        <x:v>0</x:v>
      </x:c>
      <x:c r="R28" s="141" t="n">
        <x:f>MAX(0,O28)</x:f>
        <x:v>213580.43632296709</x:v>
      </x:c>
      <x:c r="S28" s="141" t="n">
        <x:f>IF(AND($A28&gt;=Premissas!$B$48,$A28-Premissas!$B$48+1&lt;=Premissas!$B$13),INDEX(Financiamento!$M$6:$M$485,$A28-Premissas!$B$48+1),0)</x:f>
        <x:v>150857.14285714313</x:v>
      </x:c>
      <x:c r="T28" s="141" t="n">
        <x:f>IF($A28&gt;=Premissas!$B$48,$F28,0)</x:f>
        <x:v>223631.4625480458</x:v>
      </x:c>
      <x:c r="U28" s="141" t="n">
        <x:f>R28+T28-S28</x:f>
        <x:v>286354.7560138697</x:v>
      </x:c>
      <x:c r="V28" s="141" t="n">
        <x:f>IF(Q28&gt;1,"Inviavel",U28)</x:f>
        <x:v>286354.7560138697</x:v>
      </x:c>
      <x:c r="W28" s="141" t="str">
        <x:f>IF(Q28&gt;1,"Inviavel","OK")</x:f>
        <x:v>OK</x:v>
      </x:c>
      <x:c r="X28" s="141" t="n">
        <x:f>IF($A28=Premissas!$B$48,Premissas!$B$8,0)</x:f>
        <x:v>0</x:v>
      </x:c>
      <x:c r="Y28" s="141" t="n">
        <x:f>IF(AND($A28&gt;=Premissas!$B$48,$A28-Premissas!$B$48+1&lt;=Premissas!$B$13),INDEX(Amortizacao!$K$6:$K$485,$A28-Premissas!$B$48+1),0)</x:f>
        <x:v>7000</x:v>
      </x:c>
      <x:c r="Z28" s="141" t="n">
        <x:f>IF(AND(TRUE,Premissas!$B$11="Imovel",Premissas!$B$47="Moradia",$A28&lt;MAX(Premissas!$B$48,Premissas!$B$49)),$D28,0)</x:f>
        <x:v>0</x:v>
      </x:c>
      <x:c r="AA28" s="141" t="n">
        <x:f>IF(AND(TRUE,Premissas!$B$11="Imovel",Premissas!$B$47="Investimento",$A28&gt;=MAX(Premissas!$B$48,Premissas!$B$49)),$E28,0)</x:f>
        <x:v>678.4000000000001</x:v>
      </x:c>
      <x:c r="AB28" s="141" t="n">
        <x:f>X28+Y28+Z28</x:f>
        <x:v>7000</x:v>
      </x:c>
      <x:c r="AC28" s="141" t="n">
        <x:f>AA28</x:f>
        <x:v>678.4000000000001</x:v>
      </x:c>
      <x:c r="AD28" s="141" t="n">
        <x:f>$C28+AC28-AB28</x:f>
        <x:v>678.3999999999996</x:v>
      </x:c>
      <x:c r="AE28" s="141" t="n">
        <x:f>AH27*(1+Premissas!$B$41)+AD28</x:f>
        <x:v>79774.85084071958</x:v>
      </x:c>
      <x:c r="AF28" s="141" t="n">
        <x:f>MAX(0,-AE28)</x:f>
        <x:v>0</x:v>
      </x:c>
      <x:c r="AG28" s="141" t="n">
        <x:f>AG27*(1+Premissas!$B$41)+AF28</x:f>
        <x:v>0</x:v>
      </x:c>
      <x:c r="AH28" s="141" t="n">
        <x:f>MAX(0,AE28)</x:f>
        <x:v>79774.85084071958</x:v>
      </x:c>
      <x:c r="AI28" s="141" t="n">
        <x:f>IF(AND($A28&gt;=Premissas!$B$48,$A28-Premissas!$B$48+1&lt;=Premissas!$B$13),INDEX(Amortizacao!$L$6:$L$485,$A28-Premissas!$B$48+1),0)</x:f>
        <x:v>17051.55737489547</x:v>
      </x:c>
      <x:c r="AJ28" s="141" t="n">
        <x:f>IF($A28&gt;=Premissas!$B$48,$F28,0)</x:f>
        <x:v>223631.4625480458</x:v>
      </x:c>
      <x:c r="AK28" s="141" t="n">
        <x:f>AH28+AJ28-AI28</x:f>
        <x:v>286354.7560138699</x:v>
      </x:c>
      <x:c r="AL28" s="141" t="n">
        <x:f>IF(AG28&gt;1,"Inviavel",AK28)</x:f>
        <x:v>286354.7560138699</x:v>
      </x:c>
      <x:c r="AM28" s="141" t="str">
        <x:f>IF(AG28&gt;1,"Inviavel","OK")</x:f>
        <x:v>OK</x:v>
      </x:c>
      <x:c r="AN28" s="141" t="n">
        <x:f>IF($A28=Premissas!$B$48,Premissas!$B$8,0)</x:f>
        <x:v>0</x:v>
      </x:c>
      <x:c r="AO28" s="141" t="n">
        <x:f>IF($A28&lt;=Premissas!$B$25,INDEX('Consorcio IQ'!$K$6:$K$485,$A28),0)</x:f>
        <x:v>2570.713158127285</x:v>
      </x:c>
      <x:c r="AP28" s="141" t="n">
        <x:f>IF(AND(TRUE,Premissas!$B$11="Imovel",Premissas!$B$47="Moradia",$A28&lt;MAX(Premissas!$B$48,Premissas!$B$49)),$D28,0)</x:f>
        <x:v>0</x:v>
      </x:c>
      <x:c r="AQ28" s="141" t="n">
        <x:f>IF(AND(TRUE,Premissas!$B$11="Imovel",Premissas!$B$47="Investimento",$A28&gt;=MAX(Premissas!$B$48,Premissas!$B$49)),$E28,0)</x:f>
        <x:v>678.4000000000001</x:v>
      </x:c>
      <x:c r="AR28" s="141" t="n">
        <x:f>AN28+AO28+AP28</x:f>
        <x:v>2570.713158127285</x:v>
      </x:c>
      <x:c r="AS28" s="141" t="n">
        <x:f>AQ28</x:f>
        <x:v>678.4000000000001</x:v>
      </x:c>
      <x:c r="AT28" s="141" t="n">
        <x:f>$C28+AS28-AR28</x:f>
        <x:v>5107.6868418727145</x:v>
      </x:c>
      <x:c r="AU28" s="141" t="n">
        <x:f>AX27*(1+Premissas!$B$41)+AT28</x:f>
        <x:v>197853.054660462</x:v>
      </x:c>
      <x:c r="AV28" s="141" t="n">
        <x:f>MAX(0,-AU28)</x:f>
        <x:v>0</x:v>
      </x:c>
      <x:c r="AW28" s="141" t="n">
        <x:f>AW27*(1+Premissas!$B$41)+AV28</x:f>
        <x:v>0</x:v>
      </x:c>
      <x:c r="AX28" s="141" t="n">
        <x:f>MAX(0,AU28)</x:f>
        <x:v>197853.054660462</x:v>
      </x:c>
      <x:c r="AY28" s="141" t="n">
        <x:f>INDEX('Consorcio IQ'!$P$6:$P$485,$A28)</x:f>
        <x:v>235812.10804628037</x:v>
      </x:c>
      <x:c r="AZ28" s="141" t="n">
        <x:f>IF($A28&gt;=Premissas!$B$48,$F28,0)+IF($A28&lt;Premissas!$B$27,INDEX('Consorcio IQ'!$O$6:$O$485,$A28),0)</x:f>
        <x:v>321247.0393910278</x:v>
      </x:c>
      <x:c r="BA28" s="141" t="n">
        <x:f>AX28+AZ28-AY28</x:f>
        <x:v>283287.9860052095</x:v>
      </x:c>
      <x:c r="BB28" s="141" t="n">
        <x:f>IF(AW28&gt;1,"Inviavel",BA28)</x:f>
        <x:v>283287.9860052095</x:v>
      </x:c>
      <x:c r="BC28" s="141" t="str">
        <x:f>IF(AW28&gt;1,"Inviavel","OK")</x:f>
        <x:v>OK</x:v>
      </x:c>
      <x:c r="BD28" s="141" t="n">
        <x:f>IF($A28='Consorcio Direto'!$B$29,'Consorcio Direto'!$B$44,0)</x:f>
        <x:v>0</x:v>
      </x:c>
      <x:c r="BE28" s="141" t="n">
        <x:f>IF($A28&lt;='Consorcio Direto'!$B$27,INDEX('Consorcio Direto'!$E$55:$E$534,$A28),0)</x:f>
        <x:v>1565.855076791275</x:v>
      </x:c>
      <x:c r="BF28" s="141" t="n">
        <x:f>IF(AND(TRUE,Premissas!$B$11="Imovel",Premissas!$B$47="Moradia",$A28&lt;MAX('Consorcio Direto'!$B$29,Premissas!$B$49)),$D28,0)</x:f>
        <x:v>0</x:v>
      </x:c>
      <x:c r="BG28" s="141" t="n">
        <x:f>IF(AND(TRUE,Premissas!$B$11="Imovel",Premissas!$B$47="Investimento",$A28&gt;=MAX('Consorcio Direto'!$B$29,Premissas!$B$49)),$E28,0)</x:f>
        <x:v>0</x:v>
      </x:c>
      <x:c r="BH28" s="141" t="n">
        <x:f>BD28+BE28+BF28</x:f>
        <x:v>1565.855076791275</x:v>
      </x:c>
      <x:c r="BI28" s="141" t="n">
        <x:f>BG28</x:f>
        <x:v>0</x:v>
      </x:c>
      <x:c r="BJ28" s="141" t="n">
        <x:f>$C28+BI28-BH28</x:f>
        <x:v>5434.144923208725</x:v>
      </x:c>
      <x:c r="BK28" s="141" t="n">
        <x:f>BN27*(1+Premissas!$B$41)+BJ28</x:f>
        <x:v>258782.78465739256</x:v>
      </x:c>
      <x:c r="BL28" s="141" t="n">
        <x:f>MAX(0,-BK28)</x:f>
        <x:v>0</x:v>
      </x:c>
      <x:c r="BM28" s="141" t="n">
        <x:f>BM27*(1+Premissas!$B$41)+BL28</x:f>
        <x:v>0</x:v>
      </x:c>
      <x:c r="BN28" s="141" t="n">
        <x:f>MAX(0,BK28)</x:f>
        <x:v>258782.78465739256</x:v>
      </x:c>
      <x:c r="BO28" s="141" t="n">
        <x:f>INDEX('Consorcio Direto'!$K$55:$K$534,$A28)</x:f>
        <x:v>219990.9472518743</x:v>
      </x:c>
      <x:c r="BP28" s="141" t="n">
        <x:f>IF($A28&lt;'Consorcio Direto'!$B$29,INDEX('Consorcio Direto'!$L$55:$L$534,$A28),$F28)</x:f>
        <x:v>189581.70810043125</x:v>
      </x:c>
      <x:c r="BQ28" s="141" t="n">
        <x:f>BN28+BP28-BO28</x:f>
        <x:v>228373.54550594947</x:v>
      </x:c>
      <x:c r="BR28" s="141" t="n">
        <x:f>IF(BM28&gt;1,"Inviavel",BQ28)</x:f>
        <x:v>228373.54550594947</x:v>
      </x:c>
      <x:c r="BS28" s="141" t="str">
        <x:f>IF(BM28&gt;1,"Inviavel","OK")</x:f>
        <x:v>OK</x:v>
      </x:c>
      <x:c r="BT28" s="141" t="n">
        <x:f>IF(AND('Carta Contemplada'!$B$22="Sim",$A28='Carta Contemplada'!$B$23),'Carta Contemplada'!$B$37,0)</x:f>
        <x:v>0</x:v>
      </x:c>
      <x:c r="BU28" s="141" t="n">
        <x:f>IF('Carta Contemplada'!$B$22="Sim",INDEX('Carta Contemplada'!$C$55:$C$1013,$A28),0)</x:f>
        <x:v>1272</x:v>
      </x:c>
      <x:c r="BV28" s="141" t="n">
        <x:f>IF(AND('Carta Contemplada'!$B$22="Sim",Premissas!$B$11="Imovel",Premissas!$B$47="Moradia",$A28&lt;MAX('Carta Contemplada'!$B$44,Premissas!$B$49)),$D28,0)</x:f>
        <x:v>0</x:v>
      </x:c>
      <x:c r="BW28" s="141" t="n">
        <x:f>IF(AND('Carta Contemplada'!$B$22="Sim",Premissas!$B$11="Imovel",Premissas!$B$47="Investimento",$A28&gt;=MAX('Carta Contemplada'!$B$44,Premissas!$B$49)),$E28,0)</x:f>
        <x:v>678.4000000000001</x:v>
      </x:c>
      <x:c r="BX28" s="141" t="n">
        <x:f>BT28+BU28+BV28</x:f>
        <x:v>1272</x:v>
      </x:c>
      <x:c r="BY28" s="141" t="n">
        <x:f>BW28</x:f>
        <x:v>678.4000000000001</x:v>
      </x:c>
      <x:c r="BZ28" s="141" t="n">
        <x:f>$C28+BY28-BX28</x:f>
        <x:v>6406.4</x:v>
      </x:c>
      <x:c r="CA28" s="141" t="n">
        <x:f>CD27*(1+Premissas!$B$41)+BZ28</x:f>
        <x:v>225667.377298171</x:v>
      </x:c>
      <x:c r="CB28" s="141" t="n">
        <x:f>MAX(0,-CA28)</x:f>
        <x:v>0</x:v>
      </x:c>
      <x:c r="CC28" s="141" t="n">
        <x:f>CC27*(1+Premissas!$B$41)+CB28</x:f>
        <x:v>0</x:v>
      </x:c>
      <x:c r="CD28" s="141" t="n">
        <x:f>MAX(0,CA28)</x:f>
        <x:v>225667.377298171</x:v>
      </x:c>
      <x:c r="CE28" s="141" t="n">
        <x:f>IF(AND('Carta Contemplada'!$B$22="Sim",$A28&gt;='Carta Contemplada'!$B$23),INDEX('Carta Contemplada'!$I$55:$I$1013,$A28),0)</x:f>
        <x:v>145275.5614225416</x:v>
      </x:c>
      <x:c r="CF28" s="141" t="n">
        <x:f>IF(AND('Carta Contemplada'!$B$22="Sim",$A28&gt;='Carta Contemplada'!$B$44),$F28,0)</x:f>
        <x:v>223631.4625480458</x:v>
      </x:c>
      <x:c r="CG28" s="141" t="n">
        <x:f>CD28+CF28-CE28</x:f>
        <x:v>304023.2784236752</x:v>
      </x:c>
      <x:c r="CH28" s="141" t="n">
        <x:f>IF(CC28&gt;1,"Inviavel",CG28)</x:f>
        <x:v>304023.2784236752</x:v>
      </x:c>
      <x:c r="CI28" s="145" t="str">
        <x:f>IF(CC28&gt;1,"Inviavel","OK")</x:f>
        <x:v>OK</x:v>
      </x:c>
    </x:row>
    <x:row r="29">
      <x:c r="A29" s="142" t="n">
        <x:v>25</x:v>
      </x:c>
      <x:c r="B29" s="179" t="n">
        <x:f>EDATE(Premissas!$B$4,A29-1)</x:f>
        <x:v>47270</x:v>
      </x:c>
      <x:c r="C29" s="141" t="n">
        <x:f>IF(A29&lt;=Premissas!$B$39,Premissas!$B$42,0)</x:f>
        <x:v>7000</x:v>
      </x:c>
      <x:c r="D29" s="141" t="n">
        <x:f>Premissas!$B$54*(1+Premissas!$B$57)^INT((A29-1)/12)</x:f>
        <x:v>786.5200000000001</x:v>
      </x:c>
      <x:c r="E29" s="141" t="n">
        <x:f>Premissas!$B$64*(1+Premissas!$B$57)^INT((A29-1)/12)</x:f>
        <x:v>719.104</x:v>
      </x:c>
      <x:c r="F29" s="141" t="n">
        <x:f>MAX(0,Premissas!$B$6*(1+Premissas!$B$66)^((A29-1)/12))</x:f>
        <x:v>224720.00000000003</x:v>
      </x:c>
      <x:c r="G29" s="141" t="n">
        <x:f>G28*(1+Premissas!$B$41)+C29</x:f>
        <x:v>309350.8289599615</x:v>
      </x:c>
      <x:c r="H29" s="141" t="n">
        <x:f>IF($A29=Premissas!$B$48,Premissas!$B$8,0)</x:f>
        <x:v>0</x:v>
      </x:c>
      <x:c r="I29" s="141" t="n">
        <x:f>IF(AND($A29&gt;=Premissas!$B$48,$A29-Premissas!$B$48+1&lt;=Premissas!$B$13),INDEX(Financiamento!$J$6:$J$485,$A29-Premissas!$B$48+1),0)</x:f>
        <x:v>1962.4045722266267</x:v>
      </x:c>
      <x:c r="J29" s="141" t="n">
        <x:f>IF(AND(TRUE,Premissas!$B$11="Imovel",Premissas!$B$47="Moradia",$A29&lt;MAX(Premissas!$B$48,Premissas!$B$49)),$D29,0)</x:f>
        <x:v>0</x:v>
      </x:c>
      <x:c r="K29" s="141" t="n">
        <x:f>IF(AND(TRUE,Premissas!$B$11="Imovel",Premissas!$B$47="Investimento",$A29&gt;=MAX(Premissas!$B$48,Premissas!$B$49)),$E29,0)</x:f>
        <x:v>719.104</x:v>
      </x:c>
      <x:c r="L29" s="141" t="n">
        <x:f>H29+I29+J29</x:f>
        <x:v>1962.4045722266267</x:v>
      </x:c>
      <x:c r="M29" s="141" t="n">
        <x:f>K29</x:f>
        <x:v>719.104</x:v>
      </x:c>
      <x:c r="N29" s="141" t="n">
        <x:f>$C29+M29-L29</x:f>
        <x:v>5756.699427773374</x:v>
      </x:c>
      <x:c r="O29" s="141" t="n">
        <x:f>R28*(1+Premissas!$B$41)+N29</x:f>
        <x:v>221363.75628588698</x:v>
      </x:c>
      <x:c r="P29" s="141" t="n">
        <x:f>MAX(0,-O29)</x:f>
        <x:v>0</x:v>
      </x:c>
      <x:c r="Q29" s="141" t="n">
        <x:f>Q28*(1+Premissas!$B$41)+P29</x:f>
        <x:v>0</x:v>
      </x:c>
      <x:c r="R29" s="141" t="n">
        <x:f>MAX(0,O29)</x:f>
        <x:v>221363.75628588698</x:v>
      </x:c>
      <x:c r="S29" s="141" t="n">
        <x:f>IF(AND($A29&gt;=Premissas!$B$48,$A29-Premissas!$B$48+1&lt;=Premissas!$B$13),INDEX(Financiamento!$M$6:$M$485,$A29-Premissas!$B$48+1),0)</x:f>
        <x:v>150476.19047619076</x:v>
      </x:c>
      <x:c r="T29" s="141" t="n">
        <x:f>IF($A29&gt;=Premissas!$B$48,$F29,0)</x:f>
        <x:v>224720.00000000003</x:v>
      </x:c>
      <x:c r="U29" s="141" t="n">
        <x:f>R29+T29-S29</x:f>
        <x:v>295607.5658096962</x:v>
      </x:c>
      <x:c r="V29" s="141" t="n">
        <x:f>IF(Q29&gt;1,"Inviavel",U29)</x:f>
        <x:v>295607.5658096962</x:v>
      </x:c>
      <x:c r="W29" s="141" t="str">
        <x:f>IF(Q29&gt;1,"Inviavel","OK")</x:f>
        <x:v>OK</x:v>
      </x:c>
      <x:c r="X29" s="141" t="n">
        <x:f>IF($A29=Premissas!$B$48,Premissas!$B$8,0)</x:f>
        <x:v>0</x:v>
      </x:c>
      <x:c r="Y29" s="141" t="n">
        <x:f>IF(AND($A29&gt;=Premissas!$B$48,$A29-Premissas!$B$48+1&lt;=Premissas!$B$13),INDEX(Amortizacao!$K$6:$K$485,$A29-Premissas!$B$48+1),0)</x:f>
        <x:v>7000</x:v>
      </x:c>
      <x:c r="Z29" s="141" t="n">
        <x:f>IF(AND(TRUE,Premissas!$B$11="Imovel",Premissas!$B$47="Moradia",$A29&lt;MAX(Premissas!$B$48,Premissas!$B$49)),$D29,0)</x:f>
        <x:v>0</x:v>
      </x:c>
      <x:c r="AA29" s="141" t="n">
        <x:f>IF(AND(TRUE,Premissas!$B$11="Imovel",Premissas!$B$47="Investimento",$A29&gt;=MAX(Premissas!$B$48,Premissas!$B$49)),$E29,0)</x:f>
        <x:v>719.104</x:v>
      </x:c>
      <x:c r="AB29" s="141" t="n">
        <x:f>X29+Y29+Z29</x:f>
        <x:v>7000</x:v>
      </x:c>
      <x:c r="AC29" s="141" t="n">
        <x:f>AA29</x:f>
        <x:v>719.104</x:v>
      </x:c>
      <x:c r="AD29" s="141" t="n">
        <x:f>$C29+AC29-AB29</x:f>
        <x:v>719.1040000000003</x:v>
      </x:c>
      <x:c r="AE29" s="141" t="n">
        <x:f>AH28*(1+Premissas!$B$41)+AD29</x:f>
        <x:v>81250.92188173442</x:v>
      </x:c>
      <x:c r="AF29" s="141" t="n">
        <x:f>MAX(0,-AE29)</x:f>
        <x:v>0</x:v>
      </x:c>
      <x:c r="AG29" s="141" t="n">
        <x:f>AG28*(1+Premissas!$B$41)+AF29</x:f>
        <x:v>0</x:v>
      </x:c>
      <x:c r="AH29" s="141" t="n">
        <x:f>MAX(0,AE29)</x:f>
        <x:v>81250.92188173442</x:v>
      </x:c>
      <x:c r="AI29" s="141" t="n">
        <x:f>IF(AND($A29&gt;=Premissas!$B$48,$A29-Premissas!$B$48+1&lt;=Premissas!$B$13),INDEX(Amortizacao!$L$6:$L$485,$A29-Premissas!$B$48+1),0)</x:f>
        <x:v>10363.356072038016</x:v>
      </x:c>
      <x:c r="AJ29" s="141" t="n">
        <x:f>IF($A29&gt;=Premissas!$B$48,$F29,0)</x:f>
        <x:v>224720.00000000003</x:v>
      </x:c>
      <x:c r="AK29" s="141" t="n">
        <x:f>AH29+AJ29-AI29</x:f>
        <x:v>295607.56580969645</x:v>
      </x:c>
      <x:c r="AL29" s="141" t="n">
        <x:f>IF(AG29&gt;1,"Inviavel",AK29)</x:f>
        <x:v>295607.56580969645</x:v>
      </x:c>
      <x:c r="AM29" s="141" t="str">
        <x:f>IF(AG29&gt;1,"Inviavel","OK")</x:f>
        <x:v>OK</x:v>
      </x:c>
      <x:c r="AN29" s="141" t="n">
        <x:f>IF($A29=Premissas!$B$48,Premissas!$B$8,0)</x:f>
        <x:v>0</x:v>
      </x:c>
      <x:c r="AO29" s="141" t="n">
        <x:f>IF($A29&lt;=Premissas!$B$25,INDEX('Consorcio IQ'!$K$6:$K$485,$A29),0)</x:f>
        <x:v>2603.3800083248834</x:v>
      </x:c>
      <x:c r="AP29" s="141" t="n">
        <x:f>IF(AND(TRUE,Premissas!$B$11="Imovel",Premissas!$B$47="Moradia",$A29&lt;MAX(Premissas!$B$48,Premissas!$B$49)),$D29,0)</x:f>
        <x:v>0</x:v>
      </x:c>
      <x:c r="AQ29" s="141" t="n">
        <x:f>IF(AND(TRUE,Premissas!$B$11="Imovel",Premissas!$B$47="Investimento",$A29&gt;=MAX(Premissas!$B$48,Premissas!$B$49)),$E29,0)</x:f>
        <x:v>719.104</x:v>
      </x:c>
      <x:c r="AR29" s="141" t="n">
        <x:f>AN29+AO29+AP29</x:f>
        <x:v>2603.3800083248834</x:v>
      </x:c>
      <x:c r="AS29" s="141" t="n">
        <x:f>AQ29</x:f>
        <x:v>719.104</x:v>
      </x:c>
      <x:c r="AT29" s="141" t="n">
        <x:f>$C29+AS29-AR29</x:f>
        <x:v>5115.723991675117</x:v>
      </x:c>
      <x:c r="AU29" s="141" t="n">
        <x:f>AX28*(1+Premissas!$B$41)+AT29</x:f>
        <x:v>204846.16531928498</x:v>
      </x:c>
      <x:c r="AV29" s="141" t="n">
        <x:f>MAX(0,-AU29)</x:f>
        <x:v>0</x:v>
      </x:c>
      <x:c r="AW29" s="141" t="n">
        <x:f>AW28*(1+Premissas!$B$41)+AV29</x:f>
        <x:v>0</x:v>
      </x:c>
      <x:c r="AX29" s="141" t="n">
        <x:f>MAX(0,AU29)</x:f>
        <x:v>204846.16531928498</x:v>
      </x:c>
      <x:c r="AY29" s="141" t="n">
        <x:f>INDEX('Consorcio IQ'!$P$6:$P$485,$A29)</x:f>
        <x:v>235596.30030267418</x:v>
      </x:c>
      <x:c r="AZ29" s="141" t="n">
        <x:f>IF($A29&gt;=Premissas!$B$48,$F29,0)+IF($A29&lt;Premissas!$B$27,INDEX('Consorcio IQ'!$O$6:$O$485,$A29),0)</x:f>
        <x:v>323261.830838835</x:v>
      </x:c>
      <x:c r="BA29" s="141" t="n">
        <x:f>AX29+AZ29-AY29</x:f>
        <x:v>292511.6958554458</x:v>
      </x:c>
      <x:c r="BB29" s="141" t="n">
        <x:f>IF(AW29&gt;1,"Inviavel",BA29)</x:f>
        <x:v>292511.6958554458</x:v>
      </x:c>
      <x:c r="BC29" s="141" t="str">
        <x:f>IF(AW29&gt;1,"Inviavel","OK")</x:f>
        <x:v>OK</x:v>
      </x:c>
      <x:c r="BD29" s="141" t="n">
        <x:f>IF($A29='Consorcio Direto'!$B$29,'Consorcio Direto'!$B$44,0)</x:f>
        <x:v>0</x:v>
      </x:c>
      <x:c r="BE29" s="141" t="n">
        <x:f>IF($A29&lt;='Consorcio Direto'!$B$27,INDEX('Consorcio Direto'!$E$55:$E$534,$A29),0)</x:f>
        <x:v>1659.8063813987517</x:v>
      </x:c>
      <x:c r="BF29" s="141" t="n">
        <x:f>IF(AND(TRUE,Premissas!$B$11="Imovel",Premissas!$B$47="Moradia",$A29&lt;MAX('Consorcio Direto'!$B$29,Premissas!$B$49)),$D29,0)</x:f>
        <x:v>0</x:v>
      </x:c>
      <x:c r="BG29" s="141" t="n">
        <x:f>IF(AND(TRUE,Premissas!$B$11="Imovel",Premissas!$B$47="Investimento",$A29&gt;=MAX('Consorcio Direto'!$B$29,Premissas!$B$49)),$E29,0)</x:f>
        <x:v>0</x:v>
      </x:c>
      <x:c r="BH29" s="141" t="n">
        <x:f>BD29+BE29+BF29</x:f>
        <x:v>1659.8063813987517</x:v>
      </x:c>
      <x:c r="BI29" s="141" t="n">
        <x:f>BG29</x:f>
        <x:v>0</x:v>
      </x:c>
      <x:c r="BJ29" s="141" t="n">
        <x:f>$C29+BI29-BH29</x:f>
        <x:v>5340.193618601248</x:v>
      </x:c>
      <x:c r="BK29" s="141" t="n">
        <x:f>BN28*(1+Premissas!$B$41)+BJ29</x:f>
        <x:v>266578.5145346426</x:v>
      </x:c>
      <x:c r="BL29" s="141" t="n">
        <x:f>MAX(0,-BK29)</x:f>
        <x:v>0</x:v>
      </x:c>
      <x:c r="BM29" s="141" t="n">
        <x:f>BM28*(1+Premissas!$B$41)+BL29</x:f>
        <x:v>0</x:v>
      </x:c>
      <x:c r="BN29" s="141" t="n">
        <x:f>MAX(0,BK29)</x:f>
        <x:v>266578.5145346426</x:v>
      </x:c>
      <x:c r="BO29" s="141" t="n">
        <x:f>INDEX('Consorcio Direto'!$K$55:$K$534,$A29)</x:f>
        <x:v>220418.58941643138</x:v>
      </x:c>
      <x:c r="BP29" s="141" t="n">
        <x:f>IF($A29&lt;'Consorcio Direto'!$B$29,INDEX('Consorcio Direto'!$L$55:$L$534,$A29),$F29)</x:f>
        <x:v>191380.6096727808</x:v>
      </x:c>
      <x:c r="BQ29" s="141" t="n">
        <x:f>BN29+BP29-BO29</x:f>
        <x:v>237540.53479099204</x:v>
      </x:c>
      <x:c r="BR29" s="141" t="n">
        <x:f>IF(BM29&gt;1,"Inviavel",BQ29)</x:f>
        <x:v>237540.53479099204</x:v>
      </x:c>
      <x:c r="BS29" s="141" t="str">
        <x:f>IF(BM29&gt;1,"Inviavel","OK")</x:f>
        <x:v>OK</x:v>
      </x:c>
      <x:c r="BT29" s="141" t="n">
        <x:f>IF(AND('Carta Contemplada'!$B$22="Sim",$A29='Carta Contemplada'!$B$23),'Carta Contemplada'!$B$37,0)</x:f>
        <x:v>0</x:v>
      </x:c>
      <x:c r="BU29" s="141" t="n">
        <x:f>IF('Carta Contemplada'!$B$22="Sim",INDEX('Carta Contemplada'!$C$55:$C$1013,$A29),0)</x:f>
        <x:v>1348.3200000000002</x:v>
      </x:c>
      <x:c r="BV29" s="141" t="n">
        <x:f>IF(AND('Carta Contemplada'!$B$22="Sim",Premissas!$B$11="Imovel",Premissas!$B$47="Moradia",$A29&lt;MAX('Carta Contemplada'!$B$44,Premissas!$B$49)),$D29,0)</x:f>
        <x:v>0</x:v>
      </x:c>
      <x:c r="BW29" s="141" t="n">
        <x:f>IF(AND('Carta Contemplada'!$B$22="Sim",Premissas!$B$11="Imovel",Premissas!$B$47="Investimento",$A29&gt;=MAX('Carta Contemplada'!$B$44,Premissas!$B$49)),$E29,0)</x:f>
        <x:v>719.104</x:v>
      </x:c>
      <x:c r="BX29" s="141" t="n">
        <x:f>BT29+BU29+BV29</x:f>
        <x:v>1348.3200000000002</x:v>
      </x:c>
      <x:c r="BY29" s="141" t="n">
        <x:f>BW29</x:f>
        <x:v>719.104</x:v>
      </x:c>
      <x:c r="BZ29" s="141" t="n">
        <x:f>$C29+BY29-BX29</x:f>
        <x:v>6370.784</x:v>
      </x:c>
      <x:c r="CA29" s="141" t="n">
        <x:f>CD28*(1+Premissas!$B$41)+BZ29</x:f>
        <x:v>234179.47231344378</x:v>
      </x:c>
      <x:c r="CB29" s="141" t="n">
        <x:f>MAX(0,-CA29)</x:f>
        <x:v>0</x:v>
      </x:c>
      <x:c r="CC29" s="141" t="n">
        <x:f>CC28*(1+Premissas!$B$41)+CB29</x:f>
        <x:v>0</x:v>
      </x:c>
      <x:c r="CD29" s="141" t="n">
        <x:f>MAX(0,CA29)</x:f>
        <x:v>234179.47231344378</x:v>
      </x:c>
      <x:c r="CE29" s="141" t="n">
        <x:f>IF(AND('Carta Contemplada'!$B$22="Sim",$A29&gt;='Carta Contemplada'!$B$23),INDEX('Carta Contemplada'!$I$55:$I$1013,$A29),0)</x:f>
        <x:v>145305.73114333538</x:v>
      </x:c>
      <x:c r="CF29" s="141" t="n">
        <x:f>IF(AND('Carta Contemplada'!$B$22="Sim",$A29&gt;='Carta Contemplada'!$B$44),$F29,0)</x:f>
        <x:v>224720.00000000003</x:v>
      </x:c>
      <x:c r="CG29" s="141" t="n">
        <x:f>CD29+CF29-CE29</x:f>
        <x:v>313593.74117010843</x:v>
      </x:c>
      <x:c r="CH29" s="141" t="n">
        <x:f>IF(CC29&gt;1,"Inviavel",CG29)</x:f>
        <x:v>313593.74117010843</x:v>
      </x:c>
      <x:c r="CI29" s="145" t="str">
        <x:f>IF(CC29&gt;1,"Inviavel","OK")</x:f>
        <x:v>OK</x:v>
      </x:c>
    </x:row>
    <x:row r="30">
      <x:c r="A30" s="142" t="n">
        <x:v>26</x:v>
      </x:c>
      <x:c r="B30" s="179" t="n">
        <x:f>EDATE(Premissas!$B$4,A30-1)</x:f>
        <x:v>47300</x:v>
      </x:c>
      <x:c r="C30" s="141" t="n">
        <x:f>IF(A30&lt;=Premissas!$B$39,Premissas!$B$42,0)</x:f>
        <x:v>7000</x:v>
      </x:c>
      <x:c r="D30" s="141" t="n">
        <x:f>Premissas!$B$54*(1+Premissas!$B$57)^INT((A30-1)/12)</x:f>
        <x:v>786.5200000000001</x:v>
      </x:c>
      <x:c r="E30" s="141" t="n">
        <x:f>Premissas!$B$64*(1+Premissas!$B$57)^INT((A30-1)/12)</x:f>
        <x:v>719.104</x:v>
      </x:c>
      <x:c r="F30" s="141" t="n">
        <x:f>MAX(0,Premissas!$B$6*(1+Premissas!$B$66)^((A30-1)/12))</x:f>
        <x:v>225813.8359630439</x:v>
      </x:c>
      <x:c r="G30" s="141" t="n">
        <x:f>G29*(1+Premissas!$B$41)+C30</x:f>
        <x:v>319286.1949201042</x:v>
      </x:c>
      <x:c r="H30" s="141" t="n">
        <x:f>IF($A30=Premissas!$B$48,Premissas!$B$8,0)</x:f>
        <x:v>0</x:v>
      </x:c>
      <x:c r="I30" s="141" t="n">
        <x:f>IF(AND($A30&gt;=Premissas!$B$48,$A30-Premissas!$B$48+1&lt;=Premissas!$B$13),INDEX(Financiamento!$J$6:$J$485,$A30-Premissas!$B$48+1),0)</x:f>
        <x:v>1958.7897939658333</x:v>
      </x:c>
      <x:c r="J30" s="141" t="n">
        <x:f>IF(AND(TRUE,Premissas!$B$11="Imovel",Premissas!$B$47="Moradia",$A30&lt;MAX(Premissas!$B$48,Premissas!$B$49)),$D30,0)</x:f>
        <x:v>0</x:v>
      </x:c>
      <x:c r="K30" s="141" t="n">
        <x:f>IF(AND(TRUE,Premissas!$B$11="Imovel",Premissas!$B$47="Investimento",$A30&gt;=MAX(Premissas!$B$48,Premissas!$B$49)),$E30,0)</x:f>
        <x:v>719.104</x:v>
      </x:c>
      <x:c r="L30" s="141" t="n">
        <x:f>H30+I30+J30</x:f>
        <x:v>1958.7897939658333</x:v>
      </x:c>
      <x:c r="M30" s="141" t="n">
        <x:f>K30</x:f>
        <x:v>719.104</x:v>
      </x:c>
      <x:c r="N30" s="141" t="n">
        <x:f>$C30+M30-L30</x:f>
        <x:v>5760.314206034167</x:v>
      </x:c>
      <x:c r="O30" s="141" t="n">
        <x:f>R29*(1+Premissas!$B$41)+N30</x:f>
        <x:v>229224.54533853944</x:v>
      </x:c>
      <x:c r="P30" s="141" t="n">
        <x:f>MAX(0,-O30)</x:f>
        <x:v>0</x:v>
      </x:c>
      <x:c r="Q30" s="141" t="n">
        <x:f>Q29*(1+Premissas!$B$41)+P30</x:f>
        <x:v>0</x:v>
      </x:c>
      <x:c r="R30" s="141" t="n">
        <x:f>MAX(0,O30)</x:f>
        <x:v>229224.54533853944</x:v>
      </x:c>
      <x:c r="S30" s="141" t="n">
        <x:f>IF(AND($A30&gt;=Premissas!$B$48,$A30-Premissas!$B$48+1&lt;=Premissas!$B$13),INDEX(Financiamento!$M$6:$M$485,$A30-Premissas!$B$48+1),0)</x:f>
        <x:v>150095.23809523837</x:v>
      </x:c>
      <x:c r="T30" s="141" t="n">
        <x:f>IF($A30&gt;=Premissas!$B$48,$F30,0)</x:f>
        <x:v>225813.8359630439</x:v>
      </x:c>
      <x:c r="U30" s="141" t="n">
        <x:f>R30+T30-S30</x:f>
        <x:v>304943.14320634503</x:v>
      </x:c>
      <x:c r="V30" s="141" t="n">
        <x:f>IF(Q30&gt;1,"Inviavel",U30)</x:f>
        <x:v>304943.14320634503</x:v>
      </x:c>
      <x:c r="W30" s="141" t="str">
        <x:f>IF(Q30&gt;1,"Inviavel","OK")</x:f>
        <x:v>OK</x:v>
      </x:c>
      <x:c r="X30" s="141" t="n">
        <x:f>IF($A30=Premissas!$B$48,Premissas!$B$8,0)</x:f>
        <x:v>0</x:v>
      </x:c>
      <x:c r="Y30" s="141" t="n">
        <x:f>IF(AND($A30&gt;=Premissas!$B$48,$A30-Premissas!$B$48+1&lt;=Premissas!$B$13),INDEX(Amortizacao!$K$6:$K$485,$A30-Premissas!$B$48+1),0)</x:f>
        <x:v>7000</x:v>
      </x:c>
      <x:c r="Z30" s="141" t="n">
        <x:f>IF(AND(TRUE,Premissas!$B$11="Imovel",Premissas!$B$47="Moradia",$A30&lt;MAX(Premissas!$B$48,Premissas!$B$49)),$D30,0)</x:f>
        <x:v>0</x:v>
      </x:c>
      <x:c r="AA30" s="141" t="n">
        <x:f>IF(AND(TRUE,Premissas!$B$11="Imovel",Premissas!$B$47="Investimento",$A30&gt;=MAX(Premissas!$B$48,Premissas!$B$49)),$E30,0)</x:f>
        <x:v>719.104</x:v>
      </x:c>
      <x:c r="AB30" s="141" t="n">
        <x:f>X30+Y30+Z30</x:f>
        <x:v>7000</x:v>
      </x:c>
      <x:c r="AC30" s="141" t="n">
        <x:f>AA30</x:f>
        <x:v>719.104</x:v>
      </x:c>
      <x:c r="AD30" s="141" t="n">
        <x:f>$C30+AC30-AB30</x:f>
        <x:v>719.1040000000003</x:v>
      </x:c>
      <x:c r="AE30" s="141" t="n">
        <x:f>AH29*(1+Premissas!$B$41)+AD30</x:f>
        <x:v>82740.99905521418</x:v>
      </x:c>
      <x:c r="AF30" s="141" t="n">
        <x:f>MAX(0,-AE30)</x:f>
        <x:v>0</x:v>
      </x:c>
      <x:c r="AG30" s="141" t="n">
        <x:f>AG29*(1+Premissas!$B$41)+AF30</x:f>
        <x:v>0</x:v>
      </x:c>
      <x:c r="AH30" s="141" t="n">
        <x:f>MAX(0,AE30)</x:f>
        <x:v>82740.99905521418</x:v>
      </x:c>
      <x:c r="AI30" s="141" t="n">
        <x:f>IF(AND($A30&gt;=Premissas!$B$48,$A30-Premissas!$B$48+1&lt;=Premissas!$B$13),INDEX(Amortizacao!$L$6:$L$485,$A30-Premissas!$B$48+1),0)</x:f>
        <x:v>3611.6918119129386</x:v>
      </x:c>
      <x:c r="AJ30" s="141" t="n">
        <x:f>IF($A30&gt;=Premissas!$B$48,$F30,0)</x:f>
        <x:v>225813.8359630439</x:v>
      </x:c>
      <x:c r="AK30" s="141" t="n">
        <x:f>AH30+AJ30-AI30</x:f>
        <x:v>304943.14320634515</x:v>
      </x:c>
      <x:c r="AL30" s="141" t="n">
        <x:f>IF(AG30&gt;1,"Inviavel",AK30)</x:f>
        <x:v>304943.14320634515</x:v>
      </x:c>
      <x:c r="AM30" s="141" t="str">
        <x:f>IF(AG30&gt;1,"Inviavel","OK")</x:f>
        <x:v>OK</x:v>
      </x:c>
      <x:c r="AN30" s="141" t="n">
        <x:f>IF($A30=Premissas!$B$48,Premissas!$B$8,0)</x:f>
        <x:v>0</x:v>
      </x:c>
      <x:c r="AO30" s="141" t="n">
        <x:f>IF($A30&lt;=Premissas!$B$25,INDEX('Consorcio IQ'!$K$6:$K$485,$A30),0)</x:f>
        <x:v>2599.7652300640902</x:v>
      </x:c>
      <x:c r="AP30" s="141" t="n">
        <x:f>IF(AND(TRUE,Premissas!$B$11="Imovel",Premissas!$B$47="Moradia",$A30&lt;MAX(Premissas!$B$48,Premissas!$B$49)),$D30,0)</x:f>
        <x:v>0</x:v>
      </x:c>
      <x:c r="AQ30" s="141" t="n">
        <x:f>IF(AND(TRUE,Premissas!$B$11="Imovel",Premissas!$B$47="Investimento",$A30&gt;=MAX(Premissas!$B$48,Premissas!$B$49)),$E30,0)</x:f>
        <x:v>719.104</x:v>
      </x:c>
      <x:c r="AR30" s="141" t="n">
        <x:f>AN30+AO30+AP30</x:f>
        <x:v>2599.7652300640902</x:v>
      </x:c>
      <x:c r="AS30" s="141" t="n">
        <x:f>AQ30</x:f>
        <x:v>719.104</x:v>
      </x:c>
      <x:c r="AT30" s="141" t="n">
        <x:f>$C30+AS30-AR30</x:f>
        <x:v>5119.33876993591</x:v>
      </x:c>
      <x:c r="AU30" s="141" t="n">
        <x:f>AX29*(1+Premissas!$B$41)+AT30</x:f>
        <x:v>211909.24693537896</x:v>
      </x:c>
      <x:c r="AV30" s="141" t="n">
        <x:f>MAX(0,-AU30)</x:f>
        <x:v>0</x:v>
      </x:c>
      <x:c r="AW30" s="141" t="n">
        <x:f>AW29*(1+Premissas!$B$41)+AV30</x:f>
        <x:v>0</x:v>
      </x:c>
      <x:c r="AX30" s="141" t="n">
        <x:f>MAX(0,AU30)</x:f>
        <x:v>211909.24693537896</x:v>
      </x:c>
      <x:c r="AY30" s="141" t="n">
        <x:f>INDEX('Consorcio IQ'!$P$6:$P$485,$A30)</x:f>
        <x:v>235382.059582336</x:v>
      </x:c>
      <x:c r="AZ30" s="141" t="n">
        <x:f>IF($A30&gt;=Premissas!$B$48,$F30,0)+IF($A30&lt;Premissas!$B$27,INDEX('Consorcio IQ'!$O$6:$O$485,$A30),0)</x:f>
        <x:v>325290.70983010327</x:v>
      </x:c>
      <x:c r="BA30" s="141" t="n">
        <x:f>AX30+AZ30-AY30</x:f>
        <x:v>301817.8971831462</x:v>
      </x:c>
      <x:c r="BB30" s="141" t="n">
        <x:f>IF(AW30&gt;1,"Inviavel",BA30)</x:f>
        <x:v>301817.8971831462</x:v>
      </x:c>
      <x:c r="BC30" s="141" t="str">
        <x:f>IF(AW30&gt;1,"Inviavel","OK")</x:f>
        <x:v>OK</x:v>
      </x:c>
      <x:c r="BD30" s="141" t="n">
        <x:f>IF($A30='Consorcio Direto'!$B$29,'Consorcio Direto'!$B$44,0)</x:f>
        <x:v>0</x:v>
      </x:c>
      <x:c r="BE30" s="141" t="n">
        <x:f>IF($A30&lt;='Consorcio Direto'!$B$27,INDEX('Consorcio Direto'!$E$55:$E$534,$A30),0)</x:f>
        <x:v>1659.8063813987517</x:v>
      </x:c>
      <x:c r="BF30" s="141" t="n">
        <x:f>IF(AND(TRUE,Premissas!$B$11="Imovel",Premissas!$B$47="Moradia",$A30&lt;MAX('Consorcio Direto'!$B$29,Premissas!$B$49)),$D30,0)</x:f>
        <x:v>0</x:v>
      </x:c>
      <x:c r="BG30" s="141" t="n">
        <x:f>IF(AND(TRUE,Premissas!$B$11="Imovel",Premissas!$B$47="Investimento",$A30&gt;=MAX('Consorcio Direto'!$B$29,Premissas!$B$49)),$E30,0)</x:f>
        <x:v>0</x:v>
      </x:c>
      <x:c r="BH30" s="141" t="n">
        <x:f>BD30+BE30+BF30</x:f>
        <x:v>1659.8063813987517</x:v>
      </x:c>
      <x:c r="BI30" s="141" t="n">
        <x:f>BG30</x:f>
        <x:v>0</x:v>
      </x:c>
      <x:c r="BJ30" s="141" t="n">
        <x:f>$C30+BI30-BH30</x:f>
        <x:v>5340.193618601248</x:v>
      </x:c>
      <x:c r="BK30" s="141" t="n">
        <x:f>BN29*(1+Premissas!$B$41)+BJ30</x:f>
        <x:v>274448.2164784718</x:v>
      </x:c>
      <x:c r="BL30" s="141" t="n">
        <x:f>MAX(0,-BK30)</x:f>
        <x:v>0</x:v>
      </x:c>
      <x:c r="BM30" s="141" t="n">
        <x:f>BM29*(1+Premissas!$B$41)+BL30</x:f>
        <x:v>0</x:v>
      </x:c>
      <x:c r="BN30" s="141" t="n">
        <x:f>MAX(0,BK30)</x:f>
        <x:v>274448.2164784718</x:v>
      </x:c>
      <x:c r="BO30" s="141" t="n">
        <x:f>INDEX('Consorcio Direto'!$K$55:$K$534,$A30)</x:f>
        <x:v>220850.28938893802</x:v>
      </x:c>
      <x:c r="BP30" s="141" t="n">
        <x:f>IF($A30&lt;'Consorcio Direto'!$B$29,INDEX('Consorcio Direto'!$L$55:$L$534,$A30),$F30)</x:f>
        <x:v>193196.58064966009</x:v>
      </x:c>
      <x:c r="BQ30" s="141" t="n">
        <x:f>BN30+BP30-BO30</x:f>
        <x:v>246794.50773919388</x:v>
      </x:c>
      <x:c r="BR30" s="141" t="n">
        <x:f>IF(BM30&gt;1,"Inviavel",BQ30)</x:f>
        <x:v>246794.50773919388</x:v>
      </x:c>
      <x:c r="BS30" s="141" t="str">
        <x:f>IF(BM30&gt;1,"Inviavel","OK")</x:f>
        <x:v>OK</x:v>
      </x:c>
      <x:c r="BT30" s="141" t="n">
        <x:f>IF(AND('Carta Contemplada'!$B$22="Sim",$A30='Carta Contemplada'!$B$23),'Carta Contemplada'!$B$37,0)</x:f>
        <x:v>0</x:v>
      </x:c>
      <x:c r="BU30" s="141" t="n">
        <x:f>IF('Carta Contemplada'!$B$22="Sim",INDEX('Carta Contemplada'!$C$55:$C$1013,$A30),0)</x:f>
        <x:v>1348.3200000000002</x:v>
      </x:c>
      <x:c r="BV30" s="141" t="n">
        <x:f>IF(AND('Carta Contemplada'!$B$22="Sim",Premissas!$B$11="Imovel",Premissas!$B$47="Moradia",$A30&lt;MAX('Carta Contemplada'!$B$44,Premissas!$B$49)),$D30,0)</x:f>
        <x:v>0</x:v>
      </x:c>
      <x:c r="BW30" s="141" t="n">
        <x:f>IF(AND('Carta Contemplada'!$B$22="Sim",Premissas!$B$11="Imovel",Premissas!$B$47="Investimento",$A30&gt;=MAX('Carta Contemplada'!$B$44,Premissas!$B$49)),$E30,0)</x:f>
        <x:v>719.104</x:v>
      </x:c>
      <x:c r="BX30" s="141" t="n">
        <x:f>BT30+BU30+BV30</x:f>
        <x:v>1348.3200000000002</x:v>
      </x:c>
      <x:c r="BY30" s="141" t="n">
        <x:f>BW30</x:f>
        <x:v>719.104</x:v>
      </x:c>
      <x:c r="BZ30" s="141" t="n">
        <x:f>$C30+BY30-BX30</x:f>
        <x:v>6370.784</x:v>
      </x:c>
      <x:c r="CA30" s="141" t="n">
        <x:f>CD29*(1+Premissas!$B$41)+BZ30</x:f>
        <x:v>242772.33683575597</x:v>
      </x:c>
      <x:c r="CB30" s="141" t="n">
        <x:f>MAX(0,-CA30)</x:f>
        <x:v>0</x:v>
      </x:c>
      <x:c r="CC30" s="141" t="n">
        <x:f>CC29*(1+Premissas!$B$41)+CB30</x:f>
        <x:v>0</x:v>
      </x:c>
      <x:c r="CD30" s="141" t="n">
        <x:f>MAX(0,CA30)</x:f>
        <x:v>242772.33683575597</x:v>
      </x:c>
      <x:c r="CE30" s="141" t="n">
        <x:f>IF(AND('Carta Contemplada'!$B$22="Sim",$A30&gt;='Carta Contemplada'!$B$23),INDEX('Carta Contemplada'!$I$55:$I$1013,$A30),0)</x:f>
        <x:v>145336.18713836267</x:v>
      </x:c>
      <x:c r="CF30" s="141" t="n">
        <x:f>IF(AND('Carta Contemplada'!$B$22="Sim",$A30&gt;='Carta Contemplada'!$B$44),$F30,0)</x:f>
        <x:v>225813.8359630439</x:v>
      </x:c>
      <x:c r="CG30" s="141" t="n">
        <x:f>CD30+CF30-CE30</x:f>
        <x:v>323249.9856604372</x:v>
      </x:c>
      <x:c r="CH30" s="141" t="n">
        <x:f>IF(CC30&gt;1,"Inviavel",CG30)</x:f>
        <x:v>323249.9856604372</x:v>
      </x:c>
      <x:c r="CI30" s="145" t="str">
        <x:f>IF(CC30&gt;1,"Inviavel","OK")</x:f>
        <x:v>OK</x:v>
      </x:c>
    </x:row>
    <x:row r="31">
      <x:c r="A31" s="142" t="n">
        <x:v>27</x:v>
      </x:c>
      <x:c r="B31" s="179" t="n">
        <x:f>EDATE(Premissas!$B$4,A31-1)</x:f>
        <x:v>47331</x:v>
      </x:c>
      <x:c r="C31" s="141" t="n">
        <x:f>IF(A31&lt;=Premissas!$B$39,Premissas!$B$42,0)</x:f>
        <x:v>7000</x:v>
      </x:c>
      <x:c r="D31" s="141" t="n">
        <x:f>Premissas!$B$54*(1+Premissas!$B$57)^INT((A31-1)/12)</x:f>
        <x:v>786.5200000000001</x:v>
      </x:c>
      <x:c r="E31" s="141" t="n">
        <x:f>Premissas!$B$64*(1+Premissas!$B$57)^INT((A31-1)/12)</x:f>
        <x:v>719.104</x:v>
      </x:c>
      <x:c r="F31" s="141" t="n">
        <x:f>MAX(0,Premissas!$B$6*(1+Premissas!$B$66)^((A31-1)/12))</x:f>
        <x:v>226912.99622794808</x:v>
      </x:c>
      <x:c r="G31" s="141" t="n">
        <x:f>G30*(1+Premissas!$B$41)+C31</x:f>
        <x:v>329315.83551057195</x:v>
      </x:c>
      <x:c r="H31" s="141" t="n">
        <x:f>IF($A31=Premissas!$B$48,Premissas!$B$8,0)</x:f>
        <x:v>0</x:v>
      </x:c>
      <x:c r="I31" s="141" t="n">
        <x:f>IF(AND($A31&gt;=Premissas!$B$48,$A31-Premissas!$B$48+1&lt;=Premissas!$B$13),INDEX(Financiamento!$J$6:$J$485,$A31-Premissas!$B$48+1),0)</x:f>
        <x:v>1955.1750157050394</x:v>
      </x:c>
      <x:c r="J31" s="141" t="n">
        <x:f>IF(AND(TRUE,Premissas!$B$11="Imovel",Premissas!$B$47="Moradia",$A31&lt;MAX(Premissas!$B$48,Premissas!$B$49)),$D31,0)</x:f>
        <x:v>0</x:v>
      </x:c>
      <x:c r="K31" s="141" t="n">
        <x:f>IF(AND(TRUE,Premissas!$B$11="Imovel",Premissas!$B$47="Investimento",$A31&gt;=MAX(Premissas!$B$48,Premissas!$B$49)),$E31,0)</x:f>
        <x:v>719.104</x:v>
      </x:c>
      <x:c r="L31" s="141" t="n">
        <x:f>H31+I31+J31</x:f>
        <x:v>1955.1750157050394</x:v>
      </x:c>
      <x:c r="M31" s="141" t="n">
        <x:f>K31</x:f>
        <x:v>719.104</x:v>
      </x:c>
      <x:c r="N31" s="141" t="n">
        <x:f>$C31+M31-L31</x:f>
        <x:v>5763.928984294961</x:v>
      </x:c>
      <x:c r="O31" s="141" t="n">
        <x:f>R30*(1+Premissas!$B$41)+N31</x:f>
        <x:v>237163.53856907575</x:v>
      </x:c>
      <x:c r="P31" s="141" t="n">
        <x:f>MAX(0,-O31)</x:f>
        <x:v>0</x:v>
      </x:c>
      <x:c r="Q31" s="141" t="n">
        <x:f>Q30*(1+Premissas!$B$41)+P31</x:f>
        <x:v>0</x:v>
      </x:c>
      <x:c r="R31" s="141" t="n">
        <x:f>MAX(0,O31)</x:f>
        <x:v>237163.53856907575</x:v>
      </x:c>
      <x:c r="S31" s="141" t="n">
        <x:f>IF(AND($A31&gt;=Premissas!$B$48,$A31-Premissas!$B$48+1&lt;=Premissas!$B$13),INDEX(Financiamento!$M$6:$M$485,$A31-Premissas!$B$48+1),0)</x:f>
        <x:v>149714.28571428597</x:v>
      </x:c>
      <x:c r="T31" s="141" t="n">
        <x:f>IF($A31&gt;=Premissas!$B$48,$F31,0)</x:f>
        <x:v>226912.99622794808</x:v>
      </x:c>
      <x:c r="U31" s="141" t="n">
        <x:f>R31+T31-S31</x:f>
        <x:v>314362.2490827379</x:v>
      </x:c>
      <x:c r="V31" s="141" t="n">
        <x:f>IF(Q31&gt;1,"Inviavel",U31)</x:f>
        <x:v>314362.2490827379</x:v>
      </x:c>
      <x:c r="W31" s="141" t="str">
        <x:f>IF(Q31&gt;1,"Inviavel","OK")</x:f>
        <x:v>OK</x:v>
      </x:c>
      <x:c r="X31" s="141" t="n">
        <x:f>IF($A31=Premissas!$B$48,Premissas!$B$8,0)</x:f>
        <x:v>0</x:v>
      </x:c>
      <x:c r="Y31" s="141" t="n">
        <x:f>IF(AND($A31&gt;=Premissas!$B$48,$A31-Premissas!$B$48+1&lt;=Premissas!$B$13),INDEX(Amortizacao!$K$6:$K$485,$A31-Premissas!$B$48+1),0)</x:f>
        <x:v>3795.9624076597097</x:v>
      </x:c>
      <x:c r="Z31" s="141" t="n">
        <x:f>IF(AND(TRUE,Premissas!$B$11="Imovel",Premissas!$B$47="Moradia",$A31&lt;MAX(Premissas!$B$48,Premissas!$B$49)),$D31,0)</x:f>
        <x:v>0</x:v>
      </x:c>
      <x:c r="AA31" s="141" t="n">
        <x:f>IF(AND(TRUE,Premissas!$B$11="Imovel",Premissas!$B$47="Investimento",$A31&gt;=MAX(Premissas!$B$48,Premissas!$B$49)),$E31,0)</x:f>
        <x:v>719.104</x:v>
      </x:c>
      <x:c r="AB31" s="141" t="n">
        <x:f>X31+Y31+Z31</x:f>
        <x:v>3795.9624076597097</x:v>
      </x:c>
      <x:c r="AC31" s="141" t="n">
        <x:f>AA31</x:f>
        <x:v>719.104</x:v>
      </x:c>
      <x:c r="AD31" s="141" t="n">
        <x:f>$C31+AC31-AB31</x:f>
        <x:v>3923.1415923402906</x:v>
      </x:c>
      <x:c r="AE31" s="141" t="n">
        <x:f>AH30*(1+Premissas!$B$41)+AD31</x:f>
        <x:v>87449.25285478994</x:v>
      </x:c>
      <x:c r="AF31" s="141" t="n">
        <x:f>MAX(0,-AE31)</x:f>
        <x:v>0</x:v>
      </x:c>
      <x:c r="AG31" s="141" t="n">
        <x:f>AG30*(1+Premissas!$B$41)+AF31</x:f>
        <x:v>0</x:v>
      </x:c>
      <x:c r="AH31" s="141" t="n">
        <x:f>MAX(0,AE31)</x:f>
        <x:v>87449.25285478994</x:v>
      </x:c>
      <x:c r="AI31" s="141" t="n">
        <x:f>IF(AND($A31&gt;=Premissas!$B$48,$A31-Premissas!$B$48+1&lt;=Premissas!$B$13),INDEX(Amortizacao!$L$6:$L$485,$A31-Premissas!$B$48+1),0)</x:f>
        <x:v>0</x:v>
      </x:c>
      <x:c r="AJ31" s="141" t="n">
        <x:f>IF($A31&gt;=Premissas!$B$48,$F31,0)</x:f>
        <x:v>226912.99622794808</x:v>
      </x:c>
      <x:c r="AK31" s="141" t="n">
        <x:f>AH31+AJ31-AI31</x:f>
        <x:v>314362.249082738</x:v>
      </x:c>
      <x:c r="AL31" s="141" t="n">
        <x:f>IF(AG31&gt;1,"Inviavel",AK31)</x:f>
        <x:v>314362.249082738</x:v>
      </x:c>
      <x:c r="AM31" s="141" t="str">
        <x:f>IF(AG31&gt;1,"Inviavel","OK")</x:f>
        <x:v>OK</x:v>
      </x:c>
      <x:c r="AN31" s="141" t="n">
        <x:f>IF($A31=Premissas!$B$48,Premissas!$B$8,0)</x:f>
        <x:v>0</x:v>
      </x:c>
      <x:c r="AO31" s="141" t="n">
        <x:f>IF($A31&lt;=Premissas!$B$25,INDEX('Consorcio IQ'!$K$6:$K$485,$A31),0)</x:f>
        <x:v>2596.150451803296</x:v>
      </x:c>
      <x:c r="AP31" s="141" t="n">
        <x:f>IF(AND(TRUE,Premissas!$B$11="Imovel",Premissas!$B$47="Moradia",$A31&lt;MAX(Premissas!$B$48,Premissas!$B$49)),$D31,0)</x:f>
        <x:v>0</x:v>
      </x:c>
      <x:c r="AQ31" s="141" t="n">
        <x:f>IF(AND(TRUE,Premissas!$B$11="Imovel",Premissas!$B$47="Investimento",$A31&gt;=MAX(Premissas!$B$48,Premissas!$B$49)),$E31,0)</x:f>
        <x:v>719.104</x:v>
      </x:c>
      <x:c r="AR31" s="141" t="n">
        <x:f>AN31+AO31+AP31</x:f>
        <x:v>2596.150451803296</x:v>
      </x:c>
      <x:c r="AS31" s="141" t="n">
        <x:f>AQ31</x:f>
        <x:v>719.104</x:v>
      </x:c>
      <x:c r="AT31" s="141" t="n">
        <x:f>$C31+AS31-AR31</x:f>
        <x:v>5122.953548196704</x:v>
      </x:c>
      <x:c r="AU31" s="141" t="n">
        <x:f>AX30*(1+Premissas!$B$41)+AT31</x:f>
        <x:v>219042.96344866892</x:v>
      </x:c>
      <x:c r="AV31" s="141" t="n">
        <x:f>MAX(0,-AU31)</x:f>
        <x:v>0</x:v>
      </x:c>
      <x:c r="AW31" s="141" t="n">
        <x:f>AW30*(1+Premissas!$B$41)+AV31</x:f>
        <x:v>0</x:v>
      </x:c>
      <x:c r="AX31" s="141" t="n">
        <x:f>MAX(0,AU31)</x:f>
        <x:v>219042.96344866892</x:v>
      </x:c>
      <x:c r="AY31" s="141" t="n">
        <x:f>INDEX('Consorcio IQ'!$P$6:$P$485,$A31)</x:f>
        <x:v>235169.40075442515</x:v>
      </x:c>
      <x:c r="AZ31" s="141" t="n">
        <x:f>IF($A31&gt;=Premissas!$B$48,$F31,0)+IF($A31&lt;Premissas!$B$27,INDEX('Consorcio IQ'!$O$6:$O$485,$A31),0)</x:f>
        <x:v>327333.78555291164</x:v>
      </x:c>
      <x:c r="BA31" s="141" t="n">
        <x:f>AX31+AZ31-AY31</x:f>
        <x:v>311207.3482471554</x:v>
      </x:c>
      <x:c r="BB31" s="141" t="n">
        <x:f>IF(AW31&gt;1,"Inviavel",BA31)</x:f>
        <x:v>311207.3482471554</x:v>
      </x:c>
      <x:c r="BC31" s="141" t="str">
        <x:f>IF(AW31&gt;1,"Inviavel","OK")</x:f>
        <x:v>OK</x:v>
      </x:c>
      <x:c r="BD31" s="141" t="n">
        <x:f>IF($A31='Consorcio Direto'!$B$29,'Consorcio Direto'!$B$44,0)</x:f>
        <x:v>0</x:v>
      </x:c>
      <x:c r="BE31" s="141" t="n">
        <x:f>IF($A31&lt;='Consorcio Direto'!$B$27,INDEX('Consorcio Direto'!$E$55:$E$534,$A31),0)</x:f>
        <x:v>1659.8063813987517</x:v>
      </x:c>
      <x:c r="BF31" s="141" t="n">
        <x:f>IF(AND(TRUE,Premissas!$B$11="Imovel",Premissas!$B$47="Moradia",$A31&lt;MAX('Consorcio Direto'!$B$29,Premissas!$B$49)),$D31,0)</x:f>
        <x:v>0</x:v>
      </x:c>
      <x:c r="BG31" s="141" t="n">
        <x:f>IF(AND(TRUE,Premissas!$B$11="Imovel",Premissas!$B$47="Investimento",$A31&gt;=MAX('Consorcio Direto'!$B$29,Premissas!$B$49)),$E31,0)</x:f>
        <x:v>0</x:v>
      </x:c>
      <x:c r="BH31" s="141" t="n">
        <x:f>BD31+BE31+BF31</x:f>
        <x:v>1659.8063813987517</x:v>
      </x:c>
      <x:c r="BI31" s="141" t="n">
        <x:f>BG31</x:f>
        <x:v>0</x:v>
      </x:c>
      <x:c r="BJ31" s="141" t="n">
        <x:f>$C31+BI31-BH31</x:f>
        <x:v>5340.193618601248</x:v>
      </x:c>
      <x:c r="BK31" s="141" t="n">
        <x:f>BN30*(1+Premissas!$B$41)+BJ31</x:f>
        <x:v>282392.5923945029</x:v>
      </x:c>
      <x:c r="BL31" s="141" t="n">
        <x:f>MAX(0,-BK31)</x:f>
        <x:v>0</x:v>
      </x:c>
      <x:c r="BM31" s="141" t="n">
        <x:f>BM30*(1+Premissas!$B$41)+BL31</x:f>
        <x:v>0</x:v>
      </x:c>
      <x:c r="BN31" s="141" t="n">
        <x:f>MAX(0,BK31)</x:f>
        <x:v>282392.5923945029</x:v>
      </x:c>
      <x:c r="BO31" s="141" t="n">
        <x:f>INDEX('Consorcio Direto'!$K$55:$K$534,$A31)</x:f>
        <x:v>221286.08567309365</x:v>
      </x:c>
      <x:c r="BP31" s="141" t="n">
        <x:f>IF($A31&lt;'Consorcio Direto'!$B$29,INDEX('Consorcio Direto'!$L$55:$L$534,$A31),$F31)</x:f>
        <x:v>195029.7829991142</x:v>
      </x:c>
      <x:c r="BQ31" s="141" t="n">
        <x:f>BN31+BP31-BO31</x:f>
        <x:v>256136.28972052343</x:v>
      </x:c>
      <x:c r="BR31" s="141" t="n">
        <x:f>IF(BM31&gt;1,"Inviavel",BQ31)</x:f>
        <x:v>256136.28972052343</x:v>
      </x:c>
      <x:c r="BS31" s="141" t="str">
        <x:f>IF(BM31&gt;1,"Inviavel","OK")</x:f>
        <x:v>OK</x:v>
      </x:c>
      <x:c r="BT31" s="141" t="n">
        <x:f>IF(AND('Carta Contemplada'!$B$22="Sim",$A31='Carta Contemplada'!$B$23),'Carta Contemplada'!$B$37,0)</x:f>
        <x:v>0</x:v>
      </x:c>
      <x:c r="BU31" s="141" t="n">
        <x:f>IF('Carta Contemplada'!$B$22="Sim",INDEX('Carta Contemplada'!$C$55:$C$1013,$A31),0)</x:f>
        <x:v>1348.3200000000002</x:v>
      </x:c>
      <x:c r="BV31" s="141" t="n">
        <x:f>IF(AND('Carta Contemplada'!$B$22="Sim",Premissas!$B$11="Imovel",Premissas!$B$47="Moradia",$A31&lt;MAX('Carta Contemplada'!$B$44,Premissas!$B$49)),$D31,0)</x:f>
        <x:v>0</x:v>
      </x:c>
      <x:c r="BW31" s="141" t="n">
        <x:f>IF(AND('Carta Contemplada'!$B$22="Sim",Premissas!$B$11="Imovel",Premissas!$B$47="Investimento",$A31&gt;=MAX('Carta Contemplada'!$B$44,Premissas!$B$49)),$E31,0)</x:f>
        <x:v>719.104</x:v>
      </x:c>
      <x:c r="BX31" s="141" t="n">
        <x:f>BT31+BU31+BV31</x:f>
        <x:v>1348.3200000000002</x:v>
      </x:c>
      <x:c r="BY31" s="141" t="n">
        <x:f>BW31</x:f>
        <x:v>719.104</x:v>
      </x:c>
      <x:c r="BZ31" s="141" t="n">
        <x:f>$C31+BY31-BX31</x:f>
        <x:v>6370.784</x:v>
      </x:c>
      <x:c r="CA31" s="141" t="n">
        <x:f>CD30*(1+Premissas!$B$41)+BZ31</x:f>
        <x:v>251446.73727023532</x:v>
      </x:c>
      <x:c r="CB31" s="141" t="n">
        <x:f>MAX(0,-CA31)</x:f>
        <x:v>0</x:v>
      </x:c>
      <x:c r="CC31" s="141" t="n">
        <x:f>CC30*(1+Premissas!$B$41)+CB31</x:f>
        <x:v>0</x:v>
      </x:c>
      <x:c r="CD31" s="141" t="n">
        <x:f>MAX(0,CA31)</x:f>
        <x:v>251446.73727023532</x:v>
      </x:c>
      <x:c r="CE31" s="141" t="n">
        <x:f>IF(AND('Carta Contemplada'!$B$22="Sim",$A31&gt;='Carta Contemplada'!$B$23),INDEX('Carta Contemplada'!$I$55:$I$1013,$A31),0)</x:f>
        <x:v>145366.9321240204</x:v>
      </x:c>
      <x:c r="CF31" s="141" t="n">
        <x:f>IF(AND('Carta Contemplada'!$B$22="Sim",$A31&gt;='Carta Contemplada'!$B$44),$F31,0)</x:f>
        <x:v>226912.99622794808</x:v>
      </x:c>
      <x:c r="CG31" s="141" t="n">
        <x:f>CD31+CF31-CE31</x:f>
        <x:v>332992.801374163</x:v>
      </x:c>
      <x:c r="CH31" s="141" t="n">
        <x:f>IF(CC31&gt;1,"Inviavel",CG31)</x:f>
        <x:v>332992.801374163</x:v>
      </x:c>
      <x:c r="CI31" s="145" t="str">
        <x:f>IF(CC31&gt;1,"Inviavel","OK")</x:f>
        <x:v>OK</x:v>
      </x:c>
    </x:row>
    <x:row r="32">
      <x:c r="A32" s="142" t="n">
        <x:v>28</x:v>
      </x:c>
      <x:c r="B32" s="179" t="n">
        <x:f>EDATE(Premissas!$B$4,A32-1)</x:f>
        <x:v>47362</x:v>
      </x:c>
      <x:c r="C32" s="141" t="n">
        <x:f>IF(A32&lt;=Premissas!$B$39,Premissas!$B$42,0)</x:f>
        <x:v>7000</x:v>
      </x:c>
      <x:c r="D32" s="141" t="n">
        <x:f>Premissas!$B$54*(1+Premissas!$B$57)^INT((A32-1)/12)</x:f>
        <x:v>786.5200000000001</x:v>
      </x:c>
      <x:c r="E32" s="141" t="n">
        <x:f>Premissas!$B$64*(1+Premissas!$B$57)^INT((A32-1)/12)</x:f>
        <x:v>719.104</x:v>
      </x:c>
      <x:c r="F32" s="141" t="n">
        <x:f>MAX(0,Premissas!$B$6*(1+Premissas!$B$66)^((A32-1)/12))</x:f>
        <x:v>228017.50671102115</x:v>
      </x:c>
      <x:c r="G32" s="141" t="n">
        <x:f>G31*(1+Premissas!$B$41)+C32</x:f>
        <x:v>339440.64528381097</x:v>
      </x:c>
      <x:c r="H32" s="141" t="n">
        <x:f>IF($A32=Premissas!$B$48,Premissas!$B$8,0)</x:f>
        <x:v>0</x:v>
      </x:c>
      <x:c r="I32" s="141" t="n">
        <x:f>IF(AND($A32&gt;=Premissas!$B$48,$A32-Premissas!$B$48+1&lt;=Premissas!$B$13),INDEX(Financiamento!$J$6:$J$485,$A32-Premissas!$B$48+1),0)</x:f>
        <x:v>1951.5602374442458</x:v>
      </x:c>
      <x:c r="J32" s="141" t="n">
        <x:f>IF(AND(TRUE,Premissas!$B$11="Imovel",Premissas!$B$47="Moradia",$A32&lt;MAX(Premissas!$B$48,Premissas!$B$49)),$D32,0)</x:f>
        <x:v>0</x:v>
      </x:c>
      <x:c r="K32" s="141" t="n">
        <x:f>IF(AND(TRUE,Premissas!$B$11="Imovel",Premissas!$B$47="Investimento",$A32&gt;=MAX(Premissas!$B$48,Premissas!$B$49)),$E32,0)</x:f>
        <x:v>719.104</x:v>
      </x:c>
      <x:c r="L32" s="141" t="n">
        <x:f>H32+I32+J32</x:f>
        <x:v>1951.5602374442458</x:v>
      </x:c>
      <x:c r="M32" s="141" t="n">
        <x:f>K32</x:f>
        <x:v>719.104</x:v>
      </x:c>
      <x:c r="N32" s="141" t="n">
        <x:f>$C32+M32-L32</x:f>
        <x:v>5767.543762555754</x:v>
      </x:c>
      <x:c r="O32" s="141" t="n">
        <x:f>R31*(1+Premissas!$B$41)+N32</x:f>
        <x:v>245181.47804074647</x:v>
      </x:c>
      <x:c r="P32" s="141" t="n">
        <x:f>MAX(0,-O32)</x:f>
        <x:v>0</x:v>
      </x:c>
      <x:c r="Q32" s="141" t="n">
        <x:f>Q31*(1+Premissas!$B$41)+P32</x:f>
        <x:v>0</x:v>
      </x:c>
      <x:c r="R32" s="141" t="n">
        <x:f>MAX(0,O32)</x:f>
        <x:v>245181.47804074647</x:v>
      </x:c>
      <x:c r="S32" s="141" t="n">
        <x:f>IF(AND($A32&gt;=Premissas!$B$48,$A32-Premissas!$B$48+1&lt;=Premissas!$B$13),INDEX(Financiamento!$M$6:$M$485,$A32-Premissas!$B$48+1),0)</x:f>
        <x:v>149333.3333333336</x:v>
      </x:c>
      <x:c r="T32" s="141" t="n">
        <x:f>IF($A32&gt;=Premissas!$B$48,$F32,0)</x:f>
        <x:v>228017.50671102115</x:v>
      </x:c>
      <x:c r="U32" s="141" t="n">
        <x:f>R32+T32-S32</x:f>
        <x:v>323865.651418434</x:v>
      </x:c>
      <x:c r="V32" s="141" t="n">
        <x:f>IF(Q32&gt;1,"Inviavel",U32)</x:f>
        <x:v>323865.651418434</x:v>
      </x:c>
      <x:c r="W32" s="141" t="str">
        <x:f>IF(Q32&gt;1,"Inviavel","OK")</x:f>
        <x:v>OK</x:v>
      </x:c>
      <x:c r="X32" s="141" t="n">
        <x:f>IF($A32=Premissas!$B$48,Premissas!$B$8,0)</x:f>
        <x:v>0</x:v>
      </x:c>
      <x:c r="Y32" s="141" t="n">
        <x:f>IF(AND($A32&gt;=Premissas!$B$48,$A32-Premissas!$B$48+1&lt;=Premissas!$B$13),INDEX(Amortizacao!$K$6:$K$485,$A32-Premissas!$B$48+1),0)</x:f>
        <x:v>0</x:v>
      </x:c>
      <x:c r="Z32" s="141" t="n">
        <x:f>IF(AND(TRUE,Premissas!$B$11="Imovel",Premissas!$B$47="Moradia",$A32&lt;MAX(Premissas!$B$48,Premissas!$B$49)),$D32,0)</x:f>
        <x:v>0</x:v>
      </x:c>
      <x:c r="AA32" s="141" t="n">
        <x:f>IF(AND(TRUE,Premissas!$B$11="Imovel",Premissas!$B$47="Investimento",$A32&gt;=MAX(Premissas!$B$48,Premissas!$B$49)),$E32,0)</x:f>
        <x:v>719.104</x:v>
      </x:c>
      <x:c r="AB32" s="141" t="n">
        <x:f>X32+Y32+Z32</x:f>
        <x:v>0</x:v>
      </x:c>
      <x:c r="AC32" s="141" t="n">
        <x:f>AA32</x:f>
        <x:v>719.104</x:v>
      </x:c>
      <x:c r="AD32" s="141" t="n">
        <x:f>$C32+AC32-AB32</x:f>
        <x:v>7719.104</x:v>
      </x:c>
      <x:c r="AE32" s="141" t="n">
        <x:f>AH31*(1+Premissas!$B$41)+AD32</x:f>
        <x:v>95998.14470741304</x:v>
      </x:c>
      <x:c r="AF32" s="141" t="n">
        <x:f>MAX(0,-AE32)</x:f>
        <x:v>0</x:v>
      </x:c>
      <x:c r="AG32" s="141" t="n">
        <x:f>AG31*(1+Premissas!$B$41)+AF32</x:f>
        <x:v>0</x:v>
      </x:c>
      <x:c r="AH32" s="141" t="n">
        <x:f>MAX(0,AE32)</x:f>
        <x:v>95998.14470741304</x:v>
      </x:c>
      <x:c r="AI32" s="141" t="n">
        <x:f>IF(AND($A32&gt;=Premissas!$B$48,$A32-Premissas!$B$48+1&lt;=Premissas!$B$13),INDEX(Amortizacao!$L$6:$L$485,$A32-Premissas!$B$48+1),0)</x:f>
        <x:v>0</x:v>
      </x:c>
      <x:c r="AJ32" s="141" t="n">
        <x:f>IF($A32&gt;=Premissas!$B$48,$F32,0)</x:f>
        <x:v>228017.50671102115</x:v>
      </x:c>
      <x:c r="AK32" s="141" t="n">
        <x:f>AH32+AJ32-AI32</x:f>
        <x:v>324015.6514184342</x:v>
      </x:c>
      <x:c r="AL32" s="141" t="n">
        <x:f>IF(AG32&gt;1,"Inviavel",AK32)</x:f>
        <x:v>324015.6514184342</x:v>
      </x:c>
      <x:c r="AM32" s="141" t="str">
        <x:f>IF(AG32&gt;1,"Inviavel","OK")</x:f>
        <x:v>OK</x:v>
      </x:c>
      <x:c r="AN32" s="141" t="n">
        <x:f>IF($A32=Premissas!$B$48,Premissas!$B$8,0)</x:f>
        <x:v>0</x:v>
      </x:c>
      <x:c r="AO32" s="141" t="n">
        <x:f>IF($A32&lt;=Premissas!$B$25,INDEX('Consorcio IQ'!$K$6:$K$485,$A32),0)</x:f>
        <x:v>2592.5356735425025</x:v>
      </x:c>
      <x:c r="AP32" s="141" t="n">
        <x:f>IF(AND(TRUE,Premissas!$B$11="Imovel",Premissas!$B$47="Moradia",$A32&lt;MAX(Premissas!$B$48,Premissas!$B$49)),$D32,0)</x:f>
        <x:v>0</x:v>
      </x:c>
      <x:c r="AQ32" s="141" t="n">
        <x:f>IF(AND(TRUE,Premissas!$B$11="Imovel",Premissas!$B$47="Investimento",$A32&gt;=MAX(Premissas!$B$48,Premissas!$B$49)),$E32,0)</x:f>
        <x:v>719.104</x:v>
      </x:c>
      <x:c r="AR32" s="141" t="n">
        <x:f>AN32+AO32+AP32</x:f>
        <x:v>2592.5356735425025</x:v>
      </x:c>
      <x:c r="AS32" s="141" t="n">
        <x:f>AQ32</x:f>
        <x:v>719.104</x:v>
      </x:c>
      <x:c r="AT32" s="141" t="n">
        <x:f>$C32+AS32-AR32</x:f>
        <x:v>5126.568326457498</x:v>
      </x:c>
      <x:c r="AU32" s="141" t="n">
        <x:f>AX31*(1+Premissas!$B$41)+AT32</x:f>
        <x:v>226247.98509906826</x:v>
      </x:c>
      <x:c r="AV32" s="141" t="n">
        <x:f>MAX(0,-AU32)</x:f>
        <x:v>0</x:v>
      </x:c>
      <x:c r="AW32" s="141" t="n">
        <x:f>AW31*(1+Premissas!$B$41)+AV32</x:f>
        <x:v>0</x:v>
      </x:c>
      <x:c r="AX32" s="141" t="n">
        <x:f>MAX(0,AU32)</x:f>
        <x:v>226247.98509906826</x:v>
      </x:c>
      <x:c r="AY32" s="141" t="n">
        <x:f>INDEX('Consorcio IQ'!$P$6:$P$485,$A32)</x:f>
        <x:v>234958.33882919134</x:v>
      </x:c>
      <x:c r="AZ32" s="141" t="n">
        <x:f>IF($A32&gt;=Premissas!$B$48,$F32,0)+IF($A32&lt;Premissas!$B$27,INDEX('Consorcio IQ'!$O$6:$O$485,$A32),0)</x:f>
        <x:v>329391.16811221663</x:v>
      </x:c>
      <x:c r="BA32" s="141" t="n">
        <x:f>AX32+AZ32-AY32</x:f>
        <x:v>320680.81438209355</x:v>
      </x:c>
      <x:c r="BB32" s="141" t="n">
        <x:f>IF(AW32&gt;1,"Inviavel",BA32)</x:f>
        <x:v>320680.81438209355</x:v>
      </x:c>
      <x:c r="BC32" s="141" t="str">
        <x:f>IF(AW32&gt;1,"Inviavel","OK")</x:f>
        <x:v>OK</x:v>
      </x:c>
      <x:c r="BD32" s="141" t="n">
        <x:f>IF($A32='Consorcio Direto'!$B$29,'Consorcio Direto'!$B$44,0)</x:f>
        <x:v>0</x:v>
      </x:c>
      <x:c r="BE32" s="141" t="n">
        <x:f>IF($A32&lt;='Consorcio Direto'!$B$27,INDEX('Consorcio Direto'!$E$55:$E$534,$A32),0)</x:f>
        <x:v>1659.8063813987517</x:v>
      </x:c>
      <x:c r="BF32" s="141" t="n">
        <x:f>IF(AND(TRUE,Premissas!$B$11="Imovel",Premissas!$B$47="Moradia",$A32&lt;MAX('Consorcio Direto'!$B$29,Premissas!$B$49)),$D32,0)</x:f>
        <x:v>0</x:v>
      </x:c>
      <x:c r="BG32" s="141" t="n">
        <x:f>IF(AND(TRUE,Premissas!$B$11="Imovel",Premissas!$B$47="Investimento",$A32&gt;=MAX('Consorcio Direto'!$B$29,Premissas!$B$49)),$E32,0)</x:f>
        <x:v>0</x:v>
      </x:c>
      <x:c r="BH32" s="141" t="n">
        <x:f>BD32+BE32+BF32</x:f>
        <x:v>1659.8063813987517</x:v>
      </x:c>
      <x:c r="BI32" s="141" t="n">
        <x:f>BG32</x:f>
        <x:v>0</x:v>
      </x:c>
      <x:c r="BJ32" s="141" t="n">
        <x:f>$C32+BI32-BH32</x:f>
        <x:v>5340.193618601248</x:v>
      </x:c>
      <x:c r="BK32" s="141" t="n">
        <x:f>BN31*(1+Premissas!$B$41)+BJ32</x:f>
        <x:v>290412.35084859567</x:v>
      </x:c>
      <x:c r="BL32" s="141" t="n">
        <x:f>MAX(0,-BK32)</x:f>
        <x:v>0</x:v>
      </x:c>
      <x:c r="BM32" s="141" t="n">
        <x:f>BM31*(1+Premissas!$B$41)+BL32</x:f>
        <x:v>0</x:v>
      </x:c>
      <x:c r="BN32" s="141" t="n">
        <x:f>MAX(0,BK32)</x:f>
        <x:v>290412.35084859567</x:v>
      </x:c>
      <x:c r="BO32" s="141" t="n">
        <x:f>INDEX('Consorcio Direto'!$K$55:$K$534,$A32)</x:f>
        <x:v>221726.01713795128</x:v>
      </x:c>
      <x:c r="BP32" s="141" t="n">
        <x:f>IF($A32&lt;'Consorcio Direto'!$B$29,INDEX('Consorcio Direto'!$L$55:$L$534,$A32),$F32)</x:f>
        <x:v>196880.38022606942</x:v>
      </x:c>
      <x:c r="BQ32" s="141" t="n">
        <x:f>BN32+BP32-BO32</x:f>
        <x:v>265566.7139367138</x:v>
      </x:c>
      <x:c r="BR32" s="141" t="n">
        <x:f>IF(BM32&gt;1,"Inviavel",BQ32)</x:f>
        <x:v>265566.7139367138</x:v>
      </x:c>
      <x:c r="BS32" s="141" t="str">
        <x:f>IF(BM32&gt;1,"Inviavel","OK")</x:f>
        <x:v>OK</x:v>
      </x:c>
      <x:c r="BT32" s="141" t="n">
        <x:f>IF(AND('Carta Contemplada'!$B$22="Sim",$A32='Carta Contemplada'!$B$23),'Carta Contemplada'!$B$37,0)</x:f>
        <x:v>0</x:v>
      </x:c>
      <x:c r="BU32" s="141" t="n">
        <x:f>IF('Carta Contemplada'!$B$22="Sim",INDEX('Carta Contemplada'!$C$55:$C$1013,$A32),0)</x:f>
        <x:v>1348.3200000000002</x:v>
      </x:c>
      <x:c r="BV32" s="141" t="n">
        <x:f>IF(AND('Carta Contemplada'!$B$22="Sim",Premissas!$B$11="Imovel",Premissas!$B$47="Moradia",$A32&lt;MAX('Carta Contemplada'!$B$44,Premissas!$B$49)),$D32,0)</x:f>
        <x:v>0</x:v>
      </x:c>
      <x:c r="BW32" s="141" t="n">
        <x:f>IF(AND('Carta Contemplada'!$B$22="Sim",Premissas!$B$11="Imovel",Premissas!$B$47="Investimento",$A32&gt;=MAX('Carta Contemplada'!$B$44,Premissas!$B$49)),$E32,0)</x:f>
        <x:v>719.104</x:v>
      </x:c>
      <x:c r="BX32" s="141" t="n">
        <x:f>BT32+BU32+BV32</x:f>
        <x:v>1348.3200000000002</x:v>
      </x:c>
      <x:c r="BY32" s="141" t="n">
        <x:f>BW32</x:f>
        <x:v>719.104</x:v>
      </x:c>
      <x:c r="BZ32" s="141" t="n">
        <x:f>$C32+BY32-BX32</x:f>
        <x:v>6370.784</x:v>
      </x:c>
      <x:c r="CA32" s="141" t="n">
        <x:f>CD31*(1+Premissas!$B$41)+BZ32</x:f>
        <x:v>260203.4472942691</x:v>
      </x:c>
      <x:c r="CB32" s="141" t="n">
        <x:f>MAX(0,-CA32)</x:f>
        <x:v>0</x:v>
      </x:c>
      <x:c r="CC32" s="141" t="n">
        <x:f>CC31*(1+Premissas!$B$41)+CB32</x:f>
        <x:v>0</x:v>
      </x:c>
      <x:c r="CD32" s="141" t="n">
        <x:f>MAX(0,CA32)</x:f>
        <x:v>260203.4472942691</x:v>
      </x:c>
      <x:c r="CE32" s="141" t="n">
        <x:f>IF(AND('Carta Contemplada'!$B$22="Sim",$A32&gt;='Carta Contemplada'!$B$23),INDEX('Carta Contemplada'!$I$55:$I$1013,$A32),0)</x:f>
        <x:v>145397.9688424808</x:v>
      </x:c>
      <x:c r="CF32" s="141" t="n">
        <x:f>IF(AND('Carta Contemplada'!$B$22="Sim",$A32&gt;='Carta Contemplada'!$B$44),$F32,0)</x:f>
        <x:v>228017.50671102115</x:v>
      </x:c>
      <x:c r="CG32" s="141" t="n">
        <x:f>CD32+CF32-CE32</x:f>
        <x:v>342822.9851628095</x:v>
      </x:c>
      <x:c r="CH32" s="141" t="n">
        <x:f>IF(CC32&gt;1,"Inviavel",CG32)</x:f>
        <x:v>342822.9851628095</x:v>
      </x:c>
      <x:c r="CI32" s="145" t="str">
        <x:f>IF(CC32&gt;1,"Inviavel","OK")</x:f>
        <x:v>OK</x:v>
      </x:c>
    </x:row>
    <x:row r="33">
      <x:c r="A33" s="142" t="n">
        <x:v>29</x:v>
      </x:c>
      <x:c r="B33" s="179" t="n">
        <x:f>EDATE(Premissas!$B$4,A33-1)</x:f>
        <x:v>47392</x:v>
      </x:c>
      <x:c r="C33" s="141" t="n">
        <x:f>IF(A33&lt;=Premissas!$B$39,Premissas!$B$42,0)</x:f>
        <x:v>7000</x:v>
      </x:c>
      <x:c r="D33" s="141" t="n">
        <x:f>Premissas!$B$54*(1+Premissas!$B$57)^INT((A33-1)/12)</x:f>
        <x:v>786.5200000000001</x:v>
      </x:c>
      <x:c r="E33" s="141" t="n">
        <x:f>Premissas!$B$64*(1+Premissas!$B$57)^INT((A33-1)/12)</x:f>
        <x:v>719.104</x:v>
      </x:c>
      <x:c r="F33" s="141" t="n">
        <x:f>MAX(0,Premissas!$B$6*(1+Premissas!$B$66)^((A33-1)/12))</x:f>
        <x:v>229127.3934547205</x:v>
      </x:c>
      <x:c r="G33" s="141" t="n">
        <x:f>G32*(1+Premissas!$B$41)+C33</x:f>
        <x:v>349661.5272804903</x:v>
      </x:c>
      <x:c r="H33" s="141" t="n">
        <x:f>IF($A33=Premissas!$B$48,Premissas!$B$8,0)</x:f>
        <x:v>0</x:v>
      </x:c>
      <x:c r="I33" s="141" t="n">
        <x:f>IF(AND($A33&gt;=Premissas!$B$48,$A33-Premissas!$B$48+1&lt;=Premissas!$B$13),INDEX(Financiamento!$J$6:$J$485,$A33-Premissas!$B$48+1),0)</x:f>
        <x:v>1947.9454591834524</x:v>
      </x:c>
      <x:c r="J33" s="141" t="n">
        <x:f>IF(AND(TRUE,Premissas!$B$11="Imovel",Premissas!$B$47="Moradia",$A33&lt;MAX(Premissas!$B$48,Premissas!$B$49)),$D33,0)</x:f>
        <x:v>0</x:v>
      </x:c>
      <x:c r="K33" s="141" t="n">
        <x:f>IF(AND(TRUE,Premissas!$B$11="Imovel",Premissas!$B$47="Investimento",$A33&gt;=MAX(Premissas!$B$48,Premissas!$B$49)),$E33,0)</x:f>
        <x:v>719.104</x:v>
      </x:c>
      <x:c r="L33" s="141" t="n">
        <x:f>H33+I33+J33</x:f>
        <x:v>1947.9454591834524</x:v>
      </x:c>
      <x:c r="M33" s="141" t="n">
        <x:f>K33</x:f>
        <x:v>719.104</x:v>
      </x:c>
      <x:c r="N33" s="141" t="n">
        <x:f>$C33+M33-L33</x:f>
        <x:v>5771.158540816548</x:v>
      </x:c>
      <x:c r="O33" s="141" t="n">
        <x:f>R32*(1+Premissas!$B$41)+N33</x:f>
        <x:v>253279.11285808668</x:v>
      </x:c>
      <x:c r="P33" s="141" t="n">
        <x:f>MAX(0,-O33)</x:f>
        <x:v>0</x:v>
      </x:c>
      <x:c r="Q33" s="141" t="n">
        <x:f>Q32*(1+Premissas!$B$41)+P33</x:f>
        <x:v>0</x:v>
      </x:c>
      <x:c r="R33" s="141" t="n">
        <x:f>MAX(0,O33)</x:f>
        <x:v>253279.11285808668</x:v>
      </x:c>
      <x:c r="S33" s="141" t="n">
        <x:f>IF(AND($A33&gt;=Premissas!$B$48,$A33-Premissas!$B$48+1&lt;=Premissas!$B$13),INDEX(Financiamento!$M$6:$M$485,$A33-Premissas!$B$48+1),0)</x:f>
        <x:v>148952.38095238124</x:v>
      </x:c>
      <x:c r="T33" s="141" t="n">
        <x:f>IF($A33&gt;=Premissas!$B$48,$F33,0)</x:f>
        <x:v>229127.3934547205</x:v>
      </x:c>
      <x:c r="U33" s="141" t="n">
        <x:f>R33+T33-S33</x:f>
        <x:v>333454.12536042597</x:v>
      </x:c>
      <x:c r="V33" s="141" t="n">
        <x:f>IF(Q33&gt;1,"Inviavel",U33)</x:f>
        <x:v>333454.12536042597</x:v>
      </x:c>
      <x:c r="W33" s="141" t="str">
        <x:f>IF(Q33&gt;1,"Inviavel","OK")</x:f>
        <x:v>OK</x:v>
      </x:c>
      <x:c r="X33" s="141" t="n">
        <x:f>IF($A33=Premissas!$B$48,Premissas!$B$8,0)</x:f>
        <x:v>0</x:v>
      </x:c>
      <x:c r="Y33" s="141" t="n">
        <x:f>IF(AND($A33&gt;=Premissas!$B$48,$A33-Premissas!$B$48+1&lt;=Premissas!$B$13),INDEX(Amortizacao!$K$6:$K$485,$A33-Premissas!$B$48+1),0)</x:f>
        <x:v>0</x:v>
      </x:c>
      <x:c r="Z33" s="141" t="n">
        <x:f>IF(AND(TRUE,Premissas!$B$11="Imovel",Premissas!$B$47="Moradia",$A33&lt;MAX(Premissas!$B$48,Premissas!$B$49)),$D33,0)</x:f>
        <x:v>0</x:v>
      </x:c>
      <x:c r="AA33" s="141" t="n">
        <x:f>IF(AND(TRUE,Premissas!$B$11="Imovel",Premissas!$B$47="Investimento",$A33&gt;=MAX(Premissas!$B$48,Premissas!$B$49)),$E33,0)</x:f>
        <x:v>719.104</x:v>
      </x:c>
      <x:c r="AB33" s="141" t="n">
        <x:f>X33+Y33+Z33</x:f>
        <x:v>0</x:v>
      </x:c>
      <x:c r="AC33" s="141" t="n">
        <x:f>AA33</x:f>
        <x:v>719.104</x:v>
      </x:c>
      <x:c r="AD33" s="141" t="n">
        <x:f>$C33+AC33-AB33</x:f>
        <x:v>7719.104</x:v>
      </x:c>
      <x:c r="AE33" s="141" t="n">
        <x:f>AH32*(1+Premissas!$B$41)+AD33</x:f>
        <x:v>104628.15522464583</x:v>
      </x:c>
      <x:c r="AF33" s="141" t="n">
        <x:f>MAX(0,-AE33)</x:f>
        <x:v>0</x:v>
      </x:c>
      <x:c r="AG33" s="141" t="n">
        <x:f>AG32*(1+Premissas!$B$41)+AF33</x:f>
        <x:v>0</x:v>
      </x:c>
      <x:c r="AH33" s="141" t="n">
        <x:f>MAX(0,AE33)</x:f>
        <x:v>104628.15522464583</x:v>
      </x:c>
      <x:c r="AI33" s="141" t="n">
        <x:f>IF(AND($A33&gt;=Premissas!$B$48,$A33-Premissas!$B$48+1&lt;=Premissas!$B$13),INDEX(Amortizacao!$L$6:$L$485,$A33-Premissas!$B$48+1),0)</x:f>
        <x:v>0</x:v>
      </x:c>
      <x:c r="AJ33" s="141" t="n">
        <x:f>IF($A33&gt;=Premissas!$B$48,$F33,0)</x:f>
        <x:v>229127.3934547205</x:v>
      </x:c>
      <x:c r="AK33" s="141" t="n">
        <x:f>AH33+AJ33-AI33</x:f>
        <x:v>333755.54867936636</x:v>
      </x:c>
      <x:c r="AL33" s="141" t="n">
        <x:f>IF(AG33&gt;1,"Inviavel",AK33)</x:f>
        <x:v>333755.54867936636</x:v>
      </x:c>
      <x:c r="AM33" s="141" t="str">
        <x:f>IF(AG33&gt;1,"Inviavel","OK")</x:f>
        <x:v>OK</x:v>
      </x:c>
      <x:c r="AN33" s="141" t="n">
        <x:f>IF($A33=Premissas!$B$48,Premissas!$B$8,0)</x:f>
        <x:v>0</x:v>
      </x:c>
      <x:c r="AO33" s="141" t="n">
        <x:f>IF($A33&lt;=Premissas!$B$25,INDEX('Consorcio IQ'!$K$6:$K$485,$A33),0)</x:f>
        <x:v>2588.920895281709</x:v>
      </x:c>
      <x:c r="AP33" s="141" t="n">
        <x:f>IF(AND(TRUE,Premissas!$B$11="Imovel",Premissas!$B$47="Moradia",$A33&lt;MAX(Premissas!$B$48,Premissas!$B$49)),$D33,0)</x:f>
        <x:v>0</x:v>
      </x:c>
      <x:c r="AQ33" s="141" t="n">
        <x:f>IF(AND(TRUE,Premissas!$B$11="Imovel",Premissas!$B$47="Investimento",$A33&gt;=MAX(Premissas!$B$48,Premissas!$B$49)),$E33,0)</x:f>
        <x:v>719.104</x:v>
      </x:c>
      <x:c r="AR33" s="141" t="n">
        <x:f>AN33+AO33+AP33</x:f>
        <x:v>2588.920895281709</x:v>
      </x:c>
      <x:c r="AS33" s="141" t="n">
        <x:f>AQ33</x:f>
        <x:v>719.104</x:v>
      </x:c>
      <x:c r="AT33" s="141" t="n">
        <x:f>$C33+AS33-AR33</x:f>
        <x:v>5130.183104718291</x:v>
      </x:c>
      <x:c r="AU33" s="141" t="n">
        <x:f>AX32*(1+Premissas!$B$41)+AT33</x:f>
        <x:v>233524.98848625823</x:v>
      </x:c>
      <x:c r="AV33" s="141" t="n">
        <x:f>MAX(0,-AU33)</x:f>
        <x:v>0</x:v>
      </x:c>
      <x:c r="AW33" s="141" t="n">
        <x:f>AW32*(1+Premissas!$B$41)+AV33</x:f>
        <x:v>0</x:v>
      </x:c>
      <x:c r="AX33" s="141" t="n">
        <x:f>MAX(0,AU33)</x:f>
        <x:v>233524.98848625823</x:v>
      </x:c>
      <x:c r="AY33" s="141" t="n">
        <x:f>INDEX('Consorcio IQ'!$P$6:$P$485,$A33)</x:f>
        <x:v>234748.88895931345</x:v>
      </x:c>
      <x:c r="AZ33" s="141" t="n">
        <x:f>IF($A33&gt;=Premissas!$B$48,$F33,0)+IF($A33&lt;Premissas!$B$27,INDEX('Consorcio IQ'!$O$6:$O$485,$A33),0)</x:f>
        <x:v>331462.9685379725</x:v>
      </x:c>
      <x:c r="BA33" s="141" t="n">
        <x:f>AX33+AZ33-AY33</x:f>
        <x:v>330239.0680649173</x:v>
      </x:c>
      <x:c r="BB33" s="141" t="n">
        <x:f>IF(AW33&gt;1,"Inviavel",BA33)</x:f>
        <x:v>330239.0680649173</x:v>
      </x:c>
      <x:c r="BC33" s="141" t="str">
        <x:f>IF(AW33&gt;1,"Inviavel","OK")</x:f>
        <x:v>OK</x:v>
      </x:c>
      <x:c r="BD33" s="141" t="n">
        <x:f>IF($A33='Consorcio Direto'!$B$29,'Consorcio Direto'!$B$44,0)</x:f>
        <x:v>0</x:v>
      </x:c>
      <x:c r="BE33" s="141" t="n">
        <x:f>IF($A33&lt;='Consorcio Direto'!$B$27,INDEX('Consorcio Direto'!$E$55:$E$534,$A33),0)</x:f>
        <x:v>1659.8063813987517</x:v>
      </x:c>
      <x:c r="BF33" s="141" t="n">
        <x:f>IF(AND(TRUE,Premissas!$B$11="Imovel",Premissas!$B$47="Moradia",$A33&lt;MAX('Consorcio Direto'!$B$29,Premissas!$B$49)),$D33,0)</x:f>
        <x:v>0</x:v>
      </x:c>
      <x:c r="BG33" s="141" t="n">
        <x:f>IF(AND(TRUE,Premissas!$B$11="Imovel",Premissas!$B$47="Investimento",$A33&gt;=MAX('Consorcio Direto'!$B$29,Premissas!$B$49)),$E33,0)</x:f>
        <x:v>0</x:v>
      </x:c>
      <x:c r="BH33" s="141" t="n">
        <x:f>BD33+BE33+BF33</x:f>
        <x:v>1659.8063813987517</x:v>
      </x:c>
      <x:c r="BI33" s="141" t="n">
        <x:f>BG33</x:f>
        <x:v>0</x:v>
      </x:c>
      <x:c r="BJ33" s="141" t="n">
        <x:f>$C33+BI33-BH33</x:f>
        <x:v>5340.193618601248</x:v>
      </x:c>
      <x:c r="BK33" s="141" t="n">
        <x:f>BN32*(1+Premissas!$B$41)+BJ33</x:f>
        <x:v>298508.2071300447</x:v>
      </x:c>
      <x:c r="BL33" s="141" t="n">
        <x:f>MAX(0,-BK33)</x:f>
        <x:v>0</x:v>
      </x:c>
      <x:c r="BM33" s="141" t="n">
        <x:f>BM32*(1+Premissas!$B$41)+BL33</x:f>
        <x:v>0</x:v>
      </x:c>
      <x:c r="BN33" s="141" t="n">
        <x:f>MAX(0,BK33)</x:f>
        <x:v>298508.2071300447</x:v>
      </x:c>
      <x:c r="BO33" s="141" t="n">
        <x:f>INDEX('Consorcio Direto'!$K$55:$K$534,$A33)</x:f>
        <x:v>222170.12302138435</x:v>
      </x:c>
      <x:c r="BP33" s="141" t="n">
        <x:f>IF($A33&lt;'Consorcio Direto'!$B$29,INDEX('Consorcio Direto'!$L$55:$L$534,$A33),$F33)</x:f>
        <x:v>198748.5373869166</x:v>
      </x:c>
      <x:c r="BQ33" s="141" t="n">
        <x:f>BN33+BP33-BO33</x:f>
        <x:v>275086.6214955769</x:v>
      </x:c>
      <x:c r="BR33" s="141" t="n">
        <x:f>IF(BM33&gt;1,"Inviavel",BQ33)</x:f>
        <x:v>275086.6214955769</x:v>
      </x:c>
      <x:c r="BS33" s="141" t="str">
        <x:f>IF(BM33&gt;1,"Inviavel","OK")</x:f>
        <x:v>OK</x:v>
      </x:c>
      <x:c r="BT33" s="141" t="n">
        <x:f>IF(AND('Carta Contemplada'!$B$22="Sim",$A33='Carta Contemplada'!$B$23),'Carta Contemplada'!$B$37,0)</x:f>
        <x:v>0</x:v>
      </x:c>
      <x:c r="BU33" s="141" t="n">
        <x:f>IF('Carta Contemplada'!$B$22="Sim",INDEX('Carta Contemplada'!$C$55:$C$1013,$A33),0)</x:f>
        <x:v>1348.3200000000002</x:v>
      </x:c>
      <x:c r="BV33" s="141" t="n">
        <x:f>IF(AND('Carta Contemplada'!$B$22="Sim",Premissas!$B$11="Imovel",Premissas!$B$47="Moradia",$A33&lt;MAX('Carta Contemplada'!$B$44,Premissas!$B$49)),$D33,0)</x:f>
        <x:v>0</x:v>
      </x:c>
      <x:c r="BW33" s="141" t="n">
        <x:f>IF(AND('Carta Contemplada'!$B$22="Sim",Premissas!$B$11="Imovel",Premissas!$B$47="Investimento",$A33&gt;=MAX('Carta Contemplada'!$B$44,Premissas!$B$49)),$E33,0)</x:f>
        <x:v>719.104</x:v>
      </x:c>
      <x:c r="BX33" s="141" t="n">
        <x:f>BT33+BU33+BV33</x:f>
        <x:v>1348.3200000000002</x:v>
      </x:c>
      <x:c r="BY33" s="141" t="n">
        <x:f>BW33</x:f>
        <x:v>719.104</x:v>
      </x:c>
      <x:c r="BZ33" s="141" t="n">
        <x:f>$C33+BY33-BX33</x:f>
        <x:v>6370.784</x:v>
      </x:c>
      <x:c r="CA33" s="141" t="n">
        <x:f>CD32*(1+Premissas!$B$41)+BZ33</x:f>
        <x:v>269043.2479265091</x:v>
      </x:c>
      <x:c r="CB33" s="141" t="n">
        <x:f>MAX(0,-CA33)</x:f>
        <x:v>0</x:v>
      </x:c>
      <x:c r="CC33" s="141" t="n">
        <x:f>CC32*(1+Premissas!$B$41)+CB33</x:f>
        <x:v>0</x:v>
      </x:c>
      <x:c r="CD33" s="141" t="n">
        <x:f>MAX(0,CA33)</x:f>
        <x:v>269043.2479265091</x:v>
      </x:c>
      <x:c r="CE33" s="141" t="n">
        <x:f>IF(AND('Carta Contemplada'!$B$22="Sim",$A33&gt;='Carta Contemplada'!$B$23),INDEX('Carta Contemplada'!$I$55:$I$1013,$A33),0)</x:f>
        <x:v>145429.30006193605</x:v>
      </x:c>
      <x:c r="CF33" s="141" t="n">
        <x:f>IF(AND('Carta Contemplada'!$B$22="Sim",$A33&gt;='Carta Contemplada'!$B$44),$F33,0)</x:f>
        <x:v>229127.3934547205</x:v>
      </x:c>
      <x:c r="CG33" s="141" t="n">
        <x:f>CD33+CF33-CE33</x:f>
        <x:v>352741.3413192936</x:v>
      </x:c>
      <x:c r="CH33" s="141" t="n">
        <x:f>IF(CC33&gt;1,"Inviavel",CG33)</x:f>
        <x:v>352741.3413192936</x:v>
      </x:c>
      <x:c r="CI33" s="145" t="str">
        <x:f>IF(CC33&gt;1,"Inviavel","OK")</x:f>
        <x:v>OK</x:v>
      </x:c>
    </x:row>
    <x:row r="34">
      <x:c r="A34" s="142" t="n">
        <x:v>30</x:v>
      </x:c>
      <x:c r="B34" s="179" t="n">
        <x:f>EDATE(Premissas!$B$4,A34-1)</x:f>
        <x:v>47423</x:v>
      </x:c>
      <x:c r="C34" s="141" t="n">
        <x:f>IF(A34&lt;=Premissas!$B$39,Premissas!$B$42,0)</x:f>
        <x:v>7000</x:v>
      </x:c>
      <x:c r="D34" s="141" t="n">
        <x:f>Premissas!$B$54*(1+Premissas!$B$57)^INT((A34-1)/12)</x:f>
        <x:v>786.5200000000001</x:v>
      </x:c>
      <x:c r="E34" s="141" t="n">
        <x:f>Premissas!$B$64*(1+Premissas!$B$57)^INT((A34-1)/12)</x:f>
        <x:v>719.104</x:v>
      </x:c>
      <x:c r="F34" s="141" t="n">
        <x:f>MAX(0,Premissas!$B$6*(1+Premissas!$B$66)^((A34-1)/12))</x:f>
        <x:v>230242.6826282666</x:v>
      </x:c>
      <x:c r="G34" s="141" t="n">
        <x:f>G33*(1+Premissas!$B$41)+C34</x:f>
        <x:v>359979.39311004494</x:v>
      </x:c>
      <x:c r="H34" s="141" t="n">
        <x:f>IF($A34=Premissas!$B$48,Premissas!$B$8,0)</x:f>
        <x:v>0</x:v>
      </x:c>
      <x:c r="I34" s="141" t="n">
        <x:f>IF(AND($A34&gt;=Premissas!$B$48,$A34-Premissas!$B$48+1&lt;=Premissas!$B$13),INDEX(Financiamento!$J$6:$J$485,$A34-Premissas!$B$48+1),0)</x:f>
        <x:v>1944.330680922659</x:v>
      </x:c>
      <x:c r="J34" s="141" t="n">
        <x:f>IF(AND(TRUE,Premissas!$B$11="Imovel",Premissas!$B$47="Moradia",$A34&lt;MAX(Premissas!$B$48,Premissas!$B$49)),$D34,0)</x:f>
        <x:v>0</x:v>
      </x:c>
      <x:c r="K34" s="141" t="n">
        <x:f>IF(AND(TRUE,Premissas!$B$11="Imovel",Premissas!$B$47="Investimento",$A34&gt;=MAX(Premissas!$B$48,Premissas!$B$49)),$E34,0)</x:f>
        <x:v>719.104</x:v>
      </x:c>
      <x:c r="L34" s="141" t="n">
        <x:f>H34+I34+J34</x:f>
        <x:v>1944.330680922659</x:v>
      </x:c>
      <x:c r="M34" s="141" t="n">
        <x:f>K34</x:f>
        <x:v>719.104</x:v>
      </x:c>
      <x:c r="N34" s="141" t="n">
        <x:f>$C34+M34-L34</x:f>
        <x:v>5774.7733190773415</x:v>
      </x:c>
      <x:c r="O34" s="141" t="n">
        <x:f>R33*(1+Premissas!$B$41)+N34</x:f>
        <x:v>261457.19923372928</x:v>
      </x:c>
      <x:c r="P34" s="141" t="n">
        <x:f>MAX(0,-O34)</x:f>
        <x:v>0</x:v>
      </x:c>
      <x:c r="Q34" s="141" t="n">
        <x:f>Q33*(1+Premissas!$B$41)+P34</x:f>
        <x:v>0</x:v>
      </x:c>
      <x:c r="R34" s="141" t="n">
        <x:f>MAX(0,O34)</x:f>
        <x:v>261457.19923372928</x:v>
      </x:c>
      <x:c r="S34" s="141" t="n">
        <x:f>IF(AND($A34&gt;=Premissas!$B$48,$A34-Premissas!$B$48+1&lt;=Premissas!$B$13),INDEX(Financiamento!$M$6:$M$485,$A34-Premissas!$B$48+1),0)</x:f>
        <x:v>148571.42857142884</x:v>
      </x:c>
      <x:c r="T34" s="141" t="n">
        <x:f>IF($A34&gt;=Premissas!$B$48,$F34,0)</x:f>
        <x:v>230242.6826282666</x:v>
      </x:c>
      <x:c r="U34" s="141" t="n">
        <x:f>R34+T34-S34</x:f>
        <x:v>343128.45329056703</x:v>
      </x:c>
      <x:c r="V34" s="141" t="n">
        <x:f>IF(Q34&gt;1,"Inviavel",U34)</x:f>
        <x:v>343128.45329056703</x:v>
      </x:c>
      <x:c r="W34" s="141" t="str">
        <x:f>IF(Q34&gt;1,"Inviavel","OK")</x:f>
        <x:v>OK</x:v>
      </x:c>
      <x:c r="X34" s="141" t="n">
        <x:f>IF($A34=Premissas!$B$48,Premissas!$B$8,0)</x:f>
        <x:v>0</x:v>
      </x:c>
      <x:c r="Y34" s="141" t="n">
        <x:f>IF(AND($A34&gt;=Premissas!$B$48,$A34-Premissas!$B$48+1&lt;=Premissas!$B$13),INDEX(Amortizacao!$K$6:$K$485,$A34-Premissas!$B$48+1),0)</x:f>
        <x:v>0</x:v>
      </x:c>
      <x:c r="Z34" s="141" t="n">
        <x:f>IF(AND(TRUE,Premissas!$B$11="Imovel",Premissas!$B$47="Moradia",$A34&lt;MAX(Premissas!$B$48,Premissas!$B$49)),$D34,0)</x:f>
        <x:v>0</x:v>
      </x:c>
      <x:c r="AA34" s="141" t="n">
        <x:f>IF(AND(TRUE,Premissas!$B$11="Imovel",Premissas!$B$47="Investimento",$A34&gt;=MAX(Premissas!$B$48,Premissas!$B$49)),$E34,0)</x:f>
        <x:v>719.104</x:v>
      </x:c>
      <x:c r="AB34" s="141" t="n">
        <x:f>X34+Y34+Z34</x:f>
        <x:v>0</x:v>
      </x:c>
      <x:c r="AC34" s="141" t="n">
        <x:f>AA34</x:f>
        <x:v>719.104</x:v>
      </x:c>
      <x:c r="AD34" s="141" t="n">
        <x:f>$C34+AC34-AB34</x:f>
        <x:v>7719.104</x:v>
      </x:c>
      <x:c r="AE34" s="141" t="n">
        <x:f>AH33*(1+Premissas!$B$41)+AD34</x:f>
        <x:v>113340.05412469992</x:v>
      </x:c>
      <x:c r="AF34" s="141" t="n">
        <x:f>MAX(0,-AE34)</x:f>
        <x:v>0</x:v>
      </x:c>
      <x:c r="AG34" s="141" t="n">
        <x:f>AG33*(1+Premissas!$B$41)+AF34</x:f>
        <x:v>0</x:v>
      </x:c>
      <x:c r="AH34" s="141" t="n">
        <x:f>MAX(0,AE34)</x:f>
        <x:v>113340.05412469992</x:v>
      </x:c>
      <x:c r="AI34" s="141" t="n">
        <x:f>IF(AND($A34&gt;=Premissas!$B$48,$A34-Premissas!$B$48+1&lt;=Premissas!$B$13),INDEX(Amortizacao!$L$6:$L$485,$A34-Premissas!$B$48+1),0)</x:f>
        <x:v>0</x:v>
      </x:c>
      <x:c r="AJ34" s="141" t="n">
        <x:f>IF($A34&gt;=Premissas!$B$48,$F34,0)</x:f>
        <x:v>230242.6826282666</x:v>
      </x:c>
      <x:c r="AK34" s="141" t="n">
        <x:f>AH34+AJ34-AI34</x:f>
        <x:v>343582.73675296654</x:v>
      </x:c>
      <x:c r="AL34" s="141" t="n">
        <x:f>IF(AG34&gt;1,"Inviavel",AK34)</x:f>
        <x:v>343582.73675296654</x:v>
      </x:c>
      <x:c r="AM34" s="141" t="str">
        <x:f>IF(AG34&gt;1,"Inviavel","OK")</x:f>
        <x:v>OK</x:v>
      </x:c>
      <x:c r="AN34" s="141" t="n">
        <x:f>IF($A34=Premissas!$B$48,Premissas!$B$8,0)</x:f>
        <x:v>0</x:v>
      </x:c>
      <x:c r="AO34" s="141" t="n">
        <x:f>IF($A34&lt;=Premissas!$B$25,INDEX('Consorcio IQ'!$K$6:$K$485,$A34),0)</x:f>
        <x:v>2585.3061170209157</x:v>
      </x:c>
      <x:c r="AP34" s="141" t="n">
        <x:f>IF(AND(TRUE,Premissas!$B$11="Imovel",Premissas!$B$47="Moradia",$A34&lt;MAX(Premissas!$B$48,Premissas!$B$49)),$D34,0)</x:f>
        <x:v>0</x:v>
      </x:c>
      <x:c r="AQ34" s="141" t="n">
        <x:f>IF(AND(TRUE,Premissas!$B$11="Imovel",Premissas!$B$47="Investimento",$A34&gt;=MAX(Premissas!$B$48,Premissas!$B$49)),$E34,0)</x:f>
        <x:v>719.104</x:v>
      </x:c>
      <x:c r="AR34" s="141" t="n">
        <x:f>AN34+AO34+AP34</x:f>
        <x:v>2585.3061170209157</x:v>
      </x:c>
      <x:c r="AS34" s="141" t="n">
        <x:f>AQ34</x:f>
        <x:v>719.104</x:v>
      </x:c>
      <x:c r="AT34" s="141" t="n">
        <x:f>$C34+AS34-AR34</x:f>
        <x:v>5133.7978829790845</x:v>
      </x:c>
      <x:c r="AU34" s="141" t="n">
        <x:f>AX33*(1+Premissas!$B$41)+AT34</x:f>
        <x:v>240874.65663003433</x:v>
      </x:c>
      <x:c r="AV34" s="141" t="n">
        <x:f>MAX(0,-AU34)</x:f>
        <x:v>0</x:v>
      </x:c>
      <x:c r="AW34" s="141" t="n">
        <x:f>AW33*(1+Premissas!$B$41)+AV34</x:f>
        <x:v>0</x:v>
      </x:c>
      <x:c r="AX34" s="141" t="n">
        <x:f>MAX(0,AU34)</x:f>
        <x:v>240874.65663003433</x:v>
      </x:c>
      <x:c r="AY34" s="141" t="n">
        <x:f>INDEX('Consorcio IQ'!$P$6:$P$485,$A34)</x:f>
        <x:v>234541.06644125085</x:v>
      </x:c>
      <x:c r="AZ34" s="141" t="n">
        <x:f>IF($A34&gt;=Premissas!$B$48,$F34,0)+IF($A34&lt;Premissas!$B$27,INDEX('Consorcio IQ'!$O$6:$O$485,$A34),0)</x:f>
        <x:v>333549.298793325</x:v>
      </x:c>
      <x:c r="BA34" s="141" t="n">
        <x:f>AX34+AZ34-AY34</x:f>
        <x:v>339882.88898210844</x:v>
      </x:c>
      <x:c r="BB34" s="141" t="n">
        <x:f>IF(AW34&gt;1,"Inviavel",BA34)</x:f>
        <x:v>339882.88898210844</x:v>
      </x:c>
      <x:c r="BC34" s="141" t="str">
        <x:f>IF(AW34&gt;1,"Inviavel","OK")</x:f>
        <x:v>OK</x:v>
      </x:c>
      <x:c r="BD34" s="141" t="n">
        <x:f>IF($A34='Consorcio Direto'!$B$29,'Consorcio Direto'!$B$44,0)</x:f>
        <x:v>0</x:v>
      </x:c>
      <x:c r="BE34" s="141" t="n">
        <x:f>IF($A34&lt;='Consorcio Direto'!$B$27,INDEX('Consorcio Direto'!$E$55:$E$534,$A34),0)</x:f>
        <x:v>1659.8063813987517</x:v>
      </x:c>
      <x:c r="BF34" s="141" t="n">
        <x:f>IF(AND(TRUE,Premissas!$B$11="Imovel",Premissas!$B$47="Moradia",$A34&lt;MAX('Consorcio Direto'!$B$29,Premissas!$B$49)),$D34,0)</x:f>
        <x:v>0</x:v>
      </x:c>
      <x:c r="BG34" s="141" t="n">
        <x:f>IF(AND(TRUE,Premissas!$B$11="Imovel",Premissas!$B$47="Investimento",$A34&gt;=MAX('Consorcio Direto'!$B$29,Premissas!$B$49)),$E34,0)</x:f>
        <x:v>0</x:v>
      </x:c>
      <x:c r="BH34" s="141" t="n">
        <x:f>BD34+BE34+BF34</x:f>
        <x:v>1659.8063813987517</x:v>
      </x:c>
      <x:c r="BI34" s="141" t="n">
        <x:f>BG34</x:f>
        <x:v>0</x:v>
      </x:c>
      <x:c r="BJ34" s="141" t="n">
        <x:f>$C34+BI34-BH34</x:f>
        <x:v>5340.193618601248</x:v>
      </x:c>
      <x:c r="BK34" s="141" t="n">
        <x:f>BN33*(1+Premissas!$B$41)+BJ34</x:f>
        <x:v>306680.8833153766</x:v>
      </x:c>
      <x:c r="BL34" s="141" t="n">
        <x:f>MAX(0,-BK34)</x:f>
        <x:v>0</x:v>
      </x:c>
      <x:c r="BM34" s="141" t="n">
        <x:f>BM33*(1+Premissas!$B$41)+BL34</x:f>
        <x:v>0</x:v>
      </x:c>
      <x:c r="BN34" s="141" t="n">
        <x:f>MAX(0,BK34)</x:f>
        <x:v>306680.8833153766</x:v>
      </x:c>
      <x:c r="BO34" s="141" t="n">
        <x:f>INDEX('Consorcio Direto'!$K$55:$K$534,$A34)</x:f>
        <x:v>222618.44293358637</x:v>
      </x:c>
      <x:c r="BP34" s="141" t="n">
        <x:f>IF($A34&lt;'Consorcio Direto'!$B$29,INDEX('Consorcio Direto'!$L$55:$L$534,$A34),$F34)</x:f>
        <x:v>200634.4211042323</x:v>
      </x:c>
      <x:c r="BQ34" s="141" t="n">
        <x:f>BN34+BP34-BO34</x:f>
        <x:v>284696.86148602254</x:v>
      </x:c>
      <x:c r="BR34" s="141" t="n">
        <x:f>IF(BM34&gt;1,"Inviavel",BQ34)</x:f>
        <x:v>284696.86148602254</x:v>
      </x:c>
      <x:c r="BS34" s="141" t="str">
        <x:f>IF(BM34&gt;1,"Inviavel","OK")</x:f>
        <x:v>OK</x:v>
      </x:c>
      <x:c r="BT34" s="141" t="n">
        <x:f>IF(AND('Carta Contemplada'!$B$22="Sim",$A34='Carta Contemplada'!$B$23),'Carta Contemplada'!$B$37,0)</x:f>
        <x:v>0</x:v>
      </x:c>
      <x:c r="BU34" s="141" t="n">
        <x:f>IF('Carta Contemplada'!$B$22="Sim",INDEX('Carta Contemplada'!$C$55:$C$1013,$A34),0)</x:f>
        <x:v>1348.3200000000002</x:v>
      </x:c>
      <x:c r="BV34" s="141" t="n">
        <x:f>IF(AND('Carta Contemplada'!$B$22="Sim",Premissas!$B$11="Imovel",Premissas!$B$47="Moradia",$A34&lt;MAX('Carta Contemplada'!$B$44,Premissas!$B$49)),$D34,0)</x:f>
        <x:v>0</x:v>
      </x:c>
      <x:c r="BW34" s="141" t="n">
        <x:f>IF(AND('Carta Contemplada'!$B$22="Sim",Premissas!$B$11="Imovel",Premissas!$B$47="Investimento",$A34&gt;=MAX('Carta Contemplada'!$B$44,Premissas!$B$49)),$E34,0)</x:f>
        <x:v>719.104</x:v>
      </x:c>
      <x:c r="BX34" s="141" t="n">
        <x:f>BT34+BU34+BV34</x:f>
        <x:v>1348.3200000000002</x:v>
      </x:c>
      <x:c r="BY34" s="141" t="n">
        <x:f>BW34</x:f>
        <x:v>719.104</x:v>
      </x:c>
      <x:c r="BZ34" s="141" t="n">
        <x:f>$C34+BY34-BX34</x:f>
        <x:v>6370.784</x:v>
      </x:c>
      <x:c r="CA34" s="141" t="n">
        <x:f>CD33*(1+Premissas!$B$41)+BZ34</x:f>
        <x:v>277966.92759653146</x:v>
      </x:c>
      <x:c r="CB34" s="141" t="n">
        <x:f>MAX(0,-CA34)</x:f>
        <x:v>0</x:v>
      </x:c>
      <x:c r="CC34" s="141" t="n">
        <x:f>CC33*(1+Premissas!$B$41)+CB34</x:f>
        <x:v>0</x:v>
      </x:c>
      <x:c r="CD34" s="141" t="n">
        <x:f>MAX(0,CA34)</x:f>
        <x:v>277966.92759653146</x:v>
      </x:c>
      <x:c r="CE34" s="141" t="n">
        <x:f>IF(AND('Carta Contemplada'!$B$22="Sim",$A34&gt;='Carta Contemplada'!$B$23),INDEX('Carta Contemplada'!$I$55:$I$1013,$A34),0)</x:f>
        <x:v>145460.9285768451</x:v>
      </x:c>
      <x:c r="CF34" s="141" t="n">
        <x:f>IF(AND('Carta Contemplada'!$B$22="Sim",$A34&gt;='Carta Contemplada'!$B$44),$F34,0)</x:f>
        <x:v>230242.6826282666</x:v>
      </x:c>
      <x:c r="CG34" s="141" t="n">
        <x:f>CD34+CF34-CE34</x:f>
        <x:v>362748.681647953</x:v>
      </x:c>
      <x:c r="CH34" s="141" t="n">
        <x:f>IF(CC34&gt;1,"Inviavel",CG34)</x:f>
        <x:v>362748.681647953</x:v>
      </x:c>
      <x:c r="CI34" s="145" t="str">
        <x:f>IF(CC34&gt;1,"Inviavel","OK")</x:f>
        <x:v>OK</x:v>
      </x:c>
    </x:row>
    <x:row r="35">
      <x:c r="A35" s="142" t="n">
        <x:v>31</x:v>
      </x:c>
      <x:c r="B35" s="179" t="n">
        <x:f>EDATE(Premissas!$B$4,A35-1)</x:f>
        <x:v>47453</x:v>
      </x:c>
      <x:c r="C35" s="141" t="n">
        <x:f>IF(A35&lt;=Premissas!$B$39,Premissas!$B$42,0)</x:f>
        <x:v>7000</x:v>
      </x:c>
      <x:c r="D35" s="141" t="n">
        <x:f>Premissas!$B$54*(1+Premissas!$B$57)^INT((A35-1)/12)</x:f>
        <x:v>786.5200000000001</x:v>
      </x:c>
      <x:c r="E35" s="141" t="n">
        <x:f>Premissas!$B$64*(1+Premissas!$B$57)^INT((A35-1)/12)</x:f>
        <x:v>719.104</x:v>
      </x:c>
      <x:c r="F35" s="141" t="n">
        <x:f>MAX(0,Premissas!$B$6*(1+Premissas!$B$66)^((A35-1)/12))</x:f>
        <x:v>231363.40052825992</x:v>
      </x:c>
      <x:c r="G35" s="141" t="n">
        <x:f>G34*(1+Premissas!$B$41)+C35</x:f>
        <x:v>370395.163031983</x:v>
      </x:c>
      <x:c r="H35" s="141" t="n">
        <x:f>IF($A35=Premissas!$B$48,Premissas!$B$8,0)</x:f>
        <x:v>0</x:v>
      </x:c>
      <x:c r="I35" s="141" t="n">
        <x:f>IF(AND($A35&gt;=Premissas!$B$48,$A35-Premissas!$B$48+1&lt;=Premissas!$B$13),INDEX(Financiamento!$J$6:$J$485,$A35-Premissas!$B$48+1),0)</x:f>
        <x:v>1940.7159026618654</x:v>
      </x:c>
      <x:c r="J35" s="141" t="n">
        <x:f>IF(AND(TRUE,Premissas!$B$11="Imovel",Premissas!$B$47="Moradia",$A35&lt;MAX(Premissas!$B$48,Premissas!$B$49)),$D35,0)</x:f>
        <x:v>0</x:v>
      </x:c>
      <x:c r="K35" s="141" t="n">
        <x:f>IF(AND(TRUE,Premissas!$B$11="Imovel",Premissas!$B$47="Investimento",$A35&gt;=MAX(Premissas!$B$48,Premissas!$B$49)),$E35,0)</x:f>
        <x:v>719.104</x:v>
      </x:c>
      <x:c r="L35" s="141" t="n">
        <x:f>H35+I35+J35</x:f>
        <x:v>1940.7159026618654</x:v>
      </x:c>
      <x:c r="M35" s="141" t="n">
        <x:f>K35</x:f>
        <x:v>719.104</x:v>
      </x:c>
      <x:c r="N35" s="141" t="n">
        <x:f>$C35+M35-L35</x:f>
        <x:v>5778.388097338135</x:v>
      </x:c>
      <x:c r="O35" s="141" t="n">
        <x:f>R34*(1+Premissas!$B$41)+N35</x:f>
        <x:v>269716.5005558523</x:v>
      </x:c>
      <x:c r="P35" s="141" t="n">
        <x:f>MAX(0,-O35)</x:f>
        <x:v>0</x:v>
      </x:c>
      <x:c r="Q35" s="141" t="n">
        <x:f>Q34*(1+Premissas!$B$41)+P35</x:f>
        <x:v>0</x:v>
      </x:c>
      <x:c r="R35" s="141" t="n">
        <x:f>MAX(0,O35)</x:f>
        <x:v>269716.5005558523</x:v>
      </x:c>
      <x:c r="S35" s="141" t="n">
        <x:f>IF(AND($A35&gt;=Premissas!$B$48,$A35-Premissas!$B$48+1&lt;=Premissas!$B$13),INDEX(Financiamento!$M$6:$M$485,$A35-Premissas!$B$48+1),0)</x:f>
        <x:v>148190.47619047645</x:v>
      </x:c>
      <x:c r="T35" s="141" t="n">
        <x:f>IF($A35&gt;=Premissas!$B$48,$F35,0)</x:f>
        <x:v>231363.40052825992</x:v>
      </x:c>
      <x:c r="U35" s="141" t="n">
        <x:f>R35+T35-S35</x:f>
        <x:v>352889.4248936358</x:v>
      </x:c>
      <x:c r="V35" s="141" t="n">
        <x:f>IF(Q35&gt;1,"Inviavel",U35)</x:f>
        <x:v>352889.4248936358</x:v>
      </x:c>
      <x:c r="W35" s="141" t="str">
        <x:f>IF(Q35&gt;1,"Inviavel","OK")</x:f>
        <x:v>OK</x:v>
      </x:c>
      <x:c r="X35" s="141" t="n">
        <x:f>IF($A35=Premissas!$B$48,Premissas!$B$8,0)</x:f>
        <x:v>0</x:v>
      </x:c>
      <x:c r="Y35" s="141" t="n">
        <x:f>IF(AND($A35&gt;=Premissas!$B$48,$A35-Premissas!$B$48+1&lt;=Premissas!$B$13),INDEX(Amortizacao!$K$6:$K$485,$A35-Premissas!$B$48+1),0)</x:f>
        <x:v>0</x:v>
      </x:c>
      <x:c r="Z35" s="141" t="n">
        <x:f>IF(AND(TRUE,Premissas!$B$11="Imovel",Premissas!$B$47="Moradia",$A35&lt;MAX(Premissas!$B$48,Premissas!$B$49)),$D35,0)</x:f>
        <x:v>0</x:v>
      </x:c>
      <x:c r="AA35" s="141" t="n">
        <x:f>IF(AND(TRUE,Premissas!$B$11="Imovel",Premissas!$B$47="Investimento",$A35&gt;=MAX(Premissas!$B$48,Premissas!$B$49)),$E35,0)</x:f>
        <x:v>719.104</x:v>
      </x:c>
      <x:c r="AB35" s="141" t="n">
        <x:f>X35+Y35+Z35</x:f>
        <x:v>0</x:v>
      </x:c>
      <x:c r="AC35" s="141" t="n">
        <x:f>AA35</x:f>
        <x:v>719.104</x:v>
      </x:c>
      <x:c r="AD35" s="141" t="n">
        <x:f>$C35+AC35-AB35</x:f>
        <x:v>7719.104</x:v>
      </x:c>
      <x:c r="AE35" s="141" t="n">
        <x:f>AH34*(1+Premissas!$B$41)+AD35</x:f>
        <x:v>122134.61842948364</x:v>
      </x:c>
      <x:c r="AF35" s="141" t="n">
        <x:f>MAX(0,-AE35)</x:f>
        <x:v>0</x:v>
      </x:c>
      <x:c r="AG35" s="141" t="n">
        <x:f>AG34*(1+Premissas!$B$41)+AF35</x:f>
        <x:v>0</x:v>
      </x:c>
      <x:c r="AH35" s="141" t="n">
        <x:f>MAX(0,AE35)</x:f>
        <x:v>122134.61842948364</x:v>
      </x:c>
      <x:c r="AI35" s="141" t="n">
        <x:f>IF(AND($A35&gt;=Premissas!$B$48,$A35-Premissas!$B$48+1&lt;=Premissas!$B$13),INDEX(Amortizacao!$L$6:$L$485,$A35-Premissas!$B$48+1),0)</x:f>
        <x:v>0</x:v>
      </x:c>
      <x:c r="AJ35" s="141" t="n">
        <x:f>IF($A35&gt;=Premissas!$B$48,$F35,0)</x:f>
        <x:v>231363.40052825992</x:v>
      </x:c>
      <x:c r="AK35" s="141" t="n">
        <x:f>AH35+AJ35-AI35</x:f>
        <x:v>353498.01895774354</x:v>
      </x:c>
      <x:c r="AL35" s="141" t="n">
        <x:f>IF(AG35&gt;1,"Inviavel",AK35)</x:f>
        <x:v>353498.01895774354</x:v>
      </x:c>
      <x:c r="AM35" s="141" t="str">
        <x:f>IF(AG35&gt;1,"Inviavel","OK")</x:f>
        <x:v>OK</x:v>
      </x:c>
      <x:c r="AN35" s="141" t="n">
        <x:f>IF($A35=Premissas!$B$48,Premissas!$B$8,0)</x:f>
        <x:v>0</x:v>
      </x:c>
      <x:c r="AO35" s="141" t="n">
        <x:f>IF($A35&lt;=Premissas!$B$25,INDEX('Consorcio IQ'!$K$6:$K$485,$A35),0)</x:f>
        <x:v>2581.691338760122</x:v>
      </x:c>
      <x:c r="AP35" s="141" t="n">
        <x:f>IF(AND(TRUE,Premissas!$B$11="Imovel",Premissas!$B$47="Moradia",$A35&lt;MAX(Premissas!$B$48,Premissas!$B$49)),$D35,0)</x:f>
        <x:v>0</x:v>
      </x:c>
      <x:c r="AQ35" s="141" t="n">
        <x:f>IF(AND(TRUE,Premissas!$B$11="Imovel",Premissas!$B$47="Investimento",$A35&gt;=MAX(Premissas!$B$48,Premissas!$B$49)),$E35,0)</x:f>
        <x:v>719.104</x:v>
      </x:c>
      <x:c r="AR35" s="141" t="n">
        <x:f>AN35+AO35+AP35</x:f>
        <x:v>2581.691338760122</x:v>
      </x:c>
      <x:c r="AS35" s="141" t="n">
        <x:f>AQ35</x:f>
        <x:v>719.104</x:v>
      </x:c>
      <x:c r="AT35" s="141" t="n">
        <x:f>$C35+AS35-AR35</x:f>
        <x:v>5137.412661239878</x:v>
      </x:c>
      <x:c r="AU35" s="141" t="n">
        <x:f>AX34*(1+Premissas!$B$41)+AT35</x:f>
        <x:v>248297.6790312254</x:v>
      </x:c>
      <x:c r="AV35" s="141" t="n">
        <x:f>MAX(0,-AU35)</x:f>
        <x:v>0</x:v>
      </x:c>
      <x:c r="AW35" s="141" t="n">
        <x:f>AW34*(1+Premissas!$B$41)+AV35</x:f>
        <x:v>0</x:v>
      </x:c>
      <x:c r="AX35" s="141" t="n">
        <x:f>MAX(0,AU35)</x:f>
        <x:v>248297.6790312254</x:v>
      </x:c>
      <x:c r="AY35" s="141" t="n">
        <x:f>INDEX('Consorcio IQ'!$P$6:$P$485,$A35)</x:f>
        <x:v>234334.88671660802</x:v>
      </x:c>
      <x:c r="AZ35" s="141" t="n">
        <x:f>IF($A35&gt;=Premissas!$B$48,$F35,0)+IF($A35&lt;Premissas!$B$27,INDEX('Consorcio IQ'!$O$6:$O$485,$A35),0)</x:f>
        <x:v>335650.27178288106</x:v>
      </x:c>
      <x:c r="BA35" s="141" t="n">
        <x:f>AX35+AZ35-AY35</x:f>
        <x:v>349613.0640974985</x:v>
      </x:c>
      <x:c r="BB35" s="141" t="n">
        <x:f>IF(AW35&gt;1,"Inviavel",BA35)</x:f>
        <x:v>349613.0640974985</x:v>
      </x:c>
      <x:c r="BC35" s="141" t="str">
        <x:f>IF(AW35&gt;1,"Inviavel","OK")</x:f>
        <x:v>OK</x:v>
      </x:c>
      <x:c r="BD35" s="141" t="n">
        <x:f>IF($A35='Consorcio Direto'!$B$29,'Consorcio Direto'!$B$44,0)</x:f>
        <x:v>0</x:v>
      </x:c>
      <x:c r="BE35" s="141" t="n">
        <x:f>IF($A35&lt;='Consorcio Direto'!$B$27,INDEX('Consorcio Direto'!$E$55:$E$534,$A35),0)</x:f>
        <x:v>1659.8063813987517</x:v>
      </x:c>
      <x:c r="BF35" s="141" t="n">
        <x:f>IF(AND(TRUE,Premissas!$B$11="Imovel",Premissas!$B$47="Moradia",$A35&lt;MAX('Consorcio Direto'!$B$29,Premissas!$B$49)),$D35,0)</x:f>
        <x:v>0</x:v>
      </x:c>
      <x:c r="BG35" s="141" t="n">
        <x:f>IF(AND(TRUE,Premissas!$B$11="Imovel",Premissas!$B$47="Investimento",$A35&gt;=MAX('Consorcio Direto'!$B$29,Premissas!$B$49)),$E35,0)</x:f>
        <x:v>0</x:v>
      </x:c>
      <x:c r="BH35" s="141" t="n">
        <x:f>BD35+BE35+BF35</x:f>
        <x:v>1659.8063813987517</x:v>
      </x:c>
      <x:c r="BI35" s="141" t="n">
        <x:f>BG35</x:f>
        <x:v>0</x:v>
      </x:c>
      <x:c r="BJ35" s="141" t="n">
        <x:f>$C35+BI35-BH35</x:f>
        <x:v>5340.193618601248</x:v>
      </x:c>
      <x:c r="BK35" s="141" t="n">
        <x:f>BN34*(1+Premissas!$B$41)+BJ35</x:f>
        <x:v>314931.1083327525</x:v>
      </x:c>
      <x:c r="BL35" s="141" t="n">
        <x:f>MAX(0,-BK35)</x:f>
        <x:v>0</x:v>
      </x:c>
      <x:c r="BM35" s="141" t="n">
        <x:f>BM34*(1+Premissas!$B$41)+BL35</x:f>
        <x:v>0</x:v>
      </x:c>
      <x:c r="BN35" s="141" t="n">
        <x:f>MAX(0,BK35)</x:f>
        <x:v>314931.1083327525</x:v>
      </x:c>
      <x:c r="BO35" s="141" t="n">
        <x:f>INDEX('Consorcio Direto'!$K$55:$K$534,$A35)</x:f>
        <x:v>223071.0168606037</x:v>
      </x:c>
      <x:c r="BP35" s="141" t="n">
        <x:f>IF($A35&lt;'Consorcio Direto'!$B$29,INDEX('Consorcio Direto'!$L$55:$L$534,$A35),$F35)</x:f>
        <x:v>202538.19958164028</x:v>
      </x:c>
      <x:c r="BQ35" s="141" t="n">
        <x:f>BN35+BP35-BO35</x:f>
        <x:v>294398.2910537891</x:v>
      </x:c>
      <x:c r="BR35" s="141" t="n">
        <x:f>IF(BM35&gt;1,"Inviavel",BQ35)</x:f>
        <x:v>294398.2910537891</x:v>
      </x:c>
      <x:c r="BS35" s="141" t="str">
        <x:f>IF(BM35&gt;1,"Inviavel","OK")</x:f>
        <x:v>OK</x:v>
      </x:c>
      <x:c r="BT35" s="141" t="n">
        <x:f>IF(AND('Carta Contemplada'!$B$22="Sim",$A35='Carta Contemplada'!$B$23),'Carta Contemplada'!$B$37,0)</x:f>
        <x:v>0</x:v>
      </x:c>
      <x:c r="BU35" s="141" t="n">
        <x:f>IF('Carta Contemplada'!$B$22="Sim",INDEX('Carta Contemplada'!$C$55:$C$1013,$A35),0)</x:f>
        <x:v>1348.3200000000002</x:v>
      </x:c>
      <x:c r="BV35" s="141" t="n">
        <x:f>IF(AND('Carta Contemplada'!$B$22="Sim",Premissas!$B$11="Imovel",Premissas!$B$47="Moradia",$A35&lt;MAX('Carta Contemplada'!$B$44,Premissas!$B$49)),$D35,0)</x:f>
        <x:v>0</x:v>
      </x:c>
      <x:c r="BW35" s="141" t="n">
        <x:f>IF(AND('Carta Contemplada'!$B$22="Sim",Premissas!$B$11="Imovel",Premissas!$B$47="Investimento",$A35&gt;=MAX('Carta Contemplada'!$B$44,Premissas!$B$49)),$E35,0)</x:f>
        <x:v>719.104</x:v>
      </x:c>
      <x:c r="BX35" s="141" t="n">
        <x:f>BT35+BU35+BV35</x:f>
        <x:v>1348.3200000000002</x:v>
      </x:c>
      <x:c r="BY35" s="141" t="n">
        <x:f>BW35</x:f>
        <x:v>719.104</x:v>
      </x:c>
      <x:c r="BZ35" s="141" t="n">
        <x:f>$C35+BY35-BX35</x:f>
        <x:v>6370.784</x:v>
      </x:c>
      <x:c r="CA35" s="141" t="n">
        <x:f>CD34*(1+Premissas!$B$41)+BZ35</x:f>
        <x:v>286975.2822151572</x:v>
      </x:c>
      <x:c r="CB35" s="141" t="n">
        <x:f>MAX(0,-CA35)</x:f>
        <x:v>0</x:v>
      </x:c>
      <x:c r="CC35" s="141" t="n">
        <x:f>CC34*(1+Premissas!$B$41)+CB35</x:f>
        <x:v>0</x:v>
      </x:c>
      <x:c r="CD35" s="141" t="n">
        <x:f>MAX(0,CA35)</x:f>
        <x:v>286975.2822151572</x:v>
      </x:c>
      <x:c r="CE35" s="141" t="n">
        <x:f>IF(AND('Carta Contemplada'!$B$22="Sim",$A35&gt;='Carta Contemplada'!$B$23),INDEX('Carta Contemplada'!$I$55:$I$1013,$A35),0)</x:f>
        <x:v>145492.85720818295</x:v>
      </x:c>
      <x:c r="CF35" s="141" t="n">
        <x:f>IF(AND('Carta Contemplada'!$B$22="Sim",$A35&gt;='Carta Contemplada'!$B$44),$F35,0)</x:f>
        <x:v>231363.40052825992</x:v>
      </x:c>
      <x:c r="CG35" s="141" t="n">
        <x:f>CD35+CF35-CE35</x:f>
        <x:v>372845.8255352342</x:v>
      </x:c>
      <x:c r="CH35" s="141" t="n">
        <x:f>IF(CC35&gt;1,"Inviavel",CG35)</x:f>
        <x:v>372845.8255352342</x:v>
      </x:c>
      <x:c r="CI35" s="145" t="str">
        <x:f>IF(CC35&gt;1,"Inviavel","OK")</x:f>
        <x:v>OK</x:v>
      </x:c>
    </x:row>
    <x:row r="36">
      <x:c r="A36" s="142" t="n">
        <x:v>32</x:v>
      </x:c>
      <x:c r="B36" s="179" t="n">
        <x:f>EDATE(Premissas!$B$4,A36-1)</x:f>
        <x:v>47484</x:v>
      </x:c>
      <x:c r="C36" s="141" t="n">
        <x:f>IF(A36&lt;=Premissas!$B$39,Premissas!$B$42,0)</x:f>
        <x:v>7000</x:v>
      </x:c>
      <x:c r="D36" s="141" t="n">
        <x:f>Premissas!$B$54*(1+Premissas!$B$57)^INT((A36-1)/12)</x:f>
        <x:v>786.5200000000001</x:v>
      </x:c>
      <x:c r="E36" s="141" t="n">
        <x:f>Premissas!$B$64*(1+Premissas!$B$57)^INT((A36-1)/12)</x:f>
        <x:v>719.104</x:v>
      </x:c>
      <x:c r="F36" s="141" t="n">
        <x:f>MAX(0,Premissas!$B$6*(1+Premissas!$B$66)^((A36-1)/12))</x:f>
        <x:v>232489.57357930092</x:v>
      </x:c>
      <x:c r="G36" s="141" t="n">
        <x:f>G35*(1+Premissas!$B$41)+C36</x:f>
        <x:v>380909.7660379646</x:v>
      </x:c>
      <x:c r="H36" s="141" t="n">
        <x:f>IF($A36=Premissas!$B$48,Premissas!$B$8,0)</x:f>
        <x:v>0</x:v>
      </x:c>
      <x:c r="I36" s="141" t="n">
        <x:f>IF(AND($A36&gt;=Premissas!$B$48,$A36-Premissas!$B$48+1&lt;=Premissas!$B$13),INDEX(Financiamento!$J$6:$J$485,$A36-Premissas!$B$48+1),0)</x:f>
        <x:v>1937.1011244010715</x:v>
      </x:c>
      <x:c r="J36" s="141" t="n">
        <x:f>IF(AND(TRUE,Premissas!$B$11="Imovel",Premissas!$B$47="Moradia",$A36&lt;MAX(Premissas!$B$48,Premissas!$B$49)),$D36,0)</x:f>
        <x:v>0</x:v>
      </x:c>
      <x:c r="K36" s="141" t="n">
        <x:f>IF(AND(TRUE,Premissas!$B$11="Imovel",Premissas!$B$47="Investimento",$A36&gt;=MAX(Premissas!$B$48,Premissas!$B$49)),$E36,0)</x:f>
        <x:v>719.104</x:v>
      </x:c>
      <x:c r="L36" s="141" t="n">
        <x:f>H36+I36+J36</x:f>
        <x:v>1937.1011244010715</x:v>
      </x:c>
      <x:c r="M36" s="141" t="n">
        <x:f>K36</x:f>
        <x:v>719.104</x:v>
      </x:c>
      <x:c r="N36" s="141" t="n">
        <x:f>$C36+M36-L36</x:f>
        <x:v>5782.002875598929</x:v>
      </x:c>
      <x:c r="O36" s="141" t="n">
        <x:f>R35*(1+Premissas!$B$41)+N36</x:f>
        <x:v>278057.78745626606</x:v>
      </x:c>
      <x:c r="P36" s="141" t="n">
        <x:f>MAX(0,-O36)</x:f>
        <x:v>0</x:v>
      </x:c>
      <x:c r="Q36" s="141" t="n">
        <x:f>Q35*(1+Premissas!$B$41)+P36</x:f>
        <x:v>0</x:v>
      </x:c>
      <x:c r="R36" s="141" t="n">
        <x:f>MAX(0,O36)</x:f>
        <x:v>278057.78745626606</x:v>
      </x:c>
      <x:c r="S36" s="141" t="n">
        <x:f>IF(AND($A36&gt;=Premissas!$B$48,$A36-Premissas!$B$48+1&lt;=Premissas!$B$13),INDEX(Financiamento!$M$6:$M$485,$A36-Premissas!$B$48+1),0)</x:f>
        <x:v>147809.52380952408</x:v>
      </x:c>
      <x:c r="T36" s="141" t="n">
        <x:f>IF($A36&gt;=Premissas!$B$48,$F36,0)</x:f>
        <x:v>232489.57357930092</x:v>
      </x:c>
      <x:c r="U36" s="141" t="n">
        <x:f>R36+T36-S36</x:f>
        <x:v>362737.83722604293</x:v>
      </x:c>
      <x:c r="V36" s="141" t="n">
        <x:f>IF(Q36&gt;1,"Inviavel",U36)</x:f>
        <x:v>362737.83722604293</x:v>
      </x:c>
      <x:c r="W36" s="141" t="str">
        <x:f>IF(Q36&gt;1,"Inviavel","OK")</x:f>
        <x:v>OK</x:v>
      </x:c>
      <x:c r="X36" s="141" t="n">
        <x:f>IF($A36=Premissas!$B$48,Premissas!$B$8,0)</x:f>
        <x:v>0</x:v>
      </x:c>
      <x:c r="Y36" s="141" t="n">
        <x:f>IF(AND($A36&gt;=Premissas!$B$48,$A36-Premissas!$B$48+1&lt;=Premissas!$B$13),INDEX(Amortizacao!$K$6:$K$485,$A36-Premissas!$B$48+1),0)</x:f>
        <x:v>0</x:v>
      </x:c>
      <x:c r="Z36" s="141" t="n">
        <x:f>IF(AND(TRUE,Premissas!$B$11="Imovel",Premissas!$B$47="Moradia",$A36&lt;MAX(Premissas!$B$48,Premissas!$B$49)),$D36,0)</x:f>
        <x:v>0</x:v>
      </x:c>
      <x:c r="AA36" s="141" t="n">
        <x:f>IF(AND(TRUE,Premissas!$B$11="Imovel",Premissas!$B$47="Investimento",$A36&gt;=MAX(Premissas!$B$48,Premissas!$B$49)),$E36,0)</x:f>
        <x:v>719.104</x:v>
      </x:c>
      <x:c r="AB36" s="141" t="n">
        <x:f>X36+Y36+Z36</x:f>
        <x:v>0</x:v>
      </x:c>
      <x:c r="AC36" s="141" t="n">
        <x:f>AA36</x:f>
        <x:v>719.104</x:v>
      </x:c>
      <x:c r="AD36" s="141" t="n">
        <x:f>$C36+AC36-AB36</x:f>
        <x:v>7719.104</x:v>
      </x:c>
      <x:c r="AE36" s="141" t="n">
        <x:f>AH35*(1+Premissas!$B$41)+AD36</x:f>
        <x:v>131012.63253390533</x:v>
      </x:c>
      <x:c r="AF36" s="141" t="n">
        <x:f>MAX(0,-AE36)</x:f>
        <x:v>0</x:v>
      </x:c>
      <x:c r="AG36" s="141" t="n">
        <x:f>AG35*(1+Premissas!$B$41)+AF36</x:f>
        <x:v>0</x:v>
      </x:c>
      <x:c r="AH36" s="141" t="n">
        <x:f>MAX(0,AE36)</x:f>
        <x:v>131012.63253390533</x:v>
      </x:c>
      <x:c r="AI36" s="141" t="n">
        <x:f>IF(AND($A36&gt;=Premissas!$B$48,$A36-Premissas!$B$48+1&lt;=Premissas!$B$13),INDEX(Amortizacao!$L$6:$L$485,$A36-Premissas!$B$48+1),0)</x:f>
        <x:v>0</x:v>
      </x:c>
      <x:c r="AJ36" s="141" t="n">
        <x:f>IF($A36&gt;=Premissas!$B$48,$F36,0)</x:f>
        <x:v>232489.57357930092</x:v>
      </x:c>
      <x:c r="AK36" s="141" t="n">
        <x:f>AH36+AJ36-AI36</x:f>
        <x:v>363502.2061132062</x:v>
      </x:c>
      <x:c r="AL36" s="141" t="n">
        <x:f>IF(AG36&gt;1,"Inviavel",AK36)</x:f>
        <x:v>363502.2061132062</x:v>
      </x:c>
      <x:c r="AM36" s="141" t="str">
        <x:f>IF(AG36&gt;1,"Inviavel","OK")</x:f>
        <x:v>OK</x:v>
      </x:c>
      <x:c r="AN36" s="141" t="n">
        <x:f>IF($A36=Premissas!$B$48,Premissas!$B$8,0)</x:f>
        <x:v>0</x:v>
      </x:c>
      <x:c r="AO36" s="141" t="n">
        <x:f>IF($A36&lt;=Premissas!$B$25,INDEX('Consorcio IQ'!$K$6:$K$485,$A36),0)</x:f>
        <x:v>2578.0765604993285</x:v>
      </x:c>
      <x:c r="AP36" s="141" t="n">
        <x:f>IF(AND(TRUE,Premissas!$B$11="Imovel",Premissas!$B$47="Moradia",$A36&lt;MAX(Premissas!$B$48,Premissas!$B$49)),$D36,0)</x:f>
        <x:v>0</x:v>
      </x:c>
      <x:c r="AQ36" s="141" t="n">
        <x:f>IF(AND(TRUE,Premissas!$B$11="Imovel",Premissas!$B$47="Investimento",$A36&gt;=MAX(Premissas!$B$48,Premissas!$B$49)),$E36,0)</x:f>
        <x:v>719.104</x:v>
      </x:c>
      <x:c r="AR36" s="141" t="n">
        <x:f>AN36+AO36+AP36</x:f>
        <x:v>2578.0765604993285</x:v>
      </x:c>
      <x:c r="AS36" s="141" t="n">
        <x:f>AQ36</x:f>
        <x:v>719.104</x:v>
      </x:c>
      <x:c r="AT36" s="141" t="n">
        <x:f>$C36+AS36-AR36</x:f>
        <x:v>5141.027439500672</x:v>
      </x:c>
      <x:c r="AU36" s="141" t="n">
        <x:f>AX35*(1+Premissas!$B$41)+AT36</x:f>
        <x:v>255794.7517331909</x:v>
      </x:c>
      <x:c r="AV36" s="141" t="n">
        <x:f>MAX(0,-AU36)</x:f>
        <x:v>0</x:v>
      </x:c>
      <x:c r="AW36" s="141" t="n">
        <x:f>AW35*(1+Premissas!$B$41)+AV36</x:f>
        <x:v>0</x:v>
      </x:c>
      <x:c r="AX36" s="141" t="n">
        <x:f>MAX(0,AU36)</x:f>
        <x:v>255794.7517331909</x:v>
      </x:c>
      <x:c r="AY36" s="141" t="n">
        <x:f>INDEX('Consorcio IQ'!$P$6:$P$485,$A36)</x:f>
        <x:v>234130.36537351157</x:v>
      </x:c>
      <x:c r="AZ36" s="141" t="n">
        <x:f>IF($A36&gt;=Premissas!$B$48,$F36,0)+IF($A36&lt;Premissas!$B$27,INDEX('Consorcio IQ'!$O$6:$O$485,$A36),0)</x:f>
        <x:v>337766.0013610527</x:v>
      </x:c>
      <x:c r="BA36" s="141" t="n">
        <x:f>AX36+AZ36-AY36</x:f>
        <x:v>359430.387720732</x:v>
      </x:c>
      <x:c r="BB36" s="141" t="n">
        <x:f>IF(AW36&gt;1,"Inviavel",BA36)</x:f>
        <x:v>359430.387720732</x:v>
      </x:c>
      <x:c r="BC36" s="141" t="str">
        <x:f>IF(AW36&gt;1,"Inviavel","OK")</x:f>
        <x:v>OK</x:v>
      </x:c>
      <x:c r="BD36" s="141" t="n">
        <x:f>IF($A36='Consorcio Direto'!$B$29,'Consorcio Direto'!$B$44,0)</x:f>
        <x:v>0</x:v>
      </x:c>
      <x:c r="BE36" s="141" t="n">
        <x:f>IF($A36&lt;='Consorcio Direto'!$B$27,INDEX('Consorcio Direto'!$E$55:$E$534,$A36),0)</x:f>
        <x:v>1659.8063813987517</x:v>
      </x:c>
      <x:c r="BF36" s="141" t="n">
        <x:f>IF(AND(TRUE,Premissas!$B$11="Imovel",Premissas!$B$47="Moradia",$A36&lt;MAX('Consorcio Direto'!$B$29,Premissas!$B$49)),$D36,0)</x:f>
        <x:v>0</x:v>
      </x:c>
      <x:c r="BG36" s="141" t="n">
        <x:f>IF(AND(TRUE,Premissas!$B$11="Imovel",Premissas!$B$47="Investimento",$A36&gt;=MAX('Consorcio Direto'!$B$29,Premissas!$B$49)),$E36,0)</x:f>
        <x:v>0</x:v>
      </x:c>
      <x:c r="BH36" s="141" t="n">
        <x:f>BD36+BE36+BF36</x:f>
        <x:v>1659.8063813987517</x:v>
      </x:c>
      <x:c r="BI36" s="141" t="n">
        <x:f>BG36</x:f>
        <x:v>0</x:v>
      </x:c>
      <x:c r="BJ36" s="141" t="n">
        <x:f>$C36+BI36-BH36</x:f>
        <x:v>5340.193618601248</x:v>
      </x:c>
      <x:c r="BK36" s="141" t="n">
        <x:f>BN35*(1+Premissas!$B$41)+BJ36</x:f>
        <x:v>323259.61802698195</x:v>
      </x:c>
      <x:c r="BL36" s="141" t="n">
        <x:f>MAX(0,-BK36)</x:f>
        <x:v>0</x:v>
      </x:c>
      <x:c r="BM36" s="141" t="n">
        <x:f>BM35*(1+Premissas!$B$41)+BL36</x:f>
        <x:v>0</x:v>
      </x:c>
      <x:c r="BN36" s="141" t="n">
        <x:f>MAX(0,BK36)</x:f>
        <x:v>323259.61802698195</x:v>
      </x:c>
      <x:c r="BO36" s="141" t="n">
        <x:f>INDEX('Consorcio Direto'!$K$55:$K$534,$A36)</x:f>
        <x:v>223527.8851679021</x:v>
      </x:c>
      <x:c r="BP36" s="141" t="n">
        <x:f>IF($A36&lt;'Consorcio Direto'!$B$29,INDEX('Consorcio Direto'!$L$55:$L$534,$A36),$F36)</x:f>
        <x:v>204460.04261881372</x:v>
      </x:c>
      <x:c r="BQ36" s="141" t="n">
        <x:f>BN36+BP36-BO36</x:f>
        <x:v>304191.77547789353</x:v>
      </x:c>
      <x:c r="BR36" s="141" t="n">
        <x:f>IF(BM36&gt;1,"Inviavel",BQ36)</x:f>
        <x:v>304191.77547789353</x:v>
      </x:c>
      <x:c r="BS36" s="141" t="str">
        <x:f>IF(BM36&gt;1,"Inviavel","OK")</x:f>
        <x:v>OK</x:v>
      </x:c>
      <x:c r="BT36" s="141" t="n">
        <x:f>IF(AND('Carta Contemplada'!$B$22="Sim",$A36='Carta Contemplada'!$B$23),'Carta Contemplada'!$B$37,0)</x:f>
        <x:v>0</x:v>
      </x:c>
      <x:c r="BU36" s="141" t="n">
        <x:f>IF('Carta Contemplada'!$B$22="Sim",INDEX('Carta Contemplada'!$C$55:$C$1013,$A36),0)</x:f>
        <x:v>1348.3200000000002</x:v>
      </x:c>
      <x:c r="BV36" s="141" t="n">
        <x:f>IF(AND('Carta Contemplada'!$B$22="Sim",Premissas!$B$11="Imovel",Premissas!$B$47="Moradia",$A36&lt;MAX('Carta Contemplada'!$B$44,Premissas!$B$49)),$D36,0)</x:f>
        <x:v>0</x:v>
      </x:c>
      <x:c r="BW36" s="141" t="n">
        <x:f>IF(AND('Carta Contemplada'!$B$22="Sim",Premissas!$B$11="Imovel",Premissas!$B$47="Investimento",$A36&gt;=MAX('Carta Contemplada'!$B$44,Premissas!$B$49)),$E36,0)</x:f>
        <x:v>719.104</x:v>
      </x:c>
      <x:c r="BX36" s="141" t="n">
        <x:f>BT36+BU36+BV36</x:f>
        <x:v>1348.3200000000002</x:v>
      </x:c>
      <x:c r="BY36" s="141" t="n">
        <x:f>BW36</x:f>
        <x:v>719.104</x:v>
      </x:c>
      <x:c r="BZ36" s="141" t="n">
        <x:f>$C36+BY36-BX36</x:f>
        <x:v>6370.784</x:v>
      </x:c>
      <x:c r="CA36" s="141" t="n">
        <x:f>CD35*(1+Premissas!$B$41)+BZ36</x:f>
        <x:v>296069.11524544033</x:v>
      </x:c>
      <x:c r="CB36" s="141" t="n">
        <x:f>MAX(0,-CA36)</x:f>
        <x:v>0</x:v>
      </x:c>
      <x:c r="CC36" s="141" t="n">
        <x:f>CC35*(1+Premissas!$B$41)+CB36</x:f>
        <x:v>0</x:v>
      </x:c>
      <x:c r="CD36" s="141" t="n">
        <x:f>MAX(0,CA36)</x:f>
        <x:v>296069.11524544033</x:v>
      </x:c>
      <x:c r="CE36" s="141" t="n">
        <x:f>IF(AND('Carta Contemplada'!$B$22="Sim",$A36&gt;='Carta Contemplada'!$B$23),INDEX('Carta Contemplada'!$I$55:$I$1013,$A36),0)</x:f>
        <x:v>145525.08880369226</x:v>
      </x:c>
      <x:c r="CF36" s="141" t="n">
        <x:f>IF(AND('Carta Contemplada'!$B$22="Sim",$A36&gt;='Carta Contemplada'!$B$44),$F36,0)</x:f>
        <x:v>232489.57357930092</x:v>
      </x:c>
      <x:c r="CG36" s="141" t="n">
        <x:f>CD36+CF36-CE36</x:f>
        <x:v>383033.60002104903</x:v>
      </x:c>
      <x:c r="CH36" s="141" t="n">
        <x:f>IF(CC36&gt;1,"Inviavel",CG36)</x:f>
        <x:v>383033.60002104903</x:v>
      </x:c>
      <x:c r="CI36" s="145" t="str">
        <x:f>IF(CC36&gt;1,"Inviavel","OK")</x:f>
        <x:v>OK</x:v>
      </x:c>
    </x:row>
    <x:row r="37">
      <x:c r="A37" s="142" t="n">
        <x:v>33</x:v>
      </x:c>
      <x:c r="B37" s="179" t="n">
        <x:f>EDATE(Premissas!$B$4,A37-1)</x:f>
        <x:v>47515</x:v>
      </x:c>
      <x:c r="C37" s="141" t="n">
        <x:f>IF(A37&lt;=Premissas!$B$39,Premissas!$B$42,0)</x:f>
        <x:v>7000</x:v>
      </x:c>
      <x:c r="D37" s="141" t="n">
        <x:f>Premissas!$B$54*(1+Premissas!$B$57)^INT((A37-1)/12)</x:f>
        <x:v>786.5200000000001</x:v>
      </x:c>
      <x:c r="E37" s="141" t="n">
        <x:f>Premissas!$B$64*(1+Premissas!$B$57)^INT((A37-1)/12)</x:f>
        <x:v>719.104</x:v>
      </x:c>
      <x:c r="F37" s="141" t="n">
        <x:f>MAX(0,Premissas!$B$6*(1+Premissas!$B$66)^((A37-1)/12))</x:f>
        <x:v>233621.2283346132</x:v>
      </x:c>
      <x:c r="G37" s="141" t="n">
        <x:f>G36*(1+Premissas!$B$41)+C37</x:f>
        <x:v>391524.13993465935</x:v>
      </x:c>
      <x:c r="H37" s="141" t="n">
        <x:f>IF($A37=Premissas!$B$48,Premissas!$B$8,0)</x:f>
        <x:v>0</x:v>
      </x:c>
      <x:c r="I37" s="141" t="n">
        <x:f>IF(AND($A37&gt;=Premissas!$B$48,$A37-Premissas!$B$48+1&lt;=Premissas!$B$13),INDEX(Financiamento!$J$6:$J$485,$A37-Premissas!$B$48+1),0)</x:f>
        <x:v>1933.486346140278</x:v>
      </x:c>
      <x:c r="J37" s="141" t="n">
        <x:f>IF(AND(TRUE,Premissas!$B$11="Imovel",Premissas!$B$47="Moradia",$A37&lt;MAX(Premissas!$B$48,Premissas!$B$49)),$D37,0)</x:f>
        <x:v>0</x:v>
      </x:c>
      <x:c r="K37" s="141" t="n">
        <x:f>IF(AND(TRUE,Premissas!$B$11="Imovel",Premissas!$B$47="Investimento",$A37&gt;=MAX(Premissas!$B$48,Premissas!$B$49)),$E37,0)</x:f>
        <x:v>719.104</x:v>
      </x:c>
      <x:c r="L37" s="141" t="n">
        <x:f>H37+I37+J37</x:f>
        <x:v>1933.486346140278</x:v>
      </x:c>
      <x:c r="M37" s="141" t="n">
        <x:f>K37</x:f>
        <x:v>719.104</x:v>
      </x:c>
      <x:c r="N37" s="141" t="n">
        <x:f>$C37+M37-L37</x:f>
        <x:v>5785.617653859722</x:v>
      </x:c>
      <x:c r="O37" s="141" t="n">
        <x:f>R36*(1+Premissas!$B$41)+N37</x:f>
        <x:v>286481.83787914657</x:v>
      </x:c>
      <x:c r="P37" s="141" t="n">
        <x:f>MAX(0,-O37)</x:f>
        <x:v>0</x:v>
      </x:c>
      <x:c r="Q37" s="141" t="n">
        <x:f>Q36*(1+Premissas!$B$41)+P37</x:f>
        <x:v>0</x:v>
      </x:c>
      <x:c r="R37" s="141" t="n">
        <x:f>MAX(0,O37)</x:f>
        <x:v>286481.83787914657</x:v>
      </x:c>
      <x:c r="S37" s="141" t="n">
        <x:f>IF(AND($A37&gt;=Premissas!$B$48,$A37-Premissas!$B$48+1&lt;=Premissas!$B$13),INDEX(Financiamento!$M$6:$M$485,$A37-Premissas!$B$48+1),0)</x:f>
        <x:v>147428.5714285717</x:v>
      </x:c>
      <x:c r="T37" s="141" t="n">
        <x:f>IF($A37&gt;=Premissas!$B$48,$F37,0)</x:f>
        <x:v>233621.2283346132</x:v>
      </x:c>
      <x:c r="U37" s="141" t="n">
        <x:f>R37+T37-S37</x:f>
        <x:v>372674.49478518806</x:v>
      </x:c>
      <x:c r="V37" s="141" t="n">
        <x:f>IF(Q37&gt;1,"Inviavel",U37)</x:f>
        <x:v>372674.49478518806</x:v>
      </x:c>
      <x:c r="W37" s="141" t="str">
        <x:f>IF(Q37&gt;1,"Inviavel","OK")</x:f>
        <x:v>OK</x:v>
      </x:c>
      <x:c r="X37" s="141" t="n">
        <x:f>IF($A37=Premissas!$B$48,Premissas!$B$8,0)</x:f>
        <x:v>0</x:v>
      </x:c>
      <x:c r="Y37" s="141" t="n">
        <x:f>IF(AND($A37&gt;=Premissas!$B$48,$A37-Premissas!$B$48+1&lt;=Premissas!$B$13),INDEX(Amortizacao!$K$6:$K$485,$A37-Premissas!$B$48+1),0)</x:f>
        <x:v>0</x:v>
      </x:c>
      <x:c r="Z37" s="141" t="n">
        <x:f>IF(AND(TRUE,Premissas!$B$11="Imovel",Premissas!$B$47="Moradia",$A37&lt;MAX(Premissas!$B$48,Premissas!$B$49)),$D37,0)</x:f>
        <x:v>0</x:v>
      </x:c>
      <x:c r="AA37" s="141" t="n">
        <x:f>IF(AND(TRUE,Premissas!$B$11="Imovel",Premissas!$B$47="Investimento",$A37&gt;=MAX(Premissas!$B$48,Premissas!$B$49)),$E37,0)</x:f>
        <x:v>719.104</x:v>
      </x:c>
      <x:c r="AB37" s="141" t="n">
        <x:f>X37+Y37+Z37</x:f>
        <x:v>0</x:v>
      </x:c>
      <x:c r="AC37" s="141" t="n">
        <x:f>AA37</x:f>
        <x:v>719.104</x:v>
      </x:c>
      <x:c r="AD37" s="141" t="n">
        <x:f>$C37+AC37-AB37</x:f>
        <x:v>7719.104</x:v>
      </x:c>
      <x:c r="AE37" s="141" t="n">
        <x:f>AH36*(1+Premissas!$B$41)+AD37</x:f>
        <x:v>139974.88827583418</x:v>
      </x:c>
      <x:c r="AF37" s="141" t="n">
        <x:f>MAX(0,-AE37)</x:f>
        <x:v>0</x:v>
      </x:c>
      <x:c r="AG37" s="141" t="n">
        <x:f>AG36*(1+Premissas!$B$41)+AF37</x:f>
        <x:v>0</x:v>
      </x:c>
      <x:c r="AH37" s="141" t="n">
        <x:f>MAX(0,AE37)</x:f>
        <x:v>139974.88827583418</x:v>
      </x:c>
      <x:c r="AI37" s="141" t="n">
        <x:f>IF(AND($A37&gt;=Premissas!$B$48,$A37-Premissas!$B$48+1&lt;=Premissas!$B$13),INDEX(Amortizacao!$L$6:$L$485,$A37-Premissas!$B$48+1),0)</x:f>
        <x:v>0</x:v>
      </x:c>
      <x:c r="AJ37" s="141" t="n">
        <x:f>IF($A37&gt;=Premissas!$B$48,$F37,0)</x:f>
        <x:v>233621.2283346132</x:v>
      </x:c>
      <x:c r="AK37" s="141" t="n">
        <x:f>AH37+AJ37-AI37</x:f>
        <x:v>373596.1166104474</x:v>
      </x:c>
      <x:c r="AL37" s="141" t="n">
        <x:f>IF(AG37&gt;1,"Inviavel",AK37)</x:f>
        <x:v>373596.1166104474</x:v>
      </x:c>
      <x:c r="AM37" s="141" t="str">
        <x:f>IF(AG37&gt;1,"Inviavel","OK")</x:f>
        <x:v>OK</x:v>
      </x:c>
      <x:c r="AN37" s="141" t="n">
        <x:f>IF($A37=Premissas!$B$48,Premissas!$B$8,0)</x:f>
        <x:v>0</x:v>
      </x:c>
      <x:c r="AO37" s="141" t="n">
        <x:f>IF($A37&lt;=Premissas!$B$25,INDEX('Consorcio IQ'!$K$6:$K$485,$A37),0)</x:f>
        <x:v>2574.461782238535</x:v>
      </x:c>
      <x:c r="AP37" s="141" t="n">
        <x:f>IF(AND(TRUE,Premissas!$B$11="Imovel",Premissas!$B$47="Moradia",$A37&lt;MAX(Premissas!$B$48,Premissas!$B$49)),$D37,0)</x:f>
        <x:v>0</x:v>
      </x:c>
      <x:c r="AQ37" s="141" t="n">
        <x:f>IF(AND(TRUE,Premissas!$B$11="Imovel",Premissas!$B$47="Investimento",$A37&gt;=MAX(Premissas!$B$48,Premissas!$B$49)),$E37,0)</x:f>
        <x:v>719.104</x:v>
      </x:c>
      <x:c r="AR37" s="141" t="n">
        <x:f>AN37+AO37+AP37</x:f>
        <x:v>2574.461782238535</x:v>
      </x:c>
      <x:c r="AS37" s="141" t="n">
        <x:f>AQ37</x:f>
        <x:v>719.104</x:v>
      </x:c>
      <x:c r="AT37" s="141" t="n">
        <x:f>$C37+AS37-AR37</x:f>
        <x:v>5144.642217761466</x:v>
      </x:c>
      <x:c r="AU37" s="141" t="n">
        <x:f>AX36*(1+Premissas!$B$41)+AT37</x:f>
        <x:v>263366.5773839017</x:v>
      </x:c>
      <x:c r="AV37" s="141" t="n">
        <x:f>MAX(0,-AU37)</x:f>
        <x:v>0</x:v>
      </x:c>
      <x:c r="AW37" s="141" t="n">
        <x:f>AW36*(1+Premissas!$B$41)+AV37</x:f>
        <x:v>0</x:v>
      </x:c>
      <x:c r="AX37" s="141" t="n">
        <x:f>MAX(0,AU37)</x:f>
        <x:v>263366.5773839017</x:v>
      </x:c>
      <x:c r="AY37" s="141" t="n">
        <x:f>INDEX('Consorcio IQ'!$P$6:$P$485,$A37)</x:f>
        <x:v>233927.51814800058</x:v>
      </x:c>
      <x:c r="AZ37" s="141" t="n">
        <x:f>IF($A37&gt;=Premissas!$B$48,$F37,0)+IF($A37&lt;Premissas!$B$27,INDEX('Consorcio IQ'!$O$6:$O$485,$A37),0)</x:f>
        <x:v>339896.60234047857</x:v>
      </x:c>
      <x:c r="BA37" s="141" t="n">
        <x:f>AX37+AZ37-AY37</x:f>
        <x:v>369335.6615763797</x:v>
      </x:c>
      <x:c r="BB37" s="141" t="n">
        <x:f>IF(AW37&gt;1,"Inviavel",BA37)</x:f>
        <x:v>369335.6615763797</x:v>
      </x:c>
      <x:c r="BC37" s="141" t="str">
        <x:f>IF(AW37&gt;1,"Inviavel","OK")</x:f>
        <x:v>OK</x:v>
      </x:c>
      <x:c r="BD37" s="141" t="n">
        <x:f>IF($A37='Consorcio Direto'!$B$29,'Consorcio Direto'!$B$44,0)</x:f>
        <x:v>0</x:v>
      </x:c>
      <x:c r="BE37" s="141" t="n">
        <x:f>IF($A37&lt;='Consorcio Direto'!$B$27,INDEX('Consorcio Direto'!$E$55:$E$534,$A37),0)</x:f>
        <x:v>1659.8063813987517</x:v>
      </x:c>
      <x:c r="BF37" s="141" t="n">
        <x:f>IF(AND(TRUE,Premissas!$B$11="Imovel",Premissas!$B$47="Moradia",$A37&lt;MAX('Consorcio Direto'!$B$29,Premissas!$B$49)),$D37,0)</x:f>
        <x:v>0</x:v>
      </x:c>
      <x:c r="BG37" s="141" t="n">
        <x:f>IF(AND(TRUE,Premissas!$B$11="Imovel",Premissas!$B$47="Investimento",$A37&gt;=MAX('Consorcio Direto'!$B$29,Premissas!$B$49)),$E37,0)</x:f>
        <x:v>0</x:v>
      </x:c>
      <x:c r="BH37" s="141" t="n">
        <x:f>BD37+BE37+BF37</x:f>
        <x:v>1659.8063813987517</x:v>
      </x:c>
      <x:c r="BI37" s="141" t="n">
        <x:f>BG37</x:f>
        <x:v>0</x:v>
      </x:c>
      <x:c r="BJ37" s="141" t="n">
        <x:f>$C37+BI37-BH37</x:f>
        <x:v>5340.193618601248</x:v>
      </x:c>
      <x:c r="BK37" s="141" t="n">
        <x:f>BN36*(1+Premissas!$B$41)+BJ37</x:f>
        <x:v>331667.1552251536</x:v>
      </x:c>
      <x:c r="BL37" s="141" t="n">
        <x:f>MAX(0,-BK37)</x:f>
        <x:v>0</x:v>
      </x:c>
      <x:c r="BM37" s="141" t="n">
        <x:f>BM36*(1+Premissas!$B$41)+BL37</x:f>
        <x:v>0</x:v>
      </x:c>
      <x:c r="BN37" s="141" t="n">
        <x:f>MAX(0,BK37)</x:f>
        <x:v>331667.1552251536</x:v>
      </x:c>
      <x:c r="BO37" s="141" t="n">
        <x:f>INDEX('Consorcio Direto'!$K$55:$K$534,$A37)</x:f>
        <x:v>223989.08860396684</x:v>
      </x:c>
      <x:c r="BP37" s="141" t="n">
        <x:f>IF($A37&lt;'Consorcio Direto'!$B$29,INDEX('Consorcio Direto'!$L$55:$L$534,$A37),$F37)</x:f>
        <x:v>206400.12162661966</x:v>
      </x:c>
      <x:c r="BQ37" s="141" t="n">
        <x:f>BN37+BP37-BO37</x:f>
        <x:v>314078.1882478064</x:v>
      </x:c>
      <x:c r="BR37" s="141" t="n">
        <x:f>IF(BM37&gt;1,"Inviavel",BQ37)</x:f>
        <x:v>314078.1882478064</x:v>
      </x:c>
      <x:c r="BS37" s="141" t="str">
        <x:f>IF(BM37&gt;1,"Inviavel","OK")</x:f>
        <x:v>OK</x:v>
      </x:c>
      <x:c r="BT37" s="141" t="n">
        <x:f>IF(AND('Carta Contemplada'!$B$22="Sim",$A37='Carta Contemplada'!$B$23),'Carta Contemplada'!$B$37,0)</x:f>
        <x:v>0</x:v>
      </x:c>
      <x:c r="BU37" s="141" t="n">
        <x:f>IF('Carta Contemplada'!$B$22="Sim",INDEX('Carta Contemplada'!$C$55:$C$1013,$A37),0)</x:f>
        <x:v>1348.3200000000002</x:v>
      </x:c>
      <x:c r="BV37" s="141" t="n">
        <x:f>IF(AND('Carta Contemplada'!$B$22="Sim",Premissas!$B$11="Imovel",Premissas!$B$47="Moradia",$A37&lt;MAX('Carta Contemplada'!$B$44,Premissas!$B$49)),$D37,0)</x:f>
        <x:v>0</x:v>
      </x:c>
      <x:c r="BW37" s="141" t="n">
        <x:f>IF(AND('Carta Contemplada'!$B$22="Sim",Premissas!$B$11="Imovel",Premissas!$B$47="Investimento",$A37&gt;=MAX('Carta Contemplada'!$B$44,Premissas!$B$49)),$E37,0)</x:f>
        <x:v>719.104</x:v>
      </x:c>
      <x:c r="BX37" s="141" t="n">
        <x:f>BT37+BU37+BV37</x:f>
        <x:v>1348.3200000000002</x:v>
      </x:c>
      <x:c r="BY37" s="141" t="n">
        <x:f>BW37</x:f>
        <x:v>719.104</x:v>
      </x:c>
      <x:c r="BZ37" s="141" t="n">
        <x:f>$C37+BY37-BX37</x:f>
        <x:v>6370.784</x:v>
      </x:c>
      <x:c r="CA37" s="141" t="n">
        <x:f>CD36*(1+Premissas!$B$41)+BZ37</x:f>
        <x:v>305249.2377743295</x:v>
      </x:c>
      <x:c r="CB37" s="141" t="n">
        <x:f>MAX(0,-CA37)</x:f>
        <x:v>0</x:v>
      </x:c>
      <x:c r="CC37" s="141" t="n">
        <x:f>CC36*(1+Premissas!$B$41)+CB37</x:f>
        <x:v>0</x:v>
      </x:c>
      <x:c r="CD37" s="141" t="n">
        <x:f>MAX(0,CA37)</x:f>
        <x:v>305249.2377743295</x:v>
      </x:c>
      <x:c r="CE37" s="141" t="n">
        <x:f>IF(AND('Carta Contemplada'!$B$22="Sim",$A37&gt;='Carta Contemplada'!$B$23),INDEX('Carta Contemplada'!$I$55:$I$1013,$A37),0)</x:f>
        <x:v>145557.62623813728</x:v>
      </x:c>
      <x:c r="CF37" s="141" t="n">
        <x:f>IF(AND('Carta Contemplada'!$B$22="Sim",$A37&gt;='Carta Contemplada'!$B$44),$F37,0)</x:f>
        <x:v>233621.2283346132</x:v>
      </x:c>
      <x:c r="CG37" s="141" t="n">
        <x:f>CD37+CF37-CE37</x:f>
        <x:v>393312.8398708054</x:v>
      </x:c>
      <x:c r="CH37" s="141" t="n">
        <x:f>IF(CC37&gt;1,"Inviavel",CG37)</x:f>
        <x:v>393312.8398708054</x:v>
      </x:c>
      <x:c r="CI37" s="145" t="str">
        <x:f>IF(CC37&gt;1,"Inviavel","OK")</x:f>
        <x:v>OK</x:v>
      </x:c>
    </x:row>
    <x:row r="38">
      <x:c r="A38" s="142" t="n">
        <x:v>34</x:v>
      </x:c>
      <x:c r="B38" s="179" t="n">
        <x:f>EDATE(Premissas!$B$4,A38-1)</x:f>
        <x:v>47543</x:v>
      </x:c>
      <x:c r="C38" s="141" t="n">
        <x:f>IF(A38&lt;=Premissas!$B$39,Premissas!$B$42,0)</x:f>
        <x:v>7000</x:v>
      </x:c>
      <x:c r="D38" s="141" t="n">
        <x:f>Premissas!$B$54*(1+Premissas!$B$57)^INT((A38-1)/12)</x:f>
        <x:v>786.5200000000001</x:v>
      </x:c>
      <x:c r="E38" s="141" t="n">
        <x:f>Premissas!$B$64*(1+Premissas!$B$57)^INT((A38-1)/12)</x:f>
        <x:v>719.104</x:v>
      </x:c>
      <x:c r="F38" s="141" t="n">
        <x:f>MAX(0,Premissas!$B$6*(1+Premissas!$B$66)^((A38-1)/12))</x:f>
        <x:v>234758.3914766695</x:v>
      </x:c>
      <x:c r="G38" s="141" t="n">
        <x:f>G37*(1+Premissas!$B$41)+C38</x:f>
        <x:v>402239.23142739007</x:v>
      </x:c>
      <x:c r="H38" s="141" t="n">
        <x:f>IF($A38=Premissas!$B$48,Premissas!$B$8,0)</x:f>
        <x:v>0</x:v>
      </x:c>
      <x:c r="I38" s="141" t="n">
        <x:f>IF(AND($A38&gt;=Premissas!$B$48,$A38-Premissas!$B$48+1&lt;=Premissas!$B$13),INDEX(Financiamento!$J$6:$J$485,$A38-Premissas!$B$48+1),0)</x:f>
        <x:v>1929.8715678794847</x:v>
      </x:c>
      <x:c r="J38" s="141" t="n">
        <x:f>IF(AND(TRUE,Premissas!$B$11="Imovel",Premissas!$B$47="Moradia",$A38&lt;MAX(Premissas!$B$48,Premissas!$B$49)),$D38,0)</x:f>
        <x:v>0</x:v>
      </x:c>
      <x:c r="K38" s="141" t="n">
        <x:f>IF(AND(TRUE,Premissas!$B$11="Imovel",Premissas!$B$47="Investimento",$A38&gt;=MAX(Premissas!$B$48,Premissas!$B$49)),$E38,0)</x:f>
        <x:v>719.104</x:v>
      </x:c>
      <x:c r="L38" s="141" t="n">
        <x:f>H38+I38+J38</x:f>
        <x:v>1929.8715678794847</x:v>
      </x:c>
      <x:c r="M38" s="141" t="n">
        <x:f>K38</x:f>
        <x:v>719.104</x:v>
      </x:c>
      <x:c r="N38" s="141" t="n">
        <x:f>$C38+M38-L38</x:f>
        <x:v>5789.232432120516</x:v>
      </x:c>
      <x:c r="O38" s="141" t="n">
        <x:f>R37*(1+Premissas!$B$41)+N38</x:f>
        <x:v>294989.4371504211</x:v>
      </x:c>
      <x:c r="P38" s="141" t="n">
        <x:f>MAX(0,-O38)</x:f>
        <x:v>0</x:v>
      </x:c>
      <x:c r="Q38" s="141" t="n">
        <x:f>Q37*(1+Premissas!$B$41)+P38</x:f>
        <x:v>0</x:v>
      </x:c>
      <x:c r="R38" s="141" t="n">
        <x:f>MAX(0,O38)</x:f>
        <x:v>294989.4371504211</x:v>
      </x:c>
      <x:c r="S38" s="141" t="n">
        <x:f>IF(AND($A38&gt;=Premissas!$B$48,$A38-Premissas!$B$48+1&lt;=Premissas!$B$13),INDEX(Financiamento!$M$6:$M$485,$A38-Premissas!$B$48+1),0)</x:f>
        <x:v>147047.61904761932</x:v>
      </x:c>
      <x:c r="T38" s="141" t="n">
        <x:f>IF($A38&gt;=Premissas!$B$48,$F38,0)</x:f>
        <x:v>234758.3914766695</x:v>
      </x:c>
      <x:c r="U38" s="141" t="n">
        <x:f>R38+T38-S38</x:f>
        <x:v>382700.20957947127</x:v>
      </x:c>
      <x:c r="V38" s="141" t="n">
        <x:f>IF(Q38&gt;1,"Inviavel",U38)</x:f>
        <x:v>382700.20957947127</x:v>
      </x:c>
      <x:c r="W38" s="141" t="str">
        <x:f>IF(Q38&gt;1,"Inviavel","OK")</x:f>
        <x:v>OK</x:v>
      </x:c>
      <x:c r="X38" s="141" t="n">
        <x:f>IF($A38=Premissas!$B$48,Premissas!$B$8,0)</x:f>
        <x:v>0</x:v>
      </x:c>
      <x:c r="Y38" s="141" t="n">
        <x:f>IF(AND($A38&gt;=Premissas!$B$48,$A38-Premissas!$B$48+1&lt;=Premissas!$B$13),INDEX(Amortizacao!$K$6:$K$485,$A38-Premissas!$B$48+1),0)</x:f>
        <x:v>0</x:v>
      </x:c>
      <x:c r="Z38" s="141" t="n">
        <x:f>IF(AND(TRUE,Premissas!$B$11="Imovel",Premissas!$B$47="Moradia",$A38&lt;MAX(Premissas!$B$48,Premissas!$B$49)),$D38,0)</x:f>
        <x:v>0</x:v>
      </x:c>
      <x:c r="AA38" s="141" t="n">
        <x:f>IF(AND(TRUE,Premissas!$B$11="Imovel",Premissas!$B$47="Investimento",$A38&gt;=MAX(Premissas!$B$48,Premissas!$B$49)),$E38,0)</x:f>
        <x:v>719.104</x:v>
      </x:c>
      <x:c r="AB38" s="141" t="n">
        <x:f>X38+Y38+Z38</x:f>
        <x:v>0</x:v>
      </x:c>
      <x:c r="AC38" s="141" t="n">
        <x:f>AA38</x:f>
        <x:v>719.104</x:v>
      </x:c>
      <x:c r="AD38" s="141" t="n">
        <x:f>$C38+AC38-AB38</x:f>
        <x:v>7719.104</x:v>
      </x:c>
      <x:c r="AE38" s="141" t="n">
        <x:f>AH37*(1+Premissas!$B$41)+AD38</x:f>
        <x:v>149022.18500672496</x:v>
      </x:c>
      <x:c r="AF38" s="141" t="n">
        <x:f>MAX(0,-AE38)</x:f>
        <x:v>0</x:v>
      </x:c>
      <x:c r="AG38" s="141" t="n">
        <x:f>AG37*(1+Premissas!$B$41)+AF38</x:f>
        <x:v>0</x:v>
      </x:c>
      <x:c r="AH38" s="141" t="n">
        <x:f>MAX(0,AE38)</x:f>
        <x:v>149022.18500672496</x:v>
      </x:c>
      <x:c r="AI38" s="141" t="n">
        <x:f>IF(AND($A38&gt;=Premissas!$B$48,$A38-Premissas!$B$48+1&lt;=Premissas!$B$13),INDEX(Amortizacao!$L$6:$L$485,$A38-Premissas!$B$48+1),0)</x:f>
        <x:v>0</x:v>
      </x:c>
      <x:c r="AJ38" s="141" t="n">
        <x:f>IF($A38&gt;=Premissas!$B$48,$F38,0)</x:f>
        <x:v>234758.3914766695</x:v>
      </x:c>
      <x:c r="AK38" s="141" t="n">
        <x:f>AH38+AJ38-AI38</x:f>
        <x:v>383780.5764833945</x:v>
      </x:c>
      <x:c r="AL38" s="141" t="n">
        <x:f>IF(AG38&gt;1,"Inviavel",AK38)</x:f>
        <x:v>383780.5764833945</x:v>
      </x:c>
      <x:c r="AM38" s="141" t="str">
        <x:f>IF(AG38&gt;1,"Inviavel","OK")</x:f>
        <x:v>OK</x:v>
      </x:c>
      <x:c r="AN38" s="141" t="n">
        <x:f>IF($A38=Premissas!$B$48,Premissas!$B$8,0)</x:f>
        <x:v>0</x:v>
      </x:c>
      <x:c r="AO38" s="141" t="n">
        <x:f>IF($A38&lt;=Premissas!$B$25,INDEX('Consorcio IQ'!$K$6:$K$485,$A38),0)</x:f>
        <x:v>2570.847003977741</x:v>
      </x:c>
      <x:c r="AP38" s="141" t="n">
        <x:f>IF(AND(TRUE,Premissas!$B$11="Imovel",Premissas!$B$47="Moradia",$A38&lt;MAX(Premissas!$B$48,Premissas!$B$49)),$D38,0)</x:f>
        <x:v>0</x:v>
      </x:c>
      <x:c r="AQ38" s="141" t="n">
        <x:f>IF(AND(TRUE,Premissas!$B$11="Imovel",Premissas!$B$47="Investimento",$A38&gt;=MAX(Premissas!$B$48,Premissas!$B$49)),$E38,0)</x:f>
        <x:v>719.104</x:v>
      </x:c>
      <x:c r="AR38" s="141" t="n">
        <x:f>AN38+AO38+AP38</x:f>
        <x:v>2570.847003977741</x:v>
      </x:c>
      <x:c r="AS38" s="141" t="n">
        <x:f>AQ38</x:f>
        <x:v>719.104</x:v>
      </x:c>
      <x:c r="AT38" s="141" t="n">
        <x:f>$C38+AS38-AR38</x:f>
        <x:v>5148.256996022259</x:v>
      </x:c>
      <x:c r="AU38" s="141" t="n">
        <x:f>AX37*(1+Premissas!$B$41)+AT38</x:f>
        <x:v>271013.8652986096</x:v>
      </x:c>
      <x:c r="AV38" s="141" t="n">
        <x:f>MAX(0,-AU38)</x:f>
        <x:v>0</x:v>
      </x:c>
      <x:c r="AW38" s="141" t="n">
        <x:f>AW37*(1+Premissas!$B$41)+AV38</x:f>
        <x:v>0</x:v>
      </x:c>
      <x:c r="AX38" s="141" t="n">
        <x:f>MAX(0,AU38)</x:f>
        <x:v>271013.8652986096</x:v>
      </x:c>
      <x:c r="AY38" s="141" t="n">
        <x:f>INDEX('Consorcio IQ'!$P$6:$P$485,$A38)</x:f>
        <x:v>233726.3609254301</x:v>
      </x:c>
      <x:c r="AZ38" s="141" t="n">
        <x:f>IF($A38&gt;=Premissas!$B$48,$F38,0)+IF($A38&lt;Premissas!$B$27,INDEX('Consorcio IQ'!$O$6:$O$485,$A38),0)</x:f>
        <x:v>342042.1905005219</x:v>
      </x:c>
      <x:c r="BA38" s="141" t="n">
        <x:f>AX38+AZ38-AY38</x:f>
        <x:v>379329.69487370143</x:v>
      </x:c>
      <x:c r="BB38" s="141" t="n">
        <x:f>IF(AW38&gt;1,"Inviavel",BA38)</x:f>
        <x:v>379329.69487370143</x:v>
      </x:c>
      <x:c r="BC38" s="141" t="str">
        <x:f>IF(AW38&gt;1,"Inviavel","OK")</x:f>
        <x:v>OK</x:v>
      </x:c>
      <x:c r="BD38" s="141" t="n">
        <x:f>IF($A38='Consorcio Direto'!$B$29,'Consorcio Direto'!$B$44,0)</x:f>
        <x:v>0</x:v>
      </x:c>
      <x:c r="BE38" s="141" t="n">
        <x:f>IF($A38&lt;='Consorcio Direto'!$B$27,INDEX('Consorcio Direto'!$E$55:$E$534,$A38),0)</x:f>
        <x:v>1659.8063813987517</x:v>
      </x:c>
      <x:c r="BF38" s="141" t="n">
        <x:f>IF(AND(TRUE,Premissas!$B$11="Imovel",Premissas!$B$47="Moradia",$A38&lt;MAX('Consorcio Direto'!$B$29,Premissas!$B$49)),$D38,0)</x:f>
        <x:v>0</x:v>
      </x:c>
      <x:c r="BG38" s="141" t="n">
        <x:f>IF(AND(TRUE,Premissas!$B$11="Imovel",Premissas!$B$47="Investimento",$A38&gt;=MAX('Consorcio Direto'!$B$29,Premissas!$B$49)),$E38,0)</x:f>
        <x:v>0</x:v>
      </x:c>
      <x:c r="BH38" s="141" t="n">
        <x:f>BD38+BE38+BF38</x:f>
        <x:v>1659.8063813987517</x:v>
      </x:c>
      <x:c r="BI38" s="141" t="n">
        <x:f>BG38</x:f>
        <x:v>0</x:v>
      </x:c>
      <x:c r="BJ38" s="141" t="n">
        <x:f>$C38+BI38-BH38</x:f>
        <x:v>5340.193618601248</x:v>
      </x:c>
      <x:c r="BK38" s="141" t="n">
        <x:f>BN37*(1+Premissas!$B$41)+BJ38</x:f>
        <x:v>340154.4698028886</x:v>
      </x:c>
      <x:c r="BL38" s="141" t="n">
        <x:f>MAX(0,-BK38)</x:f>
        <x:v>0</x:v>
      </x:c>
      <x:c r="BM38" s="141" t="n">
        <x:f>BM37*(1+Premissas!$B$41)+BL38</x:f>
        <x:v>0</x:v>
      </x:c>
      <x:c r="BN38" s="141" t="n">
        <x:f>MAX(0,BK38)</x:f>
        <x:v>340154.4698028886</x:v>
      </x:c>
      <x:c r="BO38" s="141" t="n">
        <x:f>INDEX('Consorcio Direto'!$K$55:$K$534,$A38)</x:f>
        <x:v>224454.6683039371</x:v>
      </x:c>
      <x:c r="BP38" s="141" t="n">
        <x:f>IF($A38&lt;'Consorcio Direto'!$B$29,INDEX('Consorcio Direto'!$L$55:$L$534,$A38),$F38)</x:f>
        <x:v>208358.60964240742</x:v>
      </x:c>
      <x:c r="BQ38" s="141" t="n">
        <x:f>BN38+BP38-BO38</x:f>
        <x:v>324058.4111413589</x:v>
      </x:c>
      <x:c r="BR38" s="141" t="n">
        <x:f>IF(BM38&gt;1,"Inviavel",BQ38)</x:f>
        <x:v>324058.4111413589</x:v>
      </x:c>
      <x:c r="BS38" s="141" t="str">
        <x:f>IF(BM38&gt;1,"Inviavel","OK")</x:f>
        <x:v>OK</x:v>
      </x:c>
      <x:c r="BT38" s="141" t="n">
        <x:f>IF(AND('Carta Contemplada'!$B$22="Sim",$A38='Carta Contemplada'!$B$23),'Carta Contemplada'!$B$37,0)</x:f>
        <x:v>0</x:v>
      </x:c>
      <x:c r="BU38" s="141" t="n">
        <x:f>IF('Carta Contemplada'!$B$22="Sim",INDEX('Carta Contemplada'!$C$55:$C$1013,$A38),0)</x:f>
        <x:v>1348.3200000000002</x:v>
      </x:c>
      <x:c r="BV38" s="141" t="n">
        <x:f>IF(AND('Carta Contemplada'!$B$22="Sim",Premissas!$B$11="Imovel",Premissas!$B$47="Moradia",$A38&lt;MAX('Carta Contemplada'!$B$44,Premissas!$B$49)),$D38,0)</x:f>
        <x:v>0</x:v>
      </x:c>
      <x:c r="BW38" s="141" t="n">
        <x:f>IF(AND('Carta Contemplada'!$B$22="Sim",Premissas!$B$11="Imovel",Premissas!$B$47="Investimento",$A38&gt;=MAX('Carta Contemplada'!$B$44,Premissas!$B$49)),$E38,0)</x:f>
        <x:v>719.104</x:v>
      </x:c>
      <x:c r="BX38" s="141" t="n">
        <x:f>BT38+BU38+BV38</x:f>
        <x:v>1348.3200000000002</x:v>
      </x:c>
      <x:c r="BY38" s="141" t="n">
        <x:f>BW38</x:f>
        <x:v>719.104</x:v>
      </x:c>
      <x:c r="BZ38" s="141" t="n">
        <x:f>$C38+BY38-BX38</x:f>
        <x:v>6370.784</x:v>
      </x:c>
      <x:c r="CA38" s="141" t="n">
        <x:f>CD37*(1+Premissas!$B$41)+BZ38</x:f>
        <x:v>314516.4685850094</x:v>
      </x:c>
      <x:c r="CB38" s="141" t="n">
        <x:f>MAX(0,-CA38)</x:f>
        <x:v>0</x:v>
      </x:c>
      <x:c r="CC38" s="141" t="n">
        <x:f>CC37*(1+Premissas!$B$41)+CB38</x:f>
        <x:v>0</x:v>
      </x:c>
      <x:c r="CD38" s="141" t="n">
        <x:f>MAX(0,CA38)</x:f>
        <x:v>314516.4685850094</x:v>
      </x:c>
      <x:c r="CE38" s="141" t="n">
        <x:f>IF(AND('Carta Contemplada'!$B$22="Sim",$A38&gt;='Carta Contemplada'!$B$23),INDEX('Carta Contemplada'!$I$55:$I$1013,$A38),0)</x:f>
        <x:v>145590.47241356038</x:v>
      </x:c>
      <x:c r="CF38" s="141" t="n">
        <x:f>IF(AND('Carta Contemplada'!$B$22="Sim",$A38&gt;='Carta Contemplada'!$B$44),$F38,0)</x:f>
        <x:v>234758.3914766695</x:v>
      </x:c>
      <x:c r="CG38" s="141" t="n">
        <x:f>CD38+CF38-CE38</x:f>
        <x:v>403684.38764811854</x:v>
      </x:c>
      <x:c r="CH38" s="141" t="n">
        <x:f>IF(CC38&gt;1,"Inviavel",CG38)</x:f>
        <x:v>403684.38764811854</x:v>
      </x:c>
      <x:c r="CI38" s="145" t="str">
        <x:f>IF(CC38&gt;1,"Inviavel","OK")</x:f>
        <x:v>OK</x:v>
      </x:c>
    </x:row>
    <x:row r="39">
      <x:c r="A39" s="142" t="n">
        <x:v>35</x:v>
      </x:c>
      <x:c r="B39" s="179" t="n">
        <x:f>EDATE(Premissas!$B$4,A39-1)</x:f>
        <x:v>47574</x:v>
      </x:c>
      <x:c r="C39" s="141" t="n">
        <x:f>IF(A39&lt;=Premissas!$B$39,Premissas!$B$42,0)</x:f>
        <x:v>7000</x:v>
      </x:c>
      <x:c r="D39" s="141" t="n">
        <x:f>Premissas!$B$54*(1+Premissas!$B$57)^INT((A39-1)/12)</x:f>
        <x:v>786.5200000000001</x:v>
      </x:c>
      <x:c r="E39" s="141" t="n">
        <x:f>Premissas!$B$64*(1+Premissas!$B$57)^INT((A39-1)/12)</x:f>
        <x:v>719.104</x:v>
      </x:c>
      <x:c r="F39" s="141" t="n">
        <x:f>MAX(0,Premissas!$B$6*(1+Premissas!$B$66)^((A39-1)/12))</x:f>
        <x:v>235901.0898178208</x:v>
      </x:c>
      <x:c r="G39" s="141" t="n">
        <x:f>G38*(1+Premissas!$B$41)+C39</x:f>
        <x:v>413055.9962045704</x:v>
      </x:c>
      <x:c r="H39" s="141" t="n">
        <x:f>IF($A39=Premissas!$B$48,Premissas!$B$8,0)</x:f>
        <x:v>0</x:v>
      </x:c>
      <x:c r="I39" s="141" t="n">
        <x:f>IF(AND($A39&gt;=Premissas!$B$48,$A39-Premissas!$B$48+1&lt;=Premissas!$B$13),INDEX(Financiamento!$J$6:$J$485,$A39-Premissas!$B$48+1),0)</x:f>
        <x:v>1926.256789618691</x:v>
      </x:c>
      <x:c r="J39" s="141" t="n">
        <x:f>IF(AND(TRUE,Premissas!$B$11="Imovel",Premissas!$B$47="Moradia",$A39&lt;MAX(Premissas!$B$48,Premissas!$B$49)),$D39,0)</x:f>
        <x:v>0</x:v>
      </x:c>
      <x:c r="K39" s="141" t="n">
        <x:f>IF(AND(TRUE,Premissas!$B$11="Imovel",Premissas!$B$47="Investimento",$A39&gt;=MAX(Premissas!$B$48,Premissas!$B$49)),$E39,0)</x:f>
        <x:v>719.104</x:v>
      </x:c>
      <x:c r="L39" s="141" t="n">
        <x:f>H39+I39+J39</x:f>
        <x:v>1926.256789618691</x:v>
      </x:c>
      <x:c r="M39" s="141" t="n">
        <x:f>K39</x:f>
        <x:v>719.104</x:v>
      </x:c>
      <x:c r="N39" s="141" t="n">
        <x:f>$C39+M39-L39</x:f>
        <x:v>5792.847210381309</x:v>
      </x:c>
      <x:c r="O39" s="141" t="n">
        <x:f>R38*(1+Premissas!$B$41)+N39</x:f>
        <x:v>303581.3780478119</x:v>
      </x:c>
      <x:c r="P39" s="141" t="n">
        <x:f>MAX(0,-O39)</x:f>
        <x:v>0</x:v>
      </x:c>
      <x:c r="Q39" s="141" t="n">
        <x:f>Q38*(1+Premissas!$B$41)+P39</x:f>
        <x:v>0</x:v>
      </x:c>
      <x:c r="R39" s="141" t="n">
        <x:f>MAX(0,O39)</x:f>
        <x:v>303581.3780478119</x:v>
      </x:c>
      <x:c r="S39" s="141" t="n">
        <x:f>IF(AND($A39&gt;=Premissas!$B$48,$A39-Premissas!$B$48+1&lt;=Premissas!$B$13),INDEX(Financiamento!$M$6:$M$485,$A39-Premissas!$B$48+1),0)</x:f>
        <x:v>146666.66666666692</x:v>
      </x:c>
      <x:c r="T39" s="141" t="n">
        <x:f>IF($A39&gt;=Premissas!$B$48,$F39,0)</x:f>
        <x:v>235901.0898178208</x:v>
      </x:c>
      <x:c r="U39" s="141" t="n">
        <x:f>R39+T39-S39</x:f>
        <x:v>392815.8011989658</x:v>
      </x:c>
      <x:c r="V39" s="141" t="n">
        <x:f>IF(Q39&gt;1,"Inviavel",U39)</x:f>
        <x:v>392815.8011989658</x:v>
      </x:c>
      <x:c r="W39" s="141" t="str">
        <x:f>IF(Q39&gt;1,"Inviavel","OK")</x:f>
        <x:v>OK</x:v>
      </x:c>
      <x:c r="X39" s="141" t="n">
        <x:f>IF($A39=Premissas!$B$48,Premissas!$B$8,0)</x:f>
        <x:v>0</x:v>
      </x:c>
      <x:c r="Y39" s="141" t="n">
        <x:f>IF(AND($A39&gt;=Premissas!$B$48,$A39-Premissas!$B$48+1&lt;=Premissas!$B$13),INDEX(Amortizacao!$K$6:$K$485,$A39-Premissas!$B$48+1),0)</x:f>
        <x:v>0</x:v>
      </x:c>
      <x:c r="Z39" s="141" t="n">
        <x:f>IF(AND(TRUE,Premissas!$B$11="Imovel",Premissas!$B$47="Moradia",$A39&lt;MAX(Premissas!$B$48,Premissas!$B$49)),$D39,0)</x:f>
        <x:v>0</x:v>
      </x:c>
      <x:c r="AA39" s="141" t="n">
        <x:f>IF(AND(TRUE,Premissas!$B$11="Imovel",Premissas!$B$47="Investimento",$A39&gt;=MAX(Premissas!$B$48,Premissas!$B$49)),$E39,0)</x:f>
        <x:v>719.104</x:v>
      </x:c>
      <x:c r="AB39" s="141" t="n">
        <x:f>X39+Y39+Z39</x:f>
        <x:v>0</x:v>
      </x:c>
      <x:c r="AC39" s="141" t="n">
        <x:f>AA39</x:f>
        <x:v>719.104</x:v>
      </x:c>
      <x:c r="AD39" s="141" t="n">
        <x:f>$C39+AC39-AB39</x:f>
        <x:v>7719.104</x:v>
      </x:c>
      <x:c r="AE39" s="141" t="n">
        <x:f>AH38*(1+Premissas!$B$41)+AD39</x:f>
        <x:v>158155.3296629129</x:v>
      </x:c>
      <x:c r="AF39" s="141" t="n">
        <x:f>MAX(0,-AE39)</x:f>
        <x:v>0</x:v>
      </x:c>
      <x:c r="AG39" s="141" t="n">
        <x:f>AG38*(1+Premissas!$B$41)+AF39</x:f>
        <x:v>0</x:v>
      </x:c>
      <x:c r="AH39" s="141" t="n">
        <x:f>MAX(0,AE39)</x:f>
        <x:v>158155.3296629129</x:v>
      </x:c>
      <x:c r="AI39" s="141" t="n">
        <x:f>IF(AND($A39&gt;=Premissas!$B$48,$A39-Premissas!$B$48+1&lt;=Premissas!$B$13),INDEX(Amortizacao!$L$6:$L$485,$A39-Premissas!$B$48+1),0)</x:f>
        <x:v>0</x:v>
      </x:c>
      <x:c r="AJ39" s="141" t="n">
        <x:f>IF($A39&gt;=Premissas!$B$48,$F39,0)</x:f>
        <x:v>235901.0898178208</x:v>
      </x:c>
      <x:c r="AK39" s="141" t="n">
        <x:f>AH39+AJ39-AI39</x:f>
        <x:v>394056.4194807337</x:v>
      </x:c>
      <x:c r="AL39" s="141" t="n">
        <x:f>IF(AG39&gt;1,"Inviavel",AK39)</x:f>
        <x:v>394056.4194807337</x:v>
      </x:c>
      <x:c r="AM39" s="141" t="str">
        <x:f>IF(AG39&gt;1,"Inviavel","OK")</x:f>
        <x:v>OK</x:v>
      </x:c>
      <x:c r="AN39" s="141" t="n">
        <x:f>IF($A39=Premissas!$B$48,Premissas!$B$8,0)</x:f>
        <x:v>0</x:v>
      </x:c>
      <x:c r="AO39" s="141" t="n">
        <x:f>IF($A39&lt;=Premissas!$B$25,INDEX('Consorcio IQ'!$K$6:$K$485,$A39),0)</x:f>
        <x:v>2567.232225716948</x:v>
      </x:c>
      <x:c r="AP39" s="141" t="n">
        <x:f>IF(AND(TRUE,Premissas!$B$11="Imovel",Premissas!$B$47="Moradia",$A39&lt;MAX(Premissas!$B$48,Premissas!$B$49)),$D39,0)</x:f>
        <x:v>0</x:v>
      </x:c>
      <x:c r="AQ39" s="141" t="n">
        <x:f>IF(AND(TRUE,Premissas!$B$11="Imovel",Premissas!$B$47="Investimento",$A39&gt;=MAX(Premissas!$B$48,Premissas!$B$49)),$E39,0)</x:f>
        <x:v>719.104</x:v>
      </x:c>
      <x:c r="AR39" s="141" t="n">
        <x:f>AN39+AO39+AP39</x:f>
        <x:v>2567.232225716948</x:v>
      </x:c>
      <x:c r="AS39" s="141" t="n">
        <x:f>AQ39</x:f>
        <x:v>719.104</x:v>
      </x:c>
      <x:c r="AT39" s="141" t="n">
        <x:f>$C39+AS39-AR39</x:f>
        <x:v>5151.871774283052</x:v>
      </x:c>
      <x:c r="AU39" s="141" t="n">
        <x:f>AX38*(1+Premissas!$B$41)+AT39</x:f>
        <x:v>278737.33152311214</x:v>
      </x:c>
      <x:c r="AV39" s="141" t="n">
        <x:f>MAX(0,-AU39)</x:f>
        <x:v>0</x:v>
      </x:c>
      <x:c r="AW39" s="141" t="n">
        <x:f>AW38*(1+Premissas!$B$41)+AV39</x:f>
        <x:v>0</x:v>
      </x:c>
      <x:c r="AX39" s="141" t="n">
        <x:f>MAX(0,AU39)</x:f>
        <x:v>278737.33152311214</x:v>
      </x:c>
      <x:c r="AY39" s="141" t="n">
        <x:f>INDEX('Consorcio IQ'!$P$6:$P$485,$A39)</x:f>
        <x:v>233526.90974188817</x:v>
      </x:c>
      <x:c r="AZ39" s="141" t="n">
        <x:f>IF($A39&gt;=Premissas!$B$48,$F39,0)+IF($A39&lt;Premissas!$B$27,INDEX('Consorcio IQ'!$O$6:$O$485,$A39),0)</x:f>
        <x:v>344202.88259584596</x:v>
      </x:c>
      <x:c r="BA39" s="141" t="n">
        <x:f>AX39+AZ39-AY39</x:f>
        <x:v>389413.30437706993</x:v>
      </x:c>
      <x:c r="BB39" s="141" t="n">
        <x:f>IF(AW39&gt;1,"Inviavel",BA39)</x:f>
        <x:v>389413.30437706993</x:v>
      </x:c>
      <x:c r="BC39" s="141" t="str">
        <x:f>IF(AW39&gt;1,"Inviavel","OK")</x:f>
        <x:v>OK</x:v>
      </x:c>
      <x:c r="BD39" s="141" t="n">
        <x:f>IF($A39='Consorcio Direto'!$B$29,'Consorcio Direto'!$B$44,0)</x:f>
        <x:v>0</x:v>
      </x:c>
      <x:c r="BE39" s="141" t="n">
        <x:f>IF($A39&lt;='Consorcio Direto'!$B$27,INDEX('Consorcio Direto'!$E$55:$E$534,$A39),0)</x:f>
        <x:v>1659.8063813987517</x:v>
      </x:c>
      <x:c r="BF39" s="141" t="n">
        <x:f>IF(AND(TRUE,Premissas!$B$11="Imovel",Premissas!$B$47="Moradia",$A39&lt;MAX('Consorcio Direto'!$B$29,Premissas!$B$49)),$D39,0)</x:f>
        <x:v>0</x:v>
      </x:c>
      <x:c r="BG39" s="141" t="n">
        <x:f>IF(AND(TRUE,Premissas!$B$11="Imovel",Premissas!$B$47="Investimento",$A39&gt;=MAX('Consorcio Direto'!$B$29,Premissas!$B$49)),$E39,0)</x:f>
        <x:v>0</x:v>
      </x:c>
      <x:c r="BH39" s="141" t="n">
        <x:f>BD39+BE39+BF39</x:f>
        <x:v>1659.8063813987517</x:v>
      </x:c>
      <x:c r="BI39" s="141" t="n">
        <x:f>BG39</x:f>
        <x:v>0</x:v>
      </x:c>
      <x:c r="BJ39" s="141" t="n">
        <x:f>$C39+BI39-BH39</x:f>
        <x:v>5340.193618601248</x:v>
      </x:c>
      <x:c r="BK39" s="141" t="n">
        <x:f>BN38*(1+Premissas!$B$41)+BJ39</x:f>
        <x:v>348722.31875122234</x:v>
      </x:c>
      <x:c r="BL39" s="141" t="n">
        <x:f>MAX(0,-BK39)</x:f>
        <x:v>0</x:v>
      </x:c>
      <x:c r="BM39" s="141" t="n">
        <x:f>BM38*(1+Premissas!$B$41)+BL39</x:f>
        <x:v>0</x:v>
      </x:c>
      <x:c r="BN39" s="141" t="n">
        <x:f>MAX(0,BK39)</x:f>
        <x:v>348722.31875122234</x:v>
      </x:c>
      <x:c r="BO39" s="141" t="n">
        <x:f>INDEX('Consorcio Direto'!$K$55:$K$534,$A39)</x:f>
        <x:v>224924.66579327494</x:v>
      </x:c>
      <x:c r="BP39" s="141" t="n">
        <x:f>IF($A39&lt;'Consorcio Direto'!$B$29,INDEX('Consorcio Direto'!$L$55:$L$534,$A39),$F39)</x:f>
        <x:v>210335.68134544184</x:v>
      </x:c>
      <x:c r="BQ39" s="141" t="n">
        <x:f>BN39+BP39-BO39</x:f>
        <x:v>334133.33430338925</x:v>
      </x:c>
      <x:c r="BR39" s="141" t="n">
        <x:f>IF(BM39&gt;1,"Inviavel",BQ39)</x:f>
        <x:v>334133.33430338925</x:v>
      </x:c>
      <x:c r="BS39" s="141" t="str">
        <x:f>IF(BM39&gt;1,"Inviavel","OK")</x:f>
        <x:v>OK</x:v>
      </x:c>
      <x:c r="BT39" s="141" t="n">
        <x:f>IF(AND('Carta Contemplada'!$B$22="Sim",$A39='Carta Contemplada'!$B$23),'Carta Contemplada'!$B$37,0)</x:f>
        <x:v>0</x:v>
      </x:c>
      <x:c r="BU39" s="141" t="n">
        <x:f>IF('Carta Contemplada'!$B$22="Sim",INDEX('Carta Contemplada'!$C$55:$C$1013,$A39),0)</x:f>
        <x:v>1348.3200000000002</x:v>
      </x:c>
      <x:c r="BV39" s="141" t="n">
        <x:f>IF(AND('Carta Contemplada'!$B$22="Sim",Premissas!$B$11="Imovel",Premissas!$B$47="Moradia",$A39&lt;MAX('Carta Contemplada'!$B$44,Premissas!$B$49)),$D39,0)</x:f>
        <x:v>0</x:v>
      </x:c>
      <x:c r="BW39" s="141" t="n">
        <x:f>IF(AND('Carta Contemplada'!$B$22="Sim",Premissas!$B$11="Imovel",Premissas!$B$47="Investimento",$A39&gt;=MAX('Carta Contemplada'!$B$44,Premissas!$B$49)),$E39,0)</x:f>
        <x:v>719.104</x:v>
      </x:c>
      <x:c r="BX39" s="141" t="n">
        <x:f>BT39+BU39+BV39</x:f>
        <x:v>1348.3200000000002</x:v>
      </x:c>
      <x:c r="BY39" s="141" t="n">
        <x:f>BW39</x:f>
        <x:v>719.104</x:v>
      </x:c>
      <x:c r="BZ39" s="141" t="n">
        <x:f>$C39+BY39-BX39</x:f>
        <x:v>6370.784</x:v>
      </x:c>
      <x:c r="CA39" s="141" t="n">
        <x:f>CD38*(1+Premissas!$B$41)+BZ39</x:f>
        <x:v>323871.63422992884</x:v>
      </x:c>
      <x:c r="CB39" s="141" t="n">
        <x:f>MAX(0,-CA39)</x:f>
        <x:v>0</x:v>
      </x:c>
      <x:c r="CC39" s="141" t="n">
        <x:f>CC38*(1+Premissas!$B$41)+CB39</x:f>
        <x:v>0</x:v>
      </x:c>
      <x:c r="CD39" s="141" t="n">
        <x:f>MAX(0,CA39)</x:f>
        <x:v>323871.63422992884</x:v>
      </x:c>
      <x:c r="CE39" s="141" t="n">
        <x:f>IF(AND('Carta Contemplada'!$B$22="Sim",$A39&gt;='Carta Contemplada'!$B$23),INDEX('Carta Contemplada'!$I$55:$I$1013,$A39),0)</x:f>
        <x:v>145623.63025954078</x:v>
      </x:c>
      <x:c r="CF39" s="141" t="n">
        <x:f>IF(AND('Carta Contemplada'!$B$22="Sim",$A39&gt;='Carta Contemplada'!$B$44),$F39,0)</x:f>
        <x:v>235901.0898178208</x:v>
      </x:c>
      <x:c r="CG39" s="141" t="n">
        <x:f>CD39+CF39-CE39</x:f>
        <x:v>414149.0937882089</x:v>
      </x:c>
      <x:c r="CH39" s="141" t="n">
        <x:f>IF(CC39&gt;1,"Inviavel",CG39)</x:f>
        <x:v>414149.0937882089</x:v>
      </x:c>
      <x:c r="CI39" s="145" t="str">
        <x:f>IF(CC39&gt;1,"Inviavel","OK")</x:f>
        <x:v>OK</x:v>
      </x:c>
    </x:row>
    <x:row r="40">
      <x:c r="A40" s="142" t="n">
        <x:v>36</x:v>
      </x:c>
      <x:c r="B40" s="179" t="n">
        <x:f>EDATE(Premissas!$B$4,A40-1)</x:f>
        <x:v>47604</x:v>
      </x:c>
      <x:c r="C40" s="141" t="n">
        <x:f>IF(A40&lt;=Premissas!$B$39,Premissas!$B$42,0)</x:f>
        <x:v>7000</x:v>
      </x:c>
      <x:c r="D40" s="141" t="n">
        <x:f>Premissas!$B$54*(1+Premissas!$B$57)^INT((A40-1)/12)</x:f>
        <x:v>786.5200000000001</x:v>
      </x:c>
      <x:c r="E40" s="141" t="n">
        <x:f>Premissas!$B$64*(1+Premissas!$B$57)^INT((A40-1)/12)</x:f>
        <x:v>719.104</x:v>
      </x:c>
      <x:c r="F40" s="141" t="n">
        <x:f>MAX(0,Premissas!$B$6*(1+Premissas!$B$66)^((A40-1)/12))</x:f>
        <x:v>237049.35030092855</x:v>
      </x:c>
      <x:c r="G40" s="141" t="n">
        <x:f>G39*(1+Premissas!$B$41)+C40</x:f>
        <x:v>423975.3990229435</x:v>
      </x:c>
      <x:c r="H40" s="141" t="n">
        <x:f>IF($A40=Premissas!$B$48,Premissas!$B$8,0)</x:f>
        <x:v>0</x:v>
      </x:c>
      <x:c r="I40" s="141" t="n">
        <x:f>IF(AND($A40&gt;=Premissas!$B$48,$A40-Premissas!$B$48+1&lt;=Premissas!$B$13),INDEX(Financiamento!$J$6:$J$485,$A40-Premissas!$B$48+1),0)</x:f>
        <x:v>1922.6420113578974</x:v>
      </x:c>
      <x:c r="J40" s="141" t="n">
        <x:f>IF(AND(TRUE,Premissas!$B$11="Imovel",Premissas!$B$47="Moradia",$A40&lt;MAX(Premissas!$B$48,Premissas!$B$49)),$D40,0)</x:f>
        <x:v>0</x:v>
      </x:c>
      <x:c r="K40" s="141" t="n">
        <x:f>IF(AND(TRUE,Premissas!$B$11="Imovel",Premissas!$B$47="Investimento",$A40&gt;=MAX(Premissas!$B$48,Premissas!$B$49)),$E40,0)</x:f>
        <x:v>719.104</x:v>
      </x:c>
      <x:c r="L40" s="141" t="n">
        <x:f>H40+I40+J40</x:f>
        <x:v>1922.6420113578974</x:v>
      </x:c>
      <x:c r="M40" s="141" t="n">
        <x:f>K40</x:f>
        <x:v>719.104</x:v>
      </x:c>
      <x:c r="N40" s="141" t="n">
        <x:f>$C40+M40-L40</x:f>
        <x:v>5796.461988642102</x:v>
      </x:c>
      <x:c r="O40" s="141" t="n">
        <x:f>R39*(1+Premissas!$B$41)+N40</x:f>
        <x:v>312258.4608715451</x:v>
      </x:c>
      <x:c r="P40" s="141" t="n">
        <x:f>MAX(0,-O40)</x:f>
        <x:v>0</x:v>
      </x:c>
      <x:c r="Q40" s="141" t="n">
        <x:f>Q39*(1+Premissas!$B$41)+P40</x:f>
        <x:v>0</x:v>
      </x:c>
      <x:c r="R40" s="141" t="n">
        <x:f>MAX(0,O40)</x:f>
        <x:v>312258.4608715451</x:v>
      </x:c>
      <x:c r="S40" s="141" t="n">
        <x:f>IF(AND($A40&gt;=Premissas!$B$48,$A40-Premissas!$B$48+1&lt;=Premissas!$B$13),INDEX(Financiamento!$M$6:$M$485,$A40-Premissas!$B$48+1),0)</x:f>
        <x:v>146285.71428571455</x:v>
      </x:c>
      <x:c r="T40" s="141" t="n">
        <x:f>IF($A40&gt;=Premissas!$B$48,$F40,0)</x:f>
        <x:v>237049.35030092855</x:v>
      </x:c>
      <x:c r="U40" s="141" t="n">
        <x:f>R40+T40-S40</x:f>
        <x:v>403022.09688675904</x:v>
      </x:c>
      <x:c r="V40" s="141" t="n">
        <x:f>IF(Q40&gt;1,"Inviavel",U40)</x:f>
        <x:v>403022.09688675904</x:v>
      </x:c>
      <x:c r="W40" s="141" t="str">
        <x:f>IF(Q40&gt;1,"Inviavel","OK")</x:f>
        <x:v>OK</x:v>
      </x:c>
      <x:c r="X40" s="141" t="n">
        <x:f>IF($A40=Premissas!$B$48,Premissas!$B$8,0)</x:f>
        <x:v>0</x:v>
      </x:c>
      <x:c r="Y40" s="141" t="n">
        <x:f>IF(AND($A40&gt;=Premissas!$B$48,$A40-Premissas!$B$48+1&lt;=Premissas!$B$13),INDEX(Amortizacao!$K$6:$K$485,$A40-Premissas!$B$48+1),0)</x:f>
        <x:v>0</x:v>
      </x:c>
      <x:c r="Z40" s="141" t="n">
        <x:f>IF(AND(TRUE,Premissas!$B$11="Imovel",Premissas!$B$47="Moradia",$A40&lt;MAX(Premissas!$B$48,Premissas!$B$49)),$D40,0)</x:f>
        <x:v>0</x:v>
      </x:c>
      <x:c r="AA40" s="141" t="n">
        <x:f>IF(AND(TRUE,Premissas!$B$11="Imovel",Premissas!$B$47="Investimento",$A40&gt;=MAX(Premissas!$B$48,Premissas!$B$49)),$E40,0)</x:f>
        <x:v>719.104</x:v>
      </x:c>
      <x:c r="AB40" s="141" t="n">
        <x:f>X40+Y40+Z40</x:f>
        <x:v>0</x:v>
      </x:c>
      <x:c r="AC40" s="141" t="n">
        <x:f>AA40</x:f>
        <x:v>719.104</x:v>
      </x:c>
      <x:c r="AD40" s="141" t="n">
        <x:f>$C40+AC40-AB40</x:f>
        <x:v>7719.104</x:v>
      </x:c>
      <x:c r="AE40" s="141" t="n">
        <x:f>AH39*(1+Premissas!$B$41)+AD40</x:f>
        <x:v>167375.13683758499</x:v>
      </x:c>
      <x:c r="AF40" s="141" t="n">
        <x:f>MAX(0,-AE40)</x:f>
        <x:v>0</x:v>
      </x:c>
      <x:c r="AG40" s="141" t="n">
        <x:f>AG39*(1+Premissas!$B$41)+AF40</x:f>
        <x:v>0</x:v>
      </x:c>
      <x:c r="AH40" s="141" t="n">
        <x:f>MAX(0,AE40)</x:f>
        <x:v>167375.13683758499</x:v>
      </x:c>
      <x:c r="AI40" s="141" t="n">
        <x:f>IF(AND($A40&gt;=Premissas!$B$48,$A40-Premissas!$B$48+1&lt;=Premissas!$B$13),INDEX(Amortizacao!$L$6:$L$485,$A40-Premissas!$B$48+1),0)</x:f>
        <x:v>0</x:v>
      </x:c>
      <x:c r="AJ40" s="141" t="n">
        <x:f>IF($A40&gt;=Premissas!$B$48,$F40,0)</x:f>
        <x:v>237049.35030092855</x:v>
      </x:c>
      <x:c r="AK40" s="141" t="n">
        <x:f>AH40+AJ40-AI40</x:f>
        <x:v>404424.48713851353</x:v>
      </x:c>
      <x:c r="AL40" s="141" t="n">
        <x:f>IF(AG40&gt;1,"Inviavel",AK40)</x:f>
        <x:v>404424.48713851353</x:v>
      </x:c>
      <x:c r="AM40" s="141" t="str">
        <x:f>IF(AG40&gt;1,"Inviavel","OK")</x:f>
        <x:v>OK</x:v>
      </x:c>
      <x:c r="AN40" s="141" t="n">
        <x:f>IF($A40=Premissas!$B$48,Premissas!$B$8,0)</x:f>
        <x:v>0</x:v>
      </x:c>
      <x:c r="AO40" s="141" t="n">
        <x:f>IF($A40&lt;=Premissas!$B$25,INDEX('Consorcio IQ'!$K$6:$K$485,$A40),0)</x:f>
        <x:v>2563.617447456154</x:v>
      </x:c>
      <x:c r="AP40" s="141" t="n">
        <x:f>IF(AND(TRUE,Premissas!$B$11="Imovel",Premissas!$B$47="Moradia",$A40&lt;MAX(Premissas!$B$48,Premissas!$B$49)),$D40,0)</x:f>
        <x:v>0</x:v>
      </x:c>
      <x:c r="AQ40" s="141" t="n">
        <x:f>IF(AND(TRUE,Premissas!$B$11="Imovel",Premissas!$B$47="Investimento",$A40&gt;=MAX(Premissas!$B$48,Premissas!$B$49)),$E40,0)</x:f>
        <x:v>719.104</x:v>
      </x:c>
      <x:c r="AR40" s="141" t="n">
        <x:f>AN40+AO40+AP40</x:f>
        <x:v>2563.617447456154</x:v>
      </x:c>
      <x:c r="AS40" s="141" t="n">
        <x:f>AQ40</x:f>
        <x:v>719.104</x:v>
      </x:c>
      <x:c r="AT40" s="141" t="n">
        <x:f>$C40+AS40-AR40</x:f>
        <x:v>5155.486552543846</x:v>
      </x:c>
      <x:c r="AU40" s="141" t="n">
        <x:f>AX39*(1+Premissas!$B$41)+AT40</x:f>
        <x:v>286537.698897617</x:v>
      </x:c>
      <x:c r="AV40" s="141" t="n">
        <x:f>MAX(0,-AU40)</x:f>
        <x:v>0</x:v>
      </x:c>
      <x:c r="AW40" s="141" t="n">
        <x:f>AW39*(1+Premissas!$B$41)+AV40</x:f>
        <x:v>0</x:v>
      </x:c>
      <x:c r="AX40" s="141" t="n">
        <x:f>MAX(0,AU40)</x:f>
        <x:v>286537.698897617</x:v>
      </x:c>
      <x:c r="AY40" s="141" t="n">
        <x:f>INDEX('Consorcio IQ'!$P$6:$P$485,$A40)</x:f>
        <x:v>233329.18078562588</x:v>
      </x:c>
      <x:c r="AZ40" s="141" t="n">
        <x:f>IF($A40&gt;=Premissas!$B$48,$F40,0)+IF($A40&lt;Premissas!$B$27,INDEX('Consorcio IQ'!$O$6:$O$485,$A40),0)</x:f>
        <x:v>346378.7963650685</x:v>
      </x:c>
      <x:c r="BA40" s="141" t="n">
        <x:f>AX40+AZ40-AY40</x:f>
        <x:v>399587.3144770596</x:v>
      </x:c>
      <x:c r="BB40" s="141" t="n">
        <x:f>IF(AW40&gt;1,"Inviavel",BA40)</x:f>
        <x:v>399587.3144770596</x:v>
      </x:c>
      <x:c r="BC40" s="141" t="str">
        <x:f>IF(AW40&gt;1,"Inviavel","OK")</x:f>
        <x:v>OK</x:v>
      </x:c>
      <x:c r="BD40" s="141" t="n">
        <x:f>IF($A40='Consorcio Direto'!$B$29,'Consorcio Direto'!$B$44,0)</x:f>
        <x:v>0</x:v>
      </x:c>
      <x:c r="BE40" s="141" t="n">
        <x:f>IF($A40&lt;='Consorcio Direto'!$B$27,INDEX('Consorcio Direto'!$E$55:$E$534,$A40),0)</x:f>
        <x:v>1659.8063813987517</x:v>
      </x:c>
      <x:c r="BF40" s="141" t="n">
        <x:f>IF(AND(TRUE,Premissas!$B$11="Imovel",Premissas!$B$47="Moradia",$A40&lt;MAX('Consorcio Direto'!$B$29,Premissas!$B$49)),$D40,0)</x:f>
        <x:v>0</x:v>
      </x:c>
      <x:c r="BG40" s="141" t="n">
        <x:f>IF(AND(TRUE,Premissas!$B$11="Imovel",Premissas!$B$47="Investimento",$A40&gt;=MAX('Consorcio Direto'!$B$29,Premissas!$B$49)),$E40,0)</x:f>
        <x:v>0</x:v>
      </x:c>
      <x:c r="BH40" s="141" t="n">
        <x:f>BD40+BE40+BF40</x:f>
        <x:v>1659.8063813987517</x:v>
      </x:c>
      <x:c r="BI40" s="141" t="n">
        <x:f>BG40</x:f>
        <x:v>0</x:v>
      </x:c>
      <x:c r="BJ40" s="141" t="n">
        <x:f>$C40+BI40-BH40</x:f>
        <x:v>5340.193618601248</x:v>
      </x:c>
      <x:c r="BK40" s="141" t="n">
        <x:f>BN39*(1+Premissas!$B$41)+BJ40</x:f>
        <x:v>357371.4662441216</x:v>
      </x:c>
      <x:c r="BL40" s="141" t="n">
        <x:f>MAX(0,-BK40)</x:f>
        <x:v>0</x:v>
      </x:c>
      <x:c r="BM40" s="141" t="n">
        <x:f>BM39*(1+Premissas!$B$41)+BL40</x:f>
        <x:v>0</x:v>
      </x:c>
      <x:c r="BN40" s="141" t="n">
        <x:f>MAX(0,BK40)</x:f>
        <x:v>357371.4662441216</x:v>
      </x:c>
      <x:c r="BO40" s="141" t="n">
        <x:f>INDEX('Consorcio Direto'!$K$55:$K$534,$A40)</x:f>
        <x:v>225399.12299146887</x:v>
      </x:c>
      <x:c r="BP40" s="141" t="n">
        <x:f>IF($A40&lt;'Consorcio Direto'!$B$29,INDEX('Consorcio Direto'!$L$55:$L$534,$A40),$F40)</x:f>
        <x:v>212331.51307248318</x:v>
      </x:c>
      <x:c r="BQ40" s="141" t="n">
        <x:f>BN40+BP40-BO40</x:f>
        <x:v>344303.8563251359</x:v>
      </x:c>
      <x:c r="BR40" s="141" t="n">
        <x:f>IF(BM40&gt;1,"Inviavel",BQ40)</x:f>
        <x:v>344303.8563251359</x:v>
      </x:c>
      <x:c r="BS40" s="141" t="str">
        <x:f>IF(BM40&gt;1,"Inviavel","OK")</x:f>
        <x:v>OK</x:v>
      </x:c>
      <x:c r="BT40" s="141" t="n">
        <x:f>IF(AND('Carta Contemplada'!$B$22="Sim",$A40='Carta Contemplada'!$B$23),'Carta Contemplada'!$B$37,0)</x:f>
        <x:v>0</x:v>
      </x:c>
      <x:c r="BU40" s="141" t="n">
        <x:f>IF('Carta Contemplada'!$B$22="Sim",INDEX('Carta Contemplada'!$C$55:$C$1013,$A40),0)</x:f>
        <x:v>1348.3200000000002</x:v>
      </x:c>
      <x:c r="BV40" s="141" t="n">
        <x:f>IF(AND('Carta Contemplada'!$B$22="Sim",Premissas!$B$11="Imovel",Premissas!$B$47="Moradia",$A40&lt;MAX('Carta Contemplada'!$B$44,Premissas!$B$49)),$D40,0)</x:f>
        <x:v>0</x:v>
      </x:c>
      <x:c r="BW40" s="141" t="n">
        <x:f>IF(AND('Carta Contemplada'!$B$22="Sim",Premissas!$B$11="Imovel",Premissas!$B$47="Investimento",$A40&gt;=MAX('Carta Contemplada'!$B$44,Premissas!$B$49)),$E40,0)</x:f>
        <x:v>719.104</x:v>
      </x:c>
      <x:c r="BX40" s="141" t="n">
        <x:f>BT40+BU40+BV40</x:f>
        <x:v>1348.3200000000002</x:v>
      </x:c>
      <x:c r="BY40" s="141" t="n">
        <x:f>BW40</x:f>
        <x:v>719.104</x:v>
      </x:c>
      <x:c r="BZ40" s="141" t="n">
        <x:f>$C40+BY40-BX40</x:f>
        <x:v>6370.784</x:v>
      </x:c>
      <x:c r="CA40" s="141" t="n">
        <x:f>CD39*(1+Premissas!$B$41)+BZ40</x:f>
        <x:v>333315.56910452165</x:v>
      </x:c>
      <x:c r="CB40" s="141" t="n">
        <x:f>MAX(0,-CA40)</x:f>
        <x:v>0</x:v>
      </x:c>
      <x:c r="CC40" s="141" t="n">
        <x:f>CC39*(1+Premissas!$B$41)+CB40</x:f>
        <x:v>0</x:v>
      </x:c>
      <x:c r="CD40" s="141" t="n">
        <x:f>MAX(0,CA40)</x:f>
        <x:v>333315.56910452165</x:v>
      </x:c>
      <x:c r="CE40" s="141" t="n">
        <x:f>IF(AND('Carta Contemplada'!$B$22="Sim",$A40&gt;='Carta Contemplada'!$B$23),INDEX('Carta Contemplada'!$I$55:$I$1013,$A40),0)</x:f>
        <x:v>145657.10273345583</x:v>
      </x:c>
      <x:c r="CF40" s="141" t="n">
        <x:f>IF(AND('Carta Contemplada'!$B$22="Sim",$A40&gt;='Carta Contemplada'!$B$44),$F40,0)</x:f>
        <x:v>237049.35030092855</x:v>
      </x:c>
      <x:c r="CG40" s="141" t="n">
        <x:f>CD40+CF40-CE40</x:f>
        <x:v>424707.8166719944</x:v>
      </x:c>
      <x:c r="CH40" s="141" t="n">
        <x:f>IF(CC40&gt;1,"Inviavel",CG40)</x:f>
        <x:v>424707.8166719944</x:v>
      </x:c>
      <x:c r="CI40" s="145" t="str">
        <x:f>IF(CC40&gt;1,"Inviavel","OK")</x:f>
        <x:v>OK</x:v>
      </x:c>
    </x:row>
    <x:row r="41">
      <x:c r="A41" s="142" t="n">
        <x:v>37</x:v>
      </x:c>
      <x:c r="B41" s="179" t="n">
        <x:f>EDATE(Premissas!$B$4,A41-1)</x:f>
        <x:v>47635</x:v>
      </x:c>
      <x:c r="C41" s="141" t="n">
        <x:f>IF(A41&lt;=Premissas!$B$39,Premissas!$B$42,0)</x:f>
        <x:v>7000</x:v>
      </x:c>
      <x:c r="D41" s="141" t="n">
        <x:f>Premissas!$B$54*(1+Premissas!$B$57)^INT((A41-1)/12)</x:f>
        <x:v>833.7112000000001</x:v>
      </x:c>
      <x:c r="E41" s="141" t="n">
        <x:f>Premissas!$B$64*(1+Premissas!$B$57)^INT((A41-1)/12)</x:f>
        <x:v>762.2502400000001</x:v>
      </x:c>
      <x:c r="F41" s="141" t="n">
        <x:f>MAX(0,Premissas!$B$6*(1+Premissas!$B$66)^((A41-1)/12))</x:f>
        <x:v>238203.2</x:v>
      </x:c>
      <x:c r="G41" s="141" t="n">
        <x:f>G40*(1+Premissas!$B$41)+C41</x:f>
        <x:v>434998.41379362944</x:v>
      </x:c>
      <x:c r="H41" s="141" t="n">
        <x:f>IF($A41=Premissas!$B$48,Premissas!$B$8,0)</x:f>
        <x:v>0</x:v>
      </x:c>
      <x:c r="I41" s="141" t="n">
        <x:f>IF(AND($A41&gt;=Premissas!$B$48,$A41-Premissas!$B$48+1&lt;=Premissas!$B$13),INDEX(Financiamento!$J$6:$J$485,$A41-Premissas!$B$48+1),0)</x:f>
        <x:v>1919.027233097104</x:v>
      </x:c>
      <x:c r="J41" s="141" t="n">
        <x:f>IF(AND(TRUE,Premissas!$B$11="Imovel",Premissas!$B$47="Moradia",$A41&lt;MAX(Premissas!$B$48,Premissas!$B$49)),$D41,0)</x:f>
        <x:v>0</x:v>
      </x:c>
      <x:c r="K41" s="141" t="n">
        <x:f>IF(AND(TRUE,Premissas!$B$11="Imovel",Premissas!$B$47="Investimento",$A41&gt;=MAX(Premissas!$B$48,Premissas!$B$49)),$E41,0)</x:f>
        <x:v>762.2502400000001</x:v>
      </x:c>
      <x:c r="L41" s="141" t="n">
        <x:f>H41+I41+J41</x:f>
        <x:v>1919.027233097104</x:v>
      </x:c>
      <x:c r="M41" s="141" t="n">
        <x:f>K41</x:f>
        <x:v>762.2502400000001</x:v>
      </x:c>
      <x:c r="N41" s="141" t="n">
        <x:f>$C41+M41-L41</x:f>
        <x:v>5843.2230069028965</x:v>
      </x:c>
      <x:c r="O41" s="141" t="n">
        <x:f>R40*(1+Premissas!$B$41)+N41</x:f>
        <x:v>321064.63975572964</x:v>
      </x:c>
      <x:c r="P41" s="141" t="n">
        <x:f>MAX(0,-O41)</x:f>
        <x:v>0</x:v>
      </x:c>
      <x:c r="Q41" s="141" t="n">
        <x:f>Q40*(1+Premissas!$B$41)+P41</x:f>
        <x:v>0</x:v>
      </x:c>
      <x:c r="R41" s="141" t="n">
        <x:f>MAX(0,O41)</x:f>
        <x:v>321064.63975572964</x:v>
      </x:c>
      <x:c r="S41" s="141" t="n">
        <x:f>IF(AND($A41&gt;=Premissas!$B$48,$A41-Premissas!$B$48+1&lt;=Premissas!$B$13),INDEX(Financiamento!$M$6:$M$485,$A41-Premissas!$B$48+1),0)</x:f>
        <x:v>145904.76190476218</x:v>
      </x:c>
      <x:c r="T41" s="141" t="n">
        <x:f>IF($A41&gt;=Premissas!$B$48,$F41,0)</x:f>
        <x:v>238203.2</x:v>
      </x:c>
      <x:c r="U41" s="141" t="n">
        <x:f>R41+T41-S41</x:f>
        <x:v>413363.0778509675</x:v>
      </x:c>
      <x:c r="V41" s="141" t="n">
        <x:f>IF(Q41&gt;1,"Inviavel",U41)</x:f>
        <x:v>413363.0778509675</x:v>
      </x:c>
      <x:c r="W41" s="141" t="str">
        <x:f>IF(Q41&gt;1,"Inviavel","OK")</x:f>
        <x:v>OK</x:v>
      </x:c>
      <x:c r="X41" s="141" t="n">
        <x:f>IF($A41=Premissas!$B$48,Premissas!$B$8,0)</x:f>
        <x:v>0</x:v>
      </x:c>
      <x:c r="Y41" s="141" t="n">
        <x:f>IF(AND($A41&gt;=Premissas!$B$48,$A41-Premissas!$B$48+1&lt;=Premissas!$B$13),INDEX(Amortizacao!$K$6:$K$485,$A41-Premissas!$B$48+1),0)</x:f>
        <x:v>0</x:v>
      </x:c>
      <x:c r="Z41" s="141" t="n">
        <x:f>IF(AND(TRUE,Premissas!$B$11="Imovel",Premissas!$B$47="Moradia",$A41&lt;MAX(Premissas!$B$48,Premissas!$B$49)),$D41,0)</x:f>
        <x:v>0</x:v>
      </x:c>
      <x:c r="AA41" s="141" t="n">
        <x:f>IF(AND(TRUE,Premissas!$B$11="Imovel",Premissas!$B$47="Investimento",$A41&gt;=MAX(Premissas!$B$48,Premissas!$B$49)),$E41,0)</x:f>
        <x:v>762.2502400000001</x:v>
      </x:c>
      <x:c r="AB41" s="141" t="n">
        <x:f>X41+Y41+Z41</x:f>
        <x:v>0</x:v>
      </x:c>
      <x:c r="AC41" s="141" t="n">
        <x:f>AA41</x:f>
        <x:v>762.2502400000001</x:v>
      </x:c>
      <x:c r="AD41" s="141" t="n">
        <x:f>$C41+AC41-AB41</x:f>
        <x:v>7762.25024</x:v>
      </x:c>
      <x:c r="AE41" s="141" t="n">
        <x:f>AH40*(1+Premissas!$B$41)+AD41</x:f>
        <x:v>176725.57509343434</x:v>
      </x:c>
      <x:c r="AF41" s="141" t="n">
        <x:f>MAX(0,-AE41)</x:f>
        <x:v>0</x:v>
      </x:c>
      <x:c r="AG41" s="141" t="n">
        <x:f>AG40*(1+Premissas!$B$41)+AF41</x:f>
        <x:v>0</x:v>
      </x:c>
      <x:c r="AH41" s="141" t="n">
        <x:f>MAX(0,AE41)</x:f>
        <x:v>176725.57509343434</x:v>
      </x:c>
      <x:c r="AI41" s="141" t="n">
        <x:f>IF(AND($A41&gt;=Premissas!$B$48,$A41-Premissas!$B$48+1&lt;=Premissas!$B$13),INDEX(Amortizacao!$L$6:$L$485,$A41-Premissas!$B$48+1),0)</x:f>
        <x:v>0</x:v>
      </x:c>
      <x:c r="AJ41" s="141" t="n">
        <x:f>IF($A41&gt;=Premissas!$B$48,$F41,0)</x:f>
        <x:v>238203.2</x:v>
      </x:c>
      <x:c r="AK41" s="141" t="n">
        <x:f>AH41+AJ41-AI41</x:f>
        <x:v>414928.7750934344</x:v>
      </x:c>
      <x:c r="AL41" s="141" t="n">
        <x:f>IF(AG41&gt;1,"Inviavel",AK41)</x:f>
        <x:v>414928.7750934344</x:v>
      </x:c>
      <x:c r="AM41" s="141" t="str">
        <x:f>IF(AG41&gt;1,"Inviavel","OK")</x:f>
        <x:v>OK</x:v>
      </x:c>
      <x:c r="AN41" s="141" t="n">
        <x:f>IF($A41=Premissas!$B$48,Premissas!$B$8,0)</x:f>
        <x:v>0</x:v>
      </x:c>
      <x:c r="AO41" s="141" t="n">
        <x:f>IF($A41&lt;=Premissas!$B$25,INDEX('Consorcio IQ'!$K$6:$K$485,$A41),0)</x:f>
        <x:v>2598.461195361256</x:v>
      </x:c>
      <x:c r="AP41" s="141" t="n">
        <x:f>IF(AND(TRUE,Premissas!$B$11="Imovel",Premissas!$B$47="Moradia",$A41&lt;MAX(Premissas!$B$48,Premissas!$B$49)),$D41,0)</x:f>
        <x:v>0</x:v>
      </x:c>
      <x:c r="AQ41" s="141" t="n">
        <x:f>IF(AND(TRUE,Premissas!$B$11="Imovel",Premissas!$B$47="Investimento",$A41&gt;=MAX(Premissas!$B$48,Premissas!$B$49)),$E41,0)</x:f>
        <x:v>762.2502400000001</x:v>
      </x:c>
      <x:c r="AR41" s="141" t="n">
        <x:f>AN41+AO41+AP41</x:f>
        <x:v>2598.461195361256</x:v>
      </x:c>
      <x:c r="AS41" s="141" t="n">
        <x:f>AQ41</x:f>
        <x:v>762.2502400000001</x:v>
      </x:c>
      <x:c r="AT41" s="141" t="n">
        <x:f>$C41+AS41-AR41</x:f>
        <x:v>5163.789044638745</x:v>
      </x:c>
      <x:c r="AU41" s="141" t="n">
        <x:f>AX40*(1+Premissas!$B$41)+AT41</x:f>
        <x:v>294420.3848350471</x:v>
      </x:c>
      <x:c r="AV41" s="141" t="n">
        <x:f>MAX(0,-AU41)</x:f>
        <x:v>0</x:v>
      </x:c>
      <x:c r="AW41" s="141" t="n">
        <x:f>AW40*(1+Premissas!$B$41)+AV41</x:f>
        <x:v>0</x:v>
      </x:c>
      <x:c r="AX41" s="141" t="n">
        <x:f>MAX(0,AU41)</x:f>
        <x:v>294420.3848350471</x:v>
      </x:c>
      <x:c r="AY41" s="141" t="n">
        <x:f>INDEX('Consorcio IQ'!$P$6:$P$485,$A41)</x:f>
        <x:v>233094.7318723353</x:v>
      </x:c>
      <x:c r="AZ41" s="141" t="n">
        <x:f>IF($A41&gt;=Premissas!$B$48,$F41,0)+IF($A41&lt;Premissas!$B$27,INDEX('Consorcio IQ'!$O$6:$O$485,$A41),0)</x:f>
        <x:v>348570.05053949525</x:v>
      </x:c>
      <x:c r="BA41" s="141" t="n">
        <x:f>AX41+AZ41-AY41</x:f>
        <x:v>409895.70350220706</x:v>
      </x:c>
      <x:c r="BB41" s="141" t="n">
        <x:f>IF(AW41&gt;1,"Inviavel",BA41)</x:f>
        <x:v>409895.70350220706</x:v>
      </x:c>
      <x:c r="BC41" s="141" t="str">
        <x:f>IF(AW41&gt;1,"Inviavel","OK")</x:f>
        <x:v>OK</x:v>
      </x:c>
      <x:c r="BD41" s="141" t="n">
        <x:f>IF($A41='Consorcio Direto'!$B$29,'Consorcio Direto'!$B$44,0)</x:f>
        <x:v>0</x:v>
      </x:c>
      <x:c r="BE41" s="141" t="n">
        <x:f>IF($A41&lt;='Consorcio Direto'!$B$27,INDEX('Consorcio Direto'!$E$55:$E$534,$A41),0)</x:f>
        <x:v>1759.3947642826768</x:v>
      </x:c>
      <x:c r="BF41" s="141" t="n">
        <x:f>IF(AND(TRUE,Premissas!$B$11="Imovel",Premissas!$B$47="Moradia",$A41&lt;MAX('Consorcio Direto'!$B$29,Premissas!$B$49)),$D41,0)</x:f>
        <x:v>0</x:v>
      </x:c>
      <x:c r="BG41" s="141" t="n">
        <x:f>IF(AND(TRUE,Premissas!$B$11="Imovel",Premissas!$B$47="Investimento",$A41&gt;=MAX('Consorcio Direto'!$B$29,Premissas!$B$49)),$E41,0)</x:f>
        <x:v>0</x:v>
      </x:c>
      <x:c r="BH41" s="141" t="n">
        <x:f>BD41+BE41+BF41</x:f>
        <x:v>1759.3947642826768</x:v>
      </x:c>
      <x:c r="BI41" s="141" t="n">
        <x:f>BG41</x:f>
        <x:v>0</x:v>
      </x:c>
      <x:c r="BJ41" s="141" t="n">
        <x:f>$C41+BI41-BH41</x:f>
        <x:v>5240.605235717323</x:v>
      </x:c>
      <x:c r="BK41" s="141" t="n">
        <x:f>BN40*(1+Premissas!$B$41)+BJ41</x:f>
        <x:v>366003.09532375773</x:v>
      </x:c>
      <x:c r="BL41" s="141" t="n">
        <x:f>MAX(0,-BK41)</x:f>
        <x:v>0</x:v>
      </x:c>
      <x:c r="BM41" s="141" t="n">
        <x:f>BM40*(1+Premissas!$B$41)+BL41</x:f>
        <x:v>0</x:v>
      </x:c>
      <x:c r="BN41" s="141" t="n">
        <x:f>MAX(0,BK41)</x:f>
        <x:v>366003.09532375773</x:v>
      </x:c>
      <x:c r="BO41" s="141" t="n">
        <x:f>INDEX('Consorcio Direto'!$K$55:$K$534,$A41)</x:f>
        <x:v>225778.49383288887</x:v>
      </x:c>
      <x:c r="BP41" s="141" t="n">
        <x:f>IF($A41&lt;'Consorcio Direto'!$B$29,INDEX('Consorcio Direto'!$L$55:$L$534,$A41),$F41)</x:f>
        <x:v>214346.28283351468</x:v>
      </x:c>
      <x:c r="BQ41" s="141" t="n">
        <x:f>BN41+BP41-BO41</x:f>
        <x:v>354570.8843243836</x:v>
      </x:c>
      <x:c r="BR41" s="141" t="n">
        <x:f>IF(BM41&gt;1,"Inviavel",BQ41)</x:f>
        <x:v>354570.8843243836</x:v>
      </x:c>
      <x:c r="BS41" s="141" t="str">
        <x:f>IF(BM41&gt;1,"Inviavel","OK")</x:f>
        <x:v>OK</x:v>
      </x:c>
      <x:c r="BT41" s="141" t="n">
        <x:f>IF(AND('Carta Contemplada'!$B$22="Sim",$A41='Carta Contemplada'!$B$23),'Carta Contemplada'!$B$37,0)</x:f>
        <x:v>0</x:v>
      </x:c>
      <x:c r="BU41" s="141" t="n">
        <x:f>IF('Carta Contemplada'!$B$22="Sim",INDEX('Carta Contemplada'!$C$55:$C$1013,$A41),0)</x:f>
        <x:v>1429.2192</x:v>
      </x:c>
      <x:c r="BV41" s="141" t="n">
        <x:f>IF(AND('Carta Contemplada'!$B$22="Sim",Premissas!$B$11="Imovel",Premissas!$B$47="Moradia",$A41&lt;MAX('Carta Contemplada'!$B$44,Premissas!$B$49)),$D41,0)</x:f>
        <x:v>0</x:v>
      </x:c>
      <x:c r="BW41" s="141" t="n">
        <x:f>IF(AND('Carta Contemplada'!$B$22="Sim",Premissas!$B$11="Imovel",Premissas!$B$47="Investimento",$A41&gt;=MAX('Carta Contemplada'!$B$44,Premissas!$B$49)),$E41,0)</x:f>
        <x:v>762.2502400000001</x:v>
      </x:c>
      <x:c r="BX41" s="141" t="n">
        <x:f>BT41+BU41+BV41</x:f>
        <x:v>1429.2192</x:v>
      </x:c>
      <x:c r="BY41" s="141" t="n">
        <x:f>BW41</x:f>
        <x:v>762.2502400000001</x:v>
      </x:c>
      <x:c r="BZ41" s="141" t="n">
        <x:f>$C41+BY41-BX41</x:f>
        <x:v>6333.03104</x:v>
      </x:c>
      <x:c r="CA41" s="141" t="n">
        <x:f>CD40*(1+Premissas!$B$41)+BZ41</x:f>
        <x:v>342811.3625616271</x:v>
      </x:c>
      <x:c r="CB41" s="141" t="n">
        <x:f>MAX(0,-CA41)</x:f>
        <x:v>0</x:v>
      </x:c>
      <x:c r="CC41" s="141" t="n">
        <x:f>CC40*(1+Premissas!$B$41)+CB41</x:f>
        <x:v>0</x:v>
      </x:c>
      <x:c r="CD41" s="141" t="n">
        <x:f>MAX(0,CA41)</x:f>
        <x:v>342811.3625616271</x:v>
      </x:c>
      <x:c r="CE41" s="141" t="n">
        <x:f>IF(AND('Carta Contemplada'!$B$22="Sim",$A41&gt;='Carta Contemplada'!$B$23),INDEX('Carta Contemplada'!$I$55:$I$1013,$A41),0)</x:f>
        <x:v>145609.99362074488</x:v>
      </x:c>
      <x:c r="CF41" s="141" t="n">
        <x:f>IF(AND('Carta Contemplada'!$B$22="Sim",$A41&gt;='Carta Contemplada'!$B$44),$F41,0)</x:f>
        <x:v>238203.2</x:v>
      </x:c>
      <x:c r="CG41" s="141" t="n">
        <x:f>CD41+CF41-CE41</x:f>
        <x:v>435404.5689408822</x:v>
      </x:c>
      <x:c r="CH41" s="141" t="n">
        <x:f>IF(CC41&gt;1,"Inviavel",CG41)</x:f>
        <x:v>435404.5689408822</x:v>
      </x:c>
      <x:c r="CI41" s="145" t="str">
        <x:f>IF(CC41&gt;1,"Inviavel","OK")</x:f>
        <x:v>OK</x:v>
      </x:c>
    </x:row>
    <x:row r="42">
      <x:c r="A42" s="142" t="n">
        <x:v>38</x:v>
      </x:c>
      <x:c r="B42" s="179" t="n">
        <x:f>EDATE(Premissas!$B$4,A42-1)</x:f>
        <x:v>47665</x:v>
      </x:c>
      <x:c r="C42" s="141" t="n">
        <x:f>IF(A42&lt;=Premissas!$B$39,Premissas!$B$42,0)</x:f>
        <x:v>7000</x:v>
      </x:c>
      <x:c r="D42" s="141" t="n">
        <x:f>Premissas!$B$54*(1+Premissas!$B$57)^INT((A42-1)/12)</x:f>
        <x:v>833.7112000000001</x:v>
      </x:c>
      <x:c r="E42" s="141" t="n">
        <x:f>Premissas!$B$64*(1+Premissas!$B$57)^INT((A42-1)/12)</x:f>
        <x:v>762.2502400000001</x:v>
      </x:c>
      <x:c r="F42" s="141" t="n">
        <x:f>MAX(0,Premissas!$B$6*(1+Premissas!$B$66)^((A42-1)/12))</x:f>
        <x:v>239362.6661208266</x:v>
      </x:c>
      <x:c r="G42" s="141" t="n">
        <x:f>G41*(1+Premissas!$B$41)+C42</x:f>
        <x:v>446126.02366898925</x:v>
      </x:c>
      <x:c r="H42" s="141" t="n">
        <x:f>IF($A42=Premissas!$B$48,Premissas!$B$8,0)</x:f>
        <x:v>0</x:v>
      </x:c>
      <x:c r="I42" s="141" t="n">
        <x:f>IF(AND($A42&gt;=Premissas!$B$48,$A42-Premissas!$B$48+1&lt;=Premissas!$B$13),INDEX(Financiamento!$J$6:$J$485,$A42-Premissas!$B$48+1),0)</x:f>
        <x:v>1915.4124548363106</x:v>
      </x:c>
      <x:c r="J42" s="141" t="n">
        <x:f>IF(AND(TRUE,Premissas!$B$11="Imovel",Premissas!$B$47="Moradia",$A42&lt;MAX(Premissas!$B$48,Premissas!$B$49)),$D42,0)</x:f>
        <x:v>0</x:v>
      </x:c>
      <x:c r="K42" s="141" t="n">
        <x:f>IF(AND(TRUE,Premissas!$B$11="Imovel",Premissas!$B$47="Investimento",$A42&gt;=MAX(Premissas!$B$48,Premissas!$B$49)),$E42,0)</x:f>
        <x:v>762.2502400000001</x:v>
      </x:c>
      <x:c r="L42" s="141" t="n">
        <x:f>H42+I42+J42</x:f>
        <x:v>1915.4124548363106</x:v>
      </x:c>
      <x:c r="M42" s="141" t="n">
        <x:f>K42</x:f>
        <x:v>762.2502400000001</x:v>
      </x:c>
      <x:c r="N42" s="141" t="n">
        <x:f>$C42+M42-L42</x:f>
        <x:v>5846.83778516369</x:v>
      </x:c>
      <x:c r="O42" s="141" t="n">
        <x:f>R41*(1+Premissas!$B$41)+N42</x:f>
        <x:v>329957.9934261519</x:v>
      </x:c>
      <x:c r="P42" s="141" t="n">
        <x:f>MAX(0,-O42)</x:f>
        <x:v>0</x:v>
      </x:c>
      <x:c r="Q42" s="141" t="n">
        <x:f>Q41*(1+Premissas!$B$41)+P42</x:f>
        <x:v>0</x:v>
      </x:c>
      <x:c r="R42" s="141" t="n">
        <x:f>MAX(0,O42)</x:f>
        <x:v>329957.9934261519</x:v>
      </x:c>
      <x:c r="S42" s="141" t="n">
        <x:f>IF(AND($A42&gt;=Premissas!$B$48,$A42-Premissas!$B$48+1&lt;=Premissas!$B$13),INDEX(Financiamento!$M$6:$M$485,$A42-Premissas!$B$48+1),0)</x:f>
        <x:v>145523.8095238098</x:v>
      </x:c>
      <x:c r="T42" s="141" t="n">
        <x:f>IF($A42&gt;=Premissas!$B$48,$F42,0)</x:f>
        <x:v>239362.6661208266</x:v>
      </x:c>
      <x:c r="U42" s="141" t="n">
        <x:f>R42+T42-S42</x:f>
        <x:v>423796.8500231687</x:v>
      </x:c>
      <x:c r="V42" s="141" t="n">
        <x:f>IF(Q42&gt;1,"Inviavel",U42)</x:f>
        <x:v>423796.8500231687</x:v>
      </x:c>
      <x:c r="W42" s="141" t="str">
        <x:f>IF(Q42&gt;1,"Inviavel","OK")</x:f>
        <x:v>OK</x:v>
      </x:c>
      <x:c r="X42" s="141" t="n">
        <x:f>IF($A42=Premissas!$B$48,Premissas!$B$8,0)</x:f>
        <x:v>0</x:v>
      </x:c>
      <x:c r="Y42" s="141" t="n">
        <x:f>IF(AND($A42&gt;=Premissas!$B$48,$A42-Premissas!$B$48+1&lt;=Premissas!$B$13),INDEX(Amortizacao!$K$6:$K$485,$A42-Premissas!$B$48+1),0)</x:f>
        <x:v>0</x:v>
      </x:c>
      <x:c r="Z42" s="141" t="n">
        <x:f>IF(AND(TRUE,Premissas!$B$11="Imovel",Premissas!$B$47="Moradia",$A42&lt;MAX(Premissas!$B$48,Premissas!$B$49)),$D42,0)</x:f>
        <x:v>0</x:v>
      </x:c>
      <x:c r="AA42" s="141" t="n">
        <x:f>IF(AND(TRUE,Premissas!$B$11="Imovel",Premissas!$B$47="Investimento",$A42&gt;=MAX(Premissas!$B$48,Premissas!$B$49)),$E42,0)</x:f>
        <x:v>762.2502400000001</x:v>
      </x:c>
      <x:c r="AB42" s="141" t="n">
        <x:f>X42+Y42+Z42</x:f>
        <x:v>0</x:v>
      </x:c>
      <x:c r="AC42" s="141" t="n">
        <x:f>AA42</x:f>
        <x:v>762.2502400000001</x:v>
      </x:c>
      <x:c r="AD42" s="141" t="n">
        <x:f>$C42+AC42-AB42</x:f>
        <x:v>7762.25024</x:v>
      </x:c>
      <x:c r="AE42" s="141" t="n">
        <x:f>AH41*(1+Premissas!$B$41)+AD42</x:f>
        <x:v>186164.73772174102</x:v>
      </x:c>
      <x:c r="AF42" s="141" t="n">
        <x:f>MAX(0,-AE42)</x:f>
        <x:v>0</x:v>
      </x:c>
      <x:c r="AG42" s="141" t="n">
        <x:f>AG41*(1+Premissas!$B$41)+AF42</x:f>
        <x:v>0</x:v>
      </x:c>
      <x:c r="AH42" s="141" t="n">
        <x:f>MAX(0,AE42)</x:f>
        <x:v>186164.73772174102</x:v>
      </x:c>
      <x:c r="AI42" s="141" t="n">
        <x:f>IF(AND($A42&gt;=Premissas!$B$48,$A42-Premissas!$B$48+1&lt;=Premissas!$B$13),INDEX(Amortizacao!$L$6:$L$485,$A42-Premissas!$B$48+1),0)</x:f>
        <x:v>0</x:v>
      </x:c>
      <x:c r="AJ42" s="141" t="n">
        <x:f>IF($A42&gt;=Premissas!$B$48,$F42,0)</x:f>
        <x:v>239362.6661208266</x:v>
      </x:c>
      <x:c r="AK42" s="141" t="n">
        <x:f>AH42+AJ42-AI42</x:f>
        <x:v>425527.4038425676</x:v>
      </x:c>
      <x:c r="AL42" s="141" t="n">
        <x:f>IF(AG42&gt;1,"Inviavel",AK42)</x:f>
        <x:v>425527.4038425676</x:v>
      </x:c>
      <x:c r="AM42" s="141" t="str">
        <x:f>IF(AG42&gt;1,"Inviavel","OK")</x:f>
        <x:v>OK</x:v>
      </x:c>
      <x:c r="AN42" s="141" t="n">
        <x:f>IF($A42=Premissas!$B$48,Premissas!$B$8,0)</x:f>
        <x:v>0</x:v>
      </x:c>
      <x:c r="AO42" s="141" t="n">
        <x:f>IF($A42&lt;=Premissas!$B$25,INDEX('Consorcio IQ'!$K$6:$K$485,$A42),0)</x:f>
        <x:v>2594.8464171004625</x:v>
      </x:c>
      <x:c r="AP42" s="141" t="n">
        <x:f>IF(AND(TRUE,Premissas!$B$11="Imovel",Premissas!$B$47="Moradia",$A42&lt;MAX(Premissas!$B$48,Premissas!$B$49)),$D42,0)</x:f>
        <x:v>0</x:v>
      </x:c>
      <x:c r="AQ42" s="141" t="n">
        <x:f>IF(AND(TRUE,Premissas!$B$11="Imovel",Premissas!$B$47="Investimento",$A42&gt;=MAX(Premissas!$B$48,Premissas!$B$49)),$E42,0)</x:f>
        <x:v>762.2502400000001</x:v>
      </x:c>
      <x:c r="AR42" s="141" t="n">
        <x:f>AN42+AO42+AP42</x:f>
        <x:v>2594.8464171004625</x:v>
      </x:c>
      <x:c r="AS42" s="141" t="n">
        <x:f>AQ42</x:f>
        <x:v>762.2502400000001</x:v>
      </x:c>
      <x:c r="AT42" s="141" t="n">
        <x:f>$C42+AS42-AR42</x:f>
        <x:v>5167.403822899538</x:v>
      </x:c>
      <x:c r="AU42" s="141" t="n">
        <x:f>AX41*(1+Premissas!$B$41)+AT42</x:f>
        <x:v>302381.4827253667</x:v>
      </x:c>
      <x:c r="AV42" s="141" t="n">
        <x:f>MAX(0,-AU42)</x:f>
        <x:v>0</x:v>
      </x:c>
      <x:c r="AW42" s="141" t="n">
        <x:f>AW41*(1+Premissas!$B$41)+AV42</x:f>
        <x:v>0</x:v>
      </x:c>
      <x:c r="AX42" s="141" t="n">
        <x:f>MAX(0,AU42)</x:f>
        <x:v>302381.4827253667</x:v>
      </x:c>
      <x:c r="AY42" s="141" t="n">
        <x:f>INDEX('Consorcio IQ'!$P$6:$P$485,$A42)</x:f>
        <x:v>232861.67310011358</x:v>
      </x:c>
      <x:c r="AZ42" s="141" t="n">
        <x:f>IF($A42&gt;=Premissas!$B$48,$F42,0)+IF($A42&lt;Premissas!$B$27,INDEX('Consorcio IQ'!$O$6:$O$485,$A42),0)</x:f>
        <x:v>350776.76485193317</x:v>
      </x:c>
      <x:c r="BA42" s="141" t="n">
        <x:f>AX42+AZ42-AY42</x:f>
        <x:v>420296.57447718625</x:v>
      </x:c>
      <x:c r="BB42" s="141" t="n">
        <x:f>IF(AW42&gt;1,"Inviavel",BA42)</x:f>
        <x:v>420296.57447718625</x:v>
      </x:c>
      <x:c r="BC42" s="141" t="str">
        <x:f>IF(AW42&gt;1,"Inviavel","OK")</x:f>
        <x:v>OK</x:v>
      </x:c>
      <x:c r="BD42" s="141" t="n">
        <x:f>IF($A42='Consorcio Direto'!$B$29,'Consorcio Direto'!$B$44,0)</x:f>
        <x:v>0</x:v>
      </x:c>
      <x:c r="BE42" s="141" t="n">
        <x:f>IF($A42&lt;='Consorcio Direto'!$B$27,INDEX('Consorcio Direto'!$E$55:$E$534,$A42),0)</x:f>
        <x:v>1759.3947642826768</x:v>
      </x:c>
      <x:c r="BF42" s="141" t="n">
        <x:f>IF(AND(TRUE,Premissas!$B$11="Imovel",Premissas!$B$47="Moradia",$A42&lt;MAX('Consorcio Direto'!$B$29,Premissas!$B$49)),$D42,0)</x:f>
        <x:v>0</x:v>
      </x:c>
      <x:c r="BG42" s="141" t="n">
        <x:f>IF(AND(TRUE,Premissas!$B$11="Imovel",Premissas!$B$47="Investimento",$A42&gt;=MAX('Consorcio Direto'!$B$29,Premissas!$B$49)),$E42,0)</x:f>
        <x:v>0</x:v>
      </x:c>
      <x:c r="BH42" s="141" t="n">
        <x:f>BD42+BE42+BF42</x:f>
        <x:v>1759.3947642826768</x:v>
      </x:c>
      <x:c r="BI42" s="141" t="n">
        <x:f>BG42</x:f>
        <x:v>0</x:v>
      </x:c>
      <x:c r="BJ42" s="141" t="n">
        <x:f>$C42+BI42-BH42</x:f>
        <x:v>5240.605235717323</x:v>
      </x:c>
      <x:c r="BK42" s="141" t="n">
        <x:f>BN41*(1+Premissas!$B$41)+BJ42</x:f>
        <x:v>374716.62814441865</x:v>
      </x:c>
      <x:c r="BL42" s="141" t="n">
        <x:f>MAX(0,-BK42)</x:f>
        <x:v>0</x:v>
      </x:c>
      <x:c r="BM42" s="141" t="n">
        <x:f>BM41*(1+Premissas!$B$41)+BL42</x:f>
        <x:v>0</x:v>
      </x:c>
      <x:c r="BN42" s="141" t="n">
        <x:f>MAX(0,BK42)</x:f>
        <x:v>374716.62814441865</x:v>
      </x:c>
      <x:c r="BO42" s="141" t="n">
        <x:f>INDEX('Consorcio Direto'!$K$55:$K$534,$A42)</x:f>
        <x:v>226161.4644456685</x:v>
      </x:c>
      <x:c r="BP42" s="141" t="n">
        <x:f>IF($A42&lt;'Consorcio Direto'!$B$29,INDEX('Consorcio Direto'!$L$55:$L$534,$A42),$F42)</x:f>
        <x:v>216380.17032761947</x:v>
      </x:c>
      <x:c r="BQ42" s="141" t="n">
        <x:f>BN42+BP42-BO42</x:f>
        <x:v>364935.3340263696</x:v>
      </x:c>
      <x:c r="BR42" s="141" t="n">
        <x:f>IF(BM42&gt;1,"Inviavel",BQ42)</x:f>
        <x:v>364935.3340263696</x:v>
      </x:c>
      <x:c r="BS42" s="141" t="str">
        <x:f>IF(BM42&gt;1,"Inviavel","OK")</x:f>
        <x:v>OK</x:v>
      </x:c>
      <x:c r="BT42" s="141" t="n">
        <x:f>IF(AND('Carta Contemplada'!$B$22="Sim",$A42='Carta Contemplada'!$B$23),'Carta Contemplada'!$B$37,0)</x:f>
        <x:v>0</x:v>
      </x:c>
      <x:c r="BU42" s="141" t="n">
        <x:f>IF('Carta Contemplada'!$B$22="Sim",INDEX('Carta Contemplada'!$C$55:$C$1013,$A42),0)</x:f>
        <x:v>1429.2192</x:v>
      </x:c>
      <x:c r="BV42" s="141" t="n">
        <x:f>IF(AND('Carta Contemplada'!$B$22="Sim",Premissas!$B$11="Imovel",Premissas!$B$47="Moradia",$A42&lt;MAX('Carta Contemplada'!$B$44,Premissas!$B$49)),$D42,0)</x:f>
        <x:v>0</x:v>
      </x:c>
      <x:c r="BW42" s="141" t="n">
        <x:f>IF(AND('Carta Contemplada'!$B$22="Sim",Premissas!$B$11="Imovel",Premissas!$B$47="Investimento",$A42&gt;=MAX('Carta Contemplada'!$B$44,Premissas!$B$49)),$E42,0)</x:f>
        <x:v>762.2502400000001</x:v>
      </x:c>
      <x:c r="BX42" s="141" t="n">
        <x:f>BT42+BU42+BV42</x:f>
        <x:v>1429.2192</x:v>
      </x:c>
      <x:c r="BY42" s="141" t="n">
        <x:f>BW42</x:f>
        <x:v>762.2502400000001</x:v>
      </x:c>
      <x:c r="BZ42" s="141" t="n">
        <x:f>$C42+BY42-BX42</x:f>
        <x:v>6333.03104</x:v>
      </x:c>
      <x:c r="CA42" s="141" t="n">
        <x:f>CD41*(1+Premissas!$B$41)+BZ42</x:f>
        <x:v>352397.25963659666</x:v>
      </x:c>
      <x:c r="CB42" s="141" t="n">
        <x:f>MAX(0,-CA42)</x:f>
        <x:v>0</x:v>
      </x:c>
      <x:c r="CC42" s="141" t="n">
        <x:f>CC41*(1+Premissas!$B$41)+CB42</x:f>
        <x:v>0</x:v>
      </x:c>
      <x:c r="CD42" s="141" t="n">
        <x:f>MAX(0,CA42)</x:f>
        <x:v>352397.25963659666</x:v>
      </x:c>
      <x:c r="CE42" s="141" t="n">
        <x:f>IF(AND('Carta Contemplada'!$B$22="Sim",$A42&gt;='Carta Contemplada'!$B$23),INDEX('Carta Contemplada'!$I$55:$I$1013,$A42),0)</x:f>
        <x:v>145562.4374994181</x:v>
      </x:c>
      <x:c r="CF42" s="141" t="n">
        <x:f>IF(AND('Carta Contemplada'!$B$22="Sim",$A42&gt;='Carta Contemplada'!$B$44),$F42,0)</x:f>
        <x:v>239362.6661208266</x:v>
      </x:c>
      <x:c r="CG42" s="141" t="n">
        <x:f>CD42+CF42-CE42</x:f>
        <x:v>446197.4882580052</x:v>
      </x:c>
      <x:c r="CH42" s="141" t="n">
        <x:f>IF(CC42&gt;1,"Inviavel",CG42)</x:f>
        <x:v>446197.4882580052</x:v>
      </x:c>
      <x:c r="CI42" s="145" t="str">
        <x:f>IF(CC42&gt;1,"Inviavel","OK")</x:f>
        <x:v>OK</x:v>
      </x:c>
    </x:row>
    <x:row r="43">
      <x:c r="A43" s="142" t="n">
        <x:v>39</x:v>
      </x:c>
      <x:c r="B43" s="179" t="n">
        <x:f>EDATE(Premissas!$B$4,A43-1)</x:f>
        <x:v>47696</x:v>
      </x:c>
      <x:c r="C43" s="141" t="n">
        <x:f>IF(A43&lt;=Premissas!$B$39,Premissas!$B$42,0)</x:f>
        <x:v>7000</x:v>
      </x:c>
      <x:c r="D43" s="141" t="n">
        <x:f>Premissas!$B$54*(1+Premissas!$B$57)^INT((A43-1)/12)</x:f>
        <x:v>833.7112000000001</x:v>
      </x:c>
      <x:c r="E43" s="141" t="n">
        <x:f>Premissas!$B$64*(1+Premissas!$B$57)^INT((A43-1)/12)</x:f>
        <x:v>762.2502400000001</x:v>
      </x:c>
      <x:c r="F43" s="141" t="n">
        <x:f>MAX(0,Premissas!$B$6*(1+Premissas!$B$66)^((A43-1)/12))</x:f>
        <x:v>240527.776001625</x:v>
      </x:c>
      <x:c r="G43" s="141" t="n">
        <x:f>G42*(1+Premissas!$B$41)+C43</x:f>
        <x:v>457359.2211303132</x:v>
      </x:c>
      <x:c r="H43" s="141" t="n">
        <x:f>IF($A43=Premissas!$B$48,Premissas!$B$8,0)</x:f>
        <x:v>0</x:v>
      </x:c>
      <x:c r="I43" s="141" t="n">
        <x:f>IF(AND($A43&gt;=Premissas!$B$48,$A43-Premissas!$B$48+1&lt;=Premissas!$B$13),INDEX(Financiamento!$J$6:$J$485,$A43-Premissas!$B$48+1),0)</x:f>
        <x:v>1911.797676575517</x:v>
      </x:c>
      <x:c r="J43" s="141" t="n">
        <x:f>IF(AND(TRUE,Premissas!$B$11="Imovel",Premissas!$B$47="Moradia",$A43&lt;MAX(Premissas!$B$48,Premissas!$B$49)),$D43,0)</x:f>
        <x:v>0</x:v>
      </x:c>
      <x:c r="K43" s="141" t="n">
        <x:f>IF(AND(TRUE,Premissas!$B$11="Imovel",Premissas!$B$47="Investimento",$A43&gt;=MAX(Premissas!$B$48,Premissas!$B$49)),$E43,0)</x:f>
        <x:v>762.2502400000001</x:v>
      </x:c>
      <x:c r="L43" s="141" t="n">
        <x:f>H43+I43+J43</x:f>
        <x:v>1911.797676575517</x:v>
      </x:c>
      <x:c r="M43" s="141" t="n">
        <x:f>K43</x:f>
        <x:v>762.2502400000001</x:v>
      </x:c>
      <x:c r="N43" s="141" t="n">
        <x:f>$C43+M43-L43</x:f>
        <x:v>5850.452563424484</x:v>
      </x:c>
      <x:c r="O43" s="141" t="n">
        <x:f>R42*(1+Premissas!$B$41)+N43</x:f>
        <x:v>338939.34906630765</x:v>
      </x:c>
      <x:c r="P43" s="141" t="n">
        <x:f>MAX(0,-O43)</x:f>
        <x:v>0</x:v>
      </x:c>
      <x:c r="Q43" s="141" t="n">
        <x:f>Q42*(1+Premissas!$B$41)+P43</x:f>
        <x:v>0</x:v>
      </x:c>
      <x:c r="R43" s="141" t="n">
        <x:f>MAX(0,O43)</x:f>
        <x:v>338939.34906630765</x:v>
      </x:c>
      <x:c r="S43" s="141" t="n">
        <x:f>IF(AND($A43&gt;=Premissas!$B$48,$A43-Premissas!$B$48+1&lt;=Premissas!$B$13),INDEX(Financiamento!$M$6:$M$485,$A43-Premissas!$B$48+1),0)</x:f>
        <x:v>145142.8571428574</x:v>
      </x:c>
      <x:c r="T43" s="141" t="n">
        <x:f>IF($A43&gt;=Premissas!$B$48,$F43,0)</x:f>
        <x:v>240527.776001625</x:v>
      </x:c>
      <x:c r="U43" s="141" t="n">
        <x:f>R43+T43-S43</x:f>
        <x:v>434324.26792507526</x:v>
      </x:c>
      <x:c r="V43" s="141" t="n">
        <x:f>IF(Q43&gt;1,"Inviavel",U43)</x:f>
        <x:v>434324.26792507526</x:v>
      </x:c>
      <x:c r="W43" s="141" t="str">
        <x:f>IF(Q43&gt;1,"Inviavel","OK")</x:f>
        <x:v>OK</x:v>
      </x:c>
      <x:c r="X43" s="141" t="n">
        <x:f>IF($A43=Premissas!$B$48,Premissas!$B$8,0)</x:f>
        <x:v>0</x:v>
      </x:c>
      <x:c r="Y43" s="141" t="n">
        <x:f>IF(AND($A43&gt;=Premissas!$B$48,$A43-Premissas!$B$48+1&lt;=Premissas!$B$13),INDEX(Amortizacao!$K$6:$K$485,$A43-Premissas!$B$48+1),0)</x:f>
        <x:v>0</x:v>
      </x:c>
      <x:c r="Z43" s="141" t="n">
        <x:f>IF(AND(TRUE,Premissas!$B$11="Imovel",Premissas!$B$47="Moradia",$A43&lt;MAX(Premissas!$B$48,Premissas!$B$49)),$D43,0)</x:f>
        <x:v>0</x:v>
      </x:c>
      <x:c r="AA43" s="141" t="n">
        <x:f>IF(AND(TRUE,Premissas!$B$11="Imovel",Premissas!$B$47="Investimento",$A43&gt;=MAX(Premissas!$B$48,Premissas!$B$49)),$E43,0)</x:f>
        <x:v>762.2502400000001</x:v>
      </x:c>
      <x:c r="AB43" s="141" t="n">
        <x:f>X43+Y43+Z43</x:f>
        <x:v>0</x:v>
      </x:c>
      <x:c r="AC43" s="141" t="n">
        <x:f>AA43</x:f>
        <x:v>762.2502400000001</x:v>
      </x:c>
      <x:c r="AD43" s="141" t="n">
        <x:f>$C43+AC43-AB43</x:f>
        <x:v>7762.25024</x:v>
      </x:c>
      <x:c r="AE43" s="141" t="n">
        <x:f>AH42*(1+Premissas!$B$41)+AD43</x:f>
        <x:v>195693.46660970358</x:v>
      </x:c>
      <x:c r="AF43" s="141" t="n">
        <x:f>MAX(0,-AE43)</x:f>
        <x:v>0</x:v>
      </x:c>
      <x:c r="AG43" s="141" t="n">
        <x:f>AG42*(1+Premissas!$B$41)+AF43</x:f>
        <x:v>0</x:v>
      </x:c>
      <x:c r="AH43" s="141" t="n">
        <x:f>MAX(0,AE43)</x:f>
        <x:v>195693.46660970358</x:v>
      </x:c>
      <x:c r="AI43" s="141" t="n">
        <x:f>IF(AND($A43&gt;=Premissas!$B$48,$A43-Premissas!$B$48+1&lt;=Premissas!$B$13),INDEX(Amortizacao!$L$6:$L$485,$A43-Premissas!$B$48+1),0)</x:f>
        <x:v>0</x:v>
      </x:c>
      <x:c r="AJ43" s="141" t="n">
        <x:f>IF($A43&gt;=Premissas!$B$48,$F43,0)</x:f>
        <x:v>240527.776001625</x:v>
      </x:c>
      <x:c r="AK43" s="141" t="n">
        <x:f>AH43+AJ43-AI43</x:f>
        <x:v>436221.2426113286</x:v>
      </x:c>
      <x:c r="AL43" s="141" t="n">
        <x:f>IF(AG43&gt;1,"Inviavel",AK43)</x:f>
        <x:v>436221.2426113286</x:v>
      </x:c>
      <x:c r="AM43" s="141" t="str">
        <x:f>IF(AG43&gt;1,"Inviavel","OK")</x:f>
        <x:v>OK</x:v>
      </x:c>
      <x:c r="AN43" s="141" t="n">
        <x:f>IF($A43=Premissas!$B$48,Premissas!$B$8,0)</x:f>
        <x:v>0</x:v>
      </x:c>
      <x:c r="AO43" s="141" t="n">
        <x:f>IF($A43&lt;=Premissas!$B$25,INDEX('Consorcio IQ'!$K$6:$K$485,$A43),0)</x:f>
        <x:v>2591.2316388396694</x:v>
      </x:c>
      <x:c r="AP43" s="141" t="n">
        <x:f>IF(AND(TRUE,Premissas!$B$11="Imovel",Premissas!$B$47="Moradia",$A43&lt;MAX(Premissas!$B$48,Premissas!$B$49)),$D43,0)</x:f>
        <x:v>0</x:v>
      </x:c>
      <x:c r="AQ43" s="141" t="n">
        <x:f>IF(AND(TRUE,Premissas!$B$11="Imovel",Premissas!$B$47="Investimento",$A43&gt;=MAX(Premissas!$B$48,Premissas!$B$49)),$E43,0)</x:f>
        <x:v>762.2502400000001</x:v>
      </x:c>
      <x:c r="AR43" s="141" t="n">
        <x:f>AN43+AO43+AP43</x:f>
        <x:v>2591.2316388396694</x:v>
      </x:c>
      <x:c r="AS43" s="141" t="n">
        <x:f>AQ43</x:f>
        <x:v>762.2502400000001</x:v>
      </x:c>
      <x:c r="AT43" s="141" t="n">
        <x:f>$C43+AS43-AR43</x:f>
        <x:v>5171.018601160331</x:v>
      </x:c>
      <x:c r="AU43" s="141" t="n">
        <x:f>AX42*(1+Premissas!$B$41)+AT43</x:f>
        <x:v>310421.7366033602</x:v>
      </x:c>
      <x:c r="AV43" s="141" t="n">
        <x:f>MAX(0,-AU43)</x:f>
        <x:v>0</x:v>
      </x:c>
      <x:c r="AW43" s="141" t="n">
        <x:f>AW42*(1+Premissas!$B$41)+AV43</x:f>
        <x:v>0</x:v>
      </x:c>
      <x:c r="AX43" s="141" t="n">
        <x:f>MAX(0,AU43)</x:f>
        <x:v>310421.7366033602</x:v>
      </x:c>
      <x:c r="AY43" s="141" t="n">
        <x:f>INDEX('Consorcio IQ'!$P$6:$P$485,$A43)</x:f>
        <x:v>232630.01765972143</x:v>
      </x:c>
      <x:c r="AZ43" s="141" t="n">
        <x:f>IF($A43&gt;=Premissas!$B$48,$F43,0)+IF($A43&lt;Premissas!$B$27,INDEX('Consorcio IQ'!$O$6:$O$485,$A43),0)</x:f>
        <x:v>352999.0600455842</x:v>
      </x:c>
      <x:c r="BA43" s="141" t="n">
        <x:f>AX43+AZ43-AY43</x:f>
        <x:v>430790.77898922306</x:v>
      </x:c>
      <x:c r="BB43" s="141" t="n">
        <x:f>IF(AW43&gt;1,"Inviavel",BA43)</x:f>
        <x:v>430790.77898922306</x:v>
      </x:c>
      <x:c r="BC43" s="141" t="str">
        <x:f>IF(AW43&gt;1,"Inviavel","OK")</x:f>
        <x:v>OK</x:v>
      </x:c>
      <x:c r="BD43" s="141" t="n">
        <x:f>IF($A43='Consorcio Direto'!$B$29,'Consorcio Direto'!$B$44,0)</x:f>
        <x:v>0</x:v>
      </x:c>
      <x:c r="BE43" s="141" t="n">
        <x:f>IF($A43&lt;='Consorcio Direto'!$B$27,INDEX('Consorcio Direto'!$E$55:$E$534,$A43),0)</x:f>
        <x:v>1759.3947642826768</x:v>
      </x:c>
      <x:c r="BF43" s="141" t="n">
        <x:f>IF(AND(TRUE,Premissas!$B$11="Imovel",Premissas!$B$47="Moradia",$A43&lt;MAX('Consorcio Direto'!$B$29,Premissas!$B$49)),$D43,0)</x:f>
        <x:v>0</x:v>
      </x:c>
      <x:c r="BG43" s="141" t="n">
        <x:f>IF(AND(TRUE,Premissas!$B$11="Imovel",Premissas!$B$47="Investimento",$A43&gt;=MAX('Consorcio Direto'!$B$29,Premissas!$B$49)),$E43,0)</x:f>
        <x:v>0</x:v>
      </x:c>
      <x:c r="BH43" s="141" t="n">
        <x:f>BD43+BE43+BF43</x:f>
        <x:v>1759.3947642826768</x:v>
      </x:c>
      <x:c r="BI43" s="141" t="n">
        <x:f>BG43</x:f>
        <x:v>0</x:v>
      </x:c>
      <x:c r="BJ43" s="141" t="n">
        <x:f>$C43+BI43-BH43</x:f>
        <x:v>5240.605235717323</x:v>
      </x:c>
      <x:c r="BK43" s="141" t="n">
        <x:f>BN42*(1+Premissas!$B$41)+BJ43</x:f>
        <x:v>383512.8418737435</x:v>
      </x:c>
      <x:c r="BL43" s="141" t="n">
        <x:f>MAX(0,-BK43)</x:f>
        <x:v>0</x:v>
      </x:c>
      <x:c r="BM43" s="141" t="n">
        <x:f>BM42*(1+Premissas!$B$41)+BL43</x:f>
        <x:v>0</x:v>
      </x:c>
      <x:c r="BN43" s="141" t="n">
        <x:f>MAX(0,BK43)</x:f>
        <x:v>383512.8418737435</x:v>
      </x:c>
      <x:c r="BO43" s="141" t="n">
        <x:f>INDEX('Consorcio Direto'!$K$55:$K$534,$A43)</x:f>
        <x:v>226548.06898729285</x:v>
      </x:c>
      <x:c r="BP43" s="141" t="n">
        <x:f>IF($A43&lt;'Consorcio Direto'!$B$29,INDEX('Consorcio Direto'!$L$55:$L$534,$A43),$F43)</x:f>
        <x:v>218433.35695900806</x:v>
      </x:c>
      <x:c r="BQ43" s="141" t="n">
        <x:f>BN43+BP43-BO43</x:f>
        <x:v>375398.1298454588</x:v>
      </x:c>
      <x:c r="BR43" s="141" t="n">
        <x:f>IF(BM43&gt;1,"Inviavel",BQ43)</x:f>
        <x:v>375398.1298454588</x:v>
      </x:c>
      <x:c r="BS43" s="141" t="str">
        <x:f>IF(BM43&gt;1,"Inviavel","OK")</x:f>
        <x:v>OK</x:v>
      </x:c>
      <x:c r="BT43" s="141" t="n">
        <x:f>IF(AND('Carta Contemplada'!$B$22="Sim",$A43='Carta Contemplada'!$B$23),'Carta Contemplada'!$B$37,0)</x:f>
        <x:v>0</x:v>
      </x:c>
      <x:c r="BU43" s="141" t="n">
        <x:f>IF('Carta Contemplada'!$B$22="Sim",INDEX('Carta Contemplada'!$C$55:$C$1013,$A43),0)</x:f>
        <x:v>1429.2192</x:v>
      </x:c>
      <x:c r="BV43" s="141" t="n">
        <x:f>IF(AND('Carta Contemplada'!$B$22="Sim",Premissas!$B$11="Imovel",Premissas!$B$47="Moradia",$A43&lt;MAX('Carta Contemplada'!$B$44,Premissas!$B$49)),$D43,0)</x:f>
        <x:v>0</x:v>
      </x:c>
      <x:c r="BW43" s="141" t="n">
        <x:f>IF(AND('Carta Contemplada'!$B$22="Sim",Premissas!$B$11="Imovel",Premissas!$B$47="Investimento",$A43&gt;=MAX('Carta Contemplada'!$B$44,Premissas!$B$49)),$E43,0)</x:f>
        <x:v>762.2502400000001</x:v>
      </x:c>
      <x:c r="BX43" s="141" t="n">
        <x:f>BT43+BU43+BV43</x:f>
        <x:v>1429.2192</x:v>
      </x:c>
      <x:c r="BY43" s="141" t="n">
        <x:f>BW43</x:f>
        <x:v>762.2502400000001</x:v>
      </x:c>
      <x:c r="BZ43" s="141" t="n">
        <x:f>$C43+BY43-BX43</x:f>
        <x:v>6333.03104</x:v>
      </x:c>
      <x:c r="CA43" s="141" t="n">
        <x:f>CD42*(1+Premissas!$B$41)+BZ43</x:f>
        <x:v>362074.1153040028</x:v>
      </x:c>
      <x:c r="CB43" s="141" t="n">
        <x:f>MAX(0,-CA43)</x:f>
        <x:v>0</x:v>
      </x:c>
      <x:c r="CC43" s="141" t="n">
        <x:f>CC42*(1+Premissas!$B$41)+CB43</x:f>
        <x:v>0</x:v>
      </x:c>
      <x:c r="CD43" s="141" t="n">
        <x:f>MAX(0,CA43)</x:f>
        <x:v>362074.1153040028</x:v>
      </x:c>
      <x:c r="CE43" s="141" t="n">
        <x:f>IF(AND('Carta Contemplada'!$B$22="Sim",$A43&gt;='Carta Contemplada'!$B$23),INDEX('Carta Contemplada'!$I$55:$I$1013,$A43),0)</x:f>
        <x:v>145514.43012790327</x:v>
      </x:c>
      <x:c r="CF43" s="141" t="n">
        <x:f>IF(AND('Carta Contemplada'!$B$22="Sim",$A43&gt;='Carta Contemplada'!$B$44),$F43,0)</x:f>
        <x:v>240527.776001625</x:v>
      </x:c>
      <x:c r="CG43" s="141" t="n">
        <x:f>CD43+CF43-CE43</x:f>
        <x:v>457087.46117772453</x:v>
      </x:c>
      <x:c r="CH43" s="141" t="n">
        <x:f>IF(CC43&gt;1,"Inviavel",CG43)</x:f>
        <x:v>457087.46117772453</x:v>
      </x:c>
      <x:c r="CI43" s="145" t="str">
        <x:f>IF(CC43&gt;1,"Inviavel","OK")</x:f>
        <x:v>OK</x:v>
      </x:c>
    </x:row>
    <x:row r="44">
      <x:c r="A44" s="142" t="n">
        <x:v>40</x:v>
      </x:c>
      <x:c r="B44" s="179" t="n">
        <x:f>EDATE(Premissas!$B$4,A44-1)</x:f>
        <x:v>47727</x:v>
      </x:c>
      <x:c r="C44" s="141" t="n">
        <x:f>IF(A44&lt;=Premissas!$B$39,Premissas!$B$42,0)</x:f>
        <x:v>7000</x:v>
      </x:c>
      <x:c r="D44" s="141" t="n">
        <x:f>Premissas!$B$54*(1+Premissas!$B$57)^INT((A44-1)/12)</x:f>
        <x:v>833.7112000000001</x:v>
      </x:c>
      <x:c r="E44" s="141" t="n">
        <x:f>Premissas!$B$64*(1+Premissas!$B$57)^INT((A44-1)/12)</x:f>
        <x:v>762.2502400000001</x:v>
      </x:c>
      <x:c r="F44" s="141" t="n">
        <x:f>MAX(0,Premissas!$B$6*(1+Premissas!$B$66)^((A44-1)/12))</x:f>
        <x:v>241698.5571136824</x:v>
      </x:c>
      <x:c r="G44" s="141" t="n">
        <x:f>G43*(1+Premissas!$B$41)+C44</x:f>
        <x:v>468699.0080763409</x:v>
      </x:c>
      <x:c r="H44" s="141" t="n">
        <x:f>IF($A44=Premissas!$B$48,Premissas!$B$8,0)</x:f>
        <x:v>0</x:v>
      </x:c>
      <x:c r="I44" s="141" t="n">
        <x:f>IF(AND($A44&gt;=Premissas!$B$48,$A44-Premissas!$B$48+1&lt;=Premissas!$B$13),INDEX(Financiamento!$J$6:$J$485,$A44-Premissas!$B$48+1),0)</x:f>
        <x:v>1908.1828983147232</x:v>
      </x:c>
      <x:c r="J44" s="141" t="n">
        <x:f>IF(AND(TRUE,Premissas!$B$11="Imovel",Premissas!$B$47="Moradia",$A44&lt;MAX(Premissas!$B$48,Premissas!$B$49)),$D44,0)</x:f>
        <x:v>0</x:v>
      </x:c>
      <x:c r="K44" s="141" t="n">
        <x:f>IF(AND(TRUE,Premissas!$B$11="Imovel",Premissas!$B$47="Investimento",$A44&gt;=MAX(Premissas!$B$48,Premissas!$B$49)),$E44,0)</x:f>
        <x:v>762.2502400000001</x:v>
      </x:c>
      <x:c r="L44" s="141" t="n">
        <x:f>H44+I44+J44</x:f>
        <x:v>1908.1828983147232</x:v>
      </x:c>
      <x:c r="M44" s="141" t="n">
        <x:f>K44</x:f>
        <x:v>762.2502400000001</x:v>
      </x:c>
      <x:c r="N44" s="141" t="n">
        <x:f>$C44+M44-L44</x:f>
        <x:v>5854.067341685277</x:v>
      </x:c>
      <x:c r="O44" s="141" t="n">
        <x:f>R43*(1+Premissas!$B$41)+N44</x:f>
        <x:v>348009.5417086655</x:v>
      </x:c>
      <x:c r="P44" s="141" t="n">
        <x:f>MAX(0,-O44)</x:f>
        <x:v>0</x:v>
      </x:c>
      <x:c r="Q44" s="141" t="n">
        <x:f>Q43*(1+Premissas!$B$41)+P44</x:f>
        <x:v>0</x:v>
      </x:c>
      <x:c r="R44" s="141" t="n">
        <x:f>MAX(0,O44)</x:f>
        <x:v>348009.5417086655</x:v>
      </x:c>
      <x:c r="S44" s="141" t="n">
        <x:f>IF(AND($A44&gt;=Premissas!$B$48,$A44-Premissas!$B$48+1&lt;=Premissas!$B$13),INDEX(Financiamento!$M$6:$M$485,$A44-Premissas!$B$48+1),0)</x:f>
        <x:v>144761.90476190503</x:v>
      </x:c>
      <x:c r="T44" s="141" t="n">
        <x:f>IF($A44&gt;=Premissas!$B$48,$F44,0)</x:f>
        <x:v>241698.5571136824</x:v>
      </x:c>
      <x:c r="U44" s="141" t="n">
        <x:f>R44+T44-S44</x:f>
        <x:v>444946.1940604428</x:v>
      </x:c>
      <x:c r="V44" s="141" t="n">
        <x:f>IF(Q44&gt;1,"Inviavel",U44)</x:f>
        <x:v>444946.1940604428</x:v>
      </x:c>
      <x:c r="W44" s="141" t="str">
        <x:f>IF(Q44&gt;1,"Inviavel","OK")</x:f>
        <x:v>OK</x:v>
      </x:c>
      <x:c r="X44" s="141" t="n">
        <x:f>IF($A44=Premissas!$B$48,Premissas!$B$8,0)</x:f>
        <x:v>0</x:v>
      </x:c>
      <x:c r="Y44" s="141" t="n">
        <x:f>IF(AND($A44&gt;=Premissas!$B$48,$A44-Premissas!$B$48+1&lt;=Premissas!$B$13),INDEX(Amortizacao!$K$6:$K$485,$A44-Premissas!$B$48+1),0)</x:f>
        <x:v>0</x:v>
      </x:c>
      <x:c r="Z44" s="141" t="n">
        <x:f>IF(AND(TRUE,Premissas!$B$11="Imovel",Premissas!$B$47="Moradia",$A44&lt;MAX(Premissas!$B$48,Premissas!$B$49)),$D44,0)</x:f>
        <x:v>0</x:v>
      </x:c>
      <x:c r="AA44" s="141" t="n">
        <x:f>IF(AND(TRUE,Premissas!$B$11="Imovel",Premissas!$B$47="Investimento",$A44&gt;=MAX(Premissas!$B$48,Premissas!$B$49)),$E44,0)</x:f>
        <x:v>762.2502400000001</x:v>
      </x:c>
      <x:c r="AB44" s="141" t="n">
        <x:f>X44+Y44+Z44</x:f>
        <x:v>0</x:v>
      </x:c>
      <x:c r="AC44" s="141" t="n">
        <x:f>AA44</x:f>
        <x:v>762.2502400000001</x:v>
      </x:c>
      <x:c r="AD44" s="141" t="n">
        <x:f>$C44+AC44-AB44</x:f>
        <x:v>7762.25024</x:v>
      </x:c>
      <x:c r="AE44" s="141" t="n">
        <x:f>AH43*(1+Premissas!$B$41)+AD44</x:f>
        <x:v>205312.6116330138</x:v>
      </x:c>
      <x:c r="AF44" s="141" t="n">
        <x:f>MAX(0,-AE44)</x:f>
        <x:v>0</x:v>
      </x:c>
      <x:c r="AG44" s="141" t="n">
        <x:f>AG43*(1+Premissas!$B$41)+AF44</x:f>
        <x:v>0</x:v>
      </x:c>
      <x:c r="AH44" s="141" t="n">
        <x:f>MAX(0,AE44)</x:f>
        <x:v>205312.6116330138</x:v>
      </x:c>
      <x:c r="AI44" s="141" t="n">
        <x:f>IF(AND($A44&gt;=Premissas!$B$48,$A44-Premissas!$B$48+1&lt;=Premissas!$B$13),INDEX(Amortizacao!$L$6:$L$485,$A44-Premissas!$B$48+1),0)</x:f>
        <x:v>0</x:v>
      </x:c>
      <x:c r="AJ44" s="141" t="n">
        <x:f>IF($A44&gt;=Premissas!$B$48,$F44,0)</x:f>
        <x:v>241698.5571136824</x:v>
      </x:c>
      <x:c r="AK44" s="141" t="n">
        <x:f>AH44+AJ44-AI44</x:f>
        <x:v>447011.1687466962</x:v>
      </x:c>
      <x:c r="AL44" s="141" t="n">
        <x:f>IF(AG44&gt;1,"Inviavel",AK44)</x:f>
        <x:v>447011.1687466962</x:v>
      </x:c>
      <x:c r="AM44" s="141" t="str">
        <x:f>IF(AG44&gt;1,"Inviavel","OK")</x:f>
        <x:v>OK</x:v>
      </x:c>
      <x:c r="AN44" s="141" t="n">
        <x:f>IF($A44=Premissas!$B$48,Premissas!$B$8,0)</x:f>
        <x:v>0</x:v>
      </x:c>
      <x:c r="AO44" s="141" t="n">
        <x:f>IF($A44&lt;=Premissas!$B$25,INDEX('Consorcio IQ'!$K$6:$K$485,$A44),0)</x:f>
        <x:v>2587.6168605788753</x:v>
      </x:c>
      <x:c r="AP44" s="141" t="n">
        <x:f>IF(AND(TRUE,Premissas!$B$11="Imovel",Premissas!$B$47="Moradia",$A44&lt;MAX(Premissas!$B$48,Premissas!$B$49)),$D44,0)</x:f>
        <x:v>0</x:v>
      </x:c>
      <x:c r="AQ44" s="141" t="n">
        <x:f>IF(AND(TRUE,Premissas!$B$11="Imovel",Premissas!$B$47="Investimento",$A44&gt;=MAX(Premissas!$B$48,Premissas!$B$49)),$E44,0)</x:f>
        <x:v>762.2502400000001</x:v>
      </x:c>
      <x:c r="AR44" s="141" t="n">
        <x:f>AN44+AO44+AP44</x:f>
        <x:v>2587.6168605788753</x:v>
      </x:c>
      <x:c r="AS44" s="141" t="n">
        <x:f>AQ44</x:f>
        <x:v>762.2502400000001</x:v>
      </x:c>
      <x:c r="AT44" s="141" t="n">
        <x:f>$C44+AS44-AR44</x:f>
        <x:v>5174.633379421125</x:v>
      </x:c>
      <x:c r="AU44" s="141" t="n">
        <x:f>AX43*(1+Premissas!$B$41)+AT44</x:f>
        <x:v>318541.8975638043</x:v>
      </x:c>
      <x:c r="AV44" s="141" t="n">
        <x:f>MAX(0,-AU44)</x:f>
        <x:v>0</x:v>
      </x:c>
      <x:c r="AW44" s="141" t="n">
        <x:f>AW43*(1+Premissas!$B$41)+AV44</x:f>
        <x:v>0</x:v>
      </x:c>
      <x:c r="AX44" s="141" t="n">
        <x:f>MAX(0,AU44)</x:f>
        <x:v>318541.8975638043</x:v>
      </x:c>
      <x:c r="AY44" s="141" t="n">
        <x:f>INDEX('Consorcio IQ'!$P$6:$P$485,$A44)</x:f>
        <x:v>232399.77886708407</x:v>
      </x:c>
      <x:c r="AZ44" s="141" t="n">
        <x:f>IF($A44&gt;=Premissas!$B$48,$F44,0)+IF($A44&lt;Premissas!$B$27,INDEX('Consorcio IQ'!$O$6:$O$485,$A44),0)</x:f>
        <x:v>355237.0578830214</x:v>
      </x:c>
      <x:c r="BA44" s="141" t="n">
        <x:f>AX44+AZ44-AY44</x:f>
        <x:v>441379.17657974164</x:v>
      </x:c>
      <x:c r="BB44" s="141" t="n">
        <x:f>IF(AW44&gt;1,"Inviavel",BA44)</x:f>
        <x:v>441379.17657974164</x:v>
      </x:c>
      <x:c r="BC44" s="141" t="str">
        <x:f>IF(AW44&gt;1,"Inviavel","OK")</x:f>
        <x:v>OK</x:v>
      </x:c>
      <x:c r="BD44" s="141" t="n">
        <x:f>IF($A44='Consorcio Direto'!$B$29,'Consorcio Direto'!$B$44,0)</x:f>
        <x:v>0</x:v>
      </x:c>
      <x:c r="BE44" s="141" t="n">
        <x:f>IF($A44&lt;='Consorcio Direto'!$B$27,INDEX('Consorcio Direto'!$E$55:$E$534,$A44),0)</x:f>
        <x:v>1759.3947642826768</x:v>
      </x:c>
      <x:c r="BF44" s="141" t="n">
        <x:f>IF(AND(TRUE,Premissas!$B$11="Imovel",Premissas!$B$47="Moradia",$A44&lt;MAX('Consorcio Direto'!$B$29,Premissas!$B$49)),$D44,0)</x:f>
        <x:v>0</x:v>
      </x:c>
      <x:c r="BG44" s="141" t="n">
        <x:f>IF(AND(TRUE,Premissas!$B$11="Imovel",Premissas!$B$47="Investimento",$A44&gt;=MAX('Consorcio Direto'!$B$29,Premissas!$B$49)),$E44,0)</x:f>
        <x:v>0</x:v>
      </x:c>
      <x:c r="BH44" s="141" t="n">
        <x:f>BD44+BE44+BF44</x:f>
        <x:v>1759.3947642826768</x:v>
      </x:c>
      <x:c r="BI44" s="141" t="n">
        <x:f>BG44</x:f>
        <x:v>0</x:v>
      </x:c>
      <x:c r="BJ44" s="141" t="n">
        <x:f>$C44+BI44-BH44</x:f>
        <x:v>5240.605235717323</x:v>
      </x:c>
      <x:c r="BK44" s="141" t="n">
        <x:f>BN43*(1+Premissas!$B$41)+BJ44</x:f>
        <x:v>392392.52105375426</x:v>
      </x:c>
      <x:c r="BL44" s="141" t="n">
        <x:f>MAX(0,-BK44)</x:f>
        <x:v>0</x:v>
      </x:c>
      <x:c r="BM44" s="141" t="n">
        <x:f>BM43*(1+Premissas!$B$41)+BL44</x:f>
        <x:v>0</x:v>
      </x:c>
      <x:c r="BN44" s="141" t="n">
        <x:f>MAX(0,BK44)</x:f>
        <x:v>392392.52105375426</x:v>
      </x:c>
      <x:c r="BO44" s="141" t="n">
        <x:f>INDEX('Consorcio Direto'!$K$55:$K$534,$A44)</x:f>
        <x:v>226938.34193936022</x:v>
      </x:c>
      <x:c r="BP44" s="141" t="n">
        <x:f>IF($A44&lt;'Consorcio Direto'!$B$29,INDEX('Consorcio Direto'!$L$55:$L$534,$A44),$F44)</x:f>
        <x:v>220506.02585319796</x:v>
      </x:c>
      <x:c r="BQ44" s="141" t="n">
        <x:f>BN44+BP44-BO44</x:f>
        <x:v>385960.204967592</x:v>
      </x:c>
      <x:c r="BR44" s="141" t="n">
        <x:f>IF(BM44&gt;1,"Inviavel",BQ44)</x:f>
        <x:v>385960.204967592</x:v>
      </x:c>
      <x:c r="BS44" s="141" t="str">
        <x:f>IF(BM44&gt;1,"Inviavel","OK")</x:f>
        <x:v>OK</x:v>
      </x:c>
      <x:c r="BT44" s="141" t="n">
        <x:f>IF(AND('Carta Contemplada'!$B$22="Sim",$A44='Carta Contemplada'!$B$23),'Carta Contemplada'!$B$37,0)</x:f>
        <x:v>0</x:v>
      </x:c>
      <x:c r="BU44" s="141" t="n">
        <x:f>IF('Carta Contemplada'!$B$22="Sim",INDEX('Carta Contemplada'!$C$55:$C$1013,$A44),0)</x:f>
        <x:v>1429.2192</x:v>
      </x:c>
      <x:c r="BV44" s="141" t="n">
        <x:f>IF(AND('Carta Contemplada'!$B$22="Sim",Premissas!$B$11="Imovel",Premissas!$B$47="Moradia",$A44&lt;MAX('Carta Contemplada'!$B$44,Premissas!$B$49)),$D44,0)</x:f>
        <x:v>0</x:v>
      </x:c>
      <x:c r="BW44" s="141" t="n">
        <x:f>IF(AND('Carta Contemplada'!$B$22="Sim",Premissas!$B$11="Imovel",Premissas!$B$47="Investimento",$A44&gt;=MAX('Carta Contemplada'!$B$44,Premissas!$B$49)),$E44,0)</x:f>
        <x:v>762.2502400000001</x:v>
      </x:c>
      <x:c r="BX44" s="141" t="n">
        <x:f>BT44+BU44+BV44</x:f>
        <x:v>1429.2192</x:v>
      </x:c>
      <x:c r="BY44" s="141" t="n">
        <x:f>BW44</x:f>
        <x:v>762.2502400000001</x:v>
      </x:c>
      <x:c r="BZ44" s="141" t="n">
        <x:f>$C44+BY44-BX44</x:f>
        <x:v>6333.03104</x:v>
      </x:c>
      <x:c r="CA44" s="141" t="n">
        <x:f>CD43*(1+Premissas!$B$41)+BZ44</x:f>
        <x:v>371842.7926510948</x:v>
      </x:c>
      <x:c r="CB44" s="141" t="n">
        <x:f>MAX(0,-CA44)</x:f>
        <x:v>0</x:v>
      </x:c>
      <x:c r="CC44" s="141" t="n">
        <x:f>CC43*(1+Premissas!$B$41)+CB44</x:f>
        <x:v>0</x:v>
      </x:c>
      <x:c r="CD44" s="141" t="n">
        <x:f>MAX(0,CA44)</x:f>
        <x:v>371842.7926510948</x:v>
      </x:c>
      <x:c r="CE44" s="141" t="n">
        <x:f>IF(AND('Carta Contemplada'!$B$22="Sim",$A44&gt;='Carta Contemplada'!$B$23),INDEX('Carta Contemplada'!$I$55:$I$1013,$A44),0)</x:f>
        <x:v>145465.9672243808</x:v>
      </x:c>
      <x:c r="CF44" s="141" t="n">
        <x:f>IF(AND('Carta Contemplada'!$B$22="Sim",$A44&gt;='Carta Contemplada'!$B$44),$F44,0)</x:f>
        <x:v>241698.5571136824</x:v>
      </x:c>
      <x:c r="CG44" s="141" t="n">
        <x:f>CD44+CF44-CE44</x:f>
        <x:v>468075.3825403963</x:v>
      </x:c>
      <x:c r="CH44" s="141" t="n">
        <x:f>IF(CC44&gt;1,"Inviavel",CG44)</x:f>
        <x:v>468075.3825403963</x:v>
      </x:c>
      <x:c r="CI44" s="145" t="str">
        <x:f>IF(CC44&gt;1,"Inviavel","OK")</x:f>
        <x:v>OK</x:v>
      </x:c>
    </x:row>
    <x:row r="45">
      <x:c r="A45" s="142" t="n">
        <x:v>41</x:v>
      </x:c>
      <x:c r="B45" s="179" t="n">
        <x:f>EDATE(Premissas!$B$4,A45-1)</x:f>
        <x:v>47757</x:v>
      </x:c>
      <x:c r="C45" s="141" t="n">
        <x:f>IF(A45&lt;=Premissas!$B$39,Premissas!$B$42,0)</x:f>
        <x:v>7000</x:v>
      </x:c>
      <x:c r="D45" s="141" t="n">
        <x:f>Premissas!$B$54*(1+Premissas!$B$57)^INT((A45-1)/12)</x:f>
        <x:v>833.7112000000001</x:v>
      </x:c>
      <x:c r="E45" s="141" t="n">
        <x:f>Premissas!$B$64*(1+Premissas!$B$57)^INT((A45-1)/12)</x:f>
        <x:v>762.2502400000001</x:v>
      </x:c>
      <x:c r="F45" s="141" t="n">
        <x:f>MAX(0,Premissas!$B$6*(1+Premissas!$B$66)^((A45-1)/12))</x:f>
        <x:v>242875.03706200374</x:v>
      </x:c>
      <x:c r="G45" s="141" t="n">
        <x:f>G44*(1+Premissas!$B$41)+C45</x:f>
        <x:v>480146.39591262175</x:v>
      </x:c>
      <x:c r="H45" s="141" t="n">
        <x:f>IF($A45=Premissas!$B$48,Premissas!$B$8,0)</x:f>
        <x:v>0</x:v>
      </x:c>
      <x:c r="I45" s="141" t="n">
        <x:f>IF(AND($A45&gt;=Premissas!$B$48,$A45-Premissas!$B$48+1&lt;=Premissas!$B$13),INDEX(Financiamento!$J$6:$J$485,$A45-Premissas!$B$48+1),0)</x:f>
        <x:v>1904.5681200539298</x:v>
      </x:c>
      <x:c r="J45" s="141" t="n">
        <x:f>IF(AND(TRUE,Premissas!$B$11="Imovel",Premissas!$B$47="Moradia",$A45&lt;MAX(Premissas!$B$48,Premissas!$B$49)),$D45,0)</x:f>
        <x:v>0</x:v>
      </x:c>
      <x:c r="K45" s="141" t="n">
        <x:f>IF(AND(TRUE,Premissas!$B$11="Imovel",Premissas!$B$47="Investimento",$A45&gt;=MAX(Premissas!$B$48,Premissas!$B$49)),$E45,0)</x:f>
        <x:v>762.2502400000001</x:v>
      </x:c>
      <x:c r="L45" s="141" t="n">
        <x:f>H45+I45+J45</x:f>
        <x:v>1904.5681200539298</x:v>
      </x:c>
      <x:c r="M45" s="141" t="n">
        <x:f>K45</x:f>
        <x:v>762.2502400000001</x:v>
      </x:c>
      <x:c r="N45" s="141" t="n">
        <x:f>$C45+M45-L45</x:f>
        <x:v>5857.68211994607</x:v>
      </x:c>
      <x:c r="O45" s="141" t="n">
        <x:f>R44*(1+Premissas!$B$41)+N45</x:f>
        <x:v>357169.4143091442</x:v>
      </x:c>
      <x:c r="P45" s="141" t="n">
        <x:f>MAX(0,-O45)</x:f>
        <x:v>0</x:v>
      </x:c>
      <x:c r="Q45" s="141" t="n">
        <x:f>Q44*(1+Premissas!$B$41)+P45</x:f>
        <x:v>0</x:v>
      </x:c>
      <x:c r="R45" s="141" t="n">
        <x:f>MAX(0,O45)</x:f>
        <x:v>357169.4143091442</x:v>
      </x:c>
      <x:c r="S45" s="141" t="n">
        <x:f>IF(AND($A45&gt;=Premissas!$B$48,$A45-Premissas!$B$48+1&lt;=Premissas!$B$13),INDEX(Financiamento!$M$6:$M$485,$A45-Premissas!$B$48+1),0)</x:f>
        <x:v>144380.95238095266</x:v>
      </x:c>
      <x:c r="T45" s="141" t="n">
        <x:f>IF($A45&gt;=Premissas!$B$48,$F45,0)</x:f>
        <x:v>242875.03706200374</x:v>
      </x:c>
      <x:c r="U45" s="141" t="n">
        <x:f>R45+T45-S45</x:f>
        <x:v>455663.49899019534</x:v>
      </x:c>
      <x:c r="V45" s="141" t="n">
        <x:f>IF(Q45&gt;1,"Inviavel",U45)</x:f>
        <x:v>455663.49899019534</x:v>
      </x:c>
      <x:c r="W45" s="141" t="str">
        <x:f>IF(Q45&gt;1,"Inviavel","OK")</x:f>
        <x:v>OK</x:v>
      </x:c>
      <x:c r="X45" s="141" t="n">
        <x:f>IF($A45=Premissas!$B$48,Premissas!$B$8,0)</x:f>
        <x:v>0</x:v>
      </x:c>
      <x:c r="Y45" s="141" t="n">
        <x:f>IF(AND($A45&gt;=Premissas!$B$48,$A45-Premissas!$B$48+1&lt;=Premissas!$B$13),INDEX(Amortizacao!$K$6:$K$485,$A45-Premissas!$B$48+1),0)</x:f>
        <x:v>0</x:v>
      </x:c>
      <x:c r="Z45" s="141" t="n">
        <x:f>IF(AND(TRUE,Premissas!$B$11="Imovel",Premissas!$B$47="Moradia",$A45&lt;MAX(Premissas!$B$48,Premissas!$B$49)),$D45,0)</x:f>
        <x:v>0</x:v>
      </x:c>
      <x:c r="AA45" s="141" t="n">
        <x:f>IF(AND(TRUE,Premissas!$B$11="Imovel",Premissas!$B$47="Investimento",$A45&gt;=MAX(Premissas!$B$48,Premissas!$B$49)),$E45,0)</x:f>
        <x:v>762.2502400000001</x:v>
      </x:c>
      <x:c r="AB45" s="141" t="n">
        <x:f>X45+Y45+Z45</x:f>
        <x:v>0</x:v>
      </x:c>
      <x:c r="AC45" s="141" t="n">
        <x:f>AA45</x:f>
        <x:v>762.2502400000001</x:v>
      </x:c>
      <x:c r="AD45" s="141" t="n">
        <x:f>$C45+AC45-AB45</x:f>
        <x:v>7762.25024</x:v>
      </x:c>
      <x:c r="AE45" s="141" t="n">
        <x:f>AH44*(1+Premissas!$B$41)+AD45</x:f>
        <x:v>215023.03073165793</x:v>
      </x:c>
      <x:c r="AF45" s="141" t="n">
        <x:f>MAX(0,-AE45)</x:f>
        <x:v>0</x:v>
      </x:c>
      <x:c r="AG45" s="141" t="n">
        <x:f>AG44*(1+Premissas!$B$41)+AF45</x:f>
        <x:v>0</x:v>
      </x:c>
      <x:c r="AH45" s="141" t="n">
        <x:f>MAX(0,AE45)</x:f>
        <x:v>215023.03073165793</x:v>
      </x:c>
      <x:c r="AI45" s="141" t="n">
        <x:f>IF(AND($A45&gt;=Premissas!$B$48,$A45-Premissas!$B$48+1&lt;=Premissas!$B$13),INDEX(Amortizacao!$L$6:$L$485,$A45-Premissas!$B$48+1),0)</x:f>
        <x:v>0</x:v>
      </x:c>
      <x:c r="AJ45" s="141" t="n">
        <x:f>IF($A45&gt;=Premissas!$B$48,$F45,0)</x:f>
        <x:v>242875.03706200374</x:v>
      </x:c>
      <x:c r="AK45" s="141" t="n">
        <x:f>AH45+AJ45-AI45</x:f>
        <x:v>457898.06779366167</x:v>
      </x:c>
      <x:c r="AL45" s="141" t="n">
        <x:f>IF(AG45&gt;1,"Inviavel",AK45)</x:f>
        <x:v>457898.06779366167</x:v>
      </x:c>
      <x:c r="AM45" s="141" t="str">
        <x:f>IF(AG45&gt;1,"Inviavel","OK")</x:f>
        <x:v>OK</x:v>
      </x:c>
      <x:c r="AN45" s="141" t="n">
        <x:f>IF($A45=Premissas!$B$48,Premissas!$B$8,0)</x:f>
        <x:v>0</x:v>
      </x:c>
      <x:c r="AO45" s="141" t="n">
        <x:f>IF($A45&lt;=Premissas!$B$25,INDEX('Consorcio IQ'!$K$6:$K$485,$A45),0)</x:f>
        <x:v>2584.002082318082</x:v>
      </x:c>
      <x:c r="AP45" s="141" t="n">
        <x:f>IF(AND(TRUE,Premissas!$B$11="Imovel",Premissas!$B$47="Moradia",$A45&lt;MAX(Premissas!$B$48,Premissas!$B$49)),$D45,0)</x:f>
        <x:v>0</x:v>
      </x:c>
      <x:c r="AQ45" s="141" t="n">
        <x:f>IF(AND(TRUE,Premissas!$B$11="Imovel",Premissas!$B$47="Investimento",$A45&gt;=MAX(Premissas!$B$48,Premissas!$B$49)),$E45,0)</x:f>
        <x:v>762.2502400000001</x:v>
      </x:c>
      <x:c r="AR45" s="141" t="n">
        <x:f>AN45+AO45+AP45</x:f>
        <x:v>2584.002082318082</x:v>
      </x:c>
      <x:c r="AS45" s="141" t="n">
        <x:f>AQ45</x:f>
        <x:v>762.2502400000001</x:v>
      </x:c>
      <x:c r="AT45" s="141" t="n">
        <x:f>$C45+AS45-AR45</x:f>
        <x:v>5178.248157681918</x:v>
      </x:c>
      <x:c r="AU45" s="141" t="n">
        <x:f>AX44*(1+Premissas!$B$41)+AT45</x:f>
        <x:v>326742.7238284583</x:v>
      </x:c>
      <x:c r="AV45" s="141" t="n">
        <x:f>MAX(0,-AU45)</x:f>
        <x:v>0</x:v>
      </x:c>
      <x:c r="AW45" s="141" t="n">
        <x:f>AW44*(1+Premissas!$B$41)+AV45</x:f>
        <x:v>0</x:v>
      </x:c>
      <x:c r="AX45" s="141" t="n">
        <x:f>MAX(0,AU45)</x:f>
        <x:v>326742.7238284583</x:v>
      </x:c>
      <x:c r="AY45" s="141" t="n">
        <x:f>INDEX('Consorcio IQ'!$P$6:$P$485,$A45)</x:f>
        <x:v>232170.97016447864</x:v>
      </x:c>
      <x:c r="AZ45" s="141" t="n">
        <x:f>IF($A45&gt;=Premissas!$B$48,$F45,0)+IF($A45&lt;Premissas!$B$27,INDEX('Consorcio IQ'!$O$6:$O$485,$A45),0)</x:f>
        <x:v>357490.88115524605</x:v>
      </x:c>
      <x:c r="BA45" s="141" t="n">
        <x:f>AX45+AZ45-AY45</x:f>
        <x:v>452062.63481922576</x:v>
      </x:c>
      <x:c r="BB45" s="141" t="n">
        <x:f>IF(AW45&gt;1,"Inviavel",BA45)</x:f>
        <x:v>452062.63481922576</x:v>
      </x:c>
      <x:c r="BC45" s="141" t="str">
        <x:f>IF(AW45&gt;1,"Inviavel","OK")</x:f>
        <x:v>OK</x:v>
      </x:c>
      <x:c r="BD45" s="141" t="n">
        <x:f>IF($A45='Consorcio Direto'!$B$29,'Consorcio Direto'!$B$44,0)</x:f>
        <x:v>0</x:v>
      </x:c>
      <x:c r="BE45" s="141" t="n">
        <x:f>IF($A45&lt;='Consorcio Direto'!$B$27,INDEX('Consorcio Direto'!$E$55:$E$534,$A45),0)</x:f>
        <x:v>1759.3947642826768</x:v>
      </x:c>
      <x:c r="BF45" s="141" t="n">
        <x:f>IF(AND(TRUE,Premissas!$B$11="Imovel",Premissas!$B$47="Moradia",$A45&lt;MAX('Consorcio Direto'!$B$29,Premissas!$B$49)),$D45,0)</x:f>
        <x:v>0</x:v>
      </x:c>
      <x:c r="BG45" s="141" t="n">
        <x:f>IF(AND(TRUE,Premissas!$B$11="Imovel",Premissas!$B$47="Investimento",$A45&gt;=MAX('Consorcio Direto'!$B$29,Premissas!$B$49)),$E45,0)</x:f>
        <x:v>0</x:v>
      </x:c>
      <x:c r="BH45" s="141" t="n">
        <x:f>BD45+BE45+BF45</x:f>
        <x:v>1759.3947642826768</x:v>
      </x:c>
      <x:c r="BI45" s="141" t="n">
        <x:f>BG45</x:f>
        <x:v>0</x:v>
      </x:c>
      <x:c r="BJ45" s="141" t="n">
        <x:f>$C45+BI45-BH45</x:f>
        <x:v>5240.605235717323</x:v>
      </x:c>
      <x:c r="BK45" s="141" t="n">
        <x:f>BN44*(1+Premissas!$B$41)+BJ45</x:f>
        <x:v>401356.45767082967</x:v>
      </x:c>
      <x:c r="BL45" s="141" t="n">
        <x:f>MAX(0,-BK45)</x:f>
        <x:v>0</x:v>
      </x:c>
      <x:c r="BM45" s="141" t="n">
        <x:f>BM44*(1+Premissas!$B$41)+BL45</x:f>
        <x:v>0</x:v>
      </x:c>
      <x:c r="BN45" s="141" t="n">
        <x:f>MAX(0,BK45)</x:f>
        <x:v>401356.45767082967</x:v>
      </x:c>
      <x:c r="BO45" s="141" t="n">
        <x:f>INDEX('Consorcio Direto'!$K$55:$K$534,$A45)</x:f>
        <x:v>227332.31811065774</x:v>
      </x:c>
      <x:c r="BP45" s="141" t="n">
        <x:f>IF($A45&lt;'Consorcio Direto'!$B$29,INDEX('Consorcio Direto'!$L$55:$L$534,$A45),$F45)</x:f>
        <x:v>222598.36187334676</x:v>
      </x:c>
      <x:c r="BQ45" s="141" t="n">
        <x:f>BN45+BP45-BO45</x:f>
        <x:v>396622.5014335187</x:v>
      </x:c>
      <x:c r="BR45" s="141" t="n">
        <x:f>IF(BM45&gt;1,"Inviavel",BQ45)</x:f>
        <x:v>396622.5014335187</x:v>
      </x:c>
      <x:c r="BS45" s="141" t="str">
        <x:f>IF(BM45&gt;1,"Inviavel","OK")</x:f>
        <x:v>OK</x:v>
      </x:c>
      <x:c r="BT45" s="141" t="n">
        <x:f>IF(AND('Carta Contemplada'!$B$22="Sim",$A45='Carta Contemplada'!$B$23),'Carta Contemplada'!$B$37,0)</x:f>
        <x:v>0</x:v>
      </x:c>
      <x:c r="BU45" s="141" t="n">
        <x:f>IF('Carta Contemplada'!$B$22="Sim",INDEX('Carta Contemplada'!$C$55:$C$1013,$A45),0)</x:f>
        <x:v>1429.2192</x:v>
      </x:c>
      <x:c r="BV45" s="141" t="n">
        <x:f>IF(AND('Carta Contemplada'!$B$22="Sim",Premissas!$B$11="Imovel",Premissas!$B$47="Moradia",$A45&lt;MAX('Carta Contemplada'!$B$44,Premissas!$B$49)),$D45,0)</x:f>
        <x:v>0</x:v>
      </x:c>
      <x:c r="BW45" s="141" t="n">
        <x:f>IF(AND('Carta Contemplada'!$B$22="Sim",Premissas!$B$11="Imovel",Premissas!$B$47="Investimento",$A45&gt;=MAX('Carta Contemplada'!$B$44,Premissas!$B$49)),$E45,0)</x:f>
        <x:v>762.2502400000001</x:v>
      </x:c>
      <x:c r="BX45" s="141" t="n">
        <x:f>BT45+BU45+BV45</x:f>
        <x:v>1429.2192</x:v>
      </x:c>
      <x:c r="BY45" s="141" t="n">
        <x:f>BW45</x:f>
        <x:v>762.2502400000001</x:v>
      </x:c>
      <x:c r="BZ45" s="141" t="n">
        <x:f>$C45+BY45-BX45</x:f>
        <x:v>6333.03104</x:v>
      </x:c>
      <x:c r="CA45" s="141" t="n">
        <x:f>CD44*(1+Premissas!$B$41)+BZ45</x:f>
        <x:v>381704.1629547781</x:v>
      </x:c>
      <x:c r="CB45" s="141" t="n">
        <x:f>MAX(0,-CA45)</x:f>
        <x:v>0</x:v>
      </x:c>
      <x:c r="CC45" s="141" t="n">
        <x:f>CC44*(1+Premissas!$B$41)+CB45</x:f>
        <x:v>0</x:v>
      </x:c>
      <x:c r="CD45" s="141" t="n">
        <x:f>MAX(0,CA45)</x:f>
        <x:v>381704.1629547781</x:v>
      </x:c>
      <x:c r="CE45" s="141" t="n">
        <x:f>IF(AND('Carta Contemplada'!$B$22="Sim",$A45&gt;='Carta Contemplada'!$B$23),INDEX('Carta Contemplada'!$I$55:$I$1013,$A45),0)</x:f>
        <x:v>145417.0444664018</x:v>
      </x:c>
      <x:c r="CF45" s="141" t="n">
        <x:f>IF(AND('Carta Contemplada'!$B$22="Sim",$A45&gt;='Carta Contemplada'!$B$44),$F45,0)</x:f>
        <x:v>242875.03706200374</x:v>
      </x:c>
      <x:c r="CG45" s="141" t="n">
        <x:f>CD45+CF45-CE45</x:f>
        <x:v>479162.1555503801</x:v>
      </x:c>
      <x:c r="CH45" s="141" t="n">
        <x:f>IF(CC45&gt;1,"Inviavel",CG45)</x:f>
        <x:v>479162.1555503801</x:v>
      </x:c>
      <x:c r="CI45" s="145" t="str">
        <x:f>IF(CC45&gt;1,"Inviavel","OK")</x:f>
        <x:v>OK</x:v>
      </x:c>
    </x:row>
    <x:row r="46">
      <x:c r="A46" s="142" t="n">
        <x:v>42</x:v>
      </x:c>
      <x:c r="B46" s="179" t="n">
        <x:f>EDATE(Premissas!$B$4,A46-1)</x:f>
        <x:v>47788</x:v>
      </x:c>
      <x:c r="C46" s="141" t="n">
        <x:f>IF(A46&lt;=Premissas!$B$39,Premissas!$B$42,0)</x:f>
        <x:v>7000</x:v>
      </x:c>
      <x:c r="D46" s="141" t="n">
        <x:f>Premissas!$B$54*(1+Premissas!$B$57)^INT((A46-1)/12)</x:f>
        <x:v>833.7112000000001</x:v>
      </x:c>
      <x:c r="E46" s="141" t="n">
        <x:f>Premissas!$B$64*(1+Premissas!$B$57)^INT((A46-1)/12)</x:f>
        <x:v>762.2502400000001</x:v>
      </x:c>
      <x:c r="F46" s="141" t="n">
        <x:f>MAX(0,Premissas!$B$6*(1+Premissas!$B$66)^((A46-1)/12))</x:f>
        <x:v>244057.24358596257</x:v>
      </x:c>
      <x:c r="G46" s="141" t="n">
        <x:f>G45*(1+Premissas!$B$41)+C46</x:f>
        <x:v>491702.40564172296</x:v>
      </x:c>
      <x:c r="H46" s="141" t="n">
        <x:f>IF($A46=Premissas!$B$48,Premissas!$B$8,0)</x:f>
        <x:v>0</x:v>
      </x:c>
      <x:c r="I46" s="141" t="n">
        <x:f>IF(AND($A46&gt;=Premissas!$B$48,$A46-Premissas!$B$48+1&lt;=Premissas!$B$13),INDEX(Financiamento!$J$6:$J$485,$A46-Premissas!$B$48+1),0)</x:f>
        <x:v>1900.9533417931364</x:v>
      </x:c>
      <x:c r="J46" s="141" t="n">
        <x:f>IF(AND(TRUE,Premissas!$B$11="Imovel",Premissas!$B$47="Moradia",$A46&lt;MAX(Premissas!$B$48,Premissas!$B$49)),$D46,0)</x:f>
        <x:v>0</x:v>
      </x:c>
      <x:c r="K46" s="141" t="n">
        <x:f>IF(AND(TRUE,Premissas!$B$11="Imovel",Premissas!$B$47="Investimento",$A46&gt;=MAX(Premissas!$B$48,Premissas!$B$49)),$E46,0)</x:f>
        <x:v>762.2502400000001</x:v>
      </x:c>
      <x:c r="L46" s="141" t="n">
        <x:f>H46+I46+J46</x:f>
        <x:v>1900.9533417931364</x:v>
      </x:c>
      <x:c r="M46" s="141" t="n">
        <x:f>K46</x:f>
        <x:v>762.2502400000001</x:v>
      </x:c>
      <x:c r="N46" s="141" t="n">
        <x:f>$C46+M46-L46</x:f>
        <x:v>5861.296898206864</x:v>
      </x:c>
      <x:c r="O46" s="141" t="n">
        <x:f>R45*(1+Premissas!$B$41)+N46</x:f>
        <x:v>366419.8178222968</x:v>
      </x:c>
      <x:c r="P46" s="141" t="n">
        <x:f>MAX(0,-O46)</x:f>
        <x:v>0</x:v>
      </x:c>
      <x:c r="Q46" s="141" t="n">
        <x:f>Q45*(1+Premissas!$B$41)+P46</x:f>
        <x:v>0</x:v>
      </x:c>
      <x:c r="R46" s="141" t="n">
        <x:f>MAX(0,O46)</x:f>
        <x:v>366419.8178222968</x:v>
      </x:c>
      <x:c r="S46" s="141" t="n">
        <x:f>IF(AND($A46&gt;=Premissas!$B$48,$A46-Premissas!$B$48+1&lt;=Premissas!$B$13),INDEX(Financiamento!$M$6:$M$485,$A46-Premissas!$B$48+1),0)</x:f>
        <x:v>144000.00000000026</x:v>
      </x:c>
      <x:c r="T46" s="141" t="n">
        <x:f>IF($A46&gt;=Premissas!$B$48,$F46,0)</x:f>
        <x:v>244057.24358596257</x:v>
      </x:c>
      <x:c r="U46" s="141" t="n">
        <x:f>R46+T46-S46</x:f>
        <x:v>466477.0614082592</x:v>
      </x:c>
      <x:c r="V46" s="141" t="n">
        <x:f>IF(Q46&gt;1,"Inviavel",U46)</x:f>
        <x:v>466477.0614082592</x:v>
      </x:c>
      <x:c r="W46" s="141" t="str">
        <x:f>IF(Q46&gt;1,"Inviavel","OK")</x:f>
        <x:v>OK</x:v>
      </x:c>
      <x:c r="X46" s="141" t="n">
        <x:f>IF($A46=Premissas!$B$48,Premissas!$B$8,0)</x:f>
        <x:v>0</x:v>
      </x:c>
      <x:c r="Y46" s="141" t="n">
        <x:f>IF(AND($A46&gt;=Premissas!$B$48,$A46-Premissas!$B$48+1&lt;=Premissas!$B$13),INDEX(Amortizacao!$K$6:$K$485,$A46-Premissas!$B$48+1),0)</x:f>
        <x:v>0</x:v>
      </x:c>
      <x:c r="Z46" s="141" t="n">
        <x:f>IF(AND(TRUE,Premissas!$B$11="Imovel",Premissas!$B$47="Moradia",$A46&lt;MAX(Premissas!$B$48,Premissas!$B$49)),$D46,0)</x:f>
        <x:v>0</x:v>
      </x:c>
      <x:c r="AA46" s="141" t="n">
        <x:f>IF(AND(TRUE,Premissas!$B$11="Imovel",Premissas!$B$47="Investimento",$A46&gt;=MAX(Premissas!$B$48,Premissas!$B$49)),$E46,0)</x:f>
        <x:v>762.2502400000001</x:v>
      </x:c>
      <x:c r="AB46" s="141" t="n">
        <x:f>X46+Y46+Z46</x:f>
        <x:v>0</x:v>
      </x:c>
      <x:c r="AC46" s="141" t="n">
        <x:f>AA46</x:f>
        <x:v>762.2502400000001</x:v>
      </x:c>
      <x:c r="AD46" s="141" t="n">
        <x:f>$C46+AC46-AB46</x:f>
        <x:v>7762.25024</x:v>
      </x:c>
      <x:c r="AE46" s="141" t="n">
        <x:f>AH45*(1+Premissas!$B$41)+AD46</x:f>
        <x:v>224825.58998643712</x:v>
      </x:c>
      <x:c r="AF46" s="141" t="n">
        <x:f>MAX(0,-AE46)</x:f>
        <x:v>0</x:v>
      </x:c>
      <x:c r="AG46" s="141" t="n">
        <x:f>AG45*(1+Premissas!$B$41)+AF46</x:f>
        <x:v>0</x:v>
      </x:c>
      <x:c r="AH46" s="141" t="n">
        <x:f>MAX(0,AE46)</x:f>
        <x:v>224825.58998643712</x:v>
      </x:c>
      <x:c r="AI46" s="141" t="n">
        <x:f>IF(AND($A46&gt;=Premissas!$B$48,$A46-Premissas!$B$48+1&lt;=Premissas!$B$13),INDEX(Amortizacao!$L$6:$L$485,$A46-Premissas!$B$48+1),0)</x:f>
        <x:v>0</x:v>
      </x:c>
      <x:c r="AJ46" s="141" t="n">
        <x:f>IF($A46&gt;=Premissas!$B$48,$F46,0)</x:f>
        <x:v>244057.24358596257</x:v>
      </x:c>
      <x:c r="AK46" s="141" t="n">
        <x:f>AH46+AJ46-AI46</x:f>
        <x:v>468882.8335723997</x:v>
      </x:c>
      <x:c r="AL46" s="141" t="n">
        <x:f>IF(AG46&gt;1,"Inviavel",AK46)</x:f>
        <x:v>468882.8335723997</x:v>
      </x:c>
      <x:c r="AM46" s="141" t="str">
        <x:f>IF(AG46&gt;1,"Inviavel","OK")</x:f>
        <x:v>OK</x:v>
      </x:c>
      <x:c r="AN46" s="141" t="n">
        <x:f>IF($A46=Premissas!$B$48,Premissas!$B$8,0)</x:f>
        <x:v>0</x:v>
      </x:c>
      <x:c r="AO46" s="141" t="n">
        <x:f>IF($A46&lt;=Premissas!$B$25,INDEX('Consorcio IQ'!$K$6:$K$485,$A46),0)</x:f>
        <x:v>2580.3873040572885</x:v>
      </x:c>
      <x:c r="AP46" s="141" t="n">
        <x:f>IF(AND(TRUE,Premissas!$B$11="Imovel",Premissas!$B$47="Moradia",$A46&lt;MAX(Premissas!$B$48,Premissas!$B$49)),$D46,0)</x:f>
        <x:v>0</x:v>
      </x:c>
      <x:c r="AQ46" s="141" t="n">
        <x:f>IF(AND(TRUE,Premissas!$B$11="Imovel",Premissas!$B$47="Investimento",$A46&gt;=MAX(Premissas!$B$48,Premissas!$B$49)),$E46,0)</x:f>
        <x:v>762.2502400000001</x:v>
      </x:c>
      <x:c r="AR46" s="141" t="n">
        <x:f>AN46+AO46+AP46</x:f>
        <x:v>2580.3873040572885</x:v>
      </x:c>
      <x:c r="AS46" s="141" t="n">
        <x:f>AQ46</x:f>
        <x:v>762.2502400000001</x:v>
      </x:c>
      <x:c r="AT46" s="141" t="n">
        <x:f>$C46+AS46-AR46</x:f>
        <x:v>5181.862935942712</x:v>
      </x:c>
      <x:c r="AU46" s="141" t="n">
        <x:f>AX45*(1+Premissas!$B$41)+AT46</x:f>
        <x:v>335024.98081369087</x:v>
      </x:c>
      <x:c r="AV46" s="141" t="n">
        <x:f>MAX(0,-AU46)</x:f>
        <x:v>0</x:v>
      </x:c>
      <x:c r="AW46" s="141" t="n">
        <x:f>AW45*(1+Premissas!$B$41)+AV46</x:f>
        <x:v>0</x:v>
      </x:c>
      <x:c r="AX46" s="141" t="n">
        <x:f>MAX(0,AU46)</x:f>
        <x:v>335024.98081369087</x:v>
      </x:c>
      <x:c r="AY46" s="141" t="n">
        <x:f>INDEX('Consorcio IQ'!$P$6:$P$485,$A46)</x:f>
        <x:v>231943.60512173333</x:v>
      </x:c>
      <x:c r="AZ46" s="141" t="n">
        <x:f>IF($A46&gt;=Premissas!$B$48,$F46,0)+IF($A46&lt;Premissas!$B$27,INDEX('Consorcio IQ'!$O$6:$O$485,$A46),0)</x:f>
        <x:v>359760.6536908281</x:v>
      </x:c>
      <x:c r="BA46" s="141" t="n">
        <x:f>AX46+AZ46-AY46</x:f>
        <x:v>462842.0293827856</x:v>
      </x:c>
      <x:c r="BB46" s="141" t="n">
        <x:f>IF(AW46&gt;1,"Inviavel",BA46)</x:f>
        <x:v>462842.0293827856</x:v>
      </x:c>
      <x:c r="BC46" s="141" t="str">
        <x:f>IF(AW46&gt;1,"Inviavel","OK")</x:f>
        <x:v>OK</x:v>
      </x:c>
      <x:c r="BD46" s="141" t="n">
        <x:f>IF($A46='Consorcio Direto'!$B$29,'Consorcio Direto'!$B$44,0)</x:f>
        <x:v>0</x:v>
      </x:c>
      <x:c r="BE46" s="141" t="n">
        <x:f>IF($A46&lt;='Consorcio Direto'!$B$27,INDEX('Consorcio Direto'!$E$55:$E$534,$A46),0)</x:f>
        <x:v>1759.3947642826768</x:v>
      </x:c>
      <x:c r="BF46" s="141" t="n">
        <x:f>IF(AND(TRUE,Premissas!$B$11="Imovel",Premissas!$B$47="Moradia",$A46&lt;MAX('Consorcio Direto'!$B$29,Premissas!$B$49)),$D46,0)</x:f>
        <x:v>0</x:v>
      </x:c>
      <x:c r="BG46" s="141" t="n">
        <x:f>IF(AND(TRUE,Premissas!$B$11="Imovel",Premissas!$B$47="Investimento",$A46&gt;=MAX('Consorcio Direto'!$B$29,Premissas!$B$49)),$E46,0)</x:f>
        <x:v>0</x:v>
      </x:c>
      <x:c r="BH46" s="141" t="n">
        <x:f>BD46+BE46+BF46</x:f>
        <x:v>1759.3947642826768</x:v>
      </x:c>
      <x:c r="BI46" s="141" t="n">
        <x:f>BG46</x:f>
        <x:v>0</x:v>
      </x:c>
      <x:c r="BJ46" s="141" t="n">
        <x:f>$C46+BI46-BH46</x:f>
        <x:v>5240.605235717323</x:v>
      </x:c>
      <x:c r="BK46" s="141" t="n">
        <x:f>BN45*(1+Premissas!$B$41)+BJ46</x:f>
        <x:v>410405.4512263432</x:v>
      </x:c>
      <x:c r="BL46" s="141" t="n">
        <x:f>MAX(0,-BK46)</x:f>
        <x:v>0</x:v>
      </x:c>
      <x:c r="BM46" s="141" t="n">
        <x:f>BM45*(1+Premissas!$B$41)+BL46</x:f>
        <x:v>0</x:v>
      </x:c>
      <x:c r="BN46" s="141" t="n">
        <x:f>MAX(0,BK46)</x:f>
        <x:v>410405.4512263432</x:v>
      </x:c>
      <x:c r="BO46" s="141" t="n">
        <x:f>INDEX('Consorcio Direto'!$K$55:$K$534,$A46)</x:f>
        <x:v>227730.03264026585</x:v>
      </x:c>
      <x:c r="BP46" s="141" t="n">
        <x:f>IF($A46&lt;'Consorcio Direto'!$B$29,INDEX('Consorcio Direto'!$L$55:$L$534,$A46),$F46)</x:f>
        <x:v>224710.55163674033</x:v>
      </x:c>
      <x:c r="BQ46" s="141" t="n">
        <x:f>BN46+BP46-BO46</x:f>
        <x:v>407385.9702228176</x:v>
      </x:c>
      <x:c r="BR46" s="141" t="n">
        <x:f>IF(BM46&gt;1,"Inviavel",BQ46)</x:f>
        <x:v>407385.9702228176</x:v>
      </x:c>
      <x:c r="BS46" s="141" t="str">
        <x:f>IF(BM46&gt;1,"Inviavel","OK")</x:f>
        <x:v>OK</x:v>
      </x:c>
      <x:c r="BT46" s="141" t="n">
        <x:f>IF(AND('Carta Contemplada'!$B$22="Sim",$A46='Carta Contemplada'!$B$23),'Carta Contemplada'!$B$37,0)</x:f>
        <x:v>0</x:v>
      </x:c>
      <x:c r="BU46" s="141" t="n">
        <x:f>IF('Carta Contemplada'!$B$22="Sim",INDEX('Carta Contemplada'!$C$55:$C$1013,$A46),0)</x:f>
        <x:v>1429.2192</x:v>
      </x:c>
      <x:c r="BV46" s="141" t="n">
        <x:f>IF(AND('Carta Contemplada'!$B$22="Sim",Premissas!$B$11="Imovel",Premissas!$B$47="Moradia",$A46&lt;MAX('Carta Contemplada'!$B$44,Premissas!$B$49)),$D46,0)</x:f>
        <x:v>0</x:v>
      </x:c>
      <x:c r="BW46" s="141" t="n">
        <x:f>IF(AND('Carta Contemplada'!$B$22="Sim",Premissas!$B$11="Imovel",Premissas!$B$47="Investimento",$A46&gt;=MAX('Carta Contemplada'!$B$44,Premissas!$B$49)),$E46,0)</x:f>
        <x:v>762.2502400000001</x:v>
      </x:c>
      <x:c r="BX46" s="141" t="n">
        <x:f>BT46+BU46+BV46</x:f>
        <x:v>1429.2192</x:v>
      </x:c>
      <x:c r="BY46" s="141" t="n">
        <x:f>BW46</x:f>
        <x:v>762.2502400000001</x:v>
      </x:c>
      <x:c r="BZ46" s="141" t="n">
        <x:f>$C46+BY46-BX46</x:f>
        <x:v>6333.03104</x:v>
      </x:c>
      <x:c r="CA46" s="141" t="n">
        <x:f>CD45*(1+Premissas!$B$41)+BZ46</x:f>
        <x:v>391659.10575932433</x:v>
      </x:c>
      <x:c r="CB46" s="141" t="n">
        <x:f>MAX(0,-CA46)</x:f>
        <x:v>0</x:v>
      </x:c>
      <x:c r="CC46" s="141" t="n">
        <x:f>CC45*(1+Premissas!$B$41)+CB46</x:f>
        <x:v>0</x:v>
      </x:c>
      <x:c r="CD46" s="141" t="n">
        <x:f>MAX(0,CA46)</x:f>
        <x:v>391659.10575932433</x:v>
      </x:c>
      <x:c r="CE46" s="141" t="n">
        <x:f>IF(AND('Carta Contemplada'!$B$22="Sim",$A46&gt;='Carta Contemplada'!$B$23),INDEX('Carta Contemplada'!$I$55:$I$1013,$A46),0)</x:f>
        <x:v>145367.65749050255</x:v>
      </x:c>
      <x:c r="CF46" s="141" t="n">
        <x:f>IF(AND('Carta Contemplada'!$B$22="Sim",$A46&gt;='Carta Contemplada'!$B$44),$F46,0)</x:f>
        <x:v>244057.24358596257</x:v>
      </x:c>
      <x:c r="CG46" s="141" t="n">
        <x:f>CD46+CF46-CE46</x:f>
        <x:v>490348.69185478427</x:v>
      </x:c>
      <x:c r="CH46" s="141" t="n">
        <x:f>IF(CC46&gt;1,"Inviavel",CG46)</x:f>
        <x:v>490348.69185478427</x:v>
      </x:c>
      <x:c r="CI46" s="145" t="str">
        <x:f>IF(CC46&gt;1,"Inviavel","OK")</x:f>
        <x:v>OK</x:v>
      </x:c>
    </x:row>
    <x:row r="47">
      <x:c r="A47" s="142" t="n">
        <x:v>43</x:v>
      </x:c>
      <x:c r="B47" s="179" t="n">
        <x:f>EDATE(Premissas!$B$4,A47-1)</x:f>
        <x:v>47818</x:v>
      </x:c>
      <x:c r="C47" s="141" t="n">
        <x:f>IF(A47&lt;=Premissas!$B$39,Premissas!$B$42,0)</x:f>
        <x:v>7000</x:v>
      </x:c>
      <x:c r="D47" s="141" t="n">
        <x:f>Premissas!$B$54*(1+Premissas!$B$57)^INT((A47-1)/12)</x:f>
        <x:v>833.7112000000001</x:v>
      </x:c>
      <x:c r="E47" s="141" t="n">
        <x:f>Premissas!$B$64*(1+Premissas!$B$57)^INT((A47-1)/12)</x:f>
        <x:v>762.2502400000001</x:v>
      </x:c>
      <x:c r="F47" s="141" t="n">
        <x:f>MAX(0,Premissas!$B$6*(1+Premissas!$B$66)^((A47-1)/12))</x:f>
        <x:v>245245.20455995548</x:v>
      </x:c>
      <x:c r="G47" s="141" t="n">
        <x:f>G46*(1+Premissas!$B$41)+C47</x:f>
        <x:v>503368.0679542936</x:v>
      </x:c>
      <x:c r="H47" s="141" t="n">
        <x:f>IF($A47=Premissas!$B$48,Premissas!$B$8,0)</x:f>
        <x:v>0</x:v>
      </x:c>
      <x:c r="I47" s="141" t="n">
        <x:f>IF(AND($A47&gt;=Premissas!$B$48,$A47-Premissas!$B$48+1&lt;=Premissas!$B$13),INDEX(Financiamento!$J$6:$J$485,$A47-Premissas!$B$48+1),0)</x:f>
        <x:v>1897.3385635323427</x:v>
      </x:c>
      <x:c r="J47" s="141" t="n">
        <x:f>IF(AND(TRUE,Premissas!$B$11="Imovel",Premissas!$B$47="Moradia",$A47&lt;MAX(Premissas!$B$48,Premissas!$B$49)),$D47,0)</x:f>
        <x:v>0</x:v>
      </x:c>
      <x:c r="K47" s="141" t="n">
        <x:f>IF(AND(TRUE,Premissas!$B$11="Imovel",Premissas!$B$47="Investimento",$A47&gt;=MAX(Premissas!$B$48,Premissas!$B$49)),$E47,0)</x:f>
        <x:v>762.2502400000001</x:v>
      </x:c>
      <x:c r="L47" s="141" t="n">
        <x:f>H47+I47+J47</x:f>
        <x:v>1897.3385635323427</x:v>
      </x:c>
      <x:c r="M47" s="141" t="n">
        <x:f>K47</x:f>
        <x:v>762.2502400000001</x:v>
      </x:c>
      <x:c r="N47" s="141" t="n">
        <x:f>$C47+M47-L47</x:f>
        <x:v>5864.911676467657</x:v>
      </x:c>
      <x:c r="O47" s="141" t="n">
        <x:f>R46*(1+Premissas!$B$41)+N47</x:f>
        <x:v>375761.61127720785</x:v>
      </x:c>
      <x:c r="P47" s="141" t="n">
        <x:f>MAX(0,-O47)</x:f>
        <x:v>0</x:v>
      </x:c>
      <x:c r="Q47" s="141" t="n">
        <x:f>Q46*(1+Premissas!$B$41)+P47</x:f>
        <x:v>0</x:v>
      </x:c>
      <x:c r="R47" s="141" t="n">
        <x:f>MAX(0,O47)</x:f>
        <x:v>375761.61127720785</x:v>
      </x:c>
      <x:c r="S47" s="141" t="n">
        <x:f>IF(AND($A47&gt;=Premissas!$B$48,$A47-Premissas!$B$48+1&lt;=Premissas!$B$13),INDEX(Financiamento!$M$6:$M$485,$A47-Premissas!$B$48+1),0)</x:f>
        <x:v>143619.04761904787</x:v>
      </x:c>
      <x:c r="T47" s="141" t="n">
        <x:f>IF($A47&gt;=Premissas!$B$48,$F47,0)</x:f>
        <x:v>245245.20455995548</x:v>
      </x:c>
      <x:c r="U47" s="141" t="n">
        <x:f>R47+T47-S47</x:f>
        <x:v>477387.7682181155</x:v>
      </x:c>
      <x:c r="V47" s="141" t="n">
        <x:f>IF(Q47&gt;1,"Inviavel",U47)</x:f>
        <x:v>477387.7682181155</x:v>
      </x:c>
      <x:c r="W47" s="141" t="str">
        <x:f>IF(Q47&gt;1,"Inviavel","OK")</x:f>
        <x:v>OK</x:v>
      </x:c>
      <x:c r="X47" s="141" t="n">
        <x:f>IF($A47=Premissas!$B$48,Premissas!$B$8,0)</x:f>
        <x:v>0</x:v>
      </x:c>
      <x:c r="Y47" s="141" t="n">
        <x:f>IF(AND($A47&gt;=Premissas!$B$48,$A47-Premissas!$B$48+1&lt;=Premissas!$B$13),INDEX(Amortizacao!$K$6:$K$485,$A47-Premissas!$B$48+1),0)</x:f>
        <x:v>0</x:v>
      </x:c>
      <x:c r="Z47" s="141" t="n">
        <x:f>IF(AND(TRUE,Premissas!$B$11="Imovel",Premissas!$B$47="Moradia",$A47&lt;MAX(Premissas!$B$48,Premissas!$B$49)),$D47,0)</x:f>
        <x:v>0</x:v>
      </x:c>
      <x:c r="AA47" s="141" t="n">
        <x:f>IF(AND(TRUE,Premissas!$B$11="Imovel",Premissas!$B$47="Investimento",$A47&gt;=MAX(Premissas!$B$48,Premissas!$B$49)),$E47,0)</x:f>
        <x:v>762.2502400000001</x:v>
      </x:c>
      <x:c r="AB47" s="141" t="n">
        <x:f>X47+Y47+Z47</x:f>
        <x:v>0</x:v>
      </x:c>
      <x:c r="AC47" s="141" t="n">
        <x:f>AA47</x:f>
        <x:v>762.2502400000001</x:v>
      </x:c>
      <x:c r="AD47" s="141" t="n">
        <x:f>$C47+AC47-AB47</x:f>
        <x:v>7762.25024</x:v>
      </x:c>
      <x:c r="AE47" s="141" t="n">
        <x:f>AH46*(1+Premissas!$B$41)+AD47</x:f>
        <x:v>234721.1636962139</x:v>
      </x:c>
      <x:c r="AF47" s="141" t="n">
        <x:f>MAX(0,-AE47)</x:f>
        <x:v>0</x:v>
      </x:c>
      <x:c r="AG47" s="141" t="n">
        <x:f>AG46*(1+Premissas!$B$41)+AF47</x:f>
        <x:v>0</x:v>
      </x:c>
      <x:c r="AH47" s="141" t="n">
        <x:f>MAX(0,AE47)</x:f>
        <x:v>234721.1636962139</x:v>
      </x:c>
      <x:c r="AI47" s="141" t="n">
        <x:f>IF(AND($A47&gt;=Premissas!$B$48,$A47-Premissas!$B$48+1&lt;=Premissas!$B$13),INDEX(Amortizacao!$L$6:$L$485,$A47-Premissas!$B$48+1),0)</x:f>
        <x:v>0</x:v>
      </x:c>
      <x:c r="AJ47" s="141" t="n">
        <x:f>IF($A47&gt;=Premissas!$B$48,$F47,0)</x:f>
        <x:v>245245.20455995548</x:v>
      </x:c>
      <x:c r="AK47" s="141" t="n">
        <x:f>AH47+AJ47-AI47</x:f>
        <x:v>479966.3682561694</x:v>
      </x:c>
      <x:c r="AL47" s="141" t="n">
        <x:f>IF(AG47&gt;1,"Inviavel",AK47)</x:f>
        <x:v>479966.3682561694</x:v>
      </x:c>
      <x:c r="AM47" s="141" t="str">
        <x:f>IF(AG47&gt;1,"Inviavel","OK")</x:f>
        <x:v>OK</x:v>
      </x:c>
      <x:c r="AN47" s="141" t="n">
        <x:f>IF($A47=Premissas!$B$48,Premissas!$B$8,0)</x:f>
        <x:v>0</x:v>
      </x:c>
      <x:c r="AO47" s="141" t="n">
        <x:f>IF($A47&lt;=Premissas!$B$25,INDEX('Consorcio IQ'!$K$6:$K$485,$A47),0)</x:f>
        <x:v>2576.772525796495</x:v>
      </x:c>
      <x:c r="AP47" s="141" t="n">
        <x:f>IF(AND(TRUE,Premissas!$B$11="Imovel",Premissas!$B$47="Moradia",$A47&lt;MAX(Premissas!$B$48,Premissas!$B$49)),$D47,0)</x:f>
        <x:v>0</x:v>
      </x:c>
      <x:c r="AQ47" s="141" t="n">
        <x:f>IF(AND(TRUE,Premissas!$B$11="Imovel",Premissas!$B$47="Investimento",$A47&gt;=MAX(Premissas!$B$48,Premissas!$B$49)),$E47,0)</x:f>
        <x:v>762.2502400000001</x:v>
      </x:c>
      <x:c r="AR47" s="141" t="n">
        <x:f>AN47+AO47+AP47</x:f>
        <x:v>2576.772525796495</x:v>
      </x:c>
      <x:c r="AS47" s="141" t="n">
        <x:f>AQ47</x:f>
        <x:v>762.2502400000001</x:v>
      </x:c>
      <x:c r="AT47" s="141" t="n">
        <x:f>$C47+AS47-AR47</x:f>
        <x:v>5185.4777142035055</x:v>
      </x:c>
      <x:c r="AU47" s="141" t="n">
        <x:f>AX46*(1+Premissas!$B$41)+AT47</x:f>
        <x:v>343389.4411987482</x:v>
      </x:c>
      <x:c r="AV47" s="141" t="n">
        <x:f>MAX(0,-AU47)</x:f>
        <x:v>0</x:v>
      </x:c>
      <x:c r="AW47" s="141" t="n">
        <x:f>AW46*(1+Premissas!$B$41)+AV47</x:f>
        <x:v>0</x:v>
      </x:c>
      <x:c r="AX47" s="141" t="n">
        <x:f>MAX(0,AU47)</x:f>
        <x:v>343389.4411987482</x:v>
      </x:c>
      <x:c r="AY47" s="141" t="n">
        <x:f>INDEX('Consorcio IQ'!$P$6:$P$485,$A47)</x:f>
        <x:v>231717.69743743766</x:v>
      </x:c>
      <x:c r="AZ47" s="141" t="n">
        <x:f>IF($A47&gt;=Premissas!$B$48,$F47,0)+IF($A47&lt;Premissas!$B$27,INDEX('Consorcio IQ'!$O$6:$O$485,$A47),0)</x:f>
        <x:v>362046.50036513124</x:v>
      </x:c>
      <x:c r="BA47" s="141" t="n">
        <x:f>AX47+AZ47-AY47</x:f>
        <x:v>473718.2441264417</x:v>
      </x:c>
      <x:c r="BB47" s="141" t="n">
        <x:f>IF(AW47&gt;1,"Inviavel",BA47)</x:f>
        <x:v>473718.2441264417</x:v>
      </x:c>
      <x:c r="BC47" s="141" t="str">
        <x:f>IF(AW47&gt;1,"Inviavel","OK")</x:f>
        <x:v>OK</x:v>
      </x:c>
      <x:c r="BD47" s="141" t="n">
        <x:f>IF($A47='Consorcio Direto'!$B$29,'Consorcio Direto'!$B$44,0)</x:f>
        <x:v>0</x:v>
      </x:c>
      <x:c r="BE47" s="141" t="n">
        <x:f>IF($A47&lt;='Consorcio Direto'!$B$27,INDEX('Consorcio Direto'!$E$55:$E$534,$A47),0)</x:f>
        <x:v>1759.3947642826768</x:v>
      </x:c>
      <x:c r="BF47" s="141" t="n">
        <x:f>IF(AND(TRUE,Premissas!$B$11="Imovel",Premissas!$B$47="Moradia",$A47&lt;MAX('Consorcio Direto'!$B$29,Premissas!$B$49)),$D47,0)</x:f>
        <x:v>0</x:v>
      </x:c>
      <x:c r="BG47" s="141" t="n">
        <x:f>IF(AND(TRUE,Premissas!$B$11="Imovel",Premissas!$B$47="Investimento",$A47&gt;=MAX('Consorcio Direto'!$B$29,Premissas!$B$49)),$E47,0)</x:f>
        <x:v>0</x:v>
      </x:c>
      <x:c r="BH47" s="141" t="n">
        <x:f>BD47+BE47+BF47</x:f>
        <x:v>1759.3947642826768</x:v>
      </x:c>
      <x:c r="BI47" s="141" t="n">
        <x:f>BG47</x:f>
        <x:v>0</x:v>
      </x:c>
      <x:c r="BJ47" s="141" t="n">
        <x:f>$C47+BI47-BH47</x:f>
        <x:v>5240.605235717323</x:v>
      </x:c>
      <x:c r="BK47" s="141" t="n">
        <x:f>BN46*(1+Premissas!$B$41)+BJ47</x:f>
        <x:v>419540.3088079714</x:v>
      </x:c>
      <x:c r="BL47" s="141" t="n">
        <x:f>MAX(0,-BK47)</x:f>
        <x:v>0</x:v>
      </x:c>
      <x:c r="BM47" s="141" t="n">
        <x:f>BM46*(1+Premissas!$B$41)+BL47</x:f>
        <x:v>0</x:v>
      </x:c>
      <x:c r="BN47" s="141" t="n">
        <x:f>MAX(0,BK47)</x:f>
        <x:v>419540.3088079714</x:v>
      </x:c>
      <x:c r="BO47" s="141" t="n">
        <x:f>INDEX('Consorcio Direto'!$K$55:$K$534,$A47)</x:f>
        <x:v>228131.5210006925</x:v>
      </x:c>
      <x:c r="BP47" s="141" t="n">
        <x:f>IF($A47&lt;'Consorcio Direto'!$B$29,INDEX('Consorcio Direto'!$L$55:$L$534,$A47),$F47)</x:f>
        <x:v>226842.7835314373</x:v>
      </x:c>
      <x:c r="BQ47" s="141" t="n">
        <x:f>BN47+BP47-BO47</x:f>
        <x:v>418251.5713387162</x:v>
      </x:c>
      <x:c r="BR47" s="141" t="n">
        <x:f>IF(BM47&gt;1,"Inviavel",BQ47)</x:f>
        <x:v>418251.5713387162</x:v>
      </x:c>
      <x:c r="BS47" s="141" t="str">
        <x:f>IF(BM47&gt;1,"Inviavel","OK")</x:f>
        <x:v>OK</x:v>
      </x:c>
      <x:c r="BT47" s="141" t="n">
        <x:f>IF(AND('Carta Contemplada'!$B$22="Sim",$A47='Carta Contemplada'!$B$23),'Carta Contemplada'!$B$37,0)</x:f>
        <x:v>0</x:v>
      </x:c>
      <x:c r="BU47" s="141" t="n">
        <x:f>IF('Carta Contemplada'!$B$22="Sim",INDEX('Carta Contemplada'!$C$55:$C$1013,$A47),0)</x:f>
        <x:v>1429.2192</x:v>
      </x:c>
      <x:c r="BV47" s="141" t="n">
        <x:f>IF(AND('Carta Contemplada'!$B$22="Sim",Premissas!$B$11="Imovel",Premissas!$B$47="Moradia",$A47&lt;MAX('Carta Contemplada'!$B$44,Premissas!$B$49)),$D47,0)</x:f>
        <x:v>0</x:v>
      </x:c>
      <x:c r="BW47" s="141" t="n">
        <x:f>IF(AND('Carta Contemplada'!$B$22="Sim",Premissas!$B$11="Imovel",Premissas!$B$47="Investimento",$A47&gt;=MAX('Carta Contemplada'!$B$44,Premissas!$B$49)),$E47,0)</x:f>
        <x:v>762.2502400000001</x:v>
      </x:c>
      <x:c r="BX47" s="141" t="n">
        <x:f>BT47+BU47+BV47</x:f>
        <x:v>1429.2192</x:v>
      </x:c>
      <x:c r="BY47" s="141" t="n">
        <x:f>BW47</x:f>
        <x:v>762.2502400000001</x:v>
      </x:c>
      <x:c r="BZ47" s="141" t="n">
        <x:f>$C47+BY47-BX47</x:f>
        <x:v>6333.03104</x:v>
      </x:c>
      <x:c r="CA47" s="141" t="n">
        <x:f>CD46*(1+Premissas!$B$41)+BZ47</x:f>
        <x:v>401708.5089548185</x:v>
      </x:c>
      <x:c r="CB47" s="141" t="n">
        <x:f>MAX(0,-CA47)</x:f>
        <x:v>0</x:v>
      </x:c>
      <x:c r="CC47" s="141" t="n">
        <x:f>CC46*(1+Premissas!$B$41)+CB47</x:f>
        <x:v>0</x:v>
      </x:c>
      <x:c r="CD47" s="141" t="n">
        <x:f>MAX(0,CA47)</x:f>
        <x:v>401708.5089548185</x:v>
      </x:c>
      <x:c r="CE47" s="141" t="n">
        <x:f>IF(AND('Carta Contemplada'!$B$22="Sim",$A47&gt;='Carta Contemplada'!$B$23),INDEX('Carta Contemplada'!$I$55:$I$1013,$A47),0)</x:f>
        <x:v>145317.80189181532</x:v>
      </x:c>
      <x:c r="CF47" s="141" t="n">
        <x:f>IF(AND('Carta Contemplada'!$B$22="Sim",$A47&gt;='Carta Contemplada'!$B$44),$F47,0)</x:f>
        <x:v>245245.20455995548</x:v>
      </x:c>
      <x:c r="CG47" s="141" t="n">
        <x:f>CD47+CF47-CE47</x:f>
        <x:v>501635.91162295867</x:v>
      </x:c>
      <x:c r="CH47" s="141" t="n">
        <x:f>IF(CC47&gt;1,"Inviavel",CG47)</x:f>
        <x:v>501635.91162295867</x:v>
      </x:c>
      <x:c r="CI47" s="145" t="str">
        <x:f>IF(CC47&gt;1,"Inviavel","OK")</x:f>
        <x:v>OK</x:v>
      </x:c>
    </x:row>
    <x:row r="48">
      <x:c r="A48" s="142" t="n">
        <x:v>44</x:v>
      </x:c>
      <x:c r="B48" s="179" t="n">
        <x:f>EDATE(Premissas!$B$4,A48-1)</x:f>
        <x:v>47849</x:v>
      </x:c>
      <x:c r="C48" s="141" t="n">
        <x:f>IF(A48&lt;=Premissas!$B$39,Premissas!$B$42,0)</x:f>
        <x:v>7000</x:v>
      </x:c>
      <x:c r="D48" s="141" t="n">
        <x:f>Premissas!$B$54*(1+Premissas!$B$57)^INT((A48-1)/12)</x:f>
        <x:v>833.7112000000001</x:v>
      </x:c>
      <x:c r="E48" s="141" t="n">
        <x:f>Premissas!$B$64*(1+Premissas!$B$57)^INT((A48-1)/12)</x:f>
        <x:v>762.2502400000001</x:v>
      </x:c>
      <x:c r="F48" s="141" t="n">
        <x:f>MAX(0,Premissas!$B$6*(1+Premissas!$B$66)^((A48-1)/12))</x:f>
        <x:v>246438.947994059</x:v>
      </x:c>
      <x:c r="G48" s="141" t="n">
        <x:f>G47*(1+Premissas!$B$41)+C48</x:f>
        <x:v>515144.423320993</x:v>
      </x:c>
      <x:c r="H48" s="141" t="n">
        <x:f>IF($A48=Premissas!$B$48,Premissas!$B$8,0)</x:f>
        <x:v>0</x:v>
      </x:c>
      <x:c r="I48" s="141" t="n">
        <x:f>IF(AND($A48&gt;=Premissas!$B$48,$A48-Premissas!$B$48+1&lt;=Premissas!$B$13),INDEX(Financiamento!$J$6:$J$485,$A48-Premissas!$B$48+1),0)</x:f>
        <x:v>1893.723785271549</x:v>
      </x:c>
      <x:c r="J48" s="141" t="n">
        <x:f>IF(AND(TRUE,Premissas!$B$11="Imovel",Premissas!$B$47="Moradia",$A48&lt;MAX(Premissas!$B$48,Premissas!$B$49)),$D48,0)</x:f>
        <x:v>0</x:v>
      </x:c>
      <x:c r="K48" s="141" t="n">
        <x:f>IF(AND(TRUE,Premissas!$B$11="Imovel",Premissas!$B$47="Investimento",$A48&gt;=MAX(Premissas!$B$48,Premissas!$B$49)),$E48,0)</x:f>
        <x:v>762.2502400000001</x:v>
      </x:c>
      <x:c r="L48" s="141" t="n">
        <x:f>H48+I48+J48</x:f>
        <x:v>1893.723785271549</x:v>
      </x:c>
      <x:c r="M48" s="141" t="n">
        <x:f>K48</x:f>
        <x:v>762.2502400000001</x:v>
      </x:c>
      <x:c r="N48" s="141" t="n">
        <x:f>$C48+M48-L48</x:f>
        <x:v>5868.526454728451</x:v>
      </x:c>
      <x:c r="O48" s="141" t="n">
        <x:f>R47*(1+Premissas!$B$41)+N48</x:f>
        <x:v>385195.661854111</x:v>
      </x:c>
      <x:c r="P48" s="141" t="n">
        <x:f>MAX(0,-O48)</x:f>
        <x:v>0</x:v>
      </x:c>
      <x:c r="Q48" s="141" t="n">
        <x:f>Q47*(1+Premissas!$B$41)+P48</x:f>
        <x:v>0</x:v>
      </x:c>
      <x:c r="R48" s="141" t="n">
        <x:f>MAX(0,O48)</x:f>
        <x:v>385195.661854111</x:v>
      </x:c>
      <x:c r="S48" s="141" t="n">
        <x:f>IF(AND($A48&gt;=Premissas!$B$48,$A48-Premissas!$B$48+1&lt;=Premissas!$B$13),INDEX(Financiamento!$M$6:$M$485,$A48-Premissas!$B$48+1),0)</x:f>
        <x:v>143238.0952380955</x:v>
      </x:c>
      <x:c r="T48" s="141" t="n">
        <x:f>IF($A48&gt;=Premissas!$B$48,$F48,0)</x:f>
        <x:v>246438.947994059</x:v>
      </x:c>
      <x:c r="U48" s="141" t="n">
        <x:f>R48+T48-S48</x:f>
        <x:v>488396.5146100746</x:v>
      </x:c>
      <x:c r="V48" s="141" t="n">
        <x:f>IF(Q48&gt;1,"Inviavel",U48)</x:f>
        <x:v>488396.5146100746</x:v>
      </x:c>
      <x:c r="W48" s="141" t="str">
        <x:f>IF(Q48&gt;1,"Inviavel","OK")</x:f>
        <x:v>OK</x:v>
      </x:c>
      <x:c r="X48" s="141" t="n">
        <x:f>IF($A48=Premissas!$B$48,Premissas!$B$8,0)</x:f>
        <x:v>0</x:v>
      </x:c>
      <x:c r="Y48" s="141" t="n">
        <x:f>IF(AND($A48&gt;=Premissas!$B$48,$A48-Premissas!$B$48+1&lt;=Premissas!$B$13),INDEX(Amortizacao!$K$6:$K$485,$A48-Premissas!$B$48+1),0)</x:f>
        <x:v>0</x:v>
      </x:c>
      <x:c r="Z48" s="141" t="n">
        <x:f>IF(AND(TRUE,Premissas!$B$11="Imovel",Premissas!$B$47="Moradia",$A48&lt;MAX(Premissas!$B$48,Premissas!$B$49)),$D48,0)</x:f>
        <x:v>0</x:v>
      </x:c>
      <x:c r="AA48" s="141" t="n">
        <x:f>IF(AND(TRUE,Premissas!$B$11="Imovel",Premissas!$B$47="Investimento",$A48&gt;=MAX(Premissas!$B$48,Premissas!$B$49)),$E48,0)</x:f>
        <x:v>762.2502400000001</x:v>
      </x:c>
      <x:c r="AB48" s="141" t="n">
        <x:f>X48+Y48+Z48</x:f>
        <x:v>0</x:v>
      </x:c>
      <x:c r="AC48" s="141" t="n">
        <x:f>AA48</x:f>
        <x:v>762.2502400000001</x:v>
      </x:c>
      <x:c r="AD48" s="141" t="n">
        <x:f>$C48+AC48-AB48</x:f>
        <x:v>7762.25024</x:v>
      </x:c>
      <x:c r="AE48" s="141" t="n">
        <x:f>AH47*(1+Premissas!$B$41)+AD48</x:f>
        <x:v>244710.63445589162</x:v>
      </x:c>
      <x:c r="AF48" s="141" t="n">
        <x:f>MAX(0,-AE48)</x:f>
        <x:v>0</x:v>
      </x:c>
      <x:c r="AG48" s="141" t="n">
        <x:f>AG47*(1+Premissas!$B$41)+AF48</x:f>
        <x:v>0</x:v>
      </x:c>
      <x:c r="AH48" s="141" t="n">
        <x:f>MAX(0,AE48)</x:f>
        <x:v>244710.63445589162</x:v>
      </x:c>
      <x:c r="AI48" s="141" t="n">
        <x:f>IF(AND($A48&gt;=Premissas!$B$48,$A48-Premissas!$B$48+1&lt;=Premissas!$B$13),INDEX(Amortizacao!$L$6:$L$485,$A48-Premissas!$B$48+1),0)</x:f>
        <x:v>0</x:v>
      </x:c>
      <x:c r="AJ48" s="141" t="n">
        <x:f>IF($A48&gt;=Premissas!$B$48,$F48,0)</x:f>
        <x:v>246438.947994059</x:v>
      </x:c>
      <x:c r="AK48" s="141" t="n">
        <x:f>AH48+AJ48-AI48</x:f>
        <x:v>491149.5824499506</x:v>
      </x:c>
      <x:c r="AL48" s="141" t="n">
        <x:f>IF(AG48&gt;1,"Inviavel",AK48)</x:f>
        <x:v>491149.5824499506</x:v>
      </x:c>
      <x:c r="AM48" s="141" t="str">
        <x:f>IF(AG48&gt;1,"Inviavel","OK")</x:f>
        <x:v>OK</x:v>
      </x:c>
      <x:c r="AN48" s="141" t="n">
        <x:f>IF($A48=Premissas!$B$48,Premissas!$B$8,0)</x:f>
        <x:v>0</x:v>
      </x:c>
      <x:c r="AO48" s="141" t="n">
        <x:f>IF($A48&lt;=Premissas!$B$25,INDEX('Consorcio IQ'!$K$6:$K$485,$A48),0)</x:f>
        <x:v>2573.157747535701</x:v>
      </x:c>
      <x:c r="AP48" s="141" t="n">
        <x:f>IF(AND(TRUE,Premissas!$B$11="Imovel",Premissas!$B$47="Moradia",$A48&lt;MAX(Premissas!$B$48,Premissas!$B$49)),$D48,0)</x:f>
        <x:v>0</x:v>
      </x:c>
      <x:c r="AQ48" s="141" t="n">
        <x:f>IF(AND(TRUE,Premissas!$B$11="Imovel",Premissas!$B$47="Investimento",$A48&gt;=MAX(Premissas!$B$48,Premissas!$B$49)),$E48,0)</x:f>
        <x:v>762.2502400000001</x:v>
      </x:c>
      <x:c r="AR48" s="141" t="n">
        <x:f>AN48+AO48+AP48</x:f>
        <x:v>2573.157747535701</x:v>
      </x:c>
      <x:c r="AS48" s="141" t="n">
        <x:f>AQ48</x:f>
        <x:v>762.2502400000001</x:v>
      </x:c>
      <x:c r="AT48" s="141" t="n">
        <x:f>$C48+AS48-AR48</x:f>
        <x:v>5189.092492464299</x:v>
      </x:c>
      <x:c r="AU48" s="141" t="n">
        <x:f>AX47*(1+Premissas!$B$41)+AT48</x:f>
        <x:v>351836.8849946696</x:v>
      </x:c>
      <x:c r="AV48" s="141" t="n">
        <x:f>MAX(0,-AU48)</x:f>
        <x:v>0</x:v>
      </x:c>
      <x:c r="AW48" s="141" t="n">
        <x:f>AW47*(1+Premissas!$B$41)+AV48</x:f>
        <x:v>0</x:v>
      </x:c>
      <x:c r="AX48" s="141" t="n">
        <x:f>MAX(0,AU48)</x:f>
        <x:v>351836.8849946696</x:v>
      </x:c>
      <x:c r="AY48" s="141" t="n">
        <x:f>INDEX('Consorcio IQ'!$P$6:$P$485,$A48)</x:f>
        <x:v>231493.26094016415</x:v>
      </x:c>
      <x:c r="AZ48" s="141" t="n">
        <x:f>IF($A48&gt;=Premissas!$B$48,$F48,0)+IF($A48&lt;Premissas!$B$27,INDEX('Consorcio IQ'!$O$6:$O$485,$A48),0)</x:f>
        <x:v>364348.54710962105</x:v>
      </x:c>
      <x:c r="BA48" s="141" t="n">
        <x:f>AX48+AZ48-AY48</x:f>
        <x:v>484692.17116412654</x:v>
      </x:c>
      <x:c r="BB48" s="141" t="n">
        <x:f>IF(AW48&gt;1,"Inviavel",BA48)</x:f>
        <x:v>484692.17116412654</x:v>
      </x:c>
      <x:c r="BC48" s="141" t="str">
        <x:f>IF(AW48&gt;1,"Inviavel","OK")</x:f>
        <x:v>OK</x:v>
      </x:c>
      <x:c r="BD48" s="141" t="n">
        <x:f>IF($A48='Consorcio Direto'!$B$29,'Consorcio Direto'!$B$44,0)</x:f>
        <x:v>0</x:v>
      </x:c>
      <x:c r="BE48" s="141" t="n">
        <x:f>IF($A48&lt;='Consorcio Direto'!$B$27,INDEX('Consorcio Direto'!$E$55:$E$534,$A48),0)</x:f>
        <x:v>1759.3947642826768</x:v>
      </x:c>
      <x:c r="BF48" s="141" t="n">
        <x:f>IF(AND(TRUE,Premissas!$B$11="Imovel",Premissas!$B$47="Moradia",$A48&lt;MAX('Consorcio Direto'!$B$29,Premissas!$B$49)),$D48,0)</x:f>
        <x:v>0</x:v>
      </x:c>
      <x:c r="BG48" s="141" t="n">
        <x:f>IF(AND(TRUE,Premissas!$B$11="Imovel",Premissas!$B$47="Investimento",$A48&gt;=MAX('Consorcio Direto'!$B$29,Premissas!$B$49)),$E48,0)</x:f>
        <x:v>0</x:v>
      </x:c>
      <x:c r="BH48" s="141" t="n">
        <x:f>BD48+BE48+BF48</x:f>
        <x:v>1759.3947642826768</x:v>
      </x:c>
      <x:c r="BI48" s="141" t="n">
        <x:f>BG48</x:f>
        <x:v>0</x:v>
      </x:c>
      <x:c r="BJ48" s="141" t="n">
        <x:f>$C48+BI48-BH48</x:f>
        <x:v>5240.605235717323</x:v>
      </x:c>
      <x:c r="BK48" s="141" t="n">
        <x:f>BN47*(1+Premissas!$B$41)+BJ48</x:f>
        <x:v>428761.8451616786</x:v>
      </x:c>
      <x:c r="BL48" s="141" t="n">
        <x:f>MAX(0,-BK48)</x:f>
        <x:v>0</x:v>
      </x:c>
      <x:c r="BM48" s="141" t="n">
        <x:f>BM47*(1+Premissas!$B$41)+BL48</x:f>
        <x:v>0</x:v>
      </x:c>
      <x:c r="BN48" s="141" t="n">
        <x:f>MAX(0,BK48)</x:f>
        <x:v>428761.8451616786</x:v>
      </x:c>
      <x:c r="BO48" s="141" t="n">
        <x:f>INDEX('Consorcio Direto'!$K$55:$K$534,$A48)</x:f>
        <x:v>228536.81900103687</x:v>
      </x:c>
      <x:c r="BP48" s="141" t="n">
        <x:f>IF($A48&lt;'Consorcio Direto'!$B$29,INDEX('Consorcio Direto'!$L$55:$L$534,$A48),$F48)</x:f>
        <x:v>228995.24773307156</x:v>
      </x:c>
      <x:c r="BQ48" s="141" t="n">
        <x:f>BN48+BP48-BO48</x:f>
        <x:v>429220.2738937133</x:v>
      </x:c>
      <x:c r="BR48" s="141" t="n">
        <x:f>IF(BM48&gt;1,"Inviavel",BQ48)</x:f>
        <x:v>429220.2738937133</x:v>
      </x:c>
      <x:c r="BS48" s="141" t="str">
        <x:f>IF(BM48&gt;1,"Inviavel","OK")</x:f>
        <x:v>OK</x:v>
      </x:c>
      <x:c r="BT48" s="141" t="n">
        <x:f>IF(AND('Carta Contemplada'!$B$22="Sim",$A48='Carta Contemplada'!$B$23),'Carta Contemplada'!$B$37,0)</x:f>
        <x:v>0</x:v>
      </x:c>
      <x:c r="BU48" s="141" t="n">
        <x:f>IF('Carta Contemplada'!$B$22="Sim",INDEX('Carta Contemplada'!$C$55:$C$1013,$A48),0)</x:f>
        <x:v>1429.2192</x:v>
      </x:c>
      <x:c r="BV48" s="141" t="n">
        <x:f>IF(AND('Carta Contemplada'!$B$22="Sim",Premissas!$B$11="Imovel",Premissas!$B$47="Moradia",$A48&lt;MAX('Carta Contemplada'!$B$44,Premissas!$B$49)),$D48,0)</x:f>
        <x:v>0</x:v>
      </x:c>
      <x:c r="BW48" s="141" t="n">
        <x:f>IF(AND('Carta Contemplada'!$B$22="Sim",Premissas!$B$11="Imovel",Premissas!$B$47="Investimento",$A48&gt;=MAX('Carta Contemplada'!$B$44,Premissas!$B$49)),$E48,0)</x:f>
        <x:v>762.2502400000001</x:v>
      </x:c>
      <x:c r="BX48" s="141" t="n">
        <x:f>BT48+BU48+BV48</x:f>
        <x:v>1429.2192</x:v>
      </x:c>
      <x:c r="BY48" s="141" t="n">
        <x:f>BW48</x:f>
        <x:v>762.2502400000001</x:v>
      </x:c>
      <x:c r="BZ48" s="141" t="n">
        <x:f>$C48+BY48-BX48</x:f>
        <x:v>6333.03104</x:v>
      </x:c>
      <x:c r="CA48" s="141" t="n">
        <x:f>CD47*(1+Premissas!$B$41)+BZ48</x:f>
        <x:v>411853.2688563508</x:v>
      </x:c>
      <x:c r="CB48" s="141" t="n">
        <x:f>MAX(0,-CA48)</x:f>
        <x:v>0</x:v>
      </x:c>
      <x:c r="CC48" s="141" t="n">
        <x:f>CC47*(1+Premissas!$B$41)+CB48</x:f>
        <x:v>0</x:v>
      </x:c>
      <x:c r="CD48" s="141" t="n">
        <x:f>MAX(0,CA48)</x:f>
        <x:v>411853.2688563508</x:v>
      </x:c>
      <x:c r="CE48" s="141" t="n">
        <x:f>IF(AND('Carta Contemplada'!$B$22="Sim",$A48&gt;='Carta Contemplada'!$B$23),INDEX('Carta Contemplada'!$I$55:$I$1013,$A48),0)</x:f>
        <x:v>145267.47322367554</x:v>
      </x:c>
      <x:c r="CF48" s="141" t="n">
        <x:f>IF(AND('Carta Contemplada'!$B$22="Sim",$A48&gt;='Carta Contemplada'!$B$44),$F48,0)</x:f>
        <x:v>246438.947994059</x:v>
      </x:c>
      <x:c r="CG48" s="141" t="n">
        <x:f>CD48+CF48-CE48</x:f>
        <x:v>513024.74362673424</x:v>
      </x:c>
      <x:c r="CH48" s="141" t="n">
        <x:f>IF(CC48&gt;1,"Inviavel",CG48)</x:f>
        <x:v>513024.74362673424</x:v>
      </x:c>
      <x:c r="CI48" s="145" t="str">
        <x:f>IF(CC48&gt;1,"Inviavel","OK")</x:f>
        <x:v>OK</x:v>
      </x:c>
    </x:row>
    <x:row r="49">
      <x:c r="A49" s="142" t="n">
        <x:v>45</x:v>
      </x:c>
      <x:c r="B49" s="179" t="n">
        <x:f>EDATE(Premissas!$B$4,A49-1)</x:f>
        <x:v>47880</x:v>
      </x:c>
      <x:c r="C49" s="141" t="n">
        <x:f>IF(A49&lt;=Premissas!$B$39,Premissas!$B$42,0)</x:f>
        <x:v>7000</x:v>
      </x:c>
      <x:c r="D49" s="141" t="n">
        <x:f>Premissas!$B$54*(1+Premissas!$B$57)^INT((A49-1)/12)</x:f>
        <x:v>833.7112000000001</x:v>
      </x:c>
      <x:c r="E49" s="141" t="n">
        <x:f>Premissas!$B$64*(1+Premissas!$B$57)^INT((A49-1)/12)</x:f>
        <x:v>762.2502400000001</x:v>
      </x:c>
      <x:c r="F49" s="141" t="n">
        <x:f>MAX(0,Premissas!$B$6*(1+Premissas!$B$66)^((A49-1)/12))</x:f>
        <x:v>247638.50203469003</x:v>
      </x:c>
      <x:c r="G49" s="141" t="n">
        <x:f>G48*(1+Premissas!$B$41)+C49</x:f>
        <x:v>527032.5220852911</x:v>
      </x:c>
      <x:c r="H49" s="141" t="n">
        <x:f>IF($A49=Premissas!$B$48,Premissas!$B$8,0)</x:f>
        <x:v>0</x:v>
      </x:c>
      <x:c r="I49" s="141" t="n">
        <x:f>IF(AND($A49&gt;=Premissas!$B$48,$A49-Premissas!$B$48+1&lt;=Premissas!$B$13),INDEX(Financiamento!$J$6:$J$485,$A49-Premissas!$B$48+1),0)</x:f>
        <x:v>1890.1090070107557</x:v>
      </x:c>
      <x:c r="J49" s="141" t="n">
        <x:f>IF(AND(TRUE,Premissas!$B$11="Imovel",Premissas!$B$47="Moradia",$A49&lt;MAX(Premissas!$B$48,Premissas!$B$49)),$D49,0)</x:f>
        <x:v>0</x:v>
      </x:c>
      <x:c r="K49" s="141" t="n">
        <x:f>IF(AND(TRUE,Premissas!$B$11="Imovel",Premissas!$B$47="Investimento",$A49&gt;=MAX(Premissas!$B$48,Premissas!$B$49)),$E49,0)</x:f>
        <x:v>762.2502400000001</x:v>
      </x:c>
      <x:c r="L49" s="141" t="n">
        <x:f>H49+I49+J49</x:f>
        <x:v>1890.1090070107557</x:v>
      </x:c>
      <x:c r="M49" s="141" t="n">
        <x:f>K49</x:f>
        <x:v>762.2502400000001</x:v>
      </x:c>
      <x:c r="N49" s="141" t="n">
        <x:f>$C49+M49-L49</x:f>
        <x:v>5872.141232989245</x:v>
      </x:c>
      <x:c r="O49" s="141" t="n">
        <x:f>R48*(1+Premissas!$B$41)+N49</x:f>
        <x:v>394722.8449617336</x:v>
      </x:c>
      <x:c r="P49" s="141" t="n">
        <x:f>MAX(0,-O49)</x:f>
        <x:v>0</x:v>
      </x:c>
      <x:c r="Q49" s="141" t="n">
        <x:f>Q48*(1+Premissas!$B$41)+P49</x:f>
        <x:v>0</x:v>
      </x:c>
      <x:c r="R49" s="141" t="n">
        <x:f>MAX(0,O49)</x:f>
        <x:v>394722.8449617336</x:v>
      </x:c>
      <x:c r="S49" s="141" t="n">
        <x:f>IF(AND($A49&gt;=Premissas!$B$48,$A49-Premissas!$B$48+1&lt;=Premissas!$B$13),INDEX(Financiamento!$M$6:$M$485,$A49-Premissas!$B$48+1),0)</x:f>
        <x:v>142857.14285714313</x:v>
      </x:c>
      <x:c r="T49" s="141" t="n">
        <x:f>IF($A49&gt;=Premissas!$B$48,$F49,0)</x:f>
        <x:v>247638.50203469003</x:v>
      </x:c>
      <x:c r="U49" s="141" t="n">
        <x:f>R49+T49-S49</x:f>
        <x:v>499504.20413928054</x:v>
      </x:c>
      <x:c r="V49" s="141" t="n">
        <x:f>IF(Q49&gt;1,"Inviavel",U49)</x:f>
        <x:v>499504.20413928054</x:v>
      </x:c>
      <x:c r="W49" s="141" t="str">
        <x:f>IF(Q49&gt;1,"Inviavel","OK")</x:f>
        <x:v>OK</x:v>
      </x:c>
      <x:c r="X49" s="141" t="n">
        <x:f>IF($A49=Premissas!$B$48,Premissas!$B$8,0)</x:f>
        <x:v>0</x:v>
      </x:c>
      <x:c r="Y49" s="141" t="n">
        <x:f>IF(AND($A49&gt;=Premissas!$B$48,$A49-Premissas!$B$48+1&lt;=Premissas!$B$13),INDEX(Amortizacao!$K$6:$K$485,$A49-Premissas!$B$48+1),0)</x:f>
        <x:v>0</x:v>
      </x:c>
      <x:c r="Z49" s="141" t="n">
        <x:f>IF(AND(TRUE,Premissas!$B$11="Imovel",Premissas!$B$47="Moradia",$A49&lt;MAX(Premissas!$B$48,Premissas!$B$49)),$D49,0)</x:f>
        <x:v>0</x:v>
      </x:c>
      <x:c r="AA49" s="141" t="n">
        <x:f>IF(AND(TRUE,Premissas!$B$11="Imovel",Premissas!$B$47="Investimento",$A49&gt;=MAX(Premissas!$B$48,Premissas!$B$49)),$E49,0)</x:f>
        <x:v>762.2502400000001</x:v>
      </x:c>
      <x:c r="AB49" s="141" t="n">
        <x:f>X49+Y49+Z49</x:f>
        <x:v>0</x:v>
      </x:c>
      <x:c r="AC49" s="141" t="n">
        <x:f>AA49</x:f>
        <x:v>762.2502400000001</x:v>
      </x:c>
      <x:c r="AD49" s="141" t="n">
        <x:f>$C49+AC49-AB49</x:f>
        <x:v>7762.25024</x:v>
      </x:c>
      <x:c r="AE49" s="141" t="n">
        <x:f>AH48*(1+Premissas!$B$41)+AD49</x:f>
        <x:v>254794.89323513402</x:v>
      </x:c>
      <x:c r="AF49" s="141" t="n">
        <x:f>MAX(0,-AE49)</x:f>
        <x:v>0</x:v>
      </x:c>
      <x:c r="AG49" s="141" t="n">
        <x:f>AG48*(1+Premissas!$B$41)+AF49</x:f>
        <x:v>0</x:v>
      </x:c>
      <x:c r="AH49" s="141" t="n">
        <x:f>MAX(0,AE49)</x:f>
        <x:v>254794.89323513402</x:v>
      </x:c>
      <x:c r="AI49" s="141" t="n">
        <x:f>IF(AND($A49&gt;=Premissas!$B$48,$A49-Premissas!$B$48+1&lt;=Premissas!$B$13),INDEX(Amortizacao!$L$6:$L$485,$A49-Premissas!$B$48+1),0)</x:f>
        <x:v>0</x:v>
      </x:c>
      <x:c r="AJ49" s="141" t="n">
        <x:f>IF($A49&gt;=Premissas!$B$48,$F49,0)</x:f>
        <x:v>247638.50203469003</x:v>
      </x:c>
      <x:c r="AK49" s="141" t="n">
        <x:f>AH49+AJ49-AI49</x:f>
        <x:v>502433.3952698241</x:v>
      </x:c>
      <x:c r="AL49" s="141" t="n">
        <x:f>IF(AG49&gt;1,"Inviavel",AK49)</x:f>
        <x:v>502433.3952698241</x:v>
      </x:c>
      <x:c r="AM49" s="141" t="str">
        <x:f>IF(AG49&gt;1,"Inviavel","OK")</x:f>
        <x:v>OK</x:v>
      </x:c>
      <x:c r="AN49" s="141" t="n">
        <x:f>IF($A49=Premissas!$B$48,Premissas!$B$8,0)</x:f>
        <x:v>0</x:v>
      </x:c>
      <x:c r="AO49" s="141" t="n">
        <x:f>IF($A49&lt;=Premissas!$B$25,INDEX('Consorcio IQ'!$K$6:$K$485,$A49),0)</x:f>
        <x:v>2569.5429692749076</x:v>
      </x:c>
      <x:c r="AP49" s="141" t="n">
        <x:f>IF(AND(TRUE,Premissas!$B$11="Imovel",Premissas!$B$47="Moradia",$A49&lt;MAX(Premissas!$B$48,Premissas!$B$49)),$D49,0)</x:f>
        <x:v>0</x:v>
      </x:c>
      <x:c r="AQ49" s="141" t="n">
        <x:f>IF(AND(TRUE,Premissas!$B$11="Imovel",Premissas!$B$47="Investimento",$A49&gt;=MAX(Premissas!$B$48,Premissas!$B$49)),$E49,0)</x:f>
        <x:v>762.2502400000001</x:v>
      </x:c>
      <x:c r="AR49" s="141" t="n">
        <x:f>AN49+AO49+AP49</x:f>
        <x:v>2569.5429692749076</x:v>
      </x:c>
      <x:c r="AS49" s="141" t="n">
        <x:f>AQ49</x:f>
        <x:v>762.2502400000001</x:v>
      </x:c>
      <x:c r="AT49" s="141" t="n">
        <x:f>$C49+AS49-AR49</x:f>
        <x:v>5192.707270725093</x:v>
      </x:c>
      <x:c r="AU49" s="141" t="n">
        <x:f>AX48*(1+Premissas!$B$41)+AT49</x:f>
        <x:v>360368.0996138578</x:v>
      </x:c>
      <x:c r="AV49" s="141" t="n">
        <x:f>MAX(0,-AU49)</x:f>
        <x:v>0</x:v>
      </x:c>
      <x:c r="AW49" s="141" t="n">
        <x:f>AW48*(1+Premissas!$B$41)+AV49</x:f>
        <x:v>0</x:v>
      </x:c>
      <x:c r="AX49" s="141" t="n">
        <x:f>MAX(0,AU49)</x:f>
        <x:v>360368.0996138578</x:v>
      </x:c>
      <x:c r="AY49" s="141" t="n">
        <x:f>INDEX('Consorcio IQ'!$P$6:$P$485,$A49)</x:f>
        <x:v>231270.30958970188</x:v>
      </x:c>
      <x:c r="AZ49" s="141" t="n">
        <x:f>IF($A49&gt;=Premissas!$B$48,$F49,0)+IF($A49&lt;Premissas!$B$27,INDEX('Consorcio IQ'!$O$6:$O$485,$A49),0)</x:f>
        <x:v>366666.9209212593</x:v>
      </x:c>
      <x:c r="BA49" s="141" t="n">
        <x:f>AX49+AZ49-AY49</x:f>
        <x:v>495764.71094541525</x:v>
      </x:c>
      <x:c r="BB49" s="141" t="n">
        <x:f>IF(AW49&gt;1,"Inviavel",BA49)</x:f>
        <x:v>495764.71094541525</x:v>
      </x:c>
      <x:c r="BC49" s="141" t="str">
        <x:f>IF(AW49&gt;1,"Inviavel","OK")</x:f>
        <x:v>OK</x:v>
      </x:c>
      <x:c r="BD49" s="141" t="n">
        <x:f>IF($A49='Consorcio Direto'!$B$29,'Consorcio Direto'!$B$44,0)</x:f>
        <x:v>0</x:v>
      </x:c>
      <x:c r="BE49" s="141" t="n">
        <x:f>IF($A49&lt;='Consorcio Direto'!$B$27,INDEX('Consorcio Direto'!$E$55:$E$534,$A49),0)</x:f>
        <x:v>1759.3947642826768</x:v>
      </x:c>
      <x:c r="BF49" s="141" t="n">
        <x:f>IF(AND(TRUE,Premissas!$B$11="Imovel",Premissas!$B$47="Moradia",$A49&lt;MAX('Consorcio Direto'!$B$29,Premissas!$B$49)),$D49,0)</x:f>
        <x:v>0</x:v>
      </x:c>
      <x:c r="BG49" s="141" t="n">
        <x:f>IF(AND(TRUE,Premissas!$B$11="Imovel",Premissas!$B$47="Investimento",$A49&gt;=MAX('Consorcio Direto'!$B$29,Premissas!$B$49)),$E49,0)</x:f>
        <x:v>0</x:v>
      </x:c>
      <x:c r="BH49" s="141" t="n">
        <x:f>BD49+BE49+BF49</x:f>
        <x:v>1759.3947642826768</x:v>
      </x:c>
      <x:c r="BI49" s="141" t="n">
        <x:f>BG49</x:f>
        <x:v>0</x:v>
      </x:c>
      <x:c r="BJ49" s="141" t="n">
        <x:f>$C49+BI49-BH49</x:f>
        <x:v>5240.605235717323</x:v>
      </x:c>
      <x:c r="BK49" s="141" t="n">
        <x:f>BN48*(1+Premissas!$B$41)+BJ49</x:f>
        <x:v>438070.88276438485</x:v>
      </x:c>
      <x:c r="BL49" s="141" t="n">
        <x:f>MAX(0,-BK49)</x:f>
        <x:v>0</x:v>
      </x:c>
      <x:c r="BM49" s="141" t="n">
        <x:f>BM48*(1+Premissas!$B$41)+BL49</x:f>
        <x:v>0</x:v>
      </x:c>
      <x:c r="BN49" s="141" t="n">
        <x:f>MAX(0,BK49)</x:f>
        <x:v>438070.88276438485</x:v>
      </x:c>
      <x:c r="BO49" s="141" t="n">
        <x:f>INDEX('Consorcio Direto'!$K$55:$K$534,$A49)</x:f>
        <x:v>228945.96279018332</x:v>
      </x:c>
      <x:c r="BP49" s="141" t="n">
        <x:f>IF($A49&lt;'Consorcio Direto'!$B$29,INDEX('Consorcio Direto'!$L$55:$L$534,$A49),$F49)</x:f>
        <x:v>231168.1362218142</x:v>
      </x:c>
      <x:c r="BQ49" s="141" t="n">
        <x:f>BN49+BP49-BO49</x:f>
        <x:v>440293.05619601574</x:v>
      </x:c>
      <x:c r="BR49" s="141" t="n">
        <x:f>IF(BM49&gt;1,"Inviavel",BQ49)</x:f>
        <x:v>440293.05619601574</x:v>
      </x:c>
      <x:c r="BS49" s="141" t="str">
        <x:f>IF(BM49&gt;1,"Inviavel","OK")</x:f>
        <x:v>OK</x:v>
      </x:c>
      <x:c r="BT49" s="141" t="n">
        <x:f>IF(AND('Carta Contemplada'!$B$22="Sim",$A49='Carta Contemplada'!$B$23),'Carta Contemplada'!$B$37,0)</x:f>
        <x:v>0</x:v>
      </x:c>
      <x:c r="BU49" s="141" t="n">
        <x:f>IF('Carta Contemplada'!$B$22="Sim",INDEX('Carta Contemplada'!$C$55:$C$1013,$A49),0)</x:f>
        <x:v>1429.2192</x:v>
      </x:c>
      <x:c r="BV49" s="141" t="n">
        <x:f>IF(AND('Carta Contemplada'!$B$22="Sim",Premissas!$B$11="Imovel",Premissas!$B$47="Moradia",$A49&lt;MAX('Carta Contemplada'!$B$44,Premissas!$B$49)),$D49,0)</x:f>
        <x:v>0</x:v>
      </x:c>
      <x:c r="BW49" s="141" t="n">
        <x:f>IF(AND('Carta Contemplada'!$B$22="Sim",Premissas!$B$11="Imovel",Premissas!$B$47="Investimento",$A49&gt;=MAX('Carta Contemplada'!$B$44,Premissas!$B$49)),$E49,0)</x:f>
        <x:v>762.2502400000001</x:v>
      </x:c>
      <x:c r="BX49" s="141" t="n">
        <x:f>BT49+BU49+BV49</x:f>
        <x:v>1429.2192</x:v>
      </x:c>
      <x:c r="BY49" s="141" t="n">
        <x:f>BW49</x:f>
        <x:v>762.2502400000001</x:v>
      </x:c>
      <x:c r="BZ49" s="141" t="n">
        <x:f>$C49+BY49-BX49</x:f>
        <x:v>6333.03104</x:v>
      </x:c>
      <x:c r="CA49" s="141" t="n">
        <x:f>CD48*(1+Premissas!$B$41)+BZ49</x:f>
        <x:v>422094.2902839598</x:v>
      </x:c>
      <x:c r="CB49" s="141" t="n">
        <x:f>MAX(0,-CA49)</x:f>
        <x:v>0</x:v>
      </x:c>
      <x:c r="CC49" s="141" t="n">
        <x:f>CC48*(1+Premissas!$B$41)+CB49</x:f>
        <x:v>0</x:v>
      </x:c>
      <x:c r="CD49" s="141" t="n">
        <x:f>MAX(0,CA49)</x:f>
        <x:v>422094.2902839598</x:v>
      </x:c>
      <x:c r="CE49" s="141" t="n">
        <x:f>IF(AND('Carta Contemplada'!$B$22="Sim",$A49&gt;='Carta Contemplada'!$B$23),INDEX('Carta Contemplada'!$I$55:$I$1013,$A49),0)</x:f>
        <x:v>145216.66699722508</x:v>
      </x:c>
      <x:c r="CF49" s="141" t="n">
        <x:f>IF(AND('Carta Contemplada'!$B$22="Sim",$A49&gt;='Carta Contemplada'!$B$44),$F49,0)</x:f>
        <x:v>247638.50203469003</x:v>
      </x:c>
      <x:c r="CG49" s="141" t="n">
        <x:f>CD49+CF49-CE49</x:f>
        <x:v>524516.1253214248</x:v>
      </x:c>
      <x:c r="CH49" s="141" t="n">
        <x:f>IF(CC49&gt;1,"Inviavel",CG49)</x:f>
        <x:v>524516.1253214248</x:v>
      </x:c>
      <x:c r="CI49" s="145" t="str">
        <x:f>IF(CC49&gt;1,"Inviavel","OK")</x:f>
        <x:v>OK</x:v>
      </x:c>
    </x:row>
    <x:row r="50">
      <x:c r="A50" s="142" t="n">
        <x:v>46</x:v>
      </x:c>
      <x:c r="B50" s="179" t="n">
        <x:f>EDATE(Premissas!$B$4,A50-1)</x:f>
        <x:v>47908</x:v>
      </x:c>
      <x:c r="C50" s="141" t="n">
        <x:f>IF(A50&lt;=Premissas!$B$39,Premissas!$B$42,0)</x:f>
        <x:v>7000</x:v>
      </x:c>
      <x:c r="D50" s="141" t="n">
        <x:f>Premissas!$B$54*(1+Premissas!$B$57)^INT((A50-1)/12)</x:f>
        <x:v>833.7112000000001</x:v>
      </x:c>
      <x:c r="E50" s="141" t="n">
        <x:f>Premissas!$B$64*(1+Premissas!$B$57)^INT((A50-1)/12)</x:f>
        <x:v>762.2502400000001</x:v>
      </x:c>
      <x:c r="F50" s="141" t="n">
        <x:f>MAX(0,Premissas!$B$6*(1+Premissas!$B$66)^((A50-1)/12))</x:f>
        <x:v>248843.8949652697</x:v>
      </x:c>
      <x:c r="G50" s="141" t="n">
        <x:f>G49*(1+Premissas!$B$41)+C50</x:f>
        <x:v>539033.4245571495</x:v>
      </x:c>
      <x:c r="H50" s="141" t="n">
        <x:f>IF($A50=Premissas!$B$48,Premissas!$B$8,0)</x:f>
        <x:v>0</x:v>
      </x:c>
      <x:c r="I50" s="141" t="n">
        <x:f>IF(AND($A50&gt;=Premissas!$B$48,$A50-Premissas!$B$48+1&lt;=Premissas!$B$13),INDEX(Financiamento!$J$6:$J$485,$A50-Premissas!$B$48+1),0)</x:f>
        <x:v>1886.4942287499623</x:v>
      </x:c>
      <x:c r="J50" s="141" t="n">
        <x:f>IF(AND(TRUE,Premissas!$B$11="Imovel",Premissas!$B$47="Moradia",$A50&lt;MAX(Premissas!$B$48,Premissas!$B$49)),$D50,0)</x:f>
        <x:v>0</x:v>
      </x:c>
      <x:c r="K50" s="141" t="n">
        <x:f>IF(AND(TRUE,Premissas!$B$11="Imovel",Premissas!$B$47="Investimento",$A50&gt;=MAX(Premissas!$B$48,Premissas!$B$49)),$E50,0)</x:f>
        <x:v>762.2502400000001</x:v>
      </x:c>
      <x:c r="L50" s="141" t="n">
        <x:f>H50+I50+J50</x:f>
        <x:v>1886.4942287499623</x:v>
      </x:c>
      <x:c r="M50" s="141" t="n">
        <x:f>K50</x:f>
        <x:v>762.2502400000001</x:v>
      </x:c>
      <x:c r="N50" s="141" t="n">
        <x:f>$C50+M50-L50</x:f>
        <x:v>5875.756011250038</x:v>
      </x:c>
      <x:c r="O50" s="141" t="n">
        <x:f>R49*(1+Premissas!$B$41)+N50</x:f>
        <x:v>404344.04431537504</x:v>
      </x:c>
      <x:c r="P50" s="141" t="n">
        <x:f>MAX(0,-O50)</x:f>
        <x:v>0</x:v>
      </x:c>
      <x:c r="Q50" s="141" t="n">
        <x:f>Q49*(1+Premissas!$B$41)+P50</x:f>
        <x:v>0</x:v>
      </x:c>
      <x:c r="R50" s="141" t="n">
        <x:f>MAX(0,O50)</x:f>
        <x:v>404344.04431537504</x:v>
      </x:c>
      <x:c r="S50" s="141" t="n">
        <x:f>IF(AND($A50&gt;=Premissas!$B$48,$A50-Premissas!$B$48+1&lt;=Premissas!$B$13),INDEX(Financiamento!$M$6:$M$485,$A50-Premissas!$B$48+1),0)</x:f>
        <x:v>142476.19047619074</x:v>
      </x:c>
      <x:c r="T50" s="141" t="n">
        <x:f>IF($A50&gt;=Premissas!$B$48,$F50,0)</x:f>
        <x:v>248843.8949652697</x:v>
      </x:c>
      <x:c r="U50" s="141" t="n">
        <x:f>R50+T50-S50</x:f>
        <x:v>510711.748804454</x:v>
      </x:c>
      <x:c r="V50" s="141" t="n">
        <x:f>IF(Q50&gt;1,"Inviavel",U50)</x:f>
        <x:v>510711.748804454</x:v>
      </x:c>
      <x:c r="W50" s="141" t="str">
        <x:f>IF(Q50&gt;1,"Inviavel","OK")</x:f>
        <x:v>OK</x:v>
      </x:c>
      <x:c r="X50" s="141" t="n">
        <x:f>IF($A50=Premissas!$B$48,Premissas!$B$8,0)</x:f>
        <x:v>0</x:v>
      </x:c>
      <x:c r="Y50" s="141" t="n">
        <x:f>IF(AND($A50&gt;=Premissas!$B$48,$A50-Premissas!$B$48+1&lt;=Premissas!$B$13),INDEX(Amortizacao!$K$6:$K$485,$A50-Premissas!$B$48+1),0)</x:f>
        <x:v>0</x:v>
      </x:c>
      <x:c r="Z50" s="141" t="n">
        <x:f>IF(AND(TRUE,Premissas!$B$11="Imovel",Premissas!$B$47="Moradia",$A50&lt;MAX(Premissas!$B$48,Premissas!$B$49)),$D50,0)</x:f>
        <x:v>0</x:v>
      </x:c>
      <x:c r="AA50" s="141" t="n">
        <x:f>IF(AND(TRUE,Premissas!$B$11="Imovel",Premissas!$B$47="Investimento",$A50&gt;=MAX(Premissas!$B$48,Premissas!$B$49)),$E50,0)</x:f>
        <x:v>762.2502400000001</x:v>
      </x:c>
      <x:c r="AB50" s="141" t="n">
        <x:f>X50+Y50+Z50</x:f>
        <x:v>0</x:v>
      </x:c>
      <x:c r="AC50" s="141" t="n">
        <x:f>AA50</x:f>
        <x:v>762.2502400000001</x:v>
      </x:c>
      <x:c r="AD50" s="141" t="n">
        <x:f>$C50+AC50-AB50</x:f>
        <x:v>7762.25024</x:v>
      </x:c>
      <x:c r="AE50" s="141" t="n">
        <x:f>AH49*(1+Premissas!$B$41)+AD50</x:f>
        <x:v>264974.8394578314</x:v>
      </x:c>
      <x:c r="AF50" s="141" t="n">
        <x:f>MAX(0,-AE50)</x:f>
        <x:v>0</x:v>
      </x:c>
      <x:c r="AG50" s="141" t="n">
        <x:f>AG49*(1+Premissas!$B$41)+AF50</x:f>
        <x:v>0</x:v>
      </x:c>
      <x:c r="AH50" s="141" t="n">
        <x:f>MAX(0,AE50)</x:f>
        <x:v>264974.8394578314</x:v>
      </x:c>
      <x:c r="AI50" s="141" t="n">
        <x:f>IF(AND($A50&gt;=Premissas!$B$48,$A50-Premissas!$B$48+1&lt;=Premissas!$B$13),INDEX(Amortizacao!$L$6:$L$485,$A50-Premissas!$B$48+1),0)</x:f>
        <x:v>0</x:v>
      </x:c>
      <x:c r="AJ50" s="141" t="n">
        <x:f>IF($A50&gt;=Premissas!$B$48,$F50,0)</x:f>
        <x:v>248843.8949652697</x:v>
      </x:c>
      <x:c r="AK50" s="141" t="n">
        <x:f>AH50+AJ50-AI50</x:f>
        <x:v>513818.73442310106</x:v>
      </x:c>
      <x:c r="AL50" s="141" t="n">
        <x:f>IF(AG50&gt;1,"Inviavel",AK50)</x:f>
        <x:v>513818.73442310106</x:v>
      </x:c>
      <x:c r="AM50" s="141" t="str">
        <x:f>IF(AG50&gt;1,"Inviavel","OK")</x:f>
        <x:v>OK</x:v>
      </x:c>
      <x:c r="AN50" s="141" t="n">
        <x:f>IF($A50=Premissas!$B$48,Premissas!$B$8,0)</x:f>
        <x:v>0</x:v>
      </x:c>
      <x:c r="AO50" s="141" t="n">
        <x:f>IF($A50&lt;=Premissas!$B$25,INDEX('Consorcio IQ'!$K$6:$K$485,$A50),0)</x:f>
        <x:v>2565.9281910141144</x:v>
      </x:c>
      <x:c r="AP50" s="141" t="n">
        <x:f>IF(AND(TRUE,Premissas!$B$11="Imovel",Premissas!$B$47="Moradia",$A50&lt;MAX(Premissas!$B$48,Premissas!$B$49)),$D50,0)</x:f>
        <x:v>0</x:v>
      </x:c>
      <x:c r="AQ50" s="141" t="n">
        <x:f>IF(AND(TRUE,Premissas!$B$11="Imovel",Premissas!$B$47="Investimento",$A50&gt;=MAX(Premissas!$B$48,Premissas!$B$49)),$E50,0)</x:f>
        <x:v>762.2502400000001</x:v>
      </x:c>
      <x:c r="AR50" s="141" t="n">
        <x:f>AN50+AO50+AP50</x:f>
        <x:v>2565.9281910141144</x:v>
      </x:c>
      <x:c r="AS50" s="141" t="n">
        <x:f>AQ50</x:f>
        <x:v>762.2502400000001</x:v>
      </x:c>
      <x:c r="AT50" s="141" t="n">
        <x:f>$C50+AS50-AR50</x:f>
        <x:v>5196.322048985886</x:v>
      </x:c>
      <x:c r="AU50" s="141" t="n">
        <x:f>AX49*(1+Premissas!$B$41)+AT50</x:f>
        <x:v>368983.87994030875</x:v>
      </x:c>
      <x:c r="AV50" s="141" t="n">
        <x:f>MAX(0,-AU50)</x:f>
        <x:v>0</x:v>
      </x:c>
      <x:c r="AW50" s="141" t="n">
        <x:f>AW49*(1+Premissas!$B$41)+AV50</x:f>
        <x:v>0</x:v>
      </x:c>
      <x:c r="AX50" s="141" t="n">
        <x:f>MAX(0,AU50)</x:f>
        <x:v>368983.87994030875</x:v>
      </x:c>
      <x:c r="AY50" s="141" t="n">
        <x:f>INDEX('Consorcio IQ'!$P$6:$P$485,$A50)</x:f>
        <x:v>231048.85747830136</x:v>
      </x:c>
      <x:c r="AZ50" s="141" t="n">
        <x:f>IF($A50&gt;=Premissas!$B$48,$F50,0)+IF($A50&lt;Premissas!$B$27,INDEX('Consorcio IQ'!$O$6:$O$485,$A50),0)</x:f>
        <x:v>369001.7498719845</x:v>
      </x:c>
      <x:c r="BA50" s="141" t="n">
        <x:f>AX50+AZ50-AY50</x:f>
        <x:v>506936.77233399183</x:v>
      </x:c>
      <x:c r="BB50" s="141" t="n">
        <x:f>IF(AW50&gt;1,"Inviavel",BA50)</x:f>
        <x:v>506936.77233399183</x:v>
      </x:c>
      <x:c r="BC50" s="141" t="str">
        <x:f>IF(AW50&gt;1,"Inviavel","OK")</x:f>
        <x:v>OK</x:v>
      </x:c>
      <x:c r="BD50" s="141" t="n">
        <x:f>IF($A50='Consorcio Direto'!$B$29,'Consorcio Direto'!$B$44,0)</x:f>
        <x:v>0</x:v>
      </x:c>
      <x:c r="BE50" s="141" t="n">
        <x:f>IF($A50&lt;='Consorcio Direto'!$B$27,INDEX('Consorcio Direto'!$E$55:$E$534,$A50),0)</x:f>
        <x:v>1759.3947642826768</x:v>
      </x:c>
      <x:c r="BF50" s="141" t="n">
        <x:f>IF(AND(TRUE,Premissas!$B$11="Imovel",Premissas!$B$47="Moradia",$A50&lt;MAX('Consorcio Direto'!$B$29,Premissas!$B$49)),$D50,0)</x:f>
        <x:v>0</x:v>
      </x:c>
      <x:c r="BG50" s="141" t="n">
        <x:f>IF(AND(TRUE,Premissas!$B$11="Imovel",Premissas!$B$47="Investimento",$A50&gt;=MAX('Consorcio Direto'!$B$29,Premissas!$B$49)),$E50,0)</x:f>
        <x:v>0</x:v>
      </x:c>
      <x:c r="BH50" s="141" t="n">
        <x:f>BD50+BE50+BF50</x:f>
        <x:v>1759.3947642826768</x:v>
      </x:c>
      <x:c r="BI50" s="141" t="n">
        <x:f>BG50</x:f>
        <x:v>0</x:v>
      </x:c>
      <x:c r="BJ50" s="141" t="n">
        <x:f>$C50+BI50-BH50</x:f>
        <x:v>5240.605235717323</x:v>
      </x:c>
      <x:c r="BK50" s="141" t="n">
        <x:f>BN49*(1+Premissas!$B$41)+BJ50</x:f>
        <x:v>447468.2518973234</x:v>
      </x:c>
      <x:c r="BL50" s="141" t="n">
        <x:f>MAX(0,-BK50)</x:f>
        <x:v>0</x:v>
      </x:c>
      <x:c r="BM50" s="141" t="n">
        <x:f>BM49*(1+Premissas!$B$41)+BL50</x:f>
        <x:v>0</x:v>
      </x:c>
      <x:c r="BN50" s="141" t="n">
        <x:f>MAX(0,BK50)</x:f>
        <x:v>447468.2518973234</x:v>
      </x:c>
      <x:c r="BO50" s="141" t="n">
        <x:f>INDEX('Consorcio Direto'!$K$55:$K$534,$A50)</x:f>
        <x:v>229358.98886002545</x:v>
      </x:c>
      <x:c r="BP50" s="141" t="n">
        <x:f>IF($A50&lt;'Consorcio Direto'!$B$29,INDEX('Consorcio Direto'!$L$55:$L$534,$A50),$F50)</x:f>
        <x:v>233361.6427994965</x:v>
      </x:c>
      <x:c r="BQ50" s="141" t="n">
        <x:f>BN50+BP50-BO50</x:f>
        <x:v>451470.9058367945</x:v>
      </x:c>
      <x:c r="BR50" s="141" t="n">
        <x:f>IF(BM50&gt;1,"Inviavel",BQ50)</x:f>
        <x:v>451470.9058367945</x:v>
      </x:c>
      <x:c r="BS50" s="141" t="str">
        <x:f>IF(BM50&gt;1,"Inviavel","OK")</x:f>
        <x:v>OK</x:v>
      </x:c>
      <x:c r="BT50" s="141" t="n">
        <x:f>IF(AND('Carta Contemplada'!$B$22="Sim",$A50='Carta Contemplada'!$B$23),'Carta Contemplada'!$B$37,0)</x:f>
        <x:v>0</x:v>
      </x:c>
      <x:c r="BU50" s="141" t="n">
        <x:f>IF('Carta Contemplada'!$B$22="Sim",INDEX('Carta Contemplada'!$C$55:$C$1013,$A50),0)</x:f>
        <x:v>1429.2192</x:v>
      </x:c>
      <x:c r="BV50" s="141" t="n">
        <x:f>IF(AND('Carta Contemplada'!$B$22="Sim",Premissas!$B$11="Imovel",Premissas!$B$47="Moradia",$A50&lt;MAX('Carta Contemplada'!$B$44,Premissas!$B$49)),$D50,0)</x:f>
        <x:v>0</x:v>
      </x:c>
      <x:c r="BW50" s="141" t="n">
        <x:f>IF(AND('Carta Contemplada'!$B$22="Sim",Premissas!$B$11="Imovel",Premissas!$B$47="Investimento",$A50&gt;=MAX('Carta Contemplada'!$B$44,Premissas!$B$49)),$E50,0)</x:f>
        <x:v>762.2502400000001</x:v>
      </x:c>
      <x:c r="BX50" s="141" t="n">
        <x:f>BT50+BU50+BV50</x:f>
        <x:v>1429.2192</x:v>
      </x:c>
      <x:c r="BY50" s="141" t="n">
        <x:f>BW50</x:f>
        <x:v>762.2502400000001</x:v>
      </x:c>
      <x:c r="BZ50" s="141" t="n">
        <x:f>$C50+BY50-BX50</x:f>
        <x:v>6333.03104</x:v>
      </x:c>
      <x:c r="CA50" s="141" t="n">
        <x:f>CD49*(1+Premissas!$B$41)+BZ50</x:f>
        <x:v>432432.4866433341</x:v>
      </x:c>
      <x:c r="CB50" s="141" t="n">
        <x:f>MAX(0,-CA50)</x:f>
        <x:v>0</x:v>
      </x:c>
      <x:c r="CC50" s="141" t="n">
        <x:f>CC49*(1+Premissas!$B$41)+CB50</x:f>
        <x:v>0</x:v>
      </x:c>
      <x:c r="CD50" s="141" t="n">
        <x:f>MAX(0,CA50)</x:f>
        <x:v>432432.4866433341</x:v>
      </x:c>
      <x:c r="CE50" s="141" t="n">
        <x:f>IF(AND('Carta Contemplada'!$B$22="Sim",$A50&gt;='Carta Contemplada'!$B$23),INDEX('Carta Contemplada'!$I$55:$I$1013,$A50),0)</x:f>
        <x:v>145165.37868101205</x:v>
      </x:c>
      <x:c r="CF50" s="141" t="n">
        <x:f>IF(AND('Carta Contemplada'!$B$22="Sim",$A50&gt;='Carta Contemplada'!$B$44),$F50,0)</x:f>
        <x:v>248843.8949652697</x:v>
      </x:c>
      <x:c r="CG50" s="141" t="n">
        <x:f>CD50+CF50-CE50</x:f>
        <x:v>536111.0029275917</x:v>
      </x:c>
      <x:c r="CH50" s="141" t="n">
        <x:f>IF(CC50&gt;1,"Inviavel",CG50)</x:f>
        <x:v>536111.0029275917</x:v>
      </x:c>
      <x:c r="CI50" s="145" t="str">
        <x:f>IF(CC50&gt;1,"Inviavel","OK")</x:f>
        <x:v>OK</x:v>
      </x:c>
    </x:row>
    <x:row r="51">
      <x:c r="A51" s="142" t="n">
        <x:v>47</x:v>
      </x:c>
      <x:c r="B51" s="179" t="n">
        <x:f>EDATE(Premissas!$B$4,A51-1)</x:f>
        <x:v>47939</x:v>
      </x:c>
      <x:c r="C51" s="141" t="n">
        <x:f>IF(A51&lt;=Premissas!$B$39,Premissas!$B$42,0)</x:f>
        <x:v>7000</x:v>
      </x:c>
      <x:c r="D51" s="141" t="n">
        <x:f>Premissas!$B$54*(1+Premissas!$B$57)^INT((A51-1)/12)</x:f>
        <x:v>833.7112000000001</x:v>
      </x:c>
      <x:c r="E51" s="141" t="n">
        <x:f>Premissas!$B$64*(1+Premissas!$B$57)^INT((A51-1)/12)</x:f>
        <x:v>762.2502400000001</x:v>
      </x:c>
      <x:c r="F51" s="141" t="n">
        <x:f>MAX(0,Premissas!$B$6*(1+Premissas!$B$66)^((A51-1)/12))</x:f>
        <x:v>250055.15520689005</x:v>
      </x:c>
      <x:c r="G51" s="141" t="n">
        <x:f>G50*(1+Premissas!$B$41)+C51</x:f>
        <x:v>551148.2011075915</x:v>
      </x:c>
      <x:c r="H51" s="141" t="n">
        <x:f>IF($A51=Premissas!$B$48,Premissas!$B$8,0)</x:f>
        <x:v>0</x:v>
      </x:c>
      <x:c r="I51" s="141" t="n">
        <x:f>IF(AND($A51&gt;=Premissas!$B$48,$A51-Premissas!$B$48+1&lt;=Premissas!$B$13),INDEX(Financiamento!$J$6:$J$485,$A51-Premissas!$B$48+1),0)</x:f>
        <x:v>1882.8794504891684</x:v>
      </x:c>
      <x:c r="J51" s="141" t="n">
        <x:f>IF(AND(TRUE,Premissas!$B$11="Imovel",Premissas!$B$47="Moradia",$A51&lt;MAX(Premissas!$B$48,Premissas!$B$49)),$D51,0)</x:f>
        <x:v>0</x:v>
      </x:c>
      <x:c r="K51" s="141" t="n">
        <x:f>IF(AND(TRUE,Premissas!$B$11="Imovel",Premissas!$B$47="Investimento",$A51&gt;=MAX(Premissas!$B$48,Premissas!$B$49)),$E51,0)</x:f>
        <x:v>762.2502400000001</x:v>
      </x:c>
      <x:c r="L51" s="141" t="n">
        <x:f>H51+I51+J51</x:f>
        <x:v>1882.8794504891684</x:v>
      </x:c>
      <x:c r="M51" s="141" t="n">
        <x:f>K51</x:f>
        <x:v>762.2502400000001</x:v>
      </x:c>
      <x:c r="N51" s="141" t="n">
        <x:f>$C51+M51-L51</x:f>
        <x:v>5879.370789510832</x:v>
      </x:c>
      <x:c r="O51" s="141" t="n">
        <x:f>R50*(1+Premissas!$B$41)+N51</x:f>
        <x:v>414060.1520157263</x:v>
      </x:c>
      <x:c r="P51" s="141" t="n">
        <x:f>MAX(0,-O51)</x:f>
        <x:v>0</x:v>
      </x:c>
      <x:c r="Q51" s="141" t="n">
        <x:f>Q50*(1+Premissas!$B$41)+P51</x:f>
        <x:v>0</x:v>
      </x:c>
      <x:c r="R51" s="141" t="n">
        <x:f>MAX(0,O51)</x:f>
        <x:v>414060.1520157263</x:v>
      </x:c>
      <x:c r="S51" s="141" t="n">
        <x:f>IF(AND($A51&gt;=Premissas!$B$48,$A51-Premissas!$B$48+1&lt;=Premissas!$B$13),INDEX(Financiamento!$M$6:$M$485,$A51-Premissas!$B$48+1),0)</x:f>
        <x:v>142095.23809523834</x:v>
      </x:c>
      <x:c r="T51" s="141" t="n">
        <x:f>IF($A51&gt;=Premissas!$B$48,$F51,0)</x:f>
        <x:v>250055.15520689005</x:v>
      </x:c>
      <x:c r="U51" s="141" t="n">
        <x:f>R51+T51-S51</x:f>
        <x:v>522020.06912737805</x:v>
      </x:c>
      <x:c r="V51" s="141" t="n">
        <x:f>IF(Q51&gt;1,"Inviavel",U51)</x:f>
        <x:v>522020.06912737805</x:v>
      </x:c>
      <x:c r="W51" s="141" t="str">
        <x:f>IF(Q51&gt;1,"Inviavel","OK")</x:f>
        <x:v>OK</x:v>
      </x:c>
      <x:c r="X51" s="141" t="n">
        <x:f>IF($A51=Premissas!$B$48,Premissas!$B$8,0)</x:f>
        <x:v>0</x:v>
      </x:c>
      <x:c r="Y51" s="141" t="n">
        <x:f>IF(AND($A51&gt;=Premissas!$B$48,$A51-Premissas!$B$48+1&lt;=Premissas!$B$13),INDEX(Amortizacao!$K$6:$K$485,$A51-Premissas!$B$48+1),0)</x:f>
        <x:v>0</x:v>
      </x:c>
      <x:c r="Z51" s="141" t="n">
        <x:f>IF(AND(TRUE,Premissas!$B$11="Imovel",Premissas!$B$47="Moradia",$A51&lt;MAX(Premissas!$B$48,Premissas!$B$49)),$D51,0)</x:f>
        <x:v>0</x:v>
      </x:c>
      <x:c r="AA51" s="141" t="n">
        <x:f>IF(AND(TRUE,Premissas!$B$11="Imovel",Premissas!$B$47="Investimento",$A51&gt;=MAX(Premissas!$B$48,Premissas!$B$49)),$E51,0)</x:f>
        <x:v>762.2502400000001</x:v>
      </x:c>
      <x:c r="AB51" s="141" t="n">
        <x:f>X51+Y51+Z51</x:f>
        <x:v>0</x:v>
      </x:c>
      <x:c r="AC51" s="141" t="n">
        <x:f>AA51</x:f>
        <x:v>762.2502400000001</x:v>
      </x:c>
      <x:c r="AD51" s="141" t="n">
        <x:f>$C51+AC51-AB51</x:f>
        <x:v>7762.25024</x:v>
      </x:c>
      <x:c r="AE51" s="141" t="n">
        <x:f>AH50*(1+Premissas!$B$41)+AD51</x:f>
        <x:v>275251.38108232117</x:v>
      </x:c>
      <x:c r="AF51" s="141" t="n">
        <x:f>MAX(0,-AE51)</x:f>
        <x:v>0</x:v>
      </x:c>
      <x:c r="AG51" s="141" t="n">
        <x:f>AG50*(1+Premissas!$B$41)+AF51</x:f>
        <x:v>0</x:v>
      </x:c>
      <x:c r="AH51" s="141" t="n">
        <x:f>MAX(0,AE51)</x:f>
        <x:v>275251.38108232117</x:v>
      </x:c>
      <x:c r="AI51" s="141" t="n">
        <x:f>IF(AND($A51&gt;=Premissas!$B$48,$A51-Premissas!$B$48+1&lt;=Premissas!$B$13),INDEX(Amortizacao!$L$6:$L$485,$A51-Premissas!$B$48+1),0)</x:f>
        <x:v>0</x:v>
      </x:c>
      <x:c r="AJ51" s="141" t="n">
        <x:f>IF($A51&gt;=Premissas!$B$48,$F51,0)</x:f>
        <x:v>250055.15520689005</x:v>
      </x:c>
      <x:c r="AK51" s="141" t="n">
        <x:f>AH51+AJ51-AI51</x:f>
        <x:v>525306.5362892112</x:v>
      </x:c>
      <x:c r="AL51" s="141" t="n">
        <x:f>IF(AG51&gt;1,"Inviavel",AK51)</x:f>
        <x:v>525306.5362892112</x:v>
      </x:c>
      <x:c r="AM51" s="141" t="str">
        <x:f>IF(AG51&gt;1,"Inviavel","OK")</x:f>
        <x:v>OK</x:v>
      </x:c>
      <x:c r="AN51" s="141" t="n">
        <x:f>IF($A51=Premissas!$B$48,Premissas!$B$8,0)</x:f>
        <x:v>0</x:v>
      </x:c>
      <x:c r="AO51" s="141" t="n">
        <x:f>IF($A51&lt;=Premissas!$B$25,INDEX('Consorcio IQ'!$K$6:$K$485,$A51),0)</x:f>
        <x:v>2562.3134127533203</x:v>
      </x:c>
      <x:c r="AP51" s="141" t="n">
        <x:f>IF(AND(TRUE,Premissas!$B$11="Imovel",Premissas!$B$47="Moradia",$A51&lt;MAX(Premissas!$B$48,Premissas!$B$49)),$D51,0)</x:f>
        <x:v>0</x:v>
      </x:c>
      <x:c r="AQ51" s="141" t="n">
        <x:f>IF(AND(TRUE,Premissas!$B$11="Imovel",Premissas!$B$47="Investimento",$A51&gt;=MAX(Premissas!$B$48,Premissas!$B$49)),$E51,0)</x:f>
        <x:v>762.2502400000001</x:v>
      </x:c>
      <x:c r="AR51" s="141" t="n">
        <x:f>AN51+AO51+AP51</x:f>
        <x:v>2562.3134127533203</x:v>
      </x:c>
      <x:c r="AS51" s="141" t="n">
        <x:f>AQ51</x:f>
        <x:v>762.2502400000001</x:v>
      </x:c>
      <x:c r="AT51" s="141" t="n">
        <x:f>$C51+AS51-AR51</x:f>
        <x:v>5199.93682724668</x:v>
      </x:c>
      <x:c r="AU51" s="141" t="n">
        <x:f>AX50*(1+Premissas!$B$41)+AT51</x:f>
        <x:v>377685.02840050805</x:v>
      </x:c>
      <x:c r="AV51" s="141" t="n">
        <x:f>MAX(0,-AU51)</x:f>
        <x:v>0</x:v>
      </x:c>
      <x:c r="AW51" s="141" t="n">
        <x:f>AW50*(1+Premissas!$B$41)+AV51</x:f>
        <x:v>0</x:v>
      </x:c>
      <x:c r="AX51" s="141" t="n">
        <x:f>MAX(0,AU51)</x:f>
        <x:v>377685.02840050805</x:v>
      </x:c>
      <x:c r="AY51" s="141" t="n">
        <x:f>INDEX('Consorcio IQ'!$P$6:$P$485,$A51)</x:f>
        <x:v>230828.9188319316</x:v>
      </x:c>
      <x:c r="AZ51" s="141" t="n">
        <x:f>IF($A51&gt;=Premissas!$B$48,$F51,0)+IF($A51&lt;Premissas!$B$27,INDEX('Consorcio IQ'!$O$6:$O$485,$A51),0)</x:f>
        <x:v>371353.1631182783</x:v>
      </x:c>
      <x:c r="BA51" s="141" t="n">
        <x:f>AX51+AZ51-AY51</x:f>
        <x:v>518209.27268685476</x:v>
      </x:c>
      <x:c r="BB51" s="141" t="n">
        <x:f>IF(AW51&gt;1,"Inviavel",BA51)</x:f>
        <x:v>518209.27268685476</x:v>
      </x:c>
      <x:c r="BC51" s="141" t="str">
        <x:f>IF(AW51&gt;1,"Inviavel","OK")</x:f>
        <x:v>OK</x:v>
      </x:c>
      <x:c r="BD51" s="141" t="n">
        <x:f>IF($A51='Consorcio Direto'!$B$29,'Consorcio Direto'!$B$44,0)</x:f>
        <x:v>0</x:v>
      </x:c>
      <x:c r="BE51" s="141" t="n">
        <x:f>IF($A51&lt;='Consorcio Direto'!$B$27,INDEX('Consorcio Direto'!$E$55:$E$534,$A51),0)</x:f>
        <x:v>1759.3947642826768</x:v>
      </x:c>
      <x:c r="BF51" s="141" t="n">
        <x:f>IF(AND(TRUE,Premissas!$B$11="Imovel",Premissas!$B$47="Moradia",$A51&lt;MAX('Consorcio Direto'!$B$29,Premissas!$B$49)),$D51,0)</x:f>
        <x:v>0</x:v>
      </x:c>
      <x:c r="BG51" s="141" t="n">
        <x:f>IF(AND(TRUE,Premissas!$B$11="Imovel",Premissas!$B$47="Investimento",$A51&gt;=MAX('Consorcio Direto'!$B$29,Premissas!$B$49)),$E51,0)</x:f>
        <x:v>0</x:v>
      </x:c>
      <x:c r="BH51" s="141" t="n">
        <x:f>BD51+BE51+BF51</x:f>
        <x:v>1759.3947642826768</x:v>
      </x:c>
      <x:c r="BI51" s="141" t="n">
        <x:f>BG51</x:f>
        <x:v>0</x:v>
      </x:c>
      <x:c r="BJ51" s="141" t="n">
        <x:f>$C51+BI51-BH51</x:f>
        <x:v>5240.605235717323</x:v>
      </x:c>
      <x:c r="BK51" s="141" t="n">
        <x:f>BN50*(1+Premissas!$B$41)+BJ51</x:f>
        <x:v>456954.7907200943</x:v>
      </x:c>
      <x:c r="BL51" s="141" t="n">
        <x:f>MAX(0,-BK51)</x:f>
        <x:v>0</x:v>
      </x:c>
      <x:c r="BM51" s="141" t="n">
        <x:f>BM50*(1+Premissas!$B$41)+BL51</x:f>
        <x:v>0</x:v>
      </x:c>
      <x:c r="BN51" s="141" t="n">
        <x:f>MAX(0,BK51)</x:f>
        <x:v>456954.7907200943</x:v>
      </x:c>
      <x:c r="BO51" s="141" t="n">
        <x:f>INDEX('Consorcio Direto'!$K$55:$K$534,$A51)</x:f>
        <x:v>229775.9340487209</x:v>
      </x:c>
      <x:c r="BP51" s="141" t="n">
        <x:f>IF($A51&lt;'Consorcio Direto'!$B$29,INDEX('Consorcio Direto'!$L$55:$L$534,$A51),$F51)</x:f>
        <x:v>235575.96310689507</x:v>
      </x:c>
      <x:c r="BQ51" s="141" t="n">
        <x:f>BN51+BP51-BO51</x:f>
        <x:v>462754.81977826846</x:v>
      </x:c>
      <x:c r="BR51" s="141" t="n">
        <x:f>IF(BM51&gt;1,"Inviavel",BQ51)</x:f>
        <x:v>462754.81977826846</x:v>
      </x:c>
      <x:c r="BS51" s="141" t="str">
        <x:f>IF(BM51&gt;1,"Inviavel","OK")</x:f>
        <x:v>OK</x:v>
      </x:c>
      <x:c r="BT51" s="141" t="n">
        <x:f>IF(AND('Carta Contemplada'!$B$22="Sim",$A51='Carta Contemplada'!$B$23),'Carta Contemplada'!$B$37,0)</x:f>
        <x:v>0</x:v>
      </x:c>
      <x:c r="BU51" s="141" t="n">
        <x:f>IF('Carta Contemplada'!$B$22="Sim",INDEX('Carta Contemplada'!$C$55:$C$1013,$A51),0)</x:f>
        <x:v>1429.2192</x:v>
      </x:c>
      <x:c r="BV51" s="141" t="n">
        <x:f>IF(AND('Carta Contemplada'!$B$22="Sim",Premissas!$B$11="Imovel",Premissas!$B$47="Moradia",$A51&lt;MAX('Carta Contemplada'!$B$44,Premissas!$B$49)),$D51,0)</x:f>
        <x:v>0</x:v>
      </x:c>
      <x:c r="BW51" s="141" t="n">
        <x:f>IF(AND('Carta Contemplada'!$B$22="Sim",Premissas!$B$11="Imovel",Premissas!$B$47="Investimento",$A51&gt;=MAX('Carta Contemplada'!$B$44,Premissas!$B$49)),$E51,0)</x:f>
        <x:v>762.2502400000001</x:v>
      </x:c>
      <x:c r="BX51" s="141" t="n">
        <x:f>BT51+BU51+BV51</x:f>
        <x:v>1429.2192</x:v>
      </x:c>
      <x:c r="BY51" s="141" t="n">
        <x:f>BW51</x:f>
        <x:v>762.2502400000001</x:v>
      </x:c>
      <x:c r="BZ51" s="141" t="n">
        <x:f>$C51+BY51-BX51</x:f>
        <x:v>6333.03104</x:v>
      </x:c>
      <x:c r="CA51" s="141" t="n">
        <x:f>CD50*(1+Premissas!$B$41)+BZ51</x:f>
        <x:v>442868.78000727954</x:v>
      </x:c>
      <x:c r="CB51" s="141" t="n">
        <x:f>MAX(0,-CA51)</x:f>
        <x:v>0</x:v>
      </x:c>
      <x:c r="CC51" s="141" t="n">
        <x:f>CC50*(1+Premissas!$B$41)+CB51</x:f>
        <x:v>0</x:v>
      </x:c>
      <x:c r="CD51" s="141" t="n">
        <x:f>MAX(0,CA51)</x:f>
        <x:v>442868.78000727954</x:v>
      </x:c>
      <x:c r="CE51" s="141" t="n">
        <x:f>IF(AND('Carta Contemplada'!$B$22="Sim",$A51&gt;='Carta Contemplada'!$B$23),INDEX('Carta Contemplada'!$I$55:$I$1013,$A51),0)</x:f>
        <x:v>145113.6037005865</x:v>
      </x:c>
      <x:c r="CF51" s="141" t="n">
        <x:f>IF(AND('Carta Contemplada'!$B$22="Sim",$A51&gt;='Carta Contemplada'!$B$44),$F51,0)</x:f>
        <x:v>250055.15520689005</x:v>
      </x:c>
      <x:c r="CG51" s="141" t="n">
        <x:f>CD51+CF51-CE51</x:f>
        <x:v>547810.3315135831</x:v>
      </x:c>
      <x:c r="CH51" s="141" t="n">
        <x:f>IF(CC51&gt;1,"Inviavel",CG51)</x:f>
        <x:v>547810.3315135831</x:v>
      </x:c>
      <x:c r="CI51" s="145" t="str">
        <x:f>IF(CC51&gt;1,"Inviavel","OK")</x:f>
        <x:v>OK</x:v>
      </x:c>
    </x:row>
    <x:row r="52">
      <x:c r="A52" s="142" t="n">
        <x:v>48</x:v>
      </x:c>
      <x:c r="B52" s="179" t="n">
        <x:f>EDATE(Premissas!$B$4,A52-1)</x:f>
        <x:v>47969</x:v>
      </x:c>
      <x:c r="C52" s="141" t="n">
        <x:f>IF(A52&lt;=Premissas!$B$39,Premissas!$B$42,0)</x:f>
        <x:v>7000</x:v>
      </x:c>
      <x:c r="D52" s="141" t="n">
        <x:f>Premissas!$B$54*(1+Premissas!$B$57)^INT((A52-1)/12)</x:f>
        <x:v>833.7112000000001</x:v>
      </x:c>
      <x:c r="E52" s="141" t="n">
        <x:f>Premissas!$B$64*(1+Premissas!$B$57)^INT((A52-1)/12)</x:f>
        <x:v>762.2502400000001</x:v>
      </x:c>
      <x:c r="F52" s="141" t="n">
        <x:f>MAX(0,Premissas!$B$6*(1+Premissas!$B$66)^((A52-1)/12))</x:f>
        <x:v>251272.31131898426</x:v>
      </x:c>
      <x:c r="G52" s="141" t="n">
        <x:f>G51*(1+Premissas!$B$41)+C52</x:f>
        <x:v>563377.9322641693</x:v>
      </x:c>
      <x:c r="H52" s="141" t="n">
        <x:f>IF($A52=Premissas!$B$48,Premissas!$B$8,0)</x:f>
        <x:v>0</x:v>
      </x:c>
      <x:c r="I52" s="141" t="n">
        <x:f>IF(AND($A52&gt;=Premissas!$B$48,$A52-Premissas!$B$48+1&lt;=Premissas!$B$13),INDEX(Financiamento!$J$6:$J$485,$A52-Premissas!$B$48+1),0)</x:f>
        <x:v>1879.2646722283748</x:v>
      </x:c>
      <x:c r="J52" s="141" t="n">
        <x:f>IF(AND(TRUE,Premissas!$B$11="Imovel",Premissas!$B$47="Moradia",$A52&lt;MAX(Premissas!$B$48,Premissas!$B$49)),$D52,0)</x:f>
        <x:v>0</x:v>
      </x:c>
      <x:c r="K52" s="141" t="n">
        <x:f>IF(AND(TRUE,Premissas!$B$11="Imovel",Premissas!$B$47="Investimento",$A52&gt;=MAX(Premissas!$B$48,Premissas!$B$49)),$E52,0)</x:f>
        <x:v>762.2502400000001</x:v>
      </x:c>
      <x:c r="L52" s="141" t="n">
        <x:f>H52+I52+J52</x:f>
        <x:v>1879.2646722283748</x:v>
      </x:c>
      <x:c r="M52" s="141" t="n">
        <x:f>K52</x:f>
        <x:v>762.2502400000001</x:v>
      </x:c>
      <x:c r="N52" s="141" t="n">
        <x:f>$C52+M52-L52</x:f>
        <x:v>5882.985567771626</x:v>
      </x:c>
      <x:c r="O52" s="141" t="n">
        <x:f>R51*(1+Premissas!$B$41)+N52</x:f>
        <x:v>423872.0686284371</x:v>
      </x:c>
      <x:c r="P52" s="141" t="n">
        <x:f>MAX(0,-O52)</x:f>
        <x:v>0</x:v>
      </x:c>
      <x:c r="Q52" s="141" t="n">
        <x:f>Q51*(1+Premissas!$B$41)+P52</x:f>
        <x:v>0</x:v>
      </x:c>
      <x:c r="R52" s="141" t="n">
        <x:f>MAX(0,O52)</x:f>
        <x:v>423872.0686284371</x:v>
      </x:c>
      <x:c r="S52" s="141" t="n">
        <x:f>IF(AND($A52&gt;=Premissas!$B$48,$A52-Premissas!$B$48+1&lt;=Premissas!$B$13),INDEX(Financiamento!$M$6:$M$485,$A52-Premissas!$B$48+1),0)</x:f>
        <x:v>141714.28571428597</x:v>
      </x:c>
      <x:c r="T52" s="141" t="n">
        <x:f>IF($A52&gt;=Premissas!$B$48,$F52,0)</x:f>
        <x:v>251272.31131898426</x:v>
      </x:c>
      <x:c r="U52" s="141" t="n">
        <x:f>R52+T52-S52</x:f>
        <x:v>533430.0942331355</x:v>
      </x:c>
      <x:c r="V52" s="141" t="n">
        <x:f>IF(Q52&gt;1,"Inviavel",U52)</x:f>
        <x:v>533430.0942331355</x:v>
      </x:c>
      <x:c r="W52" s="141" t="str">
        <x:f>IF(Q52&gt;1,"Inviavel","OK")</x:f>
        <x:v>OK</x:v>
      </x:c>
      <x:c r="X52" s="141" t="n">
        <x:f>IF($A52=Premissas!$B$48,Premissas!$B$8,0)</x:f>
        <x:v>0</x:v>
      </x:c>
      <x:c r="Y52" s="141" t="n">
        <x:f>IF(AND($A52&gt;=Premissas!$B$48,$A52-Premissas!$B$48+1&lt;=Premissas!$B$13),INDEX(Amortizacao!$K$6:$K$485,$A52-Premissas!$B$48+1),0)</x:f>
        <x:v>0</x:v>
      </x:c>
      <x:c r="Z52" s="141" t="n">
        <x:f>IF(AND(TRUE,Premissas!$B$11="Imovel",Premissas!$B$47="Moradia",$A52&lt;MAX(Premissas!$B$48,Premissas!$B$49)),$D52,0)</x:f>
        <x:v>0</x:v>
      </x:c>
      <x:c r="AA52" s="141" t="n">
        <x:f>IF(AND(TRUE,Premissas!$B$11="Imovel",Premissas!$B$47="Investimento",$A52&gt;=MAX(Premissas!$B$48,Premissas!$B$49)),$E52,0)</x:f>
        <x:v>762.2502400000001</x:v>
      </x:c>
      <x:c r="AB52" s="141" t="n">
        <x:f>X52+Y52+Z52</x:f>
        <x:v>0</x:v>
      </x:c>
      <x:c r="AC52" s="141" t="n">
        <x:f>AA52</x:f>
        <x:v>762.2502400000001</x:v>
      </x:c>
      <x:c r="AD52" s="141" t="n">
        <x:f>$C52+AC52-AB52</x:f>
        <x:v>7762.25024</x:v>
      </x:c>
      <x:c r="AE52" s="141" t="n">
        <x:f>AH51*(1+Premissas!$B$41)+AD52</x:f>
        <x:v>285625.43468236935</x:v>
      </x:c>
      <x:c r="AF52" s="141" t="n">
        <x:f>MAX(0,-AE52)</x:f>
        <x:v>0</x:v>
      </x:c>
      <x:c r="AG52" s="141" t="n">
        <x:f>AG51*(1+Premissas!$B$41)+AF52</x:f>
        <x:v>0</x:v>
      </x:c>
      <x:c r="AH52" s="141" t="n">
        <x:f>MAX(0,AE52)</x:f>
        <x:v>285625.43468236935</x:v>
      </x:c>
      <x:c r="AI52" s="141" t="n">
        <x:f>IF(AND($A52&gt;=Premissas!$B$48,$A52-Premissas!$B$48+1&lt;=Premissas!$B$13),INDEX(Amortizacao!$L$6:$L$485,$A52-Premissas!$B$48+1),0)</x:f>
        <x:v>0</x:v>
      </x:c>
      <x:c r="AJ52" s="141" t="n">
        <x:f>IF($A52&gt;=Premissas!$B$48,$F52,0)</x:f>
        <x:v>251272.31131898426</x:v>
      </x:c>
      <x:c r="AK52" s="141" t="n">
        <x:f>AH52+AJ52-AI52</x:f>
        <x:v>536897.7460013536</x:v>
      </x:c>
      <x:c r="AL52" s="141" t="n">
        <x:f>IF(AG52&gt;1,"Inviavel",AK52)</x:f>
        <x:v>536897.7460013536</x:v>
      </x:c>
      <x:c r="AM52" s="141" t="str">
        <x:f>IF(AG52&gt;1,"Inviavel","OK")</x:f>
        <x:v>OK</x:v>
      </x:c>
      <x:c r="AN52" s="141" t="n">
        <x:f>IF($A52=Premissas!$B$48,Premissas!$B$8,0)</x:f>
        <x:v>0</x:v>
      </x:c>
      <x:c r="AO52" s="141" t="n">
        <x:f>IF($A52&lt;=Premissas!$B$25,INDEX('Consorcio IQ'!$K$6:$K$485,$A52),0)</x:f>
        <x:v>2558.698634492527</x:v>
      </x:c>
      <x:c r="AP52" s="141" t="n">
        <x:f>IF(AND(TRUE,Premissas!$B$11="Imovel",Premissas!$B$47="Moradia",$A52&lt;MAX(Premissas!$B$48,Premissas!$B$49)),$D52,0)</x:f>
        <x:v>0</x:v>
      </x:c>
      <x:c r="AQ52" s="141" t="n">
        <x:f>IF(AND(TRUE,Premissas!$B$11="Imovel",Premissas!$B$47="Investimento",$A52&gt;=MAX(Premissas!$B$48,Premissas!$B$49)),$E52,0)</x:f>
        <x:v>762.2502400000001</x:v>
      </x:c>
      <x:c r="AR52" s="141" t="n">
        <x:f>AN52+AO52+AP52</x:f>
        <x:v>2558.698634492527</x:v>
      </x:c>
      <x:c r="AS52" s="141" t="n">
        <x:f>AQ52</x:f>
        <x:v>762.2502400000001</x:v>
      </x:c>
      <x:c r="AT52" s="141" t="n">
        <x:f>$C52+AS52-AR52</x:f>
        <x:v>5203.551605507473</x:v>
      </x:c>
      <x:c r="AU52" s="141" t="n">
        <x:f>AX51*(1+Premissas!$B$41)+AT52</x:f>
        <x:v>386472.3550350001</x:v>
      </x:c>
      <x:c r="AV52" s="141" t="n">
        <x:f>MAX(0,-AU52)</x:f>
        <x:v>0</x:v>
      </x:c>
      <x:c r="AW52" s="141" t="n">
        <x:f>AW51*(1+Premissas!$B$41)+AV52</x:f>
        <x:v>0</x:v>
      </x:c>
      <x:c r="AX52" s="141" t="n">
        <x:f>MAX(0,AU52)</x:f>
        <x:v>386472.3550350001</x:v>
      </x:c>
      <x:c r="AY52" s="141" t="n">
        <x:f>INDEX('Consorcio IQ'!$P$6:$P$485,$A52)</x:f>
        <x:v>230610.50801154895</x:v>
      </x:c>
      <x:c r="AZ52" s="141" t="n">
        <x:f>IF($A52&gt;=Premissas!$B$48,$F52,0)+IF($A52&lt;Premissas!$B$27,INDEX('Consorcio IQ'!$O$6:$O$485,$A52),0)</x:f>
        <x:v>373721.2909108211</x:v>
      </x:c>
      <x:c r="BA52" s="141" t="n">
        <x:f>AX52+AZ52-AY52</x:f>
        <x:v>529583.1379342722</x:v>
      </x:c>
      <x:c r="BB52" s="141" t="n">
        <x:f>IF(AW52&gt;1,"Inviavel",BA52)</x:f>
        <x:v>529583.1379342722</x:v>
      </x:c>
      <x:c r="BC52" s="141" t="str">
        <x:f>IF(AW52&gt;1,"Inviavel","OK")</x:f>
        <x:v>OK</x:v>
      </x:c>
      <x:c r="BD52" s="141" t="n">
        <x:f>IF($A52='Consorcio Direto'!$B$29,'Consorcio Direto'!$B$44,0)</x:f>
        <x:v>0</x:v>
      </x:c>
      <x:c r="BE52" s="141" t="n">
        <x:f>IF($A52&lt;='Consorcio Direto'!$B$27,INDEX('Consorcio Direto'!$E$55:$E$534,$A52),0)</x:f>
        <x:v>1759.3947642826768</x:v>
      </x:c>
      <x:c r="BF52" s="141" t="n">
        <x:f>IF(AND(TRUE,Premissas!$B$11="Imovel",Premissas!$B$47="Moradia",$A52&lt;MAX('Consorcio Direto'!$B$29,Premissas!$B$49)),$D52,0)</x:f>
        <x:v>0</x:v>
      </x:c>
      <x:c r="BG52" s="141" t="n">
        <x:f>IF(AND(TRUE,Premissas!$B$11="Imovel",Premissas!$B$47="Investimento",$A52&gt;=MAX('Consorcio Direto'!$B$29,Premissas!$B$49)),$E52,0)</x:f>
        <x:v>0</x:v>
      </x:c>
      <x:c r="BH52" s="141" t="n">
        <x:f>BD52+BE52+BF52</x:f>
        <x:v>1759.3947642826768</x:v>
      </x:c>
      <x:c r="BI52" s="141" t="n">
        <x:f>BG52</x:f>
        <x:v>0</x:v>
      </x:c>
      <x:c r="BJ52" s="141" t="n">
        <x:f>$C52+BI52-BH52</x:f>
        <x:v>5240.605235717323</x:v>
      </x:c>
      <x:c r="BK52" s="141" t="n">
        <x:f>BN51*(1+Premissas!$B$41)+BJ52</x:f>
        <x:v>466531.3453454203</x:v>
      </x:c>
      <x:c r="BL52" s="141" t="n">
        <x:f>MAX(0,-BK52)</x:f>
        <x:v>0</x:v>
      </x:c>
      <x:c r="BM52" s="141" t="n">
        <x:f>BM51*(1+Premissas!$B$41)+BL52</x:f>
        <x:v>0</x:v>
      </x:c>
      <x:c r="BN52" s="141" t="n">
        <x:f>MAX(0,BK52)</x:f>
        <x:v>466531.3453454203</x:v>
      </x:c>
      <x:c r="BO52" s="141" t="n">
        <x:f>INDEX('Consorcio Direto'!$K$55:$K$534,$A52)</x:f>
        <x:v>230196.83554397695</x:v>
      </x:c>
      <x:c r="BP52" s="141" t="n">
        <x:f>IF($A52&lt;'Consorcio Direto'!$B$29,INDEX('Consorcio Direto'!$L$55:$L$534,$A52),$F52)</x:f>
        <x:v>237811.29464118136</x:v>
      </x:c>
      <x:c r="BQ52" s="141" t="n">
        <x:f>BN52+BP52-BO52</x:f>
        <x:v>474145.8044426247</x:v>
      </x:c>
      <x:c r="BR52" s="141" t="n">
        <x:f>IF(BM52&gt;1,"Inviavel",BQ52)</x:f>
        <x:v>474145.8044426247</x:v>
      </x:c>
      <x:c r="BS52" s="141" t="str">
        <x:f>IF(BM52&gt;1,"Inviavel","OK")</x:f>
        <x:v>OK</x:v>
      </x:c>
      <x:c r="BT52" s="141" t="n">
        <x:f>IF(AND('Carta Contemplada'!$B$22="Sim",$A52='Carta Contemplada'!$B$23),'Carta Contemplada'!$B$37,0)</x:f>
        <x:v>0</x:v>
      </x:c>
      <x:c r="BU52" s="141" t="n">
        <x:f>IF('Carta Contemplada'!$B$22="Sim",INDEX('Carta Contemplada'!$C$55:$C$1013,$A52),0)</x:f>
        <x:v>1429.2192</x:v>
      </x:c>
      <x:c r="BV52" s="141" t="n">
        <x:f>IF(AND('Carta Contemplada'!$B$22="Sim",Premissas!$B$11="Imovel",Premissas!$B$47="Moradia",$A52&lt;MAX('Carta Contemplada'!$B$44,Premissas!$B$49)),$D52,0)</x:f>
        <x:v>0</x:v>
      </x:c>
      <x:c r="BW52" s="141" t="n">
        <x:f>IF(AND('Carta Contemplada'!$B$22="Sim",Premissas!$B$11="Imovel",Premissas!$B$47="Investimento",$A52&gt;=MAX('Carta Contemplada'!$B$44,Premissas!$B$49)),$E52,0)</x:f>
        <x:v>762.2502400000001</x:v>
      </x:c>
      <x:c r="BX52" s="141" t="n">
        <x:f>BT52+BU52+BV52</x:f>
        <x:v>1429.2192</x:v>
      </x:c>
      <x:c r="BY52" s="141" t="n">
        <x:f>BW52</x:f>
        <x:v>762.2502400000001</x:v>
      </x:c>
      <x:c r="BZ52" s="141" t="n">
        <x:f>$C52+BY52-BX52</x:f>
        <x:v>6333.03104</x:v>
      </x:c>
      <x:c r="CA52" s="141" t="n">
        <x:f>CD51*(1+Premissas!$B$41)+BZ52</x:f>
        <x:v>453404.10119796</x:v>
      </x:c>
      <x:c r="CB52" s="141" t="n">
        <x:f>MAX(0,-CA52)</x:f>
        <x:v>0</x:v>
      </x:c>
      <x:c r="CC52" s="141" t="n">
        <x:f>CC51*(1+Premissas!$B$41)+CB52</x:f>
        <x:v>0</x:v>
      </x:c>
      <x:c r="CD52" s="141" t="n">
        <x:f>MAX(0,CA52)</x:f>
        <x:v>453404.10119796</x:v>
      </x:c>
      <x:c r="CE52" s="141" t="n">
        <x:f>IF(AND('Carta Contemplada'!$B$22="Sim",$A52&gt;='Carta Contemplada'!$B$23),INDEX('Carta Contemplada'!$I$55:$I$1013,$A52),0)</x:f>
        <x:v>145061.33743809254</x:v>
      </x:c>
      <x:c r="CF52" s="141" t="n">
        <x:f>IF(AND('Carta Contemplada'!$B$22="Sim",$A52&gt;='Carta Contemplada'!$B$44),$F52,0)</x:f>
        <x:v>251272.31131898426</x:v>
      </x:c>
      <x:c r="CG52" s="141" t="n">
        <x:f>CD52+CF52-CE52</x:f>
        <x:v>559615.0750788517</x:v>
      </x:c>
      <x:c r="CH52" s="141" t="n">
        <x:f>IF(CC52&gt;1,"Inviavel",CG52)</x:f>
        <x:v>559615.0750788517</x:v>
      </x:c>
      <x:c r="CI52" s="145" t="str">
        <x:f>IF(CC52&gt;1,"Inviavel","OK")</x:f>
        <x:v>OK</x:v>
      </x:c>
    </x:row>
    <x:row r="53">
      <x:c r="A53" s="142" t="n">
        <x:v>49</x:v>
      </x:c>
      <x:c r="B53" s="179" t="n">
        <x:f>EDATE(Premissas!$B$4,A53-1)</x:f>
        <x:v>48000</x:v>
      </x:c>
      <x:c r="C53" s="141" t="n">
        <x:f>IF(A53&lt;=Premissas!$B$39,Premissas!$B$42,0)</x:f>
        <x:v>7000</x:v>
      </x:c>
      <x:c r="D53" s="141" t="n">
        <x:f>Premissas!$B$54*(1+Premissas!$B$57)^INT((A53-1)/12)</x:f>
        <x:v>883.7338720000002</x:v>
      </x:c>
      <x:c r="E53" s="141" t="n">
        <x:f>Premissas!$B$64*(1+Premissas!$B$57)^INT((A53-1)/12)</x:f>
        <x:v>807.9852544000003</x:v>
      </x:c>
      <x:c r="F53" s="141" t="n">
        <x:f>MAX(0,Premissas!$B$6*(1+Premissas!$B$66)^((A53-1)/12))</x:f>
        <x:v>252495.39200000005</x:v>
      </x:c>
      <x:c r="G53" s="141" t="n">
        <x:f>G52*(1+Premissas!$B$41)+C53</x:f>
        <x:v>575723.7088073376</x:v>
      </x:c>
      <x:c r="H53" s="141" t="n">
        <x:f>IF($A53=Premissas!$B$48,Premissas!$B$8,0)</x:f>
        <x:v>0</x:v>
      </x:c>
      <x:c r="I53" s="141" t="n">
        <x:f>IF(AND($A53&gt;=Premissas!$B$48,$A53-Premissas!$B$48+1&lt;=Premissas!$B$13),INDEX(Financiamento!$J$6:$J$485,$A53-Premissas!$B$48+1),0)</x:f>
        <x:v>1875.6498939675814</x:v>
      </x:c>
      <x:c r="J53" s="141" t="n">
        <x:f>IF(AND(TRUE,Premissas!$B$11="Imovel",Premissas!$B$47="Moradia",$A53&lt;MAX(Premissas!$B$48,Premissas!$B$49)),$D53,0)</x:f>
        <x:v>0</x:v>
      </x:c>
      <x:c r="K53" s="141" t="n">
        <x:f>IF(AND(TRUE,Premissas!$B$11="Imovel",Premissas!$B$47="Investimento",$A53&gt;=MAX(Premissas!$B$48,Premissas!$B$49)),$E53,0)</x:f>
        <x:v>807.9852544000003</x:v>
      </x:c>
      <x:c r="L53" s="141" t="n">
        <x:f>H53+I53+J53</x:f>
        <x:v>1875.6498939675814</x:v>
      </x:c>
      <x:c r="M53" s="141" t="n">
        <x:f>K53</x:f>
        <x:v>807.9852544000003</x:v>
      </x:c>
      <x:c r="N53" s="141" t="n">
        <x:f>$C53+M53-L53</x:f>
        <x:v>5932.335360432419</x:v>
      </x:c>
      <x:c r="O53" s="141" t="n">
        <x:f>R52*(1+Premissas!$B$41)+N53</x:f>
        <x:v>433826.4382788381</x:v>
      </x:c>
      <x:c r="P53" s="141" t="n">
        <x:f>MAX(0,-O53)</x:f>
        <x:v>0</x:v>
      </x:c>
      <x:c r="Q53" s="141" t="n">
        <x:f>Q52*(1+Premissas!$B$41)+P53</x:f>
        <x:v>0</x:v>
      </x:c>
      <x:c r="R53" s="141" t="n">
        <x:f>MAX(0,O53)</x:f>
        <x:v>433826.4382788381</x:v>
      </x:c>
      <x:c r="S53" s="141" t="n">
        <x:f>IF(AND($A53&gt;=Premissas!$B$48,$A53-Premissas!$B$48+1&lt;=Premissas!$B$13),INDEX(Financiamento!$M$6:$M$485,$A53-Premissas!$B$48+1),0)</x:f>
        <x:v>141333.3333333336</x:v>
      </x:c>
      <x:c r="T53" s="141" t="n">
        <x:f>IF($A53&gt;=Premissas!$B$48,$F53,0)</x:f>
        <x:v>252495.39200000005</x:v>
      </x:c>
      <x:c r="U53" s="141" t="n">
        <x:f>R53+T53-S53</x:f>
        <x:v>544988.4969455046</x:v>
      </x:c>
      <x:c r="V53" s="141" t="n">
        <x:f>IF(Q53&gt;1,"Inviavel",U53)</x:f>
        <x:v>544988.4969455046</x:v>
      </x:c>
      <x:c r="W53" s="141" t="str">
        <x:f>IF(Q53&gt;1,"Inviavel","OK")</x:f>
        <x:v>OK</x:v>
      </x:c>
      <x:c r="X53" s="141" t="n">
        <x:f>IF($A53=Premissas!$B$48,Premissas!$B$8,0)</x:f>
        <x:v>0</x:v>
      </x:c>
      <x:c r="Y53" s="141" t="n">
        <x:f>IF(AND($A53&gt;=Premissas!$B$48,$A53-Premissas!$B$48+1&lt;=Premissas!$B$13),INDEX(Amortizacao!$K$6:$K$485,$A53-Premissas!$B$48+1),0)</x:f>
        <x:v>0</x:v>
      </x:c>
      <x:c r="Z53" s="141" t="n">
        <x:f>IF(AND(TRUE,Premissas!$B$11="Imovel",Premissas!$B$47="Moradia",$A53&lt;MAX(Premissas!$B$48,Premissas!$B$49)),$D53,0)</x:f>
        <x:v>0</x:v>
      </x:c>
      <x:c r="AA53" s="141" t="n">
        <x:f>IF(AND(TRUE,Premissas!$B$11="Imovel",Premissas!$B$47="Investimento",$A53&gt;=MAX(Premissas!$B$48,Premissas!$B$49)),$E53,0)</x:f>
        <x:v>807.9852544000003</x:v>
      </x:c>
      <x:c r="AB53" s="141" t="n">
        <x:f>X53+Y53+Z53</x:f>
        <x:v>0</x:v>
      </x:c>
      <x:c r="AC53" s="141" t="n">
        <x:f>AA53</x:f>
        <x:v>807.9852544000003</x:v>
      </x:c>
      <x:c r="AD53" s="141" t="n">
        <x:f>$C53+AC53-AB53</x:f>
        <x:v>7807.9852544000005</x:v>
      </x:c>
      <x:c r="AE53" s="141" t="n">
        <x:f>AH52*(1+Premissas!$B$41)+AD53</x:f>
        <x:v>296143.66054332064</x:v>
      </x:c>
      <x:c r="AF53" s="141" t="n">
        <x:f>MAX(0,-AE53)</x:f>
        <x:v>0</x:v>
      </x:c>
      <x:c r="AG53" s="141" t="n">
        <x:f>AG52*(1+Premissas!$B$41)+AF53</x:f>
        <x:v>0</x:v>
      </x:c>
      <x:c r="AH53" s="141" t="n">
        <x:f>MAX(0,AE53)</x:f>
        <x:v>296143.66054332064</x:v>
      </x:c>
      <x:c r="AI53" s="141" t="n">
        <x:f>IF(AND($A53&gt;=Premissas!$B$48,$A53-Premissas!$B$48+1&lt;=Premissas!$B$13),INDEX(Amortizacao!$L$6:$L$485,$A53-Premissas!$B$48+1),0)</x:f>
        <x:v>0</x:v>
      </x:c>
      <x:c r="AJ53" s="141" t="n">
        <x:f>IF($A53&gt;=Premissas!$B$48,$F53,0)</x:f>
        <x:v>252495.39200000005</x:v>
      </x:c>
      <x:c r="AK53" s="141" t="n">
        <x:f>AH53+AJ53-AI53</x:f>
        <x:v>548639.0525433207</x:v>
      </x:c>
      <x:c r="AL53" s="141" t="n">
        <x:f>IF(AG53&gt;1,"Inviavel",AK53)</x:f>
        <x:v>548639.0525433207</x:v>
      </x:c>
      <x:c r="AM53" s="141" t="str">
        <x:f>IF(AG53&gt;1,"Inviavel","OK")</x:f>
        <x:v>OK</x:v>
      </x:c>
      <x:c r="AN53" s="141" t="n">
        <x:f>IF($A53=Premissas!$B$48,Premissas!$B$8,0)</x:f>
        <x:v>0</x:v>
      </x:c>
      <x:c r="AO53" s="141" t="n">
        <x:f>IF($A53&lt;=Premissas!$B$25,INDEX('Consorcio IQ'!$K$6:$K$485,$A53),0)</x:f>
        <x:v>2595.849893967583</x:v>
      </x:c>
      <x:c r="AP53" s="141" t="n">
        <x:f>IF(AND(TRUE,Premissas!$B$11="Imovel",Premissas!$B$47="Moradia",$A53&lt;MAX(Premissas!$B$48,Premissas!$B$49)),$D53,0)</x:f>
        <x:v>0</x:v>
      </x:c>
      <x:c r="AQ53" s="141" t="n">
        <x:f>IF(AND(TRUE,Premissas!$B$11="Imovel",Premissas!$B$47="Investimento",$A53&gt;=MAX(Premissas!$B$48,Premissas!$B$49)),$E53,0)</x:f>
        <x:v>807.9852544000003</x:v>
      </x:c>
      <x:c r="AR53" s="141" t="n">
        <x:f>AN53+AO53+AP53</x:f>
        <x:v>2595.849893967583</x:v>
      </x:c>
      <x:c r="AS53" s="141" t="n">
        <x:f>AQ53</x:f>
        <x:v>807.9852544000003</x:v>
      </x:c>
      <x:c r="AT53" s="141" t="n">
        <x:f>$C53+AS53-AR53</x:f>
        <x:v>5212.135360432418</x:v>
      </x:c>
      <x:c r="AU53" s="141" t="n">
        <x:f>AX52*(1+Premissas!$B$41)+AT53</x:f>
        <x:v>395351.6465473003</x:v>
      </x:c>
      <x:c r="AV53" s="141" t="n">
        <x:f>MAX(0,-AU53)</x:f>
        <x:v>0</x:v>
      </x:c>
      <x:c r="AW53" s="141" t="n">
        <x:f>AW52*(1+Premissas!$B$41)+AV53</x:f>
        <x:v>0</x:v>
      </x:c>
      <x:c r="AX53" s="141" t="n">
        <x:f>MAX(0,AU53)</x:f>
        <x:v>395351.6465473003</x:v>
      </x:c>
      <x:c r="AY53" s="141" t="n">
        <x:f>INDEX('Consorcio IQ'!$P$6:$P$485,$A53)</x:f>
        <x:v>230352.873476642</x:v>
      </x:c>
      <x:c r="AZ53" s="141" t="n">
        <x:f>IF($A53&gt;=Premissas!$B$48,$F53,0)+IF($A53&lt;Premissas!$B$27,INDEX('Consorcio IQ'!$O$6:$O$485,$A53),0)</x:f>
        <x:v>376106.26460423484</x:v>
      </x:c>
      <x:c r="BA53" s="141" t="n">
        <x:f>AX53+AZ53-AY53</x:f>
        <x:v>541105.0376748932</x:v>
      </x:c>
      <x:c r="BB53" s="141" t="n">
        <x:f>IF(AW53&gt;1,"Inviavel",BA53)</x:f>
        <x:v>541105.0376748932</x:v>
      </x:c>
      <x:c r="BC53" s="141" t="str">
        <x:f>IF(AW53&gt;1,"Inviavel","OK")</x:f>
        <x:v>OK</x:v>
      </x:c>
      <x:c r="BD53" s="141" t="n">
        <x:f>IF($A53='Consorcio Direto'!$B$29,'Consorcio Direto'!$B$44,0)</x:f>
        <x:v>0</x:v>
      </x:c>
      <x:c r="BE53" s="141" t="n">
        <x:f>IF($A53&lt;='Consorcio Direto'!$B$27,INDEX('Consorcio Direto'!$E$55:$E$534,$A53),0)</x:f>
        <x:v>1864.9584501396378</x:v>
      </x:c>
      <x:c r="BF53" s="141" t="n">
        <x:f>IF(AND(TRUE,Premissas!$B$11="Imovel",Premissas!$B$47="Moradia",$A53&lt;MAX('Consorcio Direto'!$B$29,Premissas!$B$49)),$D53,0)</x:f>
        <x:v>0</x:v>
      </x:c>
      <x:c r="BG53" s="141" t="n">
        <x:f>IF(AND(TRUE,Premissas!$B$11="Imovel",Premissas!$B$47="Investimento",$A53&gt;=MAX('Consorcio Direto'!$B$29,Premissas!$B$49)),$E53,0)</x:f>
        <x:v>0</x:v>
      </x:c>
      <x:c r="BH53" s="141" t="n">
        <x:f>BD53+BE53+BF53</x:f>
        <x:v>1864.9584501396378</x:v>
      </x:c>
      <x:c r="BI53" s="141" t="n">
        <x:f>BG53</x:f>
        <x:v>0</x:v>
      </x:c>
      <x:c r="BJ53" s="141" t="n">
        <x:f>$C53+BI53-BH53</x:f>
        <x:v>5135.0415498603625</x:v>
      </x:c>
      <x:c r="BK53" s="141" t="n">
        <x:f>BN52*(1+Premissas!$B$41)+BJ53</x:f>
        <x:v>476093.2062287558</x:v>
      </x:c>
      <x:c r="BL53" s="141" t="n">
        <x:f>MAX(0,-BK53)</x:f>
        <x:v>0</x:v>
      </x:c>
      <x:c r="BM53" s="141" t="n">
        <x:f>BM52*(1+Premissas!$B$41)+BL53</x:f>
        <x:v>0</x:v>
      </x:c>
      <x:c r="BN53" s="141" t="n">
        <x:f>MAX(0,BK53)</x:f>
        <x:v>476093.2062287558</x:v>
      </x:c>
      <x:c r="BO53" s="141" t="n">
        <x:f>INDEX('Consorcio Direto'!$K$55:$K$534,$A53)</x:f>
        <x:v>230516.16720051036</x:v>
      </x:c>
      <x:c r="BP53" s="141" t="n">
        <x:f>IF($A53&lt;'Consorcio Direto'!$B$29,INDEX('Consorcio Direto'!$L$55:$L$534,$A53),$F53)</x:f>
        <x:v>240067.83677353663</x:v>
      </x:c>
      <x:c r="BQ53" s="141" t="n">
        <x:f>BN53+BP53-BO53</x:f>
        <x:v>485644.8758017821</x:v>
      </x:c>
      <x:c r="BR53" s="141" t="n">
        <x:f>IF(BM53&gt;1,"Inviavel",BQ53)</x:f>
        <x:v>485644.8758017821</x:v>
      </x:c>
      <x:c r="BS53" s="141" t="str">
        <x:f>IF(BM53&gt;1,"Inviavel","OK")</x:f>
        <x:v>OK</x:v>
      </x:c>
      <x:c r="BT53" s="141" t="n">
        <x:f>IF(AND('Carta Contemplada'!$B$22="Sim",$A53='Carta Contemplada'!$B$23),'Carta Contemplada'!$B$37,0)</x:f>
        <x:v>0</x:v>
      </x:c>
      <x:c r="BU53" s="141" t="n">
        <x:f>IF('Carta Contemplada'!$B$22="Sim",INDEX('Carta Contemplada'!$C$55:$C$1013,$A53),0)</x:f>
        <x:v>1514.9723520000005</x:v>
      </x:c>
      <x:c r="BV53" s="141" t="n">
        <x:f>IF(AND('Carta Contemplada'!$B$22="Sim",Premissas!$B$11="Imovel",Premissas!$B$47="Moradia",$A53&lt;MAX('Carta Contemplada'!$B$44,Premissas!$B$49)),$D53,0)</x:f>
        <x:v>0</x:v>
      </x:c>
      <x:c r="BW53" s="141" t="n">
        <x:f>IF(AND('Carta Contemplada'!$B$22="Sim",Premissas!$B$11="Imovel",Premissas!$B$47="Investimento",$A53&gt;=MAX('Carta Contemplada'!$B$44,Premissas!$B$49)),$E53,0)</x:f>
        <x:v>807.9852544000003</x:v>
      </x:c>
      <x:c r="BX53" s="141" t="n">
        <x:f>BT53+BU53+BV53</x:f>
        <x:v>1514.9723520000005</x:v>
      </x:c>
      <x:c r="BY53" s="141" t="n">
        <x:f>BW53</x:f>
        <x:v>807.9852544000003</x:v>
      </x:c>
      <x:c r="BZ53" s="141" t="n">
        <x:f>$C53+BY53-BX53</x:f>
        <x:v>6293.0129024</x:v>
      </x:c>
      <x:c r="CA53" s="141" t="n">
        <x:f>CD52*(1+Premissas!$B$41)+BZ53</x:f>
        <x:v>463999.37173231813</x:v>
      </x:c>
      <x:c r="CB53" s="141" t="n">
        <x:f>MAX(0,-CA53)</x:f>
        <x:v>0</x:v>
      </x:c>
      <x:c r="CC53" s="141" t="n">
        <x:f>CC52*(1+Premissas!$B$41)+CB53</x:f>
        <x:v>0</x:v>
      </x:c>
      <x:c r="CD53" s="141" t="n">
        <x:f>MAX(0,CA53)</x:f>
        <x:v>463999.37173231813</x:v>
      </x:c>
      <x:c r="CE53" s="141" t="n">
        <x:f>IF(AND('Carta Contemplada'!$B$22="Sim",$A53&gt;='Carta Contemplada'!$B$23),INDEX('Carta Contemplada'!$I$55:$I$1013,$A53),0)</x:f>
        <x:v>144922.82207985627</x:v>
      </x:c>
      <x:c r="CF53" s="141" t="n">
        <x:f>IF(AND('Carta Contemplada'!$B$22="Sim",$A53&gt;='Carta Contemplada'!$B$44),$F53,0)</x:f>
        <x:v>252495.39200000005</x:v>
      </x:c>
      <x:c r="CG53" s="141" t="n">
        <x:f>CD53+CF53-CE53</x:f>
        <x:v>571571.9416524619</x:v>
      </x:c>
      <x:c r="CH53" s="141" t="n">
        <x:f>IF(CC53&gt;1,"Inviavel",CG53)</x:f>
        <x:v>571571.9416524619</x:v>
      </x:c>
      <x:c r="CI53" s="145" t="str">
        <x:f>IF(CC53&gt;1,"Inviavel","OK")</x:f>
        <x:v>OK</x:v>
      </x:c>
    </x:row>
    <x:row r="54">
      <x:c r="A54" s="142" t="n">
        <x:v>50</x:v>
      </x:c>
      <x:c r="B54" s="179" t="n">
        <x:f>EDATE(Premissas!$B$4,A54-1)</x:f>
        <x:v>48030</x:v>
      </x:c>
      <x:c r="C54" s="141" t="n">
        <x:f>IF(A54&lt;=Premissas!$B$39,Premissas!$B$42,0)</x:f>
        <x:v>7000</x:v>
      </x:c>
      <x:c r="D54" s="141" t="n">
        <x:f>Premissas!$B$54*(1+Premissas!$B$57)^INT((A54-1)/12)</x:f>
        <x:v>883.7338720000002</x:v>
      </x:c>
      <x:c r="E54" s="141" t="n">
        <x:f>Premissas!$B$64*(1+Premissas!$B$57)^INT((A54-1)/12)</x:f>
        <x:v>807.9852544000003</x:v>
      </x:c>
      <x:c r="F54" s="141" t="n">
        <x:f>MAX(0,Premissas!$B$6*(1+Premissas!$B$66)^((A54-1)/12))</x:f>
        <x:v>253724.42608807617</x:v>
      </x:c>
      <x:c r="G54" s="141" t="n">
        <x:f>G53*(1+Premissas!$B$41)+C54</x:f>
        <x:v>588186.6318677405</x:v>
      </x:c>
      <x:c r="H54" s="141" t="n">
        <x:f>IF($A54=Premissas!$B$48,Premissas!$B$8,0)</x:f>
        <x:v>0</x:v>
      </x:c>
      <x:c r="I54" s="141" t="n">
        <x:f>IF(AND($A54&gt;=Premissas!$B$48,$A54-Premissas!$B$48+1&lt;=Premissas!$B$13),INDEX(Financiamento!$J$6:$J$485,$A54-Premissas!$B$48+1),0)</x:f>
        <x:v>1872.035115706788</x:v>
      </x:c>
      <x:c r="J54" s="141" t="n">
        <x:f>IF(AND(TRUE,Premissas!$B$11="Imovel",Premissas!$B$47="Moradia",$A54&lt;MAX(Premissas!$B$48,Premissas!$B$49)),$D54,0)</x:f>
        <x:v>0</x:v>
      </x:c>
      <x:c r="K54" s="141" t="n">
        <x:f>IF(AND(TRUE,Premissas!$B$11="Imovel",Premissas!$B$47="Investimento",$A54&gt;=MAX(Premissas!$B$48,Premissas!$B$49)),$E54,0)</x:f>
        <x:v>807.9852544000003</x:v>
      </x:c>
      <x:c r="L54" s="141" t="n">
        <x:f>H54+I54+J54</x:f>
        <x:v>1872.035115706788</x:v>
      </x:c>
      <x:c r="M54" s="141" t="n">
        <x:f>K54</x:f>
        <x:v>807.9852544000003</x:v>
      </x:c>
      <x:c r="N54" s="141" t="n">
        <x:f>$C54+M54-L54</x:f>
        <x:v>5935.9501386932125</x:v>
      </x:c>
      <x:c r="O54" s="141" t="n">
        <x:f>R53*(1+Premissas!$B$41)+N54</x:f>
        <x:v>443878.8776599069</x:v>
      </x:c>
      <x:c r="P54" s="141" t="n">
        <x:f>MAX(0,-O54)</x:f>
        <x:v>0</x:v>
      </x:c>
      <x:c r="Q54" s="141" t="n">
        <x:f>Q53*(1+Premissas!$B$41)+P54</x:f>
        <x:v>0</x:v>
      </x:c>
      <x:c r="R54" s="141" t="n">
        <x:f>MAX(0,O54)</x:f>
        <x:v>443878.8776599069</x:v>
      </x:c>
      <x:c r="S54" s="141" t="n">
        <x:f>IF(AND($A54&gt;=Premissas!$B$48,$A54-Premissas!$B$48+1&lt;=Premissas!$B$13),INDEX(Financiamento!$M$6:$M$485,$A54-Premissas!$B$48+1),0)</x:f>
        <x:v>140952.3809523812</x:v>
      </x:c>
      <x:c r="T54" s="141" t="n">
        <x:f>IF($A54&gt;=Premissas!$B$48,$F54,0)</x:f>
        <x:v>253724.42608807617</x:v>
      </x:c>
      <x:c r="U54" s="141" t="n">
        <x:f>R54+T54-S54</x:f>
        <x:v>556650.9227956019</x:v>
      </x:c>
      <x:c r="V54" s="141" t="n">
        <x:f>IF(Q54&gt;1,"Inviavel",U54)</x:f>
        <x:v>556650.9227956019</x:v>
      </x:c>
      <x:c r="W54" s="141" t="str">
        <x:f>IF(Q54&gt;1,"Inviavel","OK")</x:f>
        <x:v>OK</x:v>
      </x:c>
      <x:c r="X54" s="141" t="n">
        <x:f>IF($A54=Premissas!$B$48,Premissas!$B$8,0)</x:f>
        <x:v>0</x:v>
      </x:c>
      <x:c r="Y54" s="141" t="n">
        <x:f>IF(AND($A54&gt;=Premissas!$B$48,$A54-Premissas!$B$48+1&lt;=Premissas!$B$13),INDEX(Amortizacao!$K$6:$K$485,$A54-Premissas!$B$48+1),0)</x:f>
        <x:v>0</x:v>
      </x:c>
      <x:c r="Z54" s="141" t="n">
        <x:f>IF(AND(TRUE,Premissas!$B$11="Imovel",Premissas!$B$47="Moradia",$A54&lt;MAX(Premissas!$B$48,Premissas!$B$49)),$D54,0)</x:f>
        <x:v>0</x:v>
      </x:c>
      <x:c r="AA54" s="141" t="n">
        <x:f>IF(AND(TRUE,Premissas!$B$11="Imovel",Premissas!$B$47="Investimento",$A54&gt;=MAX(Premissas!$B$48,Premissas!$B$49)),$E54,0)</x:f>
        <x:v>807.9852544000003</x:v>
      </x:c>
      <x:c r="AB54" s="141" t="n">
        <x:f>X54+Y54+Z54</x:f>
        <x:v>0</x:v>
      </x:c>
      <x:c r="AC54" s="141" t="n">
        <x:f>AA54</x:f>
        <x:v>807.9852544000003</x:v>
      </x:c>
      <x:c r="AD54" s="141" t="n">
        <x:f>$C54+AC54-AB54</x:f>
        <x:v>7807.9852544000005</x:v>
      </x:c>
      <x:c r="AE54" s="141" t="n">
        <x:f>AH53*(1+Premissas!$B$41)+AD54</x:f>
        <x:v>306761.6916715057</x:v>
      </x:c>
      <x:c r="AF54" s="141" t="n">
        <x:f>MAX(0,-AE54)</x:f>
        <x:v>0</x:v>
      </x:c>
      <x:c r="AG54" s="141" t="n">
        <x:f>AG53*(1+Premissas!$B$41)+AF54</x:f>
        <x:v>0</x:v>
      </x:c>
      <x:c r="AH54" s="141" t="n">
        <x:f>MAX(0,AE54)</x:f>
        <x:v>306761.6916715057</x:v>
      </x:c>
      <x:c r="AI54" s="141" t="n">
        <x:f>IF(AND($A54&gt;=Premissas!$B$48,$A54-Premissas!$B$48+1&lt;=Premissas!$B$13),INDEX(Amortizacao!$L$6:$L$485,$A54-Premissas!$B$48+1),0)</x:f>
        <x:v>0</x:v>
      </x:c>
      <x:c r="AJ54" s="141" t="n">
        <x:f>IF($A54&gt;=Premissas!$B$48,$F54,0)</x:f>
        <x:v>253724.42608807617</x:v>
      </x:c>
      <x:c r="AK54" s="141" t="n">
        <x:f>AH54+AJ54-AI54</x:f>
        <x:v>560486.1177595819</x:v>
      </x:c>
      <x:c r="AL54" s="141" t="n">
        <x:f>IF(AG54&gt;1,"Inviavel",AK54)</x:f>
        <x:v>560486.1177595819</x:v>
      </x:c>
      <x:c r="AM54" s="141" t="str">
        <x:f>IF(AG54&gt;1,"Inviavel","OK")</x:f>
        <x:v>OK</x:v>
      </x:c>
      <x:c r="AN54" s="141" t="n">
        <x:f>IF($A54=Premissas!$B$48,Premissas!$B$8,0)</x:f>
        <x:v>0</x:v>
      </x:c>
      <x:c r="AO54" s="141" t="n">
        <x:f>IF($A54&lt;=Premissas!$B$25,INDEX('Consorcio IQ'!$K$6:$K$485,$A54),0)</x:f>
        <x:v>2592.2351157067897</x:v>
      </x:c>
      <x:c r="AP54" s="141" t="n">
        <x:f>IF(AND(TRUE,Premissas!$B$11="Imovel",Premissas!$B$47="Moradia",$A54&lt;MAX(Premissas!$B$48,Premissas!$B$49)),$D54,0)</x:f>
        <x:v>0</x:v>
      </x:c>
      <x:c r="AQ54" s="141" t="n">
        <x:f>IF(AND(TRUE,Premissas!$B$11="Imovel",Premissas!$B$47="Investimento",$A54&gt;=MAX(Premissas!$B$48,Premissas!$B$49)),$E54,0)</x:f>
        <x:v>807.9852544000003</x:v>
      </x:c>
      <x:c r="AR54" s="141" t="n">
        <x:f>AN54+AO54+AP54</x:f>
        <x:v>2592.2351157067897</x:v>
      </x:c>
      <x:c r="AS54" s="141" t="n">
        <x:f>AQ54</x:f>
        <x:v>807.9852544000003</x:v>
      </x:c>
      <x:c r="AT54" s="141" t="n">
        <x:f>$C54+AS54-AR54</x:f>
        <x:v>5215.750138693211</x:v>
      </x:c>
      <x:c r="AU54" s="141" t="n">
        <x:f>AX53*(1+Premissas!$B$41)+AT54</x:f>
        <x:v>404318.8065964273</x:v>
      </x:c>
      <x:c r="AV54" s="141" t="n">
        <x:f>MAX(0,-AU54)</x:f>
        <x:v>0</x:v>
      </x:c>
      <x:c r="AW54" s="141" t="n">
        <x:f>AW53*(1+Premissas!$B$41)+AV54</x:f>
        <x:v>0</x:v>
      </x:c>
      <x:c r="AX54" s="141" t="n">
        <x:f>MAX(0,AU54)</x:f>
        <x:v>404318.8065964273</x:v>
      </x:c>
      <x:c r="AY54" s="141" t="n">
        <x:f>INDEX('Consorcio IQ'!$P$6:$P$485,$A54)</x:f>
        <x:v>230096.40907924128</x:v>
      </x:c>
      <x:c r="AZ54" s="141" t="n">
        <x:f>IF($A54&gt;=Premissas!$B$48,$F54,0)+IF($A54&lt;Premissas!$B$27,INDEX('Consorcio IQ'!$O$6:$O$485,$A54),0)</x:f>
        <x:v>378508.2166669157</x:v>
      </x:c>
      <x:c r="BA54" s="141" t="n">
        <x:f>AX54+AZ54-AY54</x:f>
        <x:v>552730.6141841016</x:v>
      </x:c>
      <x:c r="BB54" s="141" t="n">
        <x:f>IF(AW54&gt;1,"Inviavel",BA54)</x:f>
        <x:v>552730.6141841016</x:v>
      </x:c>
      <x:c r="BC54" s="141" t="str">
        <x:f>IF(AW54&gt;1,"Inviavel","OK")</x:f>
        <x:v>OK</x:v>
      </x:c>
      <x:c r="BD54" s="141" t="n">
        <x:f>IF($A54='Consorcio Direto'!$B$29,'Consorcio Direto'!$B$44,0)</x:f>
        <x:v>0</x:v>
      </x:c>
      <x:c r="BE54" s="141" t="n">
        <x:f>IF($A54&lt;='Consorcio Direto'!$B$27,INDEX('Consorcio Direto'!$E$55:$E$534,$A54),0)</x:f>
        <x:v>1864.9584501396378</x:v>
      </x:c>
      <x:c r="BF54" s="141" t="n">
        <x:f>IF(AND(TRUE,Premissas!$B$11="Imovel",Premissas!$B$47="Moradia",$A54&lt;MAX('Consorcio Direto'!$B$29,Premissas!$B$49)),$D54,0)</x:f>
        <x:v>0</x:v>
      </x:c>
      <x:c r="BG54" s="141" t="n">
        <x:f>IF(AND(TRUE,Premissas!$B$11="Imovel",Premissas!$B$47="Investimento",$A54&gt;=MAX('Consorcio Direto'!$B$29,Premissas!$B$49)),$E54,0)</x:f>
        <x:v>0</x:v>
      </x:c>
      <x:c r="BH54" s="141" t="n">
        <x:f>BD54+BE54+BF54</x:f>
        <x:v>1864.9584501396378</x:v>
      </x:c>
      <x:c r="BI54" s="141" t="n">
        <x:f>BG54</x:f>
        <x:v>0</x:v>
      </x:c>
      <x:c r="BJ54" s="141" t="n">
        <x:f>$C54+BI54-BH54</x:f>
        <x:v>5135.0415498603625</x:v>
      </x:c>
      <x:c r="BK54" s="141" t="n">
        <x:f>BN53*(1+Premissas!$B$41)+BJ54</x:f>
        <x:v>485745.79763008264</x:v>
      </x:c>
      <x:c r="BL54" s="141" t="n">
        <x:f>MAX(0,-BK54)</x:f>
        <x:v>0</x:v>
      </x:c>
      <x:c r="BM54" s="141" t="n">
        <x:f>BM53*(1+Premissas!$B$41)+BL54</x:f>
        <x:v>0</x:v>
      </x:c>
      <x:c r="BN54" s="141" t="n">
        <x:f>MAX(0,BK54)</x:f>
        <x:v>485745.79763008264</x:v>
      </x:c>
      <x:c r="BO54" s="141" t="n">
        <x:f>INDEX('Consorcio Direto'!$K$55:$K$534,$A54)</x:f>
        <x:v>230838.5289290101</x:v>
      </x:c>
      <x:c r="BP54" s="141" t="n">
        <x:f>IF($A54&lt;'Consorcio Direto'!$B$29,INDEX('Consorcio Direto'!$L$55:$L$534,$A54),$F54)</x:f>
        <x:v>242345.79076693402</x:v>
      </x:c>
      <x:c r="BQ54" s="141" t="n">
        <x:f>BN54+BP54-BO54</x:f>
        <x:v>497253.05946800654</x:v>
      </x:c>
      <x:c r="BR54" s="141" t="n">
        <x:f>IF(BM54&gt;1,"Inviavel",BQ54)</x:f>
        <x:v>497253.05946800654</x:v>
      </x:c>
      <x:c r="BS54" s="141" t="str">
        <x:f>IF(BM54&gt;1,"Inviavel","OK")</x:f>
        <x:v>OK</x:v>
      </x:c>
      <x:c r="BT54" s="141" t="n">
        <x:f>IF(AND('Carta Contemplada'!$B$22="Sim",$A54='Carta Contemplada'!$B$23),'Carta Contemplada'!$B$37,0)</x:f>
        <x:v>0</x:v>
      </x:c>
      <x:c r="BU54" s="141" t="n">
        <x:f>IF('Carta Contemplada'!$B$22="Sim",INDEX('Carta Contemplada'!$C$55:$C$1013,$A54),0)</x:f>
        <x:v>1514.9723520000005</x:v>
      </x:c>
      <x:c r="BV54" s="141" t="n">
        <x:f>IF(AND('Carta Contemplada'!$B$22="Sim",Premissas!$B$11="Imovel",Premissas!$B$47="Moradia",$A54&lt;MAX('Carta Contemplada'!$B$44,Premissas!$B$49)),$D54,0)</x:f>
        <x:v>0</x:v>
      </x:c>
      <x:c r="BW54" s="141" t="n">
        <x:f>IF(AND('Carta Contemplada'!$B$22="Sim",Premissas!$B$11="Imovel",Premissas!$B$47="Investimento",$A54&gt;=MAX('Carta Contemplada'!$B$44,Premissas!$B$49)),$E54,0)</x:f>
        <x:v>807.9852544000003</x:v>
      </x:c>
      <x:c r="BX54" s="141" t="n">
        <x:f>BT54+BU54+BV54</x:f>
        <x:v>1514.9723520000005</x:v>
      </x:c>
      <x:c r="BY54" s="141" t="n">
        <x:f>BW54</x:f>
        <x:v>807.9852544000003</x:v>
      </x:c>
      <x:c r="BZ54" s="141" t="n">
        <x:f>$C54+BY54-BX54</x:f>
        <x:v>6293.0129024</x:v>
      </x:c>
      <x:c r="CA54" s="141" t="n">
        <x:f>CD53*(1+Premissas!$B$41)+BZ54</x:f>
        <x:v>474695.1785948627</x:v>
      </x:c>
      <x:c r="CB54" s="141" t="n">
        <x:f>MAX(0,-CA54)</x:f>
        <x:v>0</x:v>
      </x:c>
      <x:c r="CC54" s="141" t="n">
        <x:f>CC53*(1+Premissas!$B$41)+CB54</x:f>
        <x:v>0</x:v>
      </x:c>
      <x:c r="CD54" s="141" t="n">
        <x:f>MAX(0,CA54)</x:f>
        <x:v>474695.1785948627</x:v>
      </x:c>
      <x:c r="CE54" s="141" t="n">
        <x:f>IF(AND('Carta Contemplada'!$B$22="Sim",$A54&gt;='Carta Contemplada'!$B$23),INDEX('Carta Contemplada'!$I$55:$I$1013,$A54),0)</x:f>
        <x:v>144782.99237806743</x:v>
      </x:c>
      <x:c r="CF54" s="141" t="n">
        <x:f>IF(AND('Carta Contemplada'!$B$22="Sim",$A54&gt;='Carta Contemplada'!$B$44),$F54,0)</x:f>
        <x:v>253724.42608807617</x:v>
      </x:c>
      <x:c r="CG54" s="141" t="n">
        <x:f>CD54+CF54-CE54</x:f>
        <x:v>583636.6123048714</x:v>
      </x:c>
      <x:c r="CH54" s="141" t="n">
        <x:f>IF(CC54&gt;1,"Inviavel",CG54)</x:f>
        <x:v>583636.6123048714</x:v>
      </x:c>
      <x:c r="CI54" s="145" t="str">
        <x:f>IF(CC54&gt;1,"Inviavel","OK")</x:f>
        <x:v>OK</x:v>
      </x:c>
    </x:row>
    <x:row r="55">
      <x:c r="A55" s="142" t="n">
        <x:v>51</x:v>
      </x:c>
      <x:c r="B55" s="179" t="n">
        <x:f>EDATE(Premissas!$B$4,A55-1)</x:f>
        <x:v>48061</x:v>
      </x:c>
      <x:c r="C55" s="141" t="n">
        <x:f>IF(A55&lt;=Premissas!$B$39,Premissas!$B$42,0)</x:f>
        <x:v>7000</x:v>
      </x:c>
      <x:c r="D55" s="141" t="n">
        <x:f>Premissas!$B$54*(1+Premissas!$B$57)^INT((A55-1)/12)</x:f>
        <x:v>883.7338720000002</x:v>
      </x:c>
      <x:c r="E55" s="141" t="n">
        <x:f>Premissas!$B$64*(1+Premissas!$B$57)^INT((A55-1)/12)</x:f>
        <x:v>807.9852544000003</x:v>
      </x:c>
      <x:c r="F55" s="141" t="n">
        <x:f>MAX(0,Premissas!$B$6*(1+Premissas!$B$66)^((A55-1)/12))</x:f>
        <x:v>254959.44256172254</x:v>
      </x:c>
      <x:c r="G55" s="141" t="n">
        <x:f>G54*(1+Premissas!$B$41)+C55</x:f>
        <x:v>600767.8130244233</x:v>
      </x:c>
      <x:c r="H55" s="141" t="n">
        <x:f>IF($A55=Premissas!$B$48,Premissas!$B$8,0)</x:f>
        <x:v>0</x:v>
      </x:c>
      <x:c r="I55" s="141" t="n">
        <x:f>IF(AND($A55&gt;=Premissas!$B$48,$A55-Premissas!$B$48+1&lt;=Premissas!$B$13),INDEX(Financiamento!$J$6:$J$485,$A55-Premissas!$B$48+1),0)</x:f>
        <x:v>1868.4203374459944</x:v>
      </x:c>
      <x:c r="J55" s="141" t="n">
        <x:f>IF(AND(TRUE,Premissas!$B$11="Imovel",Premissas!$B$47="Moradia",$A55&lt;MAX(Premissas!$B$48,Premissas!$B$49)),$D55,0)</x:f>
        <x:v>0</x:v>
      </x:c>
      <x:c r="K55" s="141" t="n">
        <x:f>IF(AND(TRUE,Premissas!$B$11="Imovel",Premissas!$B$47="Investimento",$A55&gt;=MAX(Premissas!$B$48,Premissas!$B$49)),$E55,0)</x:f>
        <x:v>807.9852544000003</x:v>
      </x:c>
      <x:c r="L55" s="141" t="n">
        <x:f>H55+I55+J55</x:f>
        <x:v>1868.4203374459944</x:v>
      </x:c>
      <x:c r="M55" s="141" t="n">
        <x:f>K55</x:f>
        <x:v>807.9852544000003</x:v>
      </x:c>
      <x:c r="N55" s="141" t="n">
        <x:f>$C55+M55-L55</x:f>
        <x:v>5939.564916954007</x:v>
      </x:c>
      <x:c r="O55" s="141" t="n">
        <x:f>R54*(1+Premissas!$B$41)+N55</x:f>
        <x:v>454030.3173350109</x:v>
      </x:c>
      <x:c r="P55" s="141" t="n">
        <x:f>MAX(0,-O55)</x:f>
        <x:v>0</x:v>
      </x:c>
      <x:c r="Q55" s="141" t="n">
        <x:f>Q54*(1+Premissas!$B$41)+P55</x:f>
        <x:v>0</x:v>
      </x:c>
      <x:c r="R55" s="141" t="n">
        <x:f>MAX(0,O55)</x:f>
        <x:v>454030.3173350109</x:v>
      </x:c>
      <x:c r="S55" s="141" t="n">
        <x:f>IF(AND($A55&gt;=Premissas!$B$48,$A55-Premissas!$B$48+1&lt;=Premissas!$B$13),INDEX(Financiamento!$M$6:$M$485,$A55-Premissas!$B$48+1),0)</x:f>
        <x:v>140571.4285714288</x:v>
      </x:c>
      <x:c r="T55" s="141" t="n">
        <x:f>IF($A55&gt;=Premissas!$B$48,$F55,0)</x:f>
        <x:v>254959.44256172254</x:v>
      </x:c>
      <x:c r="U55" s="141" t="n">
        <x:f>R55+T55-S55</x:f>
        <x:v>568418.3313253047</x:v>
      </x:c>
      <x:c r="V55" s="141" t="n">
        <x:f>IF(Q55&gt;1,"Inviavel",U55)</x:f>
        <x:v>568418.3313253047</x:v>
      </x:c>
      <x:c r="W55" s="141" t="str">
        <x:f>IF(Q55&gt;1,"Inviavel","OK")</x:f>
        <x:v>OK</x:v>
      </x:c>
      <x:c r="X55" s="141" t="n">
        <x:f>IF($A55=Premissas!$B$48,Premissas!$B$8,0)</x:f>
        <x:v>0</x:v>
      </x:c>
      <x:c r="Y55" s="141" t="n">
        <x:f>IF(AND($A55&gt;=Premissas!$B$48,$A55-Premissas!$B$48+1&lt;=Premissas!$B$13),INDEX(Amortizacao!$K$6:$K$485,$A55-Premissas!$B$48+1),0)</x:f>
        <x:v>0</x:v>
      </x:c>
      <x:c r="Z55" s="141" t="n">
        <x:f>IF(AND(TRUE,Premissas!$B$11="Imovel",Premissas!$B$47="Moradia",$A55&lt;MAX(Premissas!$B$48,Premissas!$B$49)),$D55,0)</x:f>
        <x:v>0</x:v>
      </x:c>
      <x:c r="AA55" s="141" t="n">
        <x:f>IF(AND(TRUE,Premissas!$B$11="Imovel",Premissas!$B$47="Investimento",$A55&gt;=MAX(Premissas!$B$48,Premissas!$B$49)),$E55,0)</x:f>
        <x:v>807.9852544000003</x:v>
      </x:c>
      <x:c r="AB55" s="141" t="n">
        <x:f>X55+Y55+Z55</x:f>
        <x:v>0</x:v>
      </x:c>
      <x:c r="AC55" s="141" t="n">
        <x:f>AA55</x:f>
        <x:v>807.9852544000003</x:v>
      </x:c>
      <x:c r="AD55" s="141" t="n">
        <x:f>$C55+AC55-AB55</x:f>
        <x:v>7807.9852544000005</x:v>
      </x:c>
      <x:c r="AE55" s="141" t="n">
        <x:f>AH54*(1+Premissas!$B$41)+AD55</x:f>
        <x:v>317480.475098439</x:v>
      </x:c>
      <x:c r="AF55" s="141" t="n">
        <x:f>MAX(0,-AE55)</x:f>
        <x:v>0</x:v>
      </x:c>
      <x:c r="AG55" s="141" t="n">
        <x:f>AG54*(1+Premissas!$B$41)+AF55</x:f>
        <x:v>0</x:v>
      </x:c>
      <x:c r="AH55" s="141" t="n">
        <x:f>MAX(0,AE55)</x:f>
        <x:v>317480.475098439</x:v>
      </x:c>
      <x:c r="AI55" s="141" t="n">
        <x:f>IF(AND($A55&gt;=Premissas!$B$48,$A55-Premissas!$B$48+1&lt;=Premissas!$B$13),INDEX(Amortizacao!$L$6:$L$485,$A55-Premissas!$B$48+1),0)</x:f>
        <x:v>0</x:v>
      </x:c>
      <x:c r="AJ55" s="141" t="n">
        <x:f>IF($A55&gt;=Premissas!$B$48,$F55,0)</x:f>
        <x:v>254959.44256172254</x:v>
      </x:c>
      <x:c r="AK55" s="141" t="n">
        <x:f>AH55+AJ55-AI55</x:f>
        <x:v>572439.9176601616</x:v>
      </x:c>
      <x:c r="AL55" s="141" t="n">
        <x:f>IF(AG55&gt;1,"Inviavel",AK55)</x:f>
        <x:v>572439.9176601616</x:v>
      </x:c>
      <x:c r="AM55" s="141" t="str">
        <x:f>IF(AG55&gt;1,"Inviavel","OK")</x:f>
        <x:v>OK</x:v>
      </x:c>
      <x:c r="AN55" s="141" t="n">
        <x:f>IF($A55=Premissas!$B$48,Premissas!$B$8,0)</x:f>
        <x:v>0</x:v>
      </x:c>
      <x:c r="AO55" s="141" t="n">
        <x:f>IF($A55&lt;=Premissas!$B$25,INDEX('Consorcio IQ'!$K$6:$K$485,$A55),0)</x:f>
        <x:v>2588.6203374459956</x:v>
      </x:c>
      <x:c r="AP55" s="141" t="n">
        <x:f>IF(AND(TRUE,Premissas!$B$11="Imovel",Premissas!$B$47="Moradia",$A55&lt;MAX(Premissas!$B$48,Premissas!$B$49)),$D55,0)</x:f>
        <x:v>0</x:v>
      </x:c>
      <x:c r="AQ55" s="141" t="n">
        <x:f>IF(AND(TRUE,Premissas!$B$11="Imovel",Premissas!$B$47="Investimento",$A55&gt;=MAX(Premissas!$B$48,Premissas!$B$49)),$E55,0)</x:f>
        <x:v>807.9852544000003</x:v>
      </x:c>
      <x:c r="AR55" s="141" t="n">
        <x:f>AN55+AO55+AP55</x:f>
        <x:v>2588.6203374459956</x:v>
      </x:c>
      <x:c r="AS55" s="141" t="n">
        <x:f>AQ55</x:f>
        <x:v>807.9852544000003</x:v>
      </x:c>
      <x:c r="AT55" s="141" t="n">
        <x:f>$C55+AS55-AR55</x:f>
        <x:v>5219.364916954005</x:v>
      </x:c>
      <x:c r="AU55" s="141" t="n">
        <x:f>AX54*(1+Premissas!$B$41)+AT55</x:f>
        <x:v>413374.66894873255</x:v>
      </x:c>
      <x:c r="AV55" s="141" t="n">
        <x:f>MAX(0,-AU55)</x:f>
        <x:v>0</x:v>
      </x:c>
      <x:c r="AW55" s="141" t="n">
        <x:f>AW54*(1+Premissas!$B$41)+AV55</x:f>
        <x:v>0</x:v>
      </x:c>
      <x:c r="AX55" s="141" t="n">
        <x:f>MAX(0,AU55)</x:f>
        <x:v>413374.66894873255</x:v>
      </x:c>
      <x:c r="AY55" s="141" t="n">
        <x:f>INDEX('Consorcio IQ'!$P$6:$P$485,$A55)</x:f>
        <x:v>229841.12592253927</x:v>
      </x:c>
      <x:c r="AZ55" s="141" t="n">
        <x:f>IF($A55&gt;=Premissas!$B$48,$F55,0)+IF($A55&lt;Premissas!$B$27,INDEX('Consorcio IQ'!$O$6:$O$485,$A55),0)</x:f>
        <x:v>380927.280690957</x:v>
      </x:c>
      <x:c r="BA55" s="141" t="n">
        <x:f>AX55+AZ55-AY55</x:f>
        <x:v>564460.8237171503</x:v>
      </x:c>
      <x:c r="BB55" s="141" t="n">
        <x:f>IF(AW55&gt;1,"Inviavel",BA55)</x:f>
        <x:v>564460.8237171503</x:v>
      </x:c>
      <x:c r="BC55" s="141" t="str">
        <x:f>IF(AW55&gt;1,"Inviavel","OK")</x:f>
        <x:v>OK</x:v>
      </x:c>
      <x:c r="BD55" s="141" t="n">
        <x:f>IF($A55='Consorcio Direto'!$B$29,'Consorcio Direto'!$B$44,0)</x:f>
        <x:v>0</x:v>
      </x:c>
      <x:c r="BE55" s="141" t="n">
        <x:f>IF($A55&lt;='Consorcio Direto'!$B$27,INDEX('Consorcio Direto'!$E$55:$E$534,$A55),0)</x:f>
        <x:v>1864.9584501396378</x:v>
      </x:c>
      <x:c r="BF55" s="141" t="n">
        <x:f>IF(AND(TRUE,Premissas!$B$11="Imovel",Premissas!$B$47="Moradia",$A55&lt;MAX('Consorcio Direto'!$B$29,Premissas!$B$49)),$D55,0)</x:f>
        <x:v>0</x:v>
      </x:c>
      <x:c r="BG55" s="141" t="n">
        <x:f>IF(AND(TRUE,Premissas!$B$11="Imovel",Premissas!$B$47="Investimento",$A55&gt;=MAX('Consorcio Direto'!$B$29,Premissas!$B$49)),$E55,0)</x:f>
        <x:v>0</x:v>
      </x:c>
      <x:c r="BH55" s="141" t="n">
        <x:f>BD55+BE55+BF55</x:f>
        <x:v>1864.9584501396378</x:v>
      </x:c>
      <x:c r="BI55" s="141" t="n">
        <x:f>BG55</x:f>
        <x:v>0</x:v>
      </x:c>
      <x:c r="BJ55" s="141" t="n">
        <x:f>$C55+BI55-BH55</x:f>
        <x:v>5135.0415498603625</x:v>
      </x:c>
      <x:c r="BK55" s="141" t="n">
        <x:f>BN54*(1+Premissas!$B$41)+BJ55</x:f>
        <x:v>495489.98047249875</x:v>
      </x:c>
      <x:c r="BL55" s="141" t="n">
        <x:f>MAX(0,-BK55)</x:f>
        <x:v>0</x:v>
      </x:c>
      <x:c r="BM55" s="141" t="n">
        <x:f>BM54*(1+Premissas!$B$41)+BL55</x:f>
        <x:v>0</x:v>
      </x:c>
      <x:c r="BN55" s="141" t="n">
        <x:f>MAX(0,BK55)</x:f>
        <x:v>495489.98047249875</x:v>
      </x:c>
      <x:c r="BO55" s="141" t="n">
        <x:f>INDEX('Consorcio Direto'!$K$55:$K$534,$A55)</x:f>
        <x:v>231163.9494812016</x:v>
      </x:c>
      <x:c r="BP55" s="141" t="n">
        <x:f>IF($A55&lt;'Consorcio Direto'!$B$29,INDEX('Consorcio Direto'!$L$55:$L$534,$A55),$F55)</x:f>
        <x:v>244645.35979408925</x:v>
      </x:c>
      <x:c r="BQ55" s="141" t="n">
        <x:f>BN55+BP55-BO55</x:f>
        <x:v>508971.39078538644</x:v>
      </x:c>
      <x:c r="BR55" s="141" t="n">
        <x:f>IF(BM55&gt;1,"Inviavel",BQ55)</x:f>
        <x:v>508971.39078538644</x:v>
      </x:c>
      <x:c r="BS55" s="141" t="str">
        <x:f>IF(BM55&gt;1,"Inviavel","OK")</x:f>
        <x:v>OK</x:v>
      </x:c>
      <x:c r="BT55" s="141" t="n">
        <x:f>IF(AND('Carta Contemplada'!$B$22="Sim",$A55='Carta Contemplada'!$B$23),'Carta Contemplada'!$B$37,0)</x:f>
        <x:v>0</x:v>
      </x:c>
      <x:c r="BU55" s="141" t="n">
        <x:f>IF('Carta Contemplada'!$B$22="Sim",INDEX('Carta Contemplada'!$C$55:$C$1013,$A55),0)</x:f>
        <x:v>1514.9723520000005</x:v>
      </x:c>
      <x:c r="BV55" s="141" t="n">
        <x:f>IF(AND('Carta Contemplada'!$B$22="Sim",Premissas!$B$11="Imovel",Premissas!$B$47="Moradia",$A55&lt;MAX('Carta Contemplada'!$B$44,Premissas!$B$49)),$D55,0)</x:f>
        <x:v>0</x:v>
      </x:c>
      <x:c r="BW55" s="141" t="n">
        <x:f>IF(AND('Carta Contemplada'!$B$22="Sim",Premissas!$B$11="Imovel",Premissas!$B$47="Investimento",$A55&gt;=MAX('Carta Contemplada'!$B$44,Premissas!$B$49)),$E55,0)</x:f>
        <x:v>807.9852544000003</x:v>
      </x:c>
      <x:c r="BX55" s="141" t="n">
        <x:f>BT55+BU55+BV55</x:f>
        <x:v>1514.9723520000005</x:v>
      </x:c>
      <x:c r="BY55" s="141" t="n">
        <x:f>BW55</x:f>
        <x:v>807.9852544000003</x:v>
      </x:c>
      <x:c r="BZ55" s="141" t="n">
        <x:f>$C55+BY55-BX55</x:f>
        <x:v>6293.0129024</x:v>
      </x:c>
      <x:c r="CA55" s="141" t="n">
        <x:f>CD54*(1+Premissas!$B$41)+BZ55</x:f>
        <x:v>485492.47575399425</x:v>
      </x:c>
      <x:c r="CB55" s="141" t="n">
        <x:f>MAX(0,-CA55)</x:f>
        <x:v>0</x:v>
      </x:c>
      <x:c r="CC55" s="141" t="n">
        <x:f>CC54*(1+Premissas!$B$41)+CB55</x:f>
        <x:v>0</x:v>
      </x:c>
      <x:c r="CD55" s="141" t="n">
        <x:f>MAX(0,CA55)</x:f>
        <x:v>485492.47575399425</x:v>
      </x:c>
      <x:c r="CE55" s="141" t="n">
        <x:f>IF(AND('Carta Contemplada'!$B$22="Sim",$A55&gt;='Carta Contemplada'!$B$23),INDEX('Carta Contemplada'!$I$55:$I$1013,$A55),0)</x:f>
        <x:v>144641.8358611922</x:v>
      </x:c>
      <x:c r="CF55" s="141" t="n">
        <x:f>IF(AND('Carta Contemplada'!$B$22="Sim",$A55&gt;='Carta Contemplada'!$B$44),$F55,0)</x:f>
        <x:v>254959.44256172254</x:v>
      </x:c>
      <x:c r="CG55" s="141" t="n">
        <x:f>CD55+CF55-CE55</x:f>
        <x:v>595810.0824545246</x:v>
      </x:c>
      <x:c r="CH55" s="141" t="n">
        <x:f>IF(CC55&gt;1,"Inviavel",CG55)</x:f>
        <x:v>595810.0824545246</x:v>
      </x:c>
      <x:c r="CI55" s="145" t="str">
        <x:f>IF(CC55&gt;1,"Inviavel","OK")</x:f>
        <x:v>OK</x:v>
      </x:c>
    </x:row>
    <x:row r="56">
      <x:c r="A56" s="142" t="n">
        <x:v>52</x:v>
      </x:c>
      <x:c r="B56" s="179" t="n">
        <x:f>EDATE(Premissas!$B$4,A56-1)</x:f>
        <x:v>48092</x:v>
      </x:c>
      <x:c r="C56" s="141" t="n">
        <x:f>IF(A56&lt;=Premissas!$B$39,Premissas!$B$42,0)</x:f>
        <x:v>7000</x:v>
      </x:c>
      <x:c r="D56" s="141" t="n">
        <x:f>Premissas!$B$54*(1+Premissas!$B$57)^INT((A56-1)/12)</x:f>
        <x:v>883.7338720000002</x:v>
      </x:c>
      <x:c r="E56" s="141" t="n">
        <x:f>Premissas!$B$64*(1+Premissas!$B$57)^INT((A56-1)/12)</x:f>
        <x:v>807.9852544000003</x:v>
      </x:c>
      <x:c r="F56" s="141" t="n">
        <x:f>MAX(0,Premissas!$B$6*(1+Premissas!$B$66)^((A56-1)/12))</x:f>
        <x:v>256200.4705405034</x:v>
      </x:c>
      <x:c r="G56" s="141" t="n">
        <x:f>G55*(1+Premissas!$B$41)+C56</x:f>
        <x:v>613468.3744039744</x:v>
      </x:c>
      <x:c r="H56" s="141" t="n">
        <x:f>IF($A56=Premissas!$B$48,Premissas!$B$8,0)</x:f>
        <x:v>0</x:v>
      </x:c>
      <x:c r="I56" s="141" t="n">
        <x:f>IF(AND($A56&gt;=Premissas!$B$48,$A56-Premissas!$B$48+1&lt;=Premissas!$B$13),INDEX(Financiamento!$J$6:$J$485,$A56-Premissas!$B$48+1),0)</x:f>
        <x:v>1864.8055591852005</x:v>
      </x:c>
      <x:c r="J56" s="141" t="n">
        <x:f>IF(AND(TRUE,Premissas!$B$11="Imovel",Premissas!$B$47="Moradia",$A56&lt;MAX(Premissas!$B$48,Premissas!$B$49)),$D56,0)</x:f>
        <x:v>0</x:v>
      </x:c>
      <x:c r="K56" s="141" t="n">
        <x:f>IF(AND(TRUE,Premissas!$B$11="Imovel",Premissas!$B$47="Investimento",$A56&gt;=MAX(Premissas!$B$48,Premissas!$B$49)),$E56,0)</x:f>
        <x:v>807.9852544000003</x:v>
      </x:c>
      <x:c r="L56" s="141" t="n">
        <x:f>H56+I56+J56</x:f>
        <x:v>1864.8055591852005</x:v>
      </x:c>
      <x:c r="M56" s="141" t="n">
        <x:f>K56</x:f>
        <x:v>807.9852544000003</x:v>
      </x:c>
      <x:c r="N56" s="141" t="n">
        <x:f>$C56+M56-L56</x:f>
        <x:v>5943.1796952148</x:v>
      </x:c>
      <x:c r="O56" s="141" t="n">
        <x:f>R55*(1+Premissas!$B$41)+N56</x:f>
        <x:v>464281.69669744064</x:v>
      </x:c>
      <x:c r="P56" s="141" t="n">
        <x:f>MAX(0,-O56)</x:f>
        <x:v>0</x:v>
      </x:c>
      <x:c r="Q56" s="141" t="n">
        <x:f>Q55*(1+Premissas!$B$41)+P56</x:f>
        <x:v>0</x:v>
      </x:c>
      <x:c r="R56" s="141" t="n">
        <x:f>MAX(0,O56)</x:f>
        <x:v>464281.69669744064</x:v>
      </x:c>
      <x:c r="S56" s="141" t="n">
        <x:f>IF(AND($A56&gt;=Premissas!$B$48,$A56-Premissas!$B$48+1&lt;=Premissas!$B$13),INDEX(Financiamento!$M$6:$M$485,$A56-Premissas!$B$48+1),0)</x:f>
        <x:v>140190.47619047645</x:v>
      </x:c>
      <x:c r="T56" s="141" t="n">
        <x:f>IF($A56&gt;=Premissas!$B$48,$F56,0)</x:f>
        <x:v>256200.4705405034</x:v>
      </x:c>
      <x:c r="U56" s="141" t="n">
        <x:f>R56+T56-S56</x:f>
        <x:v>580291.6910474675</x:v>
      </x:c>
      <x:c r="V56" s="141" t="n">
        <x:f>IF(Q56&gt;1,"Inviavel",U56)</x:f>
        <x:v>580291.6910474675</x:v>
      </x:c>
      <x:c r="W56" s="141" t="str">
        <x:f>IF(Q56&gt;1,"Inviavel","OK")</x:f>
        <x:v>OK</x:v>
      </x:c>
      <x:c r="X56" s="141" t="n">
        <x:f>IF($A56=Premissas!$B$48,Premissas!$B$8,0)</x:f>
        <x:v>0</x:v>
      </x:c>
      <x:c r="Y56" s="141" t="n">
        <x:f>IF(AND($A56&gt;=Premissas!$B$48,$A56-Premissas!$B$48+1&lt;=Premissas!$B$13),INDEX(Amortizacao!$K$6:$K$485,$A56-Premissas!$B$48+1),0)</x:f>
        <x:v>0</x:v>
      </x:c>
      <x:c r="Z56" s="141" t="n">
        <x:f>IF(AND(TRUE,Premissas!$B$11="Imovel",Premissas!$B$47="Moradia",$A56&lt;MAX(Premissas!$B$48,Premissas!$B$49)),$D56,0)</x:f>
        <x:v>0</x:v>
      </x:c>
      <x:c r="AA56" s="141" t="n">
        <x:f>IF(AND(TRUE,Premissas!$B$11="Imovel",Premissas!$B$47="Investimento",$A56&gt;=MAX(Premissas!$B$48,Premissas!$B$49)),$E56,0)</x:f>
        <x:v>807.9852544000003</x:v>
      </x:c>
      <x:c r="AB56" s="141" t="n">
        <x:f>X56+Y56+Z56</x:f>
        <x:v>0</x:v>
      </x:c>
      <x:c r="AC56" s="141" t="n">
        <x:f>AA56</x:f>
        <x:v>807.9852544000003</x:v>
      </x:c>
      <x:c r="AD56" s="141" t="n">
        <x:f>$C56+AC56-AB56</x:f>
        <x:v>7807.9852544000005</x:v>
      </x:c>
      <x:c r="AE56" s="141" t="n">
        <x:f>AH55*(1+Premissas!$B$41)+AD56</x:f>
        <x:v>328300.96684182115</x:v>
      </x:c>
      <x:c r="AF56" s="141" t="n">
        <x:f>MAX(0,-AE56)</x:f>
        <x:v>0</x:v>
      </x:c>
      <x:c r="AG56" s="141" t="n">
        <x:f>AG55*(1+Premissas!$B$41)+AF56</x:f>
        <x:v>0</x:v>
      </x:c>
      <x:c r="AH56" s="141" t="n">
        <x:f>MAX(0,AE56)</x:f>
        <x:v>328300.96684182115</x:v>
      </x:c>
      <x:c r="AI56" s="141" t="n">
        <x:f>IF(AND($A56&gt;=Premissas!$B$48,$A56-Premissas!$B$48+1&lt;=Premissas!$B$13),INDEX(Amortizacao!$L$6:$L$485,$A56-Premissas!$B$48+1),0)</x:f>
        <x:v>0</x:v>
      </x:c>
      <x:c r="AJ56" s="141" t="n">
        <x:f>IF($A56&gt;=Premissas!$B$48,$F56,0)</x:f>
        <x:v>256200.4705405034</x:v>
      </x:c>
      <x:c r="AK56" s="141" t="n">
        <x:f>AH56+AJ56-AI56</x:f>
        <x:v>584501.4373823246</x:v>
      </x:c>
      <x:c r="AL56" s="141" t="n">
        <x:f>IF(AG56&gt;1,"Inviavel",AK56)</x:f>
        <x:v>584501.4373823246</x:v>
      </x:c>
      <x:c r="AM56" s="141" t="str">
        <x:f>IF(AG56&gt;1,"Inviavel","OK")</x:f>
        <x:v>OK</x:v>
      </x:c>
      <x:c r="AN56" s="141" t="n">
        <x:f>IF($A56=Premissas!$B$48,Premissas!$B$8,0)</x:f>
        <x:v>0</x:v>
      </x:c>
      <x:c r="AO56" s="141" t="n">
        <x:f>IF($A56&lt;=Premissas!$B$25,INDEX('Consorcio IQ'!$K$6:$K$485,$A56),0)</x:f>
        <x:v>2585.005559185202</x:v>
      </x:c>
      <x:c r="AP56" s="141" t="n">
        <x:f>IF(AND(TRUE,Premissas!$B$11="Imovel",Premissas!$B$47="Moradia",$A56&lt;MAX(Premissas!$B$48,Premissas!$B$49)),$D56,0)</x:f>
        <x:v>0</x:v>
      </x:c>
      <x:c r="AQ56" s="141" t="n">
        <x:f>IF(AND(TRUE,Premissas!$B$11="Imovel",Premissas!$B$47="Investimento",$A56&gt;=MAX(Premissas!$B$48,Premissas!$B$49)),$E56,0)</x:f>
        <x:v>807.9852544000003</x:v>
      </x:c>
      <x:c r="AR56" s="141" t="n">
        <x:f>AN56+AO56+AP56</x:f>
        <x:v>2585.005559185202</x:v>
      </x:c>
      <x:c r="AS56" s="141" t="n">
        <x:f>AQ56</x:f>
        <x:v>807.9852544000003</x:v>
      </x:c>
      <x:c r="AT56" s="141" t="n">
        <x:f>$C56+AS56-AR56</x:f>
        <x:v>5222.979695214799</x:v>
      </x:c>
      <x:c r="AU56" s="141" t="n">
        <x:f>AX55*(1+Premissas!$B$41)+AT56</x:f>
        <x:v>422520.0752820037</x:v>
      </x:c>
      <x:c r="AV56" s="141" t="n">
        <x:f>MAX(0,-AU56)</x:f>
        <x:v>0</x:v>
      </x:c>
      <x:c r="AW56" s="141" t="n">
        <x:f>AW55*(1+Premissas!$B$41)+AV56</x:f>
        <x:v>0</x:v>
      </x:c>
      <x:c r="AX56" s="141" t="n">
        <x:f>MAX(0,AU56)</x:f>
        <x:v>422520.0752820037</x:v>
      </x:c>
      <x:c r="AY56" s="141" t="n">
        <x:f>INDEX('Consorcio IQ'!$P$6:$P$485,$A56)</x:f>
        <x:v>229587.0352150845</x:v>
      </x:c>
      <x:c r="AZ56" s="141" t="n">
        <x:f>IF($A56&gt;=Premissas!$B$48,$F56,0)+IF($A56&lt;Premissas!$B$27,INDEX('Consorcio IQ'!$O$6:$O$485,$A56),0)</x:f>
        <x:v>383363.59140216326</x:v>
      </x:c>
      <x:c r="BA56" s="141" t="n">
        <x:f>AX56+AZ56-AY56</x:f>
        <x:v>576296.6314690826</x:v>
      </x:c>
      <x:c r="BB56" s="141" t="n">
        <x:f>IF(AW56&gt;1,"Inviavel",BA56)</x:f>
        <x:v>576296.6314690826</x:v>
      </x:c>
      <x:c r="BC56" s="141" t="str">
        <x:f>IF(AW56&gt;1,"Inviavel","OK")</x:f>
        <x:v>OK</x:v>
      </x:c>
      <x:c r="BD56" s="141" t="n">
        <x:f>IF($A56='Consorcio Direto'!$B$29,'Consorcio Direto'!$B$44,0)</x:f>
        <x:v>0</x:v>
      </x:c>
      <x:c r="BE56" s="141" t="n">
        <x:f>IF($A56&lt;='Consorcio Direto'!$B$27,INDEX('Consorcio Direto'!$E$55:$E$534,$A56),0)</x:f>
        <x:v>1864.9584501396378</x:v>
      </x:c>
      <x:c r="BF56" s="141" t="n">
        <x:f>IF(AND(TRUE,Premissas!$B$11="Imovel",Premissas!$B$47="Moradia",$A56&lt;MAX('Consorcio Direto'!$B$29,Premissas!$B$49)),$D56,0)</x:f>
        <x:v>0</x:v>
      </x:c>
      <x:c r="BG56" s="141" t="n">
        <x:f>IF(AND(TRUE,Premissas!$B$11="Imovel",Premissas!$B$47="Investimento",$A56&gt;=MAX('Consorcio Direto'!$B$29,Premissas!$B$49)),$E56,0)</x:f>
        <x:v>0</x:v>
      </x:c>
      <x:c r="BH56" s="141" t="n">
        <x:f>BD56+BE56+BF56</x:f>
        <x:v>1864.9584501396378</x:v>
      </x:c>
      <x:c r="BI56" s="141" t="n">
        <x:f>BG56</x:f>
        <x:v>0</x:v>
      </x:c>
      <x:c r="BJ56" s="141" t="n">
        <x:f>$C56+BI56-BH56</x:f>
        <x:v>5135.0415498603625</x:v>
      </x:c>
      <x:c r="BK56" s="141" t="n">
        <x:f>BN55*(1+Premissas!$B$41)+BJ56</x:f>
        <x:v>505326.62384822324</x:v>
      </x:c>
      <x:c r="BL56" s="141" t="n">
        <x:f>MAX(0,-BK56)</x:f>
        <x:v>0</x:v>
      </x:c>
      <x:c r="BM56" s="141" t="n">
        <x:f>BM55*(1+Premissas!$B$41)+BL56</x:f>
        <x:v>0</x:v>
      </x:c>
      <x:c r="BN56" s="141" t="n">
        <x:f>MAX(0,BK56)</x:f>
        <x:v>505326.62384822324</x:v>
      </x:c>
      <x:c r="BO56" s="141" t="n">
        <x:f>INDEX('Consorcio Direto'!$K$55:$K$534,$A56)</x:f>
        <x:v>231492.4578816295</x:v>
      </x:c>
      <x:c r="BP56" s="141" t="n">
        <x:f>IF($A56&lt;'Consorcio Direto'!$B$29,INDEX('Consorcio Direto'!$L$55:$L$534,$A56),$F56)</x:f>
        <x:v>246966.74895558192</x:v>
      </x:c>
      <x:c r="BQ56" s="141" t="n">
        <x:f>BN56+BP56-BO56</x:f>
        <x:v>520800.9149221757</x:v>
      </x:c>
      <x:c r="BR56" s="141" t="n">
        <x:f>IF(BM56&gt;1,"Inviavel",BQ56)</x:f>
        <x:v>520800.9149221757</x:v>
      </x:c>
      <x:c r="BS56" s="141" t="str">
        <x:f>IF(BM56&gt;1,"Inviavel","OK")</x:f>
        <x:v>OK</x:v>
      </x:c>
      <x:c r="BT56" s="141" t="n">
        <x:f>IF(AND('Carta Contemplada'!$B$22="Sim",$A56='Carta Contemplada'!$B$23),'Carta Contemplada'!$B$37,0)</x:f>
        <x:v>0</x:v>
      </x:c>
      <x:c r="BU56" s="141" t="n">
        <x:f>IF('Carta Contemplada'!$B$22="Sim",INDEX('Carta Contemplada'!$C$55:$C$1013,$A56),0)</x:f>
        <x:v>1514.9723520000005</x:v>
      </x:c>
      <x:c r="BV56" s="141" t="n">
        <x:f>IF(AND('Carta Contemplada'!$B$22="Sim",Premissas!$B$11="Imovel",Premissas!$B$47="Moradia",$A56&lt;MAX('Carta Contemplada'!$B$44,Premissas!$B$49)),$D56,0)</x:f>
        <x:v>0</x:v>
      </x:c>
      <x:c r="BW56" s="141" t="n">
        <x:f>IF(AND('Carta Contemplada'!$B$22="Sim",Premissas!$B$11="Imovel",Premissas!$B$47="Investimento",$A56&gt;=MAX('Carta Contemplada'!$B$44,Premissas!$B$49)),$E56,0)</x:f>
        <x:v>807.9852544000003</x:v>
      </x:c>
      <x:c r="BX56" s="141" t="n">
        <x:f>BT56+BU56+BV56</x:f>
        <x:v>1514.9723520000005</x:v>
      </x:c>
      <x:c r="BY56" s="141" t="n">
        <x:f>BW56</x:f>
        <x:v>807.9852544000003</x:v>
      </x:c>
      <x:c r="BZ56" s="141" t="n">
        <x:f>$C56+BY56-BX56</x:f>
        <x:v>6293.0129024</x:v>
      </x:c>
      <x:c r="CA56" s="141" t="n">
        <x:f>CD55*(1+Premissas!$B$41)+BZ56</x:f>
        <x:v>496392.226230122</x:v>
      </x:c>
      <x:c r="CB56" s="141" t="n">
        <x:f>MAX(0,-CA56)</x:f>
        <x:v>0</x:v>
      </x:c>
      <x:c r="CC56" s="141" t="n">
        <x:f>CC55*(1+Premissas!$B$41)+CB56</x:f>
        <x:v>0</x:v>
      </x:c>
      <x:c r="CD56" s="141" t="n">
        <x:f>MAX(0,CA56)</x:f>
        <x:v>496392.226230122</x:v>
      </x:c>
      <x:c r="CE56" s="141" t="n">
        <x:f>IF(AND('Carta Contemplada'!$B$22="Sim",$A56&gt;='Carta Contemplada'!$B$23),INDEX('Carta Contemplada'!$I$55:$I$1013,$A56),0)</x:f>
        <x:v>144499.33993935699</x:v>
      </x:c>
      <x:c r="CF56" s="141" t="n">
        <x:f>IF(AND('Carta Contemplada'!$B$22="Sim",$A56&gt;='Carta Contemplada'!$B$44),$F56,0)</x:f>
        <x:v>256200.4705405034</x:v>
      </x:c>
      <x:c r="CG56" s="141" t="n">
        <x:f>CD56+CF56-CE56</x:f>
        <x:v>608093.3568312684</x:v>
      </x:c>
      <x:c r="CH56" s="141" t="n">
        <x:f>IF(CC56&gt;1,"Inviavel",CG56)</x:f>
        <x:v>608093.3568312684</x:v>
      </x:c>
      <x:c r="CI56" s="145" t="str">
        <x:f>IF(CC56&gt;1,"Inviavel","OK")</x:f>
        <x:v>OK</x:v>
      </x:c>
    </x:row>
    <x:row r="57">
      <x:c r="A57" s="142" t="n">
        <x:v>53</x:v>
      </x:c>
      <x:c r="B57" s="179" t="n">
        <x:f>EDATE(Premissas!$B$4,A57-1)</x:f>
        <x:v>48122</x:v>
      </x:c>
      <x:c r="C57" s="141" t="n">
        <x:f>IF(A57&lt;=Premissas!$B$39,Premissas!$B$42,0)</x:f>
        <x:v>7000</x:v>
      </x:c>
      <x:c r="D57" s="141" t="n">
        <x:f>Premissas!$B$54*(1+Premissas!$B$57)^INT((A57-1)/12)</x:f>
        <x:v>883.7338720000002</x:v>
      </x:c>
      <x:c r="E57" s="141" t="n">
        <x:f>Premissas!$B$64*(1+Premissas!$B$57)^INT((A57-1)/12)</x:f>
        <x:v>807.9852544000003</x:v>
      </x:c>
      <x:c r="F57" s="141" t="n">
        <x:f>MAX(0,Premissas!$B$6*(1+Premissas!$B$66)^((A57-1)/12))</x:f>
        <x:v>257447.53928572396</x:v>
      </x:c>
      <x:c r="G57" s="141" t="n">
        <x:f>G56*(1+Premissas!$B$41)+C57</x:f>
        <x:v>626289.448780609</x:v>
      </x:c>
      <x:c r="H57" s="141" t="n">
        <x:f>IF($A57=Premissas!$B$48,Premissas!$B$8,0)</x:f>
        <x:v>0</x:v>
      </x:c>
      <x:c r="I57" s="141" t="n">
        <x:f>IF(AND($A57&gt;=Premissas!$B$48,$A57-Premissas!$B$48+1&lt;=Premissas!$B$13),INDEX(Financiamento!$J$6:$J$485,$A57-Premissas!$B$48+1),0)</x:f>
        <x:v>1861.1907809244071</x:v>
      </x:c>
      <x:c r="J57" s="141" t="n">
        <x:f>IF(AND(TRUE,Premissas!$B$11="Imovel",Premissas!$B$47="Moradia",$A57&lt;MAX(Premissas!$B$48,Premissas!$B$49)),$D57,0)</x:f>
        <x:v>0</x:v>
      </x:c>
      <x:c r="K57" s="141" t="n">
        <x:f>IF(AND(TRUE,Premissas!$B$11="Imovel",Premissas!$B$47="Investimento",$A57&gt;=MAX(Premissas!$B$48,Premissas!$B$49)),$E57,0)</x:f>
        <x:v>807.9852544000003</x:v>
      </x:c>
      <x:c r="L57" s="141" t="n">
        <x:f>H57+I57+J57</x:f>
        <x:v>1861.1907809244071</x:v>
      </x:c>
      <x:c r="M57" s="141" t="n">
        <x:f>K57</x:f>
        <x:v>807.9852544000003</x:v>
      </x:c>
      <x:c r="N57" s="141" t="n">
        <x:f>$C57+M57-L57</x:f>
        <x:v>5946.794473475593</x:v>
      </x:c>
      <x:c r="O57" s="141" t="n">
        <x:f>R56*(1+Premissas!$B$41)+N57</x:f>
        <x:v>474633.96405419515</x:v>
      </x:c>
      <x:c r="P57" s="141" t="n">
        <x:f>MAX(0,-O57)</x:f>
        <x:v>0</x:v>
      </x:c>
      <x:c r="Q57" s="141" t="n">
        <x:f>Q56*(1+Premissas!$B$41)+P57</x:f>
        <x:v>0</x:v>
      </x:c>
      <x:c r="R57" s="141" t="n">
        <x:f>MAX(0,O57)</x:f>
        <x:v>474633.96405419515</x:v>
      </x:c>
      <x:c r="S57" s="141" t="n">
        <x:f>IF(AND($A57&gt;=Premissas!$B$48,$A57-Premissas!$B$48+1&lt;=Premissas!$B$13),INDEX(Financiamento!$M$6:$M$485,$A57-Premissas!$B$48+1),0)</x:f>
        <x:v>139809.52380952408</x:v>
      </x:c>
      <x:c r="T57" s="141" t="n">
        <x:f>IF($A57&gt;=Premissas!$B$48,$F57,0)</x:f>
        <x:v>257447.53928572396</x:v>
      </x:c>
      <x:c r="U57" s="141" t="n">
        <x:f>R57+T57-S57</x:f>
        <x:v>592271.979530395</x:v>
      </x:c>
      <x:c r="V57" s="141" t="n">
        <x:f>IF(Q57&gt;1,"Inviavel",U57)</x:f>
        <x:v>592271.979530395</x:v>
      </x:c>
      <x:c r="W57" s="141" t="str">
        <x:f>IF(Q57&gt;1,"Inviavel","OK")</x:f>
        <x:v>OK</x:v>
      </x:c>
      <x:c r="X57" s="141" t="n">
        <x:f>IF($A57=Premissas!$B$48,Premissas!$B$8,0)</x:f>
        <x:v>0</x:v>
      </x:c>
      <x:c r="Y57" s="141" t="n">
        <x:f>IF(AND($A57&gt;=Premissas!$B$48,$A57-Premissas!$B$48+1&lt;=Premissas!$B$13),INDEX(Amortizacao!$K$6:$K$485,$A57-Premissas!$B$48+1),0)</x:f>
        <x:v>0</x:v>
      </x:c>
      <x:c r="Z57" s="141" t="n">
        <x:f>IF(AND(TRUE,Premissas!$B$11="Imovel",Premissas!$B$47="Moradia",$A57&lt;MAX(Premissas!$B$48,Premissas!$B$49)),$D57,0)</x:f>
        <x:v>0</x:v>
      </x:c>
      <x:c r="AA57" s="141" t="n">
        <x:f>IF(AND(TRUE,Premissas!$B$11="Imovel",Premissas!$B$47="Investimento",$A57&gt;=MAX(Premissas!$B$48,Premissas!$B$49)),$E57,0)</x:f>
        <x:v>807.9852544000003</x:v>
      </x:c>
      <x:c r="AB57" s="141" t="n">
        <x:f>X57+Y57+Z57</x:f>
        <x:v>0</x:v>
      </x:c>
      <x:c r="AC57" s="141" t="n">
        <x:f>AA57</x:f>
        <x:v>807.9852544000003</x:v>
      </x:c>
      <x:c r="AD57" s="141" t="n">
        <x:f>$C57+AC57-AB57</x:f>
        <x:v>7807.9852544000005</x:v>
      </x:c>
      <x:c r="AE57" s="141" t="n">
        <x:f>AH56*(1+Premissas!$B$41)+AD57</x:f>
        <x:v>339224.1319908066</x:v>
      </x:c>
      <x:c r="AF57" s="141" t="n">
        <x:f>MAX(0,-AE57)</x:f>
        <x:v>0</x:v>
      </x:c>
      <x:c r="AG57" s="141" t="n">
        <x:f>AG56*(1+Premissas!$B$41)+AF57</x:f>
        <x:v>0</x:v>
      </x:c>
      <x:c r="AH57" s="141" t="n">
        <x:f>MAX(0,AE57)</x:f>
        <x:v>339224.1319908066</x:v>
      </x:c>
      <x:c r="AI57" s="141" t="n">
        <x:f>IF(AND($A57&gt;=Premissas!$B$48,$A57-Premissas!$B$48+1&lt;=Premissas!$B$13),INDEX(Amortizacao!$L$6:$L$485,$A57-Premissas!$B$48+1),0)</x:f>
        <x:v>0</x:v>
      </x:c>
      <x:c r="AJ57" s="141" t="n">
        <x:f>IF($A57&gt;=Premissas!$B$48,$F57,0)</x:f>
        <x:v>257447.53928572396</x:v>
      </x:c>
      <x:c r="AK57" s="141" t="n">
        <x:f>AH57+AJ57-AI57</x:f>
        <x:v>596671.6712765306</x:v>
      </x:c>
      <x:c r="AL57" s="141" t="n">
        <x:f>IF(AG57&gt;1,"Inviavel",AK57)</x:f>
        <x:v>596671.6712765306</x:v>
      </x:c>
      <x:c r="AM57" s="141" t="str">
        <x:f>IF(AG57&gt;1,"Inviavel","OK")</x:f>
        <x:v>OK</x:v>
      </x:c>
      <x:c r="AN57" s="141" t="n">
        <x:f>IF($A57=Premissas!$B$48,Premissas!$B$8,0)</x:f>
        <x:v>0</x:v>
      </x:c>
      <x:c r="AO57" s="141" t="n">
        <x:f>IF($A57&lt;=Premissas!$B$25,INDEX('Consorcio IQ'!$K$6:$K$485,$A57),0)</x:f>
        <x:v>2581.3907809244083</x:v>
      </x:c>
      <x:c r="AP57" s="141" t="n">
        <x:f>IF(AND(TRUE,Premissas!$B$11="Imovel",Premissas!$B$47="Moradia",$A57&lt;MAX(Premissas!$B$48,Premissas!$B$49)),$D57,0)</x:f>
        <x:v>0</x:v>
      </x:c>
      <x:c r="AQ57" s="141" t="n">
        <x:f>IF(AND(TRUE,Premissas!$B$11="Imovel",Premissas!$B$47="Investimento",$A57&gt;=MAX(Premissas!$B$48,Premissas!$B$49)),$E57,0)</x:f>
        <x:v>807.9852544000003</x:v>
      </x:c>
      <x:c r="AR57" s="141" t="n">
        <x:f>AN57+AO57+AP57</x:f>
        <x:v>2581.3907809244083</x:v>
      </x:c>
      <x:c r="AS57" s="141" t="n">
        <x:f>AQ57</x:f>
        <x:v>807.9852544000003</x:v>
      </x:c>
      <x:c r="AT57" s="141" t="n">
        <x:f>$C57+AS57-AR57</x:f>
        <x:v>5226.594473475592</x:v>
      </x:c>
      <x:c r="AU57" s="141" t="n">
        <x:f>AX56*(1+Premissas!$B$41)+AT57</x:f>
        <x:v>431755.87526053464</x:v>
      </x:c>
      <x:c r="AV57" s="141" t="n">
        <x:f>MAX(0,-AU57)</x:f>
        <x:v>0</x:v>
      </x:c>
      <x:c r="AW57" s="141" t="n">
        <x:f>AW56*(1+Premissas!$B$41)+AV57</x:f>
        <x:v>0</x:v>
      </x:c>
      <x:c r="AX57" s="141" t="n">
        <x:f>MAX(0,AU57)</x:f>
        <x:v>431755.87526053464</x:v>
      </x:c>
      <x:c r="AY57" s="141" t="n">
        <x:f>INDEX('Consorcio IQ'!$P$6:$P$485,$A57)</x:f>
        <x:v>229334.14827178087</x:v>
      </x:c>
      <x:c r="AZ57" s="141" t="n">
        <x:f>IF($A57&gt;=Premissas!$B$48,$F57,0)+IF($A57&lt;Premissas!$B$27,INDEX('Consorcio IQ'!$O$6:$O$485,$A57),0)</x:f>
        <x:v>385817.2846701555</x:v>
      </x:c>
      <x:c r="BA57" s="141" t="n">
        <x:f>AX57+AZ57-AY57</x:f>
        <x:v>588239.0116589093</x:v>
      </x:c>
      <x:c r="BB57" s="141" t="n">
        <x:f>IF(AW57&gt;1,"Inviavel",BA57)</x:f>
        <x:v>588239.0116589093</x:v>
      </x:c>
      <x:c r="BC57" s="141" t="str">
        <x:f>IF(AW57&gt;1,"Inviavel","OK")</x:f>
        <x:v>OK</x:v>
      </x:c>
      <x:c r="BD57" s="141" t="n">
        <x:f>IF($A57='Consorcio Direto'!$B$29,'Consorcio Direto'!$B$44,0)</x:f>
        <x:v>0</x:v>
      </x:c>
      <x:c r="BE57" s="141" t="n">
        <x:f>IF($A57&lt;='Consorcio Direto'!$B$27,INDEX('Consorcio Direto'!$E$55:$E$534,$A57),0)</x:f>
        <x:v>1864.9584501396378</x:v>
      </x:c>
      <x:c r="BF57" s="141" t="n">
        <x:f>IF(AND(TRUE,Premissas!$B$11="Imovel",Premissas!$B$47="Moradia",$A57&lt;MAX('Consorcio Direto'!$B$29,Premissas!$B$49)),$D57,0)</x:f>
        <x:v>0</x:v>
      </x:c>
      <x:c r="BG57" s="141" t="n">
        <x:f>IF(AND(TRUE,Premissas!$B$11="Imovel",Premissas!$B$47="Investimento",$A57&gt;=MAX('Consorcio Direto'!$B$29,Premissas!$B$49)),$E57,0)</x:f>
        <x:v>0</x:v>
      </x:c>
      <x:c r="BH57" s="141" t="n">
        <x:f>BD57+BE57+BF57</x:f>
        <x:v>1864.9584501396378</x:v>
      </x:c>
      <x:c r="BI57" s="141" t="n">
        <x:f>BG57</x:f>
        <x:v>0</x:v>
      </x:c>
      <x:c r="BJ57" s="141" t="n">
        <x:f>$C57+BI57-BH57</x:f>
        <x:v>5135.0415498603625</x:v>
      </x:c>
      <x:c r="BK57" s="141" t="n">
        <x:f>BN56*(1+Premissas!$B$41)+BJ57</x:f>
        <x:v>515256.60509611137</x:v>
      </x:c>
      <x:c r="BL57" s="141" t="n">
        <x:f>MAX(0,-BK57)</x:f>
        <x:v>0</x:v>
      </x:c>
      <x:c r="BM57" s="141" t="n">
        <x:f>BM56*(1+Premissas!$B$41)+BL57</x:f>
        <x:v>0</x:v>
      </x:c>
      <x:c r="BN57" s="141" t="n">
        <x:f>MAX(0,BK57)</x:f>
        <x:v>515256.60509611137</x:v>
      </x:c>
      <x:c r="BO57" s="141" t="n">
        <x:f>INDEX('Consorcio Direto'!$K$55:$K$534,$A57)</x:f>
        <x:v>231824.08343024633</x:v>
      </x:c>
      <x:c r="BP57" s="141" t="n">
        <x:f>IF($A57&lt;'Consorcio Direto'!$B$29,INDEX('Consorcio Direto'!$L$55:$L$534,$A57),$F57)</x:f>
        <x:v>249310.1652981486</x:v>
      </x:c>
      <x:c r="BQ57" s="141" t="n">
        <x:f>BN57+BP57-BO57</x:f>
        <x:v>532742.6869640136</x:v>
      </x:c>
      <x:c r="BR57" s="141" t="n">
        <x:f>IF(BM57&gt;1,"Inviavel",BQ57)</x:f>
        <x:v>532742.6869640136</x:v>
      </x:c>
      <x:c r="BS57" s="141" t="str">
        <x:f>IF(BM57&gt;1,"Inviavel","OK")</x:f>
        <x:v>OK</x:v>
      </x:c>
      <x:c r="BT57" s="141" t="n">
        <x:f>IF(AND('Carta Contemplada'!$B$22="Sim",$A57='Carta Contemplada'!$B$23),'Carta Contemplada'!$B$37,0)</x:f>
        <x:v>0</x:v>
      </x:c>
      <x:c r="BU57" s="141" t="n">
        <x:f>IF('Carta Contemplada'!$B$22="Sim",INDEX('Carta Contemplada'!$C$55:$C$1013,$A57),0)</x:f>
        <x:v>1514.9723520000005</x:v>
      </x:c>
      <x:c r="BV57" s="141" t="n">
        <x:f>IF(AND('Carta Contemplada'!$B$22="Sim",Premissas!$B$11="Imovel",Premissas!$B$47="Moradia",$A57&lt;MAX('Carta Contemplada'!$B$44,Premissas!$B$49)),$D57,0)</x:f>
        <x:v>0</x:v>
      </x:c>
      <x:c r="BW57" s="141" t="n">
        <x:f>IF(AND('Carta Contemplada'!$B$22="Sim",Premissas!$B$11="Imovel",Premissas!$B$47="Investimento",$A57&gt;=MAX('Carta Contemplada'!$B$44,Premissas!$B$49)),$E57,0)</x:f>
        <x:v>807.9852544000003</x:v>
      </x:c>
      <x:c r="BX57" s="141" t="n">
        <x:f>BT57+BU57+BV57</x:f>
        <x:v>1514.9723520000005</x:v>
      </x:c>
      <x:c r="BY57" s="141" t="n">
        <x:f>BW57</x:f>
        <x:v>807.9852544000003</x:v>
      </x:c>
      <x:c r="BZ57" s="141" t="n">
        <x:f>$C57+BY57-BX57</x:f>
        <x:v>6293.0129024</x:v>
      </x:c>
      <x:c r="CA57" s="141" t="n">
        <x:f>CD56*(1+Premissas!$B$41)+BZ57</x:f>
        <x:v>507395.4021815563</x:v>
      </x:c>
      <x:c r="CB57" s="141" t="n">
        <x:f>MAX(0,-CA57)</x:f>
        <x:v>0</x:v>
      </x:c>
      <x:c r="CC57" s="141" t="n">
        <x:f>CC56*(1+Premissas!$B$41)+CB57</x:f>
        <x:v>0</x:v>
      </x:c>
      <x:c r="CD57" s="141" t="n">
        <x:f>MAX(0,CA57)</x:f>
        <x:v>507395.4021815563</x:v>
      </x:c>
      <x:c r="CE57" s="141" t="n">
        <x:f>IF(AND('Carta Contemplada'!$B$22="Sim",$A57&gt;='Carta Contemplada'!$B$23),INDEX('Carta Contemplada'!$I$55:$I$1013,$A57),0)</x:f>
        <x:v>144355.49190322545</x:v>
      </x:c>
      <x:c r="CF57" s="141" t="n">
        <x:f>IF(AND('Carta Contemplada'!$B$22="Sim",$A57&gt;='Carta Contemplada'!$B$44),$F57,0)</x:f>
        <x:v>257447.53928572396</x:v>
      </x:c>
      <x:c r="CG57" s="141" t="n">
        <x:f>CD57+CF57-CE57</x:f>
        <x:v>620487.4495640548</x:v>
      </x:c>
      <x:c r="CH57" s="141" t="n">
        <x:f>IF(CC57&gt;1,"Inviavel",CG57)</x:f>
        <x:v>620487.4495640548</x:v>
      </x:c>
      <x:c r="CI57" s="145" t="str">
        <x:f>IF(CC57&gt;1,"Inviavel","OK")</x:f>
        <x:v>OK</x:v>
      </x:c>
    </x:row>
    <x:row r="58">
      <x:c r="A58" s="142" t="n">
        <x:v>54</x:v>
      </x:c>
      <x:c r="B58" s="179" t="n">
        <x:f>EDATE(Premissas!$B$4,A58-1)</x:f>
        <x:v>48153</x:v>
      </x:c>
      <x:c r="C58" s="141" t="n">
        <x:f>IF(A58&lt;=Premissas!$B$39,Premissas!$B$42,0)</x:f>
        <x:v>7000</x:v>
      </x:c>
      <x:c r="D58" s="141" t="n">
        <x:f>Premissas!$B$54*(1+Premissas!$B$57)^INT((A58-1)/12)</x:f>
        <x:v>883.7338720000002</x:v>
      </x:c>
      <x:c r="E58" s="141" t="n">
        <x:f>Premissas!$B$64*(1+Premissas!$B$57)^INT((A58-1)/12)</x:f>
        <x:v>807.9852544000003</x:v>
      </x:c>
      <x:c r="F58" s="141" t="n">
        <x:f>MAX(0,Premissas!$B$6*(1+Premissas!$B$66)^((A58-1)/12))</x:f>
        <x:v>258700.67820112035</x:v>
      </x:c>
      <x:c r="G58" s="141" t="n">
        <x:f>G57*(1+Premissas!$B$41)+C58</x:f>
        <x:v>639232.1796772022</x:v>
      </x:c>
      <x:c r="H58" s="141" t="n">
        <x:f>IF($A58=Premissas!$B$48,Premissas!$B$8,0)</x:f>
        <x:v>0</x:v>
      </x:c>
      <x:c r="I58" s="141" t="n">
        <x:f>IF(AND($A58&gt;=Premissas!$B$48,$A58-Premissas!$B$48+1&lt;=Premissas!$B$13),INDEX(Financiamento!$J$6:$J$485,$A58-Premissas!$B$48+1),0)</x:f>
        <x:v>1857.5760026636137</x:v>
      </x:c>
      <x:c r="J58" s="141" t="n">
        <x:f>IF(AND(TRUE,Premissas!$B$11="Imovel",Premissas!$B$47="Moradia",$A58&lt;MAX(Premissas!$B$48,Premissas!$B$49)),$D58,0)</x:f>
        <x:v>0</x:v>
      </x:c>
      <x:c r="K58" s="141" t="n">
        <x:f>IF(AND(TRUE,Premissas!$B$11="Imovel",Premissas!$B$47="Investimento",$A58&gt;=MAX(Premissas!$B$48,Premissas!$B$49)),$E58,0)</x:f>
        <x:v>807.9852544000003</x:v>
      </x:c>
      <x:c r="L58" s="141" t="n">
        <x:f>H58+I58+J58</x:f>
        <x:v>1857.5760026636137</x:v>
      </x:c>
      <x:c r="M58" s="141" t="n">
        <x:f>K58</x:f>
        <x:v>807.9852544000003</x:v>
      </x:c>
      <x:c r="N58" s="141" t="n">
        <x:f>$C58+M58-L58</x:f>
        <x:v>5950.409251736387</x:v>
      </x:c>
      <x:c r="O58" s="141" t="n">
        <x:f>R57*(1+Premissas!$B$41)+N58</x:f>
        <x:v>485088.0767105621</x:v>
      </x:c>
      <x:c r="P58" s="141" t="n">
        <x:f>MAX(0,-O58)</x:f>
        <x:v>0</x:v>
      </x:c>
      <x:c r="Q58" s="141" t="n">
        <x:f>Q57*(1+Premissas!$B$41)+P58</x:f>
        <x:v>0</x:v>
      </x:c>
      <x:c r="R58" s="141" t="n">
        <x:f>MAX(0,O58)</x:f>
        <x:v>485088.0767105621</x:v>
      </x:c>
      <x:c r="S58" s="141" t="n">
        <x:f>IF(AND($A58&gt;=Premissas!$B$48,$A58-Premissas!$B$48+1&lt;=Premissas!$B$13),INDEX(Financiamento!$M$6:$M$485,$A58-Premissas!$B$48+1),0)</x:f>
        <x:v>139428.57142857168</x:v>
      </x:c>
      <x:c r="T58" s="141" t="n">
        <x:f>IF($A58&gt;=Premissas!$B$48,$F58,0)</x:f>
        <x:v>258700.67820112035</x:v>
      </x:c>
      <x:c r="U58" s="141" t="n">
        <x:f>R58+T58-S58</x:f>
        <x:v>604360.1834831107</x:v>
      </x:c>
      <x:c r="V58" s="141" t="n">
        <x:f>IF(Q58&gt;1,"Inviavel",U58)</x:f>
        <x:v>604360.1834831107</x:v>
      </x:c>
      <x:c r="W58" s="141" t="str">
        <x:f>IF(Q58&gt;1,"Inviavel","OK")</x:f>
        <x:v>OK</x:v>
      </x:c>
      <x:c r="X58" s="141" t="n">
        <x:f>IF($A58=Premissas!$B$48,Premissas!$B$8,0)</x:f>
        <x:v>0</x:v>
      </x:c>
      <x:c r="Y58" s="141" t="n">
        <x:f>IF(AND($A58&gt;=Premissas!$B$48,$A58-Premissas!$B$48+1&lt;=Premissas!$B$13),INDEX(Amortizacao!$K$6:$K$485,$A58-Premissas!$B$48+1),0)</x:f>
        <x:v>0</x:v>
      </x:c>
      <x:c r="Z58" s="141" t="n">
        <x:f>IF(AND(TRUE,Premissas!$B$11="Imovel",Premissas!$B$47="Moradia",$A58&lt;MAX(Premissas!$B$48,Premissas!$B$49)),$D58,0)</x:f>
        <x:v>0</x:v>
      </x:c>
      <x:c r="AA58" s="141" t="n">
        <x:f>IF(AND(TRUE,Premissas!$B$11="Imovel",Premissas!$B$47="Investimento",$A58&gt;=MAX(Premissas!$B$48,Premissas!$B$49)),$E58,0)</x:f>
        <x:v>807.9852544000003</x:v>
      </x:c>
      <x:c r="AB58" s="141" t="n">
        <x:f>X58+Y58+Z58</x:f>
        <x:v>0</x:v>
      </x:c>
      <x:c r="AC58" s="141" t="n">
        <x:f>AA58</x:f>
        <x:v>807.9852544000003</x:v>
      </x:c>
      <x:c r="AD58" s="141" t="n">
        <x:f>$C58+AC58-AB58</x:f>
        <x:v>7807.9852544000005</x:v>
      </x:c>
      <x:c r="AE58" s="141" t="n">
        <x:f>AH57*(1+Premissas!$B$41)+AD58</x:f>
        <x:v>350250.944792081</x:v>
      </x:c>
      <x:c r="AF58" s="141" t="n">
        <x:f>MAX(0,-AE58)</x:f>
        <x:v>0</x:v>
      </x:c>
      <x:c r="AG58" s="141" t="n">
        <x:f>AG57*(1+Premissas!$B$41)+AF58</x:f>
        <x:v>0</x:v>
      </x:c>
      <x:c r="AH58" s="141" t="n">
        <x:f>MAX(0,AE58)</x:f>
        <x:v>350250.944792081</x:v>
      </x:c>
      <x:c r="AI58" s="141" t="n">
        <x:f>IF(AND($A58&gt;=Premissas!$B$48,$A58-Premissas!$B$48+1&lt;=Premissas!$B$13),INDEX(Amortizacao!$L$6:$L$485,$A58-Premissas!$B$48+1),0)</x:f>
        <x:v>0</x:v>
      </x:c>
      <x:c r="AJ58" s="141" t="n">
        <x:f>IF($A58&gt;=Premissas!$B$48,$F58,0)</x:f>
        <x:v>258700.67820112035</x:v>
      </x:c>
      <x:c r="AK58" s="141" t="n">
        <x:f>AH58+AJ58-AI58</x:f>
        <x:v>608951.6229932014</x:v>
      </x:c>
      <x:c r="AL58" s="141" t="n">
        <x:f>IF(AG58&gt;1,"Inviavel",AK58)</x:f>
        <x:v>608951.6229932014</x:v>
      </x:c>
      <x:c r="AM58" s="141" t="str">
        <x:f>IF(AG58&gt;1,"Inviavel","OK")</x:f>
        <x:v>OK</x:v>
      </x:c>
      <x:c r="AN58" s="141" t="n">
        <x:f>IF($A58=Premissas!$B$48,Premissas!$B$8,0)</x:f>
        <x:v>0</x:v>
      </x:c>
      <x:c r="AO58" s="141" t="n">
        <x:f>IF($A58&lt;=Premissas!$B$25,INDEX('Consorcio IQ'!$K$6:$K$485,$A58),0)</x:f>
        <x:v>2577.776002663615</x:v>
      </x:c>
      <x:c r="AP58" s="141" t="n">
        <x:f>IF(AND(TRUE,Premissas!$B$11="Imovel",Premissas!$B$47="Moradia",$A58&lt;MAX(Premissas!$B$48,Premissas!$B$49)),$D58,0)</x:f>
        <x:v>0</x:v>
      </x:c>
      <x:c r="AQ58" s="141" t="n">
        <x:f>IF(AND(TRUE,Premissas!$B$11="Imovel",Premissas!$B$47="Investimento",$A58&gt;=MAX(Premissas!$B$48,Premissas!$B$49)),$E58,0)</x:f>
        <x:v>807.9852544000003</x:v>
      </x:c>
      <x:c r="AR58" s="141" t="n">
        <x:f>AN58+AO58+AP58</x:f>
        <x:v>2577.776002663615</x:v>
      </x:c>
      <x:c r="AS58" s="141" t="n">
        <x:f>AQ58</x:f>
        <x:v>807.9852544000003</x:v>
      </x:c>
      <x:c r="AT58" s="141" t="n">
        <x:f>$C58+AS58-AR58</x:f>
        <x:v>5230.209251736385</x:v>
      </x:c>
      <x:c r="AU58" s="141" t="n">
        <x:f>AX57*(1+Premissas!$B$41)+AT58</x:f>
        <x:v>441082.92661090795</x:v>
      </x:c>
      <x:c r="AV58" s="141" t="n">
        <x:f>MAX(0,-AU58)</x:f>
        <x:v>0</x:v>
      </x:c>
      <x:c r="AW58" s="141" t="n">
        <x:f>AW57*(1+Premissas!$B$41)+AV58</x:f>
        <x:v>0</x:v>
      </x:c>
      <x:c r="AX58" s="141" t="n">
        <x:f>MAX(0,AU58)</x:f>
        <x:v>441082.92661090795</x:v>
      </x:c>
      <x:c r="AY58" s="141" t="n">
        <x:f>INDEX('Consorcio IQ'!$P$6:$P$485,$A58)</x:f>
        <x:v>229082.47651489713</x:v>
      </x:c>
      <x:c r="AZ58" s="141" t="n">
        <x:f>IF($A58&gt;=Premissas!$B$48,$F58,0)+IF($A58&lt;Premissas!$B$27,INDEX('Consorcio IQ'!$O$6:$O$485,$A58),0)</x:f>
        <x:v>388288.4975185699</x:v>
      </x:c>
      <x:c r="BA58" s="141" t="n">
        <x:f>AX58+AZ58-AY58</x:f>
        <x:v>600288.9476145806</x:v>
      </x:c>
      <x:c r="BB58" s="141" t="n">
        <x:f>IF(AW58&gt;1,"Inviavel",BA58)</x:f>
        <x:v>600288.9476145806</x:v>
      </x:c>
      <x:c r="BC58" s="141" t="str">
        <x:f>IF(AW58&gt;1,"Inviavel","OK")</x:f>
        <x:v>OK</x:v>
      </x:c>
      <x:c r="BD58" s="141" t="n">
        <x:f>IF($A58='Consorcio Direto'!$B$29,'Consorcio Direto'!$B$44,0)</x:f>
        <x:v>0</x:v>
      </x:c>
      <x:c r="BE58" s="141" t="n">
        <x:f>IF($A58&lt;='Consorcio Direto'!$B$27,INDEX('Consorcio Direto'!$E$55:$E$534,$A58),0)</x:f>
        <x:v>1864.9584501396378</x:v>
      </x:c>
      <x:c r="BF58" s="141" t="n">
        <x:f>IF(AND(TRUE,Premissas!$B$11="Imovel",Premissas!$B$47="Moradia",$A58&lt;MAX('Consorcio Direto'!$B$29,Premissas!$B$49)),$D58,0)</x:f>
        <x:v>0</x:v>
      </x:c>
      <x:c r="BG58" s="141" t="n">
        <x:f>IF(AND(TRUE,Premissas!$B$11="Imovel",Premissas!$B$47="Investimento",$A58&gt;=MAX('Consorcio Direto'!$B$29,Premissas!$B$49)),$E58,0)</x:f>
        <x:v>0</x:v>
      </x:c>
      <x:c r="BH58" s="141" t="n">
        <x:f>BD58+BE58+BF58</x:f>
        <x:v>1864.9584501396378</x:v>
      </x:c>
      <x:c r="BI58" s="141" t="n">
        <x:f>BG58</x:f>
        <x:v>0</x:v>
      </x:c>
      <x:c r="BJ58" s="141" t="n">
        <x:f>$C58+BI58-BH58</x:f>
        <x:v>5135.0415498603625</x:v>
      </x:c>
      <x:c r="BK58" s="141" t="n">
        <x:f>BN57*(1+Premissas!$B$41)+BJ58</x:f>
        <x:v>525280.809879905</x:v>
      </x:c>
      <x:c r="BL58" s="141" t="n">
        <x:f>MAX(0,-BK58)</x:f>
        <x:v>0</x:v>
      </x:c>
      <x:c r="BM58" s="141" t="n">
        <x:f>BM57*(1+Premissas!$B$41)+BL58</x:f>
        <x:v>0</x:v>
      </x:c>
      <x:c r="BN58" s="141" t="n">
        <x:f>MAX(0,BK58)</x:f>
        <x:v>525280.809879905</x:v>
      </x:c>
      <x:c r="BO58" s="141" t="n">
        <x:f>INDEX('Consorcio Direto'!$K$55:$K$534,$A58)</x:f>
        <x:v>232158.8557050258</x:v>
      </x:c>
      <x:c r="BP58" s="141" t="n">
        <x:f>IF($A58&lt;'Consorcio Direto'!$B$29,INDEX('Consorcio Direto'!$L$55:$L$534,$A58),$F58)</x:f>
        <x:v>251675.81783314937</x:v>
      </x:c>
      <x:c r="BQ58" s="141" t="n">
        <x:f>BN58+BP58-BO58</x:f>
        <x:v>544797.7720080285</x:v>
      </x:c>
      <x:c r="BR58" s="141" t="n">
        <x:f>IF(BM58&gt;1,"Inviavel",BQ58)</x:f>
        <x:v>544797.7720080285</x:v>
      </x:c>
      <x:c r="BS58" s="141" t="str">
        <x:f>IF(BM58&gt;1,"Inviavel","OK")</x:f>
        <x:v>OK</x:v>
      </x:c>
      <x:c r="BT58" s="141" t="n">
        <x:f>IF(AND('Carta Contemplada'!$B$22="Sim",$A58='Carta Contemplada'!$B$23),'Carta Contemplada'!$B$37,0)</x:f>
        <x:v>0</x:v>
      </x:c>
      <x:c r="BU58" s="141" t="n">
        <x:f>IF('Carta Contemplada'!$B$22="Sim",INDEX('Carta Contemplada'!$C$55:$C$1013,$A58),0)</x:f>
        <x:v>1514.9723520000005</x:v>
      </x:c>
      <x:c r="BV58" s="141" t="n">
        <x:f>IF(AND('Carta Contemplada'!$B$22="Sim",Premissas!$B$11="Imovel",Premissas!$B$47="Moradia",$A58&lt;MAX('Carta Contemplada'!$B$44,Premissas!$B$49)),$D58,0)</x:f>
        <x:v>0</x:v>
      </x:c>
      <x:c r="BW58" s="141" t="n">
        <x:f>IF(AND('Carta Contemplada'!$B$22="Sim",Premissas!$B$11="Imovel",Premissas!$B$47="Investimento",$A58&gt;=MAX('Carta Contemplada'!$B$44,Premissas!$B$49)),$E58,0)</x:f>
        <x:v>807.9852544000003</x:v>
      </x:c>
      <x:c r="BX58" s="141" t="n">
        <x:f>BT58+BU58+BV58</x:f>
        <x:v>1514.9723520000005</x:v>
      </x:c>
      <x:c r="BY58" s="141" t="n">
        <x:f>BW58</x:f>
        <x:v>807.9852544000003</x:v>
      </x:c>
      <x:c r="BZ58" s="141" t="n">
        <x:f>$C58+BY58-BX58</x:f>
        <x:v>6293.0129024</x:v>
      </x:c>
      <x:c r="CA58" s="141" t="n">
        <x:f>CD57*(1+Premissas!$B$41)+BZ58</x:f>
        <x:v>518502.98499121657</x:v>
      </x:c>
      <x:c r="CB58" s="141" t="n">
        <x:f>MAX(0,-CA58)</x:f>
        <x:v>0</x:v>
      </x:c>
      <x:c r="CC58" s="141" t="n">
        <x:f>CC57*(1+Premissas!$B$41)+CB58</x:f>
        <x:v>0</x:v>
      </x:c>
      <x:c r="CD58" s="141" t="n">
        <x:f>MAX(0,CA58)</x:f>
        <x:v>518502.98499121657</x:v>
      </x:c>
      <x:c r="CE58" s="141" t="n">
        <x:f>IF(AND('Carta Contemplada'!$B$22="Sim",$A58&gt;='Carta Contemplada'!$B$23),INDEX('Carta Contemplada'!$I$55:$I$1013,$A58),0)</x:f>
        <x:v>144210.27892286502</x:v>
      </x:c>
      <x:c r="CF58" s="141" t="n">
        <x:f>IF(AND('Carta Contemplada'!$B$22="Sim",$A58&gt;='Carta Contemplada'!$B$44),$F58,0)</x:f>
        <x:v>258700.67820112035</x:v>
      </x:c>
      <x:c r="CG58" s="141" t="n">
        <x:f>CD58+CF58-CE58</x:f>
        <x:v>632993.3842694719</x:v>
      </x:c>
      <x:c r="CH58" s="141" t="n">
        <x:f>IF(CC58&gt;1,"Inviavel",CG58)</x:f>
        <x:v>632993.3842694719</x:v>
      </x:c>
      <x:c r="CI58" s="145" t="str">
        <x:f>IF(CC58&gt;1,"Inviavel","OK")</x:f>
        <x:v>OK</x:v>
      </x:c>
    </x:row>
    <x:row r="59">
      <x:c r="A59" s="142" t="n">
        <x:v>55</x:v>
      </x:c>
      <x:c r="B59" s="179" t="n">
        <x:f>EDATE(Premissas!$B$4,A59-1)</x:f>
        <x:v>48183</x:v>
      </x:c>
      <x:c r="C59" s="141" t="n">
        <x:f>IF(A59&lt;=Premissas!$B$39,Premissas!$B$42,0)</x:f>
        <x:v>7000</x:v>
      </x:c>
      <x:c r="D59" s="141" t="n">
        <x:f>Premissas!$B$54*(1+Premissas!$B$57)^INT((A59-1)/12)</x:f>
        <x:v>883.7338720000002</x:v>
      </x:c>
      <x:c r="E59" s="141" t="n">
        <x:f>Premissas!$B$64*(1+Premissas!$B$57)^INT((A59-1)/12)</x:f>
        <x:v>807.9852544000003</x:v>
      </x:c>
      <x:c r="F59" s="141" t="n">
        <x:f>MAX(0,Premissas!$B$6*(1+Premissas!$B$66)^((A59-1)/12))</x:f>
        <x:v>259959.91683355285</x:v>
      </x:c>
      <x:c r="G59" s="141" t="n">
        <x:f>G58*(1+Premissas!$B$41)+C59</x:f>
        <x:v>652297.7214672815</x:v>
      </x:c>
      <x:c r="H59" s="141" t="n">
        <x:f>IF($A59=Premissas!$B$48,Premissas!$B$8,0)</x:f>
        <x:v>0</x:v>
      </x:c>
      <x:c r="I59" s="141" t="n">
        <x:f>IF(AND($A59&gt;=Premissas!$B$48,$A59-Premissas!$B$48+1&lt;=Premissas!$B$13),INDEX(Financiamento!$J$6:$J$485,$A59-Premissas!$B$48+1),0)</x:f>
        <x:v>1853.96122440282</x:v>
      </x:c>
      <x:c r="J59" s="141" t="n">
        <x:f>IF(AND(TRUE,Premissas!$B$11="Imovel",Premissas!$B$47="Moradia",$A59&lt;MAX(Premissas!$B$48,Premissas!$B$49)),$D59,0)</x:f>
        <x:v>0</x:v>
      </x:c>
      <x:c r="K59" s="141" t="n">
        <x:f>IF(AND(TRUE,Premissas!$B$11="Imovel",Premissas!$B$47="Investimento",$A59&gt;=MAX(Premissas!$B$48,Premissas!$B$49)),$E59,0)</x:f>
        <x:v>807.9852544000003</x:v>
      </x:c>
      <x:c r="L59" s="141" t="n">
        <x:f>H59+I59+J59</x:f>
        <x:v>1853.96122440282</x:v>
      </x:c>
      <x:c r="M59" s="141" t="n">
        <x:f>K59</x:f>
        <x:v>807.9852544000003</x:v>
      </x:c>
      <x:c r="N59" s="141" t="n">
        <x:f>$C59+M59-L59</x:f>
        <x:v>5954.02402999718</x:v>
      </x:c>
      <x:c r="O59" s="141" t="n">
        <x:f>R58*(1+Premissas!$B$41)+N59</x:f>
        <x:v>495645.00105550094</x:v>
      </x:c>
      <x:c r="P59" s="141" t="n">
        <x:f>MAX(0,-O59)</x:f>
        <x:v>0</x:v>
      </x:c>
      <x:c r="Q59" s="141" t="n">
        <x:f>Q58*(1+Premissas!$B$41)+P59</x:f>
        <x:v>0</x:v>
      </x:c>
      <x:c r="R59" s="141" t="n">
        <x:f>MAX(0,O59)</x:f>
        <x:v>495645.00105550094</x:v>
      </x:c>
      <x:c r="S59" s="141" t="n">
        <x:f>IF(AND($A59&gt;=Premissas!$B$48,$A59-Premissas!$B$48+1&lt;=Premissas!$B$13),INDEX(Financiamento!$M$6:$M$485,$A59-Premissas!$B$48+1),0)</x:f>
        <x:v>139047.6190476193</x:v>
      </x:c>
      <x:c r="T59" s="141" t="n">
        <x:f>IF($A59&gt;=Premissas!$B$48,$F59,0)</x:f>
        <x:v>259959.91683355285</x:v>
      </x:c>
      <x:c r="U59" s="141" t="n">
        <x:f>R59+T59-S59</x:f>
        <x:v>616557.2988414345</x:v>
      </x:c>
      <x:c r="V59" s="141" t="n">
        <x:f>IF(Q59&gt;1,"Inviavel",U59)</x:f>
        <x:v>616557.2988414345</x:v>
      </x:c>
      <x:c r="W59" s="141" t="str">
        <x:f>IF(Q59&gt;1,"Inviavel","OK")</x:f>
        <x:v>OK</x:v>
      </x:c>
      <x:c r="X59" s="141" t="n">
        <x:f>IF($A59=Premissas!$B$48,Premissas!$B$8,0)</x:f>
        <x:v>0</x:v>
      </x:c>
      <x:c r="Y59" s="141" t="n">
        <x:f>IF(AND($A59&gt;=Premissas!$B$48,$A59-Premissas!$B$48+1&lt;=Premissas!$B$13),INDEX(Amortizacao!$K$6:$K$485,$A59-Premissas!$B$48+1),0)</x:f>
        <x:v>0</x:v>
      </x:c>
      <x:c r="Z59" s="141" t="n">
        <x:f>IF(AND(TRUE,Premissas!$B$11="Imovel",Premissas!$B$47="Moradia",$A59&lt;MAX(Premissas!$B$48,Premissas!$B$49)),$D59,0)</x:f>
        <x:v>0</x:v>
      </x:c>
      <x:c r="AA59" s="141" t="n">
        <x:f>IF(AND(TRUE,Premissas!$B$11="Imovel",Premissas!$B$47="Investimento",$A59&gt;=MAX(Premissas!$B$48,Premissas!$B$49)),$E59,0)</x:f>
        <x:v>807.9852544000003</x:v>
      </x:c>
      <x:c r="AB59" s="141" t="n">
        <x:f>X59+Y59+Z59</x:f>
        <x:v>0</x:v>
      </x:c>
      <x:c r="AC59" s="141" t="n">
        <x:f>AA59</x:f>
        <x:v>807.9852544000003</x:v>
      </x:c>
      <x:c r="AD59" s="141" t="n">
        <x:f>$C59+AC59-AB59</x:f>
        <x:v>7807.9852544000005</x:v>
      </x:c>
      <x:c r="AE59" s="141" t="n">
        <x:f>AH58*(1+Premissas!$B$41)+AD59</x:f>
        <x:v>361382.3887367552</x:v>
      </x:c>
      <x:c r="AF59" s="141" t="n">
        <x:f>MAX(0,-AE59)</x:f>
        <x:v>0</x:v>
      </x:c>
      <x:c r="AG59" s="141" t="n">
        <x:f>AG58*(1+Premissas!$B$41)+AF59</x:f>
        <x:v>0</x:v>
      </x:c>
      <x:c r="AH59" s="141" t="n">
        <x:f>MAX(0,AE59)</x:f>
        <x:v>361382.3887367552</x:v>
      </x:c>
      <x:c r="AI59" s="141" t="n">
        <x:f>IF(AND($A59&gt;=Premissas!$B$48,$A59-Premissas!$B$48+1&lt;=Premissas!$B$13),INDEX(Amortizacao!$L$6:$L$485,$A59-Premissas!$B$48+1),0)</x:f>
        <x:v>0</x:v>
      </x:c>
      <x:c r="AJ59" s="141" t="n">
        <x:f>IF($A59&gt;=Premissas!$B$48,$F59,0)</x:f>
        <x:v>259959.91683355285</x:v>
      </x:c>
      <x:c r="AK59" s="141" t="n">
        <x:f>AH59+AJ59-AI59</x:f>
        <x:v>621342.305570308</x:v>
      </x:c>
      <x:c r="AL59" s="141" t="n">
        <x:f>IF(AG59&gt;1,"Inviavel",AK59)</x:f>
        <x:v>621342.305570308</x:v>
      </x:c>
      <x:c r="AM59" s="141" t="str">
        <x:f>IF(AG59&gt;1,"Inviavel","OK")</x:f>
        <x:v>OK</x:v>
      </x:c>
      <x:c r="AN59" s="141" t="n">
        <x:f>IF($A59=Premissas!$B$48,Premissas!$B$8,0)</x:f>
        <x:v>0</x:v>
      </x:c>
      <x:c r="AO59" s="141" t="n">
        <x:f>IF($A59&lt;=Premissas!$B$25,INDEX('Consorcio IQ'!$K$6:$K$485,$A59),0)</x:f>
        <x:v>2574.1612244028215</x:v>
      </x:c>
      <x:c r="AP59" s="141" t="n">
        <x:f>IF(AND(TRUE,Premissas!$B$11="Imovel",Premissas!$B$47="Moradia",$A59&lt;MAX(Premissas!$B$48,Premissas!$B$49)),$D59,0)</x:f>
        <x:v>0</x:v>
      </x:c>
      <x:c r="AQ59" s="141" t="n">
        <x:f>IF(AND(TRUE,Premissas!$B$11="Imovel",Premissas!$B$47="Investimento",$A59&gt;=MAX(Premissas!$B$48,Premissas!$B$49)),$E59,0)</x:f>
        <x:v>807.9852544000003</x:v>
      </x:c>
      <x:c r="AR59" s="141" t="n">
        <x:f>AN59+AO59+AP59</x:f>
        <x:v>2574.1612244028215</x:v>
      </x:c>
      <x:c r="AS59" s="141" t="n">
        <x:f>AQ59</x:f>
        <x:v>807.9852544000003</x:v>
      </x:c>
      <x:c r="AT59" s="141" t="n">
        <x:f>$C59+AS59-AR59</x:f>
        <x:v>5233.8240299971785</x:v>
      </x:c>
      <x:c r="AU59" s="141" t="n">
        <x:f>AX58*(1+Premissas!$B$41)+AT59</x:f>
        <x:v>450502.0951984959</x:v>
      </x:c>
      <x:c r="AV59" s="141" t="n">
        <x:f>MAX(0,-AU59)</x:f>
        <x:v>0</x:v>
      </x:c>
      <x:c r="AW59" s="141" t="n">
        <x:f>AW58*(1+Premissas!$B$41)+AV59</x:f>
        <x:v>0</x:v>
      </x:c>
      <x:c r="AX59" s="141" t="n">
        <x:f>MAX(0,AU59)</x:f>
        <x:v>450502.0951984959</x:v>
      </x:c>
      <x:c r="AY59" s="141" t="n">
        <x:f>INDEX('Consorcio IQ'!$P$6:$P$485,$A59)</x:f>
        <x:v>228832.03147508565</x:v>
      </x:c>
      <x:c r="AZ59" s="141" t="n">
        <x:f>IF($A59&gt;=Premissas!$B$48,$F59,0)+IF($A59&lt;Premissas!$B$27,INDEX('Consorcio IQ'!$O$6:$O$485,$A59),0)</x:f>
        <x:v>390777.3681353498</x:v>
      </x:c>
      <x:c r="BA59" s="141" t="n">
        <x:f>AX59+AZ59-AY59</x:f>
        <x:v>612447.4318587601</x:v>
      </x:c>
      <x:c r="BB59" s="141" t="n">
        <x:f>IF(AW59&gt;1,"Inviavel",BA59)</x:f>
        <x:v>612447.4318587601</x:v>
      </x:c>
      <x:c r="BC59" s="141" t="str">
        <x:f>IF(AW59&gt;1,"Inviavel","OK")</x:f>
        <x:v>OK</x:v>
      </x:c>
      <x:c r="BD59" s="141" t="n">
        <x:f>IF($A59='Consorcio Direto'!$B$29,'Consorcio Direto'!$B$44,0)</x:f>
        <x:v>0</x:v>
      </x:c>
      <x:c r="BE59" s="141" t="n">
        <x:f>IF($A59&lt;='Consorcio Direto'!$B$27,INDEX('Consorcio Direto'!$E$55:$E$534,$A59),0)</x:f>
        <x:v>1864.9584501396378</x:v>
      </x:c>
      <x:c r="BF59" s="141" t="n">
        <x:f>IF(AND(TRUE,Premissas!$B$11="Imovel",Premissas!$B$47="Moradia",$A59&lt;MAX('Consorcio Direto'!$B$29,Premissas!$B$49)),$D59,0)</x:f>
        <x:v>0</x:v>
      </x:c>
      <x:c r="BG59" s="141" t="n">
        <x:f>IF(AND(TRUE,Premissas!$B$11="Imovel",Premissas!$B$47="Investimento",$A59&gt;=MAX('Consorcio Direto'!$B$29,Premissas!$B$49)),$E59,0)</x:f>
        <x:v>0</x:v>
      </x:c>
      <x:c r="BH59" s="141" t="n">
        <x:f>BD59+BE59+BF59</x:f>
        <x:v>1864.9584501396378</x:v>
      </x:c>
      <x:c r="BI59" s="141" t="n">
        <x:f>BG59</x:f>
        <x:v>0</x:v>
      </x:c>
      <x:c r="BJ59" s="141" t="n">
        <x:f>$C59+BI59-BH59</x:f>
        <x:v>5135.0415498603625</x:v>
      </x:c>
      <x:c r="BK59" s="141" t="n">
        <x:f>BN58*(1+Premissas!$B$41)+BJ59</x:f>
        <x:v>535400.1322672259</x:v>
      </x:c>
      <x:c r="BL59" s="141" t="n">
        <x:f>MAX(0,-BK59)</x:f>
        <x:v>0</x:v>
      </x:c>
      <x:c r="BM59" s="141" t="n">
        <x:f>BM58*(1+Premissas!$B$41)+BL59</x:f>
        <x:v>0</x:v>
      </x:c>
      <x:c r="BN59" s="141" t="n">
        <x:f>MAX(0,BK59)</x:f>
        <x:v>535400.1322672259</x:v>
      </x:c>
      <x:c r="BO59" s="141" t="n">
        <x:f>INDEX('Consorcio Direto'!$K$55:$K$534,$A59)</x:f>
        <x:v>232496.8045646009</x:v>
      </x:c>
      <x:c r="BP59" s="141" t="n">
        <x:f>IF($A59&lt;'Consorcio Direto'!$B$29,INDEX('Consorcio Direto'!$L$55:$L$534,$A59),$F59)</x:f>
        <x:v>254063.91755521</x:v>
      </x:c>
      <x:c r="BQ59" s="141" t="n">
        <x:f>BN59+BP59-BO59</x:f>
        <x:v>556967.245257835</x:v>
      </x:c>
      <x:c r="BR59" s="141" t="n">
        <x:f>IF(BM59&gt;1,"Inviavel",BQ59)</x:f>
        <x:v>556967.245257835</x:v>
      </x:c>
      <x:c r="BS59" s="141" t="str">
        <x:f>IF(BM59&gt;1,"Inviavel","OK")</x:f>
        <x:v>OK</x:v>
      </x:c>
      <x:c r="BT59" s="141" t="n">
        <x:f>IF(AND('Carta Contemplada'!$B$22="Sim",$A59='Carta Contemplada'!$B$23),'Carta Contemplada'!$B$37,0)</x:f>
        <x:v>0</x:v>
      </x:c>
      <x:c r="BU59" s="141" t="n">
        <x:f>IF('Carta Contemplada'!$B$22="Sim",INDEX('Carta Contemplada'!$C$55:$C$1013,$A59),0)</x:f>
        <x:v>1514.9723520000005</x:v>
      </x:c>
      <x:c r="BV59" s="141" t="n">
        <x:f>IF(AND('Carta Contemplada'!$B$22="Sim",Premissas!$B$11="Imovel",Premissas!$B$47="Moradia",$A59&lt;MAX('Carta Contemplada'!$B$44,Premissas!$B$49)),$D59,0)</x:f>
        <x:v>0</x:v>
      </x:c>
      <x:c r="BW59" s="141" t="n">
        <x:f>IF(AND('Carta Contemplada'!$B$22="Sim",Premissas!$B$11="Imovel",Premissas!$B$47="Investimento",$A59&gt;=MAX('Carta Contemplada'!$B$44,Premissas!$B$49)),$E59,0)</x:f>
        <x:v>807.9852544000003</x:v>
      </x:c>
      <x:c r="BX59" s="141" t="n">
        <x:f>BT59+BU59+BV59</x:f>
        <x:v>1514.9723520000005</x:v>
      </x:c>
      <x:c r="BY59" s="141" t="n">
        <x:f>BW59</x:f>
        <x:v>807.9852544000003</x:v>
      </x:c>
      <x:c r="BZ59" s="141" t="n">
        <x:f>$C59+BY59-BX59</x:f>
        <x:v>6293.0129024</x:v>
      </x:c>
      <x:c r="CA59" s="141" t="n">
        <x:f>CD58*(1+Premissas!$B$41)+BZ59</x:f>
        <x:v>529715.9653541615</x:v>
      </x:c>
      <x:c r="CB59" s="141" t="n">
        <x:f>MAX(0,-CA59)</x:f>
        <x:v>0</x:v>
      </x:c>
      <x:c r="CC59" s="141" t="n">
        <x:f>CC58*(1+Premissas!$B$41)+CB59</x:f>
        <x:v>0</x:v>
      </x:c>
      <x:c r="CD59" s="141" t="n">
        <x:f>MAX(0,CA59)</x:f>
        <x:v>529715.9653541615</x:v>
      </x:c>
      <x:c r="CE59" s="141" t="n">
        <x:f>IF(AND('Carta Contemplada'!$B$22="Sim",$A59&gt;='Carta Contemplada'!$B$23),INDEX('Carta Contemplada'!$I$55:$I$1013,$A59),0)</x:f>
        <x:v>144063.68804660253</x:v>
      </x:c>
      <x:c r="CF59" s="141" t="n">
        <x:f>IF(AND('Carta Contemplada'!$B$22="Sim",$A59&gt;='Carta Contemplada'!$B$44),$F59,0)</x:f>
        <x:v>259959.91683355285</x:v>
      </x:c>
      <x:c r="CG59" s="141" t="n">
        <x:f>CD59+CF59-CE59</x:f>
        <x:v>645612.1941411118</x:v>
      </x:c>
      <x:c r="CH59" s="141" t="n">
        <x:f>IF(CC59&gt;1,"Inviavel",CG59)</x:f>
        <x:v>645612.1941411118</x:v>
      </x:c>
      <x:c r="CI59" s="145" t="str">
        <x:f>IF(CC59&gt;1,"Inviavel","OK")</x:f>
        <x:v>OK</x:v>
      </x:c>
    </x:row>
    <x:row r="60">
      <x:c r="A60" s="142" t="n">
        <x:v>56</x:v>
      </x:c>
      <x:c r="B60" s="179" t="n">
        <x:f>EDATE(Premissas!$B$4,A60-1)</x:f>
        <x:v>48214</x:v>
      </x:c>
      <x:c r="C60" s="141" t="n">
        <x:f>IF(A60&lt;=Premissas!$B$39,Premissas!$B$42,0)</x:f>
        <x:v>7000</x:v>
      </x:c>
      <x:c r="D60" s="141" t="n">
        <x:f>Premissas!$B$54*(1+Premissas!$B$57)^INT((A60-1)/12)</x:f>
        <x:v>883.7338720000002</x:v>
      </x:c>
      <x:c r="E60" s="141" t="n">
        <x:f>Premissas!$B$64*(1+Premissas!$B$57)^INT((A60-1)/12)</x:f>
        <x:v>807.9852544000003</x:v>
      </x:c>
      <x:c r="F60" s="141" t="n">
        <x:f>MAX(0,Premissas!$B$6*(1+Premissas!$B$66)^((A60-1)/12))</x:f>
        <x:v>261225.28487370253</x:v>
      </x:c>
      <x:c r="G60" s="141" t="n">
        <x:f>G59*(1+Premissas!$B$41)+C60</x:f>
        <x:v>665487.2394779848</x:v>
      </x:c>
      <x:c r="H60" s="141" t="n">
        <x:f>IF($A60=Premissas!$B$48,Premissas!$B$8,0)</x:f>
        <x:v>0</x:v>
      </x:c>
      <x:c r="I60" s="141" t="n">
        <x:f>IF(AND($A60&gt;=Premissas!$B$48,$A60-Premissas!$B$48+1&lt;=Premissas!$B$13),INDEX(Financiamento!$J$6:$J$485,$A60-Premissas!$B$48+1),0)</x:f>
        <x:v>1850.3464461420265</x:v>
      </x:c>
      <x:c r="J60" s="141" t="n">
        <x:f>IF(AND(TRUE,Premissas!$B$11="Imovel",Premissas!$B$47="Moradia",$A60&lt;MAX(Premissas!$B$48,Premissas!$B$49)),$D60,0)</x:f>
        <x:v>0</x:v>
      </x:c>
      <x:c r="K60" s="141" t="n">
        <x:f>IF(AND(TRUE,Premissas!$B$11="Imovel",Premissas!$B$47="Investimento",$A60&gt;=MAX(Premissas!$B$48,Premissas!$B$49)),$E60,0)</x:f>
        <x:v>807.9852544000003</x:v>
      </x:c>
      <x:c r="L60" s="141" t="n">
        <x:f>H60+I60+J60</x:f>
        <x:v>1850.3464461420265</x:v>
      </x:c>
      <x:c r="M60" s="141" t="n">
        <x:f>K60</x:f>
        <x:v>807.9852544000003</x:v>
      </x:c>
      <x:c r="N60" s="141" t="n">
        <x:f>$C60+M60-L60</x:f>
        <x:v>5957.638808257974</x:v>
      </x:c>
      <x:c r="O60" s="141" t="n">
        <x:f>R59*(1+Premissas!$B$41)+N60</x:f>
        <x:v>506305.7126478358</x:v>
      </x:c>
      <x:c r="P60" s="141" t="n">
        <x:f>MAX(0,-O60)</x:f>
        <x:v>0</x:v>
      </x:c>
      <x:c r="Q60" s="141" t="n">
        <x:f>Q59*(1+Premissas!$B$41)+P60</x:f>
        <x:v>0</x:v>
      </x:c>
      <x:c r="R60" s="141" t="n">
        <x:f>MAX(0,O60)</x:f>
        <x:v>506305.7126478358</x:v>
      </x:c>
      <x:c r="S60" s="141" t="n">
        <x:f>IF(AND($A60&gt;=Premissas!$B$48,$A60-Premissas!$B$48+1&lt;=Premissas!$B$13),INDEX(Financiamento!$M$6:$M$485,$A60-Premissas!$B$48+1),0)</x:f>
        <x:v>138666.66666666692</x:v>
      </x:c>
      <x:c r="T60" s="141" t="n">
        <x:f>IF($A60&gt;=Premissas!$B$48,$F60,0)</x:f>
        <x:v>261225.28487370253</x:v>
      </x:c>
      <x:c r="U60" s="141" t="n">
        <x:f>R60+T60-S60</x:f>
        <x:v>628864.3308548713</x:v>
      </x:c>
      <x:c r="V60" s="141" t="n">
        <x:f>IF(Q60&gt;1,"Inviavel",U60)</x:f>
        <x:v>628864.3308548713</x:v>
      </x:c>
      <x:c r="W60" s="141" t="str">
        <x:f>IF(Q60&gt;1,"Inviavel","OK")</x:f>
        <x:v>OK</x:v>
      </x:c>
      <x:c r="X60" s="141" t="n">
        <x:f>IF($A60=Premissas!$B$48,Premissas!$B$8,0)</x:f>
        <x:v>0</x:v>
      </x:c>
      <x:c r="Y60" s="141" t="n">
        <x:f>IF(AND($A60&gt;=Premissas!$B$48,$A60-Premissas!$B$48+1&lt;=Premissas!$B$13),INDEX(Amortizacao!$K$6:$K$485,$A60-Premissas!$B$48+1),0)</x:f>
        <x:v>0</x:v>
      </x:c>
      <x:c r="Z60" s="141" t="n">
        <x:f>IF(AND(TRUE,Premissas!$B$11="Imovel",Premissas!$B$47="Moradia",$A60&lt;MAX(Premissas!$B$48,Premissas!$B$49)),$D60,0)</x:f>
        <x:v>0</x:v>
      </x:c>
      <x:c r="AA60" s="141" t="n">
        <x:f>IF(AND(TRUE,Premissas!$B$11="Imovel",Premissas!$B$47="Investimento",$A60&gt;=MAX(Premissas!$B$48,Premissas!$B$49)),$E60,0)</x:f>
        <x:v>807.9852544000003</x:v>
      </x:c>
      <x:c r="AB60" s="141" t="n">
        <x:f>X60+Y60+Z60</x:f>
        <x:v>0</x:v>
      </x:c>
      <x:c r="AC60" s="141" t="n">
        <x:f>AA60</x:f>
        <x:v>807.9852544000003</x:v>
      </x:c>
      <x:c r="AD60" s="141" t="n">
        <x:f>$C60+AC60-AB60</x:f>
        <x:v>7807.9852544000005</x:v>
      </x:c>
      <x:c r="AE60" s="141" t="n">
        <x:f>AH59*(1+Premissas!$B$41)+AD60</x:f>
        <x:v>372619.4566480832</x:v>
      </x:c>
      <x:c r="AF60" s="141" t="n">
        <x:f>MAX(0,-AE60)</x:f>
        <x:v>0</x:v>
      </x:c>
      <x:c r="AG60" s="141" t="n">
        <x:f>AG59*(1+Premissas!$B$41)+AF60</x:f>
        <x:v>0</x:v>
      </x:c>
      <x:c r="AH60" s="141" t="n">
        <x:f>MAX(0,AE60)</x:f>
        <x:v>372619.4566480832</x:v>
      </x:c>
      <x:c r="AI60" s="141" t="n">
        <x:f>IF(AND($A60&gt;=Premissas!$B$48,$A60-Premissas!$B$48+1&lt;=Premissas!$B$13),INDEX(Amortizacao!$L$6:$L$485,$A60-Premissas!$B$48+1),0)</x:f>
        <x:v>0</x:v>
      </x:c>
      <x:c r="AJ60" s="141" t="n">
        <x:f>IF($A60&gt;=Premissas!$B$48,$F60,0)</x:f>
        <x:v>261225.28487370253</x:v>
      </x:c>
      <x:c r="AK60" s="141" t="n">
        <x:f>AH60+AJ60-AI60</x:f>
        <x:v>633844.7415217857</x:v>
      </x:c>
      <x:c r="AL60" s="141" t="n">
        <x:f>IF(AG60&gt;1,"Inviavel",AK60)</x:f>
        <x:v>633844.7415217857</x:v>
      </x:c>
      <x:c r="AM60" s="141" t="str">
        <x:f>IF(AG60&gt;1,"Inviavel","OK")</x:f>
        <x:v>OK</x:v>
      </x:c>
      <x:c r="AN60" s="141" t="n">
        <x:f>IF($A60=Premissas!$B$48,Premissas!$B$8,0)</x:f>
        <x:v>0</x:v>
      </x:c>
      <x:c r="AO60" s="141" t="n">
        <x:f>IF($A60&lt;=Premissas!$B$25,INDEX('Consorcio IQ'!$K$6:$K$485,$A60),0)</x:f>
        <x:v>2570.546446142028</x:v>
      </x:c>
      <x:c r="AP60" s="141" t="n">
        <x:f>IF(AND(TRUE,Premissas!$B$11="Imovel",Premissas!$B$47="Moradia",$A60&lt;MAX(Premissas!$B$48,Premissas!$B$49)),$D60,0)</x:f>
        <x:v>0</x:v>
      </x:c>
      <x:c r="AQ60" s="141" t="n">
        <x:f>IF(AND(TRUE,Premissas!$B$11="Imovel",Premissas!$B$47="Investimento",$A60&gt;=MAX(Premissas!$B$48,Premissas!$B$49)),$E60,0)</x:f>
        <x:v>807.9852544000003</x:v>
      </x:c>
      <x:c r="AR60" s="141" t="n">
        <x:f>AN60+AO60+AP60</x:f>
        <x:v>2570.546446142028</x:v>
      </x:c>
      <x:c r="AS60" s="141" t="n">
        <x:f>AQ60</x:f>
        <x:v>807.9852544000003</x:v>
      </x:c>
      <x:c r="AT60" s="141" t="n">
        <x:f>$C60+AS60-AR60</x:f>
        <x:v>5237.438808257973</x:v>
      </x:c>
      <x:c r="AU60" s="141" t="n">
        <x:f>AX59*(1+Premissas!$B$41)+AT60</x:f>
        <x:v>460014.2551046882</x:v>
      </x:c>
      <x:c r="AV60" s="141" t="n">
        <x:f>MAX(0,-AU60)</x:f>
        <x:v>0</x:v>
      </x:c>
      <x:c r="AW60" s="141" t="n">
        <x:f>AW59*(1+Premissas!$B$41)+AV60</x:f>
        <x:v>0</x:v>
      </x:c>
      <x:c r="AX60" s="141" t="n">
        <x:f>MAX(0,AU60)</x:f>
        <x:v>460014.2551046882</x:v>
      </x:c>
      <x:c r="AY60" s="141" t="n">
        <x:f>INDEX('Consorcio IQ'!$P$6:$P$485,$A60)</x:f>
        <x:v>228582.8247924107</x:v>
      </x:c>
      <x:c r="AZ60" s="141" t="n">
        <x:f>IF($A60&gt;=Premissas!$B$48,$F60,0)+IF($A60&lt;Premissas!$B$27,INDEX('Consorcio IQ'!$O$6:$O$485,$A60),0)</x:f>
        <x:v>393284.03588313214</x:v>
      </x:c>
      <x:c r="BA60" s="141" t="n">
        <x:f>AX60+AZ60-AY60</x:f>
        <x:v>624715.4661954097</x:v>
      </x:c>
      <x:c r="BB60" s="141" t="n">
        <x:f>IF(AW60&gt;1,"Inviavel",BA60)</x:f>
        <x:v>624715.4661954097</x:v>
      </x:c>
      <x:c r="BC60" s="141" t="str">
        <x:f>IF(AW60&gt;1,"Inviavel","OK")</x:f>
        <x:v>OK</x:v>
      </x:c>
      <x:c r="BD60" s="141" t="n">
        <x:f>IF($A60='Consorcio Direto'!$B$29,'Consorcio Direto'!$B$44,0)</x:f>
        <x:v>0</x:v>
      </x:c>
      <x:c r="BE60" s="141" t="n">
        <x:f>IF($A60&lt;='Consorcio Direto'!$B$27,INDEX('Consorcio Direto'!$E$55:$E$534,$A60),0)</x:f>
        <x:v>1864.9584501396378</x:v>
      </x:c>
      <x:c r="BF60" s="141" t="n">
        <x:f>IF(AND(TRUE,Premissas!$B$11="Imovel",Premissas!$B$47="Moradia",$A60&lt;MAX('Consorcio Direto'!$B$29,Premissas!$B$49)),$D60,0)</x:f>
        <x:v>0</x:v>
      </x:c>
      <x:c r="BG60" s="141" t="n">
        <x:f>IF(AND(TRUE,Premissas!$B$11="Imovel",Premissas!$B$47="Investimento",$A60&gt;=MAX('Consorcio Direto'!$B$29,Premissas!$B$49)),$E60,0)</x:f>
        <x:v>0</x:v>
      </x:c>
      <x:c r="BH60" s="141" t="n">
        <x:f>BD60+BE60+BF60</x:f>
        <x:v>1864.9584501396378</x:v>
      </x:c>
      <x:c r="BI60" s="141" t="n">
        <x:f>BG60</x:f>
        <x:v>0</x:v>
      </x:c>
      <x:c r="BJ60" s="141" t="n">
        <x:f>$C60+BI60-BH60</x:f>
        <x:v>5135.0415498603625</x:v>
      </x:c>
      <x:c r="BK60" s="141" t="n">
        <x:f>BN59*(1+Premissas!$B$41)+BJ60</x:f>
        <x:v>545615.4748093183</x:v>
      </x:c>
      <x:c r="BL60" s="141" t="n">
        <x:f>MAX(0,-BK60)</x:f>
        <x:v>0</x:v>
      </x:c>
      <x:c r="BM60" s="141" t="n">
        <x:f>BM59*(1+Premissas!$B$41)+BL60</x:f>
        <x:v>0</x:v>
      </x:c>
      <x:c r="BN60" s="141" t="n">
        <x:f>MAX(0,BK60)</x:f>
        <x:v>545615.4748093183</x:v>
      </x:c>
      <x:c r="BO60" s="141" t="n">
        <x:f>INDEX('Consorcio Direto'!$K$55:$K$534,$A60)</x:f>
        <x:v>232837.96015092699</x:v>
      </x:c>
      <x:c r="BP60" s="141" t="n">
        <x:f>IF($A60&lt;'Consorcio Direto'!$B$29,INDEX('Consorcio Direto'!$L$55:$L$534,$A60),$F60)</x:f>
        <x:v>256474.67746104038</x:v>
      </x:c>
      <x:c r="BQ60" s="141" t="n">
        <x:f>BN60+BP60-BO60</x:f>
        <x:v>569252.1921194318</x:v>
      </x:c>
      <x:c r="BR60" s="141" t="n">
        <x:f>IF(BM60&gt;1,"Inviavel",BQ60)</x:f>
        <x:v>569252.1921194318</x:v>
      </x:c>
      <x:c r="BS60" s="141" t="str">
        <x:f>IF(BM60&gt;1,"Inviavel","OK")</x:f>
        <x:v>OK</x:v>
      </x:c>
      <x:c r="BT60" s="141" t="n">
        <x:f>IF(AND('Carta Contemplada'!$B$22="Sim",$A60='Carta Contemplada'!$B$23),'Carta Contemplada'!$B$37,0)</x:f>
        <x:v>0</x:v>
      </x:c>
      <x:c r="BU60" s="141" t="n">
        <x:f>IF('Carta Contemplada'!$B$22="Sim",INDEX('Carta Contemplada'!$C$55:$C$1013,$A60),0)</x:f>
        <x:v>1514.9723520000005</x:v>
      </x:c>
      <x:c r="BV60" s="141" t="n">
        <x:f>IF(AND('Carta Contemplada'!$B$22="Sim",Premissas!$B$11="Imovel",Premissas!$B$47="Moradia",$A60&lt;MAX('Carta Contemplada'!$B$44,Premissas!$B$49)),$D60,0)</x:f>
        <x:v>0</x:v>
      </x:c>
      <x:c r="BW60" s="141" t="n">
        <x:f>IF(AND('Carta Contemplada'!$B$22="Sim",Premissas!$B$11="Imovel",Premissas!$B$47="Investimento",$A60&gt;=MAX('Carta Contemplada'!$B$44,Premissas!$B$49)),$E60,0)</x:f>
        <x:v>807.9852544000003</x:v>
      </x:c>
      <x:c r="BX60" s="141" t="n">
        <x:f>BT60+BU60+BV60</x:f>
        <x:v>1514.9723520000005</x:v>
      </x:c>
      <x:c r="BY60" s="141" t="n">
        <x:f>BW60</x:f>
        <x:v>807.9852544000003</x:v>
      </x:c>
      <x:c r="BZ60" s="141" t="n">
        <x:f>$C60+BY60-BX60</x:f>
        <x:v>6293.0129024</x:v>
      </x:c>
      <x:c r="CA60" s="141" t="n">
        <x:f>CD59*(1+Premissas!$B$41)+BZ60</x:f>
        <x:v>541035.3433659498</x:v>
      </x:c>
      <x:c r="CB60" s="141" t="n">
        <x:f>MAX(0,-CA60)</x:f>
        <x:v>0</x:v>
      </x:c>
      <x:c r="CC60" s="141" t="n">
        <x:f>CC59*(1+Premissas!$B$41)+CB60</x:f>
        <x:v>0</x:v>
      </x:c>
      <x:c r="CD60" s="141" t="n">
        <x:f>MAX(0,CA60)</x:f>
        <x:v>541035.3433659498</x:v>
      </x:c>
      <x:c r="CE60" s="141" t="n">
        <x:f>IF(AND('Carta Contemplada'!$B$22="Sim",$A60&gt;='Carta Contemplada'!$B$23),INDEX('Carta Contemplada'!$I$55:$I$1013,$A60),0)</x:f>
        <x:v>143915.7061998691</x:v>
      </x:c>
      <x:c r="CF60" s="141" t="n">
        <x:f>IF(AND('Carta Contemplada'!$B$22="Sim",$A60&gt;='Carta Contemplada'!$B$44),$F60,0)</x:f>
        <x:v>261225.28487370253</x:v>
      </x:c>
      <x:c r="CG60" s="141" t="n">
        <x:f>CD60+CF60-CE60</x:f>
        <x:v>658344.9220397833</x:v>
      </x:c>
      <x:c r="CH60" s="141" t="n">
        <x:f>IF(CC60&gt;1,"Inviavel",CG60)</x:f>
        <x:v>658344.9220397833</x:v>
      </x:c>
      <x:c r="CI60" s="145" t="str">
        <x:f>IF(CC60&gt;1,"Inviavel","OK")</x:f>
        <x:v>OK</x:v>
      </x:c>
    </x:row>
    <x:row r="61">
      <x:c r="A61" s="142" t="n">
        <x:v>57</x:v>
      </x:c>
      <x:c r="B61" s="179" t="n">
        <x:f>EDATE(Premissas!$B$4,A61-1)</x:f>
        <x:v>48245</x:v>
      </x:c>
      <x:c r="C61" s="141" t="n">
        <x:f>IF(A61&lt;=Premissas!$B$39,Premissas!$B$42,0)</x:f>
        <x:v>7000</x:v>
      </x:c>
      <x:c r="D61" s="141" t="n">
        <x:f>Premissas!$B$54*(1+Premissas!$B$57)^INT((A61-1)/12)</x:f>
        <x:v>883.7338720000002</x:v>
      </x:c>
      <x:c r="E61" s="141" t="n">
        <x:f>Premissas!$B$64*(1+Premissas!$B$57)^INT((A61-1)/12)</x:f>
        <x:v>807.9852544000003</x:v>
      </x:c>
      <x:c r="F61" s="141" t="n">
        <x:f>MAX(0,Premissas!$B$6*(1+Premissas!$B$66)^((A61-1)/12))</x:f>
        <x:v>262496.8121567714</x:v>
      </x:c>
      <x:c r="G61" s="141" t="n">
        <x:f>G60*(1+Premissas!$B$41)+C61</x:f>
        <x:v>678801.9100939988</x:v>
      </x:c>
      <x:c r="H61" s="141" t="n">
        <x:f>IF($A61=Premissas!$B$48,Premissas!$B$8,0)</x:f>
        <x:v>0</x:v>
      </x:c>
      <x:c r="I61" s="141" t="n">
        <x:f>IF(AND($A61&gt;=Premissas!$B$48,$A61-Premissas!$B$48+1&lt;=Premissas!$B$13),INDEX(Financiamento!$J$6:$J$485,$A61-Premissas!$B$48+1),0)</x:f>
        <x:v>1846.731667881233</x:v>
      </x:c>
      <x:c r="J61" s="141" t="n">
        <x:f>IF(AND(TRUE,Premissas!$B$11="Imovel",Premissas!$B$47="Moradia",$A61&lt;MAX(Premissas!$B$48,Premissas!$B$49)),$D61,0)</x:f>
        <x:v>0</x:v>
      </x:c>
      <x:c r="K61" s="141" t="n">
        <x:f>IF(AND(TRUE,Premissas!$B$11="Imovel",Premissas!$B$47="Investimento",$A61&gt;=MAX(Premissas!$B$48,Premissas!$B$49)),$E61,0)</x:f>
        <x:v>807.9852544000003</x:v>
      </x:c>
      <x:c r="L61" s="141" t="n">
        <x:f>H61+I61+J61</x:f>
        <x:v>1846.731667881233</x:v>
      </x:c>
      <x:c r="M61" s="141" t="n">
        <x:f>K61</x:f>
        <x:v>807.9852544000003</x:v>
      </x:c>
      <x:c r="N61" s="141" t="n">
        <x:f>$C61+M61-L61</x:f>
        <x:v>5961.253586518767</x:v>
      </x:c>
      <x:c r="O61" s="141" t="n">
        <x:f>R60*(1+Premissas!$B$41)+N61</x:f>
        <x:v>517071.19630326633</x:v>
      </x:c>
      <x:c r="P61" s="141" t="n">
        <x:f>MAX(0,-O61)</x:f>
        <x:v>0</x:v>
      </x:c>
      <x:c r="Q61" s="141" t="n">
        <x:f>Q60*(1+Premissas!$B$41)+P61</x:f>
        <x:v>0</x:v>
      </x:c>
      <x:c r="R61" s="141" t="n">
        <x:f>MAX(0,O61)</x:f>
        <x:v>517071.19630326633</x:v>
      </x:c>
      <x:c r="S61" s="141" t="n">
        <x:f>IF(AND($A61&gt;=Premissas!$B$48,$A61-Premissas!$B$48+1&lt;=Premissas!$B$13),INDEX(Financiamento!$M$6:$M$485,$A61-Premissas!$B$48+1),0)</x:f>
        <x:v>138285.71428571455</x:v>
      </x:c>
      <x:c r="T61" s="141" t="n">
        <x:f>IF($A61&gt;=Premissas!$B$48,$F61,0)</x:f>
        <x:v>262496.8121567714</x:v>
      </x:c>
      <x:c r="U61" s="141" t="n">
        <x:f>R61+T61-S61</x:f>
        <x:v>641282.2941743232</x:v>
      </x:c>
      <x:c r="V61" s="141" t="n">
        <x:f>IF(Q61&gt;1,"Inviavel",U61)</x:f>
        <x:v>641282.2941743232</x:v>
      </x:c>
      <x:c r="W61" s="141" t="str">
        <x:f>IF(Q61&gt;1,"Inviavel","OK")</x:f>
        <x:v>OK</x:v>
      </x:c>
      <x:c r="X61" s="141" t="n">
        <x:f>IF($A61=Premissas!$B$48,Premissas!$B$8,0)</x:f>
        <x:v>0</x:v>
      </x:c>
      <x:c r="Y61" s="141" t="n">
        <x:f>IF(AND($A61&gt;=Premissas!$B$48,$A61-Premissas!$B$48+1&lt;=Premissas!$B$13),INDEX(Amortizacao!$K$6:$K$485,$A61-Premissas!$B$48+1),0)</x:f>
        <x:v>0</x:v>
      </x:c>
      <x:c r="Z61" s="141" t="n">
        <x:f>IF(AND(TRUE,Premissas!$B$11="Imovel",Premissas!$B$47="Moradia",$A61&lt;MAX(Premissas!$B$48,Premissas!$B$49)),$D61,0)</x:f>
        <x:v>0</x:v>
      </x:c>
      <x:c r="AA61" s="141" t="n">
        <x:f>IF(AND(TRUE,Premissas!$B$11="Imovel",Premissas!$B$47="Investimento",$A61&gt;=MAX(Premissas!$B$48,Premissas!$B$49)),$E61,0)</x:f>
        <x:v>807.9852544000003</x:v>
      </x:c>
      <x:c r="AB61" s="141" t="n">
        <x:f>X61+Y61+Z61</x:f>
        <x:v>0</x:v>
      </x:c>
      <x:c r="AC61" s="141" t="n">
        <x:f>AA61</x:f>
        <x:v>807.9852544000003</x:v>
      </x:c>
      <x:c r="AD61" s="141" t="n">
        <x:f>$C61+AC61-AB61</x:f>
        <x:v>7807.9852544000005</x:v>
      </x:c>
      <x:c r="AE61" s="141" t="n">
        <x:f>AH60*(1+Premissas!$B$41)+AD61</x:f>
        <x:v>383963.15077001374</x:v>
      </x:c>
      <x:c r="AF61" s="141" t="n">
        <x:f>MAX(0,-AE61)</x:f>
        <x:v>0</x:v>
      </x:c>
      <x:c r="AG61" s="141" t="n">
        <x:f>AG60*(1+Premissas!$B$41)+AF61</x:f>
        <x:v>0</x:v>
      </x:c>
      <x:c r="AH61" s="141" t="n">
        <x:f>MAX(0,AE61)</x:f>
        <x:v>383963.15077001374</x:v>
      </x:c>
      <x:c r="AI61" s="141" t="n">
        <x:f>IF(AND($A61&gt;=Premissas!$B$48,$A61-Premissas!$B$48+1&lt;=Premissas!$B$13),INDEX(Amortizacao!$L$6:$L$485,$A61-Premissas!$B$48+1),0)</x:f>
        <x:v>0</x:v>
      </x:c>
      <x:c r="AJ61" s="141" t="n">
        <x:f>IF($A61&gt;=Premissas!$B$48,$F61,0)</x:f>
        <x:v>262496.8121567714</x:v>
      </x:c>
      <x:c r="AK61" s="141" t="n">
        <x:f>AH61+AJ61-AI61</x:f>
        <x:v>646459.9629267852</x:v>
      </x:c>
      <x:c r="AL61" s="141" t="n">
        <x:f>IF(AG61&gt;1,"Inviavel",AK61)</x:f>
        <x:v>646459.9629267852</x:v>
      </x:c>
      <x:c r="AM61" s="141" t="str">
        <x:f>IF(AG61&gt;1,"Inviavel","OK")</x:f>
        <x:v>OK</x:v>
      </x:c>
      <x:c r="AN61" s="141" t="n">
        <x:f>IF($A61=Premissas!$B$48,Premissas!$B$8,0)</x:f>
        <x:v>0</x:v>
      </x:c>
      <x:c r="AO61" s="141" t="n">
        <x:f>IF($A61&lt;=Premissas!$B$25,INDEX('Consorcio IQ'!$K$6:$K$485,$A61),0)</x:f>
        <x:v>2566.9316678812347</x:v>
      </x:c>
      <x:c r="AP61" s="141" t="n">
        <x:f>IF(AND(TRUE,Premissas!$B$11="Imovel",Premissas!$B$47="Moradia",$A61&lt;MAX(Premissas!$B$48,Premissas!$B$49)),$D61,0)</x:f>
        <x:v>0</x:v>
      </x:c>
      <x:c r="AQ61" s="141" t="n">
        <x:f>IF(AND(TRUE,Premissas!$B$11="Imovel",Premissas!$B$47="Investimento",$A61&gt;=MAX(Premissas!$B$48,Premissas!$B$49)),$E61,0)</x:f>
        <x:v>807.9852544000003</x:v>
      </x:c>
      <x:c r="AR61" s="141" t="n">
        <x:f>AN61+AO61+AP61</x:f>
        <x:v>2566.9316678812347</x:v>
      </x:c>
      <x:c r="AS61" s="141" t="n">
        <x:f>AQ61</x:f>
        <x:v>807.9852544000003</x:v>
      </x:c>
      <x:c r="AT61" s="141" t="n">
        <x:f>$C61+AS61-AR61</x:f>
        <x:v>5241.053586518766</x:v>
      </x:c>
      <x:c r="AU61" s="141" t="n">
        <x:f>AX60*(1+Premissas!$B$41)+AT61</x:f>
        <x:v>469620.2887048518</x:v>
      </x:c>
      <x:c r="AV61" s="141" t="n">
        <x:f>MAX(0,-AU61)</x:f>
        <x:v>0</x:v>
      </x:c>
      <x:c r="AW61" s="141" t="n">
        <x:f>AW60*(1+Premissas!$B$41)+AV61</x:f>
        <x:v>0</x:v>
      </x:c>
      <x:c r="AX61" s="141" t="n">
        <x:f>MAX(0,AU61)</x:f>
        <x:v>469620.2887048518</x:v>
      </x:c>
      <x:c r="AY61" s="141" t="n">
        <x:f>INDEX('Consorcio IQ'!$P$6:$P$485,$A61)</x:f>
        <x:v>228334.86821738677</x:v>
      </x:c>
      <x:c r="AZ61" s="141" t="n">
        <x:f>IF($A61&gt;=Premissas!$B$48,$F61,0)+IF($A61&lt;Premissas!$B$27,INDEX('Consorcio IQ'!$O$6:$O$485,$A61),0)</x:f>
        <x:v>395808.6413097292</x:v>
      </x:c>
      <x:c r="BA61" s="141" t="n">
        <x:f>AX61+AZ61-AY61</x:f>
        <x:v>637094.0617971942</x:v>
      </x:c>
      <x:c r="BB61" s="141" t="n">
        <x:f>IF(AW61&gt;1,"Inviavel",BA61)</x:f>
        <x:v>637094.0617971942</x:v>
      </x:c>
      <x:c r="BC61" s="141" t="str">
        <x:f>IF(AW61&gt;1,"Inviavel","OK")</x:f>
        <x:v>OK</x:v>
      </x:c>
      <x:c r="BD61" s="141" t="n">
        <x:f>IF($A61='Consorcio Direto'!$B$29,'Consorcio Direto'!$B$44,0)</x:f>
        <x:v>0</x:v>
      </x:c>
      <x:c r="BE61" s="141" t="n">
        <x:f>IF($A61&lt;='Consorcio Direto'!$B$27,INDEX('Consorcio Direto'!$E$55:$E$534,$A61),0)</x:f>
        <x:v>1864.9584501396378</x:v>
      </x:c>
      <x:c r="BF61" s="141" t="n">
        <x:f>IF(AND(TRUE,Premissas!$B$11="Imovel",Premissas!$B$47="Moradia",$A61&lt;MAX('Consorcio Direto'!$B$29,Premissas!$B$49)),$D61,0)</x:f>
        <x:v>0</x:v>
      </x:c>
      <x:c r="BG61" s="141" t="n">
        <x:f>IF(AND(TRUE,Premissas!$B$11="Imovel",Premissas!$B$47="Investimento",$A61&gt;=MAX('Consorcio Direto'!$B$29,Premissas!$B$49)),$E61,0)</x:f>
        <x:v>0</x:v>
      </x:c>
      <x:c r="BH61" s="141" t="n">
        <x:f>BD61+BE61+BF61</x:f>
        <x:v>1864.9584501396378</x:v>
      </x:c>
      <x:c r="BI61" s="141" t="n">
        <x:f>BG61</x:f>
        <x:v>0</x:v>
      </x:c>
      <x:c r="BJ61" s="141" t="n">
        <x:f>$C61+BI61-BH61</x:f>
        <x:v>5135.0415498603625</x:v>
      </x:c>
      <x:c r="BK61" s="141" t="n">
        <x:f>BN60*(1+Premissas!$B$41)+BJ61</x:f>
        <x:v>555927.7486215485</x:v>
      </x:c>
      <x:c r="BL61" s="141" t="n">
        <x:f>MAX(0,-BK61)</x:f>
        <x:v>0</x:v>
      </x:c>
      <x:c r="BM61" s="141" t="n">
        <x:f>BM60*(1+Premissas!$B$41)+BL61</x:f>
        <x:v>0</x:v>
      </x:c>
      <x:c r="BN61" s="141" t="n">
        <x:f>MAX(0,BK61)</x:f>
        <x:v>555927.7486215485</x:v>
      </x:c>
      <x:c r="BO61" s="141" t="n">
        <x:f>INDEX('Consorcio Direto'!$K$55:$K$534,$A61)</x:f>
        <x:v>233182.3528919702</x:v>
      </x:c>
      <x:c r="BP61" s="141" t="n">
        <x:f>IF($A61&lt;'Consorcio Direto'!$B$29,INDEX('Consorcio Direto'!$L$55:$L$534,$A61),$F61)</x:f>
        <x:v>258908.31256843216</x:v>
      </x:c>
      <x:c r="BQ61" s="141" t="n">
        <x:f>BN61+BP61-BO61</x:f>
        <x:v>581653.7082980105</x:v>
      </x:c>
      <x:c r="BR61" s="141" t="n">
        <x:f>IF(BM61&gt;1,"Inviavel",BQ61)</x:f>
        <x:v>581653.7082980105</x:v>
      </x:c>
      <x:c r="BS61" s="141" t="str">
        <x:f>IF(BM61&gt;1,"Inviavel","OK")</x:f>
        <x:v>OK</x:v>
      </x:c>
      <x:c r="BT61" s="141" t="n">
        <x:f>IF(AND('Carta Contemplada'!$B$22="Sim",$A61='Carta Contemplada'!$B$23),'Carta Contemplada'!$B$37,0)</x:f>
        <x:v>0</x:v>
      </x:c>
      <x:c r="BU61" s="141" t="n">
        <x:f>IF('Carta Contemplada'!$B$22="Sim",INDEX('Carta Contemplada'!$C$55:$C$1013,$A61),0)</x:f>
        <x:v>1514.9723520000005</x:v>
      </x:c>
      <x:c r="BV61" s="141" t="n">
        <x:f>IF(AND('Carta Contemplada'!$B$22="Sim",Premissas!$B$11="Imovel",Premissas!$B$47="Moradia",$A61&lt;MAX('Carta Contemplada'!$B$44,Premissas!$B$49)),$D61,0)</x:f>
        <x:v>0</x:v>
      </x:c>
      <x:c r="BW61" s="141" t="n">
        <x:f>IF(AND('Carta Contemplada'!$B$22="Sim",Premissas!$B$11="Imovel",Premissas!$B$47="Investimento",$A61&gt;=MAX('Carta Contemplada'!$B$44,Premissas!$B$49)),$E61,0)</x:f>
        <x:v>807.9852544000003</x:v>
      </x:c>
      <x:c r="BX61" s="141" t="n">
        <x:f>BT61+BU61+BV61</x:f>
        <x:v>1514.9723520000005</x:v>
      </x:c>
      <x:c r="BY61" s="141" t="n">
        <x:f>BW61</x:f>
        <x:v>807.9852544000003</x:v>
      </x:c>
      <x:c r="BZ61" s="141" t="n">
        <x:f>$C61+BY61-BX61</x:f>
        <x:v>6293.0129024</x:v>
      </x:c>
      <x:c r="CA61" s="141" t="n">
        <x:f>CD60*(1+Premissas!$B$41)+BZ61</x:f>
        <x:v>552462.1286118403</x:v>
      </x:c>
      <x:c r="CB61" s="141" t="n">
        <x:f>MAX(0,-CA61)</x:f>
        <x:v>0</x:v>
      </x:c>
      <x:c r="CC61" s="141" t="n">
        <x:f>CC60*(1+Premissas!$B$41)+CB61</x:f>
        <x:v>0</x:v>
      </x:c>
      <x:c r="CD61" s="141" t="n">
        <x:f>MAX(0,CA61)</x:f>
        <x:v>552462.1286118403</x:v>
      </x:c>
      <x:c r="CE61" s="141" t="n">
        <x:f>IF(AND('Carta Contemplada'!$B$22="Sim",$A61&gt;='Carta Contemplada'!$B$23),INDEX('Carta Contemplada'!$I$55:$I$1013,$A61),0)</x:f>
        <x:v>143766.32018403395</x:v>
      </x:c>
      <x:c r="CF61" s="141" t="n">
        <x:f>IF(AND('Carta Contemplada'!$B$22="Sim",$A61&gt;='Carta Contemplada'!$B$44),$F61,0)</x:f>
        <x:v>262496.8121567714</x:v>
      </x:c>
      <x:c r="CG61" s="141" t="n">
        <x:f>CD61+CF61-CE61</x:f>
        <x:v>671192.6205845778</x:v>
      </x:c>
      <x:c r="CH61" s="141" t="n">
        <x:f>IF(CC61&gt;1,"Inviavel",CG61)</x:f>
        <x:v>671192.6205845778</x:v>
      </x:c>
      <x:c r="CI61" s="145" t="str">
        <x:f>IF(CC61&gt;1,"Inviavel","OK")</x:f>
        <x:v>OK</x:v>
      </x:c>
    </x:row>
    <x:row r="62">
      <x:c r="A62" s="142" t="n">
        <x:v>58</x:v>
      </x:c>
      <x:c r="B62" s="179" t="n">
        <x:f>EDATE(Premissas!$B$4,A62-1)</x:f>
        <x:v>48274</x:v>
      </x:c>
      <x:c r="C62" s="141" t="n">
        <x:f>IF(A62&lt;=Premissas!$B$39,Premissas!$B$42,0)</x:f>
        <x:v>7000</x:v>
      </x:c>
      <x:c r="D62" s="141" t="n">
        <x:f>Premissas!$B$54*(1+Premissas!$B$57)^INT((A62-1)/12)</x:f>
        <x:v>883.7338720000002</x:v>
      </x:c>
      <x:c r="E62" s="141" t="n">
        <x:f>Premissas!$B$64*(1+Premissas!$B$57)^INT((A62-1)/12)</x:f>
        <x:v>807.9852544000003</x:v>
      </x:c>
      <x:c r="F62" s="141" t="n">
        <x:f>MAX(0,Premissas!$B$6*(1+Premissas!$B$66)^((A62-1)/12))</x:f>
        <x:v>263774.52866318583</x:v>
      </x:c>
      <x:c r="G62" s="141" t="n">
        <x:f>G61*(1+Premissas!$B$41)+C62</x:f>
        <x:v>692242.9208624802</x:v>
      </x:c>
      <x:c r="H62" s="141" t="n">
        <x:f>IF($A62=Premissas!$B$48,Premissas!$B$8,0)</x:f>
        <x:v>0</x:v>
      </x:c>
      <x:c r="I62" s="141" t="n">
        <x:f>IF(AND($A62&gt;=Premissas!$B$48,$A62-Premissas!$B$48+1&lt;=Premissas!$B$13),INDEX(Financiamento!$J$6:$J$485,$A62-Premissas!$B$48+1),0)</x:f>
        <x:v>1843.1168896204397</x:v>
      </x:c>
      <x:c r="J62" s="141" t="n">
        <x:f>IF(AND(TRUE,Premissas!$B$11="Imovel",Premissas!$B$47="Moradia",$A62&lt;MAX(Premissas!$B$48,Premissas!$B$49)),$D62,0)</x:f>
        <x:v>0</x:v>
      </x:c>
      <x:c r="K62" s="141" t="n">
        <x:f>IF(AND(TRUE,Premissas!$B$11="Imovel",Premissas!$B$47="Investimento",$A62&gt;=MAX(Premissas!$B$48,Premissas!$B$49)),$E62,0)</x:f>
        <x:v>807.9852544000003</x:v>
      </x:c>
      <x:c r="L62" s="141" t="n">
        <x:f>H62+I62+J62</x:f>
        <x:v>1843.1168896204397</x:v>
      </x:c>
      <x:c r="M62" s="141" t="n">
        <x:f>K62</x:f>
        <x:v>807.9852544000003</x:v>
      </x:c>
      <x:c r="N62" s="141" t="n">
        <x:f>$C62+M62-L62</x:f>
        <x:v>5964.868364779561</x:v>
      </x:c>
      <x:c r="O62" s="141" t="n">
        <x:f>R61*(1+Premissas!$B$41)+N62</x:f>
        <x:v>527942.4461822048</x:v>
      </x:c>
      <x:c r="P62" s="141" t="n">
        <x:f>MAX(0,-O62)</x:f>
        <x:v>0</x:v>
      </x:c>
      <x:c r="Q62" s="141" t="n">
        <x:f>Q61*(1+Premissas!$B$41)+P62</x:f>
        <x:v>0</x:v>
      </x:c>
      <x:c r="R62" s="141" t="n">
        <x:f>MAX(0,O62)</x:f>
        <x:v>527942.4461822048</x:v>
      </x:c>
      <x:c r="S62" s="141" t="n">
        <x:f>IF(AND($A62&gt;=Premissas!$B$48,$A62-Premissas!$B$48+1&lt;=Premissas!$B$13),INDEX(Financiamento!$M$6:$M$485,$A62-Premissas!$B$48+1),0)</x:f>
        <x:v>137904.76190476216</x:v>
      </x:c>
      <x:c r="T62" s="141" t="n">
        <x:f>IF($A62&gt;=Premissas!$B$48,$F62,0)</x:f>
        <x:v>263774.52866318583</x:v>
      </x:c>
      <x:c r="U62" s="141" t="n">
        <x:f>R62+T62-S62</x:f>
        <x:v>653812.2129406284</x:v>
      </x:c>
      <x:c r="V62" s="141" t="n">
        <x:f>IF(Q62&gt;1,"Inviavel",U62)</x:f>
        <x:v>653812.2129406284</x:v>
      </x:c>
      <x:c r="W62" s="141" t="str">
        <x:f>IF(Q62&gt;1,"Inviavel","OK")</x:f>
        <x:v>OK</x:v>
      </x:c>
      <x:c r="X62" s="141" t="n">
        <x:f>IF($A62=Premissas!$B$48,Premissas!$B$8,0)</x:f>
        <x:v>0</x:v>
      </x:c>
      <x:c r="Y62" s="141" t="n">
        <x:f>IF(AND($A62&gt;=Premissas!$B$48,$A62-Premissas!$B$48+1&lt;=Premissas!$B$13),INDEX(Amortizacao!$K$6:$K$485,$A62-Premissas!$B$48+1),0)</x:f>
        <x:v>0</x:v>
      </x:c>
      <x:c r="Z62" s="141" t="n">
        <x:f>IF(AND(TRUE,Premissas!$B$11="Imovel",Premissas!$B$47="Moradia",$A62&lt;MAX(Premissas!$B$48,Premissas!$B$49)),$D62,0)</x:f>
        <x:v>0</x:v>
      </x:c>
      <x:c r="AA62" s="141" t="n">
        <x:f>IF(AND(TRUE,Premissas!$B$11="Imovel",Premissas!$B$47="Investimento",$A62&gt;=MAX(Premissas!$B$48,Premissas!$B$49)),$E62,0)</x:f>
        <x:v>807.9852544000003</x:v>
      </x:c>
      <x:c r="AB62" s="141" t="n">
        <x:f>X62+Y62+Z62</x:f>
        <x:v>0</x:v>
      </x:c>
      <x:c r="AC62" s="141" t="n">
        <x:f>AA62</x:f>
        <x:v>807.9852544000003</x:v>
      </x:c>
      <x:c r="AD62" s="141" t="n">
        <x:f>$C62+AC62-AB62</x:f>
        <x:v>7807.9852544000005</x:v>
      </x:c>
      <x:c r="AE62" s="141" t="n">
        <x:f>AH61*(1+Premissas!$B$41)+AD62</x:f>
        <x:v>395414.4828565805</x:v>
      </x:c>
      <x:c r="AF62" s="141" t="n">
        <x:f>MAX(0,-AE62)</x:f>
        <x:v>0</x:v>
      </x:c>
      <x:c r="AG62" s="141" t="n">
        <x:f>AG61*(1+Premissas!$B$41)+AF62</x:f>
        <x:v>0</x:v>
      </x:c>
      <x:c r="AH62" s="141" t="n">
        <x:f>MAX(0,AE62)</x:f>
        <x:v>395414.4828565805</x:v>
      </x:c>
      <x:c r="AI62" s="141" t="n">
        <x:f>IF(AND($A62&gt;=Premissas!$B$48,$A62-Premissas!$B$48+1&lt;=Premissas!$B$13),INDEX(Amortizacao!$L$6:$L$485,$A62-Premissas!$B$48+1),0)</x:f>
        <x:v>0</x:v>
      </x:c>
      <x:c r="AJ62" s="141" t="n">
        <x:f>IF($A62&gt;=Premissas!$B$48,$F62,0)</x:f>
        <x:v>263774.52866318583</x:v>
      </x:c>
      <x:c r="AK62" s="141" t="n">
        <x:f>AH62+AJ62-AI62</x:f>
        <x:v>659189.0115197664</x:v>
      </x:c>
      <x:c r="AL62" s="141" t="n">
        <x:f>IF(AG62&gt;1,"Inviavel",AK62)</x:f>
        <x:v>659189.0115197664</x:v>
      </x:c>
      <x:c r="AM62" s="141" t="str">
        <x:f>IF(AG62&gt;1,"Inviavel","OK")</x:f>
        <x:v>OK</x:v>
      </x:c>
      <x:c r="AN62" s="141" t="n">
        <x:f>IF($A62=Premissas!$B$48,Premissas!$B$8,0)</x:f>
        <x:v>0</x:v>
      </x:c>
      <x:c r="AO62" s="141" t="n">
        <x:f>IF($A62&lt;=Premissas!$B$25,INDEX('Consorcio IQ'!$K$6:$K$485,$A62),0)</x:f>
        <x:v>2563.316889620441</x:v>
      </x:c>
      <x:c r="AP62" s="141" t="n">
        <x:f>IF(AND(TRUE,Premissas!$B$11="Imovel",Premissas!$B$47="Moradia",$A62&lt;MAX(Premissas!$B$48,Premissas!$B$49)),$D62,0)</x:f>
        <x:v>0</x:v>
      </x:c>
      <x:c r="AQ62" s="141" t="n">
        <x:f>IF(AND(TRUE,Premissas!$B$11="Imovel",Premissas!$B$47="Investimento",$A62&gt;=MAX(Premissas!$B$48,Premissas!$B$49)),$E62,0)</x:f>
        <x:v>807.9852544000003</x:v>
      </x:c>
      <x:c r="AR62" s="141" t="n">
        <x:f>AN62+AO62+AP62</x:f>
        <x:v>2563.316889620441</x:v>
      </x:c>
      <x:c r="AS62" s="141" t="n">
        <x:f>AQ62</x:f>
        <x:v>807.9852544000003</x:v>
      </x:c>
      <x:c r="AT62" s="141" t="n">
        <x:f>$C62+AS62-AR62</x:f>
        <x:v>5244.66836477956</x:v>
      </x:c>
      <x:c r="AU62" s="141" t="n">
        <x:f>AX61*(1+Premissas!$B$41)+AT62</x:f>
        <x:v>479321.08674703084</x:v>
      </x:c>
      <x:c r="AV62" s="141" t="n">
        <x:f>MAX(0,-AU62)</x:f>
        <x:v>0</x:v>
      </x:c>
      <x:c r="AW62" s="141" t="n">
        <x:f>AW61*(1+Premissas!$B$41)+AV62</x:f>
        <x:v>0</x:v>
      </x:c>
      <x:c r="AX62" s="141" t="n">
        <x:f>MAX(0,AU62)</x:f>
        <x:v>479321.08674703084</x:v>
      </x:c>
      <x:c r="AY62" s="141" t="n">
        <x:f>INDEX('Consorcio IQ'!$P$6:$P$485,$A62)</x:f>
        <x:v>228088.17361202638</x:v>
      </x:c>
      <x:c r="AZ62" s="141" t="n">
        <x:f>IF($A62&gt;=Premissas!$B$48,$F62,0)+IF($A62&lt;Premissas!$B$27,INDEX('Consorcio IQ'!$O$6:$O$485,$A62),0)</x:f>
        <x:v>398351.3261587065</x:v>
      </x:c>
      <x:c r="BA62" s="141" t="n">
        <x:f>AX62+AZ62-AY62</x:f>
        <x:v>649584.2392937109</x:v>
      </x:c>
      <x:c r="BB62" s="141" t="n">
        <x:f>IF(AW62&gt;1,"Inviavel",BA62)</x:f>
        <x:v>649584.2392937109</x:v>
      </x:c>
      <x:c r="BC62" s="141" t="str">
        <x:f>IF(AW62&gt;1,"Inviavel","OK")</x:f>
        <x:v>OK</x:v>
      </x:c>
      <x:c r="BD62" s="141" t="n">
        <x:f>IF($A62='Consorcio Direto'!$B$29,'Consorcio Direto'!$B$44,0)</x:f>
        <x:v>0</x:v>
      </x:c>
      <x:c r="BE62" s="141" t="n">
        <x:f>IF($A62&lt;='Consorcio Direto'!$B$27,INDEX('Consorcio Direto'!$E$55:$E$534,$A62),0)</x:f>
        <x:v>1864.9584501396378</x:v>
      </x:c>
      <x:c r="BF62" s="141" t="n">
        <x:f>IF(AND(TRUE,Premissas!$B$11="Imovel",Premissas!$B$47="Moradia",$A62&lt;MAX('Consorcio Direto'!$B$29,Premissas!$B$49)),$D62,0)</x:f>
        <x:v>0</x:v>
      </x:c>
      <x:c r="BG62" s="141" t="n">
        <x:f>IF(AND(TRUE,Premissas!$B$11="Imovel",Premissas!$B$47="Investimento",$A62&gt;=MAX('Consorcio Direto'!$B$29,Premissas!$B$49)),$E62,0)</x:f>
        <x:v>0</x:v>
      </x:c>
      <x:c r="BH62" s="141" t="n">
        <x:f>BD62+BE62+BF62</x:f>
        <x:v>1864.9584501396378</x:v>
      </x:c>
      <x:c r="BI62" s="141" t="n">
        <x:f>BG62</x:f>
        <x:v>0</x:v>
      </x:c>
      <x:c r="BJ62" s="141" t="n">
        <x:f>$C62+BI62-BH62</x:f>
        <x:v>5135.0415498603625</x:v>
      </x:c>
      <x:c r="BK62" s="141" t="n">
        <x:f>BN61*(1+Premissas!$B$41)+BJ62</x:f>
        <x:v>566337.8734646677</x:v>
      </x:c>
      <x:c r="BL62" s="141" t="n">
        <x:f>MAX(0,-BK62)</x:f>
        <x:v>0</x:v>
      </x:c>
      <x:c r="BM62" s="141" t="n">
        <x:f>BM61*(1+Premissas!$B$41)+BL62</x:f>
        <x:v>0</x:v>
      </x:c>
      <x:c r="BN62" s="141" t="n">
        <x:f>MAX(0,BK62)</x:f>
        <x:v>566337.8734646677</x:v>
      </x:c>
      <x:c r="BO62" s="141" t="n">
        <x:f>INDEX('Consorcio Direto'!$K$55:$K$534,$A62)</x:f>
        <x:v>233530.01350442134</x:v>
      </x:c>
      <x:c r="BP62" s="141" t="n">
        <x:f>IF($A62&lt;'Consorcio Direto'!$B$29,INDEX('Consorcio Direto'!$L$55:$L$534,$A62),$F62)</x:f>
        <x:v>261365.03993543627</x:v>
      </x:c>
      <x:c r="BQ62" s="141" t="n">
        <x:f>BN62+BP62-BO62</x:f>
        <x:v>594172.8998956827</x:v>
      </x:c>
      <x:c r="BR62" s="141" t="n">
        <x:f>IF(BM62&gt;1,"Inviavel",BQ62)</x:f>
        <x:v>594172.8998956827</x:v>
      </x:c>
      <x:c r="BS62" s="141" t="str">
        <x:f>IF(BM62&gt;1,"Inviavel","OK")</x:f>
        <x:v>OK</x:v>
      </x:c>
      <x:c r="BT62" s="141" t="n">
        <x:f>IF(AND('Carta Contemplada'!$B$22="Sim",$A62='Carta Contemplada'!$B$23),'Carta Contemplada'!$B$37,0)</x:f>
        <x:v>0</x:v>
      </x:c>
      <x:c r="BU62" s="141" t="n">
        <x:f>IF('Carta Contemplada'!$B$22="Sim",INDEX('Carta Contemplada'!$C$55:$C$1013,$A62),0)</x:f>
        <x:v>1514.9723520000005</x:v>
      </x:c>
      <x:c r="BV62" s="141" t="n">
        <x:f>IF(AND('Carta Contemplada'!$B$22="Sim",Premissas!$B$11="Imovel",Premissas!$B$47="Moradia",$A62&lt;MAX('Carta Contemplada'!$B$44,Premissas!$B$49)),$D62,0)</x:f>
        <x:v>0</x:v>
      </x:c>
      <x:c r="BW62" s="141" t="n">
        <x:f>IF(AND('Carta Contemplada'!$B$22="Sim",Premissas!$B$11="Imovel",Premissas!$B$47="Investimento",$A62&gt;=MAX('Carta Contemplada'!$B$44,Premissas!$B$49)),$E62,0)</x:f>
        <x:v>807.9852544000003</x:v>
      </x:c>
      <x:c r="BX62" s="141" t="n">
        <x:f>BT62+BU62+BV62</x:f>
        <x:v>1514.9723520000005</x:v>
      </x:c>
      <x:c r="BY62" s="141" t="n">
        <x:f>BW62</x:f>
        <x:v>807.9852544000003</x:v>
      </x:c>
      <x:c r="BZ62" s="141" t="n">
        <x:f>$C62+BY62-BX62</x:f>
        <x:v>6293.0129024</x:v>
      </x:c>
      <x:c r="CA62" s="141" t="n">
        <x:f>CD61*(1+Premissas!$B$41)+BZ62</x:f>
        <x:v>563997.3402568371</x:v>
      </x:c>
      <x:c r="CB62" s="141" t="n">
        <x:f>MAX(0,-CA62)</x:f>
        <x:v>0</x:v>
      </x:c>
      <x:c r="CC62" s="141" t="n">
        <x:f>CC61*(1+Premissas!$B$41)+CB62</x:f>
        <x:v>0</x:v>
      </x:c>
      <x:c r="CD62" s="141" t="n">
        <x:f>MAX(0,CA62)</x:f>
        <x:v>563997.3402568371</x:v>
      </x:c>
      <x:c r="CE62" s="141" t="n">
        <x:f>IF(AND('Carta Contemplada'!$B$22="Sim",$A62&gt;='Carta Contemplada'!$B$23),INDEX('Carta Contemplada'!$I$55:$I$1013,$A62),0)</x:f>
        <x:v>143615.5166752272</x:v>
      </x:c>
      <x:c r="CF62" s="141" t="n">
        <x:f>IF(AND('Carta Contemplada'!$B$22="Sim",$A62&gt;='Carta Contemplada'!$B$44),$F62,0)</x:f>
        <x:v>263774.52866318583</x:v>
      </x:c>
      <x:c r="CG62" s="141" t="n">
        <x:f>CD62+CF62-CE62</x:f>
        <x:v>684156.3522447956</x:v>
      </x:c>
      <x:c r="CH62" s="141" t="n">
        <x:f>IF(CC62&gt;1,"Inviavel",CG62)</x:f>
        <x:v>684156.3522447956</x:v>
      </x:c>
      <x:c r="CI62" s="145" t="str">
        <x:f>IF(CC62&gt;1,"Inviavel","OK")</x:f>
        <x:v>OK</x:v>
      </x:c>
    </x:row>
    <x:row r="63">
      <x:c r="A63" s="142" t="n">
        <x:v>59</x:v>
      </x:c>
      <x:c r="B63" s="179" t="n">
        <x:f>EDATE(Premissas!$B$4,A63-1)</x:f>
        <x:v>48305</x:v>
      </x:c>
      <x:c r="C63" s="141" t="n">
        <x:f>IF(A63&lt;=Premissas!$B$39,Premissas!$B$42,0)</x:f>
        <x:v>7000</x:v>
      </x:c>
      <x:c r="D63" s="141" t="n">
        <x:f>Premissas!$B$54*(1+Premissas!$B$57)^INT((A63-1)/12)</x:f>
        <x:v>883.7338720000002</x:v>
      </x:c>
      <x:c r="E63" s="141" t="n">
        <x:f>Premissas!$B$64*(1+Premissas!$B$57)^INT((A63-1)/12)</x:f>
        <x:v>807.9852544000003</x:v>
      </x:c>
      <x:c r="F63" s="141" t="n">
        <x:f>MAX(0,Premissas!$B$6*(1+Premissas!$B$66)^((A63-1)/12))</x:f>
        <x:v>265058.46451930347</x:v>
      </x:c>
      <x:c r="G63" s="141" t="n">
        <x:f>G62*(1+Premissas!$B$41)+C63</x:f>
        <x:v>705811.4705989752</x:v>
      </x:c>
      <x:c r="H63" s="141" t="n">
        <x:f>IF($A63=Premissas!$B$48,Premissas!$B$8,0)</x:f>
        <x:v>0</x:v>
      </x:c>
      <x:c r="I63" s="141" t="n">
        <x:f>IF(AND($A63&gt;=Premissas!$B$48,$A63-Premissas!$B$48+1&lt;=Premissas!$B$13),INDEX(Financiamento!$J$6:$J$485,$A63-Premissas!$B$48+1),0)</x:f>
        <x:v>1839.502111359646</x:v>
      </x:c>
      <x:c r="J63" s="141" t="n">
        <x:f>IF(AND(TRUE,Premissas!$B$11="Imovel",Premissas!$B$47="Moradia",$A63&lt;MAX(Premissas!$B$48,Premissas!$B$49)),$D63,0)</x:f>
        <x:v>0</x:v>
      </x:c>
      <x:c r="K63" s="141" t="n">
        <x:f>IF(AND(TRUE,Premissas!$B$11="Imovel",Premissas!$B$47="Investimento",$A63&gt;=MAX(Premissas!$B$48,Premissas!$B$49)),$E63,0)</x:f>
        <x:v>807.9852544000003</x:v>
      </x:c>
      <x:c r="L63" s="141" t="n">
        <x:f>H63+I63+J63</x:f>
        <x:v>1839.502111359646</x:v>
      </x:c>
      <x:c r="M63" s="141" t="n">
        <x:f>K63</x:f>
        <x:v>807.9852544000003</x:v>
      </x:c>
      <x:c r="N63" s="141" t="n">
        <x:f>$C63+M63-L63</x:f>
        <x:v>5968.483143040355</x:v>
      </x:c>
      <x:c r="O63" s="141" t="n">
        <x:f>R62*(1+Premissas!$B$41)+N63</x:f>
        <x:v>538920.4658784453</x:v>
      </x:c>
      <x:c r="P63" s="141" t="n">
        <x:f>MAX(0,-O63)</x:f>
        <x:v>0</x:v>
      </x:c>
      <x:c r="Q63" s="141" t="n">
        <x:f>Q62*(1+Premissas!$B$41)+P63</x:f>
        <x:v>0</x:v>
      </x:c>
      <x:c r="R63" s="141" t="n">
        <x:f>MAX(0,O63)</x:f>
        <x:v>538920.4658784453</x:v>
      </x:c>
      <x:c r="S63" s="141" t="n">
        <x:f>IF(AND($A63&gt;=Premissas!$B$48,$A63-Premissas!$B$48+1&lt;=Premissas!$B$13),INDEX(Financiamento!$M$6:$M$485,$A63-Premissas!$B$48+1),0)</x:f>
        <x:v>137523.80952380976</x:v>
      </x:c>
      <x:c r="T63" s="141" t="n">
        <x:f>IF($A63&gt;=Premissas!$B$48,$F63,0)</x:f>
        <x:v>265058.46451930347</x:v>
      </x:c>
      <x:c r="U63" s="141" t="n">
        <x:f>R63+T63-S63</x:f>
        <x:v>666455.120873939</x:v>
      </x:c>
      <x:c r="V63" s="141" t="n">
        <x:f>IF(Q63&gt;1,"Inviavel",U63)</x:f>
        <x:v>666455.120873939</x:v>
      </x:c>
      <x:c r="W63" s="141" t="str">
        <x:f>IF(Q63&gt;1,"Inviavel","OK")</x:f>
        <x:v>OK</x:v>
      </x:c>
      <x:c r="X63" s="141" t="n">
        <x:f>IF($A63=Premissas!$B$48,Premissas!$B$8,0)</x:f>
        <x:v>0</x:v>
      </x:c>
      <x:c r="Y63" s="141" t="n">
        <x:f>IF(AND($A63&gt;=Premissas!$B$48,$A63-Premissas!$B$48+1&lt;=Premissas!$B$13),INDEX(Amortizacao!$K$6:$K$485,$A63-Premissas!$B$48+1),0)</x:f>
        <x:v>0</x:v>
      </x:c>
      <x:c r="Z63" s="141" t="n">
        <x:f>IF(AND(TRUE,Premissas!$B$11="Imovel",Premissas!$B$47="Moradia",$A63&lt;MAX(Premissas!$B$48,Premissas!$B$49)),$D63,0)</x:f>
        <x:v>0</x:v>
      </x:c>
      <x:c r="AA63" s="141" t="n">
        <x:f>IF(AND(TRUE,Premissas!$B$11="Imovel",Premissas!$B$47="Investimento",$A63&gt;=MAX(Premissas!$B$48,Premissas!$B$49)),$E63,0)</x:f>
        <x:v>807.9852544000003</x:v>
      </x:c>
      <x:c r="AB63" s="141" t="n">
        <x:f>X63+Y63+Z63</x:f>
        <x:v>0</x:v>
      </x:c>
      <x:c r="AC63" s="141" t="n">
        <x:f>AA63</x:f>
        <x:v>807.9852544000003</x:v>
      </x:c>
      <x:c r="AD63" s="141" t="n">
        <x:f>$C63+AC63-AB63</x:f>
        <x:v>7807.9852544000005</x:v>
      </x:c>
      <x:c r="AE63" s="141" t="n">
        <x:f>AH62*(1+Premissas!$B$41)+AD63</x:f>
        <x:v>406974.47426214186</x:v>
      </x:c>
      <x:c r="AF63" s="141" t="n">
        <x:f>MAX(0,-AE63)</x:f>
        <x:v>0</x:v>
      </x:c>
      <x:c r="AG63" s="141" t="n">
        <x:f>AG62*(1+Premissas!$B$41)+AF63</x:f>
        <x:v>0</x:v>
      </x:c>
      <x:c r="AH63" s="141" t="n">
        <x:f>MAX(0,AE63)</x:f>
        <x:v>406974.47426214186</x:v>
      </x:c>
      <x:c r="AI63" s="141" t="n">
        <x:f>IF(AND($A63&gt;=Premissas!$B$48,$A63-Premissas!$B$48+1&lt;=Premissas!$B$13),INDEX(Amortizacao!$L$6:$L$485,$A63-Premissas!$B$48+1),0)</x:f>
        <x:v>0</x:v>
      </x:c>
      <x:c r="AJ63" s="141" t="n">
        <x:f>IF($A63&gt;=Premissas!$B$48,$F63,0)</x:f>
        <x:v>265058.46451930347</x:v>
      </x:c>
      <x:c r="AK63" s="141" t="n">
        <x:f>AH63+AJ63-AI63</x:f>
        <x:v>672032.9387814454</x:v>
      </x:c>
      <x:c r="AL63" s="141" t="n">
        <x:f>IF(AG63&gt;1,"Inviavel",AK63)</x:f>
        <x:v>672032.9387814454</x:v>
      </x:c>
      <x:c r="AM63" s="141" t="str">
        <x:f>IF(AG63&gt;1,"Inviavel","OK")</x:f>
        <x:v>OK</x:v>
      </x:c>
      <x:c r="AN63" s="141" t="n">
        <x:f>IF($A63=Premissas!$B$48,Premissas!$B$8,0)</x:f>
        <x:v>0</x:v>
      </x:c>
      <x:c r="AO63" s="141" t="n">
        <x:f>IF($A63&lt;=Premissas!$B$25,INDEX('Consorcio IQ'!$K$6:$K$485,$A63),0)</x:f>
        <x:v>2559.7021113596475</x:v>
      </x:c>
      <x:c r="AP63" s="141" t="n">
        <x:f>IF(AND(TRUE,Premissas!$B$11="Imovel",Premissas!$B$47="Moradia",$A63&lt;MAX(Premissas!$B$48,Premissas!$B$49)),$D63,0)</x:f>
        <x:v>0</x:v>
      </x:c>
      <x:c r="AQ63" s="141" t="n">
        <x:f>IF(AND(TRUE,Premissas!$B$11="Imovel",Premissas!$B$47="Investimento",$A63&gt;=MAX(Premissas!$B$48,Premissas!$B$49)),$E63,0)</x:f>
        <x:v>807.9852544000003</x:v>
      </x:c>
      <x:c r="AR63" s="141" t="n">
        <x:f>AN63+AO63+AP63</x:f>
        <x:v>2559.7021113596475</x:v>
      </x:c>
      <x:c r="AS63" s="141" t="n">
        <x:f>AQ63</x:f>
        <x:v>807.9852544000003</x:v>
      </x:c>
      <x:c r="AT63" s="141" t="n">
        <x:f>$C63+AS63-AR63</x:f>
        <x:v>5248.283143040353</x:v>
      </x:c>
      <x:c r="AU63" s="141" t="n">
        <x:f>AX62*(1+Premissas!$B$41)+AT63</x:f>
        <x:v>489117.5484313931</x:v>
      </x:c>
      <x:c r="AV63" s="141" t="n">
        <x:f>MAX(0,-AU63)</x:f>
        <x:v>0</x:v>
      </x:c>
      <x:c r="AW63" s="141" t="n">
        <x:f>AW62*(1+Premissas!$B$41)+AV63</x:f>
        <x:v>0</x:v>
      </x:c>
      <x:c r="AX63" s="141" t="n">
        <x:f>MAX(0,AU63)</x:f>
        <x:v>489117.5484313931</x:v>
      </x:c>
      <x:c r="AY63" s="141" t="n">
        <x:f>INDEX('Consorcio IQ'!$P$6:$P$485,$A63)</x:f>
        <x:v>227842.7529508985</x:v>
      </x:c>
      <x:c r="AZ63" s="141" t="n">
        <x:f>IF($A63&gt;=Premissas!$B$48,$F63,0)+IF($A63&lt;Premissas!$B$27,INDEX('Consorcio IQ'!$O$6:$O$485,$A63),0)</x:f>
        <x:v>400912.23338005843</x:v>
      </x:c>
      <x:c r="BA63" s="141" t="n">
        <x:f>AX63+AZ63-AY63</x:f>
        <x:v>662187.028860553</x:v>
      </x:c>
      <x:c r="BB63" s="141" t="n">
        <x:f>IF(AW63&gt;1,"Inviavel",BA63)</x:f>
        <x:v>662187.028860553</x:v>
      </x:c>
      <x:c r="BC63" s="141" t="str">
        <x:f>IF(AW63&gt;1,"Inviavel","OK")</x:f>
        <x:v>OK</x:v>
      </x:c>
      <x:c r="BD63" s="141" t="n">
        <x:f>IF($A63='Consorcio Direto'!$B$29,'Consorcio Direto'!$B$44,0)</x:f>
        <x:v>0</x:v>
      </x:c>
      <x:c r="BE63" s="141" t="n">
        <x:f>IF($A63&lt;='Consorcio Direto'!$B$27,INDEX('Consorcio Direto'!$E$55:$E$534,$A63),0)</x:f>
        <x:v>1864.9584501396378</x:v>
      </x:c>
      <x:c r="BF63" s="141" t="n">
        <x:f>IF(AND(TRUE,Premissas!$B$11="Imovel",Premissas!$B$47="Moradia",$A63&lt;MAX('Consorcio Direto'!$B$29,Premissas!$B$49)),$D63,0)</x:f>
        <x:v>0</x:v>
      </x:c>
      <x:c r="BG63" s="141" t="n">
        <x:f>IF(AND(TRUE,Premissas!$B$11="Imovel",Premissas!$B$47="Investimento",$A63&gt;=MAX('Consorcio Direto'!$B$29,Premissas!$B$49)),$E63,0)</x:f>
        <x:v>0</x:v>
      </x:c>
      <x:c r="BH63" s="141" t="n">
        <x:f>BD63+BE63+BF63</x:f>
        <x:v>1864.9584501396378</x:v>
      </x:c>
      <x:c r="BI63" s="141" t="n">
        <x:f>BG63</x:f>
        <x:v>0</x:v>
      </x:c>
      <x:c r="BJ63" s="141" t="n">
        <x:f>$C63+BI63-BH63</x:f>
        <x:v>5135.0415498603625</x:v>
      </x:c>
      <x:c r="BK63" s="141" t="n">
        <x:f>BN62*(1+Premissas!$B$41)+BJ63</x:f>
        <x:v>576846.7778268465</x:v>
      </x:c>
      <x:c r="BL63" s="141" t="n">
        <x:f>MAX(0,-BK63)</x:f>
        <x:v>0</x:v>
      </x:c>
      <x:c r="BM63" s="141" t="n">
        <x:f>BM62*(1+Premissas!$B$41)+BL63</x:f>
        <x:v>0</x:v>
      </x:c>
      <x:c r="BN63" s="141" t="n">
        <x:f>MAX(0,BK63)</x:f>
        <x:v>576846.7778268465</x:v>
      </x:c>
      <x:c r="BO63" s="141" t="n">
        <x:f>INDEX('Consorcio Direto'!$K$55:$K$534,$A63)</x:f>
        <x:v>233880.97299643554</x:v>
      </x:c>
      <x:c r="BP63" s="141" t="n">
        <x:f>IF($A63&lt;'Consorcio Direto'!$B$29,INDEX('Consorcio Direto'!$L$55:$L$534,$A63),$F63)</x:f>
        <x:v>263845.0786797227</x:v>
      </x:c>
      <x:c r="BQ63" s="141" t="n">
        <x:f>BN63+BP63-BO63</x:f>
        <x:v>606810.8835101335</x:v>
      </x:c>
      <x:c r="BR63" s="141" t="n">
        <x:f>IF(BM63&gt;1,"Inviavel",BQ63)</x:f>
        <x:v>606810.8835101335</x:v>
      </x:c>
      <x:c r="BS63" s="141" t="str">
        <x:f>IF(BM63&gt;1,"Inviavel","OK")</x:f>
        <x:v>OK</x:v>
      </x:c>
      <x:c r="BT63" s="141" t="n">
        <x:f>IF(AND('Carta Contemplada'!$B$22="Sim",$A63='Carta Contemplada'!$B$23),'Carta Contemplada'!$B$37,0)</x:f>
        <x:v>0</x:v>
      </x:c>
      <x:c r="BU63" s="141" t="n">
        <x:f>IF('Carta Contemplada'!$B$22="Sim",INDEX('Carta Contemplada'!$C$55:$C$1013,$A63),0)</x:f>
        <x:v>1514.9723520000005</x:v>
      </x:c>
      <x:c r="BV63" s="141" t="n">
        <x:f>IF(AND('Carta Contemplada'!$B$22="Sim",Premissas!$B$11="Imovel",Premissas!$B$47="Moradia",$A63&lt;MAX('Carta Contemplada'!$B$44,Premissas!$B$49)),$D63,0)</x:f>
        <x:v>0</x:v>
      </x:c>
      <x:c r="BW63" s="141" t="n">
        <x:f>IF(AND('Carta Contemplada'!$B$22="Sim",Premissas!$B$11="Imovel",Premissas!$B$47="Investimento",$A63&gt;=MAX('Carta Contemplada'!$B$44,Premissas!$B$49)),$E63,0)</x:f>
        <x:v>807.9852544000003</x:v>
      </x:c>
      <x:c r="BX63" s="141" t="n">
        <x:f>BT63+BU63+BV63</x:f>
        <x:v>1514.9723520000005</x:v>
      </x:c>
      <x:c r="BY63" s="141" t="n">
        <x:f>BW63</x:f>
        <x:v>807.9852544000003</x:v>
      </x:c>
      <x:c r="BZ63" s="141" t="n">
        <x:f>$C63+BY63-BX63</x:f>
        <x:v>6293.0129024</x:v>
      </x:c>
      <x:c r="CA63" s="141" t="n">
        <x:f>CD62*(1+Premissas!$B$41)+BZ63</x:f>
        <x:v>575642.0071365897</x:v>
      </x:c>
      <x:c r="CB63" s="141" t="n">
        <x:f>MAX(0,-CA63)</x:f>
        <x:v>0</x:v>
      </x:c>
      <x:c r="CC63" s="141" t="n">
        <x:f>CC62*(1+Premissas!$B$41)+CB63</x:f>
        <x:v>0</x:v>
      </x:c>
      <x:c r="CD63" s="141" t="n">
        <x:f>MAX(0,CA63)</x:f>
        <x:v>575642.0071365897</x:v>
      </x:c>
      <x:c r="CE63" s="141" t="n">
        <x:f>IF(AND('Carta Contemplada'!$B$22="Sim",$A63&gt;='Carta Contemplada'!$B$23),INDEX('Carta Contemplada'!$I$55:$I$1013,$A63),0)</x:f>
        <x:v>143463.2822231516</x:v>
      </x:c>
      <x:c r="CF63" s="141" t="n">
        <x:f>IF(AND('Carta Contemplada'!$B$22="Sim",$A63&gt;='Carta Contemplada'!$B$44),$F63,0)</x:f>
        <x:v>265058.46451930347</x:v>
      </x:c>
      <x:c r="CG63" s="141" t="n">
        <x:f>CD63+CF63-CE63</x:f>
        <x:v>697237.1894327416</x:v>
      </x:c>
      <x:c r="CH63" s="141" t="n">
        <x:f>IF(CC63&gt;1,"Inviavel",CG63)</x:f>
        <x:v>697237.1894327416</x:v>
      </x:c>
      <x:c r="CI63" s="145" t="str">
        <x:f>IF(CC63&gt;1,"Inviavel","OK")</x:f>
        <x:v>OK</x:v>
      </x:c>
    </x:row>
    <x:row r="64">
      <x:c r="A64" s="142" t="n">
        <x:v>60</x:v>
      </x:c>
      <x:c r="B64" s="179" t="n">
        <x:f>EDATE(Premissas!$B$4,A64-1)</x:f>
        <x:v>48335</x:v>
      </x:c>
      <x:c r="C64" s="141" t="n">
        <x:f>IF(A64&lt;=Premissas!$B$39,Premissas!$B$42,0)</x:f>
        <x:v>7000</x:v>
      </x:c>
      <x:c r="D64" s="141" t="n">
        <x:f>Premissas!$B$54*(1+Premissas!$B$57)^INT((A64-1)/12)</x:f>
        <x:v>883.7338720000002</x:v>
      </x:c>
      <x:c r="E64" s="141" t="n">
        <x:f>Premissas!$B$64*(1+Premissas!$B$57)^INT((A64-1)/12)</x:f>
        <x:v>807.9852544000003</x:v>
      </x:c>
      <x:c r="F64" s="141" t="n">
        <x:f>MAX(0,Premissas!$B$6*(1+Premissas!$B$66)^((A64-1)/12))</x:f>
        <x:v>266348.64999812335</x:v>
      </x:c>
      <x:c r="G64" s="141" t="n">
        <x:f>G63*(1+Premissas!$B$41)+C64</x:f>
        <x:v>719508.7694943424</x:v>
      </x:c>
      <x:c r="H64" s="141" t="n">
        <x:f>IF($A64=Premissas!$B$48,Premissas!$B$8,0)</x:f>
        <x:v>0</x:v>
      </x:c>
      <x:c r="I64" s="141" t="n">
        <x:f>IF(AND($A64&gt;=Premissas!$B$48,$A64-Premissas!$B$48+1&lt;=Premissas!$B$13),INDEX(Financiamento!$J$6:$J$485,$A64-Premissas!$B$48+1),0)</x:f>
        <x:v>1835.8873330988522</x:v>
      </x:c>
      <x:c r="J64" s="141" t="n">
        <x:f>IF(AND(TRUE,Premissas!$B$11="Imovel",Premissas!$B$47="Moradia",$A64&lt;MAX(Premissas!$B$48,Premissas!$B$49)),$D64,0)</x:f>
        <x:v>0</x:v>
      </x:c>
      <x:c r="K64" s="141" t="n">
        <x:f>IF(AND(TRUE,Premissas!$B$11="Imovel",Premissas!$B$47="Investimento",$A64&gt;=MAX(Premissas!$B$48,Premissas!$B$49)),$E64,0)</x:f>
        <x:v>807.9852544000003</x:v>
      </x:c>
      <x:c r="L64" s="141" t="n">
        <x:f>H64+I64+J64</x:f>
        <x:v>1835.8873330988522</x:v>
      </x:c>
      <x:c r="M64" s="141" t="n">
        <x:f>K64</x:f>
        <x:v>807.9852544000003</x:v>
      </x:c>
      <x:c r="N64" s="141" t="n">
        <x:f>$C64+M64-L64</x:f>
        <x:v>5972.097921301149</x:v>
      </x:c>
      <x:c r="O64" s="141" t="n">
        <x:f>R63*(1+Premissas!$B$41)+N64</x:f>
        <x:v>550006.2685086761</x:v>
      </x:c>
      <x:c r="P64" s="141" t="n">
        <x:f>MAX(0,-O64)</x:f>
        <x:v>0</x:v>
      </x:c>
      <x:c r="Q64" s="141" t="n">
        <x:f>Q63*(1+Premissas!$B$41)+P64</x:f>
        <x:v>0</x:v>
      </x:c>
      <x:c r="R64" s="141" t="n">
        <x:f>MAX(0,O64)</x:f>
        <x:v>550006.2685086761</x:v>
      </x:c>
      <x:c r="S64" s="141" t="n">
        <x:f>IF(AND($A64&gt;=Premissas!$B$48,$A64-Premissas!$B$48+1&lt;=Premissas!$B$13),INDEX(Financiamento!$M$6:$M$485,$A64-Premissas!$B$48+1),0)</x:f>
        <x:v>137142.8571428574</x:v>
      </x:c>
      <x:c r="T64" s="141" t="n">
        <x:f>IF($A64&gt;=Premissas!$B$48,$F64,0)</x:f>
        <x:v>266348.64999812335</x:v>
      </x:c>
      <x:c r="U64" s="141" t="n">
        <x:f>R64+T64-S64</x:f>
        <x:v>679212.0613639421</x:v>
      </x:c>
      <x:c r="V64" s="141" t="n">
        <x:f>IF(Q64&gt;1,"Inviavel",U64)</x:f>
        <x:v>679212.0613639421</x:v>
      </x:c>
      <x:c r="W64" s="141" t="str">
        <x:f>IF(Q64&gt;1,"Inviavel","OK")</x:f>
        <x:v>OK</x:v>
      </x:c>
      <x:c r="X64" s="141" t="n">
        <x:f>IF($A64=Premissas!$B$48,Premissas!$B$8,0)</x:f>
        <x:v>0</x:v>
      </x:c>
      <x:c r="Y64" s="141" t="n">
        <x:f>IF(AND($A64&gt;=Premissas!$B$48,$A64-Premissas!$B$48+1&lt;=Premissas!$B$13),INDEX(Amortizacao!$K$6:$K$485,$A64-Premissas!$B$48+1),0)</x:f>
        <x:v>0</x:v>
      </x:c>
      <x:c r="Z64" s="141" t="n">
        <x:f>IF(AND(TRUE,Premissas!$B$11="Imovel",Premissas!$B$47="Moradia",$A64&lt;MAX(Premissas!$B$48,Premissas!$B$49)),$D64,0)</x:f>
        <x:v>0</x:v>
      </x:c>
      <x:c r="AA64" s="141" t="n">
        <x:f>IF(AND(TRUE,Premissas!$B$11="Imovel",Premissas!$B$47="Investimento",$A64&gt;=MAX(Premissas!$B$48,Premissas!$B$49)),$E64,0)</x:f>
        <x:v>807.9852544000003</x:v>
      </x:c>
      <x:c r="AB64" s="141" t="n">
        <x:f>X64+Y64+Z64</x:f>
        <x:v>0</x:v>
      </x:c>
      <x:c r="AC64" s="141" t="n">
        <x:f>AA64</x:f>
        <x:v>807.9852544000003</x:v>
      </x:c>
      <x:c r="AD64" s="141" t="n">
        <x:f>$C64+AC64-AB64</x:f>
        <x:v>7807.9852544000005</x:v>
      </x:c>
      <x:c r="AE64" s="141" t="n">
        <x:f>AH63*(1+Premissas!$B$41)+AD64</x:f>
        <x:v>418644.1560324761</x:v>
      </x:c>
      <x:c r="AF64" s="141" t="n">
        <x:f>MAX(0,-AE64)</x:f>
        <x:v>0</x:v>
      </x:c>
      <x:c r="AG64" s="141" t="n">
        <x:f>AG63*(1+Premissas!$B$41)+AF64</x:f>
        <x:v>0</x:v>
      </x:c>
      <x:c r="AH64" s="141" t="n">
        <x:f>MAX(0,AE64)</x:f>
        <x:v>418644.1560324761</x:v>
      </x:c>
      <x:c r="AI64" s="141" t="n">
        <x:f>IF(AND($A64&gt;=Premissas!$B$48,$A64-Premissas!$B$48+1&lt;=Premissas!$B$13),INDEX(Amortizacao!$L$6:$L$485,$A64-Premissas!$B$48+1),0)</x:f>
        <x:v>0</x:v>
      </x:c>
      <x:c r="AJ64" s="141" t="n">
        <x:f>IF($A64&gt;=Premissas!$B$48,$F64,0)</x:f>
        <x:v>266348.64999812335</x:v>
      </x:c>
      <x:c r="AK64" s="141" t="n">
        <x:f>AH64+AJ64-AI64</x:f>
        <x:v>684992.8060305994</x:v>
      </x:c>
      <x:c r="AL64" s="141" t="n">
        <x:f>IF(AG64&gt;1,"Inviavel",AK64)</x:f>
        <x:v>684992.8060305994</x:v>
      </x:c>
      <x:c r="AM64" s="141" t="str">
        <x:f>IF(AG64&gt;1,"Inviavel","OK")</x:f>
        <x:v>OK</x:v>
      </x:c>
      <x:c r="AN64" s="141" t="n">
        <x:f>IF($A64=Premissas!$B$48,Premissas!$B$8,0)</x:f>
        <x:v>0</x:v>
      </x:c>
      <x:c r="AO64" s="141" t="n">
        <x:f>IF($A64&lt;=Premissas!$B$25,INDEX('Consorcio IQ'!$K$6:$K$485,$A64),0)</x:f>
        <x:v>2556.0873330988534</x:v>
      </x:c>
      <x:c r="AP64" s="141" t="n">
        <x:f>IF(AND(TRUE,Premissas!$B$11="Imovel",Premissas!$B$47="Moradia",$A64&lt;MAX(Premissas!$B$48,Premissas!$B$49)),$D64,0)</x:f>
        <x:v>0</x:v>
      </x:c>
      <x:c r="AQ64" s="141" t="n">
        <x:f>IF(AND(TRUE,Premissas!$B$11="Imovel",Premissas!$B$47="Investimento",$A64&gt;=MAX(Premissas!$B$48,Premissas!$B$49)),$E64,0)</x:f>
        <x:v>807.9852544000003</x:v>
      </x:c>
      <x:c r="AR64" s="141" t="n">
        <x:f>AN64+AO64+AP64</x:f>
        <x:v>2556.0873330988534</x:v>
      </x:c>
      <x:c r="AS64" s="141" t="n">
        <x:f>AQ64</x:f>
        <x:v>807.9852544000003</x:v>
      </x:c>
      <x:c r="AT64" s="141" t="n">
        <x:f>$C64+AS64-AR64</x:f>
        <x:v>5251.897921301147</x:v>
      </x:c>
      <x:c r="AU64" s="141" t="n">
        <x:f>AX63*(1+Premissas!$B$41)+AT64</x:f>
        <x:v>499010.58149043063</x:v>
      </x:c>
      <x:c r="AV64" s="141" t="n">
        <x:f>MAX(0,-AU64)</x:f>
        <x:v>0</x:v>
      </x:c>
      <x:c r="AW64" s="141" t="n">
        <x:f>AW63*(1+Premissas!$B$41)+AV64</x:f>
        <x:v>0</x:v>
      </x:c>
      <x:c r="AX64" s="141" t="n">
        <x:f>MAX(0,AU64)</x:f>
        <x:v>499010.58149043063</x:v>
      </x:c>
      <x:c r="AY64" s="141" t="n">
        <x:f>INDEX('Consorcio IQ'!$P$6:$P$485,$A64)</x:f>
        <x:v>90455.7611793387</x:v>
      </x:c>
      <x:c r="AZ64" s="141" t="n">
        <x:f>IF($A64&gt;=Premissas!$B$48,$F64,0)+IF($A64&lt;Premissas!$B$27,INDEX('Consorcio IQ'!$O$6:$O$485,$A64),0)</x:f>
        <x:v>266348.64999812335</x:v>
      </x:c>
      <x:c r="BA64" s="141" t="n">
        <x:f>AX64+AZ64-AY64</x:f>
        <x:v>674903.4703092154</x:v>
      </x:c>
      <x:c r="BB64" s="141" t="n">
        <x:f>IF(AW64&gt;1,"Inviavel",BA64)</x:f>
        <x:v>674903.4703092154</x:v>
      </x:c>
      <x:c r="BC64" s="141" t="str">
        <x:f>IF(AW64&gt;1,"Inviavel","OK")</x:f>
        <x:v>OK</x:v>
      </x:c>
      <x:c r="BD64" s="141" t="n">
        <x:f>IF($A64='Consorcio Direto'!$B$29,'Consorcio Direto'!$B$44,0)</x:f>
        <x:v>0</x:v>
      </x:c>
      <x:c r="BE64" s="141" t="n">
        <x:f>IF($A64&lt;='Consorcio Direto'!$B$27,INDEX('Consorcio Direto'!$E$55:$E$534,$A64),0)</x:f>
        <x:v>1864.9584501396378</x:v>
      </x:c>
      <x:c r="BF64" s="141" t="n">
        <x:f>IF(AND(TRUE,Premissas!$B$11="Imovel",Premissas!$B$47="Moradia",$A64&lt;MAX('Consorcio Direto'!$B$29,Premissas!$B$49)),$D64,0)</x:f>
        <x:v>0</x:v>
      </x:c>
      <x:c r="BG64" s="141" t="n">
        <x:f>IF(AND(TRUE,Premissas!$B$11="Imovel",Premissas!$B$47="Investimento",$A64&gt;=MAX('Consorcio Direto'!$B$29,Premissas!$B$49)),$E64,0)</x:f>
        <x:v>807.9852544000003</x:v>
      </x:c>
      <x:c r="BH64" s="141" t="n">
        <x:f>BD64+BE64+BF64</x:f>
        <x:v>1864.9584501396378</x:v>
      </x:c>
      <x:c r="BI64" s="141" t="n">
        <x:f>BG64</x:f>
        <x:v>807.9852544000003</x:v>
      </x:c>
      <x:c r="BJ64" s="141" t="n">
        <x:f>$C64+BI64-BH64</x:f>
        <x:v>5943.026804260363</x:v>
      </x:c>
      <x:c r="BK64" s="141" t="n">
        <x:f>BN63*(1+Premissas!$B$41)+BJ64</x:f>
        <x:v>588263.3842608872</x:v>
      </x:c>
      <x:c r="BL64" s="141" t="n">
        <x:f>MAX(0,-BK64)</x:f>
        <x:v>0</x:v>
      </x:c>
      <x:c r="BM64" s="141" t="n">
        <x:f>BM63*(1+Premissas!$B$41)+BL64</x:f>
        <x:v>0</x:v>
      </x:c>
      <x:c r="BN64" s="141" t="n">
        <x:f>MAX(0,BK64)</x:f>
        <x:v>588263.3842608872</x:v>
      </x:c>
      <x:c r="BO64" s="141" t="n">
        <x:f>INDEX('Consorcio Direto'!$K$55:$K$534,$A64)</x:f>
        <x:v>234235.26267039787</x:v>
      </x:c>
      <x:c r="BP64" s="141" t="n">
        <x:f>IF($A64&lt;'Consorcio Direto'!$B$29,INDEX('Consorcio Direto'!$L$55:$L$534,$A64),$F64)</x:f>
        <x:v>266348.64999812335</x:v>
      </x:c>
      <x:c r="BQ64" s="141" t="n">
        <x:f>BN64+BP64-BO64</x:f>
        <x:v>620376.7715886127</x:v>
      </x:c>
      <x:c r="BR64" s="141" t="n">
        <x:f>IF(BM64&gt;1,"Inviavel",BQ64)</x:f>
        <x:v>620376.7715886127</x:v>
      </x:c>
      <x:c r="BS64" s="141" t="str">
        <x:f>IF(BM64&gt;1,"Inviavel","OK")</x:f>
        <x:v>OK</x:v>
      </x:c>
      <x:c r="BT64" s="141" t="n">
        <x:f>IF(AND('Carta Contemplada'!$B$22="Sim",$A64='Carta Contemplada'!$B$23),'Carta Contemplada'!$B$37,0)</x:f>
        <x:v>0</x:v>
      </x:c>
      <x:c r="BU64" s="141" t="n">
        <x:f>IF('Carta Contemplada'!$B$22="Sim",INDEX('Carta Contemplada'!$C$55:$C$1013,$A64),0)</x:f>
        <x:v>1514.9723520000005</x:v>
      </x:c>
      <x:c r="BV64" s="141" t="n">
        <x:f>IF(AND('Carta Contemplada'!$B$22="Sim",Premissas!$B$11="Imovel",Premissas!$B$47="Moradia",$A64&lt;MAX('Carta Contemplada'!$B$44,Premissas!$B$49)),$D64,0)</x:f>
        <x:v>0</x:v>
      </x:c>
      <x:c r="BW64" s="141" t="n">
        <x:f>IF(AND('Carta Contemplada'!$B$22="Sim",Premissas!$B$11="Imovel",Premissas!$B$47="Investimento",$A64&gt;=MAX('Carta Contemplada'!$B$44,Premissas!$B$49)),$E64,0)</x:f>
        <x:v>807.9852544000003</x:v>
      </x:c>
      <x:c r="BX64" s="141" t="n">
        <x:f>BT64+BU64+BV64</x:f>
        <x:v>1514.9723520000005</x:v>
      </x:c>
      <x:c r="BY64" s="141" t="n">
        <x:f>BW64</x:f>
        <x:v>807.9852544000003</x:v>
      </x:c>
      <x:c r="BZ64" s="141" t="n">
        <x:f>$C64+BY64-BX64</x:f>
        <x:v>6293.0129024</x:v>
      </x:c>
      <x:c r="CA64" s="141" t="n">
        <x:f>CD63*(1+Premissas!$B$41)+BZ64</x:f>
        <x:v>587397.1678491565</x:v>
      </x:c>
      <x:c r="CB64" s="141" t="n">
        <x:f>MAX(0,-CA64)</x:f>
        <x:v>0</x:v>
      </x:c>
      <x:c r="CC64" s="141" t="n">
        <x:f>CC63*(1+Premissas!$B$41)+CB64</x:f>
        <x:v>0</x:v>
      </x:c>
      <x:c r="CD64" s="141" t="n">
        <x:f>MAX(0,CA64)</x:f>
        <x:v>587397.1678491565</x:v>
      </x:c>
      <x:c r="CE64" s="141" t="n">
        <x:f>IF(AND('Carta Contemplada'!$B$22="Sim",$A64&gt;='Carta Contemplada'!$B$23),INDEX('Carta Contemplada'!$I$55:$I$1013,$A64),0)</x:f>
        <x:v>143309.60324988273</x:v>
      </x:c>
      <x:c r="CF64" s="141" t="n">
        <x:f>IF(AND('Carta Contemplada'!$B$22="Sim",$A64&gt;='Carta Contemplada'!$B$44),$F64,0)</x:f>
        <x:v>266348.64999812335</x:v>
      </x:c>
      <x:c r="CG64" s="141" t="n">
        <x:f>CD64+CF64-CE64</x:f>
        <x:v>710436.2145973971</x:v>
      </x:c>
      <x:c r="CH64" s="141" t="n">
        <x:f>IF(CC64&gt;1,"Inviavel",CG64)</x:f>
        <x:v>710436.2145973971</x:v>
      </x:c>
      <x:c r="CI64" s="145" t="str">
        <x:f>IF(CC64&gt;1,"Inviavel","OK")</x:f>
        <x:v>OK</x:v>
      </x:c>
    </x:row>
    <x:row r="65">
      <x:c r="A65" s="142" t="n">
        <x:v>61</x:v>
      </x:c>
      <x:c r="B65" s="179" t="n">
        <x:f>EDATE(Premissas!$B$4,A65-1)</x:f>
        <x:v>48366</x:v>
      </x:c>
      <x:c r="C65" s="141" t="n">
        <x:f>IF(A65&lt;=Premissas!$B$39,Premissas!$B$42,0)</x:f>
        <x:v>7000</x:v>
      </x:c>
      <x:c r="D65" s="141" t="n">
        <x:f>Premissas!$B$54*(1+Premissas!$B$57)^INT((A65-1)/12)</x:f>
        <x:v>936.7579043200002</x:v>
      </x:c>
      <x:c r="E65" s="141" t="n">
        <x:f>Premissas!$B$64*(1+Premissas!$B$57)^INT((A65-1)/12)</x:f>
        <x:v>856.4643696640002</x:v>
      </x:c>
      <x:c r="F65" s="141" t="n">
        <x:f>MAX(0,Premissas!$B$6*(1+Premissas!$B$66)^((A65-1)/12))</x:f>
        <x:v>267645.11552000005</x:v>
      </x:c>
      <x:c r="G65" s="141" t="n">
        <x:f>G64*(1+Premissas!$B$41)+C65</x:f>
        <x:v>733336.0392226909</x:v>
      </x:c>
      <x:c r="H65" s="141" t="n">
        <x:f>IF($A65=Premissas!$B$48,Premissas!$B$8,0)</x:f>
        <x:v>0</x:v>
      </x:c>
      <x:c r="I65" s="141" t="n">
        <x:f>IF(AND($A65&gt;=Premissas!$B$48,$A65-Premissas!$B$48+1&lt;=Premissas!$B$13),INDEX(Financiamento!$J$6:$J$485,$A65-Premissas!$B$48+1),0)</x:f>
        <x:v>1832.2725548380588</x:v>
      </x:c>
      <x:c r="J65" s="141" t="n">
        <x:f>IF(AND(TRUE,Premissas!$B$11="Imovel",Premissas!$B$47="Moradia",$A65&lt;MAX(Premissas!$B$48,Premissas!$B$49)),$D65,0)</x:f>
        <x:v>0</x:v>
      </x:c>
      <x:c r="K65" s="141" t="n">
        <x:f>IF(AND(TRUE,Premissas!$B$11="Imovel",Premissas!$B$47="Investimento",$A65&gt;=MAX(Premissas!$B$48,Premissas!$B$49)),$E65,0)</x:f>
        <x:v>856.4643696640002</x:v>
      </x:c>
      <x:c r="L65" s="141" t="n">
        <x:f>H65+I65+J65</x:f>
        <x:v>1832.2725548380588</x:v>
      </x:c>
      <x:c r="M65" s="141" t="n">
        <x:f>K65</x:f>
        <x:v>856.4643696640002</x:v>
      </x:c>
      <x:c r="N65" s="141" t="n">
        <x:f>$C65+M65-L65</x:f>
        <x:v>6024.191814825942</x:v>
      </x:c>
      <x:c r="O65" s="141" t="n">
        <x:f>R64*(1+Premissas!$B$41)+N65</x:f>
        <x:v>561249.3559181036</x:v>
      </x:c>
      <x:c r="P65" s="141" t="n">
        <x:f>MAX(0,-O65)</x:f>
        <x:v>0</x:v>
      </x:c>
      <x:c r="Q65" s="141" t="n">
        <x:f>Q64*(1+Premissas!$B$41)+P65</x:f>
        <x:v>0</x:v>
      </x:c>
      <x:c r="R65" s="141" t="n">
        <x:f>MAX(0,O65)</x:f>
        <x:v>561249.3559181036</x:v>
      </x:c>
      <x:c r="S65" s="141" t="n">
        <x:f>IF(AND($A65&gt;=Premissas!$B$48,$A65-Premissas!$B$48+1&lt;=Premissas!$B$13),INDEX(Financiamento!$M$6:$M$485,$A65-Premissas!$B$48+1),0)</x:f>
        <x:v>136761.90476190503</x:v>
      </x:c>
      <x:c r="T65" s="141" t="n">
        <x:f>IF($A65&gt;=Premissas!$B$48,$F65,0)</x:f>
        <x:v>267645.11552000005</x:v>
      </x:c>
      <x:c r="U65" s="141" t="n">
        <x:f>R65+T65-S65</x:f>
        <x:v>692132.5666761985</x:v>
      </x:c>
      <x:c r="V65" s="141" t="n">
        <x:f>IF(Q65&gt;1,"Inviavel",U65)</x:f>
        <x:v>692132.5666761985</x:v>
      </x:c>
      <x:c r="W65" s="141" t="str">
        <x:f>IF(Q65&gt;1,"Inviavel","OK")</x:f>
        <x:v>OK</x:v>
      </x:c>
      <x:c r="X65" s="141" t="n">
        <x:f>IF($A65=Premissas!$B$48,Premissas!$B$8,0)</x:f>
        <x:v>0</x:v>
      </x:c>
      <x:c r="Y65" s="141" t="n">
        <x:f>IF(AND($A65&gt;=Premissas!$B$48,$A65-Premissas!$B$48+1&lt;=Premissas!$B$13),INDEX(Amortizacao!$K$6:$K$485,$A65-Premissas!$B$48+1),0)</x:f>
        <x:v>0</x:v>
      </x:c>
      <x:c r="Z65" s="141" t="n">
        <x:f>IF(AND(TRUE,Premissas!$B$11="Imovel",Premissas!$B$47="Moradia",$A65&lt;MAX(Premissas!$B$48,Premissas!$B$49)),$D65,0)</x:f>
        <x:v>0</x:v>
      </x:c>
      <x:c r="AA65" s="141" t="n">
        <x:f>IF(AND(TRUE,Premissas!$B$11="Imovel",Premissas!$B$47="Investimento",$A65&gt;=MAX(Premissas!$B$48,Premissas!$B$49)),$E65,0)</x:f>
        <x:v>856.4643696640002</x:v>
      </x:c>
      <x:c r="AB65" s="141" t="n">
        <x:f>X65+Y65+Z65</x:f>
        <x:v>0</x:v>
      </x:c>
      <x:c r="AC65" s="141" t="n">
        <x:f>AA65</x:f>
        <x:v>856.4643696640002</x:v>
      </x:c>
      <x:c r="AD65" s="141" t="n">
        <x:f>$C65+AC65-AB65</x:f>
        <x:v>7856.4643696640005</x:v>
      </x:c>
      <x:c r="AE65" s="141" t="n">
        <x:f>AH64*(1+Premissas!$B$41)+AD65</x:f>
        <x:v>430473.0481120056</x:v>
      </x:c>
      <x:c r="AF65" s="141" t="n">
        <x:f>MAX(0,-AE65)</x:f>
        <x:v>0</x:v>
      </x:c>
      <x:c r="AG65" s="141" t="n">
        <x:f>AG64*(1+Premissas!$B$41)+AF65</x:f>
        <x:v>0</x:v>
      </x:c>
      <x:c r="AH65" s="141" t="n">
        <x:f>MAX(0,AE65)</x:f>
        <x:v>430473.0481120056</x:v>
      </x:c>
      <x:c r="AI65" s="141" t="n">
        <x:f>IF(AND($A65&gt;=Premissas!$B$48,$A65-Premissas!$B$48+1&lt;=Premissas!$B$13),INDEX(Amortizacao!$L$6:$L$485,$A65-Premissas!$B$48+1),0)</x:f>
        <x:v>0</x:v>
      </x:c>
      <x:c r="AJ65" s="141" t="n">
        <x:f>IF($A65&gt;=Premissas!$B$48,$F65,0)</x:f>
        <x:v>267645.11552000005</x:v>
      </x:c>
      <x:c r="AK65" s="141" t="n">
        <x:f>AH65+AJ65-AI65</x:f>
        <x:v>698118.1636320057</x:v>
      </x:c>
      <x:c r="AL65" s="141" t="n">
        <x:f>IF(AG65&gt;1,"Inviavel",AK65)</x:f>
        <x:v>698118.1636320057</x:v>
      </x:c>
      <x:c r="AM65" s="141" t="str">
        <x:f>IF(AG65&gt;1,"Inviavel","OK")</x:f>
        <x:v>OK</x:v>
      </x:c>
      <x:c r="AN65" s="141" t="n">
        <x:f>IF($A65=Premissas!$B$48,Premissas!$B$8,0)</x:f>
        <x:v>0</x:v>
      </x:c>
      <x:c r="AO65" s="141" t="n">
        <x:f>IF($A65&lt;=Premissas!$B$25,INDEX('Consorcio IQ'!$K$6:$K$485,$A65),0)</x:f>
        <x:v>763.4120000000014</x:v>
      </x:c>
      <x:c r="AP65" s="141" t="n">
        <x:f>IF(AND(TRUE,Premissas!$B$11="Imovel",Premissas!$B$47="Moradia",$A65&lt;MAX(Premissas!$B$48,Premissas!$B$49)),$D65,0)</x:f>
        <x:v>0</x:v>
      </x:c>
      <x:c r="AQ65" s="141" t="n">
        <x:f>IF(AND(TRUE,Premissas!$B$11="Imovel",Premissas!$B$47="Investimento",$A65&gt;=MAX(Premissas!$B$48,Premissas!$B$49)),$E65,0)</x:f>
        <x:v>856.4643696640002</x:v>
      </x:c>
      <x:c r="AR65" s="141" t="n">
        <x:f>AN65+AO65+AP65</x:f>
        <x:v>763.4120000000014</x:v>
      </x:c>
      <x:c r="AS65" s="141" t="n">
        <x:f>AQ65</x:f>
        <x:v>856.4643696640002</x:v>
      </x:c>
      <x:c r="AT65" s="141" t="n">
        <x:f>$C65+AS65-AR65</x:f>
        <x:v>7093.052369663999</x:v>
      </x:c>
      <x:c r="AU65" s="141" t="n">
        <x:f>AX64*(1+Premissas!$B$41)+AT65</x:f>
        <x:v>510838.6419400232</x:v>
      </x:c>
      <x:c r="AV65" s="141" t="n">
        <x:f>MAX(0,-AU65)</x:f>
        <x:v>0</x:v>
      </x:c>
      <x:c r="AW65" s="141" t="n">
        <x:f>AW64*(1+Premissas!$B$41)+AV65</x:f>
        <x:v>0</x:v>
      </x:c>
      <x:c r="AX65" s="141" t="n">
        <x:f>MAX(0,AU65)</x:f>
        <x:v>510838.6419400232</x:v>
      </x:c>
      <x:c r="AY65" s="141" t="n">
        <x:f>INDEX('Consorcio IQ'!$P$6:$P$485,$A65)</x:f>
        <x:v>90550.66516690954</x:v>
      </x:c>
      <x:c r="AZ65" s="141" t="n">
        <x:f>IF($A65&gt;=Premissas!$B$48,$F65,0)+IF($A65&lt;Premissas!$B$27,INDEX('Consorcio IQ'!$O$6:$O$485,$A65),0)</x:f>
        <x:v>267645.11552000005</x:v>
      </x:c>
      <x:c r="BA65" s="141" t="n">
        <x:f>AX65+AZ65-AY65</x:f>
        <x:v>687933.0922931137</x:v>
      </x:c>
      <x:c r="BB65" s="141" t="n">
        <x:f>IF(AW65&gt;1,"Inviavel",BA65)</x:f>
        <x:v>687933.0922931137</x:v>
      </x:c>
      <x:c r="BC65" s="141" t="str">
        <x:f>IF(AW65&gt;1,"Inviavel","OK")</x:f>
        <x:v>OK</x:v>
      </x:c>
      <x:c r="BD65" s="141" t="n">
        <x:f>IF($A65='Consorcio Direto'!$B$29,'Consorcio Direto'!$B$44,0)</x:f>
        <x:v>0</x:v>
      </x:c>
      <x:c r="BE65" s="141" t="n">
        <x:f>IF($A65&lt;='Consorcio Direto'!$B$27,INDEX('Consorcio Direto'!$E$55:$E$534,$A65),0)</x:f>
        <x:v>1976.855957148016</x:v>
      </x:c>
      <x:c r="BF65" s="141" t="n">
        <x:f>IF(AND(TRUE,Premissas!$B$11="Imovel",Premissas!$B$47="Moradia",$A65&lt;MAX('Consorcio Direto'!$B$29,Premissas!$B$49)),$D65,0)</x:f>
        <x:v>0</x:v>
      </x:c>
      <x:c r="BG65" s="141" t="n">
        <x:f>IF(AND(TRUE,Premissas!$B$11="Imovel",Premissas!$B$47="Investimento",$A65&gt;=MAX('Consorcio Direto'!$B$29,Premissas!$B$49)),$E65,0)</x:f>
        <x:v>856.4643696640002</x:v>
      </x:c>
      <x:c r="BH65" s="141" t="n">
        <x:f>BD65+BE65+BF65</x:f>
        <x:v>1976.855957148016</x:v>
      </x:c>
      <x:c r="BI65" s="141" t="n">
        <x:f>BG65</x:f>
        <x:v>856.4643696640002</x:v>
      </x:c>
      <x:c r="BJ65" s="141" t="n">
        <x:f>$C65+BI65-BH65</x:f>
        <x:v>5879.608412515985</x:v>
      </x:c>
      <x:c r="BK65" s="141" t="n">
        <x:f>BN64*(1+Premissas!$B$41)+BJ65</x:f>
        <x:v>599724.9021176518</x:v>
      </x:c>
      <x:c r="BL65" s="141" t="n">
        <x:f>MAX(0,-BK65)</x:f>
        <x:v>0</x:v>
      </x:c>
      <x:c r="BM65" s="141" t="n">
        <x:f>BM64*(1+Premissas!$B$41)+BL65</x:f>
        <x:v>0</x:v>
      </x:c>
      <x:c r="BN65" s="141" t="n">
        <x:f>MAX(0,BK65)</x:f>
        <x:v>599724.9021176518</x:v>
      </x:c>
      <x:c r="BO65" s="141" t="n">
        <x:f>INDEX('Consorcio Direto'!$K$55:$K$534,$A65)</x:f>
        <x:v>234481.01661870693</x:v>
      </x:c>
      <x:c r="BP65" s="141" t="n">
        <x:f>IF($A65&lt;'Consorcio Direto'!$B$29,INDEX('Consorcio Direto'!$L$55:$L$534,$A65),$F65)</x:f>
        <x:v>267645.11552000005</x:v>
      </x:c>
      <x:c r="BQ65" s="141" t="n">
        <x:f>BN65+BP65-BO65</x:f>
        <x:v>632889.0010189449</x:v>
      </x:c>
      <x:c r="BR65" s="141" t="n">
        <x:f>IF(BM65&gt;1,"Inviavel",BQ65)</x:f>
        <x:v>632889.0010189449</x:v>
      </x:c>
      <x:c r="BS65" s="141" t="str">
        <x:f>IF(BM65&gt;1,"Inviavel","OK")</x:f>
        <x:v>OK</x:v>
      </x:c>
      <x:c r="BT65" s="141" t="n">
        <x:f>IF(AND('Carta Contemplada'!$B$22="Sim",$A65='Carta Contemplada'!$B$23),'Carta Contemplada'!$B$37,0)</x:f>
        <x:v>0</x:v>
      </x:c>
      <x:c r="BU65" s="141" t="n">
        <x:f>IF('Carta Contemplada'!$B$22="Sim",INDEX('Carta Contemplada'!$C$55:$C$1013,$A65),0)</x:f>
        <x:v>1605.8706931200004</x:v>
      </x:c>
      <x:c r="BV65" s="141" t="n">
        <x:f>IF(AND('Carta Contemplada'!$B$22="Sim",Premissas!$B$11="Imovel",Premissas!$B$47="Moradia",$A65&lt;MAX('Carta Contemplada'!$B$44,Premissas!$B$49)),$D65,0)</x:f>
        <x:v>0</x:v>
      </x:c>
      <x:c r="BW65" s="141" t="n">
        <x:f>IF(AND('Carta Contemplada'!$B$22="Sim",Premissas!$B$11="Imovel",Premissas!$B$47="Investimento",$A65&gt;=MAX('Carta Contemplada'!$B$44,Premissas!$B$49)),$E65,0)</x:f>
        <x:v>856.4643696640002</x:v>
      </x:c>
      <x:c r="BX65" s="141" t="n">
        <x:f>BT65+BU65+BV65</x:f>
        <x:v>1605.8706931200004</x:v>
      </x:c>
      <x:c r="BY65" s="141" t="n">
        <x:f>BW65</x:f>
        <x:v>856.4643696640002</x:v>
      </x:c>
      <x:c r="BZ65" s="141" t="n">
        <x:f>$C65+BY65-BX65</x:f>
        <x:v>6250.593676544</x:v>
      </x:c>
      <x:c r="CA65" s="141" t="n">
        <x:f>CD64*(1+Premissas!$B$41)+BZ65</x:f>
        <x:v>599221.4516217817</x:v>
      </x:c>
      <x:c r="CB65" s="141" t="n">
        <x:f>MAX(0,-CA65)</x:f>
        <x:v>0</x:v>
      </x:c>
      <x:c r="CC65" s="141" t="n">
        <x:f>CC64*(1+Premissas!$B$41)+CB65</x:f>
        <x:v>0</x:v>
      </x:c>
      <x:c r="CD65" s="141" t="n">
        <x:f>MAX(0,CA65)</x:f>
        <x:v>599221.4516217817</x:v>
      </x:c>
      <x:c r="CE65" s="141" t="n">
        <x:f>IF(AND('Carta Contemplada'!$B$22="Sim",$A65&gt;='Carta Contemplada'!$B$23),INDEX('Carta Contemplada'!$I$55:$I$1013,$A65),0)</x:f>
        <x:v>143063.5677075381</x:v>
      </x:c>
      <x:c r="CF65" s="141" t="n">
        <x:f>IF(AND('Carta Contemplada'!$B$22="Sim",$A65&gt;='Carta Contemplada'!$B$44),$F65,0)</x:f>
        <x:v>267645.11552000005</x:v>
      </x:c>
      <x:c r="CG65" s="141" t="n">
        <x:f>CD65+CF65-CE65</x:f>
        <x:v>723802.9994342437</x:v>
      </x:c>
      <x:c r="CH65" s="141" t="n">
        <x:f>IF(CC65&gt;1,"Inviavel",CG65)</x:f>
        <x:v>723802.9994342437</x:v>
      </x:c>
      <x:c r="CI65" s="145" t="str">
        <x:f>IF(CC65&gt;1,"Inviavel","OK")</x:f>
        <x:v>OK</x:v>
      </x:c>
    </x:row>
    <x:row r="66">
      <x:c r="A66" s="142" t="n">
        <x:v>62</x:v>
      </x:c>
      <x:c r="B66" s="179" t="n">
        <x:f>EDATE(Premissas!$B$4,A66-1)</x:f>
        <x:v>48396</x:v>
      </x:c>
      <x:c r="C66" s="141" t="n">
        <x:f>IF(A66&lt;=Premissas!$B$39,Premissas!$B$42,0)</x:f>
        <x:v>7000</x:v>
      </x:c>
      <x:c r="D66" s="141" t="n">
        <x:f>Premissas!$B$54*(1+Premissas!$B$57)^INT((A66-1)/12)</x:f>
        <x:v>936.7579043200002</x:v>
      </x:c>
      <x:c r="E66" s="141" t="n">
        <x:f>Premissas!$B$64*(1+Premissas!$B$57)^INT((A66-1)/12)</x:f>
        <x:v>856.4643696640002</x:v>
      </x:c>
      <x:c r="F66" s="141" t="n">
        <x:f>MAX(0,Premissas!$B$6*(1+Premissas!$B$66)^((A66-1)/12))</x:f>
        <x:v>268947.89165336074</x:v>
      </x:c>
      <x:c r="G66" s="141" t="n">
        <x:f>G65*(1+Premissas!$B$41)+C66</x:f>
        <x:v>747294.5130503422</x:v>
      </x:c>
      <x:c r="H66" s="141" t="n">
        <x:f>IF($A66=Premissas!$B$48,Premissas!$B$8,0)</x:f>
        <x:v>0</x:v>
      </x:c>
      <x:c r="I66" s="141" t="n">
        <x:f>IF(AND($A66&gt;=Premissas!$B$48,$A66-Premissas!$B$48+1&lt;=Premissas!$B$13),INDEX(Financiamento!$J$6:$J$485,$A66-Premissas!$B$48+1),0)</x:f>
        <x:v>1828.6577765772654</x:v>
      </x:c>
      <x:c r="J66" s="141" t="n">
        <x:f>IF(AND(TRUE,Premissas!$B$11="Imovel",Premissas!$B$47="Moradia",$A66&lt;MAX(Premissas!$B$48,Premissas!$B$49)),$D66,0)</x:f>
        <x:v>0</x:v>
      </x:c>
      <x:c r="K66" s="141" t="n">
        <x:f>IF(AND(TRUE,Premissas!$B$11="Imovel",Premissas!$B$47="Investimento",$A66&gt;=MAX(Premissas!$B$48,Premissas!$B$49)),$E66,0)</x:f>
        <x:v>856.4643696640002</x:v>
      </x:c>
      <x:c r="L66" s="141" t="n">
        <x:f>H66+I66+J66</x:f>
        <x:v>1828.6577765772654</x:v>
      </x:c>
      <x:c r="M66" s="141" t="n">
        <x:f>K66</x:f>
        <x:v>856.4643696640002</x:v>
      </x:c>
      <x:c r="N66" s="141" t="n">
        <x:f>$C66+M66-L66</x:f>
        <x:v>6027.806593086735</x:v>
      </x:c>
      <x:c r="O66" s="141" t="n">
        <x:f>R65*(1+Premissas!$B$41)+N66</x:f>
        <x:v>572602.7414341653</x:v>
      </x:c>
      <x:c r="P66" s="141" t="n">
        <x:f>MAX(0,-O66)</x:f>
        <x:v>0</x:v>
      </x:c>
      <x:c r="Q66" s="141" t="n">
        <x:f>Q65*(1+Premissas!$B$41)+P66</x:f>
        <x:v>0</x:v>
      </x:c>
      <x:c r="R66" s="141" t="n">
        <x:f>MAX(0,O66)</x:f>
        <x:v>572602.7414341653</x:v>
      </x:c>
      <x:c r="S66" s="141" t="n">
        <x:f>IF(AND($A66&gt;=Premissas!$B$48,$A66-Premissas!$B$48+1&lt;=Premissas!$B$13),INDEX(Financiamento!$M$6:$M$485,$A66-Premissas!$B$48+1),0)</x:f>
        <x:v>136380.95238095263</x:v>
      </x:c>
      <x:c r="T66" s="141" t="n">
        <x:f>IF($A66&gt;=Premissas!$B$48,$F66,0)</x:f>
        <x:v>268947.89165336074</x:v>
      </x:c>
      <x:c r="U66" s="141" t="n">
        <x:f>R66+T66-S66</x:f>
        <x:v>705169.6807065734</x:v>
      </x:c>
      <x:c r="V66" s="141" t="n">
        <x:f>IF(Q66&gt;1,"Inviavel",U66)</x:f>
        <x:v>705169.6807065734</x:v>
      </x:c>
      <x:c r="W66" s="141" t="str">
        <x:f>IF(Q66&gt;1,"Inviavel","OK")</x:f>
        <x:v>OK</x:v>
      </x:c>
      <x:c r="X66" s="141" t="n">
        <x:f>IF($A66=Premissas!$B$48,Premissas!$B$8,0)</x:f>
        <x:v>0</x:v>
      </x:c>
      <x:c r="Y66" s="141" t="n">
        <x:f>IF(AND($A66&gt;=Premissas!$B$48,$A66-Premissas!$B$48+1&lt;=Premissas!$B$13),INDEX(Amortizacao!$K$6:$K$485,$A66-Premissas!$B$48+1),0)</x:f>
        <x:v>0</x:v>
      </x:c>
      <x:c r="Z66" s="141" t="n">
        <x:f>IF(AND(TRUE,Premissas!$B$11="Imovel",Premissas!$B$47="Moradia",$A66&lt;MAX(Premissas!$B$48,Premissas!$B$49)),$D66,0)</x:f>
        <x:v>0</x:v>
      </x:c>
      <x:c r="AA66" s="141" t="n">
        <x:f>IF(AND(TRUE,Premissas!$B$11="Imovel",Premissas!$B$47="Investimento",$A66&gt;=MAX(Premissas!$B$48,Premissas!$B$49)),$E66,0)</x:f>
        <x:v>856.4643696640002</x:v>
      </x:c>
      <x:c r="AB66" s="141" t="n">
        <x:f>X66+Y66+Z66</x:f>
        <x:v>0</x:v>
      </x:c>
      <x:c r="AC66" s="141" t="n">
        <x:f>AA66</x:f>
        <x:v>856.4643696640002</x:v>
      </x:c>
      <x:c r="AD66" s="141" t="n">
        <x:f>$C66+AC66-AB66</x:f>
        <x:v>7856.4643696640005</x:v>
      </x:c>
      <x:c r="AE66" s="141" t="n">
        <x:f>AH65*(1+Premissas!$B$41)+AD66</x:f>
        <x:v>442414.18209912325</x:v>
      </x:c>
      <x:c r="AF66" s="141" t="n">
        <x:f>MAX(0,-AE66)</x:f>
        <x:v>0</x:v>
      </x:c>
      <x:c r="AG66" s="141" t="n">
        <x:f>AG65*(1+Premissas!$B$41)+AF66</x:f>
        <x:v>0</x:v>
      </x:c>
      <x:c r="AH66" s="141" t="n">
        <x:f>MAX(0,AE66)</x:f>
        <x:v>442414.18209912325</x:v>
      </x:c>
      <x:c r="AI66" s="141" t="n">
        <x:f>IF(AND($A66&gt;=Premissas!$B$48,$A66-Premissas!$B$48+1&lt;=Premissas!$B$13),INDEX(Amortizacao!$L$6:$L$485,$A66-Premissas!$B$48+1),0)</x:f>
        <x:v>0</x:v>
      </x:c>
      <x:c r="AJ66" s="141" t="n">
        <x:f>IF($A66&gt;=Premissas!$B$48,$F66,0)</x:f>
        <x:v>268947.89165336074</x:v>
      </x:c>
      <x:c r="AK66" s="141" t="n">
        <x:f>AH66+AJ66-AI66</x:f>
        <x:v>711362.073752484</x:v>
      </x:c>
      <x:c r="AL66" s="141" t="n">
        <x:f>IF(AG66&gt;1,"Inviavel",AK66)</x:f>
        <x:v>711362.073752484</x:v>
      </x:c>
      <x:c r="AM66" s="141" t="str">
        <x:f>IF(AG66&gt;1,"Inviavel","OK")</x:f>
        <x:v>OK</x:v>
      </x:c>
      <x:c r="AN66" s="141" t="n">
        <x:f>IF($A66=Premissas!$B$48,Premissas!$B$8,0)</x:f>
        <x:v>0</x:v>
      </x:c>
      <x:c r="AO66" s="141" t="n">
        <x:f>IF($A66&lt;=Premissas!$B$25,INDEX('Consorcio IQ'!$K$6:$K$485,$A66),0)</x:f>
        <x:v>763.4120000000014</x:v>
      </x:c>
      <x:c r="AP66" s="141" t="n">
        <x:f>IF(AND(TRUE,Premissas!$B$11="Imovel",Premissas!$B$47="Moradia",$A66&lt;MAX(Premissas!$B$48,Premissas!$B$49)),$D66,0)</x:f>
        <x:v>0</x:v>
      </x:c>
      <x:c r="AQ66" s="141" t="n">
        <x:f>IF(AND(TRUE,Premissas!$B$11="Imovel",Premissas!$B$47="Investimento",$A66&gt;=MAX(Premissas!$B$48,Premissas!$B$49)),$E66,0)</x:f>
        <x:v>856.4643696640002</x:v>
      </x:c>
      <x:c r="AR66" s="141" t="n">
        <x:f>AN66+AO66+AP66</x:f>
        <x:v>763.4120000000014</x:v>
      </x:c>
      <x:c r="AS66" s="141" t="n">
        <x:f>AQ66</x:f>
        <x:v>856.4643696640002</x:v>
      </x:c>
      <x:c r="AT66" s="141" t="n">
        <x:f>$C66+AS66-AR66</x:f>
        <x:v>7093.052369663999</x:v>
      </x:c>
      <x:c r="AU66" s="141" t="n">
        <x:f>AX65*(1+Premissas!$B$41)+AT66</x:f>
        <x:v>522778.93640603975</x:v>
      </x:c>
      <x:c r="AV66" s="141" t="n">
        <x:f>MAX(0,-AU66)</x:f>
        <x:v>0</x:v>
      </x:c>
      <x:c r="AW66" s="141" t="n">
        <x:f>AW65*(1+Premissas!$B$41)+AV66</x:f>
        <x:v>0</x:v>
      </x:c>
      <x:c r="AX66" s="141" t="n">
        <x:f>MAX(0,AU66)</x:f>
        <x:v>522778.93640603975</x:v>
      </x:c>
      <x:c r="AY66" s="141" t="n">
        <x:f>INDEX('Consorcio IQ'!$P$6:$P$485,$A66)</x:f>
        <x:v>90646.46967876711</x:v>
      </x:c>
      <x:c r="AZ66" s="141" t="n">
        <x:f>IF($A66&gt;=Premissas!$B$48,$F66,0)+IF($A66&lt;Premissas!$B$27,INDEX('Consorcio IQ'!$O$6:$O$485,$A66),0)</x:f>
        <x:v>268947.89165336074</x:v>
      </x:c>
      <x:c r="BA66" s="141" t="n">
        <x:f>AX66+AZ66-AY66</x:f>
        <x:v>701080.3583806333</x:v>
      </x:c>
      <x:c r="BB66" s="141" t="n">
        <x:f>IF(AW66&gt;1,"Inviavel",BA66)</x:f>
        <x:v>701080.3583806333</x:v>
      </x:c>
      <x:c r="BC66" s="141" t="str">
        <x:f>IF(AW66&gt;1,"Inviavel","OK")</x:f>
        <x:v>OK</x:v>
      </x:c>
      <x:c r="BD66" s="141" t="n">
        <x:f>IF($A66='Consorcio Direto'!$B$29,'Consorcio Direto'!$B$44,0)</x:f>
        <x:v>0</x:v>
      </x:c>
      <x:c r="BE66" s="141" t="n">
        <x:f>IF($A66&lt;='Consorcio Direto'!$B$27,INDEX('Consorcio Direto'!$E$55:$E$534,$A66),0)</x:f>
        <x:v>1976.855957148016</x:v>
      </x:c>
      <x:c r="BF66" s="141" t="n">
        <x:f>IF(AND(TRUE,Premissas!$B$11="Imovel",Premissas!$B$47="Moradia",$A66&lt;MAX('Consorcio Direto'!$B$29,Premissas!$B$49)),$D66,0)</x:f>
        <x:v>0</x:v>
      </x:c>
      <x:c r="BG66" s="141" t="n">
        <x:f>IF(AND(TRUE,Premissas!$B$11="Imovel",Premissas!$B$47="Investimento",$A66&gt;=MAX('Consorcio Direto'!$B$29,Premissas!$B$49)),$E66,0)</x:f>
        <x:v>856.4643696640002</x:v>
      </x:c>
      <x:c r="BH66" s="141" t="n">
        <x:f>BD66+BE66+BF66</x:f>
        <x:v>1976.855957148016</x:v>
      </x:c>
      <x:c r="BI66" s="141" t="n">
        <x:f>BG66</x:f>
        <x:v>856.4643696640002</x:v>
      </x:c>
      <x:c r="BJ66" s="141" t="n">
        <x:f>$C66+BI66-BH66</x:f>
        <x:v>5879.608412515985</x:v>
      </x:c>
      <x:c r="BK66" s="141" t="n">
        <x:f>BN65*(1+Premissas!$B$41)+BJ66</x:f>
        <x:v>611295.1759440752</x:v>
      </x:c>
      <x:c r="BL66" s="141" t="n">
        <x:f>MAX(0,-BK66)</x:f>
        <x:v>0</x:v>
      </x:c>
      <x:c r="BM66" s="141" t="n">
        <x:f>BM65*(1+Premissas!$B$41)+BL66</x:f>
        <x:v>0</x:v>
      </x:c>
      <x:c r="BN66" s="141" t="n">
        <x:f>MAX(0,BK66)</x:f>
        <x:v>611295.1759440752</x:v>
      </x:c>
      <x:c r="BO66" s="141" t="n">
        <x:f>INDEX('Consorcio Direto'!$K$55:$K$534,$A66)</x:f>
        <x:v>234729.10247534435</x:v>
      </x:c>
      <x:c r="BP66" s="141" t="n">
        <x:f>IF($A66&lt;'Consorcio Direto'!$B$29,INDEX('Consorcio Direto'!$L$55:$L$534,$A66),$F66)</x:f>
        <x:v>268947.89165336074</x:v>
      </x:c>
      <x:c r="BQ66" s="141" t="n">
        <x:f>BN66+BP66-BO66</x:f>
        <x:v>645513.9651220917</x:v>
      </x:c>
      <x:c r="BR66" s="141" t="n">
        <x:f>IF(BM66&gt;1,"Inviavel",BQ66)</x:f>
        <x:v>645513.9651220917</x:v>
      </x:c>
      <x:c r="BS66" s="141" t="str">
        <x:f>IF(BM66&gt;1,"Inviavel","OK")</x:f>
        <x:v>OK</x:v>
      </x:c>
      <x:c r="BT66" s="141" t="n">
        <x:f>IF(AND('Carta Contemplada'!$B$22="Sim",$A66='Carta Contemplada'!$B$23),'Carta Contemplada'!$B$37,0)</x:f>
        <x:v>0</x:v>
      </x:c>
      <x:c r="BU66" s="141" t="n">
        <x:f>IF('Carta Contemplada'!$B$22="Sim",INDEX('Carta Contemplada'!$C$55:$C$1013,$A66),0)</x:f>
        <x:v>1605.8706931200004</x:v>
      </x:c>
      <x:c r="BV66" s="141" t="n">
        <x:f>IF(AND('Carta Contemplada'!$B$22="Sim",Premissas!$B$11="Imovel",Premissas!$B$47="Moradia",$A66&lt;MAX('Carta Contemplada'!$B$44,Premissas!$B$49)),$D66,0)</x:f>
        <x:v>0</x:v>
      </x:c>
      <x:c r="BW66" s="141" t="n">
        <x:f>IF(AND('Carta Contemplada'!$B$22="Sim",Premissas!$B$11="Imovel",Premissas!$B$47="Investimento",$A66&gt;=MAX('Carta Contemplada'!$B$44,Premissas!$B$49)),$E66,0)</x:f>
        <x:v>856.4643696640002</x:v>
      </x:c>
      <x:c r="BX66" s="141" t="n">
        <x:f>BT66+BU66+BV66</x:f>
        <x:v>1605.8706931200004</x:v>
      </x:c>
      <x:c r="BY66" s="141" t="n">
        <x:f>BW66</x:f>
        <x:v>856.4643696640002</x:v>
      </x:c>
      <x:c r="BZ66" s="141" t="n">
        <x:f>$C66+BY66-BX66</x:f>
        <x:v>6250.593676544</x:v>
      </x:c>
      <x:c r="CA66" s="141" t="n">
        <x:f>CD65*(1+Premissas!$B$41)+BZ66</x:f>
        <x:v>611157.9335747251</x:v>
      </x:c>
      <x:c r="CB66" s="141" t="n">
        <x:f>MAX(0,-CA66)</x:f>
        <x:v>0</x:v>
      </x:c>
      <x:c r="CC66" s="141" t="n">
        <x:f>CC65*(1+Premissas!$B$41)+CB66</x:f>
        <x:v>0</x:v>
      </x:c>
      <x:c r="CD66" s="141" t="n">
        <x:f>MAX(0,CA66)</x:f>
        <x:v>611157.9335747251</x:v>
      </x:c>
      <x:c r="CE66" s="141" t="n">
        <x:f>IF(AND('Carta Contemplada'!$B$22="Sim",$A66&gt;='Carta Contemplada'!$B$23),INDEX('Carta Contemplada'!$I$55:$I$1013,$A66),0)</x:f>
        <x:v>142815.19758487763</x:v>
      </x:c>
      <x:c r="CF66" s="141" t="n">
        <x:f>IF(AND('Carta Contemplada'!$B$22="Sim",$A66&gt;='Carta Contemplada'!$B$44),$F66,0)</x:f>
        <x:v>268947.89165336074</x:v>
      </x:c>
      <x:c r="CG66" s="141" t="n">
        <x:f>CD66+CF66-CE66</x:f>
        <x:v>737290.6276432081</x:v>
      </x:c>
      <x:c r="CH66" s="141" t="n">
        <x:f>IF(CC66&gt;1,"Inviavel",CG66)</x:f>
        <x:v>737290.6276432081</x:v>
      </x:c>
      <x:c r="CI66" s="145" t="str">
        <x:f>IF(CC66&gt;1,"Inviavel","OK")</x:f>
        <x:v>OK</x:v>
      </x:c>
    </x:row>
    <x:row r="67">
      <x:c r="A67" s="142" t="n">
        <x:v>63</x:v>
      </x:c>
      <x:c r="B67" s="179" t="n">
        <x:f>EDATE(Premissas!$B$4,A67-1)</x:f>
        <x:v>48427</x:v>
      </x:c>
      <x:c r="C67" s="141" t="n">
        <x:f>IF(A67&lt;=Premissas!$B$39,Premissas!$B$42,0)</x:f>
        <x:v>7000</x:v>
      </x:c>
      <x:c r="D67" s="141" t="n">
        <x:f>Premissas!$B$54*(1+Premissas!$B$57)^INT((A67-1)/12)</x:f>
        <x:v>936.7579043200002</x:v>
      </x:c>
      <x:c r="E67" s="141" t="n">
        <x:f>Premissas!$B$64*(1+Premissas!$B$57)^INT((A67-1)/12)</x:f>
        <x:v>856.4643696640002</x:v>
      </x:c>
      <x:c r="F67" s="141" t="n">
        <x:f>MAX(0,Premissas!$B$6*(1+Premissas!$B$66)^((A67-1)/12))</x:f>
        <x:v>270257.00911542587</x:v>
      </x:c>
      <x:c r="G67" s="141" t="n">
        <x:f>G66*(1+Premissas!$B$41)+C67</x:f>
        <x:v>761385.4359458269</x:v>
      </x:c>
      <x:c r="H67" s="141" t="n">
        <x:f>IF($A67=Premissas!$B$48,Premissas!$B$8,0)</x:f>
        <x:v>0</x:v>
      </x:c>
      <x:c r="I67" s="141" t="n">
        <x:f>IF(AND($A67&gt;=Premissas!$B$48,$A67-Premissas!$B$48+1&lt;=Premissas!$B$13),INDEX(Financiamento!$J$6:$J$485,$A67-Premissas!$B$48+1),0)</x:f>
        <x:v>1825.0429983164718</x:v>
      </x:c>
      <x:c r="J67" s="141" t="n">
        <x:f>IF(AND(TRUE,Premissas!$B$11="Imovel",Premissas!$B$47="Moradia",$A67&lt;MAX(Premissas!$B$48,Premissas!$B$49)),$D67,0)</x:f>
        <x:v>0</x:v>
      </x:c>
      <x:c r="K67" s="141" t="n">
        <x:f>IF(AND(TRUE,Premissas!$B$11="Imovel",Premissas!$B$47="Investimento",$A67&gt;=MAX(Premissas!$B$48,Premissas!$B$49)),$E67,0)</x:f>
        <x:v>856.4643696640002</x:v>
      </x:c>
      <x:c r="L67" s="141" t="n">
        <x:f>H67+I67+J67</x:f>
        <x:v>1825.0429983164718</x:v>
      </x:c>
      <x:c r="M67" s="141" t="n">
        <x:f>K67</x:f>
        <x:v>856.4643696640002</x:v>
      </x:c>
      <x:c r="N67" s="141" t="n">
        <x:f>$C67+M67-L67</x:f>
        <x:v>6031.421371347529</x:v>
      </x:c>
      <x:c r="O67" s="141" t="n">
        <x:f>R66*(1+Premissas!$B$41)+N67</x:f>
        <x:v>584067.4716527562</x:v>
      </x:c>
      <x:c r="P67" s="141" t="n">
        <x:f>MAX(0,-O67)</x:f>
        <x:v>0</x:v>
      </x:c>
      <x:c r="Q67" s="141" t="n">
        <x:f>Q66*(1+Premissas!$B$41)+P67</x:f>
        <x:v>0</x:v>
      </x:c>
      <x:c r="R67" s="141" t="n">
        <x:f>MAX(0,O67)</x:f>
        <x:v>584067.4716527562</x:v>
      </x:c>
      <x:c r="S67" s="141" t="n">
        <x:f>IF(AND($A67&gt;=Premissas!$B$48,$A67-Premissas!$B$48+1&lt;=Premissas!$B$13),INDEX(Financiamento!$M$6:$M$485,$A67-Premissas!$B$48+1),0)</x:f>
        <x:v>136000.00000000023</x:v>
      </x:c>
      <x:c r="T67" s="141" t="n">
        <x:f>IF($A67&gt;=Premissas!$B$48,$F67,0)</x:f>
        <x:v>270257.00911542587</x:v>
      </x:c>
      <x:c r="U67" s="141" t="n">
        <x:f>R67+T67-S67</x:f>
        <x:v>718324.4807681818</x:v>
      </x:c>
      <x:c r="V67" s="141" t="n">
        <x:f>IF(Q67&gt;1,"Inviavel",U67)</x:f>
        <x:v>718324.4807681818</x:v>
      </x:c>
      <x:c r="W67" s="141" t="str">
        <x:f>IF(Q67&gt;1,"Inviavel","OK")</x:f>
        <x:v>OK</x:v>
      </x:c>
      <x:c r="X67" s="141" t="n">
        <x:f>IF($A67=Premissas!$B$48,Premissas!$B$8,0)</x:f>
        <x:v>0</x:v>
      </x:c>
      <x:c r="Y67" s="141" t="n">
        <x:f>IF(AND($A67&gt;=Premissas!$B$48,$A67-Premissas!$B$48+1&lt;=Premissas!$B$13),INDEX(Amortizacao!$K$6:$K$485,$A67-Premissas!$B$48+1),0)</x:f>
        <x:v>0</x:v>
      </x:c>
      <x:c r="Z67" s="141" t="n">
        <x:f>IF(AND(TRUE,Premissas!$B$11="Imovel",Premissas!$B$47="Moradia",$A67&lt;MAX(Premissas!$B$48,Premissas!$B$49)),$D67,0)</x:f>
        <x:v>0</x:v>
      </x:c>
      <x:c r="AA67" s="141" t="n">
        <x:f>IF(AND(TRUE,Premissas!$B$11="Imovel",Premissas!$B$47="Investimento",$A67&gt;=MAX(Premissas!$B$48,Premissas!$B$49)),$E67,0)</x:f>
        <x:v>856.4643696640002</x:v>
      </x:c>
      <x:c r="AB67" s="141" t="n">
        <x:f>X67+Y67+Z67</x:f>
        <x:v>0</x:v>
      </x:c>
      <x:c r="AC67" s="141" t="n">
        <x:f>AA67</x:f>
        <x:v>856.4643696640002</x:v>
      </x:c>
      <x:c r="AD67" s="141" t="n">
        <x:f>$C67+AC67-AB67</x:f>
        <x:v>7856.4643696640005</x:v>
      </x:c>
      <x:c r="AE67" s="141" t="n">
        <x:f>AH66*(1+Premissas!$B$41)+AD67</x:f>
        <x:v>454468.62303404877</x:v>
      </x:c>
      <x:c r="AF67" s="141" t="n">
        <x:f>MAX(0,-AE67)</x:f>
        <x:v>0</x:v>
      </x:c>
      <x:c r="AG67" s="141" t="n">
        <x:f>AG66*(1+Premissas!$B$41)+AF67</x:f>
        <x:v>0</x:v>
      </x:c>
      <x:c r="AH67" s="141" t="n">
        <x:f>MAX(0,AE67)</x:f>
        <x:v>454468.62303404877</x:v>
      </x:c>
      <x:c r="AI67" s="141" t="n">
        <x:f>IF(AND($A67&gt;=Premissas!$B$48,$A67-Premissas!$B$48+1&lt;=Premissas!$B$13),INDEX(Amortizacao!$L$6:$L$485,$A67-Premissas!$B$48+1),0)</x:f>
        <x:v>0</x:v>
      </x:c>
      <x:c r="AJ67" s="141" t="n">
        <x:f>IF($A67&gt;=Premissas!$B$48,$F67,0)</x:f>
        <x:v>270257.00911542587</x:v>
      </x:c>
      <x:c r="AK67" s="141" t="n">
        <x:f>AH67+AJ67-AI67</x:f>
        <x:v>724725.6321494747</x:v>
      </x:c>
      <x:c r="AL67" s="141" t="n">
        <x:f>IF(AG67&gt;1,"Inviavel",AK67)</x:f>
        <x:v>724725.6321494747</x:v>
      </x:c>
      <x:c r="AM67" s="141" t="str">
        <x:f>IF(AG67&gt;1,"Inviavel","OK")</x:f>
        <x:v>OK</x:v>
      </x:c>
      <x:c r="AN67" s="141" t="n">
        <x:f>IF($A67=Premissas!$B$48,Premissas!$B$8,0)</x:f>
        <x:v>0</x:v>
      </x:c>
      <x:c r="AO67" s="141" t="n">
        <x:f>IF($A67&lt;=Premissas!$B$25,INDEX('Consorcio IQ'!$K$6:$K$485,$A67),0)</x:f>
        <x:v>763.4120000000014</x:v>
      </x:c>
      <x:c r="AP67" s="141" t="n">
        <x:f>IF(AND(TRUE,Premissas!$B$11="Imovel",Premissas!$B$47="Moradia",$A67&lt;MAX(Premissas!$B$48,Premissas!$B$49)),$D67,0)</x:f>
        <x:v>0</x:v>
      </x:c>
      <x:c r="AQ67" s="141" t="n">
        <x:f>IF(AND(TRUE,Premissas!$B$11="Imovel",Premissas!$B$47="Investimento",$A67&gt;=MAX(Premissas!$B$48,Premissas!$B$49)),$E67,0)</x:f>
        <x:v>856.4643696640002</x:v>
      </x:c>
      <x:c r="AR67" s="141" t="n">
        <x:f>AN67+AO67+AP67</x:f>
        <x:v>763.4120000000014</x:v>
      </x:c>
      <x:c r="AS67" s="141" t="n">
        <x:f>AQ67</x:f>
        <x:v>856.4643696640002</x:v>
      </x:c>
      <x:c r="AT67" s="141" t="n">
        <x:f>$C67+AS67-AR67</x:f>
        <x:v>7093.052369663999</x:v>
      </x:c>
      <x:c r="AU67" s="141" t="n">
        <x:f>AX66*(1+Premissas!$B$41)+AT67</x:f>
        <x:v>534832.5298538222</x:v>
      </x:c>
      <x:c r="AV67" s="141" t="n">
        <x:f>MAX(0,-AU67)</x:f>
        <x:v>0</x:v>
      </x:c>
      <x:c r="AW67" s="141" t="n">
        <x:f>AW66*(1+Premissas!$B$41)+AV67</x:f>
        <x:v>0</x:v>
      </x:c>
      <x:c r="AX67" s="141" t="n">
        <x:f>MAX(0,AU67)</x:f>
        <x:v>534832.5298538222</x:v>
      </x:c>
      <x:c r="AY67" s="141" t="n">
        <x:f>INDEX('Consorcio IQ'!$P$6:$P$485,$A67)</x:f>
        <x:v>90743.1832597999</x:v>
      </x:c>
      <x:c r="AZ67" s="141" t="n">
        <x:f>IF($A67&gt;=Premissas!$B$48,$F67,0)+IF($A67&lt;Premissas!$B$27,INDEX('Consorcio IQ'!$O$6:$O$485,$A67),0)</x:f>
        <x:v>270257.00911542587</x:v>
      </x:c>
      <x:c r="BA67" s="141" t="n">
        <x:f>AX67+AZ67-AY67</x:f>
        <x:v>714346.3557094482</x:v>
      </x:c>
      <x:c r="BB67" s="141" t="n">
        <x:f>IF(AW67&gt;1,"Inviavel",BA67)</x:f>
        <x:v>714346.3557094482</x:v>
      </x:c>
      <x:c r="BC67" s="141" t="str">
        <x:f>IF(AW67&gt;1,"Inviavel","OK")</x:f>
        <x:v>OK</x:v>
      </x:c>
      <x:c r="BD67" s="141" t="n">
        <x:f>IF($A67='Consorcio Direto'!$B$29,'Consorcio Direto'!$B$44,0)</x:f>
        <x:v>0</x:v>
      </x:c>
      <x:c r="BE67" s="141" t="n">
        <x:f>IF($A67&lt;='Consorcio Direto'!$B$27,INDEX('Consorcio Direto'!$E$55:$E$534,$A67),0)</x:f>
        <x:v>1976.855957148016</x:v>
      </x:c>
      <x:c r="BF67" s="141" t="n">
        <x:f>IF(AND(TRUE,Premissas!$B$11="Imovel",Premissas!$B$47="Moradia",$A67&lt;MAX('Consorcio Direto'!$B$29,Premissas!$B$49)),$D67,0)</x:f>
        <x:v>0</x:v>
      </x:c>
      <x:c r="BG67" s="141" t="n">
        <x:f>IF(AND(TRUE,Premissas!$B$11="Imovel",Premissas!$B$47="Investimento",$A67&gt;=MAX('Consorcio Direto'!$B$29,Premissas!$B$49)),$E67,0)</x:f>
        <x:v>856.4643696640002</x:v>
      </x:c>
      <x:c r="BH67" s="141" t="n">
        <x:f>BD67+BE67+BF67</x:f>
        <x:v>1976.855957148016</x:v>
      </x:c>
      <x:c r="BI67" s="141" t="n">
        <x:f>BG67</x:f>
        <x:v>856.4643696640002</x:v>
      </x:c>
      <x:c r="BJ67" s="141" t="n">
        <x:f>$C67+BI67-BH67</x:f>
        <x:v>5879.608412515985</x:v>
      </x:c>
      <x:c r="BK67" s="141" t="n">
        <x:f>BN66*(1+Premissas!$B$41)+BJ67</x:f>
        <x:v>622975.2377030341</x:v>
      </x:c>
      <x:c r="BL67" s="141" t="n">
        <x:f>MAX(0,-BK67)</x:f>
        <x:v>0</x:v>
      </x:c>
      <x:c r="BM67" s="141" t="n">
        <x:f>BM66*(1+Premissas!$B$41)+BL67</x:f>
        <x:v>0</x:v>
      </x:c>
      <x:c r="BN67" s="141" t="n">
        <x:f>MAX(0,BK67)</x:f>
        <x:v>622975.2377030341</x:v>
      </x:c>
      <x:c r="BO67" s="141" t="n">
        <x:f>INDEX('Consorcio Direto'!$K$55:$K$534,$A67)</x:f>
        <x:v>234979.5423673054</x:v>
      </x:c>
      <x:c r="BP67" s="141" t="n">
        <x:f>IF($A67&lt;'Consorcio Direto'!$B$29,INDEX('Consorcio Direto'!$L$55:$L$534,$A67),$F67)</x:f>
        <x:v>270257.00911542587</x:v>
      </x:c>
      <x:c r="BQ67" s="141" t="n">
        <x:f>BN67+BP67-BO67</x:f>
        <x:v>658252.7044511546</x:v>
      </x:c>
      <x:c r="BR67" s="141" t="n">
        <x:f>IF(BM67&gt;1,"Inviavel",BQ67)</x:f>
        <x:v>658252.7044511546</x:v>
      </x:c>
      <x:c r="BS67" s="141" t="str">
        <x:f>IF(BM67&gt;1,"Inviavel","OK")</x:f>
        <x:v>OK</x:v>
      </x:c>
      <x:c r="BT67" s="141" t="n">
        <x:f>IF(AND('Carta Contemplada'!$B$22="Sim",$A67='Carta Contemplada'!$B$23),'Carta Contemplada'!$B$37,0)</x:f>
        <x:v>0</x:v>
      </x:c>
      <x:c r="BU67" s="141" t="n">
        <x:f>IF('Carta Contemplada'!$B$22="Sim",INDEX('Carta Contemplada'!$C$55:$C$1013,$A67),0)</x:f>
        <x:v>1605.8706931200004</x:v>
      </x:c>
      <x:c r="BV67" s="141" t="n">
        <x:f>IF(AND('Carta Contemplada'!$B$22="Sim",Premissas!$B$11="Imovel",Premissas!$B$47="Moradia",$A67&lt;MAX('Carta Contemplada'!$B$44,Premissas!$B$49)),$D67,0)</x:f>
        <x:v>0</x:v>
      </x:c>
      <x:c r="BW67" s="141" t="n">
        <x:f>IF(AND('Carta Contemplada'!$B$22="Sim",Premissas!$B$11="Imovel",Premissas!$B$47="Investimento",$A67&gt;=MAX('Carta Contemplada'!$B$44,Premissas!$B$49)),$E67,0)</x:f>
        <x:v>856.4643696640002</x:v>
      </x:c>
      <x:c r="BX67" s="141" t="n">
        <x:f>BT67+BU67+BV67</x:f>
        <x:v>1605.8706931200004</x:v>
      </x:c>
      <x:c r="BY67" s="141" t="n">
        <x:f>BW67</x:f>
        <x:v>856.4643696640002</x:v>
      </x:c>
      <x:c r="BZ67" s="141" t="n">
        <x:f>$C67+BY67-BX67</x:f>
        <x:v>6250.593676544</x:v>
      </x:c>
      <x:c r="CA67" s="141" t="n">
        <x:f>CD66*(1+Premissas!$B$41)+BZ67</x:f>
        <x:v>623207.6783332874</x:v>
      </x:c>
      <x:c r="CB67" s="141" t="n">
        <x:f>MAX(0,-CA67)</x:f>
        <x:v>0</x:v>
      </x:c>
      <x:c r="CC67" s="141" t="n">
        <x:f>CC66*(1+Premissas!$B$41)+CB67</x:f>
        <x:v>0</x:v>
      </x:c>
      <x:c r="CD67" s="141" t="n">
        <x:f>MAX(0,CA67)</x:f>
        <x:v>623207.6783332874</x:v>
      </x:c>
      <x:c r="CE67" s="141" t="n">
        <x:f>IF(AND('Carta Contemplada'!$B$22="Sim",$A67&gt;='Carta Contemplada'!$B$23),INDEX('Carta Contemplada'!$I$55:$I$1013,$A67),0)</x:f>
        <x:v>142564.4707295521</x:v>
      </x:c>
      <x:c r="CF67" s="141" t="n">
        <x:f>IF(AND('Carta Contemplada'!$B$22="Sim",$A67&gt;='Carta Contemplada'!$B$44),$F67,0)</x:f>
        <x:v>270257.00911542587</x:v>
      </x:c>
      <x:c r="CG67" s="141" t="n">
        <x:f>CD67+CF67-CE67</x:f>
        <x:v>750900.2167191611</x:v>
      </x:c>
      <x:c r="CH67" s="141" t="n">
        <x:f>IF(CC67&gt;1,"Inviavel",CG67)</x:f>
        <x:v>750900.2167191611</x:v>
      </x:c>
      <x:c r="CI67" s="145" t="str">
        <x:f>IF(CC67&gt;1,"Inviavel","OK")</x:f>
        <x:v>OK</x:v>
      </x:c>
    </x:row>
    <x:row r="68">
      <x:c r="A68" s="142" t="n">
        <x:v>64</x:v>
      </x:c>
      <x:c r="B68" s="179" t="n">
        <x:f>EDATE(Premissas!$B$4,A68-1)</x:f>
        <x:v>48458</x:v>
      </x:c>
      <x:c r="C68" s="141" t="n">
        <x:f>IF(A68&lt;=Premissas!$B$39,Premissas!$B$42,0)</x:f>
        <x:v>7000</x:v>
      </x:c>
      <x:c r="D68" s="141" t="n">
        <x:f>Premissas!$B$54*(1+Premissas!$B$57)^INT((A68-1)/12)</x:f>
        <x:v>936.7579043200002</x:v>
      </x:c>
      <x:c r="E68" s="141" t="n">
        <x:f>Premissas!$B$64*(1+Premissas!$B$57)^INT((A68-1)/12)</x:f>
        <x:v>856.4643696640002</x:v>
      </x:c>
      <x:c r="F68" s="141" t="n">
        <x:f>MAX(0,Premissas!$B$6*(1+Premissas!$B$66)^((A68-1)/12))</x:f>
        <x:v>271572.4987729336</x:v>
      </x:c>
      <x:c r="G68" s="141" t="n">
        <x:f>G67*(1+Premissas!$B$41)+C68</x:f>
        <x:v>775610.0646909241</x:v>
      </x:c>
      <x:c r="H68" s="141" t="n">
        <x:f>IF($A68=Premissas!$B$48,Premissas!$B$8,0)</x:f>
        <x:v>0</x:v>
      </x:c>
      <x:c r="I68" s="141" t="n">
        <x:f>IF(AND($A68&gt;=Premissas!$B$48,$A68-Premissas!$B$48+1&lt;=Premissas!$B$13),INDEX(Financiamento!$J$6:$J$485,$A68-Premissas!$B$48+1),0)</x:f>
        <x:v>1821.4282200556781</x:v>
      </x:c>
      <x:c r="J68" s="141" t="n">
        <x:f>IF(AND(TRUE,Premissas!$B$11="Imovel",Premissas!$B$47="Moradia",$A68&lt;MAX(Premissas!$B$48,Premissas!$B$49)),$D68,0)</x:f>
        <x:v>0</x:v>
      </x:c>
      <x:c r="K68" s="141" t="n">
        <x:f>IF(AND(TRUE,Premissas!$B$11="Imovel",Premissas!$B$47="Investimento",$A68&gt;=MAX(Premissas!$B$48,Premissas!$B$49)),$E68,0)</x:f>
        <x:v>856.4643696640002</x:v>
      </x:c>
      <x:c r="L68" s="141" t="n">
        <x:f>H68+I68+J68</x:f>
        <x:v>1821.4282200556781</x:v>
      </x:c>
      <x:c r="M68" s="141" t="n">
        <x:f>K68</x:f>
        <x:v>856.4643696640002</x:v>
      </x:c>
      <x:c r="N68" s="141" t="n">
        <x:f>$C68+M68-L68</x:f>
        <x:v>6035.036149608322</x:v>
      </x:c>
      <x:c r="O68" s="141" t="n">
        <x:f>R67*(1+Premissas!$B$41)+N68</x:f>
        <x:v>595644.603100703</x:v>
      </x:c>
      <x:c r="P68" s="141" t="n">
        <x:f>MAX(0,-O68)</x:f>
        <x:v>0</x:v>
      </x:c>
      <x:c r="Q68" s="141" t="n">
        <x:f>Q67*(1+Premissas!$B$41)+P68</x:f>
        <x:v>0</x:v>
      </x:c>
      <x:c r="R68" s="141" t="n">
        <x:f>MAX(0,O68)</x:f>
        <x:v>595644.603100703</x:v>
      </x:c>
      <x:c r="S68" s="141" t="n">
        <x:f>IF(AND($A68&gt;=Premissas!$B$48,$A68-Premissas!$B$48+1&lt;=Premissas!$B$13),INDEX(Financiamento!$M$6:$M$485,$A68-Premissas!$B$48+1),0)</x:f>
        <x:v>135619.04761904787</x:v>
      </x:c>
      <x:c r="T68" s="141" t="n">
        <x:f>IF($A68&gt;=Premissas!$B$48,$F68,0)</x:f>
        <x:v>271572.4987729336</x:v>
      </x:c>
      <x:c r="U68" s="141" t="n">
        <x:f>R68+T68-S68</x:f>
        <x:v>731598.0542545887</x:v>
      </x:c>
      <x:c r="V68" s="141" t="n">
        <x:f>IF(Q68&gt;1,"Inviavel",U68)</x:f>
        <x:v>731598.0542545887</x:v>
      </x:c>
      <x:c r="W68" s="141" t="str">
        <x:f>IF(Q68&gt;1,"Inviavel","OK")</x:f>
        <x:v>OK</x:v>
      </x:c>
      <x:c r="X68" s="141" t="n">
        <x:f>IF($A68=Premissas!$B$48,Premissas!$B$8,0)</x:f>
        <x:v>0</x:v>
      </x:c>
      <x:c r="Y68" s="141" t="n">
        <x:f>IF(AND($A68&gt;=Premissas!$B$48,$A68-Premissas!$B$48+1&lt;=Premissas!$B$13),INDEX(Amortizacao!$K$6:$K$485,$A68-Premissas!$B$48+1),0)</x:f>
        <x:v>0</x:v>
      </x:c>
      <x:c r="Z68" s="141" t="n">
        <x:f>IF(AND(TRUE,Premissas!$B$11="Imovel",Premissas!$B$47="Moradia",$A68&lt;MAX(Premissas!$B$48,Premissas!$B$49)),$D68,0)</x:f>
        <x:v>0</x:v>
      </x:c>
      <x:c r="AA68" s="141" t="n">
        <x:f>IF(AND(TRUE,Premissas!$B$11="Imovel",Premissas!$B$47="Investimento",$A68&gt;=MAX(Premissas!$B$48,Premissas!$B$49)),$E68,0)</x:f>
        <x:v>856.4643696640002</x:v>
      </x:c>
      <x:c r="AB68" s="141" t="n">
        <x:f>X68+Y68+Z68</x:f>
        <x:v>0</x:v>
      </x:c>
      <x:c r="AC68" s="141" t="n">
        <x:f>AA68</x:f>
        <x:v>856.4643696640002</x:v>
      </x:c>
      <x:c r="AD68" s="141" t="n">
        <x:f>$C68+AC68-AB68</x:f>
        <x:v>7856.4643696640005</x:v>
      </x:c>
      <x:c r="AE68" s="141" t="n">
        <x:f>AH67*(1+Premissas!$B$41)+AD68</x:f>
        <x:v>466637.446062948</x:v>
      </x:c>
      <x:c r="AF68" s="141" t="n">
        <x:f>MAX(0,-AE68)</x:f>
        <x:v>0</x:v>
      </x:c>
      <x:c r="AG68" s="141" t="n">
        <x:f>AG67*(1+Premissas!$B$41)+AF68</x:f>
        <x:v>0</x:v>
      </x:c>
      <x:c r="AH68" s="141" t="n">
        <x:f>MAX(0,AE68)</x:f>
        <x:v>466637.446062948</x:v>
      </x:c>
      <x:c r="AI68" s="141" t="n">
        <x:f>IF(AND($A68&gt;=Premissas!$B$48,$A68-Premissas!$B$48+1&lt;=Premissas!$B$13),INDEX(Amortizacao!$L$6:$L$485,$A68-Premissas!$B$48+1),0)</x:f>
        <x:v>0</x:v>
      </x:c>
      <x:c r="AJ68" s="141" t="n">
        <x:f>IF($A68&gt;=Premissas!$B$48,$F68,0)</x:f>
        <x:v>271572.4987729336</x:v>
      </x:c>
      <x:c r="AK68" s="141" t="n">
        <x:f>AH68+AJ68-AI68</x:f>
        <x:v>738209.9448358816</x:v>
      </x:c>
      <x:c r="AL68" s="141" t="n">
        <x:f>IF(AG68&gt;1,"Inviavel",AK68)</x:f>
        <x:v>738209.9448358816</x:v>
      </x:c>
      <x:c r="AM68" s="141" t="str">
        <x:f>IF(AG68&gt;1,"Inviavel","OK")</x:f>
        <x:v>OK</x:v>
      </x:c>
      <x:c r="AN68" s="141" t="n">
        <x:f>IF($A68=Premissas!$B$48,Premissas!$B$8,0)</x:f>
        <x:v>0</x:v>
      </x:c>
      <x:c r="AO68" s="141" t="n">
        <x:f>IF($A68&lt;=Premissas!$B$25,INDEX('Consorcio IQ'!$K$6:$K$485,$A68),0)</x:f>
        <x:v>763.4120000000014</x:v>
      </x:c>
      <x:c r="AP68" s="141" t="n">
        <x:f>IF(AND(TRUE,Premissas!$B$11="Imovel",Premissas!$B$47="Moradia",$A68&lt;MAX(Premissas!$B$48,Premissas!$B$49)),$D68,0)</x:f>
        <x:v>0</x:v>
      </x:c>
      <x:c r="AQ68" s="141" t="n">
        <x:f>IF(AND(TRUE,Premissas!$B$11="Imovel",Premissas!$B$47="Investimento",$A68&gt;=MAX(Premissas!$B$48,Premissas!$B$49)),$E68,0)</x:f>
        <x:v>856.4643696640002</x:v>
      </x:c>
      <x:c r="AR68" s="141" t="n">
        <x:f>AN68+AO68+AP68</x:f>
        <x:v>763.4120000000014</x:v>
      </x:c>
      <x:c r="AS68" s="141" t="n">
        <x:f>AQ68</x:f>
        <x:v>856.4643696640002</x:v>
      </x:c>
      <x:c r="AT68" s="141" t="n">
        <x:f>$C68+AS68-AR68</x:f>
        <x:v>7093.052369663999</x:v>
      </x:c>
      <x:c r="AU68" s="141" t="n">
        <x:f>AX67*(1+Premissas!$B$41)+AT68</x:f>
        <x:v>547000.4973539483</x:v>
      </x:c>
      <x:c r="AV68" s="141" t="n">
        <x:f>MAX(0,-AU68)</x:f>
        <x:v>0</x:v>
      </x:c>
      <x:c r="AW68" s="141" t="n">
        <x:f>AW67*(1+Premissas!$B$41)+AV68</x:f>
        <x:v>0</x:v>
      </x:c>
      <x:c r="AX68" s="141" t="n">
        <x:f>MAX(0,AU68)</x:f>
        <x:v>547000.4973539483</x:v>
      </x:c>
      <x:c r="AY68" s="141" t="n">
        <x:f>INDEX('Consorcio IQ'!$P$6:$P$485,$A68)</x:f>
        <x:v>90840.81453597707</x:v>
      </x:c>
      <x:c r="AZ68" s="141" t="n">
        <x:f>IF($A68&gt;=Premissas!$B$48,$F68,0)+IF($A68&lt;Premissas!$B$27,INDEX('Consorcio IQ'!$O$6:$O$485,$A68),0)</x:f>
        <x:v>271572.4987729336</x:v>
      </x:c>
      <x:c r="BA68" s="141" t="n">
        <x:f>AX68+AZ68-AY68</x:f>
        <x:v>727732.1815909048</x:v>
      </x:c>
      <x:c r="BB68" s="141" t="n">
        <x:f>IF(AW68&gt;1,"Inviavel",BA68)</x:f>
        <x:v>727732.1815909048</x:v>
      </x:c>
      <x:c r="BC68" s="141" t="str">
        <x:f>IF(AW68&gt;1,"Inviavel","OK")</x:f>
        <x:v>OK</x:v>
      </x:c>
      <x:c r="BD68" s="141" t="n">
        <x:f>IF($A68='Consorcio Direto'!$B$29,'Consorcio Direto'!$B$44,0)</x:f>
        <x:v>0</x:v>
      </x:c>
      <x:c r="BE68" s="141" t="n">
        <x:f>IF($A68&lt;='Consorcio Direto'!$B$27,INDEX('Consorcio Direto'!$E$55:$E$534,$A68),0)</x:f>
        <x:v>1976.855957148016</x:v>
      </x:c>
      <x:c r="BF68" s="141" t="n">
        <x:f>IF(AND(TRUE,Premissas!$B$11="Imovel",Premissas!$B$47="Moradia",$A68&lt;MAX('Consorcio Direto'!$B$29,Premissas!$B$49)),$D68,0)</x:f>
        <x:v>0</x:v>
      </x:c>
      <x:c r="BG68" s="141" t="n">
        <x:f>IF(AND(TRUE,Premissas!$B$11="Imovel",Premissas!$B$47="Investimento",$A68&gt;=MAX('Consorcio Direto'!$B$29,Premissas!$B$49)),$E68,0)</x:f>
        <x:v>856.4643696640002</x:v>
      </x:c>
      <x:c r="BH68" s="141" t="n">
        <x:f>BD68+BE68+BF68</x:f>
        <x:v>1976.855957148016</x:v>
      </x:c>
      <x:c r="BI68" s="141" t="n">
        <x:f>BG68</x:f>
        <x:v>856.4643696640002</x:v>
      </x:c>
      <x:c r="BJ68" s="141" t="n">
        <x:f>$C68+BI68-BH68</x:f>
        <x:v>5879.608412515985</x:v>
      </x:c>
      <x:c r="BK68" s="141" t="n">
        <x:f>BN67*(1+Premissas!$B$41)+BJ68</x:f>
        <x:v>634766.1291494868</x:v>
      </x:c>
      <x:c r="BL68" s="141" t="n">
        <x:f>MAX(0,-BK68)</x:f>
        <x:v>0</x:v>
      </x:c>
      <x:c r="BM68" s="141" t="n">
        <x:f>BM67*(1+Premissas!$B$41)+BL68</x:f>
        <x:v>0</x:v>
      </x:c>
      <x:c r="BN68" s="141" t="n">
        <x:f>MAX(0,BK68)</x:f>
        <x:v>634766.1291494868</x:v>
      </x:c>
      <x:c r="BO68" s="141" t="n">
        <x:f>INDEX('Consorcio Direto'!$K$55:$K$534,$A68)</x:f>
        <x:v>235232.35863154384</x:v>
      </x:c>
      <x:c r="BP68" s="141" t="n">
        <x:f>IF($A68&lt;'Consorcio Direto'!$B$29,INDEX('Consorcio Direto'!$L$55:$L$534,$A68),$F68)</x:f>
        <x:v>271572.4987729336</x:v>
      </x:c>
      <x:c r="BQ68" s="141" t="n">
        <x:f>BN68+BP68-BO68</x:f>
        <x:v>671106.2692908766</x:v>
      </x:c>
      <x:c r="BR68" s="141" t="n">
        <x:f>IF(BM68&gt;1,"Inviavel",BQ68)</x:f>
        <x:v>671106.2692908766</x:v>
      </x:c>
      <x:c r="BS68" s="141" t="str">
        <x:f>IF(BM68&gt;1,"Inviavel","OK")</x:f>
        <x:v>OK</x:v>
      </x:c>
      <x:c r="BT68" s="141" t="n">
        <x:f>IF(AND('Carta Contemplada'!$B$22="Sim",$A68='Carta Contemplada'!$B$23),'Carta Contemplada'!$B$37,0)</x:f>
        <x:v>0</x:v>
      </x:c>
      <x:c r="BU68" s="141" t="n">
        <x:f>IF('Carta Contemplada'!$B$22="Sim",INDEX('Carta Contemplada'!$C$55:$C$1013,$A68),0)</x:f>
        <x:v>1605.8706931200004</x:v>
      </x:c>
      <x:c r="BV68" s="141" t="n">
        <x:f>IF(AND('Carta Contemplada'!$B$22="Sim",Premissas!$B$11="Imovel",Premissas!$B$47="Moradia",$A68&lt;MAX('Carta Contemplada'!$B$44,Premissas!$B$49)),$D68,0)</x:f>
        <x:v>0</x:v>
      </x:c>
      <x:c r="BW68" s="141" t="n">
        <x:f>IF(AND('Carta Contemplada'!$B$22="Sim",Premissas!$B$11="Imovel",Premissas!$B$47="Investimento",$A68&gt;=MAX('Carta Contemplada'!$B$44,Premissas!$B$49)),$E68,0)</x:f>
        <x:v>856.4643696640002</x:v>
      </x:c>
      <x:c r="BX68" s="141" t="n">
        <x:f>BT68+BU68+BV68</x:f>
        <x:v>1605.8706931200004</x:v>
      </x:c>
      <x:c r="BY68" s="141" t="n">
        <x:f>BW68</x:f>
        <x:v>856.4643696640002</x:v>
      </x:c>
      <x:c r="BZ68" s="141" t="n">
        <x:f>$C68+BY68-BX68</x:f>
        <x:v>6250.593676544</x:v>
      </x:c>
      <x:c r="CA68" s="141" t="n">
        <x:f>CD67*(1+Premissas!$B$41)+BZ68</x:f>
        <x:v>635371.7606247782</x:v>
      </x:c>
      <x:c r="CB68" s="141" t="n">
        <x:f>MAX(0,-CA68)</x:f>
        <x:v>0</x:v>
      </x:c>
      <x:c r="CC68" s="141" t="n">
        <x:f>CC67*(1+Premissas!$B$41)+CB68</x:f>
        <x:v>0</x:v>
      </x:c>
      <x:c r="CD68" s="141" t="n">
        <x:f>MAX(0,CA68)</x:f>
        <x:v>635371.7606247782</x:v>
      </x:c>
      <x:c r="CE68" s="141" t="n">
        <x:f>IF(AND('Carta Contemplada'!$B$22="Sim",$A68&gt;='Carta Contemplada'!$B$23),INDEX('Carta Contemplada'!$I$55:$I$1013,$A68),0)</x:f>
        <x:v>142311.36477901324</x:v>
      </x:c>
      <x:c r="CF68" s="141" t="n">
        <x:f>IF(AND('Carta Contemplada'!$B$22="Sim",$A68&gt;='Carta Contemplada'!$B$44),$F68,0)</x:f>
        <x:v>271572.4987729336</x:v>
      </x:c>
      <x:c r="CG68" s="141" t="n">
        <x:f>CD68+CF68-CE68</x:f>
        <x:v>764632.8946186986</x:v>
      </x:c>
      <x:c r="CH68" s="141" t="n">
        <x:f>IF(CC68&gt;1,"Inviavel",CG68)</x:f>
        <x:v>764632.8946186986</x:v>
      </x:c>
      <x:c r="CI68" s="145" t="str">
        <x:f>IF(CC68&gt;1,"Inviavel","OK")</x:f>
        <x:v>OK</x:v>
      </x:c>
    </x:row>
    <x:row r="69">
      <x:c r="A69" s="142" t="n">
        <x:v>65</x:v>
      </x:c>
      <x:c r="B69" s="179" t="n">
        <x:f>EDATE(Premissas!$B$4,A69-1)</x:f>
        <x:v>48488</x:v>
      </x:c>
      <x:c r="C69" s="141" t="n">
        <x:f>IF(A69&lt;=Premissas!$B$39,Premissas!$B$42,0)</x:f>
        <x:v>7000</x:v>
      </x:c>
      <x:c r="D69" s="141" t="n">
        <x:f>Premissas!$B$54*(1+Premissas!$B$57)^INT((A69-1)/12)</x:f>
        <x:v>936.7579043200002</x:v>
      </x:c>
      <x:c r="E69" s="141" t="n">
        <x:f>Premissas!$B$64*(1+Premissas!$B$57)^INT((A69-1)/12)</x:f>
        <x:v>856.4643696640002</x:v>
      </x:c>
      <x:c r="F69" s="141" t="n">
        <x:f>MAX(0,Premissas!$B$6*(1+Premissas!$B$66)^((A69-1)/12))</x:f>
        <x:v>272894.3916428674</x:v>
      </x:c>
      <x:c r="G69" s="141" t="n">
        <x:f>G68*(1+Premissas!$B$41)+C69</x:f>
        <x:v>789969.6679927548</x:v>
      </x:c>
      <x:c r="H69" s="141" t="n">
        <x:f>IF($A69=Premissas!$B$48,Premissas!$B$8,0)</x:f>
        <x:v>0</x:v>
      </x:c>
      <x:c r="I69" s="141" t="n">
        <x:f>IF(AND($A69&gt;=Premissas!$B$48,$A69-Premissas!$B$48+1&lt;=Premissas!$B$13),INDEX(Financiamento!$J$6:$J$485,$A69-Premissas!$B$48+1),0)</x:f>
        <x:v>1817.8134417948847</x:v>
      </x:c>
      <x:c r="J69" s="141" t="n">
        <x:f>IF(AND(TRUE,Premissas!$B$11="Imovel",Premissas!$B$47="Moradia",$A69&lt;MAX(Premissas!$B$48,Premissas!$B$49)),$D69,0)</x:f>
        <x:v>0</x:v>
      </x:c>
      <x:c r="K69" s="141" t="n">
        <x:f>IF(AND(TRUE,Premissas!$B$11="Imovel",Premissas!$B$47="Investimento",$A69&gt;=MAX(Premissas!$B$48,Premissas!$B$49)),$E69,0)</x:f>
        <x:v>856.4643696640002</x:v>
      </x:c>
      <x:c r="L69" s="141" t="n">
        <x:f>H69+I69+J69</x:f>
        <x:v>1817.8134417948847</x:v>
      </x:c>
      <x:c r="M69" s="141" t="n">
        <x:f>K69</x:f>
        <x:v>856.4643696640002</x:v>
      </x:c>
      <x:c r="N69" s="141" t="n">
        <x:f>$C69+M69-L69</x:f>
        <x:v>6038.650927869116</x:v>
      </x:c>
      <x:c r="O69" s="141" t="n">
        <x:f>R68*(1+Premissas!$B$41)+N69</x:f>
        <x:v>607335.2023299966</x:v>
      </x:c>
      <x:c r="P69" s="141" t="n">
        <x:f>MAX(0,-O69)</x:f>
        <x:v>0</x:v>
      </x:c>
      <x:c r="Q69" s="141" t="n">
        <x:f>Q68*(1+Premissas!$B$41)+P69</x:f>
        <x:v>0</x:v>
      </x:c>
      <x:c r="R69" s="141" t="n">
        <x:f>MAX(0,O69)</x:f>
        <x:v>607335.2023299966</x:v>
      </x:c>
      <x:c r="S69" s="141" t="n">
        <x:f>IF(AND($A69&gt;=Premissas!$B$48,$A69-Premissas!$B$48+1&lt;=Premissas!$B$13),INDEX(Financiamento!$M$6:$M$485,$A69-Premissas!$B$48+1),0)</x:f>
        <x:v>135238.0952380955</x:v>
      </x:c>
      <x:c r="T69" s="141" t="n">
        <x:f>IF($A69&gt;=Premissas!$B$48,$F69,0)</x:f>
        <x:v>272894.3916428674</x:v>
      </x:c>
      <x:c r="U69" s="141" t="n">
        <x:f>R69+T69-S69</x:f>
        <x:v>744991.4987347686</x:v>
      </x:c>
      <x:c r="V69" s="141" t="n">
        <x:f>IF(Q69&gt;1,"Inviavel",U69)</x:f>
        <x:v>744991.4987347686</x:v>
      </x:c>
      <x:c r="W69" s="141" t="str">
        <x:f>IF(Q69&gt;1,"Inviavel","OK")</x:f>
        <x:v>OK</x:v>
      </x:c>
      <x:c r="X69" s="141" t="n">
        <x:f>IF($A69=Premissas!$B$48,Premissas!$B$8,0)</x:f>
        <x:v>0</x:v>
      </x:c>
      <x:c r="Y69" s="141" t="n">
        <x:f>IF(AND($A69&gt;=Premissas!$B$48,$A69-Premissas!$B$48+1&lt;=Premissas!$B$13),INDEX(Amortizacao!$K$6:$K$485,$A69-Premissas!$B$48+1),0)</x:f>
        <x:v>0</x:v>
      </x:c>
      <x:c r="Z69" s="141" t="n">
        <x:f>IF(AND(TRUE,Premissas!$B$11="Imovel",Premissas!$B$47="Moradia",$A69&lt;MAX(Premissas!$B$48,Premissas!$B$49)),$D69,0)</x:f>
        <x:v>0</x:v>
      </x:c>
      <x:c r="AA69" s="141" t="n">
        <x:f>IF(AND(TRUE,Premissas!$B$11="Imovel",Premissas!$B$47="Investimento",$A69&gt;=MAX(Premissas!$B$48,Premissas!$B$49)),$E69,0)</x:f>
        <x:v>856.4643696640002</x:v>
      </x:c>
      <x:c r="AB69" s="141" t="n">
        <x:f>X69+Y69+Z69</x:f>
        <x:v>0</x:v>
      </x:c>
      <x:c r="AC69" s="141" t="n">
        <x:f>AA69</x:f>
        <x:v>856.4643696640002</x:v>
      </x:c>
      <x:c r="AD69" s="141" t="n">
        <x:f>$C69+AC69-AB69</x:f>
        <x:v>7856.4643696640005</x:v>
      </x:c>
      <x:c r="AE69" s="141" t="n">
        <x:f>AH68*(1+Premissas!$B$41)+AD69</x:f>
        <x:v>478921.736533826</x:v>
      </x:c>
      <x:c r="AF69" s="141" t="n">
        <x:f>MAX(0,-AE69)</x:f>
        <x:v>0</x:v>
      </x:c>
      <x:c r="AG69" s="141" t="n">
        <x:f>AG68*(1+Premissas!$B$41)+AF69</x:f>
        <x:v>0</x:v>
      </x:c>
      <x:c r="AH69" s="141" t="n">
        <x:f>MAX(0,AE69)</x:f>
        <x:v>478921.736533826</x:v>
      </x:c>
      <x:c r="AI69" s="141" t="n">
        <x:f>IF(AND($A69&gt;=Premissas!$B$48,$A69-Premissas!$B$48+1&lt;=Premissas!$B$13),INDEX(Amortizacao!$L$6:$L$485,$A69-Premissas!$B$48+1),0)</x:f>
        <x:v>0</x:v>
      </x:c>
      <x:c r="AJ69" s="141" t="n">
        <x:f>IF($A69&gt;=Premissas!$B$48,$F69,0)</x:f>
        <x:v>272894.3916428674</x:v>
      </x:c>
      <x:c r="AK69" s="141" t="n">
        <x:f>AH69+AJ69-AI69</x:f>
        <x:v>751816.1281766933</x:v>
      </x:c>
      <x:c r="AL69" s="141" t="n">
        <x:f>IF(AG69&gt;1,"Inviavel",AK69)</x:f>
        <x:v>751816.1281766933</x:v>
      </x:c>
      <x:c r="AM69" s="141" t="str">
        <x:f>IF(AG69&gt;1,"Inviavel","OK")</x:f>
        <x:v>OK</x:v>
      </x:c>
      <x:c r="AN69" s="141" t="n">
        <x:f>IF($A69=Premissas!$B$48,Premissas!$B$8,0)</x:f>
        <x:v>0</x:v>
      </x:c>
      <x:c r="AO69" s="141" t="n">
        <x:f>IF($A69&lt;=Premissas!$B$25,INDEX('Consorcio IQ'!$K$6:$K$485,$A69),0)</x:f>
        <x:v>763.4120000000014</x:v>
      </x:c>
      <x:c r="AP69" s="141" t="n">
        <x:f>IF(AND(TRUE,Premissas!$B$11="Imovel",Premissas!$B$47="Moradia",$A69&lt;MAX(Premissas!$B$48,Premissas!$B$49)),$D69,0)</x:f>
        <x:v>0</x:v>
      </x:c>
      <x:c r="AQ69" s="141" t="n">
        <x:f>IF(AND(TRUE,Premissas!$B$11="Imovel",Premissas!$B$47="Investimento",$A69&gt;=MAX(Premissas!$B$48,Premissas!$B$49)),$E69,0)</x:f>
        <x:v>856.4643696640002</x:v>
      </x:c>
      <x:c r="AR69" s="141" t="n">
        <x:f>AN69+AO69+AP69</x:f>
        <x:v>763.4120000000014</x:v>
      </x:c>
      <x:c r="AS69" s="141" t="n">
        <x:f>AQ69</x:f>
        <x:v>856.4643696640002</x:v>
      </x:c>
      <x:c r="AT69" s="141" t="n">
        <x:f>$C69+AS69-AR69</x:f>
        <x:v>7093.052369663999</x:v>
      </x:c>
      <x:c r="AU69" s="141" t="n">
        <x:f>AX68*(1+Premissas!$B$41)+AT69</x:f>
        <x:v>559283.9241781178</x:v>
      </x:c>
      <x:c r="AV69" s="141" t="n">
        <x:f>MAX(0,-AU69)</x:f>
        <x:v>0</x:v>
      </x:c>
      <x:c r="AW69" s="141" t="n">
        <x:f>AW68*(1+Premissas!$B$41)+AV69</x:f>
        <x:v>0</x:v>
      </x:c>
      <x:c r="AX69" s="141" t="n">
        <x:f>MAX(0,AU69)</x:f>
        <x:v>559283.9241781178</x:v>
      </x:c>
      <x:c r="AY69" s="141" t="n">
        <x:f>INDEX('Consorcio IQ'!$P$6:$P$485,$A69)</x:f>
        <x:v>90939.37221511782</x:v>
      </x:c>
      <x:c r="AZ69" s="141" t="n">
        <x:f>IF($A69&gt;=Premissas!$B$48,$F69,0)+IF($A69&lt;Premissas!$B$27,INDEX('Consorcio IQ'!$O$6:$O$485,$A69),0)</x:f>
        <x:v>272894.3916428674</x:v>
      </x:c>
      <x:c r="BA69" s="141" t="n">
        <x:f>AX69+AZ69-AY69</x:f>
        <x:v>741238.9436058674</x:v>
      </x:c>
      <x:c r="BB69" s="141" t="n">
        <x:f>IF(AW69&gt;1,"Inviavel",BA69)</x:f>
        <x:v>741238.9436058674</x:v>
      </x:c>
      <x:c r="BC69" s="141" t="str">
        <x:f>IF(AW69&gt;1,"Inviavel","OK")</x:f>
        <x:v>OK</x:v>
      </x:c>
      <x:c r="BD69" s="141" t="n">
        <x:f>IF($A69='Consorcio Direto'!$B$29,'Consorcio Direto'!$B$44,0)</x:f>
        <x:v>0</x:v>
      </x:c>
      <x:c r="BE69" s="141" t="n">
        <x:f>IF($A69&lt;='Consorcio Direto'!$B$27,INDEX('Consorcio Direto'!$E$55:$E$534,$A69),0)</x:f>
        <x:v>1976.855957148016</x:v>
      </x:c>
      <x:c r="BF69" s="141" t="n">
        <x:f>IF(AND(TRUE,Premissas!$B$11="Imovel",Premissas!$B$47="Moradia",$A69&lt;MAX('Consorcio Direto'!$B$29,Premissas!$B$49)),$D69,0)</x:f>
        <x:v>0</x:v>
      </x:c>
      <x:c r="BG69" s="141" t="n">
        <x:f>IF(AND(TRUE,Premissas!$B$11="Imovel",Premissas!$B$47="Investimento",$A69&gt;=MAX('Consorcio Direto'!$B$29,Premissas!$B$49)),$E69,0)</x:f>
        <x:v>856.4643696640002</x:v>
      </x:c>
      <x:c r="BH69" s="141" t="n">
        <x:f>BD69+BE69+BF69</x:f>
        <x:v>1976.855957148016</x:v>
      </x:c>
      <x:c r="BI69" s="141" t="n">
        <x:f>BG69</x:f>
        <x:v>856.4643696640002</x:v>
      </x:c>
      <x:c r="BJ69" s="141" t="n">
        <x:f>$C69+BI69-BH69</x:f>
        <x:v>5879.608412515985</x:v>
      </x:c>
      <x:c r="BK69" s="141" t="n">
        <x:f>BN68*(1+Premissas!$B$41)+BJ69</x:f>
        <x:v>646668.901923389</x:v>
      </x:c>
      <x:c r="BL69" s="141" t="n">
        <x:f>MAX(0,-BK69)</x:f>
        <x:v>0</x:v>
      </x:c>
      <x:c r="BM69" s="141" t="n">
        <x:f>BM68*(1+Premissas!$B$41)+BL69</x:f>
        <x:v>0</x:v>
      </x:c>
      <x:c r="BN69" s="141" t="n">
        <x:f>MAX(0,BK69)</x:f>
        <x:v>646668.901923389</x:v>
      </x:c>
      <x:c r="BO69" s="141" t="n">
        <x:f>INDEX('Consorcio Direto'!$K$55:$K$534,$A69)</x:f>
        <x:v>235487.57381696414</x:v>
      </x:c>
      <x:c r="BP69" s="141" t="n">
        <x:f>IF($A69&lt;'Consorcio Direto'!$B$29,INDEX('Consorcio Direto'!$L$55:$L$534,$A69),$F69)</x:f>
        <x:v>272894.3916428674</x:v>
      </x:c>
      <x:c r="BQ69" s="141" t="n">
        <x:f>BN69+BP69-BO69</x:f>
        <x:v>684075.7197492924</x:v>
      </x:c>
      <x:c r="BR69" s="141" t="n">
        <x:f>IF(BM69&gt;1,"Inviavel",BQ69)</x:f>
        <x:v>684075.7197492924</x:v>
      </x:c>
      <x:c r="BS69" s="141" t="str">
        <x:f>IF(BM69&gt;1,"Inviavel","OK")</x:f>
        <x:v>OK</x:v>
      </x:c>
      <x:c r="BT69" s="141" t="n">
        <x:f>IF(AND('Carta Contemplada'!$B$22="Sim",$A69='Carta Contemplada'!$B$23),'Carta Contemplada'!$B$37,0)</x:f>
        <x:v>0</x:v>
      </x:c>
      <x:c r="BU69" s="141" t="n">
        <x:f>IF('Carta Contemplada'!$B$22="Sim",INDEX('Carta Contemplada'!$C$55:$C$1013,$A69),0)</x:f>
        <x:v>1605.8706931200004</x:v>
      </x:c>
      <x:c r="BV69" s="141" t="n">
        <x:f>IF(AND('Carta Contemplada'!$B$22="Sim",Premissas!$B$11="Imovel",Premissas!$B$47="Moradia",$A69&lt;MAX('Carta Contemplada'!$B$44,Premissas!$B$49)),$D69,0)</x:f>
        <x:v>0</x:v>
      </x:c>
      <x:c r="BW69" s="141" t="n">
        <x:f>IF(AND('Carta Contemplada'!$B$22="Sim",Premissas!$B$11="Imovel",Premissas!$B$47="Investimento",$A69&gt;=MAX('Carta Contemplada'!$B$44,Premissas!$B$49)),$E69,0)</x:f>
        <x:v>856.4643696640002</x:v>
      </x:c>
      <x:c r="BX69" s="141" t="n">
        <x:f>BT69+BU69+BV69</x:f>
        <x:v>1605.8706931200004</x:v>
      </x:c>
      <x:c r="BY69" s="141" t="n">
        <x:f>BW69</x:f>
        <x:v>856.4643696640002</x:v>
      </x:c>
      <x:c r="BZ69" s="141" t="n">
        <x:f>$C69+BY69-BX69</x:f>
        <x:v>6250.593676544</x:v>
      </x:c>
      <x:c r="CA69" s="141" t="n">
        <x:f>CD68*(1+Premissas!$B$41)+BZ69</x:f>
        <x:v>647651.2653743722</x:v>
      </x:c>
      <x:c r="CB69" s="141" t="n">
        <x:f>MAX(0,-CA69)</x:f>
        <x:v>0</x:v>
      </x:c>
      <x:c r="CC69" s="141" t="n">
        <x:f>CC68*(1+Premissas!$B$41)+CB69</x:f>
        <x:v>0</x:v>
      </x:c>
      <x:c r="CD69" s="141" t="n">
        <x:f>MAX(0,CA69)</x:f>
        <x:v>647651.2653743722</x:v>
      </x:c>
      <x:c r="CE69" s="141" t="n">
        <x:f>IF(AND('Carta Contemplada'!$B$22="Sim",$A69&gt;='Carta Contemplada'!$B$23),INDEX('Carta Contemplada'!$I$55:$I$1013,$A69),0)</x:f>
        <x:v>142055.8571585192</x:v>
      </x:c>
      <x:c r="CF69" s="141" t="n">
        <x:f>IF(AND('Carta Contemplada'!$B$22="Sim",$A69&gt;='Carta Contemplada'!$B$44),$F69,0)</x:f>
        <x:v>272894.3916428674</x:v>
      </x:c>
      <x:c r="CG69" s="141" t="n">
        <x:f>CD69+CF69-CE69</x:f>
        <x:v>778489.7998587204</x:v>
      </x:c>
      <x:c r="CH69" s="141" t="n">
        <x:f>IF(CC69&gt;1,"Inviavel",CG69)</x:f>
        <x:v>778489.7998587204</x:v>
      </x:c>
      <x:c r="CI69" s="145" t="str">
        <x:f>IF(CC69&gt;1,"Inviavel","OK")</x:f>
        <x:v>OK</x:v>
      </x:c>
    </x:row>
    <x:row r="70">
      <x:c r="A70" s="142" t="n">
        <x:v>66</x:v>
      </x:c>
      <x:c r="B70" s="179" t="n">
        <x:f>EDATE(Premissas!$B$4,A70-1)</x:f>
        <x:v>48519</x:v>
      </x:c>
      <x:c r="C70" s="141" t="n">
        <x:f>IF(A70&lt;=Premissas!$B$39,Premissas!$B$42,0)</x:f>
        <x:v>7000</x:v>
      </x:c>
      <x:c r="D70" s="141" t="n">
        <x:f>Premissas!$B$54*(1+Premissas!$B$57)^INT((A70-1)/12)</x:f>
        <x:v>936.7579043200002</x:v>
      </x:c>
      <x:c r="E70" s="141" t="n">
        <x:f>Premissas!$B$64*(1+Premissas!$B$57)^INT((A70-1)/12)</x:f>
        <x:v>856.4643696640002</x:v>
      </x:c>
      <x:c r="F70" s="141" t="n">
        <x:f>MAX(0,Premissas!$B$6*(1+Premissas!$B$66)^((A70-1)/12))</x:f>
        <x:v>274222.7188931876</x:v>
      </x:c>
      <x:c r="G70" s="141" t="n">
        <x:f>G69*(1+Premissas!$B$41)+C70</x:f>
        <x:v>804465.5265969394</x:v>
      </x:c>
      <x:c r="H70" s="141" t="n">
        <x:f>IF($A70=Premissas!$B$48,Premissas!$B$8,0)</x:f>
        <x:v>0</x:v>
      </x:c>
      <x:c r="I70" s="141" t="n">
        <x:f>IF(AND($A70&gt;=Premissas!$B$48,$A70-Premissas!$B$48+1&lt;=Premissas!$B$13),INDEX(Financiamento!$J$6:$J$485,$A70-Premissas!$B$48+1),0)</x:f>
        <x:v>1814.1986635340913</x:v>
      </x:c>
      <x:c r="J70" s="141" t="n">
        <x:f>IF(AND(TRUE,Premissas!$B$11="Imovel",Premissas!$B$47="Moradia",$A70&lt;MAX(Premissas!$B$48,Premissas!$B$49)),$D70,0)</x:f>
        <x:v>0</x:v>
      </x:c>
      <x:c r="K70" s="141" t="n">
        <x:f>IF(AND(TRUE,Premissas!$B$11="Imovel",Premissas!$B$47="Investimento",$A70&gt;=MAX(Premissas!$B$48,Premissas!$B$49)),$E70,0)</x:f>
        <x:v>856.4643696640002</x:v>
      </x:c>
      <x:c r="L70" s="141" t="n">
        <x:f>H70+I70+J70</x:f>
        <x:v>1814.1986635340913</x:v>
      </x:c>
      <x:c r="M70" s="141" t="n">
        <x:f>K70</x:f>
        <x:v>856.4643696640002</x:v>
      </x:c>
      <x:c r="N70" s="141" t="n">
        <x:f>$C70+M70-L70</x:f>
        <x:v>6042.265706129909</x:v>
      </x:c>
      <x:c r="O70" s="141" t="n">
        <x:f>R69*(1+Premissas!$B$41)+N70</x:f>
        <x:v>619140.346012919</x:v>
      </x:c>
      <x:c r="P70" s="141" t="n">
        <x:f>MAX(0,-O70)</x:f>
        <x:v>0</x:v>
      </x:c>
      <x:c r="Q70" s="141" t="n">
        <x:f>Q69*(1+Premissas!$B$41)+P70</x:f>
        <x:v>0</x:v>
      </x:c>
      <x:c r="R70" s="141" t="n">
        <x:f>MAX(0,O70)</x:f>
        <x:v>619140.346012919</x:v>
      </x:c>
      <x:c r="S70" s="141" t="n">
        <x:f>IF(AND($A70&gt;=Premissas!$B$48,$A70-Premissas!$B$48+1&lt;=Premissas!$B$13),INDEX(Financiamento!$M$6:$M$485,$A70-Premissas!$B$48+1),0)</x:f>
        <x:v>134857.1428571431</x:v>
      </x:c>
      <x:c r="T70" s="141" t="n">
        <x:f>IF($A70&gt;=Premissas!$B$48,$F70,0)</x:f>
        <x:v>274222.7188931876</x:v>
      </x:c>
      <x:c r="U70" s="141" t="n">
        <x:f>R70+T70-S70</x:f>
        <x:v>758505.9220489635</x:v>
      </x:c>
      <x:c r="V70" s="141" t="n">
        <x:f>IF(Q70&gt;1,"Inviavel",U70)</x:f>
        <x:v>758505.9220489635</x:v>
      </x:c>
      <x:c r="W70" s="141" t="str">
        <x:f>IF(Q70&gt;1,"Inviavel","OK")</x:f>
        <x:v>OK</x:v>
      </x:c>
      <x:c r="X70" s="141" t="n">
        <x:f>IF($A70=Premissas!$B$48,Premissas!$B$8,0)</x:f>
        <x:v>0</x:v>
      </x:c>
      <x:c r="Y70" s="141" t="n">
        <x:f>IF(AND($A70&gt;=Premissas!$B$48,$A70-Premissas!$B$48+1&lt;=Premissas!$B$13),INDEX(Amortizacao!$K$6:$K$485,$A70-Premissas!$B$48+1),0)</x:f>
        <x:v>0</x:v>
      </x:c>
      <x:c r="Z70" s="141" t="n">
        <x:f>IF(AND(TRUE,Premissas!$B$11="Imovel",Premissas!$B$47="Moradia",$A70&lt;MAX(Premissas!$B$48,Premissas!$B$49)),$D70,0)</x:f>
        <x:v>0</x:v>
      </x:c>
      <x:c r="AA70" s="141" t="n">
        <x:f>IF(AND(TRUE,Premissas!$B$11="Imovel",Premissas!$B$47="Investimento",$A70&gt;=MAX(Premissas!$B$48,Premissas!$B$49)),$E70,0)</x:f>
        <x:v>856.4643696640002</x:v>
      </x:c>
      <x:c r="AB70" s="141" t="n">
        <x:f>X70+Y70+Z70</x:f>
        <x:v>0</x:v>
      </x:c>
      <x:c r="AC70" s="141" t="n">
        <x:f>AA70</x:f>
        <x:v>856.4643696640002</x:v>
      </x:c>
      <x:c r="AD70" s="141" t="n">
        <x:f>$C70+AC70-AB70</x:f>
        <x:v>7856.4643696640005</x:v>
      </x:c>
      <x:c r="AE70" s="141" t="n">
        <x:f>AH69*(1+Premissas!$B$41)+AD70</x:f>
        <x:v>491322.5900933304</x:v>
      </x:c>
      <x:c r="AF70" s="141" t="n">
        <x:f>MAX(0,-AE70)</x:f>
        <x:v>0</x:v>
      </x:c>
      <x:c r="AG70" s="141" t="n">
        <x:f>AG69*(1+Premissas!$B$41)+AF70</x:f>
        <x:v>0</x:v>
      </x:c>
      <x:c r="AH70" s="141" t="n">
        <x:f>MAX(0,AE70)</x:f>
        <x:v>491322.5900933304</x:v>
      </x:c>
      <x:c r="AI70" s="141" t="n">
        <x:f>IF(AND($A70&gt;=Premissas!$B$48,$A70-Premissas!$B$48+1&lt;=Premissas!$B$13),INDEX(Amortizacao!$L$6:$L$485,$A70-Premissas!$B$48+1),0)</x:f>
        <x:v>0</x:v>
      </x:c>
      <x:c r="AJ70" s="141" t="n">
        <x:f>IF($A70&gt;=Premissas!$B$48,$F70,0)</x:f>
        <x:v>274222.7188931876</x:v>
      </x:c>
      <x:c r="AK70" s="141" t="n">
        <x:f>AH70+AJ70-AI70</x:f>
        <x:v>765545.3089865181</x:v>
      </x:c>
      <x:c r="AL70" s="141" t="n">
        <x:f>IF(AG70&gt;1,"Inviavel",AK70)</x:f>
        <x:v>765545.3089865181</x:v>
      </x:c>
      <x:c r="AM70" s="141" t="str">
        <x:f>IF(AG70&gt;1,"Inviavel","OK")</x:f>
        <x:v>OK</x:v>
      </x:c>
      <x:c r="AN70" s="141" t="n">
        <x:f>IF($A70=Premissas!$B$48,Premissas!$B$8,0)</x:f>
        <x:v>0</x:v>
      </x:c>
      <x:c r="AO70" s="141" t="n">
        <x:f>IF($A70&lt;=Premissas!$B$25,INDEX('Consorcio IQ'!$K$6:$K$485,$A70),0)</x:f>
        <x:v>763.4120000000014</x:v>
      </x:c>
      <x:c r="AP70" s="141" t="n">
        <x:f>IF(AND(TRUE,Premissas!$B$11="Imovel",Premissas!$B$47="Moradia",$A70&lt;MAX(Premissas!$B$48,Premissas!$B$49)),$D70,0)</x:f>
        <x:v>0</x:v>
      </x:c>
      <x:c r="AQ70" s="141" t="n">
        <x:f>IF(AND(TRUE,Premissas!$B$11="Imovel",Premissas!$B$47="Investimento",$A70&gt;=MAX(Premissas!$B$48,Premissas!$B$49)),$E70,0)</x:f>
        <x:v>856.4643696640002</x:v>
      </x:c>
      <x:c r="AR70" s="141" t="n">
        <x:f>AN70+AO70+AP70</x:f>
        <x:v>763.4120000000014</x:v>
      </x:c>
      <x:c r="AS70" s="141" t="n">
        <x:f>AQ70</x:f>
        <x:v>856.4643696640002</x:v>
      </x:c>
      <x:c r="AT70" s="141" t="n">
        <x:f>$C70+AS70-AR70</x:f>
        <x:v>7093.052369663999</x:v>
      </x:c>
      <x:c r="AU70" s="141" t="n">
        <x:f>AX69*(1+Premissas!$B$41)+AT70</x:f>
        <x:v>571683.9058959489</x:v>
      </x:c>
      <x:c r="AV70" s="141" t="n">
        <x:f>MAX(0,-AU70)</x:f>
        <x:v>0</x:v>
      </x:c>
      <x:c r="AW70" s="141" t="n">
        <x:f>AW69*(1+Premissas!$B$41)+AV70</x:f>
        <x:v>0</x:v>
      </x:c>
      <x:c r="AX70" s="141" t="n">
        <x:f>MAX(0,AU70)</x:f>
        <x:v>571683.9058959489</x:v>
      </x:c>
      <x:c r="AY70" s="141" t="n">
        <x:f>INDEX('Consorcio IQ'!$P$6:$P$485,$A70)</x:f>
        <x:v>91038.86508766805</x:v>
      </x:c>
      <x:c r="AZ70" s="141" t="n">
        <x:f>IF($A70&gt;=Premissas!$B$48,$F70,0)+IF($A70&lt;Premissas!$B$27,INDEX('Consorcio IQ'!$O$6:$O$485,$A70),0)</x:f>
        <x:v>274222.7188931876</x:v>
      </x:c>
      <x:c r="BA70" s="141" t="n">
        <x:f>AX70+AZ70-AY70</x:f>
        <x:v>754867.7597014684</x:v>
      </x:c>
      <x:c r="BB70" s="141" t="n">
        <x:f>IF(AW70&gt;1,"Inviavel",BA70)</x:f>
        <x:v>754867.7597014684</x:v>
      </x:c>
      <x:c r="BC70" s="141" t="str">
        <x:f>IF(AW70&gt;1,"Inviavel","OK")</x:f>
        <x:v>OK</x:v>
      </x:c>
      <x:c r="BD70" s="141" t="n">
        <x:f>IF($A70='Consorcio Direto'!$B$29,'Consorcio Direto'!$B$44,0)</x:f>
        <x:v>0</x:v>
      </x:c>
      <x:c r="BE70" s="141" t="n">
        <x:f>IF($A70&lt;='Consorcio Direto'!$B$27,INDEX('Consorcio Direto'!$E$55:$E$534,$A70),0)</x:f>
        <x:v>1976.855957148016</x:v>
      </x:c>
      <x:c r="BF70" s="141" t="n">
        <x:f>IF(AND(TRUE,Premissas!$B$11="Imovel",Premissas!$B$47="Moradia",$A70&lt;MAX('Consorcio Direto'!$B$29,Premissas!$B$49)),$D70,0)</x:f>
        <x:v>0</x:v>
      </x:c>
      <x:c r="BG70" s="141" t="n">
        <x:f>IF(AND(TRUE,Premissas!$B$11="Imovel",Premissas!$B$47="Investimento",$A70&gt;=MAX('Consorcio Direto'!$B$29,Premissas!$B$49)),$E70,0)</x:f>
        <x:v>856.4643696640002</x:v>
      </x:c>
      <x:c r="BH70" s="141" t="n">
        <x:f>BD70+BE70+BF70</x:f>
        <x:v>1976.855957148016</x:v>
      </x:c>
      <x:c r="BI70" s="141" t="n">
        <x:f>BG70</x:f>
        <x:v>856.4643696640002</x:v>
      </x:c>
      <x:c r="BJ70" s="141" t="n">
        <x:f>$C70+BI70-BH70</x:f>
        <x:v>5879.608412515985</x:v>
      </x:c>
      <x:c r="BK70" s="141" t="n">
        <x:f>BN69*(1+Premissas!$B$41)+BJ70</x:f>
        <x:v>658684.6176434902</x:v>
      </x:c>
      <x:c r="BL70" s="141" t="n">
        <x:f>MAX(0,-BK70)</x:f>
        <x:v>0</x:v>
      </x:c>
      <x:c r="BM70" s="141" t="n">
        <x:f>BM69*(1+Premissas!$B$41)+BL70</x:f>
        <x:v>0</x:v>
      </x:c>
      <x:c r="BN70" s="141" t="n">
        <x:f>MAX(0,BK70)</x:f>
        <x:v>658684.6176434902</x:v>
      </x:c>
      <x:c r="BO70" s="141" t="n">
        <x:f>INDEX('Consorcio Direto'!$K$55:$K$534,$A70)</x:f>
        <x:v>235745.21068643263</x:v>
      </x:c>
      <x:c r="BP70" s="141" t="n">
        <x:f>IF($A70&lt;'Consorcio Direto'!$B$29,INDEX('Consorcio Direto'!$L$55:$L$534,$A70),$F70)</x:f>
        <x:v>274222.7188931876</x:v>
      </x:c>
      <x:c r="BQ70" s="141" t="n">
        <x:f>BN70+BP70-BO70</x:f>
        <x:v>697162.1258502451</x:v>
      </x:c>
      <x:c r="BR70" s="141" t="n">
        <x:f>IF(BM70&gt;1,"Inviavel",BQ70)</x:f>
        <x:v>697162.1258502451</x:v>
      </x:c>
      <x:c r="BS70" s="141" t="str">
        <x:f>IF(BM70&gt;1,"Inviavel","OK")</x:f>
        <x:v>OK</x:v>
      </x:c>
      <x:c r="BT70" s="141" t="n">
        <x:f>IF(AND('Carta Contemplada'!$B$22="Sim",$A70='Carta Contemplada'!$B$23),'Carta Contemplada'!$B$37,0)</x:f>
        <x:v>0</x:v>
      </x:c>
      <x:c r="BU70" s="141" t="n">
        <x:f>IF('Carta Contemplada'!$B$22="Sim",INDEX('Carta Contemplada'!$C$55:$C$1013,$A70),0)</x:f>
        <x:v>1605.8706931200004</x:v>
      </x:c>
      <x:c r="BV70" s="141" t="n">
        <x:f>IF(AND('Carta Contemplada'!$B$22="Sim",Premissas!$B$11="Imovel",Premissas!$B$47="Moradia",$A70&lt;MAX('Carta Contemplada'!$B$44,Premissas!$B$49)),$D70,0)</x:f>
        <x:v>0</x:v>
      </x:c>
      <x:c r="BW70" s="141" t="n">
        <x:f>IF(AND('Carta Contemplada'!$B$22="Sim",Premissas!$B$11="Imovel",Premissas!$B$47="Investimento",$A70&gt;=MAX('Carta Contemplada'!$B$44,Premissas!$B$49)),$E70,0)</x:f>
        <x:v>856.4643696640002</x:v>
      </x:c>
      <x:c r="BX70" s="141" t="n">
        <x:f>BT70+BU70+BV70</x:f>
        <x:v>1605.8706931200004</x:v>
      </x:c>
      <x:c r="BY70" s="141" t="n">
        <x:f>BW70</x:f>
        <x:v>856.4643696640002</x:v>
      </x:c>
      <x:c r="BZ70" s="141" t="n">
        <x:f>$C70+BY70-BX70</x:f>
        <x:v>6250.593676544</x:v>
      </x:c>
      <x:c r="CA70" s="141" t="n">
        <x:f>CD69*(1+Premissas!$B$41)+BZ70</x:f>
        <x:v>660047.2878018743</x:v>
      </x:c>
      <x:c r="CB70" s="141" t="n">
        <x:f>MAX(0,-CA70)</x:f>
        <x:v>0</x:v>
      </x:c>
      <x:c r="CC70" s="141" t="n">
        <x:f>CC69*(1+Premissas!$B$41)+CB70</x:f>
        <x:v>0</x:v>
      </x:c>
      <x:c r="CD70" s="141" t="n">
        <x:f>MAX(0,CA70)</x:f>
        <x:v>660047.2878018743</x:v>
      </x:c>
      <x:c r="CE70" s="141" t="n">
        <x:f>IF(AND('Carta Contemplada'!$B$22="Sim",$A70&gt;='Carta Contemplada'!$B$23),INDEX('Carta Contemplada'!$I$55:$I$1013,$A70),0)</x:f>
        <x:v>141797.9250791211</x:v>
      </x:c>
      <x:c r="CF70" s="141" t="n">
        <x:f>IF(AND('Carta Contemplada'!$B$22="Sim",$A70&gt;='Carta Contemplada'!$B$44),$F70,0)</x:f>
        <x:v>274222.7188931876</x:v>
      </x:c>
      <x:c r="CG70" s="141" t="n">
        <x:f>CD70+CF70-CE70</x:f>
        <x:v>792472.0816159408</x:v>
      </x:c>
      <x:c r="CH70" s="141" t="n">
        <x:f>IF(CC70&gt;1,"Inviavel",CG70)</x:f>
        <x:v>792472.0816159408</x:v>
      </x:c>
      <x:c r="CI70" s="145" t="str">
        <x:f>IF(CC70&gt;1,"Inviavel","OK")</x:f>
        <x:v>OK</x:v>
      </x:c>
    </x:row>
    <x:row r="71">
      <x:c r="A71" s="142" t="n">
        <x:v>67</x:v>
      </x:c>
      <x:c r="B71" s="179" t="n">
        <x:f>EDATE(Premissas!$B$4,A71-1)</x:f>
        <x:v>48549</x:v>
      </x:c>
      <x:c r="C71" s="141" t="n">
        <x:f>IF(A71&lt;=Premissas!$B$39,Premissas!$B$42,0)</x:f>
        <x:v>7000</x:v>
      </x:c>
      <x:c r="D71" s="141" t="n">
        <x:f>Premissas!$B$54*(1+Premissas!$B$57)^INT((A71-1)/12)</x:f>
        <x:v>936.7579043200002</x:v>
      </x:c>
      <x:c r="E71" s="141" t="n">
        <x:f>Premissas!$B$64*(1+Premissas!$B$57)^INT((A71-1)/12)</x:f>
        <x:v>856.4643696640002</x:v>
      </x:c>
      <x:c r="F71" s="141" t="n">
        <x:f>MAX(0,Premissas!$B$6*(1+Premissas!$B$66)^((A71-1)/12))</x:f>
        <x:v>275557.511843566</x:v>
      </x:c>
      <x:c r="G71" s="141" t="n">
        <x:f>G70*(1+Premissas!$B$41)+C71</x:f>
        <x:v>819098.933401828</x:v>
      </x:c>
      <x:c r="H71" s="141" t="n">
        <x:f>IF($A71=Premissas!$B$48,Premissas!$B$8,0)</x:f>
        <x:v>0</x:v>
      </x:c>
      <x:c r="I71" s="141" t="n">
        <x:f>IF(AND($A71&gt;=Premissas!$B$48,$A71-Premissas!$B$48+1&lt;=Premissas!$B$13),INDEX(Financiamento!$J$6:$J$485,$A71-Premissas!$B$48+1),0)</x:f>
        <x:v>1810.5838852732975</x:v>
      </x:c>
      <x:c r="J71" s="141" t="n">
        <x:f>IF(AND(TRUE,Premissas!$B$11="Imovel",Premissas!$B$47="Moradia",$A71&lt;MAX(Premissas!$B$48,Premissas!$B$49)),$D71,0)</x:f>
        <x:v>0</x:v>
      </x:c>
      <x:c r="K71" s="141" t="n">
        <x:f>IF(AND(TRUE,Premissas!$B$11="Imovel",Premissas!$B$47="Investimento",$A71&gt;=MAX(Premissas!$B$48,Premissas!$B$49)),$E71,0)</x:f>
        <x:v>856.4643696640002</x:v>
      </x:c>
      <x:c r="L71" s="141" t="n">
        <x:f>H71+I71+J71</x:f>
        <x:v>1810.5838852732975</x:v>
      </x:c>
      <x:c r="M71" s="141" t="n">
        <x:f>K71</x:f>
        <x:v>856.4643696640002</x:v>
      </x:c>
      <x:c r="N71" s="141" t="n">
        <x:f>$C71+M71-L71</x:f>
        <x:v>6045.880484390703</x:v>
      </x:c>
      <x:c r="O71" s="141" t="n">
        <x:f>R70*(1+Premissas!$B$41)+N71</x:f>
        <x:v>631061.1210380723</x:v>
      </x:c>
      <x:c r="P71" s="141" t="n">
        <x:f>MAX(0,-O71)</x:f>
        <x:v>0</x:v>
      </x:c>
      <x:c r="Q71" s="141" t="n">
        <x:f>Q70*(1+Premissas!$B$41)+P71</x:f>
        <x:v>0</x:v>
      </x:c>
      <x:c r="R71" s="141" t="n">
        <x:f>MAX(0,O71)</x:f>
        <x:v>631061.1210380723</x:v>
      </x:c>
      <x:c r="S71" s="141" t="n">
        <x:f>IF(AND($A71&gt;=Premissas!$B$48,$A71-Premissas!$B$48+1&lt;=Premissas!$B$13),INDEX(Financiamento!$M$6:$M$485,$A71-Premissas!$B$48+1),0)</x:f>
        <x:v>134476.1904761907</x:v>
      </x:c>
      <x:c r="T71" s="141" t="n">
        <x:f>IF($A71&gt;=Premissas!$B$48,$F71,0)</x:f>
        <x:v>275557.511843566</x:v>
      </x:c>
      <x:c r="U71" s="141" t="n">
        <x:f>R71+T71-S71</x:f>
        <x:v>772142.4424054476</x:v>
      </x:c>
      <x:c r="V71" s="141" t="n">
        <x:f>IF(Q71&gt;1,"Inviavel",U71)</x:f>
        <x:v>772142.4424054476</x:v>
      </x:c>
      <x:c r="W71" s="141" t="str">
        <x:f>IF(Q71&gt;1,"Inviavel","OK")</x:f>
        <x:v>OK</x:v>
      </x:c>
      <x:c r="X71" s="141" t="n">
        <x:f>IF($A71=Premissas!$B$48,Premissas!$B$8,0)</x:f>
        <x:v>0</x:v>
      </x:c>
      <x:c r="Y71" s="141" t="n">
        <x:f>IF(AND($A71&gt;=Premissas!$B$48,$A71-Premissas!$B$48+1&lt;=Premissas!$B$13),INDEX(Amortizacao!$K$6:$K$485,$A71-Premissas!$B$48+1),0)</x:f>
        <x:v>0</x:v>
      </x:c>
      <x:c r="Z71" s="141" t="n">
        <x:f>IF(AND(TRUE,Premissas!$B$11="Imovel",Premissas!$B$47="Moradia",$A71&lt;MAX(Premissas!$B$48,Premissas!$B$49)),$D71,0)</x:f>
        <x:v>0</x:v>
      </x:c>
      <x:c r="AA71" s="141" t="n">
        <x:f>IF(AND(TRUE,Premissas!$B$11="Imovel",Premissas!$B$47="Investimento",$A71&gt;=MAX(Premissas!$B$48,Premissas!$B$49)),$E71,0)</x:f>
        <x:v>856.4643696640002</x:v>
      </x:c>
      <x:c r="AB71" s="141" t="n">
        <x:f>X71+Y71+Z71</x:f>
        <x:v>0</x:v>
      </x:c>
      <x:c r="AC71" s="141" t="n">
        <x:f>AA71</x:f>
        <x:v>856.4643696640002</x:v>
      </x:c>
      <x:c r="AD71" s="141" t="n">
        <x:f>$C71+AC71-AB71</x:f>
        <x:v>7856.4643696640005</x:v>
      </x:c>
      <x:c r="AE71" s="141" t="n">
        <x:f>AH70*(1+Premissas!$B$41)+AD71</x:f>
        <x:v>503841.1127844731</x:v>
      </x:c>
      <x:c r="AF71" s="141" t="n">
        <x:f>MAX(0,-AE71)</x:f>
        <x:v>0</x:v>
      </x:c>
      <x:c r="AG71" s="141" t="n">
        <x:f>AG70*(1+Premissas!$B$41)+AF71</x:f>
        <x:v>0</x:v>
      </x:c>
      <x:c r="AH71" s="141" t="n">
        <x:f>MAX(0,AE71)</x:f>
        <x:v>503841.1127844731</x:v>
      </x:c>
      <x:c r="AI71" s="141" t="n">
        <x:f>IF(AND($A71&gt;=Premissas!$B$48,$A71-Premissas!$B$48+1&lt;=Premissas!$B$13),INDEX(Amortizacao!$L$6:$L$485,$A71-Premissas!$B$48+1),0)</x:f>
        <x:v>0</x:v>
      </x:c>
      <x:c r="AJ71" s="141" t="n">
        <x:f>IF($A71&gt;=Premissas!$B$48,$F71,0)</x:f>
        <x:v>275557.511843566</x:v>
      </x:c>
      <x:c r="AK71" s="141" t="n">
        <x:f>AH71+AJ71-AI71</x:f>
        <x:v>779398.6246280391</x:v>
      </x:c>
      <x:c r="AL71" s="141" t="n">
        <x:f>IF(AG71&gt;1,"Inviavel",AK71)</x:f>
        <x:v>779398.6246280391</x:v>
      </x:c>
      <x:c r="AM71" s="141" t="str">
        <x:f>IF(AG71&gt;1,"Inviavel","OK")</x:f>
        <x:v>OK</x:v>
      </x:c>
      <x:c r="AN71" s="141" t="n">
        <x:f>IF($A71=Premissas!$B$48,Premissas!$B$8,0)</x:f>
        <x:v>0</x:v>
      </x:c>
      <x:c r="AO71" s="141" t="n">
        <x:f>IF($A71&lt;=Premissas!$B$25,INDEX('Consorcio IQ'!$K$6:$K$485,$A71),0)</x:f>
        <x:v>763.4120000000014</x:v>
      </x:c>
      <x:c r="AP71" s="141" t="n">
        <x:f>IF(AND(TRUE,Premissas!$B$11="Imovel",Premissas!$B$47="Moradia",$A71&lt;MAX(Premissas!$B$48,Premissas!$B$49)),$D71,0)</x:f>
        <x:v>0</x:v>
      </x:c>
      <x:c r="AQ71" s="141" t="n">
        <x:f>IF(AND(TRUE,Premissas!$B$11="Imovel",Premissas!$B$47="Investimento",$A71&gt;=MAX(Premissas!$B$48,Premissas!$B$49)),$E71,0)</x:f>
        <x:v>856.4643696640002</x:v>
      </x:c>
      <x:c r="AR71" s="141" t="n">
        <x:f>AN71+AO71+AP71</x:f>
        <x:v>763.4120000000014</x:v>
      </x:c>
      <x:c r="AS71" s="141" t="n">
        <x:f>AQ71</x:f>
        <x:v>856.4643696640002</x:v>
      </x:c>
      <x:c r="AT71" s="141" t="n">
        <x:f>$C71+AS71-AR71</x:f>
        <x:v>7093.052369663999</x:v>
      </x:c>
      <x:c r="AU71" s="141" t="n">
        <x:f>AX70*(1+Premissas!$B$41)+AT71</x:f>
        <x:v>584201.5484726932</x:v>
      </x:c>
      <x:c r="AV71" s="141" t="n">
        <x:f>MAX(0,-AU71)</x:f>
        <x:v>0</x:v>
      </x:c>
      <x:c r="AW71" s="141" t="n">
        <x:f>AW70*(1+Premissas!$B$41)+AV71</x:f>
        <x:v>0</x:v>
      </x:c>
      <x:c r="AX71" s="141" t="n">
        <x:f>MAX(0,AU71)</x:f>
        <x:v>584201.5484726932</x:v>
      </x:c>
      <x:c r="AY71" s="141" t="n">
        <x:f>INDEX('Consorcio IQ'!$P$6:$P$485,$A71)</x:f>
        <x:v>91139.30202748437</x:v>
      </x:c>
      <x:c r="AZ71" s="141" t="n">
        <x:f>IF($A71&gt;=Premissas!$B$48,$F71,0)+IF($A71&lt;Premissas!$B$27,INDEX('Consorcio IQ'!$O$6:$O$485,$A71),0)</x:f>
        <x:v>275557.511843566</x:v>
      </x:c>
      <x:c r="BA71" s="141" t="n">
        <x:f>AX71+AZ71-AY71</x:f>
        <x:v>768619.7582887749</x:v>
      </x:c>
      <x:c r="BB71" s="141" t="n">
        <x:f>IF(AW71&gt;1,"Inviavel",BA71)</x:f>
        <x:v>768619.7582887749</x:v>
      </x:c>
      <x:c r="BC71" s="141" t="str">
        <x:f>IF(AW71&gt;1,"Inviavel","OK")</x:f>
        <x:v>OK</x:v>
      </x:c>
      <x:c r="BD71" s="141" t="n">
        <x:f>IF($A71='Consorcio Direto'!$B$29,'Consorcio Direto'!$B$44,0)</x:f>
        <x:v>0</x:v>
      </x:c>
      <x:c r="BE71" s="141" t="n">
        <x:f>IF($A71&lt;='Consorcio Direto'!$B$27,INDEX('Consorcio Direto'!$E$55:$E$534,$A71),0)</x:f>
        <x:v>1976.855957148016</x:v>
      </x:c>
      <x:c r="BF71" s="141" t="n">
        <x:f>IF(AND(TRUE,Premissas!$B$11="Imovel",Premissas!$B$47="Moradia",$A71&lt;MAX('Consorcio Direto'!$B$29,Premissas!$B$49)),$D71,0)</x:f>
        <x:v>0</x:v>
      </x:c>
      <x:c r="BG71" s="141" t="n">
        <x:f>IF(AND(TRUE,Premissas!$B$11="Imovel",Premissas!$B$47="Investimento",$A71&gt;=MAX('Consorcio Direto'!$B$29,Premissas!$B$49)),$E71,0)</x:f>
        <x:v>856.4643696640002</x:v>
      </x:c>
      <x:c r="BH71" s="141" t="n">
        <x:f>BD71+BE71+BF71</x:f>
        <x:v>1976.855957148016</x:v>
      </x:c>
      <x:c r="BI71" s="141" t="n">
        <x:f>BG71</x:f>
        <x:v>856.4643696640002</x:v>
      </x:c>
      <x:c r="BJ71" s="141" t="n">
        <x:f>$C71+BI71-BH71</x:f>
        <x:v>5879.608412515985</x:v>
      </x:c>
      <x:c r="BK71" s="141" t="n">
        <x:f>BN70*(1+Premissas!$B$41)+BJ71</x:f>
        <x:v>670814.3480020203</x:v>
      </x:c>
      <x:c r="BL71" s="141" t="n">
        <x:f>MAX(0,-BK71)</x:f>
        <x:v>0</x:v>
      </x:c>
      <x:c r="BM71" s="141" t="n">
        <x:f>BM70*(1+Premissas!$B$41)+BL71</x:f>
        <x:v>0</x:v>
      </x:c>
      <x:c r="BN71" s="141" t="n">
        <x:f>MAX(0,BK71)</x:f>
        <x:v>670814.3480020203</x:v>
      </x:c>
      <x:c r="BO71" s="141" t="n">
        <x:f>INDEX('Consorcio Direto'!$K$55:$K$534,$A71)</x:f>
        <x:v>236005.29221880782</x:v>
      </x:c>
      <x:c r="BP71" s="141" t="n">
        <x:f>IF($A71&lt;'Consorcio Direto'!$B$29,INDEX('Consorcio Direto'!$L$55:$L$534,$A71),$F71)</x:f>
        <x:v>275557.511843566</x:v>
      </x:c>
      <x:c r="BQ71" s="141" t="n">
        <x:f>BN71+BP71-BO71</x:f>
        <x:v>710366.5676267785</x:v>
      </x:c>
      <x:c r="BR71" s="141" t="n">
        <x:f>IF(BM71&gt;1,"Inviavel",BQ71)</x:f>
        <x:v>710366.5676267785</x:v>
      </x:c>
      <x:c r="BS71" s="141" t="str">
        <x:f>IF(BM71&gt;1,"Inviavel","OK")</x:f>
        <x:v>OK</x:v>
      </x:c>
      <x:c r="BT71" s="141" t="n">
        <x:f>IF(AND('Carta Contemplada'!$B$22="Sim",$A71='Carta Contemplada'!$B$23),'Carta Contemplada'!$B$37,0)</x:f>
        <x:v>0</x:v>
      </x:c>
      <x:c r="BU71" s="141" t="n">
        <x:f>IF('Carta Contemplada'!$B$22="Sim",INDEX('Carta Contemplada'!$C$55:$C$1013,$A71),0)</x:f>
        <x:v>1605.8706931200004</x:v>
      </x:c>
      <x:c r="BV71" s="141" t="n">
        <x:f>IF(AND('Carta Contemplada'!$B$22="Sim",Premissas!$B$11="Imovel",Premissas!$B$47="Moradia",$A71&lt;MAX('Carta Contemplada'!$B$44,Premissas!$B$49)),$D71,0)</x:f>
        <x:v>0</x:v>
      </x:c>
      <x:c r="BW71" s="141" t="n">
        <x:f>IF(AND('Carta Contemplada'!$B$22="Sim",Premissas!$B$11="Imovel",Premissas!$B$47="Investimento",$A71&gt;=MAX('Carta Contemplada'!$B$44,Premissas!$B$49)),$E71,0)</x:f>
        <x:v>856.4643696640002</x:v>
      </x:c>
      <x:c r="BX71" s="141" t="n">
        <x:f>BT71+BU71+BV71</x:f>
        <x:v>1605.8706931200004</x:v>
      </x:c>
      <x:c r="BY71" s="141" t="n">
        <x:f>BW71</x:f>
        <x:v>856.4643696640002</x:v>
      </x:c>
      <x:c r="BZ71" s="141" t="n">
        <x:f>$C71+BY71-BX71</x:f>
        <x:v>6250.593676544</x:v>
      </x:c>
      <x:c r="CA71" s="141" t="n">
        <x:f>CD70*(1+Premissas!$B$41)+BZ71</x:f>
        <x:v>672560.9335194035</x:v>
      </x:c>
      <x:c r="CB71" s="141" t="n">
        <x:f>MAX(0,-CA71)</x:f>
        <x:v>0</x:v>
      </x:c>
      <x:c r="CC71" s="141" t="n">
        <x:f>CC70*(1+Premissas!$B$41)+CB71</x:f>
        <x:v>0</x:v>
      </x:c>
      <x:c r="CD71" s="141" t="n">
        <x:f>MAX(0,CA71)</x:f>
        <x:v>672560.9335194035</x:v>
      </x:c>
      <x:c r="CE71" s="141" t="n">
        <x:f>IF(AND('Carta Contemplada'!$B$22="Sim",$A71&gt;='Carta Contemplada'!$B$23),INDEX('Carta Contemplada'!$I$55:$I$1013,$A71),0)</x:f>
        <x:v>141537.5455356304</x:v>
      </x:c>
      <x:c r="CF71" s="141" t="n">
        <x:f>IF(AND('Carta Contemplada'!$B$22="Sim",$A71&gt;='Carta Contemplada'!$B$44),$F71,0)</x:f>
        <x:v>275557.511843566</x:v>
      </x:c>
      <x:c r="CG71" s="141" t="n">
        <x:f>CD71+CF71-CE71</x:f>
        <x:v>806580.8998273391</x:v>
      </x:c>
      <x:c r="CH71" s="141" t="n">
        <x:f>IF(CC71&gt;1,"Inviavel",CG71)</x:f>
        <x:v>806580.8998273391</x:v>
      </x:c>
      <x:c r="CI71" s="145" t="str">
        <x:f>IF(CC71&gt;1,"Inviavel","OK")</x:f>
        <x:v>OK</x:v>
      </x:c>
    </x:row>
    <x:row r="72">
      <x:c r="A72" s="142" t="n">
        <x:v>68</x:v>
      </x:c>
      <x:c r="B72" s="179" t="n">
        <x:f>EDATE(Premissas!$B$4,A72-1)</x:f>
        <x:v>48580</x:v>
      </x:c>
      <x:c r="C72" s="141" t="n">
        <x:f>IF(A72&lt;=Premissas!$B$39,Premissas!$B$42,0)</x:f>
        <x:v>7000</x:v>
      </x:c>
      <x:c r="D72" s="141" t="n">
        <x:f>Premissas!$B$54*(1+Premissas!$B$57)^INT((A72-1)/12)</x:f>
        <x:v>936.7579043200002</x:v>
      </x:c>
      <x:c r="E72" s="141" t="n">
        <x:f>Premissas!$B$64*(1+Premissas!$B$57)^INT((A72-1)/12)</x:f>
        <x:v>856.4643696640002</x:v>
      </x:c>
      <x:c r="F72" s="141" t="n">
        <x:f>MAX(0,Premissas!$B$6*(1+Premissas!$B$66)^((A72-1)/12))</x:f>
        <x:v>276898.8019661247</x:v>
      </x:c>
      <x:c r="G72" s="141" t="n">
        <x:f>G71*(1+Premissas!$B$41)+C72</x:f>
        <x:v>833871.1935738159</x:v>
      </x:c>
      <x:c r="H72" s="141" t="n">
        <x:f>IF($A72=Premissas!$B$48,Premissas!$B$8,0)</x:f>
        <x:v>0</x:v>
      </x:c>
      <x:c r="I72" s="141" t="n">
        <x:f>IF(AND($A72&gt;=Premissas!$B$48,$A72-Premissas!$B$48+1&lt;=Premissas!$B$13),INDEX(Financiamento!$J$6:$J$485,$A72-Premissas!$B$48+1),0)</x:f>
        <x:v>1806.9691070125039</x:v>
      </x:c>
      <x:c r="J72" s="141" t="n">
        <x:f>IF(AND(TRUE,Premissas!$B$11="Imovel",Premissas!$B$47="Moradia",$A72&lt;MAX(Premissas!$B$48,Premissas!$B$49)),$D72,0)</x:f>
        <x:v>0</x:v>
      </x:c>
      <x:c r="K72" s="141" t="n">
        <x:f>IF(AND(TRUE,Premissas!$B$11="Imovel",Premissas!$B$47="Investimento",$A72&gt;=MAX(Premissas!$B$48,Premissas!$B$49)),$E72,0)</x:f>
        <x:v>856.4643696640002</x:v>
      </x:c>
      <x:c r="L72" s="141" t="n">
        <x:f>H72+I72+J72</x:f>
        <x:v>1806.9691070125039</x:v>
      </x:c>
      <x:c r="M72" s="141" t="n">
        <x:f>K72</x:f>
        <x:v>856.4643696640002</x:v>
      </x:c>
      <x:c r="N72" s="141" t="n">
        <x:f>$C72+M72-L72</x:f>
        <x:v>6049.495262651497</x:v>
      </x:c>
      <x:c r="O72" s="141" t="n">
        <x:f>R71*(1+Premissas!$B$41)+N72</x:f>
        <x:v>643098.6246073198</x:v>
      </x:c>
      <x:c r="P72" s="141" t="n">
        <x:f>MAX(0,-O72)</x:f>
        <x:v>0</x:v>
      </x:c>
      <x:c r="Q72" s="141" t="n">
        <x:f>Q71*(1+Premissas!$B$41)+P72</x:f>
        <x:v>0</x:v>
      </x:c>
      <x:c r="R72" s="141" t="n">
        <x:f>MAX(0,O72)</x:f>
        <x:v>643098.6246073198</x:v>
      </x:c>
      <x:c r="S72" s="141" t="n">
        <x:f>IF(AND($A72&gt;=Premissas!$B$48,$A72-Premissas!$B$48+1&lt;=Premissas!$B$13),INDEX(Financiamento!$M$6:$M$485,$A72-Premissas!$B$48+1),0)</x:f>
        <x:v>134095.23809523834</x:v>
      </x:c>
      <x:c r="T72" s="141" t="n">
        <x:f>IF($A72&gt;=Premissas!$B$48,$F72,0)</x:f>
        <x:v>276898.8019661247</x:v>
      </x:c>
      <x:c r="U72" s="141" t="n">
        <x:f>R72+T72-S72</x:f>
        <x:v>785902.1884782062</x:v>
      </x:c>
      <x:c r="V72" s="141" t="n">
        <x:f>IF(Q72&gt;1,"Inviavel",U72)</x:f>
        <x:v>785902.1884782062</x:v>
      </x:c>
      <x:c r="W72" s="141" t="str">
        <x:f>IF(Q72&gt;1,"Inviavel","OK")</x:f>
        <x:v>OK</x:v>
      </x:c>
      <x:c r="X72" s="141" t="n">
        <x:f>IF($A72=Premissas!$B$48,Premissas!$B$8,0)</x:f>
        <x:v>0</x:v>
      </x:c>
      <x:c r="Y72" s="141" t="n">
        <x:f>IF(AND($A72&gt;=Premissas!$B$48,$A72-Premissas!$B$48+1&lt;=Premissas!$B$13),INDEX(Amortizacao!$K$6:$K$485,$A72-Premissas!$B$48+1),0)</x:f>
        <x:v>0</x:v>
      </x:c>
      <x:c r="Z72" s="141" t="n">
        <x:f>IF(AND(TRUE,Premissas!$B$11="Imovel",Premissas!$B$47="Moradia",$A72&lt;MAX(Premissas!$B$48,Premissas!$B$49)),$D72,0)</x:f>
        <x:v>0</x:v>
      </x:c>
      <x:c r="AA72" s="141" t="n">
        <x:f>IF(AND(TRUE,Premissas!$B$11="Imovel",Premissas!$B$47="Investimento",$A72&gt;=MAX(Premissas!$B$48,Premissas!$B$49)),$E72,0)</x:f>
        <x:v>856.4643696640002</x:v>
      </x:c>
      <x:c r="AB72" s="141" t="n">
        <x:f>X72+Y72+Z72</x:f>
        <x:v>0</x:v>
      </x:c>
      <x:c r="AC72" s="141" t="n">
        <x:f>AA72</x:f>
        <x:v>856.4643696640002</x:v>
      </x:c>
      <x:c r="AD72" s="141" t="n">
        <x:f>$C72+AC72-AB72</x:f>
        <x:v>7856.4643696640005</x:v>
      </x:c>
      <x:c r="AE72" s="141" t="n">
        <x:f>AH71*(1+Premissas!$B$41)+AD72</x:f>
        <x:v>516478.4211452789</x:v>
      </x:c>
      <x:c r="AF72" s="141" t="n">
        <x:f>MAX(0,-AE72)</x:f>
        <x:v>0</x:v>
      </x:c>
      <x:c r="AG72" s="141" t="n">
        <x:f>AG71*(1+Premissas!$B$41)+AF72</x:f>
        <x:v>0</x:v>
      </x:c>
      <x:c r="AH72" s="141" t="n">
        <x:f>MAX(0,AE72)</x:f>
        <x:v>516478.4211452789</x:v>
      </x:c>
      <x:c r="AI72" s="141" t="n">
        <x:f>IF(AND($A72&gt;=Premissas!$B$48,$A72-Premissas!$B$48+1&lt;=Premissas!$B$13),INDEX(Amortizacao!$L$6:$L$485,$A72-Premissas!$B$48+1),0)</x:f>
        <x:v>0</x:v>
      </x:c>
      <x:c r="AJ72" s="141" t="n">
        <x:f>IF($A72&gt;=Premissas!$B$48,$F72,0)</x:f>
        <x:v>276898.8019661247</x:v>
      </x:c>
      <x:c r="AK72" s="141" t="n">
        <x:f>AH72+AJ72-AI72</x:f>
        <x:v>793377.2231114036</x:v>
      </x:c>
      <x:c r="AL72" s="141" t="n">
        <x:f>IF(AG72&gt;1,"Inviavel",AK72)</x:f>
        <x:v>793377.2231114036</x:v>
      </x:c>
      <x:c r="AM72" s="141" t="str">
        <x:f>IF(AG72&gt;1,"Inviavel","OK")</x:f>
        <x:v>OK</x:v>
      </x:c>
      <x:c r="AN72" s="141" t="n">
        <x:f>IF($A72=Premissas!$B$48,Premissas!$B$8,0)</x:f>
        <x:v>0</x:v>
      </x:c>
      <x:c r="AO72" s="141" t="n">
        <x:f>IF($A72&lt;=Premissas!$B$25,INDEX('Consorcio IQ'!$K$6:$K$485,$A72),0)</x:f>
        <x:v>763.4120000000014</x:v>
      </x:c>
      <x:c r="AP72" s="141" t="n">
        <x:f>IF(AND(TRUE,Premissas!$B$11="Imovel",Premissas!$B$47="Moradia",$A72&lt;MAX(Premissas!$B$48,Premissas!$B$49)),$D72,0)</x:f>
        <x:v>0</x:v>
      </x:c>
      <x:c r="AQ72" s="141" t="n">
        <x:f>IF(AND(TRUE,Premissas!$B$11="Imovel",Premissas!$B$47="Investimento",$A72&gt;=MAX(Premissas!$B$48,Premissas!$B$49)),$E72,0)</x:f>
        <x:v>856.4643696640002</x:v>
      </x:c>
      <x:c r="AR72" s="141" t="n">
        <x:f>AN72+AO72+AP72</x:f>
        <x:v>763.4120000000014</x:v>
      </x:c>
      <x:c r="AS72" s="141" t="n">
        <x:f>AQ72</x:f>
        <x:v>856.4643696640002</x:v>
      </x:c>
      <x:c r="AT72" s="141" t="n">
        <x:f>$C72+AS72-AR72</x:f>
        <x:v>7093.052369663999</x:v>
      </x:c>
      <x:c r="AU72" s="141" t="n">
        <x:f>AX71*(1+Premissas!$B$41)+AT72</x:f>
        <x:v>596837.9683678773</x:v>
      </x:c>
      <x:c r="AV72" s="141" t="n">
        <x:f>MAX(0,-AU72)</x:f>
        <x:v>0</x:v>
      </x:c>
      <x:c r="AW72" s="141" t="n">
        <x:f>AW71*(1+Premissas!$B$41)+AV72</x:f>
        <x:v>0</x:v>
      </x:c>
      <x:c r="AX72" s="141" t="n">
        <x:f>MAX(0,AU72)</x:f>
        <x:v>596837.9683678773</x:v>
      </x:c>
      <x:c r="AY72" s="141" t="n">
        <x:f>INDEX('Consorcio IQ'!$P$6:$P$485,$A72)</x:f>
        <x:v>91240.6919926256</x:v>
      </x:c>
      <x:c r="AZ72" s="141" t="n">
        <x:f>IF($A72&gt;=Premissas!$B$48,$F72,0)+IF($A72&lt;Premissas!$B$27,INDEX('Consorcio IQ'!$O$6:$O$485,$A72),0)</x:f>
        <x:v>276898.8019661247</x:v>
      </x:c>
      <x:c r="BA72" s="141" t="n">
        <x:f>AX72+AZ72-AY72</x:f>
        <x:v>782496.0783413764</x:v>
      </x:c>
      <x:c r="BB72" s="141" t="n">
        <x:f>IF(AW72&gt;1,"Inviavel",BA72)</x:f>
        <x:v>782496.0783413764</x:v>
      </x:c>
      <x:c r="BC72" s="141" t="str">
        <x:f>IF(AW72&gt;1,"Inviavel","OK")</x:f>
        <x:v>OK</x:v>
      </x:c>
      <x:c r="BD72" s="141" t="n">
        <x:f>IF($A72='Consorcio Direto'!$B$29,'Consorcio Direto'!$B$44,0)</x:f>
        <x:v>0</x:v>
      </x:c>
      <x:c r="BE72" s="141" t="n">
        <x:f>IF($A72&lt;='Consorcio Direto'!$B$27,INDEX('Consorcio Direto'!$E$55:$E$534,$A72),0)</x:f>
        <x:v>1976.855957148016</x:v>
      </x:c>
      <x:c r="BF72" s="141" t="n">
        <x:f>IF(AND(TRUE,Premissas!$B$11="Imovel",Premissas!$B$47="Moradia",$A72&lt;MAX('Consorcio Direto'!$B$29,Premissas!$B$49)),$D72,0)</x:f>
        <x:v>0</x:v>
      </x:c>
      <x:c r="BG72" s="141" t="n">
        <x:f>IF(AND(TRUE,Premissas!$B$11="Imovel",Premissas!$B$47="Investimento",$A72&gt;=MAX('Consorcio Direto'!$B$29,Premissas!$B$49)),$E72,0)</x:f>
        <x:v>856.4643696640002</x:v>
      </x:c>
      <x:c r="BH72" s="141" t="n">
        <x:f>BD72+BE72+BF72</x:f>
        <x:v>1976.855957148016</x:v>
      </x:c>
      <x:c r="BI72" s="141" t="n">
        <x:f>BG72</x:f>
        <x:v>856.4643696640002</x:v>
      </x:c>
      <x:c r="BJ72" s="141" t="n">
        <x:f>$C72+BI72-BH72</x:f>
        <x:v>5879.608412515985</x:v>
      </x:c>
      <x:c r="BK72" s="141" t="n">
        <x:f>BN71*(1+Premissas!$B$41)+BJ72</x:f>
        <x:v>683059.1748602748</x:v>
      </x:c>
      <x:c r="BL72" s="141" t="n">
        <x:f>MAX(0,-BK72)</x:f>
        <x:v>0</x:v>
      </x:c>
      <x:c r="BM72" s="141" t="n">
        <x:f>BM71*(1+Premissas!$B$41)+BL72</x:f>
        <x:v>0</x:v>
      </x:c>
      <x:c r="BN72" s="141" t="n">
        <x:f>MAX(0,BK72)</x:f>
        <x:v>683059.1748602748</x:v>
      </x:c>
      <x:c r="BO72" s="141" t="n">
        <x:f>INDEX('Consorcio Direto'!$K$55:$K$534,$A72)</x:f>
        <x:v>236267.84161098982</x:v>
      </x:c>
      <x:c r="BP72" s="141" t="n">
        <x:f>IF($A72&lt;'Consorcio Direto'!$B$29,INDEX('Consorcio Direto'!$L$55:$L$534,$A72),$F72)</x:f>
        <x:v>276898.8019661247</x:v>
      </x:c>
      <x:c r="BQ72" s="141" t="n">
        <x:f>BN72+BP72-BO72</x:f>
        <x:v>723690.1352154096</x:v>
      </x:c>
      <x:c r="BR72" s="141" t="n">
        <x:f>IF(BM72&gt;1,"Inviavel",BQ72)</x:f>
        <x:v>723690.1352154096</x:v>
      </x:c>
      <x:c r="BS72" s="141" t="str">
        <x:f>IF(BM72&gt;1,"Inviavel","OK")</x:f>
        <x:v>OK</x:v>
      </x:c>
      <x:c r="BT72" s="141" t="n">
        <x:f>IF(AND('Carta Contemplada'!$B$22="Sim",$A72='Carta Contemplada'!$B$23),'Carta Contemplada'!$B$37,0)</x:f>
        <x:v>0</x:v>
      </x:c>
      <x:c r="BU72" s="141" t="n">
        <x:f>IF('Carta Contemplada'!$B$22="Sim",INDEX('Carta Contemplada'!$C$55:$C$1013,$A72),0)</x:f>
        <x:v>1605.8706931200004</x:v>
      </x:c>
      <x:c r="BV72" s="141" t="n">
        <x:f>IF(AND('Carta Contemplada'!$B$22="Sim",Premissas!$B$11="Imovel",Premissas!$B$47="Moradia",$A72&lt;MAX('Carta Contemplada'!$B$44,Premissas!$B$49)),$D72,0)</x:f>
        <x:v>0</x:v>
      </x:c>
      <x:c r="BW72" s="141" t="n">
        <x:f>IF(AND('Carta Contemplada'!$B$22="Sim",Premissas!$B$11="Imovel",Premissas!$B$47="Investimento",$A72&gt;=MAX('Carta Contemplada'!$B$44,Premissas!$B$49)),$E72,0)</x:f>
        <x:v>856.4643696640002</x:v>
      </x:c>
      <x:c r="BX72" s="141" t="n">
        <x:f>BT72+BU72+BV72</x:f>
        <x:v>1605.8706931200004</x:v>
      </x:c>
      <x:c r="BY72" s="141" t="n">
        <x:f>BW72</x:f>
        <x:v>856.4643696640002</x:v>
      </x:c>
      <x:c r="BZ72" s="141" t="n">
        <x:f>$C72+BY72-BX72</x:f>
        <x:v>6250.593676544</x:v>
      </x:c>
      <x:c r="CA72" s="141" t="n">
        <x:f>CD71*(1+Premissas!$B$41)+BZ72</x:f>
        <x:v>685193.318630003</x:v>
      </x:c>
      <x:c r="CB72" s="141" t="n">
        <x:f>MAX(0,-CA72)</x:f>
        <x:v>0</x:v>
      </x:c>
      <x:c r="CC72" s="141" t="n">
        <x:f>CC71*(1+Premissas!$B$41)+CB72</x:f>
        <x:v>0</x:v>
      </x:c>
      <x:c r="CD72" s="141" t="n">
        <x:f>MAX(0,CA72)</x:f>
        <x:v>685193.318630003</x:v>
      </x:c>
      <x:c r="CE72" s="141" t="n">
        <x:f>IF(AND('Carta Contemplada'!$B$22="Sim",$A72&gt;='Carta Contemplada'!$B$23),INDEX('Carta Contemplada'!$I$55:$I$1013,$A72),0)</x:f>
        <x:v>141274.6953045671</x:v>
      </x:c>
      <x:c r="CF72" s="141" t="n">
        <x:f>IF(AND('Carta Contemplada'!$B$22="Sim",$A72&gt;='Carta Contemplada'!$B$44),$F72,0)</x:f>
        <x:v>276898.8019661247</x:v>
      </x:c>
      <x:c r="CG72" s="141" t="n">
        <x:f>CD72+CF72-CE72</x:f>
        <x:v>820817.4252915606</x:v>
      </x:c>
      <x:c r="CH72" s="141" t="n">
        <x:f>IF(CC72&gt;1,"Inviavel",CG72)</x:f>
        <x:v>820817.4252915606</x:v>
      </x:c>
      <x:c r="CI72" s="145" t="str">
        <x:f>IF(CC72&gt;1,"Inviavel","OK")</x:f>
        <x:v>OK</x:v>
      </x:c>
    </x:row>
    <x:row r="73">
      <x:c r="A73" s="142" t="n">
        <x:v>69</x:v>
      </x:c>
      <x:c r="B73" s="179" t="n">
        <x:f>EDATE(Premissas!$B$4,A73-1)</x:f>
        <x:v>48611</x:v>
      </x:c>
      <x:c r="C73" s="141" t="n">
        <x:f>IF(A73&lt;=Premissas!$B$39,Premissas!$B$42,0)</x:f>
        <x:v>7000</x:v>
      </x:c>
      <x:c r="D73" s="141" t="n">
        <x:f>Premissas!$B$54*(1+Premissas!$B$57)^INT((A73-1)/12)</x:f>
        <x:v>936.7579043200002</x:v>
      </x:c>
      <x:c r="E73" s="141" t="n">
        <x:f>Premissas!$B$64*(1+Premissas!$B$57)^INT((A73-1)/12)</x:f>
        <x:v>856.4643696640002</x:v>
      </x:c>
      <x:c r="F73" s="141" t="n">
        <x:f>MAX(0,Premissas!$B$6*(1+Premissas!$B$66)^((A73-1)/12))</x:f>
        <x:v>278246.62088617776</x:v>
      </x:c>
      <x:c r="G73" s="141" t="n">
        <x:f>G72*(1+Premissas!$B$41)+C73</x:f>
        <x:v>848783.6246637515</x:v>
      </x:c>
      <x:c r="H73" s="141" t="n">
        <x:f>IF($A73=Premissas!$B$48,Premissas!$B$8,0)</x:f>
        <x:v>0</x:v>
      </x:c>
      <x:c r="I73" s="141" t="n">
        <x:f>IF(AND($A73&gt;=Premissas!$B$48,$A73-Premissas!$B$48+1&lt;=Premissas!$B$13),INDEX(Financiamento!$J$6:$J$485,$A73-Premissas!$B$48+1),0)</x:f>
        <x:v>1803.3543287517105</x:v>
      </x:c>
      <x:c r="J73" s="141" t="n">
        <x:f>IF(AND(TRUE,Premissas!$B$11="Imovel",Premissas!$B$47="Moradia",$A73&lt;MAX(Premissas!$B$48,Premissas!$B$49)),$D73,0)</x:f>
        <x:v>0</x:v>
      </x:c>
      <x:c r="K73" s="141" t="n">
        <x:f>IF(AND(TRUE,Premissas!$B$11="Imovel",Premissas!$B$47="Investimento",$A73&gt;=MAX(Premissas!$B$48,Premissas!$B$49)),$E73,0)</x:f>
        <x:v>856.4643696640002</x:v>
      </x:c>
      <x:c r="L73" s="141" t="n">
        <x:f>H73+I73+J73</x:f>
        <x:v>1803.3543287517105</x:v>
      </x:c>
      <x:c r="M73" s="141" t="n">
        <x:f>K73</x:f>
        <x:v>856.4643696640002</x:v>
      </x:c>
      <x:c r="N73" s="141" t="n">
        <x:f>$C73+M73-L73</x:f>
        <x:v>6053.11004091229</x:v>
      </x:c>
      <x:c r="O73" s="141" t="n">
        <x:f>R72*(1+Premissas!$B$41)+N73</x:f>
        <x:v>655253.9643336461</x:v>
      </x:c>
      <x:c r="P73" s="141" t="n">
        <x:f>MAX(0,-O73)</x:f>
        <x:v>0</x:v>
      </x:c>
      <x:c r="Q73" s="141" t="n">
        <x:f>Q72*(1+Premissas!$B$41)+P73</x:f>
        <x:v>0</x:v>
      </x:c>
      <x:c r="R73" s="141" t="n">
        <x:f>MAX(0,O73)</x:f>
        <x:v>655253.9643336461</x:v>
      </x:c>
      <x:c r="S73" s="141" t="n">
        <x:f>IF(AND($A73&gt;=Premissas!$B$48,$A73-Premissas!$B$48+1&lt;=Premissas!$B$13),INDEX(Financiamento!$M$6:$M$485,$A73-Premissas!$B$48+1),0)</x:f>
        <x:v>133714.28571428597</x:v>
      </x:c>
      <x:c r="T73" s="141" t="n">
        <x:f>IF($A73&gt;=Premissas!$B$48,$F73,0)</x:f>
        <x:v>278246.62088617776</x:v>
      </x:c>
      <x:c r="U73" s="141" t="n">
        <x:f>R73+T73-S73</x:f>
        <x:v>799786.2995055378</x:v>
      </x:c>
      <x:c r="V73" s="141" t="n">
        <x:f>IF(Q73&gt;1,"Inviavel",U73)</x:f>
        <x:v>799786.2995055378</x:v>
      </x:c>
      <x:c r="W73" s="141" t="str">
        <x:f>IF(Q73&gt;1,"Inviavel","OK")</x:f>
        <x:v>OK</x:v>
      </x:c>
      <x:c r="X73" s="141" t="n">
        <x:f>IF($A73=Premissas!$B$48,Premissas!$B$8,0)</x:f>
        <x:v>0</x:v>
      </x:c>
      <x:c r="Y73" s="141" t="n">
        <x:f>IF(AND($A73&gt;=Premissas!$B$48,$A73-Premissas!$B$48+1&lt;=Premissas!$B$13),INDEX(Amortizacao!$K$6:$K$485,$A73-Premissas!$B$48+1),0)</x:f>
        <x:v>0</x:v>
      </x:c>
      <x:c r="Z73" s="141" t="n">
        <x:f>IF(AND(TRUE,Premissas!$B$11="Imovel",Premissas!$B$47="Moradia",$A73&lt;MAX(Premissas!$B$48,Premissas!$B$49)),$D73,0)</x:f>
        <x:v>0</x:v>
      </x:c>
      <x:c r="AA73" s="141" t="n">
        <x:f>IF(AND(TRUE,Premissas!$B$11="Imovel",Premissas!$B$47="Investimento",$A73&gt;=MAX(Premissas!$B$48,Premissas!$B$49)),$E73,0)</x:f>
        <x:v>856.4643696640002</x:v>
      </x:c>
      <x:c r="AB73" s="141" t="n">
        <x:f>X73+Y73+Z73</x:f>
        <x:v>0</x:v>
      </x:c>
      <x:c r="AC73" s="141" t="n">
        <x:f>AA73</x:f>
        <x:v>856.4643696640002</x:v>
      </x:c>
      <x:c r="AD73" s="141" t="n">
        <x:f>$C73+AC73-AB73</x:f>
        <x:v>7856.4643696640005</x:v>
      </x:c>
      <x:c r="AE73" s="141" t="n">
        <x:f>AH72*(1+Premissas!$B$41)+AD73</x:f>
        <x:v>529235.6423083708</x:v>
      </x:c>
      <x:c r="AF73" s="141" t="n">
        <x:f>MAX(0,-AE73)</x:f>
        <x:v>0</x:v>
      </x:c>
      <x:c r="AG73" s="141" t="n">
        <x:f>AG72*(1+Premissas!$B$41)+AF73</x:f>
        <x:v>0</x:v>
      </x:c>
      <x:c r="AH73" s="141" t="n">
        <x:f>MAX(0,AE73)</x:f>
        <x:v>529235.6423083708</x:v>
      </x:c>
      <x:c r="AI73" s="141" t="n">
        <x:f>IF(AND($A73&gt;=Premissas!$B$48,$A73-Premissas!$B$48+1&lt;=Premissas!$B$13),INDEX(Amortizacao!$L$6:$L$485,$A73-Premissas!$B$48+1),0)</x:f>
        <x:v>0</x:v>
      </x:c>
      <x:c r="AJ73" s="141" t="n">
        <x:f>IF($A73&gt;=Premissas!$B$48,$F73,0)</x:f>
        <x:v>278246.62088617776</x:v>
      </x:c>
      <x:c r="AK73" s="141" t="n">
        <x:f>AH73+AJ73-AI73</x:f>
        <x:v>807482.2631945485</x:v>
      </x:c>
      <x:c r="AL73" s="141" t="n">
        <x:f>IF(AG73&gt;1,"Inviavel",AK73)</x:f>
        <x:v>807482.2631945485</x:v>
      </x:c>
      <x:c r="AM73" s="141" t="str">
        <x:f>IF(AG73&gt;1,"Inviavel","OK")</x:f>
        <x:v>OK</x:v>
      </x:c>
      <x:c r="AN73" s="141" t="n">
        <x:f>IF($A73=Premissas!$B$48,Premissas!$B$8,0)</x:f>
        <x:v>0</x:v>
      </x:c>
      <x:c r="AO73" s="141" t="n">
        <x:f>IF($A73&lt;=Premissas!$B$25,INDEX('Consorcio IQ'!$K$6:$K$485,$A73),0)</x:f>
        <x:v>763.4120000000014</x:v>
      </x:c>
      <x:c r="AP73" s="141" t="n">
        <x:f>IF(AND(TRUE,Premissas!$B$11="Imovel",Premissas!$B$47="Moradia",$A73&lt;MAX(Premissas!$B$48,Premissas!$B$49)),$D73,0)</x:f>
        <x:v>0</x:v>
      </x:c>
      <x:c r="AQ73" s="141" t="n">
        <x:f>IF(AND(TRUE,Premissas!$B$11="Imovel",Premissas!$B$47="Investimento",$A73&gt;=MAX(Premissas!$B$48,Premissas!$B$49)),$E73,0)</x:f>
        <x:v>856.4643696640002</x:v>
      </x:c>
      <x:c r="AR73" s="141" t="n">
        <x:f>AN73+AO73+AP73</x:f>
        <x:v>763.4120000000014</x:v>
      </x:c>
      <x:c r="AS73" s="141" t="n">
        <x:f>AQ73</x:f>
        <x:v>856.4643696640002</x:v>
      </x:c>
      <x:c r="AT73" s="141" t="n">
        <x:f>$C73+AS73-AR73</x:f>
        <x:v>7093.052369663999</x:v>
      </x:c>
      <x:c r="AU73" s="141" t="n">
        <x:f>AX72*(1+Premissas!$B$41)+AT73</x:f>
        <x:v>609594.2926348812</x:v>
      </x:c>
      <x:c r="AV73" s="141" t="n">
        <x:f>MAX(0,-AU73)</x:f>
        <x:v>0</x:v>
      </x:c>
      <x:c r="AW73" s="141" t="n">
        <x:f>AW72*(1+Premissas!$B$41)+AV73</x:f>
        <x:v>0</x:v>
      </x:c>
      <x:c r="AX73" s="141" t="n">
        <x:f>MAX(0,AU73)</x:f>
        <x:v>609594.2926348812</x:v>
      </x:c>
      <x:c r="AY73" s="141" t="n">
        <x:f>INDEX('Consorcio IQ'!$P$6:$P$485,$A73)</x:f>
        <x:v>91343.04402615169</x:v>
      </x:c>
      <x:c r="AZ73" s="141" t="n">
        <x:f>IF($A73&gt;=Premissas!$B$48,$F73,0)+IF($A73&lt;Premissas!$B$27,INDEX('Consorcio IQ'!$O$6:$O$485,$A73),0)</x:f>
        <x:v>278246.62088617776</x:v>
      </x:c>
      <x:c r="BA73" s="141" t="n">
        <x:f>AX73+AZ73-AY73</x:f>
        <x:v>796497.8694949073</x:v>
      </x:c>
      <x:c r="BB73" s="141" t="n">
        <x:f>IF(AW73&gt;1,"Inviavel",BA73)</x:f>
        <x:v>796497.8694949073</x:v>
      </x:c>
      <x:c r="BC73" s="141" t="str">
        <x:f>IF(AW73&gt;1,"Inviavel","OK")</x:f>
        <x:v>OK</x:v>
      </x:c>
      <x:c r="BD73" s="141" t="n">
        <x:f>IF($A73='Consorcio Direto'!$B$29,'Consorcio Direto'!$B$44,0)</x:f>
        <x:v>0</x:v>
      </x:c>
      <x:c r="BE73" s="141" t="n">
        <x:f>IF($A73&lt;='Consorcio Direto'!$B$27,INDEX('Consorcio Direto'!$E$55:$E$534,$A73),0)</x:f>
        <x:v>1976.855957148016</x:v>
      </x:c>
      <x:c r="BF73" s="141" t="n">
        <x:f>IF(AND(TRUE,Premissas!$B$11="Imovel",Premissas!$B$47="Moradia",$A73&lt;MAX('Consorcio Direto'!$B$29,Premissas!$B$49)),$D73,0)</x:f>
        <x:v>0</x:v>
      </x:c>
      <x:c r="BG73" s="141" t="n">
        <x:f>IF(AND(TRUE,Premissas!$B$11="Imovel",Premissas!$B$47="Investimento",$A73&gt;=MAX('Consorcio Direto'!$B$29,Premissas!$B$49)),$E73,0)</x:f>
        <x:v>856.4643696640002</x:v>
      </x:c>
      <x:c r="BH73" s="141" t="n">
        <x:f>BD73+BE73+BF73</x:f>
        <x:v>1976.855957148016</x:v>
      </x:c>
      <x:c r="BI73" s="141" t="n">
        <x:f>BG73</x:f>
        <x:v>856.4643696640002</x:v>
      </x:c>
      <x:c r="BJ73" s="141" t="n">
        <x:f>$C73+BI73-BH73</x:f>
        <x:v>5879.608412515985</x:v>
      </x:c>
      <x:c r="BK73" s="141" t="n">
        <x:f>BN72*(1+Premissas!$B$41)+BJ73</x:f>
        <x:v>695420.190345107</x:v>
      </x:c>
      <x:c r="BL73" s="141" t="n">
        <x:f>MAX(0,-BK73)</x:f>
        <x:v>0</x:v>
      </x:c>
      <x:c r="BM73" s="141" t="n">
        <x:f>BM72*(1+Premissas!$B$41)+BL73</x:f>
        <x:v>0</x:v>
      </x:c>
      <x:c r="BN73" s="141" t="n">
        <x:f>MAX(0,BK73)</x:f>
        <x:v>695420.190345107</x:v>
      </x:c>
      <x:c r="BO73" s="141" t="n">
        <x:f>INDEX('Consorcio Direto'!$K$55:$K$534,$A73)</x:f>
        <x:v>236532.88227998937</x:v>
      </x:c>
      <x:c r="BP73" s="141" t="n">
        <x:f>IF($A73&lt;'Consorcio Direto'!$B$29,INDEX('Consorcio Direto'!$L$55:$L$534,$A73),$F73)</x:f>
        <x:v>278246.62088617776</x:v>
      </x:c>
      <x:c r="BQ73" s="141" t="n">
        <x:f>BN73+BP73-BO73</x:f>
        <x:v>737133.9289512953</x:v>
      </x:c>
      <x:c r="BR73" s="141" t="n">
        <x:f>IF(BM73&gt;1,"Inviavel",BQ73)</x:f>
        <x:v>737133.9289512953</x:v>
      </x:c>
      <x:c r="BS73" s="141" t="str">
        <x:f>IF(BM73&gt;1,"Inviavel","OK")</x:f>
        <x:v>OK</x:v>
      </x:c>
      <x:c r="BT73" s="141" t="n">
        <x:f>IF(AND('Carta Contemplada'!$B$22="Sim",$A73='Carta Contemplada'!$B$23),'Carta Contemplada'!$B$37,0)</x:f>
        <x:v>0</x:v>
      </x:c>
      <x:c r="BU73" s="141" t="n">
        <x:f>IF('Carta Contemplada'!$B$22="Sim",INDEX('Carta Contemplada'!$C$55:$C$1013,$A73),0)</x:f>
        <x:v>1605.8706931200004</x:v>
      </x:c>
      <x:c r="BV73" s="141" t="n">
        <x:f>IF(AND('Carta Contemplada'!$B$22="Sim",Premissas!$B$11="Imovel",Premissas!$B$47="Moradia",$A73&lt;MAX('Carta Contemplada'!$B$44,Premissas!$B$49)),$D73,0)</x:f>
        <x:v>0</x:v>
      </x:c>
      <x:c r="BW73" s="141" t="n">
        <x:f>IF(AND('Carta Contemplada'!$B$22="Sim",Premissas!$B$11="Imovel",Premissas!$B$47="Investimento",$A73&gt;=MAX('Carta Contemplada'!$B$44,Premissas!$B$49)),$E73,0)</x:f>
        <x:v>856.4643696640002</x:v>
      </x:c>
      <x:c r="BX73" s="141" t="n">
        <x:f>BT73+BU73+BV73</x:f>
        <x:v>1605.8706931200004</x:v>
      </x:c>
      <x:c r="BY73" s="141" t="n">
        <x:f>BW73</x:f>
        <x:v>856.4643696640002</x:v>
      </x:c>
      <x:c r="BZ73" s="141" t="n">
        <x:f>$C73+BY73-BX73</x:f>
        <x:v>6250.593676544</x:v>
      </x:c>
      <x:c r="CA73" s="141" t="n">
        <x:f>CD72*(1+Premissas!$B$41)+BZ73</x:f>
        <x:v>697945.5698271869</x:v>
      </x:c>
      <x:c r="CB73" s="141" t="n">
        <x:f>MAX(0,-CA73)</x:f>
        <x:v>0</x:v>
      </x:c>
      <x:c r="CC73" s="141" t="n">
        <x:f>CC72*(1+Premissas!$B$41)+CB73</x:f>
        <x:v>0</x:v>
      </x:c>
      <x:c r="CD73" s="141" t="n">
        <x:f>MAX(0,CA73)</x:f>
        <x:v>697945.5698271869</x:v>
      </x:c>
      <x:c r="CE73" s="141" t="n">
        <x:f>IF(AND('Carta Contemplada'!$B$22="Sim",$A73&gt;='Carta Contemplada'!$B$23),INDEX('Carta Contemplada'!$I$55:$I$1013,$A73),0)</x:f>
        <x:v>141009.35094208847</x:v>
      </x:c>
      <x:c r="CF73" s="141" t="n">
        <x:f>IF(AND('Carta Contemplada'!$B$22="Sim",$A73&gt;='Carta Contemplada'!$B$44),$F73,0)</x:f>
        <x:v>278246.62088617776</x:v>
      </x:c>
      <x:c r="CG73" s="141" t="n">
        <x:f>CD73+CF73-CE73</x:f>
        <x:v>835182.8397712761</x:v>
      </x:c>
      <x:c r="CH73" s="141" t="n">
        <x:f>IF(CC73&gt;1,"Inviavel",CG73)</x:f>
        <x:v>835182.8397712761</x:v>
      </x:c>
      <x:c r="CI73" s="145" t="str">
        <x:f>IF(CC73&gt;1,"Inviavel","OK")</x:f>
        <x:v>OK</x:v>
      </x:c>
    </x:row>
    <x:row r="74">
      <x:c r="A74" s="142" t="n">
        <x:v>70</x:v>
      </x:c>
      <x:c r="B74" s="179" t="n">
        <x:f>EDATE(Premissas!$B$4,A74-1)</x:f>
        <x:v>48639</x:v>
      </x:c>
      <x:c r="C74" s="141" t="n">
        <x:f>IF(A74&lt;=Premissas!$B$39,Premissas!$B$42,0)</x:f>
        <x:v>7000</x:v>
      </x:c>
      <x:c r="D74" s="141" t="n">
        <x:f>Premissas!$B$54*(1+Premissas!$B$57)^INT((A74-1)/12)</x:f>
        <x:v>936.7579043200002</x:v>
      </x:c>
      <x:c r="E74" s="141" t="n">
        <x:f>Premissas!$B$64*(1+Premissas!$B$57)^INT((A74-1)/12)</x:f>
        <x:v>856.4643696640002</x:v>
      </x:c>
      <x:c r="F74" s="141" t="n">
        <x:f>MAX(0,Premissas!$B$6*(1+Premissas!$B$66)^((A74-1)/12))</x:f>
        <x:v>279601.000382977</x:v>
      </x:c>
      <x:c r="G74" s="141" t="n">
        <x:f>G73*(1+Premissas!$B$41)+C74</x:f>
        <x:v>863837.5567244507</x:v>
      </x:c>
      <x:c r="H74" s="141" t="n">
        <x:f>IF($A74=Premissas!$B$48,Premissas!$B$8,0)</x:f>
        <x:v>0</x:v>
      </x:c>
      <x:c r="I74" s="141" t="n">
        <x:f>IF(AND($A74&gt;=Premissas!$B$48,$A74-Premissas!$B$48+1&lt;=Premissas!$B$13),INDEX(Financiamento!$J$6:$J$485,$A74-Premissas!$B$48+1),0)</x:f>
        <x:v>1799.739550490917</x:v>
      </x:c>
      <x:c r="J74" s="141" t="n">
        <x:f>IF(AND(TRUE,Premissas!$B$11="Imovel",Premissas!$B$47="Moradia",$A74&lt;MAX(Premissas!$B$48,Premissas!$B$49)),$D74,0)</x:f>
        <x:v>0</x:v>
      </x:c>
      <x:c r="K74" s="141" t="n">
        <x:f>IF(AND(TRUE,Premissas!$B$11="Imovel",Premissas!$B$47="Investimento",$A74&gt;=MAX(Premissas!$B$48,Premissas!$B$49)),$E74,0)</x:f>
        <x:v>856.4643696640002</x:v>
      </x:c>
      <x:c r="L74" s="141" t="n">
        <x:f>H74+I74+J74</x:f>
        <x:v>1799.739550490917</x:v>
      </x:c>
      <x:c r="M74" s="141" t="n">
        <x:f>K74</x:f>
        <x:v>856.4643696640002</x:v>
      </x:c>
      <x:c r="N74" s="141" t="n">
        <x:f>$C74+M74-L74</x:f>
        <x:v>6056.724819173083</x:v>
      </x:c>
      <x:c r="O74" s="141" t="n">
        <x:f>R73*(1+Premissas!$B$41)+N74</x:f>
        <x:v>667528.2583399458</x:v>
      </x:c>
      <x:c r="P74" s="141" t="n">
        <x:f>MAX(0,-O74)</x:f>
        <x:v>0</x:v>
      </x:c>
      <x:c r="Q74" s="141" t="n">
        <x:f>Q73*(1+Premissas!$B$41)+P74</x:f>
        <x:v>0</x:v>
      </x:c>
      <x:c r="R74" s="141" t="n">
        <x:f>MAX(0,O74)</x:f>
        <x:v>667528.2583399458</x:v>
      </x:c>
      <x:c r="S74" s="141" t="n">
        <x:f>IF(AND($A74&gt;=Premissas!$B$48,$A74-Premissas!$B$48+1&lt;=Premissas!$B$13),INDEX(Financiamento!$M$6:$M$485,$A74-Premissas!$B$48+1),0)</x:f>
        <x:v>133333.33333333358</x:v>
      </x:c>
      <x:c r="T74" s="141" t="n">
        <x:f>IF($A74&gt;=Premissas!$B$48,$F74,0)</x:f>
        <x:v>279601.000382977</x:v>
      </x:c>
      <x:c r="U74" s="141" t="n">
        <x:f>R74+T74-S74</x:f>
        <x:v>813795.9253895892</x:v>
      </x:c>
      <x:c r="V74" s="141" t="n">
        <x:f>IF(Q74&gt;1,"Inviavel",U74)</x:f>
        <x:v>813795.9253895892</x:v>
      </x:c>
      <x:c r="W74" s="141" t="str">
        <x:f>IF(Q74&gt;1,"Inviavel","OK")</x:f>
        <x:v>OK</x:v>
      </x:c>
      <x:c r="X74" s="141" t="n">
        <x:f>IF($A74=Premissas!$B$48,Premissas!$B$8,0)</x:f>
        <x:v>0</x:v>
      </x:c>
      <x:c r="Y74" s="141" t="n">
        <x:f>IF(AND($A74&gt;=Premissas!$B$48,$A74-Premissas!$B$48+1&lt;=Premissas!$B$13),INDEX(Amortizacao!$K$6:$K$485,$A74-Premissas!$B$48+1),0)</x:f>
        <x:v>0</x:v>
      </x:c>
      <x:c r="Z74" s="141" t="n">
        <x:f>IF(AND(TRUE,Premissas!$B$11="Imovel",Premissas!$B$47="Moradia",$A74&lt;MAX(Premissas!$B$48,Premissas!$B$49)),$D74,0)</x:f>
        <x:v>0</x:v>
      </x:c>
      <x:c r="AA74" s="141" t="n">
        <x:f>IF(AND(TRUE,Premissas!$B$11="Imovel",Premissas!$B$47="Investimento",$A74&gt;=MAX(Premissas!$B$48,Premissas!$B$49)),$E74,0)</x:f>
        <x:v>856.4643696640002</x:v>
      </x:c>
      <x:c r="AB74" s="141" t="n">
        <x:f>X74+Y74+Z74</x:f>
        <x:v>0</x:v>
      </x:c>
      <x:c r="AC74" s="141" t="n">
        <x:f>AA74</x:f>
        <x:v>856.4643696640002</x:v>
      </x:c>
      <x:c r="AD74" s="141" t="n">
        <x:f>$C74+AC74-AB74</x:f>
        <x:v>7856.4643696640005</x:v>
      </x:c>
      <x:c r="AE74" s="141" t="n">
        <x:f>AH73*(1+Premissas!$B$41)+AD74</x:f>
        <x:v>542113.9141015</x:v>
      </x:c>
      <x:c r="AF74" s="141" t="n">
        <x:f>MAX(0,-AE74)</x:f>
        <x:v>0</x:v>
      </x:c>
      <x:c r="AG74" s="141" t="n">
        <x:f>AG73*(1+Premissas!$B$41)+AF74</x:f>
        <x:v>0</x:v>
      </x:c>
      <x:c r="AH74" s="141" t="n">
        <x:f>MAX(0,AE74)</x:f>
        <x:v>542113.9141015</x:v>
      </x:c>
      <x:c r="AI74" s="141" t="n">
        <x:f>IF(AND($A74&gt;=Premissas!$B$48,$A74-Premissas!$B$48+1&lt;=Premissas!$B$13),INDEX(Amortizacao!$L$6:$L$485,$A74-Premissas!$B$48+1),0)</x:f>
        <x:v>0</x:v>
      </x:c>
      <x:c r="AJ74" s="141" t="n">
        <x:f>IF($A74&gt;=Premissas!$B$48,$F74,0)</x:f>
        <x:v>279601.000382977</x:v>
      </x:c>
      <x:c r="AK74" s="141" t="n">
        <x:f>AH74+AJ74-AI74</x:f>
        <x:v>821714.9144844769</x:v>
      </x:c>
      <x:c r="AL74" s="141" t="n">
        <x:f>IF(AG74&gt;1,"Inviavel",AK74)</x:f>
        <x:v>821714.9144844769</x:v>
      </x:c>
      <x:c r="AM74" s="141" t="str">
        <x:f>IF(AG74&gt;1,"Inviavel","OK")</x:f>
        <x:v>OK</x:v>
      </x:c>
      <x:c r="AN74" s="141" t="n">
        <x:f>IF($A74=Premissas!$B$48,Premissas!$B$8,0)</x:f>
        <x:v>0</x:v>
      </x:c>
      <x:c r="AO74" s="141" t="n">
        <x:f>IF($A74&lt;=Premissas!$B$25,INDEX('Consorcio IQ'!$K$6:$K$485,$A74),0)</x:f>
        <x:v>763.4120000000014</x:v>
      </x:c>
      <x:c r="AP74" s="141" t="n">
        <x:f>IF(AND(TRUE,Premissas!$B$11="Imovel",Premissas!$B$47="Moradia",$A74&lt;MAX(Premissas!$B$48,Premissas!$B$49)),$D74,0)</x:f>
        <x:v>0</x:v>
      </x:c>
      <x:c r="AQ74" s="141" t="n">
        <x:f>IF(AND(TRUE,Premissas!$B$11="Imovel",Premissas!$B$47="Investimento",$A74&gt;=MAX(Premissas!$B$48,Premissas!$B$49)),$E74,0)</x:f>
        <x:v>856.4643696640002</x:v>
      </x:c>
      <x:c r="AR74" s="141" t="n">
        <x:f>AN74+AO74+AP74</x:f>
        <x:v>763.4120000000014</x:v>
      </x:c>
      <x:c r="AS74" s="141" t="n">
        <x:f>AQ74</x:f>
        <x:v>856.4643696640002</x:v>
      </x:c>
      <x:c r="AT74" s="141" t="n">
        <x:f>$C74+AS74-AR74</x:f>
        <x:v>7093.052369663999</x:v>
      </x:c>
      <x:c r="AU74" s="141" t="n">
        <x:f>AX73*(1+Premissas!$B$41)+AT74</x:f>
        <x:v>622471.6590214611</x:v>
      </x:c>
      <x:c r="AV74" s="141" t="n">
        <x:f>MAX(0,-AU74)</x:f>
        <x:v>0</x:v>
      </x:c>
      <x:c r="AW74" s="141" t="n">
        <x:f>AW73*(1+Premissas!$B$41)+AV74</x:f>
        <x:v>0</x:v>
      </x:c>
      <x:c r="AX74" s="141" t="n">
        <x:f>MAX(0,AU74)</x:f>
        <x:v>622471.6590214611</x:v>
      </x:c>
      <x:c r="AY74" s="141" t="n">
        <x:f>INDEX('Consorcio IQ'!$P$6:$P$485,$A74)</x:f>
        <x:v>91446.36725693035</x:v>
      </x:c>
      <x:c r="AZ74" s="141" t="n">
        <x:f>IF($A74&gt;=Premissas!$B$48,$F74,0)+IF($A74&lt;Premissas!$B$27,INDEX('Consorcio IQ'!$O$6:$O$485,$A74),0)</x:f>
        <x:v>279601.000382977</x:v>
      </x:c>
      <x:c r="BA74" s="141" t="n">
        <x:f>AX74+AZ74-AY74</x:f>
        <x:v>810626.2921475079</x:v>
      </x:c>
      <x:c r="BB74" s="141" t="n">
        <x:f>IF(AW74&gt;1,"Inviavel",BA74)</x:f>
        <x:v>810626.2921475079</x:v>
      </x:c>
      <x:c r="BC74" s="141" t="str">
        <x:f>IF(AW74&gt;1,"Inviavel","OK")</x:f>
        <x:v>OK</x:v>
      </x:c>
      <x:c r="BD74" s="141" t="n">
        <x:f>IF($A74='Consorcio Direto'!$B$29,'Consorcio Direto'!$B$44,0)</x:f>
        <x:v>0</x:v>
      </x:c>
      <x:c r="BE74" s="141" t="n">
        <x:f>IF($A74&lt;='Consorcio Direto'!$B$27,INDEX('Consorcio Direto'!$E$55:$E$534,$A74),0)</x:f>
        <x:v>1976.855957148016</x:v>
      </x:c>
      <x:c r="BF74" s="141" t="n">
        <x:f>IF(AND(TRUE,Premissas!$B$11="Imovel",Premissas!$B$47="Moradia",$A74&lt;MAX('Consorcio Direto'!$B$29,Premissas!$B$49)),$D74,0)</x:f>
        <x:v>0</x:v>
      </x:c>
      <x:c r="BG74" s="141" t="n">
        <x:f>IF(AND(TRUE,Premissas!$B$11="Imovel",Premissas!$B$47="Investimento",$A74&gt;=MAX('Consorcio Direto'!$B$29,Premissas!$B$49)),$E74,0)</x:f>
        <x:v>856.4643696640002</x:v>
      </x:c>
      <x:c r="BH74" s="141" t="n">
        <x:f>BD74+BE74+BF74</x:f>
        <x:v>1976.855957148016</x:v>
      </x:c>
      <x:c r="BI74" s="141" t="n">
        <x:f>BG74</x:f>
        <x:v>856.4643696640002</x:v>
      </x:c>
      <x:c r="BJ74" s="141" t="n">
        <x:f>$C74+BI74-BH74</x:f>
        <x:v>5879.608412515985</x:v>
      </x:c>
      <x:c r="BK74" s="141" t="n">
        <x:f>BN73*(1+Premissas!$B$41)+BJ74</x:f>
        <x:v>707898.496946336</x:v>
      </x:c>
      <x:c r="BL74" s="141" t="n">
        <x:f>MAX(0,-BK74)</x:f>
        <x:v>0</x:v>
      </x:c>
      <x:c r="BM74" s="141" t="n">
        <x:f>BM73*(1+Premissas!$B$41)+BL74</x:f>
        <x:v>0</x:v>
      </x:c>
      <x:c r="BN74" s="141" t="n">
        <x:f>MAX(0,BK74)</x:f>
        <x:v>707898.496946336</x:v>
      </x:c>
      <x:c r="BO74" s="141" t="n">
        <x:f>INDEX('Consorcio Direto'!$K$55:$K$534,$A74)</x:f>
        <x:v>236800.43786501628</x:v>
      </x:c>
      <x:c r="BP74" s="141" t="n">
        <x:f>IF($A74&lt;'Consorcio Direto'!$B$29,INDEX('Consorcio Direto'!$L$55:$L$534,$A74),$F74)</x:f>
        <x:v>279601.000382977</x:v>
      </x:c>
      <x:c r="BQ74" s="141" t="n">
        <x:f>BN74+BP74-BO74</x:f>
        <x:v>750699.0594642968</x:v>
      </x:c>
      <x:c r="BR74" s="141" t="n">
        <x:f>IF(BM74&gt;1,"Inviavel",BQ74)</x:f>
        <x:v>750699.0594642968</x:v>
      </x:c>
      <x:c r="BS74" s="141" t="str">
        <x:f>IF(BM74&gt;1,"Inviavel","OK")</x:f>
        <x:v>OK</x:v>
      </x:c>
      <x:c r="BT74" s="141" t="n">
        <x:f>IF(AND('Carta Contemplada'!$B$22="Sim",$A74='Carta Contemplada'!$B$23),'Carta Contemplada'!$B$37,0)</x:f>
        <x:v>0</x:v>
      </x:c>
      <x:c r="BU74" s="141" t="n">
        <x:f>IF('Carta Contemplada'!$B$22="Sim",INDEX('Carta Contemplada'!$C$55:$C$1013,$A74),0)</x:f>
        <x:v>1605.8706931200004</x:v>
      </x:c>
      <x:c r="BV74" s="141" t="n">
        <x:f>IF(AND('Carta Contemplada'!$B$22="Sim",Premissas!$B$11="Imovel",Premissas!$B$47="Moradia",$A74&lt;MAX('Carta Contemplada'!$B$44,Premissas!$B$49)),$D74,0)</x:f>
        <x:v>0</x:v>
      </x:c>
      <x:c r="BW74" s="141" t="n">
        <x:f>IF(AND('Carta Contemplada'!$B$22="Sim",Premissas!$B$11="Imovel",Premissas!$B$47="Investimento",$A74&gt;=MAX('Carta Contemplada'!$B$44,Premissas!$B$49)),$E74,0)</x:f>
        <x:v>856.4643696640002</x:v>
      </x:c>
      <x:c r="BX74" s="141" t="n">
        <x:f>BT74+BU74+BV74</x:f>
        <x:v>1605.8706931200004</x:v>
      </x:c>
      <x:c r="BY74" s="141" t="n">
        <x:f>BW74</x:f>
        <x:v>856.4643696640002</x:v>
      </x:c>
      <x:c r="BZ74" s="141" t="n">
        <x:f>$C74+BY74-BX74</x:f>
        <x:v>6250.593676544</x:v>
      </x:c>
      <x:c r="CA74" s="141" t="n">
        <x:f>CD73*(1+Premissas!$B$41)+BZ74</x:f>
        <x:v>710818.8244954307</x:v>
      </x:c>
      <x:c r="CB74" s="141" t="n">
        <x:f>MAX(0,-CA74)</x:f>
        <x:v>0</x:v>
      </x:c>
      <x:c r="CC74" s="141" t="n">
        <x:f>CC73*(1+Premissas!$B$41)+CB74</x:f>
        <x:v>0</x:v>
      </x:c>
      <x:c r="CD74" s="141" t="n">
        <x:f>MAX(0,CA74)</x:f>
        <x:v>710818.8244954307</x:v>
      </x:c>
      <x:c r="CE74" s="141" t="n">
        <x:f>IF(AND('Carta Contemplada'!$B$22="Sim",$A74&gt;='Carta Contemplada'!$B$23),INDEX('Carta Contemplada'!$I$55:$I$1013,$A74),0)</x:f>
        <x:v>140741.4887818979</x:v>
      </x:c>
      <x:c r="CF74" s="141" t="n">
        <x:f>IF(AND('Carta Contemplada'!$B$22="Sim",$A74&gt;='Carta Contemplada'!$B$44),$F74,0)</x:f>
        <x:v>279601.000382977</x:v>
      </x:c>
      <x:c r="CG74" s="141" t="n">
        <x:f>CD74+CF74-CE74</x:f>
        <x:v>849678.3360965097</x:v>
      </x:c>
      <x:c r="CH74" s="141" t="n">
        <x:f>IF(CC74&gt;1,"Inviavel",CG74)</x:f>
        <x:v>849678.3360965097</x:v>
      </x:c>
      <x:c r="CI74" s="145" t="str">
        <x:f>IF(CC74&gt;1,"Inviavel","OK")</x:f>
        <x:v>OK</x:v>
      </x:c>
    </x:row>
    <x:row r="75">
      <x:c r="A75" s="142" t="n">
        <x:v>71</x:v>
      </x:c>
      <x:c r="B75" s="179" t="n">
        <x:f>EDATE(Premissas!$B$4,A75-1)</x:f>
        <x:v>48670</x:v>
      </x:c>
      <x:c r="C75" s="141" t="n">
        <x:f>IF(A75&lt;=Premissas!$B$39,Premissas!$B$42,0)</x:f>
        <x:v>7000</x:v>
      </x:c>
      <x:c r="D75" s="141" t="n">
        <x:f>Premissas!$B$54*(1+Premissas!$B$57)^INT((A75-1)/12)</x:f>
        <x:v>936.7579043200002</x:v>
      </x:c>
      <x:c r="E75" s="141" t="n">
        <x:f>Premissas!$B$64*(1+Premissas!$B$57)^INT((A75-1)/12)</x:f>
        <x:v>856.4643696640002</x:v>
      </x:c>
      <x:c r="F75" s="141" t="n">
        <x:f>MAX(0,Premissas!$B$6*(1+Premissas!$B$66)^((A75-1)/12))</x:f>
        <x:v>280961.97239046165</x:v>
      </x:c>
      <x:c r="G75" s="141" t="n">
        <x:f>G74*(1+Premissas!$B$41)+C75</x:f>
        <x:v>879034.3324293251</x:v>
      </x:c>
      <x:c r="H75" s="141" t="n">
        <x:f>IF($A75=Premissas!$B$48,Premissas!$B$8,0)</x:f>
        <x:v>0</x:v>
      </x:c>
      <x:c r="I75" s="141" t="n">
        <x:f>IF(AND($A75&gt;=Premissas!$B$48,$A75-Premissas!$B$48+1&lt;=Premissas!$B$13),INDEX(Financiamento!$J$6:$J$485,$A75-Premissas!$B$48+1),0)</x:f>
        <x:v>1796.1247722301234</x:v>
      </x:c>
      <x:c r="J75" s="141" t="n">
        <x:f>IF(AND(TRUE,Premissas!$B$11="Imovel",Premissas!$B$47="Moradia",$A75&lt;MAX(Premissas!$B$48,Premissas!$B$49)),$D75,0)</x:f>
        <x:v>0</x:v>
      </x:c>
      <x:c r="K75" s="141" t="n">
        <x:f>IF(AND(TRUE,Premissas!$B$11="Imovel",Premissas!$B$47="Investimento",$A75&gt;=MAX(Premissas!$B$48,Premissas!$B$49)),$E75,0)</x:f>
        <x:v>856.4643696640002</x:v>
      </x:c>
      <x:c r="L75" s="141" t="n">
        <x:f>H75+I75+J75</x:f>
        <x:v>1796.1247722301234</x:v>
      </x:c>
      <x:c r="M75" s="141" t="n">
        <x:f>K75</x:f>
        <x:v>856.4643696640002</x:v>
      </x:c>
      <x:c r="N75" s="141" t="n">
        <x:f>$C75+M75-L75</x:f>
        <x:v>6060.339597433877</x:v>
      </x:c>
      <x:c r="O75" s="141" t="n">
        <x:f>R74*(1+Premissas!$B$41)+N75</x:f>
        <x:v>679922.6353587504</x:v>
      </x:c>
      <x:c r="P75" s="141" t="n">
        <x:f>MAX(0,-O75)</x:f>
        <x:v>0</x:v>
      </x:c>
      <x:c r="Q75" s="141" t="n">
        <x:f>Q74*(1+Premissas!$B$41)+P75</x:f>
        <x:v>0</x:v>
      </x:c>
      <x:c r="R75" s="141" t="n">
        <x:f>MAX(0,O75)</x:f>
        <x:v>679922.6353587504</x:v>
      </x:c>
      <x:c r="S75" s="141" t="n">
        <x:f>IF(AND($A75&gt;=Premissas!$B$48,$A75-Premissas!$B$48+1&lt;=Premissas!$B$13),INDEX(Financiamento!$M$6:$M$485,$A75-Premissas!$B$48+1),0)</x:f>
        <x:v>132952.38095238118</x:v>
      </x:c>
      <x:c r="T75" s="141" t="n">
        <x:f>IF($A75&gt;=Premissas!$B$48,$F75,0)</x:f>
        <x:v>280961.97239046165</x:v>
      </x:c>
      <x:c r="U75" s="141" t="n">
        <x:f>R75+T75-S75</x:f>
        <x:v>827932.2267968309</x:v>
      </x:c>
      <x:c r="V75" s="141" t="n">
        <x:f>IF(Q75&gt;1,"Inviavel",U75)</x:f>
        <x:v>827932.2267968309</x:v>
      </x:c>
      <x:c r="W75" s="141" t="str">
        <x:f>IF(Q75&gt;1,"Inviavel","OK")</x:f>
        <x:v>OK</x:v>
      </x:c>
      <x:c r="X75" s="141" t="n">
        <x:f>IF($A75=Premissas!$B$48,Premissas!$B$8,0)</x:f>
        <x:v>0</x:v>
      </x:c>
      <x:c r="Y75" s="141" t="n">
        <x:f>IF(AND($A75&gt;=Premissas!$B$48,$A75-Premissas!$B$48+1&lt;=Premissas!$B$13),INDEX(Amortizacao!$K$6:$K$485,$A75-Premissas!$B$48+1),0)</x:f>
        <x:v>0</x:v>
      </x:c>
      <x:c r="Z75" s="141" t="n">
        <x:f>IF(AND(TRUE,Premissas!$B$11="Imovel",Premissas!$B$47="Moradia",$A75&lt;MAX(Premissas!$B$48,Premissas!$B$49)),$D75,0)</x:f>
        <x:v>0</x:v>
      </x:c>
      <x:c r="AA75" s="141" t="n">
        <x:f>IF(AND(TRUE,Premissas!$B$11="Imovel",Premissas!$B$47="Investimento",$A75&gt;=MAX(Premissas!$B$48,Premissas!$B$49)),$E75,0)</x:f>
        <x:v>856.4643696640002</x:v>
      </x:c>
      <x:c r="AB75" s="141" t="n">
        <x:f>X75+Y75+Z75</x:f>
        <x:v>0</x:v>
      </x:c>
      <x:c r="AC75" s="141" t="n">
        <x:f>AA75</x:f>
        <x:v>856.4643696640002</x:v>
      </x:c>
      <x:c r="AD75" s="141" t="n">
        <x:f>$C75+AC75-AB75</x:f>
        <x:v>7856.4643696640005</x:v>
      </x:c>
      <x:c r="AE75" s="141" t="n">
        <x:f>AH74*(1+Premissas!$B$41)+AD75</x:f>
        <x:v>555114.3851490294</x:v>
      </x:c>
      <x:c r="AF75" s="141" t="n">
        <x:f>MAX(0,-AE75)</x:f>
        <x:v>0</x:v>
      </x:c>
      <x:c r="AG75" s="141" t="n">
        <x:f>AG74*(1+Premissas!$B$41)+AF75</x:f>
        <x:v>0</x:v>
      </x:c>
      <x:c r="AH75" s="141" t="n">
        <x:f>MAX(0,AE75)</x:f>
        <x:v>555114.3851490294</x:v>
      </x:c>
      <x:c r="AI75" s="141" t="n">
        <x:f>IF(AND($A75&gt;=Premissas!$B$48,$A75-Premissas!$B$48+1&lt;=Premissas!$B$13),INDEX(Amortizacao!$L$6:$L$485,$A75-Premissas!$B$48+1),0)</x:f>
        <x:v>0</x:v>
      </x:c>
      <x:c r="AJ75" s="141" t="n">
        <x:f>IF($A75&gt;=Premissas!$B$48,$F75,0)</x:f>
        <x:v>280961.97239046165</x:v>
      </x:c>
      <x:c r="AK75" s="141" t="n">
        <x:f>AH75+AJ75-AI75</x:f>
        <x:v>836076.357539491</x:v>
      </x:c>
      <x:c r="AL75" s="141" t="n">
        <x:f>IF(AG75&gt;1,"Inviavel",AK75)</x:f>
        <x:v>836076.357539491</x:v>
      </x:c>
      <x:c r="AM75" s="141" t="str">
        <x:f>IF(AG75&gt;1,"Inviavel","OK")</x:f>
        <x:v>OK</x:v>
      </x:c>
      <x:c r="AN75" s="141" t="n">
        <x:f>IF($A75=Premissas!$B$48,Premissas!$B$8,0)</x:f>
        <x:v>0</x:v>
      </x:c>
      <x:c r="AO75" s="141" t="n">
        <x:f>IF($A75&lt;=Premissas!$B$25,INDEX('Consorcio IQ'!$K$6:$K$485,$A75),0)</x:f>
        <x:v>763.4120000000014</x:v>
      </x:c>
      <x:c r="AP75" s="141" t="n">
        <x:f>IF(AND(TRUE,Premissas!$B$11="Imovel",Premissas!$B$47="Moradia",$A75&lt;MAX(Premissas!$B$48,Premissas!$B$49)),$D75,0)</x:f>
        <x:v>0</x:v>
      </x:c>
      <x:c r="AQ75" s="141" t="n">
        <x:f>IF(AND(TRUE,Premissas!$B$11="Imovel",Premissas!$B$47="Investimento",$A75&gt;=MAX(Premissas!$B$48,Premissas!$B$49)),$E75,0)</x:f>
        <x:v>856.4643696640002</x:v>
      </x:c>
      <x:c r="AR75" s="141" t="n">
        <x:f>AN75+AO75+AP75</x:f>
        <x:v>763.4120000000014</x:v>
      </x:c>
      <x:c r="AS75" s="141" t="n">
        <x:f>AQ75</x:f>
        <x:v>856.4643696640002</x:v>
      </x:c>
      <x:c r="AT75" s="141" t="n">
        <x:f>$C75+AS75-AR75</x:f>
        <x:v>7093.052369663999</x:v>
      </x:c>
      <x:c r="AU75" s="141" t="n">
        <x:f>AX74*(1+Premissas!$B$41)+AT75</x:f>
        <x:v>635471.2160712262</x:v>
      </x:c>
      <x:c r="AV75" s="141" t="n">
        <x:f>MAX(0,-AU75)</x:f>
        <x:v>0</x:v>
      </x:c>
      <x:c r="AW75" s="141" t="n">
        <x:f>AW74*(1+Premissas!$B$41)+AV75</x:f>
        <x:v>0</x:v>
      </x:c>
      <x:c r="AX75" s="141" t="n">
        <x:f>MAX(0,AU75)</x:f>
        <x:v>635471.2160712262</x:v>
      </x:c>
      <x:c r="AY75" s="141" t="n">
        <x:f>INDEX('Consorcio IQ'!$P$6:$P$485,$A75)</x:f>
        <x:v>91550.6709004512</x:v>
      </x:c>
      <x:c r="AZ75" s="141" t="n">
        <x:f>IF($A75&gt;=Premissas!$B$48,$F75,0)+IF($A75&lt;Premissas!$B$27,INDEX('Consorcio IQ'!$O$6:$O$485,$A75),0)</x:f>
        <x:v>280961.97239046165</x:v>
      </x:c>
      <x:c r="BA75" s="141" t="n">
        <x:f>AX75+AZ75-AY75</x:f>
        <x:v>824882.5175612366</x:v>
      </x:c>
      <x:c r="BB75" s="141" t="n">
        <x:f>IF(AW75&gt;1,"Inviavel",BA75)</x:f>
        <x:v>824882.5175612366</x:v>
      </x:c>
      <x:c r="BC75" s="141" t="str">
        <x:f>IF(AW75&gt;1,"Inviavel","OK")</x:f>
        <x:v>OK</x:v>
      </x:c>
      <x:c r="BD75" s="141" t="n">
        <x:f>IF($A75='Consorcio Direto'!$B$29,'Consorcio Direto'!$B$44,0)</x:f>
        <x:v>0</x:v>
      </x:c>
      <x:c r="BE75" s="141" t="n">
        <x:f>IF($A75&lt;='Consorcio Direto'!$B$27,INDEX('Consorcio Direto'!$E$55:$E$534,$A75),0)</x:f>
        <x:v>1976.855957148016</x:v>
      </x:c>
      <x:c r="BF75" s="141" t="n">
        <x:f>IF(AND(TRUE,Premissas!$B$11="Imovel",Premissas!$B$47="Moradia",$A75&lt;MAX('Consorcio Direto'!$B$29,Premissas!$B$49)),$D75,0)</x:f>
        <x:v>0</x:v>
      </x:c>
      <x:c r="BG75" s="141" t="n">
        <x:f>IF(AND(TRUE,Premissas!$B$11="Imovel",Premissas!$B$47="Investimento",$A75&gt;=MAX('Consorcio Direto'!$B$29,Premissas!$B$49)),$E75,0)</x:f>
        <x:v>856.4643696640002</x:v>
      </x:c>
      <x:c r="BH75" s="141" t="n">
        <x:f>BD75+BE75+BF75</x:f>
        <x:v>1976.855957148016</x:v>
      </x:c>
      <x:c r="BI75" s="141" t="n">
        <x:f>BG75</x:f>
        <x:v>856.4643696640002</x:v>
      </x:c>
      <x:c r="BJ75" s="141" t="n">
        <x:f>$C75+BI75-BH75</x:f>
        <x:v>5879.608412515985</x:v>
      </x:c>
      <x:c r="BK75" s="141" t="n">
        <x:f>BN74*(1+Premissas!$B$41)+BJ75</x:f>
        <x:v>720495.2076150783</x:v>
      </x:c>
      <x:c r="BL75" s="141" t="n">
        <x:f>MAX(0,-BK75)</x:f>
        <x:v>0</x:v>
      </x:c>
      <x:c r="BM75" s="141" t="n">
        <x:f>BM74*(1+Premissas!$B$41)+BL75</x:f>
        <x:v>0</x:v>
      </x:c>
      <x:c r="BN75" s="141" t="n">
        <x:f>MAX(0,BK75)</x:f>
        <x:v>720495.2076150783</x:v>
      </x:c>
      <x:c r="BO75" s="141" t="n">
        <x:f>INDEX('Consorcio Direto'!$K$55:$K$534,$A75)</x:f>
        <x:v>237070.53222958802</x:v>
      </x:c>
      <x:c r="BP75" s="141" t="n">
        <x:f>IF($A75&lt;'Consorcio Direto'!$B$29,INDEX('Consorcio Direto'!$L$55:$L$534,$A75),$F75)</x:f>
        <x:v>280961.97239046165</x:v>
      </x:c>
      <x:c r="BQ75" s="141" t="n">
        <x:f>BN75+BP75-BO75</x:f>
        <x:v>764386.6477759519</x:v>
      </x:c>
      <x:c r="BR75" s="141" t="n">
        <x:f>IF(BM75&gt;1,"Inviavel",BQ75)</x:f>
        <x:v>764386.6477759519</x:v>
      </x:c>
      <x:c r="BS75" s="141" t="str">
        <x:f>IF(BM75&gt;1,"Inviavel","OK")</x:f>
        <x:v>OK</x:v>
      </x:c>
      <x:c r="BT75" s="141" t="n">
        <x:f>IF(AND('Carta Contemplada'!$B$22="Sim",$A75='Carta Contemplada'!$B$23),'Carta Contemplada'!$B$37,0)</x:f>
        <x:v>0</x:v>
      </x:c>
      <x:c r="BU75" s="141" t="n">
        <x:f>IF('Carta Contemplada'!$B$22="Sim",INDEX('Carta Contemplada'!$C$55:$C$1013,$A75),0)</x:f>
        <x:v>1605.8706931200004</x:v>
      </x:c>
      <x:c r="BV75" s="141" t="n">
        <x:f>IF(AND('Carta Contemplada'!$B$22="Sim",Premissas!$B$11="Imovel",Premissas!$B$47="Moradia",$A75&lt;MAX('Carta Contemplada'!$B$44,Premissas!$B$49)),$D75,0)</x:f>
        <x:v>0</x:v>
      </x:c>
      <x:c r="BW75" s="141" t="n">
        <x:f>IF(AND('Carta Contemplada'!$B$22="Sim",Premissas!$B$11="Imovel",Premissas!$B$47="Investimento",$A75&gt;=MAX('Carta Contemplada'!$B$44,Premissas!$B$49)),$E75,0)</x:f>
        <x:v>856.4643696640002</x:v>
      </x:c>
      <x:c r="BX75" s="141" t="n">
        <x:f>BT75+BU75+BV75</x:f>
        <x:v>1605.8706931200004</x:v>
      </x:c>
      <x:c r="BY75" s="141" t="n">
        <x:f>BW75</x:f>
        <x:v>856.4643696640002</x:v>
      </x:c>
      <x:c r="BZ75" s="141" t="n">
        <x:f>$C75+BY75-BX75</x:f>
        <x:v>6250.593676544</x:v>
      </x:c>
      <x:c r="CA75" s="141" t="n">
        <x:f>CD74*(1+Premissas!$B$41)+BZ75</x:f>
        <x:v>723814.2308116156</x:v>
      </x:c>
      <x:c r="CB75" s="141" t="n">
        <x:f>MAX(0,-CA75)</x:f>
        <x:v>0</x:v>
      </x:c>
      <x:c r="CC75" s="141" t="n">
        <x:f>CC74*(1+Premissas!$B$41)+CB75</x:f>
        <x:v>0</x:v>
      </x:c>
      <x:c r="CD75" s="141" t="n">
        <x:f>MAX(0,CA75)</x:f>
        <x:v>723814.2308116156</x:v>
      </x:c>
      <x:c r="CE75" s="141" t="n">
        <x:f>IF(AND('Carta Contemplada'!$B$22="Sim",$A75&gt;='Carta Contemplada'!$B$23),INDEX('Carta Contemplada'!$I$55:$I$1013,$A75),0)</x:f>
        <x:v>140471.0849331343</x:v>
      </x:c>
      <x:c r="CF75" s="141" t="n">
        <x:f>IF(AND('Carta Contemplada'!$B$22="Sim",$A75&gt;='Carta Contemplada'!$B$44),$F75,0)</x:f>
        <x:v>280961.97239046165</x:v>
      </x:c>
      <x:c r="CG75" s="141" t="n">
        <x:f>CD75+CF75-CE75</x:f>
        <x:v>864305.1182689429</x:v>
      </x:c>
      <x:c r="CH75" s="141" t="n">
        <x:f>IF(CC75&gt;1,"Inviavel",CG75)</x:f>
        <x:v>864305.1182689429</x:v>
      </x:c>
      <x:c r="CI75" s="145" t="str">
        <x:f>IF(CC75&gt;1,"Inviavel","OK")</x:f>
        <x:v>OK</x:v>
      </x:c>
    </x:row>
    <x:row r="76">
      <x:c r="A76" s="142" t="n">
        <x:v>72</x:v>
      </x:c>
      <x:c r="B76" s="179" t="n">
        <x:f>EDATE(Premissas!$B$4,A76-1)</x:f>
        <x:v>48700</x:v>
      </x:c>
      <x:c r="C76" s="141" t="n">
        <x:f>IF(A76&lt;=Premissas!$B$39,Premissas!$B$42,0)</x:f>
        <x:v>7000</x:v>
      </x:c>
      <x:c r="D76" s="141" t="n">
        <x:f>Premissas!$B$54*(1+Premissas!$B$57)^INT((A76-1)/12)</x:f>
        <x:v>936.7579043200002</x:v>
      </x:c>
      <x:c r="E76" s="141" t="n">
        <x:f>Premissas!$B$64*(1+Premissas!$B$57)^INT((A76-1)/12)</x:f>
        <x:v>856.4643696640002</x:v>
      </x:c>
      <x:c r="F76" s="141" t="n">
        <x:f>MAX(0,Premissas!$B$6*(1+Premissas!$B$66)^((A76-1)/12))</x:f>
        <x:v>282329.56899801077</x:v>
      </x:c>
      <x:c r="G76" s="141" t="n">
        <x:f>G75*(1+Premissas!$B$41)+C76</x:f>
        <x:v>894375.3071921364</x:v>
      </x:c>
      <x:c r="H76" s="141" t="n">
        <x:f>IF($A76=Premissas!$B$48,Premissas!$B$8,0)</x:f>
        <x:v>0</x:v>
      </x:c>
      <x:c r="I76" s="141" t="n">
        <x:f>IF(AND($A76&gt;=Premissas!$B$48,$A76-Premissas!$B$48+1&lt;=Premissas!$B$13),INDEX(Financiamento!$J$6:$J$485,$A76-Premissas!$B$48+1),0)</x:f>
        <x:v>1792.5099939693298</x:v>
      </x:c>
      <x:c r="J76" s="141" t="n">
        <x:f>IF(AND(TRUE,Premissas!$B$11="Imovel",Premissas!$B$47="Moradia",$A76&lt;MAX(Premissas!$B$48,Premissas!$B$49)),$D76,0)</x:f>
        <x:v>0</x:v>
      </x:c>
      <x:c r="K76" s="141" t="n">
        <x:f>IF(AND(TRUE,Premissas!$B$11="Imovel",Premissas!$B$47="Investimento",$A76&gt;=MAX(Premissas!$B$48,Premissas!$B$49)),$E76,0)</x:f>
        <x:v>856.4643696640002</x:v>
      </x:c>
      <x:c r="L76" s="141" t="n">
        <x:f>H76+I76+J76</x:f>
        <x:v>1792.5099939693298</x:v>
      </x:c>
      <x:c r="M76" s="141" t="n">
        <x:f>K76</x:f>
        <x:v>856.4643696640002</x:v>
      </x:c>
      <x:c r="N76" s="141" t="n">
        <x:f>$C76+M76-L76</x:f>
        <x:v>6063.9543756946705</x:v>
      </x:c>
      <x:c r="O76" s="141" t="n">
        <x:f>R75*(1+Premissas!$B$41)+N76</x:f>
        <x:v>692438.2348329002</x:v>
      </x:c>
      <x:c r="P76" s="141" t="n">
        <x:f>MAX(0,-O76)</x:f>
        <x:v>0</x:v>
      </x:c>
      <x:c r="Q76" s="141" t="n">
        <x:f>Q75*(1+Premissas!$B$41)+P76</x:f>
        <x:v>0</x:v>
      </x:c>
      <x:c r="R76" s="141" t="n">
        <x:f>MAX(0,O76)</x:f>
        <x:v>692438.2348329002</x:v>
      </x:c>
      <x:c r="S76" s="141" t="n">
        <x:f>IF(AND($A76&gt;=Premissas!$B$48,$A76-Premissas!$B$48+1&lt;=Premissas!$B$13),INDEX(Financiamento!$M$6:$M$485,$A76-Premissas!$B$48+1),0)</x:f>
        <x:v>132571.4285714288</x:v>
      </x:c>
      <x:c r="T76" s="141" t="n">
        <x:f>IF($A76&gt;=Premissas!$B$48,$F76,0)</x:f>
        <x:v>282329.56899801077</x:v>
      </x:c>
      <x:c r="U76" s="141" t="n">
        <x:f>R76+T76-S76</x:f>
        <x:v>842196.3752594821</x:v>
      </x:c>
      <x:c r="V76" s="141" t="n">
        <x:f>IF(Q76&gt;1,"Inviavel",U76)</x:f>
        <x:v>842196.3752594821</x:v>
      </x:c>
      <x:c r="W76" s="141" t="str">
        <x:f>IF(Q76&gt;1,"Inviavel","OK")</x:f>
        <x:v>OK</x:v>
      </x:c>
      <x:c r="X76" s="141" t="n">
        <x:f>IF($A76=Premissas!$B$48,Premissas!$B$8,0)</x:f>
        <x:v>0</x:v>
      </x:c>
      <x:c r="Y76" s="141" t="n">
        <x:f>IF(AND($A76&gt;=Premissas!$B$48,$A76-Premissas!$B$48+1&lt;=Premissas!$B$13),INDEX(Amortizacao!$K$6:$K$485,$A76-Premissas!$B$48+1),0)</x:f>
        <x:v>0</x:v>
      </x:c>
      <x:c r="Z76" s="141" t="n">
        <x:f>IF(AND(TRUE,Premissas!$B$11="Imovel",Premissas!$B$47="Moradia",$A76&lt;MAX(Premissas!$B$48,Premissas!$B$49)),$D76,0)</x:f>
        <x:v>0</x:v>
      </x:c>
      <x:c r="AA76" s="141" t="n">
        <x:f>IF(AND(TRUE,Premissas!$B$11="Imovel",Premissas!$B$47="Investimento",$A76&gt;=MAX(Premissas!$B$48,Premissas!$B$49)),$E76,0)</x:f>
        <x:v>856.4643696640002</x:v>
      </x:c>
      <x:c r="AB76" s="141" t="n">
        <x:f>X76+Y76+Z76</x:f>
        <x:v>0</x:v>
      </x:c>
      <x:c r="AC76" s="141" t="n">
        <x:f>AA76</x:f>
        <x:v>856.4643696640002</x:v>
      </x:c>
      <x:c r="AD76" s="141" t="n">
        <x:f>$C76+AC76-AB76</x:f>
        <x:v>7856.4643696640005</x:v>
      </x:c>
      <x:c r="AE76" s="141" t="n">
        <x:f>AH75*(1+Premissas!$B$41)+AD76</x:f>
        <x:v>568238.2149743809</x:v>
      </x:c>
      <x:c r="AF76" s="141" t="n">
        <x:f>MAX(0,-AE76)</x:f>
        <x:v>0</x:v>
      </x:c>
      <x:c r="AG76" s="141" t="n">
        <x:f>AG75*(1+Premissas!$B$41)+AF76</x:f>
        <x:v>0</x:v>
      </x:c>
      <x:c r="AH76" s="141" t="n">
        <x:f>MAX(0,AE76)</x:f>
        <x:v>568238.2149743809</x:v>
      </x:c>
      <x:c r="AI76" s="141" t="n">
        <x:f>IF(AND($A76&gt;=Premissas!$B$48,$A76-Premissas!$B$48+1&lt;=Premissas!$B$13),INDEX(Amortizacao!$L$6:$L$485,$A76-Premissas!$B$48+1),0)</x:f>
        <x:v>0</x:v>
      </x:c>
      <x:c r="AJ76" s="141" t="n">
        <x:f>IF($A76&gt;=Premissas!$B$48,$F76,0)</x:f>
        <x:v>282329.56899801077</x:v>
      </x:c>
      <x:c r="AK76" s="141" t="n">
        <x:f>AH76+AJ76-AI76</x:f>
        <x:v>850567.7839723916</x:v>
      </x:c>
      <x:c r="AL76" s="141" t="n">
        <x:f>IF(AG76&gt;1,"Inviavel",AK76)</x:f>
        <x:v>850567.7839723916</x:v>
      </x:c>
      <x:c r="AM76" s="141" t="str">
        <x:f>IF(AG76&gt;1,"Inviavel","OK")</x:f>
        <x:v>OK</x:v>
      </x:c>
      <x:c r="AN76" s="141" t="n">
        <x:f>IF($A76=Premissas!$B$48,Premissas!$B$8,0)</x:f>
        <x:v>0</x:v>
      </x:c>
      <x:c r="AO76" s="141" t="n">
        <x:f>IF($A76&lt;=Premissas!$B$25,INDEX('Consorcio IQ'!$K$6:$K$485,$A76),0)</x:f>
        <x:v>763.4120000000014</x:v>
      </x:c>
      <x:c r="AP76" s="141" t="n">
        <x:f>IF(AND(TRUE,Premissas!$B$11="Imovel",Premissas!$B$47="Moradia",$A76&lt;MAX(Premissas!$B$48,Premissas!$B$49)),$D76,0)</x:f>
        <x:v>0</x:v>
      </x:c>
      <x:c r="AQ76" s="141" t="n">
        <x:f>IF(AND(TRUE,Premissas!$B$11="Imovel",Premissas!$B$47="Investimento",$A76&gt;=MAX(Premissas!$B$48,Premissas!$B$49)),$E76,0)</x:f>
        <x:v>856.4643696640002</x:v>
      </x:c>
      <x:c r="AR76" s="141" t="n">
        <x:f>AN76+AO76+AP76</x:f>
        <x:v>763.4120000000014</x:v>
      </x:c>
      <x:c r="AS76" s="141" t="n">
        <x:f>AQ76</x:f>
        <x:v>856.4643696640002</x:v>
      </x:c>
      <x:c r="AT76" s="141" t="n">
        <x:f>$C76+AS76-AR76</x:f>
        <x:v>7093.052369663999</x:v>
      </x:c>
      <x:c r="AU76" s="141" t="n">
        <x:f>AX75*(1+Premissas!$B$41)+AT76</x:f>
        <x:v>648594.1232260776</x:v>
      </x:c>
      <x:c r="AV76" s="141" t="n">
        <x:f>MAX(0,-AU76)</x:f>
        <x:v>0</x:v>
      </x:c>
      <x:c r="AW76" s="141" t="n">
        <x:f>AW75*(1+Premissas!$B$41)+AV76</x:f>
        <x:v>0</x:v>
      </x:c>
      <x:c r="AX76" s="141" t="n">
        <x:f>MAX(0,AU76)</x:f>
        <x:v>648594.1232260776</x:v>
      </x:c>
      <x:c r="AY76" s="141" t="n">
        <x:f>INDEX('Consorcio IQ'!$P$6:$P$485,$A76)</x:f>
        <x:v>91655.96425964774</x:v>
      </x:c>
      <x:c r="AZ76" s="141" t="n">
        <x:f>IF($A76&gt;=Premissas!$B$48,$F76,0)+IF($A76&lt;Premissas!$B$27,INDEX('Consorcio IQ'!$O$6:$O$485,$A76),0)</x:f>
        <x:v>282329.56899801077</x:v>
      </x:c>
      <x:c r="BA76" s="141" t="n">
        <x:f>AX76+AZ76-AY76</x:f>
        <x:v>839267.7279644406</x:v>
      </x:c>
      <x:c r="BB76" s="141" t="n">
        <x:f>IF(AW76&gt;1,"Inviavel",BA76)</x:f>
        <x:v>839267.7279644406</x:v>
      </x:c>
      <x:c r="BC76" s="141" t="str">
        <x:f>IF(AW76&gt;1,"Inviavel","OK")</x:f>
        <x:v>OK</x:v>
      </x:c>
      <x:c r="BD76" s="141" t="n">
        <x:f>IF($A76='Consorcio Direto'!$B$29,'Consorcio Direto'!$B$44,0)</x:f>
        <x:v>0</x:v>
      </x:c>
      <x:c r="BE76" s="141" t="n">
        <x:f>IF($A76&lt;='Consorcio Direto'!$B$27,INDEX('Consorcio Direto'!$E$55:$E$534,$A76),0)</x:f>
        <x:v>1976.855957148016</x:v>
      </x:c>
      <x:c r="BF76" s="141" t="n">
        <x:f>IF(AND(TRUE,Premissas!$B$11="Imovel",Premissas!$B$47="Moradia",$A76&lt;MAX('Consorcio Direto'!$B$29,Premissas!$B$49)),$D76,0)</x:f>
        <x:v>0</x:v>
      </x:c>
      <x:c r="BG76" s="141" t="n">
        <x:f>IF(AND(TRUE,Premissas!$B$11="Imovel",Premissas!$B$47="Investimento",$A76&gt;=MAX('Consorcio Direto'!$B$29,Premissas!$B$49)),$E76,0)</x:f>
        <x:v>856.4643696640002</x:v>
      </x:c>
      <x:c r="BH76" s="141" t="n">
        <x:f>BD76+BE76+BF76</x:f>
        <x:v>1976.855957148016</x:v>
      </x:c>
      <x:c r="BI76" s="141" t="n">
        <x:f>BG76</x:f>
        <x:v>856.4643696640002</x:v>
      </x:c>
      <x:c r="BJ76" s="141" t="n">
        <x:f>$C76+BI76-BH76</x:f>
        <x:v>5879.608412515985</x:v>
      </x:c>
      <x:c r="BK76" s="141" t="n">
        <x:f>BN75*(1+Premissas!$B$41)+BJ76</x:f>
        <x:v>733211.4458630132</x:v>
      </x:c>
      <x:c r="BL76" s="141" t="n">
        <x:f>MAX(0,-BK76)</x:f>
        <x:v>0</x:v>
      </x:c>
      <x:c r="BM76" s="141" t="n">
        <x:f>BM75*(1+Premissas!$B$41)+BL76</x:f>
        <x:v>0</x:v>
      </x:c>
      <x:c r="BN76" s="141" t="n">
        <x:f>MAX(0,BK76)</x:f>
        <x:v>733211.4458630132</x:v>
      </x:c>
      <x:c r="BO76" s="141" t="n">
        <x:f>INDEX('Consorcio Direto'!$K$55:$K$534,$A76)</x:f>
        <x:v>237343.18946365797</x:v>
      </x:c>
      <x:c r="BP76" s="141" t="n">
        <x:f>IF($A76&lt;'Consorcio Direto'!$B$29,INDEX('Consorcio Direto'!$L$55:$L$534,$A76),$F76)</x:f>
        <x:v>282329.56899801077</x:v>
      </x:c>
      <x:c r="BQ76" s="141" t="n">
        <x:f>BN76+BP76-BO76</x:f>
        <x:v>778197.825397366</x:v>
      </x:c>
      <x:c r="BR76" s="141" t="n">
        <x:f>IF(BM76&gt;1,"Inviavel",BQ76)</x:f>
        <x:v>778197.825397366</x:v>
      </x:c>
      <x:c r="BS76" s="141" t="str">
        <x:f>IF(BM76&gt;1,"Inviavel","OK")</x:f>
        <x:v>OK</x:v>
      </x:c>
      <x:c r="BT76" s="141" t="n">
        <x:f>IF(AND('Carta Contemplada'!$B$22="Sim",$A76='Carta Contemplada'!$B$23),'Carta Contemplada'!$B$37,0)</x:f>
        <x:v>0</x:v>
      </x:c>
      <x:c r="BU76" s="141" t="n">
        <x:f>IF('Carta Contemplada'!$B$22="Sim",INDEX('Carta Contemplada'!$C$55:$C$1013,$A76),0)</x:f>
        <x:v>1605.8706931200004</x:v>
      </x:c>
      <x:c r="BV76" s="141" t="n">
        <x:f>IF(AND('Carta Contemplada'!$B$22="Sim",Premissas!$B$11="Imovel",Premissas!$B$47="Moradia",$A76&lt;MAX('Carta Contemplada'!$B$44,Premissas!$B$49)),$D76,0)</x:f>
        <x:v>0</x:v>
      </x:c>
      <x:c r="BW76" s="141" t="n">
        <x:f>IF(AND('Carta Contemplada'!$B$22="Sim",Premissas!$B$11="Imovel",Premissas!$B$47="Investimento",$A76&gt;=MAX('Carta Contemplada'!$B$44,Premissas!$B$49)),$E76,0)</x:f>
        <x:v>856.4643696640002</x:v>
      </x:c>
      <x:c r="BX76" s="141" t="n">
        <x:f>BT76+BU76+BV76</x:f>
        <x:v>1605.8706931200004</x:v>
      </x:c>
      <x:c r="BY76" s="141" t="n">
        <x:f>BW76</x:f>
        <x:v>856.4643696640002</x:v>
      </x:c>
      <x:c r="BZ76" s="141" t="n">
        <x:f>$C76+BY76-BX76</x:f>
        <x:v>6250.593676544</x:v>
      </x:c>
      <x:c r="CA76" s="141" t="n">
        <x:f>CD75*(1+Premissas!$B$41)+BZ76</x:f>
        <x:v>736932.9478474355</x:v>
      </x:c>
      <x:c r="CB76" s="141" t="n">
        <x:f>MAX(0,-CA76)</x:f>
        <x:v>0</x:v>
      </x:c>
      <x:c r="CC76" s="141" t="n">
        <x:f>CC75*(1+Premissas!$B$41)+CB76</x:f>
        <x:v>0</x:v>
      </x:c>
      <x:c r="CD76" s="141" t="n">
        <x:f>MAX(0,CA76)</x:f>
        <x:v>736932.9478474355</x:v>
      </x:c>
      <x:c r="CE76" s="141" t="n">
        <x:f>IF(AND('Carta Contemplada'!$B$22="Sim",$A76&gt;='Carta Contemplada'!$B$23),INDEX('Carta Contemplada'!$I$55:$I$1013,$A76),0)</x:f>
        <x:v>140198.11527824102</x:v>
      </x:c>
      <x:c r="CF76" s="141" t="n">
        <x:f>IF(AND('Carta Contemplada'!$B$22="Sim",$A76&gt;='Carta Contemplada'!$B$44),$F76,0)</x:f>
        <x:v>282329.56899801077</x:v>
      </x:c>
      <x:c r="CG76" s="141" t="n">
        <x:f>CD76+CF76-CE76</x:f>
        <x:v>879064.4015672053</x:v>
      </x:c>
      <x:c r="CH76" s="141" t="n">
        <x:f>IF(CC76&gt;1,"Inviavel",CG76)</x:f>
        <x:v>879064.4015672053</x:v>
      </x:c>
      <x:c r="CI76" s="145" t="str">
        <x:f>IF(CC76&gt;1,"Inviavel","OK")</x:f>
        <x:v>OK</x:v>
      </x:c>
    </x:row>
    <x:row r="77">
      <x:c r="A77" s="142" t="n">
        <x:v>73</x:v>
      </x:c>
      <x:c r="B77" s="179" t="n">
        <x:f>EDATE(Premissas!$B$4,A77-1)</x:f>
        <x:v>48731</x:v>
      </x:c>
      <x:c r="C77" s="141" t="n">
        <x:f>IF(A77&lt;=Premissas!$B$39,Premissas!$B$42,0)</x:f>
        <x:v>7000</x:v>
      </x:c>
      <x:c r="D77" s="141" t="n">
        <x:f>Premissas!$B$54*(1+Premissas!$B$57)^INT((A77-1)/12)</x:f>
        <x:v>992.9633785792003</x:v>
      </x:c>
      <x:c r="E77" s="141" t="n">
        <x:f>Premissas!$B$64*(1+Premissas!$B$57)^INT((A77-1)/12)</x:f>
        <x:v>907.8522318438402</x:v>
      </x:c>
      <x:c r="F77" s="141" t="n">
        <x:f>MAX(0,Premissas!$B$6*(1+Premissas!$B$66)^((A77-1)/12))</x:f>
        <x:v>283703.82245120005</x:v>
      </x:c>
      <x:c r="G77" s="141" t="n">
        <x:f>G76*(1+Premissas!$B$41)+C77</x:f>
        <x:v>909861.8492878868</x:v>
      </x:c>
      <x:c r="H77" s="141" t="n">
        <x:f>IF($A77=Premissas!$B$48,Premissas!$B$8,0)</x:f>
        <x:v>0</x:v>
      </x:c>
      <x:c r="I77" s="141" t="n">
        <x:f>IF(AND($A77&gt;=Premissas!$B$48,$A77-Premissas!$B$48+1&lt;=Premissas!$B$13),INDEX(Financiamento!$J$6:$J$485,$A77-Premissas!$B$48+1),0)</x:f>
        <x:v>1788.8952157085362</x:v>
      </x:c>
      <x:c r="J77" s="141" t="n">
        <x:f>IF(AND(TRUE,Premissas!$B$11="Imovel",Premissas!$B$47="Moradia",$A77&lt;MAX(Premissas!$B$48,Premissas!$B$49)),$D77,0)</x:f>
        <x:v>0</x:v>
      </x:c>
      <x:c r="K77" s="141" t="n">
        <x:f>IF(AND(TRUE,Premissas!$B$11="Imovel",Premissas!$B$47="Investimento",$A77&gt;=MAX(Premissas!$B$48,Premissas!$B$49)),$E77,0)</x:f>
        <x:v>907.8522318438402</x:v>
      </x:c>
      <x:c r="L77" s="141" t="n">
        <x:f>H77+I77+J77</x:f>
        <x:v>1788.8952157085362</x:v>
      </x:c>
      <x:c r="M77" s="141" t="n">
        <x:f>K77</x:f>
        <x:v>907.8522318438402</x:v>
      </x:c>
      <x:c r="N77" s="141" t="n">
        <x:f>$C77+M77-L77</x:f>
        <x:v>6118.957016135304</x:v>
      </x:c>
      <x:c r="O77" s="141" t="n">
        <x:f>R76*(1+Premissas!$B$41)+N77</x:f>
        <x:v>705127.5948793532</x:v>
      </x:c>
      <x:c r="P77" s="141" t="n">
        <x:f>MAX(0,-O77)</x:f>
        <x:v>0</x:v>
      </x:c>
      <x:c r="Q77" s="141" t="n">
        <x:f>Q76*(1+Premissas!$B$41)+P77</x:f>
        <x:v>0</x:v>
      </x:c>
      <x:c r="R77" s="141" t="n">
        <x:f>MAX(0,O77)</x:f>
        <x:v>705127.5948793532</x:v>
      </x:c>
      <x:c r="S77" s="141" t="n">
        <x:f>IF(AND($A77&gt;=Premissas!$B$48,$A77-Premissas!$B$48+1&lt;=Premissas!$B$13),INDEX(Financiamento!$M$6:$M$485,$A77-Premissas!$B$48+1),0)</x:f>
        <x:v>132190.47619047645</x:v>
      </x:c>
      <x:c r="T77" s="141" t="n">
        <x:f>IF($A77&gt;=Premissas!$B$48,$F77,0)</x:f>
        <x:v>283703.82245120005</x:v>
      </x:c>
      <x:c r="U77" s="141" t="n">
        <x:f>R77+T77-S77</x:f>
        <x:v>856640.9411400768</x:v>
      </x:c>
      <x:c r="V77" s="141" t="n">
        <x:f>IF(Q77&gt;1,"Inviavel",U77)</x:f>
        <x:v>856640.9411400768</x:v>
      </x:c>
      <x:c r="W77" s="141" t="str">
        <x:f>IF(Q77&gt;1,"Inviavel","OK")</x:f>
        <x:v>OK</x:v>
      </x:c>
      <x:c r="X77" s="141" t="n">
        <x:f>IF($A77=Premissas!$B$48,Premissas!$B$8,0)</x:f>
        <x:v>0</x:v>
      </x:c>
      <x:c r="Y77" s="141" t="n">
        <x:f>IF(AND($A77&gt;=Premissas!$B$48,$A77-Premissas!$B$48+1&lt;=Premissas!$B$13),INDEX(Amortizacao!$K$6:$K$485,$A77-Premissas!$B$48+1),0)</x:f>
        <x:v>0</x:v>
      </x:c>
      <x:c r="Z77" s="141" t="n">
        <x:f>IF(AND(TRUE,Premissas!$B$11="Imovel",Premissas!$B$47="Moradia",$A77&lt;MAX(Premissas!$B$48,Premissas!$B$49)),$D77,0)</x:f>
        <x:v>0</x:v>
      </x:c>
      <x:c r="AA77" s="141" t="n">
        <x:f>IF(AND(TRUE,Premissas!$B$11="Imovel",Premissas!$B$47="Investimento",$A77&gt;=MAX(Premissas!$B$48,Premissas!$B$49)),$E77,0)</x:f>
        <x:v>907.8522318438402</x:v>
      </x:c>
      <x:c r="AB77" s="141" t="n">
        <x:f>X77+Y77+Z77</x:f>
        <x:v>0</x:v>
      </x:c>
      <x:c r="AC77" s="141" t="n">
        <x:f>AA77</x:f>
        <x:v>907.8522318438402</x:v>
      </x:c>
      <x:c r="AD77" s="141" t="n">
        <x:f>$C77+AC77-AB77</x:f>
        <x:v>7907.85223184384</x:v>
      </x:c>
      <x:c r="AE77" s="141" t="n">
        <x:f>AH76*(1+Premissas!$B$41)+AD77</x:f>
        <x:v>581537.9619656338</x:v>
      </x:c>
      <x:c r="AF77" s="141" t="n">
        <x:f>MAX(0,-AE77)</x:f>
        <x:v>0</x:v>
      </x:c>
      <x:c r="AG77" s="141" t="n">
        <x:f>AG76*(1+Premissas!$B$41)+AF77</x:f>
        <x:v>0</x:v>
      </x:c>
      <x:c r="AH77" s="141" t="n">
        <x:f>MAX(0,AE77)</x:f>
        <x:v>581537.9619656338</x:v>
      </x:c>
      <x:c r="AI77" s="141" t="n">
        <x:f>IF(AND($A77&gt;=Premissas!$B$48,$A77-Premissas!$B$48+1&lt;=Premissas!$B$13),INDEX(Amortizacao!$L$6:$L$485,$A77-Premissas!$B$48+1),0)</x:f>
        <x:v>0</x:v>
      </x:c>
      <x:c r="AJ77" s="141" t="n">
        <x:f>IF($A77&gt;=Premissas!$B$48,$F77,0)</x:f>
        <x:v>283703.82245120005</x:v>
      </x:c>
      <x:c r="AK77" s="141" t="n">
        <x:f>AH77+AJ77-AI77</x:f>
        <x:v>865241.7844168339</x:v>
      </x:c>
      <x:c r="AL77" s="141" t="n">
        <x:f>IF(AG77&gt;1,"Inviavel",AK77)</x:f>
        <x:v>865241.7844168339</x:v>
      </x:c>
      <x:c r="AM77" s="141" t="str">
        <x:f>IF(AG77&gt;1,"Inviavel","OK")</x:f>
        <x:v>OK</x:v>
      </x:c>
      <x:c r="AN77" s="141" t="n">
        <x:f>IF($A77=Premissas!$B$48,Premissas!$B$8,0)</x:f>
        <x:v>0</x:v>
      </x:c>
      <x:c r="AO77" s="141" t="n">
        <x:f>IF($A77&lt;=Premissas!$B$25,INDEX('Consorcio IQ'!$K$6:$K$485,$A77),0)</x:f>
        <x:v>809.2167200000016</x:v>
      </x:c>
      <x:c r="AP77" s="141" t="n">
        <x:f>IF(AND(TRUE,Premissas!$B$11="Imovel",Premissas!$B$47="Moradia",$A77&lt;MAX(Premissas!$B$48,Premissas!$B$49)),$D77,0)</x:f>
        <x:v>0</x:v>
      </x:c>
      <x:c r="AQ77" s="141" t="n">
        <x:f>IF(AND(TRUE,Premissas!$B$11="Imovel",Premissas!$B$47="Investimento",$A77&gt;=MAX(Premissas!$B$48,Premissas!$B$49)),$E77,0)</x:f>
        <x:v>907.8522318438402</x:v>
      </x:c>
      <x:c r="AR77" s="141" t="n">
        <x:f>AN77+AO77+AP77</x:f>
        <x:v>809.2167200000016</x:v>
      </x:c>
      <x:c r="AS77" s="141" t="n">
        <x:f>AQ77</x:f>
        <x:v>907.8522318438402</x:v>
      </x:c>
      <x:c r="AT77" s="141" t="n">
        <x:f>$C77+AS77-AR77</x:f>
        <x:v>7098.635511843839</x:v>
      </x:c>
      <x:c r="AU77" s="141" t="n">
        <x:f>AX76*(1+Premissas!$B$41)+AT77</x:f>
        <x:v>661847.1340718012</x:v>
      </x:c>
      <x:c r="AV77" s="141" t="n">
        <x:f>MAX(0,-AU77)</x:f>
        <x:v>0</x:v>
      </x:c>
      <x:c r="AW77" s="141" t="n">
        <x:f>AW76*(1+Premissas!$B$41)+AV77</x:f>
        <x:v>0</x:v>
      </x:c>
      <x:c r="AX77" s="141" t="n">
        <x:f>MAX(0,AU77)</x:f>
        <x:v>661847.1340718012</x:v>
      </x:c>
      <x:c r="AY77" s="141" t="n">
        <x:f>INDEX('Consorcio IQ'!$P$6:$P$485,$A77)</x:f>
        <x:v>91716.45200572709</x:v>
      </x:c>
      <x:c r="AZ77" s="141" t="n">
        <x:f>IF($A77&gt;=Premissas!$B$48,$F77,0)+IF($A77&lt;Premissas!$B$27,INDEX('Consorcio IQ'!$O$6:$O$485,$A77),0)</x:f>
        <x:v>283703.82245120005</x:v>
      </x:c>
      <x:c r="BA77" s="141" t="n">
        <x:f>AX77+AZ77-AY77</x:f>
        <x:v>853834.5045172741</x:v>
      </x:c>
      <x:c r="BB77" s="141" t="n">
        <x:f>IF(AW77&gt;1,"Inviavel",BA77)</x:f>
        <x:v>853834.5045172741</x:v>
      </x:c>
      <x:c r="BC77" s="141" t="str">
        <x:f>IF(AW77&gt;1,"Inviavel","OK")</x:f>
        <x:v>OK</x:v>
      </x:c>
      <x:c r="BD77" s="141" t="n">
        <x:f>IF($A77='Consorcio Direto'!$B$29,'Consorcio Direto'!$B$44,0)</x:f>
        <x:v>0</x:v>
      </x:c>
      <x:c r="BE77" s="141" t="n">
        <x:f>IF($A77&lt;='Consorcio Direto'!$B$27,INDEX('Consorcio Direto'!$E$55:$E$534,$A77),0)</x:f>
        <x:v>2095.467314576897</x:v>
      </x:c>
      <x:c r="BF77" s="141" t="n">
        <x:f>IF(AND(TRUE,Premissas!$B$11="Imovel",Premissas!$B$47="Moradia",$A77&lt;MAX('Consorcio Direto'!$B$29,Premissas!$B$49)),$D77,0)</x:f>
        <x:v>0</x:v>
      </x:c>
      <x:c r="BG77" s="141" t="n">
        <x:f>IF(AND(TRUE,Premissas!$B$11="Imovel",Premissas!$B$47="Investimento",$A77&gt;=MAX('Consorcio Direto'!$B$29,Premissas!$B$49)),$E77,0)</x:f>
        <x:v>907.8522318438402</x:v>
      </x:c>
      <x:c r="BH77" s="141" t="n">
        <x:f>BD77+BE77+BF77</x:f>
        <x:v>2095.467314576897</x:v>
      </x:c>
      <x:c r="BI77" s="141" t="n">
        <x:f>BG77</x:f>
        <x:v>907.8522318438402</x:v>
      </x:c>
      <x:c r="BJ77" s="141" t="n">
        <x:f>$C77+BI77-BH77</x:f>
        <x:v>5812.384917266943</x:v>
      </x:c>
      <x:c r="BK77" s="141" t="n">
        <x:f>BN76*(1+Premissas!$B$41)+BJ77</x:f>
        <x:v>745981.1223673405</x:v>
      </x:c>
      <x:c r="BL77" s="141" t="n">
        <x:f>MAX(0,-BK77)</x:f>
        <x:v>0</x:v>
      </x:c>
      <x:c r="BM77" s="141" t="n">
        <x:f>BM76*(1+Premissas!$B$41)+BL77</x:f>
        <x:v>0</x:v>
      </x:c>
      <x:c r="BN77" s="141" t="n">
        <x:f>MAX(0,BK77)</x:f>
        <x:v>745981.1223673405</x:v>
      </x:c>
      <x:c r="BO77" s="141" t="n">
        <x:f>INDEX('Consorcio Direto'!$K$55:$K$534,$A77)</x:f>
        <x:v>237499.82252833524</x:v>
      </x:c>
      <x:c r="BP77" s="141" t="n">
        <x:f>IF($A77&lt;'Consorcio Direto'!$B$29,INDEX('Consorcio Direto'!$L$55:$L$534,$A77),$F77)</x:f>
        <x:v>283703.82245120005</x:v>
      </x:c>
      <x:c r="BQ77" s="141" t="n">
        <x:f>BN77+BP77-BO77</x:f>
        <x:v>792185.1222902052</x:v>
      </x:c>
      <x:c r="BR77" s="141" t="n">
        <x:f>IF(BM77&gt;1,"Inviavel",BQ77)</x:f>
        <x:v>792185.1222902052</x:v>
      </x:c>
      <x:c r="BS77" s="141" t="str">
        <x:f>IF(BM77&gt;1,"Inviavel","OK")</x:f>
        <x:v>OK</x:v>
      </x:c>
      <x:c r="BT77" s="141" t="n">
        <x:f>IF(AND('Carta Contemplada'!$B$22="Sim",$A77='Carta Contemplada'!$B$23),'Carta Contemplada'!$B$37,0)</x:f>
        <x:v>0</x:v>
      </x:c>
      <x:c r="BU77" s="141" t="n">
        <x:f>IF('Carta Contemplada'!$B$22="Sim",INDEX('Carta Contemplada'!$C$55:$C$1013,$A77),0)</x:f>
        <x:v>1702.2229347072005</x:v>
      </x:c>
      <x:c r="BV77" s="141" t="n">
        <x:f>IF(AND('Carta Contemplada'!$B$22="Sim",Premissas!$B$11="Imovel",Premissas!$B$47="Moradia",$A77&lt;MAX('Carta Contemplada'!$B$44,Premissas!$B$49)),$D77,0)</x:f>
        <x:v>0</x:v>
      </x:c>
      <x:c r="BW77" s="141" t="n">
        <x:f>IF(AND('Carta Contemplada'!$B$22="Sim",Premissas!$B$11="Imovel",Premissas!$B$47="Investimento",$A77&gt;=MAX('Carta Contemplada'!$B$44,Premissas!$B$49)),$E77,0)</x:f>
        <x:v>907.8522318438402</x:v>
      </x:c>
      <x:c r="BX77" s="141" t="n">
        <x:f>BT77+BU77+BV77</x:f>
        <x:v>1702.2229347072005</x:v>
      </x:c>
      <x:c r="BY77" s="141" t="n">
        <x:f>BW77</x:f>
        <x:v>907.8522318438402</x:v>
      </x:c>
      <x:c r="BZ77" s="141" t="n">
        <x:f>$C77+BY77-BX77</x:f>
        <x:v>6205.629297136639</x:v>
      </x:c>
      <x:c r="CA77" s="141" t="n">
        <x:f>CD76*(1+Premissas!$B$41)+BZ77</x:f>
        <x:v>750131.1812933683</x:v>
      </x:c>
      <x:c r="CB77" s="141" t="n">
        <x:f>MAX(0,-CA77)</x:f>
        <x:v>0</x:v>
      </x:c>
      <x:c r="CC77" s="141" t="n">
        <x:f>CC76*(1+Premissas!$B$41)+CB77</x:f>
        <x:v>0</x:v>
      </x:c>
      <x:c r="CD77" s="141" t="n">
        <x:f>MAX(0,CA77)</x:f>
        <x:v>750131.1812933683</x:v>
      </x:c>
      <x:c r="CE77" s="141" t="n">
        <x:f>IF(AND('Carta Contemplada'!$B$22="Sim",$A77&gt;='Carta Contemplada'!$B$23),INDEX('Carta Contemplada'!$I$55:$I$1013,$A77),0)</x:f>
        <x:v>139826.20322922783</x:v>
      </x:c>
      <x:c r="CF77" s="141" t="n">
        <x:f>IF(AND('Carta Contemplada'!$B$22="Sim",$A77&gt;='Carta Contemplada'!$B$44),$F77,0)</x:f>
        <x:v>283703.82245120005</x:v>
      </x:c>
      <x:c r="CG77" s="141" t="n">
        <x:f>CD77+CF77-CE77</x:f>
        <x:v>894008.8005153406</x:v>
      </x:c>
      <x:c r="CH77" s="141" t="n">
        <x:f>IF(CC77&gt;1,"Inviavel",CG77)</x:f>
        <x:v>894008.8005153406</x:v>
      </x:c>
      <x:c r="CI77" s="145" t="str">
        <x:f>IF(CC77&gt;1,"Inviavel","OK")</x:f>
        <x:v>OK</x:v>
      </x:c>
    </x:row>
    <x:row r="78">
      <x:c r="A78" s="142" t="n">
        <x:v>74</x:v>
      </x:c>
      <x:c r="B78" s="179" t="n">
        <x:f>EDATE(Premissas!$B$4,A78-1)</x:f>
        <x:v>48761</x:v>
      </x:c>
      <x:c r="C78" s="141" t="n">
        <x:f>IF(A78&lt;=Premissas!$B$39,Premissas!$B$42,0)</x:f>
        <x:v>7000</x:v>
      </x:c>
      <x:c r="D78" s="141" t="n">
        <x:f>Premissas!$B$54*(1+Premissas!$B$57)^INT((A78-1)/12)</x:f>
        <x:v>992.9633785792003</x:v>
      </x:c>
      <x:c r="E78" s="141" t="n">
        <x:f>Premissas!$B$64*(1+Premissas!$B$57)^INT((A78-1)/12)</x:f>
        <x:v>907.8522318438402</x:v>
      </x:c>
      <x:c r="F78" s="141" t="n">
        <x:f>MAX(0,Premissas!$B$6*(1+Premissas!$B$66)^((A78-1)/12))</x:f>
        <x:v>285084.7651525624</x:v>
      </x:c>
      <x:c r="G78" s="141" t="n">
        <x:f>G77*(1+Premissas!$B$41)+C78</x:f>
        <x:v>925495.3399748564</x:v>
      </x:c>
      <x:c r="H78" s="141" t="n">
        <x:f>IF($A78=Premissas!$B$48,Premissas!$B$8,0)</x:f>
        <x:v>0</x:v>
      </x:c>
      <x:c r="I78" s="141" t="n">
        <x:f>IF(AND($A78&gt;=Premissas!$B$48,$A78-Premissas!$B$48+1&lt;=Premissas!$B$13),INDEX(Financiamento!$J$6:$J$485,$A78-Premissas!$B$48+1),0)</x:f>
        <x:v>1785.2804374477428</x:v>
      </x:c>
      <x:c r="J78" s="141" t="n">
        <x:f>IF(AND(TRUE,Premissas!$B$11="Imovel",Premissas!$B$47="Moradia",$A78&lt;MAX(Premissas!$B$48,Premissas!$B$49)),$D78,0)</x:f>
        <x:v>0</x:v>
      </x:c>
      <x:c r="K78" s="141" t="n">
        <x:f>IF(AND(TRUE,Premissas!$B$11="Imovel",Premissas!$B$47="Investimento",$A78&gt;=MAX(Premissas!$B$48,Premissas!$B$49)),$E78,0)</x:f>
        <x:v>907.8522318438402</x:v>
      </x:c>
      <x:c r="L78" s="141" t="n">
        <x:f>H78+I78+J78</x:f>
        <x:v>1785.2804374477428</x:v>
      </x:c>
      <x:c r="M78" s="141" t="n">
        <x:f>K78</x:f>
        <x:v>907.8522318438402</x:v>
      </x:c>
      <x:c r="N78" s="141" t="n">
        <x:f>$C78+M78-L78</x:f>
        <x:v>6122.571794396097</x:v>
      </x:c>
      <x:c r="O78" s="141" t="n">
        <x:f>R77*(1+Premissas!$B$41)+N78</x:f>
        <x:v>717940.97641402</x:v>
      </x:c>
      <x:c r="P78" s="141" t="n">
        <x:f>MAX(0,-O78)</x:f>
        <x:v>0</x:v>
      </x:c>
      <x:c r="Q78" s="141" t="n">
        <x:f>Q77*(1+Premissas!$B$41)+P78</x:f>
        <x:v>0</x:v>
      </x:c>
      <x:c r="R78" s="141" t="n">
        <x:f>MAX(0,O78)</x:f>
        <x:v>717940.97641402</x:v>
      </x:c>
      <x:c r="S78" s="141" t="n">
        <x:f>IF(AND($A78&gt;=Premissas!$B$48,$A78-Premissas!$B$48+1&lt;=Premissas!$B$13),INDEX(Financiamento!$M$6:$M$485,$A78-Premissas!$B$48+1),0)</x:f>
        <x:v>131809.52380952405</x:v>
      </x:c>
      <x:c r="T78" s="141" t="n">
        <x:f>IF($A78&gt;=Premissas!$B$48,$F78,0)</x:f>
        <x:v>285084.7651525624</x:v>
      </x:c>
      <x:c r="U78" s="141" t="n">
        <x:f>R78+T78-S78</x:f>
        <x:v>871216.2177570584</x:v>
      </x:c>
      <x:c r="V78" s="141" t="n">
        <x:f>IF(Q78&gt;1,"Inviavel",U78)</x:f>
        <x:v>871216.2177570584</x:v>
      </x:c>
      <x:c r="W78" s="141" t="str">
        <x:f>IF(Q78&gt;1,"Inviavel","OK")</x:f>
        <x:v>OK</x:v>
      </x:c>
      <x:c r="X78" s="141" t="n">
        <x:f>IF($A78=Premissas!$B$48,Premissas!$B$8,0)</x:f>
        <x:v>0</x:v>
      </x:c>
      <x:c r="Y78" s="141" t="n">
        <x:f>IF(AND($A78&gt;=Premissas!$B$48,$A78-Premissas!$B$48+1&lt;=Premissas!$B$13),INDEX(Amortizacao!$K$6:$K$485,$A78-Premissas!$B$48+1),0)</x:f>
        <x:v>0</x:v>
      </x:c>
      <x:c r="Z78" s="141" t="n">
        <x:f>IF(AND(TRUE,Premissas!$B$11="Imovel",Premissas!$B$47="Moradia",$A78&lt;MAX(Premissas!$B$48,Premissas!$B$49)),$D78,0)</x:f>
        <x:v>0</x:v>
      </x:c>
      <x:c r="AA78" s="141" t="n">
        <x:f>IF(AND(TRUE,Premissas!$B$11="Imovel",Premissas!$B$47="Investimento",$A78&gt;=MAX(Premissas!$B$48,Premissas!$B$49)),$E78,0)</x:f>
        <x:v>907.8522318438402</x:v>
      </x:c>
      <x:c r="AB78" s="141" t="n">
        <x:f>X78+Y78+Z78</x:f>
        <x:v>0</x:v>
      </x:c>
      <x:c r="AC78" s="141" t="n">
        <x:f>AA78</x:f>
        <x:v>907.8522318438402</x:v>
      </x:c>
      <x:c r="AD78" s="141" t="n">
        <x:f>$C78+AC78-AB78</x:f>
        <x:v>7907.85223184384</x:v>
      </x:c>
      <x:c r="AE78" s="141" t="n">
        <x:f>AH77*(1+Premissas!$B$41)+AD78</x:f>
        <x:v>594963.907502169</x:v>
      </x:c>
      <x:c r="AF78" s="141" t="n">
        <x:f>MAX(0,-AE78)</x:f>
        <x:v>0</x:v>
      </x:c>
      <x:c r="AG78" s="141" t="n">
        <x:f>AG77*(1+Premissas!$B$41)+AF78</x:f>
        <x:v>0</x:v>
      </x:c>
      <x:c r="AH78" s="141" t="n">
        <x:f>MAX(0,AE78)</x:f>
        <x:v>594963.907502169</x:v>
      </x:c>
      <x:c r="AI78" s="141" t="n">
        <x:f>IF(AND($A78&gt;=Premissas!$B$48,$A78-Premissas!$B$48+1&lt;=Premissas!$B$13),INDEX(Amortizacao!$L$6:$L$485,$A78-Premissas!$B$48+1),0)</x:f>
        <x:v>0</x:v>
      </x:c>
      <x:c r="AJ78" s="141" t="n">
        <x:f>IF($A78&gt;=Premissas!$B$48,$F78,0)</x:f>
        <x:v>285084.7651525624</x:v>
      </x:c>
      <x:c r="AK78" s="141" t="n">
        <x:f>AH78+AJ78-AI78</x:f>
        <x:v>880048.6726547314</x:v>
      </x:c>
      <x:c r="AL78" s="141" t="n">
        <x:f>IF(AG78&gt;1,"Inviavel",AK78)</x:f>
        <x:v>880048.6726547314</x:v>
      </x:c>
      <x:c r="AM78" s="141" t="str">
        <x:f>IF(AG78&gt;1,"Inviavel","OK")</x:f>
        <x:v>OK</x:v>
      </x:c>
      <x:c r="AN78" s="141" t="n">
        <x:f>IF($A78=Premissas!$B$48,Premissas!$B$8,0)</x:f>
        <x:v>0</x:v>
      </x:c>
      <x:c r="AO78" s="141" t="n">
        <x:f>IF($A78&lt;=Premissas!$B$25,INDEX('Consorcio IQ'!$K$6:$K$485,$A78),0)</x:f>
        <x:v>809.2167200000016</x:v>
      </x:c>
      <x:c r="AP78" s="141" t="n">
        <x:f>IF(AND(TRUE,Premissas!$B$11="Imovel",Premissas!$B$47="Moradia",$A78&lt;MAX(Premissas!$B$48,Premissas!$B$49)),$D78,0)</x:f>
        <x:v>0</x:v>
      </x:c>
      <x:c r="AQ78" s="141" t="n">
        <x:f>IF(AND(TRUE,Premissas!$B$11="Imovel",Premissas!$B$47="Investimento",$A78&gt;=MAX(Premissas!$B$48,Premissas!$B$49)),$E78,0)</x:f>
        <x:v>907.8522318438402</x:v>
      </x:c>
      <x:c r="AR78" s="141" t="n">
        <x:f>AN78+AO78+AP78</x:f>
        <x:v>809.2167200000016</x:v>
      </x:c>
      <x:c r="AS78" s="141" t="n">
        <x:f>AQ78</x:f>
        <x:v>907.8522318438402</x:v>
      </x:c>
      <x:c r="AT78" s="141" t="n">
        <x:f>$C78+AS78-AR78</x:f>
        <x:v>7098.635511843839</x:v>
      </x:c>
      <x:c r="AU78" s="141" t="n">
        <x:f>AX77*(1+Premissas!$B$41)+AT78</x:f>
        <x:v>675225.8999931996</x:v>
      </x:c>
      <x:c r="AV78" s="141" t="n">
        <x:f>MAX(0,-AU78)</x:f>
        <x:v>0</x:v>
      </x:c>
      <x:c r="AW78" s="141" t="n">
        <x:f>AW77*(1+Premissas!$B$41)+AV78</x:f>
        <x:v>0</x:v>
      </x:c>
      <x:c r="AX78" s="141" t="n">
        <x:f>MAX(0,AU78)</x:f>
        <x:v>675225.8999931996</x:v>
      </x:c>
      <x:c r="AY78" s="141" t="n">
        <x:f>INDEX('Consorcio IQ'!$P$6:$P$485,$A78)</x:f>
        <x:v>91777.51370750405</x:v>
      </x:c>
      <x:c r="AZ78" s="141" t="n">
        <x:f>IF($A78&gt;=Premissas!$B$48,$F78,0)+IF($A78&lt;Premissas!$B$27,INDEX('Consorcio IQ'!$O$6:$O$485,$A78),0)</x:f>
        <x:v>285084.7651525624</x:v>
      </x:c>
      <x:c r="BA78" s="141" t="n">
        <x:f>AX78+AZ78-AY78</x:f>
        <x:v>868533.151438258</x:v>
      </x:c>
      <x:c r="BB78" s="141" t="n">
        <x:f>IF(AW78&gt;1,"Inviavel",BA78)</x:f>
        <x:v>868533.151438258</x:v>
      </x:c>
      <x:c r="BC78" s="141" t="str">
        <x:f>IF(AW78&gt;1,"Inviavel","OK")</x:f>
        <x:v>OK</x:v>
      </x:c>
      <x:c r="BD78" s="141" t="n">
        <x:f>IF($A78='Consorcio Direto'!$B$29,'Consorcio Direto'!$B$44,0)</x:f>
        <x:v>0</x:v>
      </x:c>
      <x:c r="BE78" s="141" t="n">
        <x:f>IF($A78&lt;='Consorcio Direto'!$B$27,INDEX('Consorcio Direto'!$E$55:$E$534,$A78),0)</x:f>
        <x:v>2095.467314576897</x:v>
      </x:c>
      <x:c r="BF78" s="141" t="n">
        <x:f>IF(AND(TRUE,Premissas!$B$11="Imovel",Premissas!$B$47="Moradia",$A78&lt;MAX('Consorcio Direto'!$B$29,Premissas!$B$49)),$D78,0)</x:f>
        <x:v>0</x:v>
      </x:c>
      <x:c r="BG78" s="141" t="n">
        <x:f>IF(AND(TRUE,Premissas!$B$11="Imovel",Premissas!$B$47="Investimento",$A78&gt;=MAX('Consorcio Direto'!$B$29,Premissas!$B$49)),$E78,0)</x:f>
        <x:v>907.8522318438402</x:v>
      </x:c>
      <x:c r="BH78" s="141" t="n">
        <x:f>BD78+BE78+BF78</x:f>
        <x:v>2095.467314576897</x:v>
      </x:c>
      <x:c r="BI78" s="141" t="n">
        <x:f>BG78</x:f>
        <x:v>907.8522318438402</x:v>
      </x:c>
      <x:c r="BJ78" s="141" t="n">
        <x:f>$C78+BI78-BH78</x:f>
        <x:v>5812.384917266943</x:v>
      </x:c>
      <x:c r="BK78" s="141" t="n">
        <x:f>BN77*(1+Premissas!$B$41)+BJ78</x:f>
        <x:v>758871.967687859</x:v>
      </x:c>
      <x:c r="BL78" s="141" t="n">
        <x:f>MAX(0,-BK78)</x:f>
        <x:v>0</x:v>
      </x:c>
      <x:c r="BM78" s="141" t="n">
        <x:f>BM77*(1+Premissas!$B$41)+BL78</x:f>
        <x:v>0</x:v>
      </x:c>
      <x:c r="BN78" s="141" t="n">
        <x:f>MAX(0,BK78)</x:f>
        <x:v>758871.967687859</x:v>
      </x:c>
      <x:c r="BO78" s="141" t="n">
        <x:f>INDEX('Consorcio Direto'!$K$55:$K$534,$A78)</x:f>
        <x:v>237657.94185172993</x:v>
      </x:c>
      <x:c r="BP78" s="141" t="n">
        <x:f>IF($A78&lt;'Consorcio Direto'!$B$29,INDEX('Consorcio Direto'!$L$55:$L$534,$A78),$F78)</x:f>
        <x:v>285084.7651525624</x:v>
      </x:c>
      <x:c r="BQ78" s="141" t="n">
        <x:f>BN78+BP78-BO78</x:f>
        <x:v>806298.7909886914</x:v>
      </x:c>
      <x:c r="BR78" s="141" t="n">
        <x:f>IF(BM78&gt;1,"Inviavel",BQ78)</x:f>
        <x:v>806298.7909886914</x:v>
      </x:c>
      <x:c r="BS78" s="141" t="str">
        <x:f>IF(BM78&gt;1,"Inviavel","OK")</x:f>
        <x:v>OK</x:v>
      </x:c>
      <x:c r="BT78" s="141" t="n">
        <x:f>IF(AND('Carta Contemplada'!$B$22="Sim",$A78='Carta Contemplada'!$B$23),'Carta Contemplada'!$B$37,0)</x:f>
        <x:v>0</x:v>
      </x:c>
      <x:c r="BU78" s="141" t="n">
        <x:f>IF('Carta Contemplada'!$B$22="Sim",INDEX('Carta Contemplada'!$C$55:$C$1013,$A78),0)</x:f>
        <x:v>1702.2229347072005</x:v>
      </x:c>
      <x:c r="BV78" s="141" t="n">
        <x:f>IF(AND('Carta Contemplada'!$B$22="Sim",Premissas!$B$11="Imovel",Premissas!$B$47="Moradia",$A78&lt;MAX('Carta Contemplada'!$B$44,Premissas!$B$49)),$D78,0)</x:f>
        <x:v>0</x:v>
      </x:c>
      <x:c r="BW78" s="141" t="n">
        <x:f>IF(AND('Carta Contemplada'!$B$22="Sim",Premissas!$B$11="Imovel",Premissas!$B$47="Investimento",$A78&gt;=MAX('Carta Contemplada'!$B$44,Premissas!$B$49)),$E78,0)</x:f>
        <x:v>907.8522318438402</x:v>
      </x:c>
      <x:c r="BX78" s="141" t="n">
        <x:f>BT78+BU78+BV78</x:f>
        <x:v>1702.2229347072005</x:v>
      </x:c>
      <x:c r="BY78" s="141" t="n">
        <x:f>BW78</x:f>
        <x:v>907.8522318438402</x:v>
      </x:c>
      <x:c r="BZ78" s="141" t="n">
        <x:f>$C78+BY78-BX78</x:f>
        <x:v>6205.629297136639</x:v>
      </x:c>
      <x:c r="CA78" s="141" t="n">
        <x:f>CD77*(1+Premissas!$B$41)+BZ78</x:f>
        <x:v>763454.650043572</x:v>
      </x:c>
      <x:c r="CB78" s="141" t="n">
        <x:f>MAX(0,-CA78)</x:f>
        <x:v>0</x:v>
      </x:c>
      <x:c r="CC78" s="141" t="n">
        <x:f>CC77*(1+Premissas!$B$41)+CB78</x:f>
        <x:v>0</x:v>
      </x:c>
      <x:c r="CD78" s="141" t="n">
        <x:f>MAX(0,CA78)</x:f>
        <x:v>763454.650043572</x:v>
      </x:c>
      <x:c r="CE78" s="141" t="n">
        <x:f>IF(AND('Carta Contemplada'!$B$22="Sim",$A78&gt;='Carta Contemplada'!$B$23),INDEX('Carta Contemplada'!$I$55:$I$1013,$A78),0)</x:f>
        <x:v>139450.7621837917</x:v>
      </x:c>
      <x:c r="CF78" s="141" t="n">
        <x:f>IF(AND('Carta Contemplada'!$B$22="Sim",$A78&gt;='Carta Contemplada'!$B$44),$F78,0)</x:f>
        <x:v>285084.7651525624</x:v>
      </x:c>
      <x:c r="CG78" s="141" t="n">
        <x:f>CD78+CF78-CE78</x:f>
        <x:v>909088.6530123426</x:v>
      </x:c>
      <x:c r="CH78" s="141" t="n">
        <x:f>IF(CC78&gt;1,"Inviavel",CG78)</x:f>
        <x:v>909088.6530123426</x:v>
      </x:c>
      <x:c r="CI78" s="145" t="str">
        <x:f>IF(CC78&gt;1,"Inviavel","OK")</x:f>
        <x:v>OK</x:v>
      </x:c>
    </x:row>
    <x:row r="79">
      <x:c r="A79" s="142" t="n">
        <x:v>75</x:v>
      </x:c>
      <x:c r="B79" s="179" t="n">
        <x:f>EDATE(Premissas!$B$4,A79-1)</x:f>
        <x:v>48792</x:v>
      </x:c>
      <x:c r="C79" s="141" t="n">
        <x:f>IF(A79&lt;=Premissas!$B$39,Premissas!$B$42,0)</x:f>
        <x:v>7000</x:v>
      </x:c>
      <x:c r="D79" s="141" t="n">
        <x:f>Premissas!$B$54*(1+Premissas!$B$57)^INT((A79-1)/12)</x:f>
        <x:v>992.9633785792003</x:v>
      </x:c>
      <x:c r="E79" s="141" t="n">
        <x:f>Premissas!$B$64*(1+Premissas!$B$57)^INT((A79-1)/12)</x:f>
        <x:v>907.8522318438402</x:v>
      </x:c>
      <x:c r="F79" s="141" t="n">
        <x:f>MAX(0,Premissas!$B$6*(1+Premissas!$B$66)^((A79-1)/12))</x:f>
        <x:v>286472.42966235144</x:v>
      </x:c>
      <x:c r="G79" s="141" t="n">
        <x:f>G78*(1+Premissas!$B$41)+C79</x:f>
        <x:v>941277.1736177993</x:v>
      </x:c>
      <x:c r="H79" s="141" t="n">
        <x:f>IF($A79=Premissas!$B$48,Premissas!$B$8,0)</x:f>
        <x:v>0</x:v>
      </x:c>
      <x:c r="I79" s="141" t="n">
        <x:f>IF(AND($A79&gt;=Premissas!$B$48,$A79-Premissas!$B$48+1&lt;=Premissas!$B$13),INDEX(Financiamento!$J$6:$J$485,$A79-Premissas!$B$48+1),0)</x:f>
        <x:v>1781.6656591869491</x:v>
      </x:c>
      <x:c r="J79" s="141" t="n">
        <x:f>IF(AND(TRUE,Premissas!$B$11="Imovel",Premissas!$B$47="Moradia",$A79&lt;MAX(Premissas!$B$48,Premissas!$B$49)),$D79,0)</x:f>
        <x:v>0</x:v>
      </x:c>
      <x:c r="K79" s="141" t="n">
        <x:f>IF(AND(TRUE,Premissas!$B$11="Imovel",Premissas!$B$47="Investimento",$A79&gt;=MAX(Premissas!$B$48,Premissas!$B$49)),$E79,0)</x:f>
        <x:v>907.8522318438402</x:v>
      </x:c>
      <x:c r="L79" s="141" t="n">
        <x:f>H79+I79+J79</x:f>
        <x:v>1781.6656591869491</x:v>
      </x:c>
      <x:c r="M79" s="141" t="n">
        <x:f>K79</x:f>
        <x:v>907.8522318438402</x:v>
      </x:c>
      <x:c r="N79" s="141" t="n">
        <x:f>$C79+M79-L79</x:f>
        <x:v>6126.18657265689</x:v>
      </x:c>
      <x:c r="O79" s="141" t="n">
        <x:f>R78*(1+Premissas!$B$41)+N79</x:f>
        <x:v>730879.5562511219</x:v>
      </x:c>
      <x:c r="P79" s="141" t="n">
        <x:f>MAX(0,-O79)</x:f>
        <x:v>0</x:v>
      </x:c>
      <x:c r="Q79" s="141" t="n">
        <x:f>Q78*(1+Premissas!$B$41)+P79</x:f>
        <x:v>0</x:v>
      </x:c>
      <x:c r="R79" s="141" t="n">
        <x:f>MAX(0,O79)</x:f>
        <x:v>730879.5562511219</x:v>
      </x:c>
      <x:c r="S79" s="141" t="n">
        <x:f>IF(AND($A79&gt;=Premissas!$B$48,$A79-Premissas!$B$48+1&lt;=Premissas!$B$13),INDEX(Financiamento!$M$6:$M$485,$A79-Premissas!$B$48+1),0)</x:f>
        <x:v>131428.57142857165</x:v>
      </x:c>
      <x:c r="T79" s="141" t="n">
        <x:f>IF($A79&gt;=Premissas!$B$48,$F79,0)</x:f>
        <x:v>286472.42966235144</x:v>
      </x:c>
      <x:c r="U79" s="141" t="n">
        <x:f>R79+T79-S79</x:f>
        <x:v>885923.4144849018</x:v>
      </x:c>
      <x:c r="V79" s="141" t="n">
        <x:f>IF(Q79&gt;1,"Inviavel",U79)</x:f>
        <x:v>885923.4144849018</x:v>
      </x:c>
      <x:c r="W79" s="141" t="str">
        <x:f>IF(Q79&gt;1,"Inviavel","OK")</x:f>
        <x:v>OK</x:v>
      </x:c>
      <x:c r="X79" s="141" t="n">
        <x:f>IF($A79=Premissas!$B$48,Premissas!$B$8,0)</x:f>
        <x:v>0</x:v>
      </x:c>
      <x:c r="Y79" s="141" t="n">
        <x:f>IF(AND($A79&gt;=Premissas!$B$48,$A79-Premissas!$B$48+1&lt;=Premissas!$B$13),INDEX(Amortizacao!$K$6:$K$485,$A79-Premissas!$B$48+1),0)</x:f>
        <x:v>0</x:v>
      </x:c>
      <x:c r="Z79" s="141" t="n">
        <x:f>IF(AND(TRUE,Premissas!$B$11="Imovel",Premissas!$B$47="Moradia",$A79&lt;MAX(Premissas!$B$48,Premissas!$B$49)),$D79,0)</x:f>
        <x:v>0</x:v>
      </x:c>
      <x:c r="AA79" s="141" t="n">
        <x:f>IF(AND(TRUE,Premissas!$B$11="Imovel",Premissas!$B$47="Investimento",$A79&gt;=MAX(Premissas!$B$48,Premissas!$B$49)),$E79,0)</x:f>
        <x:v>907.8522318438402</x:v>
      </x:c>
      <x:c r="AB79" s="141" t="n">
        <x:f>X79+Y79+Z79</x:f>
        <x:v>0</x:v>
      </x:c>
      <x:c r="AC79" s="141" t="n">
        <x:f>AA79</x:f>
        <x:v>907.8522318438402</x:v>
      </x:c>
      <x:c r="AD79" s="141" t="n">
        <x:f>$C79+AC79-AB79</x:f>
        <x:v>7907.85223184384</x:v>
      </x:c>
      <x:c r="AE79" s="141" t="n">
        <x:f>AH78*(1+Premissas!$B$41)+AD79</x:f>
        <x:v>608517.2490558514</x:v>
      </x:c>
      <x:c r="AF79" s="141" t="n">
        <x:f>MAX(0,-AE79)</x:f>
        <x:v>0</x:v>
      </x:c>
      <x:c r="AG79" s="141" t="n">
        <x:f>AG78*(1+Premissas!$B$41)+AF79</x:f>
        <x:v>0</x:v>
      </x:c>
      <x:c r="AH79" s="141" t="n">
        <x:f>MAX(0,AE79)</x:f>
        <x:v>608517.2490558514</x:v>
      </x:c>
      <x:c r="AI79" s="141" t="n">
        <x:f>IF(AND($A79&gt;=Premissas!$B$48,$A79-Premissas!$B$48+1&lt;=Premissas!$B$13),INDEX(Amortizacao!$L$6:$L$485,$A79-Premissas!$B$48+1),0)</x:f>
        <x:v>0</x:v>
      </x:c>
      <x:c r="AJ79" s="141" t="n">
        <x:f>IF($A79&gt;=Premissas!$B$48,$F79,0)</x:f>
        <x:v>286472.42966235144</x:v>
      </x:c>
      <x:c r="AK79" s="141" t="n">
        <x:f>AH79+AJ79-AI79</x:f>
        <x:v>894989.6787182027</x:v>
      </x:c>
      <x:c r="AL79" s="141" t="n">
        <x:f>IF(AG79&gt;1,"Inviavel",AK79)</x:f>
        <x:v>894989.6787182027</x:v>
      </x:c>
      <x:c r="AM79" s="141" t="str">
        <x:f>IF(AG79&gt;1,"Inviavel","OK")</x:f>
        <x:v>OK</x:v>
      </x:c>
      <x:c r="AN79" s="141" t="n">
        <x:f>IF($A79=Premissas!$B$48,Premissas!$B$8,0)</x:f>
        <x:v>0</x:v>
      </x:c>
      <x:c r="AO79" s="141" t="n">
        <x:f>IF($A79&lt;=Premissas!$B$25,INDEX('Consorcio IQ'!$K$6:$K$485,$A79),0)</x:f>
        <x:v>809.2167200000016</x:v>
      </x:c>
      <x:c r="AP79" s="141" t="n">
        <x:f>IF(AND(TRUE,Premissas!$B$11="Imovel",Premissas!$B$47="Moradia",$A79&lt;MAX(Premissas!$B$48,Premissas!$B$49)),$D79,0)</x:f>
        <x:v>0</x:v>
      </x:c>
      <x:c r="AQ79" s="141" t="n">
        <x:f>IF(AND(TRUE,Premissas!$B$11="Imovel",Premissas!$B$47="Investimento",$A79&gt;=MAX(Premissas!$B$48,Premissas!$B$49)),$E79,0)</x:f>
        <x:v>907.8522318438402</x:v>
      </x:c>
      <x:c r="AR79" s="141" t="n">
        <x:f>AN79+AO79+AP79</x:f>
        <x:v>809.2167200000016</x:v>
      </x:c>
      <x:c r="AS79" s="141" t="n">
        <x:f>AQ79</x:f>
        <x:v>907.8522318438402</x:v>
      </x:c>
      <x:c r="AT79" s="141" t="n">
        <x:f>$C79+AS79-AR79</x:f>
        <x:v>7098.635511843839</x:v>
      </x:c>
      <x:c r="AU79" s="141" t="n">
        <x:f>AX78*(1+Premissas!$B$41)+AT79</x:f>
        <x:v>688731.6142541465</x:v>
      </x:c>
      <x:c r="AV79" s="141" t="n">
        <x:f>MAX(0,-AU79)</x:f>
        <x:v>0</x:v>
      </x:c>
      <x:c r="AW79" s="141" t="n">
        <x:f>AW78*(1+Premissas!$B$41)+AV79</x:f>
        <x:v>0</x:v>
      </x:c>
      <x:c r="AX79" s="141" t="n">
        <x:f>MAX(0,AU79)</x:f>
        <x:v>688731.6142541465</x:v>
      </x:c>
      <x:c r="AY79" s="141" t="n">
        <x:f>INDEX('Consorcio IQ'!$P$6:$P$485,$A79)</x:f>
        <x:v>91839.15481112542</x:v>
      </x:c>
      <x:c r="AZ79" s="141" t="n">
        <x:f>IF($A79&gt;=Premissas!$B$48,$F79,0)+IF($A79&lt;Premissas!$B$27,INDEX('Consorcio IQ'!$O$6:$O$485,$A79),0)</x:f>
        <x:v>286472.42966235144</x:v>
      </x:c>
      <x:c r="BA79" s="141" t="n">
        <x:f>AX79+AZ79-AY79</x:f>
        <x:v>883364.8891053724</x:v>
      </x:c>
      <x:c r="BB79" s="141" t="n">
        <x:f>IF(AW79&gt;1,"Inviavel",BA79)</x:f>
        <x:v>883364.8891053724</x:v>
      </x:c>
      <x:c r="BC79" s="141" t="str">
        <x:f>IF(AW79&gt;1,"Inviavel","OK")</x:f>
        <x:v>OK</x:v>
      </x:c>
      <x:c r="BD79" s="141" t="n">
        <x:f>IF($A79='Consorcio Direto'!$B$29,'Consorcio Direto'!$B$44,0)</x:f>
        <x:v>0</x:v>
      </x:c>
      <x:c r="BE79" s="141" t="n">
        <x:f>IF($A79&lt;='Consorcio Direto'!$B$27,INDEX('Consorcio Direto'!$E$55:$E$534,$A79),0)</x:f>
        <x:v>2095.467314576897</x:v>
      </x:c>
      <x:c r="BF79" s="141" t="n">
        <x:f>IF(AND(TRUE,Premissas!$B$11="Imovel",Premissas!$B$47="Moradia",$A79&lt;MAX('Consorcio Direto'!$B$29,Premissas!$B$49)),$D79,0)</x:f>
        <x:v>0</x:v>
      </x:c>
      <x:c r="BG79" s="141" t="n">
        <x:f>IF(AND(TRUE,Premissas!$B$11="Imovel",Premissas!$B$47="Investimento",$A79&gt;=MAX('Consorcio Direto'!$B$29,Premissas!$B$49)),$E79,0)</x:f>
        <x:v>907.8522318438402</x:v>
      </x:c>
      <x:c r="BH79" s="141" t="n">
        <x:f>BD79+BE79+BF79</x:f>
        <x:v>2095.467314576897</x:v>
      </x:c>
      <x:c r="BI79" s="141" t="n">
        <x:f>BG79</x:f>
        <x:v>907.8522318438402</x:v>
      </x:c>
      <x:c r="BJ79" s="141" t="n">
        <x:f>$C79+BI79-BH79</x:f>
        <x:v>5812.384917266943</x:v>
      </x:c>
      <x:c r="BK79" s="141" t="n">
        <x:f>BN78*(1+Premissas!$B$41)+BJ79</x:f>
        <x:v>771885.1315703755</x:v>
      </x:c>
      <x:c r="BL79" s="141" t="n">
        <x:f>MAX(0,-BK79)</x:f>
        <x:v>0</x:v>
      </x:c>
      <x:c r="BM79" s="141" t="n">
        <x:f>BM78*(1+Premissas!$B$41)+BL79</x:f>
        <x:v>0</x:v>
      </x:c>
      <x:c r="BN79" s="141" t="n">
        <x:f>MAX(0,BK79)</x:f>
        <x:v>771885.1315703755</x:v>
      </x:c>
      <x:c r="BO79" s="141" t="n">
        <x:f>INDEX('Consorcio Direto'!$K$55:$K$534,$A79)</x:f>
        <x:v>237817.56153664328</x:v>
      </x:c>
      <x:c r="BP79" s="141" t="n">
        <x:f>IF($A79&lt;'Consorcio Direto'!$B$29,INDEX('Consorcio Direto'!$L$55:$L$534,$A79),$F79)</x:f>
        <x:v>286472.42966235144</x:v>
      </x:c>
      <x:c r="BQ79" s="141" t="n">
        <x:f>BN79+BP79-BO79</x:f>
        <x:v>820539.9996960837</x:v>
      </x:c>
      <x:c r="BR79" s="141" t="n">
        <x:f>IF(BM79&gt;1,"Inviavel",BQ79)</x:f>
        <x:v>820539.9996960837</x:v>
      </x:c>
      <x:c r="BS79" s="141" t="str">
        <x:f>IF(BM79&gt;1,"Inviavel","OK")</x:f>
        <x:v>OK</x:v>
      </x:c>
      <x:c r="BT79" s="141" t="n">
        <x:f>IF(AND('Carta Contemplada'!$B$22="Sim",$A79='Carta Contemplada'!$B$23),'Carta Contemplada'!$B$37,0)</x:f>
        <x:v>0</x:v>
      </x:c>
      <x:c r="BU79" s="141" t="n">
        <x:f>IF('Carta Contemplada'!$B$22="Sim",INDEX('Carta Contemplada'!$C$55:$C$1013,$A79),0)</x:f>
        <x:v>1702.2229347072005</x:v>
      </x:c>
      <x:c r="BV79" s="141" t="n">
        <x:f>IF(AND('Carta Contemplada'!$B$22="Sim",Premissas!$B$11="Imovel",Premissas!$B$47="Moradia",$A79&lt;MAX('Carta Contemplada'!$B$44,Premissas!$B$49)),$D79,0)</x:f>
        <x:v>0</x:v>
      </x:c>
      <x:c r="BW79" s="141" t="n">
        <x:f>IF(AND('Carta Contemplada'!$B$22="Sim",Premissas!$B$11="Imovel",Premissas!$B$47="Investimento",$A79&gt;=MAX('Carta Contemplada'!$B$44,Premissas!$B$49)),$E79,0)</x:f>
        <x:v>907.8522318438402</x:v>
      </x:c>
      <x:c r="BX79" s="141" t="n">
        <x:f>BT79+BU79+BV79</x:f>
        <x:v>1702.2229347072005</x:v>
      </x:c>
      <x:c r="BY79" s="141" t="n">
        <x:f>BW79</x:f>
        <x:v>907.8522318438402</x:v>
      </x:c>
      <x:c r="BZ79" s="141" t="n">
        <x:f>$C79+BY79-BX79</x:f>
        <x:v>6205.629297136639</x:v>
      </x:c>
      <x:c r="CA79" s="141" t="n">
        <x:f>CD78*(1+Premissas!$B$41)+BZ79</x:f>
        <x:v>776904.5424299167</x:v>
      </x:c>
      <x:c r="CB79" s="141" t="n">
        <x:f>MAX(0,-CA79)</x:f>
        <x:v>0</x:v>
      </x:c>
      <x:c r="CC79" s="141" t="n">
        <x:f>CC78*(1+Premissas!$B$41)+CB79</x:f>
        <x:v>0</x:v>
      </x:c>
      <x:c r="CD79" s="141" t="n">
        <x:f>MAX(0,CA79)</x:f>
        <x:v>776904.5424299167</x:v>
      </x:c>
      <x:c r="CE79" s="141" t="n">
        <x:f>IF(AND('Carta Contemplada'!$B$22="Sim",$A79&gt;='Carta Contemplada'!$B$23),INDEX('Carta Contemplada'!$I$55:$I$1013,$A79),0)</x:f>
        <x:v>139071.75865601626</x:v>
      </x:c>
      <x:c r="CF79" s="141" t="n">
        <x:f>IF(AND('Carta Contemplada'!$B$22="Sim",$A79&gt;='Carta Contemplada'!$B$44),$F79,0)</x:f>
        <x:v>286472.42966235144</x:v>
      </x:c>
      <x:c r="CG79" s="141" t="n">
        <x:f>CD79+CF79-CE79</x:f>
        <x:v>924305.2134362517</x:v>
      </x:c>
      <x:c r="CH79" s="141" t="n">
        <x:f>IF(CC79&gt;1,"Inviavel",CG79)</x:f>
        <x:v>924305.2134362517</x:v>
      </x:c>
      <x:c r="CI79" s="145" t="str">
        <x:f>IF(CC79&gt;1,"Inviavel","OK")</x:f>
        <x:v>OK</x:v>
      </x:c>
    </x:row>
    <x:row r="80">
      <x:c r="A80" s="142" t="n">
        <x:v>76</x:v>
      </x:c>
      <x:c r="B80" s="179" t="n">
        <x:f>EDATE(Premissas!$B$4,A80-1)</x:f>
        <x:v>48823</x:v>
      </x:c>
      <x:c r="C80" s="141" t="n">
        <x:f>IF(A80&lt;=Premissas!$B$39,Premissas!$B$42,0)</x:f>
        <x:v>7000</x:v>
      </x:c>
      <x:c r="D80" s="141" t="n">
        <x:f>Premissas!$B$54*(1+Premissas!$B$57)^INT((A80-1)/12)</x:f>
        <x:v>992.9633785792003</x:v>
      </x:c>
      <x:c r="E80" s="141" t="n">
        <x:f>Premissas!$B$64*(1+Premissas!$B$57)^INT((A80-1)/12)</x:f>
        <x:v>907.8522318438402</x:v>
      </x:c>
      <x:c r="F80" s="141" t="n">
        <x:f>MAX(0,Premissas!$B$6*(1+Premissas!$B$66)^((A80-1)/12))</x:f>
        <x:v>287866.84869930963</x:v>
      </x:c>
      <x:c r="G80" s="141" t="n">
        <x:f>G79*(1+Premissas!$B$41)+C80</x:f>
        <x:v>957208.7578123081</x:v>
      </x:c>
      <x:c r="H80" s="141" t="n">
        <x:f>IF($A80=Premissas!$B$48,Premissas!$B$8,0)</x:f>
        <x:v>0</x:v>
      </x:c>
      <x:c r="I80" s="141" t="n">
        <x:f>IF(AND($A80&gt;=Premissas!$B$48,$A80-Premissas!$B$48+1&lt;=Premissas!$B$13),INDEX(Financiamento!$J$6:$J$485,$A80-Premissas!$B$48+1),0)</x:f>
        <x:v>1778.0508809261555</x:v>
      </x:c>
      <x:c r="J80" s="141" t="n">
        <x:f>IF(AND(TRUE,Premissas!$B$11="Imovel",Premissas!$B$47="Moradia",$A80&lt;MAX(Premissas!$B$48,Premissas!$B$49)),$D80,0)</x:f>
        <x:v>0</x:v>
      </x:c>
      <x:c r="K80" s="141" t="n">
        <x:f>IF(AND(TRUE,Premissas!$B$11="Imovel",Premissas!$B$47="Investimento",$A80&gt;=MAX(Premissas!$B$48,Premissas!$B$49)),$E80,0)</x:f>
        <x:v>907.8522318438402</x:v>
      </x:c>
      <x:c r="L80" s="141" t="n">
        <x:f>H80+I80+J80</x:f>
        <x:v>1778.0508809261555</x:v>
      </x:c>
      <x:c r="M80" s="141" t="n">
        <x:f>K80</x:f>
        <x:v>907.8522318438402</x:v>
      </x:c>
      <x:c r="N80" s="141" t="n">
        <x:f>$C80+M80-L80</x:f>
        <x:v>6129.801350917684</x:v>
      </x:c>
      <x:c r="O80" s="141" t="n">
        <x:f>R79*(1+Premissas!$B$41)+N80</x:f>
        <x:v>743944.5223714265</x:v>
      </x:c>
      <x:c r="P80" s="141" t="n">
        <x:f>MAX(0,-O80)</x:f>
        <x:v>0</x:v>
      </x:c>
      <x:c r="Q80" s="141" t="n">
        <x:f>Q79*(1+Premissas!$B$41)+P80</x:f>
        <x:v>0</x:v>
      </x:c>
      <x:c r="R80" s="141" t="n">
        <x:f>MAX(0,O80)</x:f>
        <x:v>743944.5223714265</x:v>
      </x:c>
      <x:c r="S80" s="141" t="n">
        <x:f>IF(AND($A80&gt;=Premissas!$B$48,$A80-Premissas!$B$48+1&lt;=Premissas!$B$13),INDEX(Financiamento!$M$6:$M$485,$A80-Premissas!$B$48+1),0)</x:f>
        <x:v>131047.61904761927</x:v>
      </x:c>
      <x:c r="T80" s="141" t="n">
        <x:f>IF($A80&gt;=Premissas!$B$48,$F80,0)</x:f>
        <x:v>287866.84869930963</x:v>
      </x:c>
      <x:c r="U80" s="141" t="n">
        <x:f>R80+T80-S80</x:f>
        <x:v>900763.7520231168</x:v>
      </x:c>
      <x:c r="V80" s="141" t="n">
        <x:f>IF(Q80&gt;1,"Inviavel",U80)</x:f>
        <x:v>900763.7520231168</x:v>
      </x:c>
      <x:c r="W80" s="141" t="str">
        <x:f>IF(Q80&gt;1,"Inviavel","OK")</x:f>
        <x:v>OK</x:v>
      </x:c>
      <x:c r="X80" s="141" t="n">
        <x:f>IF($A80=Premissas!$B$48,Premissas!$B$8,0)</x:f>
        <x:v>0</x:v>
      </x:c>
      <x:c r="Y80" s="141" t="n">
        <x:f>IF(AND($A80&gt;=Premissas!$B$48,$A80-Premissas!$B$48+1&lt;=Premissas!$B$13),INDEX(Amortizacao!$K$6:$K$485,$A80-Premissas!$B$48+1),0)</x:f>
        <x:v>0</x:v>
      </x:c>
      <x:c r="Z80" s="141" t="n">
        <x:f>IF(AND(TRUE,Premissas!$B$11="Imovel",Premissas!$B$47="Moradia",$A80&lt;MAX(Premissas!$B$48,Premissas!$B$49)),$D80,0)</x:f>
        <x:v>0</x:v>
      </x:c>
      <x:c r="AA80" s="141" t="n">
        <x:f>IF(AND(TRUE,Premissas!$B$11="Imovel",Premissas!$B$47="Investimento",$A80&gt;=MAX(Premissas!$B$48,Premissas!$B$49)),$E80,0)</x:f>
        <x:v>907.8522318438402</x:v>
      </x:c>
      <x:c r="AB80" s="141" t="n">
        <x:f>X80+Y80+Z80</x:f>
        <x:v>0</x:v>
      </x:c>
      <x:c r="AC80" s="141" t="n">
        <x:f>AA80</x:f>
        <x:v>907.8522318438402</x:v>
      </x:c>
      <x:c r="AD80" s="141" t="n">
        <x:f>$C80+AC80-AB80</x:f>
        <x:v>7907.85223184384</x:v>
      </x:c>
      <x:c r="AE80" s="141" t="n">
        <x:f>AH79*(1+Premissas!$B$41)+AD80</x:f>
        <x:v>622199.1954611083</x:v>
      </x:c>
      <x:c r="AF80" s="141" t="n">
        <x:f>MAX(0,-AE80)</x:f>
        <x:v>0</x:v>
      </x:c>
      <x:c r="AG80" s="141" t="n">
        <x:f>AG79*(1+Premissas!$B$41)+AF80</x:f>
        <x:v>0</x:v>
      </x:c>
      <x:c r="AH80" s="141" t="n">
        <x:f>MAX(0,AE80)</x:f>
        <x:v>622199.1954611083</x:v>
      </x:c>
      <x:c r="AI80" s="141" t="n">
        <x:f>IF(AND($A80&gt;=Premissas!$B$48,$A80-Premissas!$B$48+1&lt;=Premissas!$B$13),INDEX(Amortizacao!$L$6:$L$485,$A80-Premissas!$B$48+1),0)</x:f>
        <x:v>0</x:v>
      </x:c>
      <x:c r="AJ80" s="141" t="n">
        <x:f>IF($A80&gt;=Premissas!$B$48,$F80,0)</x:f>
        <x:v>287866.84869930963</x:v>
      </x:c>
      <x:c r="AK80" s="141" t="n">
        <x:f>AH80+AJ80-AI80</x:f>
        <x:v>910066.044160418</x:v>
      </x:c>
      <x:c r="AL80" s="141" t="n">
        <x:f>IF(AG80&gt;1,"Inviavel",AK80)</x:f>
        <x:v>910066.044160418</x:v>
      </x:c>
      <x:c r="AM80" s="141" t="str">
        <x:f>IF(AG80&gt;1,"Inviavel","OK")</x:f>
        <x:v>OK</x:v>
      </x:c>
      <x:c r="AN80" s="141" t="n">
        <x:f>IF($A80=Premissas!$B$48,Premissas!$B$8,0)</x:f>
        <x:v>0</x:v>
      </x:c>
      <x:c r="AO80" s="141" t="n">
        <x:f>IF($A80&lt;=Premissas!$B$25,INDEX('Consorcio IQ'!$K$6:$K$485,$A80),0)</x:f>
        <x:v>809.2167200000016</x:v>
      </x:c>
      <x:c r="AP80" s="141" t="n">
        <x:f>IF(AND(TRUE,Premissas!$B$11="Imovel",Premissas!$B$47="Moradia",$A80&lt;MAX(Premissas!$B$48,Premissas!$B$49)),$D80,0)</x:f>
        <x:v>0</x:v>
      </x:c>
      <x:c r="AQ80" s="141" t="n">
        <x:f>IF(AND(TRUE,Premissas!$B$11="Imovel",Premissas!$B$47="Investimento",$A80&gt;=MAX(Premissas!$B$48,Premissas!$B$49)),$E80,0)</x:f>
        <x:v>907.8522318438402</x:v>
      </x:c>
      <x:c r="AR80" s="141" t="n">
        <x:f>AN80+AO80+AP80</x:f>
        <x:v>809.2167200000016</x:v>
      </x:c>
      <x:c r="AS80" s="141" t="n">
        <x:f>AQ80</x:f>
        <x:v>907.8522318438402</x:v>
      </x:c>
      <x:c r="AT80" s="141" t="n">
        <x:f>$C80+AS80-AR80</x:f>
        <x:v>7098.635511843839</x:v>
      </x:c>
      <x:c r="AU80" s="141" t="n">
        <x:f>AX79*(1+Premissas!$B$41)+AT80</x:f>
        <x:v>702365.481441149</x:v>
      </x:c>
      <x:c r="AV80" s="141" t="n">
        <x:f>MAX(0,-AU80)</x:f>
        <x:v>0</x:v>
      </x:c>
      <x:c r="AW80" s="141" t="n">
        <x:f>AW79*(1+Premissas!$B$41)+AV80</x:f>
        <x:v>0</x:v>
      </x:c>
      <x:c r="AX80" s="141" t="n">
        <x:f>MAX(0,AU80)</x:f>
        <x:v>702365.481441149</x:v>
      </x:c>
      <x:c r="AY80" s="141" t="n">
        <x:f>INDEX('Consorcio IQ'!$P$6:$P$485,$A80)</x:f>
        <x:v>91901.38081441532</x:v>
      </x:c>
      <x:c r="AZ80" s="141" t="n">
        <x:f>IF($A80&gt;=Premissas!$B$48,$F80,0)+IF($A80&lt;Premissas!$B$27,INDEX('Consorcio IQ'!$O$6:$O$485,$A80),0)</x:f>
        <x:v>287866.84869930963</x:v>
      </x:c>
      <x:c r="BA80" s="141" t="n">
        <x:f>AX80+AZ80-AY80</x:f>
        <x:v>898330.9493260434</x:v>
      </x:c>
      <x:c r="BB80" s="141" t="n">
        <x:f>IF(AW80&gt;1,"Inviavel",BA80)</x:f>
        <x:v>898330.9493260434</x:v>
      </x:c>
      <x:c r="BC80" s="141" t="str">
        <x:f>IF(AW80&gt;1,"Inviavel","OK")</x:f>
        <x:v>OK</x:v>
      </x:c>
      <x:c r="BD80" s="141" t="n">
        <x:f>IF($A80='Consorcio Direto'!$B$29,'Consorcio Direto'!$B$44,0)</x:f>
        <x:v>0</x:v>
      </x:c>
      <x:c r="BE80" s="141" t="n">
        <x:f>IF($A80&lt;='Consorcio Direto'!$B$27,INDEX('Consorcio Direto'!$E$55:$E$534,$A80),0)</x:f>
        <x:v>2095.467314576897</x:v>
      </x:c>
      <x:c r="BF80" s="141" t="n">
        <x:f>IF(AND(TRUE,Premissas!$B$11="Imovel",Premissas!$B$47="Moradia",$A80&lt;MAX('Consorcio Direto'!$B$29,Premissas!$B$49)),$D80,0)</x:f>
        <x:v>0</x:v>
      </x:c>
      <x:c r="BG80" s="141" t="n">
        <x:f>IF(AND(TRUE,Premissas!$B$11="Imovel",Premissas!$B$47="Investimento",$A80&gt;=MAX('Consorcio Direto'!$B$29,Premissas!$B$49)),$E80,0)</x:f>
        <x:v>907.8522318438402</x:v>
      </x:c>
      <x:c r="BH80" s="141" t="n">
        <x:f>BD80+BE80+BF80</x:f>
        <x:v>2095.467314576897</x:v>
      </x:c>
      <x:c r="BI80" s="141" t="n">
        <x:f>BG80</x:f>
        <x:v>907.8522318438402</x:v>
      </x:c>
      <x:c r="BJ80" s="141" t="n">
        <x:f>$C80+BI80-BH80</x:f>
        <x:v>5812.384917266943</x:v>
      </x:c>
      <x:c r="BK80" s="141" t="n">
        <x:f>BN79*(1+Premissas!$B$41)+BJ80</x:f>
        <x:v>785021.7746703972</x:v>
      </x:c>
      <x:c r="BL80" s="141" t="n">
        <x:f>MAX(0,-BK80)</x:f>
        <x:v>0</x:v>
      </x:c>
      <x:c r="BM80" s="141" t="n">
        <x:f>BM79*(1+Premissas!$B$41)+BL80</x:f>
        <x:v>0</x:v>
      </x:c>
      <x:c r="BN80" s="141" t="n">
        <x:f>MAX(0,BK80)</x:f>
        <x:v>785021.7746703972</x:v>
      </x:c>
      <x:c r="BO80" s="141" t="n">
        <x:f>INDEX('Consorcio Direto'!$K$55:$K$534,$A80)</x:f>
        <x:v>237978.69581969504</x:v>
      </x:c>
      <x:c r="BP80" s="141" t="n">
        <x:f>IF($A80&lt;'Consorcio Direto'!$B$29,INDEX('Consorcio Direto'!$L$55:$L$534,$A80),$F80)</x:f>
        <x:v>287866.84869930963</x:v>
      </x:c>
      <x:c r="BQ80" s="141" t="n">
        <x:f>BN80+BP80-BO80</x:f>
        <x:v>834909.9275500118</x:v>
      </x:c>
      <x:c r="BR80" s="141" t="n">
        <x:f>IF(BM80&gt;1,"Inviavel",BQ80)</x:f>
        <x:v>834909.9275500118</x:v>
      </x:c>
      <x:c r="BS80" s="141" t="str">
        <x:f>IF(BM80&gt;1,"Inviavel","OK")</x:f>
        <x:v>OK</x:v>
      </x:c>
      <x:c r="BT80" s="141" t="n">
        <x:f>IF(AND('Carta Contemplada'!$B$22="Sim",$A80='Carta Contemplada'!$B$23),'Carta Contemplada'!$B$37,0)</x:f>
        <x:v>0</x:v>
      </x:c>
      <x:c r="BU80" s="141" t="n">
        <x:f>IF('Carta Contemplada'!$B$22="Sim",INDEX('Carta Contemplada'!$C$55:$C$1013,$A80),0)</x:f>
        <x:v>1702.2229347072005</x:v>
      </x:c>
      <x:c r="BV80" s="141" t="n">
        <x:f>IF(AND('Carta Contemplada'!$B$22="Sim",Premissas!$B$11="Imovel",Premissas!$B$47="Moradia",$A80&lt;MAX('Carta Contemplada'!$B$44,Premissas!$B$49)),$D80,0)</x:f>
        <x:v>0</x:v>
      </x:c>
      <x:c r="BW80" s="141" t="n">
        <x:f>IF(AND('Carta Contemplada'!$B$22="Sim",Premissas!$B$11="Imovel",Premissas!$B$47="Investimento",$A80&gt;=MAX('Carta Contemplada'!$B$44,Premissas!$B$49)),$E80,0)</x:f>
        <x:v>907.8522318438402</x:v>
      </x:c>
      <x:c r="BX80" s="141" t="n">
        <x:f>BT80+BU80+BV80</x:f>
        <x:v>1702.2229347072005</x:v>
      </x:c>
      <x:c r="BY80" s="141" t="n">
        <x:f>BW80</x:f>
        <x:v>907.8522318438402</x:v>
      </x:c>
      <x:c r="BZ80" s="141" t="n">
        <x:f>$C80+BY80-BX80</x:f>
        <x:v>6205.629297136639</x:v>
      </x:c>
      <x:c r="CA80" s="141" t="n">
        <x:f>CD79*(1+Premissas!$B$41)+BZ80</x:f>
        <x:v>790482.0580601079</x:v>
      </x:c>
      <x:c r="CB80" s="141" t="n">
        <x:f>MAX(0,-CA80)</x:f>
        <x:v>0</x:v>
      </x:c>
      <x:c r="CC80" s="141" t="n">
        <x:f>CC79*(1+Premissas!$B$41)+CB80</x:f>
        <x:v>0</x:v>
      </x:c>
      <x:c r="CD80" s="141" t="n">
        <x:f>MAX(0,CA80)</x:f>
        <x:v>790482.0580601079</x:v>
      </x:c>
      <x:c r="CE80" s="141" t="n">
        <x:f>IF(AND('Carta Contemplada'!$B$22="Sim",$A80&gt;='Carta Contemplada'!$B$23),INDEX('Carta Contemplada'!$I$55:$I$1013,$A80),0)</x:f>
        <x:v>138689.1588422443</x:v>
      </x:c>
      <x:c r="CF80" s="141" t="n">
        <x:f>IF(AND('Carta Contemplada'!$B$22="Sim",$A80&gt;='Carta Contemplada'!$B$44),$F80,0)</x:f>
        <x:v>287866.84869930963</x:v>
      </x:c>
      <x:c r="CG80" s="141" t="n">
        <x:f>CD80+CF80-CE80</x:f>
        <x:v>939659.7479171733</x:v>
      </x:c>
      <x:c r="CH80" s="141" t="n">
        <x:f>IF(CC80&gt;1,"Inviavel",CG80)</x:f>
        <x:v>939659.7479171733</x:v>
      </x:c>
      <x:c r="CI80" s="145" t="str">
        <x:f>IF(CC80&gt;1,"Inviavel","OK")</x:f>
        <x:v>OK</x:v>
      </x:c>
    </x:row>
    <x:row r="81">
      <x:c r="A81" s="142" t="n">
        <x:v>77</x:v>
      </x:c>
      <x:c r="B81" s="179" t="n">
        <x:f>EDATE(Premissas!$B$4,A81-1)</x:f>
        <x:v>48853</x:v>
      </x:c>
      <x:c r="C81" s="141" t="n">
        <x:f>IF(A81&lt;=Premissas!$B$39,Premissas!$B$42,0)</x:f>
        <x:v>7000</x:v>
      </x:c>
      <x:c r="D81" s="141" t="n">
        <x:f>Premissas!$B$54*(1+Premissas!$B$57)^INT((A81-1)/12)</x:f>
        <x:v>992.9633785792003</x:v>
      </x:c>
      <x:c r="E81" s="141" t="n">
        <x:f>Premissas!$B$64*(1+Premissas!$B$57)^INT((A81-1)/12)</x:f>
        <x:v>907.8522318438402</x:v>
      </x:c>
      <x:c r="F81" s="141" t="n">
        <x:f>MAX(0,Premissas!$B$6*(1+Premissas!$B$66)^((A81-1)/12))</x:f>
        <x:v>289268.0551414394</x:v>
      </x:c>
      <x:c r="G81" s="141" t="n">
        <x:f>G80*(1+Premissas!$B$41)+C81</x:f>
        <x:v>973291.5135103586</x:v>
      </x:c>
      <x:c r="H81" s="141" t="n">
        <x:f>IF($A81=Premissas!$B$48,Premissas!$B$8,0)</x:f>
        <x:v>0</x:v>
      </x:c>
      <x:c r="I81" s="141" t="n">
        <x:f>IF(AND($A81&gt;=Premissas!$B$48,$A81-Premissas!$B$48+1&lt;=Premissas!$B$13),INDEX(Financiamento!$J$6:$J$485,$A81-Premissas!$B$48+1),0)</x:f>
        <x:v>1774.436102665362</x:v>
      </x:c>
      <x:c r="J81" s="141" t="n">
        <x:f>IF(AND(TRUE,Premissas!$B$11="Imovel",Premissas!$B$47="Moradia",$A81&lt;MAX(Premissas!$B$48,Premissas!$B$49)),$D81,0)</x:f>
        <x:v>0</x:v>
      </x:c>
      <x:c r="K81" s="141" t="n">
        <x:f>IF(AND(TRUE,Premissas!$B$11="Imovel",Premissas!$B$47="Investimento",$A81&gt;=MAX(Premissas!$B$48,Premissas!$B$49)),$E81,0)</x:f>
        <x:v>907.8522318438402</x:v>
      </x:c>
      <x:c r="L81" s="141" t="n">
        <x:f>H81+I81+J81</x:f>
        <x:v>1774.436102665362</x:v>
      </x:c>
      <x:c r="M81" s="141" t="n">
        <x:f>K81</x:f>
        <x:v>907.8522318438402</x:v>
      </x:c>
      <x:c r="N81" s="141" t="n">
        <x:f>$C81+M81-L81</x:f>
        <x:v>6133.4161291784785</x:v>
      </x:c>
      <x:c r="O81" s="141" t="n">
        <x:f>R80*(1+Premissas!$B$41)+N81</x:f>
        <x:v>757137.0740282047</x:v>
      </x:c>
      <x:c r="P81" s="141" t="n">
        <x:f>MAX(0,-O81)</x:f>
        <x:v>0</x:v>
      </x:c>
      <x:c r="Q81" s="141" t="n">
        <x:f>Q80*(1+Premissas!$B$41)+P81</x:f>
        <x:v>0</x:v>
      </x:c>
      <x:c r="R81" s="141" t="n">
        <x:f>MAX(0,O81)</x:f>
        <x:v>757137.0740282047</x:v>
      </x:c>
      <x:c r="S81" s="141" t="n">
        <x:f>IF(AND($A81&gt;=Premissas!$B$48,$A81-Premissas!$B$48+1&lt;=Premissas!$B$13),INDEX(Financiamento!$M$6:$M$485,$A81-Premissas!$B$48+1),0)</x:f>
        <x:v>130666.66666666689</x:v>
      </x:c>
      <x:c r="T81" s="141" t="n">
        <x:f>IF($A81&gt;=Premissas!$B$48,$F81,0)</x:f>
        <x:v>289268.0551414394</x:v>
      </x:c>
      <x:c r="U81" s="141" t="n">
        <x:f>R81+T81-S81</x:f>
        <x:v>915738.4625029772</x:v>
      </x:c>
      <x:c r="V81" s="141" t="n">
        <x:f>IF(Q81&gt;1,"Inviavel",U81)</x:f>
        <x:v>915738.4625029772</x:v>
      </x:c>
      <x:c r="W81" s="141" t="str">
        <x:f>IF(Q81&gt;1,"Inviavel","OK")</x:f>
        <x:v>OK</x:v>
      </x:c>
      <x:c r="X81" s="141" t="n">
        <x:f>IF($A81=Premissas!$B$48,Premissas!$B$8,0)</x:f>
        <x:v>0</x:v>
      </x:c>
      <x:c r="Y81" s="141" t="n">
        <x:f>IF(AND($A81&gt;=Premissas!$B$48,$A81-Premissas!$B$48+1&lt;=Premissas!$B$13),INDEX(Amortizacao!$K$6:$K$485,$A81-Premissas!$B$48+1),0)</x:f>
        <x:v>0</x:v>
      </x:c>
      <x:c r="Z81" s="141" t="n">
        <x:f>IF(AND(TRUE,Premissas!$B$11="Imovel",Premissas!$B$47="Moradia",$A81&lt;MAX(Premissas!$B$48,Premissas!$B$49)),$D81,0)</x:f>
        <x:v>0</x:v>
      </x:c>
      <x:c r="AA81" s="141" t="n">
        <x:f>IF(AND(TRUE,Premissas!$B$11="Imovel",Premissas!$B$47="Investimento",$A81&gt;=MAX(Premissas!$B$48,Premissas!$B$49)),$E81,0)</x:f>
        <x:v>907.8522318438402</x:v>
      </x:c>
      <x:c r="AB81" s="141" t="n">
        <x:f>X81+Y81+Z81</x:f>
        <x:v>0</x:v>
      </x:c>
      <x:c r="AC81" s="141" t="n">
        <x:f>AA81</x:f>
        <x:v>907.8522318438402</x:v>
      </x:c>
      <x:c r="AD81" s="141" t="n">
        <x:f>$C81+AC81-AB81</x:f>
        <x:v>7907.85223184384</x:v>
      </x:c>
      <x:c r="AE81" s="141" t="n">
        <x:f>AH80*(1+Premissas!$B$41)+AD81</x:f>
        <x:v>636010.9670227468</x:v>
      </x:c>
      <x:c r="AF81" s="141" t="n">
        <x:f>MAX(0,-AE81)</x:f>
        <x:v>0</x:v>
      </x:c>
      <x:c r="AG81" s="141" t="n">
        <x:f>AG80*(1+Premissas!$B$41)+AF81</x:f>
        <x:v>0</x:v>
      </x:c>
      <x:c r="AH81" s="141" t="n">
        <x:f>MAX(0,AE81)</x:f>
        <x:v>636010.9670227468</x:v>
      </x:c>
      <x:c r="AI81" s="141" t="n">
        <x:f>IF(AND($A81&gt;=Premissas!$B$48,$A81-Premissas!$B$48+1&lt;=Premissas!$B$13),INDEX(Amortizacao!$L$6:$L$485,$A81-Premissas!$B$48+1),0)</x:f>
        <x:v>0</x:v>
      </x:c>
      <x:c r="AJ81" s="141" t="n">
        <x:f>IF($A81&gt;=Premissas!$B$48,$F81,0)</x:f>
        <x:v>289268.0551414394</x:v>
      </x:c>
      <x:c r="AK81" s="141" t="n">
        <x:f>AH81+AJ81-AI81</x:f>
        <x:v>925279.0221641862</x:v>
      </x:c>
      <x:c r="AL81" s="141" t="n">
        <x:f>IF(AG81&gt;1,"Inviavel",AK81)</x:f>
        <x:v>925279.0221641862</x:v>
      </x:c>
      <x:c r="AM81" s="141" t="str">
        <x:f>IF(AG81&gt;1,"Inviavel","OK")</x:f>
        <x:v>OK</x:v>
      </x:c>
      <x:c r="AN81" s="141" t="n">
        <x:f>IF($A81=Premissas!$B$48,Premissas!$B$8,0)</x:f>
        <x:v>0</x:v>
      </x:c>
      <x:c r="AO81" s="141" t="n">
        <x:f>IF($A81&lt;=Premissas!$B$25,INDEX('Consorcio IQ'!$K$6:$K$485,$A81),0)</x:f>
        <x:v>809.2167200000016</x:v>
      </x:c>
      <x:c r="AP81" s="141" t="n">
        <x:f>IF(AND(TRUE,Premissas!$B$11="Imovel",Premissas!$B$47="Moradia",$A81&lt;MAX(Premissas!$B$48,Premissas!$B$49)),$D81,0)</x:f>
        <x:v>0</x:v>
      </x:c>
      <x:c r="AQ81" s="141" t="n">
        <x:f>IF(AND(TRUE,Premissas!$B$11="Imovel",Premissas!$B$47="Investimento",$A81&gt;=MAX(Premissas!$B$48,Premissas!$B$49)),$E81,0)</x:f>
        <x:v>907.8522318438402</x:v>
      </x:c>
      <x:c r="AR81" s="141" t="n">
        <x:f>AN81+AO81+AP81</x:f>
        <x:v>809.2167200000016</x:v>
      </x:c>
      <x:c r="AS81" s="141" t="n">
        <x:f>AQ81</x:f>
        <x:v>907.8522318438402</x:v>
      </x:c>
      <x:c r="AT81" s="141" t="n">
        <x:f>$C81+AS81-AR81</x:f>
        <x:v>7098.635511843839</x:v>
      </x:c>
      <x:c r="AU81" s="141" t="n">
        <x:f>AX80*(1+Premissas!$B$41)+AT81</x:f>
        <x:v>716128.7175707866</x:v>
      </x:c>
      <x:c r="AV81" s="141" t="n">
        <x:f>MAX(0,-AU81)</x:f>
        <x:v>0</x:v>
      </x:c>
      <x:c r="AW81" s="141" t="n">
        <x:f>AW80*(1+Premissas!$B$41)+AV81</x:f>
        <x:v>0</x:v>
      </x:c>
      <x:c r="AX81" s="141" t="n">
        <x:f>MAX(0,AU81)</x:f>
        <x:v>716128.7175707866</x:v>
      </x:c>
      <x:c r="AY81" s="141" t="n">
        <x:f>INDEX('Consorcio IQ'!$P$6:$P$485,$A81)</x:f>
        <x:v>91964.19726736557</x:v>
      </x:c>
      <x:c r="AZ81" s="141" t="n">
        <x:f>IF($A81&gt;=Premissas!$B$48,$F81,0)+IF($A81&lt;Premissas!$B$27,INDEX('Consorcio IQ'!$O$6:$O$485,$A81),0)</x:f>
        <x:v>289268.0551414394</x:v>
      </x:c>
      <x:c r="BA81" s="141" t="n">
        <x:f>AX81+AZ81-AY81</x:f>
        <x:v>913432.5754448605</x:v>
      </x:c>
      <x:c r="BB81" s="141" t="n">
        <x:f>IF(AW81&gt;1,"Inviavel",BA81)</x:f>
        <x:v>913432.5754448605</x:v>
      </x:c>
      <x:c r="BC81" s="141" t="str">
        <x:f>IF(AW81&gt;1,"Inviavel","OK")</x:f>
        <x:v>OK</x:v>
      </x:c>
      <x:c r="BD81" s="141" t="n">
        <x:f>IF($A81='Consorcio Direto'!$B$29,'Consorcio Direto'!$B$44,0)</x:f>
        <x:v>0</x:v>
      </x:c>
      <x:c r="BE81" s="141" t="n">
        <x:f>IF($A81&lt;='Consorcio Direto'!$B$27,INDEX('Consorcio Direto'!$E$55:$E$534,$A81),0)</x:f>
        <x:v>2095.467314576897</x:v>
      </x:c>
      <x:c r="BF81" s="141" t="n">
        <x:f>IF(AND(TRUE,Premissas!$B$11="Imovel",Premissas!$B$47="Moradia",$A81&lt;MAX('Consorcio Direto'!$B$29,Premissas!$B$49)),$D81,0)</x:f>
        <x:v>0</x:v>
      </x:c>
      <x:c r="BG81" s="141" t="n">
        <x:f>IF(AND(TRUE,Premissas!$B$11="Imovel",Premissas!$B$47="Investimento",$A81&gt;=MAX('Consorcio Direto'!$B$29,Premissas!$B$49)),$E81,0)</x:f>
        <x:v>907.8522318438402</x:v>
      </x:c>
      <x:c r="BH81" s="141" t="n">
        <x:f>BD81+BE81+BF81</x:f>
        <x:v>2095.467314576897</x:v>
      </x:c>
      <x:c r="BI81" s="141" t="n">
        <x:f>BG81</x:f>
        <x:v>907.8522318438402</x:v>
      </x:c>
      <x:c r="BJ81" s="141" t="n">
        <x:f>$C81+BI81-BH81</x:f>
        <x:v>5812.384917266943</x:v>
      </x:c>
      <x:c r="BK81" s="141" t="n">
        <x:f>BN80*(1+Premissas!$B$41)+BJ81</x:f>
        <x:v>798283.0686566504</x:v>
      </x:c>
      <x:c r="BL81" s="141" t="n">
        <x:f>MAX(0,-BK81)</x:f>
        <x:v>0</x:v>
      </x:c>
      <x:c r="BM81" s="141" t="n">
        <x:f>BM80*(1+Premissas!$B$41)+BL81</x:f>
        <x:v>0</x:v>
      </x:c>
      <x:c r="BN81" s="141" t="n">
        <x:f>MAX(0,BK81)</x:f>
        <x:v>798283.0686566504</x:v>
      </x:c>
      <x:c r="BO81" s="141" t="n">
        <x:f>INDEX('Consorcio Direto'!$K$55:$K$534,$A81)</x:f>
        <x:v>238141.35907259336</x:v>
      </x:c>
      <x:c r="BP81" s="141" t="n">
        <x:f>IF($A81&lt;'Consorcio Direto'!$B$29,INDEX('Consorcio Direto'!$L$55:$L$534,$A81),$F81)</x:f>
        <x:v>289268.0551414394</x:v>
      </x:c>
      <x:c r="BQ81" s="141" t="n">
        <x:f>BN81+BP81-BO81</x:f>
        <x:v>849409.7647254964</x:v>
      </x:c>
      <x:c r="BR81" s="141" t="n">
        <x:f>IF(BM81&gt;1,"Inviavel",BQ81)</x:f>
        <x:v>849409.7647254964</x:v>
      </x:c>
      <x:c r="BS81" s="141" t="str">
        <x:f>IF(BM81&gt;1,"Inviavel","OK")</x:f>
        <x:v>OK</x:v>
      </x:c>
      <x:c r="BT81" s="141" t="n">
        <x:f>IF(AND('Carta Contemplada'!$B$22="Sim",$A81='Carta Contemplada'!$B$23),'Carta Contemplada'!$B$37,0)</x:f>
        <x:v>0</x:v>
      </x:c>
      <x:c r="BU81" s="141" t="n">
        <x:f>IF('Carta Contemplada'!$B$22="Sim",INDEX('Carta Contemplada'!$C$55:$C$1013,$A81),0)</x:f>
        <x:v>1702.2229347072005</x:v>
      </x:c>
      <x:c r="BV81" s="141" t="n">
        <x:f>IF(AND('Carta Contemplada'!$B$22="Sim",Premissas!$B$11="Imovel",Premissas!$B$47="Moradia",$A81&lt;MAX('Carta Contemplada'!$B$44,Premissas!$B$49)),$D81,0)</x:f>
        <x:v>0</x:v>
      </x:c>
      <x:c r="BW81" s="141" t="n">
        <x:f>IF(AND('Carta Contemplada'!$B$22="Sim",Premissas!$B$11="Imovel",Premissas!$B$47="Investimento",$A81&gt;=MAX('Carta Contemplada'!$B$44,Premissas!$B$49)),$E81,0)</x:f>
        <x:v>907.8522318438402</x:v>
      </x:c>
      <x:c r="BX81" s="141" t="n">
        <x:f>BT81+BU81+BV81</x:f>
        <x:v>1702.2229347072005</x:v>
      </x:c>
      <x:c r="BY81" s="141" t="n">
        <x:f>BW81</x:f>
        <x:v>907.8522318438402</x:v>
      </x:c>
      <x:c r="BZ81" s="141" t="n">
        <x:f>$C81+BY81-BX81</x:f>
        <x:v>6205.629297136639</x:v>
      </x:c>
      <x:c r="CA81" s="141" t="n">
        <x:f>CD80*(1+Premissas!$B$41)+BZ81</x:f>
        <x:v>804188.4079246799</x:v>
      </x:c>
      <x:c r="CB81" s="141" t="n">
        <x:f>MAX(0,-CA81)</x:f>
        <x:v>0</x:v>
      </x:c>
      <x:c r="CC81" s="141" t="n">
        <x:f>CC80*(1+Premissas!$B$41)+CB81</x:f>
        <x:v>0</x:v>
      </x:c>
      <x:c r="CD81" s="141" t="n">
        <x:f>MAX(0,CA81)</x:f>
        <x:v>804188.4079246799</x:v>
      </x:c>
      <x:c r="CE81" s="141" t="n">
        <x:f>IF(AND('Carta Contemplada'!$B$22="Sim",$A81&gt;='Carta Contemplada'!$B$23),INDEX('Carta Contemplada'!$I$55:$I$1013,$A81),0)</x:f>
        <x:v>138302.92861806264</x:v>
      </x:c>
      <x:c r="CF81" s="141" t="n">
        <x:f>IF(AND('Carta Contemplada'!$B$22="Sim",$A81&gt;='Carta Contemplada'!$B$44),$F81,0)</x:f>
        <x:v>289268.0551414394</x:v>
      </x:c>
      <x:c r="CG81" s="141" t="n">
        <x:f>CD81+CF81-CE81</x:f>
        <x:v>955153.5344480566</x:v>
      </x:c>
      <x:c r="CH81" s="141" t="n">
        <x:f>IF(CC81&gt;1,"Inviavel",CG81)</x:f>
        <x:v>955153.5344480566</x:v>
      </x:c>
      <x:c r="CI81" s="145" t="str">
        <x:f>IF(CC81&gt;1,"Inviavel","OK")</x:f>
        <x:v>OK</x:v>
      </x:c>
    </x:row>
    <x:row r="82">
      <x:c r="A82" s="142" t="n">
        <x:v>78</x:v>
      </x:c>
      <x:c r="B82" s="179" t="n">
        <x:f>EDATE(Premissas!$B$4,A82-1)</x:f>
        <x:v>48884</x:v>
      </x:c>
      <x:c r="C82" s="141" t="n">
        <x:f>IF(A82&lt;=Premissas!$B$39,Premissas!$B$42,0)</x:f>
        <x:v>7000</x:v>
      </x:c>
      <x:c r="D82" s="141" t="n">
        <x:f>Premissas!$B$54*(1+Premissas!$B$57)^INT((A82-1)/12)</x:f>
        <x:v>992.9633785792003</x:v>
      </x:c>
      <x:c r="E82" s="141" t="n">
        <x:f>Premissas!$B$64*(1+Premissas!$B$57)^INT((A82-1)/12)</x:f>
        <x:v>907.8522318438402</x:v>
      </x:c>
      <x:c r="F82" s="141" t="n">
        <x:f>MAX(0,Premissas!$B$6*(1+Premissas!$B$66)^((A82-1)/12))</x:f>
        <x:v>290676.08202677884</x:v>
      </x:c>
      <x:c r="G82" s="141" t="n">
        <x:f>G81*(1+Premissas!$B$41)+C82</x:f>
        <x:v>989526.8751470454</x:v>
      </x:c>
      <x:c r="H82" s="141" t="n">
        <x:f>IF($A82=Premissas!$B$48,Premissas!$B$8,0)</x:f>
        <x:v>0</x:v>
      </x:c>
      <x:c r="I82" s="141" t="n">
        <x:f>IF(AND($A82&gt;=Premissas!$B$48,$A82-Premissas!$B$48+1&lt;=Premissas!$B$13),INDEX(Financiamento!$J$6:$J$485,$A82-Premissas!$B$48+1),0)</x:f>
        <x:v>1770.8213244045685</x:v>
      </x:c>
      <x:c r="J82" s="141" t="n">
        <x:f>IF(AND(TRUE,Premissas!$B$11="Imovel",Premissas!$B$47="Moradia",$A82&lt;MAX(Premissas!$B$48,Premissas!$B$49)),$D82,0)</x:f>
        <x:v>0</x:v>
      </x:c>
      <x:c r="K82" s="141" t="n">
        <x:f>IF(AND(TRUE,Premissas!$B$11="Imovel",Premissas!$B$47="Investimento",$A82&gt;=MAX(Premissas!$B$48,Premissas!$B$49)),$E82,0)</x:f>
        <x:v>907.8522318438402</x:v>
      </x:c>
      <x:c r="L82" s="141" t="n">
        <x:f>H82+I82+J82</x:f>
        <x:v>1770.8213244045685</x:v>
      </x:c>
      <x:c r="M82" s="141" t="n">
        <x:f>K82</x:f>
        <x:v>907.8522318438402</x:v>
      </x:c>
      <x:c r="N82" s="141" t="n">
        <x:f>$C82+M82-L82</x:f>
        <x:v>6137.030907439272</x:v>
      </x:c>
      <x:c r="O82" s="141" t="n">
        <x:f>R81*(1+Premissas!$B$41)+N82</x:f>
        <x:v>770458.4218541937</x:v>
      </x:c>
      <x:c r="P82" s="141" t="n">
        <x:f>MAX(0,-O82)</x:f>
        <x:v>0</x:v>
      </x:c>
      <x:c r="Q82" s="141" t="n">
        <x:f>Q81*(1+Premissas!$B$41)+P82</x:f>
        <x:v>0</x:v>
      </x:c>
      <x:c r="R82" s="141" t="n">
        <x:f>MAX(0,O82)</x:f>
        <x:v>770458.4218541937</x:v>
      </x:c>
      <x:c r="S82" s="141" t="n">
        <x:f>IF(AND($A82&gt;=Premissas!$B$48,$A82-Premissas!$B$48+1&lt;=Premissas!$B$13),INDEX(Financiamento!$M$6:$M$485,$A82-Premissas!$B$48+1),0)</x:f>
        <x:v>130285.71428571451</x:v>
      </x:c>
      <x:c r="T82" s="141" t="n">
        <x:f>IF($A82&gt;=Premissas!$B$48,$F82,0)</x:f>
        <x:v>290676.08202677884</x:v>
      </x:c>
      <x:c r="U82" s="141" t="n">
        <x:f>R82+T82-S82</x:f>
        <x:v>930848.789595258</x:v>
      </x:c>
      <x:c r="V82" s="141" t="n">
        <x:f>IF(Q82&gt;1,"Inviavel",U82)</x:f>
        <x:v>930848.789595258</x:v>
      </x:c>
      <x:c r="W82" s="141" t="str">
        <x:f>IF(Q82&gt;1,"Inviavel","OK")</x:f>
        <x:v>OK</x:v>
      </x:c>
      <x:c r="X82" s="141" t="n">
        <x:f>IF($A82=Premissas!$B$48,Premissas!$B$8,0)</x:f>
        <x:v>0</x:v>
      </x:c>
      <x:c r="Y82" s="141" t="n">
        <x:f>IF(AND($A82&gt;=Premissas!$B$48,$A82-Premissas!$B$48+1&lt;=Premissas!$B$13),INDEX(Amortizacao!$K$6:$K$485,$A82-Premissas!$B$48+1),0)</x:f>
        <x:v>0</x:v>
      </x:c>
      <x:c r="Z82" s="141" t="n">
        <x:f>IF(AND(TRUE,Premissas!$B$11="Imovel",Premissas!$B$47="Moradia",$A82&lt;MAX(Premissas!$B$48,Premissas!$B$49)),$D82,0)</x:f>
        <x:v>0</x:v>
      </x:c>
      <x:c r="AA82" s="141" t="n">
        <x:f>IF(AND(TRUE,Premissas!$B$11="Imovel",Premissas!$B$47="Investimento",$A82&gt;=MAX(Premissas!$B$48,Premissas!$B$49)),$E82,0)</x:f>
        <x:v>907.8522318438402</x:v>
      </x:c>
      <x:c r="AB82" s="141" t="n">
        <x:f>X82+Y82+Z82</x:f>
        <x:v>0</x:v>
      </x:c>
      <x:c r="AC82" s="141" t="n">
        <x:f>AA82</x:f>
        <x:v>907.8522318438402</x:v>
      </x:c>
      <x:c r="AD82" s="141" t="n">
        <x:f>$C82+AC82-AB82</x:f>
        <x:v>7907.85223184384</x:v>
      </x:c>
      <x:c r="AE82" s="141" t="n">
        <x:f>AH81*(1+Premissas!$B$41)+AD82</x:f>
        <x:v>649953.7956247934</x:v>
      </x:c>
      <x:c r="AF82" s="141" t="n">
        <x:f>MAX(0,-AE82)</x:f>
        <x:v>0</x:v>
      </x:c>
      <x:c r="AG82" s="141" t="n">
        <x:f>AG81*(1+Premissas!$B$41)+AF82</x:f>
        <x:v>0</x:v>
      </x:c>
      <x:c r="AH82" s="141" t="n">
        <x:f>MAX(0,AE82)</x:f>
        <x:v>649953.7956247934</x:v>
      </x:c>
      <x:c r="AI82" s="141" t="n">
        <x:f>IF(AND($A82&gt;=Premissas!$B$48,$A82-Premissas!$B$48+1&lt;=Premissas!$B$13),INDEX(Amortizacao!$L$6:$L$485,$A82-Premissas!$B$48+1),0)</x:f>
        <x:v>0</x:v>
      </x:c>
      <x:c r="AJ82" s="141" t="n">
        <x:f>IF($A82&gt;=Premissas!$B$48,$F82,0)</x:f>
        <x:v>290676.08202677884</x:v>
      </x:c>
      <x:c r="AK82" s="141" t="n">
        <x:f>AH82+AJ82-AI82</x:f>
        <x:v>940629.8776515722</x:v>
      </x:c>
      <x:c r="AL82" s="141" t="n">
        <x:f>IF(AG82&gt;1,"Inviavel",AK82)</x:f>
        <x:v>940629.8776515722</x:v>
      </x:c>
      <x:c r="AM82" s="141" t="str">
        <x:f>IF(AG82&gt;1,"Inviavel","OK")</x:f>
        <x:v>OK</x:v>
      </x:c>
      <x:c r="AN82" s="141" t="n">
        <x:f>IF($A82=Premissas!$B$48,Premissas!$B$8,0)</x:f>
        <x:v>0</x:v>
      </x:c>
      <x:c r="AO82" s="141" t="n">
        <x:f>IF($A82&lt;=Premissas!$B$25,INDEX('Consorcio IQ'!$K$6:$K$485,$A82),0)</x:f>
        <x:v>809.2167200000016</x:v>
      </x:c>
      <x:c r="AP82" s="141" t="n">
        <x:f>IF(AND(TRUE,Premissas!$B$11="Imovel",Premissas!$B$47="Moradia",$A82&lt;MAX(Premissas!$B$48,Premissas!$B$49)),$D82,0)</x:f>
        <x:v>0</x:v>
      </x:c>
      <x:c r="AQ82" s="141" t="n">
        <x:f>IF(AND(TRUE,Premissas!$B$11="Imovel",Premissas!$B$47="Investimento",$A82&gt;=MAX(Premissas!$B$48,Premissas!$B$49)),$E82,0)</x:f>
        <x:v>907.8522318438402</x:v>
      </x:c>
      <x:c r="AR82" s="141" t="n">
        <x:f>AN82+AO82+AP82</x:f>
        <x:v>809.2167200000016</x:v>
      </x:c>
      <x:c r="AS82" s="141" t="n">
        <x:f>AQ82</x:f>
        <x:v>907.8522318438402</x:v>
      </x:c>
      <x:c r="AT82" s="141" t="n">
        <x:f>$C82+AS82-AR82</x:f>
        <x:v>7098.635511843839</x:v>
      </x:c>
      <x:c r="AU82" s="141" t="n">
        <x:f>AX81*(1+Premissas!$B$41)+AT82</x:f>
        <x:v>730022.5501981681</x:v>
      </x:c>
      <x:c r="AV82" s="141" t="n">
        <x:f>MAX(0,-AU82)</x:f>
        <x:v>0</x:v>
      </x:c>
      <x:c r="AW82" s="141" t="n">
        <x:f>AW81*(1+Premissas!$B$41)+AV82</x:f>
        <x:v>0</x:v>
      </x:c>
      <x:c r="AX82" s="141" t="n">
        <x:f>MAX(0,AU82)</x:f>
        <x:v>730022.5501981681</x:v>
      </x:c>
      <x:c r="AY82" s="141" t="n">
        <x:f>INDEX('Consorcio IQ'!$P$6:$P$485,$A82)</x:f>
        <x:v>92027.60977263075</x:v>
      </x:c>
      <x:c r="AZ82" s="141" t="n">
        <x:f>IF($A82&gt;=Premissas!$B$48,$F82,0)+IF($A82&lt;Premissas!$B$27,INDEX('Consorcio IQ'!$O$6:$O$485,$A82),0)</x:f>
        <x:v>290676.08202677884</x:v>
      </x:c>
      <x:c r="BA82" s="141" t="n">
        <x:f>AX82+AZ82-AY82</x:f>
        <x:v>928671.0224523162</x:v>
      </x:c>
      <x:c r="BB82" s="141" t="n">
        <x:f>IF(AW82&gt;1,"Inviavel",BA82)</x:f>
        <x:v>928671.0224523162</x:v>
      </x:c>
      <x:c r="BC82" s="141" t="str">
        <x:f>IF(AW82&gt;1,"Inviavel","OK")</x:f>
        <x:v>OK</x:v>
      </x:c>
      <x:c r="BD82" s="141" t="n">
        <x:f>IF($A82='Consorcio Direto'!$B$29,'Consorcio Direto'!$B$44,0)</x:f>
        <x:v>0</x:v>
      </x:c>
      <x:c r="BE82" s="141" t="n">
        <x:f>IF($A82&lt;='Consorcio Direto'!$B$27,INDEX('Consorcio Direto'!$E$55:$E$534,$A82),0)</x:f>
        <x:v>2095.467314576897</x:v>
      </x:c>
      <x:c r="BF82" s="141" t="n">
        <x:f>IF(AND(TRUE,Premissas!$B$11="Imovel",Premissas!$B$47="Moradia",$A82&lt;MAX('Consorcio Direto'!$B$29,Premissas!$B$49)),$D82,0)</x:f>
        <x:v>0</x:v>
      </x:c>
      <x:c r="BG82" s="141" t="n">
        <x:f>IF(AND(TRUE,Premissas!$B$11="Imovel",Premissas!$B$47="Investimento",$A82&gt;=MAX('Consorcio Direto'!$B$29,Premissas!$B$49)),$E82,0)</x:f>
        <x:v>907.8522318438402</x:v>
      </x:c>
      <x:c r="BH82" s="141" t="n">
        <x:f>BD82+BE82+BF82</x:f>
        <x:v>2095.467314576897</x:v>
      </x:c>
      <x:c r="BI82" s="141" t="n">
        <x:f>BG82</x:f>
        <x:v>907.8522318438402</x:v>
      </x:c>
      <x:c r="BJ82" s="141" t="n">
        <x:f>$C82+BI82-BH82</x:f>
        <x:v>5812.384917266943</x:v>
      </x:c>
      <x:c r="BK82" s="141" t="n">
        <x:f>BN81*(1+Premissas!$B$41)+BJ82</x:f>
        <x:v>811670.1963155838</x:v>
      </x:c>
      <x:c r="BL82" s="141" t="n">
        <x:f>MAX(0,-BK82)</x:f>
        <x:v>0</x:v>
      </x:c>
      <x:c r="BM82" s="141" t="n">
        <x:f>BM81*(1+Premissas!$B$41)+BL82</x:f>
        <x:v>0</x:v>
      </x:c>
      <x:c r="BN82" s="141" t="n">
        <x:f>MAX(0,BK82)</x:f>
        <x:v>811670.1963155838</x:v>
      </x:c>
      <x:c r="BO82" s="141" t="n">
        <x:f>INDEX('Consorcio Direto'!$K$55:$K$534,$A82)</x:f>
        <x:v>238305.56580341648</x:v>
      </x:c>
      <x:c r="BP82" s="141" t="n">
        <x:f>IF($A82&lt;'Consorcio Direto'!$B$29,INDEX('Consorcio Direto'!$L$55:$L$534,$A82),$F82)</x:f>
        <x:v>290676.08202677884</x:v>
      </x:c>
      <x:c r="BQ82" s="141" t="n">
        <x:f>BN82+BP82-BO82</x:f>
        <x:v>864040.712538946</x:v>
      </x:c>
      <x:c r="BR82" s="141" t="n">
        <x:f>IF(BM82&gt;1,"Inviavel",BQ82)</x:f>
        <x:v>864040.712538946</x:v>
      </x:c>
      <x:c r="BS82" s="141" t="str">
        <x:f>IF(BM82&gt;1,"Inviavel","OK")</x:f>
        <x:v>OK</x:v>
      </x:c>
      <x:c r="BT82" s="141" t="n">
        <x:f>IF(AND('Carta Contemplada'!$B$22="Sim",$A82='Carta Contemplada'!$B$23),'Carta Contemplada'!$B$37,0)</x:f>
        <x:v>0</x:v>
      </x:c>
      <x:c r="BU82" s="141" t="n">
        <x:f>IF('Carta Contemplada'!$B$22="Sim",INDEX('Carta Contemplada'!$C$55:$C$1013,$A82),0)</x:f>
        <x:v>1702.2229347072005</x:v>
      </x:c>
      <x:c r="BV82" s="141" t="n">
        <x:f>IF(AND('Carta Contemplada'!$B$22="Sim",Premissas!$B$11="Imovel",Premissas!$B$47="Moradia",$A82&lt;MAX('Carta Contemplada'!$B$44,Premissas!$B$49)),$D82,0)</x:f>
        <x:v>0</x:v>
      </x:c>
      <x:c r="BW82" s="141" t="n">
        <x:f>IF(AND('Carta Contemplada'!$B$22="Sim",Premissas!$B$11="Imovel",Premissas!$B$47="Investimento",$A82&gt;=MAX('Carta Contemplada'!$B$44,Premissas!$B$49)),$E82,0)</x:f>
        <x:v>907.8522318438402</x:v>
      </x:c>
      <x:c r="BX82" s="141" t="n">
        <x:f>BT82+BU82+BV82</x:f>
        <x:v>1702.2229347072005</x:v>
      </x:c>
      <x:c r="BY82" s="141" t="n">
        <x:f>BW82</x:f>
        <x:v>907.8522318438402</x:v>
      </x:c>
      <x:c r="BZ82" s="141" t="n">
        <x:f>$C82+BY82-BX82</x:f>
        <x:v>6205.629297136639</x:v>
      </x:c>
      <x:c r="CA82" s="141" t="n">
        <x:f>CD81*(1+Premissas!$B$41)+BZ82</x:f>
        <x:v>818024.8145050058</x:v>
      </x:c>
      <x:c r="CB82" s="141" t="n">
        <x:f>MAX(0,-CA82)</x:f>
        <x:v>0</x:v>
      </x:c>
      <x:c r="CC82" s="141" t="n">
        <x:f>CC81*(1+Premissas!$B$41)+CB82</x:f>
        <x:v>0</x:v>
      </x:c>
      <x:c r="CD82" s="141" t="n">
        <x:f>MAX(0,CA82)</x:f>
        <x:v>818024.8145050058</x:v>
      </x:c>
      <x:c r="CE82" s="141" t="n">
        <x:f>IF(AND('Carta Contemplada'!$B$22="Sim",$A82&gt;='Carta Contemplada'!$B$23),INDEX('Carta Contemplada'!$I$55:$I$1013,$A82),0)</x:f>
        <x:v>137913.03353525864</x:v>
      </x:c>
      <x:c r="CF82" s="141" t="n">
        <x:f>IF(AND('Carta Contemplada'!$B$22="Sim",$A82&gt;='Carta Contemplada'!$B$44),$F82,0)</x:f>
        <x:v>290676.08202677884</x:v>
      </x:c>
      <x:c r="CG82" s="141" t="n">
        <x:f>CD82+CF82-CE82</x:f>
        <x:v>970787.8629965261</x:v>
      </x:c>
      <x:c r="CH82" s="141" t="n">
        <x:f>IF(CC82&gt;1,"Inviavel",CG82)</x:f>
        <x:v>970787.8629965261</x:v>
      </x:c>
      <x:c r="CI82" s="145" t="str">
        <x:f>IF(CC82&gt;1,"Inviavel","OK")</x:f>
        <x:v>OK</x:v>
      </x:c>
    </x:row>
    <x:row r="83">
      <x:c r="A83" s="142" t="n">
        <x:v>79</x:v>
      </x:c>
      <x:c r="B83" s="179" t="n">
        <x:f>EDATE(Premissas!$B$4,A83-1)</x:f>
        <x:v>48914</x:v>
      </x:c>
      <x:c r="C83" s="141" t="n">
        <x:f>IF(A83&lt;=Premissas!$B$39,Premissas!$B$42,0)</x:f>
        <x:v>7000</x:v>
      </x:c>
      <x:c r="D83" s="141" t="n">
        <x:f>Premissas!$B$54*(1+Premissas!$B$57)^INT((A83-1)/12)</x:f>
        <x:v>992.9633785792003</x:v>
      </x:c>
      <x:c r="E83" s="141" t="n">
        <x:f>Premissas!$B$64*(1+Premissas!$B$57)^INT((A83-1)/12)</x:f>
        <x:v>907.8522318438402</x:v>
      </x:c>
      <x:c r="F83" s="141" t="n">
        <x:f>MAX(0,Premissas!$B$6*(1+Premissas!$B$66)^((A83-1)/12))</x:f>
        <x:v>292090.96255418</x:v>
      </x:c>
      <x:c r="G83" s="141" t="n">
        <x:f>G82*(1+Premissas!$B$41)+C83</x:f>
        <x:v>1005916.2907685207</x:v>
      </x:c>
      <x:c r="H83" s="141" t="n">
        <x:f>IF($A83=Premissas!$B$48,Premissas!$B$8,0)</x:f>
        <x:v>0</x:v>
      </x:c>
      <x:c r="I83" s="141" t="n">
        <x:f>IF(AND($A83&gt;=Premissas!$B$48,$A83-Premissas!$B$48+1&lt;=Premissas!$B$13),INDEX(Financiamento!$J$6:$J$485,$A83-Premissas!$B$48+1),0)</x:f>
        <x:v>1767.2065461437749</x:v>
      </x:c>
      <x:c r="J83" s="141" t="n">
        <x:f>IF(AND(TRUE,Premissas!$B$11="Imovel",Premissas!$B$47="Moradia",$A83&lt;MAX(Premissas!$B$48,Premissas!$B$49)),$D83,0)</x:f>
        <x:v>0</x:v>
      </x:c>
      <x:c r="K83" s="141" t="n">
        <x:f>IF(AND(TRUE,Premissas!$B$11="Imovel",Premissas!$B$47="Investimento",$A83&gt;=MAX(Premissas!$B$48,Premissas!$B$49)),$E83,0)</x:f>
        <x:v>907.8522318438402</x:v>
      </x:c>
      <x:c r="L83" s="141" t="n">
        <x:f>H83+I83+J83</x:f>
        <x:v>1767.2065461437749</x:v>
      </x:c>
      <x:c r="M83" s="141" t="n">
        <x:f>K83</x:f>
        <x:v>907.8522318438402</x:v>
      </x:c>
      <x:c r="N83" s="141" t="n">
        <x:f>$C83+M83-L83</x:f>
        <x:v>6140.645685700065</x:v>
      </x:c>
      <x:c r="O83" s="141" t="n">
        <x:f>R82*(1+Premissas!$B$41)+N83</x:f>
        <x:v>783909.7879695739</x:v>
      </x:c>
      <x:c r="P83" s="141" t="n">
        <x:f>MAX(0,-O83)</x:f>
        <x:v>0</x:v>
      </x:c>
      <x:c r="Q83" s="141" t="n">
        <x:f>Q82*(1+Premissas!$B$41)+P83</x:f>
        <x:v>0</x:v>
      </x:c>
      <x:c r="R83" s="141" t="n">
        <x:f>MAX(0,O83)</x:f>
        <x:v>783909.7879695739</x:v>
      </x:c>
      <x:c r="S83" s="141" t="n">
        <x:f>IF(AND($A83&gt;=Premissas!$B$48,$A83-Premissas!$B$48+1&lt;=Premissas!$B$13),INDEX(Financiamento!$M$6:$M$485,$A83-Premissas!$B$48+1),0)</x:f>
        <x:v>129904.76190476213</x:v>
      </x:c>
      <x:c r="T83" s="141" t="n">
        <x:f>IF($A83&gt;=Premissas!$B$48,$F83,0)</x:f>
        <x:v>292090.96255418</x:v>
      </x:c>
      <x:c r="U83" s="141" t="n">
        <x:f>R83+T83-S83</x:f>
        <x:v>946095.9886189918</x:v>
      </x:c>
      <x:c r="V83" s="141" t="n">
        <x:f>IF(Q83&gt;1,"Inviavel",U83)</x:f>
        <x:v>946095.9886189918</x:v>
      </x:c>
      <x:c r="W83" s="141" t="str">
        <x:f>IF(Q83&gt;1,"Inviavel","OK")</x:f>
        <x:v>OK</x:v>
      </x:c>
      <x:c r="X83" s="141" t="n">
        <x:f>IF($A83=Premissas!$B$48,Premissas!$B$8,0)</x:f>
        <x:v>0</x:v>
      </x:c>
      <x:c r="Y83" s="141" t="n">
        <x:f>IF(AND($A83&gt;=Premissas!$B$48,$A83-Premissas!$B$48+1&lt;=Premissas!$B$13),INDEX(Amortizacao!$K$6:$K$485,$A83-Premissas!$B$48+1),0)</x:f>
        <x:v>0</x:v>
      </x:c>
      <x:c r="Z83" s="141" t="n">
        <x:f>IF(AND(TRUE,Premissas!$B$11="Imovel",Premissas!$B$47="Moradia",$A83&lt;MAX(Premissas!$B$48,Premissas!$B$49)),$D83,0)</x:f>
        <x:v>0</x:v>
      </x:c>
      <x:c r="AA83" s="141" t="n">
        <x:f>IF(AND(TRUE,Premissas!$B$11="Imovel",Premissas!$B$47="Investimento",$A83&gt;=MAX(Premissas!$B$48,Premissas!$B$49)),$E83,0)</x:f>
        <x:v>907.8522318438402</x:v>
      </x:c>
      <x:c r="AB83" s="141" t="n">
        <x:f>X83+Y83+Z83</x:f>
        <x:v>0</x:v>
      </x:c>
      <x:c r="AC83" s="141" t="n">
        <x:f>AA83</x:f>
        <x:v>907.8522318438402</x:v>
      </x:c>
      <x:c r="AD83" s="141" t="n">
        <x:f>$C83+AC83-AB83</x:f>
        <x:v>7907.85223184384</x:v>
      </x:c>
      <x:c r="AE83" s="141" t="n">
        <x:f>AH82*(1+Premissas!$B$41)+AD83</x:f>
        <x:v>664028.9248403673</x:v>
      </x:c>
      <x:c r="AF83" s="141" t="n">
        <x:f>MAX(0,-AE83)</x:f>
        <x:v>0</x:v>
      </x:c>
      <x:c r="AG83" s="141" t="n">
        <x:f>AG82*(1+Premissas!$B$41)+AF83</x:f>
        <x:v>0</x:v>
      </x:c>
      <x:c r="AH83" s="141" t="n">
        <x:f>MAX(0,AE83)</x:f>
        <x:v>664028.9248403673</x:v>
      </x:c>
      <x:c r="AI83" s="141" t="n">
        <x:f>IF(AND($A83&gt;=Premissas!$B$48,$A83-Premissas!$B$48+1&lt;=Premissas!$B$13),INDEX(Amortizacao!$L$6:$L$485,$A83-Premissas!$B$48+1),0)</x:f>
        <x:v>0</x:v>
      </x:c>
      <x:c r="AJ83" s="141" t="n">
        <x:f>IF($A83&gt;=Premissas!$B$48,$F83,0)</x:f>
        <x:v>292090.96255418</x:v>
      </x:c>
      <x:c r="AK83" s="141" t="n">
        <x:f>AH83+AJ83-AI83</x:f>
        <x:v>956119.8873945472</x:v>
      </x:c>
      <x:c r="AL83" s="141" t="n">
        <x:f>IF(AG83&gt;1,"Inviavel",AK83)</x:f>
        <x:v>956119.8873945472</x:v>
      </x:c>
      <x:c r="AM83" s="141" t="str">
        <x:f>IF(AG83&gt;1,"Inviavel","OK")</x:f>
        <x:v>OK</x:v>
      </x:c>
      <x:c r="AN83" s="141" t="n">
        <x:f>IF($A83=Premissas!$B$48,Premissas!$B$8,0)</x:f>
        <x:v>0</x:v>
      </x:c>
      <x:c r="AO83" s="141" t="n">
        <x:f>IF($A83&lt;=Premissas!$B$25,INDEX('Consorcio IQ'!$K$6:$K$485,$A83),0)</x:f>
        <x:v>809.2167200000016</x:v>
      </x:c>
      <x:c r="AP83" s="141" t="n">
        <x:f>IF(AND(TRUE,Premissas!$B$11="Imovel",Premissas!$B$47="Moradia",$A83&lt;MAX(Premissas!$B$48,Premissas!$B$49)),$D83,0)</x:f>
        <x:v>0</x:v>
      </x:c>
      <x:c r="AQ83" s="141" t="n">
        <x:f>IF(AND(TRUE,Premissas!$B$11="Imovel",Premissas!$B$47="Investimento",$A83&gt;=MAX(Premissas!$B$48,Premissas!$B$49)),$E83,0)</x:f>
        <x:v>907.8522318438402</x:v>
      </x:c>
      <x:c r="AR83" s="141" t="n">
        <x:f>AN83+AO83+AP83</x:f>
        <x:v>809.2167200000016</x:v>
      </x:c>
      <x:c r="AS83" s="141" t="n">
        <x:f>AQ83</x:f>
        <x:v>907.8522318438402</x:v>
      </x:c>
      <x:c r="AT83" s="141" t="n">
        <x:f>$C83+AS83-AR83</x:f>
        <x:v>7098.635511843839</x:v>
      </x:c>
      <x:c r="AU83" s="141" t="n">
        <x:f>AX82*(1+Premissas!$B$41)+AT83</x:f>
        <x:v>744048.2185264187</x:v>
      </x:c>
      <x:c r="AV83" s="141" t="n">
        <x:f>MAX(0,-AU83)</x:f>
        <x:v>0</x:v>
      </x:c>
      <x:c r="AW83" s="141" t="n">
        <x:f>AW82*(1+Premissas!$B$41)+AV83</x:f>
        <x:v>0</x:v>
      </x:c>
      <x:c r="AX83" s="141" t="n">
        <x:f>MAX(0,AU83)</x:f>
        <x:v>744048.2185264187</x:v>
      </x:c>
      <x:c r="AY83" s="141" t="n">
        <x:f>INDEX('Consorcio IQ'!$P$6:$P$485,$A83)</x:f>
        <x:v>92091.62398602786</x:v>
      </x:c>
      <x:c r="AZ83" s="141" t="n">
        <x:f>IF($A83&gt;=Premissas!$B$48,$F83,0)+IF($A83&lt;Premissas!$B$27,INDEX('Consorcio IQ'!$O$6:$O$485,$A83),0)</x:f>
        <x:v>292090.96255418</x:v>
      </x:c>
      <x:c r="BA83" s="141" t="n">
        <x:f>AX83+AZ83-AY83</x:f>
        <x:v>944047.5570945707</x:v>
      </x:c>
      <x:c r="BB83" s="141" t="n">
        <x:f>IF(AW83&gt;1,"Inviavel",BA83)</x:f>
        <x:v>944047.5570945707</x:v>
      </x:c>
      <x:c r="BC83" s="141" t="str">
        <x:f>IF(AW83&gt;1,"Inviavel","OK")</x:f>
        <x:v>OK</x:v>
      </x:c>
      <x:c r="BD83" s="141" t="n">
        <x:f>IF($A83='Consorcio Direto'!$B$29,'Consorcio Direto'!$B$44,0)</x:f>
        <x:v>0</x:v>
      </x:c>
      <x:c r="BE83" s="141" t="n">
        <x:f>IF($A83&lt;='Consorcio Direto'!$B$27,INDEX('Consorcio Direto'!$E$55:$E$534,$A83),0)</x:f>
        <x:v>2095.467314576897</x:v>
      </x:c>
      <x:c r="BF83" s="141" t="n">
        <x:f>IF(AND(TRUE,Premissas!$B$11="Imovel",Premissas!$B$47="Moradia",$A83&lt;MAX('Consorcio Direto'!$B$29,Premissas!$B$49)),$D83,0)</x:f>
        <x:v>0</x:v>
      </x:c>
      <x:c r="BG83" s="141" t="n">
        <x:f>IF(AND(TRUE,Premissas!$B$11="Imovel",Premissas!$B$47="Investimento",$A83&gt;=MAX('Consorcio Direto'!$B$29,Premissas!$B$49)),$E83,0)</x:f>
        <x:v>907.8522318438402</x:v>
      </x:c>
      <x:c r="BH83" s="141" t="n">
        <x:f>BD83+BE83+BF83</x:f>
        <x:v>2095.467314576897</x:v>
      </x:c>
      <x:c r="BI83" s="141" t="n">
        <x:f>BG83</x:f>
        <x:v>907.8522318438402</x:v>
      </x:c>
      <x:c r="BJ83" s="141" t="n">
        <x:f>$C83+BI83-BH83</x:f>
        <x:v>5812.384917266943</x:v>
      </x:c>
      <x:c r="BK83" s="141" t="n">
        <x:f>BN82*(1+Premissas!$B$41)+BJ83</x:f>
        <x:v>825184.3516568616</x:v>
      </x:c>
      <x:c r="BL83" s="141" t="n">
        <x:f>MAX(0,-BK83)</x:f>
        <x:v>0</x:v>
      </x:c>
      <x:c r="BM83" s="141" t="n">
        <x:f>BM82*(1+Premissas!$B$41)+BL83</x:f>
        <x:v>0</x:v>
      </x:c>
      <x:c r="BN83" s="141" t="n">
        <x:f>MAX(0,BK83)</x:f>
        <x:v>825184.3516568616</x:v>
      </x:c>
      <x:c r="BO83" s="141" t="n">
        <x:f>INDEX('Consorcio Direto'!$K$55:$K$534,$A83)</x:f>
        <x:v>238471.33065790686</x:v>
      </x:c>
      <x:c r="BP83" s="141" t="n">
        <x:f>IF($A83&lt;'Consorcio Direto'!$B$29,INDEX('Consorcio Direto'!$L$55:$L$534,$A83),$F83)</x:f>
        <x:v>292090.96255418</x:v>
      </x:c>
      <x:c r="BQ83" s="141" t="n">
        <x:f>BN83+BP83-BO83</x:f>
        <x:v>878803.9835531348</x:v>
      </x:c>
      <x:c r="BR83" s="141" t="n">
        <x:f>IF(BM83&gt;1,"Inviavel",BQ83)</x:f>
        <x:v>878803.9835531348</x:v>
      </x:c>
      <x:c r="BS83" s="141" t="str">
        <x:f>IF(BM83&gt;1,"Inviavel","OK")</x:f>
        <x:v>OK</x:v>
      </x:c>
      <x:c r="BT83" s="141" t="n">
        <x:f>IF(AND('Carta Contemplada'!$B$22="Sim",$A83='Carta Contemplada'!$B$23),'Carta Contemplada'!$B$37,0)</x:f>
        <x:v>0</x:v>
      </x:c>
      <x:c r="BU83" s="141" t="n">
        <x:f>IF('Carta Contemplada'!$B$22="Sim",INDEX('Carta Contemplada'!$C$55:$C$1013,$A83),0)</x:f>
        <x:v>1702.2229347072005</x:v>
      </x:c>
      <x:c r="BV83" s="141" t="n">
        <x:f>IF(AND('Carta Contemplada'!$B$22="Sim",Premissas!$B$11="Imovel",Premissas!$B$47="Moradia",$A83&lt;MAX('Carta Contemplada'!$B$44,Premissas!$B$49)),$D83,0)</x:f>
        <x:v>0</x:v>
      </x:c>
      <x:c r="BW83" s="141" t="n">
        <x:f>IF(AND('Carta Contemplada'!$B$22="Sim",Premissas!$B$11="Imovel",Premissas!$B$47="Investimento",$A83&gt;=MAX('Carta Contemplada'!$B$44,Premissas!$B$49)),$E83,0)</x:f>
        <x:v>907.8522318438402</x:v>
      </x:c>
      <x:c r="BX83" s="141" t="n">
        <x:f>BT83+BU83+BV83</x:f>
        <x:v>1702.2229347072005</x:v>
      </x:c>
      <x:c r="BY83" s="141" t="n">
        <x:f>BW83</x:f>
        <x:v>907.8522318438402</x:v>
      </x:c>
      <x:c r="BZ83" s="141" t="n">
        <x:f>$C83+BY83-BX83</x:f>
        <x:v>6205.629297136639</x:v>
      </x:c>
      <x:c r="CA83" s="141" t="n">
        <x:f>CD82*(1+Premissas!$B$41)+BZ83</x:f>
        <x:v>831992.5118823312</x:v>
      </x:c>
      <x:c r="CB83" s="141" t="n">
        <x:f>MAX(0,-CA83)</x:f>
        <x:v>0</x:v>
      </x:c>
      <x:c r="CC83" s="141" t="n">
        <x:f>CC82*(1+Premissas!$B$41)+CB83</x:f>
        <x:v>0</x:v>
      </x:c>
      <x:c r="CD83" s="141" t="n">
        <x:f>MAX(0,CA83)</x:f>
        <x:v>831992.5118823312</x:v>
      </x:c>
      <x:c r="CE83" s="141" t="n">
        <x:f>IF(AND('Carta Contemplada'!$B$22="Sim",$A83&gt;='Carta Contemplada'!$B$23),INDEX('Carta Contemplada'!$I$55:$I$1013,$A83),0)</x:f>
        <x:v>137519.4388187477</x:v>
      </x:c>
      <x:c r="CF83" s="141" t="n">
        <x:f>IF(AND('Carta Contemplada'!$B$22="Sim",$A83&gt;='Carta Contemplada'!$B$44),$F83,0)</x:f>
        <x:v>292090.96255418</x:v>
      </x:c>
      <x:c r="CG83" s="141" t="n">
        <x:f>CD83+CF83-CE83</x:f>
        <x:v>986564.0356177636</x:v>
      </x:c>
      <x:c r="CH83" s="141" t="n">
        <x:f>IF(CC83&gt;1,"Inviavel",CG83)</x:f>
        <x:v>986564.0356177636</x:v>
      </x:c>
      <x:c r="CI83" s="145" t="str">
        <x:f>IF(CC83&gt;1,"Inviavel","OK")</x:f>
        <x:v>OK</x:v>
      </x:c>
    </x:row>
    <x:row r="84">
      <x:c r="A84" s="142" t="n">
        <x:v>80</x:v>
      </x:c>
      <x:c r="B84" s="179" t="n">
        <x:f>EDATE(Premissas!$B$4,A84-1)</x:f>
        <x:v>48945</x:v>
      </x:c>
      <x:c r="C84" s="141" t="n">
        <x:f>IF(A84&lt;=Premissas!$B$39,Premissas!$B$42,0)</x:f>
        <x:v>7000</x:v>
      </x:c>
      <x:c r="D84" s="141" t="n">
        <x:f>Premissas!$B$54*(1+Premissas!$B$57)^INT((A84-1)/12)</x:f>
        <x:v>992.9633785792003</x:v>
      </x:c>
      <x:c r="E84" s="141" t="n">
        <x:f>Premissas!$B$64*(1+Premissas!$B$57)^INT((A84-1)/12)</x:f>
        <x:v>907.8522318438402</x:v>
      </x:c>
      <x:c r="F84" s="141" t="n">
        <x:f>MAX(0,Premissas!$B$6*(1+Premissas!$B$66)^((A84-1)/12))</x:f>
        <x:v>293512.7300840922</x:v>
      </x:c>
      <x:c r="G84" s="141" t="n">
        <x:f>G83*(1+Premissas!$B$41)+C84</x:f>
        <x:v>1022461.222161147</x:v>
      </x:c>
      <x:c r="H84" s="141" t="n">
        <x:f>IF($A84=Premissas!$B$48,Premissas!$B$8,0)</x:f>
        <x:v>0</x:v>
      </x:c>
      <x:c r="I84" s="141" t="n">
        <x:f>IF(AND($A84&gt;=Premissas!$B$48,$A84-Premissas!$B$48+1&lt;=Premissas!$B$13),INDEX(Financiamento!$J$6:$J$485,$A84-Premissas!$B$48+1),0)</x:f>
        <x:v>1763.5917678829812</x:v>
      </x:c>
      <x:c r="J84" s="141" t="n">
        <x:f>IF(AND(TRUE,Premissas!$B$11="Imovel",Premissas!$B$47="Moradia",$A84&lt;MAX(Premissas!$B$48,Premissas!$B$49)),$D84,0)</x:f>
        <x:v>0</x:v>
      </x:c>
      <x:c r="K84" s="141" t="n">
        <x:f>IF(AND(TRUE,Premissas!$B$11="Imovel",Premissas!$B$47="Investimento",$A84&gt;=MAX(Premissas!$B$48,Premissas!$B$49)),$E84,0)</x:f>
        <x:v>907.8522318438402</x:v>
      </x:c>
      <x:c r="L84" s="141" t="n">
        <x:f>H84+I84+J84</x:f>
        <x:v>1763.5917678829812</x:v>
      </x:c>
      <x:c r="M84" s="141" t="n">
        <x:f>K84</x:f>
        <x:v>907.8522318438402</x:v>
      </x:c>
      <x:c r="N84" s="141" t="n">
        <x:f>$C84+M84-L84</x:f>
        <x:v>6144.260463960859</x:v>
      </x:c>
      <x:c r="O84" s="141" t="n">
        <x:f>R83*(1+Premissas!$B$41)+N84</x:f>
        <x:v>797492.4060909708</x:v>
      </x:c>
      <x:c r="P84" s="141" t="n">
        <x:f>MAX(0,-O84)</x:f>
        <x:v>0</x:v>
      </x:c>
      <x:c r="Q84" s="141" t="n">
        <x:f>Q83*(1+Premissas!$B$41)+P84</x:f>
        <x:v>0</x:v>
      </x:c>
      <x:c r="R84" s="141" t="n">
        <x:f>MAX(0,O84)</x:f>
        <x:v>797492.4060909708</x:v>
      </x:c>
      <x:c r="S84" s="141" t="n">
        <x:f>IF(AND($A84&gt;=Premissas!$B$48,$A84-Premissas!$B$48+1&lt;=Premissas!$B$13),INDEX(Financiamento!$M$6:$M$485,$A84-Premissas!$B$48+1),0)</x:f>
        <x:v>129523.80952380974</x:v>
      </x:c>
      <x:c r="T84" s="141" t="n">
        <x:f>IF($A84&gt;=Premissas!$B$48,$F84,0)</x:f>
        <x:v>293512.7300840922</x:v>
      </x:c>
      <x:c r="U84" s="141" t="n">
        <x:f>R84+T84-S84</x:f>
        <x:v>961481.3266512533</x:v>
      </x:c>
      <x:c r="V84" s="141" t="n">
        <x:f>IF(Q84&gt;1,"Inviavel",U84)</x:f>
        <x:v>961481.3266512533</x:v>
      </x:c>
      <x:c r="W84" s="141" t="str">
        <x:f>IF(Q84&gt;1,"Inviavel","OK")</x:f>
        <x:v>OK</x:v>
      </x:c>
      <x:c r="X84" s="141" t="n">
        <x:f>IF($A84=Premissas!$B$48,Premissas!$B$8,0)</x:f>
        <x:v>0</x:v>
      </x:c>
      <x:c r="Y84" s="141" t="n">
        <x:f>IF(AND($A84&gt;=Premissas!$B$48,$A84-Premissas!$B$48+1&lt;=Premissas!$B$13),INDEX(Amortizacao!$K$6:$K$485,$A84-Premissas!$B$48+1),0)</x:f>
        <x:v>0</x:v>
      </x:c>
      <x:c r="Z84" s="141" t="n">
        <x:f>IF(AND(TRUE,Premissas!$B$11="Imovel",Premissas!$B$47="Moradia",$A84&lt;MAX(Premissas!$B$48,Premissas!$B$49)),$D84,0)</x:f>
        <x:v>0</x:v>
      </x:c>
      <x:c r="AA84" s="141" t="n">
        <x:f>IF(AND(TRUE,Premissas!$B$11="Imovel",Premissas!$B$47="Investimento",$A84&gt;=MAX(Premissas!$B$48,Premissas!$B$49)),$E84,0)</x:f>
        <x:v>907.8522318438402</x:v>
      </x:c>
      <x:c r="AB84" s="141" t="n">
        <x:f>X84+Y84+Z84</x:f>
        <x:v>0</x:v>
      </x:c>
      <x:c r="AC84" s="141" t="n">
        <x:f>AA84</x:f>
        <x:v>907.8522318438402</x:v>
      </x:c>
      <x:c r="AD84" s="141" t="n">
        <x:f>$C84+AC84-AB84</x:f>
        <x:v>7907.85223184384</x:v>
      </x:c>
      <x:c r="AE84" s="141" t="n">
        <x:f>AH83*(1+Premissas!$B$41)+AD84</x:f>
        <x:v>678237.6100425952</x:v>
      </x:c>
      <x:c r="AF84" s="141" t="n">
        <x:f>MAX(0,-AE84)</x:f>
        <x:v>0</x:v>
      </x:c>
      <x:c r="AG84" s="141" t="n">
        <x:f>AG83*(1+Premissas!$B$41)+AF84</x:f>
        <x:v>0</x:v>
      </x:c>
      <x:c r="AH84" s="141" t="n">
        <x:f>MAX(0,AE84)</x:f>
        <x:v>678237.6100425952</x:v>
      </x:c>
      <x:c r="AI84" s="141" t="n">
        <x:f>IF(AND($A84&gt;=Premissas!$B$48,$A84-Premissas!$B$48+1&lt;=Premissas!$B$13),INDEX(Amortizacao!$L$6:$L$485,$A84-Premissas!$B$48+1),0)</x:f>
        <x:v>0</x:v>
      </x:c>
      <x:c r="AJ84" s="141" t="n">
        <x:f>IF($A84&gt;=Premissas!$B$48,$F84,0)</x:f>
        <x:v>293512.7300840922</x:v>
      </x:c>
      <x:c r="AK84" s="141" t="n">
        <x:f>AH84+AJ84-AI84</x:f>
        <x:v>971750.3401266874</x:v>
      </x:c>
      <x:c r="AL84" s="141" t="n">
        <x:f>IF(AG84&gt;1,"Inviavel",AK84)</x:f>
        <x:v>971750.3401266874</x:v>
      </x:c>
      <x:c r="AM84" s="141" t="str">
        <x:f>IF(AG84&gt;1,"Inviavel","OK")</x:f>
        <x:v>OK</x:v>
      </x:c>
      <x:c r="AN84" s="141" t="n">
        <x:f>IF($A84=Premissas!$B$48,Premissas!$B$8,0)</x:f>
        <x:v>0</x:v>
      </x:c>
      <x:c r="AO84" s="141" t="n">
        <x:f>IF($A84&lt;=Premissas!$B$25,INDEX('Consorcio IQ'!$K$6:$K$485,$A84),0)</x:f>
        <x:v>809.2167200000016</x:v>
      </x:c>
      <x:c r="AP84" s="141" t="n">
        <x:f>IF(AND(TRUE,Premissas!$B$11="Imovel",Premissas!$B$47="Moradia",$A84&lt;MAX(Premissas!$B$48,Premissas!$B$49)),$D84,0)</x:f>
        <x:v>0</x:v>
      </x:c>
      <x:c r="AQ84" s="141" t="n">
        <x:f>IF(AND(TRUE,Premissas!$B$11="Imovel",Premissas!$B$47="Investimento",$A84&gt;=MAX(Premissas!$B$48,Premissas!$B$49)),$E84,0)</x:f>
        <x:v>907.8522318438402</x:v>
      </x:c>
      <x:c r="AR84" s="141" t="n">
        <x:f>AN84+AO84+AP84</x:f>
        <x:v>809.2167200000016</x:v>
      </x:c>
      <x:c r="AS84" s="141" t="n">
        <x:f>AQ84</x:f>
        <x:v>907.8522318438402</x:v>
      </x:c>
      <x:c r="AT84" s="141" t="n">
        <x:f>$C84+AS84-AR84</x:f>
        <x:v>7098.635511843839</x:v>
      </x:c>
      <x:c r="AU84" s="141" t="n">
        <x:f>AX83*(1+Premissas!$B$41)+AT84</x:f>
        <x:v>758206.9735172051</x:v>
      </x:c>
      <x:c r="AV84" s="141" t="n">
        <x:f>MAX(0,-AU84)</x:f>
        <x:v>0</x:v>
      </x:c>
      <x:c r="AW84" s="141" t="n">
        <x:f>AW83*(1+Premissas!$B$41)+AV84</x:f>
        <x:v>0</x:v>
      </x:c>
      <x:c r="AX84" s="141" t="n">
        <x:f>MAX(0,AU84)</x:f>
        <x:v>758206.9735172051</x:v>
      </x:c>
      <x:c r="AY84" s="141" t="n">
        <x:f>INDEX('Consorcio IQ'!$P$6:$P$485,$A84)</x:f>
        <x:v>92156.24561704077</x:v>
      </x:c>
      <x:c r="AZ84" s="141" t="n">
        <x:f>IF($A84&gt;=Premissas!$B$48,$F84,0)+IF($A84&lt;Premissas!$B$27,INDEX('Consorcio IQ'!$O$6:$O$485,$A84),0)</x:f>
        <x:v>293512.7300840922</x:v>
      </x:c>
      <x:c r="BA84" s="141" t="n">
        <x:f>AX84+AZ84-AY84</x:f>
        <x:v>959563.4579842564</x:v>
      </x:c>
      <x:c r="BB84" s="141" t="n">
        <x:f>IF(AW84&gt;1,"Inviavel",BA84)</x:f>
        <x:v>959563.4579842564</x:v>
      </x:c>
      <x:c r="BC84" s="141" t="str">
        <x:f>IF(AW84&gt;1,"Inviavel","OK")</x:f>
        <x:v>OK</x:v>
      </x:c>
      <x:c r="BD84" s="141" t="n">
        <x:f>IF($A84='Consorcio Direto'!$B$29,'Consorcio Direto'!$B$44,0)</x:f>
        <x:v>0</x:v>
      </x:c>
      <x:c r="BE84" s="141" t="n">
        <x:f>IF($A84&lt;='Consorcio Direto'!$B$27,INDEX('Consorcio Direto'!$E$55:$E$534,$A84),0)</x:f>
        <x:v>2095.467314576897</x:v>
      </x:c>
      <x:c r="BF84" s="141" t="n">
        <x:f>IF(AND(TRUE,Premissas!$B$11="Imovel",Premissas!$B$47="Moradia",$A84&lt;MAX('Consorcio Direto'!$B$29,Premissas!$B$49)),$D84,0)</x:f>
        <x:v>0</x:v>
      </x:c>
      <x:c r="BG84" s="141" t="n">
        <x:f>IF(AND(TRUE,Premissas!$B$11="Imovel",Premissas!$B$47="Investimento",$A84&gt;=MAX('Consorcio Direto'!$B$29,Premissas!$B$49)),$E84,0)</x:f>
        <x:v>907.8522318438402</x:v>
      </x:c>
      <x:c r="BH84" s="141" t="n">
        <x:f>BD84+BE84+BF84</x:f>
        <x:v>2095.467314576897</x:v>
      </x:c>
      <x:c r="BI84" s="141" t="n">
        <x:f>BG84</x:f>
        <x:v>907.8522318438402</x:v>
      </x:c>
      <x:c r="BJ84" s="141" t="n">
        <x:f>$C84+BI84-BH84</x:f>
        <x:v>5812.384917266943</x:v>
      </x:c>
      <x:c r="BK84" s="141" t="n">
        <x:f>BN83*(1+Premissas!$B$41)+BJ84</x:f>
        <x:v>838826.7400198586</x:v>
      </x:c>
      <x:c r="BL84" s="141" t="n">
        <x:f>MAX(0,-BK84)</x:f>
        <x:v>0</x:v>
      </x:c>
      <x:c r="BM84" s="141" t="n">
        <x:f>BM83*(1+Premissas!$B$41)+BL84</x:f>
        <x:v>0</x:v>
      </x:c>
      <x:c r="BN84" s="141" t="n">
        <x:f>MAX(0,BK84)</x:f>
        <x:v>838826.7400198586</x:v>
      </x:c>
      <x:c r="BO84" s="141" t="n">
        <x:f>INDEX('Consorcio Direto'!$K$55:$K$534,$A84)</x:f>
        <x:v>238638.6684207773</x:v>
      </x:c>
      <x:c r="BP84" s="141" t="n">
        <x:f>IF($A84&lt;'Consorcio Direto'!$B$29,INDEX('Consorcio Direto'!$L$55:$L$534,$A84),$F84)</x:f>
        <x:v>293512.7300840922</x:v>
      </x:c>
      <x:c r="BQ84" s="141" t="n">
        <x:f>BN84+BP84-BO84</x:f>
        <x:v>893700.8016831734</x:v>
      </x:c>
      <x:c r="BR84" s="141" t="n">
        <x:f>IF(BM84&gt;1,"Inviavel",BQ84)</x:f>
        <x:v>893700.8016831734</x:v>
      </x:c>
      <x:c r="BS84" s="141" t="str">
        <x:f>IF(BM84&gt;1,"Inviavel","OK")</x:f>
        <x:v>OK</x:v>
      </x:c>
      <x:c r="BT84" s="141" t="n">
        <x:f>IF(AND('Carta Contemplada'!$B$22="Sim",$A84='Carta Contemplada'!$B$23),'Carta Contemplada'!$B$37,0)</x:f>
        <x:v>0</x:v>
      </x:c>
      <x:c r="BU84" s="141" t="n">
        <x:f>IF('Carta Contemplada'!$B$22="Sim",INDEX('Carta Contemplada'!$C$55:$C$1013,$A84),0)</x:f>
        <x:v>1702.2229347072005</x:v>
      </x:c>
      <x:c r="BV84" s="141" t="n">
        <x:f>IF(AND('Carta Contemplada'!$B$22="Sim",Premissas!$B$11="Imovel",Premissas!$B$47="Moradia",$A84&lt;MAX('Carta Contemplada'!$B$44,Premissas!$B$49)),$D84,0)</x:f>
        <x:v>0</x:v>
      </x:c>
      <x:c r="BW84" s="141" t="n">
        <x:f>IF(AND('Carta Contemplada'!$B$22="Sim",Premissas!$B$11="Imovel",Premissas!$B$47="Investimento",$A84&gt;=MAX('Carta Contemplada'!$B$44,Premissas!$B$49)),$E84,0)</x:f>
        <x:v>907.8522318438402</x:v>
      </x:c>
      <x:c r="BX84" s="141" t="n">
        <x:f>BT84+BU84+BV84</x:f>
        <x:v>1702.2229347072005</x:v>
      </x:c>
      <x:c r="BY84" s="141" t="n">
        <x:f>BW84</x:f>
        <x:v>907.8522318438402</x:v>
      </x:c>
      <x:c r="BZ84" s="141" t="n">
        <x:f>$C84+BY84-BX84</x:f>
        <x:v>6205.629297136639</x:v>
      </x:c>
      <x:c r="CA84" s="141" t="n">
        <x:f>CD83*(1+Premissas!$B$41)+BZ84</x:f>
        <x:v>846092.745847843</x:v>
      </x:c>
      <x:c r="CB84" s="141" t="n">
        <x:f>MAX(0,-CA84)</x:f>
        <x:v>0</x:v>
      </x:c>
      <x:c r="CC84" s="141" t="n">
        <x:f>CC83*(1+Premissas!$B$41)+CB84</x:f>
        <x:v>0</x:v>
      </x:c>
      <x:c r="CD84" s="141" t="n">
        <x:f>MAX(0,CA84)</x:f>
        <x:v>846092.745847843</x:v>
      </x:c>
      <x:c r="CE84" s="141" t="n">
        <x:f>IF(AND('Carta Contemplada'!$B$22="Sim",$A84&gt;='Carta Contemplada'!$B$23),INDEX('Carta Contemplada'!$I$55:$I$1013,$A84),0)</x:f>
        <x:v>137122.10936347165</x:v>
      </x:c>
      <x:c r="CF84" s="141" t="n">
        <x:f>IF(AND('Carta Contemplada'!$B$22="Sim",$A84&gt;='Carta Contemplada'!$B$44),$F84,0)</x:f>
        <x:v>293512.7300840922</x:v>
      </x:c>
      <x:c r="CG84" s="141" t="n">
        <x:f>CD84+CF84-CE84</x:f>
        <x:v>1002483.3665684636</x:v>
      </x:c>
      <x:c r="CH84" s="141" t="n">
        <x:f>IF(CC84&gt;1,"Inviavel",CG84)</x:f>
        <x:v>1002483.3665684636</x:v>
      </x:c>
      <x:c r="CI84" s="145" t="str">
        <x:f>IF(CC84&gt;1,"Inviavel","OK")</x:f>
        <x:v>OK</x:v>
      </x:c>
    </x:row>
    <x:row r="85">
      <x:c r="A85" s="142" t="n">
        <x:v>81</x:v>
      </x:c>
      <x:c r="B85" s="179" t="n">
        <x:f>EDATE(Premissas!$B$4,A85-1)</x:f>
        <x:v>48976</x:v>
      </x:c>
      <x:c r="C85" s="141" t="n">
        <x:f>IF(A85&lt;=Premissas!$B$39,Premissas!$B$42,0)</x:f>
        <x:v>7000</x:v>
      </x:c>
      <x:c r="D85" s="141" t="n">
        <x:f>Premissas!$B$54*(1+Premissas!$B$57)^INT((A85-1)/12)</x:f>
        <x:v>992.9633785792003</x:v>
      </x:c>
      <x:c r="E85" s="141" t="n">
        <x:f>Premissas!$B$64*(1+Premissas!$B$57)^INT((A85-1)/12)</x:f>
        <x:v>907.8522318438402</x:v>
      </x:c>
      <x:c r="F85" s="141" t="n">
        <x:f>MAX(0,Premissas!$B$6*(1+Premissas!$B$66)^((A85-1)/12))</x:f>
        <x:v>294941.41813934845</x:v>
      </x:c>
      <x:c r="G85" s="141" t="n">
        <x:f>G84*(1+Premissas!$B$41)+C85</x:f>
        <x:v>1039163.1449818749</x:v>
      </x:c>
      <x:c r="H85" s="141" t="n">
        <x:f>IF($A85=Premissas!$B$48,Premissas!$B$8,0)</x:f>
        <x:v>0</x:v>
      </x:c>
      <x:c r="I85" s="141" t="n">
        <x:f>IF(AND($A85&gt;=Premissas!$B$48,$A85-Premissas!$B$48+1&lt;=Premissas!$B$13),INDEX(Financiamento!$J$6:$J$485,$A85-Premissas!$B$48+1),0)</x:f>
        <x:v>1759.9769896221878</x:v>
      </x:c>
      <x:c r="J85" s="141" t="n">
        <x:f>IF(AND(TRUE,Premissas!$B$11="Imovel",Premissas!$B$47="Moradia",$A85&lt;MAX(Premissas!$B$48,Premissas!$B$49)),$D85,0)</x:f>
        <x:v>0</x:v>
      </x:c>
      <x:c r="K85" s="141" t="n">
        <x:f>IF(AND(TRUE,Premissas!$B$11="Imovel",Premissas!$B$47="Investimento",$A85&gt;=MAX(Premissas!$B$48,Premissas!$B$49)),$E85,0)</x:f>
        <x:v>907.8522318438402</x:v>
      </x:c>
      <x:c r="L85" s="141" t="n">
        <x:f>H85+I85+J85</x:f>
        <x:v>1759.9769896221878</x:v>
      </x:c>
      <x:c r="M85" s="141" t="n">
        <x:f>K85</x:f>
        <x:v>907.8522318438402</x:v>
      </x:c>
      <x:c r="N85" s="141" t="n">
        <x:f>$C85+M85-L85</x:f>
        <x:v>6147.875242221652</x:v>
      </x:c>
      <x:c r="O85" s="141" t="n">
        <x:f>R84*(1+Premissas!$B$41)+N85</x:f>
        <x:v>811207.5216414921</x:v>
      </x:c>
      <x:c r="P85" s="141" t="n">
        <x:f>MAX(0,-O85)</x:f>
        <x:v>0</x:v>
      </x:c>
      <x:c r="Q85" s="141" t="n">
        <x:f>Q84*(1+Premissas!$B$41)+P85</x:f>
        <x:v>0</x:v>
      </x:c>
      <x:c r="R85" s="141" t="n">
        <x:f>MAX(0,O85)</x:f>
        <x:v>811207.5216414921</x:v>
      </x:c>
      <x:c r="S85" s="141" t="n">
        <x:f>IF(AND($A85&gt;=Premissas!$B$48,$A85-Premissas!$B$48+1&lt;=Premissas!$B$13),INDEX(Financiamento!$M$6:$M$485,$A85-Premissas!$B$48+1),0)</x:f>
        <x:v>129142.85714285736</x:v>
      </x:c>
      <x:c r="T85" s="141" t="n">
        <x:f>IF($A85&gt;=Premissas!$B$48,$F85,0)</x:f>
        <x:v>294941.41813934845</x:v>
      </x:c>
      <x:c r="U85" s="141" t="n">
        <x:f>R85+T85-S85</x:f>
        <x:v>977006.0826379833</x:v>
      </x:c>
      <x:c r="V85" s="141" t="n">
        <x:f>IF(Q85&gt;1,"Inviavel",U85)</x:f>
        <x:v>977006.0826379833</x:v>
      </x:c>
      <x:c r="W85" s="141" t="str">
        <x:f>IF(Q85&gt;1,"Inviavel","OK")</x:f>
        <x:v>OK</x:v>
      </x:c>
      <x:c r="X85" s="141" t="n">
        <x:f>IF($A85=Premissas!$B$48,Premissas!$B$8,0)</x:f>
        <x:v>0</x:v>
      </x:c>
      <x:c r="Y85" s="141" t="n">
        <x:f>IF(AND($A85&gt;=Premissas!$B$48,$A85-Premissas!$B$48+1&lt;=Premissas!$B$13),INDEX(Amortizacao!$K$6:$K$485,$A85-Premissas!$B$48+1),0)</x:f>
        <x:v>0</x:v>
      </x:c>
      <x:c r="Z85" s="141" t="n">
        <x:f>IF(AND(TRUE,Premissas!$B$11="Imovel",Premissas!$B$47="Moradia",$A85&lt;MAX(Premissas!$B$48,Premissas!$B$49)),$D85,0)</x:f>
        <x:v>0</x:v>
      </x:c>
      <x:c r="AA85" s="141" t="n">
        <x:f>IF(AND(TRUE,Premissas!$B$11="Imovel",Premissas!$B$47="Investimento",$A85&gt;=MAX(Premissas!$B$48,Premissas!$B$49)),$E85,0)</x:f>
        <x:v>907.8522318438402</x:v>
      </x:c>
      <x:c r="AB85" s="141" t="n">
        <x:f>X85+Y85+Z85</x:f>
        <x:v>0</x:v>
      </x:c>
      <x:c r="AC85" s="141" t="n">
        <x:f>AA85</x:f>
        <x:v>907.8522318438402</x:v>
      </x:c>
      <x:c r="AD85" s="141" t="n">
        <x:f>$C85+AC85-AB85</x:f>
        <x:v>7907.85223184384</x:v>
      </x:c>
      <x:c r="AE85" s="141" t="n">
        <x:f>AH84*(1+Premissas!$B$41)+AD85</x:f>
        <x:v>692581.1185165797</x:v>
      </x:c>
      <x:c r="AF85" s="141" t="n">
        <x:f>MAX(0,-AE85)</x:f>
        <x:v>0</x:v>
      </x:c>
      <x:c r="AG85" s="141" t="n">
        <x:f>AG84*(1+Premissas!$B$41)+AF85</x:f>
        <x:v>0</x:v>
      </x:c>
      <x:c r="AH85" s="141" t="n">
        <x:f>MAX(0,AE85)</x:f>
        <x:v>692581.1185165797</x:v>
      </x:c>
      <x:c r="AI85" s="141" t="n">
        <x:f>IF(AND($A85&gt;=Premissas!$B$48,$A85-Premissas!$B$48+1&lt;=Premissas!$B$13),INDEX(Amortizacao!$L$6:$L$485,$A85-Premissas!$B$48+1),0)</x:f>
        <x:v>0</x:v>
      </x:c>
      <x:c r="AJ85" s="141" t="n">
        <x:f>IF($A85&gt;=Premissas!$B$48,$F85,0)</x:f>
        <x:v>294941.41813934845</x:v>
      </x:c>
      <x:c r="AK85" s="141" t="n">
        <x:f>AH85+AJ85-AI85</x:f>
        <x:v>987522.5366559282</x:v>
      </x:c>
      <x:c r="AL85" s="141" t="n">
        <x:f>IF(AG85&gt;1,"Inviavel",AK85)</x:f>
        <x:v>987522.5366559282</x:v>
      </x:c>
      <x:c r="AM85" s="141" t="str">
        <x:f>IF(AG85&gt;1,"Inviavel","OK")</x:f>
        <x:v>OK</x:v>
      </x:c>
      <x:c r="AN85" s="141" t="n">
        <x:f>IF($A85=Premissas!$B$48,Premissas!$B$8,0)</x:f>
        <x:v>0</x:v>
      </x:c>
      <x:c r="AO85" s="141" t="n">
        <x:f>IF($A85&lt;=Premissas!$B$25,INDEX('Consorcio IQ'!$K$6:$K$485,$A85),0)</x:f>
        <x:v>809.2167200000016</x:v>
      </x:c>
      <x:c r="AP85" s="141" t="n">
        <x:f>IF(AND(TRUE,Premissas!$B$11="Imovel",Premissas!$B$47="Moradia",$A85&lt;MAX(Premissas!$B$48,Premissas!$B$49)),$D85,0)</x:f>
        <x:v>0</x:v>
      </x:c>
      <x:c r="AQ85" s="141" t="n">
        <x:f>IF(AND(TRUE,Premissas!$B$11="Imovel",Premissas!$B$47="Investimento",$A85&gt;=MAX(Premissas!$B$48,Premissas!$B$49)),$E85,0)</x:f>
        <x:v>907.8522318438402</x:v>
      </x:c>
      <x:c r="AR85" s="141" t="n">
        <x:f>AN85+AO85+AP85</x:f>
        <x:v>809.2167200000016</x:v>
      </x:c>
      <x:c r="AS85" s="141" t="n">
        <x:f>AQ85</x:f>
        <x:v>907.8522318438402</x:v>
      </x:c>
      <x:c r="AT85" s="141" t="n">
        <x:f>$C85+AS85-AR85</x:f>
        <x:v>7098.635511843839</x:v>
      </x:c>
      <x:c r="AU85" s="141" t="n">
        <x:f>AX84*(1+Premissas!$B$41)+AT85</x:f>
        <x:v>772500.0780023106</x:v>
      </x:c>
      <x:c r="AV85" s="141" t="n">
        <x:f>MAX(0,-AU85)</x:f>
        <x:v>0</x:v>
      </x:c>
      <x:c r="AW85" s="141" t="n">
        <x:f>AW84*(1+Premissas!$B$41)+AV85</x:f>
        <x:v>0</x:v>
      </x:c>
      <x:c r="AX85" s="141" t="n">
        <x:f>MAX(0,AU85)</x:f>
        <x:v>772500.0780023106</x:v>
      </x:c>
      <x:c r="AY85" s="141" t="n">
        <x:f>INDEX('Consorcio IQ'!$P$6:$P$485,$A85)</x:f>
        <x:v>92221.48042932944</x:v>
      </x:c>
      <x:c r="AZ85" s="141" t="n">
        <x:f>IF($A85&gt;=Premissas!$B$48,$F85,0)+IF($A85&lt;Premissas!$B$27,INDEX('Consorcio IQ'!$O$6:$O$485,$A85),0)</x:f>
        <x:v>294941.41813934845</x:v>
      </x:c>
      <x:c r="BA85" s="141" t="n">
        <x:f>AX85+AZ85-AY85</x:f>
        <x:v>975220.0157123297</x:v>
      </x:c>
      <x:c r="BB85" s="141" t="n">
        <x:f>IF(AW85&gt;1,"Inviavel",BA85)</x:f>
        <x:v>975220.0157123297</x:v>
      </x:c>
      <x:c r="BC85" s="141" t="str">
        <x:f>IF(AW85&gt;1,"Inviavel","OK")</x:f>
        <x:v>OK</x:v>
      </x:c>
      <x:c r="BD85" s="141" t="n">
        <x:f>IF($A85='Consorcio Direto'!$B$29,'Consorcio Direto'!$B$44,0)</x:f>
        <x:v>0</x:v>
      </x:c>
      <x:c r="BE85" s="141" t="n">
        <x:f>IF($A85&lt;='Consorcio Direto'!$B$27,INDEX('Consorcio Direto'!$E$55:$E$534,$A85),0)</x:f>
        <x:v>2095.467314576897</x:v>
      </x:c>
      <x:c r="BF85" s="141" t="n">
        <x:f>IF(AND(TRUE,Premissas!$B$11="Imovel",Premissas!$B$47="Moradia",$A85&lt;MAX('Consorcio Direto'!$B$29,Premissas!$B$49)),$D85,0)</x:f>
        <x:v>0</x:v>
      </x:c>
      <x:c r="BG85" s="141" t="n">
        <x:f>IF(AND(TRUE,Premissas!$B$11="Imovel",Premissas!$B$47="Investimento",$A85&gt;=MAX('Consorcio Direto'!$B$29,Premissas!$B$49)),$E85,0)</x:f>
        <x:v>907.8522318438402</x:v>
      </x:c>
      <x:c r="BH85" s="141" t="n">
        <x:f>BD85+BE85+BF85</x:f>
        <x:v>2095.467314576897</x:v>
      </x:c>
      <x:c r="BI85" s="141" t="n">
        <x:f>BG85</x:f>
        <x:v>907.8522318438402</x:v>
      </x:c>
      <x:c r="BJ85" s="141" t="n">
        <x:f>$C85+BI85-BH85</x:f>
        <x:v>5812.384917266943</x:v>
      </x:c>
      <x:c r="BK85" s="141" t="n">
        <x:f>BN84*(1+Premissas!$B$41)+BJ85</x:f>
        <x:v>852598.5781811653</x:v>
      </x:c>
      <x:c r="BL85" s="141" t="n">
        <x:f>MAX(0,-BK85)</x:f>
        <x:v>0</x:v>
      </x:c>
      <x:c r="BM85" s="141" t="n">
        <x:f>BM84*(1+Premissas!$B$41)+BL85</x:f>
        <x:v>0</x:v>
      </x:c>
      <x:c r="BN85" s="141" t="n">
        <x:f>MAX(0,BK85)</x:f>
        <x:v>852598.5781811653</x:v>
      </x:c>
      <x:c r="BO85" s="141" t="n">
        <x:f>INDEX('Consorcio Direto'!$K$55:$K$534,$A85)</x:f>
        <x:v>238807.59401702977</x:v>
      </x:c>
      <x:c r="BP85" s="141" t="n">
        <x:f>IF($A85&lt;'Consorcio Direto'!$B$29,INDEX('Consorcio Direto'!$L$55:$L$534,$A85),$F85)</x:f>
        <x:v>294941.41813934845</x:v>
      </x:c>
      <x:c r="BQ85" s="141" t="n">
        <x:f>BN85+BP85-BO85</x:f>
        <x:v>908732.402303484</x:v>
      </x:c>
      <x:c r="BR85" s="141" t="n">
        <x:f>IF(BM85&gt;1,"Inviavel",BQ85)</x:f>
        <x:v>908732.402303484</x:v>
      </x:c>
      <x:c r="BS85" s="141" t="str">
        <x:f>IF(BM85&gt;1,"Inviavel","OK")</x:f>
        <x:v>OK</x:v>
      </x:c>
      <x:c r="BT85" s="141" t="n">
        <x:f>IF(AND('Carta Contemplada'!$B$22="Sim",$A85='Carta Contemplada'!$B$23),'Carta Contemplada'!$B$37,0)</x:f>
        <x:v>0</x:v>
      </x:c>
      <x:c r="BU85" s="141" t="n">
        <x:f>IF('Carta Contemplada'!$B$22="Sim",INDEX('Carta Contemplada'!$C$55:$C$1013,$A85),0)</x:f>
        <x:v>1702.2229347072005</x:v>
      </x:c>
      <x:c r="BV85" s="141" t="n">
        <x:f>IF(AND('Carta Contemplada'!$B$22="Sim",Premissas!$B$11="Imovel",Premissas!$B$47="Moradia",$A85&lt;MAX('Carta Contemplada'!$B$44,Premissas!$B$49)),$D85,0)</x:f>
        <x:v>0</x:v>
      </x:c>
      <x:c r="BW85" s="141" t="n">
        <x:f>IF(AND('Carta Contemplada'!$B$22="Sim",Premissas!$B$11="Imovel",Premissas!$B$47="Investimento",$A85&gt;=MAX('Carta Contemplada'!$B$44,Premissas!$B$49)),$E85,0)</x:f>
        <x:v>907.8522318438402</x:v>
      </x:c>
      <x:c r="BX85" s="141" t="n">
        <x:f>BT85+BU85+BV85</x:f>
        <x:v>1702.2229347072005</x:v>
      </x:c>
      <x:c r="BY85" s="141" t="n">
        <x:f>BW85</x:f>
        <x:v>907.8522318438402</x:v>
      </x:c>
      <x:c r="BZ85" s="141" t="n">
        <x:f>$C85+BY85-BX85</x:f>
        <x:v>6205.629297136639</x:v>
      </x:c>
      <x:c r="CA85" s="141" t="n">
        <x:f>CD84*(1+Premissas!$B$41)+BZ85</x:f>
        <x:v>860326.7740137826</x:v>
      </x:c>
      <x:c r="CB85" s="141" t="n">
        <x:f>MAX(0,-CA85)</x:f>
        <x:v>0</x:v>
      </x:c>
      <x:c r="CC85" s="141" t="n">
        <x:f>CC84*(1+Premissas!$B$41)+CB85</x:f>
        <x:v>0</x:v>
      </x:c>
      <x:c r="CD85" s="141" t="n">
        <x:f>MAX(0,CA85)</x:f>
        <x:v>860326.7740137826</x:v>
      </x:c>
      <x:c r="CE85" s="141" t="n">
        <x:f>IF(AND('Carta Contemplada'!$B$22="Sim",$A85&gt;='Carta Contemplada'!$B$23),INDEX('Carta Contemplada'!$I$55:$I$1013,$A85),0)</x:f>
        <x:v>136721.00973126767</x:v>
      </x:c>
      <x:c r="CF85" s="141" t="n">
        <x:f>IF(AND('Carta Contemplada'!$B$22="Sim",$A85&gt;='Carta Contemplada'!$B$44),$F85,0)</x:f>
        <x:v>294941.41813934845</x:v>
      </x:c>
      <x:c r="CG85" s="141" t="n">
        <x:f>CD85+CF85-CE85</x:f>
        <x:v>1018547.1824218634</x:v>
      </x:c>
      <x:c r="CH85" s="141" t="n">
        <x:f>IF(CC85&gt;1,"Inviavel",CG85)</x:f>
        <x:v>1018547.1824218634</x:v>
      </x:c>
      <x:c r="CI85" s="145" t="str">
        <x:f>IF(CC85&gt;1,"Inviavel","OK")</x:f>
        <x:v>OK</x:v>
      </x:c>
    </x:row>
    <x:row r="86">
      <x:c r="A86" s="142" t="n">
        <x:v>82</x:v>
      </x:c>
      <x:c r="B86" s="179" t="n">
        <x:f>EDATE(Premissas!$B$4,A86-1)</x:f>
        <x:v>49004</x:v>
      </x:c>
      <x:c r="C86" s="141" t="n">
        <x:f>IF(A86&lt;=Premissas!$B$39,Premissas!$B$42,0)</x:f>
        <x:v>7000</x:v>
      </x:c>
      <x:c r="D86" s="141" t="n">
        <x:f>Premissas!$B$54*(1+Premissas!$B$57)^INT((A86-1)/12)</x:f>
        <x:v>992.9633785792003</x:v>
      </x:c>
      <x:c r="E86" s="141" t="n">
        <x:f>Premissas!$B$64*(1+Premissas!$B$57)^INT((A86-1)/12)</x:f>
        <x:v>907.8522318438402</x:v>
      </x:c>
      <x:c r="F86" s="141" t="n">
        <x:f>MAX(0,Premissas!$B$6*(1+Premissas!$B$66)^((A86-1)/12))</x:f>
        <x:v>296377.0604059557</x:v>
      </x:c>
      <x:c r="G86" s="141" t="n">
        <x:f>G85*(1+Premissas!$B$41)+C86</x:f>
        <x:v>1056023.548889858</x:v>
      </x:c>
      <x:c r="H86" s="141" t="n">
        <x:f>IF($A86=Premissas!$B$48,Premissas!$B$8,0)</x:f>
        <x:v>0</x:v>
      </x:c>
      <x:c r="I86" s="141" t="n">
        <x:f>IF(AND($A86&gt;=Premissas!$B$48,$A86-Premissas!$B$48+1&lt;=Premissas!$B$13),INDEX(Financiamento!$J$6:$J$485,$A86-Premissas!$B$48+1),0)</x:f>
        <x:v>1756.3622113613942</x:v>
      </x:c>
      <x:c r="J86" s="141" t="n">
        <x:f>IF(AND(TRUE,Premissas!$B$11="Imovel",Premissas!$B$47="Moradia",$A86&lt;MAX(Premissas!$B$48,Premissas!$B$49)),$D86,0)</x:f>
        <x:v>0</x:v>
      </x:c>
      <x:c r="K86" s="141" t="n">
        <x:f>IF(AND(TRUE,Premissas!$B$11="Imovel",Premissas!$B$47="Investimento",$A86&gt;=MAX(Premissas!$B$48,Premissas!$B$49)),$E86,0)</x:f>
        <x:v>907.8522318438402</x:v>
      </x:c>
      <x:c r="L86" s="141" t="n">
        <x:f>H86+I86+J86</x:f>
        <x:v>1756.3622113613942</x:v>
      </x:c>
      <x:c r="M86" s="141" t="n">
        <x:f>K86</x:f>
        <x:v>907.8522318438402</x:v>
      </x:c>
      <x:c r="N86" s="141" t="n">
        <x:f>$C86+M86-L86</x:f>
        <x:v>6151.490020482446</x:v>
      </x:c>
      <x:c r="O86" s="141" t="n">
        <x:f>R85*(1+Premissas!$B$41)+N86</x:f>
        <x:v>825056.391861807</x:v>
      </x:c>
      <x:c r="P86" s="141" t="n">
        <x:f>MAX(0,-O86)</x:f>
        <x:v>0</x:v>
      </x:c>
      <x:c r="Q86" s="141" t="n">
        <x:f>Q85*(1+Premissas!$B$41)+P86</x:f>
        <x:v>0</x:v>
      </x:c>
      <x:c r="R86" s="141" t="n">
        <x:f>MAX(0,O86)</x:f>
        <x:v>825056.391861807</x:v>
      </x:c>
      <x:c r="S86" s="141" t="n">
        <x:f>IF(AND($A86&gt;=Premissas!$B$48,$A86-Premissas!$B$48+1&lt;=Premissas!$B$13),INDEX(Financiamento!$M$6:$M$485,$A86-Premissas!$B$48+1),0)</x:f>
        <x:v>128761.90476190498</x:v>
      </x:c>
      <x:c r="T86" s="141" t="n">
        <x:f>IF($A86&gt;=Premissas!$B$48,$F86,0)</x:f>
        <x:v>296377.0604059557</x:v>
      </x:c>
      <x:c r="U86" s="141" t="n">
        <x:f>R86+T86-S86</x:f>
        <x:v>992671.5475058578</x:v>
      </x:c>
      <x:c r="V86" s="141" t="n">
        <x:f>IF(Q86&gt;1,"Inviavel",U86)</x:f>
        <x:v>992671.5475058578</x:v>
      </x:c>
      <x:c r="W86" s="141" t="str">
        <x:f>IF(Q86&gt;1,"Inviavel","OK")</x:f>
        <x:v>OK</x:v>
      </x:c>
      <x:c r="X86" s="141" t="n">
        <x:f>IF($A86=Premissas!$B$48,Premissas!$B$8,0)</x:f>
        <x:v>0</x:v>
      </x:c>
      <x:c r="Y86" s="141" t="n">
        <x:f>IF(AND($A86&gt;=Premissas!$B$48,$A86-Premissas!$B$48+1&lt;=Premissas!$B$13),INDEX(Amortizacao!$K$6:$K$485,$A86-Premissas!$B$48+1),0)</x:f>
        <x:v>0</x:v>
      </x:c>
      <x:c r="Z86" s="141" t="n">
        <x:f>IF(AND(TRUE,Premissas!$B$11="Imovel",Premissas!$B$47="Moradia",$A86&lt;MAX(Premissas!$B$48,Premissas!$B$49)),$D86,0)</x:f>
        <x:v>0</x:v>
      </x:c>
      <x:c r="AA86" s="141" t="n">
        <x:f>IF(AND(TRUE,Premissas!$B$11="Imovel",Premissas!$B$47="Investimento",$A86&gt;=MAX(Premissas!$B$48,Premissas!$B$49)),$E86,0)</x:f>
        <x:v>907.8522318438402</x:v>
      </x:c>
      <x:c r="AB86" s="141" t="n">
        <x:f>X86+Y86+Z86</x:f>
        <x:v>0</x:v>
      </x:c>
      <x:c r="AC86" s="141" t="n">
        <x:f>AA86</x:f>
        <x:v>907.8522318438402</x:v>
      </x:c>
      <x:c r="AD86" s="141" t="n">
        <x:f>$C86+AC86-AB86</x:f>
        <x:v>7907.85223184384</x:v>
      </x:c>
      <x:c r="AE86" s="141" t="n">
        <x:f>AH85*(1+Premissas!$B$41)+AD86</x:f>
        <x:v>707060.7295724293</x:v>
      </x:c>
      <x:c r="AF86" s="141" t="n">
        <x:f>MAX(0,-AE86)</x:f>
        <x:v>0</x:v>
      </x:c>
      <x:c r="AG86" s="141" t="n">
        <x:f>AG85*(1+Premissas!$B$41)+AF86</x:f>
        <x:v>0</x:v>
      </x:c>
      <x:c r="AH86" s="141" t="n">
        <x:f>MAX(0,AE86)</x:f>
        <x:v>707060.7295724293</x:v>
      </x:c>
      <x:c r="AI86" s="141" t="n">
        <x:f>IF(AND($A86&gt;=Premissas!$B$48,$A86-Premissas!$B$48+1&lt;=Premissas!$B$13),INDEX(Amortizacao!$L$6:$L$485,$A86-Premissas!$B$48+1),0)</x:f>
        <x:v>0</x:v>
      </x:c>
      <x:c r="AJ86" s="141" t="n">
        <x:f>IF($A86&gt;=Premissas!$B$48,$F86,0)</x:f>
        <x:v>296377.0604059557</x:v>
      </x:c>
      <x:c r="AK86" s="141" t="n">
        <x:f>AH86+AJ86-AI86</x:f>
        <x:v>1003437.789978385</x:v>
      </x:c>
      <x:c r="AL86" s="141" t="n">
        <x:f>IF(AG86&gt;1,"Inviavel",AK86)</x:f>
        <x:v>1003437.789978385</x:v>
      </x:c>
      <x:c r="AM86" s="141" t="str">
        <x:f>IF(AG86&gt;1,"Inviavel","OK")</x:f>
        <x:v>OK</x:v>
      </x:c>
      <x:c r="AN86" s="141" t="n">
        <x:f>IF($A86=Premissas!$B$48,Premissas!$B$8,0)</x:f>
        <x:v>0</x:v>
      </x:c>
      <x:c r="AO86" s="141" t="n">
        <x:f>IF($A86&lt;=Premissas!$B$25,INDEX('Consorcio IQ'!$K$6:$K$485,$A86),0)</x:f>
        <x:v>809.2167200000016</x:v>
      </x:c>
      <x:c r="AP86" s="141" t="n">
        <x:f>IF(AND(TRUE,Premissas!$B$11="Imovel",Premissas!$B$47="Moradia",$A86&lt;MAX(Premissas!$B$48,Premissas!$B$49)),$D86,0)</x:f>
        <x:v>0</x:v>
      </x:c>
      <x:c r="AQ86" s="141" t="n">
        <x:f>IF(AND(TRUE,Premissas!$B$11="Imovel",Premissas!$B$47="Investimento",$A86&gt;=MAX(Premissas!$B$48,Premissas!$B$49)),$E86,0)</x:f>
        <x:v>907.8522318438402</x:v>
      </x:c>
      <x:c r="AR86" s="141" t="n">
        <x:f>AN86+AO86+AP86</x:f>
        <x:v>809.2167200000016</x:v>
      </x:c>
      <x:c r="AS86" s="141" t="n">
        <x:f>AQ86</x:f>
        <x:v>907.8522318438402</x:v>
      </x:c>
      <x:c r="AT86" s="141" t="n">
        <x:f>$C86+AS86-AR86</x:f>
        <x:v>7098.635511843839</x:v>
      </x:c>
      <x:c r="AU86" s="141" t="n">
        <x:f>AX85*(1+Premissas!$B$41)+AT86</x:f>
        <x:v>786928.8067962676</x:v>
      </x:c>
      <x:c r="AV86" s="141" t="n">
        <x:f>MAX(0,-AU86)</x:f>
        <x:v>0</x:v>
      </x:c>
      <x:c r="AW86" s="141" t="n">
        <x:f>AW85*(1+Premissas!$B$41)+AV86</x:f>
        <x:v>0</x:v>
      </x:c>
      <x:c r="AX86" s="141" t="n">
        <x:f>MAX(0,AU86)</x:f>
        <x:v>786928.8067962676</x:v>
      </x:c>
      <x:c r="AY86" s="141" t="n">
        <x:f>INDEX('Consorcio IQ'!$P$6:$P$485,$A86)</x:f>
        <x:v>92287.33424124405</x:v>
      </x:c>
      <x:c r="AZ86" s="141" t="n">
        <x:f>IF($A86&gt;=Premissas!$B$48,$F86,0)+IF($A86&lt;Premissas!$B$27,INDEX('Consorcio IQ'!$O$6:$O$485,$A86),0)</x:f>
        <x:v>296377.0604059557</x:v>
      </x:c>
      <x:c r="BA86" s="141" t="n">
        <x:f>AX86+AZ86-AY86</x:f>
        <x:v>991018.5329609793</x:v>
      </x:c>
      <x:c r="BB86" s="141" t="n">
        <x:f>IF(AW86&gt;1,"Inviavel",BA86)</x:f>
        <x:v>991018.5329609793</x:v>
      </x:c>
      <x:c r="BC86" s="141" t="str">
        <x:f>IF(AW86&gt;1,"Inviavel","OK")</x:f>
        <x:v>OK</x:v>
      </x:c>
      <x:c r="BD86" s="141" t="n">
        <x:f>IF($A86='Consorcio Direto'!$B$29,'Consorcio Direto'!$B$44,0)</x:f>
        <x:v>0</x:v>
      </x:c>
      <x:c r="BE86" s="141" t="n">
        <x:f>IF($A86&lt;='Consorcio Direto'!$B$27,INDEX('Consorcio Direto'!$E$55:$E$534,$A86),0)</x:f>
        <x:v>2095.467314576897</x:v>
      </x:c>
      <x:c r="BF86" s="141" t="n">
        <x:f>IF(AND(TRUE,Premissas!$B$11="Imovel",Premissas!$B$47="Moradia",$A86&lt;MAX('Consorcio Direto'!$B$29,Premissas!$B$49)),$D86,0)</x:f>
        <x:v>0</x:v>
      </x:c>
      <x:c r="BG86" s="141" t="n">
        <x:f>IF(AND(TRUE,Premissas!$B$11="Imovel",Premissas!$B$47="Investimento",$A86&gt;=MAX('Consorcio Direto'!$B$29,Premissas!$B$49)),$E86,0)</x:f>
        <x:v>907.8522318438402</x:v>
      </x:c>
      <x:c r="BH86" s="141" t="n">
        <x:f>BD86+BE86+BF86</x:f>
        <x:v>2095.467314576897</x:v>
      </x:c>
      <x:c r="BI86" s="141" t="n">
        <x:f>BG86</x:f>
        <x:v>907.8522318438402</x:v>
      </x:c>
      <x:c r="BJ86" s="141" t="n">
        <x:f>$C86+BI86-BH86</x:f>
        <x:v>5812.384917266943</x:v>
      </x:c>
      <x:c r="BK86" s="141" t="n">
        <x:f>BN85*(1+Premissas!$B$41)+BJ86</x:f>
        <x:v>866501.0944631131</x:v>
      </x:c>
      <x:c r="BL86" s="141" t="n">
        <x:f>MAX(0,-BK86)</x:f>
        <x:v>0</x:v>
      </x:c>
      <x:c r="BM86" s="141" t="n">
        <x:f>BM85*(1+Premissas!$B$41)+BL86</x:f>
        <x:v>0</x:v>
      </x:c>
      <x:c r="BN86" s="141" t="n">
        <x:f>MAX(0,BK86)</x:f>
        <x:v>866501.0944631131</x:v>
      </x:c>
      <x:c r="BO86" s="141" t="n">
        <x:f>INDEX('Consorcio Direto'!$K$55:$K$534,$A86)</x:f>
        <x:v>238978.12251328642</x:v>
      </x:c>
      <x:c r="BP86" s="141" t="n">
        <x:f>IF($A86&lt;'Consorcio Direto'!$B$29,INDEX('Consorcio Direto'!$L$55:$L$534,$A86),$F86)</x:f>
        <x:v>296377.0604059557</x:v>
      </x:c>
      <x:c r="BQ86" s="141" t="n">
        <x:f>BN86+BP86-BO86</x:f>
        <x:v>923900.0323557825</x:v>
      </x:c>
      <x:c r="BR86" s="141" t="n">
        <x:f>IF(BM86&gt;1,"Inviavel",BQ86)</x:f>
        <x:v>923900.0323557825</x:v>
      </x:c>
      <x:c r="BS86" s="141" t="str">
        <x:f>IF(BM86&gt;1,"Inviavel","OK")</x:f>
        <x:v>OK</x:v>
      </x:c>
      <x:c r="BT86" s="141" t="n">
        <x:f>IF(AND('Carta Contemplada'!$B$22="Sim",$A86='Carta Contemplada'!$B$23),'Carta Contemplada'!$B$37,0)</x:f>
        <x:v>0</x:v>
      </x:c>
      <x:c r="BU86" s="141" t="n">
        <x:f>IF('Carta Contemplada'!$B$22="Sim",INDEX('Carta Contemplada'!$C$55:$C$1013,$A86),0)</x:f>
        <x:v>1702.2229347072005</x:v>
      </x:c>
      <x:c r="BV86" s="141" t="n">
        <x:f>IF(AND('Carta Contemplada'!$B$22="Sim",Premissas!$B$11="Imovel",Premissas!$B$47="Moradia",$A86&lt;MAX('Carta Contemplada'!$B$44,Premissas!$B$49)),$D86,0)</x:f>
        <x:v>0</x:v>
      </x:c>
      <x:c r="BW86" s="141" t="n">
        <x:f>IF(AND('Carta Contemplada'!$B$22="Sim",Premissas!$B$11="Imovel",Premissas!$B$47="Investimento",$A86&gt;=MAX('Carta Contemplada'!$B$44,Premissas!$B$49)),$E86,0)</x:f>
        <x:v>907.8522318438402</x:v>
      </x:c>
      <x:c r="BX86" s="141" t="n">
        <x:f>BT86+BU86+BV86</x:f>
        <x:v>1702.2229347072005</x:v>
      </x:c>
      <x:c r="BY86" s="141" t="n">
        <x:f>BW86</x:f>
        <x:v>907.8522318438402</x:v>
      </x:c>
      <x:c r="BZ86" s="141" t="n">
        <x:f>$C86+BY86-BX86</x:f>
        <x:v>6205.629297136639</x:v>
      </x:c>
      <x:c r="CA86" s="141" t="n">
        <x:f>CD85*(1+Premissas!$B$41)+BZ86</x:f>
        <x:v>874695.8659256139</x:v>
      </x:c>
      <x:c r="CB86" s="141" t="n">
        <x:f>MAX(0,-CA86)</x:f>
        <x:v>0</x:v>
      </x:c>
      <x:c r="CC86" s="141" t="n">
        <x:f>CC85*(1+Premissas!$B$41)+CB86</x:f>
        <x:v>0</x:v>
      </x:c>
      <x:c r="CD86" s="141" t="n">
        <x:f>MAX(0,CA86)</x:f>
        <x:v>874695.8659256139</x:v>
      </x:c>
      <x:c r="CE86" s="141" t="n">
        <x:f>IF(AND('Carta Contemplada'!$B$22="Sim",$A86&gt;='Carta Contemplada'!$B$23),INDEX('Carta Contemplada'!$I$55:$I$1013,$A86),0)</x:f>
        <x:v>136316.10414770758</x:v>
      </x:c>
      <x:c r="CF86" s="141" t="n">
        <x:f>IF(AND('Carta Contemplada'!$B$22="Sim",$A86&gt;='Carta Contemplada'!$B$44),$F86,0)</x:f>
        <x:v>296377.0604059557</x:v>
      </x:c>
      <x:c r="CG86" s="141" t="n">
        <x:f>CD86+CF86-CE86</x:f>
        <x:v>1034756.8221838621</x:v>
      </x:c>
      <x:c r="CH86" s="141" t="n">
        <x:f>IF(CC86&gt;1,"Inviavel",CG86)</x:f>
        <x:v>1034756.8221838621</x:v>
      </x:c>
      <x:c r="CI86" s="145" t="str">
        <x:f>IF(CC86&gt;1,"Inviavel","OK")</x:f>
        <x:v>OK</x:v>
      </x:c>
    </x:row>
    <x:row r="87">
      <x:c r="A87" s="142" t="n">
        <x:v>83</x:v>
      </x:c>
      <x:c r="B87" s="179" t="n">
        <x:f>EDATE(Premissas!$B$4,A87-1)</x:f>
        <x:v>49035</x:v>
      </x:c>
      <x:c r="C87" s="141" t="n">
        <x:f>IF(A87&lt;=Premissas!$B$39,Premissas!$B$42,0)</x:f>
        <x:v>7000</x:v>
      </x:c>
      <x:c r="D87" s="141" t="n">
        <x:f>Premissas!$B$54*(1+Premissas!$B$57)^INT((A87-1)/12)</x:f>
        <x:v>992.9633785792003</x:v>
      </x:c>
      <x:c r="E87" s="141" t="n">
        <x:f>Premissas!$B$64*(1+Premissas!$B$57)^INT((A87-1)/12)</x:f>
        <x:v>907.8522318438402</x:v>
      </x:c>
      <x:c r="F87" s="141" t="n">
        <x:f>MAX(0,Premissas!$B$6*(1+Premissas!$B$66)^((A87-1)/12))</x:f>
        <x:v>297819.6907338894</x:v>
      </x:c>
      <x:c r="G87" s="141" t="n">
        <x:f>G86*(1+Premissas!$B$41)+C87</x:f>
        <x:v>1073043.9376793173</x:v>
      </x:c>
      <x:c r="H87" s="141" t="n">
        <x:f>IF($A87=Premissas!$B$48,Premissas!$B$8,0)</x:f>
        <x:v>0</x:v>
      </x:c>
      <x:c r="I87" s="141" t="n">
        <x:f>IF(AND($A87&gt;=Premissas!$B$48,$A87-Premissas!$B$48+1&lt;=Premissas!$B$13),INDEX(Financiamento!$J$6:$J$485,$A87-Premissas!$B$48+1),0)</x:f>
        <x:v>1752.7474331006006</x:v>
      </x:c>
      <x:c r="J87" s="141" t="n">
        <x:f>IF(AND(TRUE,Premissas!$B$11="Imovel",Premissas!$B$47="Moradia",$A87&lt;MAX(Premissas!$B$48,Premissas!$B$49)),$D87,0)</x:f>
        <x:v>0</x:v>
      </x:c>
      <x:c r="K87" s="141" t="n">
        <x:f>IF(AND(TRUE,Premissas!$B$11="Imovel",Premissas!$B$47="Investimento",$A87&gt;=MAX(Premissas!$B$48,Premissas!$B$49)),$E87,0)</x:f>
        <x:v>907.8522318438402</x:v>
      </x:c>
      <x:c r="L87" s="141" t="n">
        <x:f>H87+I87+J87</x:f>
        <x:v>1752.7474331006006</x:v>
      </x:c>
      <x:c r="M87" s="141" t="n">
        <x:f>K87</x:f>
        <x:v>907.8522318438402</x:v>
      </x:c>
      <x:c r="N87" s="141" t="n">
        <x:f>$C87+M87-L87</x:f>
        <x:v>6155.104798743239</x:v>
      </x:c>
      <x:c r="O87" s="141" t="n">
        <x:f>R86*(1+Premissas!$B$41)+N87</x:f>
        <x:v>839040.2859222811</x:v>
      </x:c>
      <x:c r="P87" s="141" t="n">
        <x:f>MAX(0,-O87)</x:f>
        <x:v>0</x:v>
      </x:c>
      <x:c r="Q87" s="141" t="n">
        <x:f>Q86*(1+Premissas!$B$41)+P87</x:f>
        <x:v>0</x:v>
      </x:c>
      <x:c r="R87" s="141" t="n">
        <x:f>MAX(0,O87)</x:f>
        <x:v>839040.2859222811</x:v>
      </x:c>
      <x:c r="S87" s="141" t="n">
        <x:f>IF(AND($A87&gt;=Premissas!$B$48,$A87-Premissas!$B$48+1&lt;=Premissas!$B$13),INDEX(Financiamento!$M$6:$M$485,$A87-Premissas!$B$48+1),0)</x:f>
        <x:v>128380.9523809526</x:v>
      </x:c>
      <x:c r="T87" s="141" t="n">
        <x:f>IF($A87&gt;=Premissas!$B$48,$F87,0)</x:f>
        <x:v>297819.6907338894</x:v>
      </x:c>
      <x:c r="U87" s="141" t="n">
        <x:f>R87+T87-S87</x:f>
        <x:v>1008479.0242752179</x:v>
      </x:c>
      <x:c r="V87" s="141" t="n">
        <x:f>IF(Q87&gt;1,"Inviavel",U87)</x:f>
        <x:v>1008479.0242752179</x:v>
      </x:c>
      <x:c r="W87" s="141" t="str">
        <x:f>IF(Q87&gt;1,"Inviavel","OK")</x:f>
        <x:v>OK</x:v>
      </x:c>
      <x:c r="X87" s="141" t="n">
        <x:f>IF($A87=Premissas!$B$48,Premissas!$B$8,0)</x:f>
        <x:v>0</x:v>
      </x:c>
      <x:c r="Y87" s="141" t="n">
        <x:f>IF(AND($A87&gt;=Premissas!$B$48,$A87-Premissas!$B$48+1&lt;=Premissas!$B$13),INDEX(Amortizacao!$K$6:$K$485,$A87-Premissas!$B$48+1),0)</x:f>
        <x:v>0</x:v>
      </x:c>
      <x:c r="Z87" s="141" t="n">
        <x:f>IF(AND(TRUE,Premissas!$B$11="Imovel",Premissas!$B$47="Moradia",$A87&lt;MAX(Premissas!$B$48,Premissas!$B$49)),$D87,0)</x:f>
        <x:v>0</x:v>
      </x:c>
      <x:c r="AA87" s="141" t="n">
        <x:f>IF(AND(TRUE,Premissas!$B$11="Imovel",Premissas!$B$47="Investimento",$A87&gt;=MAX(Premissas!$B$48,Premissas!$B$49)),$E87,0)</x:f>
        <x:v>907.8522318438402</x:v>
      </x:c>
      <x:c r="AB87" s="141" t="n">
        <x:f>X87+Y87+Z87</x:f>
        <x:v>0</x:v>
      </x:c>
      <x:c r="AC87" s="141" t="n">
        <x:f>AA87</x:f>
        <x:v>907.8522318438402</x:v>
      </x:c>
      <x:c r="AD87" s="141" t="n">
        <x:f>$C87+AC87-AB87</x:f>
        <x:v>7907.85223184384</x:v>
      </x:c>
      <x:c r="AE87" s="141" t="n">
        <x:f>AH86*(1+Premissas!$B$41)+AD87</x:f>
        <x:v>721677.7346593612</x:v>
      </x:c>
      <x:c r="AF87" s="141" t="n">
        <x:f>MAX(0,-AE87)</x:f>
        <x:v>0</x:v>
      </x:c>
      <x:c r="AG87" s="141" t="n">
        <x:f>AG86*(1+Premissas!$B$41)+AF87</x:f>
        <x:v>0</x:v>
      </x:c>
      <x:c r="AH87" s="141" t="n">
        <x:f>MAX(0,AE87)</x:f>
        <x:v>721677.7346593612</x:v>
      </x:c>
      <x:c r="AI87" s="141" t="n">
        <x:f>IF(AND($A87&gt;=Premissas!$B$48,$A87-Premissas!$B$48+1&lt;=Premissas!$B$13),INDEX(Amortizacao!$L$6:$L$485,$A87-Premissas!$B$48+1),0)</x:f>
        <x:v>0</x:v>
      </x:c>
      <x:c r="AJ87" s="141" t="n">
        <x:f>IF($A87&gt;=Premissas!$B$48,$F87,0)</x:f>
        <x:v>297819.6907338894</x:v>
      </x:c>
      <x:c r="AK87" s="141" t="n">
        <x:f>AH87+AJ87-AI87</x:f>
        <x:v>1019497.4253932505</x:v>
      </x:c>
      <x:c r="AL87" s="141" t="n">
        <x:f>IF(AG87&gt;1,"Inviavel",AK87)</x:f>
        <x:v>1019497.4253932505</x:v>
      </x:c>
      <x:c r="AM87" s="141" t="str">
        <x:f>IF(AG87&gt;1,"Inviavel","OK")</x:f>
        <x:v>OK</x:v>
      </x:c>
      <x:c r="AN87" s="141" t="n">
        <x:f>IF($A87=Premissas!$B$48,Premissas!$B$8,0)</x:f>
        <x:v>0</x:v>
      </x:c>
      <x:c r="AO87" s="141" t="n">
        <x:f>IF($A87&lt;=Premissas!$B$25,INDEX('Consorcio IQ'!$K$6:$K$485,$A87),0)</x:f>
        <x:v>809.2167200000016</x:v>
      </x:c>
      <x:c r="AP87" s="141" t="n">
        <x:f>IF(AND(TRUE,Premissas!$B$11="Imovel",Premissas!$B$47="Moradia",$A87&lt;MAX(Premissas!$B$48,Premissas!$B$49)),$D87,0)</x:f>
        <x:v>0</x:v>
      </x:c>
      <x:c r="AQ87" s="141" t="n">
        <x:f>IF(AND(TRUE,Premissas!$B$11="Imovel",Premissas!$B$47="Investimento",$A87&gt;=MAX(Premissas!$B$48,Premissas!$B$49)),$E87,0)</x:f>
        <x:v>907.8522318438402</x:v>
      </x:c>
      <x:c r="AR87" s="141" t="n">
        <x:f>AN87+AO87+AP87</x:f>
        <x:v>809.2167200000016</x:v>
      </x:c>
      <x:c r="AS87" s="141" t="n">
        <x:f>AQ87</x:f>
        <x:v>907.8522318438402</x:v>
      </x:c>
      <x:c r="AT87" s="141" t="n">
        <x:f>$C87+AS87-AR87</x:f>
        <x:v>7098.635511843839</x:v>
      </x:c>
      <x:c r="AU87" s="141" t="n">
        <x:f>AX86*(1+Premissas!$B$41)+AT87</x:f>
        <x:v>801494.4468100597</x:v>
      </x:c>
      <x:c r="AV87" s="141" t="n">
        <x:f>MAX(0,-AU87)</x:f>
        <x:v>0</x:v>
      </x:c>
      <x:c r="AW87" s="141" t="n">
        <x:f>AW86*(1+Premissas!$B$41)+AV87</x:f>
        <x:v>0</x:v>
      </x:c>
      <x:c r="AX87" s="141" t="n">
        <x:f>MAX(0,AU87)</x:f>
        <x:v>801494.4468100597</x:v>
      </x:c>
      <x:c r="AY87" s="141" t="n">
        <x:f>INDEX('Consorcio IQ'!$P$6:$P$485,$A87)</x:f>
        <x:v>92353.81292634388</x:v>
      </x:c>
      <x:c r="AZ87" s="141" t="n">
        <x:f>IF($A87&gt;=Premissas!$B$48,$F87,0)+IF($A87&lt;Premissas!$B$27,INDEX('Consorcio IQ'!$O$6:$O$485,$A87),0)</x:f>
        <x:v>297819.6907338894</x:v>
      </x:c>
      <x:c r="BA87" s="141" t="n">
        <x:f>AX87+AZ87-AY87</x:f>
        <x:v>1006960.3246176052</x:v>
      </x:c>
      <x:c r="BB87" s="141" t="n">
        <x:f>IF(AW87&gt;1,"Inviavel",BA87)</x:f>
        <x:v>1006960.3246176052</x:v>
      </x:c>
      <x:c r="BC87" s="141" t="str">
        <x:f>IF(AW87&gt;1,"Inviavel","OK")</x:f>
        <x:v>OK</x:v>
      </x:c>
      <x:c r="BD87" s="141" t="n">
        <x:f>IF($A87='Consorcio Direto'!$B$29,'Consorcio Direto'!$B$44,0)</x:f>
        <x:v>0</x:v>
      </x:c>
      <x:c r="BE87" s="141" t="n">
        <x:f>IF($A87&lt;='Consorcio Direto'!$B$27,INDEX('Consorcio Direto'!$E$55:$E$534,$A87),0)</x:f>
        <x:v>2095.467314576897</x:v>
      </x:c>
      <x:c r="BF87" s="141" t="n">
        <x:f>IF(AND(TRUE,Premissas!$B$11="Imovel",Premissas!$B$47="Moradia",$A87&lt;MAX('Consorcio Direto'!$B$29,Premissas!$B$49)),$D87,0)</x:f>
        <x:v>0</x:v>
      </x:c>
      <x:c r="BG87" s="141" t="n">
        <x:f>IF(AND(TRUE,Premissas!$B$11="Imovel",Premissas!$B$47="Investimento",$A87&gt;=MAX('Consorcio Direto'!$B$29,Premissas!$B$49)),$E87,0)</x:f>
        <x:v>907.8522318438402</x:v>
      </x:c>
      <x:c r="BH87" s="141" t="n">
        <x:f>BD87+BE87+BF87</x:f>
        <x:v>2095.467314576897</x:v>
      </x:c>
      <x:c r="BI87" s="141" t="n">
        <x:f>BG87</x:f>
        <x:v>907.8522318438402</x:v>
      </x:c>
      <x:c r="BJ87" s="141" t="n">
        <x:f>$C87+BI87-BH87</x:f>
        <x:v>5812.384917266943</x:v>
      </x:c>
      <x:c r="BK87" s="141" t="n">
        <x:f>BN86*(1+Premissas!$B$41)+BJ87</x:f>
        <x:v>880535.5288433301</x:v>
      </x:c>
      <x:c r="BL87" s="141" t="n">
        <x:f>MAX(0,-BK87)</x:f>
        <x:v>0</x:v>
      </x:c>
      <x:c r="BM87" s="141" t="n">
        <x:f>BM86*(1+Premissas!$B$41)+BL87</x:f>
        <x:v>0</x:v>
      </x:c>
      <x:c r="BN87" s="141" t="n">
        <x:f>MAX(0,BK87)</x:f>
        <x:v>880535.5288433301</x:v>
      </x:c>
      <x:c r="BO87" s="141" t="n">
        <x:f>INDEX('Consorcio Direto'!$K$55:$K$534,$A87)</x:f>
        <x:v>239150.2691191335</x:v>
      </x:c>
      <x:c r="BP87" s="141" t="n">
        <x:f>IF($A87&lt;'Consorcio Direto'!$B$29,INDEX('Consorcio Direto'!$L$55:$L$534,$A87),$F87)</x:f>
        <x:v>297819.6907338894</x:v>
      </x:c>
      <x:c r="BQ87" s="141" t="n">
        <x:f>BN87+BP87-BO87</x:f>
        <x:v>939204.9504580861</x:v>
      </x:c>
      <x:c r="BR87" s="141" t="n">
        <x:f>IF(BM87&gt;1,"Inviavel",BQ87)</x:f>
        <x:v>939204.9504580861</x:v>
      </x:c>
      <x:c r="BS87" s="141" t="str">
        <x:f>IF(BM87&gt;1,"Inviavel","OK")</x:f>
        <x:v>OK</x:v>
      </x:c>
      <x:c r="BT87" s="141" t="n">
        <x:f>IF(AND('Carta Contemplada'!$B$22="Sim",$A87='Carta Contemplada'!$B$23),'Carta Contemplada'!$B$37,0)</x:f>
        <x:v>0</x:v>
      </x:c>
      <x:c r="BU87" s="141" t="n">
        <x:f>IF('Carta Contemplada'!$B$22="Sim",INDEX('Carta Contemplada'!$C$55:$C$1013,$A87),0)</x:f>
        <x:v>1702.2229347072005</x:v>
      </x:c>
      <x:c r="BV87" s="141" t="n">
        <x:f>IF(AND('Carta Contemplada'!$B$22="Sim",Premissas!$B$11="Imovel",Premissas!$B$47="Moradia",$A87&lt;MAX('Carta Contemplada'!$B$44,Premissas!$B$49)),$D87,0)</x:f>
        <x:v>0</x:v>
      </x:c>
      <x:c r="BW87" s="141" t="n">
        <x:f>IF(AND('Carta Contemplada'!$B$22="Sim",Premissas!$B$11="Imovel",Premissas!$B$47="Investimento",$A87&gt;=MAX('Carta Contemplada'!$B$44,Premissas!$B$49)),$E87,0)</x:f>
        <x:v>907.8522318438402</x:v>
      </x:c>
      <x:c r="BX87" s="141" t="n">
        <x:f>BT87+BU87+BV87</x:f>
        <x:v>1702.2229347072005</x:v>
      </x:c>
      <x:c r="BY87" s="141" t="n">
        <x:f>BW87</x:f>
        <x:v>907.8522318438402</x:v>
      </x:c>
      <x:c r="BZ87" s="141" t="n">
        <x:f>$C87+BY87-BX87</x:f>
        <x:v>6205.629297136639</x:v>
      </x:c>
      <x:c r="CA87" s="141" t="n">
        <x:f>CD86*(1+Premissas!$B$41)+BZ87</x:f>
        <x:v>889201.3031752545</x:v>
      </x:c>
      <x:c r="CB87" s="141" t="n">
        <x:f>MAX(0,-CA87)</x:f>
        <x:v>0</x:v>
      </x:c>
      <x:c r="CC87" s="141" t="n">
        <x:f>CC86*(1+Premissas!$B$41)+CB87</x:f>
        <x:v>0</x:v>
      </x:c>
      <x:c r="CD87" s="141" t="n">
        <x:f>MAX(0,CA87)</x:f>
        <x:v>889201.3031752545</x:v>
      </x:c>
      <x:c r="CE87" s="141" t="n">
        <x:f>IF(AND('Carta Contemplada'!$B$22="Sim",$A87&gt;='Carta Contemplada'!$B$23),INDEX('Carta Contemplada'!$I$55:$I$1013,$A87),0)</x:f>
        <x:v>135907.35649890703</x:v>
      </x:c>
      <x:c r="CF87" s="141" t="n">
        <x:f>IF(AND('Carta Contemplada'!$B$22="Sim",$A87&gt;='Carta Contemplada'!$B$44),$F87,0)</x:f>
        <x:v>297819.6907338894</x:v>
      </x:c>
      <x:c r="CG87" s="141" t="n">
        <x:f>CD87+CF87-CE87</x:f>
        <x:v>1051113.6374102368</x:v>
      </x:c>
      <x:c r="CH87" s="141" t="n">
        <x:f>IF(CC87&gt;1,"Inviavel",CG87)</x:f>
        <x:v>1051113.6374102368</x:v>
      </x:c>
      <x:c r="CI87" s="145" t="str">
        <x:f>IF(CC87&gt;1,"Inviavel","OK")</x:f>
        <x:v>OK</x:v>
      </x:c>
    </x:row>
    <x:row r="88">
      <x:c r="A88" s="142" t="n">
        <x:v>84</x:v>
      </x:c>
      <x:c r="B88" s="179" t="n">
        <x:f>EDATE(Premissas!$B$4,A88-1)</x:f>
        <x:v>49065</x:v>
      </x:c>
      <x:c r="C88" s="141" t="n">
        <x:f>IF(A88&lt;=Premissas!$B$39,Premissas!$B$42,0)</x:f>
        <x:v>7000</x:v>
      </x:c>
      <x:c r="D88" s="141" t="n">
        <x:f>Premissas!$B$54*(1+Premissas!$B$57)^INT((A88-1)/12)</x:f>
        <x:v>992.9633785792003</x:v>
      </x:c>
      <x:c r="E88" s="141" t="n">
        <x:f>Premissas!$B$64*(1+Premissas!$B$57)^INT((A88-1)/12)</x:f>
        <x:v>907.8522318438402</x:v>
      </x:c>
      <x:c r="F88" s="141" t="n">
        <x:f>MAX(0,Premissas!$B$6*(1+Premissas!$B$66)^((A88-1)/12))</x:f>
        <x:v>299269.34313789144</x:v>
      </x:c>
      <x:c r="G88" s="141" t="n">
        <x:f>G87*(1+Premissas!$B$41)+C88</x:f>
        <x:v>1090225.829413666</x:v>
      </x:c>
      <x:c r="H88" s="141" t="n">
        <x:f>IF($A88=Premissas!$B$48,Premissas!$B$8,0)</x:f>
        <x:v>0</x:v>
      </x:c>
      <x:c r="I88" s="141" t="n">
        <x:f>IF(AND($A88&gt;=Premissas!$B$48,$A88-Premissas!$B$48+1&lt;=Premissas!$B$13),INDEX(Financiamento!$J$6:$J$485,$A88-Premissas!$B$48+1),0)</x:f>
        <x:v>1749.1326548398072</x:v>
      </x:c>
      <x:c r="J88" s="141" t="n">
        <x:f>IF(AND(TRUE,Premissas!$B$11="Imovel",Premissas!$B$47="Moradia",$A88&lt;MAX(Premissas!$B$48,Premissas!$B$49)),$D88,0)</x:f>
        <x:v>0</x:v>
      </x:c>
      <x:c r="K88" s="141" t="n">
        <x:f>IF(AND(TRUE,Premissas!$B$11="Imovel",Premissas!$B$47="Investimento",$A88&gt;=MAX(Premissas!$B$48,Premissas!$B$49)),$E88,0)</x:f>
        <x:v>907.8522318438402</x:v>
      </x:c>
      <x:c r="L88" s="141" t="n">
        <x:f>H88+I88+J88</x:f>
        <x:v>1749.1326548398072</x:v>
      </x:c>
      <x:c r="M88" s="141" t="n">
        <x:f>K88</x:f>
        <x:v>907.8522318438402</x:v>
      </x:c>
      <x:c r="N88" s="141" t="n">
        <x:f>$C88+M88-L88</x:f>
        <x:v>6158.7195770040325</x:v>
      </x:c>
      <x:c r="O88" s="141" t="n">
        <x:f>R87*(1+Premissas!$B$41)+N88</x:f>
        <x:v>853160.4850361751</x:v>
      </x:c>
      <x:c r="P88" s="141" t="n">
        <x:f>MAX(0,-O88)</x:f>
        <x:v>0</x:v>
      </x:c>
      <x:c r="Q88" s="141" t="n">
        <x:f>Q87*(1+Premissas!$B$41)+P88</x:f>
        <x:v>0</x:v>
      </x:c>
      <x:c r="R88" s="141" t="n">
        <x:f>MAX(0,O88)</x:f>
        <x:v>853160.4850361751</x:v>
      </x:c>
      <x:c r="S88" s="141" t="n">
        <x:f>IF(AND($A88&gt;=Premissas!$B$48,$A88-Premissas!$B$48+1&lt;=Premissas!$B$13),INDEX(Financiamento!$M$6:$M$485,$A88-Premissas!$B$48+1),0)</x:f>
        <x:v>128000.00000000022</x:v>
      </x:c>
      <x:c r="T88" s="141" t="n">
        <x:f>IF($A88&gt;=Premissas!$B$48,$F88,0)</x:f>
        <x:v>299269.34313789144</x:v>
      </x:c>
      <x:c r="U88" s="141" t="n">
        <x:f>R88+T88-S88</x:f>
        <x:v>1024429.8281740663</x:v>
      </x:c>
      <x:c r="V88" s="141" t="n">
        <x:f>IF(Q88&gt;1,"Inviavel",U88)</x:f>
        <x:v>1024429.8281740663</x:v>
      </x:c>
      <x:c r="W88" s="141" t="str">
        <x:f>IF(Q88&gt;1,"Inviavel","OK")</x:f>
        <x:v>OK</x:v>
      </x:c>
      <x:c r="X88" s="141" t="n">
        <x:f>IF($A88=Premissas!$B$48,Premissas!$B$8,0)</x:f>
        <x:v>0</x:v>
      </x:c>
      <x:c r="Y88" s="141" t="n">
        <x:f>IF(AND($A88&gt;=Premissas!$B$48,$A88-Premissas!$B$48+1&lt;=Premissas!$B$13),INDEX(Amortizacao!$K$6:$K$485,$A88-Premissas!$B$48+1),0)</x:f>
        <x:v>0</x:v>
      </x:c>
      <x:c r="Z88" s="141" t="n">
        <x:f>IF(AND(TRUE,Premissas!$B$11="Imovel",Premissas!$B$47="Moradia",$A88&lt;MAX(Premissas!$B$48,Premissas!$B$49)),$D88,0)</x:f>
        <x:v>0</x:v>
      </x:c>
      <x:c r="AA88" s="141" t="n">
        <x:f>IF(AND(TRUE,Premissas!$B$11="Imovel",Premissas!$B$47="Investimento",$A88&gt;=MAX(Premissas!$B$48,Premissas!$B$49)),$E88,0)</x:f>
        <x:v>907.8522318438402</x:v>
      </x:c>
      <x:c r="AB88" s="141" t="n">
        <x:f>X88+Y88+Z88</x:f>
        <x:v>0</x:v>
      </x:c>
      <x:c r="AC88" s="141" t="n">
        <x:f>AA88</x:f>
        <x:v>907.8522318438402</x:v>
      </x:c>
      <x:c r="AD88" s="141" t="n">
        <x:f>$C88+AC88-AB88</x:f>
        <x:v>7907.85223184384</x:v>
      </x:c>
      <x:c r="AE88" s="141" t="n">
        <x:f>AH87*(1+Premissas!$B$41)+AD88</x:f>
        <x:v>736433.4374808867</x:v>
      </x:c>
      <x:c r="AF88" s="141" t="n">
        <x:f>MAX(0,-AE88)</x:f>
        <x:v>0</x:v>
      </x:c>
      <x:c r="AG88" s="141" t="n">
        <x:f>AG87*(1+Premissas!$B$41)+AF88</x:f>
        <x:v>0</x:v>
      </x:c>
      <x:c r="AH88" s="141" t="n">
        <x:f>MAX(0,AE88)</x:f>
        <x:v>736433.4374808867</x:v>
      </x:c>
      <x:c r="AI88" s="141" t="n">
        <x:f>IF(AND($A88&gt;=Premissas!$B$48,$A88-Premissas!$B$48+1&lt;=Premissas!$B$13),INDEX(Amortizacao!$L$6:$L$485,$A88-Premissas!$B$48+1),0)</x:f>
        <x:v>0</x:v>
      </x:c>
      <x:c r="AJ88" s="141" t="n">
        <x:f>IF($A88&gt;=Premissas!$B$48,$F88,0)</x:f>
        <x:v>299269.34313789144</x:v>
      </x:c>
      <x:c r="AK88" s="141" t="n">
        <x:f>AH88+AJ88-AI88</x:f>
        <x:v>1035702.7806187782</x:v>
      </x:c>
      <x:c r="AL88" s="141" t="n">
        <x:f>IF(AG88&gt;1,"Inviavel",AK88)</x:f>
        <x:v>1035702.7806187782</x:v>
      </x:c>
      <x:c r="AM88" s="141" t="str">
        <x:f>IF(AG88&gt;1,"Inviavel","OK")</x:f>
        <x:v>OK</x:v>
      </x:c>
      <x:c r="AN88" s="141" t="n">
        <x:f>IF($A88=Premissas!$B$48,Premissas!$B$8,0)</x:f>
        <x:v>0</x:v>
      </x:c>
      <x:c r="AO88" s="141" t="n">
        <x:f>IF($A88&lt;=Premissas!$B$25,INDEX('Consorcio IQ'!$K$6:$K$485,$A88),0)</x:f>
        <x:v>809.2167200000016</x:v>
      </x:c>
      <x:c r="AP88" s="141" t="n">
        <x:f>IF(AND(TRUE,Premissas!$B$11="Imovel",Premissas!$B$47="Moradia",$A88&lt;MAX(Premissas!$B$48,Premissas!$B$49)),$D88,0)</x:f>
        <x:v>0</x:v>
      </x:c>
      <x:c r="AQ88" s="141" t="n">
        <x:f>IF(AND(TRUE,Premissas!$B$11="Imovel",Premissas!$B$47="Investimento",$A88&gt;=MAX(Premissas!$B$48,Premissas!$B$49)),$E88,0)</x:f>
        <x:v>907.8522318438402</x:v>
      </x:c>
      <x:c r="AR88" s="141" t="n">
        <x:f>AN88+AO88+AP88</x:f>
        <x:v>809.2167200000016</x:v>
      </x:c>
      <x:c r="AS88" s="141" t="n">
        <x:f>AQ88</x:f>
        <x:v>907.8522318438402</x:v>
      </x:c>
      <x:c r="AT88" s="141" t="n">
        <x:f>$C88+AS88-AR88</x:f>
        <x:v>7098.635511843839</x:v>
      </x:c>
      <x:c r="AU88" s="141" t="n">
        <x:f>AX87*(1+Premissas!$B$41)+AT88</x:f>
        <x:v>816198.2971659024</x:v>
      </x:c>
      <x:c r="AV88" s="141" t="n">
        <x:f>MAX(0,-AU88)</x:f>
        <x:v>0</x:v>
      </x:c>
      <x:c r="AW88" s="141" t="n">
        <x:f>AW87*(1+Premissas!$B$41)+AV88</x:f>
        <x:v>0</x:v>
      </x:c>
      <x:c r="AX88" s="141" t="n">
        <x:f>MAX(0,AU88)</x:f>
        <x:v>816198.2971659024</x:v>
      </x:c>
      <x:c r="AY88" s="141" t="n">
        <x:f>INDEX('Consorcio IQ'!$P$6:$P$485,$A88)</x:f>
        <x:v>92420.92241392117</x:v>
      </x:c>
      <x:c r="AZ88" s="141" t="n">
        <x:f>IF($A88&gt;=Premissas!$B$48,$F88,0)+IF($A88&lt;Premissas!$B$27,INDEX('Consorcio IQ'!$O$6:$O$485,$A88),0)</x:f>
        <x:v>299269.34313789144</x:v>
      </x:c>
      <x:c r="BA88" s="141" t="n">
        <x:f>AX88+AZ88-AY88</x:f>
        <x:v>1023046.7178898726</x:v>
      </x:c>
      <x:c r="BB88" s="141" t="n">
        <x:f>IF(AW88&gt;1,"Inviavel",BA88)</x:f>
        <x:v>1023046.7178898726</x:v>
      </x:c>
      <x:c r="BC88" s="141" t="str">
        <x:f>IF(AW88&gt;1,"Inviavel","OK")</x:f>
        <x:v>OK</x:v>
      </x:c>
      <x:c r="BD88" s="141" t="n">
        <x:f>IF($A88='Consorcio Direto'!$B$29,'Consorcio Direto'!$B$44,0)</x:f>
        <x:v>0</x:v>
      </x:c>
      <x:c r="BE88" s="141" t="n">
        <x:f>IF($A88&lt;='Consorcio Direto'!$B$27,INDEX('Consorcio Direto'!$E$55:$E$534,$A88),0)</x:f>
        <x:v>2095.467314576897</x:v>
      </x:c>
      <x:c r="BF88" s="141" t="n">
        <x:f>IF(AND(TRUE,Premissas!$B$11="Imovel",Premissas!$B$47="Moradia",$A88&lt;MAX('Consorcio Direto'!$B$29,Premissas!$B$49)),$D88,0)</x:f>
        <x:v>0</x:v>
      </x:c>
      <x:c r="BG88" s="141" t="n">
        <x:f>IF(AND(TRUE,Premissas!$B$11="Imovel",Premissas!$B$47="Investimento",$A88&gt;=MAX('Consorcio Direto'!$B$29,Premissas!$B$49)),$E88,0)</x:f>
        <x:v>907.8522318438402</x:v>
      </x:c>
      <x:c r="BH88" s="141" t="n">
        <x:f>BD88+BE88+BF88</x:f>
        <x:v>2095.467314576897</x:v>
      </x:c>
      <x:c r="BI88" s="141" t="n">
        <x:f>BG88</x:f>
        <x:v>907.8522318438402</x:v>
      </x:c>
      <x:c r="BJ88" s="141" t="n">
        <x:f>$C88+BI88-BH88</x:f>
        <x:v>5812.384917266943</x:v>
      </x:c>
      <x:c r="BK88" s="141" t="n">
        <x:f>BN87*(1+Premissas!$B$41)+BJ88</x:f>
        <x:v>894703.133065335</x:v>
      </x:c>
      <x:c r="BL88" s="141" t="n">
        <x:f>MAX(0,-BK88)</x:f>
        <x:v>0</x:v>
      </x:c>
      <x:c r="BM88" s="141" t="n">
        <x:f>BM87*(1+Premissas!$B$41)+BL88</x:f>
        <x:v>0</x:v>
      </x:c>
      <x:c r="BN88" s="141" t="n">
        <x:f>MAX(0,BK88)</x:f>
        <x:v>894703.133065335</x:v>
      </x:c>
      <x:c r="BO88" s="141" t="n">
        <x:f>INDEX('Consorcio Direto'!$K$55:$K$534,$A88)</x:f>
        <x:v>239324.04918847786</x:v>
      </x:c>
      <x:c r="BP88" s="141" t="n">
        <x:f>IF($A88&lt;'Consorcio Direto'!$B$29,INDEX('Consorcio Direto'!$L$55:$L$534,$A88),$F88)</x:f>
        <x:v>299269.34313789144</x:v>
      </x:c>
      <x:c r="BQ88" s="141" t="n">
        <x:f>BN88+BP88-BO88</x:f>
        <x:v>954648.4270147486</x:v>
      </x:c>
      <x:c r="BR88" s="141" t="n">
        <x:f>IF(BM88&gt;1,"Inviavel",BQ88)</x:f>
        <x:v>954648.4270147486</x:v>
      </x:c>
      <x:c r="BS88" s="141" t="str">
        <x:f>IF(BM88&gt;1,"Inviavel","OK")</x:f>
        <x:v>OK</x:v>
      </x:c>
      <x:c r="BT88" s="141" t="n">
        <x:f>IF(AND('Carta Contemplada'!$B$22="Sim",$A88='Carta Contemplada'!$B$23),'Carta Contemplada'!$B$37,0)</x:f>
        <x:v>0</x:v>
      </x:c>
      <x:c r="BU88" s="141" t="n">
        <x:f>IF('Carta Contemplada'!$B$22="Sim",INDEX('Carta Contemplada'!$C$55:$C$1013,$A88),0)</x:f>
        <x:v>1702.2229347072005</x:v>
      </x:c>
      <x:c r="BV88" s="141" t="n">
        <x:f>IF(AND('Carta Contemplada'!$B$22="Sim",Premissas!$B$11="Imovel",Premissas!$B$47="Moradia",$A88&lt;MAX('Carta Contemplada'!$B$44,Premissas!$B$49)),$D88,0)</x:f>
        <x:v>0</x:v>
      </x:c>
      <x:c r="BW88" s="141" t="n">
        <x:f>IF(AND('Carta Contemplada'!$B$22="Sim",Premissas!$B$11="Imovel",Premissas!$B$47="Investimento",$A88&gt;=MAX('Carta Contemplada'!$B$44,Premissas!$B$49)),$E88,0)</x:f>
        <x:v>907.8522318438402</x:v>
      </x:c>
      <x:c r="BX88" s="141" t="n">
        <x:f>BT88+BU88+BV88</x:f>
        <x:v>1702.2229347072005</x:v>
      </x:c>
      <x:c r="BY88" s="141" t="n">
        <x:f>BW88</x:f>
        <x:v>907.8522318438402</x:v>
      </x:c>
      <x:c r="BZ88" s="141" t="n">
        <x:f>$C88+BY88-BX88</x:f>
        <x:v>6205.629297136639</x:v>
      </x:c>
      <x:c r="CA88" s="141" t="n">
        <x:f>CD87*(1+Premissas!$B$41)+BZ88</x:f>
        <x:v>903844.3795153826</x:v>
      </x:c>
      <x:c r="CB88" s="141" t="n">
        <x:f>MAX(0,-CA88)</x:f>
        <x:v>0</x:v>
      </x:c>
      <x:c r="CC88" s="141" t="n">
        <x:f>CC87*(1+Premissas!$B$41)+CB88</x:f>
        <x:v>0</x:v>
      </x:c>
      <x:c r="CD88" s="141" t="n">
        <x:f>MAX(0,CA88)</x:f>
        <x:v>903844.3795153826</x:v>
      </x:c>
      <x:c r="CE88" s="141" t="n">
        <x:f>IF(AND('Carta Contemplada'!$B$22="Sim",$A88&gt;='Carta Contemplada'!$B$23),INDEX('Carta Contemplada'!$I$55:$I$1013,$A88),0)</x:f>
        <x:v>135494.73032830452</x:v>
      </x:c>
      <x:c r="CF88" s="141" t="n">
        <x:f>IF(AND('Carta Contemplada'!$B$22="Sim",$A88&gt;='Carta Contemplada'!$B$44),$F88,0)</x:f>
        <x:v>299269.34313789144</x:v>
      </x:c>
      <x:c r="CG88" s="141" t="n">
        <x:f>CD88+CF88-CE88</x:f>
        <x:v>1067618.9923249695</x:v>
      </x:c>
      <x:c r="CH88" s="141" t="n">
        <x:f>IF(CC88&gt;1,"Inviavel",CG88)</x:f>
        <x:v>1067618.9923249695</x:v>
      </x:c>
      <x:c r="CI88" s="145" t="str">
        <x:f>IF(CC88&gt;1,"Inviavel","OK")</x:f>
        <x:v>OK</x:v>
      </x:c>
    </x:row>
    <x:row r="89">
      <x:c r="A89" s="142" t="n">
        <x:v>85</x:v>
      </x:c>
      <x:c r="B89" s="179" t="n">
        <x:f>EDATE(Premissas!$B$4,A89-1)</x:f>
        <x:v>49096</x:v>
      </x:c>
      <x:c r="C89" s="141" t="n">
        <x:f>IF(A89&lt;=Premissas!$B$39,Premissas!$B$42,0)</x:f>
        <x:v>7000</x:v>
      </x:c>
      <x:c r="D89" s="141" t="n">
        <x:f>Premissas!$B$54*(1+Premissas!$B$57)^INT((A89-1)/12)</x:f>
        <x:v>1052.5411812939524</x:v>
      </x:c>
      <x:c r="E89" s="141" t="n">
        <x:f>Premissas!$B$64*(1+Premissas!$B$57)^INT((A89-1)/12)</x:f>
        <x:v>962.3233657544708</x:v>
      </x:c>
      <x:c r="F89" s="141" t="n">
        <x:f>MAX(0,Premissas!$B$6*(1+Premissas!$B$66)^((A89-1)/12))</x:f>
        <x:v>300726.0517982721</x:v>
      </x:c>
      <x:c r="G89" s="141" t="n">
        <x:f>G88*(1+Premissas!$B$41)+C89</x:f>
        <x:v>1107570.7565609063</x:v>
      </x:c>
      <x:c r="H89" s="141" t="n">
        <x:f>IF($A89=Premissas!$B$48,Premissas!$B$8,0)</x:f>
        <x:v>0</x:v>
      </x:c>
      <x:c r="I89" s="141" t="n">
        <x:f>IF(AND($A89&gt;=Premissas!$B$48,$A89-Premissas!$B$48+1&lt;=Premissas!$B$13),INDEX(Financiamento!$J$6:$J$485,$A89-Premissas!$B$48+1),0)</x:f>
        <x:v>1745.5178765790135</x:v>
      </x:c>
      <x:c r="J89" s="141" t="n">
        <x:f>IF(AND(TRUE,Premissas!$B$11="Imovel",Premissas!$B$47="Moradia",$A89&lt;MAX(Premissas!$B$48,Premissas!$B$49)),$D89,0)</x:f>
        <x:v>0</x:v>
      </x:c>
      <x:c r="K89" s="141" t="n">
        <x:f>IF(AND(TRUE,Premissas!$B$11="Imovel",Premissas!$B$47="Investimento",$A89&gt;=MAX(Premissas!$B$48,Premissas!$B$49)),$E89,0)</x:f>
        <x:v>962.3233657544708</x:v>
      </x:c>
      <x:c r="L89" s="141" t="n">
        <x:f>H89+I89+J89</x:f>
        <x:v>1745.5178765790135</x:v>
      </x:c>
      <x:c r="M89" s="141" t="n">
        <x:f>K89</x:f>
        <x:v>962.3233657544708</x:v>
      </x:c>
      <x:c r="N89" s="141" t="n">
        <x:f>$C89+M89-L89</x:f>
        <x:v>6216.805489175457</x:v>
      </x:c>
      <x:c r="O89" s="141" t="n">
        <x:f>R88*(1+Premissas!$B$41)+N89</x:f>
        <x:v>867472.7537078273</x:v>
      </x:c>
      <x:c r="P89" s="141" t="n">
        <x:f>MAX(0,-O89)</x:f>
        <x:v>0</x:v>
      </x:c>
      <x:c r="Q89" s="141" t="n">
        <x:f>Q88*(1+Premissas!$B$41)+P89</x:f>
        <x:v>0</x:v>
      </x:c>
      <x:c r="R89" s="141" t="n">
        <x:f>MAX(0,O89)</x:f>
        <x:v>867472.7537078273</x:v>
      </x:c>
      <x:c r="S89" s="141" t="n">
        <x:f>IF(AND($A89&gt;=Premissas!$B$48,$A89-Premissas!$B$48+1&lt;=Premissas!$B$13),INDEX(Financiamento!$M$6:$M$485,$A89-Premissas!$B$48+1),0)</x:f>
        <x:v>127619.04761904784</x:v>
      </x:c>
      <x:c r="T89" s="141" t="n">
        <x:f>IF($A89&gt;=Premissas!$B$48,$F89,0)</x:f>
        <x:v>300726.0517982721</x:v>
      </x:c>
      <x:c r="U89" s="141" t="n">
        <x:f>R89+T89-S89</x:f>
        <x:v>1040579.7578870517</x:v>
      </x:c>
      <x:c r="V89" s="141" t="n">
        <x:f>IF(Q89&gt;1,"Inviavel",U89)</x:f>
        <x:v>1040579.7578870517</x:v>
      </x:c>
      <x:c r="W89" s="141" t="str">
        <x:f>IF(Q89&gt;1,"Inviavel","OK")</x:f>
        <x:v>OK</x:v>
      </x:c>
      <x:c r="X89" s="141" t="n">
        <x:f>IF($A89=Premissas!$B$48,Premissas!$B$8,0)</x:f>
        <x:v>0</x:v>
      </x:c>
      <x:c r="Y89" s="141" t="n">
        <x:f>IF(AND($A89&gt;=Premissas!$B$48,$A89-Premissas!$B$48+1&lt;=Premissas!$B$13),INDEX(Amortizacao!$K$6:$K$485,$A89-Premissas!$B$48+1),0)</x:f>
        <x:v>0</x:v>
      </x:c>
      <x:c r="Z89" s="141" t="n">
        <x:f>IF(AND(TRUE,Premissas!$B$11="Imovel",Premissas!$B$47="Moradia",$A89&lt;MAX(Premissas!$B$48,Premissas!$B$49)),$D89,0)</x:f>
        <x:v>0</x:v>
      </x:c>
      <x:c r="AA89" s="141" t="n">
        <x:f>IF(AND(TRUE,Premissas!$B$11="Imovel",Premissas!$B$47="Investimento",$A89&gt;=MAX(Premissas!$B$48,Premissas!$B$49)),$E89,0)</x:f>
        <x:v>962.3233657544708</x:v>
      </x:c>
      <x:c r="AB89" s="141" t="n">
        <x:f>X89+Y89+Z89</x:f>
        <x:v>0</x:v>
      </x:c>
      <x:c r="AC89" s="141" t="n">
        <x:f>AA89</x:f>
        <x:v>962.3233657544708</x:v>
      </x:c>
      <x:c r="AD89" s="141" t="n">
        <x:f>$C89+AC89-AB89</x:f>
        <x:v>7962.323365754471</x:v>
      </x:c>
      <x:c r="AE89" s="141" t="n">
        <x:f>AH88*(1+Premissas!$B$41)+AD89</x:f>
        <x:v>751383.6252450005</x:v>
      </x:c>
      <x:c r="AF89" s="141" t="n">
        <x:f>MAX(0,-AE89)</x:f>
        <x:v>0</x:v>
      </x:c>
      <x:c r="AG89" s="141" t="n">
        <x:f>AG88*(1+Premissas!$B$41)+AF89</x:f>
        <x:v>0</x:v>
      </x:c>
      <x:c r="AH89" s="141" t="n">
        <x:f>MAX(0,AE89)</x:f>
        <x:v>751383.6252450005</x:v>
      </x:c>
      <x:c r="AI89" s="141" t="n">
        <x:f>IF(AND($A89&gt;=Premissas!$B$48,$A89-Premissas!$B$48+1&lt;=Premissas!$B$13),INDEX(Amortizacao!$L$6:$L$485,$A89-Premissas!$B$48+1),0)</x:f>
        <x:v>0</x:v>
      </x:c>
      <x:c r="AJ89" s="141" t="n">
        <x:f>IF($A89&gt;=Premissas!$B$48,$F89,0)</x:f>
        <x:v>300726.0517982721</x:v>
      </x:c>
      <x:c r="AK89" s="141" t="n">
        <x:f>AH89+AJ89-AI89</x:f>
        <x:v>1052109.6770432726</x:v>
      </x:c>
      <x:c r="AL89" s="141" t="n">
        <x:f>IF(AG89&gt;1,"Inviavel",AK89)</x:f>
        <x:v>1052109.6770432726</x:v>
      </x:c>
      <x:c r="AM89" s="141" t="str">
        <x:f>IF(AG89&gt;1,"Inviavel","OK")</x:f>
        <x:v>OK</x:v>
      </x:c>
      <x:c r="AN89" s="141" t="n">
        <x:f>IF($A89=Premissas!$B$48,Premissas!$B$8,0)</x:f>
        <x:v>0</x:v>
      </x:c>
      <x:c r="AO89" s="141" t="n">
        <x:f>IF($A89&lt;=Premissas!$B$25,INDEX('Consorcio IQ'!$K$6:$K$485,$A89),0)</x:f>
        <x:v>857.7697232000017</x:v>
      </x:c>
      <x:c r="AP89" s="141" t="n">
        <x:f>IF(AND(TRUE,Premissas!$B$11="Imovel",Premissas!$B$47="Moradia",$A89&lt;MAX(Premissas!$B$48,Premissas!$B$49)),$D89,0)</x:f>
        <x:v>0</x:v>
      </x:c>
      <x:c r="AQ89" s="141" t="n">
        <x:f>IF(AND(TRUE,Premissas!$B$11="Imovel",Premissas!$B$47="Investimento",$A89&gt;=MAX(Premissas!$B$48,Premissas!$B$49)),$E89,0)</x:f>
        <x:v>962.3233657544708</x:v>
      </x:c>
      <x:c r="AR89" s="141" t="n">
        <x:f>AN89+AO89+AP89</x:f>
        <x:v>857.7697232000017</x:v>
      </x:c>
      <x:c r="AS89" s="141" t="n">
        <x:f>AQ89</x:f>
        <x:v>962.3233657544708</x:v>
      </x:c>
      <x:c r="AT89" s="141" t="n">
        <x:f>$C89+AS89-AR89</x:f>
        <x:v>7104.553642554469</x:v>
      </x:c>
      <x:c r="AU89" s="141" t="n">
        <x:f>AX88*(1+Premissas!$B$41)+AT89</x:f>
        <x:v>831047.5874438235</x:v>
      </x:c>
      <x:c r="AV89" s="141" t="n">
        <x:f>MAX(0,-AU89)</x:f>
        <x:v>0</x:v>
      </x:c>
      <x:c r="AW89" s="141" t="n">
        <x:f>AW88*(1+Premissas!$B$41)+AV89</x:f>
        <x:v>0</x:v>
      </x:c>
      <x:c r="AX89" s="141" t="n">
        <x:f>MAX(0,AU89)</x:f>
        <x:v>831047.5874438235</x:v>
      </x:c>
      <x:c r="AY89" s="141" t="n">
        <x:f>INDEX('Consorcio IQ'!$P$6:$P$485,$A89)</x:f>
        <x:v>92440.11568633003</x:v>
      </x:c>
      <x:c r="AZ89" s="141" t="n">
        <x:f>IF($A89&gt;=Premissas!$B$48,$F89,0)+IF($A89&lt;Premissas!$B$27,INDEX('Consorcio IQ'!$O$6:$O$485,$A89),0)</x:f>
        <x:v>300726.0517982721</x:v>
      </x:c>
      <x:c r="BA89" s="141" t="n">
        <x:f>AX89+AZ89-AY89</x:f>
        <x:v>1039333.5235557656</x:v>
      </x:c>
      <x:c r="BB89" s="141" t="n">
        <x:f>IF(AW89&gt;1,"Inviavel",BA89)</x:f>
        <x:v>1039333.5235557656</x:v>
      </x:c>
      <x:c r="BC89" s="141" t="str">
        <x:f>IF(AW89&gt;1,"Inviavel","OK")</x:f>
        <x:v>OK</x:v>
      </x:c>
      <x:c r="BD89" s="141" t="n">
        <x:f>IF($A89='Consorcio Direto'!$B$29,'Consorcio Direto'!$B$44,0)</x:f>
        <x:v>0</x:v>
      </x:c>
      <x:c r="BE89" s="141" t="n">
        <x:f>IF($A89&lt;='Consorcio Direto'!$B$27,INDEX('Consorcio Direto'!$E$55:$E$534,$A89),0)</x:f>
        <x:v>2221.195353451511</x:v>
      </x:c>
      <x:c r="BF89" s="141" t="n">
        <x:f>IF(AND(TRUE,Premissas!$B$11="Imovel",Premissas!$B$47="Moradia",$A89&lt;MAX('Consorcio Direto'!$B$29,Premissas!$B$49)),$D89,0)</x:f>
        <x:v>0</x:v>
      </x:c>
      <x:c r="BG89" s="141" t="n">
        <x:f>IF(AND(TRUE,Premissas!$B$11="Imovel",Premissas!$B$47="Investimento",$A89&gt;=MAX('Consorcio Direto'!$B$29,Premissas!$B$49)),$E89,0)</x:f>
        <x:v>962.3233657544708</x:v>
      </x:c>
      <x:c r="BH89" s="141" t="n">
        <x:f>BD89+BE89+BF89</x:f>
        <x:v>2221.195353451511</x:v>
      </x:c>
      <x:c r="BI89" s="141" t="n">
        <x:f>BG89</x:f>
        <x:v>962.3233657544708</x:v>
      </x:c>
      <x:c r="BJ89" s="141" t="n">
        <x:f>$C89+BI89-BH89</x:f>
        <x:v>5741.128012302959</x:v>
      </x:c>
      <x:c r="BK89" s="141" t="n">
        <x:f>BN88*(1+Premissas!$B$41)+BJ89</x:f>
        <x:v>908933.9138452176</x:v>
      </x:c>
      <x:c r="BL89" s="141" t="n">
        <x:f>MAX(0,-BK89)</x:f>
        <x:v>0</x:v>
      </x:c>
      <x:c r="BM89" s="141" t="n">
        <x:f>BM88*(1+Premissas!$B$41)+BL89</x:f>
        <x:v>0</x:v>
      </x:c>
      <x:c r="BN89" s="141" t="n">
        <x:f>MAX(0,BK89)</x:f>
        <x:v>908933.9138452176</x:v>
      </x:c>
      <x:c r="BO89" s="141" t="n">
        <x:f>INDEX('Consorcio Direto'!$K$55:$K$534,$A89)</x:f>
        <x:v>239373.75018204178</x:v>
      </x:c>
      <x:c r="BP89" s="141" t="n">
        <x:f>IF($A89&lt;'Consorcio Direto'!$B$29,INDEX('Consorcio Direto'!$L$55:$L$534,$A89),$F89)</x:f>
        <x:v>300726.0517982721</x:v>
      </x:c>
      <x:c r="BQ89" s="141" t="n">
        <x:f>BN89+BP89-BO89</x:f>
        <x:v>970286.215461448</x:v>
      </x:c>
      <x:c r="BR89" s="141" t="n">
        <x:f>IF(BM89&gt;1,"Inviavel",BQ89)</x:f>
        <x:v>970286.215461448</x:v>
      </x:c>
      <x:c r="BS89" s="141" t="str">
        <x:f>IF(BM89&gt;1,"Inviavel","OK")</x:f>
        <x:v>OK</x:v>
      </x:c>
      <x:c r="BT89" s="141" t="n">
        <x:f>IF(AND('Carta Contemplada'!$B$22="Sim",$A89='Carta Contemplada'!$B$23),'Carta Contemplada'!$B$37,0)</x:f>
        <x:v>0</x:v>
      </x:c>
      <x:c r="BU89" s="141" t="n">
        <x:f>IF('Carta Contemplada'!$B$22="Sim",INDEX('Carta Contemplada'!$C$55:$C$1013,$A89),0)</x:f>
        <x:v>1804.3563107896327</x:v>
      </x:c>
      <x:c r="BV89" s="141" t="n">
        <x:f>IF(AND('Carta Contemplada'!$B$22="Sim",Premissas!$B$11="Imovel",Premissas!$B$47="Moradia",$A89&lt;MAX('Carta Contemplada'!$B$44,Premissas!$B$49)),$D89,0)</x:f>
        <x:v>0</x:v>
      </x:c>
      <x:c r="BW89" s="141" t="n">
        <x:f>IF(AND('Carta Contemplada'!$B$22="Sim",Premissas!$B$11="Imovel",Premissas!$B$47="Investimento",$A89&gt;=MAX('Carta Contemplada'!$B$44,Premissas!$B$49)),$E89,0)</x:f>
        <x:v>962.3233657544708</x:v>
      </x:c>
      <x:c r="BX89" s="141" t="n">
        <x:f>BT89+BU89+BV89</x:f>
        <x:v>1804.3563107896327</x:v>
      </x:c>
      <x:c r="BY89" s="141" t="n">
        <x:f>BW89</x:f>
        <x:v>962.3233657544708</x:v>
      </x:c>
      <x:c r="BZ89" s="141" t="n">
        <x:f>$C89+BY89-BX89</x:f>
        <x:v>6157.967054964838</x:v>
      </x:c>
      <x:c r="CA89" s="141" t="n">
        <x:f>CD88*(1+Premissas!$B$41)+BZ89</x:f>
        <x:v>918578.7387326556</x:v>
      </x:c>
      <x:c r="CB89" s="141" t="n">
        <x:f>MAX(0,-CA89)</x:f>
        <x:v>0</x:v>
      </x:c>
      <x:c r="CC89" s="141" t="n">
        <x:f>CC88*(1+Premissas!$B$41)+CB89</x:f>
        <x:v>0</x:v>
      </x:c>
      <x:c r="CD89" s="141" t="n">
        <x:f>MAX(0,CA89)</x:f>
        <x:v>918578.7387326556</x:v>
      </x:c>
      <x:c r="CE89" s="141" t="n">
        <x:f>IF(AND('Carta Contemplada'!$B$22="Sim",$A89&gt;='Carta Contemplada'!$B$23),INDEX('Carta Contemplada'!$I$55:$I$1013,$A89),0)</x:f>
        <x:v>134976.05545732734</x:v>
      </x:c>
      <x:c r="CF89" s="141" t="n">
        <x:f>IF(AND('Carta Contemplada'!$B$22="Sim",$A89&gt;='Carta Contemplada'!$B$44),$F89,0)</x:f>
        <x:v>300726.0517982721</x:v>
      </x:c>
      <x:c r="CG89" s="141" t="n">
        <x:f>CD89+CF89-CE89</x:f>
        <x:v>1084328.7350736004</x:v>
      </x:c>
      <x:c r="CH89" s="141" t="n">
        <x:f>IF(CC89&gt;1,"Inviavel",CG89)</x:f>
        <x:v>1084328.7350736004</x:v>
      </x:c>
      <x:c r="CI89" s="145" t="str">
        <x:f>IF(CC89&gt;1,"Inviavel","OK")</x:f>
        <x:v>OK</x:v>
      </x:c>
    </x:row>
    <x:row r="90">
      <x:c r="A90" s="142" t="n">
        <x:v>86</x:v>
      </x:c>
      <x:c r="B90" s="179" t="n">
        <x:f>EDATE(Premissas!$B$4,A90-1)</x:f>
        <x:v>49126</x:v>
      </x:c>
      <x:c r="C90" s="141" t="n">
        <x:f>IF(A90&lt;=Premissas!$B$39,Premissas!$B$42,0)</x:f>
        <x:v>7000</x:v>
      </x:c>
      <x:c r="D90" s="141" t="n">
        <x:f>Premissas!$B$54*(1+Premissas!$B$57)^INT((A90-1)/12)</x:f>
        <x:v>1052.5411812939524</x:v>
      </x:c>
      <x:c r="E90" s="141" t="n">
        <x:f>Premissas!$B$64*(1+Premissas!$B$57)^INT((A90-1)/12)</x:f>
        <x:v>962.3233657544708</x:v>
      </x:c>
      <x:c r="F90" s="141" t="n">
        <x:f>MAX(0,Premissas!$B$6*(1+Premissas!$B$66)^((A90-1)/12))</x:f>
        <x:v>302189.85106171615</x:v>
      </x:c>
      <x:c r="G90" s="141" t="n">
        <x:f>G89*(1+Premissas!$B$41)+C90</x:f>
        <x:v>1125080.266130312</x:v>
      </x:c>
      <x:c r="H90" s="141" t="n">
        <x:f>IF($A90=Premissas!$B$48,Premissas!$B$8,0)</x:f>
        <x:v>0</x:v>
      </x:c>
      <x:c r="I90" s="141" t="n">
        <x:f>IF(AND($A90&gt;=Premissas!$B$48,$A90-Premissas!$B$48+1&lt;=Premissas!$B$13),INDEX(Financiamento!$J$6:$J$485,$A90-Premissas!$B$48+1),0)</x:f>
        <x:v>1741.90309831822</x:v>
      </x:c>
      <x:c r="J90" s="141" t="n">
        <x:f>IF(AND(TRUE,Premissas!$B$11="Imovel",Premissas!$B$47="Moradia",$A90&lt;MAX(Premissas!$B$48,Premissas!$B$49)),$D90,0)</x:f>
        <x:v>0</x:v>
      </x:c>
      <x:c r="K90" s="141" t="n">
        <x:f>IF(AND(TRUE,Premissas!$B$11="Imovel",Premissas!$B$47="Investimento",$A90&gt;=MAX(Premissas!$B$48,Premissas!$B$49)),$E90,0)</x:f>
        <x:v>962.3233657544708</x:v>
      </x:c>
      <x:c r="L90" s="141" t="n">
        <x:f>H90+I90+J90</x:f>
        <x:v>1741.90309831822</x:v>
      </x:c>
      <x:c r="M90" s="141" t="n">
        <x:f>K90</x:f>
        <x:v>962.3233657544708</x:v>
      </x:c>
      <x:c r="N90" s="141" t="n">
        <x:f>$C90+M90-L90</x:f>
        <x:v>6220.4202674362505</x:v>
      </x:c>
      <x:c r="O90" s="141" t="n">
        <x:f>R89*(1+Premissas!$B$41)+N90</x:f>
        <x:v>881924.4433115898</x:v>
      </x:c>
      <x:c r="P90" s="141" t="n">
        <x:f>MAX(0,-O90)</x:f>
        <x:v>0</x:v>
      </x:c>
      <x:c r="Q90" s="141" t="n">
        <x:f>Q89*(1+Premissas!$B$41)+P90</x:f>
        <x:v>0</x:v>
      </x:c>
      <x:c r="R90" s="141" t="n">
        <x:f>MAX(0,O90)</x:f>
        <x:v>881924.4433115898</x:v>
      </x:c>
      <x:c r="S90" s="141" t="n">
        <x:f>IF(AND($A90&gt;=Premissas!$B$48,$A90-Premissas!$B$48+1&lt;=Premissas!$B$13),INDEX(Financiamento!$M$6:$M$485,$A90-Premissas!$B$48+1),0)</x:f>
        <x:v>127238.09523809545</x:v>
      </x:c>
      <x:c r="T90" s="141" t="n">
        <x:f>IF($A90&gt;=Premissas!$B$48,$F90,0)</x:f>
        <x:v>302189.85106171615</x:v>
      </x:c>
      <x:c r="U90" s="141" t="n">
        <x:f>R90+T90-S90</x:f>
        <x:v>1056876.1991352106</x:v>
      </x:c>
      <x:c r="V90" s="141" t="n">
        <x:f>IF(Q90&gt;1,"Inviavel",U90)</x:f>
        <x:v>1056876.1991352106</x:v>
      </x:c>
      <x:c r="W90" s="141" t="str">
        <x:f>IF(Q90&gt;1,"Inviavel","OK")</x:f>
        <x:v>OK</x:v>
      </x:c>
      <x:c r="X90" s="141" t="n">
        <x:f>IF($A90=Premissas!$B$48,Premissas!$B$8,0)</x:f>
        <x:v>0</x:v>
      </x:c>
      <x:c r="Y90" s="141" t="n">
        <x:f>IF(AND($A90&gt;=Premissas!$B$48,$A90-Premissas!$B$48+1&lt;=Premissas!$B$13),INDEX(Amortizacao!$K$6:$K$485,$A90-Premissas!$B$48+1),0)</x:f>
        <x:v>0</x:v>
      </x:c>
      <x:c r="Z90" s="141" t="n">
        <x:f>IF(AND(TRUE,Premissas!$B$11="Imovel",Premissas!$B$47="Moradia",$A90&lt;MAX(Premissas!$B$48,Premissas!$B$49)),$D90,0)</x:f>
        <x:v>0</x:v>
      </x:c>
      <x:c r="AA90" s="141" t="n">
        <x:f>IF(AND(TRUE,Premissas!$B$11="Imovel",Premissas!$B$47="Investimento",$A90&gt;=MAX(Premissas!$B$48,Premissas!$B$49)),$E90,0)</x:f>
        <x:v>962.3233657544708</x:v>
      </x:c>
      <x:c r="AB90" s="141" t="n">
        <x:f>X90+Y90+Z90</x:f>
        <x:v>0</x:v>
      </x:c>
      <x:c r="AC90" s="141" t="n">
        <x:f>AA90</x:f>
        <x:v>962.3233657544708</x:v>
      </x:c>
      <x:c r="AD90" s="141" t="n">
        <x:f>$C90+AC90-AB90</x:f>
        <x:v>7962.323365754471</x:v>
      </x:c>
      <x:c r="AE90" s="141" t="n">
        <x:f>AH89*(1+Premissas!$B$41)+AD90</x:f>
        <x:v>766475.6722451411</x:v>
      </x:c>
      <x:c r="AF90" s="141" t="n">
        <x:f>MAX(0,-AE90)</x:f>
        <x:v>0</x:v>
      </x:c>
      <x:c r="AG90" s="141" t="n">
        <x:f>AG89*(1+Premissas!$B$41)+AF90</x:f>
        <x:v>0</x:v>
      </x:c>
      <x:c r="AH90" s="141" t="n">
        <x:f>MAX(0,AE90)</x:f>
        <x:v>766475.6722451411</x:v>
      </x:c>
      <x:c r="AI90" s="141" t="n">
        <x:f>IF(AND($A90&gt;=Premissas!$B$48,$A90-Premissas!$B$48+1&lt;=Premissas!$B$13),INDEX(Amortizacao!$L$6:$L$485,$A90-Premissas!$B$48+1),0)</x:f>
        <x:v>0</x:v>
      </x:c>
      <x:c r="AJ90" s="141" t="n">
        <x:f>IF($A90&gt;=Premissas!$B$48,$F90,0)</x:f>
        <x:v>302189.85106171615</x:v>
      </x:c>
      <x:c r="AK90" s="141" t="n">
        <x:f>AH90+AJ90-AI90</x:f>
        <x:v>1068665.5233068573</x:v>
      </x:c>
      <x:c r="AL90" s="141" t="n">
        <x:f>IF(AG90&gt;1,"Inviavel",AK90)</x:f>
        <x:v>1068665.5233068573</x:v>
      </x:c>
      <x:c r="AM90" s="141" t="str">
        <x:f>IF(AG90&gt;1,"Inviavel","OK")</x:f>
        <x:v>OK</x:v>
      </x:c>
      <x:c r="AN90" s="141" t="n">
        <x:f>IF($A90=Premissas!$B$48,Premissas!$B$8,0)</x:f>
        <x:v>0</x:v>
      </x:c>
      <x:c r="AO90" s="141" t="n">
        <x:f>IF($A90&lt;=Premissas!$B$25,INDEX('Consorcio IQ'!$K$6:$K$485,$A90),0)</x:f>
        <x:v>857.7697232000017</x:v>
      </x:c>
      <x:c r="AP90" s="141" t="n">
        <x:f>IF(AND(TRUE,Premissas!$B$11="Imovel",Premissas!$B$47="Moradia",$A90&lt;MAX(Premissas!$B$48,Premissas!$B$49)),$D90,0)</x:f>
        <x:v>0</x:v>
      </x:c>
      <x:c r="AQ90" s="141" t="n">
        <x:f>IF(AND(TRUE,Premissas!$B$11="Imovel",Premissas!$B$47="Investimento",$A90&gt;=MAX(Premissas!$B$48,Premissas!$B$49)),$E90,0)</x:f>
        <x:v>962.3233657544708</x:v>
      </x:c>
      <x:c r="AR90" s="141" t="n">
        <x:f>AN90+AO90+AP90</x:f>
        <x:v>857.7697232000017</x:v>
      </x:c>
      <x:c r="AS90" s="141" t="n">
        <x:f>AQ90</x:f>
        <x:v>962.3233657544708</x:v>
      </x:c>
      <x:c r="AT90" s="141" t="n">
        <x:f>$C90+AS90-AR90</x:f>
        <x:v>7104.553642554469</x:v>
      </x:c>
      <x:c r="AU90" s="141" t="n">
        <x:f>AX89*(1+Premissas!$B$41)+AT90</x:f>
        <x:v>846037.7795624172</x:v>
      </x:c>
      <x:c r="AV90" s="141" t="n">
        <x:f>MAX(0,-AU90)</x:f>
        <x:v>0</x:v>
      </x:c>
      <x:c r="AW90" s="141" t="n">
        <x:f>AW89*(1+Premissas!$B$41)+AV90</x:f>
        <x:v>0</x:v>
      </x:c>
      <x:c r="AX90" s="141" t="n">
        <x:f>MAX(0,AU90)</x:f>
        <x:v>846037.7795624172</x:v>
      </x:c>
      <x:c r="AY90" s="141" t="n">
        <x:f>INDEX('Consorcio IQ'!$P$6:$P$485,$A90)</x:f>
        <x:v>92459.4910797265</x:v>
      </x:c>
      <x:c r="AZ90" s="141" t="n">
        <x:f>IF($A90&gt;=Premissas!$B$48,$F90,0)+IF($A90&lt;Premissas!$B$27,INDEX('Consorcio IQ'!$O$6:$O$485,$A90),0)</x:f>
        <x:v>302189.85106171615</x:v>
      </x:c>
      <x:c r="BA90" s="141" t="n">
        <x:f>AX90+AZ90-AY90</x:f>
        <x:v>1055768.139544407</x:v>
      </x:c>
      <x:c r="BB90" s="141" t="n">
        <x:f>IF(AW90&gt;1,"Inviavel",BA90)</x:f>
        <x:v>1055768.139544407</x:v>
      </x:c>
      <x:c r="BC90" s="141" t="str">
        <x:f>IF(AW90&gt;1,"Inviavel","OK")</x:f>
        <x:v>OK</x:v>
      </x:c>
      <x:c r="BD90" s="141" t="n">
        <x:f>IF($A90='Consorcio Direto'!$B$29,'Consorcio Direto'!$B$44,0)</x:f>
        <x:v>0</x:v>
      </x:c>
      <x:c r="BE90" s="141" t="n">
        <x:f>IF($A90&lt;='Consorcio Direto'!$B$27,INDEX('Consorcio Direto'!$E$55:$E$534,$A90),0)</x:f>
        <x:v>2221.195353451511</x:v>
      </x:c>
      <x:c r="BF90" s="141" t="n">
        <x:f>IF(AND(TRUE,Premissas!$B$11="Imovel",Premissas!$B$47="Moradia",$A90&lt;MAX('Consorcio Direto'!$B$29,Premissas!$B$49)),$D90,0)</x:f>
        <x:v>0</x:v>
      </x:c>
      <x:c r="BG90" s="141" t="n">
        <x:f>IF(AND(TRUE,Premissas!$B$11="Imovel",Premissas!$B$47="Investimento",$A90&gt;=MAX('Consorcio Direto'!$B$29,Premissas!$B$49)),$E90,0)</x:f>
        <x:v>962.3233657544708</x:v>
      </x:c>
      <x:c r="BH90" s="141" t="n">
        <x:f>BD90+BE90+BF90</x:f>
        <x:v>2221.195353451511</x:v>
      </x:c>
      <x:c r="BI90" s="141" t="n">
        <x:f>BG90</x:f>
        <x:v>962.3233657544708</x:v>
      </x:c>
      <x:c r="BJ90" s="141" t="n">
        <x:f>$C90+BI90-BH90</x:f>
        <x:v>5741.128012302959</x:v>
      </x:c>
      <x:c r="BK90" s="141" t="n">
        <x:f>BN89*(1+Premissas!$B$41)+BJ90</x:f>
        <x:v>923299.7275572179</x:v>
      </x:c>
      <x:c r="BL90" s="141" t="n">
        <x:f>MAX(0,-BK90)</x:f>
        <x:v>0</x:v>
      </x:c>
      <x:c r="BM90" s="141" t="n">
        <x:f>BM89*(1+Premissas!$B$41)+BL90</x:f>
        <x:v>0</x:v>
      </x:c>
      <x:c r="BN90" s="141" t="n">
        <x:f>MAX(0,BK90)</x:f>
        <x:v>923299.7275572179</x:v>
      </x:c>
      <x:c r="BO90" s="141" t="n">
        <x:f>INDEX('Consorcio Direto'!$K$55:$K$534,$A90)</x:f>
        <x:v>239423.9227780423</x:v>
      </x:c>
      <x:c r="BP90" s="141" t="n">
        <x:f>IF($A90&lt;'Consorcio Direto'!$B$29,INDEX('Consorcio Direto'!$L$55:$L$534,$A90),$F90)</x:f>
        <x:v>302189.85106171615</x:v>
      </x:c>
      <x:c r="BQ90" s="141" t="n">
        <x:f>BN90+BP90-BO90</x:f>
        <x:v>986065.6558408919</x:v>
      </x:c>
      <x:c r="BR90" s="141" t="n">
        <x:f>IF(BM90&gt;1,"Inviavel",BQ90)</x:f>
        <x:v>986065.6558408919</x:v>
      </x:c>
      <x:c r="BS90" s="141" t="str">
        <x:f>IF(BM90&gt;1,"Inviavel","OK")</x:f>
        <x:v>OK</x:v>
      </x:c>
      <x:c r="BT90" s="141" t="n">
        <x:f>IF(AND('Carta Contemplada'!$B$22="Sim",$A90='Carta Contemplada'!$B$23),'Carta Contemplada'!$B$37,0)</x:f>
        <x:v>0</x:v>
      </x:c>
      <x:c r="BU90" s="141" t="n">
        <x:f>IF('Carta Contemplada'!$B$22="Sim",INDEX('Carta Contemplada'!$C$55:$C$1013,$A90),0)</x:f>
        <x:v>1804.3563107896327</x:v>
      </x:c>
      <x:c r="BV90" s="141" t="n">
        <x:f>IF(AND('Carta Contemplada'!$B$22="Sim",Premissas!$B$11="Imovel",Premissas!$B$47="Moradia",$A90&lt;MAX('Carta Contemplada'!$B$44,Premissas!$B$49)),$D90,0)</x:f>
        <x:v>0</x:v>
      </x:c>
      <x:c r="BW90" s="141" t="n">
        <x:f>IF(AND('Carta Contemplada'!$B$22="Sim",Premissas!$B$11="Imovel",Premissas!$B$47="Investimento",$A90&gt;=MAX('Carta Contemplada'!$B$44,Premissas!$B$49)),$E90,0)</x:f>
        <x:v>962.3233657544708</x:v>
      </x:c>
      <x:c r="BX90" s="141" t="n">
        <x:f>BT90+BU90+BV90</x:f>
        <x:v>1804.3563107896327</x:v>
      </x:c>
      <x:c r="BY90" s="141" t="n">
        <x:f>BW90</x:f>
        <x:v>962.3233657544708</x:v>
      </x:c>
      <x:c r="BZ90" s="141" t="n">
        <x:f>$C90+BY90-BX90</x:f>
        <x:v>6157.967054964838</x:v>
      </x:c>
      <x:c r="CA90" s="141" t="n">
        <x:f>CD89*(1+Premissas!$B$41)+BZ90</x:f>
        <x:v>933452.9092335651</x:v>
      </x:c>
      <x:c r="CB90" s="141" t="n">
        <x:f>MAX(0,-CA90)</x:f>
        <x:v>0</x:v>
      </x:c>
      <x:c r="CC90" s="141" t="n">
        <x:f>CC89*(1+Premissas!$B$41)+CB90</x:f>
        <x:v>0</x:v>
      </x:c>
      <x:c r="CD90" s="141" t="n">
        <x:f>MAX(0,CA90)</x:f>
        <x:v>933452.9092335651</x:v>
      </x:c>
      <x:c r="CE90" s="141" t="n">
        <x:f>IF(AND('Carta Contemplada'!$B$22="Sim",$A90&gt;='Carta Contemplada'!$B$23),INDEX('Carta Contemplada'!$I$55:$I$1013,$A90),0)</x:f>
        <x:v>134452.4589878991</x:v>
      </x:c>
      <x:c r="CF90" s="141" t="n">
        <x:f>IF(AND('Carta Contemplada'!$B$22="Sim",$A90&gt;='Carta Contemplada'!$B$44),$F90,0)</x:f>
        <x:v>302189.85106171615</x:v>
      </x:c>
      <x:c r="CG90" s="141" t="n">
        <x:f>CD90+CF90-CE90</x:f>
        <x:v>1101190.301307382</x:v>
      </x:c>
      <x:c r="CH90" s="141" t="n">
        <x:f>IF(CC90&gt;1,"Inviavel",CG90)</x:f>
        <x:v>1101190.301307382</x:v>
      </x:c>
      <x:c r="CI90" s="145" t="str">
        <x:f>IF(CC90&gt;1,"Inviavel","OK")</x:f>
        <x:v>OK</x:v>
      </x:c>
    </x:row>
    <x:row r="91">
      <x:c r="A91" s="142" t="n">
        <x:v>87</x:v>
      </x:c>
      <x:c r="B91" s="179" t="n">
        <x:f>EDATE(Premissas!$B$4,A91-1)</x:f>
        <x:v>49157</x:v>
      </x:c>
      <x:c r="C91" s="141" t="n">
        <x:f>IF(A91&lt;=Premissas!$B$39,Premissas!$B$42,0)</x:f>
        <x:v>7000</x:v>
      </x:c>
      <x:c r="D91" s="141" t="n">
        <x:f>Premissas!$B$54*(1+Premissas!$B$57)^INT((A91-1)/12)</x:f>
        <x:v>1052.5411812939524</x:v>
      </x:c>
      <x:c r="E91" s="141" t="n">
        <x:f>Premissas!$B$64*(1+Premissas!$B$57)^INT((A91-1)/12)</x:f>
        <x:v>962.3233657544708</x:v>
      </x:c>
      <x:c r="F91" s="141" t="n">
        <x:f>MAX(0,Premissas!$B$6*(1+Premissas!$B$66)^((A91-1)/12))</x:f>
        <x:v>303660.77544209256</x:v>
      </x:c>
      <x:c r="G91" s="141" t="n">
        <x:f>G90*(1+Premissas!$B$41)+C91</x:f>
        <x:v>1142755.9198104083</x:v>
      </x:c>
      <x:c r="H91" s="141" t="n">
        <x:f>IF($A91=Premissas!$B$48,Premissas!$B$8,0)</x:f>
        <x:v>0</x:v>
      </x:c>
      <x:c r="I91" s="141" t="n">
        <x:f>IF(AND($A91&gt;=Premissas!$B$48,$A91-Premissas!$B$48+1&lt;=Premissas!$B$13),INDEX(Financiamento!$J$6:$J$485,$A91-Premissas!$B$48+1),0)</x:f>
        <x:v>1738.2883200574265</x:v>
      </x:c>
      <x:c r="J91" s="141" t="n">
        <x:f>IF(AND(TRUE,Premissas!$B$11="Imovel",Premissas!$B$47="Moradia",$A91&lt;MAX(Premissas!$B$48,Premissas!$B$49)),$D91,0)</x:f>
        <x:v>0</x:v>
      </x:c>
      <x:c r="K91" s="141" t="n">
        <x:f>IF(AND(TRUE,Premissas!$B$11="Imovel",Premissas!$B$47="Investimento",$A91&gt;=MAX(Premissas!$B$48,Premissas!$B$49)),$E91,0)</x:f>
        <x:v>962.3233657544708</x:v>
      </x:c>
      <x:c r="L91" s="141" t="n">
        <x:f>H91+I91+J91</x:f>
        <x:v>1738.2883200574265</x:v>
      </x:c>
      <x:c r="M91" s="141" t="n">
        <x:f>K91</x:f>
        <x:v>962.3233657544708</x:v>
      </x:c>
      <x:c r="N91" s="141" t="n">
        <x:f>$C91+M91-L91</x:f>
        <x:v>6224.035045697045</x:v>
      </x:c>
      <x:c r="O91" s="141" t="n">
        <x:f>R90*(1+Premissas!$B$41)+N91</x:f>
        <x:v>896516.8767838179</x:v>
      </x:c>
      <x:c r="P91" s="141" t="n">
        <x:f>MAX(0,-O91)</x:f>
        <x:v>0</x:v>
      </x:c>
      <x:c r="Q91" s="141" t="n">
        <x:f>Q90*(1+Premissas!$B$41)+P91</x:f>
        <x:v>0</x:v>
      </x:c>
      <x:c r="R91" s="141" t="n">
        <x:f>MAX(0,O91)</x:f>
        <x:v>896516.8767838179</x:v>
      </x:c>
      <x:c r="S91" s="141" t="n">
        <x:f>IF(AND($A91&gt;=Premissas!$B$48,$A91-Premissas!$B$48+1&lt;=Premissas!$B$13),INDEX(Financiamento!$M$6:$M$485,$A91-Premissas!$B$48+1),0)</x:f>
        <x:v>126857.14285714307</x:v>
      </x:c>
      <x:c r="T91" s="141" t="n">
        <x:f>IF($A91&gt;=Premissas!$B$48,$F91,0)</x:f>
        <x:v>303660.77544209256</x:v>
      </x:c>
      <x:c r="U91" s="141" t="n">
        <x:f>R91+T91-S91</x:f>
        <x:v>1073320.5093687675</x:v>
      </x:c>
      <x:c r="V91" s="141" t="n">
        <x:f>IF(Q91&gt;1,"Inviavel",U91)</x:f>
        <x:v>1073320.5093687675</x:v>
      </x:c>
      <x:c r="W91" s="141" t="str">
        <x:f>IF(Q91&gt;1,"Inviavel","OK")</x:f>
        <x:v>OK</x:v>
      </x:c>
      <x:c r="X91" s="141" t="n">
        <x:f>IF($A91=Premissas!$B$48,Premissas!$B$8,0)</x:f>
        <x:v>0</x:v>
      </x:c>
      <x:c r="Y91" s="141" t="n">
        <x:f>IF(AND($A91&gt;=Premissas!$B$48,$A91-Premissas!$B$48+1&lt;=Premissas!$B$13),INDEX(Amortizacao!$K$6:$K$485,$A91-Premissas!$B$48+1),0)</x:f>
        <x:v>0</x:v>
      </x:c>
      <x:c r="Z91" s="141" t="n">
        <x:f>IF(AND(TRUE,Premissas!$B$11="Imovel",Premissas!$B$47="Moradia",$A91&lt;MAX(Premissas!$B$48,Premissas!$B$49)),$D91,0)</x:f>
        <x:v>0</x:v>
      </x:c>
      <x:c r="AA91" s="141" t="n">
        <x:f>IF(AND(TRUE,Premissas!$B$11="Imovel",Premissas!$B$47="Investimento",$A91&gt;=MAX(Premissas!$B$48,Premissas!$B$49)),$E91,0)</x:f>
        <x:v>962.3233657544708</x:v>
      </x:c>
      <x:c r="AB91" s="141" t="n">
        <x:f>X91+Y91+Z91</x:f>
        <x:v>0</x:v>
      </x:c>
      <x:c r="AC91" s="141" t="n">
        <x:f>AA91</x:f>
        <x:v>962.3233657544708</x:v>
      </x:c>
      <x:c r="AD91" s="141" t="n">
        <x:f>$C91+AC91-AB91</x:f>
        <x:v>7962.323365754471</x:v>
      </x:c>
      <x:c r="AE91" s="141" t="n">
        <x:f>AH90*(1+Premissas!$B$41)+AD91</x:f>
        <x:v>781710.924554225</x:v>
      </x:c>
      <x:c r="AF91" s="141" t="n">
        <x:f>MAX(0,-AE91)</x:f>
        <x:v>0</x:v>
      </x:c>
      <x:c r="AG91" s="141" t="n">
        <x:f>AG90*(1+Premissas!$B$41)+AF91</x:f>
        <x:v>0</x:v>
      </x:c>
      <x:c r="AH91" s="141" t="n">
        <x:f>MAX(0,AE91)</x:f>
        <x:v>781710.924554225</x:v>
      </x:c>
      <x:c r="AI91" s="141" t="n">
        <x:f>IF(AND($A91&gt;=Premissas!$B$48,$A91-Premissas!$B$48+1&lt;=Premissas!$B$13),INDEX(Amortizacao!$L$6:$L$485,$A91-Premissas!$B$48+1),0)</x:f>
        <x:v>0</x:v>
      </x:c>
      <x:c r="AJ91" s="141" t="n">
        <x:f>IF($A91&gt;=Premissas!$B$48,$F91,0)</x:f>
        <x:v>303660.77544209256</x:v>
      </x:c>
      <x:c r="AK91" s="141" t="n">
        <x:f>AH91+AJ91-AI91</x:f>
        <x:v>1085371.6999963177</x:v>
      </x:c>
      <x:c r="AL91" s="141" t="n">
        <x:f>IF(AG91&gt;1,"Inviavel",AK91)</x:f>
        <x:v>1085371.6999963177</x:v>
      </x:c>
      <x:c r="AM91" s="141" t="str">
        <x:f>IF(AG91&gt;1,"Inviavel","OK")</x:f>
        <x:v>OK</x:v>
      </x:c>
      <x:c r="AN91" s="141" t="n">
        <x:f>IF($A91=Premissas!$B$48,Premissas!$B$8,0)</x:f>
        <x:v>0</x:v>
      </x:c>
      <x:c r="AO91" s="141" t="n">
        <x:f>IF($A91&lt;=Premissas!$B$25,INDEX('Consorcio IQ'!$K$6:$K$485,$A91),0)</x:f>
        <x:v>857.7697232000017</x:v>
      </x:c>
      <x:c r="AP91" s="141" t="n">
        <x:f>IF(AND(TRUE,Premissas!$B$11="Imovel",Premissas!$B$47="Moradia",$A91&lt;MAX(Premissas!$B$48,Premissas!$B$49)),$D91,0)</x:f>
        <x:v>0</x:v>
      </x:c>
      <x:c r="AQ91" s="141" t="n">
        <x:f>IF(AND(TRUE,Premissas!$B$11="Imovel",Premissas!$B$47="Investimento",$A91&gt;=MAX(Premissas!$B$48,Premissas!$B$49)),$E91,0)</x:f>
        <x:v>962.3233657544708</x:v>
      </x:c>
      <x:c r="AR91" s="141" t="n">
        <x:f>AN91+AO91+AP91</x:f>
        <x:v>857.7697232000017</x:v>
      </x:c>
      <x:c r="AS91" s="141" t="n">
        <x:f>AQ91</x:f>
        <x:v>962.3233657544708</x:v>
      </x:c>
      <x:c r="AT91" s="141" t="n">
        <x:f>$C91+AS91-AR91</x:f>
        <x:v>7104.553642554469</x:v>
      </x:c>
      <x:c r="AU91" s="141" t="n">
        <x:f>AX90*(1+Premissas!$B$41)+AT91</x:f>
        <x:v>861170.2105100738</x:v>
      </x:c>
      <x:c r="AV91" s="141" t="n">
        <x:f>MAX(0,-AU91)</x:f>
        <x:v>0</x:v>
      </x:c>
      <x:c r="AW91" s="141" t="n">
        <x:f>AW90*(1+Premissas!$B$41)+AV91</x:f>
        <x:v>0</x:v>
      </x:c>
      <x:c r="AX91" s="141" t="n">
        <x:f>MAX(0,AU91)</x:f>
        <x:v>861170.2105100738</x:v>
      </x:c>
      <x:c r="AY91" s="141" t="n">
        <x:f>INDEX('Consorcio IQ'!$P$6:$P$485,$A91)</x:f>
        <x:v>92479.05032221894</x:v>
      </x:c>
      <x:c r="AZ91" s="141" t="n">
        <x:f>IF($A91&gt;=Premissas!$B$48,$F91,0)+IF($A91&lt;Premissas!$B$27,INDEX('Consorcio IQ'!$O$6:$O$485,$A91),0)</x:f>
        <x:v>303660.77544209256</x:v>
      </x:c>
      <x:c r="BA91" s="141" t="n">
        <x:f>AX91+AZ91-AY91</x:f>
        <x:v>1072351.9356299473</x:v>
      </x:c>
      <x:c r="BB91" s="141" t="n">
        <x:f>IF(AW91&gt;1,"Inviavel",BA91)</x:f>
        <x:v>1072351.9356299473</x:v>
      </x:c>
      <x:c r="BC91" s="141" t="str">
        <x:f>IF(AW91&gt;1,"Inviavel","OK")</x:f>
        <x:v>OK</x:v>
      </x:c>
      <x:c r="BD91" s="141" t="n">
        <x:f>IF($A91='Consorcio Direto'!$B$29,'Consorcio Direto'!$B$44,0)</x:f>
        <x:v>0</x:v>
      </x:c>
      <x:c r="BE91" s="141" t="n">
        <x:f>IF($A91&lt;='Consorcio Direto'!$B$27,INDEX('Consorcio Direto'!$E$55:$E$534,$A91),0)</x:f>
        <x:v>2221.195353451511</x:v>
      </x:c>
      <x:c r="BF91" s="141" t="n">
        <x:f>IF(AND(TRUE,Premissas!$B$11="Imovel",Premissas!$B$47="Moradia",$A91&lt;MAX('Consorcio Direto'!$B$29,Premissas!$B$49)),$D91,0)</x:f>
        <x:v>0</x:v>
      </x:c>
      <x:c r="BG91" s="141" t="n">
        <x:f>IF(AND(TRUE,Premissas!$B$11="Imovel",Premissas!$B$47="Investimento",$A91&gt;=MAX('Consorcio Direto'!$B$29,Premissas!$B$49)),$E91,0)</x:f>
        <x:v>962.3233657544708</x:v>
      </x:c>
      <x:c r="BH91" s="141" t="n">
        <x:f>BD91+BE91+BF91</x:f>
        <x:v>2221.195353451511</x:v>
      </x:c>
      <x:c r="BI91" s="141" t="n">
        <x:f>BG91</x:f>
        <x:v>962.3233657544708</x:v>
      </x:c>
      <x:c r="BJ91" s="141" t="n">
        <x:f>$C91+BI91-BH91</x:f>
        <x:v>5741.128012302959</x:v>
      </x:c>
      <x:c r="BK91" s="141" t="n">
        <x:f>BN90*(1+Premissas!$B$41)+BJ91</x:f>
        <x:v>937801.8555008682</x:v>
      </x:c>
      <x:c r="BL91" s="141" t="n">
        <x:f>MAX(0,-BK91)</x:f>
        <x:v>0</x:v>
      </x:c>
      <x:c r="BM91" s="141" t="n">
        <x:f>BM90*(1+Premissas!$B$41)+BL91</x:f>
        <x:v>0</x:v>
      </x:c>
      <x:c r="BN91" s="141" t="n">
        <x:f>MAX(0,BK91)</x:f>
        <x:v>937801.8555008682</x:v>
      </x:c>
      <x:c r="BO91" s="141" t="n">
        <x:f>INDEX('Consorcio Direto'!$K$55:$K$534,$A91)</x:f>
        <x:v>239474.57145141723</x:v>
      </x:c>
      <x:c r="BP91" s="141" t="n">
        <x:f>IF($A91&lt;'Consorcio Direto'!$B$29,INDEX('Consorcio Direto'!$L$55:$L$534,$A91),$F91)</x:f>
        <x:v>303660.77544209256</x:v>
      </x:c>
      <x:c r="BQ91" s="141" t="n">
        <x:f>BN91+BP91-BO91</x:f>
        <x:v>1001988.0594915436</x:v>
      </x:c>
      <x:c r="BR91" s="141" t="n">
        <x:f>IF(BM91&gt;1,"Inviavel",BQ91)</x:f>
        <x:v>1001988.0594915436</x:v>
      </x:c>
      <x:c r="BS91" s="141" t="str">
        <x:f>IF(BM91&gt;1,"Inviavel","OK")</x:f>
        <x:v>OK</x:v>
      </x:c>
      <x:c r="BT91" s="141" t="n">
        <x:f>IF(AND('Carta Contemplada'!$B$22="Sim",$A91='Carta Contemplada'!$B$23),'Carta Contemplada'!$B$37,0)</x:f>
        <x:v>0</x:v>
      </x:c>
      <x:c r="BU91" s="141" t="n">
        <x:f>IF('Carta Contemplada'!$B$22="Sim",INDEX('Carta Contemplada'!$C$55:$C$1013,$A91),0)</x:f>
        <x:v>1804.3563107896327</x:v>
      </x:c>
      <x:c r="BV91" s="141" t="n">
        <x:f>IF(AND('Carta Contemplada'!$B$22="Sim",Premissas!$B$11="Imovel",Premissas!$B$47="Moradia",$A91&lt;MAX('Carta Contemplada'!$B$44,Premissas!$B$49)),$D91,0)</x:f>
        <x:v>0</x:v>
      </x:c>
      <x:c r="BW91" s="141" t="n">
        <x:f>IF(AND('Carta Contemplada'!$B$22="Sim",Premissas!$B$11="Imovel",Premissas!$B$47="Investimento",$A91&gt;=MAX('Carta Contemplada'!$B$44,Premissas!$B$49)),$E91,0)</x:f>
        <x:v>962.3233657544708</x:v>
      </x:c>
      <x:c r="BX91" s="141" t="n">
        <x:f>BT91+BU91+BV91</x:f>
        <x:v>1804.3563107896327</x:v>
      </x:c>
      <x:c r="BY91" s="141" t="n">
        <x:f>BW91</x:f>
        <x:v>962.3233657544708</x:v>
      </x:c>
      <x:c r="BZ91" s="141" t="n">
        <x:f>$C91+BY91-BX91</x:f>
        <x:v>6157.967054964838</x:v>
      </x:c>
      <x:c r="CA91" s="141" t="n">
        <x:f>CD90*(1+Premissas!$B$41)+BZ91</x:f>
        <x:v>948468.2176584314</x:v>
      </x:c>
      <x:c r="CB91" s="141" t="n">
        <x:f>MAX(0,-CA91)</x:f>
        <x:v>0</x:v>
      </x:c>
      <x:c r="CC91" s="141" t="n">
        <x:f>CC90*(1+Premissas!$B$41)+CB91</x:f>
        <x:v>0</x:v>
      </x:c>
      <x:c r="CD91" s="141" t="n">
        <x:f>MAX(0,CA91)</x:f>
        <x:v>948468.2176584314</x:v>
      </x:c>
      <x:c r="CE91" s="141" t="n">
        <x:f>IF(AND('Carta Contemplada'!$B$22="Sim",$A91&gt;='Carta Contemplada'!$B$23),INDEX('Carta Contemplada'!$I$55:$I$1013,$A91),0)</x:f>
        <x:v>133923.89421999117</x:v>
      </x:c>
      <x:c r="CF91" s="141" t="n">
        <x:f>IF(AND('Carta Contemplada'!$B$22="Sim",$A91&gt;='Carta Contemplada'!$B$44),$F91,0)</x:f>
        <x:v>303660.77544209256</x:v>
      </x:c>
      <x:c r="CG91" s="141" t="n">
        <x:f>CD91+CF91-CE91</x:f>
        <x:v>1118205.0988805327</x:v>
      </x:c>
      <x:c r="CH91" s="141" t="n">
        <x:f>IF(CC91&gt;1,"Inviavel",CG91)</x:f>
        <x:v>1118205.0988805327</x:v>
      </x:c>
      <x:c r="CI91" s="145" t="str">
        <x:f>IF(CC91&gt;1,"Inviavel","OK")</x:f>
        <x:v>OK</x:v>
      </x:c>
    </x:row>
    <x:row r="92">
      <x:c r="A92" s="142" t="n">
        <x:v>88</x:v>
      </x:c>
      <x:c r="B92" s="179" t="n">
        <x:f>EDATE(Premissas!$B$4,A92-1)</x:f>
        <x:v>49188</x:v>
      </x:c>
      <x:c r="C92" s="141" t="n">
        <x:f>IF(A92&lt;=Premissas!$B$39,Premissas!$B$42,0)</x:f>
        <x:v>7000</x:v>
      </x:c>
      <x:c r="D92" s="141" t="n">
        <x:f>Premissas!$B$54*(1+Premissas!$B$57)^INT((A92-1)/12)</x:f>
        <x:v>1052.5411812939524</x:v>
      </x:c>
      <x:c r="E92" s="141" t="n">
        <x:f>Premissas!$B$64*(1+Premissas!$B$57)^INT((A92-1)/12)</x:f>
        <x:v>962.3233657544708</x:v>
      </x:c>
      <x:c r="F92" s="141" t="n">
        <x:f>MAX(0,Premissas!$B$6*(1+Premissas!$B$66)^((A92-1)/12))</x:f>
        <x:v>305138.85962126823</x:v>
      </x:c>
      <x:c r="G92" s="141" t="n">
        <x:f>G91*(1+Premissas!$B$41)+C92</x:f>
        <x:v>1160599.2941082583</x:v>
      </x:c>
      <x:c r="H92" s="141" t="n">
        <x:f>IF($A92=Premissas!$B$48,Premissas!$B$8,0)</x:f>
        <x:v>0</x:v>
      </x:c>
      <x:c r="I92" s="141" t="n">
        <x:f>IF(AND($A92&gt;=Premissas!$B$48,$A92-Premissas!$B$48+1&lt;=Premissas!$B$13),INDEX(Financiamento!$J$6:$J$485,$A92-Premissas!$B$48+1),0)</x:f>
        <x:v>1734.673541796633</x:v>
      </x:c>
      <x:c r="J92" s="141" t="n">
        <x:f>IF(AND(TRUE,Premissas!$B$11="Imovel",Premissas!$B$47="Moradia",$A92&lt;MAX(Premissas!$B$48,Premissas!$B$49)),$D92,0)</x:f>
        <x:v>0</x:v>
      </x:c>
      <x:c r="K92" s="141" t="n">
        <x:f>IF(AND(TRUE,Premissas!$B$11="Imovel",Premissas!$B$47="Investimento",$A92&gt;=MAX(Premissas!$B$48,Premissas!$B$49)),$E92,0)</x:f>
        <x:v>962.3233657544708</x:v>
      </x:c>
      <x:c r="L92" s="141" t="n">
        <x:f>H92+I92+J92</x:f>
        <x:v>1734.673541796633</x:v>
      </x:c>
      <x:c r="M92" s="141" t="n">
        <x:f>K92</x:f>
        <x:v>962.3233657544708</x:v>
      </x:c>
      <x:c r="N92" s="141" t="n">
        <x:f>$C92+M92-L92</x:f>
        <x:v>6227.649823957838</x:v>
      </x:c>
      <x:c r="O92" s="141" t="n">
        <x:f>R91*(1+Premissas!$B$41)+N92</x:f>
        <x:v>911251.3896139364</x:v>
      </x:c>
      <x:c r="P92" s="141" t="n">
        <x:f>MAX(0,-O92)</x:f>
        <x:v>0</x:v>
      </x:c>
      <x:c r="Q92" s="141" t="n">
        <x:f>Q91*(1+Premissas!$B$41)+P92</x:f>
        <x:v>0</x:v>
      </x:c>
      <x:c r="R92" s="141" t="n">
        <x:f>MAX(0,O92)</x:f>
        <x:v>911251.3896139364</x:v>
      </x:c>
      <x:c r="S92" s="141" t="n">
        <x:f>IF(AND($A92&gt;=Premissas!$B$48,$A92-Premissas!$B$48+1&lt;=Premissas!$B$13),INDEX(Financiamento!$M$6:$M$485,$A92-Premissas!$B$48+1),0)</x:f>
        <x:v>126476.19047619069</x:v>
      </x:c>
      <x:c r="T92" s="141" t="n">
        <x:f>IF($A92&gt;=Premissas!$B$48,$F92,0)</x:f>
        <x:v>305138.85962126823</x:v>
      </x:c>
      <x:c r="U92" s="141" t="n">
        <x:f>R92+T92-S92</x:f>
        <x:v>1089914.058759014</x:v>
      </x:c>
      <x:c r="V92" s="141" t="n">
        <x:f>IF(Q92&gt;1,"Inviavel",U92)</x:f>
        <x:v>1089914.058759014</x:v>
      </x:c>
      <x:c r="W92" s="141" t="str">
        <x:f>IF(Q92&gt;1,"Inviavel","OK")</x:f>
        <x:v>OK</x:v>
      </x:c>
      <x:c r="X92" s="141" t="n">
        <x:f>IF($A92=Premissas!$B$48,Premissas!$B$8,0)</x:f>
        <x:v>0</x:v>
      </x:c>
      <x:c r="Y92" s="141" t="n">
        <x:f>IF(AND($A92&gt;=Premissas!$B$48,$A92-Premissas!$B$48+1&lt;=Premissas!$B$13),INDEX(Amortizacao!$K$6:$K$485,$A92-Premissas!$B$48+1),0)</x:f>
        <x:v>0</x:v>
      </x:c>
      <x:c r="Z92" s="141" t="n">
        <x:f>IF(AND(TRUE,Premissas!$B$11="Imovel",Premissas!$B$47="Moradia",$A92&lt;MAX(Premissas!$B$48,Premissas!$B$49)),$D92,0)</x:f>
        <x:v>0</x:v>
      </x:c>
      <x:c r="AA92" s="141" t="n">
        <x:f>IF(AND(TRUE,Premissas!$B$11="Imovel",Premissas!$B$47="Investimento",$A92&gt;=MAX(Premissas!$B$48,Premissas!$B$49)),$E92,0)</x:f>
        <x:v>962.3233657544708</x:v>
      </x:c>
      <x:c r="AB92" s="141" t="n">
        <x:f>X92+Y92+Z92</x:f>
        <x:v>0</x:v>
      </x:c>
      <x:c r="AC92" s="141" t="n">
        <x:f>AA92</x:f>
        <x:v>962.3233657544708</x:v>
      </x:c>
      <x:c r="AD92" s="141" t="n">
        <x:f>$C92+AC92-AB92</x:f>
        <x:v>7962.323365754471</x:v>
      </x:c>
      <x:c r="AE92" s="141" t="n">
        <x:f>AH91*(1+Premissas!$B$41)+AD92</x:f>
        <x:v>797090.741017776</x:v>
      </x:c>
      <x:c r="AF92" s="141" t="n">
        <x:f>MAX(0,-AE92)</x:f>
        <x:v>0</x:v>
      </x:c>
      <x:c r="AG92" s="141" t="n">
        <x:f>AG91*(1+Premissas!$B$41)+AF92</x:f>
        <x:v>0</x:v>
      </x:c>
      <x:c r="AH92" s="141" t="n">
        <x:f>MAX(0,AE92)</x:f>
        <x:v>797090.741017776</x:v>
      </x:c>
      <x:c r="AI92" s="141" t="n">
        <x:f>IF(AND($A92&gt;=Premissas!$B$48,$A92-Premissas!$B$48+1&lt;=Premissas!$B$13),INDEX(Amortizacao!$L$6:$L$485,$A92-Premissas!$B$48+1),0)</x:f>
        <x:v>0</x:v>
      </x:c>
      <x:c r="AJ92" s="141" t="n">
        <x:f>IF($A92&gt;=Premissas!$B$48,$F92,0)</x:f>
        <x:v>305138.85962126823</x:v>
      </x:c>
      <x:c r="AK92" s="141" t="n">
        <x:f>AH92+AJ92-AI92</x:f>
        <x:v>1102229.6006390443</x:v>
      </x:c>
      <x:c r="AL92" s="141" t="n">
        <x:f>IF(AG92&gt;1,"Inviavel",AK92)</x:f>
        <x:v>1102229.6006390443</x:v>
      </x:c>
      <x:c r="AM92" s="141" t="str">
        <x:f>IF(AG92&gt;1,"Inviavel","OK")</x:f>
        <x:v>OK</x:v>
      </x:c>
      <x:c r="AN92" s="141" t="n">
        <x:f>IF($A92=Premissas!$B$48,Premissas!$B$8,0)</x:f>
        <x:v>0</x:v>
      </x:c>
      <x:c r="AO92" s="141" t="n">
        <x:f>IF($A92&lt;=Premissas!$B$25,INDEX('Consorcio IQ'!$K$6:$K$485,$A92),0)</x:f>
        <x:v>857.7697232000017</x:v>
      </x:c>
      <x:c r="AP92" s="141" t="n">
        <x:f>IF(AND(TRUE,Premissas!$B$11="Imovel",Premissas!$B$47="Moradia",$A92&lt;MAX(Premissas!$B$48,Premissas!$B$49)),$D92,0)</x:f>
        <x:v>0</x:v>
      </x:c>
      <x:c r="AQ92" s="141" t="n">
        <x:f>IF(AND(TRUE,Premissas!$B$11="Imovel",Premissas!$B$47="Investimento",$A92&gt;=MAX(Premissas!$B$48,Premissas!$B$49)),$E92,0)</x:f>
        <x:v>962.3233657544708</x:v>
      </x:c>
      <x:c r="AR92" s="141" t="n">
        <x:f>AN92+AO92+AP92</x:f>
        <x:v>857.7697232000017</x:v>
      </x:c>
      <x:c r="AS92" s="141" t="n">
        <x:f>AQ92</x:f>
        <x:v>962.3233657544708</x:v>
      </x:c>
      <x:c r="AT92" s="141" t="n">
        <x:f>$C92+AS92-AR92</x:f>
        <x:v>7104.553642554469</x:v>
      </x:c>
      <x:c r="AU92" s="141" t="n">
        <x:f>AX91*(1+Premissas!$B$41)+AT92</x:f>
        <x:v>876446.2299615897</x:v>
      </x:c>
      <x:c r="AV92" s="141" t="n">
        <x:f>MAX(0,-AU92)</x:f>
        <x:v>0</x:v>
      </x:c>
      <x:c r="AW92" s="141" t="n">
        <x:f>AW91*(1+Premissas!$B$41)+AV92</x:f>
        <x:v>0</x:v>
      </x:c>
      <x:c r="AX92" s="141" t="n">
        <x:f>MAX(0,AU92)</x:f>
        <x:v>876446.2299615897</x:v>
      </x:c>
      <x:c r="AY92" s="141" t="n">
        <x:f>INDEX('Consorcio IQ'!$P$6:$P$485,$A92)</x:f>
        <x:v>92498.79515831335</x:v>
      </x:c>
      <x:c r="AZ92" s="141" t="n">
        <x:f>IF($A92&gt;=Premissas!$B$48,$F92,0)+IF($A92&lt;Premissas!$B$27,INDEX('Consorcio IQ'!$O$6:$O$485,$A92),0)</x:f>
        <x:v>305138.85962126823</x:v>
      </x:c>
      <x:c r="BA92" s="141" t="n">
        <x:f>AX92+AZ92-AY92</x:f>
        <x:v>1089086.2944245446</x:v>
      </x:c>
      <x:c r="BB92" s="141" t="n">
        <x:f>IF(AW92&gt;1,"Inviavel",BA92)</x:f>
        <x:v>1089086.2944245446</x:v>
      </x:c>
      <x:c r="BC92" s="141" t="str">
        <x:f>IF(AW92&gt;1,"Inviavel","OK")</x:f>
        <x:v>OK</x:v>
      </x:c>
      <x:c r="BD92" s="141" t="n">
        <x:f>IF($A92='Consorcio Direto'!$B$29,'Consorcio Direto'!$B$44,0)</x:f>
        <x:v>0</x:v>
      </x:c>
      <x:c r="BE92" s="141" t="n">
        <x:f>IF($A92&lt;='Consorcio Direto'!$B$27,INDEX('Consorcio Direto'!$E$55:$E$534,$A92),0)</x:f>
        <x:v>2221.195353451511</x:v>
      </x:c>
      <x:c r="BF92" s="141" t="n">
        <x:f>IF(AND(TRUE,Premissas!$B$11="Imovel",Premissas!$B$47="Moradia",$A92&lt;MAX('Consorcio Direto'!$B$29,Premissas!$B$49)),$D92,0)</x:f>
        <x:v>0</x:v>
      </x:c>
      <x:c r="BG92" s="141" t="n">
        <x:f>IF(AND(TRUE,Premissas!$B$11="Imovel",Premissas!$B$47="Investimento",$A92&gt;=MAX('Consorcio Direto'!$B$29,Premissas!$B$49)),$E92,0)</x:f>
        <x:v>962.3233657544708</x:v>
      </x:c>
      <x:c r="BH92" s="141" t="n">
        <x:f>BD92+BE92+BF92</x:f>
        <x:v>2221.195353451511</x:v>
      </x:c>
      <x:c r="BI92" s="141" t="n">
        <x:f>BG92</x:f>
        <x:v>962.3233657544708</x:v>
      </x:c>
      <x:c r="BJ92" s="141" t="n">
        <x:f>$C92+BI92-BH92</x:f>
        <x:v>5741.128012302959</x:v>
      </x:c>
      <x:c r="BK92" s="141" t="n">
        <x:f>BN91*(1+Premissas!$B$41)+BJ92</x:f>
        <x:v>952441.5911336866</x:v>
      </x:c>
      <x:c r="BL92" s="141" t="n">
        <x:f>MAX(0,-BK92)</x:f>
        <x:v>0</x:v>
      </x:c>
      <x:c r="BM92" s="141" t="n">
        <x:f>BM91*(1+Premissas!$B$41)+BL92</x:f>
        <x:v>0</x:v>
      </x:c>
      <x:c r="BN92" s="141" t="n">
        <x:f>MAX(0,BK92)</x:f>
        <x:v>952441.5911336866</x:v>
      </x:c>
      <x:c r="BO92" s="141" t="n">
        <x:f>INDEX('Consorcio Direto'!$K$55:$K$534,$A92)</x:f>
        <x:v>239525.70071956623</x:v>
      </x:c>
      <x:c r="BP92" s="141" t="n">
        <x:f>IF($A92&lt;'Consorcio Direto'!$B$29,INDEX('Consorcio Direto'!$L$55:$L$534,$A92),$F92)</x:f>
        <x:v>305138.85962126823</x:v>
      </x:c>
      <x:c r="BQ92" s="141" t="n">
        <x:f>BN92+BP92-BO92</x:f>
        <x:v>1018054.7500353887</x:v>
      </x:c>
      <x:c r="BR92" s="141" t="n">
        <x:f>IF(BM92&gt;1,"Inviavel",BQ92)</x:f>
        <x:v>1018054.7500353887</x:v>
      </x:c>
      <x:c r="BS92" s="141" t="str">
        <x:f>IF(BM92&gt;1,"Inviavel","OK")</x:f>
        <x:v>OK</x:v>
      </x:c>
      <x:c r="BT92" s="141" t="n">
        <x:f>IF(AND('Carta Contemplada'!$B$22="Sim",$A92='Carta Contemplada'!$B$23),'Carta Contemplada'!$B$37,0)</x:f>
        <x:v>0</x:v>
      </x:c>
      <x:c r="BU92" s="141" t="n">
        <x:f>IF('Carta Contemplada'!$B$22="Sim",INDEX('Carta Contemplada'!$C$55:$C$1013,$A92),0)</x:f>
        <x:v>1804.3563107896327</x:v>
      </x:c>
      <x:c r="BV92" s="141" t="n">
        <x:f>IF(AND('Carta Contemplada'!$B$22="Sim",Premissas!$B$11="Imovel",Premissas!$B$47="Moradia",$A92&lt;MAX('Carta Contemplada'!$B$44,Premissas!$B$49)),$D92,0)</x:f>
        <x:v>0</x:v>
      </x:c>
      <x:c r="BW92" s="141" t="n">
        <x:f>IF(AND('Carta Contemplada'!$B$22="Sim",Premissas!$B$11="Imovel",Premissas!$B$47="Investimento",$A92&gt;=MAX('Carta Contemplada'!$B$44,Premissas!$B$49)),$E92,0)</x:f>
        <x:v>962.3233657544708</x:v>
      </x:c>
      <x:c r="BX92" s="141" t="n">
        <x:f>BT92+BU92+BV92</x:f>
        <x:v>1804.3563107896327</x:v>
      </x:c>
      <x:c r="BY92" s="141" t="n">
        <x:f>BW92</x:f>
        <x:v>962.3233657544708</x:v>
      </x:c>
      <x:c r="BZ92" s="141" t="n">
        <x:f>$C92+BY92-BX92</x:f>
        <x:v>6157.967054964838</x:v>
      </x:c>
      <x:c r="CA92" s="141" t="n">
        <x:f>CD91*(1+Premissas!$B$41)+BZ92</x:f>
        <x:v>963626.0032357902</x:v>
      </x:c>
      <x:c r="CB92" s="141" t="n">
        <x:f>MAX(0,-CA92)</x:f>
        <x:v>0</x:v>
      </x:c>
      <x:c r="CC92" s="141" t="n">
        <x:f>CC91*(1+Premissas!$B$41)+CB92</x:f>
        <x:v>0</x:v>
      </x:c>
      <x:c r="CD92" s="141" t="n">
        <x:f>MAX(0,CA92)</x:f>
        <x:v>963626.0032357902</x:v>
      </x:c>
      <x:c r="CE92" s="141" t="n">
        <x:f>IF(AND('Carta Contemplada'!$B$22="Sim",$A92&gt;='Carta Contemplada'!$B$23),INDEX('Carta Contemplada'!$I$55:$I$1013,$A92),0)</x:f>
        <x:v>133390.31401044806</x:v>
      </x:c>
      <x:c r="CF92" s="141" t="n">
        <x:f>IF(AND('Carta Contemplada'!$B$22="Sim",$A92&gt;='Carta Contemplada'!$B$44),$F92,0)</x:f>
        <x:v>305138.85962126823</x:v>
      </x:c>
      <x:c r="CG92" s="141" t="n">
        <x:f>CD92+CF92-CE92</x:f>
        <x:v>1135374.5488466104</x:v>
      </x:c>
      <x:c r="CH92" s="141" t="n">
        <x:f>IF(CC92&gt;1,"Inviavel",CG92)</x:f>
        <x:v>1135374.5488466104</x:v>
      </x:c>
      <x:c r="CI92" s="145" t="str">
        <x:f>IF(CC92&gt;1,"Inviavel","OK")</x:f>
        <x:v>OK</x:v>
      </x:c>
    </x:row>
    <x:row r="93">
      <x:c r="A93" s="142" t="n">
        <x:v>89</x:v>
      </x:c>
      <x:c r="B93" s="179" t="n">
        <x:f>EDATE(Premissas!$B$4,A93-1)</x:f>
        <x:v>49218</x:v>
      </x:c>
      <x:c r="C93" s="141" t="n">
        <x:f>IF(A93&lt;=Premissas!$B$39,Premissas!$B$42,0)</x:f>
        <x:v>7000</x:v>
      </x:c>
      <x:c r="D93" s="141" t="n">
        <x:f>Premissas!$B$54*(1+Premissas!$B$57)^INT((A93-1)/12)</x:f>
        <x:v>1052.5411812939524</x:v>
      </x:c>
      <x:c r="E93" s="141" t="n">
        <x:f>Premissas!$B$64*(1+Premissas!$B$57)^INT((A93-1)/12)</x:f>
        <x:v>962.3233657544708</x:v>
      </x:c>
      <x:c r="F93" s="141" t="n">
        <x:f>MAX(0,Premissas!$B$6*(1+Premissas!$B$66)^((A93-1)/12))</x:f>
        <x:v>306624.1384499259</x:v>
      </x:c>
      <x:c r="G93" s="141" t="n">
        <x:f>G92*(1+Premissas!$B$41)+C93</x:f>
        <x:v>1178611.9804900747</x:v>
      </x:c>
      <x:c r="H93" s="141" t="n">
        <x:f>IF($A93=Premissas!$B$48,Premissas!$B$8,0)</x:f>
        <x:v>0</x:v>
      </x:c>
      <x:c r="I93" s="141" t="n">
        <x:f>IF(AND($A93&gt;=Premissas!$B$48,$A93-Premissas!$B$48+1&lt;=Premissas!$B$13),INDEX(Financiamento!$J$6:$J$485,$A93-Premissas!$B$48+1),0)</x:f>
        <x:v>1731.0587635358395</x:v>
      </x:c>
      <x:c r="J93" s="141" t="n">
        <x:f>IF(AND(TRUE,Premissas!$B$11="Imovel",Premissas!$B$47="Moradia",$A93&lt;MAX(Premissas!$B$48,Premissas!$B$49)),$D93,0)</x:f>
        <x:v>0</x:v>
      </x:c>
      <x:c r="K93" s="141" t="n">
        <x:f>IF(AND(TRUE,Premissas!$B$11="Imovel",Premissas!$B$47="Investimento",$A93&gt;=MAX(Premissas!$B$48,Premissas!$B$49)),$E93,0)</x:f>
        <x:v>962.3233657544708</x:v>
      </x:c>
      <x:c r="L93" s="141" t="n">
        <x:f>H93+I93+J93</x:f>
        <x:v>1731.0587635358395</x:v>
      </x:c>
      <x:c r="M93" s="141" t="n">
        <x:f>K93</x:f>
        <x:v>962.3233657544708</x:v>
      </x:c>
      <x:c r="N93" s="141" t="n">
        <x:f>$C93+M93-L93</x:f>
        <x:v>6231.264602218631</x:v>
      </x:c>
      <x:c r="O93" s="141" t="n">
        <x:f>R92*(1+Premissas!$B$41)+N93</x:f>
        <x:v>926129.3299635528</x:v>
      </x:c>
      <x:c r="P93" s="141" t="n">
        <x:f>MAX(0,-O93)</x:f>
        <x:v>0</x:v>
      </x:c>
      <x:c r="Q93" s="141" t="n">
        <x:f>Q92*(1+Premissas!$B$41)+P93</x:f>
        <x:v>0</x:v>
      </x:c>
      <x:c r="R93" s="141" t="n">
        <x:f>MAX(0,O93)</x:f>
        <x:v>926129.3299635528</x:v>
      </x:c>
      <x:c r="S93" s="141" t="n">
        <x:f>IF(AND($A93&gt;=Premissas!$B$48,$A93-Premissas!$B$48+1&lt;=Premissas!$B$13),INDEX(Financiamento!$M$6:$M$485,$A93-Premissas!$B$48+1),0)</x:f>
        <x:v>126095.23809523831</x:v>
      </x:c>
      <x:c r="T93" s="141" t="n">
        <x:f>IF($A93&gt;=Premissas!$B$48,$F93,0)</x:f>
        <x:v>306624.1384499259</x:v>
      </x:c>
      <x:c r="U93" s="141" t="n">
        <x:f>R93+T93-S93</x:f>
        <x:v>1106658.2303182404</x:v>
      </x:c>
      <x:c r="V93" s="141" t="n">
        <x:f>IF(Q93&gt;1,"Inviavel",U93)</x:f>
        <x:v>1106658.2303182404</x:v>
      </x:c>
      <x:c r="W93" s="141" t="str">
        <x:f>IF(Q93&gt;1,"Inviavel","OK")</x:f>
        <x:v>OK</x:v>
      </x:c>
      <x:c r="X93" s="141" t="n">
        <x:f>IF($A93=Premissas!$B$48,Premissas!$B$8,0)</x:f>
        <x:v>0</x:v>
      </x:c>
      <x:c r="Y93" s="141" t="n">
        <x:f>IF(AND($A93&gt;=Premissas!$B$48,$A93-Premissas!$B$48+1&lt;=Premissas!$B$13),INDEX(Amortizacao!$K$6:$K$485,$A93-Premissas!$B$48+1),0)</x:f>
        <x:v>0</x:v>
      </x:c>
      <x:c r="Z93" s="141" t="n">
        <x:f>IF(AND(TRUE,Premissas!$B$11="Imovel",Premissas!$B$47="Moradia",$A93&lt;MAX(Premissas!$B$48,Premissas!$B$49)),$D93,0)</x:f>
        <x:v>0</x:v>
      </x:c>
      <x:c r="AA93" s="141" t="n">
        <x:f>IF(AND(TRUE,Premissas!$B$11="Imovel",Premissas!$B$47="Investimento",$A93&gt;=MAX(Premissas!$B$48,Premissas!$B$49)),$E93,0)</x:f>
        <x:v>962.3233657544708</x:v>
      </x:c>
      <x:c r="AB93" s="141" t="n">
        <x:f>X93+Y93+Z93</x:f>
        <x:v>0</x:v>
      </x:c>
      <x:c r="AC93" s="141" t="n">
        <x:f>AA93</x:f>
        <x:v>962.3233657544708</x:v>
      </x:c>
      <x:c r="AD93" s="141" t="n">
        <x:f>$C93+AC93-AB93</x:f>
        <x:v>7962.323365754471</x:v>
      </x:c>
      <x:c r="AE93" s="141" t="n">
        <x:f>AH92*(1+Premissas!$B$41)+AD93</x:f>
        <x:v>812616.4933751215</x:v>
      </x:c>
      <x:c r="AF93" s="141" t="n">
        <x:f>MAX(0,-AE93)</x:f>
        <x:v>0</x:v>
      </x:c>
      <x:c r="AG93" s="141" t="n">
        <x:f>AG92*(1+Premissas!$B$41)+AF93</x:f>
        <x:v>0</x:v>
      </x:c>
      <x:c r="AH93" s="141" t="n">
        <x:f>MAX(0,AE93)</x:f>
        <x:v>812616.4933751215</x:v>
      </x:c>
      <x:c r="AI93" s="141" t="n">
        <x:f>IF(AND($A93&gt;=Premissas!$B$48,$A93-Premissas!$B$48+1&lt;=Premissas!$B$13),INDEX(Amortizacao!$L$6:$L$485,$A93-Premissas!$B$48+1),0)</x:f>
        <x:v>0</x:v>
      </x:c>
      <x:c r="AJ93" s="141" t="n">
        <x:f>IF($A93&gt;=Premissas!$B$48,$F93,0)</x:f>
        <x:v>306624.1384499259</x:v>
      </x:c>
      <x:c r="AK93" s="141" t="n">
        <x:f>AH93+AJ93-AI93</x:f>
        <x:v>1119240.6318250473</x:v>
      </x:c>
      <x:c r="AL93" s="141" t="n">
        <x:f>IF(AG93&gt;1,"Inviavel",AK93)</x:f>
        <x:v>1119240.6318250473</x:v>
      </x:c>
      <x:c r="AM93" s="141" t="str">
        <x:f>IF(AG93&gt;1,"Inviavel","OK")</x:f>
        <x:v>OK</x:v>
      </x:c>
      <x:c r="AN93" s="141" t="n">
        <x:f>IF($A93=Premissas!$B$48,Premissas!$B$8,0)</x:f>
        <x:v>0</x:v>
      </x:c>
      <x:c r="AO93" s="141" t="n">
        <x:f>IF($A93&lt;=Premissas!$B$25,INDEX('Consorcio IQ'!$K$6:$K$485,$A93),0)</x:f>
        <x:v>857.7697232000017</x:v>
      </x:c>
      <x:c r="AP93" s="141" t="n">
        <x:f>IF(AND(TRUE,Premissas!$B$11="Imovel",Premissas!$B$47="Moradia",$A93&lt;MAX(Premissas!$B$48,Premissas!$B$49)),$D93,0)</x:f>
        <x:v>0</x:v>
      </x:c>
      <x:c r="AQ93" s="141" t="n">
        <x:f>IF(AND(TRUE,Premissas!$B$11="Imovel",Premissas!$B$47="Investimento",$A93&gt;=MAX(Premissas!$B$48,Premissas!$B$49)),$E93,0)</x:f>
        <x:v>962.3233657544708</x:v>
      </x:c>
      <x:c r="AR93" s="141" t="n">
        <x:f>AN93+AO93+AP93</x:f>
        <x:v>857.7697232000017</x:v>
      </x:c>
      <x:c r="AS93" s="141" t="n">
        <x:f>AQ93</x:f>
        <x:v>962.3233657544708</x:v>
      </x:c>
      <x:c r="AT93" s="141" t="n">
        <x:f>$C93+AS93-AR93</x:f>
        <x:v>7104.553642554469</x:v>
      </x:c>
      <x:c r="AU93" s="141" t="n">
        <x:f>AX92*(1+Premissas!$B$41)+AT93</x:f>
        <x:v>891867.2003985456</x:v>
      </x:c>
      <x:c r="AV93" s="141" t="n">
        <x:f>MAX(0,-AU93)</x:f>
        <x:v>0</x:v>
      </x:c>
      <x:c r="AW93" s="141" t="n">
        <x:f>AW92*(1+Premissas!$B$41)+AV93</x:f>
        <x:v>0</x:v>
      </x:c>
      <x:c r="AX93" s="141" t="n">
        <x:f>MAX(0,AU93)</x:f>
        <x:v>891867.2003985456</x:v>
      </x:c>
      <x:c r="AY93" s="141" t="n">
        <x:f>INDEX('Consorcio IQ'!$P$6:$P$485,$A93)</x:f>
        <x:v>92518.727349069</x:v>
      </x:c>
      <x:c r="AZ93" s="141" t="n">
        <x:f>IF($A93&gt;=Premissas!$B$48,$F93,0)+IF($A93&lt;Premissas!$B$27,INDEX('Consorcio IQ'!$O$6:$O$485,$A93),0)</x:f>
        <x:v>306624.1384499259</x:v>
      </x:c>
      <x:c r="BA93" s="141" t="n">
        <x:f>AX93+AZ93-AY93</x:f>
        <x:v>1105972.6114994024</x:v>
      </x:c>
      <x:c r="BB93" s="141" t="n">
        <x:f>IF(AW93&gt;1,"Inviavel",BA93)</x:f>
        <x:v>1105972.6114994024</x:v>
      </x:c>
      <x:c r="BC93" s="141" t="str">
        <x:f>IF(AW93&gt;1,"Inviavel","OK")</x:f>
        <x:v>OK</x:v>
      </x:c>
      <x:c r="BD93" s="141" t="n">
        <x:f>IF($A93='Consorcio Direto'!$B$29,'Consorcio Direto'!$B$44,0)</x:f>
        <x:v>0</x:v>
      </x:c>
      <x:c r="BE93" s="141" t="n">
        <x:f>IF($A93&lt;='Consorcio Direto'!$B$27,INDEX('Consorcio Direto'!$E$55:$E$534,$A93),0)</x:f>
        <x:v>2221.195353451511</x:v>
      </x:c>
      <x:c r="BF93" s="141" t="n">
        <x:f>IF(AND(TRUE,Premissas!$B$11="Imovel",Premissas!$B$47="Moradia",$A93&lt;MAX('Consorcio Direto'!$B$29,Premissas!$B$49)),$D93,0)</x:f>
        <x:v>0</x:v>
      </x:c>
      <x:c r="BG93" s="141" t="n">
        <x:f>IF(AND(TRUE,Premissas!$B$11="Imovel",Premissas!$B$47="Investimento",$A93&gt;=MAX('Consorcio Direto'!$B$29,Premissas!$B$49)),$E93,0)</x:f>
        <x:v>962.3233657544708</x:v>
      </x:c>
      <x:c r="BH93" s="141" t="n">
        <x:f>BD93+BE93+BF93</x:f>
        <x:v>2221.195353451511</x:v>
      </x:c>
      <x:c r="BI93" s="141" t="n">
        <x:f>BG93</x:f>
        <x:v>962.3233657544708</x:v>
      </x:c>
      <x:c r="BJ93" s="141" t="n">
        <x:f>$C93+BI93-BH93</x:f>
        <x:v>5741.128012302959</x:v>
      </x:c>
      <x:c r="BK93" s="141" t="n">
        <x:f>BN92*(1+Premissas!$B$41)+BJ93</x:f>
        <x:v>967220.2401865419</x:v>
      </x:c>
      <x:c r="BL93" s="141" t="n">
        <x:f>MAX(0,-BK93)</x:f>
        <x:v>0</x:v>
      </x:c>
      <x:c r="BM93" s="141" t="n">
        <x:f>BM92*(1+Premissas!$B$41)+BL93</x:f>
        <x:v>0</x:v>
      </x:c>
      <x:c r="BN93" s="141" t="n">
        <x:f>MAX(0,BK93)</x:f>
        <x:v>967220.2401865419</x:v>
      </x:c>
      <x:c r="BO93" s="141" t="n">
        <x:f>INDEX('Consorcio Direto'!$K$55:$K$534,$A93)</x:f>
        <x:v>239577.3151427536</x:v>
      </x:c>
      <x:c r="BP93" s="141" t="n">
        <x:f>IF($A93&lt;'Consorcio Direto'!$B$29,INDEX('Consorcio Direto'!$L$55:$L$534,$A93),$F93)</x:f>
        <x:v>306624.1384499259</x:v>
      </x:c>
      <x:c r="BQ93" s="141" t="n">
        <x:f>BN93+BP93-BO93</x:f>
        <x:v>1034267.0634937142</x:v>
      </x:c>
      <x:c r="BR93" s="141" t="n">
        <x:f>IF(BM93&gt;1,"Inviavel",BQ93)</x:f>
        <x:v>1034267.0634937142</x:v>
      </x:c>
      <x:c r="BS93" s="141" t="str">
        <x:f>IF(BM93&gt;1,"Inviavel","OK")</x:f>
        <x:v>OK</x:v>
      </x:c>
      <x:c r="BT93" s="141" t="n">
        <x:f>IF(AND('Carta Contemplada'!$B$22="Sim",$A93='Carta Contemplada'!$B$23),'Carta Contemplada'!$B$37,0)</x:f>
        <x:v>0</x:v>
      </x:c>
      <x:c r="BU93" s="141" t="n">
        <x:f>IF('Carta Contemplada'!$B$22="Sim",INDEX('Carta Contemplada'!$C$55:$C$1013,$A93),0)</x:f>
        <x:v>1804.3563107896327</x:v>
      </x:c>
      <x:c r="BV93" s="141" t="n">
        <x:f>IF(AND('Carta Contemplada'!$B$22="Sim",Premissas!$B$11="Imovel",Premissas!$B$47="Moradia",$A93&lt;MAX('Carta Contemplada'!$B$44,Premissas!$B$49)),$D93,0)</x:f>
        <x:v>0</x:v>
      </x:c>
      <x:c r="BW93" s="141" t="n">
        <x:f>IF(AND('Carta Contemplada'!$B$22="Sim",Premissas!$B$11="Imovel",Premissas!$B$47="Investimento",$A93&gt;=MAX('Carta Contemplada'!$B$44,Premissas!$B$49)),$E93,0)</x:f>
        <x:v>962.3233657544708</x:v>
      </x:c>
      <x:c r="BX93" s="141" t="n">
        <x:f>BT93+BU93+BV93</x:f>
        <x:v>1804.3563107896327</x:v>
      </x:c>
      <x:c r="BY93" s="141" t="n">
        <x:f>BW93</x:f>
        <x:v>962.3233657544708</x:v>
      </x:c>
      <x:c r="BZ93" s="141" t="n">
        <x:f>$C93+BY93-BX93</x:f>
        <x:v>6157.967054964838</x:v>
      </x:c>
      <x:c r="CA93" s="141" t="n">
        <x:f>CD92*(1+Premissas!$B$41)+BZ93</x:f>
        <x:v>978927.6179018393</x:v>
      </x:c>
      <x:c r="CB93" s="141" t="n">
        <x:f>MAX(0,-CA93)</x:f>
        <x:v>0</x:v>
      </x:c>
      <x:c r="CC93" s="141" t="n">
        <x:f>CC92*(1+Premissas!$B$41)+CB93</x:f>
        <x:v>0</x:v>
      </x:c>
      <x:c r="CD93" s="141" t="n">
        <x:f>MAX(0,CA93)</x:f>
        <x:v>978927.6179018393</x:v>
      </x:c>
      <x:c r="CE93" s="141" t="n">
        <x:f>IF(AND('Carta Contemplada'!$B$22="Sim",$A93&gt;='Carta Contemplada'!$B$23),INDEX('Carta Contemplada'!$I$55:$I$1013,$A93),0)</x:f>
        <x:v>132851.67076878258</x:v>
      </x:c>
      <x:c r="CF93" s="141" t="n">
        <x:f>IF(AND('Carta Contemplada'!$B$22="Sim",$A93&gt;='Carta Contemplada'!$B$44),$F93,0)</x:f>
        <x:v>306624.1384499259</x:v>
      </x:c>
      <x:c r="CG93" s="141" t="n">
        <x:f>CD93+CF93-CE93</x:f>
        <x:v>1152700.0855829827</x:v>
      </x:c>
      <x:c r="CH93" s="141" t="n">
        <x:f>IF(CC93&gt;1,"Inviavel",CG93)</x:f>
        <x:v>1152700.0855829827</x:v>
      </x:c>
      <x:c r="CI93" s="145" t="str">
        <x:f>IF(CC93&gt;1,"Inviavel","OK")</x:f>
        <x:v>OK</x:v>
      </x:c>
    </x:row>
    <x:row r="94">
      <x:c r="A94" s="142" t="n">
        <x:v>90</x:v>
      </x:c>
      <x:c r="B94" s="179" t="n">
        <x:f>EDATE(Premissas!$B$4,A94-1)</x:f>
        <x:v>49249</x:v>
      </x:c>
      <x:c r="C94" s="141" t="n">
        <x:f>IF(A94&lt;=Premissas!$B$39,Premissas!$B$42,0)</x:f>
        <x:v>7000</x:v>
      </x:c>
      <x:c r="D94" s="141" t="n">
        <x:f>Premissas!$B$54*(1+Premissas!$B$57)^INT((A94-1)/12)</x:f>
        <x:v>1052.5411812939524</x:v>
      </x:c>
      <x:c r="E94" s="141" t="n">
        <x:f>Premissas!$B$64*(1+Premissas!$B$57)^INT((A94-1)/12)</x:f>
        <x:v>962.3233657544708</x:v>
      </x:c>
      <x:c r="F94" s="141" t="n">
        <x:f>MAX(0,Premissas!$B$6*(1+Premissas!$B$66)^((A94-1)/12))</x:f>
        <x:v>308116.64694838563</x:v>
      </x:c>
      <x:c r="G94" s="141" t="n">
        <x:f>G93*(1+Premissas!$B$41)+C94</x:f>
        <x:v>1196795.585523164</x:v>
      </x:c>
      <x:c r="H94" s="141" t="n">
        <x:f>IF($A94=Premissas!$B$48,Premissas!$B$8,0)</x:f>
        <x:v>0</x:v>
      </x:c>
      <x:c r="I94" s="141" t="n">
        <x:f>IF(AND($A94&gt;=Premissas!$B$48,$A94-Premissas!$B$48+1&lt;=Premissas!$B$13),INDEX(Financiamento!$J$6:$J$485,$A94-Premissas!$B$48+1),0)</x:f>
        <x:v>1727.4439852750459</x:v>
      </x:c>
      <x:c r="J94" s="141" t="n">
        <x:f>IF(AND(TRUE,Premissas!$B$11="Imovel",Premissas!$B$47="Moradia",$A94&lt;MAX(Premissas!$B$48,Premissas!$B$49)),$D94,0)</x:f>
        <x:v>0</x:v>
      </x:c>
      <x:c r="K94" s="141" t="n">
        <x:f>IF(AND(TRUE,Premissas!$B$11="Imovel",Premissas!$B$47="Investimento",$A94&gt;=MAX(Premissas!$B$48,Premissas!$B$49)),$E94,0)</x:f>
        <x:v>962.3233657544708</x:v>
      </x:c>
      <x:c r="L94" s="141" t="n">
        <x:f>H94+I94+J94</x:f>
        <x:v>1727.4439852750459</x:v>
      </x:c>
      <x:c r="M94" s="141" t="n">
        <x:f>K94</x:f>
        <x:v>962.3233657544708</x:v>
      </x:c>
      <x:c r="N94" s="141" t="n">
        <x:f>$C94+M94-L94</x:f>
        <x:v>6234.879380479425</x:v>
      </x:c>
      <x:c r="O94" s="141" t="n">
        <x:f>R93*(1+Premissas!$B$41)+N94</x:f>
        <x:v>941152.0587867005</x:v>
      </x:c>
      <x:c r="P94" s="141" t="n">
        <x:f>MAX(0,-O94)</x:f>
        <x:v>0</x:v>
      </x:c>
      <x:c r="Q94" s="141" t="n">
        <x:f>Q93*(1+Premissas!$B$41)+P94</x:f>
        <x:v>0</x:v>
      </x:c>
      <x:c r="R94" s="141" t="n">
        <x:f>MAX(0,O94)</x:f>
        <x:v>941152.0587867005</x:v>
      </x:c>
      <x:c r="S94" s="141" t="n">
        <x:f>IF(AND($A94&gt;=Premissas!$B$48,$A94-Premissas!$B$48+1&lt;=Premissas!$B$13),INDEX(Financiamento!$M$6:$M$485,$A94-Premissas!$B$48+1),0)</x:f>
        <x:v>125714.28571428593</x:v>
      </x:c>
      <x:c r="T94" s="141" t="n">
        <x:f>IF($A94&gt;=Premissas!$B$48,$F94,0)</x:f>
        <x:v>308116.64694838563</x:v>
      </x:c>
      <x:c r="U94" s="141" t="n">
        <x:f>R94+T94-S94</x:f>
        <x:v>1123554.4200208</x:v>
      </x:c>
      <x:c r="V94" s="141" t="n">
        <x:f>IF(Q94&gt;1,"Inviavel",U94)</x:f>
        <x:v>1123554.4200208</x:v>
      </x:c>
      <x:c r="W94" s="141" t="str">
        <x:f>IF(Q94&gt;1,"Inviavel","OK")</x:f>
        <x:v>OK</x:v>
      </x:c>
      <x:c r="X94" s="141" t="n">
        <x:f>IF($A94=Premissas!$B$48,Premissas!$B$8,0)</x:f>
        <x:v>0</x:v>
      </x:c>
      <x:c r="Y94" s="141" t="n">
        <x:f>IF(AND($A94&gt;=Premissas!$B$48,$A94-Premissas!$B$48+1&lt;=Premissas!$B$13),INDEX(Amortizacao!$K$6:$K$485,$A94-Premissas!$B$48+1),0)</x:f>
        <x:v>0</x:v>
      </x:c>
      <x:c r="Z94" s="141" t="n">
        <x:f>IF(AND(TRUE,Premissas!$B$11="Imovel",Premissas!$B$47="Moradia",$A94&lt;MAX(Premissas!$B$48,Premissas!$B$49)),$D94,0)</x:f>
        <x:v>0</x:v>
      </x:c>
      <x:c r="AA94" s="141" t="n">
        <x:f>IF(AND(TRUE,Premissas!$B$11="Imovel",Premissas!$B$47="Investimento",$A94&gt;=MAX(Premissas!$B$48,Premissas!$B$49)),$E94,0)</x:f>
        <x:v>962.3233657544708</x:v>
      </x:c>
      <x:c r="AB94" s="141" t="n">
        <x:f>X94+Y94+Z94</x:f>
        <x:v>0</x:v>
      </x:c>
      <x:c r="AC94" s="141" t="n">
        <x:f>AA94</x:f>
        <x:v>962.3233657544708</x:v>
      </x:c>
      <x:c r="AD94" s="141" t="n">
        <x:f>$C94+AC94-AB94</x:f>
        <x:v>7962.323365754471</x:v>
      </x:c>
      <x:c r="AE94" s="141" t="n">
        <x:f>AH93*(1+Premissas!$B$41)+AD94</x:f>
        <x:v>828289.5663817395</x:v>
      </x:c>
      <x:c r="AF94" s="141" t="n">
        <x:f>MAX(0,-AE94)</x:f>
        <x:v>0</x:v>
      </x:c>
      <x:c r="AG94" s="141" t="n">
        <x:f>AG93*(1+Premissas!$B$41)+AF94</x:f>
        <x:v>0</x:v>
      </x:c>
      <x:c r="AH94" s="141" t="n">
        <x:f>MAX(0,AE94)</x:f>
        <x:v>828289.5663817395</x:v>
      </x:c>
      <x:c r="AI94" s="141" t="n">
        <x:f>IF(AND($A94&gt;=Premissas!$B$48,$A94-Premissas!$B$48+1&lt;=Premissas!$B$13),INDEX(Amortizacao!$L$6:$L$485,$A94-Premissas!$B$48+1),0)</x:f>
        <x:v>0</x:v>
      </x:c>
      <x:c r="AJ94" s="141" t="n">
        <x:f>IF($A94&gt;=Premissas!$B$48,$F94,0)</x:f>
        <x:v>308116.64694838563</x:v>
      </x:c>
      <x:c r="AK94" s="141" t="n">
        <x:f>AH94+AJ94-AI94</x:f>
        <x:v>1136406.213330125</x:v>
      </x:c>
      <x:c r="AL94" s="141" t="n">
        <x:f>IF(AG94&gt;1,"Inviavel",AK94)</x:f>
        <x:v>1136406.213330125</x:v>
      </x:c>
      <x:c r="AM94" s="141" t="str">
        <x:f>IF(AG94&gt;1,"Inviavel","OK")</x:f>
        <x:v>OK</x:v>
      </x:c>
      <x:c r="AN94" s="141" t="n">
        <x:f>IF($A94=Premissas!$B$48,Premissas!$B$8,0)</x:f>
        <x:v>0</x:v>
      </x:c>
      <x:c r="AO94" s="141" t="n">
        <x:f>IF($A94&lt;=Premissas!$B$25,INDEX('Consorcio IQ'!$K$6:$K$485,$A94),0)</x:f>
        <x:v>857.7697232000017</x:v>
      </x:c>
      <x:c r="AP94" s="141" t="n">
        <x:f>IF(AND(TRUE,Premissas!$B$11="Imovel",Premissas!$B$47="Moradia",$A94&lt;MAX(Premissas!$B$48,Premissas!$B$49)),$D94,0)</x:f>
        <x:v>0</x:v>
      </x:c>
      <x:c r="AQ94" s="141" t="n">
        <x:f>IF(AND(TRUE,Premissas!$B$11="Imovel",Premissas!$B$47="Investimento",$A94&gt;=MAX(Premissas!$B$48,Premissas!$B$49)),$E94,0)</x:f>
        <x:v>962.3233657544708</x:v>
      </x:c>
      <x:c r="AR94" s="141" t="n">
        <x:f>AN94+AO94+AP94</x:f>
        <x:v>857.7697232000017</x:v>
      </x:c>
      <x:c r="AS94" s="141" t="n">
        <x:f>AQ94</x:f>
        <x:v>962.3233657544708</x:v>
      </x:c>
      <x:c r="AT94" s="141" t="n">
        <x:f>$C94+AS94-AR94</x:f>
        <x:v>7104.553642554469</x:v>
      </x:c>
      <x:c r="AU94" s="141" t="n">
        <x:f>AX93*(1+Premissas!$B$41)+AT94</x:f>
        <x:v>907434.4972308282</x:v>
      </x:c>
      <x:c r="AV94" s="141" t="n">
        <x:f>MAX(0,-AU94)</x:f>
        <x:v>0</x:v>
      </x:c>
      <x:c r="AW94" s="141" t="n">
        <x:f>AW93*(1+Premissas!$B$41)+AV94</x:f>
        <x:v>0</x:v>
      </x:c>
      <x:c r="AX94" s="141" t="n">
        <x:f>MAX(0,AU94)</x:f>
        <x:v>907434.4972308282</x:v>
      </x:c>
      <x:c r="AY94" s="141" t="n">
        <x:f>INDEX('Consorcio IQ'!$P$6:$P$485,$A94)</x:f>
        <x:v>92538.84867225545</x:v>
      </x:c>
      <x:c r="AZ94" s="141" t="n">
        <x:f>IF($A94&gt;=Premissas!$B$48,$F94,0)+IF($A94&lt;Premissas!$B$27,INDEX('Consorcio IQ'!$O$6:$O$485,$A94),0)</x:f>
        <x:v>308116.64694838563</x:v>
      </x:c>
      <x:c r="BA94" s="141" t="n">
        <x:f>AX94+AZ94-AY94</x:f>
        <x:v>1123012.2955069584</x:v>
      </x:c>
      <x:c r="BB94" s="141" t="n">
        <x:f>IF(AW94&gt;1,"Inviavel",BA94)</x:f>
        <x:v>1123012.2955069584</x:v>
      </x:c>
      <x:c r="BC94" s="141" t="str">
        <x:f>IF(AW94&gt;1,"Inviavel","OK")</x:f>
        <x:v>OK</x:v>
      </x:c>
      <x:c r="BD94" s="141" t="n">
        <x:f>IF($A94='Consorcio Direto'!$B$29,'Consorcio Direto'!$B$44,0)</x:f>
        <x:v>0</x:v>
      </x:c>
      <x:c r="BE94" s="141" t="n">
        <x:f>IF($A94&lt;='Consorcio Direto'!$B$27,INDEX('Consorcio Direto'!$E$55:$E$534,$A94),0)</x:f>
        <x:v>2221.195353451511</x:v>
      </x:c>
      <x:c r="BF94" s="141" t="n">
        <x:f>IF(AND(TRUE,Premissas!$B$11="Imovel",Premissas!$B$47="Moradia",$A94&lt;MAX('Consorcio Direto'!$B$29,Premissas!$B$49)),$D94,0)</x:f>
        <x:v>0</x:v>
      </x:c>
      <x:c r="BG94" s="141" t="n">
        <x:f>IF(AND(TRUE,Premissas!$B$11="Imovel",Premissas!$B$47="Investimento",$A94&gt;=MAX('Consorcio Direto'!$B$29,Premissas!$B$49)),$E94,0)</x:f>
        <x:v>962.3233657544708</x:v>
      </x:c>
      <x:c r="BH94" s="141" t="n">
        <x:f>BD94+BE94+BF94</x:f>
        <x:v>2221.195353451511</x:v>
      </x:c>
      <x:c r="BI94" s="141" t="n">
        <x:f>BG94</x:f>
        <x:v>962.3233657544708</x:v>
      </x:c>
      <x:c r="BJ94" s="141" t="n">
        <x:f>$C94+BI94-BH94</x:f>
        <x:v>5741.128012302959</x:v>
      </x:c>
      <x:c r="BK94" s="141" t="n">
        <x:f>BN93*(1+Premissas!$B$41)+BJ94</x:f>
        <x:v>982139.1207801126</x:v>
      </x:c>
      <x:c r="BL94" s="141" t="n">
        <x:f>MAX(0,-BK94)</x:f>
        <x:v>0</x:v>
      </x:c>
      <x:c r="BM94" s="141" t="n">
        <x:f>BM93*(1+Premissas!$B$41)+BL94</x:f>
        <x:v>0</x:v>
      </x:c>
      <x:c r="BN94" s="141" t="n">
        <x:f>MAX(0,BK94)</x:f>
        <x:v>982139.1207801126</x:v>
      </x:c>
      <x:c r="BO94" s="141" t="n">
        <x:f>INDEX('Consorcio Direto'!$K$55:$K$534,$A94)</x:f>
        <x:v>239629.419324515</x:v>
      </x:c>
      <x:c r="BP94" s="141" t="n">
        <x:f>IF($A94&lt;'Consorcio Direto'!$B$29,INDEX('Consorcio Direto'!$L$55:$L$534,$A94),$F94)</x:f>
        <x:v>308116.64694838563</x:v>
      </x:c>
      <x:c r="BQ94" s="141" t="n">
        <x:f>BN94+BP94-BO94</x:f>
        <x:v>1050626.3484039833</x:v>
      </x:c>
      <x:c r="BR94" s="141" t="n">
        <x:f>IF(BM94&gt;1,"Inviavel",BQ94)</x:f>
        <x:v>1050626.3484039833</x:v>
      </x:c>
      <x:c r="BS94" s="141" t="str">
        <x:f>IF(BM94&gt;1,"Inviavel","OK")</x:f>
        <x:v>OK</x:v>
      </x:c>
      <x:c r="BT94" s="141" t="n">
        <x:f>IF(AND('Carta Contemplada'!$B$22="Sim",$A94='Carta Contemplada'!$B$23),'Carta Contemplada'!$B$37,0)</x:f>
        <x:v>0</x:v>
      </x:c>
      <x:c r="BU94" s="141" t="n">
        <x:f>IF('Carta Contemplada'!$B$22="Sim",INDEX('Carta Contemplada'!$C$55:$C$1013,$A94),0)</x:f>
        <x:v>1804.3563107896327</x:v>
      </x:c>
      <x:c r="BV94" s="141" t="n">
        <x:f>IF(AND('Carta Contemplada'!$B$22="Sim",Premissas!$B$11="Imovel",Premissas!$B$47="Moradia",$A94&lt;MAX('Carta Contemplada'!$B$44,Premissas!$B$49)),$D94,0)</x:f>
        <x:v>0</x:v>
      </x:c>
      <x:c r="BW94" s="141" t="n">
        <x:f>IF(AND('Carta Contemplada'!$B$22="Sim",Premissas!$B$11="Imovel",Premissas!$B$47="Investimento",$A94&gt;=MAX('Carta Contemplada'!$B$44,Premissas!$B$49)),$E94,0)</x:f>
        <x:v>962.3233657544708</x:v>
      </x:c>
      <x:c r="BX94" s="141" t="n">
        <x:f>BT94+BU94+BV94</x:f>
        <x:v>1804.3563107896327</x:v>
      </x:c>
      <x:c r="BY94" s="141" t="n">
        <x:f>BW94</x:f>
        <x:v>962.3233657544708</x:v>
      </x:c>
      <x:c r="BZ94" s="141" t="n">
        <x:f>$C94+BY94-BX94</x:f>
        <x:v>6157.967054964838</x:v>
      </x:c>
      <x:c r="CA94" s="141" t="n">
        <x:f>CD93*(1+Premissas!$B$41)+BZ94</x:f>
        <x:v>994374.4264210194</x:v>
      </x:c>
      <x:c r="CB94" s="141" t="n">
        <x:f>MAX(0,-CA94)</x:f>
        <x:v>0</x:v>
      </x:c>
      <x:c r="CC94" s="141" t="n">
        <x:f>CC93*(1+Premissas!$B$41)+CB94</x:f>
        <x:v>0</x:v>
      </x:c>
      <x:c r="CD94" s="141" t="n">
        <x:f>MAX(0,CA94)</x:f>
        <x:v>994374.4264210194</x:v>
      </x:c>
      <x:c r="CE94" s="141" t="n">
        <x:f>IF(AND('Carta Contemplada'!$B$22="Sim",$A94&gt;='Carta Contemplada'!$B$23),INDEX('Carta Contemplada'!$I$55:$I$1013,$A94),0)</x:f>
        <x:v>132307.91645293136</x:v>
      </x:c>
      <x:c r="CF94" s="141" t="n">
        <x:f>IF(AND('Carta Contemplada'!$B$22="Sim",$A94&gt;='Carta Contemplada'!$B$44),$F94,0)</x:f>
        <x:v>308116.64694838563</x:v>
      </x:c>
      <x:c r="CG94" s="141" t="n">
        <x:f>CD94+CF94-CE94</x:f>
        <x:v>1170183.1569164735</x:v>
      </x:c>
      <x:c r="CH94" s="141" t="n">
        <x:f>IF(CC94&gt;1,"Inviavel",CG94)</x:f>
        <x:v>1170183.1569164735</x:v>
      </x:c>
      <x:c r="CI94" s="145" t="str">
        <x:f>IF(CC94&gt;1,"Inviavel","OK")</x:f>
        <x:v>OK</x:v>
      </x:c>
    </x:row>
    <x:row r="95">
      <x:c r="A95" s="142" t="n">
        <x:v>91</x:v>
      </x:c>
      <x:c r="B95" s="179" t="n">
        <x:f>EDATE(Premissas!$B$4,A95-1)</x:f>
        <x:v>49279</x:v>
      </x:c>
      <x:c r="C95" s="141" t="n">
        <x:f>IF(A95&lt;=Premissas!$B$39,Premissas!$B$42,0)</x:f>
        <x:v>7000</x:v>
      </x:c>
      <x:c r="D95" s="141" t="n">
        <x:f>Premissas!$B$54*(1+Premissas!$B$57)^INT((A95-1)/12)</x:f>
        <x:v>1052.5411812939524</x:v>
      </x:c>
      <x:c r="E95" s="141" t="n">
        <x:f>Premissas!$B$64*(1+Premissas!$B$57)^INT((A95-1)/12)</x:f>
        <x:v>962.3233657544708</x:v>
      </x:c>
      <x:c r="F95" s="141" t="n">
        <x:f>MAX(0,Premissas!$B$6*(1+Premissas!$B$66)^((A95-1)/12))</x:f>
        <x:v>309616.42030743085</x:v>
      </x:c>
      <x:c r="G95" s="141" t="n">
        <x:f>G94*(1+Premissas!$B$41)+C95</x:f>
        <x:v>1215151.7310192164</x:v>
      </x:c>
      <x:c r="H95" s="141" t="n">
        <x:f>IF($A95=Premissas!$B$48,Premissas!$B$8,0)</x:f>
        <x:v>0</x:v>
      </x:c>
      <x:c r="I95" s="141" t="n">
        <x:f>IF(AND($A95&gt;=Premissas!$B$48,$A95-Premissas!$B$48+1&lt;=Premissas!$B$13),INDEX(Financiamento!$J$6:$J$485,$A95-Premissas!$B$48+1),0)</x:f>
        <x:v>1723.8292070142522</x:v>
      </x:c>
      <x:c r="J95" s="141" t="n">
        <x:f>IF(AND(TRUE,Premissas!$B$11="Imovel",Premissas!$B$47="Moradia",$A95&lt;MAX(Premissas!$B$48,Premissas!$B$49)),$D95,0)</x:f>
        <x:v>0</x:v>
      </x:c>
      <x:c r="K95" s="141" t="n">
        <x:f>IF(AND(TRUE,Premissas!$B$11="Imovel",Premissas!$B$47="Investimento",$A95&gt;=MAX(Premissas!$B$48,Premissas!$B$49)),$E95,0)</x:f>
        <x:v>962.3233657544708</x:v>
      </x:c>
      <x:c r="L95" s="141" t="n">
        <x:f>H95+I95+J95</x:f>
        <x:v>1723.8292070142522</x:v>
      </x:c>
      <x:c r="M95" s="141" t="n">
        <x:f>K95</x:f>
        <x:v>962.3233657544708</x:v>
      </x:c>
      <x:c r="N95" s="141" t="n">
        <x:f>$C95+M95-L95</x:f>
        <x:v>6238.494158740218</x:v>
      </x:c>
      <x:c r="O95" s="141" t="n">
        <x:f>R94*(1+Premissas!$B$41)+N95</x:f>
        <x:v>956320.9499512243</x:v>
      </x:c>
      <x:c r="P95" s="141" t="n">
        <x:f>MAX(0,-O95)</x:f>
        <x:v>0</x:v>
      </x:c>
      <x:c r="Q95" s="141" t="n">
        <x:f>Q94*(1+Premissas!$B$41)+P95</x:f>
        <x:v>0</x:v>
      </x:c>
      <x:c r="R95" s="141" t="n">
        <x:f>MAX(0,O95)</x:f>
        <x:v>956320.9499512243</x:v>
      </x:c>
      <x:c r="S95" s="141" t="n">
        <x:f>IF(AND($A95&gt;=Premissas!$B$48,$A95-Premissas!$B$48+1&lt;=Premissas!$B$13),INDEX(Financiamento!$M$6:$M$485,$A95-Premissas!$B$48+1),0)</x:f>
        <x:v>125333.33333333355</x:v>
      </x:c>
      <x:c r="T95" s="141" t="n">
        <x:f>IF($A95&gt;=Premissas!$B$48,$F95,0)</x:f>
        <x:v>309616.42030743085</x:v>
      </x:c>
      <x:c r="U95" s="141" t="n">
        <x:f>R95+T95-S95</x:f>
        <x:v>1140604.0369253217</x:v>
      </x:c>
      <x:c r="V95" s="141" t="n">
        <x:f>IF(Q95&gt;1,"Inviavel",U95)</x:f>
        <x:v>1140604.0369253217</x:v>
      </x:c>
      <x:c r="W95" s="141" t="str">
        <x:f>IF(Q95&gt;1,"Inviavel","OK")</x:f>
        <x:v>OK</x:v>
      </x:c>
      <x:c r="X95" s="141" t="n">
        <x:f>IF($A95=Premissas!$B$48,Premissas!$B$8,0)</x:f>
        <x:v>0</x:v>
      </x:c>
      <x:c r="Y95" s="141" t="n">
        <x:f>IF(AND($A95&gt;=Premissas!$B$48,$A95-Premissas!$B$48+1&lt;=Premissas!$B$13),INDEX(Amortizacao!$K$6:$K$485,$A95-Premissas!$B$48+1),0)</x:f>
        <x:v>0</x:v>
      </x:c>
      <x:c r="Z95" s="141" t="n">
        <x:f>IF(AND(TRUE,Premissas!$B$11="Imovel",Premissas!$B$47="Moradia",$A95&lt;MAX(Premissas!$B$48,Premissas!$B$49)),$D95,0)</x:f>
        <x:v>0</x:v>
      </x:c>
      <x:c r="AA95" s="141" t="n">
        <x:f>IF(AND(TRUE,Premissas!$B$11="Imovel",Premissas!$B$47="Investimento",$A95&gt;=MAX(Premissas!$B$48,Premissas!$B$49)),$E95,0)</x:f>
        <x:v>962.3233657544708</x:v>
      </x:c>
      <x:c r="AB95" s="141" t="n">
        <x:f>X95+Y95+Z95</x:f>
        <x:v>0</x:v>
      </x:c>
      <x:c r="AC95" s="141" t="n">
        <x:f>AA95</x:f>
        <x:v>962.3233657544708</x:v>
      </x:c>
      <x:c r="AD95" s="141" t="n">
        <x:f>$C95+AC95-AB95</x:f>
        <x:v>7962.323365754471</x:v>
      </x:c>
      <x:c r="AE95" s="141" t="n">
        <x:f>AH94*(1+Premissas!$B$41)+AD95</x:f>
        <x:v>844111.3579327659</x:v>
      </x:c>
      <x:c r="AF95" s="141" t="n">
        <x:f>MAX(0,-AE95)</x:f>
        <x:v>0</x:v>
      </x:c>
      <x:c r="AG95" s="141" t="n">
        <x:f>AG94*(1+Premissas!$B$41)+AF95</x:f>
        <x:v>0</x:v>
      </x:c>
      <x:c r="AH95" s="141" t="n">
        <x:f>MAX(0,AE95)</x:f>
        <x:v>844111.3579327659</x:v>
      </x:c>
      <x:c r="AI95" s="141" t="n">
        <x:f>IF(AND($A95&gt;=Premissas!$B$48,$A95-Premissas!$B$48+1&lt;=Premissas!$B$13),INDEX(Amortizacao!$L$6:$L$485,$A95-Premissas!$B$48+1),0)</x:f>
        <x:v>0</x:v>
      </x:c>
      <x:c r="AJ95" s="141" t="n">
        <x:f>IF($A95&gt;=Premissas!$B$48,$F95,0)</x:f>
        <x:v>309616.42030743085</x:v>
      </x:c>
      <x:c r="AK95" s="141" t="n">
        <x:f>AH95+AJ95-AI95</x:f>
        <x:v>1153727.7782401966</x:v>
      </x:c>
      <x:c r="AL95" s="141" t="n">
        <x:f>IF(AG95&gt;1,"Inviavel",AK95)</x:f>
        <x:v>1153727.7782401966</x:v>
      </x:c>
      <x:c r="AM95" s="141" t="str">
        <x:f>IF(AG95&gt;1,"Inviavel","OK")</x:f>
        <x:v>OK</x:v>
      </x:c>
      <x:c r="AN95" s="141" t="n">
        <x:f>IF($A95=Premissas!$B$48,Premissas!$B$8,0)</x:f>
        <x:v>0</x:v>
      </x:c>
      <x:c r="AO95" s="141" t="n">
        <x:f>IF($A95&lt;=Premissas!$B$25,INDEX('Consorcio IQ'!$K$6:$K$485,$A95),0)</x:f>
        <x:v>857.7697232000017</x:v>
      </x:c>
      <x:c r="AP95" s="141" t="n">
        <x:f>IF(AND(TRUE,Premissas!$B$11="Imovel",Premissas!$B$47="Moradia",$A95&lt;MAX(Premissas!$B$48,Premissas!$B$49)),$D95,0)</x:f>
        <x:v>0</x:v>
      </x:c>
      <x:c r="AQ95" s="141" t="n">
        <x:f>IF(AND(TRUE,Premissas!$B$11="Imovel",Premissas!$B$47="Investimento",$A95&gt;=MAX(Premissas!$B$48,Premissas!$B$49)),$E95,0)</x:f>
        <x:v>962.3233657544708</x:v>
      </x:c>
      <x:c r="AR95" s="141" t="n">
        <x:f>AN95+AO95+AP95</x:f>
        <x:v>857.7697232000017</x:v>
      </x:c>
      <x:c r="AS95" s="141" t="n">
        <x:f>AQ95</x:f>
        <x:v>962.3233657544708</x:v>
      </x:c>
      <x:c r="AT95" s="141" t="n">
        <x:f>$C95+AS95-AR95</x:f>
        <x:v>7104.553642554469</x:v>
      </x:c>
      <x:c r="AU95" s="141" t="n">
        <x:f>AX94*(1+Premissas!$B$41)+AT95</x:f>
        <x:v>923149.5089193034</x:v>
      </x:c>
      <x:c r="AV95" s="141" t="n">
        <x:f>MAX(0,-AU95)</x:f>
        <x:v>0</x:v>
      </x:c>
      <x:c r="AW95" s="141" t="n">
        <x:f>AW94*(1+Premissas!$B$41)+AV95</x:f>
        <x:v>0</x:v>
      </x:c>
      <x:c r="AX95" s="141" t="n">
        <x:f>MAX(0,AU95)</x:f>
        <x:v>923149.5089193034</x:v>
      </x:c>
      <x:c r="AY95" s="141" t="n">
        <x:f>INDEX('Consorcio IQ'!$P$6:$P$485,$A95)</x:f>
        <x:v>92559.16092251119</x:v>
      </x:c>
      <x:c r="AZ95" s="141" t="n">
        <x:f>IF($A95&gt;=Premissas!$B$48,$F95,0)+IF($A95&lt;Premissas!$B$27,INDEX('Consorcio IQ'!$O$6:$O$485,$A95),0)</x:f>
        <x:v>309616.42030743085</x:v>
      </x:c>
      <x:c r="BA95" s="141" t="n">
        <x:f>AX95+AZ95-AY95</x:f>
        <x:v>1140206.768304223</x:v>
      </x:c>
      <x:c r="BB95" s="141" t="n">
        <x:f>IF(AW95&gt;1,"Inviavel",BA95)</x:f>
        <x:v>1140206.768304223</x:v>
      </x:c>
      <x:c r="BC95" s="141" t="str">
        <x:f>IF(AW95&gt;1,"Inviavel","OK")</x:f>
        <x:v>OK</x:v>
      </x:c>
      <x:c r="BD95" s="141" t="n">
        <x:f>IF($A95='Consorcio Direto'!$B$29,'Consorcio Direto'!$B$44,0)</x:f>
        <x:v>0</x:v>
      </x:c>
      <x:c r="BE95" s="141" t="n">
        <x:f>IF($A95&lt;='Consorcio Direto'!$B$27,INDEX('Consorcio Direto'!$E$55:$E$534,$A95),0)</x:f>
        <x:v>2221.195353451511</x:v>
      </x:c>
      <x:c r="BF95" s="141" t="n">
        <x:f>IF(AND(TRUE,Premissas!$B$11="Imovel",Premissas!$B$47="Moradia",$A95&lt;MAX('Consorcio Direto'!$B$29,Premissas!$B$49)),$D95,0)</x:f>
        <x:v>0</x:v>
      </x:c>
      <x:c r="BG95" s="141" t="n">
        <x:f>IF(AND(TRUE,Premissas!$B$11="Imovel",Premissas!$B$47="Investimento",$A95&gt;=MAX('Consorcio Direto'!$B$29,Premissas!$B$49)),$E95,0)</x:f>
        <x:v>962.3233657544708</x:v>
      </x:c>
      <x:c r="BH95" s="141" t="n">
        <x:f>BD95+BE95+BF95</x:f>
        <x:v>2221.195353451511</x:v>
      </x:c>
      <x:c r="BI95" s="141" t="n">
        <x:f>BG95</x:f>
        <x:v>962.3233657544708</x:v>
      </x:c>
      <x:c r="BJ95" s="141" t="n">
        <x:f>$C95+BI95-BH95</x:f>
        <x:v>5741.128012302959</x:v>
      </x:c>
      <x:c r="BK95" s="141" t="n">
        <x:f>BN94*(1+Premissas!$B$41)+BJ95</x:f>
        <x:v>997199.5635424515</x:v>
      </x:c>
      <x:c r="BL95" s="141" t="n">
        <x:f>MAX(0,-BK95)</x:f>
        <x:v>0</x:v>
      </x:c>
      <x:c r="BM95" s="141" t="n">
        <x:f>BM94*(1+Premissas!$B$41)+BL95</x:f>
        <x:v>0</x:v>
      </x:c>
      <x:c r="BN95" s="141" t="n">
        <x:f>MAX(0,BK95)</x:f>
        <x:v>997199.5635424515</x:v>
      </x:c>
      <x:c r="BO95" s="141" t="n">
        <x:f>INDEX('Consorcio Direto'!$K$55:$K$534,$A95)</x:f>
        <x:v>239682.0179120682</x:v>
      </x:c>
      <x:c r="BP95" s="141" t="n">
        <x:f>IF($A95&lt;'Consorcio Direto'!$B$29,INDEX('Consorcio Direto'!$L$55:$L$534,$A95),$F95)</x:f>
        <x:v>309616.42030743085</x:v>
      </x:c>
      <x:c r="BQ95" s="141" t="n">
        <x:f>BN95+BP95-BO95</x:f>
        <x:v>1067133.9659378142</x:v>
      </x:c>
      <x:c r="BR95" s="141" t="n">
        <x:f>IF(BM95&gt;1,"Inviavel",BQ95)</x:f>
        <x:v>1067133.9659378142</x:v>
      </x:c>
      <x:c r="BS95" s="141" t="str">
        <x:f>IF(BM95&gt;1,"Inviavel","OK")</x:f>
        <x:v>OK</x:v>
      </x:c>
      <x:c r="BT95" s="141" t="n">
        <x:f>IF(AND('Carta Contemplada'!$B$22="Sim",$A95='Carta Contemplada'!$B$23),'Carta Contemplada'!$B$37,0)</x:f>
        <x:v>0</x:v>
      </x:c>
      <x:c r="BU95" s="141" t="n">
        <x:f>IF('Carta Contemplada'!$B$22="Sim",INDEX('Carta Contemplada'!$C$55:$C$1013,$A95),0)</x:f>
        <x:v>1804.3563107896327</x:v>
      </x:c>
      <x:c r="BV95" s="141" t="n">
        <x:f>IF(AND('Carta Contemplada'!$B$22="Sim",Premissas!$B$11="Imovel",Premissas!$B$47="Moradia",$A95&lt;MAX('Carta Contemplada'!$B$44,Premissas!$B$49)),$D95,0)</x:f>
        <x:v>0</x:v>
      </x:c>
      <x:c r="BW95" s="141" t="n">
        <x:f>IF(AND('Carta Contemplada'!$B$22="Sim",Premissas!$B$11="Imovel",Premissas!$B$47="Investimento",$A95&gt;=MAX('Carta Contemplada'!$B$44,Premissas!$B$49)),$E95,0)</x:f>
        <x:v>962.3233657544708</x:v>
      </x:c>
      <x:c r="BX95" s="141" t="n">
        <x:f>BT95+BU95+BV95</x:f>
        <x:v>1804.3563107896327</x:v>
      </x:c>
      <x:c r="BY95" s="141" t="n">
        <x:f>BW95</x:f>
        <x:v>962.3233657544708</x:v>
      </x:c>
      <x:c r="BZ95" s="141" t="n">
        <x:f>$C95+BY95-BX95</x:f>
        <x:v>6157.967054964838</x:v>
      </x:c>
      <x:c r="CA95" s="141" t="n">
        <x:f>CD94*(1+Premissas!$B$41)+BZ95</x:f>
        <x:v>1009967.8065077381</x:v>
      </x:c>
      <x:c r="CB95" s="141" t="n">
        <x:f>MAX(0,-CA95)</x:f>
        <x:v>0</x:v>
      </x:c>
      <x:c r="CC95" s="141" t="n">
        <x:f>CC94*(1+Premissas!$B$41)+CB95</x:f>
        <x:v>0</x:v>
      </x:c>
      <x:c r="CD95" s="141" t="n">
        <x:f>MAX(0,CA95)</x:f>
        <x:v>1009967.8065077381</x:v>
      </x:c>
      <x:c r="CE95" s="141" t="n">
        <x:f>IF(AND('Carta Contemplada'!$B$22="Sim",$A95&gt;='Carta Contemplada'!$B$23),INDEX('Carta Contemplada'!$I$55:$I$1013,$A95),0)</x:f>
        <x:v>131759.0025649697</x:v>
      </x:c>
      <x:c r="CF95" s="141" t="n">
        <x:f>IF(AND('Carta Contemplada'!$B$22="Sim",$A95&gt;='Carta Contemplada'!$B$44),$F95,0)</x:f>
        <x:v>309616.42030743085</x:v>
      </x:c>
      <x:c r="CG95" s="141" t="n">
        <x:f>CD95+CF95-CE95</x:f>
        <x:v>1187825.2242501993</x:v>
      </x:c>
      <x:c r="CH95" s="141" t="n">
        <x:f>IF(CC95&gt;1,"Inviavel",CG95)</x:f>
        <x:v>1187825.2242501993</x:v>
      </x:c>
      <x:c r="CI95" s="145" t="str">
        <x:f>IF(CC95&gt;1,"Inviavel","OK")</x:f>
        <x:v>OK</x:v>
      </x:c>
    </x:row>
    <x:row r="96">
      <x:c r="A96" s="142" t="n">
        <x:v>92</x:v>
      </x:c>
      <x:c r="B96" s="179" t="n">
        <x:f>EDATE(Premissas!$B$4,A96-1)</x:f>
        <x:v>49310</x:v>
      </x:c>
      <x:c r="C96" s="141" t="n">
        <x:f>IF(A96&lt;=Premissas!$B$39,Premissas!$B$42,0)</x:f>
        <x:v>7000</x:v>
      </x:c>
      <x:c r="D96" s="141" t="n">
        <x:f>Premissas!$B$54*(1+Premissas!$B$57)^INT((A96-1)/12)</x:f>
        <x:v>1052.5411812939524</x:v>
      </x:c>
      <x:c r="E96" s="141" t="n">
        <x:f>Premissas!$B$64*(1+Premissas!$B$57)^INT((A96-1)/12)</x:f>
        <x:v>962.3233657544708</x:v>
      </x:c>
      <x:c r="F96" s="141" t="n">
        <x:f>MAX(0,Premissas!$B$6*(1+Premissas!$B$66)^((A96-1)/12))</x:f>
        <x:v>311123.49388913775</x:v>
      </x:c>
      <x:c r="G96" s="141" t="n">
        <x:f>G95*(1+Premissas!$B$41)+C96</x:f>
        <x:v>1233682.0541789578</x:v>
      </x:c>
      <x:c r="H96" s="141" t="n">
        <x:f>IF($A96=Premissas!$B$48,Premissas!$B$8,0)</x:f>
        <x:v>0</x:v>
      </x:c>
      <x:c r="I96" s="141" t="n">
        <x:f>IF(AND($A96&gt;=Premissas!$B$48,$A96-Premissas!$B$48+1&lt;=Premissas!$B$13),INDEX(Financiamento!$J$6:$J$485,$A96-Premissas!$B$48+1),0)</x:f>
        <x:v>1720.2144287534588</x:v>
      </x:c>
      <x:c r="J96" s="141" t="n">
        <x:f>IF(AND(TRUE,Premissas!$B$11="Imovel",Premissas!$B$47="Moradia",$A96&lt;MAX(Premissas!$B$48,Premissas!$B$49)),$D96,0)</x:f>
        <x:v>0</x:v>
      </x:c>
      <x:c r="K96" s="141" t="n">
        <x:f>IF(AND(TRUE,Premissas!$B$11="Imovel",Premissas!$B$47="Investimento",$A96&gt;=MAX(Premissas!$B$48,Premissas!$B$49)),$E96,0)</x:f>
        <x:v>962.3233657544708</x:v>
      </x:c>
      <x:c r="L96" s="141" t="n">
        <x:f>H96+I96+J96</x:f>
        <x:v>1720.2144287534588</x:v>
      </x:c>
      <x:c r="M96" s="141" t="n">
        <x:f>K96</x:f>
        <x:v>962.3233657544708</x:v>
      </x:c>
      <x:c r="N96" s="141" t="n">
        <x:f>$C96+M96-L96</x:f>
        <x:v>6242.108937001012</x:v>
      </x:c>
      <x:c r="O96" s="141" t="n">
        <x:f>R95*(1+Premissas!$B$41)+N96</x:f>
        <x:v>971637.3903613162</x:v>
      </x:c>
      <x:c r="P96" s="141" t="n">
        <x:f>MAX(0,-O96)</x:f>
        <x:v>0</x:v>
      </x:c>
      <x:c r="Q96" s="141" t="n">
        <x:f>Q95*(1+Premissas!$B$41)+P96</x:f>
        <x:v>0</x:v>
      </x:c>
      <x:c r="R96" s="141" t="n">
        <x:f>MAX(0,O96)</x:f>
        <x:v>971637.3903613162</x:v>
      </x:c>
      <x:c r="S96" s="141" t="n">
        <x:f>IF(AND($A96&gt;=Premissas!$B$48,$A96-Premissas!$B$48+1&lt;=Premissas!$B$13),INDEX(Financiamento!$M$6:$M$485,$A96-Premissas!$B$48+1),0)</x:f>
        <x:v>124952.38095238117</x:v>
      </x:c>
      <x:c r="T96" s="141" t="n">
        <x:f>IF($A96&gt;=Premissas!$B$48,$F96,0)</x:f>
        <x:v>311123.49388913775</x:v>
      </x:c>
      <x:c r="U96" s="141" t="n">
        <x:f>R96+T96-S96</x:f>
        <x:v>1157808.5032980728</x:v>
      </x:c>
      <x:c r="V96" s="141" t="n">
        <x:f>IF(Q96&gt;1,"Inviavel",U96)</x:f>
        <x:v>1157808.5032980728</x:v>
      </x:c>
      <x:c r="W96" s="141" t="str">
        <x:f>IF(Q96&gt;1,"Inviavel","OK")</x:f>
        <x:v>OK</x:v>
      </x:c>
      <x:c r="X96" s="141" t="n">
        <x:f>IF($A96=Premissas!$B$48,Premissas!$B$8,0)</x:f>
        <x:v>0</x:v>
      </x:c>
      <x:c r="Y96" s="141" t="n">
        <x:f>IF(AND($A96&gt;=Premissas!$B$48,$A96-Premissas!$B$48+1&lt;=Premissas!$B$13),INDEX(Amortizacao!$K$6:$K$485,$A96-Premissas!$B$48+1),0)</x:f>
        <x:v>0</x:v>
      </x:c>
      <x:c r="Z96" s="141" t="n">
        <x:f>IF(AND(TRUE,Premissas!$B$11="Imovel",Premissas!$B$47="Moradia",$A96&lt;MAX(Premissas!$B$48,Premissas!$B$49)),$D96,0)</x:f>
        <x:v>0</x:v>
      </x:c>
      <x:c r="AA96" s="141" t="n">
        <x:f>IF(AND(TRUE,Premissas!$B$11="Imovel",Premissas!$B$47="Investimento",$A96&gt;=MAX(Premissas!$B$48,Premissas!$B$49)),$E96,0)</x:f>
        <x:v>962.3233657544708</x:v>
      </x:c>
      <x:c r="AB96" s="141" t="n">
        <x:f>X96+Y96+Z96</x:f>
        <x:v>0</x:v>
      </x:c>
      <x:c r="AC96" s="141" t="n">
        <x:f>AA96</x:f>
        <x:v>962.3233657544708</x:v>
      </x:c>
      <x:c r="AD96" s="141" t="n">
        <x:f>$C96+AC96-AB96</x:f>
        <x:v>7962.323365754471</x:v>
      </x:c>
      <x:c r="AE96" s="141" t="n">
        <x:f>AH95*(1+Premissas!$B$41)+AD96</x:f>
        <x:v>860083.279187674</x:v>
      </x:c>
      <x:c r="AF96" s="141" t="n">
        <x:f>MAX(0,-AE96)</x:f>
        <x:v>0</x:v>
      </x:c>
      <x:c r="AG96" s="141" t="n">
        <x:f>AG95*(1+Premissas!$B$41)+AF96</x:f>
        <x:v>0</x:v>
      </x:c>
      <x:c r="AH96" s="141" t="n">
        <x:f>MAX(0,AE96)</x:f>
        <x:v>860083.279187674</x:v>
      </x:c>
      <x:c r="AI96" s="141" t="n">
        <x:f>IF(AND($A96&gt;=Premissas!$B$48,$A96-Premissas!$B$48+1&lt;=Premissas!$B$13),INDEX(Amortizacao!$L$6:$L$485,$A96-Premissas!$B$48+1),0)</x:f>
        <x:v>0</x:v>
      </x:c>
      <x:c r="AJ96" s="141" t="n">
        <x:f>IF($A96&gt;=Premissas!$B$48,$F96,0)</x:f>
        <x:v>311123.49388913775</x:v>
      </x:c>
      <x:c r="AK96" s="141" t="n">
        <x:f>AH96+AJ96-AI96</x:f>
        <x:v>1171206.7730768118</x:v>
      </x:c>
      <x:c r="AL96" s="141" t="n">
        <x:f>IF(AG96&gt;1,"Inviavel",AK96)</x:f>
        <x:v>1171206.7730768118</x:v>
      </x:c>
      <x:c r="AM96" s="141" t="str">
        <x:f>IF(AG96&gt;1,"Inviavel","OK")</x:f>
        <x:v>OK</x:v>
      </x:c>
      <x:c r="AN96" s="141" t="n">
        <x:f>IF($A96=Premissas!$B$48,Premissas!$B$8,0)</x:f>
        <x:v>0</x:v>
      </x:c>
      <x:c r="AO96" s="141" t="n">
        <x:f>IF($A96&lt;=Premissas!$B$25,INDEX('Consorcio IQ'!$K$6:$K$485,$A96),0)</x:f>
        <x:v>857.7697232000017</x:v>
      </x:c>
      <x:c r="AP96" s="141" t="n">
        <x:f>IF(AND(TRUE,Premissas!$B$11="Imovel",Premissas!$B$47="Moradia",$A96&lt;MAX(Premissas!$B$48,Premissas!$B$49)),$D96,0)</x:f>
        <x:v>0</x:v>
      </x:c>
      <x:c r="AQ96" s="141" t="n">
        <x:f>IF(AND(TRUE,Premissas!$B$11="Imovel",Premissas!$B$47="Investimento",$A96&gt;=MAX(Premissas!$B$48,Premissas!$B$49)),$E96,0)</x:f>
        <x:v>962.3233657544708</x:v>
      </x:c>
      <x:c r="AR96" s="141" t="n">
        <x:f>AN96+AO96+AP96</x:f>
        <x:v>857.7697232000017</x:v>
      </x:c>
      <x:c r="AS96" s="141" t="n">
        <x:f>AQ96</x:f>
        <x:v>962.3233657544708</x:v>
      </x:c>
      <x:c r="AT96" s="141" t="n">
        <x:f>$C96+AS96-AR96</x:f>
        <x:v>7104.553642554469</x:v>
      </x:c>
      <x:c r="AU96" s="141" t="n">
        <x:f>AX95*(1+Premissas!$B$41)+AT96</x:f>
        <x:v>939013.6370996551</x:v>
      </x:c>
      <x:c r="AV96" s="141" t="n">
        <x:f>MAX(0,-AU96)</x:f>
        <x:v>0</x:v>
      </x:c>
      <x:c r="AW96" s="141" t="n">
        <x:f>AW95*(1+Premissas!$B$41)+AV96</x:f>
        <x:v>0</x:v>
      </x:c>
      <x:c r="AX96" s="141" t="n">
        <x:f>MAX(0,AU96)</x:f>
        <x:v>939013.6370996551</x:v>
      </x:c>
      <x:c r="AY96" s="141" t="n">
        <x:f>INDEX('Consorcio IQ'!$P$6:$P$485,$A96)</x:f>
        <x:v>92579.66591150365</x:v>
      </x:c>
      <x:c r="AZ96" s="141" t="n">
        <x:f>IF($A96&gt;=Premissas!$B$48,$F96,0)+IF($A96&lt;Premissas!$B$27,INDEX('Consorcio IQ'!$O$6:$O$485,$A96),0)</x:f>
        <x:v>311123.49388913775</x:v>
      </x:c>
      <x:c r="BA96" s="141" t="n">
        <x:f>AX96+AZ96-AY96</x:f>
        <x:v>1157557.4650772894</x:v>
      </x:c>
      <x:c r="BB96" s="141" t="n">
        <x:f>IF(AW96&gt;1,"Inviavel",BA96)</x:f>
        <x:v>1157557.4650772894</x:v>
      </x:c>
      <x:c r="BC96" s="141" t="str">
        <x:f>IF(AW96&gt;1,"Inviavel","OK")</x:f>
        <x:v>OK</x:v>
      </x:c>
      <x:c r="BD96" s="141" t="n">
        <x:f>IF($A96='Consorcio Direto'!$B$29,'Consorcio Direto'!$B$44,0)</x:f>
        <x:v>0</x:v>
      </x:c>
      <x:c r="BE96" s="141" t="n">
        <x:f>IF($A96&lt;='Consorcio Direto'!$B$27,INDEX('Consorcio Direto'!$E$55:$E$534,$A96),0)</x:f>
        <x:v>2221.195353451511</x:v>
      </x:c>
      <x:c r="BF96" s="141" t="n">
        <x:f>IF(AND(TRUE,Premissas!$B$11="Imovel",Premissas!$B$47="Moradia",$A96&lt;MAX('Consorcio Direto'!$B$29,Premissas!$B$49)),$D96,0)</x:f>
        <x:v>0</x:v>
      </x:c>
      <x:c r="BG96" s="141" t="n">
        <x:f>IF(AND(TRUE,Premissas!$B$11="Imovel",Premissas!$B$47="Investimento",$A96&gt;=MAX('Consorcio Direto'!$B$29,Premissas!$B$49)),$E96,0)</x:f>
        <x:v>962.3233657544708</x:v>
      </x:c>
      <x:c r="BH96" s="141" t="n">
        <x:f>BD96+BE96+BF96</x:f>
        <x:v>2221.195353451511</x:v>
      </x:c>
      <x:c r="BI96" s="141" t="n">
        <x:f>BG96</x:f>
        <x:v>962.3233657544708</x:v>
      </x:c>
      <x:c r="BJ96" s="141" t="n">
        <x:f>$C96+BI96-BH96</x:f>
        <x:v>5741.128012302959</x:v>
      </x:c>
      <x:c r="BK96" s="141" t="n">
        <x:f>BN95*(1+Premissas!$B$41)+BJ96</x:f>
        <x:v>1012402.9117276653</x:v>
      </x:c>
      <x:c r="BL96" s="141" t="n">
        <x:f>MAX(0,-BK96)</x:f>
        <x:v>0</x:v>
      </x:c>
      <x:c r="BM96" s="141" t="n">
        <x:f>BM95*(1+Premissas!$B$41)+BL96</x:f>
        <x:v>0</x:v>
      </x:c>
      <x:c r="BN96" s="141" t="n">
        <x:f>MAX(0,BK96)</x:f>
        <x:v>1012402.9117276653</x:v>
      </x:c>
      <x:c r="BO96" s="141" t="n">
        <x:f>INDEX('Consorcio Direto'!$K$55:$K$534,$A96)</x:f>
        <x:v>239735.11559672732</x:v>
      </x:c>
      <x:c r="BP96" s="141" t="n">
        <x:f>IF($A96&lt;'Consorcio Direto'!$B$29,INDEX('Consorcio Direto'!$L$55:$L$534,$A96),$F96)</x:f>
        <x:v>311123.49388913775</x:v>
      </x:c>
      <x:c r="BQ96" s="141" t="n">
        <x:f>BN96+BP96-BO96</x:f>
        <x:v>1083791.2900200759</x:v>
      </x:c>
      <x:c r="BR96" s="141" t="n">
        <x:f>IF(BM96&gt;1,"Inviavel",BQ96)</x:f>
        <x:v>1083791.2900200759</x:v>
      </x:c>
      <x:c r="BS96" s="141" t="str">
        <x:f>IF(BM96&gt;1,"Inviavel","OK")</x:f>
        <x:v>OK</x:v>
      </x:c>
      <x:c r="BT96" s="141" t="n">
        <x:f>IF(AND('Carta Contemplada'!$B$22="Sim",$A96='Carta Contemplada'!$B$23),'Carta Contemplada'!$B$37,0)</x:f>
        <x:v>0</x:v>
      </x:c>
      <x:c r="BU96" s="141" t="n">
        <x:f>IF('Carta Contemplada'!$B$22="Sim",INDEX('Carta Contemplada'!$C$55:$C$1013,$A96),0)</x:f>
        <x:v>1804.3563107896327</x:v>
      </x:c>
      <x:c r="BV96" s="141" t="n">
        <x:f>IF(AND('Carta Contemplada'!$B$22="Sim",Premissas!$B$11="Imovel",Premissas!$B$47="Moradia",$A96&lt;MAX('Carta Contemplada'!$B$44,Premissas!$B$49)),$D96,0)</x:f>
        <x:v>0</x:v>
      </x:c>
      <x:c r="BW96" s="141" t="n">
        <x:f>IF(AND('Carta Contemplada'!$B$22="Sim",Premissas!$B$11="Imovel",Premissas!$B$47="Investimento",$A96&gt;=MAX('Carta Contemplada'!$B$44,Premissas!$B$49)),$E96,0)</x:f>
        <x:v>962.3233657544708</x:v>
      </x:c>
      <x:c r="BX96" s="141" t="n">
        <x:f>BT96+BU96+BV96</x:f>
        <x:v>1804.3563107896327</x:v>
      </x:c>
      <x:c r="BY96" s="141" t="n">
        <x:f>BW96</x:f>
        <x:v>962.3233657544708</x:v>
      </x:c>
      <x:c r="BZ96" s="141" t="n">
        <x:f>$C96+BY96-BX96</x:f>
        <x:v>6157.967054964838</x:v>
      </x:c>
      <x:c r="CA96" s="141" t="n">
        <x:f>CD95*(1+Premissas!$B$41)+BZ96</x:f>
        <x:v>1025709.1489492499</x:v>
      </x:c>
      <x:c r="CB96" s="141" t="n">
        <x:f>MAX(0,-CA96)</x:f>
        <x:v>0</x:v>
      </x:c>
      <x:c r="CC96" s="141" t="n">
        <x:f>CC95*(1+Premissas!$B$41)+CB96</x:f>
        <x:v>0</x:v>
      </x:c>
      <x:c r="CD96" s="141" t="n">
        <x:f>MAX(0,CA96)</x:f>
        <x:v>1025709.1489492499</x:v>
      </x:c>
      <x:c r="CE96" s="141" t="n">
        <x:f>IF(AND('Carta Contemplada'!$B$22="Sim",$A96&gt;='Carta Contemplada'!$B$23),INDEX('Carta Contemplada'!$I$55:$I$1013,$A96),0)</x:f>
        <x:v>131204.88014678628</x:v>
      </x:c>
      <x:c r="CF96" s="141" t="n">
        <x:f>IF(AND('Carta Contemplada'!$B$22="Sim",$A96&gt;='Carta Contemplada'!$B$44),$F96,0)</x:f>
        <x:v>311123.49388913775</x:v>
      </x:c>
      <x:c r="CG96" s="141" t="n">
        <x:f>CD96+CF96-CE96</x:f>
        <x:v>1205627.7626916014</x:v>
      </x:c>
      <x:c r="CH96" s="141" t="n">
        <x:f>IF(CC96&gt;1,"Inviavel",CG96)</x:f>
        <x:v>1205627.7626916014</x:v>
      </x:c>
      <x:c r="CI96" s="145" t="str">
        <x:f>IF(CC96&gt;1,"Inviavel","OK")</x:f>
        <x:v>OK</x:v>
      </x:c>
    </x:row>
    <x:row r="97">
      <x:c r="A97" s="142" t="n">
        <x:v>93</x:v>
      </x:c>
      <x:c r="B97" s="179" t="n">
        <x:f>EDATE(Premissas!$B$4,A97-1)</x:f>
        <x:v>49341</x:v>
      </x:c>
      <x:c r="C97" s="141" t="n">
        <x:f>IF(A97&lt;=Premissas!$B$39,Premissas!$B$42,0)</x:f>
        <x:v>7000</x:v>
      </x:c>
      <x:c r="D97" s="141" t="n">
        <x:f>Premissas!$B$54*(1+Premissas!$B$57)^INT((A97-1)/12)</x:f>
        <x:v>1052.5411812939524</x:v>
      </x:c>
      <x:c r="E97" s="141" t="n">
        <x:f>Premissas!$B$64*(1+Premissas!$B$57)^INT((A97-1)/12)</x:f>
        <x:v>962.3233657544708</x:v>
      </x:c>
      <x:c r="F97" s="141" t="n">
        <x:f>MAX(0,Premissas!$B$6*(1+Premissas!$B$66)^((A97-1)/12))</x:f>
        <x:v>312637.90322770935</x:v>
      </x:c>
      <x:c r="G97" s="141" t="n">
        <x:f>G96*(1+Premissas!$B$41)+C97</x:f>
        <x:v>1252388.207738173</x:v>
      </x:c>
      <x:c r="H97" s="141" t="n">
        <x:f>IF($A97=Premissas!$B$48,Premissas!$B$8,0)</x:f>
        <x:v>0</x:v>
      </x:c>
      <x:c r="I97" s="141" t="n">
        <x:f>IF(AND($A97&gt;=Premissas!$B$48,$A97-Premissas!$B$48+1&lt;=Premissas!$B$13),INDEX(Financiamento!$J$6:$J$485,$A97-Premissas!$B$48+1),0)</x:f>
        <x:v>1716.5996504926652</x:v>
      </x:c>
      <x:c r="J97" s="141" t="n">
        <x:f>IF(AND(TRUE,Premissas!$B$11="Imovel",Premissas!$B$47="Moradia",$A97&lt;MAX(Premissas!$B$48,Premissas!$B$49)),$D97,0)</x:f>
        <x:v>0</x:v>
      </x:c>
      <x:c r="K97" s="141" t="n">
        <x:f>IF(AND(TRUE,Premissas!$B$11="Imovel",Premissas!$B$47="Investimento",$A97&gt;=MAX(Premissas!$B$48,Premissas!$B$49)),$E97,0)</x:f>
        <x:v>962.3233657544708</x:v>
      </x:c>
      <x:c r="L97" s="141" t="n">
        <x:f>H97+I97+J97</x:f>
        <x:v>1716.5996504926652</x:v>
      </x:c>
      <x:c r="M97" s="141" t="n">
        <x:f>K97</x:f>
        <x:v>962.3233657544708</x:v>
      </x:c>
      <x:c r="N97" s="141" t="n">
        <x:f>$C97+M97-L97</x:f>
        <x:v>6245.723715261805</x:v>
      </x:c>
      <x:c r="O97" s="141" t="n">
        <x:f>R96*(1+Premissas!$B$41)+N97</x:f>
        <x:v>987102.7800812151</x:v>
      </x:c>
      <x:c r="P97" s="141" t="n">
        <x:f>MAX(0,-O97)</x:f>
        <x:v>0</x:v>
      </x:c>
      <x:c r="Q97" s="141" t="n">
        <x:f>Q96*(1+Premissas!$B$41)+P97</x:f>
        <x:v>0</x:v>
      </x:c>
      <x:c r="R97" s="141" t="n">
        <x:f>MAX(0,O97)</x:f>
        <x:v>987102.7800812151</x:v>
      </x:c>
      <x:c r="S97" s="141" t="n">
        <x:f>IF(AND($A97&gt;=Premissas!$B$48,$A97-Premissas!$B$48+1&lt;=Premissas!$B$13),INDEX(Financiamento!$M$6:$M$485,$A97-Premissas!$B$48+1),0)</x:f>
        <x:v>124571.42857142878</x:v>
      </x:c>
      <x:c r="T97" s="141" t="n">
        <x:f>IF($A97&gt;=Premissas!$B$48,$F97,0)</x:f>
        <x:v>312637.90322770935</x:v>
      </x:c>
      <x:c r="U97" s="141" t="n">
        <x:f>R97+T97-S97</x:f>
        <x:v>1175169.2547374957</x:v>
      </x:c>
      <x:c r="V97" s="141" t="n">
        <x:f>IF(Q97&gt;1,"Inviavel",U97)</x:f>
        <x:v>1175169.2547374957</x:v>
      </x:c>
      <x:c r="W97" s="141" t="str">
        <x:f>IF(Q97&gt;1,"Inviavel","OK")</x:f>
        <x:v>OK</x:v>
      </x:c>
      <x:c r="X97" s="141" t="n">
        <x:f>IF($A97=Premissas!$B$48,Premissas!$B$8,0)</x:f>
        <x:v>0</x:v>
      </x:c>
      <x:c r="Y97" s="141" t="n">
        <x:f>IF(AND($A97&gt;=Premissas!$B$48,$A97-Premissas!$B$48+1&lt;=Premissas!$B$13),INDEX(Amortizacao!$K$6:$K$485,$A97-Premissas!$B$48+1),0)</x:f>
        <x:v>0</x:v>
      </x:c>
      <x:c r="Z97" s="141" t="n">
        <x:f>IF(AND(TRUE,Premissas!$B$11="Imovel",Premissas!$B$47="Moradia",$A97&lt;MAX(Premissas!$B$48,Premissas!$B$49)),$D97,0)</x:f>
        <x:v>0</x:v>
      </x:c>
      <x:c r="AA97" s="141" t="n">
        <x:f>IF(AND(TRUE,Premissas!$B$11="Imovel",Premissas!$B$47="Investimento",$A97&gt;=MAX(Premissas!$B$48,Premissas!$B$49)),$E97,0)</x:f>
        <x:v>962.3233657544708</x:v>
      </x:c>
      <x:c r="AB97" s="141" t="n">
        <x:f>X97+Y97+Z97</x:f>
        <x:v>0</x:v>
      </x:c>
      <x:c r="AC97" s="141" t="n">
        <x:f>AA97</x:f>
        <x:v>962.3233657544708</x:v>
      </x:c>
      <x:c r="AD97" s="141" t="n">
        <x:f>$C97+AC97-AB97</x:f>
        <x:v>7962.323365754471</x:v>
      </x:c>
      <x:c r="AE97" s="141" t="n">
        <x:f>AH96*(1+Premissas!$B$41)+AD97</x:f>
        <x:v>876206.7546961375</x:v>
      </x:c>
      <x:c r="AF97" s="141" t="n">
        <x:f>MAX(0,-AE97)</x:f>
        <x:v>0</x:v>
      </x:c>
      <x:c r="AG97" s="141" t="n">
        <x:f>AG96*(1+Premissas!$B$41)+AF97</x:f>
        <x:v>0</x:v>
      </x:c>
      <x:c r="AH97" s="141" t="n">
        <x:f>MAX(0,AE97)</x:f>
        <x:v>876206.7546961375</x:v>
      </x:c>
      <x:c r="AI97" s="141" t="n">
        <x:f>IF(AND($A97&gt;=Premissas!$B$48,$A97-Premissas!$B$48+1&lt;=Premissas!$B$13),INDEX(Amortizacao!$L$6:$L$485,$A97-Premissas!$B$48+1),0)</x:f>
        <x:v>0</x:v>
      </x:c>
      <x:c r="AJ97" s="141" t="n">
        <x:f>IF($A97&gt;=Premissas!$B$48,$F97,0)</x:f>
        <x:v>312637.90322770935</x:v>
      </x:c>
      <x:c r="AK97" s="141" t="n">
        <x:f>AH97+AJ97-AI97</x:f>
        <x:v>1188844.657923847</x:v>
      </x:c>
      <x:c r="AL97" s="141" t="n">
        <x:f>IF(AG97&gt;1,"Inviavel",AK97)</x:f>
        <x:v>1188844.657923847</x:v>
      </x:c>
      <x:c r="AM97" s="141" t="str">
        <x:f>IF(AG97&gt;1,"Inviavel","OK")</x:f>
        <x:v>OK</x:v>
      </x:c>
      <x:c r="AN97" s="141" t="n">
        <x:f>IF($A97=Premissas!$B$48,Premissas!$B$8,0)</x:f>
        <x:v>0</x:v>
      </x:c>
      <x:c r="AO97" s="141" t="n">
        <x:f>IF($A97&lt;=Premissas!$B$25,INDEX('Consorcio IQ'!$K$6:$K$485,$A97),0)</x:f>
        <x:v>857.7697232000017</x:v>
      </x:c>
      <x:c r="AP97" s="141" t="n">
        <x:f>IF(AND(TRUE,Premissas!$B$11="Imovel",Premissas!$B$47="Moradia",$A97&lt;MAX(Premissas!$B$48,Premissas!$B$49)),$D97,0)</x:f>
        <x:v>0</x:v>
      </x:c>
      <x:c r="AQ97" s="141" t="n">
        <x:f>IF(AND(TRUE,Premissas!$B$11="Imovel",Premissas!$B$47="Investimento",$A97&gt;=MAX(Premissas!$B$48,Premissas!$B$49)),$E97,0)</x:f>
        <x:v>962.3233657544708</x:v>
      </x:c>
      <x:c r="AR97" s="141" t="n">
        <x:f>AN97+AO97+AP97</x:f>
        <x:v>857.7697232000017</x:v>
      </x:c>
      <x:c r="AS97" s="141" t="n">
        <x:f>AQ97</x:f>
        <x:v>962.3233657544708</x:v>
      </x:c>
      <x:c r="AT97" s="141" t="n">
        <x:f>$C97+AS97-AR97</x:f>
        <x:v>7104.553642554469</x:v>
      </x:c>
      <x:c r="AU97" s="141" t="n">
        <x:f>AX96*(1+Premissas!$B$41)+AT97</x:f>
        <x:v>955028.2967073979</x:v>
      </x:c>
      <x:c r="AV97" s="141" t="n">
        <x:f>MAX(0,-AU97)</x:f>
        <x:v>0</x:v>
      </x:c>
      <x:c r="AW97" s="141" t="n">
        <x:f>AW96*(1+Premissas!$B$41)+AV97</x:f>
        <x:v>0</x:v>
      </x:c>
      <x:c r="AX97" s="141" t="n">
        <x:f>MAX(0,AU97)</x:f>
        <x:v>955028.2967073979</x:v>
      </x:c>
      <x:c r="AY97" s="141" t="n">
        <x:f>INDEX('Consorcio IQ'!$P$6:$P$485,$A97)</x:f>
        <x:v>92600.36546809078</x:v>
      </x:c>
      <x:c r="AZ97" s="141" t="n">
        <x:f>IF($A97&gt;=Premissas!$B$48,$F97,0)+IF($A97&lt;Premissas!$B$27,INDEX('Consorcio IQ'!$O$6:$O$485,$A97),0)</x:f>
        <x:v>312637.90322770935</x:v>
      </x:c>
      <x:c r="BA97" s="141" t="n">
        <x:f>AX97+AZ97-AY97</x:f>
        <x:v>1175065.8344670164</x:v>
      </x:c>
      <x:c r="BB97" s="141" t="n">
        <x:f>IF(AW97&gt;1,"Inviavel",BA97)</x:f>
        <x:v>1175065.8344670164</x:v>
      </x:c>
      <x:c r="BC97" s="141" t="str">
        <x:f>IF(AW97&gt;1,"Inviavel","OK")</x:f>
        <x:v>OK</x:v>
      </x:c>
      <x:c r="BD97" s="141" t="n">
        <x:f>IF($A97='Consorcio Direto'!$B$29,'Consorcio Direto'!$B$44,0)</x:f>
        <x:v>0</x:v>
      </x:c>
      <x:c r="BE97" s="141" t="n">
        <x:f>IF($A97&lt;='Consorcio Direto'!$B$27,INDEX('Consorcio Direto'!$E$55:$E$534,$A97),0)</x:f>
        <x:v>2221.195353451511</x:v>
      </x:c>
      <x:c r="BF97" s="141" t="n">
        <x:f>IF(AND(TRUE,Premissas!$B$11="Imovel",Premissas!$B$47="Moradia",$A97&lt;MAX('Consorcio Direto'!$B$29,Premissas!$B$49)),$D97,0)</x:f>
        <x:v>0</x:v>
      </x:c>
      <x:c r="BG97" s="141" t="n">
        <x:f>IF(AND(TRUE,Premissas!$B$11="Imovel",Premissas!$B$47="Investimento",$A97&gt;=MAX('Consorcio Direto'!$B$29,Premissas!$B$49)),$E97,0)</x:f>
        <x:v>962.3233657544708</x:v>
      </x:c>
      <x:c r="BH97" s="141" t="n">
        <x:f>BD97+BE97+BF97</x:f>
        <x:v>2221.195353451511</x:v>
      </x:c>
      <x:c r="BI97" s="141" t="n">
        <x:f>BG97</x:f>
        <x:v>962.3233657544708</x:v>
      </x:c>
      <x:c r="BJ97" s="141" t="n">
        <x:f>$C97+BI97-BH97</x:f>
        <x:v>5741.128012302959</x:v>
      </x:c>
      <x:c r="BK97" s="141" t="n">
        <x:f>BN96*(1+Premissas!$B$41)+BJ97</x:f>
        <x:v>1027750.521335721</x:v>
      </x:c>
      <x:c r="BL97" s="141" t="n">
        <x:f>MAX(0,-BK97)</x:f>
        <x:v>0</x:v>
      </x:c>
      <x:c r="BM97" s="141" t="n">
        <x:f>BM96*(1+Premissas!$B$41)+BL97</x:f>
        <x:v>0</x:v>
      </x:c>
      <x:c r="BN97" s="141" t="n">
        <x:f>MAX(0,BK97)</x:f>
        <x:v>1027750.521335721</x:v>
      </x:c>
      <x:c r="BO97" s="141" t="n">
        <x:f>INDEX('Consorcio Direto'!$K$55:$K$534,$A97)</x:f>
        <x:v>239788.71711432148</x:v>
      </x:c>
      <x:c r="BP97" s="141" t="n">
        <x:f>IF($A97&lt;'Consorcio Direto'!$B$29,INDEX('Consorcio Direto'!$L$55:$L$534,$A97),$F97)</x:f>
        <x:v>312637.90322770935</x:v>
      </x:c>
      <x:c r="BQ97" s="141" t="n">
        <x:f>BN97+BP97-BO97</x:f>
        <x:v>1100599.7074491088</x:v>
      </x:c>
      <x:c r="BR97" s="141" t="n">
        <x:f>IF(BM97&gt;1,"Inviavel",BQ97)</x:f>
        <x:v>1100599.7074491088</x:v>
      </x:c>
      <x:c r="BS97" s="141" t="str">
        <x:f>IF(BM97&gt;1,"Inviavel","OK")</x:f>
        <x:v>OK</x:v>
      </x:c>
      <x:c r="BT97" s="141" t="n">
        <x:f>IF(AND('Carta Contemplada'!$B$22="Sim",$A97='Carta Contemplada'!$B$23),'Carta Contemplada'!$B$37,0)</x:f>
        <x:v>0</x:v>
      </x:c>
      <x:c r="BU97" s="141" t="n">
        <x:f>IF('Carta Contemplada'!$B$22="Sim",INDEX('Carta Contemplada'!$C$55:$C$1013,$A97),0)</x:f>
        <x:v>1804.3563107896327</x:v>
      </x:c>
      <x:c r="BV97" s="141" t="n">
        <x:f>IF(AND('Carta Contemplada'!$B$22="Sim",Premissas!$B$11="Imovel",Premissas!$B$47="Moradia",$A97&lt;MAX('Carta Contemplada'!$B$44,Premissas!$B$49)),$D97,0)</x:f>
        <x:v>0</x:v>
      </x:c>
      <x:c r="BW97" s="141" t="n">
        <x:f>IF(AND('Carta Contemplada'!$B$22="Sim",Premissas!$B$11="Imovel",Premissas!$B$47="Investimento",$A97&gt;=MAX('Carta Contemplada'!$B$44,Premissas!$B$49)),$E97,0)</x:f>
        <x:v>962.3233657544708</x:v>
      </x:c>
      <x:c r="BX97" s="141" t="n">
        <x:f>BT97+BU97+BV97</x:f>
        <x:v>1804.3563107896327</x:v>
      </x:c>
      <x:c r="BY97" s="141" t="n">
        <x:f>BW97</x:f>
        <x:v>962.3233657544708</x:v>
      </x:c>
      <x:c r="BZ97" s="141" t="n">
        <x:f>$C97+BY97-BX97</x:f>
        <x:v>6157.967054964838</x:v>
      </x:c>
      <x:c r="CA97" s="141" t="n">
        <x:f>CD96*(1+Premissas!$B$41)+BZ97</x:f>
        <x:v>1041599.8577297016</x:v>
      </x:c>
      <x:c r="CB97" s="141" t="n">
        <x:f>MAX(0,-CA97)</x:f>
        <x:v>0</x:v>
      </x:c>
      <x:c r="CC97" s="141" t="n">
        <x:f>CC96*(1+Premissas!$B$41)+CB97</x:f>
        <x:v>0</x:v>
      </x:c>
      <x:c r="CD97" s="141" t="n">
        <x:f>MAX(0,CA97)</x:f>
        <x:v>1041599.8577297016</x:v>
      </x:c>
      <x:c r="CE97" s="141" t="n">
        <x:f>IF(AND('Carta Contemplada'!$B$22="Sim",$A97&gt;='Carta Contemplada'!$B$23),INDEX('Carta Contemplada'!$I$55:$I$1013,$A97),0)</x:f>
        <x:v>130645.4997757163</x:v>
      </x:c>
      <x:c r="CF97" s="141" t="n">
        <x:f>IF(AND('Carta Contemplada'!$B$22="Sim",$A97&gt;='Carta Contemplada'!$B$44),$F97,0)</x:f>
        <x:v>312637.90322770935</x:v>
      </x:c>
      <x:c r="CG97" s="141" t="n">
        <x:f>CD97+CF97-CE97</x:f>
        <x:v>1223592.2611816947</x:v>
      </x:c>
      <x:c r="CH97" s="141" t="n">
        <x:f>IF(CC97&gt;1,"Inviavel",CG97)</x:f>
        <x:v>1223592.2611816947</x:v>
      </x:c>
      <x:c r="CI97" s="145" t="str">
        <x:f>IF(CC97&gt;1,"Inviavel","OK")</x:f>
        <x:v>OK</x:v>
      </x:c>
    </x:row>
    <x:row r="98">
      <x:c r="A98" s="142" t="n">
        <x:v>94</x:v>
      </x:c>
      <x:c r="B98" s="179" t="n">
        <x:f>EDATE(Premissas!$B$4,A98-1)</x:f>
        <x:v>49369</x:v>
      </x:c>
      <x:c r="C98" s="141" t="n">
        <x:f>IF(A98&lt;=Premissas!$B$39,Premissas!$B$42,0)</x:f>
        <x:v>7000</x:v>
      </x:c>
      <x:c r="D98" s="141" t="n">
        <x:f>Premissas!$B$54*(1+Premissas!$B$57)^INT((A98-1)/12)</x:f>
        <x:v>1052.5411812939524</x:v>
      </x:c>
      <x:c r="E98" s="141" t="n">
        <x:f>Premissas!$B$64*(1+Premissas!$B$57)^INT((A98-1)/12)</x:f>
        <x:v>962.3233657544708</x:v>
      </x:c>
      <x:c r="F98" s="141" t="n">
        <x:f>MAX(0,Premissas!$B$6*(1+Premissas!$B$66)^((A98-1)/12))</x:f>
        <x:v>314159.68403031304</x:v>
      </x:c>
      <x:c r="G98" s="141" t="n">
        <x:f>G97*(1+Premissas!$B$41)+C98</x:f>
        <x:v>1271271.8601151141</x:v>
      </x:c>
      <x:c r="H98" s="141" t="n">
        <x:f>IF($A98=Premissas!$B$48,Premissas!$B$8,0)</x:f>
        <x:v>0</x:v>
      </x:c>
      <x:c r="I98" s="141" t="n">
        <x:f>IF(AND($A98&gt;=Premissas!$B$48,$A98-Premissas!$B$48+1&lt;=Premissas!$B$13),INDEX(Financiamento!$J$6:$J$485,$A98-Premissas!$B$48+1),0)</x:f>
        <x:v>1712.9848722318716</x:v>
      </x:c>
      <x:c r="J98" s="141" t="n">
        <x:f>IF(AND(TRUE,Premissas!$B$11="Imovel",Premissas!$B$47="Moradia",$A98&lt;MAX(Premissas!$B$48,Premissas!$B$49)),$D98,0)</x:f>
        <x:v>0</x:v>
      </x:c>
      <x:c r="K98" s="141" t="n">
        <x:f>IF(AND(TRUE,Premissas!$B$11="Imovel",Premissas!$B$47="Investimento",$A98&gt;=MAX(Premissas!$B$48,Premissas!$B$49)),$E98,0)</x:f>
        <x:v>962.3233657544708</x:v>
      </x:c>
      <x:c r="L98" s="141" t="n">
        <x:f>H98+I98+J98</x:f>
        <x:v>1712.9848722318716</x:v>
      </x:c>
      <x:c r="M98" s="141" t="n">
        <x:f>K98</x:f>
        <x:v>962.3233657544708</x:v>
      </x:c>
      <x:c r="N98" s="141" t="n">
        <x:f>$C98+M98-L98</x:f>
        <x:v>6249.338493522599</x:v>
      </x:c>
      <x:c r="O98" s="141" t="n">
        <x:f>R97*(1+Premissas!$B$41)+N98</x:f>
        <x:v>1002718.5324600796</x:v>
      </x:c>
      <x:c r="P98" s="141" t="n">
        <x:f>MAX(0,-O98)</x:f>
        <x:v>0</x:v>
      </x:c>
      <x:c r="Q98" s="141" t="n">
        <x:f>Q97*(1+Premissas!$B$41)+P98</x:f>
        <x:v>0</x:v>
      </x:c>
      <x:c r="R98" s="141" t="n">
        <x:f>MAX(0,O98)</x:f>
        <x:v>1002718.5324600796</x:v>
      </x:c>
      <x:c r="S98" s="141" t="n">
        <x:f>IF(AND($A98&gt;=Premissas!$B$48,$A98-Premissas!$B$48+1&lt;=Premissas!$B$13),INDEX(Financiamento!$M$6:$M$485,$A98-Premissas!$B$48+1),0)</x:f>
        <x:v>124190.4761904764</x:v>
      </x:c>
      <x:c r="T98" s="141" t="n">
        <x:f>IF($A98&gt;=Premissas!$B$48,$F98,0)</x:f>
        <x:v>314159.68403031304</x:v>
      </x:c>
      <x:c r="U98" s="141" t="n">
        <x:f>R98+T98-S98</x:f>
        <x:v>1192687.7402999161</x:v>
      </x:c>
      <x:c r="V98" s="141" t="n">
        <x:f>IF(Q98&gt;1,"Inviavel",U98)</x:f>
        <x:v>1192687.7402999161</x:v>
      </x:c>
      <x:c r="W98" s="141" t="str">
        <x:f>IF(Q98&gt;1,"Inviavel","OK")</x:f>
        <x:v>OK</x:v>
      </x:c>
      <x:c r="X98" s="141" t="n">
        <x:f>IF($A98=Premissas!$B$48,Premissas!$B$8,0)</x:f>
        <x:v>0</x:v>
      </x:c>
      <x:c r="Y98" s="141" t="n">
        <x:f>IF(AND($A98&gt;=Premissas!$B$48,$A98-Premissas!$B$48+1&lt;=Premissas!$B$13),INDEX(Amortizacao!$K$6:$K$485,$A98-Premissas!$B$48+1),0)</x:f>
        <x:v>0</x:v>
      </x:c>
      <x:c r="Z98" s="141" t="n">
        <x:f>IF(AND(TRUE,Premissas!$B$11="Imovel",Premissas!$B$47="Moradia",$A98&lt;MAX(Premissas!$B$48,Premissas!$B$49)),$D98,0)</x:f>
        <x:v>0</x:v>
      </x:c>
      <x:c r="AA98" s="141" t="n">
        <x:f>IF(AND(TRUE,Premissas!$B$11="Imovel",Premissas!$B$47="Investimento",$A98&gt;=MAX(Premissas!$B$48,Premissas!$B$49)),$E98,0)</x:f>
        <x:v>962.3233657544708</x:v>
      </x:c>
      <x:c r="AB98" s="141" t="n">
        <x:f>X98+Y98+Z98</x:f>
        <x:v>0</x:v>
      </x:c>
      <x:c r="AC98" s="141" t="n">
        <x:f>AA98</x:f>
        <x:v>962.3233657544708</x:v>
      </x:c>
      <x:c r="AD98" s="141" t="n">
        <x:f>$C98+AC98-AB98</x:f>
        <x:v>7962.323365754471</x:v>
      </x:c>
      <x:c r="AE98" s="141" t="n">
        <x:f>AH97*(1+Premissas!$B$41)+AD98</x:f>
        <x:v>892483.2225250866</x:v>
      </x:c>
      <x:c r="AF98" s="141" t="n">
        <x:f>MAX(0,-AE98)</x:f>
        <x:v>0</x:v>
      </x:c>
      <x:c r="AG98" s="141" t="n">
        <x:f>AG97*(1+Premissas!$B$41)+AF98</x:f>
        <x:v>0</x:v>
      </x:c>
      <x:c r="AH98" s="141" t="n">
        <x:f>MAX(0,AE98)</x:f>
        <x:v>892483.2225250866</x:v>
      </x:c>
      <x:c r="AI98" s="141" t="n">
        <x:f>IF(AND($A98&gt;=Premissas!$B$48,$A98-Premissas!$B$48+1&lt;=Premissas!$B$13),INDEX(Amortizacao!$L$6:$L$485,$A98-Premissas!$B$48+1),0)</x:f>
        <x:v>0</x:v>
      </x:c>
      <x:c r="AJ98" s="141" t="n">
        <x:f>IF($A98&gt;=Premissas!$B$48,$F98,0)</x:f>
        <x:v>314159.68403031304</x:v>
      </x:c>
      <x:c r="AK98" s="141" t="n">
        <x:f>AH98+AJ98-AI98</x:f>
        <x:v>1206642.9065553998</x:v>
      </x:c>
      <x:c r="AL98" s="141" t="n">
        <x:f>IF(AG98&gt;1,"Inviavel",AK98)</x:f>
        <x:v>1206642.9065553998</x:v>
      </x:c>
      <x:c r="AM98" s="141" t="str">
        <x:f>IF(AG98&gt;1,"Inviavel","OK")</x:f>
        <x:v>OK</x:v>
      </x:c>
      <x:c r="AN98" s="141" t="n">
        <x:f>IF($A98=Premissas!$B$48,Premissas!$B$8,0)</x:f>
        <x:v>0</x:v>
      </x:c>
      <x:c r="AO98" s="141" t="n">
        <x:f>IF($A98&lt;=Premissas!$B$25,INDEX('Consorcio IQ'!$K$6:$K$485,$A98),0)</x:f>
        <x:v>857.7697232000017</x:v>
      </x:c>
      <x:c r="AP98" s="141" t="n">
        <x:f>IF(AND(TRUE,Premissas!$B$11="Imovel",Premissas!$B$47="Moradia",$A98&lt;MAX(Premissas!$B$48,Premissas!$B$49)),$D98,0)</x:f>
        <x:v>0</x:v>
      </x:c>
      <x:c r="AQ98" s="141" t="n">
        <x:f>IF(AND(TRUE,Premissas!$B$11="Imovel",Premissas!$B$47="Investimento",$A98&gt;=MAX(Premissas!$B$48,Premissas!$B$49)),$E98,0)</x:f>
        <x:v>962.3233657544708</x:v>
      </x:c>
      <x:c r="AR98" s="141" t="n">
        <x:f>AN98+AO98+AP98</x:f>
        <x:v>857.7697232000017</x:v>
      </x:c>
      <x:c r="AS98" s="141" t="n">
        <x:f>AQ98</x:f>
        <x:v>962.3233657544708</x:v>
      </x:c>
      <x:c r="AT98" s="141" t="n">
        <x:f>$C98+AS98-AR98</x:f>
        <x:v>7104.553642554469</x:v>
      </x:c>
      <x:c r="AU98" s="141" t="n">
        <x:f>AX97*(1+Premissas!$B$41)+AT98</x:f>
        <x:v>971194.9161040764</x:v>
      </x:c>
      <x:c r="AV98" s="141" t="n">
        <x:f>MAX(0,-AU98)</x:f>
        <x:v>0</x:v>
      </x:c>
      <x:c r="AW98" s="141" t="n">
        <x:f>AW97*(1+Premissas!$B$41)+AV98</x:f>
        <x:v>0</x:v>
      </x:c>
      <x:c r="AX98" s="141" t="n">
        <x:f>MAX(0,AU98)</x:f>
        <x:v>971194.9161040764</x:v>
      </x:c>
      <x:c r="AY98" s="141" t="n">
        <x:f>INDEX('Consorcio IQ'!$P$6:$P$485,$A98)</x:f>
        <x:v>92621.2614384842</x:v>
      </x:c>
      <x:c r="AZ98" s="141" t="n">
        <x:f>IF($A98&gt;=Premissas!$B$48,$F98,0)+IF($A98&lt;Premissas!$B$27,INDEX('Consorcio IQ'!$O$6:$O$485,$A98),0)</x:f>
        <x:v>314159.68403031304</x:v>
      </x:c>
      <x:c r="BA98" s="141" t="n">
        <x:f>AX98+AZ98-AY98</x:f>
        <x:v>1192733.3386959052</x:v>
      </x:c>
      <x:c r="BB98" s="141" t="n">
        <x:f>IF(AW98&gt;1,"Inviavel",BA98)</x:f>
        <x:v>1192733.3386959052</x:v>
      </x:c>
      <x:c r="BC98" s="141" t="str">
        <x:f>IF(AW98&gt;1,"Inviavel","OK")</x:f>
        <x:v>OK</x:v>
      </x:c>
      <x:c r="BD98" s="141" t="n">
        <x:f>IF($A98='Consorcio Direto'!$B$29,'Consorcio Direto'!$B$44,0)</x:f>
        <x:v>0</x:v>
      </x:c>
      <x:c r="BE98" s="141" t="n">
        <x:f>IF($A98&lt;='Consorcio Direto'!$B$27,INDEX('Consorcio Direto'!$E$55:$E$534,$A98),0)</x:f>
        <x:v>2221.195353451511</x:v>
      </x:c>
      <x:c r="BF98" s="141" t="n">
        <x:f>IF(AND(TRUE,Premissas!$B$11="Imovel",Premissas!$B$47="Moradia",$A98&lt;MAX('Consorcio Direto'!$B$29,Premissas!$B$49)),$D98,0)</x:f>
        <x:v>0</x:v>
      </x:c>
      <x:c r="BG98" s="141" t="n">
        <x:f>IF(AND(TRUE,Premissas!$B$11="Imovel",Premissas!$B$47="Investimento",$A98&gt;=MAX('Consorcio Direto'!$B$29,Premissas!$B$49)),$E98,0)</x:f>
        <x:v>962.3233657544708</x:v>
      </x:c>
      <x:c r="BH98" s="141" t="n">
        <x:f>BD98+BE98+BF98</x:f>
        <x:v>2221.195353451511</x:v>
      </x:c>
      <x:c r="BI98" s="141" t="n">
        <x:f>BG98</x:f>
        <x:v>962.3233657544708</x:v>
      </x:c>
      <x:c r="BJ98" s="141" t="n">
        <x:f>$C98+BI98-BH98</x:f>
        <x:v>5741.128012302959</x:v>
      </x:c>
      <x:c r="BK98" s="141" t="n">
        <x:f>BN97*(1+Premissas!$B$41)+BJ98</x:f>
        <x:v>1043243.7612333883</x:v>
      </x:c>
      <x:c r="BL98" s="141" t="n">
        <x:f>MAX(0,-BK98)</x:f>
        <x:v>0</x:v>
      </x:c>
      <x:c r="BM98" s="141" t="n">
        <x:f>BM97*(1+Premissas!$B$41)+BL98</x:f>
        <x:v>0</x:v>
      </x:c>
      <x:c r="BN98" s="141" t="n">
        <x:f>MAX(0,BK98)</x:f>
        <x:v>1043243.7612333883</x:v>
      </x:c>
      <x:c r="BO98" s="141" t="n">
        <x:f>INDEX('Consorcio Direto'!$K$55:$K$534,$A98)</x:f>
        <x:v>239842.82724561708</x:v>
      </x:c>
      <x:c r="BP98" s="141" t="n">
        <x:f>IF($A98&lt;'Consorcio Direto'!$B$29,INDEX('Consorcio Direto'!$L$55:$L$534,$A98),$F98)</x:f>
        <x:v>314159.68403031304</x:v>
      </x:c>
      <x:c r="BQ98" s="141" t="n">
        <x:f>BN98+BP98-BO98</x:f>
        <x:v>1117560.6180180844</x:v>
      </x:c>
      <x:c r="BR98" s="141" t="n">
        <x:f>IF(BM98&gt;1,"Inviavel",BQ98)</x:f>
        <x:v>1117560.6180180844</x:v>
      </x:c>
      <x:c r="BS98" s="141" t="str">
        <x:f>IF(BM98&gt;1,"Inviavel","OK")</x:f>
        <x:v>OK</x:v>
      </x:c>
      <x:c r="BT98" s="141" t="n">
        <x:f>IF(AND('Carta Contemplada'!$B$22="Sim",$A98='Carta Contemplada'!$B$23),'Carta Contemplada'!$B$37,0)</x:f>
        <x:v>0</x:v>
      </x:c>
      <x:c r="BU98" s="141" t="n">
        <x:f>IF('Carta Contemplada'!$B$22="Sim",INDEX('Carta Contemplada'!$C$55:$C$1013,$A98),0)</x:f>
        <x:v>1804.3563107896327</x:v>
      </x:c>
      <x:c r="BV98" s="141" t="n">
        <x:f>IF(AND('Carta Contemplada'!$B$22="Sim",Premissas!$B$11="Imovel",Premissas!$B$47="Moradia",$A98&lt;MAX('Carta Contemplada'!$B$44,Premissas!$B$49)),$D98,0)</x:f>
        <x:v>0</x:v>
      </x:c>
      <x:c r="BW98" s="141" t="n">
        <x:f>IF(AND('Carta Contemplada'!$B$22="Sim",Premissas!$B$11="Imovel",Premissas!$B$47="Investimento",$A98&gt;=MAX('Carta Contemplada'!$B$44,Premissas!$B$49)),$E98,0)</x:f>
        <x:v>962.3233657544708</x:v>
      </x:c>
      <x:c r="BX98" s="141" t="n">
        <x:f>BT98+BU98+BV98</x:f>
        <x:v>1804.3563107896327</x:v>
      </x:c>
      <x:c r="BY98" s="141" t="n">
        <x:f>BW98</x:f>
        <x:v>962.3233657544708</x:v>
      </x:c>
      <x:c r="BZ98" s="141" t="n">
        <x:f>$C98+BY98-BX98</x:f>
        <x:v>6157.967054964838</x:v>
      </x:c>
      <x:c r="CA98" s="141" t="n">
        <x:f>CD97*(1+Premissas!$B$41)+BZ98</x:f>
        <x:v>1057641.3501553547</x:v>
      </x:c>
      <x:c r="CB98" s="141" t="n">
        <x:f>MAX(0,-CA98)</x:f>
        <x:v>0</x:v>
      </x:c>
      <x:c r="CC98" s="141" t="n">
        <x:f>CC97*(1+Premissas!$B$41)+CB98</x:f>
        <x:v>0</x:v>
      </x:c>
      <x:c r="CD98" s="141" t="n">
        <x:f>MAX(0,CA98)</x:f>
        <x:v>1057641.3501553547</x:v>
      </x:c>
      <x:c r="CE98" s="141" t="n">
        <x:f>IF(AND('Carta Contemplada'!$B$22="Sim",$A98&gt;='Carta Contemplada'!$B$23),INDEX('Carta Contemplada'!$I$55:$I$1013,$A98),0)</x:f>
        <x:v>130080.81156013354</x:v>
      </x:c>
      <x:c r="CF98" s="141" t="n">
        <x:f>IF(AND('Carta Contemplada'!$B$22="Sim",$A98&gt;='Carta Contemplada'!$B$44),$F98,0)</x:f>
        <x:v>314159.68403031304</x:v>
      </x:c>
      <x:c r="CG98" s="141" t="n">
        <x:f>CD98+CF98-CE98</x:f>
        <x:v>1241720.2226255343</x:v>
      </x:c>
      <x:c r="CH98" s="141" t="n">
        <x:f>IF(CC98&gt;1,"Inviavel",CG98)</x:f>
        <x:v>1241720.2226255343</x:v>
      </x:c>
      <x:c r="CI98" s="145" t="str">
        <x:f>IF(CC98&gt;1,"Inviavel","OK")</x:f>
        <x:v>OK</x:v>
      </x:c>
    </x:row>
    <x:row r="99">
      <x:c r="A99" s="142" t="n">
        <x:v>95</x:v>
      </x:c>
      <x:c r="B99" s="179" t="n">
        <x:f>EDATE(Premissas!$B$4,A99-1)</x:f>
        <x:v>49400</x:v>
      </x:c>
      <x:c r="C99" s="141" t="n">
        <x:f>IF(A99&lt;=Premissas!$B$39,Premissas!$B$42,0)</x:f>
        <x:v>7000</x:v>
      </x:c>
      <x:c r="D99" s="141" t="n">
        <x:f>Premissas!$B$54*(1+Premissas!$B$57)^INT((A99-1)/12)</x:f>
        <x:v>1052.5411812939524</x:v>
      </x:c>
      <x:c r="E99" s="141" t="n">
        <x:f>Premissas!$B$64*(1+Premissas!$B$57)^INT((A99-1)/12)</x:f>
        <x:v>962.3233657544708</x:v>
      </x:c>
      <x:c r="F99" s="141" t="n">
        <x:f>MAX(0,Premissas!$B$6*(1+Premissas!$B$66)^((A99-1)/12))</x:f>
        <x:v>315688.87217792275</x:v>
      </x:c>
      <x:c r="G99" s="141" t="n">
        <x:f>G98*(1+Premissas!$B$41)+C99</x:f>
        <x:v>1290334.6955593086</x:v>
      </x:c>
      <x:c r="H99" s="141" t="n">
        <x:f>IF($A99=Premissas!$B$48,Premissas!$B$8,0)</x:f>
        <x:v>0</x:v>
      </x:c>
      <x:c r="I99" s="141" t="n">
        <x:f>IF(AND($A99&gt;=Premissas!$B$48,$A99-Premissas!$B$48+1&lt;=Premissas!$B$13),INDEX(Financiamento!$J$6:$J$485,$A99-Premissas!$B$48+1),0)</x:f>
        <x:v>1709.3700939710782</x:v>
      </x:c>
      <x:c r="J99" s="141" t="n">
        <x:f>IF(AND(TRUE,Premissas!$B$11="Imovel",Premissas!$B$47="Moradia",$A99&lt;MAX(Premissas!$B$48,Premissas!$B$49)),$D99,0)</x:f>
        <x:v>0</x:v>
      </x:c>
      <x:c r="K99" s="141" t="n">
        <x:f>IF(AND(TRUE,Premissas!$B$11="Imovel",Premissas!$B$47="Investimento",$A99&gt;=MAX(Premissas!$B$48,Premissas!$B$49)),$E99,0)</x:f>
        <x:v>962.3233657544708</x:v>
      </x:c>
      <x:c r="L99" s="141" t="n">
        <x:f>H99+I99+J99</x:f>
        <x:v>1709.3700939710782</x:v>
      </x:c>
      <x:c r="M99" s="141" t="n">
        <x:f>K99</x:f>
        <x:v>962.3233657544708</x:v>
      </x:c>
      <x:c r="N99" s="141" t="n">
        <x:f>$C99+M99-L99</x:f>
        <x:v>6252.953271783393</x:v>
      </x:c>
      <x:c r="O99" s="141" t="n">
        <x:f>R98*(1+Premissas!$B$41)+N99</x:f>
        <x:v>1018486.0742580458</x:v>
      </x:c>
      <x:c r="P99" s="141" t="n">
        <x:f>MAX(0,-O99)</x:f>
        <x:v>0</x:v>
      </x:c>
      <x:c r="Q99" s="141" t="n">
        <x:f>Q98*(1+Premissas!$B$41)+P99</x:f>
        <x:v>0</x:v>
      </x:c>
      <x:c r="R99" s="141" t="n">
        <x:f>MAX(0,O99)</x:f>
        <x:v>1018486.0742580458</x:v>
      </x:c>
      <x:c r="S99" s="141" t="n">
        <x:f>IF(AND($A99&gt;=Premissas!$B$48,$A99-Premissas!$B$48+1&lt;=Premissas!$B$13),INDEX(Financiamento!$M$6:$M$485,$A99-Premissas!$B$48+1),0)</x:f>
        <x:v>123809.52380952402</x:v>
      </x:c>
      <x:c r="T99" s="141" t="n">
        <x:f>IF($A99&gt;=Premissas!$B$48,$F99,0)</x:f>
        <x:v>315688.87217792275</x:v>
      </x:c>
      <x:c r="U99" s="141" t="n">
        <x:f>R99+T99-S99</x:f>
        <x:v>1210365.4226264444</x:v>
      </x:c>
      <x:c r="V99" s="141" t="n">
        <x:f>IF(Q99&gt;1,"Inviavel",U99)</x:f>
        <x:v>1210365.4226264444</x:v>
      </x:c>
      <x:c r="W99" s="141" t="str">
        <x:f>IF(Q99&gt;1,"Inviavel","OK")</x:f>
        <x:v>OK</x:v>
      </x:c>
      <x:c r="X99" s="141" t="n">
        <x:f>IF($A99=Premissas!$B$48,Premissas!$B$8,0)</x:f>
        <x:v>0</x:v>
      </x:c>
      <x:c r="Y99" s="141" t="n">
        <x:f>IF(AND($A99&gt;=Premissas!$B$48,$A99-Premissas!$B$48+1&lt;=Premissas!$B$13),INDEX(Amortizacao!$K$6:$K$485,$A99-Premissas!$B$48+1),0)</x:f>
        <x:v>0</x:v>
      </x:c>
      <x:c r="Z99" s="141" t="n">
        <x:f>IF(AND(TRUE,Premissas!$B$11="Imovel",Premissas!$B$47="Moradia",$A99&lt;MAX(Premissas!$B$48,Premissas!$B$49)),$D99,0)</x:f>
        <x:v>0</x:v>
      </x:c>
      <x:c r="AA99" s="141" t="n">
        <x:f>IF(AND(TRUE,Premissas!$B$11="Imovel",Premissas!$B$47="Investimento",$A99&gt;=MAX(Premissas!$B$48,Premissas!$B$49)),$E99,0)</x:f>
        <x:v>962.3233657544708</x:v>
      </x:c>
      <x:c r="AB99" s="141" t="n">
        <x:f>X99+Y99+Z99</x:f>
        <x:v>0</x:v>
      </x:c>
      <x:c r="AC99" s="141" t="n">
        <x:f>AA99</x:f>
        <x:v>962.3233657544708</x:v>
      </x:c>
      <x:c r="AD99" s="141" t="n">
        <x:f>$C99+AC99-AB99</x:f>
        <x:v>7962.323365754471</x:v>
      </x:c>
      <x:c r="AE99" s="141" t="n">
        <x:f>AH98*(1+Premissas!$B$41)+AD99</x:f>
        <x:v>908914.134386971</x:v>
      </x:c>
      <x:c r="AF99" s="141" t="n">
        <x:f>MAX(0,-AE99)</x:f>
        <x:v>0</x:v>
      </x:c>
      <x:c r="AG99" s="141" t="n">
        <x:f>AG98*(1+Premissas!$B$41)+AF99</x:f>
        <x:v>0</x:v>
      </x:c>
      <x:c r="AH99" s="141" t="n">
        <x:f>MAX(0,AE99)</x:f>
        <x:v>908914.134386971</x:v>
      </x:c>
      <x:c r="AI99" s="141" t="n">
        <x:f>IF(AND($A99&gt;=Premissas!$B$48,$A99-Premissas!$B$48+1&lt;=Premissas!$B$13),INDEX(Amortizacao!$L$6:$L$485,$A99-Premissas!$B$48+1),0)</x:f>
        <x:v>0</x:v>
      </x:c>
      <x:c r="AJ99" s="141" t="n">
        <x:f>IF($A99&gt;=Premissas!$B$48,$F99,0)</x:f>
        <x:v>315688.87217792275</x:v>
      </x:c>
      <x:c r="AK99" s="141" t="n">
        <x:f>AH99+AJ99-AI99</x:f>
        <x:v>1224603.0065648938</x:v>
      </x:c>
      <x:c r="AL99" s="141" t="n">
        <x:f>IF(AG99&gt;1,"Inviavel",AK99)</x:f>
        <x:v>1224603.0065648938</x:v>
      </x:c>
      <x:c r="AM99" s="141" t="str">
        <x:f>IF(AG99&gt;1,"Inviavel","OK")</x:f>
        <x:v>OK</x:v>
      </x:c>
      <x:c r="AN99" s="141" t="n">
        <x:f>IF($A99=Premissas!$B$48,Premissas!$B$8,0)</x:f>
        <x:v>0</x:v>
      </x:c>
      <x:c r="AO99" s="141" t="n">
        <x:f>IF($A99&lt;=Premissas!$B$25,INDEX('Consorcio IQ'!$K$6:$K$485,$A99),0)</x:f>
        <x:v>857.7697232000017</x:v>
      </x:c>
      <x:c r="AP99" s="141" t="n">
        <x:f>IF(AND(TRUE,Premissas!$B$11="Imovel",Premissas!$B$47="Moradia",$A99&lt;MAX(Premissas!$B$48,Premissas!$B$49)),$D99,0)</x:f>
        <x:v>0</x:v>
      </x:c>
      <x:c r="AQ99" s="141" t="n">
        <x:f>IF(AND(TRUE,Premissas!$B$11="Imovel",Premissas!$B$47="Investimento",$A99&gt;=MAX(Premissas!$B$48,Premissas!$B$49)),$E99,0)</x:f>
        <x:v>962.3233657544708</x:v>
      </x:c>
      <x:c r="AR99" s="141" t="n">
        <x:f>AN99+AO99+AP99</x:f>
        <x:v>857.7697232000017</x:v>
      </x:c>
      <x:c r="AS99" s="141" t="n">
        <x:f>AQ99</x:f>
        <x:v>962.3233657544708</x:v>
      </x:c>
      <x:c r="AT99" s="141" t="n">
        <x:f>$C99+AS99-AR99</x:f>
        <x:v>7104.553642554469</x:v>
      </x:c>
      <x:c r="AU99" s="141" t="n">
        <x:f>AX98*(1+Premissas!$B$41)+AT99</x:f>
        <x:v>987514.9372046622</x:v>
      </x:c>
      <x:c r="AV99" s="141" t="n">
        <x:f>MAX(0,-AU99)</x:f>
        <x:v>0</x:v>
      </x:c>
      <x:c r="AW99" s="141" t="n">
        <x:f>AW98*(1+Premissas!$B$41)+AV99</x:f>
        <x:v>0</x:v>
      </x:c>
      <x:c r="AX99" s="141" t="n">
        <x:f>MAX(0,AU99)</x:f>
        <x:v>987514.9372046622</x:v>
      </x:c>
      <x:c r="AY99" s="141" t="n">
        <x:f>INDEX('Consorcio IQ'!$P$6:$P$485,$A99)</x:f>
        <x:v>92642.35568641385</x:v>
      </x:c>
      <x:c r="AZ99" s="141" t="n">
        <x:f>IF($A99&gt;=Premissas!$B$48,$F99,0)+IF($A99&lt;Premissas!$B$27,INDEX('Consorcio IQ'!$O$6:$O$485,$A99),0)</x:f>
        <x:v>315688.87217792275</x:v>
      </x:c>
      <x:c r="BA99" s="141" t="n">
        <x:f>AX99+AZ99-AY99</x:f>
        <x:v>1210561.453696171</x:v>
      </x:c>
      <x:c r="BB99" s="141" t="n">
        <x:f>IF(AW99&gt;1,"Inviavel",BA99)</x:f>
        <x:v>1210561.453696171</x:v>
      </x:c>
      <x:c r="BC99" s="141" t="str">
        <x:f>IF(AW99&gt;1,"Inviavel","OK")</x:f>
        <x:v>OK</x:v>
      </x:c>
      <x:c r="BD99" s="141" t="n">
        <x:f>IF($A99='Consorcio Direto'!$B$29,'Consorcio Direto'!$B$44,0)</x:f>
        <x:v>0</x:v>
      </x:c>
      <x:c r="BE99" s="141" t="n">
        <x:f>IF($A99&lt;='Consorcio Direto'!$B$27,INDEX('Consorcio Direto'!$E$55:$E$534,$A99),0)</x:f>
        <x:v>2221.195353451511</x:v>
      </x:c>
      <x:c r="BF99" s="141" t="n">
        <x:f>IF(AND(TRUE,Premissas!$B$11="Imovel",Premissas!$B$47="Moradia",$A99&lt;MAX('Consorcio Direto'!$B$29,Premissas!$B$49)),$D99,0)</x:f>
        <x:v>0</x:v>
      </x:c>
      <x:c r="BG99" s="141" t="n">
        <x:f>IF(AND(TRUE,Premissas!$B$11="Imovel",Premissas!$B$47="Investimento",$A99&gt;=MAX('Consorcio Direto'!$B$29,Premissas!$B$49)),$E99,0)</x:f>
        <x:v>962.3233657544708</x:v>
      </x:c>
      <x:c r="BH99" s="141" t="n">
        <x:f>BD99+BE99+BF99</x:f>
        <x:v>2221.195353451511</x:v>
      </x:c>
      <x:c r="BI99" s="141" t="n">
        <x:f>BG99</x:f>
        <x:v>962.3233657544708</x:v>
      </x:c>
      <x:c r="BJ99" s="141" t="n">
        <x:f>$C99+BI99-BH99</x:f>
        <x:v>5741.128012302959</x:v>
      </x:c>
      <x:c r="BK99" s="141" t="n">
        <x:f>BN98*(1+Premissas!$B$41)+BJ99</x:f>
        <x:v>1058884.0132763307</x:v>
      </x:c>
      <x:c r="BL99" s="141" t="n">
        <x:f>MAX(0,-BK99)</x:f>
        <x:v>0</x:v>
      </x:c>
      <x:c r="BM99" s="141" t="n">
        <x:f>BM98*(1+Premissas!$B$41)+BL99</x:f>
        <x:v>0</x:v>
      </x:c>
      <x:c r="BN99" s="141" t="n">
        <x:f>MAX(0,BK99)</x:f>
        <x:v>1058884.0132763307</x:v>
      </x:c>
      <x:c r="BO99" s="141" t="n">
        <x:f>INDEX('Consorcio Direto'!$K$55:$K$534,$A99)</x:f>
        <x:v>239897.4508167442</x:v>
      </x:c>
      <x:c r="BP99" s="141" t="n">
        <x:f>IF($A99&lt;'Consorcio Direto'!$B$29,INDEX('Consorcio Direto'!$L$55:$L$534,$A99),$F99)</x:f>
        <x:v>315688.87217792275</x:v>
      </x:c>
      <x:c r="BQ99" s="141" t="n">
        <x:f>BN99+BP99-BO99</x:f>
        <x:v>1134675.434637509</x:v>
      </x:c>
      <x:c r="BR99" s="141" t="n">
        <x:f>IF(BM99&gt;1,"Inviavel",BQ99)</x:f>
        <x:v>1134675.434637509</x:v>
      </x:c>
      <x:c r="BS99" s="141" t="str">
        <x:f>IF(BM99&gt;1,"Inviavel","OK")</x:f>
        <x:v>OK</x:v>
      </x:c>
      <x:c r="BT99" s="141" t="n">
        <x:f>IF(AND('Carta Contemplada'!$B$22="Sim",$A99='Carta Contemplada'!$B$23),'Carta Contemplada'!$B$37,0)</x:f>
        <x:v>0</x:v>
      </x:c>
      <x:c r="BU99" s="141" t="n">
        <x:f>IF('Carta Contemplada'!$B$22="Sim",INDEX('Carta Contemplada'!$C$55:$C$1013,$A99),0)</x:f>
        <x:v>1804.3563107896327</x:v>
      </x:c>
      <x:c r="BV99" s="141" t="n">
        <x:f>IF(AND('Carta Contemplada'!$B$22="Sim",Premissas!$B$11="Imovel",Premissas!$B$47="Moradia",$A99&lt;MAX('Carta Contemplada'!$B$44,Premissas!$B$49)),$D99,0)</x:f>
        <x:v>0</x:v>
      </x:c>
      <x:c r="BW99" s="141" t="n">
        <x:f>IF(AND('Carta Contemplada'!$B$22="Sim",Premissas!$B$11="Imovel",Premissas!$B$47="Investimento",$A99&gt;=MAX('Carta Contemplada'!$B$44,Premissas!$B$49)),$E99,0)</x:f>
        <x:v>962.3233657544708</x:v>
      </x:c>
      <x:c r="BX99" s="141" t="n">
        <x:f>BT99+BU99+BV99</x:f>
        <x:v>1804.3563107896327</x:v>
      </x:c>
      <x:c r="BY99" s="141" t="n">
        <x:f>BW99</x:f>
        <x:v>962.3233657544708</x:v>
      </x:c>
      <x:c r="BZ99" s="141" t="n">
        <x:f>$C99+BY99-BX99</x:f>
        <x:v>6157.967054964838</x:v>
      </x:c>
      <x:c r="CA99" s="141" t="n">
        <x:f>CD98*(1+Premissas!$B$41)+BZ99</x:f>
        <x:v>1073835.0569809964</x:v>
      </x:c>
      <x:c r="CB99" s="141" t="n">
        <x:f>MAX(0,-CA99)</x:f>
        <x:v>0</x:v>
      </x:c>
      <x:c r="CC99" s="141" t="n">
        <x:f>CC98*(1+Premissas!$B$41)+CB99</x:f>
        <x:v>0</x:v>
      </x:c>
      <x:c r="CD99" s="141" t="n">
        <x:f>MAX(0,CA99)</x:f>
        <x:v>1073835.0569809964</x:v>
      </x:c>
      <x:c r="CE99" s="141" t="n">
        <x:f>IF(AND('Carta Contemplada'!$B$22="Sim",$A99&gt;='Carta Contemplada'!$B$23),INDEX('Carta Contemplada'!$I$55:$I$1013,$A99),0)</x:f>
        <x:v>129510.76513500053</x:v>
      </x:c>
      <x:c r="CF99" s="141" t="n">
        <x:f>IF(AND('Carta Contemplada'!$B$22="Sim",$A99&gt;='Carta Contemplada'!$B$44),$F99,0)</x:f>
        <x:v>315688.87217792275</x:v>
      </x:c>
      <x:c r="CG99" s="141" t="n">
        <x:f>CD99+CF99-CE99</x:f>
        <x:v>1260013.1640239186</x:v>
      </x:c>
      <x:c r="CH99" s="141" t="n">
        <x:f>IF(CC99&gt;1,"Inviavel",CG99)</x:f>
        <x:v>1260013.1640239186</x:v>
      </x:c>
      <x:c r="CI99" s="145" t="str">
        <x:f>IF(CC99&gt;1,"Inviavel","OK")</x:f>
        <x:v>OK</x:v>
      </x:c>
    </x:row>
    <x:row r="100">
      <x:c r="A100" s="142" t="n">
        <x:v>96</x:v>
      </x:c>
      <x:c r="B100" s="179" t="n">
        <x:f>EDATE(Premissas!$B$4,A100-1)</x:f>
        <x:v>49430</x:v>
      </x:c>
      <x:c r="C100" s="141" t="n">
        <x:f>IF(A100&lt;=Premissas!$B$39,Premissas!$B$42,0)</x:f>
        <x:v>7000</x:v>
      </x:c>
      <x:c r="D100" s="141" t="n">
        <x:f>Premissas!$B$54*(1+Premissas!$B$57)^INT((A100-1)/12)</x:f>
        <x:v>1052.5411812939524</x:v>
      </x:c>
      <x:c r="E100" s="141" t="n">
        <x:f>Premissas!$B$64*(1+Premissas!$B$57)^INT((A100-1)/12)</x:f>
        <x:v>962.3233657544708</x:v>
      </x:c>
      <x:c r="F100" s="141" t="n">
        <x:f>MAX(0,Premissas!$B$6*(1+Premissas!$B$66)^((A100-1)/12))</x:f>
        <x:v>317225.5037261649</x:v>
      </x:c>
      <x:c r="G100" s="141" t="n">
        <x:f>G99*(1+Premissas!$B$41)+C100</x:f>
        <x:v>1309578.4143017791</x:v>
      </x:c>
      <x:c r="H100" s="141" t="n">
        <x:f>IF($A100=Premissas!$B$48,Premissas!$B$8,0)</x:f>
        <x:v>0</x:v>
      </x:c>
      <x:c r="I100" s="141" t="n">
        <x:f>IF(AND($A100&gt;=Premissas!$B$48,$A100-Premissas!$B$48+1&lt;=Premissas!$B$13),INDEX(Financiamento!$J$6:$J$485,$A100-Premissas!$B$48+1),0)</x:f>
        <x:v>1705.7553157102845</x:v>
      </x:c>
      <x:c r="J100" s="141" t="n">
        <x:f>IF(AND(TRUE,Premissas!$B$11="Imovel",Premissas!$B$47="Moradia",$A100&lt;MAX(Premissas!$B$48,Premissas!$B$49)),$D100,0)</x:f>
        <x:v>0</x:v>
      </x:c>
      <x:c r="K100" s="141" t="n">
        <x:f>IF(AND(TRUE,Premissas!$B$11="Imovel",Premissas!$B$47="Investimento",$A100&gt;=MAX(Premissas!$B$48,Premissas!$B$49)),$E100,0)</x:f>
        <x:v>962.3233657544708</x:v>
      </x:c>
      <x:c r="L100" s="141" t="n">
        <x:f>H100+I100+J100</x:f>
        <x:v>1705.7553157102845</x:v>
      </x:c>
      <x:c r="M100" s="141" t="n">
        <x:f>K100</x:f>
        <x:v>962.3233657544708</x:v>
      </x:c>
      <x:c r="N100" s="141" t="n">
        <x:f>$C100+M100-L100</x:f>
        <x:v>6256.568050044186</x:v>
      </x:c>
      <x:c r="O100" s="141" t="n">
        <x:f>R99*(1+Premissas!$B$41)+N100</x:f>
        <x:v>1034406.845773481</x:v>
      </x:c>
      <x:c r="P100" s="141" t="n">
        <x:f>MAX(0,-O100)</x:f>
        <x:v>0</x:v>
      </x:c>
      <x:c r="Q100" s="141" t="n">
        <x:f>Q99*(1+Premissas!$B$41)+P100</x:f>
        <x:v>0</x:v>
      </x:c>
      <x:c r="R100" s="141" t="n">
        <x:f>MAX(0,O100)</x:f>
        <x:v>1034406.845773481</x:v>
      </x:c>
      <x:c r="S100" s="141" t="n">
        <x:f>IF(AND($A100&gt;=Premissas!$B$48,$A100-Premissas!$B$48+1&lt;=Premissas!$B$13),INDEX(Financiamento!$M$6:$M$485,$A100-Premissas!$B$48+1),0)</x:f>
        <x:v>123428.57142857164</x:v>
      </x:c>
      <x:c r="T100" s="141" t="n">
        <x:f>IF($A100&gt;=Premissas!$B$48,$F100,0)</x:f>
        <x:v>317225.5037261649</x:v>
      </x:c>
      <x:c r="U100" s="141" t="n">
        <x:f>R100+T100-S100</x:f>
        <x:v>1228203.7780710743</x:v>
      </x:c>
      <x:c r="V100" s="141" t="n">
        <x:f>IF(Q100&gt;1,"Inviavel",U100)</x:f>
        <x:v>1228203.7780710743</x:v>
      </x:c>
      <x:c r="W100" s="141" t="str">
        <x:f>IF(Q100&gt;1,"Inviavel","OK")</x:f>
        <x:v>OK</x:v>
      </x:c>
      <x:c r="X100" s="141" t="n">
        <x:f>IF($A100=Premissas!$B$48,Premissas!$B$8,0)</x:f>
        <x:v>0</x:v>
      </x:c>
      <x:c r="Y100" s="141" t="n">
        <x:f>IF(AND($A100&gt;=Premissas!$B$48,$A100-Premissas!$B$48+1&lt;=Premissas!$B$13),INDEX(Amortizacao!$K$6:$K$485,$A100-Premissas!$B$48+1),0)</x:f>
        <x:v>0</x:v>
      </x:c>
      <x:c r="Z100" s="141" t="n">
        <x:f>IF(AND(TRUE,Premissas!$B$11="Imovel",Premissas!$B$47="Moradia",$A100&lt;MAX(Premissas!$B$48,Premissas!$B$49)),$D100,0)</x:f>
        <x:v>0</x:v>
      </x:c>
      <x:c r="AA100" s="141" t="n">
        <x:f>IF(AND(TRUE,Premissas!$B$11="Imovel",Premissas!$B$47="Investimento",$A100&gt;=MAX(Premissas!$B$48,Premissas!$B$49)),$E100,0)</x:f>
        <x:v>962.3233657544708</x:v>
      </x:c>
      <x:c r="AB100" s="141" t="n">
        <x:f>X100+Y100+Z100</x:f>
        <x:v>0</x:v>
      </x:c>
      <x:c r="AC100" s="141" t="n">
        <x:f>AA100</x:f>
        <x:v>962.3233657544708</x:v>
      </x:c>
      <x:c r="AD100" s="141" t="n">
        <x:f>$C100+AC100-AB100</x:f>
        <x:v>7962.323365754471</x:v>
      </x:c>
      <x:c r="AE100" s="141" t="n">
        <x:f>AH99*(1+Premissas!$B$41)+AD100</x:f>
        <x:v>925500.9557692392</x:v>
      </x:c>
      <x:c r="AF100" s="141" t="n">
        <x:f>MAX(0,-AE100)</x:f>
        <x:v>0</x:v>
      </x:c>
      <x:c r="AG100" s="141" t="n">
        <x:f>AG99*(1+Premissas!$B$41)+AF100</x:f>
        <x:v>0</x:v>
      </x:c>
      <x:c r="AH100" s="141" t="n">
        <x:f>MAX(0,AE100)</x:f>
        <x:v>925500.9557692392</x:v>
      </x:c>
      <x:c r="AI100" s="141" t="n">
        <x:f>IF(AND($A100&gt;=Premissas!$B$48,$A100-Premissas!$B$48+1&lt;=Premissas!$B$13),INDEX(Amortizacao!$L$6:$L$485,$A100-Premissas!$B$48+1),0)</x:f>
        <x:v>0</x:v>
      </x:c>
      <x:c r="AJ100" s="141" t="n">
        <x:f>IF($A100&gt;=Premissas!$B$48,$F100,0)</x:f>
        <x:v>317225.5037261649</x:v>
      </x:c>
      <x:c r="AK100" s="141" t="n">
        <x:f>AH100+AJ100-AI100</x:f>
        <x:v>1242726.4594954043</x:v>
      </x:c>
      <x:c r="AL100" s="141" t="n">
        <x:f>IF(AG100&gt;1,"Inviavel",AK100)</x:f>
        <x:v>1242726.4594954043</x:v>
      </x:c>
      <x:c r="AM100" s="141" t="str">
        <x:f>IF(AG100&gt;1,"Inviavel","OK")</x:f>
        <x:v>OK</x:v>
      </x:c>
      <x:c r="AN100" s="141" t="n">
        <x:f>IF($A100=Premissas!$B$48,Premissas!$B$8,0)</x:f>
        <x:v>0</x:v>
      </x:c>
      <x:c r="AO100" s="141" t="n">
        <x:f>IF($A100&lt;=Premissas!$B$25,INDEX('Consorcio IQ'!$K$6:$K$485,$A100),0)</x:f>
        <x:v>857.7697232000017</x:v>
      </x:c>
      <x:c r="AP100" s="141" t="n">
        <x:f>IF(AND(TRUE,Premissas!$B$11="Imovel",Premissas!$B$47="Moradia",$A100&lt;MAX(Premissas!$B$48,Premissas!$B$49)),$D100,0)</x:f>
        <x:v>0</x:v>
      </x:c>
      <x:c r="AQ100" s="141" t="n">
        <x:f>IF(AND(TRUE,Premissas!$B$11="Imovel",Premissas!$B$47="Investimento",$A100&gt;=MAX(Premissas!$B$48,Premissas!$B$49)),$E100,0)</x:f>
        <x:v>962.3233657544708</x:v>
      </x:c>
      <x:c r="AR100" s="141" t="n">
        <x:f>AN100+AO100+AP100</x:f>
        <x:v>857.7697232000017</x:v>
      </x:c>
      <x:c r="AS100" s="141" t="n">
        <x:f>AQ100</x:f>
        <x:v>962.3233657544708</x:v>
      </x:c>
      <x:c r="AT100" s="141" t="n">
        <x:f>$C100+AS100-AR100</x:f>
        <x:v>7104.553642554469</x:v>
      </x:c>
      <x:c r="AU100" s="141" t="n">
        <x:f>AX99*(1+Premissas!$B$41)+AT100</x:f>
        <x:v>1003989.8156061595</x:v>
      </x:c>
      <x:c r="AV100" s="141" t="n">
        <x:f>MAX(0,-AU100)</x:f>
        <x:v>0</x:v>
      </x:c>
      <x:c r="AW100" s="141" t="n">
        <x:f>AW99*(1+Premissas!$B$41)+AV100</x:f>
        <x:v>0</x:v>
      </x:c>
      <x:c r="AX100" s="141" t="n">
        <x:f>MAX(0,AU100)</x:f>
        <x:v>1003989.8156061595</x:v>
      </x:c>
      <x:c r="AY100" s="141" t="n">
        <x:f>INDEX('Consorcio IQ'!$P$6:$P$485,$A100)</x:f>
        <x:v>92663.65009329421</x:v>
      </x:c>
      <x:c r="AZ100" s="141" t="n">
        <x:f>IF($A100&gt;=Premissas!$B$48,$F100,0)+IF($A100&lt;Premissas!$B$27,INDEX('Consorcio IQ'!$O$6:$O$485,$A100),0)</x:f>
        <x:v>317225.5037261649</x:v>
      </x:c>
      <x:c r="BA100" s="141" t="n">
        <x:f>AX100+AZ100-AY100</x:f>
        <x:v>1228551.6692390302</x:v>
      </x:c>
      <x:c r="BB100" s="141" t="n">
        <x:f>IF(AW100&gt;1,"Inviavel",BA100)</x:f>
        <x:v>1228551.6692390302</x:v>
      </x:c>
      <x:c r="BC100" s="141" t="str">
        <x:f>IF(AW100&gt;1,"Inviavel","OK")</x:f>
        <x:v>OK</x:v>
      </x:c>
      <x:c r="BD100" s="141" t="n">
        <x:f>IF($A100='Consorcio Direto'!$B$29,'Consorcio Direto'!$B$44,0)</x:f>
        <x:v>0</x:v>
      </x:c>
      <x:c r="BE100" s="141" t="n">
        <x:f>IF($A100&lt;='Consorcio Direto'!$B$27,INDEX('Consorcio Direto'!$E$55:$E$534,$A100),0)</x:f>
        <x:v>2221.195353451511</x:v>
      </x:c>
      <x:c r="BF100" s="141" t="n">
        <x:f>IF(AND(TRUE,Premissas!$B$11="Imovel",Premissas!$B$47="Moradia",$A100&lt;MAX('Consorcio Direto'!$B$29,Premissas!$B$49)),$D100,0)</x:f>
        <x:v>0</x:v>
      </x:c>
      <x:c r="BG100" s="141" t="n">
        <x:f>IF(AND(TRUE,Premissas!$B$11="Imovel",Premissas!$B$47="Investimento",$A100&gt;=MAX('Consorcio Direto'!$B$29,Premissas!$B$49)),$E100,0)</x:f>
        <x:v>962.3233657544708</x:v>
      </x:c>
      <x:c r="BH100" s="141" t="n">
        <x:f>BD100+BE100+BF100</x:f>
        <x:v>2221.195353451511</x:v>
      </x:c>
      <x:c r="BI100" s="141" t="n">
        <x:f>BG100</x:f>
        <x:v>962.3233657544708</x:v>
      </x:c>
      <x:c r="BJ100" s="141" t="n">
        <x:f>$C100+BI100-BH100</x:f>
        <x:v>5741.128012302959</x:v>
      </x:c>
      <x:c r="BK100" s="141" t="n">
        <x:f>BN99*(1+Premissas!$B$41)+BJ100</x:f>
        <x:v>1074672.672432353</x:v>
      </x:c>
      <x:c r="BL100" s="141" t="n">
        <x:f>MAX(0,-BK100)</x:f>
        <x:v>0</x:v>
      </x:c>
      <x:c r="BM100" s="141" t="n">
        <x:f>BM99*(1+Premissas!$B$41)+BL100</x:f>
        <x:v>0</x:v>
      </x:c>
      <x:c r="BN100" s="141" t="n">
        <x:f>MAX(0,BK100)</x:f>
        <x:v>1074672.672432353</x:v>
      </x:c>
      <x:c r="BO100" s="141" t="n">
        <x:f>INDEX('Consorcio Direto'!$K$55:$K$534,$A100)</x:f>
        <x:v>239952.5926996271</x:v>
      </x:c>
      <x:c r="BP100" s="141" t="n">
        <x:f>IF($A100&lt;'Consorcio Direto'!$B$29,INDEX('Consorcio Direto'!$L$55:$L$534,$A100),$F100)</x:f>
        <x:v>317225.5037261649</x:v>
      </x:c>
      <x:c r="BQ100" s="141" t="n">
        <x:f>BN100+BP100-BO100</x:f>
        <x:v>1151945.583458891</x:v>
      </x:c>
      <x:c r="BR100" s="141" t="n">
        <x:f>IF(BM100&gt;1,"Inviavel",BQ100)</x:f>
        <x:v>1151945.583458891</x:v>
      </x:c>
      <x:c r="BS100" s="141" t="str">
        <x:f>IF(BM100&gt;1,"Inviavel","OK")</x:f>
        <x:v>OK</x:v>
      </x:c>
      <x:c r="BT100" s="141" t="n">
        <x:f>IF(AND('Carta Contemplada'!$B$22="Sim",$A100='Carta Contemplada'!$B$23),'Carta Contemplada'!$B$37,0)</x:f>
        <x:v>0</x:v>
      </x:c>
      <x:c r="BU100" s="141" t="n">
        <x:f>IF('Carta Contemplada'!$B$22="Sim",INDEX('Carta Contemplada'!$C$55:$C$1013,$A100),0)</x:f>
        <x:v>1804.3563107896327</x:v>
      </x:c>
      <x:c r="BV100" s="141" t="n">
        <x:f>IF(AND('Carta Contemplada'!$B$22="Sim",Premissas!$B$11="Imovel",Premissas!$B$47="Moradia",$A100&lt;MAX('Carta Contemplada'!$B$44,Premissas!$B$49)),$D100,0)</x:f>
        <x:v>0</x:v>
      </x:c>
      <x:c r="BW100" s="141" t="n">
        <x:f>IF(AND('Carta Contemplada'!$B$22="Sim",Premissas!$B$11="Imovel",Premissas!$B$47="Investimento",$A100&gt;=MAX('Carta Contemplada'!$B$44,Premissas!$B$49)),$E100,0)</x:f>
        <x:v>962.3233657544708</x:v>
      </x:c>
      <x:c r="BX100" s="141" t="n">
        <x:f>BT100+BU100+BV100</x:f>
        <x:v>1804.3563107896327</x:v>
      </x:c>
      <x:c r="BY100" s="141" t="n">
        <x:f>BW100</x:f>
        <x:v>962.3233657544708</x:v>
      </x:c>
      <x:c r="BZ100" s="141" t="n">
        <x:f>$C100+BY100-BX100</x:f>
        <x:v>6157.967054964838</x:v>
      </x:c>
      <x:c r="CA100" s="141" t="n">
        <x:f>CD99*(1+Premissas!$B$41)+BZ100</x:f>
        <x:v>1090182.42253755</x:v>
      </x:c>
      <x:c r="CB100" s="141" t="n">
        <x:f>MAX(0,-CA100)</x:f>
        <x:v>0</x:v>
      </x:c>
      <x:c r="CC100" s="141" t="n">
        <x:f>CC99*(1+Premissas!$B$41)+CB100</x:f>
        <x:v>0</x:v>
      </x:c>
      <x:c r="CD100" s="141" t="n">
        <x:f>MAX(0,CA100)</x:f>
        <x:v>1090182.42253755</x:v>
      </x:c>
      <x:c r="CE100" s="141" t="n">
        <x:f>IF(AND('Carta Contemplada'!$B$22="Sim",$A100&gt;='Carta Contemplada'!$B$23),INDEX('Carta Contemplada'!$I$55:$I$1013,$A100),0)</x:f>
        <x:v>128935.30965737633</x:v>
      </x:c>
      <x:c r="CF100" s="141" t="n">
        <x:f>IF(AND('Carta Contemplada'!$B$22="Sim",$A100&gt;='Carta Contemplada'!$B$44),$F100,0)</x:f>
        <x:v>317225.5037261649</x:v>
      </x:c>
      <x:c r="CG100" s="141" t="n">
        <x:f>CD100+CF100-CE100</x:f>
        <x:v>1278472.6166063389</x:v>
      </x:c>
      <x:c r="CH100" s="141" t="n">
        <x:f>IF(CC100&gt;1,"Inviavel",CG100)</x:f>
        <x:v>1278472.6166063389</x:v>
      </x:c>
      <x:c r="CI100" s="145" t="str">
        <x:f>IF(CC100&gt;1,"Inviavel","OK")</x:f>
        <x:v>OK</x:v>
      </x:c>
    </x:row>
    <x:row r="101">
      <x:c r="A101" s="142" t="n">
        <x:v>97</x:v>
      </x:c>
      <x:c r="B101" s="179" t="n">
        <x:f>EDATE(Premissas!$B$4,A101-1)</x:f>
        <x:v>49461</x:v>
      </x:c>
      <x:c r="C101" s="141" t="n">
        <x:f>IF(A101&lt;=Premissas!$B$39,Premissas!$B$42,0)</x:f>
        <x:v>7000</x:v>
      </x:c>
      <x:c r="D101" s="141" t="n">
        <x:f>Premissas!$B$54*(1+Premissas!$B$57)^INT((A101-1)/12)</x:f>
        <x:v>1115.6936521715895</x:v>
      </x:c>
      <x:c r="E101" s="141" t="n">
        <x:f>Premissas!$B$64*(1+Premissas!$B$57)^INT((A101-1)/12)</x:f>
        <x:v>1020.0627676997391</x:v>
      </x:c>
      <x:c r="F101" s="141" t="n">
        <x:f>MAX(0,Premissas!$B$6*(1+Premissas!$B$66)^((A101-1)/12))</x:f>
        <x:v>318769.6149061685</x:v>
      </x:c>
      <x:c r="G101" s="141" t="n">
        <x:f>G100*(1+Premissas!$B$41)+C101</x:f>
        <x:v>1329004.7327066883</x:v>
      </x:c>
      <x:c r="H101" s="141" t="n">
        <x:f>IF($A101=Premissas!$B$48,Premissas!$B$8,0)</x:f>
        <x:v>0</x:v>
      </x:c>
      <x:c r="I101" s="141" t="n">
        <x:f>IF(AND($A101&gt;=Premissas!$B$48,$A101-Premissas!$B$48+1&lt;=Premissas!$B$13),INDEX(Financiamento!$J$6:$J$485,$A101-Premissas!$B$48+1),0)</x:f>
        <x:v>1702.140537449491</x:v>
      </x:c>
      <x:c r="J101" s="141" t="n">
        <x:f>IF(AND(TRUE,Premissas!$B$11="Imovel",Premissas!$B$47="Moradia",$A101&lt;MAX(Premissas!$B$48,Premissas!$B$49)),$D101,0)</x:f>
        <x:v>0</x:v>
      </x:c>
      <x:c r="K101" s="141" t="n">
        <x:f>IF(AND(TRUE,Premissas!$B$11="Imovel",Premissas!$B$47="Investimento",$A101&gt;=MAX(Premissas!$B$48,Premissas!$B$49)),$E101,0)</x:f>
        <x:v>1020.0627676997391</x:v>
      </x:c>
      <x:c r="L101" s="141" t="n">
        <x:f>H101+I101+J101</x:f>
        <x:v>1702.140537449491</x:v>
      </x:c>
      <x:c r="M101" s="141" t="n">
        <x:f>K101</x:f>
        <x:v>1020.0627676997391</x:v>
      </x:c>
      <x:c r="N101" s="141" t="n">
        <x:f>$C101+M101-L101</x:f>
        <x:v>6317.9222302502485</x:v>
      </x:c>
      <x:c r="O101" s="141" t="n">
        <x:f>R100*(1+Premissas!$B$41)+N101</x:f>
        <x:v>1050540.040373391</x:v>
      </x:c>
      <x:c r="P101" s="141" t="n">
        <x:f>MAX(0,-O101)</x:f>
        <x:v>0</x:v>
      </x:c>
      <x:c r="Q101" s="141" t="n">
        <x:f>Q100*(1+Premissas!$B$41)+P101</x:f>
        <x:v>0</x:v>
      </x:c>
      <x:c r="R101" s="141" t="n">
        <x:f>MAX(0,O101)</x:f>
        <x:v>1050540.040373391</x:v>
      </x:c>
      <x:c r="S101" s="141" t="n">
        <x:f>IF(AND($A101&gt;=Premissas!$B$48,$A101-Premissas!$B$48+1&lt;=Premissas!$B$13),INDEX(Financiamento!$M$6:$M$485,$A101-Premissas!$B$48+1),0)</x:f>
        <x:v>123047.61904761926</x:v>
      </x:c>
      <x:c r="T101" s="141" t="n">
        <x:f>IF($A101&gt;=Premissas!$B$48,$F101,0)</x:f>
        <x:v>318769.6149061685</x:v>
      </x:c>
      <x:c r="U101" s="141" t="n">
        <x:f>R101+T101-S101</x:f>
        <x:v>1246262.0362319404</x:v>
      </x:c>
      <x:c r="V101" s="141" t="n">
        <x:f>IF(Q101&gt;1,"Inviavel",U101)</x:f>
        <x:v>1246262.0362319404</x:v>
      </x:c>
      <x:c r="W101" s="141" t="str">
        <x:f>IF(Q101&gt;1,"Inviavel","OK")</x:f>
        <x:v>OK</x:v>
      </x:c>
      <x:c r="X101" s="141" t="n">
        <x:f>IF($A101=Premissas!$B$48,Premissas!$B$8,0)</x:f>
        <x:v>0</x:v>
      </x:c>
      <x:c r="Y101" s="141" t="n">
        <x:f>IF(AND($A101&gt;=Premissas!$B$48,$A101-Premissas!$B$48+1&lt;=Premissas!$B$13),INDEX(Amortizacao!$K$6:$K$485,$A101-Premissas!$B$48+1),0)</x:f>
        <x:v>0</x:v>
      </x:c>
      <x:c r="Z101" s="141" t="n">
        <x:f>IF(AND(TRUE,Premissas!$B$11="Imovel",Premissas!$B$47="Moradia",$A101&lt;MAX(Premissas!$B$48,Premissas!$B$49)),$D101,0)</x:f>
        <x:v>0</x:v>
      </x:c>
      <x:c r="AA101" s="141" t="n">
        <x:f>IF(AND(TRUE,Premissas!$B$11="Imovel",Premissas!$B$47="Investimento",$A101&gt;=MAX(Premissas!$B$48,Premissas!$B$49)),$E101,0)</x:f>
        <x:v>1020.0627676997391</x:v>
      </x:c>
      <x:c r="AB101" s="141" t="n">
        <x:f>X101+Y101+Z101</x:f>
        <x:v>0</x:v>
      </x:c>
      <x:c r="AC101" s="141" t="n">
        <x:f>AA101</x:f>
        <x:v>1020.0627676997391</x:v>
      </x:c>
      <x:c r="AD101" s="141" t="n">
        <x:f>$C101+AC101-AB101</x:f>
        <x:v>8020.062767699739</x:v>
      </x:c>
      <x:c r="AE101" s="141" t="n">
        <x:f>AH100*(1+Premissas!$B$41)+AD101</x:f>
        <x:v>942302.905466992</x:v>
      </x:c>
      <x:c r="AF101" s="141" t="n">
        <x:f>MAX(0,-AE101)</x:f>
        <x:v>0</x:v>
      </x:c>
      <x:c r="AG101" s="141" t="n">
        <x:f>AG100*(1+Premissas!$B$41)+AF101</x:f>
        <x:v>0</x:v>
      </x:c>
      <x:c r="AH101" s="141" t="n">
        <x:f>MAX(0,AE101)</x:f>
        <x:v>942302.905466992</x:v>
      </x:c>
      <x:c r="AI101" s="141" t="n">
        <x:f>IF(AND($A101&gt;=Premissas!$B$48,$A101-Premissas!$B$48+1&lt;=Premissas!$B$13),INDEX(Amortizacao!$L$6:$L$485,$A101-Premissas!$B$48+1),0)</x:f>
        <x:v>0</x:v>
      </x:c>
      <x:c r="AJ101" s="141" t="n">
        <x:f>IF($A101&gt;=Premissas!$B$48,$F101,0)</x:f>
        <x:v>318769.6149061685</x:v>
      </x:c>
      <x:c r="AK101" s="141" t="n">
        <x:f>AH101+AJ101-AI101</x:f>
        <x:v>1261072.5203731605</x:v>
      </x:c>
      <x:c r="AL101" s="141" t="n">
        <x:f>IF(AG101&gt;1,"Inviavel",AK101)</x:f>
        <x:v>1261072.5203731605</x:v>
      </x:c>
      <x:c r="AM101" s="141" t="str">
        <x:f>IF(AG101&gt;1,"Inviavel","OK")</x:f>
        <x:v>OK</x:v>
      </x:c>
      <x:c r="AN101" s="141" t="n">
        <x:f>IF($A101=Premissas!$B$48,Premissas!$B$8,0)</x:f>
        <x:v>0</x:v>
      </x:c>
      <x:c r="AO101" s="141" t="n">
        <x:f>IF($A101&lt;=Premissas!$B$25,INDEX('Consorcio IQ'!$K$6:$K$485,$A101),0)</x:f>
        <x:v>909.2359065920019</x:v>
      </x:c>
      <x:c r="AP101" s="141" t="n">
        <x:f>IF(AND(TRUE,Premissas!$B$11="Imovel",Premissas!$B$47="Moradia",$A101&lt;MAX(Premissas!$B$48,Premissas!$B$49)),$D101,0)</x:f>
        <x:v>0</x:v>
      </x:c>
      <x:c r="AQ101" s="141" t="n">
        <x:f>IF(AND(TRUE,Premissas!$B$11="Imovel",Premissas!$B$47="Investimento",$A101&gt;=MAX(Premissas!$B$48,Premissas!$B$49)),$E101,0)</x:f>
        <x:v>1020.0627676997391</x:v>
      </x:c>
      <x:c r="AR101" s="141" t="n">
        <x:f>AN101+AO101+AP101</x:f>
        <x:v>909.2359065920019</x:v>
      </x:c>
      <x:c r="AS101" s="141" t="n">
        <x:f>AQ101</x:f>
        <x:v>1020.0627676997391</x:v>
      </x:c>
      <x:c r="AT101" s="141" t="n">
        <x:f>$C101+AS101-AR101</x:f>
        <x:v>7110.826861107737</x:v>
      </x:c>
      <x:c r="AU101" s="141" t="n">
        <x:f>AX100*(1+Premissas!$B$41)+AT101</x:f>
        <x:v>1020627.2939359843</x:v>
      </x:c>
      <x:c r="AV101" s="141" t="n">
        <x:f>MAX(0,-AU101)</x:f>
        <x:v>0</x:v>
      </x:c>
      <x:c r="AW101" s="141" t="n">
        <x:f>AW100*(1+Premissas!$B$41)+AV101</x:f>
        <x:v>0</x:v>
      </x:c>
      <x:c r="AX101" s="141" t="n">
        <x:f>MAX(0,AU101)</x:f>
        <x:v>1020627.2939359843</x:v>
      </x:c>
      <x:c r="AY101" s="141" t="n">
        <x:f>INDEX('Consorcio IQ'!$P$6:$P$485,$A101)</x:f>
        <x:v>92633.68037500014</x:v>
      </x:c>
      <x:c r="AZ101" s="141" t="n">
        <x:f>IF($A101&gt;=Premissas!$B$48,$F101,0)+IF($A101&lt;Premissas!$B$27,INDEX('Consorcio IQ'!$O$6:$O$485,$A101),0)</x:f>
        <x:v>318769.6149061685</x:v>
      </x:c>
      <x:c r="BA101" s="141" t="n">
        <x:f>AX101+AZ101-AY101</x:f>
        <x:v>1246763.2284671525</x:v>
      </x:c>
      <x:c r="BB101" s="141" t="n">
        <x:f>IF(AW101&gt;1,"Inviavel",BA101)</x:f>
        <x:v>1246763.2284671525</x:v>
      </x:c>
      <x:c r="BC101" s="141" t="str">
        <x:f>IF(AW101&gt;1,"Inviavel","OK")</x:f>
        <x:v>OK</x:v>
      </x:c>
      <x:c r="BD101" s="141" t="n">
        <x:f>IF($A101='Consorcio Direto'!$B$29,'Consorcio Direto'!$B$44,0)</x:f>
        <x:v>0</x:v>
      </x:c>
      <x:c r="BE101" s="141" t="n">
        <x:f>IF($A101&lt;='Consorcio Direto'!$B$27,INDEX('Consorcio Direto'!$E$55:$E$534,$A101),0)</x:f>
        <x:v>2354.4670746586016</x:v>
      </x:c>
      <x:c r="BF101" s="141" t="n">
        <x:f>IF(AND(TRUE,Premissas!$B$11="Imovel",Premissas!$B$47="Moradia",$A101&lt;MAX('Consorcio Direto'!$B$29,Premissas!$B$49)),$D101,0)</x:f>
        <x:v>0</x:v>
      </x:c>
      <x:c r="BG101" s="141" t="n">
        <x:f>IF(AND(TRUE,Premissas!$B$11="Imovel",Premissas!$B$47="Investimento",$A101&gt;=MAX('Consorcio Direto'!$B$29,Premissas!$B$49)),$E101,0)</x:f>
        <x:v>1020.0627676997391</x:v>
      </x:c>
      <x:c r="BH101" s="141" t="n">
        <x:f>BD101+BE101+BF101</x:f>
        <x:v>2354.4670746586016</x:v>
      </x:c>
      <x:c r="BI101" s="141" t="n">
        <x:f>BG101</x:f>
        <x:v>1020.0627676997391</x:v>
      </x:c>
      <x:c r="BJ101" s="141" t="n">
        <x:f>$C101+BI101-BH101</x:f>
        <x:v>5665.595693041138</x:v>
      </x:c>
      <x:c r="BK101" s="141" t="n">
        <x:f>BN100*(1+Premissas!$B$41)+BJ101</x:f>
        <x:v>1090535.6145865598</x:v>
      </x:c>
      <x:c r="BL101" s="141" t="n">
        <x:f>MAX(0,-BK101)</x:f>
        <x:v>0</x:v>
      </x:c>
      <x:c r="BM101" s="141" t="n">
        <x:f>BM100*(1+Premissas!$B$41)+BL101</x:f>
        <x:v>0</x:v>
      </x:c>
      <x:c r="BN101" s="141" t="n">
        <x:f>MAX(0,BK101)</x:f>
        <x:v>1090535.6145865598</x:v>
      </x:c>
      <x:c r="BO101" s="141" t="n">
        <x:f>INDEX('Consorcio Direto'!$K$55:$K$534,$A101)</x:f>
        <x:v>239874.9860912116</x:v>
      </x:c>
      <x:c r="BP101" s="141" t="n">
        <x:f>IF($A101&lt;'Consorcio Direto'!$B$29,INDEX('Consorcio Direto'!$L$55:$L$534,$A101),$F101)</x:f>
        <x:v>318769.6149061685</x:v>
      </x:c>
      <x:c r="BQ101" s="141" t="n">
        <x:f>BN101+BP101-BO101</x:f>
        <x:v>1169430.2434015167</x:v>
      </x:c>
      <x:c r="BR101" s="141" t="n">
        <x:f>IF(BM101&gt;1,"Inviavel",BQ101)</x:f>
        <x:v>1169430.2434015167</x:v>
      </x:c>
      <x:c r="BS101" s="141" t="str">
        <x:f>IF(BM101&gt;1,"Inviavel","OK")</x:f>
        <x:v>OK</x:v>
      </x:c>
      <x:c r="BT101" s="141" t="n">
        <x:f>IF(AND('Carta Contemplada'!$B$22="Sim",$A101='Carta Contemplada'!$B$23),'Carta Contemplada'!$B$37,0)</x:f>
        <x:v>0</x:v>
      </x:c>
      <x:c r="BU101" s="141" t="n">
        <x:f>IF('Carta Contemplada'!$B$22="Sim",INDEX('Carta Contemplada'!$C$55:$C$1013,$A101),0)</x:f>
        <x:v>1912.6176894370108</x:v>
      </x:c>
      <x:c r="BV101" s="141" t="n">
        <x:f>IF(AND('Carta Contemplada'!$B$22="Sim",Premissas!$B$11="Imovel",Premissas!$B$47="Moradia",$A101&lt;MAX('Carta Contemplada'!$B$44,Premissas!$B$49)),$D101,0)</x:f>
        <x:v>0</x:v>
      </x:c>
      <x:c r="BW101" s="141" t="n">
        <x:f>IF(AND('Carta Contemplada'!$B$22="Sim",Premissas!$B$11="Imovel",Premissas!$B$47="Investimento",$A101&gt;=MAX('Carta Contemplada'!$B$44,Premissas!$B$49)),$E101,0)</x:f>
        <x:v>1020.0627676997391</x:v>
      </x:c>
      <x:c r="BX101" s="141" t="n">
        <x:f>BT101+BU101+BV101</x:f>
        <x:v>1912.6176894370108</x:v>
      </x:c>
      <x:c r="BY101" s="141" t="n">
        <x:f>BW101</x:f>
        <x:v>1020.0627676997391</x:v>
      </x:c>
      <x:c r="BZ101" s="141" t="n">
        <x:f>$C101+BY101-BX101</x:f>
        <x:v>6107.445078262728</x:v>
      </x:c>
      <x:c r="CA101" s="141" t="n">
        <x:f>CD100*(1+Premissas!$B$41)+BZ101</x:f>
        <x:v>1106634.382884194</x:v>
      </x:c>
      <x:c r="CB101" s="141" t="n">
        <x:f>MAX(0,-CA101)</x:f>
        <x:v>0</x:v>
      </x:c>
      <x:c r="CC101" s="141" t="n">
        <x:f>CC100*(1+Premissas!$B$41)+CB101</x:f>
        <x:v>0</x:v>
      </x:c>
      <x:c r="CD101" s="141" t="n">
        <x:f>MAX(0,CA101)</x:f>
        <x:v>1106634.382884194</x:v>
      </x:c>
      <x:c r="CE101" s="141" t="n">
        <x:f>IF(AND('Carta Contemplada'!$B$22="Sim",$A101&gt;='Carta Contemplada'!$B$23),INDEX('Carta Contemplada'!$I$55:$I$1013,$A101),0)</x:f>
        <x:v>128246.1324232345</x:v>
      </x:c>
      <x:c r="CF101" s="141" t="n">
        <x:f>IF(AND('Carta Contemplada'!$B$22="Sim",$A101&gt;='Carta Contemplada'!$B$44),$F101,0)</x:f>
        <x:v>318769.6149061685</x:v>
      </x:c>
      <x:c r="CG101" s="141" t="n">
        <x:f>CD101+CF101-CE101</x:f>
        <x:v>1297157.865367128</x:v>
      </x:c>
      <x:c r="CH101" s="141" t="n">
        <x:f>IF(CC101&gt;1,"Inviavel",CG101)</x:f>
        <x:v>1297157.865367128</x:v>
      </x:c>
      <x:c r="CI101" s="145" t="str">
        <x:f>IF(CC101&gt;1,"Inviavel","OK")</x:f>
        <x:v>OK</x:v>
      </x:c>
    </x:row>
    <x:row r="102">
      <x:c r="A102" s="142" t="n">
        <x:v>98</x:v>
      </x:c>
      <x:c r="B102" s="179" t="n">
        <x:f>EDATE(Premissas!$B$4,A102-1)</x:f>
        <x:v>49491</x:v>
      </x:c>
      <x:c r="C102" s="141" t="n">
        <x:f>IF(A102&lt;=Premissas!$B$39,Premissas!$B$42,0)</x:f>
        <x:v>7000</x:v>
      </x:c>
      <x:c r="D102" s="141" t="n">
        <x:f>Premissas!$B$54*(1+Premissas!$B$57)^INT((A102-1)/12)</x:f>
        <x:v>1115.6936521715895</x:v>
      </x:c>
      <x:c r="E102" s="141" t="n">
        <x:f>Premissas!$B$64*(1+Premissas!$B$57)^INT((A102-1)/12)</x:f>
        <x:v>1020.0627676997391</x:v>
      </x:c>
      <x:c r="F102" s="141" t="n">
        <x:f>MAX(0,Premissas!$B$6*(1+Premissas!$B$66)^((A102-1)/12))</x:f>
        <x:v>320321.24212541914</x:v>
      </x:c>
      <x:c r="G102" s="141" t="n">
        <x:f>G101*(1+Premissas!$B$41)+C102</x:f>
        <x:v>1348615.383424423</x:v>
      </x:c>
      <x:c r="H102" s="141" t="n">
        <x:f>IF($A102=Premissas!$B$48,Premissas!$B$8,0)</x:f>
        <x:v>0</x:v>
      </x:c>
      <x:c r="I102" s="141" t="n">
        <x:f>IF(AND($A102&gt;=Premissas!$B$48,$A102-Premissas!$B$48+1&lt;=Premissas!$B$13),INDEX(Financiamento!$J$6:$J$485,$A102-Premissas!$B$48+1),0)</x:f>
        <x:v>1698.5257591886975</x:v>
      </x:c>
      <x:c r="J102" s="141" t="n">
        <x:f>IF(AND(TRUE,Premissas!$B$11="Imovel",Premissas!$B$47="Moradia",$A102&lt;MAX(Premissas!$B$48,Premissas!$B$49)),$D102,0)</x:f>
        <x:v>0</x:v>
      </x:c>
      <x:c r="K102" s="141" t="n">
        <x:f>IF(AND(TRUE,Premissas!$B$11="Imovel",Premissas!$B$47="Investimento",$A102&gt;=MAX(Premissas!$B$48,Premissas!$B$49)),$E102,0)</x:f>
        <x:v>1020.0627676997391</x:v>
      </x:c>
      <x:c r="L102" s="141" t="n">
        <x:f>H102+I102+J102</x:f>
        <x:v>1698.5257591886975</x:v>
      </x:c>
      <x:c r="M102" s="141" t="n">
        <x:f>K102</x:f>
        <x:v>1020.0627676997391</x:v>
      </x:c>
      <x:c r="N102" s="141" t="n">
        <x:f>$C102+M102-L102</x:f>
        <x:v>6321.537008511042</x:v>
      </x:c>
      <x:c r="O102" s="141" t="n">
        <x:f>R101*(1+Premissas!$B$41)+N102</x:f>
        <x:v>1066829.9342944939</x:v>
      </x:c>
      <x:c r="P102" s="141" t="n">
        <x:f>MAX(0,-O102)</x:f>
        <x:v>0</x:v>
      </x:c>
      <x:c r="Q102" s="141" t="n">
        <x:f>Q101*(1+Premissas!$B$41)+P102</x:f>
        <x:v>0</x:v>
      </x:c>
      <x:c r="R102" s="141" t="n">
        <x:f>MAX(0,O102)</x:f>
        <x:v>1066829.9342944939</x:v>
      </x:c>
      <x:c r="S102" s="141" t="n">
        <x:f>IF(AND($A102&gt;=Premissas!$B$48,$A102-Premissas!$B$48+1&lt;=Premissas!$B$13),INDEX(Financiamento!$M$6:$M$485,$A102-Premissas!$B$48+1),0)</x:f>
        <x:v>122666.66666666688</x:v>
      </x:c>
      <x:c r="T102" s="141" t="n">
        <x:f>IF($A102&gt;=Premissas!$B$48,$F102,0)</x:f>
        <x:v>320321.24212541914</x:v>
      </x:c>
      <x:c r="U102" s="141" t="n">
        <x:f>R102+T102-S102</x:f>
        <x:v>1264484.509753246</x:v>
      </x:c>
      <x:c r="V102" s="141" t="n">
        <x:f>IF(Q102&gt;1,"Inviavel",U102)</x:f>
        <x:v>1264484.509753246</x:v>
      </x:c>
      <x:c r="W102" s="141" t="str">
        <x:f>IF(Q102&gt;1,"Inviavel","OK")</x:f>
        <x:v>OK</x:v>
      </x:c>
      <x:c r="X102" s="141" t="n">
        <x:f>IF($A102=Premissas!$B$48,Premissas!$B$8,0)</x:f>
        <x:v>0</x:v>
      </x:c>
      <x:c r="Y102" s="141" t="n">
        <x:f>IF(AND($A102&gt;=Premissas!$B$48,$A102-Premissas!$B$48+1&lt;=Premissas!$B$13),INDEX(Amortizacao!$K$6:$K$485,$A102-Premissas!$B$48+1),0)</x:f>
        <x:v>0</x:v>
      </x:c>
      <x:c r="Z102" s="141" t="n">
        <x:f>IF(AND(TRUE,Premissas!$B$11="Imovel",Premissas!$B$47="Moradia",$A102&lt;MAX(Premissas!$B$48,Premissas!$B$49)),$D102,0)</x:f>
        <x:v>0</x:v>
      </x:c>
      <x:c r="AA102" s="141" t="n">
        <x:f>IF(AND(TRUE,Premissas!$B$11="Imovel",Premissas!$B$47="Investimento",$A102&gt;=MAX(Premissas!$B$48,Premissas!$B$49)),$E102,0)</x:f>
        <x:v>1020.0627676997391</x:v>
      </x:c>
      <x:c r="AB102" s="141" t="n">
        <x:f>X102+Y102+Z102</x:f>
        <x:v>0</x:v>
      </x:c>
      <x:c r="AC102" s="141" t="n">
        <x:f>AA102</x:f>
        <x:v>1020.0627676997391</x:v>
      </x:c>
      <x:c r="AD102" s="141" t="n">
        <x:f>$C102+AC102-AB102</x:f>
        <x:v>8020.062767699739</x:v>
      </x:c>
      <x:c r="AE102" s="141" t="n">
        <x:f>AH101*(1+Premissas!$B$41)+AD102</x:f>
        <x:v>959264.2853863239</x:v>
      </x:c>
      <x:c r="AF102" s="141" t="n">
        <x:f>MAX(0,-AE102)</x:f>
        <x:v>0</x:v>
      </x:c>
      <x:c r="AG102" s="141" t="n">
        <x:f>AG101*(1+Premissas!$B$41)+AF102</x:f>
        <x:v>0</x:v>
      </x:c>
      <x:c r="AH102" s="141" t="n">
        <x:f>MAX(0,AE102)</x:f>
        <x:v>959264.2853863239</x:v>
      </x:c>
      <x:c r="AI102" s="141" t="n">
        <x:f>IF(AND($A102&gt;=Premissas!$B$48,$A102-Premissas!$B$48+1&lt;=Premissas!$B$13),INDEX(Amortizacao!$L$6:$L$485,$A102-Premissas!$B$48+1),0)</x:f>
        <x:v>0</x:v>
      </x:c>
      <x:c r="AJ102" s="141" t="n">
        <x:f>IF($A102&gt;=Premissas!$B$48,$F102,0)</x:f>
        <x:v>320321.24212541914</x:v>
      </x:c>
      <x:c r="AK102" s="141" t="n">
        <x:f>AH102+AJ102-AI102</x:f>
        <x:v>1279585.5275117431</x:v>
      </x:c>
      <x:c r="AL102" s="141" t="n">
        <x:f>IF(AG102&gt;1,"Inviavel",AK102)</x:f>
        <x:v>1279585.5275117431</x:v>
      </x:c>
      <x:c r="AM102" s="141" t="str">
        <x:f>IF(AG102&gt;1,"Inviavel","OK")</x:f>
        <x:v>OK</x:v>
      </x:c>
      <x:c r="AN102" s="141" t="n">
        <x:f>IF($A102=Premissas!$B$48,Premissas!$B$8,0)</x:f>
        <x:v>0</x:v>
      </x:c>
      <x:c r="AO102" s="141" t="n">
        <x:f>IF($A102&lt;=Premissas!$B$25,INDEX('Consorcio IQ'!$K$6:$K$485,$A102),0)</x:f>
        <x:v>909.2359065920019</x:v>
      </x:c>
      <x:c r="AP102" s="141" t="n">
        <x:f>IF(AND(TRUE,Premissas!$B$11="Imovel",Premissas!$B$47="Moradia",$A102&lt;MAX(Premissas!$B$48,Premissas!$B$49)),$D102,0)</x:f>
        <x:v>0</x:v>
      </x:c>
      <x:c r="AQ102" s="141" t="n">
        <x:f>IF(AND(TRUE,Premissas!$B$11="Imovel",Premissas!$B$47="Investimento",$A102&gt;=MAX(Premissas!$B$48,Premissas!$B$49)),$E102,0)</x:f>
        <x:v>1020.0627676997391</x:v>
      </x:c>
      <x:c r="AR102" s="141" t="n">
        <x:f>AN102+AO102+AP102</x:f>
        <x:v>909.2359065920019</x:v>
      </x:c>
      <x:c r="AS102" s="141" t="n">
        <x:f>AQ102</x:f>
        <x:v>1020.0627676997391</x:v>
      </x:c>
      <x:c r="AT102" s="141" t="n">
        <x:f>$C102+AS102-AR102</x:f>
        <x:v>7110.826861107737</x:v>
      </x:c>
      <x:c r="AU102" s="141" t="n">
        <x:f>AX101*(1+Premissas!$B$41)+AT102</x:f>
        <x:v>1037422.6418526344</x:v>
      </x:c>
      <x:c r="AV102" s="141" t="n">
        <x:f>MAX(0,-AU102)</x:f>
        <x:v>0</x:v>
      </x:c>
      <x:c r="AW102" s="141" t="n">
        <x:f>AW101*(1+Premissas!$B$41)+AV102</x:f>
        <x:v>0</x:v>
      </x:c>
      <x:c r="AX102" s="141" t="n">
        <x:f>MAX(0,AU102)</x:f>
        <x:v>1037422.6418526344</x:v>
      </x:c>
      <x:c r="AY102" s="141" t="n">
        <x:f>INDEX('Consorcio IQ'!$P$6:$P$485,$A102)</x:f>
        <x:v>92603.42628025486</x:v>
      </x:c>
      <x:c r="AZ102" s="141" t="n">
        <x:f>IF($A102&gt;=Premissas!$B$48,$F102,0)+IF($A102&lt;Premissas!$B$27,INDEX('Consorcio IQ'!$O$6:$O$485,$A102),0)</x:f>
        <x:v>320321.24212541914</x:v>
      </x:c>
      <x:c r="BA102" s="141" t="n">
        <x:f>AX102+AZ102-AY102</x:f>
        <x:v>1265140.4576977985</x:v>
      </x:c>
      <x:c r="BB102" s="141" t="n">
        <x:f>IF(AW102&gt;1,"Inviavel",BA102)</x:f>
        <x:v>1265140.4576977985</x:v>
      </x:c>
      <x:c r="BC102" s="141" t="str">
        <x:f>IF(AW102&gt;1,"Inviavel","OK")</x:f>
        <x:v>OK</x:v>
      </x:c>
      <x:c r="BD102" s="141" t="n">
        <x:f>IF($A102='Consorcio Direto'!$B$29,'Consorcio Direto'!$B$44,0)</x:f>
        <x:v>0</x:v>
      </x:c>
      <x:c r="BE102" s="141" t="n">
        <x:f>IF($A102&lt;='Consorcio Direto'!$B$27,INDEX('Consorcio Direto'!$E$55:$E$534,$A102),0)</x:f>
        <x:v>2354.4670746586016</x:v>
      </x:c>
      <x:c r="BF102" s="141" t="n">
        <x:f>IF(AND(TRUE,Premissas!$B$11="Imovel",Premissas!$B$47="Moradia",$A102&lt;MAX('Consorcio Direto'!$B$29,Premissas!$B$49)),$D102,0)</x:f>
        <x:v>0</x:v>
      </x:c>
      <x:c r="BG102" s="141" t="n">
        <x:f>IF(AND(TRUE,Premissas!$B$11="Imovel",Premissas!$B$47="Investimento",$A102&gt;=MAX('Consorcio Direto'!$B$29,Premissas!$B$49)),$E102,0)</x:f>
        <x:v>1020.0627676997391</x:v>
      </x:c>
      <x:c r="BH102" s="141" t="n">
        <x:f>BD102+BE102+BF102</x:f>
        <x:v>2354.4670746586016</x:v>
      </x:c>
      <x:c r="BI102" s="141" t="n">
        <x:f>BG102</x:f>
        <x:v>1020.0627676997391</x:v>
      </x:c>
      <x:c r="BJ102" s="141" t="n">
        <x:f>$C102+BI102-BH102</x:f>
        <x:v>5665.595693041138</x:v>
      </x:c>
      <x:c r="BK102" s="141" t="n">
        <x:f>BN101*(1+Premissas!$B$41)+BJ102</x:f>
        <x:v>1106549.076914201</x:v>
      </x:c>
      <x:c r="BL102" s="141" t="n">
        <x:f>MAX(0,-BK102)</x:f>
        <x:v>0</x:v>
      </x:c>
      <x:c r="BM102" s="141" t="n">
        <x:f>BM101*(1+Premissas!$B$41)+BL102</x:f>
        <x:v>0</x:v>
      </x:c>
      <x:c r="BN102" s="141" t="n">
        <x:f>MAX(0,BK102)</x:f>
        <x:v>1106549.076914201</x:v>
      </x:c>
      <x:c r="BO102" s="141" t="n">
        <x:f>INDEX('Consorcio Direto'!$K$55:$K$534,$A102)</x:f>
        <x:v>239796.6430897585</x:v>
      </x:c>
      <x:c r="BP102" s="141" t="n">
        <x:f>IF($A102&lt;'Consorcio Direto'!$B$29,INDEX('Consorcio Direto'!$L$55:$L$534,$A102),$F102)</x:f>
        <x:v>320321.24212541914</x:v>
      </x:c>
      <x:c r="BQ102" s="141" t="n">
        <x:f>BN102+BP102-BO102</x:f>
        <x:v>1187073.6759498618</x:v>
      </x:c>
      <x:c r="BR102" s="141" t="n">
        <x:f>IF(BM102&gt;1,"Inviavel",BQ102)</x:f>
        <x:v>1187073.6759498618</x:v>
      </x:c>
      <x:c r="BS102" s="141" t="str">
        <x:f>IF(BM102&gt;1,"Inviavel","OK")</x:f>
        <x:v>OK</x:v>
      </x:c>
      <x:c r="BT102" s="141" t="n">
        <x:f>IF(AND('Carta Contemplada'!$B$22="Sim",$A102='Carta Contemplada'!$B$23),'Carta Contemplada'!$B$37,0)</x:f>
        <x:v>0</x:v>
      </x:c>
      <x:c r="BU102" s="141" t="n">
        <x:f>IF('Carta Contemplada'!$B$22="Sim",INDEX('Carta Contemplada'!$C$55:$C$1013,$A102),0)</x:f>
        <x:v>1912.6176894370108</x:v>
      </x:c>
      <x:c r="BV102" s="141" t="n">
        <x:f>IF(AND('Carta Contemplada'!$B$22="Sim",Premissas!$B$11="Imovel",Premissas!$B$47="Moradia",$A102&lt;MAX('Carta Contemplada'!$B$44,Premissas!$B$49)),$D102,0)</x:f>
        <x:v>0</x:v>
      </x:c>
      <x:c r="BW102" s="141" t="n">
        <x:f>IF(AND('Carta Contemplada'!$B$22="Sim",Premissas!$B$11="Imovel",Premissas!$B$47="Investimento",$A102&gt;=MAX('Carta Contemplada'!$B$44,Premissas!$B$49)),$E102,0)</x:f>
        <x:v>1020.0627676997391</x:v>
      </x:c>
      <x:c r="BX102" s="141" t="n">
        <x:f>BT102+BU102+BV102</x:f>
        <x:v>1912.6176894370108</x:v>
      </x:c>
      <x:c r="BY102" s="141" t="n">
        <x:f>BW102</x:f>
        <x:v>1020.0627676997391</x:v>
      </x:c>
      <x:c r="BZ102" s="141" t="n">
        <x:f>$C102+BY102-BX102</x:f>
        <x:v>6107.445078262728</x:v>
      </x:c>
      <x:c r="CA102" s="141" t="n">
        <x:f>CD101*(1+Premissas!$B$41)+BZ102</x:f>
        <x:v>1123242.452475935</x:v>
      </x:c>
      <x:c r="CB102" s="141" t="n">
        <x:f>MAX(0,-CA102)</x:f>
        <x:v>0</x:v>
      </x:c>
      <x:c r="CC102" s="141" t="n">
        <x:f>CC101*(1+Premissas!$B$41)+CB102</x:f>
        <x:v>0</x:v>
      </x:c>
      <x:c r="CD102" s="141" t="n">
        <x:f>MAX(0,CA102)</x:f>
        <x:v>1123242.452475935</x:v>
      </x:c>
      <x:c r="CE102" s="141" t="n">
        <x:f>IF(AND('Carta Contemplada'!$B$22="Sim",$A102&gt;='Carta Contemplada'!$B$23),INDEX('Carta Contemplada'!$I$55:$I$1013,$A102),0)</x:f>
        <x:v>127550.41572902269</x:v>
      </x:c>
      <x:c r="CF102" s="141" t="n">
        <x:f>IF(AND('Carta Contemplada'!$B$22="Sim",$A102&gt;='Carta Contemplada'!$B$44),$F102,0)</x:f>
        <x:v>320321.24212541914</x:v>
      </x:c>
      <x:c r="CG102" s="141" t="n">
        <x:f>CD102+CF102-CE102</x:f>
        <x:v>1316013.2788723316</x:v>
      </x:c>
      <x:c r="CH102" s="141" t="n">
        <x:f>IF(CC102&gt;1,"Inviavel",CG102)</x:f>
        <x:v>1316013.2788723316</x:v>
      </x:c>
      <x:c r="CI102" s="145" t="str">
        <x:f>IF(CC102&gt;1,"Inviavel","OK")</x:f>
        <x:v>OK</x:v>
      </x:c>
    </x:row>
    <x:row r="103">
      <x:c r="A103" s="142" t="n">
        <x:v>99</x:v>
      </x:c>
      <x:c r="B103" s="179" t="n">
        <x:f>EDATE(Premissas!$B$4,A103-1)</x:f>
        <x:v>49522</x:v>
      </x:c>
      <x:c r="C103" s="141" t="n">
        <x:f>IF(A103&lt;=Premissas!$B$39,Premissas!$B$42,0)</x:f>
        <x:v>7000</x:v>
      </x:c>
      <x:c r="D103" s="141" t="n">
        <x:f>Premissas!$B$54*(1+Premissas!$B$57)^INT((A103-1)/12)</x:f>
        <x:v>1115.6936521715895</x:v>
      </x:c>
      <x:c r="E103" s="141" t="n">
        <x:f>Premissas!$B$64*(1+Premissas!$B$57)^INT((A103-1)/12)</x:f>
        <x:v>1020.0627676997391</x:v>
      </x:c>
      <x:c r="F103" s="141" t="n">
        <x:f>MAX(0,Premissas!$B$6*(1+Premissas!$B$66)^((A103-1)/12))</x:f>
        <x:v>321880.4219686181</x:v>
      </x:c>
      <x:c r="G103" s="141" t="n">
        <x:f>G102*(1+Premissas!$B$41)+C103</x:f>
        <x:v>1368412.1155461306</x:v>
      </x:c>
      <x:c r="H103" s="141" t="n">
        <x:f>IF($A103=Premissas!$B$48,Premissas!$B$8,0)</x:f>
        <x:v>0</x:v>
      </x:c>
      <x:c r="I103" s="141" t="n">
        <x:f>IF(AND($A103&gt;=Premissas!$B$48,$A103-Premissas!$B$48+1&lt;=Premissas!$B$13),INDEX(Financiamento!$J$6:$J$485,$A103-Premissas!$B$48+1),0)</x:f>
        <x:v>1694.910980927904</x:v>
      </x:c>
      <x:c r="J103" s="141" t="n">
        <x:f>IF(AND(TRUE,Premissas!$B$11="Imovel",Premissas!$B$47="Moradia",$A103&lt;MAX(Premissas!$B$48,Premissas!$B$49)),$D103,0)</x:f>
        <x:v>0</x:v>
      </x:c>
      <x:c r="K103" s="141" t="n">
        <x:f>IF(AND(TRUE,Premissas!$B$11="Imovel",Premissas!$B$47="Investimento",$A103&gt;=MAX(Premissas!$B$48,Premissas!$B$49)),$E103,0)</x:f>
        <x:v>1020.0627676997391</x:v>
      </x:c>
      <x:c r="L103" s="141" t="n">
        <x:f>H103+I103+J103</x:f>
        <x:v>1694.910980927904</x:v>
      </x:c>
      <x:c r="M103" s="141" t="n">
        <x:f>K103</x:f>
        <x:v>1020.0627676997391</x:v>
      </x:c>
      <x:c r="N103" s="141" t="n">
        <x:f>$C103+M103-L103</x:f>
        <x:v>6325.151786771836</x:v>
      </x:c>
      <x:c r="O103" s="141" t="n">
        <x:f>R102*(1+Premissas!$B$41)+N103</x:f>
        <x:v>1083278.014424201</x:v>
      </x:c>
      <x:c r="P103" s="141" t="n">
        <x:f>MAX(0,-O103)</x:f>
        <x:v>0</x:v>
      </x:c>
      <x:c r="Q103" s="141" t="n">
        <x:f>Q102*(1+Premissas!$B$41)+P103</x:f>
        <x:v>0</x:v>
      </x:c>
      <x:c r="R103" s="141" t="n">
        <x:f>MAX(0,O103)</x:f>
        <x:v>1083278.014424201</x:v>
      </x:c>
      <x:c r="S103" s="141" t="n">
        <x:f>IF(AND($A103&gt;=Premissas!$B$48,$A103-Premissas!$B$48+1&lt;=Premissas!$B$13),INDEX(Financiamento!$M$6:$M$485,$A103-Premissas!$B$48+1),0)</x:f>
        <x:v>122285.7142857145</x:v>
      </x:c>
      <x:c r="T103" s="141" t="n">
        <x:f>IF($A103&gt;=Premissas!$B$48,$F103,0)</x:f>
        <x:v>321880.4219686181</x:v>
      </x:c>
      <x:c r="U103" s="141" t="n">
        <x:f>R103+T103-S103</x:f>
        <x:v>1282872.7221071047</x:v>
      </x:c>
      <x:c r="V103" s="141" t="n">
        <x:f>IF(Q103&gt;1,"Inviavel",U103)</x:f>
        <x:v>1282872.7221071047</x:v>
      </x:c>
      <x:c r="W103" s="141" t="str">
        <x:f>IF(Q103&gt;1,"Inviavel","OK")</x:f>
        <x:v>OK</x:v>
      </x:c>
      <x:c r="X103" s="141" t="n">
        <x:f>IF($A103=Premissas!$B$48,Premissas!$B$8,0)</x:f>
        <x:v>0</x:v>
      </x:c>
      <x:c r="Y103" s="141" t="n">
        <x:f>IF(AND($A103&gt;=Premissas!$B$48,$A103-Premissas!$B$48+1&lt;=Premissas!$B$13),INDEX(Amortizacao!$K$6:$K$485,$A103-Premissas!$B$48+1),0)</x:f>
        <x:v>0</x:v>
      </x:c>
      <x:c r="Z103" s="141" t="n">
        <x:f>IF(AND(TRUE,Premissas!$B$11="Imovel",Premissas!$B$47="Moradia",$A103&lt;MAX(Premissas!$B$48,Premissas!$B$49)),$D103,0)</x:f>
        <x:v>0</x:v>
      </x:c>
      <x:c r="AA103" s="141" t="n">
        <x:f>IF(AND(TRUE,Premissas!$B$11="Imovel",Premissas!$B$47="Investimento",$A103&gt;=MAX(Premissas!$B$48,Premissas!$B$49)),$E103,0)</x:f>
        <x:v>1020.0627676997391</x:v>
      </x:c>
      <x:c r="AB103" s="141" t="n">
        <x:f>X103+Y103+Z103</x:f>
        <x:v>0</x:v>
      </x:c>
      <x:c r="AC103" s="141" t="n">
        <x:f>AA103</x:f>
        <x:v>1020.0627676997391</x:v>
      </x:c>
      <x:c r="AD103" s="141" t="n">
        <x:f>$C103+AC103-AB103</x:f>
        <x:v>8020.062767699739</x:v>
      </x:c>
      <x:c r="AE103" s="141" t="n">
        <x:f>AH102*(1+Premissas!$B$41)+AD103</x:f>
        <x:v>976386.6083275953</x:v>
      </x:c>
      <x:c r="AF103" s="141" t="n">
        <x:f>MAX(0,-AE103)</x:f>
        <x:v>0</x:v>
      </x:c>
      <x:c r="AG103" s="141" t="n">
        <x:f>AG102*(1+Premissas!$B$41)+AF103</x:f>
        <x:v>0</x:v>
      </x:c>
      <x:c r="AH103" s="141" t="n">
        <x:f>MAX(0,AE103)</x:f>
        <x:v>976386.6083275953</x:v>
      </x:c>
      <x:c r="AI103" s="141" t="n">
        <x:f>IF(AND($A103&gt;=Premissas!$B$48,$A103-Premissas!$B$48+1&lt;=Premissas!$B$13),INDEX(Amortizacao!$L$6:$L$485,$A103-Premissas!$B$48+1),0)</x:f>
        <x:v>0</x:v>
      </x:c>
      <x:c r="AJ103" s="141" t="n">
        <x:f>IF($A103&gt;=Premissas!$B$48,$F103,0)</x:f>
        <x:v>321880.4219686181</x:v>
      </x:c>
      <x:c r="AK103" s="141" t="n">
        <x:f>AH103+AJ103-AI103</x:f>
        <x:v>1298267.0302962135</x:v>
      </x:c>
      <x:c r="AL103" s="141" t="n">
        <x:f>IF(AG103&gt;1,"Inviavel",AK103)</x:f>
        <x:v>1298267.0302962135</x:v>
      </x:c>
      <x:c r="AM103" s="141" t="str">
        <x:f>IF(AG103&gt;1,"Inviavel","OK")</x:f>
        <x:v>OK</x:v>
      </x:c>
      <x:c r="AN103" s="141" t="n">
        <x:f>IF($A103=Premissas!$B$48,Premissas!$B$8,0)</x:f>
        <x:v>0</x:v>
      </x:c>
      <x:c r="AO103" s="141" t="n">
        <x:f>IF($A103&lt;=Premissas!$B$25,INDEX('Consorcio IQ'!$K$6:$K$485,$A103),0)</x:f>
        <x:v>909.2359065920019</x:v>
      </x:c>
      <x:c r="AP103" s="141" t="n">
        <x:f>IF(AND(TRUE,Premissas!$B$11="Imovel",Premissas!$B$47="Moradia",$A103&lt;MAX(Premissas!$B$48,Premissas!$B$49)),$D103,0)</x:f>
        <x:v>0</x:v>
      </x:c>
      <x:c r="AQ103" s="141" t="n">
        <x:f>IF(AND(TRUE,Premissas!$B$11="Imovel",Premissas!$B$47="Investimento",$A103&gt;=MAX(Premissas!$B$48,Premissas!$B$49)),$E103,0)</x:f>
        <x:v>1020.0627676997391</x:v>
      </x:c>
      <x:c r="AR103" s="141" t="n">
        <x:f>AN103+AO103+AP103</x:f>
        <x:v>909.2359065920019</x:v>
      </x:c>
      <x:c r="AS103" s="141" t="n">
        <x:f>AQ103</x:f>
        <x:v>1020.0627676997391</x:v>
      </x:c>
      <x:c r="AT103" s="141" t="n">
        <x:f>$C103+AS103-AR103</x:f>
        <x:v>7110.826861107737</x:v>
      </x:c>
      <x:c r="AU103" s="141" t="n">
        <x:f>AX102*(1+Premissas!$B$41)+AT103</x:f>
        <x:v>1054377.3573479299</x:v>
      </x:c>
      <x:c r="AV103" s="141" t="n">
        <x:f>MAX(0,-AU103)</x:f>
        <x:v>0</x:v>
      </x:c>
      <x:c r="AW103" s="141" t="n">
        <x:f>AW102*(1+Premissas!$B$41)+AV103</x:f>
        <x:v>0</x:v>
      </x:c>
      <x:c r="AX103" s="141" t="n">
        <x:f>MAX(0,AU103)</x:f>
        <x:v>1054377.3573479299</x:v>
      </x:c>
      <x:c r="AY103" s="141" t="n">
        <x:f>INDEX('Consorcio IQ'!$P$6:$P$485,$A103)</x:f>
        <x:v>92572.88511066913</x:v>
      </x:c>
      <x:c r="AZ103" s="141" t="n">
        <x:f>IF($A103&gt;=Premissas!$B$48,$F103,0)+IF($A103&lt;Premissas!$B$27,INDEX('Consorcio IQ'!$O$6:$O$485,$A103),0)</x:f>
        <x:v>321880.4219686181</x:v>
      </x:c>
      <x:c r="BA103" s="141" t="n">
        <x:f>AX103+AZ103-AY103</x:f>
        <x:v>1283684.894205879</x:v>
      </x:c>
      <x:c r="BB103" s="141" t="n">
        <x:f>IF(AW103&gt;1,"Inviavel",BA103)</x:f>
        <x:v>1283684.894205879</x:v>
      </x:c>
      <x:c r="BC103" s="141" t="str">
        <x:f>IF(AW103&gt;1,"Inviavel","OK")</x:f>
        <x:v>OK</x:v>
      </x:c>
      <x:c r="BD103" s="141" t="n">
        <x:f>IF($A103='Consorcio Direto'!$B$29,'Consorcio Direto'!$B$44,0)</x:f>
        <x:v>0</x:v>
      </x:c>
      <x:c r="BE103" s="141" t="n">
        <x:f>IF($A103&lt;='Consorcio Direto'!$B$27,INDEX('Consorcio Direto'!$E$55:$E$534,$A103),0)</x:f>
        <x:v>2354.4670746586016</x:v>
      </x:c>
      <x:c r="BF103" s="141" t="n">
        <x:f>IF(AND(TRUE,Premissas!$B$11="Imovel",Premissas!$B$47="Moradia",$A103&lt;MAX('Consorcio Direto'!$B$29,Premissas!$B$49)),$D103,0)</x:f>
        <x:v>0</x:v>
      </x:c>
      <x:c r="BG103" s="141" t="n">
        <x:f>IF(AND(TRUE,Premissas!$B$11="Imovel",Premissas!$B$47="Investimento",$A103&gt;=MAX('Consorcio Direto'!$B$29,Premissas!$B$49)),$E103,0)</x:f>
        <x:v>1020.0627676997391</x:v>
      </x:c>
      <x:c r="BH103" s="141" t="n">
        <x:f>BD103+BE103+BF103</x:f>
        <x:v>2354.4670746586016</x:v>
      </x:c>
      <x:c r="BI103" s="141" t="n">
        <x:f>BG103</x:f>
        <x:v>1020.0627676997391</x:v>
      </x:c>
      <x:c r="BJ103" s="141" t="n">
        <x:f>$C103+BI103-BH103</x:f>
        <x:v>5665.595693041138</x:v>
      </x:c>
      <x:c r="BK103" s="141" t="n">
        <x:f>BN102*(1+Premissas!$B$41)+BJ103</x:f>
        <x:v>1122714.487670035</x:v>
      </x:c>
      <x:c r="BL103" s="141" t="n">
        <x:f>MAX(0,-BK103)</x:f>
        <x:v>0</x:v>
      </x:c>
      <x:c r="BM103" s="141" t="n">
        <x:f>BM102*(1+Premissas!$B$41)+BL103</x:f>
        <x:v>0</x:v>
      </x:c>
      <x:c r="BN103" s="141" t="n">
        <x:f>MAX(0,BK103)</x:f>
        <x:v>1122714.487670035</x:v>
      </x:c>
      <x:c r="BO103" s="141" t="n">
        <x:f>INDEX('Consorcio Direto'!$K$55:$K$534,$A103)</x:f>
        <x:v>239717.55670778672</x:v>
      </x:c>
      <x:c r="BP103" s="141" t="n">
        <x:f>IF($A103&lt;'Consorcio Direto'!$B$29,INDEX('Consorcio Direto'!$L$55:$L$534,$A103),$F103)</x:f>
        <x:v>321880.4219686181</x:v>
      </x:c>
      <x:c r="BQ103" s="141" t="n">
        <x:f>BN103+BP103-BO103</x:f>
        <x:v>1204877.3529308666</x:v>
      </x:c>
      <x:c r="BR103" s="141" t="n">
        <x:f>IF(BM103&gt;1,"Inviavel",BQ103)</x:f>
        <x:v>1204877.3529308666</x:v>
      </x:c>
      <x:c r="BS103" s="141" t="str">
        <x:f>IF(BM103&gt;1,"Inviavel","OK")</x:f>
        <x:v>OK</x:v>
      </x:c>
      <x:c r="BT103" s="141" t="n">
        <x:f>IF(AND('Carta Contemplada'!$B$22="Sim",$A103='Carta Contemplada'!$B$23),'Carta Contemplada'!$B$37,0)</x:f>
        <x:v>0</x:v>
      </x:c>
      <x:c r="BU103" s="141" t="n">
        <x:f>IF('Carta Contemplada'!$B$22="Sim",INDEX('Carta Contemplada'!$C$55:$C$1013,$A103),0)</x:f>
        <x:v>1912.6176894370108</x:v>
      </x:c>
      <x:c r="BV103" s="141" t="n">
        <x:f>IF(AND('Carta Contemplada'!$B$22="Sim",Premissas!$B$11="Imovel",Premissas!$B$47="Moradia",$A103&lt;MAX('Carta Contemplada'!$B$44,Premissas!$B$49)),$D103,0)</x:f>
        <x:v>0</x:v>
      </x:c>
      <x:c r="BW103" s="141" t="n">
        <x:f>IF(AND('Carta Contemplada'!$B$22="Sim",Premissas!$B$11="Imovel",Premissas!$B$47="Investimento",$A103&gt;=MAX('Carta Contemplada'!$B$44,Premissas!$B$49)),$E103,0)</x:f>
        <x:v>1020.0627676997391</x:v>
      </x:c>
      <x:c r="BX103" s="141" t="n">
        <x:f>BT103+BU103+BV103</x:f>
        <x:v>1912.6176894370108</x:v>
      </x:c>
      <x:c r="BY103" s="141" t="n">
        <x:f>BW103</x:f>
        <x:v>1020.0627676997391</x:v>
      </x:c>
      <x:c r="BZ103" s="141" t="n">
        <x:f>$C103+BY103-BX103</x:f>
        <x:v>6107.445078262728</x:v>
      </x:c>
      <x:c r="CA103" s="141" t="n">
        <x:f>CD102*(1+Premissas!$B$41)+BZ103</x:f>
        <x:v>1140008.112601075</x:v>
      </x:c>
      <x:c r="CB103" s="141" t="n">
        <x:f>MAX(0,-CA103)</x:f>
        <x:v>0</x:v>
      </x:c>
      <x:c r="CC103" s="141" t="n">
        <x:f>CC102*(1+Premissas!$B$41)+CB103</x:f>
        <x:v>0</x:v>
      </x:c>
      <x:c r="CD103" s="141" t="n">
        <x:f>MAX(0,CA103)</x:f>
        <x:v>1140008.112601075</x:v>
      </x:c>
      <x:c r="CE103" s="141" t="n">
        <x:f>IF(AND('Carta Contemplada'!$B$22="Sim",$A103&gt;='Carta Contemplada'!$B$23),INDEX('Carta Contemplada'!$I$55:$I$1013,$A103),0)</x:f>
        <x:v>126848.09752315836</x:v>
      </x:c>
      <x:c r="CF103" s="141" t="n">
        <x:f>IF(AND('Carta Contemplada'!$B$22="Sim",$A103&gt;='Carta Contemplada'!$B$44),$F103,0)</x:f>
        <x:v>321880.4219686181</x:v>
      </x:c>
      <x:c r="CG103" s="141" t="n">
        <x:f>CD103+CF103-CE103</x:f>
        <x:v>1335040.4370465348</x:v>
      </x:c>
      <x:c r="CH103" s="141" t="n">
        <x:f>IF(CC103&gt;1,"Inviavel",CG103)</x:f>
        <x:v>1335040.4370465348</x:v>
      </x:c>
      <x:c r="CI103" s="145" t="str">
        <x:f>IF(CC103&gt;1,"Inviavel","OK")</x:f>
        <x:v>OK</x:v>
      </x:c>
    </x:row>
    <x:row r="104">
      <x:c r="A104" s="142" t="n">
        <x:v>100</x:v>
      </x:c>
      <x:c r="B104" s="179" t="n">
        <x:f>EDATE(Premissas!$B$4,A104-1)</x:f>
        <x:v>49553</x:v>
      </x:c>
      <x:c r="C104" s="141" t="n">
        <x:f>IF(A104&lt;=Premissas!$B$39,Premissas!$B$42,0)</x:f>
        <x:v>7000</x:v>
      </x:c>
      <x:c r="D104" s="141" t="n">
        <x:f>Premissas!$B$54*(1+Premissas!$B$57)^INT((A104-1)/12)</x:f>
        <x:v>1115.6936521715895</x:v>
      </x:c>
      <x:c r="E104" s="141" t="n">
        <x:f>Premissas!$B$64*(1+Premissas!$B$57)^INT((A104-1)/12)</x:f>
        <x:v>1020.0627676997391</x:v>
      </x:c>
      <x:c r="F104" s="141" t="n">
        <x:f>MAX(0,Premissas!$B$6*(1+Premissas!$B$66)^((A104-1)/12))</x:f>
        <x:v>323447.19119854434</x:v>
      </x:c>
      <x:c r="G104" s="141" t="n">
        <x:f>G103*(1+Premissas!$B$41)+C104</x:f>
        <x:v>1388396.6947597226</x:v>
      </x:c>
      <x:c r="H104" s="141" t="n">
        <x:f>IF($A104=Premissas!$B$48,Premissas!$B$8,0)</x:f>
        <x:v>0</x:v>
      </x:c>
      <x:c r="I104" s="141" t="n">
        <x:f>IF(AND($A104&gt;=Premissas!$B$48,$A104-Premissas!$B$48+1&lt;=Premissas!$B$13),INDEX(Financiamento!$J$6:$J$485,$A104-Premissas!$B$48+1),0)</x:f>
        <x:v>1691.2962026671103</x:v>
      </x:c>
      <x:c r="J104" s="141" t="n">
        <x:f>IF(AND(TRUE,Premissas!$B$11="Imovel",Premissas!$B$47="Moradia",$A104&lt;MAX(Premissas!$B$48,Premissas!$B$49)),$D104,0)</x:f>
        <x:v>0</x:v>
      </x:c>
      <x:c r="K104" s="141" t="n">
        <x:f>IF(AND(TRUE,Premissas!$B$11="Imovel",Premissas!$B$47="Investimento",$A104&gt;=MAX(Premissas!$B$48,Premissas!$B$49)),$E104,0)</x:f>
        <x:v>1020.0627676997391</x:v>
      </x:c>
      <x:c r="L104" s="141" t="n">
        <x:f>H104+I104+J104</x:f>
        <x:v>1691.2962026671103</x:v>
      </x:c>
      <x:c r="M104" s="141" t="n">
        <x:f>K104</x:f>
        <x:v>1020.0627676997391</x:v>
      </x:c>
      <x:c r="N104" s="141" t="n">
        <x:f>$C104+M104-L104</x:f>
        <x:v>6328.766565032629</x:v>
      </x:c>
      <x:c r="O104" s="141" t="n">
        <x:f>R103*(1+Premissas!$B$41)+N104</x:f>
        <x:v>1099885.7817586912</x:v>
      </x:c>
      <x:c r="P104" s="141" t="n">
        <x:f>MAX(0,-O104)</x:f>
        <x:v>0</x:v>
      </x:c>
      <x:c r="Q104" s="141" t="n">
        <x:f>Q103*(1+Premissas!$B$41)+P104</x:f>
        <x:v>0</x:v>
      </x:c>
      <x:c r="R104" s="141" t="n">
        <x:f>MAX(0,O104)</x:f>
        <x:v>1099885.7817586912</x:v>
      </x:c>
      <x:c r="S104" s="141" t="n">
        <x:f>IF(AND($A104&gt;=Premissas!$B$48,$A104-Premissas!$B$48+1&lt;=Premissas!$B$13),INDEX(Financiamento!$M$6:$M$485,$A104-Premissas!$B$48+1),0)</x:f>
        <x:v>121904.76190476211</x:v>
      </x:c>
      <x:c r="T104" s="141" t="n">
        <x:f>IF($A104&gt;=Premissas!$B$48,$F104,0)</x:f>
        <x:v>323447.19119854434</x:v>
      </x:c>
      <x:c r="U104" s="141" t="n">
        <x:f>R104+T104-S104</x:f>
        <x:v>1301428.2110524734</x:v>
      </x:c>
      <x:c r="V104" s="141" t="n">
        <x:f>IF(Q104&gt;1,"Inviavel",U104)</x:f>
        <x:v>1301428.2110524734</x:v>
      </x:c>
      <x:c r="W104" s="141" t="str">
        <x:f>IF(Q104&gt;1,"Inviavel","OK")</x:f>
        <x:v>OK</x:v>
      </x:c>
      <x:c r="X104" s="141" t="n">
        <x:f>IF($A104=Premissas!$B$48,Premissas!$B$8,0)</x:f>
        <x:v>0</x:v>
      </x:c>
      <x:c r="Y104" s="141" t="n">
        <x:f>IF(AND($A104&gt;=Premissas!$B$48,$A104-Premissas!$B$48+1&lt;=Premissas!$B$13),INDEX(Amortizacao!$K$6:$K$485,$A104-Premissas!$B$48+1),0)</x:f>
        <x:v>0</x:v>
      </x:c>
      <x:c r="Z104" s="141" t="n">
        <x:f>IF(AND(TRUE,Premissas!$B$11="Imovel",Premissas!$B$47="Moradia",$A104&lt;MAX(Premissas!$B$48,Premissas!$B$49)),$D104,0)</x:f>
        <x:v>0</x:v>
      </x:c>
      <x:c r="AA104" s="141" t="n">
        <x:f>IF(AND(TRUE,Premissas!$B$11="Imovel",Premissas!$B$47="Investimento",$A104&gt;=MAX(Premissas!$B$48,Premissas!$B$49)),$E104,0)</x:f>
        <x:v>1020.0627676997391</x:v>
      </x:c>
      <x:c r="AB104" s="141" t="n">
        <x:f>X104+Y104+Z104</x:f>
        <x:v>0</x:v>
      </x:c>
      <x:c r="AC104" s="141" t="n">
        <x:f>AA104</x:f>
        <x:v>1020.0627676997391</x:v>
      </x:c>
      <x:c r="AD104" s="141" t="n">
        <x:f>$C104+AC104-AB104</x:f>
        <x:v>8020.062767699739</x:v>
      </x:c>
      <x:c r="AE104" s="141" t="n">
        <x:f>AH103*(1+Premissas!$B$41)+AD104</x:f>
        <x:v>993671.4014458153</x:v>
      </x:c>
      <x:c r="AF104" s="141" t="n">
        <x:f>MAX(0,-AE104)</x:f>
        <x:v>0</x:v>
      </x:c>
      <x:c r="AG104" s="141" t="n">
        <x:f>AG103*(1+Premissas!$B$41)+AF104</x:f>
        <x:v>0</x:v>
      </x:c>
      <x:c r="AH104" s="141" t="n">
        <x:f>MAX(0,AE104)</x:f>
        <x:v>993671.4014458153</x:v>
      </x:c>
      <x:c r="AI104" s="141" t="n">
        <x:f>IF(AND($A104&gt;=Premissas!$B$48,$A104-Premissas!$B$48+1&lt;=Premissas!$B$13),INDEX(Amortizacao!$L$6:$L$485,$A104-Premissas!$B$48+1),0)</x:f>
        <x:v>0</x:v>
      </x:c>
      <x:c r="AJ104" s="141" t="n">
        <x:f>IF($A104&gt;=Premissas!$B$48,$F104,0)</x:f>
        <x:v>323447.19119854434</x:v>
      </x:c>
      <x:c r="AK104" s="141" t="n">
        <x:f>AH104+AJ104-AI104</x:f>
        <x:v>1317118.5926443597</x:v>
      </x:c>
      <x:c r="AL104" s="141" t="n">
        <x:f>IF(AG104&gt;1,"Inviavel",AK104)</x:f>
        <x:v>1317118.5926443597</x:v>
      </x:c>
      <x:c r="AM104" s="141" t="str">
        <x:f>IF(AG104&gt;1,"Inviavel","OK")</x:f>
        <x:v>OK</x:v>
      </x:c>
      <x:c r="AN104" s="141" t="n">
        <x:f>IF($A104=Premissas!$B$48,Premissas!$B$8,0)</x:f>
        <x:v>0</x:v>
      </x:c>
      <x:c r="AO104" s="141" t="n">
        <x:f>IF($A104&lt;=Premissas!$B$25,INDEX('Consorcio IQ'!$K$6:$K$485,$A104),0)</x:f>
        <x:v>909.2359065920019</x:v>
      </x:c>
      <x:c r="AP104" s="141" t="n">
        <x:f>IF(AND(TRUE,Premissas!$B$11="Imovel",Premissas!$B$47="Moradia",$A104&lt;MAX(Premissas!$B$48,Premissas!$B$49)),$D104,0)</x:f>
        <x:v>0</x:v>
      </x:c>
      <x:c r="AQ104" s="141" t="n">
        <x:f>IF(AND(TRUE,Premissas!$B$11="Imovel",Premissas!$B$47="Investimento",$A104&gt;=MAX(Premissas!$B$48,Premissas!$B$49)),$E104,0)</x:f>
        <x:v>1020.0627676997391</x:v>
      </x:c>
      <x:c r="AR104" s="141" t="n">
        <x:f>AN104+AO104+AP104</x:f>
        <x:v>909.2359065920019</x:v>
      </x:c>
      <x:c r="AS104" s="141" t="n">
        <x:f>AQ104</x:f>
        <x:v>1020.0627676997391</x:v>
      </x:c>
      <x:c r="AT104" s="141" t="n">
        <x:f>$C104+AS104-AR104</x:f>
        <x:v>7110.826861107737</x:v>
      </x:c>
      <x:c r="AU104" s="141" t="n">
        <x:f>AX103*(1+Premissas!$B$41)+AT104</x:f>
        <x:v>1071492.9526278249</x:v>
      </x:c>
      <x:c r="AV104" s="141" t="n">
        <x:f>MAX(0,-AU104)</x:f>
        <x:v>0</x:v>
      </x:c>
      <x:c r="AW104" s="141" t="n">
        <x:f>AW103*(1+Premissas!$B$41)+AV104</x:f>
        <x:v>0</x:v>
      </x:c>
      <x:c r="AX104" s="141" t="n">
        <x:f>MAX(0,AU104)</x:f>
        <x:v>1071492.9526278249</x:v>
      </x:c>
      <x:c r="AY104" s="141" t="n">
        <x:f>INDEX('Consorcio IQ'!$P$6:$P$485,$A104)</x:f>
        <x:v>92542.05414224921</x:v>
      </x:c>
      <x:c r="AZ104" s="141" t="n">
        <x:f>IF($A104&gt;=Premissas!$B$48,$F104,0)+IF($A104&lt;Premissas!$B$27,INDEX('Consorcio IQ'!$O$6:$O$485,$A104),0)</x:f>
        <x:v>323447.19119854434</x:v>
      </x:c>
      <x:c r="BA104" s="141" t="n">
        <x:f>AX104+AZ104-AY104</x:f>
        <x:v>1302398.08968412</x:v>
      </x:c>
      <x:c r="BB104" s="141" t="n">
        <x:f>IF(AW104&gt;1,"Inviavel",BA104)</x:f>
        <x:v>1302398.08968412</x:v>
      </x:c>
      <x:c r="BC104" s="141" t="str">
        <x:f>IF(AW104&gt;1,"Inviavel","OK")</x:f>
        <x:v>OK</x:v>
      </x:c>
      <x:c r="BD104" s="141" t="n">
        <x:f>IF($A104='Consorcio Direto'!$B$29,'Consorcio Direto'!$B$44,0)</x:f>
        <x:v>0</x:v>
      </x:c>
      <x:c r="BE104" s="141" t="n">
        <x:f>IF($A104&lt;='Consorcio Direto'!$B$27,INDEX('Consorcio Direto'!$E$55:$E$534,$A104),0)</x:f>
        <x:v>2354.4670746586016</x:v>
      </x:c>
      <x:c r="BF104" s="141" t="n">
        <x:f>IF(AND(TRUE,Premissas!$B$11="Imovel",Premissas!$B$47="Moradia",$A104&lt;MAX('Consorcio Direto'!$B$29,Premissas!$B$49)),$D104,0)</x:f>
        <x:v>0</x:v>
      </x:c>
      <x:c r="BG104" s="141" t="n">
        <x:f>IF(AND(TRUE,Premissas!$B$11="Imovel",Premissas!$B$47="Investimento",$A104&gt;=MAX('Consorcio Direto'!$B$29,Premissas!$B$49)),$E104,0)</x:f>
        <x:v>1020.0627676997391</x:v>
      </x:c>
      <x:c r="BH104" s="141" t="n">
        <x:f>BD104+BE104+BF104</x:f>
        <x:v>2354.4670746586016</x:v>
      </x:c>
      <x:c r="BI104" s="141" t="n">
        <x:f>BG104</x:f>
        <x:v>1020.0627676997391</x:v>
      </x:c>
      <x:c r="BJ104" s="141" t="n">
        <x:f>$C104+BI104-BH104</x:f>
        <x:v>5665.595693041138</x:v>
      </x:c>
      <x:c r="BK104" s="141" t="n">
        <x:f>BN103*(1+Premissas!$B$41)+BJ104</x:f>
        <x:v>1139033.2886612336</x:v>
      </x:c>
      <x:c r="BL104" s="141" t="n">
        <x:f>MAX(0,-BK104)</x:f>
        <x:v>0</x:v>
      </x:c>
      <x:c r="BM104" s="141" t="n">
        <x:f>BM103*(1+Premissas!$B$41)+BL104</x:f>
        <x:v>0</x:v>
      </x:c>
      <x:c r="BN104" s="141" t="n">
        <x:f>MAX(0,BK104)</x:f>
        <x:v>1139033.2886612336</x:v>
      </x:c>
      <x:c r="BO104" s="141" t="n">
        <x:f>INDEX('Consorcio Direto'!$K$55:$K$534,$A104)</x:f>
        <x:v>239637.71989151248</x:v>
      </x:c>
      <x:c r="BP104" s="141" t="n">
        <x:f>IF($A104&lt;'Consorcio Direto'!$B$29,INDEX('Consorcio Direto'!$L$55:$L$534,$A104),$F104)</x:f>
        <x:v>323447.19119854434</x:v>
      </x:c>
      <x:c r="BQ104" s="141" t="n">
        <x:f>BN104+BP104-BO104</x:f>
        <x:v>1222842.7599682654</x:v>
      </x:c>
      <x:c r="BR104" s="141" t="n">
        <x:f>IF(BM104&gt;1,"Inviavel",BQ104)</x:f>
        <x:v>1222842.7599682654</x:v>
      </x:c>
      <x:c r="BS104" s="141" t="str">
        <x:f>IF(BM104&gt;1,"Inviavel","OK")</x:f>
        <x:v>OK</x:v>
      </x:c>
      <x:c r="BT104" s="141" t="n">
        <x:f>IF(AND('Carta Contemplada'!$B$22="Sim",$A104='Carta Contemplada'!$B$23),'Carta Contemplada'!$B$37,0)</x:f>
        <x:v>0</x:v>
      </x:c>
      <x:c r="BU104" s="141" t="n">
        <x:f>IF('Carta Contemplada'!$B$22="Sim",INDEX('Carta Contemplada'!$C$55:$C$1013,$A104),0)</x:f>
        <x:v>1912.6176894370108</x:v>
      </x:c>
      <x:c r="BV104" s="141" t="n">
        <x:f>IF(AND('Carta Contemplada'!$B$22="Sim",Premissas!$B$11="Imovel",Premissas!$B$47="Moradia",$A104&lt;MAX('Carta Contemplada'!$B$44,Premissas!$B$49)),$D104,0)</x:f>
        <x:v>0</x:v>
      </x:c>
      <x:c r="BW104" s="141" t="n">
        <x:f>IF(AND('Carta Contemplada'!$B$22="Sim",Premissas!$B$11="Imovel",Premissas!$B$47="Investimento",$A104&gt;=MAX('Carta Contemplada'!$B$44,Premissas!$B$49)),$E104,0)</x:f>
        <x:v>1020.0627676997391</x:v>
      </x:c>
      <x:c r="BX104" s="141" t="n">
        <x:f>BT104+BU104+BV104</x:f>
        <x:v>1912.6176894370108</x:v>
      </x:c>
      <x:c r="BY104" s="141" t="n">
        <x:f>BW104</x:f>
        <x:v>1020.0627676997391</x:v>
      </x:c>
      <x:c r="BZ104" s="141" t="n">
        <x:f>$C104+BY104-BX104</x:f>
        <x:v>6107.445078262728</x:v>
      </x:c>
      <x:c r="CA104" s="141" t="n">
        <x:f>CD103*(1+Premissas!$B$41)+BZ104</x:f>
        <x:v>1156932.8586035543</x:v>
      </x:c>
      <x:c r="CB104" s="141" t="n">
        <x:f>MAX(0,-CA104)</x:f>
        <x:v>0</x:v>
      </x:c>
      <x:c r="CC104" s="141" t="n">
        <x:f>CC103*(1+Premissas!$B$41)+CB104</x:f>
        <x:v>0</x:v>
      </x:c>
      <x:c r="CD104" s="141" t="n">
        <x:f>MAX(0,CA104)</x:f>
        <x:v>1156932.8586035543</x:v>
      </x:c>
      <x:c r="CE104" s="141" t="n">
        <x:f>IF(AND('Carta Contemplada'!$B$22="Sim",$A104&gt;='Carta Contemplada'!$B$23),INDEX('Carta Contemplada'!$I$55:$I$1013,$A104),0)</x:f>
        <x:v>126139.11516526439</x:v>
      </x:c>
      <x:c r="CF104" s="141" t="n">
        <x:f>IF(AND('Carta Contemplada'!$B$22="Sim",$A104&gt;='Carta Contemplada'!$B$44),$F104,0)</x:f>
        <x:v>323447.19119854434</x:v>
      </x:c>
      <x:c r="CG104" s="141" t="n">
        <x:f>CD104+CF104-CE104</x:f>
        <x:v>1354240.9346368343</x:v>
      </x:c>
      <x:c r="CH104" s="141" t="n">
        <x:f>IF(CC104&gt;1,"Inviavel",CG104)</x:f>
        <x:v>1354240.9346368343</x:v>
      </x:c>
      <x:c r="CI104" s="145" t="str">
        <x:f>IF(CC104&gt;1,"Inviavel","OK")</x:f>
        <x:v>OK</x:v>
      </x:c>
    </x:row>
    <x:row r="105">
      <x:c r="A105" s="142" t="n">
        <x:v>101</x:v>
      </x:c>
      <x:c r="B105" s="179" t="n">
        <x:f>EDATE(Premissas!$B$4,A105-1)</x:f>
        <x:v>49583</x:v>
      </x:c>
      <x:c r="C105" s="141" t="n">
        <x:f>IF(A105&lt;=Premissas!$B$39,Premissas!$B$42,0)</x:f>
        <x:v>7000</x:v>
      </x:c>
      <x:c r="D105" s="141" t="n">
        <x:f>Premissas!$B$54*(1+Premissas!$B$57)^INT((A105-1)/12)</x:f>
        <x:v>1115.6936521715895</x:v>
      </x:c>
      <x:c r="E105" s="141" t="n">
        <x:f>Premissas!$B$64*(1+Premissas!$B$57)^INT((A105-1)/12)</x:f>
        <x:v>1020.0627676997391</x:v>
      </x:c>
      <x:c r="F105" s="141" t="n">
        <x:f>MAX(0,Premissas!$B$6*(1+Premissas!$B$66)^((A105-1)/12))</x:f>
        <x:v>325021.58675692143</x:v>
      </x:c>
      <x:c r="G105" s="141" t="n">
        <x:f>G104*(1+Premissas!$B$41)+C105</x:f>
        <x:v>1408570.903507357</x:v>
      </x:c>
      <x:c r="H105" s="141" t="n">
        <x:f>IF($A105=Premissas!$B$48,Premissas!$B$8,0)</x:f>
        <x:v>0</x:v>
      </x:c>
      <x:c r="I105" s="141" t="n">
        <x:f>IF(AND($A105&gt;=Premissas!$B$48,$A105-Premissas!$B$48+1&lt;=Premissas!$B$13),INDEX(Financiamento!$J$6:$J$485,$A105-Premissas!$B$48+1),0)</x:f>
        <x:v>1687.6814244063169</x:v>
      </x:c>
      <x:c r="J105" s="141" t="n">
        <x:f>IF(AND(TRUE,Premissas!$B$11="Imovel",Premissas!$B$47="Moradia",$A105&lt;MAX(Premissas!$B$48,Premissas!$B$49)),$D105,0)</x:f>
        <x:v>0</x:v>
      </x:c>
      <x:c r="K105" s="141" t="n">
        <x:f>IF(AND(TRUE,Premissas!$B$11="Imovel",Premissas!$B$47="Investimento",$A105&gt;=MAX(Premissas!$B$48,Premissas!$B$49)),$E105,0)</x:f>
        <x:v>1020.0627676997391</x:v>
      </x:c>
      <x:c r="L105" s="141" t="n">
        <x:f>H105+I105+J105</x:f>
        <x:v>1687.6814244063169</x:v>
      </x:c>
      <x:c r="M105" s="141" t="n">
        <x:f>K105</x:f>
        <x:v>1020.0627676997391</x:v>
      </x:c>
      <x:c r="N105" s="141" t="n">
        <x:f>$C105+M105-L105</x:f>
        <x:v>6332.381343293422</x:v>
      </x:c>
      <x:c r="O105" s="141" t="n">
        <x:f>R104*(1+Premissas!$B$41)+N105</x:f>
        <x:v>1116654.751536785</x:v>
      </x:c>
      <x:c r="P105" s="141" t="n">
        <x:f>MAX(0,-O105)</x:f>
        <x:v>0</x:v>
      </x:c>
      <x:c r="Q105" s="141" t="n">
        <x:f>Q104*(1+Premissas!$B$41)+P105</x:f>
        <x:v>0</x:v>
      </x:c>
      <x:c r="R105" s="141" t="n">
        <x:f>MAX(0,O105)</x:f>
        <x:v>1116654.751536785</x:v>
      </x:c>
      <x:c r="S105" s="141" t="n">
        <x:f>IF(AND($A105&gt;=Premissas!$B$48,$A105-Premissas!$B$48+1&lt;=Premissas!$B$13),INDEX(Financiamento!$M$6:$M$485,$A105-Premissas!$B$48+1),0)</x:f>
        <x:v>121523.80952380973</x:v>
      </x:c>
      <x:c r="T105" s="141" t="n">
        <x:f>IF($A105&gt;=Premissas!$B$48,$F105,0)</x:f>
        <x:v>325021.58675692143</x:v>
      </x:c>
      <x:c r="U105" s="141" t="n">
        <x:f>R105+T105-S105</x:f>
        <x:v>1320152.5287698966</x:v>
      </x:c>
      <x:c r="V105" s="141" t="n">
        <x:f>IF(Q105&gt;1,"Inviavel",U105)</x:f>
        <x:v>1320152.5287698966</x:v>
      </x:c>
      <x:c r="W105" s="141" t="str">
        <x:f>IF(Q105&gt;1,"Inviavel","OK")</x:f>
        <x:v>OK</x:v>
      </x:c>
      <x:c r="X105" s="141" t="n">
        <x:f>IF($A105=Premissas!$B$48,Premissas!$B$8,0)</x:f>
        <x:v>0</x:v>
      </x:c>
      <x:c r="Y105" s="141" t="n">
        <x:f>IF(AND($A105&gt;=Premissas!$B$48,$A105-Premissas!$B$48+1&lt;=Premissas!$B$13),INDEX(Amortizacao!$K$6:$K$485,$A105-Premissas!$B$48+1),0)</x:f>
        <x:v>0</x:v>
      </x:c>
      <x:c r="Z105" s="141" t="n">
        <x:f>IF(AND(TRUE,Premissas!$B$11="Imovel",Premissas!$B$47="Moradia",$A105&lt;MAX(Premissas!$B$48,Premissas!$B$49)),$D105,0)</x:f>
        <x:v>0</x:v>
      </x:c>
      <x:c r="AA105" s="141" t="n">
        <x:f>IF(AND(TRUE,Premissas!$B$11="Imovel",Premissas!$B$47="Investimento",$A105&gt;=MAX(Premissas!$B$48,Premissas!$B$49)),$E105,0)</x:f>
        <x:v>1020.0627676997391</x:v>
      </x:c>
      <x:c r="AB105" s="141" t="n">
        <x:f>X105+Y105+Z105</x:f>
        <x:v>0</x:v>
      </x:c>
      <x:c r="AC105" s="141" t="n">
        <x:f>AA105</x:f>
        <x:v>1020.0627676997391</x:v>
      </x:c>
      <x:c r="AD105" s="141" t="n">
        <x:f>$C105+AC105-AB105</x:f>
        <x:v>8020.062767699739</x:v>
      </x:c>
      <x:c r="AE105" s="141" t="n">
        <x:f>AH104*(1+Premissas!$B$41)+AD105</x:f>
        <x:v>1011120.2063868514</x:v>
      </x:c>
      <x:c r="AF105" s="141" t="n">
        <x:f>MAX(0,-AE105)</x:f>
        <x:v>0</x:v>
      </x:c>
      <x:c r="AG105" s="141" t="n">
        <x:f>AG104*(1+Premissas!$B$41)+AF105</x:f>
        <x:v>0</x:v>
      </x:c>
      <x:c r="AH105" s="141" t="n">
        <x:f>MAX(0,AE105)</x:f>
        <x:v>1011120.2063868514</x:v>
      </x:c>
      <x:c r="AI105" s="141" t="n">
        <x:f>IF(AND($A105&gt;=Premissas!$B$48,$A105-Premissas!$B$48+1&lt;=Premissas!$B$13),INDEX(Amortizacao!$L$6:$L$485,$A105-Premissas!$B$48+1),0)</x:f>
        <x:v>0</x:v>
      </x:c>
      <x:c r="AJ105" s="141" t="n">
        <x:f>IF($A105&gt;=Premissas!$B$48,$F105,0)</x:f>
        <x:v>325021.58675692143</x:v>
      </x:c>
      <x:c r="AK105" s="141" t="n">
        <x:f>AH105+AJ105-AI105</x:f>
        <x:v>1336141.7931437728</x:v>
      </x:c>
      <x:c r="AL105" s="141" t="n">
        <x:f>IF(AG105&gt;1,"Inviavel",AK105)</x:f>
        <x:v>1336141.7931437728</x:v>
      </x:c>
      <x:c r="AM105" s="141" t="str">
        <x:f>IF(AG105&gt;1,"Inviavel","OK")</x:f>
        <x:v>OK</x:v>
      </x:c>
      <x:c r="AN105" s="141" t="n">
        <x:f>IF($A105=Premissas!$B$48,Premissas!$B$8,0)</x:f>
        <x:v>0</x:v>
      </x:c>
      <x:c r="AO105" s="141" t="n">
        <x:f>IF($A105&lt;=Premissas!$B$25,INDEX('Consorcio IQ'!$K$6:$K$485,$A105),0)</x:f>
        <x:v>909.2359065920019</x:v>
      </x:c>
      <x:c r="AP105" s="141" t="n">
        <x:f>IF(AND(TRUE,Premissas!$B$11="Imovel",Premissas!$B$47="Moradia",$A105&lt;MAX(Premissas!$B$48,Premissas!$B$49)),$D105,0)</x:f>
        <x:v>0</x:v>
      </x:c>
      <x:c r="AQ105" s="141" t="n">
        <x:f>IF(AND(TRUE,Premissas!$B$11="Imovel",Premissas!$B$47="Investimento",$A105&gt;=MAX(Premissas!$B$48,Premissas!$B$49)),$E105,0)</x:f>
        <x:v>1020.0627676997391</x:v>
      </x:c>
      <x:c r="AR105" s="141" t="n">
        <x:f>AN105+AO105+AP105</x:f>
        <x:v>909.2359065920019</x:v>
      </x:c>
      <x:c r="AS105" s="141" t="n">
        <x:f>AQ105</x:f>
        <x:v>1020.0627676997391</x:v>
      </x:c>
      <x:c r="AT105" s="141" t="n">
        <x:f>$C105+AS105-AR105</x:f>
        <x:v>7110.826861107737</x:v>
      </x:c>
      <x:c r="AU105" s="141" t="n">
        <x:f>AX104*(1+Premissas!$B$41)+AT105</x:f>
        <x:v>1088770.954247283</x:v>
      </x:c>
      <x:c r="AV105" s="141" t="n">
        <x:f>MAX(0,-AU105)</x:f>
        <x:v>0</x:v>
      </x:c>
      <x:c r="AW105" s="141" t="n">
        <x:f>AW104*(1+Premissas!$B$41)+AV105</x:f>
        <x:v>0</x:v>
      </x:c>
      <x:c r="AX105" s="141" t="n">
        <x:f>MAX(0,AU105)</x:f>
        <x:v>1088770.954247283</x:v>
      </x:c>
      <x:c r="AY105" s="141" t="n">
        <x:f>INDEX('Consorcio IQ'!$P$6:$P$485,$A105)</x:f>
        <x:v>92510.93062515398</x:v>
      </x:c>
      <x:c r="AZ105" s="141" t="n">
        <x:f>IF($A105&gt;=Premissas!$B$48,$F105,0)+IF($A105&lt;Premissas!$B$27,INDEX('Consorcio IQ'!$O$6:$O$485,$A105),0)</x:f>
        <x:v>325021.58675692143</x:v>
      </x:c>
      <x:c r="BA105" s="141" t="n">
        <x:f>AX105+AZ105-AY105</x:f>
        <x:v>1321281.6103790505</x:v>
      </x:c>
      <x:c r="BB105" s="141" t="n">
        <x:f>IF(AW105&gt;1,"Inviavel",BA105)</x:f>
        <x:v>1321281.6103790505</x:v>
      </x:c>
      <x:c r="BC105" s="141" t="str">
        <x:f>IF(AW105&gt;1,"Inviavel","OK")</x:f>
        <x:v>OK</x:v>
      </x:c>
      <x:c r="BD105" s="141" t="n">
        <x:f>IF($A105='Consorcio Direto'!$B$29,'Consorcio Direto'!$B$44,0)</x:f>
        <x:v>0</x:v>
      </x:c>
      <x:c r="BE105" s="141" t="n">
        <x:f>IF($A105&lt;='Consorcio Direto'!$B$27,INDEX('Consorcio Direto'!$E$55:$E$534,$A105),0)</x:f>
        <x:v>2354.4670746586016</x:v>
      </x:c>
      <x:c r="BF105" s="141" t="n">
        <x:f>IF(AND(TRUE,Premissas!$B$11="Imovel",Premissas!$B$47="Moradia",$A105&lt;MAX('Consorcio Direto'!$B$29,Premissas!$B$49)),$D105,0)</x:f>
        <x:v>0</x:v>
      </x:c>
      <x:c r="BG105" s="141" t="n">
        <x:f>IF(AND(TRUE,Premissas!$B$11="Imovel",Premissas!$B$47="Investimento",$A105&gt;=MAX('Consorcio Direto'!$B$29,Premissas!$B$49)),$E105,0)</x:f>
        <x:v>1020.0627676997391</x:v>
      </x:c>
      <x:c r="BH105" s="141" t="n">
        <x:f>BD105+BE105+BF105</x:f>
        <x:v>2354.4670746586016</x:v>
      </x:c>
      <x:c r="BI105" s="141" t="n">
        <x:f>BG105</x:f>
        <x:v>1020.0627676997391</x:v>
      </x:c>
      <x:c r="BJ105" s="141" t="n">
        <x:f>$C105+BI105-BH105</x:f>
        <x:v>5665.595693041138</x:v>
      </x:c>
      <x:c r="BK105" s="141" t="n">
        <x:f>BN104*(1+Premissas!$B$41)+BJ105</x:f>
        <x:v>1155506.9353759782</x:v>
      </x:c>
      <x:c r="BL105" s="141" t="n">
        <x:f>MAX(0,-BK105)</x:f>
        <x:v>0</x:v>
      </x:c>
      <x:c r="BM105" s="141" t="n">
        <x:f>BM104*(1+Premissas!$B$41)+BL105</x:f>
        <x:v>0</x:v>
      </x:c>
      <x:c r="BN105" s="141" t="n">
        <x:f>MAX(0,BK105)</x:f>
        <x:v>1155506.9353759782</x:v>
      </x:c>
      <x:c r="BO105" s="141" t="n">
        <x:f>INDEX('Consorcio Direto'!$K$55:$K$534,$A105)</x:f>
        <x:v>239557.12552022006</x:v>
      </x:c>
      <x:c r="BP105" s="141" t="n">
        <x:f>IF($A105&lt;'Consorcio Direto'!$B$29,INDEX('Consorcio Direto'!$L$55:$L$534,$A105),$F105)</x:f>
        <x:v>325021.58675692143</x:v>
      </x:c>
      <x:c r="BQ105" s="141" t="n">
        <x:f>BN105+BP105-BO105</x:f>
        <x:v>1240971.3966126796</x:v>
      </x:c>
      <x:c r="BR105" s="141" t="n">
        <x:f>IF(BM105&gt;1,"Inviavel",BQ105)</x:f>
        <x:v>1240971.3966126796</x:v>
      </x:c>
      <x:c r="BS105" s="141" t="str">
        <x:f>IF(BM105&gt;1,"Inviavel","OK")</x:f>
        <x:v>OK</x:v>
      </x:c>
      <x:c r="BT105" s="141" t="n">
        <x:f>IF(AND('Carta Contemplada'!$B$22="Sim",$A105='Carta Contemplada'!$B$23),'Carta Contemplada'!$B$37,0)</x:f>
        <x:v>0</x:v>
      </x:c>
      <x:c r="BU105" s="141" t="n">
        <x:f>IF('Carta Contemplada'!$B$22="Sim",INDEX('Carta Contemplada'!$C$55:$C$1013,$A105),0)</x:f>
        <x:v>1912.6176894370108</x:v>
      </x:c>
      <x:c r="BV105" s="141" t="n">
        <x:f>IF(AND('Carta Contemplada'!$B$22="Sim",Premissas!$B$11="Imovel",Premissas!$B$47="Moradia",$A105&lt;MAX('Carta Contemplada'!$B$44,Premissas!$B$49)),$D105,0)</x:f>
        <x:v>0</x:v>
      </x:c>
      <x:c r="BW105" s="141" t="n">
        <x:f>IF(AND('Carta Contemplada'!$B$22="Sim",Premissas!$B$11="Imovel",Premissas!$B$47="Investimento",$A105&gt;=MAX('Carta Contemplada'!$B$44,Premissas!$B$49)),$E105,0)</x:f>
        <x:v>1020.0627676997391</x:v>
      </x:c>
      <x:c r="BX105" s="141" t="n">
        <x:f>BT105+BU105+BV105</x:f>
        <x:v>1912.6176894370108</x:v>
      </x:c>
      <x:c r="BY105" s="141" t="n">
        <x:f>BW105</x:f>
        <x:v>1020.0627676997391</x:v>
      </x:c>
      <x:c r="BZ105" s="141" t="n">
        <x:f>$C105+BY105-BX105</x:f>
        <x:v>6107.445078262728</x:v>
      </x:c>
      <x:c r="CA105" s="141" t="n">
        <x:f>CD104*(1+Premissas!$B$41)+BZ105</x:f>
        <x:v>1174018.2000163216</x:v>
      </x:c>
      <x:c r="CB105" s="141" t="n">
        <x:f>MAX(0,-CA105)</x:f>
        <x:v>0</x:v>
      </x:c>
      <x:c r="CC105" s="141" t="n">
        <x:f>CC104*(1+Premissas!$B$41)+CB105</x:f>
        <x:v>0</x:v>
      </x:c>
      <x:c r="CD105" s="141" t="n">
        <x:f>MAX(0,CA105)</x:f>
        <x:v>1174018.2000163216</x:v>
      </x:c>
      <x:c r="CE105" s="141" t="n">
        <x:f>IF(AND('Carta Contemplada'!$B$22="Sim",$A105&gt;='Carta Contemplada'!$B$23),INDEX('Carta Contemplada'!$I$55:$I$1013,$A105),0)</x:f>
        <x:v>125423.40542058209</x:v>
      </x:c>
      <x:c r="CF105" s="141" t="n">
        <x:f>IF(AND('Carta Contemplada'!$B$22="Sim",$A105&gt;='Carta Contemplada'!$B$44),$F105,0)</x:f>
        <x:v>325021.58675692143</x:v>
      </x:c>
      <x:c r="CG105" s="141" t="n">
        <x:f>CD105+CF105-CE105</x:f>
        <x:v>1373616.381352661</x:v>
      </x:c>
      <x:c r="CH105" s="141" t="n">
        <x:f>IF(CC105&gt;1,"Inviavel",CG105)</x:f>
        <x:v>1373616.381352661</x:v>
      </x:c>
      <x:c r="CI105" s="145" t="str">
        <x:f>IF(CC105&gt;1,"Inviavel","OK")</x:f>
        <x:v>OK</x:v>
      </x:c>
    </x:row>
    <x:row r="106">
      <x:c r="A106" s="142" t="n">
        <x:v>102</x:v>
      </x:c>
      <x:c r="B106" s="179" t="n">
        <x:f>EDATE(Premissas!$B$4,A106-1)</x:f>
        <x:v>49614</x:v>
      </x:c>
      <x:c r="C106" s="141" t="n">
        <x:f>IF(A106&lt;=Premissas!$B$39,Premissas!$B$42,0)</x:f>
        <x:v>7000</x:v>
      </x:c>
      <x:c r="D106" s="141" t="n">
        <x:f>Premissas!$B$54*(1+Premissas!$B$57)^INT((A106-1)/12)</x:f>
        <x:v>1115.6936521715895</x:v>
      </x:c>
      <x:c r="E106" s="141" t="n">
        <x:f>Premissas!$B$64*(1+Premissas!$B$57)^INT((A106-1)/12)</x:f>
        <x:v>1020.0627676997391</x:v>
      </x:c>
      <x:c r="F106" s="141" t="n">
        <x:f>MAX(0,Premissas!$B$6*(1+Premissas!$B$66)^((A106-1)/12))</x:f>
        <x:v>326603.6457652888</x:v>
      </x:c>
      <x:c r="G106" s="141" t="n">
        <x:f>G105*(1+Premissas!$B$41)+C106</x:f>
        <x:v>1428936.541144417</x:v>
      </x:c>
      <x:c r="H106" s="141" t="n">
        <x:f>IF($A106=Premissas!$B$48,Premissas!$B$8,0)</x:f>
        <x:v>0</x:v>
      </x:c>
      <x:c r="I106" s="141" t="n">
        <x:f>IF(AND($A106&gt;=Premissas!$B$48,$A106-Premissas!$B$48+1&lt;=Premissas!$B$13),INDEX(Financiamento!$J$6:$J$485,$A106-Premissas!$B$48+1),0)</x:f>
        <x:v>1684.0666461455232</x:v>
      </x:c>
      <x:c r="J106" s="141" t="n">
        <x:f>IF(AND(TRUE,Premissas!$B$11="Imovel",Premissas!$B$47="Moradia",$A106&lt;MAX(Premissas!$B$48,Premissas!$B$49)),$D106,0)</x:f>
        <x:v>0</x:v>
      </x:c>
      <x:c r="K106" s="141" t="n">
        <x:f>IF(AND(TRUE,Premissas!$B$11="Imovel",Premissas!$B$47="Investimento",$A106&gt;=MAX(Premissas!$B$48,Premissas!$B$49)),$E106,0)</x:f>
        <x:v>1020.0627676997391</x:v>
      </x:c>
      <x:c r="L106" s="141" t="n">
        <x:f>H106+I106+J106</x:f>
        <x:v>1684.0666461455232</x:v>
      </x:c>
      <x:c r="M106" s="141" t="n">
        <x:f>K106</x:f>
        <x:v>1020.0627676997391</x:v>
      </x:c>
      <x:c r="N106" s="141" t="n">
        <x:f>$C106+M106-L106</x:f>
        <x:v>6335.996121554216</x:v>
      </x:c>
      <x:c r="O106" s="141" t="n">
        <x:f>R105*(1+Premissas!$B$41)+N106</x:f>
        <x:v>1133586.45337509</x:v>
      </x:c>
      <x:c r="P106" s="141" t="n">
        <x:f>MAX(0,-O106)</x:f>
        <x:v>0</x:v>
      </x:c>
      <x:c r="Q106" s="141" t="n">
        <x:f>Q105*(1+Premissas!$B$41)+P106</x:f>
        <x:v>0</x:v>
      </x:c>
      <x:c r="R106" s="141" t="n">
        <x:f>MAX(0,O106)</x:f>
        <x:v>1133586.45337509</x:v>
      </x:c>
      <x:c r="S106" s="141" t="n">
        <x:f>IF(AND($A106&gt;=Premissas!$B$48,$A106-Premissas!$B$48+1&lt;=Premissas!$B$13),INDEX(Financiamento!$M$6:$M$485,$A106-Premissas!$B$48+1),0)</x:f>
        <x:v>121142.85714285735</x:v>
      </x:c>
      <x:c r="T106" s="141" t="n">
        <x:f>IF($A106&gt;=Premissas!$B$48,$F106,0)</x:f>
        <x:v>326603.6457652888</x:v>
      </x:c>
      <x:c r="U106" s="141" t="n">
        <x:f>R106+T106-S106</x:f>
        <x:v>1339047.2419975214</x:v>
      </x:c>
      <x:c r="V106" s="141" t="n">
        <x:f>IF(Q106&gt;1,"Inviavel",U106)</x:f>
        <x:v>1339047.2419975214</x:v>
      </x:c>
      <x:c r="W106" s="141" t="str">
        <x:f>IF(Q106&gt;1,"Inviavel","OK")</x:f>
        <x:v>OK</x:v>
      </x:c>
      <x:c r="X106" s="141" t="n">
        <x:f>IF($A106=Premissas!$B$48,Premissas!$B$8,0)</x:f>
        <x:v>0</x:v>
      </x:c>
      <x:c r="Y106" s="141" t="n">
        <x:f>IF(AND($A106&gt;=Premissas!$B$48,$A106-Premissas!$B$48+1&lt;=Premissas!$B$13),INDEX(Amortizacao!$K$6:$K$485,$A106-Premissas!$B$48+1),0)</x:f>
        <x:v>0</x:v>
      </x:c>
      <x:c r="Z106" s="141" t="n">
        <x:f>IF(AND(TRUE,Premissas!$B$11="Imovel",Premissas!$B$47="Moradia",$A106&lt;MAX(Premissas!$B$48,Premissas!$B$49)),$D106,0)</x:f>
        <x:v>0</x:v>
      </x:c>
      <x:c r="AA106" s="141" t="n">
        <x:f>IF(AND(TRUE,Premissas!$B$11="Imovel",Premissas!$B$47="Investimento",$A106&gt;=MAX(Premissas!$B$48,Premissas!$B$49)),$E106,0)</x:f>
        <x:v>1020.0627676997391</x:v>
      </x:c>
      <x:c r="AB106" s="141" t="n">
        <x:f>X106+Y106+Z106</x:f>
        <x:v>0</x:v>
      </x:c>
      <x:c r="AC106" s="141" t="n">
        <x:f>AA106</x:f>
        <x:v>1020.0627676997391</x:v>
      </x:c>
      <x:c r="AD106" s="141" t="n">
        <x:f>$C106+AC106-AB106</x:f>
        <x:v>8020.062767699739</x:v>
      </x:c>
      <x:c r="AE106" s="141" t="n">
        <x:f>AH105*(1+Premissas!$B$41)+AD106</x:f>
        <x:v>1028734.5794249288</x:v>
      </x:c>
      <x:c r="AF106" s="141" t="n">
        <x:f>MAX(0,-AE106)</x:f>
        <x:v>0</x:v>
      </x:c>
      <x:c r="AG106" s="141" t="n">
        <x:f>AG105*(1+Premissas!$B$41)+AF106</x:f>
        <x:v>0</x:v>
      </x:c>
      <x:c r="AH106" s="141" t="n">
        <x:f>MAX(0,AE106)</x:f>
        <x:v>1028734.5794249288</x:v>
      </x:c>
      <x:c r="AI106" s="141" t="n">
        <x:f>IF(AND($A106&gt;=Premissas!$B$48,$A106-Premissas!$B$48+1&lt;=Premissas!$B$13),INDEX(Amortizacao!$L$6:$L$485,$A106-Premissas!$B$48+1),0)</x:f>
        <x:v>0</x:v>
      </x:c>
      <x:c r="AJ106" s="141" t="n">
        <x:f>IF($A106&gt;=Premissas!$B$48,$F106,0)</x:f>
        <x:v>326603.6457652888</x:v>
      </x:c>
      <x:c r="AK106" s="141" t="n">
        <x:f>AH106+AJ106-AI106</x:f>
        <x:v>1355338.2251902176</x:v>
      </x:c>
      <x:c r="AL106" s="141" t="n">
        <x:f>IF(AG106&gt;1,"Inviavel",AK106)</x:f>
        <x:v>1355338.2251902176</x:v>
      </x:c>
      <x:c r="AM106" s="141" t="str">
        <x:f>IF(AG106&gt;1,"Inviavel","OK")</x:f>
        <x:v>OK</x:v>
      </x:c>
      <x:c r="AN106" s="141" t="n">
        <x:f>IF($A106=Premissas!$B$48,Premissas!$B$8,0)</x:f>
        <x:v>0</x:v>
      </x:c>
      <x:c r="AO106" s="141" t="n">
        <x:f>IF($A106&lt;=Premissas!$B$25,INDEX('Consorcio IQ'!$K$6:$K$485,$A106),0)</x:f>
        <x:v>909.2359065920019</x:v>
      </x:c>
      <x:c r="AP106" s="141" t="n">
        <x:f>IF(AND(TRUE,Premissas!$B$11="Imovel",Premissas!$B$47="Moradia",$A106&lt;MAX(Premissas!$B$48,Premissas!$B$49)),$D106,0)</x:f>
        <x:v>0</x:v>
      </x:c>
      <x:c r="AQ106" s="141" t="n">
        <x:f>IF(AND(TRUE,Premissas!$B$11="Imovel",Premissas!$B$47="Investimento",$A106&gt;=MAX(Premissas!$B$48,Premissas!$B$49)),$E106,0)</x:f>
        <x:v>1020.0627676997391</x:v>
      </x:c>
      <x:c r="AR106" s="141" t="n">
        <x:f>AN106+AO106+AP106</x:f>
        <x:v>909.2359065920019</x:v>
      </x:c>
      <x:c r="AS106" s="141" t="n">
        <x:f>AQ106</x:f>
        <x:v>1020.0627676997391</x:v>
      </x:c>
      <x:c r="AT106" s="141" t="n">
        <x:f>$C106+AS106-AR106</x:f>
        <x:v>7110.826861107737</x:v>
      </x:c>
      <x:c r="AU106" s="141" t="n">
        <x:f>AX105*(1+Premissas!$B$41)+AT106</x:f>
        <x:v>1106212.9032464316</x:v>
      </x:c>
      <x:c r="AV106" s="141" t="n">
        <x:f>MAX(0,-AU106)</x:f>
        <x:v>0</x:v>
      </x:c>
      <x:c r="AW106" s="141" t="n">
        <x:f>AW105*(1+Premissas!$B$41)+AV106</x:f>
        <x:v>0</x:v>
      </x:c>
      <x:c r="AX106" s="141" t="n">
        <x:f>MAX(0,AU106)</x:f>
        <x:v>1106212.9032464316</x:v>
      </x:c>
      <x:c r="AY106" s="141" t="n">
        <x:f>INDEX('Consorcio IQ'!$P$6:$P$485,$A106)</x:f>
        <x:v>92479.51178344965</x:v>
      </x:c>
      <x:c r="AZ106" s="141" t="n">
        <x:f>IF($A106&gt;=Premissas!$B$48,$F106,0)+IF($A106&lt;Premissas!$B$27,INDEX('Consorcio IQ'!$O$6:$O$485,$A106),0)</x:f>
        <x:v>326603.6457652888</x:v>
      </x:c>
      <x:c r="BA106" s="141" t="n">
        <x:f>AX106+AZ106-AY106</x:f>
        <x:v>1340337.0372282707</x:v>
      </x:c>
      <x:c r="BB106" s="141" t="n">
        <x:f>IF(AW106&gt;1,"Inviavel",BA106)</x:f>
        <x:v>1340337.0372282707</x:v>
      </x:c>
      <x:c r="BC106" s="141" t="str">
        <x:f>IF(AW106&gt;1,"Inviavel","OK")</x:f>
        <x:v>OK</x:v>
      </x:c>
      <x:c r="BD106" s="141" t="n">
        <x:f>IF($A106='Consorcio Direto'!$B$29,'Consorcio Direto'!$B$44,0)</x:f>
        <x:v>0</x:v>
      </x:c>
      <x:c r="BE106" s="141" t="n">
        <x:f>IF($A106&lt;='Consorcio Direto'!$B$27,INDEX('Consorcio Direto'!$E$55:$E$534,$A106),0)</x:f>
        <x:v>2354.4670746586016</x:v>
      </x:c>
      <x:c r="BF106" s="141" t="n">
        <x:f>IF(AND(TRUE,Premissas!$B$11="Imovel",Premissas!$B$47="Moradia",$A106&lt;MAX('Consorcio Direto'!$B$29,Premissas!$B$49)),$D106,0)</x:f>
        <x:v>0</x:v>
      </x:c>
      <x:c r="BG106" s="141" t="n">
        <x:f>IF(AND(TRUE,Premissas!$B$11="Imovel",Premissas!$B$47="Investimento",$A106&gt;=MAX('Consorcio Direto'!$B$29,Premissas!$B$49)),$E106,0)</x:f>
        <x:v>1020.0627676997391</x:v>
      </x:c>
      <x:c r="BH106" s="141" t="n">
        <x:f>BD106+BE106+BF106</x:f>
        <x:v>2354.4670746586016</x:v>
      </x:c>
      <x:c r="BI106" s="141" t="n">
        <x:f>BG106</x:f>
        <x:v>1020.0627676997391</x:v>
      </x:c>
      <x:c r="BJ106" s="141" t="n">
        <x:f>$C106+BI106-BH106</x:f>
        <x:v>5665.595693041138</x:v>
      </x:c>
      <x:c r="BK106" s="141" t="n">
        <x:f>BN105*(1+Premissas!$B$41)+BJ106</x:f>
        <x:v>1172136.8971132766</x:v>
      </x:c>
      <x:c r="BL106" s="141" t="n">
        <x:f>MAX(0,-BK106)</x:f>
        <x:v>0</x:v>
      </x:c>
      <x:c r="BM106" s="141" t="n">
        <x:f>BM105*(1+Premissas!$B$41)+BL106</x:f>
        <x:v>0</x:v>
      </x:c>
      <x:c r="BN106" s="141" t="n">
        <x:f>MAX(0,BK106)</x:f>
        <x:v>1172136.8971132766</x:v>
      </x:c>
      <x:c r="BO106" s="141" t="n">
        <x:f>INDEX('Consorcio Direto'!$K$55:$K$534,$A106)</x:f>
        <x:v>239475.76640562672</x:v>
      </x:c>
      <x:c r="BP106" s="141" t="n">
        <x:f>IF($A106&lt;'Consorcio Direto'!$B$29,INDEX('Consorcio Direto'!$L$55:$L$534,$A106),$F106)</x:f>
        <x:v>326603.6457652888</x:v>
      </x:c>
      <x:c r="BQ106" s="141" t="n">
        <x:f>BN106+BP106-BO106</x:f>
        <x:v>1259264.7764729387</x:v>
      </x:c>
      <x:c r="BR106" s="141" t="n">
        <x:f>IF(BM106&gt;1,"Inviavel",BQ106)</x:f>
        <x:v>1259264.7764729387</x:v>
      </x:c>
      <x:c r="BS106" s="141" t="str">
        <x:f>IF(BM106&gt;1,"Inviavel","OK")</x:f>
        <x:v>OK</x:v>
      </x:c>
      <x:c r="BT106" s="141" t="n">
        <x:f>IF(AND('Carta Contemplada'!$B$22="Sim",$A106='Carta Contemplada'!$B$23),'Carta Contemplada'!$B$37,0)</x:f>
        <x:v>0</x:v>
      </x:c>
      <x:c r="BU106" s="141" t="n">
        <x:f>IF('Carta Contemplada'!$B$22="Sim",INDEX('Carta Contemplada'!$C$55:$C$1013,$A106),0)</x:f>
        <x:v>1912.6176894370108</x:v>
      </x:c>
      <x:c r="BV106" s="141" t="n">
        <x:f>IF(AND('Carta Contemplada'!$B$22="Sim",Premissas!$B$11="Imovel",Premissas!$B$47="Moradia",$A106&lt;MAX('Carta Contemplada'!$B$44,Premissas!$B$49)),$D106,0)</x:f>
        <x:v>0</x:v>
      </x:c>
      <x:c r="BW106" s="141" t="n">
        <x:f>IF(AND('Carta Contemplada'!$B$22="Sim",Premissas!$B$11="Imovel",Premissas!$B$47="Investimento",$A106&gt;=MAX('Carta Contemplada'!$B$44,Premissas!$B$49)),$E106,0)</x:f>
        <x:v>1020.0627676997391</x:v>
      </x:c>
      <x:c r="BX106" s="141" t="n">
        <x:f>BT106+BU106+BV106</x:f>
        <x:v>1912.6176894370108</x:v>
      </x:c>
      <x:c r="BY106" s="141" t="n">
        <x:f>BW106</x:f>
        <x:v>1020.0627676997391</x:v>
      </x:c>
      <x:c r="BZ106" s="141" t="n">
        <x:f>$C106+BY106-BX106</x:f>
        <x:v>6107.445078262728</x:v>
      </x:c>
      <x:c r="CA106" s="141" t="n">
        <x:f>CD105*(1+Premissas!$B$41)+BZ106</x:f>
        <x:v>1191265.6606959712</x:v>
      </x:c>
      <x:c r="CB106" s="141" t="n">
        <x:f>MAX(0,-CA106)</x:f>
        <x:v>0</x:v>
      </x:c>
      <x:c r="CC106" s="141" t="n">
        <x:f>CC105*(1+Premissas!$B$41)+CB106</x:f>
        <x:v>0</x:v>
      </x:c>
      <x:c r="CD106" s="141" t="n">
        <x:f>MAX(0,CA106)</x:f>
        <x:v>1191265.6606959712</x:v>
      </x:c>
      <x:c r="CE106" s="141" t="n">
        <x:f>IF(AND('Carta Contemplada'!$B$22="Sim",$A106&gt;='Carta Contemplada'!$B$23),INDEX('Carta Contemplada'!$I$55:$I$1013,$A106),0)</x:f>
        <x:v>124700.90445433123</x:v>
      </x:c>
      <x:c r="CF106" s="141" t="n">
        <x:f>IF(AND('Carta Contemplada'!$B$22="Sim",$A106&gt;='Carta Contemplada'!$B$44),$F106,0)</x:f>
        <x:v>326603.6457652888</x:v>
      </x:c>
      <x:c r="CG106" s="141" t="n">
        <x:f>CD106+CF106-CE106</x:f>
        <x:v>1393168.4020069288</x:v>
      </x:c>
      <x:c r="CH106" s="141" t="n">
        <x:f>IF(CC106&gt;1,"Inviavel",CG106)</x:f>
        <x:v>1393168.4020069288</x:v>
      </x:c>
      <x:c r="CI106" s="145" t="str">
        <x:f>IF(CC106&gt;1,"Inviavel","OK")</x:f>
        <x:v>OK</x:v>
      </x:c>
    </x:row>
    <x:row r="107">
      <x:c r="A107" s="142" t="n">
        <x:v>103</x:v>
      </x:c>
      <x:c r="B107" s="179" t="n">
        <x:f>EDATE(Premissas!$B$4,A107-1)</x:f>
        <x:v>49644</x:v>
      </x:c>
      <x:c r="C107" s="141" t="n">
        <x:f>IF(A107&lt;=Premissas!$B$39,Premissas!$B$42,0)</x:f>
        <x:v>7000</x:v>
      </x:c>
      <x:c r="D107" s="141" t="n">
        <x:f>Premissas!$B$54*(1+Premissas!$B$57)^INT((A107-1)/12)</x:f>
        <x:v>1115.6936521715895</x:v>
      </x:c>
      <x:c r="E107" s="141" t="n">
        <x:f>Premissas!$B$64*(1+Premissas!$B$57)^INT((A107-1)/12)</x:f>
        <x:v>1020.0627676997391</x:v>
      </x:c>
      <x:c r="F107" s="141" t="n">
        <x:f>MAX(0,Premissas!$B$6*(1+Premissas!$B$66)^((A107-1)/12))</x:f>
        <x:v>328193.4055258767</x:v>
      </x:c>
      <x:c r="G107" s="141" t="n">
        <x:f>G106*(1+Premissas!$B$41)+C107</x:f>
        <x:v>1449495.4240999955</x:v>
      </x:c>
      <x:c r="H107" s="141" t="n">
        <x:f>IF($A107=Premissas!$B$48,Premissas!$B$8,0)</x:f>
        <x:v>0</x:v>
      </x:c>
      <x:c r="I107" s="141" t="n">
        <x:f>IF(AND($A107&gt;=Premissas!$B$48,$A107-Premissas!$B$48+1&lt;=Premissas!$B$13),INDEX(Financiamento!$J$6:$J$485,$A107-Premissas!$B$48+1),0)</x:f>
        <x:v>1680.4518678847296</x:v>
      </x:c>
      <x:c r="J107" s="141" t="n">
        <x:f>IF(AND(TRUE,Premissas!$B$11="Imovel",Premissas!$B$47="Moradia",$A107&lt;MAX(Premissas!$B$48,Premissas!$B$49)),$D107,0)</x:f>
        <x:v>0</x:v>
      </x:c>
      <x:c r="K107" s="141" t="n">
        <x:f>IF(AND(TRUE,Premissas!$B$11="Imovel",Premissas!$B$47="Investimento",$A107&gt;=MAX(Premissas!$B$48,Premissas!$B$49)),$E107,0)</x:f>
        <x:v>1020.0627676997391</x:v>
      </x:c>
      <x:c r="L107" s="141" t="n">
        <x:f>H107+I107+J107</x:f>
        <x:v>1680.4518678847296</x:v>
      </x:c>
      <x:c r="M107" s="141" t="n">
        <x:f>K107</x:f>
        <x:v>1020.0627676997391</x:v>
      </x:c>
      <x:c r="N107" s="141" t="n">
        <x:f>$C107+M107-L107</x:f>
        <x:v>6339.610899815009</x:v>
      </x:c>
      <x:c r="O107" s="141" t="n">
        <x:f>R106*(1+Premissas!$B$41)+N107</x:f>
        <x:v>1150682.4314044297</x:v>
      </x:c>
      <x:c r="P107" s="141" t="n">
        <x:f>MAX(0,-O107)</x:f>
        <x:v>0</x:v>
      </x:c>
      <x:c r="Q107" s="141" t="n">
        <x:f>Q106*(1+Premissas!$B$41)+P107</x:f>
        <x:v>0</x:v>
      </x:c>
      <x:c r="R107" s="141" t="n">
        <x:f>MAX(0,O107)</x:f>
        <x:v>1150682.4314044297</x:v>
      </x:c>
      <x:c r="S107" s="141" t="n">
        <x:f>IF(AND($A107&gt;=Premissas!$B$48,$A107-Premissas!$B$48+1&lt;=Premissas!$B$13),INDEX(Financiamento!$M$6:$M$485,$A107-Premissas!$B$48+1),0)</x:f>
        <x:v>120761.90476190497</x:v>
      </x:c>
      <x:c r="T107" s="141" t="n">
        <x:f>IF($A107&gt;=Premissas!$B$48,$F107,0)</x:f>
        <x:v>328193.4055258767</x:v>
      </x:c>
      <x:c r="U107" s="141" t="n">
        <x:f>R107+T107-S107</x:f>
        <x:v>1358113.9321684013</x:v>
      </x:c>
      <x:c r="V107" s="141" t="n">
        <x:f>IF(Q107&gt;1,"Inviavel",U107)</x:f>
        <x:v>1358113.9321684013</x:v>
      </x:c>
      <x:c r="W107" s="141" t="str">
        <x:f>IF(Q107&gt;1,"Inviavel","OK")</x:f>
        <x:v>OK</x:v>
      </x:c>
      <x:c r="X107" s="141" t="n">
        <x:f>IF($A107=Premissas!$B$48,Premissas!$B$8,0)</x:f>
        <x:v>0</x:v>
      </x:c>
      <x:c r="Y107" s="141" t="n">
        <x:f>IF(AND($A107&gt;=Premissas!$B$48,$A107-Premissas!$B$48+1&lt;=Premissas!$B$13),INDEX(Amortizacao!$K$6:$K$485,$A107-Premissas!$B$48+1),0)</x:f>
        <x:v>0</x:v>
      </x:c>
      <x:c r="Z107" s="141" t="n">
        <x:f>IF(AND(TRUE,Premissas!$B$11="Imovel",Premissas!$B$47="Moradia",$A107&lt;MAX(Premissas!$B$48,Premissas!$B$49)),$D107,0)</x:f>
        <x:v>0</x:v>
      </x:c>
      <x:c r="AA107" s="141" t="n">
        <x:f>IF(AND(TRUE,Premissas!$B$11="Imovel",Premissas!$B$47="Investimento",$A107&gt;=MAX(Premissas!$B$48,Premissas!$B$49)),$E107,0)</x:f>
        <x:v>1020.0627676997391</x:v>
      </x:c>
      <x:c r="AB107" s="141" t="n">
        <x:f>X107+Y107+Z107</x:f>
        <x:v>0</x:v>
      </x:c>
      <x:c r="AC107" s="141" t="n">
        <x:f>AA107</x:f>
        <x:v>1020.0627676997391</x:v>
      </x:c>
      <x:c r="AD107" s="141" t="n">
        <x:f>$C107+AC107-AB107</x:f>
        <x:v>8020.062767699739</x:v>
      </x:c>
      <x:c r="AE107" s="141" t="n">
        <x:f>AH106*(1+Premissas!$B$41)+AD107</x:f>
        <x:v>1046516.091601437</x:v>
      </x:c>
      <x:c r="AF107" s="141" t="n">
        <x:f>MAX(0,-AE107)</x:f>
        <x:v>0</x:v>
      </x:c>
      <x:c r="AG107" s="141" t="n">
        <x:f>AG106*(1+Premissas!$B$41)+AF107</x:f>
        <x:v>0</x:v>
      </x:c>
      <x:c r="AH107" s="141" t="n">
        <x:f>MAX(0,AE107)</x:f>
        <x:v>1046516.091601437</x:v>
      </x:c>
      <x:c r="AI107" s="141" t="n">
        <x:f>IF(AND($A107&gt;=Premissas!$B$48,$A107-Premissas!$B$48+1&lt;=Premissas!$B$13),INDEX(Amortizacao!$L$6:$L$485,$A107-Premissas!$B$48+1),0)</x:f>
        <x:v>0</x:v>
      </x:c>
      <x:c r="AJ107" s="141" t="n">
        <x:f>IF($A107&gt;=Premissas!$B$48,$F107,0)</x:f>
        <x:v>328193.4055258767</x:v>
      </x:c>
      <x:c r="AK107" s="141" t="n">
        <x:f>AH107+AJ107-AI107</x:f>
        <x:v>1374709.4971273136</x:v>
      </x:c>
      <x:c r="AL107" s="141" t="n">
        <x:f>IF(AG107&gt;1,"Inviavel",AK107)</x:f>
        <x:v>1374709.4971273136</x:v>
      </x:c>
      <x:c r="AM107" s="141" t="str">
        <x:f>IF(AG107&gt;1,"Inviavel","OK")</x:f>
        <x:v>OK</x:v>
      </x:c>
      <x:c r="AN107" s="141" t="n">
        <x:f>IF($A107=Premissas!$B$48,Premissas!$B$8,0)</x:f>
        <x:v>0</x:v>
      </x:c>
      <x:c r="AO107" s="141" t="n">
        <x:f>IF($A107&lt;=Premissas!$B$25,INDEX('Consorcio IQ'!$K$6:$K$485,$A107),0)</x:f>
        <x:v>909.2359065920019</x:v>
      </x:c>
      <x:c r="AP107" s="141" t="n">
        <x:f>IF(AND(TRUE,Premissas!$B$11="Imovel",Premissas!$B$47="Moradia",$A107&lt;MAX(Premissas!$B$48,Premissas!$B$49)),$D107,0)</x:f>
        <x:v>0</x:v>
      </x:c>
      <x:c r="AQ107" s="141" t="n">
        <x:f>IF(AND(TRUE,Premissas!$B$11="Imovel",Premissas!$B$47="Investimento",$A107&gt;=MAX(Premissas!$B$48,Premissas!$B$49)),$E107,0)</x:f>
        <x:v>1020.0627676997391</x:v>
      </x:c>
      <x:c r="AR107" s="141" t="n">
        <x:f>AN107+AO107+AP107</x:f>
        <x:v>909.2359065920019</x:v>
      </x:c>
      <x:c r="AS107" s="141" t="n">
        <x:f>AQ107</x:f>
        <x:v>1020.0627676997391</x:v>
      </x:c>
      <x:c r="AT107" s="141" t="n">
        <x:f>$C107+AS107-AR107</x:f>
        <x:v>7110.826861107737</x:v>
      </x:c>
      <x:c r="AU107" s="141" t="n">
        <x:f>AX106*(1+Premissas!$B$41)+AT107</x:f>
        <x:v>1123820.3552880087</x:v>
      </x:c>
      <x:c r="AV107" s="141" t="n">
        <x:f>MAX(0,-AU107)</x:f>
        <x:v>0</x:v>
      </x:c>
      <x:c r="AW107" s="141" t="n">
        <x:f>AW106*(1+Premissas!$B$41)+AV107</x:f>
        <x:v>0</x:v>
      </x:c>
      <x:c r="AX107" s="141" t="n">
        <x:f>MAX(0,AU107)</x:f>
        <x:v>1123820.3552880087</x:v>
      </x:c>
      <x:c r="AY107" s="141" t="n">
        <x:f>INDEX('Consorcio IQ'!$P$6:$P$485,$A107)</x:f>
        <x:v>92447.79481486214</x:v>
      </x:c>
      <x:c r="AZ107" s="141" t="n">
        <x:f>IF($A107&gt;=Premissas!$B$48,$F107,0)+IF($A107&lt;Premissas!$B$27,INDEX('Consorcio IQ'!$O$6:$O$485,$A107),0)</x:f>
        <x:v>328193.4055258767</x:v>
      </x:c>
      <x:c r="BA107" s="141" t="n">
        <x:f>AX107+AZ107-AY107</x:f>
        <x:v>1359565.9659990233</x:v>
      </x:c>
      <x:c r="BB107" s="141" t="n">
        <x:f>IF(AW107&gt;1,"Inviavel",BA107)</x:f>
        <x:v>1359565.9659990233</x:v>
      </x:c>
      <x:c r="BC107" s="141" t="str">
        <x:f>IF(AW107&gt;1,"Inviavel","OK")</x:f>
        <x:v>OK</x:v>
      </x:c>
      <x:c r="BD107" s="141" t="n">
        <x:f>IF($A107='Consorcio Direto'!$B$29,'Consorcio Direto'!$B$44,0)</x:f>
        <x:v>0</x:v>
      </x:c>
      <x:c r="BE107" s="141" t="n">
        <x:f>IF($A107&lt;='Consorcio Direto'!$B$27,INDEX('Consorcio Direto'!$E$55:$E$534,$A107),0)</x:f>
        <x:v>2354.4670746586016</x:v>
      </x:c>
      <x:c r="BF107" s="141" t="n">
        <x:f>IF(AND(TRUE,Premissas!$B$11="Imovel",Premissas!$B$47="Moradia",$A107&lt;MAX('Consorcio Direto'!$B$29,Premissas!$B$49)),$D107,0)</x:f>
        <x:v>0</x:v>
      </x:c>
      <x:c r="BG107" s="141" t="n">
        <x:f>IF(AND(TRUE,Premissas!$B$11="Imovel",Premissas!$B$47="Investimento",$A107&gt;=MAX('Consorcio Direto'!$B$29,Premissas!$B$49)),$E107,0)</x:f>
        <x:v>1020.0627676997391</x:v>
      </x:c>
      <x:c r="BH107" s="141" t="n">
        <x:f>BD107+BE107+BF107</x:f>
        <x:v>2354.4670746586016</x:v>
      </x:c>
      <x:c r="BI107" s="141" t="n">
        <x:f>BG107</x:f>
        <x:v>1020.0627676997391</x:v>
      </x:c>
      <x:c r="BJ107" s="141" t="n">
        <x:f>$C107+BI107-BH107</x:f>
        <x:v>5665.595693041138</x:v>
      </x:c>
      <x:c r="BK107" s="141" t="n">
        <x:f>BN106*(1+Premissas!$B$41)+BJ107</x:f>
        <x:v>1188924.6571140103</x:v>
      </x:c>
      <x:c r="BL107" s="141" t="n">
        <x:f>MAX(0,-BK107)</x:f>
        <x:v>0</x:v>
      </x:c>
      <x:c r="BM107" s="141" t="n">
        <x:f>BM106*(1+Premissas!$B$41)+BL107</x:f>
        <x:v>0</x:v>
      </x:c>
      <x:c r="BN107" s="141" t="n">
        <x:f>MAX(0,BK107)</x:f>
        <x:v>1188924.6571140103</x:v>
      </x:c>
      <x:c r="BO107" s="141" t="n">
        <x:f>INDEX('Consorcio Direto'!$K$55:$K$534,$A107)</x:f>
        <x:v>239393.6352912417</x:v>
      </x:c>
      <x:c r="BP107" s="141" t="n">
        <x:f>IF($A107&lt;'Consorcio Direto'!$B$29,INDEX('Consorcio Direto'!$L$55:$L$534,$A107),$F107)</x:f>
        <x:v>328193.4055258767</x:v>
      </x:c>
      <x:c r="BQ107" s="141" t="n">
        <x:f>BN107+BP107-BO107</x:f>
        <x:v>1277724.4273486454</x:v>
      </x:c>
      <x:c r="BR107" s="141" t="n">
        <x:f>IF(BM107&gt;1,"Inviavel",BQ107)</x:f>
        <x:v>1277724.4273486454</x:v>
      </x:c>
      <x:c r="BS107" s="141" t="str">
        <x:f>IF(BM107&gt;1,"Inviavel","OK")</x:f>
        <x:v>OK</x:v>
      </x:c>
      <x:c r="BT107" s="141" t="n">
        <x:f>IF(AND('Carta Contemplada'!$B$22="Sim",$A107='Carta Contemplada'!$B$23),'Carta Contemplada'!$B$37,0)</x:f>
        <x:v>0</x:v>
      </x:c>
      <x:c r="BU107" s="141" t="n">
        <x:f>IF('Carta Contemplada'!$B$22="Sim",INDEX('Carta Contemplada'!$C$55:$C$1013,$A107),0)</x:f>
        <x:v>1912.6176894370108</x:v>
      </x:c>
      <x:c r="BV107" s="141" t="n">
        <x:f>IF(AND('Carta Contemplada'!$B$22="Sim",Premissas!$B$11="Imovel",Premissas!$B$47="Moradia",$A107&lt;MAX('Carta Contemplada'!$B$44,Premissas!$B$49)),$D107,0)</x:f>
        <x:v>0</x:v>
      </x:c>
      <x:c r="BW107" s="141" t="n">
        <x:f>IF(AND('Carta Contemplada'!$B$22="Sim",Premissas!$B$11="Imovel",Premissas!$B$47="Investimento",$A107&gt;=MAX('Carta Contemplada'!$B$44,Premissas!$B$49)),$E107,0)</x:f>
        <x:v>1020.0627676997391</x:v>
      </x:c>
      <x:c r="BX107" s="141" t="n">
        <x:f>BT107+BU107+BV107</x:f>
        <x:v>1912.6176894370108</x:v>
      </x:c>
      <x:c r="BY107" s="141" t="n">
        <x:f>BW107</x:f>
        <x:v>1020.0627676997391</x:v>
      </x:c>
      <x:c r="BZ107" s="141" t="n">
        <x:f>$C107+BY107-BX107</x:f>
        <x:v>6107.445078262728</x:v>
      </x:c>
      <x:c r="CA107" s="141" t="n">
        <x:f>CD106*(1+Premissas!$B$41)+BZ107</x:f>
        <x:v>1208676.7789586573</x:v>
      </x:c>
      <x:c r="CB107" s="141" t="n">
        <x:f>MAX(0,-CA107)</x:f>
        <x:v>0</x:v>
      </x:c>
      <x:c r="CC107" s="141" t="n">
        <x:f>CC106*(1+Premissas!$B$41)+CB107</x:f>
        <x:v>0</x:v>
      </x:c>
      <x:c r="CD107" s="141" t="n">
        <x:f>MAX(0,CA107)</x:f>
        <x:v>1208676.7789586573</x:v>
      </x:c>
      <x:c r="CE107" s="141" t="n">
        <x:f>IF(AND('Carta Contemplada'!$B$22="Sim",$A107&gt;='Carta Contemplada'!$B$23),INDEX('Carta Contemplada'!$I$55:$I$1013,$A107),0)</x:f>
        <x:v>123971.5478260166</x:v>
      </x:c>
      <x:c r="CF107" s="141" t="n">
        <x:f>IF(AND('Carta Contemplada'!$B$22="Sim",$A107&gt;='Carta Contemplada'!$B$44),$F107,0)</x:f>
        <x:v>328193.4055258767</x:v>
      </x:c>
      <x:c r="CG107" s="141" t="n">
        <x:f>CD107+CF107-CE107</x:f>
        <x:v>1412898.6366585174</x:v>
      </x:c>
      <x:c r="CH107" s="141" t="n">
        <x:f>IF(CC107&gt;1,"Inviavel",CG107)</x:f>
        <x:v>1412898.6366585174</x:v>
      </x:c>
      <x:c r="CI107" s="145" t="str">
        <x:f>IF(CC107&gt;1,"Inviavel","OK")</x:f>
        <x:v>OK</x:v>
      </x:c>
    </x:row>
    <x:row r="108">
      <x:c r="A108" s="142" t="n">
        <x:v>104</x:v>
      </x:c>
      <x:c r="B108" s="179" t="n">
        <x:f>EDATE(Premissas!$B$4,A108-1)</x:f>
        <x:v>49675</x:v>
      </x:c>
      <x:c r="C108" s="141" t="n">
        <x:f>IF(A108&lt;=Premissas!$B$39,Premissas!$B$42,0)</x:f>
        <x:v>7000</x:v>
      </x:c>
      <x:c r="D108" s="141" t="n">
        <x:f>Premissas!$B$54*(1+Premissas!$B$57)^INT((A108-1)/12)</x:f>
        <x:v>1115.6936521715895</x:v>
      </x:c>
      <x:c r="E108" s="141" t="n">
        <x:f>Premissas!$B$64*(1+Premissas!$B$57)^INT((A108-1)/12)</x:f>
        <x:v>1020.0627676997391</x:v>
      </x:c>
      <x:c r="F108" s="141" t="n">
        <x:f>MAX(0,Premissas!$B$6*(1+Premissas!$B$66)^((A108-1)/12))</x:f>
        <x:v>329790.90352248604</x:v>
      </x:c>
      <x:c r="G108" s="141" t="n">
        <x:f>G107*(1+Premissas!$B$41)+C108</x:f>
        <x:v>1470249.386038906</x:v>
      </x:c>
      <x:c r="H108" s="141" t="n">
        <x:f>IF($A108=Premissas!$B$48,Premissas!$B$8,0)</x:f>
        <x:v>0</x:v>
      </x:c>
      <x:c r="I108" s="141" t="n">
        <x:f>IF(AND($A108&gt;=Premissas!$B$48,$A108-Premissas!$B$48+1&lt;=Premissas!$B$13),INDEX(Financiamento!$J$6:$J$485,$A108-Premissas!$B$48+1),0)</x:f>
        <x:v>1676.8370896239362</x:v>
      </x:c>
      <x:c r="J108" s="141" t="n">
        <x:f>IF(AND(TRUE,Premissas!$B$11="Imovel",Premissas!$B$47="Moradia",$A108&lt;MAX(Premissas!$B$48,Premissas!$B$49)),$D108,0)</x:f>
        <x:v>0</x:v>
      </x:c>
      <x:c r="K108" s="141" t="n">
        <x:f>IF(AND(TRUE,Premissas!$B$11="Imovel",Premissas!$B$47="Investimento",$A108&gt;=MAX(Premissas!$B$48,Premissas!$B$49)),$E108,0)</x:f>
        <x:v>1020.0627676997391</x:v>
      </x:c>
      <x:c r="L108" s="141" t="n">
        <x:f>H108+I108+J108</x:f>
        <x:v>1676.8370896239362</x:v>
      </x:c>
      <x:c r="M108" s="141" t="n">
        <x:f>K108</x:f>
        <x:v>1020.0627676997391</x:v>
      </x:c>
      <x:c r="N108" s="141" t="n">
        <x:f>$C108+M108-L108</x:f>
        <x:v>6343.225678075803</x:v>
      </x:c>
      <x:c r="O108" s="141" t="n">
        <x:f>R107*(1+Premissas!$B$41)+N108</x:f>
        <x:v>1167944.2444075646</x:v>
      </x:c>
      <x:c r="P108" s="141" t="n">
        <x:f>MAX(0,-O108)</x:f>
        <x:v>0</x:v>
      </x:c>
      <x:c r="Q108" s="141" t="n">
        <x:f>Q107*(1+Premissas!$B$41)+P108</x:f>
        <x:v>0</x:v>
      </x:c>
      <x:c r="R108" s="141" t="n">
        <x:f>MAX(0,O108)</x:f>
        <x:v>1167944.2444075646</x:v>
      </x:c>
      <x:c r="S108" s="141" t="n">
        <x:f>IF(AND($A108&gt;=Premissas!$B$48,$A108-Premissas!$B$48+1&lt;=Premissas!$B$13),INDEX(Financiamento!$M$6:$M$485,$A108-Premissas!$B$48+1),0)</x:f>
        <x:v>120380.95238095259</x:v>
      </x:c>
      <x:c r="T108" s="141" t="n">
        <x:f>IF($A108&gt;=Premissas!$B$48,$F108,0)</x:f>
        <x:v>329790.90352248604</x:v>
      </x:c>
      <x:c r="U108" s="141" t="n">
        <x:f>R108+T108-S108</x:f>
        <x:v>1377354.195549098</x:v>
      </x:c>
      <x:c r="V108" s="141" t="n">
        <x:f>IF(Q108&gt;1,"Inviavel",U108)</x:f>
        <x:v>1377354.195549098</x:v>
      </x:c>
      <x:c r="W108" s="141" t="str">
        <x:f>IF(Q108&gt;1,"Inviavel","OK")</x:f>
        <x:v>OK</x:v>
      </x:c>
      <x:c r="X108" s="141" t="n">
        <x:f>IF($A108=Premissas!$B$48,Premissas!$B$8,0)</x:f>
        <x:v>0</x:v>
      </x:c>
      <x:c r="Y108" s="141" t="n">
        <x:f>IF(AND($A108&gt;=Premissas!$B$48,$A108-Premissas!$B$48+1&lt;=Premissas!$B$13),INDEX(Amortizacao!$K$6:$K$485,$A108-Premissas!$B$48+1),0)</x:f>
        <x:v>0</x:v>
      </x:c>
      <x:c r="Z108" s="141" t="n">
        <x:f>IF(AND(TRUE,Premissas!$B$11="Imovel",Premissas!$B$47="Moradia",$A108&lt;MAX(Premissas!$B$48,Premissas!$B$49)),$D108,0)</x:f>
        <x:v>0</x:v>
      </x:c>
      <x:c r="AA108" s="141" t="n">
        <x:f>IF(AND(TRUE,Premissas!$B$11="Imovel",Premissas!$B$47="Investimento",$A108&gt;=MAX(Premissas!$B$48,Premissas!$B$49)),$E108,0)</x:f>
        <x:v>1020.0627676997391</x:v>
      </x:c>
      <x:c r="AB108" s="141" t="n">
        <x:f>X108+Y108+Z108</x:f>
        <x:v>0</x:v>
      </x:c>
      <x:c r="AC108" s="141" t="n">
        <x:f>AA108</x:f>
        <x:v>1020.0627676997391</x:v>
      </x:c>
      <x:c r="AD108" s="141" t="n">
        <x:f>$C108+AC108-AB108</x:f>
        <x:v>8020.062767699739</x:v>
      </x:c>
      <x:c r="AE108" s="141" t="n">
        <x:f>AH107*(1+Premissas!$B$41)+AD108</x:f>
        <x:v>1064466.328865052</x:v>
      </x:c>
      <x:c r="AF108" s="141" t="n">
        <x:f>MAX(0,-AE108)</x:f>
        <x:v>0</x:v>
      </x:c>
      <x:c r="AG108" s="141" t="n">
        <x:f>AG107*(1+Premissas!$B$41)+AF108</x:f>
        <x:v>0</x:v>
      </x:c>
      <x:c r="AH108" s="141" t="n">
        <x:f>MAX(0,AE108)</x:f>
        <x:v>1064466.328865052</x:v>
      </x:c>
      <x:c r="AI108" s="141" t="n">
        <x:f>IF(AND($A108&gt;=Premissas!$B$48,$A108-Premissas!$B$48+1&lt;=Premissas!$B$13),INDEX(Amortizacao!$L$6:$L$485,$A108-Premissas!$B$48+1),0)</x:f>
        <x:v>0</x:v>
      </x:c>
      <x:c r="AJ108" s="141" t="n">
        <x:f>IF($A108&gt;=Premissas!$B$48,$F108,0)</x:f>
        <x:v>329790.90352248604</x:v>
      </x:c>
      <x:c r="AK108" s="141" t="n">
        <x:f>AH108+AJ108-AI108</x:f>
        <x:v>1394257.232387538</x:v>
      </x:c>
      <x:c r="AL108" s="141" t="n">
        <x:f>IF(AG108&gt;1,"Inviavel",AK108)</x:f>
        <x:v>1394257.232387538</x:v>
      </x:c>
      <x:c r="AM108" s="141" t="str">
        <x:f>IF(AG108&gt;1,"Inviavel","OK")</x:f>
        <x:v>OK</x:v>
      </x:c>
      <x:c r="AN108" s="141" t="n">
        <x:f>IF($A108=Premissas!$B$48,Premissas!$B$8,0)</x:f>
        <x:v>0</x:v>
      </x:c>
      <x:c r="AO108" s="141" t="n">
        <x:f>IF($A108&lt;=Premissas!$B$25,INDEX('Consorcio IQ'!$K$6:$K$485,$A108),0)</x:f>
        <x:v>909.2359065920019</x:v>
      </x:c>
      <x:c r="AP108" s="141" t="n">
        <x:f>IF(AND(TRUE,Premissas!$B$11="Imovel",Premissas!$B$47="Moradia",$A108&lt;MAX(Premissas!$B$48,Premissas!$B$49)),$D108,0)</x:f>
        <x:v>0</x:v>
      </x:c>
      <x:c r="AQ108" s="141" t="n">
        <x:f>IF(AND(TRUE,Premissas!$B$11="Imovel",Premissas!$B$47="Investimento",$A108&gt;=MAX(Premissas!$B$48,Premissas!$B$49)),$E108,0)</x:f>
        <x:v>1020.0627676997391</x:v>
      </x:c>
      <x:c r="AR108" s="141" t="n">
        <x:f>AN108+AO108+AP108</x:f>
        <x:v>909.2359065920019</x:v>
      </x:c>
      <x:c r="AS108" s="141" t="n">
        <x:f>AQ108</x:f>
        <x:v>1020.0627676997391</x:v>
      </x:c>
      <x:c r="AT108" s="141" t="n">
        <x:f>$C108+AS108-AR108</x:f>
        <x:v>7110.826861107737</x:v>
      </x:c>
      <x:c r="AU108" s="141" t="n">
        <x:f>AX107*(1+Premissas!$B$41)+AT108</x:f>
        <x:v>1141594.880796114</x:v>
      </x:c>
      <x:c r="AV108" s="141" t="n">
        <x:f>MAX(0,-AU108)</x:f>
        <x:v>0</x:v>
      </x:c>
      <x:c r="AW108" s="141" t="n">
        <x:f>AW107*(1+Premissas!$B$41)+AV108</x:f>
        <x:v>0</x:v>
      </x:c>
      <x:c r="AX108" s="141" t="n">
        <x:f>MAX(0,AU108)</x:f>
        <x:v>1141594.880796114</x:v>
      </x:c>
      <x:c r="AY108" s="141" t="n">
        <x:f>INDEX('Consorcio IQ'!$P$6:$P$485,$A108)</x:f>
        <x:v>92415.77689052718</x:v>
      </x:c>
      <x:c r="AZ108" s="141" t="n">
        <x:f>IF($A108&gt;=Premissas!$B$48,$F108,0)+IF($A108&lt;Premissas!$B$27,INDEX('Consorcio IQ'!$O$6:$O$485,$A108),0)</x:f>
        <x:v>329790.90352248604</x:v>
      </x:c>
      <x:c r="BA108" s="141" t="n">
        <x:f>AX108+AZ108-AY108</x:f>
        <x:v>1378970.0074280729</x:v>
      </x:c>
      <x:c r="BB108" s="141" t="n">
        <x:f>IF(AW108&gt;1,"Inviavel",BA108)</x:f>
        <x:v>1378970.0074280729</x:v>
      </x:c>
      <x:c r="BC108" s="141" t="str">
        <x:f>IF(AW108&gt;1,"Inviavel","OK")</x:f>
        <x:v>OK</x:v>
      </x:c>
      <x:c r="BD108" s="141" t="n">
        <x:f>IF($A108='Consorcio Direto'!$B$29,'Consorcio Direto'!$B$44,0)</x:f>
        <x:v>0</x:v>
      </x:c>
      <x:c r="BE108" s="141" t="n">
        <x:f>IF($A108&lt;='Consorcio Direto'!$B$27,INDEX('Consorcio Direto'!$E$55:$E$534,$A108),0)</x:f>
        <x:v>2354.4670746586016</x:v>
      </x:c>
      <x:c r="BF108" s="141" t="n">
        <x:f>IF(AND(TRUE,Premissas!$B$11="Imovel",Premissas!$B$47="Moradia",$A108&lt;MAX('Consorcio Direto'!$B$29,Premissas!$B$49)),$D108,0)</x:f>
        <x:v>0</x:v>
      </x:c>
      <x:c r="BG108" s="141" t="n">
        <x:f>IF(AND(TRUE,Premissas!$B$11="Imovel",Premissas!$B$47="Investimento",$A108&gt;=MAX('Consorcio Direto'!$B$29,Premissas!$B$49)),$E108,0)</x:f>
        <x:v>1020.0627676997391</x:v>
      </x:c>
      <x:c r="BH108" s="141" t="n">
        <x:f>BD108+BE108+BF108</x:f>
        <x:v>2354.4670746586016</x:v>
      </x:c>
      <x:c r="BI108" s="141" t="n">
        <x:f>BG108</x:f>
        <x:v>1020.0627676997391</x:v>
      </x:c>
      <x:c r="BJ108" s="141" t="n">
        <x:f>$C108+BI108-BH108</x:f>
        <x:v>5665.595693041138</x:v>
      </x:c>
      <x:c r="BK108" s="141" t="n">
        <x:f>BN107*(1+Premissas!$B$41)+BJ108</x:f>
        <x:v>1205871.7126932263</x:v>
      </x:c>
      <x:c r="BL108" s="141" t="n">
        <x:f>MAX(0,-BK108)</x:f>
        <x:v>0</x:v>
      </x:c>
      <x:c r="BM108" s="141" t="n">
        <x:f>BM107*(1+Premissas!$B$41)+BL108</x:f>
        <x:v>0</x:v>
      </x:c>
      <x:c r="BN108" s="141" t="n">
        <x:f>MAX(0,BK108)</x:f>
        <x:v>1205871.7126932263</x:v>
      </x:c>
      <x:c r="BO108" s="141" t="n">
        <x:f>INDEX('Consorcio Direto'!$K$55:$K$534,$A108)</x:f>
        <x:v>239310.72485171878</x:v>
      </x:c>
      <x:c r="BP108" s="141" t="n">
        <x:f>IF($A108&lt;'Consorcio Direto'!$B$29,INDEX('Consorcio Direto'!$L$55:$L$534,$A108),$F108)</x:f>
        <x:v>329790.90352248604</x:v>
      </x:c>
      <x:c r="BQ108" s="141" t="n">
        <x:f>BN108+BP108-BO108</x:f>
        <x:v>1296351.8913639935</x:v>
      </x:c>
      <x:c r="BR108" s="141" t="n">
        <x:f>IF(BM108&gt;1,"Inviavel",BQ108)</x:f>
        <x:v>1296351.8913639935</x:v>
      </x:c>
      <x:c r="BS108" s="141" t="str">
        <x:f>IF(BM108&gt;1,"Inviavel","OK")</x:f>
        <x:v>OK</x:v>
      </x:c>
      <x:c r="BT108" s="141" t="n">
        <x:f>IF(AND('Carta Contemplada'!$B$22="Sim",$A108='Carta Contemplada'!$B$23),'Carta Contemplada'!$B$37,0)</x:f>
        <x:v>0</x:v>
      </x:c>
      <x:c r="BU108" s="141" t="n">
        <x:f>IF('Carta Contemplada'!$B$22="Sim",INDEX('Carta Contemplada'!$C$55:$C$1013,$A108),0)</x:f>
        <x:v>1912.6176894370108</x:v>
      </x:c>
      <x:c r="BV108" s="141" t="n">
        <x:f>IF(AND('Carta Contemplada'!$B$22="Sim",Premissas!$B$11="Imovel",Premissas!$B$47="Moradia",$A108&lt;MAX('Carta Contemplada'!$B$44,Premissas!$B$49)),$D108,0)</x:f>
        <x:v>0</x:v>
      </x:c>
      <x:c r="BW108" s="141" t="n">
        <x:f>IF(AND('Carta Contemplada'!$B$22="Sim",Premissas!$B$11="Imovel",Premissas!$B$47="Investimento",$A108&gt;=MAX('Carta Contemplada'!$B$44,Premissas!$B$49)),$E108,0)</x:f>
        <x:v>1020.0627676997391</x:v>
      </x:c>
      <x:c r="BX108" s="141" t="n">
        <x:f>BT108+BU108+BV108</x:f>
        <x:v>1912.6176894370108</x:v>
      </x:c>
      <x:c r="BY108" s="141" t="n">
        <x:f>BW108</x:f>
        <x:v>1020.0627676997391</x:v>
      </x:c>
      <x:c r="BZ108" s="141" t="n">
        <x:f>$C108+BY108-BX108</x:f>
        <x:v>6107.445078262728</x:v>
      </x:c>
      <x:c r="CA108" s="141" t="n">
        <x:f>CD107*(1+Premissas!$B$41)+BZ108</x:f>
        <x:v>1226253.1077172975</x:v>
      </x:c>
      <x:c r="CB108" s="141" t="n">
        <x:f>MAX(0,-CA108)</x:f>
        <x:v>0</x:v>
      </x:c>
      <x:c r="CC108" s="141" t="n">
        <x:f>CC107*(1+Premissas!$B$41)+CB108</x:f>
        <x:v>0</x:v>
      </x:c>
      <x:c r="CD108" s="141" t="n">
        <x:f>MAX(0,CA108)</x:f>
        <x:v>1226253.1077172975</x:v>
      </x:c>
      <x:c r="CE108" s="141" t="n">
        <x:f>IF(AND('Carta Contemplada'!$B$22="Sim",$A108&gt;='Carta Contemplada'!$B$23),INDEX('Carta Contemplada'!$I$55:$I$1013,$A108),0)</x:f>
        <x:v>123235.27048368042</x:v>
      </x:c>
      <x:c r="CF108" s="141" t="n">
        <x:f>IF(AND('Carta Contemplada'!$B$22="Sim",$A108&gt;='Carta Contemplada'!$B$44),$F108,0)</x:f>
        <x:v>329790.90352248604</x:v>
      </x:c>
      <x:c r="CG108" s="141" t="n">
        <x:f>CD108+CF108-CE108</x:f>
        <x:v>1432808.7407561033</x:v>
      </x:c>
      <x:c r="CH108" s="141" t="n">
        <x:f>IF(CC108&gt;1,"Inviavel",CG108)</x:f>
        <x:v>1432808.7407561033</x:v>
      </x:c>
      <x:c r="CI108" s="145" t="str">
        <x:f>IF(CC108&gt;1,"Inviavel","OK")</x:f>
        <x:v>OK</x:v>
      </x:c>
    </x:row>
    <x:row r="109">
      <x:c r="A109" s="142" t="n">
        <x:v>105</x:v>
      </x:c>
      <x:c r="B109" s="179" t="n">
        <x:f>EDATE(Premissas!$B$4,A109-1)</x:f>
        <x:v>49706</x:v>
      </x:c>
      <x:c r="C109" s="141" t="n">
        <x:f>IF(A109&lt;=Premissas!$B$39,Premissas!$B$42,0)</x:f>
        <x:v>7000</x:v>
      </x:c>
      <x:c r="D109" s="141" t="n">
        <x:f>Premissas!$B$54*(1+Premissas!$B$57)^INT((A109-1)/12)</x:f>
        <x:v>1115.6936521715895</x:v>
      </x:c>
      <x:c r="E109" s="141" t="n">
        <x:f>Premissas!$B$64*(1+Premissas!$B$57)^INT((A109-1)/12)</x:f>
        <x:v>1020.0627676997391</x:v>
      </x:c>
      <x:c r="F109" s="141" t="n">
        <x:f>MAX(0,Premissas!$B$6*(1+Premissas!$B$66)^((A109-1)/12))</x:f>
        <x:v>331396.17742137186</x:v>
      </x:c>
      <x:c r="G109" s="141" t="n">
        <x:f>G108*(1+Premissas!$B$41)+C109</x:f>
        <x:v>1491200.278025227</x:v>
      </x:c>
      <x:c r="H109" s="141" t="n">
        <x:f>IF($A109=Premissas!$B$48,Premissas!$B$8,0)</x:f>
        <x:v>0</x:v>
      </x:c>
      <x:c r="I109" s="141" t="n">
        <x:f>IF(AND($A109&gt;=Premissas!$B$48,$A109-Premissas!$B$48+1&lt;=Premissas!$B$13),INDEX(Financiamento!$J$6:$J$485,$A109-Premissas!$B$48+1),0)</x:f>
        <x:v>1673.2223113631426</x:v>
      </x:c>
      <x:c r="J109" s="141" t="n">
        <x:f>IF(AND(TRUE,Premissas!$B$11="Imovel",Premissas!$B$47="Moradia",$A109&lt;MAX(Premissas!$B$48,Premissas!$B$49)),$D109,0)</x:f>
        <x:v>0</x:v>
      </x:c>
      <x:c r="K109" s="141" t="n">
        <x:f>IF(AND(TRUE,Premissas!$B$11="Imovel",Premissas!$B$47="Investimento",$A109&gt;=MAX(Premissas!$B$48,Premissas!$B$49)),$E109,0)</x:f>
        <x:v>1020.0627676997391</x:v>
      </x:c>
      <x:c r="L109" s="141" t="n">
        <x:f>H109+I109+J109</x:f>
        <x:v>1673.2223113631426</x:v>
      </x:c>
      <x:c r="M109" s="141" t="n">
        <x:f>K109</x:f>
        <x:v>1020.0627676997391</x:v>
      </x:c>
      <x:c r="N109" s="141" t="n">
        <x:f>$C109+M109-L109</x:f>
        <x:v>6346.840456336597</x:v>
      </x:c>
      <x:c r="O109" s="141" t="n">
        <x:f>R108*(1+Premissas!$B$41)+N109</x:f>
        <x:v>1185373.4659582225</x:v>
      </x:c>
      <x:c r="P109" s="141" t="n">
        <x:f>MAX(0,-O109)</x:f>
        <x:v>0</x:v>
      </x:c>
      <x:c r="Q109" s="141" t="n">
        <x:f>Q108*(1+Premissas!$B$41)+P109</x:f>
        <x:v>0</x:v>
      </x:c>
      <x:c r="R109" s="141" t="n">
        <x:f>MAX(0,O109)</x:f>
        <x:v>1185373.4659582225</x:v>
      </x:c>
      <x:c r="S109" s="141" t="n">
        <x:f>IF(AND($A109&gt;=Premissas!$B$48,$A109-Premissas!$B$48+1&lt;=Premissas!$B$13),INDEX(Financiamento!$M$6:$M$485,$A109-Premissas!$B$48+1),0)</x:f>
        <x:v>120000.0000000002</x:v>
      </x:c>
      <x:c r="T109" s="141" t="n">
        <x:f>IF($A109&gt;=Premissas!$B$48,$F109,0)</x:f>
        <x:v>331396.17742137186</x:v>
      </x:c>
      <x:c r="U109" s="141" t="n">
        <x:f>R109+T109-S109</x:f>
        <x:v>1396769.6433795942</x:v>
      </x:c>
      <x:c r="V109" s="141" t="n">
        <x:f>IF(Q109&gt;1,"Inviavel",U109)</x:f>
        <x:v>1396769.6433795942</x:v>
      </x:c>
      <x:c r="W109" s="141" t="str">
        <x:f>IF(Q109&gt;1,"Inviavel","OK")</x:f>
        <x:v>OK</x:v>
      </x:c>
      <x:c r="X109" s="141" t="n">
        <x:f>IF($A109=Premissas!$B$48,Premissas!$B$8,0)</x:f>
        <x:v>0</x:v>
      </x:c>
      <x:c r="Y109" s="141" t="n">
        <x:f>IF(AND($A109&gt;=Premissas!$B$48,$A109-Premissas!$B$48+1&lt;=Premissas!$B$13),INDEX(Amortizacao!$K$6:$K$485,$A109-Premissas!$B$48+1),0)</x:f>
        <x:v>0</x:v>
      </x:c>
      <x:c r="Z109" s="141" t="n">
        <x:f>IF(AND(TRUE,Premissas!$B$11="Imovel",Premissas!$B$47="Moradia",$A109&lt;MAX(Premissas!$B$48,Premissas!$B$49)),$D109,0)</x:f>
        <x:v>0</x:v>
      </x:c>
      <x:c r="AA109" s="141" t="n">
        <x:f>IF(AND(TRUE,Premissas!$B$11="Imovel",Premissas!$B$47="Investimento",$A109&gt;=MAX(Premissas!$B$48,Premissas!$B$49)),$E109,0)</x:f>
        <x:v>1020.0627676997391</x:v>
      </x:c>
      <x:c r="AB109" s="141" t="n">
        <x:f>X109+Y109+Z109</x:f>
        <x:v>0</x:v>
      </x:c>
      <x:c r="AC109" s="141" t="n">
        <x:f>AA109</x:f>
        <x:v>1020.0627676997391</x:v>
      </x:c>
      <x:c r="AD109" s="141" t="n">
        <x:f>$C109+AC109-AB109</x:f>
        <x:v>8020.062767699739</x:v>
      </x:c>
      <x:c r="AE109" s="141" t="n">
        <x:f>AH108*(1+Premissas!$B$41)+AD109</x:f>
        <x:v>1082586.892213188</x:v>
      </x:c>
      <x:c r="AF109" s="141" t="n">
        <x:f>MAX(0,-AE109)</x:f>
        <x:v>0</x:v>
      </x:c>
      <x:c r="AG109" s="141" t="n">
        <x:f>AG108*(1+Premissas!$B$41)+AF109</x:f>
        <x:v>0</x:v>
      </x:c>
      <x:c r="AH109" s="141" t="n">
        <x:f>MAX(0,AE109)</x:f>
        <x:v>1082586.892213188</x:v>
      </x:c>
      <x:c r="AI109" s="141" t="n">
        <x:f>IF(AND($A109&gt;=Premissas!$B$48,$A109-Premissas!$B$48+1&lt;=Premissas!$B$13),INDEX(Amortizacao!$L$6:$L$485,$A109-Premissas!$B$48+1),0)</x:f>
        <x:v>0</x:v>
      </x:c>
      <x:c r="AJ109" s="141" t="n">
        <x:f>IF($A109&gt;=Premissas!$B$48,$F109,0)</x:f>
        <x:v>331396.17742137186</x:v>
      </x:c>
      <x:c r="AK109" s="141" t="n">
        <x:f>AH109+AJ109-AI109</x:f>
        <x:v>1413983.06963456</x:v>
      </x:c>
      <x:c r="AL109" s="141" t="n">
        <x:f>IF(AG109&gt;1,"Inviavel",AK109)</x:f>
        <x:v>1413983.06963456</x:v>
      </x:c>
      <x:c r="AM109" s="141" t="str">
        <x:f>IF(AG109&gt;1,"Inviavel","OK")</x:f>
        <x:v>OK</x:v>
      </x:c>
      <x:c r="AN109" s="141" t="n">
        <x:f>IF($A109=Premissas!$B$48,Premissas!$B$8,0)</x:f>
        <x:v>0</x:v>
      </x:c>
      <x:c r="AO109" s="141" t="n">
        <x:f>IF($A109&lt;=Premissas!$B$25,INDEX('Consorcio IQ'!$K$6:$K$485,$A109),0)</x:f>
        <x:v>909.2359065920019</x:v>
      </x:c>
      <x:c r="AP109" s="141" t="n">
        <x:f>IF(AND(TRUE,Premissas!$B$11="Imovel",Premissas!$B$47="Moradia",$A109&lt;MAX(Premissas!$B$48,Premissas!$B$49)),$D109,0)</x:f>
        <x:v>0</x:v>
      </x:c>
      <x:c r="AQ109" s="141" t="n">
        <x:f>IF(AND(TRUE,Premissas!$B$11="Imovel",Premissas!$B$47="Investimento",$A109&gt;=MAX(Premissas!$B$48,Premissas!$B$49)),$E109,0)</x:f>
        <x:v>1020.0627676997391</x:v>
      </x:c>
      <x:c r="AR109" s="141" t="n">
        <x:f>AN109+AO109+AP109</x:f>
        <x:v>909.2359065920019</x:v>
      </x:c>
      <x:c r="AS109" s="141" t="n">
        <x:f>AQ109</x:f>
        <x:v>1020.0627676997391</x:v>
      </x:c>
      <x:c r="AT109" s="141" t="n">
        <x:f>$C109+AS109-AR109</x:f>
        <x:v>7110.826861107737</x:v>
      </x:c>
      <x:c r="AU109" s="141" t="n">
        <x:f>AX108*(1+Premissas!$B$41)+AT109</x:f>
        <x:v>1159538.065096276</x:v>
      </x:c>
      <x:c r="AV109" s="141" t="n">
        <x:f>MAX(0,-AU109)</x:f>
        <x:v>0</x:v>
      </x:c>
      <x:c r="AW109" s="141" t="n">
        <x:f>AW108*(1+Premissas!$B$41)+AV109</x:f>
        <x:v>0</x:v>
      </x:c>
      <x:c r="AX109" s="141" t="n">
        <x:f>MAX(0,AU109)</x:f>
        <x:v>1159538.065096276</x:v>
      </x:c>
      <x:c r="AY109" s="141" t="n">
        <x:f>INDEX('Consorcio IQ'!$P$6:$P$485,$A109)</x:f>
        <x:v>92383.45515473801</x:v>
      </x:c>
      <x:c r="AZ109" s="141" t="n">
        <x:f>IF($A109&gt;=Premissas!$B$48,$F109,0)+IF($A109&lt;Premissas!$B$27,INDEX('Consorcio IQ'!$O$6:$O$485,$A109),0)</x:f>
        <x:v>331396.17742137186</x:v>
      </x:c>
      <x:c r="BA109" s="141" t="n">
        <x:f>AX109+AZ109-AY109</x:f>
        <x:v>1398550.78736291</x:v>
      </x:c>
      <x:c r="BB109" s="141" t="n">
        <x:f>IF(AW109&gt;1,"Inviavel",BA109)</x:f>
        <x:v>1398550.78736291</x:v>
      </x:c>
      <x:c r="BC109" s="141" t="str">
        <x:f>IF(AW109&gt;1,"Inviavel","OK")</x:f>
        <x:v>OK</x:v>
      </x:c>
      <x:c r="BD109" s="141" t="n">
        <x:f>IF($A109='Consorcio Direto'!$B$29,'Consorcio Direto'!$B$44,0)</x:f>
        <x:v>0</x:v>
      </x:c>
      <x:c r="BE109" s="141" t="n">
        <x:f>IF($A109&lt;='Consorcio Direto'!$B$27,INDEX('Consorcio Direto'!$E$55:$E$534,$A109),0)</x:f>
        <x:v>2354.4670746586016</x:v>
      </x:c>
      <x:c r="BF109" s="141" t="n">
        <x:f>IF(AND(TRUE,Premissas!$B$11="Imovel",Premissas!$B$47="Moradia",$A109&lt;MAX('Consorcio Direto'!$B$29,Premissas!$B$49)),$D109,0)</x:f>
        <x:v>0</x:v>
      </x:c>
      <x:c r="BG109" s="141" t="n">
        <x:f>IF(AND(TRUE,Premissas!$B$11="Imovel",Premissas!$B$47="Investimento",$A109&gt;=MAX('Consorcio Direto'!$B$29,Premissas!$B$49)),$E109,0)</x:f>
        <x:v>1020.0627676997391</x:v>
      </x:c>
      <x:c r="BH109" s="141" t="n">
        <x:f>BD109+BE109+BF109</x:f>
        <x:v>2354.4670746586016</x:v>
      </x:c>
      <x:c r="BI109" s="141" t="n">
        <x:f>BG109</x:f>
        <x:v>1020.0627676997391</x:v>
      </x:c>
      <x:c r="BJ109" s="141" t="n">
        <x:f>$C109+BI109-BH109</x:f>
        <x:v>5665.595693041138</x:v>
      </x:c>
      <x:c r="BK109" s="141" t="n">
        <x:f>BN108*(1+Premissas!$B$41)+BJ109</x:f>
        <x:v>1222979.5753736845</x:v>
      </x:c>
      <x:c r="BL109" s="141" t="n">
        <x:f>MAX(0,-BK109)</x:f>
        <x:v>0</x:v>
      </x:c>
      <x:c r="BM109" s="141" t="n">
        <x:f>BM108*(1+Premissas!$B$41)+BL109</x:f>
        <x:v>0</x:v>
      </x:c>
      <x:c r="BN109" s="141" t="n">
        <x:f>MAX(0,BK109)</x:f>
        <x:v>1222979.5753736845</x:v>
      </x:c>
      <x:c r="BO109" s="141" t="n">
        <x:f>INDEX('Consorcio Direto'!$K$55:$K$534,$A109)</x:f>
        <x:v>239227.02769220312</x:v>
      </x:c>
      <x:c r="BP109" s="141" t="n">
        <x:f>IF($A109&lt;'Consorcio Direto'!$B$29,INDEX('Consorcio Direto'!$L$55:$L$534,$A109),$F109)</x:f>
        <x:v>331396.17742137186</x:v>
      </x:c>
      <x:c r="BQ109" s="141" t="n">
        <x:f>BN109+BP109-BO109</x:f>
        <x:v>1315148.7251028533</x:v>
      </x:c>
      <x:c r="BR109" s="141" t="n">
        <x:f>IF(BM109&gt;1,"Inviavel",BQ109)</x:f>
        <x:v>1315148.7251028533</x:v>
      </x:c>
      <x:c r="BS109" s="141" t="str">
        <x:f>IF(BM109&gt;1,"Inviavel","OK")</x:f>
        <x:v>OK</x:v>
      </x:c>
      <x:c r="BT109" s="141" t="n">
        <x:f>IF(AND('Carta Contemplada'!$B$22="Sim",$A109='Carta Contemplada'!$B$23),'Carta Contemplada'!$B$37,0)</x:f>
        <x:v>0</x:v>
      </x:c>
      <x:c r="BU109" s="141" t="n">
        <x:f>IF('Carta Contemplada'!$B$22="Sim",INDEX('Carta Contemplada'!$C$55:$C$1013,$A109),0)</x:f>
        <x:v>1912.6176894370108</x:v>
      </x:c>
      <x:c r="BV109" s="141" t="n">
        <x:f>IF(AND('Carta Contemplada'!$B$22="Sim",Premissas!$B$11="Imovel",Premissas!$B$47="Moradia",$A109&lt;MAX('Carta Contemplada'!$B$44,Premissas!$B$49)),$D109,0)</x:f>
        <x:v>0</x:v>
      </x:c>
      <x:c r="BW109" s="141" t="n">
        <x:f>IF(AND('Carta Contemplada'!$B$22="Sim",Premissas!$B$11="Imovel",Premissas!$B$47="Investimento",$A109&gt;=MAX('Carta Contemplada'!$B$44,Premissas!$B$49)),$E109,0)</x:f>
        <x:v>1020.0627676997391</x:v>
      </x:c>
      <x:c r="BX109" s="141" t="n">
        <x:f>BT109+BU109+BV109</x:f>
        <x:v>1912.6176894370108</x:v>
      </x:c>
      <x:c r="BY109" s="141" t="n">
        <x:f>BW109</x:f>
        <x:v>1020.0627676997391</x:v>
      </x:c>
      <x:c r="BZ109" s="141" t="n">
        <x:f>$C109+BY109-BX109</x:f>
        <x:v>6107.445078262728</x:v>
      </x:c>
      <x:c r="CA109" s="141" t="n">
        <x:f>CD108*(1+Premissas!$B$41)+BZ109</x:f>
        <x:v>1243996.2146200787</x:v>
      </x:c>
      <x:c r="CB109" s="141" t="n">
        <x:f>MAX(0,-CA109)</x:f>
        <x:v>0</x:v>
      </x:c>
      <x:c r="CC109" s="141" t="n">
        <x:f>CC108*(1+Premissas!$B$41)+CB109</x:f>
        <x:v>0</x:v>
      </x:c>
      <x:c r="CD109" s="141" t="n">
        <x:f>MAX(0,CA109)</x:f>
        <x:v>1243996.2146200787</x:v>
      </x:c>
      <x:c r="CE109" s="141" t="n">
        <x:f>IF(AND('Carta Contemplada'!$B$22="Sim",$A109&gt;='Carta Contemplada'!$B$23),INDEX('Carta Contemplada'!$I$55:$I$1013,$A109),0)</x:f>
        <x:v>122492.00675810038</x:v>
      </x:c>
      <x:c r="CF109" s="141" t="n">
        <x:f>IF(AND('Carta Contemplada'!$B$22="Sim",$A109&gt;='Carta Contemplada'!$B$44),$F109,0)</x:f>
        <x:v>331396.17742137186</x:v>
      </x:c>
      <x:c r="CG109" s="141" t="n">
        <x:f>CD109+CF109-CE109</x:f>
        <x:v>1452900.3852833502</x:v>
      </x:c>
      <x:c r="CH109" s="141" t="n">
        <x:f>IF(CC109&gt;1,"Inviavel",CG109)</x:f>
        <x:v>1452900.3852833502</x:v>
      </x:c>
      <x:c r="CI109" s="145" t="str">
        <x:f>IF(CC109&gt;1,"Inviavel","OK")</x:f>
        <x:v>OK</x:v>
      </x:c>
    </x:row>
    <x:row r="110">
      <x:c r="A110" s="142" t="n">
        <x:v>106</x:v>
      </x:c>
      <x:c r="B110" s="179" t="n">
        <x:f>EDATE(Premissas!$B$4,A110-1)</x:f>
        <x:v>49735</x:v>
      </x:c>
      <x:c r="C110" s="141" t="n">
        <x:f>IF(A110&lt;=Premissas!$B$39,Premissas!$B$42,0)</x:f>
        <x:v>7000</x:v>
      </x:c>
      <x:c r="D110" s="141" t="n">
        <x:f>Premissas!$B$54*(1+Premissas!$B$57)^INT((A110-1)/12)</x:f>
        <x:v>1115.6936521715895</x:v>
      </x:c>
      <x:c r="E110" s="141" t="n">
        <x:f>Premissas!$B$64*(1+Premissas!$B$57)^INT((A110-1)/12)</x:f>
        <x:v>1020.0627676997391</x:v>
      </x:c>
      <x:c r="F110" s="141" t="n">
        <x:f>MAX(0,Premissas!$B$6*(1+Premissas!$B$66)^((A110-1)/12))</x:f>
        <x:v>333009.2650721318</x:v>
      </x:c>
      <x:c r="G110" s="141" t="n">
        <x:f>G109*(1+Premissas!$B$41)+C110</x:f>
        <x:v>1512349.968687401</x:v>
      </x:c>
      <x:c r="H110" s="141" t="n">
        <x:f>IF($A110=Premissas!$B$48,Premissas!$B$8,0)</x:f>
        <x:v>0</x:v>
      </x:c>
      <x:c r="I110" s="141" t="n">
        <x:f>IF(AND($A110&gt;=Premissas!$B$48,$A110-Premissas!$B$48+1&lt;=Premissas!$B$13),INDEX(Financiamento!$J$6:$J$485,$A110-Premissas!$B$48+1),0)</x:f>
        <x:v>1669.6075331023492</x:v>
      </x:c>
      <x:c r="J110" s="141" t="n">
        <x:f>IF(AND(TRUE,Premissas!$B$11="Imovel",Premissas!$B$47="Moradia",$A110&lt;MAX(Premissas!$B$48,Premissas!$B$49)),$D110,0)</x:f>
        <x:v>0</x:v>
      </x:c>
      <x:c r="K110" s="141" t="n">
        <x:f>IF(AND(TRUE,Premissas!$B$11="Imovel",Premissas!$B$47="Investimento",$A110&gt;=MAX(Premissas!$B$48,Premissas!$B$49)),$E110,0)</x:f>
        <x:v>1020.0627676997391</x:v>
      </x:c>
      <x:c r="L110" s="141" t="n">
        <x:f>H110+I110+J110</x:f>
        <x:v>1669.6075331023492</x:v>
      </x:c>
      <x:c r="M110" s="141" t="n">
        <x:f>K110</x:f>
        <x:v>1020.0627676997391</x:v>
      </x:c>
      <x:c r="N110" s="141" t="n">
        <x:f>$C110+M110-L110</x:f>
        <x:v>6350.45523459739</x:v>
      </x:c>
      <x:c r="O110" s="141" t="n">
        <x:f>R109*(1+Premissas!$B$41)+N110</x:f>
        <x:v>1202971.6845614465</x:v>
      </x:c>
      <x:c r="P110" s="141" t="n">
        <x:f>MAX(0,-O110)</x:f>
        <x:v>0</x:v>
      </x:c>
      <x:c r="Q110" s="141" t="n">
        <x:f>Q109*(1+Premissas!$B$41)+P110</x:f>
        <x:v>0</x:v>
      </x:c>
      <x:c r="R110" s="141" t="n">
        <x:f>MAX(0,O110)</x:f>
        <x:v>1202971.6845614465</x:v>
      </x:c>
      <x:c r="S110" s="141" t="n">
        <x:f>IF(AND($A110&gt;=Premissas!$B$48,$A110-Premissas!$B$48+1&lt;=Premissas!$B$13),INDEX(Financiamento!$M$6:$M$485,$A110-Premissas!$B$48+1),0)</x:f>
        <x:v>119619.04761904782</x:v>
      </x:c>
      <x:c r="T110" s="141" t="n">
        <x:f>IF($A110&gt;=Premissas!$B$48,$F110,0)</x:f>
        <x:v>333009.2650721318</x:v>
      </x:c>
      <x:c r="U110" s="141" t="n">
        <x:f>R110+T110-S110</x:f>
        <x:v>1416361.9020145305</x:v>
      </x:c>
      <x:c r="V110" s="141" t="n">
        <x:f>IF(Q110&gt;1,"Inviavel",U110)</x:f>
        <x:v>1416361.9020145305</x:v>
      </x:c>
      <x:c r="W110" s="141" t="str">
        <x:f>IF(Q110&gt;1,"Inviavel","OK")</x:f>
        <x:v>OK</x:v>
      </x:c>
      <x:c r="X110" s="141" t="n">
        <x:f>IF($A110=Premissas!$B$48,Premissas!$B$8,0)</x:f>
        <x:v>0</x:v>
      </x:c>
      <x:c r="Y110" s="141" t="n">
        <x:f>IF(AND($A110&gt;=Premissas!$B$48,$A110-Premissas!$B$48+1&lt;=Premissas!$B$13),INDEX(Amortizacao!$K$6:$K$485,$A110-Premissas!$B$48+1),0)</x:f>
        <x:v>0</x:v>
      </x:c>
      <x:c r="Z110" s="141" t="n">
        <x:f>IF(AND(TRUE,Premissas!$B$11="Imovel",Premissas!$B$47="Moradia",$A110&lt;MAX(Premissas!$B$48,Premissas!$B$49)),$D110,0)</x:f>
        <x:v>0</x:v>
      </x:c>
      <x:c r="AA110" s="141" t="n">
        <x:f>IF(AND(TRUE,Premissas!$B$11="Imovel",Premissas!$B$47="Investimento",$A110&gt;=MAX(Premissas!$B$48,Premissas!$B$49)),$E110,0)</x:f>
        <x:v>1020.0627676997391</x:v>
      </x:c>
      <x:c r="AB110" s="141" t="n">
        <x:f>X110+Y110+Z110</x:f>
        <x:v>0</x:v>
      </x:c>
      <x:c r="AC110" s="141" t="n">
        <x:f>AA110</x:f>
        <x:v>1020.0627676997391</x:v>
      </x:c>
      <x:c r="AD110" s="141" t="n">
        <x:f>$C110+AC110-AB110</x:f>
        <x:v>8020.062767699739</x:v>
      </x:c>
      <x:c r="AE110" s="141" t="n">
        <x:f>AH109*(1+Premissas!$B$41)+AD110</x:f>
        <x:v>1100879.3978347927</x:v>
      </x:c>
      <x:c r="AF110" s="141" t="n">
        <x:f>MAX(0,-AE110)</x:f>
        <x:v>0</x:v>
      </x:c>
      <x:c r="AG110" s="141" t="n">
        <x:f>AG109*(1+Premissas!$B$41)+AF110</x:f>
        <x:v>0</x:v>
      </x:c>
      <x:c r="AH110" s="141" t="n">
        <x:f>MAX(0,AE110)</x:f>
        <x:v>1100879.3978347927</x:v>
      </x:c>
      <x:c r="AI110" s="141" t="n">
        <x:f>IF(AND($A110&gt;=Premissas!$B$48,$A110-Premissas!$B$48+1&lt;=Premissas!$B$13),INDEX(Amortizacao!$L$6:$L$485,$A110-Premissas!$B$48+1),0)</x:f>
        <x:v>0</x:v>
      </x:c>
      <x:c r="AJ110" s="141" t="n">
        <x:f>IF($A110&gt;=Premissas!$B$48,$F110,0)</x:f>
        <x:v>333009.2650721318</x:v>
      </x:c>
      <x:c r="AK110" s="141" t="n">
        <x:f>AH110+AJ110-AI110</x:f>
        <x:v>1433888.6629069245</x:v>
      </x:c>
      <x:c r="AL110" s="141" t="n">
        <x:f>IF(AG110&gt;1,"Inviavel",AK110)</x:f>
        <x:v>1433888.6629069245</x:v>
      </x:c>
      <x:c r="AM110" s="141" t="str">
        <x:f>IF(AG110&gt;1,"Inviavel","OK")</x:f>
        <x:v>OK</x:v>
      </x:c>
      <x:c r="AN110" s="141" t="n">
        <x:f>IF($A110=Premissas!$B$48,Premissas!$B$8,0)</x:f>
        <x:v>0</x:v>
      </x:c>
      <x:c r="AO110" s="141" t="n">
        <x:f>IF($A110&lt;=Premissas!$B$25,INDEX('Consorcio IQ'!$K$6:$K$485,$A110),0)</x:f>
        <x:v>909.2359065920019</x:v>
      </x:c>
      <x:c r="AP110" s="141" t="n">
        <x:f>IF(AND(TRUE,Premissas!$B$11="Imovel",Premissas!$B$47="Moradia",$A110&lt;MAX(Premissas!$B$48,Premissas!$B$49)),$D110,0)</x:f>
        <x:v>0</x:v>
      </x:c>
      <x:c r="AQ110" s="141" t="n">
        <x:f>IF(AND(TRUE,Premissas!$B$11="Imovel",Premissas!$B$47="Investimento",$A110&gt;=MAX(Premissas!$B$48,Premissas!$B$49)),$E110,0)</x:f>
        <x:v>1020.0627676997391</x:v>
      </x:c>
      <x:c r="AR110" s="141" t="n">
        <x:f>AN110+AO110+AP110</x:f>
        <x:v>909.2359065920019</x:v>
      </x:c>
      <x:c r="AS110" s="141" t="n">
        <x:f>AQ110</x:f>
        <x:v>1020.0627676997391</x:v>
      </x:c>
      <x:c r="AT110" s="141" t="n">
        <x:f>$C110+AS110-AR110</x:f>
        <x:v>7110.826861107737</x:v>
      </x:c>
      <x:c r="AU110" s="141" t="n">
        <x:f>AX109*(1+Premissas!$B$41)+AT110</x:f>
        <x:v>1177651.5085568496</x:v>
      </x:c>
      <x:c r="AV110" s="141" t="n">
        <x:f>MAX(0,-AU110)</x:f>
        <x:v>0</x:v>
      </x:c>
      <x:c r="AW110" s="141" t="n">
        <x:f>AW109*(1+Premissas!$B$41)+AV110</x:f>
        <x:v>0</x:v>
      </x:c>
      <x:c r="AX110" s="141" t="n">
        <x:f>MAX(0,AU110)</x:f>
        <x:v>1177651.5085568496</x:v>
      </x:c>
      <x:c r="AY110" s="141" t="n">
        <x:f>INDEX('Consorcio IQ'!$P$6:$P$485,$A110)</x:f>
        <x:v>92350.82672469066</x:v>
      </x:c>
      <x:c r="AZ110" s="141" t="n">
        <x:f>IF($A110&gt;=Premissas!$B$48,$F110,0)+IF($A110&lt;Premissas!$B$27,INDEX('Consorcio IQ'!$O$6:$O$485,$A110),0)</x:f>
        <x:v>333009.2650721318</x:v>
      </x:c>
      <x:c r="BA110" s="141" t="n">
        <x:f>AX110+AZ110-AY110</x:f>
        <x:v>1418309.9469042907</x:v>
      </x:c>
      <x:c r="BB110" s="141" t="n">
        <x:f>IF(AW110&gt;1,"Inviavel",BA110)</x:f>
        <x:v>1418309.9469042907</x:v>
      </x:c>
      <x:c r="BC110" s="141" t="str">
        <x:f>IF(AW110&gt;1,"Inviavel","OK")</x:f>
        <x:v>OK</x:v>
      </x:c>
      <x:c r="BD110" s="141" t="n">
        <x:f>IF($A110='Consorcio Direto'!$B$29,'Consorcio Direto'!$B$44,0)</x:f>
        <x:v>0</x:v>
      </x:c>
      <x:c r="BE110" s="141" t="n">
        <x:f>IF($A110&lt;='Consorcio Direto'!$B$27,INDEX('Consorcio Direto'!$E$55:$E$534,$A110),0)</x:f>
        <x:v>2354.4670746586016</x:v>
      </x:c>
      <x:c r="BF110" s="141" t="n">
        <x:f>IF(AND(TRUE,Premissas!$B$11="Imovel",Premissas!$B$47="Moradia",$A110&lt;MAX('Consorcio Direto'!$B$29,Premissas!$B$49)),$D110,0)</x:f>
        <x:v>0</x:v>
      </x:c>
      <x:c r="BG110" s="141" t="n">
        <x:f>IF(AND(TRUE,Premissas!$B$11="Imovel",Premissas!$B$47="Investimento",$A110&gt;=MAX('Consorcio Direto'!$B$29,Premissas!$B$49)),$E110,0)</x:f>
        <x:v>1020.0627676997391</x:v>
      </x:c>
      <x:c r="BH110" s="141" t="n">
        <x:f>BD110+BE110+BF110</x:f>
        <x:v>2354.4670746586016</x:v>
      </x:c>
      <x:c r="BI110" s="141" t="n">
        <x:f>BG110</x:f>
        <x:v>1020.0627676997391</x:v>
      </x:c>
      <x:c r="BJ110" s="141" t="n">
        <x:f>$C110+BI110-BH110</x:f>
        <x:v>5665.595693041138</x:v>
      </x:c>
      <x:c r="BK110" s="141" t="n">
        <x:f>BN109*(1+Premissas!$B$41)+BJ110</x:f>
        <x:v>1240249.771020671</x:v>
      </x:c>
      <x:c r="BL110" s="141" t="n">
        <x:f>MAX(0,-BK110)</x:f>
        <x:v>0</x:v>
      </x:c>
      <x:c r="BM110" s="141" t="n">
        <x:f>BM109*(1+Premissas!$B$41)+BL110</x:f>
        <x:v>0</x:v>
      </x:c>
      <x:c r="BN110" s="141" t="n">
        <x:f>MAX(0,BK110)</x:f>
        <x:v>1240249.771020671</x:v>
      </x:c>
      <x:c r="BO110" s="141" t="n">
        <x:f>INDEX('Consorcio Direto'!$K$55:$K$534,$A110)</x:f>
        <x:v>239142.5363476716</x:v>
      </x:c>
      <x:c r="BP110" s="141" t="n">
        <x:f>IF($A110&lt;'Consorcio Direto'!$B$29,INDEX('Consorcio Direto'!$L$55:$L$534,$A110),$F110)</x:f>
        <x:v>333009.2650721318</x:v>
      </x:c>
      <x:c r="BQ110" s="141" t="n">
        <x:f>BN110+BP110-BO110</x:f>
        <x:v>1334116.499745131</x:v>
      </x:c>
      <x:c r="BR110" s="141" t="n">
        <x:f>IF(BM110&gt;1,"Inviavel",BQ110)</x:f>
        <x:v>1334116.499745131</x:v>
      </x:c>
      <x:c r="BS110" s="141" t="str">
        <x:f>IF(BM110&gt;1,"Inviavel","OK")</x:f>
        <x:v>OK</x:v>
      </x:c>
      <x:c r="BT110" s="141" t="n">
        <x:f>IF(AND('Carta Contemplada'!$B$22="Sim",$A110='Carta Contemplada'!$B$23),'Carta Contemplada'!$B$37,0)</x:f>
        <x:v>0</x:v>
      </x:c>
      <x:c r="BU110" s="141" t="n">
        <x:f>IF('Carta Contemplada'!$B$22="Sim",INDEX('Carta Contemplada'!$C$55:$C$1013,$A110),0)</x:f>
        <x:v>1912.6176894370108</x:v>
      </x:c>
      <x:c r="BV110" s="141" t="n">
        <x:f>IF(AND('Carta Contemplada'!$B$22="Sim",Premissas!$B$11="Imovel",Premissas!$B$47="Moradia",$A110&lt;MAX('Carta Contemplada'!$B$44,Premissas!$B$49)),$D110,0)</x:f>
        <x:v>0</x:v>
      </x:c>
      <x:c r="BW110" s="141" t="n">
        <x:f>IF(AND('Carta Contemplada'!$B$22="Sim",Premissas!$B$11="Imovel",Premissas!$B$47="Investimento",$A110&gt;=MAX('Carta Contemplada'!$B$44,Premissas!$B$49)),$E110,0)</x:f>
        <x:v>1020.0627676997391</x:v>
      </x:c>
      <x:c r="BX110" s="141" t="n">
        <x:f>BT110+BU110+BV110</x:f>
        <x:v>1912.6176894370108</x:v>
      </x:c>
      <x:c r="BY110" s="141" t="n">
        <x:f>BW110</x:f>
        <x:v>1020.0627676997391</x:v>
      </x:c>
      <x:c r="BZ110" s="141" t="n">
        <x:f>$C110+BY110-BX110</x:f>
        <x:v>6107.445078262728</x:v>
      </x:c>
      <x:c r="CA110" s="141" t="n">
        <x:f>CD109*(1+Premissas!$B$41)+BZ110</x:f>
        <x:v>1261907.6821902764</x:v>
      </x:c>
      <x:c r="CB110" s="141" t="n">
        <x:f>MAX(0,-CA110)</x:f>
        <x:v>0</x:v>
      </x:c>
      <x:c r="CC110" s="141" t="n">
        <x:f>CC109*(1+Premissas!$B$41)+CB110</x:f>
        <x:v>0</x:v>
      </x:c>
      <x:c r="CD110" s="141" t="n">
        <x:f>MAX(0,CA110)</x:f>
        <x:v>1261907.6821902764</x:v>
      </x:c>
      <x:c r="CE110" s="141" t="n">
        <x:f>IF(AND('Carta Contemplada'!$B$22="Sim",$A110&gt;='Carta Contemplada'!$B$23),INDEX('Carta Contemplada'!$I$55:$I$1013,$A110),0)</x:f>
        <x:v>121741.69035693252</x:v>
      </x:c>
      <x:c r="CF110" s="141" t="n">
        <x:f>IF(AND('Carta Contemplada'!$B$22="Sim",$A110&gt;='Carta Contemplada'!$B$44),$F110,0)</x:f>
        <x:v>333009.2650721318</x:v>
      </x:c>
      <x:c r="CG110" s="141" t="n">
        <x:f>CD110+CF110-CE110</x:f>
        <x:v>1473175.2569054756</x:v>
      </x:c>
      <x:c r="CH110" s="141" t="n">
        <x:f>IF(CC110&gt;1,"Inviavel",CG110)</x:f>
        <x:v>1473175.2569054756</x:v>
      </x:c>
      <x:c r="CI110" s="145" t="str">
        <x:f>IF(CC110&gt;1,"Inviavel","OK")</x:f>
        <x:v>OK</x:v>
      </x:c>
    </x:row>
    <x:row r="111">
      <x:c r="A111" s="142" t="n">
        <x:v>107</x:v>
      </x:c>
      <x:c r="B111" s="179" t="n">
        <x:f>EDATE(Premissas!$B$4,A111-1)</x:f>
        <x:v>49766</x:v>
      </x:c>
      <x:c r="C111" s="141" t="n">
        <x:f>IF(A111&lt;=Premissas!$B$39,Premissas!$B$42,0)</x:f>
        <x:v>7000</x:v>
      </x:c>
      <x:c r="D111" s="141" t="n">
        <x:f>Premissas!$B$54*(1+Premissas!$B$57)^INT((A111-1)/12)</x:f>
        <x:v>1115.6936521715895</x:v>
      </x:c>
      <x:c r="E111" s="141" t="n">
        <x:f>Premissas!$B$64*(1+Premissas!$B$57)^INT((A111-1)/12)</x:f>
        <x:v>1020.0627676997391</x:v>
      </x:c>
      <x:c r="F111" s="141" t="n">
        <x:f>MAX(0,Premissas!$B$6*(1+Premissas!$B$66)^((A111-1)/12))</x:f>
        <x:v>334630.2045085982</x:v>
      </x:c>
      <x:c r="G111" s="141" t="n">
        <x:f>G110*(1+Premissas!$B$41)+C111</x:f>
        <x:v>1533700.344384899</x:v>
      </x:c>
      <x:c r="H111" s="141" t="n">
        <x:f>IF($A111=Premissas!$B$48,Premissas!$B$8,0)</x:f>
        <x:v>0</x:v>
      </x:c>
      <x:c r="I111" s="141" t="n">
        <x:f>IF(AND($A111&gt;=Premissas!$B$48,$A111-Premissas!$B$48+1&lt;=Premissas!$B$13),INDEX(Financiamento!$J$6:$J$485,$A111-Premissas!$B$48+1),0)</x:f>
        <x:v>1665.9927548415556</x:v>
      </x:c>
      <x:c r="J111" s="141" t="n">
        <x:f>IF(AND(TRUE,Premissas!$B$11="Imovel",Premissas!$B$47="Moradia",$A111&lt;MAX(Premissas!$B$48,Premissas!$B$49)),$D111,0)</x:f>
        <x:v>0</x:v>
      </x:c>
      <x:c r="K111" s="141" t="n">
        <x:f>IF(AND(TRUE,Premissas!$B$11="Imovel",Premissas!$B$47="Investimento",$A111&gt;=MAX(Premissas!$B$48,Premissas!$B$49)),$E111,0)</x:f>
        <x:v>1020.0627676997391</x:v>
      </x:c>
      <x:c r="L111" s="141" t="n">
        <x:f>H111+I111+J111</x:f>
        <x:v>1665.9927548415556</x:v>
      </x:c>
      <x:c r="M111" s="141" t="n">
        <x:f>K111</x:f>
        <x:v>1020.0627676997391</x:v>
      </x:c>
      <x:c r="N111" s="141" t="n">
        <x:f>$C111+M111-L111</x:f>
        <x:v>6354.070012858184</x:v>
      </x:c>
      <x:c r="O111" s="141" t="n">
        <x:f>R110*(1+Premissas!$B$41)+N111</x:f>
        <x:v>1220740.5037952748</x:v>
      </x:c>
      <x:c r="P111" s="141" t="n">
        <x:f>MAX(0,-O111)</x:f>
        <x:v>0</x:v>
      </x:c>
      <x:c r="Q111" s="141" t="n">
        <x:f>Q110*(1+Premissas!$B$41)+P111</x:f>
        <x:v>0</x:v>
      </x:c>
      <x:c r="R111" s="141" t="n">
        <x:f>MAX(0,O111)</x:f>
        <x:v>1220740.5037952748</x:v>
      </x:c>
      <x:c r="S111" s="141" t="n">
        <x:f>IF(AND($A111&gt;=Premissas!$B$48,$A111-Premissas!$B$48+1&lt;=Premissas!$B$13),INDEX(Financiamento!$M$6:$M$485,$A111-Premissas!$B$48+1),0)</x:f>
        <x:v>119238.09523809544</x:v>
      </x:c>
      <x:c r="T111" s="141" t="n">
        <x:f>IF($A111&gt;=Premissas!$B$48,$F111,0)</x:f>
        <x:v>334630.2045085982</x:v>
      </x:c>
      <x:c r="U111" s="141" t="n">
        <x:f>R111+T111-S111</x:f>
        <x:v>1436132.6130657776</x:v>
      </x:c>
      <x:c r="V111" s="141" t="n">
        <x:f>IF(Q111&gt;1,"Inviavel",U111)</x:f>
        <x:v>1436132.6130657776</x:v>
      </x:c>
      <x:c r="W111" s="141" t="str">
        <x:f>IF(Q111&gt;1,"Inviavel","OK")</x:f>
        <x:v>OK</x:v>
      </x:c>
      <x:c r="X111" s="141" t="n">
        <x:f>IF($A111=Premissas!$B$48,Premissas!$B$8,0)</x:f>
        <x:v>0</x:v>
      </x:c>
      <x:c r="Y111" s="141" t="n">
        <x:f>IF(AND($A111&gt;=Premissas!$B$48,$A111-Premissas!$B$48+1&lt;=Premissas!$B$13),INDEX(Amortizacao!$K$6:$K$485,$A111-Premissas!$B$48+1),0)</x:f>
        <x:v>0</x:v>
      </x:c>
      <x:c r="Z111" s="141" t="n">
        <x:f>IF(AND(TRUE,Premissas!$B$11="Imovel",Premissas!$B$47="Moradia",$A111&lt;MAX(Premissas!$B$48,Premissas!$B$49)),$D111,0)</x:f>
        <x:v>0</x:v>
      </x:c>
      <x:c r="AA111" s="141" t="n">
        <x:f>IF(AND(TRUE,Premissas!$B$11="Imovel",Premissas!$B$47="Investimento",$A111&gt;=MAX(Premissas!$B$48,Premissas!$B$49)),$E111,0)</x:f>
        <x:v>1020.0627676997391</x:v>
      </x:c>
      <x:c r="AB111" s="141" t="n">
        <x:f>X111+Y111+Z111</x:f>
        <x:v>0</x:v>
      </x:c>
      <x:c r="AC111" s="141" t="n">
        <x:f>AA111</x:f>
        <x:v>1020.0627676997391</x:v>
      </x:c>
      <x:c r="AD111" s="141" t="n">
        <x:f>$C111+AC111-AB111</x:f>
        <x:v>8020.062767699739</x:v>
      </x:c>
      <x:c r="AE111" s="141" t="n">
        <x:f>AH110*(1+Premissas!$B$41)+AD111</x:f>
        <x:v>1119345.4772544955</x:v>
      </x:c>
      <x:c r="AF111" s="141" t="n">
        <x:f>MAX(0,-AE111)</x:f>
        <x:v>0</x:v>
      </x:c>
      <x:c r="AG111" s="141" t="n">
        <x:f>AG110*(1+Premissas!$B$41)+AF111</x:f>
        <x:v>0</x:v>
      </x:c>
      <x:c r="AH111" s="141" t="n">
        <x:f>MAX(0,AE111)</x:f>
        <x:v>1119345.4772544955</x:v>
      </x:c>
      <x:c r="AI111" s="141" t="n">
        <x:f>IF(AND($A111&gt;=Premissas!$B$48,$A111-Premissas!$B$48+1&lt;=Premissas!$B$13),INDEX(Amortizacao!$L$6:$L$485,$A111-Premissas!$B$48+1),0)</x:f>
        <x:v>0</x:v>
      </x:c>
      <x:c r="AJ111" s="141" t="n">
        <x:f>IF($A111&gt;=Premissas!$B$48,$F111,0)</x:f>
        <x:v>334630.2045085982</x:v>
      </x:c>
      <x:c r="AK111" s="141" t="n">
        <x:f>AH111+AJ111-AI111</x:f>
        <x:v>1453975.6817630937</x:v>
      </x:c>
      <x:c r="AL111" s="141" t="n">
        <x:f>IF(AG111&gt;1,"Inviavel",AK111)</x:f>
        <x:v>1453975.6817630937</x:v>
      </x:c>
      <x:c r="AM111" s="141" t="str">
        <x:f>IF(AG111&gt;1,"Inviavel","OK")</x:f>
        <x:v>OK</x:v>
      </x:c>
      <x:c r="AN111" s="141" t="n">
        <x:f>IF($A111=Premissas!$B$48,Premissas!$B$8,0)</x:f>
        <x:v>0</x:v>
      </x:c>
      <x:c r="AO111" s="141" t="n">
        <x:f>IF($A111&lt;=Premissas!$B$25,INDEX('Consorcio IQ'!$K$6:$K$485,$A111),0)</x:f>
        <x:v>909.2359065920019</x:v>
      </x:c>
      <x:c r="AP111" s="141" t="n">
        <x:f>IF(AND(TRUE,Premissas!$B$11="Imovel",Premissas!$B$47="Moradia",$A111&lt;MAX(Premissas!$B$48,Premissas!$B$49)),$D111,0)</x:f>
        <x:v>0</x:v>
      </x:c>
      <x:c r="AQ111" s="141" t="n">
        <x:f>IF(AND(TRUE,Premissas!$B$11="Imovel",Premissas!$B$47="Investimento",$A111&gt;=MAX(Premissas!$B$48,Premissas!$B$49)),$E111,0)</x:f>
        <x:v>1020.0627676997391</x:v>
      </x:c>
      <x:c r="AR111" s="141" t="n">
        <x:f>AN111+AO111+AP111</x:f>
        <x:v>909.2359065920019</x:v>
      </x:c>
      <x:c r="AS111" s="141" t="n">
        <x:f>AQ111</x:f>
        <x:v>1020.0627676997391</x:v>
      </x:c>
      <x:c r="AT111" s="141" t="n">
        <x:f>$C111+AS111-AR111</x:f>
        <x:v>7110.826861107737</x:v>
      </x:c>
      <x:c r="AU111" s="141" t="n">
        <x:f>AX110*(1+Premissas!$B$41)+AT111</x:f>
        <x:v>1195936.8267317526</x:v>
      </x:c>
      <x:c r="AV111" s="141" t="n">
        <x:f>MAX(0,-AU111)</x:f>
        <x:v>0</x:v>
      </x:c>
      <x:c r="AW111" s="141" t="n">
        <x:f>AW110*(1+Premissas!$B$41)+AV111</x:f>
        <x:v>0</x:v>
      </x:c>
      <x:c r="AX111" s="141" t="n">
        <x:f>MAX(0,AU111)</x:f>
        <x:v>1195936.8267317526</x:v>
      </x:c>
      <x:c r="AY111" s="141" t="n">
        <x:f>INDEX('Consorcio IQ'!$P$6:$P$485,$A111)</x:f>
        <x:v>92317.88869022681</x:v>
      </x:c>
      <x:c r="AZ111" s="141" t="n">
        <x:f>IF($A111&gt;=Premissas!$B$48,$F111,0)+IF($A111&lt;Premissas!$B$27,INDEX('Consorcio IQ'!$O$6:$O$485,$A111),0)</x:f>
        <x:v>334630.2045085982</x:v>
      </x:c>
      <x:c r="BA111" s="141" t="n">
        <x:f>AX111+AZ111-AY111</x:f>
        <x:v>1438249.142550124</x:v>
      </x:c>
      <x:c r="BB111" s="141" t="n">
        <x:f>IF(AW111&gt;1,"Inviavel",BA111)</x:f>
        <x:v>1438249.142550124</x:v>
      </x:c>
      <x:c r="BC111" s="141" t="str">
        <x:f>IF(AW111&gt;1,"Inviavel","OK")</x:f>
        <x:v>OK</x:v>
      </x:c>
      <x:c r="BD111" s="141" t="n">
        <x:f>IF($A111='Consorcio Direto'!$B$29,'Consorcio Direto'!$B$44,0)</x:f>
        <x:v>0</x:v>
      </x:c>
      <x:c r="BE111" s="141" t="n">
        <x:f>IF($A111&lt;='Consorcio Direto'!$B$27,INDEX('Consorcio Direto'!$E$55:$E$534,$A111),0)</x:f>
        <x:v>2354.4670746586016</x:v>
      </x:c>
      <x:c r="BF111" s="141" t="n">
        <x:f>IF(AND(TRUE,Premissas!$B$11="Imovel",Premissas!$B$47="Moradia",$A111&lt;MAX('Consorcio Direto'!$B$29,Premissas!$B$49)),$D111,0)</x:f>
        <x:v>0</x:v>
      </x:c>
      <x:c r="BG111" s="141" t="n">
        <x:f>IF(AND(TRUE,Premissas!$B$11="Imovel",Premissas!$B$47="Investimento",$A111&gt;=MAX('Consorcio Direto'!$B$29,Premissas!$B$49)),$E111,0)</x:f>
        <x:v>1020.0627676997391</x:v>
      </x:c>
      <x:c r="BH111" s="141" t="n">
        <x:f>BD111+BE111+BF111</x:f>
        <x:v>2354.4670746586016</x:v>
      </x:c>
      <x:c r="BI111" s="141" t="n">
        <x:f>BG111</x:f>
        <x:v>1020.0627676997391</x:v>
      </x:c>
      <x:c r="BJ111" s="141" t="n">
        <x:f>$C111+BI111-BH111</x:f>
        <x:v>5665.595693041138</x:v>
      </x:c>
      <x:c r="BK111" s="141" t="n">
        <x:f>BN110*(1+Premissas!$B$41)+BJ111</x:f>
        <x:v>1257683.8399780912</x:v>
      </x:c>
      <x:c r="BL111" s="141" t="n">
        <x:f>MAX(0,-BK111)</x:f>
        <x:v>0</x:v>
      </x:c>
      <x:c r="BM111" s="141" t="n">
        <x:f>BM110*(1+Premissas!$B$41)+BL111</x:f>
        <x:v>0</x:v>
      </x:c>
      <x:c r="BN111" s="141" t="n">
        <x:f>MAX(0,BK111)</x:f>
        <x:v>1257683.8399780912</x:v>
      </x:c>
      <x:c r="BO111" s="141" t="n">
        <x:f>INDEX('Consorcio Direto'!$K$55:$K$534,$A111)</x:f>
        <x:v>239057.24328226704</x:v>
      </x:c>
      <x:c r="BP111" s="141" t="n">
        <x:f>IF($A111&lt;'Consorcio Direto'!$B$29,INDEX('Consorcio Direto'!$L$55:$L$534,$A111),$F111)</x:f>
        <x:v>334630.2045085982</x:v>
      </x:c>
      <x:c r="BQ111" s="141" t="n">
        <x:f>BN111+BP111-BO111</x:f>
        <x:v>1353256.8012044223</x:v>
      </x:c>
      <x:c r="BR111" s="141" t="n">
        <x:f>IF(BM111&gt;1,"Inviavel",BQ111)</x:f>
        <x:v>1353256.8012044223</x:v>
      </x:c>
      <x:c r="BS111" s="141" t="str">
        <x:f>IF(BM111&gt;1,"Inviavel","OK")</x:f>
        <x:v>OK</x:v>
      </x:c>
      <x:c r="BT111" s="141" t="n">
        <x:f>IF(AND('Carta Contemplada'!$B$22="Sim",$A111='Carta Contemplada'!$B$23),'Carta Contemplada'!$B$37,0)</x:f>
        <x:v>0</x:v>
      </x:c>
      <x:c r="BU111" s="141" t="n">
        <x:f>IF('Carta Contemplada'!$B$22="Sim",INDEX('Carta Contemplada'!$C$55:$C$1013,$A111),0)</x:f>
        <x:v>1912.6176894370108</x:v>
      </x:c>
      <x:c r="BV111" s="141" t="n">
        <x:f>IF(AND('Carta Contemplada'!$B$22="Sim",Premissas!$B$11="Imovel",Premissas!$B$47="Moradia",$A111&lt;MAX('Carta Contemplada'!$B$44,Premissas!$B$49)),$D111,0)</x:f>
        <x:v>0</x:v>
      </x:c>
      <x:c r="BW111" s="141" t="n">
        <x:f>IF(AND('Carta Contemplada'!$B$22="Sim",Premissas!$B$11="Imovel",Premissas!$B$47="Investimento",$A111&gt;=MAX('Carta Contemplada'!$B$44,Premissas!$B$49)),$E111,0)</x:f>
        <x:v>1020.0627676997391</x:v>
      </x:c>
      <x:c r="BX111" s="141" t="n">
        <x:f>BT111+BU111+BV111</x:f>
        <x:v>1912.6176894370108</x:v>
      </x:c>
      <x:c r="BY111" s="141" t="n">
        <x:f>BW111</x:f>
        <x:v>1020.0627676997391</x:v>
      </x:c>
      <x:c r="BZ111" s="141" t="n">
        <x:f>$C111+BY111-BX111</x:f>
        <x:v>6107.445078262728</x:v>
      </x:c>
      <x:c r="CA111" s="141" t="n">
        <x:f>CD110*(1+Premissas!$B$41)+BZ111</x:f>
        <x:v>1279989.1079674026</x:v>
      </x:c>
      <x:c r="CB111" s="141" t="n">
        <x:f>MAX(0,-CA111)</x:f>
        <x:v>0</x:v>
      </x:c>
      <x:c r="CC111" s="141" t="n">
        <x:f>CC110*(1+Premissas!$B$41)+CB111</x:f>
        <x:v>0</x:v>
      </x:c>
      <x:c r="CD111" s="141" t="n">
        <x:f>MAX(0,CA111)</x:f>
        <x:v>1279989.1079674026</x:v>
      </x:c>
      <x:c r="CE111" s="141" t="n">
        <x:f>IF(AND('Carta Contemplada'!$B$22="Sim",$A111&gt;='Carta Contemplada'!$B$23),INDEX('Carta Contemplada'!$I$55:$I$1013,$A111),0)</x:f>
        <x:v>120984.25435879857</x:v>
      </x:c>
      <x:c r="CF111" s="141" t="n">
        <x:f>IF(AND('Carta Contemplada'!$B$22="Sim",$A111&gt;='Carta Contemplada'!$B$44),$F111,0)</x:f>
        <x:v>334630.2045085982</x:v>
      </x:c>
      <x:c r="CG111" s="141" t="n">
        <x:f>CD111+CF111-CE111</x:f>
        <x:v>1493635.0581172023</x:v>
      </x:c>
      <x:c r="CH111" s="141" t="n">
        <x:f>IF(CC111&gt;1,"Inviavel",CG111)</x:f>
        <x:v>1493635.0581172023</x:v>
      </x:c>
      <x:c r="CI111" s="145" t="str">
        <x:f>IF(CC111&gt;1,"Inviavel","OK")</x:f>
        <x:v>OK</x:v>
      </x:c>
    </x:row>
    <x:row r="112">
      <x:c r="A112" s="142" t="n">
        <x:v>108</x:v>
      </x:c>
      <x:c r="B112" s="179" t="n">
        <x:f>EDATE(Premissas!$B$4,A112-1)</x:f>
        <x:v>49796</x:v>
      </x:c>
      <x:c r="C112" s="141" t="n">
        <x:f>IF(A112&lt;=Premissas!$B$39,Premissas!$B$42,0)</x:f>
        <x:v>7000</x:v>
      </x:c>
      <x:c r="D112" s="141" t="n">
        <x:f>Premissas!$B$54*(1+Premissas!$B$57)^INT((A112-1)/12)</x:f>
        <x:v>1115.6936521715895</x:v>
      </x:c>
      <x:c r="E112" s="141" t="n">
        <x:f>Premissas!$B$64*(1+Premissas!$B$57)^INT((A112-1)/12)</x:f>
        <x:v>1020.0627676997391</x:v>
      </x:c>
      <x:c r="F112" s="141" t="n">
        <x:f>MAX(0,Premissas!$B$6*(1+Premissas!$B$66)^((A112-1)/12))</x:f>
        <x:v>336259.0339497348</x:v>
      </x:c>
      <x:c r="G112" s="141" t="n">
        <x:f>G111*(1+Premissas!$B$41)+C112</x:f>
        <x:v>1555253.3093764659</x:v>
      </x:c>
      <x:c r="H112" s="141" t="n">
        <x:f>IF($A112=Premissas!$B$48,Premissas!$B$8,0)</x:f>
        <x:v>0</x:v>
      </x:c>
      <x:c r="I112" s="141" t="n">
        <x:f>IF(AND($A112&gt;=Premissas!$B$48,$A112-Premissas!$B$48+1&lt;=Premissas!$B$13),INDEX(Financiamento!$J$6:$J$485,$A112-Premissas!$B$48+1),0)</x:f>
        <x:v>1662.377976580762</x:v>
      </x:c>
      <x:c r="J112" s="141" t="n">
        <x:f>IF(AND(TRUE,Premissas!$B$11="Imovel",Premissas!$B$47="Moradia",$A112&lt;MAX(Premissas!$B$48,Premissas!$B$49)),$D112,0)</x:f>
        <x:v>0</x:v>
      </x:c>
      <x:c r="K112" s="141" t="n">
        <x:f>IF(AND(TRUE,Premissas!$B$11="Imovel",Premissas!$B$47="Investimento",$A112&gt;=MAX(Premissas!$B$48,Premissas!$B$49)),$E112,0)</x:f>
        <x:v>1020.0627676997391</x:v>
      </x:c>
      <x:c r="L112" s="141" t="n">
        <x:f>H112+I112+J112</x:f>
        <x:v>1662.377976580762</x:v>
      </x:c>
      <x:c r="M112" s="141" t="n">
        <x:f>K112</x:f>
        <x:v>1020.0627676997391</x:v>
      </x:c>
      <x:c r="N112" s="141" t="n">
        <x:f>$C112+M112-L112</x:f>
        <x:v>6357.684791118977</x:v>
      </x:c>
      <x:c r="O112" s="141" t="n">
        <x:f>R111*(1+Premissas!$B$41)+N112</x:f>
        <x:v>1238681.5424537659</x:v>
      </x:c>
      <x:c r="P112" s="141" t="n">
        <x:f>MAX(0,-O112)</x:f>
        <x:v>0</x:v>
      </x:c>
      <x:c r="Q112" s="141" t="n">
        <x:f>Q111*(1+Premissas!$B$41)+P112</x:f>
        <x:v>0</x:v>
      </x:c>
      <x:c r="R112" s="141" t="n">
        <x:f>MAX(0,O112)</x:f>
        <x:v>1238681.5424537659</x:v>
      </x:c>
      <x:c r="S112" s="141" t="n">
        <x:f>IF(AND($A112&gt;=Premissas!$B$48,$A112-Premissas!$B$48+1&lt;=Premissas!$B$13),INDEX(Financiamento!$M$6:$M$485,$A112-Premissas!$B$48+1),0)</x:f>
        <x:v>118857.14285714306</x:v>
      </x:c>
      <x:c r="T112" s="141" t="n">
        <x:f>IF($A112&gt;=Premissas!$B$48,$F112,0)</x:f>
        <x:v>336259.0339497348</x:v>
      </x:c>
      <x:c r="U112" s="141" t="n">
        <x:f>R112+T112-S112</x:f>
        <x:v>1456083.4335463578</x:v>
      </x:c>
      <x:c r="V112" s="141" t="n">
        <x:f>IF(Q112&gt;1,"Inviavel",U112)</x:f>
        <x:v>1456083.4335463578</x:v>
      </x:c>
      <x:c r="W112" s="141" t="str">
        <x:f>IF(Q112&gt;1,"Inviavel","OK")</x:f>
        <x:v>OK</x:v>
      </x:c>
      <x:c r="X112" s="141" t="n">
        <x:f>IF($A112=Premissas!$B$48,Premissas!$B$8,0)</x:f>
        <x:v>0</x:v>
      </x:c>
      <x:c r="Y112" s="141" t="n">
        <x:f>IF(AND($A112&gt;=Premissas!$B$48,$A112-Premissas!$B$48+1&lt;=Premissas!$B$13),INDEX(Amortizacao!$K$6:$K$485,$A112-Premissas!$B$48+1),0)</x:f>
        <x:v>0</x:v>
      </x:c>
      <x:c r="Z112" s="141" t="n">
        <x:f>IF(AND(TRUE,Premissas!$B$11="Imovel",Premissas!$B$47="Moradia",$A112&lt;MAX(Premissas!$B$48,Premissas!$B$49)),$D112,0)</x:f>
        <x:v>0</x:v>
      </x:c>
      <x:c r="AA112" s="141" t="n">
        <x:f>IF(AND(TRUE,Premissas!$B$11="Imovel",Premissas!$B$47="Investimento",$A112&gt;=MAX(Premissas!$B$48,Premissas!$B$49)),$E112,0)</x:f>
        <x:v>1020.0627676997391</x:v>
      </x:c>
      <x:c r="AB112" s="141" t="n">
        <x:f>X112+Y112+Z112</x:f>
        <x:v>0</x:v>
      </x:c>
      <x:c r="AC112" s="141" t="n">
        <x:f>AA112</x:f>
        <x:v>1020.0627676997391</x:v>
      </x:c>
      <x:c r="AD112" s="141" t="n">
        <x:f>$C112+AC112-AB112</x:f>
        <x:v>8020.062767699739</x:v>
      </x:c>
      <x:c r="AE112" s="141" t="n">
        <x:f>AH111*(1+Premissas!$B$41)+AD112</x:f>
        <x:v>1137986.7774781252</x:v>
      </x:c>
      <x:c r="AF112" s="141" t="n">
        <x:f>MAX(0,-AE112)</x:f>
        <x:v>0</x:v>
      </x:c>
      <x:c r="AG112" s="141" t="n">
        <x:f>AG111*(1+Premissas!$B$41)+AF112</x:f>
        <x:v>0</x:v>
      </x:c>
      <x:c r="AH112" s="141" t="n">
        <x:f>MAX(0,AE112)</x:f>
        <x:v>1137986.7774781252</x:v>
      </x:c>
      <x:c r="AI112" s="141" t="n">
        <x:f>IF(AND($A112&gt;=Premissas!$B$48,$A112-Premissas!$B$48+1&lt;=Premissas!$B$13),INDEX(Amortizacao!$L$6:$L$485,$A112-Premissas!$B$48+1),0)</x:f>
        <x:v>0</x:v>
      </x:c>
      <x:c r="AJ112" s="141" t="n">
        <x:f>IF($A112&gt;=Premissas!$B$48,$F112,0)</x:f>
        <x:v>336259.0339497348</x:v>
      </x:c>
      <x:c r="AK112" s="141" t="n">
        <x:f>AH112+AJ112-AI112</x:f>
        <x:v>1474245.81142786</x:v>
      </x:c>
      <x:c r="AL112" s="141" t="n">
        <x:f>IF(AG112&gt;1,"Inviavel",AK112)</x:f>
        <x:v>1474245.81142786</x:v>
      </x:c>
      <x:c r="AM112" s="141" t="str">
        <x:f>IF(AG112&gt;1,"Inviavel","OK")</x:f>
        <x:v>OK</x:v>
      </x:c>
      <x:c r="AN112" s="141" t="n">
        <x:f>IF($A112=Premissas!$B$48,Premissas!$B$8,0)</x:f>
        <x:v>0</x:v>
      </x:c>
      <x:c r="AO112" s="141" t="n">
        <x:f>IF($A112&lt;=Premissas!$B$25,INDEX('Consorcio IQ'!$K$6:$K$485,$A112),0)</x:f>
        <x:v>909.2359065920019</x:v>
      </x:c>
      <x:c r="AP112" s="141" t="n">
        <x:f>IF(AND(TRUE,Premissas!$B$11="Imovel",Premissas!$B$47="Moradia",$A112&lt;MAX(Premissas!$B$48,Premissas!$B$49)),$D112,0)</x:f>
        <x:v>0</x:v>
      </x:c>
      <x:c r="AQ112" s="141" t="n">
        <x:f>IF(AND(TRUE,Premissas!$B$11="Imovel",Premissas!$B$47="Investimento",$A112&gt;=MAX(Premissas!$B$48,Premissas!$B$49)),$E112,0)</x:f>
        <x:v>1020.0627676997391</x:v>
      </x:c>
      <x:c r="AR112" s="141" t="n">
        <x:f>AN112+AO112+AP112</x:f>
        <x:v>909.2359065920019</x:v>
      </x:c>
      <x:c r="AS112" s="141" t="n">
        <x:f>AQ112</x:f>
        <x:v>1020.0627676997391</x:v>
      </x:c>
      <x:c r="AT112" s="141" t="n">
        <x:f>$C112+AS112-AR112</x:f>
        <x:v>7110.826861107737</x:v>
      </x:c>
      <x:c r="AU112" s="141" t="n">
        <x:f>AX111*(1+Premissas!$B$41)+AT112</x:f>
        <x:v>1214395.6505045602</x:v>
      </x:c>
      <x:c r="AV112" s="141" t="n">
        <x:f>MAX(0,-AU112)</x:f>
        <x:v>0</x:v>
      </x:c>
      <x:c r="AW112" s="141" t="n">
        <x:f>AW111*(1+Premissas!$B$41)+AV112</x:f>
        <x:v>0</x:v>
      </x:c>
      <x:c r="AX112" s="141" t="n">
        <x:f>MAX(0,AU112)</x:f>
        <x:v>1214395.6505045602</x:v>
      </x:c>
      <x:c r="AY112" s="141" t="n">
        <x:f>INDEX('Consorcio IQ'!$P$6:$P$485,$A112)</x:f>
        <x:v>92284.63811357426</x:v>
      </x:c>
      <x:c r="AZ112" s="141" t="n">
        <x:f>IF($A112&gt;=Premissas!$B$48,$F112,0)+IF($A112&lt;Premissas!$B$27,INDEX('Consorcio IQ'!$O$6:$O$485,$A112),0)</x:f>
        <x:v>336259.0339497348</x:v>
      </x:c>
      <x:c r="BA112" s="141" t="n">
        <x:f>AX112+AZ112-AY112</x:f>
        <x:v>1458370.0463407207</x:v>
      </x:c>
      <x:c r="BB112" s="141" t="n">
        <x:f>IF(AW112&gt;1,"Inviavel",BA112)</x:f>
        <x:v>1458370.0463407207</x:v>
      </x:c>
      <x:c r="BC112" s="141" t="str">
        <x:f>IF(AW112&gt;1,"Inviavel","OK")</x:f>
        <x:v>OK</x:v>
      </x:c>
      <x:c r="BD112" s="141" t="n">
        <x:f>IF($A112='Consorcio Direto'!$B$29,'Consorcio Direto'!$B$44,0)</x:f>
        <x:v>0</x:v>
      </x:c>
      <x:c r="BE112" s="141" t="n">
        <x:f>IF($A112&lt;='Consorcio Direto'!$B$27,INDEX('Consorcio Direto'!$E$55:$E$534,$A112),0)</x:f>
        <x:v>2354.4670746586016</x:v>
      </x:c>
      <x:c r="BF112" s="141" t="n">
        <x:f>IF(AND(TRUE,Premissas!$B$11="Imovel",Premissas!$B$47="Moradia",$A112&lt;MAX('Consorcio Direto'!$B$29,Premissas!$B$49)),$D112,0)</x:f>
        <x:v>0</x:v>
      </x:c>
      <x:c r="BG112" s="141" t="n">
        <x:f>IF(AND(TRUE,Premissas!$B$11="Imovel",Premissas!$B$47="Investimento",$A112&gt;=MAX('Consorcio Direto'!$B$29,Premissas!$B$49)),$E112,0)</x:f>
        <x:v>1020.0627676997391</x:v>
      </x:c>
      <x:c r="BH112" s="141" t="n">
        <x:f>BD112+BE112+BF112</x:f>
        <x:v>2354.4670746586016</x:v>
      </x:c>
      <x:c r="BI112" s="141" t="n">
        <x:f>BG112</x:f>
        <x:v>1020.0627676997391</x:v>
      </x:c>
      <x:c r="BJ112" s="141" t="n">
        <x:f>$C112+BI112-BH112</x:f>
        <x:v>5665.595693041138</x:v>
      </x:c>
      <x:c r="BK112" s="141" t="n">
        <x:f>BN111*(1+Premissas!$B$41)+BJ112</x:f>
        <x:v>1275283.3372058556</x:v>
      </x:c>
      <x:c r="BL112" s="141" t="n">
        <x:f>MAX(0,-BK112)</x:f>
        <x:v>0</x:v>
      </x:c>
      <x:c r="BM112" s="141" t="n">
        <x:f>BM111*(1+Premissas!$B$41)+BL112</x:f>
        <x:v>0</x:v>
      </x:c>
      <x:c r="BN112" s="141" t="n">
        <x:f>MAX(0,BK112)</x:f>
        <x:v>1275283.3372058556</x:v>
      </x:c>
      <x:c r="BO112" s="141" t="n">
        <x:f>INDEX('Consorcio Direto'!$K$55:$K$534,$A112)</x:f>
        <x:v>238971.1408886261</x:v>
      </x:c>
      <x:c r="BP112" s="141" t="n">
        <x:f>IF($A112&lt;'Consorcio Direto'!$B$29,INDEX('Consorcio Direto'!$L$55:$L$534,$A112),$F112)</x:f>
        <x:v>336259.0339497348</x:v>
      </x:c>
      <x:c r="BQ112" s="141" t="n">
        <x:f>BN112+BP112-BO112</x:f>
        <x:v>1372571.2302669645</x:v>
      </x:c>
      <x:c r="BR112" s="141" t="n">
        <x:f>IF(BM112&gt;1,"Inviavel",BQ112)</x:f>
        <x:v>1372571.2302669645</x:v>
      </x:c>
      <x:c r="BS112" s="141" t="str">
        <x:f>IF(BM112&gt;1,"Inviavel","OK")</x:f>
        <x:v>OK</x:v>
      </x:c>
      <x:c r="BT112" s="141" t="n">
        <x:f>IF(AND('Carta Contemplada'!$B$22="Sim",$A112='Carta Contemplada'!$B$23),'Carta Contemplada'!$B$37,0)</x:f>
        <x:v>0</x:v>
      </x:c>
      <x:c r="BU112" s="141" t="n">
        <x:f>IF('Carta Contemplada'!$B$22="Sim",INDEX('Carta Contemplada'!$C$55:$C$1013,$A112),0)</x:f>
        <x:v>1912.6176894370108</x:v>
      </x:c>
      <x:c r="BV112" s="141" t="n">
        <x:f>IF(AND('Carta Contemplada'!$B$22="Sim",Premissas!$B$11="Imovel",Premissas!$B$47="Moradia",$A112&lt;MAX('Carta Contemplada'!$B$44,Premissas!$B$49)),$D112,0)</x:f>
        <x:v>0</x:v>
      </x:c>
      <x:c r="BW112" s="141" t="n">
        <x:f>IF(AND('Carta Contemplada'!$B$22="Sim",Premissas!$B$11="Imovel",Premissas!$B$47="Investimento",$A112&gt;=MAX('Carta Contemplada'!$B$44,Premissas!$B$49)),$E112,0)</x:f>
        <x:v>1020.0627676997391</x:v>
      </x:c>
      <x:c r="BX112" s="141" t="n">
        <x:f>BT112+BU112+BV112</x:f>
        <x:v>1912.6176894370108</x:v>
      </x:c>
      <x:c r="BY112" s="141" t="n">
        <x:f>BW112</x:f>
        <x:v>1020.0627676997391</x:v>
      </x:c>
      <x:c r="BZ112" s="141" t="n">
        <x:f>$C112+BY112-BX112</x:f>
        <x:v>6107.445078262728</x:v>
      </x:c>
      <x:c r="CA112" s="141" t="n">
        <x:f>CD111*(1+Premissas!$B$41)+BZ112</x:f>
        <x:v>1298242.1046496897</x:v>
      </x:c>
      <x:c r="CB112" s="141" t="n">
        <x:f>MAX(0,-CA112)</x:f>
        <x:v>0</x:v>
      </x:c>
      <x:c r="CC112" s="141" t="n">
        <x:f>CC111*(1+Premissas!$B$41)+CB112</x:f>
        <x:v>0</x:v>
      </x:c>
      <x:c r="CD112" s="141" t="n">
        <x:f>MAX(0,CA112)</x:f>
        <x:v>1298242.1046496897</x:v>
      </x:c>
      <x:c r="CE112" s="141" t="n">
        <x:f>IF(AND('Carta Contemplada'!$B$22="Sim",$A112&gt;='Carta Contemplada'!$B$23),INDEX('Carta Contemplada'!$I$55:$I$1013,$A112),0)</x:f>
        <x:v>120219.63120731713</x:v>
      </x:c>
      <x:c r="CF112" s="141" t="n">
        <x:f>IF(AND('Carta Contemplada'!$B$22="Sim",$A112&gt;='Carta Contemplada'!$B$44),$F112,0)</x:f>
        <x:v>336259.0339497348</x:v>
      </x:c>
      <x:c r="CG112" s="141" t="n">
        <x:f>CD112+CF112-CE112</x:f>
        <x:v>1514281.5073921075</x:v>
      </x:c>
      <x:c r="CH112" s="141" t="n">
        <x:f>IF(CC112&gt;1,"Inviavel",CG112)</x:f>
        <x:v>1514281.5073921075</x:v>
      </x:c>
      <x:c r="CI112" s="145" t="str">
        <x:f>IF(CC112&gt;1,"Inviavel","OK")</x:f>
        <x:v>OK</x:v>
      </x:c>
    </x:row>
    <x:row r="113">
      <x:c r="A113" s="142" t="n">
        <x:v>109</x:v>
      </x:c>
      <x:c r="B113" s="179" t="n">
        <x:f>EDATE(Premissas!$B$4,A113-1)</x:f>
        <x:v>49827</x:v>
      </x:c>
      <x:c r="C113" s="141" t="n">
        <x:f>IF(A113&lt;=Premissas!$B$39,Premissas!$B$42,0)</x:f>
        <x:v>7000</x:v>
      </x:c>
      <x:c r="D113" s="141" t="n">
        <x:f>Premissas!$B$54*(1+Premissas!$B$57)^INT((A113-1)/12)</x:f>
        <x:v>1182.635271301885</x:v>
      </x:c>
      <x:c r="E113" s="141" t="n">
        <x:f>Premissas!$B$64*(1+Premissas!$B$57)^INT((A113-1)/12)</x:f>
        <x:v>1081.2665337617234</x:v>
      </x:c>
      <x:c r="F113" s="141" t="n">
        <x:f>MAX(0,Premissas!$B$6*(1+Premissas!$B$66)^((A113-1)/12))</x:f>
        <x:v>337895.79180053854</x:v>
      </x:c>
      <x:c r="G113" s="141" t="n">
        <x:f>G112*(1+Premissas!$B$41)+C113</x:f>
        <x:v>1577010.7859899641</x:v>
      </x:c>
      <x:c r="H113" s="141" t="n">
        <x:f>IF($A113=Premissas!$B$48,Premissas!$B$8,0)</x:f>
        <x:v>0</x:v>
      </x:c>
      <x:c r="I113" s="141" t="n">
        <x:f>IF(AND($A113&gt;=Premissas!$B$48,$A113-Premissas!$B$48+1&lt;=Premissas!$B$13),INDEX(Financiamento!$J$6:$J$485,$A113-Premissas!$B$48+1),0)</x:f>
        <x:v>1658.7631983199685</x:v>
      </x:c>
      <x:c r="J113" s="141" t="n">
        <x:f>IF(AND(TRUE,Premissas!$B$11="Imovel",Premissas!$B$47="Moradia",$A113&lt;MAX(Premissas!$B$48,Premissas!$B$49)),$D113,0)</x:f>
        <x:v>0</x:v>
      </x:c>
      <x:c r="K113" s="141" t="n">
        <x:f>IF(AND(TRUE,Premissas!$B$11="Imovel",Premissas!$B$47="Investimento",$A113&gt;=MAX(Premissas!$B$48,Premissas!$B$49)),$E113,0)</x:f>
        <x:v>1081.2665337617234</x:v>
      </x:c>
      <x:c r="L113" s="141" t="n">
        <x:f>H113+I113+J113</x:f>
        <x:v>1658.7631983199685</x:v>
      </x:c>
      <x:c r="M113" s="141" t="n">
        <x:f>K113</x:f>
        <x:v>1081.2665337617234</x:v>
      </x:c>
      <x:c r="N113" s="141" t="n">
        <x:f>$C113+M113-L113</x:f>
        <x:v>6422.503335441756</x:v>
      </x:c>
      <x:c r="O113" s="141" t="n">
        <x:f>R112*(1+Premissas!$B$41)+N113</x:f>
        <x:v>1256857.6384574412</x:v>
      </x:c>
      <x:c r="P113" s="141" t="n">
        <x:f>MAX(0,-O113)</x:f>
        <x:v>0</x:v>
      </x:c>
      <x:c r="Q113" s="141" t="n">
        <x:f>Q112*(1+Premissas!$B$41)+P113</x:f>
        <x:v>0</x:v>
      </x:c>
      <x:c r="R113" s="141" t="n">
        <x:f>MAX(0,O113)</x:f>
        <x:v>1256857.6384574412</x:v>
      </x:c>
      <x:c r="S113" s="141" t="n">
        <x:f>IF(AND($A113&gt;=Premissas!$B$48,$A113-Premissas!$B$48+1&lt;=Premissas!$B$13),INDEX(Financiamento!$M$6:$M$485,$A113-Premissas!$B$48+1),0)</x:f>
        <x:v>118476.19047619068</x:v>
      </x:c>
      <x:c r="T113" s="141" t="n">
        <x:f>IF($A113&gt;=Premissas!$B$48,$F113,0)</x:f>
        <x:v>337895.79180053854</x:v>
      </x:c>
      <x:c r="U113" s="141" t="n">
        <x:f>R113+T113-S113</x:f>
        <x:v>1476277.239781789</x:v>
      </x:c>
      <x:c r="V113" s="141" t="n">
        <x:f>IF(Q113&gt;1,"Inviavel",U113)</x:f>
        <x:v>1476277.239781789</x:v>
      </x:c>
      <x:c r="W113" s="141" t="str">
        <x:f>IF(Q113&gt;1,"Inviavel","OK")</x:f>
        <x:v>OK</x:v>
      </x:c>
      <x:c r="X113" s="141" t="n">
        <x:f>IF($A113=Premissas!$B$48,Premissas!$B$8,0)</x:f>
        <x:v>0</x:v>
      </x:c>
      <x:c r="Y113" s="141" t="n">
        <x:f>IF(AND($A113&gt;=Premissas!$B$48,$A113-Premissas!$B$48+1&lt;=Premissas!$B$13),INDEX(Amortizacao!$K$6:$K$485,$A113-Premissas!$B$48+1),0)</x:f>
        <x:v>0</x:v>
      </x:c>
      <x:c r="Z113" s="141" t="n">
        <x:f>IF(AND(TRUE,Premissas!$B$11="Imovel",Premissas!$B$47="Moradia",$A113&lt;MAX(Premissas!$B$48,Premissas!$B$49)),$D113,0)</x:f>
        <x:v>0</x:v>
      </x:c>
      <x:c r="AA113" s="141" t="n">
        <x:f>IF(AND(TRUE,Premissas!$B$11="Imovel",Premissas!$B$47="Investimento",$A113&gt;=MAX(Premissas!$B$48,Premissas!$B$49)),$E113,0)</x:f>
        <x:v>1081.2665337617234</x:v>
      </x:c>
      <x:c r="AB113" s="141" t="n">
        <x:f>X113+Y113+Z113</x:f>
        <x:v>0</x:v>
      </x:c>
      <x:c r="AC113" s="141" t="n">
        <x:f>AA113</x:f>
        <x:v>1081.2665337617234</x:v>
      </x:c>
      <x:c r="AD113" s="141" t="n">
        <x:f>$C113+AC113-AB113</x:f>
        <x:v>8081.266533761724</x:v>
      </x:c>
      <x:c r="AE113" s="141" t="n">
        <x:f>AH112*(1+Premissas!$B$41)+AD113</x:f>
        <x:v>1156866.1649056703</x:v>
      </x:c>
      <x:c r="AF113" s="141" t="n">
        <x:f>MAX(0,-AE113)</x:f>
        <x:v>0</x:v>
      </x:c>
      <x:c r="AG113" s="141" t="n">
        <x:f>AG112*(1+Premissas!$B$41)+AF113</x:f>
        <x:v>0</x:v>
      </x:c>
      <x:c r="AH113" s="141" t="n">
        <x:f>MAX(0,AE113)</x:f>
        <x:v>1156866.1649056703</x:v>
      </x:c>
      <x:c r="AI113" s="141" t="n">
        <x:f>IF(AND($A113&gt;=Premissas!$B$48,$A113-Premissas!$B$48+1&lt;=Premissas!$B$13),INDEX(Amortizacao!$L$6:$L$485,$A113-Premissas!$B$48+1),0)</x:f>
        <x:v>0</x:v>
      </x:c>
      <x:c r="AJ113" s="141" t="n">
        <x:f>IF($A113&gt;=Premissas!$B$48,$F113,0)</x:f>
        <x:v>337895.79180053854</x:v>
      </x:c>
      <x:c r="AK113" s="141" t="n">
        <x:f>AH113+AJ113-AI113</x:f>
        <x:v>1494761.9567062089</x:v>
      </x:c>
      <x:c r="AL113" s="141" t="n">
        <x:f>IF(AG113&gt;1,"Inviavel",AK113)</x:f>
        <x:v>1494761.9567062089</x:v>
      </x:c>
      <x:c r="AM113" s="141" t="str">
        <x:f>IF(AG113&gt;1,"Inviavel","OK")</x:f>
        <x:v>OK</x:v>
      </x:c>
      <x:c r="AN113" s="141" t="n">
        <x:f>IF($A113=Premissas!$B$48,Premissas!$B$8,0)</x:f>
        <x:v>0</x:v>
      </x:c>
      <x:c r="AO113" s="141" t="n">
        <x:f>IF($A113&lt;=Premissas!$B$25,INDEX('Consorcio IQ'!$K$6:$K$485,$A113),0)</x:f>
        <x:v>963.790060987522</x:v>
      </x:c>
      <x:c r="AP113" s="141" t="n">
        <x:f>IF(AND(TRUE,Premissas!$B$11="Imovel",Premissas!$B$47="Moradia",$A113&lt;MAX(Premissas!$B$48,Premissas!$B$49)),$D113,0)</x:f>
        <x:v>0</x:v>
      </x:c>
      <x:c r="AQ113" s="141" t="n">
        <x:f>IF(AND(TRUE,Premissas!$B$11="Imovel",Premissas!$B$47="Investimento",$A113&gt;=MAX(Premissas!$B$48,Premissas!$B$49)),$E113,0)</x:f>
        <x:v>1081.2665337617234</x:v>
      </x:c>
      <x:c r="AR113" s="141" t="n">
        <x:f>AN113+AO113+AP113</x:f>
        <x:v>963.790060987522</x:v>
      </x:c>
      <x:c r="AS113" s="141" t="n">
        <x:f>AQ113</x:f>
        <x:v>1081.2665337617234</x:v>
      </x:c>
      <x:c r="AT113" s="141" t="n">
        <x:f>$C113+AS113-AR113</x:f>
        <x:v>7117.476472774201</x:v>
      </x:c>
      <x:c r="AU113" s="141" t="n">
        <x:f>AX112*(1+Premissas!$B$41)+AT113</x:f>
        <x:v>1233036.2758456306</x:v>
      </x:c>
      <x:c r="AV113" s="141" t="n">
        <x:f>MAX(0,-AU113)</x:f>
        <x:v>0</x:v>
      </x:c>
      <x:c r="AW113" s="141" t="n">
        <x:f>AW112*(1+Premissas!$B$41)+AV113</x:f>
        <x:v>0</x:v>
      </x:c>
      <x:c r="AX113" s="141" t="n">
        <x:f>MAX(0,AU113)</x:f>
        <x:v>1233036.2758456306</x:v>
      </x:c>
      <x:c r="AY113" s="141" t="n">
        <x:f>INDEX('Consorcio IQ'!$P$6:$P$485,$A113)</x:f>
        <x:v>92196.51787468937</x:v>
      </x:c>
      <x:c r="AZ113" s="141" t="n">
        <x:f>IF($A113&gt;=Premissas!$B$48,$F113,0)+IF($A113&lt;Premissas!$B$27,INDEX('Consorcio IQ'!$O$6:$O$485,$A113),0)</x:f>
        <x:v>337895.79180053854</x:v>
      </x:c>
      <x:c r="BA113" s="141" t="n">
        <x:f>AX113+AZ113-AY113</x:f>
        <x:v>1478735.5497714798</x:v>
      </x:c>
      <x:c r="BB113" s="141" t="n">
        <x:f>IF(AW113&gt;1,"Inviavel",BA113)</x:f>
        <x:v>1478735.5497714798</x:v>
      </x:c>
      <x:c r="BC113" s="141" t="str">
        <x:f>IF(AW113&gt;1,"Inviavel","OK")</x:f>
        <x:v>OK</x:v>
      </x:c>
      <x:c r="BD113" s="141" t="n">
        <x:f>IF($A113='Consorcio Direto'!$B$29,'Consorcio Direto'!$B$44,0)</x:f>
        <x:v>0</x:v>
      </x:c>
      <x:c r="BE113" s="141" t="n">
        <x:f>IF($A113&lt;='Consorcio Direto'!$B$27,INDEX('Consorcio Direto'!$E$55:$E$534,$A113),0)</x:f>
        <x:v>2495.735099138118</x:v>
      </x:c>
      <x:c r="BF113" s="141" t="n">
        <x:f>IF(AND(TRUE,Premissas!$B$11="Imovel",Premissas!$B$47="Moradia",$A113&lt;MAX('Consorcio Direto'!$B$29,Premissas!$B$49)),$D113,0)</x:f>
        <x:v>0</x:v>
      </x:c>
      <x:c r="BG113" s="141" t="n">
        <x:f>IF(AND(TRUE,Premissas!$B$11="Imovel",Premissas!$B$47="Investimento",$A113&gt;=MAX('Consorcio Direto'!$B$29,Premissas!$B$49)),$E113,0)</x:f>
        <x:v>1081.2665337617234</x:v>
      </x:c>
      <x:c r="BH113" s="141" t="n">
        <x:f>BD113+BE113+BF113</x:f>
        <x:v>2495.735099138118</x:v>
      </x:c>
      <x:c r="BI113" s="141" t="n">
        <x:f>BG113</x:f>
        <x:v>1081.2665337617234</x:v>
      </x:c>
      <x:c r="BJ113" s="141" t="n">
        <x:f>$C113+BI113-BH113</x:f>
        <x:v>5585.5314346236055</x:v>
      </x:c>
      <x:c r="BK113" s="141" t="n">
        <x:f>BN112*(1+Premissas!$B$41)+BJ113</x:f>
        <x:v>1292969.7681601497</x:v>
      </x:c>
      <x:c r="BL113" s="141" t="n">
        <x:f>MAX(0,-BK113)</x:f>
        <x:v>0</x:v>
      </x:c>
      <x:c r="BM113" s="141" t="n">
        <x:f>BM112*(1+Premissas!$B$41)+BL113</x:f>
        <x:v>0</x:v>
      </x:c>
      <x:c r="BN113" s="141" t="n">
        <x:f>MAX(0,BK113)</x:f>
        <x:v>1292969.7681601497</x:v>
      </x:c>
      <x:c r="BO113" s="141" t="n">
        <x:f>INDEX('Consorcio Direto'!$K$55:$K$534,$A113)</x:f>
        <x:v>238742.95346272123</x:v>
      </x:c>
      <x:c r="BP113" s="141" t="n">
        <x:f>IF($A113&lt;'Consorcio Direto'!$B$29,INDEX('Consorcio Direto'!$L$55:$L$534,$A113),$F113)</x:f>
        <x:v>337895.79180053854</x:v>
      </x:c>
      <x:c r="BQ113" s="141" t="n">
        <x:f>BN113+BP113-BO113</x:f>
        <x:v>1392122.606497967</x:v>
      </x:c>
      <x:c r="BR113" s="141" t="n">
        <x:f>IF(BM113&gt;1,"Inviavel",BQ113)</x:f>
        <x:v>1392122.606497967</x:v>
      </x:c>
      <x:c r="BS113" s="141" t="str">
        <x:f>IF(BM113&gt;1,"Inviavel","OK")</x:f>
        <x:v>OK</x:v>
      </x:c>
      <x:c r="BT113" s="141" t="n">
        <x:f>IF(AND('Carta Contemplada'!$B$22="Sim",$A113='Carta Contemplada'!$B$23),'Carta Contemplada'!$B$37,0)</x:f>
        <x:v>0</x:v>
      </x:c>
      <x:c r="BU113" s="141" t="n">
        <x:f>IF('Carta Contemplada'!$B$22="Sim",INDEX('Carta Contemplada'!$C$55:$C$1013,$A113),0)</x:f>
        <x:v>2027.3747508032313</x:v>
      </x:c>
      <x:c r="BV113" s="141" t="n">
        <x:f>IF(AND('Carta Contemplada'!$B$22="Sim",Premissas!$B$11="Imovel",Premissas!$B$47="Moradia",$A113&lt;MAX('Carta Contemplada'!$B$44,Premissas!$B$49)),$D113,0)</x:f>
        <x:v>0</x:v>
      </x:c>
      <x:c r="BW113" s="141" t="n">
        <x:f>IF(AND('Carta Contemplada'!$B$22="Sim",Premissas!$B$11="Imovel",Premissas!$B$47="Investimento",$A113&gt;=MAX('Carta Contemplada'!$B$44,Premissas!$B$49)),$E113,0)</x:f>
        <x:v>1081.2665337617234</x:v>
      </x:c>
      <x:c r="BX113" s="141" t="n">
        <x:f>BT113+BU113+BV113</x:f>
        <x:v>2027.3747508032313</x:v>
      </x:c>
      <x:c r="BY113" s="141" t="n">
        <x:f>BW113</x:f>
        <x:v>1081.2665337617234</x:v>
      </x:c>
      <x:c r="BZ113" s="141" t="n">
        <x:f>$C113+BY113-BX113</x:f>
        <x:v>6053.8917829584925</x:v>
      </x:c>
      <x:c r="CA113" s="141" t="n">
        <x:f>CD112*(1+Premissas!$B$41)+BZ113</x:f>
        <x:v>1316614.7469426265</x:v>
      </x:c>
      <x:c r="CB113" s="141" t="n">
        <x:f>MAX(0,-CA113)</x:f>
        <x:v>0</x:v>
      </x:c>
      <x:c r="CC113" s="141" t="n">
        <x:f>CC112*(1+Premissas!$B$41)+CB113</x:f>
        <x:v>0</x:v>
      </x:c>
      <x:c r="CD113" s="141" t="n">
        <x:f>MAX(0,CA113)</x:f>
        <x:v>1316614.7469426265</x:v>
      </x:c>
      <x:c r="CE113" s="141" t="n">
        <x:f>IF(AND('Carta Contemplada'!$B$22="Sim",$A113&gt;='Carta Contemplada'!$B$23),INDEX('Carta Contemplada'!$I$55:$I$1013,$A113),0)</x:f>
        <x:v>119332.99564371207</x:v>
      </x:c>
      <x:c r="CF113" s="141" t="n">
        <x:f>IF(AND('Carta Contemplada'!$B$22="Sim",$A113&gt;='Carta Contemplada'!$B$44),$F113,0)</x:f>
        <x:v>337895.79180053854</x:v>
      </x:c>
      <x:c r="CG113" s="141" t="n">
        <x:f>CD113+CF113-CE113</x:f>
        <x:v>1535177.543099453</x:v>
      </x:c>
      <x:c r="CH113" s="141" t="n">
        <x:f>IF(CC113&gt;1,"Inviavel",CG113)</x:f>
        <x:v>1535177.543099453</x:v>
      </x:c>
      <x:c r="CI113" s="145" t="str">
        <x:f>IF(CC113&gt;1,"Inviavel","OK")</x:f>
        <x:v>OK</x:v>
      </x:c>
    </x:row>
    <x:row r="114">
      <x:c r="A114" s="142" t="n">
        <x:v>110</x:v>
      </x:c>
      <x:c r="B114" s="179" t="n">
        <x:f>EDATE(Premissas!$B$4,A114-1)</x:f>
        <x:v>49857</x:v>
      </x:c>
      <x:c r="C114" s="141" t="n">
        <x:f>IF(A114&lt;=Premissas!$B$39,Premissas!$B$42,0)</x:f>
        <x:v>7000</x:v>
      </x:c>
      <x:c r="D114" s="141" t="n">
        <x:f>Premissas!$B$54*(1+Premissas!$B$57)^INT((A114-1)/12)</x:f>
        <x:v>1182.635271301885</x:v>
      </x:c>
      <x:c r="E114" s="141" t="n">
        <x:f>Premissas!$B$64*(1+Premissas!$B$57)^INT((A114-1)/12)</x:f>
        <x:v>1081.2665337617234</x:v>
      </x:c>
      <x:c r="F114" s="141" t="n">
        <x:f>MAX(0,Premissas!$B$6*(1+Premissas!$B$66)^((A114-1)/12))</x:f>
        <x:v>339540.5166529443</x:v>
      </x:c>
      <x:c r="G114" s="141" t="n">
        <x:f>G113*(1+Premissas!$B$41)+C114</x:f>
        <x:v>1598974.714793827</x:v>
      </x:c>
      <x:c r="H114" s="141" t="n">
        <x:f>IF($A114=Premissas!$B$48,Premissas!$B$8,0)</x:f>
        <x:v>0</x:v>
      </x:c>
      <x:c r="I114" s="141" t="n">
        <x:f>IF(AND($A114&gt;=Premissas!$B$48,$A114-Premissas!$B$48+1&lt;=Premissas!$B$13),INDEX(Financiamento!$J$6:$J$485,$A114-Premissas!$B$48+1),0)</x:f>
        <x:v>1655.148420059175</x:v>
      </x:c>
      <x:c r="J114" s="141" t="n">
        <x:f>IF(AND(TRUE,Premissas!$B$11="Imovel",Premissas!$B$47="Moradia",$A114&lt;MAX(Premissas!$B$48,Premissas!$B$49)),$D114,0)</x:f>
        <x:v>0</x:v>
      </x:c>
      <x:c r="K114" s="141" t="n">
        <x:f>IF(AND(TRUE,Premissas!$B$11="Imovel",Premissas!$B$47="Investimento",$A114&gt;=MAX(Premissas!$B$48,Premissas!$B$49)),$E114,0)</x:f>
        <x:v>1081.2665337617234</x:v>
      </x:c>
      <x:c r="L114" s="141" t="n">
        <x:f>H114+I114+J114</x:f>
        <x:v>1655.148420059175</x:v>
      </x:c>
      <x:c r="M114" s="141" t="n">
        <x:f>K114</x:f>
        <x:v>1081.2665337617234</x:v>
      </x:c>
      <x:c r="N114" s="141" t="n">
        <x:f>$C114+M114-L114</x:f>
        <x:v>6426.118113702549</x:v>
      </x:c>
      <x:c r="O114" s="141" t="n">
        <x:f>R113*(1+Premissas!$B$41)+N114</x:f>
        <x:v>1275209.8184507156</x:v>
      </x:c>
      <x:c r="P114" s="141" t="n">
        <x:f>MAX(0,-O114)</x:f>
        <x:v>0</x:v>
      </x:c>
      <x:c r="Q114" s="141" t="n">
        <x:f>Q113*(1+Premissas!$B$41)+P114</x:f>
        <x:v>0</x:v>
      </x:c>
      <x:c r="R114" s="141" t="n">
        <x:f>MAX(0,O114)</x:f>
        <x:v>1275209.8184507156</x:v>
      </x:c>
      <x:c r="S114" s="141" t="n">
        <x:f>IF(AND($A114&gt;=Premissas!$B$48,$A114-Premissas!$B$48+1&lt;=Premissas!$B$13),INDEX(Financiamento!$M$6:$M$485,$A114-Premissas!$B$48+1),0)</x:f>
        <x:v>118095.2380952383</x:v>
      </x:c>
      <x:c r="T114" s="141" t="n">
        <x:f>IF($A114&gt;=Premissas!$B$48,$F114,0)</x:f>
        <x:v>339540.5166529443</x:v>
      </x:c>
      <x:c r="U114" s="141" t="n">
        <x:f>R114+T114-S114</x:f>
        <x:v>1496655.0970084216</x:v>
      </x:c>
      <x:c r="V114" s="141" t="n">
        <x:f>IF(Q114&gt;1,"Inviavel",U114)</x:f>
        <x:v>1496655.0970084216</x:v>
      </x:c>
      <x:c r="W114" s="141" t="str">
        <x:f>IF(Q114&gt;1,"Inviavel","OK")</x:f>
        <x:v>OK</x:v>
      </x:c>
      <x:c r="X114" s="141" t="n">
        <x:f>IF($A114=Premissas!$B$48,Premissas!$B$8,0)</x:f>
        <x:v>0</x:v>
      </x:c>
      <x:c r="Y114" s="141" t="n">
        <x:f>IF(AND($A114&gt;=Premissas!$B$48,$A114-Premissas!$B$48+1&lt;=Premissas!$B$13),INDEX(Amortizacao!$K$6:$K$485,$A114-Premissas!$B$48+1),0)</x:f>
        <x:v>0</x:v>
      </x:c>
      <x:c r="Z114" s="141" t="n">
        <x:f>IF(AND(TRUE,Premissas!$B$11="Imovel",Premissas!$B$47="Moradia",$A114&lt;MAX(Premissas!$B$48,Premissas!$B$49)),$D114,0)</x:f>
        <x:v>0</x:v>
      </x:c>
      <x:c r="AA114" s="141" t="n">
        <x:f>IF(AND(TRUE,Premissas!$B$11="Imovel",Premissas!$B$47="Investimento",$A114&gt;=MAX(Premissas!$B$48,Premissas!$B$49)),$E114,0)</x:f>
        <x:v>1081.2665337617234</x:v>
      </x:c>
      <x:c r="AB114" s="141" t="n">
        <x:f>X114+Y114+Z114</x:f>
        <x:v>0</x:v>
      </x:c>
      <x:c r="AC114" s="141" t="n">
        <x:f>AA114</x:f>
        <x:v>1081.2665337617234</x:v>
      </x:c>
      <x:c r="AD114" s="141" t="n">
        <x:f>$C114+AC114-AB114</x:f>
        <x:v>8081.266533761724</x:v>
      </x:c>
      <x:c r="AE114" s="141" t="n">
        <x:f>AH113*(1+Premissas!$B$41)+AD114</x:f>
        <x:v>1175924.6949312473</x:v>
      </x:c>
      <x:c r="AF114" s="141" t="n">
        <x:f>MAX(0,-AE114)</x:f>
        <x:v>0</x:v>
      </x:c>
      <x:c r="AG114" s="141" t="n">
        <x:f>AG113*(1+Premissas!$B$41)+AF114</x:f>
        <x:v>0</x:v>
      </x:c>
      <x:c r="AH114" s="141" t="n">
        <x:f>MAX(0,AE114)</x:f>
        <x:v>1175924.6949312473</x:v>
      </x:c>
      <x:c r="AI114" s="141" t="n">
        <x:f>IF(AND($A114&gt;=Premissas!$B$48,$A114-Premissas!$B$48+1&lt;=Premissas!$B$13),INDEX(Amortizacao!$L$6:$L$485,$A114-Premissas!$B$48+1),0)</x:f>
        <x:v>0</x:v>
      </x:c>
      <x:c r="AJ114" s="141" t="n">
        <x:f>IF($A114&gt;=Premissas!$B$48,$F114,0)</x:f>
        <x:v>339540.5166529443</x:v>
      </x:c>
      <x:c r="AK114" s="141" t="n">
        <x:f>AH114+AJ114-AI114</x:f>
        <x:v>1515465.2115841915</x:v>
      </x:c>
      <x:c r="AL114" s="141" t="n">
        <x:f>IF(AG114&gt;1,"Inviavel",AK114)</x:f>
        <x:v>1515465.2115841915</x:v>
      </x:c>
      <x:c r="AM114" s="141" t="str">
        <x:f>IF(AG114&gt;1,"Inviavel","OK")</x:f>
        <x:v>OK</x:v>
      </x:c>
      <x:c r="AN114" s="141" t="n">
        <x:f>IF($A114=Premissas!$B$48,Premissas!$B$8,0)</x:f>
        <x:v>0</x:v>
      </x:c>
      <x:c r="AO114" s="141" t="n">
        <x:f>IF($A114&lt;=Premissas!$B$25,INDEX('Consorcio IQ'!$K$6:$K$485,$A114),0)</x:f>
        <x:v>963.790060987522</x:v>
      </x:c>
      <x:c r="AP114" s="141" t="n">
        <x:f>IF(AND(TRUE,Premissas!$B$11="Imovel",Premissas!$B$47="Moradia",$A114&lt;MAX(Premissas!$B$48,Premissas!$B$49)),$D114,0)</x:f>
        <x:v>0</x:v>
      </x:c>
      <x:c r="AQ114" s="141" t="n">
        <x:f>IF(AND(TRUE,Premissas!$B$11="Imovel",Premissas!$B$47="Investimento",$A114&gt;=MAX(Premissas!$B$48,Premissas!$B$49)),$E114,0)</x:f>
        <x:v>1081.2665337617234</x:v>
      </x:c>
      <x:c r="AR114" s="141" t="n">
        <x:f>AN114+AO114+AP114</x:f>
        <x:v>963.790060987522</x:v>
      </x:c>
      <x:c r="AS114" s="141" t="n">
        <x:f>AQ114</x:f>
        <x:v>1081.2665337617234</x:v>
      </x:c>
      <x:c r="AT114" s="141" t="n">
        <x:f>$C114+AS114-AR114</x:f>
        <x:v>7117.476472774201</x:v>
      </x:c>
      <x:c r="AU114" s="141" t="n">
        <x:f>AX113*(1+Premissas!$B$41)+AT114</x:f>
        <x:v>1251853.7782207334</x:v>
      </x:c>
      <x:c r="AV114" s="141" t="n">
        <x:f>MAX(0,-AU114)</x:f>
        <x:v>0</x:v>
      </x:c>
      <x:c r="AW114" s="141" t="n">
        <x:f>AW113*(1+Premissas!$B$41)+AV114</x:f>
        <x:v>0</x:v>
      </x:c>
      <x:c r="AX114" s="141" t="n">
        <x:f>MAX(0,AU114)</x:f>
        <x:v>1251853.7782207334</x:v>
      </x:c>
      <x:c r="AY114" s="141" t="n">
        <x:f>INDEX('Consorcio IQ'!$P$6:$P$485,$A114)</x:f>
        <x:v>92107.56148110435</x:v>
      </x:c>
      <x:c r="AZ114" s="141" t="n">
        <x:f>IF($A114&gt;=Premissas!$B$48,$F114,0)+IF($A114&lt;Premissas!$B$27,INDEX('Consorcio IQ'!$O$6:$O$485,$A114),0)</x:f>
        <x:v>339540.5166529443</x:v>
      </x:c>
      <x:c r="BA114" s="141" t="n">
        <x:f>AX114+AZ114-AY114</x:f>
        <x:v>1499286.7333925734</x:v>
      </x:c>
      <x:c r="BB114" s="141" t="n">
        <x:f>IF(AW114&gt;1,"Inviavel",BA114)</x:f>
        <x:v>1499286.7333925734</x:v>
      </x:c>
      <x:c r="BC114" s="141" t="str">
        <x:f>IF(AW114&gt;1,"Inviavel","OK")</x:f>
        <x:v>OK</x:v>
      </x:c>
      <x:c r="BD114" s="141" t="n">
        <x:f>IF($A114='Consorcio Direto'!$B$29,'Consorcio Direto'!$B$44,0)</x:f>
        <x:v>0</x:v>
      </x:c>
      <x:c r="BE114" s="141" t="n">
        <x:f>IF($A114&lt;='Consorcio Direto'!$B$27,INDEX('Consorcio Direto'!$E$55:$E$534,$A114),0)</x:f>
        <x:v>2495.735099138118</x:v>
      </x:c>
      <x:c r="BF114" s="141" t="n">
        <x:f>IF(AND(TRUE,Premissas!$B$11="Imovel",Premissas!$B$47="Moradia",$A114&lt;MAX('Consorcio Direto'!$B$29,Premissas!$B$49)),$D114,0)</x:f>
        <x:v>0</x:v>
      </x:c>
      <x:c r="BG114" s="141" t="n">
        <x:f>IF(AND(TRUE,Premissas!$B$11="Imovel",Premissas!$B$47="Investimento",$A114&gt;=MAX('Consorcio Direto'!$B$29,Premissas!$B$49)),$E114,0)</x:f>
        <x:v>1081.2665337617234</x:v>
      </x:c>
      <x:c r="BH114" s="141" t="n">
        <x:f>BD114+BE114+BF114</x:f>
        <x:v>2495.735099138118</x:v>
      </x:c>
      <x:c r="BI114" s="141" t="n">
        <x:f>BG114</x:f>
        <x:v>1081.2665337617234</x:v>
      </x:c>
      <x:c r="BJ114" s="141" t="n">
        <x:f>$C114+BI114-BH114</x:f>
        <x:v>5585.5314346236055</x:v>
      </x:c>
      <x:c r="BK114" s="141" t="n">
        <x:f>BN113*(1+Premissas!$B$41)+BJ114</x:f>
        <x:v>1310824.0219955207</x:v>
      </x:c>
      <x:c r="BL114" s="141" t="n">
        <x:f>MAX(0,-BK114)</x:f>
        <x:v>0</x:v>
      </x:c>
      <x:c r="BM114" s="141" t="n">
        <x:f>BM113*(1+Premissas!$B$41)+BL114</x:f>
        <x:v>0</x:v>
      </x:c>
      <x:c r="BN114" s="141" t="n">
        <x:f>MAX(0,BK114)</x:f>
        <x:v>1310824.0219955207</x:v>
      </x:c>
      <x:c r="BO114" s="141" t="n">
        <x:f>INDEX('Consorcio Direto'!$K$55:$K$534,$A114)</x:f>
        <x:v>238512.60081358167</x:v>
      </x:c>
      <x:c r="BP114" s="141" t="n">
        <x:f>IF($A114&lt;'Consorcio Direto'!$B$29,INDEX('Consorcio Direto'!$L$55:$L$534,$A114),$F114)</x:f>
        <x:v>339540.5166529443</x:v>
      </x:c>
      <x:c r="BQ114" s="141" t="n">
        <x:f>BN114+BP114-BO114</x:f>
        <x:v>1411851.9378348833</x:v>
      </x:c>
      <x:c r="BR114" s="141" t="n">
        <x:f>IF(BM114&gt;1,"Inviavel",BQ114)</x:f>
        <x:v>1411851.9378348833</x:v>
      </x:c>
      <x:c r="BS114" s="141" t="str">
        <x:f>IF(BM114&gt;1,"Inviavel","OK")</x:f>
        <x:v>OK</x:v>
      </x:c>
      <x:c r="BT114" s="141" t="n">
        <x:f>IF(AND('Carta Contemplada'!$B$22="Sim",$A114='Carta Contemplada'!$B$23),'Carta Contemplada'!$B$37,0)</x:f>
        <x:v>0</x:v>
      </x:c>
      <x:c r="BU114" s="141" t="n">
        <x:f>IF('Carta Contemplada'!$B$22="Sim",INDEX('Carta Contemplada'!$C$55:$C$1013,$A114),0)</x:f>
        <x:v>2027.3747508032313</x:v>
      </x:c>
      <x:c r="BV114" s="141" t="n">
        <x:f>IF(AND('Carta Contemplada'!$B$22="Sim",Premissas!$B$11="Imovel",Premissas!$B$47="Moradia",$A114&lt;MAX('Carta Contemplada'!$B$44,Premissas!$B$49)),$D114,0)</x:f>
        <x:v>0</x:v>
      </x:c>
      <x:c r="BW114" s="141" t="n">
        <x:f>IF(AND('Carta Contemplada'!$B$22="Sim",Premissas!$B$11="Imovel",Premissas!$B$47="Investimento",$A114&gt;=MAX('Carta Contemplada'!$B$44,Premissas!$B$49)),$E114,0)</x:f>
        <x:v>1081.2665337617234</x:v>
      </x:c>
      <x:c r="BX114" s="141" t="n">
        <x:f>BT114+BU114+BV114</x:f>
        <x:v>2027.3747508032313</x:v>
      </x:c>
      <x:c r="BY114" s="141" t="n">
        <x:f>BW114</x:f>
        <x:v>1081.2665337617234</x:v>
      </x:c>
      <x:c r="BZ114" s="141" t="n">
        <x:f>$C114+BY114-BX114</x:f>
        <x:v>6053.8917829584925</x:v>
      </x:c>
      <x:c r="CA114" s="141" t="n">
        <x:f>CD113*(1+Premissas!$B$41)+BZ114</x:f>
        <x:v>1335161.723433942</x:v>
      </x:c>
      <x:c r="CB114" s="141" t="n">
        <x:f>MAX(0,-CA114)</x:f>
        <x:v>0</x:v>
      </x:c>
      <x:c r="CC114" s="141" t="n">
        <x:f>CC113*(1+Premissas!$B$41)+CB114</x:f>
        <x:v>0</x:v>
      </x:c>
      <x:c r="CD114" s="141" t="n">
        <x:f>MAX(0,CA114)</x:f>
        <x:v>1335161.723433942</x:v>
      </x:c>
      <x:c r="CE114" s="141" t="n">
        <x:f>IF(AND('Carta Contemplada'!$B$22="Sim",$A114&gt;='Carta Contemplada'!$B$23),INDEX('Carta Contemplada'!$I$55:$I$1013,$A114),0)</x:f>
        <x:v>118437.94697883553</x:v>
      </x:c>
      <x:c r="CF114" s="141" t="n">
        <x:f>IF(AND('Carta Contemplada'!$B$22="Sim",$A114&gt;='Carta Contemplada'!$B$44),$F114,0)</x:f>
        <x:v>339540.5166529443</x:v>
      </x:c>
      <x:c r="CG114" s="141" t="n">
        <x:f>CD114+CF114-CE114</x:f>
        <x:v>1556264.2931080507</x:v>
      </x:c>
      <x:c r="CH114" s="141" t="n">
        <x:f>IF(CC114&gt;1,"Inviavel",CG114)</x:f>
        <x:v>1556264.2931080507</x:v>
      </x:c>
      <x:c r="CI114" s="145" t="str">
        <x:f>IF(CC114&gt;1,"Inviavel","OK")</x:f>
        <x:v>OK</x:v>
      </x:c>
    </x:row>
    <x:row r="115">
      <x:c r="A115" s="142" t="n">
        <x:v>111</x:v>
      </x:c>
      <x:c r="B115" s="179" t="n">
        <x:f>EDATE(Premissas!$B$4,A115-1)</x:f>
        <x:v>49888</x:v>
      </x:c>
      <x:c r="C115" s="141" t="n">
        <x:f>IF(A115&lt;=Premissas!$B$39,Premissas!$B$42,0)</x:f>
        <x:v>7000</x:v>
      </x:c>
      <x:c r="D115" s="141" t="n">
        <x:f>Premissas!$B$54*(1+Premissas!$B$57)^INT((A115-1)/12)</x:f>
        <x:v>1182.635271301885</x:v>
      </x:c>
      <x:c r="E115" s="141" t="n">
        <x:f>Premissas!$B$64*(1+Premissas!$B$57)^INT((A115-1)/12)</x:f>
        <x:v>1081.2665337617234</x:v>
      </x:c>
      <x:c r="F115" s="141" t="n">
        <x:f>MAX(0,Premissas!$B$6*(1+Premissas!$B$66)^((A115-1)/12))</x:f>
        <x:v>341193.2472867352</x:v>
      </x:c>
      <x:c r="G115" s="141" t="n">
        <x:f>G114*(1+Premissas!$B$41)+C115</x:f>
        <x:v>1621147.0547701395</x:v>
      </x:c>
      <x:c r="H115" s="141" t="n">
        <x:f>IF($A115=Premissas!$B$48,Premissas!$B$8,0)</x:f>
        <x:v>0</x:v>
      </x:c>
      <x:c r="I115" s="141" t="n">
        <x:f>IF(AND($A115&gt;=Premissas!$B$48,$A115-Premissas!$B$48+1&lt;=Premissas!$B$13),INDEX(Financiamento!$J$6:$J$485,$A115-Premissas!$B$48+1),0)</x:f>
        <x:v>1651.5336417983813</x:v>
      </x:c>
      <x:c r="J115" s="141" t="n">
        <x:f>IF(AND(TRUE,Premissas!$B$11="Imovel",Premissas!$B$47="Moradia",$A115&lt;MAX(Premissas!$B$48,Premissas!$B$49)),$D115,0)</x:f>
        <x:v>0</x:v>
      </x:c>
      <x:c r="K115" s="141" t="n">
        <x:f>IF(AND(TRUE,Premissas!$B$11="Imovel",Premissas!$B$47="Investimento",$A115&gt;=MAX(Premissas!$B$48,Premissas!$B$49)),$E115,0)</x:f>
        <x:v>1081.2665337617234</x:v>
      </x:c>
      <x:c r="L115" s="141" t="n">
        <x:f>H115+I115+J115</x:f>
        <x:v>1651.5336417983813</x:v>
      </x:c>
      <x:c r="M115" s="141" t="n">
        <x:f>K115</x:f>
        <x:v>1081.2665337617234</x:v>
      </x:c>
      <x:c r="N115" s="141" t="n">
        <x:f>$C115+M115-L115</x:f>
        <x:v>6429.732891963342</x:v>
      </x:c>
      <x:c r="O115" s="141" t="n">
        <x:f>R114*(1+Premissas!$B$41)+N115</x:f>
        <x:v>1293739.7532581051</x:v>
      </x:c>
      <x:c r="P115" s="141" t="n">
        <x:f>MAX(0,-O115)</x:f>
        <x:v>0</x:v>
      </x:c>
      <x:c r="Q115" s="141" t="n">
        <x:f>Q114*(1+Premissas!$B$41)+P115</x:f>
        <x:v>0</x:v>
      </x:c>
      <x:c r="R115" s="141" t="n">
        <x:f>MAX(0,O115)</x:f>
        <x:v>1293739.7532581051</x:v>
      </x:c>
      <x:c r="S115" s="141" t="n">
        <x:f>IF(AND($A115&gt;=Premissas!$B$48,$A115-Premissas!$B$48+1&lt;=Premissas!$B$13),INDEX(Financiamento!$M$6:$M$485,$A115-Premissas!$B$48+1),0)</x:f>
        <x:v>117714.28571428591</x:v>
      </x:c>
      <x:c r="T115" s="141" t="n">
        <x:f>IF($A115&gt;=Premissas!$B$48,$F115,0)</x:f>
        <x:v>341193.2472867352</x:v>
      </x:c>
      <x:c r="U115" s="141" t="n">
        <x:f>R115+T115-S115</x:f>
        <x:v>1517218.7148305546</x:v>
      </x:c>
      <x:c r="V115" s="141" t="n">
        <x:f>IF(Q115&gt;1,"Inviavel",U115)</x:f>
        <x:v>1517218.7148305546</x:v>
      </x:c>
      <x:c r="W115" s="141" t="str">
        <x:f>IF(Q115&gt;1,"Inviavel","OK")</x:f>
        <x:v>OK</x:v>
      </x:c>
      <x:c r="X115" s="141" t="n">
        <x:f>IF($A115=Premissas!$B$48,Premissas!$B$8,0)</x:f>
        <x:v>0</x:v>
      </x:c>
      <x:c r="Y115" s="141" t="n">
        <x:f>IF(AND($A115&gt;=Premissas!$B$48,$A115-Premissas!$B$48+1&lt;=Premissas!$B$13),INDEX(Amortizacao!$K$6:$K$485,$A115-Premissas!$B$48+1),0)</x:f>
        <x:v>0</x:v>
      </x:c>
      <x:c r="Z115" s="141" t="n">
        <x:f>IF(AND(TRUE,Premissas!$B$11="Imovel",Premissas!$B$47="Moradia",$A115&lt;MAX(Premissas!$B$48,Premissas!$B$49)),$D115,0)</x:f>
        <x:v>0</x:v>
      </x:c>
      <x:c r="AA115" s="141" t="n">
        <x:f>IF(AND(TRUE,Premissas!$B$11="Imovel",Premissas!$B$47="Investimento",$A115&gt;=MAX(Premissas!$B$48,Premissas!$B$49)),$E115,0)</x:f>
        <x:v>1081.2665337617234</x:v>
      </x:c>
      <x:c r="AB115" s="141" t="n">
        <x:f>X115+Y115+Z115</x:f>
        <x:v>0</x:v>
      </x:c>
      <x:c r="AC115" s="141" t="n">
        <x:f>AA115</x:f>
        <x:v>1081.2665337617234</x:v>
      </x:c>
      <x:c r="AD115" s="141" t="n">
        <x:f>$C115+AC115-AB115</x:f>
        <x:v>8081.266533761724</x:v>
      </x:c>
      <x:c r="AE115" s="141" t="n">
        <x:f>AH114*(1+Premissas!$B$41)+AD115</x:f>
        <x:v>1195164.0674018743</x:v>
      </x:c>
      <x:c r="AF115" s="141" t="n">
        <x:f>MAX(0,-AE115)</x:f>
        <x:v>0</x:v>
      </x:c>
      <x:c r="AG115" s="141" t="n">
        <x:f>AG114*(1+Premissas!$B$41)+AF115</x:f>
        <x:v>0</x:v>
      </x:c>
      <x:c r="AH115" s="141" t="n">
        <x:f>MAX(0,AE115)</x:f>
        <x:v>1195164.0674018743</x:v>
      </x:c>
      <x:c r="AI115" s="141" t="n">
        <x:f>IF(AND($A115&gt;=Premissas!$B$48,$A115-Premissas!$B$48+1&lt;=Premissas!$B$13),INDEX(Amortizacao!$L$6:$L$485,$A115-Premissas!$B$48+1),0)</x:f>
        <x:v>0</x:v>
      </x:c>
      <x:c r="AJ115" s="141" t="n">
        <x:f>IF($A115&gt;=Premissas!$B$48,$F115,0)</x:f>
        <x:v>341193.2472867352</x:v>
      </x:c>
      <x:c r="AK115" s="141" t="n">
        <x:f>AH115+AJ115-AI115</x:f>
        <x:v>1536357.3146886094</x:v>
      </x:c>
      <x:c r="AL115" s="141" t="n">
        <x:f>IF(AG115&gt;1,"Inviavel",AK115)</x:f>
        <x:v>1536357.3146886094</x:v>
      </x:c>
      <x:c r="AM115" s="141" t="str">
        <x:f>IF(AG115&gt;1,"Inviavel","OK")</x:f>
        <x:v>OK</x:v>
      </x:c>
      <x:c r="AN115" s="141" t="n">
        <x:f>IF($A115=Premissas!$B$48,Premissas!$B$8,0)</x:f>
        <x:v>0</x:v>
      </x:c>
      <x:c r="AO115" s="141" t="n">
        <x:f>IF($A115&lt;=Premissas!$B$25,INDEX('Consorcio IQ'!$K$6:$K$485,$A115),0)</x:f>
        <x:v>963.790060987522</x:v>
      </x:c>
      <x:c r="AP115" s="141" t="n">
        <x:f>IF(AND(TRUE,Premissas!$B$11="Imovel",Premissas!$B$47="Moradia",$A115&lt;MAX(Premissas!$B$48,Premissas!$B$49)),$D115,0)</x:f>
        <x:v>0</x:v>
      </x:c>
      <x:c r="AQ115" s="141" t="n">
        <x:f>IF(AND(TRUE,Premissas!$B$11="Imovel",Premissas!$B$47="Investimento",$A115&gt;=MAX(Premissas!$B$48,Premissas!$B$49)),$E115,0)</x:f>
        <x:v>1081.2665337617234</x:v>
      </x:c>
      <x:c r="AR115" s="141" t="n">
        <x:f>AN115+AO115+AP115</x:f>
        <x:v>963.790060987522</x:v>
      </x:c>
      <x:c r="AS115" s="141" t="n">
        <x:f>AQ115</x:f>
        <x:v>1081.2665337617234</x:v>
      </x:c>
      <x:c r="AT115" s="141" t="n">
        <x:f>$C115+AS115-AR115</x:f>
        <x:v>7117.476472774201</x:v>
      </x:c>
      <x:c r="AU115" s="141" t="n">
        <x:f>AX114*(1+Premissas!$B$41)+AT115</x:f>
        <x:v>1270849.8359794198</x:v>
      </x:c>
      <x:c r="AV115" s="141" t="n">
        <x:f>MAX(0,-AU115)</x:f>
        <x:v>0</x:v>
      </x:c>
      <x:c r="AW115" s="141" t="n">
        <x:f>AW114*(1+Premissas!$B$41)+AV115</x:f>
        <x:v>0</x:v>
      </x:c>
      <x:c r="AX115" s="141" t="n">
        <x:f>MAX(0,AU115)</x:f>
        <x:v>1270849.8359794198</x:v>
      </x:c>
      <x:c r="AY115" s="141" t="n">
        <x:f>INDEX('Consorcio IQ'!$P$6:$P$485,$A115)</x:f>
        <x:v>92017.7609987204</x:v>
      </x:c>
      <x:c r="AZ115" s="141" t="n">
        <x:f>IF($A115&gt;=Premissas!$B$48,$F115,0)+IF($A115&lt;Premissas!$B$27,INDEX('Consorcio IQ'!$O$6:$O$485,$A115),0)</x:f>
        <x:v>341193.2472867352</x:v>
      </x:c>
      <x:c r="BA115" s="141" t="n">
        <x:f>AX115+AZ115-AY115</x:f>
        <x:v>1520025.3222674346</x:v>
      </x:c>
      <x:c r="BB115" s="141" t="n">
        <x:f>IF(AW115&gt;1,"Inviavel",BA115)</x:f>
        <x:v>1520025.3222674346</x:v>
      </x:c>
      <x:c r="BC115" s="141" t="str">
        <x:f>IF(AW115&gt;1,"Inviavel","OK")</x:f>
        <x:v>OK</x:v>
      </x:c>
      <x:c r="BD115" s="141" t="n">
        <x:f>IF($A115='Consorcio Direto'!$B$29,'Consorcio Direto'!$B$44,0)</x:f>
        <x:v>0</x:v>
      </x:c>
      <x:c r="BE115" s="141" t="n">
        <x:f>IF($A115&lt;='Consorcio Direto'!$B$27,INDEX('Consorcio Direto'!$E$55:$E$534,$A115),0)</x:f>
        <x:v>2495.735099138118</x:v>
      </x:c>
      <x:c r="BF115" s="141" t="n">
        <x:f>IF(AND(TRUE,Premissas!$B$11="Imovel",Premissas!$B$47="Moradia",$A115&lt;MAX('Consorcio Direto'!$B$29,Premissas!$B$49)),$D115,0)</x:f>
        <x:v>0</x:v>
      </x:c>
      <x:c r="BG115" s="141" t="n">
        <x:f>IF(AND(TRUE,Premissas!$B$11="Imovel",Premissas!$B$47="Investimento",$A115&gt;=MAX('Consorcio Direto'!$B$29,Premissas!$B$49)),$E115,0)</x:f>
        <x:v>1081.2665337617234</x:v>
      </x:c>
      <x:c r="BH115" s="141" t="n">
        <x:f>BD115+BE115+BF115</x:f>
        <x:v>2495.735099138118</x:v>
      </x:c>
      <x:c r="BI115" s="141" t="n">
        <x:f>BG115</x:f>
        <x:v>1081.2665337617234</x:v>
      </x:c>
      <x:c r="BJ115" s="141" t="n">
        <x:f>$C115+BI115-BH115</x:f>
        <x:v>5585.5314346236055</x:v>
      </x:c>
      <x:c r="BK115" s="141" t="n">
        <x:f>BN114*(1+Premissas!$B$41)+BJ115</x:f>
        <x:v>1328847.691148537</x:v>
      </x:c>
      <x:c r="BL115" s="141" t="n">
        <x:f>MAX(0,-BK115)</x:f>
        <x:v>0</x:v>
      </x:c>
      <x:c r="BM115" s="141" t="n">
        <x:f>BM114*(1+Premissas!$B$41)+BL115</x:f>
        <x:v>0</x:v>
      </x:c>
      <x:c r="BN115" s="141" t="n">
        <x:f>MAX(0,BK115)</x:f>
        <x:v>1328847.691148537</x:v>
      </x:c>
      <x:c r="BO115" s="141" t="n">
        <x:f>INDEX('Consorcio Direto'!$K$55:$K$534,$A115)</x:f>
        <x:v>238280.0623958525</x:v>
      </x:c>
      <x:c r="BP115" s="141" t="n">
        <x:f>IF($A115&lt;'Consorcio Direto'!$B$29,INDEX('Consorcio Direto'!$L$55:$L$534,$A115),$F115)</x:f>
        <x:v>341193.2472867352</x:v>
      </x:c>
      <x:c r="BQ115" s="141" t="n">
        <x:f>BN115+BP115-BO115</x:f>
        <x:v>1431760.8760394198</x:v>
      </x:c>
      <x:c r="BR115" s="141" t="n">
        <x:f>IF(BM115&gt;1,"Inviavel",BQ115)</x:f>
        <x:v>1431760.8760394198</x:v>
      </x:c>
      <x:c r="BS115" s="141" t="str">
        <x:f>IF(BM115&gt;1,"Inviavel","OK")</x:f>
        <x:v>OK</x:v>
      </x:c>
      <x:c r="BT115" s="141" t="n">
        <x:f>IF(AND('Carta Contemplada'!$B$22="Sim",$A115='Carta Contemplada'!$B$23),'Carta Contemplada'!$B$37,0)</x:f>
        <x:v>0</x:v>
      </x:c>
      <x:c r="BU115" s="141" t="n">
        <x:f>IF('Carta Contemplada'!$B$22="Sim",INDEX('Carta Contemplada'!$C$55:$C$1013,$A115),0)</x:f>
        <x:v>2027.3747508032313</x:v>
      </x:c>
      <x:c r="BV115" s="141" t="n">
        <x:f>IF(AND('Carta Contemplada'!$B$22="Sim",Premissas!$B$11="Imovel",Premissas!$B$47="Moradia",$A115&lt;MAX('Carta Contemplada'!$B$44,Premissas!$B$49)),$D115,0)</x:f>
        <x:v>0</x:v>
      </x:c>
      <x:c r="BW115" s="141" t="n">
        <x:f>IF(AND('Carta Contemplada'!$B$22="Sim",Premissas!$B$11="Imovel",Premissas!$B$47="Investimento",$A115&gt;=MAX('Carta Contemplada'!$B$44,Premissas!$B$49)),$E115,0)</x:f>
        <x:v>1081.2665337617234</x:v>
      </x:c>
      <x:c r="BX115" s="141" t="n">
        <x:f>BT115+BU115+BV115</x:f>
        <x:v>2027.3747508032313</x:v>
      </x:c>
      <x:c r="BY115" s="141" t="n">
        <x:f>BW115</x:f>
        <x:v>1081.2665337617234</x:v>
      </x:c>
      <x:c r="BZ115" s="141" t="n">
        <x:f>$C115+BY115-BX115</x:f>
        <x:v>6053.8917829584925</x:v>
      </x:c>
      <x:c r="CA115" s="141" t="n">
        <x:f>CD114*(1+Premissas!$B$41)+BZ115</x:f>
        <x:v>1353884.6883447464</x:v>
      </x:c>
      <x:c r="CB115" s="141" t="n">
        <x:f>MAX(0,-CA115)</x:f>
        <x:v>0</x:v>
      </x:c>
      <x:c r="CC115" s="141" t="n">
        <x:f>CC114*(1+Premissas!$B$41)+CB115</x:f>
        <x:v>0</x:v>
      </x:c>
      <x:c r="CD115" s="141" t="n">
        <x:f>MAX(0,CA115)</x:f>
        <x:v>1353884.6883447464</x:v>
      </x:c>
      <x:c r="CE115" s="141" t="n">
        <x:f>IF(AND('Carta Contemplada'!$B$22="Sim",$A115&gt;='Carta Contemplada'!$B$23),INDEX('Carta Contemplada'!$I$55:$I$1013,$A115),0)</x:f>
        <x:v>117534.4053825116</x:v>
      </x:c>
      <x:c r="CF115" s="141" t="n">
        <x:f>IF(AND('Carta Contemplada'!$B$22="Sim",$A115&gt;='Carta Contemplada'!$B$44),$F115,0)</x:f>
        <x:v>341193.2472867352</x:v>
      </x:c>
      <x:c r="CG115" s="141" t="n">
        <x:f>CD115+CF115-CE115</x:f>
        <x:v>1577543.5302489698</x:v>
      </x:c>
      <x:c r="CH115" s="141" t="n">
        <x:f>IF(CC115&gt;1,"Inviavel",CG115)</x:f>
        <x:v>1577543.5302489698</x:v>
      </x:c>
      <x:c r="CI115" s="145" t="str">
        <x:f>IF(CC115&gt;1,"Inviavel","OK")</x:f>
        <x:v>OK</x:v>
      </x:c>
    </x:row>
    <x:row r="116">
      <x:c r="A116" s="142" t="n">
        <x:v>112</x:v>
      </x:c>
      <x:c r="B116" s="179" t="n">
        <x:f>EDATE(Premissas!$B$4,A116-1)</x:f>
        <x:v>49919</x:v>
      </x:c>
      <x:c r="C116" s="141" t="n">
        <x:f>IF(A116&lt;=Premissas!$B$39,Premissas!$B$42,0)</x:f>
        <x:v>7000</x:v>
      </x:c>
      <x:c r="D116" s="141" t="n">
        <x:f>Premissas!$B$54*(1+Premissas!$B$57)^INT((A116-1)/12)</x:f>
        <x:v>1182.635271301885</x:v>
      </x:c>
      <x:c r="E116" s="141" t="n">
        <x:f>Premissas!$B$64*(1+Premissas!$B$57)^INT((A116-1)/12)</x:f>
        <x:v>1081.2665337617234</x:v>
      </x:c>
      <x:c r="F116" s="141" t="n">
        <x:f>MAX(0,Premissas!$B$6*(1+Premissas!$B$66)^((A116-1)/12))</x:f>
        <x:v>342854.022670457</x:v>
      </x:c>
      <x:c r="G116" s="141" t="n">
        <x:f>G115*(1+Premissas!$B$41)+C116</x:f>
        <x:v>1643529.7834893626</x:v>
      </x:c>
      <x:c r="H116" s="141" t="n">
        <x:f>IF($A116=Premissas!$B$48,Premissas!$B$8,0)</x:f>
        <x:v>0</x:v>
      </x:c>
      <x:c r="I116" s="141" t="n">
        <x:f>IF(AND($A116&gt;=Premissas!$B$48,$A116-Premissas!$B$48+1&lt;=Premissas!$B$13),INDEX(Financiamento!$J$6:$J$485,$A116-Premissas!$B$48+1),0)</x:f>
        <x:v>1647.9188635375879</x:v>
      </x:c>
      <x:c r="J116" s="141" t="n">
        <x:f>IF(AND(TRUE,Premissas!$B$11="Imovel",Premissas!$B$47="Moradia",$A116&lt;MAX(Premissas!$B$48,Premissas!$B$49)),$D116,0)</x:f>
        <x:v>0</x:v>
      </x:c>
      <x:c r="K116" s="141" t="n">
        <x:f>IF(AND(TRUE,Premissas!$B$11="Imovel",Premissas!$B$47="Investimento",$A116&gt;=MAX(Premissas!$B$48,Premissas!$B$49)),$E116,0)</x:f>
        <x:v>1081.2665337617234</x:v>
      </x:c>
      <x:c r="L116" s="141" t="n">
        <x:f>H116+I116+J116</x:f>
        <x:v>1647.9188635375879</x:v>
      </x:c>
      <x:c r="M116" s="141" t="n">
        <x:f>K116</x:f>
        <x:v>1081.2665337617234</x:v>
      </x:c>
      <x:c r="N116" s="141" t="n">
        <x:f>$C116+M116-L116</x:f>
        <x:v>6433.347670224136</x:v>
      </x:c>
      <x:c r="O116" s="141" t="n">
        <x:f>R115*(1+Premissas!$B$41)+N116</x:f>
        <x:v>1312449.1295582338</x:v>
      </x:c>
      <x:c r="P116" s="141" t="n">
        <x:f>MAX(0,-O116)</x:f>
        <x:v>0</x:v>
      </x:c>
      <x:c r="Q116" s="141" t="n">
        <x:f>Q115*(1+Premissas!$B$41)+P116</x:f>
        <x:v>0</x:v>
      </x:c>
      <x:c r="R116" s="141" t="n">
        <x:f>MAX(0,O116)</x:f>
        <x:v>1312449.1295582338</x:v>
      </x:c>
      <x:c r="S116" s="141" t="n">
        <x:f>IF(AND($A116&gt;=Premissas!$B$48,$A116-Premissas!$B$48+1&lt;=Premissas!$B$13),INDEX(Financiamento!$M$6:$M$485,$A116-Premissas!$B$48+1),0)</x:f>
        <x:v>117333.33333333353</x:v>
      </x:c>
      <x:c r="T116" s="141" t="n">
        <x:f>IF($A116&gt;=Premissas!$B$48,$F116,0)</x:f>
        <x:v>342854.022670457</x:v>
      </x:c>
      <x:c r="U116" s="141" t="n">
        <x:f>R116+T116-S116</x:f>
        <x:v>1537969.8188953572</x:v>
      </x:c>
      <x:c r="V116" s="141" t="n">
        <x:f>IF(Q116&gt;1,"Inviavel",U116)</x:f>
        <x:v>1537969.8188953572</x:v>
      </x:c>
      <x:c r="W116" s="141" t="str">
        <x:f>IF(Q116&gt;1,"Inviavel","OK")</x:f>
        <x:v>OK</x:v>
      </x:c>
      <x:c r="X116" s="141" t="n">
        <x:f>IF($A116=Premissas!$B$48,Premissas!$B$8,0)</x:f>
        <x:v>0</x:v>
      </x:c>
      <x:c r="Y116" s="141" t="n">
        <x:f>IF(AND($A116&gt;=Premissas!$B$48,$A116-Premissas!$B$48+1&lt;=Premissas!$B$13),INDEX(Amortizacao!$K$6:$K$485,$A116-Premissas!$B$48+1),0)</x:f>
        <x:v>0</x:v>
      </x:c>
      <x:c r="Z116" s="141" t="n">
        <x:f>IF(AND(TRUE,Premissas!$B$11="Imovel",Premissas!$B$47="Moradia",$A116&lt;MAX(Premissas!$B$48,Premissas!$B$49)),$D116,0)</x:f>
        <x:v>0</x:v>
      </x:c>
      <x:c r="AA116" s="141" t="n">
        <x:f>IF(AND(TRUE,Premissas!$B$11="Imovel",Premissas!$B$47="Investimento",$A116&gt;=MAX(Premissas!$B$48,Premissas!$B$49)),$E116,0)</x:f>
        <x:v>1081.2665337617234</x:v>
      </x:c>
      <x:c r="AB116" s="141" t="n">
        <x:f>X116+Y116+Z116</x:f>
        <x:v>0</x:v>
      </x:c>
      <x:c r="AC116" s="141" t="n">
        <x:f>AA116</x:f>
        <x:v>1081.2665337617234</x:v>
      </x:c>
      <x:c r="AD116" s="141" t="n">
        <x:f>$C116+AC116-AB116</x:f>
        <x:v>8081.266533761724</x:v>
      </x:c>
      <x:c r="AE116" s="141" t="n">
        <x:f>AH115*(1+Premissas!$B$41)+AD116</x:f>
        <x:v>1214585.9982940666</x:v>
      </x:c>
      <x:c r="AF116" s="141" t="n">
        <x:f>MAX(0,-AE116)</x:f>
        <x:v>0</x:v>
      </x:c>
      <x:c r="AG116" s="141" t="n">
        <x:f>AG115*(1+Premissas!$B$41)+AF116</x:f>
        <x:v>0</x:v>
      </x:c>
      <x:c r="AH116" s="141" t="n">
        <x:f>MAX(0,AE116)</x:f>
        <x:v>1214585.9982940666</x:v>
      </x:c>
      <x:c r="AI116" s="141" t="n">
        <x:f>IF(AND($A116&gt;=Premissas!$B$48,$A116-Premissas!$B$48+1&lt;=Premissas!$B$13),INDEX(Amortizacao!$L$6:$L$485,$A116-Premissas!$B$48+1),0)</x:f>
        <x:v>0</x:v>
      </x:c>
      <x:c r="AJ116" s="141" t="n">
        <x:f>IF($A116&gt;=Premissas!$B$48,$F116,0)</x:f>
        <x:v>342854.022670457</x:v>
      </x:c>
      <x:c r="AK116" s="141" t="n">
        <x:f>AH116+AJ116-AI116</x:f>
        <x:v>1557440.0209645238</x:v>
      </x:c>
      <x:c r="AL116" s="141" t="n">
        <x:f>IF(AG116&gt;1,"Inviavel",AK116)</x:f>
        <x:v>1557440.0209645238</x:v>
      </x:c>
      <x:c r="AM116" s="141" t="str">
        <x:f>IF(AG116&gt;1,"Inviavel","OK")</x:f>
        <x:v>OK</x:v>
      </x:c>
      <x:c r="AN116" s="141" t="n">
        <x:f>IF($A116=Premissas!$B$48,Premissas!$B$8,0)</x:f>
        <x:v>0</x:v>
      </x:c>
      <x:c r="AO116" s="141" t="n">
        <x:f>IF($A116&lt;=Premissas!$B$25,INDEX('Consorcio IQ'!$K$6:$K$485,$A116),0)</x:f>
        <x:v>963.790060987522</x:v>
      </x:c>
      <x:c r="AP116" s="141" t="n">
        <x:f>IF(AND(TRUE,Premissas!$B$11="Imovel",Premissas!$B$47="Moradia",$A116&lt;MAX(Premissas!$B$48,Premissas!$B$49)),$D116,0)</x:f>
        <x:v>0</x:v>
      </x:c>
      <x:c r="AQ116" s="141" t="n">
        <x:f>IF(AND(TRUE,Premissas!$B$11="Imovel",Premissas!$B$47="Investimento",$A116&gt;=MAX(Premissas!$B$48,Premissas!$B$49)),$E116,0)</x:f>
        <x:v>1081.2665337617234</x:v>
      </x:c>
      <x:c r="AR116" s="141" t="n">
        <x:f>AN116+AO116+AP116</x:f>
        <x:v>963.790060987522</x:v>
      </x:c>
      <x:c r="AS116" s="141" t="n">
        <x:f>AQ116</x:f>
        <x:v>1081.2665337617234</x:v>
      </x:c>
      <x:c r="AT116" s="141" t="n">
        <x:f>$C116+AS116-AR116</x:f>
        <x:v>7117.476472774201</x:v>
      </x:c>
      <x:c r="AU116" s="141" t="n">
        <x:f>AX115*(1+Premissas!$B$41)+AT116</x:f>
        <x:v>1290026.1433967515</x:v>
      </x:c>
      <x:c r="AV116" s="141" t="n">
        <x:f>MAX(0,-AU116)</x:f>
        <x:v>0</x:v>
      </x:c>
      <x:c r="AW116" s="141" t="n">
        <x:f>AW115*(1+Premissas!$B$41)+AV116</x:f>
        <x:v>0</x:v>
      </x:c>
      <x:c r="AX116" s="141" t="n">
        <x:f>MAX(0,AU116)</x:f>
        <x:v>1290026.1433967515</x:v>
      </x:c>
      <x:c r="AY116" s="141" t="n">
        <x:f>INDEX('Consorcio IQ'!$P$6:$P$485,$A116)</x:f>
        <x:v>91927.10841815369</x:v>
      </x:c>
      <x:c r="AZ116" s="141" t="n">
        <x:f>IF($A116&gt;=Premissas!$B$48,$F116,0)+IF($A116&lt;Premissas!$B$27,INDEX('Consorcio IQ'!$O$6:$O$485,$A116),0)</x:f>
        <x:v>342854.022670457</x:v>
      </x:c>
      <x:c r="BA116" s="141" t="n">
        <x:f>AX116+AZ116-AY116</x:f>
        <x:v>1540953.057649055</x:v>
      </x:c>
      <x:c r="BB116" s="141" t="n">
        <x:f>IF(AW116&gt;1,"Inviavel",BA116)</x:f>
        <x:v>1540953.057649055</x:v>
      </x:c>
      <x:c r="BC116" s="141" t="str">
        <x:f>IF(AW116&gt;1,"Inviavel","OK")</x:f>
        <x:v>OK</x:v>
      </x:c>
      <x:c r="BD116" s="141" t="n">
        <x:f>IF($A116='Consorcio Direto'!$B$29,'Consorcio Direto'!$B$44,0)</x:f>
        <x:v>0</x:v>
      </x:c>
      <x:c r="BE116" s="141" t="n">
        <x:f>IF($A116&lt;='Consorcio Direto'!$B$27,INDEX('Consorcio Direto'!$E$55:$E$534,$A116),0)</x:f>
        <x:v>2495.735099138118</x:v>
      </x:c>
      <x:c r="BF116" s="141" t="n">
        <x:f>IF(AND(TRUE,Premissas!$B$11="Imovel",Premissas!$B$47="Moradia",$A116&lt;MAX('Consorcio Direto'!$B$29,Premissas!$B$49)),$D116,0)</x:f>
        <x:v>0</x:v>
      </x:c>
      <x:c r="BG116" s="141" t="n">
        <x:f>IF(AND(TRUE,Premissas!$B$11="Imovel",Premissas!$B$47="Investimento",$A116&gt;=MAX('Consorcio Direto'!$B$29,Premissas!$B$49)),$E116,0)</x:f>
        <x:v>1081.2665337617234</x:v>
      </x:c>
      <x:c r="BH116" s="141" t="n">
        <x:f>BD116+BE116+BF116</x:f>
        <x:v>2495.735099138118</x:v>
      </x:c>
      <x:c r="BI116" s="141" t="n">
        <x:f>BG116</x:f>
        <x:v>1081.2665337617234</x:v>
      </x:c>
      <x:c r="BJ116" s="141" t="n">
        <x:f>$C116+BI116-BH116</x:f>
        <x:v>5585.5314346236055</x:v>
      </x:c>
      <x:c r="BK116" s="141" t="n">
        <x:f>BN115*(1+Premissas!$B$41)+BJ116</x:f>
        <x:v>1347042.3831660678</x:v>
      </x:c>
      <x:c r="BL116" s="141" t="n">
        <x:f>MAX(0,-BK116)</x:f>
        <x:v>0</x:v>
      </x:c>
      <x:c r="BM116" s="141" t="n">
        <x:f>BM115*(1+Premissas!$B$41)+BL116</x:f>
        <x:v>0</x:v>
      </x:c>
      <x:c r="BN116" s="141" t="n">
        <x:f>MAX(0,BK116)</x:f>
        <x:v>1347042.3831660678</x:v>
      </x:c>
      <x:c r="BO116" s="141" t="n">
        <x:f>INDEX('Consorcio Direto'!$K$55:$K$534,$A116)</x:f>
        <x:v>238045.31746922815</x:v>
      </x:c>
      <x:c r="BP116" s="141" t="n">
        <x:f>IF($A116&lt;'Consorcio Direto'!$B$29,INDEX('Consorcio Direto'!$L$55:$L$534,$A116),$F116)</x:f>
        <x:v>342854.022670457</x:v>
      </x:c>
      <x:c r="BQ116" s="141" t="n">
        <x:f>BN116+BP116-BO116</x:f>
        <x:v>1451851.0883672968</x:v>
      </x:c>
      <x:c r="BR116" s="141" t="n">
        <x:f>IF(BM116&gt;1,"Inviavel",BQ116)</x:f>
        <x:v>1451851.0883672968</x:v>
      </x:c>
      <x:c r="BS116" s="141" t="str">
        <x:f>IF(BM116&gt;1,"Inviavel","OK")</x:f>
        <x:v>OK</x:v>
      </x:c>
      <x:c r="BT116" s="141" t="n">
        <x:f>IF(AND('Carta Contemplada'!$B$22="Sim",$A116='Carta Contemplada'!$B$23),'Carta Contemplada'!$B$37,0)</x:f>
        <x:v>0</x:v>
      </x:c>
      <x:c r="BU116" s="141" t="n">
        <x:f>IF('Carta Contemplada'!$B$22="Sim",INDEX('Carta Contemplada'!$C$55:$C$1013,$A116),0)</x:f>
        <x:v>2027.3747508032313</x:v>
      </x:c>
      <x:c r="BV116" s="141" t="n">
        <x:f>IF(AND('Carta Contemplada'!$B$22="Sim",Premissas!$B$11="Imovel",Premissas!$B$47="Moradia",$A116&lt;MAX('Carta Contemplada'!$B$44,Premissas!$B$49)),$D116,0)</x:f>
        <x:v>0</x:v>
      </x:c>
      <x:c r="BW116" s="141" t="n">
        <x:f>IF(AND('Carta Contemplada'!$B$22="Sim",Premissas!$B$11="Imovel",Premissas!$B$47="Investimento",$A116&gt;=MAX('Carta Contemplada'!$B$44,Premissas!$B$49)),$E116,0)</x:f>
        <x:v>1081.2665337617234</x:v>
      </x:c>
      <x:c r="BX116" s="141" t="n">
        <x:f>BT116+BU116+BV116</x:f>
        <x:v>2027.3747508032313</x:v>
      </x:c>
      <x:c r="BY116" s="141" t="n">
        <x:f>BW116</x:f>
        <x:v>1081.2665337617234</x:v>
      </x:c>
      <x:c r="BZ116" s="141" t="n">
        <x:f>$C116+BY116-BX116</x:f>
        <x:v>6053.8917829584925</x:v>
      </x:c>
      <x:c r="CA116" s="141" t="n">
        <x:f>CD115*(1+Premissas!$B$41)+BZ116</x:f>
        <x:v>1372785.3115927107</x:v>
      </x:c>
      <x:c r="CB116" s="141" t="n">
        <x:f>MAX(0,-CA116)</x:f>
        <x:v>0</x:v>
      </x:c>
      <x:c r="CC116" s="141" t="n">
        <x:f>CC115*(1+Premissas!$B$41)+CB116</x:f>
        <x:v>0</x:v>
      </x:c>
      <x:c r="CD116" s="141" t="n">
        <x:f>MAX(0,CA116)</x:f>
        <x:v>1372785.3115927107</x:v>
      </x:c>
      <x:c r="CE116" s="141" t="n">
        <x:f>IF(AND('Carta Contemplada'!$B$22="Sim",$A116&gt;='Carta Contemplada'!$B$23),INDEX('Carta Contemplada'!$I$55:$I$1013,$A116),0)</x:f>
        <x:v>116622.29026707237</x:v>
      </x:c>
      <x:c r="CF116" s="141" t="n">
        <x:f>IF(AND('Carta Contemplada'!$B$22="Sim",$A116&gt;='Carta Contemplada'!$B$44),$F116,0)</x:f>
        <x:v>342854.022670457</x:v>
      </x:c>
      <x:c r="CG116" s="141" t="n">
        <x:f>CD116+CF116-CE116</x:f>
        <x:v>1599017.0439960954</x:v>
      </x:c>
      <x:c r="CH116" s="141" t="n">
        <x:f>IF(CC116&gt;1,"Inviavel",CG116)</x:f>
        <x:v>1599017.0439960954</x:v>
      </x:c>
      <x:c r="CI116" s="145" t="str">
        <x:f>IF(CC116&gt;1,"Inviavel","OK")</x:f>
        <x:v>OK</x:v>
      </x:c>
    </x:row>
    <x:row r="117">
      <x:c r="A117" s="142" t="n">
        <x:v>113</x:v>
      </x:c>
      <x:c r="B117" s="179" t="n">
        <x:f>EDATE(Premissas!$B$4,A117-1)</x:f>
        <x:v>49949</x:v>
      </x:c>
      <x:c r="C117" s="141" t="n">
        <x:f>IF(A117&lt;=Premissas!$B$39,Premissas!$B$42,0)</x:f>
        <x:v>7000</x:v>
      </x:c>
      <x:c r="D117" s="141" t="n">
        <x:f>Premissas!$B$54*(1+Premissas!$B$57)^INT((A117-1)/12)</x:f>
        <x:v>1182.635271301885</x:v>
      </x:c>
      <x:c r="E117" s="141" t="n">
        <x:f>Premissas!$B$64*(1+Premissas!$B$57)^INT((A117-1)/12)</x:f>
        <x:v>1081.2665337617234</x:v>
      </x:c>
      <x:c r="F117" s="141" t="n">
        <x:f>MAX(0,Premissas!$B$6*(1+Premissas!$B$66)^((A117-1)/12))</x:f>
        <x:v>344522.8819623367</x:v>
      </x:c>
      <x:c r="G117" s="141" t="n">
        <x:f>G116*(1+Premissas!$B$41)+C117</x:f>
        <x:v>1666124.8972867131</x:v>
      </x:c>
      <x:c r="H117" s="141" t="n">
        <x:f>IF($A117=Premissas!$B$48,Premissas!$B$8,0)</x:f>
        <x:v>0</x:v>
      </x:c>
      <x:c r="I117" s="141" t="n">
        <x:f>IF(AND($A117&gt;=Premissas!$B$48,$A117-Premissas!$B$48+1&lt;=Premissas!$B$13),INDEX(Financiamento!$J$6:$J$485,$A117-Premissas!$B$48+1),0)</x:f>
        <x:v>1644.3040852767942</x:v>
      </x:c>
      <x:c r="J117" s="141" t="n">
        <x:f>IF(AND(TRUE,Premissas!$B$11="Imovel",Premissas!$B$47="Moradia",$A117&lt;MAX(Premissas!$B$48,Premissas!$B$49)),$D117,0)</x:f>
        <x:v>0</x:v>
      </x:c>
      <x:c r="K117" s="141" t="n">
        <x:f>IF(AND(TRUE,Premissas!$B$11="Imovel",Premissas!$B$47="Investimento",$A117&gt;=MAX(Premissas!$B$48,Premissas!$B$49)),$E117,0)</x:f>
        <x:v>1081.2665337617234</x:v>
      </x:c>
      <x:c r="L117" s="141" t="n">
        <x:f>H117+I117+J117</x:f>
        <x:v>1644.3040852767942</x:v>
      </x:c>
      <x:c r="M117" s="141" t="n">
        <x:f>K117</x:f>
        <x:v>1081.2665337617234</x:v>
      </x:c>
      <x:c r="N117" s="141" t="n">
        <x:f>$C117+M117-L117</x:f>
        <x:v>6436.962448484929</x:v>
      </x:c>
      <x:c r="O117" s="141" t="n">
        <x:f>R116*(1+Premissas!$B$41)+N117</x:f>
        <x:v>1331339.6500342705</x:v>
      </x:c>
      <x:c r="P117" s="141" t="n">
        <x:f>MAX(0,-O117)</x:f>
        <x:v>0</x:v>
      </x:c>
      <x:c r="Q117" s="141" t="n">
        <x:f>Q116*(1+Premissas!$B$41)+P117</x:f>
        <x:v>0</x:v>
      </x:c>
      <x:c r="R117" s="141" t="n">
        <x:f>MAX(0,O117)</x:f>
        <x:v>1331339.6500342705</x:v>
      </x:c>
      <x:c r="S117" s="141" t="n">
        <x:f>IF(AND($A117&gt;=Premissas!$B$48,$A117-Premissas!$B$48+1&lt;=Premissas!$B$13),INDEX(Financiamento!$M$6:$M$485,$A117-Premissas!$B$48+1),0)</x:f>
        <x:v>116952.38095238115</x:v>
      </x:c>
      <x:c r="T117" s="141" t="n">
        <x:f>IF($A117&gt;=Premissas!$B$48,$F117,0)</x:f>
        <x:v>344522.8819623367</x:v>
      </x:c>
      <x:c r="U117" s="141" t="n">
        <x:f>R117+T117-S117</x:f>
        <x:v>1558910.1510442263</x:v>
      </x:c>
      <x:c r="V117" s="141" t="n">
        <x:f>IF(Q117&gt;1,"Inviavel",U117)</x:f>
        <x:v>1558910.1510442263</x:v>
      </x:c>
      <x:c r="W117" s="141" t="str">
        <x:f>IF(Q117&gt;1,"Inviavel","OK")</x:f>
        <x:v>OK</x:v>
      </x:c>
      <x:c r="X117" s="141" t="n">
        <x:f>IF($A117=Premissas!$B$48,Premissas!$B$8,0)</x:f>
        <x:v>0</x:v>
      </x:c>
      <x:c r="Y117" s="141" t="n">
        <x:f>IF(AND($A117&gt;=Premissas!$B$48,$A117-Premissas!$B$48+1&lt;=Premissas!$B$13),INDEX(Amortizacao!$K$6:$K$485,$A117-Premissas!$B$48+1),0)</x:f>
        <x:v>0</x:v>
      </x:c>
      <x:c r="Z117" s="141" t="n">
        <x:f>IF(AND(TRUE,Premissas!$B$11="Imovel",Premissas!$B$47="Moradia",$A117&lt;MAX(Premissas!$B$48,Premissas!$B$49)),$D117,0)</x:f>
        <x:v>0</x:v>
      </x:c>
      <x:c r="AA117" s="141" t="n">
        <x:f>IF(AND(TRUE,Premissas!$B$11="Imovel",Premissas!$B$47="Investimento",$A117&gt;=MAX(Premissas!$B$48,Premissas!$B$49)),$E117,0)</x:f>
        <x:v>1081.2665337617234</x:v>
      </x:c>
      <x:c r="AB117" s="141" t="n">
        <x:f>X117+Y117+Z117</x:f>
        <x:v>0</x:v>
      </x:c>
      <x:c r="AC117" s="141" t="n">
        <x:f>AA117</x:f>
        <x:v>1081.2665337617234</x:v>
      </x:c>
      <x:c r="AD117" s="141" t="n">
        <x:f>$C117+AC117-AB117</x:f>
        <x:v>8081.266533761724</x:v>
      </x:c>
      <x:c r="AE117" s="141" t="n">
        <x:f>AH116*(1+Premissas!$B$41)+AD117</x:f>
        <x:v>1234192.2198668846</x:v>
      </x:c>
      <x:c r="AF117" s="141" t="n">
        <x:f>MAX(0,-AE117)</x:f>
        <x:v>0</x:v>
      </x:c>
      <x:c r="AG117" s="141" t="n">
        <x:f>AG116*(1+Premissas!$B$41)+AF117</x:f>
        <x:v>0</x:v>
      </x:c>
      <x:c r="AH117" s="141" t="n">
        <x:f>MAX(0,AE117)</x:f>
        <x:v>1234192.2198668846</x:v>
      </x:c>
      <x:c r="AI117" s="141" t="n">
        <x:f>IF(AND($A117&gt;=Premissas!$B$48,$A117-Premissas!$B$48+1&lt;=Premissas!$B$13),INDEX(Amortizacao!$L$6:$L$485,$A117-Premissas!$B$48+1),0)</x:f>
        <x:v>0</x:v>
      </x:c>
      <x:c r="AJ117" s="141" t="n">
        <x:f>IF($A117&gt;=Premissas!$B$48,$F117,0)</x:f>
        <x:v>344522.8819623367</x:v>
      </x:c>
      <x:c r="AK117" s="141" t="n">
        <x:f>AH117+AJ117-AI117</x:f>
        <x:v>1578715.1018292215</x:v>
      </x:c>
      <x:c r="AL117" s="141" t="n">
        <x:f>IF(AG117&gt;1,"Inviavel",AK117)</x:f>
        <x:v>1578715.1018292215</x:v>
      </x:c>
      <x:c r="AM117" s="141" t="str">
        <x:f>IF(AG117&gt;1,"Inviavel","OK")</x:f>
        <x:v>OK</x:v>
      </x:c>
      <x:c r="AN117" s="141" t="n">
        <x:f>IF($A117=Premissas!$B$48,Premissas!$B$8,0)</x:f>
        <x:v>0</x:v>
      </x:c>
      <x:c r="AO117" s="141" t="n">
        <x:f>IF($A117&lt;=Premissas!$B$25,INDEX('Consorcio IQ'!$K$6:$K$485,$A117),0)</x:f>
        <x:v>963.790060987522</x:v>
      </x:c>
      <x:c r="AP117" s="141" t="n">
        <x:f>IF(AND(TRUE,Premissas!$B$11="Imovel",Premissas!$B$47="Moradia",$A117&lt;MAX(Premissas!$B$48,Premissas!$B$49)),$D117,0)</x:f>
        <x:v>0</x:v>
      </x:c>
      <x:c r="AQ117" s="141" t="n">
        <x:f>IF(AND(TRUE,Premissas!$B$11="Imovel",Premissas!$B$47="Investimento",$A117&gt;=MAX(Premissas!$B$48,Premissas!$B$49)),$E117,0)</x:f>
        <x:v>1081.2665337617234</x:v>
      </x:c>
      <x:c r="AR117" s="141" t="n">
        <x:f>AN117+AO117+AP117</x:f>
        <x:v>963.790060987522</x:v>
      </x:c>
      <x:c r="AS117" s="141" t="n">
        <x:f>AQ117</x:f>
        <x:v>1081.2665337617234</x:v>
      </x:c>
      <x:c r="AT117" s="141" t="n">
        <x:f>$C117+AS117-AR117</x:f>
        <x:v>7117.476472774201</x:v>
      </x:c>
      <x:c r="AU117" s="141" t="n">
        <x:f>AX116*(1+Premissas!$B$41)+AT117</x:f>
        <x:v>1309384.4108244162</x:v>
      </x:c>
      <x:c r="AV117" s="141" t="n">
        <x:f>MAX(0,-AU117)</x:f>
        <x:v>0</x:v>
      </x:c>
      <x:c r="AW117" s="141" t="n">
        <x:f>AW116*(1+Premissas!$B$41)+AV117</x:f>
        <x:v>0</x:v>
      </x:c>
      <x:c r="AX117" s="141" t="n">
        <x:f>MAX(0,AU117)</x:f>
        <x:v>1309384.4108244162</x:v>
      </x:c>
      <x:c r="AY117" s="141" t="n">
        <x:f>INDEX('Consorcio IQ'!$P$6:$P$485,$A117)</x:f>
        <x:v>91835.59565402099</x:v>
      </x:c>
      <x:c r="AZ117" s="141" t="n">
        <x:f>IF($A117&gt;=Premissas!$B$48,$F117,0)+IF($A117&lt;Premissas!$B$27,INDEX('Consorcio IQ'!$O$6:$O$485,$A117),0)</x:f>
        <x:v>344522.8819623367</x:v>
      </x:c>
      <x:c r="BA117" s="141" t="n">
        <x:f>AX117+AZ117-AY117</x:f>
        <x:v>1562071.6971327318</x:v>
      </x:c>
      <x:c r="BB117" s="141" t="n">
        <x:f>IF(AW117&gt;1,"Inviavel",BA117)</x:f>
        <x:v>1562071.6971327318</x:v>
      </x:c>
      <x:c r="BC117" s="141" t="str">
        <x:f>IF(AW117&gt;1,"Inviavel","OK")</x:f>
        <x:v>OK</x:v>
      </x:c>
      <x:c r="BD117" s="141" t="n">
        <x:f>IF($A117='Consorcio Direto'!$B$29,'Consorcio Direto'!$B$44,0)</x:f>
        <x:v>0</x:v>
      </x:c>
      <x:c r="BE117" s="141" t="n">
        <x:f>IF($A117&lt;='Consorcio Direto'!$B$27,INDEX('Consorcio Direto'!$E$55:$E$534,$A117),0)</x:f>
        <x:v>2495.735099138118</x:v>
      </x:c>
      <x:c r="BF117" s="141" t="n">
        <x:f>IF(AND(TRUE,Premissas!$B$11="Imovel",Premissas!$B$47="Moradia",$A117&lt;MAX('Consorcio Direto'!$B$29,Premissas!$B$49)),$D117,0)</x:f>
        <x:v>0</x:v>
      </x:c>
      <x:c r="BG117" s="141" t="n">
        <x:f>IF(AND(TRUE,Premissas!$B$11="Imovel",Premissas!$B$47="Investimento",$A117&gt;=MAX('Consorcio Direto'!$B$29,Premissas!$B$49)),$E117,0)</x:f>
        <x:v>1081.2665337617234</x:v>
      </x:c>
      <x:c r="BH117" s="141" t="n">
        <x:f>BD117+BE117+BF117</x:f>
        <x:v>2495.735099138118</x:v>
      </x:c>
      <x:c r="BI117" s="141" t="n">
        <x:f>BG117</x:f>
        <x:v>1081.2665337617234</x:v>
      </x:c>
      <x:c r="BJ117" s="141" t="n">
        <x:f>$C117+BI117-BH117</x:f>
        <x:v>5585.5314346236055</x:v>
      </x:c>
      <x:c r="BK117" s="141" t="n">
        <x:f>BN116*(1+Premissas!$B$41)+BJ117</x:f>
        <x:v>1365409.7208486614</x:v>
      </x:c>
      <x:c r="BL117" s="141" t="n">
        <x:f>MAX(0,-BK117)</x:f>
        <x:v>0</x:v>
      </x:c>
      <x:c r="BM117" s="141" t="n">
        <x:f>BM116*(1+Premissas!$B$41)+BL117</x:f>
        <x:v>0</x:v>
      </x:c>
      <x:c r="BN117" s="141" t="n">
        <x:f>MAX(0,BK117)</x:f>
        <x:v>1365409.7208486614</x:v>
      </x:c>
      <x:c r="BO117" s="141" t="n">
        <x:f>INDEX('Consorcio Direto'!$K$55:$K$534,$A117)</x:f>
        <x:v>237808.34509660263</x:v>
      </x:c>
      <x:c r="BP117" s="141" t="n">
        <x:f>IF($A117&lt;'Consorcio Direto'!$B$29,INDEX('Consorcio Direto'!$L$55:$L$534,$A117),$F117)</x:f>
        <x:v>344522.8819623367</x:v>
      </x:c>
      <x:c r="BQ117" s="141" t="n">
        <x:f>BN117+BP117-BO117</x:f>
        <x:v>1472124.2577143954</x:v>
      </x:c>
      <x:c r="BR117" s="141" t="n">
        <x:f>IF(BM117&gt;1,"Inviavel",BQ117)</x:f>
        <x:v>1472124.2577143954</x:v>
      </x:c>
      <x:c r="BS117" s="141" t="str">
        <x:f>IF(BM117&gt;1,"Inviavel","OK")</x:f>
        <x:v>OK</x:v>
      </x:c>
      <x:c r="BT117" s="141" t="n">
        <x:f>IF(AND('Carta Contemplada'!$B$22="Sim",$A117='Carta Contemplada'!$B$23),'Carta Contemplada'!$B$37,0)</x:f>
        <x:v>0</x:v>
      </x:c>
      <x:c r="BU117" s="141" t="n">
        <x:f>IF('Carta Contemplada'!$B$22="Sim",INDEX('Carta Contemplada'!$C$55:$C$1013,$A117),0)</x:f>
        <x:v>2027.3747508032313</x:v>
      </x:c>
      <x:c r="BV117" s="141" t="n">
        <x:f>IF(AND('Carta Contemplada'!$B$22="Sim",Premissas!$B$11="Imovel",Premissas!$B$47="Moradia",$A117&lt;MAX('Carta Contemplada'!$B$44,Premissas!$B$49)),$D117,0)</x:f>
        <x:v>0</x:v>
      </x:c>
      <x:c r="BW117" s="141" t="n">
        <x:f>IF(AND('Carta Contemplada'!$B$22="Sim",Premissas!$B$11="Imovel",Premissas!$B$47="Investimento",$A117&gt;=MAX('Carta Contemplada'!$B$44,Premissas!$B$49)),$E117,0)</x:f>
        <x:v>1081.2665337617234</x:v>
      </x:c>
      <x:c r="BX117" s="141" t="n">
        <x:f>BT117+BU117+BV117</x:f>
        <x:v>2027.3747508032313</x:v>
      </x:c>
      <x:c r="BY117" s="141" t="n">
        <x:f>BW117</x:f>
        <x:v>1081.2665337617234</x:v>
      </x:c>
      <x:c r="BZ117" s="141" t="n">
        <x:f>$C117+BY117-BX117</x:f>
        <x:v>6053.8917829584925</x:v>
      </x:c>
      <x:c r="CA117" s="141" t="n">
        <x:f>CD116*(1+Premissas!$B$41)+BZ117</x:f>
        <x:v>1391865.2789410094</x:v>
      </x:c>
      <x:c r="CB117" s="141" t="n">
        <x:f>MAX(0,-CA117)</x:f>
        <x:v>0</x:v>
      </x:c>
      <x:c r="CC117" s="141" t="n">
        <x:f>CC116*(1+Premissas!$B$41)+CB117</x:f>
        <x:v>0</x:v>
      </x:c>
      <x:c r="CD117" s="141" t="n">
        <x:f>MAX(0,CA117)</x:f>
        <x:v>1391865.2789410094</x:v>
      </x:c>
      <x:c r="CE117" s="141" t="n">
        <x:f>IF(AND('Carta Contemplada'!$B$22="Sim",$A117&gt;='Carta Contemplada'!$B$23),INDEX('Carta Contemplada'!$I$55:$I$1013,$A117),0)</x:f>
        <x:v>115701.52028017024</x:v>
      </x:c>
      <x:c r="CF117" s="141" t="n">
        <x:f>IF(AND('Carta Contemplada'!$B$22="Sim",$A117&gt;='Carta Contemplada'!$B$44),$F117,0)</x:f>
        <x:v>344522.8819623367</x:v>
      </x:c>
      <x:c r="CG117" s="141" t="n">
        <x:f>CD117+CF117-CE117</x:f>
        <x:v>1620686.640623176</x:v>
      </x:c>
      <x:c r="CH117" s="141" t="n">
        <x:f>IF(CC117&gt;1,"Inviavel",CG117)</x:f>
        <x:v>1620686.640623176</x:v>
      </x:c>
      <x:c r="CI117" s="145" t="str">
        <x:f>IF(CC117&gt;1,"Inviavel","OK")</x:f>
        <x:v>OK</x:v>
      </x:c>
    </x:row>
    <x:row r="118">
      <x:c r="A118" s="142" t="n">
        <x:v>114</x:v>
      </x:c>
      <x:c r="B118" s="179" t="n">
        <x:f>EDATE(Premissas!$B$4,A118-1)</x:f>
        <x:v>49980</x:v>
      </x:c>
      <x:c r="C118" s="141" t="n">
        <x:f>IF(A118&lt;=Premissas!$B$39,Premissas!$B$42,0)</x:f>
        <x:v>7000</x:v>
      </x:c>
      <x:c r="D118" s="141" t="n">
        <x:f>Premissas!$B$54*(1+Premissas!$B$57)^INT((A118-1)/12)</x:f>
        <x:v>1182.635271301885</x:v>
      </x:c>
      <x:c r="E118" s="141" t="n">
        <x:f>Premissas!$B$64*(1+Premissas!$B$57)^INT((A118-1)/12)</x:f>
        <x:v>1081.2665337617234</x:v>
      </x:c>
      <x:c r="F118" s="141" t="n">
        <x:f>MAX(0,Premissas!$B$6*(1+Premissas!$B$66)^((A118-1)/12))</x:f>
        <x:v>346199.8645112061</x:v>
      </x:c>
      <x:c r="G118" s="141" t="n">
        <x:f>G117*(1+Premissas!$B$41)+C118</x:f>
        <x:v>1688934.4114402202</x:v>
      </x:c>
      <x:c r="H118" s="141" t="n">
        <x:f>IF($A118=Premissas!$B$48,Premissas!$B$8,0)</x:f>
        <x:v>0</x:v>
      </x:c>
      <x:c r="I118" s="141" t="n">
        <x:f>IF(AND($A118&gt;=Premissas!$B$48,$A118-Premissas!$B$48+1&lt;=Premissas!$B$13),INDEX(Financiamento!$J$6:$J$485,$A118-Premissas!$B$48+1),0)</x:f>
        <x:v>1640.6893070160006</x:v>
      </x:c>
      <x:c r="J118" s="141" t="n">
        <x:f>IF(AND(TRUE,Premissas!$B$11="Imovel",Premissas!$B$47="Moradia",$A118&lt;MAX(Premissas!$B$48,Premissas!$B$49)),$D118,0)</x:f>
        <x:v>0</x:v>
      </x:c>
      <x:c r="K118" s="141" t="n">
        <x:f>IF(AND(TRUE,Premissas!$B$11="Imovel",Premissas!$B$47="Investimento",$A118&gt;=MAX(Premissas!$B$48,Premissas!$B$49)),$E118,0)</x:f>
        <x:v>1081.2665337617234</x:v>
      </x:c>
      <x:c r="L118" s="141" t="n">
        <x:f>H118+I118+J118</x:f>
        <x:v>1640.6893070160006</x:v>
      </x:c>
      <x:c r="M118" s="141" t="n">
        <x:f>K118</x:f>
        <x:v>1081.2665337617234</x:v>
      </x:c>
      <x:c r="N118" s="141" t="n">
        <x:f>$C118+M118-L118</x:f>
        <x:v>6440.577226745723</x:v>
      </x:c>
      <x:c r="O118" s="141" t="n">
        <x:f>R117*(1+Premissas!$B$41)+N118</x:f>
        <x:v>1350413.0335257915</x:v>
      </x:c>
      <x:c r="P118" s="141" t="n">
        <x:f>MAX(0,-O118)</x:f>
        <x:v>0</x:v>
      </x:c>
      <x:c r="Q118" s="141" t="n">
        <x:f>Q117*(1+Premissas!$B$41)+P118</x:f>
        <x:v>0</x:v>
      </x:c>
      <x:c r="R118" s="141" t="n">
        <x:f>MAX(0,O118)</x:f>
        <x:v>1350413.0335257915</x:v>
      </x:c>
      <x:c r="S118" s="141" t="n">
        <x:f>IF(AND($A118&gt;=Premissas!$B$48,$A118-Premissas!$B$48+1&lt;=Premissas!$B$13),INDEX(Financiamento!$M$6:$M$485,$A118-Premissas!$B$48+1),0)</x:f>
        <x:v>116571.42857142877</x:v>
      </x:c>
      <x:c r="T118" s="141" t="n">
        <x:f>IF($A118&gt;=Premissas!$B$48,$F118,0)</x:f>
        <x:v>346199.8645112061</x:v>
      </x:c>
      <x:c r="U118" s="141" t="n">
        <x:f>R118+T118-S118</x:f>
        <x:v>1580041.4694655687</x:v>
      </x:c>
      <x:c r="V118" s="141" t="n">
        <x:f>IF(Q118&gt;1,"Inviavel",U118)</x:f>
        <x:v>1580041.4694655687</x:v>
      </x:c>
      <x:c r="W118" s="141" t="str">
        <x:f>IF(Q118&gt;1,"Inviavel","OK")</x:f>
        <x:v>OK</x:v>
      </x:c>
      <x:c r="X118" s="141" t="n">
        <x:f>IF($A118=Premissas!$B$48,Premissas!$B$8,0)</x:f>
        <x:v>0</x:v>
      </x:c>
      <x:c r="Y118" s="141" t="n">
        <x:f>IF(AND($A118&gt;=Premissas!$B$48,$A118-Premissas!$B$48+1&lt;=Premissas!$B$13),INDEX(Amortizacao!$K$6:$K$485,$A118-Premissas!$B$48+1),0)</x:f>
        <x:v>0</x:v>
      </x:c>
      <x:c r="Z118" s="141" t="n">
        <x:f>IF(AND(TRUE,Premissas!$B$11="Imovel",Premissas!$B$47="Moradia",$A118&lt;MAX(Premissas!$B$48,Premissas!$B$49)),$D118,0)</x:f>
        <x:v>0</x:v>
      </x:c>
      <x:c r="AA118" s="141" t="n">
        <x:f>IF(AND(TRUE,Premissas!$B$11="Imovel",Premissas!$B$47="Investimento",$A118&gt;=MAX(Premissas!$B$48,Premissas!$B$49)),$E118,0)</x:f>
        <x:v>1081.2665337617234</x:v>
      </x:c>
      <x:c r="AB118" s="141" t="n">
        <x:f>X118+Y118+Z118</x:f>
        <x:v>0</x:v>
      </x:c>
      <x:c r="AC118" s="141" t="n">
        <x:f>AA118</x:f>
        <x:v>1081.2665337617234</x:v>
      </x:c>
      <x:c r="AD118" s="141" t="n">
        <x:f>$C118+AC118-AB118</x:f>
        <x:v>8081.266533761724</x:v>
      </x:c>
      <x:c r="AE118" s="141" t="n">
        <x:f>AH117*(1+Premissas!$B$41)+AD118</x:f>
        <x:v>1253984.4808164367</x:v>
      </x:c>
      <x:c r="AF118" s="141" t="n">
        <x:f>MAX(0,-AE118)</x:f>
        <x:v>0</x:v>
      </x:c>
      <x:c r="AG118" s="141" t="n">
        <x:f>AG117*(1+Premissas!$B$41)+AF118</x:f>
        <x:v>0</x:v>
      </x:c>
      <x:c r="AH118" s="141" t="n">
        <x:f>MAX(0,AE118)</x:f>
        <x:v>1253984.4808164367</x:v>
      </x:c>
      <x:c r="AI118" s="141" t="n">
        <x:f>IF(AND($A118&gt;=Premissas!$B$48,$A118-Premissas!$B$48+1&lt;=Premissas!$B$13),INDEX(Amortizacao!$L$6:$L$485,$A118-Premissas!$B$48+1),0)</x:f>
        <x:v>0</x:v>
      </x:c>
      <x:c r="AJ118" s="141" t="n">
        <x:f>IF($A118&gt;=Premissas!$B$48,$F118,0)</x:f>
        <x:v>346199.8645112061</x:v>
      </x:c>
      <x:c r="AK118" s="141" t="n">
        <x:f>AH118+AJ118-AI118</x:f>
        <x:v>1600184.3453276427</x:v>
      </x:c>
      <x:c r="AL118" s="141" t="n">
        <x:f>IF(AG118&gt;1,"Inviavel",AK118)</x:f>
        <x:v>1600184.3453276427</x:v>
      </x:c>
      <x:c r="AM118" s="141" t="str">
        <x:f>IF(AG118&gt;1,"Inviavel","OK")</x:f>
        <x:v>OK</x:v>
      </x:c>
      <x:c r="AN118" s="141" t="n">
        <x:f>IF($A118=Premissas!$B$48,Premissas!$B$8,0)</x:f>
        <x:v>0</x:v>
      </x:c>
      <x:c r="AO118" s="141" t="n">
        <x:f>IF($A118&lt;=Premissas!$B$25,INDEX('Consorcio IQ'!$K$6:$K$485,$A118),0)</x:f>
        <x:v>963.790060987522</x:v>
      </x:c>
      <x:c r="AP118" s="141" t="n">
        <x:f>IF(AND(TRUE,Premissas!$B$11="Imovel",Premissas!$B$47="Moradia",$A118&lt;MAX(Premissas!$B$48,Premissas!$B$49)),$D118,0)</x:f>
        <x:v>0</x:v>
      </x:c>
      <x:c r="AQ118" s="141" t="n">
        <x:f>IF(AND(TRUE,Premissas!$B$11="Imovel",Premissas!$B$47="Investimento",$A118&gt;=MAX(Premissas!$B$48,Premissas!$B$49)),$E118,0)</x:f>
        <x:v>1081.2665337617234</x:v>
      </x:c>
      <x:c r="AR118" s="141" t="n">
        <x:f>AN118+AO118+AP118</x:f>
        <x:v>963.790060987522</x:v>
      </x:c>
      <x:c r="AS118" s="141" t="n">
        <x:f>AQ118</x:f>
        <x:v>1081.2665337617234</x:v>
      </x:c>
      <x:c r="AT118" s="141" t="n">
        <x:f>$C118+AS118-AR118</x:f>
        <x:v>7117.476472774201</x:v>
      </x:c>
      <x:c r="AU118" s="141" t="n">
        <x:f>AX117*(1+Premissas!$B$41)+AT118</x:f>
        <x:v>1328926.3648432745</x:v>
      </x:c>
      <x:c r="AV118" s="141" t="n">
        <x:f>MAX(0,-AU118)</x:f>
        <x:v>0</x:v>
      </x:c>
      <x:c r="AW118" s="141" t="n">
        <x:f>AW117*(1+Premissas!$B$41)+AV118</x:f>
        <x:v>0</x:v>
      </x:c>
      <x:c r="AX118" s="141" t="n">
        <x:f>MAX(0,AU118)</x:f>
        <x:v>1328926.3648432745</x:v>
      </x:c>
      <x:c r="AY118" s="141" t="n">
        <x:f>INDEX('Consorcio IQ'!$P$6:$P$485,$A118)</x:f>
        <x:v>91743.21454421857</x:v>
      </x:c>
      <x:c r="AZ118" s="141" t="n">
        <x:f>IF($A118&gt;=Premissas!$B$48,$F118,0)+IF($A118&lt;Premissas!$B$27,INDEX('Consorcio IQ'!$O$6:$O$485,$A118),0)</x:f>
        <x:v>346199.8645112061</x:v>
      </x:c>
      <x:c r="BA118" s="141" t="n">
        <x:f>AX118+AZ118-AY118</x:f>
        <x:v>1583383.014810262</x:v>
      </x:c>
      <x:c r="BB118" s="141" t="n">
        <x:f>IF(AW118&gt;1,"Inviavel",BA118)</x:f>
        <x:v>1583383.014810262</x:v>
      </x:c>
      <x:c r="BC118" s="141" t="str">
        <x:f>IF(AW118&gt;1,"Inviavel","OK")</x:f>
        <x:v>OK</x:v>
      </x:c>
      <x:c r="BD118" s="141" t="n">
        <x:f>IF($A118='Consorcio Direto'!$B$29,'Consorcio Direto'!$B$44,0)</x:f>
        <x:v>0</x:v>
      </x:c>
      <x:c r="BE118" s="141" t="n">
        <x:f>IF($A118&lt;='Consorcio Direto'!$B$27,INDEX('Consorcio Direto'!$E$55:$E$534,$A118),0)</x:f>
        <x:v>2495.735099138118</x:v>
      </x:c>
      <x:c r="BF118" s="141" t="n">
        <x:f>IF(AND(TRUE,Premissas!$B$11="Imovel",Premissas!$B$47="Moradia",$A118&lt;MAX('Consorcio Direto'!$B$29,Premissas!$B$49)),$D118,0)</x:f>
        <x:v>0</x:v>
      </x:c>
      <x:c r="BG118" s="141" t="n">
        <x:f>IF(AND(TRUE,Premissas!$B$11="Imovel",Premissas!$B$47="Investimento",$A118&gt;=MAX('Consorcio Direto'!$B$29,Premissas!$B$49)),$E118,0)</x:f>
        <x:v>1081.2665337617234</x:v>
      </x:c>
      <x:c r="BH118" s="141" t="n">
        <x:f>BD118+BE118+BF118</x:f>
        <x:v>2495.735099138118</x:v>
      </x:c>
      <x:c r="BI118" s="141" t="n">
        <x:f>BG118</x:f>
        <x:v>1081.2665337617234</x:v>
      </x:c>
      <x:c r="BJ118" s="141" t="n">
        <x:f>$C118+BI118-BH118</x:f>
        <x:v>5585.5314346236055</x:v>
      </x:c>
      <x:c r="BK118" s="141" t="n">
        <x:f>BN117*(1+Premissas!$B$41)+BJ118</x:f>
        <x:v>1383951.3423952847</x:v>
      </x:c>
      <x:c r="BL118" s="141" t="n">
        <x:f>MAX(0,-BK118)</x:f>
        <x:v>0</x:v>
      </x:c>
      <x:c r="BM118" s="141" t="n">
        <x:f>BM117*(1+Premissas!$B$41)+BL118</x:f>
        <x:v>0</x:v>
      </x:c>
      <x:c r="BN118" s="141" t="n">
        <x:f>MAX(0,BK118)</x:f>
        <x:v>1383951.3423952847</x:v>
      </x:c>
      <x:c r="BO118" s="141" t="n">
        <x:f>INDEX('Consorcio Direto'!$K$55:$K$534,$A118)</x:f>
        <x:v>237569.12414220205</x:v>
      </x:c>
      <x:c r="BP118" s="141" t="n">
        <x:f>IF($A118&lt;'Consorcio Direto'!$B$29,INDEX('Consorcio Direto'!$L$55:$L$534,$A118),$F118)</x:f>
        <x:v>346199.8645112061</x:v>
      </x:c>
      <x:c r="BQ118" s="141" t="n">
        <x:f>BN118+BP118-BO118</x:f>
        <x:v>1492582.0827642886</x:v>
      </x:c>
      <x:c r="BR118" s="141" t="n">
        <x:f>IF(BM118&gt;1,"Inviavel",BQ118)</x:f>
        <x:v>1492582.0827642886</x:v>
      </x:c>
      <x:c r="BS118" s="141" t="str">
        <x:f>IF(BM118&gt;1,"Inviavel","OK")</x:f>
        <x:v>OK</x:v>
      </x:c>
      <x:c r="BT118" s="141" t="n">
        <x:f>IF(AND('Carta Contemplada'!$B$22="Sim",$A118='Carta Contemplada'!$B$23),'Carta Contemplada'!$B$37,0)</x:f>
        <x:v>0</x:v>
      </x:c>
      <x:c r="BU118" s="141" t="n">
        <x:f>IF('Carta Contemplada'!$B$22="Sim",INDEX('Carta Contemplada'!$C$55:$C$1013,$A118),0)</x:f>
        <x:v>2027.3747508032313</x:v>
      </x:c>
      <x:c r="BV118" s="141" t="n">
        <x:f>IF(AND('Carta Contemplada'!$B$22="Sim",Premissas!$B$11="Imovel",Premissas!$B$47="Moradia",$A118&lt;MAX('Carta Contemplada'!$B$44,Premissas!$B$49)),$D118,0)</x:f>
        <x:v>0</x:v>
      </x:c>
      <x:c r="BW118" s="141" t="n">
        <x:f>IF(AND('Carta Contemplada'!$B$22="Sim",Premissas!$B$11="Imovel",Premissas!$B$47="Investimento",$A118&gt;=MAX('Carta Contemplada'!$B$44,Premissas!$B$49)),$E118,0)</x:f>
        <x:v>1081.2665337617234</x:v>
      </x:c>
      <x:c r="BX118" s="141" t="n">
        <x:f>BT118+BU118+BV118</x:f>
        <x:v>2027.3747508032313</x:v>
      </x:c>
      <x:c r="BY118" s="141" t="n">
        <x:f>BW118</x:f>
        <x:v>1081.2665337617234</x:v>
      </x:c>
      <x:c r="BZ118" s="141" t="n">
        <x:f>$C118+BY118-BX118</x:f>
        <x:v>6053.8917829584925</x:v>
      </x:c>
      <x:c r="CA118" s="141" t="n">
        <x:f>CD117*(1+Premissas!$B$41)+BZ118</x:f>
        <x:v>1411126.2921486748</x:v>
      </x:c>
      <x:c r="CB118" s="141" t="n">
        <x:f>MAX(0,-CA118)</x:f>
        <x:v>0</x:v>
      </x:c>
      <x:c r="CC118" s="141" t="n">
        <x:f>CC117*(1+Premissas!$B$41)+CB118</x:f>
        <x:v>0</x:v>
      </x:c>
      <x:c r="CD118" s="141" t="n">
        <x:f>MAX(0,CA118)</x:f>
        <x:v>1411126.2921486748</x:v>
      </x:c>
      <x:c r="CE118" s="141" t="n">
        <x:f>IF(AND('Carta Contemplada'!$B$22="Sim",$A118&gt;='Carta Contemplada'!$B$23),INDEX('Carta Contemplada'!$I$55:$I$1013,$A118),0)</x:f>
        <x:v>114772.01329752202</x:v>
      </x:c>
      <x:c r="CF118" s="141" t="n">
        <x:f>IF(AND('Carta Contemplada'!$B$22="Sim",$A118&gt;='Carta Contemplada'!$B$44),$F118,0)</x:f>
        <x:v>346199.8645112061</x:v>
      </x:c>
      <x:c r="CG118" s="141" t="n">
        <x:f>CD118+CF118-CE118</x:f>
        <x:v>1642554.143362359</x:v>
      </x:c>
      <x:c r="CH118" s="141" t="n">
        <x:f>IF(CC118&gt;1,"Inviavel",CG118)</x:f>
        <x:v>1642554.143362359</x:v>
      </x:c>
      <x:c r="CI118" s="145" t="str">
        <x:f>IF(CC118&gt;1,"Inviavel","OK")</x:f>
        <x:v>OK</x:v>
      </x:c>
    </x:row>
    <x:row r="119">
      <x:c r="A119" s="142" t="n">
        <x:v>115</x:v>
      </x:c>
      <x:c r="B119" s="179" t="n">
        <x:f>EDATE(Premissas!$B$4,A119-1)</x:f>
        <x:v>50010</x:v>
      </x:c>
      <x:c r="C119" s="141" t="n">
        <x:f>IF(A119&lt;=Premissas!$B$39,Premissas!$B$42,0)</x:f>
        <x:v>7000</x:v>
      </x:c>
      <x:c r="D119" s="141" t="n">
        <x:f>Premissas!$B$54*(1+Premissas!$B$57)^INT((A119-1)/12)</x:f>
        <x:v>1182.635271301885</x:v>
      </x:c>
      <x:c r="E119" s="141" t="n">
        <x:f>Premissas!$B$64*(1+Premissas!$B$57)^INT((A119-1)/12)</x:f>
        <x:v>1081.2665337617234</x:v>
      </x:c>
      <x:c r="F119" s="141" t="n">
        <x:f>MAX(0,Premissas!$B$6*(1+Premissas!$B$66)^((A119-1)/12))</x:f>
        <x:v>347885.0098574293</x:v>
      </x:c>
      <x:c r="G119" s="141" t="n">
        <x:f>G118*(1+Premissas!$B$41)+C119</x:f>
        <x:v>1711960.3603504684</x:v>
      </x:c>
      <x:c r="H119" s="141" t="n">
        <x:f>IF($A119=Premissas!$B$48,Premissas!$B$8,0)</x:f>
        <x:v>0</x:v>
      </x:c>
      <x:c r="I119" s="141" t="n">
        <x:f>IF(AND($A119&gt;=Premissas!$B$48,$A119-Premissas!$B$48+1&lt;=Premissas!$B$13),INDEX(Financiamento!$J$6:$J$485,$A119-Premissas!$B$48+1),0)</x:f>
        <x:v>1637.0745287552072</x:v>
      </x:c>
      <x:c r="J119" s="141" t="n">
        <x:f>IF(AND(TRUE,Premissas!$B$11="Imovel",Premissas!$B$47="Moradia",$A119&lt;MAX(Premissas!$B$48,Premissas!$B$49)),$D119,0)</x:f>
        <x:v>0</x:v>
      </x:c>
      <x:c r="K119" s="141" t="n">
        <x:f>IF(AND(TRUE,Premissas!$B$11="Imovel",Premissas!$B$47="Investimento",$A119&gt;=MAX(Premissas!$B$48,Premissas!$B$49)),$E119,0)</x:f>
        <x:v>1081.2665337617234</x:v>
      </x:c>
      <x:c r="L119" s="141" t="n">
        <x:f>H119+I119+J119</x:f>
        <x:v>1637.0745287552072</x:v>
      </x:c>
      <x:c r="M119" s="141" t="n">
        <x:f>K119</x:f>
        <x:v>1081.2665337617234</x:v>
      </x:c>
      <x:c r="N119" s="141" t="n">
        <x:f>$C119+M119-L119</x:f>
        <x:v>6444.192005006516</x:v>
      </x:c>
      <x:c r="O119" s="141" t="n">
        <x:f>R118*(1+Premissas!$B$41)+N119</x:f>
        <x:v>1369671.0151820865</x:v>
      </x:c>
      <x:c r="P119" s="141" t="n">
        <x:f>MAX(0,-O119)</x:f>
        <x:v>0</x:v>
      </x:c>
      <x:c r="Q119" s="141" t="n">
        <x:f>Q118*(1+Premissas!$B$41)+P119</x:f>
        <x:v>0</x:v>
      </x:c>
      <x:c r="R119" s="141" t="n">
        <x:f>MAX(0,O119)</x:f>
        <x:v>1369671.0151820865</x:v>
      </x:c>
      <x:c r="S119" s="141" t="n">
        <x:f>IF(AND($A119&gt;=Premissas!$B$48,$A119-Premissas!$B$48+1&lt;=Premissas!$B$13),INDEX(Financiamento!$M$6:$M$485,$A119-Premissas!$B$48+1),0)</x:f>
        <x:v>116190.47619047639</x:v>
      </x:c>
      <x:c r="T119" s="141" t="n">
        <x:f>IF($A119&gt;=Premissas!$B$48,$F119,0)</x:f>
        <x:v>347885.0098574293</x:v>
      </x:c>
      <x:c r="U119" s="141" t="n">
        <x:f>R119+T119-S119</x:f>
        <x:v>1601365.5488490395</x:v>
      </x:c>
      <x:c r="V119" s="141" t="n">
        <x:f>IF(Q119&gt;1,"Inviavel",U119)</x:f>
        <x:v>1601365.5488490395</x:v>
      </x:c>
      <x:c r="W119" s="141" t="str">
        <x:f>IF(Q119&gt;1,"Inviavel","OK")</x:f>
        <x:v>OK</x:v>
      </x:c>
      <x:c r="X119" s="141" t="n">
        <x:f>IF($A119=Premissas!$B$48,Premissas!$B$8,0)</x:f>
        <x:v>0</x:v>
      </x:c>
      <x:c r="Y119" s="141" t="n">
        <x:f>IF(AND($A119&gt;=Premissas!$B$48,$A119-Premissas!$B$48+1&lt;=Premissas!$B$13),INDEX(Amortizacao!$K$6:$K$485,$A119-Premissas!$B$48+1),0)</x:f>
        <x:v>0</x:v>
      </x:c>
      <x:c r="Z119" s="141" t="n">
        <x:f>IF(AND(TRUE,Premissas!$B$11="Imovel",Premissas!$B$47="Moradia",$A119&lt;MAX(Premissas!$B$48,Premissas!$B$49)),$D119,0)</x:f>
        <x:v>0</x:v>
      </x:c>
      <x:c r="AA119" s="141" t="n">
        <x:f>IF(AND(TRUE,Premissas!$B$11="Imovel",Premissas!$B$47="Investimento",$A119&gt;=MAX(Premissas!$B$48,Premissas!$B$49)),$E119,0)</x:f>
        <x:v>1081.2665337617234</x:v>
      </x:c>
      <x:c r="AB119" s="141" t="n">
        <x:f>X119+Y119+Z119</x:f>
        <x:v>0</x:v>
      </x:c>
      <x:c r="AC119" s="141" t="n">
        <x:f>AA119</x:f>
        <x:v>1081.2665337617234</x:v>
      </x:c>
      <x:c r="AD119" s="141" t="n">
        <x:f>$C119+AC119-AB119</x:f>
        <x:v>8081.266533761724</x:v>
      </x:c>
      <x:c r="AE119" s="141" t="n">
        <x:f>AH118*(1+Premissas!$B$41)+AD119</x:f>
        <x:v>1273964.5464318462</x:v>
      </x:c>
      <x:c r="AF119" s="141" t="n">
        <x:f>MAX(0,-AE119)</x:f>
        <x:v>0</x:v>
      </x:c>
      <x:c r="AG119" s="141" t="n">
        <x:f>AG118*(1+Premissas!$B$41)+AF119</x:f>
        <x:v>0</x:v>
      </x:c>
      <x:c r="AH119" s="141" t="n">
        <x:f>MAX(0,AE119)</x:f>
        <x:v>1273964.5464318462</x:v>
      </x:c>
      <x:c r="AI119" s="141" t="n">
        <x:f>IF(AND($A119&gt;=Premissas!$B$48,$A119-Premissas!$B$48+1&lt;=Premissas!$B$13),INDEX(Amortizacao!$L$6:$L$485,$A119-Premissas!$B$48+1),0)</x:f>
        <x:v>0</x:v>
      </x:c>
      <x:c r="AJ119" s="141" t="n">
        <x:f>IF($A119&gt;=Premissas!$B$48,$F119,0)</x:f>
        <x:v>347885.0098574293</x:v>
      </x:c>
      <x:c r="AK119" s="141" t="n">
        <x:f>AH119+AJ119-AI119</x:f>
        <x:v>1621849.5562892756</x:v>
      </x:c>
      <x:c r="AL119" s="141" t="n">
        <x:f>IF(AG119&gt;1,"Inviavel",AK119)</x:f>
        <x:v>1621849.5562892756</x:v>
      </x:c>
      <x:c r="AM119" s="141" t="str">
        <x:f>IF(AG119&gt;1,"Inviavel","OK")</x:f>
        <x:v>OK</x:v>
      </x:c>
      <x:c r="AN119" s="141" t="n">
        <x:f>IF($A119=Premissas!$B$48,Premissas!$B$8,0)</x:f>
        <x:v>0</x:v>
      </x:c>
      <x:c r="AO119" s="141" t="n">
        <x:f>IF($A119&lt;=Premissas!$B$25,INDEX('Consorcio IQ'!$K$6:$K$485,$A119),0)</x:f>
        <x:v>963.790060987522</x:v>
      </x:c>
      <x:c r="AP119" s="141" t="n">
        <x:f>IF(AND(TRUE,Premissas!$B$11="Imovel",Premissas!$B$47="Moradia",$A119&lt;MAX(Premissas!$B$48,Premissas!$B$49)),$D119,0)</x:f>
        <x:v>0</x:v>
      </x:c>
      <x:c r="AQ119" s="141" t="n">
        <x:f>IF(AND(TRUE,Premissas!$B$11="Imovel",Premissas!$B$47="Investimento",$A119&gt;=MAX(Premissas!$B$48,Premissas!$B$49)),$E119,0)</x:f>
        <x:v>1081.2665337617234</x:v>
      </x:c>
      <x:c r="AR119" s="141" t="n">
        <x:f>AN119+AO119+AP119</x:f>
        <x:v>963.790060987522</x:v>
      </x:c>
      <x:c r="AS119" s="141" t="n">
        <x:f>AQ119</x:f>
        <x:v>1081.2665337617234</x:v>
      </x:c>
      <x:c r="AT119" s="141" t="n">
        <x:f>$C119+AS119-AR119</x:f>
        <x:v>7117.476472774201</x:v>
      </x:c>
      <x:c r="AU119" s="141" t="n">
        <x:f>AX118*(1+Premissas!$B$41)+AT119</x:f>
        <x:v>1348653.7484173547</x:v>
      </x:c>
      <x:c r="AV119" s="141" t="n">
        <x:f>MAX(0,-AU119)</x:f>
        <x:v>0</x:v>
      </x:c>
      <x:c r="AW119" s="141" t="n">
        <x:f>AW118*(1+Premissas!$B$41)+AV119</x:f>
        <x:v>0</x:v>
      </x:c>
      <x:c r="AX119" s="141" t="n">
        <x:f>MAX(0,AU119)</x:f>
        <x:v>1348653.7484173547</x:v>
      </x:c>
      <x:c r="AY119" s="141" t="n">
        <x:f>INDEX('Consorcio IQ'!$P$6:$P$485,$A119)</x:f>
        <x:v>91649.95684919418</x:v>
      </x:c>
      <x:c r="AZ119" s="141" t="n">
        <x:f>IF($A119&gt;=Premissas!$B$48,$F119,0)+IF($A119&lt;Premissas!$B$27,INDEX('Consorcio IQ'!$O$6:$O$485,$A119),0)</x:f>
        <x:v>347885.0098574293</x:v>
      </x:c>
      <x:c r="BA119" s="141" t="n">
        <x:f>AX119+AZ119-AY119</x:f>
        <x:v>1604888.8014255897</x:v>
      </x:c>
      <x:c r="BB119" s="141" t="n">
        <x:f>IF(AW119&gt;1,"Inviavel",BA119)</x:f>
        <x:v>1604888.8014255897</x:v>
      </x:c>
      <x:c r="BC119" s="141" t="str">
        <x:f>IF(AW119&gt;1,"Inviavel","OK")</x:f>
        <x:v>OK</x:v>
      </x:c>
      <x:c r="BD119" s="141" t="n">
        <x:f>IF($A119='Consorcio Direto'!$B$29,'Consorcio Direto'!$B$44,0)</x:f>
        <x:v>0</x:v>
      </x:c>
      <x:c r="BE119" s="141" t="n">
        <x:f>IF($A119&lt;='Consorcio Direto'!$B$27,INDEX('Consorcio Direto'!$E$55:$E$534,$A119),0)</x:f>
        <x:v>2495.735099138118</x:v>
      </x:c>
      <x:c r="BF119" s="141" t="n">
        <x:f>IF(AND(TRUE,Premissas!$B$11="Imovel",Premissas!$B$47="Moradia",$A119&lt;MAX('Consorcio Direto'!$B$29,Premissas!$B$49)),$D119,0)</x:f>
        <x:v>0</x:v>
      </x:c>
      <x:c r="BG119" s="141" t="n">
        <x:f>IF(AND(TRUE,Premissas!$B$11="Imovel",Premissas!$B$47="Investimento",$A119&gt;=MAX('Consorcio Direto'!$B$29,Premissas!$B$49)),$E119,0)</x:f>
        <x:v>1081.2665337617234</x:v>
      </x:c>
      <x:c r="BH119" s="141" t="n">
        <x:f>BD119+BE119+BF119</x:f>
        <x:v>2495.735099138118</x:v>
      </x:c>
      <x:c r="BI119" s="141" t="n">
        <x:f>BG119</x:f>
        <x:v>1081.2665337617234</x:v>
      </x:c>
      <x:c r="BJ119" s="141" t="n">
        <x:f>$C119+BI119-BH119</x:f>
        <x:v>5585.5314346236055</x:v>
      </x:c>
      <x:c r="BK119" s="141" t="n">
        <x:f>BN118*(1+Premissas!$B$41)+BJ119</x:f>
        <x:v>1402668.9015494352</x:v>
      </x:c>
      <x:c r="BL119" s="141" t="n">
        <x:f>MAX(0,-BK119)</x:f>
        <x:v>0</x:v>
      </x:c>
      <x:c r="BM119" s="141" t="n">
        <x:f>BM118*(1+Premissas!$B$41)+BL119</x:f>
        <x:v>0</x:v>
      </x:c>
      <x:c r="BN119" s="141" t="n">
        <x:f>MAX(0,BK119)</x:f>
        <x:v>1402668.9015494352</x:v>
      </x:c>
      <x:c r="BO119" s="141" t="n">
        <x:f>INDEX('Consorcio Direto'!$K$55:$K$534,$A119)</x:f>
        <x:v>237327.63326969955</x:v>
      </x:c>
      <x:c r="BP119" s="141" t="n">
        <x:f>IF($A119&lt;'Consorcio Direto'!$B$29,INDEX('Consorcio Direto'!$L$55:$L$534,$A119),$F119)</x:f>
        <x:v>347885.0098574293</x:v>
      </x:c>
      <x:c r="BQ119" s="141" t="n">
        <x:f>BN119+BP119-BO119</x:f>
        <x:v>1513226.278137165</x:v>
      </x:c>
      <x:c r="BR119" s="141" t="n">
        <x:f>IF(BM119&gt;1,"Inviavel",BQ119)</x:f>
        <x:v>1513226.278137165</x:v>
      </x:c>
      <x:c r="BS119" s="141" t="str">
        <x:f>IF(BM119&gt;1,"Inviavel","OK")</x:f>
        <x:v>OK</x:v>
      </x:c>
      <x:c r="BT119" s="141" t="n">
        <x:f>IF(AND('Carta Contemplada'!$B$22="Sim",$A119='Carta Contemplada'!$B$23),'Carta Contemplada'!$B$37,0)</x:f>
        <x:v>0</x:v>
      </x:c>
      <x:c r="BU119" s="141" t="n">
        <x:f>IF('Carta Contemplada'!$B$22="Sim",INDEX('Carta Contemplada'!$C$55:$C$1013,$A119),0)</x:f>
        <x:v>2027.3747508032313</x:v>
      </x:c>
      <x:c r="BV119" s="141" t="n">
        <x:f>IF(AND('Carta Contemplada'!$B$22="Sim",Premissas!$B$11="Imovel",Premissas!$B$47="Moradia",$A119&lt;MAX('Carta Contemplada'!$B$44,Premissas!$B$49)),$D119,0)</x:f>
        <x:v>0</x:v>
      </x:c>
      <x:c r="BW119" s="141" t="n">
        <x:f>IF(AND('Carta Contemplada'!$B$22="Sim",Premissas!$B$11="Imovel",Premissas!$B$47="Investimento",$A119&gt;=MAX('Carta Contemplada'!$B$44,Premissas!$B$49)),$E119,0)</x:f>
        <x:v>1081.2665337617234</x:v>
      </x:c>
      <x:c r="BX119" s="141" t="n">
        <x:f>BT119+BU119+BV119</x:f>
        <x:v>2027.3747508032313</x:v>
      </x:c>
      <x:c r="BY119" s="141" t="n">
        <x:f>BW119</x:f>
        <x:v>1081.2665337617234</x:v>
      </x:c>
      <x:c r="BZ119" s="141" t="n">
        <x:f>$C119+BY119-BX119</x:f>
        <x:v>6053.8917829584925</x:v>
      </x:c>
      <x:c r="CA119" s="141" t="n">
        <x:f>CD118*(1+Premissas!$B$41)+BZ119</x:f>
        <x:v>1430570.069122378</x:v>
      </x:c>
      <x:c r="CB119" s="141" t="n">
        <x:f>MAX(0,-CA119)</x:f>
        <x:v>0</x:v>
      </x:c>
      <x:c r="CC119" s="141" t="n">
        <x:f>CC118*(1+Premissas!$B$41)+CB119</x:f>
        <x:v>0</x:v>
      </x:c>
      <x:c r="CD119" s="141" t="n">
        <x:f>MAX(0,CA119)</x:f>
        <x:v>1430570.069122378</x:v>
      </x:c>
      <x:c r="CE119" s="141" t="n">
        <x:f>IF(AND('Carta Contemplada'!$B$22="Sim",$A119&gt;='Carta Contemplada'!$B$23),INDEX('Carta Contemplada'!$I$55:$I$1013,$A119),0)</x:f>
        <x:v>113833.68641558419</x:v>
      </x:c>
      <x:c r="CF119" s="141" t="n">
        <x:f>IF(AND('Carta Contemplada'!$B$22="Sim",$A119&gt;='Carta Contemplada'!$B$44),$F119,0)</x:f>
        <x:v>347885.0098574293</x:v>
      </x:c>
      <x:c r="CG119" s="141" t="n">
        <x:f>CD119+CF119-CE119</x:f>
        <x:v>1664621.3925642231</x:v>
      </x:c>
      <x:c r="CH119" s="141" t="n">
        <x:f>IF(CC119&gt;1,"Inviavel",CG119)</x:f>
        <x:v>1664621.3925642231</x:v>
      </x:c>
      <x:c r="CI119" s="145" t="str">
        <x:f>IF(CC119&gt;1,"Inviavel","OK")</x:f>
        <x:v>OK</x:v>
      </x:c>
    </x:row>
    <x:row r="120">
      <x:c r="A120" s="142" t="n">
        <x:v>116</x:v>
      </x:c>
      <x:c r="B120" s="179" t="n">
        <x:f>EDATE(Premissas!$B$4,A120-1)</x:f>
        <x:v>50041</x:v>
      </x:c>
      <x:c r="C120" s="141" t="n">
        <x:f>IF(A120&lt;=Premissas!$B$39,Premissas!$B$42,0)</x:f>
        <x:v>7000</x:v>
      </x:c>
      <x:c r="D120" s="141" t="n">
        <x:f>Premissas!$B$54*(1+Premissas!$B$57)^INT((A120-1)/12)</x:f>
        <x:v>1182.635271301885</x:v>
      </x:c>
      <x:c r="E120" s="141" t="n">
        <x:f>Premissas!$B$64*(1+Premissas!$B$57)^INT((A120-1)/12)</x:f>
        <x:v>1081.2665337617234</x:v>
      </x:c>
      <x:c r="F120" s="141" t="n">
        <x:f>MAX(0,Premissas!$B$6*(1+Premissas!$B$66)^((A120-1)/12))</x:f>
        <x:v>349578.35773383523</x:v>
      </x:c>
      <x:c r="G120" s="141" t="n">
        <x:f>G119*(1+Premissas!$B$41)+C120</x:f>
        <x:v>1735204.7977220481</x:v>
      </x:c>
      <x:c r="H120" s="141" t="n">
        <x:f>IF($A120=Premissas!$B$48,Premissas!$B$8,0)</x:f>
        <x:v>0</x:v>
      </x:c>
      <x:c r="I120" s="141" t="n">
        <x:f>IF(AND($A120&gt;=Premissas!$B$48,$A120-Premissas!$B$48+1&lt;=Premissas!$B$13),INDEX(Financiamento!$J$6:$J$485,$A120-Premissas!$B$48+1),0)</x:f>
        <x:v>1633.4597504944136</x:v>
      </x:c>
      <x:c r="J120" s="141" t="n">
        <x:f>IF(AND(TRUE,Premissas!$B$11="Imovel",Premissas!$B$47="Moradia",$A120&lt;MAX(Premissas!$B$48,Premissas!$B$49)),$D120,0)</x:f>
        <x:v>0</x:v>
      </x:c>
      <x:c r="K120" s="141" t="n">
        <x:f>IF(AND(TRUE,Premissas!$B$11="Imovel",Premissas!$B$47="Investimento",$A120&gt;=MAX(Premissas!$B$48,Premissas!$B$49)),$E120,0)</x:f>
        <x:v>1081.2665337617234</x:v>
      </x:c>
      <x:c r="L120" s="141" t="n">
        <x:f>H120+I120+J120</x:f>
        <x:v>1633.4597504944136</x:v>
      </x:c>
      <x:c r="M120" s="141" t="n">
        <x:f>K120</x:f>
        <x:v>1081.2665337617234</x:v>
      </x:c>
      <x:c r="N120" s="141" t="n">
        <x:f>$C120+M120-L120</x:f>
        <x:v>6447.80678326731</x:v>
      </x:c>
      <x:c r="O120" s="141" t="n">
        <x:f>R119*(1+Premissas!$B$41)+N120</x:f>
        <x:v>1389115.3466169168</x:v>
      </x:c>
      <x:c r="P120" s="141" t="n">
        <x:f>MAX(0,-O120)</x:f>
        <x:v>0</x:v>
      </x:c>
      <x:c r="Q120" s="141" t="n">
        <x:f>Q119*(1+Premissas!$B$41)+P120</x:f>
        <x:v>0</x:v>
      </x:c>
      <x:c r="R120" s="141" t="n">
        <x:f>MAX(0,O120)</x:f>
        <x:v>1389115.3466169168</x:v>
      </x:c>
      <x:c r="S120" s="141" t="n">
        <x:f>IF(AND($A120&gt;=Premissas!$B$48,$A120-Premissas!$B$48+1&lt;=Premissas!$B$13),INDEX(Financiamento!$M$6:$M$485,$A120-Premissas!$B$48+1),0)</x:f>
        <x:v>115809.523809524</x:v>
      </x:c>
      <x:c r="T120" s="141" t="n">
        <x:f>IF($A120&gt;=Premissas!$B$48,$F120,0)</x:f>
        <x:v>349578.35773383523</x:v>
      </x:c>
      <x:c r="U120" s="141" t="n">
        <x:f>R120+T120-S120</x:f>
        <x:v>1622884.180541228</x:v>
      </x:c>
      <x:c r="V120" s="141" t="n">
        <x:f>IF(Q120&gt;1,"Inviavel",U120)</x:f>
        <x:v>1622884.180541228</x:v>
      </x:c>
      <x:c r="W120" s="141" t="str">
        <x:f>IF(Q120&gt;1,"Inviavel","OK")</x:f>
        <x:v>OK</x:v>
      </x:c>
      <x:c r="X120" s="141" t="n">
        <x:f>IF($A120=Premissas!$B$48,Premissas!$B$8,0)</x:f>
        <x:v>0</x:v>
      </x:c>
      <x:c r="Y120" s="141" t="n">
        <x:f>IF(AND($A120&gt;=Premissas!$B$48,$A120-Premissas!$B$48+1&lt;=Premissas!$B$13),INDEX(Amortizacao!$K$6:$K$485,$A120-Premissas!$B$48+1),0)</x:f>
        <x:v>0</x:v>
      </x:c>
      <x:c r="Z120" s="141" t="n">
        <x:f>IF(AND(TRUE,Premissas!$B$11="Imovel",Premissas!$B$47="Moradia",$A120&lt;MAX(Premissas!$B$48,Premissas!$B$49)),$D120,0)</x:f>
        <x:v>0</x:v>
      </x:c>
      <x:c r="AA120" s="141" t="n">
        <x:f>IF(AND(TRUE,Premissas!$B$11="Imovel",Premissas!$B$47="Investimento",$A120&gt;=MAX(Premissas!$B$48,Premissas!$B$49)),$E120,0)</x:f>
        <x:v>1081.2665337617234</x:v>
      </x:c>
      <x:c r="AB120" s="141" t="n">
        <x:f>X120+Y120+Z120</x:f>
        <x:v>0</x:v>
      </x:c>
      <x:c r="AC120" s="141" t="n">
        <x:f>AA120</x:f>
        <x:v>1081.2665337617234</x:v>
      </x:c>
      <x:c r="AD120" s="141" t="n">
        <x:f>$C120+AC120-AB120</x:f>
        <x:v>8081.266533761724</x:v>
      </x:c>
      <x:c r="AE120" s="141" t="n">
        <x:f>AH119*(1+Premissas!$B$41)+AD120</x:f>
        <x:v>1294134.1987526997</x:v>
      </x:c>
      <x:c r="AF120" s="141" t="n">
        <x:f>MAX(0,-AE120)</x:f>
        <x:v>0</x:v>
      </x:c>
      <x:c r="AG120" s="141" t="n">
        <x:f>AG119*(1+Premissas!$B$41)+AF120</x:f>
        <x:v>0</x:v>
      </x:c>
      <x:c r="AH120" s="141" t="n">
        <x:f>MAX(0,AE120)</x:f>
        <x:v>1294134.1987526997</x:v>
      </x:c>
      <x:c r="AI120" s="141" t="n">
        <x:f>IF(AND($A120&gt;=Premissas!$B$48,$A120-Premissas!$B$48+1&lt;=Premissas!$B$13),INDEX(Amortizacao!$L$6:$L$485,$A120-Premissas!$B$48+1),0)</x:f>
        <x:v>0</x:v>
      </x:c>
      <x:c r="AJ120" s="141" t="n">
        <x:f>IF($A120&gt;=Premissas!$B$48,$F120,0)</x:f>
        <x:v>349578.35773383523</x:v>
      </x:c>
      <x:c r="AK120" s="141" t="n">
        <x:f>AH120+AJ120-AI120</x:f>
        <x:v>1643712.556486535</x:v>
      </x:c>
      <x:c r="AL120" s="141" t="n">
        <x:f>IF(AG120&gt;1,"Inviavel",AK120)</x:f>
        <x:v>1643712.556486535</x:v>
      </x:c>
      <x:c r="AM120" s="141" t="str">
        <x:f>IF(AG120&gt;1,"Inviavel","OK")</x:f>
        <x:v>OK</x:v>
      </x:c>
      <x:c r="AN120" s="141" t="n">
        <x:f>IF($A120=Premissas!$B$48,Premissas!$B$8,0)</x:f>
        <x:v>0</x:v>
      </x:c>
      <x:c r="AO120" s="141" t="n">
        <x:f>IF($A120&lt;=Premissas!$B$25,INDEX('Consorcio IQ'!$K$6:$K$485,$A120),0)</x:f>
        <x:v>963.790060987522</x:v>
      </x:c>
      <x:c r="AP120" s="141" t="n">
        <x:f>IF(AND(TRUE,Premissas!$B$11="Imovel",Premissas!$B$47="Moradia",$A120&lt;MAX(Premissas!$B$48,Premissas!$B$49)),$D120,0)</x:f>
        <x:v>0</x:v>
      </x:c>
      <x:c r="AQ120" s="141" t="n">
        <x:f>IF(AND(TRUE,Premissas!$B$11="Imovel",Premissas!$B$47="Investimento",$A120&gt;=MAX(Premissas!$B$48,Premissas!$B$49)),$E120,0)</x:f>
        <x:v>1081.2665337617234</x:v>
      </x:c>
      <x:c r="AR120" s="141" t="n">
        <x:f>AN120+AO120+AP120</x:f>
        <x:v>963.790060987522</x:v>
      </x:c>
      <x:c r="AS120" s="141" t="n">
        <x:f>AQ120</x:f>
        <x:v>1081.2665337617234</x:v>
      </x:c>
      <x:c r="AT120" s="141" t="n">
        <x:f>$C120+AS120-AR120</x:f>
        <x:v>7117.476472774201</x:v>
      </x:c>
      <x:c r="AU120" s="141" t="n">
        <x:f>AX119*(1+Premissas!$B$41)+AT120</x:f>
        <x:v>1368568.3210493105</x:v>
      </x:c>
      <x:c r="AV120" s="141" t="n">
        <x:f>MAX(0,-AU120)</x:f>
        <x:v>0</x:v>
      </x:c>
      <x:c r="AW120" s="141" t="n">
        <x:f>AW119*(1+Premissas!$B$41)+AV120</x:f>
        <x:v>0</x:v>
      </x:c>
      <x:c r="AX120" s="141" t="n">
        <x:f>MAX(0,AU120)</x:f>
        <x:v>1368568.3210493105</x:v>
      </x:c>
      <x:c r="AY120" s="141" t="n">
        <x:f>INDEX('Consorcio IQ'!$P$6:$P$485,$A120)</x:f>
        <x:v>91555.81425121213</x:v>
      </x:c>
      <x:c r="AZ120" s="141" t="n">
        <x:f>IF($A120&gt;=Premissas!$B$48,$F120,0)+IF($A120&lt;Premissas!$B$27,INDEX('Consorcio IQ'!$O$6:$O$485,$A120),0)</x:f>
        <x:v>349578.35773383523</x:v>
      </x:c>
      <x:c r="BA120" s="141" t="n">
        <x:f>AX120+AZ120-AY120</x:f>
        <x:v>1626590.8645319336</x:v>
      </x:c>
      <x:c r="BB120" s="141" t="n">
        <x:f>IF(AW120&gt;1,"Inviavel",BA120)</x:f>
        <x:v>1626590.8645319336</x:v>
      </x:c>
      <x:c r="BC120" s="141" t="str">
        <x:f>IF(AW120&gt;1,"Inviavel","OK")</x:f>
        <x:v>OK</x:v>
      </x:c>
      <x:c r="BD120" s="141" t="n">
        <x:f>IF($A120='Consorcio Direto'!$B$29,'Consorcio Direto'!$B$44,0)</x:f>
        <x:v>0</x:v>
      </x:c>
      <x:c r="BE120" s="141" t="n">
        <x:f>IF($A120&lt;='Consorcio Direto'!$B$27,INDEX('Consorcio Direto'!$E$55:$E$534,$A120),0)</x:f>
        <x:v>2495.735099138118</x:v>
      </x:c>
      <x:c r="BF120" s="141" t="n">
        <x:f>IF(AND(TRUE,Premissas!$B$11="Imovel",Premissas!$B$47="Moradia",$A120&lt;MAX('Consorcio Direto'!$B$29,Premissas!$B$49)),$D120,0)</x:f>
        <x:v>0</x:v>
      </x:c>
      <x:c r="BG120" s="141" t="n">
        <x:f>IF(AND(TRUE,Premissas!$B$11="Imovel",Premissas!$B$47="Investimento",$A120&gt;=MAX('Consorcio Direto'!$B$29,Premissas!$B$49)),$E120,0)</x:f>
        <x:v>1081.2665337617234</x:v>
      </x:c>
      <x:c r="BH120" s="141" t="n">
        <x:f>BD120+BE120+BF120</x:f>
        <x:v>2495.735099138118</x:v>
      </x:c>
      <x:c r="BI120" s="141" t="n">
        <x:f>BG120</x:f>
        <x:v>1081.2665337617234</x:v>
      </x:c>
      <x:c r="BJ120" s="141" t="n">
        <x:f>$C120+BI120-BH120</x:f>
        <x:v>5585.5314346236055</x:v>
      </x:c>
      <x:c r="BK120" s="141" t="n">
        <x:f>BN119*(1+Premissas!$B$41)+BJ120</x:f>
        <x:v>1421564.0677466404</x:v>
      </x:c>
      <x:c r="BL120" s="141" t="n">
        <x:f>MAX(0,-BK120)</x:f>
        <x:v>0</x:v>
      </x:c>
      <x:c r="BM120" s="141" t="n">
        <x:f>BM119*(1+Premissas!$B$41)+BL120</x:f>
        <x:v>0</x:v>
      </x:c>
      <x:c r="BN120" s="141" t="n">
        <x:f>MAX(0,BK120)</x:f>
        <x:v>1421564.0677466404</x:v>
      </x:c>
      <x:c r="BO120" s="141" t="n">
        <x:f>INDEX('Consorcio Direto'!$K$55:$K$534,$A120)</x:f>
        <x:v>237083.8509403123</x:v>
      </x:c>
      <x:c r="BP120" s="141" t="n">
        <x:f>IF($A120&lt;'Consorcio Direto'!$B$29,INDEX('Consorcio Direto'!$L$55:$L$534,$A120),$F120)</x:f>
        <x:v>349578.35773383523</x:v>
      </x:c>
      <x:c r="BQ120" s="141" t="n">
        <x:f>BN120+BP120-BO120</x:f>
        <x:v>1534058.5745401634</x:v>
      </x:c>
      <x:c r="BR120" s="141" t="n">
        <x:f>IF(BM120&gt;1,"Inviavel",BQ120)</x:f>
        <x:v>1534058.5745401634</x:v>
      </x:c>
      <x:c r="BS120" s="141" t="str">
        <x:f>IF(BM120&gt;1,"Inviavel","OK")</x:f>
        <x:v>OK</x:v>
      </x:c>
      <x:c r="BT120" s="141" t="n">
        <x:f>IF(AND('Carta Contemplada'!$B$22="Sim",$A120='Carta Contemplada'!$B$23),'Carta Contemplada'!$B$37,0)</x:f>
        <x:v>0</x:v>
      </x:c>
      <x:c r="BU120" s="141" t="n">
        <x:f>IF('Carta Contemplada'!$B$22="Sim",INDEX('Carta Contemplada'!$C$55:$C$1013,$A120),0)</x:f>
        <x:v>2027.3747508032313</x:v>
      </x:c>
      <x:c r="BV120" s="141" t="n">
        <x:f>IF(AND('Carta Contemplada'!$B$22="Sim",Premissas!$B$11="Imovel",Premissas!$B$47="Moradia",$A120&lt;MAX('Carta Contemplada'!$B$44,Premissas!$B$49)),$D120,0)</x:f>
        <x:v>0</x:v>
      </x:c>
      <x:c r="BW120" s="141" t="n">
        <x:f>IF(AND('Carta Contemplada'!$B$22="Sim",Premissas!$B$11="Imovel",Premissas!$B$47="Investimento",$A120&gt;=MAX('Carta Contemplada'!$B$44,Premissas!$B$49)),$E120,0)</x:f>
        <x:v>1081.2665337617234</x:v>
      </x:c>
      <x:c r="BX120" s="141" t="n">
        <x:f>BT120+BU120+BV120</x:f>
        <x:v>2027.3747508032313</x:v>
      </x:c>
      <x:c r="BY120" s="141" t="n">
        <x:f>BW120</x:f>
        <x:v>1081.2665337617234</x:v>
      </x:c>
      <x:c r="BZ120" s="141" t="n">
        <x:f>$C120+BY120-BX120</x:f>
        <x:v>6053.8917829584925</x:v>
      </x:c>
      <x:c r="CA120" s="141" t="n">
        <x:f>CD119*(1+Premissas!$B$41)+BZ120</x:f>
        <x:v>1450198.3440696509</x:v>
      </x:c>
      <x:c r="CB120" s="141" t="n">
        <x:f>MAX(0,-CA120)</x:f>
        <x:v>0</x:v>
      </x:c>
      <x:c r="CC120" s="141" t="n">
        <x:f>CC119*(1+Premissas!$B$41)+CB120</x:f>
        <x:v>0</x:v>
      </x:c>
      <x:c r="CD120" s="141" t="n">
        <x:f>MAX(0,CA120)</x:f>
        <x:v>1450198.3440696509</x:v>
      </x:c>
      <x:c r="CE120" s="141" t="n">
        <x:f>IF(AND('Carta Contemplada'!$B$22="Sim",$A120&gt;='Carta Contemplada'!$B$23),INDEX('Carta Contemplada'!$I$55:$I$1013,$A120),0)</x:f>
        <x:v>112886.4559441587</x:v>
      </x:c>
      <x:c r="CF120" s="141" t="n">
        <x:f>IF(AND('Carta Contemplada'!$B$22="Sim",$A120&gt;='Carta Contemplada'!$B$44),$F120,0)</x:f>
        <x:v>349578.35773383523</x:v>
      </x:c>
      <x:c r="CG120" s="141" t="n">
        <x:f>CD120+CF120-CE120</x:f>
        <x:v>1686890.2458593275</x:v>
      </x:c>
      <x:c r="CH120" s="141" t="n">
        <x:f>IF(CC120&gt;1,"Inviavel",CG120)</x:f>
        <x:v>1686890.2458593275</x:v>
      </x:c>
      <x:c r="CI120" s="145" t="str">
        <x:f>IF(CC120&gt;1,"Inviavel","OK")</x:f>
        <x:v>OK</x:v>
      </x:c>
    </x:row>
    <x:row r="121">
      <x:c r="A121" s="142" t="n">
        <x:v>117</x:v>
      </x:c>
      <x:c r="B121" s="179" t="n">
        <x:f>EDATE(Premissas!$B$4,A121-1)</x:f>
        <x:v>50072</x:v>
      </x:c>
      <x:c r="C121" s="141" t="n">
        <x:f>IF(A121&lt;=Premissas!$B$39,Premissas!$B$42,0)</x:f>
        <x:v>7000</x:v>
      </x:c>
      <x:c r="D121" s="141" t="n">
        <x:f>Premissas!$B$54*(1+Premissas!$B$57)^INT((A121-1)/12)</x:f>
        <x:v>1182.635271301885</x:v>
      </x:c>
      <x:c r="E121" s="141" t="n">
        <x:f>Premissas!$B$64*(1+Premissas!$B$57)^INT((A121-1)/12)</x:f>
        <x:v>1081.2665337617234</x:v>
      </x:c>
      <x:c r="F121" s="141" t="n">
        <x:f>MAX(0,Premissas!$B$6*(1+Premissas!$B$66)^((A121-1)/12))</x:f>
        <x:v>351279.9480666542</x:v>
      </x:c>
      <x:c r="G121" s="141" t="n">
        <x:f>G120*(1+Premissas!$B$41)+C121</x:f>
        <x:v>1758669.7967467278</x:v>
      </x:c>
      <x:c r="H121" s="141" t="n">
        <x:f>IF($A121=Premissas!$B$48,Premissas!$B$8,0)</x:f>
        <x:v>0</x:v>
      </x:c>
      <x:c r="I121" s="141" t="n">
        <x:f>IF(AND($A121&gt;=Premissas!$B$48,$A121-Premissas!$B$48+1&lt;=Premissas!$B$13),INDEX(Financiamento!$J$6:$J$485,$A121-Premissas!$B$48+1),0)</x:f>
        <x:v>1629.84497223362</x:v>
      </x:c>
      <x:c r="J121" s="141" t="n">
        <x:f>IF(AND(TRUE,Premissas!$B$11="Imovel",Premissas!$B$47="Moradia",$A121&lt;MAX(Premissas!$B$48,Premissas!$B$49)),$D121,0)</x:f>
        <x:v>0</x:v>
      </x:c>
      <x:c r="K121" s="141" t="n">
        <x:f>IF(AND(TRUE,Premissas!$B$11="Imovel",Premissas!$B$47="Investimento",$A121&gt;=MAX(Premissas!$B$48,Premissas!$B$49)),$E121,0)</x:f>
        <x:v>1081.2665337617234</x:v>
      </x:c>
      <x:c r="L121" s="141" t="n">
        <x:f>H121+I121+J121</x:f>
        <x:v>1629.84497223362</x:v>
      </x:c>
      <x:c r="M121" s="141" t="n">
        <x:f>K121</x:f>
        <x:v>1081.2665337617234</x:v>
      </x:c>
      <x:c r="N121" s="141" t="n">
        <x:f>$C121+M121-L121</x:f>
        <x:v>6451.421561528104</x:v>
      </x:c>
      <x:c r="O121" s="141" t="n">
        <x:f>R120*(1+Premissas!$B$41)+N121</x:f>
        <x:v>1408747.7960647442</x:v>
      </x:c>
      <x:c r="P121" s="141" t="n">
        <x:f>MAX(0,-O121)</x:f>
        <x:v>0</x:v>
      </x:c>
      <x:c r="Q121" s="141" t="n">
        <x:f>Q120*(1+Premissas!$B$41)+P121</x:f>
        <x:v>0</x:v>
      </x:c>
      <x:c r="R121" s="141" t="n">
        <x:f>MAX(0,O121)</x:f>
        <x:v>1408747.7960647442</x:v>
      </x:c>
      <x:c r="S121" s="141" t="n">
        <x:f>IF(AND($A121&gt;=Premissas!$B$48,$A121-Premissas!$B$48+1&lt;=Premissas!$B$13),INDEX(Financiamento!$M$6:$M$485,$A121-Premissas!$B$48+1),0)</x:f>
        <x:v>115428.57142857162</x:v>
      </x:c>
      <x:c r="T121" s="141" t="n">
        <x:f>IF($A121&gt;=Premissas!$B$48,$F121,0)</x:f>
        <x:v>351279.9480666542</x:v>
      </x:c>
      <x:c r="U121" s="141" t="n">
        <x:f>R121+T121-S121</x:f>
        <x:v>1644599.1727028268</x:v>
      </x:c>
      <x:c r="V121" s="141" t="n">
        <x:f>IF(Q121&gt;1,"Inviavel",U121)</x:f>
        <x:v>1644599.1727028268</x:v>
      </x:c>
      <x:c r="W121" s="141" t="str">
        <x:f>IF(Q121&gt;1,"Inviavel","OK")</x:f>
        <x:v>OK</x:v>
      </x:c>
      <x:c r="X121" s="141" t="n">
        <x:f>IF($A121=Premissas!$B$48,Premissas!$B$8,0)</x:f>
        <x:v>0</x:v>
      </x:c>
      <x:c r="Y121" s="141" t="n">
        <x:f>IF(AND($A121&gt;=Premissas!$B$48,$A121-Premissas!$B$48+1&lt;=Premissas!$B$13),INDEX(Amortizacao!$K$6:$K$485,$A121-Premissas!$B$48+1),0)</x:f>
        <x:v>0</x:v>
      </x:c>
      <x:c r="Z121" s="141" t="n">
        <x:f>IF(AND(TRUE,Premissas!$B$11="Imovel",Premissas!$B$47="Moradia",$A121&lt;MAX(Premissas!$B$48,Premissas!$B$49)),$D121,0)</x:f>
        <x:v>0</x:v>
      </x:c>
      <x:c r="AA121" s="141" t="n">
        <x:f>IF(AND(TRUE,Premissas!$B$11="Imovel",Premissas!$B$47="Investimento",$A121&gt;=MAX(Premissas!$B$48,Premissas!$B$49)),$E121,0)</x:f>
        <x:v>1081.2665337617234</x:v>
      </x:c>
      <x:c r="AB121" s="141" t="n">
        <x:f>X121+Y121+Z121</x:f>
        <x:v>0</x:v>
      </x:c>
      <x:c r="AC121" s="141" t="n">
        <x:f>AA121</x:f>
        <x:v>1081.2665337617234</x:v>
      </x:c>
      <x:c r="AD121" s="141" t="n">
        <x:f>$C121+AC121-AB121</x:f>
        <x:v>8081.266533761724</x:v>
      </x:c>
      <x:c r="AE121" s="141" t="n">
        <x:f>AH120*(1+Premissas!$B$41)+AD121</x:f>
        <x:v>1314495.2367279883</x:v>
      </x:c>
      <x:c r="AF121" s="141" t="n">
        <x:f>MAX(0,-AE121)</x:f>
        <x:v>0</x:v>
      </x:c>
      <x:c r="AG121" s="141" t="n">
        <x:f>AG120*(1+Premissas!$B$41)+AF121</x:f>
        <x:v>0</x:v>
      </x:c>
      <x:c r="AH121" s="141" t="n">
        <x:f>MAX(0,AE121)</x:f>
        <x:v>1314495.2367279883</x:v>
      </x:c>
      <x:c r="AI121" s="141" t="n">
        <x:f>IF(AND($A121&gt;=Premissas!$B$48,$A121-Premissas!$B$48+1&lt;=Premissas!$B$13),INDEX(Amortizacao!$L$6:$L$485,$A121-Premissas!$B$48+1),0)</x:f>
        <x:v>0</x:v>
      </x:c>
      <x:c r="AJ121" s="141" t="n">
        <x:f>IF($A121&gt;=Premissas!$B$48,$F121,0)</x:f>
        <x:v>351279.9480666542</x:v>
      </x:c>
      <x:c r="AK121" s="141" t="n">
        <x:f>AH121+AJ121-AI121</x:f>
        <x:v>1665775.1847946425</x:v>
      </x:c>
      <x:c r="AL121" s="141" t="n">
        <x:f>IF(AG121&gt;1,"Inviavel",AK121)</x:f>
        <x:v>1665775.1847946425</x:v>
      </x:c>
      <x:c r="AM121" s="141" t="str">
        <x:f>IF(AG121&gt;1,"Inviavel","OK")</x:f>
        <x:v>OK</x:v>
      </x:c>
      <x:c r="AN121" s="141" t="n">
        <x:f>IF($A121=Premissas!$B$48,Premissas!$B$8,0)</x:f>
        <x:v>0</x:v>
      </x:c>
      <x:c r="AO121" s="141" t="n">
        <x:f>IF($A121&lt;=Premissas!$B$25,INDEX('Consorcio IQ'!$K$6:$K$485,$A121),0)</x:f>
        <x:v>963.790060987522</x:v>
      </x:c>
      <x:c r="AP121" s="141" t="n">
        <x:f>IF(AND(TRUE,Premissas!$B$11="Imovel",Premissas!$B$47="Moradia",$A121&lt;MAX(Premissas!$B$48,Premissas!$B$49)),$D121,0)</x:f>
        <x:v>0</x:v>
      </x:c>
      <x:c r="AQ121" s="141" t="n">
        <x:f>IF(AND(TRUE,Premissas!$B$11="Imovel",Premissas!$B$47="Investimento",$A121&gt;=MAX(Premissas!$B$48,Premissas!$B$49)),$E121,0)</x:f>
        <x:v>1081.2665337617234</x:v>
      </x:c>
      <x:c r="AR121" s="141" t="n">
        <x:f>AN121+AO121+AP121</x:f>
        <x:v>963.790060987522</x:v>
      </x:c>
      <x:c r="AS121" s="141" t="n">
        <x:f>AQ121</x:f>
        <x:v>1081.2665337617234</x:v>
      </x:c>
      <x:c r="AT121" s="141" t="n">
        <x:f>$C121+AS121-AR121</x:f>
        <x:v>7117.476472774201</x:v>
      </x:c>
      <x:c r="AU121" s="141" t="n">
        <x:f>AX120*(1+Premissas!$B$41)+AT121</x:f>
        <x:v>1388671.8589373517</x:v>
      </x:c>
      <x:c r="AV121" s="141" t="n">
        <x:f>MAX(0,-AU121)</x:f>
        <x:v>0</x:v>
      </x:c>
      <x:c r="AW121" s="141" t="n">
        <x:f>AW120*(1+Premissas!$B$41)+AV121</x:f>
        <x:v>0</x:v>
      </x:c>
      <x:c r="AX121" s="141" t="n">
        <x:f>MAX(0,AU121)</x:f>
        <x:v>1388671.8589373517</x:v>
      </x:c>
      <x:c r="AY121" s="141" t="n">
        <x:f>INDEX('Consorcio IQ'!$P$6:$P$485,$A121)</x:f>
        <x:v>91460.7783536115</x:v>
      </x:c>
      <x:c r="AZ121" s="141" t="n">
        <x:f>IF($A121&gt;=Premissas!$B$48,$F121,0)+IF($A121&lt;Premissas!$B$27,INDEX('Consorcio IQ'!$O$6:$O$485,$A121),0)</x:f>
        <x:v>351279.9480666542</x:v>
      </x:c>
      <x:c r="BA121" s="141" t="n">
        <x:f>AX121+AZ121-AY121</x:f>
        <x:v>1648491.0286503944</x:v>
      </x:c>
      <x:c r="BB121" s="141" t="n">
        <x:f>IF(AW121&gt;1,"Inviavel",BA121)</x:f>
        <x:v>1648491.0286503944</x:v>
      </x:c>
      <x:c r="BC121" s="141" t="str">
        <x:f>IF(AW121&gt;1,"Inviavel","OK")</x:f>
        <x:v>OK</x:v>
      </x:c>
      <x:c r="BD121" s="141" t="n">
        <x:f>IF($A121='Consorcio Direto'!$B$29,'Consorcio Direto'!$B$44,0)</x:f>
        <x:v>0</x:v>
      </x:c>
      <x:c r="BE121" s="141" t="n">
        <x:f>IF($A121&lt;='Consorcio Direto'!$B$27,INDEX('Consorcio Direto'!$E$55:$E$534,$A121),0)</x:f>
        <x:v>2495.735099138118</x:v>
      </x:c>
      <x:c r="BF121" s="141" t="n">
        <x:f>IF(AND(TRUE,Premissas!$B$11="Imovel",Premissas!$B$47="Moradia",$A121&lt;MAX('Consorcio Direto'!$B$29,Premissas!$B$49)),$D121,0)</x:f>
        <x:v>0</x:v>
      </x:c>
      <x:c r="BG121" s="141" t="n">
        <x:f>IF(AND(TRUE,Premissas!$B$11="Imovel",Premissas!$B$47="Investimento",$A121&gt;=MAX('Consorcio Direto'!$B$29,Premissas!$B$49)),$E121,0)</x:f>
        <x:v>1081.2665337617234</x:v>
      </x:c>
      <x:c r="BH121" s="141" t="n">
        <x:f>BD121+BE121+BF121</x:f>
        <x:v>2495.735099138118</x:v>
      </x:c>
      <x:c r="BI121" s="141" t="n">
        <x:f>BG121</x:f>
        <x:v>1081.2665337617234</x:v>
      </x:c>
      <x:c r="BJ121" s="141" t="n">
        <x:f>$C121+BI121-BH121</x:f>
        <x:v>5585.5314346236055</x:v>
      </x:c>
      <x:c r="BK121" s="141" t="n">
        <x:f>BN120*(1+Premissas!$B$41)+BJ121</x:f>
        <x:v>1440638.5262633555</x:v>
      </x:c>
      <x:c r="BL121" s="141" t="n">
        <x:f>MAX(0,-BK121)</x:f>
        <x:v>0</x:v>
      </x:c>
      <x:c r="BM121" s="141" t="n">
        <x:f>BM120*(1+Premissas!$B$41)+BL121</x:f>
        <x:v>0</x:v>
      </x:c>
      <x:c r="BN121" s="141" t="n">
        <x:f>MAX(0,BK121)</x:f>
        <x:v>1440638.5262633555</x:v>
      </x:c>
      <x:c r="BO121" s="141" t="n">
        <x:f>INDEX('Consorcio Direto'!$K$55:$K$534,$A121)</x:f>
        <x:v>236837.75541088035</x:v>
      </x:c>
      <x:c r="BP121" s="141" t="n">
        <x:f>IF($A121&lt;'Consorcio Direto'!$B$29,INDEX('Consorcio Direto'!$L$55:$L$534,$A121),$F121)</x:f>
        <x:v>351279.9480666542</x:v>
      </x:c>
      <x:c r="BQ121" s="141" t="n">
        <x:f>BN121+BP121-BO121</x:f>
        <x:v>1555080.7189191293</x:v>
      </x:c>
      <x:c r="BR121" s="141" t="n">
        <x:f>IF(BM121&gt;1,"Inviavel",BQ121)</x:f>
        <x:v>1555080.7189191293</x:v>
      </x:c>
      <x:c r="BS121" s="141" t="str">
        <x:f>IF(BM121&gt;1,"Inviavel","OK")</x:f>
        <x:v>OK</x:v>
      </x:c>
      <x:c r="BT121" s="141" t="n">
        <x:f>IF(AND('Carta Contemplada'!$B$22="Sim",$A121='Carta Contemplada'!$B$23),'Carta Contemplada'!$B$37,0)</x:f>
        <x:v>0</x:v>
      </x:c>
      <x:c r="BU121" s="141" t="n">
        <x:f>IF('Carta Contemplada'!$B$22="Sim",INDEX('Carta Contemplada'!$C$55:$C$1013,$A121),0)</x:f>
        <x:v>2027.3747508032313</x:v>
      </x:c>
      <x:c r="BV121" s="141" t="n">
        <x:f>IF(AND('Carta Contemplada'!$B$22="Sim",Premissas!$B$11="Imovel",Premissas!$B$47="Moradia",$A121&lt;MAX('Carta Contemplada'!$B$44,Premissas!$B$49)),$D121,0)</x:f>
        <x:v>0</x:v>
      </x:c>
      <x:c r="BW121" s="141" t="n">
        <x:f>IF(AND('Carta Contemplada'!$B$22="Sim",Premissas!$B$11="Imovel",Premissas!$B$47="Investimento",$A121&gt;=MAX('Carta Contemplada'!$B$44,Premissas!$B$49)),$E121,0)</x:f>
        <x:v>1081.2665337617234</x:v>
      </x:c>
      <x:c r="BX121" s="141" t="n">
        <x:f>BT121+BU121+BV121</x:f>
        <x:v>2027.3747508032313</x:v>
      </x:c>
      <x:c r="BY121" s="141" t="n">
        <x:f>BW121</x:f>
        <x:v>1081.2665337617234</x:v>
      </x:c>
      <x:c r="BZ121" s="141" t="n">
        <x:f>$C121+BY121-BX121</x:f>
        <x:v>6053.8917829584925</x:v>
      </x:c>
      <x:c r="CA121" s="141" t="n">
        <x:f>CD120*(1+Premissas!$B$41)+BZ121</x:f>
        <x:v>1470012.8676535615</x:v>
      </x:c>
      <x:c r="CB121" s="141" t="n">
        <x:f>MAX(0,-CA121)</x:f>
        <x:v>0</x:v>
      </x:c>
      <x:c r="CC121" s="141" t="n">
        <x:f>CC120*(1+Premissas!$B$41)+CB121</x:f>
        <x:v>0</x:v>
      </x:c>
      <x:c r="CD121" s="141" t="n">
        <x:f>MAX(0,CA121)</x:f>
        <x:v>1470012.8676535615</x:v>
      </x:c>
      <x:c r="CE121" s="141" t="n">
        <x:f>IF(AND('Carta Contemplada'!$B$22="Sim",$A121&gt;='Carta Contemplada'!$B$23),INDEX('Carta Contemplada'!$I$55:$I$1013,$A121),0)</x:f>
        <x:v>111930.23739892853</x:v>
      </x:c>
      <x:c r="CF121" s="141" t="n">
        <x:f>IF(AND('Carta Contemplada'!$B$22="Sim",$A121&gt;='Carta Contemplada'!$B$44),$F121,0)</x:f>
        <x:v>351279.9480666542</x:v>
      </x:c>
      <x:c r="CG121" s="141" t="n">
        <x:f>CD121+CF121-CE121</x:f>
        <x:v>1709362.5783212872</x:v>
      </x:c>
      <x:c r="CH121" s="141" t="n">
        <x:f>IF(CC121&gt;1,"Inviavel",CG121)</x:f>
        <x:v>1709362.5783212872</x:v>
      </x:c>
      <x:c r="CI121" s="145" t="str">
        <x:f>IF(CC121&gt;1,"Inviavel","OK")</x:f>
        <x:v>OK</x:v>
      </x:c>
    </x:row>
    <x:row r="122">
      <x:c r="A122" s="142" t="n">
        <x:v>118</x:v>
      </x:c>
      <x:c r="B122" s="179" t="n">
        <x:f>EDATE(Premissas!$B$4,A122-1)</x:f>
        <x:v>50100</x:v>
      </x:c>
      <x:c r="C122" s="141" t="n">
        <x:f>IF(A122&lt;=Premissas!$B$39,Premissas!$B$42,0)</x:f>
        <x:v>7000</x:v>
      </x:c>
      <x:c r="D122" s="141" t="n">
        <x:f>Premissas!$B$54*(1+Premissas!$B$57)^INT((A122-1)/12)</x:f>
        <x:v>1182.635271301885</x:v>
      </x:c>
      <x:c r="E122" s="141" t="n">
        <x:f>Premissas!$B$64*(1+Premissas!$B$57)^INT((A122-1)/12)</x:f>
        <x:v>1081.2665337617234</x:v>
      </x:c>
      <x:c r="F122" s="141" t="n">
        <x:f>MAX(0,Premissas!$B$6*(1+Premissas!$B$66)^((A122-1)/12))</x:f>
        <x:v>352989.82097645977</x:v>
      </x:c>
      <x:c r="G122" s="141" t="n">
        <x:f>G121*(1+Premissas!$B$41)+C122</x:f>
        <x:v>1782357.4502883628</x:v>
      </x:c>
      <x:c r="H122" s="141" t="n">
        <x:f>IF($A122=Premissas!$B$48,Premissas!$B$8,0)</x:f>
        <x:v>0</x:v>
      </x:c>
      <x:c r="I122" s="141" t="n">
        <x:f>IF(AND($A122&gt;=Premissas!$B$48,$A122-Premissas!$B$48+1&lt;=Premissas!$B$13),INDEX(Financiamento!$J$6:$J$485,$A122-Premissas!$B$48+1),0)</x:f>
        <x:v>1626.2301939728266</x:v>
      </x:c>
      <x:c r="J122" s="141" t="n">
        <x:f>IF(AND(TRUE,Premissas!$B$11="Imovel",Premissas!$B$47="Moradia",$A122&lt;MAX(Premissas!$B$48,Premissas!$B$49)),$D122,0)</x:f>
        <x:v>0</x:v>
      </x:c>
      <x:c r="K122" s="141" t="n">
        <x:f>IF(AND(TRUE,Premissas!$B$11="Imovel",Premissas!$B$47="Investimento",$A122&gt;=MAX(Premissas!$B$48,Premissas!$B$49)),$E122,0)</x:f>
        <x:v>1081.2665337617234</x:v>
      </x:c>
      <x:c r="L122" s="141" t="n">
        <x:f>H122+I122+J122</x:f>
        <x:v>1626.2301939728266</x:v>
      </x:c>
      <x:c r="M122" s="141" t="n">
        <x:f>K122</x:f>
        <x:v>1081.2665337617234</x:v>
      </x:c>
      <x:c r="N122" s="141" t="n">
        <x:f>$C122+M122-L122</x:f>
        <x:v>6455.036339788897</x:v>
      </x:c>
      <x:c r="O122" s="141" t="n">
        <x:f>R121*(1+Premissas!$B$41)+N122</x:f>
        <x:v>1428570.1485384419</x:v>
      </x:c>
      <x:c r="P122" s="141" t="n">
        <x:f>MAX(0,-O122)</x:f>
        <x:v>0</x:v>
      </x:c>
      <x:c r="Q122" s="141" t="n">
        <x:f>Q121*(1+Premissas!$B$41)+P122</x:f>
        <x:v>0</x:v>
      </x:c>
      <x:c r="R122" s="141" t="n">
        <x:f>MAX(0,O122)</x:f>
        <x:v>1428570.1485384419</x:v>
      </x:c>
      <x:c r="S122" s="141" t="n">
        <x:f>IF(AND($A122&gt;=Premissas!$B$48,$A122-Premissas!$B$48+1&lt;=Premissas!$B$13),INDEX(Financiamento!$M$6:$M$485,$A122-Premissas!$B$48+1),0)</x:f>
        <x:v>115047.61904761924</x:v>
      </x:c>
      <x:c r="T122" s="141" t="n">
        <x:f>IF($A122&gt;=Premissas!$B$48,$F122,0)</x:f>
        <x:v>352989.82097645977</x:v>
      </x:c>
      <x:c r="U122" s="141" t="n">
        <x:f>R122+T122-S122</x:f>
        <x:v>1666512.3504672826</x:v>
      </x:c>
      <x:c r="V122" s="141" t="n">
        <x:f>IF(Q122&gt;1,"Inviavel",U122)</x:f>
        <x:v>1666512.3504672826</x:v>
      </x:c>
      <x:c r="W122" s="141" t="str">
        <x:f>IF(Q122&gt;1,"Inviavel","OK")</x:f>
        <x:v>OK</x:v>
      </x:c>
      <x:c r="X122" s="141" t="n">
        <x:f>IF($A122=Premissas!$B$48,Premissas!$B$8,0)</x:f>
        <x:v>0</x:v>
      </x:c>
      <x:c r="Y122" s="141" t="n">
        <x:f>IF(AND($A122&gt;=Premissas!$B$48,$A122-Premissas!$B$48+1&lt;=Premissas!$B$13),INDEX(Amortizacao!$K$6:$K$485,$A122-Premissas!$B$48+1),0)</x:f>
        <x:v>0</x:v>
      </x:c>
      <x:c r="Z122" s="141" t="n">
        <x:f>IF(AND(TRUE,Premissas!$B$11="Imovel",Premissas!$B$47="Moradia",$A122&lt;MAX(Premissas!$B$48,Premissas!$B$49)),$D122,0)</x:f>
        <x:v>0</x:v>
      </x:c>
      <x:c r="AA122" s="141" t="n">
        <x:f>IF(AND(TRUE,Premissas!$B$11="Imovel",Premissas!$B$47="Investimento",$A122&gt;=MAX(Premissas!$B$48,Premissas!$B$49)),$E122,0)</x:f>
        <x:v>1081.2665337617234</x:v>
      </x:c>
      <x:c r="AB122" s="141" t="n">
        <x:f>X122+Y122+Z122</x:f>
        <x:v>0</x:v>
      </x:c>
      <x:c r="AC122" s="141" t="n">
        <x:f>AA122</x:f>
        <x:v>1081.2665337617234</x:v>
      </x:c>
      <x:c r="AD122" s="141" t="n">
        <x:f>$C122+AC122-AB122</x:f>
        <x:v>8081.266533761724</x:v>
      </x:c>
      <x:c r="AE122" s="141" t="n">
        <x:f>AH121*(1+Premissas!$B$41)+AD122</x:f>
        <x:v>1335049.4763765577</x:v>
      </x:c>
      <x:c r="AF122" s="141" t="n">
        <x:f>MAX(0,-AE122)</x:f>
        <x:v>0</x:v>
      </x:c>
      <x:c r="AG122" s="141" t="n">
        <x:f>AG121*(1+Premissas!$B$41)+AF122</x:f>
        <x:v>0</x:v>
      </x:c>
      <x:c r="AH122" s="141" t="n">
        <x:f>MAX(0,AE122)</x:f>
        <x:v>1335049.4763765577</x:v>
      </x:c>
      <x:c r="AI122" s="141" t="n">
        <x:f>IF(AND($A122&gt;=Premissas!$B$48,$A122-Premissas!$B$48+1&lt;=Premissas!$B$13),INDEX(Amortizacao!$L$6:$L$485,$A122-Premissas!$B$48+1),0)</x:f>
        <x:v>0</x:v>
      </x:c>
      <x:c r="AJ122" s="141" t="n">
        <x:f>IF($A122&gt;=Premissas!$B$48,$F122,0)</x:f>
        <x:v>352989.82097645977</x:v>
      </x:c>
      <x:c r="AK122" s="141" t="n">
        <x:f>AH122+AJ122-AI122</x:f>
        <x:v>1688039.2973530176</x:v>
      </x:c>
      <x:c r="AL122" s="141" t="n">
        <x:f>IF(AG122&gt;1,"Inviavel",AK122)</x:f>
        <x:v>1688039.2973530176</x:v>
      </x:c>
      <x:c r="AM122" s="141" t="str">
        <x:f>IF(AG122&gt;1,"Inviavel","OK")</x:f>
        <x:v>OK</x:v>
      </x:c>
      <x:c r="AN122" s="141" t="n">
        <x:f>IF($A122=Premissas!$B$48,Premissas!$B$8,0)</x:f>
        <x:v>0</x:v>
      </x:c>
      <x:c r="AO122" s="141" t="n">
        <x:f>IF($A122&lt;=Premissas!$B$25,INDEX('Consorcio IQ'!$K$6:$K$485,$A122),0)</x:f>
        <x:v>963.790060987522</x:v>
      </x:c>
      <x:c r="AP122" s="141" t="n">
        <x:f>IF(AND(TRUE,Premissas!$B$11="Imovel",Premissas!$B$47="Moradia",$A122&lt;MAX(Premissas!$B$48,Premissas!$B$49)),$D122,0)</x:f>
        <x:v>0</x:v>
      </x:c>
      <x:c r="AQ122" s="141" t="n">
        <x:f>IF(AND(TRUE,Premissas!$B$11="Imovel",Premissas!$B$47="Investimento",$A122&gt;=MAX(Premissas!$B$48,Premissas!$B$49)),$E122,0)</x:f>
        <x:v>1081.2665337617234</x:v>
      </x:c>
      <x:c r="AR122" s="141" t="n">
        <x:f>AN122+AO122+AP122</x:f>
        <x:v>963.790060987522</x:v>
      </x:c>
      <x:c r="AS122" s="141" t="n">
        <x:f>AQ122</x:f>
        <x:v>1081.2665337617234</x:v>
      </x:c>
      <x:c r="AT122" s="141" t="n">
        <x:f>$C122+AS122-AR122</x:f>
        <x:v>7117.476472774201</x:v>
      </x:c>
      <x:c r="AU122" s="141" t="n">
        <x:f>AX121*(1+Premissas!$B$41)+AT122</x:f>
        <x:v>1408966.155133665</x:v>
      </x:c>
      <x:c r="AV122" s="141" t="n">
        <x:f>MAX(0,-AU122)</x:f>
        <x:v>0</x:v>
      </x:c>
      <x:c r="AW122" s="141" t="n">
        <x:f>AW121*(1+Premissas!$B$41)+AV122</x:f>
        <x:v>0</x:v>
      </x:c>
      <x:c r="AX122" s="141" t="n">
        <x:f>MAX(0,AU122)</x:f>
        <x:v>1408966.155133665</x:v>
      </x:c>
      <x:c r="AY122" s="141" t="n">
        <x:f>INDEX('Consorcio IQ'!$P$6:$P$485,$A122)</x:f>
        <x:v>91364.8406800572</x:v>
      </x:c>
      <x:c r="AZ122" s="141" t="n">
        <x:f>IF($A122&gt;=Premissas!$B$48,$F122,0)+IF($A122&lt;Premissas!$B$27,INDEX('Consorcio IQ'!$O$6:$O$485,$A122),0)</x:f>
        <x:v>352989.82097645977</x:v>
      </x:c>
      <x:c r="BA122" s="141" t="n">
        <x:f>AX122+AZ122-AY122</x:f>
        <x:v>1670591.1354300678</x:v>
      </x:c>
      <x:c r="BB122" s="141" t="n">
        <x:f>IF(AW122&gt;1,"Inviavel",BA122)</x:f>
        <x:v>1670591.1354300678</x:v>
      </x:c>
      <x:c r="BC122" s="141" t="str">
        <x:f>IF(AW122&gt;1,"Inviavel","OK")</x:f>
        <x:v>OK</x:v>
      </x:c>
      <x:c r="BD122" s="141" t="n">
        <x:f>IF($A122='Consorcio Direto'!$B$29,'Consorcio Direto'!$B$44,0)</x:f>
        <x:v>0</x:v>
      </x:c>
      <x:c r="BE122" s="141" t="n">
        <x:f>IF($A122&lt;='Consorcio Direto'!$B$27,INDEX('Consorcio Direto'!$E$55:$E$534,$A122),0)</x:f>
        <x:v>2495.735099138118</x:v>
      </x:c>
      <x:c r="BF122" s="141" t="n">
        <x:f>IF(AND(TRUE,Premissas!$B$11="Imovel",Premissas!$B$47="Moradia",$A122&lt;MAX('Consorcio Direto'!$B$29,Premissas!$B$49)),$D122,0)</x:f>
        <x:v>0</x:v>
      </x:c>
      <x:c r="BG122" s="141" t="n">
        <x:f>IF(AND(TRUE,Premissas!$B$11="Imovel",Premissas!$B$47="Investimento",$A122&gt;=MAX('Consorcio Direto'!$B$29,Premissas!$B$49)),$E122,0)</x:f>
        <x:v>1081.2665337617234</x:v>
      </x:c>
      <x:c r="BH122" s="141" t="n">
        <x:f>BD122+BE122+BF122</x:f>
        <x:v>2495.735099138118</x:v>
      </x:c>
      <x:c r="BI122" s="141" t="n">
        <x:f>BG122</x:f>
        <x:v>1081.2665337617234</x:v>
      </x:c>
      <x:c r="BJ122" s="141" t="n">
        <x:f>$C122+BI122-BH122</x:f>
        <x:v>5585.5314346236055</x:v>
      </x:c>
      <x:c r="BK122" s="141" t="n">
        <x:f>BN121*(1+Premissas!$B$41)+BJ122</x:f>
        <x:v>1459893.9783672749</x:v>
      </x:c>
      <x:c r="BL122" s="141" t="n">
        <x:f>MAX(0,-BK122)</x:f>
        <x:v>0</x:v>
      </x:c>
      <x:c r="BM122" s="141" t="n">
        <x:f>BM121*(1+Premissas!$B$41)+BL122</x:f>
        <x:v>0</x:v>
      </x:c>
      <x:c r="BN122" s="141" t="n">
        <x:f>MAX(0,BK122)</x:f>
        <x:v>1459893.9783672749</x:v>
      </x:c>
      <x:c r="BO122" s="141" t="n">
        <x:f>INDEX('Consorcio Direto'!$K$55:$K$534,$A122)</x:f>
        <x:v>236589.3247319275</x:v>
      </x:c>
      <x:c r="BP122" s="141" t="n">
        <x:f>IF($A122&lt;'Consorcio Direto'!$B$29,INDEX('Consorcio Direto'!$L$55:$L$534,$A122),$F122)</x:f>
        <x:v>352989.82097645977</x:v>
      </x:c>
      <x:c r="BQ122" s="141" t="n">
        <x:f>BN122+BP122-BO122</x:f>
        <x:v>1576294.474611807</x:v>
      </x:c>
      <x:c r="BR122" s="141" t="n">
        <x:f>IF(BM122&gt;1,"Inviavel",BQ122)</x:f>
        <x:v>1576294.474611807</x:v>
      </x:c>
      <x:c r="BS122" s="141" t="str">
        <x:f>IF(BM122&gt;1,"Inviavel","OK")</x:f>
        <x:v>OK</x:v>
      </x:c>
      <x:c r="BT122" s="141" t="n">
        <x:f>IF(AND('Carta Contemplada'!$B$22="Sim",$A122='Carta Contemplada'!$B$23),'Carta Contemplada'!$B$37,0)</x:f>
        <x:v>0</x:v>
      </x:c>
      <x:c r="BU122" s="141" t="n">
        <x:f>IF('Carta Contemplada'!$B$22="Sim",INDEX('Carta Contemplada'!$C$55:$C$1013,$A122),0)</x:f>
        <x:v>2027.3747508032313</x:v>
      </x:c>
      <x:c r="BV122" s="141" t="n">
        <x:f>IF(AND('Carta Contemplada'!$B$22="Sim",Premissas!$B$11="Imovel",Premissas!$B$47="Moradia",$A122&lt;MAX('Carta Contemplada'!$B$44,Premissas!$B$49)),$D122,0)</x:f>
        <x:v>0</x:v>
      </x:c>
      <x:c r="BW122" s="141" t="n">
        <x:f>IF(AND('Carta Contemplada'!$B$22="Sim",Premissas!$B$11="Imovel",Premissas!$B$47="Investimento",$A122&gt;=MAX('Carta Contemplada'!$B$44,Premissas!$B$49)),$E122,0)</x:f>
        <x:v>1081.2665337617234</x:v>
      </x:c>
      <x:c r="BX122" s="141" t="n">
        <x:f>BT122+BU122+BV122</x:f>
        <x:v>2027.3747508032313</x:v>
      </x:c>
      <x:c r="BY122" s="141" t="n">
        <x:f>BW122</x:f>
        <x:v>1081.2665337617234</x:v>
      </x:c>
      <x:c r="BZ122" s="141" t="n">
        <x:f>$C122+BY122-BX122</x:f>
        <x:v>6053.8917829584925</x:v>
      </x:c>
      <x:c r="CA122" s="141" t="n">
        <x:f>CD121*(1+Premissas!$B$41)+BZ122</x:f>
        <x:v>1490015.4071488574</x:v>
      </x:c>
      <x:c r="CB122" s="141" t="n">
        <x:f>MAX(0,-CA122)</x:f>
        <x:v>0</x:v>
      </x:c>
      <x:c r="CC122" s="141" t="n">
        <x:f>CC121*(1+Premissas!$B$41)+CB122</x:f>
        <x:v>0</x:v>
      </x:c>
      <x:c r="CD122" s="141" t="n">
        <x:f>MAX(0,CA122)</x:f>
        <x:v>1490015.4071488574</x:v>
      </x:c>
      <x:c r="CE122" s="141" t="n">
        <x:f>IF(AND('Carta Contemplada'!$B$22="Sim",$A122&gt;='Carta Contemplada'!$B$23),INDEX('Carta Contemplada'!$I$55:$I$1013,$A122),0)</x:f>
        <x:v>110964.94549392245</x:v>
      </x:c>
      <x:c r="CF122" s="141" t="n">
        <x:f>IF(AND('Carta Contemplada'!$B$22="Sim",$A122&gt;='Carta Contemplada'!$B$44),$F122,0)</x:f>
        <x:v>352989.82097645977</x:v>
      </x:c>
      <x:c r="CG122" s="141" t="n">
        <x:f>CD122+CF122-CE122</x:f>
        <x:v>1732040.2826313945</x:v>
      </x:c>
      <x:c r="CH122" s="141" t="n">
        <x:f>IF(CC122&gt;1,"Inviavel",CG122)</x:f>
        <x:v>1732040.2826313945</x:v>
      </x:c>
      <x:c r="CI122" s="145" t="str">
        <x:f>IF(CC122&gt;1,"Inviavel","OK")</x:f>
        <x:v>OK</x:v>
      </x:c>
    </x:row>
    <x:row r="123">
      <x:c r="A123" s="142" t="n">
        <x:v>119</x:v>
      </x:c>
      <x:c r="B123" s="179" t="n">
        <x:f>EDATE(Premissas!$B$4,A123-1)</x:f>
        <x:v>50131</x:v>
      </x:c>
      <x:c r="C123" s="141" t="n">
        <x:f>IF(A123&lt;=Premissas!$B$39,Premissas!$B$42,0)</x:f>
        <x:v>7000</x:v>
      </x:c>
      <x:c r="D123" s="141" t="n">
        <x:f>Premissas!$B$54*(1+Premissas!$B$57)^INT((A123-1)/12)</x:f>
        <x:v>1182.635271301885</x:v>
      </x:c>
      <x:c r="E123" s="141" t="n">
        <x:f>Premissas!$B$64*(1+Premissas!$B$57)^INT((A123-1)/12)</x:f>
        <x:v>1081.2665337617234</x:v>
      </x:c>
      <x:c r="F123" s="141" t="n">
        <x:f>MAX(0,Premissas!$B$6*(1+Premissas!$B$66)^((A123-1)/12))</x:f>
        <x:v>354708.0167791141</x:v>
      </x:c>
      <x:c r="G123" s="141" t="n">
        <x:f>G122*(1+Premissas!$B$41)+C123</x:f>
        <x:v>1806269.8710695605</x:v>
      </x:c>
      <x:c r="H123" s="141" t="n">
        <x:f>IF($A123=Premissas!$B$48,Premissas!$B$8,0)</x:f>
        <x:v>0</x:v>
      </x:c>
      <x:c r="I123" s="141" t="n">
        <x:f>IF(AND($A123&gt;=Premissas!$B$48,$A123-Premissas!$B$48+1&lt;=Premissas!$B$13),INDEX(Financiamento!$J$6:$J$485,$A123-Premissas!$B$48+1),0)</x:f>
        <x:v>1622.615415712033</x:v>
      </x:c>
      <x:c r="J123" s="141" t="n">
        <x:f>IF(AND(TRUE,Premissas!$B$11="Imovel",Premissas!$B$47="Moradia",$A123&lt;MAX(Premissas!$B$48,Premissas!$B$49)),$D123,0)</x:f>
        <x:v>0</x:v>
      </x:c>
      <x:c r="K123" s="141" t="n">
        <x:f>IF(AND(TRUE,Premissas!$B$11="Imovel",Premissas!$B$47="Investimento",$A123&gt;=MAX(Premissas!$B$48,Premissas!$B$49)),$E123,0)</x:f>
        <x:v>1081.2665337617234</x:v>
      </x:c>
      <x:c r="L123" s="141" t="n">
        <x:f>H123+I123+J123</x:f>
        <x:v>1622.615415712033</x:v>
      </x:c>
      <x:c r="M123" s="141" t="n">
        <x:f>K123</x:f>
        <x:v>1081.2665337617234</x:v>
      </x:c>
      <x:c r="N123" s="141" t="n">
        <x:f>$C123+M123-L123</x:f>
        <x:v>6458.651118049691</x:v>
      </x:c>
      <x:c r="O123" s="141" t="n">
        <x:f>R122*(1+Premissas!$B$41)+N123</x:f>
        <x:v>1448584.2059884993</x:v>
      </x:c>
      <x:c r="P123" s="141" t="n">
        <x:f>MAX(0,-O123)</x:f>
        <x:v>0</x:v>
      </x:c>
      <x:c r="Q123" s="141" t="n">
        <x:f>Q122*(1+Premissas!$B$41)+P123</x:f>
        <x:v>0</x:v>
      </x:c>
      <x:c r="R123" s="141" t="n">
        <x:f>MAX(0,O123)</x:f>
        <x:v>1448584.2059884993</x:v>
      </x:c>
      <x:c r="S123" s="141" t="n">
        <x:f>IF(AND($A123&gt;=Premissas!$B$48,$A123-Premissas!$B$48+1&lt;=Premissas!$B$13),INDEX(Financiamento!$M$6:$M$485,$A123-Premissas!$B$48+1),0)</x:f>
        <x:v>114666.66666666686</x:v>
      </x:c>
      <x:c r="T123" s="141" t="n">
        <x:f>IF($A123&gt;=Premissas!$B$48,$F123,0)</x:f>
        <x:v>354708.0167791141</x:v>
      </x:c>
      <x:c r="U123" s="141" t="n">
        <x:f>R123+T123-S123</x:f>
        <x:v>1688625.5561009464</x:v>
      </x:c>
      <x:c r="V123" s="141" t="n">
        <x:f>IF(Q123&gt;1,"Inviavel",U123)</x:f>
        <x:v>1688625.5561009464</x:v>
      </x:c>
      <x:c r="W123" s="141" t="str">
        <x:f>IF(Q123&gt;1,"Inviavel","OK")</x:f>
        <x:v>OK</x:v>
      </x:c>
      <x:c r="X123" s="141" t="n">
        <x:f>IF($A123=Premissas!$B$48,Premissas!$B$8,0)</x:f>
        <x:v>0</x:v>
      </x:c>
      <x:c r="Y123" s="141" t="n">
        <x:f>IF(AND($A123&gt;=Premissas!$B$48,$A123-Premissas!$B$48+1&lt;=Premissas!$B$13),INDEX(Amortizacao!$K$6:$K$485,$A123-Premissas!$B$48+1),0)</x:f>
        <x:v>0</x:v>
      </x:c>
      <x:c r="Z123" s="141" t="n">
        <x:f>IF(AND(TRUE,Premissas!$B$11="Imovel",Premissas!$B$47="Moradia",$A123&lt;MAX(Premissas!$B$48,Premissas!$B$49)),$D123,0)</x:f>
        <x:v>0</x:v>
      </x:c>
      <x:c r="AA123" s="141" t="n">
        <x:f>IF(AND(TRUE,Premissas!$B$11="Imovel",Premissas!$B$47="Investimento",$A123&gt;=MAX(Premissas!$B$48,Premissas!$B$49)),$E123,0)</x:f>
        <x:v>1081.2665337617234</x:v>
      </x:c>
      <x:c r="AB123" s="141" t="n">
        <x:f>X123+Y123+Z123</x:f>
        <x:v>0</x:v>
      </x:c>
      <x:c r="AC123" s="141" t="n">
        <x:f>AA123</x:f>
        <x:v>1081.2665337617234</x:v>
      </x:c>
      <x:c r="AD123" s="141" t="n">
        <x:f>$C123+AC123-AB123</x:f>
        <x:v>8081.266533761724</x:v>
      </x:c>
      <x:c r="AE123" s="141" t="n">
        <x:f>AH122*(1+Premissas!$B$41)+AD123</x:f>
        <x:v>1355798.75094908</x:v>
      </x:c>
      <x:c r="AF123" s="141" t="n">
        <x:f>MAX(0,-AE123)</x:f>
        <x:v>0</x:v>
      </x:c>
      <x:c r="AG123" s="141" t="n">
        <x:f>AG122*(1+Premissas!$B$41)+AF123</x:f>
        <x:v>0</x:v>
      </x:c>
      <x:c r="AH123" s="141" t="n">
        <x:f>MAX(0,AE123)</x:f>
        <x:v>1355798.75094908</x:v>
      </x:c>
      <x:c r="AI123" s="141" t="n">
        <x:f>IF(AND($A123&gt;=Premissas!$B$48,$A123-Premissas!$B$48+1&lt;=Premissas!$B$13),INDEX(Amortizacao!$L$6:$L$485,$A123-Premissas!$B$48+1),0)</x:f>
        <x:v>0</x:v>
      </x:c>
      <x:c r="AJ123" s="141" t="n">
        <x:f>IF($A123&gt;=Premissas!$B$48,$F123,0)</x:f>
        <x:v>354708.0167791141</x:v>
      </x:c>
      <x:c r="AK123" s="141" t="n">
        <x:f>AH123+AJ123-AI123</x:f>
        <x:v>1710506.7677281941</x:v>
      </x:c>
      <x:c r="AL123" s="141" t="n">
        <x:f>IF(AG123&gt;1,"Inviavel",AK123)</x:f>
        <x:v>1710506.7677281941</x:v>
      </x:c>
      <x:c r="AM123" s="141" t="str">
        <x:f>IF(AG123&gt;1,"Inviavel","OK")</x:f>
        <x:v>OK</x:v>
      </x:c>
      <x:c r="AN123" s="141" t="n">
        <x:f>IF($A123=Premissas!$B$48,Premissas!$B$8,0)</x:f>
        <x:v>0</x:v>
      </x:c>
      <x:c r="AO123" s="141" t="n">
        <x:f>IF($A123&lt;=Premissas!$B$25,INDEX('Consorcio IQ'!$K$6:$K$485,$A123),0)</x:f>
        <x:v>963.790060987522</x:v>
      </x:c>
      <x:c r="AP123" s="141" t="n">
        <x:f>IF(AND(TRUE,Premissas!$B$11="Imovel",Premissas!$B$47="Moradia",$A123&lt;MAX(Premissas!$B$48,Premissas!$B$49)),$D123,0)</x:f>
        <x:v>0</x:v>
      </x:c>
      <x:c r="AQ123" s="141" t="n">
        <x:f>IF(AND(TRUE,Premissas!$B$11="Imovel",Premissas!$B$47="Investimento",$A123&gt;=MAX(Premissas!$B$48,Premissas!$B$49)),$E123,0)</x:f>
        <x:v>1081.2665337617234</x:v>
      </x:c>
      <x:c r="AR123" s="141" t="n">
        <x:f>AN123+AO123+AP123</x:f>
        <x:v>963.790060987522</x:v>
      </x:c>
      <x:c r="AS123" s="141" t="n">
        <x:f>AQ123</x:f>
        <x:v>1081.2665337617234</x:v>
      </x:c>
      <x:c r="AT123" s="141" t="n">
        <x:f>$C123+AS123-AR123</x:f>
        <x:v>7117.476472774201</x:v>
      </x:c>
      <x:c r="AU123" s="141" t="n">
        <x:f>AX122*(1+Premissas!$B$41)+AT123</x:f>
        <x:v>1429453.0197043384</x:v>
      </x:c>
      <x:c r="AV123" s="141" t="n">
        <x:f>MAX(0,-AU123)</x:f>
        <x:v>0</x:v>
      </x:c>
      <x:c r="AW123" s="141" t="n">
        <x:f>AW122*(1+Premissas!$B$41)+AV123</x:f>
        <x:v>0</x:v>
      </x:c>
      <x:c r="AX123" s="141" t="n">
        <x:f>MAX(0,AU123)</x:f>
        <x:v>1429453.0197043384</x:v>
      </x:c>
      <x:c r="AY123" s="141" t="n">
        <x:f>INDEX('Consorcio IQ'!$P$6:$P$485,$A123)</x:f>
        <x:v>91267.99267378391</x:v>
      </x:c>
      <x:c r="AZ123" s="141" t="n">
        <x:f>IF($A123&gt;=Premissas!$B$48,$F123,0)+IF($A123&lt;Premissas!$B$27,INDEX('Consorcio IQ'!$O$6:$O$485,$A123),0)</x:f>
        <x:v>354708.0167791141</x:v>
      </x:c>
      <x:c r="BA123" s="141" t="n">
        <x:f>AX123+AZ123-AY123</x:f>
        <x:v>1692893.0438096686</x:v>
      </x:c>
      <x:c r="BB123" s="141" t="n">
        <x:f>IF(AW123&gt;1,"Inviavel",BA123)</x:f>
        <x:v>1692893.0438096686</x:v>
      </x:c>
      <x:c r="BC123" s="141" t="str">
        <x:f>IF(AW123&gt;1,"Inviavel","OK")</x:f>
        <x:v>OK</x:v>
      </x:c>
      <x:c r="BD123" s="141" t="n">
        <x:f>IF($A123='Consorcio Direto'!$B$29,'Consorcio Direto'!$B$44,0)</x:f>
        <x:v>0</x:v>
      </x:c>
      <x:c r="BE123" s="141" t="n">
        <x:f>IF($A123&lt;='Consorcio Direto'!$B$27,INDEX('Consorcio Direto'!$E$55:$E$534,$A123),0)</x:f>
        <x:v>2495.735099138118</x:v>
      </x:c>
      <x:c r="BF123" s="141" t="n">
        <x:f>IF(AND(TRUE,Premissas!$B$11="Imovel",Premissas!$B$47="Moradia",$A123&lt;MAX('Consorcio Direto'!$B$29,Premissas!$B$49)),$D123,0)</x:f>
        <x:v>0</x:v>
      </x:c>
      <x:c r="BG123" s="141" t="n">
        <x:f>IF(AND(TRUE,Premissas!$B$11="Imovel",Premissas!$B$47="Investimento",$A123&gt;=MAX('Consorcio Direto'!$B$29,Premissas!$B$49)),$E123,0)</x:f>
        <x:v>1081.2665337617234</x:v>
      </x:c>
      <x:c r="BH123" s="141" t="n">
        <x:f>BD123+BE123+BF123</x:f>
        <x:v>2495.735099138118</x:v>
      </x:c>
      <x:c r="BI123" s="141" t="n">
        <x:f>BG123</x:f>
        <x:v>1081.2665337617234</x:v>
      </x:c>
      <x:c r="BJ123" s="141" t="n">
        <x:f>$C123+BI123-BH123</x:f>
        <x:v>5585.5314346236055</x:v>
      </x:c>
      <x:c r="BK123" s="141" t="n">
        <x:f>BN122*(1+Premissas!$B$41)+BJ123</x:f>
        <x:v>1479332.1414690702</x:v>
      </x:c>
      <x:c r="BL123" s="141" t="n">
        <x:f>MAX(0,-BK123)</x:f>
        <x:v>0</x:v>
      </x:c>
      <x:c r="BM123" s="141" t="n">
        <x:f>BM122*(1+Premissas!$B$41)+BL123</x:f>
        <x:v>0</x:v>
      </x:c>
      <x:c r="BN123" s="141" t="n">
        <x:f>MAX(0,BK123)</x:f>
        <x:v>1479332.1414690702</x:v>
      </x:c>
      <x:c r="BO123" s="141" t="n">
        <x:f>INDEX('Consorcio Direto'!$K$55:$K$534,$A123)</x:f>
        <x:v>236338.5367457035</x:v>
      </x:c>
      <x:c r="BP123" s="141" t="n">
        <x:f>IF($A123&lt;'Consorcio Direto'!$B$29,INDEX('Consorcio Direto'!$L$55:$L$534,$A123),$F123)</x:f>
        <x:v>354708.0167791141</x:v>
      </x:c>
      <x:c r="BQ123" s="141" t="n">
        <x:f>BN123+BP123-BO123</x:f>
        <x:v>1597701.6215024807</x:v>
      </x:c>
      <x:c r="BR123" s="141" t="n">
        <x:f>IF(BM123&gt;1,"Inviavel",BQ123)</x:f>
        <x:v>1597701.6215024807</x:v>
      </x:c>
      <x:c r="BS123" s="141" t="str">
        <x:f>IF(BM123&gt;1,"Inviavel","OK")</x:f>
        <x:v>OK</x:v>
      </x:c>
      <x:c r="BT123" s="141" t="n">
        <x:f>IF(AND('Carta Contemplada'!$B$22="Sim",$A123='Carta Contemplada'!$B$23),'Carta Contemplada'!$B$37,0)</x:f>
        <x:v>0</x:v>
      </x:c>
      <x:c r="BU123" s="141" t="n">
        <x:f>IF('Carta Contemplada'!$B$22="Sim",INDEX('Carta Contemplada'!$C$55:$C$1013,$A123),0)</x:f>
        <x:v>2027.3747508032313</x:v>
      </x:c>
      <x:c r="BV123" s="141" t="n">
        <x:f>IF(AND('Carta Contemplada'!$B$22="Sim",Premissas!$B$11="Imovel",Premissas!$B$47="Moradia",$A123&lt;MAX('Carta Contemplada'!$B$44,Premissas!$B$49)),$D123,0)</x:f>
        <x:v>0</x:v>
      </x:c>
      <x:c r="BW123" s="141" t="n">
        <x:f>IF(AND('Carta Contemplada'!$B$22="Sim",Premissas!$B$11="Imovel",Premissas!$B$47="Investimento",$A123&gt;=MAX('Carta Contemplada'!$B$44,Premissas!$B$49)),$E123,0)</x:f>
        <x:v>1081.2665337617234</x:v>
      </x:c>
      <x:c r="BX123" s="141" t="n">
        <x:f>BT123+BU123+BV123</x:f>
        <x:v>2027.3747508032313</x:v>
      </x:c>
      <x:c r="BY123" s="141" t="n">
        <x:f>BW123</x:f>
        <x:v>1081.2665337617234</x:v>
      </x:c>
      <x:c r="BZ123" s="141" t="n">
        <x:f>$C123+BY123-BX123</x:f>
        <x:v>6053.8917829584925</x:v>
      </x:c>
      <x:c r="CA123" s="141" t="n">
        <x:f>CD122*(1+Premissas!$B$41)+BZ123</x:f>
        <x:v>1510207.74659959</x:v>
      </x:c>
      <x:c r="CB123" s="141" t="n">
        <x:f>MAX(0,-CA123)</x:f>
        <x:v>0</x:v>
      </x:c>
      <x:c r="CC123" s="141" t="n">
        <x:f>CC122*(1+Premissas!$B$41)+CB123</x:f>
        <x:v>0</x:v>
      </x:c>
      <x:c r="CD123" s="141" t="n">
        <x:f>MAX(0,CA123)</x:f>
        <x:v>1510207.74659959</x:v>
      </x:c>
      <x:c r="CE123" s="141" t="n">
        <x:f>IF(AND('Carta Contemplada'!$B$22="Sim",$A123&gt;='Carta Contemplada'!$B$23),INDEX('Carta Contemplada'!$I$55:$I$1013,$A123),0)</x:f>
        <x:v>109990.49413390835</x:v>
      </x:c>
      <x:c r="CF123" s="141" t="n">
        <x:f>IF(AND('Carta Contemplada'!$B$22="Sim",$A123&gt;='Carta Contemplada'!$B$44),$F123,0)</x:f>
        <x:v>354708.0167791141</x:v>
      </x:c>
      <x:c r="CG123" s="141" t="n">
        <x:f>CD123+CF123-CE123</x:f>
        <x:v>1754925.2692447957</x:v>
      </x:c>
      <x:c r="CH123" s="141" t="n">
        <x:f>IF(CC123&gt;1,"Inviavel",CG123)</x:f>
        <x:v>1754925.2692447957</x:v>
      </x:c>
      <x:c r="CI123" s="145" t="str">
        <x:f>IF(CC123&gt;1,"Inviavel","OK")</x:f>
        <x:v>OK</x:v>
      </x:c>
    </x:row>
    <x:row r="124">
      <x:c r="A124" s="142" t="n">
        <x:v>120</x:v>
      </x:c>
      <x:c r="B124" s="179" t="n">
        <x:f>EDATE(Premissas!$B$4,A124-1)</x:f>
        <x:v>50161</x:v>
      </x:c>
      <x:c r="C124" s="141" t="n">
        <x:f>IF(A124&lt;=Premissas!$B$39,Premissas!$B$42,0)</x:f>
        <x:v>7000</x:v>
      </x:c>
      <x:c r="D124" s="141" t="n">
        <x:f>Premissas!$B$54*(1+Premissas!$B$57)^INT((A124-1)/12)</x:f>
        <x:v>1182.635271301885</x:v>
      </x:c>
      <x:c r="E124" s="141" t="n">
        <x:f>Premissas!$B$64*(1+Premissas!$B$57)^INT((A124-1)/12)</x:f>
        <x:v>1081.2665337617234</x:v>
      </x:c>
      <x:c r="F124" s="141" t="n">
        <x:f>MAX(0,Premissas!$B$6*(1+Premissas!$B$66)^((A124-1)/12))</x:f>
        <x:v>356434.57598671893</x:v>
      </x:c>
      <x:c r="G124" s="141" t="n">
        <x:f>G123*(1+Premissas!$B$41)+C124</x:f>
        <x:v>1830409.1918601156</x:v>
      </x:c>
      <x:c r="H124" s="141" t="n">
        <x:f>IF($A124=Premissas!$B$48,Premissas!$B$8,0)</x:f>
        <x:v>0</x:v>
      </x:c>
      <x:c r="I124" s="141" t="n">
        <x:f>IF(AND($A124&gt;=Premissas!$B$48,$A124-Premissas!$B$48+1&lt;=Premissas!$B$13),INDEX(Financiamento!$J$6:$J$485,$A124-Premissas!$B$48+1),0)</x:f>
        <x:v>1619.0006374512393</x:v>
      </x:c>
      <x:c r="J124" s="141" t="n">
        <x:f>IF(AND(TRUE,Premissas!$B$11="Imovel",Premissas!$B$47="Moradia",$A124&lt;MAX(Premissas!$B$48,Premissas!$B$49)),$D124,0)</x:f>
        <x:v>0</x:v>
      </x:c>
      <x:c r="K124" s="141" t="n">
        <x:f>IF(AND(TRUE,Premissas!$B$11="Imovel",Premissas!$B$47="Investimento",$A124&gt;=MAX(Premissas!$B$48,Premissas!$B$49)),$E124,0)</x:f>
        <x:v>1081.2665337617234</x:v>
      </x:c>
      <x:c r="L124" s="141" t="n">
        <x:f>H124+I124+J124</x:f>
        <x:v>1619.0006374512393</x:v>
      </x:c>
      <x:c r="M124" s="141" t="n">
        <x:f>K124</x:f>
        <x:v>1081.2665337617234</x:v>
      </x:c>
      <x:c r="N124" s="141" t="n">
        <x:f>$C124+M124-L124</x:f>
        <x:v>6462.265896310484</x:v>
      </x:c>
      <x:c r="O124" s="141" t="n">
        <x:f>R123*(1+Premissas!$B$41)+N124</x:f>
        <x:v>1468791.787463742</x:v>
      </x:c>
      <x:c r="P124" s="141" t="n">
        <x:f>MAX(0,-O124)</x:f>
        <x:v>0</x:v>
      </x:c>
      <x:c r="Q124" s="141" t="n">
        <x:f>Q123*(1+Premissas!$B$41)+P124</x:f>
        <x:v>0</x:v>
      </x:c>
      <x:c r="R124" s="141" t="n">
        <x:f>MAX(0,O124)</x:f>
        <x:v>1468791.787463742</x:v>
      </x:c>
      <x:c r="S124" s="141" t="n">
        <x:f>IF(AND($A124&gt;=Premissas!$B$48,$A124-Premissas!$B$48+1&lt;=Premissas!$B$13),INDEX(Financiamento!$M$6:$M$485,$A124-Premissas!$B$48+1),0)</x:f>
        <x:v>114285.71428571448</x:v>
      </x:c>
      <x:c r="T124" s="141" t="n">
        <x:f>IF($A124&gt;=Premissas!$B$48,$F124,0)</x:f>
        <x:v>356434.57598671893</x:v>
      </x:c>
      <x:c r="U124" s="141" t="n">
        <x:f>R124+T124-S124</x:f>
        <x:v>1710940.6491647465</x:v>
      </x:c>
      <x:c r="V124" s="141" t="n">
        <x:f>IF(Q124&gt;1,"Inviavel",U124)</x:f>
        <x:v>1710940.6491647465</x:v>
      </x:c>
      <x:c r="W124" s="141" t="str">
        <x:f>IF(Q124&gt;1,"Inviavel","OK")</x:f>
        <x:v>OK</x:v>
      </x:c>
      <x:c r="X124" s="141" t="n">
        <x:f>IF($A124=Premissas!$B$48,Premissas!$B$8,0)</x:f>
        <x:v>0</x:v>
      </x:c>
      <x:c r="Y124" s="141" t="n">
        <x:f>IF(AND($A124&gt;=Premissas!$B$48,$A124-Premissas!$B$48+1&lt;=Premissas!$B$13),INDEX(Amortizacao!$K$6:$K$485,$A124-Premissas!$B$48+1),0)</x:f>
        <x:v>0</x:v>
      </x:c>
      <x:c r="Z124" s="141" t="n">
        <x:f>IF(AND(TRUE,Premissas!$B$11="Imovel",Premissas!$B$47="Moradia",$A124&lt;MAX(Premissas!$B$48,Premissas!$B$49)),$D124,0)</x:f>
        <x:v>0</x:v>
      </x:c>
      <x:c r="AA124" s="141" t="n">
        <x:f>IF(AND(TRUE,Premissas!$B$11="Imovel",Premissas!$B$47="Investimento",$A124&gt;=MAX(Premissas!$B$48,Premissas!$B$49)),$E124,0)</x:f>
        <x:v>1081.2665337617234</x:v>
      </x:c>
      <x:c r="AB124" s="141" t="n">
        <x:f>X124+Y124+Z124</x:f>
        <x:v>0</x:v>
      </x:c>
      <x:c r="AC124" s="141" t="n">
        <x:f>AA124</x:f>
        <x:v>1081.2665337617234</x:v>
      </x:c>
      <x:c r="AD124" s="141" t="n">
        <x:f>$C124+AC124-AB124</x:f>
        <x:v>8081.266533761724</x:v>
      </x:c>
      <x:c r="AE124" s="141" t="n">
        <x:f>AH123*(1+Premissas!$B$41)+AD124</x:f>
        <x:v>1376744.911091564</x:v>
      </x:c>
      <x:c r="AF124" s="141" t="n">
        <x:f>MAX(0,-AE124)</x:f>
        <x:v>0</x:v>
      </x:c>
      <x:c r="AG124" s="141" t="n">
        <x:f>AG123*(1+Premissas!$B$41)+AF124</x:f>
        <x:v>0</x:v>
      </x:c>
      <x:c r="AH124" s="141" t="n">
        <x:f>MAX(0,AE124)</x:f>
        <x:v>1376744.911091564</x:v>
      </x:c>
      <x:c r="AI124" s="141" t="n">
        <x:f>IF(AND($A124&gt;=Premissas!$B$48,$A124-Premissas!$B$48+1&lt;=Premissas!$B$13),INDEX(Amortizacao!$L$6:$L$485,$A124-Premissas!$B$48+1),0)</x:f>
        <x:v>0</x:v>
      </x:c>
      <x:c r="AJ124" s="141" t="n">
        <x:f>IF($A124&gt;=Premissas!$B$48,$F124,0)</x:f>
        <x:v>356434.57598671893</x:v>
      </x:c>
      <x:c r="AK124" s="141" t="n">
        <x:f>AH124+AJ124-AI124</x:f>
        <x:v>1733179.487078283</x:v>
      </x:c>
      <x:c r="AL124" s="141" t="n">
        <x:f>IF(AG124&gt;1,"Inviavel",AK124)</x:f>
        <x:v>1733179.487078283</x:v>
      </x:c>
      <x:c r="AM124" s="141" t="str">
        <x:f>IF(AG124&gt;1,"Inviavel","OK")</x:f>
        <x:v>OK</x:v>
      </x:c>
      <x:c r="AN124" s="141" t="n">
        <x:f>IF($A124=Premissas!$B$48,Premissas!$B$8,0)</x:f>
        <x:v>0</x:v>
      </x:c>
      <x:c r="AO124" s="141" t="n">
        <x:f>IF($A124&lt;=Premissas!$B$25,INDEX('Consorcio IQ'!$K$6:$K$485,$A124),0)</x:f>
        <x:v>963.790060987522</x:v>
      </x:c>
      <x:c r="AP124" s="141" t="n">
        <x:f>IF(AND(TRUE,Premissas!$B$11="Imovel",Premissas!$B$47="Moradia",$A124&lt;MAX(Premissas!$B$48,Premissas!$B$49)),$D124,0)</x:f>
        <x:v>0</x:v>
      </x:c>
      <x:c r="AQ124" s="141" t="n">
        <x:f>IF(AND(TRUE,Premissas!$B$11="Imovel",Premissas!$B$47="Investimento",$A124&gt;=MAX(Premissas!$B$48,Premissas!$B$49)),$E124,0)</x:f>
        <x:v>1081.2665337617234</x:v>
      </x:c>
      <x:c r="AR124" s="141" t="n">
        <x:f>AN124+AO124+AP124</x:f>
        <x:v>963.790060987522</x:v>
      </x:c>
      <x:c r="AS124" s="141" t="n">
        <x:f>AQ124</x:f>
        <x:v>1081.2665337617234</x:v>
      </x:c>
      <x:c r="AT124" s="141" t="n">
        <x:f>$C124+AS124-AR124</x:f>
        <x:v>7117.476472774201</x:v>
      </x:c>
      <x:c r="AU124" s="141" t="n">
        <x:f>AX123*(1+Premissas!$B$41)+AT124</x:f>
        <x:v>1450134.2798908015</x:v>
      </x:c>
      <x:c r="AV124" s="141" t="n">
        <x:f>MAX(0,-AU124)</x:f>
        <x:v>0</x:v>
      </x:c>
      <x:c r="AW124" s="141" t="n">
        <x:f>AW123*(1+Premissas!$B$41)+AV124</x:f>
        <x:v>0</x:v>
      </x:c>
      <x:c r="AX124" s="141" t="n">
        <x:f>MAX(0,AU124)</x:f>
        <x:v>1450134.2798908015</x:v>
      </x:c>
      <x:c r="AY124" s="141" t="n">
        <x:f>INDEX('Consorcio IQ'!$P$6:$P$485,$A124)</x:f>
        <x:v>91170.22569683297</x:v>
      </x:c>
      <x:c r="AZ124" s="141" t="n">
        <x:f>IF($A124&gt;=Premissas!$B$48,$F124,0)+IF($A124&lt;Premissas!$B$27,INDEX('Consorcio IQ'!$O$6:$O$485,$A124),0)</x:f>
        <x:v>356434.57598671893</x:v>
      </x:c>
      <x:c r="BA124" s="141" t="n">
        <x:f>AX124+AZ124-AY124</x:f>
        <x:v>1715398.6301806876</x:v>
      </x:c>
      <x:c r="BB124" s="141" t="n">
        <x:f>IF(AW124&gt;1,"Inviavel",BA124)</x:f>
        <x:v>1715398.6301806876</x:v>
      </x:c>
      <x:c r="BC124" s="141" t="str">
        <x:f>IF(AW124&gt;1,"Inviavel","OK")</x:f>
        <x:v>OK</x:v>
      </x:c>
      <x:c r="BD124" s="141" t="n">
        <x:f>IF($A124='Consorcio Direto'!$B$29,'Consorcio Direto'!$B$44,0)</x:f>
        <x:v>0</x:v>
      </x:c>
      <x:c r="BE124" s="141" t="n">
        <x:f>IF($A124&lt;='Consorcio Direto'!$B$27,INDEX('Consorcio Direto'!$E$55:$E$534,$A124),0)</x:f>
        <x:v>2495.735099138118</x:v>
      </x:c>
      <x:c r="BF124" s="141" t="n">
        <x:f>IF(AND(TRUE,Premissas!$B$11="Imovel",Premissas!$B$47="Moradia",$A124&lt;MAX('Consorcio Direto'!$B$29,Premissas!$B$49)),$D124,0)</x:f>
        <x:v>0</x:v>
      </x:c>
      <x:c r="BG124" s="141" t="n">
        <x:f>IF(AND(TRUE,Premissas!$B$11="Imovel",Premissas!$B$47="Investimento",$A124&gt;=MAX('Consorcio Direto'!$B$29,Premissas!$B$49)),$E124,0)</x:f>
        <x:v>1081.2665337617234</x:v>
      </x:c>
      <x:c r="BH124" s="141" t="n">
        <x:f>BD124+BE124+BF124</x:f>
        <x:v>2495.735099138118</x:v>
      </x:c>
      <x:c r="BI124" s="141" t="n">
        <x:f>BG124</x:f>
        <x:v>1081.2665337617234</x:v>
      </x:c>
      <x:c r="BJ124" s="141" t="n">
        <x:f>$C124+BI124-BH124</x:f>
        <x:v>5585.5314346236055</x:v>
      </x:c>
      <x:c r="BK124" s="141" t="n">
        <x:f>BN123*(1+Premissas!$B$41)+BJ124</x:f>
        <x:v>1498954.749275567</x:v>
      </x:c>
      <x:c r="BL124" s="141" t="n">
        <x:f>MAX(0,-BK124)</x:f>
        <x:v>0</x:v>
      </x:c>
      <x:c r="BM124" s="141" t="n">
        <x:f>BM123*(1+Premissas!$B$41)+BL124</x:f>
        <x:v>0</x:v>
      </x:c>
      <x:c r="BN124" s="141" t="n">
        <x:f>MAX(0,BK124)</x:f>
        <x:v>1498954.749275567</x:v>
      </x:c>
      <x:c r="BO124" s="141" t="n">
        <x:f>INDEX('Consorcio Direto'!$K$55:$K$534,$A124)</x:f>
        <x:v>236085.3690842077</x:v>
      </x:c>
      <x:c r="BP124" s="141" t="n">
        <x:f>IF($A124&lt;'Consorcio Direto'!$B$29,INDEX('Consorcio Direto'!$L$55:$L$534,$A124),$F124)</x:f>
        <x:v>356434.57598671893</x:v>
      </x:c>
      <x:c r="BQ124" s="141" t="n">
        <x:f>BN124+BP124-BO124</x:f>
        <x:v>1619303.9561780784</x:v>
      </x:c>
      <x:c r="BR124" s="141" t="n">
        <x:f>IF(BM124&gt;1,"Inviavel",BQ124)</x:f>
        <x:v>1619303.9561780784</x:v>
      </x:c>
      <x:c r="BS124" s="141" t="str">
        <x:f>IF(BM124&gt;1,"Inviavel","OK")</x:f>
        <x:v>OK</x:v>
      </x:c>
      <x:c r="BT124" s="141" t="n">
        <x:f>IF(AND('Carta Contemplada'!$B$22="Sim",$A124='Carta Contemplada'!$B$23),'Carta Contemplada'!$B$37,0)</x:f>
        <x:v>0</x:v>
      </x:c>
      <x:c r="BU124" s="141" t="n">
        <x:f>IF('Carta Contemplada'!$B$22="Sim",INDEX('Carta Contemplada'!$C$55:$C$1013,$A124),0)</x:f>
        <x:v>2027.3747508032313</x:v>
      </x:c>
      <x:c r="BV124" s="141" t="n">
        <x:f>IF(AND('Carta Contemplada'!$B$22="Sim",Premissas!$B$11="Imovel",Premissas!$B$47="Moradia",$A124&lt;MAX('Carta Contemplada'!$B$44,Premissas!$B$49)),$D124,0)</x:f>
        <x:v>0</x:v>
      </x:c>
      <x:c r="BW124" s="141" t="n">
        <x:f>IF(AND('Carta Contemplada'!$B$22="Sim",Premissas!$B$11="Imovel",Premissas!$B$47="Investimento",$A124&gt;=MAX('Carta Contemplada'!$B$44,Premissas!$B$49)),$E124,0)</x:f>
        <x:v>1081.2665337617234</x:v>
      </x:c>
      <x:c r="BX124" s="141" t="n">
        <x:f>BT124+BU124+BV124</x:f>
        <x:v>2027.3747508032313</x:v>
      </x:c>
      <x:c r="BY124" s="141" t="n">
        <x:f>BW124</x:f>
        <x:v>1081.2665337617234</x:v>
      </x:c>
      <x:c r="BZ124" s="141" t="n">
        <x:f>$C124+BY124-BX124</x:f>
        <x:v>6053.8917829584925</x:v>
      </x:c>
      <x:c r="CA124" s="141" t="n">
        <x:f>CD123*(1+Premissas!$B$41)+BZ124</x:f>
        <x:v>1530591.6869782351</x:v>
      </x:c>
      <x:c r="CB124" s="141" t="n">
        <x:f>MAX(0,-CA124)</x:f>
        <x:v>0</x:v>
      </x:c>
      <x:c r="CC124" s="141" t="n">
        <x:f>CC123*(1+Premissas!$B$41)+CB124</x:f>
        <x:v>0</x:v>
      </x:c>
      <x:c r="CD124" s="141" t="n">
        <x:f>MAX(0,CA124)</x:f>
        <x:v>1530591.6869782351</x:v>
      </x:c>
      <x:c r="CE124" s="141" t="n">
        <x:f>IF(AND('Carta Contemplada'!$B$22="Sim",$A124&gt;='Carta Contemplada'!$B$23),INDEX('Carta Contemplada'!$I$55:$I$1013,$A124),0)</x:f>
        <x:v>109006.79640671425</x:v>
      </x:c>
      <x:c r="CF124" s="141" t="n">
        <x:f>IF(AND('Carta Contemplada'!$B$22="Sim",$A124&gt;='Carta Contemplada'!$B$44),$F124,0)</x:f>
        <x:v>356434.57598671893</x:v>
      </x:c>
      <x:c r="CG124" s="141" t="n">
        <x:f>CD124+CF124-CE124</x:f>
        <x:v>1778019.46655824</x:v>
      </x:c>
      <x:c r="CH124" s="141" t="n">
        <x:f>IF(CC124&gt;1,"Inviavel",CG124)</x:f>
        <x:v>1778019.46655824</x:v>
      </x:c>
      <x:c r="CI124" s="145" t="str">
        <x:f>IF(CC124&gt;1,"Inviavel","OK")</x:f>
        <x:v>OK</x:v>
      </x:c>
    </x:row>
    <x:row r="125">
      <x:c r="A125" s="142" t="n">
        <x:v>121</x:v>
      </x:c>
      <x:c r="B125" s="179" t="n">
        <x:f>EDATE(Premissas!$B$4,A125-1)</x:f>
        <x:v>50192</x:v>
      </x:c>
      <x:c r="C125" s="141" t="n">
        <x:f>IF(A125&lt;=Premissas!$B$39,Premissas!$B$42,0)</x:f>
        <x:v>7000</x:v>
      </x:c>
      <x:c r="D125" s="141" t="n">
        <x:f>Premissas!$B$54*(1+Premissas!$B$57)^INT((A125-1)/12)</x:f>
        <x:v>1253.5933875799983</x:v>
      </x:c>
      <x:c r="E125" s="141" t="n">
        <x:f>Premissas!$B$64*(1+Premissas!$B$57)^INT((A125-1)/12)</x:f>
        <x:v>1146.1425257874268</x:v>
      </x:c>
      <x:c r="F125" s="141" t="n">
        <x:f>MAX(0,Premissas!$B$6*(1+Premissas!$B$66)^((A125-1)/12))</x:f>
        <x:v>358169.5393085709</x:v>
      </x:c>
      <x:c r="G125" s="141" t="n">
        <x:f>G124*(1+Premissas!$B$41)+C125</x:f>
        <x:v>1854777.5656672337</x:v>
      </x:c>
      <x:c r="H125" s="141" t="n">
        <x:f>IF($A125=Premissas!$B$48,Premissas!$B$8,0)</x:f>
        <x:v>0</x:v>
      </x:c>
      <x:c r="I125" s="141" t="n">
        <x:f>IF(AND($A125&gt;=Premissas!$B$48,$A125-Premissas!$B$48+1&lt;=Premissas!$B$13),INDEX(Financiamento!$J$6:$J$485,$A125-Premissas!$B$48+1),0)</x:f>
        <x:v>1615.385859190446</x:v>
      </x:c>
      <x:c r="J125" s="141" t="n">
        <x:f>IF(AND(TRUE,Premissas!$B$11="Imovel",Premissas!$B$47="Moradia",$A125&lt;MAX(Premissas!$B$48,Premissas!$B$49)),$D125,0)</x:f>
        <x:v>0</x:v>
      </x:c>
      <x:c r="K125" s="141" t="n">
        <x:f>IF(AND(TRUE,Premissas!$B$11="Imovel",Premissas!$B$47="Investimento",$A125&gt;=MAX(Premissas!$B$48,Premissas!$B$49)),$E125,0)</x:f>
        <x:v>1146.1425257874268</x:v>
      </x:c>
      <x:c r="L125" s="141" t="n">
        <x:f>H125+I125+J125</x:f>
        <x:v>1615.385859190446</x:v>
      </x:c>
      <x:c r="M125" s="141" t="n">
        <x:f>K125</x:f>
        <x:v>1146.1425257874268</x:v>
      </x:c>
      <x:c r="N125" s="141" t="n">
        <x:f>$C125+M125-L125</x:f>
        <x:v>6530.756666596981</x:v>
      </x:c>
      <x:c r="O125" s="141" t="n">
        <x:f>R124*(1+Premissas!$B$41)+N125</x:f>
        <x:v>1489259.6052655985</x:v>
      </x:c>
      <x:c r="P125" s="141" t="n">
        <x:f>MAX(0,-O125)</x:f>
        <x:v>0</x:v>
      </x:c>
      <x:c r="Q125" s="141" t="n">
        <x:f>Q124*(1+Premissas!$B$41)+P125</x:f>
        <x:v>0</x:v>
      </x:c>
      <x:c r="R125" s="141" t="n">
        <x:f>MAX(0,O125)</x:f>
        <x:v>1489259.6052655985</x:v>
      </x:c>
      <x:c r="S125" s="141" t="n">
        <x:f>IF(AND($A125&gt;=Premissas!$B$48,$A125-Premissas!$B$48+1&lt;=Premissas!$B$13),INDEX(Financiamento!$M$6:$M$485,$A125-Premissas!$B$48+1),0)</x:f>
        <x:v>113904.7619047621</x:v>
      </x:c>
      <x:c r="T125" s="141" t="n">
        <x:f>IF($A125&gt;=Premissas!$B$48,$F125,0)</x:f>
        <x:v>358169.5393085709</x:v>
      </x:c>
      <x:c r="U125" s="141" t="n">
        <x:f>R125+T125-S125</x:f>
        <x:v>1733524.3826694074</x:v>
      </x:c>
      <x:c r="V125" s="141" t="n">
        <x:f>IF(Q125&gt;1,"Inviavel",U125)</x:f>
        <x:v>1733524.3826694074</x:v>
      </x:c>
      <x:c r="W125" s="141" t="str">
        <x:f>IF(Q125&gt;1,"Inviavel","OK")</x:f>
        <x:v>OK</x:v>
      </x:c>
      <x:c r="X125" s="141" t="n">
        <x:f>IF($A125=Premissas!$B$48,Premissas!$B$8,0)</x:f>
        <x:v>0</x:v>
      </x:c>
      <x:c r="Y125" s="141" t="n">
        <x:f>IF(AND($A125&gt;=Premissas!$B$48,$A125-Premissas!$B$48+1&lt;=Premissas!$B$13),INDEX(Amortizacao!$K$6:$K$485,$A125-Premissas!$B$48+1),0)</x:f>
        <x:v>0</x:v>
      </x:c>
      <x:c r="Z125" s="141" t="n">
        <x:f>IF(AND(TRUE,Premissas!$B$11="Imovel",Premissas!$B$47="Moradia",$A125&lt;MAX(Premissas!$B$48,Premissas!$B$49)),$D125,0)</x:f>
        <x:v>0</x:v>
      </x:c>
      <x:c r="AA125" s="141" t="n">
        <x:f>IF(AND(TRUE,Premissas!$B$11="Imovel",Premissas!$B$47="Investimento",$A125&gt;=MAX(Premissas!$B$48,Premissas!$B$49)),$E125,0)</x:f>
        <x:v>1146.1425257874268</x:v>
      </x:c>
      <x:c r="AB125" s="141" t="n">
        <x:f>X125+Y125+Z125</x:f>
        <x:v>0</x:v>
      </x:c>
      <x:c r="AC125" s="141" t="n">
        <x:f>AA125</x:f>
        <x:v>1146.1425257874268</x:v>
      </x:c>
      <x:c r="AD125" s="141" t="n">
        <x:f>$C125+AC125-AB125</x:f>
        <x:v>8146.142525787427</x:v>
      </x:c>
      <x:c r="AE125" s="141" t="n">
        <x:f>AH124*(1+Premissas!$B$41)+AD125</x:f>
        <x:v>1397954.7010024402</x:v>
      </x:c>
      <x:c r="AF125" s="141" t="n">
        <x:f>MAX(0,-AE125)</x:f>
        <x:v>0</x:v>
      </x:c>
      <x:c r="AG125" s="141" t="n">
        <x:f>AG124*(1+Premissas!$B$41)+AF125</x:f>
        <x:v>0</x:v>
      </x:c>
      <x:c r="AH125" s="141" t="n">
        <x:f>MAX(0,AE125)</x:f>
        <x:v>1397954.7010024402</x:v>
      </x:c>
      <x:c r="AI125" s="141" t="n">
        <x:f>IF(AND($A125&gt;=Premissas!$B$48,$A125-Premissas!$B$48+1&lt;=Premissas!$B$13),INDEX(Amortizacao!$L$6:$L$485,$A125-Premissas!$B$48+1),0)</x:f>
        <x:v>0</x:v>
      </x:c>
      <x:c r="AJ125" s="141" t="n">
        <x:f>IF($A125&gt;=Premissas!$B$48,$F125,0)</x:f>
        <x:v>358169.5393085709</x:v>
      </x:c>
      <x:c r="AK125" s="141" t="n">
        <x:f>AH125+AJ125-AI125</x:f>
        <x:v>1756124.2403110112</x:v>
      </x:c>
      <x:c r="AL125" s="141" t="n">
        <x:f>IF(AG125&gt;1,"Inviavel",AK125)</x:f>
        <x:v>1756124.2403110112</x:v>
      </x:c>
      <x:c r="AM125" s="141" t="str">
        <x:f>IF(AG125&gt;1,"Inviavel","OK")</x:f>
        <x:v>OK</x:v>
      </x:c>
      <x:c r="AN125" s="141" t="n">
        <x:f>IF($A125=Premissas!$B$48,Premissas!$B$8,0)</x:f>
        <x:v>0</x:v>
      </x:c>
      <x:c r="AO125" s="141" t="n">
        <x:f>IF($A125&lt;=Premissas!$B$25,INDEX('Consorcio IQ'!$K$6:$K$485,$A125),0)</x:f>
        <x:v>1021.6174646467734</x:v>
      </x:c>
      <x:c r="AP125" s="141" t="n">
        <x:f>IF(AND(TRUE,Premissas!$B$11="Imovel",Premissas!$B$47="Moradia",$A125&lt;MAX(Premissas!$B$48,Premissas!$B$49)),$D125,0)</x:f>
        <x:v>0</x:v>
      </x:c>
      <x:c r="AQ125" s="141" t="n">
        <x:f>IF(AND(TRUE,Premissas!$B$11="Imovel",Premissas!$B$47="Investimento",$A125&gt;=MAX(Premissas!$B$48,Premissas!$B$49)),$E125,0)</x:f>
        <x:v>1146.1425257874268</x:v>
      </x:c>
      <x:c r="AR125" s="141" t="n">
        <x:f>AN125+AO125+AP125</x:f>
        <x:v>1021.6174646467734</x:v>
      </x:c>
      <x:c r="AS125" s="141" t="n">
        <x:f>AQ125</x:f>
        <x:v>1146.1425257874268</x:v>
      </x:c>
      <x:c r="AT125" s="141" t="n">
        <x:f>$C125+AS125-AR125</x:f>
        <x:v>7124.525061140654</x:v>
      </x:c>
      <x:c r="AU125" s="141" t="n">
        <x:f>AX124*(1+Premissas!$B$41)+AT125</x:f>
        <x:v>1471018.8288611667</x:v>
      </x:c>
      <x:c r="AV125" s="141" t="n">
        <x:f>MAX(0,-AU125)</x:f>
        <x:v>0</x:v>
      </x:c>
      <x:c r="AW125" s="141" t="n">
        <x:f>AW124*(1+Premissas!$B$41)+AV125</x:f>
        <x:v>0</x:v>
      </x:c>
      <x:c r="AX125" s="141" t="n">
        <x:f>MAX(0,AU125)</x:f>
        <x:v>1471018.8288611667</x:v>
      </x:c>
      <x:c r="AY125" s="141" t="n">
        <x:f>INDEX('Consorcio IQ'!$P$6:$P$485,$A125)</x:f>
        <x:v>91013.70362562266</x:v>
      </x:c>
      <x:c r="AZ125" s="141" t="n">
        <x:f>IF($A125&gt;=Premissas!$B$48,$F125,0)+IF($A125&lt;Premissas!$B$27,INDEX('Consorcio IQ'!$O$6:$O$485,$A125),0)</x:f>
        <x:v>358169.5393085709</x:v>
      </x:c>
      <x:c r="BA125" s="141" t="n">
        <x:f>AX125+AZ125-AY125</x:f>
        <x:v>1738174.6645441148</x:v>
      </x:c>
      <x:c r="BB125" s="141" t="n">
        <x:f>IF(AW125&gt;1,"Inviavel",BA125)</x:f>
        <x:v>1738174.6645441148</x:v>
      </x:c>
      <x:c r="BC125" s="141" t="str">
        <x:f>IF(AW125&gt;1,"Inviavel","OK")</x:f>
        <x:v>OK</x:v>
      </x:c>
      <x:c r="BD125" s="141" t="n">
        <x:f>IF($A125='Consorcio Direto'!$B$29,'Consorcio Direto'!$B$44,0)</x:f>
        <x:v>0</x:v>
      </x:c>
      <x:c r="BE125" s="141" t="n">
        <x:f>IF($A125&lt;='Consorcio Direto'!$B$27,INDEX('Consorcio Direto'!$E$55:$E$534,$A125),0)</x:f>
        <x:v>2645.4792050864053</x:v>
      </x:c>
      <x:c r="BF125" s="141" t="n">
        <x:f>IF(AND(TRUE,Premissas!$B$11="Imovel",Premissas!$B$47="Moradia",$A125&lt;MAX('Consorcio Direto'!$B$29,Premissas!$B$49)),$D125,0)</x:f>
        <x:v>0</x:v>
      </x:c>
      <x:c r="BG125" s="141" t="n">
        <x:f>IF(AND(TRUE,Premissas!$B$11="Imovel",Premissas!$B$47="Investimento",$A125&gt;=MAX('Consorcio Direto'!$B$29,Premissas!$B$49)),$E125,0)</x:f>
        <x:v>1146.1425257874268</x:v>
      </x:c>
      <x:c r="BH125" s="141" t="n">
        <x:f>BD125+BE125+BF125</x:f>
        <x:v>2645.4792050864053</x:v>
      </x:c>
      <x:c r="BI125" s="141" t="n">
        <x:f>BG125</x:f>
        <x:v>1146.1425257874268</x:v>
      </x:c>
      <x:c r="BJ125" s="141" t="n">
        <x:f>$C125+BI125-BH125</x:f>
        <x:v>5500.663320701022</x:v>
      </x:c>
      <x:c r="BK125" s="141" t="n">
        <x:f>BN124*(1+Premissas!$B$41)+BJ125</x:f>
        <x:v>1518678.6838304538</x:v>
      </x:c>
      <x:c r="BL125" s="141" t="n">
        <x:f>MAX(0,-BK125)</x:f>
        <x:v>0</x:v>
      </x:c>
      <x:c r="BM125" s="141" t="n">
        <x:f>BM124*(1+Premissas!$B$41)+BL125</x:f>
        <x:v>0</x:v>
      </x:c>
      <x:c r="BN125" s="141" t="n">
        <x:f>MAX(0,BK125)</x:f>
        <x:v>1518678.6838304538</x:v>
      </x:c>
      <x:c r="BO125" s="141" t="n">
        <x:f>INDEX('Consorcio Direto'!$K$55:$K$534,$A125)</x:f>
        <x:v>235680.05506124592</x:v>
      </x:c>
      <x:c r="BP125" s="141" t="n">
        <x:f>IF($A125&lt;'Consorcio Direto'!$B$29,INDEX('Consorcio Direto'!$L$55:$L$534,$A125),$F125)</x:f>
        <x:v>358169.5393085709</x:v>
      </x:c>
      <x:c r="BQ125" s="141" t="n">
        <x:f>BN125+BP125-BO125</x:f>
        <x:v>1641168.168077779</x:v>
      </x:c>
      <x:c r="BR125" s="141" t="n">
        <x:f>IF(BM125&gt;1,"Inviavel",BQ125)</x:f>
        <x:v>1641168.168077779</x:v>
      </x:c>
      <x:c r="BS125" s="141" t="str">
        <x:f>IF(BM125&gt;1,"Inviavel","OK")</x:f>
        <x:v>OK</x:v>
      </x:c>
      <x:c r="BT125" s="141" t="n">
        <x:f>IF(AND('Carta Contemplada'!$B$22="Sim",$A125='Carta Contemplada'!$B$23),'Carta Contemplada'!$B$37,0)</x:f>
        <x:v>0</x:v>
      </x:c>
      <x:c r="BU125" s="141" t="n">
        <x:f>IF('Carta Contemplada'!$B$22="Sim",INDEX('Carta Contemplada'!$C$55:$C$1013,$A125),0)</x:f>
        <x:v>2149.0172358514255</x:v>
      </x:c>
      <x:c r="BV125" s="141" t="n">
        <x:f>IF(AND('Carta Contemplada'!$B$22="Sim",Premissas!$B$11="Imovel",Premissas!$B$47="Moradia",$A125&lt;MAX('Carta Contemplada'!$B$44,Premissas!$B$49)),$D125,0)</x:f>
        <x:v>0</x:v>
      </x:c>
      <x:c r="BW125" s="141" t="n">
        <x:f>IF(AND('Carta Contemplada'!$B$22="Sim",Premissas!$B$11="Imovel",Premissas!$B$47="Investimento",$A125&gt;=MAX('Carta Contemplada'!$B$44,Premissas!$B$49)),$E125,0)</x:f>
        <x:v>1146.1425257874268</x:v>
      </x:c>
      <x:c r="BX125" s="141" t="n">
        <x:f>BT125+BU125+BV125</x:f>
        <x:v>2149.0172358514255</x:v>
      </x:c>
      <x:c r="BY125" s="141" t="n">
        <x:f>BW125</x:f>
        <x:v>1146.1425257874268</x:v>
      </x:c>
      <x:c r="BZ125" s="141" t="n">
        <x:f>$C125+BY125-BX125</x:f>
        <x:v>5997.1252899360015</x:v>
      </x:c>
      <x:c r="CA125" s="141" t="n">
        <x:f>CD124*(1+Premissas!$B$41)+BZ125</x:f>
        <x:v>1551112.2798533018</x:v>
      </x:c>
      <x:c r="CB125" s="141" t="n">
        <x:f>MAX(0,-CA125)</x:f>
        <x:v>0</x:v>
      </x:c>
      <x:c r="CC125" s="141" t="n">
        <x:f>CC124*(1+Premissas!$B$41)+CB125</x:f>
        <x:v>0</x:v>
      </x:c>
      <x:c r="CD125" s="141" t="n">
        <x:f>MAX(0,CA125)</x:f>
        <x:v>1551112.2798533018</x:v>
      </x:c>
      <x:c r="CE125" s="141" t="n">
        <x:f>IF(AND('Carta Contemplada'!$B$22="Sim",$A125&gt;='Carta Contemplada'!$B$23),INDEX('Carta Contemplada'!$I$55:$I$1013,$A125),0)</x:f>
        <x:v>107892.12209042838</x:v>
      </x:c>
      <x:c r="CF125" s="141" t="n">
        <x:f>IF(AND('Carta Contemplada'!$B$22="Sim",$A125&gt;='Carta Contemplada'!$B$44),$F125,0)</x:f>
        <x:v>358169.5393085709</x:v>
      </x:c>
      <x:c r="CG125" s="141" t="n">
        <x:f>CD125+CF125-CE125</x:f>
        <x:v>1801389.6970714445</x:v>
      </x:c>
      <x:c r="CH125" s="141" t="n">
        <x:f>IF(CC125&gt;1,"Inviavel",CG125)</x:f>
        <x:v>1801389.6970714445</x:v>
      </x:c>
      <x:c r="CI125" s="145" t="str">
        <x:f>IF(CC125&gt;1,"Inviavel","OK")</x:f>
        <x:v>OK</x:v>
      </x:c>
    </x:row>
    <x:row r="126">
      <x:c r="A126" s="142" t="n">
        <x:v>122</x:v>
      </x:c>
      <x:c r="B126" s="179" t="n">
        <x:f>EDATE(Premissas!$B$4,A126-1)</x:f>
        <x:v>50222</x:v>
      </x:c>
      <x:c r="C126" s="141" t="n">
        <x:f>IF(A126&lt;=Premissas!$B$39,Premissas!$B$42,0)</x:f>
        <x:v>7000</x:v>
      </x:c>
      <x:c r="D126" s="141" t="n">
        <x:f>Premissas!$B$54*(1+Premissas!$B$57)^INT((A126-1)/12)</x:f>
        <x:v>1253.5933875799983</x:v>
      </x:c>
      <x:c r="E126" s="141" t="n">
        <x:f>Premissas!$B$64*(1+Premissas!$B$57)^INT((A126-1)/12)</x:f>
        <x:v>1146.1425257874268</x:v>
      </x:c>
      <x:c r="F126" s="141" t="n">
        <x:f>MAX(0,Premissas!$B$6*(1+Premissas!$B$66)^((A126-1)/12))</x:f>
        <x:v>359912.947652121</x:v>
      </x:c>
      <x:c r="G126" s="141" t="n">
        <x:f>G125*(1+Premissas!$B$41)+C126</x:f>
        <x:v>1879377.16592756</x:v>
      </x:c>
      <x:c r="H126" s="141" t="n">
        <x:f>IF($A126=Premissas!$B$48,Premissas!$B$8,0)</x:f>
        <x:v>0</x:v>
      </x:c>
      <x:c r="I126" s="141" t="n">
        <x:f>IF(AND($A126&gt;=Premissas!$B$48,$A126-Premissas!$B$48+1&lt;=Premissas!$B$13),INDEX(Financiamento!$J$6:$J$485,$A126-Premissas!$B$48+1),0)</x:f>
        <x:v>1611.7710809296523</x:v>
      </x:c>
      <x:c r="J126" s="141" t="n">
        <x:f>IF(AND(TRUE,Premissas!$B$11="Imovel",Premissas!$B$47="Moradia",$A126&lt;MAX(Premissas!$B$48,Premissas!$B$49)),$D126,0)</x:f>
        <x:v>0</x:v>
      </x:c>
      <x:c r="K126" s="141" t="n">
        <x:f>IF(AND(TRUE,Premissas!$B$11="Imovel",Premissas!$B$47="Investimento",$A126&gt;=MAX(Premissas!$B$48,Premissas!$B$49)),$E126,0)</x:f>
        <x:v>1146.1425257874268</x:v>
      </x:c>
      <x:c r="L126" s="141" t="n">
        <x:f>H126+I126+J126</x:f>
        <x:v>1611.7710809296523</x:v>
      </x:c>
      <x:c r="M126" s="141" t="n">
        <x:f>K126</x:f>
        <x:v>1146.1425257874268</x:v>
      </x:c>
      <x:c r="N126" s="141" t="n">
        <x:f>$C126+M126-L126</x:f>
        <x:v>6534.371444857775</x:v>
      </x:c>
      <x:c r="O126" s="141" t="n">
        <x:f>R125*(1+Premissas!$B$41)+N126</x:f>
        <x:v>1509925.2527306604</x:v>
      </x:c>
      <x:c r="P126" s="141" t="n">
        <x:f>MAX(0,-O126)</x:f>
        <x:v>0</x:v>
      </x:c>
      <x:c r="Q126" s="141" t="n">
        <x:f>Q125*(1+Premissas!$B$41)+P126</x:f>
        <x:v>0</x:v>
      </x:c>
      <x:c r="R126" s="141" t="n">
        <x:f>MAX(0,O126)</x:f>
        <x:v>1509925.2527306604</x:v>
      </x:c>
      <x:c r="S126" s="141" t="n">
        <x:f>IF(AND($A126&gt;=Premissas!$B$48,$A126-Premissas!$B$48+1&lt;=Premissas!$B$13),INDEX(Financiamento!$M$6:$M$485,$A126-Premissas!$B$48+1),0)</x:f>
        <x:v>113523.80952380972</x:v>
      </x:c>
      <x:c r="T126" s="141" t="n">
        <x:f>IF($A126&gt;=Premissas!$B$48,$F126,0)</x:f>
        <x:v>359912.947652121</x:v>
      </x:c>
      <x:c r="U126" s="141" t="n">
        <x:f>R126+T126-S126</x:f>
        <x:v>1756314.3908589717</x:v>
      </x:c>
      <x:c r="V126" s="141" t="n">
        <x:f>IF(Q126&gt;1,"Inviavel",U126)</x:f>
        <x:v>1756314.3908589717</x:v>
      </x:c>
      <x:c r="W126" s="141" t="str">
        <x:f>IF(Q126&gt;1,"Inviavel","OK")</x:f>
        <x:v>OK</x:v>
      </x:c>
      <x:c r="X126" s="141" t="n">
        <x:f>IF($A126=Premissas!$B$48,Premissas!$B$8,0)</x:f>
        <x:v>0</x:v>
      </x:c>
      <x:c r="Y126" s="141" t="n">
        <x:f>IF(AND($A126&gt;=Premissas!$B$48,$A126-Premissas!$B$48+1&lt;=Premissas!$B$13),INDEX(Amortizacao!$K$6:$K$485,$A126-Premissas!$B$48+1),0)</x:f>
        <x:v>0</x:v>
      </x:c>
      <x:c r="Z126" s="141" t="n">
        <x:f>IF(AND(TRUE,Premissas!$B$11="Imovel",Premissas!$B$47="Moradia",$A126&lt;MAX(Premissas!$B$48,Premissas!$B$49)),$D126,0)</x:f>
        <x:v>0</x:v>
      </x:c>
      <x:c r="AA126" s="141" t="n">
        <x:f>IF(AND(TRUE,Premissas!$B$11="Imovel",Premissas!$B$47="Investimento",$A126&gt;=MAX(Premissas!$B$48,Premissas!$B$49)),$E126,0)</x:f>
        <x:v>1146.1425257874268</x:v>
      </x:c>
      <x:c r="AB126" s="141" t="n">
        <x:f>X126+Y126+Z126</x:f>
        <x:v>0</x:v>
      </x:c>
      <x:c r="AC126" s="141" t="n">
        <x:f>AA126</x:f>
        <x:v>1146.1425257874268</x:v>
      </x:c>
      <x:c r="AD126" s="141" t="n">
        <x:f>$C126+AC126-AB126</x:f>
        <x:v>8146.142525787427</x:v>
      </x:c>
      <x:c r="AE126" s="141" t="n">
        <x:f>AH125*(1+Premissas!$B$41)+AD126</x:f>
        <x:v>1419365.7462179668</x:v>
      </x:c>
      <x:c r="AF126" s="141" t="n">
        <x:f>MAX(0,-AE126)</x:f>
        <x:v>0</x:v>
      </x:c>
      <x:c r="AG126" s="141" t="n">
        <x:f>AG125*(1+Premissas!$B$41)+AF126</x:f>
        <x:v>0</x:v>
      </x:c>
      <x:c r="AH126" s="141" t="n">
        <x:f>MAX(0,AE126)</x:f>
        <x:v>1419365.7462179668</x:v>
      </x:c>
      <x:c r="AI126" s="141" t="n">
        <x:f>IF(AND($A126&gt;=Premissas!$B$48,$A126-Premissas!$B$48+1&lt;=Premissas!$B$13),INDEX(Amortizacao!$L$6:$L$485,$A126-Premissas!$B$48+1),0)</x:f>
        <x:v>0</x:v>
      </x:c>
      <x:c r="AJ126" s="141" t="n">
        <x:f>IF($A126&gt;=Premissas!$B$48,$F126,0)</x:f>
        <x:v>359912.947652121</x:v>
      </x:c>
      <x:c r="AK126" s="141" t="n">
        <x:f>AH126+AJ126-AI126</x:f>
        <x:v>1779278.6938700879</x:v>
      </x:c>
      <x:c r="AL126" s="141" t="n">
        <x:f>IF(AG126&gt;1,"Inviavel",AK126)</x:f>
        <x:v>1779278.6938700879</x:v>
      </x:c>
      <x:c r="AM126" s="141" t="str">
        <x:f>IF(AG126&gt;1,"Inviavel","OK")</x:f>
        <x:v>OK</x:v>
      </x:c>
      <x:c r="AN126" s="141" t="n">
        <x:f>IF($A126=Premissas!$B$48,Premissas!$B$8,0)</x:f>
        <x:v>0</x:v>
      </x:c>
      <x:c r="AO126" s="141" t="n">
        <x:f>IF($A126&lt;=Premissas!$B$25,INDEX('Consorcio IQ'!$K$6:$K$485,$A126),0)</x:f>
        <x:v>1021.6174646467734</x:v>
      </x:c>
      <x:c r="AP126" s="141" t="n">
        <x:f>IF(AND(TRUE,Premissas!$B$11="Imovel",Premissas!$B$47="Moradia",$A126&lt;MAX(Premissas!$B$48,Premissas!$B$49)),$D126,0)</x:f>
        <x:v>0</x:v>
      </x:c>
      <x:c r="AQ126" s="141" t="n">
        <x:f>IF(AND(TRUE,Premissas!$B$11="Imovel",Premissas!$B$47="Investimento",$A126&gt;=MAX(Premissas!$B$48,Premissas!$B$49)),$E126,0)</x:f>
        <x:v>1146.1425257874268</x:v>
      </x:c>
      <x:c r="AR126" s="141" t="n">
        <x:f>AN126+AO126+AP126</x:f>
        <x:v>1021.6174646467734</x:v>
      </x:c>
      <x:c r="AS126" s="141" t="n">
        <x:f>AQ126</x:f>
        <x:v>1146.1425257874268</x:v>
      </x:c>
      <x:c r="AT126" s="141" t="n">
        <x:f>$C126+AS126-AR126</x:f>
        <x:v>7124.525061140654</x:v>
      </x:c>
      <x:c r="AU126" s="141" t="n">
        <x:f>AX125*(1+Premissas!$B$41)+AT126</x:f>
        <x:v>1492101.546992244</x:v>
      </x:c>
      <x:c r="AV126" s="141" t="n">
        <x:f>MAX(0,-AU126)</x:f>
        <x:v>0</x:v>
      </x:c>
      <x:c r="AW126" s="141" t="n">
        <x:f>AW125*(1+Premissas!$B$41)+AV126</x:f>
        <x:v>0</x:v>
      </x:c>
      <x:c r="AX126" s="141" t="n">
        <x:f>MAX(0,AU126)</x:f>
        <x:v>1492101.546992244</x:v>
      </x:c>
      <x:c r="AY126" s="141" t="n">
        <x:f>INDEX('Consorcio IQ'!$P$6:$P$485,$A126)</x:f>
        <x:v>90855.69634888893</x:v>
      </x:c>
      <x:c r="AZ126" s="141" t="n">
        <x:f>IF($A126&gt;=Premissas!$B$48,$F126,0)+IF($A126&lt;Premissas!$B$27,INDEX('Consorcio IQ'!$O$6:$O$485,$A126),0)</x:f>
        <x:v>359912.947652121</x:v>
      </x:c>
      <x:c r="BA126" s="141" t="n">
        <x:f>AX126+AZ126-AY126</x:f>
        <x:v>1761158.798295476</x:v>
      </x:c>
      <x:c r="BB126" s="141" t="n">
        <x:f>IF(AW126&gt;1,"Inviavel",BA126)</x:f>
        <x:v>1761158.798295476</x:v>
      </x:c>
      <x:c r="BC126" s="141" t="str">
        <x:f>IF(AW126&gt;1,"Inviavel","OK")</x:f>
        <x:v>OK</x:v>
      </x:c>
      <x:c r="BD126" s="141" t="n">
        <x:f>IF($A126='Consorcio Direto'!$B$29,'Consorcio Direto'!$B$44,0)</x:f>
        <x:v>0</x:v>
      </x:c>
      <x:c r="BE126" s="141" t="n">
        <x:f>IF($A126&lt;='Consorcio Direto'!$B$27,INDEX('Consorcio Direto'!$E$55:$E$534,$A126),0)</x:f>
        <x:v>2645.4792050864053</x:v>
      </x:c>
      <x:c r="BF126" s="141" t="n">
        <x:f>IF(AND(TRUE,Premissas!$B$11="Imovel",Premissas!$B$47="Moradia",$A126&lt;MAX('Consorcio Direto'!$B$29,Premissas!$B$49)),$D126,0)</x:f>
        <x:v>0</x:v>
      </x:c>
      <x:c r="BG126" s="141" t="n">
        <x:f>IF(AND(TRUE,Premissas!$B$11="Imovel",Premissas!$B$47="Investimento",$A126&gt;=MAX('Consorcio Direto'!$B$29,Premissas!$B$49)),$E126,0)</x:f>
        <x:v>1146.1425257874268</x:v>
      </x:c>
      <x:c r="BH126" s="141" t="n">
        <x:f>BD126+BE126+BF126</x:f>
        <x:v>2645.4792050864053</x:v>
      </x:c>
      <x:c r="BI126" s="141" t="n">
        <x:f>BG126</x:f>
        <x:v>1146.1425257874268</x:v>
      </x:c>
      <x:c r="BJ126" s="141" t="n">
        <x:f>$C126+BI126-BH126</x:f>
        <x:v>5500.663320701022</x:v>
      </x:c>
      <x:c r="BK126" s="141" t="n">
        <x:f>BN125*(1+Premissas!$B$41)+BJ126</x:f>
        <x:v>1538589.7747161873</x:v>
      </x:c>
      <x:c r="BL126" s="141" t="n">
        <x:f>MAX(0,-BK126)</x:f>
        <x:v>0</x:v>
      </x:c>
      <x:c r="BM126" s="141" t="n">
        <x:f>BM125*(1+Premissas!$B$41)+BL126</x:f>
        <x:v>0</x:v>
      </x:c>
      <x:c r="BN126" s="141" t="n">
        <x:f>MAX(0,BK126)</x:f>
        <x:v>1538589.7747161873</x:v>
      </x:c>
      <x:c r="BO126" s="141" t="n">
        <x:f>INDEX('Consorcio Direto'!$K$55:$K$534,$A126)</x:f>
        <x:v>235270.89509744683</x:v>
      </x:c>
      <x:c r="BP126" s="141" t="n">
        <x:f>IF($A126&lt;'Consorcio Direto'!$B$29,INDEX('Consorcio Direto'!$L$55:$L$534,$A126),$F126)</x:f>
        <x:v>359912.947652121</x:v>
      </x:c>
      <x:c r="BQ126" s="141" t="n">
        <x:f>BN126+BP126-BO126</x:f>
        <x:v>1663231.8272708615</x:v>
      </x:c>
      <x:c r="BR126" s="141" t="n">
        <x:f>IF(BM126&gt;1,"Inviavel",BQ126)</x:f>
        <x:v>1663231.8272708615</x:v>
      </x:c>
      <x:c r="BS126" s="141" t="str">
        <x:f>IF(BM126&gt;1,"Inviavel","OK")</x:f>
        <x:v>OK</x:v>
      </x:c>
      <x:c r="BT126" s="141" t="n">
        <x:f>IF(AND('Carta Contemplada'!$B$22="Sim",$A126='Carta Contemplada'!$B$23),'Carta Contemplada'!$B$37,0)</x:f>
        <x:v>0</x:v>
      </x:c>
      <x:c r="BU126" s="141" t="n">
        <x:f>IF('Carta Contemplada'!$B$22="Sim",INDEX('Carta Contemplada'!$C$55:$C$1013,$A126),0)</x:f>
        <x:v>2149.0172358514255</x:v>
      </x:c>
      <x:c r="BV126" s="141" t="n">
        <x:f>IF(AND('Carta Contemplada'!$B$22="Sim",Premissas!$B$11="Imovel",Premissas!$B$47="Moradia",$A126&lt;MAX('Carta Contemplada'!$B$44,Premissas!$B$49)),$D126,0)</x:f>
        <x:v>0</x:v>
      </x:c>
      <x:c r="BW126" s="141" t="n">
        <x:f>IF(AND('Carta Contemplada'!$B$22="Sim",Premissas!$B$11="Imovel",Premissas!$B$47="Investimento",$A126&gt;=MAX('Carta Contemplada'!$B$44,Premissas!$B$49)),$E126,0)</x:f>
        <x:v>1146.1425257874268</x:v>
      </x:c>
      <x:c r="BX126" s="141" t="n">
        <x:f>BT126+BU126+BV126</x:f>
        <x:v>2149.0172358514255</x:v>
      </x:c>
      <x:c r="BY126" s="141" t="n">
        <x:f>BW126</x:f>
        <x:v>1146.1425257874268</x:v>
      </x:c>
      <x:c r="BZ126" s="141" t="n">
        <x:f>$C126+BY126-BX126</x:f>
        <x:v>5997.1252899360015</x:v>
      </x:c>
      <x:c r="CA126" s="141" t="n">
        <x:f>CD125*(1+Premissas!$B$41)+BZ126</x:f>
        <x:v>1571827.5883850548</x:v>
      </x:c>
      <x:c r="CB126" s="141" t="n">
        <x:f>MAX(0,-CA126)</x:f>
        <x:v>0</x:v>
      </x:c>
      <x:c r="CC126" s="141" t="n">
        <x:f>CC125*(1+Premissas!$B$41)+CB126</x:f>
        <x:v>0</x:v>
      </x:c>
      <x:c r="CD126" s="141" t="n">
        <x:f>MAX(0,CA126)</x:f>
        <x:v>1571827.5883850548</x:v>
      </x:c>
      <x:c r="CE126" s="141" t="n">
        <x:f>IF(AND('Carta Contemplada'!$B$22="Sim",$A126&gt;='Carta Contemplada'!$B$23),INDEX('Carta Contemplada'!$I$55:$I$1013,$A126),0)</x:f>
        <x:v>106766.87086036579</x:v>
      </x:c>
      <x:c r="CF126" s="141" t="n">
        <x:f>IF(AND('Carta Contemplada'!$B$22="Sim",$A126&gt;='Carta Contemplada'!$B$44),$F126,0)</x:f>
        <x:v>359912.947652121</x:v>
      </x:c>
      <x:c r="CG126" s="141" t="n">
        <x:f>CD126+CF126-CE126</x:f>
        <x:v>1824973.6651768102</x:v>
      </x:c>
      <x:c r="CH126" s="141" t="n">
        <x:f>IF(CC126&gt;1,"Inviavel",CG126)</x:f>
        <x:v>1824973.6651768102</x:v>
      </x:c>
      <x:c r="CI126" s="145" t="str">
        <x:f>IF(CC126&gt;1,"Inviavel","OK")</x:f>
        <x:v>OK</x:v>
      </x:c>
    </x:row>
    <x:row r="127">
      <x:c r="A127" s="142" t="n">
        <x:v>123</x:v>
      </x:c>
      <x:c r="B127" s="179" t="n">
        <x:f>EDATE(Premissas!$B$4,A127-1)</x:f>
        <x:v>50253</x:v>
      </x:c>
      <x:c r="C127" s="141" t="n">
        <x:f>IF(A127&lt;=Premissas!$B$39,Premissas!$B$42,0)</x:f>
        <x:v>7000</x:v>
      </x:c>
      <x:c r="D127" s="141" t="n">
        <x:f>Premissas!$B$54*(1+Premissas!$B$57)^INT((A127-1)/12)</x:f>
        <x:v>1253.5933875799983</x:v>
      </x:c>
      <x:c r="E127" s="141" t="n">
        <x:f>Premissas!$B$64*(1+Premissas!$B$57)^INT((A127-1)/12)</x:f>
        <x:v>1146.1425257874268</x:v>
      </x:c>
      <x:c r="F127" s="141" t="n">
        <x:f>MAX(0,Premissas!$B$6*(1+Premissas!$B$66)^((A127-1)/12))</x:f>
        <x:v>361664.84212393936</x:v>
      </x:c>
      <x:c r="G127" s="141" t="n">
        <x:f>G126*(1+Premissas!$B$41)+C127</x:f>
        <x:v>1904210.1867010302</x:v>
      </x:c>
      <x:c r="H127" s="141" t="n">
        <x:f>IF($A127=Premissas!$B$48,Premissas!$B$8,0)</x:f>
        <x:v>0</x:v>
      </x:c>
      <x:c r="I127" s="141" t="n">
        <x:f>IF(AND($A127&gt;=Premissas!$B$48,$A127-Premissas!$B$48+1&lt;=Premissas!$B$13),INDEX(Financiamento!$J$6:$J$485,$A127-Premissas!$B$48+1),0)</x:f>
        <x:v>1608.1563026688586</x:v>
      </x:c>
      <x:c r="J127" s="141" t="n">
        <x:f>IF(AND(TRUE,Premissas!$B$11="Imovel",Premissas!$B$47="Moradia",$A127&lt;MAX(Premissas!$B$48,Premissas!$B$49)),$D127,0)</x:f>
        <x:v>0</x:v>
      </x:c>
      <x:c r="K127" s="141" t="n">
        <x:f>IF(AND(TRUE,Premissas!$B$11="Imovel",Premissas!$B$47="Investimento",$A127&gt;=MAX(Premissas!$B$48,Premissas!$B$49)),$E127,0)</x:f>
        <x:v>1146.1425257874268</x:v>
      </x:c>
      <x:c r="L127" s="141" t="n">
        <x:f>H127+I127+J127</x:f>
        <x:v>1608.1563026688586</x:v>
      </x:c>
      <x:c r="M127" s="141" t="n">
        <x:f>K127</x:f>
        <x:v>1146.1425257874268</x:v>
      </x:c>
      <x:c r="N127" s="141" t="n">
        <x:f>$C127+M127-L127</x:f>
        <x:v>6537.986223118569</x:v>
      </x:c>
      <x:c r="O127" s="141" t="n">
        <x:f>R126*(1+Premissas!$B$41)+N127</x:f>
        <x:v>1530790.6070236382</x:v>
      </x:c>
      <x:c r="P127" s="141" t="n">
        <x:f>MAX(0,-O127)</x:f>
        <x:v>0</x:v>
      </x:c>
      <x:c r="Q127" s="141" t="n">
        <x:f>Q126*(1+Premissas!$B$41)+P127</x:f>
        <x:v>0</x:v>
      </x:c>
      <x:c r="R127" s="141" t="n">
        <x:f>MAX(0,O127)</x:f>
        <x:v>1530790.6070236382</x:v>
      </x:c>
      <x:c r="S127" s="141" t="n">
        <x:f>IF(AND($A127&gt;=Premissas!$B$48,$A127-Premissas!$B$48+1&lt;=Premissas!$B$13),INDEX(Financiamento!$M$6:$M$485,$A127-Premissas!$B$48+1),0)</x:f>
        <x:v>113142.85714285733</x:v>
      </x:c>
      <x:c r="T127" s="141" t="n">
        <x:f>IF($A127&gt;=Premissas!$B$48,$F127,0)</x:f>
        <x:v>361664.84212393936</x:v>
      </x:c>
      <x:c r="U127" s="141" t="n">
        <x:f>R127+T127-S127</x:f>
        <x:v>1779312.5920047204</x:v>
      </x:c>
      <x:c r="V127" s="141" t="n">
        <x:f>IF(Q127&gt;1,"Inviavel",U127)</x:f>
        <x:v>1779312.5920047204</x:v>
      </x:c>
      <x:c r="W127" s="141" t="str">
        <x:f>IF(Q127&gt;1,"Inviavel","OK")</x:f>
        <x:v>OK</x:v>
      </x:c>
      <x:c r="X127" s="141" t="n">
        <x:f>IF($A127=Premissas!$B$48,Premissas!$B$8,0)</x:f>
        <x:v>0</x:v>
      </x:c>
      <x:c r="Y127" s="141" t="n">
        <x:f>IF(AND($A127&gt;=Premissas!$B$48,$A127-Premissas!$B$48+1&lt;=Premissas!$B$13),INDEX(Amortizacao!$K$6:$K$485,$A127-Premissas!$B$48+1),0)</x:f>
        <x:v>0</x:v>
      </x:c>
      <x:c r="Z127" s="141" t="n">
        <x:f>IF(AND(TRUE,Premissas!$B$11="Imovel",Premissas!$B$47="Moradia",$A127&lt;MAX(Premissas!$B$48,Premissas!$B$49)),$D127,0)</x:f>
        <x:v>0</x:v>
      </x:c>
      <x:c r="AA127" s="141" t="n">
        <x:f>IF(AND(TRUE,Premissas!$B$11="Imovel",Premissas!$B$47="Investimento",$A127&gt;=MAX(Premissas!$B$48,Premissas!$B$49)),$E127,0)</x:f>
        <x:v>1146.1425257874268</x:v>
      </x:c>
      <x:c r="AB127" s="141" t="n">
        <x:f>X127+Y127+Z127</x:f>
        <x:v>0</x:v>
      </x:c>
      <x:c r="AC127" s="141" t="n">
        <x:f>AA127</x:f>
        <x:v>1146.1425257874268</x:v>
      </x:c>
      <x:c r="AD127" s="141" t="n">
        <x:f>$C127+AC127-AB127</x:f>
        <x:v>8146.142525787427</x:v>
      </x:c>
      <x:c r="AE127" s="141" t="n">
        <x:f>AH126*(1+Premissas!$B$41)+AD127</x:f>
        <x:v>1440979.9564080564</x:v>
      </x:c>
      <x:c r="AF127" s="141" t="n">
        <x:f>MAX(0,-AE127)</x:f>
        <x:v>0</x:v>
      </x:c>
      <x:c r="AG127" s="141" t="n">
        <x:f>AG126*(1+Premissas!$B$41)+AF127</x:f>
        <x:v>0</x:v>
      </x:c>
      <x:c r="AH127" s="141" t="n">
        <x:f>MAX(0,AE127)</x:f>
        <x:v>1440979.9564080564</x:v>
      </x:c>
      <x:c r="AI127" s="141" t="n">
        <x:f>IF(AND($A127&gt;=Premissas!$B$48,$A127-Premissas!$B$48+1&lt;=Premissas!$B$13),INDEX(Amortizacao!$L$6:$L$485,$A127-Premissas!$B$48+1),0)</x:f>
        <x:v>0</x:v>
      </x:c>
      <x:c r="AJ127" s="141" t="n">
        <x:f>IF($A127&gt;=Premissas!$B$48,$F127,0)</x:f>
        <x:v>361664.84212393936</x:v>
      </x:c>
      <x:c r="AK127" s="141" t="n">
        <x:f>AH127+AJ127-AI127</x:f>
        <x:v>1802644.7985319959</x:v>
      </x:c>
      <x:c r="AL127" s="141" t="n">
        <x:f>IF(AG127&gt;1,"Inviavel",AK127)</x:f>
        <x:v>1802644.7985319959</x:v>
      </x:c>
      <x:c r="AM127" s="141" t="str">
        <x:f>IF(AG127&gt;1,"Inviavel","OK")</x:f>
        <x:v>OK</x:v>
      </x:c>
      <x:c r="AN127" s="141" t="n">
        <x:f>IF($A127=Premissas!$B$48,Premissas!$B$8,0)</x:f>
        <x:v>0</x:v>
      </x:c>
      <x:c r="AO127" s="141" t="n">
        <x:f>IF($A127&lt;=Premissas!$B$25,INDEX('Consorcio IQ'!$K$6:$K$485,$A127),0)</x:f>
        <x:v>1021.6174646467734</x:v>
      </x:c>
      <x:c r="AP127" s="141" t="n">
        <x:f>IF(AND(TRUE,Premissas!$B$11="Imovel",Premissas!$B$47="Moradia",$A127&lt;MAX(Premissas!$B$48,Premissas!$B$49)),$D127,0)</x:f>
        <x:v>0</x:v>
      </x:c>
      <x:c r="AQ127" s="141" t="n">
        <x:f>IF(AND(TRUE,Premissas!$B$11="Imovel",Premissas!$B$47="Investimento",$A127&gt;=MAX(Premissas!$B$48,Premissas!$B$49)),$E127,0)</x:f>
        <x:v>1146.1425257874268</x:v>
      </x:c>
      <x:c r="AR127" s="141" t="n">
        <x:f>AN127+AO127+AP127</x:f>
        <x:v>1021.6174646467734</x:v>
      </x:c>
      <x:c r="AS127" s="141" t="n">
        <x:f>AQ127</x:f>
        <x:v>1146.1425257874268</x:v>
      </x:c>
      <x:c r="AT127" s="141" t="n">
        <x:f>$C127+AS127-AR127</x:f>
        <x:v>7124.525061140654</x:v>
      </x:c>
      <x:c r="AU127" s="141" t="n">
        <x:f>AX126*(1+Premissas!$B$41)+AT127</x:f>
        <x:v>1513384.314670165</x:v>
      </x:c>
      <x:c r="AV127" s="141" t="n">
        <x:f>MAX(0,-AU127)</x:f>
        <x:v>0</x:v>
      </x:c>
      <x:c r="AW127" s="141" t="n">
        <x:f>AW126*(1+Premissas!$B$41)+AV127</x:f>
        <x:v>0</x:v>
      </x:c>
      <x:c r="AX127" s="141" t="n">
        <x:f>MAX(0,AU127)</x:f>
        <x:v>1513384.314670165</x:v>
      </x:c>
      <x:c r="AY127" s="141" t="n">
        <x:f>INDEX('Consorcio IQ'!$P$6:$P$485,$A127)</x:f>
        <x:v>90696.18977382412</x:v>
      </x:c>
      <x:c r="AZ127" s="141" t="n">
        <x:f>IF($A127&gt;=Premissas!$B$48,$F127,0)+IF($A127&lt;Premissas!$B$27,INDEX('Consorcio IQ'!$O$6:$O$485,$A127),0)</x:f>
        <x:v>361664.84212393936</x:v>
      </x:c>
      <x:c r="BA127" s="141" t="n">
        <x:f>AX127+AZ127-AY127</x:f>
        <x:v>1784352.9670202804</x:v>
      </x:c>
      <x:c r="BB127" s="141" t="n">
        <x:f>IF(AW127&gt;1,"Inviavel",BA127)</x:f>
        <x:v>1784352.9670202804</x:v>
      </x:c>
      <x:c r="BC127" s="141" t="str">
        <x:f>IF(AW127&gt;1,"Inviavel","OK")</x:f>
        <x:v>OK</x:v>
      </x:c>
      <x:c r="BD127" s="141" t="n">
        <x:f>IF($A127='Consorcio Direto'!$B$29,'Consorcio Direto'!$B$44,0)</x:f>
        <x:v>0</x:v>
      </x:c>
      <x:c r="BE127" s="141" t="n">
        <x:f>IF($A127&lt;='Consorcio Direto'!$B$27,INDEX('Consorcio Direto'!$E$55:$E$534,$A127),0)</x:f>
        <x:v>2645.4792050864053</x:v>
      </x:c>
      <x:c r="BF127" s="141" t="n">
        <x:f>IF(AND(TRUE,Premissas!$B$11="Imovel",Premissas!$B$47="Moradia",$A127&lt;MAX('Consorcio Direto'!$B$29,Premissas!$B$49)),$D127,0)</x:f>
        <x:v>0</x:v>
      </x:c>
      <x:c r="BG127" s="141" t="n">
        <x:f>IF(AND(TRUE,Premissas!$B$11="Imovel",Premissas!$B$47="Investimento",$A127&gt;=MAX('Consorcio Direto'!$B$29,Premissas!$B$49)),$E127,0)</x:f>
        <x:v>1146.1425257874268</x:v>
      </x:c>
      <x:c r="BH127" s="141" t="n">
        <x:f>BD127+BE127+BF127</x:f>
        <x:v>2645.4792050864053</x:v>
      </x:c>
      <x:c r="BI127" s="141" t="n">
        <x:f>BG127</x:f>
        <x:v>1146.1425257874268</x:v>
      </x:c>
      <x:c r="BJ127" s="141" t="n">
        <x:f>$C127+BI127-BH127</x:f>
        <x:v>5500.663320701022</x:v>
      </x:c>
      <x:c r="BK127" s="141" t="n">
        <x:f>BN126*(1+Premissas!$B$41)+BJ127</x:f>
        <x:v>1558689.797820437</x:v>
      </x:c>
      <x:c r="BL127" s="141" t="n">
        <x:f>MAX(0,-BK127)</x:f>
        <x:v>0</x:v>
      </x:c>
      <x:c r="BM127" s="141" t="n">
        <x:f>BM126*(1+Premissas!$B$41)+BL127</x:f>
        <x:v>0</x:v>
      </x:c>
      <x:c r="BN127" s="141" t="n">
        <x:f>MAX(0,BK127)</x:f>
        <x:v>1558689.797820437</x:v>
      </x:c>
      <x:c r="BO127" s="141" t="n">
        <x:f>INDEX('Consorcio Direto'!$K$55:$K$534,$A127)</x:f>
        <x:v>234857.85269947408</x:v>
      </x:c>
      <x:c r="BP127" s="141" t="n">
        <x:f>IF($A127&lt;'Consorcio Direto'!$B$29,INDEX('Consorcio Direto'!$L$55:$L$534,$A127),$F127)</x:f>
        <x:v>361664.84212393936</x:v>
      </x:c>
      <x:c r="BQ127" s="141" t="n">
        <x:f>BN127+BP127-BO127</x:f>
        <x:v>1685496.7872449025</x:v>
      </x:c>
      <x:c r="BR127" s="141" t="n">
        <x:f>IF(BM127&gt;1,"Inviavel",BQ127)</x:f>
        <x:v>1685496.7872449025</x:v>
      </x:c>
      <x:c r="BS127" s="141" t="str">
        <x:f>IF(BM127&gt;1,"Inviavel","OK")</x:f>
        <x:v>OK</x:v>
      </x:c>
      <x:c r="BT127" s="141" t="n">
        <x:f>IF(AND('Carta Contemplada'!$B$22="Sim",$A127='Carta Contemplada'!$B$23),'Carta Contemplada'!$B$37,0)</x:f>
        <x:v>0</x:v>
      </x:c>
      <x:c r="BU127" s="141" t="n">
        <x:f>IF('Carta Contemplada'!$B$22="Sim",INDEX('Carta Contemplada'!$C$55:$C$1013,$A127),0)</x:f>
        <x:v>2149.0172358514255</x:v>
      </x:c>
      <x:c r="BV127" s="141" t="n">
        <x:f>IF(AND('Carta Contemplada'!$B$22="Sim",Premissas!$B$11="Imovel",Premissas!$B$47="Moradia",$A127&lt;MAX('Carta Contemplada'!$B$44,Premissas!$B$49)),$D127,0)</x:f>
        <x:v>0</x:v>
      </x:c>
      <x:c r="BW127" s="141" t="n">
        <x:f>IF(AND('Carta Contemplada'!$B$22="Sim",Premissas!$B$11="Imovel",Premissas!$B$47="Investimento",$A127&gt;=MAX('Carta Contemplada'!$B$44,Premissas!$B$49)),$E127,0)</x:f>
        <x:v>1146.1425257874268</x:v>
      </x:c>
      <x:c r="BX127" s="141" t="n">
        <x:f>BT127+BU127+BV127</x:f>
        <x:v>2149.0172358514255</x:v>
      </x:c>
      <x:c r="BY127" s="141" t="n">
        <x:f>BW127</x:f>
        <x:v>1146.1425257874268</x:v>
      </x:c>
      <x:c r="BZ127" s="141" t="n">
        <x:f>$C127+BY127-BX127</x:f>
        <x:v>5997.1252899360015</x:v>
      </x:c>
      <x:c r="CA127" s="141" t="n">
        <x:f>CD126*(1+Premissas!$B$41)+BZ127</x:f>
        <x:v>1592739.4601900417</x:v>
      </x:c>
      <x:c r="CB127" s="141" t="n">
        <x:f>MAX(0,-CA127)</x:f>
        <x:v>0</x:v>
      </x:c>
      <x:c r="CC127" s="141" t="n">
        <x:f>CC126*(1+Premissas!$B$41)+CB127</x:f>
        <x:v>0</x:v>
      </x:c>
      <x:c r="CD127" s="141" t="n">
        <x:f>MAX(0,CA127)</x:f>
        <x:v>1592739.4601900417</x:v>
      </x:c>
      <x:c r="CE127" s="141" t="n">
        <x:f>IF(AND('Carta Contemplada'!$B$22="Sim",$A127&gt;='Carta Contemplada'!$B$23),INDEX('Carta Contemplada'!$I$55:$I$1013,$A127),0)</x:f>
        <x:v>105630.94235438174</x:v>
      </x:c>
      <x:c r="CF127" s="141" t="n">
        <x:f>IF(AND('Carta Contemplada'!$B$22="Sim",$A127&gt;='Carta Contemplada'!$B$44),$F127,0)</x:f>
        <x:v>361664.84212393936</x:v>
      </x:c>
      <x:c r="CG127" s="141" t="n">
        <x:f>CD127+CF127-CE127</x:f>
        <x:v>1848773.3599595993</x:v>
      </x:c>
      <x:c r="CH127" s="141" t="n">
        <x:f>IF(CC127&gt;1,"Inviavel",CG127)</x:f>
        <x:v>1848773.3599595993</x:v>
      </x:c>
      <x:c r="CI127" s="145" t="str">
        <x:f>IF(CC127&gt;1,"Inviavel","OK")</x:f>
        <x:v>OK</x:v>
      </x:c>
    </x:row>
    <x:row r="128">
      <x:c r="A128" s="142" t="n">
        <x:v>124</x:v>
      </x:c>
      <x:c r="B128" s="179" t="n">
        <x:f>EDATE(Premissas!$B$4,A128-1)</x:f>
        <x:v>50284</x:v>
      </x:c>
      <x:c r="C128" s="141" t="n">
        <x:f>IF(A128&lt;=Premissas!$B$39,Premissas!$B$42,0)</x:f>
        <x:v>7000</x:v>
      </x:c>
      <x:c r="D128" s="141" t="n">
        <x:f>Premissas!$B$54*(1+Premissas!$B$57)^INT((A128-1)/12)</x:f>
        <x:v>1253.5933875799983</x:v>
      </x:c>
      <x:c r="E128" s="141" t="n">
        <x:f>Premissas!$B$64*(1+Premissas!$B$57)^INT((A128-1)/12)</x:f>
        <x:v>1146.1425257874268</x:v>
      </x:c>
      <x:c r="F128" s="141" t="n">
        <x:f>MAX(0,Premissas!$B$6*(1+Premissas!$B$66)^((A128-1)/12))</x:f>
        <x:v>363425.2640306844</x:v>
      </x:c>
      <x:c r="G128" s="141" t="n">
        <x:f>G127*(1+Premissas!$B$41)+C128</x:f>
        <x:v>1929278.84286656</x:v>
      </x:c>
      <x:c r="H128" s="141" t="n">
        <x:f>IF($A128=Premissas!$B$48,Premissas!$B$8,0)</x:f>
        <x:v>0</x:v>
      </x:c>
      <x:c r="I128" s="141" t="n">
        <x:f>IF(AND($A128&gt;=Premissas!$B$48,$A128-Premissas!$B$48+1&lt;=Premissas!$B$13),INDEX(Financiamento!$J$6:$J$485,$A128-Premissas!$B$48+1),0)</x:f>
        <x:v>1604.5415244080652</x:v>
      </x:c>
      <x:c r="J128" s="141" t="n">
        <x:f>IF(AND(TRUE,Premissas!$B$11="Imovel",Premissas!$B$47="Moradia",$A128&lt;MAX(Premissas!$B$48,Premissas!$B$49)),$D128,0)</x:f>
        <x:v>0</x:v>
      </x:c>
      <x:c r="K128" s="141" t="n">
        <x:f>IF(AND(TRUE,Premissas!$B$11="Imovel",Premissas!$B$47="Investimento",$A128&gt;=MAX(Premissas!$B$48,Premissas!$B$49)),$E128,0)</x:f>
        <x:v>1146.1425257874268</x:v>
      </x:c>
      <x:c r="L128" s="141" t="n">
        <x:f>H128+I128+J128</x:f>
        <x:v>1604.5415244080652</x:v>
      </x:c>
      <x:c r="M128" s="141" t="n">
        <x:f>K128</x:f>
        <x:v>1146.1425257874268</x:v>
      </x:c>
      <x:c r="N128" s="141" t="n">
        <x:f>$C128+M128-L128</x:f>
        <x:v>6541.601001379362</x:v>
      </x:c>
      <x:c r="O128" s="141" t="n">
        <x:f>R127*(1+Premissas!$B$41)+N128</x:f>
        <x:v>1551857.5631212695</x:v>
      </x:c>
      <x:c r="P128" s="141" t="n">
        <x:f>MAX(0,-O128)</x:f>
        <x:v>0</x:v>
      </x:c>
      <x:c r="Q128" s="141" t="n">
        <x:f>Q127*(1+Premissas!$B$41)+P128</x:f>
        <x:v>0</x:v>
      </x:c>
      <x:c r="R128" s="141" t="n">
        <x:f>MAX(0,O128)</x:f>
        <x:v>1551857.5631212695</x:v>
      </x:c>
      <x:c r="S128" s="141" t="n">
        <x:f>IF(AND($A128&gt;=Premissas!$B$48,$A128-Premissas!$B$48+1&lt;=Premissas!$B$13),INDEX(Financiamento!$M$6:$M$485,$A128-Premissas!$B$48+1),0)</x:f>
        <x:v>112761.90476190495</x:v>
      </x:c>
      <x:c r="T128" s="141" t="n">
        <x:f>IF($A128&gt;=Premissas!$B$48,$F128,0)</x:f>
        <x:v>363425.2640306844</x:v>
      </x:c>
      <x:c r="U128" s="141" t="n">
        <x:f>R128+T128-S128</x:f>
        <x:v>1802520.922390049</x:v>
      </x:c>
      <x:c r="V128" s="141" t="n">
        <x:f>IF(Q128&gt;1,"Inviavel",U128)</x:f>
        <x:v>1802520.922390049</x:v>
      </x:c>
      <x:c r="W128" s="141" t="str">
        <x:f>IF(Q128&gt;1,"Inviavel","OK")</x:f>
        <x:v>OK</x:v>
      </x:c>
      <x:c r="X128" s="141" t="n">
        <x:f>IF($A128=Premissas!$B$48,Premissas!$B$8,0)</x:f>
        <x:v>0</x:v>
      </x:c>
      <x:c r="Y128" s="141" t="n">
        <x:f>IF(AND($A128&gt;=Premissas!$B$48,$A128-Premissas!$B$48+1&lt;=Premissas!$B$13),INDEX(Amortizacao!$K$6:$K$485,$A128-Premissas!$B$48+1),0)</x:f>
        <x:v>0</x:v>
      </x:c>
      <x:c r="Z128" s="141" t="n">
        <x:f>IF(AND(TRUE,Premissas!$B$11="Imovel",Premissas!$B$47="Moradia",$A128&lt;MAX(Premissas!$B$48,Premissas!$B$49)),$D128,0)</x:f>
        <x:v>0</x:v>
      </x:c>
      <x:c r="AA128" s="141" t="n">
        <x:f>IF(AND(TRUE,Premissas!$B$11="Imovel",Premissas!$B$47="Investimento",$A128&gt;=MAX(Premissas!$B$48,Premissas!$B$49)),$E128,0)</x:f>
        <x:v>1146.1425257874268</x:v>
      </x:c>
      <x:c r="AB128" s="141" t="n">
        <x:f>X128+Y128+Z128</x:f>
        <x:v>0</x:v>
      </x:c>
      <x:c r="AC128" s="141" t="n">
        <x:f>AA128</x:f>
        <x:v>1146.1425257874268</x:v>
      </x:c>
      <x:c r="AD128" s="141" t="n">
        <x:f>$C128+AC128-AB128</x:f>
        <x:v>8146.142525787427</x:v>
      </x:c>
      <x:c r="AE128" s="141" t="n">
        <x:f>AH127*(1+Premissas!$B$41)+AD128</x:f>
        <x:v>1462799.2593630843</x:v>
      </x:c>
      <x:c r="AF128" s="141" t="n">
        <x:f>MAX(0,-AE128)</x:f>
        <x:v>0</x:v>
      </x:c>
      <x:c r="AG128" s="141" t="n">
        <x:f>AG127*(1+Premissas!$B$41)+AF128</x:f>
        <x:v>0</x:v>
      </x:c>
      <x:c r="AH128" s="141" t="n">
        <x:f>MAX(0,AE128)</x:f>
        <x:v>1462799.2593630843</x:v>
      </x:c>
      <x:c r="AI128" s="141" t="n">
        <x:f>IF(AND($A128&gt;=Premissas!$B$48,$A128-Premissas!$B$48+1&lt;=Premissas!$B$13),INDEX(Amortizacao!$L$6:$L$485,$A128-Premissas!$B$48+1),0)</x:f>
        <x:v>0</x:v>
      </x:c>
      <x:c r="AJ128" s="141" t="n">
        <x:f>IF($A128&gt;=Premissas!$B$48,$F128,0)</x:f>
        <x:v>363425.2640306844</x:v>
      </x:c>
      <x:c r="AK128" s="141" t="n">
        <x:f>AH128+AJ128-AI128</x:f>
        <x:v>1826224.5233937688</x:v>
      </x:c>
      <x:c r="AL128" s="141" t="n">
        <x:f>IF(AG128&gt;1,"Inviavel",AK128)</x:f>
        <x:v>1826224.5233937688</x:v>
      </x:c>
      <x:c r="AM128" s="141" t="str">
        <x:f>IF(AG128&gt;1,"Inviavel","OK")</x:f>
        <x:v>OK</x:v>
      </x:c>
      <x:c r="AN128" s="141" t="n">
        <x:f>IF($A128=Premissas!$B$48,Premissas!$B$8,0)</x:f>
        <x:v>0</x:v>
      </x:c>
      <x:c r="AO128" s="141" t="n">
        <x:f>IF($A128&lt;=Premissas!$B$25,INDEX('Consorcio IQ'!$K$6:$K$485,$A128),0)</x:f>
        <x:v>1021.6174646467734</x:v>
      </x:c>
      <x:c r="AP128" s="141" t="n">
        <x:f>IF(AND(TRUE,Premissas!$B$11="Imovel",Premissas!$B$47="Moradia",$A128&lt;MAX(Premissas!$B$48,Premissas!$B$49)),$D128,0)</x:f>
        <x:v>0</x:v>
      </x:c>
      <x:c r="AQ128" s="141" t="n">
        <x:f>IF(AND(TRUE,Premissas!$B$11="Imovel",Premissas!$B$47="Investimento",$A128&gt;=MAX(Premissas!$B$48,Premissas!$B$49)),$E128,0)</x:f>
        <x:v>1146.1425257874268</x:v>
      </x:c>
      <x:c r="AR128" s="141" t="n">
        <x:f>AN128+AO128+AP128</x:f>
        <x:v>1021.6174646467734</x:v>
      </x:c>
      <x:c r="AS128" s="141" t="n">
        <x:f>AQ128</x:f>
        <x:v>1146.1425257874268</x:v>
      </x:c>
      <x:c r="AT128" s="141" t="n">
        <x:f>$C128+AS128-AR128</x:f>
        <x:v>7124.525061140654</x:v>
      </x:c>
      <x:c r="AU128" s="141" t="n">
        <x:f>AX127*(1+Premissas!$B$41)+AT128</x:f>
        <x:v>1534869.0301236568</x:v>
      </x:c>
      <x:c r="AV128" s="141" t="n">
        <x:f>MAX(0,-AU128)</x:f>
        <x:v>0</x:v>
      </x:c>
      <x:c r="AW128" s="141" t="n">
        <x:f>AW127*(1+Premissas!$B$41)+AV128</x:f>
        <x:v>0</x:v>
      </x:c>
      <x:c r="AX128" s="141" t="n">
        <x:f>MAX(0,AU128)</x:f>
        <x:v>1534869.0301236568</x:v>
      </x:c>
      <x:c r="AY128" s="141" t="n">
        <x:f>INDEX('Consorcio IQ'!$P$6:$P$485,$A128)</x:f>
        <x:v>90535.16967389682</x:v>
      </x:c>
      <x:c r="AZ128" s="141" t="n">
        <x:f>IF($A128&gt;=Premissas!$B$48,$F128,0)+IF($A128&lt;Premissas!$B$27,INDEX('Consorcio IQ'!$O$6:$O$485,$A128),0)</x:f>
        <x:v>363425.2640306844</x:v>
      </x:c>
      <x:c r="BA128" s="141" t="n">
        <x:f>AX128+AZ128-AY128</x:f>
        <x:v>1807759.1244804445</x:v>
      </x:c>
      <x:c r="BB128" s="141" t="n">
        <x:f>IF(AW128&gt;1,"Inviavel",BA128)</x:f>
        <x:v>1807759.1244804445</x:v>
      </x:c>
      <x:c r="BC128" s="141" t="str">
        <x:f>IF(AW128&gt;1,"Inviavel","OK")</x:f>
        <x:v>OK</x:v>
      </x:c>
      <x:c r="BD128" s="141" t="n">
        <x:f>IF($A128='Consorcio Direto'!$B$29,'Consorcio Direto'!$B$44,0)</x:f>
        <x:v>0</x:v>
      </x:c>
      <x:c r="BE128" s="141" t="n">
        <x:f>IF($A128&lt;='Consorcio Direto'!$B$27,INDEX('Consorcio Direto'!$E$55:$E$534,$A128),0)</x:f>
        <x:v>2645.4792050864053</x:v>
      </x:c>
      <x:c r="BF128" s="141" t="n">
        <x:f>IF(AND(TRUE,Premissas!$B$11="Imovel",Premissas!$B$47="Moradia",$A128&lt;MAX('Consorcio Direto'!$B$29,Premissas!$B$49)),$D128,0)</x:f>
        <x:v>0</x:v>
      </x:c>
      <x:c r="BG128" s="141" t="n">
        <x:f>IF(AND(TRUE,Premissas!$B$11="Imovel",Premissas!$B$47="Investimento",$A128&gt;=MAX('Consorcio Direto'!$B$29,Premissas!$B$49)),$E128,0)</x:f>
        <x:v>1146.1425257874268</x:v>
      </x:c>
      <x:c r="BH128" s="141" t="n">
        <x:f>BD128+BE128+BF128</x:f>
        <x:v>2645.4792050864053</x:v>
      </x:c>
      <x:c r="BI128" s="141" t="n">
        <x:f>BG128</x:f>
        <x:v>1146.1425257874268</x:v>
      </x:c>
      <x:c r="BJ128" s="141" t="n">
        <x:f>$C128+BI128-BH128</x:f>
        <x:v>5500.663320701022</x:v>
      </x:c>
      <x:c r="BK128" s="141" t="n">
        <x:f>BN127*(1+Premissas!$B$41)+BJ128</x:f>
        <x:v>1578980.5458819033</x:v>
      </x:c>
      <x:c r="BL128" s="141" t="n">
        <x:f>MAX(0,-BK128)</x:f>
        <x:v>0</x:v>
      </x:c>
      <x:c r="BM128" s="141" t="n">
        <x:f>BM127*(1+Premissas!$B$41)+BL128</x:f>
        <x:v>0</x:v>
      </x:c>
      <x:c r="BN128" s="141" t="n">
        <x:f>MAX(0,BK128)</x:f>
        <x:v>1578980.5458819033</x:v>
      </x:c>
      <x:c r="BO128" s="141" t="n">
        <x:f>INDEX('Consorcio Direto'!$K$55:$K$534,$A128)</x:f>
        <x:v>234440.89102771378</x:v>
      </x:c>
      <x:c r="BP128" s="141" t="n">
        <x:f>IF($A128&lt;'Consorcio Direto'!$B$29,INDEX('Consorcio Direto'!$L$55:$L$534,$A128),$F128)</x:f>
        <x:v>363425.2640306844</x:v>
      </x:c>
      <x:c r="BQ128" s="141" t="n">
        <x:f>BN128+BP128-BO128</x:f>
        <x:v>1707964.9188848739</x:v>
      </x:c>
      <x:c r="BR128" s="141" t="n">
        <x:f>IF(BM128&gt;1,"Inviavel",BQ128)</x:f>
        <x:v>1707964.9188848739</x:v>
      </x:c>
      <x:c r="BS128" s="141" t="str">
        <x:f>IF(BM128&gt;1,"Inviavel","OK")</x:f>
        <x:v>OK</x:v>
      </x:c>
      <x:c r="BT128" s="141" t="n">
        <x:f>IF(AND('Carta Contemplada'!$B$22="Sim",$A128='Carta Contemplada'!$B$23),'Carta Contemplada'!$B$37,0)</x:f>
        <x:v>0</x:v>
      </x:c>
      <x:c r="BU128" s="141" t="n">
        <x:f>IF('Carta Contemplada'!$B$22="Sim",INDEX('Carta Contemplada'!$C$55:$C$1013,$A128),0)</x:f>
        <x:v>2149.0172358514255</x:v>
      </x:c>
      <x:c r="BV128" s="141" t="n">
        <x:f>IF(AND('Carta Contemplada'!$B$22="Sim",Premissas!$B$11="Imovel",Premissas!$B$47="Moradia",$A128&lt;MAX('Carta Contemplada'!$B$44,Premissas!$B$49)),$D128,0)</x:f>
        <x:v>0</x:v>
      </x:c>
      <x:c r="BW128" s="141" t="n">
        <x:f>IF(AND('Carta Contemplada'!$B$22="Sim",Premissas!$B$11="Imovel",Premissas!$B$47="Investimento",$A128&gt;=MAX('Carta Contemplada'!$B$44,Premissas!$B$49)),$E128,0)</x:f>
        <x:v>1146.1425257874268</x:v>
      </x:c>
      <x:c r="BX128" s="141" t="n">
        <x:f>BT128+BU128+BV128</x:f>
        <x:v>2149.0172358514255</x:v>
      </x:c>
      <x:c r="BY128" s="141" t="n">
        <x:f>BW128</x:f>
        <x:v>1146.1425257874268</x:v>
      </x:c>
      <x:c r="BZ128" s="141" t="n">
        <x:f>$C128+BY128-BX128</x:f>
        <x:v>5997.1252899360015</x:v>
      </x:c>
      <x:c r="CA128" s="141" t="n">
        <x:f>CD127*(1+Premissas!$B$41)+BZ128</x:f>
        <x:v>1613849.7604164607</x:v>
      </x:c>
      <x:c r="CB128" s="141" t="n">
        <x:f>MAX(0,-CA128)</x:f>
        <x:v>0</x:v>
      </x:c>
      <x:c r="CC128" s="141" t="n">
        <x:f>CC127*(1+Premissas!$B$41)+CB128</x:f>
        <x:v>0</x:v>
      </x:c>
      <x:c r="CD128" s="141" t="n">
        <x:f>MAX(0,CA128)</x:f>
        <x:v>1613849.7604164607</x:v>
      </x:c>
      <x:c r="CE128" s="141" t="n">
        <x:f>IF(AND('Carta Contemplada'!$B$22="Sim",$A128&gt;='Carta Contemplada'!$B$23),INDEX('Carta Contemplada'!$I$55:$I$1013,$A128),0)</x:f>
        <x:v>104484.23525801592</x:v>
      </x:c>
      <x:c r="CF128" s="141" t="n">
        <x:f>IF(AND('Carta Contemplada'!$B$22="Sim",$A128&gt;='Carta Contemplada'!$B$44),$F128,0)</x:f>
        <x:v>363425.2640306844</x:v>
      </x:c>
      <x:c r="CG128" s="141" t="n">
        <x:f>CD128+CF128-CE128</x:f>
        <x:v>1872790.7891891291</x:v>
      </x:c>
      <x:c r="CH128" s="141" t="n">
        <x:f>IF(CC128&gt;1,"Inviavel",CG128)</x:f>
        <x:v>1872790.7891891291</x:v>
      </x:c>
      <x:c r="CI128" s="145" t="str">
        <x:f>IF(CC128&gt;1,"Inviavel","OK")</x:f>
        <x:v>OK</x:v>
      </x:c>
    </x:row>
    <x:row r="129">
      <x:c r="A129" s="142" t="n">
        <x:v>125</x:v>
      </x:c>
      <x:c r="B129" s="179" t="n">
        <x:f>EDATE(Premissas!$B$4,A129-1)</x:f>
        <x:v>50314</x:v>
      </x:c>
      <x:c r="C129" s="141" t="n">
        <x:f>IF(A129&lt;=Premissas!$B$39,Premissas!$B$42,0)</x:f>
        <x:v>7000</x:v>
      </x:c>
      <x:c r="D129" s="141" t="n">
        <x:f>Premissas!$B$54*(1+Premissas!$B$57)^INT((A129-1)/12)</x:f>
        <x:v>1253.5933875799983</x:v>
      </x:c>
      <x:c r="E129" s="141" t="n">
        <x:f>Premissas!$B$64*(1+Premissas!$B$57)^INT((A129-1)/12)</x:f>
        <x:v>1146.1425257874268</x:v>
      </x:c>
      <x:c r="F129" s="141" t="n">
        <x:f>MAX(0,Premissas!$B$6*(1+Premissas!$B$66)^((A129-1)/12))</x:f>
        <x:v>365194.254880077</x:v>
      </x:c>
      <x:c r="G129" s="141" t="n">
        <x:f>G128*(1+Premissas!$B$41)+C129</x:f>
        <x:v>1954585.3703195928</x:v>
      </x:c>
      <x:c r="H129" s="141" t="n">
        <x:f>IF($A129=Premissas!$B$48,Premissas!$B$8,0)</x:f>
        <x:v>0</x:v>
      </x:c>
      <x:c r="I129" s="141" t="n">
        <x:f>IF(AND($A129&gt;=Premissas!$B$48,$A129-Premissas!$B$48+1&lt;=Premissas!$B$13),INDEX(Financiamento!$J$6:$J$485,$A129-Premissas!$B$48+1),0)</x:f>
        <x:v>1600.9267461472716</x:v>
      </x:c>
      <x:c r="J129" s="141" t="n">
        <x:f>IF(AND(TRUE,Premissas!$B$11="Imovel",Premissas!$B$47="Moradia",$A129&lt;MAX(Premissas!$B$48,Premissas!$B$49)),$D129,0)</x:f>
        <x:v>0</x:v>
      </x:c>
      <x:c r="K129" s="141" t="n">
        <x:f>IF(AND(TRUE,Premissas!$B$11="Imovel",Premissas!$B$47="Investimento",$A129&gt;=MAX(Premissas!$B$48,Premissas!$B$49)),$E129,0)</x:f>
        <x:v>1146.1425257874268</x:v>
      </x:c>
      <x:c r="L129" s="141" t="n">
        <x:f>H129+I129+J129</x:f>
        <x:v>1600.9267461472716</x:v>
      </x:c>
      <x:c r="M129" s="141" t="n">
        <x:f>K129</x:f>
        <x:v>1146.1425257874268</x:v>
      </x:c>
      <x:c r="N129" s="141" t="n">
        <x:f>$C129+M129-L129</x:f>
        <x:v>6545.215779640155</x:v>
      </x:c>
      <x:c r="O129" s="141" t="n">
        <x:f>R128*(1+Premissas!$B$41)+N129</x:f>
        <x:v>1573128.033981334</x:v>
      </x:c>
      <x:c r="P129" s="141" t="n">
        <x:f>MAX(0,-O129)</x:f>
        <x:v>0</x:v>
      </x:c>
      <x:c r="Q129" s="141" t="n">
        <x:f>Q128*(1+Premissas!$B$41)+P129</x:f>
        <x:v>0</x:v>
      </x:c>
      <x:c r="R129" s="141" t="n">
        <x:f>MAX(0,O129)</x:f>
        <x:v>1573128.033981334</x:v>
      </x:c>
      <x:c r="S129" s="141" t="n">
        <x:f>IF(AND($A129&gt;=Premissas!$B$48,$A129-Premissas!$B$48+1&lt;=Premissas!$B$13),INDEX(Financiamento!$M$6:$M$485,$A129-Premissas!$B$48+1),0)</x:f>
        <x:v>112380.95238095257</x:v>
      </x:c>
      <x:c r="T129" s="141" t="n">
        <x:f>IF($A129&gt;=Premissas!$B$48,$F129,0)</x:f>
        <x:v>365194.254880077</x:v>
      </x:c>
      <x:c r="U129" s="141" t="n">
        <x:f>R129+T129-S129</x:f>
        <x:v>1825941.3364804583</x:v>
      </x:c>
      <x:c r="V129" s="141" t="n">
        <x:f>IF(Q129&gt;1,"Inviavel",U129)</x:f>
        <x:v>1825941.3364804583</x:v>
      </x:c>
      <x:c r="W129" s="141" t="str">
        <x:f>IF(Q129&gt;1,"Inviavel","OK")</x:f>
        <x:v>OK</x:v>
      </x:c>
      <x:c r="X129" s="141" t="n">
        <x:f>IF($A129=Premissas!$B$48,Premissas!$B$8,0)</x:f>
        <x:v>0</x:v>
      </x:c>
      <x:c r="Y129" s="141" t="n">
        <x:f>IF(AND($A129&gt;=Premissas!$B$48,$A129-Premissas!$B$48+1&lt;=Premissas!$B$13),INDEX(Amortizacao!$K$6:$K$485,$A129-Premissas!$B$48+1),0)</x:f>
        <x:v>0</x:v>
      </x:c>
      <x:c r="Z129" s="141" t="n">
        <x:f>IF(AND(TRUE,Premissas!$B$11="Imovel",Premissas!$B$47="Moradia",$A129&lt;MAX(Premissas!$B$48,Premissas!$B$49)),$D129,0)</x:f>
        <x:v>0</x:v>
      </x:c>
      <x:c r="AA129" s="141" t="n">
        <x:f>IF(AND(TRUE,Premissas!$B$11="Imovel",Premissas!$B$47="Investimento",$A129&gt;=MAX(Premissas!$B$48,Premissas!$B$49)),$E129,0)</x:f>
        <x:v>1146.1425257874268</x:v>
      </x:c>
      <x:c r="AB129" s="141" t="n">
        <x:f>X129+Y129+Z129</x:f>
        <x:v>0</x:v>
      </x:c>
      <x:c r="AC129" s="141" t="n">
        <x:f>AA129</x:f>
        <x:v>1146.1425257874268</x:v>
      </x:c>
      <x:c r="AD129" s="141" t="n">
        <x:f>$C129+AC129-AB129</x:f>
        <x:v>8146.142525787427</x:v>
      </x:c>
      <x:c r="AE129" s="141" t="n">
        <x:f>AH128*(1+Premissas!$B$41)+AD129</x:f>
        <x:v>1484825.6011658295</x:v>
      </x:c>
      <x:c r="AF129" s="141" t="n">
        <x:f>MAX(0,-AE129)</x:f>
        <x:v>0</x:v>
      </x:c>
      <x:c r="AG129" s="141" t="n">
        <x:f>AG128*(1+Premissas!$B$41)+AF129</x:f>
        <x:v>0</x:v>
      </x:c>
      <x:c r="AH129" s="141" t="n">
        <x:f>MAX(0,AE129)</x:f>
        <x:v>1484825.6011658295</x:v>
      </x:c>
      <x:c r="AI129" s="141" t="n">
        <x:f>IF(AND($A129&gt;=Premissas!$B$48,$A129-Premissas!$B$48+1&lt;=Premissas!$B$13),INDEX(Amortizacao!$L$6:$L$485,$A129-Premissas!$B$48+1),0)</x:f>
        <x:v>0</x:v>
      </x:c>
      <x:c r="AJ129" s="141" t="n">
        <x:f>IF($A129&gt;=Premissas!$B$48,$F129,0)</x:f>
        <x:v>365194.254880077</x:v>
      </x:c>
      <x:c r="AK129" s="141" t="n">
        <x:f>AH129+AJ129-AI129</x:f>
        <x:v>1850019.8560459064</x:v>
      </x:c>
      <x:c r="AL129" s="141" t="n">
        <x:f>IF(AG129&gt;1,"Inviavel",AK129)</x:f>
        <x:v>1850019.8560459064</x:v>
      </x:c>
      <x:c r="AM129" s="141" t="str">
        <x:f>IF(AG129&gt;1,"Inviavel","OK")</x:f>
        <x:v>OK</x:v>
      </x:c>
      <x:c r="AN129" s="141" t="n">
        <x:f>IF($A129=Premissas!$B$48,Premissas!$B$8,0)</x:f>
        <x:v>0</x:v>
      </x:c>
      <x:c r="AO129" s="141" t="n">
        <x:f>IF($A129&lt;=Premissas!$B$25,INDEX('Consorcio IQ'!$K$6:$K$485,$A129),0)</x:f>
        <x:v>1021.6174646467734</x:v>
      </x:c>
      <x:c r="AP129" s="141" t="n">
        <x:f>IF(AND(TRUE,Premissas!$B$11="Imovel",Premissas!$B$47="Moradia",$A129&lt;MAX(Premissas!$B$48,Premissas!$B$49)),$D129,0)</x:f>
        <x:v>0</x:v>
      </x:c>
      <x:c r="AQ129" s="141" t="n">
        <x:f>IF(AND(TRUE,Premissas!$B$11="Imovel",Premissas!$B$47="Investimento",$A129&gt;=MAX(Premissas!$B$48,Premissas!$B$49)),$E129,0)</x:f>
        <x:v>1146.1425257874268</x:v>
      </x:c>
      <x:c r="AR129" s="141" t="n">
        <x:f>AN129+AO129+AP129</x:f>
        <x:v>1021.6174646467734</x:v>
      </x:c>
      <x:c r="AS129" s="141" t="n">
        <x:f>AQ129</x:f>
        <x:v>1146.1425257874268</x:v>
      </x:c>
      <x:c r="AT129" s="141" t="n">
        <x:f>$C129+AS129-AR129</x:f>
        <x:v>7124.525061140654</x:v>
      </x:c>
      <x:c r="AU129" s="141" t="n">
        <x:f>AX128*(1+Premissas!$B$41)+AT129</x:f>
        <x:v>1556557.6095933453</x:v>
      </x:c>
      <x:c r="AV129" s="141" t="n">
        <x:f>MAX(0,-AU129)</x:f>
        <x:v>0</x:v>
      </x:c>
      <x:c r="AW129" s="141" t="n">
        <x:f>AW128*(1+Premissas!$B$41)+AV129</x:f>
        <x:v>0</x:v>
      </x:c>
      <x:c r="AX129" s="141" t="n">
        <x:f>MAX(0,AU129)</x:f>
        <x:v>1556557.6095933453</x:v>
      </x:c>
      <x:c r="AY129" s="141" t="n">
        <x:f>INDEX('Consorcio IQ'!$P$6:$P$485,$A129)</x:f>
        <x:v>90372.621687583</x:v>
      </x:c>
      <x:c r="AZ129" s="141" t="n">
        <x:f>IF($A129&gt;=Premissas!$B$48,$F129,0)+IF($A129&lt;Premissas!$B$27,INDEX('Consorcio IQ'!$O$6:$O$485,$A129),0)</x:f>
        <x:v>365194.254880077</x:v>
      </x:c>
      <x:c r="BA129" s="141" t="n">
        <x:f>AX129+AZ129-AY129</x:f>
        <x:v>1831379.2427858394</x:v>
      </x:c>
      <x:c r="BB129" s="141" t="n">
        <x:f>IF(AW129&gt;1,"Inviavel",BA129)</x:f>
        <x:v>1831379.2427858394</x:v>
      </x:c>
      <x:c r="BC129" s="141" t="str">
        <x:f>IF(AW129&gt;1,"Inviavel","OK")</x:f>
        <x:v>OK</x:v>
      </x:c>
      <x:c r="BD129" s="141" t="n">
        <x:f>IF($A129='Consorcio Direto'!$B$29,'Consorcio Direto'!$B$44,0)</x:f>
        <x:v>0</x:v>
      </x:c>
      <x:c r="BE129" s="141" t="n">
        <x:f>IF($A129&lt;='Consorcio Direto'!$B$27,INDEX('Consorcio Direto'!$E$55:$E$534,$A129),0)</x:f>
        <x:v>2645.4792050864053</x:v>
      </x:c>
      <x:c r="BF129" s="141" t="n">
        <x:f>IF(AND(TRUE,Premissas!$B$11="Imovel",Premissas!$B$47="Moradia",$A129&lt;MAX('Consorcio Direto'!$B$29,Premissas!$B$49)),$D129,0)</x:f>
        <x:v>0</x:v>
      </x:c>
      <x:c r="BG129" s="141" t="n">
        <x:f>IF(AND(TRUE,Premissas!$B$11="Imovel",Premissas!$B$47="Investimento",$A129&gt;=MAX('Consorcio Direto'!$B$29,Premissas!$B$49)),$E129,0)</x:f>
        <x:v>1146.1425257874268</x:v>
      </x:c>
      <x:c r="BH129" s="141" t="n">
        <x:f>BD129+BE129+BF129</x:f>
        <x:v>2645.4792050864053</x:v>
      </x:c>
      <x:c r="BI129" s="141" t="n">
        <x:f>BG129</x:f>
        <x:v>1146.1425257874268</x:v>
      </x:c>
      <x:c r="BJ129" s="141" t="n">
        <x:f>$C129+BI129-BH129</x:f>
        <x:v>5500.663320701022</x:v>
      </x:c>
      <x:c r="BK129" s="141" t="n">
        <x:f>BN128*(1+Premissas!$B$41)+BJ129</x:f>
        <x:v>1599463.8286502126</x:v>
      </x:c>
      <x:c r="BL129" s="141" t="n">
        <x:f>MAX(0,-BK129)</x:f>
        <x:v>0</x:v>
      </x:c>
      <x:c r="BM129" s="141" t="n">
        <x:f>BM128*(1+Premissas!$B$41)+BL129</x:f>
        <x:v>0</x:v>
      </x:c>
      <x:c r="BN129" s="141" t="n">
        <x:f>MAX(0,BK129)</x:f>
        <x:v>1599463.8286502126</x:v>
      </x:c>
      <x:c r="BO129" s="141" t="n">
        <x:f>INDEX('Consorcio Direto'!$K$55:$K$534,$A129)</x:f>
        <x:v>234019.97289298847</x:v>
      </x:c>
      <x:c r="BP129" s="141" t="n">
        <x:f>IF($A129&lt;'Consorcio Direto'!$B$29,INDEX('Consorcio Direto'!$L$55:$L$534,$A129),$F129)</x:f>
        <x:v>365194.254880077</x:v>
      </x:c>
      <x:c r="BQ129" s="141" t="n">
        <x:f>BN129+BP129-BO129</x:f>
        <x:v>1730638.110637301</x:v>
      </x:c>
      <x:c r="BR129" s="141" t="n">
        <x:f>IF(BM129&gt;1,"Inviavel",BQ129)</x:f>
        <x:v>1730638.110637301</x:v>
      </x:c>
      <x:c r="BS129" s="141" t="str">
        <x:f>IF(BM129&gt;1,"Inviavel","OK")</x:f>
        <x:v>OK</x:v>
      </x:c>
      <x:c r="BT129" s="141" t="n">
        <x:f>IF(AND('Carta Contemplada'!$B$22="Sim",$A129='Carta Contemplada'!$B$23),'Carta Contemplada'!$B$37,0)</x:f>
        <x:v>0</x:v>
      </x:c>
      <x:c r="BU129" s="141" t="n">
        <x:f>IF('Carta Contemplada'!$B$22="Sim",INDEX('Carta Contemplada'!$C$55:$C$1013,$A129),0)</x:f>
        <x:v>2149.0172358514255</x:v>
      </x:c>
      <x:c r="BV129" s="141" t="n">
        <x:f>IF(AND('Carta Contemplada'!$B$22="Sim",Premissas!$B$11="Imovel",Premissas!$B$47="Moradia",$A129&lt;MAX('Carta Contemplada'!$B$44,Premissas!$B$49)),$D129,0)</x:f>
        <x:v>0</x:v>
      </x:c>
      <x:c r="BW129" s="141" t="n">
        <x:f>IF(AND('Carta Contemplada'!$B$22="Sim",Premissas!$B$11="Imovel",Premissas!$B$47="Investimento",$A129&gt;=MAX('Carta Contemplada'!$B$44,Premissas!$B$49)),$E129,0)</x:f>
        <x:v>1146.1425257874268</x:v>
      </x:c>
      <x:c r="BX129" s="141" t="n">
        <x:f>BT129+BU129+BV129</x:f>
        <x:v>2149.0172358514255</x:v>
      </x:c>
      <x:c r="BY129" s="141" t="n">
        <x:f>BW129</x:f>
        <x:v>1146.1425257874268</x:v>
      </x:c>
      <x:c r="BZ129" s="141" t="n">
        <x:f>$C129+BY129-BX129</x:f>
        <x:v>5997.1252899360015</x:v>
      </x:c>
      <x:c r="CA129" s="141" t="n">
        <x:f>CD128*(1+Premissas!$B$41)+BZ129</x:f>
        <x:v>1635160.371910515</x:v>
      </x:c>
      <x:c r="CB129" s="141" t="n">
        <x:f>MAX(0,-CA129)</x:f>
        <x:v>0</x:v>
      </x:c>
      <x:c r="CC129" s="141" t="n">
        <x:f>CC128*(1+Premissas!$B$41)+CB129</x:f>
        <x:v>0</x:v>
      </x:c>
      <x:c r="CD129" s="141" t="n">
        <x:f>MAX(0,CA129)</x:f>
        <x:v>1635160.371910515</x:v>
      </x:c>
      <x:c r="CE129" s="141" t="n">
        <x:f>IF(AND('Carta Contemplada'!$B$22="Sim",$A129&gt;='Carta Contemplada'!$B$23),INDEX('Carta Contemplada'!$I$55:$I$1013,$A129),0)</x:f>
        <x:v>103326.64729545607</x:v>
      </x:c>
      <x:c r="CF129" s="141" t="n">
        <x:f>IF(AND('Carta Contemplada'!$B$22="Sim",$A129&gt;='Carta Contemplada'!$B$44),$F129,0)</x:f>
        <x:v>365194.254880077</x:v>
      </x:c>
      <x:c r="CG129" s="141" t="n">
        <x:f>CD129+CF129-CE129</x:f>
        <x:v>1897027.9794951358</x:v>
      </x:c>
      <x:c r="CH129" s="141" t="n">
        <x:f>IF(CC129&gt;1,"Inviavel",CG129)</x:f>
        <x:v>1897027.9794951358</x:v>
      </x:c>
      <x:c r="CI129" s="145" t="str">
        <x:f>IF(CC129&gt;1,"Inviavel","OK")</x:f>
        <x:v>OK</x:v>
      </x:c>
    </x:row>
    <x:row r="130">
      <x:c r="A130" s="142" t="n">
        <x:v>126</x:v>
      </x:c>
      <x:c r="B130" s="179" t="n">
        <x:f>EDATE(Premissas!$B$4,A130-1)</x:f>
        <x:v>50345</x:v>
      </x:c>
      <x:c r="C130" s="141" t="n">
        <x:f>IF(A130&lt;=Premissas!$B$39,Premissas!$B$42,0)</x:f>
        <x:v>7000</x:v>
      </x:c>
      <x:c r="D130" s="141" t="n">
        <x:f>Premissas!$B$54*(1+Premissas!$B$57)^INT((A130-1)/12)</x:f>
        <x:v>1253.5933875799983</x:v>
      </x:c>
      <x:c r="E130" s="141" t="n">
        <x:f>Premissas!$B$64*(1+Premissas!$B$57)^INT((A130-1)/12)</x:f>
        <x:v>1146.1425257874268</x:v>
      </x:c>
      <x:c r="F130" s="141" t="n">
        <x:f>MAX(0,Premissas!$B$6*(1+Premissas!$B$66)^((A130-1)/12))</x:f>
        <x:v>366971.85638187843</x:v>
      </x:c>
      <x:c r="G130" s="141" t="n">
        <x:f>G129*(1+Premissas!$B$41)+C130</x:f>
        <x:v>1980132.0261715208</x:v>
      </x:c>
      <x:c r="H130" s="141" t="n">
        <x:f>IF($A130=Premissas!$B$48,Premissas!$B$8,0)</x:f>
        <x:v>0</x:v>
      </x:c>
      <x:c r="I130" s="141" t="n">
        <x:f>IF(AND($A130&gt;=Premissas!$B$48,$A130-Premissas!$B$48+1&lt;=Premissas!$B$13),INDEX(Financiamento!$J$6:$J$485,$A130-Premissas!$B$48+1),0)</x:f>
        <x:v>1597.3119678864782</x:v>
      </x:c>
      <x:c r="J130" s="141" t="n">
        <x:f>IF(AND(TRUE,Premissas!$B$11="Imovel",Premissas!$B$47="Moradia",$A130&lt;MAX(Premissas!$B$48,Premissas!$B$49)),$D130,0)</x:f>
        <x:v>0</x:v>
      </x:c>
      <x:c r="K130" s="141" t="n">
        <x:f>IF(AND(TRUE,Premissas!$B$11="Imovel",Premissas!$B$47="Investimento",$A130&gt;=MAX(Premissas!$B$48,Premissas!$B$49)),$E130,0)</x:f>
        <x:v>1146.1425257874268</x:v>
      </x:c>
      <x:c r="L130" s="141" t="n">
        <x:f>H130+I130+J130</x:f>
        <x:v>1597.3119678864782</x:v>
      </x:c>
      <x:c r="M130" s="141" t="n">
        <x:f>K130</x:f>
        <x:v>1146.1425257874268</x:v>
      </x:c>
      <x:c r="N130" s="141" t="n">
        <x:f>$C130+M130-L130</x:f>
        <x:v>6548.830557900948</x:v>
      </x:c>
      <x:c r="O130" s="141" t="n">
        <x:f>R129*(1+Premissas!$B$41)+N130</x:f>
        <x:v>1594603.9507132715</x:v>
      </x:c>
      <x:c r="P130" s="141" t="n">
        <x:f>MAX(0,-O130)</x:f>
        <x:v>0</x:v>
      </x:c>
      <x:c r="Q130" s="141" t="n">
        <x:f>Q129*(1+Premissas!$B$41)+P130</x:f>
        <x:v>0</x:v>
      </x:c>
      <x:c r="R130" s="141" t="n">
        <x:f>MAX(0,O130)</x:f>
        <x:v>1594603.9507132715</x:v>
      </x:c>
      <x:c r="S130" s="141" t="n">
        <x:f>IF(AND($A130&gt;=Premissas!$B$48,$A130-Premissas!$B$48+1&lt;=Premissas!$B$13),INDEX(Financiamento!$M$6:$M$485,$A130-Premissas!$B$48+1),0)</x:f>
        <x:v>112000.00000000019</x:v>
      </x:c>
      <x:c r="T130" s="141" t="n">
        <x:f>IF($A130&gt;=Premissas!$B$48,$F130,0)</x:f>
        <x:v>366971.85638187843</x:v>
      </x:c>
      <x:c r="U130" s="141" t="n">
        <x:f>R130+T130-S130</x:f>
        <x:v>1849575.8070951498</x:v>
      </x:c>
      <x:c r="V130" s="141" t="n">
        <x:f>IF(Q130&gt;1,"Inviavel",U130)</x:f>
        <x:v>1849575.8070951498</x:v>
      </x:c>
      <x:c r="W130" s="141" t="str">
        <x:f>IF(Q130&gt;1,"Inviavel","OK")</x:f>
        <x:v>OK</x:v>
      </x:c>
      <x:c r="X130" s="141" t="n">
        <x:f>IF($A130=Premissas!$B$48,Premissas!$B$8,0)</x:f>
        <x:v>0</x:v>
      </x:c>
      <x:c r="Y130" s="141" t="n">
        <x:f>IF(AND($A130&gt;=Premissas!$B$48,$A130-Premissas!$B$48+1&lt;=Premissas!$B$13),INDEX(Amortizacao!$K$6:$K$485,$A130-Premissas!$B$48+1),0)</x:f>
        <x:v>0</x:v>
      </x:c>
      <x:c r="Z130" s="141" t="n">
        <x:f>IF(AND(TRUE,Premissas!$B$11="Imovel",Premissas!$B$47="Moradia",$A130&lt;MAX(Premissas!$B$48,Premissas!$B$49)),$D130,0)</x:f>
        <x:v>0</x:v>
      </x:c>
      <x:c r="AA130" s="141" t="n">
        <x:f>IF(AND(TRUE,Premissas!$B$11="Imovel",Premissas!$B$47="Investimento",$A130&gt;=MAX(Premissas!$B$48,Premissas!$B$49)),$E130,0)</x:f>
        <x:v>1146.1425257874268</x:v>
      </x:c>
      <x:c r="AB130" s="141" t="n">
        <x:f>X130+Y130+Z130</x:f>
        <x:v>0</x:v>
      </x:c>
      <x:c r="AC130" s="141" t="n">
        <x:f>AA130</x:f>
        <x:v>1146.1425257874268</x:v>
      </x:c>
      <x:c r="AD130" s="141" t="n">
        <x:f>$C130+AC130-AB130</x:f>
        <x:v>8146.142525787427</x:v>
      </x:c>
      <x:c r="AE130" s="141" t="n">
        <x:f>AH129*(1+Premissas!$B$41)+AD130</x:f>
        <x:v>1507060.9463650472</x:v>
      </x:c>
      <x:c r="AF130" s="141" t="n">
        <x:f>MAX(0,-AE130)</x:f>
        <x:v>0</x:v>
      </x:c>
      <x:c r="AG130" s="141" t="n">
        <x:f>AG129*(1+Premissas!$B$41)+AF130</x:f>
        <x:v>0</x:v>
      </x:c>
      <x:c r="AH130" s="141" t="n">
        <x:f>MAX(0,AE130)</x:f>
        <x:v>1507060.9463650472</x:v>
      </x:c>
      <x:c r="AI130" s="141" t="n">
        <x:f>IF(AND($A130&gt;=Premissas!$B$48,$A130-Premissas!$B$48+1&lt;=Premissas!$B$13),INDEX(Amortizacao!$L$6:$L$485,$A130-Premissas!$B$48+1),0)</x:f>
        <x:v>0</x:v>
      </x:c>
      <x:c r="AJ130" s="141" t="n">
        <x:f>IF($A130&gt;=Premissas!$B$48,$F130,0)</x:f>
        <x:v>366971.85638187843</x:v>
      </x:c>
      <x:c r="AK130" s="141" t="n">
        <x:f>AH130+AJ130-AI130</x:f>
        <x:v>1874032.8027469257</x:v>
      </x:c>
      <x:c r="AL130" s="141" t="n">
        <x:f>IF(AG130&gt;1,"Inviavel",AK130)</x:f>
        <x:v>1874032.8027469257</x:v>
      </x:c>
      <x:c r="AM130" s="141" t="str">
        <x:f>IF(AG130&gt;1,"Inviavel","OK")</x:f>
        <x:v>OK</x:v>
      </x:c>
      <x:c r="AN130" s="141" t="n">
        <x:f>IF($A130=Premissas!$B$48,Premissas!$B$8,0)</x:f>
        <x:v>0</x:v>
      </x:c>
      <x:c r="AO130" s="141" t="n">
        <x:f>IF($A130&lt;=Premissas!$B$25,INDEX('Consorcio IQ'!$K$6:$K$485,$A130),0)</x:f>
        <x:v>1021.6174646467734</x:v>
      </x:c>
      <x:c r="AP130" s="141" t="n">
        <x:f>IF(AND(TRUE,Premissas!$B$11="Imovel",Premissas!$B$47="Moradia",$A130&lt;MAX(Premissas!$B$48,Premissas!$B$49)),$D130,0)</x:f>
        <x:v>0</x:v>
      </x:c>
      <x:c r="AQ130" s="141" t="n">
        <x:f>IF(AND(TRUE,Premissas!$B$11="Imovel",Premissas!$B$47="Investimento",$A130&gt;=MAX(Premissas!$B$48,Premissas!$B$49)),$E130,0)</x:f>
        <x:v>1146.1425257874268</x:v>
      </x:c>
      <x:c r="AR130" s="141" t="n">
        <x:f>AN130+AO130+AP130</x:f>
        <x:v>1021.6174646467734</x:v>
      </x:c>
      <x:c r="AS130" s="141" t="n">
        <x:f>AQ130</x:f>
        <x:v>1146.1425257874268</x:v>
      </x:c>
      <x:c r="AT130" s="141" t="n">
        <x:f>$C130+AS130-AR130</x:f>
        <x:v>7124.525061140654</x:v>
      </x:c>
      <x:c r="AU130" s="141" t="n">
        <x:f>AX129*(1+Premissas!$B$41)+AT130</x:f>
        <x:v>1578451.987502667</x:v>
      </x:c>
      <x:c r="AV130" s="141" t="n">
        <x:f>MAX(0,-AU130)</x:f>
        <x:v>0</x:v>
      </x:c>
      <x:c r="AW130" s="141" t="n">
        <x:f>AW129*(1+Premissas!$B$41)+AV130</x:f>
        <x:v>0</x:v>
      </x:c>
      <x:c r="AX130" s="141" t="n">
        <x:f>MAX(0,AU130)</x:f>
        <x:v>1578451.987502667</x:v>
      </x:c>
      <x:c r="AY130" s="141" t="n">
        <x:f>INDEX('Consorcio IQ'!$P$6:$P$485,$A130)</x:f>
        <x:v>90208.53131708512</x:v>
      </x:c>
      <x:c r="AZ130" s="141" t="n">
        <x:f>IF($A130&gt;=Premissas!$B$48,$F130,0)+IF($A130&lt;Premissas!$B$27,INDEX('Consorcio IQ'!$O$6:$O$485,$A130),0)</x:f>
        <x:v>366971.85638187843</x:v>
      </x:c>
      <x:c r="BA130" s="141" t="n">
        <x:f>AX130+AZ130-AY130</x:f>
        <x:v>1855215.3125674604</x:v>
      </x:c>
      <x:c r="BB130" s="141" t="n">
        <x:f>IF(AW130&gt;1,"Inviavel",BA130)</x:f>
        <x:v>1855215.3125674604</x:v>
      </x:c>
      <x:c r="BC130" s="141" t="str">
        <x:f>IF(AW130&gt;1,"Inviavel","OK")</x:f>
        <x:v>OK</x:v>
      </x:c>
      <x:c r="BD130" s="141" t="n">
        <x:f>IF($A130='Consorcio Direto'!$B$29,'Consorcio Direto'!$B$44,0)</x:f>
        <x:v>0</x:v>
      </x:c>
      <x:c r="BE130" s="141" t="n">
        <x:f>IF($A130&lt;='Consorcio Direto'!$B$27,INDEX('Consorcio Direto'!$E$55:$E$534,$A130),0)</x:f>
        <x:v>2645.4792050864053</x:v>
      </x:c>
      <x:c r="BF130" s="141" t="n">
        <x:f>IF(AND(TRUE,Premissas!$B$11="Imovel",Premissas!$B$47="Moradia",$A130&lt;MAX('Consorcio Direto'!$B$29,Premissas!$B$49)),$D130,0)</x:f>
        <x:v>0</x:v>
      </x:c>
      <x:c r="BG130" s="141" t="n">
        <x:f>IF(AND(TRUE,Premissas!$B$11="Imovel",Premissas!$B$47="Investimento",$A130&gt;=MAX('Consorcio Direto'!$B$29,Premissas!$B$49)),$E130,0)</x:f>
        <x:v>1146.1425257874268</x:v>
      </x:c>
      <x:c r="BH130" s="141" t="n">
        <x:f>BD130+BE130+BF130</x:f>
        <x:v>2645.4792050864053</x:v>
      </x:c>
      <x:c r="BI130" s="141" t="n">
        <x:f>BG130</x:f>
        <x:v>1146.1425257874268</x:v>
      </x:c>
      <x:c r="BJ130" s="141" t="n">
        <x:f>$C130+BI130-BH130</x:f>
        <x:v>5500.663320701022</x:v>
      </x:c>
      <x:c r="BK130" s="141" t="n">
        <x:f>BN129*(1+Premissas!$B$41)+BJ130</x:f>
        <x:v>1620141.473047331</x:v>
      </x:c>
      <x:c r="BL130" s="141" t="n">
        <x:f>MAX(0,-BK130)</x:f>
        <x:v>0</x:v>
      </x:c>
      <x:c r="BM130" s="141" t="n">
        <x:f>BM129*(1+Premissas!$B$41)+BL130</x:f>
        <x:v>0</x:v>
      </x:c>
      <x:c r="BN130" s="141" t="n">
        <x:f>MAX(0,BK130)</x:f>
        <x:v>1620141.473047331</x:v>
      </x:c>
      <x:c r="BO130" s="141" t="n">
        <x:f>INDEX('Consorcio Direto'!$K$55:$K$534,$A130)</x:f>
        <x:v>233595.06075324037</x:v>
      </x:c>
      <x:c r="BP130" s="141" t="n">
        <x:f>IF($A130&lt;'Consorcio Direto'!$B$29,INDEX('Consorcio Direto'!$L$55:$L$534,$A130),$F130)</x:f>
        <x:v>366971.85638187843</x:v>
      </x:c>
      <x:c r="BQ130" s="141" t="n">
        <x:f>BN130+BP130-BO130</x:f>
        <x:v>1753518.268675969</x:v>
      </x:c>
      <x:c r="BR130" s="141" t="n">
        <x:f>IF(BM130&gt;1,"Inviavel",BQ130)</x:f>
        <x:v>1753518.268675969</x:v>
      </x:c>
      <x:c r="BS130" s="141" t="str">
        <x:f>IF(BM130&gt;1,"Inviavel","OK")</x:f>
        <x:v>OK</x:v>
      </x:c>
      <x:c r="BT130" s="141" t="n">
        <x:f>IF(AND('Carta Contemplada'!$B$22="Sim",$A130='Carta Contemplada'!$B$23),'Carta Contemplada'!$B$37,0)</x:f>
        <x:v>0</x:v>
      </x:c>
      <x:c r="BU130" s="141" t="n">
        <x:f>IF('Carta Contemplada'!$B$22="Sim",INDEX('Carta Contemplada'!$C$55:$C$1013,$A130),0)</x:f>
        <x:v>2149.0172358514255</x:v>
      </x:c>
      <x:c r="BV130" s="141" t="n">
        <x:f>IF(AND('Carta Contemplada'!$B$22="Sim",Premissas!$B$11="Imovel",Premissas!$B$47="Moradia",$A130&lt;MAX('Carta Contemplada'!$B$44,Premissas!$B$49)),$D130,0)</x:f>
        <x:v>0</x:v>
      </x:c>
      <x:c r="BW130" s="141" t="n">
        <x:f>IF(AND('Carta Contemplada'!$B$22="Sim",Premissas!$B$11="Imovel",Premissas!$B$47="Investimento",$A130&gt;=MAX('Carta Contemplada'!$B$44,Premissas!$B$49)),$E130,0)</x:f>
        <x:v>1146.1425257874268</x:v>
      </x:c>
      <x:c r="BX130" s="141" t="n">
        <x:f>BT130+BU130+BV130</x:f>
        <x:v>2149.0172358514255</x:v>
      </x:c>
      <x:c r="BY130" s="141" t="n">
        <x:f>BW130</x:f>
        <x:v>1146.1425257874268</x:v>
      </x:c>
      <x:c r="BZ130" s="141" t="n">
        <x:f>$C130+BY130-BX130</x:f>
        <x:v>5997.1252899360015</x:v>
      </x:c>
      <x:c r="CA130" s="141" t="n">
        <x:f>CD129*(1+Premissas!$B$41)+BZ130</x:f>
        <x:v>1656673.1953843457</x:v>
      </x:c>
      <x:c r="CB130" s="141" t="n">
        <x:f>MAX(0,-CA130)</x:f>
        <x:v>0</x:v>
      </x:c>
      <x:c r="CC130" s="141" t="n">
        <x:f>CC129*(1+Premissas!$B$41)+CB130</x:f>
        <x:v>0</x:v>
      </x:c>
      <x:c r="CD130" s="141" t="n">
        <x:f>MAX(0,CA130)</x:f>
        <x:v>1656673.1953843457</x:v>
      </x:c>
      <x:c r="CE130" s="141" t="n">
        <x:f>IF(AND('Carta Contemplada'!$B$22="Sim",$A130&gt;='Carta Contemplada'!$B$23),INDEX('Carta Contemplada'!$I$55:$I$1013,$A130),0)</x:f>
        <x:v>102158.07522041592</x:v>
      </x:c>
      <x:c r="CF130" s="141" t="n">
        <x:f>IF(AND('Carta Contemplada'!$B$22="Sim",$A130&gt;='Carta Contemplada'!$B$44),$F130,0)</x:f>
        <x:v>366971.85638187843</x:v>
      </x:c>
      <x:c r="CG130" s="141" t="n">
        <x:f>CD130+CF130-CE130</x:f>
        <x:v>1921486.9765458084</x:v>
      </x:c>
      <x:c r="CH130" s="141" t="n">
        <x:f>IF(CC130&gt;1,"Inviavel",CG130)</x:f>
        <x:v>1921486.9765458084</x:v>
      </x:c>
      <x:c r="CI130" s="145" t="str">
        <x:f>IF(CC130&gt;1,"Inviavel","OK")</x:f>
        <x:v>OK</x:v>
      </x:c>
    </x:row>
    <x:row r="131">
      <x:c r="A131" s="142" t="n">
        <x:v>127</x:v>
      </x:c>
      <x:c r="B131" s="179" t="n">
        <x:f>EDATE(Premissas!$B$4,A131-1)</x:f>
        <x:v>50375</x:v>
      </x:c>
      <x:c r="C131" s="141" t="n">
        <x:f>IF(A131&lt;=Premissas!$B$39,Premissas!$B$42,0)</x:f>
        <x:v>7000</x:v>
      </x:c>
      <x:c r="D131" s="141" t="n">
        <x:f>Premissas!$B$54*(1+Premissas!$B$57)^INT((A131-1)/12)</x:f>
        <x:v>1253.5933875799983</x:v>
      </x:c>
      <x:c r="E131" s="141" t="n">
        <x:f>Premissas!$B$64*(1+Premissas!$B$57)^INT((A131-1)/12)</x:f>
        <x:v>1146.1425257874268</x:v>
      </x:c>
      <x:c r="F131" s="141" t="n">
        <x:f>MAX(0,Premissas!$B$6*(1+Premissas!$B$66)^((A131-1)/12))</x:f>
        <x:v>368758.11044887506</x:v>
      </x:c>
      <x:c r="G131" s="141" t="n">
        <x:f>G130*(1+Premissas!$B$41)+C131</x:f>
        <x:v>2005921.0889509988</x:v>
      </x:c>
      <x:c r="H131" s="141" t="n">
        <x:f>IF($A131=Premissas!$B$48,Premissas!$B$8,0)</x:f>
        <x:v>0</x:v>
      </x:c>
      <x:c r="I131" s="141" t="n">
        <x:f>IF(AND($A131&gt;=Premissas!$B$48,$A131-Premissas!$B$48+1&lt;=Premissas!$B$13),INDEX(Financiamento!$J$6:$J$485,$A131-Premissas!$B$48+1),0)</x:f>
        <x:v>1593.6971896256846</x:v>
      </x:c>
      <x:c r="J131" s="141" t="n">
        <x:f>IF(AND(TRUE,Premissas!$B$11="Imovel",Premissas!$B$47="Moradia",$A131&lt;MAX(Premissas!$B$48,Premissas!$B$49)),$D131,0)</x:f>
        <x:v>0</x:v>
      </x:c>
      <x:c r="K131" s="141" t="n">
        <x:f>IF(AND(TRUE,Premissas!$B$11="Imovel",Premissas!$B$47="Investimento",$A131&gt;=MAX(Premissas!$B$48,Premissas!$B$49)),$E131,0)</x:f>
        <x:v>1146.1425257874268</x:v>
      </x:c>
      <x:c r="L131" s="141" t="n">
        <x:f>H131+I131+J131</x:f>
        <x:v>1593.6971896256846</x:v>
      </x:c>
      <x:c r="M131" s="141" t="n">
        <x:f>K131</x:f>
        <x:v>1146.1425257874268</x:v>
      </x:c>
      <x:c r="N131" s="141" t="n">
        <x:f>$C131+M131-L131</x:f>
        <x:v>6552.4453361617425</x:v>
      </x:c>
      <x:c r="O131" s="141" t="n">
        <x:f>R130*(1+Premissas!$B$41)+N131</x:f>
        <x:v>1616287.2627504196</x:v>
      </x:c>
      <x:c r="P131" s="141" t="n">
        <x:f>MAX(0,-O131)</x:f>
        <x:v>0</x:v>
      </x:c>
      <x:c r="Q131" s="141" t="n">
        <x:f>Q130*(1+Premissas!$B$41)+P131</x:f>
        <x:v>0</x:v>
      </x:c>
      <x:c r="R131" s="141" t="n">
        <x:f>MAX(0,O131)</x:f>
        <x:v>1616287.2627504196</x:v>
      </x:c>
      <x:c r="S131" s="141" t="n">
        <x:f>IF(AND($A131&gt;=Premissas!$B$48,$A131-Premissas!$B$48+1&lt;=Premissas!$B$13),INDEX(Financiamento!$M$6:$M$485,$A131-Premissas!$B$48+1),0)</x:f>
        <x:v>111619.04761904781</x:v>
      </x:c>
      <x:c r="T131" s="141" t="n">
        <x:f>IF($A131&gt;=Premissas!$B$48,$F131,0)</x:f>
        <x:v>368758.11044887506</x:v>
      </x:c>
      <x:c r="U131" s="141" t="n">
        <x:f>R131+T131-S131</x:f>
        <x:v>1873426.3255802467</x:v>
      </x:c>
      <x:c r="V131" s="141" t="n">
        <x:f>IF(Q131&gt;1,"Inviavel",U131)</x:f>
        <x:v>1873426.3255802467</x:v>
      </x:c>
      <x:c r="W131" s="141" t="str">
        <x:f>IF(Q131&gt;1,"Inviavel","OK")</x:f>
        <x:v>OK</x:v>
      </x:c>
      <x:c r="X131" s="141" t="n">
        <x:f>IF($A131=Premissas!$B$48,Premissas!$B$8,0)</x:f>
        <x:v>0</x:v>
      </x:c>
      <x:c r="Y131" s="141" t="n">
        <x:f>IF(AND($A131&gt;=Premissas!$B$48,$A131-Premissas!$B$48+1&lt;=Premissas!$B$13),INDEX(Amortizacao!$K$6:$K$485,$A131-Premissas!$B$48+1),0)</x:f>
        <x:v>0</x:v>
      </x:c>
      <x:c r="Z131" s="141" t="n">
        <x:f>IF(AND(TRUE,Premissas!$B$11="Imovel",Premissas!$B$47="Moradia",$A131&lt;MAX(Premissas!$B$48,Premissas!$B$49)),$D131,0)</x:f>
        <x:v>0</x:v>
      </x:c>
      <x:c r="AA131" s="141" t="n">
        <x:f>IF(AND(TRUE,Premissas!$B$11="Imovel",Premissas!$B$47="Investimento",$A131&gt;=MAX(Premissas!$B$48,Premissas!$B$49)),$E131,0)</x:f>
        <x:v>1146.1425257874268</x:v>
      </x:c>
      <x:c r="AB131" s="141" t="n">
        <x:f>X131+Y131+Z131</x:f>
        <x:v>0</x:v>
      </x:c>
      <x:c r="AC131" s="141" t="n">
        <x:f>AA131</x:f>
        <x:v>1146.1425257874268</x:v>
      </x:c>
      <x:c r="AD131" s="141" t="n">
        <x:f>$C131+AC131-AB131</x:f>
        <x:v>8146.142525787427</x:v>
      </x:c>
      <x:c r="AE131" s="141" t="n">
        <x:f>AH130*(1+Premissas!$B$41)+AD131</x:f>
        <x:v>1529507.2781506893</x:v>
      </x:c>
      <x:c r="AF131" s="141" t="n">
        <x:f>MAX(0,-AE131)</x:f>
        <x:v>0</x:v>
      </x:c>
      <x:c r="AG131" s="141" t="n">
        <x:f>AG130*(1+Premissas!$B$41)+AF131</x:f>
        <x:v>0</x:v>
      </x:c>
      <x:c r="AH131" s="141" t="n">
        <x:f>MAX(0,AE131)</x:f>
        <x:v>1529507.2781506893</x:v>
      </x:c>
      <x:c r="AI131" s="141" t="n">
        <x:f>IF(AND($A131&gt;=Premissas!$B$48,$A131-Premissas!$B$48+1&lt;=Premissas!$B$13),INDEX(Amortizacao!$L$6:$L$485,$A131-Premissas!$B$48+1),0)</x:f>
        <x:v>0</x:v>
      </x:c>
      <x:c r="AJ131" s="141" t="n">
        <x:f>IF($A131&gt;=Premissas!$B$48,$F131,0)</x:f>
        <x:v>368758.11044887506</x:v>
      </x:c>
      <x:c r="AK131" s="141" t="n">
        <x:f>AH131+AJ131-AI131</x:f>
        <x:v>1898265.3885995643</x:v>
      </x:c>
      <x:c r="AL131" s="141" t="n">
        <x:f>IF(AG131&gt;1,"Inviavel",AK131)</x:f>
        <x:v>1898265.3885995643</x:v>
      </x:c>
      <x:c r="AM131" s="141" t="str">
        <x:f>IF(AG131&gt;1,"Inviavel","OK")</x:f>
        <x:v>OK</x:v>
      </x:c>
      <x:c r="AN131" s="141" t="n">
        <x:f>IF($A131=Premissas!$B$48,Premissas!$B$8,0)</x:f>
        <x:v>0</x:v>
      </x:c>
      <x:c r="AO131" s="141" t="n">
        <x:f>IF($A131&lt;=Premissas!$B$25,INDEX('Consorcio IQ'!$K$6:$K$485,$A131),0)</x:f>
        <x:v>1021.6174646467734</x:v>
      </x:c>
      <x:c r="AP131" s="141" t="n">
        <x:f>IF(AND(TRUE,Premissas!$B$11="Imovel",Premissas!$B$47="Moradia",$A131&lt;MAX(Premissas!$B$48,Premissas!$B$49)),$D131,0)</x:f>
        <x:v>0</x:v>
      </x:c>
      <x:c r="AQ131" s="141" t="n">
        <x:f>IF(AND(TRUE,Premissas!$B$11="Imovel",Premissas!$B$47="Investimento",$A131&gt;=MAX(Premissas!$B$48,Premissas!$B$49)),$E131,0)</x:f>
        <x:v>1146.1425257874268</x:v>
      </x:c>
      <x:c r="AR131" s="141" t="n">
        <x:f>AN131+AO131+AP131</x:f>
        <x:v>1021.6174646467734</x:v>
      </x:c>
      <x:c r="AS131" s="141" t="n">
        <x:f>AQ131</x:f>
        <x:v>1146.1425257874268</x:v>
      </x:c>
      <x:c r="AT131" s="141" t="n">
        <x:f>$C131+AS131-AR131</x:f>
        <x:v>7124.525061140654</x:v>
      </x:c>
      <x:c r="AU131" s="141" t="n">
        <x:f>AX130*(1+Premissas!$B$41)+AT131</x:f>
        <x:v>1600554.1166304015</x:v>
      </x:c>
      <x:c r="AV131" s="141" t="n">
        <x:f>MAX(0,-AU131)</x:f>
        <x:v>0</x:v>
      </x:c>
      <x:c r="AW131" s="141" t="n">
        <x:f>AW130*(1+Premissas!$B$41)+AV131</x:f>
        <x:v>0</x:v>
      </x:c>
      <x:c r="AX131" s="141" t="n">
        <x:f>MAX(0,AU131)</x:f>
        <x:v>1600554.1166304015</x:v>
      </x:c>
      <x:c r="AY131" s="141" t="n">
        <x:f>INDEX('Consorcio IQ'!$P$6:$P$485,$A131)</x:f>
        <x:v>90042.88392703902</x:v>
      </x:c>
      <x:c r="AZ131" s="141" t="n">
        <x:f>IF($A131&gt;=Premissas!$B$48,$F131,0)+IF($A131&lt;Premissas!$B$27,INDEX('Consorcio IQ'!$O$6:$O$485,$A131),0)</x:f>
        <x:v>368758.11044887506</x:v>
      </x:c>
      <x:c r="BA131" s="141" t="n">
        <x:f>AX131+AZ131-AY131</x:f>
        <x:v>1879269.3431522374</x:v>
      </x:c>
      <x:c r="BB131" s="141" t="n">
        <x:f>IF(AW131&gt;1,"Inviavel",BA131)</x:f>
        <x:v>1879269.3431522374</x:v>
      </x:c>
      <x:c r="BC131" s="141" t="str">
        <x:f>IF(AW131&gt;1,"Inviavel","OK")</x:f>
        <x:v>OK</x:v>
      </x:c>
      <x:c r="BD131" s="141" t="n">
        <x:f>IF($A131='Consorcio Direto'!$B$29,'Consorcio Direto'!$B$44,0)</x:f>
        <x:v>0</x:v>
      </x:c>
      <x:c r="BE131" s="141" t="n">
        <x:f>IF($A131&lt;='Consorcio Direto'!$B$27,INDEX('Consorcio Direto'!$E$55:$E$534,$A131),0)</x:f>
        <x:v>2645.4792050864053</x:v>
      </x:c>
      <x:c r="BF131" s="141" t="n">
        <x:f>IF(AND(TRUE,Premissas!$B$11="Imovel",Premissas!$B$47="Moradia",$A131&lt;MAX('Consorcio Direto'!$B$29,Premissas!$B$49)),$D131,0)</x:f>
        <x:v>0</x:v>
      </x:c>
      <x:c r="BG131" s="141" t="n">
        <x:f>IF(AND(TRUE,Premissas!$B$11="Imovel",Premissas!$B$47="Investimento",$A131&gt;=MAX('Consorcio Direto'!$B$29,Premissas!$B$49)),$E131,0)</x:f>
        <x:v>1146.1425257874268</x:v>
      </x:c>
      <x:c r="BH131" s="141" t="n">
        <x:f>BD131+BE131+BF131</x:f>
        <x:v>2645.4792050864053</x:v>
      </x:c>
      <x:c r="BI131" s="141" t="n">
        <x:f>BG131</x:f>
        <x:v>1146.1425257874268</x:v>
      </x:c>
      <x:c r="BJ131" s="141" t="n">
        <x:f>$C131+BI131-BH131</x:f>
        <x:v>5500.663320701022</x:v>
      </x:c>
      <x:c r="BK131" s="141" t="n">
        <x:f>BN130*(1+Premissas!$B$41)+BJ131</x:f>
        <x:v>1641015.3233305085</x:v>
      </x:c>
      <x:c r="BL131" s="141" t="n">
        <x:f>MAX(0,-BK131)</x:f>
        <x:v>0</x:v>
      </x:c>
      <x:c r="BM131" s="141" t="n">
        <x:f>BM130*(1+Premissas!$B$41)+BL131</x:f>
        <x:v>0</x:v>
      </x:c>
      <x:c r="BN131" s="141" t="n">
        <x:f>MAX(0,BK131)</x:f>
        <x:v>1641015.3233305085</x:v>
      </x:c>
      <x:c r="BO131" s="141" t="n">
        <x:f>INDEX('Consorcio Direto'!$K$55:$K$534,$A131)</x:f>
        <x:v>233166.11671018283</x:v>
      </x:c>
      <x:c r="BP131" s="141" t="n">
        <x:f>IF($A131&lt;'Consorcio Direto'!$B$29,INDEX('Consorcio Direto'!$L$55:$L$534,$A131),$F131)</x:f>
        <x:v>368758.11044887506</x:v>
      </x:c>
      <x:c r="BQ131" s="141" t="n">
        <x:f>BN131+BP131-BO131</x:f>
        <x:v>1776607.3170692008</x:v>
      </x:c>
      <x:c r="BR131" s="141" t="n">
        <x:f>IF(BM131&gt;1,"Inviavel",BQ131)</x:f>
        <x:v>1776607.3170692008</x:v>
      </x:c>
      <x:c r="BS131" s="141" t="str">
        <x:f>IF(BM131&gt;1,"Inviavel","OK")</x:f>
        <x:v>OK</x:v>
      </x:c>
      <x:c r="BT131" s="141" t="n">
        <x:f>IF(AND('Carta Contemplada'!$B$22="Sim",$A131='Carta Contemplada'!$B$23),'Carta Contemplada'!$B$37,0)</x:f>
        <x:v>0</x:v>
      </x:c>
      <x:c r="BU131" s="141" t="n">
        <x:f>IF('Carta Contemplada'!$B$22="Sim",INDEX('Carta Contemplada'!$C$55:$C$1013,$A131),0)</x:f>
        <x:v>2149.0172358514255</x:v>
      </x:c>
      <x:c r="BV131" s="141" t="n">
        <x:f>IF(AND('Carta Contemplada'!$B$22="Sim",Premissas!$B$11="Imovel",Premissas!$B$47="Moradia",$A131&lt;MAX('Carta Contemplada'!$B$44,Premissas!$B$49)),$D131,0)</x:f>
        <x:v>0</x:v>
      </x:c>
      <x:c r="BW131" s="141" t="n">
        <x:f>IF(AND('Carta Contemplada'!$B$22="Sim",Premissas!$B$11="Imovel",Premissas!$B$47="Investimento",$A131&gt;=MAX('Carta Contemplada'!$B$44,Premissas!$B$49)),$E131,0)</x:f>
        <x:v>1146.1425257874268</x:v>
      </x:c>
      <x:c r="BX131" s="141" t="n">
        <x:f>BT131+BU131+BV131</x:f>
        <x:v>2149.0172358514255</x:v>
      </x:c>
      <x:c r="BY131" s="141" t="n">
        <x:f>BW131</x:f>
        <x:v>1146.1425257874268</x:v>
      </x:c>
      <x:c r="BZ131" s="141" t="n">
        <x:f>$C131+BY131-BX131</x:f>
        <x:v>5997.1252899360015</x:v>
      </x:c>
      <x:c r="CA131" s="141" t="n">
        <x:f>CD130*(1+Premissas!$B$41)+BZ131</x:f>
        <x:v>1678390.1495855579</x:v>
      </x:c>
      <x:c r="CB131" s="141" t="n">
        <x:f>MAX(0,-CA131)</x:f>
        <x:v>0</x:v>
      </x:c>
      <x:c r="CC131" s="141" t="n">
        <x:f>CC130*(1+Premissas!$B$41)+CB131</x:f>
        <x:v>0</x:v>
      </x:c>
      <x:c r="CD131" s="141" t="n">
        <x:f>MAX(0,CA131)</x:f>
        <x:v>1678390.1495855579</x:v>
      </x:c>
      <x:c r="CE131" s="141" t="n">
        <x:f>IF(AND('Carta Contemplada'!$B$22="Sim",$A131&gt;='Carta Contemplada'!$B$23),INDEX('Carta Contemplada'!$I$55:$I$1013,$A131),0)</x:f>
        <x:v>100978.41480692658</x:v>
      </x:c>
      <x:c r="CF131" s="141" t="n">
        <x:f>IF(AND('Carta Contemplada'!$B$22="Sim",$A131&gt;='Carta Contemplada'!$B$44),$F131,0)</x:f>
        <x:v>368758.11044887506</x:v>
      </x:c>
      <x:c r="CG131" s="141" t="n">
        <x:f>CD131+CF131-CE131</x:f>
        <x:v>1946169.8452275062</x:v>
      </x:c>
      <x:c r="CH131" s="141" t="n">
        <x:f>IF(CC131&gt;1,"Inviavel",CG131)</x:f>
        <x:v>1946169.8452275062</x:v>
      </x:c>
      <x:c r="CI131" s="145" t="str">
        <x:f>IF(CC131&gt;1,"Inviavel","OK")</x:f>
        <x:v>OK</x:v>
      </x:c>
    </x:row>
    <x:row r="132">
      <x:c r="A132" s="142" t="n">
        <x:v>128</x:v>
      </x:c>
      <x:c r="B132" s="179" t="n">
        <x:f>EDATE(Premissas!$B$4,A132-1)</x:f>
        <x:v>50406</x:v>
      </x:c>
      <x:c r="C132" s="141" t="n">
        <x:f>IF(A132&lt;=Premissas!$B$39,Premissas!$B$42,0)</x:f>
        <x:v>7000</x:v>
      </x:c>
      <x:c r="D132" s="141" t="n">
        <x:f>Premissas!$B$54*(1+Premissas!$B$57)^INT((A132-1)/12)</x:f>
        <x:v>1253.5933875799983</x:v>
      </x:c>
      <x:c r="E132" s="141" t="n">
        <x:f>Premissas!$B$64*(1+Premissas!$B$57)^INT((A132-1)/12)</x:f>
        <x:v>1146.1425257874268</x:v>
      </x:c>
      <x:c r="F132" s="141" t="n">
        <x:f>MAX(0,Premissas!$B$6*(1+Premissas!$B$66)^((A132-1)/12))</x:f>
        <x:v>370553.05919786537</x:v>
      </x:c>
      <x:c r="G132" s="141" t="n">
        <x:f>G131*(1+Premissas!$B$41)+C132</x:f>
        <x:v>2031954.8588071682</x:v>
      </x:c>
      <x:c r="H132" s="141" t="n">
        <x:f>IF($A132=Premissas!$B$48,Premissas!$B$8,0)</x:f>
        <x:v>0</x:v>
      </x:c>
      <x:c r="I132" s="141" t="n">
        <x:f>IF(AND($A132&gt;=Premissas!$B$48,$A132-Premissas!$B$48+1&lt;=Premissas!$B$13),INDEX(Financiamento!$J$6:$J$485,$A132-Premissas!$B$48+1),0)</x:f>
        <x:v>1590.082411364891</x:v>
      </x:c>
      <x:c r="J132" s="141" t="n">
        <x:f>IF(AND(TRUE,Premissas!$B$11="Imovel",Premissas!$B$47="Moradia",$A132&lt;MAX(Premissas!$B$48,Premissas!$B$49)),$D132,0)</x:f>
        <x:v>0</x:v>
      </x:c>
      <x:c r="K132" s="141" t="n">
        <x:f>IF(AND(TRUE,Premissas!$B$11="Imovel",Premissas!$B$47="Investimento",$A132&gt;=MAX(Premissas!$B$48,Premissas!$B$49)),$E132,0)</x:f>
        <x:v>1146.1425257874268</x:v>
      </x:c>
      <x:c r="L132" s="141" t="n">
        <x:f>H132+I132+J132</x:f>
        <x:v>1590.082411364891</x:v>
      </x:c>
      <x:c r="M132" s="141" t="n">
        <x:f>K132</x:f>
        <x:v>1146.1425257874268</x:v>
      </x:c>
      <x:c r="N132" s="141" t="n">
        <x:f>$C132+M132-L132</x:f>
        <x:v>6556.060114422537</x:v>
      </x:c>
      <x:c r="O132" s="141" t="n">
        <x:f>R131*(1+Premissas!$B$41)+N132</x:f>
        <x:v>1638179.9380238848</x:v>
      </x:c>
      <x:c r="P132" s="141" t="n">
        <x:f>MAX(0,-O132)</x:f>
        <x:v>0</x:v>
      </x:c>
      <x:c r="Q132" s="141" t="n">
        <x:f>Q131*(1+Premissas!$B$41)+P132</x:f>
        <x:v>0</x:v>
      </x:c>
      <x:c r="R132" s="141" t="n">
        <x:f>MAX(0,O132)</x:f>
        <x:v>1638179.9380238848</x:v>
      </x:c>
      <x:c r="S132" s="141" t="n">
        <x:f>IF(AND($A132&gt;=Premissas!$B$48,$A132-Premissas!$B$48+1&lt;=Premissas!$B$13),INDEX(Financiamento!$M$6:$M$485,$A132-Premissas!$B$48+1),0)</x:f>
        <x:v>111238.09523809543</x:v>
      </x:c>
      <x:c r="T132" s="141" t="n">
        <x:f>IF($A132&gt;=Premissas!$B$48,$F132,0)</x:f>
        <x:v>370553.05919786537</x:v>
      </x:c>
      <x:c r="U132" s="141" t="n">
        <x:f>R132+T132-S132</x:f>
        <x:v>1897494.9019836548</x:v>
      </x:c>
      <x:c r="V132" s="141" t="n">
        <x:f>IF(Q132&gt;1,"Inviavel",U132)</x:f>
        <x:v>1897494.9019836548</x:v>
      </x:c>
      <x:c r="W132" s="141" t="str">
        <x:f>IF(Q132&gt;1,"Inviavel","OK")</x:f>
        <x:v>OK</x:v>
      </x:c>
      <x:c r="X132" s="141" t="n">
        <x:f>IF($A132=Premissas!$B$48,Premissas!$B$8,0)</x:f>
        <x:v>0</x:v>
      </x:c>
      <x:c r="Y132" s="141" t="n">
        <x:f>IF(AND($A132&gt;=Premissas!$B$48,$A132-Premissas!$B$48+1&lt;=Premissas!$B$13),INDEX(Amortizacao!$K$6:$K$485,$A132-Premissas!$B$48+1),0)</x:f>
        <x:v>0</x:v>
      </x:c>
      <x:c r="Z132" s="141" t="n">
        <x:f>IF(AND(TRUE,Premissas!$B$11="Imovel",Premissas!$B$47="Moradia",$A132&lt;MAX(Premissas!$B$48,Premissas!$B$49)),$D132,0)</x:f>
        <x:v>0</x:v>
      </x:c>
      <x:c r="AA132" s="141" t="n">
        <x:f>IF(AND(TRUE,Premissas!$B$11="Imovel",Premissas!$B$47="Investimento",$A132&gt;=MAX(Premissas!$B$48,Premissas!$B$49)),$E132,0)</x:f>
        <x:v>1146.1425257874268</x:v>
      </x:c>
      <x:c r="AB132" s="141" t="n">
        <x:f>X132+Y132+Z132</x:f>
        <x:v>0</x:v>
      </x:c>
      <x:c r="AC132" s="141" t="n">
        <x:f>AA132</x:f>
        <x:v>1146.1425257874268</x:v>
      </x:c>
      <x:c r="AD132" s="141" t="n">
        <x:f>$C132+AC132-AB132</x:f>
        <x:v>8146.142525787427</x:v>
      </x:c>
      <x:c r="AE132" s="141" t="n">
        <x:f>AH131*(1+Premissas!$B$41)+AD132</x:f>
        <x:v>1552166.5985307863</x:v>
      </x:c>
      <x:c r="AF132" s="141" t="n">
        <x:f>MAX(0,-AE132)</x:f>
        <x:v>0</x:v>
      </x:c>
      <x:c r="AG132" s="141" t="n">
        <x:f>AG131*(1+Premissas!$B$41)+AF132</x:f>
        <x:v>0</x:v>
      </x:c>
      <x:c r="AH132" s="141" t="n">
        <x:f>MAX(0,AE132)</x:f>
        <x:v>1552166.5985307863</x:v>
      </x:c>
      <x:c r="AI132" s="141" t="n">
        <x:f>IF(AND($A132&gt;=Premissas!$B$48,$A132-Premissas!$B$48+1&lt;=Premissas!$B$13),INDEX(Amortizacao!$L$6:$L$485,$A132-Premissas!$B$48+1),0)</x:f>
        <x:v>0</x:v>
      </x:c>
      <x:c r="AJ132" s="141" t="n">
        <x:f>IF($A132&gt;=Premissas!$B$48,$F132,0)</x:f>
        <x:v>370553.05919786537</x:v>
      </x:c>
      <x:c r="AK132" s="141" t="n">
        <x:f>AH132+AJ132-AI132</x:f>
        <x:v>1922719.6577286518</x:v>
      </x:c>
      <x:c r="AL132" s="141" t="n">
        <x:f>IF(AG132&gt;1,"Inviavel",AK132)</x:f>
        <x:v>1922719.6577286518</x:v>
      </x:c>
      <x:c r="AM132" s="141" t="str">
        <x:f>IF(AG132&gt;1,"Inviavel","OK")</x:f>
        <x:v>OK</x:v>
      </x:c>
      <x:c r="AN132" s="141" t="n">
        <x:f>IF($A132=Premissas!$B$48,Premissas!$B$8,0)</x:f>
        <x:v>0</x:v>
      </x:c>
      <x:c r="AO132" s="141" t="n">
        <x:f>IF($A132&lt;=Premissas!$B$25,INDEX('Consorcio IQ'!$K$6:$K$485,$A132),0)</x:f>
        <x:v>1021.6174646467734</x:v>
      </x:c>
      <x:c r="AP132" s="141" t="n">
        <x:f>IF(AND(TRUE,Premissas!$B$11="Imovel",Premissas!$B$47="Moradia",$A132&lt;MAX(Premissas!$B$48,Premissas!$B$49)),$D132,0)</x:f>
        <x:v>0</x:v>
      </x:c>
      <x:c r="AQ132" s="141" t="n">
        <x:f>IF(AND(TRUE,Premissas!$B$11="Imovel",Premissas!$B$47="Investimento",$A132&gt;=MAX(Premissas!$B$48,Premissas!$B$49)),$E132,0)</x:f>
        <x:v>1146.1425257874268</x:v>
      </x:c>
      <x:c r="AR132" s="141" t="n">
        <x:f>AN132+AO132+AP132</x:f>
        <x:v>1021.6174646467734</x:v>
      </x:c>
      <x:c r="AS132" s="141" t="n">
        <x:f>AQ132</x:f>
        <x:v>1146.1425257874268</x:v>
      </x:c>
      <x:c r="AT132" s="141" t="n">
        <x:f>$C132+AS132-AR132</x:f>
        <x:v>7124.525061140654</x:v>
      </x:c>
      <x:c r="AU132" s="141" t="n">
        <x:f>AX131*(1+Premissas!$B$41)+AT132</x:f>
        <x:v>1622865.9682848426</x:v>
      </x:c>
      <x:c r="AV132" s="141" t="n">
        <x:f>MAX(0,-AU132)</x:f>
        <x:v>0</x:v>
      </x:c>
      <x:c r="AW132" s="141" t="n">
        <x:f>AW131*(1+Premissas!$B$41)+AV132</x:f>
        <x:v>0</x:v>
      </x:c>
      <x:c r="AX132" s="141" t="n">
        <x:f>MAX(0,AU132)</x:f>
        <x:v>1622865.9682848426</x:v>
      </x:c>
      <x:c r="AY132" s="141" t="n">
        <x:f>INDEX('Consorcio IQ'!$P$6:$P$485,$A132)</x:f>
        <x:v>89875.66474320862</x:v>
      </x:c>
      <x:c r="AZ132" s="141" t="n">
        <x:f>IF($A132&gt;=Premissas!$B$48,$F132,0)+IF($A132&lt;Premissas!$B$27,INDEX('Consorcio IQ'!$O$6:$O$485,$A132),0)</x:f>
        <x:v>370553.05919786537</x:v>
      </x:c>
      <x:c r="BA132" s="141" t="n">
        <x:f>AX132+AZ132-AY132</x:f>
        <x:v>1903543.3627394994</x:v>
      </x:c>
      <x:c r="BB132" s="141" t="n">
        <x:f>IF(AW132&gt;1,"Inviavel",BA132)</x:f>
        <x:v>1903543.3627394994</x:v>
      </x:c>
      <x:c r="BC132" s="141" t="str">
        <x:f>IF(AW132&gt;1,"Inviavel","OK")</x:f>
        <x:v>OK</x:v>
      </x:c>
      <x:c r="BD132" s="141" t="n">
        <x:f>IF($A132='Consorcio Direto'!$B$29,'Consorcio Direto'!$B$44,0)</x:f>
        <x:v>0</x:v>
      </x:c>
      <x:c r="BE132" s="141" t="n">
        <x:f>IF($A132&lt;='Consorcio Direto'!$B$27,INDEX('Consorcio Direto'!$E$55:$E$534,$A132),0)</x:f>
        <x:v>2645.4792050864053</x:v>
      </x:c>
      <x:c r="BF132" s="141" t="n">
        <x:f>IF(AND(TRUE,Premissas!$B$11="Imovel",Premissas!$B$47="Moradia",$A132&lt;MAX('Consorcio Direto'!$B$29,Premissas!$B$49)),$D132,0)</x:f>
        <x:v>0</x:v>
      </x:c>
      <x:c r="BG132" s="141" t="n">
        <x:f>IF(AND(TRUE,Premissas!$B$11="Imovel",Premissas!$B$47="Investimento",$A132&gt;=MAX('Consorcio Direto'!$B$29,Premissas!$B$49)),$E132,0)</x:f>
        <x:v>1146.1425257874268</x:v>
      </x:c>
      <x:c r="BH132" s="141" t="n">
        <x:f>BD132+BE132+BF132</x:f>
        <x:v>2645.4792050864053</x:v>
      </x:c>
      <x:c r="BI132" s="141" t="n">
        <x:f>BG132</x:f>
        <x:v>1146.1425257874268</x:v>
      </x:c>
      <x:c r="BJ132" s="141" t="n">
        <x:f>$C132+BI132-BH132</x:f>
        <x:v>5500.663320701022</x:v>
      </x:c>
      <x:c r="BK132" s="141" t="n">
        <x:f>BN131*(1+Premissas!$B$41)+BJ132</x:f>
        <x:v>1662087.2412567707</x:v>
      </x:c>
      <x:c r="BL132" s="141" t="n">
        <x:f>MAX(0,-BK132)</x:f>
        <x:v>0</x:v>
      </x:c>
      <x:c r="BM132" s="141" t="n">
        <x:f>BM131*(1+Premissas!$B$41)+BL132</x:f>
        <x:v>0</x:v>
      </x:c>
      <x:c r="BN132" s="141" t="n">
        <x:f>MAX(0,BK132)</x:f>
        <x:v>1662087.2412567707</x:v>
      </x:c>
      <x:c r="BO132" s="141" t="n">
        <x:f>INDEX('Consorcio Direto'!$K$55:$K$534,$A132)</x:f>
        <x:v>232733.1025059202</x:v>
      </x:c>
      <x:c r="BP132" s="141" t="n">
        <x:f>IF($A132&lt;'Consorcio Direto'!$B$29,INDEX('Consorcio Direto'!$L$55:$L$534,$A132),$F132)</x:f>
        <x:v>370553.05919786537</x:v>
      </x:c>
      <x:c r="BQ132" s="141" t="n">
        <x:f>BN132+BP132-BO132</x:f>
        <x:v>1799907.1979487159</x:v>
      </x:c>
      <x:c r="BR132" s="141" t="n">
        <x:f>IF(BM132&gt;1,"Inviavel",BQ132)</x:f>
        <x:v>1799907.1979487159</x:v>
      </x:c>
      <x:c r="BS132" s="141" t="str">
        <x:f>IF(BM132&gt;1,"Inviavel","OK")</x:f>
        <x:v>OK</x:v>
      </x:c>
      <x:c r="BT132" s="141" t="n">
        <x:f>IF(AND('Carta Contemplada'!$B$22="Sim",$A132='Carta Contemplada'!$B$23),'Carta Contemplada'!$B$37,0)</x:f>
        <x:v>0</x:v>
      </x:c>
      <x:c r="BU132" s="141" t="n">
        <x:f>IF('Carta Contemplada'!$B$22="Sim",INDEX('Carta Contemplada'!$C$55:$C$1013,$A132),0)</x:f>
        <x:v>2149.0172358514255</x:v>
      </x:c>
      <x:c r="BV132" s="141" t="n">
        <x:f>IF(AND('Carta Contemplada'!$B$22="Sim",Premissas!$B$11="Imovel",Premissas!$B$47="Moradia",$A132&lt;MAX('Carta Contemplada'!$B$44,Premissas!$B$49)),$D132,0)</x:f>
        <x:v>0</x:v>
      </x:c>
      <x:c r="BW132" s="141" t="n">
        <x:f>IF(AND('Carta Contemplada'!$B$22="Sim",Premissas!$B$11="Imovel",Premissas!$B$47="Investimento",$A132&gt;=MAX('Carta Contemplada'!$B$44,Premissas!$B$49)),$E132,0)</x:f>
        <x:v>1146.1425257874268</x:v>
      </x:c>
      <x:c r="BX132" s="141" t="n">
        <x:f>BT132+BU132+BV132</x:f>
        <x:v>2149.0172358514255</x:v>
      </x:c>
      <x:c r="BY132" s="141" t="n">
        <x:f>BW132</x:f>
        <x:v>1146.1425257874268</x:v>
      </x:c>
      <x:c r="BZ132" s="141" t="n">
        <x:f>$C132+BY132-BX132</x:f>
        <x:v>5997.1252899360015</x:v>
      </x:c>
      <x:c r="CA132" s="141" t="n">
        <x:f>CD131*(1+Premissas!$B$41)+BZ132</x:f>
        <x:v>1700313.1714683552</x:v>
      </x:c>
      <x:c r="CB132" s="141" t="n">
        <x:f>MAX(0,-CA132)</x:f>
        <x:v>0</x:v>
      </x:c>
      <x:c r="CC132" s="141" t="n">
        <x:f>CC131*(1+Premissas!$B$41)+CB132</x:f>
        <x:v>0</x:v>
      </x:c>
      <x:c r="CD132" s="141" t="n">
        <x:f>MAX(0,CA132)</x:f>
        <x:v>1700313.1714683552</x:v>
      </x:c>
      <x:c r="CE132" s="141" t="n">
        <x:f>IF(AND('Carta Contemplada'!$B$22="Sim",$A132&gt;='Carta Contemplada'!$B$23),INDEX('Carta Contemplada'!$I$55:$I$1013,$A132),0)</x:f>
        <x:v>99787.56084004052</x:v>
      </x:c>
      <x:c r="CF132" s="141" t="n">
        <x:f>IF(AND('Carta Contemplada'!$B$22="Sim",$A132&gt;='Carta Contemplada'!$B$44),$F132,0)</x:f>
        <x:v>370553.05919786537</x:v>
      </x:c>
      <x:c r="CG132" s="141" t="n">
        <x:f>CD132+CF132-CE132</x:f>
        <x:v>1971078.6698261802</x:v>
      </x:c>
      <x:c r="CH132" s="141" t="n">
        <x:f>IF(CC132&gt;1,"Inviavel",CG132)</x:f>
        <x:v>1971078.6698261802</x:v>
      </x:c>
      <x:c r="CI132" s="145" t="str">
        <x:f>IF(CC132&gt;1,"Inviavel","OK")</x:f>
        <x:v>OK</x:v>
      </x:c>
    </x:row>
    <x:row r="133">
      <x:c r="A133" s="142" t="n">
        <x:v>129</x:v>
      </x:c>
      <x:c r="B133" s="179" t="n">
        <x:f>EDATE(Premissas!$B$4,A133-1)</x:f>
        <x:v>50437</x:v>
      </x:c>
      <x:c r="C133" s="141" t="n">
        <x:f>IF(A133&lt;=Premissas!$B$39,Premissas!$B$42,0)</x:f>
        <x:v>7000</x:v>
      </x:c>
      <x:c r="D133" s="141" t="n">
        <x:f>Premissas!$B$54*(1+Premissas!$B$57)^INT((A133-1)/12)</x:f>
        <x:v>1253.5933875799983</x:v>
      </x:c>
      <x:c r="E133" s="141" t="n">
        <x:f>Premissas!$B$64*(1+Premissas!$B$57)^INT((A133-1)/12)</x:f>
        <x:v>1146.1425257874268</x:v>
      </x:c>
      <x:c r="F133" s="141" t="n">
        <x:f>MAX(0,Premissas!$B$6*(1+Premissas!$B$66)^((A133-1)/12))</x:f>
        <x:v>372356.74495065346</x:v>
      </x:c>
      <x:c r="G133" s="141" t="n">
        <x:f>G132*(1+Premissas!$B$41)+C133</x:f>
        <x:v>2058235.6577148093</x:v>
      </x:c>
      <x:c r="H133" s="141" t="n">
        <x:f>IF($A133=Premissas!$B$48,Premissas!$B$8,0)</x:f>
        <x:v>0</x:v>
      </x:c>
      <x:c r="I133" s="141" t="n">
        <x:f>IF(AND($A133&gt;=Premissas!$B$48,$A133-Premissas!$B$48+1&lt;=Premissas!$B$13),INDEX(Financiamento!$J$6:$J$485,$A133-Premissas!$B$48+1),0)</x:f>
        <x:v>1586.4676331040976</x:v>
      </x:c>
      <x:c r="J133" s="141" t="n">
        <x:f>IF(AND(TRUE,Premissas!$B$11="Imovel",Premissas!$B$47="Moradia",$A133&lt;MAX(Premissas!$B$48,Premissas!$B$49)),$D133,0)</x:f>
        <x:v>0</x:v>
      </x:c>
      <x:c r="K133" s="141" t="n">
        <x:f>IF(AND(TRUE,Premissas!$B$11="Imovel",Premissas!$B$47="Investimento",$A133&gt;=MAX(Premissas!$B$48,Premissas!$B$49)),$E133,0)</x:f>
        <x:v>1146.1425257874268</x:v>
      </x:c>
      <x:c r="L133" s="141" t="n">
        <x:f>H133+I133+J133</x:f>
        <x:v>1586.4676331040976</x:v>
      </x:c>
      <x:c r="M133" s="141" t="n">
        <x:f>K133</x:f>
        <x:v>1146.1425257874268</x:v>
      </x:c>
      <x:c r="N133" s="141" t="n">
        <x:f>$C133+M133-L133</x:f>
        <x:v>6559.67489268333</x:v>
      </x:c>
      <x:c r="O133" s="141" t="n">
        <x:f>R132*(1+Premissas!$B$41)+N133</x:f>
        <x:v>1660283.9631380648</x:v>
      </x:c>
      <x:c r="P133" s="141" t="n">
        <x:f>MAX(0,-O133)</x:f>
        <x:v>0</x:v>
      </x:c>
      <x:c r="Q133" s="141" t="n">
        <x:f>Q132*(1+Premissas!$B$41)+P133</x:f>
        <x:v>0</x:v>
      </x:c>
      <x:c r="R133" s="141" t="n">
        <x:f>MAX(0,O133)</x:f>
        <x:v>1660283.9631380648</x:v>
      </x:c>
      <x:c r="S133" s="141" t="n">
        <x:f>IF(AND($A133&gt;=Premissas!$B$48,$A133-Premissas!$B$48+1&lt;=Premissas!$B$13),INDEX(Financiamento!$M$6:$M$485,$A133-Premissas!$B$48+1),0)</x:f>
        <x:v>110857.14285714304</x:v>
      </x:c>
      <x:c r="T133" s="141" t="n">
        <x:f>IF($A133&gt;=Premissas!$B$48,$F133,0)</x:f>
        <x:v>372356.74495065346</x:v>
      </x:c>
      <x:c r="U133" s="141" t="n">
        <x:f>R133+T133-S133</x:f>
        <x:v>1921783.5652315754</x:v>
      </x:c>
      <x:c r="V133" s="141" t="n">
        <x:f>IF(Q133&gt;1,"Inviavel",U133)</x:f>
        <x:v>1921783.5652315754</x:v>
      </x:c>
      <x:c r="W133" s="141" t="str">
        <x:f>IF(Q133&gt;1,"Inviavel","OK")</x:f>
        <x:v>OK</x:v>
      </x:c>
      <x:c r="X133" s="141" t="n">
        <x:f>IF($A133=Premissas!$B$48,Premissas!$B$8,0)</x:f>
        <x:v>0</x:v>
      </x:c>
      <x:c r="Y133" s="141" t="n">
        <x:f>IF(AND($A133&gt;=Premissas!$B$48,$A133-Premissas!$B$48+1&lt;=Premissas!$B$13),INDEX(Amortizacao!$K$6:$K$485,$A133-Premissas!$B$48+1),0)</x:f>
        <x:v>0</x:v>
      </x:c>
      <x:c r="Z133" s="141" t="n">
        <x:f>IF(AND(TRUE,Premissas!$B$11="Imovel",Premissas!$B$47="Moradia",$A133&lt;MAX(Premissas!$B$48,Premissas!$B$49)),$D133,0)</x:f>
        <x:v>0</x:v>
      </x:c>
      <x:c r="AA133" s="141" t="n">
        <x:f>IF(AND(TRUE,Premissas!$B$11="Imovel",Premissas!$B$47="Investimento",$A133&gt;=MAX(Premissas!$B$48,Premissas!$B$49)),$E133,0)</x:f>
        <x:v>1146.1425257874268</x:v>
      </x:c>
      <x:c r="AB133" s="141" t="n">
        <x:f>X133+Y133+Z133</x:f>
        <x:v>0</x:v>
      </x:c>
      <x:c r="AC133" s="141" t="n">
        <x:f>AA133</x:f>
        <x:v>1146.1425257874268</x:v>
      </x:c>
      <x:c r="AD133" s="141" t="n">
        <x:f>$C133+AC133-AB133</x:f>
        <x:v>8146.142525787427</x:v>
      </x:c>
      <x:c r="AE133" s="141" t="n">
        <x:f>AH132*(1+Premissas!$B$41)+AD133</x:f>
        <x:v>1575040.9285100086</x:v>
      </x:c>
      <x:c r="AF133" s="141" t="n">
        <x:f>MAX(0,-AE133)</x:f>
        <x:v>0</x:v>
      </x:c>
      <x:c r="AG133" s="141" t="n">
        <x:f>AG132*(1+Premissas!$B$41)+AF133</x:f>
        <x:v>0</x:v>
      </x:c>
      <x:c r="AH133" s="141" t="n">
        <x:f>MAX(0,AE133)</x:f>
        <x:v>1575040.9285100086</x:v>
      </x:c>
      <x:c r="AI133" s="141" t="n">
        <x:f>IF(AND($A133&gt;=Premissas!$B$48,$A133-Premissas!$B$48+1&lt;=Premissas!$B$13),INDEX(Amortizacao!$L$6:$L$485,$A133-Premissas!$B$48+1),0)</x:f>
        <x:v>0</x:v>
      </x:c>
      <x:c r="AJ133" s="141" t="n">
        <x:f>IF($A133&gt;=Premissas!$B$48,$F133,0)</x:f>
        <x:v>372356.74495065346</x:v>
      </x:c>
      <x:c r="AK133" s="141" t="n">
        <x:f>AH133+AJ133-AI133</x:f>
        <x:v>1947397.6734606621</x:v>
      </x:c>
      <x:c r="AL133" s="141" t="n">
        <x:f>IF(AG133&gt;1,"Inviavel",AK133)</x:f>
        <x:v>1947397.6734606621</x:v>
      </x:c>
      <x:c r="AM133" s="141" t="str">
        <x:f>IF(AG133&gt;1,"Inviavel","OK")</x:f>
        <x:v>OK</x:v>
      </x:c>
      <x:c r="AN133" s="141" t="n">
        <x:f>IF($A133=Premissas!$B$48,Premissas!$B$8,0)</x:f>
        <x:v>0</x:v>
      </x:c>
      <x:c r="AO133" s="141" t="n">
        <x:f>IF($A133&lt;=Premissas!$B$25,INDEX('Consorcio IQ'!$K$6:$K$485,$A133),0)</x:f>
        <x:v>1021.6174646467734</x:v>
      </x:c>
      <x:c r="AP133" s="141" t="n">
        <x:f>IF(AND(TRUE,Premissas!$B$11="Imovel",Premissas!$B$47="Moradia",$A133&lt;MAX(Premissas!$B$48,Premissas!$B$49)),$D133,0)</x:f>
        <x:v>0</x:v>
      </x:c>
      <x:c r="AQ133" s="141" t="n">
        <x:f>IF(AND(TRUE,Premissas!$B$11="Imovel",Premissas!$B$47="Investimento",$A133&gt;=MAX(Premissas!$B$48,Premissas!$B$49)),$E133,0)</x:f>
        <x:v>1146.1425257874268</x:v>
      </x:c>
      <x:c r="AR133" s="141" t="n">
        <x:f>AN133+AO133+AP133</x:f>
        <x:v>1021.6174646467734</x:v>
      </x:c>
      <x:c r="AS133" s="141" t="n">
        <x:f>AQ133</x:f>
        <x:v>1146.1425257874268</x:v>
      </x:c>
      <x:c r="AT133" s="141" t="n">
        <x:f>$C133+AS133-AR133</x:f>
        <x:v>7124.525061140654</x:v>
      </x:c>
      <x:c r="AU133" s="141" t="n">
        <x:f>AX132*(1+Premissas!$B$41)+AT133</x:f>
        <x:v>1645389.5324796198</x:v>
      </x:c>
      <x:c r="AV133" s="141" t="n">
        <x:f>MAX(0,-AU133)</x:f>
        <x:v>0</x:v>
      </x:c>
      <x:c r="AW133" s="141" t="n">
        <x:f>AW132*(1+Premissas!$B$41)+AV133</x:f>
        <x:v>0</x:v>
      </x:c>
      <x:c r="AX133" s="141" t="n">
        <x:f>MAX(0,AU133)</x:f>
        <x:v>1645389.5324796198</x:v>
      </x:c>
      <x:c r="AY133" s="141" t="n">
        <x:f>INDEX('Consorcio IQ'!$P$6:$P$485,$A133)</x:f>
        <x:v>89706.85885116816</x:v>
      </x:c>
      <x:c r="AZ133" s="141" t="n">
        <x:f>IF($A133&gt;=Premissas!$B$48,$F133,0)+IF($A133&lt;Premissas!$B$27,INDEX('Consorcio IQ'!$O$6:$O$485,$A133),0)</x:f>
        <x:v>372356.74495065346</x:v>
      </x:c>
      <x:c r="BA133" s="141" t="n">
        <x:f>AX133+AZ133-AY133</x:f>
        <x:v>1928039.4185791053</x:v>
      </x:c>
      <x:c r="BB133" s="141" t="n">
        <x:f>IF(AW133&gt;1,"Inviavel",BA133)</x:f>
        <x:v>1928039.4185791053</x:v>
      </x:c>
      <x:c r="BC133" s="141" t="str">
        <x:f>IF(AW133&gt;1,"Inviavel","OK")</x:f>
        <x:v>OK</x:v>
      </x:c>
      <x:c r="BD133" s="141" t="n">
        <x:f>IF($A133='Consorcio Direto'!$B$29,'Consorcio Direto'!$B$44,0)</x:f>
        <x:v>0</x:v>
      </x:c>
      <x:c r="BE133" s="141" t="n">
        <x:f>IF($A133&lt;='Consorcio Direto'!$B$27,INDEX('Consorcio Direto'!$E$55:$E$534,$A133),0)</x:f>
        <x:v>2645.4792050864053</x:v>
      </x:c>
      <x:c r="BF133" s="141" t="n">
        <x:f>IF(AND(TRUE,Premissas!$B$11="Imovel",Premissas!$B$47="Moradia",$A133&lt;MAX('Consorcio Direto'!$B$29,Premissas!$B$49)),$D133,0)</x:f>
        <x:v>0</x:v>
      </x:c>
      <x:c r="BG133" s="141" t="n">
        <x:f>IF(AND(TRUE,Premissas!$B$11="Imovel",Premissas!$B$47="Investimento",$A133&gt;=MAX('Consorcio Direto'!$B$29,Premissas!$B$49)),$E133,0)</x:f>
        <x:v>1146.1425257874268</x:v>
      </x:c>
      <x:c r="BH133" s="141" t="n">
        <x:f>BD133+BE133+BF133</x:f>
        <x:v>2645.4792050864053</x:v>
      </x:c>
      <x:c r="BI133" s="141" t="n">
        <x:f>BG133</x:f>
        <x:v>1146.1425257874268</x:v>
      </x:c>
      <x:c r="BJ133" s="141" t="n">
        <x:f>$C133+BI133-BH133</x:f>
        <x:v>5500.663320701022</x:v>
      </x:c>
      <x:c r="BK133" s="141" t="n">
        <x:f>BN132*(1+Premissas!$B$41)+BJ133</x:f>
        <x:v>1683359.1062489697</x:v>
      </x:c>
      <x:c r="BL133" s="141" t="n">
        <x:f>MAX(0,-BK133)</x:f>
        <x:v>0</x:v>
      </x:c>
      <x:c r="BM133" s="141" t="n">
        <x:f>BM132*(1+Premissas!$B$41)+BL133</x:f>
        <x:v>0</x:v>
      </x:c>
      <x:c r="BN133" s="141" t="n">
        <x:f>MAX(0,BK133)</x:f>
        <x:v>1683359.1062489697</x:v>
      </x:c>
      <x:c r="BO133" s="141" t="n">
        <x:f>INDEX('Consorcio Direto'!$K$55:$K$534,$A133)</x:f>
        <x:v>232295.97951953558</x:v>
      </x:c>
      <x:c r="BP133" s="141" t="n">
        <x:f>IF($A133&lt;'Consorcio Direto'!$B$29,INDEX('Consorcio Direto'!$L$55:$L$534,$A133),$F133)</x:f>
        <x:v>372356.74495065346</x:v>
      </x:c>
      <x:c r="BQ133" s="141" t="n">
        <x:f>BN133+BP133-BO133</x:f>
        <x:v>1823419.8716800876</x:v>
      </x:c>
      <x:c r="BR133" s="141" t="n">
        <x:f>IF(BM133&gt;1,"Inviavel",BQ133)</x:f>
        <x:v>1823419.8716800876</x:v>
      </x:c>
      <x:c r="BS133" s="141" t="str">
        <x:f>IF(BM133&gt;1,"Inviavel","OK")</x:f>
        <x:v>OK</x:v>
      </x:c>
      <x:c r="BT133" s="141" t="n">
        <x:f>IF(AND('Carta Contemplada'!$B$22="Sim",$A133='Carta Contemplada'!$B$23),'Carta Contemplada'!$B$37,0)</x:f>
        <x:v>0</x:v>
      </x:c>
      <x:c r="BU133" s="141" t="n">
        <x:f>IF('Carta Contemplada'!$B$22="Sim",INDEX('Carta Contemplada'!$C$55:$C$1013,$A133),0)</x:f>
        <x:v>2149.0172358514255</x:v>
      </x:c>
      <x:c r="BV133" s="141" t="n">
        <x:f>IF(AND('Carta Contemplada'!$B$22="Sim",Premissas!$B$11="Imovel",Premissas!$B$47="Moradia",$A133&lt;MAX('Carta Contemplada'!$B$44,Premissas!$B$49)),$D133,0)</x:f>
        <x:v>0</x:v>
      </x:c>
      <x:c r="BW133" s="141" t="n">
        <x:f>IF(AND('Carta Contemplada'!$B$22="Sim",Premissas!$B$11="Imovel",Premissas!$B$47="Investimento",$A133&gt;=MAX('Carta Contemplada'!$B$44,Premissas!$B$49)),$E133,0)</x:f>
        <x:v>1146.1425257874268</x:v>
      </x:c>
      <x:c r="BX133" s="141" t="n">
        <x:f>BT133+BU133+BV133</x:f>
        <x:v>2149.0172358514255</x:v>
      </x:c>
      <x:c r="BY133" s="141" t="n">
        <x:f>BW133</x:f>
        <x:v>1146.1425257874268</x:v>
      </x:c>
      <x:c r="BZ133" s="141" t="n">
        <x:f>$C133+BY133-BX133</x:f>
        <x:v>5997.1252899360015</x:v>
      </x:c>
      <x:c r="CA133" s="141" t="n">
        <x:f>CD132*(1+Premissas!$B$41)+BZ133</x:f>
        <x:v>1722444.2163662987</x:v>
      </x:c>
      <x:c r="CB133" s="141" t="n">
        <x:f>MAX(0,-CA133)</x:f>
        <x:v>0</x:v>
      </x:c>
      <x:c r="CC133" s="141" t="n">
        <x:f>CC132*(1+Premissas!$B$41)+CB133</x:f>
        <x:v>0</x:v>
      </x:c>
      <x:c r="CD133" s="141" t="n">
        <x:f>MAX(0,CA133)</x:f>
        <x:v>1722444.2163662987</x:v>
      </x:c>
      <x:c r="CE133" s="141" t="n">
        <x:f>IF(AND('Carta Contemplada'!$B$22="Sim",$A133&gt;='Carta Contemplada'!$B$23),INDEX('Carta Contemplada'!$I$55:$I$1013,$A133),0)</x:f>
        <x:v>98585.40710644734</x:v>
      </x:c>
      <x:c r="CF133" s="141" t="n">
        <x:f>IF(AND('Carta Contemplada'!$B$22="Sim",$A133&gt;='Carta Contemplada'!$B$44),$F133,0)</x:f>
        <x:v>372356.74495065346</x:v>
      </x:c>
      <x:c r="CG133" s="141" t="n">
        <x:f>CD133+CF133-CE133</x:f>
        <x:v>1996215.554210505</x:v>
      </x:c>
      <x:c r="CH133" s="141" t="n">
        <x:f>IF(CC133&gt;1,"Inviavel",CG133)</x:f>
        <x:v>1996215.554210505</x:v>
      </x:c>
      <x:c r="CI133" s="145" t="str">
        <x:f>IF(CC133&gt;1,"Inviavel","OK")</x:f>
        <x:v>OK</x:v>
      </x:c>
    </x:row>
    <x:row r="134">
      <x:c r="A134" s="142" t="n">
        <x:v>130</x:v>
      </x:c>
      <x:c r="B134" s="179" t="n">
        <x:f>EDATE(Premissas!$B$4,A134-1)</x:f>
        <x:v>50465</x:v>
      </x:c>
      <x:c r="C134" s="141" t="n">
        <x:f>IF(A134&lt;=Premissas!$B$39,Premissas!$B$42,0)</x:f>
        <x:v>7000</x:v>
      </x:c>
      <x:c r="D134" s="141" t="n">
        <x:f>Premissas!$B$54*(1+Premissas!$B$57)^INT((A134-1)/12)</x:f>
        <x:v>1253.5933875799983</x:v>
      </x:c>
      <x:c r="E134" s="141" t="n">
        <x:f>Premissas!$B$64*(1+Premissas!$B$57)^INT((A134-1)/12)</x:f>
        <x:v>1146.1425257874268</x:v>
      </x:c>
      <x:c r="F134" s="141" t="n">
        <x:f>MAX(0,Premissas!$B$6*(1+Premissas!$B$66)^((A134-1)/12))</x:f>
        <x:v>374169.2102350473</x:v>
      </x:c>
      <x:c r="G134" s="141" t="n">
        <x:f>G133*(1+Premissas!$B$41)+C134</x:f>
        <x:v>2084765.8296814405</x:v>
      </x:c>
      <x:c r="H134" s="141" t="n">
        <x:f>IF($A134=Premissas!$B$48,Premissas!$B$8,0)</x:f>
        <x:v>0</x:v>
      </x:c>
      <x:c r="I134" s="141" t="n">
        <x:f>IF(AND($A134&gt;=Premissas!$B$48,$A134-Premissas!$B$48+1&lt;=Premissas!$B$13),INDEX(Financiamento!$J$6:$J$485,$A134-Premissas!$B$48+1),0)</x:f>
        <x:v>1582.852854843304</x:v>
      </x:c>
      <x:c r="J134" s="141" t="n">
        <x:f>IF(AND(TRUE,Premissas!$B$11="Imovel",Premissas!$B$47="Moradia",$A134&lt;MAX(Premissas!$B$48,Premissas!$B$49)),$D134,0)</x:f>
        <x:v>0</x:v>
      </x:c>
      <x:c r="K134" s="141" t="n">
        <x:f>IF(AND(TRUE,Premissas!$B$11="Imovel",Premissas!$B$47="Investimento",$A134&gt;=MAX(Premissas!$B$48,Premissas!$B$49)),$E134,0)</x:f>
        <x:v>1146.1425257874268</x:v>
      </x:c>
      <x:c r="L134" s="141" t="n">
        <x:f>H134+I134+J134</x:f>
        <x:v>1582.852854843304</x:v>
      </x:c>
      <x:c r="M134" s="141" t="n">
        <x:f>K134</x:f>
        <x:v>1146.1425257874268</x:v>
      </x:c>
      <x:c r="N134" s="141" t="n">
        <x:f>$C134+M134-L134</x:f>
        <x:v>6563.289670944123</x:v>
      </x:c>
      <x:c r="O134" s="141" t="n">
        <x:f>R133*(1+Premissas!$B$41)+N134</x:f>
        <x:v>1682601.343547835</x:v>
      </x:c>
      <x:c r="P134" s="141" t="n">
        <x:f>MAX(0,-O134)</x:f>
        <x:v>0</x:v>
      </x:c>
      <x:c r="Q134" s="141" t="n">
        <x:f>Q133*(1+Premissas!$B$41)+P134</x:f>
        <x:v>0</x:v>
      </x:c>
      <x:c r="R134" s="141" t="n">
        <x:f>MAX(0,O134)</x:f>
        <x:v>1682601.343547835</x:v>
      </x:c>
      <x:c r="S134" s="141" t="n">
        <x:f>IF(AND($A134&gt;=Premissas!$B$48,$A134-Premissas!$B$48+1&lt;=Premissas!$B$13),INDEX(Financiamento!$M$6:$M$485,$A134-Premissas!$B$48+1),0)</x:f>
        <x:v>110476.19047619066</x:v>
      </x:c>
      <x:c r="T134" s="141" t="n">
        <x:f>IF($A134&gt;=Premissas!$B$48,$F134,0)</x:f>
        <x:v>374169.2102350473</x:v>
      </x:c>
      <x:c r="U134" s="141" t="n">
        <x:f>R134+T134-S134</x:f>
        <x:v>1946294.3633066916</x:v>
      </x:c>
      <x:c r="V134" s="141" t="n">
        <x:f>IF(Q134&gt;1,"Inviavel",U134)</x:f>
        <x:v>1946294.3633066916</x:v>
      </x:c>
      <x:c r="W134" s="141" t="str">
        <x:f>IF(Q134&gt;1,"Inviavel","OK")</x:f>
        <x:v>OK</x:v>
      </x:c>
      <x:c r="X134" s="141" t="n">
        <x:f>IF($A134=Premissas!$B$48,Premissas!$B$8,0)</x:f>
        <x:v>0</x:v>
      </x:c>
      <x:c r="Y134" s="141" t="n">
        <x:f>IF(AND($A134&gt;=Premissas!$B$48,$A134-Premissas!$B$48+1&lt;=Premissas!$B$13),INDEX(Amortizacao!$K$6:$K$485,$A134-Premissas!$B$48+1),0)</x:f>
        <x:v>0</x:v>
      </x:c>
      <x:c r="Z134" s="141" t="n">
        <x:f>IF(AND(TRUE,Premissas!$B$11="Imovel",Premissas!$B$47="Moradia",$A134&lt;MAX(Premissas!$B$48,Premissas!$B$49)),$D134,0)</x:f>
        <x:v>0</x:v>
      </x:c>
      <x:c r="AA134" s="141" t="n">
        <x:f>IF(AND(TRUE,Premissas!$B$11="Imovel",Premissas!$B$47="Investimento",$A134&gt;=MAX(Premissas!$B$48,Premissas!$B$49)),$E134,0)</x:f>
        <x:v>1146.1425257874268</x:v>
      </x:c>
      <x:c r="AB134" s="141" t="n">
        <x:f>X134+Y134+Z134</x:f>
        <x:v>0</x:v>
      </x:c>
      <x:c r="AC134" s="141" t="n">
        <x:f>AA134</x:f>
        <x:v>1146.1425257874268</x:v>
      </x:c>
      <x:c r="AD134" s="141" t="n">
        <x:f>$C134+AC134-AB134</x:f>
        <x:v>8146.142525787427</x:v>
      </x:c>
      <x:c r="AE134" s="141" t="n">
        <x:f>AH133*(1+Premissas!$B$41)+AD134</x:f>
        <x:v>1598132.308269921</x:v>
      </x:c>
      <x:c r="AF134" s="141" t="n">
        <x:f>MAX(0,-AE134)</x:f>
        <x:v>0</x:v>
      </x:c>
      <x:c r="AG134" s="141" t="n">
        <x:f>AG133*(1+Premissas!$B$41)+AF134</x:f>
        <x:v>0</x:v>
      </x:c>
      <x:c r="AH134" s="141" t="n">
        <x:f>MAX(0,AE134)</x:f>
        <x:v>1598132.308269921</x:v>
      </x:c>
      <x:c r="AI134" s="141" t="n">
        <x:f>IF(AND($A134&gt;=Premissas!$B$48,$A134-Premissas!$B$48+1&lt;=Premissas!$B$13),INDEX(Amortizacao!$L$6:$L$485,$A134-Premissas!$B$48+1),0)</x:f>
        <x:v>0</x:v>
      </x:c>
      <x:c r="AJ134" s="141" t="n">
        <x:f>IF($A134&gt;=Premissas!$B$48,$F134,0)</x:f>
        <x:v>374169.2102350473</x:v>
      </x:c>
      <x:c r="AK134" s="141" t="n">
        <x:f>AH134+AJ134-AI134</x:f>
        <x:v>1972301.5185049684</x:v>
      </x:c>
      <x:c r="AL134" s="141" t="n">
        <x:f>IF(AG134&gt;1,"Inviavel",AK134)</x:f>
        <x:v>1972301.5185049684</x:v>
      </x:c>
      <x:c r="AM134" s="141" t="str">
        <x:f>IF(AG134&gt;1,"Inviavel","OK")</x:f>
        <x:v>OK</x:v>
      </x:c>
      <x:c r="AN134" s="141" t="n">
        <x:f>IF($A134=Premissas!$B$48,Premissas!$B$8,0)</x:f>
        <x:v>0</x:v>
      </x:c>
      <x:c r="AO134" s="141" t="n">
        <x:f>IF($A134&lt;=Premissas!$B$25,INDEX('Consorcio IQ'!$K$6:$K$485,$A134),0)</x:f>
        <x:v>1021.6174646467734</x:v>
      </x:c>
      <x:c r="AP134" s="141" t="n">
        <x:f>IF(AND(TRUE,Premissas!$B$11="Imovel",Premissas!$B$47="Moradia",$A134&lt;MAX(Premissas!$B$48,Premissas!$B$49)),$D134,0)</x:f>
        <x:v>0</x:v>
      </x:c>
      <x:c r="AQ134" s="141" t="n">
        <x:f>IF(AND(TRUE,Premissas!$B$11="Imovel",Premissas!$B$47="Investimento",$A134&gt;=MAX(Premissas!$B$48,Premissas!$B$49)),$E134,0)</x:f>
        <x:v>1146.1425257874268</x:v>
      </x:c>
      <x:c r="AR134" s="141" t="n">
        <x:f>AN134+AO134+AP134</x:f>
        <x:v>1021.6174646467734</x:v>
      </x:c>
      <x:c r="AS134" s="141" t="n">
        <x:f>AQ134</x:f>
        <x:v>1146.1425257874268</x:v>
      </x:c>
      <x:c r="AT134" s="141" t="n">
        <x:f>$C134+AS134-AR134</x:f>
        <x:v>7124.525061140654</x:v>
      </x:c>
      <x:c r="AU134" s="141" t="n">
        <x:f>AX133*(1+Premissas!$B$41)+AT134</x:f>
        <x:v>1668126.81811119</x:v>
      </x:c>
      <x:c r="AV134" s="141" t="n">
        <x:f>MAX(0,-AU134)</x:f>
        <x:v>0</x:v>
      </x:c>
      <x:c r="AW134" s="141" t="n">
        <x:f>AW133*(1+Premissas!$B$41)+AV134</x:f>
        <x:v>0</x:v>
      </x:c>
      <x:c r="AX134" s="141" t="n">
        <x:f>MAX(0,AU134)</x:f>
        <x:v>1668126.81811119</x:v>
      </x:c>
      <x:c r="AY134" s="141" t="n">
        <x:f>INDEX('Consorcio IQ'!$P$6:$P$485,$A134)</x:f>
        <x:v>89536.45119497199</x:v>
      </x:c>
      <x:c r="AZ134" s="141" t="n">
        <x:f>IF($A134&gt;=Premissas!$B$48,$F134,0)+IF($A134&lt;Premissas!$B$27,INDEX('Consorcio IQ'!$O$6:$O$485,$A134),0)</x:f>
        <x:v>374169.2102350473</x:v>
      </x:c>
      <x:c r="BA134" s="141" t="n">
        <x:f>AX134+AZ134-AY134</x:f>
        <x:v>1952759.5771512655</x:v>
      </x:c>
      <x:c r="BB134" s="141" t="n">
        <x:f>IF(AW134&gt;1,"Inviavel",BA134)</x:f>
        <x:v>1952759.5771512655</x:v>
      </x:c>
      <x:c r="BC134" s="141" t="str">
        <x:f>IF(AW134&gt;1,"Inviavel","OK")</x:f>
        <x:v>OK</x:v>
      </x:c>
      <x:c r="BD134" s="141" t="n">
        <x:f>IF($A134='Consorcio Direto'!$B$29,'Consorcio Direto'!$B$44,0)</x:f>
        <x:v>0</x:v>
      </x:c>
      <x:c r="BE134" s="141" t="n">
        <x:f>IF($A134&lt;='Consorcio Direto'!$B$27,INDEX('Consorcio Direto'!$E$55:$E$534,$A134),0)</x:f>
        <x:v>2645.4792050864053</x:v>
      </x:c>
      <x:c r="BF134" s="141" t="n">
        <x:f>IF(AND(TRUE,Premissas!$B$11="Imovel",Premissas!$B$47="Moradia",$A134&lt;MAX('Consorcio Direto'!$B$29,Premissas!$B$49)),$D134,0)</x:f>
        <x:v>0</x:v>
      </x:c>
      <x:c r="BG134" s="141" t="n">
        <x:f>IF(AND(TRUE,Premissas!$B$11="Imovel",Premissas!$B$47="Investimento",$A134&gt;=MAX('Consorcio Direto'!$B$29,Premissas!$B$49)),$E134,0)</x:f>
        <x:v>1146.1425257874268</x:v>
      </x:c>
      <x:c r="BH134" s="141" t="n">
        <x:f>BD134+BE134+BF134</x:f>
        <x:v>2645.4792050864053</x:v>
      </x:c>
      <x:c r="BI134" s="141" t="n">
        <x:f>BG134</x:f>
        <x:v>1146.1425257874268</x:v>
      </x:c>
      <x:c r="BJ134" s="141" t="n">
        <x:f>$C134+BI134-BH134</x:f>
        <x:v>5500.663320701022</x:v>
      </x:c>
      <x:c r="BK134" s="141" t="n">
        <x:f>BN133*(1+Premissas!$B$41)+BJ134</x:f>
        <x:v>1704832.8155634122</x:v>
      </x:c>
      <x:c r="BL134" s="141" t="n">
        <x:f>MAX(0,-BK134)</x:f>
        <x:v>0</x:v>
      </x:c>
      <x:c r="BM134" s="141" t="n">
        <x:f>BM133*(1+Premissas!$B$41)+BL134</x:f>
        <x:v>0</x:v>
      </x:c>
      <x:c r="BN134" s="141" t="n">
        <x:f>MAX(0,BK134)</x:f>
        <x:v>1704832.8155634122</x:v>
      </x:c>
      <x:c r="BO134" s="141" t="n">
        <x:f>INDEX('Consorcio Direto'!$K$55:$K$534,$A134)</x:f>
        <x:v>231854.70876364622</x:v>
      </x:c>
      <x:c r="BP134" s="141" t="n">
        <x:f>IF($A134&lt;'Consorcio Direto'!$B$29,INDEX('Consorcio Direto'!$L$55:$L$534,$A134),$F134)</x:f>
        <x:v>374169.2102350473</x:v>
      </x:c>
      <x:c r="BQ134" s="141" t="n">
        <x:f>BN134+BP134-BO134</x:f>
        <x:v>1847147.3170348133</x:v>
      </x:c>
      <x:c r="BR134" s="141" t="n">
        <x:f>IF(BM134&gt;1,"Inviavel",BQ134)</x:f>
        <x:v>1847147.3170348133</x:v>
      </x:c>
      <x:c r="BS134" s="141" t="str">
        <x:f>IF(BM134&gt;1,"Inviavel","OK")</x:f>
        <x:v>OK</x:v>
      </x:c>
      <x:c r="BT134" s="141" t="n">
        <x:f>IF(AND('Carta Contemplada'!$B$22="Sim",$A134='Carta Contemplada'!$B$23),'Carta Contemplada'!$B$37,0)</x:f>
        <x:v>0</x:v>
      </x:c>
      <x:c r="BU134" s="141" t="n">
        <x:f>IF('Carta Contemplada'!$B$22="Sim",INDEX('Carta Contemplada'!$C$55:$C$1013,$A134),0)</x:f>
        <x:v>2149.0172358514255</x:v>
      </x:c>
      <x:c r="BV134" s="141" t="n">
        <x:f>IF(AND('Carta Contemplada'!$B$22="Sim",Premissas!$B$11="Imovel",Premissas!$B$47="Moradia",$A134&lt;MAX('Carta Contemplada'!$B$44,Premissas!$B$49)),$D134,0)</x:f>
        <x:v>0</x:v>
      </x:c>
      <x:c r="BW134" s="141" t="n">
        <x:f>IF(AND('Carta Contemplada'!$B$22="Sim",Premissas!$B$11="Imovel",Premissas!$B$47="Investimento",$A134&gt;=MAX('Carta Contemplada'!$B$44,Premissas!$B$49)),$E134,0)</x:f>
        <x:v>1146.1425257874268</x:v>
      </x:c>
      <x:c r="BX134" s="141" t="n">
        <x:f>BT134+BU134+BV134</x:f>
        <x:v>2149.0172358514255</x:v>
      </x:c>
      <x:c r="BY134" s="141" t="n">
        <x:f>BW134</x:f>
        <x:v>1146.1425257874268</x:v>
      </x:c>
      <x:c r="BZ134" s="141" t="n">
        <x:f>$C134+BY134-BX134</x:f>
        <x:v>5997.1252899360015</x:v>
      </x:c>
      <x:c r="CA134" s="141" t="n">
        <x:f>CD133*(1+Premissas!$B$41)+BZ134</x:f>
        <x:v>1744785.2581667048</x:v>
      </x:c>
      <x:c r="CB134" s="141" t="n">
        <x:f>MAX(0,-CA134)</x:f>
        <x:v>0</x:v>
      </x:c>
      <x:c r="CC134" s="141" t="n">
        <x:f>CC133*(1+Premissas!$B$41)+CB134</x:f>
        <x:v>0</x:v>
      </x:c>
      <x:c r="CD134" s="141" t="n">
        <x:f>MAX(0,CA134)</x:f>
        <x:v>1744785.2581667048</x:v>
      </x:c>
      <x:c r="CE134" s="141" t="n">
        <x:f>IF(AND('Carta Contemplada'!$B$22="Sim",$A134&gt;='Carta Contemplada'!$B$23),INDEX('Carta Contemplada'!$I$55:$I$1013,$A134),0)</x:f>
        <x:v>97371.84638500056</x:v>
      </x:c>
      <x:c r="CF134" s="141" t="n">
        <x:f>IF(AND('Carta Contemplada'!$B$22="Sim",$A134&gt;='Carta Contemplada'!$B$44),$F134,0)</x:f>
        <x:v>374169.2102350473</x:v>
      </x:c>
      <x:c r="CG134" s="141" t="n">
        <x:f>CD134+CF134-CE134</x:f>
        <x:v>2021582.6220167514</x:v>
      </x:c>
      <x:c r="CH134" s="141" t="n">
        <x:f>IF(CC134&gt;1,"Inviavel",CG134)</x:f>
        <x:v>2021582.6220167514</x:v>
      </x:c>
      <x:c r="CI134" s="145" t="str">
        <x:f>IF(CC134&gt;1,"Inviavel","OK")</x:f>
        <x:v>OK</x:v>
      </x:c>
    </x:row>
    <x:row r="135">
      <x:c r="A135" s="142" t="n">
        <x:v>131</x:v>
      </x:c>
      <x:c r="B135" s="179" t="n">
        <x:f>EDATE(Premissas!$B$4,A135-1)</x:f>
        <x:v>50496</x:v>
      </x:c>
      <x:c r="C135" s="141" t="n">
        <x:f>IF(A135&lt;=Premissas!$B$39,Premissas!$B$42,0)</x:f>
        <x:v>7000</x:v>
      </x:c>
      <x:c r="D135" s="141" t="n">
        <x:f>Premissas!$B$54*(1+Premissas!$B$57)^INT((A135-1)/12)</x:f>
        <x:v>1253.5933875799983</x:v>
      </x:c>
      <x:c r="E135" s="141" t="n">
        <x:f>Premissas!$B$64*(1+Premissas!$B$57)^INT((A135-1)/12)</x:f>
        <x:v>1146.1425257874268</x:v>
      </x:c>
      <x:c r="F135" s="141" t="n">
        <x:f>MAX(0,Premissas!$B$6*(1+Premissas!$B$66)^((A135-1)/12))</x:f>
        <x:v>375990.4977858609</x:v>
      </x:c>
      <x:c r="G135" s="141" t="n">
        <x:f>G134*(1+Premissas!$B$41)+C135</x:f>
        <x:v>2111547.740956382</x:v>
      </x:c>
      <x:c r="H135" s="141" t="n">
        <x:f>IF($A135=Premissas!$B$48,Premissas!$B$8,0)</x:f>
        <x:v>0</x:v>
      </x:c>
      <x:c r="I135" s="141" t="n">
        <x:f>IF(AND($A135&gt;=Premissas!$B$48,$A135-Premissas!$B$48+1&lt;=Premissas!$B$13),INDEX(Financiamento!$J$6:$J$485,$A135-Premissas!$B$48+1),0)</x:f>
        <x:v>1579.2380765825103</x:v>
      </x:c>
      <x:c r="J135" s="141" t="n">
        <x:f>IF(AND(TRUE,Premissas!$B$11="Imovel",Premissas!$B$47="Moradia",$A135&lt;MAX(Premissas!$B$48,Premissas!$B$49)),$D135,0)</x:f>
        <x:v>0</x:v>
      </x:c>
      <x:c r="K135" s="141" t="n">
        <x:f>IF(AND(TRUE,Premissas!$B$11="Imovel",Premissas!$B$47="Investimento",$A135&gt;=MAX(Premissas!$B$48,Premissas!$B$49)),$E135,0)</x:f>
        <x:v>1146.1425257874268</x:v>
      </x:c>
      <x:c r="L135" s="141" t="n">
        <x:f>H135+I135+J135</x:f>
        <x:v>1579.2380765825103</x:v>
      </x:c>
      <x:c r="M135" s="141" t="n">
        <x:f>K135</x:f>
        <x:v>1146.1425257874268</x:v>
      </x:c>
      <x:c r="N135" s="141" t="n">
        <x:f>$C135+M135-L135</x:f>
        <x:v>6566.904449204917</x:v>
      </x:c>
      <x:c r="O135" s="141" t="n">
        <x:f>R134*(1+Premissas!$B$41)+N135</x:f>
        <x:v>1705134.1037374167</x:v>
      </x:c>
      <x:c r="P135" s="141" t="n">
        <x:f>MAX(0,-O135)</x:f>
        <x:v>0</x:v>
      </x:c>
      <x:c r="Q135" s="141" t="n">
        <x:f>Q134*(1+Premissas!$B$41)+P135</x:f>
        <x:v>0</x:v>
      </x:c>
      <x:c r="R135" s="141" t="n">
        <x:f>MAX(0,O135)</x:f>
        <x:v>1705134.1037374167</x:v>
      </x:c>
      <x:c r="S135" s="141" t="n">
        <x:f>IF(AND($A135&gt;=Premissas!$B$48,$A135-Premissas!$B$48+1&lt;=Premissas!$B$13),INDEX(Financiamento!$M$6:$M$485,$A135-Premissas!$B$48+1),0)</x:f>
        <x:v>110095.23809523828</x:v>
      </x:c>
      <x:c r="T135" s="141" t="n">
        <x:f>IF($A135&gt;=Premissas!$B$48,$F135,0)</x:f>
        <x:v>375990.4977858609</x:v>
      </x:c>
      <x:c r="U135" s="141" t="n">
        <x:f>R135+T135-S135</x:f>
        <x:v>1971029.3634280392</x:v>
      </x:c>
      <x:c r="V135" s="141" t="n">
        <x:f>IF(Q135&gt;1,"Inviavel",U135)</x:f>
        <x:v>1971029.3634280392</x:v>
      </x:c>
      <x:c r="W135" s="141" t="str">
        <x:f>IF(Q135&gt;1,"Inviavel","OK")</x:f>
        <x:v>OK</x:v>
      </x:c>
      <x:c r="X135" s="141" t="n">
        <x:f>IF($A135=Premissas!$B$48,Premissas!$B$8,0)</x:f>
        <x:v>0</x:v>
      </x:c>
      <x:c r="Y135" s="141" t="n">
        <x:f>IF(AND($A135&gt;=Premissas!$B$48,$A135-Premissas!$B$48+1&lt;=Premissas!$B$13),INDEX(Amortizacao!$K$6:$K$485,$A135-Premissas!$B$48+1),0)</x:f>
        <x:v>0</x:v>
      </x:c>
      <x:c r="Z135" s="141" t="n">
        <x:f>IF(AND(TRUE,Premissas!$B$11="Imovel",Premissas!$B$47="Moradia",$A135&lt;MAX(Premissas!$B$48,Premissas!$B$49)),$D135,0)</x:f>
        <x:v>0</x:v>
      </x:c>
      <x:c r="AA135" s="141" t="n">
        <x:f>IF(AND(TRUE,Premissas!$B$11="Imovel",Premissas!$B$47="Investimento",$A135&gt;=MAX(Premissas!$B$48,Premissas!$B$49)),$E135,0)</x:f>
        <x:v>1146.1425257874268</x:v>
      </x:c>
      <x:c r="AB135" s="141" t="n">
        <x:f>X135+Y135+Z135</x:f>
        <x:v>0</x:v>
      </x:c>
      <x:c r="AC135" s="141" t="n">
        <x:f>AA135</x:f>
        <x:v>1146.1425257874268</x:v>
      </x:c>
      <x:c r="AD135" s="141" t="n">
        <x:f>$C135+AC135-AB135</x:f>
        <x:v>8146.142525787427</x:v>
      </x:c>
      <x:c r="AE135" s="141" t="n">
        <x:f>AH134*(1+Premissas!$B$41)+AD135</x:f>
        <x:v>1621442.797350949</x:v>
      </x:c>
      <x:c r="AF135" s="141" t="n">
        <x:f>MAX(0,-AE135)</x:f>
        <x:v>0</x:v>
      </x:c>
      <x:c r="AG135" s="141" t="n">
        <x:f>AG134*(1+Premissas!$B$41)+AF135</x:f>
        <x:v>0</x:v>
      </x:c>
      <x:c r="AH135" s="141" t="n">
        <x:f>MAX(0,AE135)</x:f>
        <x:v>1621442.797350949</x:v>
      </x:c>
      <x:c r="AI135" s="141" t="n">
        <x:f>IF(AND($A135&gt;=Premissas!$B$48,$A135-Premissas!$B$48+1&lt;=Premissas!$B$13),INDEX(Amortizacao!$L$6:$L$485,$A135-Premissas!$B$48+1),0)</x:f>
        <x:v>0</x:v>
      </x:c>
      <x:c r="AJ135" s="141" t="n">
        <x:f>IF($A135&gt;=Premissas!$B$48,$F135,0)</x:f>
        <x:v>375990.4977858609</x:v>
      </x:c>
      <x:c r="AK135" s="141" t="n">
        <x:f>AH135+AJ135-AI135</x:f>
        <x:v>1997433.2951368098</x:v>
      </x:c>
      <x:c r="AL135" s="141" t="n">
        <x:f>IF(AG135&gt;1,"Inviavel",AK135)</x:f>
        <x:v>1997433.2951368098</x:v>
      </x:c>
      <x:c r="AM135" s="141" t="str">
        <x:f>IF(AG135&gt;1,"Inviavel","OK")</x:f>
        <x:v>OK</x:v>
      </x:c>
      <x:c r="AN135" s="141" t="n">
        <x:f>IF($A135=Premissas!$B$48,Premissas!$B$8,0)</x:f>
        <x:v>0</x:v>
      </x:c>
      <x:c r="AO135" s="141" t="n">
        <x:f>IF($A135&lt;=Premissas!$B$25,INDEX('Consorcio IQ'!$K$6:$K$485,$A135),0)</x:f>
        <x:v>1021.6174646467734</x:v>
      </x:c>
      <x:c r="AP135" s="141" t="n">
        <x:f>IF(AND(TRUE,Premissas!$B$11="Imovel",Premissas!$B$47="Moradia",$A135&lt;MAX(Premissas!$B$48,Premissas!$B$49)),$D135,0)</x:f>
        <x:v>0</x:v>
      </x:c>
      <x:c r="AQ135" s="141" t="n">
        <x:f>IF(AND(TRUE,Premissas!$B$11="Imovel",Premissas!$B$47="Investimento",$A135&gt;=MAX(Premissas!$B$48,Premissas!$B$49)),$E135,0)</x:f>
        <x:v>1146.1425257874268</x:v>
      </x:c>
      <x:c r="AR135" s="141" t="n">
        <x:f>AN135+AO135+AP135</x:f>
        <x:v>1021.6174646467734</x:v>
      </x:c>
      <x:c r="AS135" s="141" t="n">
        <x:f>AQ135</x:f>
        <x:v>1146.1425257874268</x:v>
      </x:c>
      <x:c r="AT135" s="141" t="n">
        <x:f>$C135+AS135-AR135</x:f>
        <x:v>7124.525061140654</x:v>
      </x:c>
      <x:c r="AU135" s="141" t="n">
        <x:f>AX134*(1+Premissas!$B$41)+AT135</x:f>
        <x:v>1691079.8531380128</x:v>
      </x:c>
      <x:c r="AV135" s="141" t="n">
        <x:f>MAX(0,-AU135)</x:f>
        <x:v>0</x:v>
      </x:c>
      <x:c r="AW135" s="141" t="n">
        <x:f>AW134*(1+Premissas!$B$41)+AV135</x:f>
        <x:v>0</x:v>
      </x:c>
      <x:c r="AX135" s="141" t="n">
        <x:f>MAX(0,AU135)</x:f>
        <x:v>1691079.8531380128</x:v>
      </x:c>
      <x:c r="AY135" s="141" t="n">
        <x:f>INDEX('Consorcio IQ'!$P$6:$P$485,$A135)</x:f>
        <x:v>89364.42657581171</x:v>
      </x:c>
      <x:c r="AZ135" s="141" t="n">
        <x:f>IF($A135&gt;=Premissas!$B$48,$F135,0)+IF($A135&lt;Premissas!$B$27,INDEX('Consorcio IQ'!$O$6:$O$485,$A135),0)</x:f>
        <x:v>375990.4977858609</x:v>
      </x:c>
      <x:c r="BA135" s="141" t="n">
        <x:f>AX135+AZ135-AY135</x:f>
        <x:v>1977705.924348062</x:v>
      </x:c>
      <x:c r="BB135" s="141" t="n">
        <x:f>IF(AW135&gt;1,"Inviavel",BA135)</x:f>
        <x:v>1977705.924348062</x:v>
      </x:c>
      <x:c r="BC135" s="141" t="str">
        <x:f>IF(AW135&gt;1,"Inviavel","OK")</x:f>
        <x:v>OK</x:v>
      </x:c>
      <x:c r="BD135" s="141" t="n">
        <x:f>IF($A135='Consorcio Direto'!$B$29,'Consorcio Direto'!$B$44,0)</x:f>
        <x:v>0</x:v>
      </x:c>
      <x:c r="BE135" s="141" t="n">
        <x:f>IF($A135&lt;='Consorcio Direto'!$B$27,INDEX('Consorcio Direto'!$E$55:$E$534,$A135),0)</x:f>
        <x:v>2645.4792050864053</x:v>
      </x:c>
      <x:c r="BF135" s="141" t="n">
        <x:f>IF(AND(TRUE,Premissas!$B$11="Imovel",Premissas!$B$47="Moradia",$A135&lt;MAX('Consorcio Direto'!$B$29,Premissas!$B$49)),$D135,0)</x:f>
        <x:v>0</x:v>
      </x:c>
      <x:c r="BG135" s="141" t="n">
        <x:f>IF(AND(TRUE,Premissas!$B$11="Imovel",Premissas!$B$47="Investimento",$A135&gt;=MAX('Consorcio Direto'!$B$29,Premissas!$B$49)),$E135,0)</x:f>
        <x:v>1146.1425257874268</x:v>
      </x:c>
      <x:c r="BH135" s="141" t="n">
        <x:f>BD135+BE135+BF135</x:f>
        <x:v>2645.4792050864053</x:v>
      </x:c>
      <x:c r="BI135" s="141" t="n">
        <x:f>BG135</x:f>
        <x:v>1146.1425257874268</x:v>
      </x:c>
      <x:c r="BJ135" s="141" t="n">
        <x:f>$C135+BI135-BH135</x:f>
        <x:v>5500.663320701022</x:v>
      </x:c>
      <x:c r="BK135" s="141" t="n">
        <x:f>BN134*(1+Premissas!$B$41)+BJ135</x:f>
        <x:v>1726510.2844590766</x:v>
      </x:c>
      <x:c r="BL135" s="141" t="n">
        <x:f>MAX(0,-BK135)</x:f>
        <x:v>0</x:v>
      </x:c>
      <x:c r="BM135" s="141" t="n">
        <x:f>BM134*(1+Premissas!$B$41)+BL135</x:f>
        <x:v>0</x:v>
      </x:c>
      <x:c r="BN135" s="141" t="n">
        <x:f>MAX(0,BK135)</x:f>
        <x:v>1726510.2844590766</x:v>
      </x:c>
      <x:c r="BO135" s="141" t="n">
        <x:f>INDEX('Consorcio Direto'!$K$55:$K$534,$A135)</x:f>
        <x:v>231409.2508809261</x:v>
      </x:c>
      <x:c r="BP135" s="141" t="n">
        <x:f>IF($A135&lt;'Consorcio Direto'!$B$29,INDEX('Consorcio Direto'!$L$55:$L$534,$A135),$F135)</x:f>
        <x:v>375990.4977858609</x:v>
      </x:c>
      <x:c r="BQ135" s="141" t="n">
        <x:f>BN135+BP135-BO135</x:f>
        <x:v>1871091.5313640113</x:v>
      </x:c>
      <x:c r="BR135" s="141" t="n">
        <x:f>IF(BM135&gt;1,"Inviavel",BQ135)</x:f>
        <x:v>1871091.5313640113</x:v>
      </x:c>
      <x:c r="BS135" s="141" t="str">
        <x:f>IF(BM135&gt;1,"Inviavel","OK")</x:f>
        <x:v>OK</x:v>
      </x:c>
      <x:c r="BT135" s="141" t="n">
        <x:f>IF(AND('Carta Contemplada'!$B$22="Sim",$A135='Carta Contemplada'!$B$23),'Carta Contemplada'!$B$37,0)</x:f>
        <x:v>0</x:v>
      </x:c>
      <x:c r="BU135" s="141" t="n">
        <x:f>IF('Carta Contemplada'!$B$22="Sim",INDEX('Carta Contemplada'!$C$55:$C$1013,$A135),0)</x:f>
        <x:v>2149.0172358514255</x:v>
      </x:c>
      <x:c r="BV135" s="141" t="n">
        <x:f>IF(AND('Carta Contemplada'!$B$22="Sim",Premissas!$B$11="Imovel",Premissas!$B$47="Moradia",$A135&lt;MAX('Carta Contemplada'!$B$44,Premissas!$B$49)),$D135,0)</x:f>
        <x:v>0</x:v>
      </x:c>
      <x:c r="BW135" s="141" t="n">
        <x:f>IF(AND('Carta Contemplada'!$B$22="Sim",Premissas!$B$11="Imovel",Premissas!$B$47="Investimento",$A135&gt;=MAX('Carta Contemplada'!$B$44,Premissas!$B$49)),$E135,0)</x:f>
        <x:v>1146.1425257874268</x:v>
      </x:c>
      <x:c r="BX135" s="141" t="n">
        <x:f>BT135+BU135+BV135</x:f>
        <x:v>2149.0172358514255</x:v>
      </x:c>
      <x:c r="BY135" s="141" t="n">
        <x:f>BW135</x:f>
        <x:v>1146.1425257874268</x:v>
      </x:c>
      <x:c r="BZ135" s="141" t="n">
        <x:f>$C135+BY135-BX135</x:f>
        <x:v>5997.1252899360015</x:v>
      </x:c>
      <x:c r="CA135" s="141" t="n">
        <x:f>CD134*(1+Premissas!$B$41)+BZ135</x:f>
        <x:v>1767338.2894866979</x:v>
      </x:c>
      <x:c r="CB135" s="141" t="n">
        <x:f>MAX(0,-CA135)</x:f>
        <x:v>0</x:v>
      </x:c>
      <x:c r="CC135" s="141" t="n">
        <x:f>CC134*(1+Premissas!$B$41)+CB135</x:f>
        <x:v>0</x:v>
      </x:c>
      <x:c r="CD135" s="141" t="n">
        <x:f>MAX(0,CA135)</x:f>
        <x:v>1767338.2894866979</x:v>
      </x:c>
      <x:c r="CE135" s="141" t="n">
        <x:f>IF(AND('Carta Contemplada'!$B$22="Sim",$A135&gt;='Carta Contemplada'!$B$23),INDEX('Carta Contemplada'!$I$55:$I$1013,$A135),0)</x:f>
        <x:v>96146.77043715444</x:v>
      </x:c>
      <x:c r="CF135" s="141" t="n">
        <x:f>IF(AND('Carta Contemplada'!$B$22="Sim",$A135&gt;='Carta Contemplada'!$B$44),$F135,0)</x:f>
        <x:v>375990.4977858609</x:v>
      </x:c>
      <x:c r="CG135" s="141" t="n">
        <x:f>CD135+CF135-CE135</x:f>
        <x:v>2047182.016835404</x:v>
      </x:c>
      <x:c r="CH135" s="141" t="n">
        <x:f>IF(CC135&gt;1,"Inviavel",CG135)</x:f>
        <x:v>2047182.016835404</x:v>
      </x:c>
      <x:c r="CI135" s="145" t="str">
        <x:f>IF(CC135&gt;1,"Inviavel","OK")</x:f>
        <x:v>OK</x:v>
      </x:c>
    </x:row>
    <x:row r="136">
      <x:c r="A136" s="142" t="n">
        <x:v>132</x:v>
      </x:c>
      <x:c r="B136" s="179" t="n">
        <x:f>EDATE(Premissas!$B$4,A136-1)</x:f>
        <x:v>50526</x:v>
      </x:c>
      <x:c r="C136" s="141" t="n">
        <x:f>IF(A136&lt;=Premissas!$B$39,Premissas!$B$42,0)</x:f>
        <x:v>7000</x:v>
      </x:c>
      <x:c r="D136" s="141" t="n">
        <x:f>Premissas!$B$54*(1+Premissas!$B$57)^INT((A136-1)/12)</x:f>
        <x:v>1253.5933875799983</x:v>
      </x:c>
      <x:c r="E136" s="141" t="n">
        <x:f>Premissas!$B$64*(1+Premissas!$B$57)^INT((A136-1)/12)</x:f>
        <x:v>1146.1425257874268</x:v>
      </x:c>
      <x:c r="F136" s="141" t="n">
        <x:f>MAX(0,Premissas!$B$6*(1+Premissas!$B$66)^((A136-1)/12))</x:f>
        <x:v>377820.65054592205</x:v>
      </x:c>
      <x:c r="G136" s="141" t="n">
        <x:f>G135*(1+Premissas!$B$41)+C136</x:f>
        <x:v>2138583.7802418037</x:v>
      </x:c>
      <x:c r="H136" s="141" t="n">
        <x:f>IF($A136=Premissas!$B$48,Premissas!$B$8,0)</x:f>
        <x:v>0</x:v>
      </x:c>
      <x:c r="I136" s="141" t="n">
        <x:f>IF(AND($A136&gt;=Premissas!$B$48,$A136-Premissas!$B$48+1&lt;=Premissas!$B$13),INDEX(Financiamento!$J$6:$J$485,$A136-Premissas!$B$48+1),0)</x:f>
        <x:v>1575.623298321717</x:v>
      </x:c>
      <x:c r="J136" s="141" t="n">
        <x:f>IF(AND(TRUE,Premissas!$B$11="Imovel",Premissas!$B$47="Moradia",$A136&lt;MAX(Premissas!$B$48,Premissas!$B$49)),$D136,0)</x:f>
        <x:v>0</x:v>
      </x:c>
      <x:c r="K136" s="141" t="n">
        <x:f>IF(AND(TRUE,Premissas!$B$11="Imovel",Premissas!$B$47="Investimento",$A136&gt;=MAX(Premissas!$B$48,Premissas!$B$49)),$E136,0)</x:f>
        <x:v>1146.1425257874268</x:v>
      </x:c>
      <x:c r="L136" s="141" t="n">
        <x:f>H136+I136+J136</x:f>
        <x:v>1575.623298321717</x:v>
      </x:c>
      <x:c r="M136" s="141" t="n">
        <x:f>K136</x:f>
        <x:v>1146.1425257874268</x:v>
      </x:c>
      <x:c r="N136" s="141" t="n">
        <x:f>$C136+M136-L136</x:f>
        <x:v>6570.51922746571</x:v>
      </x:c>
      <x:c r="O136" s="141" t="n">
        <x:f>R135*(1+Premissas!$B$41)+N136</x:f>
        <x:v>1727884.2874009425</x:v>
      </x:c>
      <x:c r="P136" s="141" t="n">
        <x:f>MAX(0,-O136)</x:f>
        <x:v>0</x:v>
      </x:c>
      <x:c r="Q136" s="141" t="n">
        <x:f>Q135*(1+Premissas!$B$41)+P136</x:f>
        <x:v>0</x:v>
      </x:c>
      <x:c r="R136" s="141" t="n">
        <x:f>MAX(0,O136)</x:f>
        <x:v>1727884.2874009425</x:v>
      </x:c>
      <x:c r="S136" s="141" t="n">
        <x:f>IF(AND($A136&gt;=Premissas!$B$48,$A136-Premissas!$B$48+1&lt;=Premissas!$B$13),INDEX(Financiamento!$M$6:$M$485,$A136-Premissas!$B$48+1),0)</x:f>
        <x:v>109714.2857142859</x:v>
      </x:c>
      <x:c r="T136" s="141" t="n">
        <x:f>IF($A136&gt;=Premissas!$B$48,$F136,0)</x:f>
        <x:v>377820.65054592205</x:v>
      </x:c>
      <x:c r="U136" s="141" t="n">
        <x:f>R136+T136-S136</x:f>
        <x:v>1995990.6522325785</x:v>
      </x:c>
      <x:c r="V136" s="141" t="n">
        <x:f>IF(Q136&gt;1,"Inviavel",U136)</x:f>
        <x:v>1995990.6522325785</x:v>
      </x:c>
      <x:c r="W136" s="141" t="str">
        <x:f>IF(Q136&gt;1,"Inviavel","OK")</x:f>
        <x:v>OK</x:v>
      </x:c>
      <x:c r="X136" s="141" t="n">
        <x:f>IF($A136=Premissas!$B$48,Premissas!$B$8,0)</x:f>
        <x:v>0</x:v>
      </x:c>
      <x:c r="Y136" s="141" t="n">
        <x:f>IF(AND($A136&gt;=Premissas!$B$48,$A136-Premissas!$B$48+1&lt;=Premissas!$B$13),INDEX(Amortizacao!$K$6:$K$485,$A136-Premissas!$B$48+1),0)</x:f>
        <x:v>0</x:v>
      </x:c>
      <x:c r="Z136" s="141" t="n">
        <x:f>IF(AND(TRUE,Premissas!$B$11="Imovel",Premissas!$B$47="Moradia",$A136&lt;MAX(Premissas!$B$48,Premissas!$B$49)),$D136,0)</x:f>
        <x:v>0</x:v>
      </x:c>
      <x:c r="AA136" s="141" t="n">
        <x:f>IF(AND(TRUE,Premissas!$B$11="Imovel",Premissas!$B$47="Investimento",$A136&gt;=MAX(Premissas!$B$48,Premissas!$B$49)),$E136,0)</x:f>
        <x:v>1146.1425257874268</x:v>
      </x:c>
      <x:c r="AB136" s="141" t="n">
        <x:f>X136+Y136+Z136</x:f>
        <x:v>0</x:v>
      </x:c>
      <x:c r="AC136" s="141" t="n">
        <x:f>AA136</x:f>
        <x:v>1146.1425257874268</x:v>
      </x:c>
      <x:c r="AD136" s="141" t="n">
        <x:f>$C136+AC136-AB136</x:f>
        <x:v>8146.142525787427</x:v>
      </x:c>
      <x:c r="AE136" s="141" t="n">
        <x:f>AH135*(1+Premissas!$B$41)+AD136</x:f>
        <x:v>1644974.4748360706</x:v>
      </x:c>
      <x:c r="AF136" s="141" t="n">
        <x:f>MAX(0,-AE136)</x:f>
        <x:v>0</x:v>
      </x:c>
      <x:c r="AG136" s="141" t="n">
        <x:f>AG135*(1+Premissas!$B$41)+AF136</x:f>
        <x:v>0</x:v>
      </x:c>
      <x:c r="AH136" s="141" t="n">
        <x:f>MAX(0,AE136)</x:f>
        <x:v>1644974.4748360706</x:v>
      </x:c>
      <x:c r="AI136" s="141" t="n">
        <x:f>IF(AND($A136&gt;=Premissas!$B$48,$A136-Premissas!$B$48+1&lt;=Premissas!$B$13),INDEX(Amortizacao!$L$6:$L$485,$A136-Premissas!$B$48+1),0)</x:f>
        <x:v>0</x:v>
      </x:c>
      <x:c r="AJ136" s="141" t="n">
        <x:f>IF($A136&gt;=Premissas!$B$48,$F136,0)</x:f>
        <x:v>377820.65054592205</x:v>
      </x:c>
      <x:c r="AK136" s="141" t="n">
        <x:f>AH136+AJ136-AI136</x:f>
        <x:v>2022795.1253819927</x:v>
      </x:c>
      <x:c r="AL136" s="141" t="n">
        <x:f>IF(AG136&gt;1,"Inviavel",AK136)</x:f>
        <x:v>2022795.1253819927</x:v>
      </x:c>
      <x:c r="AM136" s="141" t="str">
        <x:f>IF(AG136&gt;1,"Inviavel","OK")</x:f>
        <x:v>OK</x:v>
      </x:c>
      <x:c r="AN136" s="141" t="n">
        <x:f>IF($A136=Premissas!$B$48,Premissas!$B$8,0)</x:f>
        <x:v>0</x:v>
      </x:c>
      <x:c r="AO136" s="141" t="n">
        <x:f>IF($A136&lt;=Premissas!$B$25,INDEX('Consorcio IQ'!$K$6:$K$485,$A136),0)</x:f>
        <x:v>1021.6174646467734</x:v>
      </x:c>
      <x:c r="AP136" s="141" t="n">
        <x:f>IF(AND(TRUE,Premissas!$B$11="Imovel",Premissas!$B$47="Moradia",$A136&lt;MAX(Premissas!$B$48,Premissas!$B$49)),$D136,0)</x:f>
        <x:v>0</x:v>
      </x:c>
      <x:c r="AQ136" s="141" t="n">
        <x:f>IF(AND(TRUE,Premissas!$B$11="Imovel",Premissas!$B$47="Investimento",$A136&gt;=MAX(Premissas!$B$48,Premissas!$B$49)),$E136,0)</x:f>
        <x:v>1146.1425257874268</x:v>
      </x:c>
      <x:c r="AR136" s="141" t="n">
        <x:f>AN136+AO136+AP136</x:f>
        <x:v>1021.6174646467734</x:v>
      </x:c>
      <x:c r="AS136" s="141" t="n">
        <x:f>AQ136</x:f>
        <x:v>1146.1425257874268</x:v>
      </x:c>
      <x:c r="AT136" s="141" t="n">
        <x:f>$C136+AS136-AR136</x:f>
        <x:v>7124.525061140654</x:v>
      </x:c>
      <x:c r="AU136" s="141" t="n">
        <x:f>AX135*(1+Premissas!$B$41)+AT136</x:f>
        <x:v>1714250.6847614252</x:v>
      </x:c>
      <x:c r="AV136" s="141" t="n">
        <x:f>MAX(0,-AU136)</x:f>
        <x:v>0</x:v>
      </x:c>
      <x:c r="AW136" s="141" t="n">
        <x:f>AW135*(1+Premissas!$B$41)+AV136</x:f>
        <x:v>0</x:v>
      </x:c>
      <x:c r="AX136" s="141" t="n">
        <x:f>MAX(0,AU136)</x:f>
        <x:v>1714250.6847614252</x:v>
      </x:c>
      <x:c r="AY136" s="141" t="n">
        <x:f>INDEX('Consorcio IQ'!$P$6:$P$485,$A136)</x:f>
        <x:v>89190.76965066057</x:v>
      </x:c>
      <x:c r="AZ136" s="141" t="n">
        <x:f>IF($A136&gt;=Premissas!$B$48,$F136,0)+IF($A136&lt;Premissas!$B$27,INDEX('Consorcio IQ'!$O$6:$O$485,$A136),0)</x:f>
        <x:v>377820.65054592205</x:v>
      </x:c>
      <x:c r="BA136" s="141" t="n">
        <x:f>AX136+AZ136-AY136</x:f>
        <x:v>2002880.5656566867</x:v>
      </x:c>
      <x:c r="BB136" s="141" t="n">
        <x:f>IF(AW136&gt;1,"Inviavel",BA136)</x:f>
        <x:v>2002880.5656566867</x:v>
      </x:c>
      <x:c r="BC136" s="141" t="str">
        <x:f>IF(AW136&gt;1,"Inviavel","OK")</x:f>
        <x:v>OK</x:v>
      </x:c>
      <x:c r="BD136" s="141" t="n">
        <x:f>IF($A136='Consorcio Direto'!$B$29,'Consorcio Direto'!$B$44,0)</x:f>
        <x:v>0</x:v>
      </x:c>
      <x:c r="BE136" s="141" t="n">
        <x:f>IF($A136&lt;='Consorcio Direto'!$B$27,INDEX('Consorcio Direto'!$E$55:$E$534,$A136),0)</x:f>
        <x:v>2645.4792050864053</x:v>
      </x:c>
      <x:c r="BF136" s="141" t="n">
        <x:f>IF(AND(TRUE,Premissas!$B$11="Imovel",Premissas!$B$47="Moradia",$A136&lt;MAX('Consorcio Direto'!$B$29,Premissas!$B$49)),$D136,0)</x:f>
        <x:v>0</x:v>
      </x:c>
      <x:c r="BG136" s="141" t="n">
        <x:f>IF(AND(TRUE,Premissas!$B$11="Imovel",Premissas!$B$47="Investimento",$A136&gt;=MAX('Consorcio Direto'!$B$29,Premissas!$B$49)),$E136,0)</x:f>
        <x:v>1146.1425257874268</x:v>
      </x:c>
      <x:c r="BH136" s="141" t="n">
        <x:f>BD136+BE136+BF136</x:f>
        <x:v>2645.4792050864053</x:v>
      </x:c>
      <x:c r="BI136" s="141" t="n">
        <x:f>BG136</x:f>
        <x:v>1146.1425257874268</x:v>
      </x:c>
      <x:c r="BJ136" s="141" t="n">
        <x:f>$C136+BI136-BH136</x:f>
        <x:v>5500.663320701022</x:v>
      </x:c>
      <x:c r="BK136" s="141" t="n">
        <x:f>BN135*(1+Premissas!$B$41)+BJ136</x:f>
        <x:v>1748393.446368438</x:v>
      </x:c>
      <x:c r="BL136" s="141" t="n">
        <x:f>MAX(0,-BK136)</x:f>
        <x:v>0</x:v>
      </x:c>
      <x:c r="BM136" s="141" t="n">
        <x:f>BM135*(1+Premissas!$B$41)+BL136</x:f>
        <x:v>0</x:v>
      </x:c>
      <x:c r="BN136" s="141" t="n">
        <x:f>MAX(0,BK136)</x:f>
        <x:v>1748393.446368438</x:v>
      </x:c>
      <x:c r="BO136" s="141" t="n">
        <x:f>INDEX('Consorcio Direto'!$K$55:$K$534,$A136)</x:f>
        <x:v>230959.5661405958</x:v>
      </x:c>
      <x:c r="BP136" s="141" t="n">
        <x:f>IF($A136&lt;'Consorcio Direto'!$B$29,INDEX('Consorcio Direto'!$L$55:$L$534,$A136),$F136)</x:f>
        <x:v>377820.65054592205</x:v>
      </x:c>
      <x:c r="BQ136" s="141" t="n">
        <x:f>BN136+BP136-BO136</x:f>
        <x:v>1895254.530773764</x:v>
      </x:c>
      <x:c r="BR136" s="141" t="n">
        <x:f>IF(BM136&gt;1,"Inviavel",BQ136)</x:f>
        <x:v>1895254.530773764</x:v>
      </x:c>
      <x:c r="BS136" s="141" t="str">
        <x:f>IF(BM136&gt;1,"Inviavel","OK")</x:f>
        <x:v>OK</x:v>
      </x:c>
      <x:c r="BT136" s="141" t="n">
        <x:f>IF(AND('Carta Contemplada'!$B$22="Sim",$A136='Carta Contemplada'!$B$23),'Carta Contemplada'!$B$37,0)</x:f>
        <x:v>0</x:v>
      </x:c>
      <x:c r="BU136" s="141" t="n">
        <x:f>IF('Carta Contemplada'!$B$22="Sim",INDEX('Carta Contemplada'!$C$55:$C$1013,$A136),0)</x:f>
        <x:v>2149.0172358514255</x:v>
      </x:c>
      <x:c r="BV136" s="141" t="n">
        <x:f>IF(AND('Carta Contemplada'!$B$22="Sim",Premissas!$B$11="Imovel",Premissas!$B$47="Moradia",$A136&lt;MAX('Carta Contemplada'!$B$44,Premissas!$B$49)),$D136,0)</x:f>
        <x:v>0</x:v>
      </x:c>
      <x:c r="BW136" s="141" t="n">
        <x:f>IF(AND('Carta Contemplada'!$B$22="Sim",Premissas!$B$11="Imovel",Premissas!$B$47="Investimento",$A136&gt;=MAX('Carta Contemplada'!$B$44,Premissas!$B$49)),$E136,0)</x:f>
        <x:v>1146.1425257874268</x:v>
      </x:c>
      <x:c r="BX136" s="141" t="n">
        <x:f>BT136+BU136+BV136</x:f>
        <x:v>2149.0172358514255</x:v>
      </x:c>
      <x:c r="BY136" s="141" t="n">
        <x:f>BW136</x:f>
        <x:v>1146.1425257874268</x:v>
      </x:c>
      <x:c r="BZ136" s="141" t="n">
        <x:f>$C136+BY136-BX136</x:f>
        <x:v>5997.1252899360015</x:v>
      </x:c>
      <x:c r="CA136" s="141" t="n">
        <x:f>CD135*(1+Premissas!$B$41)+BZ136</x:f>
        <x:v>1790105.3218509334</x:v>
      </x:c>
      <x:c r="CB136" s="141" t="n">
        <x:f>MAX(0,-CA136)</x:f>
        <x:v>0</x:v>
      </x:c>
      <x:c r="CC136" s="141" t="n">
        <x:f>CC135*(1+Premissas!$B$41)+CB136</x:f>
        <x:v>0</x:v>
      </x:c>
      <x:c r="CD136" s="141" t="n">
        <x:f>MAX(0,CA136)</x:f>
        <x:v>1790105.3218509334</x:v>
      </x:c>
      <x:c r="CE136" s="141" t="n">
        <x:f>IF(AND('Carta Contemplada'!$B$22="Sim",$A136&gt;='Carta Contemplada'!$B$23),INDEX('Carta Contemplada'!$I$55:$I$1013,$A136),0)</x:f>
        <x:v>94910.06999731006</x:v>
      </x:c>
      <x:c r="CF136" s="141" t="n">
        <x:f>IF(AND('Carta Contemplada'!$B$22="Sim",$A136&gt;='Carta Contemplada'!$B$44),$F136,0)</x:f>
        <x:v>377820.65054592205</x:v>
      </x:c>
      <x:c r="CG136" s="141" t="n">
        <x:f>CD136+CF136-CE136</x:f>
        <x:v>2073015.902399545</x:v>
      </x:c>
      <x:c r="CH136" s="141" t="n">
        <x:f>IF(CC136&gt;1,"Inviavel",CG136)</x:f>
        <x:v>2073015.902399545</x:v>
      </x:c>
      <x:c r="CI136" s="145" t="str">
        <x:f>IF(CC136&gt;1,"Inviavel","OK")</x:f>
        <x:v>OK</x:v>
      </x:c>
    </x:row>
    <x:row r="137">
      <x:c r="A137" s="142" t="n">
        <x:v>133</x:v>
      </x:c>
      <x:c r="B137" s="179" t="n">
        <x:f>EDATE(Premissas!$B$4,A137-1)</x:f>
        <x:v>50557</x:v>
      </x:c>
      <x:c r="C137" s="141" t="n">
        <x:f>IF(A137&lt;=Premissas!$B$39,Premissas!$B$42,0)</x:f>
        <x:v>7000</x:v>
      </x:c>
      <x:c r="D137" s="141" t="n">
        <x:f>Premissas!$B$54*(1+Premissas!$B$57)^INT((A137-1)/12)</x:f>
        <x:v>1328.8089908347981</x:v>
      </x:c>
      <x:c r="E137" s="141" t="n">
        <x:f>Premissas!$B$64*(1+Premissas!$B$57)^INT((A137-1)/12)</x:f>
        <x:v>1214.9110773346727</x:v>
      </x:c>
      <x:c r="F137" s="141" t="n">
        <x:f>MAX(0,Premissas!$B$6*(1+Premissas!$B$66)^((A137-1)/12))</x:f>
        <x:v>379659.7116670852</x:v>
      </x:c>
      <x:c r="G137" s="141" t="n">
        <x:f>G136*(1+Premissas!$B$41)+C137</x:f>
        <x:v>2165876.358905776</x:v>
      </x:c>
      <x:c r="H137" s="141" t="n">
        <x:f>IF($A137=Premissas!$B$48,Premissas!$B$8,0)</x:f>
        <x:v>0</x:v>
      </x:c>
      <x:c r="I137" s="141" t="n">
        <x:f>IF(AND($A137&gt;=Premissas!$B$48,$A137-Premissas!$B$48+1&lt;=Premissas!$B$13),INDEX(Financiamento!$J$6:$J$485,$A137-Premissas!$B$48+1),0)</x:f>
        <x:v>1572.0085200609233</x:v>
      </x:c>
      <x:c r="J137" s="141" t="n">
        <x:f>IF(AND(TRUE,Premissas!$B$11="Imovel",Premissas!$B$47="Moradia",$A137&lt;MAX(Premissas!$B$48,Premissas!$B$49)),$D137,0)</x:f>
        <x:v>0</x:v>
      </x:c>
      <x:c r="K137" s="141" t="n">
        <x:f>IF(AND(TRUE,Premissas!$B$11="Imovel",Premissas!$B$47="Investimento",$A137&gt;=MAX(Premissas!$B$48,Premissas!$B$49)),$E137,0)</x:f>
        <x:v>1214.9110773346727</x:v>
      </x:c>
      <x:c r="L137" s="141" t="n">
        <x:f>H137+I137+J137</x:f>
        <x:v>1572.0085200609233</x:v>
      </x:c>
      <x:c r="M137" s="141" t="n">
        <x:f>K137</x:f>
        <x:v>1214.9110773346727</x:v>
      </x:c>
      <x:c r="N137" s="141" t="n">
        <x:f>$C137+M137-L137</x:f>
        <x:v>6642.90255727375</x:v>
      </x:c>
      <x:c r="O137" s="141" t="n">
        <x:f>R136*(1+Premissas!$B$41)+N137</x:f>
        <x:v>1750922.7261762836</x:v>
      </x:c>
      <x:c r="P137" s="141" t="n">
        <x:f>MAX(0,-O137)</x:f>
        <x:v>0</x:v>
      </x:c>
      <x:c r="Q137" s="141" t="n">
        <x:f>Q136*(1+Premissas!$B$41)+P137</x:f>
        <x:v>0</x:v>
      </x:c>
      <x:c r="R137" s="141" t="n">
        <x:f>MAX(0,O137)</x:f>
        <x:v>1750922.7261762836</x:v>
      </x:c>
      <x:c r="S137" s="141" t="n">
        <x:f>IF(AND($A137&gt;=Premissas!$B$48,$A137-Premissas!$B$48+1&lt;=Premissas!$B$13),INDEX(Financiamento!$M$6:$M$485,$A137-Premissas!$B$48+1),0)</x:f>
        <x:v>109333.33333333352</x:v>
      </x:c>
      <x:c r="T137" s="141" t="n">
        <x:f>IF($A137&gt;=Premissas!$B$48,$F137,0)</x:f>
        <x:v>379659.7116670852</x:v>
      </x:c>
      <x:c r="U137" s="141" t="n">
        <x:f>R137+T137-S137</x:f>
        <x:v>2021249.1045100354</x:v>
      </x:c>
      <x:c r="V137" s="141" t="n">
        <x:f>IF(Q137&gt;1,"Inviavel",U137)</x:f>
        <x:v>2021249.1045100354</x:v>
      </x:c>
      <x:c r="W137" s="141" t="str">
        <x:f>IF(Q137&gt;1,"Inviavel","OK")</x:f>
        <x:v>OK</x:v>
      </x:c>
      <x:c r="X137" s="141" t="n">
        <x:f>IF($A137=Premissas!$B$48,Premissas!$B$8,0)</x:f>
        <x:v>0</x:v>
      </x:c>
      <x:c r="Y137" s="141" t="n">
        <x:f>IF(AND($A137&gt;=Premissas!$B$48,$A137-Premissas!$B$48+1&lt;=Premissas!$B$13),INDEX(Amortizacao!$K$6:$K$485,$A137-Premissas!$B$48+1),0)</x:f>
        <x:v>0</x:v>
      </x:c>
      <x:c r="Z137" s="141" t="n">
        <x:f>IF(AND(TRUE,Premissas!$B$11="Imovel",Premissas!$B$47="Moradia",$A137&lt;MAX(Premissas!$B$48,Premissas!$B$49)),$D137,0)</x:f>
        <x:v>0</x:v>
      </x:c>
      <x:c r="AA137" s="141" t="n">
        <x:f>IF(AND(TRUE,Premissas!$B$11="Imovel",Premissas!$B$47="Investimento",$A137&gt;=MAX(Premissas!$B$48,Premissas!$B$49)),$E137,0)</x:f>
        <x:v>1214.9110773346727</x:v>
      </x:c>
      <x:c r="AB137" s="141" t="n">
        <x:f>X137+Y137+Z137</x:f>
        <x:v>0</x:v>
      </x:c>
      <x:c r="AC137" s="141" t="n">
        <x:f>AA137</x:f>
        <x:v>1214.9110773346727</x:v>
      </x:c>
      <x:c r="AD137" s="141" t="n">
        <x:f>$C137+AC137-AB137</x:f>
        <x:v>8214.911077334673</x:v>
      </x:c>
      <x:c r="AE137" s="141" t="n">
        <x:f>AH136*(1+Premissas!$B$41)+AD137</x:f>
        <x:v>1668798.2080877994</x:v>
      </x:c>
      <x:c r="AF137" s="141" t="n">
        <x:f>MAX(0,-AE137)</x:f>
        <x:v>0</x:v>
      </x:c>
      <x:c r="AG137" s="141" t="n">
        <x:f>AG136*(1+Premissas!$B$41)+AF137</x:f>
        <x:v>0</x:v>
      </x:c>
      <x:c r="AH137" s="141" t="n">
        <x:f>MAX(0,AE137)</x:f>
        <x:v>1668798.2080877994</x:v>
      </x:c>
      <x:c r="AI137" s="141" t="n">
        <x:f>IF(AND($A137&gt;=Premissas!$B$48,$A137-Premissas!$B$48+1&lt;=Premissas!$B$13),INDEX(Amortizacao!$L$6:$L$485,$A137-Premissas!$B$48+1),0)</x:f>
        <x:v>0</x:v>
      </x:c>
      <x:c r="AJ137" s="141" t="n">
        <x:f>IF($A137&gt;=Premissas!$B$48,$F137,0)</x:f>
        <x:v>379659.7116670852</x:v>
      </x:c>
      <x:c r="AK137" s="141" t="n">
        <x:f>AH137+AJ137-AI137</x:f>
        <x:v>2048457.9197548847</x:v>
      </x:c>
      <x:c r="AL137" s="141" t="n">
        <x:f>IF(AG137&gt;1,"Inviavel",AK137)</x:f>
        <x:v>2048457.9197548847</x:v>
      </x:c>
      <x:c r="AM137" s="141" t="str">
        <x:f>IF(AG137&gt;1,"Inviavel","OK")</x:f>
        <x:v>OK</x:v>
      </x:c>
      <x:c r="AN137" s="141" t="n">
        <x:f>IF($A137=Premissas!$B$48,Premissas!$B$8,0)</x:f>
        <x:v>0</x:v>
      </x:c>
      <x:c r="AO137" s="141" t="n">
        <x:f>IF($A137&lt;=Premissas!$B$25,INDEX('Consorcio IQ'!$K$6:$K$485,$A137),0)</x:f>
        <x:v>1082.91451252558</x:v>
      </x:c>
      <x:c r="AP137" s="141" t="n">
        <x:f>IF(AND(TRUE,Premissas!$B$11="Imovel",Premissas!$B$47="Moradia",$A137&lt;MAX(Premissas!$B$48,Premissas!$B$49)),$D137,0)</x:f>
        <x:v>0</x:v>
      </x:c>
      <x:c r="AQ137" s="141" t="n">
        <x:f>IF(AND(TRUE,Premissas!$B$11="Imovel",Premissas!$B$47="Investimento",$A137&gt;=MAX(Premissas!$B$48,Premissas!$B$49)),$E137,0)</x:f>
        <x:v>1214.9110773346727</x:v>
      </x:c>
      <x:c r="AR137" s="141" t="n">
        <x:f>AN137+AO137+AP137</x:f>
        <x:v>1082.91451252558</x:v>
      </x:c>
      <x:c r="AS137" s="141" t="n">
        <x:f>AQ137</x:f>
        <x:v>1214.9110773346727</x:v>
      </x:c>
      <x:c r="AT137" s="141" t="n">
        <x:f>$C137+AS137-AR137</x:f>
        <x:v>7131.996564809093</x:v>
      </x:c>
      <x:c r="AU137" s="141" t="n">
        <x:f>AX136*(1+Premissas!$B$41)+AT137</x:f>
        <x:v>1737648.8511119026</x:v>
      </x:c>
      <x:c r="AV137" s="141" t="n">
        <x:f>MAX(0,-AU137)</x:f>
        <x:v>0</x:v>
      </x:c>
      <x:c r="AW137" s="141" t="n">
        <x:f>AW136*(1+Premissas!$B$41)+AV137</x:f>
        <x:v>0</x:v>
      </x:c>
      <x:c r="AX137" s="141" t="n">
        <x:f>MAX(0,AU137)</x:f>
        <x:v>1737648.8511119026</x:v>
      </x:c>
      <x:c r="AY137" s="141" t="n">
        <x:f>INDEX('Consorcio IQ'!$P$6:$P$485,$A137)</x:f>
        <x:v>88954.16788302621</x:v>
      </x:c>
      <x:c r="AZ137" s="141" t="n">
        <x:f>IF($A137&gt;=Premissas!$B$48,$F137,0)+IF($A137&lt;Premissas!$B$27,INDEX('Consorcio IQ'!$O$6:$O$485,$A137),0)</x:f>
        <x:v>379659.7116670852</x:v>
      </x:c>
      <x:c r="BA137" s="141" t="n">
        <x:f>AX137+AZ137-AY137</x:f>
        <x:v>2028354.3948959617</x:v>
      </x:c>
      <x:c r="BB137" s="141" t="n">
        <x:f>IF(AW137&gt;1,"Inviavel",BA137)</x:f>
        <x:v>2028354.3948959617</x:v>
      </x:c>
      <x:c r="BC137" s="141" t="str">
        <x:f>IF(AW137&gt;1,"Inviavel","OK")</x:f>
        <x:v>OK</x:v>
      </x:c>
      <x:c r="BD137" s="141" t="n">
        <x:f>IF($A137='Consorcio Direto'!$B$29,'Consorcio Direto'!$B$44,0)</x:f>
        <x:v>0</x:v>
      </x:c>
      <x:c r="BE137" s="141" t="n">
        <x:f>IF($A137&lt;='Consorcio Direto'!$B$27,INDEX('Consorcio Direto'!$E$55:$E$534,$A137),0)</x:f>
        <x:v>2804.20795739159</x:v>
      </x:c>
      <x:c r="BF137" s="141" t="n">
        <x:f>IF(AND(TRUE,Premissas!$B$11="Imovel",Premissas!$B$47="Moradia",$A137&lt;MAX('Consorcio Direto'!$B$29,Premissas!$B$49)),$D137,0)</x:f>
        <x:v>0</x:v>
      </x:c>
      <x:c r="BG137" s="141" t="n">
        <x:f>IF(AND(TRUE,Premissas!$B$11="Imovel",Premissas!$B$47="Investimento",$A137&gt;=MAX('Consorcio Direto'!$B$29,Premissas!$B$49)),$E137,0)</x:f>
        <x:v>1214.9110773346727</x:v>
      </x:c>
      <x:c r="BH137" s="141" t="n">
        <x:f>BD137+BE137+BF137</x:f>
        <x:v>2804.20795739159</x:v>
      </x:c>
      <x:c r="BI137" s="141" t="n">
        <x:f>BG137</x:f>
        <x:v>1214.9110773346727</x:v>
      </x:c>
      <x:c r="BJ137" s="141" t="n">
        <x:f>$C137+BI137-BH137</x:f>
        <x:v>5410.703119943083</x:v>
      </x:c>
      <x:c r="BK137" s="141" t="n">
        <x:f>BN136*(1+Premissas!$B$41)+BJ137</x:f>
        <x:v>1770394.2928691532</x:v>
      </x:c>
      <x:c r="BL137" s="141" t="n">
        <x:f>MAX(0,-BK137)</x:f>
        <x:v>0</x:v>
      </x:c>
      <x:c r="BM137" s="141" t="n">
        <x:f>BM136*(1+Premissas!$B$41)+BL137</x:f>
        <x:v>0</x:v>
      </x:c>
      <x:c r="BN137" s="141" t="n">
        <x:f>MAX(0,BK137)</x:f>
        <x:v>1770394.2928691532</x:v>
      </x:c>
      <x:c r="BO137" s="141" t="n">
        <x:f>INDEX('Consorcio Direto'!$K$55:$K$534,$A137)</x:f>
        <x:v>230346.88568257345</x:v>
      </x:c>
      <x:c r="BP137" s="141" t="n">
        <x:f>IF($A137&lt;'Consorcio Direto'!$B$29,INDEX('Consorcio Direto'!$L$55:$L$534,$A137),$F137)</x:f>
        <x:v>379659.7116670852</x:v>
      </x:c>
      <x:c r="BQ137" s="141" t="n">
        <x:f>BN137+BP137-BO137</x:f>
        <x:v>1919707.118853665</x:v>
      </x:c>
      <x:c r="BR137" s="141" t="n">
        <x:f>IF(BM137&gt;1,"Inviavel",BQ137)</x:f>
        <x:v>1919707.118853665</x:v>
      </x:c>
      <x:c r="BS137" s="141" t="str">
        <x:f>IF(BM137&gt;1,"Inviavel","OK")</x:f>
        <x:v>OK</x:v>
      </x:c>
      <x:c r="BT137" s="141" t="n">
        <x:f>IF(AND('Carta Contemplada'!$B$22="Sim",$A137='Carta Contemplada'!$B$23),'Carta Contemplada'!$B$37,0)</x:f>
        <x:v>0</x:v>
      </x:c>
      <x:c r="BU137" s="141" t="n">
        <x:f>IF('Carta Contemplada'!$B$22="Sim",INDEX('Carta Contemplada'!$C$55:$C$1013,$A137),0)</x:f>
        <x:v>2277.958270002511</x:v>
      </x:c>
      <x:c r="BV137" s="141" t="n">
        <x:f>IF(AND('Carta Contemplada'!$B$22="Sim",Premissas!$B$11="Imovel",Premissas!$B$47="Moradia",$A137&lt;MAX('Carta Contemplada'!$B$44,Premissas!$B$49)),$D137,0)</x:f>
        <x:v>0</x:v>
      </x:c>
      <x:c r="BW137" s="141" t="n">
        <x:f>IF(AND('Carta Contemplada'!$B$22="Sim",Premissas!$B$11="Imovel",Premissas!$B$47="Investimento",$A137&gt;=MAX('Carta Contemplada'!$B$44,Premissas!$B$49)),$E137,0)</x:f>
        <x:v>1214.9110773346727</x:v>
      </x:c>
      <x:c r="BX137" s="141" t="n">
        <x:f>BT137+BU137+BV137</x:f>
        <x:v>2277.958270002511</x:v>
      </x:c>
      <x:c r="BY137" s="141" t="n">
        <x:f>BW137</x:f>
        <x:v>1214.9110773346727</x:v>
      </x:c>
      <x:c r="BZ137" s="141" t="n">
        <x:f>$C137+BY137-BX137</x:f>
        <x:v>5936.952807332162</x:v>
      </x:c>
      <x:c r="CA137" s="141" t="n">
        <x:f>CD136*(1+Premissas!$B$41)+BZ137</x:f>
        <x:v>1813028.213388404</x:v>
      </x:c>
      <x:c r="CB137" s="141" t="n">
        <x:f>MAX(0,-CA137)</x:f>
        <x:v>0</x:v>
      </x:c>
      <x:c r="CC137" s="141" t="n">
        <x:f>CC136*(1+Premissas!$B$41)+CB137</x:f>
        <x:v>0</x:v>
      </x:c>
      <x:c r="CD137" s="141" t="n">
        <x:f>MAX(0,CA137)</x:f>
        <x:v>1813028.213388404</x:v>
      </x:c>
      <x:c r="CE137" s="141" t="n">
        <x:f>IF(AND('Carta Contemplada'!$B$22="Sim",$A137&gt;='Carta Contemplada'!$B$23),INDEX('Carta Contemplada'!$I$55:$I$1013,$A137),0)</x:f>
        <x:v>93532.6937289188</x:v>
      </x:c>
      <x:c r="CF137" s="141" t="n">
        <x:f>IF(AND('Carta Contemplada'!$B$22="Sim",$A137&gt;='Carta Contemplada'!$B$44),$F137,0)</x:f>
        <x:v>379659.7116670852</x:v>
      </x:c>
      <x:c r="CG137" s="141" t="n">
        <x:f>CD137+CF137-CE137</x:f>
        <x:v>2099155.2313265707</x:v>
      </x:c>
      <x:c r="CH137" s="141" t="n">
        <x:f>IF(CC137&gt;1,"Inviavel",CG137)</x:f>
        <x:v>2099155.2313265707</x:v>
      </x:c>
      <x:c r="CI137" s="145" t="str">
        <x:f>IF(CC137&gt;1,"Inviavel","OK")</x:f>
        <x:v>OK</x:v>
      </x:c>
    </x:row>
    <x:row r="138">
      <x:c r="A138" s="142" t="n">
        <x:v>134</x:v>
      </x:c>
      <x:c r="B138" s="179" t="n">
        <x:f>EDATE(Premissas!$B$4,A138-1)</x:f>
        <x:v>50587</x:v>
      </x:c>
      <x:c r="C138" s="141" t="n">
        <x:f>IF(A138&lt;=Premissas!$B$39,Premissas!$B$42,0)</x:f>
        <x:v>7000</x:v>
      </x:c>
      <x:c r="D138" s="141" t="n">
        <x:f>Premissas!$B$54*(1+Premissas!$B$57)^INT((A138-1)/12)</x:f>
        <x:v>1328.8089908347981</x:v>
      </x:c>
      <x:c r="E138" s="141" t="n">
        <x:f>Premissas!$B$64*(1+Premissas!$B$57)^INT((A138-1)/12)</x:f>
        <x:v>1214.9110773346727</x:v>
      </x:c>
      <x:c r="F138" s="141" t="n">
        <x:f>MAX(0,Premissas!$B$6*(1+Premissas!$B$66)^((A138-1)/12))</x:f>
        <x:v>381507.7245112483</x:v>
      </x:c>
      <x:c r="G138" s="141" t="n">
        <x:f>G137*(1+Premissas!$B$41)+C138</x:f>
        <x:v>2193427.9111973415</x:v>
      </x:c>
      <x:c r="H138" s="141" t="n">
        <x:f>IF($A138=Premissas!$B$48,Premissas!$B$8,0)</x:f>
        <x:v>0</x:v>
      </x:c>
      <x:c r="I138" s="141" t="n">
        <x:f>IF(AND($A138&gt;=Premissas!$B$48,$A138-Premissas!$B$48+1&lt;=Premissas!$B$13),INDEX(Financiamento!$J$6:$J$485,$A138-Premissas!$B$48+1),0)</x:f>
        <x:v>1568.3937418001296</x:v>
      </x:c>
      <x:c r="J138" s="141" t="n">
        <x:f>IF(AND(TRUE,Premissas!$B$11="Imovel",Premissas!$B$47="Moradia",$A138&lt;MAX(Premissas!$B$48,Premissas!$B$49)),$D138,0)</x:f>
        <x:v>0</x:v>
      </x:c>
      <x:c r="K138" s="141" t="n">
        <x:f>IF(AND(TRUE,Premissas!$B$11="Imovel",Premissas!$B$47="Investimento",$A138&gt;=MAX(Premissas!$B$48,Premissas!$B$49)),$E138,0)</x:f>
        <x:v>1214.9110773346727</x:v>
      </x:c>
      <x:c r="L138" s="141" t="n">
        <x:f>H138+I138+J138</x:f>
        <x:v>1568.3937418001296</x:v>
      </x:c>
      <x:c r="M138" s="141" t="n">
        <x:f>K138</x:f>
        <x:v>1214.9110773346727</x:v>
      </x:c>
      <x:c r="N138" s="141" t="n">
        <x:f>$C138+M138-L138</x:f>
        <x:v>6646.517335534543</x:v>
      </x:c>
      <x:c r="O138" s="141" t="n">
        <x:f>R137*(1+Premissas!$B$41)+N138</x:f>
        <x:v>1774183.3867049606</x:v>
      </x:c>
      <x:c r="P138" s="141" t="n">
        <x:f>MAX(0,-O138)</x:f>
        <x:v>0</x:v>
      </x:c>
      <x:c r="Q138" s="141" t="n">
        <x:f>Q137*(1+Premissas!$B$41)+P138</x:f>
        <x:v>0</x:v>
      </x:c>
      <x:c r="R138" s="141" t="n">
        <x:f>MAX(0,O138)</x:f>
        <x:v>1774183.3867049606</x:v>
      </x:c>
      <x:c r="S138" s="141" t="n">
        <x:f>IF(AND($A138&gt;=Premissas!$B$48,$A138-Premissas!$B$48+1&lt;=Premissas!$B$13),INDEX(Financiamento!$M$6:$M$485,$A138-Premissas!$B$48+1),0)</x:f>
        <x:v>108952.38095238114</x:v>
      </x:c>
      <x:c r="T138" s="141" t="n">
        <x:f>IF($A138&gt;=Premissas!$B$48,$F138,0)</x:f>
        <x:v>381507.7245112483</x:v>
      </x:c>
      <x:c r="U138" s="141" t="n">
        <x:f>R138+T138-S138</x:f>
        <x:v>2046738.7302638278</x:v>
      </x:c>
      <x:c r="V138" s="141" t="n">
        <x:f>IF(Q138&gt;1,"Inviavel",U138)</x:f>
        <x:v>2046738.7302638278</x:v>
      </x:c>
      <x:c r="W138" s="141" t="str">
        <x:f>IF(Q138&gt;1,"Inviavel","OK")</x:f>
        <x:v>OK</x:v>
      </x:c>
      <x:c r="X138" s="141" t="n">
        <x:f>IF($A138=Premissas!$B$48,Premissas!$B$8,0)</x:f>
        <x:v>0</x:v>
      </x:c>
      <x:c r="Y138" s="141" t="n">
        <x:f>IF(AND($A138&gt;=Premissas!$B$48,$A138-Premissas!$B$48+1&lt;=Premissas!$B$13),INDEX(Amortizacao!$K$6:$K$485,$A138-Premissas!$B$48+1),0)</x:f>
        <x:v>0</x:v>
      </x:c>
      <x:c r="Z138" s="141" t="n">
        <x:f>IF(AND(TRUE,Premissas!$B$11="Imovel",Premissas!$B$47="Moradia",$A138&lt;MAX(Premissas!$B$48,Premissas!$B$49)),$D138,0)</x:f>
        <x:v>0</x:v>
      </x:c>
      <x:c r="AA138" s="141" t="n">
        <x:f>IF(AND(TRUE,Premissas!$B$11="Imovel",Premissas!$B$47="Investimento",$A138&gt;=MAX(Premissas!$B$48,Premissas!$B$49)),$E138,0)</x:f>
        <x:v>1214.9110773346727</x:v>
      </x:c>
      <x:c r="AB138" s="141" t="n">
        <x:f>X138+Y138+Z138</x:f>
        <x:v>0</x:v>
      </x:c>
      <x:c r="AC138" s="141" t="n">
        <x:f>AA138</x:f>
        <x:v>1214.9110773346727</x:v>
      </x:c>
      <x:c r="AD138" s="141" t="n">
        <x:f>$C138+AC138-AB138</x:f>
        <x:v>8214.911077334673</x:v>
      </x:c>
      <x:c r="AE138" s="141" t="n">
        <x:f>AH137*(1+Premissas!$B$41)+AD138</x:f>
        <x:v>1692847.9998112826</x:v>
      </x:c>
      <x:c r="AF138" s="141" t="n">
        <x:f>MAX(0,-AE138)</x:f>
        <x:v>0</x:v>
      </x:c>
      <x:c r="AG138" s="141" t="n">
        <x:f>AG137*(1+Premissas!$B$41)+AF138</x:f>
        <x:v>0</x:v>
      </x:c>
      <x:c r="AH138" s="141" t="n">
        <x:f>MAX(0,AE138)</x:f>
        <x:v>1692847.9998112826</x:v>
      </x:c>
      <x:c r="AI138" s="141" t="n">
        <x:f>IF(AND($A138&gt;=Premissas!$B$48,$A138-Premissas!$B$48+1&lt;=Premissas!$B$13),INDEX(Amortizacao!$L$6:$L$485,$A138-Premissas!$B$48+1),0)</x:f>
        <x:v>0</x:v>
      </x:c>
      <x:c r="AJ138" s="141" t="n">
        <x:f>IF($A138&gt;=Premissas!$B$48,$F138,0)</x:f>
        <x:v>381507.7245112483</x:v>
      </x:c>
      <x:c r="AK138" s="141" t="n">
        <x:f>AH138+AJ138-AI138</x:f>
        <x:v>2074355.724322531</x:v>
      </x:c>
      <x:c r="AL138" s="141" t="n">
        <x:f>IF(AG138&gt;1,"Inviavel",AK138)</x:f>
        <x:v>2074355.724322531</x:v>
      </x:c>
      <x:c r="AM138" s="141" t="str">
        <x:f>IF(AG138&gt;1,"Inviavel","OK")</x:f>
        <x:v>OK</x:v>
      </x:c>
      <x:c r="AN138" s="141" t="n">
        <x:f>IF($A138=Premissas!$B$48,Premissas!$B$8,0)</x:f>
        <x:v>0</x:v>
      </x:c>
      <x:c r="AO138" s="141" t="n">
        <x:f>IF($A138&lt;=Premissas!$B$25,INDEX('Consorcio IQ'!$K$6:$K$485,$A138),0)</x:f>
        <x:v>1082.91451252558</x:v>
      </x:c>
      <x:c r="AP138" s="141" t="n">
        <x:f>IF(AND(TRUE,Premissas!$B$11="Imovel",Premissas!$B$47="Moradia",$A138&lt;MAX(Premissas!$B$48,Premissas!$B$49)),$D138,0)</x:f>
        <x:v>0</x:v>
      </x:c>
      <x:c r="AQ138" s="141" t="n">
        <x:f>IF(AND(TRUE,Premissas!$B$11="Imovel",Premissas!$B$47="Investimento",$A138&gt;=MAX(Premissas!$B$48,Premissas!$B$49)),$E138,0)</x:f>
        <x:v>1214.9110773346727</x:v>
      </x:c>
      <x:c r="AR138" s="141" t="n">
        <x:f>AN138+AO138+AP138</x:f>
        <x:v>1082.91451252558</x:v>
      </x:c>
      <x:c r="AS138" s="141" t="n">
        <x:f>AQ138</x:f>
        <x:v>1214.9110773346727</x:v>
      </x:c>
      <x:c r="AT138" s="141" t="n">
        <x:f>$C138+AS138-AR138</x:f>
        <x:v>7131.996564809093</x:v>
      </x:c>
      <x:c r="AU138" s="141" t="n">
        <x:f>AX137*(1+Premissas!$B$41)+AT138</x:f>
        <x:v>1761269.0378179287</x:v>
      </x:c>
      <x:c r="AV138" s="141" t="n">
        <x:f>MAX(0,-AU138)</x:f>
        <x:v>0</x:v>
      </x:c>
      <x:c r="AW138" s="141" t="n">
        <x:f>AW137*(1+Premissas!$B$41)+AV138</x:f>
        <x:v>0</x:v>
      </x:c>
      <x:c r="AX138" s="141" t="n">
        <x:f>MAX(0,AU138)</x:f>
        <x:v>1761269.0378179287</x:v>
      </x:c>
      <x:c r="AY138" s="141" t="n">
        <x:f>INDEX('Consorcio IQ'!$P$6:$P$485,$A138)</x:f>
        <x:v>88715.32105021081</x:v>
      </x:c>
      <x:c r="AZ138" s="141" t="n">
        <x:f>IF($A138&gt;=Premissas!$B$48,$F138,0)+IF($A138&lt;Premissas!$B$27,INDEX('Consorcio IQ'!$O$6:$O$485,$A138),0)</x:f>
        <x:v>381507.7245112483</x:v>
      </x:c>
      <x:c r="BA138" s="141" t="n">
        <x:f>AX138+AZ138-AY138</x:f>
        <x:v>2054061.4412789661</x:v>
      </x:c>
      <x:c r="BB138" s="141" t="n">
        <x:f>IF(AW138&gt;1,"Inviavel",BA138)</x:f>
        <x:v>2054061.4412789661</x:v>
      </x:c>
      <x:c r="BC138" s="141" t="str">
        <x:f>IF(AW138&gt;1,"Inviavel","OK")</x:f>
        <x:v>OK</x:v>
      </x:c>
      <x:c r="BD138" s="141" t="n">
        <x:f>IF($A138='Consorcio Direto'!$B$29,'Consorcio Direto'!$B$44,0)</x:f>
        <x:v>0</x:v>
      </x:c>
      <x:c r="BE138" s="141" t="n">
        <x:f>IF($A138&lt;='Consorcio Direto'!$B$27,INDEX('Consorcio Direto'!$E$55:$E$534,$A138),0)</x:f>
        <x:v>2804.20795739159</x:v>
      </x:c>
      <x:c r="BF138" s="141" t="n">
        <x:f>IF(AND(TRUE,Premissas!$B$11="Imovel",Premissas!$B$47="Moradia",$A138&lt;MAX('Consorcio Direto'!$B$29,Premissas!$B$49)),$D138,0)</x:f>
        <x:v>0</x:v>
      </x:c>
      <x:c r="BG138" s="141" t="n">
        <x:f>IF(AND(TRUE,Premissas!$B$11="Imovel",Premissas!$B$47="Investimento",$A138&gt;=MAX('Consorcio Direto'!$B$29,Premissas!$B$49)),$E138,0)</x:f>
        <x:v>1214.9110773346727</x:v>
      </x:c>
      <x:c r="BH138" s="141" t="n">
        <x:f>BD138+BE138+BF138</x:f>
        <x:v>2804.20795739159</x:v>
      </x:c>
      <x:c r="BI138" s="141" t="n">
        <x:f>BG138</x:f>
        <x:v>1214.9110773346727</x:v>
      </x:c>
      <x:c r="BJ138" s="141" t="n">
        <x:f>$C138+BI138-BH138</x:f>
        <x:v>5410.703119943083</x:v>
      </x:c>
      <x:c r="BK138" s="141" t="n">
        <x:f>BN137*(1+Premissas!$B$41)+BJ138</x:f>
        <x:v>1792603.9008466993</x:v>
      </x:c>
      <x:c r="BL138" s="141" t="n">
        <x:f>MAX(0,-BK138)</x:f>
        <x:v>0</x:v>
      </x:c>
      <x:c r="BM138" s="141" t="n">
        <x:f>BM137*(1+Premissas!$B$41)+BL138</x:f>
        <x:v>0</x:v>
      </x:c>
      <x:c r="BN138" s="141" t="n">
        <x:f>MAX(0,BK138)</x:f>
        <x:v>1792603.9008466993</x:v>
      </x:c>
      <x:c r="BO138" s="141" t="n">
        <x:f>INDEX('Consorcio Direto'!$K$55:$K$534,$A138)</x:f>
        <x:v>229728.39162654986</x:v>
      </x:c>
      <x:c r="BP138" s="141" t="n">
        <x:f>IF($A138&lt;'Consorcio Direto'!$B$29,INDEX('Consorcio Direto'!$L$55:$L$534,$A138),$F138)</x:f>
        <x:v>381507.7245112483</x:v>
      </x:c>
      <x:c r="BQ138" s="141" t="n">
        <x:f>BN138+BP138-BO138</x:f>
        <x:v>1944383.2337313974</x:v>
      </x:c>
      <x:c r="BR138" s="141" t="n">
        <x:f>IF(BM138&gt;1,"Inviavel",BQ138)</x:f>
        <x:v>1944383.2337313974</x:v>
      </x:c>
      <x:c r="BS138" s="141" t="str">
        <x:f>IF(BM138&gt;1,"Inviavel","OK")</x:f>
        <x:v>OK</x:v>
      </x:c>
      <x:c r="BT138" s="141" t="n">
        <x:f>IF(AND('Carta Contemplada'!$B$22="Sim",$A138='Carta Contemplada'!$B$23),'Carta Contemplada'!$B$37,0)</x:f>
        <x:v>0</x:v>
      </x:c>
      <x:c r="BU138" s="141" t="n">
        <x:f>IF('Carta Contemplada'!$B$22="Sim",INDEX('Carta Contemplada'!$C$55:$C$1013,$A138),0)</x:f>
        <x:v>2277.958270002511</x:v>
      </x:c>
      <x:c r="BV138" s="141" t="n">
        <x:f>IF(AND('Carta Contemplada'!$B$22="Sim",Premissas!$B$11="Imovel",Premissas!$B$47="Moradia",$A138&lt;MAX('Carta Contemplada'!$B$44,Premissas!$B$49)),$D138,0)</x:f>
        <x:v>0</x:v>
      </x:c>
      <x:c r="BW138" s="141" t="n">
        <x:f>IF(AND('Carta Contemplada'!$B$22="Sim",Premissas!$B$11="Imovel",Premissas!$B$47="Investimento",$A138&gt;=MAX('Carta Contemplada'!$B$44,Premissas!$B$49)),$E138,0)</x:f>
        <x:v>1214.9110773346727</x:v>
      </x:c>
      <x:c r="BX138" s="141" t="n">
        <x:f>BT138+BU138+BV138</x:f>
        <x:v>2277.958270002511</x:v>
      </x:c>
      <x:c r="BY138" s="141" t="n">
        <x:f>BW138</x:f>
        <x:v>1214.9110773346727</x:v>
      </x:c>
      <x:c r="BZ138" s="141" t="n">
        <x:f>$C138+BY138-BX138</x:f>
        <x:v>5936.952807332162</x:v>
      </x:c>
      <x:c r="CA138" s="141" t="n">
        <x:f>CD137*(1+Premissas!$B$41)+BZ138</x:f>
        <x:v>1836168.6154971358</x:v>
      </x:c>
      <x:c r="CB138" s="141" t="n">
        <x:f>MAX(0,-CA138)</x:f>
        <x:v>0</x:v>
      </x:c>
      <x:c r="CC138" s="141" t="n">
        <x:f>CC137*(1+Premissas!$B$41)+CB138</x:f>
        <x:v>0</x:v>
      </x:c>
      <x:c r="CD138" s="141" t="n">
        <x:f>MAX(0,CA138)</x:f>
        <x:v>1836168.6154971358</x:v>
      </x:c>
      <x:c r="CE138" s="141" t="n">
        <x:f>IF(AND('Carta Contemplada'!$B$22="Sim",$A138&gt;='Carta Contemplada'!$B$23),INDEX('Carta Contemplada'!$I$55:$I$1013,$A138),0)</x:f>
        <x:v>92142.24782232378</x:v>
      </x:c>
      <x:c r="CF138" s="141" t="n">
        <x:f>IF(AND('Carta Contemplada'!$B$22="Sim",$A138&gt;='Carta Contemplada'!$B$44),$F138,0)</x:f>
        <x:v>381507.7245112483</x:v>
      </x:c>
      <x:c r="CG138" s="141" t="n">
        <x:f>CD138+CF138-CE138</x:f>
        <x:v>2125534.0921860603</x:v>
      </x:c>
      <x:c r="CH138" s="141" t="n">
        <x:f>IF(CC138&gt;1,"Inviavel",CG138)</x:f>
        <x:v>2125534.0921860603</x:v>
      </x:c>
      <x:c r="CI138" s="145" t="str">
        <x:f>IF(CC138&gt;1,"Inviavel","OK")</x:f>
        <x:v>OK</x:v>
      </x:c>
    </x:row>
    <x:row r="139">
      <x:c r="A139" s="142" t="n">
        <x:v>135</x:v>
      </x:c>
      <x:c r="B139" s="179" t="n">
        <x:f>EDATE(Premissas!$B$4,A139-1)</x:f>
        <x:v>50618</x:v>
      </x:c>
      <x:c r="C139" s="141" t="n">
        <x:f>IF(A139&lt;=Premissas!$B$39,Premissas!$B$42,0)</x:f>
        <x:v>7000</x:v>
      </x:c>
      <x:c r="D139" s="141" t="n">
        <x:f>Premissas!$B$54*(1+Premissas!$B$57)^INT((A139-1)/12)</x:f>
        <x:v>1328.8089908347981</x:v>
      </x:c>
      <x:c r="E139" s="141" t="n">
        <x:f>Premissas!$B$64*(1+Premissas!$B$57)^INT((A139-1)/12)</x:f>
        <x:v>1214.9110773346727</x:v>
      </x:c>
      <x:c r="F139" s="141" t="n">
        <x:f>MAX(0,Premissas!$B$6*(1+Premissas!$B$66)^((A139-1)/12))</x:f>
        <x:v>383364.73265137576</x:v>
      </x:c>
      <x:c r="G139" s="141" t="n">
        <x:f>G138*(1+Premissas!$B$41)+C139</x:f>
        <x:v>2221240.894463628</x:v>
      </x:c>
      <x:c r="H139" s="141" t="n">
        <x:f>IF($A139=Premissas!$B$48,Premissas!$B$8,0)</x:f>
        <x:v>0</x:v>
      </x:c>
      <x:c r="I139" s="141" t="n">
        <x:f>IF(AND($A139&gt;=Premissas!$B$48,$A139-Premissas!$B$48+1&lt;=Premissas!$B$13),INDEX(Financiamento!$J$6:$J$485,$A139-Premissas!$B$48+1),0)</x:f>
        <x:v>1564.7789635393362</x:v>
      </x:c>
      <x:c r="J139" s="141" t="n">
        <x:f>IF(AND(TRUE,Premissas!$B$11="Imovel",Premissas!$B$47="Moradia",$A139&lt;MAX(Premissas!$B$48,Premissas!$B$49)),$D139,0)</x:f>
        <x:v>0</x:v>
      </x:c>
      <x:c r="K139" s="141" t="n">
        <x:f>IF(AND(TRUE,Premissas!$B$11="Imovel",Premissas!$B$47="Investimento",$A139&gt;=MAX(Premissas!$B$48,Premissas!$B$49)),$E139,0)</x:f>
        <x:v>1214.9110773346727</x:v>
      </x:c>
      <x:c r="L139" s="141" t="n">
        <x:f>H139+I139+J139</x:f>
        <x:v>1564.7789635393362</x:v>
      </x:c>
      <x:c r="M139" s="141" t="n">
        <x:f>K139</x:f>
        <x:v>1214.9110773346727</x:v>
      </x:c>
      <x:c r="N139" s="141" t="n">
        <x:f>$C139+M139-L139</x:f>
        <x:v>6650.132113795336</x:v>
      </x:c>
      <x:c r="O139" s="141" t="n">
        <x:f>R138*(1+Premissas!$B$41)+N139</x:f>
        <x:v>1797668.3776031765</x:v>
      </x:c>
      <x:c r="P139" s="141" t="n">
        <x:f>MAX(0,-O139)</x:f>
        <x:v>0</x:v>
      </x:c>
      <x:c r="Q139" s="141" t="n">
        <x:f>Q138*(1+Premissas!$B$41)+P139</x:f>
        <x:v>0</x:v>
      </x:c>
      <x:c r="R139" s="141" t="n">
        <x:f>MAX(0,O139)</x:f>
        <x:v>1797668.3776031765</x:v>
      </x:c>
      <x:c r="S139" s="141" t="n">
        <x:f>IF(AND($A139&gt;=Premissas!$B$48,$A139-Premissas!$B$48+1&lt;=Premissas!$B$13),INDEX(Financiamento!$M$6:$M$485,$A139-Premissas!$B$48+1),0)</x:f>
        <x:v>108571.42857142875</x:v>
      </x:c>
      <x:c r="T139" s="141" t="n">
        <x:f>IF($A139&gt;=Premissas!$B$48,$F139,0)</x:f>
        <x:v>383364.73265137576</x:v>
      </x:c>
      <x:c r="U139" s="141" t="n">
        <x:f>R139+T139-S139</x:f>
        <x:v>2072461.6816831236</x:v>
      </x:c>
      <x:c r="V139" s="141" t="n">
        <x:f>IF(Q139&gt;1,"Inviavel",U139)</x:f>
        <x:v>2072461.6816831236</x:v>
      </x:c>
      <x:c r="W139" s="141" t="str">
        <x:f>IF(Q139&gt;1,"Inviavel","OK")</x:f>
        <x:v>OK</x:v>
      </x:c>
      <x:c r="X139" s="141" t="n">
        <x:f>IF($A139=Premissas!$B$48,Premissas!$B$8,0)</x:f>
        <x:v>0</x:v>
      </x:c>
      <x:c r="Y139" s="141" t="n">
        <x:f>IF(AND($A139&gt;=Premissas!$B$48,$A139-Premissas!$B$48+1&lt;=Premissas!$B$13),INDEX(Amortizacao!$K$6:$K$485,$A139-Premissas!$B$48+1),0)</x:f>
        <x:v>0</x:v>
      </x:c>
      <x:c r="Z139" s="141" t="n">
        <x:f>IF(AND(TRUE,Premissas!$B$11="Imovel",Premissas!$B$47="Moradia",$A139&lt;MAX(Premissas!$B$48,Premissas!$B$49)),$D139,0)</x:f>
        <x:v>0</x:v>
      </x:c>
      <x:c r="AA139" s="141" t="n">
        <x:f>IF(AND(TRUE,Premissas!$B$11="Imovel",Premissas!$B$47="Investimento",$A139&gt;=MAX(Premissas!$B$48,Premissas!$B$49)),$E139,0)</x:f>
        <x:v>1214.9110773346727</x:v>
      </x:c>
      <x:c r="AB139" s="141" t="n">
        <x:f>X139+Y139+Z139</x:f>
        <x:v>0</x:v>
      </x:c>
      <x:c r="AC139" s="141" t="n">
        <x:f>AA139</x:f>
        <x:v>1214.9110773346727</x:v>
      </x:c>
      <x:c r="AD139" s="141" t="n">
        <x:f>$C139+AC139-AB139</x:f>
        <x:v>8214.911077334673</x:v>
      </x:c>
      <x:c r="AE139" s="141" t="n">
        <x:f>AH138*(1+Premissas!$B$41)+AD139</x:f>
        <x:v>1717125.9950285498</x:v>
      </x:c>
      <x:c r="AF139" s="141" t="n">
        <x:f>MAX(0,-AE139)</x:f>
        <x:v>0</x:v>
      </x:c>
      <x:c r="AG139" s="141" t="n">
        <x:f>AG138*(1+Premissas!$B$41)+AF139</x:f>
        <x:v>0</x:v>
      </x:c>
      <x:c r="AH139" s="141" t="n">
        <x:f>MAX(0,AE139)</x:f>
        <x:v>1717125.9950285498</x:v>
      </x:c>
      <x:c r="AI139" s="141" t="n">
        <x:f>IF(AND($A139&gt;=Premissas!$B$48,$A139-Premissas!$B$48+1&lt;=Premissas!$B$13),INDEX(Amortizacao!$L$6:$L$485,$A139-Premissas!$B$48+1),0)</x:f>
        <x:v>0</x:v>
      </x:c>
      <x:c r="AJ139" s="141" t="n">
        <x:f>IF($A139&gt;=Premissas!$B$48,$F139,0)</x:f>
        <x:v>383364.73265137576</x:v>
      </x:c>
      <x:c r="AK139" s="141" t="n">
        <x:f>AH139+AJ139-AI139</x:f>
        <x:v>2100490.7276799255</x:v>
      </x:c>
      <x:c r="AL139" s="141" t="n">
        <x:f>IF(AG139&gt;1,"Inviavel",AK139)</x:f>
        <x:v>2100490.7276799255</x:v>
      </x:c>
      <x:c r="AM139" s="141" t="str">
        <x:f>IF(AG139&gt;1,"Inviavel","OK")</x:f>
        <x:v>OK</x:v>
      </x:c>
      <x:c r="AN139" s="141" t="n">
        <x:f>IF($A139=Premissas!$B$48,Premissas!$B$8,0)</x:f>
        <x:v>0</x:v>
      </x:c>
      <x:c r="AO139" s="141" t="n">
        <x:f>IF($A139&lt;=Premissas!$B$25,INDEX('Consorcio IQ'!$K$6:$K$485,$A139),0)</x:f>
        <x:v>1082.91451252558</x:v>
      </x:c>
      <x:c r="AP139" s="141" t="n">
        <x:f>IF(AND(TRUE,Premissas!$B$11="Imovel",Premissas!$B$47="Moradia",$A139&lt;MAX(Premissas!$B$48,Premissas!$B$49)),$D139,0)</x:f>
        <x:v>0</x:v>
      </x:c>
      <x:c r="AQ139" s="141" t="n">
        <x:f>IF(AND(TRUE,Premissas!$B$11="Imovel",Premissas!$B$47="Investimento",$A139&gt;=MAX(Premissas!$B$48,Premissas!$B$49)),$E139,0)</x:f>
        <x:v>1214.9110773346727</x:v>
      </x:c>
      <x:c r="AR139" s="141" t="n">
        <x:f>AN139+AO139+AP139</x:f>
        <x:v>1082.91451252558</x:v>
      </x:c>
      <x:c r="AS139" s="141" t="n">
        <x:f>AQ139</x:f>
        <x:v>1214.9110773346727</x:v>
      </x:c>
      <x:c r="AT139" s="141" t="n">
        <x:f>$C139+AS139-AR139</x:f>
        <x:v>7131.996564809093</x:v>
      </x:c>
      <x:c r="AU139" s="141" t="n">
        <x:f>AX138*(1+Premissas!$B$41)+AT139</x:f>
        <x:v>1785113.3515846843</x:v>
      </x:c>
      <x:c r="AV139" s="141" t="n">
        <x:f>MAX(0,-AU139)</x:f>
        <x:v>0</x:v>
      </x:c>
      <x:c r="AW139" s="141" t="n">
        <x:f>AW138*(1+Premissas!$B$41)+AV139</x:f>
        <x:v>0</x:v>
      </x:c>
      <x:c r="AX139" s="141" t="n">
        <x:f>MAX(0,AU139)</x:f>
        <x:v>1785113.3515846843</x:v>
      </x:c>
      <x:c r="AY139" s="141" t="n">
        <x:f>INDEX('Consorcio IQ'!$P$6:$P$485,$A139)</x:f>
        <x:v>88474.20784925575</x:v>
      </x:c>
      <x:c r="AZ139" s="141" t="n">
        <x:f>IF($A139&gt;=Premissas!$B$48,$F139,0)+IF($A139&lt;Premissas!$B$27,INDEX('Consorcio IQ'!$O$6:$O$485,$A139),0)</x:f>
        <x:v>383364.73265137576</x:v>
      </x:c>
      <x:c r="BA139" s="141" t="n">
        <x:f>AX139+AZ139-AY139</x:f>
        <x:v>2080003.8763868045</x:v>
      </x:c>
      <x:c r="BB139" s="141" t="n">
        <x:f>IF(AW139&gt;1,"Inviavel",BA139)</x:f>
        <x:v>2080003.8763868045</x:v>
      </x:c>
      <x:c r="BC139" s="141" t="str">
        <x:f>IF(AW139&gt;1,"Inviavel","OK")</x:f>
        <x:v>OK</x:v>
      </x:c>
      <x:c r="BD139" s="141" t="n">
        <x:f>IF($A139='Consorcio Direto'!$B$29,'Consorcio Direto'!$B$44,0)</x:f>
        <x:v>0</x:v>
      </x:c>
      <x:c r="BE139" s="141" t="n">
        <x:f>IF($A139&lt;='Consorcio Direto'!$B$27,INDEX('Consorcio Direto'!$E$55:$E$534,$A139),0)</x:f>
        <x:v>2804.20795739159</x:v>
      </x:c>
      <x:c r="BF139" s="141" t="n">
        <x:f>IF(AND(TRUE,Premissas!$B$11="Imovel",Premissas!$B$47="Moradia",$A139&lt;MAX('Consorcio Direto'!$B$29,Premissas!$B$49)),$D139,0)</x:f>
        <x:v>0</x:v>
      </x:c>
      <x:c r="BG139" s="141" t="n">
        <x:f>IF(AND(TRUE,Premissas!$B$11="Imovel",Premissas!$B$47="Investimento",$A139&gt;=MAX('Consorcio Direto'!$B$29,Premissas!$B$49)),$E139,0)</x:f>
        <x:v>1214.9110773346727</x:v>
      </x:c>
      <x:c r="BH139" s="141" t="n">
        <x:f>BD139+BE139+BF139</x:f>
        <x:v>2804.20795739159</x:v>
      </x:c>
      <x:c r="BI139" s="141" t="n">
        <x:f>BG139</x:f>
        <x:v>1214.9110773346727</x:v>
      </x:c>
      <x:c r="BJ139" s="141" t="n">
        <x:f>$C139+BI139-BH139</x:f>
        <x:v>5410.703119943083</x:v>
      </x:c>
      <x:c r="BK139" s="141" t="n">
        <x:f>BN138*(1+Premissas!$B$41)+BJ139</x:f>
        <x:v>1815024.2511955025</x:v>
      </x:c>
      <x:c r="BL139" s="141" t="n">
        <x:f>MAX(0,-BK139)</x:f>
        <x:v>0</x:v>
      </x:c>
      <x:c r="BM139" s="141" t="n">
        <x:f>BM138*(1+Premissas!$B$41)+BL139</x:f>
        <x:v>0</x:v>
      </x:c>
      <x:c r="BN139" s="141" t="n">
        <x:f>MAX(0,BK139)</x:f>
        <x:v>1815024.2511955025</x:v>
      </x:c>
      <x:c r="BO139" s="141" t="n">
        <x:f>INDEX('Consorcio Direto'!$K$55:$K$534,$A139)</x:f>
        <x:v>229104.0288084974</x:v>
      </x:c>
      <x:c r="BP139" s="141" t="n">
        <x:f>IF($A139&lt;'Consorcio Direto'!$B$29,INDEX('Consorcio Direto'!$L$55:$L$534,$A139),$F139)</x:f>
        <x:v>383364.73265137576</x:v>
      </x:c>
      <x:c r="BQ139" s="141" t="n">
        <x:f>BN139+BP139-BO139</x:f>
        <x:v>1969284.9550383808</x:v>
      </x:c>
      <x:c r="BR139" s="141" t="n">
        <x:f>IF(BM139&gt;1,"Inviavel",BQ139)</x:f>
        <x:v>1969284.9550383808</x:v>
      </x:c>
      <x:c r="BS139" s="141" t="str">
        <x:f>IF(BM139&gt;1,"Inviavel","OK")</x:f>
        <x:v>OK</x:v>
      </x:c>
      <x:c r="BT139" s="141" t="n">
        <x:f>IF(AND('Carta Contemplada'!$B$22="Sim",$A139='Carta Contemplada'!$B$23),'Carta Contemplada'!$B$37,0)</x:f>
        <x:v>0</x:v>
      </x:c>
      <x:c r="BU139" s="141" t="n">
        <x:f>IF('Carta Contemplada'!$B$22="Sim",INDEX('Carta Contemplada'!$C$55:$C$1013,$A139),0)</x:f>
        <x:v>2277.958270002511</x:v>
      </x:c>
      <x:c r="BV139" s="141" t="n">
        <x:f>IF(AND('Carta Contemplada'!$B$22="Sim",Premissas!$B$11="Imovel",Premissas!$B$47="Moradia",$A139&lt;MAX('Carta Contemplada'!$B$44,Premissas!$B$49)),$D139,0)</x:f>
        <x:v>0</x:v>
      </x:c>
      <x:c r="BW139" s="141" t="n">
        <x:f>IF(AND('Carta Contemplada'!$B$22="Sim",Premissas!$B$11="Imovel",Premissas!$B$47="Investimento",$A139&gt;=MAX('Carta Contemplada'!$B$44,Premissas!$B$49)),$E139,0)</x:f>
        <x:v>1214.9110773346727</x:v>
      </x:c>
      <x:c r="BX139" s="141" t="n">
        <x:f>BT139+BU139+BV139</x:f>
        <x:v>2277.958270002511</x:v>
      </x:c>
      <x:c r="BY139" s="141" t="n">
        <x:f>BW139</x:f>
        <x:v>1214.9110773346727</x:v>
      </x:c>
      <x:c r="BZ139" s="141" t="n">
        <x:f>$C139+BY139-BX139</x:f>
        <x:v>5936.952807332162</x:v>
      </x:c>
      <x:c r="CA139" s="141" t="n">
        <x:f>CD138*(1+Premissas!$B$41)+BZ139</x:f>
        <x:v>1859528.5920899003</x:v>
      </x:c>
      <x:c r="CB139" s="141" t="n">
        <x:f>MAX(0,-CA139)</x:f>
        <x:v>0</x:v>
      </x:c>
      <x:c r="CC139" s="141" t="n">
        <x:f>CC138*(1+Premissas!$B$41)+CB139</x:f>
        <x:v>0</x:v>
      </x:c>
      <x:c r="CD139" s="141" t="n">
        <x:f>MAX(0,CA139)</x:f>
        <x:v>1859528.5920899003</x:v>
      </x:c>
      <x:c r="CE139" s="141" t="n">
        <x:f>IF(AND('Carta Contemplada'!$B$22="Sim",$A139&gt;='Carta Contemplada'!$B$23),INDEX('Carta Contemplada'!$I$55:$I$1013,$A139),0)</x:f>
        <x:v>90738.60826243434</x:v>
      </x:c>
      <x:c r="CF139" s="141" t="n">
        <x:f>IF(AND('Carta Contemplada'!$B$22="Sim",$A139&gt;='Carta Contemplada'!$B$44),$F139,0)</x:f>
        <x:v>383364.73265137576</x:v>
      </x:c>
      <x:c r="CG139" s="141" t="n">
        <x:f>CD139+CF139-CE139</x:f>
        <x:v>2152154.716478842</x:v>
      </x:c>
      <x:c r="CH139" s="141" t="n">
        <x:f>IF(CC139&gt;1,"Inviavel",CG139)</x:f>
        <x:v>2152154.716478842</x:v>
      </x:c>
      <x:c r="CI139" s="145" t="str">
        <x:f>IF(CC139&gt;1,"Inviavel","OK")</x:f>
        <x:v>OK</x:v>
      </x:c>
    </x:row>
    <x:row r="140">
      <x:c r="A140" s="142" t="n">
        <x:v>136</x:v>
      </x:c>
      <x:c r="B140" s="179" t="n">
        <x:f>EDATE(Premissas!$B$4,A140-1)</x:f>
        <x:v>50649</x:v>
      </x:c>
      <x:c r="C140" s="141" t="n">
        <x:f>IF(A140&lt;=Premissas!$B$39,Premissas!$B$42,0)</x:f>
        <x:v>7000</x:v>
      </x:c>
      <x:c r="D140" s="141" t="n">
        <x:f>Premissas!$B$54*(1+Premissas!$B$57)^INT((A140-1)/12)</x:f>
        <x:v>1328.8089908347981</x:v>
      </x:c>
      <x:c r="E140" s="141" t="n">
        <x:f>Premissas!$B$64*(1+Premissas!$B$57)^INT((A140-1)/12)</x:f>
        <x:v>1214.9110773346727</x:v>
      </x:c>
      <x:c r="F140" s="141" t="n">
        <x:f>MAX(0,Premissas!$B$6*(1+Premissas!$B$66)^((A140-1)/12))</x:f>
        <x:v>385230.77987252554</x:v>
      </x:c>
      <x:c r="G140" s="141" t="n">
        <x:f>G139*(1+Premissas!$B$41)+C140</x:f>
        <x:v>2249317.7893690215</x:v>
      </x:c>
      <x:c r="H140" s="141" t="n">
        <x:f>IF($A140=Premissas!$B$48,Premissas!$B$8,0)</x:f>
        <x:v>0</x:v>
      </x:c>
      <x:c r="I140" s="141" t="n">
        <x:f>IF(AND($A140&gt;=Premissas!$B$48,$A140-Premissas!$B$48+1&lt;=Premissas!$B$13),INDEX(Financiamento!$J$6:$J$485,$A140-Premissas!$B$48+1),0)</x:f>
        <x:v>1561.1641852785426</x:v>
      </x:c>
      <x:c r="J140" s="141" t="n">
        <x:f>IF(AND(TRUE,Premissas!$B$11="Imovel",Premissas!$B$47="Moradia",$A140&lt;MAX(Premissas!$B$48,Premissas!$B$49)),$D140,0)</x:f>
        <x:v>0</x:v>
      </x:c>
      <x:c r="K140" s="141" t="n">
        <x:f>IF(AND(TRUE,Premissas!$B$11="Imovel",Premissas!$B$47="Investimento",$A140&gt;=MAX(Premissas!$B$48,Premissas!$B$49)),$E140,0)</x:f>
        <x:v>1214.9110773346727</x:v>
      </x:c>
      <x:c r="L140" s="141" t="n">
        <x:f>H140+I140+J140</x:f>
        <x:v>1561.1641852785426</x:v>
      </x:c>
      <x:c r="M140" s="141" t="n">
        <x:f>K140</x:f>
        <x:v>1214.9110773346727</x:v>
      </x:c>
      <x:c r="N140" s="141" t="n">
        <x:f>$C140+M140-L140</x:f>
        <x:v>6653.7468920561305</x:v>
      </x:c>
      <x:c r="O140" s="141" t="n">
        <x:f>R139*(1+Premissas!$B$41)+N140</x:f>
        <x:v>1821379.827495357</x:v>
      </x:c>
      <x:c r="P140" s="141" t="n">
        <x:f>MAX(0,-O140)</x:f>
        <x:v>0</x:v>
      </x:c>
      <x:c r="Q140" s="141" t="n">
        <x:f>Q139*(1+Premissas!$B$41)+P140</x:f>
        <x:v>0</x:v>
      </x:c>
      <x:c r="R140" s="141" t="n">
        <x:f>MAX(0,O140)</x:f>
        <x:v>1821379.827495357</x:v>
      </x:c>
      <x:c r="S140" s="141" t="n">
        <x:f>IF(AND($A140&gt;=Premissas!$B$48,$A140-Premissas!$B$48+1&lt;=Premissas!$B$13),INDEX(Financiamento!$M$6:$M$485,$A140-Premissas!$B$48+1),0)</x:f>
        <x:v>108190.47619047637</x:v>
      </x:c>
      <x:c r="T140" s="141" t="n">
        <x:f>IF($A140&gt;=Premissas!$B$48,$F140,0)</x:f>
        <x:v>385230.77987252554</x:v>
      </x:c>
      <x:c r="U140" s="141" t="n">
        <x:f>R140+T140-S140</x:f>
        <x:v>2098420.1311774063</x:v>
      </x:c>
      <x:c r="V140" s="141" t="n">
        <x:f>IF(Q140&gt;1,"Inviavel",U140)</x:f>
        <x:v>2098420.1311774063</x:v>
      </x:c>
      <x:c r="W140" s="141" t="str">
        <x:f>IF(Q140&gt;1,"Inviavel","OK")</x:f>
        <x:v>OK</x:v>
      </x:c>
      <x:c r="X140" s="141" t="n">
        <x:f>IF($A140=Premissas!$B$48,Premissas!$B$8,0)</x:f>
        <x:v>0</x:v>
      </x:c>
      <x:c r="Y140" s="141" t="n">
        <x:f>IF(AND($A140&gt;=Premissas!$B$48,$A140-Premissas!$B$48+1&lt;=Premissas!$B$13),INDEX(Amortizacao!$K$6:$K$485,$A140-Premissas!$B$48+1),0)</x:f>
        <x:v>0</x:v>
      </x:c>
      <x:c r="Z140" s="141" t="n">
        <x:f>IF(AND(TRUE,Premissas!$B$11="Imovel",Premissas!$B$47="Moradia",$A140&lt;MAX(Premissas!$B$48,Premissas!$B$49)),$D140,0)</x:f>
        <x:v>0</x:v>
      </x:c>
      <x:c r="AA140" s="141" t="n">
        <x:f>IF(AND(TRUE,Premissas!$B$11="Imovel",Premissas!$B$47="Investimento",$A140&gt;=MAX(Premissas!$B$48,Premissas!$B$49)),$E140,0)</x:f>
        <x:v>1214.9110773346727</x:v>
      </x:c>
      <x:c r="AB140" s="141" t="n">
        <x:f>X140+Y140+Z140</x:f>
        <x:v>0</x:v>
      </x:c>
      <x:c r="AC140" s="141" t="n">
        <x:f>AA140</x:f>
        <x:v>1214.9110773346727</x:v>
      </x:c>
      <x:c r="AD140" s="141" t="n">
        <x:f>$C140+AC140-AB140</x:f>
        <x:v>8214.911077334673</x:v>
      </x:c>
      <x:c r="AE140" s="141" t="n">
        <x:f>AH139*(1+Premissas!$B$41)+AD140</x:f>
        <x:v>1741634.3591153005</x:v>
      </x:c>
      <x:c r="AF140" s="141" t="n">
        <x:f>MAX(0,-AE140)</x:f>
        <x:v>0</x:v>
      </x:c>
      <x:c r="AG140" s="141" t="n">
        <x:f>AG139*(1+Premissas!$B$41)+AF140</x:f>
        <x:v>0</x:v>
      </x:c>
      <x:c r="AH140" s="141" t="n">
        <x:f>MAX(0,AE140)</x:f>
        <x:v>1741634.3591153005</x:v>
      </x:c>
      <x:c r="AI140" s="141" t="n">
        <x:f>IF(AND($A140&gt;=Premissas!$B$48,$A140-Premissas!$B$48+1&lt;=Premissas!$B$13),INDEX(Amortizacao!$L$6:$L$485,$A140-Premissas!$B$48+1),0)</x:f>
        <x:v>0</x:v>
      </x:c>
      <x:c r="AJ140" s="141" t="n">
        <x:f>IF($A140&gt;=Premissas!$B$48,$F140,0)</x:f>
        <x:v>385230.77987252554</x:v>
      </x:c>
      <x:c r="AK140" s="141" t="n">
        <x:f>AH140+AJ140-AI140</x:f>
        <x:v>2126865.138987826</x:v>
      </x:c>
      <x:c r="AL140" s="141" t="n">
        <x:f>IF(AG140&gt;1,"Inviavel",AK140)</x:f>
        <x:v>2126865.138987826</x:v>
      </x:c>
      <x:c r="AM140" s="141" t="str">
        <x:f>IF(AG140&gt;1,"Inviavel","OK")</x:f>
        <x:v>OK</x:v>
      </x:c>
      <x:c r="AN140" s="141" t="n">
        <x:f>IF($A140=Premissas!$B$48,Premissas!$B$8,0)</x:f>
        <x:v>0</x:v>
      </x:c>
      <x:c r="AO140" s="141" t="n">
        <x:f>IF($A140&lt;=Premissas!$B$25,INDEX('Consorcio IQ'!$K$6:$K$485,$A140),0)</x:f>
        <x:v>1082.91451252558</x:v>
      </x:c>
      <x:c r="AP140" s="141" t="n">
        <x:f>IF(AND(TRUE,Premissas!$B$11="Imovel",Premissas!$B$47="Moradia",$A140&lt;MAX(Premissas!$B$48,Premissas!$B$49)),$D140,0)</x:f>
        <x:v>0</x:v>
      </x:c>
      <x:c r="AQ140" s="141" t="n">
        <x:f>IF(AND(TRUE,Premissas!$B$11="Imovel",Premissas!$B$47="Investimento",$A140&gt;=MAX(Premissas!$B$48,Premissas!$B$49)),$E140,0)</x:f>
        <x:v>1214.9110773346727</x:v>
      </x:c>
      <x:c r="AR140" s="141" t="n">
        <x:f>AN140+AO140+AP140</x:f>
        <x:v>1082.91451252558</x:v>
      </x:c>
      <x:c r="AS140" s="141" t="n">
        <x:f>AQ140</x:f>
        <x:v>1214.9110773346727</x:v>
      </x:c>
      <x:c r="AT140" s="141" t="n">
        <x:f>$C140+AS140-AR140</x:f>
        <x:v>7131.996564809093</x:v>
      </x:c>
      <x:c r="AU140" s="141" t="n">
        <x:f>AX139*(1+Premissas!$B$41)+AT140</x:f>
        <x:v>1809183.91910744</x:v>
      </x:c>
      <x:c r="AV140" s="141" t="n">
        <x:f>MAX(0,-AU140)</x:f>
        <x:v>0</x:v>
      </x:c>
      <x:c r="AW140" s="141" t="n">
        <x:f>AW139*(1+Premissas!$B$41)+AV140</x:f>
        <x:v>0</x:v>
      </x:c>
      <x:c r="AX140" s="141" t="n">
        <x:f>MAX(0,AU140)</x:f>
        <x:v>1809183.91910744</x:v>
      </x:c>
      <x:c r="AY140" s="141" t="n">
        <x:f>INDEX('Consorcio IQ'!$P$6:$P$485,$A140)</x:f>
        <x:v>88230.80677506303</x:v>
      </x:c>
      <x:c r="AZ140" s="141" t="n">
        <x:f>IF($A140&gt;=Premissas!$B$48,$F140,0)+IF($A140&lt;Premissas!$B$27,INDEX('Consorcio IQ'!$O$6:$O$485,$A140),0)</x:f>
        <x:v>385230.77987252554</x:v>
      </x:c>
      <x:c r="BA140" s="141" t="n">
        <x:f>AX140+AZ140-AY140</x:f>
        <x:v>2106183.8922049026</x:v>
      </x:c>
      <x:c r="BB140" s="141" t="n">
        <x:f>IF(AW140&gt;1,"Inviavel",BA140)</x:f>
        <x:v>2106183.8922049026</x:v>
      </x:c>
      <x:c r="BC140" s="141" t="str">
        <x:f>IF(AW140&gt;1,"Inviavel","OK")</x:f>
        <x:v>OK</x:v>
      </x:c>
      <x:c r="BD140" s="141" t="n">
        <x:f>IF($A140='Consorcio Direto'!$B$29,'Consorcio Direto'!$B$44,0)</x:f>
        <x:v>0</x:v>
      </x:c>
      <x:c r="BE140" s="141" t="n">
        <x:f>IF($A140&lt;='Consorcio Direto'!$B$27,INDEX('Consorcio Direto'!$E$55:$E$534,$A140),0)</x:f>
        <x:v>2804.20795739159</x:v>
      </x:c>
      <x:c r="BF140" s="141" t="n">
        <x:f>IF(AND(TRUE,Premissas!$B$11="Imovel",Premissas!$B$47="Moradia",$A140&lt;MAX('Consorcio Direto'!$B$29,Premissas!$B$49)),$D140,0)</x:f>
        <x:v>0</x:v>
      </x:c>
      <x:c r="BG140" s="141" t="n">
        <x:f>IF(AND(TRUE,Premissas!$B$11="Imovel",Premissas!$B$47="Investimento",$A140&gt;=MAX('Consorcio Direto'!$B$29,Premissas!$B$49)),$E140,0)</x:f>
        <x:v>1214.9110773346727</x:v>
      </x:c>
      <x:c r="BH140" s="141" t="n">
        <x:f>BD140+BE140+BF140</x:f>
        <x:v>2804.20795739159</x:v>
      </x:c>
      <x:c r="BI140" s="141" t="n">
        <x:f>BG140</x:f>
        <x:v>1214.9110773346727</x:v>
      </x:c>
      <x:c r="BJ140" s="141" t="n">
        <x:f>$C140+BI140-BH140</x:f>
        <x:v>5410.703119943083</x:v>
      </x:c>
      <x:c r="BK140" s="141" t="n">
        <x:f>BN139*(1+Premissas!$B$41)+BJ140</x:f>
        <x:v>1837657.3436062864</x:v>
      </x:c>
      <x:c r="BL140" s="141" t="n">
        <x:f>MAX(0,-BK140)</x:f>
        <x:v>0</x:v>
      </x:c>
      <x:c r="BM140" s="141" t="n">
        <x:f>BM139*(1+Premissas!$B$41)+BL140</x:f>
        <x:v>0</x:v>
      </x:c>
      <x:c r="BN140" s="141" t="n">
        <x:f>MAX(0,BK140)</x:f>
        <x:v>1837657.3436062864</x:v>
      </x:c>
      <x:c r="BO140" s="141" t="n">
        <x:f>INDEX('Consorcio Direto'!$K$55:$K$534,$A140)</x:f>
        <x:v>228473.74154094837</x:v>
      </x:c>
      <x:c r="BP140" s="141" t="n">
        <x:f>IF($A140&lt;'Consorcio Direto'!$B$29,INDEX('Consorcio Direto'!$L$55:$L$534,$A140),$F140)</x:f>
        <x:v>385230.77987252554</x:v>
      </x:c>
      <x:c r="BQ140" s="141" t="n">
        <x:f>BN140+BP140-BO140</x:f>
        <x:v>1994414.3819378638</x:v>
      </x:c>
      <x:c r="BR140" s="141" t="n">
        <x:f>IF(BM140&gt;1,"Inviavel",BQ140)</x:f>
        <x:v>1994414.3819378638</x:v>
      </x:c>
      <x:c r="BS140" s="141" t="str">
        <x:f>IF(BM140&gt;1,"Inviavel","OK")</x:f>
        <x:v>OK</x:v>
      </x:c>
      <x:c r="BT140" s="141" t="n">
        <x:f>IF(AND('Carta Contemplada'!$B$22="Sim",$A140='Carta Contemplada'!$B$23),'Carta Contemplada'!$B$37,0)</x:f>
        <x:v>0</x:v>
      </x:c>
      <x:c r="BU140" s="141" t="n">
        <x:f>IF('Carta Contemplada'!$B$22="Sim",INDEX('Carta Contemplada'!$C$55:$C$1013,$A140),0)</x:f>
        <x:v>2277.958270002511</x:v>
      </x:c>
      <x:c r="BV140" s="141" t="n">
        <x:f>IF(AND('Carta Contemplada'!$B$22="Sim",Premissas!$B$11="Imovel",Premissas!$B$47="Moradia",$A140&lt;MAX('Carta Contemplada'!$B$44,Premissas!$B$49)),$D140,0)</x:f>
        <x:v>0</x:v>
      </x:c>
      <x:c r="BW140" s="141" t="n">
        <x:f>IF(AND('Carta Contemplada'!$B$22="Sim",Premissas!$B$11="Imovel",Premissas!$B$47="Investimento",$A140&gt;=MAX('Carta Contemplada'!$B$44,Premissas!$B$49)),$E140,0)</x:f>
        <x:v>1214.9110773346727</x:v>
      </x:c>
      <x:c r="BX140" s="141" t="n">
        <x:f>BT140+BU140+BV140</x:f>
        <x:v>2277.958270002511</x:v>
      </x:c>
      <x:c r="BY140" s="141" t="n">
        <x:f>BW140</x:f>
        <x:v>1214.9110773346727</x:v>
      </x:c>
      <x:c r="BZ140" s="141" t="n">
        <x:f>$C140+BY140-BX140</x:f>
        <x:v>5936.952807332162</x:v>
      </x:c>
      <x:c r="CA140" s="141" t="n">
        <x:f>CD139*(1+Premissas!$B$41)+BZ140</x:f>
        <x:v>1883110.2266635103</x:v>
      </x:c>
      <x:c r="CB140" s="141" t="n">
        <x:f>MAX(0,-CA140)</x:f>
        <x:v>0</x:v>
      </x:c>
      <x:c r="CC140" s="141" t="n">
        <x:f>CC139*(1+Premissas!$B$41)+CB140</x:f>
        <x:v>0</x:v>
      </x:c>
      <x:c r="CD140" s="141" t="n">
        <x:f>MAX(0,CA140)</x:f>
        <x:v>1883110.2266635103</x:v>
      </x:c>
      <x:c r="CE140" s="141" t="n">
        <x:f>IF(AND('Carta Contemplada'!$B$22="Sim",$A140&gt;='Carta Contemplada'!$B$23),INDEX('Carta Contemplada'!$I$55:$I$1013,$A140),0)</x:f>
        <x:v>89321.64985740632</x:v>
      </x:c>
      <x:c r="CF140" s="141" t="n">
        <x:f>IF(AND('Carta Contemplada'!$B$22="Sim",$A140&gt;='Carta Contemplada'!$B$44),$F140,0)</x:f>
        <x:v>385230.77987252554</x:v>
      </x:c>
      <x:c r="CG140" s="141" t="n">
        <x:f>CD140+CF140-CE140</x:f>
        <x:v>2179019.3566786293</x:v>
      </x:c>
      <x:c r="CH140" s="141" t="n">
        <x:f>IF(CC140&gt;1,"Inviavel",CG140)</x:f>
        <x:v>2179019.3566786293</x:v>
      </x:c>
      <x:c r="CI140" s="145" t="str">
        <x:f>IF(CC140&gt;1,"Inviavel","OK")</x:f>
        <x:v>OK</x:v>
      </x:c>
    </x:row>
    <x:row r="141">
      <x:c r="A141" s="142" t="n">
        <x:v>137</x:v>
      </x:c>
      <x:c r="B141" s="179" t="n">
        <x:f>EDATE(Premissas!$B$4,A141-1)</x:f>
        <x:v>50679</x:v>
      </x:c>
      <x:c r="C141" s="141" t="n">
        <x:f>IF(A141&lt;=Premissas!$B$39,Premissas!$B$42,0)</x:f>
        <x:v>7000</x:v>
      </x:c>
      <x:c r="D141" s="141" t="n">
        <x:f>Premissas!$B$54*(1+Premissas!$B$57)^INT((A141-1)/12)</x:f>
        <x:v>1328.8089908347981</x:v>
      </x:c>
      <x:c r="E141" s="141" t="n">
        <x:f>Premissas!$B$64*(1+Premissas!$B$57)^INT((A141-1)/12)</x:f>
        <x:v>1214.9110773346727</x:v>
      </x:c>
      <x:c r="F141" s="141" t="n">
        <x:f>MAX(0,Premissas!$B$6*(1+Premissas!$B$66)^((A141-1)/12))</x:f>
        <x:v>387105.91017288156</x:v>
      </x:c>
      <x:c r="G141" s="141" t="n">
        <x:f>G140*(1+Premissas!$B$41)+C141</x:f>
        <x:v>2277661.100116418</x:v>
      </x:c>
      <x:c r="H141" s="141" t="n">
        <x:f>IF($A141=Premissas!$B$48,Premissas!$B$8,0)</x:f>
        <x:v>0</x:v>
      </x:c>
      <x:c r="I141" s="141" t="n">
        <x:f>IF(AND($A141&gt;=Premissas!$B$48,$A141-Premissas!$B$48+1&lt;=Premissas!$B$13),INDEX(Financiamento!$J$6:$J$485,$A141-Premissas!$B$48+1),0)</x:f>
        <x:v>1557.549407017749</x:v>
      </x:c>
      <x:c r="J141" s="141" t="n">
        <x:f>IF(AND(TRUE,Premissas!$B$11="Imovel",Premissas!$B$47="Moradia",$A141&lt;MAX(Premissas!$B$48,Premissas!$B$49)),$D141,0)</x:f>
        <x:v>0</x:v>
      </x:c>
      <x:c r="K141" s="141" t="n">
        <x:f>IF(AND(TRUE,Premissas!$B$11="Imovel",Premissas!$B$47="Investimento",$A141&gt;=MAX(Premissas!$B$48,Premissas!$B$49)),$E141,0)</x:f>
        <x:v>1214.9110773346727</x:v>
      </x:c>
      <x:c r="L141" s="141" t="n">
        <x:f>H141+I141+J141</x:f>
        <x:v>1557.549407017749</x:v>
      </x:c>
      <x:c r="M141" s="141" t="n">
        <x:f>K141</x:f>
        <x:v>1214.9110773346727</x:v>
      </x:c>
      <x:c r="N141" s="141" t="n">
        <x:f>$C141+M141-L141</x:f>
        <x:v>6657.361670316924</x:v>
      </x:c>
      <x:c r="O141" s="141" t="n">
        <x:f>R140*(1+Premissas!$B$41)+N141</x:f>
        <x:v>1845319.885204004</x:v>
      </x:c>
      <x:c r="P141" s="141" t="n">
        <x:f>MAX(0,-O141)</x:f>
        <x:v>0</x:v>
      </x:c>
      <x:c r="Q141" s="141" t="n">
        <x:f>Q140*(1+Premissas!$B$41)+P141</x:f>
        <x:v>0</x:v>
      </x:c>
      <x:c r="R141" s="141" t="n">
        <x:f>MAX(0,O141)</x:f>
        <x:v>1845319.885204004</x:v>
      </x:c>
      <x:c r="S141" s="141" t="n">
        <x:f>IF(AND($A141&gt;=Premissas!$B$48,$A141-Premissas!$B$48+1&lt;=Premissas!$B$13),INDEX(Financiamento!$M$6:$M$485,$A141-Premissas!$B$48+1),0)</x:f>
        <x:v>107809.52380952399</x:v>
      </x:c>
      <x:c r="T141" s="141" t="n">
        <x:f>IF($A141&gt;=Premissas!$B$48,$F141,0)</x:f>
        <x:v>387105.91017288156</x:v>
      </x:c>
      <x:c r="U141" s="141" t="n">
        <x:f>R141+T141-S141</x:f>
        <x:v>2124616.271567362</x:v>
      </x:c>
      <x:c r="V141" s="141" t="n">
        <x:f>IF(Q141&gt;1,"Inviavel",U141)</x:f>
        <x:v>2124616.271567362</x:v>
      </x:c>
      <x:c r="W141" s="141" t="str">
        <x:f>IF(Q141&gt;1,"Inviavel","OK")</x:f>
        <x:v>OK</x:v>
      </x:c>
      <x:c r="X141" s="141" t="n">
        <x:f>IF($A141=Premissas!$B$48,Premissas!$B$8,0)</x:f>
        <x:v>0</x:v>
      </x:c>
      <x:c r="Y141" s="141" t="n">
        <x:f>IF(AND($A141&gt;=Premissas!$B$48,$A141-Premissas!$B$48+1&lt;=Premissas!$B$13),INDEX(Amortizacao!$K$6:$K$485,$A141-Premissas!$B$48+1),0)</x:f>
        <x:v>0</x:v>
      </x:c>
      <x:c r="Z141" s="141" t="n">
        <x:f>IF(AND(TRUE,Premissas!$B$11="Imovel",Premissas!$B$47="Moradia",$A141&lt;MAX(Premissas!$B$48,Premissas!$B$49)),$D141,0)</x:f>
        <x:v>0</x:v>
      </x:c>
      <x:c r="AA141" s="141" t="n">
        <x:f>IF(AND(TRUE,Premissas!$B$11="Imovel",Premissas!$B$47="Investimento",$A141&gt;=MAX(Premissas!$B$48,Premissas!$B$49)),$E141,0)</x:f>
        <x:v>1214.9110773346727</x:v>
      </x:c>
      <x:c r="AB141" s="141" t="n">
        <x:f>X141+Y141+Z141</x:f>
        <x:v>0</x:v>
      </x:c>
      <x:c r="AC141" s="141" t="n">
        <x:f>AA141</x:f>
        <x:v>1214.9110773346727</x:v>
      </x:c>
      <x:c r="AD141" s="141" t="n">
        <x:f>$C141+AC141-AB141</x:f>
        <x:v>8214.911077334673</x:v>
      </x:c>
      <x:c r="AE141" s="141" t="n">
        <x:f>AH140*(1+Premissas!$B$41)+AD141</x:f>
        <x:v>1766375.2779940355</x:v>
      </x:c>
      <x:c r="AF141" s="141" t="n">
        <x:f>MAX(0,-AE141)</x:f>
        <x:v>0</x:v>
      </x:c>
      <x:c r="AG141" s="141" t="n">
        <x:f>AG140*(1+Premissas!$B$41)+AF141</x:f>
        <x:v>0</x:v>
      </x:c>
      <x:c r="AH141" s="141" t="n">
        <x:f>MAX(0,AE141)</x:f>
        <x:v>1766375.2779940355</x:v>
      </x:c>
      <x:c r="AI141" s="141" t="n">
        <x:f>IF(AND($A141&gt;=Premissas!$B$48,$A141-Premissas!$B$48+1&lt;=Premissas!$B$13),INDEX(Amortizacao!$L$6:$L$485,$A141-Premissas!$B$48+1),0)</x:f>
        <x:v>0</x:v>
      </x:c>
      <x:c r="AJ141" s="141" t="n">
        <x:f>IF($A141&gt;=Premissas!$B$48,$F141,0)</x:f>
        <x:v>387105.91017288156</x:v>
      </x:c>
      <x:c r="AK141" s="141" t="n">
        <x:f>AH141+AJ141-AI141</x:f>
        <x:v>2153481.1881669173</x:v>
      </x:c>
      <x:c r="AL141" s="141" t="n">
        <x:f>IF(AG141&gt;1,"Inviavel",AK141)</x:f>
        <x:v>2153481.1881669173</x:v>
      </x:c>
      <x:c r="AM141" s="141" t="str">
        <x:f>IF(AG141&gt;1,"Inviavel","OK")</x:f>
        <x:v>OK</x:v>
      </x:c>
      <x:c r="AN141" s="141" t="n">
        <x:f>IF($A141=Premissas!$B$48,Premissas!$B$8,0)</x:f>
        <x:v>0</x:v>
      </x:c>
      <x:c r="AO141" s="141" t="n">
        <x:f>IF($A141&lt;=Premissas!$B$25,INDEX('Consorcio IQ'!$K$6:$K$485,$A141),0)</x:f>
        <x:v>1082.91451252558</x:v>
      </x:c>
      <x:c r="AP141" s="141" t="n">
        <x:f>IF(AND(TRUE,Premissas!$B$11="Imovel",Premissas!$B$47="Moradia",$A141&lt;MAX(Premissas!$B$48,Premissas!$B$49)),$D141,0)</x:f>
        <x:v>0</x:v>
      </x:c>
      <x:c r="AQ141" s="141" t="n">
        <x:f>IF(AND(TRUE,Premissas!$B$11="Imovel",Premissas!$B$47="Investimento",$A141&gt;=MAX(Premissas!$B$48,Premissas!$B$49)),$E141,0)</x:f>
        <x:v>1214.9110773346727</x:v>
      </x:c>
      <x:c r="AR141" s="141" t="n">
        <x:f>AN141+AO141+AP141</x:f>
        <x:v>1082.91451252558</x:v>
      </x:c>
      <x:c r="AS141" s="141" t="n">
        <x:f>AQ141</x:f>
        <x:v>1214.9110773346727</x:v>
      </x:c>
      <x:c r="AT141" s="141" t="n">
        <x:f>$C141+AS141-AR141</x:f>
        <x:v>7131.996564809093</x:v>
      </x:c>
      <x:c r="AU141" s="141" t="n">
        <x:f>AX140*(1+Premissas!$B$41)+AT141</x:f>
        <x:v>1833482.8872612368</x:v>
      </x:c>
      <x:c r="AV141" s="141" t="n">
        <x:f>MAX(0,-AU141)</x:f>
        <x:v>0</x:v>
      </x:c>
      <x:c r="AW141" s="141" t="n">
        <x:f>AW140*(1+Premissas!$B$41)+AV141</x:f>
        <x:v>0</x:v>
      </x:c>
      <x:c r="AX141" s="141" t="n">
        <x:f>MAX(0,AU141)</x:f>
        <x:v>1833482.8872612368</x:v>
      </x:c>
      <x:c r="AY141" s="141" t="n">
        <x:f>INDEX('Consorcio IQ'!$P$6:$P$485,$A141)</x:f>
        <x:v>87985.09611847723</x:v>
      </x:c>
      <x:c r="AZ141" s="141" t="n">
        <x:f>IF($A141&gt;=Premissas!$B$48,$F141,0)+IF($A141&lt;Premissas!$B$27,INDEX('Consorcio IQ'!$O$6:$O$485,$A141),0)</x:f>
        <x:v>387105.91017288156</x:v>
      </x:c>
      <x:c r="BA141" s="141" t="n">
        <x:f>AX141+AZ141-AY141</x:f>
        <x:v>2132603.7013156414</x:v>
      </x:c>
      <x:c r="BB141" s="141" t="n">
        <x:f>IF(AW141&gt;1,"Inviavel",BA141)</x:f>
        <x:v>2132603.7013156414</x:v>
      </x:c>
      <x:c r="BC141" s="141" t="str">
        <x:f>IF(AW141&gt;1,"Inviavel","OK")</x:f>
        <x:v>OK</x:v>
      </x:c>
      <x:c r="BD141" s="141" t="n">
        <x:f>IF($A141='Consorcio Direto'!$B$29,'Consorcio Direto'!$B$44,0)</x:f>
        <x:v>0</x:v>
      </x:c>
      <x:c r="BE141" s="141" t="n">
        <x:f>IF($A141&lt;='Consorcio Direto'!$B$27,INDEX('Consorcio Direto'!$E$55:$E$534,$A141),0)</x:f>
        <x:v>2804.20795739159</x:v>
      </x:c>
      <x:c r="BF141" s="141" t="n">
        <x:f>IF(AND(TRUE,Premissas!$B$11="Imovel",Premissas!$B$47="Moradia",$A141&lt;MAX('Consorcio Direto'!$B$29,Premissas!$B$49)),$D141,0)</x:f>
        <x:v>0</x:v>
      </x:c>
      <x:c r="BG141" s="141" t="n">
        <x:f>IF(AND(TRUE,Premissas!$B$11="Imovel",Premissas!$B$47="Investimento",$A141&gt;=MAX('Consorcio Direto'!$B$29,Premissas!$B$49)),$E141,0)</x:f>
        <x:v>1214.9110773346727</x:v>
      </x:c>
      <x:c r="BH141" s="141" t="n">
        <x:f>BD141+BE141+BF141</x:f>
        <x:v>2804.20795739159</x:v>
      </x:c>
      <x:c r="BI141" s="141" t="n">
        <x:f>BG141</x:f>
        <x:v>1214.9110773346727</x:v>
      </x:c>
      <x:c r="BJ141" s="141" t="n">
        <x:f>$C141+BI141-BH141</x:f>
        <x:v>5410.703119943083</x:v>
      </x:c>
      <x:c r="BK141" s="141" t="n">
        <x:f>BN140*(1+Premissas!$B$41)+BJ141</x:f>
        <x:v>1860505.1967444257</x:v>
      </x:c>
      <x:c r="BL141" s="141" t="n">
        <x:f>MAX(0,-BK141)</x:f>
        <x:v>0</x:v>
      </x:c>
      <x:c r="BM141" s="141" t="n">
        <x:f>BM140*(1+Premissas!$B$41)+BL141</x:f>
        <x:v>0</x:v>
      </x:c>
      <x:c r="BN141" s="141" t="n">
        <x:f>MAX(0,BK141)</x:f>
        <x:v>1860505.1967444257</x:v>
      </x:c>
      <x:c r="BO141" s="141" t="n">
        <x:f>INDEX('Consorcio Direto'!$K$55:$K$534,$A141)</x:f>
        <x:v>227837.47360802826</x:v>
      </x:c>
      <x:c r="BP141" s="141" t="n">
        <x:f>IF($A141&lt;'Consorcio Direto'!$B$29,INDEX('Consorcio Direto'!$L$55:$L$534,$A141),$F141)</x:f>
        <x:v>387105.91017288156</x:v>
      </x:c>
      <x:c r="BQ141" s="141" t="n">
        <x:f>BN141+BP141-BO141</x:f>
        <x:v>2019773.633309279</x:v>
      </x:c>
      <x:c r="BR141" s="141" t="n">
        <x:f>IF(BM141&gt;1,"Inviavel",BQ141)</x:f>
        <x:v>2019773.633309279</x:v>
      </x:c>
      <x:c r="BS141" s="141" t="str">
        <x:f>IF(BM141&gt;1,"Inviavel","OK")</x:f>
        <x:v>OK</x:v>
      </x:c>
      <x:c r="BT141" s="141" t="n">
        <x:f>IF(AND('Carta Contemplada'!$B$22="Sim",$A141='Carta Contemplada'!$B$23),'Carta Contemplada'!$B$37,0)</x:f>
        <x:v>0</x:v>
      </x:c>
      <x:c r="BU141" s="141" t="n">
        <x:f>IF('Carta Contemplada'!$B$22="Sim",INDEX('Carta Contemplada'!$C$55:$C$1013,$A141),0)</x:f>
        <x:v>2277.958270002511</x:v>
      </x:c>
      <x:c r="BV141" s="141" t="n">
        <x:f>IF(AND('Carta Contemplada'!$B$22="Sim",Premissas!$B$11="Imovel",Premissas!$B$47="Moradia",$A141&lt;MAX('Carta Contemplada'!$B$44,Premissas!$B$49)),$D141,0)</x:f>
        <x:v>0</x:v>
      </x:c>
      <x:c r="BW141" s="141" t="n">
        <x:f>IF(AND('Carta Contemplada'!$B$22="Sim",Premissas!$B$11="Imovel",Premissas!$B$47="Investimento",$A141&gt;=MAX('Carta Contemplada'!$B$44,Premissas!$B$49)),$E141,0)</x:f>
        <x:v>1214.9110773346727</x:v>
      </x:c>
      <x:c r="BX141" s="141" t="n">
        <x:f>BT141+BU141+BV141</x:f>
        <x:v>2277.958270002511</x:v>
      </x:c>
      <x:c r="BY141" s="141" t="n">
        <x:f>BW141</x:f>
        <x:v>1214.9110773346727</x:v>
      </x:c>
      <x:c r="BZ141" s="141" t="n">
        <x:f>$C141+BY141-BX141</x:f>
        <x:v>5936.952807332162</x:v>
      </x:c>
      <x:c r="CA141" s="141" t="n">
        <x:f>CD140*(1+Premissas!$B$41)+BZ141</x:f>
        <x:v>1906915.6224846484</x:v>
      </x:c>
      <x:c r="CB141" s="141" t="n">
        <x:f>MAX(0,-CA141)</x:f>
        <x:v>0</x:v>
      </x:c>
      <x:c r="CC141" s="141" t="n">
        <x:f>CC140*(1+Premissas!$B$41)+CB141</x:f>
        <x:v>0</x:v>
      </x:c>
      <x:c r="CD141" s="141" t="n">
        <x:f>MAX(0,CA141)</x:f>
        <x:v>1906915.6224846484</x:v>
      </x:c>
      <x:c r="CE141" s="141" t="n">
        <x:f>IF(AND('Carta Contemplada'!$B$22="Sim",$A141&gt;='Carta Contemplada'!$B$23),INDEX('Carta Contemplada'!$I$55:$I$1013,$A141),0)</x:f>
        <x:v>87891.24622747606</x:v>
      </x:c>
      <x:c r="CF141" s="141" t="n">
        <x:f>IF(AND('Carta Contemplada'!$B$22="Sim",$A141&gt;='Carta Contemplada'!$B$44),$F141,0)</x:f>
        <x:v>387105.91017288156</x:v>
      </x:c>
      <x:c r="CG141" s="141" t="n">
        <x:f>CD141+CF141-CE141</x:f>
        <x:v>2206130.286430054</x:v>
      </x:c>
      <x:c r="CH141" s="141" t="n">
        <x:f>IF(CC141&gt;1,"Inviavel",CG141)</x:f>
        <x:v>2206130.286430054</x:v>
      </x:c>
      <x:c r="CI141" s="145" t="str">
        <x:f>IF(CC141&gt;1,"Inviavel","OK")</x:f>
        <x:v>OK</x:v>
      </x:c>
    </x:row>
    <x:row r="142">
      <x:c r="A142" s="142" t="n">
        <x:v>138</x:v>
      </x:c>
      <x:c r="B142" s="179" t="n">
        <x:f>EDATE(Premissas!$B$4,A142-1)</x:f>
        <x:v>50710</x:v>
      </x:c>
      <x:c r="C142" s="141" t="n">
        <x:f>IF(A142&lt;=Premissas!$B$39,Premissas!$B$42,0)</x:f>
        <x:v>7000</x:v>
      </x:c>
      <x:c r="D142" s="141" t="n">
        <x:f>Premissas!$B$54*(1+Premissas!$B$57)^INT((A142-1)/12)</x:f>
        <x:v>1328.8089908347981</x:v>
      </x:c>
      <x:c r="E142" s="141" t="n">
        <x:f>Premissas!$B$64*(1+Premissas!$B$57)^INT((A142-1)/12)</x:f>
        <x:v>1214.9110773346727</x:v>
      </x:c>
      <x:c r="F142" s="141" t="n">
        <x:f>MAX(0,Premissas!$B$6*(1+Premissas!$B$66)^((A142-1)/12))</x:f>
        <x:v>388990.16776479123</x:v>
      </x:c>
      <x:c r="G142" s="141" t="n">
        <x:f>G141*(1+Premissas!$B$41)+C142</x:f>
        <x:v>2306273.3546705777</x:v>
      </x:c>
      <x:c r="H142" s="141" t="n">
        <x:f>IF($A142=Premissas!$B$48,Premissas!$B$8,0)</x:f>
        <x:v>0</x:v>
      </x:c>
      <x:c r="I142" s="141" t="n">
        <x:f>IF(AND($A142&gt;=Premissas!$B$48,$A142-Premissas!$B$48+1&lt;=Premissas!$B$13),INDEX(Financiamento!$J$6:$J$485,$A142-Premissas!$B$48+1),0)</x:f>
        <x:v>1553.9346287569556</x:v>
      </x:c>
      <x:c r="J142" s="141" t="n">
        <x:f>IF(AND(TRUE,Premissas!$B$11="Imovel",Premissas!$B$47="Moradia",$A142&lt;MAX(Premissas!$B$48,Premissas!$B$49)),$D142,0)</x:f>
        <x:v>0</x:v>
      </x:c>
      <x:c r="K142" s="141" t="n">
        <x:f>IF(AND(TRUE,Premissas!$B$11="Imovel",Premissas!$B$47="Investimento",$A142&gt;=MAX(Premissas!$B$48,Premissas!$B$49)),$E142,0)</x:f>
        <x:v>1214.9110773346727</x:v>
      </x:c>
      <x:c r="L142" s="141" t="n">
        <x:f>H142+I142+J142</x:f>
        <x:v>1553.9346287569556</x:v>
      </x:c>
      <x:c r="M142" s="141" t="n">
        <x:f>K142</x:f>
        <x:v>1214.9110773346727</x:v>
      </x:c>
      <x:c r="N142" s="141" t="n">
        <x:f>$C142+M142-L142</x:f>
        <x:v>6660.976448577718</x:v>
      </x:c>
      <x:c r="O142" s="141" t="n">
        <x:f>R141*(1+Premissas!$B$41)+N142</x:f>
        <x:v>1869490.719941351</x:v>
      </x:c>
      <x:c r="P142" s="141" t="n">
        <x:f>MAX(0,-O142)</x:f>
        <x:v>0</x:v>
      </x:c>
      <x:c r="Q142" s="141" t="n">
        <x:f>Q141*(1+Premissas!$B$41)+P142</x:f>
        <x:v>0</x:v>
      </x:c>
      <x:c r="R142" s="141" t="n">
        <x:f>MAX(0,O142)</x:f>
        <x:v>1869490.719941351</x:v>
      </x:c>
      <x:c r="S142" s="141" t="n">
        <x:f>IF(AND($A142&gt;=Premissas!$B$48,$A142-Premissas!$B$48+1&lt;=Premissas!$B$13),INDEX(Financiamento!$M$6:$M$485,$A142-Premissas!$B$48+1),0)</x:f>
        <x:v>107428.57142857161</x:v>
      </x:c>
      <x:c r="T142" s="141" t="n">
        <x:f>IF($A142&gt;=Premissas!$B$48,$F142,0)</x:f>
        <x:v>388990.16776479123</x:v>
      </x:c>
      <x:c r="U142" s="141" t="n">
        <x:f>R142+T142-S142</x:f>
        <x:v>2151052.3162775706</x:v>
      </x:c>
      <x:c r="V142" s="141" t="n">
        <x:f>IF(Q142&gt;1,"Inviavel",U142)</x:f>
        <x:v>2151052.3162775706</x:v>
      </x:c>
      <x:c r="W142" s="141" t="str">
        <x:f>IF(Q142&gt;1,"Inviavel","OK")</x:f>
        <x:v>OK</x:v>
      </x:c>
      <x:c r="X142" s="141" t="n">
        <x:f>IF($A142=Premissas!$B$48,Premissas!$B$8,0)</x:f>
        <x:v>0</x:v>
      </x:c>
      <x:c r="Y142" s="141" t="n">
        <x:f>IF(AND($A142&gt;=Premissas!$B$48,$A142-Premissas!$B$48+1&lt;=Premissas!$B$13),INDEX(Amortizacao!$K$6:$K$485,$A142-Premissas!$B$48+1),0)</x:f>
        <x:v>0</x:v>
      </x:c>
      <x:c r="Z142" s="141" t="n">
        <x:f>IF(AND(TRUE,Premissas!$B$11="Imovel",Premissas!$B$47="Moradia",$A142&lt;MAX(Premissas!$B$48,Premissas!$B$49)),$D142,0)</x:f>
        <x:v>0</x:v>
      </x:c>
      <x:c r="AA142" s="141" t="n">
        <x:f>IF(AND(TRUE,Premissas!$B$11="Imovel",Premissas!$B$47="Investimento",$A142&gt;=MAX(Premissas!$B$48,Premissas!$B$49)),$E142,0)</x:f>
        <x:v>1214.9110773346727</x:v>
      </x:c>
      <x:c r="AB142" s="141" t="n">
        <x:f>X142+Y142+Z142</x:f>
        <x:v>0</x:v>
      </x:c>
      <x:c r="AC142" s="141" t="n">
        <x:f>AA142</x:f>
        <x:v>1214.9110773346727</x:v>
      </x:c>
      <x:c r="AD142" s="141" t="n">
        <x:f>$C142+AC142-AB142</x:f>
        <x:v>8214.911077334673</x:v>
      </x:c>
      <x:c r="AE142" s="141" t="n">
        <x:f>AH141*(1+Premissas!$B$41)+AD142</x:f>
        <x:v>1791350.9583290222</x:v>
      </x:c>
      <x:c r="AF142" s="141" t="n">
        <x:f>MAX(0,-AE142)</x:f>
        <x:v>0</x:v>
      </x:c>
      <x:c r="AG142" s="141" t="n">
        <x:f>AG141*(1+Premissas!$B$41)+AF142</x:f>
        <x:v>0</x:v>
      </x:c>
      <x:c r="AH142" s="141" t="n">
        <x:f>MAX(0,AE142)</x:f>
        <x:v>1791350.9583290222</x:v>
      </x:c>
      <x:c r="AI142" s="141" t="n">
        <x:f>IF(AND($A142&gt;=Premissas!$B$48,$A142-Premissas!$B$48+1&lt;=Premissas!$B$13),INDEX(Amortizacao!$L$6:$L$485,$A142-Premissas!$B$48+1),0)</x:f>
        <x:v>0</x:v>
      </x:c>
      <x:c r="AJ142" s="141" t="n">
        <x:f>IF($A142&gt;=Premissas!$B$48,$F142,0)</x:f>
        <x:v>388990.16776479123</x:v>
      </x:c>
      <x:c r="AK142" s="141" t="n">
        <x:f>AH142+AJ142-AI142</x:f>
        <x:v>2180341.126093813</x:v>
      </x:c>
      <x:c r="AL142" s="141" t="n">
        <x:f>IF(AG142&gt;1,"Inviavel",AK142)</x:f>
        <x:v>2180341.126093813</x:v>
      </x:c>
      <x:c r="AM142" s="141" t="str">
        <x:f>IF(AG142&gt;1,"Inviavel","OK")</x:f>
        <x:v>OK</x:v>
      </x:c>
      <x:c r="AN142" s="141" t="n">
        <x:f>IF($A142=Premissas!$B$48,Premissas!$B$8,0)</x:f>
        <x:v>0</x:v>
      </x:c>
      <x:c r="AO142" s="141" t="n">
        <x:f>IF($A142&lt;=Premissas!$B$25,INDEX('Consorcio IQ'!$K$6:$K$485,$A142),0)</x:f>
        <x:v>1082.91451252558</x:v>
      </x:c>
      <x:c r="AP142" s="141" t="n">
        <x:f>IF(AND(TRUE,Premissas!$B$11="Imovel",Premissas!$B$47="Moradia",$A142&lt;MAX(Premissas!$B$48,Premissas!$B$49)),$D142,0)</x:f>
        <x:v>0</x:v>
      </x:c>
      <x:c r="AQ142" s="141" t="n">
        <x:f>IF(AND(TRUE,Premissas!$B$11="Imovel",Premissas!$B$47="Investimento",$A142&gt;=MAX(Premissas!$B$48,Premissas!$B$49)),$E142,0)</x:f>
        <x:v>1214.9110773346727</x:v>
      </x:c>
      <x:c r="AR142" s="141" t="n">
        <x:f>AN142+AO142+AP142</x:f>
        <x:v>1082.91451252558</x:v>
      </x:c>
      <x:c r="AS142" s="141" t="n">
        <x:f>AQ142</x:f>
        <x:v>1214.9110773346727</x:v>
      </x:c>
      <x:c r="AT142" s="141" t="n">
        <x:f>$C142+AS142-AR142</x:f>
        <x:v>7131.996564809093</x:v>
      </x:c>
      <x:c r="AU142" s="141" t="n">
        <x:f>AX141*(1+Premissas!$B$41)+AT142</x:f>
        <x:v>1858012.423292369</x:v>
      </x:c>
      <x:c r="AV142" s="141" t="n">
        <x:f>MAX(0,-AU142)</x:f>
        <x:v>0</x:v>
      </x:c>
      <x:c r="AW142" s="141" t="n">
        <x:f>AW141*(1+Premissas!$B$41)+AV142</x:f>
        <x:v>0</x:v>
      </x:c>
      <x:c r="AX142" s="141" t="n">
        <x:f>MAX(0,AU142)</x:f>
        <x:v>1858012.423292369</x:v>
      </x:c>
      <x:c r="AY142" s="141" t="n">
        <x:f>INDEX('Consorcio IQ'!$P$6:$P$485,$A142)</x:f>
        <x:v>87737.05396434927</x:v>
      </x:c>
      <x:c r="AZ142" s="141" t="n">
        <x:f>IF($A142&gt;=Premissas!$B$48,$F142,0)+IF($A142&lt;Premissas!$B$27,INDEX('Consorcio IQ'!$O$6:$O$485,$A142),0)</x:f>
        <x:v>388990.16776479123</x:v>
      </x:c>
      <x:c r="BA142" s="141" t="n">
        <x:f>AX142+AZ142-AY142</x:f>
        <x:v>2159265.537092811</x:v>
      </x:c>
      <x:c r="BB142" s="141" t="n">
        <x:f>IF(AW142&gt;1,"Inviavel",BA142)</x:f>
        <x:v>2159265.537092811</x:v>
      </x:c>
      <x:c r="BC142" s="141" t="str">
        <x:f>IF(AW142&gt;1,"Inviavel","OK")</x:f>
        <x:v>OK</x:v>
      </x:c>
      <x:c r="BD142" s="141" t="n">
        <x:f>IF($A142='Consorcio Direto'!$B$29,'Consorcio Direto'!$B$44,0)</x:f>
        <x:v>0</x:v>
      </x:c>
      <x:c r="BE142" s="141" t="n">
        <x:f>IF($A142&lt;='Consorcio Direto'!$B$27,INDEX('Consorcio Direto'!$E$55:$E$534,$A142),0)</x:f>
        <x:v>2804.20795739159</x:v>
      </x:c>
      <x:c r="BF142" s="141" t="n">
        <x:f>IF(AND(TRUE,Premissas!$B$11="Imovel",Premissas!$B$47="Moradia",$A142&lt;MAX('Consorcio Direto'!$B$29,Premissas!$B$49)),$D142,0)</x:f>
        <x:v>0</x:v>
      </x:c>
      <x:c r="BG142" s="141" t="n">
        <x:f>IF(AND(TRUE,Premissas!$B$11="Imovel",Premissas!$B$47="Investimento",$A142&gt;=MAX('Consorcio Direto'!$B$29,Premissas!$B$49)),$E142,0)</x:f>
        <x:v>1214.9110773346727</x:v>
      </x:c>
      <x:c r="BH142" s="141" t="n">
        <x:f>BD142+BE142+BF142</x:f>
        <x:v>2804.20795739159</x:v>
      </x:c>
      <x:c r="BI142" s="141" t="n">
        <x:f>BG142</x:f>
        <x:v>1214.9110773346727</x:v>
      </x:c>
      <x:c r="BJ142" s="141" t="n">
        <x:f>$C142+BI142-BH142</x:f>
        <x:v>5410.703119943083</x:v>
      </x:c>
      <x:c r="BK142" s="141" t="n">
        <x:f>BN141*(1+Premissas!$B$41)+BJ142</x:f>
        <x:v>1883569.8484299923</x:v>
      </x:c>
      <x:c r="BL142" s="141" t="n">
        <x:f>MAX(0,-BK142)</x:f>
        <x:v>0</x:v>
      </x:c>
      <x:c r="BM142" s="141" t="n">
        <x:f>BM141*(1+Premissas!$B$41)+BL142</x:f>
        <x:v>0</x:v>
      </x:c>
      <x:c r="BN142" s="141" t="n">
        <x:f>MAX(0,BK142)</x:f>
        <x:v>1883569.8484299923</x:v>
      </x:c>
      <x:c r="BO142" s="141" t="n">
        <x:f>INDEX('Consorcio Direto'!$K$55:$K$534,$A142)</x:f>
        <x:v>227195.16826044177</x:v>
      </x:c>
      <x:c r="BP142" s="141" t="n">
        <x:f>IF($A142&lt;'Consorcio Direto'!$B$29,INDEX('Consorcio Direto'!$L$55:$L$534,$A142),$F142)</x:f>
        <x:v>388990.16776479123</x:v>
      </x:c>
      <x:c r="BQ142" s="141" t="n">
        <x:f>BN142+BP142-BO142</x:f>
        <x:v>2045364.8479343418</x:v>
      </x:c>
      <x:c r="BR142" s="141" t="n">
        <x:f>IF(BM142&gt;1,"Inviavel",BQ142)</x:f>
        <x:v>2045364.8479343418</x:v>
      </x:c>
      <x:c r="BS142" s="141" t="str">
        <x:f>IF(BM142&gt;1,"Inviavel","OK")</x:f>
        <x:v>OK</x:v>
      </x:c>
      <x:c r="BT142" s="141" t="n">
        <x:f>IF(AND('Carta Contemplada'!$B$22="Sim",$A142='Carta Contemplada'!$B$23),'Carta Contemplada'!$B$37,0)</x:f>
        <x:v>0</x:v>
      </x:c>
      <x:c r="BU142" s="141" t="n">
        <x:f>IF('Carta Contemplada'!$B$22="Sim",INDEX('Carta Contemplada'!$C$55:$C$1013,$A142),0)</x:f>
        <x:v>2277.958270002511</x:v>
      </x:c>
      <x:c r="BV142" s="141" t="n">
        <x:f>IF(AND('Carta Contemplada'!$B$22="Sim",Premissas!$B$11="Imovel",Premissas!$B$47="Moradia",$A142&lt;MAX('Carta Contemplada'!$B$44,Premissas!$B$49)),$D142,0)</x:f>
        <x:v>0</x:v>
      </x:c>
      <x:c r="BW142" s="141" t="n">
        <x:f>IF(AND('Carta Contemplada'!$B$22="Sim",Premissas!$B$11="Imovel",Premissas!$B$47="Investimento",$A142&gt;=MAX('Carta Contemplada'!$B$44,Premissas!$B$49)),$E142,0)</x:f>
        <x:v>1214.9110773346727</x:v>
      </x:c>
      <x:c r="BX142" s="141" t="n">
        <x:f>BT142+BU142+BV142</x:f>
        <x:v>2277.958270002511</x:v>
      </x:c>
      <x:c r="BY142" s="141" t="n">
        <x:f>BW142</x:f>
        <x:v>1214.9110773346727</x:v>
      </x:c>
      <x:c r="BZ142" s="141" t="n">
        <x:f>$C142+BY142-BX142</x:f>
        <x:v>5936.952807332162</x:v>
      </x:c>
      <x:c r="CA142" s="141" t="n">
        <x:f>CD141*(1+Premissas!$B$41)+BZ142</x:f>
        <x:v>1930946.9027774588</x:v>
      </x:c>
      <x:c r="CB142" s="141" t="n">
        <x:f>MAX(0,-CA142)</x:f>
        <x:v>0</x:v>
      </x:c>
      <x:c r="CC142" s="141" t="n">
        <x:f>CC141*(1+Premissas!$B$41)+CB142</x:f>
        <x:v>0</x:v>
      </x:c>
      <x:c r="CD142" s="141" t="n">
        <x:f>MAX(0,CA142)</x:f>
        <x:v>1930946.9027774588</x:v>
      </x:c>
      <x:c r="CE142" s="141" t="n">
        <x:f>IF(AND('Carta Contemplada'!$B$22="Sim",$A142&gt;='Carta Contemplada'!$B$23),INDEX('Carta Contemplada'!$I$55:$I$1013,$A142),0)</x:f>
        <x:v>86447.26979368852</x:v>
      </x:c>
      <x:c r="CF142" s="141" t="n">
        <x:f>IF(AND('Carta Contemplada'!$B$22="Sim",$A142&gt;='Carta Contemplada'!$B$44),$F142,0)</x:f>
        <x:v>388990.16776479123</x:v>
      </x:c>
      <x:c r="CG142" s="141" t="n">
        <x:f>CD142+CF142-CE142</x:f>
        <x:v>2233489.8007485615</x:v>
      </x:c>
      <x:c r="CH142" s="141" t="n">
        <x:f>IF(CC142&gt;1,"Inviavel",CG142)</x:f>
        <x:v>2233489.8007485615</x:v>
      </x:c>
      <x:c r="CI142" s="145" t="str">
        <x:f>IF(CC142&gt;1,"Inviavel","OK")</x:f>
        <x:v>OK</x:v>
      </x:c>
    </x:row>
    <x:row r="143">
      <x:c r="A143" s="142" t="n">
        <x:v>139</x:v>
      </x:c>
      <x:c r="B143" s="179" t="n">
        <x:f>EDATE(Premissas!$B$4,A143-1)</x:f>
        <x:v>50740</x:v>
      </x:c>
      <x:c r="C143" s="141" t="n">
        <x:f>IF(A143&lt;=Premissas!$B$39,Premissas!$B$42,0)</x:f>
        <x:v>7000</x:v>
      </x:c>
      <x:c r="D143" s="141" t="n">
        <x:f>Premissas!$B$54*(1+Premissas!$B$57)^INT((A143-1)/12)</x:f>
        <x:v>1328.8089908347981</x:v>
      </x:c>
      <x:c r="E143" s="141" t="n">
        <x:f>Premissas!$B$64*(1+Premissas!$B$57)^INT((A143-1)/12)</x:f>
        <x:v>1214.9110773346727</x:v>
      </x:c>
      <x:c r="F143" s="141" t="n">
        <x:f>MAX(0,Premissas!$B$6*(1+Premissas!$B$66)^((A143-1)/12))</x:f>
        <x:v>390883.5970758076</x:v>
      </x:c>
      <x:c r="G143" s="141" t="n">
        <x:f>G142*(1+Premissas!$B$41)+C143</x:f>
        <x:v>2335157.104983593</x:v>
      </x:c>
      <x:c r="H143" s="141" t="n">
        <x:f>IF($A143=Premissas!$B$48,Premissas!$B$8,0)</x:f>
        <x:v>0</x:v>
      </x:c>
      <x:c r="I143" s="141" t="n">
        <x:f>IF(AND($A143&gt;=Premissas!$B$48,$A143-Premissas!$B$48+1&lt;=Premissas!$B$13),INDEX(Financiamento!$J$6:$J$485,$A143-Premissas!$B$48+1),0)</x:f>
        <x:v>1550.319850496162</x:v>
      </x:c>
      <x:c r="J143" s="141" t="n">
        <x:f>IF(AND(TRUE,Premissas!$B$11="Imovel",Premissas!$B$47="Moradia",$A143&lt;MAX(Premissas!$B$48,Premissas!$B$49)),$D143,0)</x:f>
        <x:v>0</x:v>
      </x:c>
      <x:c r="K143" s="141" t="n">
        <x:f>IF(AND(TRUE,Premissas!$B$11="Imovel",Premissas!$B$47="Investimento",$A143&gt;=MAX(Premissas!$B$48,Premissas!$B$49)),$E143,0)</x:f>
        <x:v>1214.9110773346727</x:v>
      </x:c>
      <x:c r="L143" s="141" t="n">
        <x:f>H143+I143+J143</x:f>
        <x:v>1550.319850496162</x:v>
      </x:c>
      <x:c r="M143" s="141" t="n">
        <x:f>K143</x:f>
        <x:v>1214.9110773346727</x:v>
      </x:c>
      <x:c r="N143" s="141" t="n">
        <x:f>$C143+M143-L143</x:f>
        <x:v>6664.591226838511</x:v>
      </x:c>
      <x:c r="O143" s="141" t="n">
        <x:f>R142*(1+Premissas!$B$41)+N143</x:f>
        <x:v>1893894.5215028378</x:v>
      </x:c>
      <x:c r="P143" s="141" t="n">
        <x:f>MAX(0,-O143)</x:f>
        <x:v>0</x:v>
      </x:c>
      <x:c r="Q143" s="141" t="n">
        <x:f>Q142*(1+Premissas!$B$41)+P143</x:f>
        <x:v>0</x:v>
      </x:c>
      <x:c r="R143" s="141" t="n">
        <x:f>MAX(0,O143)</x:f>
        <x:v>1893894.5215028378</x:v>
      </x:c>
      <x:c r="S143" s="141" t="n">
        <x:f>IF(AND($A143&gt;=Premissas!$B$48,$A143-Premissas!$B$48+1&lt;=Premissas!$B$13),INDEX(Financiamento!$M$6:$M$485,$A143-Premissas!$B$48+1),0)</x:f>
        <x:v>107047.61904761923</x:v>
      </x:c>
      <x:c r="T143" s="141" t="n">
        <x:f>IF($A143&gt;=Premissas!$B$48,$F143,0)</x:f>
        <x:v>390883.5970758076</x:v>
      </x:c>
      <x:c r="U143" s="141" t="n">
        <x:f>R143+T143-S143</x:f>
        <x:v>2177730.499531026</x:v>
      </x:c>
      <x:c r="V143" s="141" t="n">
        <x:f>IF(Q143&gt;1,"Inviavel",U143)</x:f>
        <x:v>2177730.499531026</x:v>
      </x:c>
      <x:c r="W143" s="141" t="str">
        <x:f>IF(Q143&gt;1,"Inviavel","OK")</x:f>
        <x:v>OK</x:v>
      </x:c>
      <x:c r="X143" s="141" t="n">
        <x:f>IF($A143=Premissas!$B$48,Premissas!$B$8,0)</x:f>
        <x:v>0</x:v>
      </x:c>
      <x:c r="Y143" s="141" t="n">
        <x:f>IF(AND($A143&gt;=Premissas!$B$48,$A143-Premissas!$B$48+1&lt;=Premissas!$B$13),INDEX(Amortizacao!$K$6:$K$485,$A143-Premissas!$B$48+1),0)</x:f>
        <x:v>0</x:v>
      </x:c>
      <x:c r="Z143" s="141" t="n">
        <x:f>IF(AND(TRUE,Premissas!$B$11="Imovel",Premissas!$B$47="Moradia",$A143&lt;MAX(Premissas!$B$48,Premissas!$B$49)),$D143,0)</x:f>
        <x:v>0</x:v>
      </x:c>
      <x:c r="AA143" s="141" t="n">
        <x:f>IF(AND(TRUE,Premissas!$B$11="Imovel",Premissas!$B$47="Investimento",$A143&gt;=MAX(Premissas!$B$48,Premissas!$B$49)),$E143,0)</x:f>
        <x:v>1214.9110773346727</x:v>
      </x:c>
      <x:c r="AB143" s="141" t="n">
        <x:f>X143+Y143+Z143</x:f>
        <x:v>0</x:v>
      </x:c>
      <x:c r="AC143" s="141" t="n">
        <x:f>AA143</x:f>
        <x:v>1214.9110773346727</x:v>
      </x:c>
      <x:c r="AD143" s="141" t="n">
        <x:f>$C143+AC143-AB143</x:f>
        <x:v>8214.911077334673</x:v>
      </x:c>
      <x:c r="AE143" s="141" t="n">
        <x:f>AH142*(1+Premissas!$B$41)+AD143</x:f>
        <x:v>1816563.627723108</x:v>
      </x:c>
      <x:c r="AF143" s="141" t="n">
        <x:f>MAX(0,-AE143)</x:f>
        <x:v>0</x:v>
      </x:c>
      <x:c r="AG143" s="141" t="n">
        <x:f>AG142*(1+Premissas!$B$41)+AF143</x:f>
        <x:v>0</x:v>
      </x:c>
      <x:c r="AH143" s="141" t="n">
        <x:f>MAX(0,AE143)</x:f>
        <x:v>1816563.627723108</x:v>
      </x:c>
      <x:c r="AI143" s="141" t="n">
        <x:f>IF(AND($A143&gt;=Premissas!$B$48,$A143-Premissas!$B$48+1&lt;=Premissas!$B$13),INDEX(Amortizacao!$L$6:$L$485,$A143-Premissas!$B$48+1),0)</x:f>
        <x:v>0</x:v>
      </x:c>
      <x:c r="AJ143" s="141" t="n">
        <x:f>IF($A143&gt;=Premissas!$B$48,$F143,0)</x:f>
        <x:v>390883.5970758076</x:v>
      </x:c>
      <x:c r="AK143" s="141" t="n">
        <x:f>AH143+AJ143-AI143</x:f>
        <x:v>2207447.2247989154</x:v>
      </x:c>
      <x:c r="AL143" s="141" t="n">
        <x:f>IF(AG143&gt;1,"Inviavel",AK143)</x:f>
        <x:v>2207447.2247989154</x:v>
      </x:c>
      <x:c r="AM143" s="141" t="str">
        <x:f>IF(AG143&gt;1,"Inviavel","OK")</x:f>
        <x:v>OK</x:v>
      </x:c>
      <x:c r="AN143" s="141" t="n">
        <x:f>IF($A143=Premissas!$B$48,Premissas!$B$8,0)</x:f>
        <x:v>0</x:v>
      </x:c>
      <x:c r="AO143" s="141" t="n">
        <x:f>IF($A143&lt;=Premissas!$B$25,INDEX('Consorcio IQ'!$K$6:$K$485,$A143),0)</x:f>
        <x:v>1082.91451252558</x:v>
      </x:c>
      <x:c r="AP143" s="141" t="n">
        <x:f>IF(AND(TRUE,Premissas!$B$11="Imovel",Premissas!$B$47="Moradia",$A143&lt;MAX(Premissas!$B$48,Premissas!$B$49)),$D143,0)</x:f>
        <x:v>0</x:v>
      </x:c>
      <x:c r="AQ143" s="141" t="n">
        <x:f>IF(AND(TRUE,Premissas!$B$11="Imovel",Premissas!$B$47="Investimento",$A143&gt;=MAX(Premissas!$B$48,Premissas!$B$49)),$E143,0)</x:f>
        <x:v>1214.9110773346727</x:v>
      </x:c>
      <x:c r="AR143" s="141" t="n">
        <x:f>AN143+AO143+AP143</x:f>
        <x:v>1082.91451252558</x:v>
      </x:c>
      <x:c r="AS143" s="141" t="n">
        <x:f>AQ143</x:f>
        <x:v>1214.9110773346727</x:v>
      </x:c>
      <x:c r="AT143" s="141" t="n">
        <x:f>$C143+AS143-AR143</x:f>
        <x:v>7131.996564809093</x:v>
      </x:c>
      <x:c r="AU143" s="141" t="n">
        <x:f>AX142*(1+Premissas!$B$41)+AT143</x:f>
        <x:v>1882774.7150116824</x:v>
      </x:c>
      <x:c r="AV143" s="141" t="n">
        <x:f>MAX(0,-AU143)</x:f>
        <x:v>0</x:v>
      </x:c>
      <x:c r="AW143" s="141" t="n">
        <x:f>AW142*(1+Premissas!$B$41)+AV143</x:f>
        <x:v>0</x:v>
      </x:c>
      <x:c r="AX143" s="141" t="n">
        <x:f>MAX(0,AU143)</x:f>
        <x:v>1882774.7150116824</x:v>
      </x:c>
      <x:c r="AY143" s="141" t="n">
        <x:f>INDEX('Consorcio IQ'!$P$6:$P$485,$A143)</x:f>
        <x:v>87486.65818958174</x:v>
      </x:c>
      <x:c r="AZ143" s="141" t="n">
        <x:f>IF($A143&gt;=Premissas!$B$48,$F143,0)+IF($A143&lt;Premissas!$B$27,INDEX('Consorcio IQ'!$O$6:$O$485,$A143),0)</x:f>
        <x:v>390883.5970758076</x:v>
      </x:c>
      <x:c r="BA143" s="141" t="n">
        <x:f>AX143+AZ143-AY143</x:f>
        <x:v>2186171.653897908</x:v>
      </x:c>
      <x:c r="BB143" s="141" t="n">
        <x:f>IF(AW143&gt;1,"Inviavel",BA143)</x:f>
        <x:v>2186171.653897908</x:v>
      </x:c>
      <x:c r="BC143" s="141" t="str">
        <x:f>IF(AW143&gt;1,"Inviavel","OK")</x:f>
        <x:v>OK</x:v>
      </x:c>
      <x:c r="BD143" s="141" t="n">
        <x:f>IF($A143='Consorcio Direto'!$B$29,'Consorcio Direto'!$B$44,0)</x:f>
        <x:v>0</x:v>
      </x:c>
      <x:c r="BE143" s="141" t="n">
        <x:f>IF($A143&lt;='Consorcio Direto'!$B$27,INDEX('Consorcio Direto'!$E$55:$E$534,$A143),0)</x:f>
        <x:v>2804.20795739159</x:v>
      </x:c>
      <x:c r="BF143" s="141" t="n">
        <x:f>IF(AND(TRUE,Premissas!$B$11="Imovel",Premissas!$B$47="Moradia",$A143&lt;MAX('Consorcio Direto'!$B$29,Premissas!$B$49)),$D143,0)</x:f>
        <x:v>0</x:v>
      </x:c>
      <x:c r="BG143" s="141" t="n">
        <x:f>IF(AND(TRUE,Premissas!$B$11="Imovel",Premissas!$B$47="Investimento",$A143&gt;=MAX('Consorcio Direto'!$B$29,Premissas!$B$49)),$E143,0)</x:f>
        <x:v>1214.9110773346727</x:v>
      </x:c>
      <x:c r="BH143" s="141" t="n">
        <x:f>BD143+BE143+BF143</x:f>
        <x:v>2804.20795739159</x:v>
      </x:c>
      <x:c r="BI143" s="141" t="n">
        <x:f>BG143</x:f>
        <x:v>1214.9110773346727</x:v>
      </x:c>
      <x:c r="BJ143" s="141" t="n">
        <x:f>$C143+BI143-BH143</x:f>
        <x:v>5410.703119943083</x:v>
      </x:c>
      <x:c r="BK143" s="141" t="n">
        <x:f>BN142*(1+Premissas!$B$41)+BJ143</x:f>
        <x:v>1906853.3558195117</x:v>
      </x:c>
      <x:c r="BL143" s="141" t="n">
        <x:f>MAX(0,-BK143)</x:f>
        <x:v>0</x:v>
      </x:c>
      <x:c r="BM143" s="141" t="n">
        <x:f>BM142*(1+Premissas!$B$41)+BL143</x:f>
        <x:v>0</x:v>
      </x:c>
      <x:c r="BN143" s="141" t="n">
        <x:f>MAX(0,BK143)</x:f>
        <x:v>1906853.3558195117</x:v>
      </x:c>
      <x:c r="BO143" s="141" t="n">
        <x:f>INDEX('Consorcio Direto'!$K$55:$K$534,$A143)</x:f>
        <x:v>226546.76821041128</x:v>
      </x:c>
      <x:c r="BP143" s="141" t="n">
        <x:f>IF($A143&lt;'Consorcio Direto'!$B$29,INDEX('Consorcio Direto'!$L$55:$L$534,$A143),$F143)</x:f>
        <x:v>390883.5970758076</x:v>
      </x:c>
      <x:c r="BQ143" s="141" t="n">
        <x:f>BN143+BP143-BO143</x:f>
        <x:v>2071190.1846849078</x:v>
      </x:c>
      <x:c r="BR143" s="141" t="n">
        <x:f>IF(BM143&gt;1,"Inviavel",BQ143)</x:f>
        <x:v>2071190.1846849078</x:v>
      </x:c>
      <x:c r="BS143" s="141" t="str">
        <x:f>IF(BM143&gt;1,"Inviavel","OK")</x:f>
        <x:v>OK</x:v>
      </x:c>
      <x:c r="BT143" s="141" t="n">
        <x:f>IF(AND('Carta Contemplada'!$B$22="Sim",$A143='Carta Contemplada'!$B$23),'Carta Contemplada'!$B$37,0)</x:f>
        <x:v>0</x:v>
      </x:c>
      <x:c r="BU143" s="141" t="n">
        <x:f>IF('Carta Contemplada'!$B$22="Sim",INDEX('Carta Contemplada'!$C$55:$C$1013,$A143),0)</x:f>
        <x:v>2277.958270002511</x:v>
      </x:c>
      <x:c r="BV143" s="141" t="n">
        <x:f>IF(AND('Carta Contemplada'!$B$22="Sim",Premissas!$B$11="Imovel",Premissas!$B$47="Moradia",$A143&lt;MAX('Carta Contemplada'!$B$44,Premissas!$B$49)),$D143,0)</x:f>
        <x:v>0</x:v>
      </x:c>
      <x:c r="BW143" s="141" t="n">
        <x:f>IF(AND('Carta Contemplada'!$B$22="Sim",Premissas!$B$11="Imovel",Premissas!$B$47="Investimento",$A143&gt;=MAX('Carta Contemplada'!$B$44,Premissas!$B$49)),$E143,0)</x:f>
        <x:v>1214.9110773346727</x:v>
      </x:c>
      <x:c r="BX143" s="141" t="n">
        <x:f>BT143+BU143+BV143</x:f>
        <x:v>2277.958270002511</x:v>
      </x:c>
      <x:c r="BY143" s="141" t="n">
        <x:f>BW143</x:f>
        <x:v>1214.9110773346727</x:v>
      </x:c>
      <x:c r="BZ143" s="141" t="n">
        <x:f>$C143+BY143-BX143</x:f>
        <x:v>5936.952807332162</x:v>
      </x:c>
      <x:c r="CA143" s="141" t="n">
        <x:f>CD142*(1+Premissas!$B$41)+BZ143</x:f>
        <x:v>1955206.2109129208</x:v>
      </x:c>
      <x:c r="CB143" s="141" t="n">
        <x:f>MAX(0,-CA143)</x:f>
        <x:v>0</x:v>
      </x:c>
      <x:c r="CC143" s="141" t="n">
        <x:f>CC142*(1+Premissas!$B$41)+CB143</x:f>
        <x:v>0</x:v>
      </x:c>
      <x:c r="CD143" s="141" t="n">
        <x:f>MAX(0,CA143)</x:f>
        <x:v>1955206.2109129208</x:v>
      </x:c>
      <x:c r="CE143" s="141" t="n">
        <x:f>IF(AND('Carta Contemplada'!$B$22="Sim",$A143&gt;='Carta Contemplada'!$B$23),INDEX('Carta Contemplada'!$I$55:$I$1013,$A143),0)</x:f>
        <x:v>84989.59176651837</x:v>
      </x:c>
      <x:c r="CF143" s="141" t="n">
        <x:f>IF(AND('Carta Contemplada'!$B$22="Sim",$A143&gt;='Carta Contemplada'!$B$44),$F143,0)</x:f>
        <x:v>390883.5970758076</x:v>
      </x:c>
      <x:c r="CG143" s="141" t="n">
        <x:f>CD143+CF143-CE143</x:f>
        <x:v>2261100.21622221</x:v>
      </x:c>
      <x:c r="CH143" s="141" t="n">
        <x:f>IF(CC143&gt;1,"Inviavel",CG143)</x:f>
        <x:v>2261100.21622221</x:v>
      </x:c>
      <x:c r="CI143" s="145" t="str">
        <x:f>IF(CC143&gt;1,"Inviavel","OK")</x:f>
        <x:v>OK</x:v>
      </x:c>
    </x:row>
    <x:row r="144">
      <x:c r="A144" s="142" t="n">
        <x:v>140</x:v>
      </x:c>
      <x:c r="B144" s="179" t="n">
        <x:f>EDATE(Premissas!$B$4,A144-1)</x:f>
        <x:v>50771</x:v>
      </x:c>
      <x:c r="C144" s="141" t="n">
        <x:f>IF(A144&lt;=Premissas!$B$39,Premissas!$B$42,0)</x:f>
        <x:v>7000</x:v>
      </x:c>
      <x:c r="D144" s="141" t="n">
        <x:f>Premissas!$B$54*(1+Premissas!$B$57)^INT((A144-1)/12)</x:f>
        <x:v>1328.8089908347981</x:v>
      </x:c>
      <x:c r="E144" s="141" t="n">
        <x:f>Premissas!$B$64*(1+Premissas!$B$57)^INT((A144-1)/12)</x:f>
        <x:v>1214.9110773346727</x:v>
      </x:c>
      <x:c r="F144" s="141" t="n">
        <x:f>MAX(0,Premissas!$B$6*(1+Premissas!$B$66)^((A144-1)/12))</x:f>
        <x:v>392786.2427497373</x:v>
      </x:c>
      <x:c r="G144" s="141" t="n">
        <x:f>G143*(1+Premissas!$B$41)+C144</x:f>
        <x:v>2364314.9272225024</x:v>
      </x:c>
      <x:c r="H144" s="141" t="n">
        <x:f>IF($A144=Premissas!$B$48,Premissas!$B$8,0)</x:f>
        <x:v>0</x:v>
      </x:c>
      <x:c r="I144" s="141" t="n">
        <x:f>IF(AND($A144&gt;=Premissas!$B$48,$A144-Premissas!$B$48+1&lt;=Premissas!$B$13),INDEX(Financiamento!$J$6:$J$485,$A144-Premissas!$B$48+1),0)</x:f>
        <x:v>1546.7050722353683</x:v>
      </x:c>
      <x:c r="J144" s="141" t="n">
        <x:f>IF(AND(TRUE,Premissas!$B$11="Imovel",Premissas!$B$47="Moradia",$A144&lt;MAX(Premissas!$B$48,Premissas!$B$49)),$D144,0)</x:f>
        <x:v>0</x:v>
      </x:c>
      <x:c r="K144" s="141" t="n">
        <x:f>IF(AND(TRUE,Premissas!$B$11="Imovel",Premissas!$B$47="Investimento",$A144&gt;=MAX(Premissas!$B$48,Premissas!$B$49)),$E144,0)</x:f>
        <x:v>1214.9110773346727</x:v>
      </x:c>
      <x:c r="L144" s="141" t="n">
        <x:f>H144+I144+J144</x:f>
        <x:v>1546.7050722353683</x:v>
      </x:c>
      <x:c r="M144" s="141" t="n">
        <x:f>K144</x:f>
        <x:v>1214.9110773346727</x:v>
      </x:c>
      <x:c r="N144" s="141" t="n">
        <x:f>$C144+M144-L144</x:f>
        <x:v>6668.206005099304</x:v>
      </x:c>
      <x:c r="O144" s="141" t="n">
        <x:f>R143*(1+Premissas!$B$41)+N144</x:f>
        <x:v>1918533.5004624187</x:v>
      </x:c>
      <x:c r="P144" s="141" t="n">
        <x:f>MAX(0,-O144)</x:f>
        <x:v>0</x:v>
      </x:c>
      <x:c r="Q144" s="141" t="n">
        <x:f>Q143*(1+Premissas!$B$41)+P144</x:f>
        <x:v>0</x:v>
      </x:c>
      <x:c r="R144" s="141" t="n">
        <x:f>MAX(0,O144)</x:f>
        <x:v>1918533.5004624187</x:v>
      </x:c>
      <x:c r="S144" s="141" t="n">
        <x:f>IF(AND($A144&gt;=Premissas!$B$48,$A144-Premissas!$B$48+1&lt;=Premissas!$B$13),INDEX(Financiamento!$M$6:$M$485,$A144-Premissas!$B$48+1),0)</x:f>
        <x:v>106666.66666666685</x:v>
      </x:c>
      <x:c r="T144" s="141" t="n">
        <x:f>IF($A144&gt;=Premissas!$B$48,$F144,0)</x:f>
        <x:v>392786.2427497373</x:v>
      </x:c>
      <x:c r="U144" s="141" t="n">
        <x:f>R144+T144-S144</x:f>
        <x:v>2204653.076545489</x:v>
      </x:c>
      <x:c r="V144" s="141" t="n">
        <x:f>IF(Q144&gt;1,"Inviavel",U144)</x:f>
        <x:v>2204653.076545489</x:v>
      </x:c>
      <x:c r="W144" s="141" t="str">
        <x:f>IF(Q144&gt;1,"Inviavel","OK")</x:f>
        <x:v>OK</x:v>
      </x:c>
      <x:c r="X144" s="141" t="n">
        <x:f>IF($A144=Premissas!$B$48,Premissas!$B$8,0)</x:f>
        <x:v>0</x:v>
      </x:c>
      <x:c r="Y144" s="141" t="n">
        <x:f>IF(AND($A144&gt;=Premissas!$B$48,$A144-Premissas!$B$48+1&lt;=Premissas!$B$13),INDEX(Amortizacao!$K$6:$K$485,$A144-Premissas!$B$48+1),0)</x:f>
        <x:v>0</x:v>
      </x:c>
      <x:c r="Z144" s="141" t="n">
        <x:f>IF(AND(TRUE,Premissas!$B$11="Imovel",Premissas!$B$47="Moradia",$A144&lt;MAX(Premissas!$B$48,Premissas!$B$49)),$D144,0)</x:f>
        <x:v>0</x:v>
      </x:c>
      <x:c r="AA144" s="141" t="n">
        <x:f>IF(AND(TRUE,Premissas!$B$11="Imovel",Premissas!$B$47="Investimento",$A144&gt;=MAX(Premissas!$B$48,Premissas!$B$49)),$E144,0)</x:f>
        <x:v>1214.9110773346727</x:v>
      </x:c>
      <x:c r="AB144" s="141" t="n">
        <x:f>X144+Y144+Z144</x:f>
        <x:v>0</x:v>
      </x:c>
      <x:c r="AC144" s="141" t="n">
        <x:f>AA144</x:f>
        <x:v>1214.9110773346727</x:v>
      </x:c>
      <x:c r="AD144" s="141" t="n">
        <x:f>$C144+AC144-AB144</x:f>
        <x:v>8214.911077334673</x:v>
      </x:c>
      <x:c r="AE144" s="141" t="n">
        <x:f>AH143*(1+Premissas!$B$41)+AD144</x:f>
        <x:v>1842015.5349164023</x:v>
      </x:c>
      <x:c r="AF144" s="141" t="n">
        <x:f>MAX(0,-AE144)</x:f>
        <x:v>0</x:v>
      </x:c>
      <x:c r="AG144" s="141" t="n">
        <x:f>AG143*(1+Premissas!$B$41)+AF144</x:f>
        <x:v>0</x:v>
      </x:c>
      <x:c r="AH144" s="141" t="n">
        <x:f>MAX(0,AE144)</x:f>
        <x:v>1842015.5349164023</x:v>
      </x:c>
      <x:c r="AI144" s="141" t="n">
        <x:f>IF(AND($A144&gt;=Premissas!$B$48,$A144-Premissas!$B$48+1&lt;=Premissas!$B$13),INDEX(Amortizacao!$L$6:$L$485,$A144-Premissas!$B$48+1),0)</x:f>
        <x:v>0</x:v>
      </x:c>
      <x:c r="AJ144" s="141" t="n">
        <x:f>IF($A144&gt;=Premissas!$B$48,$F144,0)</x:f>
        <x:v>392786.2427497373</x:v>
      </x:c>
      <x:c r="AK144" s="141" t="n">
        <x:f>AH144+AJ144-AI144</x:f>
        <x:v>2234801.7776661394</x:v>
      </x:c>
      <x:c r="AL144" s="141" t="n">
        <x:f>IF(AG144&gt;1,"Inviavel",AK144)</x:f>
        <x:v>2234801.7776661394</x:v>
      </x:c>
      <x:c r="AM144" s="141" t="str">
        <x:f>IF(AG144&gt;1,"Inviavel","OK")</x:f>
        <x:v>OK</x:v>
      </x:c>
      <x:c r="AN144" s="141" t="n">
        <x:f>IF($A144=Premissas!$B$48,Premissas!$B$8,0)</x:f>
        <x:v>0</x:v>
      </x:c>
      <x:c r="AO144" s="141" t="n">
        <x:f>IF($A144&lt;=Premissas!$B$25,INDEX('Consorcio IQ'!$K$6:$K$485,$A144),0)</x:f>
        <x:v>1082.91451252558</x:v>
      </x:c>
      <x:c r="AP144" s="141" t="n">
        <x:f>IF(AND(TRUE,Premissas!$B$11="Imovel",Premissas!$B$47="Moradia",$A144&lt;MAX(Premissas!$B$48,Premissas!$B$49)),$D144,0)</x:f>
        <x:v>0</x:v>
      </x:c>
      <x:c r="AQ144" s="141" t="n">
        <x:f>IF(AND(TRUE,Premissas!$B$11="Imovel",Premissas!$B$47="Investimento",$A144&gt;=MAX(Premissas!$B$48,Premissas!$B$49)),$E144,0)</x:f>
        <x:v>1214.9110773346727</x:v>
      </x:c>
      <x:c r="AR144" s="141" t="n">
        <x:f>AN144+AO144+AP144</x:f>
        <x:v>1082.91451252558</x:v>
      </x:c>
      <x:c r="AS144" s="141" t="n">
        <x:f>AQ144</x:f>
        <x:v>1214.9110773346727</x:v>
      </x:c>
      <x:c r="AT144" s="141" t="n">
        <x:f>$C144+AS144-AR144</x:f>
        <x:v>7131.996564809093</x:v>
      </x:c>
      <x:c r="AU144" s="141" t="n">
        <x:f>AX143*(1+Premissas!$B$41)+AT144</x:f>
        <x:v>1907771.9709897058</x:v>
      </x:c>
      <x:c r="AV144" s="141" t="n">
        <x:f>MAX(0,-AU144)</x:f>
        <x:v>0</x:v>
      </x:c>
      <x:c r="AW144" s="141" t="n">
        <x:f>AW143*(1+Premissas!$B$41)+AV144</x:f>
        <x:v>0</x:v>
      </x:c>
      <x:c r="AX144" s="141" t="n">
        <x:f>MAX(0,AU144)</x:f>
        <x:v>1907771.9709897058</x:v>
      </x:c>
      <x:c r="AY144" s="141" t="n">
        <x:f>INDEX('Consorcio IQ'!$P$6:$P$485,$A144)</x:f>
        <x:v>87233.88646115575</x:v>
      </x:c>
      <x:c r="AZ144" s="141" t="n">
        <x:f>IF($A144&gt;=Premissas!$B$48,$F144,0)+IF($A144&lt;Premissas!$B$27,INDEX('Consorcio IQ'!$O$6:$O$485,$A144),0)</x:f>
        <x:v>392786.2427497373</x:v>
      </x:c>
      <x:c r="BA144" s="141" t="n">
        <x:f>AX144+AZ144-AY144</x:f>
        <x:v>2213324.327278287</x:v>
      </x:c>
      <x:c r="BB144" s="141" t="n">
        <x:f>IF(AW144&gt;1,"Inviavel",BA144)</x:f>
        <x:v>2213324.327278287</x:v>
      </x:c>
      <x:c r="BC144" s="141" t="str">
        <x:f>IF(AW144&gt;1,"Inviavel","OK")</x:f>
        <x:v>OK</x:v>
      </x:c>
      <x:c r="BD144" s="141" t="n">
        <x:f>IF($A144='Consorcio Direto'!$B$29,'Consorcio Direto'!$B$44,0)</x:f>
        <x:v>0</x:v>
      </x:c>
      <x:c r="BE144" s="141" t="n">
        <x:f>IF($A144&lt;='Consorcio Direto'!$B$27,INDEX('Consorcio Direto'!$E$55:$E$534,$A144),0)</x:f>
        <x:v>2804.20795739159</x:v>
      </x:c>
      <x:c r="BF144" s="141" t="n">
        <x:f>IF(AND(TRUE,Premissas!$B$11="Imovel",Premissas!$B$47="Moradia",$A144&lt;MAX('Consorcio Direto'!$B$29,Premissas!$B$49)),$D144,0)</x:f>
        <x:v>0</x:v>
      </x:c>
      <x:c r="BG144" s="141" t="n">
        <x:f>IF(AND(TRUE,Premissas!$B$11="Imovel",Premissas!$B$47="Investimento",$A144&gt;=MAX('Consorcio Direto'!$B$29,Premissas!$B$49)),$E144,0)</x:f>
        <x:v>1214.9110773346727</x:v>
      </x:c>
      <x:c r="BH144" s="141" t="n">
        <x:f>BD144+BE144+BF144</x:f>
        <x:v>2804.20795739159</x:v>
      </x:c>
      <x:c r="BI144" s="141" t="n">
        <x:f>BG144</x:f>
        <x:v>1214.9110773346727</x:v>
      </x:c>
      <x:c r="BJ144" s="141" t="n">
        <x:f>$C144+BI144-BH144</x:f>
        <x:v>5410.703119943083</x:v>
      </x:c>
      <x:c r="BK144" s="141" t="n">
        <x:f>BN143*(1+Premissas!$B$41)+BJ144</x:f>
        <x:v>1930357.795589441</x:v>
      </x:c>
      <x:c r="BL144" s="141" t="n">
        <x:f>MAX(0,-BK144)</x:f>
        <x:v>0</x:v>
      </x:c>
      <x:c r="BM144" s="141" t="n">
        <x:f>BM143*(1+Premissas!$B$41)+BL144</x:f>
        <x:v>0</x:v>
      </x:c>
      <x:c r="BN144" s="141" t="n">
        <x:f>MAX(0,BK144)</x:f>
        <x:v>1930357.795589441</x:v>
      </x:c>
      <x:c r="BO144" s="141" t="n">
        <x:f>INDEX('Consorcio Direto'!$K$55:$K$534,$A144)</x:f>
        <x:v>225892.21562656725</x:v>
      </x:c>
      <x:c r="BP144" s="141" t="n">
        <x:f>IF($A144&lt;'Consorcio Direto'!$B$29,INDEX('Consorcio Direto'!$L$55:$L$534,$A144),$F144)</x:f>
        <x:v>392786.2427497373</x:v>
      </x:c>
      <x:c r="BQ144" s="141" t="n">
        <x:f>BN144+BP144-BO144</x:f>
        <x:v>2097251.822712611</x:v>
      </x:c>
      <x:c r="BR144" s="141" t="n">
        <x:f>IF(BM144&gt;1,"Inviavel",BQ144)</x:f>
        <x:v>2097251.822712611</x:v>
      </x:c>
      <x:c r="BS144" s="141" t="str">
        <x:f>IF(BM144&gt;1,"Inviavel","OK")</x:f>
        <x:v>OK</x:v>
      </x:c>
      <x:c r="BT144" s="141" t="n">
        <x:f>IF(AND('Carta Contemplada'!$B$22="Sim",$A144='Carta Contemplada'!$B$23),'Carta Contemplada'!$B$37,0)</x:f>
        <x:v>0</x:v>
      </x:c>
      <x:c r="BU144" s="141" t="n">
        <x:f>IF('Carta Contemplada'!$B$22="Sim",INDEX('Carta Contemplada'!$C$55:$C$1013,$A144),0)</x:f>
        <x:v>2277.958270002511</x:v>
      </x:c>
      <x:c r="BV144" s="141" t="n">
        <x:f>IF(AND('Carta Contemplada'!$B$22="Sim",Premissas!$B$11="Imovel",Premissas!$B$47="Moradia",$A144&lt;MAX('Carta Contemplada'!$B$44,Premissas!$B$49)),$D144,0)</x:f>
        <x:v>0</x:v>
      </x:c>
      <x:c r="BW144" s="141" t="n">
        <x:f>IF(AND('Carta Contemplada'!$B$22="Sim",Premissas!$B$11="Imovel",Premissas!$B$47="Investimento",$A144&gt;=MAX('Carta Contemplada'!$B$44,Premissas!$B$49)),$E144,0)</x:f>
        <x:v>1214.9110773346727</x:v>
      </x:c>
      <x:c r="BX144" s="141" t="n">
        <x:f>BT144+BU144+BV144</x:f>
        <x:v>2277.958270002511</x:v>
      </x:c>
      <x:c r="BY144" s="141" t="n">
        <x:f>BW144</x:f>
        <x:v>1214.9110773346727</x:v>
      </x:c>
      <x:c r="BZ144" s="141" t="n">
        <x:f>$C144+BY144-BX144</x:f>
        <x:v>5936.952807332162</x:v>
      </x:c>
      <x:c r="CA144" s="141" t="n">
        <x:f>CD143*(1+Premissas!$B$41)+BZ144</x:f>
        <x:v>1979695.7106000164</x:v>
      </x:c>
      <x:c r="CB144" s="141" t="n">
        <x:f>MAX(0,-CA144)</x:f>
        <x:v>0</x:v>
      </x:c>
      <x:c r="CC144" s="141" t="n">
        <x:f>CC143*(1+Premissas!$B$41)+CB144</x:f>
        <x:v>0</x:v>
      </x:c>
      <x:c r="CD144" s="141" t="n">
        <x:f>MAX(0,CA144)</x:f>
        <x:v>1979695.7106000164</x:v>
      </x:c>
      <x:c r="CE144" s="141" t="n">
        <x:f>IF(AND('Carta Contemplada'!$B$22="Sim",$A144&gt;='Carta Contemplada'!$B$23),INDEX('Carta Contemplada'!$I$55:$I$1013,$A144),0)</x:f>
        <x:v>83518.08213438309</x:v>
      </x:c>
      <x:c r="CF144" s="141" t="n">
        <x:f>IF(AND('Carta Contemplada'!$B$22="Sim",$A144&gt;='Carta Contemplada'!$B$44),$F144,0)</x:f>
        <x:v>392786.2427497373</x:v>
      </x:c>
      <x:c r="CG144" s="141" t="n">
        <x:f>CD144+CF144-CE144</x:f>
        <x:v>2288963.8712153705</x:v>
      </x:c>
      <x:c r="CH144" s="141" t="n">
        <x:f>IF(CC144&gt;1,"Inviavel",CG144)</x:f>
        <x:v>2288963.8712153705</x:v>
      </x:c>
      <x:c r="CI144" s="145" t="str">
        <x:f>IF(CC144&gt;1,"Inviavel","OK")</x:f>
        <x:v>OK</x:v>
      </x:c>
    </x:row>
    <x:row r="145">
      <x:c r="A145" s="142" t="n">
        <x:v>141</x:v>
      </x:c>
      <x:c r="B145" s="179" t="n">
        <x:f>EDATE(Premissas!$B$4,A145-1)</x:f>
        <x:v>50802</x:v>
      </x:c>
      <x:c r="C145" s="141" t="n">
        <x:f>IF(A145&lt;=Premissas!$B$39,Premissas!$B$42,0)</x:f>
        <x:v>7000</x:v>
      </x:c>
      <x:c r="D145" s="141" t="n">
        <x:f>Premissas!$B$54*(1+Premissas!$B$57)^INT((A145-1)/12)</x:f>
        <x:v>1328.8089908347981</x:v>
      </x:c>
      <x:c r="E145" s="141" t="n">
        <x:f>Premissas!$B$64*(1+Premissas!$B$57)^INT((A145-1)/12)</x:f>
        <x:v>1214.9110773346727</x:v>
      </x:c>
      <x:c r="F145" s="141" t="n">
        <x:f>MAX(0,Premissas!$B$6*(1+Premissas!$B$66)^((A145-1)/12))</x:f>
        <x:v>394698.14964769274</x:v>
      </x:c>
      <x:c r="G145" s="141" t="n">
        <x:f>G144*(1+Premissas!$B$41)+C145</x:f>
        <x:v>2393749.4219990605</x:v>
      </x:c>
      <x:c r="H145" s="141" t="n">
        <x:f>IF($A145=Premissas!$B$48,Premissas!$B$8,0)</x:f>
        <x:v>0</x:v>
      </x:c>
      <x:c r="I145" s="141" t="n">
        <x:f>IF(AND($A145&gt;=Premissas!$B$48,$A145-Premissas!$B$48+1&lt;=Premissas!$B$13),INDEX(Financiamento!$J$6:$J$485,$A145-Premissas!$B$48+1),0)</x:f>
        <x:v>1543.090293974575</x:v>
      </x:c>
      <x:c r="J145" s="141" t="n">
        <x:f>IF(AND(TRUE,Premissas!$B$11="Imovel",Premissas!$B$47="Moradia",$A145&lt;MAX(Premissas!$B$48,Premissas!$B$49)),$D145,0)</x:f>
        <x:v>0</x:v>
      </x:c>
      <x:c r="K145" s="141" t="n">
        <x:f>IF(AND(TRUE,Premissas!$B$11="Imovel",Premissas!$B$47="Investimento",$A145&gt;=MAX(Premissas!$B$48,Premissas!$B$49)),$E145,0)</x:f>
        <x:v>1214.9110773346727</x:v>
      </x:c>
      <x:c r="L145" s="141" t="n">
        <x:f>H145+I145+J145</x:f>
        <x:v>1543.090293974575</x:v>
      </x:c>
      <x:c r="M145" s="141" t="n">
        <x:f>K145</x:f>
        <x:v>1214.9110773346727</x:v>
      </x:c>
      <x:c r="N145" s="141" t="n">
        <x:f>$C145+M145-L145</x:f>
        <x:v>6671.820783360098</x:v>
      </x:c>
      <x:c r="O145" s="141" t="n">
        <x:f>R144*(1+Premissas!$B$41)+N145</x:f>
        <x:v>1943409.8883697274</x:v>
      </x:c>
      <x:c r="P145" s="141" t="n">
        <x:f>MAX(0,-O145)</x:f>
        <x:v>0</x:v>
      </x:c>
      <x:c r="Q145" s="141" t="n">
        <x:f>Q144*(1+Premissas!$B$41)+P145</x:f>
        <x:v>0</x:v>
      </x:c>
      <x:c r="R145" s="141" t="n">
        <x:f>MAX(0,O145)</x:f>
        <x:v>1943409.8883697274</x:v>
      </x:c>
      <x:c r="S145" s="141" t="n">
        <x:f>IF(AND($A145&gt;=Premissas!$B$48,$A145-Premissas!$B$48+1&lt;=Premissas!$B$13),INDEX(Financiamento!$M$6:$M$485,$A145-Premissas!$B$48+1),0)</x:f>
        <x:v>106285.71428571446</x:v>
      </x:c>
      <x:c r="T145" s="141" t="n">
        <x:f>IF($A145&gt;=Premissas!$B$48,$F145,0)</x:f>
        <x:v>394698.14964769274</x:v>
      </x:c>
      <x:c r="U145" s="141" t="n">
        <x:f>R145+T145-S145</x:f>
        <x:v>2231822.3237317055</x:v>
      </x:c>
      <x:c r="V145" s="141" t="n">
        <x:f>IF(Q145&gt;1,"Inviavel",U145)</x:f>
        <x:v>2231822.3237317055</x:v>
      </x:c>
      <x:c r="W145" s="141" t="str">
        <x:f>IF(Q145&gt;1,"Inviavel","OK")</x:f>
        <x:v>OK</x:v>
      </x:c>
      <x:c r="X145" s="141" t="n">
        <x:f>IF($A145=Premissas!$B$48,Premissas!$B$8,0)</x:f>
        <x:v>0</x:v>
      </x:c>
      <x:c r="Y145" s="141" t="n">
        <x:f>IF(AND($A145&gt;=Premissas!$B$48,$A145-Premissas!$B$48+1&lt;=Premissas!$B$13),INDEX(Amortizacao!$K$6:$K$485,$A145-Premissas!$B$48+1),0)</x:f>
        <x:v>0</x:v>
      </x:c>
      <x:c r="Z145" s="141" t="n">
        <x:f>IF(AND(TRUE,Premissas!$B$11="Imovel",Premissas!$B$47="Moradia",$A145&lt;MAX(Premissas!$B$48,Premissas!$B$49)),$D145,0)</x:f>
        <x:v>0</x:v>
      </x:c>
      <x:c r="AA145" s="141" t="n">
        <x:f>IF(AND(TRUE,Premissas!$B$11="Imovel",Premissas!$B$47="Investimento",$A145&gt;=MAX(Premissas!$B$48,Premissas!$B$49)),$E145,0)</x:f>
        <x:v>1214.9110773346727</x:v>
      </x:c>
      <x:c r="AB145" s="141" t="n">
        <x:f>X145+Y145+Z145</x:f>
        <x:v>0</x:v>
      </x:c>
      <x:c r="AC145" s="141" t="n">
        <x:f>AA145</x:f>
        <x:v>1214.9110773346727</x:v>
      </x:c>
      <x:c r="AD145" s="141" t="n">
        <x:f>$C145+AC145-AB145</x:f>
        <x:v>8214.911077334673</x:v>
      </x:c>
      <x:c r="AE145" s="141" t="n">
        <x:f>AH144*(1+Premissas!$B$41)+AD145</x:f>
        <x:v>1867708.949986844</x:v>
      </x:c>
      <x:c r="AF145" s="141" t="n">
        <x:f>MAX(0,-AE145)</x:f>
        <x:v>0</x:v>
      </x:c>
      <x:c r="AG145" s="141" t="n">
        <x:f>AG144*(1+Premissas!$B$41)+AF145</x:f>
        <x:v>0</x:v>
      </x:c>
      <x:c r="AH145" s="141" t="n">
        <x:f>MAX(0,AE145)</x:f>
        <x:v>1867708.949986844</x:v>
      </x:c>
      <x:c r="AI145" s="141" t="n">
        <x:f>IF(AND($A145&gt;=Premissas!$B$48,$A145-Premissas!$B$48+1&lt;=Premissas!$B$13),INDEX(Amortizacao!$L$6:$L$485,$A145-Premissas!$B$48+1),0)</x:f>
        <x:v>0</x:v>
      </x:c>
      <x:c r="AJ145" s="141" t="n">
        <x:f>IF($A145&gt;=Premissas!$B$48,$F145,0)</x:f>
        <x:v>394698.14964769274</x:v>
      </x:c>
      <x:c r="AK145" s="141" t="n">
        <x:f>AH145+AJ145-AI145</x:f>
        <x:v>2262407.099634537</x:v>
      </x:c>
      <x:c r="AL145" s="141" t="n">
        <x:f>IF(AG145&gt;1,"Inviavel",AK145)</x:f>
        <x:v>2262407.099634537</x:v>
      </x:c>
      <x:c r="AM145" s="141" t="str">
        <x:f>IF(AG145&gt;1,"Inviavel","OK")</x:f>
        <x:v>OK</x:v>
      </x:c>
      <x:c r="AN145" s="141" t="n">
        <x:f>IF($A145=Premissas!$B$48,Premissas!$B$8,0)</x:f>
        <x:v>0</x:v>
      </x:c>
      <x:c r="AO145" s="141" t="n">
        <x:f>IF($A145&lt;=Premissas!$B$25,INDEX('Consorcio IQ'!$K$6:$K$485,$A145),0)</x:f>
        <x:v>1082.91451252558</x:v>
      </x:c>
      <x:c r="AP145" s="141" t="n">
        <x:f>IF(AND(TRUE,Premissas!$B$11="Imovel",Premissas!$B$47="Moradia",$A145&lt;MAX(Premissas!$B$48,Premissas!$B$49)),$D145,0)</x:f>
        <x:v>0</x:v>
      </x:c>
      <x:c r="AQ145" s="141" t="n">
        <x:f>IF(AND(TRUE,Premissas!$B$11="Imovel",Premissas!$B$47="Investimento",$A145&gt;=MAX(Premissas!$B$48,Premissas!$B$49)),$E145,0)</x:f>
        <x:v>1214.9110773346727</x:v>
      </x:c>
      <x:c r="AR145" s="141" t="n">
        <x:f>AN145+AO145+AP145</x:f>
        <x:v>1082.91451252558</x:v>
      </x:c>
      <x:c r="AS145" s="141" t="n">
        <x:f>AQ145</x:f>
        <x:v>1214.9110773346727</x:v>
      </x:c>
      <x:c r="AT145" s="141" t="n">
        <x:f>$C145+AS145-AR145</x:f>
        <x:v>7131.996564809093</x:v>
      </x:c>
      <x:c r="AU145" s="141" t="n">
        <x:f>AX144*(1+Premissas!$B$41)+AT145</x:f>
        <x:v>1933006.4207536376</x:v>
      </x:c>
      <x:c r="AV145" s="141" t="n">
        <x:f>MAX(0,-AU145)</x:f>
        <x:v>0</x:v>
      </x:c>
      <x:c r="AW145" s="141" t="n">
        <x:f>AW144*(1+Premissas!$B$41)+AV145</x:f>
        <x:v>0</x:v>
      </x:c>
      <x:c r="AX145" s="141" t="n">
        <x:f>MAX(0,AU145)</x:f>
        <x:v>1933006.4207536376</x:v>
      </x:c>
      <x:c r="AY145" s="141" t="n">
        <x:f>INDEX('Consorcio IQ'!$P$6:$P$485,$A145)</x:f>
        <x:v>86978.716234139</x:v>
      </x:c>
      <x:c r="AZ145" s="141" t="n">
        <x:f>IF($A145&gt;=Premissas!$B$48,$F145,0)+IF($A145&lt;Premissas!$B$27,INDEX('Consorcio IQ'!$O$6:$O$485,$A145),0)</x:f>
        <x:v>394698.14964769274</x:v>
      </x:c>
      <x:c r="BA145" s="141" t="n">
        <x:f>AX145+AZ145-AY145</x:f>
        <x:v>2240725.8541671913</x:v>
      </x:c>
      <x:c r="BB145" s="141" t="n">
        <x:f>IF(AW145&gt;1,"Inviavel",BA145)</x:f>
        <x:v>2240725.8541671913</x:v>
      </x:c>
      <x:c r="BC145" s="141" t="str">
        <x:f>IF(AW145&gt;1,"Inviavel","OK")</x:f>
        <x:v>OK</x:v>
      </x:c>
      <x:c r="BD145" s="141" t="n">
        <x:f>IF($A145='Consorcio Direto'!$B$29,'Consorcio Direto'!$B$44,0)</x:f>
        <x:v>0</x:v>
      </x:c>
      <x:c r="BE145" s="141" t="n">
        <x:f>IF($A145&lt;='Consorcio Direto'!$B$27,INDEX('Consorcio Direto'!$E$55:$E$534,$A145),0)</x:f>
        <x:v>2804.20795739159</x:v>
      </x:c>
      <x:c r="BF145" s="141" t="n">
        <x:f>IF(AND(TRUE,Premissas!$B$11="Imovel",Premissas!$B$47="Moradia",$A145&lt;MAX('Consorcio Direto'!$B$29,Premissas!$B$49)),$D145,0)</x:f>
        <x:v>0</x:v>
      </x:c>
      <x:c r="BG145" s="141" t="n">
        <x:f>IF(AND(TRUE,Premissas!$B$11="Imovel",Premissas!$B$47="Investimento",$A145&gt;=MAX('Consorcio Direto'!$B$29,Premissas!$B$49)),$E145,0)</x:f>
        <x:v>1214.9110773346727</x:v>
      </x:c>
      <x:c r="BH145" s="141" t="n">
        <x:f>BD145+BE145+BF145</x:f>
        <x:v>2804.20795739159</x:v>
      </x:c>
      <x:c r="BI145" s="141" t="n">
        <x:f>BG145</x:f>
        <x:v>1214.9110773346727</x:v>
      </x:c>
      <x:c r="BJ145" s="141" t="n">
        <x:f>$C145+BI145-BH145</x:f>
        <x:v>5410.703119943083</x:v>
      </x:c>
      <x:c r="BK145" s="141" t="n">
        <x:f>BN144*(1+Premissas!$B$41)+BJ145</x:f>
        <x:v>1954085.2641213904</x:v>
      </x:c>
      <x:c r="BL145" s="141" t="n">
        <x:f>MAX(0,-BK145)</x:f>
        <x:v>0</x:v>
      </x:c>
      <x:c r="BM145" s="141" t="n">
        <x:f>BM144*(1+Premissas!$B$41)+BL145</x:f>
        <x:v>0</x:v>
      </x:c>
      <x:c r="BN145" s="141" t="n">
        <x:f>MAX(0,BK145)</x:f>
        <x:v>1954085.2641213904</x:v>
      </x:c>
      <x:c r="BO145" s="141" t="n">
        <x:f>INDEX('Consorcio Direto'!$K$55:$K$534,$A145)</x:f>
        <x:v>225231.45212879035</x:v>
      </x:c>
      <x:c r="BP145" s="141" t="n">
        <x:f>IF($A145&lt;'Consorcio Direto'!$B$29,INDEX('Consorcio Direto'!$L$55:$L$534,$A145),$F145)</x:f>
        <x:v>394698.14964769274</x:v>
      </x:c>
      <x:c r="BQ145" s="141" t="n">
        <x:f>BN145+BP145-BO145</x:f>
        <x:v>2123551.961640293</x:v>
      </x:c>
      <x:c r="BR145" s="141" t="n">
        <x:f>IF(BM145&gt;1,"Inviavel",BQ145)</x:f>
        <x:v>2123551.961640293</x:v>
      </x:c>
      <x:c r="BS145" s="141" t="str">
        <x:f>IF(BM145&gt;1,"Inviavel","OK")</x:f>
        <x:v>OK</x:v>
      </x:c>
      <x:c r="BT145" s="141" t="n">
        <x:f>IF(AND('Carta Contemplada'!$B$22="Sim",$A145='Carta Contemplada'!$B$23),'Carta Contemplada'!$B$37,0)</x:f>
        <x:v>0</x:v>
      </x:c>
      <x:c r="BU145" s="141" t="n">
        <x:f>IF('Carta Contemplada'!$B$22="Sim",INDEX('Carta Contemplada'!$C$55:$C$1013,$A145),0)</x:f>
        <x:v>2277.958270002511</x:v>
      </x:c>
      <x:c r="BV145" s="141" t="n">
        <x:f>IF(AND('Carta Contemplada'!$B$22="Sim",Premissas!$B$11="Imovel",Premissas!$B$47="Moradia",$A145&lt;MAX('Carta Contemplada'!$B$44,Premissas!$B$49)),$D145,0)</x:f>
        <x:v>0</x:v>
      </x:c>
      <x:c r="BW145" s="141" t="n">
        <x:f>IF(AND('Carta Contemplada'!$B$22="Sim",Premissas!$B$11="Imovel",Premissas!$B$47="Investimento",$A145&gt;=MAX('Carta Contemplada'!$B$44,Premissas!$B$49)),$E145,0)</x:f>
        <x:v>1214.9110773346727</x:v>
      </x:c>
      <x:c r="BX145" s="141" t="n">
        <x:f>BT145+BU145+BV145</x:f>
        <x:v>2277.958270002511</x:v>
      </x:c>
      <x:c r="BY145" s="141" t="n">
        <x:f>BW145</x:f>
        <x:v>1214.9110773346727</x:v>
      </x:c>
      <x:c r="BZ145" s="141" t="n">
        <x:f>$C145+BY145-BX145</x:f>
        <x:v>5936.952807332162</x:v>
      </x:c>
      <x:c r="CA145" s="141" t="n">
        <x:f>CD144*(1+Premissas!$B$41)+BZ145</x:f>
        <x:v>2004417.5860787143</x:v>
      </x:c>
      <x:c r="CB145" s="141" t="n">
        <x:f>MAX(0,-CA145)</x:f>
        <x:v>0</x:v>
      </x:c>
      <x:c r="CC145" s="141" t="n">
        <x:f>CC144*(1+Premissas!$B$41)+CB145</x:f>
        <x:v>0</x:v>
      </x:c>
      <x:c r="CD145" s="141" t="n">
        <x:f>MAX(0,CA145)</x:f>
        <x:v>2004417.5860787143</x:v>
      </x:c>
      <x:c r="CE145" s="141" t="n">
        <x:f>IF(AND('Carta Contemplada'!$B$22="Sim",$A145&gt;='Carta Contemplada'!$B$23),INDEX('Carta Contemplada'!$I$55:$I$1013,$A145),0)</x:f>
        <x:v>82032.60965204725</x:v>
      </x:c>
      <x:c r="CF145" s="141" t="n">
        <x:f>IF(AND('Carta Contemplada'!$B$22="Sim",$A145&gt;='Carta Contemplada'!$B$44),$F145,0)</x:f>
        <x:v>394698.14964769274</x:v>
      </x:c>
      <x:c r="CG145" s="141" t="n">
        <x:f>CD145+CF145-CE145</x:f>
        <x:v>2317083.12607436</x:v>
      </x:c>
      <x:c r="CH145" s="141" t="n">
        <x:f>IF(CC145&gt;1,"Inviavel",CG145)</x:f>
        <x:v>2317083.12607436</x:v>
      </x:c>
      <x:c r="CI145" s="145" t="str">
        <x:f>IF(CC145&gt;1,"Inviavel","OK")</x:f>
        <x:v>OK</x:v>
      </x:c>
    </x:row>
    <x:row r="146">
      <x:c r="A146" s="142" t="n">
        <x:v>142</x:v>
      </x:c>
      <x:c r="B146" s="179" t="n">
        <x:f>EDATE(Premissas!$B$4,A146-1)</x:f>
        <x:v>50830</x:v>
      </x:c>
      <x:c r="C146" s="141" t="n">
        <x:f>IF(A146&lt;=Premissas!$B$39,Premissas!$B$42,0)</x:f>
        <x:v>7000</x:v>
      </x:c>
      <x:c r="D146" s="141" t="n">
        <x:f>Premissas!$B$54*(1+Premissas!$B$57)^INT((A146-1)/12)</x:f>
        <x:v>1328.8089908347981</x:v>
      </x:c>
      <x:c r="E146" s="141" t="n">
        <x:f>Premissas!$B$64*(1+Premissas!$B$57)^INT((A146-1)/12)</x:f>
        <x:v>1214.9110773346727</x:v>
      </x:c>
      <x:c r="F146" s="141" t="n">
        <x:f>MAX(0,Premissas!$B$6*(1+Premissas!$B$66)^((A146-1)/12))</x:f>
        <x:v>396619.3628491502</x:v>
      </x:c>
      <x:c r="G146" s="141" t="n">
        <x:f>G145*(1+Premissas!$B$41)+C146</x:f>
        <x:v>2423463.2146016876</x:v>
      </x:c>
      <x:c r="H146" s="141" t="n">
        <x:f>IF($A146=Premissas!$B$48,Premissas!$B$8,0)</x:f>
        <x:v>0</x:v>
      </x:c>
      <x:c r="I146" s="141" t="n">
        <x:f>IF(AND($A146&gt;=Premissas!$B$48,$A146-Premissas!$B$48+1&lt;=Premissas!$B$13),INDEX(Financiamento!$J$6:$J$485,$A146-Premissas!$B$48+1),0)</x:f>
        <x:v>1539.4755157137813</x:v>
      </x:c>
      <x:c r="J146" s="141" t="n">
        <x:f>IF(AND(TRUE,Premissas!$B$11="Imovel",Premissas!$B$47="Moradia",$A146&lt;MAX(Premissas!$B$48,Premissas!$B$49)),$D146,0)</x:f>
        <x:v>0</x:v>
      </x:c>
      <x:c r="K146" s="141" t="n">
        <x:f>IF(AND(TRUE,Premissas!$B$11="Imovel",Premissas!$B$47="Investimento",$A146&gt;=MAX(Premissas!$B$48,Premissas!$B$49)),$E146,0)</x:f>
        <x:v>1214.9110773346727</x:v>
      </x:c>
      <x:c r="L146" s="141" t="n">
        <x:f>H146+I146+J146</x:f>
        <x:v>1539.4755157137813</x:v>
      </x:c>
      <x:c r="M146" s="141" t="n">
        <x:f>K146</x:f>
        <x:v>1214.9110773346727</x:v>
      </x:c>
      <x:c r="N146" s="141" t="n">
        <x:f>$C146+M146-L146</x:f>
        <x:v>6675.435561620891</x:v>
      </x:c>
      <x:c r="O146" s="141" t="n">
        <x:f>R145*(1+Premissas!$B$41)+N146</x:f>
        <x:v>1968525.9379491098</x:v>
      </x:c>
      <x:c r="P146" s="141" t="n">
        <x:f>MAX(0,-O146)</x:f>
        <x:v>0</x:v>
      </x:c>
      <x:c r="Q146" s="141" t="n">
        <x:f>Q145*(1+Premissas!$B$41)+P146</x:f>
        <x:v>0</x:v>
      </x:c>
      <x:c r="R146" s="141" t="n">
        <x:f>MAX(0,O146)</x:f>
        <x:v>1968525.9379491098</x:v>
      </x:c>
      <x:c r="S146" s="141" t="n">
        <x:f>IF(AND($A146&gt;=Premissas!$B$48,$A146-Premissas!$B$48+1&lt;=Premissas!$B$13),INDEX(Financiamento!$M$6:$M$485,$A146-Premissas!$B$48+1),0)</x:f>
        <x:v>105904.76190476208</x:v>
      </x:c>
      <x:c r="T146" s="141" t="n">
        <x:f>IF($A146&gt;=Premissas!$B$48,$F146,0)</x:f>
        <x:v>396619.3628491502</x:v>
      </x:c>
      <x:c r="U146" s="141" t="n">
        <x:f>R146+T146-S146</x:f>
        <x:v>2259240.538893498</x:v>
      </x:c>
      <x:c r="V146" s="141" t="n">
        <x:f>IF(Q146&gt;1,"Inviavel",U146)</x:f>
        <x:v>2259240.538893498</x:v>
      </x:c>
      <x:c r="W146" s="141" t="str">
        <x:f>IF(Q146&gt;1,"Inviavel","OK")</x:f>
        <x:v>OK</x:v>
      </x:c>
      <x:c r="X146" s="141" t="n">
        <x:f>IF($A146=Premissas!$B$48,Premissas!$B$8,0)</x:f>
        <x:v>0</x:v>
      </x:c>
      <x:c r="Y146" s="141" t="n">
        <x:f>IF(AND($A146&gt;=Premissas!$B$48,$A146-Premissas!$B$48+1&lt;=Premissas!$B$13),INDEX(Amortizacao!$K$6:$K$485,$A146-Premissas!$B$48+1),0)</x:f>
        <x:v>0</x:v>
      </x:c>
      <x:c r="Z146" s="141" t="n">
        <x:f>IF(AND(TRUE,Premissas!$B$11="Imovel",Premissas!$B$47="Moradia",$A146&lt;MAX(Premissas!$B$48,Premissas!$B$49)),$D146,0)</x:f>
        <x:v>0</x:v>
      </x:c>
      <x:c r="AA146" s="141" t="n">
        <x:f>IF(AND(TRUE,Premissas!$B$11="Imovel",Premissas!$B$47="Investimento",$A146&gt;=MAX(Premissas!$B$48,Premissas!$B$49)),$E146,0)</x:f>
        <x:v>1214.9110773346727</x:v>
      </x:c>
      <x:c r="AB146" s="141" t="n">
        <x:f>X146+Y146+Z146</x:f>
        <x:v>0</x:v>
      </x:c>
      <x:c r="AC146" s="141" t="n">
        <x:f>AA146</x:f>
        <x:v>1214.9110773346727</x:v>
      </x:c>
      <x:c r="AD146" s="141" t="n">
        <x:f>$C146+AC146-AB146</x:f>
        <x:v>8214.911077334673</x:v>
      </x:c>
      <x:c r="AE146" s="141" t="n">
        <x:f>AH145*(1+Premissas!$B$41)+AD146</x:f>
        <x:v>1893646.1645526716</x:v>
      </x:c>
      <x:c r="AF146" s="141" t="n">
        <x:f>MAX(0,-AE146)</x:f>
        <x:v>0</x:v>
      </x:c>
      <x:c r="AG146" s="141" t="n">
        <x:f>AG145*(1+Premissas!$B$41)+AF146</x:f>
        <x:v>0</x:v>
      </x:c>
      <x:c r="AH146" s="141" t="n">
        <x:f>MAX(0,AE146)</x:f>
        <x:v>1893646.1645526716</x:v>
      </x:c>
      <x:c r="AI146" s="141" t="n">
        <x:f>IF(AND($A146&gt;=Premissas!$B$48,$A146-Premissas!$B$48+1&lt;=Premissas!$B$13),INDEX(Amortizacao!$L$6:$L$485,$A146-Premissas!$B$48+1),0)</x:f>
        <x:v>0</x:v>
      </x:c>
      <x:c r="AJ146" s="141" t="n">
        <x:f>IF($A146&gt;=Premissas!$B$48,$F146,0)</x:f>
        <x:v>396619.3628491502</x:v>
      </x:c>
      <x:c r="AK146" s="141" t="n">
        <x:f>AH146+AJ146-AI146</x:f>
        <x:v>2290265.5274018217</x:v>
      </x:c>
      <x:c r="AL146" s="141" t="n">
        <x:f>IF(AG146&gt;1,"Inviavel",AK146)</x:f>
        <x:v>2290265.5274018217</x:v>
      </x:c>
      <x:c r="AM146" s="141" t="str">
        <x:f>IF(AG146&gt;1,"Inviavel","OK")</x:f>
        <x:v>OK</x:v>
      </x:c>
      <x:c r="AN146" s="141" t="n">
        <x:f>IF($A146=Premissas!$B$48,Premissas!$B$8,0)</x:f>
        <x:v>0</x:v>
      </x:c>
      <x:c r="AO146" s="141" t="n">
        <x:f>IF($A146&lt;=Premissas!$B$25,INDEX('Consorcio IQ'!$K$6:$K$485,$A146),0)</x:f>
        <x:v>1082.91451252558</x:v>
      </x:c>
      <x:c r="AP146" s="141" t="n">
        <x:f>IF(AND(TRUE,Premissas!$B$11="Imovel",Premissas!$B$47="Moradia",$A146&lt;MAX(Premissas!$B$48,Premissas!$B$49)),$D146,0)</x:f>
        <x:v>0</x:v>
      </x:c>
      <x:c r="AQ146" s="141" t="n">
        <x:f>IF(AND(TRUE,Premissas!$B$11="Imovel",Premissas!$B$47="Investimento",$A146&gt;=MAX(Premissas!$B$48,Premissas!$B$49)),$E146,0)</x:f>
        <x:v>1214.9110773346727</x:v>
      </x:c>
      <x:c r="AR146" s="141" t="n">
        <x:f>AN146+AO146+AP146</x:f>
        <x:v>1082.91451252558</x:v>
      </x:c>
      <x:c r="AS146" s="141" t="n">
        <x:f>AQ146</x:f>
        <x:v>1214.9110773346727</x:v>
      </x:c>
      <x:c r="AT146" s="141" t="n">
        <x:f>$C146+AS146-AR146</x:f>
        <x:v>7131.996564809093</x:v>
      </x:c>
      <x:c r="AU146" s="141" t="n">
        <x:f>AX145*(1+Premissas!$B$41)+AT146</x:f>
        <x:v>1958480.3149861973</x:v>
      </x:c>
      <x:c r="AV146" s="141" t="n">
        <x:f>MAX(0,-AU146)</x:f>
        <x:v>0</x:v>
      </x:c>
      <x:c r="AW146" s="141" t="n">
        <x:f>AW145*(1+Premissas!$B$41)+AV146</x:f>
        <x:v>0</x:v>
      </x:c>
      <x:c r="AX146" s="141" t="n">
        <x:f>MAX(0,AU146)</x:f>
        <x:v>1958480.3149861973</x:v>
      </x:c>
      <x:c r="AY146" s="141" t="n">
        <x:f>INDEX('Consorcio IQ'!$P$6:$P$485,$A146)</x:f>
        <x:v>86721.12474967503</x:v>
      </x:c>
      <x:c r="AZ146" s="141" t="n">
        <x:f>IF($A146&gt;=Premissas!$B$48,$F146,0)+IF($A146&lt;Premissas!$B$27,INDEX('Consorcio IQ'!$O$6:$O$485,$A146),0)</x:f>
        <x:v>396619.3628491502</x:v>
      </x:c>
      <x:c r="BA146" s="141" t="n">
        <x:f>AX146+AZ146-AY146</x:f>
        <x:v>2268378.5530856727</x:v>
      </x:c>
      <x:c r="BB146" s="141" t="n">
        <x:f>IF(AW146&gt;1,"Inviavel",BA146)</x:f>
        <x:v>2268378.5530856727</x:v>
      </x:c>
      <x:c r="BC146" s="141" t="str">
        <x:f>IF(AW146&gt;1,"Inviavel","OK")</x:f>
        <x:v>OK</x:v>
      </x:c>
      <x:c r="BD146" s="141" t="n">
        <x:f>IF($A146='Consorcio Direto'!$B$29,'Consorcio Direto'!$B$44,0)</x:f>
        <x:v>0</x:v>
      </x:c>
      <x:c r="BE146" s="141" t="n">
        <x:f>IF($A146&lt;='Consorcio Direto'!$B$27,INDEX('Consorcio Direto'!$E$55:$E$534,$A146),0)</x:f>
        <x:v>2804.20795739159</x:v>
      </x:c>
      <x:c r="BF146" s="141" t="n">
        <x:f>IF(AND(TRUE,Premissas!$B$11="Imovel",Premissas!$B$47="Moradia",$A146&lt;MAX('Consorcio Direto'!$B$29,Premissas!$B$49)),$D146,0)</x:f>
        <x:v>0</x:v>
      </x:c>
      <x:c r="BG146" s="141" t="n">
        <x:f>IF(AND(TRUE,Premissas!$B$11="Imovel",Premissas!$B$47="Investimento",$A146&gt;=MAX('Consorcio Direto'!$B$29,Premissas!$B$49)),$E146,0)</x:f>
        <x:v>1214.9110773346727</x:v>
      </x:c>
      <x:c r="BH146" s="141" t="n">
        <x:f>BD146+BE146+BF146</x:f>
        <x:v>2804.20795739159</x:v>
      </x:c>
      <x:c r="BI146" s="141" t="n">
        <x:f>BG146</x:f>
        <x:v>1214.9110773346727</x:v>
      </x:c>
      <x:c r="BJ146" s="141" t="n">
        <x:f>$C146+BI146-BH146</x:f>
        <x:v>5410.703119943083</x:v>
      </x:c>
      <x:c r="BK146" s="141" t="n">
        <x:f>BN145*(1+Premissas!$B$41)+BJ146</x:f>
        <x:v>1978037.8776891015</x:v>
      </x:c>
      <x:c r="BL146" s="141" t="n">
        <x:f>MAX(0,-BK146)</x:f>
        <x:v>0</x:v>
      </x:c>
      <x:c r="BM146" s="141" t="n">
        <x:f>BM145*(1+Premissas!$B$41)+BL146</x:f>
        <x:v>0</x:v>
      </x:c>
      <x:c r="BN146" s="141" t="n">
        <x:f>MAX(0,BK146)</x:f>
        <x:v>1978037.8776891015</x:v>
      </x:c>
      <x:c r="BO146" s="141" t="n">
        <x:f>INDEX('Consorcio Direto'!$K$55:$K$534,$A146)</x:f>
        <x:v>224564.4187830043</x:v>
      </x:c>
      <x:c r="BP146" s="141" t="n">
        <x:f>IF($A146&lt;'Consorcio Direto'!$B$29,INDEX('Consorcio Direto'!$L$55:$L$534,$A146),$F146)</x:f>
        <x:v>396619.3628491502</x:v>
      </x:c>
      <x:c r="BQ146" s="141" t="n">
        <x:f>BN146+BP146-BO146</x:f>
        <x:v>2150092.821755247</x:v>
      </x:c>
      <x:c r="BR146" s="141" t="n">
        <x:f>IF(BM146&gt;1,"Inviavel",BQ146)</x:f>
        <x:v>2150092.821755247</x:v>
      </x:c>
      <x:c r="BS146" s="141" t="str">
        <x:f>IF(BM146&gt;1,"Inviavel","OK")</x:f>
        <x:v>OK</x:v>
      </x:c>
      <x:c r="BT146" s="141" t="n">
        <x:f>IF(AND('Carta Contemplada'!$B$22="Sim",$A146='Carta Contemplada'!$B$23),'Carta Contemplada'!$B$37,0)</x:f>
        <x:v>0</x:v>
      </x:c>
      <x:c r="BU146" s="141" t="n">
        <x:f>IF('Carta Contemplada'!$B$22="Sim",INDEX('Carta Contemplada'!$C$55:$C$1013,$A146),0)</x:f>
        <x:v>2277.958270002511</x:v>
      </x:c>
      <x:c r="BV146" s="141" t="n">
        <x:f>IF(AND('Carta Contemplada'!$B$22="Sim",Premissas!$B$11="Imovel",Premissas!$B$47="Moradia",$A146&lt;MAX('Carta Contemplada'!$B$44,Premissas!$B$49)),$D146,0)</x:f>
        <x:v>0</x:v>
      </x:c>
      <x:c r="BW146" s="141" t="n">
        <x:f>IF(AND('Carta Contemplada'!$B$22="Sim",Premissas!$B$11="Imovel",Premissas!$B$47="Investimento",$A146&gt;=MAX('Carta Contemplada'!$B$44,Premissas!$B$49)),$E146,0)</x:f>
        <x:v>1214.9110773346727</x:v>
      </x:c>
      <x:c r="BX146" s="141" t="n">
        <x:f>BT146+BU146+BV146</x:f>
        <x:v>2277.958270002511</x:v>
      </x:c>
      <x:c r="BY146" s="141" t="n">
        <x:f>BW146</x:f>
        <x:v>1214.9110773346727</x:v>
      </x:c>
      <x:c r="BZ146" s="141" t="n">
        <x:f>$C146+BY146-BX146</x:f>
        <x:v>5936.952807332162</x:v>
      </x:c>
      <x:c r="CA146" s="141" t="n">
        <x:f>CD145*(1+Premissas!$B$41)+BZ146</x:f>
        <x:v>2029374.0423147841</x:v>
      </x:c>
      <x:c r="CB146" s="141" t="n">
        <x:f>MAX(0,-CA146)</x:f>
        <x:v>0</x:v>
      </x:c>
      <x:c r="CC146" s="141" t="n">
        <x:f>CC145*(1+Premissas!$B$41)+CB146</x:f>
        <x:v>0</x:v>
      </x:c>
      <x:c r="CD146" s="141" t="n">
        <x:f>MAX(0,CA146)</x:f>
        <x:v>2029374.0423147841</x:v>
      </x:c>
      <x:c r="CE146" s="141" t="n">
        <x:f>IF(AND('Carta Contemplada'!$B$22="Sim",$A146&gt;='Carta Contemplada'!$B$23),INDEX('Carta Contemplada'!$I$55:$I$1013,$A146),0)</x:f>
        <x:v>80533.0418289165</x:v>
      </x:c>
      <x:c r="CF146" s="141" t="n">
        <x:f>IF(AND('Carta Contemplada'!$B$22="Sim",$A146&gt;='Carta Contemplada'!$B$44),$F146,0)</x:f>
        <x:v>396619.3628491502</x:v>
      </x:c>
      <x:c r="CG146" s="141" t="n">
        <x:f>CD146+CF146-CE146</x:f>
        <x:v>2345460.363335018</x:v>
      </x:c>
      <x:c r="CH146" s="141" t="n">
        <x:f>IF(CC146&gt;1,"Inviavel",CG146)</x:f>
        <x:v>2345460.363335018</x:v>
      </x:c>
      <x:c r="CI146" s="145" t="str">
        <x:f>IF(CC146&gt;1,"Inviavel","OK")</x:f>
        <x:v>OK</x:v>
      </x:c>
    </x:row>
    <x:row r="147">
      <x:c r="A147" s="142" t="n">
        <x:v>143</x:v>
      </x:c>
      <x:c r="B147" s="179" t="n">
        <x:f>EDATE(Premissas!$B$4,A147-1)</x:f>
        <x:v>50861</x:v>
      </x:c>
      <x:c r="C147" s="141" t="n">
        <x:f>IF(A147&lt;=Premissas!$B$39,Premissas!$B$42,0)</x:f>
        <x:v>7000</x:v>
      </x:c>
      <x:c r="D147" s="141" t="n">
        <x:f>Premissas!$B$54*(1+Premissas!$B$57)^INT((A147-1)/12)</x:f>
        <x:v>1328.8089908347981</x:v>
      </x:c>
      <x:c r="E147" s="141" t="n">
        <x:f>Premissas!$B$64*(1+Premissas!$B$57)^INT((A147-1)/12)</x:f>
        <x:v>1214.9110773346727</x:v>
      </x:c>
      <x:c r="F147" s="141" t="n">
        <x:f>MAX(0,Premissas!$B$6*(1+Premissas!$B$66)^((A147-1)/12))</x:f>
        <x:v>398549.9276530126</x:v>
      </x:c>
      <x:c r="G147" s="141" t="n">
        <x:f>G146*(1+Premissas!$B$41)+C147</x:f>
        <x:v>2453458.955229622</x:v>
      </x:c>
      <x:c r="H147" s="141" t="n">
        <x:f>IF($A147=Premissas!$B$48,Premissas!$B$8,0)</x:f>
        <x:v>0</x:v>
      </x:c>
      <x:c r="I147" s="141" t="n">
        <x:f>IF(AND($A147&gt;=Premissas!$B$48,$A147-Premissas!$B$48+1&lt;=Premissas!$B$13),INDEX(Financiamento!$J$6:$J$485,$A147-Premissas!$B$48+1),0)</x:f>
        <x:v>1535.8607374529877</x:v>
      </x:c>
      <x:c r="J147" s="141" t="n">
        <x:f>IF(AND(TRUE,Premissas!$B$11="Imovel",Premissas!$B$47="Moradia",$A147&lt;MAX(Premissas!$B$48,Premissas!$B$49)),$D147,0)</x:f>
        <x:v>0</x:v>
      </x:c>
      <x:c r="K147" s="141" t="n">
        <x:f>IF(AND(TRUE,Premissas!$B$11="Imovel",Premissas!$B$47="Investimento",$A147&gt;=MAX(Premissas!$B$48,Premissas!$B$49)),$E147,0)</x:f>
        <x:v>1214.9110773346727</x:v>
      </x:c>
      <x:c r="L147" s="141" t="n">
        <x:f>H147+I147+J147</x:f>
        <x:v>1535.8607374529877</x:v>
      </x:c>
      <x:c r="M147" s="141" t="n">
        <x:f>K147</x:f>
        <x:v>1214.9110773346727</x:v>
      </x:c>
      <x:c r="N147" s="141" t="n">
        <x:f>$C147+M147-L147</x:f>
        <x:v>6679.050339881685</x:v>
      </x:c>
      <x:c r="O147" s="141" t="n">
        <x:f>R146*(1+Premissas!$B$41)+N147</x:f>
        <x:v>1993883.9233005466</x:v>
      </x:c>
      <x:c r="P147" s="141" t="n">
        <x:f>MAX(0,-O147)</x:f>
        <x:v>0</x:v>
      </x:c>
      <x:c r="Q147" s="141" t="n">
        <x:f>Q146*(1+Premissas!$B$41)+P147</x:f>
        <x:v>0</x:v>
      </x:c>
      <x:c r="R147" s="141" t="n">
        <x:f>MAX(0,O147)</x:f>
        <x:v>1993883.9233005466</x:v>
      </x:c>
      <x:c r="S147" s="141" t="n">
        <x:f>IF(AND($A147&gt;=Premissas!$B$48,$A147-Premissas!$B$48+1&lt;=Premissas!$B$13),INDEX(Financiamento!$M$6:$M$485,$A147-Premissas!$B$48+1),0)</x:f>
        <x:v>105523.8095238097</x:v>
      </x:c>
      <x:c r="T147" s="141" t="n">
        <x:f>IF($A147&gt;=Premissas!$B$48,$F147,0)</x:f>
        <x:v>398549.9276530126</x:v>
      </x:c>
      <x:c r="U147" s="141" t="n">
        <x:f>R147+T147-S147</x:f>
        <x:v>2286910.0414297497</x:v>
      </x:c>
      <x:c r="V147" s="141" t="n">
        <x:f>IF(Q147&gt;1,"Inviavel",U147)</x:f>
        <x:v>2286910.0414297497</x:v>
      </x:c>
      <x:c r="W147" s="141" t="str">
        <x:f>IF(Q147&gt;1,"Inviavel","OK")</x:f>
        <x:v>OK</x:v>
      </x:c>
      <x:c r="X147" s="141" t="n">
        <x:f>IF($A147=Premissas!$B$48,Premissas!$B$8,0)</x:f>
        <x:v>0</x:v>
      </x:c>
      <x:c r="Y147" s="141" t="n">
        <x:f>IF(AND($A147&gt;=Premissas!$B$48,$A147-Premissas!$B$48+1&lt;=Premissas!$B$13),INDEX(Amortizacao!$K$6:$K$485,$A147-Premissas!$B$48+1),0)</x:f>
        <x:v>0</x:v>
      </x:c>
      <x:c r="Z147" s="141" t="n">
        <x:f>IF(AND(TRUE,Premissas!$B$11="Imovel",Premissas!$B$47="Moradia",$A147&lt;MAX(Premissas!$B$48,Premissas!$B$49)),$D147,0)</x:f>
        <x:v>0</x:v>
      </x:c>
      <x:c r="AA147" s="141" t="n">
        <x:f>IF(AND(TRUE,Premissas!$B$11="Imovel",Premissas!$B$47="Investimento",$A147&gt;=MAX(Premissas!$B$48,Premissas!$B$49)),$E147,0)</x:f>
        <x:v>1214.9110773346727</x:v>
      </x:c>
      <x:c r="AB147" s="141" t="n">
        <x:f>X147+Y147+Z147</x:f>
        <x:v>0</x:v>
      </x:c>
      <x:c r="AC147" s="141" t="n">
        <x:f>AA147</x:f>
        <x:v>1214.9110773346727</x:v>
      </x:c>
      <x:c r="AD147" s="141" t="n">
        <x:f>$C147+AC147-AB147</x:f>
        <x:v>8214.911077334673</x:v>
      </x:c>
      <x:c r="AE147" s="141" t="n">
        <x:f>AH146*(1+Premissas!$B$41)+AD147</x:f>
        <x:v>1919829.491976814</x:v>
      </x:c>
      <x:c r="AF147" s="141" t="n">
        <x:f>MAX(0,-AE147)</x:f>
        <x:v>0</x:v>
      </x:c>
      <x:c r="AG147" s="141" t="n">
        <x:f>AG146*(1+Premissas!$B$41)+AF147</x:f>
        <x:v>0</x:v>
      </x:c>
      <x:c r="AH147" s="141" t="n">
        <x:f>MAX(0,AE147)</x:f>
        <x:v>1919829.491976814</x:v>
      </x:c>
      <x:c r="AI147" s="141" t="n">
        <x:f>IF(AND($A147&gt;=Premissas!$B$48,$A147-Premissas!$B$48+1&lt;=Premissas!$B$13),INDEX(Amortizacao!$L$6:$L$485,$A147-Premissas!$B$48+1),0)</x:f>
        <x:v>0</x:v>
      </x:c>
      <x:c r="AJ147" s="141" t="n">
        <x:f>IF($A147&gt;=Premissas!$B$48,$F147,0)</x:f>
        <x:v>398549.9276530126</x:v>
      </x:c>
      <x:c r="AK147" s="141" t="n">
        <x:f>AH147+AJ147-AI147</x:f>
        <x:v>2318379.4196298267</x:v>
      </x:c>
      <x:c r="AL147" s="141" t="n">
        <x:f>IF(AG147&gt;1,"Inviavel",AK147)</x:f>
        <x:v>2318379.4196298267</x:v>
      </x:c>
      <x:c r="AM147" s="141" t="str">
        <x:f>IF(AG147&gt;1,"Inviavel","OK")</x:f>
        <x:v>OK</x:v>
      </x:c>
      <x:c r="AN147" s="141" t="n">
        <x:f>IF($A147=Premissas!$B$48,Premissas!$B$8,0)</x:f>
        <x:v>0</x:v>
      </x:c>
      <x:c r="AO147" s="141" t="n">
        <x:f>IF($A147&lt;=Premissas!$B$25,INDEX('Consorcio IQ'!$K$6:$K$485,$A147),0)</x:f>
        <x:v>1082.91451252558</x:v>
      </x:c>
      <x:c r="AP147" s="141" t="n">
        <x:f>IF(AND(TRUE,Premissas!$B$11="Imovel",Premissas!$B$47="Moradia",$A147&lt;MAX(Premissas!$B$48,Premissas!$B$49)),$D147,0)</x:f>
        <x:v>0</x:v>
      </x:c>
      <x:c r="AQ147" s="141" t="n">
        <x:f>IF(AND(TRUE,Premissas!$B$11="Imovel",Premissas!$B$47="Investimento",$A147&gt;=MAX(Premissas!$B$48,Premissas!$B$49)),$E147,0)</x:f>
        <x:v>1214.9110773346727</x:v>
      </x:c>
      <x:c r="AR147" s="141" t="n">
        <x:f>AN147+AO147+AP147</x:f>
        <x:v>1082.91451252558</x:v>
      </x:c>
      <x:c r="AS147" s="141" t="n">
        <x:f>AQ147</x:f>
        <x:v>1214.9110773346727</x:v>
      </x:c>
      <x:c r="AT147" s="141" t="n">
        <x:f>$C147+AS147-AR147</x:f>
        <x:v>7131.996564809093</x:v>
      </x:c>
      <x:c r="AU147" s="141" t="n">
        <x:f>AX146*(1+Premissas!$B$41)+AT147</x:f>
        <x:v>1984195.9257263674</x:v>
      </x:c>
      <x:c r="AV147" s="141" t="n">
        <x:f>MAX(0,-AU147)</x:f>
        <x:v>0</x:v>
      </x:c>
      <x:c r="AW147" s="141" t="n">
        <x:f>AW146*(1+Premissas!$B$41)+AV147</x:f>
        <x:v>0</x:v>
      </x:c>
      <x:c r="AX147" s="141" t="n">
        <x:f>MAX(0,AU147)</x:f>
        <x:v>1984195.9257263674</x:v>
      </x:c>
      <x:c r="AY147" s="141" t="n">
        <x:f>INDEX('Consorcio IQ'!$P$6:$P$485,$A147)</x:f>
        <x:v>86461.08903295327</x:v>
      </x:c>
      <x:c r="AZ147" s="141" t="n">
        <x:f>IF($A147&gt;=Premissas!$B$48,$F147,0)+IF($A147&lt;Premissas!$B$27,INDEX('Consorcio IQ'!$O$6:$O$485,$A147),0)</x:f>
        <x:v>398549.9276530126</x:v>
      </x:c>
      <x:c r="BA147" s="141" t="n">
        <x:f>AX147+AZ147-AY147</x:f>
        <x:v>2296284.764346427</x:v>
      </x:c>
      <x:c r="BB147" s="141" t="n">
        <x:f>IF(AW147&gt;1,"Inviavel",BA147)</x:f>
        <x:v>2296284.764346427</x:v>
      </x:c>
      <x:c r="BC147" s="141" t="str">
        <x:f>IF(AW147&gt;1,"Inviavel","OK")</x:f>
        <x:v>OK</x:v>
      </x:c>
      <x:c r="BD147" s="141" t="n">
        <x:f>IF($A147='Consorcio Direto'!$B$29,'Consorcio Direto'!$B$44,0)</x:f>
        <x:v>0</x:v>
      </x:c>
      <x:c r="BE147" s="141" t="n">
        <x:f>IF($A147&lt;='Consorcio Direto'!$B$27,INDEX('Consorcio Direto'!$E$55:$E$534,$A147),0)</x:f>
        <x:v>2804.20795739159</x:v>
      </x:c>
      <x:c r="BF147" s="141" t="n">
        <x:f>IF(AND(TRUE,Premissas!$B$11="Imovel",Premissas!$B$47="Moradia",$A147&lt;MAX('Consorcio Direto'!$B$29,Premissas!$B$49)),$D147,0)</x:f>
        <x:v>0</x:v>
      </x:c>
      <x:c r="BG147" s="141" t="n">
        <x:f>IF(AND(TRUE,Premissas!$B$11="Imovel",Premissas!$B$47="Investimento",$A147&gt;=MAX('Consorcio Direto'!$B$29,Premissas!$B$49)),$E147,0)</x:f>
        <x:v>1214.9110773346727</x:v>
      </x:c>
      <x:c r="BH147" s="141" t="n">
        <x:f>BD147+BE147+BF147</x:f>
        <x:v>2804.20795739159</x:v>
      </x:c>
      <x:c r="BI147" s="141" t="n">
        <x:f>BG147</x:f>
        <x:v>1214.9110773346727</x:v>
      </x:c>
      <x:c r="BJ147" s="141" t="n">
        <x:f>$C147+BI147-BH147</x:f>
        <x:v>5410.703119943083</x:v>
      </x:c>
      <x:c r="BK147" s="141" t="n">
        <x:f>BN146*(1+Premissas!$B$41)+BJ147</x:f>
        <x:v>2002217.7726471988</x:v>
      </x:c>
      <x:c r="BL147" s="141" t="n">
        <x:f>MAX(0,-BK147)</x:f>
        <x:v>0</x:v>
      </x:c>
      <x:c r="BM147" s="141" t="n">
        <x:f>BM146*(1+Premissas!$B$41)+BL147</x:f>
        <x:v>0</x:v>
      </x:c>
      <x:c r="BN147" s="141" t="n">
        <x:f>MAX(0,BK147)</x:f>
        <x:v>2002217.7726471988</x:v>
      </x:c>
      <x:c r="BO147" s="141" t="n">
        <x:f>INDEX('Consorcio Direto'!$K$55:$K$534,$A147)</x:f>
        <x:v>223891.05609591963</x:v>
      </x:c>
      <x:c r="BP147" s="141" t="n">
        <x:f>IF($A147&lt;'Consorcio Direto'!$B$29,INDEX('Consorcio Direto'!$L$55:$L$534,$A147),$F147)</x:f>
        <x:v>398549.9276530126</x:v>
      </x:c>
      <x:c r="BQ147" s="141" t="n">
        <x:f>BN147+BP147-BO147</x:f>
        <x:v>2176876.644204292</x:v>
      </x:c>
      <x:c r="BR147" s="141" t="n">
        <x:f>IF(BM147&gt;1,"Inviavel",BQ147)</x:f>
        <x:v>2176876.644204292</x:v>
      </x:c>
      <x:c r="BS147" s="141" t="str">
        <x:f>IF(BM147&gt;1,"Inviavel","OK")</x:f>
        <x:v>OK</x:v>
      </x:c>
      <x:c r="BT147" s="141" t="n">
        <x:f>IF(AND('Carta Contemplada'!$B$22="Sim",$A147='Carta Contemplada'!$B$23),'Carta Contemplada'!$B$37,0)</x:f>
        <x:v>0</x:v>
      </x:c>
      <x:c r="BU147" s="141" t="n">
        <x:f>IF('Carta Contemplada'!$B$22="Sim",INDEX('Carta Contemplada'!$C$55:$C$1013,$A147),0)</x:f>
        <x:v>2277.958270002511</x:v>
      </x:c>
      <x:c r="BV147" s="141" t="n">
        <x:f>IF(AND('Carta Contemplada'!$B$22="Sim",Premissas!$B$11="Imovel",Premissas!$B$47="Moradia",$A147&lt;MAX('Carta Contemplada'!$B$44,Premissas!$B$49)),$D147,0)</x:f>
        <x:v>0</x:v>
      </x:c>
      <x:c r="BW147" s="141" t="n">
        <x:f>IF(AND('Carta Contemplada'!$B$22="Sim",Premissas!$B$11="Imovel",Premissas!$B$47="Investimento",$A147&gt;=MAX('Carta Contemplada'!$B$44,Premissas!$B$49)),$E147,0)</x:f>
        <x:v>1214.9110773346727</x:v>
      </x:c>
      <x:c r="BX147" s="141" t="n">
        <x:f>BT147+BU147+BV147</x:f>
        <x:v>2277.958270002511</x:v>
      </x:c>
      <x:c r="BY147" s="141" t="n">
        <x:f>BW147</x:f>
        <x:v>1214.9110773346727</x:v>
      </x:c>
      <x:c r="BZ147" s="141" t="n">
        <x:f>$C147+BY147-BX147</x:f>
        <x:v>5936.952807332162</x:v>
      </x:c>
      <x:c r="CA147" s="141" t="n">
        <x:f>CD146*(1+Premissas!$B$41)+BZ147</x:f>
        <x:v>2054567.305196459</x:v>
      </x:c>
      <x:c r="CB147" s="141" t="n">
        <x:f>MAX(0,-CA147)</x:f>
        <x:v>0</x:v>
      </x:c>
      <x:c r="CC147" s="141" t="n">
        <x:f>CC146*(1+Premissas!$B$41)+CB147</x:f>
        <x:v>0</x:v>
      </x:c>
      <x:c r="CD147" s="141" t="n">
        <x:f>MAX(0,CA147)</x:f>
        <x:v>2054567.305196459</x:v>
      </x:c>
      <x:c r="CE147" s="141" t="n">
        <x:f>IF(AND('Carta Contemplada'!$B$22="Sim",$A147&gt;='Carta Contemplada'!$B$23),INDEX('Carta Contemplada'!$I$55:$I$1013,$A147),0)</x:f>
        <x:v>79019.2449172207</x:v>
      </x:c>
      <x:c r="CF147" s="141" t="n">
        <x:f>IF(AND('Carta Contemplada'!$B$22="Sim",$A147&gt;='Carta Contemplada'!$B$44),$F147,0)</x:f>
        <x:v>398549.9276530126</x:v>
      </x:c>
      <x:c r="CG147" s="141" t="n">
        <x:f>CD147+CF147-CE147</x:f>
        <x:v>2374097.987932251</x:v>
      </x:c>
      <x:c r="CH147" s="141" t="n">
        <x:f>IF(CC147&gt;1,"Inviavel",CG147)</x:f>
        <x:v>2374097.987932251</x:v>
      </x:c>
      <x:c r="CI147" s="145" t="str">
        <x:f>IF(CC147&gt;1,"Inviavel","OK")</x:f>
        <x:v>OK</x:v>
      </x:c>
    </x:row>
    <x:row r="148">
      <x:c r="A148" s="142" t="n">
        <x:v>144</x:v>
      </x:c>
      <x:c r="B148" s="179" t="n">
        <x:f>EDATE(Premissas!$B$4,A148-1)</x:f>
        <x:v>50891</x:v>
      </x:c>
      <x:c r="C148" s="141" t="n">
        <x:f>IF(A148&lt;=Premissas!$B$39,Premissas!$B$42,0)</x:f>
        <x:v>7000</x:v>
      </x:c>
      <x:c r="D148" s="141" t="n">
        <x:f>Premissas!$B$54*(1+Premissas!$B$57)^INT((A148-1)/12)</x:f>
        <x:v>1328.8089908347981</x:v>
      </x:c>
      <x:c r="E148" s="141" t="n">
        <x:f>Premissas!$B$64*(1+Premissas!$B$57)^INT((A148-1)/12)</x:f>
        <x:v>1214.9110773346727</x:v>
      </x:c>
      <x:c r="F148" s="141" t="n">
        <x:f>MAX(0,Premissas!$B$6*(1+Premissas!$B$66)^((A148-1)/12))</x:f>
        <x:v>400489.8895786774</x:v>
      </x:c>
      <x:c r="G148" s="141" t="n">
        <x:f>G147*(1+Premissas!$B$41)+C148</x:f>
        <x:v>2483739.319229294</x:v>
      </x:c>
      <x:c r="H148" s="141" t="n">
        <x:f>IF($A148=Premissas!$B$48,Premissas!$B$8,0)</x:f>
        <x:v>0</x:v>
      </x:c>
      <x:c r="I148" s="141" t="n">
        <x:f>IF(AND($A148&gt;=Premissas!$B$48,$A148-Premissas!$B$48+1&lt;=Premissas!$B$13),INDEX(Financiamento!$J$6:$J$485,$A148-Premissas!$B$48+1),0)</x:f>
        <x:v>1532.2459591921943</x:v>
      </x:c>
      <x:c r="J148" s="141" t="n">
        <x:f>IF(AND(TRUE,Premissas!$B$11="Imovel",Premissas!$B$47="Moradia",$A148&lt;MAX(Premissas!$B$48,Premissas!$B$49)),$D148,0)</x:f>
        <x:v>0</x:v>
      </x:c>
      <x:c r="K148" s="141" t="n">
        <x:f>IF(AND(TRUE,Premissas!$B$11="Imovel",Premissas!$B$47="Investimento",$A148&gt;=MAX(Premissas!$B$48,Premissas!$B$49)),$E148,0)</x:f>
        <x:v>1214.9110773346727</x:v>
      </x:c>
      <x:c r="L148" s="141" t="n">
        <x:f>H148+I148+J148</x:f>
        <x:v>1532.2459591921943</x:v>
      </x:c>
      <x:c r="M148" s="141" t="n">
        <x:f>K148</x:f>
        <x:v>1214.9110773346727</x:v>
      </x:c>
      <x:c r="N148" s="141" t="n">
        <x:f>$C148+M148-L148</x:f>
        <x:v>6682.665118142479</x:v>
      </x:c>
      <x:c r="O148" s="141" t="n">
        <x:f>R147*(1+Premissas!$B$41)+N148</x:f>
        <x:v>2019486.140102482</x:v>
      </x:c>
      <x:c r="P148" s="141" t="n">
        <x:f>MAX(0,-O148)</x:f>
        <x:v>0</x:v>
      </x:c>
      <x:c r="Q148" s="141" t="n">
        <x:f>Q147*(1+Premissas!$B$41)+P148</x:f>
        <x:v>0</x:v>
      </x:c>
      <x:c r="R148" s="141" t="n">
        <x:f>MAX(0,O148)</x:f>
        <x:v>2019486.140102482</x:v>
      </x:c>
      <x:c r="S148" s="141" t="n">
        <x:f>IF(AND($A148&gt;=Premissas!$B$48,$A148-Premissas!$B$48+1&lt;=Premissas!$B$13),INDEX(Financiamento!$M$6:$M$485,$A148-Premissas!$B$48+1),0)</x:f>
        <x:v>105142.85714285732</x:v>
      </x:c>
      <x:c r="T148" s="141" t="n">
        <x:f>IF($A148&gt;=Premissas!$B$48,$F148,0)</x:f>
        <x:v>400489.8895786774</x:v>
      </x:c>
      <x:c r="U148" s="141" t="n">
        <x:f>R148+T148-S148</x:f>
        <x:v>2314833.172538302</x:v>
      </x:c>
      <x:c r="V148" s="141" t="n">
        <x:f>IF(Q148&gt;1,"Inviavel",U148)</x:f>
        <x:v>2314833.172538302</x:v>
      </x:c>
      <x:c r="W148" s="141" t="str">
        <x:f>IF(Q148&gt;1,"Inviavel","OK")</x:f>
        <x:v>OK</x:v>
      </x:c>
      <x:c r="X148" s="141" t="n">
        <x:f>IF($A148=Premissas!$B$48,Premissas!$B$8,0)</x:f>
        <x:v>0</x:v>
      </x:c>
      <x:c r="Y148" s="141" t="n">
        <x:f>IF(AND($A148&gt;=Premissas!$B$48,$A148-Premissas!$B$48+1&lt;=Premissas!$B$13),INDEX(Amortizacao!$K$6:$K$485,$A148-Premissas!$B$48+1),0)</x:f>
        <x:v>0</x:v>
      </x:c>
      <x:c r="Z148" s="141" t="n">
        <x:f>IF(AND(TRUE,Premissas!$B$11="Imovel",Premissas!$B$47="Moradia",$A148&lt;MAX(Premissas!$B$48,Premissas!$B$49)),$D148,0)</x:f>
        <x:v>0</x:v>
      </x:c>
      <x:c r="AA148" s="141" t="n">
        <x:f>IF(AND(TRUE,Premissas!$B$11="Imovel",Premissas!$B$47="Investimento",$A148&gt;=MAX(Premissas!$B$48,Premissas!$B$49)),$E148,0)</x:f>
        <x:v>1214.9110773346727</x:v>
      </x:c>
      <x:c r="AB148" s="141" t="n">
        <x:f>X148+Y148+Z148</x:f>
        <x:v>0</x:v>
      </x:c>
      <x:c r="AC148" s="141" t="n">
        <x:f>AA148</x:f>
        <x:v>1214.9110773346727</x:v>
      </x:c>
      <x:c r="AD148" s="141" t="n">
        <x:f>$C148+AC148-AB148</x:f>
        <x:v>8214.911077334673</x:v>
      </x:c>
      <x:c r="AE148" s="141" t="n">
        <x:f>AH147*(1+Premissas!$B$41)+AD148</x:f>
        <x:v>1946261.2675732228</x:v>
      </x:c>
      <x:c r="AF148" s="141" t="n">
        <x:f>MAX(0,-AE148)</x:f>
        <x:v>0</x:v>
      </x:c>
      <x:c r="AG148" s="141" t="n">
        <x:f>AG147*(1+Premissas!$B$41)+AF148</x:f>
        <x:v>0</x:v>
      </x:c>
      <x:c r="AH148" s="141" t="n">
        <x:f>MAX(0,AE148)</x:f>
        <x:v>1946261.2675732228</x:v>
      </x:c>
      <x:c r="AI148" s="141" t="n">
        <x:f>IF(AND($A148&gt;=Premissas!$B$48,$A148-Premissas!$B$48+1&lt;=Premissas!$B$13),INDEX(Amortizacao!$L$6:$L$485,$A148-Premissas!$B$48+1),0)</x:f>
        <x:v>0</x:v>
      </x:c>
      <x:c r="AJ148" s="141" t="n">
        <x:f>IF($A148&gt;=Premissas!$B$48,$F148,0)</x:f>
        <x:v>400489.8895786774</x:v>
      </x:c>
      <x:c r="AK148" s="141" t="n">
        <x:f>AH148+AJ148-AI148</x:f>
        <x:v>2346751.1571519</x:v>
      </x:c>
      <x:c r="AL148" s="141" t="n">
        <x:f>IF(AG148&gt;1,"Inviavel",AK148)</x:f>
        <x:v>2346751.1571519</x:v>
      </x:c>
      <x:c r="AM148" s="141" t="str">
        <x:f>IF(AG148&gt;1,"Inviavel","OK")</x:f>
        <x:v>OK</x:v>
      </x:c>
      <x:c r="AN148" s="141" t="n">
        <x:f>IF($A148=Premissas!$B$48,Premissas!$B$8,0)</x:f>
        <x:v>0</x:v>
      </x:c>
      <x:c r="AO148" s="141" t="n">
        <x:f>IF($A148&lt;=Premissas!$B$25,INDEX('Consorcio IQ'!$K$6:$K$485,$A148),0)</x:f>
        <x:v>1082.91451252558</x:v>
      </x:c>
      <x:c r="AP148" s="141" t="n">
        <x:f>IF(AND(TRUE,Premissas!$B$11="Imovel",Premissas!$B$47="Moradia",$A148&lt;MAX(Premissas!$B$48,Premissas!$B$49)),$D148,0)</x:f>
        <x:v>0</x:v>
      </x:c>
      <x:c r="AQ148" s="141" t="n">
        <x:f>IF(AND(TRUE,Premissas!$B$11="Imovel",Premissas!$B$47="Investimento",$A148&gt;=MAX(Premissas!$B$48,Premissas!$B$49)),$E148,0)</x:f>
        <x:v>1214.9110773346727</x:v>
      </x:c>
      <x:c r="AR148" s="141" t="n">
        <x:f>AN148+AO148+AP148</x:f>
        <x:v>1082.91451252558</x:v>
      </x:c>
      <x:c r="AS148" s="141" t="n">
        <x:f>AQ148</x:f>
        <x:v>1214.9110773346727</x:v>
      </x:c>
      <x:c r="AT148" s="141" t="n">
        <x:f>$C148+AS148-AR148</x:f>
        <x:v>7131.996564809093</x:v>
      </x:c>
      <x:c r="AU148" s="141" t="n">
        <x:f>AX147*(1+Premissas!$B$41)+AT148</x:f>
        <x:v>2010155.5465720373</x:v>
      </x:c>
      <x:c r="AV148" s="141" t="n">
        <x:f>MAX(0,-AU148)</x:f>
        <x:v>0</x:v>
      </x:c>
      <x:c r="AW148" s="141" t="n">
        <x:f>AW147*(1+Premissas!$B$41)+AV148</x:f>
        <x:v>0</x:v>
      </x:c>
      <x:c r="AX148" s="141" t="n">
        <x:f>MAX(0,AU148)</x:f>
        <x:v>2010155.5465720373</x:v>
      </x:c>
      <x:c r="AY148" s="141" t="n">
        <x:f>INDEX('Consorcio IQ'!$P$6:$P$485,$A148)</x:f>
        <x:v>86198.58589115994</x:v>
      </x:c>
      <x:c r="AZ148" s="141" t="n">
        <x:f>IF($A148&gt;=Premissas!$B$48,$F148,0)+IF($A148&lt;Premissas!$B$27,INDEX('Consorcio IQ'!$O$6:$O$485,$A148),0)</x:f>
        <x:v>400489.8895786774</x:v>
      </x:c>
      <x:c r="BA148" s="141" t="n">
        <x:f>AX148+AZ148-AY148</x:f>
        <x:v>2324446.850259555</x:v>
      </x:c>
      <x:c r="BB148" s="141" t="n">
        <x:f>IF(AW148&gt;1,"Inviavel",BA148)</x:f>
        <x:v>2324446.850259555</x:v>
      </x:c>
      <x:c r="BC148" s="141" t="str">
        <x:f>IF(AW148&gt;1,"Inviavel","OK")</x:f>
        <x:v>OK</x:v>
      </x:c>
      <x:c r="BD148" s="141" t="n">
        <x:f>IF($A148='Consorcio Direto'!$B$29,'Consorcio Direto'!$B$44,0)</x:f>
        <x:v>0</x:v>
      </x:c>
      <x:c r="BE148" s="141" t="n">
        <x:f>IF($A148&lt;='Consorcio Direto'!$B$27,INDEX('Consorcio Direto'!$E$55:$E$534,$A148),0)</x:f>
        <x:v>2804.20795739159</x:v>
      </x:c>
      <x:c r="BF148" s="141" t="n">
        <x:f>IF(AND(TRUE,Premissas!$B$11="Imovel",Premissas!$B$47="Moradia",$A148&lt;MAX('Consorcio Direto'!$B$29,Premissas!$B$49)),$D148,0)</x:f>
        <x:v>0</x:v>
      </x:c>
      <x:c r="BG148" s="141" t="n">
        <x:f>IF(AND(TRUE,Premissas!$B$11="Imovel",Premissas!$B$47="Investimento",$A148&gt;=MAX('Consorcio Direto'!$B$29,Premissas!$B$49)),$E148,0)</x:f>
        <x:v>1214.9110773346727</x:v>
      </x:c>
      <x:c r="BH148" s="141" t="n">
        <x:f>BD148+BE148+BF148</x:f>
        <x:v>2804.20795739159</x:v>
      </x:c>
      <x:c r="BI148" s="141" t="n">
        <x:f>BG148</x:f>
        <x:v>1214.9110773346727</x:v>
      </x:c>
      <x:c r="BJ148" s="141" t="n">
        <x:f>$C148+BI148-BH148</x:f>
        <x:v>5410.703119943083</x:v>
      </x:c>
      <x:c r="BK148" s="141" t="n">
        <x:f>BN147*(1+Premissas!$B$41)+BJ148</x:f>
        <x:v>2026627.1056217332</x:v>
      </x:c>
      <x:c r="BL148" s="141" t="n">
        <x:f>MAX(0,-BK148)</x:f>
        <x:v>0</x:v>
      </x:c>
      <x:c r="BM148" s="141" t="n">
        <x:f>BM147*(1+Premissas!$B$41)+BL148</x:f>
        <x:v>0</x:v>
      </x:c>
      <x:c r="BN148" s="141" t="n">
        <x:f>MAX(0,BK148)</x:f>
        <x:v>2026627.1056217332</x:v>
      </x:c>
      <x:c r="BO148" s="141" t="n">
        <x:f>INDEX('Consorcio Direto'!$K$55:$K$534,$A148)</x:f>
        <x:v>223211.30400972732</x:v>
      </x:c>
      <x:c r="BP148" s="141" t="n">
        <x:f>IF($A148&lt;'Consorcio Direto'!$B$29,INDEX('Consorcio Direto'!$L$55:$L$534,$A148),$F148)</x:f>
        <x:v>400489.8895786774</x:v>
      </x:c>
      <x:c r="BQ148" s="141" t="n">
        <x:f>BN148+BP148-BO148</x:f>
        <x:v>2203905.6911906833</x:v>
      </x:c>
      <x:c r="BR148" s="141" t="n">
        <x:f>IF(BM148&gt;1,"Inviavel",BQ148)</x:f>
        <x:v>2203905.6911906833</x:v>
      </x:c>
      <x:c r="BS148" s="141" t="str">
        <x:f>IF(BM148&gt;1,"Inviavel","OK")</x:f>
        <x:v>OK</x:v>
      </x:c>
      <x:c r="BT148" s="141" t="n">
        <x:f>IF(AND('Carta Contemplada'!$B$22="Sim",$A148='Carta Contemplada'!$B$23),'Carta Contemplada'!$B$37,0)</x:f>
        <x:v>0</x:v>
      </x:c>
      <x:c r="BU148" s="141" t="n">
        <x:f>IF('Carta Contemplada'!$B$22="Sim",INDEX('Carta Contemplada'!$C$55:$C$1013,$A148),0)</x:f>
        <x:v>2277.958270002511</x:v>
      </x:c>
      <x:c r="BV148" s="141" t="n">
        <x:f>IF(AND('Carta Contemplada'!$B$22="Sim",Premissas!$B$11="Imovel",Premissas!$B$47="Moradia",$A148&lt;MAX('Carta Contemplada'!$B$44,Premissas!$B$49)),$D148,0)</x:f>
        <x:v>0</x:v>
      </x:c>
      <x:c r="BW148" s="141" t="n">
        <x:f>IF(AND('Carta Contemplada'!$B$22="Sim",Premissas!$B$11="Imovel",Premissas!$B$47="Investimento",$A148&gt;=MAX('Carta Contemplada'!$B$44,Premissas!$B$49)),$E148,0)</x:f>
        <x:v>1214.9110773346727</x:v>
      </x:c>
      <x:c r="BX148" s="141" t="n">
        <x:f>BT148+BU148+BV148</x:f>
        <x:v>2277.958270002511</x:v>
      </x:c>
      <x:c r="BY148" s="141" t="n">
        <x:f>BW148</x:f>
        <x:v>1214.9110773346727</x:v>
      </x:c>
      <x:c r="BZ148" s="141" t="n">
        <x:f>$C148+BY148-BX148</x:f>
        <x:v>5936.952807332162</x:v>
      </x:c>
      <x:c r="CA148" s="141" t="n">
        <x:f>CD147*(1+Premissas!$B$41)+BZ148</x:f>
        <x:v>2079999.6217329646</x:v>
      </x:c>
      <x:c r="CB148" s="141" t="n">
        <x:f>MAX(0,-CA148)</x:f>
        <x:v>0</x:v>
      </x:c>
      <x:c r="CC148" s="141" t="n">
        <x:f>CC147*(1+Premissas!$B$41)+CB148</x:f>
        <x:v>0</x:v>
      </x:c>
      <x:c r="CD148" s="141" t="n">
        <x:f>MAX(0,CA148)</x:f>
        <x:v>2079999.6217329646</x:v>
      </x:c>
      <x:c r="CE148" s="141" t="n">
        <x:f>IF(AND('Carta Contemplada'!$B$22="Sim",$A148&gt;='Carta Contemplada'!$B$23),INDEX('Carta Contemplada'!$I$55:$I$1013,$A148),0)</x:f>
        <x:v>77491.0839000848</x:v>
      </x:c>
      <x:c r="CF148" s="141" t="n">
        <x:f>IF(AND('Carta Contemplada'!$B$22="Sim",$A148&gt;='Carta Contemplada'!$B$44),$F148,0)</x:f>
        <x:v>400489.8895786774</x:v>
      </x:c>
      <x:c r="CG148" s="141" t="n">
        <x:f>CD148+CF148-CE148</x:f>
        <x:v>2402998.427411557</x:v>
      </x:c>
      <x:c r="CH148" s="141" t="n">
        <x:f>IF(CC148&gt;1,"Inviavel",CG148)</x:f>
        <x:v>2402998.427411557</x:v>
      </x:c>
      <x:c r="CI148" s="145" t="str">
        <x:f>IF(CC148&gt;1,"Inviavel","OK")</x:f>
        <x:v>OK</x:v>
      </x:c>
    </x:row>
    <x:row r="149">
      <x:c r="A149" s="142" t="n">
        <x:v>145</x:v>
      </x:c>
      <x:c r="B149" s="179" t="n">
        <x:f>EDATE(Premissas!$B$4,A149-1)</x:f>
        <x:v>50922</x:v>
      </x:c>
      <x:c r="C149" s="141" t="n">
        <x:f>IF(A149&lt;=Premissas!$B$39,Premissas!$B$42,0)</x:f>
        <x:v>7000</x:v>
      </x:c>
      <x:c r="D149" s="141" t="n">
        <x:f>Premissas!$B$54*(1+Premissas!$B$57)^INT((A149-1)/12)</x:f>
        <x:v>1408.537530284886</x:v>
      </x:c>
      <x:c r="E149" s="141" t="n">
        <x:f>Premissas!$B$64*(1+Premissas!$B$57)^INT((A149-1)/12)</x:f>
        <x:v>1287.805741974753</x:v>
      </x:c>
      <x:c r="F149" s="141" t="n">
        <x:f>MAX(0,Premissas!$B$6*(1+Premissas!$B$66)^((A149-1)/12))</x:f>
        <x:v>402439.2943671103</x:v>
      </x:c>
      <x:c r="G149" s="141" t="n">
        <x:f>G148*(1+Premissas!$B$41)+C149</x:f>
        <x:v>2514307.007332943</x:v>
      </x:c>
      <x:c r="H149" s="141" t="n">
        <x:f>IF($A149=Premissas!$B$48,Premissas!$B$8,0)</x:f>
        <x:v>0</x:v>
      </x:c>
      <x:c r="I149" s="141" t="n">
        <x:f>IF(AND($A149&gt;=Premissas!$B$48,$A149-Premissas!$B$48+1&lt;=Premissas!$B$13),INDEX(Financiamento!$J$6:$J$485,$A149-Premissas!$B$48+1),0)</x:f>
        <x:v>1528.6311809314006</x:v>
      </x:c>
      <x:c r="J149" s="141" t="n">
        <x:f>IF(AND(TRUE,Premissas!$B$11="Imovel",Premissas!$B$47="Moradia",$A149&lt;MAX(Premissas!$B$48,Premissas!$B$49)),$D149,0)</x:f>
        <x:v>0</x:v>
      </x:c>
      <x:c r="K149" s="141" t="n">
        <x:f>IF(AND(TRUE,Premissas!$B$11="Imovel",Premissas!$B$47="Investimento",$A149&gt;=MAX(Premissas!$B$48,Premissas!$B$49)),$E149,0)</x:f>
        <x:v>1287.805741974753</x:v>
      </x:c>
      <x:c r="L149" s="141" t="n">
        <x:f>H149+I149+J149</x:f>
        <x:v>1528.6311809314006</x:v>
      </x:c>
      <x:c r="M149" s="141" t="n">
        <x:f>K149</x:f>
        <x:v>1287.805741974753</x:v>
      </x:c>
      <x:c r="N149" s="141" t="n">
        <x:f>$C149+M149-L149</x:f>
        <x:v>6759.174561043352</x:v>
      </x:c>
      <x:c r="O149" s="141" t="n">
        <x:f>R148*(1+Premissas!$B$41)+N149</x:f>
        <x:v>2045407.800481218</x:v>
      </x:c>
      <x:c r="P149" s="141" t="n">
        <x:f>MAX(0,-O149)</x:f>
        <x:v>0</x:v>
      </x:c>
      <x:c r="Q149" s="141" t="n">
        <x:f>Q148*(1+Premissas!$B$41)+P149</x:f>
        <x:v>0</x:v>
      </x:c>
      <x:c r="R149" s="141" t="n">
        <x:f>MAX(0,O149)</x:f>
        <x:v>2045407.800481218</x:v>
      </x:c>
      <x:c r="S149" s="141" t="n">
        <x:f>IF(AND($A149&gt;=Premissas!$B$48,$A149-Premissas!$B$48+1&lt;=Premissas!$B$13),INDEX(Financiamento!$M$6:$M$485,$A149-Premissas!$B$48+1),0)</x:f>
        <x:v>104761.90476190494</x:v>
      </x:c>
      <x:c r="T149" s="141" t="n">
        <x:f>IF($A149&gt;=Premissas!$B$48,$F149,0)</x:f>
        <x:v>402439.2943671103</x:v>
      </x:c>
      <x:c r="U149" s="141" t="n">
        <x:f>R149+T149-S149</x:f>
        <x:v>2343085.1900864234</x:v>
      </x:c>
      <x:c r="V149" s="141" t="n">
        <x:f>IF(Q149&gt;1,"Inviavel",U149)</x:f>
        <x:v>2343085.1900864234</x:v>
      </x:c>
      <x:c r="W149" s="141" t="str">
        <x:f>IF(Q149&gt;1,"Inviavel","OK")</x:f>
        <x:v>OK</x:v>
      </x:c>
      <x:c r="X149" s="141" t="n">
        <x:f>IF($A149=Premissas!$B$48,Premissas!$B$8,0)</x:f>
        <x:v>0</x:v>
      </x:c>
      <x:c r="Y149" s="141" t="n">
        <x:f>IF(AND($A149&gt;=Premissas!$B$48,$A149-Premissas!$B$48+1&lt;=Premissas!$B$13),INDEX(Amortizacao!$K$6:$K$485,$A149-Premissas!$B$48+1),0)</x:f>
        <x:v>0</x:v>
      </x:c>
      <x:c r="Z149" s="141" t="n">
        <x:f>IF(AND(TRUE,Premissas!$B$11="Imovel",Premissas!$B$47="Moradia",$A149&lt;MAX(Premissas!$B$48,Premissas!$B$49)),$D149,0)</x:f>
        <x:v>0</x:v>
      </x:c>
      <x:c r="AA149" s="141" t="n">
        <x:f>IF(AND(TRUE,Premissas!$B$11="Imovel",Premissas!$B$47="Investimento",$A149&gt;=MAX(Premissas!$B$48,Premissas!$B$49)),$E149,0)</x:f>
        <x:v>1287.805741974753</x:v>
      </x:c>
      <x:c r="AB149" s="141" t="n">
        <x:f>X149+Y149+Z149</x:f>
        <x:v>0</x:v>
      </x:c>
      <x:c r="AC149" s="141" t="n">
        <x:f>AA149</x:f>
        <x:v>1287.805741974753</x:v>
      </x:c>
      <x:c r="AD149" s="141" t="n">
        <x:f>$C149+AC149-AB149</x:f>
        <x:v>8287.805741974753</x:v>
      </x:c>
      <x:c r="AE149" s="141" t="n">
        <x:f>AH148*(1+Premissas!$B$41)+AD149</x:f>
        <x:v>1973016.743479799</x:v>
      </x:c>
      <x:c r="AF149" s="141" t="n">
        <x:f>MAX(0,-AE149)</x:f>
        <x:v>0</x:v>
      </x:c>
      <x:c r="AG149" s="141" t="n">
        <x:f>AG148*(1+Premissas!$B$41)+AF149</x:f>
        <x:v>0</x:v>
      </x:c>
      <x:c r="AH149" s="141" t="n">
        <x:f>MAX(0,AE149)</x:f>
        <x:v>1973016.743479799</x:v>
      </x:c>
      <x:c r="AI149" s="141" t="n">
        <x:f>IF(AND($A149&gt;=Premissas!$B$48,$A149-Premissas!$B$48+1&lt;=Premissas!$B$13),INDEX(Amortizacao!$L$6:$L$485,$A149-Premissas!$B$48+1),0)</x:f>
        <x:v>0</x:v>
      </x:c>
      <x:c r="AJ149" s="141" t="n">
        <x:f>IF($A149&gt;=Premissas!$B$48,$F149,0)</x:f>
        <x:v>402439.2943671103</x:v>
      </x:c>
      <x:c r="AK149" s="141" t="n">
        <x:f>AH149+AJ149-AI149</x:f>
        <x:v>2375456.0378469094</x:v>
      </x:c>
      <x:c r="AL149" s="141" t="n">
        <x:f>IF(AG149&gt;1,"Inviavel",AK149)</x:f>
        <x:v>2375456.0378469094</x:v>
      </x:c>
      <x:c r="AM149" s="141" t="str">
        <x:f>IF(AG149&gt;1,"Inviavel","OK")</x:f>
        <x:v>OK</x:v>
      </x:c>
      <x:c r="AN149" s="141" t="n">
        <x:f>IF($A149=Premissas!$B$48,Premissas!$B$8,0)</x:f>
        <x:v>0</x:v>
      </x:c>
      <x:c r="AO149" s="141" t="n">
        <x:f>IF($A149&lt;=Premissas!$B$25,INDEX('Consorcio IQ'!$K$6:$K$485,$A149),0)</x:f>
        <x:v>1147.8893832771146</x:v>
      </x:c>
      <x:c r="AP149" s="141" t="n">
        <x:f>IF(AND(TRUE,Premissas!$B$11="Imovel",Premissas!$B$47="Moradia",$A149&lt;MAX(Premissas!$B$48,Premissas!$B$49)),$D149,0)</x:f>
        <x:v>0</x:v>
      </x:c>
      <x:c r="AQ149" s="141" t="n">
        <x:f>IF(AND(TRUE,Premissas!$B$11="Imovel",Premissas!$B$47="Investimento",$A149&gt;=MAX(Premissas!$B$48,Premissas!$B$49)),$E149,0)</x:f>
        <x:v>1287.805741974753</x:v>
      </x:c>
      <x:c r="AR149" s="141" t="n">
        <x:f>AN149+AO149+AP149</x:f>
        <x:v>1147.8893832771146</x:v>
      </x:c>
      <x:c r="AS149" s="141" t="n">
        <x:f>AQ149</x:f>
        <x:v>1287.805741974753</x:v>
      </x:c>
      <x:c r="AT149" s="141" t="n">
        <x:f>$C149+AS149-AR149</x:f>
        <x:v>7139.916358697638</x:v>
      </x:c>
      <x:c r="AU149" s="141" t="n">
        <x:f>AX148*(1+Premissas!$B$41)+AT149</x:f>
        <x:v>2036369.4126784606</x:v>
      </x:c>
      <x:c r="AV149" s="141" t="n">
        <x:f>MAX(0,-AU149)</x:f>
        <x:v>0</x:v>
      </x:c>
      <x:c r="AW149" s="141" t="n">
        <x:f>AW148*(1+Premissas!$B$41)+AV149</x:f>
        <x:v>0</x:v>
      </x:c>
      <x:c r="AX149" s="141" t="n">
        <x:f>MAX(0,AU149)</x:f>
        <x:v>2036369.4126784606</x:v>
      </x:c>
      <x:c r="AY149" s="141" t="n">
        <x:f>INDEX('Consorcio IQ'!$P$6:$P$485,$A149)</x:f>
        <x:v>85868.6170406579</x:v>
      </x:c>
      <x:c r="AZ149" s="141" t="n">
        <x:f>IF($A149&gt;=Premissas!$B$48,$F149,0)+IF($A149&lt;Premissas!$B$27,INDEX('Consorcio IQ'!$O$6:$O$485,$A149),0)</x:f>
        <x:v>402439.2943671103</x:v>
      </x:c>
      <x:c r="BA149" s="141" t="n">
        <x:f>AX149+AZ149-AY149</x:f>
        <x:v>2352940.090004913</x:v>
      </x:c>
      <x:c r="BB149" s="141" t="n">
        <x:f>IF(AW149&gt;1,"Inviavel",BA149)</x:f>
        <x:v>2352940.090004913</x:v>
      </x:c>
      <x:c r="BC149" s="141" t="str">
        <x:f>IF(AW149&gt;1,"Inviavel","OK")</x:f>
        <x:v>OK</x:v>
      </x:c>
      <x:c r="BD149" s="141" t="n">
        <x:f>IF($A149='Consorcio Direto'!$B$29,'Consorcio Direto'!$B$44,0)</x:f>
        <x:v>0</x:v>
      </x:c>
      <x:c r="BE149" s="141" t="n">
        <x:f>IF($A149&lt;='Consorcio Direto'!$B$27,INDEX('Consorcio Direto'!$E$55:$E$534,$A149),0)</x:f>
        <x:v>2972.460434835085</x:v>
      </x:c>
      <x:c r="BF149" s="141" t="n">
        <x:f>IF(AND(TRUE,Premissas!$B$11="Imovel",Premissas!$B$47="Moradia",$A149&lt;MAX('Consorcio Direto'!$B$29,Premissas!$B$49)),$D149,0)</x:f>
        <x:v>0</x:v>
      </x:c>
      <x:c r="BG149" s="141" t="n">
        <x:f>IF(AND(TRUE,Premissas!$B$11="Imovel",Premissas!$B$47="Investimento",$A149&gt;=MAX('Consorcio Direto'!$B$29,Premissas!$B$49)),$E149,0)</x:f>
        <x:v>1287.805741974753</x:v>
      </x:c>
      <x:c r="BH149" s="141" t="n">
        <x:f>BD149+BE149+BF149</x:f>
        <x:v>2972.460434835085</x:v>
      </x:c>
      <x:c r="BI149" s="141" t="n">
        <x:f>BG149</x:f>
        <x:v>1287.805741974753</x:v>
      </x:c>
      <x:c r="BJ149" s="141" t="n">
        <x:f>$C149+BI149-BH149</x:f>
        <x:v>5315.345307139668</x:v>
      </x:c>
      <x:c r="BK149" s="141" t="n">
        <x:f>BN148*(1+Premissas!$B$41)+BJ149</x:f>
        <x:v>2051172.695889731</x:v>
      </x:c>
      <x:c r="BL149" s="141" t="n">
        <x:f>MAX(0,-BK149)</x:f>
        <x:v>0</x:v>
      </x:c>
      <x:c r="BM149" s="141" t="n">
        <x:f>BM148*(1+Premissas!$B$41)+BL149</x:f>
        <x:v>0</x:v>
      </x:c>
      <x:c r="BN149" s="141" t="n">
        <x:f>MAX(0,BK149)</x:f>
        <x:v>2051172.695889731</x:v>
      </x:c>
      <x:c r="BO149" s="141" t="n">
        <x:f>INDEX('Consorcio Direto'!$K$55:$K$534,$A149)</x:f>
        <x:v>222356.84941929881</x:v>
      </x:c>
      <x:c r="BP149" s="141" t="n">
        <x:f>IF($A149&lt;'Consorcio Direto'!$B$29,INDEX('Consorcio Direto'!$L$55:$L$534,$A149),$F149)</x:f>
        <x:v>402439.2943671103</x:v>
      </x:c>
      <x:c r="BQ149" s="141" t="n">
        <x:f>BN149+BP149-BO149</x:f>
        <x:v>2231255.1408375427</x:v>
      </x:c>
      <x:c r="BR149" s="141" t="n">
        <x:f>IF(BM149&gt;1,"Inviavel",BQ149)</x:f>
        <x:v>2231255.1408375427</x:v>
      </x:c>
      <x:c r="BS149" s="141" t="str">
        <x:f>IF(BM149&gt;1,"Inviavel","OK")</x:f>
        <x:v>OK</x:v>
      </x:c>
      <x:c r="BT149" s="141" t="n">
        <x:f>IF(AND('Carta Contemplada'!$B$22="Sim",$A149='Carta Contemplada'!$B$23),'Carta Contemplada'!$B$37,0)</x:f>
        <x:v>0</x:v>
      </x:c>
      <x:c r="BU149" s="141" t="n">
        <x:f>IF('Carta Contemplada'!$B$22="Sim",INDEX('Carta Contemplada'!$C$55:$C$1013,$A149),0)</x:f>
        <x:v>2414.6357662026617</x:v>
      </x:c>
      <x:c r="BV149" s="141" t="n">
        <x:f>IF(AND('Carta Contemplada'!$B$22="Sim",Premissas!$B$11="Imovel",Premissas!$B$47="Moradia",$A149&lt;MAX('Carta Contemplada'!$B$44,Premissas!$B$49)),$D149,0)</x:f>
        <x:v>0</x:v>
      </x:c>
      <x:c r="BW149" s="141" t="n">
        <x:f>IF(AND('Carta Contemplada'!$B$22="Sim",Premissas!$B$11="Imovel",Premissas!$B$47="Investimento",$A149&gt;=MAX('Carta Contemplada'!$B$44,Premissas!$B$49)),$E149,0)</x:f>
        <x:v>1287.805741974753</x:v>
      </x:c>
      <x:c r="BX149" s="141" t="n">
        <x:f>BT149+BU149+BV149</x:f>
        <x:v>2414.6357662026617</x:v>
      </x:c>
      <x:c r="BY149" s="141" t="n">
        <x:f>BW149</x:f>
        <x:v>1287.805741974753</x:v>
      </x:c>
      <x:c r="BZ149" s="141" t="n">
        <x:f>$C149+BY149-BX149</x:f>
        <x:v>5873.169975772091</x:v>
      </x:c>
      <x:c r="CA149" s="141" t="n">
        <x:f>CD148*(1+Premissas!$B$41)+BZ149</x:f>
        <x:v>2105609.4774233717</x:v>
      </x:c>
      <x:c r="CB149" s="141" t="n">
        <x:f>MAX(0,-CA149)</x:f>
        <x:v>0</x:v>
      </x:c>
      <x:c r="CC149" s="141" t="n">
        <x:f>CC148*(1+Premissas!$B$41)+CB149</x:f>
        <x:v>0</x:v>
      </x:c>
      <x:c r="CD149" s="141" t="n">
        <x:f>MAX(0,CA149)</x:f>
        <x:v>2105609.4774233717</x:v>
      </x:c>
      <x:c r="CE149" s="141" t="n">
        <x:f>IF(AND('Carta Contemplada'!$B$22="Sim",$A149&gt;='Carta Contemplada'!$B$23),INDEX('Carta Contemplada'!$I$55:$I$1013,$A149),0)</x:f>
        <x:v>75811.74498328645</x:v>
      </x:c>
      <x:c r="CF149" s="141" t="n">
        <x:f>IF(AND('Carta Contemplada'!$B$22="Sim",$A149&gt;='Carta Contemplada'!$B$44),$F149,0)</x:f>
        <x:v>402439.2943671103</x:v>
      </x:c>
      <x:c r="CG149" s="141" t="n">
        <x:f>CD149+CF149-CE149</x:f>
        <x:v>2432237.0268071955</x:v>
      </x:c>
      <x:c r="CH149" s="141" t="n">
        <x:f>IF(CC149&gt;1,"Inviavel",CG149)</x:f>
        <x:v>2432237.0268071955</x:v>
      </x:c>
      <x:c r="CI149" s="145" t="str">
        <x:f>IF(CC149&gt;1,"Inviavel","OK")</x:f>
        <x:v>OK</x:v>
      </x:c>
    </x:row>
    <x:row r="150">
      <x:c r="A150" s="142" t="n">
        <x:v>146</x:v>
      </x:c>
      <x:c r="B150" s="179" t="n">
        <x:f>EDATE(Premissas!$B$4,A150-1)</x:f>
        <x:v>50952</x:v>
      </x:c>
      <x:c r="C150" s="141" t="n">
        <x:f>IF(A150&lt;=Premissas!$B$39,Premissas!$B$42,0)</x:f>
        <x:v>7000</x:v>
      </x:c>
      <x:c r="D150" s="141" t="n">
        <x:f>Premissas!$B$54*(1+Premissas!$B$57)^INT((A150-1)/12)</x:f>
        <x:v>1408.537530284886</x:v>
      </x:c>
      <x:c r="E150" s="141" t="n">
        <x:f>Premissas!$B$64*(1+Premissas!$B$57)^INT((A150-1)/12)</x:f>
        <x:v>1287.805741974753</x:v>
      </x:c>
      <x:c r="F150" s="141" t="n">
        <x:f>MAX(0,Premissas!$B$6*(1+Premissas!$B$66)^((A150-1)/12))</x:f>
        <x:v>404398.1879819232</x:v>
      </x:c>
      <x:c r="G150" s="141" t="n">
        <x:f>G149*(1+Premissas!$B$41)+C150</x:f>
        <x:v>2545164.7458994966</x:v>
      </x:c>
      <x:c r="H150" s="141" t="n">
        <x:f>IF($A150=Premissas!$B$48,Premissas!$B$8,0)</x:f>
        <x:v>0</x:v>
      </x:c>
      <x:c r="I150" s="141" t="n">
        <x:f>IF(AND($A150&gt;=Premissas!$B$48,$A150-Premissas!$B$48+1&lt;=Premissas!$B$13),INDEX(Financiamento!$J$6:$J$485,$A150-Premissas!$B$48+1),0)</x:f>
        <x:v>1525.016402670607</x:v>
      </x:c>
      <x:c r="J150" s="141" t="n">
        <x:f>IF(AND(TRUE,Premissas!$B$11="Imovel",Premissas!$B$47="Moradia",$A150&lt;MAX(Premissas!$B$48,Premissas!$B$49)),$D150,0)</x:f>
        <x:v>0</x:v>
      </x:c>
      <x:c r="K150" s="141" t="n">
        <x:f>IF(AND(TRUE,Premissas!$B$11="Imovel",Premissas!$B$47="Investimento",$A150&gt;=MAX(Premissas!$B$48,Premissas!$B$49)),$E150,0)</x:f>
        <x:v>1287.805741974753</x:v>
      </x:c>
      <x:c r="L150" s="141" t="n">
        <x:f>H150+I150+J150</x:f>
        <x:v>1525.016402670607</x:v>
      </x:c>
      <x:c r="M150" s="141" t="n">
        <x:f>K150</x:f>
        <x:v>1287.805741974753</x:v>
      </x:c>
      <x:c r="N150" s="141" t="n">
        <x:f>$C150+M150-L150</x:f>
        <x:v>6762.789339304146</x:v>
      </x:c>
      <x:c r="O150" s="141" t="n">
        <x:f>R149*(1+Premissas!$B$41)+N150</x:f>
        <x:v>2071579.0409060693</x:v>
      </x:c>
      <x:c r="P150" s="141" t="n">
        <x:f>MAX(0,-O150)</x:f>
        <x:v>0</x:v>
      </x:c>
      <x:c r="Q150" s="141" t="n">
        <x:f>Q149*(1+Premissas!$B$41)+P150</x:f>
        <x:v>0</x:v>
      </x:c>
      <x:c r="R150" s="141" t="n">
        <x:f>MAX(0,O150)</x:f>
        <x:v>2071579.0409060693</x:v>
      </x:c>
      <x:c r="S150" s="141" t="n">
        <x:f>IF(AND($A150&gt;=Premissas!$B$48,$A150-Premissas!$B$48+1&lt;=Premissas!$B$13),INDEX(Financiamento!$M$6:$M$485,$A150-Premissas!$B$48+1),0)</x:f>
        <x:v>104380.95238095256</x:v>
      </x:c>
      <x:c r="T150" s="141" t="n">
        <x:f>IF($A150&gt;=Premissas!$B$48,$F150,0)</x:f>
        <x:v>404398.1879819232</x:v>
      </x:c>
      <x:c r="U150" s="141" t="n">
        <x:f>R150+T150-S150</x:f>
        <x:v>2371596.27650704</x:v>
      </x:c>
      <x:c r="V150" s="141" t="n">
        <x:f>IF(Q150&gt;1,"Inviavel",U150)</x:f>
        <x:v>2371596.27650704</x:v>
      </x:c>
      <x:c r="W150" s="141" t="str">
        <x:f>IF(Q150&gt;1,"Inviavel","OK")</x:f>
        <x:v>OK</x:v>
      </x:c>
      <x:c r="X150" s="141" t="n">
        <x:f>IF($A150=Premissas!$B$48,Premissas!$B$8,0)</x:f>
        <x:v>0</x:v>
      </x:c>
      <x:c r="Y150" s="141" t="n">
        <x:f>IF(AND($A150&gt;=Premissas!$B$48,$A150-Premissas!$B$48+1&lt;=Premissas!$B$13),INDEX(Amortizacao!$K$6:$K$485,$A150-Premissas!$B$48+1),0)</x:f>
        <x:v>0</x:v>
      </x:c>
      <x:c r="Z150" s="141" t="n">
        <x:f>IF(AND(TRUE,Premissas!$B$11="Imovel",Premissas!$B$47="Moradia",$A150&lt;MAX(Premissas!$B$48,Premissas!$B$49)),$D150,0)</x:f>
        <x:v>0</x:v>
      </x:c>
      <x:c r="AA150" s="141" t="n">
        <x:f>IF(AND(TRUE,Premissas!$B$11="Imovel",Premissas!$B$47="Investimento",$A150&gt;=MAX(Premissas!$B$48,Premissas!$B$49)),$E150,0)</x:f>
        <x:v>1287.805741974753</x:v>
      </x:c>
      <x:c r="AB150" s="141" t="n">
        <x:f>X150+Y150+Z150</x:f>
        <x:v>0</x:v>
      </x:c>
      <x:c r="AC150" s="141" t="n">
        <x:f>AA150</x:f>
        <x:v>1287.805741974753</x:v>
      </x:c>
      <x:c r="AD150" s="141" t="n">
        <x:f>$C150+AC150-AB150</x:f>
        <x:v>8287.805741974753</x:v>
      </x:c>
      <x:c r="AE150" s="141" t="n">
        <x:f>AH149*(1+Premissas!$B$41)+AD150</x:f>
        <x:v>2000026.096557119</x:v>
      </x:c>
      <x:c r="AF150" s="141" t="n">
        <x:f>MAX(0,-AE150)</x:f>
        <x:v>0</x:v>
      </x:c>
      <x:c r="AG150" s="141" t="n">
        <x:f>AG149*(1+Premissas!$B$41)+AF150</x:f>
        <x:v>0</x:v>
      </x:c>
      <x:c r="AH150" s="141" t="n">
        <x:f>MAX(0,AE150)</x:f>
        <x:v>2000026.096557119</x:v>
      </x:c>
      <x:c r="AI150" s="141" t="n">
        <x:f>IF(AND($A150&gt;=Premissas!$B$48,$A150-Premissas!$B$48+1&lt;=Premissas!$B$13),INDEX(Amortizacao!$L$6:$L$485,$A150-Premissas!$B$48+1),0)</x:f>
        <x:v>0</x:v>
      </x:c>
      <x:c r="AJ150" s="141" t="n">
        <x:f>IF($A150&gt;=Premissas!$B$48,$F150,0)</x:f>
        <x:v>404398.1879819232</x:v>
      </x:c>
      <x:c r="AK150" s="141" t="n">
        <x:f>AH150+AJ150-AI150</x:f>
        <x:v>2404424.284539042</x:v>
      </x:c>
      <x:c r="AL150" s="141" t="n">
        <x:f>IF(AG150&gt;1,"Inviavel",AK150)</x:f>
        <x:v>2404424.284539042</x:v>
      </x:c>
      <x:c r="AM150" s="141" t="str">
        <x:f>IF(AG150&gt;1,"Inviavel","OK")</x:f>
        <x:v>OK</x:v>
      </x:c>
      <x:c r="AN150" s="141" t="n">
        <x:f>IF($A150=Premissas!$B$48,Premissas!$B$8,0)</x:f>
        <x:v>0</x:v>
      </x:c>
      <x:c r="AO150" s="141" t="n">
        <x:f>IF($A150&lt;=Premissas!$B$25,INDEX('Consorcio IQ'!$K$6:$K$485,$A150),0)</x:f>
        <x:v>1147.8893832771146</x:v>
      </x:c>
      <x:c r="AP150" s="141" t="n">
        <x:f>IF(AND(TRUE,Premissas!$B$11="Imovel",Premissas!$B$47="Moradia",$A150&lt;MAX(Premissas!$B$48,Premissas!$B$49)),$D150,0)</x:f>
        <x:v>0</x:v>
      </x:c>
      <x:c r="AQ150" s="141" t="n">
        <x:f>IF(AND(TRUE,Premissas!$B$11="Imovel",Premissas!$B$47="Investimento",$A150&gt;=MAX(Premissas!$B$48,Premissas!$B$49)),$E150,0)</x:f>
        <x:v>1287.805741974753</x:v>
      </x:c>
      <x:c r="AR150" s="141" t="n">
        <x:f>AN150+AO150+AP150</x:f>
        <x:v>1147.8893832771146</x:v>
      </x:c>
      <x:c r="AS150" s="141" t="n">
        <x:f>AQ150</x:f>
        <x:v>1287.805741974753</x:v>
      </x:c>
      <x:c r="AT150" s="141" t="n">
        <x:f>$C150+AS150-AR150</x:f>
        <x:v>7139.916358697638</x:v>
      </x:c>
      <x:c r="AU150" s="141" t="n">
        <x:f>AX149*(1+Premissas!$B$41)+AT150</x:f>
        <x:v>2062832.0167323826</x:v>
      </x:c>
      <x:c r="AV150" s="141" t="n">
        <x:f>MAX(0,-AU150)</x:f>
        <x:v>0</x:v>
      </x:c>
      <x:c r="AW150" s="141" t="n">
        <x:f>AW149*(1+Premissas!$B$41)+AV150</x:f>
        <x:v>0</x:v>
      </x:c>
      <x:c r="AX150" s="141" t="n">
        <x:f>MAX(0,AU150)</x:f>
        <x:v>2062832.0167323826</x:v>
      </x:c>
      <x:c r="AY150" s="141" t="n">
        <x:f>INDEX('Consorcio IQ'!$P$6:$P$485,$A150)</x:f>
        <x:v>85535.5171840586</x:v>
      </x:c>
      <x:c r="AZ150" s="141" t="n">
        <x:f>IF($A150&gt;=Premissas!$B$48,$F150,0)+IF($A150&lt;Premissas!$B$27,INDEX('Consorcio IQ'!$O$6:$O$485,$A150),0)</x:f>
        <x:v>404398.1879819232</x:v>
      </x:c>
      <x:c r="BA150" s="141" t="n">
        <x:f>AX150+AZ150-AY150</x:f>
        <x:v>2381694.687530247</x:v>
      </x:c>
      <x:c r="BB150" s="141" t="n">
        <x:f>IF(AW150&gt;1,"Inviavel",BA150)</x:f>
        <x:v>2381694.687530247</x:v>
      </x:c>
      <x:c r="BC150" s="141" t="str">
        <x:f>IF(AW150&gt;1,"Inviavel","OK")</x:f>
        <x:v>OK</x:v>
      </x:c>
      <x:c r="BD150" s="141" t="n">
        <x:f>IF($A150='Consorcio Direto'!$B$29,'Consorcio Direto'!$B$44,0)</x:f>
        <x:v>0</x:v>
      </x:c>
      <x:c r="BE150" s="141" t="n">
        <x:f>IF($A150&lt;='Consorcio Direto'!$B$27,INDEX('Consorcio Direto'!$E$55:$E$534,$A150),0)</x:f>
        <x:v>2972.460434835085</x:v>
      </x:c>
      <x:c r="BF150" s="141" t="n">
        <x:f>IF(AND(TRUE,Premissas!$B$11="Imovel",Premissas!$B$47="Moradia",$A150&lt;MAX('Consorcio Direto'!$B$29,Premissas!$B$49)),$D150,0)</x:f>
        <x:v>0</x:v>
      </x:c>
      <x:c r="BG150" s="141" t="n">
        <x:f>IF(AND(TRUE,Premissas!$B$11="Imovel",Premissas!$B$47="Investimento",$A150&gt;=MAX('Consorcio Direto'!$B$29,Premissas!$B$49)),$E150,0)</x:f>
        <x:v>1287.805741974753</x:v>
      </x:c>
      <x:c r="BH150" s="141" t="n">
        <x:f>BD150+BE150+BF150</x:f>
        <x:v>2972.460434835085</x:v>
      </x:c>
      <x:c r="BI150" s="141" t="n">
        <x:f>BG150</x:f>
        <x:v>1287.805741974753</x:v>
      </x:c>
      <x:c r="BJ150" s="141" t="n">
        <x:f>$C150+BI150-BH150</x:f>
        <x:v>5315.345307139668</x:v>
      </x:c>
      <x:c r="BK150" s="141" t="n">
        <x:f>BN149*(1+Premissas!$B$41)+BJ150</x:f>
        <x:v>2075951.1941812388</x:v>
      </x:c>
      <x:c r="BL150" s="141" t="n">
        <x:f>MAX(0,-BK150)</x:f>
        <x:v>0</x:v>
      </x:c>
      <x:c r="BM150" s="141" t="n">
        <x:f>BM149*(1+Premissas!$B$41)+BL150</x:f>
        <x:v>0</x:v>
      </x:c>
      <x:c r="BN150" s="141" t="n">
        <x:f>MAX(0,BK150)</x:f>
        <x:v>2075951.1941812388</x:v>
      </x:c>
      <x:c r="BO150" s="141" t="n">
        <x:f>INDEX('Consorcio Direto'!$K$55:$K$534,$A150)</x:f>
        <x:v>221494.28708618972</x:v>
      </x:c>
      <x:c r="BP150" s="141" t="n">
        <x:f>IF($A150&lt;'Consorcio Direto'!$B$29,INDEX('Consorcio Direto'!$L$55:$L$534,$A150),$F150)</x:f>
        <x:v>404398.1879819232</x:v>
      </x:c>
      <x:c r="BQ150" s="141" t="n">
        <x:f>BN150+BP150-BO150</x:f>
        <x:v>2258855.095076972</x:v>
      </x:c>
      <x:c r="BR150" s="141" t="n">
        <x:f>IF(BM150&gt;1,"Inviavel",BQ150)</x:f>
        <x:v>2258855.095076972</x:v>
      </x:c>
      <x:c r="BS150" s="141" t="str">
        <x:f>IF(BM150&gt;1,"Inviavel","OK")</x:f>
        <x:v>OK</x:v>
      </x:c>
      <x:c r="BT150" s="141" t="n">
        <x:f>IF(AND('Carta Contemplada'!$B$22="Sim",$A150='Carta Contemplada'!$B$23),'Carta Contemplada'!$B$37,0)</x:f>
        <x:v>0</x:v>
      </x:c>
      <x:c r="BU150" s="141" t="n">
        <x:f>IF('Carta Contemplada'!$B$22="Sim",INDEX('Carta Contemplada'!$C$55:$C$1013,$A150),0)</x:f>
        <x:v>2414.6357662026617</x:v>
      </x:c>
      <x:c r="BV150" s="141" t="n">
        <x:f>IF(AND('Carta Contemplada'!$B$22="Sim",Premissas!$B$11="Imovel",Premissas!$B$47="Moradia",$A150&lt;MAX('Carta Contemplada'!$B$44,Premissas!$B$49)),$D150,0)</x:f>
        <x:v>0</x:v>
      </x:c>
      <x:c r="BW150" s="141" t="n">
        <x:f>IF(AND('Carta Contemplada'!$B$22="Sim",Premissas!$B$11="Imovel",Premissas!$B$47="Investimento",$A150&gt;=MAX('Carta Contemplada'!$B$44,Premissas!$B$49)),$E150,0)</x:f>
        <x:v>1287.805741974753</x:v>
      </x:c>
      <x:c r="BX150" s="141" t="n">
        <x:f>BT150+BU150+BV150</x:f>
        <x:v>2414.6357662026617</x:v>
      </x:c>
      <x:c r="BY150" s="141" t="n">
        <x:f>BW150</x:f>
        <x:v>1287.805741974753</x:v>
      </x:c>
      <x:c r="BZ150" s="141" t="n">
        <x:f>$C150+BY150-BX150</x:f>
        <x:v>5873.169975772091</x:v>
      </x:c>
      <x:c r="CA150" s="141" t="n">
        <x:f>CD149*(1+Premissas!$B$41)+BZ150</x:f>
        <x:v>2131462.33973151</x:v>
      </x:c>
      <x:c r="CB150" s="141" t="n">
        <x:f>MAX(0,-CA150)</x:f>
        <x:v>0</x:v>
      </x:c>
      <x:c r="CC150" s="141" t="n">
        <x:f>CC149*(1+Premissas!$B$41)+CB150</x:f>
        <x:v>0</x:v>
      </x:c>
      <x:c r="CD150" s="141" t="n">
        <x:f>MAX(0,CA150)</x:f>
        <x:v>2131462.33973151</x:v>
      </x:c>
      <x:c r="CE150" s="141" t="n">
        <x:f>IF(AND('Carta Contemplada'!$B$22="Sim",$A150&gt;='Carta Contemplada'!$B$23),INDEX('Carta Contemplada'!$I$55:$I$1013,$A150),0)</x:f>
        <x:v>74116.47116723961</x:v>
      </x:c>
      <x:c r="CF150" s="141" t="n">
        <x:f>IF(AND('Carta Contemplada'!$B$22="Sim",$A150&gt;='Carta Contemplada'!$B$44),$F150,0)</x:f>
        <x:v>404398.1879819232</x:v>
      </x:c>
      <x:c r="CG150" s="141" t="n">
        <x:f>CD150+CF150-CE150</x:f>
        <x:v>2461744.056546193</x:v>
      </x:c>
      <x:c r="CH150" s="141" t="n">
        <x:f>IF(CC150&gt;1,"Inviavel",CG150)</x:f>
        <x:v>2461744.056546193</x:v>
      </x:c>
      <x:c r="CI150" s="145" t="str">
        <x:f>IF(CC150&gt;1,"Inviavel","OK")</x:f>
        <x:v>OK</x:v>
      </x:c>
    </x:row>
    <x:row r="151">
      <x:c r="A151" s="142" t="n">
        <x:v>147</x:v>
      </x:c>
      <x:c r="B151" s="179" t="n">
        <x:f>EDATE(Premissas!$B$4,A151-1)</x:f>
        <x:v>50983</x:v>
      </x:c>
      <x:c r="C151" s="141" t="n">
        <x:f>IF(A151&lt;=Premissas!$B$39,Premissas!$B$42,0)</x:f>
        <x:v>7000</x:v>
      </x:c>
      <x:c r="D151" s="141" t="n">
        <x:f>Premissas!$B$54*(1+Premissas!$B$57)^INT((A151-1)/12)</x:f>
        <x:v>1408.537530284886</x:v>
      </x:c>
      <x:c r="E151" s="141" t="n">
        <x:f>Premissas!$B$64*(1+Premissas!$B$57)^INT((A151-1)/12)</x:f>
        <x:v>1287.805741974753</x:v>
      </x:c>
      <x:c r="F151" s="141" t="n">
        <x:f>MAX(0,Premissas!$B$6*(1+Premissas!$B$66)^((A151-1)/12))</x:f>
        <x:v>406366.6166104583</x:v>
      </x:c>
      <x:c r="G151" s="141" t="n">
        <x:f>G150*(1+Premissas!$B$41)+C151</x:f>
        <x:v>2576315.2871577376</x:v>
      </x:c>
      <x:c r="H151" s="141" t="n">
        <x:f>IF($A151=Premissas!$B$48,Premissas!$B$8,0)</x:f>
        <x:v>0</x:v>
      </x:c>
      <x:c r="I151" s="141" t="n">
        <x:f>IF(AND($A151&gt;=Premissas!$B$48,$A151-Premissas!$B$48+1&lt;=Premissas!$B$13),INDEX(Financiamento!$J$6:$J$485,$A151-Premissas!$B$48+1),0)</x:f>
        <x:v>1521.4016244098136</x:v>
      </x:c>
      <x:c r="J151" s="141" t="n">
        <x:f>IF(AND(TRUE,Premissas!$B$11="Imovel",Premissas!$B$47="Moradia",$A151&lt;MAX(Premissas!$B$48,Premissas!$B$49)),$D151,0)</x:f>
        <x:v>0</x:v>
      </x:c>
      <x:c r="K151" s="141" t="n">
        <x:f>IF(AND(TRUE,Premissas!$B$11="Imovel",Premissas!$B$47="Investimento",$A151&gt;=MAX(Premissas!$B$48,Premissas!$B$49)),$E151,0)</x:f>
        <x:v>1287.805741974753</x:v>
      </x:c>
      <x:c r="L151" s="141" t="n">
        <x:f>H151+I151+J151</x:f>
        <x:v>1521.4016244098136</x:v>
      </x:c>
      <x:c r="M151" s="141" t="n">
        <x:f>K151</x:f>
        <x:v>1287.805741974753</x:v>
      </x:c>
      <x:c r="N151" s="141" t="n">
        <x:f>$C151+M151-L151</x:f>
        <x:v>6766.404117564939</x:v>
      </x:c>
      <x:c r="O151" s="141" t="n">
        <x:f>R150*(1+Premissas!$B$41)+N151</x:f>
        <x:v>2098002.229590414</x:v>
      </x:c>
      <x:c r="P151" s="141" t="n">
        <x:f>MAX(0,-O151)</x:f>
        <x:v>0</x:v>
      </x:c>
      <x:c r="Q151" s="141" t="n">
        <x:f>Q150*(1+Premissas!$B$41)+P151</x:f>
        <x:v>0</x:v>
      </x:c>
      <x:c r="R151" s="141" t="n">
        <x:f>MAX(0,O151)</x:f>
        <x:v>2098002.229590414</x:v>
      </x:c>
      <x:c r="S151" s="141" t="n">
        <x:f>IF(AND($A151&gt;=Premissas!$B$48,$A151-Premissas!$B$48+1&lt;=Premissas!$B$13),INDEX(Financiamento!$M$6:$M$485,$A151-Premissas!$B$48+1),0)</x:f>
        <x:v>104000.00000000017</x:v>
      </x:c>
      <x:c r="T151" s="141" t="n">
        <x:f>IF($A151&gt;=Premissas!$B$48,$F151,0)</x:f>
        <x:v>406366.6166104583</x:v>
      </x:c>
      <x:c r="U151" s="141" t="n">
        <x:f>R151+T151-S151</x:f>
        <x:v>2400368.846200872</x:v>
      </x:c>
      <x:c r="V151" s="141" t="n">
        <x:f>IF(Q151&gt;1,"Inviavel",U151)</x:f>
        <x:v>2400368.846200872</x:v>
      </x:c>
      <x:c r="W151" s="141" t="str">
        <x:f>IF(Q151&gt;1,"Inviavel","OK")</x:f>
        <x:v>OK</x:v>
      </x:c>
      <x:c r="X151" s="141" t="n">
        <x:f>IF($A151=Premissas!$B$48,Premissas!$B$8,0)</x:f>
        <x:v>0</x:v>
      </x:c>
      <x:c r="Y151" s="141" t="n">
        <x:f>IF(AND($A151&gt;=Premissas!$B$48,$A151-Premissas!$B$48+1&lt;=Premissas!$B$13),INDEX(Amortizacao!$K$6:$K$485,$A151-Premissas!$B$48+1),0)</x:f>
        <x:v>0</x:v>
      </x:c>
      <x:c r="Z151" s="141" t="n">
        <x:f>IF(AND(TRUE,Premissas!$B$11="Imovel",Premissas!$B$47="Moradia",$A151&lt;MAX(Premissas!$B$48,Premissas!$B$49)),$D151,0)</x:f>
        <x:v>0</x:v>
      </x:c>
      <x:c r="AA151" s="141" t="n">
        <x:f>IF(AND(TRUE,Premissas!$B$11="Imovel",Premissas!$B$47="Investimento",$A151&gt;=MAX(Premissas!$B$48,Premissas!$B$49)),$E151,0)</x:f>
        <x:v>1287.805741974753</x:v>
      </x:c>
      <x:c r="AB151" s="141" t="n">
        <x:f>X151+Y151+Z151</x:f>
        <x:v>0</x:v>
      </x:c>
      <x:c r="AC151" s="141" t="n">
        <x:f>AA151</x:f>
        <x:v>1287.805741974753</x:v>
      </x:c>
      <x:c r="AD151" s="141" t="n">
        <x:f>$C151+AC151-AB151</x:f>
        <x:v>8287.805741974753</x:v>
      </x:c>
      <x:c r="AE151" s="141" t="n">
        <x:f>AH150*(1+Premissas!$B$41)+AD151</x:f>
        <x:v>2027291.7357930867</x:v>
      </x:c>
      <x:c r="AF151" s="141" t="n">
        <x:f>MAX(0,-AE151)</x:f>
        <x:v>0</x:v>
      </x:c>
      <x:c r="AG151" s="141" t="n">
        <x:f>AG150*(1+Premissas!$B$41)+AF151</x:f>
        <x:v>0</x:v>
      </x:c>
      <x:c r="AH151" s="141" t="n">
        <x:f>MAX(0,AE151)</x:f>
        <x:v>2027291.7357930867</x:v>
      </x:c>
      <x:c r="AI151" s="141" t="n">
        <x:f>IF(AND($A151&gt;=Premissas!$B$48,$A151-Premissas!$B$48+1&lt;=Premissas!$B$13),INDEX(Amortizacao!$L$6:$L$485,$A151-Premissas!$B$48+1),0)</x:f>
        <x:v>0</x:v>
      </x:c>
      <x:c r="AJ151" s="141" t="n">
        <x:f>IF($A151&gt;=Premissas!$B$48,$F151,0)</x:f>
        <x:v>406366.6166104583</x:v>
      </x:c>
      <x:c r="AK151" s="141" t="n">
        <x:f>AH151+AJ151-AI151</x:f>
        <x:v>2433658.352403545</x:v>
      </x:c>
      <x:c r="AL151" s="141" t="n">
        <x:f>IF(AG151&gt;1,"Inviavel",AK151)</x:f>
        <x:v>2433658.352403545</x:v>
      </x:c>
      <x:c r="AM151" s="141" t="str">
        <x:f>IF(AG151&gt;1,"Inviavel","OK")</x:f>
        <x:v>OK</x:v>
      </x:c>
      <x:c r="AN151" s="141" t="n">
        <x:f>IF($A151=Premissas!$B$48,Premissas!$B$8,0)</x:f>
        <x:v>0</x:v>
      </x:c>
      <x:c r="AO151" s="141" t="n">
        <x:f>IF($A151&lt;=Premissas!$B$25,INDEX('Consorcio IQ'!$K$6:$K$485,$A151),0)</x:f>
        <x:v>1147.8893832771146</x:v>
      </x:c>
      <x:c r="AP151" s="141" t="n">
        <x:f>IF(AND(TRUE,Premissas!$B$11="Imovel",Premissas!$B$47="Moradia",$A151&lt;MAX(Premissas!$B$48,Premissas!$B$49)),$D151,0)</x:f>
        <x:v>0</x:v>
      </x:c>
      <x:c r="AQ151" s="141" t="n">
        <x:f>IF(AND(TRUE,Premissas!$B$11="Imovel",Premissas!$B$47="Investimento",$A151&gt;=MAX(Premissas!$B$48,Premissas!$B$49)),$E151,0)</x:f>
        <x:v>1287.805741974753</x:v>
      </x:c>
      <x:c r="AR151" s="141" t="n">
        <x:f>AN151+AO151+AP151</x:f>
        <x:v>1147.8893832771146</x:v>
      </x:c>
      <x:c r="AS151" s="141" t="n">
        <x:f>AQ151</x:f>
        <x:v>1287.805741974753</x:v>
      </x:c>
      <x:c r="AT151" s="141" t="n">
        <x:f>$C151+AS151-AR151</x:f>
        <x:v>7139.916358697638</x:v>
      </x:c>
      <x:c r="AU151" s="141" t="n">
        <x:f>AX150*(1+Premissas!$B$41)+AT151</x:f>
        <x:v>2089545.7189566821</x:v>
      </x:c>
      <x:c r="AV151" s="141" t="n">
        <x:f>MAX(0,-AU151)</x:f>
        <x:v>0</x:v>
      </x:c>
      <x:c r="AW151" s="141" t="n">
        <x:f>AW150*(1+Premissas!$B$41)+AV151</x:f>
        <x:v>0</x:v>
      </x:c>
      <x:c r="AX151" s="141" t="n">
        <x:f>MAX(0,AU151)</x:f>
        <x:v>2089545.7189566821</x:v>
      </x:c>
      <x:c r="AY151" s="141" t="n">
        <x:f>INDEX('Consorcio IQ'!$P$6:$P$485,$A151)</x:f>
        <x:v>85199.25661189349</x:v>
      </x:c>
      <x:c r="AZ151" s="141" t="n">
        <x:f>IF($A151&gt;=Premissas!$B$48,$F151,0)+IF($A151&lt;Premissas!$B$27,INDEX('Consorcio IQ'!$O$6:$O$485,$A151),0)</x:f>
        <x:v>406366.6166104583</x:v>
      </x:c>
      <x:c r="BA151" s="141" t="n">
        <x:f>AX151+AZ151-AY151</x:f>
        <x:v>2410713.078955247</x:v>
      </x:c>
      <x:c r="BB151" s="141" t="n">
        <x:f>IF(AW151&gt;1,"Inviavel",BA151)</x:f>
        <x:v>2410713.078955247</x:v>
      </x:c>
      <x:c r="BC151" s="141" t="str">
        <x:f>IF(AW151&gt;1,"Inviavel","OK")</x:f>
        <x:v>OK</x:v>
      </x:c>
      <x:c r="BD151" s="141" t="n">
        <x:f>IF($A151='Consorcio Direto'!$B$29,'Consorcio Direto'!$B$44,0)</x:f>
        <x:v>0</x:v>
      </x:c>
      <x:c r="BE151" s="141" t="n">
        <x:f>IF($A151&lt;='Consorcio Direto'!$B$27,INDEX('Consorcio Direto'!$E$55:$E$534,$A151),0)</x:f>
        <x:v>2972.460434835085</x:v>
      </x:c>
      <x:c r="BF151" s="141" t="n">
        <x:f>IF(AND(TRUE,Premissas!$B$11="Imovel",Premissas!$B$47="Moradia",$A151&lt;MAX('Consorcio Direto'!$B$29,Premissas!$B$49)),$D151,0)</x:f>
        <x:v>0</x:v>
      </x:c>
      <x:c r="BG151" s="141" t="n">
        <x:f>IF(AND(TRUE,Premissas!$B$11="Imovel",Premissas!$B$47="Investimento",$A151&gt;=MAX('Consorcio Direto'!$B$29,Premissas!$B$49)),$E151,0)</x:f>
        <x:v>1287.805741974753</x:v>
      </x:c>
      <x:c r="BH151" s="141" t="n">
        <x:f>BD151+BE151+BF151</x:f>
        <x:v>2972.460434835085</x:v>
      </x:c>
      <x:c r="BI151" s="141" t="n">
        <x:f>BG151</x:f>
        <x:v>1287.805741974753</x:v>
      </x:c>
      <x:c r="BJ151" s="141" t="n">
        <x:f>$C151+BI151-BH151</x:f>
        <x:v>5315.345307139668</x:v>
      </x:c>
      <x:c r="BK151" s="141" t="n">
        <x:f>BN150*(1+Premissas!$B$41)+BJ151</x:f>
        <x:v>2100964.8105122647</x:v>
      </x:c>
      <x:c r="BL151" s="141" t="n">
        <x:f>MAX(0,-BK151)</x:f>
        <x:v>0</x:v>
      </x:c>
      <x:c r="BM151" s="141" t="n">
        <x:f>BM150*(1+Premissas!$B$41)+BL151</x:f>
        <x:v>0</x:v>
      </x:c>
      <x:c r="BN151" s="141" t="n">
        <x:f>MAX(0,BK151)</x:f>
        <x:v>2100964.8105122647</x:v>
      </x:c>
      <x:c r="BO151" s="141" t="n">
        <x:f>INDEX('Consorcio Direto'!$K$55:$K$534,$A151)</x:f>
        <x:v>220623.54007770857</x:v>
      </x:c>
      <x:c r="BP151" s="141" t="n">
        <x:f>IF($A151&lt;'Consorcio Direto'!$B$29,INDEX('Consorcio Direto'!$L$55:$L$534,$A151),$F151)</x:f>
        <x:v>406366.6166104583</x:v>
      </x:c>
      <x:c r="BQ151" s="141" t="n">
        <x:f>BN151+BP151-BO151</x:f>
        <x:v>2286707.887045014</x:v>
      </x:c>
      <x:c r="BR151" s="141" t="n">
        <x:f>IF(BM151&gt;1,"Inviavel",BQ151)</x:f>
        <x:v>2286707.887045014</x:v>
      </x:c>
      <x:c r="BS151" s="141" t="str">
        <x:f>IF(BM151&gt;1,"Inviavel","OK")</x:f>
        <x:v>OK</x:v>
      </x:c>
      <x:c r="BT151" s="141" t="n">
        <x:f>IF(AND('Carta Contemplada'!$B$22="Sim",$A151='Carta Contemplada'!$B$23),'Carta Contemplada'!$B$37,0)</x:f>
        <x:v>0</x:v>
      </x:c>
      <x:c r="BU151" s="141" t="n">
        <x:f>IF('Carta Contemplada'!$B$22="Sim",INDEX('Carta Contemplada'!$C$55:$C$1013,$A151),0)</x:f>
        <x:v>2414.6357662026617</x:v>
      </x:c>
      <x:c r="BV151" s="141" t="n">
        <x:f>IF(AND('Carta Contemplada'!$B$22="Sim",Premissas!$B$11="Imovel",Premissas!$B$47="Moradia",$A151&lt;MAX('Carta Contemplada'!$B$44,Premissas!$B$49)),$D151,0)</x:f>
        <x:v>0</x:v>
      </x:c>
      <x:c r="BW151" s="141" t="n">
        <x:f>IF(AND('Carta Contemplada'!$B$22="Sim",Premissas!$B$11="Imovel",Premissas!$B$47="Investimento",$A151&gt;=MAX('Carta Contemplada'!$B$44,Premissas!$B$49)),$E151,0)</x:f>
        <x:v>1287.805741974753</x:v>
      </x:c>
      <x:c r="BX151" s="141" t="n">
        <x:f>BT151+BU151+BV151</x:f>
        <x:v>2414.6357662026617</x:v>
      </x:c>
      <x:c r="BY151" s="141" t="n">
        <x:f>BW151</x:f>
        <x:v>1287.805741974753</x:v>
      </x:c>
      <x:c r="BZ151" s="141" t="n">
        <x:f>$C151+BY151-BX151</x:f>
        <x:v>5873.169975772091</x:v>
      </x:c>
      <x:c r="CA151" s="141" t="n">
        <x:f>CD150*(1+Premissas!$B$41)+BZ151</x:f>
        <x:v>2157560.514496856</x:v>
      </x:c>
      <x:c r="CB151" s="141" t="n">
        <x:f>MAX(0,-CA151)</x:f>
        <x:v>0</x:v>
      </x:c>
      <x:c r="CC151" s="141" t="n">
        <x:f>CC150*(1+Premissas!$B$41)+CB151</x:f>
        <x:v>0</x:v>
      </x:c>
      <x:c r="CD151" s="141" t="n">
        <x:f>MAX(0,CA151)</x:f>
        <x:v>2157560.514496856</x:v>
      </x:c>
      <x:c r="CE151" s="141" t="n">
        <x:f>IF(AND('Carta Contemplada'!$B$22="Sim",$A151&gt;='Carta Contemplada'!$B$23),INDEX('Carta Contemplada'!$I$55:$I$1013,$A151),0)</x:f>
        <x:v>72405.11124898489</x:v>
      </x:c>
      <x:c r="CF151" s="141" t="n">
        <x:f>IF(AND('Carta Contemplada'!$B$22="Sim",$A151&gt;='Carta Contemplada'!$B$44),$F151,0)</x:f>
        <x:v>406366.6166104583</x:v>
      </x:c>
      <x:c r="CG151" s="141" t="n">
        <x:f>CD151+CF151-CE151</x:f>
        <x:v>2491522.019858329</x:v>
      </x:c>
      <x:c r="CH151" s="141" t="n">
        <x:f>IF(CC151&gt;1,"Inviavel",CG151)</x:f>
        <x:v>2491522.019858329</x:v>
      </x:c>
      <x:c r="CI151" s="145" t="str">
        <x:f>IF(CC151&gt;1,"Inviavel","OK")</x:f>
        <x:v>OK</x:v>
      </x:c>
    </x:row>
    <x:row r="152">
      <x:c r="A152" s="142" t="n">
        <x:v>148</x:v>
      </x:c>
      <x:c r="B152" s="179" t="n">
        <x:f>EDATE(Premissas!$B$4,A152-1)</x:f>
        <x:v>51014</x:v>
      </x:c>
      <x:c r="C152" s="141" t="n">
        <x:f>IF(A152&lt;=Premissas!$B$39,Premissas!$B$42,0)</x:f>
        <x:v>7000</x:v>
      </x:c>
      <x:c r="D152" s="141" t="n">
        <x:f>Premissas!$B$54*(1+Premissas!$B$57)^INT((A152-1)/12)</x:f>
        <x:v>1408.537530284886</x:v>
      </x:c>
      <x:c r="E152" s="141" t="n">
        <x:f>Premissas!$B$64*(1+Premissas!$B$57)^INT((A152-1)/12)</x:f>
        <x:v>1287.805741974753</x:v>
      </x:c>
      <x:c r="F152" s="141" t="n">
        <x:f>MAX(0,Premissas!$B$6*(1+Premissas!$B$66)^((A152-1)/12))</x:f>
        <x:v>408344.6266648771</x:v>
      </x:c>
      <x:c r="G152" s="141" t="n">
        <x:f>G151*(1+Premissas!$B$41)+C152</x:f>
        <x:v>2607761.4094517785</x:v>
      </x:c>
      <x:c r="H152" s="141" t="n">
        <x:f>IF($A152=Premissas!$B$48,Premissas!$B$8,0)</x:f>
        <x:v>0</x:v>
      </x:c>
      <x:c r="I152" s="141" t="n">
        <x:f>IF(AND($A152&gt;=Premissas!$B$48,$A152-Premissas!$B$48+1&lt;=Premissas!$B$13),INDEX(Financiamento!$J$6:$J$485,$A152-Premissas!$B$48+1),0)</x:f>
        <x:v>1517.78684614902</x:v>
      </x:c>
      <x:c r="J152" s="141" t="n">
        <x:f>IF(AND(TRUE,Premissas!$B$11="Imovel",Premissas!$B$47="Moradia",$A152&lt;MAX(Premissas!$B$48,Premissas!$B$49)),$D152,0)</x:f>
        <x:v>0</x:v>
      </x:c>
      <x:c r="K152" s="141" t="n">
        <x:f>IF(AND(TRUE,Premissas!$B$11="Imovel",Premissas!$B$47="Investimento",$A152&gt;=MAX(Premissas!$B$48,Premissas!$B$49)),$E152,0)</x:f>
        <x:v>1287.805741974753</x:v>
      </x:c>
      <x:c r="L152" s="141" t="n">
        <x:f>H152+I152+J152</x:f>
        <x:v>1517.78684614902</x:v>
      </x:c>
      <x:c r="M152" s="141" t="n">
        <x:f>K152</x:f>
        <x:v>1287.805741974753</x:v>
      </x:c>
      <x:c r="N152" s="141" t="n">
        <x:f>$C152+M152-L152</x:f>
        <x:v>6770.018895825733</x:v>
      </x:c>
      <x:c r="O152" s="141" t="n">
        <x:f>R151*(1+Premissas!$B$41)+N152</x:f>
        <x:v>2124679.757219117</x:v>
      </x:c>
      <x:c r="P152" s="141" t="n">
        <x:f>MAX(0,-O152)</x:f>
        <x:v>0</x:v>
      </x:c>
      <x:c r="Q152" s="141" t="n">
        <x:f>Q151*(1+Premissas!$B$41)+P152</x:f>
        <x:v>0</x:v>
      </x:c>
      <x:c r="R152" s="141" t="n">
        <x:f>MAX(0,O152)</x:f>
        <x:v>2124679.757219117</x:v>
      </x:c>
      <x:c r="S152" s="141" t="n">
        <x:f>IF(AND($A152&gt;=Premissas!$B$48,$A152-Premissas!$B$48+1&lt;=Premissas!$B$13),INDEX(Financiamento!$M$6:$M$485,$A152-Premissas!$B$48+1),0)</x:f>
        <x:v>103619.0476190478</x:v>
      </x:c>
      <x:c r="T152" s="141" t="n">
        <x:f>IF($A152&gt;=Premissas!$B$48,$F152,0)</x:f>
        <x:v>408344.6266648771</x:v>
      </x:c>
      <x:c r="U152" s="141" t="n">
        <x:f>R152+T152-S152</x:f>
        <x:v>2429405.3362649465</x:v>
      </x:c>
      <x:c r="V152" s="141" t="n">
        <x:f>IF(Q152&gt;1,"Inviavel",U152)</x:f>
        <x:v>2429405.3362649465</x:v>
      </x:c>
      <x:c r="W152" s="141" t="str">
        <x:f>IF(Q152&gt;1,"Inviavel","OK")</x:f>
        <x:v>OK</x:v>
      </x:c>
      <x:c r="X152" s="141" t="n">
        <x:f>IF($A152=Premissas!$B$48,Premissas!$B$8,0)</x:f>
        <x:v>0</x:v>
      </x:c>
      <x:c r="Y152" s="141" t="n">
        <x:f>IF(AND($A152&gt;=Premissas!$B$48,$A152-Premissas!$B$48+1&lt;=Premissas!$B$13),INDEX(Amortizacao!$K$6:$K$485,$A152-Premissas!$B$48+1),0)</x:f>
        <x:v>0</x:v>
      </x:c>
      <x:c r="Z152" s="141" t="n">
        <x:f>IF(AND(TRUE,Premissas!$B$11="Imovel",Premissas!$B$47="Moradia",$A152&lt;MAX(Premissas!$B$48,Premissas!$B$49)),$D152,0)</x:f>
        <x:v>0</x:v>
      </x:c>
      <x:c r="AA152" s="141" t="n">
        <x:f>IF(AND(TRUE,Premissas!$B$11="Imovel",Premissas!$B$47="Investimento",$A152&gt;=MAX(Premissas!$B$48,Premissas!$B$49)),$E152,0)</x:f>
        <x:v>1287.805741974753</x:v>
      </x:c>
      <x:c r="AB152" s="141" t="n">
        <x:f>X152+Y152+Z152</x:f>
        <x:v>0</x:v>
      </x:c>
      <x:c r="AC152" s="141" t="n">
        <x:f>AA152</x:f>
        <x:v>1287.805741974753</x:v>
      </x:c>
      <x:c r="AD152" s="141" t="n">
        <x:f>$C152+AC152-AB152</x:f>
        <x:v>8287.805741974753</x:v>
      </x:c>
      <x:c r="AE152" s="141" t="n">
        <x:f>AH151*(1+Premissas!$B$41)+AD152</x:f>
        <x:v>2054816.0930339936</x:v>
      </x:c>
      <x:c r="AF152" s="141" t="n">
        <x:f>MAX(0,-AE152)</x:f>
        <x:v>0</x:v>
      </x:c>
      <x:c r="AG152" s="141" t="n">
        <x:f>AG151*(1+Premissas!$B$41)+AF152</x:f>
        <x:v>0</x:v>
      </x:c>
      <x:c r="AH152" s="141" t="n">
        <x:f>MAX(0,AE152)</x:f>
        <x:v>2054816.0930339936</x:v>
      </x:c>
      <x:c r="AI152" s="141" t="n">
        <x:f>IF(AND($A152&gt;=Premissas!$B$48,$A152-Premissas!$B$48+1&lt;=Premissas!$B$13),INDEX(Amortizacao!$L$6:$L$485,$A152-Premissas!$B$48+1),0)</x:f>
        <x:v>0</x:v>
      </x:c>
      <x:c r="AJ152" s="141" t="n">
        <x:f>IF($A152&gt;=Premissas!$B$48,$F152,0)</x:f>
        <x:v>408344.6266648771</x:v>
      </x:c>
      <x:c r="AK152" s="141" t="n">
        <x:f>AH152+AJ152-AI152</x:f>
        <x:v>2463160.7196988706</x:v>
      </x:c>
      <x:c r="AL152" s="141" t="n">
        <x:f>IF(AG152&gt;1,"Inviavel",AK152)</x:f>
        <x:v>2463160.7196988706</x:v>
      </x:c>
      <x:c r="AM152" s="141" t="str">
        <x:f>IF(AG152&gt;1,"Inviavel","OK")</x:f>
        <x:v>OK</x:v>
      </x:c>
      <x:c r="AN152" s="141" t="n">
        <x:f>IF($A152=Premissas!$B$48,Premissas!$B$8,0)</x:f>
        <x:v>0</x:v>
      </x:c>
      <x:c r="AO152" s="141" t="n">
        <x:f>IF($A152&lt;=Premissas!$B$25,INDEX('Consorcio IQ'!$K$6:$K$485,$A152),0)</x:f>
        <x:v>1147.8893832771146</x:v>
      </x:c>
      <x:c r="AP152" s="141" t="n">
        <x:f>IF(AND(TRUE,Premissas!$B$11="Imovel",Premissas!$B$47="Moradia",$A152&lt;MAX(Premissas!$B$48,Premissas!$B$49)),$D152,0)</x:f>
        <x:v>0</x:v>
      </x:c>
      <x:c r="AQ152" s="141" t="n">
        <x:f>IF(AND(TRUE,Premissas!$B$11="Imovel",Premissas!$B$47="Investimento",$A152&gt;=MAX(Premissas!$B$48,Premissas!$B$49)),$E152,0)</x:f>
        <x:v>1287.805741974753</x:v>
      </x:c>
      <x:c r="AR152" s="141" t="n">
        <x:f>AN152+AO152+AP152</x:f>
        <x:v>1147.8893832771146</x:v>
      </x:c>
      <x:c r="AS152" s="141" t="n">
        <x:f>AQ152</x:f>
        <x:v>1287.805741974753</x:v>
      </x:c>
      <x:c r="AT152" s="141" t="n">
        <x:f>$C152+AS152-AR152</x:f>
        <x:v>7139.916358697638</x:v>
      </x:c>
      <x:c r="AU152" s="141" t="n">
        <x:f>AX151*(1+Premissas!$B$41)+AT152</x:f>
        <x:v>2116512.901969904</x:v>
      </x:c>
      <x:c r="AV152" s="141" t="n">
        <x:f>MAX(0,-AU152)</x:f>
        <x:v>0</x:v>
      </x:c>
      <x:c r="AW152" s="141" t="n">
        <x:f>AW151*(1+Premissas!$B$41)+AV152</x:f>
        <x:v>0</x:v>
      </x:c>
      <x:c r="AX152" s="141" t="n">
        <x:f>MAX(0,AU152)</x:f>
        <x:v>2116512.901969904</x:v>
      </x:c>
      <x:c r="AY152" s="141" t="n">
        <x:f>INDEX('Consorcio IQ'!$P$6:$P$485,$A152)</x:f>
        <x:v>84859.80533278704</x:v>
      </x:c>
      <x:c r="AZ152" s="141" t="n">
        <x:f>IF($A152&gt;=Premissas!$B$48,$F152,0)+IF($A152&lt;Premissas!$B$27,INDEX('Consorcio IQ'!$O$6:$O$485,$A152),0)</x:f>
        <x:v>408344.6266648771</x:v>
      </x:c>
      <x:c r="BA152" s="141" t="n">
        <x:f>AX152+AZ152-AY152</x:f>
        <x:v>2439997.723301994</x:v>
      </x:c>
      <x:c r="BB152" s="141" t="n">
        <x:f>IF(AW152&gt;1,"Inviavel",BA152)</x:f>
        <x:v>2439997.723301994</x:v>
      </x:c>
      <x:c r="BC152" s="141" t="str">
        <x:f>IF(AW152&gt;1,"Inviavel","OK")</x:f>
        <x:v>OK</x:v>
      </x:c>
      <x:c r="BD152" s="141" t="n">
        <x:f>IF($A152='Consorcio Direto'!$B$29,'Consorcio Direto'!$B$44,0)</x:f>
        <x:v>0</x:v>
      </x:c>
      <x:c r="BE152" s="141" t="n">
        <x:f>IF($A152&lt;='Consorcio Direto'!$B$27,INDEX('Consorcio Direto'!$E$55:$E$534,$A152),0)</x:f>
        <x:v>2972.460434835085</x:v>
      </x:c>
      <x:c r="BF152" s="141" t="n">
        <x:f>IF(AND(TRUE,Premissas!$B$11="Imovel",Premissas!$B$47="Moradia",$A152&lt;MAX('Consorcio Direto'!$B$29,Premissas!$B$49)),$D152,0)</x:f>
        <x:v>0</x:v>
      </x:c>
      <x:c r="BG152" s="141" t="n">
        <x:f>IF(AND(TRUE,Premissas!$B$11="Imovel",Premissas!$B$47="Investimento",$A152&gt;=MAX('Consorcio Direto'!$B$29,Premissas!$B$49)),$E152,0)</x:f>
        <x:v>1287.805741974753</x:v>
      </x:c>
      <x:c r="BH152" s="141" t="n">
        <x:f>BD152+BE152+BF152</x:f>
        <x:v>2972.460434835085</x:v>
      </x:c>
      <x:c r="BI152" s="141" t="n">
        <x:f>BG152</x:f>
        <x:v>1287.805741974753</x:v>
      </x:c>
      <x:c r="BJ152" s="141" t="n">
        <x:f>$C152+BI152-BH152</x:f>
        <x:v>5315.345307139668</x:v>
      </x:c>
      <x:c r="BK152" s="141" t="n">
        <x:f>BN151*(1+Premissas!$B$41)+BJ152</x:f>
        <x:v>2126215.775869201</x:v>
      </x:c>
      <x:c r="BL152" s="141" t="n">
        <x:f>MAX(0,-BK152)</x:f>
        <x:v>0</x:v>
      </x:c>
      <x:c r="BM152" s="141" t="n">
        <x:f>BM151*(1+Premissas!$B$41)+BL152</x:f>
        <x:v>0</x:v>
      </x:c>
      <x:c r="BN152" s="141" t="n">
        <x:f>MAX(0,BK152)</x:f>
        <x:v>2126215.775869201</x:v>
      </x:c>
      <x:c r="BO152" s="141" t="n">
        <x:f>INDEX('Consorcio Direto'!$K$55:$K$534,$A152)</x:f>
        <x:v>219744.53073116555</x:v>
      </x:c>
      <x:c r="BP152" s="141" t="n">
        <x:f>IF($A152&lt;'Consorcio Direto'!$B$29,INDEX('Consorcio Direto'!$L$55:$L$534,$A152),$F152)</x:f>
        <x:v>408344.6266648771</x:v>
      </x:c>
      <x:c r="BQ152" s="141" t="n">
        <x:f>BN152+BP152-BO152</x:f>
        <x:v>2314815.871802912</x:v>
      </x:c>
      <x:c r="BR152" s="141" t="n">
        <x:f>IF(BM152&gt;1,"Inviavel",BQ152)</x:f>
        <x:v>2314815.871802912</x:v>
      </x:c>
      <x:c r="BS152" s="141" t="str">
        <x:f>IF(BM152&gt;1,"Inviavel","OK")</x:f>
        <x:v>OK</x:v>
      </x:c>
      <x:c r="BT152" s="141" t="n">
        <x:f>IF(AND('Carta Contemplada'!$B$22="Sim",$A152='Carta Contemplada'!$B$23),'Carta Contemplada'!$B$37,0)</x:f>
        <x:v>0</x:v>
      </x:c>
      <x:c r="BU152" s="141" t="n">
        <x:f>IF('Carta Contemplada'!$B$22="Sim",INDEX('Carta Contemplada'!$C$55:$C$1013,$A152),0)</x:f>
        <x:v>2414.6357662026617</x:v>
      </x:c>
      <x:c r="BV152" s="141" t="n">
        <x:f>IF(AND('Carta Contemplada'!$B$22="Sim",Premissas!$B$11="Imovel",Premissas!$B$47="Moradia",$A152&lt;MAX('Carta Contemplada'!$B$44,Premissas!$B$49)),$D152,0)</x:f>
        <x:v>0</x:v>
      </x:c>
      <x:c r="BW152" s="141" t="n">
        <x:f>IF(AND('Carta Contemplada'!$B$22="Sim",Premissas!$B$11="Imovel",Premissas!$B$47="Investimento",$A152&gt;=MAX('Carta Contemplada'!$B$44,Premissas!$B$49)),$E152,0)</x:f>
        <x:v>1287.805741974753</x:v>
      </x:c>
      <x:c r="BX152" s="141" t="n">
        <x:f>BT152+BU152+BV152</x:f>
        <x:v>2414.6357662026617</x:v>
      </x:c>
      <x:c r="BY152" s="141" t="n">
        <x:f>BW152</x:f>
        <x:v>1287.805741974753</x:v>
      </x:c>
      <x:c r="BZ152" s="141" t="n">
        <x:f>$C152+BY152-BX152</x:f>
        <x:v>5873.169975772091</x:v>
      </x:c>
      <x:c r="CA152" s="141" t="n">
        <x:f>CD151*(1+Premissas!$B$41)+BZ152</x:f>
        <x:v>2183906.329438521</x:v>
      </x:c>
      <x:c r="CB152" s="141" t="n">
        <x:f>MAX(0,-CA152)</x:f>
        <x:v>0</x:v>
      </x:c>
      <x:c r="CC152" s="141" t="n">
        <x:f>CC151*(1+Premissas!$B$41)+CB152</x:f>
        <x:v>0</x:v>
      </x:c>
      <x:c r="CD152" s="141" t="n">
        <x:f>MAX(0,CA152)</x:f>
        <x:v>2183906.329438521</x:v>
      </x:c>
      <x:c r="CE152" s="141" t="n">
        <x:f>IF(AND('Carta Contemplada'!$B$22="Sim",$A152&gt;='Carta Contemplada'!$B$23),INDEX('Carta Contemplada'!$I$55:$I$1013,$A152),0)</x:f>
        <x:v>70677.5125908293</x:v>
      </x:c>
      <x:c r="CF152" s="141" t="n">
        <x:f>IF(AND('Carta Contemplada'!$B$22="Sim",$A152&gt;='Carta Contemplada'!$B$44),$F152,0)</x:f>
        <x:v>408344.6266648771</x:v>
      </x:c>
      <x:c r="CG152" s="141" t="n">
        <x:f>CD152+CF152-CE152</x:f>
        <x:v>2521573.4435125687</x:v>
      </x:c>
      <x:c r="CH152" s="141" t="n">
        <x:f>IF(CC152&gt;1,"Inviavel",CG152)</x:f>
        <x:v>2521573.4435125687</x:v>
      </x:c>
      <x:c r="CI152" s="145" t="str">
        <x:f>IF(CC152&gt;1,"Inviavel","OK")</x:f>
        <x:v>OK</x:v>
      </x:c>
    </x:row>
    <x:row r="153">
      <x:c r="A153" s="142" t="n">
        <x:v>149</x:v>
      </x:c>
      <x:c r="B153" s="179" t="n">
        <x:f>EDATE(Premissas!$B$4,A153-1)</x:f>
        <x:v>51044</x:v>
      </x:c>
      <x:c r="C153" s="141" t="n">
        <x:f>IF(A153&lt;=Premissas!$B$39,Premissas!$B$42,0)</x:f>
        <x:v>7000</x:v>
      </x:c>
      <x:c r="D153" s="141" t="n">
        <x:f>Premissas!$B$54*(1+Premissas!$B$57)^INT((A153-1)/12)</x:f>
        <x:v>1408.537530284886</x:v>
      </x:c>
      <x:c r="E153" s="141" t="n">
        <x:f>Premissas!$B$64*(1+Premissas!$B$57)^INT((A153-1)/12)</x:f>
        <x:v>1287.805741974753</x:v>
      </x:c>
      <x:c r="F153" s="141" t="n">
        <x:f>MAX(0,Premissas!$B$6*(1+Premissas!$B$66)^((A153-1)/12))</x:f>
        <x:v>410332.26478325453</x:v>
      </x:c>
      <x:c r="G153" s="141" t="n">
        <x:f>G152*(1+Premissas!$B$41)+C153</x:f>
        <x:v>2639505.9174888628</x:v>
      </x:c>
      <x:c r="H153" s="141" t="n">
        <x:f>IF($A153=Premissas!$B$48,Premissas!$B$8,0)</x:f>
        <x:v>0</x:v>
      </x:c>
      <x:c r="I153" s="141" t="n">
        <x:f>IF(AND($A153&gt;=Premissas!$B$48,$A153-Premissas!$B$48+1&lt;=Premissas!$B$13),INDEX(Financiamento!$J$6:$J$485,$A153-Premissas!$B$48+1),0)</x:f>
        <x:v>1514.1720678882264</x:v>
      </x:c>
      <x:c r="J153" s="141" t="n">
        <x:f>IF(AND(TRUE,Premissas!$B$11="Imovel",Premissas!$B$47="Moradia",$A153&lt;MAX(Premissas!$B$48,Premissas!$B$49)),$D153,0)</x:f>
        <x:v>0</x:v>
      </x:c>
      <x:c r="K153" s="141" t="n">
        <x:f>IF(AND(TRUE,Premissas!$B$11="Imovel",Premissas!$B$47="Investimento",$A153&gt;=MAX(Premissas!$B$48,Premissas!$B$49)),$E153,0)</x:f>
        <x:v>1287.805741974753</x:v>
      </x:c>
      <x:c r="L153" s="141" t="n">
        <x:f>H153+I153+J153</x:f>
        <x:v>1514.1720678882264</x:v>
      </x:c>
      <x:c r="M153" s="141" t="n">
        <x:f>K153</x:f>
        <x:v>1287.805741974753</x:v>
      </x:c>
      <x:c r="N153" s="141" t="n">
        <x:f>$C153+M153-L153</x:f>
        <x:v>6773.633674086526</x:v>
      </x:c>
      <x:c r="O153" s="141" t="n">
        <x:f>R152*(1+Premissas!$B$41)+N153</x:f>
        <x:v>2151614.037161756</x:v>
      </x:c>
      <x:c r="P153" s="141" t="n">
        <x:f>MAX(0,-O153)</x:f>
        <x:v>0</x:v>
      </x:c>
      <x:c r="Q153" s="141" t="n">
        <x:f>Q152*(1+Premissas!$B$41)+P153</x:f>
        <x:v>0</x:v>
      </x:c>
      <x:c r="R153" s="141" t="n">
        <x:f>MAX(0,O153)</x:f>
        <x:v>2151614.037161756</x:v>
      </x:c>
      <x:c r="S153" s="141" t="n">
        <x:f>IF(AND($A153&gt;=Premissas!$B$48,$A153-Premissas!$B$48+1&lt;=Premissas!$B$13),INDEX(Financiamento!$M$6:$M$485,$A153-Premissas!$B$48+1),0)</x:f>
        <x:v>103238.09523809541</x:v>
      </x:c>
      <x:c r="T153" s="141" t="n">
        <x:f>IF($A153&gt;=Premissas!$B$48,$F153,0)</x:f>
        <x:v>410332.26478325453</x:v>
      </x:c>
      <x:c r="U153" s="141" t="n">
        <x:f>R153+T153-S153</x:f>
        <x:v>2458708.2067069146</x:v>
      </x:c>
      <x:c r="V153" s="141" t="n">
        <x:f>IF(Q153&gt;1,"Inviavel",U153)</x:f>
        <x:v>2458708.2067069146</x:v>
      </x:c>
      <x:c r="W153" s="141" t="str">
        <x:f>IF(Q153&gt;1,"Inviavel","OK")</x:f>
        <x:v>OK</x:v>
      </x:c>
      <x:c r="X153" s="141" t="n">
        <x:f>IF($A153=Premissas!$B$48,Premissas!$B$8,0)</x:f>
        <x:v>0</x:v>
      </x:c>
      <x:c r="Y153" s="141" t="n">
        <x:f>IF(AND($A153&gt;=Premissas!$B$48,$A153-Premissas!$B$48+1&lt;=Premissas!$B$13),INDEX(Amortizacao!$K$6:$K$485,$A153-Premissas!$B$48+1),0)</x:f>
        <x:v>0</x:v>
      </x:c>
      <x:c r="Z153" s="141" t="n">
        <x:f>IF(AND(TRUE,Premissas!$B$11="Imovel",Premissas!$B$47="Moradia",$A153&lt;MAX(Premissas!$B$48,Premissas!$B$49)),$D153,0)</x:f>
        <x:v>0</x:v>
      </x:c>
      <x:c r="AA153" s="141" t="n">
        <x:f>IF(AND(TRUE,Premissas!$B$11="Imovel",Premissas!$B$47="Investimento",$A153&gt;=MAX(Premissas!$B$48,Premissas!$B$49)),$E153,0)</x:f>
        <x:v>1287.805741974753</x:v>
      </x:c>
      <x:c r="AB153" s="141" t="n">
        <x:f>X153+Y153+Z153</x:f>
        <x:v>0</x:v>
      </x:c>
      <x:c r="AC153" s="141" t="n">
        <x:f>AA153</x:f>
        <x:v>1287.805741974753</x:v>
      </x:c>
      <x:c r="AD153" s="141" t="n">
        <x:f>$C153+AC153-AB153</x:f>
        <x:v>8287.805741974753</x:v>
      </x:c>
      <x:c r="AE153" s="141" t="n">
        <x:f>AH152*(1+Premissas!$B$41)+AD153</x:f>
        <x:v>2082601.623201417</x:v>
      </x:c>
      <x:c r="AF153" s="141" t="n">
        <x:f>MAX(0,-AE153)</x:f>
        <x:v>0</x:v>
      </x:c>
      <x:c r="AG153" s="141" t="n">
        <x:f>AG152*(1+Premissas!$B$41)+AF153</x:f>
        <x:v>0</x:v>
      </x:c>
      <x:c r="AH153" s="141" t="n">
        <x:f>MAX(0,AE153)</x:f>
        <x:v>2082601.623201417</x:v>
      </x:c>
      <x:c r="AI153" s="141" t="n">
        <x:f>IF(AND($A153&gt;=Premissas!$B$48,$A153-Premissas!$B$48+1&lt;=Premissas!$B$13),INDEX(Amortizacao!$L$6:$L$485,$A153-Premissas!$B$48+1),0)</x:f>
        <x:v>0</x:v>
      </x:c>
      <x:c r="AJ153" s="141" t="n">
        <x:f>IF($A153&gt;=Premissas!$B$48,$F153,0)</x:f>
        <x:v>410332.26478325453</x:v>
      </x:c>
      <x:c r="AK153" s="141" t="n">
        <x:f>AH153+AJ153-AI153</x:f>
        <x:v>2492933.8879846716</x:v>
      </x:c>
      <x:c r="AL153" s="141" t="n">
        <x:f>IF(AG153&gt;1,"Inviavel",AK153)</x:f>
        <x:v>2492933.8879846716</x:v>
      </x:c>
      <x:c r="AM153" s="141" t="str">
        <x:f>IF(AG153&gt;1,"Inviavel","OK")</x:f>
        <x:v>OK</x:v>
      </x:c>
      <x:c r="AN153" s="141" t="n">
        <x:f>IF($A153=Premissas!$B$48,Premissas!$B$8,0)</x:f>
        <x:v>0</x:v>
      </x:c>
      <x:c r="AO153" s="141" t="n">
        <x:f>IF($A153&lt;=Premissas!$B$25,INDEX('Consorcio IQ'!$K$6:$K$485,$A153),0)</x:f>
        <x:v>1147.8893832771146</x:v>
      </x:c>
      <x:c r="AP153" s="141" t="n">
        <x:f>IF(AND(TRUE,Premissas!$B$11="Imovel",Premissas!$B$47="Moradia",$A153&lt;MAX(Premissas!$B$48,Premissas!$B$49)),$D153,0)</x:f>
        <x:v>0</x:v>
      </x:c>
      <x:c r="AQ153" s="141" t="n">
        <x:f>IF(AND(TRUE,Premissas!$B$11="Imovel",Premissas!$B$47="Investimento",$A153&gt;=MAX(Premissas!$B$48,Premissas!$B$49)),$E153,0)</x:f>
        <x:v>1287.805741974753</x:v>
      </x:c>
      <x:c r="AR153" s="141" t="n">
        <x:f>AN153+AO153+AP153</x:f>
        <x:v>1147.8893832771146</x:v>
      </x:c>
      <x:c r="AS153" s="141" t="n">
        <x:f>AQ153</x:f>
        <x:v>1287.805741974753</x:v>
      </x:c>
      <x:c r="AT153" s="141" t="n">
        <x:f>$C153+AS153-AR153</x:f>
        <x:v>7139.916358697638</x:v>
      </x:c>
      <x:c r="AU153" s="141" t="n">
        <x:f>AX152*(1+Premissas!$B$41)+AT153</x:f>
        <x:v>2143735.9709987678</x:v>
      </x:c>
      <x:c r="AV153" s="141" t="n">
        <x:f>MAX(0,-AU153)</x:f>
        <x:v>0</x:v>
      </x:c>
      <x:c r="AW153" s="141" t="n">
        <x:f>AW152*(1+Premissas!$B$41)+AV153</x:f>
        <x:v>0</x:v>
      </x:c>
      <x:c r="AX153" s="141" t="n">
        <x:f>MAX(0,AU153)</x:f>
        <x:v>2143735.9709987678</x:v>
      </x:c>
      <x:c r="AY153" s="141" t="n">
        <x:f>INDEX('Consorcio IQ'!$P$6:$P$485,$A153)</x:f>
        <x:v>84517.13307078177</x:v>
      </x:c>
      <x:c r="AZ153" s="141" t="n">
        <x:f>IF($A153&gt;=Premissas!$B$48,$F153,0)+IF($A153&lt;Premissas!$B$27,INDEX('Consorcio IQ'!$O$6:$O$485,$A153),0)</x:f>
        <x:v>410332.26478325453</x:v>
      </x:c>
      <x:c r="BA153" s="141" t="n">
        <x:f>AX153+AZ153-AY153</x:f>
        <x:v>2469551.1027112403</x:v>
      </x:c>
      <x:c r="BB153" s="141" t="n">
        <x:f>IF(AW153&gt;1,"Inviavel",BA153)</x:f>
        <x:v>2469551.1027112403</x:v>
      </x:c>
      <x:c r="BC153" s="141" t="str">
        <x:f>IF(AW153&gt;1,"Inviavel","OK")</x:f>
        <x:v>OK</x:v>
      </x:c>
      <x:c r="BD153" s="141" t="n">
        <x:f>IF($A153='Consorcio Direto'!$B$29,'Consorcio Direto'!$B$44,0)</x:f>
        <x:v>0</x:v>
      </x:c>
      <x:c r="BE153" s="141" t="n">
        <x:f>IF($A153&lt;='Consorcio Direto'!$B$27,INDEX('Consorcio Direto'!$E$55:$E$534,$A153),0)</x:f>
        <x:v>2972.460434835085</x:v>
      </x:c>
      <x:c r="BF153" s="141" t="n">
        <x:f>IF(AND(TRUE,Premissas!$B$11="Imovel",Premissas!$B$47="Moradia",$A153&lt;MAX('Consorcio Direto'!$B$29,Premissas!$B$49)),$D153,0)</x:f>
        <x:v>0</x:v>
      </x:c>
      <x:c r="BG153" s="141" t="n">
        <x:f>IF(AND(TRUE,Premissas!$B$11="Imovel",Premissas!$B$47="Investimento",$A153&gt;=MAX('Consorcio Direto'!$B$29,Premissas!$B$49)),$E153,0)</x:f>
        <x:v>1287.805741974753</x:v>
      </x:c>
      <x:c r="BH153" s="141" t="n">
        <x:f>BD153+BE153+BF153</x:f>
        <x:v>2972.460434835085</x:v>
      </x:c>
      <x:c r="BI153" s="141" t="n">
        <x:f>BG153</x:f>
        <x:v>1287.805741974753</x:v>
      </x:c>
      <x:c r="BJ153" s="141" t="n">
        <x:f>$C153+BI153-BH153</x:f>
        <x:v>5315.345307139668</x:v>
      </x:c>
      <x:c r="BK153" s="141" t="n">
        <x:f>BN152*(1+Premissas!$B$41)+BJ153</x:f>
        <x:v>2151706.3424078072</x:v>
      </x:c>
      <x:c r="BL153" s="141" t="n">
        <x:f>MAX(0,-BK153)</x:f>
        <x:v>0</x:v>
      </x:c>
      <x:c r="BM153" s="141" t="n">
        <x:f>BM152*(1+Premissas!$B$41)+BL153</x:f>
        <x:v>0</x:v>
      </x:c>
      <x:c r="BN153" s="141" t="n">
        <x:f>MAX(0,BK153)</x:f>
        <x:v>2151706.3424078072</x:v>
      </x:c>
      <x:c r="BO153" s="141" t="n">
        <x:f>INDEX('Consorcio Direto'!$K$55:$K$534,$A153)</x:f>
        <x:v>218857.1806469456</x:v>
      </x:c>
      <x:c r="BP153" s="141" t="n">
        <x:f>IF($A153&lt;'Consorcio Direto'!$B$29,INDEX('Consorcio Direto'!$L$55:$L$534,$A153),$F153)</x:f>
        <x:v>410332.26478325453</x:v>
      </x:c>
      <x:c r="BQ153" s="141" t="n">
        <x:f>BN153+BP153-BO153</x:f>
        <x:v>2343181.426544116</x:v>
      </x:c>
      <x:c r="BR153" s="141" t="n">
        <x:f>IF(BM153&gt;1,"Inviavel",BQ153)</x:f>
        <x:v>2343181.426544116</x:v>
      </x:c>
      <x:c r="BS153" s="141" t="str">
        <x:f>IF(BM153&gt;1,"Inviavel","OK")</x:f>
        <x:v>OK</x:v>
      </x:c>
      <x:c r="BT153" s="141" t="n">
        <x:f>IF(AND('Carta Contemplada'!$B$22="Sim",$A153='Carta Contemplada'!$B$23),'Carta Contemplada'!$B$37,0)</x:f>
        <x:v>0</x:v>
      </x:c>
      <x:c r="BU153" s="141" t="n">
        <x:f>IF('Carta Contemplada'!$B$22="Sim",INDEX('Carta Contemplada'!$C$55:$C$1013,$A153),0)</x:f>
        <x:v>2414.6357662026617</x:v>
      </x:c>
      <x:c r="BV153" s="141" t="n">
        <x:f>IF(AND('Carta Contemplada'!$B$22="Sim",Premissas!$B$11="Imovel",Premissas!$B$47="Moradia",$A153&lt;MAX('Carta Contemplada'!$B$44,Premissas!$B$49)),$D153,0)</x:f>
        <x:v>0</x:v>
      </x:c>
      <x:c r="BW153" s="141" t="n">
        <x:f>IF(AND('Carta Contemplada'!$B$22="Sim",Premissas!$B$11="Imovel",Premissas!$B$47="Investimento",$A153&gt;=MAX('Carta Contemplada'!$B$44,Premissas!$B$49)),$E153,0)</x:f>
        <x:v>1287.805741974753</x:v>
      </x:c>
      <x:c r="BX153" s="141" t="n">
        <x:f>BT153+BU153+BV153</x:f>
        <x:v>2414.6357662026617</x:v>
      </x:c>
      <x:c r="BY153" s="141" t="n">
        <x:f>BW153</x:f>
        <x:v>1287.805741974753</x:v>
      </x:c>
      <x:c r="BZ153" s="141" t="n">
        <x:f>$C153+BY153-BX153</x:f>
        <x:v>5873.169975772091</x:v>
      </x:c>
      <x:c r="CA153" s="141" t="n">
        <x:f>CD152*(1+Premissas!$B$41)+BZ153</x:f>
        <x:v>2210502.1343628606</x:v>
      </x:c>
      <x:c r="CB153" s="141" t="n">
        <x:f>MAX(0,-CA153)</x:f>
        <x:v>0</x:v>
      </x:c>
      <x:c r="CC153" s="141" t="n">
        <x:f>CC152*(1+Premissas!$B$41)+CB153</x:f>
        <x:v>0</x:v>
      </x:c>
      <x:c r="CD153" s="141" t="n">
        <x:f>MAX(0,CA153)</x:f>
        <x:v>2210502.1343628606</x:v>
      </x:c>
      <x:c r="CE153" s="141" t="n">
        <x:f>IF(AND('Carta Contemplada'!$B$22="Sim",$A153&gt;='Carta Contemplada'!$B$23),INDEX('Carta Contemplada'!$I$55:$I$1013,$A153),0)</x:f>
        <x:v>68933.52110673241</x:v>
      </x:c>
      <x:c r="CF153" s="141" t="n">
        <x:f>IF(AND('Carta Contemplada'!$B$22="Sim",$A153&gt;='Carta Contemplada'!$B$44),$F153,0)</x:f>
        <x:v>410332.26478325453</x:v>
      </x:c>
      <x:c r="CG153" s="141" t="n">
        <x:f>CD153+CF153-CE153</x:f>
        <x:v>2551900.8780393824</x:v>
      </x:c>
      <x:c r="CH153" s="141" t="n">
        <x:f>IF(CC153&gt;1,"Inviavel",CG153)</x:f>
        <x:v>2551900.8780393824</x:v>
      </x:c>
      <x:c r="CI153" s="145" t="str">
        <x:f>IF(CC153&gt;1,"Inviavel","OK")</x:f>
        <x:v>OK</x:v>
      </x:c>
    </x:row>
    <x:row r="154">
      <x:c r="A154" s="142" t="n">
        <x:v>150</x:v>
      </x:c>
      <x:c r="B154" s="179" t="n">
        <x:f>EDATE(Premissas!$B$4,A154-1)</x:f>
        <x:v>51075</x:v>
      </x:c>
      <x:c r="C154" s="141" t="n">
        <x:f>IF(A154&lt;=Premissas!$B$39,Premissas!$B$42,0)</x:f>
        <x:v>7000</x:v>
      </x:c>
      <x:c r="D154" s="141" t="n">
        <x:f>Premissas!$B$54*(1+Premissas!$B$57)^INT((A154-1)/12)</x:f>
        <x:v>1408.537530284886</x:v>
      </x:c>
      <x:c r="E154" s="141" t="n">
        <x:f>Premissas!$B$64*(1+Premissas!$B$57)^INT((A154-1)/12)</x:f>
        <x:v>1287.805741974753</x:v>
      </x:c>
      <x:c r="F154" s="141" t="n">
        <x:f>MAX(0,Premissas!$B$6*(1+Premissas!$B$66)^((A154-1)/12))</x:f>
        <x:v>412329.57783067867</x:v>
      </x:c>
      <x:c r="G154" s="141" t="n">
        <x:f>G153*(1+Premissas!$B$41)+C154</x:f>
        <x:v>2671551.642589521</x:v>
      </x:c>
      <x:c r="H154" s="141" t="n">
        <x:f>IF($A154=Premissas!$B$48,Premissas!$B$8,0)</x:f>
        <x:v>0</x:v>
      </x:c>
      <x:c r="I154" s="141" t="n">
        <x:f>IF(AND($A154&gt;=Premissas!$B$48,$A154-Premissas!$B$48+1&lt;=Premissas!$B$13),INDEX(Financiamento!$J$6:$J$485,$A154-Premissas!$B$48+1),0)</x:f>
        <x:v>1510.557289627433</x:v>
      </x:c>
      <x:c r="J154" s="141" t="n">
        <x:f>IF(AND(TRUE,Premissas!$B$11="Imovel",Premissas!$B$47="Moradia",$A154&lt;MAX(Premissas!$B$48,Premissas!$B$49)),$D154,0)</x:f>
        <x:v>0</x:v>
      </x:c>
      <x:c r="K154" s="141" t="n">
        <x:f>IF(AND(TRUE,Premissas!$B$11="Imovel",Premissas!$B$47="Investimento",$A154&gt;=MAX(Premissas!$B$48,Premissas!$B$49)),$E154,0)</x:f>
        <x:v>1287.805741974753</x:v>
      </x:c>
      <x:c r="L154" s="141" t="n">
        <x:f>H154+I154+J154</x:f>
        <x:v>1510.557289627433</x:v>
      </x:c>
      <x:c r="M154" s="141" t="n">
        <x:f>K154</x:f>
        <x:v>1287.805741974753</x:v>
      </x:c>
      <x:c r="N154" s="141" t="n">
        <x:f>$C154+M154-L154</x:f>
        <x:v>6777.2484523473195</x:v>
      </x:c>
      <x:c r="O154" s="141" t="n">
        <x:f>R153*(1+Premissas!$B$41)+N154</x:f>
        <x:v>2178807.5056878733</x:v>
      </x:c>
      <x:c r="P154" s="141" t="n">
        <x:f>MAX(0,-O154)</x:f>
        <x:v>0</x:v>
      </x:c>
      <x:c r="Q154" s="141" t="n">
        <x:f>Q153*(1+Premissas!$B$41)+P154</x:f>
        <x:v>0</x:v>
      </x:c>
      <x:c r="R154" s="141" t="n">
        <x:f>MAX(0,O154)</x:f>
        <x:v>2178807.5056878733</x:v>
      </x:c>
      <x:c r="S154" s="141" t="n">
        <x:f>IF(AND($A154&gt;=Premissas!$B$48,$A154-Premissas!$B$48+1&lt;=Premissas!$B$13),INDEX(Financiamento!$M$6:$M$485,$A154-Premissas!$B$48+1),0)</x:f>
        <x:v>102857.14285714303</x:v>
      </x:c>
      <x:c r="T154" s="141" t="n">
        <x:f>IF($A154&gt;=Premissas!$B$48,$F154,0)</x:f>
        <x:v>412329.57783067867</x:v>
      </x:c>
      <x:c r="U154" s="141" t="n">
        <x:f>R154+T154-S154</x:f>
        <x:v>2488279.940661409</x:v>
      </x:c>
      <x:c r="V154" s="141" t="n">
        <x:f>IF(Q154&gt;1,"Inviavel",U154)</x:f>
        <x:v>2488279.940661409</x:v>
      </x:c>
      <x:c r="W154" s="141" t="str">
        <x:f>IF(Q154&gt;1,"Inviavel","OK")</x:f>
        <x:v>OK</x:v>
      </x:c>
      <x:c r="X154" s="141" t="n">
        <x:f>IF($A154=Premissas!$B$48,Premissas!$B$8,0)</x:f>
        <x:v>0</x:v>
      </x:c>
      <x:c r="Y154" s="141" t="n">
        <x:f>IF(AND($A154&gt;=Premissas!$B$48,$A154-Premissas!$B$48+1&lt;=Premissas!$B$13),INDEX(Amortizacao!$K$6:$K$485,$A154-Premissas!$B$48+1),0)</x:f>
        <x:v>0</x:v>
      </x:c>
      <x:c r="Z154" s="141" t="n">
        <x:f>IF(AND(TRUE,Premissas!$B$11="Imovel",Premissas!$B$47="Moradia",$A154&lt;MAX(Premissas!$B$48,Premissas!$B$49)),$D154,0)</x:f>
        <x:v>0</x:v>
      </x:c>
      <x:c r="AA154" s="141" t="n">
        <x:f>IF(AND(TRUE,Premissas!$B$11="Imovel",Premissas!$B$47="Investimento",$A154&gt;=MAX(Premissas!$B$48,Premissas!$B$49)),$E154,0)</x:f>
        <x:v>1287.805741974753</x:v>
      </x:c>
      <x:c r="AB154" s="141" t="n">
        <x:f>X154+Y154+Z154</x:f>
        <x:v>0</x:v>
      </x:c>
      <x:c r="AC154" s="141" t="n">
        <x:f>AA154</x:f>
        <x:v>1287.805741974753</x:v>
      </x:c>
      <x:c r="AD154" s="141" t="n">
        <x:f>$C154+AC154-AB154</x:f>
        <x:v>8287.805741974753</x:v>
      </x:c>
      <x:c r="AE154" s="141" t="n">
        <x:f>AH153*(1+Premissas!$B$41)+AD154</x:f>
        <x:v>2110650.8045111764</x:v>
      </x:c>
      <x:c r="AF154" s="141" t="n">
        <x:f>MAX(0,-AE154)</x:f>
        <x:v>0</x:v>
      </x:c>
      <x:c r="AG154" s="141" t="n">
        <x:f>AG153*(1+Premissas!$B$41)+AF154</x:f>
        <x:v>0</x:v>
      </x:c>
      <x:c r="AH154" s="141" t="n">
        <x:f>MAX(0,AE154)</x:f>
        <x:v>2110650.8045111764</x:v>
      </x:c>
      <x:c r="AI154" s="141" t="n">
        <x:f>IF(AND($A154&gt;=Premissas!$B$48,$A154-Premissas!$B$48+1&lt;=Premissas!$B$13),INDEX(Amortizacao!$L$6:$L$485,$A154-Premissas!$B$48+1),0)</x:f>
        <x:v>0</x:v>
      </x:c>
      <x:c r="AJ154" s="141" t="n">
        <x:f>IF($A154&gt;=Premissas!$B$48,$F154,0)</x:f>
        <x:v>412329.57783067867</x:v>
      </x:c>
      <x:c r="AK154" s="141" t="n">
        <x:f>AH154+AJ154-AI154</x:f>
        <x:v>2522980.382341855</x:v>
      </x:c>
      <x:c r="AL154" s="141" t="n">
        <x:f>IF(AG154&gt;1,"Inviavel",AK154)</x:f>
        <x:v>2522980.382341855</x:v>
      </x:c>
      <x:c r="AM154" s="141" t="str">
        <x:f>IF(AG154&gt;1,"Inviavel","OK")</x:f>
        <x:v>OK</x:v>
      </x:c>
      <x:c r="AN154" s="141" t="n">
        <x:f>IF($A154=Premissas!$B$48,Premissas!$B$8,0)</x:f>
        <x:v>0</x:v>
      </x:c>
      <x:c r="AO154" s="141" t="n">
        <x:f>IF($A154&lt;=Premissas!$B$25,INDEX('Consorcio IQ'!$K$6:$K$485,$A154),0)</x:f>
        <x:v>1147.8893832771146</x:v>
      </x:c>
      <x:c r="AP154" s="141" t="n">
        <x:f>IF(AND(TRUE,Premissas!$B$11="Imovel",Premissas!$B$47="Moradia",$A154&lt;MAX(Premissas!$B$48,Premissas!$B$49)),$D154,0)</x:f>
        <x:v>0</x:v>
      </x:c>
      <x:c r="AQ154" s="141" t="n">
        <x:f>IF(AND(TRUE,Premissas!$B$11="Imovel",Premissas!$B$47="Investimento",$A154&gt;=MAX(Premissas!$B$48,Premissas!$B$49)),$E154,0)</x:f>
        <x:v>1287.805741974753</x:v>
      </x:c>
      <x:c r="AR154" s="141" t="n">
        <x:f>AN154+AO154+AP154</x:f>
        <x:v>1147.8893832771146</x:v>
      </x:c>
      <x:c r="AS154" s="141" t="n">
        <x:f>AQ154</x:f>
        <x:v>1287.805741974753</x:v>
      </x:c>
      <x:c r="AT154" s="141" t="n">
        <x:f>$C154+AS154-AR154</x:f>
        <x:v>7139.916358697638</x:v>
      </x:c>
      <x:c r="AU154" s="141" t="n">
        <x:f>AX153*(1+Premissas!$B$41)+AT154</x:f>
        <x:v>2171217.35409269</x:v>
      </x:c>
      <x:c r="AV154" s="141" t="n">
        <x:f>MAX(0,-AU154)</x:f>
        <x:v>0</x:v>
      </x:c>
      <x:c r="AW154" s="141" t="n">
        <x:f>AW153*(1+Premissas!$B$41)+AV154</x:f>
        <x:v>0</x:v>
      </x:c>
      <x:c r="AX154" s="141" t="n">
        <x:f>MAX(0,AU154)</x:f>
        <x:v>2171217.35409269</x:v>
      </x:c>
      <x:c r="AY154" s="141" t="n">
        <x:f>INDEX('Consorcio IQ'!$P$6:$P$485,$A154)</x:f>
        <x:v>84171.2092626379</x:v>
      </x:c>
      <x:c r="AZ154" s="141" t="n">
        <x:f>IF($A154&gt;=Premissas!$B$48,$F154,0)+IF($A154&lt;Premissas!$B$27,INDEX('Consorcio IQ'!$O$6:$O$485,$A154),0)</x:f>
        <x:v>412329.57783067867</x:v>
      </x:c>
      <x:c r="BA154" s="141" t="n">
        <x:f>AX154+AZ154-AY154</x:f>
        <x:v>2499375.722660731</x:v>
      </x:c>
      <x:c r="BB154" s="141" t="n">
        <x:f>IF(AW154&gt;1,"Inviavel",BA154)</x:f>
        <x:v>2499375.722660731</x:v>
      </x:c>
      <x:c r="BC154" s="141" t="str">
        <x:f>IF(AW154&gt;1,"Inviavel","OK")</x:f>
        <x:v>OK</x:v>
      </x:c>
      <x:c r="BD154" s="141" t="n">
        <x:f>IF($A154='Consorcio Direto'!$B$29,'Consorcio Direto'!$B$44,0)</x:f>
        <x:v>0</x:v>
      </x:c>
      <x:c r="BE154" s="141" t="n">
        <x:f>IF($A154&lt;='Consorcio Direto'!$B$27,INDEX('Consorcio Direto'!$E$55:$E$534,$A154),0)</x:f>
        <x:v>2972.460434835085</x:v>
      </x:c>
      <x:c r="BF154" s="141" t="n">
        <x:f>IF(AND(TRUE,Premissas!$B$11="Imovel",Premissas!$B$47="Moradia",$A154&lt;MAX('Consorcio Direto'!$B$29,Premissas!$B$49)),$D154,0)</x:f>
        <x:v>0</x:v>
      </x:c>
      <x:c r="BG154" s="141" t="n">
        <x:f>IF(AND(TRUE,Premissas!$B$11="Imovel",Premissas!$B$47="Investimento",$A154&gt;=MAX('Consorcio Direto'!$B$29,Premissas!$B$49)),$E154,0)</x:f>
        <x:v>1287.805741974753</x:v>
      </x:c>
      <x:c r="BH154" s="141" t="n">
        <x:f>BD154+BE154+BF154</x:f>
        <x:v>2972.460434835085</x:v>
      </x:c>
      <x:c r="BI154" s="141" t="n">
        <x:f>BG154</x:f>
        <x:v>1287.805741974753</x:v>
      </x:c>
      <x:c r="BJ154" s="141" t="n">
        <x:f>$C154+BI154-BH154</x:f>
        <x:v>5315.345307139668</x:v>
      </x:c>
      <x:c r="BK154" s="141" t="n">
        <x:f>BN153*(1+Premissas!$B$41)+BJ154</x:f>
        <x:v>2177438.7836540835</x:v>
      </x:c>
      <x:c r="BL154" s="141" t="n">
        <x:f>MAX(0,-BK154)</x:f>
        <x:v>0</x:v>
      </x:c>
      <x:c r="BM154" s="141" t="n">
        <x:f>BM153*(1+Premissas!$B$41)+BL154</x:f>
        <x:v>0</x:v>
      </x:c>
      <x:c r="BN154" s="141" t="n">
        <x:f>MAX(0,BK154)</x:f>
        <x:v>2177438.7836540835</x:v>
      </x:c>
      <x:c r="BO154" s="141" t="n">
        <x:f>INDEX('Consorcio Direto'!$K$55:$K$534,$A154)</x:f>
        <x:v>217961.41068151602</x:v>
      </x:c>
      <x:c r="BP154" s="141" t="n">
        <x:f>IF($A154&lt;'Consorcio Direto'!$B$29,INDEX('Consorcio Direto'!$L$55:$L$534,$A154),$F154)</x:f>
        <x:v>412329.57783067867</x:v>
      </x:c>
      <x:c r="BQ154" s="141" t="n">
        <x:f>BN154+BP154-BO154</x:f>
        <x:v>2371806.9508032463</x:v>
      </x:c>
      <x:c r="BR154" s="141" t="n">
        <x:f>IF(BM154&gt;1,"Inviavel",BQ154)</x:f>
        <x:v>2371806.9508032463</x:v>
      </x:c>
      <x:c r="BS154" s="141" t="str">
        <x:f>IF(BM154&gt;1,"Inviavel","OK")</x:f>
        <x:v>OK</x:v>
      </x:c>
      <x:c r="BT154" s="141" t="n">
        <x:f>IF(AND('Carta Contemplada'!$B$22="Sim",$A154='Carta Contemplada'!$B$23),'Carta Contemplada'!$B$37,0)</x:f>
        <x:v>0</x:v>
      </x:c>
      <x:c r="BU154" s="141" t="n">
        <x:f>IF('Carta Contemplada'!$B$22="Sim",INDEX('Carta Contemplada'!$C$55:$C$1013,$A154),0)</x:f>
        <x:v>2414.6357662026617</x:v>
      </x:c>
      <x:c r="BV154" s="141" t="n">
        <x:f>IF(AND('Carta Contemplada'!$B$22="Sim",Premissas!$B$11="Imovel",Premissas!$B$47="Moradia",$A154&lt;MAX('Carta Contemplada'!$B$44,Premissas!$B$49)),$D154,0)</x:f>
        <x:v>0</x:v>
      </x:c>
      <x:c r="BW154" s="141" t="n">
        <x:f>IF(AND('Carta Contemplada'!$B$22="Sim",Premissas!$B$11="Imovel",Premissas!$B$47="Investimento",$A154&gt;=MAX('Carta Contemplada'!$B$44,Premissas!$B$49)),$E154,0)</x:f>
        <x:v>1287.805741974753</x:v>
      </x:c>
      <x:c r="BX154" s="141" t="n">
        <x:f>BT154+BU154+BV154</x:f>
        <x:v>2414.6357662026617</x:v>
      </x:c>
      <x:c r="BY154" s="141" t="n">
        <x:f>BW154</x:f>
        <x:v>1287.805741974753</x:v>
      </x:c>
      <x:c r="BZ154" s="141" t="n">
        <x:f>$C154+BY154-BX154</x:f>
        <x:v>5873.169975772091</x:v>
      </x:c>
      <x:c r="CA154" s="141" t="n">
        <x:f>CD153*(1+Premissas!$B$41)+BZ154</x:f>
        <x:v>2237350.3013730557</x:v>
      </x:c>
      <x:c r="CB154" s="141" t="n">
        <x:f>MAX(0,-CA154)</x:f>
        <x:v>0</x:v>
      </x:c>
      <x:c r="CC154" s="141" t="n">
        <x:f>CC153*(1+Premissas!$B$41)+CB154</x:f>
        <x:v>0</x:v>
      </x:c>
      <x:c r="CD154" s="141" t="n">
        <x:f>MAX(0,CA154)</x:f>
        <x:v>2237350.3013730557</x:v>
      </x:c>
      <x:c r="CE154" s="141" t="n">
        <x:f>IF(AND('Carta Contemplada'!$B$22="Sim",$A154&gt;='Carta Contemplada'!$B$23),INDEX('Carta Contemplada'!$I$55:$I$1013,$A154),0)</x:f>
        <x:v>67172.98124856324</x:v>
      </x:c>
      <x:c r="CF154" s="141" t="n">
        <x:f>IF(AND('Carta Contemplada'!$B$22="Sim",$A154&gt;='Carta Contemplada'!$B$44),$F154,0)</x:f>
        <x:v>412329.57783067867</x:v>
      </x:c>
      <x:c r="CG154" s="141" t="n">
        <x:f>CD154+CF154-CE154</x:f>
        <x:v>2582506.8979551713</x:v>
      </x:c>
      <x:c r="CH154" s="141" t="n">
        <x:f>IF(CC154&gt;1,"Inviavel",CG154)</x:f>
        <x:v>2582506.8979551713</x:v>
      </x:c>
      <x:c r="CI154" s="145" t="str">
        <x:f>IF(CC154&gt;1,"Inviavel","OK")</x:f>
        <x:v>OK</x:v>
      </x:c>
    </x:row>
    <x:row r="155">
      <x:c r="A155" s="142" t="n">
        <x:v>151</x:v>
      </x:c>
      <x:c r="B155" s="179" t="n">
        <x:f>EDATE(Premissas!$B$4,A155-1)</x:f>
        <x:v>51105</x:v>
      </x:c>
      <x:c r="C155" s="141" t="n">
        <x:f>IF(A155&lt;=Premissas!$B$39,Premissas!$B$42,0)</x:f>
        <x:v>7000</x:v>
      </x:c>
      <x:c r="D155" s="141" t="n">
        <x:f>Premissas!$B$54*(1+Premissas!$B$57)^INT((A155-1)/12)</x:f>
        <x:v>1408.537530284886</x:v>
      </x:c>
      <x:c r="E155" s="141" t="n">
        <x:f>Premissas!$B$64*(1+Premissas!$B$57)^INT((A155-1)/12)</x:f>
        <x:v>1287.805741974753</x:v>
      </x:c>
      <x:c r="F155" s="141" t="n">
        <x:f>MAX(0,Premissas!$B$6*(1+Premissas!$B$66)^((A155-1)/12))</x:f>
        <x:v>414336.6129003561</x:v>
      </x:c>
      <x:c r="G155" s="141" t="n">
        <x:f>G154*(1+Premissas!$B$41)+C155</x:f>
        <x:v>2703901.4429400982</x:v>
      </x:c>
      <x:c r="H155" s="141" t="n">
        <x:f>IF($A155=Premissas!$B$48,Premissas!$B$8,0)</x:f>
        <x:v>0</x:v>
      </x:c>
      <x:c r="I155" s="141" t="n">
        <x:f>IF(AND($A155&gt;=Premissas!$B$48,$A155-Premissas!$B$48+1&lt;=Premissas!$B$13),INDEX(Financiamento!$J$6:$J$485,$A155-Premissas!$B$48+1),0)</x:f>
        <x:v>1506.9425113666393</x:v>
      </x:c>
      <x:c r="J155" s="141" t="n">
        <x:f>IF(AND(TRUE,Premissas!$B$11="Imovel",Premissas!$B$47="Moradia",$A155&lt;MAX(Premissas!$B$48,Premissas!$B$49)),$D155,0)</x:f>
        <x:v>0</x:v>
      </x:c>
      <x:c r="K155" s="141" t="n">
        <x:f>IF(AND(TRUE,Premissas!$B$11="Imovel",Premissas!$B$47="Investimento",$A155&gt;=MAX(Premissas!$B$48,Premissas!$B$49)),$E155,0)</x:f>
        <x:v>1287.805741974753</x:v>
      </x:c>
      <x:c r="L155" s="141" t="n">
        <x:f>H155+I155+J155</x:f>
        <x:v>1506.9425113666393</x:v>
      </x:c>
      <x:c r="M155" s="141" t="n">
        <x:f>K155</x:f>
        <x:v>1287.805741974753</x:v>
      </x:c>
      <x:c r="N155" s="141" t="n">
        <x:f>$C155+M155-L155</x:f>
        <x:v>6780.863230608114</x:v>
      </x:c>
      <x:c r="O155" s="141" t="n">
        <x:f>R154*(1+Premissas!$B$41)+N155</x:f>
        <x:v>2206262.6221842687</x:v>
      </x:c>
      <x:c r="P155" s="141" t="n">
        <x:f>MAX(0,-O155)</x:f>
        <x:v>0</x:v>
      </x:c>
      <x:c r="Q155" s="141" t="n">
        <x:f>Q154*(1+Premissas!$B$41)+P155</x:f>
        <x:v>0</x:v>
      </x:c>
      <x:c r="R155" s="141" t="n">
        <x:f>MAX(0,O155)</x:f>
        <x:v>2206262.6221842687</x:v>
      </x:c>
      <x:c r="S155" s="141" t="n">
        <x:f>IF(AND($A155&gt;=Premissas!$B$48,$A155-Premissas!$B$48+1&lt;=Premissas!$B$13),INDEX(Financiamento!$M$6:$M$485,$A155-Premissas!$B$48+1),0)</x:f>
        <x:v>102476.19047619065</x:v>
      </x:c>
      <x:c r="T155" s="141" t="n">
        <x:f>IF($A155&gt;=Premissas!$B$48,$F155,0)</x:f>
        <x:v>414336.6129003561</x:v>
      </x:c>
      <x:c r="U155" s="141" t="n">
        <x:f>R155+T155-S155</x:f>
        <x:v>2518123.044608434</x:v>
      </x:c>
      <x:c r="V155" s="141" t="n">
        <x:f>IF(Q155&gt;1,"Inviavel",U155)</x:f>
        <x:v>2518123.044608434</x:v>
      </x:c>
      <x:c r="W155" s="141" t="str">
        <x:f>IF(Q155&gt;1,"Inviavel","OK")</x:f>
        <x:v>OK</x:v>
      </x:c>
      <x:c r="X155" s="141" t="n">
        <x:f>IF($A155=Premissas!$B$48,Premissas!$B$8,0)</x:f>
        <x:v>0</x:v>
      </x:c>
      <x:c r="Y155" s="141" t="n">
        <x:f>IF(AND($A155&gt;=Premissas!$B$48,$A155-Premissas!$B$48+1&lt;=Premissas!$B$13),INDEX(Amortizacao!$K$6:$K$485,$A155-Premissas!$B$48+1),0)</x:f>
        <x:v>0</x:v>
      </x:c>
      <x:c r="Z155" s="141" t="n">
        <x:f>IF(AND(TRUE,Premissas!$B$11="Imovel",Premissas!$B$47="Moradia",$A155&lt;MAX(Premissas!$B$48,Premissas!$B$49)),$D155,0)</x:f>
        <x:v>0</x:v>
      </x:c>
      <x:c r="AA155" s="141" t="n">
        <x:f>IF(AND(TRUE,Premissas!$B$11="Imovel",Premissas!$B$47="Investimento",$A155&gt;=MAX(Premissas!$B$48,Premissas!$B$49)),$E155,0)</x:f>
        <x:v>1287.805741974753</x:v>
      </x:c>
      <x:c r="AB155" s="141" t="n">
        <x:f>X155+Y155+Z155</x:f>
        <x:v>0</x:v>
      </x:c>
      <x:c r="AC155" s="141" t="n">
        <x:f>AA155</x:f>
        <x:v>1287.805741974753</x:v>
      </x:c>
      <x:c r="AD155" s="141" t="n">
        <x:f>$C155+AC155-AB155</x:f>
        <x:v>8287.805741974753</x:v>
      </x:c>
      <x:c r="AE155" s="141" t="n">
        <x:f>AH154*(1+Premissas!$B$41)+AD155</x:f>
        <x:v>2138966.138694369</x:v>
      </x:c>
      <x:c r="AF155" s="141" t="n">
        <x:f>MAX(0,-AE155)</x:f>
        <x:v>0</x:v>
      </x:c>
      <x:c r="AG155" s="141" t="n">
        <x:f>AG154*(1+Premissas!$B$41)+AF155</x:f>
        <x:v>0</x:v>
      </x:c>
      <x:c r="AH155" s="141" t="n">
        <x:f>MAX(0,AE155)</x:f>
        <x:v>2138966.138694369</x:v>
      </x:c>
      <x:c r="AI155" s="141" t="n">
        <x:f>IF(AND($A155&gt;=Premissas!$B$48,$A155-Premissas!$B$48+1&lt;=Premissas!$B$13),INDEX(Amortizacao!$L$6:$L$485,$A155-Premissas!$B$48+1),0)</x:f>
        <x:v>0</x:v>
      </x:c>
      <x:c r="AJ155" s="141" t="n">
        <x:f>IF($A155&gt;=Premissas!$B$48,$F155,0)</x:f>
        <x:v>414336.6129003561</x:v>
      </x:c>
      <x:c r="AK155" s="141" t="n">
        <x:f>AH155+AJ155-AI155</x:f>
        <x:v>2553302.751594725</x:v>
      </x:c>
      <x:c r="AL155" s="141" t="n">
        <x:f>IF(AG155&gt;1,"Inviavel",AK155)</x:f>
        <x:v>2553302.751594725</x:v>
      </x:c>
      <x:c r="AM155" s="141" t="str">
        <x:f>IF(AG155&gt;1,"Inviavel","OK")</x:f>
        <x:v>OK</x:v>
      </x:c>
      <x:c r="AN155" s="141" t="n">
        <x:f>IF($A155=Premissas!$B$48,Premissas!$B$8,0)</x:f>
        <x:v>0</x:v>
      </x:c>
      <x:c r="AO155" s="141" t="n">
        <x:f>IF($A155&lt;=Premissas!$B$25,INDEX('Consorcio IQ'!$K$6:$K$485,$A155),0)</x:f>
        <x:v>1147.8893832771146</x:v>
      </x:c>
      <x:c r="AP155" s="141" t="n">
        <x:f>IF(AND(TRUE,Premissas!$B$11="Imovel",Premissas!$B$47="Moradia",$A155&lt;MAX(Premissas!$B$48,Premissas!$B$49)),$D155,0)</x:f>
        <x:v>0</x:v>
      </x:c>
      <x:c r="AQ155" s="141" t="n">
        <x:f>IF(AND(TRUE,Premissas!$B$11="Imovel",Premissas!$B$47="Investimento",$A155&gt;=MAX(Premissas!$B$48,Premissas!$B$49)),$E155,0)</x:f>
        <x:v>1287.805741974753</x:v>
      </x:c>
      <x:c r="AR155" s="141" t="n">
        <x:f>AN155+AO155+AP155</x:f>
        <x:v>1147.8893832771146</x:v>
      </x:c>
      <x:c r="AS155" s="141" t="n">
        <x:f>AQ155</x:f>
        <x:v>1287.805741974753</x:v>
      </x:c>
      <x:c r="AT155" s="141" t="n">
        <x:f>$C155+AS155-AR155</x:f>
        <x:v>7139.916358697638</x:v>
      </x:c>
      <x:c r="AU155" s="141" t="n">
        <x:f>AX154*(1+Premissas!$B$41)+AT155</x:f>
        <x:v>2198959.5023403466</x:v>
      </x:c>
      <x:c r="AV155" s="141" t="n">
        <x:f>MAX(0,-AU155)</x:f>
        <x:v>0</x:v>
      </x:c>
      <x:c r="AW155" s="141" t="n">
        <x:f>AW154*(1+Premissas!$B$41)+AV155</x:f>
        <x:v>0</x:v>
      </x:c>
      <x:c r="AX155" s="141" t="n">
        <x:f>MAX(0,AU155)</x:f>
        <x:v>2198959.5023403466</x:v>
      </x:c>
      <x:c r="AY155" s="141" t="n">
        <x:f>INDEX('Consorcio IQ'!$P$6:$P$485,$A155)</x:f>
        <x:v>83822.00305510742</x:v>
      </x:c>
      <x:c r="AZ155" s="141" t="n">
        <x:f>IF($A155&gt;=Premissas!$B$48,$F155,0)+IF($A155&lt;Premissas!$B$27,INDEX('Consorcio IQ'!$O$6:$O$485,$A155),0)</x:f>
        <x:v>414336.6129003561</x:v>
      </x:c>
      <x:c r="BA155" s="141" t="n">
        <x:f>AX155+AZ155-AY155</x:f>
        <x:v>2529474.1121855956</x:v>
      </x:c>
      <x:c r="BB155" s="141" t="n">
        <x:f>IF(AW155&gt;1,"Inviavel",BA155)</x:f>
        <x:v>2529474.1121855956</x:v>
      </x:c>
      <x:c r="BC155" s="141" t="str">
        <x:f>IF(AW155&gt;1,"Inviavel","OK")</x:f>
        <x:v>OK</x:v>
      </x:c>
      <x:c r="BD155" s="141" t="n">
        <x:f>IF($A155='Consorcio Direto'!$B$29,'Consorcio Direto'!$B$44,0)</x:f>
        <x:v>0</x:v>
      </x:c>
      <x:c r="BE155" s="141" t="n">
        <x:f>IF($A155&lt;='Consorcio Direto'!$B$27,INDEX('Consorcio Direto'!$E$55:$E$534,$A155),0)</x:f>
        <x:v>2972.460434835085</x:v>
      </x:c>
      <x:c r="BF155" s="141" t="n">
        <x:f>IF(AND(TRUE,Premissas!$B$11="Imovel",Premissas!$B$47="Moradia",$A155&lt;MAX('Consorcio Direto'!$B$29,Premissas!$B$49)),$D155,0)</x:f>
        <x:v>0</x:v>
      </x:c>
      <x:c r="BG155" s="141" t="n">
        <x:f>IF(AND(TRUE,Premissas!$B$11="Imovel",Premissas!$B$47="Investimento",$A155&gt;=MAX('Consorcio Direto'!$B$29,Premissas!$B$49)),$E155,0)</x:f>
        <x:v>1287.805741974753</x:v>
      </x:c>
      <x:c r="BH155" s="141" t="n">
        <x:f>BD155+BE155+BF155</x:f>
        <x:v>2972.460434835085</x:v>
      </x:c>
      <x:c r="BI155" s="141" t="n">
        <x:f>BG155</x:f>
        <x:v>1287.805741974753</x:v>
      </x:c>
      <x:c r="BJ155" s="141" t="n">
        <x:f>$C155+BI155-BH155</x:f>
        <x:v>5315.345307139668</x:v>
      </x:c>
      <x:c r="BK155" s="141" t="n">
        <x:f>BN154*(1+Premissas!$B$41)+BJ155</x:f>
        <x:v>2203415.394707047</x:v>
      </x:c>
      <x:c r="BL155" s="141" t="n">
        <x:f>MAX(0,-BK155)</x:f>
        <x:v>0</x:v>
      </x:c>
      <x:c r="BM155" s="141" t="n">
        <x:f>BM154*(1+Premissas!$B$41)+BL155</x:f>
        <x:v>0</x:v>
      </x:c>
      <x:c r="BN155" s="141" t="n">
        <x:f>MAX(0,BK155)</x:f>
        <x:v>2203415.394707047</x:v>
      </x:c>
      <x:c r="BO155" s="141" t="n">
        <x:f>INDEX('Consorcio Direto'!$K$55:$K$534,$A155)</x:f>
        <x:v>217057.14094036745</x:v>
      </x:c>
      <x:c r="BP155" s="141" t="n">
        <x:f>IF($A155&lt;'Consorcio Direto'!$B$29,INDEX('Consorcio Direto'!$L$55:$L$534,$A155),$F155)</x:f>
        <x:v>414336.6129003561</x:v>
      </x:c>
      <x:c r="BQ155" s="141" t="n">
        <x:f>BN155+BP155-BO155</x:f>
        <x:v>2400694.866667036</x:v>
      </x:c>
      <x:c r="BR155" s="141" t="n">
        <x:f>IF(BM155&gt;1,"Inviavel",BQ155)</x:f>
        <x:v>2400694.866667036</x:v>
      </x:c>
      <x:c r="BS155" s="141" t="str">
        <x:f>IF(BM155&gt;1,"Inviavel","OK")</x:f>
        <x:v>OK</x:v>
      </x:c>
      <x:c r="BT155" s="141" t="n">
        <x:f>IF(AND('Carta Contemplada'!$B$22="Sim",$A155='Carta Contemplada'!$B$23),'Carta Contemplada'!$B$37,0)</x:f>
        <x:v>0</x:v>
      </x:c>
      <x:c r="BU155" s="141" t="n">
        <x:f>IF('Carta Contemplada'!$B$22="Sim",INDEX('Carta Contemplada'!$C$55:$C$1013,$A155),0)</x:f>
        <x:v>2414.6357662026617</x:v>
      </x:c>
      <x:c r="BV155" s="141" t="n">
        <x:f>IF(AND('Carta Contemplada'!$B$22="Sim",Premissas!$B$11="Imovel",Premissas!$B$47="Moradia",$A155&lt;MAX('Carta Contemplada'!$B$44,Premissas!$B$49)),$D155,0)</x:f>
        <x:v>0</x:v>
      </x:c>
      <x:c r="BW155" s="141" t="n">
        <x:f>IF(AND('Carta Contemplada'!$B$22="Sim",Premissas!$B$11="Imovel",Premissas!$B$47="Investimento",$A155&gt;=MAX('Carta Contemplada'!$B$44,Premissas!$B$49)),$E155,0)</x:f>
        <x:v>1287.805741974753</x:v>
      </x:c>
      <x:c r="BX155" s="141" t="n">
        <x:f>BT155+BU155+BV155</x:f>
        <x:v>2414.6357662026617</x:v>
      </x:c>
      <x:c r="BY155" s="141" t="n">
        <x:f>BW155</x:f>
        <x:v>1287.805741974753</x:v>
      </x:c>
      <x:c r="BZ155" s="141" t="n">
        <x:f>$C155+BY155-BX155</x:f>
        <x:v>5873.169975772091</x:v>
      </x:c>
      <x:c r="CA155" s="141" t="n">
        <x:f>CD154*(1+Premissas!$B$41)+BZ155</x:f>
        <x:v>2264453.225080684</x:v>
      </x:c>
      <x:c r="CB155" s="141" t="n">
        <x:f>MAX(0,-CA155)</x:f>
        <x:v>0</x:v>
      </x:c>
      <x:c r="CC155" s="141" t="n">
        <x:f>CC154*(1+Premissas!$B$41)+CB155</x:f>
        <x:v>0</x:v>
      </x:c>
      <x:c r="CD155" s="141" t="n">
        <x:f>MAX(0,CA155)</x:f>
        <x:v>2264453.225080684</x:v>
      </x:c>
      <x:c r="CE155" s="141" t="n">
        <x:f>IF(AND('Carta Contemplada'!$B$22="Sim",$A155&gt;='Carta Contemplada'!$B$23),INDEX('Carta Contemplada'!$I$55:$I$1013,$A155),0)</x:f>
        <x:v>65395.73599222683</x:v>
      </x:c>
      <x:c r="CF155" s="141" t="n">
        <x:f>IF(AND('Carta Contemplada'!$B$22="Sim",$A155&gt;='Carta Contemplada'!$B$44),$F155,0)</x:f>
        <x:v>414336.6129003561</x:v>
      </x:c>
      <x:c r="CG155" s="141" t="n">
        <x:f>CD155+CF155-CE155</x:f>
        <x:v>2613394.1019888134</x:v>
      </x:c>
      <x:c r="CH155" s="141" t="n">
        <x:f>IF(CC155&gt;1,"Inviavel",CG155)</x:f>
        <x:v>2613394.1019888134</x:v>
      </x:c>
      <x:c r="CI155" s="145" t="str">
        <x:f>IF(CC155&gt;1,"Inviavel","OK")</x:f>
        <x:v>OK</x:v>
      </x:c>
    </x:row>
    <x:row r="156">
      <x:c r="A156" s="142" t="n">
        <x:v>152</x:v>
      </x:c>
      <x:c r="B156" s="179" t="n">
        <x:f>EDATE(Premissas!$B$4,A156-1)</x:f>
        <x:v>51136</x:v>
      </x:c>
      <x:c r="C156" s="141" t="n">
        <x:f>IF(A156&lt;=Premissas!$B$39,Premissas!$B$42,0)</x:f>
        <x:v>7000</x:v>
      </x:c>
      <x:c r="D156" s="141" t="n">
        <x:f>Premissas!$B$54*(1+Premissas!$B$57)^INT((A156-1)/12)</x:f>
        <x:v>1408.537530284886</x:v>
      </x:c>
      <x:c r="E156" s="141" t="n">
        <x:f>Premissas!$B$64*(1+Premissas!$B$57)^INT((A156-1)/12)</x:f>
        <x:v>1287.805741974753</x:v>
      </x:c>
      <x:c r="F156" s="141" t="n">
        <x:f>MAX(0,Premissas!$B$6*(1+Premissas!$B$66)^((A156-1)/12))</x:f>
        <x:v>416353.4173147216</x:v>
      </x:c>
      <x:c r="G156" s="141" t="n">
        <x:f>G155*(1+Premissas!$B$41)+C156</x:f>
        <x:v>2736558.203847677</x:v>
      </x:c>
      <x:c r="H156" s="141" t="n">
        <x:f>IF($A156=Premissas!$B$48,Premissas!$B$8,0)</x:f>
        <x:v>0</x:v>
      </x:c>
      <x:c r="I156" s="141" t="n">
        <x:f>IF(AND($A156&gt;=Premissas!$B$48,$A156-Premissas!$B$48+1&lt;=Premissas!$B$13),INDEX(Financiamento!$J$6:$J$485,$A156-Premissas!$B$48+1),0)</x:f>
        <x:v>1503.3277331058457</x:v>
      </x:c>
      <x:c r="J156" s="141" t="n">
        <x:f>IF(AND(TRUE,Premissas!$B$11="Imovel",Premissas!$B$47="Moradia",$A156&lt;MAX(Premissas!$B$48,Premissas!$B$49)),$D156,0)</x:f>
        <x:v>0</x:v>
      </x:c>
      <x:c r="K156" s="141" t="n">
        <x:f>IF(AND(TRUE,Premissas!$B$11="Imovel",Premissas!$B$47="Investimento",$A156&gt;=MAX(Premissas!$B$48,Premissas!$B$49)),$E156,0)</x:f>
        <x:v>1287.805741974753</x:v>
      </x:c>
      <x:c r="L156" s="141" t="n">
        <x:f>H156+I156+J156</x:f>
        <x:v>1503.3277331058457</x:v>
      </x:c>
      <x:c r="M156" s="141" t="n">
        <x:f>K156</x:f>
        <x:v>1287.805741974753</x:v>
      </x:c>
      <x:c r="N156" s="141" t="n">
        <x:f>$C156+M156-L156</x:f>
        <x:v>6784.478008868908</x:v>
      </x:c>
      <x:c r="O156" s="141" t="n">
        <x:f>R155*(1+Premissas!$B$41)+N156</x:f>
        <x:v>2233981.8693743544</x:v>
      </x:c>
      <x:c r="P156" s="141" t="n">
        <x:f>MAX(0,-O156)</x:f>
        <x:v>0</x:v>
      </x:c>
      <x:c r="Q156" s="141" t="n">
        <x:f>Q155*(1+Premissas!$B$41)+P156</x:f>
        <x:v>0</x:v>
      </x:c>
      <x:c r="R156" s="141" t="n">
        <x:f>MAX(0,O156)</x:f>
        <x:v>2233981.8693743544</x:v>
      </x:c>
      <x:c r="S156" s="141" t="n">
        <x:f>IF(AND($A156&gt;=Premissas!$B$48,$A156-Premissas!$B$48+1&lt;=Premissas!$B$13),INDEX(Financiamento!$M$6:$M$485,$A156-Premissas!$B$48+1),0)</x:f>
        <x:v>102095.23809523827</x:v>
      </x:c>
      <x:c r="T156" s="141" t="n">
        <x:f>IF($A156&gt;=Premissas!$B$48,$F156,0)</x:f>
        <x:v>416353.4173147216</x:v>
      </x:c>
      <x:c r="U156" s="141" t="n">
        <x:f>R156+T156-S156</x:f>
        <x:v>2548240.048593838</x:v>
      </x:c>
      <x:c r="V156" s="141" t="n">
        <x:f>IF(Q156&gt;1,"Inviavel",U156)</x:f>
        <x:v>2548240.048593838</x:v>
      </x:c>
      <x:c r="W156" s="141" t="str">
        <x:f>IF(Q156&gt;1,"Inviavel","OK")</x:f>
        <x:v>OK</x:v>
      </x:c>
      <x:c r="X156" s="141" t="n">
        <x:f>IF($A156=Premissas!$B$48,Premissas!$B$8,0)</x:f>
        <x:v>0</x:v>
      </x:c>
      <x:c r="Y156" s="141" t="n">
        <x:f>IF(AND($A156&gt;=Premissas!$B$48,$A156-Premissas!$B$48+1&lt;=Premissas!$B$13),INDEX(Amortizacao!$K$6:$K$485,$A156-Premissas!$B$48+1),0)</x:f>
        <x:v>0</x:v>
      </x:c>
      <x:c r="Z156" s="141" t="n">
        <x:f>IF(AND(TRUE,Premissas!$B$11="Imovel",Premissas!$B$47="Moradia",$A156&lt;MAX(Premissas!$B$48,Premissas!$B$49)),$D156,0)</x:f>
        <x:v>0</x:v>
      </x:c>
      <x:c r="AA156" s="141" t="n">
        <x:f>IF(AND(TRUE,Premissas!$B$11="Imovel",Premissas!$B$47="Investimento",$A156&gt;=MAX(Premissas!$B$48,Premissas!$B$49)),$E156,0)</x:f>
        <x:v>1287.805741974753</x:v>
      </x:c>
      <x:c r="AB156" s="141" t="n">
        <x:f>X156+Y156+Z156</x:f>
        <x:v>0</x:v>
      </x:c>
      <x:c r="AC156" s="141" t="n">
        <x:f>AA156</x:f>
        <x:v>1287.805741974753</x:v>
      </x:c>
      <x:c r="AD156" s="141" t="n">
        <x:f>$C156+AC156-AB156</x:f>
        <x:v>8287.805741974753</x:v>
      </x:c>
      <x:c r="AE156" s="141" t="n">
        <x:f>AH155*(1+Premissas!$B$41)+AD156</x:f>
        <x:v>2167550.151220499</x:v>
      </x:c>
      <x:c r="AF156" s="141" t="n">
        <x:f>MAX(0,-AE156)</x:f>
        <x:v>0</x:v>
      </x:c>
      <x:c r="AG156" s="141" t="n">
        <x:f>AG155*(1+Premissas!$B$41)+AF156</x:f>
        <x:v>0</x:v>
      </x:c>
      <x:c r="AH156" s="141" t="n">
        <x:f>MAX(0,AE156)</x:f>
        <x:v>2167550.151220499</x:v>
      </x:c>
      <x:c r="AI156" s="141" t="n">
        <x:f>IF(AND($A156&gt;=Premissas!$B$48,$A156-Premissas!$B$48+1&lt;=Premissas!$B$13),INDEX(Amortizacao!$L$6:$L$485,$A156-Premissas!$B$48+1),0)</x:f>
        <x:v>0</x:v>
      </x:c>
      <x:c r="AJ156" s="141" t="n">
        <x:f>IF($A156&gt;=Premissas!$B$48,$F156,0)</x:f>
        <x:v>416353.4173147216</x:v>
      </x:c>
      <x:c r="AK156" s="141" t="n">
        <x:f>AH156+AJ156-AI156</x:f>
        <x:v>2583903.568535221</x:v>
      </x:c>
      <x:c r="AL156" s="141" t="n">
        <x:f>IF(AG156&gt;1,"Inviavel",AK156)</x:f>
        <x:v>2583903.568535221</x:v>
      </x:c>
      <x:c r="AM156" s="141" t="str">
        <x:f>IF(AG156&gt;1,"Inviavel","OK")</x:f>
        <x:v>OK</x:v>
      </x:c>
      <x:c r="AN156" s="141" t="n">
        <x:f>IF($A156=Premissas!$B$48,Premissas!$B$8,0)</x:f>
        <x:v>0</x:v>
      </x:c>
      <x:c r="AO156" s="141" t="n">
        <x:f>IF($A156&lt;=Premissas!$B$25,INDEX('Consorcio IQ'!$K$6:$K$485,$A156),0)</x:f>
        <x:v>1147.8893832771146</x:v>
      </x:c>
      <x:c r="AP156" s="141" t="n">
        <x:f>IF(AND(TRUE,Premissas!$B$11="Imovel",Premissas!$B$47="Moradia",$A156&lt;MAX(Premissas!$B$48,Premissas!$B$49)),$D156,0)</x:f>
        <x:v>0</x:v>
      </x:c>
      <x:c r="AQ156" s="141" t="n">
        <x:f>IF(AND(TRUE,Premissas!$B$11="Imovel",Premissas!$B$47="Investimento",$A156&gt;=MAX(Premissas!$B$48,Premissas!$B$49)),$E156,0)</x:f>
        <x:v>1287.805741974753</x:v>
      </x:c>
      <x:c r="AR156" s="141" t="n">
        <x:f>AN156+AO156+AP156</x:f>
        <x:v>1147.8893832771146</x:v>
      </x:c>
      <x:c r="AS156" s="141" t="n">
        <x:f>AQ156</x:f>
        <x:v>1287.805741974753</x:v>
      </x:c>
      <x:c r="AT156" s="141" t="n">
        <x:f>$C156+AS156-AR156</x:f>
        <x:v>7139.916358697638</x:v>
      </x:c>
      <x:c r="AU156" s="141" t="n">
        <x:f>AX155*(1+Premissas!$B$41)+AT156</x:f>
        <x:v>2226964.890088286</x:v>
      </x:c>
      <x:c r="AV156" s="141" t="n">
        <x:f>MAX(0,-AU156)</x:f>
        <x:v>0</x:v>
      </x:c>
      <x:c r="AW156" s="141" t="n">
        <x:f>AW155*(1+Premissas!$B$41)+AV156</x:f>
        <x:v>0</x:v>
      </x:c>
      <x:c r="AX156" s="141" t="n">
        <x:f>MAX(0,AU156)</x:f>
        <x:v>2226964.890088286</x:v>
      </x:c>
      <x:c r="AY156" s="141" t="n">
        <x:f>INDEX('Consorcio IQ'!$P$6:$P$485,$A156)</x:f>
        <x:v>83469.4833021822</x:v>
      </x:c>
      <x:c r="AZ156" s="141" t="n">
        <x:f>IF($A156&gt;=Premissas!$B$48,$F156,0)+IF($A156&lt;Premissas!$B$27,INDEX('Consorcio IQ'!$O$6:$O$485,$A156),0)</x:f>
        <x:v>416353.4173147216</x:v>
      </x:c>
      <x:c r="BA156" s="141" t="n">
        <x:f>AX156+AZ156-AY156</x:f>
        <x:v>2559848.8241008255</x:v>
      </x:c>
      <x:c r="BB156" s="141" t="n">
        <x:f>IF(AW156&gt;1,"Inviavel",BA156)</x:f>
        <x:v>2559848.8241008255</x:v>
      </x:c>
      <x:c r="BC156" s="141" t="str">
        <x:f>IF(AW156&gt;1,"Inviavel","OK")</x:f>
        <x:v>OK</x:v>
      </x:c>
      <x:c r="BD156" s="141" t="n">
        <x:f>IF($A156='Consorcio Direto'!$B$29,'Consorcio Direto'!$B$44,0)</x:f>
        <x:v>0</x:v>
      </x:c>
      <x:c r="BE156" s="141" t="n">
        <x:f>IF($A156&lt;='Consorcio Direto'!$B$27,INDEX('Consorcio Direto'!$E$55:$E$534,$A156),0)</x:f>
        <x:v>2972.460434835085</x:v>
      </x:c>
      <x:c r="BF156" s="141" t="n">
        <x:f>IF(AND(TRUE,Premissas!$B$11="Imovel",Premissas!$B$47="Moradia",$A156&lt;MAX('Consorcio Direto'!$B$29,Premissas!$B$49)),$D156,0)</x:f>
        <x:v>0</x:v>
      </x:c>
      <x:c r="BG156" s="141" t="n">
        <x:f>IF(AND(TRUE,Premissas!$B$11="Imovel",Premissas!$B$47="Investimento",$A156&gt;=MAX('Consorcio Direto'!$B$29,Premissas!$B$49)),$E156,0)</x:f>
        <x:v>1287.805741974753</x:v>
      </x:c>
      <x:c r="BH156" s="141" t="n">
        <x:f>BD156+BE156+BF156</x:f>
        <x:v>2972.460434835085</x:v>
      </x:c>
      <x:c r="BI156" s="141" t="n">
        <x:f>BG156</x:f>
        <x:v>1287.805741974753</x:v>
      </x:c>
      <x:c r="BJ156" s="141" t="n">
        <x:f>$C156+BI156-BH156</x:f>
        <x:v>5315.345307139668</x:v>
      </x:c>
      <x:c r="BK156" s="141" t="n">
        <x:f>BN155*(1+Premissas!$B$41)+BJ156</x:f>
        <x:v>2229638.4924434344</x:v>
      </x:c>
      <x:c r="BL156" s="141" t="n">
        <x:f>MAX(0,-BK156)</x:f>
        <x:v>0</x:v>
      </x:c>
      <x:c r="BM156" s="141" t="n">
        <x:f>BM155*(1+Premissas!$B$41)+BL156</x:f>
        <x:v>0</x:v>
      </x:c>
      <x:c r="BN156" s="141" t="n">
        <x:f>MAX(0,BK156)</x:f>
        <x:v>2229638.4924434344</x:v>
      </x:c>
      <x:c r="BO156" s="141" t="n">
        <x:f>INDEX('Consorcio Direto'!$K$55:$K$534,$A156)</x:f>
        <x:v>216144.29077088812</x:v>
      </x:c>
      <x:c r="BP156" s="141" t="n">
        <x:f>IF($A156&lt;'Consorcio Direto'!$B$29,INDEX('Consorcio Direto'!$L$55:$L$534,$A156),$F156)</x:f>
        <x:v>416353.4173147216</x:v>
      </x:c>
      <x:c r="BQ156" s="141" t="n">
        <x:f>BN156+BP156-BO156</x:f>
        <x:v>2429847.618987268</x:v>
      </x:c>
      <x:c r="BR156" s="141" t="n">
        <x:f>IF(BM156&gt;1,"Inviavel",BQ156)</x:f>
        <x:v>2429847.618987268</x:v>
      </x:c>
      <x:c r="BS156" s="141" t="str">
        <x:f>IF(BM156&gt;1,"Inviavel","OK")</x:f>
        <x:v>OK</x:v>
      </x:c>
      <x:c r="BT156" s="141" t="n">
        <x:f>IF(AND('Carta Contemplada'!$B$22="Sim",$A156='Carta Contemplada'!$B$23),'Carta Contemplada'!$B$37,0)</x:f>
        <x:v>0</x:v>
      </x:c>
      <x:c r="BU156" s="141" t="n">
        <x:f>IF('Carta Contemplada'!$B$22="Sim",INDEX('Carta Contemplada'!$C$55:$C$1013,$A156),0)</x:f>
        <x:v>2414.6357662026617</x:v>
      </x:c>
      <x:c r="BV156" s="141" t="n">
        <x:f>IF(AND('Carta Contemplada'!$B$22="Sim",Premissas!$B$11="Imovel",Premissas!$B$47="Moradia",$A156&lt;MAX('Carta Contemplada'!$B$44,Premissas!$B$49)),$D156,0)</x:f>
        <x:v>0</x:v>
      </x:c>
      <x:c r="BW156" s="141" t="n">
        <x:f>IF(AND('Carta Contemplada'!$B$22="Sim",Premissas!$B$11="Imovel",Premissas!$B$47="Investimento",$A156&gt;=MAX('Carta Contemplada'!$B$44,Premissas!$B$49)),$E156,0)</x:f>
        <x:v>1287.805741974753</x:v>
      </x:c>
      <x:c r="BX156" s="141" t="n">
        <x:f>BT156+BU156+BV156</x:f>
        <x:v>2414.6357662026617</x:v>
      </x:c>
      <x:c r="BY156" s="141" t="n">
        <x:f>BW156</x:f>
        <x:v>1287.805741974753</x:v>
      </x:c>
      <x:c r="BZ156" s="141" t="n">
        <x:f>$C156+BY156-BX156</x:f>
        <x:v>5873.169975772091</x:v>
      </x:c>
      <x:c r="CA156" s="141" t="n">
        <x:f>CD155*(1+Premissas!$B$41)+BZ156</x:f>
        <x:v>2291813.3228192953</x:v>
      </x:c>
      <x:c r="CB156" s="141" t="n">
        <x:f>MAX(0,-CA156)</x:f>
        <x:v>0</x:v>
      </x:c>
      <x:c r="CC156" s="141" t="n">
        <x:f>CC155*(1+Premissas!$B$41)+CB156</x:f>
        <x:v>0</x:v>
      </x:c>
      <x:c r="CD156" s="141" t="n">
        <x:f>MAX(0,CA156)</x:f>
        <x:v>2291813.3228192953</x:v>
      </x:c>
      <x:c r="CE156" s="141" t="n">
        <x:f>IF(AND('Carta Contemplada'!$B$22="Sim",$A156&gt;='Carta Contemplada'!$B$23),INDEX('Carta Contemplada'!$I$55:$I$1013,$A156),0)</x:f>
        <x:v>63601.62682365907</x:v>
      </x:c>
      <x:c r="CF156" s="141" t="n">
        <x:f>IF(AND('Carta Contemplada'!$B$22="Sim",$A156&gt;='Carta Contemplada'!$B$44),$F156,0)</x:f>
        <x:v>416353.4173147216</x:v>
      </x:c>
      <x:c r="CG156" s="141" t="n">
        <x:f>CD156+CF156-CE156</x:f>
        <x:v>2644565.113310358</x:v>
      </x:c>
      <x:c r="CH156" s="141" t="n">
        <x:f>IF(CC156&gt;1,"Inviavel",CG156)</x:f>
        <x:v>2644565.113310358</x:v>
      </x:c>
      <x:c r="CI156" s="145" t="str">
        <x:f>IF(CC156&gt;1,"Inviavel","OK")</x:f>
        <x:v>OK</x:v>
      </x:c>
    </x:row>
    <x:row r="157">
      <x:c r="A157" s="142" t="n">
        <x:v>153</x:v>
      </x:c>
      <x:c r="B157" s="179" t="n">
        <x:f>EDATE(Premissas!$B$4,A157-1)</x:f>
        <x:v>51167</x:v>
      </x:c>
      <x:c r="C157" s="141" t="n">
        <x:f>IF(A157&lt;=Premissas!$B$39,Premissas!$B$42,0)</x:f>
        <x:v>7000</x:v>
      </x:c>
      <x:c r="D157" s="141" t="n">
        <x:f>Premissas!$B$54*(1+Premissas!$B$57)^INT((A157-1)/12)</x:f>
        <x:v>1408.537530284886</x:v>
      </x:c>
      <x:c r="E157" s="141" t="n">
        <x:f>Premissas!$B$64*(1+Premissas!$B$57)^INT((A157-1)/12)</x:f>
        <x:v>1287.805741974753</x:v>
      </x:c>
      <x:c r="F157" s="141" t="n">
        <x:f>MAX(0,Premissas!$B$6*(1+Premissas!$B$66)^((A157-1)/12))</x:f>
        <x:v>418380.0386265543</x:v>
      </x:c>
      <x:c r="G157" s="141" t="n">
        <x:f>G156*(1+Premissas!$B$41)+C157</x:f>
        <x:v>2769524.837997422</x:v>
      </x:c>
      <x:c r="H157" s="141" t="n">
        <x:f>IF($A157=Premissas!$B$48,Premissas!$B$8,0)</x:f>
        <x:v>0</x:v>
      </x:c>
      <x:c r="I157" s="141" t="n">
        <x:f>IF(AND($A157&gt;=Premissas!$B$48,$A157-Premissas!$B$48+1&lt;=Premissas!$B$13),INDEX(Financiamento!$J$6:$J$485,$A157-Premissas!$B$48+1),0)</x:f>
        <x:v>1499.7129548450523</x:v>
      </x:c>
      <x:c r="J157" s="141" t="n">
        <x:f>IF(AND(TRUE,Premissas!$B$11="Imovel",Premissas!$B$47="Moradia",$A157&lt;MAX(Premissas!$B$48,Premissas!$B$49)),$D157,0)</x:f>
        <x:v>0</x:v>
      </x:c>
      <x:c r="K157" s="141" t="n">
        <x:f>IF(AND(TRUE,Premissas!$B$11="Imovel",Premissas!$B$47="Investimento",$A157&gt;=MAX(Premissas!$B$48,Premissas!$B$49)),$E157,0)</x:f>
        <x:v>1287.805741974753</x:v>
      </x:c>
      <x:c r="L157" s="141" t="n">
        <x:f>H157+I157+J157</x:f>
        <x:v>1499.7129548450523</x:v>
      </x:c>
      <x:c r="M157" s="141" t="n">
        <x:f>K157</x:f>
        <x:v>1287.805741974753</x:v>
      </x:c>
      <x:c r="N157" s="141" t="n">
        <x:f>$C157+M157-L157</x:f>
        <x:v>6788.092787129701</x:v>
      </x:c>
      <x:c r="O157" s="141" t="n">
        <x:f>R156*(1+Premissas!$B$41)+N157</x:f>
        <x:v>2261967.75353959</x:v>
      </x:c>
      <x:c r="P157" s="141" t="n">
        <x:f>MAX(0,-O157)</x:f>
        <x:v>0</x:v>
      </x:c>
      <x:c r="Q157" s="141" t="n">
        <x:f>Q156*(1+Premissas!$B$41)+P157</x:f>
        <x:v>0</x:v>
      </x:c>
      <x:c r="R157" s="141" t="n">
        <x:f>MAX(0,O157)</x:f>
        <x:v>2261967.75353959</x:v>
      </x:c>
      <x:c r="S157" s="141" t="n">
        <x:f>IF(AND($A157&gt;=Premissas!$B$48,$A157-Premissas!$B$48+1&lt;=Premissas!$B$13),INDEX(Financiamento!$M$6:$M$485,$A157-Premissas!$B$48+1),0)</x:f>
        <x:v>101714.28571428588</x:v>
      </x:c>
      <x:c r="T157" s="141" t="n">
        <x:f>IF($A157&gt;=Premissas!$B$48,$F157,0)</x:f>
        <x:v>418380.0386265543</x:v>
      </x:c>
      <x:c r="U157" s="141" t="n">
        <x:f>R157+T157-S157</x:f>
        <x:v>2578633.5064518587</x:v>
      </x:c>
      <x:c r="V157" s="141" t="n">
        <x:f>IF(Q157&gt;1,"Inviavel",U157)</x:f>
        <x:v>2578633.5064518587</x:v>
      </x:c>
      <x:c r="W157" s="141" t="str">
        <x:f>IF(Q157&gt;1,"Inviavel","OK")</x:f>
        <x:v>OK</x:v>
      </x:c>
      <x:c r="X157" s="141" t="n">
        <x:f>IF($A157=Premissas!$B$48,Premissas!$B$8,0)</x:f>
        <x:v>0</x:v>
      </x:c>
      <x:c r="Y157" s="141" t="n">
        <x:f>IF(AND($A157&gt;=Premissas!$B$48,$A157-Premissas!$B$48+1&lt;=Premissas!$B$13),INDEX(Amortizacao!$K$6:$K$485,$A157-Premissas!$B$48+1),0)</x:f>
        <x:v>0</x:v>
      </x:c>
      <x:c r="Z157" s="141" t="n">
        <x:f>IF(AND(TRUE,Premissas!$B$11="Imovel",Premissas!$B$47="Moradia",$A157&lt;MAX(Premissas!$B$48,Premissas!$B$49)),$D157,0)</x:f>
        <x:v>0</x:v>
      </x:c>
      <x:c r="AA157" s="141" t="n">
        <x:f>IF(AND(TRUE,Premissas!$B$11="Imovel",Premissas!$B$47="Investimento",$A157&gt;=MAX(Premissas!$B$48,Premissas!$B$49)),$E157,0)</x:f>
        <x:v>1287.805741974753</x:v>
      </x:c>
      <x:c r="AB157" s="141" t="n">
        <x:f>X157+Y157+Z157</x:f>
        <x:v>0</x:v>
      </x:c>
      <x:c r="AC157" s="141" t="n">
        <x:f>AA157</x:f>
        <x:v>1287.805741974753</x:v>
      </x:c>
      <x:c r="AD157" s="141" t="n">
        <x:f>$C157+AC157-AB157</x:f>
        <x:v>8287.805741974753</x:v>
      </x:c>
      <x:c r="AE157" s="141" t="n">
        <x:f>AH156*(1+Premissas!$B$41)+AD157</x:f>
        <x:v>2196405.3915227293</x:v>
      </x:c>
      <x:c r="AF157" s="141" t="n">
        <x:f>MAX(0,-AE157)</x:f>
        <x:v>0</x:v>
      </x:c>
      <x:c r="AG157" s="141" t="n">
        <x:f>AG156*(1+Premissas!$B$41)+AF157</x:f>
        <x:v>0</x:v>
      </x:c>
      <x:c r="AH157" s="141" t="n">
        <x:f>MAX(0,AE157)</x:f>
        <x:v>2196405.3915227293</x:v>
      </x:c>
      <x:c r="AI157" s="141" t="n">
        <x:f>IF(AND($A157&gt;=Premissas!$B$48,$A157-Premissas!$B$48+1&lt;=Premissas!$B$13),INDEX(Amortizacao!$L$6:$L$485,$A157-Premissas!$B$48+1),0)</x:f>
        <x:v>0</x:v>
      </x:c>
      <x:c r="AJ157" s="141" t="n">
        <x:f>IF($A157&gt;=Premissas!$B$48,$F157,0)</x:f>
        <x:v>418380.0386265543</x:v>
      </x:c>
      <x:c r="AK157" s="141" t="n">
        <x:f>AH157+AJ157-AI157</x:f>
        <x:v>2614785.4301492837</x:v>
      </x:c>
      <x:c r="AL157" s="141" t="n">
        <x:f>IF(AG157&gt;1,"Inviavel",AK157)</x:f>
        <x:v>2614785.4301492837</x:v>
      </x:c>
      <x:c r="AM157" s="141" t="str">
        <x:f>IF(AG157&gt;1,"Inviavel","OK")</x:f>
        <x:v>OK</x:v>
      </x:c>
      <x:c r="AN157" s="141" t="n">
        <x:f>IF($A157=Premissas!$B$48,Premissas!$B$8,0)</x:f>
        <x:v>0</x:v>
      </x:c>
      <x:c r="AO157" s="141" t="n">
        <x:f>IF($A157&lt;=Premissas!$B$25,INDEX('Consorcio IQ'!$K$6:$K$485,$A157),0)</x:f>
        <x:v>1147.8893832771146</x:v>
      </x:c>
      <x:c r="AP157" s="141" t="n">
        <x:f>IF(AND(TRUE,Premissas!$B$11="Imovel",Premissas!$B$47="Moradia",$A157&lt;MAX(Premissas!$B$48,Premissas!$B$49)),$D157,0)</x:f>
        <x:v>0</x:v>
      </x:c>
      <x:c r="AQ157" s="141" t="n">
        <x:f>IF(AND(TRUE,Premissas!$B$11="Imovel",Premissas!$B$47="Investimento",$A157&gt;=MAX(Premissas!$B$48,Premissas!$B$49)),$E157,0)</x:f>
        <x:v>1287.805741974753</x:v>
      </x:c>
      <x:c r="AR157" s="141" t="n">
        <x:f>AN157+AO157+AP157</x:f>
        <x:v>1147.8893832771146</x:v>
      </x:c>
      <x:c r="AS157" s="141" t="n">
        <x:f>AQ157</x:f>
        <x:v>1287.805741974753</x:v>
      </x:c>
      <x:c r="AT157" s="141" t="n">
        <x:f>$C157+AS157-AR157</x:f>
        <x:v>7139.916358697638</x:v>
      </x:c>
      <x:c r="AU157" s="141" t="n">
        <x:f>AX156*(1+Premissas!$B$41)+AT157</x:f>
        <x:v>2255236.0151616177</x:v>
      </x:c>
      <x:c r="AV157" s="141" t="n">
        <x:f>MAX(0,-AU157)</x:f>
        <x:v>0</x:v>
      </x:c>
      <x:c r="AW157" s="141" t="n">
        <x:f>AW156*(1+Premissas!$B$41)+AV157</x:f>
        <x:v>0</x:v>
      </x:c>
      <x:c r="AX157" s="141" t="n">
        <x:f>MAX(0,AU157)</x:f>
        <x:v>2255236.0151616177</x:v>
      </x:c>
      <x:c r="AY157" s="141" t="n">
        <x:f>INDEX('Consorcio IQ'!$P$6:$P$485,$A157)</x:f>
        <x:v>83113.61856231613</x:v>
      </x:c>
      <x:c r="AZ157" s="141" t="n">
        <x:f>IF($A157&gt;=Premissas!$B$48,$F157,0)+IF($A157&lt;Premissas!$B$27,INDEX('Consorcio IQ'!$O$6:$O$485,$A157),0)</x:f>
        <x:v>418380.0386265543</x:v>
      </x:c>
      <x:c r="BA157" s="141" t="n">
        <x:f>AX157+AZ157-AY157</x:f>
        <x:v>2590502.435225856</x:v>
      </x:c>
      <x:c r="BB157" s="141" t="n">
        <x:f>IF(AW157&gt;1,"Inviavel",BA157)</x:f>
        <x:v>2590502.435225856</x:v>
      </x:c>
      <x:c r="BC157" s="141" t="str">
        <x:f>IF(AW157&gt;1,"Inviavel","OK")</x:f>
        <x:v>OK</x:v>
      </x:c>
      <x:c r="BD157" s="141" t="n">
        <x:f>IF($A157='Consorcio Direto'!$B$29,'Consorcio Direto'!$B$44,0)</x:f>
        <x:v>0</x:v>
      </x:c>
      <x:c r="BE157" s="141" t="n">
        <x:f>IF($A157&lt;='Consorcio Direto'!$B$27,INDEX('Consorcio Direto'!$E$55:$E$534,$A157),0)</x:f>
        <x:v>2972.460434835085</x:v>
      </x:c>
      <x:c r="BF157" s="141" t="n">
        <x:f>IF(AND(TRUE,Premissas!$B$11="Imovel",Premissas!$B$47="Moradia",$A157&lt;MAX('Consorcio Direto'!$B$29,Premissas!$B$49)),$D157,0)</x:f>
        <x:v>0</x:v>
      </x:c>
      <x:c r="BG157" s="141" t="n">
        <x:f>IF(AND(TRUE,Premissas!$B$11="Imovel",Premissas!$B$47="Investimento",$A157&gt;=MAX('Consorcio Direto'!$B$29,Premissas!$B$49)),$E157,0)</x:f>
        <x:v>1287.805741974753</x:v>
      </x:c>
      <x:c r="BH157" s="141" t="n">
        <x:f>BD157+BE157+BF157</x:f>
        <x:v>2972.460434835085</x:v>
      </x:c>
      <x:c r="BI157" s="141" t="n">
        <x:f>BG157</x:f>
        <x:v>1287.805741974753</x:v>
      </x:c>
      <x:c r="BJ157" s="141" t="n">
        <x:f>$C157+BI157-BH157</x:f>
        <x:v>5315.345307139668</x:v>
      </x:c>
      <x:c r="BK157" s="141" t="n">
        <x:f>BN156*(1+Premissas!$B$41)+BJ157</x:f>
        <x:v>2256110.415724346</x:v>
      </x:c>
      <x:c r="BL157" s="141" t="n">
        <x:f>MAX(0,-BK157)</x:f>
        <x:v>0</x:v>
      </x:c>
      <x:c r="BM157" s="141" t="n">
        <x:f>BM156*(1+Premissas!$B$41)+BL157</x:f>
        <x:v>0</x:v>
      </x:c>
      <x:c r="BN157" s="141" t="n">
        <x:f>MAX(0,BK157)</x:f>
        <x:v>2256110.415724346</x:v>
      </x:c>
      <x:c r="BO157" s="141" t="n">
        <x:f>INDEX('Consorcio Direto'!$K$55:$K$534,$A157)</x:f>
        <x:v>215222.7787551703</x:v>
      </x:c>
      <x:c r="BP157" s="141" t="n">
        <x:f>IF($A157&lt;'Consorcio Direto'!$B$29,INDEX('Consorcio Direto'!$L$55:$L$534,$A157),$F157)</x:f>
        <x:v>418380.0386265543</x:v>
      </x:c>
      <x:c r="BQ157" s="141" t="n">
        <x:f>BN157+BP157-BO157</x:f>
        <x:v>2459267.67559573</x:v>
      </x:c>
      <x:c r="BR157" s="141" t="n">
        <x:f>IF(BM157&gt;1,"Inviavel",BQ157)</x:f>
        <x:v>2459267.67559573</x:v>
      </x:c>
      <x:c r="BS157" s="141" t="str">
        <x:f>IF(BM157&gt;1,"Inviavel","OK")</x:f>
        <x:v>OK</x:v>
      </x:c>
      <x:c r="BT157" s="141" t="n">
        <x:f>IF(AND('Carta Contemplada'!$B$22="Sim",$A157='Carta Contemplada'!$B$23),'Carta Contemplada'!$B$37,0)</x:f>
        <x:v>0</x:v>
      </x:c>
      <x:c r="BU157" s="141" t="n">
        <x:f>IF('Carta Contemplada'!$B$22="Sim",INDEX('Carta Contemplada'!$C$55:$C$1013,$A157),0)</x:f>
        <x:v>2414.6357662026617</x:v>
      </x:c>
      <x:c r="BV157" s="141" t="n">
        <x:f>IF(AND('Carta Contemplada'!$B$22="Sim",Premissas!$B$11="Imovel",Premissas!$B$47="Moradia",$A157&lt;MAX('Carta Contemplada'!$B$44,Premissas!$B$49)),$D157,0)</x:f>
        <x:v>0</x:v>
      </x:c>
      <x:c r="BW157" s="141" t="n">
        <x:f>IF(AND('Carta Contemplada'!$B$22="Sim",Premissas!$B$11="Imovel",Premissas!$B$47="Investimento",$A157&gt;=MAX('Carta Contemplada'!$B$44,Premissas!$B$49)),$E157,0)</x:f>
        <x:v>1287.805741974753</x:v>
      </x:c>
      <x:c r="BX157" s="141" t="n">
        <x:f>BT157+BU157+BV157</x:f>
        <x:v>2414.6357662026617</x:v>
      </x:c>
      <x:c r="BY157" s="141" t="n">
        <x:f>BW157</x:f>
        <x:v>1287.805741974753</x:v>
      </x:c>
      <x:c r="BZ157" s="141" t="n">
        <x:f>$C157+BY157-BX157</x:f>
        <x:v>5873.169975772091</x:v>
      </x:c>
      <x:c r="CA157" s="141" t="n">
        <x:f>CD156*(1+Premissas!$B$41)+BZ157</x:f>
        <x:v>2319433.034860018</x:v>
      </x:c>
      <x:c r="CB157" s="141" t="n">
        <x:f>MAX(0,-CA157)</x:f>
        <x:v>0</x:v>
      </x:c>
      <x:c r="CC157" s="141" t="n">
        <x:f>CC156*(1+Premissas!$B$41)+CB157</x:f>
        <x:v>0</x:v>
      </x:c>
      <x:c r="CD157" s="141" t="n">
        <x:f>MAX(0,CA157)</x:f>
        <x:v>2319433.034860018</x:v>
      </x:c>
      <x:c r="CE157" s="141" t="n">
        <x:f>IF(AND('Carta Contemplada'!$B$22="Sim",$A157&gt;='Carta Contemplada'!$B$23),INDEX('Carta Contemplada'!$I$55:$I$1013,$A157),0)</x:f>
        <x:v>61790.49372468873</x:v>
      </x:c>
      <x:c r="CF157" s="141" t="n">
        <x:f>IF(AND('Carta Contemplada'!$B$22="Sim",$A157&gt;='Carta Contemplada'!$B$44),$F157,0)</x:f>
        <x:v>418380.0386265543</x:v>
      </x:c>
      <x:c r="CG157" s="141" t="n">
        <x:f>CD157+CF157-CE157</x:f>
        <x:v>2676022.5797618837</x:v>
      </x:c>
      <x:c r="CH157" s="141" t="n">
        <x:f>IF(CC157&gt;1,"Inviavel",CG157)</x:f>
        <x:v>2676022.5797618837</x:v>
      </x:c>
      <x:c r="CI157" s="145" t="str">
        <x:f>IF(CC157&gt;1,"Inviavel","OK")</x:f>
        <x:v>OK</x:v>
      </x:c>
    </x:row>
    <x:row r="158">
      <x:c r="A158" s="142" t="n">
        <x:v>154</x:v>
      </x:c>
      <x:c r="B158" s="179" t="n">
        <x:f>EDATE(Premissas!$B$4,A158-1)</x:f>
        <x:v>51196</x:v>
      </x:c>
      <x:c r="C158" s="141" t="n">
        <x:f>IF(A158&lt;=Premissas!$B$39,Premissas!$B$42,0)</x:f>
        <x:v>7000</x:v>
      </x:c>
      <x:c r="D158" s="141" t="n">
        <x:f>Premissas!$B$54*(1+Premissas!$B$57)^INT((A158-1)/12)</x:f>
        <x:v>1408.537530284886</x:v>
      </x:c>
      <x:c r="E158" s="141" t="n">
        <x:f>Premissas!$B$64*(1+Premissas!$B$57)^INT((A158-1)/12)</x:f>
        <x:v>1287.805741974753</x:v>
      </x:c>
      <x:c r="F158" s="141" t="n">
        <x:f>MAX(0,Premissas!$B$6*(1+Premissas!$B$66)^((A158-1)/12))</x:f>
        <x:v>420416.5246200993</x:v>
      </x:c>
      <x:c r="G158" s="141" t="n">
        <x:f>G157*(1+Premissas!$B$41)+C158</x:f>
        <x:v>2802804.285712364</x:v>
      </x:c>
      <x:c r="H158" s="141" t="n">
        <x:f>IF($A158=Premissas!$B$48,Premissas!$B$8,0)</x:f>
        <x:v>0</x:v>
      </x:c>
      <x:c r="I158" s="141" t="n">
        <x:f>IF(AND($A158&gt;=Premissas!$B$48,$A158-Premissas!$B$48+1&lt;=Premissas!$B$13),INDEX(Financiamento!$J$6:$J$485,$A158-Premissas!$B$48+1),0)</x:f>
        <x:v>1496.0981765842587</x:v>
      </x:c>
      <x:c r="J158" s="141" t="n">
        <x:f>IF(AND(TRUE,Premissas!$B$11="Imovel",Premissas!$B$47="Moradia",$A158&lt;MAX(Premissas!$B$48,Premissas!$B$49)),$D158,0)</x:f>
        <x:v>0</x:v>
      </x:c>
      <x:c r="K158" s="141" t="n">
        <x:f>IF(AND(TRUE,Premissas!$B$11="Imovel",Premissas!$B$47="Investimento",$A158&gt;=MAX(Premissas!$B$48,Premissas!$B$49)),$E158,0)</x:f>
        <x:v>1287.805741974753</x:v>
      </x:c>
      <x:c r="L158" s="141" t="n">
        <x:f>H158+I158+J158</x:f>
        <x:v>1496.0981765842587</x:v>
      </x:c>
      <x:c r="M158" s="141" t="n">
        <x:f>K158</x:f>
        <x:v>1287.805741974753</x:v>
      </x:c>
      <x:c r="N158" s="141" t="n">
        <x:f>$C158+M158-L158</x:f>
        <x:v>6791.707565390494</x:v>
      </x:c>
      <x:c r="O158" s="141" t="n">
        <x:f>R157*(1+Premissas!$B$41)+N158</x:f>
        <x:v>2290222.8047430217</x:v>
      </x:c>
      <x:c r="P158" s="141" t="n">
        <x:f>MAX(0,-O158)</x:f>
        <x:v>0</x:v>
      </x:c>
      <x:c r="Q158" s="141" t="n">
        <x:f>Q157*(1+Premissas!$B$41)+P158</x:f>
        <x:v>0</x:v>
      </x:c>
      <x:c r="R158" s="141" t="n">
        <x:f>MAX(0,O158)</x:f>
        <x:v>2290222.8047430217</x:v>
      </x:c>
      <x:c r="S158" s="141" t="n">
        <x:f>IF(AND($A158&gt;=Premissas!$B$48,$A158-Premissas!$B$48+1&lt;=Premissas!$B$13),INDEX(Financiamento!$M$6:$M$485,$A158-Premissas!$B$48+1),0)</x:f>
        <x:v>101333.3333333335</x:v>
      </x:c>
      <x:c r="T158" s="141" t="n">
        <x:f>IF($A158&gt;=Premissas!$B$48,$F158,0)</x:f>
        <x:v>420416.5246200993</x:v>
      </x:c>
      <x:c r="U158" s="141" t="n">
        <x:f>R158+T158-S158</x:f>
        <x:v>2609305.9960297877</x:v>
      </x:c>
      <x:c r="V158" s="141" t="n">
        <x:f>IF(Q158&gt;1,"Inviavel",U158)</x:f>
        <x:v>2609305.9960297877</x:v>
      </x:c>
      <x:c r="W158" s="141" t="str">
        <x:f>IF(Q158&gt;1,"Inviavel","OK")</x:f>
        <x:v>OK</x:v>
      </x:c>
      <x:c r="X158" s="141" t="n">
        <x:f>IF($A158=Premissas!$B$48,Premissas!$B$8,0)</x:f>
        <x:v>0</x:v>
      </x:c>
      <x:c r="Y158" s="141" t="n">
        <x:f>IF(AND($A158&gt;=Premissas!$B$48,$A158-Premissas!$B$48+1&lt;=Premissas!$B$13),INDEX(Amortizacao!$K$6:$K$485,$A158-Premissas!$B$48+1),0)</x:f>
        <x:v>0</x:v>
      </x:c>
      <x:c r="Z158" s="141" t="n">
        <x:f>IF(AND(TRUE,Premissas!$B$11="Imovel",Premissas!$B$47="Moradia",$A158&lt;MAX(Premissas!$B$48,Premissas!$B$49)),$D158,0)</x:f>
        <x:v>0</x:v>
      </x:c>
      <x:c r="AA158" s="141" t="n">
        <x:f>IF(AND(TRUE,Premissas!$B$11="Imovel",Premissas!$B$47="Investimento",$A158&gt;=MAX(Premissas!$B$48,Premissas!$B$49)),$E158,0)</x:f>
        <x:v>1287.805741974753</x:v>
      </x:c>
      <x:c r="AB158" s="141" t="n">
        <x:f>X158+Y158+Z158</x:f>
        <x:v>0</x:v>
      </x:c>
      <x:c r="AC158" s="141" t="n">
        <x:f>AA158</x:f>
        <x:v>1287.805741974753</x:v>
      </x:c>
      <x:c r="AD158" s="141" t="n">
        <x:f>$C158+AC158-AB158</x:f>
        <x:v>8287.805741974753</x:v>
      </x:c>
      <x:c r="AE158" s="141" t="n">
        <x:f>AH157*(1+Premissas!$B$41)+AD158</x:f>
        <x:v>2225534.433225265</x:v>
      </x:c>
      <x:c r="AF158" s="141" t="n">
        <x:f>MAX(0,-AE158)</x:f>
        <x:v>0</x:v>
      </x:c>
      <x:c r="AG158" s="141" t="n">
        <x:f>AG157*(1+Premissas!$B$41)+AF158</x:f>
        <x:v>0</x:v>
      </x:c>
      <x:c r="AH158" s="141" t="n">
        <x:f>MAX(0,AE158)</x:f>
        <x:v>2225534.433225265</x:v>
      </x:c>
      <x:c r="AI158" s="141" t="n">
        <x:f>IF(AND($A158&gt;=Premissas!$B$48,$A158-Premissas!$B$48+1&lt;=Premissas!$B$13),INDEX(Amortizacao!$L$6:$L$485,$A158-Premissas!$B$48+1),0)</x:f>
        <x:v>0</x:v>
      </x:c>
      <x:c r="AJ158" s="141" t="n">
        <x:f>IF($A158&gt;=Premissas!$B$48,$F158,0)</x:f>
        <x:v>420416.5246200993</x:v>
      </x:c>
      <x:c r="AK158" s="141" t="n">
        <x:f>AH158+AJ158-AI158</x:f>
        <x:v>2645950.957845364</x:v>
      </x:c>
      <x:c r="AL158" s="141" t="n">
        <x:f>IF(AG158&gt;1,"Inviavel",AK158)</x:f>
        <x:v>2645950.957845364</x:v>
      </x:c>
      <x:c r="AM158" s="141" t="str">
        <x:f>IF(AG158&gt;1,"Inviavel","OK")</x:f>
        <x:v>OK</x:v>
      </x:c>
      <x:c r="AN158" s="141" t="n">
        <x:f>IF($A158=Premissas!$B$48,Premissas!$B$8,0)</x:f>
        <x:v>0</x:v>
      </x:c>
      <x:c r="AO158" s="141" t="n">
        <x:f>IF($A158&lt;=Premissas!$B$25,INDEX('Consorcio IQ'!$K$6:$K$485,$A158),0)</x:f>
        <x:v>1147.8893832771146</x:v>
      </x:c>
      <x:c r="AP158" s="141" t="n">
        <x:f>IF(AND(TRUE,Premissas!$B$11="Imovel",Premissas!$B$47="Moradia",$A158&lt;MAX(Premissas!$B$48,Premissas!$B$49)),$D158,0)</x:f>
        <x:v>0</x:v>
      </x:c>
      <x:c r="AQ158" s="141" t="n">
        <x:f>IF(AND(TRUE,Premissas!$B$11="Imovel",Premissas!$B$47="Investimento",$A158&gt;=MAX(Premissas!$B$48,Premissas!$B$49)),$E158,0)</x:f>
        <x:v>1287.805741974753</x:v>
      </x:c>
      <x:c r="AR158" s="141" t="n">
        <x:f>AN158+AO158+AP158</x:f>
        <x:v>1147.8893832771146</x:v>
      </x:c>
      <x:c r="AS158" s="141" t="n">
        <x:f>AQ158</x:f>
        <x:v>1287.805741974753</x:v>
      </x:c>
      <x:c r="AT158" s="141" t="n">
        <x:f>$C158+AS158-AR158</x:f>
        <x:v>7139.916358697638</x:v>
      </x:c>
      <x:c r="AU158" s="141" t="n">
        <x:f>AX157*(1+Premissas!$B$41)+AT158</x:f>
        <x:v>2283775.399086798</x:v>
      </x:c>
      <x:c r="AV158" s="141" t="n">
        <x:f>MAX(0,-AU158)</x:f>
        <x:v>0</x:v>
      </x:c>
      <x:c r="AW158" s="141" t="n">
        <x:f>AW157*(1+Premissas!$B$41)+AV158</x:f>
        <x:v>0</x:v>
      </x:c>
      <x:c r="AX158" s="141" t="n">
        <x:f>MAX(0,AU158)</x:f>
        <x:v>2283775.399086798</x:v>
      </x:c>
      <x:c r="AY158" s="141" t="n">
        <x:f>INDEX('Consorcio IQ'!$P$6:$P$485,$A158)</x:f>
        <x:v>82754.37709562074</x:v>
      </x:c>
      <x:c r="AZ158" s="141" t="n">
        <x:f>IF($A158&gt;=Premissas!$B$48,$F158,0)+IF($A158&lt;Premissas!$B$27,INDEX('Consorcio IQ'!$O$6:$O$485,$A158),0)</x:f>
        <x:v>420416.5246200993</x:v>
      </x:c>
      <x:c r="BA158" s="141" t="n">
        <x:f>AX158+AZ158-AY158</x:f>
        <x:v>2621437.546611277</x:v>
      </x:c>
      <x:c r="BB158" s="141" t="n">
        <x:f>IF(AW158&gt;1,"Inviavel",BA158)</x:f>
        <x:v>2621437.546611277</x:v>
      </x:c>
      <x:c r="BC158" s="141" t="str">
        <x:f>IF(AW158&gt;1,"Inviavel","OK")</x:f>
        <x:v>OK</x:v>
      </x:c>
      <x:c r="BD158" s="141" t="n">
        <x:f>IF($A158='Consorcio Direto'!$B$29,'Consorcio Direto'!$B$44,0)</x:f>
        <x:v>0</x:v>
      </x:c>
      <x:c r="BE158" s="141" t="n">
        <x:f>IF($A158&lt;='Consorcio Direto'!$B$27,INDEX('Consorcio Direto'!$E$55:$E$534,$A158),0)</x:f>
        <x:v>2972.460434835085</x:v>
      </x:c>
      <x:c r="BF158" s="141" t="n">
        <x:f>IF(AND(TRUE,Premissas!$B$11="Imovel",Premissas!$B$47="Moradia",$A158&lt;MAX('Consorcio Direto'!$B$29,Premissas!$B$49)),$D158,0)</x:f>
        <x:v>0</x:v>
      </x:c>
      <x:c r="BG158" s="141" t="n">
        <x:f>IF(AND(TRUE,Premissas!$B$11="Imovel",Premissas!$B$47="Investimento",$A158&gt;=MAX('Consorcio Direto'!$B$29,Premissas!$B$49)),$E158,0)</x:f>
        <x:v>1287.805741974753</x:v>
      </x:c>
      <x:c r="BH158" s="141" t="n">
        <x:f>BD158+BE158+BF158</x:f>
        <x:v>2972.460434835085</x:v>
      </x:c>
      <x:c r="BI158" s="141" t="n">
        <x:f>BG158</x:f>
        <x:v>1287.805741974753</x:v>
      </x:c>
      <x:c r="BJ158" s="141" t="n">
        <x:f>$C158+BI158-BH158</x:f>
        <x:v>5315.345307139668</x:v>
      </x:c>
      <x:c r="BK158" s="141" t="n">
        <x:f>BN157*(1+Premissas!$B$41)+BJ158</x:f>
        <x:v>2282833.52560385</x:v>
      </x:c>
      <x:c r="BL158" s="141" t="n">
        <x:f>MAX(0,-BK158)</x:f>
        <x:v>0</x:v>
      </x:c>
      <x:c r="BM158" s="141" t="n">
        <x:f>BM157*(1+Premissas!$B$41)+BL158</x:f>
        <x:v>0</x:v>
      </x:c>
      <x:c r="BN158" s="141" t="n">
        <x:f>MAX(0,BK158)</x:f>
        <x:v>2282833.52560385</x:v>
      </x:c>
      <x:c r="BO158" s="141" t="n">
        <x:f>INDEX('Consorcio Direto'!$K$55:$K$534,$A158)</x:f>
        <x:v>214292.5227027486</x:v>
      </x:c>
      <x:c r="BP158" s="141" t="n">
        <x:f>IF($A158&lt;'Consorcio Direto'!$B$29,INDEX('Consorcio Direto'!$L$55:$L$534,$A158),$F158)</x:f>
        <x:v>420416.5246200993</x:v>
      </x:c>
      <x:c r="BQ158" s="141" t="n">
        <x:f>BN158+BP158-BO158</x:f>
        <x:v>2488957.527521201</x:v>
      </x:c>
      <x:c r="BR158" s="141" t="n">
        <x:f>IF(BM158&gt;1,"Inviavel",BQ158)</x:f>
        <x:v>2488957.527521201</x:v>
      </x:c>
      <x:c r="BS158" s="141" t="str">
        <x:f>IF(BM158&gt;1,"Inviavel","OK")</x:f>
        <x:v>OK</x:v>
      </x:c>
      <x:c r="BT158" s="141" t="n">
        <x:f>IF(AND('Carta Contemplada'!$B$22="Sim",$A158='Carta Contemplada'!$B$23),'Carta Contemplada'!$B$37,0)</x:f>
        <x:v>0</x:v>
      </x:c>
      <x:c r="BU158" s="141" t="n">
        <x:f>IF('Carta Contemplada'!$B$22="Sim",INDEX('Carta Contemplada'!$C$55:$C$1013,$A158),0)</x:f>
        <x:v>2414.6357662026617</x:v>
      </x:c>
      <x:c r="BV158" s="141" t="n">
        <x:f>IF(AND('Carta Contemplada'!$B$22="Sim",Premissas!$B$11="Imovel",Premissas!$B$47="Moradia",$A158&lt;MAX('Carta Contemplada'!$B$44,Premissas!$B$49)),$D158,0)</x:f>
        <x:v>0</x:v>
      </x:c>
      <x:c r="BW158" s="141" t="n">
        <x:f>IF(AND('Carta Contemplada'!$B$22="Sim",Premissas!$B$11="Imovel",Premissas!$B$47="Investimento",$A158&gt;=MAX('Carta Contemplada'!$B$44,Premissas!$B$49)),$E158,0)</x:f>
        <x:v>1287.805741974753</x:v>
      </x:c>
      <x:c r="BX158" s="141" t="n">
        <x:f>BT158+BU158+BV158</x:f>
        <x:v>2414.6357662026617</x:v>
      </x:c>
      <x:c r="BY158" s="141" t="n">
        <x:f>BW158</x:f>
        <x:v>1287.805741974753</x:v>
      </x:c>
      <x:c r="BZ158" s="141" t="n">
        <x:f>$C158+BY158-BX158</x:f>
        <x:v>5873.169975772091</x:v>
      </x:c>
      <x:c r="CA158" s="141" t="n">
        <x:f>CD157*(1+Premissas!$B$41)+BZ158</x:f>
        <x:v>2347314.8246292085</x:v>
      </x:c>
      <x:c r="CB158" s="141" t="n">
        <x:f>MAX(0,-CA158)</x:f>
        <x:v>0</x:v>
      </x:c>
      <x:c r="CC158" s="141" t="n">
        <x:f>CC157*(1+Premissas!$B$41)+CB158</x:f>
        <x:v>0</x:v>
      </x:c>
      <x:c r="CD158" s="141" t="n">
        <x:f>MAX(0,CA158)</x:f>
        <x:v>2347314.8246292085</x:v>
      </x:c>
      <x:c r="CE158" s="141" t="n">
        <x:f>IF(AND('Carta Contemplada'!$B$22="Sim",$A158&gt;='Carta Contemplada'!$B$23),INDEX('Carta Contemplada'!$I$55:$I$1013,$A158),0)</x:f>
        <x:v>59962.17515876529</x:v>
      </x:c>
      <x:c r="CF158" s="141" t="n">
        <x:f>IF(AND('Carta Contemplada'!$B$22="Sim",$A158&gt;='Carta Contemplada'!$B$44),$F158,0)</x:f>
        <x:v>420416.5246200993</x:v>
      </x:c>
      <x:c r="CG158" s="141" t="n">
        <x:f>CD158+CF158-CE158</x:f>
        <x:v>2707769.174090543</x:v>
      </x:c>
      <x:c r="CH158" s="141" t="n">
        <x:f>IF(CC158&gt;1,"Inviavel",CG158)</x:f>
        <x:v>2707769.174090543</x:v>
      </x:c>
      <x:c r="CI158" s="145" t="str">
        <x:f>IF(CC158&gt;1,"Inviavel","OK")</x:f>
        <x:v>OK</x:v>
      </x:c>
    </x:row>
    <x:row r="159">
      <x:c r="A159" s="142" t="n">
        <x:v>155</x:v>
      </x:c>
      <x:c r="B159" s="179" t="n">
        <x:f>EDATE(Premissas!$B$4,A159-1)</x:f>
        <x:v>51227</x:v>
      </x:c>
      <x:c r="C159" s="141" t="n">
        <x:f>IF(A159&lt;=Premissas!$B$39,Premissas!$B$42,0)</x:f>
        <x:v>7000</x:v>
      </x:c>
      <x:c r="D159" s="141" t="n">
        <x:f>Premissas!$B$54*(1+Premissas!$B$57)^INT((A159-1)/12)</x:f>
        <x:v>1408.537530284886</x:v>
      </x:c>
      <x:c r="E159" s="141" t="n">
        <x:f>Premissas!$B$64*(1+Premissas!$B$57)^INT((A159-1)/12)</x:f>
        <x:v>1287.805741974753</x:v>
      </x:c>
      <x:c r="F159" s="141" t="n">
        <x:f>MAX(0,Premissas!$B$6*(1+Premissas!$B$66)^((A159-1)/12))</x:f>
        <x:v>422462.92331219336</x:v>
      </x:c>
      <x:c r="G159" s="141" t="n">
        <x:f>G158*(1+Premissas!$B$41)+C159</x:f>
        <x:v>2836399.5152156507</x:v>
      </x:c>
      <x:c r="H159" s="141" t="n">
        <x:f>IF($A159=Premissas!$B$48,Premissas!$B$8,0)</x:f>
        <x:v>0</x:v>
      </x:c>
      <x:c r="I159" s="141" t="n">
        <x:f>IF(AND($A159&gt;=Premissas!$B$48,$A159-Premissas!$B$48+1&lt;=Premissas!$B$13),INDEX(Financiamento!$J$6:$J$485,$A159-Premissas!$B$48+1),0)</x:f>
        <x:v>1492.4833983234653</x:v>
      </x:c>
      <x:c r="J159" s="141" t="n">
        <x:f>IF(AND(TRUE,Premissas!$B$11="Imovel",Premissas!$B$47="Moradia",$A159&lt;MAX(Premissas!$B$48,Premissas!$B$49)),$D159,0)</x:f>
        <x:v>0</x:v>
      </x:c>
      <x:c r="K159" s="141" t="n">
        <x:f>IF(AND(TRUE,Premissas!$B$11="Imovel",Premissas!$B$47="Investimento",$A159&gt;=MAX(Premissas!$B$48,Premissas!$B$49)),$E159,0)</x:f>
        <x:v>1287.805741974753</x:v>
      </x:c>
      <x:c r="L159" s="141" t="n">
        <x:f>H159+I159+J159</x:f>
        <x:v>1492.4833983234653</x:v>
      </x:c>
      <x:c r="M159" s="141" t="n">
        <x:f>K159</x:f>
        <x:v>1287.805741974753</x:v>
      </x:c>
      <x:c r="N159" s="141" t="n">
        <x:f>$C159+M159-L159</x:f>
        <x:v>6795.322343651287</x:v>
      </x:c>
      <x:c r="O159" s="141" t="n">
        <x:f>R158*(1+Premissas!$B$41)+N159</x:f>
        <x:v>2318749.5770549397</x:v>
      </x:c>
      <x:c r="P159" s="141" t="n">
        <x:f>MAX(0,-O159)</x:f>
        <x:v>0</x:v>
      </x:c>
      <x:c r="Q159" s="141" t="n">
        <x:f>Q158*(1+Premissas!$B$41)+P159</x:f>
        <x:v>0</x:v>
      </x:c>
      <x:c r="R159" s="141" t="n">
        <x:f>MAX(0,O159)</x:f>
        <x:v>2318749.5770549397</x:v>
      </x:c>
      <x:c r="S159" s="141" t="n">
        <x:f>IF(AND($A159&gt;=Premissas!$B$48,$A159-Premissas!$B$48+1&lt;=Premissas!$B$13),INDEX(Financiamento!$M$6:$M$485,$A159-Premissas!$B$48+1),0)</x:f>
        <x:v>100952.38095238112</x:v>
      </x:c>
      <x:c r="T159" s="141" t="n">
        <x:f>IF($A159&gt;=Premissas!$B$48,$F159,0)</x:f>
        <x:v>422462.92331219336</x:v>
      </x:c>
      <x:c r="U159" s="141" t="n">
        <x:f>R159+T159-S159</x:f>
        <x:v>2640260.119414752</x:v>
      </x:c>
      <x:c r="V159" s="141" t="n">
        <x:f>IF(Q159&gt;1,"Inviavel",U159)</x:f>
        <x:v>2640260.119414752</x:v>
      </x:c>
      <x:c r="W159" s="141" t="str">
        <x:f>IF(Q159&gt;1,"Inviavel","OK")</x:f>
        <x:v>OK</x:v>
      </x:c>
      <x:c r="X159" s="141" t="n">
        <x:f>IF($A159=Premissas!$B$48,Premissas!$B$8,0)</x:f>
        <x:v>0</x:v>
      </x:c>
      <x:c r="Y159" s="141" t="n">
        <x:f>IF(AND($A159&gt;=Premissas!$B$48,$A159-Premissas!$B$48+1&lt;=Premissas!$B$13),INDEX(Amortizacao!$K$6:$K$485,$A159-Premissas!$B$48+1),0)</x:f>
        <x:v>0</x:v>
      </x:c>
      <x:c r="Z159" s="141" t="n">
        <x:f>IF(AND(TRUE,Premissas!$B$11="Imovel",Premissas!$B$47="Moradia",$A159&lt;MAX(Premissas!$B$48,Premissas!$B$49)),$D159,0)</x:f>
        <x:v>0</x:v>
      </x:c>
      <x:c r="AA159" s="141" t="n">
        <x:f>IF(AND(TRUE,Premissas!$B$11="Imovel",Premissas!$B$47="Investimento",$A159&gt;=MAX(Premissas!$B$48,Premissas!$B$49)),$E159,0)</x:f>
        <x:v>1287.805741974753</x:v>
      </x:c>
      <x:c r="AB159" s="141" t="n">
        <x:f>X159+Y159+Z159</x:f>
        <x:v>0</x:v>
      </x:c>
      <x:c r="AC159" s="141" t="n">
        <x:f>AA159</x:f>
        <x:v>1287.805741974753</x:v>
      </x:c>
      <x:c r="AD159" s="141" t="n">
        <x:f>$C159+AC159-AB159</x:f>
        <x:v>8287.805741974753</x:v>
      </x:c>
      <x:c r="AE159" s="141" t="n">
        <x:f>AH158*(1+Premissas!$B$41)+AD159</x:f>
        <x:v>2254939.8743728986</x:v>
      </x:c>
      <x:c r="AF159" s="141" t="n">
        <x:f>MAX(0,-AE159)</x:f>
        <x:v>0</x:v>
      </x:c>
      <x:c r="AG159" s="141" t="n">
        <x:f>AG158*(1+Premissas!$B$41)+AF159</x:f>
        <x:v>0</x:v>
      </x:c>
      <x:c r="AH159" s="141" t="n">
        <x:f>MAX(0,AE159)</x:f>
        <x:v>2254939.8743728986</x:v>
      </x:c>
      <x:c r="AI159" s="141" t="n">
        <x:f>IF(AND($A159&gt;=Premissas!$B$48,$A159-Premissas!$B$48+1&lt;=Premissas!$B$13),INDEX(Amortizacao!$L$6:$L$485,$A159-Premissas!$B$48+1),0)</x:f>
        <x:v>0</x:v>
      </x:c>
      <x:c r="AJ159" s="141" t="n">
        <x:f>IF($A159&gt;=Premissas!$B$48,$F159,0)</x:f>
        <x:v>422462.92331219336</x:v>
      </x:c>
      <x:c r="AK159" s="141" t="n">
        <x:f>AH159+AJ159-AI159</x:f>
        <x:v>2677402.797685092</x:v>
      </x:c>
      <x:c r="AL159" s="141" t="n">
        <x:f>IF(AG159&gt;1,"Inviavel",AK159)</x:f>
        <x:v>2677402.797685092</x:v>
      </x:c>
      <x:c r="AM159" s="141" t="str">
        <x:f>IF(AG159&gt;1,"Inviavel","OK")</x:f>
        <x:v>OK</x:v>
      </x:c>
      <x:c r="AN159" s="141" t="n">
        <x:f>IF($A159=Premissas!$B$48,Premissas!$B$8,0)</x:f>
        <x:v>0</x:v>
      </x:c>
      <x:c r="AO159" s="141" t="n">
        <x:f>IF($A159&lt;=Premissas!$B$25,INDEX('Consorcio IQ'!$K$6:$K$485,$A159),0)</x:f>
        <x:v>1147.8893832771146</x:v>
      </x:c>
      <x:c r="AP159" s="141" t="n">
        <x:f>IF(AND(TRUE,Premissas!$B$11="Imovel",Premissas!$B$47="Moradia",$A159&lt;MAX(Premissas!$B$48,Premissas!$B$49)),$D159,0)</x:f>
        <x:v>0</x:v>
      </x:c>
      <x:c r="AQ159" s="141" t="n">
        <x:f>IF(AND(TRUE,Premissas!$B$11="Imovel",Premissas!$B$47="Investimento",$A159&gt;=MAX(Premissas!$B$48,Premissas!$B$49)),$E159,0)</x:f>
        <x:v>1287.805741974753</x:v>
      </x:c>
      <x:c r="AR159" s="141" t="n">
        <x:f>AN159+AO159+AP159</x:f>
        <x:v>1147.8893832771146</x:v>
      </x:c>
      <x:c r="AS159" s="141" t="n">
        <x:f>AQ159</x:f>
        <x:v>1287.805741974753</x:v>
      </x:c>
      <x:c r="AT159" s="141" t="n">
        <x:f>$C159+AS159-AR159</x:f>
        <x:v>7139.916358697638</x:v>
      </x:c>
      <x:c r="AU159" s="141" t="n">
        <x:f>AX158*(1+Premissas!$B$41)+AT159</x:f>
        <x:v>2312585.587316525</x:v>
      </x:c>
      <x:c r="AV159" s="141" t="n">
        <x:f>MAX(0,-AU159)</x:f>
        <x:v>0</x:v>
      </x:c>
      <x:c r="AW159" s="141" t="n">
        <x:f>AW158*(1+Premissas!$B$41)+AV159</x:f>
        <x:v>0</x:v>
      </x:c>
      <x:c r="AX159" s="141" t="n">
        <x:f>MAX(0,AU159)</x:f>
        <x:v>2312585.587316525</x:v>
      </x:c>
      <x:c r="AY159" s="141" t="n">
        <x:f>INDEX('Consorcio IQ'!$P$6:$P$485,$A159)</x:f>
        <x:v>82391.72686103437</x:v>
      </x:c>
      <x:c r="AZ159" s="141" t="n">
        <x:f>IF($A159&gt;=Premissas!$B$48,$F159,0)+IF($A159&lt;Premissas!$B$27,INDEX('Consorcio IQ'!$O$6:$O$485,$A159),0)</x:f>
        <x:v>422462.92331219336</x:v>
      </x:c>
      <x:c r="BA159" s="141" t="n">
        <x:f>AX159+AZ159-AY159</x:f>
        <x:v>2652656.783767684</x:v>
      </x:c>
      <x:c r="BB159" s="141" t="n">
        <x:f>IF(AW159&gt;1,"Inviavel",BA159)</x:f>
        <x:v>2652656.783767684</x:v>
      </x:c>
      <x:c r="BC159" s="141" t="str">
        <x:f>IF(AW159&gt;1,"Inviavel","OK")</x:f>
        <x:v>OK</x:v>
      </x:c>
      <x:c r="BD159" s="141" t="n">
        <x:f>IF($A159='Consorcio Direto'!$B$29,'Consorcio Direto'!$B$44,0)</x:f>
        <x:v>0</x:v>
      </x:c>
      <x:c r="BE159" s="141" t="n">
        <x:f>IF($A159&lt;='Consorcio Direto'!$B$27,INDEX('Consorcio Direto'!$E$55:$E$534,$A159),0)</x:f>
        <x:v>2972.460434835085</x:v>
      </x:c>
      <x:c r="BF159" s="141" t="n">
        <x:f>IF(AND(TRUE,Premissas!$B$11="Imovel",Premissas!$B$47="Moradia",$A159&lt;MAX('Consorcio Direto'!$B$29,Premissas!$B$49)),$D159,0)</x:f>
        <x:v>0</x:v>
      </x:c>
      <x:c r="BG159" s="141" t="n">
        <x:f>IF(AND(TRUE,Premissas!$B$11="Imovel",Premissas!$B$47="Investimento",$A159&gt;=MAX('Consorcio Direto'!$B$29,Premissas!$B$49)),$E159,0)</x:f>
        <x:v>1287.805741974753</x:v>
      </x:c>
      <x:c r="BH159" s="141" t="n">
        <x:f>BD159+BE159+BF159</x:f>
        <x:v>2972.460434835085</x:v>
      </x:c>
      <x:c r="BI159" s="141" t="n">
        <x:f>BG159</x:f>
        <x:v>1287.805741974753</x:v>
      </x:c>
      <x:c r="BJ159" s="141" t="n">
        <x:f>$C159+BI159-BH159</x:f>
        <x:v>5315.345307139668</x:v>
      </x:c>
      <x:c r="BK159" s="141" t="n">
        <x:f>BN158*(1+Premissas!$B$41)+BJ159</x:f>
        <x:v>2309810.205539569</x:v>
      </x:c>
      <x:c r="BL159" s="141" t="n">
        <x:f>MAX(0,-BK159)</x:f>
        <x:v>0</x:v>
      </x:c>
      <x:c r="BM159" s="141" t="n">
        <x:f>BM158*(1+Premissas!$B$41)+BL159</x:f>
        <x:v>0</x:v>
      </x:c>
      <x:c r="BN159" s="141" t="n">
        <x:f>MAX(0,BK159)</x:f>
        <x:v>2309810.205539569</x:v>
      </x:c>
      <x:c r="BO159" s="141" t="n">
        <x:f>INDEX('Consorcio Direto'!$K$55:$K$534,$A159)</x:f>
        <x:v>213353.43964326932</x:v>
      </x:c>
      <x:c r="BP159" s="141" t="n">
        <x:f>IF($A159&lt;'Consorcio Direto'!$B$29,INDEX('Consorcio Direto'!$L$55:$L$534,$A159),$F159)</x:f>
        <x:v>422462.92331219336</x:v>
      </x:c>
      <x:c r="BQ159" s="141" t="n">
        <x:f>BN159+BP159-BO159</x:f>
        <x:v>2518919.6892084926</x:v>
      </x:c>
      <x:c r="BR159" s="141" t="n">
        <x:f>IF(BM159&gt;1,"Inviavel",BQ159)</x:f>
        <x:v>2518919.6892084926</x:v>
      </x:c>
      <x:c r="BS159" s="141" t="str">
        <x:f>IF(BM159&gt;1,"Inviavel","OK")</x:f>
        <x:v>OK</x:v>
      </x:c>
      <x:c r="BT159" s="141" t="n">
        <x:f>IF(AND('Carta Contemplada'!$B$22="Sim",$A159='Carta Contemplada'!$B$23),'Carta Contemplada'!$B$37,0)</x:f>
        <x:v>0</x:v>
      </x:c>
      <x:c r="BU159" s="141" t="n">
        <x:f>IF('Carta Contemplada'!$B$22="Sim",INDEX('Carta Contemplada'!$C$55:$C$1013,$A159),0)</x:f>
        <x:v>2414.6357662026617</x:v>
      </x:c>
      <x:c r="BV159" s="141" t="n">
        <x:f>IF(AND('Carta Contemplada'!$B$22="Sim",Premissas!$B$11="Imovel",Premissas!$B$47="Moradia",$A159&lt;MAX('Carta Contemplada'!$B$44,Premissas!$B$49)),$D159,0)</x:f>
        <x:v>0</x:v>
      </x:c>
      <x:c r="BW159" s="141" t="n">
        <x:f>IF(AND('Carta Contemplada'!$B$22="Sim",Premissas!$B$11="Imovel",Premissas!$B$47="Investimento",$A159&gt;=MAX('Carta Contemplada'!$B$44,Premissas!$B$49)),$E159,0)</x:f>
        <x:v>1287.805741974753</x:v>
      </x:c>
      <x:c r="BX159" s="141" t="n">
        <x:f>BT159+BU159+BV159</x:f>
        <x:v>2414.6357662026617</x:v>
      </x:c>
      <x:c r="BY159" s="141" t="n">
        <x:f>BW159</x:f>
        <x:v>1287.805741974753</x:v>
      </x:c>
      <x:c r="BZ159" s="141" t="n">
        <x:f>$C159+BY159-BX159</x:f>
        <x:v>5873.169975772091</x:v>
      </x:c>
      <x:c r="CA159" s="141" t="n">
        <x:f>CD158*(1+Premissas!$B$41)+BZ159</x:f>
        <x:v>2375461.1789281643</x:v>
      </x:c>
      <x:c r="CB159" s="141" t="n">
        <x:f>MAX(0,-CA159)</x:f>
        <x:v>0</x:v>
      </x:c>
      <x:c r="CC159" s="141" t="n">
        <x:f>CC158*(1+Premissas!$B$41)+CB159</x:f>
        <x:v>0</x:v>
      </x:c>
      <x:c r="CD159" s="141" t="n">
        <x:f>MAX(0,CA159)</x:f>
        <x:v>2375461.1789281643</x:v>
      </x:c>
      <x:c r="CE159" s="141" t="n">
        <x:f>IF(AND('Carta Contemplada'!$B$22="Sim",$A159&gt;='Carta Contemplada'!$B$23),INDEX('Carta Contemplada'!$I$55:$I$1013,$A159),0)</x:f>
        <x:v>58116.50805655135</x:v>
      </x:c>
      <x:c r="CF159" s="141" t="n">
        <x:f>IF(AND('Carta Contemplada'!$B$22="Sim",$A159&gt;='Carta Contemplada'!$B$44),$F159,0)</x:f>
        <x:v>422462.92331219336</x:v>
      </x:c>
      <x:c r="CG159" s="141" t="n">
        <x:f>CD159+CF159-CE159</x:f>
        <x:v>2739807.5941838063</x:v>
      </x:c>
      <x:c r="CH159" s="141" t="n">
        <x:f>IF(CC159&gt;1,"Inviavel",CG159)</x:f>
        <x:v>2739807.5941838063</x:v>
      </x:c>
      <x:c r="CI159" s="145" t="str">
        <x:f>IF(CC159&gt;1,"Inviavel","OK")</x:f>
        <x:v>OK</x:v>
      </x:c>
    </x:row>
    <x:row r="160">
      <x:c r="A160" s="142" t="n">
        <x:v>156</x:v>
      </x:c>
      <x:c r="B160" s="179" t="n">
        <x:f>EDATE(Premissas!$B$4,A160-1)</x:f>
        <x:v>51257</x:v>
      </x:c>
      <x:c r="C160" s="141" t="n">
        <x:f>IF(A160&lt;=Premissas!$B$39,Premissas!$B$42,0)</x:f>
        <x:v>7000</x:v>
      </x:c>
      <x:c r="D160" s="141" t="n">
        <x:f>Premissas!$B$54*(1+Premissas!$B$57)^INT((A160-1)/12)</x:f>
        <x:v>1408.537530284886</x:v>
      </x:c>
      <x:c r="E160" s="141" t="n">
        <x:f>Premissas!$B$64*(1+Premissas!$B$57)^INT((A160-1)/12)</x:f>
        <x:v>1287.805741974753</x:v>
      </x:c>
      <x:c r="F160" s="141" t="n">
        <x:f>MAX(0,Premissas!$B$6*(1+Premissas!$B$66)^((A160-1)/12))</x:f>
        <x:v>424519.2829533981</x:v>
      </x:c>
      <x:c r="G160" s="141" t="n">
        <x:f>G159*(1+Premissas!$B$41)+C160</x:f>
        <x:v>2870313.5228952835</x:v>
      </x:c>
      <x:c r="H160" s="141" t="n">
        <x:f>IF($A160=Premissas!$B$48,Premissas!$B$8,0)</x:f>
        <x:v>0</x:v>
      </x:c>
      <x:c r="I160" s="141" t="n">
        <x:f>IF(AND($A160&gt;=Premissas!$B$48,$A160-Premissas!$B$48+1&lt;=Premissas!$B$13),INDEX(Financiamento!$J$6:$J$485,$A160-Premissas!$B$48+1),0)</x:f>
        <x:v>1488.8686200626717</x:v>
      </x:c>
      <x:c r="J160" s="141" t="n">
        <x:f>IF(AND(TRUE,Premissas!$B$11="Imovel",Premissas!$B$47="Moradia",$A160&lt;MAX(Premissas!$B$48,Premissas!$B$49)),$D160,0)</x:f>
        <x:v>0</x:v>
      </x:c>
      <x:c r="K160" s="141" t="n">
        <x:f>IF(AND(TRUE,Premissas!$B$11="Imovel",Premissas!$B$47="Investimento",$A160&gt;=MAX(Premissas!$B$48,Premissas!$B$49)),$E160,0)</x:f>
        <x:v>1287.805741974753</x:v>
      </x:c>
      <x:c r="L160" s="141" t="n">
        <x:f>H160+I160+J160</x:f>
        <x:v>1488.8686200626717</x:v>
      </x:c>
      <x:c r="M160" s="141" t="n">
        <x:f>K160</x:f>
        <x:v>1287.805741974753</x:v>
      </x:c>
      <x:c r="N160" s="141" t="n">
        <x:f>$C160+M160-L160</x:f>
        <x:v>6798.937121912081</x:v>
      </x:c>
      <x:c r="O160" s="141" t="n">
        <x:f>R159*(1+Premissas!$B$41)+N160</x:f>
        <x:v>2347550.648780678</x:v>
      </x:c>
      <x:c r="P160" s="141" t="n">
        <x:f>MAX(0,-O160)</x:f>
        <x:v>0</x:v>
      </x:c>
      <x:c r="Q160" s="141" t="n">
        <x:f>Q159*(1+Premissas!$B$41)+P160</x:f>
        <x:v>0</x:v>
      </x:c>
      <x:c r="R160" s="141" t="n">
        <x:f>MAX(0,O160)</x:f>
        <x:v>2347550.648780678</x:v>
      </x:c>
      <x:c r="S160" s="141" t="n">
        <x:f>IF(AND($A160&gt;=Premissas!$B$48,$A160-Premissas!$B$48+1&lt;=Premissas!$B$13),INDEX(Financiamento!$M$6:$M$485,$A160-Premissas!$B$48+1),0)</x:f>
        <x:v>100571.42857142874</x:v>
      </x:c>
      <x:c r="T160" s="141" t="n">
        <x:f>IF($A160&gt;=Premissas!$B$48,$F160,0)</x:f>
        <x:v>424519.2829533981</x:v>
      </x:c>
      <x:c r="U160" s="141" t="n">
        <x:f>R160+T160-S160</x:f>
        <x:v>2671498.5031626476</x:v>
      </x:c>
      <x:c r="V160" s="141" t="n">
        <x:f>IF(Q160&gt;1,"Inviavel",U160)</x:f>
        <x:v>2671498.5031626476</x:v>
      </x:c>
      <x:c r="W160" s="141" t="str">
        <x:f>IF(Q160&gt;1,"Inviavel","OK")</x:f>
        <x:v>OK</x:v>
      </x:c>
      <x:c r="X160" s="141" t="n">
        <x:f>IF($A160=Premissas!$B$48,Premissas!$B$8,0)</x:f>
        <x:v>0</x:v>
      </x:c>
      <x:c r="Y160" s="141" t="n">
        <x:f>IF(AND($A160&gt;=Premissas!$B$48,$A160-Premissas!$B$48+1&lt;=Premissas!$B$13),INDEX(Amortizacao!$K$6:$K$485,$A160-Premissas!$B$48+1),0)</x:f>
        <x:v>0</x:v>
      </x:c>
      <x:c r="Z160" s="141" t="n">
        <x:f>IF(AND(TRUE,Premissas!$B$11="Imovel",Premissas!$B$47="Moradia",$A160&lt;MAX(Premissas!$B$48,Premissas!$B$49)),$D160,0)</x:f>
        <x:v>0</x:v>
      </x:c>
      <x:c r="AA160" s="141" t="n">
        <x:f>IF(AND(TRUE,Premissas!$B$11="Imovel",Premissas!$B$47="Investimento",$A160&gt;=MAX(Premissas!$B$48,Premissas!$B$49)),$E160,0)</x:f>
        <x:v>1287.805741974753</x:v>
      </x:c>
      <x:c r="AB160" s="141" t="n">
        <x:f>X160+Y160+Z160</x:f>
        <x:v>0</x:v>
      </x:c>
      <x:c r="AC160" s="141" t="n">
        <x:f>AA160</x:f>
        <x:v>1287.805741974753</x:v>
      </x:c>
      <x:c r="AD160" s="141" t="n">
        <x:f>$C160+AC160-AB160</x:f>
        <x:v>8287.805741974753</x:v>
      </x:c>
      <x:c r="AE160" s="141" t="n">
        <x:f>AH159*(1+Premissas!$B$41)+AD160</x:f>
        <x:v>2284624.337662732</x:v>
      </x:c>
      <x:c r="AF160" s="141" t="n">
        <x:f>MAX(0,-AE160)</x:f>
        <x:v>0</x:v>
      </x:c>
      <x:c r="AG160" s="141" t="n">
        <x:f>AG159*(1+Premissas!$B$41)+AF160</x:f>
        <x:v>0</x:v>
      </x:c>
      <x:c r="AH160" s="141" t="n">
        <x:f>MAX(0,AE160)</x:f>
        <x:v>2284624.337662732</x:v>
      </x:c>
      <x:c r="AI160" s="141" t="n">
        <x:f>IF(AND($A160&gt;=Premissas!$B$48,$A160-Premissas!$B$48+1&lt;=Premissas!$B$13),INDEX(Amortizacao!$L$6:$L$485,$A160-Premissas!$B$48+1),0)</x:f>
        <x:v>0</x:v>
      </x:c>
      <x:c r="AJ160" s="141" t="n">
        <x:f>IF($A160&gt;=Premissas!$B$48,$F160,0)</x:f>
        <x:v>424519.2829533981</x:v>
      </x:c>
      <x:c r="AK160" s="141" t="n">
        <x:f>AH160+AJ160-AI160</x:f>
        <x:v>2709143.6206161305</x:v>
      </x:c>
      <x:c r="AL160" s="141" t="n">
        <x:f>IF(AG160&gt;1,"Inviavel",AK160)</x:f>
        <x:v>2709143.6206161305</x:v>
      </x:c>
      <x:c r="AM160" s="141" t="str">
        <x:f>IF(AG160&gt;1,"Inviavel","OK")</x:f>
        <x:v>OK</x:v>
      </x:c>
      <x:c r="AN160" s="141" t="n">
        <x:f>IF($A160=Premissas!$B$48,Premissas!$B$8,0)</x:f>
        <x:v>0</x:v>
      </x:c>
      <x:c r="AO160" s="141" t="n">
        <x:f>IF($A160&lt;=Premissas!$B$25,INDEX('Consorcio IQ'!$K$6:$K$485,$A160),0)</x:f>
        <x:v>1147.8893832771146</x:v>
      </x:c>
      <x:c r="AP160" s="141" t="n">
        <x:f>IF(AND(TRUE,Premissas!$B$11="Imovel",Premissas!$B$47="Moradia",$A160&lt;MAX(Premissas!$B$48,Premissas!$B$49)),$D160,0)</x:f>
        <x:v>0</x:v>
      </x:c>
      <x:c r="AQ160" s="141" t="n">
        <x:f>IF(AND(TRUE,Premissas!$B$11="Imovel",Premissas!$B$47="Investimento",$A160&gt;=MAX(Premissas!$B$48,Premissas!$B$49)),$E160,0)</x:f>
        <x:v>1287.805741974753</x:v>
      </x:c>
      <x:c r="AR160" s="141" t="n">
        <x:f>AN160+AO160+AP160</x:f>
        <x:v>1147.8893832771146</x:v>
      </x:c>
      <x:c r="AS160" s="141" t="n">
        <x:f>AQ160</x:f>
        <x:v>1287.805741974753</x:v>
      </x:c>
      <x:c r="AT160" s="141" t="n">
        <x:f>$C160+AS160-AR160</x:f>
        <x:v>7139.916358697638</x:v>
      </x:c>
      <x:c r="AU160" s="141" t="n">
        <x:f>AX159*(1+Premissas!$B$41)+AT160</x:f>
        <x:v>2341669.1494567706</x:v>
      </x:c>
      <x:c r="AV160" s="141" t="n">
        <x:f>MAX(0,-AU160)</x:f>
        <x:v>0</x:v>
      </x:c>
      <x:c r="AW160" s="141" t="n">
        <x:f>AW159*(1+Premissas!$B$41)+AV160</x:f>
        <x:v>0</x:v>
      </x:c>
      <x:c r="AX160" s="141" t="n">
        <x:f>MAX(0,AU160)</x:f>
        <x:v>2341669.1494567706</x:v>
      </x:c>
      <x:c r="AY160" s="141" t="n">
        <x:f>INDEX('Consorcio IQ'!$P$6:$P$485,$A160)</x:f>
        <x:v>82025.63551346434</x:v>
      </x:c>
      <x:c r="AZ160" s="141" t="n">
        <x:f>IF($A160&gt;=Premissas!$B$48,$F160,0)+IF($A160&lt;Premissas!$B$27,INDEX('Consorcio IQ'!$O$6:$O$485,$A160),0)</x:f>
        <x:v>424519.2829533981</x:v>
      </x:c>
      <x:c r="BA160" s="141" t="n">
        <x:f>AX160+AZ160-AY160</x:f>
        <x:v>2684162.7968967045</x:v>
      </x:c>
      <x:c r="BB160" s="141" t="n">
        <x:f>IF(AW160&gt;1,"Inviavel",BA160)</x:f>
        <x:v>2684162.7968967045</x:v>
      </x:c>
      <x:c r="BC160" s="141" t="str">
        <x:f>IF(AW160&gt;1,"Inviavel","OK")</x:f>
        <x:v>OK</x:v>
      </x:c>
      <x:c r="BD160" s="141" t="n">
        <x:f>IF($A160='Consorcio Direto'!$B$29,'Consorcio Direto'!$B$44,0)</x:f>
        <x:v>0</x:v>
      </x:c>
      <x:c r="BE160" s="141" t="n">
        <x:f>IF($A160&lt;='Consorcio Direto'!$B$27,INDEX('Consorcio Direto'!$E$55:$E$534,$A160),0)</x:f>
        <x:v>2972.460434835085</x:v>
      </x:c>
      <x:c r="BF160" s="141" t="n">
        <x:f>IF(AND(TRUE,Premissas!$B$11="Imovel",Premissas!$B$47="Moradia",$A160&lt;MAX('Consorcio Direto'!$B$29,Premissas!$B$49)),$D160,0)</x:f>
        <x:v>0</x:v>
      </x:c>
      <x:c r="BG160" s="141" t="n">
        <x:f>IF(AND(TRUE,Premissas!$B$11="Imovel",Premissas!$B$47="Investimento",$A160&gt;=MAX('Consorcio Direto'!$B$29,Premissas!$B$49)),$E160,0)</x:f>
        <x:v>1287.805741974753</x:v>
      </x:c>
      <x:c r="BH160" s="141" t="n">
        <x:f>BD160+BE160+BF160</x:f>
        <x:v>2972.460434835085</x:v>
      </x:c>
      <x:c r="BI160" s="141" t="n">
        <x:f>BG160</x:f>
        <x:v>1287.805741974753</x:v>
      </x:c>
      <x:c r="BJ160" s="141" t="n">
        <x:f>$C160+BI160-BH160</x:f>
        <x:v>5315.345307139668</x:v>
      </x:c>
      <x:c r="BK160" s="141" t="n">
        <x:f>BN159*(1+Premissas!$B$41)+BJ160</x:f>
        <x:v>2337042.86160526</x:v>
      </x:c>
      <x:c r="BL160" s="141" t="n">
        <x:f>MAX(0,-BK160)</x:f>
        <x:v>0</x:v>
      </x:c>
      <x:c r="BM160" s="141" t="n">
        <x:f>BM159*(1+Premissas!$B$41)+BL160</x:f>
        <x:v>0</x:v>
      </x:c>
      <x:c r="BN160" s="141" t="n">
        <x:f>MAX(0,BK160)</x:f>
        <x:v>2337042.86160526</x:v>
      </x:c>
      <x:c r="BO160" s="141" t="n">
        <x:f>INDEX('Consorcio Direto'!$K$55:$K$534,$A160)</x:f>
        <x:v>212405.44581909027</x:v>
      </x:c>
      <x:c r="BP160" s="141" t="n">
        <x:f>IF($A160&lt;'Consorcio Direto'!$B$29,INDEX('Consorcio Direto'!$L$55:$L$534,$A160),$F160)</x:f>
        <x:v>424519.2829533981</x:v>
      </x:c>
      <x:c r="BQ160" s="141" t="n">
        <x:f>BN160+BP160-BO160</x:f>
        <x:v>2549156.6987395682</x:v>
      </x:c>
      <x:c r="BR160" s="141" t="n">
        <x:f>IF(BM160&gt;1,"Inviavel",BQ160)</x:f>
        <x:v>2549156.6987395682</x:v>
      </x:c>
      <x:c r="BS160" s="141" t="str">
        <x:f>IF(BM160&gt;1,"Inviavel","OK")</x:f>
        <x:v>OK</x:v>
      </x:c>
      <x:c r="BT160" s="141" t="n">
        <x:f>IF(AND('Carta Contemplada'!$B$22="Sim",$A160='Carta Contemplada'!$B$23),'Carta Contemplada'!$B$37,0)</x:f>
        <x:v>0</x:v>
      </x:c>
      <x:c r="BU160" s="141" t="n">
        <x:f>IF('Carta Contemplada'!$B$22="Sim",INDEX('Carta Contemplada'!$C$55:$C$1013,$A160),0)</x:f>
        <x:v>2414.6357662026617</x:v>
      </x:c>
      <x:c r="BV160" s="141" t="n">
        <x:f>IF(AND('Carta Contemplada'!$B$22="Sim",Premissas!$B$11="Imovel",Premissas!$B$47="Moradia",$A160&lt;MAX('Carta Contemplada'!$B$44,Premissas!$B$49)),$D160,0)</x:f>
        <x:v>0</x:v>
      </x:c>
      <x:c r="BW160" s="141" t="n">
        <x:f>IF(AND('Carta Contemplada'!$B$22="Sim",Premissas!$B$11="Imovel",Premissas!$B$47="Investimento",$A160&gt;=MAX('Carta Contemplada'!$B$44,Premissas!$B$49)),$E160,0)</x:f>
        <x:v>1287.805741974753</x:v>
      </x:c>
      <x:c r="BX160" s="141" t="n">
        <x:f>BT160+BU160+BV160</x:f>
        <x:v>2414.6357662026617</x:v>
      </x:c>
      <x:c r="BY160" s="141" t="n">
        <x:f>BW160</x:f>
        <x:v>1287.805741974753</x:v>
      </x:c>
      <x:c r="BZ160" s="141" t="n">
        <x:f>$C160+BY160-BX160</x:f>
        <x:v>5873.169975772091</x:v>
      </x:c>
      <x:c r="CA160" s="141" t="n">
        <x:f>CD159*(1+Premissas!$B$41)+BZ160</x:f>
        <x:v>2403874.608154926</x:v>
      </x:c>
      <x:c r="CB160" s="141" t="n">
        <x:f>MAX(0,-CA160)</x:f>
        <x:v>0</x:v>
      </x:c>
      <x:c r="CC160" s="141" t="n">
        <x:f>CC159*(1+Premissas!$B$41)+CB160</x:f>
        <x:v>0</x:v>
      </x:c>
      <x:c r="CD160" s="141" t="n">
        <x:f>MAX(0,CA160)</x:f>
        <x:v>2403874.608154926</x:v>
      </x:c>
      <x:c r="CE160" s="141" t="n">
        <x:f>IF(AND('Carta Contemplada'!$B$22="Sim",$A160&gt;='Carta Contemplada'!$B$23),INDEX('Carta Contemplada'!$I$55:$I$1013,$A160),0)</x:f>
        <x:v>56253.32780137833</x:v>
      </x:c>
      <x:c r="CF160" s="141" t="n">
        <x:f>IF(AND('Carta Contemplada'!$B$22="Sim",$A160&gt;='Carta Contemplada'!$B$44),$F160,0)</x:f>
        <x:v>424519.2829533981</x:v>
      </x:c>
      <x:c r="CG160" s="141" t="n">
        <x:f>CD160+CF160-CE160</x:f>
        <x:v>2772140.563306946</x:v>
      </x:c>
      <x:c r="CH160" s="141" t="n">
        <x:f>IF(CC160&gt;1,"Inviavel",CG160)</x:f>
        <x:v>2772140.563306946</x:v>
      </x:c>
      <x:c r="CI160" s="145" t="str">
        <x:f>IF(CC160&gt;1,"Inviavel","OK")</x:f>
        <x:v>OK</x:v>
      </x:c>
    </x:row>
    <x:row r="161">
      <x:c r="A161" s="142" t="n">
        <x:v>157</x:v>
      </x:c>
      <x:c r="B161" s="179" t="n">
        <x:f>EDATE(Premissas!$B$4,A161-1)</x:f>
        <x:v>51288</x:v>
      </x:c>
      <x:c r="C161" s="141" t="n">
        <x:f>IF(A161&lt;=Premissas!$B$39,Premissas!$B$42,0)</x:f>
        <x:v>7000</x:v>
      </x:c>
      <x:c r="D161" s="141" t="n">
        <x:f>Premissas!$B$54*(1+Premissas!$B$57)^INT((A161-1)/12)</x:f>
        <x:v>1493.0497821019792</x:v>
      </x:c>
      <x:c r="E161" s="141" t="n">
        <x:f>Premissas!$B$64*(1+Premissas!$B$57)^INT((A161-1)/12)</x:f>
        <x:v>1365.0740864932382</x:v>
      </x:c>
      <x:c r="F161" s="141" t="n">
        <x:f>MAX(0,Premissas!$B$6*(1+Premissas!$B$66)^((A161-1)/12))</x:f>
        <x:v>426585.65202913695</x:v>
      </x:c>
      <x:c r="G161" s="141" t="n">
        <x:f>G160*(1+Premissas!$B$41)+C161</x:f>
        <x:v>2904549.3335713707</x:v>
      </x:c>
      <x:c r="H161" s="141" t="n">
        <x:f>IF($A161=Premissas!$B$48,Premissas!$B$8,0)</x:f>
        <x:v>0</x:v>
      </x:c>
      <x:c r="I161" s="141" t="n">
        <x:f>IF(AND($A161&gt;=Premissas!$B$48,$A161-Premissas!$B$48+1&lt;=Premissas!$B$13),INDEX(Financiamento!$J$6:$J$485,$A161-Premissas!$B$48+1),0)</x:f>
        <x:v>1485.253841801878</x:v>
      </x:c>
      <x:c r="J161" s="141" t="n">
        <x:f>IF(AND(TRUE,Premissas!$B$11="Imovel",Premissas!$B$47="Moradia",$A161&lt;MAX(Premissas!$B$48,Premissas!$B$49)),$D161,0)</x:f>
        <x:v>0</x:v>
      </x:c>
      <x:c r="K161" s="141" t="n">
        <x:f>IF(AND(TRUE,Premissas!$B$11="Imovel",Premissas!$B$47="Investimento",$A161&gt;=MAX(Premissas!$B$48,Premissas!$B$49)),$E161,0)</x:f>
        <x:v>1365.0740864932382</x:v>
      </x:c>
      <x:c r="L161" s="141" t="n">
        <x:f>H161+I161+J161</x:f>
        <x:v>1485.253841801878</x:v>
      </x:c>
      <x:c r="M161" s="141" t="n">
        <x:f>K161</x:f>
        <x:v>1365.0740864932382</x:v>
      </x:c>
      <x:c r="N161" s="141" t="n">
        <x:f>$C161+M161-L161</x:f>
        <x:v>6879.82024469136</x:v>
      </x:c>
      <x:c r="O161" s="141" t="n">
        <x:f>R160*(1+Premissas!$B$41)+N161</x:f>
        <x:v>2376705.8910350953</x:v>
      </x:c>
      <x:c r="P161" s="141" t="n">
        <x:f>MAX(0,-O161)</x:f>
        <x:v>0</x:v>
      </x:c>
      <x:c r="Q161" s="141" t="n">
        <x:f>Q160*(1+Premissas!$B$41)+P161</x:f>
        <x:v>0</x:v>
      </x:c>
      <x:c r="R161" s="141" t="n">
        <x:f>MAX(0,O161)</x:f>
        <x:v>2376705.8910350953</x:v>
      </x:c>
      <x:c r="S161" s="141" t="n">
        <x:f>IF(AND($A161&gt;=Premissas!$B$48,$A161-Premissas!$B$48+1&lt;=Premissas!$B$13),INDEX(Financiamento!$M$6:$M$485,$A161-Premissas!$B$48+1),0)</x:f>
        <x:v>100190.47619047636</x:v>
      </x:c>
      <x:c r="T161" s="141" t="n">
        <x:f>IF($A161&gt;=Premissas!$B$48,$F161,0)</x:f>
        <x:v>426585.65202913695</x:v>
      </x:c>
      <x:c r="U161" s="141" t="n">
        <x:f>R161+T161-S161</x:f>
        <x:v>2703101.0668737562</x:v>
      </x:c>
      <x:c r="V161" s="141" t="n">
        <x:f>IF(Q161&gt;1,"Inviavel",U161)</x:f>
        <x:v>2703101.0668737562</x:v>
      </x:c>
      <x:c r="W161" s="141" t="str">
        <x:f>IF(Q161&gt;1,"Inviavel","OK")</x:f>
        <x:v>OK</x:v>
      </x:c>
      <x:c r="X161" s="141" t="n">
        <x:f>IF($A161=Premissas!$B$48,Premissas!$B$8,0)</x:f>
        <x:v>0</x:v>
      </x:c>
      <x:c r="Y161" s="141" t="n">
        <x:f>IF(AND($A161&gt;=Premissas!$B$48,$A161-Premissas!$B$48+1&lt;=Premissas!$B$13),INDEX(Amortizacao!$K$6:$K$485,$A161-Premissas!$B$48+1),0)</x:f>
        <x:v>0</x:v>
      </x:c>
      <x:c r="Z161" s="141" t="n">
        <x:f>IF(AND(TRUE,Premissas!$B$11="Imovel",Premissas!$B$47="Moradia",$A161&lt;MAX(Premissas!$B$48,Premissas!$B$49)),$D161,0)</x:f>
        <x:v>0</x:v>
      </x:c>
      <x:c r="AA161" s="141" t="n">
        <x:f>IF(AND(TRUE,Premissas!$B$11="Imovel",Premissas!$B$47="Investimento",$A161&gt;=MAX(Premissas!$B$48,Premissas!$B$49)),$E161,0)</x:f>
        <x:v>1365.0740864932382</x:v>
      </x:c>
      <x:c r="AB161" s="141" t="n">
        <x:f>X161+Y161+Z161</x:f>
        <x:v>0</x:v>
      </x:c>
      <x:c r="AC161" s="141" t="n">
        <x:f>AA161</x:f>
        <x:v>1365.0740864932382</x:v>
      </x:c>
      <x:c r="AD161" s="141" t="n">
        <x:f>$C161+AC161-AB161</x:f>
        <x:v>8365.074086493238</x:v>
      </x:c>
      <x:c r="AE161" s="141" t="n">
        <x:f>AH160*(1+Premissas!$B$41)+AD161</x:f>
        <x:v>2314667.7390226163</x:v>
      </x:c>
      <x:c r="AF161" s="141" t="n">
        <x:f>MAX(0,-AE161)</x:f>
        <x:v>0</x:v>
      </x:c>
      <x:c r="AG161" s="141" t="n">
        <x:f>AG160*(1+Premissas!$B$41)+AF161</x:f>
        <x:v>0</x:v>
      </x:c>
      <x:c r="AH161" s="141" t="n">
        <x:f>MAX(0,AE161)</x:f>
        <x:v>2314667.7390226163</x:v>
      </x:c>
      <x:c r="AI161" s="141" t="n">
        <x:f>IF(AND($A161&gt;=Premissas!$B$48,$A161-Premissas!$B$48+1&lt;=Premissas!$B$13),INDEX(Amortizacao!$L$6:$L$485,$A161-Premissas!$B$48+1),0)</x:f>
        <x:v>0</x:v>
      </x:c>
      <x:c r="AJ161" s="141" t="n">
        <x:f>IF($A161&gt;=Premissas!$B$48,$F161,0)</x:f>
        <x:v>426585.65202913695</x:v>
      </x:c>
      <x:c r="AK161" s="141" t="n">
        <x:f>AH161+AJ161-AI161</x:f>
        <x:v>2741253.3910517534</x:v>
      </x:c>
      <x:c r="AL161" s="141" t="n">
        <x:f>IF(AG161&gt;1,"Inviavel",AK161)</x:f>
        <x:v>2741253.3910517534</x:v>
      </x:c>
      <x:c r="AM161" s="141" t="str">
        <x:f>IF(AG161&gt;1,"Inviavel","OK")</x:f>
        <x:v>OK</x:v>
      </x:c>
      <x:c r="AN161" s="141" t="n">
        <x:f>IF($A161=Premissas!$B$48,Premissas!$B$8,0)</x:f>
        <x:v>0</x:v>
      </x:c>
      <x:c r="AO161" s="141" t="n">
        <x:f>IF($A161&lt;=Premissas!$B$25,INDEX('Consorcio IQ'!$K$6:$K$485,$A161),0)</x:f>
        <x:v>1216.7627462737416</x:v>
      </x:c>
      <x:c r="AP161" s="141" t="n">
        <x:f>IF(AND(TRUE,Premissas!$B$11="Imovel",Premissas!$B$47="Moradia",$A161&lt;MAX(Premissas!$B$48,Premissas!$B$49)),$D161,0)</x:f>
        <x:v>0</x:v>
      </x:c>
      <x:c r="AQ161" s="141" t="n">
        <x:f>IF(AND(TRUE,Premissas!$B$11="Imovel",Premissas!$B$47="Investimento",$A161&gt;=MAX(Premissas!$B$48,Premissas!$B$49)),$E161,0)</x:f>
        <x:v>1365.0740864932382</x:v>
      </x:c>
      <x:c r="AR161" s="141" t="n">
        <x:f>AN161+AO161+AP161</x:f>
        <x:v>1216.7627462737416</x:v>
      </x:c>
      <x:c r="AS161" s="141" t="n">
        <x:f>AQ161</x:f>
        <x:v>1365.0740864932382</x:v>
      </x:c>
      <x:c r="AT161" s="141" t="n">
        <x:f>$C161+AS161-AR161</x:f>
        <x:v>7148.311340219496</x:v>
      </x:c>
      <x:c r="AU161" s="141" t="n">
        <x:f>AX160*(1+Premissas!$B$41)+AT161</x:f>
        <x:v>2371037.0744774863</x:v>
      </x:c>
      <x:c r="AV161" s="141" t="n">
        <x:f>MAX(0,-AU161)</x:f>
        <x:v>0</x:v>
      </x:c>
      <x:c r="AW161" s="141" t="n">
        <x:f>AW160*(1+Premissas!$B$41)+AV161</x:f>
        <x:v>0</x:v>
      </x:c>
      <x:c r="AX161" s="141" t="n">
        <x:f>MAX(0,AU161)</x:f>
        <x:v>2371037.0744774863</x:v>
      </x:c>
      <x:c r="AY161" s="141" t="n">
        <x:f>INDEX('Consorcio IQ'!$P$6:$P$485,$A161)</x:f>
        <x:v>81587.19703790544</x:v>
      </x:c>
      <x:c r="AZ161" s="141" t="n">
        <x:f>IF($A161&gt;=Premissas!$B$48,$F161,0)+IF($A161&lt;Premissas!$B$27,INDEX('Consorcio IQ'!$O$6:$O$485,$A161),0)</x:f>
        <x:v>426585.65202913695</x:v>
      </x:c>
      <x:c r="BA161" s="141" t="n">
        <x:f>AX161+AZ161-AY161</x:f>
        <x:v>2716035.529468718</x:v>
      </x:c>
      <x:c r="BB161" s="141" t="n">
        <x:f>IF(AW161&gt;1,"Inviavel",BA161)</x:f>
        <x:v>2716035.529468718</x:v>
      </x:c>
      <x:c r="BC161" s="141" t="str">
        <x:f>IF(AW161&gt;1,"Inviavel","OK")</x:f>
        <x:v>OK</x:v>
      </x:c>
      <x:c r="BD161" s="141" t="n">
        <x:f>IF($A161='Consorcio Direto'!$B$29,'Consorcio Direto'!$B$44,0)</x:f>
        <x:v>0</x:v>
      </x:c>
      <x:c r="BE161" s="141" t="n">
        <x:f>IF($A161&lt;='Consorcio Direto'!$B$27,INDEX('Consorcio Direto'!$E$55:$E$534,$A161),0)</x:f>
        <x:v>3150.80806092519</x:v>
      </x:c>
      <x:c r="BF161" s="141" t="n">
        <x:f>IF(AND(TRUE,Premissas!$B$11="Imovel",Premissas!$B$47="Moradia",$A161&lt;MAX('Consorcio Direto'!$B$29,Premissas!$B$49)),$D161,0)</x:f>
        <x:v>0</x:v>
      </x:c>
      <x:c r="BG161" s="141" t="n">
        <x:f>IF(AND(TRUE,Premissas!$B$11="Imovel",Premissas!$B$47="Investimento",$A161&gt;=MAX('Consorcio Direto'!$B$29,Premissas!$B$49)),$E161,0)</x:f>
        <x:v>1365.0740864932382</x:v>
      </x:c>
      <x:c r="BH161" s="141" t="n">
        <x:f>BD161+BE161+BF161</x:f>
        <x:v>3150.80806092519</x:v>
      </x:c>
      <x:c r="BI161" s="141" t="n">
        <x:f>BG161</x:f>
        <x:v>1365.0740864932382</x:v>
      </x:c>
      <x:c r="BJ161" s="141" t="n">
        <x:f>$C161+BI161-BH161</x:f>
        <x:v>5214.266025568048</x:v>
      </x:c>
      <x:c r="BK161" s="141" t="n">
        <x:f>BN160*(1+Premissas!$B$41)+BJ161</x:f>
        <x:v>2364432.8434238457</x:v>
      </x:c>
      <x:c r="BL161" s="141" t="n">
        <x:f>MAX(0,-BK161)</x:f>
        <x:v>0</x:v>
      </x:c>
      <x:c r="BM161" s="141" t="n">
        <x:f>BM160*(1+Premissas!$B$41)+BL161</x:f>
        <x:v>0</x:v>
      </x:c>
      <x:c r="BN161" s="141" t="n">
        <x:f>MAX(0,BK161)</x:f>
        <x:v>2364432.8434238457</x:v>
      </x:c>
      <x:c r="BO161" s="141" t="n">
        <x:f>INDEX('Consorcio Direto'!$K$55:$K$534,$A161)</x:f>
        <x:v>211270.1090517202</x:v>
      </x:c>
      <x:c r="BP161" s="141" t="n">
        <x:f>IF($A161&lt;'Consorcio Direto'!$B$29,INDEX('Consorcio Direto'!$L$55:$L$534,$A161),$F161)</x:f>
        <x:v>426585.65202913695</x:v>
      </x:c>
      <x:c r="BQ161" s="141" t="n">
        <x:f>BN161+BP161-BO161</x:f>
        <x:v>2579748.3864012626</x:v>
      </x:c>
      <x:c r="BR161" s="141" t="n">
        <x:f>IF(BM161&gt;1,"Inviavel",BQ161)</x:f>
        <x:v>2579748.3864012626</x:v>
      </x:c>
      <x:c r="BS161" s="141" t="str">
        <x:f>IF(BM161&gt;1,"Inviavel","OK")</x:f>
        <x:v>OK</x:v>
      </x:c>
      <x:c r="BT161" s="141" t="n">
        <x:f>IF(AND('Carta Contemplada'!$B$22="Sim",$A161='Carta Contemplada'!$B$23),'Carta Contemplada'!$B$37,0)</x:f>
        <x:v>0</x:v>
      </x:c>
      <x:c r="BU161" s="141" t="n">
        <x:f>IF('Carta Contemplada'!$B$22="Sim",INDEX('Carta Contemplada'!$C$55:$C$1013,$A161),0)</x:f>
        <x:v>2559.5139121748216</x:v>
      </x:c>
      <x:c r="BV161" s="141" t="n">
        <x:f>IF(AND('Carta Contemplada'!$B$22="Sim",Premissas!$B$11="Imovel",Premissas!$B$47="Moradia",$A161&lt;MAX('Carta Contemplada'!$B$44,Premissas!$B$49)),$D161,0)</x:f>
        <x:v>0</x:v>
      </x:c>
      <x:c r="BW161" s="141" t="n">
        <x:f>IF(AND('Carta Contemplada'!$B$22="Sim",Premissas!$B$11="Imovel",Premissas!$B$47="Investimento",$A161&gt;=MAX('Carta Contemplada'!$B$44,Premissas!$B$49)),$E161,0)</x:f>
        <x:v>1365.0740864932382</x:v>
      </x:c>
      <x:c r="BX161" s="141" t="n">
        <x:f>BT161+BU161+BV161</x:f>
        <x:v>2559.5139121748216</x:v>
      </x:c>
      <x:c r="BY161" s="141" t="n">
        <x:f>BW161</x:f>
        <x:v>1365.0740864932382</x:v>
      </x:c>
      <x:c r="BZ161" s="141" t="n">
        <x:f>$C161+BY161-BX161</x:f>
        <x:v>5805.560174318416</x:v>
      </x:c>
      <x:c r="CA161" s="141" t="n">
        <x:f>CD160*(1+Premissas!$B$41)+BZ161</x:f>
        <x:v>2432490.0367267285</x:v>
      </x:c>
      <x:c r="CB161" s="141" t="n">
        <x:f>MAX(0,-CA161)</x:f>
        <x:v>0</x:v>
      </x:c>
      <x:c r="CC161" s="141" t="n">
        <x:f>CC160*(1+Premissas!$B$41)+CB161</x:f>
        <x:v>0</x:v>
      </x:c>
      <x:c r="CD161" s="141" t="n">
        <x:f>MAX(0,CA161)</x:f>
        <x:v>2432490.0367267285</x:v>
      </x:c>
      <x:c r="CE161" s="141" t="n">
        <x:f>IF(AND('Carta Contemplada'!$B$22="Sim",$A161&gt;='Carta Contemplada'!$B$23),INDEX('Carta Contemplada'!$I$55:$I$1013,$A161),0)</x:f>
        <x:v>54227.590068592006</x:v>
      </x:c>
      <x:c r="CF161" s="141" t="n">
        <x:f>IF(AND('Carta Contemplada'!$B$22="Sim",$A161&gt;='Carta Contemplada'!$B$44),$F161,0)</x:f>
        <x:v>426585.65202913695</x:v>
      </x:c>
      <x:c r="CG161" s="141" t="n">
        <x:f>CD161+CF161-CE161</x:f>
        <x:v>2804848.0986872735</x:v>
      </x:c>
      <x:c r="CH161" s="141" t="n">
        <x:f>IF(CC161&gt;1,"Inviavel",CG161)</x:f>
        <x:v>2804848.0986872735</x:v>
      </x:c>
      <x:c r="CI161" s="145" t="str">
        <x:f>IF(CC161&gt;1,"Inviavel","OK")</x:f>
        <x:v>OK</x:v>
      </x:c>
    </x:row>
    <x:row r="162">
      <x:c r="A162" s="142" t="n">
        <x:v>158</x:v>
      </x:c>
      <x:c r="B162" s="179" t="n">
        <x:f>EDATE(Premissas!$B$4,A162-1)</x:f>
        <x:v>51318</x:v>
      </x:c>
      <x:c r="C162" s="141" t="n">
        <x:f>IF(A162&lt;=Premissas!$B$39,Premissas!$B$42,0)</x:f>
        <x:v>7000</x:v>
      </x:c>
      <x:c r="D162" s="141" t="n">
        <x:f>Premissas!$B$54*(1+Premissas!$B$57)^INT((A162-1)/12)</x:f>
        <x:v>1493.0497821019792</x:v>
      </x:c>
      <x:c r="E162" s="141" t="n">
        <x:f>Premissas!$B$64*(1+Premissas!$B$57)^INT((A162-1)/12)</x:f>
        <x:v>1365.0740864932382</x:v>
      </x:c>
      <x:c r="F162" s="141" t="n">
        <x:f>MAX(0,Premissas!$B$6*(1+Premissas!$B$66)^((A162-1)/12))</x:f>
        <x:v>428662.0792608386</x:v>
      </x:c>
      <x:c r="G162" s="141" t="n">
        <x:f>G161*(1+Premissas!$B$41)+C162</x:f>
        <x:v>2939110.000765911</x:v>
      </x:c>
      <x:c r="H162" s="141" t="n">
        <x:f>IF($A162=Premissas!$B$48,Premissas!$B$8,0)</x:f>
        <x:v>0</x:v>
      </x:c>
      <x:c r="I162" s="141" t="n">
        <x:f>IF(AND($A162&gt;=Premissas!$B$48,$A162-Premissas!$B$48+1&lt;=Premissas!$B$13),INDEX(Financiamento!$J$6:$J$485,$A162-Premissas!$B$48+1),0)</x:f>
        <x:v>1481.6390635410846</x:v>
      </x:c>
      <x:c r="J162" s="141" t="n">
        <x:f>IF(AND(TRUE,Premissas!$B$11="Imovel",Premissas!$B$47="Moradia",$A162&lt;MAX(Premissas!$B$48,Premissas!$B$49)),$D162,0)</x:f>
        <x:v>0</x:v>
      </x:c>
      <x:c r="K162" s="141" t="n">
        <x:f>IF(AND(TRUE,Premissas!$B$11="Imovel",Premissas!$B$47="Investimento",$A162&gt;=MAX(Premissas!$B$48,Premissas!$B$49)),$E162,0)</x:f>
        <x:v>1365.0740864932382</x:v>
      </x:c>
      <x:c r="L162" s="141" t="n">
        <x:f>H162+I162+J162</x:f>
        <x:v>1481.6390635410846</x:v>
      </x:c>
      <x:c r="M162" s="141" t="n">
        <x:f>K162</x:f>
        <x:v>1365.0740864932382</x:v>
      </x:c>
      <x:c r="N162" s="141" t="n">
        <x:f>$C162+M162-L162</x:f>
        <x:v>6883.435022952153</x:v>
      </x:c>
      <x:c r="O162" s="141" t="n">
        <x:f>R161*(1+Premissas!$B$41)+N162</x:f>
        <x:v>2406141.396124483</x:v>
      </x:c>
      <x:c r="P162" s="141" t="n">
        <x:f>MAX(0,-O162)</x:f>
        <x:v>0</x:v>
      </x:c>
      <x:c r="Q162" s="141" t="n">
        <x:f>Q161*(1+Premissas!$B$41)+P162</x:f>
        <x:v>0</x:v>
      </x:c>
      <x:c r="R162" s="141" t="n">
        <x:f>MAX(0,O162)</x:f>
        <x:v>2406141.396124483</x:v>
      </x:c>
      <x:c r="S162" s="141" t="n">
        <x:f>IF(AND($A162&gt;=Premissas!$B$48,$A162-Premissas!$B$48+1&lt;=Premissas!$B$13),INDEX(Financiamento!$M$6:$M$485,$A162-Premissas!$B$48+1),0)</x:f>
        <x:v>99809.52380952398</x:v>
      </x:c>
      <x:c r="T162" s="141" t="n">
        <x:f>IF($A162&gt;=Premissas!$B$48,$F162,0)</x:f>
        <x:v>428662.0792608386</x:v>
      </x:c>
      <x:c r="U162" s="141" t="n">
        <x:f>R162+T162-S162</x:f>
        <x:v>2734993.951575798</x:v>
      </x:c>
      <x:c r="V162" s="141" t="n">
        <x:f>IF(Q162&gt;1,"Inviavel",U162)</x:f>
        <x:v>2734993.951575798</x:v>
      </x:c>
      <x:c r="W162" s="141" t="str">
        <x:f>IF(Q162&gt;1,"Inviavel","OK")</x:f>
        <x:v>OK</x:v>
      </x:c>
      <x:c r="X162" s="141" t="n">
        <x:f>IF($A162=Premissas!$B$48,Premissas!$B$8,0)</x:f>
        <x:v>0</x:v>
      </x:c>
      <x:c r="Y162" s="141" t="n">
        <x:f>IF(AND($A162&gt;=Premissas!$B$48,$A162-Premissas!$B$48+1&lt;=Premissas!$B$13),INDEX(Amortizacao!$K$6:$K$485,$A162-Premissas!$B$48+1),0)</x:f>
        <x:v>0</x:v>
      </x:c>
      <x:c r="Z162" s="141" t="n">
        <x:f>IF(AND(TRUE,Premissas!$B$11="Imovel",Premissas!$B$47="Moradia",$A162&lt;MAX(Premissas!$B$48,Premissas!$B$49)),$D162,0)</x:f>
        <x:v>0</x:v>
      </x:c>
      <x:c r="AA162" s="141" t="n">
        <x:f>IF(AND(TRUE,Premissas!$B$11="Imovel",Premissas!$B$47="Investimento",$A162&gt;=MAX(Premissas!$B$48,Premissas!$B$49)),$E162,0)</x:f>
        <x:v>1365.0740864932382</x:v>
      </x:c>
      <x:c r="AB162" s="141" t="n">
        <x:f>X162+Y162+Z162</x:f>
        <x:v>0</x:v>
      </x:c>
      <x:c r="AC162" s="141" t="n">
        <x:f>AA162</x:f>
        <x:v>1365.0740864932382</x:v>
      </x:c>
      <x:c r="AD162" s="141" t="n">
        <x:f>$C162+AC162-AB162</x:f>
        <x:v>8365.074086493238</x:v>
      </x:c>
      <x:c r="AE162" s="141" t="n">
        <x:f>AH161*(1+Premissas!$B$41)+AD162</x:f>
        <x:v>2344996.2159970547</x:v>
      </x:c>
      <x:c r="AF162" s="141" t="n">
        <x:f>MAX(0,-AE162)</x:f>
        <x:v>0</x:v>
      </x:c>
      <x:c r="AG162" s="141" t="n">
        <x:f>AG161*(1+Premissas!$B$41)+AF162</x:f>
        <x:v>0</x:v>
      </x:c>
      <x:c r="AH162" s="141" t="n">
        <x:f>MAX(0,AE162)</x:f>
        <x:v>2344996.2159970547</x:v>
      </x:c>
      <x:c r="AI162" s="141" t="n">
        <x:f>IF(AND($A162&gt;=Premissas!$B$48,$A162-Premissas!$B$48+1&lt;=Premissas!$B$13),INDEX(Amortizacao!$L$6:$L$485,$A162-Premissas!$B$48+1),0)</x:f>
        <x:v>0</x:v>
      </x:c>
      <x:c r="AJ162" s="141" t="n">
        <x:f>IF($A162&gt;=Premissas!$B$48,$F162,0)</x:f>
        <x:v>428662.0792608386</x:v>
      </x:c>
      <x:c r="AK162" s="141" t="n">
        <x:f>AH162+AJ162-AI162</x:f>
        <x:v>2773658.2952578934</x:v>
      </x:c>
      <x:c r="AL162" s="141" t="n">
        <x:f>IF(AG162&gt;1,"Inviavel",AK162)</x:f>
        <x:v>2773658.2952578934</x:v>
      </x:c>
      <x:c r="AM162" s="141" t="str">
        <x:f>IF(AG162&gt;1,"Inviavel","OK")</x:f>
        <x:v>OK</x:v>
      </x:c>
      <x:c r="AN162" s="141" t="n">
        <x:f>IF($A162=Premissas!$B$48,Premissas!$B$8,0)</x:f>
        <x:v>0</x:v>
      </x:c>
      <x:c r="AO162" s="141" t="n">
        <x:f>IF($A162&lt;=Premissas!$B$25,INDEX('Consorcio IQ'!$K$6:$K$485,$A162),0)</x:f>
        <x:v>1216.7627462737416</x:v>
      </x:c>
      <x:c r="AP162" s="141" t="n">
        <x:f>IF(AND(TRUE,Premissas!$B$11="Imovel",Premissas!$B$47="Moradia",$A162&lt;MAX(Premissas!$B$48,Premissas!$B$49)),$D162,0)</x:f>
        <x:v>0</x:v>
      </x:c>
      <x:c r="AQ162" s="141" t="n">
        <x:f>IF(AND(TRUE,Premissas!$B$11="Imovel",Premissas!$B$47="Investimento",$A162&gt;=MAX(Premissas!$B$48,Premissas!$B$49)),$E162,0)</x:f>
        <x:v>1365.0740864932382</x:v>
      </x:c>
      <x:c r="AR162" s="141" t="n">
        <x:f>AN162+AO162+AP162</x:f>
        <x:v>1216.7627462737416</x:v>
      </x:c>
      <x:c r="AS162" s="141" t="n">
        <x:f>AQ162</x:f>
        <x:v>1365.0740864932382</x:v>
      </x:c>
      <x:c r="AT162" s="141" t="n">
        <x:f>$C162+AS162-AR162</x:f>
        <x:v>7148.311340219496</x:v>
      </x:c>
      <x:c r="AU162" s="141" t="n">
        <x:f>AX161*(1+Premissas!$B$41)+AT162</x:f>
        <x:v>2400683.6656576423</x:v>
      </x:c>
      <x:c r="AV162" s="141" t="n">
        <x:f>MAX(0,-AU162)</x:f>
        <x:v>0</x:v>
      </x:c>
      <x:c r="AW162" s="141" t="n">
        <x:f>AW161*(1+Premissas!$B$41)+AV162</x:f>
        <x:v>0</x:v>
      </x:c>
      <x:c r="AX162" s="141" t="n">
        <x:f>MAX(0,AU162)</x:f>
        <x:v>2400683.6656576423</x:v>
      </x:c>
      <x:c r="AY162" s="141" t="n">
        <x:f>INDEX('Consorcio IQ'!$P$6:$P$485,$A162)</x:f>
        <x:v>81144.5983104374</x:v>
      </x:c>
      <x:c r="AZ162" s="141" t="n">
        <x:f>IF($A162&gt;=Premissas!$B$48,$F162,0)+IF($A162&lt;Premissas!$B$27,INDEX('Consorcio IQ'!$O$6:$O$485,$A162),0)</x:f>
        <x:v>428662.0792608386</x:v>
      </x:c>
      <x:c r="BA162" s="141" t="n">
        <x:f>AX162+AZ162-AY162</x:f>
        <x:v>2748201.1466080435</x:v>
      </x:c>
      <x:c r="BB162" s="141" t="n">
        <x:f>IF(AW162&gt;1,"Inviavel",BA162)</x:f>
        <x:v>2748201.1466080435</x:v>
      </x:c>
      <x:c r="BC162" s="141" t="str">
        <x:f>IF(AW162&gt;1,"Inviavel","OK")</x:f>
        <x:v>OK</x:v>
      </x:c>
      <x:c r="BD162" s="141" t="n">
        <x:f>IF($A162='Consorcio Direto'!$B$29,'Consorcio Direto'!$B$44,0)</x:f>
        <x:v>0</x:v>
      </x:c>
      <x:c r="BE162" s="141" t="n">
        <x:f>IF($A162&lt;='Consorcio Direto'!$B$27,INDEX('Consorcio Direto'!$E$55:$E$534,$A162),0)</x:f>
        <x:v>3150.80806092519</x:v>
      </x:c>
      <x:c r="BF162" s="141" t="n">
        <x:f>IF(AND(TRUE,Premissas!$B$11="Imovel",Premissas!$B$47="Moradia",$A162&lt;MAX('Consorcio Direto'!$B$29,Premissas!$B$49)),$D162,0)</x:f>
        <x:v>0</x:v>
      </x:c>
      <x:c r="BG162" s="141" t="n">
        <x:f>IF(AND(TRUE,Premissas!$B$11="Imovel",Premissas!$B$47="Investimento",$A162&gt;=MAX('Consorcio Direto'!$B$29,Premissas!$B$49)),$E162,0)</x:f>
        <x:v>1365.0740864932382</x:v>
      </x:c>
      <x:c r="BH162" s="141" t="n">
        <x:f>BD162+BE162+BF162</x:f>
        <x:v>3150.80806092519</x:v>
      </x:c>
      <x:c r="BI162" s="141" t="n">
        <x:f>BG162</x:f>
        <x:v>1365.0740864932382</x:v>
      </x:c>
      <x:c r="BJ162" s="141" t="n">
        <x:f>$C162+BI162-BH162</x:f>
        <x:v>5214.266025568048</x:v>
      </x:c>
      <x:c r="BK162" s="141" t="n">
        <x:f>BN161*(1+Premissas!$B$41)+BJ162</x:f>
        <x:v>2392082.72310839</x:v>
      </x:c>
      <x:c r="BL162" s="141" t="n">
        <x:f>MAX(0,-BK162)</x:f>
        <x:v>0</x:v>
      </x:c>
      <x:c r="BM162" s="141" t="n">
        <x:f>BM161*(1+Premissas!$B$41)+BL162</x:f>
        <x:v>0</x:v>
      </x:c>
      <x:c r="BN162" s="141" t="n">
        <x:f>MAX(0,BK162)</x:f>
        <x:v>2392082.72310839</x:v>
      </x:c>
      <x:c r="BO162" s="141" t="n">
        <x:f>INDEX('Consorcio Direto'!$K$55:$K$534,$A162)</x:f>
        <x:v>210123.99930885358</x:v>
      </x:c>
      <x:c r="BP162" s="141" t="n">
        <x:f>IF($A162&lt;'Consorcio Direto'!$B$29,INDEX('Consorcio Direto'!$L$55:$L$534,$A162),$F162)</x:f>
        <x:v>428662.0792608386</x:v>
      </x:c>
      <x:c r="BQ162" s="141" t="n">
        <x:f>BN162+BP162-BO162</x:f>
        <x:v>2610620.803060375</x:v>
      </x:c>
      <x:c r="BR162" s="141" t="n">
        <x:f>IF(BM162&gt;1,"Inviavel",BQ162)</x:f>
        <x:v>2610620.803060375</x:v>
      </x:c>
      <x:c r="BS162" s="141" t="str">
        <x:f>IF(BM162&gt;1,"Inviavel","OK")</x:f>
        <x:v>OK</x:v>
      </x:c>
      <x:c r="BT162" s="141" t="n">
        <x:f>IF(AND('Carta Contemplada'!$B$22="Sim",$A162='Carta Contemplada'!$B$23),'Carta Contemplada'!$B$37,0)</x:f>
        <x:v>0</x:v>
      </x:c>
      <x:c r="BU162" s="141" t="n">
        <x:f>IF('Carta Contemplada'!$B$22="Sim",INDEX('Carta Contemplada'!$C$55:$C$1013,$A162),0)</x:f>
        <x:v>2559.5139121748216</x:v>
      </x:c>
      <x:c r="BV162" s="141" t="n">
        <x:f>IF(AND('Carta Contemplada'!$B$22="Sim",Premissas!$B$11="Imovel",Premissas!$B$47="Moradia",$A162&lt;MAX('Carta Contemplada'!$B$44,Premissas!$B$49)),$D162,0)</x:f>
        <x:v>0</x:v>
      </x:c>
      <x:c r="BW162" s="141" t="n">
        <x:f>IF(AND('Carta Contemplada'!$B$22="Sim",Premissas!$B$11="Imovel",Premissas!$B$47="Investimento",$A162&gt;=MAX('Carta Contemplada'!$B$44,Premissas!$B$49)),$E162,0)</x:f>
        <x:v>1365.0740864932382</x:v>
      </x:c>
      <x:c r="BX162" s="141" t="n">
        <x:f>BT162+BU162+BV162</x:f>
        <x:v>2559.5139121748216</x:v>
      </x:c>
      <x:c r="BY162" s="141" t="n">
        <x:f>BW162</x:f>
        <x:v>1365.0740864932382</x:v>
      </x:c>
      <x:c r="BZ162" s="141" t="n">
        <x:f>$C162+BY162-BX162</x:f>
        <x:v>5805.560174318416</x:v>
      </x:c>
      <x:c r="CA162" s="141" t="n">
        <x:f>CD161*(1+Premissas!$B$41)+BZ162</x:f>
        <x:v>2461376.9911749833</x:v>
      </x:c>
      <x:c r="CB162" s="141" t="n">
        <x:f>MAX(0,-CA162)</x:f>
        <x:v>0</x:v>
      </x:c>
      <x:c r="CC162" s="141" t="n">
        <x:f>CC161*(1+Premissas!$B$41)+CB162</x:f>
        <x:v>0</x:v>
      </x:c>
      <x:c r="CD162" s="141" t="n">
        <x:f>MAX(0,CA162)</x:f>
        <x:v>2461376.9911749833</x:v>
      </x:c>
      <x:c r="CE162" s="141" t="n">
        <x:f>IF(AND('Carta Contemplada'!$B$22="Sim",$A162&gt;='Carta Contemplada'!$B$23),INDEX('Carta Contemplada'!$I$55:$I$1013,$A162),0)</x:f>
        <x:v>52182.63052991951</x:v>
      </x:c>
      <x:c r="CF162" s="141" t="n">
        <x:f>IF(AND('Carta Contemplada'!$B$22="Sim",$A162&gt;='Carta Contemplada'!$B$44),$F162,0)</x:f>
        <x:v>428662.0792608386</x:v>
      </x:c>
      <x:c r="CG162" s="141" t="n">
        <x:f>CD162+CF162-CE162</x:f>
        <x:v>2837856.4399059024</x:v>
      </x:c>
      <x:c r="CH162" s="141" t="n">
        <x:f>IF(CC162&gt;1,"Inviavel",CG162)</x:f>
        <x:v>2837856.4399059024</x:v>
      </x:c>
      <x:c r="CI162" s="145" t="str">
        <x:f>IF(CC162&gt;1,"Inviavel","OK")</x:f>
        <x:v>OK</x:v>
      </x:c>
    </x:row>
    <x:row r="163">
      <x:c r="A163" s="142" t="n">
        <x:v>159</x:v>
      </x:c>
      <x:c r="B163" s="179" t="n">
        <x:f>EDATE(Premissas!$B$4,A163-1)</x:f>
        <x:v>51349</x:v>
      </x:c>
      <x:c r="C163" s="141" t="n">
        <x:f>IF(A163&lt;=Premissas!$B$39,Premissas!$B$42,0)</x:f>
        <x:v>7000</x:v>
      </x:c>
      <x:c r="D163" s="141" t="n">
        <x:f>Premissas!$B$54*(1+Premissas!$B$57)^INT((A163-1)/12)</x:f>
        <x:v>1493.0497821019792</x:v>
      </x:c>
      <x:c r="E163" s="141" t="n">
        <x:f>Premissas!$B$64*(1+Premissas!$B$57)^INT((A163-1)/12)</x:f>
        <x:v>1365.0740864932382</x:v>
      </x:c>
      <x:c r="F163" s="141" t="n">
        <x:f>MAX(0,Premissas!$B$6*(1+Premissas!$B$66)^((A163-1)/12))</x:f>
        <x:v>430748.61360708583</x:v>
      </x:c>
      <x:c r="G163" s="141" t="n">
        <x:f>G162*(1+Premissas!$B$41)+C163</x:f>
        <x:v>2973998.606975141</x:v>
      </x:c>
      <x:c r="H163" s="141" t="n">
        <x:f>IF($A163=Premissas!$B$48,Premissas!$B$8,0)</x:f>
        <x:v>0</x:v>
      </x:c>
      <x:c r="I163" s="141" t="n">
        <x:f>IF(AND($A163&gt;=Premissas!$B$48,$A163-Premissas!$B$48+1&lt;=Premissas!$B$13),INDEX(Financiamento!$J$6:$J$485,$A163-Premissas!$B$48+1),0)</x:f>
        <x:v>1478.024285280291</x:v>
      </x:c>
      <x:c r="J163" s="141" t="n">
        <x:f>IF(AND(TRUE,Premissas!$B$11="Imovel",Premissas!$B$47="Moradia",$A163&lt;MAX(Premissas!$B$48,Premissas!$B$49)),$D163,0)</x:f>
        <x:v>0</x:v>
      </x:c>
      <x:c r="K163" s="141" t="n">
        <x:f>IF(AND(TRUE,Premissas!$B$11="Imovel",Premissas!$B$47="Investimento",$A163&gt;=MAX(Premissas!$B$48,Premissas!$B$49)),$E163,0)</x:f>
        <x:v>1365.0740864932382</x:v>
      </x:c>
      <x:c r="L163" s="141" t="n">
        <x:f>H163+I163+J163</x:f>
        <x:v>1478.024285280291</x:v>
      </x:c>
      <x:c r="M163" s="141" t="n">
        <x:f>K163</x:f>
        <x:v>1365.0740864932382</x:v>
      </x:c>
      <x:c r="N163" s="141" t="n">
        <x:f>$C163+M163-L163</x:f>
        <x:v>6887.0498012129465</x:v>
      </x:c>
      <x:c r="O163" s="141" t="n">
        <x:f>R162*(1+Premissas!$B$41)+N163</x:f>
        <x:v>2435859.8234048495</x:v>
      </x:c>
      <x:c r="P163" s="141" t="n">
        <x:f>MAX(0,-O163)</x:f>
        <x:v>0</x:v>
      </x:c>
      <x:c r="Q163" s="141" t="n">
        <x:f>Q162*(1+Premissas!$B$41)+P163</x:f>
        <x:v>0</x:v>
      </x:c>
      <x:c r="R163" s="141" t="n">
        <x:f>MAX(0,O163)</x:f>
        <x:v>2435859.8234048495</x:v>
      </x:c>
      <x:c r="S163" s="141" t="n">
        <x:f>IF(AND($A163&gt;=Premissas!$B$48,$A163-Premissas!$B$48+1&lt;=Premissas!$B$13),INDEX(Financiamento!$M$6:$M$485,$A163-Premissas!$B$48+1),0)</x:f>
        <x:v>99428.5714285716</x:v>
      </x:c>
      <x:c r="T163" s="141" t="n">
        <x:f>IF($A163&gt;=Premissas!$B$48,$F163,0)</x:f>
        <x:v>430748.61360708583</x:v>
      </x:c>
      <x:c r="U163" s="141" t="n">
        <x:f>R163+T163-S163</x:f>
        <x:v>2767179.865583364</x:v>
      </x:c>
      <x:c r="V163" s="141" t="n">
        <x:f>IF(Q163&gt;1,"Inviavel",U163)</x:f>
        <x:v>2767179.865583364</x:v>
      </x:c>
      <x:c r="W163" s="141" t="str">
        <x:f>IF(Q163&gt;1,"Inviavel","OK")</x:f>
        <x:v>OK</x:v>
      </x:c>
      <x:c r="X163" s="141" t="n">
        <x:f>IF($A163=Premissas!$B$48,Premissas!$B$8,0)</x:f>
        <x:v>0</x:v>
      </x:c>
      <x:c r="Y163" s="141" t="n">
        <x:f>IF(AND($A163&gt;=Premissas!$B$48,$A163-Premissas!$B$48+1&lt;=Premissas!$B$13),INDEX(Amortizacao!$K$6:$K$485,$A163-Premissas!$B$48+1),0)</x:f>
        <x:v>0</x:v>
      </x:c>
      <x:c r="Z163" s="141" t="n">
        <x:f>IF(AND(TRUE,Premissas!$B$11="Imovel",Premissas!$B$47="Moradia",$A163&lt;MAX(Premissas!$B$48,Premissas!$B$49)),$D163,0)</x:f>
        <x:v>0</x:v>
      </x:c>
      <x:c r="AA163" s="141" t="n">
        <x:f>IF(AND(TRUE,Premissas!$B$11="Imovel",Premissas!$B$47="Investimento",$A163&gt;=MAX(Premissas!$B$48,Premissas!$B$49)),$E163,0)</x:f>
        <x:v>1365.0740864932382</x:v>
      </x:c>
      <x:c r="AB163" s="141" t="n">
        <x:f>X163+Y163+Z163</x:f>
        <x:v>0</x:v>
      </x:c>
      <x:c r="AC163" s="141" t="n">
        <x:f>AA163</x:f>
        <x:v>1365.0740864932382</x:v>
      </x:c>
      <x:c r="AD163" s="141" t="n">
        <x:f>$C163+AC163-AB163</x:f>
        <x:v>8365.074086493238</x:v>
      </x:c>
      <x:c r="AE163" s="141" t="n">
        <x:f>AH162*(1+Premissas!$B$41)+AD163</x:f>
        <x:v>2375612.473609525</x:v>
      </x:c>
      <x:c r="AF163" s="141" t="n">
        <x:f>MAX(0,-AE163)</x:f>
        <x:v>0</x:v>
      </x:c>
      <x:c r="AG163" s="141" t="n">
        <x:f>AG162*(1+Premissas!$B$41)+AF163</x:f>
        <x:v>0</x:v>
      </x:c>
      <x:c r="AH163" s="141" t="n">
        <x:f>MAX(0,AE163)</x:f>
        <x:v>2375612.473609525</x:v>
      </x:c>
      <x:c r="AI163" s="141" t="n">
        <x:f>IF(AND($A163&gt;=Premissas!$B$48,$A163-Premissas!$B$48+1&lt;=Premissas!$B$13),INDEX(Amortizacao!$L$6:$L$485,$A163-Premissas!$B$48+1),0)</x:f>
        <x:v>0</x:v>
      </x:c>
      <x:c r="AJ163" s="141" t="n">
        <x:f>IF($A163&gt;=Premissas!$B$48,$F163,0)</x:f>
        <x:v>430748.61360708583</x:v>
      </x:c>
      <x:c r="AK163" s="141" t="n">
        <x:f>AH163+AJ163-AI163</x:f>
        <x:v>2806361.0872166106</x:v>
      </x:c>
      <x:c r="AL163" s="141" t="n">
        <x:f>IF(AG163&gt;1,"Inviavel",AK163)</x:f>
        <x:v>2806361.0872166106</x:v>
      </x:c>
      <x:c r="AM163" s="141" t="str">
        <x:f>IF(AG163&gt;1,"Inviavel","OK")</x:f>
        <x:v>OK</x:v>
      </x:c>
      <x:c r="AN163" s="141" t="n">
        <x:f>IF($A163=Premissas!$B$48,Premissas!$B$8,0)</x:f>
        <x:v>0</x:v>
      </x:c>
      <x:c r="AO163" s="141" t="n">
        <x:f>IF($A163&lt;=Premissas!$B$25,INDEX('Consorcio IQ'!$K$6:$K$485,$A163),0)</x:f>
        <x:v>1216.7627462737416</x:v>
      </x:c>
      <x:c r="AP163" s="141" t="n">
        <x:f>IF(AND(TRUE,Premissas!$B$11="Imovel",Premissas!$B$47="Moradia",$A163&lt;MAX(Premissas!$B$48,Premissas!$B$49)),$D163,0)</x:f>
        <x:v>0</x:v>
      </x:c>
      <x:c r="AQ163" s="141" t="n">
        <x:f>IF(AND(TRUE,Premissas!$B$11="Imovel",Premissas!$B$47="Investimento",$A163&gt;=MAX(Premissas!$B$48,Premissas!$B$49)),$E163,0)</x:f>
        <x:v>1365.0740864932382</x:v>
      </x:c>
      <x:c r="AR163" s="141" t="n">
        <x:f>AN163+AO163+AP163</x:f>
        <x:v>1216.7627462737416</x:v>
      </x:c>
      <x:c r="AS163" s="141" t="n">
        <x:f>AQ163</x:f>
        <x:v>1365.0740864932382</x:v>
      </x:c>
      <x:c r="AT163" s="141" t="n">
        <x:f>$C163+AS163-AR163</x:f>
        <x:v>7148.311340219496</x:v>
      </x:c>
      <x:c r="AU163" s="141" t="n">
        <x:f>AX162*(1+Premissas!$B$41)+AT163</x:f>
        <x:v>2430611.5672027227</x:v>
      </x:c>
      <x:c r="AV163" s="141" t="n">
        <x:f>MAX(0,-AU163)</x:f>
        <x:v>0</x:v>
      </x:c>
      <x:c r="AW163" s="141" t="n">
        <x:f>AW162*(1+Premissas!$B$41)+AV163</x:f>
        <x:v>0</x:v>
      </x:c>
      <x:c r="AX163" s="141" t="n">
        <x:f>MAX(0,AU163)</x:f>
        <x:v>2430611.5672027227</x:v>
      </x:c>
      <x:c r="AY163" s="141" t="n">
        <x:f>INDEX('Consorcio IQ'!$P$6:$P$485,$A163)</x:f>
        <x:v>80697.79985529132</x:v>
      </x:c>
      <x:c r="AZ163" s="141" t="n">
        <x:f>IF($A163&gt;=Premissas!$B$48,$F163,0)+IF($A163&lt;Premissas!$B$27,INDEX('Consorcio IQ'!$O$6:$O$485,$A163),0)</x:f>
        <x:v>430748.61360708583</x:v>
      </x:c>
      <x:c r="BA163" s="141" t="n">
        <x:f>AX163+AZ163-AY163</x:f>
        <x:v>2780662.380954517</x:v>
      </x:c>
      <x:c r="BB163" s="141" t="n">
        <x:f>IF(AW163&gt;1,"Inviavel",BA163)</x:f>
        <x:v>2780662.380954517</x:v>
      </x:c>
      <x:c r="BC163" s="141" t="str">
        <x:f>IF(AW163&gt;1,"Inviavel","OK")</x:f>
        <x:v>OK</x:v>
      </x:c>
      <x:c r="BD163" s="141" t="n">
        <x:f>IF($A163='Consorcio Direto'!$B$29,'Consorcio Direto'!$B$44,0)</x:f>
        <x:v>0</x:v>
      </x:c>
      <x:c r="BE163" s="141" t="n">
        <x:f>IF($A163&lt;='Consorcio Direto'!$B$27,INDEX('Consorcio Direto'!$E$55:$E$534,$A163),0)</x:f>
        <x:v>3150.80806092519</x:v>
      </x:c>
      <x:c r="BF163" s="141" t="n">
        <x:f>IF(AND(TRUE,Premissas!$B$11="Imovel",Premissas!$B$47="Moradia",$A163&lt;MAX('Consorcio Direto'!$B$29,Premissas!$B$49)),$D163,0)</x:f>
        <x:v>0</x:v>
      </x:c>
      <x:c r="BG163" s="141" t="n">
        <x:f>IF(AND(TRUE,Premissas!$B$11="Imovel",Premissas!$B$47="Investimento",$A163&gt;=MAX('Consorcio Direto'!$B$29,Premissas!$B$49)),$E163,0)</x:f>
        <x:v>1365.0740864932382</x:v>
      </x:c>
      <x:c r="BH163" s="141" t="n">
        <x:f>BD163+BE163+BF163</x:f>
        <x:v>3150.80806092519</x:v>
      </x:c>
      <x:c r="BI163" s="141" t="n">
        <x:f>BG163</x:f>
        <x:v>1365.0740864932382</x:v>
      </x:c>
      <x:c r="BJ163" s="141" t="n">
        <x:f>$C163+BI163-BH163</x:f>
        <x:v>5214.266025568048</x:v>
      </x:c>
      <x:c r="BK163" s="141" t="n">
        <x:f>BN162*(1+Premissas!$B$41)+BJ163</x:f>
        <x:v>2419994.9667759268</x:v>
      </x:c>
      <x:c r="BL163" s="141" t="n">
        <x:f>MAX(0,-BK163)</x:f>
        <x:v>0</x:v>
      </x:c>
      <x:c r="BM163" s="141" t="n">
        <x:f>BM162*(1+Premissas!$B$41)+BL163</x:f>
        <x:v>0</x:v>
      </x:c>
      <x:c r="BN163" s="141" t="n">
        <x:f>MAX(0,BK163)</x:f>
        <x:v>2419994.9667759268</x:v>
      </x:c>
      <x:c r="BO163" s="141" t="n">
        <x:f>INDEX('Consorcio Direto'!$K$55:$K$534,$A163)</x:f>
        <x:v>208967.01436795658</x:v>
      </x:c>
      <x:c r="BP163" s="141" t="n">
        <x:f>IF($A163&lt;'Consorcio Direto'!$B$29,INDEX('Consorcio Direto'!$L$55:$L$534,$A163),$F163)</x:f>
        <x:v>430748.61360708583</x:v>
      </x:c>
      <x:c r="BQ163" s="141" t="n">
        <x:f>BN163+BP163-BO163</x:f>
        <x:v>2641776.566015056</x:v>
      </x:c>
      <x:c r="BR163" s="141" t="n">
        <x:f>IF(BM163&gt;1,"Inviavel",BQ163)</x:f>
        <x:v>2641776.566015056</x:v>
      </x:c>
      <x:c r="BS163" s="141" t="str">
        <x:f>IF(BM163&gt;1,"Inviavel","OK")</x:f>
        <x:v>OK</x:v>
      </x:c>
      <x:c r="BT163" s="141" t="n">
        <x:f>IF(AND('Carta Contemplada'!$B$22="Sim",$A163='Carta Contemplada'!$B$23),'Carta Contemplada'!$B$37,0)</x:f>
        <x:v>0</x:v>
      </x:c>
      <x:c r="BU163" s="141" t="n">
        <x:f>IF('Carta Contemplada'!$B$22="Sim",INDEX('Carta Contemplada'!$C$55:$C$1013,$A163),0)</x:f>
        <x:v>2559.5139121748216</x:v>
      </x:c>
      <x:c r="BV163" s="141" t="n">
        <x:f>IF(AND('Carta Contemplada'!$B$22="Sim",Premissas!$B$11="Imovel",Premissas!$B$47="Moradia",$A163&lt;MAX('Carta Contemplada'!$B$44,Premissas!$B$49)),$D163,0)</x:f>
        <x:v>0</x:v>
      </x:c>
      <x:c r="BW163" s="141" t="n">
        <x:f>IF(AND('Carta Contemplada'!$B$22="Sim",Premissas!$B$11="Imovel",Premissas!$B$47="Investimento",$A163&gt;=MAX('Carta Contemplada'!$B$44,Premissas!$B$49)),$E163,0)</x:f>
        <x:v>1365.0740864932382</x:v>
      </x:c>
      <x:c r="BX163" s="141" t="n">
        <x:f>BT163+BU163+BV163</x:f>
        <x:v>2559.5139121748216</x:v>
      </x:c>
      <x:c r="BY163" s="141" t="n">
        <x:f>BW163</x:f>
        <x:v>1365.0740864932382</x:v>
      </x:c>
      <x:c r="BZ163" s="141" t="n">
        <x:f>$C163+BY163-BX163</x:f>
        <x:v>5805.560174318416</x:v>
      </x:c>
      <x:c r="CA163" s="141" t="n">
        <x:f>CD162*(1+Premissas!$B$41)+BZ163</x:f>
        <x:v>2490538.047952508</x:v>
      </x:c>
      <x:c r="CB163" s="141" t="n">
        <x:f>MAX(0,-CA163)</x:f>
        <x:v>0</x:v>
      </x:c>
      <x:c r="CC163" s="141" t="n">
        <x:f>CC162*(1+Premissas!$B$41)+CB163</x:f>
        <x:v>0</x:v>
      </x:c>
      <x:c r="CD163" s="141" t="n">
        <x:f>MAX(0,CA163)</x:f>
        <x:v>2490538.047952508</x:v>
      </x:c>
      <x:c r="CE163" s="141" t="n">
        <x:f>IF(AND('Carta Contemplada'!$B$22="Sim",$A163&gt;='Carta Contemplada'!$B$23),INDEX('Carta Contemplada'!$I$55:$I$1013,$A163),0)</x:f>
        <x:v>50118.26679362494</x:v>
      </x:c>
      <x:c r="CF163" s="141" t="n">
        <x:f>IF(AND('Carta Contemplada'!$B$22="Sim",$A163&gt;='Carta Contemplada'!$B$44),$F163,0)</x:f>
        <x:v>430748.61360708583</x:v>
      </x:c>
      <x:c r="CG163" s="141" t="n">
        <x:f>CD163+CF163-CE163</x:f>
        <x:v>2871168.394765969</x:v>
      </x:c>
      <x:c r="CH163" s="141" t="n">
        <x:f>IF(CC163&gt;1,"Inviavel",CG163)</x:f>
        <x:v>2871168.394765969</x:v>
      </x:c>
      <x:c r="CI163" s="145" t="str">
        <x:f>IF(CC163&gt;1,"Inviavel","OK")</x:f>
        <x:v>OK</x:v>
      </x:c>
    </x:row>
    <x:row r="164">
      <x:c r="A164" s="142" t="n">
        <x:v>160</x:v>
      </x:c>
      <x:c r="B164" s="179" t="n">
        <x:f>EDATE(Premissas!$B$4,A164-1)</x:f>
        <x:v>51380</x:v>
      </x:c>
      <x:c r="C164" s="141" t="n">
        <x:f>IF(A164&lt;=Premissas!$B$39,Premissas!$B$42,0)</x:f>
        <x:v>7000</x:v>
      </x:c>
      <x:c r="D164" s="141" t="n">
        <x:f>Premissas!$B$54*(1+Premissas!$B$57)^INT((A164-1)/12)</x:f>
        <x:v>1493.0497821019792</x:v>
      </x:c>
      <x:c r="E164" s="141" t="n">
        <x:f>Premissas!$B$64*(1+Premissas!$B$57)^INT((A164-1)/12)</x:f>
        <x:v>1365.0740864932382</x:v>
      </x:c>
      <x:c r="F164" s="141" t="n">
        <x:f>MAX(0,Premissas!$B$6*(1+Premissas!$B$66)^((A164-1)/12))</x:f>
        <x:v>432845.3042647698</x:v>
      </x:c>
      <x:c r="G164" s="141" t="n">
        <x:f>G163*(1+Premissas!$B$41)+C164</x:f>
        <x:v>3009218.2639444666</x:v>
      </x:c>
      <x:c r="H164" s="141" t="n">
        <x:f>IF($A164=Premissas!$B$48,Premissas!$B$8,0)</x:f>
        <x:v>0</x:v>
      </x:c>
      <x:c r="I164" s="141" t="n">
        <x:f>IF(AND($A164&gt;=Premissas!$B$48,$A164-Premissas!$B$48+1&lt;=Premissas!$B$13),INDEX(Financiamento!$J$6:$J$485,$A164-Premissas!$B$48+1),0)</x:f>
        <x:v>1474.4095070194974</x:v>
      </x:c>
      <x:c r="J164" s="141" t="n">
        <x:f>IF(AND(TRUE,Premissas!$B$11="Imovel",Premissas!$B$47="Moradia",$A164&lt;MAX(Premissas!$B$48,Premissas!$B$49)),$D164,0)</x:f>
        <x:v>0</x:v>
      </x:c>
      <x:c r="K164" s="141" t="n">
        <x:f>IF(AND(TRUE,Premissas!$B$11="Imovel",Premissas!$B$47="Investimento",$A164&gt;=MAX(Premissas!$B$48,Premissas!$B$49)),$E164,0)</x:f>
        <x:v>1365.0740864932382</x:v>
      </x:c>
      <x:c r="L164" s="141" t="n">
        <x:f>H164+I164+J164</x:f>
        <x:v>1474.4095070194974</x:v>
      </x:c>
      <x:c r="M164" s="141" t="n">
        <x:f>K164</x:f>
        <x:v>1365.0740864932382</x:v>
      </x:c>
      <x:c r="N164" s="141" t="n">
        <x:f>$C164+M164-L164</x:f>
        <x:v>6890.664579473741</x:v>
      </x:c>
      <x:c r="O164" s="141" t="n">
        <x:f>R163*(1+Premissas!$B$41)+N164</x:f>
        <x:v>2465863.857466282</x:v>
      </x:c>
      <x:c r="P164" s="141" t="n">
        <x:f>MAX(0,-O164)</x:f>
        <x:v>0</x:v>
      </x:c>
      <x:c r="Q164" s="141" t="n">
        <x:f>Q163*(1+Premissas!$B$41)+P164</x:f>
        <x:v>0</x:v>
      </x:c>
      <x:c r="R164" s="141" t="n">
        <x:f>MAX(0,O164)</x:f>
        <x:v>2465863.857466282</x:v>
      </x:c>
      <x:c r="S164" s="141" t="n">
        <x:f>IF(AND($A164&gt;=Premissas!$B$48,$A164-Premissas!$B$48+1&lt;=Premissas!$B$13),INDEX(Financiamento!$M$6:$M$485,$A164-Premissas!$B$48+1),0)</x:f>
        <x:v>99047.61904761921</x:v>
      </x:c>
      <x:c r="T164" s="141" t="n">
        <x:f>IF($A164&gt;=Premissas!$B$48,$F164,0)</x:f>
        <x:v>432845.3042647698</x:v>
      </x:c>
      <x:c r="U164" s="141" t="n">
        <x:f>R164+T164-S164</x:f>
        <x:v>2799661.5426834323</x:v>
      </x:c>
      <x:c r="V164" s="141" t="n">
        <x:f>IF(Q164&gt;1,"Inviavel",U164)</x:f>
        <x:v>2799661.5426834323</x:v>
      </x:c>
      <x:c r="W164" s="141" t="str">
        <x:f>IF(Q164&gt;1,"Inviavel","OK")</x:f>
        <x:v>OK</x:v>
      </x:c>
      <x:c r="X164" s="141" t="n">
        <x:f>IF($A164=Premissas!$B$48,Premissas!$B$8,0)</x:f>
        <x:v>0</x:v>
      </x:c>
      <x:c r="Y164" s="141" t="n">
        <x:f>IF(AND($A164&gt;=Premissas!$B$48,$A164-Premissas!$B$48+1&lt;=Premissas!$B$13),INDEX(Amortizacao!$K$6:$K$485,$A164-Premissas!$B$48+1),0)</x:f>
        <x:v>0</x:v>
      </x:c>
      <x:c r="Z164" s="141" t="n">
        <x:f>IF(AND(TRUE,Premissas!$B$11="Imovel",Premissas!$B$47="Moradia",$A164&lt;MAX(Premissas!$B$48,Premissas!$B$49)),$D164,0)</x:f>
        <x:v>0</x:v>
      </x:c>
      <x:c r="AA164" s="141" t="n">
        <x:f>IF(AND(TRUE,Premissas!$B$11="Imovel",Premissas!$B$47="Investimento",$A164&gt;=MAX(Premissas!$B$48,Premissas!$B$49)),$E164,0)</x:f>
        <x:v>1365.0740864932382</x:v>
      </x:c>
      <x:c r="AB164" s="141" t="n">
        <x:f>X164+Y164+Z164</x:f>
        <x:v>0</x:v>
      </x:c>
      <x:c r="AC164" s="141" t="n">
        <x:f>AA164</x:f>
        <x:v>1365.0740864932382</x:v>
      </x:c>
      <x:c r="AD164" s="141" t="n">
        <x:f>$C164+AC164-AB164</x:f>
        <x:v>8365.074086493238</x:v>
      </x:c>
      <x:c r="AE164" s="141" t="n">
        <x:f>AH163*(1+Premissas!$B$41)+AD164</x:f>
        <x:v>2406519.2425509114</x:v>
      </x:c>
      <x:c r="AF164" s="141" t="n">
        <x:f>MAX(0,-AE164)</x:f>
        <x:v>0</x:v>
      </x:c>
      <x:c r="AG164" s="141" t="n">
        <x:f>AG163*(1+Premissas!$B$41)+AF164</x:f>
        <x:v>0</x:v>
      </x:c>
      <x:c r="AH164" s="141" t="n">
        <x:f>MAX(0,AE164)</x:f>
        <x:v>2406519.2425509114</x:v>
      </x:c>
      <x:c r="AI164" s="141" t="n">
        <x:f>IF(AND($A164&gt;=Premissas!$B$48,$A164-Premissas!$B$48+1&lt;=Premissas!$B$13),INDEX(Amortizacao!$L$6:$L$485,$A164-Premissas!$B$48+1),0)</x:f>
        <x:v>0</x:v>
      </x:c>
      <x:c r="AJ164" s="141" t="n">
        <x:f>IF($A164&gt;=Premissas!$B$48,$F164,0)</x:f>
        <x:v>432845.3042647698</x:v>
      </x:c>
      <x:c r="AK164" s="141" t="n">
        <x:f>AH164+AJ164-AI164</x:f>
        <x:v>2839364.5468156813</x:v>
      </x:c>
      <x:c r="AL164" s="141" t="n">
        <x:f>IF(AG164&gt;1,"Inviavel",AK164)</x:f>
        <x:v>2839364.5468156813</x:v>
      </x:c>
      <x:c r="AM164" s="141" t="str">
        <x:f>IF(AG164&gt;1,"Inviavel","OK")</x:f>
        <x:v>OK</x:v>
      </x:c>
      <x:c r="AN164" s="141" t="n">
        <x:f>IF($A164=Premissas!$B$48,Premissas!$B$8,0)</x:f>
        <x:v>0</x:v>
      </x:c>
      <x:c r="AO164" s="141" t="n">
        <x:f>IF($A164&lt;=Premissas!$B$25,INDEX('Consorcio IQ'!$K$6:$K$485,$A164),0)</x:f>
        <x:v>1216.7627462737416</x:v>
      </x:c>
      <x:c r="AP164" s="141" t="n">
        <x:f>IF(AND(TRUE,Premissas!$B$11="Imovel",Premissas!$B$47="Moradia",$A164&lt;MAX(Premissas!$B$48,Premissas!$B$49)),$D164,0)</x:f>
        <x:v>0</x:v>
      </x:c>
      <x:c r="AQ164" s="141" t="n">
        <x:f>IF(AND(TRUE,Premissas!$B$11="Imovel",Premissas!$B$47="Investimento",$A164&gt;=MAX(Premissas!$B$48,Premissas!$B$49)),$E164,0)</x:f>
        <x:v>1365.0740864932382</x:v>
      </x:c>
      <x:c r="AR164" s="141" t="n">
        <x:f>AN164+AO164+AP164</x:f>
        <x:v>1216.7627462737416</x:v>
      </x:c>
      <x:c r="AS164" s="141" t="n">
        <x:f>AQ164</x:f>
        <x:v>1365.0740864932382</x:v>
      </x:c>
      <x:c r="AT164" s="141" t="n">
        <x:f>$C164+AS164-AR164</x:f>
        <x:v>7148.311340219496</x:v>
      </x:c>
      <x:c r="AU164" s="141" t="n">
        <x:f>AX163*(1+Premissas!$B$41)+AT164</x:f>
        <x:v>2460823.448408531</x:v>
      </x:c>
      <x:c r="AV164" s="141" t="n">
        <x:f>MAX(0,-AU164)</x:f>
        <x:v>0</x:v>
      </x:c>
      <x:c r="AW164" s="141" t="n">
        <x:f>AW163*(1+Premissas!$B$41)+AV164</x:f>
        <x:v>0</x:v>
      </x:c>
      <x:c r="AX164" s="141" t="n">
        <x:f>MAX(0,AU164)</x:f>
        <x:v>2460823.448408531</x:v>
      </x:c>
      <x:c r="AY164" s="141" t="n">
        <x:f>INDEX('Consorcio IQ'!$P$6:$P$485,$A164)</x:f>
        <x:v>80246.76182212085</x:v>
      </x:c>
      <x:c r="AZ164" s="141" t="n">
        <x:f>IF($A164&gt;=Premissas!$B$48,$F164,0)+IF($A164&lt;Premissas!$B$27,INDEX('Consorcio IQ'!$O$6:$O$485,$A164),0)</x:f>
        <x:v>432845.3042647698</x:v>
      </x:c>
      <x:c r="BA164" s="141" t="n">
        <x:f>AX164+AZ164-AY164</x:f>
        <x:v>2813421.99085118</x:v>
      </x:c>
      <x:c r="BB164" s="141" t="n">
        <x:f>IF(AW164&gt;1,"Inviavel",BA164)</x:f>
        <x:v>2813421.99085118</x:v>
      </x:c>
      <x:c r="BC164" s="141" t="str">
        <x:f>IF(AW164&gt;1,"Inviavel","OK")</x:f>
        <x:v>OK</x:v>
      </x:c>
      <x:c r="BD164" s="141" t="n">
        <x:f>IF($A164='Consorcio Direto'!$B$29,'Consorcio Direto'!$B$44,0)</x:f>
        <x:v>0</x:v>
      </x:c>
      <x:c r="BE164" s="141" t="n">
        <x:f>IF($A164&lt;='Consorcio Direto'!$B$27,INDEX('Consorcio Direto'!$E$55:$E$534,$A164),0)</x:f>
        <x:v>3150.80806092519</x:v>
      </x:c>
      <x:c r="BF164" s="141" t="n">
        <x:f>IF(AND(TRUE,Premissas!$B$11="Imovel",Premissas!$B$47="Moradia",$A164&lt;MAX('Consorcio Direto'!$B$29,Premissas!$B$49)),$D164,0)</x:f>
        <x:v>0</x:v>
      </x:c>
      <x:c r="BG164" s="141" t="n">
        <x:f>IF(AND(TRUE,Premissas!$B$11="Imovel",Premissas!$B$47="Investimento",$A164&gt;=MAX('Consorcio Direto'!$B$29,Premissas!$B$49)),$E164,0)</x:f>
        <x:v>1365.0740864932382</x:v>
      </x:c>
      <x:c r="BH164" s="141" t="n">
        <x:f>BD164+BE164+BF164</x:f>
        <x:v>3150.80806092519</x:v>
      </x:c>
      <x:c r="BI164" s="141" t="n">
        <x:f>BG164</x:f>
        <x:v>1365.0740864932382</x:v>
      </x:c>
      <x:c r="BJ164" s="141" t="n">
        <x:f>$C164+BI164-BH164</x:f>
        <x:v>5214.266025568048</x:v>
      </x:c>
      <x:c r="BK164" s="141" t="n">
        <x:f>BN163*(1+Premissas!$B$41)+BJ164</x:f>
        <x:v>2448172.0639439644</x:v>
      </x:c>
      <x:c r="BL164" s="141" t="n">
        <x:f>MAX(0,-BK164)</x:f>
        <x:v>0</x:v>
      </x:c>
      <x:c r="BM164" s="141" t="n">
        <x:f>BM163*(1+Premissas!$B$41)+BL164</x:f>
        <x:v>0</x:v>
      </x:c>
      <x:c r="BN164" s="141" t="n">
        <x:f>MAX(0,BK164)</x:f>
        <x:v>2448172.0639439644</x:v>
      </x:c>
      <x:c r="BO164" s="141" t="n">
        <x:f>INDEX('Consorcio Direto'!$K$55:$K$534,$A164)</x:f>
        <x:v>207799.05103652697</x:v>
      </x:c>
      <x:c r="BP164" s="141" t="n">
        <x:f>IF($A164&lt;'Consorcio Direto'!$B$29,INDEX('Consorcio Direto'!$L$55:$L$534,$A164),$F164)</x:f>
        <x:v>432845.3042647698</x:v>
      </x:c>
      <x:c r="BQ164" s="141" t="n">
        <x:f>BN164+BP164-BO164</x:f>
        <x:v>2673218.3171722074</x:v>
      </x:c>
      <x:c r="BR164" s="141" t="n">
        <x:f>IF(BM164&gt;1,"Inviavel",BQ164)</x:f>
        <x:v>2673218.3171722074</x:v>
      </x:c>
      <x:c r="BS164" s="141" t="str">
        <x:f>IF(BM164&gt;1,"Inviavel","OK")</x:f>
        <x:v>OK</x:v>
      </x:c>
      <x:c r="BT164" s="141" t="n">
        <x:f>IF(AND('Carta Contemplada'!$B$22="Sim",$A164='Carta Contemplada'!$B$23),'Carta Contemplada'!$B$37,0)</x:f>
        <x:v>0</x:v>
      </x:c>
      <x:c r="BU164" s="141" t="n">
        <x:f>IF('Carta Contemplada'!$B$22="Sim",INDEX('Carta Contemplada'!$C$55:$C$1013,$A164),0)</x:f>
        <x:v>2559.5139121748216</x:v>
      </x:c>
      <x:c r="BV164" s="141" t="n">
        <x:f>IF(AND('Carta Contemplada'!$B$22="Sim",Premissas!$B$11="Imovel",Premissas!$B$47="Moradia",$A164&lt;MAX('Carta Contemplada'!$B$44,Premissas!$B$49)),$D164,0)</x:f>
        <x:v>0</x:v>
      </x:c>
      <x:c r="BW164" s="141" t="n">
        <x:f>IF(AND('Carta Contemplada'!$B$22="Sim",Premissas!$B$11="Imovel",Premissas!$B$47="Investimento",$A164&gt;=MAX('Carta Contemplada'!$B$44,Premissas!$B$49)),$E164,0)</x:f>
        <x:v>1365.0740864932382</x:v>
      </x:c>
      <x:c r="BX164" s="141" t="n">
        <x:f>BT164+BU164+BV164</x:f>
        <x:v>2559.5139121748216</x:v>
      </x:c>
      <x:c r="BY164" s="141" t="n">
        <x:f>BW164</x:f>
        <x:v>1365.0740864932382</x:v>
      </x:c>
      <x:c r="BZ164" s="141" t="n">
        <x:f>$C164+BY164-BX164</x:f>
        <x:v>5805.560174318416</x:v>
      </x:c>
      <x:c r="CA164" s="141" t="n">
        <x:f>CD163*(1+Premissas!$B$41)+BZ164</x:f>
        <x:v>2519975.8079595487</x:v>
      </x:c>
      <x:c r="CB164" s="141" t="n">
        <x:f>MAX(0,-CA164)</x:f>
        <x:v>0</x:v>
      </x:c>
      <x:c r="CC164" s="141" t="n">
        <x:f>CC163*(1+Premissas!$B$41)+CB164</x:f>
        <x:v>0</x:v>
      </x:c>
      <x:c r="CD164" s="141" t="n">
        <x:f>MAX(0,CA164)</x:f>
        <x:v>2519975.8079595487</x:v>
      </x:c>
      <x:c r="CE164" s="141" t="n">
        <x:f>IF(AND('Carta Contemplada'!$B$22="Sim",$A164&gt;='Carta Contemplada'!$B$23),INDEX('Carta Contemplada'!$I$55:$I$1013,$A164),0)</x:f>
        <x:v>48034.31473729502</x:v>
      </x:c>
      <x:c r="CF164" s="141" t="n">
        <x:f>IF(AND('Carta Contemplada'!$B$22="Sim",$A164&gt;='Carta Contemplada'!$B$44),$F164,0)</x:f>
        <x:v>432845.3042647698</x:v>
      </x:c>
      <x:c r="CG164" s="141" t="n">
        <x:f>CD164+CF164-CE164</x:f>
        <x:v>2904786.7974870238</x:v>
      </x:c>
      <x:c r="CH164" s="141" t="n">
        <x:f>IF(CC164&gt;1,"Inviavel",CG164)</x:f>
        <x:v>2904786.7974870238</x:v>
      </x:c>
      <x:c r="CI164" s="145" t="str">
        <x:f>IF(CC164&gt;1,"Inviavel","OK")</x:f>
        <x:v>OK</x:v>
      </x:c>
    </x:row>
    <x:row r="165">
      <x:c r="A165" s="142" t="n">
        <x:v>161</x:v>
      </x:c>
      <x:c r="B165" s="179" t="n">
        <x:f>EDATE(Premissas!$B$4,A165-1)</x:f>
        <x:v>51410</x:v>
      </x:c>
      <x:c r="C165" s="141" t="n">
        <x:f>IF(A165&lt;=Premissas!$B$39,Premissas!$B$42,0)</x:f>
        <x:v>7000</x:v>
      </x:c>
      <x:c r="D165" s="141" t="n">
        <x:f>Premissas!$B$54*(1+Premissas!$B$57)^INT((A165-1)/12)</x:f>
        <x:v>1493.0497821019792</x:v>
      </x:c>
      <x:c r="E165" s="141" t="n">
        <x:f>Premissas!$B$64*(1+Premissas!$B$57)^INT((A165-1)/12)</x:f>
        <x:v>1365.0740864932382</x:v>
      </x:c>
      <x:c r="F165" s="141" t="n">
        <x:f>MAX(0,Premissas!$B$6*(1+Premissas!$B$66)^((A165-1)/12))</x:f>
        <x:v>434952.2006702498</x:v>
      </x:c>
      <x:c r="G165" s="141" t="n">
        <x:f>G164*(1+Premissas!$B$41)+C165</x:f>
        <x:v>3044772.112946001</x:v>
      </x:c>
      <x:c r="H165" s="141" t="n">
        <x:f>IF($A165=Premissas!$B$48,Premissas!$B$8,0)</x:f>
        <x:v>0</x:v>
      </x:c>
      <x:c r="I165" s="141" t="n">
        <x:f>IF(AND($A165&gt;=Premissas!$B$48,$A165-Premissas!$B$48+1&lt;=Premissas!$B$13),INDEX(Financiamento!$J$6:$J$485,$A165-Premissas!$B$48+1),0)</x:f>
        <x:v>1470.794728758704</x:v>
      </x:c>
      <x:c r="J165" s="141" t="n">
        <x:f>IF(AND(TRUE,Premissas!$B$11="Imovel",Premissas!$B$47="Moradia",$A165&lt;MAX(Premissas!$B$48,Premissas!$B$49)),$D165,0)</x:f>
        <x:v>0</x:v>
      </x:c>
      <x:c r="K165" s="141" t="n">
        <x:f>IF(AND(TRUE,Premissas!$B$11="Imovel",Premissas!$B$47="Investimento",$A165&gt;=MAX(Premissas!$B$48,Premissas!$B$49)),$E165,0)</x:f>
        <x:v>1365.0740864932382</x:v>
      </x:c>
      <x:c r="L165" s="141" t="n">
        <x:f>H165+I165+J165</x:f>
        <x:v>1470.794728758704</x:v>
      </x:c>
      <x:c r="M165" s="141" t="n">
        <x:f>K165</x:f>
        <x:v>1365.0740864932382</x:v>
      </x:c>
      <x:c r="N165" s="141" t="n">
        <x:f>$C165+M165-L165</x:f>
        <x:v>6894.279357734534</x:v>
      </x:c>
      <x:c r="O165" s="141" t="n">
        <x:f>R164*(1+Premissas!$B$41)+N165</x:f>
        <x:v>2496156.208372386</x:v>
      </x:c>
      <x:c r="P165" s="141" t="n">
        <x:f>MAX(0,-O165)</x:f>
        <x:v>0</x:v>
      </x:c>
      <x:c r="Q165" s="141" t="n">
        <x:f>Q164*(1+Premissas!$B$41)+P165</x:f>
        <x:v>0</x:v>
      </x:c>
      <x:c r="R165" s="141" t="n">
        <x:f>MAX(0,O165)</x:f>
        <x:v>2496156.208372386</x:v>
      </x:c>
      <x:c r="S165" s="141" t="n">
        <x:f>IF(AND($A165&gt;=Premissas!$B$48,$A165-Premissas!$B$48+1&lt;=Premissas!$B$13),INDEX(Financiamento!$M$6:$M$485,$A165-Premissas!$B$48+1),0)</x:f>
        <x:v>98666.66666666683</x:v>
      </x:c>
      <x:c r="T165" s="141" t="n">
        <x:f>IF($A165&gt;=Premissas!$B$48,$F165,0)</x:f>
        <x:v>434952.2006702498</x:v>
      </x:c>
      <x:c r="U165" s="141" t="n">
        <x:f>R165+T165-S165</x:f>
        <x:v>2832441.742375969</x:v>
      </x:c>
      <x:c r="V165" s="141" t="n">
        <x:f>IF(Q165&gt;1,"Inviavel",U165)</x:f>
        <x:v>2832441.742375969</x:v>
      </x:c>
      <x:c r="W165" s="141" t="str">
        <x:f>IF(Q165&gt;1,"Inviavel","OK")</x:f>
        <x:v>OK</x:v>
      </x:c>
      <x:c r="X165" s="141" t="n">
        <x:f>IF($A165=Premissas!$B$48,Premissas!$B$8,0)</x:f>
        <x:v>0</x:v>
      </x:c>
      <x:c r="Y165" s="141" t="n">
        <x:f>IF(AND($A165&gt;=Premissas!$B$48,$A165-Premissas!$B$48+1&lt;=Premissas!$B$13),INDEX(Amortizacao!$K$6:$K$485,$A165-Premissas!$B$48+1),0)</x:f>
        <x:v>0</x:v>
      </x:c>
      <x:c r="Z165" s="141" t="n">
        <x:f>IF(AND(TRUE,Premissas!$B$11="Imovel",Premissas!$B$47="Moradia",$A165&lt;MAX(Premissas!$B$48,Premissas!$B$49)),$D165,0)</x:f>
        <x:v>0</x:v>
      </x:c>
      <x:c r="AA165" s="141" t="n">
        <x:f>IF(AND(TRUE,Premissas!$B$11="Imovel",Premissas!$B$47="Investimento",$A165&gt;=MAX(Premissas!$B$48,Premissas!$B$49)),$E165,0)</x:f>
        <x:v>1365.0740864932382</x:v>
      </x:c>
      <x:c r="AB165" s="141" t="n">
        <x:f>X165+Y165+Z165</x:f>
        <x:v>0</x:v>
      </x:c>
      <x:c r="AC165" s="141" t="n">
        <x:f>AA165</x:f>
        <x:v>1365.0740864932382</x:v>
      </x:c>
      <x:c r="AD165" s="141" t="n">
        <x:f>$C165+AC165-AB165</x:f>
        <x:v>8365.074086493238</x:v>
      </x:c>
      <x:c r="AE165" s="141" t="n">
        <x:f>AH164*(1+Premissas!$B$41)+AD165</x:f>
        <x:v>2437719.27942306</x:v>
      </x:c>
      <x:c r="AF165" s="141" t="n">
        <x:f>MAX(0,-AE165)</x:f>
        <x:v>0</x:v>
      </x:c>
      <x:c r="AG165" s="141" t="n">
        <x:f>AG164*(1+Premissas!$B$41)+AF165</x:f>
        <x:v>0</x:v>
      </x:c>
      <x:c r="AH165" s="141" t="n">
        <x:f>MAX(0,AE165)</x:f>
        <x:v>2437719.27942306</x:v>
      </x:c>
      <x:c r="AI165" s="141" t="n">
        <x:f>IF(AND($A165&gt;=Premissas!$B$48,$A165-Premissas!$B$48+1&lt;=Premissas!$B$13),INDEX(Amortizacao!$L$6:$L$485,$A165-Premissas!$B$48+1),0)</x:f>
        <x:v>0</x:v>
      </x:c>
      <x:c r="AJ165" s="141" t="n">
        <x:f>IF($A165&gt;=Premissas!$B$48,$F165,0)</x:f>
        <x:v>434952.2006702498</x:v>
      </x:c>
      <x:c r="AK165" s="141" t="n">
        <x:f>AH165+AJ165-AI165</x:f>
        <x:v>2872671.4800933097</x:v>
      </x:c>
      <x:c r="AL165" s="141" t="n">
        <x:f>IF(AG165&gt;1,"Inviavel",AK165)</x:f>
        <x:v>2872671.4800933097</x:v>
      </x:c>
      <x:c r="AM165" s="141" t="str">
        <x:f>IF(AG165&gt;1,"Inviavel","OK")</x:f>
        <x:v>OK</x:v>
      </x:c>
      <x:c r="AN165" s="141" t="n">
        <x:f>IF($A165=Premissas!$B$48,Premissas!$B$8,0)</x:f>
        <x:v>0</x:v>
      </x:c>
      <x:c r="AO165" s="141" t="n">
        <x:f>IF($A165&lt;=Premissas!$B$25,INDEX('Consorcio IQ'!$K$6:$K$485,$A165),0)</x:f>
        <x:v>1216.7627462737416</x:v>
      </x:c>
      <x:c r="AP165" s="141" t="n">
        <x:f>IF(AND(TRUE,Premissas!$B$11="Imovel",Premissas!$B$47="Moradia",$A165&lt;MAX(Premissas!$B$48,Premissas!$B$49)),$D165,0)</x:f>
        <x:v>0</x:v>
      </x:c>
      <x:c r="AQ165" s="141" t="n">
        <x:f>IF(AND(TRUE,Premissas!$B$11="Imovel",Premissas!$B$47="Investimento",$A165&gt;=MAX(Premissas!$B$48,Premissas!$B$49)),$E165,0)</x:f>
        <x:v>1365.0740864932382</x:v>
      </x:c>
      <x:c r="AR165" s="141" t="n">
        <x:f>AN165+AO165+AP165</x:f>
        <x:v>1216.7627462737416</x:v>
      </x:c>
      <x:c r="AS165" s="141" t="n">
        <x:f>AQ165</x:f>
        <x:v>1365.0740864932382</x:v>
      </x:c>
      <x:c r="AT165" s="141" t="n">
        <x:f>$C165+AS165-AR165</x:f>
        <x:v>7148.311340219496</x:v>
      </x:c>
      <x:c r="AU165" s="141" t="n">
        <x:f>AX164*(1+Premissas!$B$41)+AT165</x:f>
        <x:v>2491322.0038992655</x:v>
      </x:c>
      <x:c r="AV165" s="141" t="n">
        <x:f>MAX(0,-AU165)</x:f>
        <x:v>0</x:v>
      </x:c>
      <x:c r="AW165" s="141" t="n">
        <x:f>AW164*(1+Premissas!$B$41)+AV165</x:f>
        <x:v>0</x:v>
      </x:c>
      <x:c r="AX165" s="141" t="n">
        <x:f>MAX(0,AU165)</x:f>
        <x:v>2491322.0038992655</x:v>
      </x:c>
      <x:c r="AY165" s="141" t="n">
        <x:f>INDEX('Consorcio IQ'!$P$6:$P$485,$A165)</x:f>
        <x:v>79791.44398244802</x:v>
      </x:c>
      <x:c r="AZ165" s="141" t="n">
        <x:f>IF($A165&gt;=Premissas!$B$48,$F165,0)+IF($A165&lt;Premissas!$B$27,INDEX('Consorcio IQ'!$O$6:$O$485,$A165),0)</x:f>
        <x:v>434952.2006702498</x:v>
      </x:c>
      <x:c r="BA165" s="141" t="n">
        <x:f>AX165+AZ165-AY165</x:f>
        <x:v>2846482.7605870673</x:v>
      </x:c>
      <x:c r="BB165" s="141" t="n">
        <x:f>IF(AW165&gt;1,"Inviavel",BA165)</x:f>
        <x:v>2846482.7605870673</x:v>
      </x:c>
      <x:c r="BC165" s="141" t="str">
        <x:f>IF(AW165&gt;1,"Inviavel","OK")</x:f>
        <x:v>OK</x:v>
      </x:c>
      <x:c r="BD165" s="141" t="n">
        <x:f>IF($A165='Consorcio Direto'!$B$29,'Consorcio Direto'!$B$44,0)</x:f>
        <x:v>0</x:v>
      </x:c>
      <x:c r="BE165" s="141" t="n">
        <x:f>IF($A165&lt;='Consorcio Direto'!$B$27,INDEX('Consorcio Direto'!$E$55:$E$534,$A165),0)</x:f>
        <x:v>3150.80806092519</x:v>
      </x:c>
      <x:c r="BF165" s="141" t="n">
        <x:f>IF(AND(TRUE,Premissas!$B$11="Imovel",Premissas!$B$47="Moradia",$A165&lt;MAX('Consorcio Direto'!$B$29,Premissas!$B$49)),$D165,0)</x:f>
        <x:v>0</x:v>
      </x:c>
      <x:c r="BG165" s="141" t="n">
        <x:f>IF(AND(TRUE,Premissas!$B$11="Imovel",Premissas!$B$47="Investimento",$A165&gt;=MAX('Consorcio Direto'!$B$29,Premissas!$B$49)),$E165,0)</x:f>
        <x:v>1365.0740864932382</x:v>
      </x:c>
      <x:c r="BH165" s="141" t="n">
        <x:f>BD165+BE165+BF165</x:f>
        <x:v>3150.80806092519</x:v>
      </x:c>
      <x:c r="BI165" s="141" t="n">
        <x:f>BG165</x:f>
        <x:v>1365.0740864932382</x:v>
      </x:c>
      <x:c r="BJ165" s="141" t="n">
        <x:f>$C165+BI165-BH165</x:f>
        <x:v>5214.266025568048</x:v>
      </x:c>
      <x:c r="BK165" s="141" t="n">
        <x:f>BN164*(1+Premissas!$B$41)+BJ165</x:f>
        <x:v>2476616.5277525275</x:v>
      </x:c>
      <x:c r="BL165" s="141" t="n">
        <x:f>MAX(0,-BK165)</x:f>
        <x:v>0</x:v>
      </x:c>
      <x:c r="BM165" s="141" t="n">
        <x:f>BM164*(1+Premissas!$B$41)+BL165</x:f>
        <x:v>0</x:v>
      </x:c>
      <x:c r="BN165" s="141" t="n">
        <x:f>MAX(0,BK165)</x:f>
        <x:v>2476616.5277525275</x:v>
      </x:c>
      <x:c r="BO165" s="141" t="n">
        <x:f>INDEX('Consorcio Direto'!$K$55:$K$534,$A165)</x:f>
        <x:v>206620.00514289024</x:v>
      </x:c>
      <x:c r="BP165" s="141" t="n">
        <x:f>IF($A165&lt;'Consorcio Direto'!$B$29,INDEX('Consorcio Direto'!$L$55:$L$534,$A165),$F165)</x:f>
        <x:v>434952.2006702498</x:v>
      </x:c>
      <x:c r="BQ165" s="141" t="n">
        <x:f>BN165+BP165-BO165</x:f>
        <x:v>2704948.723279887</x:v>
      </x:c>
      <x:c r="BR165" s="141" t="n">
        <x:f>IF(BM165&gt;1,"Inviavel",BQ165)</x:f>
        <x:v>2704948.723279887</x:v>
      </x:c>
      <x:c r="BS165" s="141" t="str">
        <x:f>IF(BM165&gt;1,"Inviavel","OK")</x:f>
        <x:v>OK</x:v>
      </x:c>
      <x:c r="BT165" s="141" t="n">
        <x:f>IF(AND('Carta Contemplada'!$B$22="Sim",$A165='Carta Contemplada'!$B$23),'Carta Contemplada'!$B$37,0)</x:f>
        <x:v>0</x:v>
      </x:c>
      <x:c r="BU165" s="141" t="n">
        <x:f>IF('Carta Contemplada'!$B$22="Sim",INDEX('Carta Contemplada'!$C$55:$C$1013,$A165),0)</x:f>
        <x:v>2559.5139121748216</x:v>
      </x:c>
      <x:c r="BV165" s="141" t="n">
        <x:f>IF(AND('Carta Contemplada'!$B$22="Sim",Premissas!$B$11="Imovel",Premissas!$B$47="Moradia",$A165&lt;MAX('Carta Contemplada'!$B$44,Premissas!$B$49)),$D165,0)</x:f>
        <x:v>0</x:v>
      </x:c>
      <x:c r="BW165" s="141" t="n">
        <x:f>IF(AND('Carta Contemplada'!$B$22="Sim",Premissas!$B$11="Imovel",Premissas!$B$47="Investimento",$A165&gt;=MAX('Carta Contemplada'!$B$44,Premissas!$B$49)),$E165,0)</x:f>
        <x:v>1365.0740864932382</x:v>
      </x:c>
      <x:c r="BX165" s="141" t="n">
        <x:f>BT165+BU165+BV165</x:f>
        <x:v>2559.5139121748216</x:v>
      </x:c>
      <x:c r="BY165" s="141" t="n">
        <x:f>BW165</x:f>
        <x:v>1365.0740864932382</x:v>
      </x:c>
      <x:c r="BZ165" s="141" t="n">
        <x:f>$C165+BY165-BX165</x:f>
        <x:v>5805.560174318416</x:v>
      </x:c>
      <x:c r="CA165" s="141" t="n">
        <x:f>CD164*(1+Premissas!$B$41)+BZ165</x:f>
        <x:v>2549692.8967757537</x:v>
      </x:c>
      <x:c r="CB165" s="141" t="n">
        <x:f>MAX(0,-CA165)</x:f>
        <x:v>0</x:v>
      </x:c>
      <x:c r="CC165" s="141" t="n">
        <x:f>CC164*(1+Premissas!$B$41)+CB165</x:f>
        <x:v>0</x:v>
      </x:c>
      <x:c r="CD165" s="141" t="n">
        <x:f>MAX(0,CA165)</x:f>
        <x:v>2549692.8967757537</x:v>
      </x:c>
      <x:c r="CE165" s="141" t="n">
        <x:f>IF(AND('Carta Contemplada'!$B$22="Sim",$A165&gt;='Carta Contemplada'!$B$23),INDEX('Carta Contemplada'!$I$55:$I$1013,$A165),0)</x:f>
        <x:v>45930.58849141698</x:v>
      </x:c>
      <x:c r="CF165" s="141" t="n">
        <x:f>IF(AND('Carta Contemplada'!$B$22="Sim",$A165&gt;='Carta Contemplada'!$B$44),$F165,0)</x:f>
        <x:v>434952.2006702498</x:v>
      </x:c>
      <x:c r="CG165" s="141" t="n">
        <x:f>CD165+CF165-CE165</x:f>
        <x:v>2938714.5089545865</x:v>
      </x:c>
      <x:c r="CH165" s="141" t="n">
        <x:f>IF(CC165&gt;1,"Inviavel",CG165)</x:f>
        <x:v>2938714.5089545865</x:v>
      </x:c>
      <x:c r="CI165" s="145" t="str">
        <x:f>IF(CC165&gt;1,"Inviavel","OK")</x:f>
        <x:v>OK</x:v>
      </x:c>
    </x:row>
    <x:row r="166">
      <x:c r="A166" s="142" t="n">
        <x:v>162</x:v>
      </x:c>
      <x:c r="B166" s="179" t="n">
        <x:f>EDATE(Premissas!$B$4,A166-1)</x:f>
        <x:v>51441</x:v>
      </x:c>
      <x:c r="C166" s="141" t="n">
        <x:f>IF(A166&lt;=Premissas!$B$39,Premissas!$B$42,0)</x:f>
        <x:v>7000</x:v>
      </x:c>
      <x:c r="D166" s="141" t="n">
        <x:f>Premissas!$B$54*(1+Premissas!$B$57)^INT((A166-1)/12)</x:f>
        <x:v>1493.0497821019792</x:v>
      </x:c>
      <x:c r="E166" s="141" t="n">
        <x:f>Premissas!$B$64*(1+Premissas!$B$57)^INT((A166-1)/12)</x:f>
        <x:v>1365.0740864932382</x:v>
      </x:c>
      <x:c r="F166" s="141" t="n">
        <x:f>MAX(0,Premissas!$B$6*(1+Premissas!$B$66)^((A166-1)/12))</x:f>
        <x:v>437069.3525005194</x:v>
      </x:c>
      <x:c r="G166" s="141" t="n">
        <x:f>G165*(1+Premissas!$B$41)+C166</x:f>
        <x:v>3080663.3250587382</x:v>
      </x:c>
      <x:c r="H166" s="141" t="n">
        <x:f>IF($A166=Premissas!$B$48,Premissas!$B$8,0)</x:f>
        <x:v>0</x:v>
      </x:c>
      <x:c r="I166" s="141" t="n">
        <x:f>IF(AND($A166&gt;=Premissas!$B$48,$A166-Premissas!$B$48+1&lt;=Premissas!$B$13),INDEX(Financiamento!$J$6:$J$485,$A166-Premissas!$B$48+1),0)</x:f>
        <x:v>1467.1799504979103</x:v>
      </x:c>
      <x:c r="J166" s="141" t="n">
        <x:f>IF(AND(TRUE,Premissas!$B$11="Imovel",Premissas!$B$47="Moradia",$A166&lt;MAX(Premissas!$B$48,Premissas!$B$49)),$D166,0)</x:f>
        <x:v>0</x:v>
      </x:c>
      <x:c r="K166" s="141" t="n">
        <x:f>IF(AND(TRUE,Premissas!$B$11="Imovel",Premissas!$B$47="Investimento",$A166&gt;=MAX(Premissas!$B$48,Premissas!$B$49)),$E166,0)</x:f>
        <x:v>1365.0740864932382</x:v>
      </x:c>
      <x:c r="L166" s="141" t="n">
        <x:f>H166+I166+J166</x:f>
        <x:v>1467.1799504979103</x:v>
      </x:c>
      <x:c r="M166" s="141" t="n">
        <x:f>K166</x:f>
        <x:v>1365.0740864932382</x:v>
      </x:c>
      <x:c r="N166" s="141" t="n">
        <x:f>$C166+M166-L166</x:f>
        <x:v>6897.894135995328</x:v>
      </x:c>
      <x:c r="O166" s="141" t="n">
        <x:f>R165*(1+Premissas!$B$41)+N166</x:f>
        <x:v>2526739.611902001</x:v>
      </x:c>
      <x:c r="P166" s="141" t="n">
        <x:f>MAX(0,-O166)</x:f>
        <x:v>0</x:v>
      </x:c>
      <x:c r="Q166" s="141" t="n">
        <x:f>Q165*(1+Premissas!$B$41)+P166</x:f>
        <x:v>0</x:v>
      </x:c>
      <x:c r="R166" s="141" t="n">
        <x:f>MAX(0,O166)</x:f>
        <x:v>2526739.611902001</x:v>
      </x:c>
      <x:c r="S166" s="141" t="n">
        <x:f>IF(AND($A166&gt;=Premissas!$B$48,$A166-Premissas!$B$48+1&lt;=Premissas!$B$13),INDEX(Financiamento!$M$6:$M$485,$A166-Premissas!$B$48+1),0)</x:f>
        <x:v>98285.71428571445</x:v>
      </x:c>
      <x:c r="T166" s="141" t="n">
        <x:f>IF($A166&gt;=Premissas!$B$48,$F166,0)</x:f>
        <x:v>437069.3525005194</x:v>
      </x:c>
      <x:c r="U166" s="141" t="n">
        <x:f>R166+T166-S166</x:f>
        <x:v>2865523.2501168055</x:v>
      </x:c>
      <x:c r="V166" s="141" t="n">
        <x:f>IF(Q166&gt;1,"Inviavel",U166)</x:f>
        <x:v>2865523.2501168055</x:v>
      </x:c>
      <x:c r="W166" s="141" t="str">
        <x:f>IF(Q166&gt;1,"Inviavel","OK")</x:f>
        <x:v>OK</x:v>
      </x:c>
      <x:c r="X166" s="141" t="n">
        <x:f>IF($A166=Premissas!$B$48,Premissas!$B$8,0)</x:f>
        <x:v>0</x:v>
      </x:c>
      <x:c r="Y166" s="141" t="n">
        <x:f>IF(AND($A166&gt;=Premissas!$B$48,$A166-Premissas!$B$48+1&lt;=Premissas!$B$13),INDEX(Amortizacao!$K$6:$K$485,$A166-Premissas!$B$48+1),0)</x:f>
        <x:v>0</x:v>
      </x:c>
      <x:c r="Z166" s="141" t="n">
        <x:f>IF(AND(TRUE,Premissas!$B$11="Imovel",Premissas!$B$47="Moradia",$A166&lt;MAX(Premissas!$B$48,Premissas!$B$49)),$D166,0)</x:f>
        <x:v>0</x:v>
      </x:c>
      <x:c r="AA166" s="141" t="n">
        <x:f>IF(AND(TRUE,Premissas!$B$11="Imovel",Premissas!$B$47="Investimento",$A166&gt;=MAX(Premissas!$B$48,Premissas!$B$49)),$E166,0)</x:f>
        <x:v>1365.0740864932382</x:v>
      </x:c>
      <x:c r="AB166" s="141" t="n">
        <x:f>X166+Y166+Z166</x:f>
        <x:v>0</x:v>
      </x:c>
      <x:c r="AC166" s="141" t="n">
        <x:f>AA166</x:f>
        <x:v>1365.0740864932382</x:v>
      </x:c>
      <x:c r="AD166" s="141" t="n">
        <x:f>$C166+AC166-AB166</x:f>
        <x:v>8365.074086493238</x:v>
      </x:c>
      <x:c r="AE166" s="141" t="n">
        <x:f>AH165*(1+Premissas!$B$41)+AD166</x:f>
        <x:v>2469215.36698464</x:v>
      </x:c>
      <x:c r="AF166" s="141" t="n">
        <x:f>MAX(0,-AE166)</x:f>
        <x:v>0</x:v>
      </x:c>
      <x:c r="AG166" s="141" t="n">
        <x:f>AG165*(1+Premissas!$B$41)+AF166</x:f>
        <x:v>0</x:v>
      </x:c>
      <x:c r="AH166" s="141" t="n">
        <x:f>MAX(0,AE166)</x:f>
        <x:v>2469215.36698464</x:v>
      </x:c>
      <x:c r="AI166" s="141" t="n">
        <x:f>IF(AND($A166&gt;=Premissas!$B$48,$A166-Premissas!$B$48+1&lt;=Premissas!$B$13),INDEX(Amortizacao!$L$6:$L$485,$A166-Premissas!$B$48+1),0)</x:f>
        <x:v>0</x:v>
      </x:c>
      <x:c r="AJ166" s="141" t="n">
        <x:f>IF($A166&gt;=Premissas!$B$48,$F166,0)</x:f>
        <x:v>437069.3525005194</x:v>
      </x:c>
      <x:c r="AK166" s="141" t="n">
        <x:f>AH166+AJ166-AI166</x:f>
        <x:v>2906284.719485159</x:v>
      </x:c>
      <x:c r="AL166" s="141" t="n">
        <x:f>IF(AG166&gt;1,"Inviavel",AK166)</x:f>
        <x:v>2906284.719485159</x:v>
      </x:c>
      <x:c r="AM166" s="141" t="str">
        <x:f>IF(AG166&gt;1,"Inviavel","OK")</x:f>
        <x:v>OK</x:v>
      </x:c>
      <x:c r="AN166" s="141" t="n">
        <x:f>IF($A166=Premissas!$B$48,Premissas!$B$8,0)</x:f>
        <x:v>0</x:v>
      </x:c>
      <x:c r="AO166" s="141" t="n">
        <x:f>IF($A166&lt;=Premissas!$B$25,INDEX('Consorcio IQ'!$K$6:$K$485,$A166),0)</x:f>
        <x:v>1216.7627462737416</x:v>
      </x:c>
      <x:c r="AP166" s="141" t="n">
        <x:f>IF(AND(TRUE,Premissas!$B$11="Imovel",Premissas!$B$47="Moradia",$A166&lt;MAX(Premissas!$B$48,Premissas!$B$49)),$D166,0)</x:f>
        <x:v>0</x:v>
      </x:c>
      <x:c r="AQ166" s="141" t="n">
        <x:f>IF(AND(TRUE,Premissas!$B$11="Imovel",Premissas!$B$47="Investimento",$A166&gt;=MAX(Premissas!$B$48,Premissas!$B$49)),$E166,0)</x:f>
        <x:v>1365.0740864932382</x:v>
      </x:c>
      <x:c r="AR166" s="141" t="n">
        <x:f>AN166+AO166+AP166</x:f>
        <x:v>1216.7627462737416</x:v>
      </x:c>
      <x:c r="AS166" s="141" t="n">
        <x:f>AQ166</x:f>
        <x:v>1365.0740864932382</x:v>
      </x:c>
      <x:c r="AT166" s="141" t="n">
        <x:f>$C166+AS166-AR166</x:f>
        <x:v>7148.311340219496</x:v>
      </x:c>
      <x:c r="AU166" s="141" t="n">
        <x:f>AX165*(1+Premissas!$B$41)+AT166</x:f>
        <x:v>2522109.9538678555</x:v>
      </x:c>
      <x:c r="AV166" s="141" t="n">
        <x:f>MAX(0,-AU166)</x:f>
        <x:v>0</x:v>
      </x:c>
      <x:c r="AW166" s="141" t="n">
        <x:f>AW165*(1+Premissas!$B$41)+AV166</x:f>
        <x:v>0</x:v>
      </x:c>
      <x:c r="AX166" s="141" t="n">
        <x:f>MAX(0,AU166)</x:f>
        <x:v>2522109.9538678555</x:v>
      </x:c>
      <x:c r="AY166" s="141" t="n">
        <x:f>INDEX('Consorcio IQ'!$P$6:$P$485,$A166)</x:f>
        <x:v>79331.80572607511</x:v>
      </x:c>
      <x:c r="AZ166" s="141" t="n">
        <x:f>IF($A166&gt;=Premissas!$B$48,$F166,0)+IF($A166&lt;Premissas!$B$27,INDEX('Consorcio IQ'!$O$6:$O$485,$A166),0)</x:f>
        <x:v>437069.3525005194</x:v>
      </x:c>
      <x:c r="BA166" s="141" t="n">
        <x:f>AX166+AZ166-AY166</x:f>
        <x:v>2879847.5006422997</x:v>
      </x:c>
      <x:c r="BB166" s="141" t="n">
        <x:f>IF(AW166&gt;1,"Inviavel",BA166)</x:f>
        <x:v>2879847.5006422997</x:v>
      </x:c>
      <x:c r="BC166" s="141" t="str">
        <x:f>IF(AW166&gt;1,"Inviavel","OK")</x:f>
        <x:v>OK</x:v>
      </x:c>
      <x:c r="BD166" s="141" t="n">
        <x:f>IF($A166='Consorcio Direto'!$B$29,'Consorcio Direto'!$B$44,0)</x:f>
        <x:v>0</x:v>
      </x:c>
      <x:c r="BE166" s="141" t="n">
        <x:f>IF($A166&lt;='Consorcio Direto'!$B$27,INDEX('Consorcio Direto'!$E$55:$E$534,$A166),0)</x:f>
        <x:v>3150.80806092519</x:v>
      </x:c>
      <x:c r="BF166" s="141" t="n">
        <x:f>IF(AND(TRUE,Premissas!$B$11="Imovel",Premissas!$B$47="Moradia",$A166&lt;MAX('Consorcio Direto'!$B$29,Premissas!$B$49)),$D166,0)</x:f>
        <x:v>0</x:v>
      </x:c>
      <x:c r="BG166" s="141" t="n">
        <x:f>IF(AND(TRUE,Premissas!$B$11="Imovel",Premissas!$B$47="Investimento",$A166&gt;=MAX('Consorcio Direto'!$B$29,Premissas!$B$49)),$E166,0)</x:f>
        <x:v>1365.0740864932382</x:v>
      </x:c>
      <x:c r="BH166" s="141" t="n">
        <x:f>BD166+BE166+BF166</x:f>
        <x:v>3150.80806092519</x:v>
      </x:c>
      <x:c r="BI166" s="141" t="n">
        <x:f>BG166</x:f>
        <x:v>1365.0740864932382</x:v>
      </x:c>
      <x:c r="BJ166" s="141" t="n">
        <x:f>$C166+BI166-BH166</x:f>
        <x:v>5214.266025568048</x:v>
      </x:c>
      <x:c r="BK166" s="141" t="n">
        <x:f>BN165*(1+Premissas!$B$41)+BJ166</x:f>
        <x:v>2505330.895188305</x:v>
      </x:c>
      <x:c r="BL166" s="141" t="n">
        <x:f>MAX(0,-BK166)</x:f>
        <x:v>0</x:v>
      </x:c>
      <x:c r="BM166" s="141" t="n">
        <x:f>BM165*(1+Premissas!$B$41)+BL166</x:f>
        <x:v>0</x:v>
      </x:c>
      <x:c r="BN166" s="141" t="n">
        <x:f>MAX(0,BK166)</x:f>
        <x:v>2505330.895188305</x:v>
      </x:c>
      <x:c r="BO166" s="141" t="n">
        <x:f>INDEX('Consorcio Direto'!$K$55:$K$534,$A166)</x:f>
        <x:v>205429.77152690841</x:v>
      </x:c>
      <x:c r="BP166" s="141" t="n">
        <x:f>IF($A166&lt;'Consorcio Direto'!$B$29,INDEX('Consorcio Direto'!$L$55:$L$534,$A166),$F166)</x:f>
        <x:v>437069.3525005194</x:v>
      </x:c>
      <x:c r="BQ166" s="141" t="n">
        <x:f>BN166+BP166-BO166</x:f>
        <x:v>2736970.476161916</x:v>
      </x:c>
      <x:c r="BR166" s="141" t="n">
        <x:f>IF(BM166&gt;1,"Inviavel",BQ166)</x:f>
        <x:v>2736970.476161916</x:v>
      </x:c>
      <x:c r="BS166" s="141" t="str">
        <x:f>IF(BM166&gt;1,"Inviavel","OK")</x:f>
        <x:v>OK</x:v>
      </x:c>
      <x:c r="BT166" s="141" t="n">
        <x:f>IF(AND('Carta Contemplada'!$B$22="Sim",$A166='Carta Contemplada'!$B$23),'Carta Contemplada'!$B$37,0)</x:f>
        <x:v>0</x:v>
      </x:c>
      <x:c r="BU166" s="141" t="n">
        <x:f>IF('Carta Contemplada'!$B$22="Sim",INDEX('Carta Contemplada'!$C$55:$C$1013,$A166),0)</x:f>
        <x:v>2559.5139121748216</x:v>
      </x:c>
      <x:c r="BV166" s="141" t="n">
        <x:f>IF(AND('Carta Contemplada'!$B$22="Sim",Premissas!$B$11="Imovel",Premissas!$B$47="Moradia",$A166&lt;MAX('Carta Contemplada'!$B$44,Premissas!$B$49)),$D166,0)</x:f>
        <x:v>0</x:v>
      </x:c>
      <x:c r="BW166" s="141" t="n">
        <x:f>IF(AND('Carta Contemplada'!$B$22="Sim",Premissas!$B$11="Imovel",Premissas!$B$47="Investimento",$A166&gt;=MAX('Carta Contemplada'!$B$44,Premissas!$B$49)),$E166,0)</x:f>
        <x:v>1365.0740864932382</x:v>
      </x:c>
      <x:c r="BX166" s="141" t="n">
        <x:f>BT166+BU166+BV166</x:f>
        <x:v>2559.5139121748216</x:v>
      </x:c>
      <x:c r="BY166" s="141" t="n">
        <x:f>BW166</x:f>
        <x:v>1365.0740864932382</x:v>
      </x:c>
      <x:c r="BZ166" s="141" t="n">
        <x:f>$C166+BY166-BX166</x:f>
        <x:v>5805.560174318416</x:v>
      </x:c>
      <x:c r="CA166" s="141" t="n">
        <x:f>CD165*(1+Premissas!$B$41)+BZ166</x:f>
        <x:v>2579691.9648943543</x:v>
      </x:c>
      <x:c r="CB166" s="141" t="n">
        <x:f>MAX(0,-CA166)</x:f>
        <x:v>0</x:v>
      </x:c>
      <x:c r="CC166" s="141" t="n">
        <x:f>CC165*(1+Premissas!$B$41)+CB166</x:f>
        <x:v>0</x:v>
      </x:c>
      <x:c r="CD166" s="141" t="n">
        <x:f>MAX(0,CA166)</x:f>
        <x:v>2579691.9648943543</x:v>
      </x:c>
      <x:c r="CE166" s="141" t="n">
        <x:f>IF(AND('Carta Contemplada'!$B$22="Sim",$A166&gt;='Carta Contemplada'!$B$23),INDEX('Carta Contemplada'!$I$55:$I$1013,$A166),0)</x:f>
        <x:v>43806.900422800754</x:v>
      </x:c>
      <x:c r="CF166" s="141" t="n">
        <x:f>IF(AND('Carta Contemplada'!$B$22="Sim",$A166&gt;='Carta Contemplada'!$B$44),$F166,0)</x:f>
        <x:v>437069.3525005194</x:v>
      </x:c>
      <x:c r="CG166" s="141" t="n">
        <x:f>CD166+CF166-CE166</x:f>
        <x:v>2972954.416972073</x:v>
      </x:c>
      <x:c r="CH166" s="141" t="n">
        <x:f>IF(CC166&gt;1,"Inviavel",CG166)</x:f>
        <x:v>2972954.416972073</x:v>
      </x:c>
      <x:c r="CI166" s="145" t="str">
        <x:f>IF(CC166&gt;1,"Inviavel","OK")</x:f>
        <x:v>OK</x:v>
      </x:c>
    </x:row>
    <x:row r="167">
      <x:c r="A167" s="142" t="n">
        <x:v>163</x:v>
      </x:c>
      <x:c r="B167" s="179" t="n">
        <x:f>EDATE(Premissas!$B$4,A167-1)</x:f>
        <x:v>51471</x:v>
      </x:c>
      <x:c r="C167" s="141" t="n">
        <x:f>IF(A167&lt;=Premissas!$B$39,Premissas!$B$42,0)</x:f>
        <x:v>7000</x:v>
      </x:c>
      <x:c r="D167" s="141" t="n">
        <x:f>Premissas!$B$54*(1+Premissas!$B$57)^INT((A167-1)/12)</x:f>
        <x:v>1493.0497821019792</x:v>
      </x:c>
      <x:c r="E167" s="141" t="n">
        <x:f>Premissas!$B$64*(1+Premissas!$B$57)^INT((A167-1)/12)</x:f>
        <x:v>1365.0740864932382</x:v>
      </x:c>
      <x:c r="F167" s="141" t="n">
        <x:f>MAX(0,Premissas!$B$6*(1+Premissas!$B$66)^((A167-1)/12))</x:f>
        <x:v>439196.8096743775</x:v>
      </x:c>
      <x:c r="G167" s="141" t="n">
        <x:f>G166*(1+Premissas!$B$41)+C167</x:f>
        <x:v>3116895.101451385</x:v>
      </x:c>
      <x:c r="H167" s="141" t="n">
        <x:f>IF($A167=Premissas!$B$48,Premissas!$B$8,0)</x:f>
        <x:v>0</x:v>
      </x:c>
      <x:c r="I167" s="141" t="n">
        <x:f>IF(AND($A167&gt;=Premissas!$B$48,$A167-Premissas!$B$48+1&lt;=Premissas!$B$13),INDEX(Financiamento!$J$6:$J$485,$A167-Premissas!$B$48+1),0)</x:f>
        <x:v>1463.5651722371167</x:v>
      </x:c>
      <x:c r="J167" s="141" t="n">
        <x:f>IF(AND(TRUE,Premissas!$B$11="Imovel",Premissas!$B$47="Moradia",$A167&lt;MAX(Premissas!$B$48,Premissas!$B$49)),$D167,0)</x:f>
        <x:v>0</x:v>
      </x:c>
      <x:c r="K167" s="141" t="n">
        <x:f>IF(AND(TRUE,Premissas!$B$11="Imovel",Premissas!$B$47="Investimento",$A167&gt;=MAX(Premissas!$B$48,Premissas!$B$49)),$E167,0)</x:f>
        <x:v>1365.0740864932382</x:v>
      </x:c>
      <x:c r="L167" s="141" t="n">
        <x:f>H167+I167+J167</x:f>
        <x:v>1463.5651722371167</x:v>
      </x:c>
      <x:c r="M167" s="141" t="n">
        <x:f>K167</x:f>
        <x:v>1365.0740864932382</x:v>
      </x:c>
      <x:c r="N167" s="141" t="n">
        <x:f>$C167+M167-L167</x:f>
        <x:v>6901.508914256121</x:v>
      </x:c>
      <x:c r="O167" s="141" t="n">
        <x:f>R166*(1+Premissas!$B$41)+N167</x:f>
        <x:v>2557616.8297932036</x:v>
      </x:c>
      <x:c r="P167" s="141" t="n">
        <x:f>MAX(0,-O167)</x:f>
        <x:v>0</x:v>
      </x:c>
      <x:c r="Q167" s="141" t="n">
        <x:f>Q166*(1+Premissas!$B$41)+P167</x:f>
        <x:v>0</x:v>
      </x:c>
      <x:c r="R167" s="141" t="n">
        <x:f>MAX(0,O167)</x:f>
        <x:v>2557616.8297932036</x:v>
      </x:c>
      <x:c r="S167" s="141" t="n">
        <x:f>IF(AND($A167&gt;=Premissas!$B$48,$A167-Premissas!$B$48+1&lt;=Premissas!$B$13),INDEX(Financiamento!$M$6:$M$485,$A167-Premissas!$B$48+1),0)</x:f>
        <x:v>97904.76190476207</x:v>
      </x:c>
      <x:c r="T167" s="141" t="n">
        <x:f>IF($A167&gt;=Premissas!$B$48,$F167,0)</x:f>
        <x:v>439196.8096743775</x:v>
      </x:c>
      <x:c r="U167" s="141" t="n">
        <x:f>R167+T167-S167</x:f>
        <x:v>2898908.877562819</x:v>
      </x:c>
      <x:c r="V167" s="141" t="n">
        <x:f>IF(Q167&gt;1,"Inviavel",U167)</x:f>
        <x:v>2898908.877562819</x:v>
      </x:c>
      <x:c r="W167" s="141" t="str">
        <x:f>IF(Q167&gt;1,"Inviavel","OK")</x:f>
        <x:v>OK</x:v>
      </x:c>
      <x:c r="X167" s="141" t="n">
        <x:f>IF($A167=Premissas!$B$48,Premissas!$B$8,0)</x:f>
        <x:v>0</x:v>
      </x:c>
      <x:c r="Y167" s="141" t="n">
        <x:f>IF(AND($A167&gt;=Premissas!$B$48,$A167-Premissas!$B$48+1&lt;=Premissas!$B$13),INDEX(Amortizacao!$K$6:$K$485,$A167-Premissas!$B$48+1),0)</x:f>
        <x:v>0</x:v>
      </x:c>
      <x:c r="Z167" s="141" t="n">
        <x:f>IF(AND(TRUE,Premissas!$B$11="Imovel",Premissas!$B$47="Moradia",$A167&lt;MAX(Premissas!$B$48,Premissas!$B$49)),$D167,0)</x:f>
        <x:v>0</x:v>
      </x:c>
      <x:c r="AA167" s="141" t="n">
        <x:f>IF(AND(TRUE,Premissas!$B$11="Imovel",Premissas!$B$47="Investimento",$A167&gt;=MAX(Premissas!$B$48,Premissas!$B$49)),$E167,0)</x:f>
        <x:v>1365.0740864932382</x:v>
      </x:c>
      <x:c r="AB167" s="141" t="n">
        <x:f>X167+Y167+Z167</x:f>
        <x:v>0</x:v>
      </x:c>
      <x:c r="AC167" s="141" t="n">
        <x:f>AA167</x:f>
        <x:v>1365.0740864932382</x:v>
      </x:c>
      <x:c r="AD167" s="141" t="n">
        <x:f>$C167+AC167-AB167</x:f>
        <x:v>8365.074086493238</x:v>
      </x:c>
      <x:c r="AE167" s="141" t="n">
        <x:f>AH166*(1+Premissas!$B$41)+AD167</x:f>
        <x:v>2501010.3143993407</x:v>
      </x:c>
      <x:c r="AF167" s="141" t="n">
        <x:f>MAX(0,-AE167)</x:f>
        <x:v>0</x:v>
      </x:c>
      <x:c r="AG167" s="141" t="n">
        <x:f>AG166*(1+Premissas!$B$41)+AF167</x:f>
        <x:v>0</x:v>
      </x:c>
      <x:c r="AH167" s="141" t="n">
        <x:f>MAX(0,AE167)</x:f>
        <x:v>2501010.3143993407</x:v>
      </x:c>
      <x:c r="AI167" s="141" t="n">
        <x:f>IF(AND($A167&gt;=Premissas!$B$48,$A167-Premissas!$B$48+1&lt;=Premissas!$B$13),INDEX(Amortizacao!$L$6:$L$485,$A167-Premissas!$B$48+1),0)</x:f>
        <x:v>0</x:v>
      </x:c>
      <x:c r="AJ167" s="141" t="n">
        <x:f>IF($A167&gt;=Premissas!$B$48,$F167,0)</x:f>
        <x:v>439196.8096743775</x:v>
      </x:c>
      <x:c r="AK167" s="141" t="n">
        <x:f>AH167+AJ167-AI167</x:f>
        <x:v>2940207.124073718</x:v>
      </x:c>
      <x:c r="AL167" s="141" t="n">
        <x:f>IF(AG167&gt;1,"Inviavel",AK167)</x:f>
        <x:v>2940207.124073718</x:v>
      </x:c>
      <x:c r="AM167" s="141" t="str">
        <x:f>IF(AG167&gt;1,"Inviavel","OK")</x:f>
        <x:v>OK</x:v>
      </x:c>
      <x:c r="AN167" s="141" t="n">
        <x:f>IF($A167=Premissas!$B$48,Premissas!$B$8,0)</x:f>
        <x:v>0</x:v>
      </x:c>
      <x:c r="AO167" s="141" t="n">
        <x:f>IF($A167&lt;=Premissas!$B$25,INDEX('Consorcio IQ'!$K$6:$K$485,$A167),0)</x:f>
        <x:v>1216.7627462737416</x:v>
      </x:c>
      <x:c r="AP167" s="141" t="n">
        <x:f>IF(AND(TRUE,Premissas!$B$11="Imovel",Premissas!$B$47="Moradia",$A167&lt;MAX(Premissas!$B$48,Premissas!$B$49)),$D167,0)</x:f>
        <x:v>0</x:v>
      </x:c>
      <x:c r="AQ167" s="141" t="n">
        <x:f>IF(AND(TRUE,Premissas!$B$11="Imovel",Premissas!$B$47="Investimento",$A167&gt;=MAX(Premissas!$B$48,Premissas!$B$49)),$E167,0)</x:f>
        <x:v>1365.0740864932382</x:v>
      </x:c>
      <x:c r="AR167" s="141" t="n">
        <x:f>AN167+AO167+AP167</x:f>
        <x:v>1216.7627462737416</x:v>
      </x:c>
      <x:c r="AS167" s="141" t="n">
        <x:f>AQ167</x:f>
        <x:v>1365.0740864932382</x:v>
      </x:c>
      <x:c r="AT167" s="141" t="n">
        <x:f>$C167+AS167-AR167</x:f>
        <x:v>7148.311340219496</x:v>
      </x:c>
      <x:c r="AU167" s="141" t="n">
        <x:f>AX166*(1+Premissas!$B$41)+AT167</x:f>
        <x:v>2553190.0443185777</x:v>
      </x:c>
      <x:c r="AV167" s="141" t="n">
        <x:f>MAX(0,-AU167)</x:f>
        <x:v>0</x:v>
      </x:c>
      <x:c r="AW167" s="141" t="n">
        <x:f>AW166*(1+Premissas!$B$41)+AV167</x:f>
        <x:v>0</x:v>
      </x:c>
      <x:c r="AX167" s="141" t="n">
        <x:f>MAX(0,AU167)</x:f>
        <x:v>2553190.0443185777</x:v>
      </x:c>
      <x:c r="AY167" s="141" t="n">
        <x:f>INDEX('Consorcio IQ'!$P$6:$P$485,$A167)</x:f>
        <x:v>78867.80605746266</x:v>
      </x:c>
      <x:c r="AZ167" s="141" t="n">
        <x:f>IF($A167&gt;=Premissas!$B$48,$F167,0)+IF($A167&lt;Premissas!$B$27,INDEX('Consorcio IQ'!$O$6:$O$485,$A167),0)</x:f>
        <x:v>439196.8096743775</x:v>
      </x:c>
      <x:c r="BA167" s="141" t="n">
        <x:f>AX167+AZ167-AY167</x:f>
        <x:v>2913519.047935493</x:v>
      </x:c>
      <x:c r="BB167" s="141" t="n">
        <x:f>IF(AW167&gt;1,"Inviavel",BA167)</x:f>
        <x:v>2913519.047935493</x:v>
      </x:c>
      <x:c r="BC167" s="141" t="str">
        <x:f>IF(AW167&gt;1,"Inviavel","OK")</x:f>
        <x:v>OK</x:v>
      </x:c>
      <x:c r="BD167" s="141" t="n">
        <x:f>IF($A167='Consorcio Direto'!$B$29,'Consorcio Direto'!$B$44,0)</x:f>
        <x:v>0</x:v>
      </x:c>
      <x:c r="BE167" s="141" t="n">
        <x:f>IF($A167&lt;='Consorcio Direto'!$B$27,INDEX('Consorcio Direto'!$E$55:$E$534,$A167),0)</x:f>
        <x:v>3150.80806092519</x:v>
      </x:c>
      <x:c r="BF167" s="141" t="n">
        <x:f>IF(AND(TRUE,Premissas!$B$11="Imovel",Premissas!$B$47="Moradia",$A167&lt;MAX('Consorcio Direto'!$B$29,Premissas!$B$49)),$D167,0)</x:f>
        <x:v>0</x:v>
      </x:c>
      <x:c r="BG167" s="141" t="n">
        <x:f>IF(AND(TRUE,Premissas!$B$11="Imovel",Premissas!$B$47="Investimento",$A167&gt;=MAX('Consorcio Direto'!$B$29,Premissas!$B$49)),$E167,0)</x:f>
        <x:v>1365.0740864932382</x:v>
      </x:c>
      <x:c r="BH167" s="141" t="n">
        <x:f>BD167+BE167+BF167</x:f>
        <x:v>3150.80806092519</x:v>
      </x:c>
      <x:c r="BI167" s="141" t="n">
        <x:f>BG167</x:f>
        <x:v>1365.0740864932382</x:v>
      </x:c>
      <x:c r="BJ167" s="141" t="n">
        <x:f>$C167+BI167-BH167</x:f>
        <x:v>5214.266025568048</x:v>
      </x:c>
      <x:c r="BK167" s="141" t="n">
        <x:f>BN166*(1+Premissas!$B$41)+BJ167</x:f>
        <x:v>2534317.7273109285</x:v>
      </x:c>
      <x:c r="BL167" s="141" t="n">
        <x:f>MAX(0,-BK167)</x:f>
        <x:v>0</x:v>
      </x:c>
      <x:c r="BM167" s="141" t="n">
        <x:f>BM166*(1+Premissas!$B$41)+BL167</x:f>
        <x:v>0</x:v>
      </x:c>
      <x:c r="BN167" s="141" t="n">
        <x:f>MAX(0,BK167)</x:f>
        <x:v>2534317.7273109285</x:v>
      </x:c>
      <x:c r="BO167" s="141" t="n">
        <x:f>INDEX('Consorcio Direto'!$K$55:$K$534,$A167)</x:f>
        <x:v>204228.24403060076</x:v>
      </x:c>
      <x:c r="BP167" s="141" t="n">
        <x:f>IF($A167&lt;'Consorcio Direto'!$B$29,INDEX('Consorcio Direto'!$L$55:$L$534,$A167),$F167)</x:f>
        <x:v>439196.8096743775</x:v>
      </x:c>
      <x:c r="BQ167" s="141" t="n">
        <x:f>BN167+BP167-BO167</x:f>
        <x:v>2769286.292954705</x:v>
      </x:c>
      <x:c r="BR167" s="141" t="n">
        <x:f>IF(BM167&gt;1,"Inviavel",BQ167)</x:f>
        <x:v>2769286.292954705</x:v>
      </x:c>
      <x:c r="BS167" s="141" t="str">
        <x:f>IF(BM167&gt;1,"Inviavel","OK")</x:f>
        <x:v>OK</x:v>
      </x:c>
      <x:c r="BT167" s="141" t="n">
        <x:f>IF(AND('Carta Contemplada'!$B$22="Sim",$A167='Carta Contemplada'!$B$23),'Carta Contemplada'!$B$37,0)</x:f>
        <x:v>0</x:v>
      </x:c>
      <x:c r="BU167" s="141" t="n">
        <x:f>IF('Carta Contemplada'!$B$22="Sim",INDEX('Carta Contemplada'!$C$55:$C$1013,$A167),0)</x:f>
        <x:v>2559.5139121748216</x:v>
      </x:c>
      <x:c r="BV167" s="141" t="n">
        <x:f>IF(AND('Carta Contemplada'!$B$22="Sim",Premissas!$B$11="Imovel",Premissas!$B$47="Moradia",$A167&lt;MAX('Carta Contemplada'!$B$44,Premissas!$B$49)),$D167,0)</x:f>
        <x:v>0</x:v>
      </x:c>
      <x:c r="BW167" s="141" t="n">
        <x:f>IF(AND('Carta Contemplada'!$B$22="Sim",Premissas!$B$11="Imovel",Premissas!$B$47="Investimento",$A167&gt;=MAX('Carta Contemplada'!$B$44,Premissas!$B$49)),$E167,0)</x:f>
        <x:v>1365.0740864932382</x:v>
      </x:c>
      <x:c r="BX167" s="141" t="n">
        <x:f>BT167+BU167+BV167</x:f>
        <x:v>2559.5139121748216</x:v>
      </x:c>
      <x:c r="BY167" s="141" t="n">
        <x:f>BW167</x:f>
        <x:v>1365.0740864932382</x:v>
      </x:c>
      <x:c r="BZ167" s="141" t="n">
        <x:f>$C167+BY167-BX167</x:f>
        <x:v>5805.560174318416</x:v>
      </x:c>
      <x:c r="CA167" s="141" t="n">
        <x:f>CD166*(1+Premissas!$B$41)+BZ167</x:f>
        <x:v>2609975.687958563</x:v>
      </x:c>
      <x:c r="CB167" s="141" t="n">
        <x:f>MAX(0,-CA167)</x:f>
        <x:v>0</x:v>
      </x:c>
      <x:c r="CC167" s="141" t="n">
        <x:f>CC166*(1+Premissas!$B$41)+CB167</x:f>
        <x:v>0</x:v>
      </x:c>
      <x:c r="CD167" s="141" t="n">
        <x:f>MAX(0,CA167)</x:f>
        <x:v>2609975.687958563</x:v>
      </x:c>
      <x:c r="CE167" s="141" t="n">
        <x:f>IF(AND('Carta Contemplada'!$B$22="Sim",$A167&gt;='Carta Contemplada'!$B$23),INDEX('Carta Contemplada'!$I$55:$I$1013,$A167),0)</x:f>
        <x:v>41663.06111784379</x:v>
      </x:c>
      <x:c r="CF167" s="141" t="n">
        <x:f>IF(AND('Carta Contemplada'!$B$22="Sim",$A167&gt;='Carta Contemplada'!$B$44),$F167,0)</x:f>
        <x:v>439196.8096743775</x:v>
      </x:c>
      <x:c r="CG167" s="141" t="n">
        <x:f>CD167+CF167-CE167</x:f>
        <x:v>3007509.436515097</x:v>
      </x:c>
      <x:c r="CH167" s="141" t="n">
        <x:f>IF(CC167&gt;1,"Inviavel",CG167)</x:f>
        <x:v>3007509.436515097</x:v>
      </x:c>
      <x:c r="CI167" s="145" t="str">
        <x:f>IF(CC167&gt;1,"Inviavel","OK")</x:f>
        <x:v>OK</x:v>
      </x:c>
    </x:row>
    <x:row r="168">
      <x:c r="A168" s="142" t="n">
        <x:v>164</x:v>
      </x:c>
      <x:c r="B168" s="179" t="n">
        <x:f>EDATE(Premissas!$B$4,A168-1)</x:f>
        <x:v>51502</x:v>
      </x:c>
      <x:c r="C168" s="141" t="n">
        <x:f>IF(A168&lt;=Premissas!$B$39,Premissas!$B$42,0)</x:f>
        <x:v>7000</x:v>
      </x:c>
      <x:c r="D168" s="141" t="n">
        <x:f>Premissas!$B$54*(1+Premissas!$B$57)^INT((A168-1)/12)</x:f>
        <x:v>1493.0497821019792</x:v>
      </x:c>
      <x:c r="E168" s="141" t="n">
        <x:f>Premissas!$B$64*(1+Premissas!$B$57)^INT((A168-1)/12)</x:f>
        <x:v>1365.0740864932382</x:v>
      </x:c>
      <x:c r="F168" s="141" t="n">
        <x:f>MAX(0,Premissas!$B$6*(1+Premissas!$B$66)^((A168-1)/12))</x:f>
        <x:v>441334.6223536049</x:v>
      </x:c>
      <x:c r="G168" s="141" t="n">
        <x:f>G167*(1+Premissas!$B$41)+C168</x:f>
        <x:v>3153470.6736678733</x:v>
      </x:c>
      <x:c r="H168" s="141" t="n">
        <x:f>IF($A168=Premissas!$B$48,Premissas!$B$8,0)</x:f>
        <x:v>0</x:v>
      </x:c>
      <x:c r="I168" s="141" t="n">
        <x:f>IF(AND($A168&gt;=Premissas!$B$48,$A168-Premissas!$B$48+1&lt;=Premissas!$B$13),INDEX(Financiamento!$J$6:$J$485,$A168-Premissas!$B$48+1),0)</x:f>
        <x:v>1459.9503939763233</x:v>
      </x:c>
      <x:c r="J168" s="141" t="n">
        <x:f>IF(AND(TRUE,Premissas!$B$11="Imovel",Premissas!$B$47="Moradia",$A168&lt;MAX(Premissas!$B$48,Premissas!$B$49)),$D168,0)</x:f>
        <x:v>0</x:v>
      </x:c>
      <x:c r="K168" s="141" t="n">
        <x:f>IF(AND(TRUE,Premissas!$B$11="Imovel",Premissas!$B$47="Investimento",$A168&gt;=MAX(Premissas!$B$48,Premissas!$B$49)),$E168,0)</x:f>
        <x:v>1365.0740864932382</x:v>
      </x:c>
      <x:c r="L168" s="141" t="n">
        <x:f>H168+I168+J168</x:f>
        <x:v>1459.9503939763233</x:v>
      </x:c>
      <x:c r="M168" s="141" t="n">
        <x:f>K168</x:f>
        <x:v>1365.0740864932382</x:v>
      </x:c>
      <x:c r="N168" s="141" t="n">
        <x:f>$C168+M168-L168</x:f>
        <x:v>6905.123692516914</x:v>
      </x:c>
      <x:c r="O168" s="141" t="n">
        <x:f>R167*(1+Premissas!$B$41)+N168</x:f>
        <x:v>2588790.649989633</x:v>
      </x:c>
      <x:c r="P168" s="141" t="n">
        <x:f>MAX(0,-O168)</x:f>
        <x:v>0</x:v>
      </x:c>
      <x:c r="Q168" s="141" t="n">
        <x:f>Q167*(1+Premissas!$B$41)+P168</x:f>
        <x:v>0</x:v>
      </x:c>
      <x:c r="R168" s="141" t="n">
        <x:f>MAX(0,O168)</x:f>
        <x:v>2588790.649989633</x:v>
      </x:c>
      <x:c r="S168" s="141" t="n">
        <x:f>IF(AND($A168&gt;=Premissas!$B$48,$A168-Premissas!$B$48+1&lt;=Premissas!$B$13),INDEX(Financiamento!$M$6:$M$485,$A168-Premissas!$B$48+1),0)</x:f>
        <x:v>97523.80952380969</x:v>
      </x:c>
      <x:c r="T168" s="141" t="n">
        <x:f>IF($A168&gt;=Premissas!$B$48,$F168,0)</x:f>
        <x:v>441334.6223536049</x:v>
      </x:c>
      <x:c r="U168" s="141" t="n">
        <x:f>R168+T168-S168</x:f>
        <x:v>2932601.462819428</x:v>
      </x:c>
      <x:c r="V168" s="141" t="n">
        <x:f>IF(Q168&gt;1,"Inviavel",U168)</x:f>
        <x:v>2932601.462819428</x:v>
      </x:c>
      <x:c r="W168" s="141" t="str">
        <x:f>IF(Q168&gt;1,"Inviavel","OK")</x:f>
        <x:v>OK</x:v>
      </x:c>
      <x:c r="X168" s="141" t="n">
        <x:f>IF($A168=Premissas!$B$48,Premissas!$B$8,0)</x:f>
        <x:v>0</x:v>
      </x:c>
      <x:c r="Y168" s="141" t="n">
        <x:f>IF(AND($A168&gt;=Premissas!$B$48,$A168-Premissas!$B$48+1&lt;=Premissas!$B$13),INDEX(Amortizacao!$K$6:$K$485,$A168-Premissas!$B$48+1),0)</x:f>
        <x:v>0</x:v>
      </x:c>
      <x:c r="Z168" s="141" t="n">
        <x:f>IF(AND(TRUE,Premissas!$B$11="Imovel",Premissas!$B$47="Moradia",$A168&lt;MAX(Premissas!$B$48,Premissas!$B$49)),$D168,0)</x:f>
        <x:v>0</x:v>
      </x:c>
      <x:c r="AA168" s="141" t="n">
        <x:f>IF(AND(TRUE,Premissas!$B$11="Imovel",Premissas!$B$47="Investimento",$A168&gt;=MAX(Premissas!$B$48,Premissas!$B$49)),$E168,0)</x:f>
        <x:v>1365.0740864932382</x:v>
      </x:c>
      <x:c r="AB168" s="141" t="n">
        <x:f>X168+Y168+Z168</x:f>
        <x:v>0</x:v>
      </x:c>
      <x:c r="AC168" s="141" t="n">
        <x:f>AA168</x:f>
        <x:v>1365.0740864932382</x:v>
      </x:c>
      <x:c r="AD168" s="141" t="n">
        <x:f>$C168+AC168-AB168</x:f>
        <x:v>8365.074086493238</x:v>
      </x:c>
      <x:c r="AE168" s="141" t="n">
        <x:f>AH167*(1+Premissas!$B$41)+AD168</x:f>
        <x:v>2533106.957486426</x:v>
      </x:c>
      <x:c r="AF168" s="141" t="n">
        <x:f>MAX(0,-AE168)</x:f>
        <x:v>0</x:v>
      </x:c>
      <x:c r="AG168" s="141" t="n">
        <x:f>AG167*(1+Premissas!$B$41)+AF168</x:f>
        <x:v>0</x:v>
      </x:c>
      <x:c r="AH168" s="141" t="n">
        <x:f>MAX(0,AE168)</x:f>
        <x:v>2533106.957486426</x:v>
      </x:c>
      <x:c r="AI168" s="141" t="n">
        <x:f>IF(AND($A168&gt;=Premissas!$B$48,$A168-Premissas!$B$48+1&lt;=Premissas!$B$13),INDEX(Amortizacao!$L$6:$L$485,$A168-Premissas!$B$48+1),0)</x:f>
        <x:v>0</x:v>
      </x:c>
      <x:c r="AJ168" s="141" t="n">
        <x:f>IF($A168&gt;=Premissas!$B$48,$F168,0)</x:f>
        <x:v>441334.6223536049</x:v>
      </x:c>
      <x:c r="AK168" s="141" t="n">
        <x:f>AH168+AJ168-AI168</x:f>
        <x:v>2974441.579840031</x:v>
      </x:c>
      <x:c r="AL168" s="141" t="n">
        <x:f>IF(AG168&gt;1,"Inviavel",AK168)</x:f>
        <x:v>2974441.579840031</x:v>
      </x:c>
      <x:c r="AM168" s="141" t="str">
        <x:f>IF(AG168&gt;1,"Inviavel","OK")</x:f>
        <x:v>OK</x:v>
      </x:c>
      <x:c r="AN168" s="141" t="n">
        <x:f>IF($A168=Premissas!$B$48,Premissas!$B$8,0)</x:f>
        <x:v>0</x:v>
      </x:c>
      <x:c r="AO168" s="141" t="n">
        <x:f>IF($A168&lt;=Premissas!$B$25,INDEX('Consorcio IQ'!$K$6:$K$485,$A168),0)</x:f>
        <x:v>1216.7627462737416</x:v>
      </x:c>
      <x:c r="AP168" s="141" t="n">
        <x:f>IF(AND(TRUE,Premissas!$B$11="Imovel",Premissas!$B$47="Moradia",$A168&lt;MAX(Premissas!$B$48,Premissas!$B$49)),$D168,0)</x:f>
        <x:v>0</x:v>
      </x:c>
      <x:c r="AQ168" s="141" t="n">
        <x:f>IF(AND(TRUE,Premissas!$B$11="Imovel",Premissas!$B$47="Investimento",$A168&gt;=MAX(Premissas!$B$48,Premissas!$B$49)),$E168,0)</x:f>
        <x:v>1365.0740864932382</x:v>
      </x:c>
      <x:c r="AR168" s="141" t="n">
        <x:f>AN168+AO168+AP168</x:f>
        <x:v>1216.7627462737416</x:v>
      </x:c>
      <x:c r="AS168" s="141" t="n">
        <x:f>AQ168</x:f>
        <x:v>1365.0740864932382</x:v>
      </x:c>
      <x:c r="AT168" s="141" t="n">
        <x:f>$C168+AS168-AR168</x:f>
        <x:v>7148.311340219496</x:v>
      </x:c>
      <x:c r="AU168" s="141" t="n">
        <x:f>AX167*(1+Premissas!$B$41)+AT168</x:f>
        <x:v>2584565.047311975</x:v>
      </x:c>
      <x:c r="AV168" s="141" t="n">
        <x:f>MAX(0,-AU168)</x:f>
        <x:v>0</x:v>
      </x:c>
      <x:c r="AW168" s="141" t="n">
        <x:f>AW167*(1+Premissas!$B$41)+AV168</x:f>
        <x:v>0</x:v>
      </x:c>
      <x:c r="AX168" s="141" t="n">
        <x:f>MAX(0,AU168)</x:f>
        <x:v>2584565.047311975</x:v>
      </x:c>
      <x:c r="AY168" s="141" t="n">
        <x:f>INDEX('Consorcio IQ'!$P$6:$P$485,$A168)</x:f>
        <x:v>78399.40359207304</x:v>
      </x:c>
      <x:c r="AZ168" s="141" t="n">
        <x:f>IF($A168&gt;=Premissas!$B$48,$F168,0)+IF($A168&lt;Premissas!$B$27,INDEX('Consorcio IQ'!$O$6:$O$485,$A168),0)</x:f>
        <x:v>441334.6223536049</x:v>
      </x:c>
      <x:c r="BA168" s="141" t="n">
        <x:f>AX168+AZ168-AY168</x:f>
        <x:v>2947500.2660735073</x:v>
      </x:c>
      <x:c r="BB168" s="141" t="n">
        <x:f>IF(AW168&gt;1,"Inviavel",BA168)</x:f>
        <x:v>2947500.2660735073</x:v>
      </x:c>
      <x:c r="BC168" s="141" t="str">
        <x:f>IF(AW168&gt;1,"Inviavel","OK")</x:f>
        <x:v>OK</x:v>
      </x:c>
      <x:c r="BD168" s="141" t="n">
        <x:f>IF($A168='Consorcio Direto'!$B$29,'Consorcio Direto'!$B$44,0)</x:f>
        <x:v>0</x:v>
      </x:c>
      <x:c r="BE168" s="141" t="n">
        <x:f>IF($A168&lt;='Consorcio Direto'!$B$27,INDEX('Consorcio Direto'!$E$55:$E$534,$A168),0)</x:f>
        <x:v>3150.80806092519</x:v>
      </x:c>
      <x:c r="BF168" s="141" t="n">
        <x:f>IF(AND(TRUE,Premissas!$B$11="Imovel",Premissas!$B$47="Moradia",$A168&lt;MAX('Consorcio Direto'!$B$29,Premissas!$B$49)),$D168,0)</x:f>
        <x:v>0</x:v>
      </x:c>
      <x:c r="BG168" s="141" t="n">
        <x:f>IF(AND(TRUE,Premissas!$B$11="Imovel",Premissas!$B$47="Investimento",$A168&gt;=MAX('Consorcio Direto'!$B$29,Premissas!$B$49)),$E168,0)</x:f>
        <x:v>1365.0740864932382</x:v>
      </x:c>
      <x:c r="BH168" s="141" t="n">
        <x:f>BD168+BE168+BF168</x:f>
        <x:v>3150.80806092519</x:v>
      </x:c>
      <x:c r="BI168" s="141" t="n">
        <x:f>BG168</x:f>
        <x:v>1365.0740864932382</x:v>
      </x:c>
      <x:c r="BJ168" s="141" t="n">
        <x:f>$C168+BI168-BH168</x:f>
        <x:v>5214.266025568048</x:v>
      </x:c>
      <x:c r="BK168" s="141" t="n">
        <x:f>BN167*(1+Premissas!$B$41)+BJ168</x:f>
        <x:v>2563579.609481393</x:v>
      </x:c>
      <x:c r="BL168" s="141" t="n">
        <x:f>MAX(0,-BK168)</x:f>
        <x:v>0</x:v>
      </x:c>
      <x:c r="BM168" s="141" t="n">
        <x:f>BM167*(1+Premissas!$B$41)+BL168</x:f>
        <x:v>0</x:v>
      </x:c>
      <x:c r="BN168" s="141" t="n">
        <x:f>MAX(0,BK168)</x:f>
        <x:v>2563579.609481393</x:v>
      </x:c>
      <x:c r="BO168" s="141" t="n">
        <x:f>INDEX('Consorcio Direto'!$K$55:$K$534,$A168)</x:f>
        <x:v>203015.31548867543</x:v>
      </x:c>
      <x:c r="BP168" s="141" t="n">
        <x:f>IF($A168&lt;'Consorcio Direto'!$B$29,INDEX('Consorcio Direto'!$L$55:$L$534,$A168),$F168)</x:f>
        <x:v>441334.6223536049</x:v>
      </x:c>
      <x:c r="BQ168" s="141" t="n">
        <x:f>BN168+BP168-BO168</x:f>
        <x:v>2801898.9163463223</x:v>
      </x:c>
      <x:c r="BR168" s="141" t="n">
        <x:f>IF(BM168&gt;1,"Inviavel",BQ168)</x:f>
        <x:v>2801898.9163463223</x:v>
      </x:c>
      <x:c r="BS168" s="141" t="str">
        <x:f>IF(BM168&gt;1,"Inviavel","OK")</x:f>
        <x:v>OK</x:v>
      </x:c>
      <x:c r="BT168" s="141" t="n">
        <x:f>IF(AND('Carta Contemplada'!$B$22="Sim",$A168='Carta Contemplada'!$B$23),'Carta Contemplada'!$B$37,0)</x:f>
        <x:v>0</x:v>
      </x:c>
      <x:c r="BU168" s="141" t="n">
        <x:f>IF('Carta Contemplada'!$B$22="Sim",INDEX('Carta Contemplada'!$C$55:$C$1013,$A168),0)</x:f>
        <x:v>2559.5139121748216</x:v>
      </x:c>
      <x:c r="BV168" s="141" t="n">
        <x:f>IF(AND('Carta Contemplada'!$B$22="Sim",Premissas!$B$11="Imovel",Premissas!$B$47="Moradia",$A168&lt;MAX('Carta Contemplada'!$B$44,Premissas!$B$49)),$D168,0)</x:f>
        <x:v>0</x:v>
      </x:c>
      <x:c r="BW168" s="141" t="n">
        <x:f>IF(AND('Carta Contemplada'!$B$22="Sim",Premissas!$B$11="Imovel",Premissas!$B$47="Investimento",$A168&gt;=MAX('Carta Contemplada'!$B$44,Premissas!$B$49)),$E168,0)</x:f>
        <x:v>1365.0740864932382</x:v>
      </x:c>
      <x:c r="BX168" s="141" t="n">
        <x:f>BT168+BU168+BV168</x:f>
        <x:v>2559.5139121748216</x:v>
      </x:c>
      <x:c r="BY168" s="141" t="n">
        <x:f>BW168</x:f>
        <x:v>1365.0740864932382</x:v>
      </x:c>
      <x:c r="BZ168" s="141" t="n">
        <x:f>$C168+BY168-BX168</x:f>
        <x:v>5805.560174318416</x:v>
      </x:c>
      <x:c r="CA168" s="141" t="n">
        <x:f>CD167*(1+Premissas!$B$41)+BZ168</x:f>
        <x:v>2640546.7670002165</x:v>
      </x:c>
      <x:c r="CB168" s="141" t="n">
        <x:f>MAX(0,-CA168)</x:f>
        <x:v>0</x:v>
      </x:c>
      <x:c r="CC168" s="141" t="n">
        <x:f>CC167*(1+Premissas!$B$41)+CB168</x:f>
        <x:v>0</x:v>
      </x:c>
      <x:c r="CD168" s="141" t="n">
        <x:f>MAX(0,CA168)</x:f>
        <x:v>2640546.7670002165</x:v>
      </x:c>
      <x:c r="CE168" s="141" t="n">
        <x:f>IF(AND('Carta Contemplada'!$B$22="Sim",$A168&gt;='Carta Contemplada'!$B$23),INDEX('Carta Contemplada'!$I$55:$I$1013,$A168),0)</x:f>
        <x:v>39498.87936563707</x:v>
      </x:c>
      <x:c r="CF168" s="141" t="n">
        <x:f>IF(AND('Carta Contemplada'!$B$22="Sim",$A168&gt;='Carta Contemplada'!$B$44),$F168,0)</x:f>
        <x:v>441334.6223536049</x:v>
      </x:c>
      <x:c r="CG168" s="141" t="n">
        <x:f>CD168+CF168-CE168</x:f>
        <x:v>3042382.5099881846</x:v>
      </x:c>
      <x:c r="CH168" s="141" t="n">
        <x:f>IF(CC168&gt;1,"Inviavel",CG168)</x:f>
        <x:v>3042382.5099881846</x:v>
      </x:c>
      <x:c r="CI168" s="145" t="str">
        <x:f>IF(CC168&gt;1,"Inviavel","OK")</x:f>
        <x:v>OK</x:v>
      </x:c>
    </x:row>
    <x:row r="169">
      <x:c r="A169" s="142" t="n">
        <x:v>165</x:v>
      </x:c>
      <x:c r="B169" s="179" t="n">
        <x:f>EDATE(Premissas!$B$4,A169-1)</x:f>
        <x:v>51533</x:v>
      </x:c>
      <x:c r="C169" s="141" t="n">
        <x:f>IF(A169&lt;=Premissas!$B$39,Premissas!$B$42,0)</x:f>
        <x:v>7000</x:v>
      </x:c>
      <x:c r="D169" s="141" t="n">
        <x:f>Premissas!$B$54*(1+Premissas!$B$57)^INT((A169-1)/12)</x:f>
        <x:v>1493.0497821019792</x:v>
      </x:c>
      <x:c r="E169" s="141" t="n">
        <x:f>Premissas!$B$64*(1+Premissas!$B$57)^INT((A169-1)/12)</x:f>
        <x:v>1365.0740864932382</x:v>
      </x:c>
      <x:c r="F169" s="141" t="n">
        <x:f>MAX(0,Premissas!$B$6*(1+Premissas!$B$66)^((A169-1)/12))</x:f>
        <x:v>443482.8409441476</x:v>
      </x:c>
      <x:c r="G169" s="141" t="n">
        <x:f>G168*(1+Premissas!$B$41)+C169</x:f>
        <x:v>3190393.3039155877</x:v>
      </x:c>
      <x:c r="H169" s="141" t="n">
        <x:f>IF($A169=Premissas!$B$48,Premissas!$B$8,0)</x:f>
        <x:v>0</x:v>
      </x:c>
      <x:c r="I169" s="141" t="n">
        <x:f>IF(AND($A169&gt;=Premissas!$B$48,$A169-Premissas!$B$48+1&lt;=Premissas!$B$13),INDEX(Financiamento!$J$6:$J$485,$A169-Premissas!$B$48+1),0)</x:f>
        <x:v>1456.3356157155297</x:v>
      </x:c>
      <x:c r="J169" s="141" t="n">
        <x:f>IF(AND(TRUE,Premissas!$B$11="Imovel",Premissas!$B$47="Moradia",$A169&lt;MAX(Premissas!$B$48,Premissas!$B$49)),$D169,0)</x:f>
        <x:v>0</x:v>
      </x:c>
      <x:c r="K169" s="141" t="n">
        <x:f>IF(AND(TRUE,Premissas!$B$11="Imovel",Premissas!$B$47="Investimento",$A169&gt;=MAX(Premissas!$B$48,Premissas!$B$49)),$E169,0)</x:f>
        <x:v>1365.0740864932382</x:v>
      </x:c>
      <x:c r="L169" s="141" t="n">
        <x:f>H169+I169+J169</x:f>
        <x:v>1456.3356157155297</x:v>
      </x:c>
      <x:c r="M169" s="141" t="n">
        <x:f>K169</x:f>
        <x:v>1365.0740864932382</x:v>
      </x:c>
      <x:c r="N169" s="141" t="n">
        <x:f>$C169+M169-L169</x:f>
        <x:v>6908.738470777708</x:v>
      </x:c>
      <x:c r="O169" s="141" t="n">
        <x:f>R168*(1+Premissas!$B$41)+N169</x:f>
        <x:v>2620263.886889147</x:v>
      </x:c>
      <x:c r="P169" s="141" t="n">
        <x:f>MAX(0,-O169)</x:f>
        <x:v>0</x:v>
      </x:c>
      <x:c r="Q169" s="141" t="n">
        <x:f>Q168*(1+Premissas!$B$41)+P169</x:f>
        <x:v>0</x:v>
      </x:c>
      <x:c r="R169" s="141" t="n">
        <x:f>MAX(0,O169)</x:f>
        <x:v>2620263.886889147</x:v>
      </x:c>
      <x:c r="S169" s="141" t="n">
        <x:f>IF(AND($A169&gt;=Premissas!$B$48,$A169-Premissas!$B$48+1&lt;=Premissas!$B$13),INDEX(Financiamento!$M$6:$M$485,$A169-Premissas!$B$48+1),0)</x:f>
        <x:v>97142.8571428573</x:v>
      </x:c>
      <x:c r="T169" s="141" t="n">
        <x:f>IF($A169&gt;=Premissas!$B$48,$F169,0)</x:f>
        <x:v>443482.8409441476</x:v>
      </x:c>
      <x:c r="U169" s="141" t="n">
        <x:f>R169+T169-S169</x:f>
        <x:v>2966603.8706904375</x:v>
      </x:c>
      <x:c r="V169" s="141" t="n">
        <x:f>IF(Q169&gt;1,"Inviavel",U169)</x:f>
        <x:v>2966603.8706904375</x:v>
      </x:c>
      <x:c r="W169" s="141" t="str">
        <x:f>IF(Q169&gt;1,"Inviavel","OK")</x:f>
        <x:v>OK</x:v>
      </x:c>
      <x:c r="X169" s="141" t="n">
        <x:f>IF($A169=Premissas!$B$48,Premissas!$B$8,0)</x:f>
        <x:v>0</x:v>
      </x:c>
      <x:c r="Y169" s="141" t="n">
        <x:f>IF(AND($A169&gt;=Premissas!$B$48,$A169-Premissas!$B$48+1&lt;=Premissas!$B$13),INDEX(Amortizacao!$K$6:$K$485,$A169-Premissas!$B$48+1),0)</x:f>
        <x:v>0</x:v>
      </x:c>
      <x:c r="Z169" s="141" t="n">
        <x:f>IF(AND(TRUE,Premissas!$B$11="Imovel",Premissas!$B$47="Moradia",$A169&lt;MAX(Premissas!$B$48,Premissas!$B$49)),$D169,0)</x:f>
        <x:v>0</x:v>
      </x:c>
      <x:c r="AA169" s="141" t="n">
        <x:f>IF(AND(TRUE,Premissas!$B$11="Imovel",Premissas!$B$47="Investimento",$A169&gt;=MAX(Premissas!$B$48,Premissas!$B$49)),$E169,0)</x:f>
        <x:v>1365.0740864932382</x:v>
      </x:c>
      <x:c r="AB169" s="141" t="n">
        <x:f>X169+Y169+Z169</x:f>
        <x:v>0</x:v>
      </x:c>
      <x:c r="AC169" s="141" t="n">
        <x:f>AA169</x:f>
        <x:v>1365.0740864932382</x:v>
      </x:c>
      <x:c r="AD169" s="141" t="n">
        <x:f>$C169+AC169-AB169</x:f>
        <x:v>8365.074086493238</x:v>
      </x:c>
      <x:c r="AE169" s="141" t="n">
        <x:f>AH168*(1+Premissas!$B$41)+AD169</x:f>
        <x:v>2565508.15897366</x:v>
      </x:c>
      <x:c r="AF169" s="141" t="n">
        <x:f>MAX(0,-AE169)</x:f>
        <x:v>0</x:v>
      </x:c>
      <x:c r="AG169" s="141" t="n">
        <x:f>AG168*(1+Premissas!$B$41)+AF169</x:f>
        <x:v>0</x:v>
      </x:c>
      <x:c r="AH169" s="141" t="n">
        <x:f>MAX(0,AE169)</x:f>
        <x:v>2565508.15897366</x:v>
      </x:c>
      <x:c r="AI169" s="141" t="n">
        <x:f>IF(AND($A169&gt;=Premissas!$B$48,$A169-Premissas!$B$48+1&lt;=Premissas!$B$13),INDEX(Amortizacao!$L$6:$L$485,$A169-Premissas!$B$48+1),0)</x:f>
        <x:v>0</x:v>
      </x:c>
      <x:c r="AJ169" s="141" t="n">
        <x:f>IF($A169&gt;=Premissas!$B$48,$F169,0)</x:f>
        <x:v>443482.8409441476</x:v>
      </x:c>
      <x:c r="AK169" s="141" t="n">
        <x:f>AH169+AJ169-AI169</x:f>
        <x:v>3008990.9999178075</x:v>
      </x:c>
      <x:c r="AL169" s="141" t="n">
        <x:f>IF(AG169&gt;1,"Inviavel",AK169)</x:f>
        <x:v>3008990.9999178075</x:v>
      </x:c>
      <x:c r="AM169" s="141" t="str">
        <x:f>IF(AG169&gt;1,"Inviavel","OK")</x:f>
        <x:v>OK</x:v>
      </x:c>
      <x:c r="AN169" s="141" t="n">
        <x:f>IF($A169=Premissas!$B$48,Premissas!$B$8,0)</x:f>
        <x:v>0</x:v>
      </x:c>
      <x:c r="AO169" s="141" t="n">
        <x:f>IF($A169&lt;=Premissas!$B$25,INDEX('Consorcio IQ'!$K$6:$K$485,$A169),0)</x:f>
        <x:v>1216.7627462737416</x:v>
      </x:c>
      <x:c r="AP169" s="141" t="n">
        <x:f>IF(AND(TRUE,Premissas!$B$11="Imovel",Premissas!$B$47="Moradia",$A169&lt;MAX(Premissas!$B$48,Premissas!$B$49)),$D169,0)</x:f>
        <x:v>0</x:v>
      </x:c>
      <x:c r="AQ169" s="141" t="n">
        <x:f>IF(AND(TRUE,Premissas!$B$11="Imovel",Premissas!$B$47="Investimento",$A169&gt;=MAX(Premissas!$B$48,Premissas!$B$49)),$E169,0)</x:f>
        <x:v>1365.0740864932382</x:v>
      </x:c>
      <x:c r="AR169" s="141" t="n">
        <x:f>AN169+AO169+AP169</x:f>
        <x:v>1216.7627462737416</x:v>
      </x:c>
      <x:c r="AS169" s="141" t="n">
        <x:f>AQ169</x:f>
        <x:v>1365.0740864932382</x:v>
      </x:c>
      <x:c r="AT169" s="141" t="n">
        <x:f>$C169+AS169-AR169</x:f>
        <x:v>7148.311340219496</x:v>
      </x:c>
      <x:c r="AU169" s="141" t="n">
        <x:f>AX168*(1+Premissas!$B$41)+AT169</x:f>
        <x:v>2616237.761212099</x:v>
      </x:c>
      <x:c r="AV169" s="141" t="n">
        <x:f>MAX(0,-AU169)</x:f>
        <x:v>0</x:v>
      </x:c>
      <x:c r="AW169" s="141" t="n">
        <x:f>AW168*(1+Premissas!$B$41)+AV169</x:f>
        <x:v>0</x:v>
      </x:c>
      <x:c r="AX169" s="141" t="n">
        <x:f>MAX(0,AU169)</x:f>
        <x:v>2616237.761212099</x:v>
      </x:c>
      <x:c r="AY169" s="141" t="n">
        <x:f>INDEX('Consorcio IQ'!$P$6:$P$485,$A169)</x:f>
        <x:v>77926.55655267928</x:v>
      </x:c>
      <x:c r="AZ169" s="141" t="n">
        <x:f>IF($A169&gt;=Premissas!$B$48,$F169,0)+IF($A169&lt;Premissas!$B$27,INDEX('Consorcio IQ'!$O$6:$O$485,$A169),0)</x:f>
        <x:v>443482.8409441476</x:v>
      </x:c>
      <x:c r="BA169" s="141" t="n">
        <x:f>AX169+AZ169-AY169</x:f>
        <x:v>2981794.0456035673</x:v>
      </x:c>
      <x:c r="BB169" s="141" t="n">
        <x:f>IF(AW169&gt;1,"Inviavel",BA169)</x:f>
        <x:v>2981794.0456035673</x:v>
      </x:c>
      <x:c r="BC169" s="141" t="str">
        <x:f>IF(AW169&gt;1,"Inviavel","OK")</x:f>
        <x:v>OK</x:v>
      </x:c>
      <x:c r="BD169" s="141" t="n">
        <x:f>IF($A169='Consorcio Direto'!$B$29,'Consorcio Direto'!$B$44,0)</x:f>
        <x:v>0</x:v>
      </x:c>
      <x:c r="BE169" s="141" t="n">
        <x:f>IF($A169&lt;='Consorcio Direto'!$B$27,INDEX('Consorcio Direto'!$E$55:$E$534,$A169),0)</x:f>
        <x:v>3150.80806092519</x:v>
      </x:c>
      <x:c r="BF169" s="141" t="n">
        <x:f>IF(AND(TRUE,Premissas!$B$11="Imovel",Premissas!$B$47="Moradia",$A169&lt;MAX('Consorcio Direto'!$B$29,Premissas!$B$49)),$D169,0)</x:f>
        <x:v>0</x:v>
      </x:c>
      <x:c r="BG169" s="141" t="n">
        <x:f>IF(AND(TRUE,Premissas!$B$11="Imovel",Premissas!$B$47="Investimento",$A169&gt;=MAX('Consorcio Direto'!$B$29,Premissas!$B$49)),$E169,0)</x:f>
        <x:v>1365.0740864932382</x:v>
      </x:c>
      <x:c r="BH169" s="141" t="n">
        <x:f>BD169+BE169+BF169</x:f>
        <x:v>3150.80806092519</x:v>
      </x:c>
      <x:c r="BI169" s="141" t="n">
        <x:f>BG169</x:f>
        <x:v>1365.0740864932382</x:v>
      </x:c>
      <x:c r="BJ169" s="141" t="n">
        <x:f>$C169+BI169-BH169</x:f>
        <x:v>5214.266025568048</x:v>
      </x:c>
      <x:c r="BK169" s="141" t="n">
        <x:f>BN168*(1+Premissas!$B$41)+BJ169</x:f>
        <x:v>2593119.151592649</x:v>
      </x:c>
      <x:c r="BL169" s="141" t="n">
        <x:f>MAX(0,-BK169)</x:f>
        <x:v>0</x:v>
      </x:c>
      <x:c r="BM169" s="141" t="n">
        <x:f>BM168*(1+Premissas!$B$41)+BL169</x:f>
        <x:v>0</x:v>
      </x:c>
      <x:c r="BN169" s="141" t="n">
        <x:f>MAX(0,BK169)</x:f>
        <x:v>2593119.151592649</x:v>
      </x:c>
      <x:c r="BO169" s="141" t="n">
        <x:f>INDEX('Consorcio Direto'!$K$55:$K$534,$A169)</x:f>
        <x:v>201790.87771897134</x:v>
      </x:c>
      <x:c r="BP169" s="141" t="n">
        <x:f>IF($A169&lt;'Consorcio Direto'!$B$29,INDEX('Consorcio Direto'!$L$55:$L$534,$A169),$F169)</x:f>
        <x:v>443482.8409441476</x:v>
      </x:c>
      <x:c r="BQ169" s="141" t="n">
        <x:f>BN169+BP169-BO169</x:f>
        <x:v>2834811.114817825</x:v>
      </x:c>
      <x:c r="BR169" s="141" t="n">
        <x:f>IF(BM169&gt;1,"Inviavel",BQ169)</x:f>
        <x:v>2834811.114817825</x:v>
      </x:c>
      <x:c r="BS169" s="141" t="str">
        <x:f>IF(BM169&gt;1,"Inviavel","OK")</x:f>
        <x:v>OK</x:v>
      </x:c>
      <x:c r="BT169" s="141" t="n">
        <x:f>IF(AND('Carta Contemplada'!$B$22="Sim",$A169='Carta Contemplada'!$B$23),'Carta Contemplada'!$B$37,0)</x:f>
        <x:v>0</x:v>
      </x:c>
      <x:c r="BU169" s="141" t="n">
        <x:f>IF('Carta Contemplada'!$B$22="Sim",INDEX('Carta Contemplada'!$C$55:$C$1013,$A169),0)</x:f>
        <x:v>2559.5139121748216</x:v>
      </x:c>
      <x:c r="BV169" s="141" t="n">
        <x:f>IF(AND('Carta Contemplada'!$B$22="Sim",Premissas!$B$11="Imovel",Premissas!$B$47="Moradia",$A169&lt;MAX('Carta Contemplada'!$B$44,Premissas!$B$49)),$D169,0)</x:f>
        <x:v>0</x:v>
      </x:c>
      <x:c r="BW169" s="141" t="n">
        <x:f>IF(AND('Carta Contemplada'!$B$22="Sim",Premissas!$B$11="Imovel",Premissas!$B$47="Investimento",$A169&gt;=MAX('Carta Contemplada'!$B$44,Premissas!$B$49)),$E169,0)</x:f>
        <x:v>1365.0740864932382</x:v>
      </x:c>
      <x:c r="BX169" s="141" t="n">
        <x:f>BT169+BU169+BV169</x:f>
        <x:v>2559.5139121748216</x:v>
      </x:c>
      <x:c r="BY169" s="141" t="n">
        <x:f>BW169</x:f>
        <x:v>1365.0740864932382</x:v>
      </x:c>
      <x:c r="BZ169" s="141" t="n">
        <x:f>$C169+BY169-BX169</x:f>
        <x:v>5805.560174318416</x:v>
      </x:c>
      <x:c r="CA169" s="141" t="n">
        <x:f>CD168*(1+Premissas!$B$41)+BZ169</x:f>
        <x:v>2671407.9286806826</x:v>
      </x:c>
      <x:c r="CB169" s="141" t="n">
        <x:f>MAX(0,-CA169)</x:f>
        <x:v>0</x:v>
      </x:c>
      <x:c r="CC169" s="141" t="n">
        <x:f>CC168*(1+Premissas!$B$41)+CB169</x:f>
        <x:v>0</x:v>
      </x:c>
      <x:c r="CD169" s="141" t="n">
        <x:f>MAX(0,CA169)</x:f>
        <x:v>2671407.9286806826</x:v>
      </x:c>
      <x:c r="CE169" s="141" t="n">
        <x:f>IF(AND('Carta Contemplada'!$B$22="Sim",$A169&gt;='Carta Contemplada'!$B$23),INDEX('Carta Contemplada'!$I$55:$I$1013,$A169),0)</x:f>
        <x:v>37314.162140910856</x:v>
      </x:c>
      <x:c r="CF169" s="141" t="n">
        <x:f>IF(AND('Carta Contemplada'!$B$22="Sim",$A169&gt;='Carta Contemplada'!$B$44),$F169,0)</x:f>
        <x:v>443482.8409441476</x:v>
      </x:c>
      <x:c r="CG169" s="141" t="n">
        <x:f>CD169+CF169-CE169</x:f>
        <x:v>3077576.6074839192</x:v>
      </x:c>
      <x:c r="CH169" s="141" t="n">
        <x:f>IF(CC169&gt;1,"Inviavel",CG169)</x:f>
        <x:v>3077576.6074839192</x:v>
      </x:c>
      <x:c r="CI169" s="145" t="str">
        <x:f>IF(CC169&gt;1,"Inviavel","OK")</x:f>
        <x:v>OK</x:v>
      </x:c>
    </x:row>
    <x:row r="170">
      <x:c r="A170" s="142" t="n">
        <x:v>166</x:v>
      </x:c>
      <x:c r="B170" s="179" t="n">
        <x:f>EDATE(Premissas!$B$4,A170-1)</x:f>
        <x:v>51561</x:v>
      </x:c>
      <x:c r="C170" s="141" t="n">
        <x:f>IF(A170&lt;=Premissas!$B$39,Premissas!$B$42,0)</x:f>
        <x:v>7000</x:v>
      </x:c>
      <x:c r="D170" s="141" t="n">
        <x:f>Premissas!$B$54*(1+Premissas!$B$57)^INT((A170-1)/12)</x:f>
        <x:v>1493.0497821019792</x:v>
      </x:c>
      <x:c r="E170" s="141" t="n">
        <x:f>Premissas!$B$64*(1+Premissas!$B$57)^INT((A170-1)/12)</x:f>
        <x:v>1365.0740864932382</x:v>
      </x:c>
      <x:c r="F170" s="141" t="n">
        <x:f>MAX(0,Premissas!$B$6*(1+Premissas!$B$66)^((A170-1)/12))</x:f>
        <x:v>445641.5160973052</x:v>
      </x:c>
      <x:c r="G170" s="141" t="n">
        <x:f>G169*(1+Premissas!$B$41)+C170</x:f>
        <x:v>3227666.2853563232</x:v>
      </x:c>
      <x:c r="H170" s="141" t="n">
        <x:f>IF($A170=Premissas!$B$48,Premissas!$B$8,0)</x:f>
        <x:v>0</x:v>
      </x:c>
      <x:c r="I170" s="141" t="n">
        <x:f>IF(AND($A170&gt;=Premissas!$B$48,$A170-Premissas!$B$48+1&lt;=Premissas!$B$13),INDEX(Financiamento!$J$6:$J$485,$A170-Premissas!$B$48+1),0)</x:f>
        <x:v>1452.720837454736</x:v>
      </x:c>
      <x:c r="J170" s="141" t="n">
        <x:f>IF(AND(TRUE,Premissas!$B$11="Imovel",Premissas!$B$47="Moradia",$A170&lt;MAX(Premissas!$B$48,Premissas!$B$49)),$D170,0)</x:f>
        <x:v>0</x:v>
      </x:c>
      <x:c r="K170" s="141" t="n">
        <x:f>IF(AND(TRUE,Premissas!$B$11="Imovel",Premissas!$B$47="Investimento",$A170&gt;=MAX(Premissas!$B$48,Premissas!$B$49)),$E170,0)</x:f>
        <x:v>1365.0740864932382</x:v>
      </x:c>
      <x:c r="L170" s="141" t="n">
        <x:f>H170+I170+J170</x:f>
        <x:v>1452.720837454736</x:v>
      </x:c>
      <x:c r="M170" s="141" t="n">
        <x:f>K170</x:f>
        <x:v>1365.0740864932382</x:v>
      </x:c>
      <x:c r="N170" s="141" t="n">
        <x:f>$C170+M170-L170</x:f>
        <x:v>6912.353249038501</x:v>
      </x:c>
      <x:c r="O170" s="141" t="n">
        <x:f>R169*(1+Premissas!$B$41)+N170</x:f>
        <x:v>2652039.3815948423</x:v>
      </x:c>
      <x:c r="P170" s="141" t="n">
        <x:f>MAX(0,-O170)</x:f>
        <x:v>0</x:v>
      </x:c>
      <x:c r="Q170" s="141" t="n">
        <x:f>Q169*(1+Premissas!$B$41)+P170</x:f>
        <x:v>0</x:v>
      </x:c>
      <x:c r="R170" s="141" t="n">
        <x:f>MAX(0,O170)</x:f>
        <x:v>2652039.3815948423</x:v>
      </x:c>
      <x:c r="S170" s="141" t="n">
        <x:f>IF(AND($A170&gt;=Premissas!$B$48,$A170-Premissas!$B$48+1&lt;=Premissas!$B$13),INDEX(Financiamento!$M$6:$M$485,$A170-Premissas!$B$48+1),0)</x:f>
        <x:v>96761.90476190492</x:v>
      </x:c>
      <x:c r="T170" s="141" t="n">
        <x:f>IF($A170&gt;=Premissas!$B$48,$F170,0)</x:f>
        <x:v>445641.5160973052</x:v>
      </x:c>
      <x:c r="U170" s="141" t="n">
        <x:f>R170+T170-S170</x:f>
        <x:v>3000918.992930243</x:v>
      </x:c>
      <x:c r="V170" s="141" t="n">
        <x:f>IF(Q170&gt;1,"Inviavel",U170)</x:f>
        <x:v>3000918.992930243</x:v>
      </x:c>
      <x:c r="W170" s="141" t="str">
        <x:f>IF(Q170&gt;1,"Inviavel","OK")</x:f>
        <x:v>OK</x:v>
      </x:c>
      <x:c r="X170" s="141" t="n">
        <x:f>IF($A170=Premissas!$B$48,Premissas!$B$8,0)</x:f>
        <x:v>0</x:v>
      </x:c>
      <x:c r="Y170" s="141" t="n">
        <x:f>IF(AND($A170&gt;=Premissas!$B$48,$A170-Premissas!$B$48+1&lt;=Premissas!$B$13),INDEX(Amortizacao!$K$6:$K$485,$A170-Premissas!$B$48+1),0)</x:f>
        <x:v>0</x:v>
      </x:c>
      <x:c r="Z170" s="141" t="n">
        <x:f>IF(AND(TRUE,Premissas!$B$11="Imovel",Premissas!$B$47="Moradia",$A170&lt;MAX(Premissas!$B$48,Premissas!$B$49)),$D170,0)</x:f>
        <x:v>0</x:v>
      </x:c>
      <x:c r="AA170" s="141" t="n">
        <x:f>IF(AND(TRUE,Premissas!$B$11="Imovel",Premissas!$B$47="Investimento",$A170&gt;=MAX(Premissas!$B$48,Premissas!$B$49)),$E170,0)</x:f>
        <x:v>1365.0740864932382</x:v>
      </x:c>
      <x:c r="AB170" s="141" t="n">
        <x:f>X170+Y170+Z170</x:f>
        <x:v>0</x:v>
      </x:c>
      <x:c r="AC170" s="141" t="n">
        <x:f>AA170</x:f>
        <x:v>1365.0740864932382</x:v>
      </x:c>
      <x:c r="AD170" s="141" t="n">
        <x:f>$C170+AC170-AB170</x:f>
        <x:v>8365.074086493238</x:v>
      </x:c>
      <x:c r="AE170" s="141" t="n">
        <x:f>AH169*(1+Premissas!$B$41)+AD170</x:f>
        <x:v>2598216.808752638</x:v>
      </x:c>
      <x:c r="AF170" s="141" t="n">
        <x:f>MAX(0,-AE170)</x:f>
        <x:v>0</x:v>
      </x:c>
      <x:c r="AG170" s="141" t="n">
        <x:f>AG169*(1+Premissas!$B$41)+AF170</x:f>
        <x:v>0</x:v>
      </x:c>
      <x:c r="AH170" s="141" t="n">
        <x:f>MAX(0,AE170)</x:f>
        <x:v>2598216.808752638</x:v>
      </x:c>
      <x:c r="AI170" s="141" t="n">
        <x:f>IF(AND($A170&gt;=Premissas!$B$48,$A170-Premissas!$B$48+1&lt;=Premissas!$B$13),INDEX(Amortizacao!$L$6:$L$485,$A170-Premissas!$B$48+1),0)</x:f>
        <x:v>0</x:v>
      </x:c>
      <x:c r="AJ170" s="141" t="n">
        <x:f>IF($A170&gt;=Premissas!$B$48,$F170,0)</x:f>
        <x:v>445641.5160973052</x:v>
      </x:c>
      <x:c r="AK170" s="141" t="n">
        <x:f>AH170+AJ170-AI170</x:f>
        <x:v>3043858.324849943</x:v>
      </x:c>
      <x:c r="AL170" s="141" t="n">
        <x:f>IF(AG170&gt;1,"Inviavel",AK170)</x:f>
        <x:v>3043858.324849943</x:v>
      </x:c>
      <x:c r="AM170" s="141" t="str">
        <x:f>IF(AG170&gt;1,"Inviavel","OK")</x:f>
        <x:v>OK</x:v>
      </x:c>
      <x:c r="AN170" s="141" t="n">
        <x:f>IF($A170=Premissas!$B$48,Premissas!$B$8,0)</x:f>
        <x:v>0</x:v>
      </x:c>
      <x:c r="AO170" s="141" t="n">
        <x:f>IF($A170&lt;=Premissas!$B$25,INDEX('Consorcio IQ'!$K$6:$K$485,$A170),0)</x:f>
        <x:v>1216.7627462737416</x:v>
      </x:c>
      <x:c r="AP170" s="141" t="n">
        <x:f>IF(AND(TRUE,Premissas!$B$11="Imovel",Premissas!$B$47="Moradia",$A170&lt;MAX(Premissas!$B$48,Premissas!$B$49)),$D170,0)</x:f>
        <x:v>0</x:v>
      </x:c>
      <x:c r="AQ170" s="141" t="n">
        <x:f>IF(AND(TRUE,Premissas!$B$11="Imovel",Premissas!$B$47="Investimento",$A170&gt;=MAX(Premissas!$B$48,Premissas!$B$49)),$E170,0)</x:f>
        <x:v>1365.0740864932382</x:v>
      </x:c>
      <x:c r="AR170" s="141" t="n">
        <x:f>AN170+AO170+AP170</x:f>
        <x:v>1216.7627462737416</x:v>
      </x:c>
      <x:c r="AS170" s="141" t="n">
        <x:f>AQ170</x:f>
        <x:v>1365.0740864932382</x:v>
      </x:c>
      <x:c r="AT170" s="141" t="n">
        <x:f>$C170+AS170-AR170</x:f>
        <x:v>7148.311340219496</x:v>
      </x:c>
      <x:c r="AU170" s="141" t="n">
        <x:f>AX169*(1+Premissas!$B$41)+AT170</x:f>
        <x:v>2648211.010936097</x:v>
      </x:c>
      <x:c r="AV170" s="141" t="n">
        <x:f>MAX(0,-AU170)</x:f>
        <x:v>0</x:v>
      </x:c>
      <x:c r="AW170" s="141" t="n">
        <x:f>AW169*(1+Premissas!$B$41)+AV170</x:f>
        <x:v>0</x:v>
      </x:c>
      <x:c r="AX170" s="141" t="n">
        <x:f>MAX(0,AU170)</x:f>
        <x:v>2648211.010936097</x:v>
      </x:c>
      <x:c r="AY170" s="141" t="n">
        <x:f>INDEX('Consorcio IQ'!$P$6:$P$485,$A170)</x:f>
        <x:v>77449.22276563899</x:v>
      </x:c>
      <x:c r="AZ170" s="141" t="n">
        <x:f>IF($A170&gt;=Premissas!$B$48,$F170,0)+IF($A170&lt;Premissas!$B$27,INDEX('Consorcio IQ'!$O$6:$O$485,$A170),0)</x:f>
        <x:v>445641.5160973052</x:v>
      </x:c>
      <x:c r="BA170" s="141" t="n">
        <x:f>AX170+AZ170-AY170</x:f>
        <x:v>3016403.304267763</x:v>
      </x:c>
      <x:c r="BB170" s="141" t="n">
        <x:f>IF(AW170&gt;1,"Inviavel",BA170)</x:f>
        <x:v>3016403.304267763</x:v>
      </x:c>
      <x:c r="BC170" s="141" t="str">
        <x:f>IF(AW170&gt;1,"Inviavel","OK")</x:f>
        <x:v>OK</x:v>
      </x:c>
      <x:c r="BD170" s="141" t="n">
        <x:f>IF($A170='Consorcio Direto'!$B$29,'Consorcio Direto'!$B$44,0)</x:f>
        <x:v>0</x:v>
      </x:c>
      <x:c r="BE170" s="141" t="n">
        <x:f>IF($A170&lt;='Consorcio Direto'!$B$27,INDEX('Consorcio Direto'!$E$55:$E$534,$A170),0)</x:f>
        <x:v>3150.80806092519</x:v>
      </x:c>
      <x:c r="BF170" s="141" t="n">
        <x:f>IF(AND(TRUE,Premissas!$B$11="Imovel",Premissas!$B$47="Moradia",$A170&lt;MAX('Consorcio Direto'!$B$29,Premissas!$B$49)),$D170,0)</x:f>
        <x:v>0</x:v>
      </x:c>
      <x:c r="BG170" s="141" t="n">
        <x:f>IF(AND(TRUE,Premissas!$B$11="Imovel",Premissas!$B$47="Investimento",$A170&gt;=MAX('Consorcio Direto'!$B$29,Premissas!$B$49)),$E170,0)</x:f>
        <x:v>1365.0740864932382</x:v>
      </x:c>
      <x:c r="BH170" s="141" t="n">
        <x:f>BD170+BE170+BF170</x:f>
        <x:v>3150.80806092519</x:v>
      </x:c>
      <x:c r="BI170" s="141" t="n">
        <x:f>BG170</x:f>
        <x:v>1365.0740864932382</x:v>
      </x:c>
      <x:c r="BJ170" s="141" t="n">
        <x:f>$C170+BI170-BH170</x:f>
        <x:v>5214.266025568048</x:v>
      </x:c>
      <x:c r="BK170" s="141" t="n">
        <x:f>BN169*(1+Premissas!$B$41)+BJ170</x:f>
        <x:v>2622938.9883023812</x:v>
      </x:c>
      <x:c r="BL170" s="141" t="n">
        <x:f>MAX(0,-BK170)</x:f>
        <x:v>0</x:v>
      </x:c>
      <x:c r="BM170" s="141" t="n">
        <x:f>BM169*(1+Premissas!$B$41)+BL170</x:f>
        <x:v>0</x:v>
      </x:c>
      <x:c r="BN170" s="141" t="n">
        <x:f>MAX(0,BK170)</x:f>
        <x:v>2622938.9883023812</x:v>
      </x:c>
      <x:c r="BO170" s="141" t="n">
        <x:f>INDEX('Consorcio Direto'!$K$55:$K$534,$A170)</x:f>
        <x:v>200554.82151280923</x:v>
      </x:c>
      <x:c r="BP170" s="141" t="n">
        <x:f>IF($A170&lt;'Consorcio Direto'!$B$29,INDEX('Consorcio Direto'!$L$55:$L$534,$A170),$F170)</x:f>
        <x:v>445641.5160973052</x:v>
      </x:c>
      <x:c r="BQ170" s="141" t="n">
        <x:f>BN170+BP170-BO170</x:f>
        <x:v>2868025.6828868776</x:v>
      </x:c>
      <x:c r="BR170" s="141" t="n">
        <x:f>IF(BM170&gt;1,"Inviavel",BQ170)</x:f>
        <x:v>2868025.6828868776</x:v>
      </x:c>
      <x:c r="BS170" s="141" t="str">
        <x:f>IF(BM170&gt;1,"Inviavel","OK")</x:f>
        <x:v>OK</x:v>
      </x:c>
      <x:c r="BT170" s="141" t="n">
        <x:f>IF(AND('Carta Contemplada'!$B$22="Sim",$A170='Carta Contemplada'!$B$23),'Carta Contemplada'!$B$37,0)</x:f>
        <x:v>0</x:v>
      </x:c>
      <x:c r="BU170" s="141" t="n">
        <x:f>IF('Carta Contemplada'!$B$22="Sim",INDEX('Carta Contemplada'!$C$55:$C$1013,$A170),0)</x:f>
        <x:v>2559.5139121748216</x:v>
      </x:c>
      <x:c r="BV170" s="141" t="n">
        <x:f>IF(AND('Carta Contemplada'!$B$22="Sim",Premissas!$B$11="Imovel",Premissas!$B$47="Moradia",$A170&lt;MAX('Carta Contemplada'!$B$44,Premissas!$B$49)),$D170,0)</x:f>
        <x:v>0</x:v>
      </x:c>
      <x:c r="BW170" s="141" t="n">
        <x:f>IF(AND('Carta Contemplada'!$B$22="Sim",Premissas!$B$11="Imovel",Premissas!$B$47="Investimento",$A170&gt;=MAX('Carta Contemplada'!$B$44,Premissas!$B$49)),$E170,0)</x:f>
        <x:v>1365.0740864932382</x:v>
      </x:c>
      <x:c r="BX170" s="141" t="n">
        <x:f>BT170+BU170+BV170</x:f>
        <x:v>2559.5139121748216</x:v>
      </x:c>
      <x:c r="BY170" s="141" t="n">
        <x:f>BW170</x:f>
        <x:v>1365.0740864932382</x:v>
      </x:c>
      <x:c r="BZ170" s="141" t="n">
        <x:f>$C170+BY170-BX170</x:f>
        <x:v>5805.560174318416</x:v>
      </x:c>
      <x:c r="CA170" s="141" t="n">
        <x:f>CD169*(1+Premissas!$B$41)+BZ170</x:f>
        <x:v>2702561.9255340556</x:v>
      </x:c>
      <x:c r="CB170" s="141" t="n">
        <x:f>MAX(0,-CA170)</x:f>
        <x:v>0</x:v>
      </x:c>
      <x:c r="CC170" s="141" t="n">
        <x:f>CC169*(1+Premissas!$B$41)+CB170</x:f>
        <x:v>0</x:v>
      </x:c>
      <x:c r="CD170" s="141" t="n">
        <x:f>MAX(0,CA170)</x:f>
        <x:v>2702561.9255340556</x:v>
      </x:c>
      <x:c r="CE170" s="141" t="n">
        <x:f>IF(AND('Carta Contemplada'!$B$22="Sim",$A170&gt;='Carta Contemplada'!$B$23),INDEX('Carta Contemplada'!$I$55:$I$1013,$A170),0)</x:f>
        <x:v>35108.7145868186</x:v>
      </x:c>
      <x:c r="CF170" s="141" t="n">
        <x:f>IF(AND('Carta Contemplada'!$B$22="Sim",$A170&gt;='Carta Contemplada'!$B$44),$F170,0)</x:f>
        <x:v>445641.5160973052</x:v>
      </x:c>
      <x:c r="CG170" s="141" t="n">
        <x:f>CD170+CF170-CE170</x:f>
        <x:v>3113094.7270445423</x:v>
      </x:c>
      <x:c r="CH170" s="141" t="n">
        <x:f>IF(CC170&gt;1,"Inviavel",CG170)</x:f>
        <x:v>3113094.7270445423</x:v>
      </x:c>
      <x:c r="CI170" s="145" t="str">
        <x:f>IF(CC170&gt;1,"Inviavel","OK")</x:f>
        <x:v>OK</x:v>
      </x:c>
    </x:row>
    <x:row r="171">
      <x:c r="A171" s="142" t="n">
        <x:v>167</x:v>
      </x:c>
      <x:c r="B171" s="179" t="n">
        <x:f>EDATE(Premissas!$B$4,A171-1)</x:f>
        <x:v>51592</x:v>
      </x:c>
      <x:c r="C171" s="141" t="n">
        <x:f>IF(A171&lt;=Premissas!$B$39,Premissas!$B$42,0)</x:f>
        <x:v>7000</x:v>
      </x:c>
      <x:c r="D171" s="141" t="n">
        <x:f>Premissas!$B$54*(1+Premissas!$B$57)^INT((A171-1)/12)</x:f>
        <x:v>1493.0497821019792</x:v>
      </x:c>
      <x:c r="E171" s="141" t="n">
        <x:f>Premissas!$B$64*(1+Premissas!$B$57)^INT((A171-1)/12)</x:f>
        <x:v>1365.0740864932382</x:v>
      </x:c>
      <x:c r="F171" s="141" t="n">
        <x:f>MAX(0,Premissas!$B$6*(1+Premissas!$B$66)^((A171-1)/12))</x:f>
        <x:v>447810.698710925</x:v>
      </x:c>
      <x:c r="G171" s="141" t="n">
        <x:f>G170*(1+Premissas!$B$41)+C171</x:f>
        <x:v>3265292.9424000042</x:v>
      </x:c>
      <x:c r="H171" s="141" t="n">
        <x:f>IF($A171=Premissas!$B$48,Premissas!$B$8,0)</x:f>
        <x:v>0</x:v>
      </x:c>
      <x:c r="I171" s="141" t="n">
        <x:f>IF(AND($A171&gt;=Premissas!$B$48,$A171-Premissas!$B$48+1&lt;=Premissas!$B$13),INDEX(Financiamento!$J$6:$J$485,$A171-Premissas!$B$48+1),0)</x:f>
        <x:v>1449.1060591939427</x:v>
      </x:c>
      <x:c r="J171" s="141" t="n">
        <x:f>IF(AND(TRUE,Premissas!$B$11="Imovel",Premissas!$B$47="Moradia",$A171&lt;MAX(Premissas!$B$48,Premissas!$B$49)),$D171,0)</x:f>
        <x:v>0</x:v>
      </x:c>
      <x:c r="K171" s="141" t="n">
        <x:f>IF(AND(TRUE,Premissas!$B$11="Imovel",Premissas!$B$47="Investimento",$A171&gt;=MAX(Premissas!$B$48,Premissas!$B$49)),$E171,0)</x:f>
        <x:v>1365.0740864932382</x:v>
      </x:c>
      <x:c r="L171" s="141" t="n">
        <x:f>H171+I171+J171</x:f>
        <x:v>1449.1060591939427</x:v>
      </x:c>
      <x:c r="M171" s="141" t="n">
        <x:f>K171</x:f>
        <x:v>1365.0740864932382</x:v>
      </x:c>
      <x:c r="N171" s="141" t="n">
        <x:f>$C171+M171-L171</x:f>
        <x:v>6915.9680272992955</x:v>
      </x:c>
      <x:c r="O171" s="141" t="n">
        <x:f>R170*(1+Premissas!$B$41)+N171</x:f>
        <x:v>2684120.0021684547</x:v>
      </x:c>
      <x:c r="P171" s="141" t="n">
        <x:f>MAX(0,-O171)</x:f>
        <x:v>0</x:v>
      </x:c>
      <x:c r="Q171" s="141" t="n">
        <x:f>Q170*(1+Premissas!$B$41)+P171</x:f>
        <x:v>0</x:v>
      </x:c>
      <x:c r="R171" s="141" t="n">
        <x:f>MAX(0,O171)</x:f>
        <x:v>2684120.0021684547</x:v>
      </x:c>
      <x:c r="S171" s="141" t="n">
        <x:f>IF(AND($A171&gt;=Premissas!$B$48,$A171-Premissas!$B$48+1&lt;=Premissas!$B$13),INDEX(Financiamento!$M$6:$M$485,$A171-Premissas!$B$48+1),0)</x:f>
        <x:v>96380.95238095254</x:v>
      </x:c>
      <x:c r="T171" s="141" t="n">
        <x:f>IF($A171&gt;=Premissas!$B$48,$F171,0)</x:f>
        <x:v>447810.698710925</x:v>
      </x:c>
      <x:c r="U171" s="141" t="n">
        <x:f>R171+T171-S171</x:f>
        <x:v>3035549.748498427</x:v>
      </x:c>
      <x:c r="V171" s="141" t="n">
        <x:f>IF(Q171&gt;1,"Inviavel",U171)</x:f>
        <x:v>3035549.748498427</x:v>
      </x:c>
      <x:c r="W171" s="141" t="str">
        <x:f>IF(Q171&gt;1,"Inviavel","OK")</x:f>
        <x:v>OK</x:v>
      </x:c>
      <x:c r="X171" s="141" t="n">
        <x:f>IF($A171=Premissas!$B$48,Premissas!$B$8,0)</x:f>
        <x:v>0</x:v>
      </x:c>
      <x:c r="Y171" s="141" t="n">
        <x:f>IF(AND($A171&gt;=Premissas!$B$48,$A171-Premissas!$B$48+1&lt;=Premissas!$B$13),INDEX(Amortizacao!$K$6:$K$485,$A171-Premissas!$B$48+1),0)</x:f>
        <x:v>0</x:v>
      </x:c>
      <x:c r="Z171" s="141" t="n">
        <x:f>IF(AND(TRUE,Premissas!$B$11="Imovel",Premissas!$B$47="Moradia",$A171&lt;MAX(Premissas!$B$48,Premissas!$B$49)),$D171,0)</x:f>
        <x:v>0</x:v>
      </x:c>
      <x:c r="AA171" s="141" t="n">
        <x:f>IF(AND(TRUE,Premissas!$B$11="Imovel",Premissas!$B$47="Investimento",$A171&gt;=MAX(Premissas!$B$48,Premissas!$B$49)),$E171,0)</x:f>
        <x:v>1365.0740864932382</x:v>
      </x:c>
      <x:c r="AB171" s="141" t="n">
        <x:f>X171+Y171+Z171</x:f>
        <x:v>0</x:v>
      </x:c>
      <x:c r="AC171" s="141" t="n">
        <x:f>AA171</x:f>
        <x:v>1365.0740864932382</x:v>
      </x:c>
      <x:c r="AD171" s="141" t="n">
        <x:f>$C171+AC171-AB171</x:f>
        <x:v>8365.074086493238</x:v>
      </x:c>
      <x:c r="AE171" s="141" t="n">
        <x:f>AH170*(1+Premissas!$B$41)+AD171</x:f>
        <x:v>2631235.824136538</x:v>
      </x:c>
      <x:c r="AF171" s="141" t="n">
        <x:f>MAX(0,-AE171)</x:f>
        <x:v>0</x:v>
      </x:c>
      <x:c r="AG171" s="141" t="n">
        <x:f>AG170*(1+Premissas!$B$41)+AF171</x:f>
        <x:v>0</x:v>
      </x:c>
      <x:c r="AH171" s="141" t="n">
        <x:f>MAX(0,AE171)</x:f>
        <x:v>2631235.824136538</x:v>
      </x:c>
      <x:c r="AI171" s="141" t="n">
        <x:f>IF(AND($A171&gt;=Premissas!$B$48,$A171-Premissas!$B$48+1&lt;=Premissas!$B$13),INDEX(Amortizacao!$L$6:$L$485,$A171-Premissas!$B$48+1),0)</x:f>
        <x:v>0</x:v>
      </x:c>
      <x:c r="AJ171" s="141" t="n">
        <x:f>IF($A171&gt;=Premissas!$B$48,$F171,0)</x:f>
        <x:v>447810.698710925</x:v>
      </x:c>
      <x:c r="AK171" s="141" t="n">
        <x:f>AH171+AJ171-AI171</x:f>
        <x:v>3079046.522847463</x:v>
      </x:c>
      <x:c r="AL171" s="141" t="n">
        <x:f>IF(AG171&gt;1,"Inviavel",AK171)</x:f>
        <x:v>3079046.522847463</x:v>
      </x:c>
      <x:c r="AM171" s="141" t="str">
        <x:f>IF(AG171&gt;1,"Inviavel","OK")</x:f>
        <x:v>OK</x:v>
      </x:c>
      <x:c r="AN171" s="141" t="n">
        <x:f>IF($A171=Premissas!$B$48,Premissas!$B$8,0)</x:f>
        <x:v>0</x:v>
      </x:c>
      <x:c r="AO171" s="141" t="n">
        <x:f>IF($A171&lt;=Premissas!$B$25,INDEX('Consorcio IQ'!$K$6:$K$485,$A171),0)</x:f>
        <x:v>1216.7627462737416</x:v>
      </x:c>
      <x:c r="AP171" s="141" t="n">
        <x:f>IF(AND(TRUE,Premissas!$B$11="Imovel",Premissas!$B$47="Moradia",$A171&lt;MAX(Premissas!$B$48,Premissas!$B$49)),$D171,0)</x:f>
        <x:v>0</x:v>
      </x:c>
      <x:c r="AQ171" s="141" t="n">
        <x:f>IF(AND(TRUE,Premissas!$B$11="Imovel",Premissas!$B$47="Investimento",$A171&gt;=MAX(Premissas!$B$48,Premissas!$B$49)),$E171,0)</x:f>
        <x:v>1365.0740864932382</x:v>
      </x:c>
      <x:c r="AR171" s="141" t="n">
        <x:f>AN171+AO171+AP171</x:f>
        <x:v>1216.7627462737416</x:v>
      </x:c>
      <x:c r="AS171" s="141" t="n">
        <x:f>AQ171</x:f>
        <x:v>1365.0740864932382</x:v>
      </x:c>
      <x:c r="AT171" s="141" t="n">
        <x:f>$C171+AS171-AR171</x:f>
        <x:v>7148.311340219496</x:v>
      </x:c>
      <x:c r="AU171" s="141" t="n">
        <x:f>AX170*(1+Premissas!$B$41)+AT171</x:f>
        <x:v>2680487.6482061716</x:v>
      </x:c>
      <x:c r="AV171" s="141" t="n">
        <x:f>MAX(0,-AU171)</x:f>
        <x:v>0</x:v>
      </x:c>
      <x:c r="AW171" s="141" t="n">
        <x:f>AW170*(1+Premissas!$B$41)+AV171</x:f>
        <x:v>0</x:v>
      </x:c>
      <x:c r="AX171" s="141" t="n">
        <x:f>MAX(0,AU171)</x:f>
        <x:v>2680487.6482061716</x:v>
      </x:c>
      <x:c r="AY171" s="141" t="n">
        <x:f>INDEX('Consorcio IQ'!$P$6:$P$485,$A171)</x:f>
        <x:v>76967.3596571328</x:v>
      </x:c>
      <x:c r="AZ171" s="141" t="n">
        <x:f>IF($A171&gt;=Premissas!$B$48,$F171,0)+IF($A171&lt;Premissas!$B$27,INDEX('Consorcio IQ'!$O$6:$O$485,$A171),0)</x:f>
        <x:v>447810.698710925</x:v>
      </x:c>
      <x:c r="BA171" s="141" t="n">
        <x:f>AX171+AZ171-AY171</x:f>
        <x:v>3051330.9872599635</x:v>
      </x:c>
      <x:c r="BB171" s="141" t="n">
        <x:f>IF(AW171&gt;1,"Inviavel",BA171)</x:f>
        <x:v>3051330.9872599635</x:v>
      </x:c>
      <x:c r="BC171" s="141" t="str">
        <x:f>IF(AW171&gt;1,"Inviavel","OK")</x:f>
        <x:v>OK</x:v>
      </x:c>
      <x:c r="BD171" s="141" t="n">
        <x:f>IF($A171='Consorcio Direto'!$B$29,'Consorcio Direto'!$B$44,0)</x:f>
        <x:v>0</x:v>
      </x:c>
      <x:c r="BE171" s="141" t="n">
        <x:f>IF($A171&lt;='Consorcio Direto'!$B$27,INDEX('Consorcio Direto'!$E$55:$E$534,$A171),0)</x:f>
        <x:v>3150.80806092519</x:v>
      </x:c>
      <x:c r="BF171" s="141" t="n">
        <x:f>IF(AND(TRUE,Premissas!$B$11="Imovel",Premissas!$B$47="Moradia",$A171&lt;MAX('Consorcio Direto'!$B$29,Premissas!$B$49)),$D171,0)</x:f>
        <x:v>0</x:v>
      </x:c>
      <x:c r="BG171" s="141" t="n">
        <x:f>IF(AND(TRUE,Premissas!$B$11="Imovel",Premissas!$B$47="Investimento",$A171&gt;=MAX('Consorcio Direto'!$B$29,Premissas!$B$49)),$E171,0)</x:f>
        <x:v>1365.0740864932382</x:v>
      </x:c>
      <x:c r="BH171" s="141" t="n">
        <x:f>BD171+BE171+BF171</x:f>
        <x:v>3150.80806092519</x:v>
      </x:c>
      <x:c r="BI171" s="141" t="n">
        <x:f>BG171</x:f>
        <x:v>1365.0740864932382</x:v>
      </x:c>
      <x:c r="BJ171" s="141" t="n">
        <x:f>$C171+BI171-BH171</x:f>
        <x:v>5214.266025568048</x:v>
      </x:c>
      <x:c r="BK171" s="141" t="n">
        <x:f>BN170*(1+Premissas!$B$41)+BJ171</x:f>
        <x:v>2653041.779267995</x:v>
      </x:c>
      <x:c r="BL171" s="141" t="n">
        <x:f>MAX(0,-BK171)</x:f>
        <x:v>0</x:v>
      </x:c>
      <x:c r="BM171" s="141" t="n">
        <x:f>BM170*(1+Premissas!$B$41)+BL171</x:f>
        <x:v>0</x:v>
      </x:c>
      <x:c r="BN171" s="141" t="n">
        <x:f>MAX(0,BK171)</x:f>
        <x:v>2653041.779267995</x:v>
      </x:c>
      <x:c r="BO171" s="141" t="n">
        <x:f>INDEX('Consorcio Direto'!$K$55:$K$534,$A171)</x:f>
        <x:v>199307.03662525135</x:v>
      </x:c>
      <x:c r="BP171" s="141" t="n">
        <x:f>IF($A171&lt;'Consorcio Direto'!$B$29,INDEX('Consorcio Direto'!$L$55:$L$534,$A171),$F171)</x:f>
        <x:v>447810.698710925</x:v>
      </x:c>
      <x:c r="BQ171" s="141" t="n">
        <x:f>BN171+BP171-BO171</x:f>
        <x:v>2901545.441353669</x:v>
      </x:c>
      <x:c r="BR171" s="141" t="n">
        <x:f>IF(BM171&gt;1,"Inviavel",BQ171)</x:f>
        <x:v>2901545.441353669</x:v>
      </x:c>
      <x:c r="BS171" s="141" t="str">
        <x:f>IF(BM171&gt;1,"Inviavel","OK")</x:f>
        <x:v>OK</x:v>
      </x:c>
      <x:c r="BT171" s="141" t="n">
        <x:f>IF(AND('Carta Contemplada'!$B$22="Sim",$A171='Carta Contemplada'!$B$23),'Carta Contemplada'!$B$37,0)</x:f>
        <x:v>0</x:v>
      </x:c>
      <x:c r="BU171" s="141" t="n">
        <x:f>IF('Carta Contemplada'!$B$22="Sim",INDEX('Carta Contemplada'!$C$55:$C$1013,$A171),0)</x:f>
        <x:v>2559.5139121748216</x:v>
      </x:c>
      <x:c r="BV171" s="141" t="n">
        <x:f>IF(AND('Carta Contemplada'!$B$22="Sim",Premissas!$B$11="Imovel",Premissas!$B$47="Moradia",$A171&lt;MAX('Carta Contemplada'!$B$44,Premissas!$B$49)),$D171,0)</x:f>
        <x:v>0</x:v>
      </x:c>
      <x:c r="BW171" s="141" t="n">
        <x:f>IF(AND('Carta Contemplada'!$B$22="Sim",Premissas!$B$11="Imovel",Premissas!$B$47="Investimento",$A171&gt;=MAX('Carta Contemplada'!$B$44,Premissas!$B$49)),$E171,0)</x:f>
        <x:v>1365.0740864932382</x:v>
      </x:c>
      <x:c r="BX171" s="141" t="n">
        <x:f>BT171+BU171+BV171</x:f>
        <x:v>2559.5139121748216</x:v>
      </x:c>
      <x:c r="BY171" s="141" t="n">
        <x:f>BW171</x:f>
        <x:v>1365.0740864932382</x:v>
      </x:c>
      <x:c r="BZ171" s="141" t="n">
        <x:f>$C171+BY171-BX171</x:f>
        <x:v>5805.560174318416</x:v>
      </x:c>
      <x:c r="CA171" s="141" t="n">
        <x:f>CD170*(1+Premissas!$B$41)+BZ171</x:f>
        <x:v>2734011.536212655</x:v>
      </x:c>
      <x:c r="CB171" s="141" t="n">
        <x:f>MAX(0,-CA171)</x:f>
        <x:v>0</x:v>
      </x:c>
      <x:c r="CC171" s="141" t="n">
        <x:f>CC170*(1+Premissas!$B$41)+CB171</x:f>
        <x:v>0</x:v>
      </x:c>
      <x:c r="CD171" s="141" t="n">
        <x:f>MAX(0,CA171)</x:f>
        <x:v>2734011.536212655</x:v>
      </x:c>
      <x:c r="CE171" s="141" t="n">
        <x:f>IF(AND('Carta Contemplada'!$B$22="Sim",$A171&gt;='Carta Contemplada'!$B$23),INDEX('Carta Contemplada'!$I$55:$I$1013,$A171),0)</x:f>
        <x:v>32882.33999755747</x:v>
      </x:c>
      <x:c r="CF171" s="141" t="n">
        <x:f>IF(AND('Carta Contemplada'!$B$22="Sim",$A171&gt;='Carta Contemplada'!$B$44),$F171,0)</x:f>
        <x:v>447810.698710925</x:v>
      </x:c>
      <x:c r="CG171" s="141" t="n">
        <x:f>CD171+CF171-CE171</x:f>
        <x:v>3148939.8949260223</x:v>
      </x:c>
      <x:c r="CH171" s="141" t="n">
        <x:f>IF(CC171&gt;1,"Inviavel",CG171)</x:f>
        <x:v>3148939.8949260223</x:v>
      </x:c>
      <x:c r="CI171" s="145" t="str">
        <x:f>IF(CC171&gt;1,"Inviavel","OK")</x:f>
        <x:v>OK</x:v>
      </x:c>
    </x:row>
    <x:row r="172">
      <x:c r="A172" s="142" t="n">
        <x:v>168</x:v>
      </x:c>
      <x:c r="B172" s="179" t="n">
        <x:f>EDATE(Premissas!$B$4,A172-1)</x:f>
        <x:v>51622</x:v>
      </x:c>
      <x:c r="C172" s="141" t="n">
        <x:f>IF(A172&lt;=Premissas!$B$39,Premissas!$B$42,0)</x:f>
        <x:v>7000</x:v>
      </x:c>
      <x:c r="D172" s="141" t="n">
        <x:f>Premissas!$B$54*(1+Premissas!$B$57)^INT((A172-1)/12)</x:f>
        <x:v>1493.0497821019792</x:v>
      </x:c>
      <x:c r="E172" s="141" t="n">
        <x:f>Premissas!$B$64*(1+Premissas!$B$57)^INT((A172-1)/12)</x:f>
        <x:v>1365.0740864932382</x:v>
      </x:c>
      <x:c r="F172" s="141" t="n">
        <x:f>MAX(0,Premissas!$B$6*(1+Premissas!$B$66)^((A172-1)/12))</x:f>
        <x:v>449990.43993060204</x:v>
      </x:c>
      <x:c r="G172" s="141" t="n">
        <x:f>G171*(1+Premissas!$B$41)+C172</x:f>
        <x:v>3303276.631001193</x:v>
      </x:c>
      <x:c r="H172" s="141" t="n">
        <x:f>IF($A172=Premissas!$B$48,Premissas!$B$8,0)</x:f>
        <x:v>0</x:v>
      </x:c>
      <x:c r="I172" s="141" t="n">
        <x:f>IF(AND($A172&gt;=Premissas!$B$48,$A172-Premissas!$B$48+1&lt;=Premissas!$B$13),INDEX(Financiamento!$J$6:$J$485,$A172-Premissas!$B$48+1),0)</x:f>
        <x:v>1445.491280933149</x:v>
      </x:c>
      <x:c r="J172" s="141" t="n">
        <x:f>IF(AND(TRUE,Premissas!$B$11="Imovel",Premissas!$B$47="Moradia",$A172&lt;MAX(Premissas!$B$48,Premissas!$B$49)),$D172,0)</x:f>
        <x:v>0</x:v>
      </x:c>
      <x:c r="K172" s="141" t="n">
        <x:f>IF(AND(TRUE,Premissas!$B$11="Imovel",Premissas!$B$47="Investimento",$A172&gt;=MAX(Premissas!$B$48,Premissas!$B$49)),$E172,0)</x:f>
        <x:v>1365.0740864932382</x:v>
      </x:c>
      <x:c r="L172" s="141" t="n">
        <x:f>H172+I172+J172</x:f>
        <x:v>1445.491280933149</x:v>
      </x:c>
      <x:c r="M172" s="141" t="n">
        <x:f>K172</x:f>
        <x:v>1365.0740864932382</x:v>
      </x:c>
      <x:c r="N172" s="141" t="n">
        <x:f>$C172+M172-L172</x:f>
        <x:v>6919.582805560089</x:v>
      </x:c>
      <x:c r="O172" s="141" t="n">
        <x:f>R171*(1+Premissas!$B$41)+N172</x:f>
        <x:v>2716508.643886164</x:v>
      </x:c>
      <x:c r="P172" s="141" t="n">
        <x:f>MAX(0,-O172)</x:f>
        <x:v>0</x:v>
      </x:c>
      <x:c r="Q172" s="141" t="n">
        <x:f>Q171*(1+Premissas!$B$41)+P172</x:f>
        <x:v>0</x:v>
      </x:c>
      <x:c r="R172" s="141" t="n">
        <x:f>MAX(0,O172)</x:f>
        <x:v>2716508.643886164</x:v>
      </x:c>
      <x:c r="S172" s="141" t="n">
        <x:f>IF(AND($A172&gt;=Premissas!$B$48,$A172-Premissas!$B$48+1&lt;=Premissas!$B$13),INDEX(Financiamento!$M$6:$M$485,$A172-Premissas!$B$48+1),0)</x:f>
        <x:v>96000.00000000016</x:v>
      </x:c>
      <x:c r="T172" s="141" t="n">
        <x:f>IF($A172&gt;=Premissas!$B$48,$F172,0)</x:f>
        <x:v>449990.43993060204</x:v>
      </x:c>
      <x:c r="U172" s="141" t="n">
        <x:f>R172+T172-S172</x:f>
        <x:v>3070499.083816766</x:v>
      </x:c>
      <x:c r="V172" s="141" t="n">
        <x:f>IF(Q172&gt;1,"Inviavel",U172)</x:f>
        <x:v>3070499.083816766</x:v>
      </x:c>
      <x:c r="W172" s="141" t="str">
        <x:f>IF(Q172&gt;1,"Inviavel","OK")</x:f>
        <x:v>OK</x:v>
      </x:c>
      <x:c r="X172" s="141" t="n">
        <x:f>IF($A172=Premissas!$B$48,Premissas!$B$8,0)</x:f>
        <x:v>0</x:v>
      </x:c>
      <x:c r="Y172" s="141" t="n">
        <x:f>IF(AND($A172&gt;=Premissas!$B$48,$A172-Premissas!$B$48+1&lt;=Premissas!$B$13),INDEX(Amortizacao!$K$6:$K$485,$A172-Premissas!$B$48+1),0)</x:f>
        <x:v>0</x:v>
      </x:c>
      <x:c r="Z172" s="141" t="n">
        <x:f>IF(AND(TRUE,Premissas!$B$11="Imovel",Premissas!$B$47="Moradia",$A172&lt;MAX(Premissas!$B$48,Premissas!$B$49)),$D172,0)</x:f>
        <x:v>0</x:v>
      </x:c>
      <x:c r="AA172" s="141" t="n">
        <x:f>IF(AND(TRUE,Premissas!$B$11="Imovel",Premissas!$B$47="Investimento",$A172&gt;=MAX(Premissas!$B$48,Premissas!$B$49)),$E172,0)</x:f>
        <x:v>1365.0740864932382</x:v>
      </x:c>
      <x:c r="AB172" s="141" t="n">
        <x:f>X172+Y172+Z172</x:f>
        <x:v>0</x:v>
      </x:c>
      <x:c r="AC172" s="141" t="n">
        <x:f>AA172</x:f>
        <x:v>1365.0740864932382</x:v>
      </x:c>
      <x:c r="AD172" s="141" t="n">
        <x:f>$C172+AC172-AB172</x:f>
        <x:v>8365.074086493238</x:v>
      </x:c>
      <x:c r="AE172" s="141" t="n">
        <x:f>AH171*(1+Premissas!$B$41)+AD172</x:f>
        <x:v>2664568.15012032</x:v>
      </x:c>
      <x:c r="AF172" s="141" t="n">
        <x:f>MAX(0,-AE172)</x:f>
        <x:v>0</x:v>
      </x:c>
      <x:c r="AG172" s="141" t="n">
        <x:f>AG171*(1+Premissas!$B$41)+AF172</x:f>
        <x:v>0</x:v>
      </x:c>
      <x:c r="AH172" s="141" t="n">
        <x:f>MAX(0,AE172)</x:f>
        <x:v>2664568.15012032</x:v>
      </x:c>
      <x:c r="AI172" s="141" t="n">
        <x:f>IF(AND($A172&gt;=Premissas!$B$48,$A172-Premissas!$B$48+1&lt;=Premissas!$B$13),INDEX(Amortizacao!$L$6:$L$485,$A172-Premissas!$B$48+1),0)</x:f>
        <x:v>0</x:v>
      </x:c>
      <x:c r="AJ172" s="141" t="n">
        <x:f>IF($A172&gt;=Premissas!$B$48,$F172,0)</x:f>
        <x:v>449990.43993060204</x:v>
      </x:c>
      <x:c r="AK172" s="141" t="n">
        <x:f>AH172+AJ172-AI172</x:f>
        <x:v>3114558.590050922</x:v>
      </x:c>
      <x:c r="AL172" s="141" t="n">
        <x:f>IF(AG172&gt;1,"Inviavel",AK172)</x:f>
        <x:v>3114558.590050922</x:v>
      </x:c>
      <x:c r="AM172" s="141" t="str">
        <x:f>IF(AG172&gt;1,"Inviavel","OK")</x:f>
        <x:v>OK</x:v>
      </x:c>
      <x:c r="AN172" s="141" t="n">
        <x:f>IF($A172=Premissas!$B$48,Premissas!$B$8,0)</x:f>
        <x:v>0</x:v>
      </x:c>
      <x:c r="AO172" s="141" t="n">
        <x:f>IF($A172&lt;=Premissas!$B$25,INDEX('Consorcio IQ'!$K$6:$K$485,$A172),0)</x:f>
        <x:v>1216.7627462737416</x:v>
      </x:c>
      <x:c r="AP172" s="141" t="n">
        <x:f>IF(AND(TRUE,Premissas!$B$11="Imovel",Premissas!$B$47="Moradia",$A172&lt;MAX(Premissas!$B$48,Premissas!$B$49)),$D172,0)</x:f>
        <x:v>0</x:v>
      </x:c>
      <x:c r="AQ172" s="141" t="n">
        <x:f>IF(AND(TRUE,Premissas!$B$11="Imovel",Premissas!$B$47="Investimento",$A172&gt;=MAX(Premissas!$B$48,Premissas!$B$49)),$E172,0)</x:f>
        <x:v>1365.0740864932382</x:v>
      </x:c>
      <x:c r="AR172" s="141" t="n">
        <x:f>AN172+AO172+AP172</x:f>
        <x:v>1216.7627462737416</x:v>
      </x:c>
      <x:c r="AS172" s="141" t="n">
        <x:f>AQ172</x:f>
        <x:v>1365.0740864932382</x:v>
      </x:c>
      <x:c r="AT172" s="141" t="n">
        <x:f>$C172+AS172-AR172</x:f>
        <x:v>7148.311340219496</x:v>
      </x:c>
      <x:c r="AU172" s="141" t="n">
        <x:f>AX171*(1+Premissas!$B$41)+AT172</x:f>
        <x:v>2713070.551803927</x:v>
      </x:c>
      <x:c r="AV172" s="141" t="n">
        <x:f>MAX(0,-AU172)</x:f>
        <x:v>0</x:v>
      </x:c>
      <x:c r="AW172" s="141" t="n">
        <x:f>AW171*(1+Premissas!$B$41)+AV172</x:f>
        <x:v>0</x:v>
      </x:c>
      <x:c r="AX172" s="141" t="n">
        <x:f>MAX(0,AU172)</x:f>
        <x:v>2713070.551803927</x:v>
      </x:c>
      <x:c r="AY172" s="141" t="n">
        <x:f>INDEX('Consorcio IQ'!$P$6:$P$485,$A172)</x:f>
        <x:v>76480.92424936716</x:v>
      </x:c>
      <x:c r="AZ172" s="141" t="n">
        <x:f>IF($A172&gt;=Premissas!$B$48,$F172,0)+IF($A172&lt;Premissas!$B$27,INDEX('Consorcio IQ'!$O$6:$O$485,$A172),0)</x:f>
        <x:v>449990.43993060204</x:v>
      </x:c>
      <x:c r="BA172" s="141" t="n">
        <x:f>AX172+AZ172-AY172</x:f>
        <x:v>3086580.0674851616</x:v>
      </x:c>
      <x:c r="BB172" s="141" t="n">
        <x:f>IF(AW172&gt;1,"Inviavel",BA172)</x:f>
        <x:v>3086580.0674851616</x:v>
      </x:c>
      <x:c r="BC172" s="141" t="str">
        <x:f>IF(AW172&gt;1,"Inviavel","OK")</x:f>
        <x:v>OK</x:v>
      </x:c>
      <x:c r="BD172" s="141" t="n">
        <x:f>IF($A172='Consorcio Direto'!$B$29,'Consorcio Direto'!$B$44,0)</x:f>
        <x:v>0</x:v>
      </x:c>
      <x:c r="BE172" s="141" t="n">
        <x:f>IF($A172&lt;='Consorcio Direto'!$B$27,INDEX('Consorcio Direto'!$E$55:$E$534,$A172),0)</x:f>
        <x:v>3150.80806092519</x:v>
      </x:c>
      <x:c r="BF172" s="141" t="n">
        <x:f>IF(AND(TRUE,Premissas!$B$11="Imovel",Premissas!$B$47="Moradia",$A172&lt;MAX('Consorcio Direto'!$B$29,Premissas!$B$49)),$D172,0)</x:f>
        <x:v>0</x:v>
      </x:c>
      <x:c r="BG172" s="141" t="n">
        <x:f>IF(AND(TRUE,Premissas!$B$11="Imovel",Premissas!$B$47="Investimento",$A172&gt;=MAX('Consorcio Direto'!$B$29,Premissas!$B$49)),$E172,0)</x:f>
        <x:v>1365.0740864932382</x:v>
      </x:c>
      <x:c r="BH172" s="141" t="n">
        <x:f>BD172+BE172+BF172</x:f>
        <x:v>3150.80806092519</x:v>
      </x:c>
      <x:c r="BI172" s="141" t="n">
        <x:f>BG172</x:f>
        <x:v>1365.0740864932382</x:v>
      </x:c>
      <x:c r="BJ172" s="141" t="n">
        <x:f>$C172+BI172-BH172</x:f>
        <x:v>5214.266025568048</x:v>
      </x:c>
      <x:c r="BK172" s="141" t="n">
        <x:f>BN171*(1+Premissas!$B$41)+BJ172</x:f>
        <x:v>2683430.2093838346</x:v>
      </x:c>
      <x:c r="BL172" s="141" t="n">
        <x:f>MAX(0,-BK172)</x:f>
        <x:v>0</x:v>
      </x:c>
      <x:c r="BM172" s="141" t="n">
        <x:f>BM171*(1+Premissas!$B$41)+BL172</x:f>
        <x:v>0</x:v>
      </x:c>
      <x:c r="BN172" s="141" t="n">
        <x:f>MAX(0,BK172)</x:f>
        <x:v>2683430.2093838346</x:v>
      </x:c>
      <x:c r="BO172" s="141" t="n">
        <x:f>INDEX('Consorcio Direto'!$K$55:$K$534,$A172)</x:f>
        <x:v>198047.41176526854</x:v>
      </x:c>
      <x:c r="BP172" s="141" t="n">
        <x:f>IF($A172&lt;'Consorcio Direto'!$B$29,INDEX('Consorcio Direto'!$L$55:$L$534,$A172),$F172)</x:f>
        <x:v>449990.43993060204</x:v>
      </x:c>
      <x:c r="BQ172" s="141" t="n">
        <x:f>BN172+BP172-BO172</x:f>
        <x:v>2935373.237549168</x:v>
      </x:c>
      <x:c r="BR172" s="141" t="n">
        <x:f>IF(BM172&gt;1,"Inviavel",BQ172)</x:f>
        <x:v>2935373.237549168</x:v>
      </x:c>
      <x:c r="BS172" s="141" t="str">
        <x:f>IF(BM172&gt;1,"Inviavel","OK")</x:f>
        <x:v>OK</x:v>
      </x:c>
      <x:c r="BT172" s="141" t="n">
        <x:f>IF(AND('Carta Contemplada'!$B$22="Sim",$A172='Carta Contemplada'!$B$23),'Carta Contemplada'!$B$37,0)</x:f>
        <x:v>0</x:v>
      </x:c>
      <x:c r="BU172" s="141" t="n">
        <x:f>IF('Carta Contemplada'!$B$22="Sim",INDEX('Carta Contemplada'!$C$55:$C$1013,$A172),0)</x:f>
        <x:v>2559.5139121748216</x:v>
      </x:c>
      <x:c r="BV172" s="141" t="n">
        <x:f>IF(AND('Carta Contemplada'!$B$22="Sim",Premissas!$B$11="Imovel",Premissas!$B$47="Moradia",$A172&lt;MAX('Carta Contemplada'!$B$44,Premissas!$B$49)),$D172,0)</x:f>
        <x:v>0</x:v>
      </x:c>
      <x:c r="BW172" s="141" t="n">
        <x:f>IF(AND('Carta Contemplada'!$B$22="Sim",Premissas!$B$11="Imovel",Premissas!$B$47="Investimento",$A172&gt;=MAX('Carta Contemplada'!$B$44,Premissas!$B$49)),$E172,0)</x:f>
        <x:v>1365.0740864932382</x:v>
      </x:c>
      <x:c r="BX172" s="141" t="n">
        <x:f>BT172+BU172+BV172</x:f>
        <x:v>2559.5139121748216</x:v>
      </x:c>
      <x:c r="BY172" s="141" t="n">
        <x:f>BW172</x:f>
        <x:v>1365.0740864932382</x:v>
      </x:c>
      <x:c r="BZ172" s="141" t="n">
        <x:f>$C172+BY172-BX172</x:f>
        <x:v>5805.560174318416</x:v>
      </x:c>
      <x:c r="CA172" s="141" t="n">
        <x:f>CD171*(1+Premissas!$B$41)+BZ172</x:f>
        <x:v>2765759.5657348563</x:v>
      </x:c>
      <x:c r="CB172" s="141" t="n">
        <x:f>MAX(0,-CA172)</x:f>
        <x:v>0</x:v>
      </x:c>
      <x:c r="CC172" s="141" t="n">
        <x:f>CC171*(1+Premissas!$B$41)+CB172</x:f>
        <x:v>0</x:v>
      </x:c>
      <x:c r="CD172" s="141" t="n">
        <x:f>MAX(0,CA172)</x:f>
        <x:v>2765759.5657348563</x:v>
      </x:c>
      <x:c r="CE172" s="141" t="n">
        <x:f>IF(AND('Carta Contemplada'!$B$22="Sim",$A172&gt;='Carta Contemplada'!$B$23),INDEX('Carta Contemplada'!$I$55:$I$1013,$A172),0)</x:f>
        <x:v>30634.839800824033</x:v>
      </x:c>
      <x:c r="CF172" s="141" t="n">
        <x:f>IF(AND('Carta Contemplada'!$B$22="Sim",$A172&gt;='Carta Contemplada'!$B$44),$F172,0)</x:f>
        <x:v>449990.43993060204</x:v>
      </x:c>
      <x:c r="CG172" s="141" t="n">
        <x:f>CD172+CF172-CE172</x:f>
        <x:v>3185115.1658646343</x:v>
      </x:c>
      <x:c r="CH172" s="141" t="n">
        <x:f>IF(CC172&gt;1,"Inviavel",CG172)</x:f>
        <x:v>3185115.1658646343</x:v>
      </x:c>
      <x:c r="CI172" s="145" t="str">
        <x:f>IF(CC172&gt;1,"Inviavel","OK")</x:f>
        <x:v>OK</x:v>
      </x:c>
    </x:row>
    <x:row r="173">
      <x:c r="A173" s="142" t="n">
        <x:v>169</x:v>
      </x:c>
      <x:c r="B173" s="179" t="n">
        <x:f>EDATE(Premissas!$B$4,A173-1)</x:f>
        <x:v>51653</x:v>
      </x:c>
      <x:c r="C173" s="141" t="n">
        <x:f>IF(A173&lt;=Premissas!$B$39,Premissas!$B$42,0)</x:f>
        <x:v>7000</x:v>
      </x:c>
      <x:c r="D173" s="141" t="n">
        <x:f>Premissas!$B$54*(1+Premissas!$B$57)^INT((A173-1)/12)</x:f>
        <x:v>1582.6327690280982</x:v>
      </x:c>
      <x:c r="E173" s="141" t="n">
        <x:f>Premissas!$B$64*(1+Premissas!$B$57)^INT((A173-1)/12)</x:f>
        <x:v>1446.9785316828327</x:v>
      </x:c>
      <x:c r="F173" s="141" t="n">
        <x:f>MAX(0,Premissas!$B$6*(1+Premissas!$B$66)^((A173-1)/12))</x:f>
        <x:v>452180.7911508852</x:v>
      </x:c>
      <x:c r="G173" s="141" t="n">
        <x:f>G172*(1+Premissas!$B$41)+C173</x:f>
        <x:v>3341620.7389584105</x:v>
      </x:c>
      <x:c r="H173" s="141" t="n">
        <x:f>IF($A173=Premissas!$B$48,Premissas!$B$8,0)</x:f>
        <x:v>0</x:v>
      </x:c>
      <x:c r="I173" s="141" t="n">
        <x:f>IF(AND($A173&gt;=Premissas!$B$48,$A173-Premissas!$B$48+1&lt;=Premissas!$B$13),INDEX(Financiamento!$J$6:$J$485,$A173-Premissas!$B$48+1),0)</x:f>
        <x:v>1441.8765026723554</x:v>
      </x:c>
      <x:c r="J173" s="141" t="n">
        <x:f>IF(AND(TRUE,Premissas!$B$11="Imovel",Premissas!$B$47="Moradia",$A173&lt;MAX(Premissas!$B$48,Premissas!$B$49)),$D173,0)</x:f>
        <x:v>0</x:v>
      </x:c>
      <x:c r="K173" s="141" t="n">
        <x:f>IF(AND(TRUE,Premissas!$B$11="Imovel",Premissas!$B$47="Investimento",$A173&gt;=MAX(Premissas!$B$48,Premissas!$B$49)),$E173,0)</x:f>
        <x:v>1446.9785316828327</x:v>
      </x:c>
      <x:c r="L173" s="141" t="n">
        <x:f>H173+I173+J173</x:f>
        <x:v>1441.8765026723554</x:v>
      </x:c>
      <x:c r="M173" s="141" t="n">
        <x:f>K173</x:f>
        <x:v>1446.9785316828327</x:v>
      </x:c>
      <x:c r="N173" s="141" t="n">
        <x:f>$C173+M173-L173</x:f>
        <x:v>7005.102029010477</x:v>
      </x:c>
      <x:c r="O173" s="141" t="n">
        <x:f>R172*(1+Premissas!$B$41)+N173</x:f>
        <x:v>2749290.1339420155</x:v>
      </x:c>
      <x:c r="P173" s="141" t="n">
        <x:f>MAX(0,-O173)</x:f>
        <x:v>0</x:v>
      </x:c>
      <x:c r="Q173" s="141" t="n">
        <x:f>Q172*(1+Premissas!$B$41)+P173</x:f>
        <x:v>0</x:v>
      </x:c>
      <x:c r="R173" s="141" t="n">
        <x:f>MAX(0,O173)</x:f>
        <x:v>2749290.1339420155</x:v>
      </x:c>
      <x:c r="S173" s="141" t="n">
        <x:f>IF(AND($A173&gt;=Premissas!$B$48,$A173-Premissas!$B$48+1&lt;=Premissas!$B$13),INDEX(Financiamento!$M$6:$M$485,$A173-Premissas!$B$48+1),0)</x:f>
        <x:v>95619.04761904778</x:v>
      </x:c>
      <x:c r="T173" s="141" t="n">
        <x:f>IF($A173&gt;=Premissas!$B$48,$F173,0)</x:f>
        <x:v>452180.7911508852</x:v>
      </x:c>
      <x:c r="U173" s="141" t="n">
        <x:f>R173+T173-S173</x:f>
        <x:v>3105851.877473853</x:v>
      </x:c>
      <x:c r="V173" s="141" t="n">
        <x:f>IF(Q173&gt;1,"Inviavel",U173)</x:f>
        <x:v>3105851.877473853</x:v>
      </x:c>
      <x:c r="W173" s="141" t="str">
        <x:f>IF(Q173&gt;1,"Inviavel","OK")</x:f>
        <x:v>OK</x:v>
      </x:c>
      <x:c r="X173" s="141" t="n">
        <x:f>IF($A173=Premissas!$B$48,Premissas!$B$8,0)</x:f>
        <x:v>0</x:v>
      </x:c>
      <x:c r="Y173" s="141" t="n">
        <x:f>IF(AND($A173&gt;=Premissas!$B$48,$A173-Premissas!$B$48+1&lt;=Premissas!$B$13),INDEX(Amortizacao!$K$6:$K$485,$A173-Premissas!$B$48+1),0)</x:f>
        <x:v>0</x:v>
      </x:c>
      <x:c r="Z173" s="141" t="n">
        <x:f>IF(AND(TRUE,Premissas!$B$11="Imovel",Premissas!$B$47="Moradia",$A173&lt;MAX(Premissas!$B$48,Premissas!$B$49)),$D173,0)</x:f>
        <x:v>0</x:v>
      </x:c>
      <x:c r="AA173" s="141" t="n">
        <x:f>IF(AND(TRUE,Premissas!$B$11="Imovel",Premissas!$B$47="Investimento",$A173&gt;=MAX(Premissas!$B$48,Premissas!$B$49)),$E173,0)</x:f>
        <x:v>1446.9785316828327</x:v>
      </x:c>
      <x:c r="AB173" s="141" t="n">
        <x:f>X173+Y173+Z173</x:f>
        <x:v>0</x:v>
      </x:c>
      <x:c r="AC173" s="141" t="n">
        <x:f>AA173</x:f>
        <x:v>1446.9785316828327</x:v>
      </x:c>
      <x:c r="AD173" s="141" t="n">
        <x:f>$C173+AC173-AB173</x:f>
        <x:v>8446.978531682833</x:v>
      </x:c>
      <x:c r="AE173" s="141" t="n">
        <x:f>AH172*(1+Premissas!$B$41)+AD173</x:f>
        <x:v>2698298.6640885794</x:v>
      </x:c>
      <x:c r="AF173" s="141" t="n">
        <x:f>MAX(0,-AE173)</x:f>
        <x:v>0</x:v>
      </x:c>
      <x:c r="AG173" s="141" t="n">
        <x:f>AG172*(1+Premissas!$B$41)+AF173</x:f>
        <x:v>0</x:v>
      </x:c>
      <x:c r="AH173" s="141" t="n">
        <x:f>MAX(0,AE173)</x:f>
        <x:v>2698298.6640885794</x:v>
      </x:c>
      <x:c r="AI173" s="141" t="n">
        <x:f>IF(AND($A173&gt;=Premissas!$B$48,$A173-Premissas!$B$48+1&lt;=Premissas!$B$13),INDEX(Amortizacao!$L$6:$L$485,$A173-Premissas!$B$48+1),0)</x:f>
        <x:v>0</x:v>
      </x:c>
      <x:c r="AJ173" s="141" t="n">
        <x:f>IF($A173&gt;=Premissas!$B$48,$F173,0)</x:f>
        <x:v>452180.7911508852</x:v>
      </x:c>
      <x:c r="AK173" s="141" t="n">
        <x:f>AH173+AJ173-AI173</x:f>
        <x:v>3150479.4552394645</x:v>
      </x:c>
      <x:c r="AL173" s="141" t="n">
        <x:f>IF(AG173&gt;1,"Inviavel",AK173)</x:f>
        <x:v>3150479.4552394645</x:v>
      </x:c>
      <x:c r="AM173" s="141" t="str">
        <x:f>IF(AG173&gt;1,"Inviavel","OK")</x:f>
        <x:v>OK</x:v>
      </x:c>
      <x:c r="AN173" s="141" t="n">
        <x:f>IF($A173=Premissas!$B$48,Premissas!$B$8,0)</x:f>
        <x:v>0</x:v>
      </x:c>
      <x:c r="AO173" s="141" t="n">
        <x:f>IF($A173&lt;=Premissas!$B$25,INDEX('Consorcio IQ'!$K$6:$K$485,$A173),0)</x:f>
        <x:v>1289.7685110501664</x:v>
      </x:c>
      <x:c r="AP173" s="141" t="n">
        <x:f>IF(AND(TRUE,Premissas!$B$11="Imovel",Premissas!$B$47="Moradia",$A173&lt;MAX(Premissas!$B$48,Premissas!$B$49)),$D173,0)</x:f>
        <x:v>0</x:v>
      </x:c>
      <x:c r="AQ173" s="141" t="n">
        <x:f>IF(AND(TRUE,Premissas!$B$11="Imovel",Premissas!$B$47="Investimento",$A173&gt;=MAX(Premissas!$B$48,Premissas!$B$49)),$E173,0)</x:f>
        <x:v>1446.9785316828327</x:v>
      </x:c>
      <x:c r="AR173" s="141" t="n">
        <x:f>AN173+AO173+AP173</x:f>
        <x:v>1289.7685110501664</x:v>
      </x:c>
      <x:c r="AS173" s="141" t="n">
        <x:f>AQ173</x:f>
        <x:v>1446.9785316828327</x:v>
      </x:c>
      <x:c r="AT173" s="141" t="n">
        <x:f>$C173+AS173-AR173</x:f>
        <x:v>7157.210020632667</x:v>
      </x:c>
      <x:c r="AU173" s="141" t="n">
        <x:f>AX172*(1+Premissas!$B$41)+AT173</x:f>
        <x:v>2745971.526507542</x:v>
      </x:c>
      <x:c r="AV173" s="141" t="n">
        <x:f>MAX(0,-AU173)</x:f>
        <x:v>0</x:v>
      </x:c>
      <x:c r="AW173" s="141" t="n">
        <x:f>AW172*(1+Premissas!$B$41)+AV173</x:f>
        <x:v>0</x:v>
      </x:c>
      <x:c r="AX173" s="141" t="n">
        <x:f>MAX(0,AU173)</x:f>
        <x:v>2745971.526507542</x:v>
      </x:c>
      <x:c r="AY173" s="141" t="n">
        <x:f>INDEX('Consorcio IQ'!$P$6:$P$485,$A173)</x:f>
        <x:v>75916.86739196477</x:v>
      </x:c>
      <x:c r="AZ173" s="141" t="n">
        <x:f>IF($A173&gt;=Premissas!$B$48,$F173,0)+IF($A173&lt;Premissas!$B$27,INDEX('Consorcio IQ'!$O$6:$O$485,$A173),0)</x:f>
        <x:v>452180.7911508852</x:v>
      </x:c>
      <x:c r="BA173" s="141" t="n">
        <x:f>AX173+AZ173-AY173</x:f>
        <x:v>3122235.4502664623</x:v>
      </x:c>
      <x:c r="BB173" s="141" t="n">
        <x:f>IF(AW173&gt;1,"Inviavel",BA173)</x:f>
        <x:v>3122235.4502664623</x:v>
      </x:c>
      <x:c r="BC173" s="141" t="str">
        <x:f>IF(AW173&gt;1,"Inviavel","OK")</x:f>
        <x:v>OK</x:v>
      </x:c>
      <x:c r="BD173" s="141" t="n">
        <x:f>IF($A173='Consorcio Direto'!$B$29,'Consorcio Direto'!$B$44,0)</x:f>
        <x:v>0</x:v>
      </x:c>
      <x:c r="BE173" s="141" t="n">
        <x:f>IF($A173&lt;='Consorcio Direto'!$B$27,INDEX('Consorcio Direto'!$E$55:$E$534,$A173),0)</x:f>
        <x:v>3339.856544580702</x:v>
      </x:c>
      <x:c r="BF173" s="141" t="n">
        <x:f>IF(AND(TRUE,Premissas!$B$11="Imovel",Premissas!$B$47="Moradia",$A173&lt;MAX('Consorcio Direto'!$B$29,Premissas!$B$49)),$D173,0)</x:f>
        <x:v>0</x:v>
      </x:c>
      <x:c r="BG173" s="141" t="n">
        <x:f>IF(AND(TRUE,Premissas!$B$11="Imovel",Premissas!$B$47="Investimento",$A173&gt;=MAX('Consorcio Direto'!$B$29,Premissas!$B$49)),$E173,0)</x:f>
        <x:v>1446.9785316828327</x:v>
      </x:c>
      <x:c r="BH173" s="141" t="n">
        <x:f>BD173+BE173+BF173</x:f>
        <x:v>3339.856544580702</x:v>
      </x:c>
      <x:c r="BI173" s="141" t="n">
        <x:f>BG173</x:f>
        <x:v>1446.9785316828327</x:v>
      </x:c>
      <x:c r="BJ173" s="141" t="n">
        <x:f>$C173+BI173-BH173</x:f>
        <x:v>5107.121987102131</x:v>
      </x:c>
      <x:c r="BK173" s="141" t="n">
        <x:f>BN172*(1+Premissas!$B$41)+BJ173</x:f>
        <x:v>2713999.844982185</x:v>
      </x:c>
      <x:c r="BL173" s="141" t="n">
        <x:f>MAX(0,-BK173)</x:f>
        <x:v>0</x:v>
      </x:c>
      <x:c r="BM173" s="141" t="n">
        <x:f>BM172*(1+Premissas!$B$41)+BL173</x:f>
        <x:v>0</x:v>
      </x:c>
      <x:c r="BN173" s="141" t="n">
        <x:f>MAX(0,BK173)</x:f>
        <x:v>2713999.844982185</x:v>
      </x:c>
      <x:c r="BO173" s="141" t="n">
        <x:f>INDEX('Consorcio Direto'!$K$55:$K$534,$A173)</x:f>
        <x:v>196586.7861021586</x:v>
      </x:c>
      <x:c r="BP173" s="141" t="n">
        <x:f>IF($A173&lt;'Consorcio Direto'!$B$29,INDEX('Consorcio Direto'!$L$55:$L$534,$A173),$F173)</x:f>
        <x:v>452180.7911508852</x:v>
      </x:c>
      <x:c r="BQ173" s="141" t="n">
        <x:f>BN173+BP173-BO173</x:f>
        <x:v>2969593.8500309116</x:v>
      </x:c>
      <x:c r="BR173" s="141" t="n">
        <x:f>IF(BM173&gt;1,"Inviavel",BQ173)</x:f>
        <x:v>2969593.8500309116</x:v>
      </x:c>
      <x:c r="BS173" s="141" t="str">
        <x:f>IF(BM173&gt;1,"Inviavel","OK")</x:f>
        <x:v>OK</x:v>
      </x:c>
      <x:c r="BT173" s="141" t="n">
        <x:f>IF(AND('Carta Contemplada'!$B$22="Sim",$A173='Carta Contemplada'!$B$23),'Carta Contemplada'!$B$37,0)</x:f>
        <x:v>0</x:v>
      </x:c>
      <x:c r="BU173" s="141" t="n">
        <x:f>IF('Carta Contemplada'!$B$22="Sim",INDEX('Carta Contemplada'!$C$55:$C$1013,$A173),0)</x:f>
        <x:v>2713.0847469053115</x:v>
      </x:c>
      <x:c r="BV173" s="141" t="n">
        <x:f>IF(AND('Carta Contemplada'!$B$22="Sim",Premissas!$B$11="Imovel",Premissas!$B$47="Moradia",$A173&lt;MAX('Carta Contemplada'!$B$44,Premissas!$B$49)),$D173,0)</x:f>
        <x:v>0</x:v>
      </x:c>
      <x:c r="BW173" s="141" t="n">
        <x:f>IF(AND('Carta Contemplada'!$B$22="Sim",Premissas!$B$11="Imovel",Premissas!$B$47="Investimento",$A173&gt;=MAX('Carta Contemplada'!$B$44,Premissas!$B$49)),$E173,0)</x:f>
        <x:v>1446.9785316828327</x:v>
      </x:c>
      <x:c r="BX173" s="141" t="n">
        <x:f>BT173+BU173+BV173</x:f>
        <x:v>2713.0847469053115</x:v>
      </x:c>
      <x:c r="BY173" s="141" t="n">
        <x:f>BW173</x:f>
        <x:v>1446.9785316828327</x:v>
      </x:c>
      <x:c r="BZ173" s="141" t="n">
        <x:f>$C173+BY173-BX173</x:f>
        <x:v>5733.893784777521</x:v>
      </x:c>
      <x:c r="CA173" s="141" t="n">
        <x:f>CD172*(1+Premissas!$B$41)+BZ173</x:f>
        <x:v>2797737.1793457344</x:v>
      </x:c>
      <x:c r="CB173" s="141" t="n">
        <x:f>MAX(0,-CA173)</x:f>
        <x:v>0</x:v>
      </x:c>
      <x:c r="CC173" s="141" t="n">
        <x:f>CC172*(1+Premissas!$B$41)+CB173</x:f>
        <x:v>0</x:v>
      </x:c>
      <x:c r="CD173" s="141" t="n">
        <x:f>MAX(0,CA173)</x:f>
        <x:v>2797737.1793457344</x:v>
      </x:c>
      <x:c r="CE173" s="141" t="n">
        <x:f>IF(AND('Carta Contemplada'!$B$22="Sim",$A173&gt;='Carta Contemplada'!$B$23),INDEX('Carta Contemplada'!$I$55:$I$1013,$A173),0)</x:f>
        <x:v>28212.442705372865</x:v>
      </x:c>
      <x:c r="CF173" s="141" t="n">
        <x:f>IF(AND('Carta Contemplada'!$B$22="Sim",$A173&gt;='Carta Contemplada'!$B$44),$F173,0)</x:f>
        <x:v>452180.7911508852</x:v>
      </x:c>
      <x:c r="CG173" s="141" t="n">
        <x:f>CD173+CF173-CE173</x:f>
        <x:v>3221705.527791247</x:v>
      </x:c>
      <x:c r="CH173" s="141" t="n">
        <x:f>IF(CC173&gt;1,"Inviavel",CG173)</x:f>
        <x:v>3221705.527791247</x:v>
      </x:c>
      <x:c r="CI173" s="145" t="str">
        <x:f>IF(CC173&gt;1,"Inviavel","OK")</x:f>
        <x:v>OK</x:v>
      </x:c>
    </x:row>
    <x:row r="174">
      <x:c r="A174" s="142" t="n">
        <x:v>170</x:v>
      </x:c>
      <x:c r="B174" s="179" t="n">
        <x:f>EDATE(Premissas!$B$4,A174-1)</x:f>
        <x:v>51683</x:v>
      </x:c>
      <x:c r="C174" s="141" t="n">
        <x:f>IF(A174&lt;=Premissas!$B$39,Premissas!$B$42,0)</x:f>
        <x:v>7000</x:v>
      </x:c>
      <x:c r="D174" s="141" t="n">
        <x:f>Premissas!$B$54*(1+Premissas!$B$57)^INT((A174-1)/12)</x:f>
        <x:v>1582.6327690280982</x:v>
      </x:c>
      <x:c r="E174" s="141" t="n">
        <x:f>Premissas!$B$64*(1+Premissas!$B$57)^INT((A174-1)/12)</x:f>
        <x:v>1446.9785316828327</x:v>
      </x:c>
      <x:c r="F174" s="141" t="n">
        <x:f>MAX(0,Premissas!$B$6*(1+Premissas!$B$66)^((A174-1)/12))</x:f>
        <x:v>454381.804016489</x:v>
      </x:c>
      <x:c r="G174" s="141" t="n">
        <x:f>G173*(1+Premissas!$B$41)+C174</x:f>
        <x:v>3380328.686216295</x:v>
      </x:c>
      <x:c r="H174" s="141" t="n">
        <x:f>IF($A174=Premissas!$B$48,Premissas!$B$8,0)</x:f>
        <x:v>0</x:v>
      </x:c>
      <x:c r="I174" s="141" t="n">
        <x:f>IF(AND($A174&gt;=Premissas!$B$48,$A174-Premissas!$B$48+1&lt;=Premissas!$B$13),INDEX(Financiamento!$J$6:$J$485,$A174-Premissas!$B$48+1),0)</x:f>
        <x:v>1438.261724411562</x:v>
      </x:c>
      <x:c r="J174" s="141" t="n">
        <x:f>IF(AND(TRUE,Premissas!$B$11="Imovel",Premissas!$B$47="Moradia",$A174&lt;MAX(Premissas!$B$48,Premissas!$B$49)),$D174,0)</x:f>
        <x:v>0</x:v>
      </x:c>
      <x:c r="K174" s="141" t="n">
        <x:f>IF(AND(TRUE,Premissas!$B$11="Imovel",Premissas!$B$47="Investimento",$A174&gt;=MAX(Premissas!$B$48,Premissas!$B$49)),$E174,0)</x:f>
        <x:v>1446.9785316828327</x:v>
      </x:c>
      <x:c r="L174" s="141" t="n">
        <x:f>H174+I174+J174</x:f>
        <x:v>1438.261724411562</x:v>
      </x:c>
      <x:c r="M174" s="141" t="n">
        <x:f>K174</x:f>
        <x:v>1446.9785316828327</x:v>
      </x:c>
      <x:c r="N174" s="141" t="n">
        <x:f>$C174+M174-L174</x:f>
        <x:v>7008.716807271271</x:v>
      </x:c>
      <x:c r="O174" s="141" t="n">
        <x:f>R173*(1+Premissas!$B$41)+N174</x:f>
        <x:v>2782386.2955473545</x:v>
      </x:c>
      <x:c r="P174" s="141" t="n">
        <x:f>MAX(0,-O174)</x:f>
        <x:v>0</x:v>
      </x:c>
      <x:c r="Q174" s="141" t="n">
        <x:f>Q173*(1+Premissas!$B$41)+P174</x:f>
        <x:v>0</x:v>
      </x:c>
      <x:c r="R174" s="141" t="n">
        <x:f>MAX(0,O174)</x:f>
        <x:v>2782386.2955473545</x:v>
      </x:c>
      <x:c r="S174" s="141" t="n">
        <x:f>IF(AND($A174&gt;=Premissas!$B$48,$A174-Premissas!$B$48+1&lt;=Premissas!$B$13),INDEX(Financiamento!$M$6:$M$485,$A174-Premissas!$B$48+1),0)</x:f>
        <x:v>95238.0952380954</x:v>
      </x:c>
      <x:c r="T174" s="141" t="n">
        <x:f>IF($A174&gt;=Premissas!$B$48,$F174,0)</x:f>
        <x:v>454381.804016489</x:v>
      </x:c>
      <x:c r="U174" s="141" t="n">
        <x:f>R174+T174-S174</x:f>
        <x:v>3141530.004325748</x:v>
      </x:c>
      <x:c r="V174" s="141" t="n">
        <x:f>IF(Q174&gt;1,"Inviavel",U174)</x:f>
        <x:v>3141530.004325748</x:v>
      </x:c>
      <x:c r="W174" s="141" t="str">
        <x:f>IF(Q174&gt;1,"Inviavel","OK")</x:f>
        <x:v>OK</x:v>
      </x:c>
      <x:c r="X174" s="141" t="n">
        <x:f>IF($A174=Premissas!$B$48,Premissas!$B$8,0)</x:f>
        <x:v>0</x:v>
      </x:c>
      <x:c r="Y174" s="141" t="n">
        <x:f>IF(AND($A174&gt;=Premissas!$B$48,$A174-Premissas!$B$48+1&lt;=Premissas!$B$13),INDEX(Amortizacao!$K$6:$K$485,$A174-Premissas!$B$48+1),0)</x:f>
        <x:v>0</x:v>
      </x:c>
      <x:c r="Z174" s="141" t="n">
        <x:f>IF(AND(TRUE,Premissas!$B$11="Imovel",Premissas!$B$47="Moradia",$A174&lt;MAX(Premissas!$B$48,Premissas!$B$49)),$D174,0)</x:f>
        <x:v>0</x:v>
      </x:c>
      <x:c r="AA174" s="141" t="n">
        <x:f>IF(AND(TRUE,Premissas!$B$11="Imovel",Premissas!$B$47="Investimento",$A174&gt;=MAX(Premissas!$B$48,Premissas!$B$49)),$E174,0)</x:f>
        <x:v>1446.9785316828327</x:v>
      </x:c>
      <x:c r="AB174" s="141" t="n">
        <x:f>X174+Y174+Z174</x:f>
        <x:v>0</x:v>
      </x:c>
      <x:c r="AC174" s="141" t="n">
        <x:f>AA174</x:f>
        <x:v>1446.9785316828327</x:v>
      </x:c>
      <x:c r="AD174" s="141" t="n">
        <x:f>$C174+AC174-AB174</x:f>
        <x:v>8446.978531682833</x:v>
      </x:c>
      <x:c r="AE174" s="141" t="n">
        <x:f>AH173*(1+Premissas!$B$41)+AD174</x:f>
        <x:v>2732349.239919461</x:v>
      </x:c>
      <x:c r="AF174" s="141" t="n">
        <x:f>MAX(0,-AE174)</x:f>
        <x:v>0</x:v>
      </x:c>
      <x:c r="AG174" s="141" t="n">
        <x:f>AG173*(1+Premissas!$B$41)+AF174</x:f>
        <x:v>0</x:v>
      </x:c>
      <x:c r="AH174" s="141" t="n">
        <x:f>MAX(0,AE174)</x:f>
        <x:v>2732349.239919461</x:v>
      </x:c>
      <x:c r="AI174" s="141" t="n">
        <x:f>IF(AND($A174&gt;=Premissas!$B$48,$A174-Premissas!$B$48+1&lt;=Premissas!$B$13),INDEX(Amortizacao!$L$6:$L$485,$A174-Premissas!$B$48+1),0)</x:f>
        <x:v>0</x:v>
      </x:c>
      <x:c r="AJ174" s="141" t="n">
        <x:f>IF($A174&gt;=Premissas!$B$48,$F174,0)</x:f>
        <x:v>454381.804016489</x:v>
      </x:c>
      <x:c r="AK174" s="141" t="n">
        <x:f>AH174+AJ174-AI174</x:f>
        <x:v>3186731.04393595</x:v>
      </x:c>
      <x:c r="AL174" s="141" t="n">
        <x:f>IF(AG174&gt;1,"Inviavel",AK174)</x:f>
        <x:v>3186731.04393595</x:v>
      </x:c>
      <x:c r="AM174" s="141" t="str">
        <x:f>IF(AG174&gt;1,"Inviavel","OK")</x:f>
        <x:v>OK</x:v>
      </x:c>
      <x:c r="AN174" s="141" t="n">
        <x:f>IF($A174=Premissas!$B$48,Premissas!$B$8,0)</x:f>
        <x:v>0</x:v>
      </x:c>
      <x:c r="AO174" s="141" t="n">
        <x:f>IF($A174&lt;=Premissas!$B$25,INDEX('Consorcio IQ'!$K$6:$K$485,$A174),0)</x:f>
        <x:v>1289.7685110501664</x:v>
      </x:c>
      <x:c r="AP174" s="141" t="n">
        <x:f>IF(AND(TRUE,Premissas!$B$11="Imovel",Premissas!$B$47="Moradia",$A174&lt;MAX(Premissas!$B$48,Premissas!$B$49)),$D174,0)</x:f>
        <x:v>0</x:v>
      </x:c>
      <x:c r="AQ174" s="141" t="n">
        <x:f>IF(AND(TRUE,Premissas!$B$11="Imovel",Premissas!$B$47="Investimento",$A174&gt;=MAX(Premissas!$B$48,Premissas!$B$49)),$E174,0)</x:f>
        <x:v>1446.9785316828327</x:v>
      </x:c>
      <x:c r="AR174" s="141" t="n">
        <x:f>AN174+AO174+AP174</x:f>
        <x:v>1289.7685110501664</x:v>
      </x:c>
      <x:c r="AS174" s="141" t="n">
        <x:f>AQ174</x:f>
        <x:v>1446.9785316828327</x:v>
      </x:c>
      <x:c r="AT174" s="141" t="n">
        <x:f>$C174+AS174-AR174</x:f>
        <x:v>7157.210020632667</x:v>
      </x:c>
      <x:c r="AU174" s="141" t="n">
        <x:f>AX173*(1+Premissas!$B$41)+AT174</x:f>
        <x:v>2779184.6917474656</x:v>
      </x:c>
      <x:c r="AV174" s="141" t="n">
        <x:f>MAX(0,-AU174)</x:f>
        <x:v>0</x:v>
      </x:c>
      <x:c r="AW174" s="141" t="n">
        <x:f>AW173*(1+Premissas!$B$41)+AV174</x:f>
        <x:v>0</x:v>
      </x:c>
      <x:c r="AX174" s="141" t="n">
        <x:f>MAX(0,AU174)</x:f>
        <x:v>2779184.6917474656</x:v>
      </x:c>
      <x:c r="AY174" s="141" t="n">
        <x:f>INDEX('Consorcio IQ'!$P$6:$P$485,$A174)</x:f>
        <x:v>75347.45831583916</x:v>
      </x:c>
      <x:c r="AZ174" s="141" t="n">
        <x:f>IF($A174&gt;=Premissas!$B$48,$F174,0)+IF($A174&lt;Premissas!$B$27,INDEX('Consorcio IQ'!$O$6:$O$485,$A174),0)</x:f>
        <x:v>454381.804016489</x:v>
      </x:c>
      <x:c r="BA174" s="141" t="n">
        <x:f>AX174+AZ174-AY174</x:f>
        <x:v>3158219.0374481156</x:v>
      </x:c>
      <x:c r="BB174" s="141" t="n">
        <x:f>IF(AW174&gt;1,"Inviavel",BA174)</x:f>
        <x:v>3158219.0374481156</x:v>
      </x:c>
      <x:c r="BC174" s="141" t="str">
        <x:f>IF(AW174&gt;1,"Inviavel","OK")</x:f>
        <x:v>OK</x:v>
      </x:c>
      <x:c r="BD174" s="141" t="n">
        <x:f>IF($A174='Consorcio Direto'!$B$29,'Consorcio Direto'!$B$44,0)</x:f>
        <x:v>0</x:v>
      </x:c>
      <x:c r="BE174" s="141" t="n">
        <x:f>IF($A174&lt;='Consorcio Direto'!$B$27,INDEX('Consorcio Direto'!$E$55:$E$534,$A174),0)</x:f>
        <x:v>3339.856544580702</x:v>
      </x:c>
      <x:c r="BF174" s="141" t="n">
        <x:f>IF(AND(TRUE,Premissas!$B$11="Imovel",Premissas!$B$47="Moradia",$A174&lt;MAX('Consorcio Direto'!$B$29,Premissas!$B$49)),$D174,0)</x:f>
        <x:v>0</x:v>
      </x:c>
      <x:c r="BG174" s="141" t="n">
        <x:f>IF(AND(TRUE,Premissas!$B$11="Imovel",Premissas!$B$47="Investimento",$A174&gt;=MAX('Consorcio Direto'!$B$29,Premissas!$B$49)),$E174,0)</x:f>
        <x:v>1446.9785316828327</x:v>
      </x:c>
      <x:c r="BH174" s="141" t="n">
        <x:f>BD174+BE174+BF174</x:f>
        <x:v>3339.856544580702</x:v>
      </x:c>
      <x:c r="BI174" s="141" t="n">
        <x:f>BG174</x:f>
        <x:v>1446.9785316828327</x:v>
      </x:c>
      <x:c r="BJ174" s="141" t="n">
        <x:f>$C174+BI174-BH174</x:f>
        <x:v>5107.121987102131</x:v>
      </x:c>
      <x:c r="BK174" s="141" t="n">
        <x:f>BN173*(1+Premissas!$B$41)+BJ174</x:f>
        <x:v>2744859.5495228134</x:v>
      </x:c>
      <x:c r="BL174" s="141" t="n">
        <x:f>MAX(0,-BK174)</x:f>
        <x:v>0</x:v>
      </x:c>
      <x:c r="BM174" s="141" t="n">
        <x:f>BM173*(1+Premissas!$B$41)+BL174</x:f>
        <x:v>0</x:v>
      </x:c>
      <x:c r="BN174" s="141" t="n">
        <x:f>MAX(0,BK174)</x:f>
        <x:v>2744859.5495228134</x:v>
      </x:c>
      <x:c r="BO174" s="141" t="n">
        <x:f>INDEX('Consorcio Direto'!$K$55:$K$534,$A174)</x:f>
        <x:v>195112.30086457645</x:v>
      </x:c>
      <x:c r="BP174" s="141" t="n">
        <x:f>IF($A174&lt;'Consorcio Direto'!$B$29,INDEX('Consorcio Direto'!$L$55:$L$534,$A174),$F174)</x:f>
        <x:v>454381.804016489</x:v>
      </x:c>
      <x:c r="BQ174" s="141" t="n">
        <x:f>BN174+BP174-BO174</x:f>
        <x:v>3004129.052674726</x:v>
      </x:c>
      <x:c r="BR174" s="141" t="n">
        <x:f>IF(BM174&gt;1,"Inviavel",BQ174)</x:f>
        <x:v>3004129.052674726</x:v>
      </x:c>
      <x:c r="BS174" s="141" t="str">
        <x:f>IF(BM174&gt;1,"Inviavel","OK")</x:f>
        <x:v>OK</x:v>
      </x:c>
      <x:c r="BT174" s="141" t="n">
        <x:f>IF(AND('Carta Contemplada'!$B$22="Sim",$A174='Carta Contemplada'!$B$23),'Carta Contemplada'!$B$37,0)</x:f>
        <x:v>0</x:v>
      </x:c>
      <x:c r="BU174" s="141" t="n">
        <x:f>IF('Carta Contemplada'!$B$22="Sim",INDEX('Carta Contemplada'!$C$55:$C$1013,$A174),0)</x:f>
        <x:v>2713.0847469053115</x:v>
      </x:c>
      <x:c r="BV174" s="141" t="n">
        <x:f>IF(AND('Carta Contemplada'!$B$22="Sim",Premissas!$B$11="Imovel",Premissas!$B$47="Moradia",$A174&lt;MAX('Carta Contemplada'!$B$44,Premissas!$B$49)),$D174,0)</x:f>
        <x:v>0</x:v>
      </x:c>
      <x:c r="BW174" s="141" t="n">
        <x:f>IF(AND('Carta Contemplada'!$B$22="Sim",Premissas!$B$11="Imovel",Premissas!$B$47="Investimento",$A174&gt;=MAX('Carta Contemplada'!$B$44,Premissas!$B$49)),$E174,0)</x:f>
        <x:v>1446.9785316828327</x:v>
      </x:c>
      <x:c r="BX174" s="141" t="n">
        <x:f>BT174+BU174+BV174</x:f>
        <x:v>2713.0847469053115</x:v>
      </x:c>
      <x:c r="BY174" s="141" t="n">
        <x:f>BW174</x:f>
        <x:v>1446.9785316828327</x:v>
      </x:c>
      <x:c r="BZ174" s="141" t="n">
        <x:f>$C174+BY174-BX174</x:f>
        <x:v>5733.893784777521</x:v>
      </x:c>
      <x:c r="CA174" s="141" t="n">
        <x:f>CD173*(1+Premissas!$B$41)+BZ174</x:f>
        <x:v>2830018.221910708</x:v>
      </x:c>
      <x:c r="CB174" s="141" t="n">
        <x:f>MAX(0,-CA174)</x:f>
        <x:v>0</x:v>
      </x:c>
      <x:c r="CC174" s="141" t="n">
        <x:f>CC173*(1+Premissas!$B$41)+CB174</x:f>
        <x:v>0</x:v>
      </x:c>
      <x:c r="CD174" s="141" t="n">
        <x:f>MAX(0,CA174)</x:f>
        <x:v>2830018.221910708</x:v>
      </x:c>
      <x:c r="CE174" s="141" t="n">
        <x:f>IF(AND('Carta Contemplada'!$B$22="Sim",$A174&gt;='Carta Contemplada'!$B$23),INDEX('Carta Contemplada'!$I$55:$I$1013,$A174),0)</x:f>
        <x:v>25767.059985477623</x:v>
      </x:c>
      <x:c r="CF174" s="141" t="n">
        <x:f>IF(AND('Carta Contemplada'!$B$22="Sim",$A174&gt;='Carta Contemplada'!$B$44),$F174,0)</x:f>
        <x:v>454381.804016489</x:v>
      </x:c>
      <x:c r="CG174" s="141" t="n">
        <x:f>CD174+CF174-CE174</x:f>
        <x:v>3258632.9659417197</x:v>
      </x:c>
      <x:c r="CH174" s="141" t="n">
        <x:f>IF(CC174&gt;1,"Inviavel",CG174)</x:f>
        <x:v>3258632.9659417197</x:v>
      </x:c>
      <x:c r="CI174" s="145" t="str">
        <x:f>IF(CC174&gt;1,"Inviavel","OK")</x:f>
        <x:v>OK</x:v>
      </x:c>
    </x:row>
    <x:row r="175">
      <x:c r="A175" s="142" t="n">
        <x:v>171</x:v>
      </x:c>
      <x:c r="B175" s="179" t="n">
        <x:f>EDATE(Premissas!$B$4,A175-1)</x:f>
        <x:v>51714</x:v>
      </x:c>
      <x:c r="C175" s="141" t="n">
        <x:f>IF(A175&lt;=Premissas!$B$39,Premissas!$B$42,0)</x:f>
        <x:v>7000</x:v>
      </x:c>
      <x:c r="D175" s="141" t="n">
        <x:f>Premissas!$B$54*(1+Premissas!$B$57)^INT((A175-1)/12)</x:f>
        <x:v>1582.6327690280982</x:v>
      </x:c>
      <x:c r="E175" s="141" t="n">
        <x:f>Premissas!$B$64*(1+Premissas!$B$57)^INT((A175-1)/12)</x:f>
        <x:v>1446.9785316828327</x:v>
      </x:c>
      <x:c r="F175" s="141" t="n">
        <x:f>MAX(0,Premissas!$B$6*(1+Premissas!$B$66)^((A175-1)/12))</x:f>
        <x:v>456593.53042351094</x:v>
      </x:c>
      <x:c r="G175" s="141" t="n">
        <x:f>G174*(1+Premissas!$B$41)+C175</x:f>
        <x:v>3419403.925170633</x:v>
      </x:c>
      <x:c r="H175" s="141" t="n">
        <x:f>IF($A175=Premissas!$B$48,Premissas!$B$8,0)</x:f>
        <x:v>0</x:v>
      </x:c>
      <x:c r="I175" s="141" t="n">
        <x:f>IF(AND($A175&gt;=Premissas!$B$48,$A175-Premissas!$B$48+1&lt;=Premissas!$B$13),INDEX(Financiamento!$J$6:$J$485,$A175-Premissas!$B$48+1),0)</x:f>
        <x:v>1434.6469461507684</x:v>
      </x:c>
      <x:c r="J175" s="141" t="n">
        <x:f>IF(AND(TRUE,Premissas!$B$11="Imovel",Premissas!$B$47="Moradia",$A175&lt;MAX(Premissas!$B$48,Premissas!$B$49)),$D175,0)</x:f>
        <x:v>0</x:v>
      </x:c>
      <x:c r="K175" s="141" t="n">
        <x:f>IF(AND(TRUE,Premissas!$B$11="Imovel",Premissas!$B$47="Investimento",$A175&gt;=MAX(Premissas!$B$48,Premissas!$B$49)),$E175,0)</x:f>
        <x:v>1446.9785316828327</x:v>
      </x:c>
      <x:c r="L175" s="141" t="n">
        <x:f>H175+I175+J175</x:f>
        <x:v>1434.6469461507684</x:v>
      </x:c>
      <x:c r="M175" s="141" t="n">
        <x:f>K175</x:f>
        <x:v>1446.9785316828327</x:v>
      </x:c>
      <x:c r="N175" s="141" t="n">
        <x:f>$C175+M175-L175</x:f>
        <x:v>7012.331585532064</x:v>
      </x:c>
      <x:c r="O175" s="141" t="n">
        <x:f>R174*(1+Premissas!$B$41)+N175</x:f>
        <x:v>2815800.114555357</x:v>
      </x:c>
      <x:c r="P175" s="141" t="n">
        <x:f>MAX(0,-O175)</x:f>
        <x:v>0</x:v>
      </x:c>
      <x:c r="Q175" s="141" t="n">
        <x:f>Q174*(1+Premissas!$B$41)+P175</x:f>
        <x:v>0</x:v>
      </x:c>
      <x:c r="R175" s="141" t="n">
        <x:f>MAX(0,O175)</x:f>
        <x:v>2815800.114555357</x:v>
      </x:c>
      <x:c r="S175" s="141" t="n">
        <x:f>IF(AND($A175&gt;=Premissas!$B$48,$A175-Premissas!$B$48+1&lt;=Premissas!$B$13),INDEX(Financiamento!$M$6:$M$485,$A175-Premissas!$B$48+1),0)</x:f>
        <x:v>94857.14285714302</x:v>
      </x:c>
      <x:c r="T175" s="141" t="n">
        <x:f>IF($A175&gt;=Premissas!$B$48,$F175,0)</x:f>
        <x:v>456593.53042351094</x:v>
      </x:c>
      <x:c r="U175" s="141" t="n">
        <x:f>R175+T175-S175</x:f>
        <x:v>3177536.5021217247</x:v>
      </x:c>
      <x:c r="V175" s="141" t="n">
        <x:f>IF(Q175&gt;1,"Inviavel",U175)</x:f>
        <x:v>3177536.5021217247</x:v>
      </x:c>
      <x:c r="W175" s="141" t="str">
        <x:f>IF(Q175&gt;1,"Inviavel","OK")</x:f>
        <x:v>OK</x:v>
      </x:c>
      <x:c r="X175" s="141" t="n">
        <x:f>IF($A175=Premissas!$B$48,Premissas!$B$8,0)</x:f>
        <x:v>0</x:v>
      </x:c>
      <x:c r="Y175" s="141" t="n">
        <x:f>IF(AND($A175&gt;=Premissas!$B$48,$A175-Premissas!$B$48+1&lt;=Premissas!$B$13),INDEX(Amortizacao!$K$6:$K$485,$A175-Premissas!$B$48+1),0)</x:f>
        <x:v>0</x:v>
      </x:c>
      <x:c r="Z175" s="141" t="n">
        <x:f>IF(AND(TRUE,Premissas!$B$11="Imovel",Premissas!$B$47="Moradia",$A175&lt;MAX(Premissas!$B$48,Premissas!$B$49)),$D175,0)</x:f>
        <x:v>0</x:v>
      </x:c>
      <x:c r="AA175" s="141" t="n">
        <x:f>IF(AND(TRUE,Premissas!$B$11="Imovel",Premissas!$B$47="Investimento",$A175&gt;=MAX(Premissas!$B$48,Premissas!$B$49)),$E175,0)</x:f>
        <x:v>1446.9785316828327</x:v>
      </x:c>
      <x:c r="AB175" s="141" t="n">
        <x:f>X175+Y175+Z175</x:f>
        <x:v>0</x:v>
      </x:c>
      <x:c r="AC175" s="141" t="n">
        <x:f>AA175</x:f>
        <x:v>1446.9785316828327</x:v>
      </x:c>
      <x:c r="AD175" s="141" t="n">
        <x:f>$C175+AC175-AB175</x:f>
        <x:v>8446.978531682833</x:v>
      </x:c>
      <x:c r="AE175" s="141" t="n">
        <x:f>AH174*(1+Premissas!$B$41)+AD175</x:f>
        <x:v>2766722.9146137047</x:v>
      </x:c>
      <x:c r="AF175" s="141" t="n">
        <x:f>MAX(0,-AE175)</x:f>
        <x:v>0</x:v>
      </x:c>
      <x:c r="AG175" s="141" t="n">
        <x:f>AG174*(1+Premissas!$B$41)+AF175</x:f>
        <x:v>0</x:v>
      </x:c>
      <x:c r="AH175" s="141" t="n">
        <x:f>MAX(0,AE175)</x:f>
        <x:v>2766722.9146137047</x:v>
      </x:c>
      <x:c r="AI175" s="141" t="n">
        <x:f>IF(AND($A175&gt;=Premissas!$B$48,$A175-Premissas!$B$48+1&lt;=Premissas!$B$13),INDEX(Amortizacao!$L$6:$L$485,$A175-Premissas!$B$48+1),0)</x:f>
        <x:v>0</x:v>
      </x:c>
      <x:c r="AJ175" s="141" t="n">
        <x:f>IF($A175&gt;=Premissas!$B$48,$F175,0)</x:f>
        <x:v>456593.53042351094</x:v>
      </x:c>
      <x:c r="AK175" s="141" t="n">
        <x:f>AH175+AJ175-AI175</x:f>
        <x:v>3223316.4450372155</x:v>
      </x:c>
      <x:c r="AL175" s="141" t="n">
        <x:f>IF(AG175&gt;1,"Inviavel",AK175)</x:f>
        <x:v>3223316.4450372155</x:v>
      </x:c>
      <x:c r="AM175" s="141" t="str">
        <x:f>IF(AG175&gt;1,"Inviavel","OK")</x:f>
        <x:v>OK</x:v>
      </x:c>
      <x:c r="AN175" s="141" t="n">
        <x:f>IF($A175=Premissas!$B$48,Premissas!$B$8,0)</x:f>
        <x:v>0</x:v>
      </x:c>
      <x:c r="AO175" s="141" t="n">
        <x:f>IF($A175&lt;=Premissas!$B$25,INDEX('Consorcio IQ'!$K$6:$K$485,$A175),0)</x:f>
        <x:v>1289.7685110501664</x:v>
      </x:c>
      <x:c r="AP175" s="141" t="n">
        <x:f>IF(AND(TRUE,Premissas!$B$11="Imovel",Premissas!$B$47="Moradia",$A175&lt;MAX(Premissas!$B$48,Premissas!$B$49)),$D175,0)</x:f>
        <x:v>0</x:v>
      </x:c>
      <x:c r="AQ175" s="141" t="n">
        <x:f>IF(AND(TRUE,Premissas!$B$11="Imovel",Premissas!$B$47="Investimento",$A175&gt;=MAX(Premissas!$B$48,Premissas!$B$49)),$E175,0)</x:f>
        <x:v>1446.9785316828327</x:v>
      </x:c>
      <x:c r="AR175" s="141" t="n">
        <x:f>AN175+AO175+AP175</x:f>
        <x:v>1289.7685110501664</x:v>
      </x:c>
      <x:c r="AS175" s="141" t="n">
        <x:f>AQ175</x:f>
        <x:v>1446.9785316828327</x:v>
      </x:c>
      <x:c r="AT175" s="141" t="n">
        <x:f>$C175+AS175-AR175</x:f>
        <x:v>7157.210020632667</x:v>
      </x:c>
      <x:c r="AU175" s="141" t="n">
        <x:f>AX174*(1+Premissas!$B$41)+AT175</x:f>
        <x:v>2812713.009835053</x:v>
      </x:c>
      <x:c r="AV175" s="141" t="n">
        <x:f>MAX(0,-AU175)</x:f>
        <x:v>0</x:v>
      </x:c>
      <x:c r="AW175" s="141" t="n">
        <x:f>AW174*(1+Premissas!$B$41)+AV175</x:f>
        <x:v>0</x:v>
      </x:c>
      <x:c r="AX175" s="141" t="n">
        <x:f>MAX(0,AU175)</x:f>
        <x:v>2812713.009835053</x:v>
      </x:c>
      <x:c r="AY175" s="141" t="n">
        <x:f>INDEX('Consorcio IQ'!$P$6:$P$485,$A175)</x:f>
        <x:v>74772.64623489512</x:v>
      </x:c>
      <x:c r="AZ175" s="141" t="n">
        <x:f>IF($A175&gt;=Premissas!$B$48,$F175,0)+IF($A175&lt;Premissas!$B$27,INDEX('Consorcio IQ'!$O$6:$O$485,$A175),0)</x:f>
        <x:v>456593.53042351094</x:v>
      </x:c>
      <x:c r="BA175" s="141" t="n">
        <x:f>AX175+AZ175-AY175</x:f>
        <x:v>3194533.8940236685</x:v>
      </x:c>
      <x:c r="BB175" s="141" t="n">
        <x:f>IF(AW175&gt;1,"Inviavel",BA175)</x:f>
        <x:v>3194533.8940236685</x:v>
      </x:c>
      <x:c r="BC175" s="141" t="str">
        <x:f>IF(AW175&gt;1,"Inviavel","OK")</x:f>
        <x:v>OK</x:v>
      </x:c>
      <x:c r="BD175" s="141" t="n">
        <x:f>IF($A175='Consorcio Direto'!$B$29,'Consorcio Direto'!$B$44,0)</x:f>
        <x:v>0</x:v>
      </x:c>
      <x:c r="BE175" s="141" t="n">
        <x:f>IF($A175&lt;='Consorcio Direto'!$B$27,INDEX('Consorcio Direto'!$E$55:$E$534,$A175),0)</x:f>
        <x:v>3339.856544580702</x:v>
      </x:c>
      <x:c r="BF175" s="141" t="n">
        <x:f>IF(AND(TRUE,Premissas!$B$11="Imovel",Premissas!$B$47="Moradia",$A175&lt;MAX('Consorcio Direto'!$B$29,Premissas!$B$49)),$D175,0)</x:f>
        <x:v>0</x:v>
      </x:c>
      <x:c r="BG175" s="141" t="n">
        <x:f>IF(AND(TRUE,Premissas!$B$11="Imovel",Premissas!$B$47="Investimento",$A175&gt;=MAX('Consorcio Direto'!$B$29,Premissas!$B$49)),$E175,0)</x:f>
        <x:v>1446.9785316828327</x:v>
      </x:c>
      <x:c r="BH175" s="141" t="n">
        <x:f>BD175+BE175+BF175</x:f>
        <x:v>3339.856544580702</x:v>
      </x:c>
      <x:c r="BI175" s="141" t="n">
        <x:f>BG175</x:f>
        <x:v>1446.9785316828327</x:v>
      </x:c>
      <x:c r="BJ175" s="141" t="n">
        <x:f>$C175+BI175-BH175</x:f>
        <x:v>5107.121987102131</x:v>
      </x:c>
      <x:c r="BK175" s="141" t="n">
        <x:f>BN174*(1+Premissas!$B$41)+BJ175</x:f>
        <x:v>2776012.0754098506</x:v>
      </x:c>
      <x:c r="BL175" s="141" t="n">
        <x:f>MAX(0,-BK175)</x:f>
        <x:v>0</x:v>
      </x:c>
      <x:c r="BM175" s="141" t="n">
        <x:f>BM174*(1+Premissas!$B$41)+BL175</x:f>
        <x:v>0</x:v>
      </x:c>
      <x:c r="BN175" s="141" t="n">
        <x:f>MAX(0,BK175)</x:f>
        <x:v>2776012.0754098506</x:v>
      </x:c>
      <x:c r="BO175" s="141" t="n">
        <x:f>INDEX('Consorcio Direto'!$K$55:$K$534,$A175)</x:f>
        <x:v>193623.8245418898</x:v>
      </x:c>
      <x:c r="BP175" s="141" t="n">
        <x:f>IF($A175&lt;'Consorcio Direto'!$B$29,INDEX('Consorcio Direto'!$L$55:$L$534,$A175),$F175)</x:f>
        <x:v>456593.53042351094</x:v>
      </x:c>
      <x:c r="BQ175" s="141" t="n">
        <x:f>BN175+BP175-BO175</x:f>
        <x:v>3038981.781291472</x:v>
      </x:c>
      <x:c r="BR175" s="141" t="n">
        <x:f>IF(BM175&gt;1,"Inviavel",BQ175)</x:f>
        <x:v>3038981.781291472</x:v>
      </x:c>
      <x:c r="BS175" s="141" t="str">
        <x:f>IF(BM175&gt;1,"Inviavel","OK")</x:f>
        <x:v>OK</x:v>
      </x:c>
      <x:c r="BT175" s="141" t="n">
        <x:f>IF(AND('Carta Contemplada'!$B$22="Sim",$A175='Carta Contemplada'!$B$23),'Carta Contemplada'!$B$37,0)</x:f>
        <x:v>0</x:v>
      </x:c>
      <x:c r="BU175" s="141" t="n">
        <x:f>IF('Carta Contemplada'!$B$22="Sim",INDEX('Carta Contemplada'!$C$55:$C$1013,$A175),0)</x:f>
        <x:v>2713.0847469053115</x:v>
      </x:c>
      <x:c r="BV175" s="141" t="n">
        <x:f>IF(AND('Carta Contemplada'!$B$22="Sim",Premissas!$B$11="Imovel",Premissas!$B$47="Moradia",$A175&lt;MAX('Carta Contemplada'!$B$44,Premissas!$B$49)),$D175,0)</x:f>
        <x:v>0</x:v>
      </x:c>
      <x:c r="BW175" s="141" t="n">
        <x:f>IF(AND('Carta Contemplada'!$B$22="Sim",Premissas!$B$11="Imovel",Premissas!$B$47="Investimento",$A175&gt;=MAX('Carta Contemplada'!$B$44,Premissas!$B$49)),$E175,0)</x:f>
        <x:v>1446.9785316828327</x:v>
      </x:c>
      <x:c r="BX175" s="141" t="n">
        <x:f>BT175+BU175+BV175</x:f>
        <x:v>2713.0847469053115</x:v>
      </x:c>
      <x:c r="BY175" s="141" t="n">
        <x:f>BW175</x:f>
        <x:v>1446.9785316828327</x:v>
      </x:c>
      <x:c r="BZ175" s="141" t="n">
        <x:f>$C175+BY175-BX175</x:f>
        <x:v>5733.893784777521</x:v>
      </x:c>
      <x:c r="CA175" s="141" t="n">
        <x:f>CD174*(1+Premissas!$B$41)+BZ175</x:f>
        <x:v>2862605.5726042935</x:v>
      </x:c>
      <x:c r="CB175" s="141" t="n">
        <x:f>MAX(0,-CA175)</x:f>
        <x:v>0</x:v>
      </x:c>
      <x:c r="CC175" s="141" t="n">
        <x:f>CC174*(1+Premissas!$B$41)+CB175</x:f>
        <x:v>0</x:v>
      </x:c>
      <x:c r="CD175" s="141" t="n">
        <x:f>MAX(0,CA175)</x:f>
        <x:v>2862605.5726042935</x:v>
      </x:c>
      <x:c r="CE175" s="141" t="n">
        <x:f>IF(AND('Carta Contemplada'!$B$22="Sim",$A175&gt;='Carta Contemplada'!$B$23),INDEX('Carta Contemplada'!$I$55:$I$1013,$A175),0)</x:f>
        <x:v>23298.47353530749</x:v>
      </x:c>
      <x:c r="CF175" s="141" t="n">
        <x:f>IF(AND('Carta Contemplada'!$B$22="Sim",$A175&gt;='Carta Contemplada'!$B$44),$F175,0)</x:f>
        <x:v>456593.53042351094</x:v>
      </x:c>
      <x:c r="CG175" s="141" t="n">
        <x:f>CD175+CF175-CE175</x:f>
        <x:v>3295900.6294924966</x:v>
      </x:c>
      <x:c r="CH175" s="141" t="n">
        <x:f>IF(CC175&gt;1,"Inviavel",CG175)</x:f>
        <x:v>3295900.6294924966</x:v>
      </x:c>
      <x:c r="CI175" s="145" t="str">
        <x:f>IF(CC175&gt;1,"Inviavel","OK")</x:f>
        <x:v>OK</x:v>
      </x:c>
    </x:row>
    <x:row r="176">
      <x:c r="A176" s="142" t="n">
        <x:v>172</x:v>
      </x:c>
      <x:c r="B176" s="179" t="n">
        <x:f>EDATE(Premissas!$B$4,A176-1)</x:f>
        <x:v>51745</x:v>
      </x:c>
      <x:c r="C176" s="141" t="n">
        <x:f>IF(A176&lt;=Premissas!$B$39,Premissas!$B$42,0)</x:f>
        <x:v>7000</x:v>
      </x:c>
      <x:c r="D176" s="141" t="n">
        <x:f>Premissas!$B$54*(1+Premissas!$B$57)^INT((A176-1)/12)</x:f>
        <x:v>1582.6327690280982</x:v>
      </x:c>
      <x:c r="E176" s="141" t="n">
        <x:f>Premissas!$B$64*(1+Premissas!$B$57)^INT((A176-1)/12)</x:f>
        <x:v>1446.9785316828327</x:v>
      </x:c>
      <x:c r="F176" s="141" t="n">
        <x:f>MAX(0,Premissas!$B$6*(1+Premissas!$B$66)^((A176-1)/12))</x:f>
        <x:v>458816.02252065594</x:v>
      </x:c>
      <x:c r="G176" s="141" t="n">
        <x:f>G175*(1+Premissas!$B$41)+C176</x:f>
        <x:v>3458849.9409762775</x:v>
      </x:c>
      <x:c r="H176" s="141" t="n">
        <x:f>IF($A176=Premissas!$B$48,Premissas!$B$8,0)</x:f>
        <x:v>0</x:v>
      </x:c>
      <x:c r="I176" s="141" t="n">
        <x:f>IF(AND($A176&gt;=Premissas!$B$48,$A176-Premissas!$B$48+1&lt;=Premissas!$B$13),INDEX(Financiamento!$J$6:$J$485,$A176-Premissas!$B$48+1),0)</x:f>
        <x:v>1431.0321678899747</x:v>
      </x:c>
      <x:c r="J176" s="141" t="n">
        <x:f>IF(AND(TRUE,Premissas!$B$11="Imovel",Premissas!$B$47="Moradia",$A176&lt;MAX(Premissas!$B$48,Premissas!$B$49)),$D176,0)</x:f>
        <x:v>0</x:v>
      </x:c>
      <x:c r="K176" s="141" t="n">
        <x:f>IF(AND(TRUE,Premissas!$B$11="Imovel",Premissas!$B$47="Investimento",$A176&gt;=MAX(Premissas!$B$48,Premissas!$B$49)),$E176,0)</x:f>
        <x:v>1446.9785316828327</x:v>
      </x:c>
      <x:c r="L176" s="141" t="n">
        <x:f>H176+I176+J176</x:f>
        <x:v>1431.0321678899747</x:v>
      </x:c>
      <x:c r="M176" s="141" t="n">
        <x:f>K176</x:f>
        <x:v>1446.9785316828327</x:v>
      </x:c>
      <x:c r="N176" s="141" t="n">
        <x:f>$C176+M176-L176</x:f>
        <x:v>7015.946363792858</x:v>
      </x:c>
      <x:c r="O176" s="141" t="n">
        <x:f>R175*(1+Premissas!$B$41)+N176</x:f>
        <x:v>2849534.605151341</x:v>
      </x:c>
      <x:c r="P176" s="141" t="n">
        <x:f>MAX(0,-O176)</x:f>
        <x:v>0</x:v>
      </x:c>
      <x:c r="Q176" s="141" t="n">
        <x:f>Q175*(1+Premissas!$B$41)+P176</x:f>
        <x:v>0</x:v>
      </x:c>
      <x:c r="R176" s="141" t="n">
        <x:f>MAX(0,O176)</x:f>
        <x:v>2849534.605151341</x:v>
      </x:c>
      <x:c r="S176" s="141" t="n">
        <x:f>IF(AND($A176&gt;=Premissas!$B$48,$A176-Premissas!$B$48+1&lt;=Premissas!$B$13),INDEX(Financiamento!$M$6:$M$485,$A176-Premissas!$B$48+1),0)</x:f>
        <x:v>94476.19047619063</x:v>
      </x:c>
      <x:c r="T176" s="141" t="n">
        <x:f>IF($A176&gt;=Premissas!$B$48,$F176,0)</x:f>
        <x:v>458816.02252065594</x:v>
      </x:c>
      <x:c r="U176" s="141" t="n">
        <x:f>R176+T176-S176</x:f>
        <x:v>3213874.437195806</x:v>
      </x:c>
      <x:c r="V176" s="141" t="n">
        <x:f>IF(Q176&gt;1,"Inviavel",U176)</x:f>
        <x:v>3213874.437195806</x:v>
      </x:c>
      <x:c r="W176" s="141" t="str">
        <x:f>IF(Q176&gt;1,"Inviavel","OK")</x:f>
        <x:v>OK</x:v>
      </x:c>
      <x:c r="X176" s="141" t="n">
        <x:f>IF($A176=Premissas!$B$48,Premissas!$B$8,0)</x:f>
        <x:v>0</x:v>
      </x:c>
      <x:c r="Y176" s="141" t="n">
        <x:f>IF(AND($A176&gt;=Premissas!$B$48,$A176-Premissas!$B$48+1&lt;=Premissas!$B$13),INDEX(Amortizacao!$K$6:$K$485,$A176-Premissas!$B$48+1),0)</x:f>
        <x:v>0</x:v>
      </x:c>
      <x:c r="Z176" s="141" t="n">
        <x:f>IF(AND(TRUE,Premissas!$B$11="Imovel",Premissas!$B$47="Moradia",$A176&lt;MAX(Premissas!$B$48,Premissas!$B$49)),$D176,0)</x:f>
        <x:v>0</x:v>
      </x:c>
      <x:c r="AA176" s="141" t="n">
        <x:f>IF(AND(TRUE,Premissas!$B$11="Imovel",Premissas!$B$47="Investimento",$A176&gt;=MAX(Premissas!$B$48,Premissas!$B$49)),$E176,0)</x:f>
        <x:v>1446.9785316828327</x:v>
      </x:c>
      <x:c r="AB176" s="141" t="n">
        <x:f>X176+Y176+Z176</x:f>
        <x:v>0</x:v>
      </x:c>
      <x:c r="AC176" s="141" t="n">
        <x:f>AA176</x:f>
        <x:v>1446.9785316828327</x:v>
      </x:c>
      <x:c r="AD176" s="141" t="n">
        <x:f>$C176+AC176-AB176</x:f>
        <x:v>8446.978531682833</x:v>
      </x:c>
      <x:c r="AE176" s="141" t="n">
        <x:f>AH175*(1+Premissas!$B$41)+AD176</x:f>
        <x:v>2801422.7539895233</x:v>
      </x:c>
      <x:c r="AF176" s="141" t="n">
        <x:f>MAX(0,-AE176)</x:f>
        <x:v>0</x:v>
      </x:c>
      <x:c r="AG176" s="141" t="n">
        <x:f>AG175*(1+Premissas!$B$41)+AF176</x:f>
        <x:v>0</x:v>
      </x:c>
      <x:c r="AH176" s="141" t="n">
        <x:f>MAX(0,AE176)</x:f>
        <x:v>2801422.7539895233</x:v>
      </x:c>
      <x:c r="AI176" s="141" t="n">
        <x:f>IF(AND($A176&gt;=Premissas!$B$48,$A176-Premissas!$B$48+1&lt;=Premissas!$B$13),INDEX(Amortizacao!$L$6:$L$485,$A176-Premissas!$B$48+1),0)</x:f>
        <x:v>0</x:v>
      </x:c>
      <x:c r="AJ176" s="141" t="n">
        <x:f>IF($A176&gt;=Premissas!$B$48,$F176,0)</x:f>
        <x:v>458816.02252065594</x:v>
      </x:c>
      <x:c r="AK176" s="141" t="n">
        <x:f>AH176+AJ176-AI176</x:f>
        <x:v>3260238.776510179</x:v>
      </x:c>
      <x:c r="AL176" s="141" t="n">
        <x:f>IF(AG176&gt;1,"Inviavel",AK176)</x:f>
        <x:v>3260238.776510179</x:v>
      </x:c>
      <x:c r="AM176" s="141" t="str">
        <x:f>IF(AG176&gt;1,"Inviavel","OK")</x:f>
        <x:v>OK</x:v>
      </x:c>
      <x:c r="AN176" s="141" t="n">
        <x:f>IF($A176=Premissas!$B$48,Premissas!$B$8,0)</x:f>
        <x:v>0</x:v>
      </x:c>
      <x:c r="AO176" s="141" t="n">
        <x:f>IF($A176&lt;=Premissas!$B$25,INDEX('Consorcio IQ'!$K$6:$K$485,$A176),0)</x:f>
        <x:v>1289.7685110501664</x:v>
      </x:c>
      <x:c r="AP176" s="141" t="n">
        <x:f>IF(AND(TRUE,Premissas!$B$11="Imovel",Premissas!$B$47="Moradia",$A176&lt;MAX(Premissas!$B$48,Premissas!$B$49)),$D176,0)</x:f>
        <x:v>0</x:v>
      </x:c>
      <x:c r="AQ176" s="141" t="n">
        <x:f>IF(AND(TRUE,Premissas!$B$11="Imovel",Premissas!$B$47="Investimento",$A176&gt;=MAX(Premissas!$B$48,Premissas!$B$49)),$E176,0)</x:f>
        <x:v>1446.9785316828327</x:v>
      </x:c>
      <x:c r="AR176" s="141" t="n">
        <x:f>AN176+AO176+AP176</x:f>
        <x:v>1289.7685110501664</x:v>
      </x:c>
      <x:c r="AS176" s="141" t="n">
        <x:f>AQ176</x:f>
        <x:v>1446.9785316828327</x:v>
      </x:c>
      <x:c r="AT176" s="141" t="n">
        <x:f>$C176+AS176-AR176</x:f>
        <x:v>7157.210020632667</x:v>
      </x:c>
      <x:c r="AU176" s="141" t="n">
        <x:f>AX175*(1+Premissas!$B$41)+AT176</x:f>
        <x:v>2846559.471190418</x:v>
      </x:c>
      <x:c r="AV176" s="141" t="n">
        <x:f>MAX(0,-AU176)</x:f>
        <x:v>0</x:v>
      </x:c>
      <x:c r="AW176" s="141" t="n">
        <x:f>AW175*(1+Premissas!$B$41)+AV176</x:f>
        <x:v>0</x:v>
      </x:c>
      <x:c r="AX176" s="141" t="n">
        <x:f>MAX(0,AU176)</x:f>
        <x:v>2846559.471190418</x:v>
      </x:c>
      <x:c r="AY176" s="141" t="n">
        <x:f>INDEX('Consorcio IQ'!$P$6:$P$485,$A176)</x:f>
        <x:v>74192.37988113871</x:v>
      </x:c>
      <x:c r="AZ176" s="141" t="n">
        <x:f>IF($A176&gt;=Premissas!$B$48,$F176,0)+IF($A176&lt;Premissas!$B$27,INDEX('Consorcio IQ'!$O$6:$O$485,$A176),0)</x:f>
        <x:v>458816.02252065594</x:v>
      </x:c>
      <x:c r="BA176" s="141" t="n">
        <x:f>AX176+AZ176-AY176</x:f>
        <x:v>3231183.113829935</x:v>
      </x:c>
      <x:c r="BB176" s="141" t="n">
        <x:f>IF(AW176&gt;1,"Inviavel",BA176)</x:f>
        <x:v>3231183.113829935</x:v>
      </x:c>
      <x:c r="BC176" s="141" t="str">
        <x:f>IF(AW176&gt;1,"Inviavel","OK")</x:f>
        <x:v>OK</x:v>
      </x:c>
      <x:c r="BD176" s="141" t="n">
        <x:f>IF($A176='Consorcio Direto'!$B$29,'Consorcio Direto'!$B$44,0)</x:f>
        <x:v>0</x:v>
      </x:c>
      <x:c r="BE176" s="141" t="n">
        <x:f>IF($A176&lt;='Consorcio Direto'!$B$27,INDEX('Consorcio Direto'!$E$55:$E$534,$A176),0)</x:f>
        <x:v>3339.856544580702</x:v>
      </x:c>
      <x:c r="BF176" s="141" t="n">
        <x:f>IF(AND(TRUE,Premissas!$B$11="Imovel",Premissas!$B$47="Moradia",$A176&lt;MAX('Consorcio Direto'!$B$29,Premissas!$B$49)),$D176,0)</x:f>
        <x:v>0</x:v>
      </x:c>
      <x:c r="BG176" s="141" t="n">
        <x:f>IF(AND(TRUE,Premissas!$B$11="Imovel",Premissas!$B$47="Investimento",$A176&gt;=MAX('Consorcio Direto'!$B$29,Premissas!$B$49)),$E176,0)</x:f>
        <x:v>1446.9785316828327</x:v>
      </x:c>
      <x:c r="BH176" s="141" t="n">
        <x:f>BD176+BE176+BF176</x:f>
        <x:v>3339.856544580702</x:v>
      </x:c>
      <x:c r="BI176" s="141" t="n">
        <x:f>BG176</x:f>
        <x:v>1446.9785316828327</x:v>
      </x:c>
      <x:c r="BJ176" s="141" t="n">
        <x:f>$C176+BI176-BH176</x:f>
        <x:v>5107.121987102131</x:v>
      </x:c>
      <x:c r="BK176" s="141" t="n">
        <x:f>BN175*(1+Premissas!$B$41)+BJ176</x:f>
        <x:v>2807460.201164419</x:v>
      </x:c>
      <x:c r="BL176" s="141" t="n">
        <x:f>MAX(0,-BK176)</x:f>
        <x:v>0</x:v>
      </x:c>
      <x:c r="BM176" s="141" t="n">
        <x:f>BM175*(1+Premissas!$B$41)+BL176</x:f>
        <x:v>0</x:v>
      </x:c>
      <x:c r="BN176" s="141" t="n">
        <x:f>MAX(0,BK176)</x:f>
        <x:v>2807460.201164419</x:v>
      </x:c>
      <x:c r="BO176" s="141" t="n">
        <x:f>INDEX('Consorcio Direto'!$K$55:$K$534,$A176)</x:f>
        <x:v>192121.22437558914</x:v>
      </x:c>
      <x:c r="BP176" s="141" t="n">
        <x:f>IF($A176&lt;'Consorcio Direto'!$B$29,INDEX('Consorcio Direto'!$L$55:$L$534,$A176),$F176)</x:f>
        <x:v>458816.02252065594</x:v>
      </x:c>
      <x:c r="BQ176" s="141" t="n">
        <x:f>BN176+BP176-BO176</x:f>
        <x:v>3074154.9993094853</x:v>
      </x:c>
      <x:c r="BR176" s="141" t="n">
        <x:f>IF(BM176&gt;1,"Inviavel",BQ176)</x:f>
        <x:v>3074154.9993094853</x:v>
      </x:c>
      <x:c r="BS176" s="141" t="str">
        <x:f>IF(BM176&gt;1,"Inviavel","OK")</x:f>
        <x:v>OK</x:v>
      </x:c>
      <x:c r="BT176" s="141" t="n">
        <x:f>IF(AND('Carta Contemplada'!$B$22="Sim",$A176='Carta Contemplada'!$B$23),'Carta Contemplada'!$B$37,0)</x:f>
        <x:v>0</x:v>
      </x:c>
      <x:c r="BU176" s="141" t="n">
        <x:f>IF('Carta Contemplada'!$B$22="Sim",INDEX('Carta Contemplada'!$C$55:$C$1013,$A176),0)</x:f>
        <x:v>2713.0847469053115</x:v>
      </x:c>
      <x:c r="BV176" s="141" t="n">
        <x:f>IF(AND('Carta Contemplada'!$B$22="Sim",Premissas!$B$11="Imovel",Premissas!$B$47="Moradia",$A176&lt;MAX('Carta Contemplada'!$B$44,Premissas!$B$49)),$D176,0)</x:f>
        <x:v>0</x:v>
      </x:c>
      <x:c r="BW176" s="141" t="n">
        <x:f>IF(AND('Carta Contemplada'!$B$22="Sim",Premissas!$B$11="Imovel",Premissas!$B$47="Investimento",$A176&gt;=MAX('Carta Contemplada'!$B$44,Premissas!$B$49)),$E176,0)</x:f>
        <x:v>1446.9785316828327</x:v>
      </x:c>
      <x:c r="BX176" s="141" t="n">
        <x:f>BT176+BU176+BV176</x:f>
        <x:v>2713.0847469053115</x:v>
      </x:c>
      <x:c r="BY176" s="141" t="n">
        <x:f>BW176</x:f>
        <x:v>1446.9785316828327</x:v>
      </x:c>
      <x:c r="BZ176" s="141" t="n">
        <x:f>$C176+BY176-BX176</x:f>
        <x:v>5733.893784777521</x:v>
      </x:c>
      <x:c r="CA176" s="141" t="n">
        <x:f>CD175*(1+Premissas!$B$41)+BZ176</x:f>
        <x:v>2895502.137920897</x:v>
      </x:c>
      <x:c r="CB176" s="141" t="n">
        <x:f>MAX(0,-CA176)</x:f>
        <x:v>0</x:v>
      </x:c>
      <x:c r="CC176" s="141" t="n">
        <x:f>CC175*(1+Premissas!$B$41)+CB176</x:f>
        <x:v>0</x:v>
      </x:c>
      <x:c r="CD176" s="141" t="n">
        <x:f>MAX(0,CA176)</x:f>
        <x:v>2895502.137920897</x:v>
      </x:c>
      <x:c r="CE176" s="141" t="n">
        <x:f>IF(AND('Carta Contemplada'!$B$22="Sim",$A176&gt;='Carta Contemplada'!$B$23),INDEX('Carta Contemplada'!$I$55:$I$1013,$A176),0)</x:f>
        <x:v>20806.463179470575</x:v>
      </x:c>
      <x:c r="CF176" s="141" t="n">
        <x:f>IF(AND('Carta Contemplada'!$B$22="Sim",$A176&gt;='Carta Contemplada'!$B$44),$F176,0)</x:f>
        <x:v>458816.02252065594</x:v>
      </x:c>
      <x:c r="CG176" s="141" t="n">
        <x:f>CD176+CF176-CE176</x:f>
        <x:v>3333511.6972620822</x:v>
      </x:c>
      <x:c r="CH176" s="141" t="n">
        <x:f>IF(CC176&gt;1,"Inviavel",CG176)</x:f>
        <x:v>3333511.6972620822</x:v>
      </x:c>
      <x:c r="CI176" s="145" t="str">
        <x:f>IF(CC176&gt;1,"Inviavel","OK")</x:f>
        <x:v>OK</x:v>
      </x:c>
    </x:row>
    <x:row r="177">
      <x:c r="A177" s="142" t="n">
        <x:v>173</x:v>
      </x:c>
      <x:c r="B177" s="179" t="n">
        <x:f>EDATE(Premissas!$B$4,A177-1)</x:f>
        <x:v>51775</x:v>
      </x:c>
      <x:c r="C177" s="141" t="n">
        <x:f>IF(A177&lt;=Premissas!$B$39,Premissas!$B$42,0)</x:f>
        <x:v>7000</x:v>
      </x:c>
      <x:c r="D177" s="141" t="n">
        <x:f>Premissas!$B$54*(1+Premissas!$B$57)^INT((A177-1)/12)</x:f>
        <x:v>1582.6327690280982</x:v>
      </x:c>
      <x:c r="E177" s="141" t="n">
        <x:f>Premissas!$B$64*(1+Premissas!$B$57)^INT((A177-1)/12)</x:f>
        <x:v>1446.9785316828327</x:v>
      </x:c>
      <x:c r="F177" s="141" t="n">
        <x:f>MAX(0,Premissas!$B$6*(1+Premissas!$B$66)^((A177-1)/12))</x:f>
        <x:v>461049.33271046483</x:v>
      </x:c>
      <x:c r="G177" s="141" t="n">
        <x:f>G176*(1+Premissas!$B$41)+C177</x:f>
        <x:v>3498670.251857996</x:v>
      </x:c>
      <x:c r="H177" s="141" t="n">
        <x:f>IF($A177=Premissas!$B$48,Premissas!$B$8,0)</x:f>
        <x:v>0</x:v>
      </x:c>
      <x:c r="I177" s="141" t="n">
        <x:f>IF(AND($A177&gt;=Premissas!$B$48,$A177-Premissas!$B$48+1&lt;=Premissas!$B$13),INDEX(Financiamento!$J$6:$J$485,$A177-Premissas!$B$48+1),0)</x:f>
        <x:v>1427.4173896291813</x:v>
      </x:c>
      <x:c r="J177" s="141" t="n">
        <x:f>IF(AND(TRUE,Premissas!$B$11="Imovel",Premissas!$B$47="Moradia",$A177&lt;MAX(Premissas!$B$48,Premissas!$B$49)),$D177,0)</x:f>
        <x:v>0</x:v>
      </x:c>
      <x:c r="K177" s="141" t="n">
        <x:f>IF(AND(TRUE,Premissas!$B$11="Imovel",Premissas!$B$47="Investimento",$A177&gt;=MAX(Premissas!$B$48,Premissas!$B$49)),$E177,0)</x:f>
        <x:v>1446.9785316828327</x:v>
      </x:c>
      <x:c r="L177" s="141" t="n">
        <x:f>H177+I177+J177</x:f>
        <x:v>1427.4173896291813</x:v>
      </x:c>
      <x:c r="M177" s="141" t="n">
        <x:f>K177</x:f>
        <x:v>1446.9785316828327</x:v>
      </x:c>
      <x:c r="N177" s="141" t="n">
        <x:f>$C177+M177-L177</x:f>
        <x:v>7019.561142053652</x:v>
      </x:c>
      <x:c r="O177" s="141" t="n">
        <x:f>R176*(1+Premissas!$B$41)+N177</x:f>
        <x:v>2883592.8101216042</x:v>
      </x:c>
      <x:c r="P177" s="141" t="n">
        <x:f>MAX(0,-O177)</x:f>
        <x:v>0</x:v>
      </x:c>
      <x:c r="Q177" s="141" t="n">
        <x:f>Q176*(1+Premissas!$B$41)+P177</x:f>
        <x:v>0</x:v>
      </x:c>
      <x:c r="R177" s="141" t="n">
        <x:f>MAX(0,O177)</x:f>
        <x:v>2883592.8101216042</x:v>
      </x:c>
      <x:c r="S177" s="141" t="n">
        <x:f>IF(AND($A177&gt;=Premissas!$B$48,$A177-Premissas!$B$48+1&lt;=Premissas!$B$13),INDEX(Financiamento!$M$6:$M$485,$A177-Premissas!$B$48+1),0)</x:f>
        <x:v>94095.23809523825</x:v>
      </x:c>
      <x:c r="T177" s="141" t="n">
        <x:f>IF($A177&gt;=Premissas!$B$48,$F177,0)</x:f>
        <x:v>461049.33271046483</x:v>
      </x:c>
      <x:c r="U177" s="141" t="n">
        <x:f>R177+T177-S177</x:f>
        <x:v>3250546.904736831</x:v>
      </x:c>
      <x:c r="V177" s="141" t="n">
        <x:f>IF(Q177&gt;1,"Inviavel",U177)</x:f>
        <x:v>3250546.904736831</x:v>
      </x:c>
      <x:c r="W177" s="141" t="str">
        <x:f>IF(Q177&gt;1,"Inviavel","OK")</x:f>
        <x:v>OK</x:v>
      </x:c>
      <x:c r="X177" s="141" t="n">
        <x:f>IF($A177=Premissas!$B$48,Premissas!$B$8,0)</x:f>
        <x:v>0</x:v>
      </x:c>
      <x:c r="Y177" s="141" t="n">
        <x:f>IF(AND($A177&gt;=Premissas!$B$48,$A177-Premissas!$B$48+1&lt;=Premissas!$B$13),INDEX(Amortizacao!$K$6:$K$485,$A177-Premissas!$B$48+1),0)</x:f>
        <x:v>0</x:v>
      </x:c>
      <x:c r="Z177" s="141" t="n">
        <x:f>IF(AND(TRUE,Premissas!$B$11="Imovel",Premissas!$B$47="Moradia",$A177&lt;MAX(Premissas!$B$48,Premissas!$B$49)),$D177,0)</x:f>
        <x:v>0</x:v>
      </x:c>
      <x:c r="AA177" s="141" t="n">
        <x:f>IF(AND(TRUE,Premissas!$B$11="Imovel",Premissas!$B$47="Investimento",$A177&gt;=MAX(Premissas!$B$48,Premissas!$B$49)),$E177,0)</x:f>
        <x:v>1446.9785316828327</x:v>
      </x:c>
      <x:c r="AB177" s="141" t="n">
        <x:f>X177+Y177+Z177</x:f>
        <x:v>0</x:v>
      </x:c>
      <x:c r="AC177" s="141" t="n">
        <x:f>AA177</x:f>
        <x:v>1446.9785316828327</x:v>
      </x:c>
      <x:c r="AD177" s="141" t="n">
        <x:f>$C177+AC177-AB177</x:f>
        <x:v>8446.978531682833</x:v>
      </x:c>
      <x:c r="AE177" s="141" t="n">
        <x:f>AH176*(1+Premissas!$B$41)+AD177</x:f>
        <x:v>2836451.852956042</x:v>
      </x:c>
      <x:c r="AF177" s="141" t="n">
        <x:f>MAX(0,-AE177)</x:f>
        <x:v>0</x:v>
      </x:c>
      <x:c r="AG177" s="141" t="n">
        <x:f>AG176*(1+Premissas!$B$41)+AF177</x:f>
        <x:v>0</x:v>
      </x:c>
      <x:c r="AH177" s="141" t="n">
        <x:f>MAX(0,AE177)</x:f>
        <x:v>2836451.852956042</x:v>
      </x:c>
      <x:c r="AI177" s="141" t="n">
        <x:f>IF(AND($A177&gt;=Premissas!$B$48,$A177-Premissas!$B$48+1&lt;=Premissas!$B$13),INDEX(Amortizacao!$L$6:$L$485,$A177-Premissas!$B$48+1),0)</x:f>
        <x:v>0</x:v>
      </x:c>
      <x:c r="AJ177" s="141" t="n">
        <x:f>IF($A177&gt;=Premissas!$B$48,$F177,0)</x:f>
        <x:v>461049.33271046483</x:v>
      </x:c>
      <x:c r="AK177" s="141" t="n">
        <x:f>AH177+AJ177-AI177</x:f>
        <x:v>3297501.185666507</x:v>
      </x:c>
      <x:c r="AL177" s="141" t="n">
        <x:f>IF(AG177&gt;1,"Inviavel",AK177)</x:f>
        <x:v>3297501.185666507</x:v>
      </x:c>
      <x:c r="AM177" s="141" t="str">
        <x:f>IF(AG177&gt;1,"Inviavel","OK")</x:f>
        <x:v>OK</x:v>
      </x:c>
      <x:c r="AN177" s="141" t="n">
        <x:f>IF($A177=Premissas!$B$48,Premissas!$B$8,0)</x:f>
        <x:v>0</x:v>
      </x:c>
      <x:c r="AO177" s="141" t="n">
        <x:f>IF($A177&lt;=Premissas!$B$25,INDEX('Consorcio IQ'!$K$6:$K$485,$A177),0)</x:f>
        <x:v>1289.7685110501664</x:v>
      </x:c>
      <x:c r="AP177" s="141" t="n">
        <x:f>IF(AND(TRUE,Premissas!$B$11="Imovel",Premissas!$B$47="Moradia",$A177&lt;MAX(Premissas!$B$48,Premissas!$B$49)),$D177,0)</x:f>
        <x:v>0</x:v>
      </x:c>
      <x:c r="AQ177" s="141" t="n">
        <x:f>IF(AND(TRUE,Premissas!$B$11="Imovel",Premissas!$B$47="Investimento",$A177&gt;=MAX(Premissas!$B$48,Premissas!$B$49)),$E177,0)</x:f>
        <x:v>1446.9785316828327</x:v>
      </x:c>
      <x:c r="AR177" s="141" t="n">
        <x:f>AN177+AO177+AP177</x:f>
        <x:v>1289.7685110501664</x:v>
      </x:c>
      <x:c r="AS177" s="141" t="n">
        <x:f>AQ177</x:f>
        <x:v>1446.9785316828327</x:v>
      </x:c>
      <x:c r="AT177" s="141" t="n">
        <x:f>$C177+AS177-AR177</x:f>
        <x:v>7157.210020632667</x:v>
      </x:c>
      <x:c r="AU177" s="141" t="n">
        <x:f>AX176*(1+Premissas!$B$41)+AT177</x:f>
        <x:v>2880727.0946091525</x:v>
      </x:c>
      <x:c r="AV177" s="141" t="n">
        <x:f>MAX(0,-AU177)</x:f>
        <x:v>0</x:v>
      </x:c>
      <x:c r="AW177" s="141" t="n">
        <x:f>AW176*(1+Premissas!$B$41)+AV177</x:f>
        <x:v>0</x:v>
      </x:c>
      <x:c r="AX177" s="141" t="n">
        <x:f>MAX(0,AU177)</x:f>
        <x:v>2880727.0946091525</x:v>
      </x:c>
      <x:c r="AY177" s="141" t="n">
        <x:f>INDEX('Consorcio IQ'!$P$6:$P$485,$A177)</x:f>
        <x:v>73606.6075001046</x:v>
      </x:c>
      <x:c r="AZ177" s="141" t="n">
        <x:f>IF($A177&gt;=Premissas!$B$48,$F177,0)+IF($A177&lt;Premissas!$B$27,INDEX('Consorcio IQ'!$O$6:$O$485,$A177),0)</x:f>
        <x:v>461049.33271046483</x:v>
      </x:c>
      <x:c r="BA177" s="141" t="n">
        <x:f>AX177+AZ177-AY177</x:f>
        <x:v>3268169.819819513</x:v>
      </x:c>
      <x:c r="BB177" s="141" t="n">
        <x:f>IF(AW177&gt;1,"Inviavel",BA177)</x:f>
        <x:v>3268169.819819513</x:v>
      </x:c>
      <x:c r="BC177" s="141" t="str">
        <x:f>IF(AW177&gt;1,"Inviavel","OK")</x:f>
        <x:v>OK</x:v>
      </x:c>
      <x:c r="BD177" s="141" t="n">
        <x:f>IF($A177='Consorcio Direto'!$B$29,'Consorcio Direto'!$B$44,0)</x:f>
        <x:v>0</x:v>
      </x:c>
      <x:c r="BE177" s="141" t="n">
        <x:f>IF($A177&lt;='Consorcio Direto'!$B$27,INDEX('Consorcio Direto'!$E$55:$E$534,$A177),0)</x:f>
        <x:v>3339.856544580702</x:v>
      </x:c>
      <x:c r="BF177" s="141" t="n">
        <x:f>IF(AND(TRUE,Premissas!$B$11="Imovel",Premissas!$B$47="Moradia",$A177&lt;MAX('Consorcio Direto'!$B$29,Premissas!$B$49)),$D177,0)</x:f>
        <x:v>0</x:v>
      </x:c>
      <x:c r="BG177" s="141" t="n">
        <x:f>IF(AND(TRUE,Premissas!$B$11="Imovel",Premissas!$B$47="Investimento",$A177&gt;=MAX('Consorcio Direto'!$B$29,Premissas!$B$49)),$E177,0)</x:f>
        <x:v>1446.9785316828327</x:v>
      </x:c>
      <x:c r="BH177" s="141" t="n">
        <x:f>BD177+BE177+BF177</x:f>
        <x:v>3339.856544580702</x:v>
      </x:c>
      <x:c r="BI177" s="141" t="n">
        <x:f>BG177</x:f>
        <x:v>1446.9785316828327</x:v>
      </x:c>
      <x:c r="BJ177" s="141" t="n">
        <x:f>$C177+BI177-BH177</x:f>
        <x:v>5107.121987102131</x:v>
      </x:c>
      <x:c r="BK177" s="141" t="n">
        <x:f>BN176*(1+Premissas!$B$41)+BJ177</x:f>
        <x:v>2839206.7316724528</x:v>
      </x:c>
      <x:c r="BL177" s="141" t="n">
        <x:f>MAX(0,-BK177)</x:f>
        <x:v>0</x:v>
      </x:c>
      <x:c r="BM177" s="141" t="n">
        <x:f>BM176*(1+Premissas!$B$41)+BL177</x:f>
        <x:v>0</x:v>
      </x:c>
      <x:c r="BN177" s="141" t="n">
        <x:f>MAX(0,BK177)</x:f>
        <x:v>2839206.7316724528</x:v>
      </x:c>
      <x:c r="BO177" s="141" t="n">
        <x:f>INDEX('Consorcio Direto'!$K$55:$K$534,$A177)</x:f>
        <x:v>190604.36634744698</x:v>
      </x:c>
      <x:c r="BP177" s="141" t="n">
        <x:f>IF($A177&lt;'Consorcio Direto'!$B$29,INDEX('Consorcio Direto'!$L$55:$L$534,$A177),$F177)</x:f>
        <x:v>461049.33271046483</x:v>
      </x:c>
      <x:c r="BQ177" s="141" t="n">
        <x:f>BN177+BP177-BO177</x:f>
        <x:v>3109651.6980354707</x:v>
      </x:c>
      <x:c r="BR177" s="141" t="n">
        <x:f>IF(BM177&gt;1,"Inviavel",BQ177)</x:f>
        <x:v>3109651.6980354707</x:v>
      </x:c>
      <x:c r="BS177" s="141" t="str">
        <x:f>IF(BM177&gt;1,"Inviavel","OK")</x:f>
        <x:v>OK</x:v>
      </x:c>
      <x:c r="BT177" s="141" t="n">
        <x:f>IF(AND('Carta Contemplada'!$B$22="Sim",$A177='Carta Contemplada'!$B$23),'Carta Contemplada'!$B$37,0)</x:f>
        <x:v>0</x:v>
      </x:c>
      <x:c r="BU177" s="141" t="n">
        <x:f>IF('Carta Contemplada'!$B$22="Sim",INDEX('Carta Contemplada'!$C$55:$C$1013,$A177),0)</x:f>
        <x:v>2713.0847469053115</x:v>
      </x:c>
      <x:c r="BV177" s="141" t="n">
        <x:f>IF(AND('Carta Contemplada'!$B$22="Sim",Premissas!$B$11="Imovel",Premissas!$B$47="Moradia",$A177&lt;MAX('Carta Contemplada'!$B$44,Premissas!$B$49)),$D177,0)</x:f>
        <x:v>0</x:v>
      </x:c>
      <x:c r="BW177" s="141" t="n">
        <x:f>IF(AND('Carta Contemplada'!$B$22="Sim",Premissas!$B$11="Imovel",Premissas!$B$47="Investimento",$A177&gt;=MAX('Carta Contemplada'!$B$44,Premissas!$B$49)),$E177,0)</x:f>
        <x:v>1446.9785316828327</x:v>
      </x:c>
      <x:c r="BX177" s="141" t="n">
        <x:f>BT177+BU177+BV177</x:f>
        <x:v>2713.0847469053115</x:v>
      </x:c>
      <x:c r="BY177" s="141" t="n">
        <x:f>BW177</x:f>
        <x:v>1446.9785316828327</x:v>
      </x:c>
      <x:c r="BZ177" s="141" t="n">
        <x:f>$C177+BY177-BX177</x:f>
        <x:v>5733.893784777521</x:v>
      </x:c>
      <x:c r="CA177" s="141" t="n">
        <x:f>CD176*(1+Premissas!$B$41)+BZ177</x:f>
        <x:v>2928710.851934049</x:v>
      </x:c>
      <x:c r="CB177" s="141" t="n">
        <x:f>MAX(0,-CA177)</x:f>
        <x:v>0</x:v>
      </x:c>
      <x:c r="CC177" s="141" t="n">
        <x:f>CC176*(1+Premissas!$B$41)+CB177</x:f>
        <x:v>0</x:v>
      </x:c>
      <x:c r="CD177" s="141" t="n">
        <x:f>MAX(0,CA177)</x:f>
        <x:v>2928710.851934049</x:v>
      </x:c>
      <x:c r="CE177" s="141" t="n">
        <x:f>IF(AND('Carta Contemplada'!$B$22="Sim",$A177&gt;='Carta Contemplada'!$B$23),INDEX('Carta Contemplada'!$I$55:$I$1013,$A177),0)</x:f>
        <x:v>18290.806653376287</x:v>
      </x:c>
      <x:c r="CF177" s="141" t="n">
        <x:f>IF(AND('Carta Contemplada'!$B$22="Sim",$A177&gt;='Carta Contemplada'!$B$44),$F177,0)</x:f>
        <x:v>461049.33271046483</x:v>
      </x:c>
      <x:c r="CG177" s="141" t="n">
        <x:f>CD177+CF177-CE177</x:f>
        <x:v>3371469.3779911376</x:v>
      </x:c>
      <x:c r="CH177" s="141" t="n">
        <x:f>IF(CC177&gt;1,"Inviavel",CG177)</x:f>
        <x:v>3371469.3779911376</x:v>
      </x:c>
      <x:c r="CI177" s="145" t="str">
        <x:f>IF(CC177&gt;1,"Inviavel","OK")</x:f>
        <x:v>OK</x:v>
      </x:c>
    </x:row>
    <x:row r="178">
      <x:c r="A178" s="142" t="n">
        <x:v>174</x:v>
      </x:c>
      <x:c r="B178" s="179" t="n">
        <x:f>EDATE(Premissas!$B$4,A178-1)</x:f>
        <x:v>51806</x:v>
      </x:c>
      <x:c r="C178" s="141" t="n">
        <x:f>IF(A178&lt;=Premissas!$B$39,Premissas!$B$42,0)</x:f>
        <x:v>7000</x:v>
      </x:c>
      <x:c r="D178" s="141" t="n">
        <x:f>Premissas!$B$54*(1+Premissas!$B$57)^INT((A178-1)/12)</x:f>
        <x:v>1582.6327690280982</x:v>
      </x:c>
      <x:c r="E178" s="141" t="n">
        <x:f>Premissas!$B$64*(1+Premissas!$B$57)^INT((A178-1)/12)</x:f>
        <x:v>1446.9785316828327</x:v>
      </x:c>
      <x:c r="F178" s="141" t="n">
        <x:f>MAX(0,Premissas!$B$6*(1+Premissas!$B$66)^((A178-1)/12))</x:f>
        <x:v>463293.5136505506</x:v>
      </x:c>
      <x:c r="G178" s="141" t="n">
        <x:f>G177*(1+Premissas!$B$41)+C178</x:f>
        <x:v>3538868.409424262</x:v>
      </x:c>
      <x:c r="H178" s="141" t="n">
        <x:f>IF($A178=Premissas!$B$48,Premissas!$B$8,0)</x:f>
        <x:v>0</x:v>
      </x:c>
      <x:c r="I178" s="141" t="n">
        <x:f>IF(AND($A178&gt;=Premissas!$B$48,$A178-Premissas!$B$48+1&lt;=Premissas!$B$13),INDEX(Financiamento!$J$6:$J$485,$A178-Premissas!$B$48+1),0)</x:f>
        <x:v>1423.8026113683877</x:v>
      </x:c>
      <x:c r="J178" s="141" t="n">
        <x:f>IF(AND(TRUE,Premissas!$B$11="Imovel",Premissas!$B$47="Moradia",$A178&lt;MAX(Premissas!$B$48,Premissas!$B$49)),$D178,0)</x:f>
        <x:v>0</x:v>
      </x:c>
      <x:c r="K178" s="141" t="n">
        <x:f>IF(AND(TRUE,Premissas!$B$11="Imovel",Premissas!$B$47="Investimento",$A178&gt;=MAX(Premissas!$B$48,Premissas!$B$49)),$E178,0)</x:f>
        <x:v>1446.9785316828327</x:v>
      </x:c>
      <x:c r="L178" s="141" t="n">
        <x:f>H178+I178+J178</x:f>
        <x:v>1423.8026113683877</x:v>
      </x:c>
      <x:c r="M178" s="141" t="n">
        <x:f>K178</x:f>
        <x:v>1446.9785316828327</x:v>
      </x:c>
      <x:c r="N178" s="141" t="n">
        <x:f>$C178+M178-L178</x:f>
        <x:v>7023.175920314445</x:v>
      </x:c>
      <x:c r="O178" s="141" t="n">
        <x:f>R177*(1+Premissas!$B$41)+N178</x:f>
        <x:v>2917977.8011248154</x:v>
      </x:c>
      <x:c r="P178" s="141" t="n">
        <x:f>MAX(0,-O178)</x:f>
        <x:v>0</x:v>
      </x:c>
      <x:c r="Q178" s="141" t="n">
        <x:f>Q177*(1+Premissas!$B$41)+P178</x:f>
        <x:v>0</x:v>
      </x:c>
      <x:c r="R178" s="141" t="n">
        <x:f>MAX(0,O178)</x:f>
        <x:v>2917977.8011248154</x:v>
      </x:c>
      <x:c r="S178" s="141" t="n">
        <x:f>IF(AND($A178&gt;=Premissas!$B$48,$A178-Premissas!$B$48+1&lt;=Premissas!$B$13),INDEX(Financiamento!$M$6:$M$485,$A178-Premissas!$B$48+1),0)</x:f>
        <x:v>93714.28571428587</x:v>
      </x:c>
      <x:c r="T178" s="141" t="n">
        <x:f>IF($A178&gt;=Premissas!$B$48,$F178,0)</x:f>
        <x:v>463293.5136505506</x:v>
      </x:c>
      <x:c r="U178" s="141" t="n">
        <x:f>R178+T178-S178</x:f>
        <x:v>3287557.02906108</x:v>
      </x:c>
      <x:c r="V178" s="141" t="n">
        <x:f>IF(Q178&gt;1,"Inviavel",U178)</x:f>
        <x:v>3287557.02906108</x:v>
      </x:c>
      <x:c r="W178" s="141" t="str">
        <x:f>IF(Q178&gt;1,"Inviavel","OK")</x:f>
        <x:v>OK</x:v>
      </x:c>
      <x:c r="X178" s="141" t="n">
        <x:f>IF($A178=Premissas!$B$48,Premissas!$B$8,0)</x:f>
        <x:v>0</x:v>
      </x:c>
      <x:c r="Y178" s="141" t="n">
        <x:f>IF(AND($A178&gt;=Premissas!$B$48,$A178-Premissas!$B$48+1&lt;=Premissas!$B$13),INDEX(Amortizacao!$K$6:$K$485,$A178-Premissas!$B$48+1),0)</x:f>
        <x:v>0</x:v>
      </x:c>
      <x:c r="Z178" s="141" t="n">
        <x:f>IF(AND(TRUE,Premissas!$B$11="Imovel",Premissas!$B$47="Moradia",$A178&lt;MAX(Premissas!$B$48,Premissas!$B$49)),$D178,0)</x:f>
        <x:v>0</x:v>
      </x:c>
      <x:c r="AA178" s="141" t="n">
        <x:f>IF(AND(TRUE,Premissas!$B$11="Imovel",Premissas!$B$47="Investimento",$A178&gt;=MAX(Premissas!$B$48,Premissas!$B$49)),$E178,0)</x:f>
        <x:v>1446.9785316828327</x:v>
      </x:c>
      <x:c r="AB178" s="141" t="n">
        <x:f>X178+Y178+Z178</x:f>
        <x:v>0</x:v>
      </x:c>
      <x:c r="AC178" s="141" t="n">
        <x:f>AA178</x:f>
        <x:v>1446.9785316828327</x:v>
      </x:c>
      <x:c r="AD178" s="141" t="n">
        <x:f>$C178+AC178-AB178</x:f>
        <x:v>8446.978531682833</x:v>
      </x:c>
      <x:c r="AE178" s="141" t="n">
        <x:f>AH177*(1+Premissas!$B$41)+AD178</x:f>
        <x:v>2871813.335789339</x:v>
      </x:c>
      <x:c r="AF178" s="141" t="n">
        <x:f>MAX(0,-AE178)</x:f>
        <x:v>0</x:v>
      </x:c>
      <x:c r="AG178" s="141" t="n">
        <x:f>AG177*(1+Premissas!$B$41)+AF178</x:f>
        <x:v>0</x:v>
      </x:c>
      <x:c r="AH178" s="141" t="n">
        <x:f>MAX(0,AE178)</x:f>
        <x:v>2871813.335789339</x:v>
      </x:c>
      <x:c r="AI178" s="141" t="n">
        <x:f>IF(AND($A178&gt;=Premissas!$B$48,$A178-Premissas!$B$48+1&lt;=Premissas!$B$13),INDEX(Amortizacao!$L$6:$L$485,$A178-Premissas!$B$48+1),0)</x:f>
        <x:v>0</x:v>
      </x:c>
      <x:c r="AJ178" s="141" t="n">
        <x:f>IF($A178&gt;=Premissas!$B$48,$F178,0)</x:f>
        <x:v>463293.5136505506</x:v>
      </x:c>
      <x:c r="AK178" s="141" t="n">
        <x:f>AH178+AJ178-AI178</x:f>
        <x:v>3335106.8494398897</x:v>
      </x:c>
      <x:c r="AL178" s="141" t="n">
        <x:f>IF(AG178&gt;1,"Inviavel",AK178)</x:f>
        <x:v>3335106.8494398897</x:v>
      </x:c>
      <x:c r="AM178" s="141" t="str">
        <x:f>IF(AG178&gt;1,"Inviavel","OK")</x:f>
        <x:v>OK</x:v>
      </x:c>
      <x:c r="AN178" s="141" t="n">
        <x:f>IF($A178=Premissas!$B$48,Premissas!$B$8,0)</x:f>
        <x:v>0</x:v>
      </x:c>
      <x:c r="AO178" s="141" t="n">
        <x:f>IF($A178&lt;=Premissas!$B$25,INDEX('Consorcio IQ'!$K$6:$K$485,$A178),0)</x:f>
        <x:v>1289.7685110501664</x:v>
      </x:c>
      <x:c r="AP178" s="141" t="n">
        <x:f>IF(AND(TRUE,Premissas!$B$11="Imovel",Premissas!$B$47="Moradia",$A178&lt;MAX(Premissas!$B$48,Premissas!$B$49)),$D178,0)</x:f>
        <x:v>0</x:v>
      </x:c>
      <x:c r="AQ178" s="141" t="n">
        <x:f>IF(AND(TRUE,Premissas!$B$11="Imovel",Premissas!$B$47="Investimento",$A178&gt;=MAX(Premissas!$B$48,Premissas!$B$49)),$E178,0)</x:f>
        <x:v>1446.9785316828327</x:v>
      </x:c>
      <x:c r="AR178" s="141" t="n">
        <x:f>AN178+AO178+AP178</x:f>
        <x:v>1289.7685110501664</x:v>
      </x:c>
      <x:c r="AS178" s="141" t="n">
        <x:f>AQ178</x:f>
        <x:v>1446.9785316828327</x:v>
      </x:c>
      <x:c r="AT178" s="141" t="n">
        <x:f>$C178+AS178-AR178</x:f>
        <x:v>7157.210020632667</x:v>
      </x:c>
      <x:c r="AU178" s="141" t="n">
        <x:f>AX177*(1+Premissas!$B$41)+AT178</x:f>
        <x:v>2915218.9275315744</x:v>
      </x:c>
      <x:c r="AV178" s="141" t="n">
        <x:f>MAX(0,-AU178)</x:f>
        <x:v>0</x:v>
      </x:c>
      <x:c r="AW178" s="141" t="n">
        <x:f>AW177*(1+Premissas!$B$41)+AV178</x:f>
        <x:v>0</x:v>
      </x:c>
      <x:c r="AX178" s="141" t="n">
        <x:f>MAX(0,AU178)</x:f>
        <x:v>2915218.9275315744</x:v>
      </x:c>
      <x:c r="AY178" s="141" t="n">
        <x:f>INDEX('Consorcio IQ'!$P$6:$P$485,$A178)</x:f>
        <x:v>73015.27684624006</x:v>
      </x:c>
      <x:c r="AZ178" s="141" t="n">
        <x:f>IF($A178&gt;=Premissas!$B$48,$F178,0)+IF($A178&lt;Premissas!$B$27,INDEX('Consorcio IQ'!$O$6:$O$485,$A178),0)</x:f>
        <x:v>463293.5136505506</x:v>
      </x:c>
      <x:c r="BA178" s="141" t="n">
        <x:f>AX178+AZ178-AY178</x:f>
        <x:v>3305497.1643358846</x:v>
      </x:c>
      <x:c r="BB178" s="141" t="n">
        <x:f>IF(AW178&gt;1,"Inviavel",BA178)</x:f>
        <x:v>3305497.1643358846</x:v>
      </x:c>
      <x:c r="BC178" s="141" t="str">
        <x:f>IF(AW178&gt;1,"Inviavel","OK")</x:f>
        <x:v>OK</x:v>
      </x:c>
      <x:c r="BD178" s="141" t="n">
        <x:f>IF($A178='Consorcio Direto'!$B$29,'Consorcio Direto'!$B$44,0)</x:f>
        <x:v>0</x:v>
      </x:c>
      <x:c r="BE178" s="141" t="n">
        <x:f>IF($A178&lt;='Consorcio Direto'!$B$27,INDEX('Consorcio Direto'!$E$55:$E$534,$A178),0)</x:f>
        <x:v>3339.856544580702</x:v>
      </x:c>
      <x:c r="BF178" s="141" t="n">
        <x:f>IF(AND(TRUE,Premissas!$B$11="Imovel",Premissas!$B$47="Moradia",$A178&lt;MAX('Consorcio Direto'!$B$29,Premissas!$B$49)),$D178,0)</x:f>
        <x:v>0</x:v>
      </x:c>
      <x:c r="BG178" s="141" t="n">
        <x:f>IF(AND(TRUE,Premissas!$B$11="Imovel",Premissas!$B$47="Investimento",$A178&gt;=MAX('Consorcio Direto'!$B$29,Premissas!$B$49)),$E178,0)</x:f>
        <x:v>1446.9785316828327</x:v>
      </x:c>
      <x:c r="BH178" s="141" t="n">
        <x:f>BD178+BE178+BF178</x:f>
        <x:v>3339.856544580702</x:v>
      </x:c>
      <x:c r="BI178" s="141" t="n">
        <x:f>BG178</x:f>
        <x:v>1446.9785316828327</x:v>
      </x:c>
      <x:c r="BJ178" s="141" t="n">
        <x:f>$C178+BI178-BH178</x:f>
        <x:v>5107.121987102131</x:v>
      </x:c>
      <x:c r="BK178" s="141" t="n">
        <x:f>BN177*(1+Premissas!$B$41)+BJ178</x:f>
        <x:v>2871254.498434869</x:v>
      </x:c>
      <x:c r="BL178" s="141" t="n">
        <x:f>MAX(0,-BK178)</x:f>
        <x:v>0</x:v>
      </x:c>
      <x:c r="BM178" s="141" t="n">
        <x:f>BM177*(1+Premissas!$B$41)+BL178</x:f>
        <x:v>0</x:v>
      </x:c>
      <x:c r="BN178" s="141" t="n">
        <x:f>MAX(0,BK178)</x:f>
        <x:v>2871254.498434869</x:v>
      </x:c>
      <x:c r="BO178" s="141" t="n">
        <x:f>INDEX('Consorcio Direto'!$K$55:$K$534,$A178)</x:f>
        <x:v>189073.11516756463</x:v>
      </x:c>
      <x:c r="BP178" s="141" t="n">
        <x:f>IF($A178&lt;'Consorcio Direto'!$B$29,INDEX('Consorcio Direto'!$L$55:$L$534,$A178),$F178)</x:f>
        <x:v>463293.5136505506</x:v>
      </x:c>
      <x:c r="BQ178" s="141" t="n">
        <x:f>BN178+BP178-BO178</x:f>
        <x:v>3145474.896917855</x:v>
      </x:c>
      <x:c r="BR178" s="141" t="n">
        <x:f>IF(BM178&gt;1,"Inviavel",BQ178)</x:f>
        <x:v>3145474.896917855</x:v>
      </x:c>
      <x:c r="BS178" s="141" t="str">
        <x:f>IF(BM178&gt;1,"Inviavel","OK")</x:f>
        <x:v>OK</x:v>
      </x:c>
      <x:c r="BT178" s="141" t="n">
        <x:f>IF(AND('Carta Contemplada'!$B$22="Sim",$A178='Carta Contemplada'!$B$23),'Carta Contemplada'!$B$37,0)</x:f>
        <x:v>0</x:v>
      </x:c>
      <x:c r="BU178" s="141" t="n">
        <x:f>IF('Carta Contemplada'!$B$22="Sim",INDEX('Carta Contemplada'!$C$55:$C$1013,$A178),0)</x:f>
        <x:v>2713.0847469053115</x:v>
      </x:c>
      <x:c r="BV178" s="141" t="n">
        <x:f>IF(AND('Carta Contemplada'!$B$22="Sim",Premissas!$B$11="Imovel",Premissas!$B$47="Moradia",$A178&lt;MAX('Carta Contemplada'!$B$44,Premissas!$B$49)),$D178,0)</x:f>
        <x:v>0</x:v>
      </x:c>
      <x:c r="BW178" s="141" t="n">
        <x:f>IF(AND('Carta Contemplada'!$B$22="Sim",Premissas!$B$11="Imovel",Premissas!$B$47="Investimento",$A178&gt;=MAX('Carta Contemplada'!$B$44,Premissas!$B$49)),$E178,0)</x:f>
        <x:v>1446.9785316828327</x:v>
      </x:c>
      <x:c r="BX178" s="141" t="n">
        <x:f>BT178+BU178+BV178</x:f>
        <x:v>2713.0847469053115</x:v>
      </x:c>
      <x:c r="BY178" s="141" t="n">
        <x:f>BW178</x:f>
        <x:v>1446.9785316828327</x:v>
      </x:c>
      <x:c r="BZ178" s="141" t="n">
        <x:f>$C178+BY178-BX178</x:f>
        <x:v>5733.893784777521</x:v>
      </x:c>
      <x:c r="CA178" s="141" t="n">
        <x:f>CD177*(1+Premissas!$B$41)+BZ178</x:f>
        <x:v>2962234.676558095</x:v>
      </x:c>
      <x:c r="CB178" s="141" t="n">
        <x:f>MAX(0,-CA178)</x:f>
        <x:v>0</x:v>
      </x:c>
      <x:c r="CC178" s="141" t="n">
        <x:f>CC177*(1+Premissas!$B$41)+CB178</x:f>
        <x:v>0</x:v>
      </x:c>
      <x:c r="CD178" s="141" t="n">
        <x:f>MAX(0,CA178)</x:f>
        <x:v>2962234.676558095</x:v>
      </x:c>
      <x:c r="CE178" s="141" t="n">
        <x:f>IF(AND('Carta Contemplada'!$B$22="Sim",$A178&gt;='Carta Contemplada'!$B$23),INDEX('Carta Contemplada'!$I$55:$I$1013,$A178),0)</x:f>
        <x:v>15751.279583411357</x:v>
      </x:c>
      <x:c r="CF178" s="141" t="n">
        <x:f>IF(AND('Carta Contemplada'!$B$22="Sim",$A178&gt;='Carta Contemplada'!$B$44),$F178,0)</x:f>
        <x:v>463293.5136505506</x:v>
      </x:c>
      <x:c r="CG178" s="141" t="n">
        <x:f>CD178+CF178-CE178</x:f>
        <x:v>3409776.9106252342</x:v>
      </x:c>
      <x:c r="CH178" s="141" t="n">
        <x:f>IF(CC178&gt;1,"Inviavel",CG178)</x:f>
        <x:v>3409776.9106252342</x:v>
      </x:c>
      <x:c r="CI178" s="145" t="str">
        <x:f>IF(CC178&gt;1,"Inviavel","OK")</x:f>
        <x:v>OK</x:v>
      </x:c>
    </x:row>
    <x:row r="179">
      <x:c r="A179" s="142" t="n">
        <x:v>175</x:v>
      </x:c>
      <x:c r="B179" s="179" t="n">
        <x:f>EDATE(Premissas!$B$4,A179-1)</x:f>
        <x:v>51836</x:v>
      </x:c>
      <x:c r="C179" s="141" t="n">
        <x:f>IF(A179&lt;=Premissas!$B$39,Premissas!$B$42,0)</x:f>
        <x:v>7000</x:v>
      </x:c>
      <x:c r="D179" s="141" t="n">
        <x:f>Premissas!$B$54*(1+Premissas!$B$57)^INT((A179-1)/12)</x:f>
        <x:v>1582.6327690280982</x:v>
      </x:c>
      <x:c r="E179" s="141" t="n">
        <x:f>Premissas!$B$64*(1+Premissas!$B$57)^INT((A179-1)/12)</x:f>
        <x:v>1446.9785316828327</x:v>
      </x:c>
      <x:c r="F179" s="141" t="n">
        <x:f>MAX(0,Premissas!$B$6*(1+Premissas!$B$66)^((A179-1)/12))</x:f>
        <x:v>465548.6182548402</x:v>
      </x:c>
      <x:c r="G179" s="141" t="n">
        <x:f>G178*(1+Premissas!$B$41)+C179</x:f>
        <x:v>3579447.9989840263</x:v>
      </x:c>
      <x:c r="H179" s="141" t="n">
        <x:f>IF($A179=Premissas!$B$48,Premissas!$B$8,0)</x:f>
        <x:v>0</x:v>
      </x:c>
      <x:c r="I179" s="141" t="n">
        <x:f>IF(AND($A179&gt;=Premissas!$B$48,$A179-Premissas!$B$48+1&lt;=Premissas!$B$13),INDEX(Financiamento!$J$6:$J$485,$A179-Premissas!$B$48+1),0)</x:f>
        <x:v>1420.1878331075943</x:v>
      </x:c>
      <x:c r="J179" s="141" t="n">
        <x:f>IF(AND(TRUE,Premissas!$B$11="Imovel",Premissas!$B$47="Moradia",$A179&lt;MAX(Premissas!$B$48,Premissas!$B$49)),$D179,0)</x:f>
        <x:v>0</x:v>
      </x:c>
      <x:c r="K179" s="141" t="n">
        <x:f>IF(AND(TRUE,Premissas!$B$11="Imovel",Premissas!$B$47="Investimento",$A179&gt;=MAX(Premissas!$B$48,Premissas!$B$49)),$E179,0)</x:f>
        <x:v>1446.9785316828327</x:v>
      </x:c>
      <x:c r="L179" s="141" t="n">
        <x:f>H179+I179+J179</x:f>
        <x:v>1420.1878331075943</x:v>
      </x:c>
      <x:c r="M179" s="141" t="n">
        <x:f>K179</x:f>
        <x:v>1446.9785316828327</x:v>
      </x:c>
      <x:c r="N179" s="141" t="n">
        <x:f>$C179+M179-L179</x:f>
        <x:v>7026.790698575239</x:v>
      </x:c>
      <x:c r="O179" s="141" t="n">
        <x:f>R178*(1+Premissas!$B$41)+N179</x:f>
        <x:v>2952692.678965974</x:v>
      </x:c>
      <x:c r="P179" s="141" t="n">
        <x:f>MAX(0,-O179)</x:f>
        <x:v>0</x:v>
      </x:c>
      <x:c r="Q179" s="141" t="n">
        <x:f>Q178*(1+Premissas!$B$41)+P179</x:f>
        <x:v>0</x:v>
      </x:c>
      <x:c r="R179" s="141" t="n">
        <x:f>MAX(0,O179)</x:f>
        <x:v>2952692.678965974</x:v>
      </x:c>
      <x:c r="S179" s="141" t="n">
        <x:f>IF(AND($A179&gt;=Premissas!$B$48,$A179-Premissas!$B$48+1&lt;=Premissas!$B$13),INDEX(Financiamento!$M$6:$M$485,$A179-Premissas!$B$48+1),0)</x:f>
        <x:v>93333.33333333349</x:v>
      </x:c>
      <x:c r="T179" s="141" t="n">
        <x:f>IF($A179&gt;=Premissas!$B$48,$F179,0)</x:f>
        <x:v>465548.6182548402</x:v>
      </x:c>
      <x:c r="U179" s="141" t="n">
        <x:f>R179+T179-S179</x:f>
        <x:v>3324907.963887481</x:v>
      </x:c>
      <x:c r="V179" s="141" t="n">
        <x:f>IF(Q179&gt;1,"Inviavel",U179)</x:f>
        <x:v>3324907.963887481</x:v>
      </x:c>
      <x:c r="W179" s="141" t="str">
        <x:f>IF(Q179&gt;1,"Inviavel","OK")</x:f>
        <x:v>OK</x:v>
      </x:c>
      <x:c r="X179" s="141" t="n">
        <x:f>IF($A179=Premissas!$B$48,Premissas!$B$8,0)</x:f>
        <x:v>0</x:v>
      </x:c>
      <x:c r="Y179" s="141" t="n">
        <x:f>IF(AND($A179&gt;=Premissas!$B$48,$A179-Premissas!$B$48+1&lt;=Premissas!$B$13),INDEX(Amortizacao!$K$6:$K$485,$A179-Premissas!$B$48+1),0)</x:f>
        <x:v>0</x:v>
      </x:c>
      <x:c r="Z179" s="141" t="n">
        <x:f>IF(AND(TRUE,Premissas!$B$11="Imovel",Premissas!$B$47="Moradia",$A179&lt;MAX(Premissas!$B$48,Premissas!$B$49)),$D179,0)</x:f>
        <x:v>0</x:v>
      </x:c>
      <x:c r="AA179" s="141" t="n">
        <x:f>IF(AND(TRUE,Premissas!$B$11="Imovel",Premissas!$B$47="Investimento",$A179&gt;=MAX(Premissas!$B$48,Premissas!$B$49)),$E179,0)</x:f>
        <x:v>1446.9785316828327</x:v>
      </x:c>
      <x:c r="AB179" s="141" t="n">
        <x:f>X179+Y179+Z179</x:f>
        <x:v>0</x:v>
      </x:c>
      <x:c r="AC179" s="141" t="n">
        <x:f>AA179</x:f>
        <x:v>1446.9785316828327</x:v>
      </x:c>
      <x:c r="AD179" s="141" t="n">
        <x:f>$C179+AC179-AB179</x:f>
        <x:v>8446.978531682833</x:v>
      </x:c>
      <x:c r="AE179" s="141" t="n">
        <x:f>AH178*(1+Premissas!$B$41)+AD179</x:f>
        <x:v>2907510.3564111013</x:v>
      </x:c>
      <x:c r="AF179" s="141" t="n">
        <x:f>MAX(0,-AE179)</x:f>
        <x:v>0</x:v>
      </x:c>
      <x:c r="AG179" s="141" t="n">
        <x:f>AG178*(1+Premissas!$B$41)+AF179</x:f>
        <x:v>0</x:v>
      </x:c>
      <x:c r="AH179" s="141" t="n">
        <x:f>MAX(0,AE179)</x:f>
        <x:v>2907510.3564111013</x:v>
      </x:c>
      <x:c r="AI179" s="141" t="n">
        <x:f>IF(AND($A179&gt;=Premissas!$B$48,$A179-Premissas!$B$48+1&lt;=Premissas!$B$13),INDEX(Amortizacao!$L$6:$L$485,$A179-Premissas!$B$48+1),0)</x:f>
        <x:v>0</x:v>
      </x:c>
      <x:c r="AJ179" s="141" t="n">
        <x:f>IF($A179&gt;=Premissas!$B$48,$F179,0)</x:f>
        <x:v>465548.6182548402</x:v>
      </x:c>
      <x:c r="AK179" s="141" t="n">
        <x:f>AH179+AJ179-AI179</x:f>
        <x:v>3373058.9746659417</x:v>
      </x:c>
      <x:c r="AL179" s="141" t="n">
        <x:f>IF(AG179&gt;1,"Inviavel",AK179)</x:f>
        <x:v>3373058.9746659417</x:v>
      </x:c>
      <x:c r="AM179" s="141" t="str">
        <x:f>IF(AG179&gt;1,"Inviavel","OK")</x:f>
        <x:v>OK</x:v>
      </x:c>
      <x:c r="AN179" s="141" t="n">
        <x:f>IF($A179=Premissas!$B$48,Premissas!$B$8,0)</x:f>
        <x:v>0</x:v>
      </x:c>
      <x:c r="AO179" s="141" t="n">
        <x:f>IF($A179&lt;=Premissas!$B$25,INDEX('Consorcio IQ'!$K$6:$K$485,$A179),0)</x:f>
        <x:v>1289.7685110501664</x:v>
      </x:c>
      <x:c r="AP179" s="141" t="n">
        <x:f>IF(AND(TRUE,Premissas!$B$11="Imovel",Premissas!$B$47="Moradia",$A179&lt;MAX(Premissas!$B$48,Premissas!$B$49)),$D179,0)</x:f>
        <x:v>0</x:v>
      </x:c>
      <x:c r="AQ179" s="141" t="n">
        <x:f>IF(AND(TRUE,Premissas!$B$11="Imovel",Premissas!$B$47="Investimento",$A179&gt;=MAX(Premissas!$B$48,Premissas!$B$49)),$E179,0)</x:f>
        <x:v>1446.9785316828327</x:v>
      </x:c>
      <x:c r="AR179" s="141" t="n">
        <x:f>AN179+AO179+AP179</x:f>
        <x:v>1289.7685110501664</x:v>
      </x:c>
      <x:c r="AS179" s="141" t="n">
        <x:f>AQ179</x:f>
        <x:v>1446.9785316828327</x:v>
      </x:c>
      <x:c r="AT179" s="141" t="n">
        <x:f>$C179+AS179-AR179</x:f>
        <x:v>7157.210020632667</x:v>
      </x:c>
      <x:c r="AU179" s="141" t="n">
        <x:f>AX178*(1+Premissas!$B$41)+AT179</x:f>
        <x:v>2950038.046314531</x:v>
      </x:c>
      <x:c r="AV179" s="141" t="n">
        <x:f>MAX(0,-AU179)</x:f>
        <x:v>0</x:v>
      </x:c>
      <x:c r="AW179" s="141" t="n">
        <x:f>AW178*(1+Premissas!$B$41)+AV179</x:f>
        <x:v>0</x:v>
      </x:c>
      <x:c r="AX179" s="141" t="n">
        <x:f>MAX(0,AU179)</x:f>
        <x:v>2950038.046314531</x:v>
      </x:c>
      <x:c r="AY179" s="141" t="n">
        <x:f>INDEX('Consorcio IQ'!$P$6:$P$485,$A179)</x:f>
        <x:v>72418.33517824512</x:v>
      </x:c>
      <x:c r="AZ179" s="141" t="n">
        <x:f>IF($A179&gt;=Premissas!$B$48,$F179,0)+IF($A179&lt;Premissas!$B$27,INDEX('Consorcio IQ'!$O$6:$O$485,$A179),0)</x:f>
        <x:v>465548.6182548402</x:v>
      </x:c>
      <x:c r="BA179" s="141" t="n">
        <x:f>AX179+AZ179-AY179</x:f>
        <x:v>3343168.329391126</x:v>
      </x:c>
      <x:c r="BB179" s="141" t="n">
        <x:f>IF(AW179&gt;1,"Inviavel",BA179)</x:f>
        <x:v>3343168.329391126</x:v>
      </x:c>
      <x:c r="BC179" s="141" t="str">
        <x:f>IF(AW179&gt;1,"Inviavel","OK")</x:f>
        <x:v>OK</x:v>
      </x:c>
      <x:c r="BD179" s="141" t="n">
        <x:f>IF($A179='Consorcio Direto'!$B$29,'Consorcio Direto'!$B$44,0)</x:f>
        <x:v>0</x:v>
      </x:c>
      <x:c r="BE179" s="141" t="n">
        <x:f>IF($A179&lt;='Consorcio Direto'!$B$27,INDEX('Consorcio Direto'!$E$55:$E$534,$A179),0)</x:f>
        <x:v>3339.856544580702</x:v>
      </x:c>
      <x:c r="BF179" s="141" t="n">
        <x:f>IF(AND(TRUE,Premissas!$B$11="Imovel",Premissas!$B$47="Moradia",$A179&lt;MAX('Consorcio Direto'!$B$29,Premissas!$B$49)),$D179,0)</x:f>
        <x:v>0</x:v>
      </x:c>
      <x:c r="BG179" s="141" t="n">
        <x:f>IF(AND(TRUE,Premissas!$B$11="Imovel",Premissas!$B$47="Investimento",$A179&gt;=MAX('Consorcio Direto'!$B$29,Premissas!$B$49)),$E179,0)</x:f>
        <x:v>1446.9785316828327</x:v>
      </x:c>
      <x:c r="BH179" s="141" t="n">
        <x:f>BD179+BE179+BF179</x:f>
        <x:v>3339.856544580702</x:v>
      </x:c>
      <x:c r="BI179" s="141" t="n">
        <x:f>BG179</x:f>
        <x:v>1446.9785316828327</x:v>
      </x:c>
      <x:c r="BJ179" s="141" t="n">
        <x:f>$C179+BI179-BH179</x:f>
        <x:v>5107.121987102131</x:v>
      </x:c>
      <x:c r="BK179" s="141" t="n">
        <x:f>BN178*(1+Premissas!$B$41)+BJ179</x:f>
        <x:v>2903606.35982011</x:v>
      </x:c>
      <x:c r="BL179" s="141" t="n">
        <x:f>MAX(0,-BK179)</x:f>
        <x:v>0</x:v>
      </x:c>
      <x:c r="BM179" s="141" t="n">
        <x:f>BM178*(1+Premissas!$B$41)+BL179</x:f>
        <x:v>0</x:v>
      </x:c>
      <x:c r="BN179" s="141" t="n">
        <x:f>MAX(0,BK179)</x:f>
        <x:v>2903606.35982011</x:v>
      </x:c>
      <x:c r="BO179" s="141" t="n">
        <x:f>INDEX('Consorcio Direto'!$K$55:$K$534,$A179)</x:f>
        <x:v>187527.33426230552</x:v>
      </x:c>
      <x:c r="BP179" s="141" t="n">
        <x:f>IF($A179&lt;'Consorcio Direto'!$B$29,INDEX('Consorcio Direto'!$L$55:$L$534,$A179),$F179)</x:f>
        <x:v>465548.6182548402</x:v>
      </x:c>
      <x:c r="BQ179" s="141" t="n">
        <x:f>BN179+BP179-BO179</x:f>
        <x:v>3181627.6438126448</x:v>
      </x:c>
      <x:c r="BR179" s="141" t="n">
        <x:f>IF(BM179&gt;1,"Inviavel",BQ179)</x:f>
        <x:v>3181627.6438126448</x:v>
      </x:c>
      <x:c r="BS179" s="141" t="str">
        <x:f>IF(BM179&gt;1,"Inviavel","OK")</x:f>
        <x:v>OK</x:v>
      </x:c>
      <x:c r="BT179" s="141" t="n">
        <x:f>IF(AND('Carta Contemplada'!$B$22="Sim",$A179='Carta Contemplada'!$B$23),'Carta Contemplada'!$B$37,0)</x:f>
        <x:v>0</x:v>
      </x:c>
      <x:c r="BU179" s="141" t="n">
        <x:f>IF('Carta Contemplada'!$B$22="Sim",INDEX('Carta Contemplada'!$C$55:$C$1013,$A179),0)</x:f>
        <x:v>2713.0847469053115</x:v>
      </x:c>
      <x:c r="BV179" s="141" t="n">
        <x:f>IF(AND('Carta Contemplada'!$B$22="Sim",Premissas!$B$11="Imovel",Premissas!$B$47="Moradia",$A179&lt;MAX('Carta Contemplada'!$B$44,Premissas!$B$49)),$D179,0)</x:f>
        <x:v>0</x:v>
      </x:c>
      <x:c r="BW179" s="141" t="n">
        <x:f>IF(AND('Carta Contemplada'!$B$22="Sim",Premissas!$B$11="Imovel",Premissas!$B$47="Investimento",$A179&gt;=MAX('Carta Contemplada'!$B$44,Premissas!$B$49)),$E179,0)</x:f>
        <x:v>1446.9785316828327</x:v>
      </x:c>
      <x:c r="BX179" s="141" t="n">
        <x:f>BT179+BU179+BV179</x:f>
        <x:v>2713.0847469053115</x:v>
      </x:c>
      <x:c r="BY179" s="141" t="n">
        <x:f>BW179</x:f>
        <x:v>1446.9785316828327</x:v>
      </x:c>
      <x:c r="BZ179" s="141" t="n">
        <x:f>$C179+BY179-BX179</x:f>
        <x:v>5733.893784777521</x:v>
      </x:c>
      <x:c r="CA179" s="141" t="n">
        <x:f>CD178*(1+Premissas!$B$41)+BZ179</x:f>
        <x:v>2996076.6018123743</x:v>
      </x:c>
      <x:c r="CB179" s="141" t="n">
        <x:f>MAX(0,-CA179)</x:f>
        <x:v>0</x:v>
      </x:c>
      <x:c r="CC179" s="141" t="n">
        <x:f>CC178*(1+Premissas!$B$41)+CB179</x:f>
        <x:v>0</x:v>
      </x:c>
      <x:c r="CD179" s="141" t="n">
        <x:f>MAX(0,CA179)</x:f>
        <x:v>2996076.6018123743</x:v>
      </x:c>
      <x:c r="CE179" s="141" t="n">
        <x:f>IF(AND('Carta Contemplada'!$B$22="Sim",$A179&gt;='Carta Contemplada'!$B$23),INDEX('Carta Contemplada'!$I$55:$I$1013,$A179),0)</x:f>
        <x:v>13187.655466927761</x:v>
      </x:c>
      <x:c r="CF179" s="141" t="n">
        <x:f>IF(AND('Carta Contemplada'!$B$22="Sim",$A179&gt;='Carta Contemplada'!$B$44),$F179,0)</x:f>
        <x:v>465548.6182548402</x:v>
      </x:c>
      <x:c r="CG179" s="141" t="n">
        <x:f>CD179+CF179-CE179</x:f>
        <x:v>3448437.564600287</x:v>
      </x:c>
      <x:c r="CH179" s="141" t="n">
        <x:f>IF(CC179&gt;1,"Inviavel",CG179)</x:f>
        <x:v>3448437.564600287</x:v>
      </x:c>
      <x:c r="CI179" s="145" t="str">
        <x:f>IF(CC179&gt;1,"Inviavel","OK")</x:f>
        <x:v>OK</x:v>
      </x:c>
    </x:row>
    <x:row r="180">
      <x:c r="A180" s="142" t="n">
        <x:v>176</x:v>
      </x:c>
      <x:c r="B180" s="179" t="n">
        <x:f>EDATE(Premissas!$B$4,A180-1)</x:f>
        <x:v>51867</x:v>
      </x:c>
      <x:c r="C180" s="141" t="n">
        <x:f>IF(A180&lt;=Premissas!$B$39,Premissas!$B$42,0)</x:f>
        <x:v>7000</x:v>
      </x:c>
      <x:c r="D180" s="141" t="n">
        <x:f>Premissas!$B$54*(1+Premissas!$B$57)^INT((A180-1)/12)</x:f>
        <x:v>1582.6327690280982</x:v>
      </x:c>
      <x:c r="E180" s="141" t="n">
        <x:f>Premissas!$B$64*(1+Premissas!$B$57)^INT((A180-1)/12)</x:f>
        <x:v>1446.9785316828327</x:v>
      </x:c>
      <x:c r="F180" s="141" t="n">
        <x:f>MAX(0,Premissas!$B$6*(1+Premissas!$B$66)^((A180-1)/12))</x:f>
        <x:v>467814.6996948212</x:v>
      </x:c>
      <x:c r="G180" s="141" t="n">
        <x:f>G179*(1+Premissas!$B$41)+C180</x:f>
        <x:v>3620412.639866493</x:v>
      </x:c>
      <x:c r="H180" s="141" t="n">
        <x:f>IF($A180=Premissas!$B$48,Premissas!$B$8,0)</x:f>
        <x:v>0</x:v>
      </x:c>
      <x:c r="I180" s="141" t="n">
        <x:f>IF(AND($A180&gt;=Premissas!$B$48,$A180-Premissas!$B$48+1&lt;=Premissas!$B$13),INDEX(Financiamento!$J$6:$J$485,$A180-Premissas!$B$48+1),0)</x:f>
        <x:v>1416.5730548468007</x:v>
      </x:c>
      <x:c r="J180" s="141" t="n">
        <x:f>IF(AND(TRUE,Premissas!$B$11="Imovel",Premissas!$B$47="Moradia",$A180&lt;MAX(Premissas!$B$48,Premissas!$B$49)),$D180,0)</x:f>
        <x:v>0</x:v>
      </x:c>
      <x:c r="K180" s="141" t="n">
        <x:f>IF(AND(TRUE,Premissas!$B$11="Imovel",Premissas!$B$47="Investimento",$A180&gt;=MAX(Premissas!$B$48,Premissas!$B$49)),$E180,0)</x:f>
        <x:v>1446.9785316828327</x:v>
      </x:c>
      <x:c r="L180" s="141" t="n">
        <x:f>H180+I180+J180</x:f>
        <x:v>1416.5730548468007</x:v>
      </x:c>
      <x:c r="M180" s="141" t="n">
        <x:f>K180</x:f>
        <x:v>1446.9785316828327</x:v>
      </x:c>
      <x:c r="N180" s="141" t="n">
        <x:f>$C180+M180-L180</x:f>
        <x:v>7030.405476836032</x:v>
      </x:c>
      <x:c r="O180" s="141" t="n">
        <x:f>R179*(1+Premissas!$B$41)+N180</x:f>
        <x:v>2987740.5738729774</x:v>
      </x:c>
      <x:c r="P180" s="141" t="n">
        <x:f>MAX(0,-O180)</x:f>
        <x:v>0</x:v>
      </x:c>
      <x:c r="Q180" s="141" t="n">
        <x:f>Q179*(1+Premissas!$B$41)+P180</x:f>
        <x:v>0</x:v>
      </x:c>
      <x:c r="R180" s="141" t="n">
        <x:f>MAX(0,O180)</x:f>
        <x:v>2987740.5738729774</x:v>
      </x:c>
      <x:c r="S180" s="141" t="n">
        <x:f>IF(AND($A180&gt;=Premissas!$B$48,$A180-Premissas!$B$48+1&lt;=Premissas!$B$13),INDEX(Financiamento!$M$6:$M$485,$A180-Premissas!$B$48+1),0)</x:f>
        <x:v>92952.3809523811</x:v>
      </x:c>
      <x:c r="T180" s="141" t="n">
        <x:f>IF($A180&gt;=Premissas!$B$48,$F180,0)</x:f>
        <x:v>467814.6996948212</x:v>
      </x:c>
      <x:c r="U180" s="141" t="n">
        <x:f>R180+T180-S180</x:f>
        <x:v>3362602.8926154175</x:v>
      </x:c>
      <x:c r="V180" s="141" t="n">
        <x:f>IF(Q180&gt;1,"Inviavel",U180)</x:f>
        <x:v>3362602.8926154175</x:v>
      </x:c>
      <x:c r="W180" s="141" t="str">
        <x:f>IF(Q180&gt;1,"Inviavel","OK")</x:f>
        <x:v>OK</x:v>
      </x:c>
      <x:c r="X180" s="141" t="n">
        <x:f>IF($A180=Premissas!$B$48,Premissas!$B$8,0)</x:f>
        <x:v>0</x:v>
      </x:c>
      <x:c r="Y180" s="141" t="n">
        <x:f>IF(AND($A180&gt;=Premissas!$B$48,$A180-Premissas!$B$48+1&lt;=Premissas!$B$13),INDEX(Amortizacao!$K$6:$K$485,$A180-Premissas!$B$48+1),0)</x:f>
        <x:v>0</x:v>
      </x:c>
      <x:c r="Z180" s="141" t="n">
        <x:f>IF(AND(TRUE,Premissas!$B$11="Imovel",Premissas!$B$47="Moradia",$A180&lt;MAX(Premissas!$B$48,Premissas!$B$49)),$D180,0)</x:f>
        <x:v>0</x:v>
      </x:c>
      <x:c r="AA180" s="141" t="n">
        <x:f>IF(AND(TRUE,Premissas!$B$11="Imovel",Premissas!$B$47="Investimento",$A180&gt;=MAX(Premissas!$B$48,Premissas!$B$49)),$E180,0)</x:f>
        <x:v>1446.9785316828327</x:v>
      </x:c>
      <x:c r="AB180" s="141" t="n">
        <x:f>X180+Y180+Z180</x:f>
        <x:v>0</x:v>
      </x:c>
      <x:c r="AC180" s="141" t="n">
        <x:f>AA180</x:f>
        <x:v>1446.9785316828327</x:v>
      </x:c>
      <x:c r="AD180" s="141" t="n">
        <x:f>$C180+AC180-AB180</x:f>
        <x:v>8446.978531682833</x:v>
      </x:c>
      <x:c r="AE180" s="141" t="n">
        <x:f>AH179*(1+Premissas!$B$41)+AD180</x:f>
        <x:v>2943546.098669925</x:v>
      </x:c>
      <x:c r="AF180" s="141" t="n">
        <x:f>MAX(0,-AE180)</x:f>
        <x:v>0</x:v>
      </x:c>
      <x:c r="AG180" s="141" t="n">
        <x:f>AG179*(1+Premissas!$B$41)+AF180</x:f>
        <x:v>0</x:v>
      </x:c>
      <x:c r="AH180" s="141" t="n">
        <x:f>MAX(0,AE180)</x:f>
        <x:v>2943546.098669925</x:v>
      </x:c>
      <x:c r="AI180" s="141" t="n">
        <x:f>IF(AND($A180&gt;=Premissas!$B$48,$A180-Premissas!$B$48+1&lt;=Premissas!$B$13),INDEX(Amortizacao!$L$6:$L$485,$A180-Premissas!$B$48+1),0)</x:f>
        <x:v>0</x:v>
      </x:c>
      <x:c r="AJ180" s="141" t="n">
        <x:f>IF($A180&gt;=Premissas!$B$48,$F180,0)</x:f>
        <x:v>467814.6996948212</x:v>
      </x:c>
      <x:c r="AK180" s="141" t="n">
        <x:f>AH180+AJ180-AI180</x:f>
        <x:v>3411360.798364746</x:v>
      </x:c>
      <x:c r="AL180" s="141" t="n">
        <x:f>IF(AG180&gt;1,"Inviavel",AK180)</x:f>
        <x:v>3411360.798364746</x:v>
      </x:c>
      <x:c r="AM180" s="141" t="str">
        <x:f>IF(AG180&gt;1,"Inviavel","OK")</x:f>
        <x:v>OK</x:v>
      </x:c>
      <x:c r="AN180" s="141" t="n">
        <x:f>IF($A180=Premissas!$B$48,Premissas!$B$8,0)</x:f>
        <x:v>0</x:v>
      </x:c>
      <x:c r="AO180" s="141" t="n">
        <x:f>IF($A180&lt;=Premissas!$B$25,INDEX('Consorcio IQ'!$K$6:$K$485,$A180),0)</x:f>
        <x:v>1289.7685110501664</x:v>
      </x:c>
      <x:c r="AP180" s="141" t="n">
        <x:f>IF(AND(TRUE,Premissas!$B$11="Imovel",Premissas!$B$47="Moradia",$A180&lt;MAX(Premissas!$B$48,Premissas!$B$49)),$D180,0)</x:f>
        <x:v>0</x:v>
      </x:c>
      <x:c r="AQ180" s="141" t="n">
        <x:f>IF(AND(TRUE,Premissas!$B$11="Imovel",Premissas!$B$47="Investimento",$A180&gt;=MAX(Premissas!$B$48,Premissas!$B$49)),$E180,0)</x:f>
        <x:v>1446.9785316828327</x:v>
      </x:c>
      <x:c r="AR180" s="141" t="n">
        <x:f>AN180+AO180+AP180</x:f>
        <x:v>1289.7685110501664</x:v>
      </x:c>
      <x:c r="AS180" s="141" t="n">
        <x:f>AQ180</x:f>
        <x:v>1446.9785316828327</x:v>
      </x:c>
      <x:c r="AT180" s="141" t="n">
        <x:f>$C180+AS180-AR180</x:f>
        <x:v>7157.210020632667</x:v>
      </x:c>
      <x:c r="AU180" s="141" t="n">
        <x:f>AX179*(1+Premissas!$B$41)+AT180</x:f>
        <x:v>2985187.556505784</x:v>
      </x:c>
      <x:c r="AV180" s="141" t="n">
        <x:f>MAX(0,-AU180)</x:f>
        <x:v>0</x:v>
      </x:c>
      <x:c r="AW180" s="141" t="n">
        <x:f>AW179*(1+Premissas!$B$41)+AV180</x:f>
        <x:v>0</x:v>
      </x:c>
      <x:c r="AX180" s="141" t="n">
        <x:f>MAX(0,AU180)</x:f>
        <x:v>2985187.556505784</x:v>
      </x:c>
      <x:c r="AY180" s="141" t="n">
        <x:f>INDEX('Consorcio IQ'!$P$6:$P$485,$A180)</x:f>
        <x:v>71815.72925436856</x:v>
      </x:c>
      <x:c r="AZ180" s="141" t="n">
        <x:f>IF($A180&gt;=Premissas!$B$48,$F180,0)+IF($A180&lt;Premissas!$B$27,INDEX('Consorcio IQ'!$O$6:$O$485,$A180),0)</x:f>
        <x:v>467814.6996948212</x:v>
      </x:c>
      <x:c r="BA180" s="141" t="n">
        <x:f>AX180+AZ180-AY180</x:f>
        <x:v>3381186.5269462364</x:v>
      </x:c>
      <x:c r="BB180" s="141" t="n">
        <x:f>IF(AW180&gt;1,"Inviavel",BA180)</x:f>
        <x:v>3381186.5269462364</x:v>
      </x:c>
      <x:c r="BC180" s="141" t="str">
        <x:f>IF(AW180&gt;1,"Inviavel","OK")</x:f>
        <x:v>OK</x:v>
      </x:c>
      <x:c r="BD180" s="141" t="n">
        <x:f>IF($A180='Consorcio Direto'!$B$29,'Consorcio Direto'!$B$44,0)</x:f>
        <x:v>0</x:v>
      </x:c>
      <x:c r="BE180" s="141" t="n">
        <x:f>IF($A180&lt;='Consorcio Direto'!$B$27,INDEX('Consorcio Direto'!$E$55:$E$534,$A180),0)</x:f>
        <x:v>3339.856544580702</x:v>
      </x:c>
      <x:c r="BF180" s="141" t="n">
        <x:f>IF(AND(TRUE,Premissas!$B$11="Imovel",Premissas!$B$47="Moradia",$A180&lt;MAX('Consorcio Direto'!$B$29,Premissas!$B$49)),$D180,0)</x:f>
        <x:v>0</x:v>
      </x:c>
      <x:c r="BG180" s="141" t="n">
        <x:f>IF(AND(TRUE,Premissas!$B$11="Imovel",Premissas!$B$47="Investimento",$A180&gt;=MAX('Consorcio Direto'!$B$29,Premissas!$B$49)),$E180,0)</x:f>
        <x:v>1446.9785316828327</x:v>
      </x:c>
      <x:c r="BH180" s="141" t="n">
        <x:f>BD180+BE180+BF180</x:f>
        <x:v>3339.856544580702</x:v>
      </x:c>
      <x:c r="BI180" s="141" t="n">
        <x:f>BG180</x:f>
        <x:v>1446.9785316828327</x:v>
      </x:c>
      <x:c r="BJ180" s="141" t="n">
        <x:f>$C180+BI180-BH180</x:f>
        <x:v>5107.121987102131</x:v>
      </x:c>
      <x:c r="BK180" s="141" t="n">
        <x:f>BN179*(1+Premissas!$B$41)+BJ180</x:f>
        <x:v>2936265.201319083</x:v>
      </x:c>
      <x:c r="BL180" s="141" t="n">
        <x:f>MAX(0,-BK180)</x:f>
        <x:v>0</x:v>
      </x:c>
      <x:c r="BM180" s="141" t="n">
        <x:f>BM179*(1+Premissas!$B$41)+BL180</x:f>
        <x:v>0</x:v>
      </x:c>
      <x:c r="BN180" s="141" t="n">
        <x:f>MAX(0,BK180)</x:f>
        <x:v>2936265.201319083</x:v>
      </x:c>
      <x:c r="BO180" s="141" t="n">
        <x:f>INDEX('Consorcio Direto'!$K$55:$K$534,$A180)</x:f>
        <x:v>185966.8857621142</x:v>
      </x:c>
      <x:c r="BP180" s="141" t="n">
        <x:f>IF($A180&lt;'Consorcio Direto'!$B$29,INDEX('Consorcio Direto'!$L$55:$L$534,$A180),$F180)</x:f>
        <x:v>467814.6996948212</x:v>
      </x:c>
      <x:c r="BQ180" s="141" t="n">
        <x:f>BN180+BP180-BO180</x:f>
        <x:v>3218113.01525179</x:v>
      </x:c>
      <x:c r="BR180" s="141" t="n">
        <x:f>IF(BM180&gt;1,"Inviavel",BQ180)</x:f>
        <x:v>3218113.01525179</x:v>
      </x:c>
      <x:c r="BS180" s="141" t="str">
        <x:f>IF(BM180&gt;1,"Inviavel","OK")</x:f>
        <x:v>OK</x:v>
      </x:c>
      <x:c r="BT180" s="141" t="n">
        <x:f>IF(AND('Carta Contemplada'!$B$22="Sim",$A180='Carta Contemplada'!$B$23),'Carta Contemplada'!$B$37,0)</x:f>
        <x:v>0</x:v>
      </x:c>
      <x:c r="BU180" s="141" t="n">
        <x:f>IF('Carta Contemplada'!$B$22="Sim",INDEX('Carta Contemplada'!$C$55:$C$1013,$A180),0)</x:f>
        <x:v>2713.0847469053115</x:v>
      </x:c>
      <x:c r="BV180" s="141" t="n">
        <x:f>IF(AND('Carta Contemplada'!$B$22="Sim",Premissas!$B$11="Imovel",Premissas!$B$47="Moradia",$A180&lt;MAX('Carta Contemplada'!$B$44,Premissas!$B$49)),$D180,0)</x:f>
        <x:v>0</x:v>
      </x:c>
      <x:c r="BW180" s="141" t="n">
        <x:f>IF(AND('Carta Contemplada'!$B$22="Sim",Premissas!$B$11="Imovel",Premissas!$B$47="Investimento",$A180&gt;=MAX('Carta Contemplada'!$B$44,Premissas!$B$49)),$E180,0)</x:f>
        <x:v>1446.9785316828327</x:v>
      </x:c>
      <x:c r="BX180" s="141" t="n">
        <x:f>BT180+BU180+BV180</x:f>
        <x:v>2713.0847469053115</x:v>
      </x:c>
      <x:c r="BY180" s="141" t="n">
        <x:f>BW180</x:f>
        <x:v>1446.9785316828327</x:v>
      </x:c>
      <x:c r="BZ180" s="141" t="n">
        <x:f>$C180+BY180-BX180</x:f>
        <x:v>5733.893784777521</x:v>
      </x:c>
      <x:c r="CA180" s="141" t="n">
        <x:f>CD179*(1+Premissas!$B$41)+BZ180</x:f>
        <x:v>3030239.646087899</x:v>
      </x:c>
      <x:c r="CB180" s="141" t="n">
        <x:f>MAX(0,-CA180)</x:f>
        <x:v>0</x:v>
      </x:c>
      <x:c r="CC180" s="141" t="n">
        <x:f>CC179*(1+Premissas!$B$41)+CB180</x:f>
        <x:v>0</x:v>
      </x:c>
      <x:c r="CD180" s="141" t="n">
        <x:f>MAX(0,CA180)</x:f>
        <x:v>3030239.646087899</x:v>
      </x:c>
      <x:c r="CE180" s="141" t="n">
        <x:f>IF(AND('Carta Contemplada'!$B$22="Sim",$A180&gt;='Carta Contemplada'!$B$23),INDEX('Carta Contemplada'!$I$55:$I$1013,$A180),0)</x:f>
        <x:v>10599.70565204075</x:v>
      </x:c>
      <x:c r="CF180" s="141" t="n">
        <x:f>IF(AND('Carta Contemplada'!$B$22="Sim",$A180&gt;='Carta Contemplada'!$B$44),$F180,0)</x:f>
        <x:v>467814.6996948212</x:v>
      </x:c>
      <x:c r="CG180" s="141" t="n">
        <x:f>CD180+CF180-CE180</x:f>
        <x:v>3487454.640130679</x:v>
      </x:c>
      <x:c r="CH180" s="141" t="n">
        <x:f>IF(CC180&gt;1,"Inviavel",CG180)</x:f>
        <x:v>3487454.640130679</x:v>
      </x:c>
      <x:c r="CI180" s="145" t="str">
        <x:f>IF(CC180&gt;1,"Inviavel","OK")</x:f>
        <x:v>OK</x:v>
      </x:c>
    </x:row>
    <x:row r="181">
      <x:c r="A181" s="142" t="n">
        <x:v>177</x:v>
      </x:c>
      <x:c r="B181" s="179" t="n">
        <x:f>EDATE(Premissas!$B$4,A181-1)</x:f>
        <x:v>51898</x:v>
      </x:c>
      <x:c r="C181" s="141" t="n">
        <x:f>IF(A181&lt;=Premissas!$B$39,Premissas!$B$42,0)</x:f>
        <x:v>7000</x:v>
      </x:c>
      <x:c r="D181" s="141" t="n">
        <x:f>Premissas!$B$54*(1+Premissas!$B$57)^INT((A181-1)/12)</x:f>
        <x:v>1582.6327690280982</x:v>
      </x:c>
      <x:c r="E181" s="141" t="n">
        <x:f>Premissas!$B$64*(1+Premissas!$B$57)^INT((A181-1)/12)</x:f>
        <x:v>1446.9785316828327</x:v>
      </x:c>
      <x:c r="F181" s="141" t="n">
        <x:f>MAX(0,Premissas!$B$6*(1+Premissas!$B$66)^((A181-1)/12))</x:f>
        <x:v>470091.81140079646</x:v>
      </x:c>
      <x:c r="G181" s="141" t="n">
        <x:f>G180*(1+Premissas!$B$41)+C181</x:f>
        <x:v>3661765.9857439334</x:v>
      </x:c>
      <x:c r="H181" s="141" t="n">
        <x:f>IF($A181=Premissas!$B$48,Premissas!$B$8,0)</x:f>
        <x:v>0</x:v>
      </x:c>
      <x:c r="I181" s="141" t="n">
        <x:f>IF(AND($A181&gt;=Premissas!$B$48,$A181-Premissas!$B$48+1&lt;=Premissas!$B$13),INDEX(Financiamento!$J$6:$J$485,$A181-Premissas!$B$48+1),0)</x:f>
        <x:v>1412.958276586007</x:v>
      </x:c>
      <x:c r="J181" s="141" t="n">
        <x:f>IF(AND(TRUE,Premissas!$B$11="Imovel",Premissas!$B$47="Moradia",$A181&lt;MAX(Premissas!$B$48,Premissas!$B$49)),$D181,0)</x:f>
        <x:v>0</x:v>
      </x:c>
      <x:c r="K181" s="141" t="n">
        <x:f>IF(AND(TRUE,Premissas!$B$11="Imovel",Premissas!$B$47="Investimento",$A181&gt;=MAX(Premissas!$B$48,Premissas!$B$49)),$E181,0)</x:f>
        <x:v>1446.9785316828327</x:v>
      </x:c>
      <x:c r="L181" s="141" t="n">
        <x:f>H181+I181+J181</x:f>
        <x:v>1412.958276586007</x:v>
      </x:c>
      <x:c r="M181" s="141" t="n">
        <x:f>K181</x:f>
        <x:v>1446.9785316828327</x:v>
      </x:c>
      <x:c r="N181" s="141" t="n">
        <x:f>$C181+M181-L181</x:f>
        <x:v>7034.020255096826</x:v>
      </x:c>
      <x:c r="O181" s="141" t="n">
        <x:f>R180*(1+Premissas!$B$41)+N181</x:f>
        <x:v>3023124.645775807</x:v>
      </x:c>
      <x:c r="P181" s="141" t="n">
        <x:f>MAX(0,-O181)</x:f>
        <x:v>0</x:v>
      </x:c>
      <x:c r="Q181" s="141" t="n">
        <x:f>Q180*(1+Premissas!$B$41)+P181</x:f>
        <x:v>0</x:v>
      </x:c>
      <x:c r="R181" s="141" t="n">
        <x:f>MAX(0,O181)</x:f>
        <x:v>3023124.645775807</x:v>
      </x:c>
      <x:c r="S181" s="141" t="n">
        <x:f>IF(AND($A181&gt;=Premissas!$B$48,$A181-Premissas!$B$48+1&lt;=Premissas!$B$13),INDEX(Financiamento!$M$6:$M$485,$A181-Premissas!$B$48+1),0)</x:f>
        <x:v>92571.42857142873</x:v>
      </x:c>
      <x:c r="T181" s="141" t="n">
        <x:f>IF($A181&gt;=Premissas!$B$48,$F181,0)</x:f>
        <x:v>470091.81140079646</x:v>
      </x:c>
      <x:c r="U181" s="141" t="n">
        <x:f>R181+T181-S181</x:f>
        <x:v>3400645.0286051747</x:v>
      </x:c>
      <x:c r="V181" s="141" t="n">
        <x:f>IF(Q181&gt;1,"Inviavel",U181)</x:f>
        <x:v>3400645.0286051747</x:v>
      </x:c>
      <x:c r="W181" s="141" t="str">
        <x:f>IF(Q181&gt;1,"Inviavel","OK")</x:f>
        <x:v>OK</x:v>
      </x:c>
      <x:c r="X181" s="141" t="n">
        <x:f>IF($A181=Premissas!$B$48,Premissas!$B$8,0)</x:f>
        <x:v>0</x:v>
      </x:c>
      <x:c r="Y181" s="141" t="n">
        <x:f>IF(AND($A181&gt;=Premissas!$B$48,$A181-Premissas!$B$48+1&lt;=Premissas!$B$13),INDEX(Amortizacao!$K$6:$K$485,$A181-Premissas!$B$48+1),0)</x:f>
        <x:v>0</x:v>
      </x:c>
      <x:c r="Z181" s="141" t="n">
        <x:f>IF(AND(TRUE,Premissas!$B$11="Imovel",Premissas!$B$47="Moradia",$A181&lt;MAX(Premissas!$B$48,Premissas!$B$49)),$D181,0)</x:f>
        <x:v>0</x:v>
      </x:c>
      <x:c r="AA181" s="141" t="n">
        <x:f>IF(AND(TRUE,Premissas!$B$11="Imovel",Premissas!$B$47="Investimento",$A181&gt;=MAX(Premissas!$B$48,Premissas!$B$49)),$E181,0)</x:f>
        <x:v>1446.9785316828327</x:v>
      </x:c>
      <x:c r="AB181" s="141" t="n">
        <x:f>X181+Y181+Z181</x:f>
        <x:v>0</x:v>
      </x:c>
      <x:c r="AC181" s="141" t="n">
        <x:f>AA181</x:f>
        <x:v>1446.9785316828327</x:v>
      </x:c>
      <x:c r="AD181" s="141" t="n">
        <x:f>$C181+AC181-AB181</x:f>
        <x:v>8446.978531682833</x:v>
      </x:c>
      <x:c r="AE181" s="141" t="n">
        <x:f>AH180*(1+Premissas!$B$41)+AD181</x:f>
        <x:v>2979923.7766252863</x:v>
      </x:c>
      <x:c r="AF181" s="141" t="n">
        <x:f>MAX(0,-AE181)</x:f>
        <x:v>0</x:v>
      </x:c>
      <x:c r="AG181" s="141" t="n">
        <x:f>AG180*(1+Premissas!$B$41)+AF181</x:f>
        <x:v>0</x:v>
      </x:c>
      <x:c r="AH181" s="141" t="n">
        <x:f>MAX(0,AE181)</x:f>
        <x:v>2979923.7766252863</x:v>
      </x:c>
      <x:c r="AI181" s="141" t="n">
        <x:f>IF(AND($A181&gt;=Premissas!$B$48,$A181-Premissas!$B$48+1&lt;=Premissas!$B$13),INDEX(Amortizacao!$L$6:$L$485,$A181-Premissas!$B$48+1),0)</x:f>
        <x:v>0</x:v>
      </x:c>
      <x:c r="AJ181" s="141" t="n">
        <x:f>IF($A181&gt;=Premissas!$B$48,$F181,0)</x:f>
        <x:v>470091.81140079646</x:v>
      </x:c>
      <x:c r="AK181" s="141" t="n">
        <x:f>AH181+AJ181-AI181</x:f>
        <x:v>3450015.5880260826</x:v>
      </x:c>
      <x:c r="AL181" s="141" t="n">
        <x:f>IF(AG181&gt;1,"Inviavel",AK181)</x:f>
        <x:v>3450015.5880260826</x:v>
      </x:c>
      <x:c r="AM181" s="141" t="str">
        <x:f>IF(AG181&gt;1,"Inviavel","OK")</x:f>
        <x:v>OK</x:v>
      </x:c>
      <x:c r="AN181" s="141" t="n">
        <x:f>IF($A181=Premissas!$B$48,Premissas!$B$8,0)</x:f>
        <x:v>0</x:v>
      </x:c>
      <x:c r="AO181" s="141" t="n">
        <x:f>IF($A181&lt;=Premissas!$B$25,INDEX('Consorcio IQ'!$K$6:$K$485,$A181),0)</x:f>
        <x:v>1289.7685110501664</x:v>
      </x:c>
      <x:c r="AP181" s="141" t="n">
        <x:f>IF(AND(TRUE,Premissas!$B$11="Imovel",Premissas!$B$47="Moradia",$A181&lt;MAX(Premissas!$B$48,Premissas!$B$49)),$D181,0)</x:f>
        <x:v>0</x:v>
      </x:c>
      <x:c r="AQ181" s="141" t="n">
        <x:f>IF(AND(TRUE,Premissas!$B$11="Imovel",Premissas!$B$47="Investimento",$A181&gt;=MAX(Premissas!$B$48,Premissas!$B$49)),$E181,0)</x:f>
        <x:v>1446.9785316828327</x:v>
      </x:c>
      <x:c r="AR181" s="141" t="n">
        <x:f>AN181+AO181+AP181</x:f>
        <x:v>1289.7685110501664</x:v>
      </x:c>
      <x:c r="AS181" s="141" t="n">
        <x:f>AQ181</x:f>
        <x:v>1446.9785316828327</x:v>
      </x:c>
      <x:c r="AT181" s="141" t="n">
        <x:f>$C181+AS181-AR181</x:f>
        <x:v>7157.210020632667</x:v>
      </x:c>
      <x:c r="AU181" s="141" t="n">
        <x:f>AX180*(1+Premissas!$B$41)+AT181</x:f>
        <x:v>3020670.5931209936</x:v>
      </x:c>
      <x:c r="AV181" s="141" t="n">
        <x:f>MAX(0,-AU181)</x:f>
        <x:v>0</x:v>
      </x:c>
      <x:c r="AW181" s="141" t="n">
        <x:f>AW180*(1+Premissas!$B$41)+AV181</x:f>
        <x:v>0</x:v>
      </x:c>
      <x:c r="AX181" s="141" t="n">
        <x:f>MAX(0,AU181)</x:f>
        <x:v>3020670.5931209936</x:v>
      </x:c>
      <x:c r="AY181" s="141" t="n">
        <x:f>INDEX('Consorcio IQ'!$P$6:$P$485,$A181)</x:f>
        <x:v>71207.40532765919</x:v>
      </x:c>
      <x:c r="AZ181" s="141" t="n">
        <x:f>IF($A181&gt;=Premissas!$B$48,$F181,0)+IF($A181&lt;Premissas!$B$27,INDEX('Consorcio IQ'!$O$6:$O$485,$A181),0)</x:f>
        <x:v>470091.81140079646</x:v>
      </x:c>
      <x:c r="BA181" s="141" t="n">
        <x:f>AX181+AZ181-AY181</x:f>
        <x:v>3419554.9991941308</x:v>
      </x:c>
      <x:c r="BB181" s="141" t="n">
        <x:f>IF(AW181&gt;1,"Inviavel",BA181)</x:f>
        <x:v>3419554.9991941308</x:v>
      </x:c>
      <x:c r="BC181" s="141" t="str">
        <x:f>IF(AW181&gt;1,"Inviavel","OK")</x:f>
        <x:v>OK</x:v>
      </x:c>
      <x:c r="BD181" s="141" t="n">
        <x:f>IF($A181='Consorcio Direto'!$B$29,'Consorcio Direto'!$B$44,0)</x:f>
        <x:v>0</x:v>
      </x:c>
      <x:c r="BE181" s="141" t="n">
        <x:f>IF($A181&lt;='Consorcio Direto'!$B$27,INDEX('Consorcio Direto'!$E$55:$E$534,$A181),0)</x:f>
        <x:v>3339.856544580702</x:v>
      </x:c>
      <x:c r="BF181" s="141" t="n">
        <x:f>IF(AND(TRUE,Premissas!$B$11="Imovel",Premissas!$B$47="Moradia",$A181&lt;MAX('Consorcio Direto'!$B$29,Premissas!$B$49)),$D181,0)</x:f>
        <x:v>0</x:v>
      </x:c>
      <x:c r="BG181" s="141" t="n">
        <x:f>IF(AND(TRUE,Premissas!$B$11="Imovel",Premissas!$B$47="Investimento",$A181&gt;=MAX('Consorcio Direto'!$B$29,Premissas!$B$49)),$E181,0)</x:f>
        <x:v>1446.9785316828327</x:v>
      </x:c>
      <x:c r="BH181" s="141" t="n">
        <x:f>BD181+BE181+BF181</x:f>
        <x:v>3339.856544580702</x:v>
      </x:c>
      <x:c r="BI181" s="141" t="n">
        <x:f>BG181</x:f>
        <x:v>1446.9785316828327</x:v>
      </x:c>
      <x:c r="BJ181" s="141" t="n">
        <x:f>$C181+BI181-BH181</x:f>
        <x:v>5107.121987102131</x:v>
      </x:c>
      <x:c r="BK181" s="141" t="n">
        <x:f>BN180*(1+Premissas!$B$41)+BJ181</x:f>
        <x:v>2969233.935802524</x:v>
      </x:c>
      <x:c r="BL181" s="141" t="n">
        <x:f>MAX(0,-BK181)</x:f>
        <x:v>0</x:v>
      </x:c>
      <x:c r="BM181" s="141" t="n">
        <x:f>BM180*(1+Premissas!$B$41)+BL181</x:f>
        <x:v>0</x:v>
      </x:c>
      <x:c r="BN181" s="141" t="n">
        <x:f>MAX(0,BK181)</x:f>
        <x:v>2969233.935802524</x:v>
      </x:c>
      <x:c r="BO181" s="141" t="n">
        <x:f>INDEX('Consorcio Direto'!$K$55:$K$534,$A181)</x:f>
        <x:v>184391.63048921947</x:v>
      </x:c>
      <x:c r="BP181" s="141" t="n">
        <x:f>IF($A181&lt;'Consorcio Direto'!$B$29,INDEX('Consorcio Direto'!$L$55:$L$534,$A181),$F181)</x:f>
        <x:v>470091.81140079646</x:v>
      </x:c>
      <x:c r="BQ181" s="141" t="n">
        <x:f>BN181+BP181-BO181</x:f>
        <x:v>3254934.116714101</x:v>
      </x:c>
      <x:c r="BR181" s="141" t="n">
        <x:f>IF(BM181&gt;1,"Inviavel",BQ181)</x:f>
        <x:v>3254934.116714101</x:v>
      </x:c>
      <x:c r="BS181" s="141" t="str">
        <x:f>IF(BM181&gt;1,"Inviavel","OK")</x:f>
        <x:v>OK</x:v>
      </x:c>
      <x:c r="BT181" s="141" t="n">
        <x:f>IF(AND('Carta Contemplada'!$B$22="Sim",$A181='Carta Contemplada'!$B$23),'Carta Contemplada'!$B$37,0)</x:f>
        <x:v>0</x:v>
      </x:c>
      <x:c r="BU181" s="141" t="n">
        <x:f>IF('Carta Contemplada'!$B$22="Sim",INDEX('Carta Contemplada'!$C$55:$C$1013,$A181),0)</x:f>
        <x:v>2713.0847469053115</x:v>
      </x:c>
      <x:c r="BV181" s="141" t="n">
        <x:f>IF(AND('Carta Contemplada'!$B$22="Sim",Premissas!$B$11="Imovel",Premissas!$B$47="Moradia",$A181&lt;MAX('Carta Contemplada'!$B$44,Premissas!$B$49)),$D181,0)</x:f>
        <x:v>0</x:v>
      </x:c>
      <x:c r="BW181" s="141" t="n">
        <x:f>IF(AND('Carta Contemplada'!$B$22="Sim",Premissas!$B$11="Imovel",Premissas!$B$47="Investimento",$A181&gt;=MAX('Carta Contemplada'!$B$44,Premissas!$B$49)),$E181,0)</x:f>
        <x:v>1446.9785316828327</x:v>
      </x:c>
      <x:c r="BX181" s="141" t="n">
        <x:f>BT181+BU181+BV181</x:f>
        <x:v>2713.0847469053115</x:v>
      </x:c>
      <x:c r="BY181" s="141" t="n">
        <x:f>BW181</x:f>
        <x:v>1446.9785316828327</x:v>
      </x:c>
      <x:c r="BZ181" s="141" t="n">
        <x:f>$C181+BY181-BX181</x:f>
        <x:v>5733.893784777521</x:v>
      </x:c>
      <x:c r="CA181" s="141" t="n">
        <x:f>CD180*(1+Premissas!$B$41)+BZ181</x:f>
        <x:v>3064726.856416569</x:v>
      </x:c>
      <x:c r="CB181" s="141" t="n">
        <x:f>MAX(0,-CA181)</x:f>
        <x:v>0</x:v>
      </x:c>
      <x:c r="CC181" s="141" t="n">
        <x:f>CC180*(1+Premissas!$B$41)+CB181</x:f>
        <x:v>0</x:v>
      </x:c>
      <x:c r="CD181" s="141" t="n">
        <x:f>MAX(0,CA181)</x:f>
        <x:v>3064726.856416569</x:v>
      </x:c>
      <x:c r="CE181" s="141" t="n">
        <x:f>IF(AND('Carta Contemplada'!$B$22="Sim",$A181&gt;='Carta Contemplada'!$B$23),INDEX('Carta Contemplada'!$I$55:$I$1013,$A181),0)</x:f>
        <x:v>7987.199317235182</x:v>
      </x:c>
      <x:c r="CF181" s="141" t="n">
        <x:f>IF(AND('Carta Contemplada'!$B$22="Sim",$A181&gt;='Carta Contemplada'!$B$44),$F181,0)</x:f>
        <x:v>470091.81140079646</x:v>
      </x:c>
      <x:c r="CG181" s="141" t="n">
        <x:f>CD181+CF181-CE181</x:f>
        <x:v>3526831.4685001303</x:v>
      </x:c>
      <x:c r="CH181" s="141" t="n">
        <x:f>IF(CC181&gt;1,"Inviavel",CG181)</x:f>
        <x:v>3526831.4685001303</x:v>
      </x:c>
      <x:c r="CI181" s="145" t="str">
        <x:f>IF(CC181&gt;1,"Inviavel","OK")</x:f>
        <x:v>OK</x:v>
      </x:c>
    </x:row>
    <x:row r="182">
      <x:c r="A182" s="142" t="n">
        <x:v>178</x:v>
      </x:c>
      <x:c r="B182" s="179" t="n">
        <x:f>EDATE(Premissas!$B$4,A182-1)</x:f>
        <x:v>51926</x:v>
      </x:c>
      <x:c r="C182" s="141" t="n">
        <x:f>IF(A182&lt;=Premissas!$B$39,Premissas!$B$42,0)</x:f>
        <x:v>7000</x:v>
      </x:c>
      <x:c r="D182" s="141" t="n">
        <x:f>Premissas!$B$54*(1+Premissas!$B$57)^INT((A182-1)/12)</x:f>
        <x:v>1582.6327690280982</x:v>
      </x:c>
      <x:c r="E182" s="141" t="n">
        <x:f>Premissas!$B$64*(1+Premissas!$B$57)^INT((A182-1)/12)</x:f>
        <x:v>1446.9785316828327</x:v>
      </x:c>
      <x:c r="F182" s="141" t="n">
        <x:f>MAX(0,Premissas!$B$6*(1+Premissas!$B$66)^((A182-1)/12))</x:f>
        <x:v>472380.00706314354</x:v>
      </x:c>
      <x:c r="G182" s="141" t="n">
        <x:f>G181*(1+Premissas!$B$41)+C182</x:f>
        <x:v>3703511.724957557</x:v>
      </x:c>
      <x:c r="H182" s="141" t="n">
        <x:f>IF($A182=Premissas!$B$48,Premissas!$B$8,0)</x:f>
        <x:v>0</x:v>
      </x:c>
      <x:c r="I182" s="141" t="n">
        <x:f>IF(AND($A182&gt;=Premissas!$B$48,$A182-Premissas!$B$48+1&lt;=Premissas!$B$13),INDEX(Financiamento!$J$6:$J$485,$A182-Premissas!$B$48+1),0)</x:f>
        <x:v>1409.3434983252137</x:v>
      </x:c>
      <x:c r="J182" s="141" t="n">
        <x:f>IF(AND(TRUE,Premissas!$B$11="Imovel",Premissas!$B$47="Moradia",$A182&lt;MAX(Premissas!$B$48,Premissas!$B$49)),$D182,0)</x:f>
        <x:v>0</x:v>
      </x:c>
      <x:c r="K182" s="141" t="n">
        <x:f>IF(AND(TRUE,Premissas!$B$11="Imovel",Premissas!$B$47="Investimento",$A182&gt;=MAX(Premissas!$B$48,Premissas!$B$49)),$E182,0)</x:f>
        <x:v>1446.9785316828327</x:v>
      </x:c>
      <x:c r="L182" s="141" t="n">
        <x:f>H182+I182+J182</x:f>
        <x:v>1409.3434983252137</x:v>
      </x:c>
      <x:c r="M182" s="141" t="n">
        <x:f>K182</x:f>
        <x:v>1446.9785316828327</x:v>
      </x:c>
      <x:c r="N182" s="141" t="n">
        <x:f>$C182+M182-L182</x:f>
        <x:v>7037.635033357619</x:v>
      </x:c>
      <x:c r="O182" s="141" t="n">
        <x:f>R181*(1+Premissas!$B$41)+N182</x:f>
        <x:v>3058848.084588366</x:v>
      </x:c>
      <x:c r="P182" s="141" t="n">
        <x:f>MAX(0,-O182)</x:f>
        <x:v>0</x:v>
      </x:c>
      <x:c r="Q182" s="141" t="n">
        <x:f>Q181*(1+Premissas!$B$41)+P182</x:f>
        <x:v>0</x:v>
      </x:c>
      <x:c r="R182" s="141" t="n">
        <x:f>MAX(0,O182)</x:f>
        <x:v>3058848.084588366</x:v>
      </x:c>
      <x:c r="S182" s="141" t="n">
        <x:f>IF(AND($A182&gt;=Premissas!$B$48,$A182-Premissas!$B$48+1&lt;=Premissas!$B$13),INDEX(Financiamento!$M$6:$M$485,$A182-Premissas!$B$48+1),0)</x:f>
        <x:v>92190.47619047634</x:v>
      </x:c>
      <x:c r="T182" s="141" t="n">
        <x:f>IF($A182&gt;=Premissas!$B$48,$F182,0)</x:f>
        <x:v>472380.00706314354</x:v>
      </x:c>
      <x:c r="U182" s="141" t="n">
        <x:f>R182+T182-S182</x:f>
        <x:v>3439037.6154610333</x:v>
      </x:c>
      <x:c r="V182" s="141" t="n">
        <x:f>IF(Q182&gt;1,"Inviavel",U182)</x:f>
        <x:v>3439037.6154610333</x:v>
      </x:c>
      <x:c r="W182" s="141" t="str">
        <x:f>IF(Q182&gt;1,"Inviavel","OK")</x:f>
        <x:v>OK</x:v>
      </x:c>
      <x:c r="X182" s="141" t="n">
        <x:f>IF($A182=Premissas!$B$48,Premissas!$B$8,0)</x:f>
        <x:v>0</x:v>
      </x:c>
      <x:c r="Y182" s="141" t="n">
        <x:f>IF(AND($A182&gt;=Premissas!$B$48,$A182-Premissas!$B$48+1&lt;=Premissas!$B$13),INDEX(Amortizacao!$K$6:$K$485,$A182-Premissas!$B$48+1),0)</x:f>
        <x:v>0</x:v>
      </x:c>
      <x:c r="Z182" s="141" t="n">
        <x:f>IF(AND(TRUE,Premissas!$B$11="Imovel",Premissas!$B$47="Moradia",$A182&lt;MAX(Premissas!$B$48,Premissas!$B$49)),$D182,0)</x:f>
        <x:v>0</x:v>
      </x:c>
      <x:c r="AA182" s="141" t="n">
        <x:f>IF(AND(TRUE,Premissas!$B$11="Imovel",Premissas!$B$47="Investimento",$A182&gt;=MAX(Premissas!$B$48,Premissas!$B$49)),$E182,0)</x:f>
        <x:v>1446.9785316828327</x:v>
      </x:c>
      <x:c r="AB182" s="141" t="n">
        <x:f>X182+Y182+Z182</x:f>
        <x:v>0</x:v>
      </x:c>
      <x:c r="AC182" s="141" t="n">
        <x:f>AA182</x:f>
        <x:v>1446.9785316828327</x:v>
      </x:c>
      <x:c r="AD182" s="141" t="n">
        <x:f>$C182+AC182-AB182</x:f>
        <x:v>8446.978531682833</x:v>
      </x:c>
      <x:c r="AE182" s="141" t="n">
        <x:f>AH181*(1+Premissas!$B$41)+AD182</x:f>
        <x:v>3016646.634834207</x:v>
      </x:c>
      <x:c r="AF182" s="141" t="n">
        <x:f>MAX(0,-AE182)</x:f>
        <x:v>0</x:v>
      </x:c>
      <x:c r="AG182" s="141" t="n">
        <x:f>AG181*(1+Premissas!$B$41)+AF182</x:f>
        <x:v>0</x:v>
      </x:c>
      <x:c r="AH182" s="141" t="n">
        <x:f>MAX(0,AE182)</x:f>
        <x:v>3016646.634834207</x:v>
      </x:c>
      <x:c r="AI182" s="141" t="n">
        <x:f>IF(AND($A182&gt;=Premissas!$B$48,$A182-Premissas!$B$48+1&lt;=Premissas!$B$13),INDEX(Amortizacao!$L$6:$L$485,$A182-Premissas!$B$48+1),0)</x:f>
        <x:v>0</x:v>
      </x:c>
      <x:c r="AJ182" s="141" t="n">
        <x:f>IF($A182&gt;=Premissas!$B$48,$F182,0)</x:f>
        <x:v>472380.00706314354</x:v>
      </x:c>
      <x:c r="AK182" s="141" t="n">
        <x:f>AH182+AJ182-AI182</x:f>
        <x:v>3489026.6418973505</x:v>
      </x:c>
      <x:c r="AL182" s="141" t="n">
        <x:f>IF(AG182&gt;1,"Inviavel",AK182)</x:f>
        <x:v>3489026.6418973505</x:v>
      </x:c>
      <x:c r="AM182" s="141" t="str">
        <x:f>IF(AG182&gt;1,"Inviavel","OK")</x:f>
        <x:v>OK</x:v>
      </x:c>
      <x:c r="AN182" s="141" t="n">
        <x:f>IF($A182=Premissas!$B$48,Premissas!$B$8,0)</x:f>
        <x:v>0</x:v>
      </x:c>
      <x:c r="AO182" s="141" t="n">
        <x:f>IF($A182&lt;=Premissas!$B$25,INDEX('Consorcio IQ'!$K$6:$K$485,$A182),0)</x:f>
        <x:v>1289.7685110501664</x:v>
      </x:c>
      <x:c r="AP182" s="141" t="n">
        <x:f>IF(AND(TRUE,Premissas!$B$11="Imovel",Premissas!$B$47="Moradia",$A182&lt;MAX(Premissas!$B$48,Premissas!$B$49)),$D182,0)</x:f>
        <x:v>0</x:v>
      </x:c>
      <x:c r="AQ182" s="141" t="n">
        <x:f>IF(AND(TRUE,Premissas!$B$11="Imovel",Premissas!$B$47="Investimento",$A182&gt;=MAX(Premissas!$B$48,Premissas!$B$49)),$E182,0)</x:f>
        <x:v>1446.9785316828327</x:v>
      </x:c>
      <x:c r="AR182" s="141" t="n">
        <x:f>AN182+AO182+AP182</x:f>
        <x:v>1289.7685110501664</x:v>
      </x:c>
      <x:c r="AS182" s="141" t="n">
        <x:f>AQ182</x:f>
        <x:v>1446.9785316828327</x:v>
      </x:c>
      <x:c r="AT182" s="141" t="n">
        <x:f>$C182+AS182-AR182</x:f>
        <x:v>7157.210020632667</x:v>
      </x:c>
      <x:c r="AU182" s="141" t="n">
        <x:f>AX181*(1+Premissas!$B$41)+AT182</x:f>
        <x:v>3056490.3209233354</x:v>
      </x:c>
      <x:c r="AV182" s="141" t="n">
        <x:f>MAX(0,-AU182)</x:f>
        <x:v>0</x:v>
      </x:c>
      <x:c r="AW182" s="141" t="n">
        <x:f>AW181*(1+Premissas!$B$41)+AV182</x:f>
        <x:v>0</x:v>
      </x:c>
      <x:c r="AX182" s="141" t="n">
        <x:f>MAX(0,AU182)</x:f>
        <x:v>3056490.3209233354</x:v>
      </x:c>
      <x:c r="AY182" s="141" t="n">
        <x:f>INDEX('Consorcio IQ'!$P$6:$P$485,$A182)</x:f>
        <x:v>70593.30914117211</x:v>
      </x:c>
      <x:c r="AZ182" s="141" t="n">
        <x:f>IF($A182&gt;=Premissas!$B$48,$F182,0)+IF($A182&lt;Premissas!$B$27,INDEX('Consorcio IQ'!$O$6:$O$485,$A182),0)</x:f>
        <x:v>472380.00706314354</x:v>
      </x:c>
      <x:c r="BA182" s="141" t="n">
        <x:f>AX182+AZ182-AY182</x:f>
        <x:v>3458277.0188453067</x:v>
      </x:c>
      <x:c r="BB182" s="141" t="n">
        <x:f>IF(AW182&gt;1,"Inviavel",BA182)</x:f>
        <x:v>3458277.0188453067</x:v>
      </x:c>
      <x:c r="BC182" s="141" t="str">
        <x:f>IF(AW182&gt;1,"Inviavel","OK")</x:f>
        <x:v>OK</x:v>
      </x:c>
      <x:c r="BD182" s="141" t="n">
        <x:f>IF($A182='Consorcio Direto'!$B$29,'Consorcio Direto'!$B$44,0)</x:f>
        <x:v>0</x:v>
      </x:c>
      <x:c r="BE182" s="141" t="n">
        <x:f>IF($A182&lt;='Consorcio Direto'!$B$27,INDEX('Consorcio Direto'!$E$55:$E$534,$A182),0)</x:f>
        <x:v>3339.856544580702</x:v>
      </x:c>
      <x:c r="BF182" s="141" t="n">
        <x:f>IF(AND(TRUE,Premissas!$B$11="Imovel",Premissas!$B$47="Moradia",$A182&lt;MAX('Consorcio Direto'!$B$29,Premissas!$B$49)),$D182,0)</x:f>
        <x:v>0</x:v>
      </x:c>
      <x:c r="BG182" s="141" t="n">
        <x:f>IF(AND(TRUE,Premissas!$B$11="Imovel",Premissas!$B$47="Investimento",$A182&gt;=MAX('Consorcio Direto'!$B$29,Premissas!$B$49)),$E182,0)</x:f>
        <x:v>1446.9785316828327</x:v>
      </x:c>
      <x:c r="BH182" s="141" t="n">
        <x:f>BD182+BE182+BF182</x:f>
        <x:v>3339.856544580702</x:v>
      </x:c>
      <x:c r="BI182" s="141" t="n">
        <x:f>BG182</x:f>
        <x:v>1446.9785316828327</x:v>
      </x:c>
      <x:c r="BJ182" s="141" t="n">
        <x:f>$C182+BI182-BH182</x:f>
        <x:v>5107.121987102131</x:v>
      </x:c>
      <x:c r="BK182" s="141" t="n">
        <x:f>BN181*(1+Premissas!$B$41)+BJ182</x:f>
        <x:v>3002515.5037807934</x:v>
      </x:c>
      <x:c r="BL182" s="141" t="n">
        <x:f>MAX(0,-BK182)</x:f>
        <x:v>0</x:v>
      </x:c>
      <x:c r="BM182" s="141" t="n">
        <x:f>BM181*(1+Premissas!$B$41)+BL182</x:f>
        <x:v>0</x:v>
      </x:c>
      <x:c r="BN182" s="141" t="n">
        <x:f>MAX(0,BK182)</x:f>
        <x:v>3002515.5037807934</x:v>
      </x:c>
      <x:c r="BO182" s="141" t="n">
        <x:f>INDEX('Consorcio Direto'!$K$55:$K$534,$A182)</x:f>
        <x:v>182801.42794522113</x:v>
      </x:c>
      <x:c r="BP182" s="141" t="n">
        <x:f>IF($A182&lt;'Consorcio Direto'!$B$29,INDEX('Consorcio Direto'!$L$55:$L$534,$A182),$F182)</x:f>
        <x:v>472380.00706314354</x:v>
      </x:c>
      <x:c r="BQ182" s="141" t="n">
        <x:f>BN182+BP182-BO182</x:f>
        <x:v>3292094.0828987155</x:v>
      </x:c>
      <x:c r="BR182" s="141" t="n">
        <x:f>IF(BM182&gt;1,"Inviavel",BQ182)</x:f>
        <x:v>3292094.0828987155</x:v>
      </x:c>
      <x:c r="BS182" s="141" t="str">
        <x:f>IF(BM182&gt;1,"Inviavel","OK")</x:f>
        <x:v>OK</x:v>
      </x:c>
      <x:c r="BT182" s="141" t="n">
        <x:f>IF(AND('Carta Contemplada'!$B$22="Sim",$A182='Carta Contemplada'!$B$23),'Carta Contemplada'!$B$37,0)</x:f>
        <x:v>0</x:v>
      </x:c>
      <x:c r="BU182" s="141" t="n">
        <x:f>IF('Carta Contemplada'!$B$22="Sim",INDEX('Carta Contemplada'!$C$55:$C$1013,$A182),0)</x:f>
        <x:v>2713.0847469053115</x:v>
      </x:c>
      <x:c r="BV182" s="141" t="n">
        <x:f>IF(AND('Carta Contemplada'!$B$22="Sim",Premissas!$B$11="Imovel",Premissas!$B$47="Moradia",$A182&lt;MAX('Carta Contemplada'!$B$44,Premissas!$B$49)),$D182,0)</x:f>
        <x:v>0</x:v>
      </x:c>
      <x:c r="BW182" s="141" t="n">
        <x:f>IF(AND('Carta Contemplada'!$B$22="Sim",Premissas!$B$11="Imovel",Premissas!$B$47="Investimento",$A182&gt;=MAX('Carta Contemplada'!$B$44,Premissas!$B$49)),$E182,0)</x:f>
        <x:v>1446.9785316828327</x:v>
      </x:c>
      <x:c r="BX182" s="141" t="n">
        <x:f>BT182+BU182+BV182</x:f>
        <x:v>2713.0847469053115</x:v>
      </x:c>
      <x:c r="BY182" s="141" t="n">
        <x:f>BW182</x:f>
        <x:v>1446.9785316828327</x:v>
      </x:c>
      <x:c r="BZ182" s="141" t="n">
        <x:f>$C182+BY182-BX182</x:f>
        <x:v>5733.893784777521</x:v>
      </x:c>
      <x:c r="CA182" s="141" t="n">
        <x:f>CD181*(1+Premissas!$B$41)+BZ182</x:f>
        <x:v>3099541.3087429395</x:v>
      </x:c>
      <x:c r="CB182" s="141" t="n">
        <x:f>MAX(0,-CA182)</x:f>
        <x:v>0</x:v>
      </x:c>
      <x:c r="CC182" s="141" t="n">
        <x:f>CC181*(1+Premissas!$B$41)+CB182</x:f>
        <x:v>0</x:v>
      </x:c>
      <x:c r="CD182" s="141" t="n">
        <x:f>MAX(0,CA182)</x:f>
        <x:v>3099541.3087429395</x:v>
      </x:c>
      <x:c r="CE182" s="141" t="n">
        <x:f>IF(AND('Carta Contemplada'!$B$22="Sim",$A182&gt;='Carta Contemplada'!$B$23),INDEX('Carta Contemplada'!$I$55:$I$1013,$A182),0)</x:f>
        <x:v>5349.903450778358</x:v>
      </x:c>
      <x:c r="CF182" s="141" t="n">
        <x:f>IF(AND('Carta Contemplada'!$B$22="Sim",$A182&gt;='Carta Contemplada'!$B$44),$F182,0)</x:f>
        <x:v>472380.00706314354</x:v>
      </x:c>
      <x:c r="CG182" s="141" t="n">
        <x:f>CD182+CF182-CE182</x:f>
        <x:v>3566571.4123553047</x:v>
      </x:c>
      <x:c r="CH182" s="141" t="n">
        <x:f>IF(CC182&gt;1,"Inviavel",CG182)</x:f>
        <x:v>3566571.4123553047</x:v>
      </x:c>
      <x:c r="CI182" s="145" t="str">
        <x:f>IF(CC182&gt;1,"Inviavel","OK")</x:f>
        <x:v>OK</x:v>
      </x:c>
    </x:row>
    <x:row r="183">
      <x:c r="A183" s="142" t="n">
        <x:v>179</x:v>
      </x:c>
      <x:c r="B183" s="179" t="n">
        <x:f>EDATE(Premissas!$B$4,A183-1)</x:f>
        <x:v>51957</x:v>
      </x:c>
      <x:c r="C183" s="141" t="n">
        <x:f>IF(A183&lt;=Premissas!$B$39,Premissas!$B$42,0)</x:f>
        <x:v>7000</x:v>
      </x:c>
      <x:c r="D183" s="141" t="n">
        <x:f>Premissas!$B$54*(1+Premissas!$B$57)^INT((A183-1)/12)</x:f>
        <x:v>1582.6327690280982</x:v>
      </x:c>
      <x:c r="E183" s="141" t="n">
        <x:f>Premissas!$B$64*(1+Premissas!$B$57)^INT((A183-1)/12)</x:f>
        <x:v>1446.9785316828327</x:v>
      </x:c>
      <x:c r="F183" s="141" t="n">
        <x:f>MAX(0,Premissas!$B$6*(1+Premissas!$B$66)^((A183-1)/12))</x:f>
        <x:v>474679.3406335805</x:v>
      </x:c>
      <x:c r="G183" s="141" t="n">
        <x:f>G182*(1+Premissas!$B$41)+C183</x:f>
        <x:v>3745653.5808464796</x:v>
      </x:c>
      <x:c r="H183" s="141" t="n">
        <x:f>IF($A183=Premissas!$B$48,Premissas!$B$8,0)</x:f>
        <x:v>0</x:v>
      </x:c>
      <x:c r="I183" s="141" t="n">
        <x:f>IF(AND($A183&gt;=Premissas!$B$48,$A183-Premissas!$B$48+1&lt;=Premissas!$B$13),INDEX(Financiamento!$J$6:$J$485,$A183-Premissas!$B$48+1),0)</x:f>
        <x:v>1405.72872006442</x:v>
      </x:c>
      <x:c r="J183" s="141" t="n">
        <x:f>IF(AND(TRUE,Premissas!$B$11="Imovel",Premissas!$B$47="Moradia",$A183&lt;MAX(Premissas!$B$48,Premissas!$B$49)),$D183,0)</x:f>
        <x:v>0</x:v>
      </x:c>
      <x:c r="K183" s="141" t="n">
        <x:f>IF(AND(TRUE,Premissas!$B$11="Imovel",Premissas!$B$47="Investimento",$A183&gt;=MAX(Premissas!$B$48,Premissas!$B$49)),$E183,0)</x:f>
        <x:v>1446.9785316828327</x:v>
      </x:c>
      <x:c r="L183" s="141" t="n">
        <x:f>H183+I183+J183</x:f>
        <x:v>1405.72872006442</x:v>
      </x:c>
      <x:c r="M183" s="141" t="n">
        <x:f>K183</x:f>
        <x:v>1446.9785316828327</x:v>
      </x:c>
      <x:c r="N183" s="141" t="n">
        <x:f>$C183+M183-L183</x:f>
        <x:v>7041.249811618412</x:v>
      </x:c>
      <x:c r="O183" s="141" t="n">
        <x:f>R182*(1+Premissas!$B$41)+N183</x:f>
        <x:v>3094914.11049299</x:v>
      </x:c>
      <x:c r="P183" s="141" t="n">
        <x:f>MAX(0,-O183)</x:f>
        <x:v>0</x:v>
      </x:c>
      <x:c r="Q183" s="141" t="n">
        <x:f>Q182*(1+Premissas!$B$41)+P183</x:f>
        <x:v>0</x:v>
      </x:c>
      <x:c r="R183" s="141" t="n">
        <x:f>MAX(0,O183)</x:f>
        <x:v>3094914.11049299</x:v>
      </x:c>
      <x:c r="S183" s="141" t="n">
        <x:f>IF(AND($A183&gt;=Premissas!$B$48,$A183-Premissas!$B$48+1&lt;=Premissas!$B$13),INDEX(Financiamento!$M$6:$M$485,$A183-Premissas!$B$48+1),0)</x:f>
        <x:v>91809.52380952396</x:v>
      </x:c>
      <x:c r="T183" s="141" t="n">
        <x:f>IF($A183&gt;=Premissas!$B$48,$F183,0)</x:f>
        <x:v>474679.3406335805</x:v>
      </x:c>
      <x:c r="U183" s="141" t="n">
        <x:f>R183+T183-S183</x:f>
        <x:v>3477783.9273170466</x:v>
      </x:c>
      <x:c r="V183" s="141" t="n">
        <x:f>IF(Q183&gt;1,"Inviavel",U183)</x:f>
        <x:v>3477783.9273170466</x:v>
      </x:c>
      <x:c r="W183" s="141" t="str">
        <x:f>IF(Q183&gt;1,"Inviavel","OK")</x:f>
        <x:v>OK</x:v>
      </x:c>
      <x:c r="X183" s="141" t="n">
        <x:f>IF($A183=Premissas!$B$48,Premissas!$B$8,0)</x:f>
        <x:v>0</x:v>
      </x:c>
      <x:c r="Y183" s="141" t="n">
        <x:f>IF(AND($A183&gt;=Premissas!$B$48,$A183-Premissas!$B$48+1&lt;=Premissas!$B$13),INDEX(Amortizacao!$K$6:$K$485,$A183-Premissas!$B$48+1),0)</x:f>
        <x:v>0</x:v>
      </x:c>
      <x:c r="Z183" s="141" t="n">
        <x:f>IF(AND(TRUE,Premissas!$B$11="Imovel",Premissas!$B$47="Moradia",$A183&lt;MAX(Premissas!$B$48,Premissas!$B$49)),$D183,0)</x:f>
        <x:v>0</x:v>
      </x:c>
      <x:c r="AA183" s="141" t="n">
        <x:f>IF(AND(TRUE,Premissas!$B$11="Imovel",Premissas!$B$47="Investimento",$A183&gt;=MAX(Premissas!$B$48,Premissas!$B$49)),$E183,0)</x:f>
        <x:v>1446.9785316828327</x:v>
      </x:c>
      <x:c r="AB183" s="141" t="n">
        <x:f>X183+Y183+Z183</x:f>
        <x:v>0</x:v>
      </x:c>
      <x:c r="AC183" s="141" t="n">
        <x:f>AA183</x:f>
        <x:v>1446.9785316828327</x:v>
      </x:c>
      <x:c r="AD183" s="141" t="n">
        <x:f>$C183+AC183-AB183</x:f>
        <x:v>8446.978531682833</x:v>
      </x:c>
      <x:c r="AE183" s="141" t="n">
        <x:f>AH182*(1+Premissas!$B$41)+AD183</x:f>
        <x:v>3053717.9486406385</x:v>
      </x:c>
      <x:c r="AF183" s="141" t="n">
        <x:f>MAX(0,-AE183)</x:f>
        <x:v>0</x:v>
      </x:c>
      <x:c r="AG183" s="141" t="n">
        <x:f>AG182*(1+Premissas!$B$41)+AF183</x:f>
        <x:v>0</x:v>
      </x:c>
      <x:c r="AH183" s="141" t="n">
        <x:f>MAX(0,AE183)</x:f>
        <x:v>3053717.9486406385</x:v>
      </x:c>
      <x:c r="AI183" s="141" t="n">
        <x:f>IF(AND($A183&gt;=Premissas!$B$48,$A183-Premissas!$B$48+1&lt;=Premissas!$B$13),INDEX(Amortizacao!$L$6:$L$485,$A183-Premissas!$B$48+1),0)</x:f>
        <x:v>0</x:v>
      </x:c>
      <x:c r="AJ183" s="141" t="n">
        <x:f>IF($A183&gt;=Premissas!$B$48,$F183,0)</x:f>
        <x:v>474679.3406335805</x:v>
      </x:c>
      <x:c r="AK183" s="141" t="n">
        <x:f>AH183+AJ183-AI183</x:f>
        <x:v>3528397.289274219</x:v>
      </x:c>
      <x:c r="AL183" s="141" t="n">
        <x:f>IF(AG183&gt;1,"Inviavel",AK183)</x:f>
        <x:v>3528397.289274219</x:v>
      </x:c>
      <x:c r="AM183" s="141" t="str">
        <x:f>IF(AG183&gt;1,"Inviavel","OK")</x:f>
        <x:v>OK</x:v>
      </x:c>
      <x:c r="AN183" s="141" t="n">
        <x:f>IF($A183=Premissas!$B$48,Premissas!$B$8,0)</x:f>
        <x:v>0</x:v>
      </x:c>
      <x:c r="AO183" s="141" t="n">
        <x:f>IF($A183&lt;=Premissas!$B$25,INDEX('Consorcio IQ'!$K$6:$K$485,$A183),0)</x:f>
        <x:v>1289.7685110501664</x:v>
      </x:c>
      <x:c r="AP183" s="141" t="n">
        <x:f>IF(AND(TRUE,Premissas!$B$11="Imovel",Premissas!$B$47="Moradia",$A183&lt;MAX(Premissas!$B$48,Premissas!$B$49)),$D183,0)</x:f>
        <x:v>0</x:v>
      </x:c>
      <x:c r="AQ183" s="141" t="n">
        <x:f>IF(AND(TRUE,Premissas!$B$11="Imovel",Premissas!$B$47="Investimento",$A183&gt;=MAX(Premissas!$B$48,Premissas!$B$49)),$E183,0)</x:f>
        <x:v>1446.9785316828327</x:v>
      </x:c>
      <x:c r="AR183" s="141" t="n">
        <x:f>AN183+AO183+AP183</x:f>
        <x:v>1289.7685110501664</x:v>
      </x:c>
      <x:c r="AS183" s="141" t="n">
        <x:f>AQ183</x:f>
        <x:v>1446.9785316828327</x:v>
      </x:c>
      <x:c r="AT183" s="141" t="n">
        <x:f>$C183+AS183-AR183</x:f>
        <x:v>7157.210020632667</x:v>
      </x:c>
      <x:c r="AU183" s="141" t="n">
        <x:f>AX182*(1+Premissas!$B$41)+AT183</x:f>
        <x:v>3092649.934705767</x:v>
      </x:c>
      <x:c r="AV183" s="141" t="n">
        <x:f>MAX(0,-AU183)</x:f>
        <x:v>0</x:v>
      </x:c>
      <x:c r="AW183" s="141" t="n">
        <x:f>AW182*(1+Premissas!$B$41)+AV183</x:f>
        <x:v>0</x:v>
      </x:c>
      <x:c r="AX183" s="141" t="n">
        <x:f>MAX(0,AU183)</x:f>
        <x:v>3092649.934705767</x:v>
      </x:c>
      <x:c r="AY183" s="141" t="n">
        <x:f>INDEX('Consorcio IQ'!$P$6:$P$485,$A183)</x:f>
        <x:v>69973.38592312954</x:v>
      </x:c>
      <x:c r="AZ183" s="141" t="n">
        <x:f>IF($A183&gt;=Premissas!$B$48,$F183,0)+IF($A183&lt;Premissas!$B$27,INDEX('Consorcio IQ'!$O$6:$O$485,$A183),0)</x:f>
        <x:v>474679.3406335805</x:v>
      </x:c>
      <x:c r="BA183" s="141" t="n">
        <x:f>AX183+AZ183-AY183</x:f>
        <x:v>3497355.889416218</x:v>
      </x:c>
      <x:c r="BB183" s="141" t="n">
        <x:f>IF(AW183&gt;1,"Inviavel",BA183)</x:f>
        <x:v>3497355.889416218</x:v>
      </x:c>
      <x:c r="BC183" s="141" t="str">
        <x:f>IF(AW183&gt;1,"Inviavel","OK")</x:f>
        <x:v>OK</x:v>
      </x:c>
      <x:c r="BD183" s="141" t="n">
        <x:f>IF($A183='Consorcio Direto'!$B$29,'Consorcio Direto'!$B$44,0)</x:f>
        <x:v>0</x:v>
      </x:c>
      <x:c r="BE183" s="141" t="n">
        <x:f>IF($A183&lt;='Consorcio Direto'!$B$27,INDEX('Consorcio Direto'!$E$55:$E$534,$A183),0)</x:f>
        <x:v>3339.856544580702</x:v>
      </x:c>
      <x:c r="BF183" s="141" t="n">
        <x:f>IF(AND(TRUE,Premissas!$B$11="Imovel",Premissas!$B$47="Moradia",$A183&lt;MAX('Consorcio Direto'!$B$29,Premissas!$B$49)),$D183,0)</x:f>
        <x:v>0</x:v>
      </x:c>
      <x:c r="BG183" s="141" t="n">
        <x:f>IF(AND(TRUE,Premissas!$B$11="Imovel",Premissas!$B$47="Investimento",$A183&gt;=MAX('Consorcio Direto'!$B$29,Premissas!$B$49)),$E183,0)</x:f>
        <x:v>1446.9785316828327</x:v>
      </x:c>
      <x:c r="BH183" s="141" t="n">
        <x:f>BD183+BE183+BF183</x:f>
        <x:v>3339.856544580702</x:v>
      </x:c>
      <x:c r="BI183" s="141" t="n">
        <x:f>BG183</x:f>
        <x:v>1446.9785316828327</x:v>
      </x:c>
      <x:c r="BJ183" s="141" t="n">
        <x:f>$C183+BI183-BH183</x:f>
        <x:v>5107.121987102131</x:v>
      </x:c>
      <x:c r="BK183" s="141" t="n">
        <x:f>BN182*(1+Premissas!$B$41)+BJ183</x:f>
        <x:v>3036112.873666147</x:v>
      </x:c>
      <x:c r="BL183" s="141" t="n">
        <x:f>MAX(0,-BK183)</x:f>
        <x:v>0</x:v>
      </x:c>
      <x:c r="BM183" s="141" t="n">
        <x:f>BM182*(1+Premissas!$B$41)+BL183</x:f>
        <x:v>0</x:v>
      </x:c>
      <x:c r="BN183" s="141" t="n">
        <x:f>MAX(0,BK183)</x:f>
        <x:v>3036112.873666147</x:v>
      </x:c>
      <x:c r="BO183" s="141" t="n">
        <x:f>INDEX('Consorcio Direto'!$K$55:$K$534,$A183)</x:f>
        <x:v>181196.13629855876</x:v>
      </x:c>
      <x:c r="BP183" s="141" t="n">
        <x:f>IF($A183&lt;'Consorcio Direto'!$B$29,INDEX('Consorcio Direto'!$L$55:$L$534,$A183),$F183)</x:f>
        <x:v>474679.3406335805</x:v>
      </x:c>
      <x:c r="BQ183" s="141" t="n">
        <x:f>BN183+BP183-BO183</x:f>
        <x:v>3329596.0780011686</x:v>
      </x:c>
      <x:c r="BR183" s="141" t="n">
        <x:f>IF(BM183&gt;1,"Inviavel",BQ183)</x:f>
        <x:v>3329596.0780011686</x:v>
      </x:c>
      <x:c r="BS183" s="141" t="str">
        <x:f>IF(BM183&gt;1,"Inviavel","OK")</x:f>
        <x:v>OK</x:v>
      </x:c>
      <x:c r="BT183" s="141" t="n">
        <x:f>IF(AND('Carta Contemplada'!$B$22="Sim",$A183='Carta Contemplada'!$B$23),'Carta Contemplada'!$B$37,0)</x:f>
        <x:v>0</x:v>
      </x:c>
      <x:c r="BU183" s="141" t="n">
        <x:f>IF('Carta Contemplada'!$B$22="Sim",INDEX('Carta Contemplada'!$C$55:$C$1013,$A183),0)</x:f>
        <x:v>2713.0847469053115</x:v>
      </x:c>
      <x:c r="BV183" s="141" t="n">
        <x:f>IF(AND('Carta Contemplada'!$B$22="Sim",Premissas!$B$11="Imovel",Premissas!$B$47="Moradia",$A183&lt;MAX('Carta Contemplada'!$B$44,Premissas!$B$49)),$D183,0)</x:f>
        <x:v>0</x:v>
      </x:c>
      <x:c r="BW183" s="141" t="n">
        <x:f>IF(AND('Carta Contemplada'!$B$22="Sim",Premissas!$B$11="Imovel",Premissas!$B$47="Investimento",$A183&gt;=MAX('Carta Contemplada'!$B$44,Premissas!$B$49)),$E183,0)</x:f>
        <x:v>1446.9785316828327</x:v>
      </x:c>
      <x:c r="BX183" s="141" t="n">
        <x:f>BT183+BU183+BV183</x:f>
        <x:v>2713.0847469053115</x:v>
      </x:c>
      <x:c r="BY183" s="141" t="n">
        <x:f>BW183</x:f>
        <x:v>1446.9785316828327</x:v>
      </x:c>
      <x:c r="BZ183" s="141" t="n">
        <x:f>$C183+BY183-BX183</x:f>
        <x:v>5733.893784777521</x:v>
      </x:c>
      <x:c r="CA183" s="141" t="n">
        <x:f>CD182*(1+Premissas!$B$41)+BZ183</x:f>
        <x:v>3134686.1081985654</x:v>
      </x:c>
      <x:c r="CB183" s="141" t="n">
        <x:f>MAX(0,-CA183)</x:f>
        <x:v>0</x:v>
      </x:c>
      <x:c r="CC183" s="141" t="n">
        <x:f>CC182*(1+Premissas!$B$41)+CB183</x:f>
        <x:v>0</x:v>
      </x:c>
      <x:c r="CD183" s="141" t="n">
        <x:f>MAX(0,CA183)</x:f>
        <x:v>3134686.1081985654</x:v>
      </x:c>
      <x:c r="CE183" s="141" t="n">
        <x:f>IF(AND('Carta Contemplada'!$B$22="Sim",$A183&gt;='Carta Contemplada'!$B$23),INDEX('Carta Contemplada'!$I$55:$I$1013,$A183),0)</x:f>
        <x:v>2687.582829937494</x:v>
      </x:c>
      <x:c r="CF183" s="141" t="n">
        <x:f>IF(AND('Carta Contemplada'!$B$22="Sim",$A183&gt;='Carta Contemplada'!$B$44),$F183,0)</x:f>
        <x:v>474679.3406335805</x:v>
      </x:c>
      <x:c r="CG183" s="141" t="n">
        <x:f>CD183+CF183-CE183</x:f>
        <x:v>3606677.8660022086</x:v>
      </x:c>
      <x:c r="CH183" s="141" t="n">
        <x:f>IF(CC183&gt;1,"Inviavel",CG183)</x:f>
        <x:v>3606677.8660022086</x:v>
      </x:c>
      <x:c r="CI183" s="145" t="str">
        <x:f>IF(CC183&gt;1,"Inviavel","OK")</x:f>
        <x:v>OK</x:v>
      </x:c>
    </x:row>
    <x:row r="184">
      <x:c r="A184" s="142" t="n">
        <x:v>180</x:v>
      </x:c>
      <x:c r="B184" s="179" t="n">
        <x:f>EDATE(Premissas!$B$4,A184-1)</x:f>
        <x:v>51987</x:v>
      </x:c>
      <x:c r="C184" s="141" t="n">
        <x:f>IF(A184&lt;=Premissas!$B$39,Premissas!$B$42,0)</x:f>
        <x:v>7000</x:v>
      </x:c>
      <x:c r="D184" s="141" t="n">
        <x:f>Premissas!$B$54*(1+Premissas!$B$57)^INT((A184-1)/12)</x:f>
        <x:v>1582.6327690280982</x:v>
      </x:c>
      <x:c r="E184" s="141" t="n">
        <x:f>Premissas!$B$64*(1+Premissas!$B$57)^INT((A184-1)/12)</x:f>
        <x:v>1446.9785316828327</x:v>
      </x:c>
      <x:c r="F184" s="141" t="n">
        <x:f>MAX(0,Premissas!$B$6*(1+Premissas!$B$66)^((A184-1)/12))</x:f>
        <x:v>476989.86632643815</x:v>
      </x:c>
      <x:c r="G184" s="141" t="n">
        <x:f>G183*(1+Premissas!$B$41)+C184</x:f>
        <x:v>3788195.3120798115</x:v>
      </x:c>
      <x:c r="H184" s="141" t="n">
        <x:f>IF($A184=Premissas!$B$48,Premissas!$B$8,0)</x:f>
        <x:v>0</x:v>
      </x:c>
      <x:c r="I184" s="141" t="n">
        <x:f>IF(AND($A184&gt;=Premissas!$B$48,$A184-Premissas!$B$48+1&lt;=Premissas!$B$13),INDEX(Financiamento!$J$6:$J$485,$A184-Premissas!$B$48+1),0)</x:f>
        <x:v>1402.1139418036264</x:v>
      </x:c>
      <x:c r="J184" s="141" t="n">
        <x:f>IF(AND(TRUE,Premissas!$B$11="Imovel",Premissas!$B$47="Moradia",$A184&lt;MAX(Premissas!$B$48,Premissas!$B$49)),$D184,0)</x:f>
        <x:v>0</x:v>
      </x:c>
      <x:c r="K184" s="141" t="n">
        <x:f>IF(AND(TRUE,Premissas!$B$11="Imovel",Premissas!$B$47="Investimento",$A184&gt;=MAX(Premissas!$B$48,Premissas!$B$49)),$E184,0)</x:f>
        <x:v>1446.9785316828327</x:v>
      </x:c>
      <x:c r="L184" s="141" t="n">
        <x:f>H184+I184+J184</x:f>
        <x:v>1402.1139418036264</x:v>
      </x:c>
      <x:c r="M184" s="141" t="n">
        <x:f>K184</x:f>
        <x:v>1446.9785316828327</x:v>
      </x:c>
      <x:c r="N184" s="141" t="n">
        <x:f>$C184+M184-L184</x:f>
        <x:v>7044.8645898792065</x:v>
      </x:c>
      <x:c r="O184" s="141" t="n">
        <x:f>R183*(1+Premissas!$B$41)+N184</x:f>
        <x:v>3131325.9742276566</x:v>
      </x:c>
      <x:c r="P184" s="141" t="n">
        <x:f>MAX(0,-O184)</x:f>
        <x:v>0</x:v>
      </x:c>
      <x:c r="Q184" s="141" t="n">
        <x:f>Q183*(1+Premissas!$B$41)+P184</x:f>
        <x:v>0</x:v>
      </x:c>
      <x:c r="R184" s="141" t="n">
        <x:f>MAX(0,O184)</x:f>
        <x:v>3131325.9742276566</x:v>
      </x:c>
      <x:c r="S184" s="141" t="n">
        <x:f>IF(AND($A184&gt;=Premissas!$B$48,$A184-Premissas!$B$48+1&lt;=Premissas!$B$13),INDEX(Financiamento!$M$6:$M$485,$A184-Premissas!$B$48+1),0)</x:f>
        <x:v>91428.57142857158</x:v>
      </x:c>
      <x:c r="T184" s="141" t="n">
        <x:f>IF($A184&gt;=Premissas!$B$48,$F184,0)</x:f>
        <x:v>476989.86632643815</x:v>
      </x:c>
      <x:c r="U184" s="141" t="n">
        <x:f>R184+T184-S184</x:f>
        <x:v>3516887.2691255235</x:v>
      </x:c>
      <x:c r="V184" s="141" t="n">
        <x:f>IF(Q184&gt;1,"Inviavel",U184)</x:f>
        <x:v>3516887.2691255235</x:v>
      </x:c>
      <x:c r="W184" s="141" t="str">
        <x:f>IF(Q184&gt;1,"Inviavel","OK")</x:f>
        <x:v>OK</x:v>
      </x:c>
      <x:c r="X184" s="141" t="n">
        <x:f>IF($A184=Premissas!$B$48,Premissas!$B$8,0)</x:f>
        <x:v>0</x:v>
      </x:c>
      <x:c r="Y184" s="141" t="n">
        <x:f>IF(AND($A184&gt;=Premissas!$B$48,$A184-Premissas!$B$48+1&lt;=Premissas!$B$13),INDEX(Amortizacao!$K$6:$K$485,$A184-Premissas!$B$48+1),0)</x:f>
        <x:v>0</x:v>
      </x:c>
      <x:c r="Z184" s="141" t="n">
        <x:f>IF(AND(TRUE,Premissas!$B$11="Imovel",Premissas!$B$47="Moradia",$A184&lt;MAX(Premissas!$B$48,Premissas!$B$49)),$D184,0)</x:f>
        <x:v>0</x:v>
      </x:c>
      <x:c r="AA184" s="141" t="n">
        <x:f>IF(AND(TRUE,Premissas!$B$11="Imovel",Premissas!$B$47="Investimento",$A184&gt;=MAX(Premissas!$B$48,Premissas!$B$49)),$E184,0)</x:f>
        <x:v>1446.9785316828327</x:v>
      </x:c>
      <x:c r="AB184" s="141" t="n">
        <x:f>X184+Y184+Z184</x:f>
        <x:v>0</x:v>
      </x:c>
      <x:c r="AC184" s="141" t="n">
        <x:f>AA184</x:f>
        <x:v>1446.9785316828327</x:v>
      </x:c>
      <x:c r="AD184" s="141" t="n">
        <x:f>$C184+AC184-AB184</x:f>
        <x:v>8446.978531682833</x:v>
      </x:c>
      <x:c r="AE184" s="141" t="n">
        <x:f>AH183*(1+Premissas!$B$41)+AD184</x:f>
        <x:v>3091141.024467592</x:v>
      </x:c>
      <x:c r="AF184" s="141" t="n">
        <x:f>MAX(0,-AE184)</x:f>
        <x:v>0</x:v>
      </x:c>
      <x:c r="AG184" s="141" t="n">
        <x:f>AG183*(1+Premissas!$B$41)+AF184</x:f>
        <x:v>0</x:v>
      </x:c>
      <x:c r="AH184" s="141" t="n">
        <x:f>MAX(0,AE184)</x:f>
        <x:v>3091141.024467592</x:v>
      </x:c>
      <x:c r="AI184" s="141" t="n">
        <x:f>IF(AND($A184&gt;=Premissas!$B$48,$A184-Premissas!$B$48+1&lt;=Premissas!$B$13),INDEX(Amortizacao!$L$6:$L$485,$A184-Premissas!$B$48+1),0)</x:f>
        <x:v>0</x:v>
      </x:c>
      <x:c r="AJ184" s="141" t="n">
        <x:f>IF($A184&gt;=Premissas!$B$48,$F184,0)</x:f>
        <x:v>476989.86632643815</x:v>
      </x:c>
      <x:c r="AK184" s="141" t="n">
        <x:f>AH184+AJ184-AI184</x:f>
        <x:v>3568130.8907940304</x:v>
      </x:c>
      <x:c r="AL184" s="141" t="n">
        <x:f>IF(AG184&gt;1,"Inviavel",AK184)</x:f>
        <x:v>3568130.8907940304</x:v>
      </x:c>
      <x:c r="AM184" s="141" t="str">
        <x:f>IF(AG184&gt;1,"Inviavel","OK")</x:f>
        <x:v>OK</x:v>
      </x:c>
      <x:c r="AN184" s="141" t="n">
        <x:f>IF($A184=Premissas!$B$48,Premissas!$B$8,0)</x:f>
        <x:v>0</x:v>
      </x:c>
      <x:c r="AO184" s="141" t="n">
        <x:f>IF($A184&lt;=Premissas!$B$25,INDEX('Consorcio IQ'!$K$6:$K$485,$A184),0)</x:f>
        <x:v>1289.7685110501664</x:v>
      </x:c>
      <x:c r="AP184" s="141" t="n">
        <x:f>IF(AND(TRUE,Premissas!$B$11="Imovel",Premissas!$B$47="Moradia",$A184&lt;MAX(Premissas!$B$48,Premissas!$B$49)),$D184,0)</x:f>
        <x:v>0</x:v>
      </x:c>
      <x:c r="AQ184" s="141" t="n">
        <x:f>IF(AND(TRUE,Premissas!$B$11="Imovel",Premissas!$B$47="Investimento",$A184&gt;=MAX(Premissas!$B$48,Premissas!$B$49)),$E184,0)</x:f>
        <x:v>1446.9785316828327</x:v>
      </x:c>
      <x:c r="AR184" s="141" t="n">
        <x:f>AN184+AO184+AP184</x:f>
        <x:v>1289.7685110501664</x:v>
      </x:c>
      <x:c r="AS184" s="141" t="n">
        <x:f>AQ184</x:f>
        <x:v>1446.9785316828327</x:v>
      </x:c>
      <x:c r="AT184" s="141" t="n">
        <x:f>$C184+AS184-AR184</x:f>
        <x:v>7157.210020632667</x:v>
      </x:c>
      <x:c r="AU184" s="141" t="n">
        <x:f>AX183*(1+Premissas!$B$41)+AT184</x:f>
        <x:v>3129152.659575974</x:v>
      </x:c>
      <x:c r="AV184" s="141" t="n">
        <x:f>MAX(0,-AU184)</x:f>
        <x:v>0</x:v>
      </x:c>
      <x:c r="AW184" s="141" t="n">
        <x:f>AW183*(1+Premissas!$B$41)+AV184</x:f>
        <x:v>0</x:v>
      </x:c>
      <x:c r="AX184" s="141" t="n">
        <x:f>MAX(0,AU184)</x:f>
        <x:v>3129152.659575974</x:v>
      </x:c>
      <x:c r="AY184" s="141" t="n">
        <x:f>INDEX('Consorcio IQ'!$P$6:$P$485,$A184)</x:f>
        <x:v>69347.58038203562</x:v>
      </x:c>
      <x:c r="AZ184" s="141" t="n">
        <x:f>IF($A184&gt;=Premissas!$B$48,$F184,0)+IF($A184&lt;Premissas!$B$27,INDEX('Consorcio IQ'!$O$6:$O$485,$A184),0)</x:f>
        <x:v>476989.86632643815</x:v>
      </x:c>
      <x:c r="BA184" s="141" t="n">
        <x:f>AX184+AZ184-AY184</x:f>
        <x:v>3536794.945520377</x:v>
      </x:c>
      <x:c r="BB184" s="141" t="n">
        <x:f>IF(AW184&gt;1,"Inviavel",BA184)</x:f>
        <x:v>3536794.945520377</x:v>
      </x:c>
      <x:c r="BC184" s="141" t="str">
        <x:f>IF(AW184&gt;1,"Inviavel","OK")</x:f>
        <x:v>OK</x:v>
      </x:c>
      <x:c r="BD184" s="141" t="n">
        <x:f>IF($A184='Consorcio Direto'!$B$29,'Consorcio Direto'!$B$44,0)</x:f>
        <x:v>0</x:v>
      </x:c>
      <x:c r="BE184" s="141" t="n">
        <x:f>IF($A184&lt;='Consorcio Direto'!$B$27,INDEX('Consorcio Direto'!$E$55:$E$534,$A184),0)</x:f>
        <x:v>3339.856544580702</x:v>
      </x:c>
      <x:c r="BF184" s="141" t="n">
        <x:f>IF(AND(TRUE,Premissas!$B$11="Imovel",Premissas!$B$47="Moradia",$A184&lt;MAX('Consorcio Direto'!$B$29,Premissas!$B$49)),$D184,0)</x:f>
        <x:v>0</x:v>
      </x:c>
      <x:c r="BG184" s="141" t="n">
        <x:f>IF(AND(TRUE,Premissas!$B$11="Imovel",Premissas!$B$47="Investimento",$A184&gt;=MAX('Consorcio Direto'!$B$29,Premissas!$B$49)),$E184,0)</x:f>
        <x:v>1446.9785316828327</x:v>
      </x:c>
      <x:c r="BH184" s="141" t="n">
        <x:f>BD184+BE184+BF184</x:f>
        <x:v>3339.856544580702</x:v>
      </x:c>
      <x:c r="BI184" s="141" t="n">
        <x:f>BG184</x:f>
        <x:v>1446.9785316828327</x:v>
      </x:c>
      <x:c r="BJ184" s="141" t="n">
        <x:f>$C184+BI184-BH184</x:f>
        <x:v>5107.121987102131</x:v>
      </x:c>
      <x:c r="BK184" s="141" t="n">
        <x:f>BN183*(1+Premissas!$B$41)+BJ184</x:f>
        <x:v>3070029.042037489</x:v>
      </x:c>
      <x:c r="BL184" s="141" t="n">
        <x:f>MAX(0,-BK184)</x:f>
        <x:v>0</x:v>
      </x:c>
      <x:c r="BM184" s="141" t="n">
        <x:f>BM183*(1+Premissas!$B$41)+BL184</x:f>
        <x:v>0</x:v>
      </x:c>
      <x:c r="BN184" s="141" t="n">
        <x:f>MAX(0,BK184)</x:f>
        <x:v>3070029.042037489</x:v>
      </x:c>
      <x:c r="BO184" s="141" t="n">
        <x:f>INDEX('Consorcio Direto'!$K$55:$K$534,$A184)</x:f>
        <x:v>179575.61237186159</x:v>
      </x:c>
      <x:c r="BP184" s="141" t="n">
        <x:f>IF($A184&lt;'Consorcio Direto'!$B$29,INDEX('Consorcio Direto'!$L$55:$L$534,$A184),$F184)</x:f>
        <x:v>476989.86632643815</x:v>
      </x:c>
      <x:c r="BQ184" s="141" t="n">
        <x:f>BN184+BP184-BO184</x:f>
        <x:v>3367443.2959920657</x:v>
      </x:c>
      <x:c r="BR184" s="141" t="n">
        <x:f>IF(BM184&gt;1,"Inviavel",BQ184)</x:f>
        <x:v>3367443.2959920657</x:v>
      </x:c>
      <x:c r="BS184" s="141" t="str">
        <x:f>IF(BM184&gt;1,"Inviavel","OK")</x:f>
        <x:v>OK</x:v>
      </x:c>
      <x:c r="BT184" s="141" t="n">
        <x:f>IF(AND('Carta Contemplada'!$B$22="Sim",$A184='Carta Contemplada'!$B$23),'Carta Contemplada'!$B$37,0)</x:f>
        <x:v>0</x:v>
      </x:c>
      <x:c r="BU184" s="141" t="n">
        <x:f>IF('Carta Contemplada'!$B$22="Sim",INDEX('Carta Contemplada'!$C$55:$C$1013,$A184),0)</x:f>
        <x:v>2713.0847469053115</x:v>
      </x:c>
      <x:c r="BV184" s="141" t="n">
        <x:f>IF(AND('Carta Contemplada'!$B$22="Sim",Premissas!$B$11="Imovel",Premissas!$B$47="Moradia",$A184&lt;MAX('Carta Contemplada'!$B$44,Premissas!$B$49)),$D184,0)</x:f>
        <x:v>0</x:v>
      </x:c>
      <x:c r="BW184" s="141" t="n">
        <x:f>IF(AND('Carta Contemplada'!$B$22="Sim",Premissas!$B$11="Imovel",Premissas!$B$47="Investimento",$A184&gt;=MAX('Carta Contemplada'!$B$44,Premissas!$B$49)),$E184,0)</x:f>
        <x:v>1446.9785316828327</x:v>
      </x:c>
      <x:c r="BX184" s="141" t="n">
        <x:f>BT184+BU184+BV184</x:f>
        <x:v>2713.0847469053115</x:v>
      </x:c>
      <x:c r="BY184" s="141" t="n">
        <x:f>BW184</x:f>
        <x:v>1446.9785316828327</x:v>
      </x:c>
      <x:c r="BZ184" s="141" t="n">
        <x:f>$C184+BY184-BX184</x:f>
        <x:v>5733.893784777521</x:v>
      </x:c>
      <x:c r="CA184" s="141" t="n">
        <x:f>CD183*(1+Premissas!$B$41)+BZ184</x:f>
        <x:v>3170164.3893789533</x:v>
      </x:c>
      <x:c r="CB184" s="141" t="n">
        <x:f>MAX(0,-CA184)</x:f>
        <x:v>0</x:v>
      </x:c>
      <x:c r="CC184" s="141" t="n">
        <x:f>CC183*(1+Premissas!$B$41)+CB184</x:f>
        <x:v>0</x:v>
      </x:c>
      <x:c r="CD184" s="141" t="n">
        <x:f>MAX(0,CA184)</x:f>
        <x:v>3170164.3893789533</x:v>
      </x:c>
      <x:c r="CE184" s="141" t="n">
        <x:f>IF(AND('Carta Contemplada'!$B$22="Sim",$A184&gt;='Carta Contemplada'!$B$23),INDEX('Carta Contemplada'!$I$55:$I$1013,$A184),0)</x:f>
        <x:v>0</x:v>
      </x:c>
      <x:c r="CF184" s="141" t="n">
        <x:f>IF(AND('Carta Contemplada'!$B$22="Sim",$A184&gt;='Carta Contemplada'!$B$44),$F184,0)</x:f>
        <x:v>476989.86632643815</x:v>
      </x:c>
      <x:c r="CG184" s="141" t="n">
        <x:f>CD184+CF184-CE184</x:f>
        <x:v>3647154.2557053915</x:v>
      </x:c>
      <x:c r="CH184" s="141" t="n">
        <x:f>IF(CC184&gt;1,"Inviavel",CG184)</x:f>
        <x:v>3647154.2557053915</x:v>
      </x:c>
      <x:c r="CI184" s="145" t="str">
        <x:f>IF(CC184&gt;1,"Inviavel","OK")</x:f>
        <x:v>OK</x:v>
      </x:c>
    </x:row>
    <x:row r="185">
      <x:c r="A185" s="142" t="n">
        <x:v>181</x:v>
      </x:c>
      <x:c r="B185" s="179" t="n">
        <x:f>EDATE(Premissas!$B$4,A185-1)</x:f>
        <x:v>52018</x:v>
      </x:c>
      <x:c r="C185" s="141" t="n">
        <x:f>IF(A185&lt;=Premissas!$B$39,Premissas!$B$42,0)</x:f>
        <x:v>7000</x:v>
      </x:c>
      <x:c r="D185" s="141" t="n">
        <x:f>Premissas!$B$54*(1+Premissas!$B$57)^INT((A185-1)/12)</x:f>
        <x:v>1677.590735169784</x:v>
      </x:c>
      <x:c r="E185" s="141" t="n">
        <x:f>Premissas!$B$64*(1+Premissas!$B$57)^INT((A185-1)/12)</x:f>
        <x:v>1533.7972435838026</x:v>
      </x:c>
      <x:c r="F185" s="141" t="n">
        <x:f>MAX(0,Premissas!$B$6*(1+Premissas!$B$66)^((A185-1)/12))</x:f>
        <x:v>479311.6386199383</x:v>
      </x:c>
      <x:c r="G185" s="141" t="n">
        <x:f>G184*(1+Premissas!$B$41)+C185</x:f>
        <x:v>3831140.712991895</x:v>
      </x:c>
      <x:c r="H185" s="141" t="n">
        <x:f>IF($A185=Premissas!$B$48,Premissas!$B$8,0)</x:f>
        <x:v>0</x:v>
      </x:c>
      <x:c r="I185" s="141" t="n">
        <x:f>IF(AND($A185&gt;=Premissas!$B$48,$A185-Premissas!$B$48+1&lt;=Premissas!$B$13),INDEX(Financiamento!$J$6:$J$485,$A185-Premissas!$B$48+1),0)</x:f>
        <x:v>1398.499163542833</x:v>
      </x:c>
      <x:c r="J185" s="141" t="n">
        <x:f>IF(AND(TRUE,Premissas!$B$11="Imovel",Premissas!$B$47="Moradia",$A185&lt;MAX(Premissas!$B$48,Premissas!$B$49)),$D185,0)</x:f>
        <x:v>0</x:v>
      </x:c>
      <x:c r="K185" s="141" t="n">
        <x:f>IF(AND(TRUE,Premissas!$B$11="Imovel",Premissas!$B$47="Investimento",$A185&gt;=MAX(Premissas!$B$48,Premissas!$B$49)),$E185,0)</x:f>
        <x:v>1533.7972435838026</x:v>
      </x:c>
      <x:c r="L185" s="141" t="n">
        <x:f>H185+I185+J185</x:f>
        <x:v>1398.499163542833</x:v>
      </x:c>
      <x:c r="M185" s="141" t="n">
        <x:f>K185</x:f>
        <x:v>1533.7972435838026</x:v>
      </x:c>
      <x:c r="N185" s="141" t="n">
        <x:f>$C185+M185-L185</x:f>
        <x:v>7135.298080040969</x:v>
      </x:c>
      <x:c r="O185" s="141" t="n">
        <x:f>R184*(1+Premissas!$B$41)+N185</x:f>
        <x:v>3168173.7760878257</x:v>
      </x:c>
      <x:c r="P185" s="141" t="n">
        <x:f>MAX(0,-O185)</x:f>
        <x:v>0</x:v>
      </x:c>
      <x:c r="Q185" s="141" t="n">
        <x:f>Q184*(1+Premissas!$B$41)+P185</x:f>
        <x:v>0</x:v>
      </x:c>
      <x:c r="R185" s="141" t="n">
        <x:f>MAX(0,O185)</x:f>
        <x:v>3168173.7760878257</x:v>
      </x:c>
      <x:c r="S185" s="141" t="n">
        <x:f>IF(AND($A185&gt;=Premissas!$B$48,$A185-Premissas!$B$48+1&lt;=Premissas!$B$13),INDEX(Financiamento!$M$6:$M$485,$A185-Premissas!$B$48+1),0)</x:f>
        <x:v>91047.6190476192</x:v>
      </x:c>
      <x:c r="T185" s="141" t="n">
        <x:f>IF($A185&gt;=Premissas!$B$48,$F185,0)</x:f>
        <x:v>479311.6386199383</x:v>
      </x:c>
      <x:c r="U185" s="141" t="n">
        <x:f>R185+T185-S185</x:f>
        <x:v>3556437.7956601446</x:v>
      </x:c>
      <x:c r="V185" s="141" t="n">
        <x:f>IF(Q185&gt;1,"Inviavel",U185)</x:f>
        <x:v>3556437.7956601446</x:v>
      </x:c>
      <x:c r="W185" s="141" t="str">
        <x:f>IF(Q185&gt;1,"Inviavel","OK")</x:f>
        <x:v>OK</x:v>
      </x:c>
      <x:c r="X185" s="141" t="n">
        <x:f>IF($A185=Premissas!$B$48,Premissas!$B$8,0)</x:f>
        <x:v>0</x:v>
      </x:c>
      <x:c r="Y185" s="141" t="n">
        <x:f>IF(AND($A185&gt;=Premissas!$B$48,$A185-Premissas!$B$48+1&lt;=Premissas!$B$13),INDEX(Amortizacao!$K$6:$K$485,$A185-Premissas!$B$48+1),0)</x:f>
        <x:v>0</x:v>
      </x:c>
      <x:c r="Z185" s="141" t="n">
        <x:f>IF(AND(TRUE,Premissas!$B$11="Imovel",Premissas!$B$47="Moradia",$A185&lt;MAX(Premissas!$B$48,Premissas!$B$49)),$D185,0)</x:f>
        <x:v>0</x:v>
      </x:c>
      <x:c r="AA185" s="141" t="n">
        <x:f>IF(AND(TRUE,Premissas!$B$11="Imovel",Premissas!$B$47="Investimento",$A185&gt;=MAX(Premissas!$B$48,Premissas!$B$49)),$E185,0)</x:f>
        <x:v>1533.7972435838026</x:v>
      </x:c>
      <x:c r="AB185" s="141" t="n">
        <x:f>X185+Y185+Z185</x:f>
        <x:v>0</x:v>
      </x:c>
      <x:c r="AC185" s="141" t="n">
        <x:f>AA185</x:f>
        <x:v>1533.7972435838026</x:v>
      </x:c>
      <x:c r="AD185" s="141" t="n">
        <x:f>$C185+AC185-AB185</x:f>
        <x:v>8533.797243583802</x:v>
      </x:c>
      <x:c r="AE185" s="141" t="n">
        <x:f>AH184*(1+Premissas!$B$41)+AD185</x:f>
        <x:v>3129006.018823944</x:v>
      </x:c>
      <x:c r="AF185" s="141" t="n">
        <x:f>MAX(0,-AE185)</x:f>
        <x:v>0</x:v>
      </x:c>
      <x:c r="AG185" s="141" t="n">
        <x:f>AG184*(1+Premissas!$B$41)+AF185</x:f>
        <x:v>0</x:v>
      </x:c>
      <x:c r="AH185" s="141" t="n">
        <x:f>MAX(0,AE185)</x:f>
        <x:v>3129006.018823944</x:v>
      </x:c>
      <x:c r="AI185" s="141" t="n">
        <x:f>IF(AND($A185&gt;=Premissas!$B$48,$A185-Premissas!$B$48+1&lt;=Premissas!$B$13),INDEX(Amortizacao!$L$6:$L$485,$A185-Premissas!$B$48+1),0)</x:f>
        <x:v>0</x:v>
      </x:c>
      <x:c r="AJ185" s="141" t="n">
        <x:f>IF($A185&gt;=Premissas!$B$48,$F185,0)</x:f>
        <x:v>479311.6386199383</x:v>
      </x:c>
      <x:c r="AK185" s="141" t="n">
        <x:f>AH185+AJ185-AI185</x:f>
        <x:v>3608317.6574438824</x:v>
      </x:c>
      <x:c r="AL185" s="141" t="n">
        <x:f>IF(AG185&gt;1,"Inviavel",AK185)</x:f>
        <x:v>3608317.6574438824</x:v>
      </x:c>
      <x:c r="AM185" s="141" t="str">
        <x:f>IF(AG185&gt;1,"Inviavel","OK")</x:f>
        <x:v>OK</x:v>
      </x:c>
      <x:c r="AN185" s="141" t="n">
        <x:f>IF($A185=Premissas!$B$48,Premissas!$B$8,0)</x:f>
        <x:v>0</x:v>
      </x:c>
      <x:c r="AO185" s="141" t="n">
        <x:f>IF($A185&lt;=Premissas!$B$25,INDEX('Consorcio IQ'!$K$6:$K$485,$A185),0)</x:f>
        <x:v>1367.1546217131763</x:v>
      </x:c>
      <x:c r="AP185" s="141" t="n">
        <x:f>IF(AND(TRUE,Premissas!$B$11="Imovel",Premissas!$B$47="Moradia",$A185&lt;MAX(Premissas!$B$48,Premissas!$B$49)),$D185,0)</x:f>
        <x:v>0</x:v>
      </x:c>
      <x:c r="AQ185" s="141" t="n">
        <x:f>IF(AND(TRUE,Premissas!$B$11="Imovel",Premissas!$B$47="Investimento",$A185&gt;=MAX(Premissas!$B$48,Premissas!$B$49)),$E185,0)</x:f>
        <x:v>1533.7972435838026</x:v>
      </x:c>
      <x:c r="AR185" s="141" t="n">
        <x:f>AN185+AO185+AP185</x:f>
        <x:v>1367.1546217131763</x:v>
      </x:c>
      <x:c r="AS185" s="141" t="n">
        <x:f>AQ185</x:f>
        <x:v>1533.7972435838026</x:v>
      </x:c>
      <x:c r="AT185" s="141" t="n">
        <x:f>$C185+AS185-AR185</x:f>
        <x:v>7166.642621870626</x:v>
      </x:c>
      <x:c r="AU185" s="141" t="n">
        <x:f>AX184*(1+Premissas!$B$41)+AT185</x:f>
        <x:v>3166011.183845261</x:v>
      </x:c>
      <x:c r="AV185" s="141" t="n">
        <x:f>MAX(0,-AU185)</x:f>
        <x:v>0</x:v>
      </x:c>
      <x:c r="AW185" s="141" t="n">
        <x:f>AW184*(1+Premissas!$B$41)+AV185</x:f>
        <x:v>0</x:v>
      </x:c>
      <x:c r="AX185" s="141" t="n">
        <x:f>MAX(0,AU185)</x:f>
        <x:v>3166011.183845261</x:v>
      </x:c>
      <x:c r="AY185" s="141" t="n">
        <x:f>INDEX('Consorcio IQ'!$P$6:$P$485,$A185)</x:f>
        <x:v>68638.45059108194</x:v>
      </x:c>
      <x:c r="AZ185" s="141" t="n">
        <x:f>IF($A185&gt;=Premissas!$B$48,$F185,0)+IF($A185&lt;Premissas!$B$27,INDEX('Consorcio IQ'!$O$6:$O$485,$A185),0)</x:f>
        <x:v>479311.6386199383</x:v>
      </x:c>
      <x:c r="BA185" s="141" t="n">
        <x:f>AX185+AZ185-AY185</x:f>
        <x:v>3576684.3718741178</x:v>
      </x:c>
      <x:c r="BB185" s="141" t="n">
        <x:f>IF(AW185&gt;1,"Inviavel",BA185)</x:f>
        <x:v>3576684.3718741178</x:v>
      </x:c>
      <x:c r="BC185" s="141" t="str">
        <x:f>IF(AW185&gt;1,"Inviavel","OK")</x:f>
        <x:v>OK</x:v>
      </x:c>
      <x:c r="BD185" s="141" t="n">
        <x:f>IF($A185='Consorcio Direto'!$B$29,'Consorcio Direto'!$B$44,0)</x:f>
        <x:v>0</x:v>
      </x:c>
      <x:c r="BE185" s="141" t="n">
        <x:f>IF($A185&lt;='Consorcio Direto'!$B$27,INDEX('Consorcio Direto'!$E$55:$E$534,$A185),0)</x:f>
        <x:v>3540.247937255544</x:v>
      </x:c>
      <x:c r="BF185" s="141" t="n">
        <x:f>IF(AND(TRUE,Premissas!$B$11="Imovel",Premissas!$B$47="Moradia",$A185&lt;MAX('Consorcio Direto'!$B$29,Premissas!$B$49)),$D185,0)</x:f>
        <x:v>0</x:v>
      </x:c>
      <x:c r="BG185" s="141" t="n">
        <x:f>IF(AND(TRUE,Premissas!$B$11="Imovel",Premissas!$B$47="Investimento",$A185&gt;=MAX('Consorcio Direto'!$B$29,Premissas!$B$49)),$E185,0)</x:f>
        <x:v>1533.7972435838026</x:v>
      </x:c>
      <x:c r="BH185" s="141" t="n">
        <x:f>BD185+BE185+BF185</x:f>
        <x:v>3540.247937255544</x:v>
      </x:c>
      <x:c r="BI185" s="141" t="n">
        <x:f>BG185</x:f>
        <x:v>1533.7972435838026</x:v>
      </x:c>
      <x:c r="BJ185" s="141" t="n">
        <x:f>$C185+BI185-BH185</x:f>
        <x:v>4993.549306328257</x:v>
      </x:c>
      <x:c r="BK185" s="141" t="n">
        <x:f>BN184*(1+Premissas!$B$41)+BJ185</x:f>
        <x:v>3104153.4612268675</x:v>
      </x:c>
      <x:c r="BL185" s="141" t="n">
        <x:f>MAX(0,-BK185)</x:f>
        <x:v>0</x:v>
      </x:c>
      <x:c r="BM185" s="141" t="n">
        <x:f>BM184*(1+Premissas!$B$41)+BL185</x:f>
        <x:v>0</x:v>
      </x:c>
      <x:c r="BN185" s="141" t="n">
        <x:f>MAX(0,BK185)</x:f>
        <x:v>3104153.4612268675</x:v>
      </x:c>
      <x:c r="BO185" s="141" t="n">
        <x:f>INDEX('Consorcio Direto'!$K$55:$K$534,$A185)</x:f>
        <x:v>177739.32023650358</x:v>
      </x:c>
      <x:c r="BP185" s="141" t="n">
        <x:f>IF($A185&lt;'Consorcio Direto'!$B$29,INDEX('Consorcio Direto'!$L$55:$L$534,$A185),$F185)</x:f>
        <x:v>479311.6386199383</x:v>
      </x:c>
      <x:c r="BQ185" s="141" t="n">
        <x:f>BN185+BP185-BO185</x:f>
        <x:v>3405725.7796103023</x:v>
      </x:c>
      <x:c r="BR185" s="141" t="n">
        <x:f>IF(BM185&gt;1,"Inviavel",BQ185)</x:f>
        <x:v>3405725.7796103023</x:v>
      </x:c>
      <x:c r="BS185" s="141" t="str">
        <x:f>IF(BM185&gt;1,"Inviavel","OK")</x:f>
        <x:v>OK</x:v>
      </x:c>
      <x:c r="BT185" s="141" t="n">
        <x:f>IF(AND('Carta Contemplada'!$B$22="Sim",$A185='Carta Contemplada'!$B$23),'Carta Contemplada'!$B$37,0)</x:f>
        <x:v>0</x:v>
      </x:c>
      <x:c r="BU185" s="141" t="n">
        <x:f>IF('Carta Contemplada'!$B$22="Sim",INDEX('Carta Contemplada'!$C$55:$C$1013,$A185),0)</x:f>
        <x:v>0</x:v>
      </x:c>
      <x:c r="BV185" s="141" t="n">
        <x:f>IF(AND('Carta Contemplada'!$B$22="Sim",Premissas!$B$11="Imovel",Premissas!$B$47="Moradia",$A185&lt;MAX('Carta Contemplada'!$B$44,Premissas!$B$49)),$D185,0)</x:f>
        <x:v>0</x:v>
      </x:c>
      <x:c r="BW185" s="141" t="n">
        <x:f>IF(AND('Carta Contemplada'!$B$22="Sim",Premissas!$B$11="Imovel",Premissas!$B$47="Investimento",$A185&gt;=MAX('Carta Contemplada'!$B$44,Premissas!$B$49)),$E185,0)</x:f>
        <x:v>1533.7972435838026</x:v>
      </x:c>
      <x:c r="BX185" s="141" t="n">
        <x:f>BT185+BU185+BV185</x:f>
        <x:v>0</x:v>
      </x:c>
      <x:c r="BY185" s="141" t="n">
        <x:f>BW185</x:f>
        <x:v>1533.7972435838026</x:v>
      </x:c>
      <x:c r="BZ185" s="141" t="n">
        <x:f>$C185+BY185-BX185</x:f>
        <x:v>8533.797243583802</x:v>
      </x:c>
      <x:c r="CA185" s="141" t="n">
        <x:f>CD184*(1+Premissas!$B$41)+BZ185</x:f>
        <x:v>3208779.220081943</x:v>
      </x:c>
      <x:c r="CB185" s="141" t="n">
        <x:f>MAX(0,-CA185)</x:f>
        <x:v>0</x:v>
      </x:c>
      <x:c r="CC185" s="141" t="n">
        <x:f>CC184*(1+Premissas!$B$41)+CB185</x:f>
        <x:v>0</x:v>
      </x:c>
      <x:c r="CD185" s="141" t="n">
        <x:f>MAX(0,CA185)</x:f>
        <x:v>3208779.220081943</x:v>
      </x:c>
      <x:c r="CE185" s="141" t="n">
        <x:f>IF(AND('Carta Contemplada'!$B$22="Sim",$A185&gt;='Carta Contemplada'!$B$23),INDEX('Carta Contemplada'!$I$55:$I$1013,$A185),0)</x:f>
        <x:v>0</x:v>
      </x:c>
      <x:c r="CF185" s="141" t="n">
        <x:f>IF(AND('Carta Contemplada'!$B$22="Sim",$A185&gt;='Carta Contemplada'!$B$44),$F185,0)</x:f>
        <x:v>479311.6386199383</x:v>
      </x:c>
      <x:c r="CG185" s="141" t="n">
        <x:f>CD185+CF185-CE185</x:f>
        <x:v>3688090.8587018815</x:v>
      </x:c>
      <x:c r="CH185" s="141" t="n">
        <x:f>IF(CC185&gt;1,"Inviavel",CG185)</x:f>
        <x:v>3688090.8587018815</x:v>
      </x:c>
      <x:c r="CI185" s="145" t="str">
        <x:f>IF(CC185&gt;1,"Inviavel","OK")</x:f>
        <x:v>OK</x:v>
      </x:c>
    </x:row>
    <x:row r="186">
      <x:c r="A186" s="142" t="n">
        <x:v>182</x:v>
      </x:c>
      <x:c r="B186" s="179" t="n">
        <x:f>EDATE(Premissas!$B$4,A186-1)</x:f>
        <x:v>52048</x:v>
      </x:c>
      <x:c r="C186" s="141" t="n">
        <x:f>IF(A186&lt;=Premissas!$B$39,Premissas!$B$42,0)</x:f>
        <x:v>7000</x:v>
      </x:c>
      <x:c r="D186" s="141" t="n">
        <x:f>Premissas!$B$54*(1+Premissas!$B$57)^INT((A186-1)/12)</x:f>
        <x:v>1677.590735169784</x:v>
      </x:c>
      <x:c r="E186" s="141" t="n">
        <x:f>Premissas!$B$64*(1+Premissas!$B$57)^INT((A186-1)/12)</x:f>
        <x:v>1533.7972435838026</x:v>
      </x:c>
      <x:c r="F186" s="141" t="n">
        <x:f>MAX(0,Premissas!$B$6*(1+Premissas!$B$66)^((A186-1)/12))</x:f>
        <x:v>481644.7122574783</x:v>
      </x:c>
      <x:c r="G186" s="141" t="n">
        <x:f>G185*(1+Premissas!$B$41)+C186</x:f>
        <x:v>3874493.613920726</x:v>
      </x:c>
      <x:c r="H186" s="141" t="n">
        <x:f>IF($A186=Premissas!$B$48,Premissas!$B$8,0)</x:f>
        <x:v>0</x:v>
      </x:c>
      <x:c r="I186" s="141" t="n">
        <x:f>IF(AND($A186&gt;=Premissas!$B$48,$A186-Premissas!$B$48+1&lt;=Premissas!$B$13),INDEX(Financiamento!$J$6:$J$485,$A186-Premissas!$B$48+1),0)</x:f>
        <x:v>1394.8843852820394</x:v>
      </x:c>
      <x:c r="J186" s="141" t="n">
        <x:f>IF(AND(TRUE,Premissas!$B$11="Imovel",Premissas!$B$47="Moradia",$A186&lt;MAX(Premissas!$B$48,Premissas!$B$49)),$D186,0)</x:f>
        <x:v>0</x:v>
      </x:c>
      <x:c r="K186" s="141" t="n">
        <x:f>IF(AND(TRUE,Premissas!$B$11="Imovel",Premissas!$B$47="Investimento",$A186&gt;=MAX(Premissas!$B$48,Premissas!$B$49)),$E186,0)</x:f>
        <x:v>1533.7972435838026</x:v>
      </x:c>
      <x:c r="L186" s="141" t="n">
        <x:f>H186+I186+J186</x:f>
        <x:v>1394.8843852820394</x:v>
      </x:c>
      <x:c r="M186" s="141" t="n">
        <x:f>K186</x:f>
        <x:v>1533.7972435838026</x:v>
      </x:c>
      <x:c r="N186" s="141" t="n">
        <x:f>$C186+M186-L186</x:f>
        <x:v>7138.912858301763</x:v>
      </x:c>
      <x:c r="O186" s="141" t="n">
        <x:f>R185*(1+Premissas!$B$41)+N186</x:f>
        <x:v>3205374.833888201</x:v>
      </x:c>
      <x:c r="P186" s="141" t="n">
        <x:f>MAX(0,-O186)</x:f>
        <x:v>0</x:v>
      </x:c>
      <x:c r="Q186" s="141" t="n">
        <x:f>Q185*(1+Premissas!$B$41)+P186</x:f>
        <x:v>0</x:v>
      </x:c>
      <x:c r="R186" s="141" t="n">
        <x:f>MAX(0,O186)</x:f>
        <x:v>3205374.833888201</x:v>
      </x:c>
      <x:c r="S186" s="141" t="n">
        <x:f>IF(AND($A186&gt;=Premissas!$B$48,$A186-Premissas!$B$48+1&lt;=Premissas!$B$13),INDEX(Financiamento!$M$6:$M$485,$A186-Premissas!$B$48+1),0)</x:f>
        <x:v>90666.66666666682</x:v>
      </x:c>
      <x:c r="T186" s="141" t="n">
        <x:f>IF($A186&gt;=Premissas!$B$48,$F186,0)</x:f>
        <x:v>481644.7122574783</x:v>
      </x:c>
      <x:c r="U186" s="141" t="n">
        <x:f>R186+T186-S186</x:f>
        <x:v>3596352.8794790125</x:v>
      </x:c>
      <x:c r="V186" s="141" t="n">
        <x:f>IF(Q186&gt;1,"Inviavel",U186)</x:f>
        <x:v>3596352.8794790125</x:v>
      </x:c>
      <x:c r="W186" s="141" t="str">
        <x:f>IF(Q186&gt;1,"Inviavel","OK")</x:f>
        <x:v>OK</x:v>
      </x:c>
      <x:c r="X186" s="141" t="n">
        <x:f>IF($A186=Premissas!$B$48,Premissas!$B$8,0)</x:f>
        <x:v>0</x:v>
      </x:c>
      <x:c r="Y186" s="141" t="n">
        <x:f>IF(AND($A186&gt;=Premissas!$B$48,$A186-Premissas!$B$48+1&lt;=Premissas!$B$13),INDEX(Amortizacao!$K$6:$K$485,$A186-Premissas!$B$48+1),0)</x:f>
        <x:v>0</x:v>
      </x:c>
      <x:c r="Z186" s="141" t="n">
        <x:f>IF(AND(TRUE,Premissas!$B$11="Imovel",Premissas!$B$47="Moradia",$A186&lt;MAX(Premissas!$B$48,Premissas!$B$49)),$D186,0)</x:f>
        <x:v>0</x:v>
      </x:c>
      <x:c r="AA186" s="141" t="n">
        <x:f>IF(AND(TRUE,Premissas!$B$11="Imovel",Premissas!$B$47="Investimento",$A186&gt;=MAX(Premissas!$B$48,Premissas!$B$49)),$E186,0)</x:f>
        <x:v>1533.7972435838026</x:v>
      </x:c>
      <x:c r="AB186" s="141" t="n">
        <x:f>X186+Y186+Z186</x:f>
        <x:v>0</x:v>
      </x:c>
      <x:c r="AC186" s="141" t="n">
        <x:f>AA186</x:f>
        <x:v>1533.7972435838026</x:v>
      </x:c>
      <x:c r="AD186" s="141" t="n">
        <x:f>$C186+AC186-AB186</x:f>
        <x:v>8533.797243583802</x:v>
      </x:c>
      <x:c r="AE186" s="141" t="n">
        <x:f>AH185*(1+Premissas!$B$41)+AD186</x:f>
        <x:v>3167230.3062712126</x:v>
      </x:c>
      <x:c r="AF186" s="141" t="n">
        <x:f>MAX(0,-AE186)</x:f>
        <x:v>0</x:v>
      </x:c>
      <x:c r="AG186" s="141" t="n">
        <x:f>AG185*(1+Premissas!$B$41)+AF186</x:f>
        <x:v>0</x:v>
      </x:c>
      <x:c r="AH186" s="141" t="n">
        <x:f>MAX(0,AE186)</x:f>
        <x:v>3167230.3062712126</x:v>
      </x:c>
      <x:c r="AI186" s="141" t="n">
        <x:f>IF(AND($A186&gt;=Premissas!$B$48,$A186-Premissas!$B$48+1&lt;=Premissas!$B$13),INDEX(Amortizacao!$L$6:$L$485,$A186-Premissas!$B$48+1),0)</x:f>
        <x:v>0</x:v>
      </x:c>
      <x:c r="AJ186" s="141" t="n">
        <x:f>IF($A186&gt;=Premissas!$B$48,$F186,0)</x:f>
        <x:v>481644.7122574783</x:v>
      </x:c>
      <x:c r="AK186" s="141" t="n">
        <x:f>AH186+AJ186-AI186</x:f>
        <x:v>3648875.018528691</x:v>
      </x:c>
      <x:c r="AL186" s="141" t="n">
        <x:f>IF(AG186&gt;1,"Inviavel",AK186)</x:f>
        <x:v>3648875.018528691</x:v>
      </x:c>
      <x:c r="AM186" s="141" t="str">
        <x:f>IF(AG186&gt;1,"Inviavel","OK")</x:f>
        <x:v>OK</x:v>
      </x:c>
      <x:c r="AN186" s="141" t="n">
        <x:f>IF($A186=Premissas!$B$48,Premissas!$B$8,0)</x:f>
        <x:v>0</x:v>
      </x:c>
      <x:c r="AO186" s="141" t="n">
        <x:f>IF($A186&lt;=Premissas!$B$25,INDEX('Consorcio IQ'!$K$6:$K$485,$A186),0)</x:f>
        <x:v>1367.1546217131763</x:v>
      </x:c>
      <x:c r="AP186" s="141" t="n">
        <x:f>IF(AND(TRUE,Premissas!$B$11="Imovel",Premissas!$B$47="Moradia",$A186&lt;MAX(Premissas!$B$48,Premissas!$B$49)),$D186,0)</x:f>
        <x:v>0</x:v>
      </x:c>
      <x:c r="AQ186" s="141" t="n">
        <x:f>IF(AND(TRUE,Premissas!$B$11="Imovel",Premissas!$B$47="Investimento",$A186&gt;=MAX(Premissas!$B$48,Premissas!$B$49)),$E186,0)</x:f>
        <x:v>1533.7972435838026</x:v>
      </x:c>
      <x:c r="AR186" s="141" t="n">
        <x:f>AN186+AO186+AP186</x:f>
        <x:v>1367.1546217131763</x:v>
      </x:c>
      <x:c r="AS186" s="141" t="n">
        <x:f>AQ186</x:f>
        <x:v>1533.7972435838026</x:v>
      </x:c>
      <x:c r="AT186" s="141" t="n">
        <x:f>$C186+AS186-AR186</x:f>
        <x:v>7166.642621870626</x:v>
      </x:c>
      <x:c r="AU186" s="141" t="n">
        <x:f>AX185*(1+Premissas!$B$41)+AT186</x:f>
        <x:v>3203219.4510192135</x:v>
      </x:c>
      <x:c r="AV186" s="141" t="n">
        <x:f>MAX(0,-AU186)</x:f>
        <x:v>0</x:v>
      </x:c>
      <x:c r="AW186" s="141" t="n">
        <x:f>AW185*(1+Premissas!$B$41)+AV186</x:f>
        <x:v>0</x:v>
      </x:c>
      <x:c r="AX186" s="141" t="n">
        <x:f>MAX(0,AU186)</x:f>
        <x:v>3203219.4510192135</x:v>
      </x:c>
      <x:c r="AY186" s="141" t="n">
        <x:f>INDEX('Consorcio IQ'!$P$6:$P$485,$A186)</x:f>
        <x:v>67922.59201437815</x:v>
      </x:c>
      <x:c r="AZ186" s="141" t="n">
        <x:f>IF($A186&gt;=Premissas!$B$48,$F186,0)+IF($A186&lt;Premissas!$B$27,INDEX('Consorcio IQ'!$O$6:$O$485,$A186),0)</x:f>
        <x:v>481644.7122574783</x:v>
      </x:c>
      <x:c r="BA186" s="141" t="n">
        <x:f>AX186+AZ186-AY186</x:f>
        <x:v>3616941.571262314</x:v>
      </x:c>
      <x:c r="BB186" s="141" t="n">
        <x:f>IF(AW186&gt;1,"Inviavel",BA186)</x:f>
        <x:v>3616941.571262314</x:v>
      </x:c>
      <x:c r="BC186" s="141" t="str">
        <x:f>IF(AW186&gt;1,"Inviavel","OK")</x:f>
        <x:v>OK</x:v>
      </x:c>
      <x:c r="BD186" s="141" t="n">
        <x:f>IF($A186='Consorcio Direto'!$B$29,'Consorcio Direto'!$B$44,0)</x:f>
        <x:v>0</x:v>
      </x:c>
      <x:c r="BE186" s="141" t="n">
        <x:f>IF($A186&lt;='Consorcio Direto'!$B$27,INDEX('Consorcio Direto'!$E$55:$E$534,$A186),0)</x:f>
        <x:v>3540.247937255544</x:v>
      </x:c>
      <x:c r="BF186" s="141" t="n">
        <x:f>IF(AND(TRUE,Premissas!$B$11="Imovel",Premissas!$B$47="Moradia",$A186&lt;MAX('Consorcio Direto'!$B$29,Premissas!$B$49)),$D186,0)</x:f>
        <x:v>0</x:v>
      </x:c>
      <x:c r="BG186" s="141" t="n">
        <x:f>IF(AND(TRUE,Premissas!$B$11="Imovel",Premissas!$B$47="Investimento",$A186&gt;=MAX('Consorcio Direto'!$B$29,Premissas!$B$49)),$E186,0)</x:f>
        <x:v>1533.7972435838026</x:v>
      </x:c>
      <x:c r="BH186" s="141" t="n">
        <x:f>BD186+BE186+BF186</x:f>
        <x:v>3540.247937255544</x:v>
      </x:c>
      <x:c r="BI186" s="141" t="n">
        <x:f>BG186</x:f>
        <x:v>1533.7972435838026</x:v>
      </x:c>
      <x:c r="BJ186" s="141" t="n">
        <x:f>$C186+BI186-BH186</x:f>
        <x:v>4993.549306328257</x:v>
      </x:c>
      <x:c r="BK186" s="141" t="n">
        <x:f>BN185*(1+Premissas!$B$41)+BJ186</x:f>
        <x:v>3138601.679963947</x:v>
      </x:c>
      <x:c r="BL186" s="141" t="n">
        <x:f>MAX(0,-BK186)</x:f>
        <x:v>0</x:v>
      </x:c>
      <x:c r="BM186" s="141" t="n">
        <x:f>BM185*(1+Premissas!$B$41)+BL186</x:f>
        <x:v>0</x:v>
      </x:c>
      <x:c r="BN186" s="141" t="n">
        <x:f>MAX(0,BK186)</x:f>
        <x:v>3138601.679963947</x:v>
      </x:c>
      <x:c r="BO186" s="141" t="n">
        <x:f>INDEX('Consorcio Direto'!$K$55:$K$534,$A186)</x:f>
        <x:v>175885.60390530576</x:v>
      </x:c>
      <x:c r="BP186" s="141" t="n">
        <x:f>IF($A186&lt;'Consorcio Direto'!$B$29,INDEX('Consorcio Direto'!$L$55:$L$534,$A186),$F186)</x:f>
        <x:v>481644.7122574783</x:v>
      </x:c>
      <x:c r="BQ186" s="141" t="n">
        <x:f>BN186+BP186-BO186</x:f>
        <x:v>3444360.7883161195</x:v>
      </x:c>
      <x:c r="BR186" s="141" t="n">
        <x:f>IF(BM186&gt;1,"Inviavel",BQ186)</x:f>
        <x:v>3444360.7883161195</x:v>
      </x:c>
      <x:c r="BS186" s="141" t="str">
        <x:f>IF(BM186&gt;1,"Inviavel","OK")</x:f>
        <x:v>OK</x:v>
      </x:c>
      <x:c r="BT186" s="141" t="n">
        <x:f>IF(AND('Carta Contemplada'!$B$22="Sim",$A186='Carta Contemplada'!$B$23),'Carta Contemplada'!$B$37,0)</x:f>
        <x:v>0</x:v>
      </x:c>
      <x:c r="BU186" s="141" t="n">
        <x:f>IF('Carta Contemplada'!$B$22="Sim",INDEX('Carta Contemplada'!$C$55:$C$1013,$A186),0)</x:f>
        <x:v>0</x:v>
      </x:c>
      <x:c r="BV186" s="141" t="n">
        <x:f>IF(AND('Carta Contemplada'!$B$22="Sim",Premissas!$B$11="Imovel",Premissas!$B$47="Moradia",$A186&lt;MAX('Carta Contemplada'!$B$44,Premissas!$B$49)),$D186,0)</x:f>
        <x:v>0</x:v>
      </x:c>
      <x:c r="BW186" s="141" t="n">
        <x:f>IF(AND('Carta Contemplada'!$B$22="Sim",Premissas!$B$11="Imovel",Premissas!$B$47="Investimento",$A186&gt;=MAX('Carta Contemplada'!$B$44,Premissas!$B$49)),$E186,0)</x:f>
        <x:v>1533.7972435838026</x:v>
      </x:c>
      <x:c r="BX186" s="141" t="n">
        <x:f>BT186+BU186+BV186</x:f>
        <x:v>0</x:v>
      </x:c>
      <x:c r="BY186" s="141" t="n">
        <x:f>BW186</x:f>
        <x:v>1533.7972435838026</x:v>
      </x:c>
      <x:c r="BZ186" s="141" t="n">
        <x:f>$C186+BY186-BX186</x:f>
        <x:v>8533.797243583802</x:v>
      </x:c>
      <x:c r="CA186" s="141" t="n">
        <x:f>CD185*(1+Premissas!$B$41)+BZ186</x:f>
        <x:v>3247760.4589176774</x:v>
      </x:c>
      <x:c r="CB186" s="141" t="n">
        <x:f>MAX(0,-CA186)</x:f>
        <x:v>0</x:v>
      </x:c>
      <x:c r="CC186" s="141" t="n">
        <x:f>CC185*(1+Premissas!$B$41)+CB186</x:f>
        <x:v>0</x:v>
      </x:c>
      <x:c r="CD186" s="141" t="n">
        <x:f>MAX(0,CA186)</x:f>
        <x:v>3247760.4589176774</x:v>
      </x:c>
      <x:c r="CE186" s="141" t="n">
        <x:f>IF(AND('Carta Contemplada'!$B$22="Sim",$A186&gt;='Carta Contemplada'!$B$23),INDEX('Carta Contemplada'!$I$55:$I$1013,$A186),0)</x:f>
        <x:v>0</x:v>
      </x:c>
      <x:c r="CF186" s="141" t="n">
        <x:f>IF(AND('Carta Contemplada'!$B$22="Sim",$A186&gt;='Carta Contemplada'!$B$44),$F186,0)</x:f>
        <x:v>481644.7122574783</x:v>
      </x:c>
      <x:c r="CG186" s="141" t="n">
        <x:f>CD186+CF186-CE186</x:f>
        <x:v>3729405.171175156</x:v>
      </x:c>
      <x:c r="CH186" s="141" t="n">
        <x:f>IF(CC186&gt;1,"Inviavel",CG186)</x:f>
        <x:v>3729405.171175156</x:v>
      </x:c>
      <x:c r="CI186" s="145" t="str">
        <x:f>IF(CC186&gt;1,"Inviavel","OK")</x:f>
        <x:v>OK</x:v>
      </x:c>
    </x:row>
    <x:row r="187">
      <x:c r="A187" s="142" t="n">
        <x:v>183</x:v>
      </x:c>
      <x:c r="B187" s="179" t="n">
        <x:f>EDATE(Premissas!$B$4,A187-1)</x:f>
        <x:v>52079</x:v>
      </x:c>
      <x:c r="C187" s="141" t="n">
        <x:f>IF(A187&lt;=Premissas!$B$39,Premissas!$B$42,0)</x:f>
        <x:v>7000</x:v>
      </x:c>
      <x:c r="D187" s="141" t="n">
        <x:f>Premissas!$B$54*(1+Premissas!$B$57)^INT((A187-1)/12)</x:f>
        <x:v>1677.590735169784</x:v>
      </x:c>
      <x:c r="E187" s="141" t="n">
        <x:f>Premissas!$B$64*(1+Premissas!$B$57)^INT((A187-1)/12)</x:f>
        <x:v>1533.7972435838026</x:v>
      </x:c>
      <x:c r="F187" s="141" t="n">
        <x:f>MAX(0,Premissas!$B$6*(1+Premissas!$B$66)^((A187-1)/12))</x:f>
        <x:v>483989.1422489217</x:v>
      </x:c>
      <x:c r="G187" s="141" t="n">
        <x:f>G186*(1+Premissas!$B$41)+C187</x:f>
        <x:v>3918257.881549584</x:v>
      </x:c>
      <x:c r="H187" s="141" t="n">
        <x:f>IF($A187=Premissas!$B$48,Premissas!$B$8,0)</x:f>
        <x:v>0</x:v>
      </x:c>
      <x:c r="I187" s="141" t="n">
        <x:f>IF(AND($A187&gt;=Premissas!$B$48,$A187-Premissas!$B$48+1&lt;=Premissas!$B$13),INDEX(Financiamento!$J$6:$J$485,$A187-Premissas!$B$48+1),0)</x:f>
        <x:v>1391.2696070212457</x:v>
      </x:c>
      <x:c r="J187" s="141" t="n">
        <x:f>IF(AND(TRUE,Premissas!$B$11="Imovel",Premissas!$B$47="Moradia",$A187&lt;MAX(Premissas!$B$48,Premissas!$B$49)),$D187,0)</x:f>
        <x:v>0</x:v>
      </x:c>
      <x:c r="K187" s="141" t="n">
        <x:f>IF(AND(TRUE,Premissas!$B$11="Imovel",Premissas!$B$47="Investimento",$A187&gt;=MAX(Premissas!$B$48,Premissas!$B$49)),$E187,0)</x:f>
        <x:v>1533.7972435838026</x:v>
      </x:c>
      <x:c r="L187" s="141" t="n">
        <x:f>H187+I187+J187</x:f>
        <x:v>1391.2696070212457</x:v>
      </x:c>
      <x:c r="M187" s="141" t="n">
        <x:f>K187</x:f>
        <x:v>1533.7972435838026</x:v>
      </x:c>
      <x:c r="N187" s="141" t="n">
        <x:f>$C187+M187-L187</x:f>
        <x:v>7142.527636562556</x:v>
      </x:c>
      <x:c r="O187" s="141" t="n">
        <x:f>R186*(1+Premissas!$B$41)+N187</x:f>
        <x:v>3242932.4996012524</x:v>
      </x:c>
      <x:c r="P187" s="141" t="n">
        <x:f>MAX(0,-O187)</x:f>
        <x:v>0</x:v>
      </x:c>
      <x:c r="Q187" s="141" t="n">
        <x:f>Q186*(1+Premissas!$B$41)+P187</x:f>
        <x:v>0</x:v>
      </x:c>
      <x:c r="R187" s="141" t="n">
        <x:f>MAX(0,O187)</x:f>
        <x:v>3242932.4996012524</x:v>
      </x:c>
      <x:c r="S187" s="141" t="n">
        <x:f>IF(AND($A187&gt;=Premissas!$B$48,$A187-Premissas!$B$48+1&lt;=Premissas!$B$13),INDEX(Financiamento!$M$6:$M$485,$A187-Premissas!$B$48+1),0)</x:f>
        <x:v>90285.71428571444</x:v>
      </x:c>
      <x:c r="T187" s="141" t="n">
        <x:f>IF($A187&gt;=Premissas!$B$48,$F187,0)</x:f>
        <x:v>483989.1422489217</x:v>
      </x:c>
      <x:c r="U187" s="141" t="n">
        <x:f>R187+T187-S187</x:f>
        <x:v>3636635.9275644594</x:v>
      </x:c>
      <x:c r="V187" s="141" t="n">
        <x:f>IF(Q187&gt;1,"Inviavel",U187)</x:f>
        <x:v>3636635.9275644594</x:v>
      </x:c>
      <x:c r="W187" s="141" t="str">
        <x:f>IF(Q187&gt;1,"Inviavel","OK")</x:f>
        <x:v>OK</x:v>
      </x:c>
      <x:c r="X187" s="141" t="n">
        <x:f>IF($A187=Premissas!$B$48,Premissas!$B$8,0)</x:f>
        <x:v>0</x:v>
      </x:c>
      <x:c r="Y187" s="141" t="n">
        <x:f>IF(AND($A187&gt;=Premissas!$B$48,$A187-Premissas!$B$48+1&lt;=Premissas!$B$13),INDEX(Amortizacao!$K$6:$K$485,$A187-Premissas!$B$48+1),0)</x:f>
        <x:v>0</x:v>
      </x:c>
      <x:c r="Z187" s="141" t="n">
        <x:f>IF(AND(TRUE,Premissas!$B$11="Imovel",Premissas!$B$47="Moradia",$A187&lt;MAX(Premissas!$B$48,Premissas!$B$49)),$D187,0)</x:f>
        <x:v>0</x:v>
      </x:c>
      <x:c r="AA187" s="141" t="n">
        <x:f>IF(AND(TRUE,Premissas!$B$11="Imovel",Premissas!$B$47="Investimento",$A187&gt;=MAX(Premissas!$B$48,Premissas!$B$49)),$E187,0)</x:f>
        <x:v>1533.7972435838026</x:v>
      </x:c>
      <x:c r="AB187" s="141" t="n">
        <x:f>X187+Y187+Z187</x:f>
        <x:v>0</x:v>
      </x:c>
      <x:c r="AC187" s="141" t="n">
        <x:f>AA187</x:f>
        <x:v>1533.7972435838026</x:v>
      </x:c>
      <x:c r="AD187" s="141" t="n">
        <x:f>$C187+AC187-AB187</x:f>
        <x:v>8533.797243583802</x:v>
      </x:c>
      <x:c r="AE187" s="141" t="n">
        <x:f>AH186*(1+Premissas!$B$41)+AD187</x:f>
        <x:v>3205817.29606714</x:v>
      </x:c>
      <x:c r="AF187" s="141" t="n">
        <x:f>MAX(0,-AE187)</x:f>
        <x:v>0</x:v>
      </x:c>
      <x:c r="AG187" s="141" t="n">
        <x:f>AG186*(1+Premissas!$B$41)+AF187</x:f>
        <x:v>0</x:v>
      </x:c>
      <x:c r="AH187" s="141" t="n">
        <x:f>MAX(0,AE187)</x:f>
        <x:v>3205817.29606714</x:v>
      </x:c>
      <x:c r="AI187" s="141" t="n">
        <x:f>IF(AND($A187&gt;=Premissas!$B$48,$A187-Premissas!$B$48+1&lt;=Premissas!$B$13),INDEX(Amortizacao!$L$6:$L$485,$A187-Premissas!$B$48+1),0)</x:f>
        <x:v>0</x:v>
      </x:c>
      <x:c r="AJ187" s="141" t="n">
        <x:f>IF($A187&gt;=Premissas!$B$48,$F187,0)</x:f>
        <x:v>483989.1422489217</x:v>
      </x:c>
      <x:c r="AK187" s="141" t="n">
        <x:f>AH187+AJ187-AI187</x:f>
        <x:v>3689806.4383160616</x:v>
      </x:c>
      <x:c r="AL187" s="141" t="n">
        <x:f>IF(AG187&gt;1,"Inviavel",AK187)</x:f>
        <x:v>3689806.4383160616</x:v>
      </x:c>
      <x:c r="AM187" s="141" t="str">
        <x:f>IF(AG187&gt;1,"Inviavel","OK")</x:f>
        <x:v>OK</x:v>
      </x:c>
      <x:c r="AN187" s="141" t="n">
        <x:f>IF($A187=Premissas!$B$48,Premissas!$B$8,0)</x:f>
        <x:v>0</x:v>
      </x:c>
      <x:c r="AO187" s="141" t="n">
        <x:f>IF($A187&lt;=Premissas!$B$25,INDEX('Consorcio IQ'!$K$6:$K$485,$A187),0)</x:f>
        <x:v>1367.1546217131763</x:v>
      </x:c>
      <x:c r="AP187" s="141" t="n">
        <x:f>IF(AND(TRUE,Premissas!$B$11="Imovel",Premissas!$B$47="Moradia",$A187&lt;MAX(Premissas!$B$48,Premissas!$B$49)),$D187,0)</x:f>
        <x:v>0</x:v>
      </x:c>
      <x:c r="AQ187" s="141" t="n">
        <x:f>IF(AND(TRUE,Premissas!$B$11="Imovel",Premissas!$B$47="Investimento",$A187&gt;=MAX(Premissas!$B$48,Premissas!$B$49)),$E187,0)</x:f>
        <x:v>1533.7972435838026</x:v>
      </x:c>
      <x:c r="AR187" s="141" t="n">
        <x:f>AN187+AO187+AP187</x:f>
        <x:v>1367.1546217131763</x:v>
      </x:c>
      <x:c r="AS187" s="141" t="n">
        <x:f>AQ187</x:f>
        <x:v>1533.7972435838026</x:v>
      </x:c>
      <x:c r="AT187" s="141" t="n">
        <x:f>$C187+AS187-AR187</x:f>
        <x:v>7166.642621870626</x:v>
      </x:c>
      <x:c r="AU187" s="141" t="n">
        <x:f>AX186*(1+Premissas!$B$41)+AT187</x:f>
        <x:v>3240780.7797358343</x:v>
      </x:c>
      <x:c r="AV187" s="141" t="n">
        <x:f>MAX(0,-AU187)</x:f>
        <x:v>0</x:v>
      </x:c>
      <x:c r="AW187" s="141" t="n">
        <x:f>AW186*(1+Premissas!$B$41)+AV187</x:f>
        <x:v>0</x:v>
      </x:c>
      <x:c r="AX187" s="141" t="n">
        <x:f>MAX(0,AU187)</x:f>
        <x:v>3240780.7797358343</x:v>
      </x:c>
      <x:c r="AY187" s="141" t="n">
        <x:f>INDEX('Consorcio IQ'!$P$6:$P$485,$A187)</x:f>
        <x:v>67199.94080386957</x:v>
      </x:c>
      <x:c r="AZ187" s="141" t="n">
        <x:f>IF($A187&gt;=Premissas!$B$48,$F187,0)+IF($A187&lt;Premissas!$B$27,INDEX('Consorcio IQ'!$O$6:$O$485,$A187),0)</x:f>
        <x:v>483989.1422489217</x:v>
      </x:c>
      <x:c r="BA187" s="141" t="n">
        <x:f>AX187+AZ187-AY187</x:f>
        <x:v>3657569.9811808863</x:v>
      </x:c>
      <x:c r="BB187" s="141" t="n">
        <x:f>IF(AW187&gt;1,"Inviavel",BA187)</x:f>
        <x:v>3657569.9811808863</x:v>
      </x:c>
      <x:c r="BC187" s="141" t="str">
        <x:f>IF(AW187&gt;1,"Inviavel","OK")</x:f>
        <x:v>OK</x:v>
      </x:c>
      <x:c r="BD187" s="141" t="n">
        <x:f>IF($A187='Consorcio Direto'!$B$29,'Consorcio Direto'!$B$44,0)</x:f>
        <x:v>0</x:v>
      </x:c>
      <x:c r="BE187" s="141" t="n">
        <x:f>IF($A187&lt;='Consorcio Direto'!$B$27,INDEX('Consorcio Direto'!$E$55:$E$534,$A187),0)</x:f>
        <x:v>3540.247937255544</x:v>
      </x:c>
      <x:c r="BF187" s="141" t="n">
        <x:f>IF(AND(TRUE,Premissas!$B$11="Imovel",Premissas!$B$47="Moradia",$A187&lt;MAX('Consorcio Direto'!$B$29,Premissas!$B$49)),$D187,0)</x:f>
        <x:v>0</x:v>
      </x:c>
      <x:c r="BG187" s="141" t="n">
        <x:f>IF(AND(TRUE,Premissas!$B$11="Imovel",Premissas!$B$47="Investimento",$A187&gt;=MAX('Consorcio Direto'!$B$29,Premissas!$B$49)),$E187,0)</x:f>
        <x:v>1533.7972435838026</x:v>
      </x:c>
      <x:c r="BH187" s="141" t="n">
        <x:f>BD187+BE187+BF187</x:f>
        <x:v>3540.247937255544</x:v>
      </x:c>
      <x:c r="BI187" s="141" t="n">
        <x:f>BG187</x:f>
        <x:v>1533.7972435838026</x:v>
      </x:c>
      <x:c r="BJ187" s="141" t="n">
        <x:f>$C187+BI187-BH187</x:f>
        <x:v>4993.549306328257</x:v>
      </x:c>
      <x:c r="BK187" s="141" t="n">
        <x:f>BN186*(1+Premissas!$B$41)+BJ187</x:f>
        <x:v>3173376.770715588</x:v>
      </x:c>
      <x:c r="BL187" s="141" t="n">
        <x:f>MAX(0,-BK187)</x:f>
        <x:v>0</x:v>
      </x:c>
      <x:c r="BM187" s="141" t="n">
        <x:f>BM186*(1+Premissas!$B$41)+BL187</x:f>
        <x:v>0</x:v>
      </x:c>
      <x:c r="BN187" s="141" t="n">
        <x:f>MAX(0,BK187)</x:f>
        <x:v>3173376.770715588</x:v>
      </x:c>
      <x:c r="BO187" s="141" t="n">
        <x:f>INDEX('Consorcio Direto'!$K$55:$K$534,$A187)</x:f>
        <x:v>174014.29804368177</x:v>
      </x:c>
      <x:c r="BP187" s="141" t="n">
        <x:f>IF($A187&lt;'Consorcio Direto'!$B$29,INDEX('Consorcio Direto'!$L$55:$L$534,$A187),$F187)</x:f>
        <x:v>483989.1422489217</x:v>
      </x:c>
      <x:c r="BQ187" s="141" t="n">
        <x:f>BN187+BP187-BO187</x:f>
        <x:v>3483351.6149208276</x:v>
      </x:c>
      <x:c r="BR187" s="141" t="n">
        <x:f>IF(BM187&gt;1,"Inviavel",BQ187)</x:f>
        <x:v>3483351.6149208276</x:v>
      </x:c>
      <x:c r="BS187" s="141" t="str">
        <x:f>IF(BM187&gt;1,"Inviavel","OK")</x:f>
        <x:v>OK</x:v>
      </x:c>
      <x:c r="BT187" s="141" t="n">
        <x:f>IF(AND('Carta Contemplada'!$B$22="Sim",$A187='Carta Contemplada'!$B$23),'Carta Contemplada'!$B$37,0)</x:f>
        <x:v>0</x:v>
      </x:c>
      <x:c r="BU187" s="141" t="n">
        <x:f>IF('Carta Contemplada'!$B$22="Sim",INDEX('Carta Contemplada'!$C$55:$C$1013,$A187),0)</x:f>
        <x:v>0</x:v>
      </x:c>
      <x:c r="BV187" s="141" t="n">
        <x:f>IF(AND('Carta Contemplada'!$B$22="Sim",Premissas!$B$11="Imovel",Premissas!$B$47="Moradia",$A187&lt;MAX('Carta Contemplada'!$B$44,Premissas!$B$49)),$D187,0)</x:f>
        <x:v>0</x:v>
      </x:c>
      <x:c r="BW187" s="141" t="n">
        <x:f>IF(AND('Carta Contemplada'!$B$22="Sim",Premissas!$B$11="Imovel",Premissas!$B$47="Investimento",$A187&gt;=MAX('Carta Contemplada'!$B$44,Premissas!$B$49)),$E187,0)</x:f>
        <x:v>1533.7972435838026</x:v>
      </x:c>
      <x:c r="BX187" s="141" t="n">
        <x:f>BT187+BU187+BV187</x:f>
        <x:v>0</x:v>
      </x:c>
      <x:c r="BY187" s="141" t="n">
        <x:f>BW187</x:f>
        <x:v>1533.7972435838026</x:v>
      </x:c>
      <x:c r="BZ187" s="141" t="n">
        <x:f>$C187+BY187-BX187</x:f>
        <x:v>8533.797243583802</x:v>
      </x:c>
      <x:c r="CA187" s="141" t="n">
        <x:f>CD186*(1+Premissas!$B$41)+BZ187</x:f>
        <x:v>3287111.582657058</x:v>
      </x:c>
      <x:c r="CB187" s="141" t="n">
        <x:f>MAX(0,-CA187)</x:f>
        <x:v>0</x:v>
      </x:c>
      <x:c r="CC187" s="141" t="n">
        <x:f>CC186*(1+Premissas!$B$41)+CB187</x:f>
        <x:v>0</x:v>
      </x:c>
      <x:c r="CD187" s="141" t="n">
        <x:f>MAX(0,CA187)</x:f>
        <x:v>3287111.582657058</x:v>
      </x:c>
      <x:c r="CE187" s="141" t="n">
        <x:f>IF(AND('Carta Contemplada'!$B$22="Sim",$A187&gt;='Carta Contemplada'!$B$23),INDEX('Carta Contemplada'!$I$55:$I$1013,$A187),0)</x:f>
        <x:v>0</x:v>
      </x:c>
      <x:c r="CF187" s="141" t="n">
        <x:f>IF(AND('Carta Contemplada'!$B$22="Sim",$A187&gt;='Carta Contemplada'!$B$44),$F187,0)</x:f>
        <x:v>483989.1422489217</x:v>
      </x:c>
      <x:c r="CG187" s="141" t="n">
        <x:f>CD187+CF187-CE187</x:f>
        <x:v>3771100.7249059794</x:v>
      </x:c>
      <x:c r="CH187" s="141" t="n">
        <x:f>IF(CC187&gt;1,"Inviavel",CG187)</x:f>
        <x:v>3771100.7249059794</x:v>
      </x:c>
      <x:c r="CI187" s="145" t="str">
        <x:f>IF(CC187&gt;1,"Inviavel","OK")</x:f>
        <x:v>OK</x:v>
      </x:c>
    </x:row>
    <x:row r="188">
      <x:c r="A188" s="142" t="n">
        <x:v>184</x:v>
      </x:c>
      <x:c r="B188" s="179" t="n">
        <x:f>EDATE(Premissas!$B$4,A188-1)</x:f>
        <x:v>52110</x:v>
      </x:c>
      <x:c r="C188" s="141" t="n">
        <x:f>IF(A188&lt;=Premissas!$B$39,Premissas!$B$42,0)</x:f>
        <x:v>7000</x:v>
      </x:c>
      <x:c r="D188" s="141" t="n">
        <x:f>Premissas!$B$54*(1+Premissas!$B$57)^INT((A188-1)/12)</x:f>
        <x:v>1677.590735169784</x:v>
      </x:c>
      <x:c r="E188" s="141" t="n">
        <x:f>Premissas!$B$64*(1+Premissas!$B$57)^INT((A188-1)/12)</x:f>
        <x:v>1533.7972435838026</x:v>
      </x:c>
      <x:c r="F188" s="141" t="n">
        <x:f>MAX(0,Premissas!$B$6*(1+Premissas!$B$66)^((A188-1)/12))</x:f>
        <x:v>486344.9838718953</x:v>
      </x:c>
      <x:c r="G188" s="141" t="n">
        <x:f>G187*(1+Premissas!$B$41)+C188</x:f>
        <x:v>3962437.419251906</x:v>
      </x:c>
      <x:c r="H188" s="141" t="n">
        <x:f>IF($A188=Premissas!$B$48,Premissas!$B$8,0)</x:f>
        <x:v>0</x:v>
      </x:c>
      <x:c r="I188" s="141" t="n">
        <x:f>IF(AND($A188&gt;=Premissas!$B$48,$A188-Premissas!$B$48+1&lt;=Premissas!$B$13),INDEX(Financiamento!$J$6:$J$485,$A188-Premissas!$B$48+1),0)</x:f>
        <x:v>1387.6548287604523</x:v>
      </x:c>
      <x:c r="J188" s="141" t="n">
        <x:f>IF(AND(TRUE,Premissas!$B$11="Imovel",Premissas!$B$47="Moradia",$A188&lt;MAX(Premissas!$B$48,Premissas!$B$49)),$D188,0)</x:f>
        <x:v>0</x:v>
      </x:c>
      <x:c r="K188" s="141" t="n">
        <x:f>IF(AND(TRUE,Premissas!$B$11="Imovel",Premissas!$B$47="Investimento",$A188&gt;=MAX(Premissas!$B$48,Premissas!$B$49)),$E188,0)</x:f>
        <x:v>1533.7972435838026</x:v>
      </x:c>
      <x:c r="L188" s="141" t="n">
        <x:f>H188+I188+J188</x:f>
        <x:v>1387.6548287604523</x:v>
      </x:c>
      <x:c r="M188" s="141" t="n">
        <x:f>K188</x:f>
        <x:v>1533.7972435838026</x:v>
      </x:c>
      <x:c r="N188" s="141" t="n">
        <x:f>$C188+M188-L188</x:f>
        <x:v>7146.142414823349</x:v>
      </x:c>
      <x:c r="O188" s="141" t="n">
        <x:f>R187*(1+Premissas!$B$41)+N188</x:f>
        <x:v>3280850.1570056216</x:v>
      </x:c>
      <x:c r="P188" s="141" t="n">
        <x:f>MAX(0,-O188)</x:f>
        <x:v>0</x:v>
      </x:c>
      <x:c r="Q188" s="141" t="n">
        <x:f>Q187*(1+Premissas!$B$41)+P188</x:f>
        <x:v>0</x:v>
      </x:c>
      <x:c r="R188" s="141" t="n">
        <x:f>MAX(0,O188)</x:f>
        <x:v>3280850.1570056216</x:v>
      </x:c>
      <x:c r="S188" s="141" t="n">
        <x:f>IF(AND($A188&gt;=Premissas!$B$48,$A188-Premissas!$B$48+1&lt;=Premissas!$B$13),INDEX(Financiamento!$M$6:$M$485,$A188-Premissas!$B$48+1),0)</x:f>
        <x:v>89904.76190476205</x:v>
      </x:c>
      <x:c r="T188" s="141" t="n">
        <x:f>IF($A188&gt;=Premissas!$B$48,$F188,0)</x:f>
        <x:v>486344.9838718953</x:v>
      </x:c>
      <x:c r="U188" s="141" t="n">
        <x:f>R188+T188-S188</x:f>
        <x:v>3677290.378972755</x:v>
      </x:c>
      <x:c r="V188" s="141" t="n">
        <x:f>IF(Q188&gt;1,"Inviavel",U188)</x:f>
        <x:v>3677290.378972755</x:v>
      </x:c>
      <x:c r="W188" s="141" t="str">
        <x:f>IF(Q188&gt;1,"Inviavel","OK")</x:f>
        <x:v>OK</x:v>
      </x:c>
      <x:c r="X188" s="141" t="n">
        <x:f>IF($A188=Premissas!$B$48,Premissas!$B$8,0)</x:f>
        <x:v>0</x:v>
      </x:c>
      <x:c r="Y188" s="141" t="n">
        <x:f>IF(AND($A188&gt;=Premissas!$B$48,$A188-Premissas!$B$48+1&lt;=Premissas!$B$13),INDEX(Amortizacao!$K$6:$K$485,$A188-Premissas!$B$48+1),0)</x:f>
        <x:v>0</x:v>
      </x:c>
      <x:c r="Z188" s="141" t="n">
        <x:f>IF(AND(TRUE,Premissas!$B$11="Imovel",Premissas!$B$47="Moradia",$A188&lt;MAX(Premissas!$B$48,Premissas!$B$49)),$D188,0)</x:f>
        <x:v>0</x:v>
      </x:c>
      <x:c r="AA188" s="141" t="n">
        <x:f>IF(AND(TRUE,Premissas!$B$11="Imovel",Premissas!$B$47="Investimento",$A188&gt;=MAX(Premissas!$B$48,Premissas!$B$49)),$E188,0)</x:f>
        <x:v>1533.7972435838026</x:v>
      </x:c>
      <x:c r="AB188" s="141" t="n">
        <x:f>X188+Y188+Z188</x:f>
        <x:v>0</x:v>
      </x:c>
      <x:c r="AC188" s="141" t="n">
        <x:f>AA188</x:f>
        <x:v>1533.7972435838026</x:v>
      </x:c>
      <x:c r="AD188" s="141" t="n">
        <x:f>$C188+AC188-AB188</x:f>
        <x:v>8533.797243583802</x:v>
      </x:c>
      <x:c r="AE188" s="141" t="n">
        <x:f>AH187*(1+Premissas!$B$41)+AD188</x:f>
        <x:v>3244770.42981921</x:v>
      </x:c>
      <x:c r="AF188" s="141" t="n">
        <x:f>MAX(0,-AE188)</x:f>
        <x:v>0</x:v>
      </x:c>
      <x:c r="AG188" s="141" t="n">
        <x:f>AG187*(1+Premissas!$B$41)+AF188</x:f>
        <x:v>0</x:v>
      </x:c>
      <x:c r="AH188" s="141" t="n">
        <x:f>MAX(0,AE188)</x:f>
        <x:v>3244770.42981921</x:v>
      </x:c>
      <x:c r="AI188" s="141" t="n">
        <x:f>IF(AND($A188&gt;=Premissas!$B$48,$A188-Premissas!$B$48+1&lt;=Premissas!$B$13),INDEX(Amortizacao!$L$6:$L$485,$A188-Premissas!$B$48+1),0)</x:f>
        <x:v>0</x:v>
      </x:c>
      <x:c r="AJ188" s="141" t="n">
        <x:f>IF($A188&gt;=Premissas!$B$48,$F188,0)</x:f>
        <x:v>486344.9838718953</x:v>
      </x:c>
      <x:c r="AK188" s="141" t="n">
        <x:f>AH188+AJ188-AI188</x:f>
        <x:v>3731115.4136911053</x:v>
      </x:c>
      <x:c r="AL188" s="141" t="n">
        <x:f>IF(AG188&gt;1,"Inviavel",AK188)</x:f>
        <x:v>3731115.4136911053</x:v>
      </x:c>
      <x:c r="AM188" s="141" t="str">
        <x:f>IF(AG188&gt;1,"Inviavel","OK")</x:f>
        <x:v>OK</x:v>
      </x:c>
      <x:c r="AN188" s="141" t="n">
        <x:f>IF($A188=Premissas!$B$48,Premissas!$B$8,0)</x:f>
        <x:v>0</x:v>
      </x:c>
      <x:c r="AO188" s="141" t="n">
        <x:f>IF($A188&lt;=Premissas!$B$25,INDEX('Consorcio IQ'!$K$6:$K$485,$A188),0)</x:f>
        <x:v>1367.1546217131763</x:v>
      </x:c>
      <x:c r="AP188" s="141" t="n">
        <x:f>IF(AND(TRUE,Premissas!$B$11="Imovel",Premissas!$B$47="Moradia",$A188&lt;MAX(Premissas!$B$48,Premissas!$B$49)),$D188,0)</x:f>
        <x:v>0</x:v>
      </x:c>
      <x:c r="AQ188" s="141" t="n">
        <x:f>IF(AND(TRUE,Premissas!$B$11="Imovel",Premissas!$B$47="Investimento",$A188&gt;=MAX(Premissas!$B$48,Premissas!$B$49)),$E188,0)</x:f>
        <x:v>1533.7972435838026</x:v>
      </x:c>
      <x:c r="AR188" s="141" t="n">
        <x:f>AN188+AO188+AP188</x:f>
        <x:v>1367.1546217131763</x:v>
      </x:c>
      <x:c r="AS188" s="141" t="n">
        <x:f>AQ188</x:f>
        <x:v>1533.7972435838026</x:v>
      </x:c>
      <x:c r="AT188" s="141" t="n">
        <x:f>$C188+AS188-AR188</x:f>
        <x:v>7166.642621870626</x:v>
      </x:c>
      <x:c r="AU188" s="141" t="n">
        <x:f>AX187*(1+Premissas!$B$41)+AT188</x:f>
        <x:v>3278698.5201229947</x:v>
      </x:c>
      <x:c r="AV188" s="141" t="n">
        <x:f>MAX(0,-AU188)</x:f>
        <x:v>0</x:v>
      </x:c>
      <x:c r="AW188" s="141" t="n">
        <x:f>AW187*(1+Premissas!$B$41)+AV188</x:f>
        <x:v>0</x:v>
      </x:c>
      <x:c r="AX188" s="141" t="n">
        <x:f>MAX(0,AU188)</x:f>
        <x:v>3278698.5201229947</x:v>
      </x:c>
      <x:c r="AY188" s="141" t="n">
        <x:f>INDEX('Consorcio IQ'!$P$6:$P$485,$A188)</x:f>
        <x:v>66470.43250566054</x:v>
      </x:c>
      <x:c r="AZ188" s="141" t="n">
        <x:f>IF($A188&gt;=Premissas!$B$48,$F188,0)+IF($A188&lt;Premissas!$B$27,INDEX('Consorcio IQ'!$O$6:$O$485,$A188),0)</x:f>
        <x:v>486344.9838718953</x:v>
      </x:c>
      <x:c r="BA188" s="141" t="n">
        <x:f>AX188+AZ188-AY188</x:f>
        <x:v>3698573.0714892293</x:v>
      </x:c>
      <x:c r="BB188" s="141" t="n">
        <x:f>IF(AW188&gt;1,"Inviavel",BA188)</x:f>
        <x:v>3698573.0714892293</x:v>
      </x:c>
      <x:c r="BC188" s="141" t="str">
        <x:f>IF(AW188&gt;1,"Inviavel","OK")</x:f>
        <x:v>OK</x:v>
      </x:c>
      <x:c r="BD188" s="141" t="n">
        <x:f>IF($A188='Consorcio Direto'!$B$29,'Consorcio Direto'!$B$44,0)</x:f>
        <x:v>0</x:v>
      </x:c>
      <x:c r="BE188" s="141" t="n">
        <x:f>IF($A188&lt;='Consorcio Direto'!$B$27,INDEX('Consorcio Direto'!$E$55:$E$534,$A188),0)</x:f>
        <x:v>3540.247937255544</x:v>
      </x:c>
      <x:c r="BF188" s="141" t="n">
        <x:f>IF(AND(TRUE,Premissas!$B$11="Imovel",Premissas!$B$47="Moradia",$A188&lt;MAX('Consorcio Direto'!$B$29,Premissas!$B$49)),$D188,0)</x:f>
        <x:v>0</x:v>
      </x:c>
      <x:c r="BG188" s="141" t="n">
        <x:f>IF(AND(TRUE,Premissas!$B$11="Imovel",Premissas!$B$47="Investimento",$A188&gt;=MAX('Consorcio Direto'!$B$29,Premissas!$B$49)),$E188,0)</x:f>
        <x:v>1533.7972435838026</x:v>
      </x:c>
      <x:c r="BH188" s="141" t="n">
        <x:f>BD188+BE188+BF188</x:f>
        <x:v>3540.247937255544</x:v>
      </x:c>
      <x:c r="BI188" s="141" t="n">
        <x:f>BG188</x:f>
        <x:v>1533.7972435838026</x:v>
      </x:c>
      <x:c r="BJ188" s="141" t="n">
        <x:f>$C188+BI188-BH188</x:f>
        <x:v>4993.549306328257</x:v>
      </x:c>
      <x:c r="BK188" s="141" t="n">
        <x:f>BN187*(1+Premissas!$B$41)+BJ188</x:f>
        <x:v>3208481.835102652</x:v>
      </x:c>
      <x:c r="BL188" s="141" t="n">
        <x:f>MAX(0,-BK188)</x:f>
        <x:v>0</x:v>
      </x:c>
      <x:c r="BM188" s="141" t="n">
        <x:f>BM187*(1+Premissas!$B$41)+BL188</x:f>
        <x:v>0</x:v>
      </x:c>
      <x:c r="BN188" s="141" t="n">
        <x:f>MAX(0,BK188)</x:f>
        <x:v>3208481.835102652</x:v>
      </x:c>
      <x:c r="BO188" s="141" t="n">
        <x:f>INDEX('Consorcio Direto'!$K$55:$K$534,$A188)</x:f>
        <x:v>172125.23574821957</x:v>
      </x:c>
      <x:c r="BP188" s="141" t="n">
        <x:f>IF($A188&lt;'Consorcio Direto'!$B$29,INDEX('Consorcio Direto'!$L$55:$L$534,$A188),$F188)</x:f>
        <x:v>486344.9838718953</x:v>
      </x:c>
      <x:c r="BQ188" s="141" t="n">
        <x:f>BN188+BP188-BO188</x:f>
        <x:v>3522701.583226328</x:v>
      </x:c>
      <x:c r="BR188" s="141" t="n">
        <x:f>IF(BM188&gt;1,"Inviavel",BQ188)</x:f>
        <x:v>3522701.583226328</x:v>
      </x:c>
      <x:c r="BS188" s="141" t="str">
        <x:f>IF(BM188&gt;1,"Inviavel","OK")</x:f>
        <x:v>OK</x:v>
      </x:c>
      <x:c r="BT188" s="141" t="n">
        <x:f>IF(AND('Carta Contemplada'!$B$22="Sim",$A188='Carta Contemplada'!$B$23),'Carta Contemplada'!$B$37,0)</x:f>
        <x:v>0</x:v>
      </x:c>
      <x:c r="BU188" s="141" t="n">
        <x:f>IF('Carta Contemplada'!$B$22="Sim",INDEX('Carta Contemplada'!$C$55:$C$1013,$A188),0)</x:f>
        <x:v>0</x:v>
      </x:c>
      <x:c r="BV188" s="141" t="n">
        <x:f>IF(AND('Carta Contemplada'!$B$22="Sim",Premissas!$B$11="Imovel",Premissas!$B$47="Moradia",$A188&lt;MAX('Carta Contemplada'!$B$44,Premissas!$B$49)),$D188,0)</x:f>
        <x:v>0</x:v>
      </x:c>
      <x:c r="BW188" s="141" t="n">
        <x:f>IF(AND('Carta Contemplada'!$B$22="Sim",Premissas!$B$11="Imovel",Premissas!$B$47="Investimento",$A188&gt;=MAX('Carta Contemplada'!$B$44,Premissas!$B$49)),$E188,0)</x:f>
        <x:v>1533.7972435838026</x:v>
      </x:c>
      <x:c r="BX188" s="141" t="n">
        <x:f>BT188+BU188+BV188</x:f>
        <x:v>0</x:v>
      </x:c>
      <x:c r="BY188" s="141" t="n">
        <x:f>BW188</x:f>
        <x:v>1533.7972435838026</x:v>
      </x:c>
      <x:c r="BZ188" s="141" t="n">
        <x:f>$C188+BY188-BX188</x:f>
        <x:v>8533.797243583802</x:v>
      </x:c>
      <x:c r="CA188" s="141" t="n">
        <x:f>CD187*(1+Premissas!$B$41)+BZ188</x:f>
        <x:v>3326836.101061344</x:v>
      </x:c>
      <x:c r="CB188" s="141" t="n">
        <x:f>MAX(0,-CA188)</x:f>
        <x:v>0</x:v>
      </x:c>
      <x:c r="CC188" s="141" t="n">
        <x:f>CC187*(1+Premissas!$B$41)+CB188</x:f>
        <x:v>0</x:v>
      </x:c>
      <x:c r="CD188" s="141" t="n">
        <x:f>MAX(0,CA188)</x:f>
        <x:v>3326836.101061344</x:v>
      </x:c>
      <x:c r="CE188" s="141" t="n">
        <x:f>IF(AND('Carta Contemplada'!$B$22="Sim",$A188&gt;='Carta Contemplada'!$B$23),INDEX('Carta Contemplada'!$I$55:$I$1013,$A188),0)</x:f>
        <x:v>0</x:v>
      </x:c>
      <x:c r="CF188" s="141" t="n">
        <x:f>IF(AND('Carta Contemplada'!$B$22="Sim",$A188&gt;='Carta Contemplada'!$B$44),$F188,0)</x:f>
        <x:v>486344.9838718953</x:v>
      </x:c>
      <x:c r="CG188" s="141" t="n">
        <x:f>CD188+CF188-CE188</x:f>
        <x:v>3813181.0849332395</x:v>
      </x:c>
      <x:c r="CH188" s="141" t="n">
        <x:f>IF(CC188&gt;1,"Inviavel",CG188)</x:f>
        <x:v>3813181.0849332395</x:v>
      </x:c>
      <x:c r="CI188" s="145" t="str">
        <x:f>IF(CC188&gt;1,"Inviavel","OK")</x:f>
        <x:v>OK</x:v>
      </x:c>
    </x:row>
    <x:row r="189">
      <x:c r="A189" s="142" t="n">
        <x:v>185</x:v>
      </x:c>
      <x:c r="B189" s="179" t="n">
        <x:f>EDATE(Premissas!$B$4,A189-1)</x:f>
        <x:v>52140</x:v>
      </x:c>
      <x:c r="C189" s="141" t="n">
        <x:f>IF(A189&lt;=Premissas!$B$39,Premissas!$B$42,0)</x:f>
        <x:v>7000</x:v>
      </x:c>
      <x:c r="D189" s="141" t="n">
        <x:f>Premissas!$B$54*(1+Premissas!$B$57)^INT((A189-1)/12)</x:f>
        <x:v>1677.590735169784</x:v>
      </x:c>
      <x:c r="E189" s="141" t="n">
        <x:f>Premissas!$B$64*(1+Premissas!$B$57)^INT((A189-1)/12)</x:f>
        <x:v>1533.7972435838026</x:v>
      </x:c>
      <x:c r="F189" s="141" t="n">
        <x:f>MAX(0,Premissas!$B$6*(1+Premissas!$B$66)^((A189-1)/12))</x:f>
        <x:v>488712.29267309274</x:v>
      </x:c>
      <x:c r="G189" s="141" t="n">
        <x:f>G188*(1+Premissas!$B$41)+C189</x:f>
        <x:v>4007036.1674394314</x:v>
      </x:c>
      <x:c r="H189" s="141" t="n">
        <x:f>IF($A189=Premissas!$B$48,Premissas!$B$8,0)</x:f>
        <x:v>0</x:v>
      </x:c>
      <x:c r="I189" s="141" t="n">
        <x:f>IF(AND($A189&gt;=Premissas!$B$48,$A189-Premissas!$B$48+1&lt;=Premissas!$B$13),INDEX(Financiamento!$J$6:$J$485,$A189-Premissas!$B$48+1),0)</x:f>
        <x:v>1384.0400504996587</x:v>
      </x:c>
      <x:c r="J189" s="141" t="n">
        <x:f>IF(AND(TRUE,Premissas!$B$11="Imovel",Premissas!$B$47="Moradia",$A189&lt;MAX(Premissas!$B$48,Premissas!$B$49)),$D189,0)</x:f>
        <x:v>0</x:v>
      </x:c>
      <x:c r="K189" s="141" t="n">
        <x:f>IF(AND(TRUE,Premissas!$B$11="Imovel",Premissas!$B$47="Investimento",$A189&gt;=MAX(Premissas!$B$48,Premissas!$B$49)),$E189,0)</x:f>
        <x:v>1533.7972435838026</x:v>
      </x:c>
      <x:c r="L189" s="141" t="n">
        <x:f>H189+I189+J189</x:f>
        <x:v>1384.0400504996587</x:v>
      </x:c>
      <x:c r="M189" s="141" t="n">
        <x:f>K189</x:f>
        <x:v>1533.7972435838026</x:v>
      </x:c>
      <x:c r="N189" s="141" t="n">
        <x:f>$C189+M189-L189</x:f>
        <x:v>7149.757193084143</x:v>
      </x:c>
      <x:c r="O189" s="141" t="n">
        <x:f>R188*(1+Premissas!$B$41)+N189</x:f>
        <x:v>3319131.2219879264</x:v>
      </x:c>
      <x:c r="P189" s="141" t="n">
        <x:f>MAX(0,-O189)</x:f>
        <x:v>0</x:v>
      </x:c>
      <x:c r="Q189" s="141" t="n">
        <x:f>Q188*(1+Premissas!$B$41)+P189</x:f>
        <x:v>0</x:v>
      </x:c>
      <x:c r="R189" s="141" t="n">
        <x:f>MAX(0,O189)</x:f>
        <x:v>3319131.2219879264</x:v>
      </x:c>
      <x:c r="S189" s="141" t="n">
        <x:f>IF(AND($A189&gt;=Premissas!$B$48,$A189-Premissas!$B$48+1&lt;=Premissas!$B$13),INDEX(Financiamento!$M$6:$M$485,$A189-Premissas!$B$48+1),0)</x:f>
        <x:v>89523.80952380967</x:v>
      </x:c>
      <x:c r="T189" s="141" t="n">
        <x:f>IF($A189&gt;=Premissas!$B$48,$F189,0)</x:f>
        <x:v>488712.29267309274</x:v>
      </x:c>
      <x:c r="U189" s="141" t="n">
        <x:f>R189+T189-S189</x:f>
        <x:v>3718319.7051372095</x:v>
      </x:c>
      <x:c r="V189" s="141" t="n">
        <x:f>IF(Q189&gt;1,"Inviavel",U189)</x:f>
        <x:v>3718319.7051372095</x:v>
      </x:c>
      <x:c r="W189" s="141" t="str">
        <x:f>IF(Q189&gt;1,"Inviavel","OK")</x:f>
        <x:v>OK</x:v>
      </x:c>
      <x:c r="X189" s="141" t="n">
        <x:f>IF($A189=Premissas!$B$48,Premissas!$B$8,0)</x:f>
        <x:v>0</x:v>
      </x:c>
      <x:c r="Y189" s="141" t="n">
        <x:f>IF(AND($A189&gt;=Premissas!$B$48,$A189-Premissas!$B$48+1&lt;=Premissas!$B$13),INDEX(Amortizacao!$K$6:$K$485,$A189-Premissas!$B$48+1),0)</x:f>
        <x:v>0</x:v>
      </x:c>
      <x:c r="Z189" s="141" t="n">
        <x:f>IF(AND(TRUE,Premissas!$B$11="Imovel",Premissas!$B$47="Moradia",$A189&lt;MAX(Premissas!$B$48,Premissas!$B$49)),$D189,0)</x:f>
        <x:v>0</x:v>
      </x:c>
      <x:c r="AA189" s="141" t="n">
        <x:f>IF(AND(TRUE,Premissas!$B$11="Imovel",Premissas!$B$47="Investimento",$A189&gt;=MAX(Premissas!$B$48,Premissas!$B$49)),$E189,0)</x:f>
        <x:v>1533.7972435838026</x:v>
      </x:c>
      <x:c r="AB189" s="141" t="n">
        <x:f>X189+Y189+Z189</x:f>
        <x:v>0</x:v>
      </x:c>
      <x:c r="AC189" s="141" t="n">
        <x:f>AA189</x:f>
        <x:v>1533.7972435838026</x:v>
      </x:c>
      <x:c r="AD189" s="141" t="n">
        <x:f>$C189+AC189-AB189</x:f>
        <x:v>8533.797243583802</x:v>
      </x:c>
      <x:c r="AE189" s="141" t="n">
        <x:f>AH188*(1+Premissas!$B$41)+AD189</x:f>
        <x:v>3284093.1817916064</x:v>
      </x:c>
      <x:c r="AF189" s="141" t="n">
        <x:f>MAX(0,-AE189)</x:f>
        <x:v>0</x:v>
      </x:c>
      <x:c r="AG189" s="141" t="n">
        <x:f>AG188*(1+Premissas!$B$41)+AF189</x:f>
        <x:v>0</x:v>
      </x:c>
      <x:c r="AH189" s="141" t="n">
        <x:f>MAX(0,AE189)</x:f>
        <x:v>3284093.1817916064</x:v>
      </x:c>
      <x:c r="AI189" s="141" t="n">
        <x:f>IF(AND($A189&gt;=Premissas!$B$48,$A189-Premissas!$B$48+1&lt;=Premissas!$B$13),INDEX(Amortizacao!$L$6:$L$485,$A189-Premissas!$B$48+1),0)</x:f>
        <x:v>0</x:v>
      </x:c>
      <x:c r="AJ189" s="141" t="n">
        <x:f>IF($A189&gt;=Premissas!$B$48,$F189,0)</x:f>
        <x:v>488712.29267309274</x:v>
      </x:c>
      <x:c r="AK189" s="141" t="n">
        <x:f>AH189+AJ189-AI189</x:f>
        <x:v>3772805.474464699</x:v>
      </x:c>
      <x:c r="AL189" s="141" t="n">
        <x:f>IF(AG189&gt;1,"Inviavel",AK189)</x:f>
        <x:v>3772805.474464699</x:v>
      </x:c>
      <x:c r="AM189" s="141" t="str">
        <x:f>IF(AG189&gt;1,"Inviavel","OK")</x:f>
        <x:v>OK</x:v>
      </x:c>
      <x:c r="AN189" s="141" t="n">
        <x:f>IF($A189=Premissas!$B$48,Premissas!$B$8,0)</x:f>
        <x:v>0</x:v>
      </x:c>
      <x:c r="AO189" s="141" t="n">
        <x:f>IF($A189&lt;=Premissas!$B$25,INDEX('Consorcio IQ'!$K$6:$K$485,$A189),0)</x:f>
        <x:v>1367.1546217131763</x:v>
      </x:c>
      <x:c r="AP189" s="141" t="n">
        <x:f>IF(AND(TRUE,Premissas!$B$11="Imovel",Premissas!$B$47="Moradia",$A189&lt;MAX(Premissas!$B$48,Premissas!$B$49)),$D189,0)</x:f>
        <x:v>0</x:v>
      </x:c>
      <x:c r="AQ189" s="141" t="n">
        <x:f>IF(AND(TRUE,Premissas!$B$11="Imovel",Premissas!$B$47="Investimento",$A189&gt;=MAX(Premissas!$B$48,Premissas!$B$49)),$E189,0)</x:f>
        <x:v>1533.7972435838026</x:v>
      </x:c>
      <x:c r="AR189" s="141" t="n">
        <x:f>AN189+AO189+AP189</x:f>
        <x:v>1367.1546217131763</x:v>
      </x:c>
      <x:c r="AS189" s="141" t="n">
        <x:f>AQ189</x:f>
        <x:v>1533.7972435838026</x:v>
      </x:c>
      <x:c r="AT189" s="141" t="n">
        <x:f>$C189+AS189-AR189</x:f>
        <x:v>7166.642621870626</x:v>
      </x:c>
      <x:c r="AU189" s="141" t="n">
        <x:f>AX188*(1+Premissas!$B$41)+AT189</x:f>
        <x:v>3316976.054097236</x:v>
      </x:c>
      <x:c r="AV189" s="141" t="n">
        <x:f>MAX(0,-AU189)</x:f>
        <x:v>0</x:v>
      </x:c>
      <x:c r="AW189" s="141" t="n">
        <x:f>AW188*(1+Premissas!$B$41)+AV189</x:f>
        <x:v>0</x:v>
      </x:c>
      <x:c r="AX189" s="141" t="n">
        <x:f>MAX(0,AU189)</x:f>
        <x:v>3316976.054097236</x:v>
      </x:c>
      <x:c r="AY189" s="141" t="n">
        <x:f>INDEX('Consorcio IQ'!$P$6:$P$485,$A189)</x:f>
        <x:v>65734.00205426576</x:v>
      </x:c>
      <x:c r="AZ189" s="141" t="n">
        <x:f>IF($A189&gt;=Premissas!$B$48,$F189,0)+IF($A189&lt;Premissas!$B$27,INDEX('Consorcio IQ'!$O$6:$O$485,$A189),0)</x:f>
        <x:v>488712.29267309274</x:v>
      </x:c>
      <x:c r="BA189" s="141" t="n">
        <x:f>AX189+AZ189-AY189</x:f>
        <x:v>3739954.3447160632</x:v>
      </x:c>
      <x:c r="BB189" s="141" t="n">
        <x:f>IF(AW189&gt;1,"Inviavel",BA189)</x:f>
        <x:v>3739954.3447160632</x:v>
      </x:c>
      <x:c r="BC189" s="141" t="str">
        <x:f>IF(AW189&gt;1,"Inviavel","OK")</x:f>
        <x:v>OK</x:v>
      </x:c>
      <x:c r="BD189" s="141" t="n">
        <x:f>IF($A189='Consorcio Direto'!$B$29,'Consorcio Direto'!$B$44,0)</x:f>
        <x:v>0</x:v>
      </x:c>
      <x:c r="BE189" s="141" t="n">
        <x:f>IF($A189&lt;='Consorcio Direto'!$B$27,INDEX('Consorcio Direto'!$E$55:$E$534,$A189),0)</x:f>
        <x:v>3540.247937255544</x:v>
      </x:c>
      <x:c r="BF189" s="141" t="n">
        <x:f>IF(AND(TRUE,Premissas!$B$11="Imovel",Premissas!$B$47="Moradia",$A189&lt;MAX('Consorcio Direto'!$B$29,Premissas!$B$49)),$D189,0)</x:f>
        <x:v>0</x:v>
      </x:c>
      <x:c r="BG189" s="141" t="n">
        <x:f>IF(AND(TRUE,Premissas!$B$11="Imovel",Premissas!$B$47="Investimento",$A189&gt;=MAX('Consorcio Direto'!$B$29,Premissas!$B$49)),$E189,0)</x:f>
        <x:v>1533.7972435838026</x:v>
      </x:c>
      <x:c r="BH189" s="141" t="n">
        <x:f>BD189+BE189+BF189</x:f>
        <x:v>3540.247937255544</x:v>
      </x:c>
      <x:c r="BI189" s="141" t="n">
        <x:f>BG189</x:f>
        <x:v>1533.7972435838026</x:v>
      </x:c>
      <x:c r="BJ189" s="141" t="n">
        <x:f>$C189+BI189-BH189</x:f>
        <x:v>4993.549306328257</x:v>
      </x:c>
      <x:c r="BK189" s="141" t="n">
        <x:f>BN188*(1+Premissas!$B$41)+BJ189</x:f>
        <x:v>3243920.004176641</x:v>
      </x:c>
      <x:c r="BL189" s="141" t="n">
        <x:f>MAX(0,-BK189)</x:f>
        <x:v>0</x:v>
      </x:c>
      <x:c r="BM189" s="141" t="n">
        <x:f>BM188*(1+Premissas!$B$41)+BL189</x:f>
        <x:v>0</x:v>
      </x:c>
      <x:c r="BN189" s="141" t="n">
        <x:f>MAX(0,BK189)</x:f>
        <x:v>3243920.004176641</x:v>
      </x:c>
      <x:c r="BO189" s="141" t="n">
        <x:f>INDEX('Consorcio Direto'!$K$55:$K$534,$A189)</x:f>
        <x:v>170218.24853179517</x:v>
      </x:c>
      <x:c r="BP189" s="141" t="n">
        <x:f>IF($A189&lt;'Consorcio Direto'!$B$29,INDEX('Consorcio Direto'!$L$55:$L$534,$A189),$F189)</x:f>
        <x:v>488712.29267309274</x:v>
      </x:c>
      <x:c r="BQ189" s="141" t="n">
        <x:f>BN189+BP189-BO189</x:f>
        <x:v>3562414.0483179386</x:v>
      </x:c>
      <x:c r="BR189" s="141" t="n">
        <x:f>IF(BM189&gt;1,"Inviavel",BQ189)</x:f>
        <x:v>3562414.0483179386</x:v>
      </x:c>
      <x:c r="BS189" s="141" t="str">
        <x:f>IF(BM189&gt;1,"Inviavel","OK")</x:f>
        <x:v>OK</x:v>
      </x:c>
      <x:c r="BT189" s="141" t="n">
        <x:f>IF(AND('Carta Contemplada'!$B$22="Sim",$A189='Carta Contemplada'!$B$23),'Carta Contemplada'!$B$37,0)</x:f>
        <x:v>0</x:v>
      </x:c>
      <x:c r="BU189" s="141" t="n">
        <x:f>IF('Carta Contemplada'!$B$22="Sim",INDEX('Carta Contemplada'!$C$55:$C$1013,$A189),0)</x:f>
        <x:v>0</x:v>
      </x:c>
      <x:c r="BV189" s="141" t="n">
        <x:f>IF(AND('Carta Contemplada'!$B$22="Sim",Premissas!$B$11="Imovel",Premissas!$B$47="Moradia",$A189&lt;MAX('Carta Contemplada'!$B$44,Premissas!$B$49)),$D189,0)</x:f>
        <x:v>0</x:v>
      </x:c>
      <x:c r="BW189" s="141" t="n">
        <x:f>IF(AND('Carta Contemplada'!$B$22="Sim",Premissas!$B$11="Imovel",Premissas!$B$47="Investimento",$A189&gt;=MAX('Carta Contemplada'!$B$44,Premissas!$B$49)),$E189,0)</x:f>
        <x:v>1533.7972435838026</x:v>
      </x:c>
      <x:c r="BX189" s="141" t="n">
        <x:f>BT189+BU189+BV189</x:f>
        <x:v>0</x:v>
      </x:c>
      <x:c r="BY189" s="141" t="n">
        <x:f>BW189</x:f>
        <x:v>1533.7972435838026</x:v>
      </x:c>
      <x:c r="BZ189" s="141" t="n">
        <x:f>$C189+BY189-BX189</x:f>
        <x:v>8533.797243583802</x:v>
      </x:c>
      <x:c r="CA189" s="141" t="n">
        <x:f>CD188*(1+Premissas!$B$41)+BZ189</x:f>
        <x:v>3366937.557195195</x:v>
      </x:c>
      <x:c r="CB189" s="141" t="n">
        <x:f>MAX(0,-CA189)</x:f>
        <x:v>0</x:v>
      </x:c>
      <x:c r="CC189" s="141" t="n">
        <x:f>CC188*(1+Premissas!$B$41)+CB189</x:f>
        <x:v>0</x:v>
      </x:c>
      <x:c r="CD189" s="141" t="n">
        <x:f>MAX(0,CA189)</x:f>
        <x:v>3366937.557195195</x:v>
      </x:c>
      <x:c r="CE189" s="141" t="n">
        <x:f>IF(AND('Carta Contemplada'!$B$22="Sim",$A189&gt;='Carta Contemplada'!$B$23),INDEX('Carta Contemplada'!$I$55:$I$1013,$A189),0)</x:f>
        <x:v>0</x:v>
      </x:c>
      <x:c r="CF189" s="141" t="n">
        <x:f>IF(AND('Carta Contemplada'!$B$22="Sim",$A189&gt;='Carta Contemplada'!$B$44),$F189,0)</x:f>
        <x:v>488712.29267309274</x:v>
      </x:c>
      <x:c r="CG189" s="141" t="n">
        <x:f>CD189+CF189-CE189</x:f>
        <x:v>3855649.849868288</x:v>
      </x:c>
      <x:c r="CH189" s="141" t="n">
        <x:f>IF(CC189&gt;1,"Inviavel",CG189)</x:f>
        <x:v>3855649.849868288</x:v>
      </x:c>
      <x:c r="CI189" s="145" t="str">
        <x:f>IF(CC189&gt;1,"Inviavel","OK")</x:f>
        <x:v>OK</x:v>
      </x:c>
    </x:row>
    <x:row r="190">
      <x:c r="A190" s="142" t="n">
        <x:v>186</x:v>
      </x:c>
      <x:c r="B190" s="179" t="n">
        <x:f>EDATE(Premissas!$B$4,A190-1)</x:f>
        <x:v>52171</x:v>
      </x:c>
      <x:c r="C190" s="141" t="n">
        <x:f>IF(A190&lt;=Premissas!$B$39,Premissas!$B$42,0)</x:f>
        <x:v>7000</x:v>
      </x:c>
      <x:c r="D190" s="141" t="n">
        <x:f>Premissas!$B$54*(1+Premissas!$B$57)^INT((A190-1)/12)</x:f>
        <x:v>1677.590735169784</x:v>
      </x:c>
      <x:c r="E190" s="141" t="n">
        <x:f>Premissas!$B$64*(1+Premissas!$B$57)^INT((A190-1)/12)</x:f>
        <x:v>1533.7972435838026</x:v>
      </x:c>
      <x:c r="F190" s="141" t="n">
        <x:f>MAX(0,Premissas!$B$6*(1+Premissas!$B$66)^((A190-1)/12))</x:f>
        <x:v>491091.12446958374</x:v>
      </x:c>
      <x:c r="G190" s="141" t="n">
        <x:f>G189*(1+Premissas!$B$41)+C190</x:f>
        <x:v>4052058.1039136495</x:v>
      </x:c>
      <x:c r="H190" s="141" t="n">
        <x:f>IF($A190=Premissas!$B$48,Premissas!$B$8,0)</x:f>
        <x:v>0</x:v>
      </x:c>
      <x:c r="I190" s="141" t="n">
        <x:f>IF(AND($A190&gt;=Premissas!$B$48,$A190-Premissas!$B$48+1&lt;=Premissas!$B$13),INDEX(Financiamento!$J$6:$J$485,$A190-Premissas!$B$48+1),0)</x:f>
        <x:v>1380.425272238865</x:v>
      </x:c>
      <x:c r="J190" s="141" t="n">
        <x:f>IF(AND(TRUE,Premissas!$B$11="Imovel",Premissas!$B$47="Moradia",$A190&lt;MAX(Premissas!$B$48,Premissas!$B$49)),$D190,0)</x:f>
        <x:v>0</x:v>
      </x:c>
      <x:c r="K190" s="141" t="n">
        <x:f>IF(AND(TRUE,Premissas!$B$11="Imovel",Premissas!$B$47="Investimento",$A190&gt;=MAX(Premissas!$B$48,Premissas!$B$49)),$E190,0)</x:f>
        <x:v>1533.7972435838026</x:v>
      </x:c>
      <x:c r="L190" s="141" t="n">
        <x:f>H190+I190+J190</x:f>
        <x:v>1380.425272238865</x:v>
      </x:c>
      <x:c r="M190" s="141" t="n">
        <x:f>K190</x:f>
        <x:v>1533.7972435838026</x:v>
      </x:c>
      <x:c r="N190" s="141" t="n">
        <x:f>$C190+M190-L190</x:f>
        <x:v>7153.371971344937</x:v>
      </x:c>
      <x:c r="O190" s="141" t="n">
        <x:f>R189*(1+Premissas!$B$41)+N190</x:f>
        <x:v>3357779.1428474244</x:v>
      </x:c>
      <x:c r="P190" s="141" t="n">
        <x:f>MAX(0,-O190)</x:f>
        <x:v>0</x:v>
      </x:c>
      <x:c r="Q190" s="141" t="n">
        <x:f>Q189*(1+Premissas!$B$41)+P190</x:f>
        <x:v>0</x:v>
      </x:c>
      <x:c r="R190" s="141" t="n">
        <x:f>MAX(0,O190)</x:f>
        <x:v>3357779.1428474244</x:v>
      </x:c>
      <x:c r="S190" s="141" t="n">
        <x:f>IF(AND($A190&gt;=Premissas!$B$48,$A190-Premissas!$B$48+1&lt;=Premissas!$B$13),INDEX(Financiamento!$M$6:$M$485,$A190-Premissas!$B$48+1),0)</x:f>
        <x:v>89142.85714285729</x:v>
      </x:c>
      <x:c r="T190" s="141" t="n">
        <x:f>IF($A190&gt;=Premissas!$B$48,$F190,0)</x:f>
        <x:v>491091.12446958374</x:v>
      </x:c>
      <x:c r="U190" s="141" t="n">
        <x:f>R190+T190-S190</x:f>
        <x:v>3759727.410174151</x:v>
      </x:c>
      <x:c r="V190" s="141" t="n">
        <x:f>IF(Q190&gt;1,"Inviavel",U190)</x:f>
        <x:v>3759727.410174151</x:v>
      </x:c>
      <x:c r="W190" s="141" t="str">
        <x:f>IF(Q190&gt;1,"Inviavel","OK")</x:f>
        <x:v>OK</x:v>
      </x:c>
      <x:c r="X190" s="141" t="n">
        <x:f>IF($A190=Premissas!$B$48,Premissas!$B$8,0)</x:f>
        <x:v>0</x:v>
      </x:c>
      <x:c r="Y190" s="141" t="n">
        <x:f>IF(AND($A190&gt;=Premissas!$B$48,$A190-Premissas!$B$48+1&lt;=Premissas!$B$13),INDEX(Amortizacao!$K$6:$K$485,$A190-Premissas!$B$48+1),0)</x:f>
        <x:v>0</x:v>
      </x:c>
      <x:c r="Z190" s="141" t="n">
        <x:f>IF(AND(TRUE,Premissas!$B$11="Imovel",Premissas!$B$47="Moradia",$A190&lt;MAX(Premissas!$B$48,Premissas!$B$49)),$D190,0)</x:f>
        <x:v>0</x:v>
      </x:c>
      <x:c r="AA190" s="141" t="n">
        <x:f>IF(AND(TRUE,Premissas!$B$11="Imovel",Premissas!$B$47="Investimento",$A190&gt;=MAX(Premissas!$B$48,Premissas!$B$49)),$E190,0)</x:f>
        <x:v>1533.7972435838026</x:v>
      </x:c>
      <x:c r="AB190" s="141" t="n">
        <x:f>X190+Y190+Z190</x:f>
        <x:v>0</x:v>
      </x:c>
      <x:c r="AC190" s="141" t="n">
        <x:f>AA190</x:f>
        <x:v>1533.7972435838026</x:v>
      </x:c>
      <x:c r="AD190" s="141" t="n">
        <x:f>$C190+AC190-AB190</x:f>
        <x:v>8533.797243583802</x:v>
      </x:c>
      <x:c r="AE190" s="141" t="n">
        <x:f>AH189*(1+Premissas!$B$41)+AD190</x:f>
        <x:v>3323789.059215087</x:v>
      </x:c>
      <x:c r="AF190" s="141" t="n">
        <x:f>MAX(0,-AE190)</x:f>
        <x:v>0</x:v>
      </x:c>
      <x:c r="AG190" s="141" t="n">
        <x:f>AG189*(1+Premissas!$B$41)+AF190</x:f>
        <x:v>0</x:v>
      </x:c>
      <x:c r="AH190" s="141" t="n">
        <x:f>MAX(0,AE190)</x:f>
        <x:v>3323789.059215087</x:v>
      </x:c>
      <x:c r="AI190" s="141" t="n">
        <x:f>IF(AND($A190&gt;=Premissas!$B$48,$A190-Premissas!$B$48+1&lt;=Premissas!$B$13),INDEX(Amortizacao!$L$6:$L$485,$A190-Premissas!$B$48+1),0)</x:f>
        <x:v>0</x:v>
      </x:c>
      <x:c r="AJ190" s="141" t="n">
        <x:f>IF($A190&gt;=Premissas!$B$48,$F190,0)</x:f>
        <x:v>491091.12446958374</x:v>
      </x:c>
      <x:c r="AK190" s="141" t="n">
        <x:f>AH190+AJ190-AI190</x:f>
        <x:v>3814880.183684671</x:v>
      </x:c>
      <x:c r="AL190" s="141" t="n">
        <x:f>IF(AG190&gt;1,"Inviavel",AK190)</x:f>
        <x:v>3814880.183684671</x:v>
      </x:c>
      <x:c r="AM190" s="141" t="str">
        <x:f>IF(AG190&gt;1,"Inviavel","OK")</x:f>
        <x:v>OK</x:v>
      </x:c>
      <x:c r="AN190" s="141" t="n">
        <x:f>IF($A190=Premissas!$B$48,Premissas!$B$8,0)</x:f>
        <x:v>0</x:v>
      </x:c>
      <x:c r="AO190" s="141" t="n">
        <x:f>IF($A190&lt;=Premissas!$B$25,INDEX('Consorcio IQ'!$K$6:$K$485,$A190),0)</x:f>
        <x:v>1367.1546217131763</x:v>
      </x:c>
      <x:c r="AP190" s="141" t="n">
        <x:f>IF(AND(TRUE,Premissas!$B$11="Imovel",Premissas!$B$47="Moradia",$A190&lt;MAX(Premissas!$B$48,Premissas!$B$49)),$D190,0)</x:f>
        <x:v>0</x:v>
      </x:c>
      <x:c r="AQ190" s="141" t="n">
        <x:f>IF(AND(TRUE,Premissas!$B$11="Imovel",Premissas!$B$47="Investimento",$A190&gt;=MAX(Premissas!$B$48,Premissas!$B$49)),$E190,0)</x:f>
        <x:v>1533.7972435838026</x:v>
      </x:c>
      <x:c r="AR190" s="141" t="n">
        <x:f>AN190+AO190+AP190</x:f>
        <x:v>1367.1546217131763</x:v>
      </x:c>
      <x:c r="AS190" s="141" t="n">
        <x:f>AQ190</x:f>
        <x:v>1533.7972435838026</x:v>
      </x:c>
      <x:c r="AT190" s="141" t="n">
        <x:f>$C190+AS190-AR190</x:f>
        <x:v>7166.642621870626</x:v>
      </x:c>
      <x:c r="AU190" s="141" t="n">
        <x:f>AX189*(1+Premissas!$B$41)+AT190</x:f>
        <x:v>3355616.7956654057</x:v>
      </x:c>
      <x:c r="AV190" s="141" t="n">
        <x:f>MAX(0,-AU190)</x:f>
        <x:v>0</x:v>
      </x:c>
      <x:c r="AW190" s="141" t="n">
        <x:f>AW189*(1+Premissas!$B$41)+AV190</x:f>
        <x:v>0</x:v>
      </x:c>
      <x:c r="AX190" s="141" t="n">
        <x:f>MAX(0,AU190)</x:f>
        <x:v>3355616.7956654057</x:v>
      </x:c>
      <x:c r="AY190" s="141" t="n">
        <x:f>INDEX('Consorcio IQ'!$P$6:$P$485,$A190)</x:f>
        <x:v>64990.58376680697</x:v>
      </x:c>
      <x:c r="AZ190" s="141" t="n">
        <x:f>IF($A190&gt;=Premissas!$B$48,$F190,0)+IF($A190&lt;Premissas!$B$27,INDEX('Consorcio IQ'!$O$6:$O$485,$A190),0)</x:f>
        <x:v>491091.12446958374</x:v>
      </x:c>
      <x:c r="BA190" s="141" t="n">
        <x:f>AX190+AZ190-AY190</x:f>
        <x:v>3781717.3363681827</x:v>
      </x:c>
      <x:c r="BB190" s="141" t="n">
        <x:f>IF(AW190&gt;1,"Inviavel",BA190)</x:f>
        <x:v>3781717.3363681827</x:v>
      </x:c>
      <x:c r="BC190" s="141" t="str">
        <x:f>IF(AW190&gt;1,"Inviavel","OK")</x:f>
        <x:v>OK</x:v>
      </x:c>
      <x:c r="BD190" s="141" t="n">
        <x:f>IF($A190='Consorcio Direto'!$B$29,'Consorcio Direto'!$B$44,0)</x:f>
        <x:v>0</x:v>
      </x:c>
      <x:c r="BE190" s="141" t="n">
        <x:f>IF($A190&lt;='Consorcio Direto'!$B$27,INDEX('Consorcio Direto'!$E$55:$E$534,$A190),0)</x:f>
        <x:v>3540.247937255544</x:v>
      </x:c>
      <x:c r="BF190" s="141" t="n">
        <x:f>IF(AND(TRUE,Premissas!$B$11="Imovel",Premissas!$B$47="Moradia",$A190&lt;MAX('Consorcio Direto'!$B$29,Premissas!$B$49)),$D190,0)</x:f>
        <x:v>0</x:v>
      </x:c>
      <x:c r="BG190" s="141" t="n">
        <x:f>IF(AND(TRUE,Premissas!$B$11="Imovel",Premissas!$B$47="Investimento",$A190&gt;=MAX('Consorcio Direto'!$B$29,Premissas!$B$49)),$E190,0)</x:f>
        <x:v>1533.7972435838026</x:v>
      </x:c>
      <x:c r="BH190" s="141" t="n">
        <x:f>BD190+BE190+BF190</x:f>
        <x:v>3540.247937255544</x:v>
      </x:c>
      <x:c r="BI190" s="141" t="n">
        <x:f>BG190</x:f>
        <x:v>1533.7972435838026</x:v>
      </x:c>
      <x:c r="BJ190" s="141" t="n">
        <x:f>$C190+BI190-BH190</x:f>
        <x:v>4993.549306328257</x:v>
      </x:c>
      <x:c r="BK190" s="141" t="n">
        <x:f>BN189*(1+Premissas!$B$41)+BJ190</x:f>
        <x:v>3279694.438698953</x:v>
      </x:c>
      <x:c r="BL190" s="141" t="n">
        <x:f>MAX(0,-BK190)</x:f>
        <x:v>0</x:v>
      </x:c>
      <x:c r="BM190" s="141" t="n">
        <x:f>BM189*(1+Premissas!$B$41)+BL190</x:f>
        <x:v>0</x:v>
      </x:c>
      <x:c r="BN190" s="141" t="n">
        <x:f>MAX(0,BK190)</x:f>
        <x:v>3279694.438698953</x:v>
      </x:c>
      <x:c r="BO190" s="141" t="n">
        <x:f>INDEX('Consorcio Direto'!$K$55:$K$534,$A190)</x:f>
        <x:v>168293.16630854522</x:v>
      </x:c>
      <x:c r="BP190" s="141" t="n">
        <x:f>IF($A190&lt;'Consorcio Direto'!$B$29,INDEX('Consorcio Direto'!$L$55:$L$534,$A190),$F190)</x:f>
        <x:v>491091.12446958374</x:v>
      </x:c>
      <x:c r="BQ190" s="141" t="n">
        <x:f>BN190+BP190-BO190</x:f>
        <x:v>3602492.396859992</x:v>
      </x:c>
      <x:c r="BR190" s="141" t="n">
        <x:f>IF(BM190&gt;1,"Inviavel",BQ190)</x:f>
        <x:v>3602492.396859992</x:v>
      </x:c>
      <x:c r="BS190" s="141" t="str">
        <x:f>IF(BM190&gt;1,"Inviavel","OK")</x:f>
        <x:v>OK</x:v>
      </x:c>
      <x:c r="BT190" s="141" t="n">
        <x:f>IF(AND('Carta Contemplada'!$B$22="Sim",$A190='Carta Contemplada'!$B$23),'Carta Contemplada'!$B$37,0)</x:f>
        <x:v>0</x:v>
      </x:c>
      <x:c r="BU190" s="141" t="n">
        <x:f>IF('Carta Contemplada'!$B$22="Sim",INDEX('Carta Contemplada'!$C$55:$C$1013,$A190),0)</x:f>
        <x:v>0</x:v>
      </x:c>
      <x:c r="BV190" s="141" t="n">
        <x:f>IF(AND('Carta Contemplada'!$B$22="Sim",Premissas!$B$11="Imovel",Premissas!$B$47="Moradia",$A190&lt;MAX('Carta Contemplada'!$B$44,Premissas!$B$49)),$D190,0)</x:f>
        <x:v>0</x:v>
      </x:c>
      <x:c r="BW190" s="141" t="n">
        <x:f>IF(AND('Carta Contemplada'!$B$22="Sim",Premissas!$B$11="Imovel",Premissas!$B$47="Investimento",$A190&gt;=MAX('Carta Contemplada'!$B$44,Premissas!$B$49)),$E190,0)</x:f>
        <x:v>1533.7972435838026</x:v>
      </x:c>
      <x:c r="BX190" s="141" t="n">
        <x:f>BT190+BU190+BV190</x:f>
        <x:v>0</x:v>
      </x:c>
      <x:c r="BY190" s="141" t="n">
        <x:f>BW190</x:f>
        <x:v>1533.7972435838026</x:v>
      </x:c>
      <x:c r="BZ190" s="141" t="n">
        <x:f>$C190+BY190-BX190</x:f>
        <x:v>8533.797243583802</x:v>
      </x:c>
      <x:c r="CA190" s="141" t="n">
        <x:f>CD189*(1+Premissas!$B$41)+BZ190</x:f>
        <x:v>3407419.527742675</x:v>
      </x:c>
      <x:c r="CB190" s="141" t="n">
        <x:f>MAX(0,-CA190)</x:f>
        <x:v>0</x:v>
      </x:c>
      <x:c r="CC190" s="141" t="n">
        <x:f>CC189*(1+Premissas!$B$41)+CB190</x:f>
        <x:v>0</x:v>
      </x:c>
      <x:c r="CD190" s="141" t="n">
        <x:f>MAX(0,CA190)</x:f>
        <x:v>3407419.527742675</x:v>
      </x:c>
      <x:c r="CE190" s="141" t="n">
        <x:f>IF(AND('Carta Contemplada'!$B$22="Sim",$A190&gt;='Carta Contemplada'!$B$23),INDEX('Carta Contemplada'!$I$55:$I$1013,$A190),0)</x:f>
        <x:v>0</x:v>
      </x:c>
      <x:c r="CF190" s="141" t="n">
        <x:f>IF(AND('Carta Contemplada'!$B$22="Sim",$A190&gt;='Carta Contemplada'!$B$44),$F190,0)</x:f>
        <x:v>491091.12446958374</x:v>
      </x:c>
      <x:c r="CG190" s="141" t="n">
        <x:f>CD190+CF190-CE190</x:f>
        <x:v>3898510.652212259</x:v>
      </x:c>
      <x:c r="CH190" s="141" t="n">
        <x:f>IF(CC190&gt;1,"Inviavel",CG190)</x:f>
        <x:v>3898510.652212259</x:v>
      </x:c>
      <x:c r="CI190" s="145" t="str">
        <x:f>IF(CC190&gt;1,"Inviavel","OK")</x:f>
        <x:v>OK</x:v>
      </x:c>
    </x:row>
    <x:row r="191">
      <x:c r="A191" s="142" t="n">
        <x:v>187</x:v>
      </x:c>
      <x:c r="B191" s="179" t="n">
        <x:f>EDATE(Premissas!$B$4,A191-1)</x:f>
        <x:v>52201</x:v>
      </x:c>
      <x:c r="C191" s="141" t="n">
        <x:f>IF(A191&lt;=Premissas!$B$39,Premissas!$B$42,0)</x:f>
        <x:v>7000</x:v>
      </x:c>
      <x:c r="D191" s="141" t="n">
        <x:f>Premissas!$B$54*(1+Premissas!$B$57)^INT((A191-1)/12)</x:f>
        <x:v>1677.590735169784</x:v>
      </x:c>
      <x:c r="E191" s="141" t="n">
        <x:f>Premissas!$B$64*(1+Premissas!$B$57)^INT((A191-1)/12)</x:f>
        <x:v>1533.7972435838026</x:v>
      </x:c>
      <x:c r="F191" s="141" t="n">
        <x:f>MAX(0,Premissas!$B$6*(1+Premissas!$B$66)^((A191-1)/12))</x:f>
        <x:v>493481.5353501306</x:v>
      </x:c>
      <x:c r="G191" s="141" t="n">
        <x:f>G190*(1+Premissas!$B$41)+C191</x:f>
        <x:v>4097507.244220585</x:v>
      </x:c>
      <x:c r="H191" s="141" t="n">
        <x:f>IF($A191=Premissas!$B$48,Premissas!$B$8,0)</x:f>
        <x:v>0</x:v>
      </x:c>
      <x:c r="I191" s="141" t="n">
        <x:f>IF(AND($A191&gt;=Premissas!$B$48,$A191-Premissas!$B$48+1&lt;=Premissas!$B$13),INDEX(Financiamento!$J$6:$J$485,$A191-Premissas!$B$48+1),0)</x:f>
        <x:v>1376.8104939780717</x:v>
      </x:c>
      <x:c r="J191" s="141" t="n">
        <x:f>IF(AND(TRUE,Premissas!$B$11="Imovel",Premissas!$B$47="Moradia",$A191&lt;MAX(Premissas!$B$48,Premissas!$B$49)),$D191,0)</x:f>
        <x:v>0</x:v>
      </x:c>
      <x:c r="K191" s="141" t="n">
        <x:f>IF(AND(TRUE,Premissas!$B$11="Imovel",Premissas!$B$47="Investimento",$A191&gt;=MAX(Premissas!$B$48,Premissas!$B$49)),$E191,0)</x:f>
        <x:v>1533.7972435838026</x:v>
      </x:c>
      <x:c r="L191" s="141" t="n">
        <x:f>H191+I191+J191</x:f>
        <x:v>1376.8104939780717</x:v>
      </x:c>
      <x:c r="M191" s="141" t="n">
        <x:f>K191</x:f>
        <x:v>1533.7972435838026</x:v>
      </x:c>
      <x:c r="N191" s="141" t="n">
        <x:f>$C191+M191-L191</x:f>
        <x:v>7156.98674960573</x:v>
      </x:c>
      <x:c r="O191" s="141" t="n">
        <x:f>R190*(1+Premissas!$B$41)+N191</x:f>
        <x:v>3396797.400603571</x:v>
      </x:c>
      <x:c r="P191" s="141" t="n">
        <x:f>MAX(0,-O191)</x:f>
        <x:v>0</x:v>
      </x:c>
      <x:c r="Q191" s="141" t="n">
        <x:f>Q190*(1+Premissas!$B$41)+P191</x:f>
        <x:v>0</x:v>
      </x:c>
      <x:c r="R191" s="141" t="n">
        <x:f>MAX(0,O191)</x:f>
        <x:v>3396797.400603571</x:v>
      </x:c>
      <x:c r="S191" s="141" t="n">
        <x:f>IF(AND($A191&gt;=Premissas!$B$48,$A191-Premissas!$B$48+1&lt;=Premissas!$B$13),INDEX(Financiamento!$M$6:$M$485,$A191-Premissas!$B$48+1),0)</x:f>
        <x:v>88761.90476190491</x:v>
      </x:c>
      <x:c r="T191" s="141" t="n">
        <x:f>IF($A191&gt;=Premissas!$B$48,$F191,0)</x:f>
        <x:v>493481.5353501306</x:v>
      </x:c>
      <x:c r="U191" s="141" t="n">
        <x:f>R191+T191-S191</x:f>
        <x:v>3801517.0311917965</x:v>
      </x:c>
      <x:c r="V191" s="141" t="n">
        <x:f>IF(Q191&gt;1,"Inviavel",U191)</x:f>
        <x:v>3801517.0311917965</x:v>
      </x:c>
      <x:c r="W191" s="141" t="str">
        <x:f>IF(Q191&gt;1,"Inviavel","OK")</x:f>
        <x:v>OK</x:v>
      </x:c>
      <x:c r="X191" s="141" t="n">
        <x:f>IF($A191=Premissas!$B$48,Premissas!$B$8,0)</x:f>
        <x:v>0</x:v>
      </x:c>
      <x:c r="Y191" s="141" t="n">
        <x:f>IF(AND($A191&gt;=Premissas!$B$48,$A191-Premissas!$B$48+1&lt;=Premissas!$B$13),INDEX(Amortizacao!$K$6:$K$485,$A191-Premissas!$B$48+1),0)</x:f>
        <x:v>0</x:v>
      </x:c>
      <x:c r="Z191" s="141" t="n">
        <x:f>IF(AND(TRUE,Premissas!$B$11="Imovel",Premissas!$B$47="Moradia",$A191&lt;MAX(Premissas!$B$48,Premissas!$B$49)),$D191,0)</x:f>
        <x:v>0</x:v>
      </x:c>
      <x:c r="AA191" s="141" t="n">
        <x:f>IF(AND(TRUE,Premissas!$B$11="Imovel",Premissas!$B$47="Investimento",$A191&gt;=MAX(Premissas!$B$48,Premissas!$B$49)),$E191,0)</x:f>
        <x:v>1533.7972435838026</x:v>
      </x:c>
      <x:c r="AB191" s="141" t="n">
        <x:f>X191+Y191+Z191</x:f>
        <x:v>0</x:v>
      </x:c>
      <x:c r="AC191" s="141" t="n">
        <x:f>AA191</x:f>
        <x:v>1533.7972435838026</x:v>
      </x:c>
      <x:c r="AD191" s="141" t="n">
        <x:f>$C191+AC191-AB191</x:f>
        <x:v>8533.797243583802</x:v>
      </x:c>
      <x:c r="AE191" s="141" t="n">
        <x:f>AH190*(1+Premissas!$B$41)+AD191</x:f>
        <x:v>3363861.6025997954</x:v>
      </x:c>
      <x:c r="AF191" s="141" t="n">
        <x:f>MAX(0,-AE191)</x:f>
        <x:v>0</x:v>
      </x:c>
      <x:c r="AG191" s="141" t="n">
        <x:f>AG190*(1+Premissas!$B$41)+AF191</x:f>
        <x:v>0</x:v>
      </x:c>
      <x:c r="AH191" s="141" t="n">
        <x:f>MAX(0,AE191)</x:f>
        <x:v>3363861.6025997954</x:v>
      </x:c>
      <x:c r="AI191" s="141" t="n">
        <x:f>IF(AND($A191&gt;=Premissas!$B$48,$A191-Premissas!$B$48+1&lt;=Premissas!$B$13),INDEX(Amortizacao!$L$6:$L$485,$A191-Premissas!$B$48+1),0)</x:f>
        <x:v>0</x:v>
      </x:c>
      <x:c r="AJ191" s="141" t="n">
        <x:f>IF($A191&gt;=Premissas!$B$48,$F191,0)</x:f>
        <x:v>493481.5353501306</x:v>
      </x:c>
      <x:c r="AK191" s="141" t="n">
        <x:f>AH191+AJ191-AI191</x:f>
        <x:v>3857343.137949926</x:v>
      </x:c>
      <x:c r="AL191" s="141" t="n">
        <x:f>IF(AG191&gt;1,"Inviavel",AK191)</x:f>
        <x:v>3857343.137949926</x:v>
      </x:c>
      <x:c r="AM191" s="141" t="str">
        <x:f>IF(AG191&gt;1,"Inviavel","OK")</x:f>
        <x:v>OK</x:v>
      </x:c>
      <x:c r="AN191" s="141" t="n">
        <x:f>IF($A191=Premissas!$B$48,Premissas!$B$8,0)</x:f>
        <x:v>0</x:v>
      </x:c>
      <x:c r="AO191" s="141" t="n">
        <x:f>IF($A191&lt;=Premissas!$B$25,INDEX('Consorcio IQ'!$K$6:$K$485,$A191),0)</x:f>
        <x:v>1367.1546217131763</x:v>
      </x:c>
      <x:c r="AP191" s="141" t="n">
        <x:f>IF(AND(TRUE,Premissas!$B$11="Imovel",Premissas!$B$47="Moradia",$A191&lt;MAX(Premissas!$B$48,Premissas!$B$49)),$D191,0)</x:f>
        <x:v>0</x:v>
      </x:c>
      <x:c r="AQ191" s="141" t="n">
        <x:f>IF(AND(TRUE,Premissas!$B$11="Imovel",Premissas!$B$47="Investimento",$A191&gt;=MAX(Premissas!$B$48,Premissas!$B$49)),$E191,0)</x:f>
        <x:v>1533.7972435838026</x:v>
      </x:c>
      <x:c r="AR191" s="141" t="n">
        <x:f>AN191+AO191+AP191</x:f>
        <x:v>1367.1546217131763</x:v>
      </x:c>
      <x:c r="AS191" s="141" t="n">
        <x:f>AQ191</x:f>
        <x:v>1533.7972435838026</x:v>
      </x:c>
      <x:c r="AT191" s="141" t="n">
        <x:f>$C191+AS191-AR191</x:f>
        <x:v>7166.642621870626</x:v>
      </x:c>
      <x:c r="AU191" s="141" t="n">
        <x:f>AX190*(1+Premissas!$B$41)+AT191</x:f>
        <x:v>3394624.1912291544</x:v>
      </x:c>
      <x:c r="AV191" s="141" t="n">
        <x:f>MAX(0,-AU191)</x:f>
        <x:v>0</x:v>
      </x:c>
      <x:c r="AW191" s="141" t="n">
        <x:f>AW190*(1+Premissas!$B$41)+AV191</x:f>
        <x:v>0</x:v>
      </x:c>
      <x:c r="AX191" s="141" t="n">
        <x:f>MAX(0,AU191)</x:f>
        <x:v>3394624.1912291544</x:v>
      </x:c>
      <x:c r="AY191" s="141" t="n">
        <x:f>INDEX('Consorcio IQ'!$P$6:$P$485,$A191)</x:f>
        <x:v>64240.11133715471</x:v>
      </x:c>
      <x:c r="AZ191" s="141" t="n">
        <x:f>IF($A191&gt;=Premissas!$B$48,$F191,0)+IF($A191&lt;Premissas!$B$27,INDEX('Consorcio IQ'!$O$6:$O$485,$A191),0)</x:f>
        <x:v>493481.5353501306</x:v>
      </x:c>
      <x:c r="BA191" s="141" t="n">
        <x:f>AX191+AZ191-AY191</x:f>
        <x:v>3823865.61524213</x:v>
      </x:c>
      <x:c r="BB191" s="141" t="n">
        <x:f>IF(AW191&gt;1,"Inviavel",BA191)</x:f>
        <x:v>3823865.61524213</x:v>
      </x:c>
      <x:c r="BC191" s="141" t="str">
        <x:f>IF(AW191&gt;1,"Inviavel","OK")</x:f>
        <x:v>OK</x:v>
      </x:c>
      <x:c r="BD191" s="141" t="n">
        <x:f>IF($A191='Consorcio Direto'!$B$29,'Consorcio Direto'!$B$44,0)</x:f>
        <x:v>0</x:v>
      </x:c>
      <x:c r="BE191" s="141" t="n">
        <x:f>IF($A191&lt;='Consorcio Direto'!$B$27,INDEX('Consorcio Direto'!$E$55:$E$534,$A191),0)</x:f>
        <x:v>3540.247937255544</x:v>
      </x:c>
      <x:c r="BF191" s="141" t="n">
        <x:f>IF(AND(TRUE,Premissas!$B$11="Imovel",Premissas!$B$47="Moradia",$A191&lt;MAX('Consorcio Direto'!$B$29,Premissas!$B$49)),$D191,0)</x:f>
        <x:v>0</x:v>
      </x:c>
      <x:c r="BG191" s="141" t="n">
        <x:f>IF(AND(TRUE,Premissas!$B$11="Imovel",Premissas!$B$47="Investimento",$A191&gt;=MAX('Consorcio Direto'!$B$29,Premissas!$B$49)),$E191,0)</x:f>
        <x:v>1533.7972435838026</x:v>
      </x:c>
      <x:c r="BH191" s="141" t="n">
        <x:f>BD191+BE191+BF191</x:f>
        <x:v>3540.247937255544</x:v>
      </x:c>
      <x:c r="BI191" s="141" t="n">
        <x:f>BG191</x:f>
        <x:v>1533.7972435838026</x:v>
      </x:c>
      <x:c r="BJ191" s="141" t="n">
        <x:f>$C191+BI191-BH191</x:f>
        <x:v>4993.549306328257</x:v>
      </x:c>
      <x:c r="BK191" s="141" t="n">
        <x:f>BN190*(1+Premissas!$B$41)+BJ191</x:f>
        <x:v>3315808.3294227994</x:v>
      </x:c>
      <x:c r="BL191" s="141" t="n">
        <x:f>MAX(0,-BK191)</x:f>
        <x:v>0</x:v>
      </x:c>
      <x:c r="BM191" s="141" t="n">
        <x:f>BM190*(1+Premissas!$B$41)+BL191</x:f>
        <x:v>0</x:v>
      </x:c>
      <x:c r="BN191" s="141" t="n">
        <x:f>MAX(0,BK191)</x:f>
        <x:v>3315808.3294227994</x:v>
      </x:c>
      <x:c r="BO191" s="141" t="n">
        <x:f>INDEX('Consorcio Direto'!$K$55:$K$534,$A191)</x:f>
        <x:v>166349.8173786968</x:v>
      </x:c>
      <x:c r="BP191" s="141" t="n">
        <x:f>IF($A191&lt;'Consorcio Direto'!$B$29,INDEX('Consorcio Direto'!$L$55:$L$534,$A191),$F191)</x:f>
        <x:v>493481.5353501306</x:v>
      </x:c>
      <x:c r="BQ191" s="141" t="n">
        <x:f>BN191+BP191-BO191</x:f>
        <x:v>3642940.047394233</x:v>
      </x:c>
      <x:c r="BR191" s="141" t="n">
        <x:f>IF(BM191&gt;1,"Inviavel",BQ191)</x:f>
        <x:v>3642940.047394233</x:v>
      </x:c>
      <x:c r="BS191" s="141" t="str">
        <x:f>IF(BM191&gt;1,"Inviavel","OK")</x:f>
        <x:v>OK</x:v>
      </x:c>
      <x:c r="BT191" s="141" t="n">
        <x:f>IF(AND('Carta Contemplada'!$B$22="Sim",$A191='Carta Contemplada'!$B$23),'Carta Contemplada'!$B$37,0)</x:f>
        <x:v>0</x:v>
      </x:c>
      <x:c r="BU191" s="141" t="n">
        <x:f>IF('Carta Contemplada'!$B$22="Sim",INDEX('Carta Contemplada'!$C$55:$C$1013,$A191),0)</x:f>
        <x:v>0</x:v>
      </x:c>
      <x:c r="BV191" s="141" t="n">
        <x:f>IF(AND('Carta Contemplada'!$B$22="Sim",Premissas!$B$11="Imovel",Premissas!$B$47="Moradia",$A191&lt;MAX('Carta Contemplada'!$B$44,Premissas!$B$49)),$D191,0)</x:f>
        <x:v>0</x:v>
      </x:c>
      <x:c r="BW191" s="141" t="n">
        <x:f>IF(AND('Carta Contemplada'!$B$22="Sim",Premissas!$B$11="Imovel",Premissas!$B$47="Investimento",$A191&gt;=MAX('Carta Contemplada'!$B$44,Premissas!$B$49)),$E191,0)</x:f>
        <x:v>1533.7972435838026</x:v>
      </x:c>
      <x:c r="BX191" s="141" t="n">
        <x:f>BT191+BU191+BV191</x:f>
        <x:v>0</x:v>
      </x:c>
      <x:c r="BY191" s="141" t="n">
        <x:f>BW191</x:f>
        <x:v>1533.7972435838026</x:v>
      </x:c>
      <x:c r="BZ191" s="141" t="n">
        <x:f>$C191+BY191-BX191</x:f>
        <x:v>8533.797243583802</x:v>
      </x:c>
      <x:c r="CA191" s="141" t="n">
        <x:f>CD190*(1+Premissas!$B$41)+BZ191</x:f>
        <x:v>3448285.623326264</x:v>
      </x:c>
      <x:c r="CB191" s="141" t="n">
        <x:f>MAX(0,-CA191)</x:f>
        <x:v>0</x:v>
      </x:c>
      <x:c r="CC191" s="141" t="n">
        <x:f>CC190*(1+Premissas!$B$41)+CB191</x:f>
        <x:v>0</x:v>
      </x:c>
      <x:c r="CD191" s="141" t="n">
        <x:f>MAX(0,CA191)</x:f>
        <x:v>3448285.623326264</x:v>
      </x:c>
      <x:c r="CE191" s="141" t="n">
        <x:f>IF(AND('Carta Contemplada'!$B$22="Sim",$A191&gt;='Carta Contemplada'!$B$23),INDEX('Carta Contemplada'!$I$55:$I$1013,$A191),0)</x:f>
        <x:v>0</x:v>
      </x:c>
      <x:c r="CF191" s="141" t="n">
        <x:f>IF(AND('Carta Contemplada'!$B$22="Sim",$A191&gt;='Carta Contemplada'!$B$44),$F191,0)</x:f>
        <x:v>493481.5353501306</x:v>
      </x:c>
      <x:c r="CG191" s="141" t="n">
        <x:f>CD191+CF191-CE191</x:f>
        <x:v>3941767.1586763943</x:v>
      </x:c>
      <x:c r="CH191" s="141" t="n">
        <x:f>IF(CC191&gt;1,"Inviavel",CG191)</x:f>
        <x:v>3941767.1586763943</x:v>
      </x:c>
      <x:c r="CI191" s="145" t="str">
        <x:f>IF(CC191&gt;1,"Inviavel","OK")</x:f>
        <x:v>OK</x:v>
      </x:c>
    </x:row>
    <x:row r="192">
      <x:c r="A192" s="142" t="n">
        <x:v>188</x:v>
      </x:c>
      <x:c r="B192" s="179" t="n">
        <x:f>EDATE(Premissas!$B$4,A192-1)</x:f>
        <x:v>52232</x:v>
      </x:c>
      <x:c r="C192" s="141" t="n">
        <x:f>IF(A192&lt;=Premissas!$B$39,Premissas!$B$42,0)</x:f>
        <x:v>7000</x:v>
      </x:c>
      <x:c r="D192" s="141" t="n">
        <x:f>Premissas!$B$54*(1+Premissas!$B$57)^INT((A192-1)/12)</x:f>
        <x:v>1677.590735169784</x:v>
      </x:c>
      <x:c r="E192" s="141" t="n">
        <x:f>Premissas!$B$64*(1+Premissas!$B$57)^INT((A192-1)/12)</x:f>
        <x:v>1533.7972435838026</x:v>
      </x:c>
      <x:c r="F192" s="141" t="n">
        <x:f>MAX(0,Premissas!$B$6*(1+Premissas!$B$66)^((A192-1)/12))</x:f>
        <x:v>495883.5816765105</x:v>
      </x:c>
      <x:c r="G192" s="141" t="n">
        <x:f>G191*(1+Premissas!$B$41)+C192</x:f>
        <x:v>4143387.642008948</x:v>
      </x:c>
      <x:c r="H192" s="141" t="n">
        <x:f>IF($A192=Premissas!$B$48,Premissas!$B$8,0)</x:f>
        <x:v>0</x:v>
      </x:c>
      <x:c r="I192" s="141" t="n">
        <x:f>IF(AND($A192&gt;=Premissas!$B$48,$A192-Premissas!$B$48+1&lt;=Premissas!$B$13),INDEX(Financiamento!$J$6:$J$485,$A192-Premissas!$B$48+1),0)</x:f>
        <x:v>1373.195715717278</x:v>
      </x:c>
      <x:c r="J192" s="141" t="n">
        <x:f>IF(AND(TRUE,Premissas!$B$11="Imovel",Premissas!$B$47="Moradia",$A192&lt;MAX(Premissas!$B$48,Premissas!$B$49)),$D192,0)</x:f>
        <x:v>0</x:v>
      </x:c>
      <x:c r="K192" s="141" t="n">
        <x:f>IF(AND(TRUE,Premissas!$B$11="Imovel",Premissas!$B$47="Investimento",$A192&gt;=MAX(Premissas!$B$48,Premissas!$B$49)),$E192,0)</x:f>
        <x:v>1533.7972435838026</x:v>
      </x:c>
      <x:c r="L192" s="141" t="n">
        <x:f>H192+I192+J192</x:f>
        <x:v>1373.195715717278</x:v>
      </x:c>
      <x:c r="M192" s="141" t="n">
        <x:f>K192</x:f>
        <x:v>1533.7972435838026</x:v>
      </x:c>
      <x:c r="N192" s="141" t="n">
        <x:f>$C192+M192-L192</x:f>
        <x:v>7160.601527866524</x:v>
      </x:c>
      <x:c r="O192" s="141" t="n">
        <x:f>R191*(1+Premissas!$B$41)+N192</x:f>
        <x:v>3436189.5093064946</x:v>
      </x:c>
      <x:c r="P192" s="141" t="n">
        <x:f>MAX(0,-O192)</x:f>
        <x:v>0</x:v>
      </x:c>
      <x:c r="Q192" s="141" t="n">
        <x:f>Q191*(1+Premissas!$B$41)+P192</x:f>
        <x:v>0</x:v>
      </x:c>
      <x:c r="R192" s="141" t="n">
        <x:f>MAX(0,O192)</x:f>
        <x:v>3436189.5093064946</x:v>
      </x:c>
      <x:c r="S192" s="141" t="n">
        <x:f>IF(AND($A192&gt;=Premissas!$B$48,$A192-Premissas!$B$48+1&lt;=Premissas!$B$13),INDEX(Financiamento!$M$6:$M$485,$A192-Premissas!$B$48+1),0)</x:f>
        <x:v>88380.95238095253</x:v>
      </x:c>
      <x:c r="T192" s="141" t="n">
        <x:f>IF($A192&gt;=Premissas!$B$48,$F192,0)</x:f>
        <x:v>495883.5816765105</x:v>
      </x:c>
      <x:c r="U192" s="141" t="n">
        <x:f>R192+T192-S192</x:f>
        <x:v>3843692.138602053</x:v>
      </x:c>
      <x:c r="V192" s="141" t="n">
        <x:f>IF(Q192&gt;1,"Inviavel",U192)</x:f>
        <x:v>3843692.138602053</x:v>
      </x:c>
      <x:c r="W192" s="141" t="str">
        <x:f>IF(Q192&gt;1,"Inviavel","OK")</x:f>
        <x:v>OK</x:v>
      </x:c>
      <x:c r="X192" s="141" t="n">
        <x:f>IF($A192=Premissas!$B$48,Premissas!$B$8,0)</x:f>
        <x:v>0</x:v>
      </x:c>
      <x:c r="Y192" s="141" t="n">
        <x:f>IF(AND($A192&gt;=Premissas!$B$48,$A192-Premissas!$B$48+1&lt;=Premissas!$B$13),INDEX(Amortizacao!$K$6:$K$485,$A192-Premissas!$B$48+1),0)</x:f>
        <x:v>0</x:v>
      </x:c>
      <x:c r="Z192" s="141" t="n">
        <x:f>IF(AND(TRUE,Premissas!$B$11="Imovel",Premissas!$B$47="Moradia",$A192&lt;MAX(Premissas!$B$48,Premissas!$B$49)),$D192,0)</x:f>
        <x:v>0</x:v>
      </x:c>
      <x:c r="AA192" s="141" t="n">
        <x:f>IF(AND(TRUE,Premissas!$B$11="Imovel",Premissas!$B$47="Investimento",$A192&gt;=MAX(Premissas!$B$48,Premissas!$B$49)),$E192,0)</x:f>
        <x:v>1533.7972435838026</x:v>
      </x:c>
      <x:c r="AB192" s="141" t="n">
        <x:f>X192+Y192+Z192</x:f>
        <x:v>0</x:v>
      </x:c>
      <x:c r="AC192" s="141" t="n">
        <x:f>AA192</x:f>
        <x:v>1533.7972435838026</x:v>
      </x:c>
      <x:c r="AD192" s="141" t="n">
        <x:f>$C192+AC192-AB192</x:f>
        <x:v>8533.797243583802</x:v>
      </x:c>
      <x:c r="AE192" s="141" t="n">
        <x:f>AH191*(1+Premissas!$B$41)+AD192</x:f>
        <x:v>3404314.3860510434</x:v>
      </x:c>
      <x:c r="AF192" s="141" t="n">
        <x:f>MAX(0,-AE192)</x:f>
        <x:v>0</x:v>
      </x:c>
      <x:c r="AG192" s="141" t="n">
        <x:f>AG191*(1+Premissas!$B$41)+AF192</x:f>
        <x:v>0</x:v>
      </x:c>
      <x:c r="AH192" s="141" t="n">
        <x:f>MAX(0,AE192)</x:f>
        <x:v>3404314.3860510434</x:v>
      </x:c>
      <x:c r="AI192" s="141" t="n">
        <x:f>IF(AND($A192&gt;=Premissas!$B$48,$A192-Premissas!$B$48+1&lt;=Premissas!$B$13),INDEX(Amortizacao!$L$6:$L$485,$A192-Premissas!$B$48+1),0)</x:f>
        <x:v>0</x:v>
      </x:c>
      <x:c r="AJ192" s="141" t="n">
        <x:f>IF($A192&gt;=Premissas!$B$48,$F192,0)</x:f>
        <x:v>495883.5816765105</x:v>
      </x:c>
      <x:c r="AK192" s="141" t="n">
        <x:f>AH192+AJ192-AI192</x:f>
        <x:v>3900197.967727554</x:v>
      </x:c>
      <x:c r="AL192" s="141" t="n">
        <x:f>IF(AG192&gt;1,"Inviavel",AK192)</x:f>
        <x:v>3900197.967727554</x:v>
      </x:c>
      <x:c r="AM192" s="141" t="str">
        <x:f>IF(AG192&gt;1,"Inviavel","OK")</x:f>
        <x:v>OK</x:v>
      </x:c>
      <x:c r="AN192" s="141" t="n">
        <x:f>IF($A192=Premissas!$B$48,Premissas!$B$8,0)</x:f>
        <x:v>0</x:v>
      </x:c>
      <x:c r="AO192" s="141" t="n">
        <x:f>IF($A192&lt;=Premissas!$B$25,INDEX('Consorcio IQ'!$K$6:$K$485,$A192),0)</x:f>
        <x:v>1367.1546217131763</x:v>
      </x:c>
      <x:c r="AP192" s="141" t="n">
        <x:f>IF(AND(TRUE,Premissas!$B$11="Imovel",Premissas!$B$47="Moradia",$A192&lt;MAX(Premissas!$B$48,Premissas!$B$49)),$D192,0)</x:f>
        <x:v>0</x:v>
      </x:c>
      <x:c r="AQ192" s="141" t="n">
        <x:f>IF(AND(TRUE,Premissas!$B$11="Imovel",Premissas!$B$47="Investimento",$A192&gt;=MAX(Premissas!$B$48,Premissas!$B$49)),$E192,0)</x:f>
        <x:v>1533.7972435838026</x:v>
      </x:c>
      <x:c r="AR192" s="141" t="n">
        <x:f>AN192+AO192+AP192</x:f>
        <x:v>1367.1546217131763</x:v>
      </x:c>
      <x:c r="AS192" s="141" t="n">
        <x:f>AQ192</x:f>
        <x:v>1533.7972435838026</x:v>
      </x:c>
      <x:c r="AT192" s="141" t="n">
        <x:f>$C192+AS192-AR192</x:f>
        <x:v>7166.642621870626</x:v>
      </x:c>
      <x:c r="AU192" s="141" t="n">
        <x:f>AX191*(1+Premissas!$B$41)+AT192</x:f>
        <x:v>3434001.719892325</x:v>
      </x:c>
      <x:c r="AV192" s="141" t="n">
        <x:f>MAX(0,-AU192)</x:f>
        <x:v>0</x:v>
      </x:c>
      <x:c r="AW192" s="141" t="n">
        <x:f>AW191*(1+Premissas!$B$41)+AV192</x:f>
        <x:v>0</x:v>
      </x:c>
      <x:c r="AX192" s="141" t="n">
        <x:f>MAX(0,AU192)</x:f>
        <x:v>3434001.719892325</x:v>
      </x:c>
      <x:c r="AY192" s="141" t="n">
        <x:f>INDEX('Consorcio IQ'!$P$6:$P$485,$A192)</x:f>
        <x:v>63482.51783001436</x:v>
      </x:c>
      <x:c r="AZ192" s="141" t="n">
        <x:f>IF($A192&gt;=Premissas!$B$48,$F192,0)+IF($A192&lt;Premissas!$B$27,INDEX('Consorcio IQ'!$O$6:$O$485,$A192),0)</x:f>
        <x:v>495883.5816765105</x:v>
      </x:c>
      <x:c r="BA192" s="141" t="n">
        <x:f>AX192+AZ192-AY192</x:f>
        <x:v>3866402.7837388213</x:v>
      </x:c>
      <x:c r="BB192" s="141" t="n">
        <x:f>IF(AW192&gt;1,"Inviavel",BA192)</x:f>
        <x:v>3866402.7837388213</x:v>
      </x:c>
      <x:c r="BC192" s="141" t="str">
        <x:f>IF(AW192&gt;1,"Inviavel","OK")</x:f>
        <x:v>OK</x:v>
      </x:c>
      <x:c r="BD192" s="141" t="n">
        <x:f>IF($A192='Consorcio Direto'!$B$29,'Consorcio Direto'!$B$44,0)</x:f>
        <x:v>0</x:v>
      </x:c>
      <x:c r="BE192" s="141" t="n">
        <x:f>IF($A192&lt;='Consorcio Direto'!$B$27,INDEX('Consorcio Direto'!$E$55:$E$534,$A192),0)</x:f>
        <x:v>3540.247937255544</x:v>
      </x:c>
      <x:c r="BF192" s="141" t="n">
        <x:f>IF(AND(TRUE,Premissas!$B$11="Imovel",Premissas!$B$47="Moradia",$A192&lt;MAX('Consorcio Direto'!$B$29,Premissas!$B$49)),$D192,0)</x:f>
        <x:v>0</x:v>
      </x:c>
      <x:c r="BG192" s="141" t="n">
        <x:f>IF(AND(TRUE,Premissas!$B$11="Imovel",Premissas!$B$47="Investimento",$A192&gt;=MAX('Consorcio Direto'!$B$29,Premissas!$B$49)),$E192,0)</x:f>
        <x:v>1533.7972435838026</x:v>
      </x:c>
      <x:c r="BH192" s="141" t="n">
        <x:f>BD192+BE192+BF192</x:f>
        <x:v>3540.247937255544</x:v>
      </x:c>
      <x:c r="BI192" s="141" t="n">
        <x:f>BG192</x:f>
        <x:v>1533.7972435838026</x:v>
      </x:c>
      <x:c r="BJ192" s="141" t="n">
        <x:f>$C192+BI192-BH192</x:f>
        <x:v>4993.549306328257</x:v>
      </x:c>
      <x:c r="BK192" s="141" t="n">
        <x:f>BN191*(1+Premissas!$B$41)+BJ192</x:f>
        <x:v>3352264.8973777867</x:v>
      </x:c>
      <x:c r="BL192" s="141" t="n">
        <x:f>MAX(0,-BK192)</x:f>
        <x:v>0</x:v>
      </x:c>
      <x:c r="BM192" s="141" t="n">
        <x:f>BM191*(1+Premissas!$B$41)+BL192</x:f>
        <x:v>0</x:v>
      </x:c>
      <x:c r="BN192" s="141" t="n">
        <x:f>MAX(0,BK192)</x:f>
        <x:v>3352264.8973777867</x:v>
      </x:c>
      <x:c r="BO192" s="141" t="n">
        <x:f>INDEX('Consorcio Direto'!$K$55:$K$534,$A192)</x:f>
        <x:v>164388.02841325343</x:v>
      </x:c>
      <x:c r="BP192" s="141" t="n">
        <x:f>IF($A192&lt;'Consorcio Direto'!$B$29,INDEX('Consorcio Direto'!$L$55:$L$534,$A192),$F192)</x:f>
        <x:v>495883.5816765105</x:v>
      </x:c>
      <x:c r="BQ192" s="141" t="n">
        <x:f>BN192+BP192-BO192</x:f>
        <x:v>3683760.450641044</x:v>
      </x:c>
      <x:c r="BR192" s="141" t="n">
        <x:f>IF(BM192&gt;1,"Inviavel",BQ192)</x:f>
        <x:v>3683760.450641044</x:v>
      </x:c>
      <x:c r="BS192" s="141" t="str">
        <x:f>IF(BM192&gt;1,"Inviavel","OK")</x:f>
        <x:v>OK</x:v>
      </x:c>
      <x:c r="BT192" s="141" t="n">
        <x:f>IF(AND('Carta Contemplada'!$B$22="Sim",$A192='Carta Contemplada'!$B$23),'Carta Contemplada'!$B$37,0)</x:f>
        <x:v>0</x:v>
      </x:c>
      <x:c r="BU192" s="141" t="n">
        <x:f>IF('Carta Contemplada'!$B$22="Sim",INDEX('Carta Contemplada'!$C$55:$C$1013,$A192),0)</x:f>
        <x:v>0</x:v>
      </x:c>
      <x:c r="BV192" s="141" t="n">
        <x:f>IF(AND('Carta Contemplada'!$B$22="Sim",Premissas!$B$11="Imovel",Premissas!$B$47="Moradia",$A192&lt;MAX('Carta Contemplada'!$B$44,Premissas!$B$49)),$D192,0)</x:f>
        <x:v>0</x:v>
      </x:c>
      <x:c r="BW192" s="141" t="n">
        <x:f>IF(AND('Carta Contemplada'!$B$22="Sim",Premissas!$B$11="Imovel",Premissas!$B$47="Investimento",$A192&gt;=MAX('Carta Contemplada'!$B$44,Premissas!$B$49)),$E192,0)</x:f>
        <x:v>1533.7972435838026</x:v>
      </x:c>
      <x:c r="BX192" s="141" t="n">
        <x:f>BT192+BU192+BV192</x:f>
        <x:v>0</x:v>
      </x:c>
      <x:c r="BY192" s="141" t="n">
        <x:f>BW192</x:f>
        <x:v>1533.7972435838026</x:v>
      </x:c>
      <x:c r="BZ192" s="141" t="n">
        <x:f>$C192+BY192-BX192</x:f>
        <x:v>8533.797243583802</x:v>
      </x:c>
      <x:c r="CA192" s="141" t="n">
        <x:f>CD191*(1+Premissas!$B$41)+BZ192</x:f>
        <x:v>3489539.4888288905</x:v>
      </x:c>
      <x:c r="CB192" s="141" t="n">
        <x:f>MAX(0,-CA192)</x:f>
        <x:v>0</x:v>
      </x:c>
      <x:c r="CC192" s="141" t="n">
        <x:f>CC191*(1+Premissas!$B$41)+CB192</x:f>
        <x:v>0</x:v>
      </x:c>
      <x:c r="CD192" s="141" t="n">
        <x:f>MAX(0,CA192)</x:f>
        <x:v>3489539.4888288905</x:v>
      </x:c>
      <x:c r="CE192" s="141" t="n">
        <x:f>IF(AND('Carta Contemplada'!$B$22="Sim",$A192&gt;='Carta Contemplada'!$B$23),INDEX('Carta Contemplada'!$I$55:$I$1013,$A192),0)</x:f>
        <x:v>0</x:v>
      </x:c>
      <x:c r="CF192" s="141" t="n">
        <x:f>IF(AND('Carta Contemplada'!$B$22="Sim",$A192&gt;='Carta Contemplada'!$B$44),$F192,0)</x:f>
        <x:v>495883.5816765105</x:v>
      </x:c>
      <x:c r="CG192" s="141" t="n">
        <x:f>CD192+CF192-CE192</x:f>
        <x:v>3985423.070505401</x:v>
      </x:c>
      <x:c r="CH192" s="141" t="n">
        <x:f>IF(CC192&gt;1,"Inviavel",CG192)</x:f>
        <x:v>3985423.070505401</x:v>
      </x:c>
      <x:c r="CI192" s="145" t="str">
        <x:f>IF(CC192&gt;1,"Inviavel","OK")</x:f>
        <x:v>OK</x:v>
      </x:c>
    </x:row>
    <x:row r="193">
      <x:c r="A193" s="142" t="n">
        <x:v>189</x:v>
      </x:c>
      <x:c r="B193" s="179" t="n">
        <x:f>EDATE(Premissas!$B$4,A193-1)</x:f>
        <x:v>52263</x:v>
      </x:c>
      <x:c r="C193" s="141" t="n">
        <x:f>IF(A193&lt;=Premissas!$B$39,Premissas!$B$42,0)</x:f>
        <x:v>7000</x:v>
      </x:c>
      <x:c r="D193" s="141" t="n">
        <x:f>Premissas!$B$54*(1+Premissas!$B$57)^INT((A193-1)/12)</x:f>
        <x:v>1677.590735169784</x:v>
      </x:c>
      <x:c r="E193" s="141" t="n">
        <x:f>Premissas!$B$64*(1+Premissas!$B$57)^INT((A193-1)/12)</x:f>
        <x:v>1533.7972435838026</x:v>
      </x:c>
      <x:c r="F193" s="141" t="n">
        <x:f>MAX(0,Premissas!$B$6*(1+Premissas!$B$66)^((A193-1)/12))</x:f>
        <x:v>498297.3200848443</x:v>
      </x:c>
      <x:c r="G193" s="141" t="n">
        <x:f>G192*(1+Premissas!$B$41)+C193</x:f>
        <x:v>4189703.389391681</x:v>
      </x:c>
      <x:c r="H193" s="141" t="n">
        <x:f>IF($A193=Premissas!$B$48,Premissas!$B$8,0)</x:f>
        <x:v>0</x:v>
      </x:c>
      <x:c r="I193" s="141" t="n">
        <x:f>IF(AND($A193&gt;=Premissas!$B$48,$A193-Premissas!$B$48+1&lt;=Premissas!$B$13),INDEX(Financiamento!$J$6:$J$485,$A193-Premissas!$B$48+1),0)</x:f>
        <x:v>1369.5809374564844</x:v>
      </x:c>
      <x:c r="J193" s="141" t="n">
        <x:f>IF(AND(TRUE,Premissas!$B$11="Imovel",Premissas!$B$47="Moradia",$A193&lt;MAX(Premissas!$B$48,Premissas!$B$49)),$D193,0)</x:f>
        <x:v>0</x:v>
      </x:c>
      <x:c r="K193" s="141" t="n">
        <x:f>IF(AND(TRUE,Premissas!$B$11="Imovel",Premissas!$B$47="Investimento",$A193&gt;=MAX(Premissas!$B$48,Premissas!$B$49)),$E193,0)</x:f>
        <x:v>1533.7972435838026</x:v>
      </x:c>
      <x:c r="L193" s="141" t="n">
        <x:f>H193+I193+J193</x:f>
        <x:v>1369.5809374564844</x:v>
      </x:c>
      <x:c r="M193" s="141" t="n">
        <x:f>K193</x:f>
        <x:v>1533.7972435838026</x:v>
      </x:c>
      <x:c r="N193" s="141" t="n">
        <x:f>$C193+M193-L193</x:f>
        <x:v>7164.216306127318</x:v>
      </x:c>
      <x:c r="O193" s="141" t="n">
        <x:f>R192*(1+Premissas!$B$41)+N193</x:f>
        <x:v>3475959.0163504174</x:v>
      </x:c>
      <x:c r="P193" s="141" t="n">
        <x:f>MAX(0,-O193)</x:f>
        <x:v>0</x:v>
      </x:c>
      <x:c r="Q193" s="141" t="n">
        <x:f>Q192*(1+Premissas!$B$41)+P193</x:f>
        <x:v>0</x:v>
      </x:c>
      <x:c r="R193" s="141" t="n">
        <x:f>MAX(0,O193)</x:f>
        <x:v>3475959.0163504174</x:v>
      </x:c>
      <x:c r="S193" s="141" t="n">
        <x:f>IF(AND($A193&gt;=Premissas!$B$48,$A193-Premissas!$B$48+1&lt;=Premissas!$B$13),INDEX(Financiamento!$M$6:$M$485,$A193-Premissas!$B$48+1),0)</x:f>
        <x:v>88000.00000000015</x:v>
      </x:c>
      <x:c r="T193" s="141" t="n">
        <x:f>IF($A193&gt;=Premissas!$B$48,$F193,0)</x:f>
        <x:v>498297.3200848443</x:v>
      </x:c>
      <x:c r="U193" s="141" t="n">
        <x:f>R193+T193-S193</x:f>
        <x:v>3886256.3364352616</x:v>
      </x:c>
      <x:c r="V193" s="141" t="n">
        <x:f>IF(Q193&gt;1,"Inviavel",U193)</x:f>
        <x:v>3886256.3364352616</x:v>
      </x:c>
      <x:c r="W193" s="141" t="str">
        <x:f>IF(Q193&gt;1,"Inviavel","OK")</x:f>
        <x:v>OK</x:v>
      </x:c>
      <x:c r="X193" s="141" t="n">
        <x:f>IF($A193=Premissas!$B$48,Premissas!$B$8,0)</x:f>
        <x:v>0</x:v>
      </x:c>
      <x:c r="Y193" s="141" t="n">
        <x:f>IF(AND($A193&gt;=Premissas!$B$48,$A193-Premissas!$B$48+1&lt;=Premissas!$B$13),INDEX(Amortizacao!$K$6:$K$485,$A193-Premissas!$B$48+1),0)</x:f>
        <x:v>0</x:v>
      </x:c>
      <x:c r="Z193" s="141" t="n">
        <x:f>IF(AND(TRUE,Premissas!$B$11="Imovel",Premissas!$B$47="Moradia",$A193&lt;MAX(Premissas!$B$48,Premissas!$B$49)),$D193,0)</x:f>
        <x:v>0</x:v>
      </x:c>
      <x:c r="AA193" s="141" t="n">
        <x:f>IF(AND(TRUE,Premissas!$B$11="Imovel",Premissas!$B$47="Investimento",$A193&gt;=MAX(Premissas!$B$48,Premissas!$B$49)),$E193,0)</x:f>
        <x:v>1533.7972435838026</x:v>
      </x:c>
      <x:c r="AB193" s="141" t="n">
        <x:f>X193+Y193+Z193</x:f>
        <x:v>0</x:v>
      </x:c>
      <x:c r="AC193" s="141" t="n">
        <x:f>AA193</x:f>
        <x:v>1533.7972435838026</x:v>
      </x:c>
      <x:c r="AD193" s="141" t="n">
        <x:f>$C193+AC193-AB193</x:f>
        <x:v>8533.797243583802</x:v>
      </x:c>
      <x:c r="AE193" s="141" t="n">
        <x:f>AH192*(1+Premissas!$B$41)+AD193</x:f>
        <x:v>3445151.017588088</x:v>
      </x:c>
      <x:c r="AF193" s="141" t="n">
        <x:f>MAX(0,-AE193)</x:f>
        <x:v>0</x:v>
      </x:c>
      <x:c r="AG193" s="141" t="n">
        <x:f>AG192*(1+Premissas!$B$41)+AF193</x:f>
        <x:v>0</x:v>
      </x:c>
      <x:c r="AH193" s="141" t="n">
        <x:f>MAX(0,AE193)</x:f>
        <x:v>3445151.017588088</x:v>
      </x:c>
      <x:c r="AI193" s="141" t="n">
        <x:f>IF(AND($A193&gt;=Premissas!$B$48,$A193-Premissas!$B$48+1&lt;=Premissas!$B$13),INDEX(Amortizacao!$L$6:$L$485,$A193-Premissas!$B$48+1),0)</x:f>
        <x:v>0</x:v>
      </x:c>
      <x:c r="AJ193" s="141" t="n">
        <x:f>IF($A193&gt;=Premissas!$B$48,$F193,0)</x:f>
        <x:v>498297.3200848443</x:v>
      </x:c>
      <x:c r="AK193" s="141" t="n">
        <x:f>AH193+AJ193-AI193</x:f>
        <x:v>3943448.337672932</x:v>
      </x:c>
      <x:c r="AL193" s="141" t="n">
        <x:f>IF(AG193&gt;1,"Inviavel",AK193)</x:f>
        <x:v>3943448.337672932</x:v>
      </x:c>
      <x:c r="AM193" s="141" t="str">
        <x:f>IF(AG193&gt;1,"Inviavel","OK")</x:f>
        <x:v>OK</x:v>
      </x:c>
      <x:c r="AN193" s="141" t="n">
        <x:f>IF($A193=Premissas!$B$48,Premissas!$B$8,0)</x:f>
        <x:v>0</x:v>
      </x:c>
      <x:c r="AO193" s="141" t="n">
        <x:f>IF($A193&lt;=Premissas!$B$25,INDEX('Consorcio IQ'!$K$6:$K$485,$A193),0)</x:f>
        <x:v>1367.1546217131763</x:v>
      </x:c>
      <x:c r="AP193" s="141" t="n">
        <x:f>IF(AND(TRUE,Premissas!$B$11="Imovel",Premissas!$B$47="Moradia",$A193&lt;MAX(Premissas!$B$48,Premissas!$B$49)),$D193,0)</x:f>
        <x:v>0</x:v>
      </x:c>
      <x:c r="AQ193" s="141" t="n">
        <x:f>IF(AND(TRUE,Premissas!$B$11="Imovel",Premissas!$B$47="Investimento",$A193&gt;=MAX(Premissas!$B$48,Premissas!$B$49)),$E193,0)</x:f>
        <x:v>1533.7972435838026</x:v>
      </x:c>
      <x:c r="AR193" s="141" t="n">
        <x:f>AN193+AO193+AP193</x:f>
        <x:v>1367.1546217131763</x:v>
      </x:c>
      <x:c r="AS193" s="141" t="n">
        <x:f>AQ193</x:f>
        <x:v>1533.7972435838026</x:v>
      </x:c>
      <x:c r="AT193" s="141" t="n">
        <x:f>$C193+AS193-AR193</x:f>
        <x:v>7166.642621870626</x:v>
      </x:c>
      <x:c r="AU193" s="141" t="n">
        <x:f>AX192*(1+Premissas!$B$41)+AT193</x:f>
        <x:v>3473752.893771256</x:v>
      </x:c>
      <x:c r="AV193" s="141" t="n">
        <x:f>MAX(0,-AU193)</x:f>
        <x:v>0</x:v>
      </x:c>
      <x:c r="AW193" s="141" t="n">
        <x:f>AW192*(1+Premissas!$B$41)+AV193</x:f>
        <x:v>0</x:v>
      </x:c>
      <x:c r="AX193" s="141" t="n">
        <x:f>MAX(0,AU193)</x:f>
        <x:v>3473752.893771256</x:v>
      </x:c>
      <x:c r="AY193" s="141" t="n">
        <x:f>INDEX('Consorcio IQ'!$P$6:$P$485,$A193)</x:f>
        <x:v>62717.735674956166</x:v>
      </x:c>
      <x:c r="AZ193" s="141" t="n">
        <x:f>IF($A193&gt;=Premissas!$B$48,$F193,0)+IF($A193&lt;Premissas!$B$27,INDEX('Consorcio IQ'!$O$6:$O$485,$A193),0)</x:f>
        <x:v>498297.3200848443</x:v>
      </x:c>
      <x:c r="BA193" s="141" t="n">
        <x:f>AX193+AZ193-AY193</x:f>
        <x:v>3909332.4781811438</x:v>
      </x:c>
      <x:c r="BB193" s="141" t="n">
        <x:f>IF(AW193&gt;1,"Inviavel",BA193)</x:f>
        <x:v>3909332.4781811438</x:v>
      </x:c>
      <x:c r="BC193" s="141" t="str">
        <x:f>IF(AW193&gt;1,"Inviavel","OK")</x:f>
        <x:v>OK</x:v>
      </x:c>
      <x:c r="BD193" s="141" t="n">
        <x:f>IF($A193='Consorcio Direto'!$B$29,'Consorcio Direto'!$B$44,0)</x:f>
        <x:v>0</x:v>
      </x:c>
      <x:c r="BE193" s="141" t="n">
        <x:f>IF($A193&lt;='Consorcio Direto'!$B$27,INDEX('Consorcio Direto'!$E$55:$E$534,$A193),0)</x:f>
        <x:v>3540.247937255544</x:v>
      </x:c>
      <x:c r="BF193" s="141" t="n">
        <x:f>IF(AND(TRUE,Premissas!$B$11="Imovel",Premissas!$B$47="Moradia",$A193&lt;MAX('Consorcio Direto'!$B$29,Premissas!$B$49)),$D193,0)</x:f>
        <x:v>0</x:v>
      </x:c>
      <x:c r="BG193" s="141" t="n">
        <x:f>IF(AND(TRUE,Premissas!$B$11="Imovel",Premissas!$B$47="Investimento",$A193&gt;=MAX('Consorcio Direto'!$B$29,Premissas!$B$49)),$E193,0)</x:f>
        <x:v>1533.7972435838026</x:v>
      </x:c>
      <x:c r="BH193" s="141" t="n">
        <x:f>BD193+BE193+BF193</x:f>
        <x:v>3540.247937255544</x:v>
      </x:c>
      <x:c r="BI193" s="141" t="n">
        <x:f>BG193</x:f>
        <x:v>1533.7972435838026</x:v>
      </x:c>
      <x:c r="BJ193" s="141" t="n">
        <x:f>$C193+BI193-BH193</x:f>
        <x:v>4993.549306328257</x:v>
      </x:c>
      <x:c r="BK193" s="141" t="n">
        <x:f>BN192*(1+Premissas!$B$41)+BJ193</x:f>
        <x:v>3389067.3941572043</x:v>
      </x:c>
      <x:c r="BL193" s="141" t="n">
        <x:f>MAX(0,-BK193)</x:f>
        <x:v>0</x:v>
      </x:c>
      <x:c r="BM193" s="141" t="n">
        <x:f>BM192*(1+Premissas!$B$41)+BL193</x:f>
        <x:v>0</x:v>
      </x:c>
      <x:c r="BN193" s="141" t="n">
        <x:f>MAX(0,BK193)</x:f>
        <x:v>3389067.3941572043</x:v>
      </x:c>
      <x:c r="BO193" s="141" t="n">
        <x:f>INDEX('Consorcio Direto'!$K$55:$K$534,$A193)</x:f>
        <x:v>162407.6244385356</x:v>
      </x:c>
      <x:c r="BP193" s="141" t="n">
        <x:f>IF($A193&lt;'Consorcio Direto'!$B$29,INDEX('Consorcio Direto'!$L$55:$L$534,$A193),$F193)</x:f>
        <x:v>498297.3200848443</x:v>
      </x:c>
      <x:c r="BQ193" s="141" t="n">
        <x:f>BN193+BP193-BO193</x:f>
        <x:v>3724957.089803513</x:v>
      </x:c>
      <x:c r="BR193" s="141" t="n">
        <x:f>IF(BM193&gt;1,"Inviavel",BQ193)</x:f>
        <x:v>3724957.089803513</x:v>
      </x:c>
      <x:c r="BS193" s="141" t="str">
        <x:f>IF(BM193&gt;1,"Inviavel","OK")</x:f>
        <x:v>OK</x:v>
      </x:c>
      <x:c r="BT193" s="141" t="n">
        <x:f>IF(AND('Carta Contemplada'!$B$22="Sim",$A193='Carta Contemplada'!$B$23),'Carta Contemplada'!$B$37,0)</x:f>
        <x:v>0</x:v>
      </x:c>
      <x:c r="BU193" s="141" t="n">
        <x:f>IF('Carta Contemplada'!$B$22="Sim",INDEX('Carta Contemplada'!$C$55:$C$1013,$A193),0)</x:f>
        <x:v>0</x:v>
      </x:c>
      <x:c r="BV193" s="141" t="n">
        <x:f>IF(AND('Carta Contemplada'!$B$22="Sim",Premissas!$B$11="Imovel",Premissas!$B$47="Moradia",$A193&lt;MAX('Carta Contemplada'!$B$44,Premissas!$B$49)),$D193,0)</x:f>
        <x:v>0</x:v>
      </x:c>
      <x:c r="BW193" s="141" t="n">
        <x:f>IF(AND('Carta Contemplada'!$B$22="Sim",Premissas!$B$11="Imovel",Premissas!$B$47="Investimento",$A193&gt;=MAX('Carta Contemplada'!$B$44,Premissas!$B$49)),$E193,0)</x:f>
        <x:v>1533.7972435838026</x:v>
      </x:c>
      <x:c r="BX193" s="141" t="n">
        <x:f>BT193+BU193+BV193</x:f>
        <x:v>0</x:v>
      </x:c>
      <x:c r="BY193" s="141" t="n">
        <x:f>BW193</x:f>
        <x:v>1533.7972435838026</x:v>
      </x:c>
      <x:c r="BZ193" s="141" t="n">
        <x:f>$C193+BY193-BX193</x:f>
        <x:v>8533.797243583802</x:v>
      </x:c>
      <x:c r="CA193" s="141" t="n">
        <x:f>CD192*(1+Premissas!$B$41)+BZ193</x:f>
        <x:v>3531184.803719023</x:v>
      </x:c>
      <x:c r="CB193" s="141" t="n">
        <x:f>MAX(0,-CA193)</x:f>
        <x:v>0</x:v>
      </x:c>
      <x:c r="CC193" s="141" t="n">
        <x:f>CC192*(1+Premissas!$B$41)+CB193</x:f>
        <x:v>0</x:v>
      </x:c>
      <x:c r="CD193" s="141" t="n">
        <x:f>MAX(0,CA193)</x:f>
        <x:v>3531184.803719023</x:v>
      </x:c>
      <x:c r="CE193" s="141" t="n">
        <x:f>IF(AND('Carta Contemplada'!$B$22="Sim",$A193&gt;='Carta Contemplada'!$B$23),INDEX('Carta Contemplada'!$I$55:$I$1013,$A193),0)</x:f>
        <x:v>0</x:v>
      </x:c>
      <x:c r="CF193" s="141" t="n">
        <x:f>IF(AND('Carta Contemplada'!$B$22="Sim",$A193&gt;='Carta Contemplada'!$B$44),$F193,0)</x:f>
        <x:v>498297.3200848443</x:v>
      </x:c>
      <x:c r="CG193" s="141" t="n">
        <x:f>CD193+CF193-CE193</x:f>
        <x:v>4029482.123803867</x:v>
      </x:c>
      <x:c r="CH193" s="141" t="n">
        <x:f>IF(CC193&gt;1,"Inviavel",CG193)</x:f>
        <x:v>4029482.123803867</x:v>
      </x:c>
      <x:c r="CI193" s="145" t="str">
        <x:f>IF(CC193&gt;1,"Inviavel","OK")</x:f>
        <x:v>OK</x:v>
      </x:c>
    </x:row>
    <x:row r="194">
      <x:c r="A194" s="142" t="n">
        <x:v>190</x:v>
      </x:c>
      <x:c r="B194" s="179" t="n">
        <x:f>EDATE(Premissas!$B$4,A194-1)</x:f>
        <x:v>52291</x:v>
      </x:c>
      <x:c r="C194" s="141" t="n">
        <x:f>IF(A194&lt;=Premissas!$B$39,Premissas!$B$42,0)</x:f>
        <x:v>7000</x:v>
      </x:c>
      <x:c r="D194" s="141" t="n">
        <x:f>Premissas!$B$54*(1+Premissas!$B$57)^INT((A194-1)/12)</x:f>
        <x:v>1677.590735169784</x:v>
      </x:c>
      <x:c r="E194" s="141" t="n">
        <x:f>Premissas!$B$64*(1+Premissas!$B$57)^INT((A194-1)/12)</x:f>
        <x:v>1533.7972435838026</x:v>
      </x:c>
      <x:c r="F194" s="141" t="n">
        <x:f>MAX(0,Premissas!$B$6*(1+Premissas!$B$66)^((A194-1)/12))</x:f>
        <x:v>500722.8074869322</x:v>
      </x:c>
      <x:c r="G194" s="141" t="n">
        <x:f>G193*(1+Premissas!$B$41)+C194</x:f>
        <x:v>4236458.617310939</x:v>
      </x:c>
      <x:c r="H194" s="141" t="n">
        <x:f>IF($A194=Premissas!$B$48,Premissas!$B$8,0)</x:f>
        <x:v>0</x:v>
      </x:c>
      <x:c r="I194" s="141" t="n">
        <x:f>IF(AND($A194&gt;=Premissas!$B$48,$A194-Premissas!$B$48+1&lt;=Premissas!$B$13),INDEX(Financiamento!$J$6:$J$485,$A194-Premissas!$B$48+1),0)</x:f>
        <x:v>1365.966159195691</x:v>
      </x:c>
      <x:c r="J194" s="141" t="n">
        <x:f>IF(AND(TRUE,Premissas!$B$11="Imovel",Premissas!$B$47="Moradia",$A194&lt;MAX(Premissas!$B$48,Premissas!$B$49)),$D194,0)</x:f>
        <x:v>0</x:v>
      </x:c>
      <x:c r="K194" s="141" t="n">
        <x:f>IF(AND(TRUE,Premissas!$B$11="Imovel",Premissas!$B$47="Investimento",$A194&gt;=MAX(Premissas!$B$48,Premissas!$B$49)),$E194,0)</x:f>
        <x:v>1533.7972435838026</x:v>
      </x:c>
      <x:c r="L194" s="141" t="n">
        <x:f>H194+I194+J194</x:f>
        <x:v>1365.966159195691</x:v>
      </x:c>
      <x:c r="M194" s="141" t="n">
        <x:f>K194</x:f>
        <x:v>1533.7972435838026</x:v>
      </x:c>
      <x:c r="N194" s="141" t="n">
        <x:f>$C194+M194-L194</x:f>
        <x:v>7167.831084388111</x:v>
      </x:c>
      <x:c r="O194" s="141" t="n">
        <x:f>R193*(1+Premissas!$B$41)+N194</x:f>
        <x:v>3516109.502790052</x:v>
      </x:c>
      <x:c r="P194" s="141" t="n">
        <x:f>MAX(0,-O194)</x:f>
        <x:v>0</x:v>
      </x:c>
      <x:c r="Q194" s="141" t="n">
        <x:f>Q193*(1+Premissas!$B$41)+P194</x:f>
        <x:v>0</x:v>
      </x:c>
      <x:c r="R194" s="141" t="n">
        <x:f>MAX(0,O194)</x:f>
        <x:v>3516109.502790052</x:v>
      </x:c>
      <x:c r="S194" s="141" t="n">
        <x:f>IF(AND($A194&gt;=Premissas!$B$48,$A194-Premissas!$B$48+1&lt;=Premissas!$B$13),INDEX(Financiamento!$M$6:$M$485,$A194-Premissas!$B$48+1),0)</x:f>
        <x:v>87619.04761904776</x:v>
      </x:c>
      <x:c r="T194" s="141" t="n">
        <x:f>IF($A194&gt;=Premissas!$B$48,$F194,0)</x:f>
        <x:v>500722.8074869322</x:v>
      </x:c>
      <x:c r="U194" s="141" t="n">
        <x:f>R194+T194-S194</x:f>
        <x:v>3929213.2626579367</x:v>
      </x:c>
      <x:c r="V194" s="141" t="n">
        <x:f>IF(Q194&gt;1,"Inviavel",U194)</x:f>
        <x:v>3929213.2626579367</x:v>
      </x:c>
      <x:c r="W194" s="141" t="str">
        <x:f>IF(Q194&gt;1,"Inviavel","OK")</x:f>
        <x:v>OK</x:v>
      </x:c>
      <x:c r="X194" s="141" t="n">
        <x:f>IF($A194=Premissas!$B$48,Premissas!$B$8,0)</x:f>
        <x:v>0</x:v>
      </x:c>
      <x:c r="Y194" s="141" t="n">
        <x:f>IF(AND($A194&gt;=Premissas!$B$48,$A194-Premissas!$B$48+1&lt;=Premissas!$B$13),INDEX(Amortizacao!$K$6:$K$485,$A194-Premissas!$B$48+1),0)</x:f>
        <x:v>0</x:v>
      </x:c>
      <x:c r="Z194" s="141" t="n">
        <x:f>IF(AND(TRUE,Premissas!$B$11="Imovel",Premissas!$B$47="Moradia",$A194&lt;MAX(Premissas!$B$48,Premissas!$B$49)),$D194,0)</x:f>
        <x:v>0</x:v>
      </x:c>
      <x:c r="AA194" s="141" t="n">
        <x:f>IF(AND(TRUE,Premissas!$B$11="Imovel",Premissas!$B$47="Investimento",$A194&gt;=MAX(Premissas!$B$48,Premissas!$B$49)),$E194,0)</x:f>
        <x:v>1533.7972435838026</x:v>
      </x:c>
      <x:c r="AB194" s="141" t="n">
        <x:f>X194+Y194+Z194</x:f>
        <x:v>0</x:v>
      </x:c>
      <x:c r="AC194" s="141" t="n">
        <x:f>AA194</x:f>
        <x:v>1533.7972435838026</x:v>
      </x:c>
      <x:c r="AD194" s="141" t="n">
        <x:f>$C194+AC194-AB194</x:f>
        <x:v>8533.797243583802</x:v>
      </x:c>
      <x:c r="AE194" s="141" t="n">
        <x:f>AH193*(1+Premissas!$B$41)+AD194</x:f>
        <x:v>3486375.139465933</x:v>
      </x:c>
      <x:c r="AF194" s="141" t="n">
        <x:f>MAX(0,-AE194)</x:f>
        <x:v>0</x:v>
      </x:c>
      <x:c r="AG194" s="141" t="n">
        <x:f>AG193*(1+Premissas!$B$41)+AF194</x:f>
        <x:v>0</x:v>
      </x:c>
      <x:c r="AH194" s="141" t="n">
        <x:f>MAX(0,AE194)</x:f>
        <x:v>3486375.139465933</x:v>
      </x:c>
      <x:c r="AI194" s="141" t="n">
        <x:f>IF(AND($A194&gt;=Premissas!$B$48,$A194-Premissas!$B$48+1&lt;=Premissas!$B$13),INDEX(Amortizacao!$L$6:$L$485,$A194-Premissas!$B$48+1),0)</x:f>
        <x:v>0</x:v>
      </x:c>
      <x:c r="AJ194" s="141" t="n">
        <x:f>IF($A194&gt;=Premissas!$B$48,$F194,0)</x:f>
        <x:v>500722.8074869322</x:v>
      </x:c>
      <x:c r="AK194" s="141" t="n">
        <x:f>AH194+AJ194-AI194</x:f>
        <x:v>3987097.9469528655</x:v>
      </x:c>
      <x:c r="AL194" s="141" t="n">
        <x:f>IF(AG194&gt;1,"Inviavel",AK194)</x:f>
        <x:v>3987097.9469528655</x:v>
      </x:c>
      <x:c r="AM194" s="141" t="str">
        <x:f>IF(AG194&gt;1,"Inviavel","OK")</x:f>
        <x:v>OK</x:v>
      </x:c>
      <x:c r="AN194" s="141" t="n">
        <x:f>IF($A194=Premissas!$B$48,Premissas!$B$8,0)</x:f>
        <x:v>0</x:v>
      </x:c>
      <x:c r="AO194" s="141" t="n">
        <x:f>IF($A194&lt;=Premissas!$B$25,INDEX('Consorcio IQ'!$K$6:$K$485,$A194),0)</x:f>
        <x:v>1367.1546217131763</x:v>
      </x:c>
      <x:c r="AP194" s="141" t="n">
        <x:f>IF(AND(TRUE,Premissas!$B$11="Imovel",Premissas!$B$47="Moradia",$A194&lt;MAX(Premissas!$B$48,Premissas!$B$49)),$D194,0)</x:f>
        <x:v>0</x:v>
      </x:c>
      <x:c r="AQ194" s="141" t="n">
        <x:f>IF(AND(TRUE,Premissas!$B$11="Imovel",Premissas!$B$47="Investimento",$A194&gt;=MAX(Premissas!$B$48,Premissas!$B$49)),$E194,0)</x:f>
        <x:v>1533.7972435838026</x:v>
      </x:c>
      <x:c r="AR194" s="141" t="n">
        <x:f>AN194+AO194+AP194</x:f>
        <x:v>1367.1546217131763</x:v>
      </x:c>
      <x:c r="AS194" s="141" t="n">
        <x:f>AQ194</x:f>
        <x:v>1533.7972435838026</x:v>
      </x:c>
      <x:c r="AT194" s="141" t="n">
        <x:f>$C194+AS194-AR194</x:f>
        <x:v>7166.642621870626</x:v>
      </x:c>
      <x:c r="AU194" s="141" t="n">
        <x:f>AX193*(1+Premissas!$B$41)+AT194</x:f>
        <x:v>3513881.2583080307</x:v>
      </x:c>
      <x:c r="AV194" s="141" t="n">
        <x:f>MAX(0,-AU194)</x:f>
        <x:v>0</x:v>
      </x:c>
      <x:c r="AW194" s="141" t="n">
        <x:f>AW193*(1+Premissas!$B$41)+AV194</x:f>
        <x:v>0</x:v>
      </x:c>
      <x:c r="AX194" s="141" t="n">
        <x:f>MAX(0,AU194)</x:f>
        <x:v>3513881.2583080307</x:v>
      </x:c>
      <x:c r="AY194" s="141" t="n">
        <x:f>INDEX('Consorcio IQ'!$P$6:$P$485,$A194)</x:f>
        <x:v>61945.69666038856</x:v>
      </x:c>
      <x:c r="AZ194" s="141" t="n">
        <x:f>IF($A194&gt;=Premissas!$B$48,$F194,0)+IF($A194&lt;Premissas!$B$27,INDEX('Consorcio IQ'!$O$6:$O$485,$A194),0)</x:f>
        <x:v>500722.8074869322</x:v>
      </x:c>
      <x:c r="BA194" s="141" t="n">
        <x:f>AX194+AZ194-AY194</x:f>
        <x:v>3952658.369134574</x:v>
      </x:c>
      <x:c r="BB194" s="141" t="n">
        <x:f>IF(AW194&gt;1,"Inviavel",BA194)</x:f>
        <x:v>3952658.369134574</x:v>
      </x:c>
      <x:c r="BC194" s="141" t="str">
        <x:f>IF(AW194&gt;1,"Inviavel","OK")</x:f>
        <x:v>OK</x:v>
      </x:c>
      <x:c r="BD194" s="141" t="n">
        <x:f>IF($A194='Consorcio Direto'!$B$29,'Consorcio Direto'!$B$44,0)</x:f>
        <x:v>0</x:v>
      </x:c>
      <x:c r="BE194" s="141" t="n">
        <x:f>IF($A194&lt;='Consorcio Direto'!$B$27,INDEX('Consorcio Direto'!$E$55:$E$534,$A194),0)</x:f>
        <x:v>3540.247937255544</x:v>
      </x:c>
      <x:c r="BF194" s="141" t="n">
        <x:f>IF(AND(TRUE,Premissas!$B$11="Imovel",Premissas!$B$47="Moradia",$A194&lt;MAX('Consorcio Direto'!$B$29,Premissas!$B$49)),$D194,0)</x:f>
        <x:v>0</x:v>
      </x:c>
      <x:c r="BG194" s="141" t="n">
        <x:f>IF(AND(TRUE,Premissas!$B$11="Imovel",Premissas!$B$47="Investimento",$A194&gt;=MAX('Consorcio Direto'!$B$29,Premissas!$B$49)),$E194,0)</x:f>
        <x:v>1533.7972435838026</x:v>
      </x:c>
      <x:c r="BH194" s="141" t="n">
        <x:f>BD194+BE194+BF194</x:f>
        <x:v>3540.247937255544</x:v>
      </x:c>
      <x:c r="BI194" s="141" t="n">
        <x:f>BG194</x:f>
        <x:v>1533.7972435838026</x:v>
      </x:c>
      <x:c r="BJ194" s="141" t="n">
        <x:f>$C194+BI194-BH194</x:f>
        <x:v>4993.549306328257</x:v>
      </x:c>
      <x:c r="BK194" s="141" t="n">
        <x:f>BN193*(1+Premissas!$B$41)+BJ194</x:f>
        <x:v>3426219.1022080374</x:v>
      </x:c>
      <x:c r="BL194" s="141" t="n">
        <x:f>MAX(0,-BK194)</x:f>
        <x:v>0</x:v>
      </x:c>
      <x:c r="BM194" s="141" t="n">
        <x:f>BM193*(1+Premissas!$B$41)+BL194</x:f>
        <x:v>0</x:v>
      </x:c>
      <x:c r="BN194" s="141" t="n">
        <x:f>MAX(0,BK194)</x:f>
        <x:v>3426219.1022080374</x:v>
      </x:c>
      <x:c r="BO194" s="141" t="n">
        <x:f>INDEX('Consorcio Direto'!$K$55:$K$534,$A194)</x:f>
        <x:v>160408.42882057486</x:v>
      </x:c>
      <x:c r="BP194" s="141" t="n">
        <x:f>IF($A194&lt;'Consorcio Direto'!$B$29,INDEX('Consorcio Direto'!$L$55:$L$534,$A194),$F194)</x:f>
        <x:v>500722.8074869322</x:v>
      </x:c>
      <x:c r="BQ194" s="141" t="n">
        <x:f>BN194+BP194-BO194</x:f>
        <x:v>3766533.480874395</x:v>
      </x:c>
      <x:c r="BR194" s="141" t="n">
        <x:f>IF(BM194&gt;1,"Inviavel",BQ194)</x:f>
        <x:v>3766533.480874395</x:v>
      </x:c>
      <x:c r="BS194" s="141" t="str">
        <x:f>IF(BM194&gt;1,"Inviavel","OK")</x:f>
        <x:v>OK</x:v>
      </x:c>
      <x:c r="BT194" s="141" t="n">
        <x:f>IF(AND('Carta Contemplada'!$B$22="Sim",$A194='Carta Contemplada'!$B$23),'Carta Contemplada'!$B$37,0)</x:f>
        <x:v>0</x:v>
      </x:c>
      <x:c r="BU194" s="141" t="n">
        <x:f>IF('Carta Contemplada'!$B$22="Sim",INDEX('Carta Contemplada'!$C$55:$C$1013,$A194),0)</x:f>
        <x:v>0</x:v>
      </x:c>
      <x:c r="BV194" s="141" t="n">
        <x:f>IF(AND('Carta Contemplada'!$B$22="Sim",Premissas!$B$11="Imovel",Premissas!$B$47="Moradia",$A194&lt;MAX('Carta Contemplada'!$B$44,Premissas!$B$49)),$D194,0)</x:f>
        <x:v>0</x:v>
      </x:c>
      <x:c r="BW194" s="141" t="n">
        <x:f>IF(AND('Carta Contemplada'!$B$22="Sim",Premissas!$B$11="Imovel",Premissas!$B$47="Investimento",$A194&gt;=MAX('Carta Contemplada'!$B$44,Premissas!$B$49)),$E194,0)</x:f>
        <x:v>1533.7972435838026</x:v>
      </x:c>
      <x:c r="BX194" s="141" t="n">
        <x:f>BT194+BU194+BV194</x:f>
        <x:v>0</x:v>
      </x:c>
      <x:c r="BY194" s="141" t="n">
        <x:f>BW194</x:f>
        <x:v>1533.7972435838026</x:v>
      </x:c>
      <x:c r="BZ194" s="141" t="n">
        <x:f>$C194+BY194-BX194</x:f>
        <x:v>8533.797243583802</x:v>
      </x:c>
      <x:c r="CA194" s="141" t="n">
        <x:f>CD193*(1+Premissas!$B$41)+BZ194</x:f>
        <x:v>3573225.2823788426</x:v>
      </x:c>
      <x:c r="CB194" s="141" t="n">
        <x:f>MAX(0,-CA194)</x:f>
        <x:v>0</x:v>
      </x:c>
      <x:c r="CC194" s="141" t="n">
        <x:f>CC193*(1+Premissas!$B$41)+CB194</x:f>
        <x:v>0</x:v>
      </x:c>
      <x:c r="CD194" s="141" t="n">
        <x:f>MAX(0,CA194)</x:f>
        <x:v>3573225.2823788426</x:v>
      </x:c>
      <x:c r="CE194" s="141" t="n">
        <x:f>IF(AND('Carta Contemplada'!$B$22="Sim",$A194&gt;='Carta Contemplada'!$B$23),INDEX('Carta Contemplada'!$I$55:$I$1013,$A194),0)</x:f>
        <x:v>0</x:v>
      </x:c>
      <x:c r="CF194" s="141" t="n">
        <x:f>IF(AND('Carta Contemplada'!$B$22="Sim",$A194&gt;='Carta Contemplada'!$B$44),$F194,0)</x:f>
        <x:v>500722.8074869322</x:v>
      </x:c>
      <x:c r="CG194" s="141" t="n">
        <x:f>CD194+CF194-CE194</x:f>
        <x:v>4073948.089865775</x:v>
      </x:c>
      <x:c r="CH194" s="141" t="n">
        <x:f>IF(CC194&gt;1,"Inviavel",CG194)</x:f>
        <x:v>4073948.089865775</x:v>
      </x:c>
      <x:c r="CI194" s="145" t="str">
        <x:f>IF(CC194&gt;1,"Inviavel","OK")</x:f>
        <x:v>OK</x:v>
      </x:c>
    </x:row>
    <x:row r="195">
      <x:c r="A195" s="142" t="n">
        <x:v>191</x:v>
      </x:c>
      <x:c r="B195" s="179" t="n">
        <x:f>EDATE(Premissas!$B$4,A195-1)</x:f>
        <x:v>52322</x:v>
      </x:c>
      <x:c r="C195" s="141" t="n">
        <x:f>IF(A195&lt;=Premissas!$B$39,Premissas!$B$42,0)</x:f>
        <x:v>7000</x:v>
      </x:c>
      <x:c r="D195" s="141" t="n">
        <x:f>Premissas!$B$54*(1+Premissas!$B$57)^INT((A195-1)/12)</x:f>
        <x:v>1677.590735169784</x:v>
      </x:c>
      <x:c r="E195" s="141" t="n">
        <x:f>Premissas!$B$64*(1+Premissas!$B$57)^INT((A195-1)/12)</x:f>
        <x:v>1533.7972435838026</x:v>
      </x:c>
      <x:c r="F195" s="141" t="n">
        <x:f>MAX(0,Premissas!$B$6*(1+Premissas!$B$66)^((A195-1)/12))</x:f>
        <x:v>503160.1010715954</x:v>
      </x:c>
      <x:c r="G195" s="141" t="n">
        <x:f>G194*(1+Premissas!$B$41)+C195</x:f>
        <x:v>4283657.495906533</x:v>
      </x:c>
      <x:c r="H195" s="141" t="n">
        <x:f>IF($A195=Premissas!$B$48,Premissas!$B$8,0)</x:f>
        <x:v>0</x:v>
      </x:c>
      <x:c r="I195" s="141" t="n">
        <x:f>IF(AND($A195&gt;=Premissas!$B$48,$A195-Premissas!$B$48+1&lt;=Premissas!$B$13),INDEX(Financiamento!$J$6:$J$485,$A195-Premissas!$B$48+1),0)</x:f>
        <x:v>1362.3513809348974</x:v>
      </x:c>
      <x:c r="J195" s="141" t="n">
        <x:f>IF(AND(TRUE,Premissas!$B$11="Imovel",Premissas!$B$47="Moradia",$A195&lt;MAX(Premissas!$B$48,Premissas!$B$49)),$D195,0)</x:f>
        <x:v>0</x:v>
      </x:c>
      <x:c r="K195" s="141" t="n">
        <x:f>IF(AND(TRUE,Premissas!$B$11="Imovel",Premissas!$B$47="Investimento",$A195&gt;=MAX(Premissas!$B$48,Premissas!$B$49)),$E195,0)</x:f>
        <x:v>1533.7972435838026</x:v>
      </x:c>
      <x:c r="L195" s="141" t="n">
        <x:f>H195+I195+J195</x:f>
        <x:v>1362.3513809348974</x:v>
      </x:c>
      <x:c r="M195" s="141" t="n">
        <x:f>K195</x:f>
        <x:v>1533.7972435838026</x:v>
      </x:c>
      <x:c r="N195" s="141" t="n">
        <x:f>$C195+M195-L195</x:f>
        <x:v>7171.445862648905</x:v>
      </x:c>
      <x:c r="O195" s="141" t="n">
        <x:f>R194*(1+Premissas!$B$41)+N195</x:f>
        <x:v>3556644.5836599953</x:v>
      </x:c>
      <x:c r="P195" s="141" t="n">
        <x:f>MAX(0,-O195)</x:f>
        <x:v>0</x:v>
      </x:c>
      <x:c r="Q195" s="141" t="n">
        <x:f>Q194*(1+Premissas!$B$41)+P195</x:f>
        <x:v>0</x:v>
      </x:c>
      <x:c r="R195" s="141" t="n">
        <x:f>MAX(0,O195)</x:f>
        <x:v>3556644.5836599953</x:v>
      </x:c>
      <x:c r="S195" s="141" t="n">
        <x:f>IF(AND($A195&gt;=Premissas!$B$48,$A195-Premissas!$B$48+1&lt;=Premissas!$B$13),INDEX(Financiamento!$M$6:$M$485,$A195-Premissas!$B$48+1),0)</x:f>
        <x:v>87238.09523809538</x:v>
      </x:c>
      <x:c r="T195" s="141" t="n">
        <x:f>IF($A195&gt;=Premissas!$B$48,$F195,0)</x:f>
        <x:v>503160.1010715954</x:v>
      </x:c>
      <x:c r="U195" s="141" t="n">
        <x:f>R195+T195-S195</x:f>
        <x:v>3972566.5894934954</x:v>
      </x:c>
      <x:c r="V195" s="141" t="n">
        <x:f>IF(Q195&gt;1,"Inviavel",U195)</x:f>
        <x:v>3972566.5894934954</x:v>
      </x:c>
      <x:c r="W195" s="141" t="str">
        <x:f>IF(Q195&gt;1,"Inviavel","OK")</x:f>
        <x:v>OK</x:v>
      </x:c>
      <x:c r="X195" s="141" t="n">
        <x:f>IF($A195=Premissas!$B$48,Premissas!$B$8,0)</x:f>
        <x:v>0</x:v>
      </x:c>
      <x:c r="Y195" s="141" t="n">
        <x:f>IF(AND($A195&gt;=Premissas!$B$48,$A195-Premissas!$B$48+1&lt;=Premissas!$B$13),INDEX(Amortizacao!$K$6:$K$485,$A195-Premissas!$B$48+1),0)</x:f>
        <x:v>0</x:v>
      </x:c>
      <x:c r="Z195" s="141" t="n">
        <x:f>IF(AND(TRUE,Premissas!$B$11="Imovel",Premissas!$B$47="Moradia",$A195&lt;MAX(Premissas!$B$48,Premissas!$B$49)),$D195,0)</x:f>
        <x:v>0</x:v>
      </x:c>
      <x:c r="AA195" s="141" t="n">
        <x:f>IF(AND(TRUE,Premissas!$B$11="Imovel",Premissas!$B$47="Investimento",$A195&gt;=MAX(Premissas!$B$48,Premissas!$B$49)),$E195,0)</x:f>
        <x:v>1533.7972435838026</x:v>
      </x:c>
      <x:c r="AB195" s="141" t="n">
        <x:f>X195+Y195+Z195</x:f>
        <x:v>0</x:v>
      </x:c>
      <x:c r="AC195" s="141" t="n">
        <x:f>AA195</x:f>
        <x:v>1533.7972435838026</x:v>
      </x:c>
      <x:c r="AD195" s="141" t="n">
        <x:f>$C195+AC195-AB195</x:f>
        <x:v>8533.797243583802</x:v>
      </x:c>
      <x:c r="AE195" s="141" t="n">
        <x:f>AH194*(1+Premissas!$B$41)+AD195</x:f>
        <x:v>3527990.4285001876</x:v>
      </x:c>
      <x:c r="AF195" s="141" t="n">
        <x:f>MAX(0,-AE195)</x:f>
        <x:v>0</x:v>
      </x:c>
      <x:c r="AG195" s="141" t="n">
        <x:f>AG194*(1+Premissas!$B$41)+AF195</x:f>
        <x:v>0</x:v>
      </x:c>
      <x:c r="AH195" s="141" t="n">
        <x:f>MAX(0,AE195)</x:f>
        <x:v>3527990.4285001876</x:v>
      </x:c>
      <x:c r="AI195" s="141" t="n">
        <x:f>IF(AND($A195&gt;=Premissas!$B$48,$A195-Premissas!$B$48+1&lt;=Premissas!$B$13),INDEX(Amortizacao!$L$6:$L$485,$A195-Premissas!$B$48+1),0)</x:f>
        <x:v>0</x:v>
      </x:c>
      <x:c r="AJ195" s="141" t="n">
        <x:f>IF($A195&gt;=Premissas!$B$48,$F195,0)</x:f>
        <x:v>503160.1010715954</x:v>
      </x:c>
      <x:c r="AK195" s="141" t="n">
        <x:f>AH195+AJ195-AI195</x:f>
        <x:v>4031150.529571783</x:v>
      </x:c>
      <x:c r="AL195" s="141" t="n">
        <x:f>IF(AG195&gt;1,"Inviavel",AK195)</x:f>
        <x:v>4031150.529571783</x:v>
      </x:c>
      <x:c r="AM195" s="141" t="str">
        <x:f>IF(AG195&gt;1,"Inviavel","OK")</x:f>
        <x:v>OK</x:v>
      </x:c>
      <x:c r="AN195" s="141" t="n">
        <x:f>IF($A195=Premissas!$B$48,Premissas!$B$8,0)</x:f>
        <x:v>0</x:v>
      </x:c>
      <x:c r="AO195" s="141" t="n">
        <x:f>IF($A195&lt;=Premissas!$B$25,INDEX('Consorcio IQ'!$K$6:$K$485,$A195),0)</x:f>
        <x:v>1367.1546217131763</x:v>
      </x:c>
      <x:c r="AP195" s="141" t="n">
        <x:f>IF(AND(TRUE,Premissas!$B$11="Imovel",Premissas!$B$47="Moradia",$A195&lt;MAX(Premissas!$B$48,Premissas!$B$49)),$D195,0)</x:f>
        <x:v>0</x:v>
      </x:c>
      <x:c r="AQ195" s="141" t="n">
        <x:f>IF(AND(TRUE,Premissas!$B$11="Imovel",Premissas!$B$47="Investimento",$A195&gt;=MAX(Premissas!$B$48,Premissas!$B$49)),$E195,0)</x:f>
        <x:v>1533.7972435838026</x:v>
      </x:c>
      <x:c r="AR195" s="141" t="n">
        <x:f>AN195+AO195+AP195</x:f>
        <x:v>1367.1546217131763</x:v>
      </x:c>
      <x:c r="AS195" s="141" t="n">
        <x:f>AQ195</x:f>
        <x:v>1533.7972435838026</x:v>
      </x:c>
      <x:c r="AT195" s="141" t="n">
        <x:f>$C195+AS195-AR195</x:f>
        <x:v>7166.642621870626</x:v>
      </x:c>
      <x:c r="AU195" s="141" t="n">
        <x:f>AX194*(1+Premissas!$B$41)+AT195</x:f>
        <x:v>3554390.3925866983</x:v>
      </x:c>
      <x:c r="AV195" s="141" t="n">
        <x:f>MAX(0,-AU195)</x:f>
        <x:v>0</x:v>
      </x:c>
      <x:c r="AW195" s="141" t="n">
        <x:f>AW194*(1+Premissas!$B$41)+AV195</x:f>
        <x:v>0</x:v>
      </x:c>
      <x:c r="AX195" s="141" t="n">
        <x:f>MAX(0,AU195)</x:f>
        <x:v>3554390.3925866983</x:v>
      </x:c>
      <x:c r="AY195" s="141" t="n">
        <x:f>INDEX('Consorcio IQ'!$P$6:$P$485,$A195)</x:f>
        <x:v>61166.331927474304</x:v>
      </x:c>
      <x:c r="AZ195" s="141" t="n">
        <x:f>IF($A195&gt;=Premissas!$B$48,$F195,0)+IF($A195&lt;Premissas!$B$27,INDEX('Consorcio IQ'!$O$6:$O$485,$A195),0)</x:f>
        <x:v>503160.1010715954</x:v>
      </x:c>
      <x:c r="BA195" s="141" t="n">
        <x:f>AX195+AZ195-AY195</x:f>
        <x:v>3996384.1617308194</x:v>
      </x:c>
      <x:c r="BB195" s="141" t="n">
        <x:f>IF(AW195&gt;1,"Inviavel",BA195)</x:f>
        <x:v>3996384.1617308194</x:v>
      </x:c>
      <x:c r="BC195" s="141" t="str">
        <x:f>IF(AW195&gt;1,"Inviavel","OK")</x:f>
        <x:v>OK</x:v>
      </x:c>
      <x:c r="BD195" s="141" t="n">
        <x:f>IF($A195='Consorcio Direto'!$B$29,'Consorcio Direto'!$B$44,0)</x:f>
        <x:v>0</x:v>
      </x:c>
      <x:c r="BE195" s="141" t="n">
        <x:f>IF($A195&lt;='Consorcio Direto'!$B$27,INDEX('Consorcio Direto'!$E$55:$E$534,$A195),0)</x:f>
        <x:v>3540.247937255544</x:v>
      </x:c>
      <x:c r="BF195" s="141" t="n">
        <x:f>IF(AND(TRUE,Premissas!$B$11="Imovel",Premissas!$B$47="Moradia",$A195&lt;MAX('Consorcio Direto'!$B$29,Premissas!$B$49)),$D195,0)</x:f>
        <x:v>0</x:v>
      </x:c>
      <x:c r="BG195" s="141" t="n">
        <x:f>IF(AND(TRUE,Premissas!$B$11="Imovel",Premissas!$B$47="Investimento",$A195&gt;=MAX('Consorcio Direto'!$B$29,Premissas!$B$49)),$E195,0)</x:f>
        <x:v>1533.7972435838026</x:v>
      </x:c>
      <x:c r="BH195" s="141" t="n">
        <x:f>BD195+BE195+BF195</x:f>
        <x:v>3540.247937255544</x:v>
      </x:c>
      <x:c r="BI195" s="141" t="n">
        <x:f>BG195</x:f>
        <x:v>1533.7972435838026</x:v>
      </x:c>
      <x:c r="BJ195" s="141" t="n">
        <x:f>$C195+BI195-BH195</x:f>
        <x:v>4993.549306328257</x:v>
      </x:c>
      <x:c r="BK195" s="141" t="n">
        <x:f>BN194*(1+Premissas!$B$41)+BJ195</x:f>
        <x:v>3463723.335123731</x:v>
      </x:c>
      <x:c r="BL195" s="141" t="n">
        <x:f>MAX(0,-BK195)</x:f>
        <x:v>0</x:v>
      </x:c>
      <x:c r="BM195" s="141" t="n">
        <x:f>BM194*(1+Premissas!$B$41)+BL195</x:f>
        <x:v>0</x:v>
      </x:c>
      <x:c r="BN195" s="141" t="n">
        <x:f>MAX(0,BK195)</x:f>
        <x:v>3463723.335123731</x:v>
      </x:c>
      <x:c r="BO195" s="141" t="n">
        <x:f>INDEX('Consorcio Direto'!$K$55:$K$534,$A195)</x:f>
        <x:v>158390.26324935956</x:v>
      </x:c>
      <x:c r="BP195" s="141" t="n">
        <x:f>IF($A195&lt;'Consorcio Direto'!$B$29,INDEX('Consorcio Direto'!$L$55:$L$534,$A195),$F195)</x:f>
        <x:v>503160.1010715954</x:v>
      </x:c>
      <x:c r="BQ195" s="141" t="n">
        <x:f>BN195+BP195-BO195</x:f>
        <x:v>3808493.1729459665</x:v>
      </x:c>
      <x:c r="BR195" s="141" t="n">
        <x:f>IF(BM195&gt;1,"Inviavel",BQ195)</x:f>
        <x:v>3808493.1729459665</x:v>
      </x:c>
      <x:c r="BS195" s="141" t="str">
        <x:f>IF(BM195&gt;1,"Inviavel","OK")</x:f>
        <x:v>OK</x:v>
      </x:c>
      <x:c r="BT195" s="141" t="n">
        <x:f>IF(AND('Carta Contemplada'!$B$22="Sim",$A195='Carta Contemplada'!$B$23),'Carta Contemplada'!$B$37,0)</x:f>
        <x:v>0</x:v>
      </x:c>
      <x:c r="BU195" s="141" t="n">
        <x:f>IF('Carta Contemplada'!$B$22="Sim",INDEX('Carta Contemplada'!$C$55:$C$1013,$A195),0)</x:f>
        <x:v>0</x:v>
      </x:c>
      <x:c r="BV195" s="141" t="n">
        <x:f>IF(AND('Carta Contemplada'!$B$22="Sim",Premissas!$B$11="Imovel",Premissas!$B$47="Moradia",$A195&lt;MAX('Carta Contemplada'!$B$44,Premissas!$B$49)),$D195,0)</x:f>
        <x:v>0</x:v>
      </x:c>
      <x:c r="BW195" s="141" t="n">
        <x:f>IF(AND('Carta Contemplada'!$B$22="Sim",Premissas!$B$11="Imovel",Premissas!$B$47="Investimento",$A195&gt;=MAX('Carta Contemplada'!$B$44,Premissas!$B$49)),$E195,0)</x:f>
        <x:v>1533.7972435838026</x:v>
      </x:c>
      <x:c r="BX195" s="141" t="n">
        <x:f>BT195+BU195+BV195</x:f>
        <x:v>0</x:v>
      </x:c>
      <x:c r="BY195" s="141" t="n">
        <x:f>BW195</x:f>
        <x:v>1533.7972435838026</x:v>
      </x:c>
      <x:c r="BZ195" s="141" t="n">
        <x:f>$C195+BY195-BX195</x:f>
        <x:v>8533.797243583802</x:v>
      </x:c>
      <x:c r="CA195" s="141" t="n">
        <x:f>CD194*(1+Premissas!$B$41)+BZ195</x:f>
        <x:v>3615664.6744355364</x:v>
      </x:c>
      <x:c r="CB195" s="141" t="n">
        <x:f>MAX(0,-CA195)</x:f>
        <x:v>0</x:v>
      </x:c>
      <x:c r="CC195" s="141" t="n">
        <x:f>CC194*(1+Premissas!$B$41)+CB195</x:f>
        <x:v>0</x:v>
      </x:c>
      <x:c r="CD195" s="141" t="n">
        <x:f>MAX(0,CA195)</x:f>
        <x:v>3615664.6744355364</x:v>
      </x:c>
      <x:c r="CE195" s="141" t="n">
        <x:f>IF(AND('Carta Contemplada'!$B$22="Sim",$A195&gt;='Carta Contemplada'!$B$23),INDEX('Carta Contemplada'!$I$55:$I$1013,$A195),0)</x:f>
        <x:v>0</x:v>
      </x:c>
      <x:c r="CF195" s="141" t="n">
        <x:f>IF(AND('Carta Contemplada'!$B$22="Sim",$A195&gt;='Carta Contemplada'!$B$44),$F195,0)</x:f>
        <x:v>503160.1010715954</x:v>
      </x:c>
      <x:c r="CG195" s="141" t="n">
        <x:f>CD195+CF195-CE195</x:f>
        <x:v>4118824.7755071316</x:v>
      </x:c>
      <x:c r="CH195" s="141" t="n">
        <x:f>IF(CC195&gt;1,"Inviavel",CG195)</x:f>
        <x:v>4118824.7755071316</x:v>
      </x:c>
      <x:c r="CI195" s="145" t="str">
        <x:f>IF(CC195&gt;1,"Inviavel","OK")</x:f>
        <x:v>OK</x:v>
      </x:c>
    </x:row>
    <x:row r="196">
      <x:c r="A196" s="142" t="n">
        <x:v>192</x:v>
      </x:c>
      <x:c r="B196" s="179" t="n">
        <x:f>EDATE(Premissas!$B$4,A196-1)</x:f>
        <x:v>52352</x:v>
      </x:c>
      <x:c r="C196" s="141" t="n">
        <x:f>IF(A196&lt;=Premissas!$B$39,Premissas!$B$42,0)</x:f>
        <x:v>7000</x:v>
      </x:c>
      <x:c r="D196" s="141" t="n">
        <x:f>Premissas!$B$54*(1+Premissas!$B$57)^INT((A196-1)/12)</x:f>
        <x:v>1677.590735169784</x:v>
      </x:c>
      <x:c r="E196" s="141" t="n">
        <x:f>Premissas!$B$64*(1+Premissas!$B$57)^INT((A196-1)/12)</x:f>
        <x:v>1533.7972435838026</x:v>
      </x:c>
      <x:c r="F196" s="141" t="n">
        <x:f>MAX(0,Premissas!$B$6*(1+Premissas!$B$66)^((A196-1)/12))</x:f>
        <x:v>505609.2583060245</x:v>
      </x:c>
      <x:c r="G196" s="141" t="n">
        <x:f>G195*(1+Premissas!$B$41)+C196</x:f>
        <x:v>4331304.234887864</x:v>
      </x:c>
      <x:c r="H196" s="141" t="n">
        <x:f>IF($A196=Premissas!$B$48,Premissas!$B$8,0)</x:f>
        <x:v>0</x:v>
      </x:c>
      <x:c r="I196" s="141" t="n">
        <x:f>IF(AND($A196&gt;=Premissas!$B$48,$A196-Premissas!$B$48+1&lt;=Premissas!$B$13),INDEX(Financiamento!$J$6:$J$485,$A196-Premissas!$B$48+1),0)</x:f>
        <x:v>1358.736602674104</x:v>
      </x:c>
      <x:c r="J196" s="141" t="n">
        <x:f>IF(AND(TRUE,Premissas!$B$11="Imovel",Premissas!$B$47="Moradia",$A196&lt;MAX(Premissas!$B$48,Premissas!$B$49)),$D196,0)</x:f>
        <x:v>0</x:v>
      </x:c>
      <x:c r="K196" s="141" t="n">
        <x:f>IF(AND(TRUE,Premissas!$B$11="Imovel",Premissas!$B$47="Investimento",$A196&gt;=MAX(Premissas!$B$48,Premissas!$B$49)),$E196,0)</x:f>
        <x:v>1533.7972435838026</x:v>
      </x:c>
      <x:c r="L196" s="141" t="n">
        <x:f>H196+I196+J196</x:f>
        <x:v>1358.736602674104</x:v>
      </x:c>
      <x:c r="M196" s="141" t="n">
        <x:f>K196</x:f>
        <x:v>1533.7972435838026</x:v>
      </x:c>
      <x:c r="N196" s="141" t="n">
        <x:f>$C196+M196-L196</x:f>
        <x:v>7175.060640909698</x:v>
      </x:c>
      <x:c r="O196" s="141" t="n">
        <x:f>R195*(1+Premissas!$B$41)+N196</x:f>
        <x:v>3597567.908297161</x:v>
      </x:c>
      <x:c r="P196" s="141" t="n">
        <x:f>MAX(0,-O196)</x:f>
        <x:v>0</x:v>
      </x:c>
      <x:c r="Q196" s="141" t="n">
        <x:f>Q195*(1+Premissas!$B$41)+P196</x:f>
        <x:v>0</x:v>
      </x:c>
      <x:c r="R196" s="141" t="n">
        <x:f>MAX(0,O196)</x:f>
        <x:v>3597567.908297161</x:v>
      </x:c>
      <x:c r="S196" s="141" t="n">
        <x:f>IF(AND($A196&gt;=Premissas!$B$48,$A196-Premissas!$B$48+1&lt;=Premissas!$B$13),INDEX(Financiamento!$M$6:$M$485,$A196-Premissas!$B$48+1),0)</x:f>
        <x:v>86857.142857143</x:v>
      </x:c>
      <x:c r="T196" s="141" t="n">
        <x:f>IF($A196&gt;=Premissas!$B$48,$F196,0)</x:f>
        <x:v>505609.2583060245</x:v>
      </x:c>
      <x:c r="U196" s="141" t="n">
        <x:f>R196+T196-S196</x:f>
        <x:v>4016320.0237460425</x:v>
      </x:c>
      <x:c r="V196" s="141" t="n">
        <x:f>IF(Q196&gt;1,"Inviavel",U196)</x:f>
        <x:v>4016320.0237460425</x:v>
      </x:c>
      <x:c r="W196" s="141" t="str">
        <x:f>IF(Q196&gt;1,"Inviavel","OK")</x:f>
        <x:v>OK</x:v>
      </x:c>
      <x:c r="X196" s="141" t="n">
        <x:f>IF($A196=Premissas!$B$48,Premissas!$B$8,0)</x:f>
        <x:v>0</x:v>
      </x:c>
      <x:c r="Y196" s="141" t="n">
        <x:f>IF(AND($A196&gt;=Premissas!$B$48,$A196-Premissas!$B$48+1&lt;=Premissas!$B$13),INDEX(Amortizacao!$K$6:$K$485,$A196-Premissas!$B$48+1),0)</x:f>
        <x:v>0</x:v>
      </x:c>
      <x:c r="Z196" s="141" t="n">
        <x:f>IF(AND(TRUE,Premissas!$B$11="Imovel",Premissas!$B$47="Moradia",$A196&lt;MAX(Premissas!$B$48,Premissas!$B$49)),$D196,0)</x:f>
        <x:v>0</x:v>
      </x:c>
      <x:c r="AA196" s="141" t="n">
        <x:f>IF(AND(TRUE,Premissas!$B$11="Imovel",Premissas!$B$47="Investimento",$A196&gt;=MAX(Premissas!$B$48,Premissas!$B$49)),$E196,0)</x:f>
        <x:v>1533.7972435838026</x:v>
      </x:c>
      <x:c r="AB196" s="141" t="n">
        <x:f>X196+Y196+Z196</x:f>
        <x:v>0</x:v>
      </x:c>
      <x:c r="AC196" s="141" t="n">
        <x:f>AA196</x:f>
        <x:v>1533.7972435838026</x:v>
      </x:c>
      <x:c r="AD196" s="141" t="n">
        <x:f>$C196+AC196-AB196</x:f>
        <x:v>8533.797243583802</x:v>
      </x:c>
      <x:c r="AE196" s="141" t="n">
        <x:f>AH195*(1+Premissas!$B$41)+AD196</x:f>
        <x:v>3570000.596395001</x:v>
      </x:c>
      <x:c r="AF196" s="141" t="n">
        <x:f>MAX(0,-AE196)</x:f>
        <x:v>0</x:v>
      </x:c>
      <x:c r="AG196" s="141" t="n">
        <x:f>AG195*(1+Premissas!$B$41)+AF196</x:f>
        <x:v>0</x:v>
      </x:c>
      <x:c r="AH196" s="141" t="n">
        <x:f>MAX(0,AE196)</x:f>
        <x:v>3570000.596395001</x:v>
      </x:c>
      <x:c r="AI196" s="141" t="n">
        <x:f>IF(AND($A196&gt;=Premissas!$B$48,$A196-Premissas!$B$48+1&lt;=Premissas!$B$13),INDEX(Amortizacao!$L$6:$L$485,$A196-Premissas!$B$48+1),0)</x:f>
        <x:v>0</x:v>
      </x:c>
      <x:c r="AJ196" s="141" t="n">
        <x:f>IF($A196&gt;=Premissas!$B$48,$F196,0)</x:f>
        <x:v>505609.2583060245</x:v>
      </x:c>
      <x:c r="AK196" s="141" t="n">
        <x:f>AH196+AJ196-AI196</x:f>
        <x:v>4075609.8547010254</x:v>
      </x:c>
      <x:c r="AL196" s="141" t="n">
        <x:f>IF(AG196&gt;1,"Inviavel",AK196)</x:f>
        <x:v>4075609.8547010254</x:v>
      </x:c>
      <x:c r="AM196" s="141" t="str">
        <x:f>IF(AG196&gt;1,"Inviavel","OK")</x:f>
        <x:v>OK</x:v>
      </x:c>
      <x:c r="AN196" s="141" t="n">
        <x:f>IF($A196=Premissas!$B$48,Premissas!$B$8,0)</x:f>
        <x:v>0</x:v>
      </x:c>
      <x:c r="AO196" s="141" t="n">
        <x:f>IF($A196&lt;=Premissas!$B$25,INDEX('Consorcio IQ'!$K$6:$K$485,$A196),0)</x:f>
        <x:v>1367.1546217131763</x:v>
      </x:c>
      <x:c r="AP196" s="141" t="n">
        <x:f>IF(AND(TRUE,Premissas!$B$11="Imovel",Premissas!$B$47="Moradia",$A196&lt;MAX(Premissas!$B$48,Premissas!$B$49)),$D196,0)</x:f>
        <x:v>0</x:v>
      </x:c>
      <x:c r="AQ196" s="141" t="n">
        <x:f>IF(AND(TRUE,Premissas!$B$11="Imovel",Premissas!$B$47="Investimento",$A196&gt;=MAX(Premissas!$B$48,Premissas!$B$49)),$E196,0)</x:f>
        <x:v>1533.7972435838026</x:v>
      </x:c>
      <x:c r="AR196" s="141" t="n">
        <x:f>AN196+AO196+AP196</x:f>
        <x:v>1367.1546217131763</x:v>
      </x:c>
      <x:c r="AS196" s="141" t="n">
        <x:f>AQ196</x:f>
        <x:v>1533.7972435838026</x:v>
      </x:c>
      <x:c r="AT196" s="141" t="n">
        <x:f>$C196+AS196-AR196</x:f>
        <x:v>7166.642621870626</x:v>
      </x:c>
      <x:c r="AU196" s="141" t="n">
        <x:f>AX195*(1+Premissas!$B$41)+AT196</x:f>
        <x:v>3595283.9096524953</x:v>
      </x:c>
      <x:c r="AV196" s="141" t="n">
        <x:f>MAX(0,-AU196)</x:f>
        <x:v>0</x:v>
      </x:c>
      <x:c r="AW196" s="141" t="n">
        <x:f>AW195*(1+Premissas!$B$41)+AV196</x:f>
        <x:v>0</x:v>
      </x:c>
      <x:c r="AX196" s="141" t="n">
        <x:f>MAX(0,AU196)</x:f>
        <x:v>3595283.9096524953</x:v>
      </x:c>
      <x:c r="AY196" s="141" t="n">
        <x:f>INDEX('Consorcio IQ'!$P$6:$P$485,$A196)</x:f>
        <x:v>60379.57196398891</x:v>
      </x:c>
      <x:c r="AZ196" s="141" t="n">
        <x:f>IF($A196&gt;=Premissas!$B$48,$F196,0)+IF($A196&lt;Premissas!$B$27,INDEX('Consorcio IQ'!$O$6:$O$485,$A196),0)</x:f>
        <x:v>505609.2583060245</x:v>
      </x:c>
      <x:c r="BA196" s="141" t="n">
        <x:f>AX196+AZ196-AY196</x:f>
        <x:v>4040513.595994531</x:v>
      </x:c>
      <x:c r="BB196" s="141" t="n">
        <x:f>IF(AW196&gt;1,"Inviavel",BA196)</x:f>
        <x:v>4040513.595994531</x:v>
      </x:c>
      <x:c r="BC196" s="141" t="str">
        <x:f>IF(AW196&gt;1,"Inviavel","OK")</x:f>
        <x:v>OK</x:v>
      </x:c>
      <x:c r="BD196" s="141" t="n">
        <x:f>IF($A196='Consorcio Direto'!$B$29,'Consorcio Direto'!$B$44,0)</x:f>
        <x:v>0</x:v>
      </x:c>
      <x:c r="BE196" s="141" t="n">
        <x:f>IF($A196&lt;='Consorcio Direto'!$B$27,INDEX('Consorcio Direto'!$E$55:$E$534,$A196),0)</x:f>
        <x:v>3540.247937255544</x:v>
      </x:c>
      <x:c r="BF196" s="141" t="n">
        <x:f>IF(AND(TRUE,Premissas!$B$11="Imovel",Premissas!$B$47="Moradia",$A196&lt;MAX('Consorcio Direto'!$B$29,Premissas!$B$49)),$D196,0)</x:f>
        <x:v>0</x:v>
      </x:c>
      <x:c r="BG196" s="141" t="n">
        <x:f>IF(AND(TRUE,Premissas!$B$11="Imovel",Premissas!$B$47="Investimento",$A196&gt;=MAX('Consorcio Direto'!$B$29,Premissas!$B$49)),$E196,0)</x:f>
        <x:v>1533.7972435838026</x:v>
      </x:c>
      <x:c r="BH196" s="141" t="n">
        <x:f>BD196+BE196+BF196</x:f>
        <x:v>3540.247937255544</x:v>
      </x:c>
      <x:c r="BI196" s="141" t="n">
        <x:f>BG196</x:f>
        <x:v>1533.7972435838026</x:v>
      </x:c>
      <x:c r="BJ196" s="141" t="n">
        <x:f>$C196+BI196-BH196</x:f>
        <x:v>4993.549306328257</x:v>
      </x:c>
      <x:c r="BK196" s="141" t="n">
        <x:f>BN195*(1+Premissas!$B$41)+BJ196</x:f>
        <x:v>3501583.437939732</x:v>
      </x:c>
      <x:c r="BL196" s="141" t="n">
        <x:f>MAX(0,-BK196)</x:f>
        <x:v>0</x:v>
      </x:c>
      <x:c r="BM196" s="141" t="n">
        <x:f>BM195*(1+Premissas!$B$41)+BL196</x:f>
        <x:v>0</x:v>
      </x:c>
      <x:c r="BN196" s="141" t="n">
        <x:f>MAX(0,BK196)</x:f>
        <x:v>3501583.437939732</x:v>
      </x:c>
      <x:c r="BO196" s="141" t="n">
        <x:f>INDEX('Consorcio Direto'!$K$55:$K$534,$A196)</x:f>
        <x:v>156352.9477229313</x:v>
      </x:c>
      <x:c r="BP196" s="141" t="n">
        <x:f>IF($A196&lt;'Consorcio Direto'!$B$29,INDEX('Consorcio Direto'!$L$55:$L$534,$A196),$F196)</x:f>
        <x:v>505609.2583060245</x:v>
      </x:c>
      <x:c r="BQ196" s="141" t="n">
        <x:f>BN196+BP196-BO196</x:f>
        <x:v>3850839.748522825</x:v>
      </x:c>
      <x:c r="BR196" s="141" t="n">
        <x:f>IF(BM196&gt;1,"Inviavel",BQ196)</x:f>
        <x:v>3850839.748522825</x:v>
      </x:c>
      <x:c r="BS196" s="141" t="str">
        <x:f>IF(BM196&gt;1,"Inviavel","OK")</x:f>
        <x:v>OK</x:v>
      </x:c>
      <x:c r="BT196" s="141" t="n">
        <x:f>IF(AND('Carta Contemplada'!$B$22="Sim",$A196='Carta Contemplada'!$B$23),'Carta Contemplada'!$B$37,0)</x:f>
        <x:v>0</x:v>
      </x:c>
      <x:c r="BU196" s="141" t="n">
        <x:f>IF('Carta Contemplada'!$B$22="Sim",INDEX('Carta Contemplada'!$C$55:$C$1013,$A196),0)</x:f>
        <x:v>0</x:v>
      </x:c>
      <x:c r="BV196" s="141" t="n">
        <x:f>IF(AND('Carta Contemplada'!$B$22="Sim",Premissas!$B$11="Imovel",Premissas!$B$47="Moradia",$A196&lt;MAX('Carta Contemplada'!$B$44,Premissas!$B$49)),$D196,0)</x:f>
        <x:v>0</x:v>
      </x:c>
      <x:c r="BW196" s="141" t="n">
        <x:f>IF(AND('Carta Contemplada'!$B$22="Sim",Premissas!$B$11="Imovel",Premissas!$B$47="Investimento",$A196&gt;=MAX('Carta Contemplada'!$B$44,Premissas!$B$49)),$E196,0)</x:f>
        <x:v>1533.7972435838026</x:v>
      </x:c>
      <x:c r="BX196" s="141" t="n">
        <x:f>BT196+BU196+BV196</x:f>
        <x:v>0</x:v>
      </x:c>
      <x:c r="BY196" s="141" t="n">
        <x:f>BW196</x:f>
        <x:v>1533.7972435838026</x:v>
      </x:c>
      <x:c r="BZ196" s="141" t="n">
        <x:f>$C196+BY196-BX196</x:f>
        <x:v>8533.797243583802</x:v>
      </x:c>
      <x:c r="CA196" s="141" t="n">
        <x:f>CD195*(1+Premissas!$B$41)+BZ196</x:f>
        <x:v>3658506.7650957257</x:v>
      </x:c>
      <x:c r="CB196" s="141" t="n">
        <x:f>MAX(0,-CA196)</x:f>
        <x:v>0</x:v>
      </x:c>
      <x:c r="CC196" s="141" t="n">
        <x:f>CC195*(1+Premissas!$B$41)+CB196</x:f>
        <x:v>0</x:v>
      </x:c>
      <x:c r="CD196" s="141" t="n">
        <x:f>MAX(0,CA196)</x:f>
        <x:v>3658506.7650957257</x:v>
      </x:c>
      <x:c r="CE196" s="141" t="n">
        <x:f>IF(AND('Carta Contemplada'!$B$22="Sim",$A196&gt;='Carta Contemplada'!$B$23),INDEX('Carta Contemplada'!$I$55:$I$1013,$A196),0)</x:f>
        <x:v>0</x:v>
      </x:c>
      <x:c r="CF196" s="141" t="n">
        <x:f>IF(AND('Carta Contemplada'!$B$22="Sim",$A196&gt;='Carta Contemplada'!$B$44),$F196,0)</x:f>
        <x:v>505609.2583060245</x:v>
      </x:c>
      <x:c r="CG196" s="141" t="n">
        <x:f>CD196+CF196-CE196</x:f>
        <x:v>4164116.0234017503</x:v>
      </x:c>
      <x:c r="CH196" s="141" t="n">
        <x:f>IF(CC196&gt;1,"Inviavel",CG196)</x:f>
        <x:v>4164116.0234017503</x:v>
      </x:c>
      <x:c r="CI196" s="145" t="str">
        <x:f>IF(CC196&gt;1,"Inviavel","OK")</x:f>
        <x:v>OK</x:v>
      </x:c>
    </x:row>
    <x:row r="197">
      <x:c r="A197" s="142" t="n">
        <x:v>193</x:v>
      </x:c>
      <x:c r="B197" s="179" t="n">
        <x:f>EDATE(Premissas!$B$4,A197-1)</x:f>
        <x:v>52383</x:v>
      </x:c>
      <x:c r="C197" s="141" t="n">
        <x:f>IF(A197&lt;=Premissas!$B$39,Premissas!$B$42,0)</x:f>
        <x:v>7000</x:v>
      </x:c>
      <x:c r="D197" s="141" t="n">
        <x:f>Premissas!$B$54*(1+Premissas!$B$57)^INT((A197-1)/12)</x:f>
        <x:v>1778.2461792799713</x:v>
      </x:c>
      <x:c r="E197" s="141" t="n">
        <x:f>Premissas!$B$64*(1+Premissas!$B$57)^INT((A197-1)/12)</x:f>
        <x:v>1625.8250781988309</x:v>
      </x:c>
      <x:c r="F197" s="141" t="n">
        <x:f>MAX(0,Premissas!$B$6*(1+Premissas!$B$66)^((A197-1)/12))</x:f>
        <x:v>508070.3369371347</x:v>
      </x:c>
      <x:c r="G197" s="141" t="n">
        <x:f>G196*(1+Premissas!$B$41)+C197</x:f>
        <x:v>4379403.083909398</x:v>
      </x:c>
      <x:c r="H197" s="141" t="n">
        <x:f>IF($A197=Premissas!$B$48,Premissas!$B$8,0)</x:f>
        <x:v>0</x:v>
      </x:c>
      <x:c r="I197" s="141" t="n">
        <x:f>IF(AND($A197&gt;=Premissas!$B$48,$A197-Premissas!$B$48+1&lt;=Premissas!$B$13),INDEX(Financiamento!$J$6:$J$485,$A197-Premissas!$B$48+1),0)</x:f>
        <x:v>1355.1218244133104</x:v>
      </x:c>
      <x:c r="J197" s="141" t="n">
        <x:f>IF(AND(TRUE,Premissas!$B$11="Imovel",Premissas!$B$47="Moradia",$A197&lt;MAX(Premissas!$B$48,Premissas!$B$49)),$D197,0)</x:f>
        <x:v>0</x:v>
      </x:c>
      <x:c r="K197" s="141" t="n">
        <x:f>IF(AND(TRUE,Premissas!$B$11="Imovel",Premissas!$B$47="Investimento",$A197&gt;=MAX(Premissas!$B$48,Premissas!$B$49)),$E197,0)</x:f>
        <x:v>1625.8250781988309</x:v>
      </x:c>
      <x:c r="L197" s="141" t="n">
        <x:f>H197+I197+J197</x:f>
        <x:v>1355.1218244133104</x:v>
      </x:c>
      <x:c r="M197" s="141" t="n">
        <x:f>K197</x:f>
        <x:v>1625.8250781988309</x:v>
      </x:c>
      <x:c r="N197" s="141" t="n">
        <x:f>$C197+M197-L197</x:f>
        <x:v>7270.703253785521</x:v>
      </x:c>
      <x:c r="O197" s="141" t="n">
        <x:f>R196*(1+Premissas!$B$41)+N197</x:f>
        <x:v>3638975.1885008793</x:v>
      </x:c>
      <x:c r="P197" s="141" t="n">
        <x:f>MAX(0,-O197)</x:f>
        <x:v>0</x:v>
      </x:c>
      <x:c r="Q197" s="141" t="n">
        <x:f>Q196*(1+Premissas!$B$41)+P197</x:f>
        <x:v>0</x:v>
      </x:c>
      <x:c r="R197" s="141" t="n">
        <x:f>MAX(0,O197)</x:f>
        <x:v>3638975.1885008793</x:v>
      </x:c>
      <x:c r="S197" s="141" t="n">
        <x:f>IF(AND($A197&gt;=Premissas!$B$48,$A197-Premissas!$B$48+1&lt;=Premissas!$B$13),INDEX(Financiamento!$M$6:$M$485,$A197-Premissas!$B$48+1),0)</x:f>
        <x:v>86476.19047619062</x:v>
      </x:c>
      <x:c r="T197" s="141" t="n">
        <x:f>IF($A197&gt;=Premissas!$B$48,$F197,0)</x:f>
        <x:v>508070.3369371347</x:v>
      </x:c>
      <x:c r="U197" s="141" t="n">
        <x:f>R197+T197-S197</x:f>
        <x:v>4060569.334961823</x:v>
      </x:c>
      <x:c r="V197" s="141" t="n">
        <x:f>IF(Q197&gt;1,"Inviavel",U197)</x:f>
        <x:v>4060569.334961823</x:v>
      </x:c>
      <x:c r="W197" s="141" t="str">
        <x:f>IF(Q197&gt;1,"Inviavel","OK")</x:f>
        <x:v>OK</x:v>
      </x:c>
      <x:c r="X197" s="141" t="n">
        <x:f>IF($A197=Premissas!$B$48,Premissas!$B$8,0)</x:f>
        <x:v>0</x:v>
      </x:c>
      <x:c r="Y197" s="141" t="n">
        <x:f>IF(AND($A197&gt;=Premissas!$B$48,$A197-Premissas!$B$48+1&lt;=Premissas!$B$13),INDEX(Amortizacao!$K$6:$K$485,$A197-Premissas!$B$48+1),0)</x:f>
        <x:v>0</x:v>
      </x:c>
      <x:c r="Z197" s="141" t="n">
        <x:f>IF(AND(TRUE,Premissas!$B$11="Imovel",Premissas!$B$47="Moradia",$A197&lt;MAX(Premissas!$B$48,Premissas!$B$49)),$D197,0)</x:f>
        <x:v>0</x:v>
      </x:c>
      <x:c r="AA197" s="141" t="n">
        <x:f>IF(AND(TRUE,Premissas!$B$11="Imovel",Premissas!$B$47="Investimento",$A197&gt;=MAX(Premissas!$B$48,Premissas!$B$49)),$E197,0)</x:f>
        <x:v>1625.8250781988309</x:v>
      </x:c>
      <x:c r="AB197" s="141" t="n">
        <x:f>X197+Y197+Z197</x:f>
        <x:v>0</x:v>
      </x:c>
      <x:c r="AC197" s="141" t="n">
        <x:f>AA197</x:f>
        <x:v>1625.8250781988309</x:v>
      </x:c>
      <x:c r="AD197" s="141" t="n">
        <x:f>$C197+AC197-AB197</x:f>
        <x:v>8625.825078198832</x:v>
      </x:c>
      <x:c r="AE197" s="141" t="n">
        <x:f>AH196*(1+Premissas!$B$41)+AD197</x:f>
        <x:v>3612501.4179087295</x:v>
      </x:c>
      <x:c r="AF197" s="141" t="n">
        <x:f>MAX(0,-AE197)</x:f>
        <x:v>0</x:v>
      </x:c>
      <x:c r="AG197" s="141" t="n">
        <x:f>AG196*(1+Premissas!$B$41)+AF197</x:f>
        <x:v>0</x:v>
      </x:c>
      <x:c r="AH197" s="141" t="n">
        <x:f>MAX(0,AE197)</x:f>
        <x:v>3612501.4179087295</x:v>
      </x:c>
      <x:c r="AI197" s="141" t="n">
        <x:f>IF(AND($A197&gt;=Premissas!$B$48,$A197-Premissas!$B$48+1&lt;=Premissas!$B$13),INDEX(Amortizacao!$L$6:$L$485,$A197-Premissas!$B$48+1),0)</x:f>
        <x:v>0</x:v>
      </x:c>
      <x:c r="AJ197" s="141" t="n">
        <x:f>IF($A197&gt;=Premissas!$B$48,$F197,0)</x:f>
        <x:v>508070.3369371347</x:v>
      </x:c>
      <x:c r="AK197" s="141" t="n">
        <x:f>AH197+AJ197-AI197</x:f>
        <x:v>4120571.754845864</x:v>
      </x:c>
      <x:c r="AL197" s="141" t="n">
        <x:f>IF(AG197&gt;1,"Inviavel",AK197)</x:f>
        <x:v>4120571.754845864</x:v>
      </x:c>
      <x:c r="AM197" s="141" t="str">
        <x:f>IF(AG197&gt;1,"Inviavel","OK")</x:f>
        <x:v>OK</x:v>
      </x:c>
      <x:c r="AN197" s="141" t="n">
        <x:f>IF($A197=Premissas!$B$48,Premissas!$B$8,0)</x:f>
        <x:v>0</x:v>
      </x:c>
      <x:c r="AO197" s="141" t="n">
        <x:f>IF($A197&lt;=Premissas!$B$25,INDEX('Consorcio IQ'!$K$6:$K$485,$A197),0)</x:f>
        <x:v>1449.183899015967</x:v>
      </x:c>
      <x:c r="AP197" s="141" t="n">
        <x:f>IF(AND(TRUE,Premissas!$B$11="Imovel",Premissas!$B$47="Moradia",$A197&lt;MAX(Premissas!$B$48,Premissas!$B$49)),$D197,0)</x:f>
        <x:v>0</x:v>
      </x:c>
      <x:c r="AQ197" s="141" t="n">
        <x:f>IF(AND(TRUE,Premissas!$B$11="Imovel",Premissas!$B$47="Investimento",$A197&gt;=MAX(Premissas!$B$48,Premissas!$B$49)),$E197,0)</x:f>
        <x:v>1625.8250781988309</x:v>
      </x:c>
      <x:c r="AR197" s="141" t="n">
        <x:f>AN197+AO197+AP197</x:f>
        <x:v>1449.183899015967</x:v>
      </x:c>
      <x:c r="AS197" s="141" t="n">
        <x:f>AQ197</x:f>
        <x:v>1625.8250781988309</x:v>
      </x:c>
      <x:c r="AT197" s="141" t="n">
        <x:f>$C197+AS197-AR197</x:f>
        <x:v>7176.641179182865</x:v>
      </x:c>
      <x:c r="AU197" s="141" t="n">
        <x:f>AX196*(1+Premissas!$B$41)+AT197</x:f>
        <x:v>3636575.455391409</x:v>
      </x:c>
      <x:c r="AV197" s="141" t="n">
        <x:f>MAX(0,-AU197)</x:f>
        <x:v>0</x:v>
      </x:c>
      <x:c r="AW197" s="141" t="n">
        <x:f>AW196*(1+Premissas!$B$41)+AV197</x:f>
        <x:v>0</x:v>
      </x:c>
      <x:c r="AX197" s="141" t="n">
        <x:f>MAX(0,AU197)</x:f>
        <x:v>3636575.455391409</x:v>
      </x:c>
      <x:c r="AY197" s="141" t="n">
        <x:f>INDEX('Consorcio IQ'!$P$6:$P$485,$A197)</x:f>
        <x:v>59503.31732081799</x:v>
      </x:c>
      <x:c r="AZ197" s="141" t="n">
        <x:f>IF($A197&gt;=Premissas!$B$48,$F197,0)+IF($A197&lt;Premissas!$B$27,INDEX('Consorcio IQ'!$O$6:$O$485,$A197),0)</x:f>
        <x:v>508070.3369371347</x:v>
      </x:c>
      <x:c r="BA197" s="141" t="n">
        <x:f>AX197+AZ197-AY197</x:f>
        <x:v>4085142.4750077254</x:v>
      </x:c>
      <x:c r="BB197" s="141" t="n">
        <x:f>IF(AW197&gt;1,"Inviavel",BA197)</x:f>
        <x:v>4085142.4750077254</x:v>
      </x:c>
      <x:c r="BC197" s="141" t="str">
        <x:f>IF(AW197&gt;1,"Inviavel","OK")</x:f>
        <x:v>OK</x:v>
      </x:c>
      <x:c r="BD197" s="141" t="n">
        <x:f>IF($A197='Consorcio Direto'!$B$29,'Consorcio Direto'!$B$44,0)</x:f>
        <x:v>0</x:v>
      </x:c>
      <x:c r="BE197" s="141" t="n">
        <x:f>IF($A197&lt;='Consorcio Direto'!$B$27,INDEX('Consorcio Direto'!$E$55:$E$534,$A197),0)</x:f>
        <x:v>3752.6628134908774</x:v>
      </x:c>
      <x:c r="BF197" s="141" t="n">
        <x:f>IF(AND(TRUE,Premissas!$B$11="Imovel",Premissas!$B$47="Moradia",$A197&lt;MAX('Consorcio Direto'!$B$29,Premissas!$B$49)),$D197,0)</x:f>
        <x:v>0</x:v>
      </x:c>
      <x:c r="BG197" s="141" t="n">
        <x:f>IF(AND(TRUE,Premissas!$B$11="Imovel",Premissas!$B$47="Investimento",$A197&gt;=MAX('Consorcio Direto'!$B$29,Premissas!$B$49)),$E197,0)</x:f>
        <x:v>1625.8250781988309</x:v>
      </x:c>
      <x:c r="BH197" s="141" t="n">
        <x:f>BD197+BE197+BF197</x:f>
        <x:v>3752.6628134908774</x:v>
      </x:c>
      <x:c r="BI197" s="141" t="n">
        <x:f>BG197</x:f>
        <x:v>1625.8250781988309</x:v>
      </x:c>
      <x:c r="BJ197" s="141" t="n">
        <x:f>$C197+BI197-BH197</x:f>
        <x:v>4873.162264707955</x:v>
      </x:c>
      <x:c r="BK197" s="141" t="n">
        <x:f>BN196*(1+Premissas!$B$41)+BJ197</x:f>
        <x:v>3539682.400390215</x:v>
      </x:c>
      <x:c r="BL197" s="141" t="n">
        <x:f>MAX(0,-BK197)</x:f>
        <x:v>0</x:v>
      </x:c>
      <x:c r="BM197" s="141" t="n">
        <x:f>BM196*(1+Premissas!$B$41)+BL197</x:f>
        <x:v>0</x:v>
      </x:c>
      <x:c r="BN197" s="141" t="n">
        <x:f>MAX(0,BK197)</x:f>
        <x:v>3539682.400390215</x:v>
      </x:c>
      <x:c r="BO197" s="141" t="n">
        <x:f>INDEX('Consorcio Direto'!$K$55:$K$534,$A197)</x:f>
        <x:v>154083.88565509501</x:v>
      </x:c>
      <x:c r="BP197" s="141" t="n">
        <x:f>IF($A197&lt;'Consorcio Direto'!$B$29,INDEX('Consorcio Direto'!$L$55:$L$534,$A197),$F197)</x:f>
        <x:v>508070.3369371347</x:v>
      </x:c>
      <x:c r="BQ197" s="141" t="n">
        <x:f>BN197+BP197-BO197</x:f>
        <x:v>3893668.851672255</x:v>
      </x:c>
      <x:c r="BR197" s="141" t="n">
        <x:f>IF(BM197&gt;1,"Inviavel",BQ197)</x:f>
        <x:v>3893668.851672255</x:v>
      </x:c>
      <x:c r="BS197" s="141" t="str">
        <x:f>IF(BM197&gt;1,"Inviavel","OK")</x:f>
        <x:v>OK</x:v>
      </x:c>
      <x:c r="BT197" s="141" t="n">
        <x:f>IF(AND('Carta Contemplada'!$B$22="Sim",$A197='Carta Contemplada'!$B$23),'Carta Contemplada'!$B$37,0)</x:f>
        <x:v>0</x:v>
      </x:c>
      <x:c r="BU197" s="141" t="n">
        <x:f>IF('Carta Contemplada'!$B$22="Sim",INDEX('Carta Contemplada'!$C$55:$C$1013,$A197),0)</x:f>
        <x:v>0</x:v>
      </x:c>
      <x:c r="BV197" s="141" t="n">
        <x:f>IF(AND('Carta Contemplada'!$B$22="Sim",Premissas!$B$11="Imovel",Premissas!$B$47="Moradia",$A197&lt;MAX('Carta Contemplada'!$B$44,Premissas!$B$49)),$D197,0)</x:f>
        <x:v>0</x:v>
      </x:c>
      <x:c r="BW197" s="141" t="n">
        <x:f>IF(AND('Carta Contemplada'!$B$22="Sim",Premissas!$B$11="Imovel",Premissas!$B$47="Investimento",$A197&gt;=MAX('Carta Contemplada'!$B$44,Premissas!$B$49)),$E197,0)</x:f>
        <x:v>1625.8250781988309</x:v>
      </x:c>
      <x:c r="BX197" s="141" t="n">
        <x:f>BT197+BU197+BV197</x:f>
        <x:v>0</x:v>
      </x:c>
      <x:c r="BY197" s="141" t="n">
        <x:f>BW197</x:f>
        <x:v>1625.8250781988309</x:v>
      </x:c>
      <x:c r="BZ197" s="141" t="n">
        <x:f>$C197+BY197-BX197</x:f>
        <x:v>8625.825078198832</x:v>
      </x:c>
      <x:c r="CA197" s="141" t="n">
        <x:f>CD196*(1+Premissas!$B$41)+BZ197</x:f>
        <x:v>3701847.403317689</x:v>
      </x:c>
      <x:c r="CB197" s="141" t="n">
        <x:f>MAX(0,-CA197)</x:f>
        <x:v>0</x:v>
      </x:c>
      <x:c r="CC197" s="141" t="n">
        <x:f>CC196*(1+Premissas!$B$41)+CB197</x:f>
        <x:v>0</x:v>
      </x:c>
      <x:c r="CD197" s="141" t="n">
        <x:f>MAX(0,CA197)</x:f>
        <x:v>3701847.403317689</x:v>
      </x:c>
      <x:c r="CE197" s="141" t="n">
        <x:f>IF(AND('Carta Contemplada'!$B$22="Sim",$A197&gt;='Carta Contemplada'!$B$23),INDEX('Carta Contemplada'!$I$55:$I$1013,$A197),0)</x:f>
        <x:v>0</x:v>
      </x:c>
      <x:c r="CF197" s="141" t="n">
        <x:f>IF(AND('Carta Contemplada'!$B$22="Sim",$A197&gt;='Carta Contemplada'!$B$44),$F197,0)</x:f>
        <x:v>508070.3369371347</x:v>
      </x:c>
      <x:c r="CG197" s="141" t="n">
        <x:f>CD197+CF197-CE197</x:f>
        <x:v>4209917.740254824</x:v>
      </x:c>
      <x:c r="CH197" s="141" t="n">
        <x:f>IF(CC197&gt;1,"Inviavel",CG197)</x:f>
        <x:v>4209917.740254824</x:v>
      </x:c>
      <x:c r="CI197" s="145" t="str">
        <x:f>IF(CC197&gt;1,"Inviavel","OK")</x:f>
        <x:v>OK</x:v>
      </x:c>
    </x:row>
    <x:row r="198">
      <x:c r="A198" s="142" t="n">
        <x:v>194</x:v>
      </x:c>
      <x:c r="B198" s="179" t="n">
        <x:f>EDATE(Premissas!$B$4,A198-1)</x:f>
        <x:v>52413</x:v>
      </x:c>
      <x:c r="C198" s="141" t="n">
        <x:f>IF(A198&lt;=Premissas!$B$39,Premissas!$B$42,0)</x:f>
        <x:v>7000</x:v>
      </x:c>
      <x:c r="D198" s="141" t="n">
        <x:f>Premissas!$B$54*(1+Premissas!$B$57)^INT((A198-1)/12)</x:f>
        <x:v>1778.2461792799713</x:v>
      </x:c>
      <x:c r="E198" s="141" t="n">
        <x:f>Premissas!$B$64*(1+Premissas!$B$57)^INT((A198-1)/12)</x:f>
        <x:v>1625.8250781988309</x:v>
      </x:c>
      <x:c r="F198" s="141" t="n">
        <x:f>MAX(0,Premissas!$B$6*(1+Premissas!$B$66)^((A198-1)/12))</x:f>
        <x:v>510543.39499292703</x:v>
      </x:c>
      <x:c r="G198" s="141" t="n">
        <x:f>G197*(1+Premissas!$B$41)+C198</x:f>
        <x:v>4427958.332949689</x:v>
      </x:c>
      <x:c r="H198" s="141" t="n">
        <x:f>IF($A198=Premissas!$B$48,Premissas!$B$8,0)</x:f>
        <x:v>0</x:v>
      </x:c>
      <x:c r="I198" s="141" t="n">
        <x:f>IF(AND($A198&gt;=Premissas!$B$48,$A198-Premissas!$B$48+1&lt;=Premissas!$B$13),INDEX(Financiamento!$J$6:$J$485,$A198-Premissas!$B$48+1),0)</x:f>
        <x:v>1351.5070461525168</x:v>
      </x:c>
      <x:c r="J198" s="141" t="n">
        <x:f>IF(AND(TRUE,Premissas!$B$11="Imovel",Premissas!$B$47="Moradia",$A198&lt;MAX(Premissas!$B$48,Premissas!$B$49)),$D198,0)</x:f>
        <x:v>0</x:v>
      </x:c>
      <x:c r="K198" s="141" t="n">
        <x:f>IF(AND(TRUE,Premissas!$B$11="Imovel",Premissas!$B$47="Investimento",$A198&gt;=MAX(Premissas!$B$48,Premissas!$B$49)),$E198,0)</x:f>
        <x:v>1625.8250781988309</x:v>
      </x:c>
      <x:c r="L198" s="141" t="n">
        <x:f>H198+I198+J198</x:f>
        <x:v>1351.5070461525168</x:v>
      </x:c>
      <x:c r="M198" s="141" t="n">
        <x:f>K198</x:f>
        <x:v>1625.8250781988309</x:v>
      </x:c>
      <x:c r="N198" s="141" t="n">
        <x:f>$C198+M198-L198</x:f>
        <x:v>7274.318032046315</x:v>
      </x:c>
      <x:c r="O198" s="141" t="n">
        <x:f>R197*(1+Premissas!$B$41)+N198</x:f>
        <x:v>3680778.988590696</x:v>
      </x:c>
      <x:c r="P198" s="141" t="n">
        <x:f>MAX(0,-O198)</x:f>
        <x:v>0</x:v>
      </x:c>
      <x:c r="Q198" s="141" t="n">
        <x:f>Q197*(1+Premissas!$B$41)+P198</x:f>
        <x:v>0</x:v>
      </x:c>
      <x:c r="R198" s="141" t="n">
        <x:f>MAX(0,O198)</x:f>
        <x:v>3680778.988590696</x:v>
      </x:c>
      <x:c r="S198" s="141" t="n">
        <x:f>IF(AND($A198&gt;=Premissas!$B$48,$A198-Premissas!$B$48+1&lt;=Premissas!$B$13),INDEX(Financiamento!$M$6:$M$485,$A198-Premissas!$B$48+1),0)</x:f>
        <x:v>86095.23809523824</x:v>
      </x:c>
      <x:c r="T198" s="141" t="n">
        <x:f>IF($A198&gt;=Premissas!$B$48,$F198,0)</x:f>
        <x:v>510543.39499292703</x:v>
      </x:c>
      <x:c r="U198" s="141" t="n">
        <x:f>R198+T198-S198</x:f>
        <x:v>4105227.1454883846</x:v>
      </x:c>
      <x:c r="V198" s="141" t="n">
        <x:f>IF(Q198&gt;1,"Inviavel",U198)</x:f>
        <x:v>4105227.1454883846</x:v>
      </x:c>
      <x:c r="W198" s="141" t="str">
        <x:f>IF(Q198&gt;1,"Inviavel","OK")</x:f>
        <x:v>OK</x:v>
      </x:c>
      <x:c r="X198" s="141" t="n">
        <x:f>IF($A198=Premissas!$B$48,Premissas!$B$8,0)</x:f>
        <x:v>0</x:v>
      </x:c>
      <x:c r="Y198" s="141" t="n">
        <x:f>IF(AND($A198&gt;=Premissas!$B$48,$A198-Premissas!$B$48+1&lt;=Premissas!$B$13),INDEX(Amortizacao!$K$6:$K$485,$A198-Premissas!$B$48+1),0)</x:f>
        <x:v>0</x:v>
      </x:c>
      <x:c r="Z198" s="141" t="n">
        <x:f>IF(AND(TRUE,Premissas!$B$11="Imovel",Premissas!$B$47="Moradia",$A198&lt;MAX(Premissas!$B$48,Premissas!$B$49)),$D198,0)</x:f>
        <x:v>0</x:v>
      </x:c>
      <x:c r="AA198" s="141" t="n">
        <x:f>IF(AND(TRUE,Premissas!$B$11="Imovel",Premissas!$B$47="Investimento",$A198&gt;=MAX(Premissas!$B$48,Premissas!$B$49)),$E198,0)</x:f>
        <x:v>1625.8250781988309</x:v>
      </x:c>
      <x:c r="AB198" s="141" t="n">
        <x:f>X198+Y198+Z198</x:f>
        <x:v>0</x:v>
      </x:c>
      <x:c r="AC198" s="141" t="n">
        <x:f>AA198</x:f>
        <x:v>1625.8250781988309</x:v>
      </x:c>
      <x:c r="AD198" s="141" t="n">
        <x:f>$C198+AC198-AB198</x:f>
        <x:v>8625.825078198832</x:v>
      </x:c>
      <x:c r="AE198" s="141" t="n">
        <x:f>AH197*(1+Premissas!$B$41)+AD198</x:f>
        <x:v>3655405.520917352</x:v>
      </x:c>
      <x:c r="AF198" s="141" t="n">
        <x:f>MAX(0,-AE198)</x:f>
        <x:v>0</x:v>
      </x:c>
      <x:c r="AG198" s="141" t="n">
        <x:f>AG197*(1+Premissas!$B$41)+AF198</x:f>
        <x:v>0</x:v>
      </x:c>
      <x:c r="AH198" s="141" t="n">
        <x:f>MAX(0,AE198)</x:f>
        <x:v>3655405.520917352</x:v>
      </x:c>
      <x:c r="AI198" s="141" t="n">
        <x:f>IF(AND($A198&gt;=Premissas!$B$48,$A198-Premissas!$B$48+1&lt;=Premissas!$B$13),INDEX(Amortizacao!$L$6:$L$485,$A198-Premissas!$B$48+1),0)</x:f>
        <x:v>0</x:v>
      </x:c>
      <x:c r="AJ198" s="141" t="n">
        <x:f>IF($A198&gt;=Premissas!$B$48,$F198,0)</x:f>
        <x:v>510543.39499292703</x:v>
      </x:c>
      <x:c r="AK198" s="141" t="n">
        <x:f>AH198+AJ198-AI198</x:f>
        <x:v>4165948.915910279</x:v>
      </x:c>
      <x:c r="AL198" s="141" t="n">
        <x:f>IF(AG198&gt;1,"Inviavel",AK198)</x:f>
        <x:v>4165948.915910279</x:v>
      </x:c>
      <x:c r="AM198" s="141" t="str">
        <x:f>IF(AG198&gt;1,"Inviavel","OK")</x:f>
        <x:v>OK</x:v>
      </x:c>
      <x:c r="AN198" s="141" t="n">
        <x:f>IF($A198=Premissas!$B$48,Premissas!$B$8,0)</x:f>
        <x:v>0</x:v>
      </x:c>
      <x:c r="AO198" s="141" t="n">
        <x:f>IF($A198&lt;=Premissas!$B$25,INDEX('Consorcio IQ'!$K$6:$K$485,$A198),0)</x:f>
        <x:v>1449.183899015967</x:v>
      </x:c>
      <x:c r="AP198" s="141" t="n">
        <x:f>IF(AND(TRUE,Premissas!$B$11="Imovel",Premissas!$B$47="Moradia",$A198&lt;MAX(Premissas!$B$48,Premissas!$B$49)),$D198,0)</x:f>
        <x:v>0</x:v>
      </x:c>
      <x:c r="AQ198" s="141" t="n">
        <x:f>IF(AND(TRUE,Premissas!$B$11="Imovel",Premissas!$B$47="Investimento",$A198&gt;=MAX(Premissas!$B$48,Premissas!$B$49)),$E198,0)</x:f>
        <x:v>1625.8250781988309</x:v>
      </x:c>
      <x:c r="AR198" s="141" t="n">
        <x:f>AN198+AO198+AP198</x:f>
        <x:v>1449.183899015967</x:v>
      </x:c>
      <x:c r="AS198" s="141" t="n">
        <x:f>AQ198</x:f>
        <x:v>1625.8250781988309</x:v>
      </x:c>
      <x:c r="AT198" s="141" t="n">
        <x:f>$C198+AS198-AR198</x:f>
        <x:v>7176.641179182865</x:v>
      </x:c>
      <x:c r="AU198" s="141" t="n">
        <x:f>AX197*(1+Premissas!$B$41)+AT198</x:f>
        <x:v>3678258.808057788</x:v>
      </x:c>
      <x:c r="AV198" s="141" t="n">
        <x:f>MAX(0,-AU198)</x:f>
        <x:v>0</x:v>
      </x:c>
      <x:c r="AW198" s="141" t="n">
        <x:f>AW197*(1+Premissas!$B$41)+AV198</x:f>
        <x:v>0</x:v>
      </x:c>
      <x:c r="AX198" s="141" t="n">
        <x:f>MAX(0,AU198)</x:f>
        <x:v>3678258.808057788</x:v>
      </x:c>
      <x:c r="AY198" s="141" t="n">
        <x:f>INDEX('Consorcio IQ'!$P$6:$P$485,$A198)</x:f>
        <x:v>58618.74807878005</x:v>
      </x:c>
      <x:c r="AZ198" s="141" t="n">
        <x:f>IF($A198&gt;=Premissas!$B$48,$F198,0)+IF($A198&lt;Premissas!$B$27,INDEX('Consorcio IQ'!$O$6:$O$485,$A198),0)</x:f>
        <x:v>510543.39499292703</x:v>
      </x:c>
      <x:c r="BA198" s="141" t="n">
        <x:f>AX198+AZ198-AY198</x:f>
        <x:v>4130183.4549719347</x:v>
      </x:c>
      <x:c r="BB198" s="141" t="n">
        <x:f>IF(AW198&gt;1,"Inviavel",BA198)</x:f>
        <x:v>4130183.4549719347</x:v>
      </x:c>
      <x:c r="BC198" s="141" t="str">
        <x:f>IF(AW198&gt;1,"Inviavel","OK")</x:f>
        <x:v>OK</x:v>
      </x:c>
      <x:c r="BD198" s="141" t="n">
        <x:f>IF($A198='Consorcio Direto'!$B$29,'Consorcio Direto'!$B$44,0)</x:f>
        <x:v>0</x:v>
      </x:c>
      <x:c r="BE198" s="141" t="n">
        <x:f>IF($A198&lt;='Consorcio Direto'!$B$27,INDEX('Consorcio Direto'!$E$55:$E$534,$A198),0)</x:f>
        <x:v>3752.6628134908774</x:v>
      </x:c>
      <x:c r="BF198" s="141" t="n">
        <x:f>IF(AND(TRUE,Premissas!$B$11="Imovel",Premissas!$B$47="Moradia",$A198&lt;MAX('Consorcio Direto'!$B$29,Premissas!$B$49)),$D198,0)</x:f>
        <x:v>0</x:v>
      </x:c>
      <x:c r="BG198" s="141" t="n">
        <x:f>IF(AND(TRUE,Premissas!$B$11="Imovel",Premissas!$B$47="Investimento",$A198&gt;=MAX('Consorcio Direto'!$B$29,Premissas!$B$49)),$E198,0)</x:f>
        <x:v>1625.8250781988309</x:v>
      </x:c>
      <x:c r="BH198" s="141" t="n">
        <x:f>BD198+BE198+BF198</x:f>
        <x:v>3752.6628134908774</x:v>
      </x:c>
      <x:c r="BI198" s="141" t="n">
        <x:f>BG198</x:f>
        <x:v>1625.8250781988309</x:v>
      </x:c>
      <x:c r="BJ198" s="141" t="n">
        <x:f>$C198+BI198-BH198</x:f>
        <x:v>4873.162264707955</x:v>
      </x:c>
      <x:c r="BK198" s="141" t="n">
        <x:f>BN197*(1+Premissas!$B$41)+BJ198</x:f>
        <x:v>3578142.8760064137</x:v>
      </x:c>
      <x:c r="BL198" s="141" t="n">
        <x:f>MAX(0,-BK198)</x:f>
        <x:v>0</x:v>
      </x:c>
      <x:c r="BM198" s="141" t="n">
        <x:f>BM197*(1+Premissas!$B$41)+BL198</x:f>
        <x:v>0</x:v>
      </x:c>
      <x:c r="BN198" s="141" t="n">
        <x:f>MAX(0,BK198)</x:f>
        <x:v>3578142.8760064137</x:v>
      </x:c>
      <x:c r="BO198" s="141" t="n">
        <x:f>INDEX('Consorcio Direto'!$K$55:$K$534,$A198)</x:f>
        <x:v>151793.2929271413</x:v>
      </x:c>
      <x:c r="BP198" s="141" t="n">
        <x:f>IF($A198&lt;'Consorcio Direto'!$B$29,INDEX('Consorcio Direto'!$L$55:$L$534,$A198),$F198)</x:f>
        <x:v>510543.39499292703</x:v>
      </x:c>
      <x:c r="BQ198" s="141" t="n">
        <x:f>BN198+BP198-BO198</x:f>
        <x:v>3936892.9780721995</x:v>
      </x:c>
      <x:c r="BR198" s="141" t="n">
        <x:f>IF(BM198&gt;1,"Inviavel",BQ198)</x:f>
        <x:v>3936892.9780721995</x:v>
      </x:c>
      <x:c r="BS198" s="141" t="str">
        <x:f>IF(BM198&gt;1,"Inviavel","OK")</x:f>
        <x:v>OK</x:v>
      </x:c>
      <x:c r="BT198" s="141" t="n">
        <x:f>IF(AND('Carta Contemplada'!$B$22="Sim",$A198='Carta Contemplada'!$B$23),'Carta Contemplada'!$B$37,0)</x:f>
        <x:v>0</x:v>
      </x:c>
      <x:c r="BU198" s="141" t="n">
        <x:f>IF('Carta Contemplada'!$B$22="Sim",INDEX('Carta Contemplada'!$C$55:$C$1013,$A198),0)</x:f>
        <x:v>0</x:v>
      </x:c>
      <x:c r="BV198" s="141" t="n">
        <x:f>IF(AND('Carta Contemplada'!$B$22="Sim",Premissas!$B$11="Imovel",Premissas!$B$47="Moradia",$A198&lt;MAX('Carta Contemplada'!$B$44,Premissas!$B$49)),$D198,0)</x:f>
        <x:v>0</x:v>
      </x:c>
      <x:c r="BW198" s="141" t="n">
        <x:f>IF(AND('Carta Contemplada'!$B$22="Sim",Premissas!$B$11="Imovel",Premissas!$B$47="Investimento",$A198&gt;=MAX('Carta Contemplada'!$B$44,Premissas!$B$49)),$E198,0)</x:f>
        <x:v>1625.8250781988309</x:v>
      </x:c>
      <x:c r="BX198" s="141" t="n">
        <x:f>BT198+BU198+BV198</x:f>
        <x:v>0</x:v>
      </x:c>
      <x:c r="BY198" s="141" t="n">
        <x:f>BW198</x:f>
        <x:v>1625.8250781988309</x:v>
      </x:c>
      <x:c r="BZ198" s="141" t="n">
        <x:f>$C198+BY198-BX198</x:f>
        <x:v>8625.825078198832</x:v>
      </x:c>
      <x:c r="CA198" s="141" t="n">
        <x:f>CD197*(1+Premissas!$B$41)+BZ198</x:f>
        <x:v>3745599.291881393</x:v>
      </x:c>
      <x:c r="CB198" s="141" t="n">
        <x:f>MAX(0,-CA198)</x:f>
        <x:v>0</x:v>
      </x:c>
      <x:c r="CC198" s="141" t="n">
        <x:f>CC197*(1+Premissas!$B$41)+CB198</x:f>
        <x:v>0</x:v>
      </x:c>
      <x:c r="CD198" s="141" t="n">
        <x:f>MAX(0,CA198)</x:f>
        <x:v>3745599.291881393</x:v>
      </x:c>
      <x:c r="CE198" s="141" t="n">
        <x:f>IF(AND('Carta Contemplada'!$B$22="Sim",$A198&gt;='Carta Contemplada'!$B$23),INDEX('Carta Contemplada'!$I$55:$I$1013,$A198),0)</x:f>
        <x:v>0</x:v>
      </x:c>
      <x:c r="CF198" s="141" t="n">
        <x:f>IF(AND('Carta Contemplada'!$B$22="Sim",$A198&gt;='Carta Contemplada'!$B$44),$F198,0)</x:f>
        <x:v>510543.39499292703</x:v>
      </x:c>
      <x:c r="CG198" s="141" t="n">
        <x:f>CD198+CF198-CE198</x:f>
        <x:v>4256142.68687432</x:v>
      </x:c>
      <x:c r="CH198" s="141" t="n">
        <x:f>IF(CC198&gt;1,"Inviavel",CG198)</x:f>
        <x:v>4256142.68687432</x:v>
      </x:c>
      <x:c r="CI198" s="145" t="str">
        <x:f>IF(CC198&gt;1,"Inviavel","OK")</x:f>
        <x:v>OK</x:v>
      </x:c>
    </x:row>
    <x:row r="199">
      <x:c r="A199" s="142" t="n">
        <x:v>195</x:v>
      </x:c>
      <x:c r="B199" s="179" t="n">
        <x:f>EDATE(Premissas!$B$4,A199-1)</x:f>
        <x:v>52444</x:v>
      </x:c>
      <x:c r="C199" s="141" t="n">
        <x:f>IF(A199&lt;=Premissas!$B$39,Premissas!$B$42,0)</x:f>
        <x:v>7000</x:v>
      </x:c>
      <x:c r="D199" s="141" t="n">
        <x:f>Premissas!$B$54*(1+Premissas!$B$57)^INT((A199-1)/12)</x:f>
        <x:v>1778.2461792799713</x:v>
      </x:c>
      <x:c r="E199" s="141" t="n">
        <x:f>Premissas!$B$64*(1+Premissas!$B$57)^INT((A199-1)/12)</x:f>
        <x:v>1625.8250781988309</x:v>
      </x:c>
      <x:c r="F199" s="141" t="n">
        <x:f>MAX(0,Premissas!$B$6*(1+Premissas!$B$66)^((A199-1)/12))</x:f>
        <x:v>513028.490783857</x:v>
      </x:c>
      <x:c r="G199" s="141" t="n">
        <x:f>G198*(1+Premissas!$B$41)+C199</x:f>
        <x:v>4476974.312694009</x:v>
      </x:c>
      <x:c r="H199" s="141" t="n">
        <x:f>IF($A199=Premissas!$B$48,Premissas!$B$8,0)</x:f>
        <x:v>0</x:v>
      </x:c>
      <x:c r="I199" s="141" t="n">
        <x:f>IF(AND($A199&gt;=Premissas!$B$48,$A199-Premissas!$B$48+1&lt;=Premissas!$B$13),INDEX(Financiamento!$J$6:$J$485,$A199-Premissas!$B$48+1),0)</x:f>
        <x:v>1347.8922678917233</x:v>
      </x:c>
      <x:c r="J199" s="141" t="n">
        <x:f>IF(AND(TRUE,Premissas!$B$11="Imovel",Premissas!$B$47="Moradia",$A199&lt;MAX(Premissas!$B$48,Premissas!$B$49)),$D199,0)</x:f>
        <x:v>0</x:v>
      </x:c>
      <x:c r="K199" s="141" t="n">
        <x:f>IF(AND(TRUE,Premissas!$B$11="Imovel",Premissas!$B$47="Investimento",$A199&gt;=MAX(Premissas!$B$48,Premissas!$B$49)),$E199,0)</x:f>
        <x:v>1625.8250781988309</x:v>
      </x:c>
      <x:c r="L199" s="141" t="n">
        <x:f>H199+I199+J199</x:f>
        <x:v>1347.8922678917233</x:v>
      </x:c>
      <x:c r="M199" s="141" t="n">
        <x:f>K199</x:f>
        <x:v>1625.8250781988309</x:v>
      </x:c>
      <x:c r="N199" s="141" t="n">
        <x:f>$C199+M199-L199</x:f>
        <x:v>7277.932810307108</x:v>
      </x:c>
      <x:c r="O199" s="141" t="n">
        <x:f>R198*(1+Premissas!$B$41)+N199</x:f>
        <x:v>3722983.071061704</x:v>
      </x:c>
      <x:c r="P199" s="141" t="n">
        <x:f>MAX(0,-O199)</x:f>
        <x:v>0</x:v>
      </x:c>
      <x:c r="Q199" s="141" t="n">
        <x:f>Q198*(1+Premissas!$B$41)+P199</x:f>
        <x:v>0</x:v>
      </x:c>
      <x:c r="R199" s="141" t="n">
        <x:f>MAX(0,O199)</x:f>
        <x:v>3722983.071061704</x:v>
      </x:c>
      <x:c r="S199" s="141" t="n">
        <x:f>IF(AND($A199&gt;=Premissas!$B$48,$A199-Premissas!$B$48+1&lt;=Premissas!$B$13),INDEX(Financiamento!$M$6:$M$485,$A199-Premissas!$B$48+1),0)</x:f>
        <x:v>85714.28571428586</x:v>
      </x:c>
      <x:c r="T199" s="141" t="n">
        <x:f>IF($A199&gt;=Premissas!$B$48,$F199,0)</x:f>
        <x:v>513028.490783857</x:v>
      </x:c>
      <x:c r="U199" s="141" t="n">
        <x:f>R199+T199-S199</x:f>
        <x:v>4150297.2761312746</x:v>
      </x:c>
      <x:c r="V199" s="141" t="n">
        <x:f>IF(Q199&gt;1,"Inviavel",U199)</x:f>
        <x:v>4150297.2761312746</x:v>
      </x:c>
      <x:c r="W199" s="141" t="str">
        <x:f>IF(Q199&gt;1,"Inviavel","OK")</x:f>
        <x:v>OK</x:v>
      </x:c>
      <x:c r="X199" s="141" t="n">
        <x:f>IF($A199=Premissas!$B$48,Premissas!$B$8,0)</x:f>
        <x:v>0</x:v>
      </x:c>
      <x:c r="Y199" s="141" t="n">
        <x:f>IF(AND($A199&gt;=Premissas!$B$48,$A199-Premissas!$B$48+1&lt;=Premissas!$B$13),INDEX(Amortizacao!$K$6:$K$485,$A199-Premissas!$B$48+1),0)</x:f>
        <x:v>0</x:v>
      </x:c>
      <x:c r="Z199" s="141" t="n">
        <x:f>IF(AND(TRUE,Premissas!$B$11="Imovel",Premissas!$B$47="Moradia",$A199&lt;MAX(Premissas!$B$48,Premissas!$B$49)),$D199,0)</x:f>
        <x:v>0</x:v>
      </x:c>
      <x:c r="AA199" s="141" t="n">
        <x:f>IF(AND(TRUE,Premissas!$B$11="Imovel",Premissas!$B$47="Investimento",$A199&gt;=MAX(Premissas!$B$48,Premissas!$B$49)),$E199,0)</x:f>
        <x:v>1625.8250781988309</x:v>
      </x:c>
      <x:c r="AB199" s="141" t="n">
        <x:f>X199+Y199+Z199</x:f>
        <x:v>0</x:v>
      </x:c>
      <x:c r="AC199" s="141" t="n">
        <x:f>AA199</x:f>
        <x:v>1625.8250781988309</x:v>
      </x:c>
      <x:c r="AD199" s="141" t="n">
        <x:f>$C199+AC199-AB199</x:f>
        <x:v>8625.825078198832</x:v>
      </x:c>
      <x:c r="AE199" s="141" t="n">
        <x:f>AH198*(1+Premissas!$B$41)+AD199</x:f>
        <x:v>3698716.732075467</x:v>
      </x:c>
      <x:c r="AF199" s="141" t="n">
        <x:f>MAX(0,-AE199)</x:f>
        <x:v>0</x:v>
      </x:c>
      <x:c r="AG199" s="141" t="n">
        <x:f>AG198*(1+Premissas!$B$41)+AF199</x:f>
        <x:v>0</x:v>
      </x:c>
      <x:c r="AH199" s="141" t="n">
        <x:f>MAX(0,AE199)</x:f>
        <x:v>3698716.732075467</x:v>
      </x:c>
      <x:c r="AI199" s="141" t="n">
        <x:f>IF(AND($A199&gt;=Premissas!$B$48,$A199-Premissas!$B$48+1&lt;=Premissas!$B$13),INDEX(Amortizacao!$L$6:$L$485,$A199-Premissas!$B$48+1),0)</x:f>
        <x:v>0</x:v>
      </x:c>
      <x:c r="AJ199" s="141" t="n">
        <x:f>IF($A199&gt;=Premissas!$B$48,$F199,0)</x:f>
        <x:v>513028.490783857</x:v>
      </x:c>
      <x:c r="AK199" s="141" t="n">
        <x:f>AH199+AJ199-AI199</x:f>
        <x:v>4211745.222859324</x:v>
      </x:c>
      <x:c r="AL199" s="141" t="n">
        <x:f>IF(AG199&gt;1,"Inviavel",AK199)</x:f>
        <x:v>4211745.222859324</x:v>
      </x:c>
      <x:c r="AM199" s="141" t="str">
        <x:f>IF(AG199&gt;1,"Inviavel","OK")</x:f>
        <x:v>OK</x:v>
      </x:c>
      <x:c r="AN199" s="141" t="n">
        <x:f>IF($A199=Premissas!$B$48,Premissas!$B$8,0)</x:f>
        <x:v>0</x:v>
      </x:c>
      <x:c r="AO199" s="141" t="n">
        <x:f>IF($A199&lt;=Premissas!$B$25,INDEX('Consorcio IQ'!$K$6:$K$485,$A199),0)</x:f>
        <x:v>1449.183899015967</x:v>
      </x:c>
      <x:c r="AP199" s="141" t="n">
        <x:f>IF(AND(TRUE,Premissas!$B$11="Imovel",Premissas!$B$47="Moradia",$A199&lt;MAX(Premissas!$B$48,Premissas!$B$49)),$D199,0)</x:f>
        <x:v>0</x:v>
      </x:c>
      <x:c r="AQ199" s="141" t="n">
        <x:f>IF(AND(TRUE,Premissas!$B$11="Imovel",Premissas!$B$47="Investimento",$A199&gt;=MAX(Premissas!$B$48,Premissas!$B$49)),$E199,0)</x:f>
        <x:v>1625.8250781988309</x:v>
      </x:c>
      <x:c r="AR199" s="141" t="n">
        <x:f>AN199+AO199+AP199</x:f>
        <x:v>1449.183899015967</x:v>
      </x:c>
      <x:c r="AS199" s="141" t="n">
        <x:f>AQ199</x:f>
        <x:v>1625.8250781988309</x:v>
      </x:c>
      <x:c r="AT199" s="141" t="n">
        <x:f>$C199+AS199-AR199</x:f>
        <x:v>7176.641179182865</x:v>
      </x:c>
      <x:c r="AU199" s="141" t="n">
        <x:f>AX198*(1+Premissas!$B$41)+AT199</x:f>
        <x:v>3720337.6854264373</x:v>
      </x:c>
      <x:c r="AV199" s="141" t="n">
        <x:f>MAX(0,-AU199)</x:f>
        <x:v>0</x:v>
      </x:c>
      <x:c r="AW199" s="141" t="n">
        <x:f>AW198*(1+Premissas!$B$41)+AV199</x:f>
        <x:v>0</x:v>
      </x:c>
      <x:c r="AX199" s="141" t="n">
        <x:f>MAX(0,AU199)</x:f>
        <x:v>3720337.6854264373</x:v>
      </x:c>
      <x:c r="AY199" s="141" t="n">
        <x:f>INDEX('Consorcio IQ'!$P$6:$P$485,$A199)</x:f>
        <x:v>57725.785342368115</x:v>
      </x:c>
      <x:c r="AZ199" s="141" t="n">
        <x:f>IF($A199&gt;=Premissas!$B$48,$F199,0)+IF($A199&lt;Premissas!$B$27,INDEX('Consorcio IQ'!$O$6:$O$485,$A199),0)</x:f>
        <x:v>513028.490783857</x:v>
      </x:c>
      <x:c r="BA199" s="141" t="n">
        <x:f>AX199+AZ199-AY199</x:f>
        <x:v>4175640.390867926</x:v>
      </x:c>
      <x:c r="BB199" s="141" t="n">
        <x:f>IF(AW199&gt;1,"Inviavel",BA199)</x:f>
        <x:v>4175640.390867926</x:v>
      </x:c>
      <x:c r="BC199" s="141" t="str">
        <x:f>IF(AW199&gt;1,"Inviavel","OK")</x:f>
        <x:v>OK</x:v>
      </x:c>
      <x:c r="BD199" s="141" t="n">
        <x:f>IF($A199='Consorcio Direto'!$B$29,'Consorcio Direto'!$B$44,0)</x:f>
        <x:v>0</x:v>
      </x:c>
      <x:c r="BE199" s="141" t="n">
        <x:f>IF($A199&lt;='Consorcio Direto'!$B$27,INDEX('Consorcio Direto'!$E$55:$E$534,$A199),0)</x:f>
        <x:v>3752.6628134908774</x:v>
      </x:c>
      <x:c r="BF199" s="141" t="n">
        <x:f>IF(AND(TRUE,Premissas!$B$11="Imovel",Premissas!$B$47="Moradia",$A199&lt;MAX('Consorcio Direto'!$B$29,Premissas!$B$49)),$D199,0)</x:f>
        <x:v>0</x:v>
      </x:c>
      <x:c r="BG199" s="141" t="n">
        <x:f>IF(AND(TRUE,Premissas!$B$11="Imovel",Premissas!$B$47="Investimento",$A199&gt;=MAX('Consorcio Direto'!$B$29,Premissas!$B$49)),$E199,0)</x:f>
        <x:v>1625.8250781988309</x:v>
      </x:c>
      <x:c r="BH199" s="141" t="n">
        <x:f>BD199+BE199+BF199</x:f>
        <x:v>3752.6628134908774</x:v>
      </x:c>
      <x:c r="BI199" s="141" t="n">
        <x:f>BG199</x:f>
        <x:v>1625.8250781988309</x:v>
      </x:c>
      <x:c r="BJ199" s="141" t="n">
        <x:f>$C199+BI199-BH199</x:f>
        <x:v>4873.162264707955</x:v>
      </x:c>
      <x:c r="BK199" s="141" t="n">
        <x:f>BN198*(1+Premissas!$B$41)+BJ199</x:f>
        <x:v>3616968.2951119</x:v>
      </x:c>
      <x:c r="BL199" s="141" t="n">
        <x:f>MAX(0,-BK199)</x:f>
        <x:v>0</x:v>
      </x:c>
      <x:c r="BM199" s="141" t="n">
        <x:f>BM198*(1+Premissas!$B$41)+BL199</x:f>
        <x:v>0</x:v>
      </x:c>
      <x:c r="BN199" s="141" t="n">
        <x:f>MAX(0,BK199)</x:f>
        <x:v>3616968.2951119</x:v>
      </x:c>
      <x:c r="BO199" s="141" t="n">
        <x:f>INDEX('Consorcio Direto'!$K$55:$K$534,$A199)</x:f>
        <x:v>149480.9652390946</x:v>
      </x:c>
      <x:c r="BP199" s="141" t="n">
        <x:f>IF($A199&lt;'Consorcio Direto'!$B$29,INDEX('Consorcio Direto'!$L$55:$L$534,$A199),$F199)</x:f>
        <x:v>513028.490783857</x:v>
      </x:c>
      <x:c r="BQ199" s="141" t="n">
        <x:f>BN199+BP199-BO199</x:f>
        <x:v>3980515.820656663</x:v>
      </x:c>
      <x:c r="BR199" s="141" t="n">
        <x:f>IF(BM199&gt;1,"Inviavel",BQ199)</x:f>
        <x:v>3980515.820656663</x:v>
      </x:c>
      <x:c r="BS199" s="141" t="str">
        <x:f>IF(BM199&gt;1,"Inviavel","OK")</x:f>
        <x:v>OK</x:v>
      </x:c>
      <x:c r="BT199" s="141" t="n">
        <x:f>IF(AND('Carta Contemplada'!$B$22="Sim",$A199='Carta Contemplada'!$B$23),'Carta Contemplada'!$B$37,0)</x:f>
        <x:v>0</x:v>
      </x:c>
      <x:c r="BU199" s="141" t="n">
        <x:f>IF('Carta Contemplada'!$B$22="Sim",INDEX('Carta Contemplada'!$C$55:$C$1013,$A199),0)</x:f>
        <x:v>0</x:v>
      </x:c>
      <x:c r="BV199" s="141" t="n">
        <x:f>IF(AND('Carta Contemplada'!$B$22="Sim",Premissas!$B$11="Imovel",Premissas!$B$47="Moradia",$A199&lt;MAX('Carta Contemplada'!$B$44,Premissas!$B$49)),$D199,0)</x:f>
        <x:v>0</x:v>
      </x:c>
      <x:c r="BW199" s="141" t="n">
        <x:f>IF(AND('Carta Contemplada'!$B$22="Sim",Premissas!$B$11="Imovel",Premissas!$B$47="Investimento",$A199&gt;=MAX('Carta Contemplada'!$B$44,Premissas!$B$49)),$E199,0)</x:f>
        <x:v>1625.8250781988309</x:v>
      </x:c>
      <x:c r="BX199" s="141" t="n">
        <x:f>BT199+BU199+BV199</x:f>
        <x:v>0</x:v>
      </x:c>
      <x:c r="BY199" s="141" t="n">
        <x:f>BW199</x:f>
        <x:v>1625.8250781988309</x:v>
      </x:c>
      <x:c r="BZ199" s="141" t="n">
        <x:f>$C199+BY199-BX199</x:f>
        <x:v>8625.825078198832</x:v>
      </x:c>
      <x:c r="CA199" s="141" t="n">
        <x:f>CD198*(1+Premissas!$B$41)+BZ199</x:f>
        <x:v>3789766.333056175</x:v>
      </x:c>
      <x:c r="CB199" s="141" t="n">
        <x:f>MAX(0,-CA199)</x:f>
        <x:v>0</x:v>
      </x:c>
      <x:c r="CC199" s="141" t="n">
        <x:f>CC198*(1+Premissas!$B$41)+CB199</x:f>
        <x:v>0</x:v>
      </x:c>
      <x:c r="CD199" s="141" t="n">
        <x:f>MAX(0,CA199)</x:f>
        <x:v>3789766.333056175</x:v>
      </x:c>
      <x:c r="CE199" s="141" t="n">
        <x:f>IF(AND('Carta Contemplada'!$B$22="Sim",$A199&gt;='Carta Contemplada'!$B$23),INDEX('Carta Contemplada'!$I$55:$I$1013,$A199),0)</x:f>
        <x:v>0</x:v>
      </x:c>
      <x:c r="CF199" s="141" t="n">
        <x:f>IF(AND('Carta Contemplada'!$B$22="Sim",$A199&gt;='Carta Contemplada'!$B$44),$F199,0)</x:f>
        <x:v>513028.490783857</x:v>
      </x:c>
      <x:c r="CG199" s="141" t="n">
        <x:f>CD199+CF199-CE199</x:f>
        <x:v>4302794.823840032</x:v>
      </x:c>
      <x:c r="CH199" s="141" t="n">
        <x:f>IF(CC199&gt;1,"Inviavel",CG199)</x:f>
        <x:v>4302794.823840032</x:v>
      </x:c>
      <x:c r="CI199" s="145" t="str">
        <x:f>IF(CC199&gt;1,"Inviavel","OK")</x:f>
        <x:v>OK</x:v>
      </x:c>
    </x:row>
    <x:row r="200">
      <x:c r="A200" s="142" t="n">
        <x:v>196</x:v>
      </x:c>
      <x:c r="B200" s="179" t="n">
        <x:f>EDATE(Premissas!$B$4,A200-1)</x:f>
        <x:v>52475</x:v>
      </x:c>
      <x:c r="C200" s="141" t="n">
        <x:f>IF(A200&lt;=Premissas!$B$39,Premissas!$B$42,0)</x:f>
        <x:v>7000</x:v>
      </x:c>
      <x:c r="D200" s="141" t="n">
        <x:f>Premissas!$B$54*(1+Premissas!$B$57)^INT((A200-1)/12)</x:f>
        <x:v>1778.2461792799713</x:v>
      </x:c>
      <x:c r="E200" s="141" t="n">
        <x:f>Premissas!$B$64*(1+Premissas!$B$57)^INT((A200-1)/12)</x:f>
        <x:v>1625.8250781988309</x:v>
      </x:c>
      <x:c r="F200" s="141" t="n">
        <x:f>MAX(0,Premissas!$B$6*(1+Premissas!$B$66)^((A200-1)/12))</x:f>
        <x:v>515525.68290420907</x:v>
      </x:c>
      <x:c r="G200" s="141" t="n">
        <x:f>G199*(1+Premissas!$B$41)+C200</x:f>
        <x:v>4526455.39492061</x:v>
      </x:c>
      <x:c r="H200" s="141" t="n">
        <x:f>IF($A200=Premissas!$B$48,Premissas!$B$8,0)</x:f>
        <x:v>0</x:v>
      </x:c>
      <x:c r="I200" s="141" t="n">
        <x:f>IF(AND($A200&gt;=Premissas!$B$48,$A200-Premissas!$B$48+1&lt;=Premissas!$B$13),INDEX(Financiamento!$J$6:$J$485,$A200-Premissas!$B$48+1),0)</x:f>
        <x:v>1344.2774896309297</x:v>
      </x:c>
      <x:c r="J200" s="141" t="n">
        <x:f>IF(AND(TRUE,Premissas!$B$11="Imovel",Premissas!$B$47="Moradia",$A200&lt;MAX(Premissas!$B$48,Premissas!$B$49)),$D200,0)</x:f>
        <x:v>0</x:v>
      </x:c>
      <x:c r="K200" s="141" t="n">
        <x:f>IF(AND(TRUE,Premissas!$B$11="Imovel",Premissas!$B$47="Investimento",$A200&gt;=MAX(Premissas!$B$48,Premissas!$B$49)),$E200,0)</x:f>
        <x:v>1625.8250781988309</x:v>
      </x:c>
      <x:c r="L200" s="141" t="n">
        <x:f>H200+I200+J200</x:f>
        <x:v>1344.2774896309297</x:v>
      </x:c>
      <x:c r="M200" s="141" t="n">
        <x:f>K200</x:f>
        <x:v>1625.8250781988309</x:v>
      </x:c>
      <x:c r="N200" s="141" t="n">
        <x:f>$C200+M200-L200</x:f>
        <x:v>7281.5475885679025</x:v>
      </x:c>
      <x:c r="O200" s="141" t="n">
        <x:f>R199*(1+Premissas!$B$41)+N200</x:f>
        <x:v>3765591.234110534</x:v>
      </x:c>
      <x:c r="P200" s="141" t="n">
        <x:f>MAX(0,-O200)</x:f>
        <x:v>0</x:v>
      </x:c>
      <x:c r="Q200" s="141" t="n">
        <x:f>Q199*(1+Premissas!$B$41)+P200</x:f>
        <x:v>0</x:v>
      </x:c>
      <x:c r="R200" s="141" t="n">
        <x:f>MAX(0,O200)</x:f>
        <x:v>3765591.234110534</x:v>
      </x:c>
      <x:c r="S200" s="141" t="n">
        <x:f>IF(AND($A200&gt;=Premissas!$B$48,$A200-Premissas!$B$48+1&lt;=Premissas!$B$13),INDEX(Financiamento!$M$6:$M$485,$A200-Premissas!$B$48+1),0)</x:f>
        <x:v>85333.33333333347</x:v>
      </x:c>
      <x:c r="T200" s="141" t="n">
        <x:f>IF($A200&gt;=Premissas!$B$48,$F200,0)</x:f>
        <x:v>515525.68290420907</x:v>
      </x:c>
      <x:c r="U200" s="141" t="n">
        <x:f>R200+T200-S200</x:f>
        <x:v>4195783.58368141</x:v>
      </x:c>
      <x:c r="V200" s="141" t="n">
        <x:f>IF(Q200&gt;1,"Inviavel",U200)</x:f>
        <x:v>4195783.58368141</x:v>
      </x:c>
      <x:c r="W200" s="141" t="str">
        <x:f>IF(Q200&gt;1,"Inviavel","OK")</x:f>
        <x:v>OK</x:v>
      </x:c>
      <x:c r="X200" s="141" t="n">
        <x:f>IF($A200=Premissas!$B$48,Premissas!$B$8,0)</x:f>
        <x:v>0</x:v>
      </x:c>
      <x:c r="Y200" s="141" t="n">
        <x:f>IF(AND($A200&gt;=Premissas!$B$48,$A200-Premissas!$B$48+1&lt;=Premissas!$B$13),INDEX(Amortizacao!$K$6:$K$485,$A200-Premissas!$B$48+1),0)</x:f>
        <x:v>0</x:v>
      </x:c>
      <x:c r="Z200" s="141" t="n">
        <x:f>IF(AND(TRUE,Premissas!$B$11="Imovel",Premissas!$B$47="Moradia",$A200&lt;MAX(Premissas!$B$48,Premissas!$B$49)),$D200,0)</x:f>
        <x:v>0</x:v>
      </x:c>
      <x:c r="AA200" s="141" t="n">
        <x:f>IF(AND(TRUE,Premissas!$B$11="Imovel",Premissas!$B$47="Investimento",$A200&gt;=MAX(Premissas!$B$48,Premissas!$B$49)),$E200,0)</x:f>
        <x:v>1625.8250781988309</x:v>
      </x:c>
      <x:c r="AB200" s="141" t="n">
        <x:f>X200+Y200+Z200</x:f>
        <x:v>0</x:v>
      </x:c>
      <x:c r="AC200" s="141" t="n">
        <x:f>AA200</x:f>
        <x:v>1625.8250781988309</x:v>
      </x:c>
      <x:c r="AD200" s="141" t="n">
        <x:f>$C200+AC200-AB200</x:f>
        <x:v>8625.825078198832</x:v>
      </x:c>
      <x:c r="AE200" s="141" t="n">
        <x:f>AH199*(1+Premissas!$B$41)+AD200</x:f>
        <x:v>3742438.914348007</x:v>
      </x:c>
      <x:c r="AF200" s="141" t="n">
        <x:f>MAX(0,-AE200)</x:f>
        <x:v>0</x:v>
      </x:c>
      <x:c r="AG200" s="141" t="n">
        <x:f>AG199*(1+Premissas!$B$41)+AF200</x:f>
        <x:v>0</x:v>
      </x:c>
      <x:c r="AH200" s="141" t="n">
        <x:f>MAX(0,AE200)</x:f>
        <x:v>3742438.914348007</x:v>
      </x:c>
      <x:c r="AI200" s="141" t="n">
        <x:f>IF(AND($A200&gt;=Premissas!$B$48,$A200-Premissas!$B$48+1&lt;=Premissas!$B$13),INDEX(Amortizacao!$L$6:$L$485,$A200-Premissas!$B$48+1),0)</x:f>
        <x:v>0</x:v>
      </x:c>
      <x:c r="AJ200" s="141" t="n">
        <x:f>IF($A200&gt;=Premissas!$B$48,$F200,0)</x:f>
        <x:v>515525.68290420907</x:v>
      </x:c>
      <x:c r="AK200" s="141" t="n">
        <x:f>AH200+AJ200-AI200</x:f>
        <x:v>4257964.597252216</x:v>
      </x:c>
      <x:c r="AL200" s="141" t="n">
        <x:f>IF(AG200&gt;1,"Inviavel",AK200)</x:f>
        <x:v>4257964.597252216</x:v>
      </x:c>
      <x:c r="AM200" s="141" t="str">
        <x:f>IF(AG200&gt;1,"Inviavel","OK")</x:f>
        <x:v>OK</x:v>
      </x:c>
      <x:c r="AN200" s="141" t="n">
        <x:f>IF($A200=Premissas!$B$48,Premissas!$B$8,0)</x:f>
        <x:v>0</x:v>
      </x:c>
      <x:c r="AO200" s="141" t="n">
        <x:f>IF($A200&lt;=Premissas!$B$25,INDEX('Consorcio IQ'!$K$6:$K$485,$A200),0)</x:f>
        <x:v>1449.183899015967</x:v>
      </x:c>
      <x:c r="AP200" s="141" t="n">
        <x:f>IF(AND(TRUE,Premissas!$B$11="Imovel",Premissas!$B$47="Moradia",$A200&lt;MAX(Premissas!$B$48,Premissas!$B$49)),$D200,0)</x:f>
        <x:v>0</x:v>
      </x:c>
      <x:c r="AQ200" s="141" t="n">
        <x:f>IF(AND(TRUE,Premissas!$B$11="Imovel",Premissas!$B$47="Investimento",$A200&gt;=MAX(Premissas!$B$48,Premissas!$B$49)),$E200,0)</x:f>
        <x:v>1625.8250781988309</x:v>
      </x:c>
      <x:c r="AR200" s="141" t="n">
        <x:f>AN200+AO200+AP200</x:f>
        <x:v>1449.183899015967</x:v>
      </x:c>
      <x:c r="AS200" s="141" t="n">
        <x:f>AQ200</x:f>
        <x:v>1625.8250781988309</x:v>
      </x:c>
      <x:c r="AT200" s="141" t="n">
        <x:f>$C200+AS200-AR200</x:f>
        <x:v>7176.641179182865</x:v>
      </x:c>
      <x:c r="AU200" s="141" t="n">
        <x:f>AX199*(1+Premissas!$B$41)+AT200</x:f>
        <x:v>3762815.8405493577</x:v>
      </x:c>
      <x:c r="AV200" s="141" t="n">
        <x:f>MAX(0,-AU200)</x:f>
        <x:v>0</x:v>
      </x:c>
      <x:c r="AW200" s="141" t="n">
        <x:f>AW199*(1+Premissas!$B$41)+AV200</x:f>
        <x:v>0</x:v>
      </x:c>
      <x:c r="AX200" s="141" t="n">
        <x:f>MAX(0,AU200)</x:f>
        <x:v>3762815.8405493577</x:v>
      </x:c>
      <x:c r="AY200" s="141" t="n">
        <x:f>INDEX('Consorcio IQ'!$P$6:$P$485,$A200)</x:f>
        <x:v>56824.34946745207</x:v>
      </x:c>
      <x:c r="AZ200" s="141" t="n">
        <x:f>IF($A200&gt;=Premissas!$B$48,$F200,0)+IF($A200&lt;Premissas!$B$27,INDEX('Consorcio IQ'!$O$6:$O$485,$A200),0)</x:f>
        <x:v>515525.68290420907</x:v>
      </x:c>
      <x:c r="BA200" s="141" t="n">
        <x:f>AX200+AZ200-AY200</x:f>
        <x:v>4221517.1739861155</x:v>
      </x:c>
      <x:c r="BB200" s="141" t="n">
        <x:f>IF(AW200&gt;1,"Inviavel",BA200)</x:f>
        <x:v>4221517.1739861155</x:v>
      </x:c>
      <x:c r="BC200" s="141" t="str">
        <x:f>IF(AW200&gt;1,"Inviavel","OK")</x:f>
        <x:v>OK</x:v>
      </x:c>
      <x:c r="BD200" s="141" t="n">
        <x:f>IF($A200='Consorcio Direto'!$B$29,'Consorcio Direto'!$B$44,0)</x:f>
        <x:v>0</x:v>
      </x:c>
      <x:c r="BE200" s="141" t="n">
        <x:f>IF($A200&lt;='Consorcio Direto'!$B$27,INDEX('Consorcio Direto'!$E$55:$E$534,$A200),0)</x:f>
        <x:v>3752.6628134908774</x:v>
      </x:c>
      <x:c r="BF200" s="141" t="n">
        <x:f>IF(AND(TRUE,Premissas!$B$11="Imovel",Premissas!$B$47="Moradia",$A200&lt;MAX('Consorcio Direto'!$B$29,Premissas!$B$49)),$D200,0)</x:f>
        <x:v>0</x:v>
      </x:c>
      <x:c r="BG200" s="141" t="n">
        <x:f>IF(AND(TRUE,Premissas!$B$11="Imovel",Premissas!$B$47="Investimento",$A200&gt;=MAX('Consorcio Direto'!$B$29,Premissas!$B$49)),$E200,0)</x:f>
        <x:v>1625.8250781988309</x:v>
      </x:c>
      <x:c r="BH200" s="141" t="n">
        <x:f>BD200+BE200+BF200</x:f>
        <x:v>3752.6628134908774</x:v>
      </x:c>
      <x:c r="BI200" s="141" t="n">
        <x:f>BG200</x:f>
        <x:v>1625.8250781988309</x:v>
      </x:c>
      <x:c r="BJ200" s="141" t="n">
        <x:f>$C200+BI200-BH200</x:f>
        <x:v>4873.162264707955</x:v>
      </x:c>
      <x:c r="BK200" s="141" t="n">
        <x:f>BN199*(1+Premissas!$B$41)+BJ200</x:f>
        <x:v>3656162.120579877</x:v>
      </x:c>
      <x:c r="BL200" s="141" t="n">
        <x:f>MAX(0,-BK200)</x:f>
        <x:v>0</x:v>
      </x:c>
      <x:c r="BM200" s="141" t="n">
        <x:f>BM199*(1+Premissas!$B$41)+BL200</x:f>
        <x:v>0</x:v>
      </x:c>
      <x:c r="BN200" s="141" t="n">
        <x:f>MAX(0,BK200)</x:f>
        <x:v>3656162.120579877</x:v>
      </x:c>
      <x:c r="BO200" s="141" t="n">
        <x:f>INDEX('Consorcio Direto'!$K$55:$K$534,$A200)</x:f>
        <x:v>147146.6963524191</x:v>
      </x:c>
      <x:c r="BP200" s="141" t="n">
        <x:f>IF($A200&lt;'Consorcio Direto'!$B$29,INDEX('Consorcio Direto'!$L$55:$L$534,$A200),$F200)</x:f>
        <x:v>515525.68290420907</x:v>
      </x:c>
      <x:c r="BQ200" s="141" t="n">
        <x:f>BN200+BP200-BO200</x:f>
        <x:v>4024541.107131667</x:v>
      </x:c>
      <x:c r="BR200" s="141" t="n">
        <x:f>IF(BM200&gt;1,"Inviavel",BQ200)</x:f>
        <x:v>4024541.107131667</x:v>
      </x:c>
      <x:c r="BS200" s="141" t="str">
        <x:f>IF(BM200&gt;1,"Inviavel","OK")</x:f>
        <x:v>OK</x:v>
      </x:c>
      <x:c r="BT200" s="141" t="n">
        <x:f>IF(AND('Carta Contemplada'!$B$22="Sim",$A200='Carta Contemplada'!$B$23),'Carta Contemplada'!$B$37,0)</x:f>
        <x:v>0</x:v>
      </x:c>
      <x:c r="BU200" s="141" t="n">
        <x:f>IF('Carta Contemplada'!$B$22="Sim",INDEX('Carta Contemplada'!$C$55:$C$1013,$A200),0)</x:f>
        <x:v>0</x:v>
      </x:c>
      <x:c r="BV200" s="141" t="n">
        <x:f>IF(AND('Carta Contemplada'!$B$22="Sim",Premissas!$B$11="Imovel",Premissas!$B$47="Moradia",$A200&lt;MAX('Carta Contemplada'!$B$44,Premissas!$B$49)),$D200,0)</x:f>
        <x:v>0</x:v>
      </x:c>
      <x:c r="BW200" s="141" t="n">
        <x:f>IF(AND('Carta Contemplada'!$B$22="Sim",Premissas!$B$11="Imovel",Premissas!$B$47="Investimento",$A200&gt;=MAX('Carta Contemplada'!$B$44,Premissas!$B$49)),$E200,0)</x:f>
        <x:v>1625.8250781988309</x:v>
      </x:c>
      <x:c r="BX200" s="141" t="n">
        <x:f>BT200+BU200+BV200</x:f>
        <x:v>0</x:v>
      </x:c>
      <x:c r="BY200" s="141" t="n">
        <x:f>BW200</x:f>
        <x:v>1625.8250781988309</x:v>
      </x:c>
      <x:c r="BZ200" s="141" t="n">
        <x:f>$C200+BY200-BX200</x:f>
        <x:v>8625.825078198832</x:v>
      </x:c>
      <x:c r="CA200" s="141" t="n">
        <x:f>CD199*(1+Premissas!$B$41)+BZ200</x:f>
        <x:v>3834352.466139198</x:v>
      </x:c>
      <x:c r="CB200" s="141" t="n">
        <x:f>MAX(0,-CA200)</x:f>
        <x:v>0</x:v>
      </x:c>
      <x:c r="CC200" s="141" t="n">
        <x:f>CC199*(1+Premissas!$B$41)+CB200</x:f>
        <x:v>0</x:v>
      </x:c>
      <x:c r="CD200" s="141" t="n">
        <x:f>MAX(0,CA200)</x:f>
        <x:v>3834352.466139198</x:v>
      </x:c>
      <x:c r="CE200" s="141" t="n">
        <x:f>IF(AND('Carta Contemplada'!$B$22="Sim",$A200&gt;='Carta Contemplada'!$B$23),INDEX('Carta Contemplada'!$I$55:$I$1013,$A200),0)</x:f>
        <x:v>0</x:v>
      </x:c>
      <x:c r="CF200" s="141" t="n">
        <x:f>IF(AND('Carta Contemplada'!$B$22="Sim",$A200&gt;='Carta Contemplada'!$B$44),$F200,0)</x:f>
        <x:v>515525.68290420907</x:v>
      </x:c>
      <x:c r="CG200" s="141" t="n">
        <x:f>CD200+CF200-CE200</x:f>
        <x:v>4349878.149043407</x:v>
      </x:c>
      <x:c r="CH200" s="141" t="n">
        <x:f>IF(CC200&gt;1,"Inviavel",CG200)</x:f>
        <x:v>4349878.149043407</x:v>
      </x:c>
      <x:c r="CI200" s="145" t="str">
        <x:f>IF(CC200&gt;1,"Inviavel","OK")</x:f>
        <x:v>OK</x:v>
      </x:c>
    </x:row>
    <x:row r="201">
      <x:c r="A201" s="142" t="n">
        <x:v>197</x:v>
      </x:c>
      <x:c r="B201" s="179" t="n">
        <x:f>EDATE(Premissas!$B$4,A201-1)</x:f>
        <x:v>52505</x:v>
      </x:c>
      <x:c r="C201" s="141" t="n">
        <x:f>IF(A201&lt;=Premissas!$B$39,Premissas!$B$42,0)</x:f>
        <x:v>7000</x:v>
      </x:c>
      <x:c r="D201" s="141" t="n">
        <x:f>Premissas!$B$54*(1+Premissas!$B$57)^INT((A201-1)/12)</x:f>
        <x:v>1778.2461792799713</x:v>
      </x:c>
      <x:c r="E201" s="141" t="n">
        <x:f>Premissas!$B$64*(1+Premissas!$B$57)^INT((A201-1)/12)</x:f>
        <x:v>1625.8250781988309</x:v>
      </x:c>
      <x:c r="F201" s="141" t="n">
        <x:f>MAX(0,Premissas!$B$6*(1+Premissas!$B$66)^((A201-1)/12))</x:f>
        <x:v>518035.0302334783</x:v>
      </x:c>
      <x:c r="G201" s="141" t="n">
        <x:f>G200*(1+Premissas!$B$41)+C201</x:f>
        <x:v>4576405.992890638</x:v>
      </x:c>
      <x:c r="H201" s="141" t="n">
        <x:f>IF($A201=Premissas!$B$48,Premissas!$B$8,0)</x:f>
        <x:v>0</x:v>
      </x:c>
      <x:c r="I201" s="141" t="n">
        <x:f>IF(AND($A201&gt;=Premissas!$B$48,$A201-Premissas!$B$48+1&lt;=Premissas!$B$13),INDEX(Financiamento!$J$6:$J$485,$A201-Premissas!$B$48+1),0)</x:f>
        <x:v>1340.662711370136</x:v>
      </x:c>
      <x:c r="J201" s="141" t="n">
        <x:f>IF(AND(TRUE,Premissas!$B$11="Imovel",Premissas!$B$47="Moradia",$A201&lt;MAX(Premissas!$B$48,Premissas!$B$49)),$D201,0)</x:f>
        <x:v>0</x:v>
      </x:c>
      <x:c r="K201" s="141" t="n">
        <x:f>IF(AND(TRUE,Premissas!$B$11="Imovel",Premissas!$B$47="Investimento",$A201&gt;=MAX(Premissas!$B$48,Premissas!$B$49)),$E201,0)</x:f>
        <x:v>1625.8250781988309</x:v>
      </x:c>
      <x:c r="L201" s="141" t="n">
        <x:f>H201+I201+J201</x:f>
        <x:v>1340.662711370136</x:v>
      </x:c>
      <x:c r="M201" s="141" t="n">
        <x:f>K201</x:f>
        <x:v>1625.8250781988309</x:v>
      </x:c>
      <x:c r="N201" s="141" t="n">
        <x:f>$C201+M201-L201</x:f>
        <x:v>7285.162366828696</x:v>
      </x:c>
      <x:c r="O201" s="141" t="n">
        <x:f>R200*(1+Premissas!$B$41)+N201</x:f>
        <x:v>3808607.311974119</x:v>
      </x:c>
      <x:c r="P201" s="141" t="n">
        <x:f>MAX(0,-O201)</x:f>
        <x:v>0</x:v>
      </x:c>
      <x:c r="Q201" s="141" t="n">
        <x:f>Q200*(1+Premissas!$B$41)+P201</x:f>
        <x:v>0</x:v>
      </x:c>
      <x:c r="R201" s="141" t="n">
        <x:f>MAX(0,O201)</x:f>
        <x:v>3808607.311974119</x:v>
      </x:c>
      <x:c r="S201" s="141" t="n">
        <x:f>IF(AND($A201&gt;=Premissas!$B$48,$A201-Premissas!$B$48+1&lt;=Premissas!$B$13),INDEX(Financiamento!$M$6:$M$485,$A201-Premissas!$B$48+1),0)</x:f>
        <x:v>84952.38095238109</x:v>
      </x:c>
      <x:c r="T201" s="141" t="n">
        <x:f>IF($A201&gt;=Premissas!$B$48,$F201,0)</x:f>
        <x:v>518035.0302334783</x:v>
      </x:c>
      <x:c r="U201" s="141" t="n">
        <x:f>R201+T201-S201</x:f>
        <x:v>4241689.961255216</x:v>
      </x:c>
      <x:c r="V201" s="141" t="n">
        <x:f>IF(Q201&gt;1,"Inviavel",U201)</x:f>
        <x:v>4241689.961255216</x:v>
      </x:c>
      <x:c r="W201" s="141" t="str">
        <x:f>IF(Q201&gt;1,"Inviavel","OK")</x:f>
        <x:v>OK</x:v>
      </x:c>
      <x:c r="X201" s="141" t="n">
        <x:f>IF($A201=Premissas!$B$48,Premissas!$B$8,0)</x:f>
        <x:v>0</x:v>
      </x:c>
      <x:c r="Y201" s="141" t="n">
        <x:f>IF(AND($A201&gt;=Premissas!$B$48,$A201-Premissas!$B$48+1&lt;=Premissas!$B$13),INDEX(Amortizacao!$K$6:$K$485,$A201-Premissas!$B$48+1),0)</x:f>
        <x:v>0</x:v>
      </x:c>
      <x:c r="Z201" s="141" t="n">
        <x:f>IF(AND(TRUE,Premissas!$B$11="Imovel",Premissas!$B$47="Moradia",$A201&lt;MAX(Premissas!$B$48,Premissas!$B$49)),$D201,0)</x:f>
        <x:v>0</x:v>
      </x:c>
      <x:c r="AA201" s="141" t="n">
        <x:f>IF(AND(TRUE,Premissas!$B$11="Imovel",Premissas!$B$47="Investimento",$A201&gt;=MAX(Premissas!$B$48,Premissas!$B$49)),$E201,0)</x:f>
        <x:v>1625.8250781988309</x:v>
      </x:c>
      <x:c r="AB201" s="141" t="n">
        <x:f>X201+Y201+Z201</x:f>
        <x:v>0</x:v>
      </x:c>
      <x:c r="AC201" s="141" t="n">
        <x:f>AA201</x:f>
        <x:v>1625.8250781988309</x:v>
      </x:c>
      <x:c r="AD201" s="141" t="n">
        <x:f>$C201+AC201-AB201</x:f>
        <x:v>8625.825078198832</x:v>
      </x:c>
      <x:c r="AE201" s="141" t="n">
        <x:f>AH200*(1+Premissas!$B$41)+AD201</x:f>
        <x:v>3786575.96735478</x:v>
      </x:c>
      <x:c r="AF201" s="141" t="n">
        <x:f>MAX(0,-AE201)</x:f>
        <x:v>0</x:v>
      </x:c>
      <x:c r="AG201" s="141" t="n">
        <x:f>AG200*(1+Premissas!$B$41)+AF201</x:f>
        <x:v>0</x:v>
      </x:c>
      <x:c r="AH201" s="141" t="n">
        <x:f>MAX(0,AE201)</x:f>
        <x:v>3786575.96735478</x:v>
      </x:c>
      <x:c r="AI201" s="141" t="n">
        <x:f>IF(AND($A201&gt;=Premissas!$B$48,$A201-Premissas!$B$48+1&lt;=Premissas!$B$13),INDEX(Amortizacao!$L$6:$L$485,$A201-Premissas!$B$48+1),0)</x:f>
        <x:v>0</x:v>
      </x:c>
      <x:c r="AJ201" s="141" t="n">
        <x:f>IF($A201&gt;=Premissas!$B$48,$F201,0)</x:f>
        <x:v>518035.0302334783</x:v>
      </x:c>
      <x:c r="AK201" s="141" t="n">
        <x:f>AH201+AJ201-AI201</x:f>
        <x:v>4304610.997588258</x:v>
      </x:c>
      <x:c r="AL201" s="141" t="n">
        <x:f>IF(AG201&gt;1,"Inviavel",AK201)</x:f>
        <x:v>4304610.997588258</x:v>
      </x:c>
      <x:c r="AM201" s="141" t="str">
        <x:f>IF(AG201&gt;1,"Inviavel","OK")</x:f>
        <x:v>OK</x:v>
      </x:c>
      <x:c r="AN201" s="141" t="n">
        <x:f>IF($A201=Premissas!$B$48,Premissas!$B$8,0)</x:f>
        <x:v>0</x:v>
      </x:c>
      <x:c r="AO201" s="141" t="n">
        <x:f>IF($A201&lt;=Premissas!$B$25,INDEX('Consorcio IQ'!$K$6:$K$485,$A201),0)</x:f>
        <x:v>1449.183899015967</x:v>
      </x:c>
      <x:c r="AP201" s="141" t="n">
        <x:f>IF(AND(TRUE,Premissas!$B$11="Imovel",Premissas!$B$47="Moradia",$A201&lt;MAX(Premissas!$B$48,Premissas!$B$49)),$D201,0)</x:f>
        <x:v>0</x:v>
      </x:c>
      <x:c r="AQ201" s="141" t="n">
        <x:f>IF(AND(TRUE,Premissas!$B$11="Imovel",Premissas!$B$47="Investimento",$A201&gt;=MAX(Premissas!$B$48,Premissas!$B$49)),$E201,0)</x:f>
        <x:v>1625.8250781988309</x:v>
      </x:c>
      <x:c r="AR201" s="141" t="n">
        <x:f>AN201+AO201+AP201</x:f>
        <x:v>1449.183899015967</x:v>
      </x:c>
      <x:c r="AS201" s="141" t="n">
        <x:f>AQ201</x:f>
        <x:v>1625.8250781988309</x:v>
      </x:c>
      <x:c r="AT201" s="141" t="n">
        <x:f>$C201+AS201-AR201</x:f>
        <x:v>7176.641179182865</x:v>
      </x:c>
      <x:c r="AU201" s="141" t="n">
        <x:f>AX200*(1+Premissas!$B$41)+AT201</x:f>
        <x:v>3805697.0620904826</x:v>
      </x:c>
      <x:c r="AV201" s="141" t="n">
        <x:f>MAX(0,-AU201)</x:f>
        <x:v>0</x:v>
      </x:c>
      <x:c r="AW201" s="141" t="n">
        <x:f>AW200*(1+Premissas!$B$41)+AV201</x:f>
        <x:v>0</x:v>
      </x:c>
      <x:c r="AX201" s="141" t="n">
        <x:f>MAX(0,AU201)</x:f>
        <x:v>3805697.0620904826</x:v>
      </x:c>
      <x:c r="AY201" s="141" t="n">
        <x:f>INDEX('Consorcio IQ'!$P$6:$P$485,$A201)</x:f>
        <x:v>55914.36005417514</x:v>
      </x:c>
      <x:c r="AZ201" s="141" t="n">
        <x:f>IF($A201&gt;=Premissas!$B$48,$F201,0)+IF($A201&lt;Premissas!$B$27,INDEX('Consorcio IQ'!$O$6:$O$485,$A201),0)</x:f>
        <x:v>518035.0302334783</x:v>
      </x:c>
      <x:c r="BA201" s="141" t="n">
        <x:f>AX201+AZ201-AY201</x:f>
        <x:v>4267817.732269785</x:v>
      </x:c>
      <x:c r="BB201" s="141" t="n">
        <x:f>IF(AW201&gt;1,"Inviavel",BA201)</x:f>
        <x:v>4267817.732269785</x:v>
      </x:c>
      <x:c r="BC201" s="141" t="str">
        <x:f>IF(AW201&gt;1,"Inviavel","OK")</x:f>
        <x:v>OK</x:v>
      </x:c>
      <x:c r="BD201" s="141" t="n">
        <x:f>IF($A201='Consorcio Direto'!$B$29,'Consorcio Direto'!$B$44,0)</x:f>
        <x:v>0</x:v>
      </x:c>
      <x:c r="BE201" s="141" t="n">
        <x:f>IF($A201&lt;='Consorcio Direto'!$B$27,INDEX('Consorcio Direto'!$E$55:$E$534,$A201),0)</x:f>
        <x:v>3752.6628134908774</x:v>
      </x:c>
      <x:c r="BF201" s="141" t="n">
        <x:f>IF(AND(TRUE,Premissas!$B$11="Imovel",Premissas!$B$47="Moradia",$A201&lt;MAX('Consorcio Direto'!$B$29,Premissas!$B$49)),$D201,0)</x:f>
        <x:v>0</x:v>
      </x:c>
      <x:c r="BG201" s="141" t="n">
        <x:f>IF(AND(TRUE,Premissas!$B$11="Imovel",Premissas!$B$47="Investimento",$A201&gt;=MAX('Consorcio Direto'!$B$29,Premissas!$B$49)),$E201,0)</x:f>
        <x:v>1625.8250781988309</x:v>
      </x:c>
      <x:c r="BH201" s="141" t="n">
        <x:f>BD201+BE201+BF201</x:f>
        <x:v>3752.6628134908774</x:v>
      </x:c>
      <x:c r="BI201" s="141" t="n">
        <x:f>BG201</x:f>
        <x:v>1625.8250781988309</x:v>
      </x:c>
      <x:c r="BJ201" s="141" t="n">
        <x:f>$C201+BI201-BH201</x:f>
        <x:v>4873.162264707955</x:v>
      </x:c>
      <x:c r="BK201" s="141" t="n">
        <x:f>BN200*(1+Premissas!$B$41)+BJ201</x:f>
        <x:v>3695727.8481420334</x:v>
      </x:c>
      <x:c r="BL201" s="141" t="n">
        <x:f>MAX(0,-BK201)</x:f>
        <x:v>0</x:v>
      </x:c>
      <x:c r="BM201" s="141" t="n">
        <x:f>BM200*(1+Premissas!$B$41)+BL201</x:f>
        <x:v>0</x:v>
      </x:c>
      <x:c r="BN201" s="141" t="n">
        <x:f>MAX(0,BK201)</x:f>
        <x:v>3695727.8481420334</x:v>
      </x:c>
      <x:c r="BO201" s="141" t="n">
        <x:f>INDEX('Consorcio Direto'!$K$55:$K$534,$A201)</x:f>
        <x:v>144790.27807162429</x:v>
      </x:c>
      <x:c r="BP201" s="141" t="n">
        <x:f>IF($A201&lt;'Consorcio Direto'!$B$29,INDEX('Consorcio Direto'!$L$55:$L$534,$A201),$F201)</x:f>
        <x:v>518035.0302334783</x:v>
      </x:c>
      <x:c r="BQ201" s="141" t="n">
        <x:f>BN201+BP201-BO201</x:f>
        <x:v>4068972.6003038874</x:v>
      </x:c>
      <x:c r="BR201" s="141" t="n">
        <x:f>IF(BM201&gt;1,"Inviavel",BQ201)</x:f>
        <x:v>4068972.6003038874</x:v>
      </x:c>
      <x:c r="BS201" s="141" t="str">
        <x:f>IF(BM201&gt;1,"Inviavel","OK")</x:f>
        <x:v>OK</x:v>
      </x:c>
      <x:c r="BT201" s="141" t="n">
        <x:f>IF(AND('Carta Contemplada'!$B$22="Sim",$A201='Carta Contemplada'!$B$23),'Carta Contemplada'!$B$37,0)</x:f>
        <x:v>0</x:v>
      </x:c>
      <x:c r="BU201" s="141" t="n">
        <x:f>IF('Carta Contemplada'!$B$22="Sim",INDEX('Carta Contemplada'!$C$55:$C$1013,$A201),0)</x:f>
        <x:v>0</x:v>
      </x:c>
      <x:c r="BV201" s="141" t="n">
        <x:f>IF(AND('Carta Contemplada'!$B$22="Sim",Premissas!$B$11="Imovel",Premissas!$B$47="Moradia",$A201&lt;MAX('Carta Contemplada'!$B$44,Premissas!$B$49)),$D201,0)</x:f>
        <x:v>0</x:v>
      </x:c>
      <x:c r="BW201" s="141" t="n">
        <x:f>IF(AND('Carta Contemplada'!$B$22="Sim",Premissas!$B$11="Imovel",Premissas!$B$47="Investimento",$A201&gt;=MAX('Carta Contemplada'!$B$44,Premissas!$B$49)),$E201,0)</x:f>
        <x:v>1625.8250781988309</x:v>
      </x:c>
      <x:c r="BX201" s="141" t="n">
        <x:f>BT201+BU201+BV201</x:f>
        <x:v>0</x:v>
      </x:c>
      <x:c r="BY201" s="141" t="n">
        <x:f>BW201</x:f>
        <x:v>1625.8250781988309</x:v>
      </x:c>
      <x:c r="BZ201" s="141" t="n">
        <x:f>$C201+BY201-BX201</x:f>
        <x:v>8625.825078198832</x:v>
      </x:c>
      <x:c r="CA201" s="141" t="n">
        <x:f>CD200*(1+Premissas!$B$41)+BZ201</x:f>
        <x:v>3879361.667806799</x:v>
      </x:c>
      <x:c r="CB201" s="141" t="n">
        <x:f>MAX(0,-CA201)</x:f>
        <x:v>0</x:v>
      </x:c>
      <x:c r="CC201" s="141" t="n">
        <x:f>CC200*(1+Premissas!$B$41)+CB201</x:f>
        <x:v>0</x:v>
      </x:c>
      <x:c r="CD201" s="141" t="n">
        <x:f>MAX(0,CA201)</x:f>
        <x:v>3879361.667806799</x:v>
      </x:c>
      <x:c r="CE201" s="141" t="n">
        <x:f>IF(AND('Carta Contemplada'!$B$22="Sim",$A201&gt;='Carta Contemplada'!$B$23),INDEX('Carta Contemplada'!$I$55:$I$1013,$A201),0)</x:f>
        <x:v>0</x:v>
      </x:c>
      <x:c r="CF201" s="141" t="n">
        <x:f>IF(AND('Carta Contemplada'!$B$22="Sim",$A201&gt;='Carta Contemplada'!$B$44),$F201,0)</x:f>
        <x:v>518035.0302334783</x:v>
      </x:c>
      <x:c r="CG201" s="141" t="n">
        <x:f>CD201+CF201-CE201</x:f>
        <x:v>4397396.698040278</x:v>
      </x:c>
      <x:c r="CH201" s="141" t="n">
        <x:f>IF(CC201&gt;1,"Inviavel",CG201)</x:f>
        <x:v>4397396.698040278</x:v>
      </x:c>
      <x:c r="CI201" s="145" t="str">
        <x:f>IF(CC201&gt;1,"Inviavel","OK")</x:f>
        <x:v>OK</x:v>
      </x:c>
    </x:row>
    <x:row r="202">
      <x:c r="A202" s="142" t="n">
        <x:v>198</x:v>
      </x:c>
      <x:c r="B202" s="179" t="n">
        <x:f>EDATE(Premissas!$B$4,A202-1)</x:f>
        <x:v>52536</x:v>
      </x:c>
      <x:c r="C202" s="141" t="n">
        <x:f>IF(A202&lt;=Premissas!$B$39,Premissas!$B$42,0)</x:f>
        <x:v>7000</x:v>
      </x:c>
      <x:c r="D202" s="141" t="n">
        <x:f>Premissas!$B$54*(1+Premissas!$B$57)^INT((A202-1)/12)</x:f>
        <x:v>1778.2461792799713</x:v>
      </x:c>
      <x:c r="E202" s="141" t="n">
        <x:f>Premissas!$B$64*(1+Premissas!$B$57)^INT((A202-1)/12)</x:f>
        <x:v>1625.8250781988309</x:v>
      </x:c>
      <x:c r="F202" s="141" t="n">
        <x:f>MAX(0,Premissas!$B$6*(1+Premissas!$B$66)^((A202-1)/12))</x:f>
        <x:v>520556.59193775884</x:v>
      </x:c>
      <x:c r="G202" s="141" t="n">
        <x:f>G201*(1+Premissas!$B$41)+C202</x:f>
        <x:v>4626830.561741763</x:v>
      </x:c>
      <x:c r="H202" s="141" t="n">
        <x:f>IF($A202=Premissas!$B$48,Premissas!$B$8,0)</x:f>
        <x:v>0</x:v>
      </x:c>
      <x:c r="I202" s="141" t="n">
        <x:f>IF(AND($A202&gt;=Premissas!$B$48,$A202-Premissas!$B$48+1&lt;=Premissas!$B$13),INDEX(Financiamento!$J$6:$J$485,$A202-Premissas!$B$48+1),0)</x:f>
        <x:v>1337.0479331093427</x:v>
      </x:c>
      <x:c r="J202" s="141" t="n">
        <x:f>IF(AND(TRUE,Premissas!$B$11="Imovel",Premissas!$B$47="Moradia",$A202&lt;MAX(Premissas!$B$48,Premissas!$B$49)),$D202,0)</x:f>
        <x:v>0</x:v>
      </x:c>
      <x:c r="K202" s="141" t="n">
        <x:f>IF(AND(TRUE,Premissas!$B$11="Imovel",Premissas!$B$47="Investimento",$A202&gt;=MAX(Premissas!$B$48,Premissas!$B$49)),$E202,0)</x:f>
        <x:v>1625.8250781988309</x:v>
      </x:c>
      <x:c r="L202" s="141" t="n">
        <x:f>H202+I202+J202</x:f>
        <x:v>1337.0479331093427</x:v>
      </x:c>
      <x:c r="M202" s="141" t="n">
        <x:f>K202</x:f>
        <x:v>1625.8250781988309</x:v>
      </x:c>
      <x:c r="N202" s="141" t="n">
        <x:f>$C202+M202-L202</x:f>
        <x:v>7288.777145089489</x:v>
      </x:c>
      <x:c r="O202" s="141" t="n">
        <x:f>R201*(1+Premissas!$B$41)+N202</x:f>
        <x:v>3852035.17527167</x:v>
      </x:c>
      <x:c r="P202" s="141" t="n">
        <x:f>MAX(0,-O202)</x:f>
        <x:v>0</x:v>
      </x:c>
      <x:c r="Q202" s="141" t="n">
        <x:f>Q201*(1+Premissas!$B$41)+P202</x:f>
        <x:v>0</x:v>
      </x:c>
      <x:c r="R202" s="141" t="n">
        <x:f>MAX(0,O202)</x:f>
        <x:v>3852035.17527167</x:v>
      </x:c>
      <x:c r="S202" s="141" t="n">
        <x:f>IF(AND($A202&gt;=Premissas!$B$48,$A202-Premissas!$B$48+1&lt;=Premissas!$B$13),INDEX(Financiamento!$M$6:$M$485,$A202-Premissas!$B$48+1),0)</x:f>
        <x:v>84571.42857142871</x:v>
      </x:c>
      <x:c r="T202" s="141" t="n">
        <x:f>IF($A202&gt;=Premissas!$B$48,$F202,0)</x:f>
        <x:v>520556.59193775884</x:v>
      </x:c>
      <x:c r="U202" s="141" t="n">
        <x:f>R202+T202-S202</x:f>
        <x:v>4288020.338637999</x:v>
      </x:c>
      <x:c r="V202" s="141" t="n">
        <x:f>IF(Q202&gt;1,"Inviavel",U202)</x:f>
        <x:v>4288020.338637999</x:v>
      </x:c>
      <x:c r="W202" s="141" t="str">
        <x:f>IF(Q202&gt;1,"Inviavel","OK")</x:f>
        <x:v>OK</x:v>
      </x:c>
      <x:c r="X202" s="141" t="n">
        <x:f>IF($A202=Premissas!$B$48,Premissas!$B$8,0)</x:f>
        <x:v>0</x:v>
      </x:c>
      <x:c r="Y202" s="141" t="n">
        <x:f>IF(AND($A202&gt;=Premissas!$B$48,$A202-Premissas!$B$48+1&lt;=Premissas!$B$13),INDEX(Amortizacao!$K$6:$K$485,$A202-Premissas!$B$48+1),0)</x:f>
        <x:v>0</x:v>
      </x:c>
      <x:c r="Z202" s="141" t="n">
        <x:f>IF(AND(TRUE,Premissas!$B$11="Imovel",Premissas!$B$47="Moradia",$A202&lt;MAX(Premissas!$B$48,Premissas!$B$49)),$D202,0)</x:f>
        <x:v>0</x:v>
      </x:c>
      <x:c r="AA202" s="141" t="n">
        <x:f>IF(AND(TRUE,Premissas!$B$11="Imovel",Premissas!$B$47="Investimento",$A202&gt;=MAX(Premissas!$B$48,Premissas!$B$49)),$E202,0)</x:f>
        <x:v>1625.8250781988309</x:v>
      </x:c>
      <x:c r="AB202" s="141" t="n">
        <x:f>X202+Y202+Z202</x:f>
        <x:v>0</x:v>
      </x:c>
      <x:c r="AC202" s="141" t="n">
        <x:f>AA202</x:f>
        <x:v>1625.8250781988309</x:v>
      </x:c>
      <x:c r="AD202" s="141" t="n">
        <x:f>$C202+AC202-AB202</x:f>
        <x:v>8625.825078198832</x:v>
      </x:c>
      <x:c r="AE202" s="141" t="n">
        <x:f>AH201*(1+Premissas!$B$41)+AD202</x:f>
        <x:v>3831131.8277182765</x:v>
      </x:c>
      <x:c r="AF202" s="141" t="n">
        <x:f>MAX(0,-AE202)</x:f>
        <x:v>0</x:v>
      </x:c>
      <x:c r="AG202" s="141" t="n">
        <x:f>AG201*(1+Premissas!$B$41)+AF202</x:f>
        <x:v>0</x:v>
      </x:c>
      <x:c r="AH202" s="141" t="n">
        <x:f>MAX(0,AE202)</x:f>
        <x:v>3831131.8277182765</x:v>
      </x:c>
      <x:c r="AI202" s="141" t="n">
        <x:f>IF(AND($A202&gt;=Premissas!$B$48,$A202-Premissas!$B$48+1&lt;=Premissas!$B$13),INDEX(Amortizacao!$L$6:$L$485,$A202-Premissas!$B$48+1),0)</x:f>
        <x:v>0</x:v>
      </x:c>
      <x:c r="AJ202" s="141" t="n">
        <x:f>IF($A202&gt;=Premissas!$B$48,$F202,0)</x:f>
        <x:v>520556.59193775884</x:v>
      </x:c>
      <x:c r="AK202" s="141" t="n">
        <x:f>AH202+AJ202-AI202</x:f>
        <x:v>4351688.4196560355</x:v>
      </x:c>
      <x:c r="AL202" s="141" t="n">
        <x:f>IF(AG202&gt;1,"Inviavel",AK202)</x:f>
        <x:v>4351688.4196560355</x:v>
      </x:c>
      <x:c r="AM202" s="141" t="str">
        <x:f>IF(AG202&gt;1,"Inviavel","OK")</x:f>
        <x:v>OK</x:v>
      </x:c>
      <x:c r="AN202" s="141" t="n">
        <x:f>IF($A202=Premissas!$B$48,Premissas!$B$8,0)</x:f>
        <x:v>0</x:v>
      </x:c>
      <x:c r="AO202" s="141" t="n">
        <x:f>IF($A202&lt;=Premissas!$B$25,INDEX('Consorcio IQ'!$K$6:$K$485,$A202),0)</x:f>
        <x:v>1449.183899015967</x:v>
      </x:c>
      <x:c r="AP202" s="141" t="n">
        <x:f>IF(AND(TRUE,Premissas!$B$11="Imovel",Premissas!$B$47="Moradia",$A202&lt;MAX(Premissas!$B$48,Premissas!$B$49)),$D202,0)</x:f>
        <x:v>0</x:v>
      </x:c>
      <x:c r="AQ202" s="141" t="n">
        <x:f>IF(AND(TRUE,Premissas!$B$11="Imovel",Premissas!$B$47="Investimento",$A202&gt;=MAX(Premissas!$B$48,Premissas!$B$49)),$E202,0)</x:f>
        <x:v>1625.8250781988309</x:v>
      </x:c>
      <x:c r="AR202" s="141" t="n">
        <x:f>AN202+AO202+AP202</x:f>
        <x:v>1449.183899015967</x:v>
      </x:c>
      <x:c r="AS202" s="141" t="n">
        <x:f>AQ202</x:f>
        <x:v>1625.8250781988309</x:v>
      </x:c>
      <x:c r="AT202" s="141" t="n">
        <x:f>$C202+AS202-AR202</x:f>
        <x:v>7176.641179182865</x:v>
      </x:c>
      <x:c r="AU202" s="141" t="n">
        <x:f>AX201*(1+Premissas!$B$41)+AT202</x:f>
        <x:v>3848985.174663593</x:v>
      </x:c>
      <x:c r="AV202" s="141" t="n">
        <x:f>MAX(0,-AU202)</x:f>
        <x:v>0</x:v>
      </x:c>
      <x:c r="AW202" s="141" t="n">
        <x:f>AW201*(1+Premissas!$B$41)+AV202</x:f>
        <x:v>0</x:v>
      </x:c>
      <x:c r="AX202" s="141" t="n">
        <x:f>MAX(0,AU202)</x:f>
        <x:v>3848985.174663593</x:v>
      </x:c>
      <x:c r="AY202" s="141" t="n">
        <x:f>INDEX('Consorcio IQ'!$P$6:$P$485,$A202)</x:f>
        <x:v>54995.73593978296</x:v>
      </x:c>
      <x:c r="AZ202" s="141" t="n">
        <x:f>IF($A202&gt;=Premissas!$B$48,$F202,0)+IF($A202&lt;Premissas!$B$27,INDEX('Consorcio IQ'!$O$6:$O$485,$A202),0)</x:f>
        <x:v>520556.59193775884</x:v>
      </x:c>
      <x:c r="BA202" s="141" t="n">
        <x:f>AX202+AZ202-AY202</x:f>
        <x:v>4314546.030661569</x:v>
      </x:c>
      <x:c r="BB202" s="141" t="n">
        <x:f>IF(AW202&gt;1,"Inviavel",BA202)</x:f>
        <x:v>4314546.030661569</x:v>
      </x:c>
      <x:c r="BC202" s="141" t="str">
        <x:f>IF(AW202&gt;1,"Inviavel","OK")</x:f>
        <x:v>OK</x:v>
      </x:c>
      <x:c r="BD202" s="141" t="n">
        <x:f>IF($A202='Consorcio Direto'!$B$29,'Consorcio Direto'!$B$44,0)</x:f>
        <x:v>0</x:v>
      </x:c>
      <x:c r="BE202" s="141" t="n">
        <x:f>IF($A202&lt;='Consorcio Direto'!$B$27,INDEX('Consorcio Direto'!$E$55:$E$534,$A202),0)</x:f>
        <x:v>3752.6628134908774</x:v>
      </x:c>
      <x:c r="BF202" s="141" t="n">
        <x:f>IF(AND(TRUE,Premissas!$B$11="Imovel",Premissas!$B$47="Moradia",$A202&lt;MAX('Consorcio Direto'!$B$29,Premissas!$B$49)),$D202,0)</x:f>
        <x:v>0</x:v>
      </x:c>
      <x:c r="BG202" s="141" t="n">
        <x:f>IF(AND(TRUE,Premissas!$B$11="Imovel",Premissas!$B$47="Investimento",$A202&gt;=MAX('Consorcio Direto'!$B$29,Premissas!$B$49)),$E202,0)</x:f>
        <x:v>1625.8250781988309</x:v>
      </x:c>
      <x:c r="BH202" s="141" t="n">
        <x:f>BD202+BE202+BF202</x:f>
        <x:v>3752.6628134908774</x:v>
      </x:c>
      <x:c r="BI202" s="141" t="n">
        <x:f>BG202</x:f>
        <x:v>1625.8250781988309</x:v>
      </x:c>
      <x:c r="BJ202" s="141" t="n">
        <x:f>$C202+BI202-BH202</x:f>
        <x:v>4873.162264707955</x:v>
      </x:c>
      <x:c r="BK202" s="141" t="n">
        <x:f>BN201*(1+Premissas!$B$41)+BJ202</x:f>
        <x:v>3735669.006700333</x:v>
      </x:c>
      <x:c r="BL202" s="141" t="n">
        <x:f>MAX(0,-BK202)</x:f>
        <x:v>0</x:v>
      </x:c>
      <x:c r="BM202" s="141" t="n">
        <x:f>BM201*(1+Premissas!$B$41)+BL202</x:f>
        <x:v>0</x:v>
      </x:c>
      <x:c r="BN202" s="141" t="n">
        <x:f>MAX(0,BK202)</x:f>
        <x:v>3735669.006700333</x:v>
      </x:c>
      <x:c r="BO202" s="141" t="n">
        <x:f>INDEX('Consorcio Direto'!$K$55:$K$534,$A202)</x:f>
        <x:v>142411.50022569575</x:v>
      </x:c>
      <x:c r="BP202" s="141" t="n">
        <x:f>IF($A202&lt;'Consorcio Direto'!$B$29,INDEX('Consorcio Direto'!$L$55:$L$534,$A202),$F202)</x:f>
        <x:v>520556.59193775884</x:v>
      </x:c>
      <x:c r="BQ202" s="141" t="n">
        <x:f>BN202+BP202-BO202</x:f>
        <x:v>4113814.0984123964</x:v>
      </x:c>
      <x:c r="BR202" s="141" t="n">
        <x:f>IF(BM202&gt;1,"Inviavel",BQ202)</x:f>
        <x:v>4113814.0984123964</x:v>
      </x:c>
      <x:c r="BS202" s="141" t="str">
        <x:f>IF(BM202&gt;1,"Inviavel","OK")</x:f>
        <x:v>OK</x:v>
      </x:c>
      <x:c r="BT202" s="141" t="n">
        <x:f>IF(AND('Carta Contemplada'!$B$22="Sim",$A202='Carta Contemplada'!$B$23),'Carta Contemplada'!$B$37,0)</x:f>
        <x:v>0</x:v>
      </x:c>
      <x:c r="BU202" s="141" t="n">
        <x:f>IF('Carta Contemplada'!$B$22="Sim",INDEX('Carta Contemplada'!$C$55:$C$1013,$A202),0)</x:f>
        <x:v>0</x:v>
      </x:c>
      <x:c r="BV202" s="141" t="n">
        <x:f>IF(AND('Carta Contemplada'!$B$22="Sim",Premissas!$B$11="Imovel",Premissas!$B$47="Moradia",$A202&lt;MAX('Carta Contemplada'!$B$44,Premissas!$B$49)),$D202,0)</x:f>
        <x:v>0</x:v>
      </x:c>
      <x:c r="BW202" s="141" t="n">
        <x:f>IF(AND('Carta Contemplada'!$B$22="Sim",Premissas!$B$11="Imovel",Premissas!$B$47="Investimento",$A202&gt;=MAX('Carta Contemplada'!$B$44,Premissas!$B$49)),$E202,0)</x:f>
        <x:v>1625.8250781988309</x:v>
      </x:c>
      <x:c r="BX202" s="141" t="n">
        <x:f>BT202+BU202+BV202</x:f>
        <x:v>0</x:v>
      </x:c>
      <x:c r="BY202" s="141" t="n">
        <x:f>BW202</x:f>
        <x:v>1625.8250781988309</x:v>
      </x:c>
      <x:c r="BZ202" s="141" t="n">
        <x:f>$C202+BY202-BX202</x:f>
        <x:v>8625.825078198832</x:v>
      </x:c>
      <x:c r="CA202" s="141" t="n">
        <x:f>CD201*(1+Premissas!$B$41)+BZ202</x:f>
        <x:v>3924797.952469175</x:v>
      </x:c>
      <x:c r="CB202" s="141" t="n">
        <x:f>MAX(0,-CA202)</x:f>
        <x:v>0</x:v>
      </x:c>
      <x:c r="CC202" s="141" t="n">
        <x:f>CC201*(1+Premissas!$B$41)+CB202</x:f>
        <x:v>0</x:v>
      </x:c>
      <x:c r="CD202" s="141" t="n">
        <x:f>MAX(0,CA202)</x:f>
        <x:v>3924797.952469175</x:v>
      </x:c>
      <x:c r="CE202" s="141" t="n">
        <x:f>IF(AND('Carta Contemplada'!$B$22="Sim",$A202&gt;='Carta Contemplada'!$B$23),INDEX('Carta Contemplada'!$I$55:$I$1013,$A202),0)</x:f>
        <x:v>0</x:v>
      </x:c>
      <x:c r="CF202" s="141" t="n">
        <x:f>IF(AND('Carta Contemplada'!$B$22="Sim",$A202&gt;='Carta Contemplada'!$B$44),$F202,0)</x:f>
        <x:v>520556.59193775884</x:v>
      </x:c>
      <x:c r="CG202" s="141" t="n">
        <x:f>CD202+CF202-CE202</x:f>
        <x:v>4445354.544406934</x:v>
      </x:c>
      <x:c r="CH202" s="141" t="n">
        <x:f>IF(CC202&gt;1,"Inviavel",CG202)</x:f>
        <x:v>4445354.544406934</x:v>
      </x:c>
      <x:c r="CI202" s="145" t="str">
        <x:f>IF(CC202&gt;1,"Inviavel","OK")</x:f>
        <x:v>OK</x:v>
      </x:c>
    </x:row>
    <x:row r="203">
      <x:c r="A203" s="142" t="n">
        <x:v>199</x:v>
      </x:c>
      <x:c r="B203" s="179" t="n">
        <x:f>EDATE(Premissas!$B$4,A203-1)</x:f>
        <x:v>52566</x:v>
      </x:c>
      <x:c r="C203" s="141" t="n">
        <x:f>IF(A203&lt;=Premissas!$B$39,Premissas!$B$42,0)</x:f>
        <x:v>7000</x:v>
      </x:c>
      <x:c r="D203" s="141" t="n">
        <x:f>Premissas!$B$54*(1+Premissas!$B$57)^INT((A203-1)/12)</x:f>
        <x:v>1778.2461792799713</x:v>
      </x:c>
      <x:c r="E203" s="141" t="n">
        <x:f>Premissas!$B$64*(1+Premissas!$B$57)^INT((A203-1)/12)</x:f>
        <x:v>1625.8250781988309</x:v>
      </x:c>
      <x:c r="F203" s="141" t="n">
        <x:f>MAX(0,Premissas!$B$6*(1+Premissas!$B$66)^((A203-1)/12))</x:f>
        <x:v>523090.4274711384</x:v>
      </x:c>
      <x:c r="G203" s="141" t="n">
        <x:f>G202*(1+Premissas!$B$41)+C203</x:f>
        <x:v>4677733.598885531</x:v>
      </x:c>
      <x:c r="H203" s="141" t="n">
        <x:f>IF($A203=Premissas!$B$48,Premissas!$B$8,0)</x:f>
        <x:v>0</x:v>
      </x:c>
      <x:c r="I203" s="141" t="n">
        <x:f>IF(AND($A203&gt;=Premissas!$B$48,$A203-Premissas!$B$48+1&lt;=Premissas!$B$13),INDEX(Financiamento!$J$6:$J$485,$A203-Premissas!$B$48+1),0)</x:f>
        <x:v>1333.433154848549</x:v>
      </x:c>
      <x:c r="J203" s="141" t="n">
        <x:f>IF(AND(TRUE,Premissas!$B$11="Imovel",Premissas!$B$47="Moradia",$A203&lt;MAX(Premissas!$B$48,Premissas!$B$49)),$D203,0)</x:f>
        <x:v>0</x:v>
      </x:c>
      <x:c r="K203" s="141" t="n">
        <x:f>IF(AND(TRUE,Premissas!$B$11="Imovel",Premissas!$B$47="Investimento",$A203&gt;=MAX(Premissas!$B$48,Premissas!$B$49)),$E203,0)</x:f>
        <x:v>1625.8250781988309</x:v>
      </x:c>
      <x:c r="L203" s="141" t="n">
        <x:f>H203+I203+J203</x:f>
        <x:v>1333.433154848549</x:v>
      </x:c>
      <x:c r="M203" s="141" t="n">
        <x:f>K203</x:f>
        <x:v>1625.8250781988309</x:v>
      </x:c>
      <x:c r="N203" s="141" t="n">
        <x:f>$C203+M203-L203</x:f>
        <x:v>7292.391923350283</x:v>
      </x:c>
      <x:c r="O203" s="141" t="n">
        <x:f>R202*(1+Premissas!$B$41)+N203</x:f>
        <x:v>3895878.731349903</x:v>
      </x:c>
      <x:c r="P203" s="141" t="n">
        <x:f>MAX(0,-O203)</x:f>
        <x:v>0</x:v>
      </x:c>
      <x:c r="Q203" s="141" t="n">
        <x:f>Q202*(1+Premissas!$B$41)+P203</x:f>
        <x:v>0</x:v>
      </x:c>
      <x:c r="R203" s="141" t="n">
        <x:f>MAX(0,O203)</x:f>
        <x:v>3895878.731349903</x:v>
      </x:c>
      <x:c r="S203" s="141" t="n">
        <x:f>IF(AND($A203&gt;=Premissas!$B$48,$A203-Premissas!$B$48+1&lt;=Premissas!$B$13),INDEX(Financiamento!$M$6:$M$485,$A203-Premissas!$B$48+1),0)</x:f>
        <x:v>84190.47619047633</x:v>
      </x:c>
      <x:c r="T203" s="141" t="n">
        <x:f>IF($A203&gt;=Premissas!$B$48,$F203,0)</x:f>
        <x:v>523090.4274711384</x:v>
      </x:c>
      <x:c r="U203" s="141" t="n">
        <x:f>R203+T203-S203</x:f>
        <x:v>4334778.682630565</x:v>
      </x:c>
      <x:c r="V203" s="141" t="n">
        <x:f>IF(Q203&gt;1,"Inviavel",U203)</x:f>
        <x:v>4334778.682630565</x:v>
      </x:c>
      <x:c r="W203" s="141" t="str">
        <x:f>IF(Q203&gt;1,"Inviavel","OK")</x:f>
        <x:v>OK</x:v>
      </x:c>
      <x:c r="X203" s="141" t="n">
        <x:f>IF($A203=Premissas!$B$48,Premissas!$B$8,0)</x:f>
        <x:v>0</x:v>
      </x:c>
      <x:c r="Y203" s="141" t="n">
        <x:f>IF(AND($A203&gt;=Premissas!$B$48,$A203-Premissas!$B$48+1&lt;=Premissas!$B$13),INDEX(Amortizacao!$K$6:$K$485,$A203-Premissas!$B$48+1),0)</x:f>
        <x:v>0</x:v>
      </x:c>
      <x:c r="Z203" s="141" t="n">
        <x:f>IF(AND(TRUE,Premissas!$B$11="Imovel",Premissas!$B$47="Moradia",$A203&lt;MAX(Premissas!$B$48,Premissas!$B$49)),$D203,0)</x:f>
        <x:v>0</x:v>
      </x:c>
      <x:c r="AA203" s="141" t="n">
        <x:f>IF(AND(TRUE,Premissas!$B$11="Imovel",Premissas!$B$47="Investimento",$A203&gt;=MAX(Premissas!$B$48,Premissas!$B$49)),$E203,0)</x:f>
        <x:v>1625.8250781988309</x:v>
      </x:c>
      <x:c r="AB203" s="141" t="n">
        <x:f>X203+Y203+Z203</x:f>
        <x:v>0</x:v>
      </x:c>
      <x:c r="AC203" s="141" t="n">
        <x:f>AA203</x:f>
        <x:v>1625.8250781988309</x:v>
      </x:c>
      <x:c r="AD203" s="141" t="n">
        <x:f>$C203+AC203-AB203</x:f>
        <x:v>8625.825078198832</x:v>
      </x:c>
      <x:c r="AE203" s="141" t="n">
        <x:f>AH202*(1+Premissas!$B$41)+AD203</x:f>
        <x:v>3876110.4694147846</x:v>
      </x:c>
      <x:c r="AF203" s="141" t="n">
        <x:f>MAX(0,-AE203)</x:f>
        <x:v>0</x:v>
      </x:c>
      <x:c r="AG203" s="141" t="n">
        <x:f>AG202*(1+Premissas!$B$41)+AF203</x:f>
        <x:v>0</x:v>
      </x:c>
      <x:c r="AH203" s="141" t="n">
        <x:f>MAX(0,AE203)</x:f>
        <x:v>3876110.4694147846</x:v>
      </x:c>
      <x:c r="AI203" s="141" t="n">
        <x:f>IF(AND($A203&gt;=Premissas!$B$48,$A203-Premissas!$B$48+1&lt;=Premissas!$B$13),INDEX(Amortizacao!$L$6:$L$485,$A203-Premissas!$B$48+1),0)</x:f>
        <x:v>0</x:v>
      </x:c>
      <x:c r="AJ203" s="141" t="n">
        <x:f>IF($A203&gt;=Premissas!$B$48,$F203,0)</x:f>
        <x:v>523090.4274711384</x:v>
      </x:c>
      <x:c r="AK203" s="141" t="n">
        <x:f>AH203+AJ203-AI203</x:f>
        <x:v>4399200.896885923</x:v>
      </x:c>
      <x:c r="AL203" s="141" t="n">
        <x:f>IF(AG203&gt;1,"Inviavel",AK203)</x:f>
        <x:v>4399200.896885923</x:v>
      </x:c>
      <x:c r="AM203" s="141" t="str">
        <x:f>IF(AG203&gt;1,"Inviavel","OK")</x:f>
        <x:v>OK</x:v>
      </x:c>
      <x:c r="AN203" s="141" t="n">
        <x:f>IF($A203=Premissas!$B$48,Premissas!$B$8,0)</x:f>
        <x:v>0</x:v>
      </x:c>
      <x:c r="AO203" s="141" t="n">
        <x:f>IF($A203&lt;=Premissas!$B$25,INDEX('Consorcio IQ'!$K$6:$K$485,$A203),0)</x:f>
        <x:v>1449.183899015967</x:v>
      </x:c>
      <x:c r="AP203" s="141" t="n">
        <x:f>IF(AND(TRUE,Premissas!$B$11="Imovel",Premissas!$B$47="Moradia",$A203&lt;MAX(Premissas!$B$48,Premissas!$B$49)),$D203,0)</x:f>
        <x:v>0</x:v>
      </x:c>
      <x:c r="AQ203" s="141" t="n">
        <x:f>IF(AND(TRUE,Premissas!$B$11="Imovel",Premissas!$B$47="Investimento",$A203&gt;=MAX(Premissas!$B$48,Premissas!$B$49)),$E203,0)</x:f>
        <x:v>1625.8250781988309</x:v>
      </x:c>
      <x:c r="AR203" s="141" t="n">
        <x:f>AN203+AO203+AP203</x:f>
        <x:v>1449.183899015967</x:v>
      </x:c>
      <x:c r="AS203" s="141" t="n">
        <x:f>AQ203</x:f>
        <x:v>1625.8250781988309</x:v>
      </x:c>
      <x:c r="AT203" s="141" t="n">
        <x:f>$C203+AS203-AR203</x:f>
        <x:v>7176.641179182865</x:v>
      </x:c>
      <x:c r="AU203" s="141" t="n">
        <x:f>AX202*(1+Premissas!$B$41)+AT203</x:f>
        <x:v>3892684.0391734387</x:v>
      </x:c>
      <x:c r="AV203" s="141" t="n">
        <x:f>MAX(0,-AU203)</x:f>
        <x:v>0</x:v>
      </x:c>
      <x:c r="AW203" s="141" t="n">
        <x:f>AW202*(1+Premissas!$B$41)+AV203</x:f>
        <x:v>0</x:v>
      </x:c>
      <x:c r="AX203" s="141" t="n">
        <x:f>MAX(0,AU203)</x:f>
        <x:v>3892684.0391734387</x:v>
      </x:c>
      <x:c r="AY203" s="141" t="n">
        <x:f>INDEX('Consorcio IQ'!$P$6:$P$485,$A203)</x:f>
        <x:v>54068.395191384596</x:v>
      </x:c>
      <x:c r="AZ203" s="141" t="n">
        <x:f>IF($A203&gt;=Premissas!$B$48,$F203,0)+IF($A203&lt;Premissas!$B$27,INDEX('Consorcio IQ'!$O$6:$O$485,$A203),0)</x:f>
        <x:v>523090.4274711384</x:v>
      </x:c>
      <x:c r="BA203" s="141" t="n">
        <x:f>AX203+AZ203-AY203</x:f>
        <x:v>4361706.071453192</x:v>
      </x:c>
      <x:c r="BB203" s="141" t="n">
        <x:f>IF(AW203&gt;1,"Inviavel",BA203)</x:f>
        <x:v>4361706.071453192</x:v>
      </x:c>
      <x:c r="BC203" s="141" t="str">
        <x:f>IF(AW203&gt;1,"Inviavel","OK")</x:f>
        <x:v>OK</x:v>
      </x:c>
      <x:c r="BD203" s="141" t="n">
        <x:f>IF($A203='Consorcio Direto'!$B$29,'Consorcio Direto'!$B$44,0)</x:f>
        <x:v>0</x:v>
      </x:c>
      <x:c r="BE203" s="141" t="n">
        <x:f>IF($A203&lt;='Consorcio Direto'!$B$27,INDEX('Consorcio Direto'!$E$55:$E$534,$A203),0)</x:f>
        <x:v>3752.6628134908774</x:v>
      </x:c>
      <x:c r="BF203" s="141" t="n">
        <x:f>IF(AND(TRUE,Premissas!$B$11="Imovel",Premissas!$B$47="Moradia",$A203&lt;MAX('Consorcio Direto'!$B$29,Premissas!$B$49)),$D203,0)</x:f>
        <x:v>0</x:v>
      </x:c>
      <x:c r="BG203" s="141" t="n">
        <x:f>IF(AND(TRUE,Premissas!$B$11="Imovel",Premissas!$B$47="Investimento",$A203&gt;=MAX('Consorcio Direto'!$B$29,Premissas!$B$49)),$E203,0)</x:f>
        <x:v>1625.8250781988309</x:v>
      </x:c>
      <x:c r="BH203" s="141" t="n">
        <x:f>BD203+BE203+BF203</x:f>
        <x:v>3752.6628134908774</x:v>
      </x:c>
      <x:c r="BI203" s="141" t="n">
        <x:f>BG203</x:f>
        <x:v>1625.8250781988309</x:v>
      </x:c>
      <x:c r="BJ203" s="141" t="n">
        <x:f>$C203+BI203-BH203</x:f>
        <x:v>4873.162264707955</x:v>
      </x:c>
      <x:c r="BK203" s="141" t="n">
        <x:f>BN202*(1+Premissas!$B$41)+BJ203</x:f>
        <x:v>3775989.1586417602</x:v>
      </x:c>
      <x:c r="BL203" s="141" t="n">
        <x:f>MAX(0,-BK203)</x:f>
        <x:v>0</x:v>
      </x:c>
      <x:c r="BM203" s="141" t="n">
        <x:f>BM202*(1+Premissas!$B$41)+BL203</x:f>
        <x:v>0</x:v>
      </x:c>
      <x:c r="BN203" s="141" t="n">
        <x:f>MAX(0,BK203)</x:f>
        <x:v>3775989.1586417602</x:v>
      </x:c>
      <x:c r="BO203" s="141" t="n">
        <x:f>INDEX('Consorcio Direto'!$K$55:$K$534,$A203)</x:f>
        <x:v>140010.15064934985</x:v>
      </x:c>
      <x:c r="BP203" s="141" t="n">
        <x:f>IF($A203&lt;'Consorcio Direto'!$B$29,INDEX('Consorcio Direto'!$L$55:$L$534,$A203),$F203)</x:f>
        <x:v>523090.4274711384</x:v>
      </x:c>
      <x:c r="BQ203" s="141" t="n">
        <x:f>BN203+BP203-BO203</x:f>
        <x:v>4159069.435463549</x:v>
      </x:c>
      <x:c r="BR203" s="141" t="n">
        <x:f>IF(BM203&gt;1,"Inviavel",BQ203)</x:f>
        <x:v>4159069.435463549</x:v>
      </x:c>
      <x:c r="BS203" s="141" t="str">
        <x:f>IF(BM203&gt;1,"Inviavel","OK")</x:f>
        <x:v>OK</x:v>
      </x:c>
      <x:c r="BT203" s="141" t="n">
        <x:f>IF(AND('Carta Contemplada'!$B$22="Sim",$A203='Carta Contemplada'!$B$23),'Carta Contemplada'!$B$37,0)</x:f>
        <x:v>0</x:v>
      </x:c>
      <x:c r="BU203" s="141" t="n">
        <x:f>IF('Carta Contemplada'!$B$22="Sim",INDEX('Carta Contemplada'!$C$55:$C$1013,$A203),0)</x:f>
        <x:v>0</x:v>
      </x:c>
      <x:c r="BV203" s="141" t="n">
        <x:f>IF(AND('Carta Contemplada'!$B$22="Sim",Premissas!$B$11="Imovel",Premissas!$B$47="Moradia",$A203&lt;MAX('Carta Contemplada'!$B$44,Premissas!$B$49)),$D203,0)</x:f>
        <x:v>0</x:v>
      </x:c>
      <x:c r="BW203" s="141" t="n">
        <x:f>IF(AND('Carta Contemplada'!$B$22="Sim",Premissas!$B$11="Imovel",Premissas!$B$47="Investimento",$A203&gt;=MAX('Carta Contemplada'!$B$44,Premissas!$B$49)),$E203,0)</x:f>
        <x:v>1625.8250781988309</x:v>
      </x:c>
      <x:c r="BX203" s="141" t="n">
        <x:f>BT203+BU203+BV203</x:f>
        <x:v>0</x:v>
      </x:c>
      <x:c r="BY203" s="141" t="n">
        <x:f>BW203</x:f>
        <x:v>1625.8250781988309</x:v>
      </x:c>
      <x:c r="BZ203" s="141" t="n">
        <x:f>$C203+BY203-BX203</x:f>
        <x:v>8625.825078198832</x:v>
      </x:c>
      <x:c r="CA203" s="141" t="n">
        <x:f>CD202*(1+Premissas!$B$41)+BZ203</x:f>
        <x:v>3970665.3726284294</x:v>
      </x:c>
      <x:c r="CB203" s="141" t="n">
        <x:f>MAX(0,-CA203)</x:f>
        <x:v>0</x:v>
      </x:c>
      <x:c r="CC203" s="141" t="n">
        <x:f>CC202*(1+Premissas!$B$41)+CB203</x:f>
        <x:v>0</x:v>
      </x:c>
      <x:c r="CD203" s="141" t="n">
        <x:f>MAX(0,CA203)</x:f>
        <x:v>3970665.3726284294</x:v>
      </x:c>
      <x:c r="CE203" s="141" t="n">
        <x:f>IF(AND('Carta Contemplada'!$B$22="Sim",$A203&gt;='Carta Contemplada'!$B$23),INDEX('Carta Contemplada'!$I$55:$I$1013,$A203),0)</x:f>
        <x:v>0</x:v>
      </x:c>
      <x:c r="CF203" s="141" t="n">
        <x:f>IF(AND('Carta Contemplada'!$B$22="Sim",$A203&gt;='Carta Contemplada'!$B$44),$F203,0)</x:f>
        <x:v>523090.4274711384</x:v>
      </x:c>
      <x:c r="CG203" s="141" t="n">
        <x:f>CD203+CF203-CE203</x:f>
        <x:v>4493755.8000995675</x:v>
      </x:c>
      <x:c r="CH203" s="141" t="n">
        <x:f>IF(CC203&gt;1,"Inviavel",CG203)</x:f>
        <x:v>4493755.8000995675</x:v>
      </x:c>
      <x:c r="CI203" s="145" t="str">
        <x:f>IF(CC203&gt;1,"Inviavel","OK")</x:f>
        <x:v>OK</x:v>
      </x:c>
    </x:row>
    <x:row r="204">
      <x:c r="A204" s="142" t="n">
        <x:v>200</x:v>
      </x:c>
      <x:c r="B204" s="179" t="n">
        <x:f>EDATE(Premissas!$B$4,A204-1)</x:f>
        <x:v>52597</x:v>
      </x:c>
      <x:c r="C204" s="141" t="n">
        <x:f>IF(A204&lt;=Premissas!$B$39,Premissas!$B$42,0)</x:f>
        <x:v>7000</x:v>
      </x:c>
      <x:c r="D204" s="141" t="n">
        <x:f>Premissas!$B$54*(1+Premissas!$B$57)^INT((A204-1)/12)</x:f>
        <x:v>1778.2461792799713</x:v>
      </x:c>
      <x:c r="E204" s="141" t="n">
        <x:f>Premissas!$B$64*(1+Premissas!$B$57)^INT((A204-1)/12)</x:f>
        <x:v>1625.8250781988309</x:v>
      </x:c>
      <x:c r="F204" s="141" t="n">
        <x:f>MAX(0,Premissas!$B$6*(1+Premissas!$B$66)^((A204-1)/12))</x:f>
        <x:v>525636.596577101</x:v>
      </x:c>
      <x:c r="G204" s="141" t="n">
        <x:f>G203*(1+Premissas!$B$41)+C204</x:f>
        <x:v>4729119.644408497</x:v>
      </x:c>
      <x:c r="H204" s="141" t="n">
        <x:f>IF($A204=Premissas!$B$48,Premissas!$B$8,0)</x:f>
        <x:v>0</x:v>
      </x:c>
      <x:c r="I204" s="141" t="n">
        <x:f>IF(AND($A204&gt;=Premissas!$B$48,$A204-Premissas!$B$48+1&lt;=Premissas!$B$13),INDEX(Financiamento!$J$6:$J$485,$A204-Premissas!$B$48+1),0)</x:f>
        <x:v>1329.8183765877554</x:v>
      </x:c>
      <x:c r="J204" s="141" t="n">
        <x:f>IF(AND(TRUE,Premissas!$B$11="Imovel",Premissas!$B$47="Moradia",$A204&lt;MAX(Premissas!$B$48,Premissas!$B$49)),$D204,0)</x:f>
        <x:v>0</x:v>
      </x:c>
      <x:c r="K204" s="141" t="n">
        <x:f>IF(AND(TRUE,Premissas!$B$11="Imovel",Premissas!$B$47="Investimento",$A204&gt;=MAX(Premissas!$B$48,Premissas!$B$49)),$E204,0)</x:f>
        <x:v>1625.8250781988309</x:v>
      </x:c>
      <x:c r="L204" s="141" t="n">
        <x:f>H204+I204+J204</x:f>
        <x:v>1329.8183765877554</x:v>
      </x:c>
      <x:c r="M204" s="141" t="n">
        <x:f>K204</x:f>
        <x:v>1625.8250781988309</x:v>
      </x:c>
      <x:c r="N204" s="141" t="n">
        <x:f>$C204+M204-L204</x:f>
        <x:v>7296.006701611076</x:v>
      </x:c>
      <x:c r="O204" s="141" t="n">
        <x:f>R203*(1+Premissas!$B$41)+N204</x:f>
        <x:v>3940141.9246315393</x:v>
      </x:c>
      <x:c r="P204" s="141" t="n">
        <x:f>MAX(0,-O204)</x:f>
        <x:v>0</x:v>
      </x:c>
      <x:c r="Q204" s="141" t="n">
        <x:f>Q203*(1+Premissas!$B$41)+P204</x:f>
        <x:v>0</x:v>
      </x:c>
      <x:c r="R204" s="141" t="n">
        <x:f>MAX(0,O204)</x:f>
        <x:v>3940141.9246315393</x:v>
      </x:c>
      <x:c r="S204" s="141" t="n">
        <x:f>IF(AND($A204&gt;=Premissas!$B$48,$A204-Premissas!$B$48+1&lt;=Premissas!$B$13),INDEX(Financiamento!$M$6:$M$485,$A204-Premissas!$B$48+1),0)</x:f>
        <x:v>83809.52380952395</x:v>
      </x:c>
      <x:c r="T204" s="141" t="n">
        <x:f>IF($A204&gt;=Premissas!$B$48,$F204,0)</x:f>
        <x:v>525636.596577101</x:v>
      </x:c>
      <x:c r="U204" s="141" t="n">
        <x:f>R204+T204-S204</x:f>
        <x:v>4381968.997399116</x:v>
      </x:c>
      <x:c r="V204" s="141" t="n">
        <x:f>IF(Q204&gt;1,"Inviavel",U204)</x:f>
        <x:v>4381968.997399116</x:v>
      </x:c>
      <x:c r="W204" s="141" t="str">
        <x:f>IF(Q204&gt;1,"Inviavel","OK")</x:f>
        <x:v>OK</x:v>
      </x:c>
      <x:c r="X204" s="141" t="n">
        <x:f>IF($A204=Premissas!$B$48,Premissas!$B$8,0)</x:f>
        <x:v>0</x:v>
      </x:c>
      <x:c r="Y204" s="141" t="n">
        <x:f>IF(AND($A204&gt;=Premissas!$B$48,$A204-Premissas!$B$48+1&lt;=Premissas!$B$13),INDEX(Amortizacao!$K$6:$K$485,$A204-Premissas!$B$48+1),0)</x:f>
        <x:v>0</x:v>
      </x:c>
      <x:c r="Z204" s="141" t="n">
        <x:f>IF(AND(TRUE,Premissas!$B$11="Imovel",Premissas!$B$47="Moradia",$A204&lt;MAX(Premissas!$B$48,Premissas!$B$49)),$D204,0)</x:f>
        <x:v>0</x:v>
      </x:c>
      <x:c r="AA204" s="141" t="n">
        <x:f>IF(AND(TRUE,Premissas!$B$11="Imovel",Premissas!$B$47="Investimento",$A204&gt;=MAX(Premissas!$B$48,Premissas!$B$49)),$E204,0)</x:f>
        <x:v>1625.8250781988309</x:v>
      </x:c>
      <x:c r="AB204" s="141" t="n">
        <x:f>X204+Y204+Z204</x:f>
        <x:v>0</x:v>
      </x:c>
      <x:c r="AC204" s="141" t="n">
        <x:f>AA204</x:f>
        <x:v>1625.8250781988309</x:v>
      </x:c>
      <x:c r="AD204" s="141" t="n">
        <x:f>$C204+AC204-AB204</x:f>
        <x:v>8625.825078198832</x:v>
      </x:c>
      <x:c r="AE204" s="141" t="n">
        <x:f>AH203*(1+Premissas!$B$41)+AD204</x:f>
        <x:v>3921515.9041288295</x:v>
      </x:c>
      <x:c r="AF204" s="141" t="n">
        <x:f>MAX(0,-AE204)</x:f>
        <x:v>0</x:v>
      </x:c>
      <x:c r="AG204" s="141" t="n">
        <x:f>AG203*(1+Premissas!$B$41)+AF204</x:f>
        <x:v>0</x:v>
      </x:c>
      <x:c r="AH204" s="141" t="n">
        <x:f>MAX(0,AE204)</x:f>
        <x:v>3921515.9041288295</x:v>
      </x:c>
      <x:c r="AI204" s="141" t="n">
        <x:f>IF(AND($A204&gt;=Premissas!$B$48,$A204-Premissas!$B$48+1&lt;=Premissas!$B$13),INDEX(Amortizacao!$L$6:$L$485,$A204-Premissas!$B$48+1),0)</x:f>
        <x:v>0</x:v>
      </x:c>
      <x:c r="AJ204" s="141" t="n">
        <x:f>IF($A204&gt;=Premissas!$B$48,$F204,0)</x:f>
        <x:v>525636.596577101</x:v>
      </x:c>
      <x:c r="AK204" s="141" t="n">
        <x:f>AH204+AJ204-AI204</x:f>
        <x:v>4447152.50070593</x:v>
      </x:c>
      <x:c r="AL204" s="141" t="n">
        <x:f>IF(AG204&gt;1,"Inviavel",AK204)</x:f>
        <x:v>4447152.50070593</x:v>
      </x:c>
      <x:c r="AM204" s="141" t="str">
        <x:f>IF(AG204&gt;1,"Inviavel","OK")</x:f>
        <x:v>OK</x:v>
      </x:c>
      <x:c r="AN204" s="141" t="n">
        <x:f>IF($A204=Premissas!$B$48,Premissas!$B$8,0)</x:f>
        <x:v>0</x:v>
      </x:c>
      <x:c r="AO204" s="141" t="n">
        <x:f>IF($A204&lt;=Premissas!$B$25,INDEX('Consorcio IQ'!$K$6:$K$485,$A204),0)</x:f>
        <x:v>1449.183899015967</x:v>
      </x:c>
      <x:c r="AP204" s="141" t="n">
        <x:f>IF(AND(TRUE,Premissas!$B$11="Imovel",Premissas!$B$47="Moradia",$A204&lt;MAX(Premissas!$B$48,Premissas!$B$49)),$D204,0)</x:f>
        <x:v>0</x:v>
      </x:c>
      <x:c r="AQ204" s="141" t="n">
        <x:f>IF(AND(TRUE,Premissas!$B$11="Imovel",Premissas!$B$47="Investimento",$A204&gt;=MAX(Premissas!$B$48,Premissas!$B$49)),$E204,0)</x:f>
        <x:v>1625.8250781988309</x:v>
      </x:c>
      <x:c r="AR204" s="141" t="n">
        <x:f>AN204+AO204+AP204</x:f>
        <x:v>1449.183899015967</x:v>
      </x:c>
      <x:c r="AS204" s="141" t="n">
        <x:f>AQ204</x:f>
        <x:v>1625.8250781988309</x:v>
      </x:c>
      <x:c r="AT204" s="141" t="n">
        <x:f>$C204+AS204-AR204</x:f>
        <x:v>7176.641179182865</x:v>
      </x:c>
      <x:c r="AU204" s="141" t="n">
        <x:f>AX203*(1+Premissas!$B$41)+AT204</x:f>
        <x:v>3936797.5531600947</x:v>
      </x:c>
      <x:c r="AV204" s="141" t="n">
        <x:f>MAX(0,-AU204)</x:f>
        <x:v>0</x:v>
      </x:c>
      <x:c r="AW204" s="141" t="n">
        <x:f>AW203*(1+Premissas!$B$41)+AV204</x:f>
        <x:v>0</x:v>
      </x:c>
      <x:c r="AX204" s="141" t="n">
        <x:f>MAX(0,AU204)</x:f>
        <x:v>3936797.5531600947</x:v>
      </x:c>
      <x:c r="AY204" s="141" t="n">
        <x:f>INDEX('Consorcio IQ'!$P$6:$P$485,$A204)</x:f>
        <x:v>53132.255098644884</x:v>
      </x:c>
      <x:c r="AZ204" s="141" t="n">
        <x:f>IF($A204&gt;=Premissas!$B$48,$F204,0)+IF($A204&lt;Premissas!$B$27,INDEX('Consorcio IQ'!$O$6:$O$485,$A204),0)</x:f>
        <x:v>525636.596577101</x:v>
      </x:c>
      <x:c r="BA204" s="141" t="n">
        <x:f>AX204+AZ204-AY204</x:f>
        <x:v>4409301.894638551</x:v>
      </x:c>
      <x:c r="BB204" s="141" t="n">
        <x:f>IF(AW204&gt;1,"Inviavel",BA204)</x:f>
        <x:v>4409301.894638551</x:v>
      </x:c>
      <x:c r="BC204" s="141" t="str">
        <x:f>IF(AW204&gt;1,"Inviavel","OK")</x:f>
        <x:v>OK</x:v>
      </x:c>
      <x:c r="BD204" s="141" t="n">
        <x:f>IF($A204='Consorcio Direto'!$B$29,'Consorcio Direto'!$B$44,0)</x:f>
        <x:v>0</x:v>
      </x:c>
      <x:c r="BE204" s="141" t="n">
        <x:f>IF($A204&lt;='Consorcio Direto'!$B$27,INDEX('Consorcio Direto'!$E$55:$E$534,$A204),0)</x:f>
        <x:v>3752.6628134908774</x:v>
      </x:c>
      <x:c r="BF204" s="141" t="n">
        <x:f>IF(AND(TRUE,Premissas!$B$11="Imovel",Premissas!$B$47="Moradia",$A204&lt;MAX('Consorcio Direto'!$B$29,Premissas!$B$49)),$D204,0)</x:f>
        <x:v>0</x:v>
      </x:c>
      <x:c r="BG204" s="141" t="n">
        <x:f>IF(AND(TRUE,Premissas!$B$11="Imovel",Premissas!$B$47="Investimento",$A204&gt;=MAX('Consorcio Direto'!$B$29,Premissas!$B$49)),$E204,0)</x:f>
        <x:v>1625.8250781988309</x:v>
      </x:c>
      <x:c r="BH204" s="141" t="n">
        <x:f>BD204+BE204+BF204</x:f>
        <x:v>3752.6628134908774</x:v>
      </x:c>
      <x:c r="BI204" s="141" t="n">
        <x:f>BG204</x:f>
        <x:v>1625.8250781988309</x:v>
      </x:c>
      <x:c r="BJ204" s="141" t="n">
        <x:f>$C204+BI204-BH204</x:f>
        <x:v>4873.162264707955</x:v>
      </x:c>
      <x:c r="BK204" s="141" t="n">
        <x:f>BN203*(1+Premissas!$B$41)+BJ204</x:f>
        <x:v>3816691.9001560505</x:v>
      </x:c>
      <x:c r="BL204" s="141" t="n">
        <x:f>MAX(0,-BK204)</x:f>
        <x:v>0</x:v>
      </x:c>
      <x:c r="BM204" s="141" t="n">
        <x:f>BM203*(1+Premissas!$B$41)+BL204</x:f>
        <x:v>0</x:v>
      </x:c>
      <x:c r="BN204" s="141" t="n">
        <x:f>MAX(0,BK204)</x:f>
        <x:v>3816691.9001560505</x:v>
      </x:c>
      <x:c r="BO204" s="141" t="n">
        <x:f>INDEX('Consorcio Direto'!$K$55:$K$534,$A204)</x:f>
        <x:v>137586.01516411043</x:v>
      </x:c>
      <x:c r="BP204" s="141" t="n">
        <x:f>IF($A204&lt;'Consorcio Direto'!$B$29,INDEX('Consorcio Direto'!$L$55:$L$534,$A204),$F204)</x:f>
        <x:v>525636.596577101</x:v>
      </x:c>
      <x:c r="BQ204" s="141" t="n">
        <x:f>BN204+BP204-BO204</x:f>
        <x:v>4204742.481569041</x:v>
      </x:c>
      <x:c r="BR204" s="141" t="n">
        <x:f>IF(BM204&gt;1,"Inviavel",BQ204)</x:f>
        <x:v>4204742.481569041</x:v>
      </x:c>
      <x:c r="BS204" s="141" t="str">
        <x:f>IF(BM204&gt;1,"Inviavel","OK")</x:f>
        <x:v>OK</x:v>
      </x:c>
      <x:c r="BT204" s="141" t="n">
        <x:f>IF(AND('Carta Contemplada'!$B$22="Sim",$A204='Carta Contemplada'!$B$23),'Carta Contemplada'!$B$37,0)</x:f>
        <x:v>0</x:v>
      </x:c>
      <x:c r="BU204" s="141" t="n">
        <x:f>IF('Carta Contemplada'!$B$22="Sim",INDEX('Carta Contemplada'!$C$55:$C$1013,$A204),0)</x:f>
        <x:v>0</x:v>
      </x:c>
      <x:c r="BV204" s="141" t="n">
        <x:f>IF(AND('Carta Contemplada'!$B$22="Sim",Premissas!$B$11="Imovel",Premissas!$B$47="Moradia",$A204&lt;MAX('Carta Contemplada'!$B$44,Premissas!$B$49)),$D204,0)</x:f>
        <x:v>0</x:v>
      </x:c>
      <x:c r="BW204" s="141" t="n">
        <x:f>IF(AND('Carta Contemplada'!$B$22="Sim",Premissas!$B$11="Imovel",Premissas!$B$47="Investimento",$A204&gt;=MAX('Carta Contemplada'!$B$44,Premissas!$B$49)),$E204,0)</x:f>
        <x:v>1625.8250781988309</x:v>
      </x:c>
      <x:c r="BX204" s="141" t="n">
        <x:f>BT204+BU204+BV204</x:f>
        <x:v>0</x:v>
      </x:c>
      <x:c r="BY204" s="141" t="n">
        <x:f>BW204</x:f>
        <x:v>1625.8250781988309</x:v>
      </x:c>
      <x:c r="BZ204" s="141" t="n">
        <x:f>$C204+BY204-BX204</x:f>
        <x:v>8625.825078198832</x:v>
      </x:c>
      <x:c r="CA204" s="141" t="n">
        <x:f>CD203*(1+Premissas!$B$41)+BZ204</x:f>
        <x:v>4016968.0192400184</x:v>
      </x:c>
      <x:c r="CB204" s="141" t="n">
        <x:f>MAX(0,-CA204)</x:f>
        <x:v>0</x:v>
      </x:c>
      <x:c r="CC204" s="141" t="n">
        <x:f>CC203*(1+Premissas!$B$41)+CB204</x:f>
        <x:v>0</x:v>
      </x:c>
      <x:c r="CD204" s="141" t="n">
        <x:f>MAX(0,CA204)</x:f>
        <x:v>4016968.0192400184</x:v>
      </x:c>
      <x:c r="CE204" s="141" t="n">
        <x:f>IF(AND('Carta Contemplada'!$B$22="Sim",$A204&gt;='Carta Contemplada'!$B$23),INDEX('Carta Contemplada'!$I$55:$I$1013,$A204),0)</x:f>
        <x:v>0</x:v>
      </x:c>
      <x:c r="CF204" s="141" t="n">
        <x:f>IF(AND('Carta Contemplada'!$B$22="Sim",$A204&gt;='Carta Contemplada'!$B$44),$F204,0)</x:f>
        <x:v>525636.596577101</x:v>
      </x:c>
      <x:c r="CG204" s="141" t="n">
        <x:f>CD204+CF204-CE204</x:f>
        <x:v>4542604.615817119</x:v>
      </x:c>
      <x:c r="CH204" s="141" t="n">
        <x:f>IF(CC204&gt;1,"Inviavel",CG204)</x:f>
        <x:v>4542604.615817119</x:v>
      </x:c>
      <x:c r="CI204" s="145" t="str">
        <x:f>IF(CC204&gt;1,"Inviavel","OK")</x:f>
        <x:v>OK</x:v>
      </x:c>
    </x:row>
    <x:row r="205">
      <x:c r="A205" s="142" t="n">
        <x:v>201</x:v>
      </x:c>
      <x:c r="B205" s="179" t="n">
        <x:f>EDATE(Premissas!$B$4,A205-1)</x:f>
        <x:v>52628</x:v>
      </x:c>
      <x:c r="C205" s="141" t="n">
        <x:f>IF(A205&lt;=Premissas!$B$39,Premissas!$B$42,0)</x:f>
        <x:v>7000</x:v>
      </x:c>
      <x:c r="D205" s="141" t="n">
        <x:f>Premissas!$B$54*(1+Premissas!$B$57)^INT((A205-1)/12)</x:f>
        <x:v>1778.2461792799713</x:v>
      </x:c>
      <x:c r="E205" s="141" t="n">
        <x:f>Premissas!$B$64*(1+Premissas!$B$57)^INT((A205-1)/12)</x:f>
        <x:v>1625.8250781988309</x:v>
      </x:c>
      <x:c r="F205" s="141" t="n">
        <x:f>MAX(0,Premissas!$B$6*(1+Premissas!$B$66)^((A205-1)/12))</x:f>
        <x:v>528195.159289935</x:v>
      </x:c>
      <x:c r="G205" s="141" t="n">
        <x:f>G204*(1+Premissas!$B$41)+C205</x:f>
        <x:v>4780993.281477158</x:v>
      </x:c>
      <x:c r="H205" s="141" t="n">
        <x:f>IF($A205=Premissas!$B$48,Premissas!$B$8,0)</x:f>
        <x:v>0</x:v>
      </x:c>
      <x:c r="I205" s="141" t="n">
        <x:f>IF(AND($A205&gt;=Premissas!$B$48,$A205-Premissas!$B$48+1&lt;=Premissas!$B$13),INDEX(Financiamento!$J$6:$J$485,$A205-Premissas!$B$48+1),0)</x:f>
        <x:v>1326.203598326962</x:v>
      </x:c>
      <x:c r="J205" s="141" t="n">
        <x:f>IF(AND(TRUE,Premissas!$B$11="Imovel",Premissas!$B$47="Moradia",$A205&lt;MAX(Premissas!$B$48,Premissas!$B$49)),$D205,0)</x:f>
        <x:v>0</x:v>
      </x:c>
      <x:c r="K205" s="141" t="n">
        <x:f>IF(AND(TRUE,Premissas!$B$11="Imovel",Premissas!$B$47="Investimento",$A205&gt;=MAX(Premissas!$B$48,Premissas!$B$49)),$E205,0)</x:f>
        <x:v>1625.8250781988309</x:v>
      </x:c>
      <x:c r="L205" s="141" t="n">
        <x:f>H205+I205+J205</x:f>
        <x:v>1326.203598326962</x:v>
      </x:c>
      <x:c r="M205" s="141" t="n">
        <x:f>K205</x:f>
        <x:v>1625.8250781988309</x:v>
      </x:c>
      <x:c r="N205" s="141" t="n">
        <x:f>$C205+M205-L205</x:f>
        <x:v>7299.62147987187</x:v>
      </x:c>
      <x:c r="O205" s="141" t="n">
        <x:f>R204*(1+Premissas!$B$41)+N205</x:f>
        <x:v>3984828.736967109</x:v>
      </x:c>
      <x:c r="P205" s="141" t="n">
        <x:f>MAX(0,-O205)</x:f>
        <x:v>0</x:v>
      </x:c>
      <x:c r="Q205" s="141" t="n">
        <x:f>Q204*(1+Premissas!$B$41)+P205</x:f>
        <x:v>0</x:v>
      </x:c>
      <x:c r="R205" s="141" t="n">
        <x:f>MAX(0,O205)</x:f>
        <x:v>3984828.736967109</x:v>
      </x:c>
      <x:c r="S205" s="141" t="n">
        <x:f>IF(AND($A205&gt;=Premissas!$B$48,$A205-Premissas!$B$48+1&lt;=Premissas!$B$13),INDEX(Financiamento!$M$6:$M$485,$A205-Premissas!$B$48+1),0)</x:f>
        <x:v>83428.57142857157</x:v>
      </x:c>
      <x:c r="T205" s="141" t="n">
        <x:f>IF($A205&gt;=Premissas!$B$48,$F205,0)</x:f>
        <x:v>528195.159289935</x:v>
      </x:c>
      <x:c r="U205" s="141" t="n">
        <x:f>R205+T205-S205</x:f>
        <x:v>4429595.324828472</x:v>
      </x:c>
      <x:c r="V205" s="141" t="n">
        <x:f>IF(Q205&gt;1,"Inviavel",U205)</x:f>
        <x:v>4429595.324828472</x:v>
      </x:c>
      <x:c r="W205" s="141" t="str">
        <x:f>IF(Q205&gt;1,"Inviavel","OK")</x:f>
        <x:v>OK</x:v>
      </x:c>
      <x:c r="X205" s="141" t="n">
        <x:f>IF($A205=Premissas!$B$48,Premissas!$B$8,0)</x:f>
        <x:v>0</x:v>
      </x:c>
      <x:c r="Y205" s="141" t="n">
        <x:f>IF(AND($A205&gt;=Premissas!$B$48,$A205-Premissas!$B$48+1&lt;=Premissas!$B$13),INDEX(Amortizacao!$K$6:$K$485,$A205-Premissas!$B$48+1),0)</x:f>
        <x:v>0</x:v>
      </x:c>
      <x:c r="Z205" s="141" t="n">
        <x:f>IF(AND(TRUE,Premissas!$B$11="Imovel",Premissas!$B$47="Moradia",$A205&lt;MAX(Premissas!$B$48,Premissas!$B$49)),$D205,0)</x:f>
        <x:v>0</x:v>
      </x:c>
      <x:c r="AA205" s="141" t="n">
        <x:f>IF(AND(TRUE,Premissas!$B$11="Imovel",Premissas!$B$47="Investimento",$A205&gt;=MAX(Premissas!$B$48,Premissas!$B$49)),$E205,0)</x:f>
        <x:v>1625.8250781988309</x:v>
      </x:c>
      <x:c r="AB205" s="141" t="n">
        <x:f>X205+Y205+Z205</x:f>
        <x:v>0</x:v>
      </x:c>
      <x:c r="AC205" s="141" t="n">
        <x:f>AA205</x:f>
        <x:v>1625.8250781988309</x:v>
      </x:c>
      <x:c r="AD205" s="141" t="n">
        <x:f>$C205+AC205-AB205</x:f>
        <x:v>8625.825078198832</x:v>
      </x:c>
      <x:c r="AE205" s="141" t="n">
        <x:f>AH204*(1+Premissas!$B$41)+AD205</x:f>
        <x:v>3967352.181610981</x:v>
      </x:c>
      <x:c r="AF205" s="141" t="n">
        <x:f>MAX(0,-AE205)</x:f>
        <x:v>0</x:v>
      </x:c>
      <x:c r="AG205" s="141" t="n">
        <x:f>AG204*(1+Premissas!$B$41)+AF205</x:f>
        <x:v>0</x:v>
      </x:c>
      <x:c r="AH205" s="141" t="n">
        <x:f>MAX(0,AE205)</x:f>
        <x:v>3967352.181610981</x:v>
      </x:c>
      <x:c r="AI205" s="141" t="n">
        <x:f>IF(AND($A205&gt;=Premissas!$B$48,$A205-Premissas!$B$48+1&lt;=Premissas!$B$13),INDEX(Amortizacao!$L$6:$L$485,$A205-Premissas!$B$48+1),0)</x:f>
        <x:v>0</x:v>
      </x:c>
      <x:c r="AJ205" s="141" t="n">
        <x:f>IF($A205&gt;=Premissas!$B$48,$F205,0)</x:f>
        <x:v>528195.159289935</x:v>
      </x:c>
      <x:c r="AK205" s="141" t="n">
        <x:f>AH205+AJ205-AI205</x:f>
        <x:v>4495547.340900916</x:v>
      </x:c>
      <x:c r="AL205" s="141" t="n">
        <x:f>IF(AG205&gt;1,"Inviavel",AK205)</x:f>
        <x:v>4495547.340900916</x:v>
      </x:c>
      <x:c r="AM205" s="141" t="str">
        <x:f>IF(AG205&gt;1,"Inviavel","OK")</x:f>
        <x:v>OK</x:v>
      </x:c>
      <x:c r="AN205" s="141" t="n">
        <x:f>IF($A205=Premissas!$B$48,Premissas!$B$8,0)</x:f>
        <x:v>0</x:v>
      </x:c>
      <x:c r="AO205" s="141" t="n">
        <x:f>IF($A205&lt;=Premissas!$B$25,INDEX('Consorcio IQ'!$K$6:$K$485,$A205),0)</x:f>
        <x:v>1449.183899015967</x:v>
      </x:c>
      <x:c r="AP205" s="141" t="n">
        <x:f>IF(AND(TRUE,Premissas!$B$11="Imovel",Premissas!$B$47="Moradia",$A205&lt;MAX(Premissas!$B$48,Premissas!$B$49)),$D205,0)</x:f>
        <x:v>0</x:v>
      </x:c>
      <x:c r="AQ205" s="141" t="n">
        <x:f>IF(AND(TRUE,Premissas!$B$11="Imovel",Premissas!$B$47="Investimento",$A205&gt;=MAX(Premissas!$B$48,Premissas!$B$49)),$E205,0)</x:f>
        <x:v>1625.8250781988309</x:v>
      </x:c>
      <x:c r="AR205" s="141" t="n">
        <x:f>AN205+AO205+AP205</x:f>
        <x:v>1449.183899015967</x:v>
      </x:c>
      <x:c r="AS205" s="141" t="n">
        <x:f>AQ205</x:f>
        <x:v>1625.8250781988309</x:v>
      </x:c>
      <x:c r="AT205" s="141" t="n">
        <x:f>$C205+AS205-AR205</x:f>
        <x:v>7176.641179182865</x:v>
      </x:c>
      <x:c r="AU205" s="141" t="n">
        <x:f>AX204*(1+Premissas!$B$41)+AT205</x:f>
        <x:v>3981329.651146587</x:v>
      </x:c>
      <x:c r="AV205" s="141" t="n">
        <x:f>MAX(0,-AU205)</x:f>
        <x:v>0</x:v>
      </x:c>
      <x:c r="AW205" s="141" t="n">
        <x:f>AW204*(1+Premissas!$B$41)+AV205</x:f>
        <x:v>0</x:v>
      </x:c>
      <x:c r="AX205" s="141" t="n">
        <x:f>MAX(0,AU205)</x:f>
        <x:v>3981329.651146587</x:v>
      </x:c>
      <x:c r="AY205" s="141" t="n">
        <x:f>INDEX('Consorcio IQ'!$P$6:$P$485,$A205)</x:f>
        <x:v>52187.232166407404</x:v>
      </x:c>
      <x:c r="AZ205" s="141" t="n">
        <x:f>IF($A205&gt;=Premissas!$B$48,$F205,0)+IF($A205&lt;Premissas!$B$27,INDEX('Consorcio IQ'!$O$6:$O$485,$A205),0)</x:f>
        <x:v>528195.159289935</x:v>
      </x:c>
      <x:c r="BA205" s="141" t="n">
        <x:f>AX205+AZ205-AY205</x:f>
        <x:v>4457337.578270114</x:v>
      </x:c>
      <x:c r="BB205" s="141" t="n">
        <x:f>IF(AW205&gt;1,"Inviavel",BA205)</x:f>
        <x:v>4457337.578270114</x:v>
      </x:c>
      <x:c r="BC205" s="141" t="str">
        <x:f>IF(AW205&gt;1,"Inviavel","OK")</x:f>
        <x:v>OK</x:v>
      </x:c>
      <x:c r="BD205" s="141" t="n">
        <x:f>IF($A205='Consorcio Direto'!$B$29,'Consorcio Direto'!$B$44,0)</x:f>
        <x:v>0</x:v>
      </x:c>
      <x:c r="BE205" s="141" t="n">
        <x:f>IF($A205&lt;='Consorcio Direto'!$B$27,INDEX('Consorcio Direto'!$E$55:$E$534,$A205),0)</x:f>
        <x:v>3752.6628134908774</x:v>
      </x:c>
      <x:c r="BF205" s="141" t="n">
        <x:f>IF(AND(TRUE,Premissas!$B$11="Imovel",Premissas!$B$47="Moradia",$A205&lt;MAX('Consorcio Direto'!$B$29,Premissas!$B$49)),$D205,0)</x:f>
        <x:v>0</x:v>
      </x:c>
      <x:c r="BG205" s="141" t="n">
        <x:f>IF(AND(TRUE,Premissas!$B$11="Imovel",Premissas!$B$47="Investimento",$A205&gt;=MAX('Consorcio Direto'!$B$29,Premissas!$B$49)),$E205,0)</x:f>
        <x:v>1625.8250781988309</x:v>
      </x:c>
      <x:c r="BH205" s="141" t="n">
        <x:f>BD205+BE205+BF205</x:f>
        <x:v>3752.6628134908774</x:v>
      </x:c>
      <x:c r="BI205" s="141" t="n">
        <x:f>BG205</x:f>
        <x:v>1625.8250781988309</x:v>
      </x:c>
      <x:c r="BJ205" s="141" t="n">
        <x:f>$C205+BI205-BH205</x:f>
        <x:v>4873.162264707955</x:v>
      </x:c>
      <x:c r="BK205" s="141" t="n">
        <x:f>BN204*(1+Premissas!$B$41)+BJ205</x:f>
        <x:v>3857780.8615564397</x:v>
      </x:c>
      <x:c r="BL205" s="141" t="n">
        <x:f>MAX(0,-BK205)</x:f>
        <x:v>0</x:v>
      </x:c>
      <x:c r="BM205" s="141" t="n">
        <x:f>BM204*(1+Premissas!$B$41)+BL205</x:f>
        <x:v>0</x:v>
      </x:c>
      <x:c r="BN205" s="141" t="n">
        <x:f>MAX(0,BK205)</x:f>
        <x:v>3857780.8615564397</x:v>
      </x:c>
      <x:c r="BO205" s="141" t="n">
        <x:f>INDEX('Consorcio Direto'!$K$55:$K$534,$A205)</x:f>
        <x:v>135138.87755920622</x:v>
      </x:c>
      <x:c r="BP205" s="141" t="n">
        <x:f>IF($A205&lt;'Consorcio Direto'!$B$29,INDEX('Consorcio Direto'!$L$55:$L$534,$A205),$F205)</x:f>
        <x:v>528195.159289935</x:v>
      </x:c>
      <x:c r="BQ205" s="141" t="n">
        <x:f>BN205+BP205-BO205</x:f>
        <x:v>4250837.143287168</x:v>
      </x:c>
      <x:c r="BR205" s="141" t="n">
        <x:f>IF(BM205&gt;1,"Inviavel",BQ205)</x:f>
        <x:v>4250837.143287168</x:v>
      </x:c>
      <x:c r="BS205" s="141" t="str">
        <x:f>IF(BM205&gt;1,"Inviavel","OK")</x:f>
        <x:v>OK</x:v>
      </x:c>
      <x:c r="BT205" s="141" t="n">
        <x:f>IF(AND('Carta Contemplada'!$B$22="Sim",$A205='Carta Contemplada'!$B$23),'Carta Contemplada'!$B$37,0)</x:f>
        <x:v>0</x:v>
      </x:c>
      <x:c r="BU205" s="141" t="n">
        <x:f>IF('Carta Contemplada'!$B$22="Sim",INDEX('Carta Contemplada'!$C$55:$C$1013,$A205),0)</x:f>
        <x:v>0</x:v>
      </x:c>
      <x:c r="BV205" s="141" t="n">
        <x:f>IF(AND('Carta Contemplada'!$B$22="Sim",Premissas!$B$11="Imovel",Premissas!$B$47="Moradia",$A205&lt;MAX('Carta Contemplada'!$B$44,Premissas!$B$49)),$D205,0)</x:f>
        <x:v>0</x:v>
      </x:c>
      <x:c r="BW205" s="141" t="n">
        <x:f>IF(AND('Carta Contemplada'!$B$22="Sim",Premissas!$B$11="Imovel",Premissas!$B$47="Investimento",$A205&gt;=MAX('Carta Contemplada'!$B$44,Premissas!$B$49)),$E205,0)</x:f>
        <x:v>1625.8250781988309</x:v>
      </x:c>
      <x:c r="BX205" s="141" t="n">
        <x:f>BT205+BU205+BV205</x:f>
        <x:v>0</x:v>
      </x:c>
      <x:c r="BY205" s="141" t="n">
        <x:f>BW205</x:f>
        <x:v>1625.8250781988309</x:v>
      </x:c>
      <x:c r="BZ205" s="141" t="n">
        <x:f>$C205+BY205-BX205</x:f>
        <x:v>8625.825078198832</x:v>
      </x:c>
      <x:c r="CA205" s="141" t="n">
        <x:f>CD204*(1+Premissas!$B$41)+BZ205</x:f>
        <x:v>4063710.022077628</x:v>
      </x:c>
      <x:c r="CB205" s="141" t="n">
        <x:f>MAX(0,-CA205)</x:f>
        <x:v>0</x:v>
      </x:c>
      <x:c r="CC205" s="141" t="n">
        <x:f>CC204*(1+Premissas!$B$41)+CB205</x:f>
        <x:v>0</x:v>
      </x:c>
      <x:c r="CD205" s="141" t="n">
        <x:f>MAX(0,CA205)</x:f>
        <x:v>4063710.022077628</x:v>
      </x:c>
      <x:c r="CE205" s="141" t="n">
        <x:f>IF(AND('Carta Contemplada'!$B$22="Sim",$A205&gt;='Carta Contemplada'!$B$23),INDEX('Carta Contemplada'!$I$55:$I$1013,$A205),0)</x:f>
        <x:v>0</x:v>
      </x:c>
      <x:c r="CF205" s="141" t="n">
        <x:f>IF(AND('Carta Contemplada'!$B$22="Sim",$A205&gt;='Carta Contemplada'!$B$44),$F205,0)</x:f>
        <x:v>528195.159289935</x:v>
      </x:c>
      <x:c r="CG205" s="141" t="n">
        <x:f>CD205+CF205-CE205</x:f>
        <x:v>4591905.181367563</x:v>
      </x:c>
      <x:c r="CH205" s="141" t="n">
        <x:f>IF(CC205&gt;1,"Inviavel",CG205)</x:f>
        <x:v>4591905.181367563</x:v>
      </x:c>
      <x:c r="CI205" s="145" t="str">
        <x:f>IF(CC205&gt;1,"Inviavel","OK")</x:f>
        <x:v>OK</x:v>
      </x:c>
    </x:row>
    <x:row r="206">
      <x:c r="A206" s="142" t="n">
        <x:v>202</x:v>
      </x:c>
      <x:c r="B206" s="179" t="n">
        <x:f>EDATE(Premissas!$B$4,A206-1)</x:f>
        <x:v>52657</x:v>
      </x:c>
      <x:c r="C206" s="141" t="n">
        <x:f>IF(A206&lt;=Premissas!$B$39,Premissas!$B$42,0)</x:f>
        <x:v>7000</x:v>
      </x:c>
      <x:c r="D206" s="141" t="n">
        <x:f>Premissas!$B$54*(1+Premissas!$B$57)^INT((A206-1)/12)</x:f>
        <x:v>1778.2461792799713</x:v>
      </x:c>
      <x:c r="E206" s="141" t="n">
        <x:f>Premissas!$B$64*(1+Premissas!$B$57)^INT((A206-1)/12)</x:f>
        <x:v>1625.8250781988309</x:v>
      </x:c>
      <x:c r="F206" s="141" t="n">
        <x:f>MAX(0,Premissas!$B$6*(1+Premissas!$B$66)^((A206-1)/12))</x:f>
        <x:v>530766.1759361482</x:v>
      </x:c>
      <x:c r="G206" s="141" t="n">
        <x:f>G205*(1+Premissas!$B$41)+C206</x:f>
        <x:v>4833359.136746728</x:v>
      </x:c>
      <x:c r="H206" s="141" t="n">
        <x:f>IF($A206=Premissas!$B$48,Premissas!$B$8,0)</x:f>
        <x:v>0</x:v>
      </x:c>
      <x:c r="I206" s="141" t="n">
        <x:f>IF(AND($A206&gt;=Premissas!$B$48,$A206-Premissas!$B$48+1&lt;=Premissas!$B$13),INDEX(Financiamento!$J$6:$J$485,$A206-Premissas!$B$48+1),0)</x:f>
        <x:v>1322.5888200661684</x:v>
      </x:c>
      <x:c r="J206" s="141" t="n">
        <x:f>IF(AND(TRUE,Premissas!$B$11="Imovel",Premissas!$B$47="Moradia",$A206&lt;MAX(Premissas!$B$48,Premissas!$B$49)),$D206,0)</x:f>
        <x:v>0</x:v>
      </x:c>
      <x:c r="K206" s="141" t="n">
        <x:f>IF(AND(TRUE,Premissas!$B$11="Imovel",Premissas!$B$47="Investimento",$A206&gt;=MAX(Premissas!$B$48,Premissas!$B$49)),$E206,0)</x:f>
        <x:v>1625.8250781988309</x:v>
      </x:c>
      <x:c r="L206" s="141" t="n">
        <x:f>H206+I206+J206</x:f>
        <x:v>1322.5888200661684</x:v>
      </x:c>
      <x:c r="M206" s="141" t="n">
        <x:f>K206</x:f>
        <x:v>1625.8250781988309</x:v>
      </x:c>
      <x:c r="N206" s="141" t="n">
        <x:f>$C206+M206-L206</x:f>
        <x:v>7303.236258132663</x:v>
      </x:c>
      <x:c r="O206" s="141" t="n">
        <x:f>R205*(1+Premissas!$B$41)+N206</x:f>
        <x:v>4029943.187990099</x:v>
      </x:c>
      <x:c r="P206" s="141" t="n">
        <x:f>MAX(0,-O206)</x:f>
        <x:v>0</x:v>
      </x:c>
      <x:c r="Q206" s="141" t="n">
        <x:f>Q205*(1+Premissas!$B$41)+P206</x:f>
        <x:v>0</x:v>
      </x:c>
      <x:c r="R206" s="141" t="n">
        <x:f>MAX(0,O206)</x:f>
        <x:v>4029943.187990099</x:v>
      </x:c>
      <x:c r="S206" s="141" t="n">
        <x:f>IF(AND($A206&gt;=Premissas!$B$48,$A206-Premissas!$B$48+1&lt;=Premissas!$B$13),INDEX(Financiamento!$M$6:$M$485,$A206-Premissas!$B$48+1),0)</x:f>
        <x:v>83047.61904761918</x:v>
      </x:c>
      <x:c r="T206" s="141" t="n">
        <x:f>IF($A206&gt;=Premissas!$B$48,$F206,0)</x:f>
        <x:v>530766.1759361482</x:v>
      </x:c>
      <x:c r="U206" s="141" t="n">
        <x:f>R206+T206-S206</x:f>
        <x:v>4477661.744878628</x:v>
      </x:c>
      <x:c r="V206" s="141" t="n">
        <x:f>IF(Q206&gt;1,"Inviavel",U206)</x:f>
        <x:v>4477661.744878628</x:v>
      </x:c>
      <x:c r="W206" s="141" t="str">
        <x:f>IF(Q206&gt;1,"Inviavel","OK")</x:f>
        <x:v>OK</x:v>
      </x:c>
      <x:c r="X206" s="141" t="n">
        <x:f>IF($A206=Premissas!$B$48,Premissas!$B$8,0)</x:f>
        <x:v>0</x:v>
      </x:c>
      <x:c r="Y206" s="141" t="n">
        <x:f>IF(AND($A206&gt;=Premissas!$B$48,$A206-Premissas!$B$48+1&lt;=Premissas!$B$13),INDEX(Amortizacao!$K$6:$K$485,$A206-Premissas!$B$48+1),0)</x:f>
        <x:v>0</x:v>
      </x:c>
      <x:c r="Z206" s="141" t="n">
        <x:f>IF(AND(TRUE,Premissas!$B$11="Imovel",Premissas!$B$47="Moradia",$A206&lt;MAX(Premissas!$B$48,Premissas!$B$49)),$D206,0)</x:f>
        <x:v>0</x:v>
      </x:c>
      <x:c r="AA206" s="141" t="n">
        <x:f>IF(AND(TRUE,Premissas!$B$11="Imovel",Premissas!$B$47="Investimento",$A206&gt;=MAX(Premissas!$B$48,Premissas!$B$49)),$E206,0)</x:f>
        <x:v>1625.8250781988309</x:v>
      </x:c>
      <x:c r="AB206" s="141" t="n">
        <x:f>X206+Y206+Z206</x:f>
        <x:v>0</x:v>
      </x:c>
      <x:c r="AC206" s="141" t="n">
        <x:f>AA206</x:f>
        <x:v>1625.8250781988309</x:v>
      </x:c>
      <x:c r="AD206" s="141" t="n">
        <x:f>$C206+AC206-AB206</x:f>
        <x:v>8625.825078198832</x:v>
      </x:c>
      <x:c r="AE206" s="141" t="n">
        <x:f>AH205*(1+Premissas!$B$41)+AD206</x:f>
        <x:v>4013623.390039053</x:v>
      </x:c>
      <x:c r="AF206" s="141" t="n">
        <x:f>MAX(0,-AE206)</x:f>
        <x:v>0</x:v>
      </x:c>
      <x:c r="AG206" s="141" t="n">
        <x:f>AG205*(1+Premissas!$B$41)+AF206</x:f>
        <x:v>0</x:v>
      </x:c>
      <x:c r="AH206" s="141" t="n">
        <x:f>MAX(0,AE206)</x:f>
        <x:v>4013623.390039053</x:v>
      </x:c>
      <x:c r="AI206" s="141" t="n">
        <x:f>IF(AND($A206&gt;=Premissas!$B$48,$A206-Premissas!$B$48+1&lt;=Premissas!$B$13),INDEX(Amortizacao!$L$6:$L$485,$A206-Premissas!$B$48+1),0)</x:f>
        <x:v>0</x:v>
      </x:c>
      <x:c r="AJ206" s="141" t="n">
        <x:f>IF($A206&gt;=Premissas!$B$48,$F206,0)</x:f>
        <x:v>530766.1759361482</x:v>
      </x:c>
      <x:c r="AK206" s="141" t="n">
        <x:f>AH206+AJ206-AI206</x:f>
        <x:v>4544389.565975201</x:v>
      </x:c>
      <x:c r="AL206" s="141" t="n">
        <x:f>IF(AG206&gt;1,"Inviavel",AK206)</x:f>
        <x:v>4544389.565975201</x:v>
      </x:c>
      <x:c r="AM206" s="141" t="str">
        <x:f>IF(AG206&gt;1,"Inviavel","OK")</x:f>
        <x:v>OK</x:v>
      </x:c>
      <x:c r="AN206" s="141" t="n">
        <x:f>IF($A206=Premissas!$B$48,Premissas!$B$8,0)</x:f>
        <x:v>0</x:v>
      </x:c>
      <x:c r="AO206" s="141" t="n">
        <x:f>IF($A206&lt;=Premissas!$B$25,INDEX('Consorcio IQ'!$K$6:$K$485,$A206),0)</x:f>
        <x:v>1449.183899015967</x:v>
      </x:c>
      <x:c r="AP206" s="141" t="n">
        <x:f>IF(AND(TRUE,Premissas!$B$11="Imovel",Premissas!$B$47="Moradia",$A206&lt;MAX(Premissas!$B$48,Premissas!$B$49)),$D206,0)</x:f>
        <x:v>0</x:v>
      </x:c>
      <x:c r="AQ206" s="141" t="n">
        <x:f>IF(AND(TRUE,Premissas!$B$11="Imovel",Premissas!$B$47="Investimento",$A206&gt;=MAX(Premissas!$B$48,Premissas!$B$49)),$E206,0)</x:f>
        <x:v>1625.8250781988309</x:v>
      </x:c>
      <x:c r="AR206" s="141" t="n">
        <x:f>AN206+AO206+AP206</x:f>
        <x:v>1449.183899015967</x:v>
      </x:c>
      <x:c r="AS206" s="141" t="n">
        <x:f>AQ206</x:f>
        <x:v>1625.8250781988309</x:v>
      </x:c>
      <x:c r="AT206" s="141" t="n">
        <x:f>$C206+AS206-AR206</x:f>
        <x:v>7176.641179182865</x:v>
      </x:c>
      <x:c r="AU206" s="141" t="n">
        <x:f>AX205*(1+Premissas!$B$41)+AT206</x:f>
        <x:v>4026284.3049898157</x:v>
      </x:c>
      <x:c r="AV206" s="141" t="n">
        <x:f>MAX(0,-AU206)</x:f>
        <x:v>0</x:v>
      </x:c>
      <x:c r="AW206" s="141" t="n">
        <x:f>AW205*(1+Premissas!$B$41)+AV206</x:f>
        <x:v>0</x:v>
      </x:c>
      <x:c r="AX206" s="141" t="n">
        <x:f>MAX(0,AU206)</x:f>
        <x:v>4026284.3049898157</x:v>
      </x:c>
      <x:c r="AY206" s="141" t="n">
        <x:f>INDEX('Consorcio IQ'!$P$6:$P$485,$A206)</x:f>
        <x:v>51233.24210724749</x:v>
      </x:c>
      <x:c r="AZ206" s="141" t="n">
        <x:f>IF($A206&gt;=Premissas!$B$48,$F206,0)+IF($A206&lt;Premissas!$B$27,INDEX('Consorcio IQ'!$O$6:$O$485,$A206),0)</x:f>
        <x:v>530766.1759361482</x:v>
      </x:c>
      <x:c r="BA206" s="141" t="n">
        <x:f>AX206+AZ206-AY206</x:f>
        <x:v>4505817.238818716</x:v>
      </x:c>
      <x:c r="BB206" s="141" t="n">
        <x:f>IF(AW206&gt;1,"Inviavel",BA206)</x:f>
        <x:v>4505817.238818716</x:v>
      </x:c>
      <x:c r="BC206" s="141" t="str">
        <x:f>IF(AW206&gt;1,"Inviavel","OK")</x:f>
        <x:v>OK</x:v>
      </x:c>
      <x:c r="BD206" s="141" t="n">
        <x:f>IF($A206='Consorcio Direto'!$B$29,'Consorcio Direto'!$B$44,0)</x:f>
        <x:v>0</x:v>
      </x:c>
      <x:c r="BE206" s="141" t="n">
        <x:f>IF($A206&lt;='Consorcio Direto'!$B$27,INDEX('Consorcio Direto'!$E$55:$E$534,$A206),0)</x:f>
        <x:v>3752.6628134908774</x:v>
      </x:c>
      <x:c r="BF206" s="141" t="n">
        <x:f>IF(AND(TRUE,Premissas!$B$11="Imovel",Premissas!$B$47="Moradia",$A206&lt;MAX('Consorcio Direto'!$B$29,Premissas!$B$49)),$D206,0)</x:f>
        <x:v>0</x:v>
      </x:c>
      <x:c r="BG206" s="141" t="n">
        <x:f>IF(AND(TRUE,Premissas!$B$11="Imovel",Premissas!$B$47="Investimento",$A206&gt;=MAX('Consorcio Direto'!$B$29,Premissas!$B$49)),$E206,0)</x:f>
        <x:v>1625.8250781988309</x:v>
      </x:c>
      <x:c r="BH206" s="141" t="n">
        <x:f>BD206+BE206+BF206</x:f>
        <x:v>3752.6628134908774</x:v>
      </x:c>
      <x:c r="BI206" s="141" t="n">
        <x:f>BG206</x:f>
        <x:v>1625.8250781988309</x:v>
      </x:c>
      <x:c r="BJ206" s="141" t="n">
        <x:f>$C206+BI206-BH206</x:f>
        <x:v>4873.162264707955</x:v>
      </x:c>
      <x:c r="BK206" s="141" t="n">
        <x:f>BN205*(1+Premissas!$B$41)+BJ206</x:f>
        <x:v>3899259.707603454</x:v>
      </x:c>
      <x:c r="BL206" s="141" t="n">
        <x:f>MAX(0,-BK206)</x:f>
        <x:v>0</x:v>
      </x:c>
      <x:c r="BM206" s="141" t="n">
        <x:f>BM205*(1+Premissas!$B$41)+BL206</x:f>
        <x:v>0</x:v>
      </x:c>
      <x:c r="BN206" s="141" t="n">
        <x:f>MAX(0,BK206)</x:f>
        <x:v>3899259.707603454</x:v>
      </x:c>
      <x:c r="BO206" s="141" t="n">
        <x:f>INDEX('Consorcio Direto'!$K$55:$K$534,$A206)</x:f>
        <x:v>132668.51957228663</x:v>
      </x:c>
      <x:c r="BP206" s="141" t="n">
        <x:f>IF($A206&lt;'Consorcio Direto'!$B$29,INDEX('Consorcio Direto'!$L$55:$L$534,$A206),$F206)</x:f>
        <x:v>530766.1759361482</x:v>
      </x:c>
      <x:c r="BQ206" s="141" t="n">
        <x:f>BN206+BP206-BO206</x:f>
        <x:v>4297357.363967315</x:v>
      </x:c>
      <x:c r="BR206" s="141" t="n">
        <x:f>IF(BM206&gt;1,"Inviavel",BQ206)</x:f>
        <x:v>4297357.363967315</x:v>
      </x:c>
      <x:c r="BS206" s="141" t="str">
        <x:f>IF(BM206&gt;1,"Inviavel","OK")</x:f>
        <x:v>OK</x:v>
      </x:c>
      <x:c r="BT206" s="141" t="n">
        <x:f>IF(AND('Carta Contemplada'!$B$22="Sim",$A206='Carta Contemplada'!$B$23),'Carta Contemplada'!$B$37,0)</x:f>
        <x:v>0</x:v>
      </x:c>
      <x:c r="BU206" s="141" t="n">
        <x:f>IF('Carta Contemplada'!$B$22="Sim",INDEX('Carta Contemplada'!$C$55:$C$1013,$A206),0)</x:f>
        <x:v>0</x:v>
      </x:c>
      <x:c r="BV206" s="141" t="n">
        <x:f>IF(AND('Carta Contemplada'!$B$22="Sim",Premissas!$B$11="Imovel",Premissas!$B$47="Moradia",$A206&lt;MAX('Carta Contemplada'!$B$44,Premissas!$B$49)),$D206,0)</x:f>
        <x:v>0</x:v>
      </x:c>
      <x:c r="BW206" s="141" t="n">
        <x:f>IF(AND('Carta Contemplada'!$B$22="Sim",Premissas!$B$11="Imovel",Premissas!$B$47="Investimento",$A206&gt;=MAX('Carta Contemplada'!$B$44,Premissas!$B$49)),$E206,0)</x:f>
        <x:v>1625.8250781988309</x:v>
      </x:c>
      <x:c r="BX206" s="141" t="n">
        <x:f>BT206+BU206+BV206</x:f>
        <x:v>0</x:v>
      </x:c>
      <x:c r="BY206" s="141" t="n">
        <x:f>BW206</x:f>
        <x:v>1625.8250781988309</x:v>
      </x:c>
      <x:c r="BZ206" s="141" t="n">
        <x:f>$C206+BY206-BX206</x:f>
        <x:v>8625.825078198832</x:v>
      </x:c>
      <x:c r="CA206" s="141" t="n">
        <x:f>CD205*(1+Premissas!$B$41)+BZ206</x:f>
        <x:v>4110895.550101511</x:v>
      </x:c>
      <x:c r="CB206" s="141" t="n">
        <x:f>MAX(0,-CA206)</x:f>
        <x:v>0</x:v>
      </x:c>
      <x:c r="CC206" s="141" t="n">
        <x:f>CC205*(1+Premissas!$B$41)+CB206</x:f>
        <x:v>0</x:v>
      </x:c>
      <x:c r="CD206" s="141" t="n">
        <x:f>MAX(0,CA206)</x:f>
        <x:v>4110895.550101511</x:v>
      </x:c>
      <x:c r="CE206" s="141" t="n">
        <x:f>IF(AND('Carta Contemplada'!$B$22="Sim",$A206&gt;='Carta Contemplada'!$B$23),INDEX('Carta Contemplada'!$I$55:$I$1013,$A206),0)</x:f>
        <x:v>0</x:v>
      </x:c>
      <x:c r="CF206" s="141" t="n">
        <x:f>IF(AND('Carta Contemplada'!$B$22="Sim",$A206&gt;='Carta Contemplada'!$B$44),$F206,0)</x:f>
        <x:v>530766.1759361482</x:v>
      </x:c>
      <x:c r="CG206" s="141" t="n">
        <x:f>CD206+CF206-CE206</x:f>
        <x:v>4641661.72603766</x:v>
      </x:c>
      <x:c r="CH206" s="141" t="n">
        <x:f>IF(CC206&gt;1,"Inviavel",CG206)</x:f>
        <x:v>4641661.72603766</x:v>
      </x:c>
      <x:c r="CI206" s="145" t="str">
        <x:f>IF(CC206&gt;1,"Inviavel","OK")</x:f>
        <x:v>OK</x:v>
      </x:c>
    </x:row>
    <x:row r="207">
      <x:c r="A207" s="142" t="n">
        <x:v>203</x:v>
      </x:c>
      <x:c r="B207" s="179" t="n">
        <x:f>EDATE(Premissas!$B$4,A207-1)</x:f>
        <x:v>52688</x:v>
      </x:c>
      <x:c r="C207" s="141" t="n">
        <x:f>IF(A207&lt;=Premissas!$B$39,Premissas!$B$42,0)</x:f>
        <x:v>7000</x:v>
      </x:c>
      <x:c r="D207" s="141" t="n">
        <x:f>Premissas!$B$54*(1+Premissas!$B$57)^INT((A207-1)/12)</x:f>
        <x:v>1778.2461792799713</x:v>
      </x:c>
      <x:c r="E207" s="141" t="n">
        <x:f>Premissas!$B$64*(1+Premissas!$B$57)^INT((A207-1)/12)</x:f>
        <x:v>1625.8250781988309</x:v>
      </x:c>
      <x:c r="F207" s="141" t="n">
        <x:f>MAX(0,Premissas!$B$6*(1+Premissas!$B$66)^((A207-1)/12))</x:f>
        <x:v>533349.7071358911</x:v>
      </x:c>
      <x:c r="G207" s="141" t="n">
        <x:f>G206*(1+Premissas!$B$41)+C207</x:f>
        <x:v>4886221.880773793</x:v>
      </x:c>
      <x:c r="H207" s="141" t="n">
        <x:f>IF($A207=Premissas!$B$48,Premissas!$B$8,0)</x:f>
        <x:v>0</x:v>
      </x:c>
      <x:c r="I207" s="141" t="n">
        <x:f>IF(AND($A207&gt;=Premissas!$B$48,$A207-Premissas!$B$48+1&lt;=Premissas!$B$13),INDEX(Financiamento!$J$6:$J$485,$A207-Premissas!$B$48+1),0)</x:f>
        <x:v>1318.9740418053748</x:v>
      </x:c>
      <x:c r="J207" s="141" t="n">
        <x:f>IF(AND(TRUE,Premissas!$B$11="Imovel",Premissas!$B$47="Moradia",$A207&lt;MAX(Premissas!$B$48,Premissas!$B$49)),$D207,0)</x:f>
        <x:v>0</x:v>
      </x:c>
      <x:c r="K207" s="141" t="n">
        <x:f>IF(AND(TRUE,Premissas!$B$11="Imovel",Premissas!$B$47="Investimento",$A207&gt;=MAX(Premissas!$B$48,Premissas!$B$49)),$E207,0)</x:f>
        <x:v>1625.8250781988309</x:v>
      </x:c>
      <x:c r="L207" s="141" t="n">
        <x:f>H207+I207+J207</x:f>
        <x:v>1318.9740418053748</x:v>
      </x:c>
      <x:c r="M207" s="141" t="n">
        <x:f>K207</x:f>
        <x:v>1625.8250781988309</x:v>
      </x:c>
      <x:c r="N207" s="141" t="n">
        <x:f>$C207+M207-L207</x:f>
        <x:v>7306.8510363934565</x:v>
      </x:c>
      <x:c r="O207" s="141" t="n">
        <x:f>R206*(1+Premissas!$B$41)+N207</x:f>
        <x:v>4075489.3354754644</x:v>
      </x:c>
      <x:c r="P207" s="141" t="n">
        <x:f>MAX(0,-O207)</x:f>
        <x:v>0</x:v>
      </x:c>
      <x:c r="Q207" s="141" t="n">
        <x:f>Q206*(1+Premissas!$B$41)+P207</x:f>
        <x:v>0</x:v>
      </x:c>
      <x:c r="R207" s="141" t="n">
        <x:f>MAX(0,O207)</x:f>
        <x:v>4075489.3354754644</x:v>
      </x:c>
      <x:c r="S207" s="141" t="n">
        <x:f>IF(AND($A207&gt;=Premissas!$B$48,$A207-Premissas!$B$48+1&lt;=Premissas!$B$13),INDEX(Financiamento!$M$6:$M$485,$A207-Premissas!$B$48+1),0)</x:f>
        <x:v>82666.6666666668</x:v>
      </x:c>
      <x:c r="T207" s="141" t="n">
        <x:f>IF($A207&gt;=Premissas!$B$48,$F207,0)</x:f>
        <x:v>533349.7071358911</x:v>
      </x:c>
      <x:c r="U207" s="141" t="n">
        <x:f>R207+T207-S207</x:f>
        <x:v>4526172.375944688</x:v>
      </x:c>
      <x:c r="V207" s="141" t="n">
        <x:f>IF(Q207&gt;1,"Inviavel",U207)</x:f>
        <x:v>4526172.375944688</x:v>
      </x:c>
      <x:c r="W207" s="141" t="str">
        <x:f>IF(Q207&gt;1,"Inviavel","OK")</x:f>
        <x:v>OK</x:v>
      </x:c>
      <x:c r="X207" s="141" t="n">
        <x:f>IF($A207=Premissas!$B$48,Premissas!$B$8,0)</x:f>
        <x:v>0</x:v>
      </x:c>
      <x:c r="Y207" s="141" t="n">
        <x:f>IF(AND($A207&gt;=Premissas!$B$48,$A207-Premissas!$B$48+1&lt;=Premissas!$B$13),INDEX(Amortizacao!$K$6:$K$485,$A207-Premissas!$B$48+1),0)</x:f>
        <x:v>0</x:v>
      </x:c>
      <x:c r="Z207" s="141" t="n">
        <x:f>IF(AND(TRUE,Premissas!$B$11="Imovel",Premissas!$B$47="Moradia",$A207&lt;MAX(Premissas!$B$48,Premissas!$B$49)),$D207,0)</x:f>
        <x:v>0</x:v>
      </x:c>
      <x:c r="AA207" s="141" t="n">
        <x:f>IF(AND(TRUE,Premissas!$B$11="Imovel",Premissas!$B$47="Investimento",$A207&gt;=MAX(Premissas!$B$48,Premissas!$B$49)),$E207,0)</x:f>
        <x:v>1625.8250781988309</x:v>
      </x:c>
      <x:c r="AB207" s="141" t="n">
        <x:f>X207+Y207+Z207</x:f>
        <x:v>0</x:v>
      </x:c>
      <x:c r="AC207" s="141" t="n">
        <x:f>AA207</x:f>
        <x:v>1625.8250781988309</x:v>
      </x:c>
      <x:c r="AD207" s="141" t="n">
        <x:f>$C207+AC207-AB207</x:f>
        <x:v>8625.825078198832</x:v>
      </x:c>
      <x:c r="AE207" s="141" t="n">
        <x:f>AH206*(1+Premissas!$B$41)+AD207</x:f>
        <x:v>4060333.656382731</x:v>
      </x:c>
      <x:c r="AF207" s="141" t="n">
        <x:f>MAX(0,-AE207)</x:f>
        <x:v>0</x:v>
      </x:c>
      <x:c r="AG207" s="141" t="n">
        <x:f>AG206*(1+Premissas!$B$41)+AF207</x:f>
        <x:v>0</x:v>
      </x:c>
      <x:c r="AH207" s="141" t="n">
        <x:f>MAX(0,AE207)</x:f>
        <x:v>4060333.656382731</x:v>
      </x:c>
      <x:c r="AI207" s="141" t="n">
        <x:f>IF(AND($A207&gt;=Premissas!$B$48,$A207-Premissas!$B$48+1&lt;=Premissas!$B$13),INDEX(Amortizacao!$L$6:$L$485,$A207-Premissas!$B$48+1),0)</x:f>
        <x:v>0</x:v>
      </x:c>
      <x:c r="AJ207" s="141" t="n">
        <x:f>IF($A207&gt;=Premissas!$B$48,$F207,0)</x:f>
        <x:v>533349.7071358911</x:v>
      </x:c>
      <x:c r="AK207" s="141" t="n">
        <x:f>AH207+AJ207-AI207</x:f>
        <x:v>4593683.363518622</x:v>
      </x:c>
      <x:c r="AL207" s="141" t="n">
        <x:f>IF(AG207&gt;1,"Inviavel",AK207)</x:f>
        <x:v>4593683.363518622</x:v>
      </x:c>
      <x:c r="AM207" s="141" t="str">
        <x:f>IF(AG207&gt;1,"Inviavel","OK")</x:f>
        <x:v>OK</x:v>
      </x:c>
      <x:c r="AN207" s="141" t="n">
        <x:f>IF($A207=Premissas!$B$48,Premissas!$B$8,0)</x:f>
        <x:v>0</x:v>
      </x:c>
      <x:c r="AO207" s="141" t="n">
        <x:f>IF($A207&lt;=Premissas!$B$25,INDEX('Consorcio IQ'!$K$6:$K$485,$A207),0)</x:f>
        <x:v>1449.183899015967</x:v>
      </x:c>
      <x:c r="AP207" s="141" t="n">
        <x:f>IF(AND(TRUE,Premissas!$B$11="Imovel",Premissas!$B$47="Moradia",$A207&lt;MAX(Premissas!$B$48,Premissas!$B$49)),$D207,0)</x:f>
        <x:v>0</x:v>
      </x:c>
      <x:c r="AQ207" s="141" t="n">
        <x:f>IF(AND(TRUE,Premissas!$B$11="Imovel",Premissas!$B$47="Investimento",$A207&gt;=MAX(Premissas!$B$48,Premissas!$B$49)),$E207,0)</x:f>
        <x:v>1625.8250781988309</x:v>
      </x:c>
      <x:c r="AR207" s="141" t="n">
        <x:f>AN207+AO207+AP207</x:f>
        <x:v>1449.183899015967</x:v>
      </x:c>
      <x:c r="AS207" s="141" t="n">
        <x:f>AQ207</x:f>
        <x:v>1625.8250781988309</x:v>
      </x:c>
      <x:c r="AT207" s="141" t="n">
        <x:f>$C207+AS207-AR207</x:f>
        <x:v>7176.641179182865</x:v>
      </x:c>
      <x:c r="AU207" s="141" t="n">
        <x:f>AX206*(1+Premissas!$B$41)+AT207</x:f>
        <x:v>4071665.5242348085</x:v>
      </x:c>
      <x:c r="AV207" s="141" t="n">
        <x:f>MAX(0,-AU207)</x:f>
        <x:v>0</x:v>
      </x:c>
      <x:c r="AW207" s="141" t="n">
        <x:f>AW206*(1+Premissas!$B$41)+AV207</x:f>
        <x:v>0</x:v>
      </x:c>
      <x:c r="AX207" s="141" t="n">
        <x:f>MAX(0,AU207)</x:f>
        <x:v>4071665.5242348085</x:v>
      </x:c>
      <x:c r="AY207" s="141" t="n">
        <x:f>INDEX('Consorcio IQ'!$P$6:$P$485,$A207)</x:f>
        <x:v>50270.19983395455</x:v>
      </x:c>
      <x:c r="AZ207" s="141" t="n">
        <x:f>IF($A207&gt;=Premissas!$B$48,$F207,0)+IF($A207&lt;Premissas!$B$27,INDEX('Consorcio IQ'!$O$6:$O$485,$A207),0)</x:f>
        <x:v>533349.7071358911</x:v>
      </x:c>
      <x:c r="BA207" s="141" t="n">
        <x:f>AX207+AZ207-AY207</x:f>
        <x:v>4554745.031536745</x:v>
      </x:c>
      <x:c r="BB207" s="141" t="n">
        <x:f>IF(AW207&gt;1,"Inviavel",BA207)</x:f>
        <x:v>4554745.031536745</x:v>
      </x:c>
      <x:c r="BC207" s="141" t="str">
        <x:f>IF(AW207&gt;1,"Inviavel","OK")</x:f>
        <x:v>OK</x:v>
      </x:c>
      <x:c r="BD207" s="141" t="n">
        <x:f>IF($A207='Consorcio Direto'!$B$29,'Consorcio Direto'!$B$44,0)</x:f>
        <x:v>0</x:v>
      </x:c>
      <x:c r="BE207" s="141" t="n">
        <x:f>IF($A207&lt;='Consorcio Direto'!$B$27,INDEX('Consorcio Direto'!$E$55:$E$534,$A207),0)</x:f>
        <x:v>3752.6628134908774</x:v>
      </x:c>
      <x:c r="BF207" s="141" t="n">
        <x:f>IF(AND(TRUE,Premissas!$B$11="Imovel",Premissas!$B$47="Moradia",$A207&lt;MAX('Consorcio Direto'!$B$29,Premissas!$B$49)),$D207,0)</x:f>
        <x:v>0</x:v>
      </x:c>
      <x:c r="BG207" s="141" t="n">
        <x:f>IF(AND(TRUE,Premissas!$B$11="Imovel",Premissas!$B$47="Investimento",$A207&gt;=MAX('Consorcio Direto'!$B$29,Premissas!$B$49)),$E207,0)</x:f>
        <x:v>1625.8250781988309</x:v>
      </x:c>
      <x:c r="BH207" s="141" t="n">
        <x:f>BD207+BE207+BF207</x:f>
        <x:v>3752.6628134908774</x:v>
      </x:c>
      <x:c r="BI207" s="141" t="n">
        <x:f>BG207</x:f>
        <x:v>1625.8250781988309</x:v>
      </x:c>
      <x:c r="BJ207" s="141" t="n">
        <x:f>$C207+BI207-BH207</x:f>
        <x:v>4873.162264707955</x:v>
      </x:c>
      <x:c r="BK207" s="141" t="n">
        <x:f>BN206*(1+Premissas!$B$41)+BJ207</x:f>
        <x:v>3941132.137831774</x:v>
      </x:c>
      <x:c r="BL207" s="141" t="n">
        <x:f>MAX(0,-BK207)</x:f>
        <x:v>0</x:v>
      </x:c>
      <x:c r="BM207" s="141" t="n">
        <x:f>BM206*(1+Premissas!$B$41)+BL207</x:f>
        <x:v>0</x:v>
      </x:c>
      <x:c r="BN207" s="141" t="n">
        <x:f>MAX(0,BK207)</x:f>
        <x:v>3941132.137831774</x:v>
      </x:c>
      <x:c r="BO207" s="141" t="n">
        <x:f>INDEX('Consorcio Direto'!$K$55:$K$534,$A207)</x:f>
        <x:v>130174.72086995488</x:v>
      </x:c>
      <x:c r="BP207" s="141" t="n">
        <x:f>IF($A207&lt;'Consorcio Direto'!$B$29,INDEX('Consorcio Direto'!$L$55:$L$534,$A207),$F207)</x:f>
        <x:v>533349.7071358911</x:v>
      </x:c>
      <x:c r="BQ207" s="141" t="n">
        <x:f>BN207+BP207-BO207</x:f>
        <x:v>4344307.1240977105</x:v>
      </x:c>
      <x:c r="BR207" s="141" t="n">
        <x:f>IF(BM207&gt;1,"Inviavel",BQ207)</x:f>
        <x:v>4344307.1240977105</x:v>
      </x:c>
      <x:c r="BS207" s="141" t="str">
        <x:f>IF(BM207&gt;1,"Inviavel","OK")</x:f>
        <x:v>OK</x:v>
      </x:c>
      <x:c r="BT207" s="141" t="n">
        <x:f>IF(AND('Carta Contemplada'!$B$22="Sim",$A207='Carta Contemplada'!$B$23),'Carta Contemplada'!$B$37,0)</x:f>
        <x:v>0</x:v>
      </x:c>
      <x:c r="BU207" s="141" t="n">
        <x:f>IF('Carta Contemplada'!$B$22="Sim",INDEX('Carta Contemplada'!$C$55:$C$1013,$A207),0)</x:f>
        <x:v>0</x:v>
      </x:c>
      <x:c r="BV207" s="141" t="n">
        <x:f>IF(AND('Carta Contemplada'!$B$22="Sim",Premissas!$B$11="Imovel",Premissas!$B$47="Moradia",$A207&lt;MAX('Carta Contemplada'!$B$44,Premissas!$B$49)),$D207,0)</x:f>
        <x:v>0</x:v>
      </x:c>
      <x:c r="BW207" s="141" t="n">
        <x:f>IF(AND('Carta Contemplada'!$B$22="Sim",Premissas!$B$11="Imovel",Premissas!$B$47="Investimento",$A207&gt;=MAX('Carta Contemplada'!$B$44,Premissas!$B$49)),$E207,0)</x:f>
        <x:v>1625.8250781988309</x:v>
      </x:c>
      <x:c r="BX207" s="141" t="n">
        <x:f>BT207+BU207+BV207</x:f>
        <x:v>0</x:v>
      </x:c>
      <x:c r="BY207" s="141" t="n">
        <x:f>BW207</x:f>
        <x:v>1625.8250781988309</x:v>
      </x:c>
      <x:c r="BZ207" s="141" t="n">
        <x:f>$C207+BY207-BX207</x:f>
        <x:v>8625.825078198832</x:v>
      </x:c>
      <x:c r="CA207" s="141" t="n">
        <x:f>CD206*(1+Premissas!$B$41)+BZ207</x:f>
        <x:v>4158528.811830322</x:v>
      </x:c>
      <x:c r="CB207" s="141" t="n">
        <x:f>MAX(0,-CA207)</x:f>
        <x:v>0</x:v>
      </x:c>
      <x:c r="CC207" s="141" t="n">
        <x:f>CC206*(1+Premissas!$B$41)+CB207</x:f>
        <x:v>0</x:v>
      </x:c>
      <x:c r="CD207" s="141" t="n">
        <x:f>MAX(0,CA207)</x:f>
        <x:v>4158528.811830322</x:v>
      </x:c>
      <x:c r="CE207" s="141" t="n">
        <x:f>IF(AND('Carta Contemplada'!$B$22="Sim",$A207&gt;='Carta Contemplada'!$B$23),INDEX('Carta Contemplada'!$I$55:$I$1013,$A207),0)</x:f>
        <x:v>0</x:v>
      </x:c>
      <x:c r="CF207" s="141" t="n">
        <x:f>IF(AND('Carta Contemplada'!$B$22="Sim",$A207&gt;='Carta Contemplada'!$B$44),$F207,0)</x:f>
        <x:v>533349.7071358911</x:v>
      </x:c>
      <x:c r="CG207" s="141" t="n">
        <x:f>CD207+CF207-CE207</x:f>
        <x:v>4691878.518966213</x:v>
      </x:c>
      <x:c r="CH207" s="141" t="n">
        <x:f>IF(CC207&gt;1,"Inviavel",CG207)</x:f>
        <x:v>4691878.518966213</x:v>
      </x:c>
      <x:c r="CI207" s="145" t="str">
        <x:f>IF(CC207&gt;1,"Inviavel","OK")</x:f>
        <x:v>OK</x:v>
      </x:c>
    </x:row>
    <x:row r="208">
      <x:c r="A208" s="142" t="n">
        <x:v>204</x:v>
      </x:c>
      <x:c r="B208" s="179" t="n">
        <x:f>EDATE(Premissas!$B$4,A208-1)</x:f>
        <x:v>52718</x:v>
      </x:c>
      <x:c r="C208" s="141" t="n">
        <x:f>IF(A208&lt;=Premissas!$B$39,Premissas!$B$42,0)</x:f>
        <x:v>7000</x:v>
      </x:c>
      <x:c r="D208" s="141" t="n">
        <x:f>Premissas!$B$54*(1+Premissas!$B$57)^INT((A208-1)/12)</x:f>
        <x:v>1778.2461792799713</x:v>
      </x:c>
      <x:c r="E208" s="141" t="n">
        <x:f>Premissas!$B$64*(1+Premissas!$B$57)^INT((A208-1)/12)</x:f>
        <x:v>1625.8250781988309</x:v>
      </x:c>
      <x:c r="F208" s="141" t="n">
        <x:f>MAX(0,Premissas!$B$6*(1+Premissas!$B$66)^((A208-1)/12))</x:f>
        <x:v>535945.813804386</x:v>
      </x:c>
      <x:c r="G208" s="141" t="n">
        <x:f>G207*(1+Premissas!$B$41)+C208</x:f>
        <x:v>4939586.228432884</x:v>
      </x:c>
      <x:c r="H208" s="141" t="n">
        <x:f>IF($A208=Premissas!$B$48,Premissas!$B$8,0)</x:f>
        <x:v>0</x:v>
      </x:c>
      <x:c r="I208" s="141" t="n">
        <x:f>IF(AND($A208&gt;=Premissas!$B$48,$A208-Premissas!$B$48+1&lt;=Premissas!$B$13),INDEX(Financiamento!$J$6:$J$485,$A208-Premissas!$B$48+1),0)</x:f>
        <x:v>1315.3592635445814</x:v>
      </x:c>
      <x:c r="J208" s="141" t="n">
        <x:f>IF(AND(TRUE,Premissas!$B$11="Imovel",Premissas!$B$47="Moradia",$A208&lt;MAX(Premissas!$B$48,Premissas!$B$49)),$D208,0)</x:f>
        <x:v>0</x:v>
      </x:c>
      <x:c r="K208" s="141" t="n">
        <x:f>IF(AND(TRUE,Premissas!$B$11="Imovel",Premissas!$B$47="Investimento",$A208&gt;=MAX(Premissas!$B$48,Premissas!$B$49)),$E208,0)</x:f>
        <x:v>1625.8250781988309</x:v>
      </x:c>
      <x:c r="L208" s="141" t="n">
        <x:f>H208+I208+J208</x:f>
        <x:v>1315.3592635445814</x:v>
      </x:c>
      <x:c r="M208" s="141" t="n">
        <x:f>K208</x:f>
        <x:v>1625.8250781988309</x:v>
      </x:c>
      <x:c r="N208" s="141" t="n">
        <x:f>$C208+M208-L208</x:f>
        <x:v>7310.465814654251</x:v>
      </x:c>
      <x:c r="O208" s="141" t="n">
        <x:f>R207*(1+Premissas!$B$41)+N208</x:f>
        <x:v>4121471.2757015466</x:v>
      </x:c>
      <x:c r="P208" s="141" t="n">
        <x:f>MAX(0,-O208)</x:f>
        <x:v>0</x:v>
      </x:c>
      <x:c r="Q208" s="141" t="n">
        <x:f>Q207*(1+Premissas!$B$41)+P208</x:f>
        <x:v>0</x:v>
      </x:c>
      <x:c r="R208" s="141" t="n">
        <x:f>MAX(0,O208)</x:f>
        <x:v>4121471.2757015466</x:v>
      </x:c>
      <x:c r="S208" s="141" t="n">
        <x:f>IF(AND($A208&gt;=Premissas!$B$48,$A208-Premissas!$B$48+1&lt;=Premissas!$B$13),INDEX(Financiamento!$M$6:$M$485,$A208-Premissas!$B$48+1),0)</x:f>
        <x:v>82285.71428571442</x:v>
      </x:c>
      <x:c r="T208" s="141" t="n">
        <x:f>IF($A208&gt;=Premissas!$B$48,$F208,0)</x:f>
        <x:v>535945.813804386</x:v>
      </x:c>
      <x:c r="U208" s="141" t="n">
        <x:f>R208+T208-S208</x:f>
        <x:v>4575131.375220218</x:v>
      </x:c>
      <x:c r="V208" s="141" t="n">
        <x:f>IF(Q208&gt;1,"Inviavel",U208)</x:f>
        <x:v>4575131.375220218</x:v>
      </x:c>
      <x:c r="W208" s="141" t="str">
        <x:f>IF(Q208&gt;1,"Inviavel","OK")</x:f>
        <x:v>OK</x:v>
      </x:c>
      <x:c r="X208" s="141" t="n">
        <x:f>IF($A208=Premissas!$B$48,Premissas!$B$8,0)</x:f>
        <x:v>0</x:v>
      </x:c>
      <x:c r="Y208" s="141" t="n">
        <x:f>IF(AND($A208&gt;=Premissas!$B$48,$A208-Premissas!$B$48+1&lt;=Premissas!$B$13),INDEX(Amortizacao!$K$6:$K$485,$A208-Premissas!$B$48+1),0)</x:f>
        <x:v>0</x:v>
      </x:c>
      <x:c r="Z208" s="141" t="n">
        <x:f>IF(AND(TRUE,Premissas!$B$11="Imovel",Premissas!$B$47="Moradia",$A208&lt;MAX(Premissas!$B$48,Premissas!$B$49)),$D208,0)</x:f>
        <x:v>0</x:v>
      </x:c>
      <x:c r="AA208" s="141" t="n">
        <x:f>IF(AND(TRUE,Premissas!$B$11="Imovel",Premissas!$B$47="Investimento",$A208&gt;=MAX(Premissas!$B$48,Premissas!$B$49)),$E208,0)</x:f>
        <x:v>1625.8250781988309</x:v>
      </x:c>
      <x:c r="AB208" s="141" t="n">
        <x:f>X208+Y208+Z208</x:f>
        <x:v>0</x:v>
      </x:c>
      <x:c r="AC208" s="141" t="n">
        <x:f>AA208</x:f>
        <x:v>1625.8250781988309</x:v>
      </x:c>
      <x:c r="AD208" s="141" t="n">
        <x:f>$C208+AC208-AB208</x:f>
        <x:v>8625.825078198832</x:v>
      </x:c>
      <x:c r="AE208" s="141" t="n">
        <x:f>AH207*(1+Premissas!$B$41)+AD208</x:f>
        <x:v>4107487.1467716643</x:v>
      </x:c>
      <x:c r="AF208" s="141" t="n">
        <x:f>MAX(0,-AE208)</x:f>
        <x:v>0</x:v>
      </x:c>
      <x:c r="AG208" s="141" t="n">
        <x:f>AG207*(1+Premissas!$B$41)+AF208</x:f>
        <x:v>0</x:v>
      </x:c>
      <x:c r="AH208" s="141" t="n">
        <x:f>MAX(0,AE208)</x:f>
        <x:v>4107487.1467716643</x:v>
      </x:c>
      <x:c r="AI208" s="141" t="n">
        <x:f>IF(AND($A208&gt;=Premissas!$B$48,$A208-Premissas!$B$48+1&lt;=Premissas!$B$13),INDEX(Amortizacao!$L$6:$L$485,$A208-Premissas!$B$48+1),0)</x:f>
        <x:v>0</x:v>
      </x:c>
      <x:c r="AJ208" s="141" t="n">
        <x:f>IF($A208&gt;=Premissas!$B$48,$F208,0)</x:f>
        <x:v>535945.813804386</x:v>
      </x:c>
      <x:c r="AK208" s="141" t="n">
        <x:f>AH208+AJ208-AI208</x:f>
        <x:v>4643432.96057605</x:v>
      </x:c>
      <x:c r="AL208" s="141" t="n">
        <x:f>IF(AG208&gt;1,"Inviavel",AK208)</x:f>
        <x:v>4643432.96057605</x:v>
      </x:c>
      <x:c r="AM208" s="141" t="str">
        <x:f>IF(AG208&gt;1,"Inviavel","OK")</x:f>
        <x:v>OK</x:v>
      </x:c>
      <x:c r="AN208" s="141" t="n">
        <x:f>IF($A208=Premissas!$B$48,Premissas!$B$8,0)</x:f>
        <x:v>0</x:v>
      </x:c>
      <x:c r="AO208" s="141" t="n">
        <x:f>IF($A208&lt;=Premissas!$B$25,INDEX('Consorcio IQ'!$K$6:$K$485,$A208),0)</x:f>
        <x:v>1449.183899015967</x:v>
      </x:c>
      <x:c r="AP208" s="141" t="n">
        <x:f>IF(AND(TRUE,Premissas!$B$11="Imovel",Premissas!$B$47="Moradia",$A208&lt;MAX(Premissas!$B$48,Premissas!$B$49)),$D208,0)</x:f>
        <x:v>0</x:v>
      </x:c>
      <x:c r="AQ208" s="141" t="n">
        <x:f>IF(AND(TRUE,Premissas!$B$11="Imovel",Premissas!$B$47="Investimento",$A208&gt;=MAX(Premissas!$B$48,Premissas!$B$49)),$E208,0)</x:f>
        <x:v>1625.8250781988309</x:v>
      </x:c>
      <x:c r="AR208" s="141" t="n">
        <x:f>AN208+AO208+AP208</x:f>
        <x:v>1449.183899015967</x:v>
      </x:c>
      <x:c r="AS208" s="141" t="n">
        <x:f>AQ208</x:f>
        <x:v>1625.8250781988309</x:v>
      </x:c>
      <x:c r="AT208" s="141" t="n">
        <x:f>$C208+AS208-AR208</x:f>
        <x:v>7176.641179182865</x:v>
      </x:c>
      <x:c r="AU208" s="141" t="n">
        <x:f>AX207*(1+Premissas!$B$41)+AT208</x:f>
        <x:v>4117477.356472336</x:v>
      </x:c>
      <x:c r="AV208" s="141" t="n">
        <x:f>MAX(0,-AU208)</x:f>
        <x:v>0</x:v>
      </x:c>
      <x:c r="AW208" s="141" t="n">
        <x:f>AW207*(1+Premissas!$B$41)+AV208</x:f>
        <x:v>0</x:v>
      </x:c>
      <x:c r="AX208" s="141" t="n">
        <x:f>MAX(0,AU208)</x:f>
        <x:v>4117477.356472336</x:v>
      </x:c>
      <x:c r="AY208" s="141" t="n">
        <x:f>INDEX('Consorcio IQ'!$P$6:$P$485,$A208)</x:f>
        <x:v>49298.019451943095</x:v>
      </x:c>
      <x:c r="AZ208" s="141" t="n">
        <x:f>IF($A208&gt;=Premissas!$B$48,$F208,0)+IF($A208&lt;Premissas!$B$27,INDEX('Consorcio IQ'!$O$6:$O$485,$A208),0)</x:f>
        <x:v>535945.813804386</x:v>
      </x:c>
      <x:c r="BA208" s="141" t="n">
        <x:f>AX208+AZ208-AY208</x:f>
        <x:v>4604125.150824779</x:v>
      </x:c>
      <x:c r="BB208" s="141" t="n">
        <x:f>IF(AW208&gt;1,"Inviavel",BA208)</x:f>
        <x:v>4604125.150824779</x:v>
      </x:c>
      <x:c r="BC208" s="141" t="str">
        <x:f>IF(AW208&gt;1,"Inviavel","OK")</x:f>
        <x:v>OK</x:v>
      </x:c>
      <x:c r="BD208" s="141" t="n">
        <x:f>IF($A208='Consorcio Direto'!$B$29,'Consorcio Direto'!$B$44,0)</x:f>
        <x:v>0</x:v>
      </x:c>
      <x:c r="BE208" s="141" t="n">
        <x:f>IF($A208&lt;='Consorcio Direto'!$B$27,INDEX('Consorcio Direto'!$E$55:$E$534,$A208),0)</x:f>
        <x:v>3752.6628134908774</x:v>
      </x:c>
      <x:c r="BF208" s="141" t="n">
        <x:f>IF(AND(TRUE,Premissas!$B$11="Imovel",Premissas!$B$47="Moradia",$A208&lt;MAX('Consorcio Direto'!$B$29,Premissas!$B$49)),$D208,0)</x:f>
        <x:v>0</x:v>
      </x:c>
      <x:c r="BG208" s="141" t="n">
        <x:f>IF(AND(TRUE,Premissas!$B$11="Imovel",Premissas!$B$47="Investimento",$A208&gt;=MAX('Consorcio Direto'!$B$29,Premissas!$B$49)),$E208,0)</x:f>
        <x:v>1625.8250781988309</x:v>
      </x:c>
      <x:c r="BH208" s="141" t="n">
        <x:f>BD208+BE208+BF208</x:f>
        <x:v>3752.6628134908774</x:v>
      </x:c>
      <x:c r="BI208" s="141" t="n">
        <x:f>BG208</x:f>
        <x:v>1625.8250781988309</x:v>
      </x:c>
      <x:c r="BJ208" s="141" t="n">
        <x:f>$C208+BI208-BH208</x:f>
        <x:v>4873.162264707955</x:v>
      </x:c>
      <x:c r="BK208" s="141" t="n">
        <x:f>BN207*(1+Premissas!$B$41)+BJ208</x:f>
        <x:v>3983401.8868801985</x:v>
      </x:c>
      <x:c r="BL208" s="141" t="n">
        <x:f>MAX(0,-BK208)</x:f>
        <x:v>0</x:v>
      </x:c>
      <x:c r="BM208" s="141" t="n">
        <x:f>BM207*(1+Premissas!$B$41)+BL208</x:f>
        <x:v>0</x:v>
      </x:c>
      <x:c r="BN208" s="141" t="n">
        <x:f>MAX(0,BK208)</x:f>
        <x:v>3983401.8868801985</x:v>
      </x:c>
      <x:c r="BO208" s="141" t="n">
        <x:f>INDEX('Consorcio Direto'!$K$55:$K$534,$A208)</x:f>
        <x:v>127657.25902811615</x:v>
      </x:c>
      <x:c r="BP208" s="141" t="n">
        <x:f>IF($A208&lt;'Consorcio Direto'!$B$29,INDEX('Consorcio Direto'!$L$55:$L$534,$A208),$F208)</x:f>
        <x:v>535945.813804386</x:v>
      </x:c>
      <x:c r="BQ208" s="141" t="n">
        <x:f>BN208+BP208-BO208</x:f>
        <x:v>4391690.441656468</x:v>
      </x:c>
      <x:c r="BR208" s="141" t="n">
        <x:f>IF(BM208&gt;1,"Inviavel",BQ208)</x:f>
        <x:v>4391690.441656468</x:v>
      </x:c>
      <x:c r="BS208" s="141" t="str">
        <x:f>IF(BM208&gt;1,"Inviavel","OK")</x:f>
        <x:v>OK</x:v>
      </x:c>
      <x:c r="BT208" s="141" t="n">
        <x:f>IF(AND('Carta Contemplada'!$B$22="Sim",$A208='Carta Contemplada'!$B$23),'Carta Contemplada'!$B$37,0)</x:f>
        <x:v>0</x:v>
      </x:c>
      <x:c r="BU208" s="141" t="n">
        <x:f>IF('Carta Contemplada'!$B$22="Sim",INDEX('Carta Contemplada'!$C$55:$C$1013,$A208),0)</x:f>
        <x:v>0</x:v>
      </x:c>
      <x:c r="BV208" s="141" t="n">
        <x:f>IF(AND('Carta Contemplada'!$B$22="Sim",Premissas!$B$11="Imovel",Premissas!$B$47="Moradia",$A208&lt;MAX('Carta Contemplada'!$B$44,Premissas!$B$49)),$D208,0)</x:f>
        <x:v>0</x:v>
      </x:c>
      <x:c r="BW208" s="141" t="n">
        <x:f>IF(AND('Carta Contemplada'!$B$22="Sim",Premissas!$B$11="Imovel",Premissas!$B$47="Investimento",$A208&gt;=MAX('Carta Contemplada'!$B$44,Premissas!$B$49)),$E208,0)</x:f>
        <x:v>1625.8250781988309</x:v>
      </x:c>
      <x:c r="BX208" s="141" t="n">
        <x:f>BT208+BU208+BV208</x:f>
        <x:v>0</x:v>
      </x:c>
      <x:c r="BY208" s="141" t="n">
        <x:f>BW208</x:f>
        <x:v>1625.8250781988309</x:v>
      </x:c>
      <x:c r="BZ208" s="141" t="n">
        <x:f>$C208+BY208-BX208</x:f>
        <x:v>8625.825078198832</x:v>
      </x:c>
      <x:c r="CA208" s="141" t="n">
        <x:f>CD207*(1+Premissas!$B$41)+BZ208</x:f>
        <x:v>4206614.055716476</x:v>
      </x:c>
      <x:c r="CB208" s="141" t="n">
        <x:f>MAX(0,-CA208)</x:f>
        <x:v>0</x:v>
      </x:c>
      <x:c r="CC208" s="141" t="n">
        <x:f>CC207*(1+Premissas!$B$41)+CB208</x:f>
        <x:v>0</x:v>
      </x:c>
      <x:c r="CD208" s="141" t="n">
        <x:f>MAX(0,CA208)</x:f>
        <x:v>4206614.055716476</x:v>
      </x:c>
      <x:c r="CE208" s="141" t="n">
        <x:f>IF(AND('Carta Contemplada'!$B$22="Sim",$A208&gt;='Carta Contemplada'!$B$23),INDEX('Carta Contemplada'!$I$55:$I$1013,$A208),0)</x:f>
        <x:v>0</x:v>
      </x:c>
      <x:c r="CF208" s="141" t="n">
        <x:f>IF(AND('Carta Contemplada'!$B$22="Sim",$A208&gt;='Carta Contemplada'!$B$44),$F208,0)</x:f>
        <x:v>535945.813804386</x:v>
      </x:c>
      <x:c r="CG208" s="141" t="n">
        <x:f>CD208+CF208-CE208</x:f>
        <x:v>4742559.869520863</x:v>
      </x:c>
      <x:c r="CH208" s="141" t="n">
        <x:f>IF(CC208&gt;1,"Inviavel",CG208)</x:f>
        <x:v>4742559.869520863</x:v>
      </x:c>
      <x:c r="CI208" s="145" t="str">
        <x:f>IF(CC208&gt;1,"Inviavel","OK")</x:f>
        <x:v>OK</x:v>
      </x:c>
    </x:row>
    <x:row r="209">
      <x:c r="A209" s="142" t="n">
        <x:v>205</x:v>
      </x:c>
      <x:c r="B209" s="179" t="n">
        <x:f>EDATE(Premissas!$B$4,A209-1)</x:f>
        <x:v>52749</x:v>
      </x:c>
      <x:c r="C209" s="141" t="n">
        <x:f>IF(A209&lt;=Premissas!$B$39,Premissas!$B$42,0)</x:f>
        <x:v>7000</x:v>
      </x:c>
      <x:c r="D209" s="141" t="n">
        <x:f>Premissas!$B$54*(1+Premissas!$B$57)^INT((A209-1)/12)</x:f>
        <x:v>1884.9409500367694</x:v>
      </x:c>
      <x:c r="E209" s="141" t="n">
        <x:f>Premissas!$B$64*(1+Premissas!$B$57)^INT((A209-1)/12)</x:f>
        <x:v>1723.3745828907606</x:v>
      </x:c>
      <x:c r="F209" s="141" t="n">
        <x:f>MAX(0,Premissas!$B$6*(1+Premissas!$B$66)^((A209-1)/12))</x:f>
        <x:v>538554.5571533627</x:v>
      </x:c>
      <x:c r="G209" s="141" t="n">
        <x:f>G208*(1+Premissas!$B$41)+C209</x:f>
        <x:v>4993456.939337002</x:v>
      </x:c>
      <x:c r="H209" s="141" t="n">
        <x:f>IF($A209=Premissas!$B$48,Premissas!$B$8,0)</x:f>
        <x:v>0</x:v>
      </x:c>
      <x:c r="I209" s="141" t="n">
        <x:f>IF(AND($A209&gt;=Premissas!$B$48,$A209-Premissas!$B$48+1&lt;=Premissas!$B$13),INDEX(Financiamento!$J$6:$J$485,$A209-Premissas!$B$48+1),0)</x:f>
        <x:v>1311.7444852837878</x:v>
      </x:c>
      <x:c r="J209" s="141" t="n">
        <x:f>IF(AND(TRUE,Premissas!$B$11="Imovel",Premissas!$B$47="Moradia",$A209&lt;MAX(Premissas!$B$48,Premissas!$B$49)),$D209,0)</x:f>
        <x:v>0</x:v>
      </x:c>
      <x:c r="K209" s="141" t="n">
        <x:f>IF(AND(TRUE,Premissas!$B$11="Imovel",Premissas!$B$47="Investimento",$A209&gt;=MAX(Premissas!$B$48,Premissas!$B$49)),$E209,0)</x:f>
        <x:v>1723.3745828907606</x:v>
      </x:c>
      <x:c r="L209" s="141" t="n">
        <x:f>H209+I209+J209</x:f>
        <x:v>1311.7444852837878</x:v>
      </x:c>
      <x:c r="M209" s="141" t="n">
        <x:f>K209</x:f>
        <x:v>1723.3745828907606</x:v>
      </x:c>
      <x:c r="N209" s="141" t="n">
        <x:f>$C209+M209-L209</x:f>
        <x:v>7411.630097606973</x:v>
      </x:c>
      <x:c r="O209" s="141" t="n">
        <x:f>R208*(1+Premissas!$B$41)+N209</x:f>
        <x:v>4167990.6933201174</x:v>
      </x:c>
      <x:c r="P209" s="141" t="n">
        <x:f>MAX(0,-O209)</x:f>
        <x:v>0</x:v>
      </x:c>
      <x:c r="Q209" s="141" t="n">
        <x:f>Q208*(1+Premissas!$B$41)+P209</x:f>
        <x:v>0</x:v>
      </x:c>
      <x:c r="R209" s="141" t="n">
        <x:f>MAX(0,O209)</x:f>
        <x:v>4167990.6933201174</x:v>
      </x:c>
      <x:c r="S209" s="141" t="n">
        <x:f>IF(AND($A209&gt;=Premissas!$B$48,$A209-Premissas!$B$48+1&lt;=Premissas!$B$13),INDEX(Financiamento!$M$6:$M$485,$A209-Premissas!$B$48+1),0)</x:f>
        <x:v>81904.76190476204</x:v>
      </x:c>
      <x:c r="T209" s="141" t="n">
        <x:f>IF($A209&gt;=Premissas!$B$48,$F209,0)</x:f>
        <x:v>538554.5571533627</x:v>
      </x:c>
      <x:c r="U209" s="141" t="n">
        <x:f>R209+T209-S209</x:f>
        <x:v>4624640.488568718</x:v>
      </x:c>
      <x:c r="V209" s="141" t="n">
        <x:f>IF(Q209&gt;1,"Inviavel",U209)</x:f>
        <x:v>4624640.488568718</x:v>
      </x:c>
      <x:c r="W209" s="141" t="str">
        <x:f>IF(Q209&gt;1,"Inviavel","OK")</x:f>
        <x:v>OK</x:v>
      </x:c>
      <x:c r="X209" s="141" t="n">
        <x:f>IF($A209=Premissas!$B$48,Premissas!$B$8,0)</x:f>
        <x:v>0</x:v>
      </x:c>
      <x:c r="Y209" s="141" t="n">
        <x:f>IF(AND($A209&gt;=Premissas!$B$48,$A209-Premissas!$B$48+1&lt;=Premissas!$B$13),INDEX(Amortizacao!$K$6:$K$485,$A209-Premissas!$B$48+1),0)</x:f>
        <x:v>0</x:v>
      </x:c>
      <x:c r="Z209" s="141" t="n">
        <x:f>IF(AND(TRUE,Premissas!$B$11="Imovel",Premissas!$B$47="Moradia",$A209&lt;MAX(Premissas!$B$48,Premissas!$B$49)),$D209,0)</x:f>
        <x:v>0</x:v>
      </x:c>
      <x:c r="AA209" s="141" t="n">
        <x:f>IF(AND(TRUE,Premissas!$B$11="Imovel",Premissas!$B$47="Investimento",$A209&gt;=MAX(Premissas!$B$48,Premissas!$B$49)),$E209,0)</x:f>
        <x:v>1723.3745828907606</x:v>
      </x:c>
      <x:c r="AB209" s="141" t="n">
        <x:f>X209+Y209+Z209</x:f>
        <x:v>0</x:v>
      </x:c>
      <x:c r="AC209" s="141" t="n">
        <x:f>AA209</x:f>
        <x:v>1723.3745828907606</x:v>
      </x:c>
      <x:c r="AD209" s="141" t="n">
        <x:f>$C209+AC209-AB209</x:f>
        <x:v>8723.374582890761</x:v>
      </x:c>
      <x:c r="AE209" s="141" t="n">
        <x:f>AH208*(1+Premissas!$B$41)+AD209</x:f>
        <x:v>4155185.6163717327</x:v>
      </x:c>
      <x:c r="AF209" s="141" t="n">
        <x:f>MAX(0,-AE209)</x:f>
        <x:v>0</x:v>
      </x:c>
      <x:c r="AG209" s="141" t="n">
        <x:f>AG208*(1+Premissas!$B$41)+AF209</x:f>
        <x:v>0</x:v>
      </x:c>
      <x:c r="AH209" s="141" t="n">
        <x:f>MAX(0,AE209)</x:f>
        <x:v>4155185.6163717327</x:v>
      </x:c>
      <x:c r="AI209" s="141" t="n">
        <x:f>IF(AND($A209&gt;=Premissas!$B$48,$A209-Premissas!$B$48+1&lt;=Premissas!$B$13),INDEX(Amortizacao!$L$6:$L$485,$A209-Premissas!$B$48+1),0)</x:f>
        <x:v>0</x:v>
      </x:c>
      <x:c r="AJ209" s="141" t="n">
        <x:f>IF($A209&gt;=Premissas!$B$48,$F209,0)</x:f>
        <x:v>538554.5571533627</x:v>
      </x:c>
      <x:c r="AK209" s="141" t="n">
        <x:f>AH209+AJ209-AI209</x:f>
        <x:v>4693740.173525095</x:v>
      </x:c>
      <x:c r="AL209" s="141" t="n">
        <x:f>IF(AG209&gt;1,"Inviavel",AK209)</x:f>
        <x:v>4693740.173525095</x:v>
      </x:c>
      <x:c r="AM209" s="141" t="str">
        <x:f>IF(AG209&gt;1,"Inviavel","OK")</x:f>
        <x:v>OK</x:v>
      </x:c>
      <x:c r="AN209" s="141" t="n">
        <x:f>IF($A209=Premissas!$B$48,Premissas!$B$8,0)</x:f>
        <x:v>0</x:v>
      </x:c>
      <x:c r="AO209" s="141" t="n">
        <x:f>IF($A209&lt;=Premissas!$B$25,INDEX('Consorcio IQ'!$K$6:$K$485,$A209),0)</x:f>
        <x:v>1536.134932956925</x:v>
      </x:c>
      <x:c r="AP209" s="141" t="n">
        <x:f>IF(AND(TRUE,Premissas!$B$11="Imovel",Premissas!$B$47="Moradia",$A209&lt;MAX(Premissas!$B$48,Premissas!$B$49)),$D209,0)</x:f>
        <x:v>0</x:v>
      </x:c>
      <x:c r="AQ209" s="141" t="n">
        <x:f>IF(AND(TRUE,Premissas!$B$11="Imovel",Premissas!$B$47="Investimento",$A209&gt;=MAX(Premissas!$B$48,Premissas!$B$49)),$E209,0)</x:f>
        <x:v>1723.3745828907606</x:v>
      </x:c>
      <x:c r="AR209" s="141" t="n">
        <x:f>AN209+AO209+AP209</x:f>
        <x:v>1536.134932956925</x:v>
      </x:c>
      <x:c r="AS209" s="141" t="n">
        <x:f>AQ209</x:f>
        <x:v>1723.3745828907606</x:v>
      </x:c>
      <x:c r="AT209" s="141" t="n">
        <x:f>$C209+AS209-AR209</x:f>
        <x:v>7187.2396499338365</x:v>
      </x:c>
      <x:c r="AU209" s="141" t="n">
        <x:f>AX208*(1+Premissas!$B$41)+AT209</x:f>
        <x:v>4163734.4861706705</x:v>
      </x:c>
      <x:c r="AV209" s="141" t="n">
        <x:f>MAX(0,-AU209)</x:f>
        <x:v>0</x:v>
      </x:c>
      <x:c r="AW209" s="141" t="n">
        <x:f>AW208*(1+Premissas!$B$41)+AV209</x:f>
        <x:v>0</x:v>
      </x:c>
      <x:c r="AX209" s="141" t="n">
        <x:f>MAX(0,AU209)</x:f>
        <x:v>4163734.4861706705</x:v>
      </x:c>
      <x:c r="AY209" s="141" t="n">
        <x:f>INDEX('Consorcio IQ'!$P$6:$P$485,$A209)</x:f>
        <x:v>48229.663217650705</x:v>
      </x:c>
      <x:c r="AZ209" s="141" t="n">
        <x:f>IF($A209&gt;=Premissas!$B$48,$F209,0)+IF($A209&lt;Premissas!$B$27,INDEX('Consorcio IQ'!$O$6:$O$485,$A209),0)</x:f>
        <x:v>538554.5571533627</x:v>
      </x:c>
      <x:c r="BA209" s="141" t="n">
        <x:f>AX209+AZ209-AY209</x:f>
        <x:v>4654059.380106382</x:v>
      </x:c>
      <x:c r="BB209" s="141" t="n">
        <x:f>IF(AW209&gt;1,"Inviavel",BA209)</x:f>
        <x:v>4654059.380106382</x:v>
      </x:c>
      <x:c r="BC209" s="141" t="str">
        <x:f>IF(AW209&gt;1,"Inviavel","OK")</x:f>
        <x:v>OK</x:v>
      </x:c>
      <x:c r="BD209" s="141" t="n">
        <x:f>IF($A209='Consorcio Direto'!$B$29,'Consorcio Direto'!$B$44,0)</x:f>
        <x:v>0</x:v>
      </x:c>
      <x:c r="BE209" s="141" t="n">
        <x:f>IF($A209&lt;='Consorcio Direto'!$B$27,INDEX('Consorcio Direto'!$E$55:$E$534,$A209),0)</x:f>
        <x:v>3977.8225823003295</x:v>
      </x:c>
      <x:c r="BF209" s="141" t="n">
        <x:f>IF(AND(TRUE,Premissas!$B$11="Imovel",Premissas!$B$47="Moradia",$A209&lt;MAX('Consorcio Direto'!$B$29,Premissas!$B$49)),$D209,0)</x:f>
        <x:v>0</x:v>
      </x:c>
      <x:c r="BG209" s="141" t="n">
        <x:f>IF(AND(TRUE,Premissas!$B$11="Imovel",Premissas!$B$47="Investimento",$A209&gt;=MAX('Consorcio Direto'!$B$29,Premissas!$B$49)),$E209,0)</x:f>
        <x:v>1723.3745828907606</x:v>
      </x:c>
      <x:c r="BH209" s="141" t="n">
        <x:f>BD209+BE209+BF209</x:f>
        <x:v>3977.8225823003295</x:v>
      </x:c>
      <x:c r="BI209" s="141" t="n">
        <x:f>BG209</x:f>
        <x:v>1723.3745828907606</x:v>
      </x:c>
      <x:c r="BJ209" s="141" t="n">
        <x:f>$C209+BI209-BH209</x:f>
        <x:v>4745.552000590432</x:v>
      </x:c>
      <x:c r="BK209" s="141" t="n">
        <x:f>BN208*(1+Premissas!$B$41)+BJ209</x:f>
        <x:v>4025945.1145606227</x:v>
      </x:c>
      <x:c r="BL209" s="141" t="n">
        <x:f>MAX(0,-BK209)</x:f>
        <x:v>0</x:v>
      </x:c>
      <x:c r="BM209" s="141" t="n">
        <x:f>BM208*(1+Premissas!$B$41)+BL209</x:f>
        <x:v>0</x:v>
      </x:c>
      <x:c r="BN209" s="141" t="n">
        <x:f>MAX(0,BK209)</x:f>
        <x:v>4025945.1145606227</x:v>
      </x:c>
      <x:c r="BO209" s="141" t="n">
        <x:f>INDEX('Consorcio Direto'!$K$55:$K$534,$A209)</x:f>
        <x:v>124890.74974333005</x:v>
      </x:c>
      <x:c r="BP209" s="141" t="n">
        <x:f>IF($A209&lt;'Consorcio Direto'!$B$29,INDEX('Consorcio Direto'!$L$55:$L$534,$A209),$F209)</x:f>
        <x:v>538554.5571533627</x:v>
      </x:c>
      <x:c r="BQ209" s="141" t="n">
        <x:f>BN209+BP209-BO209</x:f>
        <x:v>4439608.921970655</x:v>
      </x:c>
      <x:c r="BR209" s="141" t="n">
        <x:f>IF(BM209&gt;1,"Inviavel",BQ209)</x:f>
        <x:v>4439608.921970655</x:v>
      </x:c>
      <x:c r="BS209" s="141" t="str">
        <x:f>IF(BM209&gt;1,"Inviavel","OK")</x:f>
        <x:v>OK</x:v>
      </x:c>
      <x:c r="BT209" s="141" t="n">
        <x:f>IF(AND('Carta Contemplada'!$B$22="Sim",$A209='Carta Contemplada'!$B$23),'Carta Contemplada'!$B$37,0)</x:f>
        <x:v>0</x:v>
      </x:c>
      <x:c r="BU209" s="141" t="n">
        <x:f>IF('Carta Contemplada'!$B$22="Sim",INDEX('Carta Contemplada'!$C$55:$C$1013,$A209),0)</x:f>
        <x:v>0</x:v>
      </x:c>
      <x:c r="BV209" s="141" t="n">
        <x:f>IF(AND('Carta Contemplada'!$B$22="Sim",Premissas!$B$11="Imovel",Premissas!$B$47="Moradia",$A209&lt;MAX('Carta Contemplada'!$B$44,Premissas!$B$49)),$D209,0)</x:f>
        <x:v>0</x:v>
      </x:c>
      <x:c r="BW209" s="141" t="n">
        <x:f>IF(AND('Carta Contemplada'!$B$22="Sim",Premissas!$B$11="Imovel",Premissas!$B$47="Investimento",$A209&gt;=MAX('Carta Contemplada'!$B$44,Premissas!$B$49)),$E209,0)</x:f>
        <x:v>1723.3745828907606</x:v>
      </x:c>
      <x:c r="BX209" s="141" t="n">
        <x:f>BT209+BU209+BV209</x:f>
        <x:v>0</x:v>
      </x:c>
      <x:c r="BY209" s="141" t="n">
        <x:f>BW209</x:f>
        <x:v>1723.3745828907606</x:v>
      </x:c>
      <x:c r="BZ209" s="141" t="n">
        <x:f>$C209+BY209-BX209</x:f>
        <x:v>8723.374582890761</x:v>
      </x:c>
      <x:c r="CA209" s="141" t="n">
        <x:f>CD208*(1+Premissas!$B$41)+BZ209</x:f>
        <x:v>4255253.120029767</x:v>
      </x:c>
      <x:c r="CB209" s="141" t="n">
        <x:f>MAX(0,-CA209)</x:f>
        <x:v>0</x:v>
      </x:c>
      <x:c r="CC209" s="141" t="n">
        <x:f>CC208*(1+Premissas!$B$41)+CB209</x:f>
        <x:v>0</x:v>
      </x:c>
      <x:c r="CD209" s="141" t="n">
        <x:f>MAX(0,CA209)</x:f>
        <x:v>4255253.120029767</x:v>
      </x:c>
      <x:c r="CE209" s="141" t="n">
        <x:f>IF(AND('Carta Contemplada'!$B$22="Sim",$A209&gt;='Carta Contemplada'!$B$23),INDEX('Carta Contemplada'!$I$55:$I$1013,$A209),0)</x:f>
        <x:v>0</x:v>
      </x:c>
      <x:c r="CF209" s="141" t="n">
        <x:f>IF(AND('Carta Contemplada'!$B$22="Sim",$A209&gt;='Carta Contemplada'!$B$44),$F209,0)</x:f>
        <x:v>538554.5571533627</x:v>
      </x:c>
      <x:c r="CG209" s="141" t="n">
        <x:f>CD209+CF209-CE209</x:f>
        <x:v>4793807.67718313</x:v>
      </x:c>
      <x:c r="CH209" s="141" t="n">
        <x:f>IF(CC209&gt;1,"Inviavel",CG209)</x:f>
        <x:v>4793807.67718313</x:v>
      </x:c>
      <x:c r="CI209" s="145" t="str">
        <x:f>IF(CC209&gt;1,"Inviavel","OK")</x:f>
        <x:v>OK</x:v>
      </x:c>
    </x:row>
    <x:row r="210">
      <x:c r="A210" s="142" t="n">
        <x:v>206</x:v>
      </x:c>
      <x:c r="B210" s="179" t="n">
        <x:f>EDATE(Premissas!$B$4,A210-1)</x:f>
        <x:v>52779</x:v>
      </x:c>
      <x:c r="C210" s="141" t="n">
        <x:f>IF(A210&lt;=Premissas!$B$39,Premissas!$B$42,0)</x:f>
        <x:v>7000</x:v>
      </x:c>
      <x:c r="D210" s="141" t="n">
        <x:f>Premissas!$B$54*(1+Premissas!$B$57)^INT((A210-1)/12)</x:f>
        <x:v>1884.9409500367694</x:v>
      </x:c>
      <x:c r="E210" s="141" t="n">
        <x:f>Premissas!$B$64*(1+Premissas!$B$57)^INT((A210-1)/12)</x:f>
        <x:v>1723.3745828907606</x:v>
      </x:c>
      <x:c r="F210" s="141" t="n">
        <x:f>MAX(0,Premissas!$B$6*(1+Premissas!$B$66)^((A210-1)/12))</x:f>
        <x:v>541175.9986925026</x:v>
      </x:c>
      <x:c r="G210" s="141" t="n">
        <x:f>G209*(1+Premissas!$B$41)+C210</x:f>
        <x:v>5047838.818262128</x:v>
      </x:c>
      <x:c r="H210" s="141" t="n">
        <x:f>IF($A210=Premissas!$B$48,Premissas!$B$8,0)</x:f>
        <x:v>0</x:v>
      </x:c>
      <x:c r="I210" s="141" t="n">
        <x:f>IF(AND($A210&gt;=Premissas!$B$48,$A210-Premissas!$B$48+1&lt;=Premissas!$B$13),INDEX(Financiamento!$J$6:$J$485,$A210-Premissas!$B$48+1),0)</x:f>
        <x:v>1308.1297070229941</x:v>
      </x:c>
      <x:c r="J210" s="141" t="n">
        <x:f>IF(AND(TRUE,Premissas!$B$11="Imovel",Premissas!$B$47="Moradia",$A210&lt;MAX(Premissas!$B$48,Premissas!$B$49)),$D210,0)</x:f>
        <x:v>0</x:v>
      </x:c>
      <x:c r="K210" s="141" t="n">
        <x:f>IF(AND(TRUE,Premissas!$B$11="Imovel",Premissas!$B$47="Investimento",$A210&gt;=MAX(Premissas!$B$48,Premissas!$B$49)),$E210,0)</x:f>
        <x:v>1723.3745828907606</x:v>
      </x:c>
      <x:c r="L210" s="141" t="n">
        <x:f>H210+I210+J210</x:f>
        <x:v>1308.1297070229941</x:v>
      </x:c>
      <x:c r="M210" s="141" t="n">
        <x:f>K210</x:f>
        <x:v>1723.3745828907606</x:v>
      </x:c>
      <x:c r="N210" s="141" t="n">
        <x:f>$C210+M210-L210</x:f>
        <x:v>7415.244875867767</x:v>
      </x:c>
      <x:c r="O210" s="141" t="n">
        <x:f>R209*(1+Premissas!$B$41)+N210</x:f>
        <x:v>4214955.138838169</x:v>
      </x:c>
      <x:c r="P210" s="141" t="n">
        <x:f>MAX(0,-O210)</x:f>
        <x:v>0</x:v>
      </x:c>
      <x:c r="Q210" s="141" t="n">
        <x:f>Q209*(1+Premissas!$B$41)+P210</x:f>
        <x:v>0</x:v>
      </x:c>
      <x:c r="R210" s="141" t="n">
        <x:f>MAX(0,O210)</x:f>
        <x:v>4214955.138838169</x:v>
      </x:c>
      <x:c r="S210" s="141" t="n">
        <x:f>IF(AND($A210&gt;=Premissas!$B$48,$A210-Premissas!$B$48+1&lt;=Premissas!$B$13),INDEX(Financiamento!$M$6:$M$485,$A210-Premissas!$B$48+1),0)</x:f>
        <x:v>81523.80952380966</x:v>
      </x:c>
      <x:c r="T210" s="141" t="n">
        <x:f>IF($A210&gt;=Premissas!$B$48,$F210,0)</x:f>
        <x:v>541175.9986925026</x:v>
      </x:c>
      <x:c r="U210" s="141" t="n">
        <x:f>R210+T210-S210</x:f>
        <x:v>4674607.328006862</x:v>
      </x:c>
      <x:c r="V210" s="141" t="n">
        <x:f>IF(Q210&gt;1,"Inviavel",U210)</x:f>
        <x:v>4674607.328006862</x:v>
      </x:c>
      <x:c r="W210" s="141" t="str">
        <x:f>IF(Q210&gt;1,"Inviavel","OK")</x:f>
        <x:v>OK</x:v>
      </x:c>
      <x:c r="X210" s="141" t="n">
        <x:f>IF($A210=Premissas!$B$48,Premissas!$B$8,0)</x:f>
        <x:v>0</x:v>
      </x:c>
      <x:c r="Y210" s="141" t="n">
        <x:f>IF(AND($A210&gt;=Premissas!$B$48,$A210-Premissas!$B$48+1&lt;=Premissas!$B$13),INDEX(Amortizacao!$K$6:$K$485,$A210-Premissas!$B$48+1),0)</x:f>
        <x:v>0</x:v>
      </x:c>
      <x:c r="Z210" s="141" t="n">
        <x:f>IF(AND(TRUE,Premissas!$B$11="Imovel",Premissas!$B$47="Moradia",$A210&lt;MAX(Premissas!$B$48,Premissas!$B$49)),$D210,0)</x:f>
        <x:v>0</x:v>
      </x:c>
      <x:c r="AA210" s="141" t="n">
        <x:f>IF(AND(TRUE,Premissas!$B$11="Imovel",Premissas!$B$47="Investimento",$A210&gt;=MAX(Premissas!$B$48,Premissas!$B$49)),$E210,0)</x:f>
        <x:v>1723.3745828907606</x:v>
      </x:c>
      <x:c r="AB210" s="141" t="n">
        <x:f>X210+Y210+Z210</x:f>
        <x:v>0</x:v>
      </x:c>
      <x:c r="AC210" s="141" t="n">
        <x:f>AA210</x:f>
        <x:v>1723.3745828907606</x:v>
      </x:c>
      <x:c r="AD210" s="141" t="n">
        <x:f>$C210+AC210-AB210</x:f>
        <x:v>8723.374582890761</x:v>
      </x:c>
      <x:c r="AE210" s="141" t="n">
        <x:f>AH209*(1+Premissas!$B$41)+AD210</x:f>
        <x:v>4203336.686873132</x:v>
      </x:c>
      <x:c r="AF210" s="141" t="n">
        <x:f>MAX(0,-AE210)</x:f>
        <x:v>0</x:v>
      </x:c>
      <x:c r="AG210" s="141" t="n">
        <x:f>AG209*(1+Premissas!$B$41)+AF210</x:f>
        <x:v>0</x:v>
      </x:c>
      <x:c r="AH210" s="141" t="n">
        <x:f>MAX(0,AE210)</x:f>
        <x:v>4203336.686873132</x:v>
      </x:c>
      <x:c r="AI210" s="141" t="n">
        <x:f>IF(AND($A210&gt;=Premissas!$B$48,$A210-Premissas!$B$48+1&lt;=Premissas!$B$13),INDEX(Amortizacao!$L$6:$L$485,$A210-Premissas!$B$48+1),0)</x:f>
        <x:v>0</x:v>
      </x:c>
      <x:c r="AJ210" s="141" t="n">
        <x:f>IF($A210&gt;=Premissas!$B$48,$F210,0)</x:f>
        <x:v>541175.9986925026</x:v>
      </x:c>
      <x:c r="AK210" s="141" t="n">
        <x:f>AH210+AJ210-AI210</x:f>
        <x:v>4744512.685565635</x:v>
      </x:c>
      <x:c r="AL210" s="141" t="n">
        <x:f>IF(AG210&gt;1,"Inviavel",AK210)</x:f>
        <x:v>4744512.685565635</x:v>
      </x:c>
      <x:c r="AM210" s="141" t="str">
        <x:f>IF(AG210&gt;1,"Inviavel","OK")</x:f>
        <x:v>OK</x:v>
      </x:c>
      <x:c r="AN210" s="141" t="n">
        <x:f>IF($A210=Premissas!$B$48,Premissas!$B$8,0)</x:f>
        <x:v>0</x:v>
      </x:c>
      <x:c r="AO210" s="141" t="n">
        <x:f>IF($A210&lt;=Premissas!$B$25,INDEX('Consorcio IQ'!$K$6:$K$485,$A210),0)</x:f>
        <x:v>1536.134932956925</x:v>
      </x:c>
      <x:c r="AP210" s="141" t="n">
        <x:f>IF(AND(TRUE,Premissas!$B$11="Imovel",Premissas!$B$47="Moradia",$A210&lt;MAX(Premissas!$B$48,Premissas!$B$49)),$D210,0)</x:f>
        <x:v>0</x:v>
      </x:c>
      <x:c r="AQ210" s="141" t="n">
        <x:f>IF(AND(TRUE,Premissas!$B$11="Imovel",Premissas!$B$47="Investimento",$A210&gt;=MAX(Premissas!$B$48,Premissas!$B$49)),$E210,0)</x:f>
        <x:v>1723.3745828907606</x:v>
      </x:c>
      <x:c r="AR210" s="141" t="n">
        <x:f>AN210+AO210+AP210</x:f>
        <x:v>1536.134932956925</x:v>
      </x:c>
      <x:c r="AS210" s="141" t="n">
        <x:f>AQ210</x:f>
        <x:v>1723.3745828907606</x:v>
      </x:c>
      <x:c r="AT210" s="141" t="n">
        <x:f>$C210+AS210-AR210</x:f>
        <x:v>7187.2396499338365</x:v>
      </x:c>
      <x:c r="AU210" s="141" t="n">
        <x:f>AX209*(1+Premissas!$B$41)+AT210</x:f>
        <x:v>4210430.54019446</x:v>
      </x:c>
      <x:c r="AV210" s="141" t="n">
        <x:f>MAX(0,-AU210)</x:f>
        <x:v>0</x:v>
      </x:c>
      <x:c r="AW210" s="141" t="n">
        <x:f>AW209*(1+Premissas!$B$41)+AV210</x:f>
        <x:v>0</x:v>
      </x:c>
      <x:c r="AX210" s="141" t="n">
        <x:f>MAX(0,AU210)</x:f>
        <x:v>4210430.54019446</x:v>
      </x:c>
      <x:c r="AY210" s="141" t="n">
        <x:f>INDEX('Consorcio IQ'!$P$6:$P$485,$A210)</x:f>
        <x:v>47151.169572270745</x:v>
      </x:c>
      <x:c r="AZ210" s="141" t="n">
        <x:f>IF($A210&gt;=Premissas!$B$48,$F210,0)+IF($A210&lt;Premissas!$B$27,INDEX('Consorcio IQ'!$O$6:$O$485,$A210),0)</x:f>
        <x:v>541175.9986925026</x:v>
      </x:c>
      <x:c r="BA210" s="141" t="n">
        <x:f>AX210+AZ210-AY210</x:f>
        <x:v>4704455.369314692</x:v>
      </x:c>
      <x:c r="BB210" s="141" t="n">
        <x:f>IF(AW210&gt;1,"Inviavel",BA210)</x:f>
        <x:v>4704455.369314692</x:v>
      </x:c>
      <x:c r="BC210" s="141" t="str">
        <x:f>IF(AW210&gt;1,"Inviavel","OK")</x:f>
        <x:v>OK</x:v>
      </x:c>
      <x:c r="BD210" s="141" t="n">
        <x:f>IF($A210='Consorcio Direto'!$B$29,'Consorcio Direto'!$B$44,0)</x:f>
        <x:v>0</x:v>
      </x:c>
      <x:c r="BE210" s="141" t="n">
        <x:f>IF($A210&lt;='Consorcio Direto'!$B$27,INDEX('Consorcio Direto'!$E$55:$E$534,$A210),0)</x:f>
        <x:v>3977.8225823003295</x:v>
      </x:c>
      <x:c r="BF210" s="141" t="n">
        <x:f>IF(AND(TRUE,Premissas!$B$11="Imovel",Premissas!$B$47="Moradia",$A210&lt;MAX('Consorcio Direto'!$B$29,Premissas!$B$49)),$D210,0)</x:f>
        <x:v>0</x:v>
      </x:c>
      <x:c r="BG210" s="141" t="n">
        <x:f>IF(AND(TRUE,Premissas!$B$11="Imovel",Premissas!$B$47="Investimento",$A210&gt;=MAX('Consorcio Direto'!$B$29,Premissas!$B$49)),$E210,0)</x:f>
        <x:v>1723.3745828907606</x:v>
      </x:c>
      <x:c r="BH210" s="141" t="n">
        <x:f>BD210+BE210+BF210</x:f>
        <x:v>3977.8225823003295</x:v>
      </x:c>
      <x:c r="BI210" s="141" t="n">
        <x:f>BG210</x:f>
        <x:v>1723.3745828907606</x:v>
      </x:c>
      <x:c r="BJ210" s="141" t="n">
        <x:f>$C210+BI210-BH210</x:f>
        <x:v>4745.552000590432</x:v>
      </x:c>
      <x:c r="BK210" s="141" t="n">
        <x:f>BN209*(1+Premissas!$B$41)+BJ210</x:f>
        <x:v>4068892.0261192755</x:v>
      </x:c>
      <x:c r="BL210" s="141" t="n">
        <x:f>MAX(0,-BK210)</x:f>
        <x:v>0</x:v>
      </x:c>
      <x:c r="BM210" s="141" t="n">
        <x:f>BM209*(1+Premissas!$B$41)+BL210</x:f>
        <x:v>0</x:v>
      </x:c>
      <x:c r="BN210" s="141" t="n">
        <x:f>MAX(0,BK210)</x:f>
        <x:v>4068892.0261192755</x:v>
      </x:c>
      <x:c r="BO210" s="141" t="n">
        <x:f>INDEX('Consorcio Direto'!$K$55:$K$534,$A210)</x:f>
        <x:v>122097.989624789</x:v>
      </x:c>
      <x:c r="BP210" s="141" t="n">
        <x:f>IF($A210&lt;'Consorcio Direto'!$B$29,INDEX('Consorcio Direto'!$L$55:$L$534,$A210),$F210)</x:f>
        <x:v>541175.9986925026</x:v>
      </x:c>
      <x:c r="BQ210" s="141" t="n">
        <x:f>BN210+BP210-BO210</x:f>
        <x:v>4487970.035186989</x:v>
      </x:c>
      <x:c r="BR210" s="141" t="n">
        <x:f>IF(BM210&gt;1,"Inviavel",BQ210)</x:f>
        <x:v>4487970.035186989</x:v>
      </x:c>
      <x:c r="BS210" s="141" t="str">
        <x:f>IF(BM210&gt;1,"Inviavel","OK")</x:f>
        <x:v>OK</x:v>
      </x:c>
      <x:c r="BT210" s="141" t="n">
        <x:f>IF(AND('Carta Contemplada'!$B$22="Sim",$A210='Carta Contemplada'!$B$23),'Carta Contemplada'!$B$37,0)</x:f>
        <x:v>0</x:v>
      </x:c>
      <x:c r="BU210" s="141" t="n">
        <x:f>IF('Carta Contemplada'!$B$22="Sim",INDEX('Carta Contemplada'!$C$55:$C$1013,$A210),0)</x:f>
        <x:v>0</x:v>
      </x:c>
      <x:c r="BV210" s="141" t="n">
        <x:f>IF(AND('Carta Contemplada'!$B$22="Sim",Premissas!$B$11="Imovel",Premissas!$B$47="Moradia",$A210&lt;MAX('Carta Contemplada'!$B$44,Premissas!$B$49)),$D210,0)</x:f>
        <x:v>0</x:v>
      </x:c>
      <x:c r="BW210" s="141" t="n">
        <x:f>IF(AND('Carta Contemplada'!$B$22="Sim",Premissas!$B$11="Imovel",Premissas!$B$47="Investimento",$A210&gt;=MAX('Carta Contemplada'!$B$44,Premissas!$B$49)),$E210,0)</x:f>
        <x:v>1723.3745828907606</x:v>
      </x:c>
      <x:c r="BX210" s="141" t="n">
        <x:f>BT210+BU210+BV210</x:f>
        <x:v>0</x:v>
      </x:c>
      <x:c r="BY210" s="141" t="n">
        <x:f>BW210</x:f>
        <x:v>1723.3745828907606</x:v>
      </x:c>
      <x:c r="BZ210" s="141" t="n">
        <x:f>$C210+BY210-BX210</x:f>
        <x:v>8723.374582890761</x:v>
      </x:c>
      <x:c r="CA210" s="141" t="n">
        <x:f>CD209*(1+Premissas!$B$41)+BZ210</x:f>
        <x:v>4304353.7103528585</x:v>
      </x:c>
      <x:c r="CB210" s="141" t="n">
        <x:f>MAX(0,-CA210)</x:f>
        <x:v>0</x:v>
      </x:c>
      <x:c r="CC210" s="141" t="n">
        <x:f>CC209*(1+Premissas!$B$41)+CB210</x:f>
        <x:v>0</x:v>
      </x:c>
      <x:c r="CD210" s="141" t="n">
        <x:f>MAX(0,CA210)</x:f>
        <x:v>4304353.7103528585</x:v>
      </x:c>
      <x:c r="CE210" s="141" t="n">
        <x:f>IF(AND('Carta Contemplada'!$B$22="Sim",$A210&gt;='Carta Contemplada'!$B$23),INDEX('Carta Contemplada'!$I$55:$I$1013,$A210),0)</x:f>
        <x:v>0</x:v>
      </x:c>
      <x:c r="CF210" s="141" t="n">
        <x:f>IF(AND('Carta Contemplada'!$B$22="Sim",$A210&gt;='Carta Contemplada'!$B$44),$F210,0)</x:f>
        <x:v>541175.9986925026</x:v>
      </x:c>
      <x:c r="CG210" s="141" t="n">
        <x:f>CD210+CF210-CE210</x:f>
        <x:v>4845529.709045361</x:v>
      </x:c>
      <x:c r="CH210" s="141" t="n">
        <x:f>IF(CC210&gt;1,"Inviavel",CG210)</x:f>
        <x:v>4845529.709045361</x:v>
      </x:c>
      <x:c r="CI210" s="145" t="str">
        <x:f>IF(CC210&gt;1,"Inviavel","OK")</x:f>
        <x:v>OK</x:v>
      </x:c>
    </x:row>
    <x:row r="211">
      <x:c r="A211" s="142" t="n">
        <x:v>207</x:v>
      </x:c>
      <x:c r="B211" s="179" t="n">
        <x:f>EDATE(Premissas!$B$4,A211-1)</x:f>
        <x:v>52810</x:v>
      </x:c>
      <x:c r="C211" s="141" t="n">
        <x:f>IF(A211&lt;=Premissas!$B$39,Premissas!$B$42,0)</x:f>
        <x:v>7000</x:v>
      </x:c>
      <x:c r="D211" s="141" t="n">
        <x:f>Premissas!$B$54*(1+Premissas!$B$57)^INT((A211-1)/12)</x:f>
        <x:v>1884.9409500367694</x:v>
      </x:c>
      <x:c r="E211" s="141" t="n">
        <x:f>Premissas!$B$64*(1+Premissas!$B$57)^INT((A211-1)/12)</x:f>
        <x:v>1723.3745828907606</x:v>
      </x:c>
      <x:c r="F211" s="141" t="n">
        <x:f>MAX(0,Premissas!$B$6*(1+Premissas!$B$66)^((A211-1)/12))</x:f>
        <x:v>543810.2002308886</x:v>
      </x:c>
      <x:c r="G211" s="141" t="n">
        <x:f>G210*(1+Premissas!$B$41)+C211</x:f>
        <x:v>5102736.715575768</x:v>
      </x:c>
      <x:c r="H211" s="141" t="n">
        <x:f>IF($A211=Premissas!$B$48,Premissas!$B$8,0)</x:f>
        <x:v>0</x:v>
      </x:c>
      <x:c r="I211" s="141" t="n">
        <x:f>IF(AND($A211&gt;=Premissas!$B$48,$A211-Premissas!$B$48+1&lt;=Premissas!$B$13),INDEX(Financiamento!$J$6:$J$485,$A211-Premissas!$B$48+1),0)</x:f>
        <x:v>1304.5149287622007</x:v>
      </x:c>
      <x:c r="J211" s="141" t="n">
        <x:f>IF(AND(TRUE,Premissas!$B$11="Imovel",Premissas!$B$47="Moradia",$A211&lt;MAX(Premissas!$B$48,Premissas!$B$49)),$D211,0)</x:f>
        <x:v>0</x:v>
      </x:c>
      <x:c r="K211" s="141" t="n">
        <x:f>IF(AND(TRUE,Premissas!$B$11="Imovel",Premissas!$B$47="Investimento",$A211&gt;=MAX(Premissas!$B$48,Premissas!$B$49)),$E211,0)</x:f>
        <x:v>1723.3745828907606</x:v>
      </x:c>
      <x:c r="L211" s="141" t="n">
        <x:f>H211+I211+J211</x:f>
        <x:v>1304.5149287622007</x:v>
      </x:c>
      <x:c r="M211" s="141" t="n">
        <x:f>K211</x:f>
        <x:v>1723.3745828907606</x:v>
      </x:c>
      <x:c r="N211" s="141" t="n">
        <x:f>$C211+M211-L211</x:f>
        <x:v>7418.859654128561</x:v>
      </x:c>
      <x:c r="O211" s="141" t="n">
        <x:f>R210*(1+Premissas!$B$41)+N211</x:f>
        <x:v>4262368.83503329</x:v>
      </x:c>
      <x:c r="P211" s="141" t="n">
        <x:f>MAX(0,-O211)</x:f>
        <x:v>0</x:v>
      </x:c>
      <x:c r="Q211" s="141" t="n">
        <x:f>Q210*(1+Premissas!$B$41)+P211</x:f>
        <x:v>0</x:v>
      </x:c>
      <x:c r="R211" s="141" t="n">
        <x:f>MAX(0,O211)</x:f>
        <x:v>4262368.83503329</x:v>
      </x:c>
      <x:c r="S211" s="141" t="n">
        <x:f>IF(AND($A211&gt;=Premissas!$B$48,$A211-Premissas!$B$48+1&lt;=Premissas!$B$13),INDEX(Financiamento!$M$6:$M$485,$A211-Premissas!$B$48+1),0)</x:f>
        <x:v>81142.85714285728</x:v>
      </x:c>
      <x:c r="T211" s="141" t="n">
        <x:f>IF($A211&gt;=Premissas!$B$48,$F211,0)</x:f>
        <x:v>543810.2002308886</x:v>
      </x:c>
      <x:c r="U211" s="141" t="n">
        <x:f>R211+T211-S211</x:f>
        <x:v>4725036.178121322</x:v>
      </x:c>
      <x:c r="V211" s="141" t="n">
        <x:f>IF(Q211&gt;1,"Inviavel",U211)</x:f>
        <x:v>4725036.178121322</x:v>
      </x:c>
      <x:c r="W211" s="141" t="str">
        <x:f>IF(Q211&gt;1,"Inviavel","OK")</x:f>
        <x:v>OK</x:v>
      </x:c>
      <x:c r="X211" s="141" t="n">
        <x:f>IF($A211=Premissas!$B$48,Premissas!$B$8,0)</x:f>
        <x:v>0</x:v>
      </x:c>
      <x:c r="Y211" s="141" t="n">
        <x:f>IF(AND($A211&gt;=Premissas!$B$48,$A211-Premissas!$B$48+1&lt;=Premissas!$B$13),INDEX(Amortizacao!$K$6:$K$485,$A211-Premissas!$B$48+1),0)</x:f>
        <x:v>0</x:v>
      </x:c>
      <x:c r="Z211" s="141" t="n">
        <x:f>IF(AND(TRUE,Premissas!$B$11="Imovel",Premissas!$B$47="Moradia",$A211&lt;MAX(Premissas!$B$48,Premissas!$B$49)),$D211,0)</x:f>
        <x:v>0</x:v>
      </x:c>
      <x:c r="AA211" s="141" t="n">
        <x:f>IF(AND(TRUE,Premissas!$B$11="Imovel",Premissas!$B$47="Investimento",$A211&gt;=MAX(Premissas!$B$48,Premissas!$B$49)),$E211,0)</x:f>
        <x:v>1723.3745828907606</x:v>
      </x:c>
      <x:c r="AB211" s="141" t="n">
        <x:f>X211+Y211+Z211</x:f>
        <x:v>0</x:v>
      </x:c>
      <x:c r="AC211" s="141" t="n">
        <x:f>AA211</x:f>
        <x:v>1723.3745828907606</x:v>
      </x:c>
      <x:c r="AD211" s="141" t="n">
        <x:f>$C211+AC211-AB211</x:f>
        <x:v>8723.374582890761</x:v>
      </x:c>
      <x:c r="AE211" s="141" t="n">
        <x:f>AH210*(1+Premissas!$B$41)+AD211</x:f>
        <x:v>4251944.652912098</x:v>
      </x:c>
      <x:c r="AF211" s="141" t="n">
        <x:f>MAX(0,-AE211)</x:f>
        <x:v>0</x:v>
      </x:c>
      <x:c r="AG211" s="141" t="n">
        <x:f>AG210*(1+Premissas!$B$41)+AF211</x:f>
        <x:v>0</x:v>
      </x:c>
      <x:c r="AH211" s="141" t="n">
        <x:f>MAX(0,AE211)</x:f>
        <x:v>4251944.652912098</x:v>
      </x:c>
      <x:c r="AI211" s="141" t="n">
        <x:f>IF(AND($A211&gt;=Premissas!$B$48,$A211-Premissas!$B$48+1&lt;=Premissas!$B$13),INDEX(Amortizacao!$L$6:$L$485,$A211-Premissas!$B$48+1),0)</x:f>
        <x:v>0</x:v>
      </x:c>
      <x:c r="AJ211" s="141" t="n">
        <x:f>IF($A211&gt;=Premissas!$B$48,$F211,0)</x:f>
        <x:v>543810.2002308886</x:v>
      </x:c>
      <x:c r="AK211" s="141" t="n">
        <x:f>AH211+AJ211-AI211</x:f>
        <x:v>4795754.853142986</x:v>
      </x:c>
      <x:c r="AL211" s="141" t="n">
        <x:f>IF(AG211&gt;1,"Inviavel",AK211)</x:f>
        <x:v>4795754.853142986</x:v>
      </x:c>
      <x:c r="AM211" s="141" t="str">
        <x:f>IF(AG211&gt;1,"Inviavel","OK")</x:f>
        <x:v>OK</x:v>
      </x:c>
      <x:c r="AN211" s="141" t="n">
        <x:f>IF($A211=Premissas!$B$48,Premissas!$B$8,0)</x:f>
        <x:v>0</x:v>
      </x:c>
      <x:c r="AO211" s="141" t="n">
        <x:f>IF($A211&lt;=Premissas!$B$25,INDEX('Consorcio IQ'!$K$6:$K$485,$A211),0)</x:f>
        <x:v>1536.134932956925</x:v>
      </x:c>
      <x:c r="AP211" s="141" t="n">
        <x:f>IF(AND(TRUE,Premissas!$B$11="Imovel",Premissas!$B$47="Moradia",$A211&lt;MAX(Premissas!$B$48,Premissas!$B$49)),$D211,0)</x:f>
        <x:v>0</x:v>
      </x:c>
      <x:c r="AQ211" s="141" t="n">
        <x:f>IF(AND(TRUE,Premissas!$B$11="Imovel",Premissas!$B$47="Investimento",$A211&gt;=MAX(Premissas!$B$48,Premissas!$B$49)),$E211,0)</x:f>
        <x:v>1723.3745828907606</x:v>
      </x:c>
      <x:c r="AR211" s="141" t="n">
        <x:f>AN211+AO211+AP211</x:f>
        <x:v>1536.134932956925</x:v>
      </x:c>
      <x:c r="AS211" s="141" t="n">
        <x:f>AQ211</x:f>
        <x:v>1723.3745828907606</x:v>
      </x:c>
      <x:c r="AT211" s="141" t="n">
        <x:f>$C211+AS211-AR211</x:f>
        <x:v>7187.2396499338365</x:v>
      </x:c>
      <x:c r="AU211" s="141" t="n">
        <x:f>AX210*(1+Premissas!$B$41)+AT211</x:f>
        <x:v>4257569.683405744</x:v>
      </x:c>
      <x:c r="AV211" s="141" t="n">
        <x:f>MAX(0,-AU211)</x:f>
        <x:v>0</x:v>
      </x:c>
      <x:c r="AW211" s="141" t="n">
        <x:f>AW210*(1+Premissas!$B$41)+AV211</x:f>
        <x:v>0</x:v>
      </x:c>
      <x:c r="AX211" s="141" t="n">
        <x:f>MAX(0,AU211)</x:f>
        <x:v>4257569.683405744</x:v>
      </x:c>
      <x:c r="AY211" s="141" t="n">
        <x:f>INDEX('Consorcio IQ'!$P$6:$P$485,$A211)</x:f>
        <x:v>46062.44232400851</x:v>
      </x:c>
      <x:c r="AZ211" s="141" t="n">
        <x:f>IF($A211&gt;=Premissas!$B$48,$F211,0)+IF($A211&lt;Premissas!$B$27,INDEX('Consorcio IQ'!$O$6:$O$485,$A211),0)</x:f>
        <x:v>543810.2002308886</x:v>
      </x:c>
      <x:c r="BA211" s="141" t="n">
        <x:f>AX211+AZ211-AY211</x:f>
        <x:v>4755317.441312624</x:v>
      </x:c>
      <x:c r="BB211" s="141" t="n">
        <x:f>IF(AW211&gt;1,"Inviavel",BA211)</x:f>
        <x:v>4755317.441312624</x:v>
      </x:c>
      <x:c r="BC211" s="141" t="str">
        <x:f>IF(AW211&gt;1,"Inviavel","OK")</x:f>
        <x:v>OK</x:v>
      </x:c>
      <x:c r="BD211" s="141" t="n">
        <x:f>IF($A211='Consorcio Direto'!$B$29,'Consorcio Direto'!$B$44,0)</x:f>
        <x:v>0</x:v>
      </x:c>
      <x:c r="BE211" s="141" t="n">
        <x:f>IF($A211&lt;='Consorcio Direto'!$B$27,INDEX('Consorcio Direto'!$E$55:$E$534,$A211),0)</x:f>
        <x:v>3977.8225823003295</x:v>
      </x:c>
      <x:c r="BF211" s="141" t="n">
        <x:f>IF(AND(TRUE,Premissas!$B$11="Imovel",Premissas!$B$47="Moradia",$A211&lt;MAX('Consorcio Direto'!$B$29,Premissas!$B$49)),$D211,0)</x:f>
        <x:v>0</x:v>
      </x:c>
      <x:c r="BG211" s="141" t="n">
        <x:f>IF(AND(TRUE,Premissas!$B$11="Imovel",Premissas!$B$47="Investimento",$A211&gt;=MAX('Consorcio Direto'!$B$29,Premissas!$B$49)),$E211,0)</x:f>
        <x:v>1723.3745828907606</x:v>
      </x:c>
      <x:c r="BH211" s="141" t="n">
        <x:f>BD211+BE211+BF211</x:f>
        <x:v>3977.8225823003295</x:v>
      </x:c>
      <x:c r="BI211" s="141" t="n">
        <x:f>BG211</x:f>
        <x:v>1723.3745828907606</x:v>
      </x:c>
      <x:c r="BJ211" s="141" t="n">
        <x:f>$C211+BI211-BH211</x:f>
        <x:v>4745.552000590432</x:v>
      </x:c>
      <x:c r="BK211" s="141" t="n">
        <x:f>BN210*(1+Premissas!$B$41)+BJ211</x:f>
        <x:v>4112246.452028888</x:v>
      </x:c>
      <x:c r="BL211" s="141" t="n">
        <x:f>MAX(0,-BK211)</x:f>
        <x:v>0</x:v>
      </x:c>
      <x:c r="BM211" s="141" t="n">
        <x:f>BM210*(1+Premissas!$B$41)+BL211</x:f>
        <x:v>0</x:v>
      </x:c>
      <x:c r="BN211" s="141" t="n">
        <x:f>MAX(0,BK211)</x:f>
        <x:v>4112246.452028888</x:v>
      </x:c>
      <x:c r="BO211" s="141" t="n">
        <x:f>INDEX('Consorcio Direto'!$K$55:$K$534,$A211)</x:f>
        <x:v>119278.72958376716</x:v>
      </x:c>
      <x:c r="BP211" s="141" t="n">
        <x:f>IF($A211&lt;'Consorcio Direto'!$B$29,INDEX('Consorcio Direto'!$L$55:$L$534,$A211),$F211)</x:f>
        <x:v>543810.2002308886</x:v>
      </x:c>
      <x:c r="BQ211" s="141" t="n">
        <x:f>BN211+BP211-BO211</x:f>
        <x:v>4536777.922676009</x:v>
      </x:c>
      <x:c r="BR211" s="141" t="n">
        <x:f>IF(BM211&gt;1,"Inviavel",BQ211)</x:f>
        <x:v>4536777.922676009</x:v>
      </x:c>
      <x:c r="BS211" s="141" t="str">
        <x:f>IF(BM211&gt;1,"Inviavel","OK")</x:f>
        <x:v>OK</x:v>
      </x:c>
      <x:c r="BT211" s="141" t="n">
        <x:f>IF(AND('Carta Contemplada'!$B$22="Sim",$A211='Carta Contemplada'!$B$23),'Carta Contemplada'!$B$37,0)</x:f>
        <x:v>0</x:v>
      </x:c>
      <x:c r="BU211" s="141" t="n">
        <x:f>IF('Carta Contemplada'!$B$22="Sim",INDEX('Carta Contemplada'!$C$55:$C$1013,$A211),0)</x:f>
        <x:v>0</x:v>
      </x:c>
      <x:c r="BV211" s="141" t="n">
        <x:f>IF(AND('Carta Contemplada'!$B$22="Sim",Premissas!$B$11="Imovel",Premissas!$B$47="Moradia",$A211&lt;MAX('Carta Contemplada'!$B$44,Premissas!$B$49)),$D211,0)</x:f>
        <x:v>0</x:v>
      </x:c>
      <x:c r="BW211" s="141" t="n">
        <x:f>IF(AND('Carta Contemplada'!$B$22="Sim",Premissas!$B$11="Imovel",Premissas!$B$47="Investimento",$A211&gt;=MAX('Carta Contemplada'!$B$44,Premissas!$B$49)),$E211,0)</x:f>
        <x:v>1723.3745828907606</x:v>
      </x:c>
      <x:c r="BX211" s="141" t="n">
        <x:f>BT211+BU211+BV211</x:f>
        <x:v>0</x:v>
      </x:c>
      <x:c r="BY211" s="141" t="n">
        <x:f>BW211</x:f>
        <x:v>1723.3745828907606</x:v>
      </x:c>
      <x:c r="BZ211" s="141" t="n">
        <x:f>$C211+BY211-BX211</x:f>
        <x:v>8723.374582890761</x:v>
      </x:c>
      <x:c r="CA211" s="141" t="n">
        <x:f>CD210*(1+Premissas!$B$41)+BZ211</x:f>
        <x:v>4353920.206010492</x:v>
      </x:c>
      <x:c r="CB211" s="141" t="n">
        <x:f>MAX(0,-CA211)</x:f>
        <x:v>0</x:v>
      </x:c>
      <x:c r="CC211" s="141" t="n">
        <x:f>CC210*(1+Premissas!$B$41)+CB211</x:f>
        <x:v>0</x:v>
      </x:c>
      <x:c r="CD211" s="141" t="n">
        <x:f>MAX(0,CA211)</x:f>
        <x:v>4353920.206010492</x:v>
      </x:c>
      <x:c r="CE211" s="141" t="n">
        <x:f>IF(AND('Carta Contemplada'!$B$22="Sim",$A211&gt;='Carta Contemplada'!$B$23),INDEX('Carta Contemplada'!$I$55:$I$1013,$A211),0)</x:f>
        <x:v>0</x:v>
      </x:c>
      <x:c r="CF211" s="141" t="n">
        <x:f>IF(AND('Carta Contemplada'!$B$22="Sim",$A211&gt;='Carta Contemplada'!$B$44),$F211,0)</x:f>
        <x:v>543810.2002308886</x:v>
      </x:c>
      <x:c r="CG211" s="141" t="n">
        <x:f>CD211+CF211-CE211</x:f>
        <x:v>4897730.40624138</x:v>
      </x:c>
      <x:c r="CH211" s="141" t="n">
        <x:f>IF(CC211&gt;1,"Inviavel",CG211)</x:f>
        <x:v>4897730.40624138</x:v>
      </x:c>
      <x:c r="CI211" s="145" t="str">
        <x:f>IF(CC211&gt;1,"Inviavel","OK")</x:f>
        <x:v>OK</x:v>
      </x:c>
    </x:row>
    <x:row r="212">
      <x:c r="A212" s="142" t="n">
        <x:v>208</x:v>
      </x:c>
      <x:c r="B212" s="179" t="n">
        <x:f>EDATE(Premissas!$B$4,A212-1)</x:f>
        <x:v>52841</x:v>
      </x:c>
      <x:c r="C212" s="141" t="n">
        <x:f>IF(A212&lt;=Premissas!$B$39,Premissas!$B$42,0)</x:f>
        <x:v>7000</x:v>
      </x:c>
      <x:c r="D212" s="141" t="n">
        <x:f>Premissas!$B$54*(1+Premissas!$B$57)^INT((A212-1)/12)</x:f>
        <x:v>1884.9409500367694</x:v>
      </x:c>
      <x:c r="E212" s="141" t="n">
        <x:f>Premissas!$B$64*(1+Premissas!$B$57)^INT((A212-1)/12)</x:f>
        <x:v>1723.3745828907606</x:v>
      </x:c>
      <x:c r="F212" s="141" t="n">
        <x:f>MAX(0,Premissas!$B$6*(1+Premissas!$B$66)^((A212-1)/12))</x:f>
        <x:v>546457.2238784616</x:v>
      </x:c>
      <x:c r="G212" s="141" t="n">
        <x:f>G211*(1+Premissas!$B$41)+C212</x:f>
        <x:v>5158155.52766956</x:v>
      </x:c>
      <x:c r="H212" s="141" t="n">
        <x:f>IF($A212=Premissas!$B$48,Premissas!$B$8,0)</x:f>
        <x:v>0</x:v>
      </x:c>
      <x:c r="I212" s="141" t="n">
        <x:f>IF(AND($A212&gt;=Premissas!$B$48,$A212-Premissas!$B$48+1&lt;=Premissas!$B$13),INDEX(Financiamento!$J$6:$J$485,$A212-Premissas!$B$48+1),0)</x:f>
        <x:v>1300.900150501407</x:v>
      </x:c>
      <x:c r="J212" s="141" t="n">
        <x:f>IF(AND(TRUE,Premissas!$B$11="Imovel",Premissas!$B$47="Moradia",$A212&lt;MAX(Premissas!$B$48,Premissas!$B$49)),$D212,0)</x:f>
        <x:v>0</x:v>
      </x:c>
      <x:c r="K212" s="141" t="n">
        <x:f>IF(AND(TRUE,Premissas!$B$11="Imovel",Premissas!$B$47="Investimento",$A212&gt;=MAX(Premissas!$B$48,Premissas!$B$49)),$E212,0)</x:f>
        <x:v>1723.3745828907606</x:v>
      </x:c>
      <x:c r="L212" s="141" t="n">
        <x:f>H212+I212+J212</x:f>
        <x:v>1300.900150501407</x:v>
      </x:c>
      <x:c r="M212" s="141" t="n">
        <x:f>K212</x:f>
        <x:v>1723.3745828907606</x:v>
      </x:c>
      <x:c r="N212" s="141" t="n">
        <x:f>$C212+M212-L212</x:f>
        <x:v>7422.474432389354</x:v>
      </x:c>
      <x:c r="O212" s="141" t="n">
        <x:f>R211*(1+Premissas!$B$41)+N212</x:f>
        <x:v>4310236.04475213</x:v>
      </x:c>
      <x:c r="P212" s="141" t="n">
        <x:f>MAX(0,-O212)</x:f>
        <x:v>0</x:v>
      </x:c>
      <x:c r="Q212" s="141" t="n">
        <x:f>Q211*(1+Premissas!$B$41)+P212</x:f>
        <x:v>0</x:v>
      </x:c>
      <x:c r="R212" s="141" t="n">
        <x:f>MAX(0,O212)</x:f>
        <x:v>4310236.04475213</x:v>
      </x:c>
      <x:c r="S212" s="141" t="n">
        <x:f>IF(AND($A212&gt;=Premissas!$B$48,$A212-Premissas!$B$48+1&lt;=Premissas!$B$13),INDEX(Financiamento!$M$6:$M$485,$A212-Premissas!$B$48+1),0)</x:f>
        <x:v>80761.9047619049</x:v>
      </x:c>
      <x:c r="T212" s="141" t="n">
        <x:f>IF($A212&gt;=Premissas!$B$48,$F212,0)</x:f>
        <x:v>546457.2238784616</x:v>
      </x:c>
      <x:c r="U212" s="141" t="n">
        <x:f>R212+T212-S212</x:f>
        <x:v>4775931.363868687</x:v>
      </x:c>
      <x:c r="V212" s="141" t="n">
        <x:f>IF(Q212&gt;1,"Inviavel",U212)</x:f>
        <x:v>4775931.363868687</x:v>
      </x:c>
      <x:c r="W212" s="141" t="str">
        <x:f>IF(Q212&gt;1,"Inviavel","OK")</x:f>
        <x:v>OK</x:v>
      </x:c>
      <x:c r="X212" s="141" t="n">
        <x:f>IF($A212=Premissas!$B$48,Premissas!$B$8,0)</x:f>
        <x:v>0</x:v>
      </x:c>
      <x:c r="Y212" s="141" t="n">
        <x:f>IF(AND($A212&gt;=Premissas!$B$48,$A212-Premissas!$B$48+1&lt;=Premissas!$B$13),INDEX(Amortizacao!$K$6:$K$485,$A212-Premissas!$B$48+1),0)</x:f>
        <x:v>0</x:v>
      </x:c>
      <x:c r="Z212" s="141" t="n">
        <x:f>IF(AND(TRUE,Premissas!$B$11="Imovel",Premissas!$B$47="Moradia",$A212&lt;MAX(Premissas!$B$48,Premissas!$B$49)),$D212,0)</x:f>
        <x:v>0</x:v>
      </x:c>
      <x:c r="AA212" s="141" t="n">
        <x:f>IF(AND(TRUE,Premissas!$B$11="Imovel",Premissas!$B$47="Investimento",$A212&gt;=MAX(Premissas!$B$48,Premissas!$B$49)),$E212,0)</x:f>
        <x:v>1723.3745828907606</x:v>
      </x:c>
      <x:c r="AB212" s="141" t="n">
        <x:f>X212+Y212+Z212</x:f>
        <x:v>0</x:v>
      </x:c>
      <x:c r="AC212" s="141" t="n">
        <x:f>AA212</x:f>
        <x:v>1723.3745828907606</x:v>
      </x:c>
      <x:c r="AD212" s="141" t="n">
        <x:f>$C212+AC212-AB212</x:f>
        <x:v>8723.374582890761</x:v>
      </x:c>
      <x:c r="AE212" s="141" t="n">
        <x:f>AH211*(1+Premissas!$B$41)+AD212</x:f>
        <x:v>4301013.849875779</x:v>
      </x:c>
      <x:c r="AF212" s="141" t="n">
        <x:f>MAX(0,-AE212)</x:f>
        <x:v>0</x:v>
      </x:c>
      <x:c r="AG212" s="141" t="n">
        <x:f>AG211*(1+Premissas!$B$41)+AF212</x:f>
        <x:v>0</x:v>
      </x:c>
      <x:c r="AH212" s="141" t="n">
        <x:f>MAX(0,AE212)</x:f>
        <x:v>4301013.849875779</x:v>
      </x:c>
      <x:c r="AI212" s="141" t="n">
        <x:f>IF(AND($A212&gt;=Premissas!$B$48,$A212-Premissas!$B$48+1&lt;=Premissas!$B$13),INDEX(Amortizacao!$L$6:$L$485,$A212-Premissas!$B$48+1),0)</x:f>
        <x:v>0</x:v>
      </x:c>
      <x:c r="AJ212" s="141" t="n">
        <x:f>IF($A212&gt;=Premissas!$B$48,$F212,0)</x:f>
        <x:v>546457.2238784616</x:v>
      </x:c>
      <x:c r="AK212" s="141" t="n">
        <x:f>AH212+AJ212-AI212</x:f>
        <x:v>4847471.073754241</x:v>
      </x:c>
      <x:c r="AL212" s="141" t="n">
        <x:f>IF(AG212&gt;1,"Inviavel",AK212)</x:f>
        <x:v>4847471.073754241</x:v>
      </x:c>
      <x:c r="AM212" s="141" t="str">
        <x:f>IF(AG212&gt;1,"Inviavel","OK")</x:f>
        <x:v>OK</x:v>
      </x:c>
      <x:c r="AN212" s="141" t="n">
        <x:f>IF($A212=Premissas!$B$48,Premissas!$B$8,0)</x:f>
        <x:v>0</x:v>
      </x:c>
      <x:c r="AO212" s="141" t="n">
        <x:f>IF($A212&lt;=Premissas!$B$25,INDEX('Consorcio IQ'!$K$6:$K$485,$A212),0)</x:f>
        <x:v>1536.134932956925</x:v>
      </x:c>
      <x:c r="AP212" s="141" t="n">
        <x:f>IF(AND(TRUE,Premissas!$B$11="Imovel",Premissas!$B$47="Moradia",$A212&lt;MAX(Premissas!$B$48,Premissas!$B$49)),$D212,0)</x:f>
        <x:v>0</x:v>
      </x:c>
      <x:c r="AQ212" s="141" t="n">
        <x:f>IF(AND(TRUE,Premissas!$B$11="Imovel",Premissas!$B$47="Investimento",$A212&gt;=MAX(Premissas!$B$48,Premissas!$B$49)),$E212,0)</x:f>
        <x:v>1723.3745828907606</x:v>
      </x:c>
      <x:c r="AR212" s="141" t="n">
        <x:f>AN212+AO212+AP212</x:f>
        <x:v>1536.134932956925</x:v>
      </x:c>
      <x:c r="AS212" s="141" t="n">
        <x:f>AQ212</x:f>
        <x:v>1723.3745828907606</x:v>
      </x:c>
      <x:c r="AT212" s="141" t="n">
        <x:f>$C212+AS212-AR212</x:f>
        <x:v>7187.2396499338365</x:v>
      </x:c>
      <x:c r="AU212" s="141" t="n">
        <x:f>AX211*(1+Premissas!$B$41)+AT212</x:f>
        <x:v>4305156.120186073</x:v>
      </x:c>
      <x:c r="AV212" s="141" t="n">
        <x:f>MAX(0,-AU212)</x:f>
        <x:v>0</x:v>
      </x:c>
      <x:c r="AW212" s="141" t="n">
        <x:f>AW211*(1+Premissas!$B$41)+AV212</x:f>
        <x:v>0</x:v>
      </x:c>
      <x:c r="AX212" s="141" t="n">
        <x:f>MAX(0,AU212)</x:f>
        <x:v>4305156.120186073</x:v>
      </x:c>
      <x:c r="AY212" s="141" t="n">
        <x:f>INDEX('Consorcio IQ'!$P$6:$P$485,$A212)</x:f>
        <x:v>44963.38436832527</x:v>
      </x:c>
      <x:c r="AZ212" s="141" t="n">
        <x:f>IF($A212&gt;=Premissas!$B$48,$F212,0)+IF($A212&lt;Premissas!$B$27,INDEX('Consorcio IQ'!$O$6:$O$485,$A212),0)</x:f>
        <x:v>546457.2238784616</x:v>
      </x:c>
      <x:c r="BA212" s="141" t="n">
        <x:f>AX212+AZ212-AY212</x:f>
        <x:v>4806649.959696209</x:v>
      </x:c>
      <x:c r="BB212" s="141" t="n">
        <x:f>IF(AW212&gt;1,"Inviavel",BA212)</x:f>
        <x:v>4806649.959696209</x:v>
      </x:c>
      <x:c r="BC212" s="141" t="str">
        <x:f>IF(AW212&gt;1,"Inviavel","OK")</x:f>
        <x:v>OK</x:v>
      </x:c>
      <x:c r="BD212" s="141" t="n">
        <x:f>IF($A212='Consorcio Direto'!$B$29,'Consorcio Direto'!$B$44,0)</x:f>
        <x:v>0</x:v>
      </x:c>
      <x:c r="BE212" s="141" t="n">
        <x:f>IF($A212&lt;='Consorcio Direto'!$B$27,INDEX('Consorcio Direto'!$E$55:$E$534,$A212),0)</x:f>
        <x:v>3977.8225823003295</x:v>
      </x:c>
      <x:c r="BF212" s="141" t="n">
        <x:f>IF(AND(TRUE,Premissas!$B$11="Imovel",Premissas!$B$47="Moradia",$A212&lt;MAX('Consorcio Direto'!$B$29,Premissas!$B$49)),$D212,0)</x:f>
        <x:v>0</x:v>
      </x:c>
      <x:c r="BG212" s="141" t="n">
        <x:f>IF(AND(TRUE,Premissas!$B$11="Imovel",Premissas!$B$47="Investimento",$A212&gt;=MAX('Consorcio Direto'!$B$29,Premissas!$B$49)),$E212,0)</x:f>
        <x:v>1723.3745828907606</x:v>
      </x:c>
      <x:c r="BH212" s="141" t="n">
        <x:f>BD212+BE212+BF212</x:f>
        <x:v>3977.8225823003295</x:v>
      </x:c>
      <x:c r="BI212" s="141" t="n">
        <x:f>BG212</x:f>
        <x:v>1723.3745828907606</x:v>
      </x:c>
      <x:c r="BJ212" s="141" t="n">
        <x:f>$C212+BI212-BH212</x:f>
        <x:v>4745.552000590432</x:v>
      </x:c>
      <x:c r="BK212" s="141" t="n">
        <x:f>BN211*(1+Premissas!$B$41)+BJ212</x:f>
        <x:v>4156012.2591087543</x:v>
      </x:c>
      <x:c r="BL212" s="141" t="n">
        <x:f>MAX(0,-BK212)</x:f>
        <x:v>0</x:v>
      </x:c>
      <x:c r="BM212" s="141" t="n">
        <x:f>BM211*(1+Premissas!$B$41)+BL212</x:f>
        <x:v>0</x:v>
      </x:c>
      <x:c r="BN212" s="141" t="n">
        <x:f>MAX(0,BK212)</x:f>
        <x:v>4156012.2591087543</x:v>
      </x:c>
      <x:c r="BO212" s="141" t="n">
        <x:f>INDEX('Consorcio Direto'!$K$55:$K$534,$A212)</x:f>
        <x:v>116432.71816798732</x:v>
      </x:c>
      <x:c r="BP212" s="141" t="n">
        <x:f>IF($A212&lt;'Consorcio Direto'!$B$29,INDEX('Consorcio Direto'!$L$55:$L$534,$A212),$F212)</x:f>
        <x:v>546457.2238784616</x:v>
      </x:c>
      <x:c r="BQ212" s="141" t="n">
        <x:f>BN212+BP212-BO212</x:f>
        <x:v>4586036.764819228</x:v>
      </x:c>
      <x:c r="BR212" s="141" t="n">
        <x:f>IF(BM212&gt;1,"Inviavel",BQ212)</x:f>
        <x:v>4586036.764819228</x:v>
      </x:c>
      <x:c r="BS212" s="141" t="str">
        <x:f>IF(BM212&gt;1,"Inviavel","OK")</x:f>
        <x:v>OK</x:v>
      </x:c>
      <x:c r="BT212" s="141" t="n">
        <x:f>IF(AND('Carta Contemplada'!$B$22="Sim",$A212='Carta Contemplada'!$B$23),'Carta Contemplada'!$B$37,0)</x:f>
        <x:v>0</x:v>
      </x:c>
      <x:c r="BU212" s="141" t="n">
        <x:f>IF('Carta Contemplada'!$B$22="Sim",INDEX('Carta Contemplada'!$C$55:$C$1013,$A212),0)</x:f>
        <x:v>0</x:v>
      </x:c>
      <x:c r="BV212" s="141" t="n">
        <x:f>IF(AND('Carta Contemplada'!$B$22="Sim",Premissas!$B$11="Imovel",Premissas!$B$47="Moradia",$A212&lt;MAX('Carta Contemplada'!$B$44,Premissas!$B$49)),$D212,0)</x:f>
        <x:v>0</x:v>
      </x:c>
      <x:c r="BW212" s="141" t="n">
        <x:f>IF(AND('Carta Contemplada'!$B$22="Sim",Premissas!$B$11="Imovel",Premissas!$B$47="Investimento",$A212&gt;=MAX('Carta Contemplada'!$B$44,Premissas!$B$49)),$E212,0)</x:f>
        <x:v>1723.3745828907606</x:v>
      </x:c>
      <x:c r="BX212" s="141" t="n">
        <x:f>BT212+BU212+BV212</x:f>
        <x:v>0</x:v>
      </x:c>
      <x:c r="BY212" s="141" t="n">
        <x:f>BW212</x:f>
        <x:v>1723.3745828907606</x:v>
      </x:c>
      <x:c r="BZ212" s="141" t="n">
        <x:f>$C212+BY212-BX212</x:f>
        <x:v>8723.374582890761</x:v>
      </x:c>
      <x:c r="CA212" s="141" t="n">
        <x:f>CD211*(1+Premissas!$B$41)+BZ212</x:f>
        <x:v>4403957.027881913</x:v>
      </x:c>
      <x:c r="CB212" s="141" t="n">
        <x:f>MAX(0,-CA212)</x:f>
        <x:v>0</x:v>
      </x:c>
      <x:c r="CC212" s="141" t="n">
        <x:f>CC211*(1+Premissas!$B$41)+CB212</x:f>
        <x:v>0</x:v>
      </x:c>
      <x:c r="CD212" s="141" t="n">
        <x:f>MAX(0,CA212)</x:f>
        <x:v>4403957.027881913</x:v>
      </x:c>
      <x:c r="CE212" s="141" t="n">
        <x:f>IF(AND('Carta Contemplada'!$B$22="Sim",$A212&gt;='Carta Contemplada'!$B$23),INDEX('Carta Contemplada'!$I$55:$I$1013,$A212),0)</x:f>
        <x:v>0</x:v>
      </x:c>
      <x:c r="CF212" s="141" t="n">
        <x:f>IF(AND('Carta Contemplada'!$B$22="Sim",$A212&gt;='Carta Contemplada'!$B$44),$F212,0)</x:f>
        <x:v>546457.2238784616</x:v>
      </x:c>
      <x:c r="CG212" s="141" t="n">
        <x:f>CD212+CF212-CE212</x:f>
        <x:v>4950414.251760375</x:v>
      </x:c>
      <x:c r="CH212" s="141" t="n">
        <x:f>IF(CC212&gt;1,"Inviavel",CG212)</x:f>
        <x:v>4950414.251760375</x:v>
      </x:c>
      <x:c r="CI212" s="145" t="str">
        <x:f>IF(CC212&gt;1,"Inviavel","OK")</x:f>
        <x:v>OK</x:v>
      </x:c>
    </x:row>
    <x:row r="213">
      <x:c r="A213" s="142" t="n">
        <x:v>209</x:v>
      </x:c>
      <x:c r="B213" s="179" t="n">
        <x:f>EDATE(Premissas!$B$4,A213-1)</x:f>
        <x:v>52871</x:v>
      </x:c>
      <x:c r="C213" s="141" t="n">
        <x:f>IF(A213&lt;=Premissas!$B$39,Premissas!$B$42,0)</x:f>
        <x:v>7000</x:v>
      </x:c>
      <x:c r="D213" s="141" t="n">
        <x:f>Premissas!$B$54*(1+Premissas!$B$57)^INT((A213-1)/12)</x:f>
        <x:v>1884.9409500367694</x:v>
      </x:c>
      <x:c r="E213" s="141" t="n">
        <x:f>Premissas!$B$64*(1+Premissas!$B$57)^INT((A213-1)/12)</x:f>
        <x:v>1723.3745828907606</x:v>
      </x:c>
      <x:c r="F213" s="141" t="n">
        <x:f>MAX(0,Premissas!$B$6*(1+Premissas!$B$66)^((A213-1)/12))</x:f>
        <x:v>549117.1320474871</x:v>
      </x:c>
      <x:c r="G213" s="141" t="n">
        <x:f>G212*(1+Premissas!$B$41)+C213</x:f>
        <x:v>5214100.1973959915</x:v>
      </x:c>
      <x:c r="H213" s="141" t="n">
        <x:f>IF($A213=Premissas!$B$48,Premissas!$B$8,0)</x:f>
        <x:v>0</x:v>
      </x:c>
      <x:c r="I213" s="141" t="n">
        <x:f>IF(AND($A213&gt;=Premissas!$B$48,$A213-Premissas!$B$48+1&lt;=Premissas!$B$13),INDEX(Financiamento!$J$6:$J$485,$A213-Premissas!$B$48+1),0)</x:f>
        <x:v>1297.2853722406137</x:v>
      </x:c>
      <x:c r="J213" s="141" t="n">
        <x:f>IF(AND(TRUE,Premissas!$B$11="Imovel",Premissas!$B$47="Moradia",$A213&lt;MAX(Premissas!$B$48,Premissas!$B$49)),$D213,0)</x:f>
        <x:v>0</x:v>
      </x:c>
      <x:c r="K213" s="141" t="n">
        <x:f>IF(AND(TRUE,Premissas!$B$11="Imovel",Premissas!$B$47="Investimento",$A213&gt;=MAX(Premissas!$B$48,Premissas!$B$49)),$E213,0)</x:f>
        <x:v>1723.3745828907606</x:v>
      </x:c>
      <x:c r="L213" s="141" t="n">
        <x:f>H213+I213+J213</x:f>
        <x:v>1297.2853722406137</x:v>
      </x:c>
      <x:c r="M213" s="141" t="n">
        <x:f>K213</x:f>
        <x:v>1723.3745828907606</x:v>
      </x:c>
      <x:c r="N213" s="141" t="n">
        <x:f>$C213+M213-L213</x:f>
        <x:v>7426.089210650148</x:v>
      </x:c>
      <x:c r="O213" s="141" t="n">
        <x:f>R212*(1+Premissas!$B$41)+N213</x:f>
        <x:v>4358561.071290609</x:v>
      </x:c>
      <x:c r="P213" s="141" t="n">
        <x:f>MAX(0,-O213)</x:f>
        <x:v>0</x:v>
      </x:c>
      <x:c r="Q213" s="141" t="n">
        <x:f>Q212*(1+Premissas!$B$41)+P213</x:f>
        <x:v>0</x:v>
      </x:c>
      <x:c r="R213" s="141" t="n">
        <x:f>MAX(0,O213)</x:f>
        <x:v>4358561.071290609</x:v>
      </x:c>
      <x:c r="S213" s="141" t="n">
        <x:f>IF(AND($A213&gt;=Premissas!$B$48,$A213-Premissas!$B$48+1&lt;=Premissas!$B$13),INDEX(Financiamento!$M$6:$M$485,$A213-Premissas!$B$48+1),0)</x:f>
        <x:v>80380.95238095251</x:v>
      </x:c>
      <x:c r="T213" s="141" t="n">
        <x:f>IF($A213&gt;=Premissas!$B$48,$F213,0)</x:f>
        <x:v>549117.1320474871</x:v>
      </x:c>
      <x:c r="U213" s="141" t="n">
        <x:f>R213+T213-S213</x:f>
        <x:v>4827297.250957144</x:v>
      </x:c>
      <x:c r="V213" s="141" t="n">
        <x:f>IF(Q213&gt;1,"Inviavel",U213)</x:f>
        <x:v>4827297.250957144</x:v>
      </x:c>
      <x:c r="W213" s="141" t="str">
        <x:f>IF(Q213&gt;1,"Inviavel","OK")</x:f>
        <x:v>OK</x:v>
      </x:c>
      <x:c r="X213" s="141" t="n">
        <x:f>IF($A213=Premissas!$B$48,Premissas!$B$8,0)</x:f>
        <x:v>0</x:v>
      </x:c>
      <x:c r="Y213" s="141" t="n">
        <x:f>IF(AND($A213&gt;=Premissas!$B$48,$A213-Premissas!$B$48+1&lt;=Premissas!$B$13),INDEX(Amortizacao!$K$6:$K$485,$A213-Premissas!$B$48+1),0)</x:f>
        <x:v>0</x:v>
      </x:c>
      <x:c r="Z213" s="141" t="n">
        <x:f>IF(AND(TRUE,Premissas!$B$11="Imovel",Premissas!$B$47="Moradia",$A213&lt;MAX(Premissas!$B$48,Premissas!$B$49)),$D213,0)</x:f>
        <x:v>0</x:v>
      </x:c>
      <x:c r="AA213" s="141" t="n">
        <x:f>IF(AND(TRUE,Premissas!$B$11="Imovel",Premissas!$B$47="Investimento",$A213&gt;=MAX(Premissas!$B$48,Premissas!$B$49)),$E213,0)</x:f>
        <x:v>1723.3745828907606</x:v>
      </x:c>
      <x:c r="AB213" s="141" t="n">
        <x:f>X213+Y213+Z213</x:f>
        <x:v>0</x:v>
      </x:c>
      <x:c r="AC213" s="141" t="n">
        <x:f>AA213</x:f>
        <x:v>1723.3745828907606</x:v>
      </x:c>
      <x:c r="AD213" s="141" t="n">
        <x:f>$C213+AC213-AB213</x:f>
        <x:v>8723.374582890761</x:v>
      </x:c>
      <x:c r="AE213" s="141" t="n">
        <x:f>AH212*(1+Premissas!$B$41)+AD213</x:f>
        <x:v>4350548.654288914</x:v>
      </x:c>
      <x:c r="AF213" s="141" t="n">
        <x:f>MAX(0,-AE213)</x:f>
        <x:v>0</x:v>
      </x:c>
      <x:c r="AG213" s="141" t="n">
        <x:f>AG212*(1+Premissas!$B$41)+AF213</x:f>
        <x:v>0</x:v>
      </x:c>
      <x:c r="AH213" s="141" t="n">
        <x:f>MAX(0,AE213)</x:f>
        <x:v>4350548.654288914</x:v>
      </x:c>
      <x:c r="AI213" s="141" t="n">
        <x:f>IF(AND($A213&gt;=Premissas!$B$48,$A213-Premissas!$B$48+1&lt;=Premissas!$B$13),INDEX(Amortizacao!$L$6:$L$485,$A213-Premissas!$B$48+1),0)</x:f>
        <x:v>0</x:v>
      </x:c>
      <x:c r="AJ213" s="141" t="n">
        <x:f>IF($A213&gt;=Premissas!$B$48,$F213,0)</x:f>
        <x:v>549117.1320474871</x:v>
      </x:c>
      <x:c r="AK213" s="141" t="n">
        <x:f>AH213+AJ213-AI213</x:f>
        <x:v>4899665.7863364015</x:v>
      </x:c>
      <x:c r="AL213" s="141" t="n">
        <x:f>IF(AG213&gt;1,"Inviavel",AK213)</x:f>
        <x:v>4899665.7863364015</x:v>
      </x:c>
      <x:c r="AM213" s="141" t="str">
        <x:f>IF(AG213&gt;1,"Inviavel","OK")</x:f>
        <x:v>OK</x:v>
      </x:c>
      <x:c r="AN213" s="141" t="n">
        <x:f>IF($A213=Premissas!$B$48,Premissas!$B$8,0)</x:f>
        <x:v>0</x:v>
      </x:c>
      <x:c r="AO213" s="141" t="n">
        <x:f>IF($A213&lt;=Premissas!$B$25,INDEX('Consorcio IQ'!$K$6:$K$485,$A213),0)</x:f>
        <x:v>1536.134932956925</x:v>
      </x:c>
      <x:c r="AP213" s="141" t="n">
        <x:f>IF(AND(TRUE,Premissas!$B$11="Imovel",Premissas!$B$47="Moradia",$A213&lt;MAX(Premissas!$B$48,Premissas!$B$49)),$D213,0)</x:f>
        <x:v>0</x:v>
      </x:c>
      <x:c r="AQ213" s="141" t="n">
        <x:f>IF(AND(TRUE,Premissas!$B$11="Imovel",Premissas!$B$47="Investimento",$A213&gt;=MAX(Premissas!$B$48,Premissas!$B$49)),$E213,0)</x:f>
        <x:v>1723.3745828907606</x:v>
      </x:c>
      <x:c r="AR213" s="141" t="n">
        <x:f>AN213+AO213+AP213</x:f>
        <x:v>1536.134932956925</x:v>
      </x:c>
      <x:c r="AS213" s="141" t="n">
        <x:f>AQ213</x:f>
        <x:v>1723.3745828907606</x:v>
      </x:c>
      <x:c r="AT213" s="141" t="n">
        <x:f>$C213+AS213-AR213</x:f>
        <x:v>7187.2396499338365</x:v>
      </x:c>
      <x:c r="AU213" s="141" t="n">
        <x:f>AX212*(1+Premissas!$B$41)+AT213</x:f>
        <x:v>4353194.094811505</x:v>
      </x:c>
      <x:c r="AV213" s="141" t="n">
        <x:f>MAX(0,-AU213)</x:f>
        <x:v>0</x:v>
      </x:c>
      <x:c r="AW213" s="141" t="n">
        <x:f>AW212*(1+Premissas!$B$41)+AV213</x:f>
        <x:v>0</x:v>
      </x:c>
      <x:c r="AX213" s="141" t="n">
        <x:f>MAX(0,AU213)</x:f>
        <x:v>4353194.094811505</x:v>
      </x:c>
      <x:c r="AY213" s="141" t="n">
        <x:f>INDEX('Consorcio IQ'!$P$6:$P$485,$A213)</x:f>
        <x:v>43853.89767927745</x:v>
      </x:c>
      <x:c r="AZ213" s="141" t="n">
        <x:f>IF($A213&gt;=Premissas!$B$48,$F213,0)+IF($A213&lt;Premissas!$B$27,INDEX('Consorcio IQ'!$O$6:$O$485,$A213),0)</x:f>
        <x:v>549117.1320474871</x:v>
      </x:c>
      <x:c r="BA213" s="141" t="n">
        <x:f>AX213+AZ213-AY213</x:f>
        <x:v>4858457.329179714</x:v>
      </x:c>
      <x:c r="BB213" s="141" t="n">
        <x:f>IF(AW213&gt;1,"Inviavel",BA213)</x:f>
        <x:v>4858457.329179714</x:v>
      </x:c>
      <x:c r="BC213" s="141" t="str">
        <x:f>IF(AW213&gt;1,"Inviavel","OK")</x:f>
        <x:v>OK</x:v>
      </x:c>
      <x:c r="BD213" s="141" t="n">
        <x:f>IF($A213='Consorcio Direto'!$B$29,'Consorcio Direto'!$B$44,0)</x:f>
        <x:v>0</x:v>
      </x:c>
      <x:c r="BE213" s="141" t="n">
        <x:f>IF($A213&lt;='Consorcio Direto'!$B$27,INDEX('Consorcio Direto'!$E$55:$E$534,$A213),0)</x:f>
        <x:v>3977.8225823003295</x:v>
      </x:c>
      <x:c r="BF213" s="141" t="n">
        <x:f>IF(AND(TRUE,Premissas!$B$11="Imovel",Premissas!$B$47="Moradia",$A213&lt;MAX('Consorcio Direto'!$B$29,Premissas!$B$49)),$D213,0)</x:f>
        <x:v>0</x:v>
      </x:c>
      <x:c r="BG213" s="141" t="n">
        <x:f>IF(AND(TRUE,Premissas!$B$11="Imovel",Premissas!$B$47="Investimento",$A213&gt;=MAX('Consorcio Direto'!$B$29,Premissas!$B$49)),$E213,0)</x:f>
        <x:v>1723.3745828907606</x:v>
      </x:c>
      <x:c r="BH213" s="141" t="n">
        <x:f>BD213+BE213+BF213</x:f>
        <x:v>3977.8225823003295</x:v>
      </x:c>
      <x:c r="BI213" s="141" t="n">
        <x:f>BG213</x:f>
        <x:v>1723.3745828907606</x:v>
      </x:c>
      <x:c r="BJ213" s="141" t="n">
        <x:f>$C213+BI213-BH213</x:f>
        <x:v>4745.552000590432</x:v>
      </x:c>
      <x:c r="BK213" s="141" t="n">
        <x:f>BN212*(1+Premissas!$B$41)+BJ213</x:f>
        <x:v>4200193.3508696165</x:v>
      </x:c>
      <x:c r="BL213" s="141" t="n">
        <x:f>MAX(0,-BK213)</x:f>
        <x:v>0</x:v>
      </x:c>
      <x:c r="BM213" s="141" t="n">
        <x:f>BM212*(1+Premissas!$B$41)+BL213</x:f>
        <x:v>0</x:v>
      </x:c>
      <x:c r="BN213" s="141" t="n">
        <x:f>MAX(0,BK213)</x:f>
        <x:v>4200193.3508696165</x:v>
      </x:c>
      <x:c r="BO213" s="141" t="n">
        <x:f>INDEX('Consorcio Direto'!$K$55:$K$534,$A213)</x:f>
        <x:v>113559.70153919369</x:v>
      </x:c>
      <x:c r="BP213" s="141" t="n">
        <x:f>IF($A213&lt;'Consorcio Direto'!$B$29,INDEX('Consorcio Direto'!$L$55:$L$534,$A213),$F213)</x:f>
        <x:v>549117.1320474871</x:v>
      </x:c>
      <x:c r="BQ213" s="141" t="n">
        <x:f>BN213+BP213-BO213</x:f>
        <x:v>4635750.781377911</x:v>
      </x:c>
      <x:c r="BR213" s="141" t="n">
        <x:f>IF(BM213&gt;1,"Inviavel",BQ213)</x:f>
        <x:v>4635750.781377911</x:v>
      </x:c>
      <x:c r="BS213" s="141" t="str">
        <x:f>IF(BM213&gt;1,"Inviavel","OK")</x:f>
        <x:v>OK</x:v>
      </x:c>
      <x:c r="BT213" s="141" t="n">
        <x:f>IF(AND('Carta Contemplada'!$B$22="Sim",$A213='Carta Contemplada'!$B$23),'Carta Contemplada'!$B$37,0)</x:f>
        <x:v>0</x:v>
      </x:c>
      <x:c r="BU213" s="141" t="n">
        <x:f>IF('Carta Contemplada'!$B$22="Sim",INDEX('Carta Contemplada'!$C$55:$C$1013,$A213),0)</x:f>
        <x:v>0</x:v>
      </x:c>
      <x:c r="BV213" s="141" t="n">
        <x:f>IF(AND('Carta Contemplada'!$B$22="Sim",Premissas!$B$11="Imovel",Premissas!$B$47="Moradia",$A213&lt;MAX('Carta Contemplada'!$B$44,Premissas!$B$49)),$D213,0)</x:f>
        <x:v>0</x:v>
      </x:c>
      <x:c r="BW213" s="141" t="n">
        <x:f>IF(AND('Carta Contemplada'!$B$22="Sim",Premissas!$B$11="Imovel",Premissas!$B$47="Investimento",$A213&gt;=MAX('Carta Contemplada'!$B$44,Premissas!$B$49)),$E213,0)</x:f>
        <x:v>1723.3745828907606</x:v>
      </x:c>
      <x:c r="BX213" s="141" t="n">
        <x:f>BT213+BU213+BV213</x:f>
        <x:v>0</x:v>
      </x:c>
      <x:c r="BY213" s="141" t="n">
        <x:f>BW213</x:f>
        <x:v>1723.3745828907606</x:v>
      </x:c>
      <x:c r="BZ213" s="141" t="n">
        <x:f>$C213+BY213-BX213</x:f>
        <x:v>8723.374582890761</x:v>
      </x:c>
      <x:c r="CA213" s="141" t="n">
        <x:f>CD212*(1+Premissas!$B$41)+BZ213</x:f>
        <x:v>4454468.6387951765</x:v>
      </x:c>
      <x:c r="CB213" s="141" t="n">
        <x:f>MAX(0,-CA213)</x:f>
        <x:v>0</x:v>
      </x:c>
      <x:c r="CC213" s="141" t="n">
        <x:f>CC212*(1+Premissas!$B$41)+CB213</x:f>
        <x:v>0</x:v>
      </x:c>
      <x:c r="CD213" s="141" t="n">
        <x:f>MAX(0,CA213)</x:f>
        <x:v>4454468.6387951765</x:v>
      </x:c>
      <x:c r="CE213" s="141" t="n">
        <x:f>IF(AND('Carta Contemplada'!$B$22="Sim",$A213&gt;='Carta Contemplada'!$B$23),INDEX('Carta Contemplada'!$I$55:$I$1013,$A213),0)</x:f>
        <x:v>0</x:v>
      </x:c>
      <x:c r="CF213" s="141" t="n">
        <x:f>IF(AND('Carta Contemplada'!$B$22="Sim",$A213&gt;='Carta Contemplada'!$B$44),$F213,0)</x:f>
        <x:v>549117.1320474871</x:v>
      </x:c>
      <x:c r="CG213" s="141" t="n">
        <x:f>CD213+CF213-CE213</x:f>
        <x:v>5003585.770842664</x:v>
      </x:c>
      <x:c r="CH213" s="141" t="n">
        <x:f>IF(CC213&gt;1,"Inviavel",CG213)</x:f>
        <x:v>5003585.770842664</x:v>
      </x:c>
      <x:c r="CI213" s="145" t="str">
        <x:f>IF(CC213&gt;1,"Inviavel","OK")</x:f>
        <x:v>OK</x:v>
      </x:c>
    </x:row>
    <x:row r="214">
      <x:c r="A214" s="142" t="n">
        <x:v>210</x:v>
      </x:c>
      <x:c r="B214" s="179" t="n">
        <x:f>EDATE(Premissas!$B$4,A214-1)</x:f>
        <x:v>52902</x:v>
      </x:c>
      <x:c r="C214" s="141" t="n">
        <x:f>IF(A214&lt;=Premissas!$B$39,Premissas!$B$42,0)</x:f>
        <x:v>7000</x:v>
      </x:c>
      <x:c r="D214" s="141" t="n">
        <x:f>Premissas!$B$54*(1+Premissas!$B$57)^INT((A214-1)/12)</x:f>
        <x:v>1884.9409500367694</x:v>
      </x:c>
      <x:c r="E214" s="141" t="n">
        <x:f>Premissas!$B$64*(1+Premissas!$B$57)^INT((A214-1)/12)</x:f>
        <x:v>1723.3745828907606</x:v>
      </x:c>
      <x:c r="F214" s="141" t="n">
        <x:f>MAX(0,Premissas!$B$6*(1+Premissas!$B$66)^((A214-1)/12))</x:f>
        <x:v>551789.9874540244</x:v>
      </x:c>
      <x:c r="G214" s="141" t="n">
        <x:f>G213*(1+Premissas!$B$41)+C214</x:f>
        <x:v>5270575.714509251</x:v>
      </x:c>
      <x:c r="H214" s="141" t="n">
        <x:f>IF($A214=Premissas!$B$48,Premissas!$B$8,0)</x:f>
        <x:v>0</x:v>
      </x:c>
      <x:c r="I214" s="141" t="n">
        <x:f>IF(AND($A214&gt;=Premissas!$B$48,$A214-Premissas!$B$48+1&lt;=Premissas!$B$13),INDEX(Financiamento!$J$6:$J$485,$A214-Premissas!$B$48+1),0)</x:f>
        <x:v>1293.67059397982</x:v>
      </x:c>
      <x:c r="J214" s="141" t="n">
        <x:f>IF(AND(TRUE,Premissas!$B$11="Imovel",Premissas!$B$47="Moradia",$A214&lt;MAX(Premissas!$B$48,Premissas!$B$49)),$D214,0)</x:f>
        <x:v>0</x:v>
      </x:c>
      <x:c r="K214" s="141" t="n">
        <x:f>IF(AND(TRUE,Premissas!$B$11="Imovel",Premissas!$B$47="Investimento",$A214&gt;=MAX(Premissas!$B$48,Premissas!$B$49)),$E214,0)</x:f>
        <x:v>1723.3745828907606</x:v>
      </x:c>
      <x:c r="L214" s="141" t="n">
        <x:f>H214+I214+J214</x:f>
        <x:v>1293.67059397982</x:v>
      </x:c>
      <x:c r="M214" s="141" t="n">
        <x:f>K214</x:f>
        <x:v>1723.3745828907606</x:v>
      </x:c>
      <x:c r="N214" s="141" t="n">
        <x:f>$C214+M214-L214</x:f>
        <x:v>7429.703988910941</x:v>
      </x:c>
      <x:c r="O214" s="141" t="n">
        <x:f>R213*(1+Premissas!$B$41)+N214</x:f>
        <x:v>4407348.258777731</x:v>
      </x:c>
      <x:c r="P214" s="141" t="n">
        <x:f>MAX(0,-O214)</x:f>
        <x:v>0</x:v>
      </x:c>
      <x:c r="Q214" s="141" t="n">
        <x:f>Q213*(1+Premissas!$B$41)+P214</x:f>
        <x:v>0</x:v>
      </x:c>
      <x:c r="R214" s="141" t="n">
        <x:f>MAX(0,O214)</x:f>
        <x:v>4407348.258777731</x:v>
      </x:c>
      <x:c r="S214" s="141" t="n">
        <x:f>IF(AND($A214&gt;=Premissas!$B$48,$A214-Premissas!$B$48+1&lt;=Premissas!$B$13),INDEX(Financiamento!$M$6:$M$485,$A214-Premissas!$B$48+1),0)</x:f>
        <x:v>80000.00000000013</x:v>
      </x:c>
      <x:c r="T214" s="141" t="n">
        <x:f>IF($A214&gt;=Premissas!$B$48,$F214,0)</x:f>
        <x:v>551789.9874540244</x:v>
      </x:c>
      <x:c r="U214" s="141" t="n">
        <x:f>R214+T214-S214</x:f>
        <x:v>4879138.246231755</x:v>
      </x:c>
      <x:c r="V214" s="141" t="n">
        <x:f>IF(Q214&gt;1,"Inviavel",U214)</x:f>
        <x:v>4879138.246231755</x:v>
      </x:c>
      <x:c r="W214" s="141" t="str">
        <x:f>IF(Q214&gt;1,"Inviavel","OK")</x:f>
        <x:v>OK</x:v>
      </x:c>
      <x:c r="X214" s="141" t="n">
        <x:f>IF($A214=Premissas!$B$48,Premissas!$B$8,0)</x:f>
        <x:v>0</x:v>
      </x:c>
      <x:c r="Y214" s="141" t="n">
        <x:f>IF(AND($A214&gt;=Premissas!$B$48,$A214-Premissas!$B$48+1&lt;=Premissas!$B$13),INDEX(Amortizacao!$K$6:$K$485,$A214-Premissas!$B$48+1),0)</x:f>
        <x:v>0</x:v>
      </x:c>
      <x:c r="Z214" s="141" t="n">
        <x:f>IF(AND(TRUE,Premissas!$B$11="Imovel",Premissas!$B$47="Moradia",$A214&lt;MAX(Premissas!$B$48,Premissas!$B$49)),$D214,0)</x:f>
        <x:v>0</x:v>
      </x:c>
      <x:c r="AA214" s="141" t="n">
        <x:f>IF(AND(TRUE,Premissas!$B$11="Imovel",Premissas!$B$47="Investimento",$A214&gt;=MAX(Premissas!$B$48,Premissas!$B$49)),$E214,0)</x:f>
        <x:v>1723.3745828907606</x:v>
      </x:c>
      <x:c r="AB214" s="141" t="n">
        <x:f>X214+Y214+Z214</x:f>
        <x:v>0</x:v>
      </x:c>
      <x:c r="AC214" s="141" t="n">
        <x:f>AA214</x:f>
        <x:v>1723.3745828907606</x:v>
      </x:c>
      <x:c r="AD214" s="141" t="n">
        <x:f>$C214+AC214-AB214</x:f>
        <x:v>8723.374582890761</x:v>
      </x:c>
      <x:c r="AE214" s="141" t="n">
        <x:f>AH213*(1+Premissas!$B$41)+AD214</x:f>
        <x:v>4400553.484204181</x:v>
      </x:c>
      <x:c r="AF214" s="141" t="n">
        <x:f>MAX(0,-AE214)</x:f>
        <x:v>0</x:v>
      </x:c>
      <x:c r="AG214" s="141" t="n">
        <x:f>AG213*(1+Premissas!$B$41)+AF214</x:f>
        <x:v>0</x:v>
      </x:c>
      <x:c r="AH214" s="141" t="n">
        <x:f>MAX(0,AE214)</x:f>
        <x:v>4400553.484204181</x:v>
      </x:c>
      <x:c r="AI214" s="141" t="n">
        <x:f>IF(AND($A214&gt;=Premissas!$B$48,$A214-Premissas!$B$48+1&lt;=Premissas!$B$13),INDEX(Amortizacao!$L$6:$L$485,$A214-Premissas!$B$48+1),0)</x:f>
        <x:v>0</x:v>
      </x:c>
      <x:c r="AJ214" s="141" t="n">
        <x:f>IF($A214&gt;=Premissas!$B$48,$F214,0)</x:f>
        <x:v>551789.9874540244</x:v>
      </x:c>
      <x:c r="AK214" s="141" t="n">
        <x:f>AH214+AJ214-AI214</x:f>
        <x:v>4952343.471658205</x:v>
      </x:c>
      <x:c r="AL214" s="141" t="n">
        <x:f>IF(AG214&gt;1,"Inviavel",AK214)</x:f>
        <x:v>4952343.471658205</x:v>
      </x:c>
      <x:c r="AM214" s="141" t="str">
        <x:f>IF(AG214&gt;1,"Inviavel","OK")</x:f>
        <x:v>OK</x:v>
      </x:c>
      <x:c r="AN214" s="141" t="n">
        <x:f>IF($A214=Premissas!$B$48,Premissas!$B$8,0)</x:f>
        <x:v>0</x:v>
      </x:c>
      <x:c r="AO214" s="141" t="n">
        <x:f>IF($A214&lt;=Premissas!$B$25,INDEX('Consorcio IQ'!$K$6:$K$485,$A214),0)</x:f>
        <x:v>1536.134932956925</x:v>
      </x:c>
      <x:c r="AP214" s="141" t="n">
        <x:f>IF(AND(TRUE,Premissas!$B$11="Imovel",Premissas!$B$47="Moradia",$A214&lt;MAX(Premissas!$B$48,Premissas!$B$49)),$D214,0)</x:f>
        <x:v>0</x:v>
      </x:c>
      <x:c r="AQ214" s="141" t="n">
        <x:f>IF(AND(TRUE,Premissas!$B$11="Imovel",Premissas!$B$47="Investimento",$A214&gt;=MAX(Premissas!$B$48,Premissas!$B$49)),$E214,0)</x:f>
        <x:v>1723.3745828907606</x:v>
      </x:c>
      <x:c r="AR214" s="141" t="n">
        <x:f>AN214+AO214+AP214</x:f>
        <x:v>1536.134932956925</x:v>
      </x:c>
      <x:c r="AS214" s="141" t="n">
        <x:f>AQ214</x:f>
        <x:v>1723.3745828907606</x:v>
      </x:c>
      <x:c r="AT214" s="141" t="n">
        <x:f>$C214+AS214-AR214</x:f>
        <x:v>7187.2396499338365</x:v>
      </x:c>
      <x:c r="AU214" s="141" t="n">
        <x:f>AX213*(1+Premissas!$B$41)+AT214</x:f>
        <x:v>4401687.891831155</x:v>
      </x:c>
      <x:c r="AV214" s="141" t="n">
        <x:f>MAX(0,-AU214)</x:f>
        <x:v>0</x:v>
      </x:c>
      <x:c r="AW214" s="141" t="n">
        <x:f>AW213*(1+Premissas!$B$41)+AV214</x:f>
        <x:v>0</x:v>
      </x:c>
      <x:c r="AX214" s="141" t="n">
        <x:f>MAX(0,AU214)</x:f>
        <x:v>4401687.891831155</x:v>
      </x:c>
      <x:c r="AY214" s="141" t="n">
        <x:f>INDEX('Consorcio IQ'!$P$6:$P$485,$A214)</x:f>
        <x:v>42733.883300773574</x:v>
      </x:c>
      <x:c r="AZ214" s="141" t="n">
        <x:f>IF($A214&gt;=Premissas!$B$48,$F214,0)+IF($A214&lt;Premissas!$B$27,INDEX('Consorcio IQ'!$O$6:$O$485,$A214),0)</x:f>
        <x:v>551789.9874540244</x:v>
      </x:c>
      <x:c r="BA214" s="141" t="n">
        <x:f>AX214+AZ214-AY214</x:f>
        <x:v>4910743.995984405</x:v>
      </x:c>
      <x:c r="BB214" s="141" t="n">
        <x:f>IF(AW214&gt;1,"Inviavel",BA214)</x:f>
        <x:v>4910743.995984405</x:v>
      </x:c>
      <x:c r="BC214" s="141" t="str">
        <x:f>IF(AW214&gt;1,"Inviavel","OK")</x:f>
        <x:v>OK</x:v>
      </x:c>
      <x:c r="BD214" s="141" t="n">
        <x:f>IF($A214='Consorcio Direto'!$B$29,'Consorcio Direto'!$B$44,0)</x:f>
        <x:v>0</x:v>
      </x:c>
      <x:c r="BE214" s="141" t="n">
        <x:f>IF($A214&lt;='Consorcio Direto'!$B$27,INDEX('Consorcio Direto'!$E$55:$E$534,$A214),0)</x:f>
        <x:v>3977.8225823003295</x:v>
      </x:c>
      <x:c r="BF214" s="141" t="n">
        <x:f>IF(AND(TRUE,Premissas!$B$11="Imovel",Premissas!$B$47="Moradia",$A214&lt;MAX('Consorcio Direto'!$B$29,Premissas!$B$49)),$D214,0)</x:f>
        <x:v>0</x:v>
      </x:c>
      <x:c r="BG214" s="141" t="n">
        <x:f>IF(AND(TRUE,Premissas!$B$11="Imovel",Premissas!$B$47="Investimento",$A214&gt;=MAX('Consorcio Direto'!$B$29,Premissas!$B$49)),$E214,0)</x:f>
        <x:v>1723.3745828907606</x:v>
      </x:c>
      <x:c r="BH214" s="141" t="n">
        <x:f>BD214+BE214+BF214</x:f>
        <x:v>3977.8225823003295</x:v>
      </x:c>
      <x:c r="BI214" s="141" t="n">
        <x:f>BG214</x:f>
        <x:v>1723.3745828907606</x:v>
      </x:c>
      <x:c r="BJ214" s="141" t="n">
        <x:f>$C214+BI214-BH214</x:f>
        <x:v>4745.552000590432</x:v>
      </x:c>
      <x:c r="BK214" s="141" t="n">
        <x:f>BN213*(1+Premissas!$B$41)+BJ214</x:f>
        <x:v>4244793.667861821</x:v>
      </x:c>
      <x:c r="BL214" s="141" t="n">
        <x:f>MAX(0,-BK214)</x:f>
        <x:v>0</x:v>
      </x:c>
      <x:c r="BM214" s="141" t="n">
        <x:f>BM213*(1+Premissas!$B$41)+BL214</x:f>
        <x:v>0</x:v>
      </x:c>
      <x:c r="BN214" s="141" t="n">
        <x:f>MAX(0,BK214)</x:f>
        <x:v>4244793.667861821</x:v>
      </x:c>
      <x:c r="BO214" s="141" t="n">
        <x:f>INDEX('Consorcio Direto'!$K$55:$K$534,$A214)</x:f>
        <x:v>110659.42345051182</x:v>
      </x:c>
      <x:c r="BP214" s="141" t="n">
        <x:f>IF($A214&lt;'Consorcio Direto'!$B$29,INDEX('Consorcio Direto'!$L$55:$L$534,$A214),$F214)</x:f>
        <x:v>551789.9874540244</x:v>
      </x:c>
      <x:c r="BQ214" s="141" t="n">
        <x:f>BN214+BP214-BO214</x:f>
        <x:v>4685924.231865333</x:v>
      </x:c>
      <x:c r="BR214" s="141" t="n">
        <x:f>IF(BM214&gt;1,"Inviavel",BQ214)</x:f>
        <x:v>4685924.231865333</x:v>
      </x:c>
      <x:c r="BS214" s="141" t="str">
        <x:f>IF(BM214&gt;1,"Inviavel","OK")</x:f>
        <x:v>OK</x:v>
      </x:c>
      <x:c r="BT214" s="141" t="n">
        <x:f>IF(AND('Carta Contemplada'!$B$22="Sim",$A214='Carta Contemplada'!$B$23),'Carta Contemplada'!$B$37,0)</x:f>
        <x:v>0</x:v>
      </x:c>
      <x:c r="BU214" s="141" t="n">
        <x:f>IF('Carta Contemplada'!$B$22="Sim",INDEX('Carta Contemplada'!$C$55:$C$1013,$A214),0)</x:f>
        <x:v>0</x:v>
      </x:c>
      <x:c r="BV214" s="141" t="n">
        <x:f>IF(AND('Carta Contemplada'!$B$22="Sim",Premissas!$B$11="Imovel",Premissas!$B$47="Moradia",$A214&lt;MAX('Carta Contemplada'!$B$44,Premissas!$B$49)),$D214,0)</x:f>
        <x:v>0</x:v>
      </x:c>
      <x:c r="BW214" s="141" t="n">
        <x:f>IF(AND('Carta Contemplada'!$B$22="Sim",Premissas!$B$11="Imovel",Premissas!$B$47="Investimento",$A214&gt;=MAX('Carta Contemplada'!$B$44,Premissas!$B$49)),$E214,0)</x:f>
        <x:v>1723.3745828907606</x:v>
      </x:c>
      <x:c r="BX214" s="141" t="n">
        <x:f>BT214+BU214+BV214</x:f>
        <x:v>0</x:v>
      </x:c>
      <x:c r="BY214" s="141" t="n">
        <x:f>BW214</x:f>
        <x:v>1723.3745828907606</x:v>
      </x:c>
      <x:c r="BZ214" s="141" t="n">
        <x:f>$C214+BY214-BX214</x:f>
        <x:v>8723.374582890761</x:v>
      </x:c>
      <x:c r="CA214" s="141" t="n">
        <x:f>CD213*(1+Premissas!$B$41)+BZ214</x:f>
        <x:v>4505459.5439251885</x:v>
      </x:c>
      <x:c r="CB214" s="141" t="n">
        <x:f>MAX(0,-CA214)</x:f>
        <x:v>0</x:v>
      </x:c>
      <x:c r="CC214" s="141" t="n">
        <x:f>CC213*(1+Premissas!$B$41)+CB214</x:f>
        <x:v>0</x:v>
      </x:c>
      <x:c r="CD214" s="141" t="n">
        <x:f>MAX(0,CA214)</x:f>
        <x:v>4505459.5439251885</x:v>
      </x:c>
      <x:c r="CE214" s="141" t="n">
        <x:f>IF(AND('Carta Contemplada'!$B$22="Sim",$A214&gt;='Carta Contemplada'!$B$23),INDEX('Carta Contemplada'!$I$55:$I$1013,$A214),0)</x:f>
        <x:v>0</x:v>
      </x:c>
      <x:c r="CF214" s="141" t="n">
        <x:f>IF(AND('Carta Contemplada'!$B$22="Sim",$A214&gt;='Carta Contemplada'!$B$44),$F214,0)</x:f>
        <x:v>551789.9874540244</x:v>
      </x:c>
      <x:c r="CG214" s="141" t="n">
        <x:f>CD214+CF214-CE214</x:f>
        <x:v>5057249.531379213</x:v>
      </x:c>
      <x:c r="CH214" s="141" t="n">
        <x:f>IF(CC214&gt;1,"Inviavel",CG214)</x:f>
        <x:v>5057249.531379213</x:v>
      </x:c>
      <x:c r="CI214" s="145" t="str">
        <x:f>IF(CC214&gt;1,"Inviavel","OK")</x:f>
        <x:v>OK</x:v>
      </x:c>
    </x:row>
    <x:row r="215">
      <x:c r="A215" s="142" t="n">
        <x:v>211</x:v>
      </x:c>
      <x:c r="B215" s="179" t="n">
        <x:f>EDATE(Premissas!$B$4,A215-1)</x:f>
        <x:v>52932</x:v>
      </x:c>
      <x:c r="C215" s="141" t="n">
        <x:f>IF(A215&lt;=Premissas!$B$39,Premissas!$B$42,0)</x:f>
        <x:v>7000</x:v>
      </x:c>
      <x:c r="D215" s="141" t="n">
        <x:f>Premissas!$B$54*(1+Premissas!$B$57)^INT((A215-1)/12)</x:f>
        <x:v>1884.9409500367694</x:v>
      </x:c>
      <x:c r="E215" s="141" t="n">
        <x:f>Premissas!$B$64*(1+Premissas!$B$57)^INT((A215-1)/12)</x:f>
        <x:v>1723.3745828907606</x:v>
      </x:c>
      <x:c r="F215" s="141" t="n">
        <x:f>MAX(0,Premissas!$B$6*(1+Premissas!$B$66)^((A215-1)/12))</x:f>
        <x:v>554475.8531194068</x:v>
      </x:c>
      <x:c r="G215" s="141" t="n">
        <x:f>G214*(1+Premissas!$B$41)+C215</x:f>
        <x:v>5327587.116110271</x:v>
      </x:c>
      <x:c r="H215" s="141" t="n">
        <x:f>IF($A215=Premissas!$B$48,Premissas!$B$8,0)</x:f>
        <x:v>0</x:v>
      </x:c>
      <x:c r="I215" s="141" t="n">
        <x:f>IF(AND($A215&gt;=Premissas!$B$48,$A215-Premissas!$B$48+1&lt;=Premissas!$B$13),INDEX(Financiamento!$J$6:$J$485,$A215-Premissas!$B$48+1),0)</x:f>
        <x:v>1290.0558157190264</x:v>
      </x:c>
      <x:c r="J215" s="141" t="n">
        <x:f>IF(AND(TRUE,Premissas!$B$11="Imovel",Premissas!$B$47="Moradia",$A215&lt;MAX(Premissas!$B$48,Premissas!$B$49)),$D215,0)</x:f>
        <x:v>0</x:v>
      </x:c>
      <x:c r="K215" s="141" t="n">
        <x:f>IF(AND(TRUE,Premissas!$B$11="Imovel",Premissas!$B$47="Investimento",$A215&gt;=MAX(Premissas!$B$48,Premissas!$B$49)),$E215,0)</x:f>
        <x:v>1723.3745828907606</x:v>
      </x:c>
      <x:c r="L215" s="141" t="n">
        <x:f>H215+I215+J215</x:f>
        <x:v>1290.0558157190264</x:v>
      </x:c>
      <x:c r="M215" s="141" t="n">
        <x:f>K215</x:f>
        <x:v>1723.3745828907606</x:v>
      </x:c>
      <x:c r="N215" s="141" t="n">
        <x:f>$C215+M215-L215</x:f>
        <x:v>7433.318767171735</x:v>
      </x:c>
      <x:c r="O215" s="141" t="n">
        <x:f>R214*(1+Premissas!$B$41)+N215</x:f>
        <x:v>4456601.992563039</x:v>
      </x:c>
      <x:c r="P215" s="141" t="n">
        <x:f>MAX(0,-O215)</x:f>
        <x:v>0</x:v>
      </x:c>
      <x:c r="Q215" s="141" t="n">
        <x:f>Q214*(1+Premissas!$B$41)+P215</x:f>
        <x:v>0</x:v>
      </x:c>
      <x:c r="R215" s="141" t="n">
        <x:f>MAX(0,O215)</x:f>
        <x:v>4456601.992563039</x:v>
      </x:c>
      <x:c r="S215" s="141" t="n">
        <x:f>IF(AND($A215&gt;=Premissas!$B$48,$A215-Premissas!$B$48+1&lt;=Premissas!$B$13),INDEX(Financiamento!$M$6:$M$485,$A215-Premissas!$B$48+1),0)</x:f>
        <x:v>79619.04761904775</x:v>
      </x:c>
      <x:c r="T215" s="141" t="n">
        <x:f>IF($A215&gt;=Premissas!$B$48,$F215,0)</x:f>
        <x:v>554475.8531194068</x:v>
      </x:c>
      <x:c r="U215" s="141" t="n">
        <x:f>R215+T215-S215</x:f>
        <x:v>4931458.798063398</x:v>
      </x:c>
      <x:c r="V215" s="141" t="n">
        <x:f>IF(Q215&gt;1,"Inviavel",U215)</x:f>
        <x:v>4931458.798063398</x:v>
      </x:c>
      <x:c r="W215" s="141" t="str">
        <x:f>IF(Q215&gt;1,"Inviavel","OK")</x:f>
        <x:v>OK</x:v>
      </x:c>
      <x:c r="X215" s="141" t="n">
        <x:f>IF($A215=Premissas!$B$48,Premissas!$B$8,0)</x:f>
        <x:v>0</x:v>
      </x:c>
      <x:c r="Y215" s="141" t="n">
        <x:f>IF(AND($A215&gt;=Premissas!$B$48,$A215-Premissas!$B$48+1&lt;=Premissas!$B$13),INDEX(Amortizacao!$K$6:$K$485,$A215-Premissas!$B$48+1),0)</x:f>
        <x:v>0</x:v>
      </x:c>
      <x:c r="Z215" s="141" t="n">
        <x:f>IF(AND(TRUE,Premissas!$B$11="Imovel",Premissas!$B$47="Moradia",$A215&lt;MAX(Premissas!$B$48,Premissas!$B$49)),$D215,0)</x:f>
        <x:v>0</x:v>
      </x:c>
      <x:c r="AA215" s="141" t="n">
        <x:f>IF(AND(TRUE,Premissas!$B$11="Imovel",Premissas!$B$47="Investimento",$A215&gt;=MAX(Premissas!$B$48,Premissas!$B$49)),$E215,0)</x:f>
        <x:v>1723.3745828907606</x:v>
      </x:c>
      <x:c r="AB215" s="141" t="n">
        <x:f>X215+Y215+Z215</x:f>
        <x:v>0</x:v>
      </x:c>
      <x:c r="AC215" s="141" t="n">
        <x:f>AA215</x:f>
        <x:v>1723.3745828907606</x:v>
      </x:c>
      <x:c r="AD215" s="141" t="n">
        <x:f>$C215+AC215-AB215</x:f>
        <x:v>8723.374582890761</x:v>
      </x:c>
      <x:c r="AE215" s="141" t="n">
        <x:f>AH214*(1+Premissas!$B$41)+AD215</x:f>
        <x:v>4451032.799596243</x:v>
      </x:c>
      <x:c r="AF215" s="141" t="n">
        <x:f>MAX(0,-AE215)</x:f>
        <x:v>0</x:v>
      </x:c>
      <x:c r="AG215" s="141" t="n">
        <x:f>AG214*(1+Premissas!$B$41)+AF215</x:f>
        <x:v>0</x:v>
      </x:c>
      <x:c r="AH215" s="141" t="n">
        <x:f>MAX(0,AE215)</x:f>
        <x:v>4451032.799596243</x:v>
      </x:c>
      <x:c r="AI215" s="141" t="n">
        <x:f>IF(AND($A215&gt;=Premissas!$B$48,$A215-Premissas!$B$48+1&lt;=Premissas!$B$13),INDEX(Amortizacao!$L$6:$L$485,$A215-Premissas!$B$48+1),0)</x:f>
        <x:v>0</x:v>
      </x:c>
      <x:c r="AJ215" s="141" t="n">
        <x:f>IF($A215&gt;=Premissas!$B$48,$F215,0)</x:f>
        <x:v>554475.8531194068</x:v>
      </x:c>
      <x:c r="AK215" s="141" t="n">
        <x:f>AH215+AJ215-AI215</x:f>
        <x:v>5005508.652715649</x:v>
      </x:c>
      <x:c r="AL215" s="141" t="n">
        <x:f>IF(AG215&gt;1,"Inviavel",AK215)</x:f>
        <x:v>5005508.652715649</x:v>
      </x:c>
      <x:c r="AM215" s="141" t="str">
        <x:f>IF(AG215&gt;1,"Inviavel","OK")</x:f>
        <x:v>OK</x:v>
      </x:c>
      <x:c r="AN215" s="141" t="n">
        <x:f>IF($A215=Premissas!$B$48,Premissas!$B$8,0)</x:f>
        <x:v>0</x:v>
      </x:c>
      <x:c r="AO215" s="141" t="n">
        <x:f>IF($A215&lt;=Premissas!$B$25,INDEX('Consorcio IQ'!$K$6:$K$485,$A215),0)</x:f>
        <x:v>1536.134932956925</x:v>
      </x:c>
      <x:c r="AP215" s="141" t="n">
        <x:f>IF(AND(TRUE,Premissas!$B$11="Imovel",Premissas!$B$47="Moradia",$A215&lt;MAX(Premissas!$B$48,Premissas!$B$49)),$D215,0)</x:f>
        <x:v>0</x:v>
      </x:c>
      <x:c r="AQ215" s="141" t="n">
        <x:f>IF(AND(TRUE,Premissas!$B$11="Imovel",Premissas!$B$47="Investimento",$A215&gt;=MAX(Premissas!$B$48,Premissas!$B$49)),$E215,0)</x:f>
        <x:v>1723.3745828907606</x:v>
      </x:c>
      <x:c r="AR215" s="141" t="n">
        <x:f>AN215+AO215+AP215</x:f>
        <x:v>1536.134932956925</x:v>
      </x:c>
      <x:c r="AS215" s="141" t="n">
        <x:f>AQ215</x:f>
        <x:v>1723.3745828907606</x:v>
      </x:c>
      <x:c r="AT215" s="141" t="n">
        <x:f>$C215+AS215-AR215</x:f>
        <x:v>7187.2396499338365</x:v>
      </x:c>
      <x:c r="AU215" s="141" t="n">
        <x:f>AX214*(1+Premissas!$B$41)+AT215</x:f>
        <x:v>4450641.836449336</x:v>
      </x:c>
      <x:c r="AV215" s="141" t="n">
        <x:f>MAX(0,-AU215)</x:f>
        <x:v>0</x:v>
      </x:c>
      <x:c r="AW215" s="141" t="n">
        <x:f>AW214*(1+Premissas!$B$41)+AV215</x:f>
        <x:v>0</x:v>
      </x:c>
      <x:c r="AX215" s="141" t="n">
        <x:f>MAX(0,AU215)</x:f>
        <x:v>4450641.836449336</x:v>
      </x:c>
      <x:c r="AY215" s="141" t="n">
        <x:f>INDEX('Consorcio IQ'!$P$6:$P$485,$A215)</x:f>
        <x:v>41603.241337748324</x:v>
      </x:c>
      <x:c r="AZ215" s="141" t="n">
        <x:f>IF($A215&gt;=Premissas!$B$48,$F215,0)+IF($A215&lt;Premissas!$B$27,INDEX('Consorcio IQ'!$O$6:$O$485,$A215),0)</x:f>
        <x:v>554475.8531194068</x:v>
      </x:c>
      <x:c r="BA215" s="141" t="n">
        <x:f>AX215+AZ215-AY215</x:f>
        <x:v>4963514.448230995</x:v>
      </x:c>
      <x:c r="BB215" s="141" t="n">
        <x:f>IF(AW215&gt;1,"Inviavel",BA215)</x:f>
        <x:v>4963514.448230995</x:v>
      </x:c>
      <x:c r="BC215" s="141" t="str">
        <x:f>IF(AW215&gt;1,"Inviavel","OK")</x:f>
        <x:v>OK</x:v>
      </x:c>
      <x:c r="BD215" s="141" t="n">
        <x:f>IF($A215='Consorcio Direto'!$B$29,'Consorcio Direto'!$B$44,0)</x:f>
        <x:v>0</x:v>
      </x:c>
      <x:c r="BE215" s="141" t="n">
        <x:f>IF($A215&lt;='Consorcio Direto'!$B$27,INDEX('Consorcio Direto'!$E$55:$E$534,$A215),0)</x:f>
        <x:v>3977.8225823003295</x:v>
      </x:c>
      <x:c r="BF215" s="141" t="n">
        <x:f>IF(AND(TRUE,Premissas!$B$11="Imovel",Premissas!$B$47="Moradia",$A215&lt;MAX('Consorcio Direto'!$B$29,Premissas!$B$49)),$D215,0)</x:f>
        <x:v>0</x:v>
      </x:c>
      <x:c r="BG215" s="141" t="n">
        <x:f>IF(AND(TRUE,Premissas!$B$11="Imovel",Premissas!$B$47="Investimento",$A215&gt;=MAX('Consorcio Direto'!$B$29,Premissas!$B$49)),$E215,0)</x:f>
        <x:v>1723.3745828907606</x:v>
      </x:c>
      <x:c r="BH215" s="141" t="n">
        <x:f>BD215+BE215+BF215</x:f>
        <x:v>3977.8225823003295</x:v>
      </x:c>
      <x:c r="BI215" s="141" t="n">
        <x:f>BG215</x:f>
        <x:v>1723.3745828907606</x:v>
      </x:c>
      <x:c r="BJ215" s="141" t="n">
        <x:f>$C215+BI215-BH215</x:f>
        <x:v>4745.552000590432</x:v>
      </x:c>
      <x:c r="BK215" s="141" t="n">
        <x:f>BN214*(1+Premissas!$B$41)+BJ215</x:f>
        <x:v>4289817.188026782</x:v>
      </x:c>
      <x:c r="BL215" s="141" t="n">
        <x:f>MAX(0,-BK215)</x:f>
        <x:v>0</x:v>
      </x:c>
      <x:c r="BM215" s="141" t="n">
        <x:f>BM214*(1+Premissas!$B$41)+BL215</x:f>
        <x:v>0</x:v>
      </x:c>
      <x:c r="BN215" s="141" t="n">
        <x:f>MAX(0,BK215)</x:f>
        <x:v>4289817.188026782</x:v>
      </x:c>
      <x:c r="BO215" s="141" t="n">
        <x:f>INDEX('Consorcio Direto'!$K$55:$K$534,$A215)</x:f>
        <x:v>107731.62522359374</x:v>
      </x:c>
      <x:c r="BP215" s="141" t="n">
        <x:f>IF($A215&lt;'Consorcio Direto'!$B$29,INDEX('Consorcio Direto'!$L$55:$L$534,$A215),$F215)</x:f>
        <x:v>554475.8531194068</x:v>
      </x:c>
      <x:c r="BQ215" s="141" t="n">
        <x:f>BN215+BP215-BO215</x:f>
        <x:v>4736561.415922595</x:v>
      </x:c>
      <x:c r="BR215" s="141" t="n">
        <x:f>IF(BM215&gt;1,"Inviavel",BQ215)</x:f>
        <x:v>4736561.415922595</x:v>
      </x:c>
      <x:c r="BS215" s="141" t="str">
        <x:f>IF(BM215&gt;1,"Inviavel","OK")</x:f>
        <x:v>OK</x:v>
      </x:c>
      <x:c r="BT215" s="141" t="n">
        <x:f>IF(AND('Carta Contemplada'!$B$22="Sim",$A215='Carta Contemplada'!$B$23),'Carta Contemplada'!$B$37,0)</x:f>
        <x:v>0</x:v>
      </x:c>
      <x:c r="BU215" s="141" t="n">
        <x:f>IF('Carta Contemplada'!$B$22="Sim",INDEX('Carta Contemplada'!$C$55:$C$1013,$A215),0)</x:f>
        <x:v>0</x:v>
      </x:c>
      <x:c r="BV215" s="141" t="n">
        <x:f>IF(AND('Carta Contemplada'!$B$22="Sim",Premissas!$B$11="Imovel",Premissas!$B$47="Moradia",$A215&lt;MAX('Carta Contemplada'!$B$44,Premissas!$B$49)),$D215,0)</x:f>
        <x:v>0</x:v>
      </x:c>
      <x:c r="BW215" s="141" t="n">
        <x:f>IF(AND('Carta Contemplada'!$B$22="Sim",Premissas!$B$11="Imovel",Premissas!$B$47="Investimento",$A215&gt;=MAX('Carta Contemplada'!$B$44,Premissas!$B$49)),$E215,0)</x:f>
        <x:v>1723.3745828907606</x:v>
      </x:c>
      <x:c r="BX215" s="141" t="n">
        <x:f>BT215+BU215+BV215</x:f>
        <x:v>0</x:v>
      </x:c>
      <x:c r="BY215" s="141" t="n">
        <x:f>BW215</x:f>
        <x:v>1723.3745828907606</x:v>
      </x:c>
      <x:c r="BZ215" s="141" t="n">
        <x:f>$C215+BY215-BX215</x:f>
        <x:v>8723.374582890761</x:v>
      </x:c>
      <x:c r="CA215" s="141" t="n">
        <x:f>CD214*(1+Premissas!$B$41)+BZ215</x:f>
        <x:v>4556934.291195526</x:v>
      </x:c>
      <x:c r="CB215" s="141" t="n">
        <x:f>MAX(0,-CA215)</x:f>
        <x:v>0</x:v>
      </x:c>
      <x:c r="CC215" s="141" t="n">
        <x:f>CC214*(1+Premissas!$B$41)+CB215</x:f>
        <x:v>0</x:v>
      </x:c>
      <x:c r="CD215" s="141" t="n">
        <x:f>MAX(0,CA215)</x:f>
        <x:v>4556934.291195526</x:v>
      </x:c>
      <x:c r="CE215" s="141" t="n">
        <x:f>IF(AND('Carta Contemplada'!$B$22="Sim",$A215&gt;='Carta Contemplada'!$B$23),INDEX('Carta Contemplada'!$I$55:$I$1013,$A215),0)</x:f>
        <x:v>0</x:v>
      </x:c>
      <x:c r="CF215" s="141" t="n">
        <x:f>IF(AND('Carta Contemplada'!$B$22="Sim",$A215&gt;='Carta Contemplada'!$B$44),$F215,0)</x:f>
        <x:v>554475.8531194068</x:v>
      </x:c>
      <x:c r="CG215" s="141" t="n">
        <x:f>CD215+CF215-CE215</x:f>
        <x:v>5111410.144314933</x:v>
      </x:c>
      <x:c r="CH215" s="141" t="n">
        <x:f>IF(CC215&gt;1,"Inviavel",CG215)</x:f>
        <x:v>5111410.144314933</x:v>
      </x:c>
      <x:c r="CI215" s="145" t="str">
        <x:f>IF(CC215&gt;1,"Inviavel","OK")</x:f>
        <x:v>OK</x:v>
      </x:c>
    </x:row>
    <x:row r="216">
      <x:c r="A216" s="142" t="n">
        <x:v>212</x:v>
      </x:c>
      <x:c r="B216" s="179" t="n">
        <x:f>EDATE(Premissas!$B$4,A216-1)</x:f>
        <x:v>52963</x:v>
      </x:c>
      <x:c r="C216" s="141" t="n">
        <x:f>IF(A216&lt;=Premissas!$B$39,Premissas!$B$42,0)</x:f>
        <x:v>7000</x:v>
      </x:c>
      <x:c r="D216" s="141" t="n">
        <x:f>Premissas!$B$54*(1+Premissas!$B$57)^INT((A216-1)/12)</x:f>
        <x:v>1884.9409500367694</x:v>
      </x:c>
      <x:c r="E216" s="141" t="n">
        <x:f>Premissas!$B$64*(1+Premissas!$B$57)^INT((A216-1)/12)</x:f>
        <x:v>1723.3745828907606</x:v>
      </x:c>
      <x:c r="F216" s="141" t="n">
        <x:f>MAX(0,Premissas!$B$6*(1+Premissas!$B$66)^((A216-1)/12))</x:f>
        <x:v>557174.7923717272</x:v>
      </x:c>
      <x:c r="G216" s="141" t="n">
        <x:f>G215*(1+Premissas!$B$41)+C216</x:f>
        <x:v>5385139.487095994</x:v>
      </x:c>
      <x:c r="H216" s="141" t="n">
        <x:f>IF($A216=Premissas!$B$48,Premissas!$B$8,0)</x:f>
        <x:v>0</x:v>
      </x:c>
      <x:c r="I216" s="141" t="n">
        <x:f>IF(AND($A216&gt;=Premissas!$B$48,$A216-Premissas!$B$48+1&lt;=Premissas!$B$13),INDEX(Financiamento!$J$6:$J$485,$A216-Premissas!$B$48+1),0)</x:f>
        <x:v>1286.441037458233</x:v>
      </x:c>
      <x:c r="J216" s="141" t="n">
        <x:f>IF(AND(TRUE,Premissas!$B$11="Imovel",Premissas!$B$47="Moradia",$A216&lt;MAX(Premissas!$B$48,Premissas!$B$49)),$D216,0)</x:f>
        <x:v>0</x:v>
      </x:c>
      <x:c r="K216" s="141" t="n">
        <x:f>IF(AND(TRUE,Premissas!$B$11="Imovel",Premissas!$B$47="Investimento",$A216&gt;=MAX(Premissas!$B$48,Premissas!$B$49)),$E216,0)</x:f>
        <x:v>1723.3745828907606</x:v>
      </x:c>
      <x:c r="L216" s="141" t="n">
        <x:f>H216+I216+J216</x:f>
        <x:v>1286.441037458233</x:v>
      </x:c>
      <x:c r="M216" s="141" t="n">
        <x:f>K216</x:f>
        <x:v>1723.3745828907606</x:v>
      </x:c>
      <x:c r="N216" s="141" t="n">
        <x:f>$C216+M216-L216</x:f>
        <x:v>7436.933545432528</x:v>
      </x:c>
      <x:c r="O216" s="141" t="n">
        <x:f>R215*(1+Premissas!$B$41)+N216</x:f>
        <x:v>4506326.699607753</x:v>
      </x:c>
      <x:c r="P216" s="141" t="n">
        <x:f>MAX(0,-O216)</x:f>
        <x:v>0</x:v>
      </x:c>
      <x:c r="Q216" s="141" t="n">
        <x:f>Q215*(1+Premissas!$B$41)+P216</x:f>
        <x:v>0</x:v>
      </x:c>
      <x:c r="R216" s="141" t="n">
        <x:f>MAX(0,O216)</x:f>
        <x:v>4506326.699607753</x:v>
      </x:c>
      <x:c r="S216" s="141" t="n">
        <x:f>IF(AND($A216&gt;=Premissas!$B$48,$A216-Premissas!$B$48+1&lt;=Premissas!$B$13),INDEX(Financiamento!$M$6:$M$485,$A216-Premissas!$B$48+1),0)</x:f>
        <x:v>79238.09523809537</x:v>
      </x:c>
      <x:c r="T216" s="141" t="n">
        <x:f>IF($A216&gt;=Premissas!$B$48,$F216,0)</x:f>
        <x:v>557174.7923717272</x:v>
      </x:c>
      <x:c r="U216" s="141" t="n">
        <x:f>R216+T216-S216</x:f>
        <x:v>4984263.396741386</x:v>
      </x:c>
      <x:c r="V216" s="141" t="n">
        <x:f>IF(Q216&gt;1,"Inviavel",U216)</x:f>
        <x:v>4984263.396741386</x:v>
      </x:c>
      <x:c r="W216" s="141" t="str">
        <x:f>IF(Q216&gt;1,"Inviavel","OK")</x:f>
        <x:v>OK</x:v>
      </x:c>
      <x:c r="X216" s="141" t="n">
        <x:f>IF($A216=Premissas!$B$48,Premissas!$B$8,0)</x:f>
        <x:v>0</x:v>
      </x:c>
      <x:c r="Y216" s="141" t="n">
        <x:f>IF(AND($A216&gt;=Premissas!$B$48,$A216-Premissas!$B$48+1&lt;=Premissas!$B$13),INDEX(Amortizacao!$K$6:$K$485,$A216-Premissas!$B$48+1),0)</x:f>
        <x:v>0</x:v>
      </x:c>
      <x:c r="Z216" s="141" t="n">
        <x:f>IF(AND(TRUE,Premissas!$B$11="Imovel",Premissas!$B$47="Moradia",$A216&lt;MAX(Premissas!$B$48,Premissas!$B$49)),$D216,0)</x:f>
        <x:v>0</x:v>
      </x:c>
      <x:c r="AA216" s="141" t="n">
        <x:f>IF(AND(TRUE,Premissas!$B$11="Imovel",Premissas!$B$47="Investimento",$A216&gt;=MAX(Premissas!$B$48,Premissas!$B$49)),$E216,0)</x:f>
        <x:v>1723.3745828907606</x:v>
      </x:c>
      <x:c r="AB216" s="141" t="n">
        <x:f>X216+Y216+Z216</x:f>
        <x:v>0</x:v>
      </x:c>
      <x:c r="AC216" s="141" t="n">
        <x:f>AA216</x:f>
        <x:v>1723.3745828907606</x:v>
      </x:c>
      <x:c r="AD216" s="141" t="n">
        <x:f>$C216+AC216-AB216</x:f>
        <x:v>8723.374582890761</x:v>
      </x:c>
      <x:c r="AE216" s="141" t="n">
        <x:f>AH215*(1+Premissas!$B$41)+AD216</x:f>
        <x:v>4501991.102759539</x:v>
      </x:c>
      <x:c r="AF216" s="141" t="n">
        <x:f>MAX(0,-AE216)</x:f>
        <x:v>0</x:v>
      </x:c>
      <x:c r="AG216" s="141" t="n">
        <x:f>AG215*(1+Premissas!$B$41)+AF216</x:f>
        <x:v>0</x:v>
      </x:c>
      <x:c r="AH216" s="141" t="n">
        <x:f>MAX(0,AE216)</x:f>
        <x:v>4501991.102759539</x:v>
      </x:c>
      <x:c r="AI216" s="141" t="n">
        <x:f>IF(AND($A216&gt;=Premissas!$B$48,$A216-Premissas!$B$48+1&lt;=Premissas!$B$13),INDEX(Amortizacao!$L$6:$L$485,$A216-Premissas!$B$48+1),0)</x:f>
        <x:v>0</x:v>
      </x:c>
      <x:c r="AJ216" s="141" t="n">
        <x:f>IF($A216&gt;=Premissas!$B$48,$F216,0)</x:f>
        <x:v>557174.7923717272</x:v>
      </x:c>
      <x:c r="AK216" s="141" t="n">
        <x:f>AH216+AJ216-AI216</x:f>
        <x:v>5059165.895131267</x:v>
      </x:c>
      <x:c r="AL216" s="141" t="n">
        <x:f>IF(AG216&gt;1,"Inviavel",AK216)</x:f>
        <x:v>5059165.895131267</x:v>
      </x:c>
      <x:c r="AM216" s="141" t="str">
        <x:f>IF(AG216&gt;1,"Inviavel","OK")</x:f>
        <x:v>OK</x:v>
      </x:c>
      <x:c r="AN216" s="141" t="n">
        <x:f>IF($A216=Premissas!$B$48,Premissas!$B$8,0)</x:f>
        <x:v>0</x:v>
      </x:c>
      <x:c r="AO216" s="141" t="n">
        <x:f>IF($A216&lt;=Premissas!$B$25,INDEX('Consorcio IQ'!$K$6:$K$485,$A216),0)</x:f>
        <x:v>1536.134932956925</x:v>
      </x:c>
      <x:c r="AP216" s="141" t="n">
        <x:f>IF(AND(TRUE,Premissas!$B$11="Imovel",Premissas!$B$47="Moradia",$A216&lt;MAX(Premissas!$B$48,Premissas!$B$49)),$D216,0)</x:f>
        <x:v>0</x:v>
      </x:c>
      <x:c r="AQ216" s="141" t="n">
        <x:f>IF(AND(TRUE,Premissas!$B$11="Imovel",Premissas!$B$47="Investimento",$A216&gt;=MAX(Premissas!$B$48,Premissas!$B$49)),$E216,0)</x:f>
        <x:v>1723.3745828907606</x:v>
      </x:c>
      <x:c r="AR216" s="141" t="n">
        <x:f>AN216+AO216+AP216</x:f>
        <x:v>1536.134932956925</x:v>
      </x:c>
      <x:c r="AS216" s="141" t="n">
        <x:f>AQ216</x:f>
        <x:v>1723.3745828907606</x:v>
      </x:c>
      <x:c r="AT216" s="141" t="n">
        <x:f>$C216+AS216-AR216</x:f>
        <x:v>7187.2396499338365</x:v>
      </x:c>
      <x:c r="AU216" s="141" t="n">
        <x:f>AX215*(1+Premissas!$B$41)+AT216</x:f>
        <x:v>4500060.294911331</x:v>
      </x:c>
      <x:c r="AV216" s="141" t="n">
        <x:f>MAX(0,-AU216)</x:f>
        <x:v>0</x:v>
      </x:c>
      <x:c r="AW216" s="141" t="n">
        <x:f>AW215*(1+Premissas!$B$41)+AV216</x:f>
        <x:v>0</x:v>
      </x:c>
      <x:c r="AX216" s="141" t="n">
        <x:f>MAX(0,AU216)</x:f>
        <x:v>4500060.294911331</x:v>
      </x:c>
      <x:c r="AY216" s="141" t="n">
        <x:f>INDEX('Consorcio IQ'!$P$6:$P$485,$A216)</x:f>
        <x:v>40461.87094725278</x:v>
      </x:c>
      <x:c r="AZ216" s="141" t="n">
        <x:f>IF($A216&gt;=Premissas!$B$48,$F216,0)+IF($A216&lt;Premissas!$B$27,INDEX('Consorcio IQ'!$O$6:$O$485,$A216),0)</x:f>
        <x:v>557174.7923717272</x:v>
      </x:c>
      <x:c r="BA216" s="141" t="n">
        <x:f>AX216+AZ216-AY216</x:f>
        <x:v>5016773.216335805</x:v>
      </x:c>
      <x:c r="BB216" s="141" t="n">
        <x:f>IF(AW216&gt;1,"Inviavel",BA216)</x:f>
        <x:v>5016773.216335805</x:v>
      </x:c>
      <x:c r="BC216" s="141" t="str">
        <x:f>IF(AW216&gt;1,"Inviavel","OK")</x:f>
        <x:v>OK</x:v>
      </x:c>
      <x:c r="BD216" s="141" t="n">
        <x:f>IF($A216='Consorcio Direto'!$B$29,'Consorcio Direto'!$B$44,0)</x:f>
        <x:v>0</x:v>
      </x:c>
      <x:c r="BE216" s="141" t="n">
        <x:f>IF($A216&lt;='Consorcio Direto'!$B$27,INDEX('Consorcio Direto'!$E$55:$E$534,$A216),0)</x:f>
        <x:v>3977.8225823003295</x:v>
      </x:c>
      <x:c r="BF216" s="141" t="n">
        <x:f>IF(AND(TRUE,Premissas!$B$11="Imovel",Premissas!$B$47="Moradia",$A216&lt;MAX('Consorcio Direto'!$B$29,Premissas!$B$49)),$D216,0)</x:f>
        <x:v>0</x:v>
      </x:c>
      <x:c r="BG216" s="141" t="n">
        <x:f>IF(AND(TRUE,Premissas!$B$11="Imovel",Premissas!$B$47="Investimento",$A216&gt;=MAX('Consorcio Direto'!$B$29,Premissas!$B$49)),$E216,0)</x:f>
        <x:v>1723.3745828907606</x:v>
      </x:c>
      <x:c r="BH216" s="141" t="n">
        <x:f>BD216+BE216+BF216</x:f>
        <x:v>3977.8225823003295</x:v>
      </x:c>
      <x:c r="BI216" s="141" t="n">
        <x:f>BG216</x:f>
        <x:v>1723.3745828907606</x:v>
      </x:c>
      <x:c r="BJ216" s="141" t="n">
        <x:f>$C216+BI216-BH216</x:f>
        <x:v>4745.552000590432</x:v>
      </x:c>
      <x:c r="BK216" s="141" t="n">
        <x:f>BN215*(1+Premissas!$B$41)+BJ216</x:f>
        <x:v>4335267.927051774</x:v>
      </x:c>
      <x:c r="BL216" s="141" t="n">
        <x:f>MAX(0,-BK216)</x:f>
        <x:v>0</x:v>
      </x:c>
      <x:c r="BM216" s="141" t="n">
        <x:f>BM215*(1+Premissas!$B$41)+BL216</x:f>
        <x:v>0</x:v>
      </x:c>
      <x:c r="BN216" s="141" t="n">
        <x:f>MAX(0,BK216)</x:f>
        <x:v>4335267.927051774</x:v>
      </x:c>
      <x:c r="BO216" s="141" t="n">
        <x:f>INDEX('Consorcio Direto'!$K$55:$K$534,$A216)</x:f>
        <x:v>104776.0457255462</x:v>
      </x:c>
      <x:c r="BP216" s="141" t="n">
        <x:f>IF($A216&lt;'Consorcio Direto'!$B$29,INDEX('Consorcio Direto'!$L$55:$L$534,$A216),$F216)</x:f>
        <x:v>557174.7923717272</x:v>
      </x:c>
      <x:c r="BQ216" s="141" t="n">
        <x:f>BN216+BP216-BO216</x:f>
        <x:v>4787666.673697956</x:v>
      </x:c>
      <x:c r="BR216" s="141" t="n">
        <x:f>IF(BM216&gt;1,"Inviavel",BQ216)</x:f>
        <x:v>4787666.673697956</x:v>
      </x:c>
      <x:c r="BS216" s="141" t="str">
        <x:f>IF(BM216&gt;1,"Inviavel","OK")</x:f>
        <x:v>OK</x:v>
      </x:c>
      <x:c r="BT216" s="141" t="n">
        <x:f>IF(AND('Carta Contemplada'!$B$22="Sim",$A216='Carta Contemplada'!$B$23),'Carta Contemplada'!$B$37,0)</x:f>
        <x:v>0</x:v>
      </x:c>
      <x:c r="BU216" s="141" t="n">
        <x:f>IF('Carta Contemplada'!$B$22="Sim",INDEX('Carta Contemplada'!$C$55:$C$1013,$A216),0)</x:f>
        <x:v>0</x:v>
      </x:c>
      <x:c r="BV216" s="141" t="n">
        <x:f>IF(AND('Carta Contemplada'!$B$22="Sim",Premissas!$B$11="Imovel",Premissas!$B$47="Moradia",$A216&lt;MAX('Carta Contemplada'!$B$44,Premissas!$B$49)),$D216,0)</x:f>
        <x:v>0</x:v>
      </x:c>
      <x:c r="BW216" s="141" t="n">
        <x:f>IF(AND('Carta Contemplada'!$B$22="Sim",Premissas!$B$11="Imovel",Premissas!$B$47="Investimento",$A216&gt;=MAX('Carta Contemplada'!$B$44,Premissas!$B$49)),$E216,0)</x:f>
        <x:v>1723.3745828907606</x:v>
      </x:c>
      <x:c r="BX216" s="141" t="n">
        <x:f>BT216+BU216+BV216</x:f>
        <x:v>0</x:v>
      </x:c>
      <x:c r="BY216" s="141" t="n">
        <x:f>BW216</x:f>
        <x:v>1723.3745828907606</x:v>
      </x:c>
      <x:c r="BZ216" s="141" t="n">
        <x:f>$C216+BY216-BX216</x:f>
        <x:v>8723.374582890761</x:v>
      </x:c>
      <x:c r="CA216" s="141" t="n">
        <x:f>CD215*(1+Premissas!$B$41)+BZ216</x:f>
        <x:v>4608897.471684071</x:v>
      </x:c>
      <x:c r="CB216" s="141" t="n">
        <x:f>MAX(0,-CA216)</x:f>
        <x:v>0</x:v>
      </x:c>
      <x:c r="CC216" s="141" t="n">
        <x:f>CC215*(1+Premissas!$B$41)+CB216</x:f>
        <x:v>0</x:v>
      </x:c>
      <x:c r="CD216" s="141" t="n">
        <x:f>MAX(0,CA216)</x:f>
        <x:v>4608897.471684071</x:v>
      </x:c>
      <x:c r="CE216" s="141" t="n">
        <x:f>IF(AND('Carta Contemplada'!$B$22="Sim",$A216&gt;='Carta Contemplada'!$B$23),INDEX('Carta Contemplada'!$I$55:$I$1013,$A216),0)</x:f>
        <x:v>0</x:v>
      </x:c>
      <x:c r="CF216" s="141" t="n">
        <x:f>IF(AND('Carta Contemplada'!$B$22="Sim",$A216&gt;='Carta Contemplada'!$B$44),$F216,0)</x:f>
        <x:v>557174.7923717272</x:v>
      </x:c>
      <x:c r="CG216" s="141" t="n">
        <x:f>CD216+CF216-CE216</x:f>
        <x:v>5166072.264055799</x:v>
      </x:c>
      <x:c r="CH216" s="141" t="n">
        <x:f>IF(CC216&gt;1,"Inviavel",CG216)</x:f>
        <x:v>5166072.264055799</x:v>
      </x:c>
      <x:c r="CI216" s="145" t="str">
        <x:f>IF(CC216&gt;1,"Inviavel","OK")</x:f>
        <x:v>OK</x:v>
      </x:c>
    </x:row>
    <x:row r="217">
      <x:c r="A217" s="142" t="n">
        <x:v>213</x:v>
      </x:c>
      <x:c r="B217" s="179" t="n">
        <x:f>EDATE(Premissas!$B$4,A217-1)</x:f>
        <x:v>52994</x:v>
      </x:c>
      <x:c r="C217" s="141" t="n">
        <x:f>IF(A217&lt;=Premissas!$B$39,Premissas!$B$42,0)</x:f>
        <x:v>7000</x:v>
      </x:c>
      <x:c r="D217" s="141" t="n">
        <x:f>Premissas!$B$54*(1+Premissas!$B$57)^INT((A217-1)/12)</x:f>
        <x:v>1884.9409500367694</x:v>
      </x:c>
      <x:c r="E217" s="141" t="n">
        <x:f>Premissas!$B$64*(1+Premissas!$B$57)^INT((A217-1)/12)</x:f>
        <x:v>1723.3745828907606</x:v>
      </x:c>
      <x:c r="F217" s="141" t="n">
        <x:f>MAX(0,Premissas!$B$6*(1+Premissas!$B$66)^((A217-1)/12))</x:f>
        <x:v>559886.8688473311</x:v>
      </x:c>
      <x:c r="G217" s="141" t="n">
        <x:f>G216*(1+Premissas!$B$41)+C217</x:f>
        <x:v>5443237.960612895</x:v>
      </x:c>
      <x:c r="H217" s="141" t="n">
        <x:f>IF($A217=Premissas!$B$48,Premissas!$B$8,0)</x:f>
        <x:v>0</x:v>
      </x:c>
      <x:c r="I217" s="141" t="n">
        <x:f>IF(AND($A217&gt;=Premissas!$B$48,$A217-Premissas!$B$48+1&lt;=Premissas!$B$13),INDEX(Financiamento!$J$6:$J$485,$A217-Premissas!$B$48+1),0)</x:f>
        <x:v>1282.8262591974394</x:v>
      </x:c>
      <x:c r="J217" s="141" t="n">
        <x:f>IF(AND(TRUE,Premissas!$B$11="Imovel",Premissas!$B$47="Moradia",$A217&lt;MAX(Premissas!$B$48,Premissas!$B$49)),$D217,0)</x:f>
        <x:v>0</x:v>
      </x:c>
      <x:c r="K217" s="141" t="n">
        <x:f>IF(AND(TRUE,Premissas!$B$11="Imovel",Premissas!$B$47="Investimento",$A217&gt;=MAX(Premissas!$B$48,Premissas!$B$49)),$E217,0)</x:f>
        <x:v>1723.3745828907606</x:v>
      </x:c>
      <x:c r="L217" s="141" t="n">
        <x:f>H217+I217+J217</x:f>
        <x:v>1282.8262591974394</x:v>
      </x:c>
      <x:c r="M217" s="141" t="n">
        <x:f>K217</x:f>
        <x:v>1723.3745828907606</x:v>
      </x:c>
      <x:c r="N217" s="141" t="n">
        <x:f>$C217+M217-L217</x:f>
        <x:v>7440.548323693321</x:v>
      </x:c>
      <x:c r="O217" s="141" t="n">
        <x:f>R216*(1+Premissas!$B$41)+N217</x:f>
        <x:v>4556526.848879608</x:v>
      </x:c>
      <x:c r="P217" s="141" t="n">
        <x:f>MAX(0,-O217)</x:f>
        <x:v>0</x:v>
      </x:c>
      <x:c r="Q217" s="141" t="n">
        <x:f>Q216*(1+Premissas!$B$41)+P217</x:f>
        <x:v>0</x:v>
      </x:c>
      <x:c r="R217" s="141" t="n">
        <x:f>MAX(0,O217)</x:f>
        <x:v>4556526.848879608</x:v>
      </x:c>
      <x:c r="S217" s="141" t="n">
        <x:f>IF(AND($A217&gt;=Premissas!$B$48,$A217-Premissas!$B$48+1&lt;=Premissas!$B$13),INDEX(Financiamento!$M$6:$M$485,$A217-Premissas!$B$48+1),0)</x:f>
        <x:v>78857.14285714299</x:v>
      </x:c>
      <x:c r="T217" s="141" t="n">
        <x:f>IF($A217&gt;=Premissas!$B$48,$F217,0)</x:f>
        <x:v>559886.8688473311</x:v>
      </x:c>
      <x:c r="U217" s="141" t="n">
        <x:f>R217+T217-S217</x:f>
        <x:v>5037556.574869797</x:v>
      </x:c>
      <x:c r="V217" s="141" t="n">
        <x:f>IF(Q217&gt;1,"Inviavel",U217)</x:f>
        <x:v>5037556.574869797</x:v>
      </x:c>
      <x:c r="W217" s="141" t="str">
        <x:f>IF(Q217&gt;1,"Inviavel","OK")</x:f>
        <x:v>OK</x:v>
      </x:c>
      <x:c r="X217" s="141" t="n">
        <x:f>IF($A217=Premissas!$B$48,Premissas!$B$8,0)</x:f>
        <x:v>0</x:v>
      </x:c>
      <x:c r="Y217" s="141" t="n">
        <x:f>IF(AND($A217&gt;=Premissas!$B$48,$A217-Premissas!$B$48+1&lt;=Premissas!$B$13),INDEX(Amortizacao!$K$6:$K$485,$A217-Premissas!$B$48+1),0)</x:f>
        <x:v>0</x:v>
      </x:c>
      <x:c r="Z217" s="141" t="n">
        <x:f>IF(AND(TRUE,Premissas!$B$11="Imovel",Premissas!$B$47="Moradia",$A217&lt;MAX(Premissas!$B$48,Premissas!$B$49)),$D217,0)</x:f>
        <x:v>0</x:v>
      </x:c>
      <x:c r="AA217" s="141" t="n">
        <x:f>IF(AND(TRUE,Premissas!$B$11="Imovel",Premissas!$B$47="Investimento",$A217&gt;=MAX(Premissas!$B$48,Premissas!$B$49)),$E217,0)</x:f>
        <x:v>1723.3745828907606</x:v>
      </x:c>
      <x:c r="AB217" s="141" t="n">
        <x:f>X217+Y217+Z217</x:f>
        <x:v>0</x:v>
      </x:c>
      <x:c r="AC217" s="141" t="n">
        <x:f>AA217</x:f>
        <x:v>1723.3745828907606</x:v>
      </x:c>
      <x:c r="AD217" s="141" t="n">
        <x:f>$C217+AC217-AB217</x:f>
        <x:v>8723.374582890761</x:v>
      </x:c>
      <x:c r="AE217" s="141" t="n">
        <x:f>AH216*(1+Premissas!$B$41)+AD217</x:f>
        <x:v>4553432.93870985</x:v>
      </x:c>
      <x:c r="AF217" s="141" t="n">
        <x:f>MAX(0,-AE217)</x:f>
        <x:v>0</x:v>
      </x:c>
      <x:c r="AG217" s="141" t="n">
        <x:f>AG216*(1+Premissas!$B$41)+AF217</x:f>
        <x:v>0</x:v>
      </x:c>
      <x:c r="AH217" s="141" t="n">
        <x:f>MAX(0,AE217)</x:f>
        <x:v>4553432.93870985</x:v>
      </x:c>
      <x:c r="AI217" s="141" t="n">
        <x:f>IF(AND($A217&gt;=Premissas!$B$48,$A217-Premissas!$B$48+1&lt;=Premissas!$B$13),INDEX(Amortizacao!$L$6:$L$485,$A217-Premissas!$B$48+1),0)</x:f>
        <x:v>0</x:v>
      </x:c>
      <x:c r="AJ217" s="141" t="n">
        <x:f>IF($A217&gt;=Premissas!$B$48,$F217,0)</x:f>
        <x:v>559886.8688473311</x:v>
      </x:c>
      <x:c r="AK217" s="141" t="n">
        <x:f>AH217+AJ217-AI217</x:f>
        <x:v>5113319.807557181</x:v>
      </x:c>
      <x:c r="AL217" s="141" t="n">
        <x:f>IF(AG217&gt;1,"Inviavel",AK217)</x:f>
        <x:v>5113319.807557181</x:v>
      </x:c>
      <x:c r="AM217" s="141" t="str">
        <x:f>IF(AG217&gt;1,"Inviavel","OK")</x:f>
        <x:v>OK</x:v>
      </x:c>
      <x:c r="AN217" s="141" t="n">
        <x:f>IF($A217=Premissas!$B$48,Premissas!$B$8,0)</x:f>
        <x:v>0</x:v>
      </x:c>
      <x:c r="AO217" s="141" t="n">
        <x:f>IF($A217&lt;=Premissas!$B$25,INDEX('Consorcio IQ'!$K$6:$K$485,$A217),0)</x:f>
        <x:v>1536.134932956925</x:v>
      </x:c>
      <x:c r="AP217" s="141" t="n">
        <x:f>IF(AND(TRUE,Premissas!$B$11="Imovel",Premissas!$B$47="Moradia",$A217&lt;MAX(Premissas!$B$48,Premissas!$B$49)),$D217,0)</x:f>
        <x:v>0</x:v>
      </x:c>
      <x:c r="AQ217" s="141" t="n">
        <x:f>IF(AND(TRUE,Premissas!$B$11="Imovel",Premissas!$B$47="Investimento",$A217&gt;=MAX(Premissas!$B$48,Premissas!$B$49)),$E217,0)</x:f>
        <x:v>1723.3745828907606</x:v>
      </x:c>
      <x:c r="AR217" s="141" t="n">
        <x:f>AN217+AO217+AP217</x:f>
        <x:v>1536.134932956925</x:v>
      </x:c>
      <x:c r="AS217" s="141" t="n">
        <x:f>AQ217</x:f>
        <x:v>1723.3745828907606</x:v>
      </x:c>
      <x:c r="AT217" s="141" t="n">
        <x:f>$C217+AS217-AR217</x:f>
        <x:v>7187.2396499338365</x:v>
      </x:c>
      <x:c r="AU217" s="141" t="n">
        <x:f>AX216*(1+Premissas!$B$41)+AT217</x:f>
        <x:v>4549947.674892817</x:v>
      </x:c>
      <x:c r="AV217" s="141" t="n">
        <x:f>MAX(0,-AU217)</x:f>
        <x:v>0</x:v>
      </x:c>
      <x:c r="AW217" s="141" t="n">
        <x:f>AW216*(1+Premissas!$B$41)+AV217</x:f>
        <x:v>0</x:v>
      </x:c>
      <x:c r="AX217" s="141" t="n">
        <x:f>MAX(0,AU217)</x:f>
        <x:v>4549947.674892817</x:v>
      </x:c>
      <x:c r="AY217" s="141" t="n">
        <x:f>INDEX('Consorcio IQ'!$P$6:$P$485,$A217)</x:f>
        <x:v>39309.670329460154</x:v>
      </x:c>
      <x:c r="AZ217" s="141" t="n">
        <x:f>IF($A217&gt;=Premissas!$B$48,$F217,0)+IF($A217&lt;Premissas!$B$27,INDEX('Consorcio IQ'!$O$6:$O$485,$A217),0)</x:f>
        <x:v>559886.8688473311</x:v>
      </x:c>
      <x:c r="BA217" s="141" t="n">
        <x:f>AX217+AZ217-AY217</x:f>
        <x:v>5070524.873410688</x:v>
      </x:c>
      <x:c r="BB217" s="141" t="n">
        <x:f>IF(AW217&gt;1,"Inviavel",BA217)</x:f>
        <x:v>5070524.873410688</x:v>
      </x:c>
      <x:c r="BC217" s="141" t="str">
        <x:f>IF(AW217&gt;1,"Inviavel","OK")</x:f>
        <x:v>OK</x:v>
      </x:c>
      <x:c r="BD217" s="141" t="n">
        <x:f>IF($A217='Consorcio Direto'!$B$29,'Consorcio Direto'!$B$44,0)</x:f>
        <x:v>0</x:v>
      </x:c>
      <x:c r="BE217" s="141" t="n">
        <x:f>IF($A217&lt;='Consorcio Direto'!$B$27,INDEX('Consorcio Direto'!$E$55:$E$534,$A217),0)</x:f>
        <x:v>3977.8225823003295</x:v>
      </x:c>
      <x:c r="BF217" s="141" t="n">
        <x:f>IF(AND(TRUE,Premissas!$B$11="Imovel",Premissas!$B$47="Moradia",$A217&lt;MAX('Consorcio Direto'!$B$29,Premissas!$B$49)),$D217,0)</x:f>
        <x:v>0</x:v>
      </x:c>
      <x:c r="BG217" s="141" t="n">
        <x:f>IF(AND(TRUE,Premissas!$B$11="Imovel",Premissas!$B$47="Investimento",$A217&gt;=MAX('Consorcio Direto'!$B$29,Premissas!$B$49)),$E217,0)</x:f>
        <x:v>1723.3745828907606</x:v>
      </x:c>
      <x:c r="BH217" s="141" t="n">
        <x:f>BD217+BE217+BF217</x:f>
        <x:v>3977.8225823003295</x:v>
      </x:c>
      <x:c r="BI217" s="141" t="n">
        <x:f>BG217</x:f>
        <x:v>1723.3745828907606</x:v>
      </x:c>
      <x:c r="BJ217" s="141" t="n">
        <x:f>$C217+BI217-BH217</x:f>
        <x:v>4745.552000590432</x:v>
      </x:c>
      <x:c r="BK217" s="141" t="n">
        <x:f>BN216*(1+Premissas!$B$41)+BJ217</x:f>
        <x:v>4381149.938728098</x:v>
      </x:c>
      <x:c r="BL217" s="141" t="n">
        <x:f>MAX(0,-BK217)</x:f>
        <x:v>0</x:v>
      </x:c>
      <x:c r="BM217" s="141" t="n">
        <x:f>BM216*(1+Premissas!$B$41)+BL217</x:f>
        <x:v>0</x:v>
      </x:c>
      <x:c r="BN217" s="141" t="n">
        <x:f>MAX(0,BK217)</x:f>
        <x:v>4381149.938728098</x:v>
      </x:c>
      <x:c r="BO217" s="141" t="n">
        <x:f>INDEX('Consorcio Direto'!$K$55:$K$534,$A217)</x:f>
        <x:v>101792.42134563997</x:v>
      </x:c>
      <x:c r="BP217" s="141" t="n">
        <x:f>IF($A217&lt;'Consorcio Direto'!$B$29,INDEX('Consorcio Direto'!$L$55:$L$534,$A217),$F217)</x:f>
        <x:v>559886.8688473311</x:v>
      </x:c>
      <x:c r="BQ217" s="141" t="n">
        <x:f>BN217+BP217-BO217</x:f>
        <x:v>4839244.386229789</x:v>
      </x:c>
      <x:c r="BR217" s="141" t="n">
        <x:f>IF(BM217&gt;1,"Inviavel",BQ217)</x:f>
        <x:v>4839244.386229789</x:v>
      </x:c>
      <x:c r="BS217" s="141" t="str">
        <x:f>IF(BM217&gt;1,"Inviavel","OK")</x:f>
        <x:v>OK</x:v>
      </x:c>
      <x:c r="BT217" s="141" t="n">
        <x:f>IF(AND('Carta Contemplada'!$B$22="Sim",$A217='Carta Contemplada'!$B$23),'Carta Contemplada'!$B$37,0)</x:f>
        <x:v>0</x:v>
      </x:c>
      <x:c r="BU217" s="141" t="n">
        <x:f>IF('Carta Contemplada'!$B$22="Sim",INDEX('Carta Contemplada'!$C$55:$C$1013,$A217),0)</x:f>
        <x:v>0</x:v>
      </x:c>
      <x:c r="BV217" s="141" t="n">
        <x:f>IF(AND('Carta Contemplada'!$B$22="Sim",Premissas!$B$11="Imovel",Premissas!$B$47="Moradia",$A217&lt;MAX('Carta Contemplada'!$B$44,Premissas!$B$49)),$D217,0)</x:f>
        <x:v>0</x:v>
      </x:c>
      <x:c r="BW217" s="141" t="n">
        <x:f>IF(AND('Carta Contemplada'!$B$22="Sim",Premissas!$B$11="Imovel",Premissas!$B$47="Investimento",$A217&gt;=MAX('Carta Contemplada'!$B$44,Premissas!$B$49)),$E217,0)</x:f>
        <x:v>1723.3745828907606</x:v>
      </x:c>
      <x:c r="BX217" s="141" t="n">
        <x:f>BT217+BU217+BV217</x:f>
        <x:v>0</x:v>
      </x:c>
      <x:c r="BY217" s="141" t="n">
        <x:f>BW217</x:f>
        <x:v>1723.3745828907606</x:v>
      </x:c>
      <x:c r="BZ217" s="141" t="n">
        <x:f>$C217+BY217-BX217</x:f>
        <x:v>8723.374582890761</x:v>
      </x:c>
      <x:c r="CA217" s="141" t="n">
        <x:f>CD216*(1+Premissas!$B$41)+BZ217</x:f>
        <x:v>4661353.720032495</x:v>
      </x:c>
      <x:c r="CB217" s="141" t="n">
        <x:f>MAX(0,-CA217)</x:f>
        <x:v>0</x:v>
      </x:c>
      <x:c r="CC217" s="141" t="n">
        <x:f>CC216*(1+Premissas!$B$41)+CB217</x:f>
        <x:v>0</x:v>
      </x:c>
      <x:c r="CD217" s="141" t="n">
        <x:f>MAX(0,CA217)</x:f>
        <x:v>4661353.720032495</x:v>
      </x:c>
      <x:c r="CE217" s="141" t="n">
        <x:f>IF(AND('Carta Contemplada'!$B$22="Sim",$A217&gt;='Carta Contemplada'!$B$23),INDEX('Carta Contemplada'!$I$55:$I$1013,$A217),0)</x:f>
        <x:v>0</x:v>
      </x:c>
      <x:c r="CF217" s="141" t="n">
        <x:f>IF(AND('Carta Contemplada'!$B$22="Sim",$A217&gt;='Carta Contemplada'!$B$44),$F217,0)</x:f>
        <x:v>559886.8688473311</x:v>
      </x:c>
      <x:c r="CG217" s="141" t="n">
        <x:f>CD217+CF217-CE217</x:f>
        <x:v>5221240.5888798265</x:v>
      </x:c>
      <x:c r="CH217" s="141" t="n">
        <x:f>IF(CC217&gt;1,"Inviavel",CG217)</x:f>
        <x:v>5221240.5888798265</x:v>
      </x:c>
      <x:c r="CI217" s="145" t="str">
        <x:f>IF(CC217&gt;1,"Inviavel","OK")</x:f>
        <x:v>OK</x:v>
      </x:c>
    </x:row>
    <x:row r="218">
      <x:c r="A218" s="142" t="n">
        <x:v>214</x:v>
      </x:c>
      <x:c r="B218" s="179" t="n">
        <x:f>EDATE(Premissas!$B$4,A218-1)</x:f>
        <x:v>53022</x:v>
      </x:c>
      <x:c r="C218" s="141" t="n">
        <x:f>IF(A218&lt;=Premissas!$B$39,Premissas!$B$42,0)</x:f>
        <x:v>7000</x:v>
      </x:c>
      <x:c r="D218" s="141" t="n">
        <x:f>Premissas!$B$54*(1+Premissas!$B$57)^INT((A218-1)/12)</x:f>
        <x:v>1884.9409500367694</x:v>
      </x:c>
      <x:c r="E218" s="141" t="n">
        <x:f>Premissas!$B$64*(1+Premissas!$B$57)^INT((A218-1)/12)</x:f>
        <x:v>1723.3745828907606</x:v>
      </x:c>
      <x:c r="F218" s="141" t="n">
        <x:f>MAX(0,Premissas!$B$6*(1+Premissas!$B$66)^((A218-1)/12))</x:f>
        <x:v>562612.1464923171</x:v>
      </x:c>
      <x:c r="G218" s="141" t="n">
        <x:f>G217*(1+Premissas!$B$41)+C218</x:f>
        <x:v>5501887.718514813</x:v>
      </x:c>
      <x:c r="H218" s="141" t="n">
        <x:f>IF($A218=Premissas!$B$48,Premissas!$B$8,0)</x:f>
        <x:v>0</x:v>
      </x:c>
      <x:c r="I218" s="141" t="n">
        <x:f>IF(AND($A218&gt;=Premissas!$B$48,$A218-Premissas!$B$48+1&lt;=Premissas!$B$13),INDEX(Financiamento!$J$6:$J$485,$A218-Premissas!$B$48+1),0)</x:f>
        <x:v>1279.2114809366458</x:v>
      </x:c>
      <x:c r="J218" s="141" t="n">
        <x:f>IF(AND(TRUE,Premissas!$B$11="Imovel",Premissas!$B$47="Moradia",$A218&lt;MAX(Premissas!$B$48,Premissas!$B$49)),$D218,0)</x:f>
        <x:v>0</x:v>
      </x:c>
      <x:c r="K218" s="141" t="n">
        <x:f>IF(AND(TRUE,Premissas!$B$11="Imovel",Premissas!$B$47="Investimento",$A218&gt;=MAX(Premissas!$B$48,Premissas!$B$49)),$E218,0)</x:f>
        <x:v>1723.3745828907606</x:v>
      </x:c>
      <x:c r="L218" s="141" t="n">
        <x:f>H218+I218+J218</x:f>
        <x:v>1279.2114809366458</x:v>
      </x:c>
      <x:c r="M218" s="141" t="n">
        <x:f>K218</x:f>
        <x:v>1723.3745828907606</x:v>
      </x:c>
      <x:c r="N218" s="141" t="n">
        <x:f>$C218+M218-L218</x:f>
        <x:v>7444.1631019541155</x:v>
      </x:c>
      <x:c r="O218" s="141" t="n">
        <x:f>R217*(1+Premissas!$B$41)+N218</x:f>
        <x:v>4607206.951751449</x:v>
      </x:c>
      <x:c r="P218" s="141" t="n">
        <x:f>MAX(0,-O218)</x:f>
        <x:v>0</x:v>
      </x:c>
      <x:c r="Q218" s="141" t="n">
        <x:f>Q217*(1+Premissas!$B$41)+P218</x:f>
        <x:v>0</x:v>
      </x:c>
      <x:c r="R218" s="141" t="n">
        <x:f>MAX(0,O218)</x:f>
        <x:v>4607206.951751449</x:v>
      </x:c>
      <x:c r="S218" s="141" t="n">
        <x:f>IF(AND($A218&gt;=Premissas!$B$48,$A218-Premissas!$B$48+1&lt;=Premissas!$B$13),INDEX(Financiamento!$M$6:$M$485,$A218-Premissas!$B$48+1),0)</x:f>
        <x:v>78476.1904761906</x:v>
      </x:c>
      <x:c r="T218" s="141" t="n">
        <x:f>IF($A218&gt;=Premissas!$B$48,$F218,0)</x:f>
        <x:v>562612.1464923171</x:v>
      </x:c>
      <x:c r="U218" s="141" t="n">
        <x:f>R218+T218-S218</x:f>
        <x:v>5091342.907767576</x:v>
      </x:c>
      <x:c r="V218" s="141" t="n">
        <x:f>IF(Q218&gt;1,"Inviavel",U218)</x:f>
        <x:v>5091342.907767576</x:v>
      </x:c>
      <x:c r="W218" s="141" t="str">
        <x:f>IF(Q218&gt;1,"Inviavel","OK")</x:f>
        <x:v>OK</x:v>
      </x:c>
      <x:c r="X218" s="141" t="n">
        <x:f>IF($A218=Premissas!$B$48,Premissas!$B$8,0)</x:f>
        <x:v>0</x:v>
      </x:c>
      <x:c r="Y218" s="141" t="n">
        <x:f>IF(AND($A218&gt;=Premissas!$B$48,$A218-Premissas!$B$48+1&lt;=Premissas!$B$13),INDEX(Amortizacao!$K$6:$K$485,$A218-Premissas!$B$48+1),0)</x:f>
        <x:v>0</x:v>
      </x:c>
      <x:c r="Z218" s="141" t="n">
        <x:f>IF(AND(TRUE,Premissas!$B$11="Imovel",Premissas!$B$47="Moradia",$A218&lt;MAX(Premissas!$B$48,Premissas!$B$49)),$D218,0)</x:f>
        <x:v>0</x:v>
      </x:c>
      <x:c r="AA218" s="141" t="n">
        <x:f>IF(AND(TRUE,Premissas!$B$11="Imovel",Premissas!$B$47="Investimento",$A218&gt;=MAX(Premissas!$B$48,Premissas!$B$49)),$E218,0)</x:f>
        <x:v>1723.3745828907606</x:v>
      </x:c>
      <x:c r="AB218" s="141" t="n">
        <x:f>X218+Y218+Z218</x:f>
        <x:v>0</x:v>
      </x:c>
      <x:c r="AC218" s="141" t="n">
        <x:f>AA218</x:f>
        <x:v>1723.3745828907606</x:v>
      </x:c>
      <x:c r="AD218" s="141" t="n">
        <x:f>$C218+AC218-AB218</x:f>
        <x:v>8723.374582890761</x:v>
      </x:c>
      <x:c r="AE218" s="141" t="n">
        <x:f>AH217*(1+Premissas!$B$41)+AD218</x:f>
        <x:v>4605362.895589668</x:v>
      </x:c>
      <x:c r="AF218" s="141" t="n">
        <x:f>MAX(0,-AE218)</x:f>
        <x:v>0</x:v>
      </x:c>
      <x:c r="AG218" s="141" t="n">
        <x:f>AG217*(1+Premissas!$B$41)+AF218</x:f>
        <x:v>0</x:v>
      </x:c>
      <x:c r="AH218" s="141" t="n">
        <x:f>MAX(0,AE218)</x:f>
        <x:v>4605362.895589668</x:v>
      </x:c>
      <x:c r="AI218" s="141" t="n">
        <x:f>IF(AND($A218&gt;=Premissas!$B$48,$A218-Premissas!$B$48+1&lt;=Premissas!$B$13),INDEX(Amortizacao!$L$6:$L$485,$A218-Premissas!$B$48+1),0)</x:f>
        <x:v>0</x:v>
      </x:c>
      <x:c r="AJ218" s="141" t="n">
        <x:f>IF($A218&gt;=Premissas!$B$48,$F218,0)</x:f>
        <x:v>562612.1464923171</x:v>
      </x:c>
      <x:c r="AK218" s="141" t="n">
        <x:f>AH218+AJ218-AI218</x:f>
        <x:v>5167975.042081986</x:v>
      </x:c>
      <x:c r="AL218" s="141" t="n">
        <x:f>IF(AG218&gt;1,"Inviavel",AK218)</x:f>
        <x:v>5167975.042081986</x:v>
      </x:c>
      <x:c r="AM218" s="141" t="str">
        <x:f>IF(AG218&gt;1,"Inviavel","OK")</x:f>
        <x:v>OK</x:v>
      </x:c>
      <x:c r="AN218" s="141" t="n">
        <x:f>IF($A218=Premissas!$B$48,Premissas!$B$8,0)</x:f>
        <x:v>0</x:v>
      </x:c>
      <x:c r="AO218" s="141" t="n">
        <x:f>IF($A218&lt;=Premissas!$B$25,INDEX('Consorcio IQ'!$K$6:$K$485,$A218),0)</x:f>
        <x:v>1536.134932956925</x:v>
      </x:c>
      <x:c r="AP218" s="141" t="n">
        <x:f>IF(AND(TRUE,Premissas!$B$11="Imovel",Premissas!$B$47="Moradia",$A218&lt;MAX(Premissas!$B$48,Premissas!$B$49)),$D218,0)</x:f>
        <x:v>0</x:v>
      </x:c>
      <x:c r="AQ218" s="141" t="n">
        <x:f>IF(AND(TRUE,Premissas!$B$11="Imovel",Premissas!$B$47="Investimento",$A218&gt;=MAX(Premissas!$B$48,Premissas!$B$49)),$E218,0)</x:f>
        <x:v>1723.3745828907606</x:v>
      </x:c>
      <x:c r="AR218" s="141" t="n">
        <x:f>AN218+AO218+AP218</x:f>
        <x:v>1536.134932956925</x:v>
      </x:c>
      <x:c r="AS218" s="141" t="n">
        <x:f>AQ218</x:f>
        <x:v>1723.3745828907606</x:v>
      </x:c>
      <x:c r="AT218" s="141" t="n">
        <x:f>$C218+AS218-AR218</x:f>
        <x:v>7187.2396499338365</x:v>
      </x:c>
      <x:c r="AU218" s="141" t="n">
        <x:f>AX217*(1+Premissas!$B$41)+AT218</x:f>
        <x:v>4600308.425892996</x:v>
      </x:c>
      <x:c r="AV218" s="141" t="n">
        <x:f>MAX(0,-AU218)</x:f>
        <x:v>0</x:v>
      </x:c>
      <x:c r="AW218" s="141" t="n">
        <x:f>AW217*(1+Premissas!$B$41)+AV218</x:f>
        <x:v>0</x:v>
      </x:c>
      <x:c r="AX218" s="141" t="n">
        <x:f>MAX(0,AU218)</x:f>
        <x:v>4600308.425892996</x:v>
      </x:c>
      <x:c r="AY218" s="141" t="n">
        <x:f>INDEX('Consorcio IQ'!$P$6:$P$485,$A218)</x:f>
        <x:v>38146.5367185862</x:v>
      </x:c>
      <x:c r="AZ218" s="141" t="n">
        <x:f>IF($A218&gt;=Premissas!$B$48,$F218,0)+IF($A218&lt;Premissas!$B$27,INDEX('Consorcio IQ'!$O$6:$O$485,$A218),0)</x:f>
        <x:v>562612.1464923171</x:v>
      </x:c>
      <x:c r="BA218" s="141" t="n">
        <x:f>AX218+AZ218-AY218</x:f>
        <x:v>5124774.0356667265</x:v>
      </x:c>
      <x:c r="BB218" s="141" t="n">
        <x:f>IF(AW218&gt;1,"Inviavel",BA218)</x:f>
        <x:v>5124774.0356667265</x:v>
      </x:c>
      <x:c r="BC218" s="141" t="str">
        <x:f>IF(AW218&gt;1,"Inviavel","OK")</x:f>
        <x:v>OK</x:v>
      </x:c>
      <x:c r="BD218" s="141" t="n">
        <x:f>IF($A218='Consorcio Direto'!$B$29,'Consorcio Direto'!$B$44,0)</x:f>
        <x:v>0</x:v>
      </x:c>
      <x:c r="BE218" s="141" t="n">
        <x:f>IF($A218&lt;='Consorcio Direto'!$B$27,INDEX('Consorcio Direto'!$E$55:$E$534,$A218),0)</x:f>
        <x:v>3977.8225823003295</x:v>
      </x:c>
      <x:c r="BF218" s="141" t="n">
        <x:f>IF(AND(TRUE,Premissas!$B$11="Imovel",Premissas!$B$47="Moradia",$A218&lt;MAX('Consorcio Direto'!$B$29,Premissas!$B$49)),$D218,0)</x:f>
        <x:v>0</x:v>
      </x:c>
      <x:c r="BG218" s="141" t="n">
        <x:f>IF(AND(TRUE,Premissas!$B$11="Imovel",Premissas!$B$47="Investimento",$A218&gt;=MAX('Consorcio Direto'!$B$29,Premissas!$B$49)),$E218,0)</x:f>
        <x:v>1723.3745828907606</x:v>
      </x:c>
      <x:c r="BH218" s="141" t="n">
        <x:f>BD218+BE218+BF218</x:f>
        <x:v>3977.8225823003295</x:v>
      </x:c>
      <x:c r="BI218" s="141" t="n">
        <x:f>BG218</x:f>
        <x:v>1723.3745828907606</x:v>
      </x:c>
      <x:c r="BJ218" s="141" t="n">
        <x:f>$C218+BI218-BH218</x:f>
        <x:v>4745.552000590432</x:v>
      </x:c>
      <x:c r="BK218" s="141" t="n">
        <x:f>BN217*(1+Premissas!$B$41)+BJ218</x:f>
        <x:v>4427467.315312641</x:v>
      </x:c>
      <x:c r="BL218" s="141" t="n">
        <x:f>MAX(0,-BK218)</x:f>
        <x:v>0</x:v>
      </x:c>
      <x:c r="BM218" s="141" t="n">
        <x:f>BM217*(1+Premissas!$B$41)+BL218</x:f>
        <x:v>0</x:v>
      </x:c>
      <x:c r="BN218" s="141" t="n">
        <x:f>MAX(0,BK218)</x:f>
        <x:v>4427467.315312641</x:v>
      </x:c>
      <x:c r="BO218" s="141" t="n">
        <x:f>INDEX('Consorcio Direto'!$K$55:$K$534,$A218)</x:f>
        <x:v>98780.48597179825</x:v>
      </x:c>
      <x:c r="BP218" s="141" t="n">
        <x:f>IF($A218&lt;'Consorcio Direto'!$B$29,INDEX('Consorcio Direto'!$L$55:$L$534,$A218),$F218)</x:f>
        <x:v>562612.1464923171</x:v>
      </x:c>
      <x:c r="BQ218" s="141" t="n">
        <x:f>BN218+BP218-BO218</x:f>
        <x:v>4891298.97583316</x:v>
      </x:c>
      <x:c r="BR218" s="141" t="n">
        <x:f>IF(BM218&gt;1,"Inviavel",BQ218)</x:f>
        <x:v>4891298.97583316</x:v>
      </x:c>
      <x:c r="BS218" s="141" t="str">
        <x:f>IF(BM218&gt;1,"Inviavel","OK")</x:f>
        <x:v>OK</x:v>
      </x:c>
      <x:c r="BT218" s="141" t="n">
        <x:f>IF(AND('Carta Contemplada'!$B$22="Sim",$A218='Carta Contemplada'!$B$23),'Carta Contemplada'!$B$37,0)</x:f>
        <x:v>0</x:v>
      </x:c>
      <x:c r="BU218" s="141" t="n">
        <x:f>IF('Carta Contemplada'!$B$22="Sim",INDEX('Carta Contemplada'!$C$55:$C$1013,$A218),0)</x:f>
        <x:v>0</x:v>
      </x:c>
      <x:c r="BV218" s="141" t="n">
        <x:f>IF(AND('Carta Contemplada'!$B$22="Sim",Premissas!$B$11="Imovel",Premissas!$B$47="Moradia",$A218&lt;MAX('Carta Contemplada'!$B$44,Premissas!$B$49)),$D218,0)</x:f>
        <x:v>0</x:v>
      </x:c>
      <x:c r="BW218" s="141" t="n">
        <x:f>IF(AND('Carta Contemplada'!$B$22="Sim",Premissas!$B$11="Imovel",Premissas!$B$47="Investimento",$A218&gt;=MAX('Carta Contemplada'!$B$44,Premissas!$B$49)),$E218,0)</x:f>
        <x:v>1723.3745828907606</x:v>
      </x:c>
      <x:c r="BX218" s="141" t="n">
        <x:f>BT218+BU218+BV218</x:f>
        <x:v>0</x:v>
      </x:c>
      <x:c r="BY218" s="141" t="n">
        <x:f>BW218</x:f>
        <x:v>1723.3745828907606</x:v>
      </x:c>
      <x:c r="BZ218" s="141" t="n">
        <x:f>$C218+BY218-BX218</x:f>
        <x:v>8723.374582890761</x:v>
      </x:c>
      <x:c r="CA218" s="141" t="n">
        <x:f>CD217*(1+Premissas!$B$41)+BZ218</x:f>
        <x:v>4714307.7148596225</x:v>
      </x:c>
      <x:c r="CB218" s="141" t="n">
        <x:f>MAX(0,-CA218)</x:f>
        <x:v>0</x:v>
      </x:c>
      <x:c r="CC218" s="141" t="n">
        <x:f>CC217*(1+Premissas!$B$41)+CB218</x:f>
        <x:v>0</x:v>
      </x:c>
      <x:c r="CD218" s="141" t="n">
        <x:f>MAX(0,CA218)</x:f>
        <x:v>4714307.7148596225</x:v>
      </x:c>
      <x:c r="CE218" s="141" t="n">
        <x:f>IF(AND('Carta Contemplada'!$B$22="Sim",$A218&gt;='Carta Contemplada'!$B$23),INDEX('Carta Contemplada'!$I$55:$I$1013,$A218),0)</x:f>
        <x:v>0</x:v>
      </x:c>
      <x:c r="CF218" s="141" t="n">
        <x:f>IF(AND('Carta Contemplada'!$B$22="Sim",$A218&gt;='Carta Contemplada'!$B$44),$F218,0)</x:f>
        <x:v>562612.1464923171</x:v>
      </x:c>
      <x:c r="CG218" s="141" t="n">
        <x:f>CD218+CF218-CE218</x:f>
        <x:v>5276919.86135194</x:v>
      </x:c>
      <x:c r="CH218" s="141" t="n">
        <x:f>IF(CC218&gt;1,"Inviavel",CG218)</x:f>
        <x:v>5276919.86135194</x:v>
      </x:c>
      <x:c r="CI218" s="145" t="str">
        <x:f>IF(CC218&gt;1,"Inviavel","OK")</x:f>
        <x:v>OK</x:v>
      </x:c>
    </x:row>
    <x:row r="219">
      <x:c r="A219" s="142" t="n">
        <x:v>215</x:v>
      </x:c>
      <x:c r="B219" s="179" t="n">
        <x:f>EDATE(Premissas!$B$4,A219-1)</x:f>
        <x:v>53053</x:v>
      </x:c>
      <x:c r="C219" s="141" t="n">
        <x:f>IF(A219&lt;=Premissas!$B$39,Premissas!$B$42,0)</x:f>
        <x:v>7000</x:v>
      </x:c>
      <x:c r="D219" s="141" t="n">
        <x:f>Premissas!$B$54*(1+Premissas!$B$57)^INT((A219-1)/12)</x:f>
        <x:v>1884.9409500367694</x:v>
      </x:c>
      <x:c r="E219" s="141" t="n">
        <x:f>Premissas!$B$64*(1+Premissas!$B$57)^INT((A219-1)/12)</x:f>
        <x:v>1723.3745828907606</x:v>
      </x:c>
      <x:c r="F219" s="141" t="n">
        <x:f>MAX(0,Premissas!$B$6*(1+Premissas!$B$66)^((A219-1)/12))</x:f>
        <x:v>565350.6895640446</x:v>
      </x:c>
      <x:c r="G219" s="141" t="n">
        <x:f>G218*(1+Premissas!$B$41)+C219</x:f>
        <x:v>5561093.991825126</x:v>
      </x:c>
      <x:c r="H219" s="141" t="n">
        <x:f>IF($A219=Premissas!$B$48,Premissas!$B$8,0)</x:f>
        <x:v>0</x:v>
      </x:c>
      <x:c r="I219" s="141" t="n">
        <x:f>IF(AND($A219&gt;=Premissas!$B$48,$A219-Premissas!$B$48+1&lt;=Premissas!$B$13),INDEX(Financiamento!$J$6:$J$485,$A219-Premissas!$B$48+1),0)</x:f>
        <x:v>1275.5967026758524</x:v>
      </x:c>
      <x:c r="J219" s="141" t="n">
        <x:f>IF(AND(TRUE,Premissas!$B$11="Imovel",Premissas!$B$47="Moradia",$A219&lt;MAX(Premissas!$B$48,Premissas!$B$49)),$D219,0)</x:f>
        <x:v>0</x:v>
      </x:c>
      <x:c r="K219" s="141" t="n">
        <x:f>IF(AND(TRUE,Premissas!$B$11="Imovel",Premissas!$B$47="Investimento",$A219&gt;=MAX(Premissas!$B$48,Premissas!$B$49)),$E219,0)</x:f>
        <x:v>1723.3745828907606</x:v>
      </x:c>
      <x:c r="L219" s="141" t="n">
        <x:f>H219+I219+J219</x:f>
        <x:v>1275.5967026758524</x:v>
      </x:c>
      <x:c r="M219" s="141" t="n">
        <x:f>K219</x:f>
        <x:v>1723.3745828907606</x:v>
      </x:c>
      <x:c r="N219" s="141" t="n">
        <x:f>$C219+M219-L219</x:f>
        <x:v>7447.777880214909</x:v>
      </x:c>
      <x:c r="O219" s="141" t="n">
        <x:f>R218*(1+Premissas!$B$41)+N219</x:f>
        <x:v>4658371.562403605</x:v>
      </x:c>
      <x:c r="P219" s="141" t="n">
        <x:f>MAX(0,-O219)</x:f>
        <x:v>0</x:v>
      </x:c>
      <x:c r="Q219" s="141" t="n">
        <x:f>Q218*(1+Premissas!$B$41)+P219</x:f>
        <x:v>0</x:v>
      </x:c>
      <x:c r="R219" s="141" t="n">
        <x:f>MAX(0,O219)</x:f>
        <x:v>4658371.562403605</x:v>
      </x:c>
      <x:c r="S219" s="141" t="n">
        <x:f>IF(AND($A219&gt;=Premissas!$B$48,$A219-Premissas!$B$48+1&lt;=Premissas!$B$13),INDEX(Financiamento!$M$6:$M$485,$A219-Premissas!$B$48+1),0)</x:f>
        <x:v>78095.23809523822</x:v>
      </x:c>
      <x:c r="T219" s="141" t="n">
        <x:f>IF($A219&gt;=Premissas!$B$48,$F219,0)</x:f>
        <x:v>565350.6895640446</x:v>
      </x:c>
      <x:c r="U219" s="141" t="n">
        <x:f>R219+T219-S219</x:f>
        <x:v>5145627.013872412</x:v>
      </x:c>
      <x:c r="V219" s="141" t="n">
        <x:f>IF(Q219&gt;1,"Inviavel",U219)</x:f>
        <x:v>5145627.013872412</x:v>
      </x:c>
      <x:c r="W219" s="141" t="str">
        <x:f>IF(Q219&gt;1,"Inviavel","OK")</x:f>
        <x:v>OK</x:v>
      </x:c>
      <x:c r="X219" s="141" t="n">
        <x:f>IF($A219=Premissas!$B$48,Premissas!$B$8,0)</x:f>
        <x:v>0</x:v>
      </x:c>
      <x:c r="Y219" s="141" t="n">
        <x:f>IF(AND($A219&gt;=Premissas!$B$48,$A219-Premissas!$B$48+1&lt;=Premissas!$B$13),INDEX(Amortizacao!$K$6:$K$485,$A219-Premissas!$B$48+1),0)</x:f>
        <x:v>0</x:v>
      </x:c>
      <x:c r="Z219" s="141" t="n">
        <x:f>IF(AND(TRUE,Premissas!$B$11="Imovel",Premissas!$B$47="Moradia",$A219&lt;MAX(Premissas!$B$48,Premissas!$B$49)),$D219,0)</x:f>
        <x:v>0</x:v>
      </x:c>
      <x:c r="AA219" s="141" t="n">
        <x:f>IF(AND(TRUE,Premissas!$B$11="Imovel",Premissas!$B$47="Investimento",$A219&gt;=MAX(Premissas!$B$48,Premissas!$B$49)),$E219,0)</x:f>
        <x:v>1723.3745828907606</x:v>
      </x:c>
      <x:c r="AB219" s="141" t="n">
        <x:f>X219+Y219+Z219</x:f>
        <x:v>0</x:v>
      </x:c>
      <x:c r="AC219" s="141" t="n">
        <x:f>AA219</x:f>
        <x:v>1723.3745828907606</x:v>
      </x:c>
      <x:c r="AD219" s="141" t="n">
        <x:f>$C219+AC219-AB219</x:f>
        <x:v>8723.374582890761</x:v>
      </x:c>
      <x:c r="AE219" s="141" t="n">
        <x:f>AH218*(1+Premissas!$B$41)+AD219</x:f>
        <x:v>4657785.605077421</x:v>
      </x:c>
      <x:c r="AF219" s="141" t="n">
        <x:f>MAX(0,-AE219)</x:f>
        <x:v>0</x:v>
      </x:c>
      <x:c r="AG219" s="141" t="n">
        <x:f>AG218*(1+Premissas!$B$41)+AF219</x:f>
        <x:v>0</x:v>
      </x:c>
      <x:c r="AH219" s="141" t="n">
        <x:f>MAX(0,AE219)</x:f>
        <x:v>4657785.605077421</x:v>
      </x:c>
      <x:c r="AI219" s="141" t="n">
        <x:f>IF(AND($A219&gt;=Premissas!$B$48,$A219-Premissas!$B$48+1&lt;=Premissas!$B$13),INDEX(Amortizacao!$L$6:$L$485,$A219-Premissas!$B$48+1),0)</x:f>
        <x:v>0</x:v>
      </x:c>
      <x:c r="AJ219" s="141" t="n">
        <x:f>IF($A219&gt;=Premissas!$B$48,$F219,0)</x:f>
        <x:v>565350.6895640446</x:v>
      </x:c>
      <x:c r="AK219" s="141" t="n">
        <x:f>AH219+AJ219-AI219</x:f>
        <x:v>5223136.294641466</x:v>
      </x:c>
      <x:c r="AL219" s="141" t="n">
        <x:f>IF(AG219&gt;1,"Inviavel",AK219)</x:f>
        <x:v>5223136.294641466</x:v>
      </x:c>
      <x:c r="AM219" s="141" t="str">
        <x:f>IF(AG219&gt;1,"Inviavel","OK")</x:f>
        <x:v>OK</x:v>
      </x:c>
      <x:c r="AN219" s="141" t="n">
        <x:f>IF($A219=Premissas!$B$48,Premissas!$B$8,0)</x:f>
        <x:v>0</x:v>
      </x:c>
      <x:c r="AO219" s="141" t="n">
        <x:f>IF($A219&lt;=Premissas!$B$25,INDEX('Consorcio IQ'!$K$6:$K$485,$A219),0)</x:f>
        <x:v>1536.134932956925</x:v>
      </x:c>
      <x:c r="AP219" s="141" t="n">
        <x:f>IF(AND(TRUE,Premissas!$B$11="Imovel",Premissas!$B$47="Moradia",$A219&lt;MAX(Premissas!$B$48,Premissas!$B$49)),$D219,0)</x:f>
        <x:v>0</x:v>
      </x:c>
      <x:c r="AQ219" s="141" t="n">
        <x:f>IF(AND(TRUE,Premissas!$B$11="Imovel",Premissas!$B$47="Investimento",$A219&gt;=MAX(Premissas!$B$48,Premissas!$B$49)),$E219,0)</x:f>
        <x:v>1723.3745828907606</x:v>
      </x:c>
      <x:c r="AR219" s="141" t="n">
        <x:f>AN219+AO219+AP219</x:f>
        <x:v>1536.134932956925</x:v>
      </x:c>
      <x:c r="AS219" s="141" t="n">
        <x:f>AQ219</x:f>
        <x:v>1723.3745828907606</x:v>
      </x:c>
      <x:c r="AT219" s="141" t="n">
        <x:f>$C219+AS219-AR219</x:f>
        <x:v>7187.2396499338365</x:v>
      </x:c>
      <x:c r="AU219" s="141" t="n">
        <x:f>AX218*(1+Premissas!$B$41)+AT219</x:f>
        <x:v>4651147.039631446</x:v>
      </x:c>
      <x:c r="AV219" s="141" t="n">
        <x:f>MAX(0,-AU219)</x:f>
        <x:v>0</x:v>
      </x:c>
      <x:c r="AW219" s="141" t="n">
        <x:f>AW218*(1+Premissas!$B$41)+AV219</x:f>
        <x:v>0</x:v>
      </x:c>
      <x:c r="AX219" s="141" t="n">
        <x:f>MAX(0,AU219)</x:f>
        <x:v>4651147.039631446</x:v>
      </x:c>
      <x:c r="AY219" s="141" t="n">
        <x:f>INDEX('Consorcio IQ'!$P$6:$P$485,$A219)</x:f>
        <x:v>36972.3663737234</x:v>
      </x:c>
      <x:c r="AZ219" s="141" t="n">
        <x:f>IF($A219&gt;=Premissas!$B$48,$F219,0)+IF($A219&lt;Premissas!$B$27,INDEX('Consorcio IQ'!$O$6:$O$485,$A219),0)</x:f>
        <x:v>565350.6895640446</x:v>
      </x:c>
      <x:c r="BA219" s="141" t="n">
        <x:f>AX219+AZ219-AY219</x:f>
        <x:v>5179525.362821767</x:v>
      </x:c>
      <x:c r="BB219" s="141" t="n">
        <x:f>IF(AW219&gt;1,"Inviavel",BA219)</x:f>
        <x:v>5179525.362821767</x:v>
      </x:c>
      <x:c r="BC219" s="141" t="str">
        <x:f>IF(AW219&gt;1,"Inviavel","OK")</x:f>
        <x:v>OK</x:v>
      </x:c>
      <x:c r="BD219" s="141" t="n">
        <x:f>IF($A219='Consorcio Direto'!$B$29,'Consorcio Direto'!$B$44,0)</x:f>
        <x:v>0</x:v>
      </x:c>
      <x:c r="BE219" s="141" t="n">
        <x:f>IF($A219&lt;='Consorcio Direto'!$B$27,INDEX('Consorcio Direto'!$E$55:$E$534,$A219),0)</x:f>
        <x:v>3977.8225823003295</x:v>
      </x:c>
      <x:c r="BF219" s="141" t="n">
        <x:f>IF(AND(TRUE,Premissas!$B$11="Imovel",Premissas!$B$47="Moradia",$A219&lt;MAX('Consorcio Direto'!$B$29,Premissas!$B$49)),$D219,0)</x:f>
        <x:v>0</x:v>
      </x:c>
      <x:c r="BG219" s="141" t="n">
        <x:f>IF(AND(TRUE,Premissas!$B$11="Imovel",Premissas!$B$47="Investimento",$A219&gt;=MAX('Consorcio Direto'!$B$29,Premissas!$B$49)),$E219,0)</x:f>
        <x:v>1723.3745828907606</x:v>
      </x:c>
      <x:c r="BH219" s="141" t="n">
        <x:f>BD219+BE219+BF219</x:f>
        <x:v>3977.8225823003295</x:v>
      </x:c>
      <x:c r="BI219" s="141" t="n">
        <x:f>BG219</x:f>
        <x:v>1723.3745828907606</x:v>
      </x:c>
      <x:c r="BJ219" s="141" t="n">
        <x:f>$C219+BI219-BH219</x:f>
        <x:v>4745.552000590432</x:v>
      </x:c>
      <x:c r="BK219" s="141" t="n">
        <x:f>BN218*(1+Premissas!$B$41)+BJ219</x:f>
        <x:v>4474224.187892867</x:v>
      </x:c>
      <x:c r="BL219" s="141" t="n">
        <x:f>MAX(0,-BK219)</x:f>
        <x:v>0</x:v>
      </x:c>
      <x:c r="BM219" s="141" t="n">
        <x:f>BM218*(1+Premissas!$B$41)+BL219</x:f>
        <x:v>0</x:v>
      </x:c>
      <x:c r="BN219" s="141" t="n">
        <x:f>MAX(0,BK219)</x:f>
        <x:v>4474224.187892867</x:v>
      </x:c>
      <x:c r="BO219" s="141" t="n">
        <x:f>INDEX('Consorcio Direto'!$K$55:$K$534,$A219)</x:f>
        <x:v>95739.9709668618</x:v>
      </x:c>
      <x:c r="BP219" s="141" t="n">
        <x:f>IF($A219&lt;'Consorcio Direto'!$B$29,INDEX('Consorcio Direto'!$L$55:$L$534,$A219),$F219)</x:f>
        <x:v>565350.6895640446</x:v>
      </x:c>
      <x:c r="BQ219" s="141" t="n">
        <x:f>BN219+BP219-BO219</x:f>
        <x:v>4943834.90649005</x:v>
      </x:c>
      <x:c r="BR219" s="141" t="n">
        <x:f>IF(BM219&gt;1,"Inviavel",BQ219)</x:f>
        <x:v>4943834.90649005</x:v>
      </x:c>
      <x:c r="BS219" s="141" t="str">
        <x:f>IF(BM219&gt;1,"Inviavel","OK")</x:f>
        <x:v>OK</x:v>
      </x:c>
      <x:c r="BT219" s="141" t="n">
        <x:f>IF(AND('Carta Contemplada'!$B$22="Sim",$A219='Carta Contemplada'!$B$23),'Carta Contemplada'!$B$37,0)</x:f>
        <x:v>0</x:v>
      </x:c>
      <x:c r="BU219" s="141" t="n">
        <x:f>IF('Carta Contemplada'!$B$22="Sim",INDEX('Carta Contemplada'!$C$55:$C$1013,$A219),0)</x:f>
        <x:v>0</x:v>
      </x:c>
      <x:c r="BV219" s="141" t="n">
        <x:f>IF(AND('Carta Contemplada'!$B$22="Sim",Premissas!$B$11="Imovel",Premissas!$B$47="Moradia",$A219&lt;MAX('Carta Contemplada'!$B$44,Premissas!$B$49)),$D219,0)</x:f>
        <x:v>0</x:v>
      </x:c>
      <x:c r="BW219" s="141" t="n">
        <x:f>IF(AND('Carta Contemplada'!$B$22="Sim",Premissas!$B$11="Imovel",Premissas!$B$47="Investimento",$A219&gt;=MAX('Carta Contemplada'!$B$44,Premissas!$B$49)),$E219,0)</x:f>
        <x:v>1723.3745828907606</x:v>
      </x:c>
      <x:c r="BX219" s="141" t="n">
        <x:f>BT219+BU219+BV219</x:f>
        <x:v>0</x:v>
      </x:c>
      <x:c r="BY219" s="141" t="n">
        <x:f>BW219</x:f>
        <x:v>1723.3745828907606</x:v>
      </x:c>
      <x:c r="BZ219" s="141" t="n">
        <x:f>$C219+BY219-BX219</x:f>
        <x:v>8723.374582890761</x:v>
      </x:c>
      <x:c r="CA219" s="141" t="n">
        <x:f>CD218*(1+Premissas!$B$41)+BZ219</x:f>
        <x:v>4767764.179178723</x:v>
      </x:c>
      <x:c r="CB219" s="141" t="n">
        <x:f>MAX(0,-CA219)</x:f>
        <x:v>0</x:v>
      </x:c>
      <x:c r="CC219" s="141" t="n">
        <x:f>CC218*(1+Premissas!$B$41)+CB219</x:f>
        <x:v>0</x:v>
      </x:c>
      <x:c r="CD219" s="141" t="n">
        <x:f>MAX(0,CA219)</x:f>
        <x:v>4767764.179178723</x:v>
      </x:c>
      <x:c r="CE219" s="141" t="n">
        <x:f>IF(AND('Carta Contemplada'!$B$22="Sim",$A219&gt;='Carta Contemplada'!$B$23),INDEX('Carta Contemplada'!$I$55:$I$1013,$A219),0)</x:f>
        <x:v>0</x:v>
      </x:c>
      <x:c r="CF219" s="141" t="n">
        <x:f>IF(AND('Carta Contemplada'!$B$22="Sim",$A219&gt;='Carta Contemplada'!$B$44),$F219,0)</x:f>
        <x:v>565350.6895640446</x:v>
      </x:c>
      <x:c r="CG219" s="141" t="n">
        <x:f>CD219+CF219-CE219</x:f>
        <x:v>5333114.868742768</x:v>
      </x:c>
      <x:c r="CH219" s="141" t="n">
        <x:f>IF(CC219&gt;1,"Inviavel",CG219)</x:f>
        <x:v>5333114.868742768</x:v>
      </x:c>
      <x:c r="CI219" s="145" t="str">
        <x:f>IF(CC219&gt;1,"Inviavel","OK")</x:f>
        <x:v>OK</x:v>
      </x:c>
    </x:row>
    <x:row r="220">
      <x:c r="A220" s="142" t="n">
        <x:v>216</x:v>
      </x:c>
      <x:c r="B220" s="179" t="n">
        <x:f>EDATE(Premissas!$B$4,A220-1)</x:f>
        <x:v>53083</x:v>
      </x:c>
      <x:c r="C220" s="141" t="n">
        <x:f>IF(A220&lt;=Premissas!$B$39,Premissas!$B$42,0)</x:f>
        <x:v>7000</x:v>
      </x:c>
      <x:c r="D220" s="141" t="n">
        <x:f>Premissas!$B$54*(1+Premissas!$B$57)^INT((A220-1)/12)</x:f>
        <x:v>1884.9409500367694</x:v>
      </x:c>
      <x:c r="E220" s="141" t="n">
        <x:f>Premissas!$B$64*(1+Premissas!$B$57)^INT((A220-1)/12)</x:f>
        <x:v>1723.3745828907606</x:v>
      </x:c>
      <x:c r="F220" s="141" t="n">
        <x:f>MAX(0,Premissas!$B$6*(1+Premissas!$B$66)^((A220-1)/12))</x:f>
        <x:v>568102.5626326492</x:v>
      </x:c>
      <x:c r="G220" s="141" t="n">
        <x:f>G219*(1+Premissas!$B$41)+C220</x:f>
        <x:v>5620862.061203308</x:v>
      </x:c>
      <x:c r="H220" s="141" t="n">
        <x:f>IF($A220=Premissas!$B$48,Premissas!$B$8,0)</x:f>
        <x:v>0</x:v>
      </x:c>
      <x:c r="I220" s="141" t="n">
        <x:f>IF(AND($A220&gt;=Premissas!$B$48,$A220-Premissas!$B$48+1&lt;=Premissas!$B$13),INDEX(Financiamento!$J$6:$J$485,$A220-Premissas!$B$48+1),0)</x:f>
        <x:v>1271.9819244150588</x:v>
      </x:c>
      <x:c r="J220" s="141" t="n">
        <x:f>IF(AND(TRUE,Premissas!$B$11="Imovel",Premissas!$B$47="Moradia",$A220&lt;MAX(Premissas!$B$48,Premissas!$B$49)),$D220,0)</x:f>
        <x:v>0</x:v>
      </x:c>
      <x:c r="K220" s="141" t="n">
        <x:f>IF(AND(TRUE,Premissas!$B$11="Imovel",Premissas!$B$47="Investimento",$A220&gt;=MAX(Premissas!$B$48,Premissas!$B$49)),$E220,0)</x:f>
        <x:v>1723.3745828907606</x:v>
      </x:c>
      <x:c r="L220" s="141" t="n">
        <x:f>H220+I220+J220</x:f>
        <x:v>1271.9819244150588</x:v>
      </x:c>
      <x:c r="M220" s="141" t="n">
        <x:f>K220</x:f>
        <x:v>1723.3745828907606</x:v>
      </x:c>
      <x:c r="N220" s="141" t="n">
        <x:f>$C220+M220-L220</x:f>
        <x:v>7451.392658475703</x:v>
      </x:c>
      <x:c r="O220" s="141" t="n">
        <x:f>R219*(1+Premissas!$B$41)+N220</x:f>
        <x:v>4710025.278230079</x:v>
      </x:c>
      <x:c r="P220" s="141" t="n">
        <x:f>MAX(0,-O220)</x:f>
        <x:v>0</x:v>
      </x:c>
      <x:c r="Q220" s="141" t="n">
        <x:f>Q219*(1+Premissas!$B$41)+P220</x:f>
        <x:v>0</x:v>
      </x:c>
      <x:c r="R220" s="141" t="n">
        <x:f>MAX(0,O220)</x:f>
        <x:v>4710025.278230079</x:v>
      </x:c>
      <x:c r="S220" s="141" t="n">
        <x:f>IF(AND($A220&gt;=Premissas!$B$48,$A220-Premissas!$B$48+1&lt;=Premissas!$B$13),INDEX(Financiamento!$M$6:$M$485,$A220-Premissas!$B$48+1),0)</x:f>
        <x:v>77714.28571428584</x:v>
      </x:c>
      <x:c r="T220" s="141" t="n">
        <x:f>IF($A220&gt;=Premissas!$B$48,$F220,0)</x:f>
        <x:v>568102.5626326492</x:v>
      </x:c>
      <x:c r="U220" s="141" t="n">
        <x:f>R220+T220-S220</x:f>
        <x:v>5200413.555148443</x:v>
      </x:c>
      <x:c r="V220" s="141" t="n">
        <x:f>IF(Q220&gt;1,"Inviavel",U220)</x:f>
        <x:v>5200413.555148443</x:v>
      </x:c>
      <x:c r="W220" s="141" t="str">
        <x:f>IF(Q220&gt;1,"Inviavel","OK")</x:f>
        <x:v>OK</x:v>
      </x:c>
      <x:c r="X220" s="141" t="n">
        <x:f>IF($A220=Premissas!$B$48,Premissas!$B$8,0)</x:f>
        <x:v>0</x:v>
      </x:c>
      <x:c r="Y220" s="141" t="n">
        <x:f>IF(AND($A220&gt;=Premissas!$B$48,$A220-Premissas!$B$48+1&lt;=Premissas!$B$13),INDEX(Amortizacao!$K$6:$K$485,$A220-Premissas!$B$48+1),0)</x:f>
        <x:v>0</x:v>
      </x:c>
      <x:c r="Z220" s="141" t="n">
        <x:f>IF(AND(TRUE,Premissas!$B$11="Imovel",Premissas!$B$47="Moradia",$A220&lt;MAX(Premissas!$B$48,Premissas!$B$49)),$D220,0)</x:f>
        <x:v>0</x:v>
      </x:c>
      <x:c r="AA220" s="141" t="n">
        <x:f>IF(AND(TRUE,Premissas!$B$11="Imovel",Premissas!$B$47="Investimento",$A220&gt;=MAX(Premissas!$B$48,Premissas!$B$49)),$E220,0)</x:f>
        <x:v>1723.3745828907606</x:v>
      </x:c>
      <x:c r="AB220" s="141" t="n">
        <x:f>X220+Y220+Z220</x:f>
        <x:v>0</x:v>
      </x:c>
      <x:c r="AC220" s="141" t="n">
        <x:f>AA220</x:f>
        <x:v>1723.3745828907606</x:v>
      </x:c>
      <x:c r="AD220" s="141" t="n">
        <x:f>$C220+AC220-AB220</x:f>
        <x:v>8723.374582890761</x:v>
      </x:c>
      <x:c r="AE220" s="141" t="n">
        <x:f>AH219*(1+Premissas!$B$41)+AD220</x:f>
        <x:v>4710705.742800573</x:v>
      </x:c>
      <x:c r="AF220" s="141" t="n">
        <x:f>MAX(0,-AE220)</x:f>
        <x:v>0</x:v>
      </x:c>
      <x:c r="AG220" s="141" t="n">
        <x:f>AG219*(1+Premissas!$B$41)+AF220</x:f>
        <x:v>0</x:v>
      </x:c>
      <x:c r="AH220" s="141" t="n">
        <x:f>MAX(0,AE220)</x:f>
        <x:v>4710705.742800573</x:v>
      </x:c>
      <x:c r="AI220" s="141" t="n">
        <x:f>IF(AND($A220&gt;=Premissas!$B$48,$A220-Premissas!$B$48+1&lt;=Premissas!$B$13),INDEX(Amortizacao!$L$6:$L$485,$A220-Premissas!$B$48+1),0)</x:f>
        <x:v>0</x:v>
      </x:c>
      <x:c r="AJ220" s="141" t="n">
        <x:f>IF($A220&gt;=Premissas!$B$48,$F220,0)</x:f>
        <x:v>568102.5626326492</x:v>
      </x:c>
      <x:c r="AK220" s="141" t="n">
        <x:f>AH220+AJ220-AI220</x:f>
        <x:v>5278808.305433222</x:v>
      </x:c>
      <x:c r="AL220" s="141" t="n">
        <x:f>IF(AG220&gt;1,"Inviavel",AK220)</x:f>
        <x:v>5278808.305433222</x:v>
      </x:c>
      <x:c r="AM220" s="141" t="str">
        <x:f>IF(AG220&gt;1,"Inviavel","OK")</x:f>
        <x:v>OK</x:v>
      </x:c>
      <x:c r="AN220" s="141" t="n">
        <x:f>IF($A220=Premissas!$B$48,Premissas!$B$8,0)</x:f>
        <x:v>0</x:v>
      </x:c>
      <x:c r="AO220" s="141" t="n">
        <x:f>IF($A220&lt;=Premissas!$B$25,INDEX('Consorcio IQ'!$K$6:$K$485,$A220),0)</x:f>
        <x:v>1536.134932956925</x:v>
      </x:c>
      <x:c r="AP220" s="141" t="n">
        <x:f>IF(AND(TRUE,Premissas!$B$11="Imovel",Premissas!$B$47="Moradia",$A220&lt;MAX(Premissas!$B$48,Premissas!$B$49)),$D220,0)</x:f>
        <x:v>0</x:v>
      </x:c>
      <x:c r="AQ220" s="141" t="n">
        <x:f>IF(AND(TRUE,Premissas!$B$11="Imovel",Premissas!$B$47="Investimento",$A220&gt;=MAX(Premissas!$B$48,Premissas!$B$49)),$E220,0)</x:f>
        <x:v>1723.3745828907606</x:v>
      </x:c>
      <x:c r="AR220" s="141" t="n">
        <x:f>AN220+AO220+AP220</x:f>
        <x:v>1536.134932956925</x:v>
      </x:c>
      <x:c r="AS220" s="141" t="n">
        <x:f>AQ220</x:f>
        <x:v>1723.3745828907606</x:v>
      </x:c>
      <x:c r="AT220" s="141" t="n">
        <x:f>$C220+AS220-AR220</x:f>
        <x:v>7187.2396499338365</x:v>
      </x:c>
      <x:c r="AU220" s="141" t="n">
        <x:f>AX219*(1+Premissas!$B$41)+AT220</x:f>
        <x:v>4702468.050448742</x:v>
      </x:c>
      <x:c r="AV220" s="141" t="n">
        <x:f>MAX(0,-AU220)</x:f>
        <x:v>0</x:v>
      </x:c>
      <x:c r="AW220" s="141" t="n">
        <x:f>AW219*(1+Premissas!$B$41)+AV220</x:f>
        <x:v>0</x:v>
      </x:c>
      <x:c r="AX220" s="141" t="n">
        <x:f>MAX(0,AU220)</x:f>
        <x:v>4702468.050448742</x:v>
      </x:c>
      <x:c r="AY220" s="141" t="n">
        <x:f>INDEX('Consorcio IQ'!$P$6:$P$485,$A220)</x:f>
        <x:v>35787.054569588276</x:v>
      </x:c>
      <x:c r="AZ220" s="141" t="n">
        <x:f>IF($A220&gt;=Premissas!$B$48,$F220,0)+IF($A220&lt;Premissas!$B$27,INDEX('Consorcio IQ'!$O$6:$O$485,$A220),0)</x:f>
        <x:v>568102.5626326492</x:v>
      </x:c>
      <x:c r="BA220" s="141" t="n">
        <x:f>AX220+AZ220-AY220</x:f>
        <x:v>5234783.558511803</x:v>
      </x:c>
      <x:c r="BB220" s="141" t="n">
        <x:f>IF(AW220&gt;1,"Inviavel",BA220)</x:f>
        <x:v>5234783.558511803</x:v>
      </x:c>
      <x:c r="BC220" s="141" t="str">
        <x:f>IF(AW220&gt;1,"Inviavel","OK")</x:f>
        <x:v>OK</x:v>
      </x:c>
      <x:c r="BD220" s="141" t="n">
        <x:f>IF($A220='Consorcio Direto'!$B$29,'Consorcio Direto'!$B$44,0)</x:f>
        <x:v>0</x:v>
      </x:c>
      <x:c r="BE220" s="141" t="n">
        <x:f>IF($A220&lt;='Consorcio Direto'!$B$27,INDEX('Consorcio Direto'!$E$55:$E$534,$A220),0)</x:f>
        <x:v>3977.8225823003295</x:v>
      </x:c>
      <x:c r="BF220" s="141" t="n">
        <x:f>IF(AND(TRUE,Premissas!$B$11="Imovel",Premissas!$B$47="Moradia",$A220&lt;MAX('Consorcio Direto'!$B$29,Premissas!$B$49)),$D220,0)</x:f>
        <x:v>0</x:v>
      </x:c>
      <x:c r="BG220" s="141" t="n">
        <x:f>IF(AND(TRUE,Premissas!$B$11="Imovel",Premissas!$B$47="Investimento",$A220&gt;=MAX('Consorcio Direto'!$B$29,Premissas!$B$49)),$E220,0)</x:f>
        <x:v>1723.3745828907606</x:v>
      </x:c>
      <x:c r="BH220" s="141" t="n">
        <x:f>BD220+BE220+BF220</x:f>
        <x:v>3977.8225823003295</x:v>
      </x:c>
      <x:c r="BI220" s="141" t="n">
        <x:f>BG220</x:f>
        <x:v>1723.3745828907606</x:v>
      </x:c>
      <x:c r="BJ220" s="141" t="n">
        <x:f>$C220+BI220-BH220</x:f>
        <x:v>4745.552000590432</x:v>
      </x:c>
      <x:c r="BK220" s="141" t="n">
        <x:f>BN219*(1+Premissas!$B$41)+BJ220</x:f>
        <x:v>4521424.726755276</x:v>
      </x:c>
      <x:c r="BL220" s="141" t="n">
        <x:f>MAX(0,-BK220)</x:f>
        <x:v>0</x:v>
      </x:c>
      <x:c r="BM220" s="141" t="n">
        <x:f>BM219*(1+Premissas!$B$41)+BL220</x:f>
        <x:v>0</x:v>
      </x:c>
      <x:c r="BN220" s="141" t="n">
        <x:f>MAX(0,BK220)</x:f>
        <x:v>4521424.726755276</x:v>
      </x:c>
      <x:c r="BO220" s="141" t="n">
        <x:f>INDEX('Consorcio Direto'!$K$55:$K$534,$A220)</x:f>
        <x:v>92670.60514462902</x:v>
      </x:c>
      <x:c r="BP220" s="141" t="n">
        <x:f>IF($A220&lt;'Consorcio Direto'!$B$29,INDEX('Consorcio Direto'!$L$55:$L$534,$A220),$F220)</x:f>
        <x:v>568102.5626326492</x:v>
      </x:c>
      <x:c r="BQ220" s="141" t="n">
        <x:f>BN220+BP220-BO220</x:f>
        <x:v>4996856.684243296</x:v>
      </x:c>
      <x:c r="BR220" s="141" t="n">
        <x:f>IF(BM220&gt;1,"Inviavel",BQ220)</x:f>
        <x:v>4996856.684243296</x:v>
      </x:c>
      <x:c r="BS220" s="141" t="str">
        <x:f>IF(BM220&gt;1,"Inviavel","OK")</x:f>
        <x:v>OK</x:v>
      </x:c>
      <x:c r="BT220" s="141" t="n">
        <x:f>IF(AND('Carta Contemplada'!$B$22="Sim",$A220='Carta Contemplada'!$B$23),'Carta Contemplada'!$B$37,0)</x:f>
        <x:v>0</x:v>
      </x:c>
      <x:c r="BU220" s="141" t="n">
        <x:f>IF('Carta Contemplada'!$B$22="Sim",INDEX('Carta Contemplada'!$C$55:$C$1013,$A220),0)</x:f>
        <x:v>0</x:v>
      </x:c>
      <x:c r="BV220" s="141" t="n">
        <x:f>IF(AND('Carta Contemplada'!$B$22="Sim",Premissas!$B$11="Imovel",Premissas!$B$47="Moradia",$A220&lt;MAX('Carta Contemplada'!$B$44,Premissas!$B$49)),$D220,0)</x:f>
        <x:v>0</x:v>
      </x:c>
      <x:c r="BW220" s="141" t="n">
        <x:f>IF(AND('Carta Contemplada'!$B$22="Sim",Premissas!$B$11="Imovel",Premissas!$B$47="Investimento",$A220&gt;=MAX('Carta Contemplada'!$B$44,Premissas!$B$49)),$E220,0)</x:f>
        <x:v>1723.3745828907606</x:v>
      </x:c>
      <x:c r="BX220" s="141" t="n">
        <x:f>BT220+BU220+BV220</x:f>
        <x:v>0</x:v>
      </x:c>
      <x:c r="BY220" s="141" t="n">
        <x:f>BW220</x:f>
        <x:v>1723.3745828907606</x:v>
      </x:c>
      <x:c r="BZ220" s="141" t="n">
        <x:f>$C220+BY220-BX220</x:f>
        <x:v>8723.374582890761</x:v>
      </x:c>
      <x:c r="CA220" s="141" t="n">
        <x:f>CD219*(1+Premissas!$B$41)+BZ220</x:f>
        <x:v>4821727.880818763</x:v>
      </x:c>
      <x:c r="CB220" s="141" t="n">
        <x:f>MAX(0,-CA220)</x:f>
        <x:v>0</x:v>
      </x:c>
      <x:c r="CC220" s="141" t="n">
        <x:f>CC219*(1+Premissas!$B$41)+CB220</x:f>
        <x:v>0</x:v>
      </x:c>
      <x:c r="CD220" s="141" t="n">
        <x:f>MAX(0,CA220)</x:f>
        <x:v>4821727.880818763</x:v>
      </x:c>
      <x:c r="CE220" s="141" t="n">
        <x:f>IF(AND('Carta Contemplada'!$B$22="Sim",$A220&gt;='Carta Contemplada'!$B$23),INDEX('Carta Contemplada'!$I$55:$I$1013,$A220),0)</x:f>
        <x:v>0</x:v>
      </x:c>
      <x:c r="CF220" s="141" t="n">
        <x:f>IF(AND('Carta Contemplada'!$B$22="Sim",$A220&gt;='Carta Contemplada'!$B$44),$F220,0)</x:f>
        <x:v>568102.5626326492</x:v>
      </x:c>
      <x:c r="CG220" s="141" t="n">
        <x:f>CD220+CF220-CE220</x:f>
        <x:v>5389830.443451412</x:v>
      </x:c>
      <x:c r="CH220" s="141" t="n">
        <x:f>IF(CC220&gt;1,"Inviavel",CG220)</x:f>
        <x:v>5389830.443451412</x:v>
      </x:c>
      <x:c r="CI220" s="145" t="str">
        <x:f>IF(CC220&gt;1,"Inviavel","OK")</x:f>
        <x:v>OK</x:v>
      </x:c>
    </x:row>
    <x:row r="221">
      <x:c r="A221" s="142" t="n">
        <x:v>217</x:v>
      </x:c>
      <x:c r="B221" s="179" t="n">
        <x:f>EDATE(Premissas!$B$4,A221-1)</x:f>
        <x:v>53114</x:v>
      </x:c>
      <x:c r="C221" s="141" t="n">
        <x:f>IF(A221&lt;=Premissas!$B$39,Premissas!$B$42,0)</x:f>
        <x:v>7000</x:v>
      </x:c>
      <x:c r="D221" s="141" t="n">
        <x:f>Premissas!$B$54*(1+Premissas!$B$57)^INT((A221-1)/12)</x:f>
        <x:v>1998.037407038976</x:v>
      </x:c>
      <x:c r="E221" s="141" t="n">
        <x:f>Premissas!$B$64*(1+Premissas!$B$57)^INT((A221-1)/12)</x:f>
        <x:v>1826.7770578642067</x:v>
      </x:c>
      <x:c r="F221" s="141" t="n">
        <x:f>MAX(0,Premissas!$B$6*(1+Premissas!$B$66)^((A221-1)/12))</x:f>
        <x:v>570867.8305825646</x:v>
      </x:c>
      <x:c r="G221" s="141" t="n">
        <x:f>G220*(1+Premissas!$B$41)+C221</x:f>
        <x:v>5681197.2574159205</x:v>
      </x:c>
      <x:c r="H221" s="141" t="n">
        <x:f>IF($A221=Premissas!$B$48,Premissas!$B$8,0)</x:f>
        <x:v>0</x:v>
      </x:c>
      <x:c r="I221" s="141" t="n">
        <x:f>IF(AND($A221&gt;=Premissas!$B$48,$A221-Premissas!$B$48+1&lt;=Premissas!$B$13),INDEX(Financiamento!$J$6:$J$485,$A221-Premissas!$B$48+1),0)</x:f>
        <x:v>1268.3671461542651</x:v>
      </x:c>
      <x:c r="J221" s="141" t="n">
        <x:f>IF(AND(TRUE,Premissas!$B$11="Imovel",Premissas!$B$47="Moradia",$A221&lt;MAX(Premissas!$B$48,Premissas!$B$49)),$D221,0)</x:f>
        <x:v>0</x:v>
      </x:c>
      <x:c r="K221" s="141" t="n">
        <x:f>IF(AND(TRUE,Premissas!$B$11="Imovel",Premissas!$B$47="Investimento",$A221&gt;=MAX(Premissas!$B$48,Premissas!$B$49)),$E221,0)</x:f>
        <x:v>1826.7770578642067</x:v>
      </x:c>
      <x:c r="L221" s="141" t="n">
        <x:f>H221+I221+J221</x:f>
        <x:v>1268.3671461542651</x:v>
      </x:c>
      <x:c r="M221" s="141" t="n">
        <x:f>K221</x:f>
        <x:v>1826.7770578642067</x:v>
      </x:c>
      <x:c r="N221" s="141" t="n">
        <x:f>$C221+M221-L221</x:f>
        <x:v>7558.409911709941</x:v>
      </x:c>
      <x:c r="O221" s="141" t="n">
        <x:f>R220*(1+Premissas!$B$41)+N221</x:f>
        <x:v>4762276.142723567</x:v>
      </x:c>
      <x:c r="P221" s="141" t="n">
        <x:f>MAX(0,-O221)</x:f>
        <x:v>0</x:v>
      </x:c>
      <x:c r="Q221" s="141" t="n">
        <x:f>Q220*(1+Premissas!$B$41)+P221</x:f>
        <x:v>0</x:v>
      </x:c>
      <x:c r="R221" s="141" t="n">
        <x:f>MAX(0,O221)</x:f>
        <x:v>4762276.142723567</x:v>
      </x:c>
      <x:c r="S221" s="141" t="n">
        <x:f>IF(AND($A221&gt;=Premissas!$B$48,$A221-Premissas!$B$48+1&lt;=Premissas!$B$13),INDEX(Financiamento!$M$6:$M$485,$A221-Premissas!$B$48+1),0)</x:f>
        <x:v>77333.33333333346</x:v>
      </x:c>
      <x:c r="T221" s="141" t="n">
        <x:f>IF($A221&gt;=Premissas!$B$48,$F221,0)</x:f>
        <x:v>570867.8305825646</x:v>
      </x:c>
      <x:c r="U221" s="141" t="n">
        <x:f>R221+T221-S221</x:f>
        <x:v>5255810.6399727985</x:v>
      </x:c>
      <x:c r="V221" s="141" t="n">
        <x:f>IF(Q221&gt;1,"Inviavel",U221)</x:f>
        <x:v>5255810.6399727985</x:v>
      </x:c>
      <x:c r="W221" s="141" t="str">
        <x:f>IF(Q221&gt;1,"Inviavel","OK")</x:f>
        <x:v>OK</x:v>
      </x:c>
      <x:c r="X221" s="141" t="n">
        <x:f>IF($A221=Premissas!$B$48,Premissas!$B$8,0)</x:f>
        <x:v>0</x:v>
      </x:c>
      <x:c r="Y221" s="141" t="n">
        <x:f>IF(AND($A221&gt;=Premissas!$B$48,$A221-Premissas!$B$48+1&lt;=Premissas!$B$13),INDEX(Amortizacao!$K$6:$K$485,$A221-Premissas!$B$48+1),0)</x:f>
        <x:v>0</x:v>
      </x:c>
      <x:c r="Z221" s="141" t="n">
        <x:f>IF(AND(TRUE,Premissas!$B$11="Imovel",Premissas!$B$47="Moradia",$A221&lt;MAX(Premissas!$B$48,Premissas!$B$49)),$D221,0)</x:f>
        <x:v>0</x:v>
      </x:c>
      <x:c r="AA221" s="141" t="n">
        <x:f>IF(AND(TRUE,Premissas!$B$11="Imovel",Premissas!$B$47="Investimento",$A221&gt;=MAX(Premissas!$B$48,Premissas!$B$49)),$E221,0)</x:f>
        <x:v>1826.7770578642067</x:v>
      </x:c>
      <x:c r="AB221" s="141" t="n">
        <x:f>X221+Y221+Z221</x:f>
        <x:v>0</x:v>
      </x:c>
      <x:c r="AC221" s="141" t="n">
        <x:f>AA221</x:f>
        <x:v>1826.7770578642067</x:v>
      </x:c>
      <x:c r="AD221" s="141" t="n">
        <x:f>$C221+AC221-AB221</x:f>
        <x:v>8826.777057864207</x:v>
      </x:c>
      <x:c r="AE221" s="141" t="n">
        <x:f>AH220*(1+Premissas!$B$41)+AD221</x:f>
        <x:v>4764231.431227623</x:v>
      </x:c>
      <x:c r="AF221" s="141" t="n">
        <x:f>MAX(0,-AE221)</x:f>
        <x:v>0</x:v>
      </x:c>
      <x:c r="AG221" s="141" t="n">
        <x:f>AG220*(1+Premissas!$B$41)+AF221</x:f>
        <x:v>0</x:v>
      </x:c>
      <x:c r="AH221" s="141" t="n">
        <x:f>MAX(0,AE221)</x:f>
        <x:v>4764231.431227623</x:v>
      </x:c>
      <x:c r="AI221" s="141" t="n">
        <x:f>IF(AND($A221&gt;=Premissas!$B$48,$A221-Premissas!$B$48+1&lt;=Premissas!$B$13),INDEX(Amortizacao!$L$6:$L$485,$A221-Premissas!$B$48+1),0)</x:f>
        <x:v>0</x:v>
      </x:c>
      <x:c r="AJ221" s="141" t="n">
        <x:f>IF($A221&gt;=Premissas!$B$48,$F221,0)</x:f>
        <x:v>570867.8305825646</x:v>
      </x:c>
      <x:c r="AK221" s="141" t="n">
        <x:f>AH221+AJ221-AI221</x:f>
        <x:v>5335099.261810187</x:v>
      </x:c>
      <x:c r="AL221" s="141" t="n">
        <x:f>IF(AG221&gt;1,"Inviavel",AK221)</x:f>
        <x:v>5335099.261810187</x:v>
      </x:c>
      <x:c r="AM221" s="141" t="str">
        <x:f>IF(AG221&gt;1,"Inviavel","OK")</x:f>
        <x:v>OK</x:v>
      </x:c>
      <x:c r="AN221" s="141" t="n">
        <x:f>IF($A221=Premissas!$B$48,Premissas!$B$8,0)</x:f>
        <x:v>0</x:v>
      </x:c>
      <x:c r="AO221" s="141" t="n">
        <x:f>IF($A221&lt;=Premissas!$B$25,INDEX('Consorcio IQ'!$K$6:$K$485,$A221),0)</x:f>
        <x:v>1628.3030289343405</x:v>
      </x:c>
      <x:c r="AP221" s="141" t="n">
        <x:f>IF(AND(TRUE,Premissas!$B$11="Imovel",Premissas!$B$47="Moradia",$A221&lt;MAX(Premissas!$B$48,Premissas!$B$49)),$D221,0)</x:f>
        <x:v>0</x:v>
      </x:c>
      <x:c r="AQ221" s="141" t="n">
        <x:f>IF(AND(TRUE,Premissas!$B$11="Imovel",Premissas!$B$47="Investimento",$A221&gt;=MAX(Premissas!$B$48,Premissas!$B$49)),$E221,0)</x:f>
        <x:v>1826.7770578642067</x:v>
      </x:c>
      <x:c r="AR221" s="141" t="n">
        <x:f>AN221+AO221+AP221</x:f>
        <x:v>1628.3030289343405</x:v>
      </x:c>
      <x:c r="AS221" s="141" t="n">
        <x:f>AQ221</x:f>
        <x:v>1826.7770578642067</x:v>
      </x:c>
      <x:c r="AT221" s="141" t="n">
        <x:f>$C221+AS221-AR221</x:f>
        <x:v>7198.474028929866</x:v>
      </x:c>
      <x:c r="AU221" s="141" t="n">
        <x:f>AX220*(1+Premissas!$B$41)+AT221</x:f>
        <x:v>4754287.270089872</x:v>
      </x:c>
      <x:c r="AV221" s="141" t="n">
        <x:f>MAX(0,-AU221)</x:f>
        <x:v>0</x:v>
      </x:c>
      <x:c r="AW221" s="141" t="n">
        <x:f>AW220*(1+Premissas!$B$41)+AV221</x:f>
        <x:v>0</x:v>
      </x:c>
      <x:c r="AX221" s="141" t="n">
        <x:f>MAX(0,AU221)</x:f>
        <x:v>4754287.270089872</x:v>
      </x:c>
      <x:c r="AY221" s="141" t="n">
        <x:f>INDEX('Consorcio IQ'!$P$6:$P$485,$A221)</x:f>
        <x:v>34498.32749120338</x:v>
      </x:c>
      <x:c r="AZ221" s="141" t="n">
        <x:f>IF($A221&gt;=Premissas!$B$48,$F221,0)+IF($A221&lt;Premissas!$B$27,INDEX('Consorcio IQ'!$O$6:$O$485,$A221),0)</x:f>
        <x:v>570867.8305825646</x:v>
      </x:c>
      <x:c r="BA221" s="141" t="n">
        <x:f>AX221+AZ221-AY221</x:f>
        <x:v>5290656.773181234</x:v>
      </x:c>
      <x:c r="BB221" s="141" t="n">
        <x:f>IF(AW221&gt;1,"Inviavel",BA221)</x:f>
        <x:v>5290656.773181234</x:v>
      </x:c>
      <x:c r="BC221" s="141" t="str">
        <x:f>IF(AW221&gt;1,"Inviavel","OK")</x:f>
        <x:v>OK</x:v>
      </x:c>
      <x:c r="BD221" s="141" t="n">
        <x:f>IF($A221='Consorcio Direto'!$B$29,'Consorcio Direto'!$B$44,0)</x:f>
        <x:v>0</x:v>
      </x:c>
      <x:c r="BE221" s="141" t="n">
        <x:f>IF($A221&lt;='Consorcio Direto'!$B$27,INDEX('Consorcio Direto'!$E$55:$E$534,$A221),0)</x:f>
        <x:v>4216.49193723835</x:v>
      </x:c>
      <x:c r="BF221" s="141" t="n">
        <x:f>IF(AND(TRUE,Premissas!$B$11="Imovel",Premissas!$B$47="Moradia",$A221&lt;MAX('Consorcio Direto'!$B$29,Premissas!$B$49)),$D221,0)</x:f>
        <x:v>0</x:v>
      </x:c>
      <x:c r="BG221" s="141" t="n">
        <x:f>IF(AND(TRUE,Premissas!$B$11="Imovel",Premissas!$B$47="Investimento",$A221&gt;=MAX('Consorcio Direto'!$B$29,Premissas!$B$49)),$E221,0)</x:f>
        <x:v>1826.7770578642067</x:v>
      </x:c>
      <x:c r="BH221" s="141" t="n">
        <x:f>BD221+BE221+BF221</x:f>
        <x:v>4216.49193723835</x:v>
      </x:c>
      <x:c r="BI221" s="141" t="n">
        <x:f>BG221</x:f>
        <x:v>1826.7770578642067</x:v>
      </x:c>
      <x:c r="BJ221" s="141" t="n">
        <x:f>$C221+BI221-BH221</x:f>
        <x:v>4610.2851206258565</x:v>
      </x:c>
      <x:c r="BK221" s="141" t="n">
        <x:f>BN220*(1+Premissas!$B$41)+BJ221</x:f>
        <x:v>4568937.874877387</x:v>
      </x:c>
      <x:c r="BL221" s="141" t="n">
        <x:f>MAX(0,-BK221)</x:f>
        <x:v>0</x:v>
      </x:c>
      <x:c r="BM221" s="141" t="n">
        <x:f>BM220*(1+Premissas!$B$41)+BL221</x:f>
        <x:v>0</x:v>
      </x:c>
      <x:c r="BN221" s="141" t="n">
        <x:f>MAX(0,BK221)</x:f>
        <x:v>4568937.874877387</x:v>
      </x:c>
      <x:c r="BO221" s="141" t="n">
        <x:f>INDEX('Consorcio Direto'!$K$55:$K$534,$A221)</x:f>
        <x:v>89333.44539073057</x:v>
      </x:c>
      <x:c r="BP221" s="141" t="n">
        <x:f>IF($A221&lt;'Consorcio Direto'!$B$29,INDEX('Consorcio Direto'!$L$55:$L$534,$A221),$F221)</x:f>
        <x:v>570867.8305825646</x:v>
      </x:c>
      <x:c r="BQ221" s="141" t="n">
        <x:f>BN221+BP221-BO221</x:f>
        <x:v>5050472.260069221</x:v>
      </x:c>
      <x:c r="BR221" s="141" t="n">
        <x:f>IF(BM221&gt;1,"Inviavel",BQ221)</x:f>
        <x:v>5050472.260069221</x:v>
      </x:c>
      <x:c r="BS221" s="141" t="str">
        <x:f>IF(BM221&gt;1,"Inviavel","OK")</x:f>
        <x:v>OK</x:v>
      </x:c>
      <x:c r="BT221" s="141" t="n">
        <x:f>IF(AND('Carta Contemplada'!$B$22="Sim",$A221='Carta Contemplada'!$B$23),'Carta Contemplada'!$B$37,0)</x:f>
        <x:v>0</x:v>
      </x:c>
      <x:c r="BU221" s="141" t="n">
        <x:f>IF('Carta Contemplada'!$B$22="Sim",INDEX('Carta Contemplada'!$C$55:$C$1013,$A221),0)</x:f>
        <x:v>0</x:v>
      </x:c>
      <x:c r="BV221" s="141" t="n">
        <x:f>IF(AND('Carta Contemplada'!$B$22="Sim",Premissas!$B$11="Imovel",Premissas!$B$47="Moradia",$A221&lt;MAX('Carta Contemplada'!$B$44,Premissas!$B$49)),$D221,0)</x:f>
        <x:v>0</x:v>
      </x:c>
      <x:c r="BW221" s="141" t="n">
        <x:f>IF(AND('Carta Contemplada'!$B$22="Sim",Premissas!$B$11="Imovel",Premissas!$B$47="Investimento",$A221&gt;=MAX('Carta Contemplada'!$B$44,Premissas!$B$49)),$E221,0)</x:f>
        <x:v>1826.7770578642067</x:v>
      </x:c>
      <x:c r="BX221" s="141" t="n">
        <x:f>BT221+BU221+BV221</x:f>
        <x:v>0</x:v>
      </x:c>
      <x:c r="BY221" s="141" t="n">
        <x:f>BW221</x:f>
        <x:v>1826.7770578642067</x:v>
      </x:c>
      <x:c r="BZ221" s="141" t="n">
        <x:f>$C221+BY221-BX221</x:f>
        <x:v>8826.777057864207</x:v>
      </x:c>
      <x:c r="CA221" s="141" t="n">
        <x:f>CD220*(1+Premissas!$B$41)+BZ221</x:f>
        <x:v>4876307.035324622</x:v>
      </x:c>
      <x:c r="CB221" s="141" t="n">
        <x:f>MAX(0,-CA221)</x:f>
        <x:v>0</x:v>
      </x:c>
      <x:c r="CC221" s="141" t="n">
        <x:f>CC220*(1+Premissas!$B$41)+CB221</x:f>
        <x:v>0</x:v>
      </x:c>
      <x:c r="CD221" s="141" t="n">
        <x:f>MAX(0,CA221)</x:f>
        <x:v>4876307.035324622</x:v>
      </x:c>
      <x:c r="CE221" s="141" t="n">
        <x:f>IF(AND('Carta Contemplada'!$B$22="Sim",$A221&gt;='Carta Contemplada'!$B$23),INDEX('Carta Contemplada'!$I$55:$I$1013,$A221),0)</x:f>
        <x:v>0</x:v>
      </x:c>
      <x:c r="CF221" s="141" t="n">
        <x:f>IF(AND('Carta Contemplada'!$B$22="Sim",$A221&gt;='Carta Contemplada'!$B$44),$F221,0)</x:f>
        <x:v>570867.8305825646</x:v>
      </x:c>
      <x:c r="CG221" s="141" t="n">
        <x:f>CD221+CF221-CE221</x:f>
        <x:v>5447174.865907187</x:v>
      </x:c>
      <x:c r="CH221" s="141" t="n">
        <x:f>IF(CC221&gt;1,"Inviavel",CG221)</x:f>
        <x:v>5447174.865907187</x:v>
      </x:c>
      <x:c r="CI221" s="145" t="str">
        <x:f>IF(CC221&gt;1,"Inviavel","OK")</x:f>
        <x:v>OK</x:v>
      </x:c>
    </x:row>
    <x:row r="222">
      <x:c r="A222" s="142" t="n">
        <x:v>218</x:v>
      </x:c>
      <x:c r="B222" s="179" t="n">
        <x:f>EDATE(Premissas!$B$4,A222-1)</x:f>
        <x:v>53144</x:v>
      </x:c>
      <x:c r="C222" s="141" t="n">
        <x:f>IF(A222&lt;=Premissas!$B$39,Premissas!$B$42,0)</x:f>
        <x:v>7000</x:v>
      </x:c>
      <x:c r="D222" s="141" t="n">
        <x:f>Premissas!$B$54*(1+Premissas!$B$57)^INT((A222-1)/12)</x:f>
        <x:v>1998.037407038976</x:v>
      </x:c>
      <x:c r="E222" s="141" t="n">
        <x:f>Premissas!$B$64*(1+Premissas!$B$57)^INT((A222-1)/12)</x:f>
        <x:v>1826.7770578642067</x:v>
      </x:c>
      <x:c r="F222" s="141" t="n">
        <x:f>MAX(0,Premissas!$B$6*(1+Premissas!$B$66)^((A222-1)/12))</x:f>
        <x:v>573646.5586140528</x:v>
      </x:c>
      <x:c r="G222" s="141" t="n">
        <x:f>G221*(1+Premissas!$B$41)+C222</x:f>
        <x:v>5742104.961812061</x:v>
      </x:c>
      <x:c r="H222" s="141" t="n">
        <x:f>IF($A222=Premissas!$B$48,Premissas!$B$8,0)</x:f>
        <x:v>0</x:v>
      </x:c>
      <x:c r="I222" s="141" t="n">
        <x:f>IF(AND($A222&gt;=Premissas!$B$48,$A222-Premissas!$B$48+1&lt;=Premissas!$B$13),INDEX(Financiamento!$J$6:$J$485,$A222-Premissas!$B$48+1),0)</x:f>
        <x:v>1264.7523678934717</x:v>
      </x:c>
      <x:c r="J222" s="141" t="n">
        <x:f>IF(AND(TRUE,Premissas!$B$11="Imovel",Premissas!$B$47="Moradia",$A222&lt;MAX(Premissas!$B$48,Premissas!$B$49)),$D222,0)</x:f>
        <x:v>0</x:v>
      </x:c>
      <x:c r="K222" s="141" t="n">
        <x:f>IF(AND(TRUE,Premissas!$B$11="Imovel",Premissas!$B$47="Investimento",$A222&gt;=MAX(Premissas!$B$48,Premissas!$B$49)),$E222,0)</x:f>
        <x:v>1826.7770578642067</x:v>
      </x:c>
      <x:c r="L222" s="141" t="n">
        <x:f>H222+I222+J222</x:f>
        <x:v>1264.7523678934717</x:v>
      </x:c>
      <x:c r="M222" s="141" t="n">
        <x:f>K222</x:f>
        <x:v>1826.7770578642067</x:v>
      </x:c>
      <x:c r="N222" s="141" t="n">
        <x:f>$C222+M222-L222</x:f>
        <x:v>7562.0246899707345</x:v>
      </x:c>
      <x:c r="O222" s="141" t="n">
        <x:f>R221*(1+Premissas!$B$41)+N222</x:f>
        <x:v>4815026.419629146</x:v>
      </x:c>
      <x:c r="P222" s="141" t="n">
        <x:f>MAX(0,-O222)</x:f>
        <x:v>0</x:v>
      </x:c>
      <x:c r="Q222" s="141" t="n">
        <x:f>Q221*(1+Premissas!$B$41)+P222</x:f>
        <x:v>0</x:v>
      </x:c>
      <x:c r="R222" s="141" t="n">
        <x:f>MAX(0,O222)</x:f>
        <x:v>4815026.419629146</x:v>
      </x:c>
      <x:c r="S222" s="141" t="n">
        <x:f>IF(AND($A222&gt;=Premissas!$B$48,$A222-Premissas!$B$48+1&lt;=Premissas!$B$13),INDEX(Financiamento!$M$6:$M$485,$A222-Premissas!$B$48+1),0)</x:f>
        <x:v>76952.38095238108</x:v>
      </x:c>
      <x:c r="T222" s="141" t="n">
        <x:f>IF($A222&gt;=Premissas!$B$48,$F222,0)</x:f>
        <x:v>573646.5586140528</x:v>
      </x:c>
      <x:c r="U222" s="141" t="n">
        <x:f>R222+T222-S222</x:f>
        <x:v>5311720.597290818</x:v>
      </x:c>
      <x:c r="V222" s="141" t="n">
        <x:f>IF(Q222&gt;1,"Inviavel",U222)</x:f>
        <x:v>5311720.597290818</x:v>
      </x:c>
      <x:c r="W222" s="141" t="str">
        <x:f>IF(Q222&gt;1,"Inviavel","OK")</x:f>
        <x:v>OK</x:v>
      </x:c>
      <x:c r="X222" s="141" t="n">
        <x:f>IF($A222=Premissas!$B$48,Premissas!$B$8,0)</x:f>
        <x:v>0</x:v>
      </x:c>
      <x:c r="Y222" s="141" t="n">
        <x:f>IF(AND($A222&gt;=Premissas!$B$48,$A222-Premissas!$B$48+1&lt;=Premissas!$B$13),INDEX(Amortizacao!$K$6:$K$485,$A222-Premissas!$B$48+1),0)</x:f>
        <x:v>0</x:v>
      </x:c>
      <x:c r="Z222" s="141" t="n">
        <x:f>IF(AND(TRUE,Premissas!$B$11="Imovel",Premissas!$B$47="Moradia",$A222&lt;MAX(Premissas!$B$48,Premissas!$B$49)),$D222,0)</x:f>
        <x:v>0</x:v>
      </x:c>
      <x:c r="AA222" s="141" t="n">
        <x:f>IF(AND(TRUE,Premissas!$B$11="Imovel",Premissas!$B$47="Investimento",$A222&gt;=MAX(Premissas!$B$48,Premissas!$B$49)),$E222,0)</x:f>
        <x:v>1826.7770578642067</x:v>
      </x:c>
      <x:c r="AB222" s="141" t="n">
        <x:f>X222+Y222+Z222</x:f>
        <x:v>0</x:v>
      </x:c>
      <x:c r="AC222" s="141" t="n">
        <x:f>AA222</x:f>
        <x:v>1826.7770578642067</x:v>
      </x:c>
      <x:c r="AD222" s="141" t="n">
        <x:f>$C222+AC222-AB222</x:f>
        <x:v>8826.777057864207</x:v>
      </x:c>
      <x:c r="AE222" s="141" t="n">
        <x:f>AH221*(1+Premissas!$B$41)+AD222</x:f>
        <x:v>4818265.013828837</x:v>
      </x:c>
      <x:c r="AF222" s="141" t="n">
        <x:f>MAX(0,-AE222)</x:f>
        <x:v>0</x:v>
      </x:c>
      <x:c r="AG222" s="141" t="n">
        <x:f>AG221*(1+Premissas!$B$41)+AF222</x:f>
        <x:v>0</x:v>
      </x:c>
      <x:c r="AH222" s="141" t="n">
        <x:f>MAX(0,AE222)</x:f>
        <x:v>4818265.013828837</x:v>
      </x:c>
      <x:c r="AI222" s="141" t="n">
        <x:f>IF(AND($A222&gt;=Premissas!$B$48,$A222-Premissas!$B$48+1&lt;=Premissas!$B$13),INDEX(Amortizacao!$L$6:$L$485,$A222-Premissas!$B$48+1),0)</x:f>
        <x:v>0</x:v>
      </x:c>
      <x:c r="AJ222" s="141" t="n">
        <x:f>IF($A222&gt;=Premissas!$B$48,$F222,0)</x:f>
        <x:v>573646.5586140528</x:v>
      </x:c>
      <x:c r="AK222" s="141" t="n">
        <x:f>AH222+AJ222-AI222</x:f>
        <x:v>5391911.57244289</x:v>
      </x:c>
      <x:c r="AL222" s="141" t="n">
        <x:f>IF(AG222&gt;1,"Inviavel",AK222)</x:f>
        <x:v>5391911.57244289</x:v>
      </x:c>
      <x:c r="AM222" s="141" t="str">
        <x:f>IF(AG222&gt;1,"Inviavel","OK")</x:f>
        <x:v>OK</x:v>
      </x:c>
      <x:c r="AN222" s="141" t="n">
        <x:f>IF($A222=Premissas!$B$48,Premissas!$B$8,0)</x:f>
        <x:v>0</x:v>
      </x:c>
      <x:c r="AO222" s="141" t="n">
        <x:f>IF($A222&lt;=Premissas!$B$25,INDEX('Consorcio IQ'!$K$6:$K$485,$A222),0)</x:f>
        <x:v>1628.3030289343405</x:v>
      </x:c>
      <x:c r="AP222" s="141" t="n">
        <x:f>IF(AND(TRUE,Premissas!$B$11="Imovel",Premissas!$B$47="Moradia",$A222&lt;MAX(Premissas!$B$48,Premissas!$B$49)),$D222,0)</x:f>
        <x:v>0</x:v>
      </x:c>
      <x:c r="AQ222" s="141" t="n">
        <x:f>IF(AND(TRUE,Premissas!$B$11="Imovel",Premissas!$B$47="Investimento",$A222&gt;=MAX(Premissas!$B$48,Premissas!$B$49)),$E222,0)</x:f>
        <x:v>1826.7770578642067</x:v>
      </x:c>
      <x:c r="AR222" s="141" t="n">
        <x:f>AN222+AO222+AP222</x:f>
        <x:v>1628.3030289343405</x:v>
      </x:c>
      <x:c r="AS222" s="141" t="n">
        <x:f>AQ222</x:f>
        <x:v>1826.7770578642067</x:v>
      </x:c>
      <x:c r="AT222" s="141" t="n">
        <x:f>$C222+AS222-AR222</x:f>
        <x:v>7198.474028929866</x:v>
      </x:c>
      <x:c r="AU222" s="141" t="n">
        <x:f>AX221*(1+Premissas!$B$41)+AT222</x:f>
        <x:v>4806598.191576209</x:v>
      </x:c>
      <x:c r="AV222" s="141" t="n">
        <x:f>MAX(0,-AU222)</x:f>
        <x:v>0</x:v>
      </x:c>
      <x:c r="AW222" s="141" t="n">
        <x:f>AW221*(1+Premissas!$B$41)+AV222</x:f>
        <x:v>0</x:v>
      </x:c>
      <x:c r="AX222" s="141" t="n">
        <x:f>MAX(0,AU222)</x:f>
        <x:v>4806598.191576209</x:v>
      </x:c>
      <x:c r="AY222" s="141" t="n">
        <x:f>INDEX('Consorcio IQ'!$P$6:$P$485,$A222)</x:f>
        <x:v>33197.3719484225</x:v>
      </x:c>
      <x:c r="AZ222" s="141" t="n">
        <x:f>IF($A222&gt;=Premissas!$B$48,$F222,0)+IF($A222&lt;Premissas!$B$27,INDEX('Consorcio IQ'!$O$6:$O$485,$A222),0)</x:f>
        <x:v>573646.5586140528</x:v>
      </x:c>
      <x:c r="BA222" s="141" t="n">
        <x:f>AX222+AZ222-AY222</x:f>
        <x:v>5347047.378241839</x:v>
      </x:c>
      <x:c r="BB222" s="141" t="n">
        <x:f>IF(AW222&gt;1,"Inviavel",BA222)</x:f>
        <x:v>5347047.378241839</x:v>
      </x:c>
      <x:c r="BC222" s="141" t="str">
        <x:f>IF(AW222&gt;1,"Inviavel","OK")</x:f>
        <x:v>OK</x:v>
      </x:c>
      <x:c r="BD222" s="141" t="n">
        <x:f>IF($A222='Consorcio Direto'!$B$29,'Consorcio Direto'!$B$44,0)</x:f>
        <x:v>0</x:v>
      </x:c>
      <x:c r="BE222" s="141" t="n">
        <x:f>IF($A222&lt;='Consorcio Direto'!$B$27,INDEX('Consorcio Direto'!$E$55:$E$534,$A222),0)</x:f>
        <x:v>4216.49193723835</x:v>
      </x:c>
      <x:c r="BF222" s="141" t="n">
        <x:f>IF(AND(TRUE,Premissas!$B$11="Imovel",Premissas!$B$47="Moradia",$A222&lt;MAX('Consorcio Direto'!$B$29,Premissas!$B$49)),$D222,0)</x:f>
        <x:v>0</x:v>
      </x:c>
      <x:c r="BG222" s="141" t="n">
        <x:f>IF(AND(TRUE,Premissas!$B$11="Imovel",Premissas!$B$47="Investimento",$A222&gt;=MAX('Consorcio Direto'!$B$29,Premissas!$B$49)),$E222,0)</x:f>
        <x:v>1826.7770578642067</x:v>
      </x:c>
      <x:c r="BH222" s="141" t="n">
        <x:f>BD222+BE222+BF222</x:f>
        <x:v>4216.49193723835</x:v>
      </x:c>
      <x:c r="BI222" s="141" t="n">
        <x:f>BG222</x:f>
        <x:v>1826.7770578642067</x:v>
      </x:c>
      <x:c r="BJ222" s="141" t="n">
        <x:f>$C222+BI222-BH222</x:f>
        <x:v>4610.2851206258565</x:v>
      </x:c>
      <x:c r="BK222" s="141" t="n">
        <x:f>BN221*(1+Premissas!$B$41)+BJ222</x:f>
        <x:v>4616901.865423698</x:v>
      </x:c>
      <x:c r="BL222" s="141" t="n">
        <x:f>MAX(0,-BK222)</x:f>
        <x:v>0</x:v>
      </x:c>
      <x:c r="BM222" s="141" t="n">
        <x:f>BM221*(1+Premissas!$B$41)+BL222</x:f>
        <x:v>0</x:v>
      </x:c>
      <x:c r="BN222" s="141" t="n">
        <x:f>MAX(0,BK222)</x:f>
        <x:v>4616901.865423698</x:v>
      </x:c>
      <x:c r="BO222" s="141" t="n">
        <x:f>INDEX('Consorcio Direto'!$K$55:$K$534,$A222)</x:f>
        <x:v>85964.62001893776</x:v>
      </x:c>
      <x:c r="BP222" s="141" t="n">
        <x:f>IF($A222&lt;'Consorcio Direto'!$B$29,INDEX('Consorcio Direto'!$L$55:$L$534,$A222),$F222)</x:f>
        <x:v>573646.5586140528</x:v>
      </x:c>
      <x:c r="BQ222" s="141" t="n">
        <x:f>BN222+BP222-BO222</x:f>
        <x:v>5104583.804018813</x:v>
      </x:c>
      <x:c r="BR222" s="141" t="n">
        <x:f>IF(BM222&gt;1,"Inviavel",BQ222)</x:f>
        <x:v>5104583.804018813</x:v>
      </x:c>
      <x:c r="BS222" s="141" t="str">
        <x:f>IF(BM222&gt;1,"Inviavel","OK")</x:f>
        <x:v>OK</x:v>
      </x:c>
      <x:c r="BT222" s="141" t="n">
        <x:f>IF(AND('Carta Contemplada'!$B$22="Sim",$A222='Carta Contemplada'!$B$23),'Carta Contemplada'!$B$37,0)</x:f>
        <x:v>0</x:v>
      </x:c>
      <x:c r="BU222" s="141" t="n">
        <x:f>IF('Carta Contemplada'!$B$22="Sim",INDEX('Carta Contemplada'!$C$55:$C$1013,$A222),0)</x:f>
        <x:v>0</x:v>
      </x:c>
      <x:c r="BV222" s="141" t="n">
        <x:f>IF(AND('Carta Contemplada'!$B$22="Sim",Premissas!$B$11="Imovel",Premissas!$B$47="Moradia",$A222&lt;MAX('Carta Contemplada'!$B$44,Premissas!$B$49)),$D222,0)</x:f>
        <x:v>0</x:v>
      </x:c>
      <x:c r="BW222" s="141" t="n">
        <x:f>IF(AND('Carta Contemplada'!$B$22="Sim",Premissas!$B$11="Imovel",Premissas!$B$47="Investimento",$A222&gt;=MAX('Carta Contemplada'!$B$44,Premissas!$B$49)),$E222,0)</x:f>
        <x:v>1826.7770578642067</x:v>
      </x:c>
      <x:c r="BX222" s="141" t="n">
        <x:f>BT222+BU222+BV222</x:f>
        <x:v>0</x:v>
      </x:c>
      <x:c r="BY222" s="141" t="n">
        <x:f>BW222</x:f>
        <x:v>1826.7770578642067</x:v>
      </x:c>
      <x:c r="BZ222" s="141" t="n">
        <x:f>$C222+BY222-BX222</x:f>
        <x:v>8826.777057864207</x:v>
      </x:c>
      <x:c r="CA222" s="141" t="n">
        <x:f>CD221*(1+Premissas!$B$41)+BZ222</x:f>
        <x:v>4931404.080126132</x:v>
      </x:c>
      <x:c r="CB222" s="141" t="n">
        <x:f>MAX(0,-CA222)</x:f>
        <x:v>0</x:v>
      </x:c>
      <x:c r="CC222" s="141" t="n">
        <x:f>CC221*(1+Premissas!$B$41)+CB222</x:f>
        <x:v>0</x:v>
      </x:c>
      <x:c r="CD222" s="141" t="n">
        <x:f>MAX(0,CA222)</x:f>
        <x:v>4931404.080126132</x:v>
      </x:c>
      <x:c r="CE222" s="141" t="n">
        <x:f>IF(AND('Carta Contemplada'!$B$22="Sim",$A222&gt;='Carta Contemplada'!$B$23),INDEX('Carta Contemplada'!$I$55:$I$1013,$A222),0)</x:f>
        <x:v>0</x:v>
      </x:c>
      <x:c r="CF222" s="141" t="n">
        <x:f>IF(AND('Carta Contemplada'!$B$22="Sim",$A222&gt;='Carta Contemplada'!$B$44),$F222,0)</x:f>
        <x:v>573646.5586140528</x:v>
      </x:c>
      <x:c r="CG222" s="141" t="n">
        <x:f>CD222+CF222-CE222</x:f>
        <x:v>5505050.638740185</x:v>
      </x:c>
      <x:c r="CH222" s="141" t="n">
        <x:f>IF(CC222&gt;1,"Inviavel",CG222)</x:f>
        <x:v>5505050.638740185</x:v>
      </x:c>
      <x:c r="CI222" s="145" t="str">
        <x:f>IF(CC222&gt;1,"Inviavel","OK")</x:f>
        <x:v>OK</x:v>
      </x:c>
    </x:row>
    <x:row r="223">
      <x:c r="A223" s="142" t="n">
        <x:v>219</x:v>
      </x:c>
      <x:c r="B223" s="179" t="n">
        <x:f>EDATE(Premissas!$B$4,A223-1)</x:f>
        <x:v>53175</x:v>
      </x:c>
      <x:c r="C223" s="141" t="n">
        <x:f>IF(A223&lt;=Premissas!$B$39,Premissas!$B$42,0)</x:f>
        <x:v>7000</x:v>
      </x:c>
      <x:c r="D223" s="141" t="n">
        <x:f>Premissas!$B$54*(1+Premissas!$B$57)^INT((A223-1)/12)</x:f>
        <x:v>1998.037407038976</x:v>
      </x:c>
      <x:c r="E223" s="141" t="n">
        <x:f>Premissas!$B$64*(1+Premissas!$B$57)^INT((A223-1)/12)</x:f>
        <x:v>1826.7770578642067</x:v>
      </x:c>
      <x:c r="F223" s="141" t="n">
        <x:f>MAX(0,Premissas!$B$6*(1+Premissas!$B$66)^((A223-1)/12))</x:f>
        <x:v>576438.8122447418</x:v>
      </x:c>
      <x:c r="G223" s="141" t="n">
        <x:f>G222*(1+Premissas!$B$41)+C223</x:f>
        <x:v>5803590.606803338</x:v>
      </x:c>
      <x:c r="H223" s="141" t="n">
        <x:f>IF($A223=Premissas!$B$48,Premissas!$B$8,0)</x:f>
        <x:v>0</x:v>
      </x:c>
      <x:c r="I223" s="141" t="n">
        <x:f>IF(AND($A223&gt;=Premissas!$B$48,$A223-Premissas!$B$48+1&lt;=Premissas!$B$13),INDEX(Financiamento!$J$6:$J$485,$A223-Premissas!$B$48+1),0)</x:f>
        <x:v>1261.137589632678</x:v>
      </x:c>
      <x:c r="J223" s="141" t="n">
        <x:f>IF(AND(TRUE,Premissas!$B$11="Imovel",Premissas!$B$47="Moradia",$A223&lt;MAX(Premissas!$B$48,Premissas!$B$49)),$D223,0)</x:f>
        <x:v>0</x:v>
      </x:c>
      <x:c r="K223" s="141" t="n">
        <x:f>IF(AND(TRUE,Premissas!$B$11="Imovel",Premissas!$B$47="Investimento",$A223&gt;=MAX(Premissas!$B$48,Premissas!$B$49)),$E223,0)</x:f>
        <x:v>1826.7770578642067</x:v>
      </x:c>
      <x:c r="L223" s="141" t="n">
        <x:f>H223+I223+J223</x:f>
        <x:v>1261.137589632678</x:v>
      </x:c>
      <x:c r="M223" s="141" t="n">
        <x:f>K223</x:f>
        <x:v>1826.7770578642067</x:v>
      </x:c>
      <x:c r="N223" s="141" t="n">
        <x:f>$C223+M223-L223</x:f>
        <x:v>7565.639468231529</x:v>
      </x:c>
      <x:c r="O223" s="141" t="n">
        <x:f>R222*(1+Premissas!$B$41)+N223</x:f>
        <x:v>4868280.847767785</x:v>
      </x:c>
      <x:c r="P223" s="141" t="n">
        <x:f>MAX(0,-O223)</x:f>
        <x:v>0</x:v>
      </x:c>
      <x:c r="Q223" s="141" t="n">
        <x:f>Q222*(1+Premissas!$B$41)+P223</x:f>
        <x:v>0</x:v>
      </x:c>
      <x:c r="R223" s="141" t="n">
        <x:f>MAX(0,O223)</x:f>
        <x:v>4868280.847767785</x:v>
      </x:c>
      <x:c r="S223" s="141" t="n">
        <x:f>IF(AND($A223&gt;=Premissas!$B$48,$A223-Premissas!$B$48+1&lt;=Premissas!$B$13),INDEX(Financiamento!$M$6:$M$485,$A223-Premissas!$B$48+1),0)</x:f>
        <x:v>76571.4285714287</x:v>
      </x:c>
      <x:c r="T223" s="141" t="n">
        <x:f>IF($A223&gt;=Premissas!$B$48,$F223,0)</x:f>
        <x:v>576438.8122447418</x:v>
      </x:c>
      <x:c r="U223" s="141" t="n">
        <x:f>R223+T223-S223</x:f>
        <x:v>5368148.231441098</x:v>
      </x:c>
      <x:c r="V223" s="141" t="n">
        <x:f>IF(Q223&gt;1,"Inviavel",U223)</x:f>
        <x:v>5368148.231441098</x:v>
      </x:c>
      <x:c r="W223" s="141" t="str">
        <x:f>IF(Q223&gt;1,"Inviavel","OK")</x:f>
        <x:v>OK</x:v>
      </x:c>
      <x:c r="X223" s="141" t="n">
        <x:f>IF($A223=Premissas!$B$48,Premissas!$B$8,0)</x:f>
        <x:v>0</x:v>
      </x:c>
      <x:c r="Y223" s="141" t="n">
        <x:f>IF(AND($A223&gt;=Premissas!$B$48,$A223-Premissas!$B$48+1&lt;=Premissas!$B$13),INDEX(Amortizacao!$K$6:$K$485,$A223-Premissas!$B$48+1),0)</x:f>
        <x:v>0</x:v>
      </x:c>
      <x:c r="Z223" s="141" t="n">
        <x:f>IF(AND(TRUE,Premissas!$B$11="Imovel",Premissas!$B$47="Moradia",$A223&lt;MAX(Premissas!$B$48,Premissas!$B$49)),$D223,0)</x:f>
        <x:v>0</x:v>
      </x:c>
      <x:c r="AA223" s="141" t="n">
        <x:f>IF(AND(TRUE,Premissas!$B$11="Imovel",Premissas!$B$47="Investimento",$A223&gt;=MAX(Premissas!$B$48,Premissas!$B$49)),$E223,0)</x:f>
        <x:v>1826.7770578642067</x:v>
      </x:c>
      <x:c r="AB223" s="141" t="n">
        <x:f>X223+Y223+Z223</x:f>
        <x:v>0</x:v>
      </x:c>
      <x:c r="AC223" s="141" t="n">
        <x:f>AA223</x:f>
        <x:v>1826.7770578642067</x:v>
      </x:c>
      <x:c r="AD223" s="141" t="n">
        <x:f>$C223+AC223-AB223</x:f>
        <x:v>8826.777057864207</x:v>
      </x:c>
      <x:c r="AE223" s="141" t="n">
        <x:f>AH222*(1+Premissas!$B$41)+AD223</x:f>
        <x:v>4872811.309906869</x:v>
      </x:c>
      <x:c r="AF223" s="141" t="n">
        <x:f>MAX(0,-AE223)</x:f>
        <x:v>0</x:v>
      </x:c>
      <x:c r="AG223" s="141" t="n">
        <x:f>AG222*(1+Premissas!$B$41)+AF223</x:f>
        <x:v>0</x:v>
      </x:c>
      <x:c r="AH223" s="141" t="n">
        <x:f>MAX(0,AE223)</x:f>
        <x:v>4872811.309906869</x:v>
      </x:c>
      <x:c r="AI223" s="141" t="n">
        <x:f>IF(AND($A223&gt;=Premissas!$B$48,$A223-Premissas!$B$48+1&lt;=Premissas!$B$13),INDEX(Amortizacao!$L$6:$L$485,$A223-Premissas!$B$48+1),0)</x:f>
        <x:v>0</x:v>
      </x:c>
      <x:c r="AJ223" s="141" t="n">
        <x:f>IF($A223&gt;=Premissas!$B$48,$F223,0)</x:f>
        <x:v>576438.8122447418</x:v>
      </x:c>
      <x:c r="AK223" s="141" t="n">
        <x:f>AH223+AJ223-AI223</x:f>
        <x:v>5449250.122151611</x:v>
      </x:c>
      <x:c r="AL223" s="141" t="n">
        <x:f>IF(AG223&gt;1,"Inviavel",AK223)</x:f>
        <x:v>5449250.122151611</x:v>
      </x:c>
      <x:c r="AM223" s="141" t="str">
        <x:f>IF(AG223&gt;1,"Inviavel","OK")</x:f>
        <x:v>OK</x:v>
      </x:c>
      <x:c r="AN223" s="141" t="n">
        <x:f>IF($A223=Premissas!$B$48,Premissas!$B$8,0)</x:f>
        <x:v>0</x:v>
      </x:c>
      <x:c r="AO223" s="141" t="n">
        <x:f>IF($A223&lt;=Premissas!$B$25,INDEX('Consorcio IQ'!$K$6:$K$485,$A223),0)</x:f>
        <x:v>1628.3030289343405</x:v>
      </x:c>
      <x:c r="AP223" s="141" t="n">
        <x:f>IF(AND(TRUE,Premissas!$B$11="Imovel",Premissas!$B$47="Moradia",$A223&lt;MAX(Premissas!$B$48,Premissas!$B$49)),$D223,0)</x:f>
        <x:v>0</x:v>
      </x:c>
      <x:c r="AQ223" s="141" t="n">
        <x:f>IF(AND(TRUE,Premissas!$B$11="Imovel",Premissas!$B$47="Investimento",$A223&gt;=MAX(Premissas!$B$48,Premissas!$B$49)),$E223,0)</x:f>
        <x:v>1826.7770578642067</x:v>
      </x:c>
      <x:c r="AR223" s="141" t="n">
        <x:f>AN223+AO223+AP223</x:f>
        <x:v>1628.3030289343405</x:v>
      </x:c>
      <x:c r="AS223" s="141" t="n">
        <x:f>AQ223</x:f>
        <x:v>1826.7770578642067</x:v>
      </x:c>
      <x:c r="AT223" s="141" t="n">
        <x:f>$C223+AS223-AR223</x:f>
        <x:v>7198.474028929866</x:v>
      </x:c>
      <x:c r="AU223" s="141" t="n">
        <x:f>AX222*(1+Premissas!$B$41)+AT223</x:f>
        <x:v>4859405.480564747</x:v>
      </x:c>
      <x:c r="AV223" s="141" t="n">
        <x:f>MAX(0,-AU223)</x:f>
        <x:v>0</x:v>
      </x:c>
      <x:c r="AW223" s="141" t="n">
        <x:f>AW222*(1+Premissas!$B$41)+AV223</x:f>
        <x:v>0</x:v>
      </x:c>
      <x:c r="AX223" s="141" t="n">
        <x:f>MAX(0,AU223)</x:f>
        <x:v>4859405.480564747</x:v>
      </x:c>
      <x:c r="AY223" s="141" t="n">
        <x:f>INDEX('Consorcio IQ'!$P$6:$P$485,$A223)</x:f>
        <x:v>31884.071907879075</x:v>
      </x:c>
      <x:c r="AZ223" s="141" t="n">
        <x:f>IF($A223&gt;=Premissas!$B$48,$F223,0)+IF($A223&lt;Premissas!$B$27,INDEX('Consorcio IQ'!$O$6:$O$485,$A223),0)</x:f>
        <x:v>576438.8122447418</x:v>
      </x:c>
      <x:c r="BA223" s="141" t="n">
        <x:f>AX223+AZ223-AY223</x:f>
        <x:v>5403960.22090161</x:v>
      </x:c>
      <x:c r="BB223" s="141" t="n">
        <x:f>IF(AW223&gt;1,"Inviavel",BA223)</x:f>
        <x:v>5403960.22090161</x:v>
      </x:c>
      <x:c r="BC223" s="141" t="str">
        <x:f>IF(AW223&gt;1,"Inviavel","OK")</x:f>
        <x:v>OK</x:v>
      </x:c>
      <x:c r="BD223" s="141" t="n">
        <x:f>IF($A223='Consorcio Direto'!$B$29,'Consorcio Direto'!$B$44,0)</x:f>
        <x:v>0</x:v>
      </x:c>
      <x:c r="BE223" s="141" t="n">
        <x:f>IF($A223&lt;='Consorcio Direto'!$B$27,INDEX('Consorcio Direto'!$E$55:$E$534,$A223),0)</x:f>
        <x:v>4216.49193723835</x:v>
      </x:c>
      <x:c r="BF223" s="141" t="n">
        <x:f>IF(AND(TRUE,Premissas!$B$11="Imovel",Premissas!$B$47="Moradia",$A223&lt;MAX('Consorcio Direto'!$B$29,Premissas!$B$49)),$D223,0)</x:f>
        <x:v>0</x:v>
      </x:c>
      <x:c r="BG223" s="141" t="n">
        <x:f>IF(AND(TRUE,Premissas!$B$11="Imovel",Premissas!$B$47="Investimento",$A223&gt;=MAX('Consorcio Direto'!$B$29,Premissas!$B$49)),$E223,0)</x:f>
        <x:v>1826.7770578642067</x:v>
      </x:c>
      <x:c r="BH223" s="141" t="n">
        <x:f>BD223+BE223+BF223</x:f>
        <x:v>4216.49193723835</x:v>
      </x:c>
      <x:c r="BI223" s="141" t="n">
        <x:f>BG223</x:f>
        <x:v>1826.7770578642067</x:v>
      </x:c>
      <x:c r="BJ223" s="141" t="n">
        <x:f>$C223+BI223-BH223</x:f>
        <x:v>4610.2851206258565</x:v>
      </x:c>
      <x:c r="BK223" s="141" t="n">
        <x:f>BN222*(1+Premissas!$B$41)+BJ223</x:f>
        <x:v>4665320.97634462</x:v>
      </x:c>
      <x:c r="BL223" s="141" t="n">
        <x:f>MAX(0,-BK223)</x:f>
        <x:v>0</x:v>
      </x:c>
      <x:c r="BM223" s="141" t="n">
        <x:f>BM222*(1+Premissas!$B$41)+BL223</x:f>
        <x:v>0</x:v>
      </x:c>
      <x:c r="BN223" s="141" t="n">
        <x:f>MAX(0,BK223)</x:f>
        <x:v>4665320.97634462</x:v>
      </x:c>
      <x:c r="BO223" s="141" t="n">
        <x:f>INDEX('Consorcio Direto'!$K$55:$K$534,$A223)</x:f>
        <x:v>82563.82856075923</x:v>
      </x:c>
      <x:c r="BP223" s="141" t="n">
        <x:f>IF($A223&lt;'Consorcio Direto'!$B$29,INDEX('Consorcio Direto'!$L$55:$L$534,$A223),$F223)</x:f>
        <x:v>576438.8122447418</x:v>
      </x:c>
      <x:c r="BQ223" s="141" t="n">
        <x:f>BN223+BP223-BO223</x:f>
        <x:v>5159195.960028603</x:v>
      </x:c>
      <x:c r="BR223" s="141" t="n">
        <x:f>IF(BM223&gt;1,"Inviavel",BQ223)</x:f>
        <x:v>5159195.960028603</x:v>
      </x:c>
      <x:c r="BS223" s="141" t="str">
        <x:f>IF(BM223&gt;1,"Inviavel","OK")</x:f>
        <x:v>OK</x:v>
      </x:c>
      <x:c r="BT223" s="141" t="n">
        <x:f>IF(AND('Carta Contemplada'!$B$22="Sim",$A223='Carta Contemplada'!$B$23),'Carta Contemplada'!$B$37,0)</x:f>
        <x:v>0</x:v>
      </x:c>
      <x:c r="BU223" s="141" t="n">
        <x:f>IF('Carta Contemplada'!$B$22="Sim",INDEX('Carta Contemplada'!$C$55:$C$1013,$A223),0)</x:f>
        <x:v>0</x:v>
      </x:c>
      <x:c r="BV223" s="141" t="n">
        <x:f>IF(AND('Carta Contemplada'!$B$22="Sim",Premissas!$B$11="Imovel",Premissas!$B$47="Moradia",$A223&lt;MAX('Carta Contemplada'!$B$44,Premissas!$B$49)),$D223,0)</x:f>
        <x:v>0</x:v>
      </x:c>
      <x:c r="BW223" s="141" t="n">
        <x:f>IF(AND('Carta Contemplada'!$B$22="Sim",Premissas!$B$11="Imovel",Premissas!$B$47="Investimento",$A223&gt;=MAX('Carta Contemplada'!$B$44,Premissas!$B$49)),$E223,0)</x:f>
        <x:v>1826.7770578642067</x:v>
      </x:c>
      <x:c r="BX223" s="141" t="n">
        <x:f>BT223+BU223+BV223</x:f>
        <x:v>0</x:v>
      </x:c>
      <x:c r="BY223" s="141" t="n">
        <x:f>BW223</x:f>
        <x:v>1826.7770578642067</x:v>
      </x:c>
      <x:c r="BZ223" s="141" t="n">
        <x:f>$C223+BY223-BX223</x:f>
        <x:v>8826.777057864207</x:v>
      </x:c>
      <x:c r="CA223" s="141" t="n">
        <x:f>CD222*(1+Premissas!$B$41)+BZ223</x:f>
        <x:v>4987023.929377071</x:v>
      </x:c>
      <x:c r="CB223" s="141" t="n">
        <x:f>MAX(0,-CA223)</x:f>
        <x:v>0</x:v>
      </x:c>
      <x:c r="CC223" s="141" t="n">
        <x:f>CC222*(1+Premissas!$B$41)+CB223</x:f>
        <x:v>0</x:v>
      </x:c>
      <x:c r="CD223" s="141" t="n">
        <x:f>MAX(0,CA223)</x:f>
        <x:v>4987023.929377071</x:v>
      </x:c>
      <x:c r="CE223" s="141" t="n">
        <x:f>IF(AND('Carta Contemplada'!$B$22="Sim",$A223&gt;='Carta Contemplada'!$B$23),INDEX('Carta Contemplada'!$I$55:$I$1013,$A223),0)</x:f>
        <x:v>0</x:v>
      </x:c>
      <x:c r="CF223" s="141" t="n">
        <x:f>IF(AND('Carta Contemplada'!$B$22="Sim",$A223&gt;='Carta Contemplada'!$B$44),$F223,0)</x:f>
        <x:v>576438.8122447418</x:v>
      </x:c>
      <x:c r="CG223" s="141" t="n">
        <x:f>CD223+CF223-CE223</x:f>
        <x:v>5563462.741621813</x:v>
      </x:c>
      <x:c r="CH223" s="141" t="n">
        <x:f>IF(CC223&gt;1,"Inviavel",CG223)</x:f>
        <x:v>5563462.741621813</x:v>
      </x:c>
      <x:c r="CI223" s="145" t="str">
        <x:f>IF(CC223&gt;1,"Inviavel","OK")</x:f>
        <x:v>OK</x:v>
      </x:c>
    </x:row>
    <x:row r="224">
      <x:c r="A224" s="142" t="n">
        <x:v>220</x:v>
      </x:c>
      <x:c r="B224" s="179" t="n">
        <x:f>EDATE(Premissas!$B$4,A224-1)</x:f>
        <x:v>53206</x:v>
      </x:c>
      <x:c r="C224" s="141" t="n">
        <x:f>IF(A224&lt;=Premissas!$B$39,Premissas!$B$42,0)</x:f>
        <x:v>7000</x:v>
      </x:c>
      <x:c r="D224" s="141" t="n">
        <x:f>Premissas!$B$54*(1+Premissas!$B$57)^INT((A224-1)/12)</x:f>
        <x:v>1998.037407038976</x:v>
      </x:c>
      <x:c r="E224" s="141" t="n">
        <x:f>Premissas!$B$64*(1+Premissas!$B$57)^INT((A224-1)/12)</x:f>
        <x:v>1826.7770578642067</x:v>
      </x:c>
      <x:c r="F224" s="141" t="n">
        <x:f>MAX(0,Premissas!$B$6*(1+Premissas!$B$66)^((A224-1)/12))</x:f>
        <x:v>579244.6573111693</x:v>
      </x:c>
      <x:c r="G224" s="141" t="n">
        <x:f>G223*(1+Premissas!$B$41)+C224</x:f>
        <x:v>5865659.676348386</x:v>
      </x:c>
      <x:c r="H224" s="141" t="n">
        <x:f>IF($A224=Premissas!$B$48,Premissas!$B$8,0)</x:f>
        <x:v>0</x:v>
      </x:c>
      <x:c r="I224" s="141" t="n">
        <x:f>IF(AND($A224&gt;=Premissas!$B$48,$A224-Premissas!$B$48+1&lt;=Premissas!$B$13),INDEX(Financiamento!$J$6:$J$485,$A224-Premissas!$B$48+1),0)</x:f>
        <x:v>1257.5228113718845</x:v>
      </x:c>
      <x:c r="J224" s="141" t="n">
        <x:f>IF(AND(TRUE,Premissas!$B$11="Imovel",Premissas!$B$47="Moradia",$A224&lt;MAX(Premissas!$B$48,Premissas!$B$49)),$D224,0)</x:f>
        <x:v>0</x:v>
      </x:c>
      <x:c r="K224" s="141" t="n">
        <x:f>IF(AND(TRUE,Premissas!$B$11="Imovel",Premissas!$B$47="Investimento",$A224&gt;=MAX(Premissas!$B$48,Premissas!$B$49)),$E224,0)</x:f>
        <x:v>1826.7770578642067</x:v>
      </x:c>
      <x:c r="L224" s="141" t="n">
        <x:f>H224+I224+J224</x:f>
        <x:v>1257.5228113718845</x:v>
      </x:c>
      <x:c r="M224" s="141" t="n">
        <x:f>K224</x:f>
        <x:v>1826.7770578642067</x:v>
      </x:c>
      <x:c r="N224" s="141" t="n">
        <x:f>$C224+M224-L224</x:f>
        <x:v>7569.254246492323</x:v>
      </x:c>
      <x:c r="O224" s="141" t="n">
        <x:f>R223*(1+Premissas!$B$41)+N224</x:f>
        <x:v>4922044.210926142</x:v>
      </x:c>
      <x:c r="P224" s="141" t="n">
        <x:f>MAX(0,-O224)</x:f>
        <x:v>0</x:v>
      </x:c>
      <x:c r="Q224" s="141" t="n">
        <x:f>Q223*(1+Premissas!$B$41)+P224</x:f>
        <x:v>0</x:v>
      </x:c>
      <x:c r="R224" s="141" t="n">
        <x:f>MAX(0,O224)</x:f>
        <x:v>4922044.210926142</x:v>
      </x:c>
      <x:c r="S224" s="141" t="n">
        <x:f>IF(AND($A224&gt;=Premissas!$B$48,$A224-Premissas!$B$48+1&lt;=Premissas!$B$13),INDEX(Financiamento!$M$6:$M$485,$A224-Premissas!$B$48+1),0)</x:f>
        <x:v>76190.47619047631</x:v>
      </x:c>
      <x:c r="T224" s="141" t="n">
        <x:f>IF($A224&gt;=Premissas!$B$48,$F224,0)</x:f>
        <x:v>579244.6573111693</x:v>
      </x:c>
      <x:c r="U224" s="141" t="n">
        <x:f>R224+T224-S224</x:f>
        <x:v>5425098.392046834</x:v>
      </x:c>
      <x:c r="V224" s="141" t="n">
        <x:f>IF(Q224&gt;1,"Inviavel",U224)</x:f>
        <x:v>5425098.392046834</x:v>
      </x:c>
      <x:c r="W224" s="141" t="str">
        <x:f>IF(Q224&gt;1,"Inviavel","OK")</x:f>
        <x:v>OK</x:v>
      </x:c>
      <x:c r="X224" s="141" t="n">
        <x:f>IF($A224=Premissas!$B$48,Premissas!$B$8,0)</x:f>
        <x:v>0</x:v>
      </x:c>
      <x:c r="Y224" s="141" t="n">
        <x:f>IF(AND($A224&gt;=Premissas!$B$48,$A224-Premissas!$B$48+1&lt;=Premissas!$B$13),INDEX(Amortizacao!$K$6:$K$485,$A224-Premissas!$B$48+1),0)</x:f>
        <x:v>0</x:v>
      </x:c>
      <x:c r="Z224" s="141" t="n">
        <x:f>IF(AND(TRUE,Premissas!$B$11="Imovel",Premissas!$B$47="Moradia",$A224&lt;MAX(Premissas!$B$48,Premissas!$B$49)),$D224,0)</x:f>
        <x:v>0</x:v>
      </x:c>
      <x:c r="AA224" s="141" t="n">
        <x:f>IF(AND(TRUE,Premissas!$B$11="Imovel",Premissas!$B$47="Investimento",$A224&gt;=MAX(Premissas!$B$48,Premissas!$B$49)),$E224,0)</x:f>
        <x:v>1826.7770578642067</x:v>
      </x:c>
      <x:c r="AB224" s="141" t="n">
        <x:f>X224+Y224+Z224</x:f>
        <x:v>0</x:v>
      </x:c>
      <x:c r="AC224" s="141" t="n">
        <x:f>AA224</x:f>
        <x:v>1826.7770578642067</x:v>
      </x:c>
      <x:c r="AD224" s="141" t="n">
        <x:f>$C224+AC224-AB224</x:f>
        <x:v>8826.777057864207</x:v>
      </x:c>
      <x:c r="AE224" s="141" t="n">
        <x:f>AH223*(1+Premissas!$B$41)+AD224</x:f>
        <x:v>4927875.184493734</x:v>
      </x:c>
      <x:c r="AF224" s="141" t="n">
        <x:f>MAX(0,-AE224)</x:f>
        <x:v>0</x:v>
      </x:c>
      <x:c r="AG224" s="141" t="n">
        <x:f>AG223*(1+Premissas!$B$41)+AF224</x:f>
        <x:v>0</x:v>
      </x:c>
      <x:c r="AH224" s="141" t="n">
        <x:f>MAX(0,AE224)</x:f>
        <x:v>4927875.184493734</x:v>
      </x:c>
      <x:c r="AI224" s="141" t="n">
        <x:f>IF(AND($A224&gt;=Premissas!$B$48,$A224-Premissas!$B$48+1&lt;=Premissas!$B$13),INDEX(Amortizacao!$L$6:$L$485,$A224-Premissas!$B$48+1),0)</x:f>
        <x:v>0</x:v>
      </x:c>
      <x:c r="AJ224" s="141" t="n">
        <x:f>IF($A224&gt;=Premissas!$B$48,$F224,0)</x:f>
        <x:v>579244.6573111693</x:v>
      </x:c>
      <x:c r="AK224" s="141" t="n">
        <x:f>AH224+AJ224-AI224</x:f>
        <x:v>5507119.841804903</x:v>
      </x:c>
      <x:c r="AL224" s="141" t="n">
        <x:f>IF(AG224&gt;1,"Inviavel",AK224)</x:f>
        <x:v>5507119.841804903</x:v>
      </x:c>
      <x:c r="AM224" s="141" t="str">
        <x:f>IF(AG224&gt;1,"Inviavel","OK")</x:f>
        <x:v>OK</x:v>
      </x:c>
      <x:c r="AN224" s="141" t="n">
        <x:f>IF($A224=Premissas!$B$48,Premissas!$B$8,0)</x:f>
        <x:v>0</x:v>
      </x:c>
      <x:c r="AO224" s="141" t="n">
        <x:f>IF($A224&lt;=Premissas!$B$25,INDEX('Consorcio IQ'!$K$6:$K$485,$A224),0)</x:f>
        <x:v>1628.3030289343405</x:v>
      </x:c>
      <x:c r="AP224" s="141" t="n">
        <x:f>IF(AND(TRUE,Premissas!$B$11="Imovel",Premissas!$B$47="Moradia",$A224&lt;MAX(Premissas!$B$48,Premissas!$B$49)),$D224,0)</x:f>
        <x:v>0</x:v>
      </x:c>
      <x:c r="AQ224" s="141" t="n">
        <x:f>IF(AND(TRUE,Premissas!$B$11="Imovel",Premissas!$B$47="Investimento",$A224&gt;=MAX(Premissas!$B$48,Premissas!$B$49)),$E224,0)</x:f>
        <x:v>1826.7770578642067</x:v>
      </x:c>
      <x:c r="AR224" s="141" t="n">
        <x:f>AN224+AO224+AP224</x:f>
        <x:v>1628.3030289343405</x:v>
      </x:c>
      <x:c r="AS224" s="141" t="n">
        <x:f>AQ224</x:f>
        <x:v>1826.7770578642067</x:v>
      </x:c>
      <x:c r="AT224" s="141" t="n">
        <x:f>$C224+AS224-AR224</x:f>
        <x:v>7198.474028929866</x:v>
      </x:c>
      <x:c r="AU224" s="141" t="n">
        <x:f>AX223*(1+Premissas!$B$41)+AT224</x:f>
        <x:v>4912713.846983934</x:v>
      </x:c>
      <x:c r="AV224" s="141" t="n">
        <x:f>MAX(0,-AU224)</x:f>
        <x:v>0</x:v>
      </x:c>
      <x:c r="AW224" s="141" t="n">
        <x:f>AW223*(1+Premissas!$B$41)+AV224</x:f>
        <x:v>0</x:v>
      </x:c>
      <x:c r="AX224" s="141" t="n">
        <x:f>MAX(0,AU224)</x:f>
        <x:v>4912713.846983934</x:v>
      </x:c>
      <x:c r="AY224" s="141" t="n">
        <x:f>INDEX('Consorcio IQ'!$P$6:$P$485,$A224)</x:f>
        <x:v>30558.310235189954</x:v>
      </x:c>
      <x:c r="AZ224" s="141" t="n">
        <x:f>IF($A224&gt;=Premissas!$B$48,$F224,0)+IF($A224&lt;Premissas!$B$27,INDEX('Consorcio IQ'!$O$6:$O$485,$A224),0)</x:f>
        <x:v>579244.6573111693</x:v>
      </x:c>
      <x:c r="BA224" s="141" t="n">
        <x:f>AX224+AZ224-AY224</x:f>
        <x:v>5461400.194059913</x:v>
      </x:c>
      <x:c r="BB224" s="141" t="n">
        <x:f>IF(AW224&gt;1,"Inviavel",BA224)</x:f>
        <x:v>5461400.194059913</x:v>
      </x:c>
      <x:c r="BC224" s="141" t="str">
        <x:f>IF(AW224&gt;1,"Inviavel","OK")</x:f>
        <x:v>OK</x:v>
      </x:c>
      <x:c r="BD224" s="141" t="n">
        <x:f>IF($A224='Consorcio Direto'!$B$29,'Consorcio Direto'!$B$44,0)</x:f>
        <x:v>0</x:v>
      </x:c>
      <x:c r="BE224" s="141" t="n">
        <x:f>IF($A224&lt;='Consorcio Direto'!$B$27,INDEX('Consorcio Direto'!$E$55:$E$534,$A224),0)</x:f>
        <x:v>4216.49193723835</x:v>
      </x:c>
      <x:c r="BF224" s="141" t="n">
        <x:f>IF(AND(TRUE,Premissas!$B$11="Imovel",Premissas!$B$47="Moradia",$A224&lt;MAX('Consorcio Direto'!$B$29,Premissas!$B$49)),$D224,0)</x:f>
        <x:v>0</x:v>
      </x:c>
      <x:c r="BG224" s="141" t="n">
        <x:f>IF(AND(TRUE,Premissas!$B$11="Imovel",Premissas!$B$47="Investimento",$A224&gt;=MAX('Consorcio Direto'!$B$29,Premissas!$B$49)),$E224,0)</x:f>
        <x:v>1826.7770578642067</x:v>
      </x:c>
      <x:c r="BH224" s="141" t="n">
        <x:f>BD224+BE224+BF224</x:f>
        <x:v>4216.49193723835</x:v>
      </x:c>
      <x:c r="BI224" s="141" t="n">
        <x:f>BG224</x:f>
        <x:v>1826.7770578642067</x:v>
      </x:c>
      <x:c r="BJ224" s="141" t="n">
        <x:f>$C224+BI224-BH224</x:f>
        <x:v>4610.2851206258565</x:v>
      </x:c>
      <x:c r="BK224" s="141" t="n">
        <x:f>BN223*(1+Premissas!$B$41)+BJ224</x:f>
        <x:v>4714199.526183147</x:v>
      </x:c>
      <x:c r="BL224" s="141" t="n">
        <x:f>MAX(0,-BK224)</x:f>
        <x:v>0</x:v>
      </x:c>
      <x:c r="BM224" s="141" t="n">
        <x:f>BM223*(1+Premissas!$B$41)+BL224</x:f>
        <x:v>0</x:v>
      </x:c>
      <x:c r="BN224" s="141" t="n">
        <x:f>MAX(0,BK224)</x:f>
        <x:v>4714199.526183147</x:v>
      </x:c>
      <x:c r="BO224" s="141" t="n">
        <x:f>INDEX('Consorcio Direto'!$K$55:$K$534,$A224)</x:f>
        <x:v>79130.76769662034</x:v>
      </x:c>
      <x:c r="BP224" s="141" t="n">
        <x:f>IF($A224&lt;'Consorcio Direto'!$B$29,INDEX('Consorcio Direto'!$L$55:$L$534,$A224),$F224)</x:f>
        <x:v>579244.6573111693</x:v>
      </x:c>
      <x:c r="BQ224" s="141" t="n">
        <x:f>BN224+BP224-BO224</x:f>
        <x:v>5214313.415797696</x:v>
      </x:c>
      <x:c r="BR224" s="141" t="n">
        <x:f>IF(BM224&gt;1,"Inviavel",BQ224)</x:f>
        <x:v>5214313.415797696</x:v>
      </x:c>
      <x:c r="BS224" s="141" t="str">
        <x:f>IF(BM224&gt;1,"Inviavel","OK")</x:f>
        <x:v>OK</x:v>
      </x:c>
      <x:c r="BT224" s="141" t="n">
        <x:f>IF(AND('Carta Contemplada'!$B$22="Sim",$A224='Carta Contemplada'!$B$23),'Carta Contemplada'!$B$37,0)</x:f>
        <x:v>0</x:v>
      </x:c>
      <x:c r="BU224" s="141" t="n">
        <x:f>IF('Carta Contemplada'!$B$22="Sim",INDEX('Carta Contemplada'!$C$55:$C$1013,$A224),0)</x:f>
        <x:v>0</x:v>
      </x:c>
      <x:c r="BV224" s="141" t="n">
        <x:f>IF(AND('Carta Contemplada'!$B$22="Sim",Premissas!$B$11="Imovel",Premissas!$B$47="Moradia",$A224&lt;MAX('Carta Contemplada'!$B$44,Premissas!$B$49)),$D224,0)</x:f>
        <x:v>0</x:v>
      </x:c>
      <x:c r="BW224" s="141" t="n">
        <x:f>IF(AND('Carta Contemplada'!$B$22="Sim",Premissas!$B$11="Imovel",Premissas!$B$47="Investimento",$A224&gt;=MAX('Carta Contemplada'!$B$44,Premissas!$B$49)),$E224,0)</x:f>
        <x:v>1826.7770578642067</x:v>
      </x:c>
      <x:c r="BX224" s="141" t="n">
        <x:f>BT224+BU224+BV224</x:f>
        <x:v>0</x:v>
      </x:c>
      <x:c r="BY224" s="141" t="n">
        <x:f>BW224</x:f>
        <x:v>1826.7770578642067</x:v>
      </x:c>
      <x:c r="BZ224" s="141" t="n">
        <x:f>$C224+BY224-BX224</x:f>
        <x:v>8826.777057864207</x:v>
      </x:c>
      <x:c r="CA224" s="141" t="n">
        <x:f>CD223*(1+Premissas!$B$41)+BZ224</x:f>
        <x:v>5043171.543860604</x:v>
      </x:c>
      <x:c r="CB224" s="141" t="n">
        <x:f>MAX(0,-CA224)</x:f>
        <x:v>0</x:v>
      </x:c>
      <x:c r="CC224" s="141" t="n">
        <x:f>CC223*(1+Premissas!$B$41)+CB224</x:f>
        <x:v>0</x:v>
      </x:c>
      <x:c r="CD224" s="141" t="n">
        <x:f>MAX(0,CA224)</x:f>
        <x:v>5043171.543860604</x:v>
      </x:c>
      <x:c r="CE224" s="141" t="n">
        <x:f>IF(AND('Carta Contemplada'!$B$22="Sim",$A224&gt;='Carta Contemplada'!$B$23),INDEX('Carta Contemplada'!$I$55:$I$1013,$A224),0)</x:f>
        <x:v>0</x:v>
      </x:c>
      <x:c r="CF224" s="141" t="n">
        <x:f>IF(AND('Carta Contemplada'!$B$22="Sim",$A224&gt;='Carta Contemplada'!$B$44),$F224,0)</x:f>
        <x:v>579244.6573111693</x:v>
      </x:c>
      <x:c r="CG224" s="141" t="n">
        <x:f>CD224+CF224-CE224</x:f>
        <x:v>5622416.2011717735</x:v>
      </x:c>
      <x:c r="CH224" s="141" t="n">
        <x:f>IF(CC224&gt;1,"Inviavel",CG224)</x:f>
        <x:v>5622416.2011717735</x:v>
      </x:c>
      <x:c r="CI224" s="145" t="str">
        <x:f>IF(CC224&gt;1,"Inviavel","OK")</x:f>
        <x:v>OK</x:v>
      </x:c>
    </x:row>
    <x:row r="225">
      <x:c r="A225" s="142" t="n">
        <x:v>221</x:v>
      </x:c>
      <x:c r="B225" s="179" t="n">
        <x:f>EDATE(Premissas!$B$4,A225-1)</x:f>
        <x:v>53236</x:v>
      </x:c>
      <x:c r="C225" s="141" t="n">
        <x:f>IF(A225&lt;=Premissas!$B$39,Premissas!$B$42,0)</x:f>
        <x:v>7000</x:v>
      </x:c>
      <x:c r="D225" s="141" t="n">
        <x:f>Premissas!$B$54*(1+Premissas!$B$57)^INT((A225-1)/12)</x:f>
        <x:v>1998.037407038976</x:v>
      </x:c>
      <x:c r="E225" s="141" t="n">
        <x:f>Premissas!$B$64*(1+Premissas!$B$57)^INT((A225-1)/12)</x:f>
        <x:v>1826.7770578642067</x:v>
      </x:c>
      <x:c r="F225" s="141" t="n">
        <x:f>MAX(0,Premissas!$B$6*(1+Premissas!$B$66)^((A225-1)/12))</x:f>
        <x:v>582064.1599703362</x:v>
      </x:c>
      <x:c r="G225" s="141" t="n">
        <x:f>G224*(1+Premissas!$B$41)+C225</x:f>
        <x:v>5928317.706441989</x:v>
      </x:c>
      <x:c r="H225" s="141" t="n">
        <x:f>IF($A225=Premissas!$B$48,Premissas!$B$8,0)</x:f>
        <x:v>0</x:v>
      </x:c>
      <x:c r="I225" s="141" t="n">
        <x:f>IF(AND($A225&gt;=Premissas!$B$48,$A225-Premissas!$B$48+1&lt;=Premissas!$B$13),INDEX(Financiamento!$J$6:$J$485,$A225-Premissas!$B$48+1),0)</x:f>
        <x:v>1253.908033111091</x:v>
      </x:c>
      <x:c r="J225" s="141" t="n">
        <x:f>IF(AND(TRUE,Premissas!$B$11="Imovel",Premissas!$B$47="Moradia",$A225&lt;MAX(Premissas!$B$48,Premissas!$B$49)),$D225,0)</x:f>
        <x:v>0</x:v>
      </x:c>
      <x:c r="K225" s="141" t="n">
        <x:f>IF(AND(TRUE,Premissas!$B$11="Imovel",Premissas!$B$47="Investimento",$A225&gt;=MAX(Premissas!$B$48,Premissas!$B$49)),$E225,0)</x:f>
        <x:v>1826.7770578642067</x:v>
      </x:c>
      <x:c r="L225" s="141" t="n">
        <x:f>H225+I225+J225</x:f>
        <x:v>1253.908033111091</x:v>
      </x:c>
      <x:c r="M225" s="141" t="n">
        <x:f>K225</x:f>
        <x:v>1826.7770578642067</x:v>
      </x:c>
      <x:c r="N225" s="141" t="n">
        <x:f>$C225+M225-L225</x:f>
        <x:v>7572.869024753116</x:v>
      </x:c>
      <x:c r="O225" s="141" t="n">
        <x:f>R224*(1+Premissas!$B$41)+N225</x:f>
        <x:v>4976321.338283236</x:v>
      </x:c>
      <x:c r="P225" s="141" t="n">
        <x:f>MAX(0,-O225)</x:f>
        <x:v>0</x:v>
      </x:c>
      <x:c r="Q225" s="141" t="n">
        <x:f>Q224*(1+Premissas!$B$41)+P225</x:f>
        <x:v>0</x:v>
      </x:c>
      <x:c r="R225" s="141" t="n">
        <x:f>MAX(0,O225)</x:f>
        <x:v>4976321.338283236</x:v>
      </x:c>
      <x:c r="S225" s="141" t="n">
        <x:f>IF(AND($A225&gt;=Premissas!$B$48,$A225-Premissas!$B$48+1&lt;=Premissas!$B$13),INDEX(Financiamento!$M$6:$M$485,$A225-Premissas!$B$48+1),0)</x:f>
        <x:v>75809.52380952393</x:v>
      </x:c>
      <x:c r="T225" s="141" t="n">
        <x:f>IF($A225&gt;=Premissas!$B$48,$F225,0)</x:f>
        <x:v>582064.1599703362</x:v>
      </x:c>
      <x:c r="U225" s="141" t="n">
        <x:f>R225+T225-S225</x:f>
        <x:v>5482575.9744440485</x:v>
      </x:c>
      <x:c r="V225" s="141" t="n">
        <x:f>IF(Q225&gt;1,"Inviavel",U225)</x:f>
        <x:v>5482575.9744440485</x:v>
      </x:c>
      <x:c r="W225" s="141" t="str">
        <x:f>IF(Q225&gt;1,"Inviavel","OK")</x:f>
        <x:v>OK</x:v>
      </x:c>
      <x:c r="X225" s="141" t="n">
        <x:f>IF($A225=Premissas!$B$48,Premissas!$B$8,0)</x:f>
        <x:v>0</x:v>
      </x:c>
      <x:c r="Y225" s="141" t="n">
        <x:f>IF(AND($A225&gt;=Premissas!$B$48,$A225-Premissas!$B$48+1&lt;=Premissas!$B$13),INDEX(Amortizacao!$K$6:$K$485,$A225-Premissas!$B$48+1),0)</x:f>
        <x:v>0</x:v>
      </x:c>
      <x:c r="Z225" s="141" t="n">
        <x:f>IF(AND(TRUE,Premissas!$B$11="Imovel",Premissas!$B$47="Moradia",$A225&lt;MAX(Premissas!$B$48,Premissas!$B$49)),$D225,0)</x:f>
        <x:v>0</x:v>
      </x:c>
      <x:c r="AA225" s="141" t="n">
        <x:f>IF(AND(TRUE,Premissas!$B$11="Imovel",Premissas!$B$47="Investimento",$A225&gt;=MAX(Premissas!$B$48,Premissas!$B$49)),$E225,0)</x:f>
        <x:v>1826.7770578642067</x:v>
      </x:c>
      <x:c r="AB225" s="141" t="n">
        <x:f>X225+Y225+Z225</x:f>
        <x:v>0</x:v>
      </x:c>
      <x:c r="AC225" s="141" t="n">
        <x:f>AA225</x:f>
        <x:v>1826.7770578642067</x:v>
      </x:c>
      <x:c r="AD225" s="141" t="n">
        <x:f>$C225+AC225-AB225</x:f>
        <x:v>8826.777057864207</x:v>
      </x:c>
      <x:c r="AE225" s="141" t="n">
        <x:f>AH224*(1+Premissas!$B$41)+AD225</x:f>
        <x:v>4983461.548784728</x:v>
      </x:c>
      <x:c r="AF225" s="141" t="n">
        <x:f>MAX(0,-AE225)</x:f>
        <x:v>0</x:v>
      </x:c>
      <x:c r="AG225" s="141" t="n">
        <x:f>AG224*(1+Premissas!$B$41)+AF225</x:f>
        <x:v>0</x:v>
      </x:c>
      <x:c r="AH225" s="141" t="n">
        <x:f>MAX(0,AE225)</x:f>
        <x:v>4983461.548784728</x:v>
      </x:c>
      <x:c r="AI225" s="141" t="n">
        <x:f>IF(AND($A225&gt;=Premissas!$B$48,$A225-Premissas!$B$48+1&lt;=Premissas!$B$13),INDEX(Amortizacao!$L$6:$L$485,$A225-Premissas!$B$48+1),0)</x:f>
        <x:v>0</x:v>
      </x:c>
      <x:c r="AJ225" s="141" t="n">
        <x:f>IF($A225&gt;=Premissas!$B$48,$F225,0)</x:f>
        <x:v>582064.1599703362</x:v>
      </x:c>
      <x:c r="AK225" s="141" t="n">
        <x:f>AH225+AJ225-AI225</x:f>
        <x:v>5565525.708755065</x:v>
      </x:c>
      <x:c r="AL225" s="141" t="n">
        <x:f>IF(AG225&gt;1,"Inviavel",AK225)</x:f>
        <x:v>5565525.708755065</x:v>
      </x:c>
      <x:c r="AM225" s="141" t="str">
        <x:f>IF(AG225&gt;1,"Inviavel","OK")</x:f>
        <x:v>OK</x:v>
      </x:c>
      <x:c r="AN225" s="141" t="n">
        <x:f>IF($A225=Premissas!$B$48,Premissas!$B$8,0)</x:f>
        <x:v>0</x:v>
      </x:c>
      <x:c r="AO225" s="141" t="n">
        <x:f>IF($A225&lt;=Premissas!$B$25,INDEX('Consorcio IQ'!$K$6:$K$485,$A225),0)</x:f>
        <x:v>1628.3030289343405</x:v>
      </x:c>
      <x:c r="AP225" s="141" t="n">
        <x:f>IF(AND(TRUE,Premissas!$B$11="Imovel",Premissas!$B$47="Moradia",$A225&lt;MAX(Premissas!$B$48,Premissas!$B$49)),$D225,0)</x:f>
        <x:v>0</x:v>
      </x:c>
      <x:c r="AQ225" s="141" t="n">
        <x:f>IF(AND(TRUE,Premissas!$B$11="Imovel",Premissas!$B$47="Investimento",$A225&gt;=MAX(Premissas!$B$48,Premissas!$B$49)),$E225,0)</x:f>
        <x:v>1826.7770578642067</x:v>
      </x:c>
      <x:c r="AR225" s="141" t="n">
        <x:f>AN225+AO225+AP225</x:f>
        <x:v>1628.3030289343405</x:v>
      </x:c>
      <x:c r="AS225" s="141" t="n">
        <x:f>AQ225</x:f>
        <x:v>1826.7770578642067</x:v>
      </x:c>
      <x:c r="AT225" s="141" t="n">
        <x:f>$C225+AS225-AR225</x:f>
        <x:v>7198.474028929866</x:v>
      </x:c>
      <x:c r="AU225" s="141" t="n">
        <x:f>AX224*(1+Premissas!$B$41)+AT225</x:f>
        <x:v>4966528.045453753</x:v>
      </x:c>
      <x:c r="AV225" s="141" t="n">
        <x:f>MAX(0,-AU225)</x:f>
        <x:v>0</x:v>
      </x:c>
      <x:c r="AW225" s="141" t="n">
        <x:f>AW224*(1+Premissas!$B$41)+AV225</x:f>
        <x:v>0</x:v>
      </x:c>
      <x:c r="AX225" s="141" t="n">
        <x:f>MAX(0,AU225)</x:f>
        <x:v>4966528.045453753</x:v>
      </x:c>
      <x:c r="AY225" s="141" t="n">
        <x:f>INDEX('Consorcio IQ'!$P$6:$P$485,$A225)</x:f>
        <x:v>29219.96868450808</x:v>
      </x:c>
      <x:c r="AZ225" s="141" t="n">
        <x:f>IF($A225&gt;=Premissas!$B$48,$F225,0)+IF($A225&lt;Premissas!$B$27,INDEX('Consorcio IQ'!$O$6:$O$485,$A225),0)</x:f>
        <x:v>582064.1599703362</x:v>
      </x:c>
      <x:c r="BA225" s="141" t="n">
        <x:f>AX225+AZ225-AY225</x:f>
        <x:v>5519372.236739581</x:v>
      </x:c>
      <x:c r="BB225" s="141" t="n">
        <x:f>IF(AW225&gt;1,"Inviavel",BA225)</x:f>
        <x:v>5519372.236739581</x:v>
      </x:c>
      <x:c r="BC225" s="141" t="str">
        <x:f>IF(AW225&gt;1,"Inviavel","OK")</x:f>
        <x:v>OK</x:v>
      </x:c>
      <x:c r="BD225" s="141" t="n">
        <x:f>IF($A225='Consorcio Direto'!$B$29,'Consorcio Direto'!$B$44,0)</x:f>
        <x:v>0</x:v>
      </x:c>
      <x:c r="BE225" s="141" t="n">
        <x:f>IF($A225&lt;='Consorcio Direto'!$B$27,INDEX('Consorcio Direto'!$E$55:$E$534,$A225),0)</x:f>
        <x:v>4216.49193723835</x:v>
      </x:c>
      <x:c r="BF225" s="141" t="n">
        <x:f>IF(AND(TRUE,Premissas!$B$11="Imovel",Premissas!$B$47="Moradia",$A225&lt;MAX('Consorcio Direto'!$B$29,Premissas!$B$49)),$D225,0)</x:f>
        <x:v>0</x:v>
      </x:c>
      <x:c r="BG225" s="141" t="n">
        <x:f>IF(AND(TRUE,Premissas!$B$11="Imovel",Premissas!$B$47="Investimento",$A225&gt;=MAX('Consorcio Direto'!$B$29,Premissas!$B$49)),$E225,0)</x:f>
        <x:v>1826.7770578642067</x:v>
      </x:c>
      <x:c r="BH225" s="141" t="n">
        <x:f>BD225+BE225+BF225</x:f>
        <x:v>4216.49193723835</x:v>
      </x:c>
      <x:c r="BI225" s="141" t="n">
        <x:f>BG225</x:f>
        <x:v>1826.7770578642067</x:v>
      </x:c>
      <x:c r="BJ225" s="141" t="n">
        <x:f>$C225+BI225-BH225</x:f>
        <x:v>4610.2851206258565</x:v>
      </x:c>
      <x:c r="BK225" s="141" t="n">
        <x:f>BN224*(1+Premissas!$B$41)+BJ225</x:f>
        <x:v>4763541.874460034</x:v>
      </x:c>
      <x:c r="BL225" s="141" t="n">
        <x:f>MAX(0,-BK225)</x:f>
        <x:v>0</x:v>
      </x:c>
      <x:c r="BM225" s="141" t="n">
        <x:f>BM224*(1+Premissas!$B$41)+BL225</x:f>
        <x:v>0</x:v>
      </x:c>
      <x:c r="BN225" s="141" t="n">
        <x:f>MAX(0,BK225)</x:f>
        <x:v>4763541.874460034</x:v>
      </x:c>
      <x:c r="BO225" s="141" t="n">
        <x:f>INDEX('Consorcio Direto'!$K$55:$K$534,$A225)</x:f>
        <x:v>75665.13122880983</x:v>
      </x:c>
      <x:c r="BP225" s="141" t="n">
        <x:f>IF($A225&lt;'Consorcio Direto'!$B$29,INDEX('Consorcio Direto'!$L$55:$L$534,$A225),$F225)</x:f>
        <x:v>582064.1599703362</x:v>
      </x:c>
      <x:c r="BQ225" s="141" t="n">
        <x:f>BN225+BP225-BO225</x:f>
        <x:v>5269940.9032015605</x:v>
      </x:c>
      <x:c r="BR225" s="141" t="n">
        <x:f>IF(BM225&gt;1,"Inviavel",BQ225)</x:f>
        <x:v>5269940.9032015605</x:v>
      </x:c>
      <x:c r="BS225" s="141" t="str">
        <x:f>IF(BM225&gt;1,"Inviavel","OK")</x:f>
        <x:v>OK</x:v>
      </x:c>
      <x:c r="BT225" s="141" t="n">
        <x:f>IF(AND('Carta Contemplada'!$B$22="Sim",$A225='Carta Contemplada'!$B$23),'Carta Contemplada'!$B$37,0)</x:f>
        <x:v>0</x:v>
      </x:c>
      <x:c r="BU225" s="141" t="n">
        <x:f>IF('Carta Contemplada'!$B$22="Sim",INDEX('Carta Contemplada'!$C$55:$C$1013,$A225),0)</x:f>
        <x:v>0</x:v>
      </x:c>
      <x:c r="BV225" s="141" t="n">
        <x:f>IF(AND('Carta Contemplada'!$B$22="Sim",Premissas!$B$11="Imovel",Premissas!$B$47="Moradia",$A225&lt;MAX('Carta Contemplada'!$B$44,Premissas!$B$49)),$D225,0)</x:f>
        <x:v>0</x:v>
      </x:c>
      <x:c r="BW225" s="141" t="n">
        <x:f>IF(AND('Carta Contemplada'!$B$22="Sim",Premissas!$B$11="Imovel",Premissas!$B$47="Investimento",$A225&gt;=MAX('Carta Contemplada'!$B$44,Premissas!$B$49)),$E225,0)</x:f>
        <x:v>1826.7770578642067</x:v>
      </x:c>
      <x:c r="BX225" s="141" t="n">
        <x:f>BT225+BU225+BV225</x:f>
        <x:v>0</x:v>
      </x:c>
      <x:c r="BY225" s="141" t="n">
        <x:f>BW225</x:f>
        <x:v>1826.7770578642067</x:v>
      </x:c>
      <x:c r="BZ225" s="141" t="n">
        <x:f>$C225+BY225-BX225</x:f>
        <x:v>8826.777057864207</x:v>
      </x:c>
      <x:c r="CA225" s="141" t="n">
        <x:f>CD224*(1+Premissas!$B$41)+BZ225</x:f>
        <x:v>5099851.931431742</x:v>
      </x:c>
      <x:c r="CB225" s="141" t="n">
        <x:f>MAX(0,-CA225)</x:f>
        <x:v>0</x:v>
      </x:c>
      <x:c r="CC225" s="141" t="n">
        <x:f>CC224*(1+Premissas!$B$41)+CB225</x:f>
        <x:v>0</x:v>
      </x:c>
      <x:c r="CD225" s="141" t="n">
        <x:f>MAX(0,CA225)</x:f>
        <x:v>5099851.931431742</x:v>
      </x:c>
      <x:c r="CE225" s="141" t="n">
        <x:f>IF(AND('Carta Contemplada'!$B$22="Sim",$A225&gt;='Carta Contemplada'!$B$23),INDEX('Carta Contemplada'!$I$55:$I$1013,$A225),0)</x:f>
        <x:v>0</x:v>
      </x:c>
      <x:c r="CF225" s="141" t="n">
        <x:f>IF(AND('Carta Contemplada'!$B$22="Sim",$A225&gt;='Carta Contemplada'!$B$44),$F225,0)</x:f>
        <x:v>582064.1599703362</x:v>
      </x:c>
      <x:c r="CG225" s="141" t="n">
        <x:f>CD225+CF225-CE225</x:f>
        <x:v>5681916.091402079</x:v>
      </x:c>
      <x:c r="CH225" s="141" t="n">
        <x:f>IF(CC225&gt;1,"Inviavel",CG225)</x:f>
        <x:v>5681916.091402079</x:v>
      </x:c>
      <x:c r="CI225" s="145" t="str">
        <x:f>IF(CC225&gt;1,"Inviavel","OK")</x:f>
        <x:v>OK</x:v>
      </x:c>
    </x:row>
    <x:row r="226">
      <x:c r="A226" s="142" t="n">
        <x:v>222</x:v>
      </x:c>
      <x:c r="B226" s="179" t="n">
        <x:f>EDATE(Premissas!$B$4,A226-1)</x:f>
        <x:v>53267</x:v>
      </x:c>
      <x:c r="C226" s="141" t="n">
        <x:f>IF(A226&lt;=Premissas!$B$39,Premissas!$B$42,0)</x:f>
        <x:v>7000</x:v>
      </x:c>
      <x:c r="D226" s="141" t="n">
        <x:f>Premissas!$B$54*(1+Premissas!$B$57)^INT((A226-1)/12)</x:f>
        <x:v>1998.037407038976</x:v>
      </x:c>
      <x:c r="E226" s="141" t="n">
        <x:f>Premissas!$B$64*(1+Premissas!$B$57)^INT((A226-1)/12)</x:f>
        <x:v>1826.7770578642067</x:v>
      </x:c>
      <x:c r="F226" s="141" t="n">
        <x:f>MAX(0,Premissas!$B$6*(1+Premissas!$B$66)^((A226-1)/12))</x:f>
        <x:v>584897.3867012658</x:v>
      </x:c>
      <x:c r="G226" s="141" t="n">
        <x:f>G225*(1+Premissas!$B$41)+C226</x:f>
        <x:v>5991570.285608839</x:v>
      </x:c>
      <x:c r="H226" s="141" t="n">
        <x:f>IF($A226=Premissas!$B$48,Premissas!$B$8,0)</x:f>
        <x:v>0</x:v>
      </x:c>
      <x:c r="I226" s="141" t="n">
        <x:f>IF(AND($A226&gt;=Premissas!$B$48,$A226-Premissas!$B$48+1&lt;=Premissas!$B$13),INDEX(Financiamento!$J$6:$J$485,$A226-Premissas!$B$48+1),0)</x:f>
        <x:v>1250.2932548502974</x:v>
      </x:c>
      <x:c r="J226" s="141" t="n">
        <x:f>IF(AND(TRUE,Premissas!$B$11="Imovel",Premissas!$B$47="Moradia",$A226&lt;MAX(Premissas!$B$48,Premissas!$B$49)),$D226,0)</x:f>
        <x:v>0</x:v>
      </x:c>
      <x:c r="K226" s="141" t="n">
        <x:f>IF(AND(TRUE,Premissas!$B$11="Imovel",Premissas!$B$47="Investimento",$A226&gt;=MAX(Premissas!$B$48,Premissas!$B$49)),$E226,0)</x:f>
        <x:v>1826.7770578642067</x:v>
      </x:c>
      <x:c r="L226" s="141" t="n">
        <x:f>H226+I226+J226</x:f>
        <x:v>1250.2932548502974</x:v>
      </x:c>
      <x:c r="M226" s="141" t="n">
        <x:f>K226</x:f>
        <x:v>1826.7770578642067</x:v>
      </x:c>
      <x:c r="N226" s="141" t="n">
        <x:f>$C226+M226-L226</x:f>
        <x:v>7576.483803013909</x:v>
      </x:c>
      <x:c r="O226" s="141" t="n">
        <x:f>R225*(1+Premissas!$B$41)+N226</x:f>
        <x:v>5031117.104841167</x:v>
      </x:c>
      <x:c r="P226" s="141" t="n">
        <x:f>MAX(0,-O226)</x:f>
        <x:v>0</x:v>
      </x:c>
      <x:c r="Q226" s="141" t="n">
        <x:f>Q225*(1+Premissas!$B$41)+P226</x:f>
        <x:v>0</x:v>
      </x:c>
      <x:c r="R226" s="141" t="n">
        <x:f>MAX(0,O226)</x:f>
        <x:v>5031117.104841167</x:v>
      </x:c>
      <x:c r="S226" s="141" t="n">
        <x:f>IF(AND($A226&gt;=Premissas!$B$48,$A226-Premissas!$B$48+1&lt;=Premissas!$B$13),INDEX(Financiamento!$M$6:$M$485,$A226-Premissas!$B$48+1),0)</x:f>
        <x:v>75428.57142857155</x:v>
      </x:c>
      <x:c r="T226" s="141" t="n">
        <x:f>IF($A226&gt;=Premissas!$B$48,$F226,0)</x:f>
        <x:v>584897.3867012658</x:v>
      </x:c>
      <x:c r="U226" s="141" t="n">
        <x:f>R226+T226-S226</x:f>
        <x:v>5540585.920113861</x:v>
      </x:c>
      <x:c r="V226" s="141" t="n">
        <x:f>IF(Q226&gt;1,"Inviavel",U226)</x:f>
        <x:v>5540585.920113861</x:v>
      </x:c>
      <x:c r="W226" s="141" t="str">
        <x:f>IF(Q226&gt;1,"Inviavel","OK")</x:f>
        <x:v>OK</x:v>
      </x:c>
      <x:c r="X226" s="141" t="n">
        <x:f>IF($A226=Premissas!$B$48,Premissas!$B$8,0)</x:f>
        <x:v>0</x:v>
      </x:c>
      <x:c r="Y226" s="141" t="n">
        <x:f>IF(AND($A226&gt;=Premissas!$B$48,$A226-Premissas!$B$48+1&lt;=Premissas!$B$13),INDEX(Amortizacao!$K$6:$K$485,$A226-Premissas!$B$48+1),0)</x:f>
        <x:v>0</x:v>
      </x:c>
      <x:c r="Z226" s="141" t="n">
        <x:f>IF(AND(TRUE,Premissas!$B$11="Imovel",Premissas!$B$47="Moradia",$A226&lt;MAX(Premissas!$B$48,Premissas!$B$49)),$D226,0)</x:f>
        <x:v>0</x:v>
      </x:c>
      <x:c r="AA226" s="141" t="n">
        <x:f>IF(AND(TRUE,Premissas!$B$11="Imovel",Premissas!$B$47="Investimento",$A226&gt;=MAX(Premissas!$B$48,Premissas!$B$49)),$E226,0)</x:f>
        <x:v>1826.7770578642067</x:v>
      </x:c>
      <x:c r="AB226" s="141" t="n">
        <x:f>X226+Y226+Z226</x:f>
        <x:v>0</x:v>
      </x:c>
      <x:c r="AC226" s="141" t="n">
        <x:f>AA226</x:f>
        <x:v>1826.7770578642067</x:v>
      </x:c>
      <x:c r="AD226" s="141" t="n">
        <x:f>$C226+AC226-AB226</x:f>
        <x:v>8826.777057864207</x:v>
      </x:c>
      <x:c r="AE226" s="141" t="n">
        <x:f>AH225*(1+Premissas!$B$41)+AD226</x:f>
        <x:v>5039575.360576467</x:v>
      </x:c>
      <x:c r="AF226" s="141" t="n">
        <x:f>MAX(0,-AE226)</x:f>
        <x:v>0</x:v>
      </x:c>
      <x:c r="AG226" s="141" t="n">
        <x:f>AG225*(1+Premissas!$B$41)+AF226</x:f>
        <x:v>0</x:v>
      </x:c>
      <x:c r="AH226" s="141" t="n">
        <x:f>MAX(0,AE226)</x:f>
        <x:v>5039575.360576467</x:v>
      </x:c>
      <x:c r="AI226" s="141" t="n">
        <x:f>IF(AND($A226&gt;=Premissas!$B$48,$A226-Premissas!$B$48+1&lt;=Premissas!$B$13),INDEX(Amortizacao!$L$6:$L$485,$A226-Premissas!$B$48+1),0)</x:f>
        <x:v>0</x:v>
      </x:c>
      <x:c r="AJ226" s="141" t="n">
        <x:f>IF($A226&gt;=Premissas!$B$48,$F226,0)</x:f>
        <x:v>584897.3867012658</x:v>
      </x:c>
      <x:c r="AK226" s="141" t="n">
        <x:f>AH226+AJ226-AI226</x:f>
        <x:v>5624472.747277733</x:v>
      </x:c>
      <x:c r="AL226" s="141" t="n">
        <x:f>IF(AG226&gt;1,"Inviavel",AK226)</x:f>
        <x:v>5624472.747277733</x:v>
      </x:c>
      <x:c r="AM226" s="141" t="str">
        <x:f>IF(AG226&gt;1,"Inviavel","OK")</x:f>
        <x:v>OK</x:v>
      </x:c>
      <x:c r="AN226" s="141" t="n">
        <x:f>IF($A226=Premissas!$B$48,Premissas!$B$8,0)</x:f>
        <x:v>0</x:v>
      </x:c>
      <x:c r="AO226" s="141" t="n">
        <x:f>IF($A226&lt;=Premissas!$B$25,INDEX('Consorcio IQ'!$K$6:$K$485,$A226),0)</x:f>
        <x:v>1628.3030289343405</x:v>
      </x:c>
      <x:c r="AP226" s="141" t="n">
        <x:f>IF(AND(TRUE,Premissas!$B$11="Imovel",Premissas!$B$47="Moradia",$A226&lt;MAX(Premissas!$B$48,Premissas!$B$49)),$D226,0)</x:f>
        <x:v>0</x:v>
      </x:c>
      <x:c r="AQ226" s="141" t="n">
        <x:f>IF(AND(TRUE,Premissas!$B$11="Imovel",Premissas!$B$47="Investimento",$A226&gt;=MAX(Premissas!$B$48,Premissas!$B$49)),$E226,0)</x:f>
        <x:v>1826.7770578642067</x:v>
      </x:c>
      <x:c r="AR226" s="141" t="n">
        <x:f>AN226+AO226+AP226</x:f>
        <x:v>1628.3030289343405</x:v>
      </x:c>
      <x:c r="AS226" s="141" t="n">
        <x:f>AQ226</x:f>
        <x:v>1826.7770578642067</x:v>
      </x:c>
      <x:c r="AT226" s="141" t="n">
        <x:f>$C226+AS226-AR226</x:f>
        <x:v>7198.474028929866</x:v>
      </x:c>
      <x:c r="AU226" s="141" t="n">
        <x:f>AX225*(1+Premissas!$B$41)+AT226</x:f>
        <x:v>5020852.8757097935</x:v>
      </x:c>
      <x:c r="AV226" s="141" t="n">
        <x:f>MAX(0,-AU226)</x:f>
        <x:v>0</x:v>
      </x:c>
      <x:c r="AW226" s="141" t="n">
        <x:f>AW225*(1+Premissas!$B$41)+AV226</x:f>
        <x:v>0</x:v>
      </x:c>
      <x:c r="AX226" s="141" t="n">
        <x:f>MAX(0,AU226)</x:f>
        <x:v>5020852.8757097935</x:v>
      </x:c>
      <x:c r="AY226" s="141" t="n">
        <x:f>INDEX('Consorcio IQ'!$P$6:$P$485,$A226)</x:f>
        <x:v>27868.92788797604</x:v>
      </x:c>
      <x:c r="AZ226" s="141" t="n">
        <x:f>IF($A226&gt;=Premissas!$B$48,$F226,0)+IF($A226&lt;Premissas!$B$27,INDEX('Consorcio IQ'!$O$6:$O$485,$A226),0)</x:f>
        <x:v>584897.3867012658</x:v>
      </x:c>
      <x:c r="BA226" s="141" t="n">
        <x:f>AX226+AZ226-AY226</x:f>
        <x:v>5577881.334523084</x:v>
      </x:c>
      <x:c r="BB226" s="141" t="n">
        <x:f>IF(AW226&gt;1,"Inviavel",BA226)</x:f>
        <x:v>5577881.334523084</x:v>
      </x:c>
      <x:c r="BC226" s="141" t="str">
        <x:f>IF(AW226&gt;1,"Inviavel","OK")</x:f>
        <x:v>OK</x:v>
      </x:c>
      <x:c r="BD226" s="141" t="n">
        <x:f>IF($A226='Consorcio Direto'!$B$29,'Consorcio Direto'!$B$44,0)</x:f>
        <x:v>0</x:v>
      </x:c>
      <x:c r="BE226" s="141" t="n">
        <x:f>IF($A226&lt;='Consorcio Direto'!$B$27,INDEX('Consorcio Direto'!$E$55:$E$534,$A226),0)</x:f>
        <x:v>4216.49193723835</x:v>
      </x:c>
      <x:c r="BF226" s="141" t="n">
        <x:f>IF(AND(TRUE,Premissas!$B$11="Imovel",Premissas!$B$47="Moradia",$A226&lt;MAX('Consorcio Direto'!$B$29,Premissas!$B$49)),$D226,0)</x:f>
        <x:v>0</x:v>
      </x:c>
      <x:c r="BG226" s="141" t="n">
        <x:f>IF(AND(TRUE,Premissas!$B$11="Imovel",Premissas!$B$47="Investimento",$A226&gt;=MAX('Consorcio Direto'!$B$29,Premissas!$B$49)),$E226,0)</x:f>
        <x:v>1826.7770578642067</x:v>
      </x:c>
      <x:c r="BH226" s="141" t="n">
        <x:f>BD226+BE226+BF226</x:f>
        <x:v>4216.49193723835</x:v>
      </x:c>
      <x:c r="BI226" s="141" t="n">
        <x:f>BG226</x:f>
        <x:v>1826.7770578642067</x:v>
      </x:c>
      <x:c r="BJ226" s="141" t="n">
        <x:f>$C226+BI226-BH226</x:f>
        <x:v>4610.2851206258565</x:v>
      </x:c>
      <x:c r="BK226" s="141" t="n">
        <x:f>BN225*(1+Premissas!$B$41)+BJ226</x:f>
        <x:v>4813352.422062627</x:v>
      </x:c>
      <x:c r="BL226" s="141" t="n">
        <x:f>MAX(0,-BK226)</x:f>
        <x:v>0</x:v>
      </x:c>
      <x:c r="BM226" s="141" t="n">
        <x:f>BM225*(1+Premissas!$B$41)+BL226</x:f>
        <x:v>0</x:v>
      </x:c>
      <x:c r="BN226" s="141" t="n">
        <x:f>MAX(0,BK226)</x:f>
        <x:v>4813352.422062627</x:v>
      </x:c>
      <x:c r="BO226" s="141" t="n">
        <x:f>INDEX('Consorcio Direto'!$K$55:$K$534,$A226)</x:f>
        <x:v>72166.61005416971</x:v>
      </x:c>
      <x:c r="BP226" s="141" t="n">
        <x:f>IF($A226&lt;'Consorcio Direto'!$B$29,INDEX('Consorcio Direto'!$L$55:$L$534,$A226),$F226)</x:f>
        <x:v>584897.3867012658</x:v>
      </x:c>
      <x:c r="BQ226" s="141" t="n">
        <x:f>BN226+BP226-BO226</x:f>
        <x:v>5326083.198709724</x:v>
      </x:c>
      <x:c r="BR226" s="141" t="n">
        <x:f>IF(BM226&gt;1,"Inviavel",BQ226)</x:f>
        <x:v>5326083.198709724</x:v>
      </x:c>
      <x:c r="BS226" s="141" t="str">
        <x:f>IF(BM226&gt;1,"Inviavel","OK")</x:f>
        <x:v>OK</x:v>
      </x:c>
      <x:c r="BT226" s="141" t="n">
        <x:f>IF(AND('Carta Contemplada'!$B$22="Sim",$A226='Carta Contemplada'!$B$23),'Carta Contemplada'!$B$37,0)</x:f>
        <x:v>0</x:v>
      </x:c>
      <x:c r="BU226" s="141" t="n">
        <x:f>IF('Carta Contemplada'!$B$22="Sim",INDEX('Carta Contemplada'!$C$55:$C$1013,$A226),0)</x:f>
        <x:v>0</x:v>
      </x:c>
      <x:c r="BV226" s="141" t="n">
        <x:f>IF(AND('Carta Contemplada'!$B$22="Sim",Premissas!$B$11="Imovel",Premissas!$B$47="Moradia",$A226&lt;MAX('Carta Contemplada'!$B$44,Premissas!$B$49)),$D226,0)</x:f>
        <x:v>0</x:v>
      </x:c>
      <x:c r="BW226" s="141" t="n">
        <x:f>IF(AND('Carta Contemplada'!$B$22="Sim",Premissas!$B$11="Imovel",Premissas!$B$47="Investimento",$A226&gt;=MAX('Carta Contemplada'!$B$44,Premissas!$B$49)),$E226,0)</x:f>
        <x:v>1826.7770578642067</x:v>
      </x:c>
      <x:c r="BX226" s="141" t="n">
        <x:f>BT226+BU226+BV226</x:f>
        <x:v>0</x:v>
      </x:c>
      <x:c r="BY226" s="141" t="n">
        <x:f>BW226</x:f>
        <x:v>1826.7770578642067</x:v>
      </x:c>
      <x:c r="BZ226" s="141" t="n">
        <x:f>$C226+BY226-BX226</x:f>
        <x:v>8826.777057864207</x:v>
      </x:c>
      <x:c r="CA226" s="141" t="n">
        <x:f>CD225*(1+Premissas!$B$41)+BZ226</x:f>
        <x:v>5157070.147463995</x:v>
      </x:c>
      <x:c r="CB226" s="141" t="n">
        <x:f>MAX(0,-CA226)</x:f>
        <x:v>0</x:v>
      </x:c>
      <x:c r="CC226" s="141" t="n">
        <x:f>CC225*(1+Premissas!$B$41)+CB226</x:f>
        <x:v>0</x:v>
      </x:c>
      <x:c r="CD226" s="141" t="n">
        <x:f>MAX(0,CA226)</x:f>
        <x:v>5157070.147463995</x:v>
      </x:c>
      <x:c r="CE226" s="141" t="n">
        <x:f>IF(AND('Carta Contemplada'!$B$22="Sim",$A226&gt;='Carta Contemplada'!$B$23),INDEX('Carta Contemplada'!$I$55:$I$1013,$A226),0)</x:f>
        <x:v>0</x:v>
      </x:c>
      <x:c r="CF226" s="141" t="n">
        <x:f>IF(AND('Carta Contemplada'!$B$22="Sim",$A226&gt;='Carta Contemplada'!$B$44),$F226,0)</x:f>
        <x:v>584897.3867012658</x:v>
      </x:c>
      <x:c r="CG226" s="141" t="n">
        <x:f>CD226+CF226-CE226</x:f>
        <x:v>5741967.534165261</x:v>
      </x:c>
      <x:c r="CH226" s="141" t="n">
        <x:f>IF(CC226&gt;1,"Inviavel",CG226)</x:f>
        <x:v>5741967.534165261</x:v>
      </x:c>
      <x:c r="CI226" s="145" t="str">
        <x:f>IF(CC226&gt;1,"Inviavel","OK")</x:f>
        <x:v>OK</x:v>
      </x:c>
    </x:row>
    <x:row r="227">
      <x:c r="A227" s="142" t="n">
        <x:v>223</x:v>
      </x:c>
      <x:c r="B227" s="179" t="n">
        <x:f>EDATE(Premissas!$B$4,A227-1)</x:f>
        <x:v>53297</x:v>
      </x:c>
      <x:c r="C227" s="141" t="n">
        <x:f>IF(A227&lt;=Premissas!$B$39,Premissas!$B$42,0)</x:f>
        <x:v>7000</x:v>
      </x:c>
      <x:c r="D227" s="141" t="n">
        <x:f>Premissas!$B$54*(1+Premissas!$B$57)^INT((A227-1)/12)</x:f>
        <x:v>1998.037407038976</x:v>
      </x:c>
      <x:c r="E227" s="141" t="n">
        <x:f>Premissas!$B$64*(1+Premissas!$B$57)^INT((A227-1)/12)</x:f>
        <x:v>1826.7770578642067</x:v>
      </x:c>
      <x:c r="F227" s="141" t="n">
        <x:f>MAX(0,Premissas!$B$6*(1+Premissas!$B$66)^((A227-1)/12))</x:f>
        <x:v>587744.4043065712</x:v>
      </x:c>
      <x:c r="G227" s="141" t="n">
        <x:f>G226*(1+Premissas!$B$41)+C227</x:f>
        <x:v>6055423.055401982</x:v>
      </x:c>
      <x:c r="H227" s="141" t="n">
        <x:f>IF($A227=Premissas!$B$48,Premissas!$B$8,0)</x:f>
        <x:v>0</x:v>
      </x:c>
      <x:c r="I227" s="141" t="n">
        <x:f>IF(AND($A227&gt;=Premissas!$B$48,$A227-Premissas!$B$48+1&lt;=Premissas!$B$13),INDEX(Financiamento!$J$6:$J$485,$A227-Premissas!$B$48+1),0)</x:f>
        <x:v>1246.6784765895038</x:v>
      </x:c>
      <x:c r="J227" s="141" t="n">
        <x:f>IF(AND(TRUE,Premissas!$B$11="Imovel",Premissas!$B$47="Moradia",$A227&lt;MAX(Premissas!$B$48,Premissas!$B$49)),$D227,0)</x:f>
        <x:v>0</x:v>
      </x:c>
      <x:c r="K227" s="141" t="n">
        <x:f>IF(AND(TRUE,Premissas!$B$11="Imovel",Premissas!$B$47="Investimento",$A227&gt;=MAX(Premissas!$B$48,Premissas!$B$49)),$E227,0)</x:f>
        <x:v>1826.7770578642067</x:v>
      </x:c>
      <x:c r="L227" s="141" t="n">
        <x:f>H227+I227+J227</x:f>
        <x:v>1246.6784765895038</x:v>
      </x:c>
      <x:c r="M227" s="141" t="n">
        <x:f>K227</x:f>
        <x:v>1826.7770578642067</x:v>
      </x:c>
      <x:c r="N227" s="141" t="n">
        <x:f>$C227+M227-L227</x:f>
        <x:v>7580.098581274703</x:v>
      </x:c>
      <x:c r="O227" s="141" t="n">
        <x:f>R226*(1+Premissas!$B$41)+N227</x:f>
        <x:v>5086436.431859919</x:v>
      </x:c>
      <x:c r="P227" s="141" t="n">
        <x:f>MAX(0,-O227)</x:f>
        <x:v>0</x:v>
      </x:c>
      <x:c r="Q227" s="141" t="n">
        <x:f>Q226*(1+Premissas!$B$41)+P227</x:f>
        <x:v>0</x:v>
      </x:c>
      <x:c r="R227" s="141" t="n">
        <x:f>MAX(0,O227)</x:f>
        <x:v>5086436.431859919</x:v>
      </x:c>
      <x:c r="S227" s="141" t="n">
        <x:f>IF(AND($A227&gt;=Premissas!$B$48,$A227-Premissas!$B$48+1&lt;=Premissas!$B$13),INDEX(Financiamento!$M$6:$M$485,$A227-Premissas!$B$48+1),0)</x:f>
        <x:v>75047.61904761917</x:v>
      </x:c>
      <x:c r="T227" s="141" t="n">
        <x:f>IF($A227&gt;=Premissas!$B$48,$F227,0)</x:f>
        <x:v>587744.4043065712</x:v>
      </x:c>
      <x:c r="U227" s="141" t="n">
        <x:f>R227+T227-S227</x:f>
        <x:v>5599133.2171188705</x:v>
      </x:c>
      <x:c r="V227" s="141" t="n">
        <x:f>IF(Q227&gt;1,"Inviavel",U227)</x:f>
        <x:v>5599133.2171188705</x:v>
      </x:c>
      <x:c r="W227" s="141" t="str">
        <x:f>IF(Q227&gt;1,"Inviavel","OK")</x:f>
        <x:v>OK</x:v>
      </x:c>
      <x:c r="X227" s="141" t="n">
        <x:f>IF($A227=Premissas!$B$48,Premissas!$B$8,0)</x:f>
        <x:v>0</x:v>
      </x:c>
      <x:c r="Y227" s="141" t="n">
        <x:f>IF(AND($A227&gt;=Premissas!$B$48,$A227-Premissas!$B$48+1&lt;=Premissas!$B$13),INDEX(Amortizacao!$K$6:$K$485,$A227-Premissas!$B$48+1),0)</x:f>
        <x:v>0</x:v>
      </x:c>
      <x:c r="Z227" s="141" t="n">
        <x:f>IF(AND(TRUE,Premissas!$B$11="Imovel",Premissas!$B$47="Moradia",$A227&lt;MAX(Premissas!$B$48,Premissas!$B$49)),$D227,0)</x:f>
        <x:v>0</x:v>
      </x:c>
      <x:c r="AA227" s="141" t="n">
        <x:f>IF(AND(TRUE,Premissas!$B$11="Imovel",Premissas!$B$47="Investimento",$A227&gt;=MAX(Premissas!$B$48,Premissas!$B$49)),$E227,0)</x:f>
        <x:v>1826.7770578642067</x:v>
      </x:c>
      <x:c r="AB227" s="141" t="n">
        <x:f>X227+Y227+Z227</x:f>
        <x:v>0</x:v>
      </x:c>
      <x:c r="AC227" s="141" t="n">
        <x:f>AA227</x:f>
        <x:v>1826.7770578642067</x:v>
      </x:c>
      <x:c r="AD227" s="141" t="n">
        <x:f>$C227+AC227-AB227</x:f>
        <x:v>8826.777057864207</x:v>
      </x:c>
      <x:c r="AE227" s="141" t="n">
        <x:f>AH226*(1+Premissas!$B$41)+AD227</x:f>
        <x:v>5096221.624709067</x:v>
      </x:c>
      <x:c r="AF227" s="141" t="n">
        <x:f>MAX(0,-AE227)</x:f>
        <x:v>0</x:v>
      </x:c>
      <x:c r="AG227" s="141" t="n">
        <x:f>AG226*(1+Premissas!$B$41)+AF227</x:f>
        <x:v>0</x:v>
      </x:c>
      <x:c r="AH227" s="141" t="n">
        <x:f>MAX(0,AE227)</x:f>
        <x:v>5096221.624709067</x:v>
      </x:c>
      <x:c r="AI227" s="141" t="n">
        <x:f>IF(AND($A227&gt;=Premissas!$B$48,$A227-Premissas!$B$48+1&lt;=Premissas!$B$13),INDEX(Amortizacao!$L$6:$L$485,$A227-Premissas!$B$48+1),0)</x:f>
        <x:v>0</x:v>
      </x:c>
      <x:c r="AJ227" s="141" t="n">
        <x:f>IF($A227&gt;=Premissas!$B$48,$F227,0)</x:f>
        <x:v>587744.4043065712</x:v>
      </x:c>
      <x:c r="AK227" s="141" t="n">
        <x:f>AH227+AJ227-AI227</x:f>
        <x:v>5683966.029015638</x:v>
      </x:c>
      <x:c r="AL227" s="141" t="n">
        <x:f>IF(AG227&gt;1,"Inviavel",AK227)</x:f>
        <x:v>5683966.029015638</x:v>
      </x:c>
      <x:c r="AM227" s="141" t="str">
        <x:f>IF(AG227&gt;1,"Inviavel","OK")</x:f>
        <x:v>OK</x:v>
      </x:c>
      <x:c r="AN227" s="141" t="n">
        <x:f>IF($A227=Premissas!$B$48,Premissas!$B$8,0)</x:f>
        <x:v>0</x:v>
      </x:c>
      <x:c r="AO227" s="141" t="n">
        <x:f>IF($A227&lt;=Premissas!$B$25,INDEX('Consorcio IQ'!$K$6:$K$485,$A227),0)</x:f>
        <x:v>1628.3030289343405</x:v>
      </x:c>
      <x:c r="AP227" s="141" t="n">
        <x:f>IF(AND(TRUE,Premissas!$B$11="Imovel",Premissas!$B$47="Moradia",$A227&lt;MAX(Premissas!$B$48,Premissas!$B$49)),$D227,0)</x:f>
        <x:v>0</x:v>
      </x:c>
      <x:c r="AQ227" s="141" t="n">
        <x:f>IF(AND(TRUE,Premissas!$B$11="Imovel",Premissas!$B$47="Investimento",$A227&gt;=MAX(Premissas!$B$48,Premissas!$B$49)),$E227,0)</x:f>
        <x:v>1826.7770578642067</x:v>
      </x:c>
      <x:c r="AR227" s="141" t="n">
        <x:f>AN227+AO227+AP227</x:f>
        <x:v>1628.3030289343405</x:v>
      </x:c>
      <x:c r="AS227" s="141" t="n">
        <x:f>AQ227</x:f>
        <x:v>1826.7770578642067</x:v>
      </x:c>
      <x:c r="AT227" s="141" t="n">
        <x:f>$C227+AS227-AR227</x:f>
        <x:v>7198.474028929866</x:v>
      </x:c>
      <x:c r="AU227" s="141" t="n">
        <x:f>AX226*(1+Premissas!$B$41)+AT227</x:f>
        <x:v>5075693.183031339</x:v>
      </x:c>
      <x:c r="AV227" s="141" t="n">
        <x:f>MAX(0,-AU227)</x:f>
        <x:v>0</x:v>
      </x:c>
      <x:c r="AW227" s="141" t="n">
        <x:f>AW226*(1+Premissas!$B$41)+AV227</x:f>
        <x:v>0</x:v>
      </x:c>
      <x:c r="AX227" s="141" t="n">
        <x:f>MAX(0,AU227)</x:f>
        <x:v>5075693.183031339</x:v>
      </x:c>
      <x:c r="AY227" s="141" t="n">
        <x:f>INDEX('Consorcio IQ'!$P$6:$P$485,$A227)</x:f>
        <x:v>26505.06734507953</x:v>
      </x:c>
      <x:c r="AZ227" s="141" t="n">
        <x:f>IF($A227&gt;=Premissas!$B$48,$F227,0)+IF($A227&lt;Premissas!$B$27,INDEX('Consorcio IQ'!$O$6:$O$485,$A227),0)</x:f>
        <x:v>587744.4043065712</x:v>
      </x:c>
      <x:c r="BA227" s="141" t="n">
        <x:f>AX227+AZ227-AY227</x:f>
        <x:v>5636932.51999283</x:v>
      </x:c>
      <x:c r="BB227" s="141" t="n">
        <x:f>IF(AW227&gt;1,"Inviavel",BA227)</x:f>
        <x:v>5636932.51999283</x:v>
      </x:c>
      <x:c r="BC227" s="141" t="str">
        <x:f>IF(AW227&gt;1,"Inviavel","OK")</x:f>
        <x:v>OK</x:v>
      </x:c>
      <x:c r="BD227" s="141" t="n">
        <x:f>IF($A227='Consorcio Direto'!$B$29,'Consorcio Direto'!$B$44,0)</x:f>
        <x:v>0</x:v>
      </x:c>
      <x:c r="BE227" s="141" t="n">
        <x:f>IF($A227&lt;='Consorcio Direto'!$B$27,INDEX('Consorcio Direto'!$E$55:$E$534,$A227),0)</x:f>
        <x:v>4216.49193723835</x:v>
      </x:c>
      <x:c r="BF227" s="141" t="n">
        <x:f>IF(AND(TRUE,Premissas!$B$11="Imovel",Premissas!$B$47="Moradia",$A227&lt;MAX('Consorcio Direto'!$B$29,Premissas!$B$49)),$D227,0)</x:f>
        <x:v>0</x:v>
      </x:c>
      <x:c r="BG227" s="141" t="n">
        <x:f>IF(AND(TRUE,Premissas!$B$11="Imovel",Premissas!$B$47="Investimento",$A227&gt;=MAX('Consorcio Direto'!$B$29,Premissas!$B$49)),$E227,0)</x:f>
        <x:v>1826.7770578642067</x:v>
      </x:c>
      <x:c r="BH227" s="141" t="n">
        <x:f>BD227+BE227+BF227</x:f>
        <x:v>4216.49193723835</x:v>
      </x:c>
      <x:c r="BI227" s="141" t="n">
        <x:f>BG227</x:f>
        <x:v>1826.7770578642067</x:v>
      </x:c>
      <x:c r="BJ227" s="141" t="n">
        <x:f>$C227+BI227-BH227</x:f>
        <x:v>4610.2851206258565</x:v>
      </x:c>
      <x:c r="BK227" s="141" t="n">
        <x:f>BN226*(1+Premissas!$B$41)+BJ227</x:f>
        <x:v>4863635.611637379</x:v>
      </x:c>
      <x:c r="BL227" s="141" t="n">
        <x:f>MAX(0,-BK227)</x:f>
        <x:v>0</x:v>
      </x:c>
      <x:c r="BM227" s="141" t="n">
        <x:f>BM226*(1+Premissas!$B$41)+BL227</x:f>
        <x:v>0</x:v>
      </x:c>
      <x:c r="BN227" s="141" t="n">
        <x:f>MAX(0,BK227)</x:f>
        <x:v>4863635.611637379</x:v>
      </x:c>
      <x:c r="BO227" s="141" t="n">
        <x:f>INDEX('Consorcio Direto'!$K$55:$K$534,$A227)</x:f>
        <x:v>68634.89213652618</x:v>
      </x:c>
      <x:c r="BP227" s="141" t="n">
        <x:f>IF($A227&lt;'Consorcio Direto'!$B$29,INDEX('Consorcio Direto'!$L$55:$L$534,$A227),$F227)</x:f>
        <x:v>587744.4043065712</x:v>
      </x:c>
      <x:c r="BQ227" s="141" t="n">
        <x:f>BN227+BP227-BO227</x:f>
        <x:v>5382745.123807424</x:v>
      </x:c>
      <x:c r="BR227" s="141" t="n">
        <x:f>IF(BM227&gt;1,"Inviavel",BQ227)</x:f>
        <x:v>5382745.123807424</x:v>
      </x:c>
      <x:c r="BS227" s="141" t="str">
        <x:f>IF(BM227&gt;1,"Inviavel","OK")</x:f>
        <x:v>OK</x:v>
      </x:c>
      <x:c r="BT227" s="141" t="n">
        <x:f>IF(AND('Carta Contemplada'!$B$22="Sim",$A227='Carta Contemplada'!$B$23),'Carta Contemplada'!$B$37,0)</x:f>
        <x:v>0</x:v>
      </x:c>
      <x:c r="BU227" s="141" t="n">
        <x:f>IF('Carta Contemplada'!$B$22="Sim",INDEX('Carta Contemplada'!$C$55:$C$1013,$A227),0)</x:f>
        <x:v>0</x:v>
      </x:c>
      <x:c r="BV227" s="141" t="n">
        <x:f>IF(AND('Carta Contemplada'!$B$22="Sim",Premissas!$B$11="Imovel",Premissas!$B$47="Moradia",$A227&lt;MAX('Carta Contemplada'!$B$44,Premissas!$B$49)),$D227,0)</x:f>
        <x:v>0</x:v>
      </x:c>
      <x:c r="BW227" s="141" t="n">
        <x:f>IF(AND('Carta Contemplada'!$B$22="Sim",Premissas!$B$11="Imovel",Premissas!$B$47="Investimento",$A227&gt;=MAX('Carta Contemplada'!$B$44,Premissas!$B$49)),$E227,0)</x:f>
        <x:v>1826.7770578642067</x:v>
      </x:c>
      <x:c r="BX227" s="141" t="n">
        <x:f>BT227+BU227+BV227</x:f>
        <x:v>0</x:v>
      </x:c>
      <x:c r="BY227" s="141" t="n">
        <x:f>BW227</x:f>
        <x:v>1826.7770578642067</x:v>
      </x:c>
      <x:c r="BZ227" s="141" t="n">
        <x:f>$C227+BY227-BX227</x:f>
        <x:v>8826.777057864207</x:v>
      </x:c>
      <x:c r="CA227" s="141" t="n">
        <x:f>CD226*(1+Premissas!$B$41)+BZ227</x:f>
        <x:v>5214831.295300264</x:v>
      </x:c>
      <x:c r="CB227" s="141" t="n">
        <x:f>MAX(0,-CA227)</x:f>
        <x:v>0</x:v>
      </x:c>
      <x:c r="CC227" s="141" t="n">
        <x:f>CC226*(1+Premissas!$B$41)+CB227</x:f>
        <x:v>0</x:v>
      </x:c>
      <x:c r="CD227" s="141" t="n">
        <x:f>MAX(0,CA227)</x:f>
        <x:v>5214831.295300264</x:v>
      </x:c>
      <x:c r="CE227" s="141" t="n">
        <x:f>IF(AND('Carta Contemplada'!$B$22="Sim",$A227&gt;='Carta Contemplada'!$B$23),INDEX('Carta Contemplada'!$I$55:$I$1013,$A227),0)</x:f>
        <x:v>0</x:v>
      </x:c>
      <x:c r="CF227" s="141" t="n">
        <x:f>IF(AND('Carta Contemplada'!$B$22="Sim",$A227&gt;='Carta Contemplada'!$B$44),$F227,0)</x:f>
        <x:v>587744.4043065712</x:v>
      </x:c>
      <x:c r="CG227" s="141" t="n">
        <x:f>CD227+CF227-CE227</x:f>
        <x:v>5802575.699606835</x:v>
      </x:c>
      <x:c r="CH227" s="141" t="n">
        <x:f>IF(CC227&gt;1,"Inviavel",CG227)</x:f>
        <x:v>5802575.699606835</x:v>
      </x:c>
      <x:c r="CI227" s="145" t="str">
        <x:f>IF(CC227&gt;1,"Inviavel","OK")</x:f>
        <x:v>OK</x:v>
      </x:c>
    </x:row>
    <x:row r="228">
      <x:c r="A228" s="142" t="n">
        <x:v>224</x:v>
      </x:c>
      <x:c r="B228" s="179" t="n">
        <x:f>EDATE(Premissas!$B$4,A228-1)</x:f>
        <x:v>53328</x:v>
      </x:c>
      <x:c r="C228" s="141" t="n">
        <x:f>IF(A228&lt;=Premissas!$B$39,Premissas!$B$42,0)</x:f>
        <x:v>7000</x:v>
      </x:c>
      <x:c r="D228" s="141" t="n">
        <x:f>Premissas!$B$54*(1+Premissas!$B$57)^INT((A228-1)/12)</x:f>
        <x:v>1998.037407038976</x:v>
      </x:c>
      <x:c r="E228" s="141" t="n">
        <x:f>Premissas!$B$64*(1+Premissas!$B$57)^INT((A228-1)/12)</x:f>
        <x:v>1826.7770578642067</x:v>
      </x:c>
      <x:c r="F228" s="141" t="n">
        <x:f>MAX(0,Premissas!$B$6*(1+Premissas!$B$66)^((A228-1)/12))</x:f>
        <x:v>590605.2799140308</x:v>
      </x:c>
      <x:c r="G228" s="141" t="n">
        <x:f>G227*(1+Premissas!$B$41)+C228</x:f>
        <x:v>6119881.7109059915</x:v>
      </x:c>
      <x:c r="H228" s="141" t="n">
        <x:f>IF($A228=Premissas!$B$48,Premissas!$B$8,0)</x:f>
        <x:v>0</x:v>
      </x:c>
      <x:c r="I228" s="141" t="n">
        <x:f>IF(AND($A228&gt;=Premissas!$B$48,$A228-Premissas!$B$48+1&lt;=Premissas!$B$13),INDEX(Financiamento!$J$6:$J$485,$A228-Premissas!$B$48+1),0)</x:f>
        <x:v>1243.0636983287104</x:v>
      </x:c>
      <x:c r="J228" s="141" t="n">
        <x:f>IF(AND(TRUE,Premissas!$B$11="Imovel",Premissas!$B$47="Moradia",$A228&lt;MAX(Premissas!$B$48,Premissas!$B$49)),$D228,0)</x:f>
        <x:v>0</x:v>
      </x:c>
      <x:c r="K228" s="141" t="n">
        <x:f>IF(AND(TRUE,Premissas!$B$11="Imovel",Premissas!$B$47="Investimento",$A228&gt;=MAX(Premissas!$B$48,Premissas!$B$49)),$E228,0)</x:f>
        <x:v>1826.7770578642067</x:v>
      </x:c>
      <x:c r="L228" s="141" t="n">
        <x:f>H228+I228+J228</x:f>
        <x:v>1243.0636983287104</x:v>
      </x:c>
      <x:c r="M228" s="141" t="n">
        <x:f>K228</x:f>
        <x:v>1826.7770578642067</x:v>
      </x:c>
      <x:c r="N228" s="141" t="n">
        <x:f>$C228+M228-L228</x:f>
        <x:v>7583.713359535496</x:v>
      </x:c>
      <x:c r="O228" s="141" t="n">
        <x:f>R227*(1+Premissas!$B$41)+N228</x:f>
        <x:v>5142284.287296292</x:v>
      </x:c>
      <x:c r="P228" s="141" t="n">
        <x:f>MAX(0,-O228)</x:f>
        <x:v>0</x:v>
      </x:c>
      <x:c r="Q228" s="141" t="n">
        <x:f>Q227*(1+Premissas!$B$41)+P228</x:f>
        <x:v>0</x:v>
      </x:c>
      <x:c r="R228" s="141" t="n">
        <x:f>MAX(0,O228)</x:f>
        <x:v>5142284.287296292</x:v>
      </x:c>
      <x:c r="S228" s="141" t="n">
        <x:f>IF(AND($A228&gt;=Premissas!$B$48,$A228-Premissas!$B$48+1&lt;=Premissas!$B$13),INDEX(Financiamento!$M$6:$M$485,$A228-Premissas!$B$48+1),0)</x:f>
        <x:v>74666.66666666679</x:v>
      </x:c>
      <x:c r="T228" s="141" t="n">
        <x:f>IF($A228&gt;=Premissas!$B$48,$F228,0)</x:f>
        <x:v>590605.2799140308</x:v>
      </x:c>
      <x:c r="U228" s="141" t="n">
        <x:f>R228+T228-S228</x:f>
        <x:v>5658222.900543656</x:v>
      </x:c>
      <x:c r="V228" s="141" t="n">
        <x:f>IF(Q228&gt;1,"Inviavel",U228)</x:f>
        <x:v>5658222.900543656</x:v>
      </x:c>
      <x:c r="W228" s="141" t="str">
        <x:f>IF(Q228&gt;1,"Inviavel","OK")</x:f>
        <x:v>OK</x:v>
      </x:c>
      <x:c r="X228" s="141" t="n">
        <x:f>IF($A228=Premissas!$B$48,Premissas!$B$8,0)</x:f>
        <x:v>0</x:v>
      </x:c>
      <x:c r="Y228" s="141" t="n">
        <x:f>IF(AND($A228&gt;=Premissas!$B$48,$A228-Premissas!$B$48+1&lt;=Premissas!$B$13),INDEX(Amortizacao!$K$6:$K$485,$A228-Premissas!$B$48+1),0)</x:f>
        <x:v>0</x:v>
      </x:c>
      <x:c r="Z228" s="141" t="n">
        <x:f>IF(AND(TRUE,Premissas!$B$11="Imovel",Premissas!$B$47="Moradia",$A228&lt;MAX(Premissas!$B$48,Premissas!$B$49)),$D228,0)</x:f>
        <x:v>0</x:v>
      </x:c>
      <x:c r="AA228" s="141" t="n">
        <x:f>IF(AND(TRUE,Premissas!$B$11="Imovel",Premissas!$B$47="Investimento",$A228&gt;=MAX(Premissas!$B$48,Premissas!$B$49)),$E228,0)</x:f>
        <x:v>1826.7770578642067</x:v>
      </x:c>
      <x:c r="AB228" s="141" t="n">
        <x:f>X228+Y228+Z228</x:f>
        <x:v>0</x:v>
      </x:c>
      <x:c r="AC228" s="141" t="n">
        <x:f>AA228</x:f>
        <x:v>1826.7770578642067</x:v>
      </x:c>
      <x:c r="AD228" s="141" t="n">
        <x:f>$C228+AC228-AB228</x:f>
        <x:v>8826.777057864207</x:v>
      </x:c>
      <x:c r="AE228" s="141" t="n">
        <x:f>AH227*(1+Premissas!$B$41)+AD228</x:f>
        <x:v>5153405.39351254</x:v>
      </x:c>
      <x:c r="AF228" s="141" t="n">
        <x:f>MAX(0,-AE228)</x:f>
        <x:v>0</x:v>
      </x:c>
      <x:c r="AG228" s="141" t="n">
        <x:f>AG227*(1+Premissas!$B$41)+AF228</x:f>
        <x:v>0</x:v>
      </x:c>
      <x:c r="AH228" s="141" t="n">
        <x:f>MAX(0,AE228)</x:f>
        <x:v>5153405.39351254</x:v>
      </x:c>
      <x:c r="AI228" s="141" t="n">
        <x:f>IF(AND($A228&gt;=Premissas!$B$48,$A228-Premissas!$B$48+1&lt;=Premissas!$B$13),INDEX(Amortizacao!$L$6:$L$485,$A228-Premissas!$B$48+1),0)</x:f>
        <x:v>0</x:v>
      </x:c>
      <x:c r="AJ228" s="141" t="n">
        <x:f>IF($A228&gt;=Premissas!$B$48,$F228,0)</x:f>
        <x:v>590605.2799140308</x:v>
      </x:c>
      <x:c r="AK228" s="141" t="n">
        <x:f>AH228+AJ228-AI228</x:f>
        <x:v>5744010.67342657</x:v>
      </x:c>
      <x:c r="AL228" s="141" t="n">
        <x:f>IF(AG228&gt;1,"Inviavel",AK228)</x:f>
        <x:v>5744010.67342657</x:v>
      </x:c>
      <x:c r="AM228" s="141" t="str">
        <x:f>IF(AG228&gt;1,"Inviavel","OK")</x:f>
        <x:v>OK</x:v>
      </x:c>
      <x:c r="AN228" s="141" t="n">
        <x:f>IF($A228=Premissas!$B$48,Premissas!$B$8,0)</x:f>
        <x:v>0</x:v>
      </x:c>
      <x:c r="AO228" s="141" t="n">
        <x:f>IF($A228&lt;=Premissas!$B$25,INDEX('Consorcio IQ'!$K$6:$K$485,$A228),0)</x:f>
        <x:v>1628.3030289343405</x:v>
      </x:c>
      <x:c r="AP228" s="141" t="n">
        <x:f>IF(AND(TRUE,Premissas!$B$11="Imovel",Premissas!$B$47="Moradia",$A228&lt;MAX(Premissas!$B$48,Premissas!$B$49)),$D228,0)</x:f>
        <x:v>0</x:v>
      </x:c>
      <x:c r="AQ228" s="141" t="n">
        <x:f>IF(AND(TRUE,Premissas!$B$11="Imovel",Premissas!$B$47="Investimento",$A228&gt;=MAX(Premissas!$B$48,Premissas!$B$49)),$E228,0)</x:f>
        <x:v>1826.7770578642067</x:v>
      </x:c>
      <x:c r="AR228" s="141" t="n">
        <x:f>AN228+AO228+AP228</x:f>
        <x:v>1628.3030289343405</x:v>
      </x:c>
      <x:c r="AS228" s="141" t="n">
        <x:f>AQ228</x:f>
        <x:v>1826.7770578642067</x:v>
      </x:c>
      <x:c r="AT228" s="141" t="n">
        <x:f>$C228+AS228-AR228</x:f>
        <x:v>7198.474028929866</x:v>
      </x:c>
      <x:c r="AU228" s="141" t="n">
        <x:f>AX227*(1+Premissas!$B$41)+AT228</x:f>
        <x:v>5131053.858673529</x:v>
      </x:c>
      <x:c r="AV228" s="141" t="n">
        <x:f>MAX(0,-AU228)</x:f>
        <x:v>0</x:v>
      </x:c>
      <x:c r="AW228" s="141" t="n">
        <x:f>AW227*(1+Premissas!$B$41)+AV228</x:f>
        <x:v>0</x:v>
      </x:c>
      <x:c r="AX228" s="141" t="n">
        <x:f>MAX(0,AU228)</x:f>
        <x:v>5131053.858673529</x:v>
      </x:c>
      <x:c r="AY228" s="141" t="n">
        <x:f>INDEX('Consorcio IQ'!$P$6:$P$485,$A228)</x:f>
        <x:v>25128.26541189983</x:v>
      </x:c>
      <x:c r="AZ228" s="141" t="n">
        <x:f>IF($A228&gt;=Premissas!$B$48,$F228,0)+IF($A228&lt;Premissas!$B$27,INDEX('Consorcio IQ'!$O$6:$O$485,$A228),0)</x:f>
        <x:v>590605.2799140308</x:v>
      </x:c>
      <x:c r="BA228" s="141" t="n">
        <x:f>AX228+AZ228-AY228</x:f>
        <x:v>5696530.87317566</x:v>
      </x:c>
      <x:c r="BB228" s="141" t="n">
        <x:f>IF(AW228&gt;1,"Inviavel",BA228)</x:f>
        <x:v>5696530.87317566</x:v>
      </x:c>
      <x:c r="BC228" s="141" t="str">
        <x:f>IF(AW228&gt;1,"Inviavel","OK")</x:f>
        <x:v>OK</x:v>
      </x:c>
      <x:c r="BD228" s="141" t="n">
        <x:f>IF($A228='Consorcio Direto'!$B$29,'Consorcio Direto'!$B$44,0)</x:f>
        <x:v>0</x:v>
      </x:c>
      <x:c r="BE228" s="141" t="n">
        <x:f>IF($A228&lt;='Consorcio Direto'!$B$27,INDEX('Consorcio Direto'!$E$55:$E$534,$A228),0)</x:f>
        <x:v>4216.49193723835</x:v>
      </x:c>
      <x:c r="BF228" s="141" t="n">
        <x:f>IF(AND(TRUE,Premissas!$B$11="Imovel",Premissas!$B$47="Moradia",$A228&lt;MAX('Consorcio Direto'!$B$29,Premissas!$B$49)),$D228,0)</x:f>
        <x:v>0</x:v>
      </x:c>
      <x:c r="BG228" s="141" t="n">
        <x:f>IF(AND(TRUE,Premissas!$B$11="Imovel",Premissas!$B$47="Investimento",$A228&gt;=MAX('Consorcio Direto'!$B$29,Premissas!$B$49)),$E228,0)</x:f>
        <x:v>1826.7770578642067</x:v>
      </x:c>
      <x:c r="BH228" s="141" t="n">
        <x:f>BD228+BE228+BF228</x:f>
        <x:v>4216.49193723835</x:v>
      </x:c>
      <x:c r="BI228" s="141" t="n">
        <x:f>BG228</x:f>
        <x:v>1826.7770578642067</x:v>
      </x:c>
      <x:c r="BJ228" s="141" t="n">
        <x:f>$C228+BI228-BH228</x:f>
        <x:v>4610.2851206258565</x:v>
      </x:c>
      <x:c r="BK228" s="141" t="n">
        <x:f>BN227*(1+Premissas!$B$41)+BJ228</x:f>
        <x:v>4914395.927986097</x:v>
      </x:c>
      <x:c r="BL228" s="141" t="n">
        <x:f>MAX(0,-BK228)</x:f>
        <x:v>0</x:v>
      </x:c>
      <x:c r="BM228" s="141" t="n">
        <x:f>BM227*(1+Premissas!$B$41)+BL228</x:f>
        <x:v>0</x:v>
      </x:c>
      <x:c r="BN228" s="141" t="n">
        <x:f>MAX(0,BK228)</x:f>
        <x:v>4914395.927986097</x:v>
      </x:c>
      <x:c r="BO228" s="141" t="n">
        <x:f>INDEX('Consorcio Direto'!$K$55:$K$534,$A228)</x:f>
        <x:v>65069.66247885876</x:v>
      </x:c>
      <x:c r="BP228" s="141" t="n">
        <x:f>IF($A228&lt;'Consorcio Direto'!$B$29,INDEX('Consorcio Direto'!$L$55:$L$534,$A228),$F228)</x:f>
        <x:v>590605.2799140308</x:v>
      </x:c>
      <x:c r="BQ228" s="141" t="n">
        <x:f>BN228+BP228-BO228</x:f>
        <x:v>5439931.545421269</x:v>
      </x:c>
      <x:c r="BR228" s="141" t="n">
        <x:f>IF(BM228&gt;1,"Inviavel",BQ228)</x:f>
        <x:v>5439931.545421269</x:v>
      </x:c>
      <x:c r="BS228" s="141" t="str">
        <x:f>IF(BM228&gt;1,"Inviavel","OK")</x:f>
        <x:v>OK</x:v>
      </x:c>
      <x:c r="BT228" s="141" t="n">
        <x:f>IF(AND('Carta Contemplada'!$B$22="Sim",$A228='Carta Contemplada'!$B$23),'Carta Contemplada'!$B$37,0)</x:f>
        <x:v>0</x:v>
      </x:c>
      <x:c r="BU228" s="141" t="n">
        <x:f>IF('Carta Contemplada'!$B$22="Sim",INDEX('Carta Contemplada'!$C$55:$C$1013,$A228),0)</x:f>
        <x:v>0</x:v>
      </x:c>
      <x:c r="BV228" s="141" t="n">
        <x:f>IF(AND('Carta Contemplada'!$B$22="Sim",Premissas!$B$11="Imovel",Premissas!$B$47="Moradia",$A228&lt;MAX('Carta Contemplada'!$B$44,Premissas!$B$49)),$D228,0)</x:f>
        <x:v>0</x:v>
      </x:c>
      <x:c r="BW228" s="141" t="n">
        <x:f>IF(AND('Carta Contemplada'!$B$22="Sim",Premissas!$B$11="Imovel",Premissas!$B$47="Investimento",$A228&gt;=MAX('Carta Contemplada'!$B$44,Premissas!$B$49)),$E228,0)</x:f>
        <x:v>1826.7770578642067</x:v>
      </x:c>
      <x:c r="BX228" s="141" t="n">
        <x:f>BT228+BU228+BV228</x:f>
        <x:v>0</x:v>
      </x:c>
      <x:c r="BY228" s="141" t="n">
        <x:f>BW228</x:f>
        <x:v>1826.7770578642067</x:v>
      </x:c>
      <x:c r="BZ228" s="141" t="n">
        <x:f>$C228+BY228-BX228</x:f>
        <x:v>8826.777057864207</x:v>
      </x:c>
      <x:c r="CA228" s="141" t="n">
        <x:f>CD227*(1+Premissas!$B$41)+BZ228</x:f>
        <x:v>5273140.526708015</x:v>
      </x:c>
      <x:c r="CB228" s="141" t="n">
        <x:f>MAX(0,-CA228)</x:f>
        <x:v>0</x:v>
      </x:c>
      <x:c r="CC228" s="141" t="n">
        <x:f>CC227*(1+Premissas!$B$41)+CB228</x:f>
        <x:v>0</x:v>
      </x:c>
      <x:c r="CD228" s="141" t="n">
        <x:f>MAX(0,CA228)</x:f>
        <x:v>5273140.526708015</x:v>
      </x:c>
      <x:c r="CE228" s="141" t="n">
        <x:f>IF(AND('Carta Contemplada'!$B$22="Sim",$A228&gt;='Carta Contemplada'!$B$23),INDEX('Carta Contemplada'!$I$55:$I$1013,$A228),0)</x:f>
        <x:v>0</x:v>
      </x:c>
      <x:c r="CF228" s="141" t="n">
        <x:f>IF(AND('Carta Contemplada'!$B$22="Sim",$A228&gt;='Carta Contemplada'!$B$44),$F228,0)</x:f>
        <x:v>590605.2799140308</x:v>
      </x:c>
      <x:c r="CG228" s="141" t="n">
        <x:f>CD228+CF228-CE228</x:f>
        <x:v>5863745.806622046</x:v>
      </x:c>
      <x:c r="CH228" s="141" t="n">
        <x:f>IF(CC228&gt;1,"Inviavel",CG228)</x:f>
        <x:v>5863745.806622046</x:v>
      </x:c>
      <x:c r="CI228" s="145" t="str">
        <x:f>IF(CC228&gt;1,"Inviavel","OK")</x:f>
        <x:v>OK</x:v>
      </x:c>
    </x:row>
    <x:row r="229">
      <x:c r="A229" s="142" t="n">
        <x:v>225</x:v>
      </x:c>
      <x:c r="B229" s="179" t="n">
        <x:f>EDATE(Premissas!$B$4,A229-1)</x:f>
        <x:v>53359</x:v>
      </x:c>
      <x:c r="C229" s="141" t="n">
        <x:f>IF(A229&lt;=Premissas!$B$39,Premissas!$B$42,0)</x:f>
        <x:v>7000</x:v>
      </x:c>
      <x:c r="D229" s="141" t="n">
        <x:f>Premissas!$B$54*(1+Premissas!$B$57)^INT((A229-1)/12)</x:f>
        <x:v>1998.037407038976</x:v>
      </x:c>
      <x:c r="E229" s="141" t="n">
        <x:f>Premissas!$B$64*(1+Premissas!$B$57)^INT((A229-1)/12)</x:f>
        <x:v>1826.7770578642067</x:v>
      </x:c>
      <x:c r="F229" s="141" t="n">
        <x:f>MAX(0,Premissas!$B$6*(1+Premissas!$B$66)^((A229-1)/12))</x:f>
        <x:v>593480.080978171</x:v>
      </x:c>
      <x:c r="G229" s="141" t="n">
        <x:f>G228*(1+Premissas!$B$41)+C229</x:f>
        <x:v>6184952.00124492</x:v>
      </x:c>
      <x:c r="H229" s="141" t="n">
        <x:f>IF($A229=Premissas!$B$48,Premissas!$B$8,0)</x:f>
        <x:v>0</x:v>
      </x:c>
      <x:c r="I229" s="141" t="n">
        <x:f>IF(AND($A229&gt;=Premissas!$B$48,$A229-Premissas!$B$48+1&lt;=Premissas!$B$13),INDEX(Financiamento!$J$6:$J$485,$A229-Premissas!$B$48+1),0)</x:f>
        <x:v>1239.4489200679168</x:v>
      </x:c>
      <x:c r="J229" s="141" t="n">
        <x:f>IF(AND(TRUE,Premissas!$B$11="Imovel",Premissas!$B$47="Moradia",$A229&lt;MAX(Premissas!$B$48,Premissas!$B$49)),$D229,0)</x:f>
        <x:v>0</x:v>
      </x:c>
      <x:c r="K229" s="141" t="n">
        <x:f>IF(AND(TRUE,Premissas!$B$11="Imovel",Premissas!$B$47="Investimento",$A229&gt;=MAX(Premissas!$B$48,Premissas!$B$49)),$E229,0)</x:f>
        <x:v>1826.7770578642067</x:v>
      </x:c>
      <x:c r="L229" s="141" t="n">
        <x:f>H229+I229+J229</x:f>
        <x:v>1239.4489200679168</x:v>
      </x:c>
      <x:c r="M229" s="141" t="n">
        <x:f>K229</x:f>
        <x:v>1826.7770578642067</x:v>
      </x:c>
      <x:c r="N229" s="141" t="n">
        <x:f>$C229+M229-L229</x:f>
        <x:v>7587.32813779629</x:v>
      </x:c>
      <x:c r="O229" s="141" t="n">
        <x:f>R228*(1+Premissas!$B$41)+N229</x:f>
        <x:v>5198665.686247003</x:v>
      </x:c>
      <x:c r="P229" s="141" t="n">
        <x:f>MAX(0,-O229)</x:f>
        <x:v>0</x:v>
      </x:c>
      <x:c r="Q229" s="141" t="n">
        <x:f>Q228*(1+Premissas!$B$41)+P229</x:f>
        <x:v>0</x:v>
      </x:c>
      <x:c r="R229" s="141" t="n">
        <x:f>MAX(0,O229)</x:f>
        <x:v>5198665.686247003</x:v>
      </x:c>
      <x:c r="S229" s="141" t="n">
        <x:f>IF(AND($A229&gt;=Premissas!$B$48,$A229-Premissas!$B$48+1&lt;=Premissas!$B$13),INDEX(Financiamento!$M$6:$M$485,$A229-Premissas!$B$48+1),0)</x:f>
        <x:v>74285.7142857144</x:v>
      </x:c>
      <x:c r="T229" s="141" t="n">
        <x:f>IF($A229&gt;=Premissas!$B$48,$F229,0)</x:f>
        <x:v>593480.080978171</x:v>
      </x:c>
      <x:c r="U229" s="141" t="n">
        <x:f>R229+T229-S229</x:f>
        <x:v>5717860.05293946</x:v>
      </x:c>
      <x:c r="V229" s="141" t="n">
        <x:f>IF(Q229&gt;1,"Inviavel",U229)</x:f>
        <x:v>5717860.05293946</x:v>
      </x:c>
      <x:c r="W229" s="141" t="str">
        <x:f>IF(Q229&gt;1,"Inviavel","OK")</x:f>
        <x:v>OK</x:v>
      </x:c>
      <x:c r="X229" s="141" t="n">
        <x:f>IF($A229=Premissas!$B$48,Premissas!$B$8,0)</x:f>
        <x:v>0</x:v>
      </x:c>
      <x:c r="Y229" s="141" t="n">
        <x:f>IF(AND($A229&gt;=Premissas!$B$48,$A229-Premissas!$B$48+1&lt;=Premissas!$B$13),INDEX(Amortizacao!$K$6:$K$485,$A229-Premissas!$B$48+1),0)</x:f>
        <x:v>0</x:v>
      </x:c>
      <x:c r="Z229" s="141" t="n">
        <x:f>IF(AND(TRUE,Premissas!$B$11="Imovel",Premissas!$B$47="Moradia",$A229&lt;MAX(Premissas!$B$48,Premissas!$B$49)),$D229,0)</x:f>
        <x:v>0</x:v>
      </x:c>
      <x:c r="AA229" s="141" t="n">
        <x:f>IF(AND(TRUE,Premissas!$B$11="Imovel",Premissas!$B$47="Investimento",$A229&gt;=MAX(Premissas!$B$48,Premissas!$B$49)),$E229,0)</x:f>
        <x:v>1826.7770578642067</x:v>
      </x:c>
      <x:c r="AB229" s="141" t="n">
        <x:f>X229+Y229+Z229</x:f>
        <x:v>0</x:v>
      </x:c>
      <x:c r="AC229" s="141" t="n">
        <x:f>AA229</x:f>
        <x:v>1826.7770578642067</x:v>
      </x:c>
      <x:c r="AD229" s="141" t="n">
        <x:f>$C229+AC229-AB229</x:f>
        <x:v>8826.777057864207</x:v>
      </x:c>
      <x:c r="AE229" s="141" t="n">
        <x:f>AH228*(1+Premissas!$B$41)+AD229</x:f>
        <x:v>5211131.767257407</x:v>
      </x:c>
      <x:c r="AF229" s="141" t="n">
        <x:f>MAX(0,-AE229)</x:f>
        <x:v>0</x:v>
      </x:c>
      <x:c r="AG229" s="141" t="n">
        <x:f>AG228*(1+Premissas!$B$41)+AF229</x:f>
        <x:v>0</x:v>
      </x:c>
      <x:c r="AH229" s="141" t="n">
        <x:f>MAX(0,AE229)</x:f>
        <x:v>5211131.767257407</x:v>
      </x:c>
      <x:c r="AI229" s="141" t="n">
        <x:f>IF(AND($A229&gt;=Premissas!$B$48,$A229-Premissas!$B$48+1&lt;=Premissas!$B$13),INDEX(Amortizacao!$L$6:$L$485,$A229-Premissas!$B$48+1),0)</x:f>
        <x:v>0</x:v>
      </x:c>
      <x:c r="AJ229" s="141" t="n">
        <x:f>IF($A229&gt;=Premissas!$B$48,$F229,0)</x:f>
        <x:v>593480.080978171</x:v>
      </x:c>
      <x:c r="AK229" s="141" t="n">
        <x:f>AH229+AJ229-AI229</x:f>
        <x:v>5804611.848235578</x:v>
      </x:c>
      <x:c r="AL229" s="141" t="n">
        <x:f>IF(AG229&gt;1,"Inviavel",AK229)</x:f>
        <x:v>5804611.848235578</x:v>
      </x:c>
      <x:c r="AM229" s="141" t="str">
        <x:f>IF(AG229&gt;1,"Inviavel","OK")</x:f>
        <x:v>OK</x:v>
      </x:c>
      <x:c r="AN229" s="141" t="n">
        <x:f>IF($A229=Premissas!$B$48,Premissas!$B$8,0)</x:f>
        <x:v>0</x:v>
      </x:c>
      <x:c r="AO229" s="141" t="n">
        <x:f>IF($A229&lt;=Premissas!$B$25,INDEX('Consorcio IQ'!$K$6:$K$485,$A229),0)</x:f>
        <x:v>1628.3030289343405</x:v>
      </x:c>
      <x:c r="AP229" s="141" t="n">
        <x:f>IF(AND(TRUE,Premissas!$B$11="Imovel",Premissas!$B$47="Moradia",$A229&lt;MAX(Premissas!$B$48,Premissas!$B$49)),$D229,0)</x:f>
        <x:v>0</x:v>
      </x:c>
      <x:c r="AQ229" s="141" t="n">
        <x:f>IF(AND(TRUE,Premissas!$B$11="Imovel",Premissas!$B$47="Investimento",$A229&gt;=MAX(Premissas!$B$48,Premissas!$B$49)),$E229,0)</x:f>
        <x:v>1826.7770578642067</x:v>
      </x:c>
      <x:c r="AR229" s="141" t="n">
        <x:f>AN229+AO229+AP229</x:f>
        <x:v>1628.3030289343405</x:v>
      </x:c>
      <x:c r="AS229" s="141" t="n">
        <x:f>AQ229</x:f>
        <x:v>1826.7770578642067</x:v>
      </x:c>
      <x:c r="AT229" s="141" t="n">
        <x:f>$C229+AS229-AR229</x:f>
        <x:v>7198.474028929866</x:v>
      </x:c>
      <x:c r="AU229" s="141" t="n">
        <x:f>AX228*(1+Premissas!$B$41)+AT229</x:f>
        <x:v>5186939.840303605</x:v>
      </x:c>
      <x:c r="AV229" s="141" t="n">
        <x:f>MAX(0,-AU229)</x:f>
        <x:v>0</x:v>
      </x:c>
      <x:c r="AW229" s="141" t="n">
        <x:f>AW228*(1+Premissas!$B$41)+AV229</x:f>
        <x:v>0</x:v>
      </x:c>
      <x:c r="AX229" s="141" t="n">
        <x:f>MAX(0,AU229)</x:f>
        <x:v>5186939.840303605</x:v>
      </x:c>
      <x:c r="AY229" s="141" t="n">
        <x:f>INDEX('Consorcio IQ'!$P$6:$P$485,$A229)</x:f>
        <x:v>23738.39929026425</x:v>
      </x:c>
      <x:c r="AZ229" s="141" t="n">
        <x:f>IF($A229&gt;=Premissas!$B$48,$F229,0)+IF($A229&lt;Premissas!$B$27,INDEX('Consorcio IQ'!$O$6:$O$485,$A229),0)</x:f>
        <x:v>593480.080978171</x:v>
      </x:c>
      <x:c r="BA229" s="141" t="n">
        <x:f>AX229+AZ229-AY229</x:f>
        <x:v>5756681.521991512</x:v>
      </x:c>
      <x:c r="BB229" s="141" t="n">
        <x:f>IF(AW229&gt;1,"Inviavel",BA229)</x:f>
        <x:v>5756681.521991512</x:v>
      </x:c>
      <x:c r="BC229" s="141" t="str">
        <x:f>IF(AW229&gt;1,"Inviavel","OK")</x:f>
        <x:v>OK</x:v>
      </x:c>
      <x:c r="BD229" s="141" t="n">
        <x:f>IF($A229='Consorcio Direto'!$B$29,'Consorcio Direto'!$B$44,0)</x:f>
        <x:v>0</x:v>
      </x:c>
      <x:c r="BE229" s="141" t="n">
        <x:f>IF($A229&lt;='Consorcio Direto'!$B$27,INDEX('Consorcio Direto'!$E$55:$E$534,$A229),0)</x:f>
        <x:v>4216.49193723835</x:v>
      </x:c>
      <x:c r="BF229" s="141" t="n">
        <x:f>IF(AND(TRUE,Premissas!$B$11="Imovel",Premissas!$B$47="Moradia",$A229&lt;MAX('Consorcio Direto'!$B$29,Premissas!$B$49)),$D229,0)</x:f>
        <x:v>0</x:v>
      </x:c>
      <x:c r="BG229" s="141" t="n">
        <x:f>IF(AND(TRUE,Premissas!$B$11="Imovel",Premissas!$B$47="Investimento",$A229&gt;=MAX('Consorcio Direto'!$B$29,Premissas!$B$49)),$E229,0)</x:f>
        <x:v>1826.7770578642067</x:v>
      </x:c>
      <x:c r="BH229" s="141" t="n">
        <x:f>BD229+BE229+BF229</x:f>
        <x:v>4216.49193723835</x:v>
      </x:c>
      <x:c r="BI229" s="141" t="n">
        <x:f>BG229</x:f>
        <x:v>1826.7770578642067</x:v>
      </x:c>
      <x:c r="BJ229" s="141" t="n">
        <x:f>$C229+BI229-BH229</x:f>
        <x:v>4610.2851206258565</x:v>
      </x:c>
      <x:c r="BK229" s="141" t="n">
        <x:f>BN228*(1+Premissas!$B$41)+BJ229</x:f>
        <x:v>4965637.898465941</x:v>
      </x:c>
      <x:c r="BL229" s="141" t="n">
        <x:f>MAX(0,-BK229)</x:f>
        <x:v>0</x:v>
      </x:c>
      <x:c r="BM229" s="141" t="n">
        <x:f>BM228*(1+Premissas!$B$41)+BL229</x:f>
        <x:v>0</x:v>
      </x:c>
      <x:c r="BN229" s="141" t="n">
        <x:f>MAX(0,BK229)</x:f>
        <x:v>4965637.898465941</x:v>
      </x:c>
      <x:c r="BO229" s="141" t="n">
        <x:f>INDEX('Consorcio Direto'!$K$55:$K$534,$A229)</x:f>
        <x:v>61470.603095205515</x:v>
      </x:c>
      <x:c r="BP229" s="141" t="n">
        <x:f>IF($A229&lt;'Consorcio Direto'!$B$29,INDEX('Consorcio Direto'!$L$55:$L$534,$A229),$F229)</x:f>
        <x:v>593480.080978171</x:v>
      </x:c>
      <x:c r="BQ229" s="141" t="n">
        <x:f>BN229+BP229-BO229</x:f>
        <x:v>5497647.376348906</x:v>
      </x:c>
      <x:c r="BR229" s="141" t="n">
        <x:f>IF(BM229&gt;1,"Inviavel",BQ229)</x:f>
        <x:v>5497647.376348906</x:v>
      </x:c>
      <x:c r="BS229" s="141" t="str">
        <x:f>IF(BM229&gt;1,"Inviavel","OK")</x:f>
        <x:v>OK</x:v>
      </x:c>
      <x:c r="BT229" s="141" t="n">
        <x:f>IF(AND('Carta Contemplada'!$B$22="Sim",$A229='Carta Contemplada'!$B$23),'Carta Contemplada'!$B$37,0)</x:f>
        <x:v>0</x:v>
      </x:c>
      <x:c r="BU229" s="141" t="n">
        <x:f>IF('Carta Contemplada'!$B$22="Sim",INDEX('Carta Contemplada'!$C$55:$C$1013,$A229),0)</x:f>
        <x:v>0</x:v>
      </x:c>
      <x:c r="BV229" s="141" t="n">
        <x:f>IF(AND('Carta Contemplada'!$B$22="Sim",Premissas!$B$11="Imovel",Premissas!$B$47="Moradia",$A229&lt;MAX('Carta Contemplada'!$B$44,Premissas!$B$49)),$D229,0)</x:f>
        <x:v>0</x:v>
      </x:c>
      <x:c r="BW229" s="141" t="n">
        <x:f>IF(AND('Carta Contemplada'!$B$22="Sim",Premissas!$B$11="Imovel",Premissas!$B$47="Investimento",$A229&gt;=MAX('Carta Contemplada'!$B$44,Premissas!$B$49)),$E229,0)</x:f>
        <x:v>1826.7770578642067</x:v>
      </x:c>
      <x:c r="BX229" s="141" t="n">
        <x:f>BT229+BU229+BV229</x:f>
        <x:v>0</x:v>
      </x:c>
      <x:c r="BY229" s="141" t="n">
        <x:f>BW229</x:f>
        <x:v>1826.7770578642067</x:v>
      </x:c>
      <x:c r="BZ229" s="141" t="n">
        <x:f>$C229+BY229-BX229</x:f>
        <x:v>8826.777057864207</x:v>
      </x:c>
      <x:c r="CA229" s="141" t="n">
        <x:f>CD228*(1+Premissas!$B$41)+BZ229</x:f>
        <x:v>5332003.04233877</x:v>
      </x:c>
      <x:c r="CB229" s="141" t="n">
        <x:f>MAX(0,-CA229)</x:f>
        <x:v>0</x:v>
      </x:c>
      <x:c r="CC229" s="141" t="n">
        <x:f>CC228*(1+Premissas!$B$41)+CB229</x:f>
        <x:v>0</x:v>
      </x:c>
      <x:c r="CD229" s="141" t="n">
        <x:f>MAX(0,CA229)</x:f>
        <x:v>5332003.04233877</x:v>
      </x:c>
      <x:c r="CE229" s="141" t="n">
        <x:f>IF(AND('Carta Contemplada'!$B$22="Sim",$A229&gt;='Carta Contemplada'!$B$23),INDEX('Carta Contemplada'!$I$55:$I$1013,$A229),0)</x:f>
        <x:v>0</x:v>
      </x:c>
      <x:c r="CF229" s="141" t="n">
        <x:f>IF(AND('Carta Contemplada'!$B$22="Sim",$A229&gt;='Carta Contemplada'!$B$44),$F229,0)</x:f>
        <x:v>593480.080978171</x:v>
      </x:c>
      <x:c r="CG229" s="141" t="n">
        <x:f>CD229+CF229-CE229</x:f>
        <x:v>5925483.123316941</x:v>
      </x:c>
      <x:c r="CH229" s="141" t="n">
        <x:f>IF(CC229&gt;1,"Inviavel",CG229)</x:f>
        <x:v>5925483.123316941</x:v>
      </x:c>
      <x:c r="CI229" s="145" t="str">
        <x:f>IF(CC229&gt;1,"Inviavel","OK")</x:f>
        <x:v>OK</x:v>
      </x:c>
    </x:row>
    <x:row r="230">
      <x:c r="A230" s="142" t="n">
        <x:v>226</x:v>
      </x:c>
      <x:c r="B230" s="179" t="n">
        <x:f>EDATE(Premissas!$B$4,A230-1)</x:f>
        <x:v>53387</x:v>
      </x:c>
      <x:c r="C230" s="141" t="n">
        <x:f>IF(A230&lt;=Premissas!$B$39,Premissas!$B$42,0)</x:f>
        <x:v>7000</x:v>
      </x:c>
      <x:c r="D230" s="141" t="n">
        <x:f>Premissas!$B$54*(1+Premissas!$B$57)^INT((A230-1)/12)</x:f>
        <x:v>1998.037407038976</x:v>
      </x:c>
      <x:c r="E230" s="141" t="n">
        <x:f>Premissas!$B$64*(1+Premissas!$B$57)^INT((A230-1)/12)</x:f>
        <x:v>1826.7770578642067</x:v>
      </x:c>
      <x:c r="F230" s="141" t="n">
        <x:f>MAX(0,Premissas!$B$6*(1+Premissas!$B$66)^((A230-1)/12))</x:f>
        <x:v>596368.8752818562</x:v>
      </x:c>
      <x:c r="G230" s="141" t="n">
        <x:f>G229*(1+Premissas!$B$41)+C230</x:f>
        <x:v>6250639.730095068</x:v>
      </x:c>
      <x:c r="H230" s="141" t="n">
        <x:f>IF($A230=Premissas!$B$48,Premissas!$B$8,0)</x:f>
        <x:v>0</x:v>
      </x:c>
      <x:c r="I230" s="141" t="n">
        <x:f>IF(AND($A230&gt;=Premissas!$B$48,$A230-Premissas!$B$48+1&lt;=Premissas!$B$13),INDEX(Financiamento!$J$6:$J$485,$A230-Premissas!$B$48+1),0)</x:f>
        <x:v>1235.8341418071232</x:v>
      </x:c>
      <x:c r="J230" s="141" t="n">
        <x:f>IF(AND(TRUE,Premissas!$B$11="Imovel",Premissas!$B$47="Moradia",$A230&lt;MAX(Premissas!$B$48,Premissas!$B$49)),$D230,0)</x:f>
        <x:v>0</x:v>
      </x:c>
      <x:c r="K230" s="141" t="n">
        <x:f>IF(AND(TRUE,Premissas!$B$11="Imovel",Premissas!$B$47="Investimento",$A230&gt;=MAX(Premissas!$B$48,Premissas!$B$49)),$E230,0)</x:f>
        <x:v>1826.7770578642067</x:v>
      </x:c>
      <x:c r="L230" s="141" t="n">
        <x:f>H230+I230+J230</x:f>
        <x:v>1235.8341418071232</x:v>
      </x:c>
      <x:c r="M230" s="141" t="n">
        <x:f>K230</x:f>
        <x:v>1826.7770578642067</x:v>
      </x:c>
      <x:c r="N230" s="141" t="n">
        <x:f>$C230+M230-L230</x:f>
        <x:v>7590.9429160570835</x:v>
      </x:c>
      <x:c r="O230" s="141" t="n">
        <x:f>R229*(1+Premissas!$B$41)+N230</x:f>
        <x:v>5255585.69139598</x:v>
      </x:c>
      <x:c r="P230" s="141" t="n">
        <x:f>MAX(0,-O230)</x:f>
        <x:v>0</x:v>
      </x:c>
      <x:c r="Q230" s="141" t="n">
        <x:f>Q229*(1+Premissas!$B$41)+P230</x:f>
        <x:v>0</x:v>
      </x:c>
      <x:c r="R230" s="141" t="n">
        <x:f>MAX(0,O230)</x:f>
        <x:v>5255585.69139598</x:v>
      </x:c>
      <x:c r="S230" s="141" t="n">
        <x:f>IF(AND($A230&gt;=Premissas!$B$48,$A230-Premissas!$B$48+1&lt;=Premissas!$B$13),INDEX(Financiamento!$M$6:$M$485,$A230-Premissas!$B$48+1),0)</x:f>
        <x:v>73904.76190476202</x:v>
      </x:c>
      <x:c r="T230" s="141" t="n">
        <x:f>IF($A230&gt;=Premissas!$B$48,$F230,0)</x:f>
        <x:v>596368.8752818562</x:v>
      </x:c>
      <x:c r="U230" s="141" t="n">
        <x:f>R230+T230-S230</x:f>
        <x:v>5778049.804773075</x:v>
      </x:c>
      <x:c r="V230" s="141" t="n">
        <x:f>IF(Q230&gt;1,"Inviavel",U230)</x:f>
        <x:v>5778049.804773075</x:v>
      </x:c>
      <x:c r="W230" s="141" t="str">
        <x:f>IF(Q230&gt;1,"Inviavel","OK")</x:f>
        <x:v>OK</x:v>
      </x:c>
      <x:c r="X230" s="141" t="n">
        <x:f>IF($A230=Premissas!$B$48,Premissas!$B$8,0)</x:f>
        <x:v>0</x:v>
      </x:c>
      <x:c r="Y230" s="141" t="n">
        <x:f>IF(AND($A230&gt;=Premissas!$B$48,$A230-Premissas!$B$48+1&lt;=Premissas!$B$13),INDEX(Amortizacao!$K$6:$K$485,$A230-Premissas!$B$48+1),0)</x:f>
        <x:v>0</x:v>
      </x:c>
      <x:c r="Z230" s="141" t="n">
        <x:f>IF(AND(TRUE,Premissas!$B$11="Imovel",Premissas!$B$47="Moradia",$A230&lt;MAX(Premissas!$B$48,Premissas!$B$49)),$D230,0)</x:f>
        <x:v>0</x:v>
      </x:c>
      <x:c r="AA230" s="141" t="n">
        <x:f>IF(AND(TRUE,Premissas!$B$11="Imovel",Premissas!$B$47="Investimento",$A230&gt;=MAX(Premissas!$B$48,Premissas!$B$49)),$E230,0)</x:f>
        <x:v>1826.7770578642067</x:v>
      </x:c>
      <x:c r="AB230" s="141" t="n">
        <x:f>X230+Y230+Z230</x:f>
        <x:v>0</x:v>
      </x:c>
      <x:c r="AC230" s="141" t="n">
        <x:f>AA230</x:f>
        <x:v>1826.7770578642067</x:v>
      </x:c>
      <x:c r="AD230" s="141" t="n">
        <x:f>$C230+AC230-AB230</x:f>
        <x:v>8826.777057864207</x:v>
      </x:c>
      <x:c r="AE230" s="141" t="n">
        <x:f>AH229*(1+Premissas!$B$41)+AD230</x:f>
        <x:v>5269405.894609604</x:v>
      </x:c>
      <x:c r="AF230" s="141" t="n">
        <x:f>MAX(0,-AE230)</x:f>
        <x:v>0</x:v>
      </x:c>
      <x:c r="AG230" s="141" t="n">
        <x:f>AG229*(1+Premissas!$B$41)+AF230</x:f>
        <x:v>0</x:v>
      </x:c>
      <x:c r="AH230" s="141" t="n">
        <x:f>MAX(0,AE230)</x:f>
        <x:v>5269405.894609604</x:v>
      </x:c>
      <x:c r="AI230" s="141" t="n">
        <x:f>IF(AND($A230&gt;=Premissas!$B$48,$A230-Premissas!$B$48+1&lt;=Premissas!$B$13),INDEX(Amortizacao!$L$6:$L$485,$A230-Premissas!$B$48+1),0)</x:f>
        <x:v>0</x:v>
      </x:c>
      <x:c r="AJ230" s="141" t="n">
        <x:f>IF($A230&gt;=Premissas!$B$48,$F230,0)</x:f>
        <x:v>596368.8752818562</x:v>
      </x:c>
      <x:c r="AK230" s="141" t="n">
        <x:f>AH230+AJ230-AI230</x:f>
        <x:v>5865774.76989146</x:v>
      </x:c>
      <x:c r="AL230" s="141" t="n">
        <x:f>IF(AG230&gt;1,"Inviavel",AK230)</x:f>
        <x:v>5865774.76989146</x:v>
      </x:c>
      <x:c r="AM230" s="141" t="str">
        <x:f>IF(AG230&gt;1,"Inviavel","OK")</x:f>
        <x:v>OK</x:v>
      </x:c>
      <x:c r="AN230" s="141" t="n">
        <x:f>IF($A230=Premissas!$B$48,Premissas!$B$8,0)</x:f>
        <x:v>0</x:v>
      </x:c>
      <x:c r="AO230" s="141" t="n">
        <x:f>IF($A230&lt;=Premissas!$B$25,INDEX('Consorcio IQ'!$K$6:$K$485,$A230),0)</x:f>
        <x:v>1628.3030289343405</x:v>
      </x:c>
      <x:c r="AP230" s="141" t="n">
        <x:f>IF(AND(TRUE,Premissas!$B$11="Imovel",Premissas!$B$47="Moradia",$A230&lt;MAX(Premissas!$B$48,Premissas!$B$49)),$D230,0)</x:f>
        <x:v>0</x:v>
      </x:c>
      <x:c r="AQ230" s="141" t="n">
        <x:f>IF(AND(TRUE,Premissas!$B$11="Imovel",Premissas!$B$47="Investimento",$A230&gt;=MAX(Premissas!$B$48,Premissas!$B$49)),$E230,0)</x:f>
        <x:v>1826.7770578642067</x:v>
      </x:c>
      <x:c r="AR230" s="141" t="n">
        <x:f>AN230+AO230+AP230</x:f>
        <x:v>1628.3030289343405</x:v>
      </x:c>
      <x:c r="AS230" s="141" t="n">
        <x:f>AQ230</x:f>
        <x:v>1826.7770578642067</x:v>
      </x:c>
      <x:c r="AT230" s="141" t="n">
        <x:f>$C230+AS230-AR230</x:f>
        <x:v>7198.474028929866</x:v>
      </x:c>
      <x:c r="AU230" s="141" t="n">
        <x:f>AX229*(1+Premissas!$B$41)+AT230</x:f>
        <x:v>5243356.112441315</x:v>
      </x:c>
      <x:c r="AV230" s="141" t="n">
        <x:f>MAX(0,-AU230)</x:f>
        <x:v>0</x:v>
      </x:c>
      <x:c r="AW230" s="141" t="n">
        <x:f>AW229*(1+Premissas!$B$41)+AV230</x:f>
        <x:v>0</x:v>
      </x:c>
      <x:c r="AX230" s="141" t="n">
        <x:f>MAX(0,AU230)</x:f>
        <x:v>5243356.112441315</x:v>
      </x:c>
      <x:c r="AY230" s="141" t="n">
        <x:f>INDEX('Consorcio IQ'!$P$6:$P$485,$A230)</x:f>
        <x:v>22335.34501679368</x:v>
      </x:c>
      <x:c r="AZ230" s="141" t="n">
        <x:f>IF($A230&gt;=Premissas!$B$48,$F230,0)+IF($A230&lt;Premissas!$B$27,INDEX('Consorcio IQ'!$O$6:$O$485,$A230),0)</x:f>
        <x:v>596368.8752818562</x:v>
      </x:c>
      <x:c r="BA230" s="141" t="n">
        <x:f>AX230+AZ230-AY230</x:f>
        <x:v>5817389.642706378</x:v>
      </x:c>
      <x:c r="BB230" s="141" t="n">
        <x:f>IF(AW230&gt;1,"Inviavel",BA230)</x:f>
        <x:v>5817389.642706378</x:v>
      </x:c>
      <x:c r="BC230" s="141" t="str">
        <x:f>IF(AW230&gt;1,"Inviavel","OK")</x:f>
        <x:v>OK</x:v>
      </x:c>
      <x:c r="BD230" s="141" t="n">
        <x:f>IF($A230='Consorcio Direto'!$B$29,'Consorcio Direto'!$B$44,0)</x:f>
        <x:v>0</x:v>
      </x:c>
      <x:c r="BE230" s="141" t="n">
        <x:f>IF($A230&lt;='Consorcio Direto'!$B$27,INDEX('Consorcio Direto'!$E$55:$E$534,$A230),0)</x:f>
        <x:v>4216.49193723835</x:v>
      </x:c>
      <x:c r="BF230" s="141" t="n">
        <x:f>IF(AND(TRUE,Premissas!$B$11="Imovel",Premissas!$B$47="Moradia",$A230&lt;MAX('Consorcio Direto'!$B$29,Premissas!$B$49)),$D230,0)</x:f>
        <x:v>0</x:v>
      </x:c>
      <x:c r="BG230" s="141" t="n">
        <x:f>IF(AND(TRUE,Premissas!$B$11="Imovel",Premissas!$B$47="Investimento",$A230&gt;=MAX('Consorcio Direto'!$B$29,Premissas!$B$49)),$E230,0)</x:f>
        <x:v>1826.7770578642067</x:v>
      </x:c>
      <x:c r="BH230" s="141" t="n">
        <x:f>BD230+BE230+BF230</x:f>
        <x:v>4216.49193723835</x:v>
      </x:c>
      <x:c r="BI230" s="141" t="n">
        <x:f>BG230</x:f>
        <x:v>1826.7770578642067</x:v>
      </x:c>
      <x:c r="BJ230" s="141" t="n">
        <x:f>$C230+BI230-BH230</x:f>
        <x:v>4610.2851206258565</x:v>
      </x:c>
      <x:c r="BK230" s="141" t="n">
        <x:f>BN229*(1+Premissas!$B$41)+BJ230</x:f>
        <x:v>5017366.093393228</x:v>
      </x:c>
      <x:c r="BL230" s="141" t="n">
        <x:f>MAX(0,-BK230)</x:f>
        <x:v>0</x:v>
      </x:c>
      <x:c r="BM230" s="141" t="n">
        <x:f>BM229*(1+Premissas!$B$41)+BL230</x:f>
        <x:v>0</x:v>
      </x:c>
      <x:c r="BN230" s="141" t="n">
        <x:f>MAX(0,BK230)</x:f>
        <x:v>5017366.093393228</x:v>
      </x:c>
      <x:c r="BO230" s="141" t="n">
        <x:f>INDEX('Consorcio Direto'!$K$55:$K$534,$A230)</x:f>
        <x:v>57837.392982301506</x:v>
      </x:c>
      <x:c r="BP230" s="141" t="n">
        <x:f>IF($A230&lt;'Consorcio Direto'!$B$29,INDEX('Consorcio Direto'!$L$55:$L$534,$A230),$F230)</x:f>
        <x:v>596368.8752818562</x:v>
      </x:c>
      <x:c r="BQ230" s="141" t="n">
        <x:f>BN230+BP230-BO230</x:f>
        <x:v>5555897.575692783</x:v>
      </x:c>
      <x:c r="BR230" s="141" t="n">
        <x:f>IF(BM230&gt;1,"Inviavel",BQ230)</x:f>
        <x:v>5555897.575692783</x:v>
      </x:c>
      <x:c r="BS230" s="141" t="str">
        <x:f>IF(BM230&gt;1,"Inviavel","OK")</x:f>
        <x:v>OK</x:v>
      </x:c>
      <x:c r="BT230" s="141" t="n">
        <x:f>IF(AND('Carta Contemplada'!$B$22="Sim",$A230='Carta Contemplada'!$B$23),'Carta Contemplada'!$B$37,0)</x:f>
        <x:v>0</x:v>
      </x:c>
      <x:c r="BU230" s="141" t="n">
        <x:f>IF('Carta Contemplada'!$B$22="Sim",INDEX('Carta Contemplada'!$C$55:$C$1013,$A230),0)</x:f>
        <x:v>0</x:v>
      </x:c>
      <x:c r="BV230" s="141" t="n">
        <x:f>IF(AND('Carta Contemplada'!$B$22="Sim",Premissas!$B$11="Imovel",Premissas!$B$47="Moradia",$A230&lt;MAX('Carta Contemplada'!$B$44,Premissas!$B$49)),$D230,0)</x:f>
        <x:v>0</x:v>
      </x:c>
      <x:c r="BW230" s="141" t="n">
        <x:f>IF(AND('Carta Contemplada'!$B$22="Sim",Premissas!$B$11="Imovel",Premissas!$B$47="Investimento",$A230&gt;=MAX('Carta Contemplada'!$B$44,Premissas!$B$49)),$E230,0)</x:f>
        <x:v>1826.7770578642067</x:v>
      </x:c>
      <x:c r="BX230" s="141" t="n">
        <x:f>BT230+BU230+BV230</x:f>
        <x:v>0</x:v>
      </x:c>
      <x:c r="BY230" s="141" t="n">
        <x:f>BW230</x:f>
        <x:v>1826.7770578642067</x:v>
      </x:c>
      <x:c r="BZ230" s="141" t="n">
        <x:f>$C230+BY230-BX230</x:f>
        <x:v>8826.777057864207</x:v>
      </x:c>
      <x:c r="CA230" s="141" t="n">
        <x:f>CD229*(1+Premissas!$B$41)+BZ230</x:f>
        <x:v>5391424.092191953</x:v>
      </x:c>
      <x:c r="CB230" s="141" t="n">
        <x:f>MAX(0,-CA230)</x:f>
        <x:v>0</x:v>
      </x:c>
      <x:c r="CC230" s="141" t="n">
        <x:f>CC229*(1+Premissas!$B$41)+CB230</x:f>
        <x:v>0</x:v>
      </x:c>
      <x:c r="CD230" s="141" t="n">
        <x:f>MAX(0,CA230)</x:f>
        <x:v>5391424.092191953</x:v>
      </x:c>
      <x:c r="CE230" s="141" t="n">
        <x:f>IF(AND('Carta Contemplada'!$B$22="Sim",$A230&gt;='Carta Contemplada'!$B$23),INDEX('Carta Contemplada'!$I$55:$I$1013,$A230),0)</x:f>
        <x:v>0</x:v>
      </x:c>
      <x:c r="CF230" s="141" t="n">
        <x:f>IF(AND('Carta Contemplada'!$B$22="Sim",$A230&gt;='Carta Contemplada'!$B$44),$F230,0)</x:f>
        <x:v>596368.8752818562</x:v>
      </x:c>
      <x:c r="CG230" s="141" t="n">
        <x:f>CD230+CF230-CE230</x:f>
        <x:v>5987792.96747381</x:v>
      </x:c>
      <x:c r="CH230" s="141" t="n">
        <x:f>IF(CC230&gt;1,"Inviavel",CG230)</x:f>
        <x:v>5987792.96747381</x:v>
      </x:c>
      <x:c r="CI230" s="145" t="str">
        <x:f>IF(CC230&gt;1,"Inviavel","OK")</x:f>
        <x:v>OK</x:v>
      </x:c>
    </x:row>
    <x:row r="231">
      <x:c r="A231" s="142" t="n">
        <x:v>227</x:v>
      </x:c>
      <x:c r="B231" s="179" t="n">
        <x:f>EDATE(Premissas!$B$4,A231-1)</x:f>
        <x:v>53418</x:v>
      </x:c>
      <x:c r="C231" s="141" t="n">
        <x:f>IF(A231&lt;=Premissas!$B$39,Premissas!$B$42,0)</x:f>
        <x:v>7000</x:v>
      </x:c>
      <x:c r="D231" s="141" t="n">
        <x:f>Premissas!$B$54*(1+Premissas!$B$57)^INT((A231-1)/12)</x:f>
        <x:v>1998.037407038976</x:v>
      </x:c>
      <x:c r="E231" s="141" t="n">
        <x:f>Premissas!$B$64*(1+Premissas!$B$57)^INT((A231-1)/12)</x:f>
        <x:v>1826.7770578642067</x:v>
      </x:c>
      <x:c r="F231" s="141" t="n">
        <x:f>MAX(0,Premissas!$B$6*(1+Premissas!$B$66)^((A231-1)/12))</x:f>
        <x:v>599271.7309378872</x:v>
      </x:c>
      <x:c r="G231" s="141" t="n">
        <x:f>G230*(1+Premissas!$B$41)+C231</x:f>
        <x:v>6316950.756202619</x:v>
      </x:c>
      <x:c r="H231" s="141" t="n">
        <x:f>IF($A231=Premissas!$B$48,Premissas!$B$8,0)</x:f>
        <x:v>0</x:v>
      </x:c>
      <x:c r="I231" s="141" t="n">
        <x:f>IF(AND($A231&gt;=Premissas!$B$48,$A231-Premissas!$B$48+1&lt;=Premissas!$B$13),INDEX(Financiamento!$J$6:$J$485,$A231-Premissas!$B$48+1),0)</x:f>
        <x:v>1232.2193635463298</x:v>
      </x:c>
      <x:c r="J231" s="141" t="n">
        <x:f>IF(AND(TRUE,Premissas!$B$11="Imovel",Premissas!$B$47="Moradia",$A231&lt;MAX(Premissas!$B$48,Premissas!$B$49)),$D231,0)</x:f>
        <x:v>0</x:v>
      </x:c>
      <x:c r="K231" s="141" t="n">
        <x:f>IF(AND(TRUE,Premissas!$B$11="Imovel",Premissas!$B$47="Investimento",$A231&gt;=MAX(Premissas!$B$48,Premissas!$B$49)),$E231,0)</x:f>
        <x:v>1826.7770578642067</x:v>
      </x:c>
      <x:c r="L231" s="141" t="n">
        <x:f>H231+I231+J231</x:f>
        <x:v>1232.2193635463298</x:v>
      </x:c>
      <x:c r="M231" s="141" t="n">
        <x:f>K231</x:f>
        <x:v>1826.7770578642067</x:v>
      </x:c>
      <x:c r="N231" s="141" t="n">
        <x:f>$C231+M231-L231</x:f>
        <x:v>7594.557694317877</x:v>
      </x:c>
      <x:c r="O231" s="141" t="n">
        <x:f>R230*(1+Premissas!$B$41)+N231</x:f>
        <x:v>5313049.413465912</x:v>
      </x:c>
      <x:c r="P231" s="141" t="n">
        <x:f>MAX(0,-O231)</x:f>
        <x:v>0</x:v>
      </x:c>
      <x:c r="Q231" s="141" t="n">
        <x:f>Q230*(1+Premissas!$B$41)+P231</x:f>
        <x:v>0</x:v>
      </x:c>
      <x:c r="R231" s="141" t="n">
        <x:f>MAX(0,O231)</x:f>
        <x:v>5313049.413465912</x:v>
      </x:c>
      <x:c r="S231" s="141" t="n">
        <x:f>IF(AND($A231&gt;=Premissas!$B$48,$A231-Premissas!$B$48+1&lt;=Premissas!$B$13),INDEX(Financiamento!$M$6:$M$485,$A231-Premissas!$B$48+1),0)</x:f>
        <x:v>73523.80952380964</x:v>
      </x:c>
      <x:c r="T231" s="141" t="n">
        <x:f>IF($A231&gt;=Premissas!$B$48,$F231,0)</x:f>
        <x:v>599271.7309378872</x:v>
      </x:c>
      <x:c r="U231" s="141" t="n">
        <x:f>R231+T231-S231</x:f>
        <x:v>5838797.33487999</x:v>
      </x:c>
      <x:c r="V231" s="141" t="n">
        <x:f>IF(Q231&gt;1,"Inviavel",U231)</x:f>
        <x:v>5838797.33487999</x:v>
      </x:c>
      <x:c r="W231" s="141" t="str">
        <x:f>IF(Q231&gt;1,"Inviavel","OK")</x:f>
        <x:v>OK</x:v>
      </x:c>
      <x:c r="X231" s="141" t="n">
        <x:f>IF($A231=Premissas!$B$48,Premissas!$B$8,0)</x:f>
        <x:v>0</x:v>
      </x:c>
      <x:c r="Y231" s="141" t="n">
        <x:f>IF(AND($A231&gt;=Premissas!$B$48,$A231-Premissas!$B$48+1&lt;=Premissas!$B$13),INDEX(Amortizacao!$K$6:$K$485,$A231-Premissas!$B$48+1),0)</x:f>
        <x:v>0</x:v>
      </x:c>
      <x:c r="Z231" s="141" t="n">
        <x:f>IF(AND(TRUE,Premissas!$B$11="Imovel",Premissas!$B$47="Moradia",$A231&lt;MAX(Premissas!$B$48,Premissas!$B$49)),$D231,0)</x:f>
        <x:v>0</x:v>
      </x:c>
      <x:c r="AA231" s="141" t="n">
        <x:f>IF(AND(TRUE,Premissas!$B$11="Imovel",Premissas!$B$47="Investimento",$A231&gt;=MAX(Premissas!$B$48,Premissas!$B$49)),$E231,0)</x:f>
        <x:v>1826.7770578642067</x:v>
      </x:c>
      <x:c r="AB231" s="141" t="n">
        <x:f>X231+Y231+Z231</x:f>
        <x:v>0</x:v>
      </x:c>
      <x:c r="AC231" s="141" t="n">
        <x:f>AA231</x:f>
        <x:v>1826.7770578642067</x:v>
      </x:c>
      <x:c r="AD231" s="141" t="n">
        <x:f>$C231+AC231-AB231</x:f>
        <x:v>8826.777057864207</x:v>
      </x:c>
      <x:c r="AE231" s="141" t="n">
        <x:f>AH230*(1+Premissas!$B$41)+AD231</x:f>
        <x:v>5328232.973089689</x:v>
      </x:c>
      <x:c r="AF231" s="141" t="n">
        <x:f>MAX(0,-AE231)</x:f>
        <x:v>0</x:v>
      </x:c>
      <x:c r="AG231" s="141" t="n">
        <x:f>AG230*(1+Premissas!$B$41)+AF231</x:f>
        <x:v>0</x:v>
      </x:c>
      <x:c r="AH231" s="141" t="n">
        <x:f>MAX(0,AE231)</x:f>
        <x:v>5328232.973089689</x:v>
      </x:c>
      <x:c r="AI231" s="141" t="n">
        <x:f>IF(AND($A231&gt;=Premissas!$B$48,$A231-Premissas!$B$48+1&lt;=Premissas!$B$13),INDEX(Amortizacao!$L$6:$L$485,$A231-Premissas!$B$48+1),0)</x:f>
        <x:v>0</x:v>
      </x:c>
      <x:c r="AJ231" s="141" t="n">
        <x:f>IF($A231&gt;=Premissas!$B$48,$F231,0)</x:f>
        <x:v>599271.7309378872</x:v>
      </x:c>
      <x:c r="AK231" s="141" t="n">
        <x:f>AH231+AJ231-AI231</x:f>
        <x:v>5927504.704027576</x:v>
      </x:c>
      <x:c r="AL231" s="141" t="n">
        <x:f>IF(AG231&gt;1,"Inviavel",AK231)</x:f>
        <x:v>5927504.704027576</x:v>
      </x:c>
      <x:c r="AM231" s="141" t="str">
        <x:f>IF(AG231&gt;1,"Inviavel","OK")</x:f>
        <x:v>OK</x:v>
      </x:c>
      <x:c r="AN231" s="141" t="n">
        <x:f>IF($A231=Premissas!$B$48,Premissas!$B$8,0)</x:f>
        <x:v>0</x:v>
      </x:c>
      <x:c r="AO231" s="141" t="n">
        <x:f>IF($A231&lt;=Premissas!$B$25,INDEX('Consorcio IQ'!$K$6:$K$485,$A231),0)</x:f>
        <x:v>1628.3030289343405</x:v>
      </x:c>
      <x:c r="AP231" s="141" t="n">
        <x:f>IF(AND(TRUE,Premissas!$B$11="Imovel",Premissas!$B$47="Moradia",$A231&lt;MAX(Premissas!$B$48,Premissas!$B$49)),$D231,0)</x:f>
        <x:v>0</x:v>
      </x:c>
      <x:c r="AQ231" s="141" t="n">
        <x:f>IF(AND(TRUE,Premissas!$B$11="Imovel",Premissas!$B$47="Investimento",$A231&gt;=MAX(Premissas!$B$48,Premissas!$B$49)),$E231,0)</x:f>
        <x:v>1826.7770578642067</x:v>
      </x:c>
      <x:c r="AR231" s="141" t="n">
        <x:f>AN231+AO231+AP231</x:f>
        <x:v>1628.3030289343405</x:v>
      </x:c>
      <x:c r="AS231" s="141" t="n">
        <x:f>AQ231</x:f>
        <x:v>1826.7770578642067</x:v>
      </x:c>
      <x:c r="AT231" s="141" t="n">
        <x:f>$C231+AS231-AR231</x:f>
        <x:v>7198.474028929866</x:v>
      </x:c>
      <x:c r="AU231" s="141" t="n">
        <x:f>AX230*(1+Premissas!$B$41)+AT231</x:f>
        <x:v>5300307.706903481</x:v>
      </x:c>
      <x:c r="AV231" s="141" t="n">
        <x:f>MAX(0,-AU231)</x:f>
        <x:v>0</x:v>
      </x:c>
      <x:c r="AW231" s="141" t="n">
        <x:f>AW230*(1+Premissas!$B$41)+AV231</x:f>
        <x:v>0</x:v>
      </x:c>
      <x:c r="AX231" s="141" t="n">
        <x:f>MAX(0,AU231)</x:f>
        <x:v>5300307.706903481</x:v>
      </x:c>
      <x:c r="AY231" s="141" t="n">
        <x:f>INDEX('Consorcio IQ'!$P$6:$P$485,$A231)</x:f>
        <x:v>20918.977451846164</x:v>
      </x:c>
      <x:c r="AZ231" s="141" t="n">
        <x:f>IF($A231&gt;=Premissas!$B$48,$F231,0)+IF($A231&lt;Premissas!$B$27,INDEX('Consorcio IQ'!$O$6:$O$485,$A231),0)</x:f>
        <x:v>599271.7309378872</x:v>
      </x:c>
      <x:c r="BA231" s="141" t="n">
        <x:f>AX231+AZ231-AY231</x:f>
        <x:v>5878660.460389522</x:v>
      </x:c>
      <x:c r="BB231" s="141" t="n">
        <x:f>IF(AW231&gt;1,"Inviavel",BA231)</x:f>
        <x:v>5878660.460389522</x:v>
      </x:c>
      <x:c r="BC231" s="141" t="str">
        <x:f>IF(AW231&gt;1,"Inviavel","OK")</x:f>
        <x:v>OK</x:v>
      </x:c>
      <x:c r="BD231" s="141" t="n">
        <x:f>IF($A231='Consorcio Direto'!$B$29,'Consorcio Direto'!$B$44,0)</x:f>
        <x:v>0</x:v>
      </x:c>
      <x:c r="BE231" s="141" t="n">
        <x:f>IF($A231&lt;='Consorcio Direto'!$B$27,INDEX('Consorcio Direto'!$E$55:$E$534,$A231),0)</x:f>
        <x:v>4216.49193723835</x:v>
      </x:c>
      <x:c r="BF231" s="141" t="n">
        <x:f>IF(AND(TRUE,Premissas!$B$11="Imovel",Premissas!$B$47="Moradia",$A231&lt;MAX('Consorcio Direto'!$B$29,Premissas!$B$49)),$D231,0)</x:f>
        <x:v>0</x:v>
      </x:c>
      <x:c r="BG231" s="141" t="n">
        <x:f>IF(AND(TRUE,Premissas!$B$11="Imovel",Premissas!$B$47="Investimento",$A231&gt;=MAX('Consorcio Direto'!$B$29,Premissas!$B$49)),$E231,0)</x:f>
        <x:v>1826.7770578642067</x:v>
      </x:c>
      <x:c r="BH231" s="141" t="n">
        <x:f>BD231+BE231+BF231</x:f>
        <x:v>4216.49193723835</x:v>
      </x:c>
      <x:c r="BI231" s="141" t="n">
        <x:f>BG231</x:f>
        <x:v>1826.7770578642067</x:v>
      </x:c>
      <x:c r="BJ231" s="141" t="n">
        <x:f>$C231+BI231-BH231</x:f>
        <x:v>4610.2851206258565</x:v>
      </x:c>
      <x:c r="BK231" s="141" t="n">
        <x:f>BN230*(1+Premissas!$B$41)+BJ231</x:f>
        <x:v>5069585.12645106</x:v>
      </x:c>
      <x:c r="BL231" s="141" t="n">
        <x:f>MAX(0,-BK231)</x:f>
        <x:v>0</x:v>
      </x:c>
      <x:c r="BM231" s="141" t="n">
        <x:f>BM230*(1+Premissas!$B$41)+BL231</x:f>
        <x:v>0</x:v>
      </x:c>
      <x:c r="BN231" s="141" t="n">
        <x:f>MAX(0,BK231)</x:f>
        <x:v>5069585.12645106</x:v>
      </x:c>
      <x:c r="BO231" s="141" t="n">
        <x:f>INDEX('Consorcio Direto'!$K$55:$K$534,$A231)</x:f>
        <x:v>54169.70809094832</x:v>
      </x:c>
      <x:c r="BP231" s="141" t="n">
        <x:f>IF($A231&lt;'Consorcio Direto'!$B$29,INDEX('Consorcio Direto'!$L$55:$L$534,$A231),$F231)</x:f>
        <x:v>599271.7309378872</x:v>
      </x:c>
      <x:c r="BQ231" s="141" t="n">
        <x:f>BN231+BP231-BO231</x:f>
        <x:v>5614687.149297999</x:v>
      </x:c>
      <x:c r="BR231" s="141" t="n">
        <x:f>IF(BM231&gt;1,"Inviavel",BQ231)</x:f>
        <x:v>5614687.149297999</x:v>
      </x:c>
      <x:c r="BS231" s="141" t="str">
        <x:f>IF(BM231&gt;1,"Inviavel","OK")</x:f>
        <x:v>OK</x:v>
      </x:c>
      <x:c r="BT231" s="141" t="n">
        <x:f>IF(AND('Carta Contemplada'!$B$22="Sim",$A231='Carta Contemplada'!$B$23),'Carta Contemplada'!$B$37,0)</x:f>
        <x:v>0</x:v>
      </x:c>
      <x:c r="BU231" s="141" t="n">
        <x:f>IF('Carta Contemplada'!$B$22="Sim",INDEX('Carta Contemplada'!$C$55:$C$1013,$A231),0)</x:f>
        <x:v>0</x:v>
      </x:c>
      <x:c r="BV231" s="141" t="n">
        <x:f>IF(AND('Carta Contemplada'!$B$22="Sim",Premissas!$B$11="Imovel",Premissas!$B$47="Moradia",$A231&lt;MAX('Carta Contemplada'!$B$44,Premissas!$B$49)),$D231,0)</x:f>
        <x:v>0</x:v>
      </x:c>
      <x:c r="BW231" s="141" t="n">
        <x:f>IF(AND('Carta Contemplada'!$B$22="Sim",Premissas!$B$11="Imovel",Premissas!$B$47="Investimento",$A231&gt;=MAX('Carta Contemplada'!$B$44,Premissas!$B$49)),$E231,0)</x:f>
        <x:v>1826.7770578642067</x:v>
      </x:c>
      <x:c r="BX231" s="141" t="n">
        <x:f>BT231+BU231+BV231</x:f>
        <x:v>0</x:v>
      </x:c>
      <x:c r="BY231" s="141" t="n">
        <x:f>BW231</x:f>
        <x:v>1826.7770578642067</x:v>
      </x:c>
      <x:c r="BZ231" s="141" t="n">
        <x:f>$C231+BY231-BX231</x:f>
        <x:v>8826.777057864207</x:v>
      </x:c>
      <x:c r="CA231" s="141" t="n">
        <x:f>CD230*(1+Premissas!$B$41)+BZ231</x:f>
        <x:v>5451408.976083149</x:v>
      </x:c>
      <x:c r="CB231" s="141" t="n">
        <x:f>MAX(0,-CA231)</x:f>
        <x:v>0</x:v>
      </x:c>
      <x:c r="CC231" s="141" t="n">
        <x:f>CC230*(1+Premissas!$B$41)+CB231</x:f>
        <x:v>0</x:v>
      </x:c>
      <x:c r="CD231" s="141" t="n">
        <x:f>MAX(0,CA231)</x:f>
        <x:v>5451408.976083149</x:v>
      </x:c>
      <x:c r="CE231" s="141" t="n">
        <x:f>IF(AND('Carta Contemplada'!$B$22="Sim",$A231&gt;='Carta Contemplada'!$B$23),INDEX('Carta Contemplada'!$I$55:$I$1013,$A231),0)</x:f>
        <x:v>0</x:v>
      </x:c>
      <x:c r="CF231" s="141" t="n">
        <x:f>IF(AND('Carta Contemplada'!$B$22="Sim",$A231&gt;='Carta Contemplada'!$B$44),$F231,0)</x:f>
        <x:v>599271.7309378872</x:v>
      </x:c>
      <x:c r="CG231" s="141" t="n">
        <x:f>CD231+CF231-CE231</x:f>
        <x:v>6050680.707021036</x:v>
      </x:c>
      <x:c r="CH231" s="141" t="n">
        <x:f>IF(CC231&gt;1,"Inviavel",CG231)</x:f>
        <x:v>6050680.707021036</x:v>
      </x:c>
      <x:c r="CI231" s="145" t="str">
        <x:f>IF(CC231&gt;1,"Inviavel","OK")</x:f>
        <x:v>OK</x:v>
      </x:c>
    </x:row>
    <x:row r="232">
      <x:c r="A232" s="142" t="n">
        <x:v>228</x:v>
      </x:c>
      <x:c r="B232" s="179" t="n">
        <x:f>EDATE(Premissas!$B$4,A232-1)</x:f>
        <x:v>53448</x:v>
      </x:c>
      <x:c r="C232" s="141" t="n">
        <x:f>IF(A232&lt;=Premissas!$B$39,Premissas!$B$42,0)</x:f>
        <x:v>7000</x:v>
      </x:c>
      <x:c r="D232" s="141" t="n">
        <x:f>Premissas!$B$54*(1+Premissas!$B$57)^INT((A232-1)/12)</x:f>
        <x:v>1998.037407038976</x:v>
      </x:c>
      <x:c r="E232" s="141" t="n">
        <x:f>Premissas!$B$64*(1+Premissas!$B$57)^INT((A232-1)/12)</x:f>
        <x:v>1826.7770578642067</x:v>
      </x:c>
      <x:c r="F232" s="141" t="n">
        <x:f>MAX(0,Premissas!$B$6*(1+Premissas!$B$66)^((A232-1)/12))</x:f>
        <x:v>602188.7163906082</x:v>
      </x:c>
      <x:c r="G232" s="141" t="n">
        <x:f>G231*(1+Premissas!$B$41)+C232</x:f>
        <x:v>6383890.993906183</x:v>
      </x:c>
      <x:c r="H232" s="141" t="n">
        <x:f>IF($A232=Premissas!$B$48,Premissas!$B$8,0)</x:f>
        <x:v>0</x:v>
      </x:c>
      <x:c r="I232" s="141" t="n">
        <x:f>IF(AND($A232&gt;=Premissas!$B$48,$A232-Premissas!$B$48+1&lt;=Premissas!$B$13),INDEX(Financiamento!$J$6:$J$485,$A232-Premissas!$B$48+1),0)</x:f>
        <x:v>1228.6045852855361</x:v>
      </x:c>
      <x:c r="J232" s="141" t="n">
        <x:f>IF(AND(TRUE,Premissas!$B$11="Imovel",Premissas!$B$47="Moradia",$A232&lt;MAX(Premissas!$B$48,Premissas!$B$49)),$D232,0)</x:f>
        <x:v>0</x:v>
      </x:c>
      <x:c r="K232" s="141" t="n">
        <x:f>IF(AND(TRUE,Premissas!$B$11="Imovel",Premissas!$B$47="Investimento",$A232&gt;=MAX(Premissas!$B$48,Premissas!$B$49)),$E232,0)</x:f>
        <x:v>1826.7770578642067</x:v>
      </x:c>
      <x:c r="L232" s="141" t="n">
        <x:f>H232+I232+J232</x:f>
        <x:v>1228.6045852855361</x:v>
      </x:c>
      <x:c r="M232" s="141" t="n">
        <x:f>K232</x:f>
        <x:v>1826.7770578642067</x:v>
      </x:c>
      <x:c r="N232" s="141" t="n">
        <x:f>$C232+M232-L232</x:f>
        <x:v>7598.172472578671</x:v>
      </x:c>
      <x:c r="O232" s="141" t="n">
        <x:f>R231*(1+Premissas!$B$41)+N232</x:f>
        <x:v>5371062.011674077</x:v>
      </x:c>
      <x:c r="P232" s="141" t="n">
        <x:f>MAX(0,-O232)</x:f>
        <x:v>0</x:v>
      </x:c>
      <x:c r="Q232" s="141" t="n">
        <x:f>Q231*(1+Premissas!$B$41)+P232</x:f>
        <x:v>0</x:v>
      </x:c>
      <x:c r="R232" s="141" t="n">
        <x:f>MAX(0,O232)</x:f>
        <x:v>5371062.011674077</x:v>
      </x:c>
      <x:c r="S232" s="141" t="n">
        <x:f>IF(AND($A232&gt;=Premissas!$B$48,$A232-Premissas!$B$48+1&lt;=Premissas!$B$13),INDEX(Financiamento!$M$6:$M$485,$A232-Premissas!$B$48+1),0)</x:f>
        <x:v>73142.85714285726</x:v>
      </x:c>
      <x:c r="T232" s="141" t="n">
        <x:f>IF($A232&gt;=Premissas!$B$48,$F232,0)</x:f>
        <x:v>602188.7163906082</x:v>
      </x:c>
      <x:c r="U232" s="141" t="n">
        <x:f>R232+T232-S232</x:f>
        <x:v>5900107.870921828</x:v>
      </x:c>
      <x:c r="V232" s="141" t="n">
        <x:f>IF(Q232&gt;1,"Inviavel",U232)</x:f>
        <x:v>5900107.870921828</x:v>
      </x:c>
      <x:c r="W232" s="141" t="str">
        <x:f>IF(Q232&gt;1,"Inviavel","OK")</x:f>
        <x:v>OK</x:v>
      </x:c>
      <x:c r="X232" s="141" t="n">
        <x:f>IF($A232=Premissas!$B$48,Premissas!$B$8,0)</x:f>
        <x:v>0</x:v>
      </x:c>
      <x:c r="Y232" s="141" t="n">
        <x:f>IF(AND($A232&gt;=Premissas!$B$48,$A232-Premissas!$B$48+1&lt;=Premissas!$B$13),INDEX(Amortizacao!$K$6:$K$485,$A232-Premissas!$B$48+1),0)</x:f>
        <x:v>0</x:v>
      </x:c>
      <x:c r="Z232" s="141" t="n">
        <x:f>IF(AND(TRUE,Premissas!$B$11="Imovel",Premissas!$B$47="Moradia",$A232&lt;MAX(Premissas!$B$48,Premissas!$B$49)),$D232,0)</x:f>
        <x:v>0</x:v>
      </x:c>
      <x:c r="AA232" s="141" t="n">
        <x:f>IF(AND(TRUE,Premissas!$B$11="Imovel",Premissas!$B$47="Investimento",$A232&gt;=MAX(Premissas!$B$48,Premissas!$B$49)),$E232,0)</x:f>
        <x:v>1826.7770578642067</x:v>
      </x:c>
      <x:c r="AB232" s="141" t="n">
        <x:f>X232+Y232+Z232</x:f>
        <x:v>0</x:v>
      </x:c>
      <x:c r="AC232" s="141" t="n">
        <x:f>AA232</x:f>
        <x:v>1826.7770578642067</x:v>
      </x:c>
      <x:c r="AD232" s="141" t="n">
        <x:f>$C232+AC232-AB232</x:f>
        <x:v>8826.777057864207</x:v>
      </x:c>
      <x:c r="AE232" s="141" t="n">
        <x:f>AH231*(1+Premissas!$B$41)+AD232</x:f>
        <x:v>5387618.249536419</x:v>
      </x:c>
      <x:c r="AF232" s="141" t="n">
        <x:f>MAX(0,-AE232)</x:f>
        <x:v>0</x:v>
      </x:c>
      <x:c r="AG232" s="141" t="n">
        <x:f>AG231*(1+Premissas!$B$41)+AF232</x:f>
        <x:v>0</x:v>
      </x:c>
      <x:c r="AH232" s="141" t="n">
        <x:f>MAX(0,AE232)</x:f>
        <x:v>5387618.249536419</x:v>
      </x:c>
      <x:c r="AI232" s="141" t="n">
        <x:f>IF(AND($A232&gt;=Premissas!$B$48,$A232-Premissas!$B$48+1&lt;=Premissas!$B$13),INDEX(Amortizacao!$L$6:$L$485,$A232-Premissas!$B$48+1),0)</x:f>
        <x:v>0</x:v>
      </x:c>
      <x:c r="AJ232" s="141" t="n">
        <x:f>IF($A232&gt;=Premissas!$B$48,$F232,0)</x:f>
        <x:v>602188.7163906082</x:v>
      </x:c>
      <x:c r="AK232" s="141" t="n">
        <x:f>AH232+AJ232-AI232</x:f>
        <x:v>5989806.965927027</x:v>
      </x:c>
      <x:c r="AL232" s="141" t="n">
        <x:f>IF(AG232&gt;1,"Inviavel",AK232)</x:f>
        <x:v>5989806.965927027</x:v>
      </x:c>
      <x:c r="AM232" s="141" t="str">
        <x:f>IF(AG232&gt;1,"Inviavel","OK")</x:f>
        <x:v>OK</x:v>
      </x:c>
      <x:c r="AN232" s="141" t="n">
        <x:f>IF($A232=Premissas!$B$48,Premissas!$B$8,0)</x:f>
        <x:v>0</x:v>
      </x:c>
      <x:c r="AO232" s="141" t="n">
        <x:f>IF($A232&lt;=Premissas!$B$25,INDEX('Consorcio IQ'!$K$6:$K$485,$A232),0)</x:f>
        <x:v>1628.3030289343405</x:v>
      </x:c>
      <x:c r="AP232" s="141" t="n">
        <x:f>IF(AND(TRUE,Premissas!$B$11="Imovel",Premissas!$B$47="Moradia",$A232&lt;MAX(Premissas!$B$48,Premissas!$B$49)),$D232,0)</x:f>
        <x:v>0</x:v>
      </x:c>
      <x:c r="AQ232" s="141" t="n">
        <x:f>IF(AND(TRUE,Premissas!$B$11="Imovel",Premissas!$B$47="Investimento",$A232&gt;=MAX(Premissas!$B$48,Premissas!$B$49)),$E232,0)</x:f>
        <x:v>1826.7770578642067</x:v>
      </x:c>
      <x:c r="AR232" s="141" t="n">
        <x:f>AN232+AO232+AP232</x:f>
        <x:v>1628.3030289343405</x:v>
      </x:c>
      <x:c r="AS232" s="141" t="n">
        <x:f>AQ232</x:f>
        <x:v>1826.7770578642067</x:v>
      </x:c>
      <x:c r="AT232" s="141" t="n">
        <x:f>$C232+AS232-AR232</x:f>
        <x:v>7198.474028929866</x:v>
      </x:c>
      <x:c r="AU232" s="141" t="n">
        <x:f>AX231*(1+Premissas!$B$41)+AT232</x:f>
        <x:v>5357799.703252792</x:v>
      </x:c>
      <x:c r="AV232" s="141" t="n">
        <x:f>MAX(0,-AU232)</x:f>
        <x:v>0</x:v>
      </x:c>
      <x:c r="AW232" s="141" t="n">
        <x:f>AW231*(1+Premissas!$B$41)+AV232</x:f>
        <x:v>0</x:v>
      </x:c>
      <x:c r="AX232" s="141" t="n">
        <x:f>MAX(0,AU232)</x:f>
        <x:v>5357799.703252792</x:v>
      </x:c>
      <x:c r="AY232" s="141" t="n">
        <x:f>INDEX('Consorcio IQ'!$P$6:$P$485,$A232)</x:f>
        <x:v>19489.170268355603</x:v>
      </x:c>
      <x:c r="AZ232" s="141" t="n">
        <x:f>IF($A232&gt;=Premissas!$B$48,$F232,0)+IF($A232&lt;Premissas!$B$27,INDEX('Consorcio IQ'!$O$6:$O$485,$A232),0)</x:f>
        <x:v>602188.7163906082</x:v>
      </x:c>
      <x:c r="BA232" s="141" t="n">
        <x:f>AX232+AZ232-AY232</x:f>
        <x:v>5940499.249375044</x:v>
      </x:c>
      <x:c r="BB232" s="141" t="n">
        <x:f>IF(AW232&gt;1,"Inviavel",BA232)</x:f>
        <x:v>5940499.249375044</x:v>
      </x:c>
      <x:c r="BC232" s="141" t="str">
        <x:f>IF(AW232&gt;1,"Inviavel","OK")</x:f>
        <x:v>OK</x:v>
      </x:c>
      <x:c r="BD232" s="141" t="n">
        <x:f>IF($A232='Consorcio Direto'!$B$29,'Consorcio Direto'!$B$44,0)</x:f>
        <x:v>0</x:v>
      </x:c>
      <x:c r="BE232" s="141" t="n">
        <x:f>IF($A232&lt;='Consorcio Direto'!$B$27,INDEX('Consorcio Direto'!$E$55:$E$534,$A232),0)</x:f>
        <x:v>4216.49193723835</x:v>
      </x:c>
      <x:c r="BF232" s="141" t="n">
        <x:f>IF(AND(TRUE,Premissas!$B$11="Imovel",Premissas!$B$47="Moradia",$A232&lt;MAX('Consorcio Direto'!$B$29,Premissas!$B$49)),$D232,0)</x:f>
        <x:v>0</x:v>
      </x:c>
      <x:c r="BG232" s="141" t="n">
        <x:f>IF(AND(TRUE,Premissas!$B$11="Imovel",Premissas!$B$47="Investimento",$A232&gt;=MAX('Consorcio Direto'!$B$29,Premissas!$B$49)),$E232,0)</x:f>
        <x:v>1826.7770578642067</x:v>
      </x:c>
      <x:c r="BH232" s="141" t="n">
        <x:f>BD232+BE232+BF232</x:f>
        <x:v>4216.49193723835</x:v>
      </x:c>
      <x:c r="BI232" s="141" t="n">
        <x:f>BG232</x:f>
        <x:v>1826.7770578642067</x:v>
      </x:c>
      <x:c r="BJ232" s="141" t="n">
        <x:f>$C232+BI232-BH232</x:f>
        <x:v>4610.2851206258565</x:v>
      </x:c>
      <x:c r="BK232" s="141" t="n">
        <x:f>BN231*(1+Premissas!$B$41)+BJ232</x:f>
        <x:v>5122299.655100822</x:v>
      </x:c>
      <x:c r="BL232" s="141" t="n">
        <x:f>MAX(0,-BK232)</x:f>
        <x:v>0</x:v>
      </x:c>
      <x:c r="BM232" s="141" t="n">
        <x:f>BM231*(1+Premissas!$B$41)+BL232</x:f>
        <x:v>0</x:v>
      </x:c>
      <x:c r="BN232" s="141" t="n">
        <x:f>MAX(0,BK232)</x:f>
        <x:v>5122299.655100822</x:v>
      </x:c>
      <x:c r="BO232" s="141" t="n">
        <x:f>INDEX('Consorcio Direto'!$K$55:$K$534,$A232)</x:f>
        <x:v>50467.221297111784</x:v>
      </x:c>
      <x:c r="BP232" s="141" t="n">
        <x:f>IF($A232&lt;'Consorcio Direto'!$B$29,INDEX('Consorcio Direto'!$L$55:$L$534,$A232),$F232)</x:f>
        <x:v>602188.7163906082</x:v>
      </x:c>
      <x:c r="BQ232" s="141" t="n">
        <x:f>BN232+BP232-BO232</x:f>
        <x:v>5674021.150194319</x:v>
      </x:c>
      <x:c r="BR232" s="141" t="n">
        <x:f>IF(BM232&gt;1,"Inviavel",BQ232)</x:f>
        <x:v>5674021.150194319</x:v>
      </x:c>
      <x:c r="BS232" s="141" t="str">
        <x:f>IF(BM232&gt;1,"Inviavel","OK")</x:f>
        <x:v>OK</x:v>
      </x:c>
      <x:c r="BT232" s="141" t="n">
        <x:f>IF(AND('Carta Contemplada'!$B$22="Sim",$A232='Carta Contemplada'!$B$23),'Carta Contemplada'!$B$37,0)</x:f>
        <x:v>0</x:v>
      </x:c>
      <x:c r="BU232" s="141" t="n">
        <x:f>IF('Carta Contemplada'!$B$22="Sim",INDEX('Carta Contemplada'!$C$55:$C$1013,$A232),0)</x:f>
        <x:v>0</x:v>
      </x:c>
      <x:c r="BV232" s="141" t="n">
        <x:f>IF(AND('Carta Contemplada'!$B$22="Sim",Premissas!$B$11="Imovel",Premissas!$B$47="Moradia",$A232&lt;MAX('Carta Contemplada'!$B$44,Premissas!$B$49)),$D232,0)</x:f>
        <x:v>0</x:v>
      </x:c>
      <x:c r="BW232" s="141" t="n">
        <x:f>IF(AND('Carta Contemplada'!$B$22="Sim",Premissas!$B$11="Imovel",Premissas!$B$47="Investimento",$A232&gt;=MAX('Carta Contemplada'!$B$44,Premissas!$B$49)),$E232,0)</x:f>
        <x:v>1826.7770578642067</x:v>
      </x:c>
      <x:c r="BX232" s="141" t="n">
        <x:f>BT232+BU232+BV232</x:f>
        <x:v>0</x:v>
      </x:c>
      <x:c r="BY232" s="141" t="n">
        <x:f>BW232</x:f>
        <x:v>1826.7770578642067</x:v>
      </x:c>
      <x:c r="BZ232" s="141" t="n">
        <x:f>$C232+BY232-BX232</x:f>
        <x:v>8826.777057864207</x:v>
      </x:c>
      <x:c r="CA232" s="141" t="n">
        <x:f>CD231*(1+Premissas!$B$41)+BZ232</x:f>
        <x:v>5511963.044116793</x:v>
      </x:c>
      <x:c r="CB232" s="141" t="n">
        <x:f>MAX(0,-CA232)</x:f>
        <x:v>0</x:v>
      </x:c>
      <x:c r="CC232" s="141" t="n">
        <x:f>CC231*(1+Premissas!$B$41)+CB232</x:f>
        <x:v>0</x:v>
      </x:c>
      <x:c r="CD232" s="141" t="n">
        <x:f>MAX(0,CA232)</x:f>
        <x:v>5511963.044116793</x:v>
      </x:c>
      <x:c r="CE232" s="141" t="n">
        <x:f>IF(AND('Carta Contemplada'!$B$22="Sim",$A232&gt;='Carta Contemplada'!$B$23),INDEX('Carta Contemplada'!$I$55:$I$1013,$A232),0)</x:f>
        <x:v>0</x:v>
      </x:c>
      <x:c r="CF232" s="141" t="n">
        <x:f>IF(AND('Carta Contemplada'!$B$22="Sim",$A232&gt;='Carta Contemplada'!$B$44),$F232,0)</x:f>
        <x:v>602188.7163906082</x:v>
      </x:c>
      <x:c r="CG232" s="141" t="n">
        <x:f>CD232+CF232-CE232</x:f>
        <x:v>6114151.760507401</x:v>
      </x:c>
      <x:c r="CH232" s="141" t="n">
        <x:f>IF(CC232&gt;1,"Inviavel",CG232)</x:f>
        <x:v>6114151.760507401</x:v>
      </x:c>
      <x:c r="CI232" s="145" t="str">
        <x:f>IF(CC232&gt;1,"Inviavel","OK")</x:f>
        <x:v>OK</x:v>
      </x:c>
    </x:row>
    <x:row r="233">
      <x:c r="A233" s="142" t="n">
        <x:v>229</x:v>
      </x:c>
      <x:c r="B233" s="179" t="n">
        <x:f>EDATE(Premissas!$B$4,A233-1)</x:f>
        <x:v>53479</x:v>
      </x:c>
      <x:c r="C233" s="141" t="n">
        <x:f>IF(A233&lt;=Premissas!$B$39,Premissas!$B$42,0)</x:f>
        <x:v>7000</x:v>
      </x:c>
      <x:c r="D233" s="141" t="n">
        <x:f>Premissas!$B$54*(1+Premissas!$B$57)^INT((A233-1)/12)</x:f>
        <x:v>2117.9196514613145</x:v>
      </x:c>
      <x:c r="E233" s="141" t="n">
        <x:f>Premissas!$B$64*(1+Premissas!$B$57)^INT((A233-1)/12)</x:f>
        <x:v>1936.383681336059</x:v>
      </x:c>
      <x:c r="F233" s="141" t="n">
        <x:f>MAX(0,Premissas!$B$6*(1+Premissas!$B$66)^((A233-1)/12))</x:f>
        <x:v>605119.9004175185</x:v>
      </x:c>
      <x:c r="G233" s="141" t="n">
        <x:f>G232*(1+Premissas!$B$41)+C233</x:f>
        <x:v>6451466.413664308</x:v>
      </x:c>
      <x:c r="H233" s="141" t="n">
        <x:f>IF($A233=Premissas!$B$48,Premissas!$B$8,0)</x:f>
        <x:v>0</x:v>
      </x:c>
      <x:c r="I233" s="141" t="n">
        <x:f>IF(AND($A233&gt;=Premissas!$B$48,$A233-Premissas!$B$48+1&lt;=Premissas!$B$13),INDEX(Financiamento!$J$6:$J$485,$A233-Premissas!$B$48+1),0)</x:f>
        <x:v>1224.9898070247427</x:v>
      </x:c>
      <x:c r="J233" s="141" t="n">
        <x:f>IF(AND(TRUE,Premissas!$B$11="Imovel",Premissas!$B$47="Moradia",$A233&lt;MAX(Premissas!$B$48,Premissas!$B$49)),$D233,0)</x:f>
        <x:v>0</x:v>
      </x:c>
      <x:c r="K233" s="141" t="n">
        <x:f>IF(AND(TRUE,Premissas!$B$11="Imovel",Premissas!$B$47="Investimento",$A233&gt;=MAX(Premissas!$B$48,Premissas!$B$49)),$E233,0)</x:f>
        <x:v>1936.383681336059</x:v>
      </x:c>
      <x:c r="L233" s="141" t="n">
        <x:f>H233+I233+J233</x:f>
        <x:v>1224.9898070247427</x:v>
      </x:c>
      <x:c r="M233" s="141" t="n">
        <x:f>K233</x:f>
        <x:v>1936.383681336059</x:v>
      </x:c>
      <x:c r="N233" s="141" t="n">
        <x:f>$C233+M233-L233</x:f>
        <x:v>7711.393874311317</x:v>
      </x:c>
      <x:c r="O233" s="141" t="n">
        <x:f>R232*(1+Premissas!$B$41)+N233</x:f>
        <x:v>5429738.300815969</x:v>
      </x:c>
      <x:c r="P233" s="141" t="n">
        <x:f>MAX(0,-O233)</x:f>
        <x:v>0</x:v>
      </x:c>
      <x:c r="Q233" s="141" t="n">
        <x:f>Q232*(1+Premissas!$B$41)+P233</x:f>
        <x:v>0</x:v>
      </x:c>
      <x:c r="R233" s="141" t="n">
        <x:f>MAX(0,O233)</x:f>
        <x:v>5429738.300815969</x:v>
      </x:c>
      <x:c r="S233" s="141" t="n">
        <x:f>IF(AND($A233&gt;=Premissas!$B$48,$A233-Premissas!$B$48+1&lt;=Premissas!$B$13),INDEX(Financiamento!$M$6:$M$485,$A233-Premissas!$B$48+1),0)</x:f>
        <x:v>72761.90476190488</x:v>
      </x:c>
      <x:c r="T233" s="141" t="n">
        <x:f>IF($A233&gt;=Premissas!$B$48,$F233,0)</x:f>
        <x:v>605119.9004175185</x:v>
      </x:c>
      <x:c r="U233" s="141" t="n">
        <x:f>R233+T233-S233</x:f>
        <x:v>5962096.296471583</x:v>
      </x:c>
      <x:c r="V233" s="141" t="n">
        <x:f>IF(Q233&gt;1,"Inviavel",U233)</x:f>
        <x:v>5962096.296471583</x:v>
      </x:c>
      <x:c r="W233" s="141" t="str">
        <x:f>IF(Q233&gt;1,"Inviavel","OK")</x:f>
        <x:v>OK</x:v>
      </x:c>
      <x:c r="X233" s="141" t="n">
        <x:f>IF($A233=Premissas!$B$48,Premissas!$B$8,0)</x:f>
        <x:v>0</x:v>
      </x:c>
      <x:c r="Y233" s="141" t="n">
        <x:f>IF(AND($A233&gt;=Premissas!$B$48,$A233-Premissas!$B$48+1&lt;=Premissas!$B$13),INDEX(Amortizacao!$K$6:$K$485,$A233-Premissas!$B$48+1),0)</x:f>
        <x:v>0</x:v>
      </x:c>
      <x:c r="Z233" s="141" t="n">
        <x:f>IF(AND(TRUE,Premissas!$B$11="Imovel",Premissas!$B$47="Moradia",$A233&lt;MAX(Premissas!$B$48,Premissas!$B$49)),$D233,0)</x:f>
        <x:v>0</x:v>
      </x:c>
      <x:c r="AA233" s="141" t="n">
        <x:f>IF(AND(TRUE,Premissas!$B$11="Imovel",Premissas!$B$47="Investimento",$A233&gt;=MAX(Premissas!$B$48,Premissas!$B$49)),$E233,0)</x:f>
        <x:v>1936.383681336059</x:v>
      </x:c>
      <x:c r="AB233" s="141" t="n">
        <x:f>X233+Y233+Z233</x:f>
        <x:v>0</x:v>
      </x:c>
      <x:c r="AC233" s="141" t="n">
        <x:f>AA233</x:f>
        <x:v>1936.383681336059</x:v>
      </x:c>
      <x:c r="AD233" s="141" t="n">
        <x:f>$C233+AC233-AB233</x:f>
        <x:v>8936.38368133606</x:v>
      </x:c>
      <x:c r="AE233" s="141" t="n">
        <x:f>AH232*(1+Premissas!$B$41)+AD233</x:f>
        <x:v>5447676.627198188</x:v>
      </x:c>
      <x:c r="AF233" s="141" t="n">
        <x:f>MAX(0,-AE233)</x:f>
        <x:v>0</x:v>
      </x:c>
      <x:c r="AG233" s="141" t="n">
        <x:f>AG232*(1+Premissas!$B$41)+AF233</x:f>
        <x:v>0</x:v>
      </x:c>
      <x:c r="AH233" s="141" t="n">
        <x:f>MAX(0,AE233)</x:f>
        <x:v>5447676.627198188</x:v>
      </x:c>
      <x:c r="AI233" s="141" t="n">
        <x:f>IF(AND($A233&gt;=Premissas!$B$48,$A233-Premissas!$B$48+1&lt;=Premissas!$B$13),INDEX(Amortizacao!$L$6:$L$485,$A233-Premissas!$B$48+1),0)</x:f>
        <x:v>0</x:v>
      </x:c>
      <x:c r="AJ233" s="141" t="n">
        <x:f>IF($A233&gt;=Premissas!$B$48,$F233,0)</x:f>
        <x:v>605119.9004175185</x:v>
      </x:c>
      <x:c r="AK233" s="141" t="n">
        <x:f>AH233+AJ233-AI233</x:f>
        <x:v>6052796.527615706</x:v>
      </x:c>
      <x:c r="AL233" s="141" t="n">
        <x:f>IF(AG233&gt;1,"Inviavel",AK233)</x:f>
        <x:v>6052796.527615706</x:v>
      </x:c>
      <x:c r="AM233" s="141" t="str">
        <x:f>IF(AG233&gt;1,"Inviavel","OK")</x:f>
        <x:v>OK</x:v>
      </x:c>
      <x:c r="AN233" s="141" t="n">
        <x:f>IF($A233=Premissas!$B$48,Premissas!$B$8,0)</x:f>
        <x:v>0</x:v>
      </x:c>
      <x:c r="AO233" s="141" t="n">
        <x:f>IF($A233&lt;=Premissas!$B$25,INDEX('Consorcio IQ'!$K$6:$K$485,$A233),0)</x:f>
        <x:v>1726.001210670401</x:v>
      </x:c>
      <x:c r="AP233" s="141" t="n">
        <x:f>IF(AND(TRUE,Premissas!$B$11="Imovel",Premissas!$B$47="Moradia",$A233&lt;MAX(Premissas!$B$48,Premissas!$B$49)),$D233,0)</x:f>
        <x:v>0</x:v>
      </x:c>
      <x:c r="AQ233" s="141" t="n">
        <x:f>IF(AND(TRUE,Premissas!$B$11="Imovel",Premissas!$B$47="Investimento",$A233&gt;=MAX(Premissas!$B$48,Premissas!$B$49)),$E233,0)</x:f>
        <x:v>1936.383681336059</x:v>
      </x:c>
      <x:c r="AR233" s="141" t="n">
        <x:f>AN233+AO233+AP233</x:f>
        <x:v>1726.001210670401</x:v>
      </x:c>
      <x:c r="AS233" s="141" t="n">
        <x:f>AQ233</x:f>
        <x:v>1936.383681336059</x:v>
      </x:c>
      <x:c r="AT233" s="141" t="n">
        <x:f>$C233+AS233-AR233</x:f>
        <x:v>7210.382470665659</x:v>
      </x:c>
      <x:c r="AU233" s="141" t="n">
        <x:f>AX232*(1+Premissas!$B$41)+AT233</x:f>
        <x:v>5415849.137692594</x:v>
      </x:c>
      <x:c r="AV233" s="141" t="n">
        <x:f>MAX(0,-AU233)</x:f>
        <x:v>0</x:v>
      </x:c>
      <x:c r="AW233" s="141" t="n">
        <x:f>AW232*(1+Premissas!$B$41)+AV233</x:f>
        <x:v>0</x:v>
      </x:c>
      <x:c r="AX233" s="141" t="n">
        <x:f>MAX(0,AU233)</x:f>
        <x:v>5415849.137692594</x:v>
      </x:c>
      <x:c r="AY233" s="141" t="n">
        <x:f>INDEX('Consorcio IQ'!$P$6:$P$485,$A233)</x:f>
        <x:v>17948.09775882846</x:v>
      </x:c>
      <x:c r="AZ233" s="141" t="n">
        <x:f>IF($A233&gt;=Premissas!$B$48,$F233,0)+IF($A233&lt;Premissas!$B$27,INDEX('Consorcio IQ'!$O$6:$O$485,$A233),0)</x:f>
        <x:v>605119.9004175185</x:v>
      </x:c>
      <x:c r="BA233" s="141" t="n">
        <x:f>AX233+AZ233-AY233</x:f>
        <x:v>6003020.940351284</x:v>
      </x:c>
      <x:c r="BB233" s="141" t="n">
        <x:f>IF(AW233&gt;1,"Inviavel",BA233)</x:f>
        <x:v>6003020.940351284</x:v>
      </x:c>
      <x:c r="BC233" s="141" t="str">
        <x:f>IF(AW233&gt;1,"Inviavel","OK")</x:f>
        <x:v>OK</x:v>
      </x:c>
      <x:c r="BD233" s="141" t="n">
        <x:f>IF($A233='Consorcio Direto'!$B$29,'Consorcio Direto'!$B$44,0)</x:f>
        <x:v>0</x:v>
      </x:c>
      <x:c r="BE233" s="141" t="n">
        <x:f>IF($A233&lt;='Consorcio Direto'!$B$27,INDEX('Consorcio Direto'!$E$55:$E$534,$A233),0)</x:f>
        <x:v>4469.481453472651</x:v>
      </x:c>
      <x:c r="BF233" s="141" t="n">
        <x:f>IF(AND(TRUE,Premissas!$B$11="Imovel",Premissas!$B$47="Moradia",$A233&lt;MAX('Consorcio Direto'!$B$29,Premissas!$B$49)),$D233,0)</x:f>
        <x:v>0</x:v>
      </x:c>
      <x:c r="BG233" s="141" t="n">
        <x:f>IF(AND(TRUE,Premissas!$B$11="Imovel",Premissas!$B$47="Investimento",$A233&gt;=MAX('Consorcio Direto'!$B$29,Premissas!$B$49)),$E233,0)</x:f>
        <x:v>1936.383681336059</x:v>
      </x:c>
      <x:c r="BH233" s="141" t="n">
        <x:f>BD233+BE233+BF233</x:f>
        <x:v>4469.481453472651</x:v>
      </x:c>
      <x:c r="BI233" s="141" t="n">
        <x:f>BG233</x:f>
        <x:v>1936.383681336059</x:v>
      </x:c>
      <x:c r="BJ233" s="141" t="n">
        <x:f>$C233+BI233-BH233</x:f>
        <x:v>4466.902227863408</x:v>
      </x:c>
      <x:c r="BK233" s="141" t="n">
        <x:f>BN232*(1+Premissas!$B$41)+BJ233</x:f>
        <x:v>5175370.998104824</x:v>
      </x:c>
      <x:c r="BL233" s="141" t="n">
        <x:f>MAX(0,-BK233)</x:f>
        <x:v>0</x:v>
      </x:c>
      <x:c r="BM233" s="141" t="n">
        <x:f>BM232*(1+Premissas!$B$41)+BL233</x:f>
        <x:v>0</x:v>
      </x:c>
      <x:c r="BN233" s="141" t="n">
        <x:f>MAX(0,BK233)</x:f>
        <x:v>5175370.998104824</x:v>
      </x:c>
      <x:c r="BO233" s="141" t="n">
        <x:f>INDEX('Consorcio Direto'!$K$55:$K$534,$A233)</x:f>
        <x:v>46476.6128565112</x:v>
      </x:c>
      <x:c r="BP233" s="141" t="n">
        <x:f>IF($A233&lt;'Consorcio Direto'!$B$29,INDEX('Consorcio Direto'!$L$55:$L$534,$A233),$F233)</x:f>
        <x:v>605119.9004175185</x:v>
      </x:c>
      <x:c r="BQ233" s="141" t="n">
        <x:f>BN233+BP233-BO233</x:f>
        <x:v>5734014.2856658315</x:v>
      </x:c>
      <x:c r="BR233" s="141" t="n">
        <x:f>IF(BM233&gt;1,"Inviavel",BQ233)</x:f>
        <x:v>5734014.2856658315</x:v>
      </x:c>
      <x:c r="BS233" s="141" t="str">
        <x:f>IF(BM233&gt;1,"Inviavel","OK")</x:f>
        <x:v>OK</x:v>
      </x:c>
      <x:c r="BT233" s="141" t="n">
        <x:f>IF(AND('Carta Contemplada'!$B$22="Sim",$A233='Carta Contemplada'!$B$23),'Carta Contemplada'!$B$37,0)</x:f>
        <x:v>0</x:v>
      </x:c>
      <x:c r="BU233" s="141" t="n">
        <x:f>IF('Carta Contemplada'!$B$22="Sim",INDEX('Carta Contemplada'!$C$55:$C$1013,$A233),0)</x:f>
        <x:v>0</x:v>
      </x:c>
      <x:c r="BV233" s="141" t="n">
        <x:f>IF(AND('Carta Contemplada'!$B$22="Sim",Premissas!$B$11="Imovel",Premissas!$B$47="Moradia",$A233&lt;MAX('Carta Contemplada'!$B$44,Premissas!$B$49)),$D233,0)</x:f>
        <x:v>0</x:v>
      </x:c>
      <x:c r="BW233" s="141" t="n">
        <x:f>IF(AND('Carta Contemplada'!$B$22="Sim",Premissas!$B$11="Imovel",Premissas!$B$47="Investimento",$A233&gt;=MAX('Carta Contemplada'!$B$44,Premissas!$B$49)),$E233,0)</x:f>
        <x:v>1936.383681336059</x:v>
      </x:c>
      <x:c r="BX233" s="141" t="n">
        <x:f>BT233+BU233+BV233</x:f>
        <x:v>0</x:v>
      </x:c>
      <x:c r="BY233" s="141" t="n">
        <x:f>BW233</x:f>
        <x:v>1936.383681336059</x:v>
      </x:c>
      <x:c r="BZ233" s="141" t="n">
        <x:f>$C233+BY233-BX233</x:f>
        <x:v>8936.38368133606</x:v>
      </x:c>
      <x:c r="CA233" s="141" t="n">
        <x:f>CD232*(1+Premissas!$B$41)+BZ233</x:f>
        <x:v>5573201.303786828</x:v>
      </x:c>
      <x:c r="CB233" s="141" t="n">
        <x:f>MAX(0,-CA233)</x:f>
        <x:v>0</x:v>
      </x:c>
      <x:c r="CC233" s="141" t="n">
        <x:f>CC232*(1+Premissas!$B$41)+CB233</x:f>
        <x:v>0</x:v>
      </x:c>
      <x:c r="CD233" s="141" t="n">
        <x:f>MAX(0,CA233)</x:f>
        <x:v>5573201.303786828</x:v>
      </x:c>
      <x:c r="CE233" s="141" t="n">
        <x:f>IF(AND('Carta Contemplada'!$B$22="Sim",$A233&gt;='Carta Contemplada'!$B$23),INDEX('Carta Contemplada'!$I$55:$I$1013,$A233),0)</x:f>
        <x:v>0</x:v>
      </x:c>
      <x:c r="CF233" s="141" t="n">
        <x:f>IF(AND('Carta Contemplada'!$B$22="Sim",$A233&gt;='Carta Contemplada'!$B$44),$F233,0)</x:f>
        <x:v>605119.9004175185</x:v>
      </x:c>
      <x:c r="CG233" s="141" t="n">
        <x:f>CD233+CF233-CE233</x:f>
        <x:v>6178321.204204347</x:v>
      </x:c>
      <x:c r="CH233" s="141" t="n">
        <x:f>IF(CC233&gt;1,"Inviavel",CG233)</x:f>
        <x:v>6178321.204204347</x:v>
      </x:c>
      <x:c r="CI233" s="145" t="str">
        <x:f>IF(CC233&gt;1,"Inviavel","OK")</x:f>
        <x:v>OK</x:v>
      </x:c>
    </x:row>
    <x:row r="234">
      <x:c r="A234" s="142" t="n">
        <x:v>230</x:v>
      </x:c>
      <x:c r="B234" s="179" t="n">
        <x:f>EDATE(Premissas!$B$4,A234-1)</x:f>
        <x:v>53509</x:v>
      </x:c>
      <x:c r="C234" s="141" t="n">
        <x:f>IF(A234&lt;=Premissas!$B$39,Premissas!$B$42,0)</x:f>
        <x:v>7000</x:v>
      </x:c>
      <x:c r="D234" s="141" t="n">
        <x:f>Premissas!$B$54*(1+Premissas!$B$57)^INT((A234-1)/12)</x:f>
        <x:v>2117.9196514613145</x:v>
      </x:c>
      <x:c r="E234" s="141" t="n">
        <x:f>Premissas!$B$64*(1+Premissas!$B$57)^INT((A234-1)/12)</x:f>
        <x:v>1936.383681336059</x:v>
      </x:c>
      <x:c r="F234" s="141" t="n">
        <x:f>MAX(0,Premissas!$B$6*(1+Premissas!$B$66)^((A234-1)/12))</x:f>
        <x:v>608065.3521308961</x:v>
      </x:c>
      <x:c r="G234" s="141" t="n">
        <x:f>G233*(1+Premissas!$B$41)+C234</x:f>
        <x:v>6519683.042587986</x:v>
      </x:c>
      <x:c r="H234" s="141" t="n">
        <x:f>IF($A234=Premissas!$B$48,Premissas!$B$8,0)</x:f>
        <x:v>0</x:v>
      </x:c>
      <x:c r="I234" s="141" t="n">
        <x:f>IF(AND($A234&gt;=Premissas!$B$48,$A234-Premissas!$B$48+1&lt;=Premissas!$B$13),INDEX(Financiamento!$J$6:$J$485,$A234-Premissas!$B$48+1),0)</x:f>
        <x:v>1221.375028763949</x:v>
      </x:c>
      <x:c r="J234" s="141" t="n">
        <x:f>IF(AND(TRUE,Premissas!$B$11="Imovel",Premissas!$B$47="Moradia",$A234&lt;MAX(Premissas!$B$48,Premissas!$B$49)),$D234,0)</x:f>
        <x:v>0</x:v>
      </x:c>
      <x:c r="K234" s="141" t="n">
        <x:f>IF(AND(TRUE,Premissas!$B$11="Imovel",Premissas!$B$47="Investimento",$A234&gt;=MAX(Premissas!$B$48,Premissas!$B$49)),$E234,0)</x:f>
        <x:v>1936.383681336059</x:v>
      </x:c>
      <x:c r="L234" s="141" t="n">
        <x:f>H234+I234+J234</x:f>
        <x:v>1221.375028763949</x:v>
      </x:c>
      <x:c r="M234" s="141" t="n">
        <x:f>K234</x:f>
        <x:v>1936.383681336059</x:v>
      </x:c>
      <x:c r="N234" s="141" t="n">
        <x:f>$C234+M234-L234</x:f>
        <x:v>7715.008652572111</x:v>
      </x:c>
      <x:c r="O234" s="141" t="n">
        <x:f>R233*(1+Premissas!$B$41)+N234</x:f>
        <x:v>5488974.971893959</x:v>
      </x:c>
      <x:c r="P234" s="141" t="n">
        <x:f>MAX(0,-O234)</x:f>
        <x:v>0</x:v>
      </x:c>
      <x:c r="Q234" s="141" t="n">
        <x:f>Q233*(1+Premissas!$B$41)+P234</x:f>
        <x:v>0</x:v>
      </x:c>
      <x:c r="R234" s="141" t="n">
        <x:f>MAX(0,O234)</x:f>
        <x:v>5488974.971893959</x:v>
      </x:c>
      <x:c r="S234" s="141" t="n">
        <x:f>IF(AND($A234&gt;=Premissas!$B$48,$A234-Premissas!$B$48+1&lt;=Premissas!$B$13),INDEX(Financiamento!$M$6:$M$485,$A234-Premissas!$B$48+1),0)</x:f>
        <x:v>72380.9523809525</x:v>
      </x:c>
      <x:c r="T234" s="141" t="n">
        <x:f>IF($A234&gt;=Premissas!$B$48,$F234,0)</x:f>
        <x:v>608065.3521308961</x:v>
      </x:c>
      <x:c r="U234" s="141" t="n">
        <x:f>R234+T234-S234</x:f>
        <x:v>6024659.371643903</x:v>
      </x:c>
      <x:c r="V234" s="141" t="n">
        <x:f>IF(Q234&gt;1,"Inviavel",U234)</x:f>
        <x:v>6024659.371643903</x:v>
      </x:c>
      <x:c r="W234" s="141" t="str">
        <x:f>IF(Q234&gt;1,"Inviavel","OK")</x:f>
        <x:v>OK</x:v>
      </x:c>
      <x:c r="X234" s="141" t="n">
        <x:f>IF($A234=Premissas!$B$48,Premissas!$B$8,0)</x:f>
        <x:v>0</x:v>
      </x:c>
      <x:c r="Y234" s="141" t="n">
        <x:f>IF(AND($A234&gt;=Premissas!$B$48,$A234-Premissas!$B$48+1&lt;=Premissas!$B$13),INDEX(Amortizacao!$K$6:$K$485,$A234-Premissas!$B$48+1),0)</x:f>
        <x:v>0</x:v>
      </x:c>
      <x:c r="Z234" s="141" t="n">
        <x:f>IF(AND(TRUE,Premissas!$B$11="Imovel",Premissas!$B$47="Moradia",$A234&lt;MAX(Premissas!$B$48,Premissas!$B$49)),$D234,0)</x:f>
        <x:v>0</x:v>
      </x:c>
      <x:c r="AA234" s="141" t="n">
        <x:f>IF(AND(TRUE,Premissas!$B$11="Imovel",Premissas!$B$47="Investimento",$A234&gt;=MAX(Premissas!$B$48,Premissas!$B$49)),$E234,0)</x:f>
        <x:v>1936.383681336059</x:v>
      </x:c>
      <x:c r="AB234" s="141" t="n">
        <x:f>X234+Y234+Z234</x:f>
        <x:v>0</x:v>
      </x:c>
      <x:c r="AC234" s="141" t="n">
        <x:f>AA234</x:f>
        <x:v>1936.383681336059</x:v>
      </x:c>
      <x:c r="AD234" s="141" t="n">
        <x:f>$C234+AC234-AB234</x:f>
        <x:v>8936.38368133606</x:v>
      </x:c>
      <x:c r="AE234" s="141" t="n">
        <x:f>AH233*(1+Premissas!$B$41)+AD234</x:f>
        <x:v>5508304.886369576</x:v>
      </x:c>
      <x:c r="AF234" s="141" t="n">
        <x:f>MAX(0,-AE234)</x:f>
        <x:v>0</x:v>
      </x:c>
      <x:c r="AG234" s="141" t="n">
        <x:f>AG233*(1+Premissas!$B$41)+AF234</x:f>
        <x:v>0</x:v>
      </x:c>
      <x:c r="AH234" s="141" t="n">
        <x:f>MAX(0,AE234)</x:f>
        <x:v>5508304.886369576</x:v>
      </x:c>
      <x:c r="AI234" s="141" t="n">
        <x:f>IF(AND($A234&gt;=Premissas!$B$48,$A234-Premissas!$B$48+1&lt;=Premissas!$B$13),INDEX(Amortizacao!$L$6:$L$485,$A234-Premissas!$B$48+1),0)</x:f>
        <x:v>0</x:v>
      </x:c>
      <x:c r="AJ234" s="141" t="n">
        <x:f>IF($A234&gt;=Premissas!$B$48,$F234,0)</x:f>
        <x:v>608065.3521308961</x:v>
      </x:c>
      <x:c r="AK234" s="141" t="n">
        <x:f>AH234+AJ234-AI234</x:f>
        <x:v>6116370.238500472</x:v>
      </x:c>
      <x:c r="AL234" s="141" t="n">
        <x:f>IF(AG234&gt;1,"Inviavel",AK234)</x:f>
        <x:v>6116370.238500472</x:v>
      </x:c>
      <x:c r="AM234" s="141" t="str">
        <x:f>IF(AG234&gt;1,"Inviavel","OK")</x:f>
        <x:v>OK</x:v>
      </x:c>
      <x:c r="AN234" s="141" t="n">
        <x:f>IF($A234=Premissas!$B$48,Premissas!$B$8,0)</x:f>
        <x:v>0</x:v>
      </x:c>
      <x:c r="AO234" s="141" t="n">
        <x:f>IF($A234&lt;=Premissas!$B$25,INDEX('Consorcio IQ'!$K$6:$K$485,$A234),0)</x:f>
        <x:v>1726.001210670401</x:v>
      </x:c>
      <x:c r="AP234" s="141" t="n">
        <x:f>IF(AND(TRUE,Premissas!$B$11="Imovel",Premissas!$B$47="Moradia",$A234&lt;MAX(Premissas!$B$48,Premissas!$B$49)),$D234,0)</x:f>
        <x:v>0</x:v>
      </x:c>
      <x:c r="AQ234" s="141" t="n">
        <x:f>IF(AND(TRUE,Premissas!$B$11="Imovel",Premissas!$B$47="Investimento",$A234&gt;=MAX(Premissas!$B$48,Premissas!$B$49)),$E234,0)</x:f>
        <x:v>1936.383681336059</x:v>
      </x:c>
      <x:c r="AR234" s="141" t="n">
        <x:f>AN234+AO234+AP234</x:f>
        <x:v>1726.001210670401</x:v>
      </x:c>
      <x:c r="AS234" s="141" t="n">
        <x:f>AQ234</x:f>
        <x:v>1936.383681336059</x:v>
      </x:c>
      <x:c r="AT234" s="141" t="n">
        <x:f>$C234+AS234-AR234</x:f>
        <x:v>7210.382470665659</x:v>
      </x:c>
      <x:c r="AU234" s="141" t="n">
        <x:f>AX233*(1+Premissas!$B$41)+AT234</x:f>
        <x:v>5474449.391195765</x:v>
      </x:c>
      <x:c r="AV234" s="141" t="n">
        <x:f>MAX(0,-AU234)</x:f>
        <x:v>0</x:v>
      </x:c>
      <x:c r="AW234" s="141" t="n">
        <x:f>AW233*(1+Premissas!$B$41)+AV234</x:f>
        <x:v>0</x:v>
      </x:c>
      <x:c r="AX234" s="141" t="n">
        <x:f>MAX(0,AU234)</x:f>
        <x:v>5474449.391195765</x:v>
      </x:c>
      <x:c r="AY234" s="141" t="n">
        <x:f>INDEX('Consorcio IQ'!$P$6:$P$485,$A234)</x:f>
        <x:v>16392.402331361234</x:v>
      </x:c>
      <x:c r="AZ234" s="141" t="n">
        <x:f>IF($A234&gt;=Premissas!$B$48,$F234,0)+IF($A234&lt;Premissas!$B$27,INDEX('Consorcio IQ'!$O$6:$O$485,$A234),0)</x:f>
        <x:v>608065.3521308961</x:v>
      </x:c>
      <x:c r="BA234" s="141" t="n">
        <x:f>AX234+AZ234-AY234</x:f>
        <x:v>6066122.3409953</x:v>
      </x:c>
      <x:c r="BB234" s="141" t="n">
        <x:f>IF(AW234&gt;1,"Inviavel",BA234)</x:f>
        <x:v>6066122.3409953</x:v>
      </x:c>
      <x:c r="BC234" s="141" t="str">
        <x:f>IF(AW234&gt;1,"Inviavel","OK")</x:f>
        <x:v>OK</x:v>
      </x:c>
      <x:c r="BD234" s="141" t="n">
        <x:f>IF($A234='Consorcio Direto'!$B$29,'Consorcio Direto'!$B$44,0)</x:f>
        <x:v>0</x:v>
      </x:c>
      <x:c r="BE234" s="141" t="n">
        <x:f>IF($A234&lt;='Consorcio Direto'!$B$27,INDEX('Consorcio Direto'!$E$55:$E$534,$A234),0)</x:f>
        <x:v>4469.481453472651</x:v>
      </x:c>
      <x:c r="BF234" s="141" t="n">
        <x:f>IF(AND(TRUE,Premissas!$B$11="Imovel",Premissas!$B$47="Moradia",$A234&lt;MAX('Consorcio Direto'!$B$29,Premissas!$B$49)),$D234,0)</x:f>
        <x:v>0</x:v>
      </x:c>
      <x:c r="BG234" s="141" t="n">
        <x:f>IF(AND(TRUE,Premissas!$B$11="Imovel",Premissas!$B$47="Investimento",$A234&gt;=MAX('Consorcio Direto'!$B$29,Premissas!$B$49)),$E234,0)</x:f>
        <x:v>1936.383681336059</x:v>
      </x:c>
      <x:c r="BH234" s="141" t="n">
        <x:f>BD234+BE234+BF234</x:f>
        <x:v>4469.481453472651</x:v>
      </x:c>
      <x:c r="BI234" s="141" t="n">
        <x:f>BG234</x:f>
        <x:v>1936.383681336059</x:v>
      </x:c>
      <x:c r="BJ234" s="141" t="n">
        <x:f>$C234+BI234-BH234</x:f>
        <x:v>4466.902227863408</x:v>
      </x:c>
      <x:c r="BK234" s="141" t="n">
        <x:f>BN233*(1+Premissas!$B$41)+BJ234</x:f>
        <x:v>5228945.924093351</x:v>
      </x:c>
      <x:c r="BL234" s="141" t="n">
        <x:f>MAX(0,-BK234)</x:f>
        <x:v>0</x:v>
      </x:c>
      <x:c r="BM234" s="141" t="n">
        <x:f>BM233*(1+Premissas!$B$41)+BL234</x:f>
        <x:v>0</x:v>
      </x:c>
      <x:c r="BN234" s="141" t="n">
        <x:f>MAX(0,BK234)</x:f>
        <x:v>5228945.924093351</x:v>
      </x:c>
      <x:c r="BO234" s="141" t="n">
        <x:f>INDEX('Consorcio Direto'!$K$55:$K$534,$A234)</x:f>
        <x:v>42448.13835873476</x:v>
      </x:c>
      <x:c r="BP234" s="141" t="n">
        <x:f>IF($A234&lt;'Consorcio Direto'!$B$29,INDEX('Consorcio Direto'!$L$55:$L$534,$A234),$F234)</x:f>
        <x:v>608065.3521308961</x:v>
      </x:c>
      <x:c r="BQ234" s="141" t="n">
        <x:f>BN234+BP234-BO234</x:f>
        <x:v>5794563.137865513</x:v>
      </x:c>
      <x:c r="BR234" s="141" t="n">
        <x:f>IF(BM234&gt;1,"Inviavel",BQ234)</x:f>
        <x:v>5794563.137865513</x:v>
      </x:c>
      <x:c r="BS234" s="141" t="str">
        <x:f>IF(BM234&gt;1,"Inviavel","OK")</x:f>
        <x:v>OK</x:v>
      </x:c>
      <x:c r="BT234" s="141" t="n">
        <x:f>IF(AND('Carta Contemplada'!$B$22="Sim",$A234='Carta Contemplada'!$B$23),'Carta Contemplada'!$B$37,0)</x:f>
        <x:v>0</x:v>
      </x:c>
      <x:c r="BU234" s="141" t="n">
        <x:f>IF('Carta Contemplada'!$B$22="Sim",INDEX('Carta Contemplada'!$C$55:$C$1013,$A234),0)</x:f>
        <x:v>0</x:v>
      </x:c>
      <x:c r="BV234" s="141" t="n">
        <x:f>IF(AND('Carta Contemplada'!$B$22="Sim",Premissas!$B$11="Imovel",Premissas!$B$47="Moradia",$A234&lt;MAX('Carta Contemplada'!$B$44,Premissas!$B$49)),$D234,0)</x:f>
        <x:v>0</x:v>
      </x:c>
      <x:c r="BW234" s="141" t="n">
        <x:f>IF(AND('Carta Contemplada'!$B$22="Sim",Premissas!$B$11="Imovel",Premissas!$B$47="Investimento",$A234&gt;=MAX('Carta Contemplada'!$B$44,Premissas!$B$49)),$E234,0)</x:f>
        <x:v>1936.383681336059</x:v>
      </x:c>
      <x:c r="BX234" s="141" t="n">
        <x:f>BT234+BU234+BV234</x:f>
        <x:v>0</x:v>
      </x:c>
      <x:c r="BY234" s="141" t="n">
        <x:f>BW234</x:f>
        <x:v>1936.383681336059</x:v>
      </x:c>
      <x:c r="BZ234" s="141" t="n">
        <x:f>$C234+BY234-BX234</x:f>
        <x:v>8936.38368133606</x:v>
      </x:c>
      <x:c r="CA234" s="141" t="n">
        <x:f>CD233*(1+Premissas!$B$41)+BZ234</x:f>
        <x:v>5635020.640622546</x:v>
      </x:c>
      <x:c r="CB234" s="141" t="n">
        <x:f>MAX(0,-CA234)</x:f>
        <x:v>0</x:v>
      </x:c>
      <x:c r="CC234" s="141" t="n">
        <x:f>CC233*(1+Premissas!$B$41)+CB234</x:f>
        <x:v>0</x:v>
      </x:c>
      <x:c r="CD234" s="141" t="n">
        <x:f>MAX(0,CA234)</x:f>
        <x:v>5635020.640622546</x:v>
      </x:c>
      <x:c r="CE234" s="141" t="n">
        <x:f>IF(AND('Carta Contemplada'!$B$22="Sim",$A234&gt;='Carta Contemplada'!$B$23),INDEX('Carta Contemplada'!$I$55:$I$1013,$A234),0)</x:f>
        <x:v>0</x:v>
      </x:c>
      <x:c r="CF234" s="141" t="n">
        <x:f>IF(AND('Carta Contemplada'!$B$22="Sim",$A234&gt;='Carta Contemplada'!$B$44),$F234,0)</x:f>
        <x:v>608065.3521308961</x:v>
      </x:c>
      <x:c r="CG234" s="141" t="n">
        <x:f>CD234+CF234-CE234</x:f>
        <x:v>6243085.992753442</x:v>
      </x:c>
      <x:c r="CH234" s="141" t="n">
        <x:f>IF(CC234&gt;1,"Inviavel",CG234)</x:f>
        <x:v>6243085.992753442</x:v>
      </x:c>
      <x:c r="CI234" s="145" t="str">
        <x:f>IF(CC234&gt;1,"Inviavel","OK")</x:f>
        <x:v>OK</x:v>
      </x:c>
    </x:row>
    <x:row r="235">
      <x:c r="A235" s="142" t="n">
        <x:v>231</x:v>
      </x:c>
      <x:c r="B235" s="179" t="n">
        <x:f>EDATE(Premissas!$B$4,A235-1)</x:f>
        <x:v>53540</x:v>
      </x:c>
      <x:c r="C235" s="141" t="n">
        <x:f>IF(A235&lt;=Premissas!$B$39,Premissas!$B$42,0)</x:f>
        <x:v>7000</x:v>
      </x:c>
      <x:c r="D235" s="141" t="n">
        <x:f>Premissas!$B$54*(1+Premissas!$B$57)^INT((A235-1)/12)</x:f>
        <x:v>2117.9196514613145</x:v>
      </x:c>
      <x:c r="E235" s="141" t="n">
        <x:f>Premissas!$B$64*(1+Premissas!$B$57)^INT((A235-1)/12)</x:f>
        <x:v>1936.383681336059</x:v>
      </x:c>
      <x:c r="F235" s="141" t="n">
        <x:f>MAX(0,Premissas!$B$6*(1+Premissas!$B$66)^((A235-1)/12))</x:f>
        <x:v>611025.1409794263</x:v>
      </x:c>
      <x:c r="G235" s="141" t="n">
        <x:f>G234*(1+Premissas!$B$41)+C235</x:f>
        <x:v>6588546.964978216</x:v>
      </x:c>
      <x:c r="H235" s="141" t="n">
        <x:f>IF($A235=Premissas!$B$48,Premissas!$B$8,0)</x:f>
        <x:v>0</x:v>
      </x:c>
      <x:c r="I235" s="141" t="n">
        <x:f>IF(AND($A235&gt;=Premissas!$B$48,$A235-Premissas!$B$48+1&lt;=Premissas!$B$13),INDEX(Financiamento!$J$6:$J$485,$A235-Premissas!$B$48+1),0)</x:f>
        <x:v>1217.7602505031555</x:v>
      </x:c>
      <x:c r="J235" s="141" t="n">
        <x:f>IF(AND(TRUE,Premissas!$B$11="Imovel",Premissas!$B$47="Moradia",$A235&lt;MAX(Premissas!$B$48,Premissas!$B$49)),$D235,0)</x:f>
        <x:v>0</x:v>
      </x:c>
      <x:c r="K235" s="141" t="n">
        <x:f>IF(AND(TRUE,Premissas!$B$11="Imovel",Premissas!$B$47="Investimento",$A235&gt;=MAX(Premissas!$B$48,Premissas!$B$49)),$E235,0)</x:f>
        <x:v>1936.383681336059</x:v>
      </x:c>
      <x:c r="L235" s="141" t="n">
        <x:f>H235+I235+J235</x:f>
        <x:v>1217.7602505031555</x:v>
      </x:c>
      <x:c r="M235" s="141" t="n">
        <x:f>K235</x:f>
        <x:v>1936.383681336059</x:v>
      </x:c>
      <x:c r="N235" s="141" t="n">
        <x:f>$C235+M235-L235</x:f>
        <x:v>7718.623430832904</x:v>
      </x:c>
      <x:c r="O235" s="141" t="n">
        <x:f>R234*(1+Premissas!$B$41)+N235</x:f>
        <x:v>5548777.342256202</x:v>
      </x:c>
      <x:c r="P235" s="141" t="n">
        <x:f>MAX(0,-O235)</x:f>
        <x:v>0</x:v>
      </x:c>
      <x:c r="Q235" s="141" t="n">
        <x:f>Q234*(1+Premissas!$B$41)+P235</x:f>
        <x:v>0</x:v>
      </x:c>
      <x:c r="R235" s="141" t="n">
        <x:f>MAX(0,O235)</x:f>
        <x:v>5548777.342256202</x:v>
      </x:c>
      <x:c r="S235" s="141" t="n">
        <x:f>IF(AND($A235&gt;=Premissas!$B$48,$A235-Premissas!$B$48+1&lt;=Premissas!$B$13),INDEX(Financiamento!$M$6:$M$485,$A235-Premissas!$B$48+1),0)</x:f>
        <x:v>72000.00000000012</x:v>
      </x:c>
      <x:c r="T235" s="141" t="n">
        <x:f>IF($A235&gt;=Premissas!$B$48,$F235,0)</x:f>
        <x:v>611025.1409794263</x:v>
      </x:c>
      <x:c r="U235" s="141" t="n">
        <x:f>R235+T235-S235</x:f>
        <x:v>6087802.483235628</x:v>
      </x:c>
      <x:c r="V235" s="141" t="n">
        <x:f>IF(Q235&gt;1,"Inviavel",U235)</x:f>
        <x:v>6087802.483235628</x:v>
      </x:c>
      <x:c r="W235" s="141" t="str">
        <x:f>IF(Q235&gt;1,"Inviavel","OK")</x:f>
        <x:v>OK</x:v>
      </x:c>
      <x:c r="X235" s="141" t="n">
        <x:f>IF($A235=Premissas!$B$48,Premissas!$B$8,0)</x:f>
        <x:v>0</x:v>
      </x:c>
      <x:c r="Y235" s="141" t="n">
        <x:f>IF(AND($A235&gt;=Premissas!$B$48,$A235-Premissas!$B$48+1&lt;=Premissas!$B$13),INDEX(Amortizacao!$K$6:$K$485,$A235-Premissas!$B$48+1),0)</x:f>
        <x:v>0</x:v>
      </x:c>
      <x:c r="Z235" s="141" t="n">
        <x:f>IF(AND(TRUE,Premissas!$B$11="Imovel",Premissas!$B$47="Moradia",$A235&lt;MAX(Premissas!$B$48,Premissas!$B$49)),$D235,0)</x:f>
        <x:v>0</x:v>
      </x:c>
      <x:c r="AA235" s="141" t="n">
        <x:f>IF(AND(TRUE,Premissas!$B$11="Imovel",Premissas!$B$47="Investimento",$A235&gt;=MAX(Premissas!$B$48,Premissas!$B$49)),$E235,0)</x:f>
        <x:v>1936.383681336059</x:v>
      </x:c>
      <x:c r="AB235" s="141" t="n">
        <x:f>X235+Y235+Z235</x:f>
        <x:v>0</x:v>
      </x:c>
      <x:c r="AC235" s="141" t="n">
        <x:f>AA235</x:f>
        <x:v>1936.383681336059</x:v>
      </x:c>
      <x:c r="AD235" s="141" t="n">
        <x:f>$C235+AC235-AB235</x:f>
        <x:v>8936.38368133606</x:v>
      </x:c>
      <x:c r="AE235" s="141" t="n">
        <x:f>AH234*(1+Premissas!$B$41)+AD235</x:f>
        <x:v>5569508.434538225</x:v>
      </x:c>
      <x:c r="AF235" s="141" t="n">
        <x:f>MAX(0,-AE235)</x:f>
        <x:v>0</x:v>
      </x:c>
      <x:c r="AG235" s="141" t="n">
        <x:f>AG234*(1+Premissas!$B$41)+AF235</x:f>
        <x:v>0</x:v>
      </x:c>
      <x:c r="AH235" s="141" t="n">
        <x:f>MAX(0,AE235)</x:f>
        <x:v>5569508.434538225</x:v>
      </x:c>
      <x:c r="AI235" s="141" t="n">
        <x:f>IF(AND($A235&gt;=Premissas!$B$48,$A235-Premissas!$B$48+1&lt;=Premissas!$B$13),INDEX(Amortizacao!$L$6:$L$485,$A235-Premissas!$B$48+1),0)</x:f>
        <x:v>0</x:v>
      </x:c>
      <x:c r="AJ235" s="141" t="n">
        <x:f>IF($A235&gt;=Premissas!$B$48,$F235,0)</x:f>
        <x:v>611025.1409794263</x:v>
      </x:c>
      <x:c r="AK235" s="141" t="n">
        <x:f>AH235+AJ235-AI235</x:f>
        <x:v>6180533.575517651</x:v>
      </x:c>
      <x:c r="AL235" s="141" t="n">
        <x:f>IF(AG235&gt;1,"Inviavel",AK235)</x:f>
        <x:v>6180533.575517651</x:v>
      </x:c>
      <x:c r="AM235" s="141" t="str">
        <x:f>IF(AG235&gt;1,"Inviavel","OK")</x:f>
        <x:v>OK</x:v>
      </x:c>
      <x:c r="AN235" s="141" t="n">
        <x:f>IF($A235=Premissas!$B$48,Premissas!$B$8,0)</x:f>
        <x:v>0</x:v>
      </x:c>
      <x:c r="AO235" s="141" t="n">
        <x:f>IF($A235&lt;=Premissas!$B$25,INDEX('Consorcio IQ'!$K$6:$K$485,$A235),0)</x:f>
        <x:v>1726.001210670401</x:v>
      </x:c>
      <x:c r="AP235" s="141" t="n">
        <x:f>IF(AND(TRUE,Premissas!$B$11="Imovel",Premissas!$B$47="Moradia",$A235&lt;MAX(Premissas!$B$48,Premissas!$B$49)),$D235,0)</x:f>
        <x:v>0</x:v>
      </x:c>
      <x:c r="AQ235" s="141" t="n">
        <x:f>IF(AND(TRUE,Premissas!$B$11="Imovel",Premissas!$B$47="Investimento",$A235&gt;=MAX(Premissas!$B$48,Premissas!$B$49)),$E235,0)</x:f>
        <x:v>1936.383681336059</x:v>
      </x:c>
      <x:c r="AR235" s="141" t="n">
        <x:f>AN235+AO235+AP235</x:f>
        <x:v>1726.001210670401</x:v>
      </x:c>
      <x:c r="AS235" s="141" t="n">
        <x:f>AQ235</x:f>
        <x:v>1936.383681336059</x:v>
      </x:c>
      <x:c r="AT235" s="141" t="n">
        <x:f>$C235+AS235-AR235</x:f>
        <x:v>7210.382470665659</x:v>
      </x:c>
      <x:c r="AU235" s="141" t="n">
        <x:f>AX234*(1+Premissas!$B$41)+AT235</x:f>
        <x:v>5533605.690370341</x:v>
      </x:c>
      <x:c r="AV235" s="141" t="n">
        <x:f>MAX(0,-AU235)</x:f>
        <x:v>0</x:v>
      </x:c>
      <x:c r="AW235" s="141" t="n">
        <x:f>AW234*(1+Premissas!$B$41)+AV235</x:f>
        <x:v>0</x:v>
      </x:c>
      <x:c r="AX235" s="141" t="n">
        <x:f>MAX(0,AU235)</x:f>
        <x:v>5533605.690370341</x:v>
      </x:c>
      <x:c r="AY235" s="141" t="n">
        <x:f>INDEX('Consorcio IQ'!$P$6:$P$485,$A235)</x:f>
        <x:v>14821.945232113496</x:v>
      </x:c>
      <x:c r="AZ235" s="141" t="n">
        <x:f>IF($A235&gt;=Premissas!$B$48,$F235,0)+IF($A235&lt;Premissas!$B$27,INDEX('Consorcio IQ'!$O$6:$O$485,$A235),0)</x:f>
        <x:v>611025.1409794263</x:v>
      </x:c>
      <x:c r="BA235" s="141" t="n">
        <x:f>AX235+AZ235-AY235</x:f>
        <x:v>6129808.886117653</x:v>
      </x:c>
      <x:c r="BB235" s="141" t="n">
        <x:f>IF(AW235&gt;1,"Inviavel",BA235)</x:f>
        <x:v>6129808.886117653</x:v>
      </x:c>
      <x:c r="BC235" s="141" t="str">
        <x:f>IF(AW235&gt;1,"Inviavel","OK")</x:f>
        <x:v>OK</x:v>
      </x:c>
      <x:c r="BD235" s="141" t="n">
        <x:f>IF($A235='Consorcio Direto'!$B$29,'Consorcio Direto'!$B$44,0)</x:f>
        <x:v>0</x:v>
      </x:c>
      <x:c r="BE235" s="141" t="n">
        <x:f>IF($A235&lt;='Consorcio Direto'!$B$27,INDEX('Consorcio Direto'!$E$55:$E$534,$A235),0)</x:f>
        <x:v>4469.481453472651</x:v>
      </x:c>
      <x:c r="BF235" s="141" t="n">
        <x:f>IF(AND(TRUE,Premissas!$B$11="Imovel",Premissas!$B$47="Moradia",$A235&lt;MAX('Consorcio Direto'!$B$29,Premissas!$B$49)),$D235,0)</x:f>
        <x:v>0</x:v>
      </x:c>
      <x:c r="BG235" s="141" t="n">
        <x:f>IF(AND(TRUE,Premissas!$B$11="Imovel",Premissas!$B$47="Investimento",$A235&gt;=MAX('Consorcio Direto'!$B$29,Premissas!$B$49)),$E235,0)</x:f>
        <x:v>1936.383681336059</x:v>
      </x:c>
      <x:c r="BH235" s="141" t="n">
        <x:f>BD235+BE235+BF235</x:f>
        <x:v>4469.481453472651</x:v>
      </x:c>
      <x:c r="BI235" s="141" t="n">
        <x:f>BG235</x:f>
        <x:v>1936.383681336059</x:v>
      </x:c>
      <x:c r="BJ235" s="141" t="n">
        <x:f>$C235+BI235-BH235</x:f>
        <x:v>4466.902227863408</x:v>
      </x:c>
      <x:c r="BK235" s="141" t="n">
        <x:f>BN234*(1+Premissas!$B$41)+BJ235</x:f>
        <x:v>5283029.211461068</x:v>
      </x:c>
      <x:c r="BL235" s="141" t="n">
        <x:f>MAX(0,-BK235)</x:f>
        <x:v>0</x:v>
      </x:c>
      <x:c r="BM235" s="141" t="n">
        <x:f>BM234*(1+Premissas!$B$41)+BL235</x:f>
        <x:v>0</x:v>
      </x:c>
      <x:c r="BN235" s="141" t="n">
        <x:f>MAX(0,BK235)</x:f>
        <x:v>5283029.211461068</x:v>
      </x:c>
      <x:c r="BO235" s="141" t="n">
        <x:f>INDEX('Consorcio Direto'!$K$55:$K$534,$A235)</x:f>
        <x:v>38381.43850060667</x:v>
      </x:c>
      <x:c r="BP235" s="141" t="n">
        <x:f>IF($A235&lt;'Consorcio Direto'!$B$29,INDEX('Consorcio Direto'!$L$55:$L$534,$A235),$F235)</x:f>
        <x:v>611025.1409794263</x:v>
      </x:c>
      <x:c r="BQ235" s="141" t="n">
        <x:f>BN235+BP235-BO235</x:f>
        <x:v>5855672.913939888</x:v>
      </x:c>
      <x:c r="BR235" s="141" t="n">
        <x:f>IF(BM235&gt;1,"Inviavel",BQ235)</x:f>
        <x:v>5855672.913939888</x:v>
      </x:c>
      <x:c r="BS235" s="141" t="str">
        <x:f>IF(BM235&gt;1,"Inviavel","OK")</x:f>
        <x:v>OK</x:v>
      </x:c>
      <x:c r="BT235" s="141" t="n">
        <x:f>IF(AND('Carta Contemplada'!$B$22="Sim",$A235='Carta Contemplada'!$B$23),'Carta Contemplada'!$B$37,0)</x:f>
        <x:v>0</x:v>
      </x:c>
      <x:c r="BU235" s="141" t="n">
        <x:f>IF('Carta Contemplada'!$B$22="Sim",INDEX('Carta Contemplada'!$C$55:$C$1013,$A235),0)</x:f>
        <x:v>0</x:v>
      </x:c>
      <x:c r="BV235" s="141" t="n">
        <x:f>IF(AND('Carta Contemplada'!$B$22="Sim",Premissas!$B$11="Imovel",Premissas!$B$47="Moradia",$A235&lt;MAX('Carta Contemplada'!$B$44,Premissas!$B$49)),$D235,0)</x:f>
        <x:v>0</x:v>
      </x:c>
      <x:c r="BW235" s="141" t="n">
        <x:f>IF(AND('Carta Contemplada'!$B$22="Sim",Premissas!$B$11="Imovel",Premissas!$B$47="Investimento",$A235&gt;=MAX('Carta Contemplada'!$B$44,Premissas!$B$49)),$E235,0)</x:f>
        <x:v>1936.383681336059</x:v>
      </x:c>
      <x:c r="BX235" s="141" t="n">
        <x:f>BT235+BU235+BV235</x:f>
        <x:v>0</x:v>
      </x:c>
      <x:c r="BY235" s="141" t="n">
        <x:f>BW235</x:f>
        <x:v>1936.383681336059</x:v>
      </x:c>
      <x:c r="BZ235" s="141" t="n">
        <x:f>$C235+BY235-BX235</x:f>
        <x:v>8936.38368133606</x:v>
      </x:c>
      <x:c r="CA235" s="141" t="n">
        <x:f>CD234*(1+Premissas!$B$41)+BZ235</x:f>
        <x:v>5697426.568344851</x:v>
      </x:c>
      <x:c r="CB235" s="141" t="n">
        <x:f>MAX(0,-CA235)</x:f>
        <x:v>0</x:v>
      </x:c>
      <x:c r="CC235" s="141" t="n">
        <x:f>CC234*(1+Premissas!$B$41)+CB235</x:f>
        <x:v>0</x:v>
      </x:c>
      <x:c r="CD235" s="141" t="n">
        <x:f>MAX(0,CA235)</x:f>
        <x:v>5697426.568344851</x:v>
      </x:c>
      <x:c r="CE235" s="141" t="n">
        <x:f>IF(AND('Carta Contemplada'!$B$22="Sim",$A235&gt;='Carta Contemplada'!$B$23),INDEX('Carta Contemplada'!$I$55:$I$1013,$A235),0)</x:f>
        <x:v>0</x:v>
      </x:c>
      <x:c r="CF235" s="141" t="n">
        <x:f>IF(AND('Carta Contemplada'!$B$22="Sim",$A235&gt;='Carta Contemplada'!$B$44),$F235,0)</x:f>
        <x:v>611025.1409794263</x:v>
      </x:c>
      <x:c r="CG235" s="141" t="n">
        <x:f>CD235+CF235-CE235</x:f>
        <x:v>6308451.709324277</x:v>
      </x:c>
      <x:c r="CH235" s="141" t="n">
        <x:f>IF(CC235&gt;1,"Inviavel",CG235)</x:f>
        <x:v>6308451.709324277</x:v>
      </x:c>
      <x:c r="CI235" s="145" t="str">
        <x:f>IF(CC235&gt;1,"Inviavel","OK")</x:f>
        <x:v>OK</x:v>
      </x:c>
    </x:row>
    <x:row r="236">
      <x:c r="A236" s="142" t="n">
        <x:v>232</x:v>
      </x:c>
      <x:c r="B236" s="179" t="n">
        <x:f>EDATE(Premissas!$B$4,A236-1)</x:f>
        <x:v>53571</x:v>
      </x:c>
      <x:c r="C236" s="141" t="n">
        <x:f>IF(A236&lt;=Premissas!$B$39,Premissas!$B$42,0)</x:f>
        <x:v>7000</x:v>
      </x:c>
      <x:c r="D236" s="141" t="n">
        <x:f>Premissas!$B$54*(1+Premissas!$B$57)^INT((A236-1)/12)</x:f>
        <x:v>2117.9196514613145</x:v>
      </x:c>
      <x:c r="E236" s="141" t="n">
        <x:f>Premissas!$B$64*(1+Premissas!$B$57)^INT((A236-1)/12)</x:f>
        <x:v>1936.383681336059</x:v>
      </x:c>
      <x:c r="F236" s="141" t="n">
        <x:f>MAX(0,Premissas!$B$6*(1+Premissas!$B$66)^((A236-1)/12))</x:f>
        <x:v>613999.3367498396</x:v>
      </x:c>
      <x:c r="G236" s="141" t="n">
        <x:f>G235*(1+Premissas!$B$41)+C236</x:f>
        <x:v>6658064.32286867</x:v>
      </x:c>
      <x:c r="H236" s="141" t="n">
        <x:f>IF($A236=Premissas!$B$48,Premissas!$B$8,0)</x:f>
        <x:v>0</x:v>
      </x:c>
      <x:c r="I236" s="141" t="n">
        <x:f>IF(AND($A236&gt;=Premissas!$B$48,$A236-Premissas!$B$48+1&lt;=Premissas!$B$13),INDEX(Financiamento!$J$6:$J$485,$A236-Premissas!$B$48+1),0)</x:f>
        <x:v>1214.145472242362</x:v>
      </x:c>
      <x:c r="J236" s="141" t="n">
        <x:f>IF(AND(TRUE,Premissas!$B$11="Imovel",Premissas!$B$47="Moradia",$A236&lt;MAX(Premissas!$B$48,Premissas!$B$49)),$D236,0)</x:f>
        <x:v>0</x:v>
      </x:c>
      <x:c r="K236" s="141" t="n">
        <x:f>IF(AND(TRUE,Premissas!$B$11="Imovel",Premissas!$B$47="Investimento",$A236&gt;=MAX(Premissas!$B$48,Premissas!$B$49)),$E236,0)</x:f>
        <x:v>1936.383681336059</x:v>
      </x:c>
      <x:c r="L236" s="141" t="n">
        <x:f>H236+I236+J236</x:f>
        <x:v>1214.145472242362</x:v>
      </x:c>
      <x:c r="M236" s="141" t="n">
        <x:f>K236</x:f>
        <x:v>1936.383681336059</x:v>
      </x:c>
      <x:c r="N236" s="141" t="n">
        <x:f>$C236+M236-L236</x:f>
        <x:v>7722.238209093697</x:v>
      </x:c>
      <x:c r="O236" s="141" t="n">
        <x:f>R235*(1+Premissas!$B$41)+N236</x:f>
        <x:v>5609150.779706071</x:v>
      </x:c>
      <x:c r="P236" s="141" t="n">
        <x:f>MAX(0,-O236)</x:f>
        <x:v>0</x:v>
      </x:c>
      <x:c r="Q236" s="141" t="n">
        <x:f>Q235*(1+Premissas!$B$41)+P236</x:f>
        <x:v>0</x:v>
      </x:c>
      <x:c r="R236" s="141" t="n">
        <x:f>MAX(0,O236)</x:f>
        <x:v>5609150.779706071</x:v>
      </x:c>
      <x:c r="S236" s="141" t="n">
        <x:f>IF(AND($A236&gt;=Premissas!$B$48,$A236-Premissas!$B$48+1&lt;=Premissas!$B$13),INDEX(Financiamento!$M$6:$M$485,$A236-Premissas!$B$48+1),0)</x:f>
        <x:v>71619.04761904773</x:v>
      </x:c>
      <x:c r="T236" s="141" t="n">
        <x:f>IF($A236&gt;=Premissas!$B$48,$F236,0)</x:f>
        <x:v>613999.3367498396</x:v>
      </x:c>
      <x:c r="U236" s="141" t="n">
        <x:f>R236+T236-S236</x:f>
        <x:v>6151531.068836863</x:v>
      </x:c>
      <x:c r="V236" s="141" t="n">
        <x:f>IF(Q236&gt;1,"Inviavel",U236)</x:f>
        <x:v>6151531.068836863</x:v>
      </x:c>
      <x:c r="W236" s="141" t="str">
        <x:f>IF(Q236&gt;1,"Inviavel","OK")</x:f>
        <x:v>OK</x:v>
      </x:c>
      <x:c r="X236" s="141" t="n">
        <x:f>IF($A236=Premissas!$B$48,Premissas!$B$8,0)</x:f>
        <x:v>0</x:v>
      </x:c>
      <x:c r="Y236" s="141" t="n">
        <x:f>IF(AND($A236&gt;=Premissas!$B$48,$A236-Premissas!$B$48+1&lt;=Premissas!$B$13),INDEX(Amortizacao!$K$6:$K$485,$A236-Premissas!$B$48+1),0)</x:f>
        <x:v>0</x:v>
      </x:c>
      <x:c r="Z236" s="141" t="n">
        <x:f>IF(AND(TRUE,Premissas!$B$11="Imovel",Premissas!$B$47="Moradia",$A236&lt;MAX(Premissas!$B$48,Premissas!$B$49)),$D236,0)</x:f>
        <x:v>0</x:v>
      </x:c>
      <x:c r="AA236" s="141" t="n">
        <x:f>IF(AND(TRUE,Premissas!$B$11="Imovel",Premissas!$B$47="Investimento",$A236&gt;=MAX(Premissas!$B$48,Premissas!$B$49)),$E236,0)</x:f>
        <x:v>1936.383681336059</x:v>
      </x:c>
      <x:c r="AB236" s="141" t="n">
        <x:f>X236+Y236+Z236</x:f>
        <x:v>0</x:v>
      </x:c>
      <x:c r="AC236" s="141" t="n">
        <x:f>AA236</x:f>
        <x:v>1936.383681336059</x:v>
      </x:c>
      <x:c r="AD236" s="141" t="n">
        <x:f>$C236+AC236-AB236</x:f>
        <x:v>8936.38368133606</x:v>
      </x:c>
      <x:c r="AE236" s="141" t="n">
        <x:f>AH235*(1+Premissas!$B$41)+AD236</x:f>
        <x:v>5631292.730502308</x:v>
      </x:c>
      <x:c r="AF236" s="141" t="n">
        <x:f>MAX(0,-AE236)</x:f>
        <x:v>0</x:v>
      </x:c>
      <x:c r="AG236" s="141" t="n">
        <x:f>AG235*(1+Premissas!$B$41)+AF236</x:f>
        <x:v>0</x:v>
      </x:c>
      <x:c r="AH236" s="141" t="n">
        <x:f>MAX(0,AE236)</x:f>
        <x:v>5631292.730502308</x:v>
      </x:c>
      <x:c r="AI236" s="141" t="n">
        <x:f>IF(AND($A236&gt;=Premissas!$B$48,$A236-Premissas!$B$48+1&lt;=Premissas!$B$13),INDEX(Amortizacao!$L$6:$L$485,$A236-Premissas!$B$48+1),0)</x:f>
        <x:v>0</x:v>
      </x:c>
      <x:c r="AJ236" s="141" t="n">
        <x:f>IF($A236&gt;=Premissas!$B$48,$F236,0)</x:f>
        <x:v>613999.3367498396</x:v>
      </x:c>
      <x:c r="AK236" s="141" t="n">
        <x:f>AH236+AJ236-AI236</x:f>
        <x:v>6245292.067252148</x:v>
      </x:c>
      <x:c r="AL236" s="141" t="n">
        <x:f>IF(AG236&gt;1,"Inviavel",AK236)</x:f>
        <x:v>6245292.067252148</x:v>
      </x:c>
      <x:c r="AM236" s="141" t="str">
        <x:f>IF(AG236&gt;1,"Inviavel","OK")</x:f>
        <x:v>OK</x:v>
      </x:c>
      <x:c r="AN236" s="141" t="n">
        <x:f>IF($A236=Premissas!$B$48,Premissas!$B$8,0)</x:f>
        <x:v>0</x:v>
      </x:c>
      <x:c r="AO236" s="141" t="n">
        <x:f>IF($A236&lt;=Premissas!$B$25,INDEX('Consorcio IQ'!$K$6:$K$485,$A236),0)</x:f>
        <x:v>1726.001210670401</x:v>
      </x:c>
      <x:c r="AP236" s="141" t="n">
        <x:f>IF(AND(TRUE,Premissas!$B$11="Imovel",Premissas!$B$47="Moradia",$A236&lt;MAX(Premissas!$B$48,Premissas!$B$49)),$D236,0)</x:f>
        <x:v>0</x:v>
      </x:c>
      <x:c r="AQ236" s="141" t="n">
        <x:f>IF(AND(TRUE,Premissas!$B$11="Imovel",Premissas!$B$47="Investimento",$A236&gt;=MAX(Premissas!$B$48,Premissas!$B$49)),$E236,0)</x:f>
        <x:v>1936.383681336059</x:v>
      </x:c>
      <x:c r="AR236" s="141" t="n">
        <x:f>AN236+AO236+AP236</x:f>
        <x:v>1726.001210670401</x:v>
      </x:c>
      <x:c r="AS236" s="141" t="n">
        <x:f>AQ236</x:f>
        <x:v>1936.383681336059</x:v>
      </x:c>
      <x:c r="AT236" s="141" t="n">
        <x:f>$C236+AS236-AR236</x:f>
        <x:v>7210.382470665659</x:v>
      </x:c>
      <x:c r="AU236" s="141" t="n">
        <x:f>AX235*(1+Premissas!$B$41)+AT236</x:f>
        <x:v>5593323.311418561</x:v>
      </x:c>
      <x:c r="AV236" s="141" t="n">
        <x:f>MAX(0,-AU236)</x:f>
        <x:v>0</x:v>
      </x:c>
      <x:c r="AW236" s="141" t="n">
        <x:f>AW235*(1+Premissas!$B$41)+AV236</x:f>
        <x:v>0</x:v>
      </x:c>
      <x:c r="AX236" s="141" t="n">
        <x:f>MAX(0,AU236)</x:f>
        <x:v>5593323.311418561</x:v>
      </x:c>
      <x:c r="AY236" s="141" t="n">
        <x:f>INDEX('Consorcio IQ'!$P$6:$P$485,$A236)</x:f>
        <x:v>13236.58639063835</x:v>
      </x:c>
      <x:c r="AZ236" s="141" t="n">
        <x:f>IF($A236&gt;=Premissas!$B$48,$F236,0)+IF($A236&lt;Premissas!$B$27,INDEX('Consorcio IQ'!$O$6:$O$485,$A236),0)</x:f>
        <x:v>613999.3367498396</x:v>
      </x:c>
      <x:c r="BA236" s="141" t="n">
        <x:f>AX236+AZ236-AY236</x:f>
        <x:v>6194086.061777762</x:v>
      </x:c>
      <x:c r="BB236" s="141" t="n">
        <x:f>IF(AW236&gt;1,"Inviavel",BA236)</x:f>
        <x:v>6194086.061777762</x:v>
      </x:c>
      <x:c r="BC236" s="141" t="str">
        <x:f>IF(AW236&gt;1,"Inviavel","OK")</x:f>
        <x:v>OK</x:v>
      </x:c>
      <x:c r="BD236" s="141" t="n">
        <x:f>IF($A236='Consorcio Direto'!$B$29,'Consorcio Direto'!$B$44,0)</x:f>
        <x:v>0</x:v>
      </x:c>
      <x:c r="BE236" s="141" t="n">
        <x:f>IF($A236&lt;='Consorcio Direto'!$B$27,INDEX('Consorcio Direto'!$E$55:$E$534,$A236),0)</x:f>
        <x:v>4469.481453472651</x:v>
      </x:c>
      <x:c r="BF236" s="141" t="n">
        <x:f>IF(AND(TRUE,Premissas!$B$11="Imovel",Premissas!$B$47="Moradia",$A236&lt;MAX('Consorcio Direto'!$B$29,Premissas!$B$49)),$D236,0)</x:f>
        <x:v>0</x:v>
      </x:c>
      <x:c r="BG236" s="141" t="n">
        <x:f>IF(AND(TRUE,Premissas!$B$11="Imovel",Premissas!$B$47="Investimento",$A236&gt;=MAX('Consorcio Direto'!$B$29,Premissas!$B$49)),$E236,0)</x:f>
        <x:v>1936.383681336059</x:v>
      </x:c>
      <x:c r="BH236" s="141" t="n">
        <x:f>BD236+BE236+BF236</x:f>
        <x:v>4469.481453472651</x:v>
      </x:c>
      <x:c r="BI236" s="141" t="n">
        <x:f>BG236</x:f>
        <x:v>1936.383681336059</x:v>
      </x:c>
      <x:c r="BJ236" s="141" t="n">
        <x:f>$C236+BI236-BH236</x:f>
        <x:v>4466.902227863408</x:v>
      </x:c>
      <x:c r="BK236" s="141" t="n">
        <x:f>BN235*(1+Premissas!$B$41)+BJ236</x:f>
        <x:v>5337625.68394384</x:v>
      </x:c>
      <x:c r="BL236" s="141" t="n">
        <x:f>MAX(0,-BK236)</x:f>
        <x:v>0</x:v>
      </x:c>
      <x:c r="BM236" s="141" t="n">
        <x:f>BM235*(1+Premissas!$B$41)+BL236</x:f>
        <x:v>0</x:v>
      </x:c>
      <x:c r="BN236" s="141" t="n">
        <x:f>MAX(0,BK236)</x:f>
        <x:v>5337625.68394384</x:v>
      </x:c>
      <x:c r="BO236" s="141" t="n">
        <x:f>INDEX('Consorcio Direto'!$K$55:$K$534,$A236)</x:f>
        <x:v>34276.15056959771</x:v>
      </x:c>
      <x:c r="BP236" s="141" t="n">
        <x:f>IF($A236&lt;'Consorcio Direto'!$B$29,INDEX('Consorcio Direto'!$L$55:$L$534,$A236),$F236)</x:f>
        <x:v>613999.3367498396</x:v>
      </x:c>
      <x:c r="BQ236" s="141" t="n">
        <x:f>BN236+BP236-BO236</x:f>
        <x:v>5917348.870124082</x:v>
      </x:c>
      <x:c r="BR236" s="141" t="n">
        <x:f>IF(BM236&gt;1,"Inviavel",BQ236)</x:f>
        <x:v>5917348.870124082</x:v>
      </x:c>
      <x:c r="BS236" s="141" t="str">
        <x:f>IF(BM236&gt;1,"Inviavel","OK")</x:f>
        <x:v>OK</x:v>
      </x:c>
      <x:c r="BT236" s="141" t="n">
        <x:f>IF(AND('Carta Contemplada'!$B$22="Sim",$A236='Carta Contemplada'!$B$23),'Carta Contemplada'!$B$37,0)</x:f>
        <x:v>0</x:v>
      </x:c>
      <x:c r="BU236" s="141" t="n">
        <x:f>IF('Carta Contemplada'!$B$22="Sim",INDEX('Carta Contemplada'!$C$55:$C$1013,$A236),0)</x:f>
        <x:v>0</x:v>
      </x:c>
      <x:c r="BV236" s="141" t="n">
        <x:f>IF(AND('Carta Contemplada'!$B$22="Sim",Premissas!$B$11="Imovel",Premissas!$B$47="Moradia",$A236&lt;MAX('Carta Contemplada'!$B$44,Premissas!$B$49)),$D236,0)</x:f>
        <x:v>0</x:v>
      </x:c>
      <x:c r="BW236" s="141" t="n">
        <x:f>IF(AND('Carta Contemplada'!$B$22="Sim",Premissas!$B$11="Imovel",Premissas!$B$47="Investimento",$A236&gt;=MAX('Carta Contemplada'!$B$44,Premissas!$B$49)),$E236,0)</x:f>
        <x:v>1936.383681336059</x:v>
      </x:c>
      <x:c r="BX236" s="141" t="n">
        <x:f>BT236+BU236+BV236</x:f>
        <x:v>0</x:v>
      </x:c>
      <x:c r="BY236" s="141" t="n">
        <x:f>BW236</x:f>
        <x:v>1936.383681336059</x:v>
      </x:c>
      <x:c r="BZ236" s="141" t="n">
        <x:f>$C236+BY236-BX236</x:f>
        <x:v>8936.38368133606</x:v>
      </x:c>
      <x:c r="CA236" s="141" t="n">
        <x:f>CD235*(1+Premissas!$B$41)+BZ236</x:f>
        <x:v>5760424.652993204</x:v>
      </x:c>
      <x:c r="CB236" s="141" t="n">
        <x:f>MAX(0,-CA236)</x:f>
        <x:v>0</x:v>
      </x:c>
      <x:c r="CC236" s="141" t="n">
        <x:f>CC235*(1+Premissas!$B$41)+CB236</x:f>
        <x:v>0</x:v>
      </x:c>
      <x:c r="CD236" s="141" t="n">
        <x:f>MAX(0,CA236)</x:f>
        <x:v>5760424.652993204</x:v>
      </x:c>
      <x:c r="CE236" s="141" t="n">
        <x:f>IF(AND('Carta Contemplada'!$B$22="Sim",$A236&gt;='Carta Contemplada'!$B$23),INDEX('Carta Contemplada'!$I$55:$I$1013,$A236),0)</x:f>
        <x:v>0</x:v>
      </x:c>
      <x:c r="CF236" s="141" t="n">
        <x:f>IF(AND('Carta Contemplada'!$B$22="Sim",$A236&gt;='Carta Contemplada'!$B$44),$F236,0)</x:f>
        <x:v>613999.3367498396</x:v>
      </x:c>
      <x:c r="CG236" s="141" t="n">
        <x:f>CD236+CF236-CE236</x:f>
        <x:v>6374423.989743044</x:v>
      </x:c>
      <x:c r="CH236" s="141" t="n">
        <x:f>IF(CC236&gt;1,"Inviavel",CG236)</x:f>
        <x:v>6374423.989743044</x:v>
      </x:c>
      <x:c r="CI236" s="145" t="str">
        <x:f>IF(CC236&gt;1,"Inviavel","OK")</x:f>
        <x:v>OK</x:v>
      </x:c>
    </x:row>
    <x:row r="237">
      <x:c r="A237" s="142" t="n">
        <x:v>233</x:v>
      </x:c>
      <x:c r="B237" s="179" t="n">
        <x:f>EDATE(Premissas!$B$4,A237-1)</x:f>
        <x:v>53601</x:v>
      </x:c>
      <x:c r="C237" s="141" t="n">
        <x:f>IF(A237&lt;=Premissas!$B$39,Premissas!$B$42,0)</x:f>
        <x:v>7000</x:v>
      </x:c>
      <x:c r="D237" s="141" t="n">
        <x:f>Premissas!$B$54*(1+Premissas!$B$57)^INT((A237-1)/12)</x:f>
        <x:v>2117.9196514613145</x:v>
      </x:c>
      <x:c r="E237" s="141" t="n">
        <x:f>Premissas!$B$64*(1+Premissas!$B$57)^INT((A237-1)/12)</x:f>
        <x:v>1936.383681336059</x:v>
      </x:c>
      <x:c r="F237" s="141" t="n">
        <x:f>MAX(0,Premissas!$B$6*(1+Premissas!$B$66)^((A237-1)/12))</x:f>
        <x:v>616988.0095685564</x:v>
      </x:c>
      <x:c r="G237" s="141" t="n">
        <x:f>G236*(1+Premissas!$B$41)+C237</x:f>
        <x:v>6728241.316573506</x:v>
      </x:c>
      <x:c r="H237" s="141" t="n">
        <x:f>IF($A237=Premissas!$B$48,Premissas!$B$8,0)</x:f>
        <x:v>0</x:v>
      </x:c>
      <x:c r="I237" s="141" t="n">
        <x:f>IF(AND($A237&gt;=Premissas!$B$48,$A237-Premissas!$B$48+1&lt;=Premissas!$B$13),INDEX(Financiamento!$J$6:$J$485,$A237-Premissas!$B$48+1),0)</x:f>
        <x:v>1210.5306939815684</x:v>
      </x:c>
      <x:c r="J237" s="141" t="n">
        <x:f>IF(AND(TRUE,Premissas!$B$11="Imovel",Premissas!$B$47="Moradia",$A237&lt;MAX(Premissas!$B$48,Premissas!$B$49)),$D237,0)</x:f>
        <x:v>0</x:v>
      </x:c>
      <x:c r="K237" s="141" t="n">
        <x:f>IF(AND(TRUE,Premissas!$B$11="Imovel",Premissas!$B$47="Investimento",$A237&gt;=MAX(Premissas!$B$48,Premissas!$B$49)),$E237,0)</x:f>
        <x:v>1936.383681336059</x:v>
      </x:c>
      <x:c r="L237" s="141" t="n">
        <x:f>H237+I237+J237</x:f>
        <x:v>1210.5306939815684</x:v>
      </x:c>
      <x:c r="M237" s="141" t="n">
        <x:f>K237</x:f>
        <x:v>1936.383681336059</x:v>
      </x:c>
      <x:c r="N237" s="141" t="n">
        <x:f>$C237+M237-L237</x:f>
        <x:v>7725.852987354491</x:v>
      </x:c>
      <x:c r="O237" s="141" t="n">
        <x:f>R236*(1+Premissas!$B$41)+N237</x:f>
        <x:v>5670100.702980911</x:v>
      </x:c>
      <x:c r="P237" s="141" t="n">
        <x:f>MAX(0,-O237)</x:f>
        <x:v>0</x:v>
      </x:c>
      <x:c r="Q237" s="141" t="n">
        <x:f>Q236*(1+Premissas!$B$41)+P237</x:f>
        <x:v>0</x:v>
      </x:c>
      <x:c r="R237" s="141" t="n">
        <x:f>MAX(0,O237)</x:f>
        <x:v>5670100.702980911</x:v>
      </x:c>
      <x:c r="S237" s="141" t="n">
        <x:f>IF(AND($A237&gt;=Premissas!$B$48,$A237-Premissas!$B$48+1&lt;=Premissas!$B$13),INDEX(Financiamento!$M$6:$M$485,$A237-Premissas!$B$48+1),0)</x:f>
        <x:v>71238.09523809535</x:v>
      </x:c>
      <x:c r="T237" s="141" t="n">
        <x:f>IF($A237&gt;=Premissas!$B$48,$F237,0)</x:f>
        <x:v>616988.0095685564</x:v>
      </x:c>
      <x:c r="U237" s="141" t="n">
        <x:f>R237+T237-S237</x:f>
        <x:v>6215850.617311372</x:v>
      </x:c>
      <x:c r="V237" s="141" t="n">
        <x:f>IF(Q237&gt;1,"Inviavel",U237)</x:f>
        <x:v>6215850.617311372</x:v>
      </x:c>
      <x:c r="W237" s="141" t="str">
        <x:f>IF(Q237&gt;1,"Inviavel","OK")</x:f>
        <x:v>OK</x:v>
      </x:c>
      <x:c r="X237" s="141" t="n">
        <x:f>IF($A237=Premissas!$B$48,Premissas!$B$8,0)</x:f>
        <x:v>0</x:v>
      </x:c>
      <x:c r="Y237" s="141" t="n">
        <x:f>IF(AND($A237&gt;=Premissas!$B$48,$A237-Premissas!$B$48+1&lt;=Premissas!$B$13),INDEX(Amortizacao!$K$6:$K$485,$A237-Premissas!$B$48+1),0)</x:f>
        <x:v>0</x:v>
      </x:c>
      <x:c r="Z237" s="141" t="n">
        <x:f>IF(AND(TRUE,Premissas!$B$11="Imovel",Premissas!$B$47="Moradia",$A237&lt;MAX(Premissas!$B$48,Premissas!$B$49)),$D237,0)</x:f>
        <x:v>0</x:v>
      </x:c>
      <x:c r="AA237" s="141" t="n">
        <x:f>IF(AND(TRUE,Premissas!$B$11="Imovel",Premissas!$B$47="Investimento",$A237&gt;=MAX(Premissas!$B$48,Premissas!$B$49)),$E237,0)</x:f>
        <x:v>1936.383681336059</x:v>
      </x:c>
      <x:c r="AB237" s="141" t="n">
        <x:f>X237+Y237+Z237</x:f>
        <x:v>0</x:v>
      </x:c>
      <x:c r="AC237" s="141" t="n">
        <x:f>AA237</x:f>
        <x:v>1936.383681336059</x:v>
      </x:c>
      <x:c r="AD237" s="141" t="n">
        <x:f>$C237+AC237-AB237</x:f>
        <x:v>8936.38368133606</x:v>
      </x:c>
      <x:c r="AE237" s="141" t="n">
        <x:f>AH236*(1+Premissas!$B$41)+AD237</x:f>
        <x:v>5693663.2848574035</x:v>
      </x:c>
      <x:c r="AF237" s="141" t="n">
        <x:f>MAX(0,-AE237)</x:f>
        <x:v>0</x:v>
      </x:c>
      <x:c r="AG237" s="141" t="n">
        <x:f>AG236*(1+Premissas!$B$41)+AF237</x:f>
        <x:v>0</x:v>
      </x:c>
      <x:c r="AH237" s="141" t="n">
        <x:f>MAX(0,AE237)</x:f>
        <x:v>5693663.2848574035</x:v>
      </x:c>
      <x:c r="AI237" s="141" t="n">
        <x:f>IF(AND($A237&gt;=Premissas!$B$48,$A237-Premissas!$B$48+1&lt;=Premissas!$B$13),INDEX(Amortizacao!$L$6:$L$485,$A237-Premissas!$B$48+1),0)</x:f>
        <x:v>0</x:v>
      </x:c>
      <x:c r="AJ237" s="141" t="n">
        <x:f>IF($A237&gt;=Premissas!$B$48,$F237,0)</x:f>
        <x:v>616988.0095685564</x:v>
      </x:c>
      <x:c r="AK237" s="141" t="n">
        <x:f>AH237+AJ237-AI237</x:f>
        <x:v>6310651.29442596</x:v>
      </x:c>
      <x:c r="AL237" s="141" t="n">
        <x:f>IF(AG237&gt;1,"Inviavel",AK237)</x:f>
        <x:v>6310651.29442596</x:v>
      </x:c>
      <x:c r="AM237" s="141" t="str">
        <x:f>IF(AG237&gt;1,"Inviavel","OK")</x:f>
        <x:v>OK</x:v>
      </x:c>
      <x:c r="AN237" s="141" t="n">
        <x:f>IF($A237=Premissas!$B$48,Premissas!$B$8,0)</x:f>
        <x:v>0</x:v>
      </x:c>
      <x:c r="AO237" s="141" t="n">
        <x:f>IF($A237&lt;=Premissas!$B$25,INDEX('Consorcio IQ'!$K$6:$K$485,$A237),0)</x:f>
        <x:v>1726.001210670401</x:v>
      </x:c>
      <x:c r="AP237" s="141" t="n">
        <x:f>IF(AND(TRUE,Premissas!$B$11="Imovel",Premissas!$B$47="Moradia",$A237&lt;MAX(Premissas!$B$48,Premissas!$B$49)),$D237,0)</x:f>
        <x:v>0</x:v>
      </x:c>
      <x:c r="AQ237" s="141" t="n">
        <x:f>IF(AND(TRUE,Premissas!$B$11="Imovel",Premissas!$B$47="Investimento",$A237&gt;=MAX(Premissas!$B$48,Premissas!$B$49)),$E237,0)</x:f>
        <x:v>1936.383681336059</x:v>
      </x:c>
      <x:c r="AR237" s="141" t="n">
        <x:f>AN237+AO237+AP237</x:f>
        <x:v>1726.001210670401</x:v>
      </x:c>
      <x:c r="AS237" s="141" t="n">
        <x:f>AQ237</x:f>
        <x:v>1936.383681336059</x:v>
      </x:c>
      <x:c r="AT237" s="141" t="n">
        <x:f>$C237+AS237-AR237</x:f>
        <x:v>7210.382470665659</x:v>
      </x:c>
      <x:c r="AU237" s="141" t="n">
        <x:f>AX236*(1+Premissas!$B$41)+AT237</x:f>
        <x:v>5653607.580607454</x:v>
      </x:c>
      <x:c r="AV237" s="141" t="n">
        <x:f>MAX(0,-AU237)</x:f>
        <x:v>0</x:v>
      </x:c>
      <x:c r="AW237" s="141" t="n">
        <x:f>AW236*(1+Premissas!$B$41)+AV237</x:f>
        <x:v>0</x:v>
      </x:c>
      <x:c r="AX237" s="141" t="n">
        <x:f>MAX(0,AU237)</x:f>
        <x:v>5653607.580607454</x:v>
      </x:c>
      <x:c r="AY237" s="141" t="n">
        <x:f>INDEX('Consorcio IQ'!$P$6:$P$485,$A237)</x:f>
        <x:v>11636.184407389435</x:v>
      </x:c>
      <x:c r="AZ237" s="141" t="n">
        <x:f>IF($A237&gt;=Premissas!$B$48,$F237,0)+IF($A237&lt;Premissas!$B$27,INDEX('Consorcio IQ'!$O$6:$O$485,$A237),0)</x:f>
        <x:v>616988.0095685564</x:v>
      </x:c>
      <x:c r="BA237" s="141" t="n">
        <x:f>AX237+AZ237-AY237</x:f>
        <x:v>6258959.405768621</x:v>
      </x:c>
      <x:c r="BB237" s="141" t="n">
        <x:f>IF(AW237&gt;1,"Inviavel",BA237)</x:f>
        <x:v>6258959.405768621</x:v>
      </x:c>
      <x:c r="BC237" s="141" t="str">
        <x:f>IF(AW237&gt;1,"Inviavel","OK")</x:f>
        <x:v>OK</x:v>
      </x:c>
      <x:c r="BD237" s="141" t="n">
        <x:f>IF($A237='Consorcio Direto'!$B$29,'Consorcio Direto'!$B$44,0)</x:f>
        <x:v>0</x:v>
      </x:c>
      <x:c r="BE237" s="141" t="n">
        <x:f>IF($A237&lt;='Consorcio Direto'!$B$27,INDEX('Consorcio Direto'!$E$55:$E$534,$A237),0)</x:f>
        <x:v>4469.481453472651</x:v>
      </x:c>
      <x:c r="BF237" s="141" t="n">
        <x:f>IF(AND(TRUE,Premissas!$B$11="Imovel",Premissas!$B$47="Moradia",$A237&lt;MAX('Consorcio Direto'!$B$29,Premissas!$B$49)),$D237,0)</x:f>
        <x:v>0</x:v>
      </x:c>
      <x:c r="BG237" s="141" t="n">
        <x:f>IF(AND(TRUE,Premissas!$B$11="Imovel",Premissas!$B$47="Investimento",$A237&gt;=MAX('Consorcio Direto'!$B$29,Premissas!$B$49)),$E237,0)</x:f>
        <x:v>1936.383681336059</x:v>
      </x:c>
      <x:c r="BH237" s="141" t="n">
        <x:f>BD237+BE237+BF237</x:f>
        <x:v>4469.481453472651</x:v>
      </x:c>
      <x:c r="BI237" s="141" t="n">
        <x:f>BG237</x:f>
        <x:v>1936.383681336059</x:v>
      </x:c>
      <x:c r="BJ237" s="141" t="n">
        <x:f>$C237+BI237-BH237</x:f>
        <x:v>4466.902227863408</x:v>
      </x:c>
      <x:c r="BK237" s="141" t="n">
        <x:f>BN236*(1+Premissas!$B$41)+BJ237</x:f>
        <x:v>5392740.211048959</x:v>
      </x:c>
      <x:c r="BL237" s="141" t="n">
        <x:f>MAX(0,-BK237)</x:f>
        <x:v>0</x:v>
      </x:c>
      <x:c r="BM237" s="141" t="n">
        <x:f>BM236*(1+Premissas!$B$41)+BL237</x:f>
        <x:v>0</x:v>
      </x:c>
      <x:c r="BN237" s="141" t="n">
        <x:f>MAX(0,BK237)</x:f>
        <x:v>5392740.211048959</x:v>
      </x:c>
      <x:c r="BO237" s="141" t="n">
        <x:f>INDEX('Consorcio Direto'!$K$55:$K$534,$A237)</x:f>
        <x:v>30131.908411474556</x:v>
      </x:c>
      <x:c r="BP237" s="141" t="n">
        <x:f>IF($A237&lt;'Consorcio Direto'!$B$29,INDEX('Consorcio Direto'!$L$55:$L$534,$A237),$F237)</x:f>
        <x:v>616988.0095685564</x:v>
      </x:c>
      <x:c r="BQ237" s="141" t="n">
        <x:f>BN237+BP237-BO237</x:f>
        <x:v>5979596.31220604</x:v>
      </x:c>
      <x:c r="BR237" s="141" t="n">
        <x:f>IF(BM237&gt;1,"Inviavel",BQ237)</x:f>
        <x:v>5979596.31220604</x:v>
      </x:c>
      <x:c r="BS237" s="141" t="str">
        <x:f>IF(BM237&gt;1,"Inviavel","OK")</x:f>
        <x:v>OK</x:v>
      </x:c>
      <x:c r="BT237" s="141" t="n">
        <x:f>IF(AND('Carta Contemplada'!$B$22="Sim",$A237='Carta Contemplada'!$B$23),'Carta Contemplada'!$B$37,0)</x:f>
        <x:v>0</x:v>
      </x:c>
      <x:c r="BU237" s="141" t="n">
        <x:f>IF('Carta Contemplada'!$B$22="Sim",INDEX('Carta Contemplada'!$C$55:$C$1013,$A237),0)</x:f>
        <x:v>0</x:v>
      </x:c>
      <x:c r="BV237" s="141" t="n">
        <x:f>IF(AND('Carta Contemplada'!$B$22="Sim",Premissas!$B$11="Imovel",Premissas!$B$47="Moradia",$A237&lt;MAX('Carta Contemplada'!$B$44,Premissas!$B$49)),$D237,0)</x:f>
        <x:v>0</x:v>
      </x:c>
      <x:c r="BW237" s="141" t="n">
        <x:f>IF(AND('Carta Contemplada'!$B$22="Sim",Premissas!$B$11="Imovel",Premissas!$B$47="Investimento",$A237&gt;=MAX('Carta Contemplada'!$B$44,Premissas!$B$49)),$E237,0)</x:f>
        <x:v>1936.383681336059</x:v>
      </x:c>
      <x:c r="BX237" s="141" t="n">
        <x:f>BT237+BU237+BV237</x:f>
        <x:v>0</x:v>
      </x:c>
      <x:c r="BY237" s="141" t="n">
        <x:f>BW237</x:f>
        <x:v>1936.383681336059</x:v>
      </x:c>
      <x:c r="BZ237" s="141" t="n">
        <x:f>$C237+BY237-BX237</x:f>
        <x:v>8936.38368133606</x:v>
      </x:c>
      <x:c r="CA237" s="141" t="n">
        <x:f>CD236*(1+Premissas!$B$41)+BZ237</x:f>
        <x:v>5824020.513422061</x:v>
      </x:c>
      <x:c r="CB237" s="141" t="n">
        <x:f>MAX(0,-CA237)</x:f>
        <x:v>0</x:v>
      </x:c>
      <x:c r="CC237" s="141" t="n">
        <x:f>CC236*(1+Premissas!$B$41)+CB237</x:f>
        <x:v>0</x:v>
      </x:c>
      <x:c r="CD237" s="141" t="n">
        <x:f>MAX(0,CA237)</x:f>
        <x:v>5824020.513422061</x:v>
      </x:c>
      <x:c r="CE237" s="141" t="n">
        <x:f>IF(AND('Carta Contemplada'!$B$22="Sim",$A237&gt;='Carta Contemplada'!$B$23),INDEX('Carta Contemplada'!$I$55:$I$1013,$A237),0)</x:f>
        <x:v>0</x:v>
      </x:c>
      <x:c r="CF237" s="141" t="n">
        <x:f>IF(AND('Carta Contemplada'!$B$22="Sim",$A237&gt;='Carta Contemplada'!$B$44),$F237,0)</x:f>
        <x:v>616988.0095685564</x:v>
      </x:c>
      <x:c r="CG237" s="141" t="n">
        <x:f>CD237+CF237-CE237</x:f>
        <x:v>6441008.522990617</x:v>
      </x:c>
      <x:c r="CH237" s="141" t="n">
        <x:f>IF(CC237&gt;1,"Inviavel",CG237)</x:f>
        <x:v>6441008.522990617</x:v>
      </x:c>
      <x:c r="CI237" s="145" t="str">
        <x:f>IF(CC237&gt;1,"Inviavel","OK")</x:f>
        <x:v>OK</x:v>
      </x:c>
    </x:row>
    <x:row r="238">
      <x:c r="A238" s="142" t="n">
        <x:v>234</x:v>
      </x:c>
      <x:c r="B238" s="179" t="n">
        <x:f>EDATE(Premissas!$B$4,A238-1)</x:f>
        <x:v>53632</x:v>
      </x:c>
      <x:c r="C238" s="141" t="n">
        <x:f>IF(A238&lt;=Premissas!$B$39,Premissas!$B$42,0)</x:f>
        <x:v>7000</x:v>
      </x:c>
      <x:c r="D238" s="141" t="n">
        <x:f>Premissas!$B$54*(1+Premissas!$B$57)^INT((A238-1)/12)</x:f>
        <x:v>2117.9196514613145</x:v>
      </x:c>
      <x:c r="E238" s="141" t="n">
        <x:f>Premissas!$B$64*(1+Premissas!$B$57)^INT((A238-1)/12)</x:f>
        <x:v>1936.383681336059</x:v>
      </x:c>
      <x:c r="F238" s="141" t="n">
        <x:f>MAX(0,Premissas!$B$6*(1+Premissas!$B$66)^((A238-1)/12))</x:f>
        <x:v>619991.2299033417</x:v>
      </x:c>
      <x:c r="G238" s="141" t="n">
        <x:f>G237*(1+Premissas!$B$41)+C238</x:f>
        <x:v>6799084.205240379</x:v>
      </x:c>
      <x:c r="H238" s="141" t="n">
        <x:f>IF($A238=Premissas!$B$48,Premissas!$B$8,0)</x:f>
        <x:v>0</x:v>
      </x:c>
      <x:c r="I238" s="141" t="n">
        <x:f>IF(AND($A238&gt;=Premissas!$B$48,$A238-Premissas!$B$48+1&lt;=Premissas!$B$13),INDEX(Financiamento!$J$6:$J$485,$A238-Premissas!$B$48+1),0)</x:f>
        <x:v>1206.9159157207748</x:v>
      </x:c>
      <x:c r="J238" s="141" t="n">
        <x:f>IF(AND(TRUE,Premissas!$B$11="Imovel",Premissas!$B$47="Moradia",$A238&lt;MAX(Premissas!$B$48,Premissas!$B$49)),$D238,0)</x:f>
        <x:v>0</x:v>
      </x:c>
      <x:c r="K238" s="141" t="n">
        <x:f>IF(AND(TRUE,Premissas!$B$11="Imovel",Premissas!$B$47="Investimento",$A238&gt;=MAX(Premissas!$B$48,Premissas!$B$49)),$E238,0)</x:f>
        <x:v>1936.383681336059</x:v>
      </x:c>
      <x:c r="L238" s="141" t="n">
        <x:f>H238+I238+J238</x:f>
        <x:v>1206.9159157207748</x:v>
      </x:c>
      <x:c r="M238" s="141" t="n">
        <x:f>K238</x:f>
        <x:v>1936.383681336059</x:v>
      </x:c>
      <x:c r="N238" s="141" t="n">
        <x:f>$C238+M238-L238</x:f>
        <x:v>7729.467765615284</x:v>
      </x:c>
      <x:c r="O238" s="141" t="n">
        <x:f>R237*(1+Premissas!$B$41)+N238</x:f>
        <x:v>5731632.582235347</x:v>
      </x:c>
      <x:c r="P238" s="141" t="n">
        <x:f>MAX(0,-O238)</x:f>
        <x:v>0</x:v>
      </x:c>
      <x:c r="Q238" s="141" t="n">
        <x:f>Q237*(1+Premissas!$B$41)+P238</x:f>
        <x:v>0</x:v>
      </x:c>
      <x:c r="R238" s="141" t="n">
        <x:f>MAX(0,O238)</x:f>
        <x:v>5731632.582235347</x:v>
      </x:c>
      <x:c r="S238" s="141" t="n">
        <x:f>IF(AND($A238&gt;=Premissas!$B$48,$A238-Premissas!$B$48+1&lt;=Premissas!$B$13),INDEX(Financiamento!$M$6:$M$485,$A238-Premissas!$B$48+1),0)</x:f>
        <x:v>70857.14285714297</x:v>
      </x:c>
      <x:c r="T238" s="141" t="n">
        <x:f>IF($A238&gt;=Premissas!$B$48,$F238,0)</x:f>
        <x:v>619991.2299033417</x:v>
      </x:c>
      <x:c r="U238" s="141" t="n">
        <x:f>R238+T238-S238</x:f>
        <x:v>6280766.669281545</x:v>
      </x:c>
      <x:c r="V238" s="141" t="n">
        <x:f>IF(Q238&gt;1,"Inviavel",U238)</x:f>
        <x:v>6280766.669281545</x:v>
      </x:c>
      <x:c r="W238" s="141" t="str">
        <x:f>IF(Q238&gt;1,"Inviavel","OK")</x:f>
        <x:v>OK</x:v>
      </x:c>
      <x:c r="X238" s="141" t="n">
        <x:f>IF($A238=Premissas!$B$48,Premissas!$B$8,0)</x:f>
        <x:v>0</x:v>
      </x:c>
      <x:c r="Y238" s="141" t="n">
        <x:f>IF(AND($A238&gt;=Premissas!$B$48,$A238-Premissas!$B$48+1&lt;=Premissas!$B$13),INDEX(Amortizacao!$K$6:$K$485,$A238-Premissas!$B$48+1),0)</x:f>
        <x:v>0</x:v>
      </x:c>
      <x:c r="Z238" s="141" t="n">
        <x:f>IF(AND(TRUE,Premissas!$B$11="Imovel",Premissas!$B$47="Moradia",$A238&lt;MAX(Premissas!$B$48,Premissas!$B$49)),$D238,0)</x:f>
        <x:v>0</x:v>
      </x:c>
      <x:c r="AA238" s="141" t="n">
        <x:f>IF(AND(TRUE,Premissas!$B$11="Imovel",Premissas!$B$47="Investimento",$A238&gt;=MAX(Premissas!$B$48,Premissas!$B$49)),$E238,0)</x:f>
        <x:v>1936.383681336059</x:v>
      </x:c>
      <x:c r="AB238" s="141" t="n">
        <x:f>X238+Y238+Z238</x:f>
        <x:v>0</x:v>
      </x:c>
      <x:c r="AC238" s="141" t="n">
        <x:f>AA238</x:f>
        <x:v>1936.383681336059</x:v>
      </x:c>
      <x:c r="AD238" s="141" t="n">
        <x:f>$C238+AC238-AB238</x:f>
        <x:v>8936.38368133606</x:v>
      </x:c>
      <x:c r="AE238" s="141" t="n">
        <x:f>AH237*(1+Premissas!$B$41)+AD238</x:f>
        <x:v>5756625.66048799</x:v>
      </x:c>
      <x:c r="AF238" s="141" t="n">
        <x:f>MAX(0,-AE238)</x:f>
        <x:v>0</x:v>
      </x:c>
      <x:c r="AG238" s="141" t="n">
        <x:f>AG237*(1+Premissas!$B$41)+AF238</x:f>
        <x:v>0</x:v>
      </x:c>
      <x:c r="AH238" s="141" t="n">
        <x:f>MAX(0,AE238)</x:f>
        <x:v>5756625.66048799</x:v>
      </x:c>
      <x:c r="AI238" s="141" t="n">
        <x:f>IF(AND($A238&gt;=Premissas!$B$48,$A238-Premissas!$B$48+1&lt;=Premissas!$B$13),INDEX(Amortizacao!$L$6:$L$485,$A238-Premissas!$B$48+1),0)</x:f>
        <x:v>0</x:v>
      </x:c>
      <x:c r="AJ238" s="141" t="n">
        <x:f>IF($A238&gt;=Premissas!$B$48,$F238,0)</x:f>
        <x:v>619991.2299033417</x:v>
      </x:c>
      <x:c r="AK238" s="141" t="n">
        <x:f>AH238+AJ238-AI238</x:f>
        <x:v>6376616.890391331</x:v>
      </x:c>
      <x:c r="AL238" s="141" t="n">
        <x:f>IF(AG238&gt;1,"Inviavel",AK238)</x:f>
        <x:v>6376616.890391331</x:v>
      </x:c>
      <x:c r="AM238" s="141" t="str">
        <x:f>IF(AG238&gt;1,"Inviavel","OK")</x:f>
        <x:v>OK</x:v>
      </x:c>
      <x:c r="AN238" s="141" t="n">
        <x:f>IF($A238=Premissas!$B$48,Premissas!$B$8,0)</x:f>
        <x:v>0</x:v>
      </x:c>
      <x:c r="AO238" s="141" t="n">
        <x:f>IF($A238&lt;=Premissas!$B$25,INDEX('Consorcio IQ'!$K$6:$K$485,$A238),0)</x:f>
        <x:v>1726.001210670401</x:v>
      </x:c>
      <x:c r="AP238" s="141" t="n">
        <x:f>IF(AND(TRUE,Premissas!$B$11="Imovel",Premissas!$B$47="Moradia",$A238&lt;MAX(Premissas!$B$48,Premissas!$B$49)),$D238,0)</x:f>
        <x:v>0</x:v>
      </x:c>
      <x:c r="AQ238" s="141" t="n">
        <x:f>IF(AND(TRUE,Premissas!$B$11="Imovel",Premissas!$B$47="Investimento",$A238&gt;=MAX(Premissas!$B$48,Premissas!$B$49)),$E238,0)</x:f>
        <x:v>1936.383681336059</x:v>
      </x:c>
      <x:c r="AR238" s="141" t="n">
        <x:f>AN238+AO238+AP238</x:f>
        <x:v>1726.001210670401</x:v>
      </x:c>
      <x:c r="AS238" s="141" t="n">
        <x:f>AQ238</x:f>
        <x:v>1936.383681336059</x:v>
      </x:c>
      <x:c r="AT238" s="141" t="n">
        <x:f>$C238+AS238-AR238</x:f>
        <x:v>7210.382470665659</x:v>
      </x:c>
      <x:c r="AU238" s="141" t="n">
        <x:f>AX237*(1+Premissas!$B$41)+AT238</x:f>
        <x:v>5714463.874743893</x:v>
      </x:c>
      <x:c r="AV238" s="141" t="n">
        <x:f>MAX(0,-AU238)</x:f>
        <x:v>0</x:v>
      </x:c>
      <x:c r="AW238" s="141" t="n">
        <x:f>AW237*(1+Premissas!$B$41)+AV238</x:f>
        <x:v>0</x:v>
      </x:c>
      <x:c r="AX238" s="141" t="n">
        <x:f>MAX(0,AU238)</x:f>
        <x:v>5714463.874743893</x:v>
      </x:c>
      <x:c r="AY238" s="141" t="n">
        <x:f>INDEX('Consorcio IQ'!$P$6:$P$485,$A238)</x:f>
        <x:v>10020.596541109377</x:v>
      </x:c>
      <x:c r="AZ238" s="141" t="n">
        <x:f>IF($A238&gt;=Premissas!$B$48,$F238,0)+IF($A238&lt;Premissas!$B$27,INDEX('Consorcio IQ'!$O$6:$O$485,$A238),0)</x:f>
        <x:v>619991.2299033417</x:v>
      </x:c>
      <x:c r="BA238" s="141" t="n">
        <x:f>AX238+AZ238-AY238</x:f>
        <x:v>6324434.508106125</x:v>
      </x:c>
      <x:c r="BB238" s="141" t="n">
        <x:f>IF(AW238&gt;1,"Inviavel",BA238)</x:f>
        <x:v>6324434.508106125</x:v>
      </x:c>
      <x:c r="BC238" s="141" t="str">
        <x:f>IF(AW238&gt;1,"Inviavel","OK")</x:f>
        <x:v>OK</x:v>
      </x:c>
      <x:c r="BD238" s="141" t="n">
        <x:f>IF($A238='Consorcio Direto'!$B$29,'Consorcio Direto'!$B$44,0)</x:f>
        <x:v>0</x:v>
      </x:c>
      <x:c r="BE238" s="141" t="n">
        <x:f>IF($A238&lt;='Consorcio Direto'!$B$27,INDEX('Consorcio Direto'!$E$55:$E$534,$A238),0)</x:f>
        <x:v>4469.481453472651</x:v>
      </x:c>
      <x:c r="BF238" s="141" t="n">
        <x:f>IF(AND(TRUE,Premissas!$B$11="Imovel",Premissas!$B$47="Moradia",$A238&lt;MAX('Consorcio Direto'!$B$29,Premissas!$B$49)),$D238,0)</x:f>
        <x:v>0</x:v>
      </x:c>
      <x:c r="BG238" s="141" t="n">
        <x:f>IF(AND(TRUE,Premissas!$B$11="Imovel",Premissas!$B$47="Investimento",$A238&gt;=MAX('Consorcio Direto'!$B$29,Premissas!$B$49)),$E238,0)</x:f>
        <x:v>1936.383681336059</x:v>
      </x:c>
      <x:c r="BH238" s="141" t="n">
        <x:f>BD238+BE238+BF238</x:f>
        <x:v>4469.481453472651</x:v>
      </x:c>
      <x:c r="BI238" s="141" t="n">
        <x:f>BG238</x:f>
        <x:v>1936.383681336059</x:v>
      </x:c>
      <x:c r="BJ238" s="141" t="n">
        <x:f>$C238+BI238-BH238</x:f>
        <x:v>4466.902227863408</x:v>
      </x:c>
      <x:c r="BK238" s="141" t="n">
        <x:f>BN237*(1+Premissas!$B$41)+BJ238</x:f>
        <x:v>5448377.7084894655</x:v>
      </x:c>
      <x:c r="BL238" s="141" t="n">
        <x:f>MAX(0,-BK238)</x:f>
        <x:v>0</x:v>
      </x:c>
      <x:c r="BM238" s="141" t="n">
        <x:f>BM237*(1+Premissas!$B$41)+BL238</x:f>
        <x:v>0</x:v>
      </x:c>
      <x:c r="BN238" s="141" t="n">
        <x:f>MAX(0,BK238)</x:f>
        <x:v>5448377.7084894655</x:v>
      </x:c>
      <x:c r="BO238" s="141" t="n">
        <x:f>INDEX('Consorcio Direto'!$K$55:$K$534,$A238)</x:f>
        <x:v>25948.34239764221</x:v>
      </x:c>
      <x:c r="BP238" s="141" t="n">
        <x:f>IF($A238&lt;'Consorcio Direto'!$B$29,INDEX('Consorcio Direto'!$L$55:$L$534,$A238),$F238)</x:f>
        <x:v>619991.2299033417</x:v>
      </x:c>
      <x:c r="BQ238" s="141" t="n">
        <x:f>BN238+BP238-BO238</x:f>
        <x:v>6042420.5959951645</x:v>
      </x:c>
      <x:c r="BR238" s="141" t="n">
        <x:f>IF(BM238&gt;1,"Inviavel",BQ238)</x:f>
        <x:v>6042420.5959951645</x:v>
      </x:c>
      <x:c r="BS238" s="141" t="str">
        <x:f>IF(BM238&gt;1,"Inviavel","OK")</x:f>
        <x:v>OK</x:v>
      </x:c>
      <x:c r="BT238" s="141" t="n">
        <x:f>IF(AND('Carta Contemplada'!$B$22="Sim",$A238='Carta Contemplada'!$B$23),'Carta Contemplada'!$B$37,0)</x:f>
        <x:v>0</x:v>
      </x:c>
      <x:c r="BU238" s="141" t="n">
        <x:f>IF('Carta Contemplada'!$B$22="Sim",INDEX('Carta Contemplada'!$C$55:$C$1013,$A238),0)</x:f>
        <x:v>0</x:v>
      </x:c>
      <x:c r="BV238" s="141" t="n">
        <x:f>IF(AND('Carta Contemplada'!$B$22="Sim",Premissas!$B$11="Imovel",Premissas!$B$47="Moradia",$A238&lt;MAX('Carta Contemplada'!$B$44,Premissas!$B$49)),$D238,0)</x:f>
        <x:v>0</x:v>
      </x:c>
      <x:c r="BW238" s="141" t="n">
        <x:f>IF(AND('Carta Contemplada'!$B$22="Sim",Premissas!$B$11="Imovel",Premissas!$B$47="Investimento",$A238&gt;=MAX('Carta Contemplada'!$B$44,Premissas!$B$49)),$E238,0)</x:f>
        <x:v>1936.383681336059</x:v>
      </x:c>
      <x:c r="BX238" s="141" t="n">
        <x:f>BT238+BU238+BV238</x:f>
        <x:v>0</x:v>
      </x:c>
      <x:c r="BY238" s="141" t="n">
        <x:f>BW238</x:f>
        <x:v>1936.383681336059</x:v>
      </x:c>
      <x:c r="BZ238" s="141" t="n">
        <x:f>$C238+BY238-BX238</x:f>
        <x:v>8936.38368133606</x:v>
      </x:c>
      <x:c r="CA238" s="141" t="n">
        <x:f>CD237*(1+Premissas!$B$41)+BZ238</x:f>
        <x:v>5888219.821802023</x:v>
      </x:c>
      <x:c r="CB238" s="141" t="n">
        <x:f>MAX(0,-CA238)</x:f>
        <x:v>0</x:v>
      </x:c>
      <x:c r="CC238" s="141" t="n">
        <x:f>CC237*(1+Premissas!$B$41)+CB238</x:f>
        <x:v>0</x:v>
      </x:c>
      <x:c r="CD238" s="141" t="n">
        <x:f>MAX(0,CA238)</x:f>
        <x:v>5888219.821802023</x:v>
      </x:c>
      <x:c r="CE238" s="141" t="n">
        <x:f>IF(AND('Carta Contemplada'!$B$22="Sim",$A238&gt;='Carta Contemplada'!$B$23),INDEX('Carta Contemplada'!$I$55:$I$1013,$A238),0)</x:f>
        <x:v>0</x:v>
      </x:c>
      <x:c r="CF238" s="141" t="n">
        <x:f>IF(AND('Carta Contemplada'!$B$22="Sim",$A238&gt;='Carta Contemplada'!$B$44),$F238,0)</x:f>
        <x:v>619991.2299033417</x:v>
      </x:c>
      <x:c r="CG238" s="141" t="n">
        <x:f>CD238+CF238-CE238</x:f>
        <x:v>6508211.051705364</x:v>
      </x:c>
      <x:c r="CH238" s="141" t="n">
        <x:f>IF(CC238&gt;1,"Inviavel",CG238)</x:f>
        <x:v>6508211.051705364</x:v>
      </x:c>
      <x:c r="CI238" s="145" t="str">
        <x:f>IF(CC238&gt;1,"Inviavel","OK")</x:f>
        <x:v>OK</x:v>
      </x:c>
    </x:row>
    <x:row r="239">
      <x:c r="A239" s="142" t="n">
        <x:v>235</x:v>
      </x:c>
      <x:c r="B239" s="179" t="n">
        <x:f>EDATE(Premissas!$B$4,A239-1)</x:f>
        <x:v>53662</x:v>
      </x:c>
      <x:c r="C239" s="141" t="n">
        <x:f>IF(A239&lt;=Premissas!$B$39,Premissas!$B$42,0)</x:f>
        <x:v>7000</x:v>
      </x:c>
      <x:c r="D239" s="141" t="n">
        <x:f>Premissas!$B$54*(1+Premissas!$B$57)^INT((A239-1)/12)</x:f>
        <x:v>2117.9196514613145</x:v>
      </x:c>
      <x:c r="E239" s="141" t="n">
        <x:f>Premissas!$B$64*(1+Premissas!$B$57)^INT((A239-1)/12)</x:f>
        <x:v>1936.383681336059</x:v>
      </x:c>
      <x:c r="F239" s="141" t="n">
        <x:f>MAX(0,Premissas!$B$6*(1+Premissas!$B$66)^((A239-1)/12))</x:f>
        <x:v>623009.0685649655</x:v>
      </x:c>
      <x:c r="G239" s="141" t="n">
        <x:f>G238*(1+Premissas!$B$41)+C239</x:f>
        <x:v>6870599.307408699</x:v>
      </x:c>
      <x:c r="H239" s="141" t="n">
        <x:f>IF($A239=Premissas!$B$48,Premissas!$B$8,0)</x:f>
        <x:v>0</x:v>
      </x:c>
      <x:c r="I239" s="141" t="n">
        <x:f>IF(AND($A239&gt;=Premissas!$B$48,$A239-Premissas!$B$48+1&lt;=Premissas!$B$13),INDEX(Financiamento!$J$6:$J$485,$A239-Premissas!$B$48+1),0)</x:f>
        <x:v>1203.3011374599814</x:v>
      </x:c>
      <x:c r="J239" s="141" t="n">
        <x:f>IF(AND(TRUE,Premissas!$B$11="Imovel",Premissas!$B$47="Moradia",$A239&lt;MAX(Premissas!$B$48,Premissas!$B$49)),$D239,0)</x:f>
        <x:v>0</x:v>
      </x:c>
      <x:c r="K239" s="141" t="n">
        <x:f>IF(AND(TRUE,Premissas!$B$11="Imovel",Premissas!$B$47="Investimento",$A239&gt;=MAX(Premissas!$B$48,Premissas!$B$49)),$E239,0)</x:f>
        <x:v>1936.383681336059</x:v>
      </x:c>
      <x:c r="L239" s="141" t="n">
        <x:f>H239+I239+J239</x:f>
        <x:v>1203.3011374599814</x:v>
      </x:c>
      <x:c r="M239" s="141" t="n">
        <x:f>K239</x:f>
        <x:v>1936.383681336059</x:v>
      </x:c>
      <x:c r="N239" s="141" t="n">
        <x:f>$C239+M239-L239</x:f>
        <x:v>7733.0825438760785</x:v>
      </x:c>
      <x:c r="O239" s="141" t="n">
        <x:f>R238*(1+Premissas!$B$41)+N239</x:f>
        <x:v>5793751.939529164</x:v>
      </x:c>
      <x:c r="P239" s="141" t="n">
        <x:f>MAX(0,-O239)</x:f>
        <x:v>0</x:v>
      </x:c>
      <x:c r="Q239" s="141" t="n">
        <x:f>Q238*(1+Premissas!$B$41)+P239</x:f>
        <x:v>0</x:v>
      </x:c>
      <x:c r="R239" s="141" t="n">
        <x:f>MAX(0,O239)</x:f>
        <x:v>5793751.939529164</x:v>
      </x:c>
      <x:c r="S239" s="141" t="n">
        <x:f>IF(AND($A239&gt;=Premissas!$B$48,$A239-Premissas!$B$48+1&lt;=Premissas!$B$13),INDEX(Financiamento!$M$6:$M$485,$A239-Premissas!$B$48+1),0)</x:f>
        <x:v>70476.19047619059</x:v>
      </x:c>
      <x:c r="T239" s="141" t="n">
        <x:f>IF($A239&gt;=Premissas!$B$48,$F239,0)</x:f>
        <x:v>623009.0685649655</x:v>
      </x:c>
      <x:c r="U239" s="141" t="n">
        <x:f>R239+T239-S239</x:f>
        <x:v>6346284.817617939</x:v>
      </x:c>
      <x:c r="V239" s="141" t="n">
        <x:f>IF(Q239&gt;1,"Inviavel",U239)</x:f>
        <x:v>6346284.817617939</x:v>
      </x:c>
      <x:c r="W239" s="141" t="str">
        <x:f>IF(Q239&gt;1,"Inviavel","OK")</x:f>
        <x:v>OK</x:v>
      </x:c>
      <x:c r="X239" s="141" t="n">
        <x:f>IF($A239=Premissas!$B$48,Premissas!$B$8,0)</x:f>
        <x:v>0</x:v>
      </x:c>
      <x:c r="Y239" s="141" t="n">
        <x:f>IF(AND($A239&gt;=Premissas!$B$48,$A239-Premissas!$B$48+1&lt;=Premissas!$B$13),INDEX(Amortizacao!$K$6:$K$485,$A239-Premissas!$B$48+1),0)</x:f>
        <x:v>0</x:v>
      </x:c>
      <x:c r="Z239" s="141" t="n">
        <x:f>IF(AND(TRUE,Premissas!$B$11="Imovel",Premissas!$B$47="Moradia",$A239&lt;MAX(Premissas!$B$48,Premissas!$B$49)),$D239,0)</x:f>
        <x:v>0</x:v>
      </x:c>
      <x:c r="AA239" s="141" t="n">
        <x:f>IF(AND(TRUE,Premissas!$B$11="Imovel",Premissas!$B$47="Investimento",$A239&gt;=MAX(Premissas!$B$48,Premissas!$B$49)),$E239,0)</x:f>
        <x:v>1936.383681336059</x:v>
      </x:c>
      <x:c r="AB239" s="141" t="n">
        <x:f>X239+Y239+Z239</x:f>
        <x:v>0</x:v>
      </x:c>
      <x:c r="AC239" s="141" t="n">
        <x:f>AA239</x:f>
        <x:v>1936.383681336059</x:v>
      </x:c>
      <x:c r="AD239" s="141" t="n">
        <x:f>$C239+AC239-AB239</x:f>
        <x:v>8936.38368133606</x:v>
      </x:c>
      <x:c r="AE239" s="141" t="n">
        <x:f>AH238*(1+Premissas!$B$41)+AD239</x:f>
        <x:v>5820185.473063604</x:v>
      </x:c>
      <x:c r="AF239" s="141" t="n">
        <x:f>MAX(0,-AE239)</x:f>
        <x:v>0</x:v>
      </x:c>
      <x:c r="AG239" s="141" t="n">
        <x:f>AG238*(1+Premissas!$B$41)+AF239</x:f>
        <x:v>0</x:v>
      </x:c>
      <x:c r="AH239" s="141" t="n">
        <x:f>MAX(0,AE239)</x:f>
        <x:v>5820185.473063604</x:v>
      </x:c>
      <x:c r="AI239" s="141" t="n">
        <x:f>IF(AND($A239&gt;=Premissas!$B$48,$A239-Premissas!$B$48+1&lt;=Premissas!$B$13),INDEX(Amortizacao!$L$6:$L$485,$A239-Premissas!$B$48+1),0)</x:f>
        <x:v>0</x:v>
      </x:c>
      <x:c r="AJ239" s="141" t="n">
        <x:f>IF($A239&gt;=Premissas!$B$48,$F239,0)</x:f>
        <x:v>623009.0685649655</x:v>
      </x:c>
      <x:c r="AK239" s="141" t="n">
        <x:f>AH239+AJ239-AI239</x:f>
        <x:v>6443194.541628569</x:v>
      </x:c>
      <x:c r="AL239" s="141" t="n">
        <x:f>IF(AG239&gt;1,"Inviavel",AK239)</x:f>
        <x:v>6443194.541628569</x:v>
      </x:c>
      <x:c r="AM239" s="141" t="str">
        <x:f>IF(AG239&gt;1,"Inviavel","OK")</x:f>
        <x:v>OK</x:v>
      </x:c>
      <x:c r="AN239" s="141" t="n">
        <x:f>IF($A239=Premissas!$B$48,Premissas!$B$8,0)</x:f>
        <x:v>0</x:v>
      </x:c>
      <x:c r="AO239" s="141" t="n">
        <x:f>IF($A239&lt;=Premissas!$B$25,INDEX('Consorcio IQ'!$K$6:$K$485,$A239),0)</x:f>
        <x:v>1726.001210670401</x:v>
      </x:c>
      <x:c r="AP239" s="141" t="n">
        <x:f>IF(AND(TRUE,Premissas!$B$11="Imovel",Premissas!$B$47="Moradia",$A239&lt;MAX(Premissas!$B$48,Premissas!$B$49)),$D239,0)</x:f>
        <x:v>0</x:v>
      </x:c>
      <x:c r="AQ239" s="141" t="n">
        <x:f>IF(AND(TRUE,Premissas!$B$11="Imovel",Premissas!$B$47="Investimento",$A239&gt;=MAX(Premissas!$B$48,Premissas!$B$49)),$E239,0)</x:f>
        <x:v>1936.383681336059</x:v>
      </x:c>
      <x:c r="AR239" s="141" t="n">
        <x:f>AN239+AO239+AP239</x:f>
        <x:v>1726.001210670401</x:v>
      </x:c>
      <x:c r="AS239" s="141" t="n">
        <x:f>AQ239</x:f>
        <x:v>1936.383681336059</x:v>
      </x:c>
      <x:c r="AT239" s="141" t="n">
        <x:f>$C239+AS239-AR239</x:f>
        <x:v>7210.382470665659</x:v>
      </x:c>
      <x:c r="AU239" s="141" t="n">
        <x:f>AX238*(1+Premissas!$B$41)+AT239</x:f>
        <x:v>5775897.621654158</x:v>
      </x:c>
      <x:c r="AV239" s="141" t="n">
        <x:f>MAX(0,-AU239)</x:f>
        <x:v>0</x:v>
      </x:c>
      <x:c r="AW239" s="141" t="n">
        <x:f>AW238*(1+Premissas!$B$41)+AV239</x:f>
        <x:v>0</x:v>
      </x:c>
      <x:c r="AX239" s="141" t="n">
        <x:f>MAX(0,AU239)</x:f>
        <x:v>5775897.621654158</x:v>
      </x:c>
      <x:c r="AY239" s="141" t="n">
        <x:f>INDEX('Consorcio IQ'!$P$6:$P$485,$A239)</x:f>
        <x:v>8389.678696098561</x:v>
      </x:c>
      <x:c r="AZ239" s="141" t="n">
        <x:f>IF($A239&gt;=Premissas!$B$48,$F239,0)+IF($A239&lt;Premissas!$B$27,INDEX('Consorcio IQ'!$O$6:$O$485,$A239),0)</x:f>
        <x:v>623009.0685649655</x:v>
      </x:c>
      <x:c r="BA239" s="141" t="n">
        <x:f>AX239+AZ239-AY239</x:f>
        <x:v>6390517.011523025</x:v>
      </x:c>
      <x:c r="BB239" s="141" t="n">
        <x:f>IF(AW239&gt;1,"Inviavel",BA239)</x:f>
        <x:v>6390517.011523025</x:v>
      </x:c>
      <x:c r="BC239" s="141" t="str">
        <x:f>IF(AW239&gt;1,"Inviavel","OK")</x:f>
        <x:v>OK</x:v>
      </x:c>
      <x:c r="BD239" s="141" t="n">
        <x:f>IF($A239='Consorcio Direto'!$B$29,'Consorcio Direto'!$B$44,0)</x:f>
        <x:v>0</x:v>
      </x:c>
      <x:c r="BE239" s="141" t="n">
        <x:f>IF($A239&lt;='Consorcio Direto'!$B$27,INDEX('Consorcio Direto'!$E$55:$E$534,$A239),0)</x:f>
        <x:v>4469.481453472651</x:v>
      </x:c>
      <x:c r="BF239" s="141" t="n">
        <x:f>IF(AND(TRUE,Premissas!$B$11="Imovel",Premissas!$B$47="Moradia",$A239&lt;MAX('Consorcio Direto'!$B$29,Premissas!$B$49)),$D239,0)</x:f>
        <x:v>0</x:v>
      </x:c>
      <x:c r="BG239" s="141" t="n">
        <x:f>IF(AND(TRUE,Premissas!$B$11="Imovel",Premissas!$B$47="Investimento",$A239&gt;=MAX('Consorcio Direto'!$B$29,Premissas!$B$49)),$E239,0)</x:f>
        <x:v>1936.383681336059</x:v>
      </x:c>
      <x:c r="BH239" s="141" t="n">
        <x:f>BD239+BE239+BF239</x:f>
        <x:v>4469.481453472651</x:v>
      </x:c>
      <x:c r="BI239" s="141" t="n">
        <x:f>BG239</x:f>
        <x:v>1936.383681336059</x:v>
      </x:c>
      <x:c r="BJ239" s="141" t="n">
        <x:f>$C239+BI239-BH239</x:f>
        <x:v>4466.902227863408</x:v>
      </x:c>
      <x:c r="BK239" s="141" t="n">
        <x:f>BN238*(1+Premissas!$B$41)+BJ239</x:f>
        <x:v>5504543.138622584</x:v>
      </x:c>
      <x:c r="BL239" s="141" t="n">
        <x:f>MAX(0,-BK239)</x:f>
        <x:v>0</x:v>
      </x:c>
      <x:c r="BM239" s="141" t="n">
        <x:f>BM238*(1+Premissas!$B$41)+BL239</x:f>
        <x:v>0</x:v>
      </x:c>
      <x:c r="BN239" s="141" t="n">
        <x:f>MAX(0,BK239)</x:f>
        <x:v>5504543.138622584</x:v>
      </x:c>
      <x:c r="BO239" s="141" t="n">
        <x:f>INDEX('Consorcio Direto'!$K$55:$K$534,$A239)</x:f>
        <x:v>21725.07939217645</x:v>
      </x:c>
      <x:c r="BP239" s="141" t="n">
        <x:f>IF($A239&lt;'Consorcio Direto'!$B$29,INDEX('Consorcio Direto'!$L$55:$L$534,$A239),$F239)</x:f>
        <x:v>623009.0685649655</x:v>
      </x:c>
      <x:c r="BQ239" s="141" t="n">
        <x:f>BN239+BP239-BO239</x:f>
        <x:v>6105827.127795373</x:v>
      </x:c>
      <x:c r="BR239" s="141" t="n">
        <x:f>IF(BM239&gt;1,"Inviavel",BQ239)</x:f>
        <x:v>6105827.127795373</x:v>
      </x:c>
      <x:c r="BS239" s="141" t="str">
        <x:f>IF(BM239&gt;1,"Inviavel","OK")</x:f>
        <x:v>OK</x:v>
      </x:c>
      <x:c r="BT239" s="141" t="n">
        <x:f>IF(AND('Carta Contemplada'!$B$22="Sim",$A239='Carta Contemplada'!$B$23),'Carta Contemplada'!$B$37,0)</x:f>
        <x:v>0</x:v>
      </x:c>
      <x:c r="BU239" s="141" t="n">
        <x:f>IF('Carta Contemplada'!$B$22="Sim",INDEX('Carta Contemplada'!$C$55:$C$1013,$A239),0)</x:f>
        <x:v>0</x:v>
      </x:c>
      <x:c r="BV239" s="141" t="n">
        <x:f>IF(AND('Carta Contemplada'!$B$22="Sim",Premissas!$B$11="Imovel",Premissas!$B$47="Moradia",$A239&lt;MAX('Carta Contemplada'!$B$44,Premissas!$B$49)),$D239,0)</x:f>
        <x:v>0</x:v>
      </x:c>
      <x:c r="BW239" s="141" t="n">
        <x:f>IF(AND('Carta Contemplada'!$B$22="Sim",Premissas!$B$11="Imovel",Premissas!$B$47="Investimento",$A239&gt;=MAX('Carta Contemplada'!$B$44,Premissas!$B$49)),$E239,0)</x:f>
        <x:v>1936.383681336059</x:v>
      </x:c>
      <x:c r="BX239" s="141" t="n">
        <x:f>BT239+BU239+BV239</x:f>
        <x:v>0</x:v>
      </x:c>
      <x:c r="BY239" s="141" t="n">
        <x:f>BW239</x:f>
        <x:v>1936.383681336059</x:v>
      </x:c>
      <x:c r="BZ239" s="141" t="n">
        <x:f>$C239+BY239-BX239</x:f>
        <x:v>8936.38368133606</x:v>
      </x:c>
      <x:c r="CA239" s="141" t="n">
        <x:f>CD238*(1+Premissas!$B$41)+BZ239</x:f>
        <x:v>5953028.304125746</x:v>
      </x:c>
      <x:c r="CB239" s="141" t="n">
        <x:f>MAX(0,-CA239)</x:f>
        <x:v>0</x:v>
      </x:c>
      <x:c r="CC239" s="141" t="n">
        <x:f>CC238*(1+Premissas!$B$41)+CB239</x:f>
        <x:v>0</x:v>
      </x:c>
      <x:c r="CD239" s="141" t="n">
        <x:f>MAX(0,CA239)</x:f>
        <x:v>5953028.304125746</x:v>
      </x:c>
      <x:c r="CE239" s="141" t="n">
        <x:f>IF(AND('Carta Contemplada'!$B$22="Sim",$A239&gt;='Carta Contemplada'!$B$23),INDEX('Carta Contemplada'!$I$55:$I$1013,$A239),0)</x:f>
        <x:v>0</x:v>
      </x:c>
      <x:c r="CF239" s="141" t="n">
        <x:f>IF(AND('Carta Contemplada'!$B$22="Sim",$A239&gt;='Carta Contemplada'!$B$44),$F239,0)</x:f>
        <x:v>623009.0685649655</x:v>
      </x:c>
      <x:c r="CG239" s="141" t="n">
        <x:f>CD239+CF239-CE239</x:f>
        <x:v>6576037.372690711</x:v>
      </x:c>
      <x:c r="CH239" s="141" t="n">
        <x:f>IF(CC239&gt;1,"Inviavel",CG239)</x:f>
        <x:v>6576037.372690711</x:v>
      </x:c>
      <x:c r="CI239" s="145" t="str">
        <x:f>IF(CC239&gt;1,"Inviavel","OK")</x:f>
        <x:v>OK</x:v>
      </x:c>
    </x:row>
    <x:row r="240">
      <x:c r="A240" s="142" t="n">
        <x:v>236</x:v>
      </x:c>
      <x:c r="B240" s="179" t="n">
        <x:f>EDATE(Premissas!$B$4,A240-1)</x:f>
        <x:v>53693</x:v>
      </x:c>
      <x:c r="C240" s="141" t="n">
        <x:f>IF(A240&lt;=Premissas!$B$39,Premissas!$B$42,0)</x:f>
        <x:v>7000</x:v>
      </x:c>
      <x:c r="D240" s="141" t="n">
        <x:f>Premissas!$B$54*(1+Premissas!$B$57)^INT((A240-1)/12)</x:f>
        <x:v>2117.9196514613145</x:v>
      </x:c>
      <x:c r="E240" s="141" t="n">
        <x:f>Premissas!$B$64*(1+Premissas!$B$57)^INT((A240-1)/12)</x:f>
        <x:v>1936.383681336059</x:v>
      </x:c>
      <x:c r="F240" s="141" t="n">
        <x:f>MAX(0,Premissas!$B$6*(1+Premissas!$B$66)^((A240-1)/12))</x:f>
        <x:v>626041.5967088727</x:v>
      </x:c>
      <x:c r="G240" s="141" t="n">
        <x:f>G239*(1+Premissas!$B$41)+C240</x:f>
        <x:v>6942793.00157319</x:v>
      </x:c>
      <x:c r="H240" s="141" t="n">
        <x:f>IF($A240=Premissas!$B$48,Premissas!$B$8,0)</x:f>
        <x:v>0</x:v>
      </x:c>
      <x:c r="I240" s="141" t="n">
        <x:f>IF(AND($A240&gt;=Premissas!$B$48,$A240-Premissas!$B$48+1&lt;=Premissas!$B$13),INDEX(Financiamento!$J$6:$J$485,$A240-Premissas!$B$48+1),0)</x:f>
        <x:v>1199.6863591991878</x:v>
      </x:c>
      <x:c r="J240" s="141" t="n">
        <x:f>IF(AND(TRUE,Premissas!$B$11="Imovel",Premissas!$B$47="Moradia",$A240&lt;MAX(Premissas!$B$48,Premissas!$B$49)),$D240,0)</x:f>
        <x:v>0</x:v>
      </x:c>
      <x:c r="K240" s="141" t="n">
        <x:f>IF(AND(TRUE,Premissas!$B$11="Imovel",Premissas!$B$47="Investimento",$A240&gt;=MAX(Premissas!$B$48,Premissas!$B$49)),$E240,0)</x:f>
        <x:v>1936.383681336059</x:v>
      </x:c>
      <x:c r="L240" s="141" t="n">
        <x:f>H240+I240+J240</x:f>
        <x:v>1199.6863591991878</x:v>
      </x:c>
      <x:c r="M240" s="141" t="n">
        <x:f>K240</x:f>
        <x:v>1936.383681336059</x:v>
      </x:c>
      <x:c r="N240" s="141" t="n">
        <x:f>$C240+M240-L240</x:f>
        <x:v>7736.697322136872</x:v>
      </x:c>
      <x:c r="O240" s="141" t="n">
        <x:f>R239*(1+Premissas!$B$41)+N240</x:f>
        <x:v>5856464.3493198315</x:v>
      </x:c>
      <x:c r="P240" s="141" t="n">
        <x:f>MAX(0,-O240)</x:f>
        <x:v>0</x:v>
      </x:c>
      <x:c r="Q240" s="141" t="n">
        <x:f>Q239*(1+Premissas!$B$41)+P240</x:f>
        <x:v>0</x:v>
      </x:c>
      <x:c r="R240" s="141" t="n">
        <x:f>MAX(0,O240)</x:f>
        <x:v>5856464.3493198315</x:v>
      </x:c>
      <x:c r="S240" s="141" t="n">
        <x:f>IF(AND($A240&gt;=Premissas!$B$48,$A240-Premissas!$B$48+1&lt;=Premissas!$B$13),INDEX(Financiamento!$M$6:$M$485,$A240-Premissas!$B$48+1),0)</x:f>
        <x:v>70095.23809523821</x:v>
      </x:c>
      <x:c r="T240" s="141" t="n">
        <x:f>IF($A240&gt;=Premissas!$B$48,$F240,0)</x:f>
        <x:v>626041.5967088727</x:v>
      </x:c>
      <x:c r="U240" s="141" t="n">
        <x:f>R240+T240-S240</x:f>
        <x:v>6412410.707933466</x:v>
      </x:c>
      <x:c r="V240" s="141" t="n">
        <x:f>IF(Q240&gt;1,"Inviavel",U240)</x:f>
        <x:v>6412410.707933466</x:v>
      </x:c>
      <x:c r="W240" s="141" t="str">
        <x:f>IF(Q240&gt;1,"Inviavel","OK")</x:f>
        <x:v>OK</x:v>
      </x:c>
      <x:c r="X240" s="141" t="n">
        <x:f>IF($A240=Premissas!$B$48,Premissas!$B$8,0)</x:f>
        <x:v>0</x:v>
      </x:c>
      <x:c r="Y240" s="141" t="n">
        <x:f>IF(AND($A240&gt;=Premissas!$B$48,$A240-Premissas!$B$48+1&lt;=Premissas!$B$13),INDEX(Amortizacao!$K$6:$K$485,$A240-Premissas!$B$48+1),0)</x:f>
        <x:v>0</x:v>
      </x:c>
      <x:c r="Z240" s="141" t="n">
        <x:f>IF(AND(TRUE,Premissas!$B$11="Imovel",Premissas!$B$47="Moradia",$A240&lt;MAX(Premissas!$B$48,Premissas!$B$49)),$D240,0)</x:f>
        <x:v>0</x:v>
      </x:c>
      <x:c r="AA240" s="141" t="n">
        <x:f>IF(AND(TRUE,Premissas!$B$11="Imovel",Premissas!$B$47="Investimento",$A240&gt;=MAX(Premissas!$B$48,Premissas!$B$49)),$E240,0)</x:f>
        <x:v>1936.383681336059</x:v>
      </x:c>
      <x:c r="AB240" s="141" t="n">
        <x:f>X240+Y240+Z240</x:f>
        <x:v>0</x:v>
      </x:c>
      <x:c r="AC240" s="141" t="n">
        <x:f>AA240</x:f>
        <x:v>1936.383681336059</x:v>
      </x:c>
      <x:c r="AD240" s="141" t="n">
        <x:f>$C240+AC240-AB240</x:f>
        <x:v>8936.38368133606</x:v>
      </x:c>
      <x:c r="AE240" s="141" t="n">
        <x:f>AH239*(1+Premissas!$B$41)+AD240</x:f>
        <x:v>5884348.39153971</x:v>
      </x:c>
      <x:c r="AF240" s="141" t="n">
        <x:f>MAX(0,-AE240)</x:f>
        <x:v>0</x:v>
      </x:c>
      <x:c r="AG240" s="141" t="n">
        <x:f>AG239*(1+Premissas!$B$41)+AF240</x:f>
        <x:v>0</x:v>
      </x:c>
      <x:c r="AH240" s="141" t="n">
        <x:f>MAX(0,AE240)</x:f>
        <x:v>5884348.39153971</x:v>
      </x:c>
      <x:c r="AI240" s="141" t="n">
        <x:f>IF(AND($A240&gt;=Premissas!$B$48,$A240-Premissas!$B$48+1&lt;=Premissas!$B$13),INDEX(Amortizacao!$L$6:$L$485,$A240-Premissas!$B$48+1),0)</x:f>
        <x:v>0</x:v>
      </x:c>
      <x:c r="AJ240" s="141" t="n">
        <x:f>IF($A240&gt;=Premissas!$B$48,$F240,0)</x:f>
        <x:v>626041.5967088727</x:v>
      </x:c>
      <x:c r="AK240" s="141" t="n">
        <x:f>AH240+AJ240-AI240</x:f>
        <x:v>6510389.988248582</x:v>
      </x:c>
      <x:c r="AL240" s="141" t="n">
        <x:f>IF(AG240&gt;1,"Inviavel",AK240)</x:f>
        <x:v>6510389.988248582</x:v>
      </x:c>
      <x:c r="AM240" s="141" t="str">
        <x:f>IF(AG240&gt;1,"Inviavel","OK")</x:f>
        <x:v>OK</x:v>
      </x:c>
      <x:c r="AN240" s="141" t="n">
        <x:f>IF($A240=Premissas!$B$48,Premissas!$B$8,0)</x:f>
        <x:v>0</x:v>
      </x:c>
      <x:c r="AO240" s="141" t="n">
        <x:f>IF($A240&lt;=Premissas!$B$25,INDEX('Consorcio IQ'!$K$6:$K$485,$A240),0)</x:f>
        <x:v>1726.001210670401</x:v>
      </x:c>
      <x:c r="AP240" s="141" t="n">
        <x:f>IF(AND(TRUE,Premissas!$B$11="Imovel",Premissas!$B$47="Moradia",$A240&lt;MAX(Premissas!$B$48,Premissas!$B$49)),$D240,0)</x:f>
        <x:v>0</x:v>
      </x:c>
      <x:c r="AQ240" s="141" t="n">
        <x:f>IF(AND(TRUE,Premissas!$B$11="Imovel",Premissas!$B$47="Investimento",$A240&gt;=MAX(Premissas!$B$48,Premissas!$B$49)),$E240,0)</x:f>
        <x:v>1936.383681336059</x:v>
      </x:c>
      <x:c r="AR240" s="141" t="n">
        <x:f>AN240+AO240+AP240</x:f>
        <x:v>1726.001210670401</x:v>
      </x:c>
      <x:c r="AS240" s="141" t="n">
        <x:f>AQ240</x:f>
        <x:v>1936.383681336059</x:v>
      </x:c>
      <x:c r="AT240" s="141" t="n">
        <x:f>$C240+AS240-AR240</x:f>
        <x:v>7210.382470665659</x:v>
      </x:c>
      <x:c r="AU240" s="141" t="n">
        <x:f>AX239*(1+Premissas!$B$41)+AT240</x:f>
        <x:v>5837914.300668051</x:v>
      </x:c>
      <x:c r="AV240" s="141" t="n">
        <x:f>MAX(0,-AU240)</x:f>
        <x:v>0</x:v>
      </x:c>
      <x:c r="AW240" s="141" t="n">
        <x:f>AW239*(1+Premissas!$B$41)+AV240</x:f>
        <x:v>0</x:v>
      </x:c>
      <x:c r="AX240" s="141" t="n">
        <x:f>MAX(0,AU240)</x:f>
        <x:v>5837914.300668051</x:v>
      </x:c>
      <x:c r="AY240" s="141" t="n">
        <x:f>INDEX('Consorcio IQ'!$P$6:$P$485,$A240)</x:f>
        <x:v>6743.285409363121</x:v>
      </x:c>
      <x:c r="AZ240" s="141" t="n">
        <x:f>IF($A240&gt;=Premissas!$B$48,$F240,0)+IF($A240&lt;Premissas!$B$27,INDEX('Consorcio IQ'!$O$6:$O$485,$A240),0)</x:f>
        <x:v>626041.5967088727</x:v>
      </x:c>
      <x:c r="BA240" s="141" t="n">
        <x:f>AX240+AZ240-AY240</x:f>
        <x:v>6457212.61196756</x:v>
      </x:c>
      <x:c r="BB240" s="141" t="n">
        <x:f>IF(AW240&gt;1,"Inviavel",BA240)</x:f>
        <x:v>6457212.61196756</x:v>
      </x:c>
      <x:c r="BC240" s="141" t="str">
        <x:f>IF(AW240&gt;1,"Inviavel","OK")</x:f>
        <x:v>OK</x:v>
      </x:c>
      <x:c r="BD240" s="141" t="n">
        <x:f>IF($A240='Consorcio Direto'!$B$29,'Consorcio Direto'!$B$44,0)</x:f>
        <x:v>0</x:v>
      </x:c>
      <x:c r="BE240" s="141" t="n">
        <x:f>IF($A240&lt;='Consorcio Direto'!$B$27,INDEX('Consorcio Direto'!$E$55:$E$534,$A240),0)</x:f>
        <x:v>4469.481453472651</x:v>
      </x:c>
      <x:c r="BF240" s="141" t="n">
        <x:f>IF(AND(TRUE,Premissas!$B$11="Imovel",Premissas!$B$47="Moradia",$A240&lt;MAX('Consorcio Direto'!$B$29,Premissas!$B$49)),$D240,0)</x:f>
        <x:v>0</x:v>
      </x:c>
      <x:c r="BG240" s="141" t="n">
        <x:f>IF(AND(TRUE,Premissas!$B$11="Imovel",Premissas!$B$47="Investimento",$A240&gt;=MAX('Consorcio Direto'!$B$29,Premissas!$B$49)),$E240,0)</x:f>
        <x:v>1936.383681336059</x:v>
      </x:c>
      <x:c r="BH240" s="141" t="n">
        <x:f>BD240+BE240+BF240</x:f>
        <x:v>4469.481453472651</x:v>
      </x:c>
      <x:c r="BI240" s="141" t="n">
        <x:f>BG240</x:f>
        <x:v>1936.383681336059</x:v>
      </x:c>
      <x:c r="BJ240" s="141" t="n">
        <x:f>$C240+BI240-BH240</x:f>
        <x:v>4466.902227863408</x:v>
      </x:c>
      <x:c r="BK240" s="141" t="n">
        <x:f>BN239*(1+Premissas!$B$41)+BJ240</x:f>
        <x:v>5561241.510892317</x:v>
      </x:c>
      <x:c r="BL240" s="141" t="n">
        <x:f>MAX(0,-BK240)</x:f>
        <x:v>0</x:v>
      </x:c>
      <x:c r="BM240" s="141" t="n">
        <x:f>BM239*(1+Premissas!$B$41)+BL240</x:f>
        <x:v>0</x:v>
      </x:c>
      <x:c r="BN240" s="141" t="n">
        <x:f>MAX(0,BK240)</x:f>
        <x:v>5561241.510892317</x:v>
      </x:c>
      <x:c r="BO240" s="141" t="n">
        <x:f>INDEX('Consorcio Direto'!$K$55:$K$534,$A240)</x:f>
        <x:v>17461.742718543537</x:v>
      </x:c>
      <x:c r="BP240" s="141" t="n">
        <x:f>IF($A240&lt;'Consorcio Direto'!$B$29,INDEX('Consorcio Direto'!$L$55:$L$534,$A240),$F240)</x:f>
        <x:v>626041.5967088727</x:v>
      </x:c>
      <x:c r="BQ240" s="141" t="n">
        <x:f>BN240+BP240-BO240</x:f>
        <x:v>6169821.364882645</x:v>
      </x:c>
      <x:c r="BR240" s="141" t="n">
        <x:f>IF(BM240&gt;1,"Inviavel",BQ240)</x:f>
        <x:v>6169821.364882645</x:v>
      </x:c>
      <x:c r="BS240" s="141" t="str">
        <x:f>IF(BM240&gt;1,"Inviavel","OK")</x:f>
        <x:v>OK</x:v>
      </x:c>
      <x:c r="BT240" s="141" t="n">
        <x:f>IF(AND('Carta Contemplada'!$B$22="Sim",$A240='Carta Contemplada'!$B$23),'Carta Contemplada'!$B$37,0)</x:f>
        <x:v>0</x:v>
      </x:c>
      <x:c r="BU240" s="141" t="n">
        <x:f>IF('Carta Contemplada'!$B$22="Sim",INDEX('Carta Contemplada'!$C$55:$C$1013,$A240),0)</x:f>
        <x:v>0</x:v>
      </x:c>
      <x:c r="BV240" s="141" t="n">
        <x:f>IF(AND('Carta Contemplada'!$B$22="Sim",Premissas!$B$11="Imovel",Premissas!$B$47="Moradia",$A240&lt;MAX('Carta Contemplada'!$B$44,Premissas!$B$49)),$D240,0)</x:f>
        <x:v>0</x:v>
      </x:c>
      <x:c r="BW240" s="141" t="n">
        <x:f>IF(AND('Carta Contemplada'!$B$22="Sim",Premissas!$B$11="Imovel",Premissas!$B$47="Investimento",$A240&gt;=MAX('Carta Contemplada'!$B$44,Premissas!$B$49)),$E240,0)</x:f>
        <x:v>1936.383681336059</x:v>
      </x:c>
      <x:c r="BX240" s="141" t="n">
        <x:f>BT240+BU240+BV240</x:f>
        <x:v>0</x:v>
      </x:c>
      <x:c r="BY240" s="141" t="n">
        <x:f>BW240</x:f>
        <x:v>1936.383681336059</x:v>
      </x:c>
      <x:c r="BZ240" s="141" t="n">
        <x:f>$C240+BY240-BX240</x:f>
        <x:v>8936.38368133606</x:v>
      </x:c>
      <x:c r="CA240" s="141" t="n">
        <x:f>CD239*(1+Premissas!$B$41)+BZ240</x:f>
        <x:v>6018451.740718643</x:v>
      </x:c>
      <x:c r="CB240" s="141" t="n">
        <x:f>MAX(0,-CA240)</x:f>
        <x:v>0</x:v>
      </x:c>
      <x:c r="CC240" s="141" t="n">
        <x:f>CC239*(1+Premissas!$B$41)+CB240</x:f>
        <x:v>0</x:v>
      </x:c>
      <x:c r="CD240" s="141" t="n">
        <x:f>MAX(0,CA240)</x:f>
        <x:v>6018451.740718643</x:v>
      </x:c>
      <x:c r="CE240" s="141" t="n">
        <x:f>IF(AND('Carta Contemplada'!$B$22="Sim",$A240&gt;='Carta Contemplada'!$B$23),INDEX('Carta Contemplada'!$I$55:$I$1013,$A240),0)</x:f>
        <x:v>0</x:v>
      </x:c>
      <x:c r="CF240" s="141" t="n">
        <x:f>IF(AND('Carta Contemplada'!$B$22="Sim",$A240&gt;='Carta Contemplada'!$B$44),$F240,0)</x:f>
        <x:v>626041.5967088727</x:v>
      </x:c>
      <x:c r="CG240" s="141" t="n">
        <x:f>CD240+CF240-CE240</x:f>
        <x:v>6644493.337427516</x:v>
      </x:c>
      <x:c r="CH240" s="141" t="n">
        <x:f>IF(CC240&gt;1,"Inviavel",CG240)</x:f>
        <x:v>6644493.337427516</x:v>
      </x:c>
      <x:c r="CI240" s="145" t="str">
        <x:f>IF(CC240&gt;1,"Inviavel","OK")</x:f>
        <x:v>OK</x:v>
      </x:c>
    </x:row>
    <x:row r="241">
      <x:c r="A241" s="142" t="n">
        <x:v>237</x:v>
      </x:c>
      <x:c r="B241" s="179" t="n">
        <x:f>EDATE(Premissas!$B$4,A241-1)</x:f>
        <x:v>53724</x:v>
      </x:c>
      <x:c r="C241" s="141" t="n">
        <x:f>IF(A241&lt;=Premissas!$B$39,Premissas!$B$42,0)</x:f>
        <x:v>7000</x:v>
      </x:c>
      <x:c r="D241" s="141" t="n">
        <x:f>Premissas!$B$54*(1+Premissas!$B$57)^INT((A241-1)/12)</x:f>
        <x:v>2117.9196514613145</x:v>
      </x:c>
      <x:c r="E241" s="141" t="n">
        <x:f>Premissas!$B$64*(1+Premissas!$B$57)^INT((A241-1)/12)</x:f>
        <x:v>1936.383681336059</x:v>
      </x:c>
      <x:c r="F241" s="141" t="n">
        <x:f>MAX(0,Premissas!$B$6*(1+Premissas!$B$66)^((A241-1)/12))</x:f>
        <x:v>629088.8858368613</x:v>
      </x:c>
      <x:c r="G241" s="141" t="n">
        <x:f>G240*(1+Premissas!$B$41)+C241</x:f>
        <x:v>7015671.726752791</x:v>
      </x:c>
      <x:c r="H241" s="141" t="n">
        <x:f>IF($A241=Premissas!$B$48,Premissas!$B$8,0)</x:f>
        <x:v>0</x:v>
      </x:c>
      <x:c r="I241" s="141" t="n">
        <x:f>IF(AND($A241&gt;=Premissas!$B$48,$A241-Premissas!$B$48+1&lt;=Premissas!$B$13),INDEX(Financiamento!$J$6:$J$485,$A241-Premissas!$B$48+1),0)</x:f>
        <x:v>1196.0715809383942</x:v>
      </x:c>
      <x:c r="J241" s="141" t="n">
        <x:f>IF(AND(TRUE,Premissas!$B$11="Imovel",Premissas!$B$47="Moradia",$A241&lt;MAX(Premissas!$B$48,Premissas!$B$49)),$D241,0)</x:f>
        <x:v>0</x:v>
      </x:c>
      <x:c r="K241" s="141" t="n">
        <x:f>IF(AND(TRUE,Premissas!$B$11="Imovel",Premissas!$B$47="Investimento",$A241&gt;=MAX(Premissas!$B$48,Premissas!$B$49)),$E241,0)</x:f>
        <x:v>1936.383681336059</x:v>
      </x:c>
      <x:c r="L241" s="141" t="n">
        <x:f>H241+I241+J241</x:f>
        <x:v>1196.0715809383942</x:v>
      </x:c>
      <x:c r="M241" s="141" t="n">
        <x:f>K241</x:f>
        <x:v>1936.383681336059</x:v>
      </x:c>
      <x:c r="N241" s="141" t="n">
        <x:f>$C241+M241-L241</x:f>
        <x:v>7740.312100397665</x:v>
      </x:c>
      <x:c r="O241" s="141" t="n">
        <x:f>R240*(1+Premissas!$B$41)+N241</x:f>
        <x:v>5919775.438959693</x:v>
      </x:c>
      <x:c r="P241" s="141" t="n">
        <x:f>MAX(0,-O241)</x:f>
        <x:v>0</x:v>
      </x:c>
      <x:c r="Q241" s="141" t="n">
        <x:f>Q240*(1+Premissas!$B$41)+P241</x:f>
        <x:v>0</x:v>
      </x:c>
      <x:c r="R241" s="141" t="n">
        <x:f>MAX(0,O241)</x:f>
        <x:v>5919775.438959693</x:v>
      </x:c>
      <x:c r="S241" s="141" t="n">
        <x:f>IF(AND($A241&gt;=Premissas!$B$48,$A241-Premissas!$B$48+1&lt;=Premissas!$B$13),INDEX(Financiamento!$M$6:$M$485,$A241-Premissas!$B$48+1),0)</x:f>
        <x:v>69714.28571428583</x:v>
      </x:c>
      <x:c r="T241" s="141" t="n">
        <x:f>IF($A241&gt;=Premissas!$B$48,$F241,0)</x:f>
        <x:v>629088.8858368613</x:v>
      </x:c>
      <x:c r="U241" s="141" t="n">
        <x:f>R241+T241-S241</x:f>
        <x:v>6479150.039082268</x:v>
      </x:c>
      <x:c r="V241" s="141" t="n">
        <x:f>IF(Q241&gt;1,"Inviavel",U241)</x:f>
        <x:v>6479150.039082268</x:v>
      </x:c>
      <x:c r="W241" s="141" t="str">
        <x:f>IF(Q241&gt;1,"Inviavel","OK")</x:f>
        <x:v>OK</x:v>
      </x:c>
      <x:c r="X241" s="141" t="n">
        <x:f>IF($A241=Premissas!$B$48,Premissas!$B$8,0)</x:f>
        <x:v>0</x:v>
      </x:c>
      <x:c r="Y241" s="141" t="n">
        <x:f>IF(AND($A241&gt;=Premissas!$B$48,$A241-Premissas!$B$48+1&lt;=Premissas!$B$13),INDEX(Amortizacao!$K$6:$K$485,$A241-Premissas!$B$48+1),0)</x:f>
        <x:v>0</x:v>
      </x:c>
      <x:c r="Z241" s="141" t="n">
        <x:f>IF(AND(TRUE,Premissas!$B$11="Imovel",Premissas!$B$47="Moradia",$A241&lt;MAX(Premissas!$B$48,Premissas!$B$49)),$D241,0)</x:f>
        <x:v>0</x:v>
      </x:c>
      <x:c r="AA241" s="141" t="n">
        <x:f>IF(AND(TRUE,Premissas!$B$11="Imovel",Premissas!$B$47="Investimento",$A241&gt;=MAX(Premissas!$B$48,Premissas!$B$49)),$E241,0)</x:f>
        <x:v>1936.383681336059</x:v>
      </x:c>
      <x:c r="AB241" s="141" t="n">
        <x:f>X241+Y241+Z241</x:f>
        <x:v>0</x:v>
      </x:c>
      <x:c r="AC241" s="141" t="n">
        <x:f>AA241</x:f>
        <x:v>1936.383681336059</x:v>
      </x:c>
      <x:c r="AD241" s="141" t="n">
        <x:f>$C241+AC241-AB241</x:f>
        <x:v>8936.38368133606</x:v>
      </x:c>
      <x:c r="AE241" s="141" t="n">
        <x:f>AH240*(1+Premissas!$B$41)+AD241</x:f>
        <x:v>5949120.138663313</x:v>
      </x:c>
      <x:c r="AF241" s="141" t="n">
        <x:f>MAX(0,-AE241)</x:f>
        <x:v>0</x:v>
      </x:c>
      <x:c r="AG241" s="141" t="n">
        <x:f>AG240*(1+Premissas!$B$41)+AF241</x:f>
        <x:v>0</x:v>
      </x:c>
      <x:c r="AH241" s="141" t="n">
        <x:f>MAX(0,AE241)</x:f>
        <x:v>5949120.138663313</x:v>
      </x:c>
      <x:c r="AI241" s="141" t="n">
        <x:f>IF(AND($A241&gt;=Premissas!$B$48,$A241-Premissas!$B$48+1&lt;=Premissas!$B$13),INDEX(Amortizacao!$L$6:$L$485,$A241-Premissas!$B$48+1),0)</x:f>
        <x:v>0</x:v>
      </x:c>
      <x:c r="AJ241" s="141" t="n">
        <x:f>IF($A241&gt;=Premissas!$B$48,$F241,0)</x:f>
        <x:v>629088.8858368613</x:v>
      </x:c>
      <x:c r="AK241" s="141" t="n">
        <x:f>AH241+AJ241-AI241</x:f>
        <x:v>6578209.024500174</x:v>
      </x:c>
      <x:c r="AL241" s="141" t="n">
        <x:f>IF(AG241&gt;1,"Inviavel",AK241)</x:f>
        <x:v>6578209.024500174</x:v>
      </x:c>
      <x:c r="AM241" s="141" t="str">
        <x:f>IF(AG241&gt;1,"Inviavel","OK")</x:f>
        <x:v>OK</x:v>
      </x:c>
      <x:c r="AN241" s="141" t="n">
        <x:f>IF($A241=Premissas!$B$48,Premissas!$B$8,0)</x:f>
        <x:v>0</x:v>
      </x:c>
      <x:c r="AO241" s="141" t="n">
        <x:f>IF($A241&lt;=Premissas!$B$25,INDEX('Consorcio IQ'!$K$6:$K$485,$A241),0)</x:f>
        <x:v>1726.001210670401</x:v>
      </x:c>
      <x:c r="AP241" s="141" t="n">
        <x:f>IF(AND(TRUE,Premissas!$B$11="Imovel",Premissas!$B$47="Moradia",$A241&lt;MAX(Premissas!$B$48,Premissas!$B$49)),$D241,0)</x:f>
        <x:v>0</x:v>
      </x:c>
      <x:c r="AQ241" s="141" t="n">
        <x:f>IF(AND(TRUE,Premissas!$B$11="Imovel",Premissas!$B$47="Investimento",$A241&gt;=MAX(Premissas!$B$48,Premissas!$B$49)),$E241,0)</x:f>
        <x:v>1936.383681336059</x:v>
      </x:c>
      <x:c r="AR241" s="141" t="n">
        <x:f>AN241+AO241+AP241</x:f>
        <x:v>1726.001210670401</x:v>
      </x:c>
      <x:c r="AS241" s="141" t="n">
        <x:f>AQ241</x:f>
        <x:v>1936.383681336059</x:v>
      </x:c>
      <x:c r="AT241" s="141" t="n">
        <x:f>$C241+AS241-AR241</x:f>
        <x:v>7210.382470665659</x:v>
      </x:c>
      <x:c r="AU241" s="141" t="n">
        <x:f>AX240*(1+Premissas!$B$41)+AT241</x:f>
        <x:v>5900519.443107597</x:v>
      </x:c>
      <x:c r="AV241" s="141" t="n">
        <x:f>MAX(0,-AU241)</x:f>
        <x:v>0</x:v>
      </x:c>
      <x:c r="AW241" s="141" t="n">
        <x:f>AW240*(1+Premissas!$B$41)+AV241</x:f>
        <x:v>0</x:v>
      </x:c>
      <x:c r="AX241" s="141" t="n">
        <x:f>MAX(0,AU241)</x:f>
        <x:v>5900519.443107597</x:v>
      </x:c>
      <x:c r="AY241" s="141" t="n">
        <x:f>INDEX('Consorcio IQ'!$P$6:$P$485,$A241)</x:f>
        <x:v>5081.269837640963</x:v>
      </x:c>
      <x:c r="AZ241" s="141" t="n">
        <x:f>IF($A241&gt;=Premissas!$B$48,$F241,0)+IF($A241&lt;Premissas!$B$27,INDEX('Consorcio IQ'!$O$6:$O$485,$A241),0)</x:f>
        <x:v>629088.8858368613</x:v>
      </x:c>
      <x:c r="BA241" s="141" t="n">
        <x:f>AX241+AZ241-AY241</x:f>
        <x:v>6524527.059106817</x:v>
      </x:c>
      <x:c r="BB241" s="141" t="n">
        <x:f>IF(AW241&gt;1,"Inviavel",BA241)</x:f>
        <x:v>6524527.059106817</x:v>
      </x:c>
      <x:c r="BC241" s="141" t="str">
        <x:f>IF(AW241&gt;1,"Inviavel","OK")</x:f>
        <x:v>OK</x:v>
      </x:c>
      <x:c r="BD241" s="141" t="n">
        <x:f>IF($A241='Consorcio Direto'!$B$29,'Consorcio Direto'!$B$44,0)</x:f>
        <x:v>0</x:v>
      </x:c>
      <x:c r="BE241" s="141" t="n">
        <x:f>IF($A241&lt;='Consorcio Direto'!$B$27,INDEX('Consorcio Direto'!$E$55:$E$534,$A241),0)</x:f>
        <x:v>4469.481453472651</x:v>
      </x:c>
      <x:c r="BF241" s="141" t="n">
        <x:f>IF(AND(TRUE,Premissas!$B$11="Imovel",Premissas!$B$47="Moradia",$A241&lt;MAX('Consorcio Direto'!$B$29,Premissas!$B$49)),$D241,0)</x:f>
        <x:v>0</x:v>
      </x:c>
      <x:c r="BG241" s="141" t="n">
        <x:f>IF(AND(TRUE,Premissas!$B$11="Imovel",Premissas!$B$47="Investimento",$A241&gt;=MAX('Consorcio Direto'!$B$29,Premissas!$B$49)),$E241,0)</x:f>
        <x:v>1936.383681336059</x:v>
      </x:c>
      <x:c r="BH241" s="141" t="n">
        <x:f>BD241+BE241+BF241</x:f>
        <x:v>4469.481453472651</x:v>
      </x:c>
      <x:c r="BI241" s="141" t="n">
        <x:f>BG241</x:f>
        <x:v>1936.383681336059</x:v>
      </x:c>
      <x:c r="BJ241" s="141" t="n">
        <x:f>$C241+BI241-BH241</x:f>
        <x:v>4466.902227863408</x:v>
      </x:c>
      <x:c r="BK241" s="141" t="n">
        <x:f>BN240*(1+Premissas!$B$41)+BJ241</x:f>
        <x:v>5618477.882276245</x:v>
      </x:c>
      <x:c r="BL241" s="141" t="n">
        <x:f>MAX(0,-BK241)</x:f>
        <x:v>0</x:v>
      </x:c>
      <x:c r="BM241" s="141" t="n">
        <x:f>BM240*(1+Premissas!$B$41)+BL241</x:f>
        <x:v>0</x:v>
      </x:c>
      <x:c r="BN241" s="141" t="n">
        <x:f>MAX(0,BK241)</x:f>
        <x:v>5618477.882276245</x:v>
      </x:c>
      <x:c r="BO241" s="141" t="n">
        <x:f>INDEX('Consorcio Direto'!$K$55:$K$534,$A241)</x:f>
        <x:v>13157.952126004111</x:v>
      </x:c>
      <x:c r="BP241" s="141" t="n">
        <x:f>IF($A241&lt;'Consorcio Direto'!$B$29,INDEX('Consorcio Direto'!$L$55:$L$534,$A241),$F241)</x:f>
        <x:v>629088.8858368613</x:v>
      </x:c>
      <x:c r="BQ241" s="141" t="n">
        <x:f>BN241+BP241-BO241</x:f>
        <x:v>6234408.815987103</x:v>
      </x:c>
      <x:c r="BR241" s="141" t="n">
        <x:f>IF(BM241&gt;1,"Inviavel",BQ241)</x:f>
        <x:v>6234408.815987103</x:v>
      </x:c>
      <x:c r="BS241" s="141" t="str">
        <x:f>IF(BM241&gt;1,"Inviavel","OK")</x:f>
        <x:v>OK</x:v>
      </x:c>
      <x:c r="BT241" s="141" t="n">
        <x:f>IF(AND('Carta Contemplada'!$B$22="Sim",$A241='Carta Contemplada'!$B$23),'Carta Contemplada'!$B$37,0)</x:f>
        <x:v>0</x:v>
      </x:c>
      <x:c r="BU241" s="141" t="n">
        <x:f>IF('Carta Contemplada'!$B$22="Sim",INDEX('Carta Contemplada'!$C$55:$C$1013,$A241),0)</x:f>
        <x:v>0</x:v>
      </x:c>
      <x:c r="BV241" s="141" t="n">
        <x:f>IF(AND('Carta Contemplada'!$B$22="Sim",Premissas!$B$11="Imovel",Premissas!$B$47="Moradia",$A241&lt;MAX('Carta Contemplada'!$B$44,Premissas!$B$49)),$D241,0)</x:f>
        <x:v>0</x:v>
      </x:c>
      <x:c r="BW241" s="141" t="n">
        <x:f>IF(AND('Carta Contemplada'!$B$22="Sim",Premissas!$B$11="Imovel",Premissas!$B$47="Investimento",$A241&gt;=MAX('Carta Contemplada'!$B$44,Premissas!$B$49)),$E241,0)</x:f>
        <x:v>1936.383681336059</x:v>
      </x:c>
      <x:c r="BX241" s="141" t="n">
        <x:f>BT241+BU241+BV241</x:f>
        <x:v>0</x:v>
      </x:c>
      <x:c r="BY241" s="141" t="n">
        <x:f>BW241</x:f>
        <x:v>1936.383681336059</x:v>
      </x:c>
      <x:c r="BZ241" s="141" t="n">
        <x:f>$C241+BY241-BX241</x:f>
        <x:v>8936.38368133606</x:v>
      </x:c>
      <x:c r="CA241" s="141" t="n">
        <x:f>CD240*(1+Premissas!$B$41)+BZ241</x:f>
        <x:v>6084495.966754439</x:v>
      </x:c>
      <x:c r="CB241" s="141" t="n">
        <x:f>MAX(0,-CA241)</x:f>
        <x:v>0</x:v>
      </x:c>
      <x:c r="CC241" s="141" t="n">
        <x:f>CC240*(1+Premissas!$B$41)+CB241</x:f>
        <x:v>0</x:v>
      </x:c>
      <x:c r="CD241" s="141" t="n">
        <x:f>MAX(0,CA241)</x:f>
        <x:v>6084495.966754439</x:v>
      </x:c>
      <x:c r="CE241" s="141" t="n">
        <x:f>IF(AND('Carta Contemplada'!$B$22="Sim",$A241&gt;='Carta Contemplada'!$B$23),INDEX('Carta Contemplada'!$I$55:$I$1013,$A241),0)</x:f>
        <x:v>0</x:v>
      </x:c>
      <x:c r="CF241" s="141" t="n">
        <x:f>IF(AND('Carta Contemplada'!$B$22="Sim",$A241&gt;='Carta Contemplada'!$B$44),$F241,0)</x:f>
        <x:v>629088.8858368613</x:v>
      </x:c>
      <x:c r="CG241" s="141" t="n">
        <x:f>CD241+CF241-CE241</x:f>
        <x:v>6713584.8525913</x:v>
      </x:c>
      <x:c r="CH241" s="141" t="n">
        <x:f>IF(CC241&gt;1,"Inviavel",CG241)</x:f>
        <x:v>6713584.8525913</x:v>
      </x:c>
      <x:c r="CI241" s="145" t="str">
        <x:f>IF(CC241&gt;1,"Inviavel","OK")</x:f>
        <x:v>OK</x:v>
      </x:c>
    </x:row>
    <x:row r="242">
      <x:c r="A242" s="142" t="n">
        <x:v>238</x:v>
      </x:c>
      <x:c r="B242" s="179" t="n">
        <x:f>EDATE(Premissas!$B$4,A242-1)</x:f>
        <x:v>53752</x:v>
      </x:c>
      <x:c r="C242" s="141" t="n">
        <x:f>IF(A242&lt;=Premissas!$B$39,Premissas!$B$42,0)</x:f>
        <x:v>7000</x:v>
      </x:c>
      <x:c r="D242" s="141" t="n">
        <x:f>Premissas!$B$54*(1+Premissas!$B$57)^INT((A242-1)/12)</x:f>
        <x:v>2117.9196514613145</x:v>
      </x:c>
      <x:c r="E242" s="141" t="n">
        <x:f>Premissas!$B$64*(1+Premissas!$B$57)^INT((A242-1)/12)</x:f>
        <x:v>1936.383681336059</x:v>
      </x:c>
      <x:c r="F242" s="141" t="n">
        <x:f>MAX(0,Premissas!$B$6*(1+Premissas!$B$66)^((A242-1)/12))</x:f>
        <x:v>632151.0077987675</x:v>
      </x:c>
      <x:c r="G242" s="141" t="n">
        <x:f>G241*(1+Premissas!$B$41)+C242</x:f>
        <x:v>7089241.983064957</x:v>
      </x:c>
      <x:c r="H242" s="141" t="n">
        <x:f>IF($A242=Premissas!$B$48,Premissas!$B$8,0)</x:f>
        <x:v>0</x:v>
      </x:c>
      <x:c r="I242" s="141" t="n">
        <x:f>IF(AND($A242&gt;=Premissas!$B$48,$A242-Premissas!$B$48+1&lt;=Premissas!$B$13),INDEX(Financiamento!$J$6:$J$485,$A242-Premissas!$B$48+1),0)</x:f>
        <x:v>1192.4568026776008</x:v>
      </x:c>
      <x:c r="J242" s="141" t="n">
        <x:f>IF(AND(TRUE,Premissas!$B$11="Imovel",Premissas!$B$47="Moradia",$A242&lt;MAX(Premissas!$B$48,Premissas!$B$49)),$D242,0)</x:f>
        <x:v>0</x:v>
      </x:c>
      <x:c r="K242" s="141" t="n">
        <x:f>IF(AND(TRUE,Premissas!$B$11="Imovel",Premissas!$B$47="Investimento",$A242&gt;=MAX(Premissas!$B$48,Premissas!$B$49)),$E242,0)</x:f>
        <x:v>1936.383681336059</x:v>
      </x:c>
      <x:c r="L242" s="141" t="n">
        <x:f>H242+I242+J242</x:f>
        <x:v>1192.4568026776008</x:v>
      </x:c>
      <x:c r="M242" s="141" t="n">
        <x:f>K242</x:f>
        <x:v>1936.383681336059</x:v>
      </x:c>
      <x:c r="N242" s="141" t="n">
        <x:f>$C242+M242-L242</x:f>
        <x:v>7743.926878658459</x:v>
      </x:c>
      <x:c r="O242" s="141" t="n">
        <x:f>R241*(1+Premissas!$B$41)+N242</x:f>
        <x:v>5983690.88919787</x:v>
      </x:c>
      <x:c r="P242" s="141" t="n">
        <x:f>MAX(0,-O242)</x:f>
        <x:v>0</x:v>
      </x:c>
      <x:c r="Q242" s="141" t="n">
        <x:f>Q241*(1+Premissas!$B$41)+P242</x:f>
        <x:v>0</x:v>
      </x:c>
      <x:c r="R242" s="141" t="n">
        <x:f>MAX(0,O242)</x:f>
        <x:v>5983690.88919787</x:v>
      </x:c>
      <x:c r="S242" s="141" t="n">
        <x:f>IF(AND($A242&gt;=Premissas!$B$48,$A242-Premissas!$B$48+1&lt;=Premissas!$B$13),INDEX(Financiamento!$M$6:$M$485,$A242-Premissas!$B$48+1),0)</x:f>
        <x:v>69333.33333333344</x:v>
      </x:c>
      <x:c r="T242" s="141" t="n">
        <x:f>IF($A242&gt;=Premissas!$B$48,$F242,0)</x:f>
        <x:v>632151.0077987675</x:v>
      </x:c>
      <x:c r="U242" s="141" t="n">
        <x:f>R242+T242-S242</x:f>
        <x:v>6546508.563663305</x:v>
      </x:c>
      <x:c r="V242" s="141" t="n">
        <x:f>IF(Q242&gt;1,"Inviavel",U242)</x:f>
        <x:v>6546508.563663305</x:v>
      </x:c>
      <x:c r="W242" s="141" t="str">
        <x:f>IF(Q242&gt;1,"Inviavel","OK")</x:f>
        <x:v>OK</x:v>
      </x:c>
      <x:c r="X242" s="141" t="n">
        <x:f>IF($A242=Premissas!$B$48,Premissas!$B$8,0)</x:f>
        <x:v>0</x:v>
      </x:c>
      <x:c r="Y242" s="141" t="n">
        <x:f>IF(AND($A242&gt;=Premissas!$B$48,$A242-Premissas!$B$48+1&lt;=Premissas!$B$13),INDEX(Amortizacao!$K$6:$K$485,$A242-Premissas!$B$48+1),0)</x:f>
        <x:v>0</x:v>
      </x:c>
      <x:c r="Z242" s="141" t="n">
        <x:f>IF(AND(TRUE,Premissas!$B$11="Imovel",Premissas!$B$47="Moradia",$A242&lt;MAX(Premissas!$B$48,Premissas!$B$49)),$D242,0)</x:f>
        <x:v>0</x:v>
      </x:c>
      <x:c r="AA242" s="141" t="n">
        <x:f>IF(AND(TRUE,Premissas!$B$11="Imovel",Premissas!$B$47="Investimento",$A242&gt;=MAX(Premissas!$B$48,Premissas!$B$49)),$E242,0)</x:f>
        <x:v>1936.383681336059</x:v>
      </x:c>
      <x:c r="AB242" s="141" t="n">
        <x:f>X242+Y242+Z242</x:f>
        <x:v>0</x:v>
      </x:c>
      <x:c r="AC242" s="141" t="n">
        <x:f>AA242</x:f>
        <x:v>1936.383681336059</x:v>
      </x:c>
      <x:c r="AD242" s="141" t="n">
        <x:f>$C242+AC242-AB242</x:f>
        <x:v>8936.38368133606</x:v>
      </x:c>
      <x:c r="AE242" s="141" t="n">
        <x:f>AH241*(1+Premissas!$B$41)+AD242</x:f>
        <x:v>6014506.491483384</x:v>
      </x:c>
      <x:c r="AF242" s="141" t="n">
        <x:f>MAX(0,-AE242)</x:f>
        <x:v>0</x:v>
      </x:c>
      <x:c r="AG242" s="141" t="n">
        <x:f>AG241*(1+Premissas!$B$41)+AF242</x:f>
        <x:v>0</x:v>
      </x:c>
      <x:c r="AH242" s="141" t="n">
        <x:f>MAX(0,AE242)</x:f>
        <x:v>6014506.491483384</x:v>
      </x:c>
      <x:c r="AI242" s="141" t="n">
        <x:f>IF(AND($A242&gt;=Premissas!$B$48,$A242-Premissas!$B$48+1&lt;=Premissas!$B$13),INDEX(Amortizacao!$L$6:$L$485,$A242-Premissas!$B$48+1),0)</x:f>
        <x:v>0</x:v>
      </x:c>
      <x:c r="AJ242" s="141" t="n">
        <x:f>IF($A242&gt;=Premissas!$B$48,$F242,0)</x:f>
        <x:v>632151.0077987675</x:v>
      </x:c>
      <x:c r="AK242" s="141" t="n">
        <x:f>AH242+AJ242-AI242</x:f>
        <x:v>6646657.499282151</x:v>
      </x:c>
      <x:c r="AL242" s="141" t="n">
        <x:f>IF(AG242&gt;1,"Inviavel",AK242)</x:f>
        <x:v>6646657.499282151</x:v>
      </x:c>
      <x:c r="AM242" s="141" t="str">
        <x:f>IF(AG242&gt;1,"Inviavel","OK")</x:f>
        <x:v>OK</x:v>
      </x:c>
      <x:c r="AN242" s="141" t="n">
        <x:f>IF($A242=Premissas!$B$48,Premissas!$B$8,0)</x:f>
        <x:v>0</x:v>
      </x:c>
      <x:c r="AO242" s="141" t="n">
        <x:f>IF($A242&lt;=Premissas!$B$25,INDEX('Consorcio IQ'!$K$6:$K$485,$A242),0)</x:f>
        <x:v>1726.001210670401</x:v>
      </x:c>
      <x:c r="AP242" s="141" t="n">
        <x:f>IF(AND(TRUE,Premissas!$B$11="Imovel",Premissas!$B$47="Moradia",$A242&lt;MAX(Premissas!$B$48,Premissas!$B$49)),$D242,0)</x:f>
        <x:v>0</x:v>
      </x:c>
      <x:c r="AQ242" s="141" t="n">
        <x:f>IF(AND(TRUE,Premissas!$B$11="Imovel",Premissas!$B$47="Investimento",$A242&gt;=MAX(Premissas!$B$48,Premissas!$B$49)),$E242,0)</x:f>
        <x:v>1936.383681336059</x:v>
      </x:c>
      <x:c r="AR242" s="141" t="n">
        <x:f>AN242+AO242+AP242</x:f>
        <x:v>1726.001210670401</x:v>
      </x:c>
      <x:c r="AS242" s="141" t="n">
        <x:f>AQ242</x:f>
        <x:v>1936.383681336059</x:v>
      </x:c>
      <x:c r="AT242" s="141" t="n">
        <x:f>$C242+AS242-AR242</x:f>
        <x:v>7210.382470665659</x:v>
      </x:c>
      <x:c r="AU242" s="141" t="n">
        <x:f>AX241*(1+Premissas!$B$41)+AT242</x:f>
        <x:v>5963718.632780392</x:v>
      </x:c>
      <x:c r="AV242" s="141" t="n">
        <x:f>MAX(0,-AU242)</x:f>
        <x:v>0</x:v>
      </x:c>
      <x:c r="AW242" s="141" t="n">
        <x:f>AW241*(1+Premissas!$B$41)+AV242</x:f>
        <x:v>0</x:v>
      </x:c>
      <x:c r="AX242" s="141" t="n">
        <x:f>MAX(0,AU242)</x:f>
        <x:v>5963718.632780392</x:v>
      </x:c>
      <x:c r="AY242" s="141" t="n">
        <x:f>INDEX('Consorcio IQ'!$P$6:$P$485,$A242)</x:f>
        <x:v>3403.483744304679</x:v>
      </x:c>
      <x:c r="AZ242" s="141" t="n">
        <x:f>IF($A242&gt;=Premissas!$B$48,$F242,0)+IF($A242&lt;Premissas!$B$27,INDEX('Consorcio IQ'!$O$6:$O$485,$A242),0)</x:f>
        <x:v>632151.0077987675</x:v>
      </x:c>
      <x:c r="BA242" s="141" t="n">
        <x:f>AX242+AZ242-AY242</x:f>
        <x:v>6592466.156834855</x:v>
      </x:c>
      <x:c r="BB242" s="141" t="n">
        <x:f>IF(AW242&gt;1,"Inviavel",BA242)</x:f>
        <x:v>6592466.156834855</x:v>
      </x:c>
      <x:c r="BC242" s="141" t="str">
        <x:f>IF(AW242&gt;1,"Inviavel","OK")</x:f>
        <x:v>OK</x:v>
      </x:c>
      <x:c r="BD242" s="141" t="n">
        <x:f>IF($A242='Consorcio Direto'!$B$29,'Consorcio Direto'!$B$44,0)</x:f>
        <x:v>0</x:v>
      </x:c>
      <x:c r="BE242" s="141" t="n">
        <x:f>IF($A242&lt;='Consorcio Direto'!$B$27,INDEX('Consorcio Direto'!$E$55:$E$534,$A242),0)</x:f>
        <x:v>4469.481453472651</x:v>
      </x:c>
      <x:c r="BF242" s="141" t="n">
        <x:f>IF(AND(TRUE,Premissas!$B$11="Imovel",Premissas!$B$47="Moradia",$A242&lt;MAX('Consorcio Direto'!$B$29,Premissas!$B$49)),$D242,0)</x:f>
        <x:v>0</x:v>
      </x:c>
      <x:c r="BG242" s="141" t="n">
        <x:f>IF(AND(TRUE,Premissas!$B$11="Imovel",Premissas!$B$47="Investimento",$A242&gt;=MAX('Consorcio Direto'!$B$29,Premissas!$B$49)),$E242,0)</x:f>
        <x:v>1936.383681336059</x:v>
      </x:c>
      <x:c r="BH242" s="141" t="n">
        <x:f>BD242+BE242+BF242</x:f>
        <x:v>4469.481453472651</x:v>
      </x:c>
      <x:c r="BI242" s="141" t="n">
        <x:f>BG242</x:f>
        <x:v>1936.383681336059</x:v>
      </x:c>
      <x:c r="BJ242" s="141" t="n">
        <x:f>$C242+BI242-BH242</x:f>
        <x:v>4466.902227863408</x:v>
      </x:c>
      <x:c r="BK242" s="141" t="n">
        <x:f>BN241*(1+Premissas!$B$41)+BJ242</x:f>
        <x:v>5676257.357736563</x:v>
      </x:c>
      <x:c r="BL242" s="141" t="n">
        <x:f>MAX(0,-BK242)</x:f>
        <x:v>0</x:v>
      </x:c>
      <x:c r="BM242" s="141" t="n">
        <x:f>BM241*(1+Premissas!$B$41)+BL242</x:f>
        <x:v>0</x:v>
      </x:c>
      <x:c r="BN242" s="141" t="n">
        <x:f>MAX(0,BK242)</x:f>
        <x:v>5676257.357736563</x:v>
      </x:c>
      <x:c r="BO242" s="141" t="n">
        <x:f>INDEX('Consorcio Direto'!$K$55:$K$534,$A242)</x:f>
        <x:v>8813.32375569827</x:v>
      </x:c>
      <x:c r="BP242" s="141" t="n">
        <x:f>IF($A242&lt;'Consorcio Direto'!$B$29,INDEX('Consorcio Direto'!$L$55:$L$534,$A242),$F242)</x:f>
        <x:v>632151.0077987675</x:v>
      </x:c>
      <x:c r="BQ242" s="141" t="n">
        <x:f>BN242+BP242-BO242</x:f>
        <x:v>6299595.041779633</x:v>
      </x:c>
      <x:c r="BR242" s="141" t="n">
        <x:f>IF(BM242&gt;1,"Inviavel",BQ242)</x:f>
        <x:v>6299595.041779633</x:v>
      </x:c>
      <x:c r="BS242" s="141" t="str">
        <x:f>IF(BM242&gt;1,"Inviavel","OK")</x:f>
        <x:v>OK</x:v>
      </x:c>
      <x:c r="BT242" s="141" t="n">
        <x:f>IF(AND('Carta Contemplada'!$B$22="Sim",$A242='Carta Contemplada'!$B$23),'Carta Contemplada'!$B$37,0)</x:f>
        <x:v>0</x:v>
      </x:c>
      <x:c r="BU242" s="141" t="n">
        <x:f>IF('Carta Contemplada'!$B$22="Sim",INDEX('Carta Contemplada'!$C$55:$C$1013,$A242),0)</x:f>
        <x:v>0</x:v>
      </x:c>
      <x:c r="BV242" s="141" t="n">
        <x:f>IF(AND('Carta Contemplada'!$B$22="Sim",Premissas!$B$11="Imovel",Premissas!$B$47="Moradia",$A242&lt;MAX('Carta Contemplada'!$B$44,Premissas!$B$49)),$D242,0)</x:f>
        <x:v>0</x:v>
      </x:c>
      <x:c r="BW242" s="141" t="n">
        <x:f>IF(AND('Carta Contemplada'!$B$22="Sim",Premissas!$B$11="Imovel",Premissas!$B$47="Investimento",$A242&gt;=MAX('Carta Contemplada'!$B$44,Premissas!$B$49)),$E242,0)</x:f>
        <x:v>1936.383681336059</x:v>
      </x:c>
      <x:c r="BX242" s="141" t="n">
        <x:f>BT242+BU242+BV242</x:f>
        <x:v>0</x:v>
      </x:c>
      <x:c r="BY242" s="141" t="n">
        <x:f>BW242</x:f>
        <x:v>1936.383681336059</x:v>
      </x:c>
      <x:c r="BZ242" s="141" t="n">
        <x:f>$C242+BY242-BX242</x:f>
        <x:v>8936.38368133606</x:v>
      </x:c>
      <x:c r="CA242" s="141" t="n">
        <x:f>CD241*(1+Premissas!$B$41)+BZ242</x:f>
        <x:v>6151166.872775614</x:v>
      </x:c>
      <x:c r="CB242" s="141" t="n">
        <x:f>MAX(0,-CA242)</x:f>
        <x:v>0</x:v>
      </x:c>
      <x:c r="CC242" s="141" t="n">
        <x:f>CC241*(1+Premissas!$B$41)+CB242</x:f>
        <x:v>0</x:v>
      </x:c>
      <x:c r="CD242" s="141" t="n">
        <x:f>MAX(0,CA242)</x:f>
        <x:v>6151166.872775614</x:v>
      </x:c>
      <x:c r="CE242" s="141" t="n">
        <x:f>IF(AND('Carta Contemplada'!$B$22="Sim",$A242&gt;='Carta Contemplada'!$B$23),INDEX('Carta Contemplada'!$I$55:$I$1013,$A242),0)</x:f>
        <x:v>0</x:v>
      </x:c>
      <x:c r="CF242" s="141" t="n">
        <x:f>IF(AND('Carta Contemplada'!$B$22="Sim",$A242&gt;='Carta Contemplada'!$B$44),$F242,0)</x:f>
        <x:v>632151.0077987675</x:v>
      </x:c>
      <x:c r="CG242" s="141" t="n">
        <x:f>CD242+CF242-CE242</x:f>
        <x:v>6783317.880574382</x:v>
      </x:c>
      <x:c r="CH242" s="141" t="n">
        <x:f>IF(CC242&gt;1,"Inviavel",CG242)</x:f>
        <x:v>6783317.880574382</x:v>
      </x:c>
      <x:c r="CI242" s="145" t="str">
        <x:f>IF(CC242&gt;1,"Inviavel","OK")</x:f>
        <x:v>OK</x:v>
      </x:c>
    </x:row>
    <x:row r="243">
      <x:c r="A243" s="142" t="n">
        <x:v>239</x:v>
      </x:c>
      <x:c r="B243" s="179" t="n">
        <x:f>EDATE(Premissas!$B$4,A243-1)</x:f>
        <x:v>53783</x:v>
      </x:c>
      <x:c r="C243" s="141" t="n">
        <x:f>IF(A243&lt;=Premissas!$B$39,Premissas!$B$42,0)</x:f>
        <x:v>7000</x:v>
      </x:c>
      <x:c r="D243" s="141" t="n">
        <x:f>Premissas!$B$54*(1+Premissas!$B$57)^INT((A243-1)/12)</x:f>
        <x:v>2117.9196514613145</x:v>
      </x:c>
      <x:c r="E243" s="141" t="n">
        <x:f>Premissas!$B$64*(1+Premissas!$B$57)^INT((A243-1)/12)</x:f>
        <x:v>1936.383681336059</x:v>
      </x:c>
      <x:c r="F243" s="141" t="n">
        <x:f>MAX(0,Premissas!$B$6*(1+Premissas!$B$66)^((A243-1)/12))</x:f>
        <x:v>635228.0347941605</x:v>
      </x:c>
      <x:c r="G243" s="141" t="n">
        <x:f>G242*(1+Premissas!$B$41)+C243</x:f>
        <x:v>7163510.332305414</x:v>
      </x:c>
      <x:c r="H243" s="141" t="n">
        <x:f>IF($A243=Premissas!$B$48,Premissas!$B$8,0)</x:f>
        <x:v>0</x:v>
      </x:c>
      <x:c r="I243" s="141" t="n">
        <x:f>IF(AND($A243&gt;=Premissas!$B$48,$A243-Premissas!$B$48+1&lt;=Premissas!$B$13),INDEX(Financiamento!$J$6:$J$485,$A243-Premissas!$B$48+1),0)</x:f>
        <x:v>1188.8420244168071</x:v>
      </x:c>
      <x:c r="J243" s="141" t="n">
        <x:f>IF(AND(TRUE,Premissas!$B$11="Imovel",Premissas!$B$47="Moradia",$A243&lt;MAX(Premissas!$B$48,Premissas!$B$49)),$D243,0)</x:f>
        <x:v>0</x:v>
      </x:c>
      <x:c r="K243" s="141" t="n">
        <x:f>IF(AND(TRUE,Premissas!$B$11="Imovel",Premissas!$B$47="Investimento",$A243&gt;=MAX(Premissas!$B$48,Premissas!$B$49)),$E243,0)</x:f>
        <x:v>1936.383681336059</x:v>
      </x:c>
      <x:c r="L243" s="141" t="n">
        <x:f>H243+I243+J243</x:f>
        <x:v>1188.8420244168071</x:v>
      </x:c>
      <x:c r="M243" s="141" t="n">
        <x:f>K243</x:f>
        <x:v>1936.383681336059</x:v>
      </x:c>
      <x:c r="N243" s="141" t="n">
        <x:f>$C243+M243-L243</x:f>
        <x:v>7747.541656919252</x:v>
      </x:c>
      <x:c r="O243" s="141" t="n">
        <x:f>R242*(1+Premissas!$B$41)+N243</x:f>
        <x:v>6048216.434686938</x:v>
      </x:c>
      <x:c r="P243" s="141" t="n">
        <x:f>MAX(0,-O243)</x:f>
        <x:v>0</x:v>
      </x:c>
      <x:c r="Q243" s="141" t="n">
        <x:f>Q242*(1+Premissas!$B$41)+P243</x:f>
        <x:v>0</x:v>
      </x:c>
      <x:c r="R243" s="141" t="n">
        <x:f>MAX(0,O243)</x:f>
        <x:v>6048216.434686938</x:v>
      </x:c>
      <x:c r="S243" s="141" t="n">
        <x:f>IF(AND($A243&gt;=Premissas!$B$48,$A243-Premissas!$B$48+1&lt;=Premissas!$B$13),INDEX(Financiamento!$M$6:$M$485,$A243-Premissas!$B$48+1),0)</x:f>
        <x:v>68952.38095238106</x:v>
      </x:c>
      <x:c r="T243" s="141" t="n">
        <x:f>IF($A243&gt;=Premissas!$B$48,$F243,0)</x:f>
        <x:v>635228.0347941605</x:v>
      </x:c>
      <x:c r="U243" s="141" t="n">
        <x:f>R243+T243-S243</x:f>
        <x:v>6614492.088528717</x:v>
      </x:c>
      <x:c r="V243" s="141" t="n">
        <x:f>IF(Q243&gt;1,"Inviavel",U243)</x:f>
        <x:v>6614492.088528717</x:v>
      </x:c>
      <x:c r="W243" s="141" t="str">
        <x:f>IF(Q243&gt;1,"Inviavel","OK")</x:f>
        <x:v>OK</x:v>
      </x:c>
      <x:c r="X243" s="141" t="n">
        <x:f>IF($A243=Premissas!$B$48,Premissas!$B$8,0)</x:f>
        <x:v>0</x:v>
      </x:c>
      <x:c r="Y243" s="141" t="n">
        <x:f>IF(AND($A243&gt;=Premissas!$B$48,$A243-Premissas!$B$48+1&lt;=Premissas!$B$13),INDEX(Amortizacao!$K$6:$K$485,$A243-Premissas!$B$48+1),0)</x:f>
        <x:v>0</x:v>
      </x:c>
      <x:c r="Z243" s="141" t="n">
        <x:f>IF(AND(TRUE,Premissas!$B$11="Imovel",Premissas!$B$47="Moradia",$A243&lt;MAX(Premissas!$B$48,Premissas!$B$49)),$D243,0)</x:f>
        <x:v>0</x:v>
      </x:c>
      <x:c r="AA243" s="141" t="n">
        <x:f>IF(AND(TRUE,Premissas!$B$11="Imovel",Premissas!$B$47="Investimento",$A243&gt;=MAX(Premissas!$B$48,Premissas!$B$49)),$E243,0)</x:f>
        <x:v>1936.383681336059</x:v>
      </x:c>
      <x:c r="AB243" s="141" t="n">
        <x:f>X243+Y243+Z243</x:f>
        <x:v>0</x:v>
      </x:c>
      <x:c r="AC243" s="141" t="n">
        <x:f>AA243</x:f>
        <x:v>1936.383681336059</x:v>
      </x:c>
      <x:c r="AD243" s="141" t="n">
        <x:f>$C243+AC243-AB243</x:f>
        <x:v>8936.38368133606</x:v>
      </x:c>
      <x:c r="AE243" s="141" t="n">
        <x:f>AH242*(1+Premissas!$B$41)+AD243</x:f>
        <x:v>6080513.281866112</x:v>
      </x:c>
      <x:c r="AF243" s="141" t="n">
        <x:f>MAX(0,-AE243)</x:f>
        <x:v>0</x:v>
      </x:c>
      <x:c r="AG243" s="141" t="n">
        <x:f>AG242*(1+Premissas!$B$41)+AF243</x:f>
        <x:v>0</x:v>
      </x:c>
      <x:c r="AH243" s="141" t="n">
        <x:f>MAX(0,AE243)</x:f>
        <x:v>6080513.281866112</x:v>
      </x:c>
      <x:c r="AI243" s="141" t="n">
        <x:f>IF(AND($A243&gt;=Premissas!$B$48,$A243-Premissas!$B$48+1&lt;=Premissas!$B$13),INDEX(Amortizacao!$L$6:$L$485,$A243-Premissas!$B$48+1),0)</x:f>
        <x:v>0</x:v>
      </x:c>
      <x:c r="AJ243" s="141" t="n">
        <x:f>IF($A243&gt;=Premissas!$B$48,$F243,0)</x:f>
        <x:v>635228.0347941605</x:v>
      </x:c>
      <x:c r="AK243" s="141" t="n">
        <x:f>AH243+AJ243-AI243</x:f>
        <x:v>6715741.316660272</x:v>
      </x:c>
      <x:c r="AL243" s="141" t="n">
        <x:f>IF(AG243&gt;1,"Inviavel",AK243)</x:f>
        <x:v>6715741.316660272</x:v>
      </x:c>
      <x:c r="AM243" s="141" t="str">
        <x:f>IF(AG243&gt;1,"Inviavel","OK")</x:f>
        <x:v>OK</x:v>
      </x:c>
      <x:c r="AN243" s="141" t="n">
        <x:f>IF($A243=Premissas!$B$48,Premissas!$B$8,0)</x:f>
        <x:v>0</x:v>
      </x:c>
      <x:c r="AO243" s="141" t="n">
        <x:f>IF($A243&lt;=Premissas!$B$25,INDEX('Consorcio IQ'!$K$6:$K$485,$A243),0)</x:f>
        <x:v>1726.001210670401</x:v>
      </x:c>
      <x:c r="AP243" s="141" t="n">
        <x:f>IF(AND(TRUE,Premissas!$B$11="Imovel",Premissas!$B$47="Moradia",$A243&lt;MAX(Premissas!$B$48,Premissas!$B$49)),$D243,0)</x:f>
        <x:v>0</x:v>
      </x:c>
      <x:c r="AQ243" s="141" t="n">
        <x:f>IF(AND(TRUE,Premissas!$B$11="Imovel",Premissas!$B$47="Investimento",$A243&gt;=MAX(Premissas!$B$48,Premissas!$B$49)),$E243,0)</x:f>
        <x:v>1936.383681336059</x:v>
      </x:c>
      <x:c r="AR243" s="141" t="n">
        <x:f>AN243+AO243+AP243</x:f>
        <x:v>1726.001210670401</x:v>
      </x:c>
      <x:c r="AS243" s="141" t="n">
        <x:f>AQ243</x:f>
        <x:v>1936.383681336059</x:v>
      </x:c>
      <x:c r="AT243" s="141" t="n">
        <x:f>$C243+AS243-AR243</x:f>
        <x:v>7210.382470665659</x:v>
      </x:c>
      <x:c r="AU243" s="141" t="n">
        <x:f>AX242*(1+Premissas!$B$41)+AT243</x:f>
        <x:v>6027517.506477625</x:v>
      </x:c>
      <x:c r="AV243" s="141" t="n">
        <x:f>MAX(0,-AU243)</x:f>
        <x:v>0</x:v>
      </x:c>
      <x:c r="AW243" s="141" t="n">
        <x:f>AW242*(1+Premissas!$B$41)+AV243</x:f>
        <x:v>0</x:v>
      </x:c>
      <x:c r="AX243" s="141" t="n">
        <x:f>MAX(0,AU243)</x:f>
        <x:v>6027517.506477625</x:v>
      </x:c>
      <x:c r="AY243" s="141" t="n">
        <x:f>INDEX('Consorcio IQ'!$P$6:$P$485,$A243)</x:f>
        <x:v>1709.7774861402047</x:v>
      </x:c>
      <x:c r="AZ243" s="141" t="n">
        <x:f>IF($A243&gt;=Premissas!$B$48,$F243,0)+IF($A243&lt;Premissas!$B$27,INDEX('Consorcio IQ'!$O$6:$O$485,$A243),0)</x:f>
        <x:v>635228.0347941605</x:v>
      </x:c>
      <x:c r="BA243" s="141" t="n">
        <x:f>AX243+AZ243-AY243</x:f>
        <x:v>6661035.763785645</x:v>
      </x:c>
      <x:c r="BB243" s="141" t="n">
        <x:f>IF(AW243&gt;1,"Inviavel",BA243)</x:f>
        <x:v>6661035.763785645</x:v>
      </x:c>
      <x:c r="BC243" s="141" t="str">
        <x:f>IF(AW243&gt;1,"Inviavel","OK")</x:f>
        <x:v>OK</x:v>
      </x:c>
      <x:c r="BD243" s="141" t="n">
        <x:f>IF($A243='Consorcio Direto'!$B$29,'Consorcio Direto'!$B$44,0)</x:f>
        <x:v>0</x:v>
      </x:c>
      <x:c r="BE243" s="141" t="n">
        <x:f>IF($A243&lt;='Consorcio Direto'!$B$27,INDEX('Consorcio Direto'!$E$55:$E$534,$A243),0)</x:f>
        <x:v>4469.481453472651</x:v>
      </x:c>
      <x:c r="BF243" s="141" t="n">
        <x:f>IF(AND(TRUE,Premissas!$B$11="Imovel",Premissas!$B$47="Moradia",$A243&lt;MAX('Consorcio Direto'!$B$29,Premissas!$B$49)),$D243,0)</x:f>
        <x:v>0</x:v>
      </x:c>
      <x:c r="BG243" s="141" t="n">
        <x:f>IF(AND(TRUE,Premissas!$B$11="Imovel",Premissas!$B$47="Investimento",$A243&gt;=MAX('Consorcio Direto'!$B$29,Premissas!$B$49)),$E243,0)</x:f>
        <x:v>1936.383681336059</x:v>
      </x:c>
      <x:c r="BH243" s="141" t="n">
        <x:f>BD243+BE243+BF243</x:f>
        <x:v>4469.481453472651</x:v>
      </x:c>
      <x:c r="BI243" s="141" t="n">
        <x:f>BG243</x:f>
        <x:v>1936.383681336059</x:v>
      </x:c>
      <x:c r="BJ243" s="141" t="n">
        <x:f>$C243+BI243-BH243</x:f>
        <x:v>4466.902227863408</x:v>
      </x:c>
      <x:c r="BK243" s="141" t="n">
        <x:f>BN242*(1+Premissas!$B$41)+BJ243</x:f>
        <x:v>5734585.090675393</x:v>
      </x:c>
      <x:c r="BL243" s="141" t="n">
        <x:f>MAX(0,-BK243)</x:f>
        <x:v>0</x:v>
      </x:c>
      <x:c r="BM243" s="141" t="n">
        <x:f>BM242*(1+Premissas!$B$41)+BL243</x:f>
        <x:v>0</x:v>
      </x:c>
      <x:c r="BN243" s="141" t="n">
        <x:f>MAX(0,BK243)</x:f>
        <x:v>5734585.090675393</x:v>
      </x:c>
      <x:c r="BO243" s="141" t="n">
        <x:f>INDEX('Consorcio Direto'!$K$55:$K$534,$A243)</x:f>
        <x:v>4427.470106408881</x:v>
      </x:c>
      <x:c r="BP243" s="141" t="n">
        <x:f>IF($A243&lt;'Consorcio Direto'!$B$29,INDEX('Consorcio Direto'!$L$55:$L$534,$A243),$F243)</x:f>
        <x:v>635228.0347941605</x:v>
      </x:c>
      <x:c r="BQ243" s="141" t="n">
        <x:f>BN243+BP243-BO243</x:f>
        <x:v>6365385.655363144</x:v>
      </x:c>
      <x:c r="BR243" s="141" t="n">
        <x:f>IF(BM243&gt;1,"Inviavel",BQ243)</x:f>
        <x:v>6365385.655363144</x:v>
      </x:c>
      <x:c r="BS243" s="141" t="str">
        <x:f>IF(BM243&gt;1,"Inviavel","OK")</x:f>
        <x:v>OK</x:v>
      </x:c>
      <x:c r="BT243" s="141" t="n">
        <x:f>IF(AND('Carta Contemplada'!$B$22="Sim",$A243='Carta Contemplada'!$B$23),'Carta Contemplada'!$B$37,0)</x:f>
        <x:v>0</x:v>
      </x:c>
      <x:c r="BU243" s="141" t="n">
        <x:f>IF('Carta Contemplada'!$B$22="Sim",INDEX('Carta Contemplada'!$C$55:$C$1013,$A243),0)</x:f>
        <x:v>0</x:v>
      </x:c>
      <x:c r="BV243" s="141" t="n">
        <x:f>IF(AND('Carta Contemplada'!$B$22="Sim",Premissas!$B$11="Imovel",Premissas!$B$47="Moradia",$A243&lt;MAX('Carta Contemplada'!$B$44,Premissas!$B$49)),$D243,0)</x:f>
        <x:v>0</x:v>
      </x:c>
      <x:c r="BW243" s="141" t="n">
        <x:f>IF(AND('Carta Contemplada'!$B$22="Sim",Premissas!$B$11="Imovel",Premissas!$B$47="Investimento",$A243&gt;=MAX('Carta Contemplada'!$B$44,Premissas!$B$49)),$E243,0)</x:f>
        <x:v>1936.383681336059</x:v>
      </x:c>
      <x:c r="BX243" s="141" t="n">
        <x:f>BT243+BU243+BV243</x:f>
        <x:v>0</x:v>
      </x:c>
      <x:c r="BY243" s="141" t="n">
        <x:f>BW243</x:f>
        <x:v>1936.383681336059</x:v>
      </x:c>
      <x:c r="BZ243" s="141" t="n">
        <x:f>$C243+BY243-BX243</x:f>
        <x:v>8936.38368133606</x:v>
      </x:c>
      <x:c r="CA243" s="141" t="n">
        <x:f>CD242*(1+Premissas!$B$41)+BZ243</x:f>
        <x:v>6218470.405218786</x:v>
      </x:c>
      <x:c r="CB243" s="141" t="n">
        <x:f>MAX(0,-CA243)</x:f>
        <x:v>0</x:v>
      </x:c>
      <x:c r="CC243" s="141" t="n">
        <x:f>CC242*(1+Premissas!$B$41)+CB243</x:f>
        <x:v>0</x:v>
      </x:c>
      <x:c r="CD243" s="141" t="n">
        <x:f>MAX(0,CA243)</x:f>
        <x:v>6218470.405218786</x:v>
      </x:c>
      <x:c r="CE243" s="141" t="n">
        <x:f>IF(AND('Carta Contemplada'!$B$22="Sim",$A243&gt;='Carta Contemplada'!$B$23),INDEX('Carta Contemplada'!$I$55:$I$1013,$A243),0)</x:f>
        <x:v>0</x:v>
      </x:c>
      <x:c r="CF243" s="141" t="n">
        <x:f>IF(AND('Carta Contemplada'!$B$22="Sim",$A243&gt;='Carta Contemplada'!$B$44),$F243,0)</x:f>
        <x:v>635228.0347941605</x:v>
      </x:c>
      <x:c r="CG243" s="141" t="n">
        <x:f>CD243+CF243-CE243</x:f>
        <x:v>6853698.440012946</x:v>
      </x:c>
      <x:c r="CH243" s="141" t="n">
        <x:f>IF(CC243&gt;1,"Inviavel",CG243)</x:f>
        <x:v>6853698.440012946</x:v>
      </x:c>
      <x:c r="CI243" s="145" t="str">
        <x:f>IF(CC243&gt;1,"Inviavel","OK")</x:f>
        <x:v>OK</x:v>
      </x:c>
    </x:row>
    <x:row r="244">
      <x:c r="A244" s="142" t="n">
        <x:v>240</x:v>
      </x:c>
      <x:c r="B244" s="179" t="n">
        <x:f>EDATE(Premissas!$B$4,A244-1)</x:f>
        <x:v>53813</x:v>
      </x:c>
      <x:c r="C244" s="141" t="n">
        <x:f>IF(A244&lt;=Premissas!$B$39,Premissas!$B$42,0)</x:f>
        <x:v>7000</x:v>
      </x:c>
      <x:c r="D244" s="141" t="n">
        <x:f>Premissas!$B$54*(1+Premissas!$B$57)^INT((A244-1)/12)</x:f>
        <x:v>2117.9196514613145</x:v>
      </x:c>
      <x:c r="E244" s="141" t="n">
        <x:f>Premissas!$B$64*(1+Premissas!$B$57)^INT((A244-1)/12)</x:f>
        <x:v>1936.383681336059</x:v>
      </x:c>
      <x:c r="F244" s="141" t="n">
        <x:f>MAX(0,Premissas!$B$6*(1+Premissas!$B$66)^((A244-1)/12))</x:f>
        <x:v>638320.0393740447</x:v>
      </x:c>
      <x:c r="G244" s="141" t="n">
        <x:f>G243*(1+Premissas!$B$41)+C244</x:f>
        <x:v>7238483.398533406</x:v>
      </x:c>
      <x:c r="H244" s="141" t="n">
        <x:f>IF($A244=Premissas!$B$48,Premissas!$B$8,0)</x:f>
        <x:v>0</x:v>
      </x:c>
      <x:c r="I244" s="141" t="n">
        <x:f>IF(AND($A244&gt;=Premissas!$B$48,$A244-Premissas!$B$48+1&lt;=Premissas!$B$13),INDEX(Financiamento!$J$6:$J$485,$A244-Premissas!$B$48+1),0)</x:f>
        <x:v>1185.2272461560135</x:v>
      </x:c>
      <x:c r="J244" s="141" t="n">
        <x:f>IF(AND(TRUE,Premissas!$B$11="Imovel",Premissas!$B$47="Moradia",$A244&lt;MAX(Premissas!$B$48,Premissas!$B$49)),$D244,0)</x:f>
        <x:v>0</x:v>
      </x:c>
      <x:c r="K244" s="141" t="n">
        <x:f>IF(AND(TRUE,Premissas!$B$11="Imovel",Premissas!$B$47="Investimento",$A244&gt;=MAX(Premissas!$B$48,Premissas!$B$49)),$E244,0)</x:f>
        <x:v>1936.383681336059</x:v>
      </x:c>
      <x:c r="L244" s="141" t="n">
        <x:f>H244+I244+J244</x:f>
        <x:v>1185.2272461560135</x:v>
      </x:c>
      <x:c r="M244" s="141" t="n">
        <x:f>K244</x:f>
        <x:v>1936.383681336059</x:v>
      </x:c>
      <x:c r="N244" s="141" t="n">
        <x:f>$C244+M244-L244</x:f>
        <x:v>7751.156435180046</x:v>
      </x:c>
      <x:c r="O244" s="141" t="n">
        <x:f>R243*(1+Premissas!$B$41)+N244</x:f>
        <x:v>6113357.864494406</x:v>
      </x:c>
      <x:c r="P244" s="141" t="n">
        <x:f>MAX(0,-O244)</x:f>
        <x:v>0</x:v>
      </x:c>
      <x:c r="Q244" s="141" t="n">
        <x:f>Q243*(1+Premissas!$B$41)+P244</x:f>
        <x:v>0</x:v>
      </x:c>
      <x:c r="R244" s="141" t="n">
        <x:f>MAX(0,O244)</x:f>
        <x:v>6113357.864494406</x:v>
      </x:c>
      <x:c r="S244" s="141" t="n">
        <x:f>IF(AND($A244&gt;=Premissas!$B$48,$A244-Premissas!$B$48+1&lt;=Premissas!$B$13),INDEX(Financiamento!$M$6:$M$485,$A244-Premissas!$B$48+1),0)</x:f>
        <x:v>68571.42857142868</x:v>
      </x:c>
      <x:c r="T244" s="141" t="n">
        <x:f>IF($A244&gt;=Premissas!$B$48,$F244,0)</x:f>
        <x:v>638320.0393740447</x:v>
      </x:c>
      <x:c r="U244" s="141" t="n">
        <x:f>R244+T244-S244</x:f>
        <x:v>6683106.475297022</x:v>
      </x:c>
      <x:c r="V244" s="141" t="n">
        <x:f>IF(Q244&gt;1,"Inviavel",U244)</x:f>
        <x:v>6683106.475297022</x:v>
      </x:c>
      <x:c r="W244" s="141" t="str">
        <x:f>IF(Q244&gt;1,"Inviavel","OK")</x:f>
        <x:v>OK</x:v>
      </x:c>
      <x:c r="X244" s="141" t="n">
        <x:f>IF($A244=Premissas!$B$48,Premissas!$B$8,0)</x:f>
        <x:v>0</x:v>
      </x:c>
      <x:c r="Y244" s="141" t="n">
        <x:f>IF(AND($A244&gt;=Premissas!$B$48,$A244-Premissas!$B$48+1&lt;=Premissas!$B$13),INDEX(Amortizacao!$K$6:$K$485,$A244-Premissas!$B$48+1),0)</x:f>
        <x:v>0</x:v>
      </x:c>
      <x:c r="Z244" s="141" t="n">
        <x:f>IF(AND(TRUE,Premissas!$B$11="Imovel",Premissas!$B$47="Moradia",$A244&lt;MAX(Premissas!$B$48,Premissas!$B$49)),$D244,0)</x:f>
        <x:v>0</x:v>
      </x:c>
      <x:c r="AA244" s="141" t="n">
        <x:f>IF(AND(TRUE,Premissas!$B$11="Imovel",Premissas!$B$47="Investimento",$A244&gt;=MAX(Premissas!$B$48,Premissas!$B$49)),$E244,0)</x:f>
        <x:v>1936.383681336059</x:v>
      </x:c>
      <x:c r="AB244" s="141" t="n">
        <x:f>X244+Y244+Z244</x:f>
        <x:v>0</x:v>
      </x:c>
      <x:c r="AC244" s="141" t="n">
        <x:f>AA244</x:f>
        <x:v>1936.383681336059</x:v>
      </x:c>
      <x:c r="AD244" s="141" t="n">
        <x:f>$C244+AC244-AB244</x:f>
        <x:v>8936.38368133606</x:v>
      </x:c>
      <x:c r="AE244" s="141" t="n">
        <x:f>AH243*(1+Premissas!$B$41)+AD244</x:f>
        <x:v>6147146.3970150575</x:v>
      </x:c>
      <x:c r="AF244" s="141" t="n">
        <x:f>MAX(0,-AE244)</x:f>
        <x:v>0</x:v>
      </x:c>
      <x:c r="AG244" s="141" t="n">
        <x:f>AG243*(1+Premissas!$B$41)+AF244</x:f>
        <x:v>0</x:v>
      </x:c>
      <x:c r="AH244" s="141" t="n">
        <x:f>MAX(0,AE244)</x:f>
        <x:v>6147146.3970150575</x:v>
      </x:c>
      <x:c r="AI244" s="141" t="n">
        <x:f>IF(AND($A244&gt;=Premissas!$B$48,$A244-Premissas!$B$48+1&lt;=Premissas!$B$13),INDEX(Amortizacao!$L$6:$L$485,$A244-Premissas!$B$48+1),0)</x:f>
        <x:v>0</x:v>
      </x:c>
      <x:c r="AJ244" s="141" t="n">
        <x:f>IF($A244&gt;=Premissas!$B$48,$F244,0)</x:f>
        <x:v>638320.0393740447</x:v>
      </x:c>
      <x:c r="AK244" s="141" t="n">
        <x:f>AH244+AJ244-AI244</x:f>
        <x:v>6785466.436389103</x:v>
      </x:c>
      <x:c r="AL244" s="141" t="n">
        <x:f>IF(AG244&gt;1,"Inviavel",AK244)</x:f>
        <x:v>6785466.436389103</x:v>
      </x:c>
      <x:c r="AM244" s="141" t="str">
        <x:f>IF(AG244&gt;1,"Inviavel","OK")</x:f>
        <x:v>OK</x:v>
      </x:c>
      <x:c r="AN244" s="141" t="n">
        <x:f>IF($A244=Premissas!$B$48,Premissas!$B$8,0)</x:f>
        <x:v>0</x:v>
      </x:c>
      <x:c r="AO244" s="141" t="n">
        <x:f>IF($A244&lt;=Premissas!$B$25,INDEX('Consorcio IQ'!$K$6:$K$485,$A244),0)</x:f>
        <x:v>1726.001210670401</x:v>
      </x:c>
      <x:c r="AP244" s="141" t="n">
        <x:f>IF(AND(TRUE,Premissas!$B$11="Imovel",Premissas!$B$47="Moradia",$A244&lt;MAX(Premissas!$B$48,Premissas!$B$49)),$D244,0)</x:f>
        <x:v>0</x:v>
      </x:c>
      <x:c r="AQ244" s="141" t="n">
        <x:f>IF(AND(TRUE,Premissas!$B$11="Imovel",Premissas!$B$47="Investimento",$A244&gt;=MAX(Premissas!$B$48,Premissas!$B$49)),$E244,0)</x:f>
        <x:v>1936.383681336059</x:v>
      </x:c>
      <x:c r="AR244" s="141" t="n">
        <x:f>AN244+AO244+AP244</x:f>
        <x:v>1726.001210670401</x:v>
      </x:c>
      <x:c r="AS244" s="141" t="n">
        <x:f>AQ244</x:f>
        <x:v>1936.383681336059</x:v>
      </x:c>
      <x:c r="AT244" s="141" t="n">
        <x:f>$C244+AS244-AR244</x:f>
        <x:v>7210.382470665659</x:v>
      </x:c>
      <x:c r="AU244" s="141" t="n">
        <x:f>AX243*(1+Premissas!$B$41)+AT244</x:f>
        <x:v>6091921.754476831</x:v>
      </x:c>
      <x:c r="AV244" s="141" t="n">
        <x:f>MAX(0,-AU244)</x:f>
        <x:v>0</x:v>
      </x:c>
      <x:c r="AW244" s="141" t="n">
        <x:f>AW243*(1+Premissas!$B$41)+AV244</x:f>
        <x:v>0</x:v>
      </x:c>
      <x:c r="AX244" s="141" t="n">
        <x:f>MAX(0,AU244)</x:f>
        <x:v>6091921.754476831</x:v>
      </x:c>
      <x:c r="AY244" s="141" t="n">
        <x:f>INDEX('Consorcio IQ'!$P$6:$P$485,$A244)</x:f>
        <x:v>0</x:v>
      </x:c>
      <x:c r="AZ244" s="141" t="n">
        <x:f>IF($A244&gt;=Premissas!$B$48,$F244,0)+IF($A244&lt;Premissas!$B$27,INDEX('Consorcio IQ'!$O$6:$O$485,$A244),0)</x:f>
        <x:v>638320.0393740447</x:v>
      </x:c>
      <x:c r="BA244" s="141" t="n">
        <x:f>AX244+AZ244-AY244</x:f>
        <x:v>6730241.793850876</x:v>
      </x:c>
      <x:c r="BB244" s="141" t="n">
        <x:f>IF(AW244&gt;1,"Inviavel",BA244)</x:f>
        <x:v>6730241.793850876</x:v>
      </x:c>
      <x:c r="BC244" s="141" t="str">
        <x:f>IF(AW244&gt;1,"Inviavel","OK")</x:f>
        <x:v>OK</x:v>
      </x:c>
      <x:c r="BD244" s="141" t="n">
        <x:f>IF($A244='Consorcio Direto'!$B$29,'Consorcio Direto'!$B$44,0)</x:f>
        <x:v>0</x:v>
      </x:c>
      <x:c r="BE244" s="141" t="n">
        <x:f>IF($A244&lt;='Consorcio Direto'!$B$27,INDEX('Consorcio Direto'!$E$55:$E$534,$A244),0)</x:f>
        <x:v>4469.481453472651</x:v>
      </x:c>
      <x:c r="BF244" s="141" t="n">
        <x:f>IF(AND(TRUE,Premissas!$B$11="Imovel",Premissas!$B$47="Moradia",$A244&lt;MAX('Consorcio Direto'!$B$29,Premissas!$B$49)),$D244,0)</x:f>
        <x:v>0</x:v>
      </x:c>
      <x:c r="BG244" s="141" t="n">
        <x:f>IF(AND(TRUE,Premissas!$B$11="Imovel",Premissas!$B$47="Investimento",$A244&gt;=MAX('Consorcio Direto'!$B$29,Premissas!$B$49)),$E244,0)</x:f>
        <x:v>1936.383681336059</x:v>
      </x:c>
      <x:c r="BH244" s="141" t="n">
        <x:f>BD244+BE244+BF244</x:f>
        <x:v>4469.481453472651</x:v>
      </x:c>
      <x:c r="BI244" s="141" t="n">
        <x:f>BG244</x:f>
        <x:v>1936.383681336059</x:v>
      </x:c>
      <x:c r="BJ244" s="141" t="n">
        <x:f>$C244+BI244-BH244</x:f>
        <x:v>4466.902227863408</x:v>
      </x:c>
      <x:c r="BK244" s="141" t="n">
        <x:f>BN243*(1+Premissas!$B$41)+BJ244</x:f>
        <x:v>5793466.283394422</x:v>
      </x:c>
      <x:c r="BL244" s="141" t="n">
        <x:f>MAX(0,-BK244)</x:f>
        <x:v>0</x:v>
      </x:c>
      <x:c r="BM244" s="141" t="n">
        <x:f>BM243*(1+Premissas!$B$41)+BL244</x:f>
        <x:v>0</x:v>
      </x:c>
      <x:c r="BN244" s="141" t="n">
        <x:f>MAX(0,BK244)</x:f>
        <x:v>5793466.283394422</x:v>
      </x:c>
      <x:c r="BO244" s="141" t="n">
        <x:f>INDEX('Consorcio Direto'!$K$55:$K$534,$A244)</x:f>
        <x:v>0</x:v>
      </x:c>
      <x:c r="BP244" s="141" t="n">
        <x:f>IF($A244&lt;'Consorcio Direto'!$B$29,INDEX('Consorcio Direto'!$L$55:$L$534,$A244),$F244)</x:f>
        <x:v>638320.0393740447</x:v>
      </x:c>
      <x:c r="BQ244" s="141" t="n">
        <x:f>BN244+BP244-BO244</x:f>
        <x:v>6431786.3227684675</x:v>
      </x:c>
      <x:c r="BR244" s="141" t="n">
        <x:f>IF(BM244&gt;1,"Inviavel",BQ244)</x:f>
        <x:v>6431786.3227684675</x:v>
      </x:c>
      <x:c r="BS244" s="141" t="str">
        <x:f>IF(BM244&gt;1,"Inviavel","OK")</x:f>
        <x:v>OK</x:v>
      </x:c>
      <x:c r="BT244" s="141" t="n">
        <x:f>IF(AND('Carta Contemplada'!$B$22="Sim",$A244='Carta Contemplada'!$B$23),'Carta Contemplada'!$B$37,0)</x:f>
        <x:v>0</x:v>
      </x:c>
      <x:c r="BU244" s="141" t="n">
        <x:f>IF('Carta Contemplada'!$B$22="Sim",INDEX('Carta Contemplada'!$C$55:$C$1013,$A244),0)</x:f>
        <x:v>0</x:v>
      </x:c>
      <x:c r="BV244" s="141" t="n">
        <x:f>IF(AND('Carta Contemplada'!$B$22="Sim",Premissas!$B$11="Imovel",Premissas!$B$47="Moradia",$A244&lt;MAX('Carta Contemplada'!$B$44,Premissas!$B$49)),$D244,0)</x:f>
        <x:v>0</x:v>
      </x:c>
      <x:c r="BW244" s="141" t="n">
        <x:f>IF(AND('Carta Contemplada'!$B$22="Sim",Premissas!$B$11="Imovel",Premissas!$B$47="Investimento",$A244&gt;=MAX('Carta Contemplada'!$B$44,Premissas!$B$49)),$E244,0)</x:f>
        <x:v>1936.383681336059</x:v>
      </x:c>
      <x:c r="BX244" s="141" t="n">
        <x:f>BT244+BU244+BV244</x:f>
        <x:v>0</x:v>
      </x:c>
      <x:c r="BY244" s="141" t="n">
        <x:f>BW244</x:f>
        <x:v>1936.383681336059</x:v>
      </x:c>
      <x:c r="BZ244" s="141" t="n">
        <x:f>$C244+BY244-BX244</x:f>
        <x:v>8936.38368133606</x:v>
      </x:c>
      <x:c r="CA244" s="141" t="n">
        <x:f>CD243*(1+Premissas!$B$41)+BZ244</x:f>
        <x:v>6286412.566945076</x:v>
      </x:c>
      <x:c r="CB244" s="141" t="n">
        <x:f>MAX(0,-CA244)</x:f>
        <x:v>0</x:v>
      </x:c>
      <x:c r="CC244" s="141" t="n">
        <x:f>CC243*(1+Premissas!$B$41)+CB244</x:f>
        <x:v>0</x:v>
      </x:c>
      <x:c r="CD244" s="141" t="n">
        <x:f>MAX(0,CA244)</x:f>
        <x:v>6286412.566945076</x:v>
      </x:c>
      <x:c r="CE244" s="141" t="n">
        <x:f>IF(AND('Carta Contemplada'!$B$22="Sim",$A244&gt;='Carta Contemplada'!$B$23),INDEX('Carta Contemplada'!$I$55:$I$1013,$A244),0)</x:f>
        <x:v>0</x:v>
      </x:c>
      <x:c r="CF244" s="141" t="n">
        <x:f>IF(AND('Carta Contemplada'!$B$22="Sim",$A244&gt;='Carta Contemplada'!$B$44),$F244,0)</x:f>
        <x:v>638320.0393740447</x:v>
      </x:c>
      <x:c r="CG244" s="141" t="n">
        <x:f>CD244+CF244-CE244</x:f>
        <x:v>6924732.606319121</x:v>
      </x:c>
      <x:c r="CH244" s="141" t="n">
        <x:f>IF(CC244&gt;1,"Inviavel",CG244)</x:f>
        <x:v>6924732.606319121</x:v>
      </x:c>
      <x:c r="CI244" s="145" t="str">
        <x:f>IF(CC244&gt;1,"Inviavel","OK")</x:f>
        <x:v>OK</x:v>
      </x:c>
    </x:row>
    <x:row r="245">
      <x:c r="A245" s="142" t="n">
        <x:v>241</x:v>
      </x:c>
      <x:c r="B245" s="179" t="n">
        <x:f>EDATE(Premissas!$B$4,A245-1)</x:f>
        <x:v>53844</x:v>
      </x:c>
      <x:c r="C245" s="141" t="n">
        <x:f>IF(A245&lt;=Premissas!$B$39,Premissas!$B$42,0)</x:f>
        <x:v>7000</x:v>
      </x:c>
      <x:c r="D245" s="141" t="n">
        <x:f>Premissas!$B$54*(1+Premissas!$B$57)^INT((A245-1)/12)</x:f>
        <x:v>2244.9948305489934</x:v>
      </x:c>
      <x:c r="E245" s="141" t="n">
        <x:f>Premissas!$B$64*(1+Premissas!$B$57)^INT((A245-1)/12)</x:f>
        <x:v>2052.566702216223</x:v>
      </x:c>
      <x:c r="F245" s="141" t="n">
        <x:f>MAX(0,Premissas!$B$6*(1+Premissas!$B$66)^((A245-1)/12))</x:f>
        <x:v>641427.0944425697</x:v>
      </x:c>
      <x:c r="G245" s="141" t="n">
        <x:f>G244*(1+Premissas!$B$41)+C245</x:f>
        <x:v>7314167.868662506</x:v>
      </x:c>
      <x:c r="H245" s="141" t="n">
        <x:f>IF($A245=Premissas!$B$48,Premissas!$B$8,0)</x:f>
        <x:v>0</x:v>
      </x:c>
      <x:c r="I245" s="141" t="n">
        <x:f>IF(AND($A245&gt;=Premissas!$B$48,$A245-Premissas!$B$48+1&lt;=Premissas!$B$13),INDEX(Financiamento!$J$6:$J$485,$A245-Premissas!$B$48+1),0)</x:f>
        <x:v>1181.61246789522</x:v>
      </x:c>
      <x:c r="J245" s="141" t="n">
        <x:f>IF(AND(TRUE,Premissas!$B$11="Imovel",Premissas!$B$47="Moradia",$A245&lt;MAX(Premissas!$B$48,Premissas!$B$49)),$D245,0)</x:f>
        <x:v>0</x:v>
      </x:c>
      <x:c r="K245" s="141" t="n">
        <x:f>IF(AND(TRUE,Premissas!$B$11="Imovel",Premissas!$B$47="Investimento",$A245&gt;=MAX(Premissas!$B$48,Premissas!$B$49)),$E245,0)</x:f>
        <x:v>2052.566702216223</x:v>
      </x:c>
      <x:c r="L245" s="141" t="n">
        <x:f>H245+I245+J245</x:f>
        <x:v>1181.61246789522</x:v>
      </x:c>
      <x:c r="M245" s="141" t="n">
        <x:f>K245</x:f>
        <x:v>2052.566702216223</x:v>
      </x:c>
      <x:c r="N245" s="141" t="n">
        <x:f>$C245+M245-L245</x:f>
        <x:v>7870.954234321003</x:v>
      </x:c>
      <x:c r="O245" s="141" t="n">
        <x:f>R244*(1+Premissas!$B$41)+N245</x:f>
        <x:v>6179237.205639918</x:v>
      </x:c>
      <x:c r="P245" s="141" t="n">
        <x:f>MAX(0,-O245)</x:f>
        <x:v>0</x:v>
      </x:c>
      <x:c r="Q245" s="141" t="n">
        <x:f>Q244*(1+Premissas!$B$41)+P245</x:f>
        <x:v>0</x:v>
      </x:c>
      <x:c r="R245" s="141" t="n">
        <x:f>MAX(0,O245)</x:f>
        <x:v>6179237.205639918</x:v>
      </x:c>
      <x:c r="S245" s="141" t="n">
        <x:f>IF(AND($A245&gt;=Premissas!$B$48,$A245-Premissas!$B$48+1&lt;=Premissas!$B$13),INDEX(Financiamento!$M$6:$M$485,$A245-Premissas!$B$48+1),0)</x:f>
        <x:v>68190.4761904763</x:v>
      </x:c>
      <x:c r="T245" s="141" t="n">
        <x:f>IF($A245&gt;=Premissas!$B$48,$F245,0)</x:f>
        <x:v>641427.0944425697</x:v>
      </x:c>
      <x:c r="U245" s="141" t="n">
        <x:f>R245+T245-S245</x:f>
        <x:v>6752473.823892011</x:v>
      </x:c>
      <x:c r="V245" s="141" t="n">
        <x:f>IF(Q245&gt;1,"Inviavel",U245)</x:f>
        <x:v>6752473.823892011</x:v>
      </x:c>
      <x:c r="W245" s="141" t="str">
        <x:f>IF(Q245&gt;1,"Inviavel","OK")</x:f>
        <x:v>OK</x:v>
      </x:c>
      <x:c r="X245" s="141" t="n">
        <x:f>IF($A245=Premissas!$B$48,Premissas!$B$8,0)</x:f>
        <x:v>0</x:v>
      </x:c>
      <x:c r="Y245" s="141" t="n">
        <x:f>IF(AND($A245&gt;=Premissas!$B$48,$A245-Premissas!$B$48+1&lt;=Premissas!$B$13),INDEX(Amortizacao!$K$6:$K$485,$A245-Premissas!$B$48+1),0)</x:f>
        <x:v>0</x:v>
      </x:c>
      <x:c r="Z245" s="141" t="n">
        <x:f>IF(AND(TRUE,Premissas!$B$11="Imovel",Premissas!$B$47="Moradia",$A245&lt;MAX(Premissas!$B$48,Premissas!$B$49)),$D245,0)</x:f>
        <x:v>0</x:v>
      </x:c>
      <x:c r="AA245" s="141" t="n">
        <x:f>IF(AND(TRUE,Premissas!$B$11="Imovel",Premissas!$B$47="Investimento",$A245&gt;=MAX(Premissas!$B$48,Premissas!$B$49)),$E245,0)</x:f>
        <x:v>2052.566702216223</x:v>
      </x:c>
      <x:c r="AB245" s="141" t="n">
        <x:f>X245+Y245+Z245</x:f>
        <x:v>0</x:v>
      </x:c>
      <x:c r="AC245" s="141" t="n">
        <x:f>AA245</x:f>
        <x:v>2052.566702216223</x:v>
      </x:c>
      <x:c r="AD245" s="141" t="n">
        <x:f>$C245+AC245-AB245</x:f>
        <x:v>9052.566702216223</x:v>
      </x:c>
      <x:c r="AE245" s="141" t="n">
        <x:f>AH244*(1+Premissas!$B$41)+AD245</x:f>
        <x:v>6214527.963017117</x:v>
      </x:c>
      <x:c r="AF245" s="141" t="n">
        <x:f>MAX(0,-AE245)</x:f>
        <x:v>0</x:v>
      </x:c>
      <x:c r="AG245" s="141" t="n">
        <x:f>AG244*(1+Premissas!$B$41)+AF245</x:f>
        <x:v>0</x:v>
      </x:c>
      <x:c r="AH245" s="141" t="n">
        <x:f>MAX(0,AE245)</x:f>
        <x:v>6214527.963017117</x:v>
      </x:c>
      <x:c r="AI245" s="141" t="n">
        <x:f>IF(AND($A245&gt;=Premissas!$B$48,$A245-Premissas!$B$48+1&lt;=Premissas!$B$13),INDEX(Amortizacao!$L$6:$L$485,$A245-Premissas!$B$48+1),0)</x:f>
        <x:v>0</x:v>
      </x:c>
      <x:c r="AJ245" s="141" t="n">
        <x:f>IF($A245&gt;=Premissas!$B$48,$F245,0)</x:f>
        <x:v>641427.0944425697</x:v>
      </x:c>
      <x:c r="AK245" s="141" t="n">
        <x:f>AH245+AJ245-AI245</x:f>
        <x:v>6855955.057459687</x:v>
      </x:c>
      <x:c r="AL245" s="141" t="n">
        <x:f>IF(AG245&gt;1,"Inviavel",AK245)</x:f>
        <x:v>6855955.057459687</x:v>
      </x:c>
      <x:c r="AM245" s="141" t="str">
        <x:f>IF(AG245&gt;1,"Inviavel","OK")</x:f>
        <x:v>OK</x:v>
      </x:c>
      <x:c r="AN245" s="141" t="n">
        <x:f>IF($A245=Premissas!$B$48,Premissas!$B$8,0)</x:f>
        <x:v>0</x:v>
      </x:c>
      <x:c r="AO245" s="141" t="n">
        <x:f>IF($A245&lt;=Premissas!$B$25,INDEX('Consorcio IQ'!$K$6:$K$485,$A245),0)</x:f>
        <x:v>0</x:v>
      </x:c>
      <x:c r="AP245" s="141" t="n">
        <x:f>IF(AND(TRUE,Premissas!$B$11="Imovel",Premissas!$B$47="Moradia",$A245&lt;MAX(Premissas!$B$48,Premissas!$B$49)),$D245,0)</x:f>
        <x:v>0</x:v>
      </x:c>
      <x:c r="AQ245" s="141" t="n">
        <x:f>IF(AND(TRUE,Premissas!$B$11="Imovel",Premissas!$B$47="Investimento",$A245&gt;=MAX(Premissas!$B$48,Premissas!$B$49)),$E245,0)</x:f>
        <x:v>2052.566702216223</x:v>
      </x:c>
      <x:c r="AR245" s="141" t="n">
        <x:f>AN245+AO245+AP245</x:f>
        <x:v>0</x:v>
      </x:c>
      <x:c r="AS245" s="141" t="n">
        <x:f>AQ245</x:f>
        <x:v>2052.566702216223</x:v>
      </x:c>
      <x:c r="AT245" s="141" t="n">
        <x:f>$C245+AS245-AR245</x:f>
        <x:v>9052.566702216223</x:v>
      </x:c>
      <x:c r="AU245" s="141" t="n">
        <x:f>AX244*(1+Premissas!$B$41)+AT245</x:f>
        <x:v>6158779.30528096</x:v>
      </x:c>
      <x:c r="AV245" s="141" t="n">
        <x:f>MAX(0,-AU245)</x:f>
        <x:v>0</x:v>
      </x:c>
      <x:c r="AW245" s="141" t="n">
        <x:f>AW244*(1+Premissas!$B$41)+AV245</x:f>
        <x:v>0</x:v>
      </x:c>
      <x:c r="AX245" s="141" t="n">
        <x:f>MAX(0,AU245)</x:f>
        <x:v>6158779.30528096</x:v>
      </x:c>
      <x:c r="AY245" s="141" t="n">
        <x:f>INDEX('Consorcio IQ'!$P$6:$P$485,$A245)</x:f>
        <x:v>0</x:v>
      </x:c>
      <x:c r="AZ245" s="141" t="n">
        <x:f>IF($A245&gt;=Premissas!$B$48,$F245,0)+IF($A245&lt;Premissas!$B$27,INDEX('Consorcio IQ'!$O$6:$O$485,$A245),0)</x:f>
        <x:v>641427.0944425697</x:v>
      </x:c>
      <x:c r="BA245" s="141" t="n">
        <x:f>AX245+AZ245-AY245</x:f>
        <x:v>6800206.39972353</x:v>
      </x:c>
      <x:c r="BB245" s="141" t="n">
        <x:f>IF(AW245&gt;1,"Inviavel",BA245)</x:f>
        <x:v>6800206.39972353</x:v>
      </x:c>
      <x:c r="BC245" s="141" t="str">
        <x:f>IF(AW245&gt;1,"Inviavel","OK")</x:f>
        <x:v>OK</x:v>
      </x:c>
      <x:c r="BD245" s="141" t="n">
        <x:f>IF($A245='Consorcio Direto'!$B$29,'Consorcio Direto'!$B$44,0)</x:f>
        <x:v>0</x:v>
      </x:c>
      <x:c r="BE245" s="141" t="n">
        <x:f>IF($A245&lt;='Consorcio Direto'!$B$27,INDEX('Consorcio Direto'!$E$55:$E$534,$A245),0)</x:f>
        <x:v>0</x:v>
      </x:c>
      <x:c r="BF245" s="141" t="n">
        <x:f>IF(AND(TRUE,Premissas!$B$11="Imovel",Premissas!$B$47="Moradia",$A245&lt;MAX('Consorcio Direto'!$B$29,Premissas!$B$49)),$D245,0)</x:f>
        <x:v>0</x:v>
      </x:c>
      <x:c r="BG245" s="141" t="n">
        <x:f>IF(AND(TRUE,Premissas!$B$11="Imovel",Premissas!$B$47="Investimento",$A245&gt;=MAX('Consorcio Direto'!$B$29,Premissas!$B$49)),$E245,0)</x:f>
        <x:v>2052.566702216223</x:v>
      </x:c>
      <x:c r="BH245" s="141" t="n">
        <x:f>BD245+BE245+BF245</x:f>
        <x:v>0</x:v>
      </x:c>
      <x:c r="BI245" s="141" t="n">
        <x:f>BG245</x:f>
        <x:v>2052.566702216223</x:v>
      </x:c>
      <x:c r="BJ245" s="141" t="n">
        <x:f>$C245+BI245-BH245</x:f>
        <x:v>9052.566702216223</x:v>
      </x:c>
      <x:c r="BK245" s="141" t="n">
        <x:f>BN244*(1+Premissas!$B$41)+BJ245</x:f>
        <x:v>5857491.852033257</x:v>
      </x:c>
      <x:c r="BL245" s="141" t="n">
        <x:f>MAX(0,-BK245)</x:f>
        <x:v>0</x:v>
      </x:c>
      <x:c r="BM245" s="141" t="n">
        <x:f>BM244*(1+Premissas!$B$41)+BL245</x:f>
        <x:v>0</x:v>
      </x:c>
      <x:c r="BN245" s="141" t="n">
        <x:f>MAX(0,BK245)</x:f>
        <x:v>5857491.852033257</x:v>
      </x:c>
      <x:c r="BO245" s="141" t="n">
        <x:f>INDEX('Consorcio Direto'!$K$55:$K$534,$A245)</x:f>
        <x:v>0</x:v>
      </x:c>
      <x:c r="BP245" s="141" t="n">
        <x:f>IF($A245&lt;'Consorcio Direto'!$B$29,INDEX('Consorcio Direto'!$L$55:$L$534,$A245),$F245)</x:f>
        <x:v>641427.0944425697</x:v>
      </x:c>
      <x:c r="BQ245" s="141" t="n">
        <x:f>BN245+BP245-BO245</x:f>
        <x:v>6498918.946475826</x:v>
      </x:c>
      <x:c r="BR245" s="141" t="n">
        <x:f>IF(BM245&gt;1,"Inviavel",BQ245)</x:f>
        <x:v>6498918.946475826</x:v>
      </x:c>
      <x:c r="BS245" s="141" t="str">
        <x:f>IF(BM245&gt;1,"Inviavel","OK")</x:f>
        <x:v>OK</x:v>
      </x:c>
      <x:c r="BT245" s="141" t="n">
        <x:f>IF(AND('Carta Contemplada'!$B$22="Sim",$A245='Carta Contemplada'!$B$23),'Carta Contemplada'!$B$37,0)</x:f>
        <x:v>0</x:v>
      </x:c>
      <x:c r="BU245" s="141" t="n">
        <x:f>IF('Carta Contemplada'!$B$22="Sim",INDEX('Carta Contemplada'!$C$55:$C$1013,$A245),0)</x:f>
        <x:v>0</x:v>
      </x:c>
      <x:c r="BV245" s="141" t="n">
        <x:f>IF(AND('Carta Contemplada'!$B$22="Sim",Premissas!$B$11="Imovel",Premissas!$B$47="Moradia",$A245&lt;MAX('Carta Contemplada'!$B$44,Premissas!$B$49)),$D245,0)</x:f>
        <x:v>0</x:v>
      </x:c>
      <x:c r="BW245" s="141" t="n">
        <x:f>IF(AND('Carta Contemplada'!$B$22="Sim",Premissas!$B$11="Imovel",Premissas!$B$47="Investimento",$A245&gt;=MAX('Carta Contemplada'!$B$44,Premissas!$B$49)),$E245,0)</x:f>
        <x:v>2052.566702216223</x:v>
      </x:c>
      <x:c r="BX245" s="141" t="n">
        <x:f>BT245+BU245+BV245</x:f>
        <x:v>0</x:v>
      </x:c>
      <x:c r="BY245" s="141" t="n">
        <x:f>BW245</x:f>
        <x:v>2052.566702216223</x:v>
      </x:c>
      <x:c r="BZ245" s="141" t="n">
        <x:f>$C245+BY245-BX245</x:f>
        <x:v>9052.566702216223</x:v>
      </x:c>
      <x:c r="CA245" s="141" t="n">
        <x:f>CD244*(1+Premissas!$B$41)+BZ245</x:f>
        <x:v>6355115.600796394</x:v>
      </x:c>
      <x:c r="CB245" s="141" t="n">
        <x:f>MAX(0,-CA245)</x:f>
        <x:v>0</x:v>
      </x:c>
      <x:c r="CC245" s="141" t="n">
        <x:f>CC244*(1+Premissas!$B$41)+CB245</x:f>
        <x:v>0</x:v>
      </x:c>
      <x:c r="CD245" s="141" t="n">
        <x:f>MAX(0,CA245)</x:f>
        <x:v>6355115.600796394</x:v>
      </x:c>
      <x:c r="CE245" s="141" t="n">
        <x:f>IF(AND('Carta Contemplada'!$B$22="Sim",$A245&gt;='Carta Contemplada'!$B$23),INDEX('Carta Contemplada'!$I$55:$I$1013,$A245),0)</x:f>
        <x:v>0</x:v>
      </x:c>
      <x:c r="CF245" s="141" t="n">
        <x:f>IF(AND('Carta Contemplada'!$B$22="Sim",$A245&gt;='Carta Contemplada'!$B$44),$F245,0)</x:f>
        <x:v>641427.0944425697</x:v>
      </x:c>
      <x:c r="CG245" s="141" t="n">
        <x:f>CD245+CF245-CE245</x:f>
        <x:v>6996542.695238964</x:v>
      </x:c>
      <x:c r="CH245" s="141" t="n">
        <x:f>IF(CC245&gt;1,"Inviavel",CG245)</x:f>
        <x:v>6996542.695238964</x:v>
      </x:c>
      <x:c r="CI245" s="145" t="str">
        <x:f>IF(CC245&gt;1,"Inviavel","OK")</x:f>
        <x:v>OK</x:v>
      </x:c>
    </x:row>
    <x:row r="246">
      <x:c r="A246" s="142" t="n">
        <x:v>242</x:v>
      </x:c>
      <x:c r="B246" s="179" t="n">
        <x:f>EDATE(Premissas!$B$4,A246-1)</x:f>
        <x:v>53874</x:v>
      </x:c>
      <x:c r="C246" s="141" t="n">
        <x:f>IF(A246&lt;=Premissas!$B$39,Premissas!$B$42,0)</x:f>
        <x:v>7000</x:v>
      </x:c>
      <x:c r="D246" s="141" t="n">
        <x:f>Premissas!$B$54*(1+Premissas!$B$57)^INT((A246-1)/12)</x:f>
        <x:v>2244.9948305489934</x:v>
      </x:c>
      <x:c r="E246" s="141" t="n">
        <x:f>Premissas!$B$64*(1+Premissas!$B$57)^INT((A246-1)/12)</x:f>
        <x:v>2052.566702216223</x:v>
      </x:c>
      <x:c r="F246" s="141" t="n">
        <x:f>MAX(0,Premissas!$B$6*(1+Premissas!$B$66)^((A246-1)/12))</x:f>
        <x:v>644549.2732587497</x:v>
      </x:c>
      <x:c r="G246" s="141" t="n">
        <x:f>G245*(1+Premissas!$B$41)+C246</x:f>
        <x:v>7390570.493057026</x:v>
      </x:c>
      <x:c r="H246" s="141" t="n">
        <x:f>IF($A246=Premissas!$B$48,Premissas!$B$8,0)</x:f>
        <x:v>0</x:v>
      </x:c>
      <x:c r="I246" s="141" t="n">
        <x:f>IF(AND($A246&gt;=Premissas!$B$48,$A246-Premissas!$B$48+1&lt;=Premissas!$B$13),INDEX(Financiamento!$J$6:$J$485,$A246-Premissas!$B$48+1),0)</x:f>
        <x:v>1177.9976896344265</x:v>
      </x:c>
      <x:c r="J246" s="141" t="n">
        <x:f>IF(AND(TRUE,Premissas!$B$11="Imovel",Premissas!$B$47="Moradia",$A246&lt;MAX(Premissas!$B$48,Premissas!$B$49)),$D246,0)</x:f>
        <x:v>0</x:v>
      </x:c>
      <x:c r="K246" s="141" t="n">
        <x:f>IF(AND(TRUE,Premissas!$B$11="Imovel",Premissas!$B$47="Investimento",$A246&gt;=MAX(Premissas!$B$48,Premissas!$B$49)),$E246,0)</x:f>
        <x:v>2052.566702216223</x:v>
      </x:c>
      <x:c r="L246" s="141" t="n">
        <x:f>H246+I246+J246</x:f>
        <x:v>1177.9976896344265</x:v>
      </x:c>
      <x:c r="M246" s="141" t="n">
        <x:f>K246</x:f>
        <x:v>2052.566702216223</x:v>
      </x:c>
      <x:c r="N246" s="141" t="n">
        <x:f>$C246+M246-L246</x:f>
        <x:v>7874.569012581796</x:v>
      </x:c>
      <x:c r="O246" s="141" t="n">
        <x:f>R245*(1+Premissas!$B$41)+N246</x:f>
        <x:v>6245745.276990488</x:v>
      </x:c>
      <x:c r="P246" s="141" t="n">
        <x:f>MAX(0,-O246)</x:f>
        <x:v>0</x:v>
      </x:c>
      <x:c r="Q246" s="141" t="n">
        <x:f>Q245*(1+Premissas!$B$41)+P246</x:f>
        <x:v>0</x:v>
      </x:c>
      <x:c r="R246" s="141" t="n">
        <x:f>MAX(0,O246)</x:f>
        <x:v>6245745.276990488</x:v>
      </x:c>
      <x:c r="S246" s="141" t="n">
        <x:f>IF(AND($A246&gt;=Premissas!$B$48,$A246-Premissas!$B$48+1&lt;=Premissas!$B$13),INDEX(Financiamento!$M$6:$M$485,$A246-Premissas!$B$48+1),0)</x:f>
        <x:v>67809.52380952392</x:v>
      </x:c>
      <x:c r="T246" s="141" t="n">
        <x:f>IF($A246&gt;=Premissas!$B$48,$F246,0)</x:f>
        <x:v>644549.2732587497</x:v>
      </x:c>
      <x:c r="U246" s="141" t="n">
        <x:f>R246+T246-S246</x:f>
        <x:v>6822485.026439713</x:v>
      </x:c>
      <x:c r="V246" s="141" t="n">
        <x:f>IF(Q246&gt;1,"Inviavel",U246)</x:f>
        <x:v>6822485.026439713</x:v>
      </x:c>
      <x:c r="W246" s="141" t="str">
        <x:f>IF(Q246&gt;1,"Inviavel","OK")</x:f>
        <x:v>OK</x:v>
      </x:c>
      <x:c r="X246" s="141" t="n">
        <x:f>IF($A246=Premissas!$B$48,Premissas!$B$8,0)</x:f>
        <x:v>0</x:v>
      </x:c>
      <x:c r="Y246" s="141" t="n">
        <x:f>IF(AND($A246&gt;=Premissas!$B$48,$A246-Premissas!$B$48+1&lt;=Premissas!$B$13),INDEX(Amortizacao!$K$6:$K$485,$A246-Premissas!$B$48+1),0)</x:f>
        <x:v>0</x:v>
      </x:c>
      <x:c r="Z246" s="141" t="n">
        <x:f>IF(AND(TRUE,Premissas!$B$11="Imovel",Premissas!$B$47="Moradia",$A246&lt;MAX(Premissas!$B$48,Premissas!$B$49)),$D246,0)</x:f>
        <x:v>0</x:v>
      </x:c>
      <x:c r="AA246" s="141" t="n">
        <x:f>IF(AND(TRUE,Premissas!$B$11="Imovel",Premissas!$B$47="Investimento",$A246&gt;=MAX(Premissas!$B$48,Premissas!$B$49)),$E246,0)</x:f>
        <x:v>2052.566702216223</x:v>
      </x:c>
      <x:c r="AB246" s="141" t="n">
        <x:f>X246+Y246+Z246</x:f>
        <x:v>0</x:v>
      </x:c>
      <x:c r="AC246" s="141" t="n">
        <x:f>AA246</x:f>
        <x:v>2052.566702216223</x:v>
      </x:c>
      <x:c r="AD246" s="141" t="n">
        <x:f>$C246+AC246-AB246</x:f>
        <x:v>9052.566702216223</x:v>
      </x:c>
      <x:c r="AE246" s="141" t="n">
        <x:f>AH245*(1+Premissas!$B$41)+AD246</x:f>
        <x:v>6282548.898746579</x:v>
      </x:c>
      <x:c r="AF246" s="141" t="n">
        <x:f>MAX(0,-AE246)</x:f>
        <x:v>0</x:v>
      </x:c>
      <x:c r="AG246" s="141" t="n">
        <x:f>AG245*(1+Premissas!$B$41)+AF246</x:f>
        <x:v>0</x:v>
      </x:c>
      <x:c r="AH246" s="141" t="n">
        <x:f>MAX(0,AE246)</x:f>
        <x:v>6282548.898746579</x:v>
      </x:c>
      <x:c r="AI246" s="141" t="n">
        <x:f>IF(AND($A246&gt;=Premissas!$B$48,$A246-Premissas!$B$48+1&lt;=Premissas!$B$13),INDEX(Amortizacao!$L$6:$L$485,$A246-Premissas!$B$48+1),0)</x:f>
        <x:v>0</x:v>
      </x:c>
      <x:c r="AJ246" s="141" t="n">
        <x:f>IF($A246&gt;=Premissas!$B$48,$F246,0)</x:f>
        <x:v>644549.2732587497</x:v>
      </x:c>
      <x:c r="AK246" s="141" t="n">
        <x:f>AH246+AJ246-AI246</x:f>
        <x:v>6927098.172005328</x:v>
      </x:c>
      <x:c r="AL246" s="141" t="n">
        <x:f>IF(AG246&gt;1,"Inviavel",AK246)</x:f>
        <x:v>6927098.172005328</x:v>
      </x:c>
      <x:c r="AM246" s="141" t="str">
        <x:f>IF(AG246&gt;1,"Inviavel","OK")</x:f>
        <x:v>OK</x:v>
      </x:c>
      <x:c r="AN246" s="141" t="n">
        <x:f>IF($A246=Premissas!$B$48,Premissas!$B$8,0)</x:f>
        <x:v>0</x:v>
      </x:c>
      <x:c r="AO246" s="141" t="n">
        <x:f>IF($A246&lt;=Premissas!$B$25,INDEX('Consorcio IQ'!$K$6:$K$485,$A246),0)</x:f>
        <x:v>0</x:v>
      </x:c>
      <x:c r="AP246" s="141" t="n">
        <x:f>IF(AND(TRUE,Premissas!$B$11="Imovel",Premissas!$B$47="Moradia",$A246&lt;MAX(Premissas!$B$48,Premissas!$B$49)),$D246,0)</x:f>
        <x:v>0</x:v>
      </x:c>
      <x:c r="AQ246" s="141" t="n">
        <x:f>IF(AND(TRUE,Premissas!$B$11="Imovel",Premissas!$B$47="Investimento",$A246&gt;=MAX(Premissas!$B$48,Premissas!$B$49)),$E246,0)</x:f>
        <x:v>2052.566702216223</x:v>
      </x:c>
      <x:c r="AR246" s="141" t="n">
        <x:f>AN246+AO246+AP246</x:f>
        <x:v>0</x:v>
      </x:c>
      <x:c r="AS246" s="141" t="n">
        <x:f>AQ246</x:f>
        <x:v>2052.566702216223</x:v>
      </x:c>
      <x:c r="AT246" s="141" t="n">
        <x:f>$C246+AS246-AR246</x:f>
        <x:v>9052.566702216223</x:v>
      </x:c>
      <x:c r="AU246" s="141" t="n">
        <x:f>AX245*(1+Premissas!$B$41)+AT246</x:f>
        <x:v>6226271.253540782</x:v>
      </x:c>
      <x:c r="AV246" s="141" t="n">
        <x:f>MAX(0,-AU246)</x:f>
        <x:v>0</x:v>
      </x:c>
      <x:c r="AW246" s="141" t="n">
        <x:f>AW245*(1+Premissas!$B$41)+AV246</x:f>
        <x:v>0</x:v>
      </x:c>
      <x:c r="AX246" s="141" t="n">
        <x:f>MAX(0,AU246)</x:f>
        <x:v>6226271.253540782</x:v>
      </x:c>
      <x:c r="AY246" s="141" t="n">
        <x:f>INDEX('Consorcio IQ'!$P$6:$P$485,$A246)</x:f>
        <x:v>0</x:v>
      </x:c>
      <x:c r="AZ246" s="141" t="n">
        <x:f>IF($A246&gt;=Premissas!$B$48,$F246,0)+IF($A246&lt;Premissas!$B$27,INDEX('Consorcio IQ'!$O$6:$O$485,$A246),0)</x:f>
        <x:v>644549.2732587497</x:v>
      </x:c>
      <x:c r="BA246" s="141" t="n">
        <x:f>AX246+AZ246-AY246</x:f>
        <x:v>6870820.526799532</x:v>
      </x:c>
      <x:c r="BB246" s="141" t="n">
        <x:f>IF(AW246&gt;1,"Inviavel",BA246)</x:f>
        <x:v>6870820.526799532</x:v>
      </x:c>
      <x:c r="BC246" s="141" t="str">
        <x:f>IF(AW246&gt;1,"Inviavel","OK")</x:f>
        <x:v>OK</x:v>
      </x:c>
      <x:c r="BD246" s="141" t="n">
        <x:f>IF($A246='Consorcio Direto'!$B$29,'Consorcio Direto'!$B$44,0)</x:f>
        <x:v>0</x:v>
      </x:c>
      <x:c r="BE246" s="141" t="n">
        <x:f>IF($A246&lt;='Consorcio Direto'!$B$27,INDEX('Consorcio Direto'!$E$55:$E$534,$A246),0)</x:f>
        <x:v>0</x:v>
      </x:c>
      <x:c r="BF246" s="141" t="n">
        <x:f>IF(AND(TRUE,Premissas!$B$11="Imovel",Premissas!$B$47="Moradia",$A246&lt;MAX('Consorcio Direto'!$B$29,Premissas!$B$49)),$D246,0)</x:f>
        <x:v>0</x:v>
      </x:c>
      <x:c r="BG246" s="141" t="n">
        <x:f>IF(AND(TRUE,Premissas!$B$11="Imovel",Premissas!$B$47="Investimento",$A246&gt;=MAX('Consorcio Direto'!$B$29,Premissas!$B$49)),$E246,0)</x:f>
        <x:v>2052.566702216223</x:v>
      </x:c>
      <x:c r="BH246" s="141" t="n">
        <x:f>BD246+BE246+BF246</x:f>
        <x:v>0</x:v>
      </x:c>
      <x:c r="BI246" s="141" t="n">
        <x:f>BG246</x:f>
        <x:v>2052.566702216223</x:v>
      </x:c>
      <x:c r="BJ246" s="141" t="n">
        <x:f>$C246+BI246-BH246</x:f>
        <x:v>9052.566702216223</x:v>
      </x:c>
      <x:c r="BK246" s="141" t="n">
        <x:f>BN245*(1+Premissas!$B$41)+BJ246</x:f>
        <x:v>5922124.946035423</x:v>
      </x:c>
      <x:c r="BL246" s="141" t="n">
        <x:f>MAX(0,-BK246)</x:f>
        <x:v>0</x:v>
      </x:c>
      <x:c r="BM246" s="141" t="n">
        <x:f>BM245*(1+Premissas!$B$41)+BL246</x:f>
        <x:v>0</x:v>
      </x:c>
      <x:c r="BN246" s="141" t="n">
        <x:f>MAX(0,BK246)</x:f>
        <x:v>5922124.946035423</x:v>
      </x:c>
      <x:c r="BO246" s="141" t="n">
        <x:f>INDEX('Consorcio Direto'!$K$55:$K$534,$A246)</x:f>
        <x:v>0</x:v>
      </x:c>
      <x:c r="BP246" s="141" t="n">
        <x:f>IF($A246&lt;'Consorcio Direto'!$B$29,INDEX('Consorcio Direto'!$L$55:$L$534,$A246),$F246)</x:f>
        <x:v>644549.2732587497</x:v>
      </x:c>
      <x:c r="BQ246" s="141" t="n">
        <x:f>BN246+BP246-BO246</x:f>
        <x:v>6566674.219294173</x:v>
      </x:c>
      <x:c r="BR246" s="141" t="n">
        <x:f>IF(BM246&gt;1,"Inviavel",BQ246)</x:f>
        <x:v>6566674.219294173</x:v>
      </x:c>
      <x:c r="BS246" s="141" t="str">
        <x:f>IF(BM246&gt;1,"Inviavel","OK")</x:f>
        <x:v>OK</x:v>
      </x:c>
      <x:c r="BT246" s="141" t="n">
        <x:f>IF(AND('Carta Contemplada'!$B$22="Sim",$A246='Carta Contemplada'!$B$23),'Carta Contemplada'!$B$37,0)</x:f>
        <x:v>0</x:v>
      </x:c>
      <x:c r="BU246" s="141" t="n">
        <x:f>IF('Carta Contemplada'!$B$22="Sim",INDEX('Carta Contemplada'!$C$55:$C$1013,$A246),0)</x:f>
        <x:v>0</x:v>
      </x:c>
      <x:c r="BV246" s="141" t="n">
        <x:f>IF(AND('Carta Contemplada'!$B$22="Sim",Premissas!$B$11="Imovel",Premissas!$B$47="Moradia",$A246&lt;MAX('Carta Contemplada'!$B$44,Premissas!$B$49)),$D246,0)</x:f>
        <x:v>0</x:v>
      </x:c>
      <x:c r="BW246" s="141" t="n">
        <x:f>IF(AND('Carta Contemplada'!$B$22="Sim",Premissas!$B$11="Imovel",Premissas!$B$47="Investimento",$A246&gt;=MAX('Carta Contemplada'!$B$44,Premissas!$B$49)),$E246,0)</x:f>
        <x:v>2052.566702216223</x:v>
      </x:c>
      <x:c r="BX246" s="141" t="n">
        <x:f>BT246+BU246+BV246</x:f>
        <x:v>0</x:v>
      </x:c>
      <x:c r="BY246" s="141" t="n">
        <x:f>BW246</x:f>
        <x:v>2052.566702216223</x:v>
      </x:c>
      <x:c r="BZ246" s="141" t="n">
        <x:f>$C246+BY246-BX246</x:f>
        <x:v>9052.566702216223</x:v>
      </x:c>
      <x:c r="CA246" s="141" t="n">
        <x:f>CD245*(1+Premissas!$B$41)+BZ246</x:f>
        <x:v>6424470.543509905</x:v>
      </x:c>
      <x:c r="CB246" s="141" t="n">
        <x:f>MAX(0,-CA246)</x:f>
        <x:v>0</x:v>
      </x:c>
      <x:c r="CC246" s="141" t="n">
        <x:f>CC245*(1+Premissas!$B$41)+CB246</x:f>
        <x:v>0</x:v>
      </x:c>
      <x:c r="CD246" s="141" t="n">
        <x:f>MAX(0,CA246)</x:f>
        <x:v>6424470.543509905</x:v>
      </x:c>
      <x:c r="CE246" s="141" t="n">
        <x:f>IF(AND('Carta Contemplada'!$B$22="Sim",$A246&gt;='Carta Contemplada'!$B$23),INDEX('Carta Contemplada'!$I$55:$I$1013,$A246),0)</x:f>
        <x:v>0</x:v>
      </x:c>
      <x:c r="CF246" s="141" t="n">
        <x:f>IF(AND('Carta Contemplada'!$B$22="Sim",$A246&gt;='Carta Contemplada'!$B$44),$F246,0)</x:f>
        <x:v>644549.2732587497</x:v>
      </x:c>
      <x:c r="CG246" s="141" t="n">
        <x:f>CD246+CF246-CE246</x:f>
        <x:v>7069019.816768655</x:v>
      </x:c>
      <x:c r="CH246" s="141" t="n">
        <x:f>IF(CC246&gt;1,"Inviavel",CG246)</x:f>
        <x:v>7069019.816768655</x:v>
      </x:c>
      <x:c r="CI246" s="145" t="str">
        <x:f>IF(CC246&gt;1,"Inviavel","OK")</x:f>
        <x:v>OK</x:v>
      </x:c>
    </x:row>
    <x:row r="247">
      <x:c r="A247" s="142" t="n">
        <x:v>243</x:v>
      </x:c>
      <x:c r="B247" s="179" t="n">
        <x:f>EDATE(Premissas!$B$4,A247-1)</x:f>
        <x:v>53905</x:v>
      </x:c>
      <x:c r="C247" s="141" t="n">
        <x:f>IF(A247&lt;=Premissas!$B$39,Premissas!$B$42,0)</x:f>
        <x:v>7000</x:v>
      </x:c>
      <x:c r="D247" s="141" t="n">
        <x:f>Premissas!$B$54*(1+Premissas!$B$57)^INT((A247-1)/12)</x:f>
        <x:v>2244.9948305489934</x:v>
      </x:c>
      <x:c r="E247" s="141" t="n">
        <x:f>Premissas!$B$64*(1+Premissas!$B$57)^INT((A247-1)/12)</x:f>
        <x:v>2052.566702216223</x:v>
      </x:c>
      <x:c r="F247" s="141" t="n">
        <x:f>MAX(0,Premissas!$B$6*(1+Premissas!$B$66)^((A247-1)/12))</x:f>
        <x:v>647686.649438192</x:v>
      </x:c>
      <x:c r="G247" s="141" t="n">
        <x:f>G246*(1+Premissas!$B$41)+C247</x:f>
        <x:v>7467698.086134083</x:v>
      </x:c>
      <x:c r="H247" s="141" t="n">
        <x:f>IF($A247=Premissas!$B$48,Premissas!$B$8,0)</x:f>
        <x:v>0</x:v>
      </x:c>
      <x:c r="I247" s="141" t="n">
        <x:f>IF(AND($A247&gt;=Premissas!$B$48,$A247-Premissas!$B$48+1&lt;=Premissas!$B$13),INDEX(Financiamento!$J$6:$J$485,$A247-Premissas!$B$48+1),0)</x:f>
        <x:v>1174.3829113736329</x:v>
      </x:c>
      <x:c r="J247" s="141" t="n">
        <x:f>IF(AND(TRUE,Premissas!$B$11="Imovel",Premissas!$B$47="Moradia",$A247&lt;MAX(Premissas!$B$48,Premissas!$B$49)),$D247,0)</x:f>
        <x:v>0</x:v>
      </x:c>
      <x:c r="K247" s="141" t="n">
        <x:f>IF(AND(TRUE,Premissas!$B$11="Imovel",Premissas!$B$47="Investimento",$A247&gt;=MAX(Premissas!$B$48,Premissas!$B$49)),$E247,0)</x:f>
        <x:v>2052.566702216223</x:v>
      </x:c>
      <x:c r="L247" s="141" t="n">
        <x:f>H247+I247+J247</x:f>
        <x:v>1174.3829113736329</x:v>
      </x:c>
      <x:c r="M247" s="141" t="n">
        <x:f>K247</x:f>
        <x:v>2052.566702216223</x:v>
      </x:c>
      <x:c r="N247" s="141" t="n">
        <x:f>$C247+M247-L247</x:f>
        <x:v>7878.1837908425905</x:v>
      </x:c>
      <x:c r="O247" s="141" t="n">
        <x:f>R246*(1+Premissas!$B$41)+N247</x:f>
        <x:v>6312888.044436844</x:v>
      </x:c>
      <x:c r="P247" s="141" t="n">
        <x:f>MAX(0,-O247)</x:f>
        <x:v>0</x:v>
      </x:c>
      <x:c r="Q247" s="141" t="n">
        <x:f>Q246*(1+Premissas!$B$41)+P247</x:f>
        <x:v>0</x:v>
      </x:c>
      <x:c r="R247" s="141" t="n">
        <x:f>MAX(0,O247)</x:f>
        <x:v>6312888.044436844</x:v>
      </x:c>
      <x:c r="S247" s="141" t="n">
        <x:f>IF(AND($A247&gt;=Premissas!$B$48,$A247-Premissas!$B$48+1&lt;=Premissas!$B$13),INDEX(Financiamento!$M$6:$M$485,$A247-Premissas!$B$48+1),0)</x:f>
        <x:v>67428.57142857154</x:v>
      </x:c>
      <x:c r="T247" s="141" t="n">
        <x:f>IF($A247&gt;=Premissas!$B$48,$F247,0)</x:f>
        <x:v>647686.649438192</x:v>
      </x:c>
      <x:c r="U247" s="141" t="n">
        <x:f>R247+T247-S247</x:f>
        <x:v>6893146.122446464</x:v>
      </x:c>
      <x:c r="V247" s="141" t="n">
        <x:f>IF(Q247&gt;1,"Inviavel",U247)</x:f>
        <x:v>6893146.122446464</x:v>
      </x:c>
      <x:c r="W247" s="141" t="str">
        <x:f>IF(Q247&gt;1,"Inviavel","OK")</x:f>
        <x:v>OK</x:v>
      </x:c>
      <x:c r="X247" s="141" t="n">
        <x:f>IF($A247=Premissas!$B$48,Premissas!$B$8,0)</x:f>
        <x:v>0</x:v>
      </x:c>
      <x:c r="Y247" s="141" t="n">
        <x:f>IF(AND($A247&gt;=Premissas!$B$48,$A247-Premissas!$B$48+1&lt;=Premissas!$B$13),INDEX(Amortizacao!$K$6:$K$485,$A247-Premissas!$B$48+1),0)</x:f>
        <x:v>0</x:v>
      </x:c>
      <x:c r="Z247" s="141" t="n">
        <x:f>IF(AND(TRUE,Premissas!$B$11="Imovel",Premissas!$B$47="Moradia",$A247&lt;MAX(Premissas!$B$48,Premissas!$B$49)),$D247,0)</x:f>
        <x:v>0</x:v>
      </x:c>
      <x:c r="AA247" s="141" t="n">
        <x:f>IF(AND(TRUE,Premissas!$B$11="Imovel",Premissas!$B$47="Investimento",$A247&gt;=MAX(Premissas!$B$48,Premissas!$B$49)),$E247,0)</x:f>
        <x:v>2052.566702216223</x:v>
      </x:c>
      <x:c r="AB247" s="141" t="n">
        <x:f>X247+Y247+Z247</x:f>
        <x:v>0</x:v>
      </x:c>
      <x:c r="AC247" s="141" t="n">
        <x:f>AA247</x:f>
        <x:v>2052.566702216223</x:v>
      </x:c>
      <x:c r="AD247" s="141" t="n">
        <x:f>$C247+AC247-AB247</x:f>
        <x:v>9052.566702216223</x:v>
      </x:c>
      <x:c r="AE247" s="141" t="n">
        <x:f>AH246*(1+Premissas!$B$41)+AD247</x:f>
        <x:v>6351215.271050394</x:v>
      </x:c>
      <x:c r="AF247" s="141" t="n">
        <x:f>MAX(0,-AE247)</x:f>
        <x:v>0</x:v>
      </x:c>
      <x:c r="AG247" s="141" t="n">
        <x:f>AG246*(1+Premissas!$B$41)+AF247</x:f>
        <x:v>0</x:v>
      </x:c>
      <x:c r="AH247" s="141" t="n">
        <x:f>MAX(0,AE247)</x:f>
        <x:v>6351215.271050394</x:v>
      </x:c>
      <x:c r="AI247" s="141" t="n">
        <x:f>IF(AND($A247&gt;=Premissas!$B$48,$A247-Premissas!$B$48+1&lt;=Premissas!$B$13),INDEX(Amortizacao!$L$6:$L$485,$A247-Premissas!$B$48+1),0)</x:f>
        <x:v>0</x:v>
      </x:c>
      <x:c r="AJ247" s="141" t="n">
        <x:f>IF($A247&gt;=Premissas!$B$48,$F247,0)</x:f>
        <x:v>647686.649438192</x:v>
      </x:c>
      <x:c r="AK247" s="141" t="n">
        <x:f>AH247+AJ247-AI247</x:f>
        <x:v>6998901.920488586</x:v>
      </x:c>
      <x:c r="AL247" s="141" t="n">
        <x:f>IF(AG247&gt;1,"Inviavel",AK247)</x:f>
        <x:v>6998901.920488586</x:v>
      </x:c>
      <x:c r="AM247" s="141" t="str">
        <x:f>IF(AG247&gt;1,"Inviavel","OK")</x:f>
        <x:v>OK</x:v>
      </x:c>
      <x:c r="AN247" s="141" t="n">
        <x:f>IF($A247=Premissas!$B$48,Premissas!$B$8,0)</x:f>
        <x:v>0</x:v>
      </x:c>
      <x:c r="AO247" s="141" t="n">
        <x:f>IF($A247&lt;=Premissas!$B$25,INDEX('Consorcio IQ'!$K$6:$K$485,$A247),0)</x:f>
        <x:v>0</x:v>
      </x:c>
      <x:c r="AP247" s="141" t="n">
        <x:f>IF(AND(TRUE,Premissas!$B$11="Imovel",Premissas!$B$47="Moradia",$A247&lt;MAX(Premissas!$B$48,Premissas!$B$49)),$D247,0)</x:f>
        <x:v>0</x:v>
      </x:c>
      <x:c r="AQ247" s="141" t="n">
        <x:f>IF(AND(TRUE,Premissas!$B$11="Imovel",Premissas!$B$47="Investimento",$A247&gt;=MAX(Premissas!$B$48,Premissas!$B$49)),$E247,0)</x:f>
        <x:v>2052.566702216223</x:v>
      </x:c>
      <x:c r="AR247" s="141" t="n">
        <x:f>AN247+AO247+AP247</x:f>
        <x:v>0</x:v>
      </x:c>
      <x:c r="AS247" s="141" t="n">
        <x:f>AQ247</x:f>
        <x:v>2052.566702216223</x:v>
      </x:c>
      <x:c r="AT247" s="141" t="n">
        <x:f>$C247+AS247-AR247</x:f>
        <x:v>9052.566702216223</x:v>
      </x:c>
      <x:c r="AU247" s="141" t="n">
        <x:f>AX246*(1+Premissas!$B$41)+AT247</x:f>
        <x:v>6294403.618922394</x:v>
      </x:c>
      <x:c r="AV247" s="141" t="n">
        <x:f>MAX(0,-AU247)</x:f>
        <x:v>0</x:v>
      </x:c>
      <x:c r="AW247" s="141" t="n">
        <x:f>AW246*(1+Premissas!$B$41)+AV247</x:f>
        <x:v>0</x:v>
      </x:c>
      <x:c r="AX247" s="141" t="n">
        <x:f>MAX(0,AU247)</x:f>
        <x:v>6294403.618922394</x:v>
      </x:c>
      <x:c r="AY247" s="141" t="n">
        <x:f>INDEX('Consorcio IQ'!$P$6:$P$485,$A247)</x:f>
        <x:v>0</x:v>
      </x:c>
      <x:c r="AZ247" s="141" t="n">
        <x:f>IF($A247&gt;=Premissas!$B$48,$F247,0)+IF($A247&lt;Premissas!$B$27,INDEX('Consorcio IQ'!$O$6:$O$485,$A247),0)</x:f>
        <x:v>647686.649438192</x:v>
      </x:c>
      <x:c r="BA247" s="141" t="n">
        <x:f>AX247+AZ247-AY247</x:f>
        <x:v>6942090.268360586</x:v>
      </x:c>
      <x:c r="BB247" s="141" t="n">
        <x:f>IF(AW247&gt;1,"Inviavel",BA247)</x:f>
        <x:v>6942090.268360586</x:v>
      </x:c>
      <x:c r="BC247" s="141" t="str">
        <x:f>IF(AW247&gt;1,"Inviavel","OK")</x:f>
        <x:v>OK</x:v>
      </x:c>
      <x:c r="BD247" s="141" t="n">
        <x:f>IF($A247='Consorcio Direto'!$B$29,'Consorcio Direto'!$B$44,0)</x:f>
        <x:v>0</x:v>
      </x:c>
      <x:c r="BE247" s="141" t="n">
        <x:f>IF($A247&lt;='Consorcio Direto'!$B$27,INDEX('Consorcio Direto'!$E$55:$E$534,$A247),0)</x:f>
        <x:v>0</x:v>
      </x:c>
      <x:c r="BF247" s="141" t="n">
        <x:f>IF(AND(TRUE,Premissas!$B$11="Imovel",Premissas!$B$47="Moradia",$A247&lt;MAX('Consorcio Direto'!$B$29,Premissas!$B$49)),$D247,0)</x:f>
        <x:v>0</x:v>
      </x:c>
      <x:c r="BG247" s="141" t="n">
        <x:f>IF(AND(TRUE,Premissas!$B$11="Imovel",Premissas!$B$47="Investimento",$A247&gt;=MAX('Consorcio Direto'!$B$29,Premissas!$B$49)),$E247,0)</x:f>
        <x:v>2052.566702216223</x:v>
      </x:c>
      <x:c r="BH247" s="141" t="n">
        <x:f>BD247+BE247+BF247</x:f>
        <x:v>0</x:v>
      </x:c>
      <x:c r="BI247" s="141" t="n">
        <x:f>BG247</x:f>
        <x:v>2052.566702216223</x:v>
      </x:c>
      <x:c r="BJ247" s="141" t="n">
        <x:f>$C247+BI247-BH247</x:f>
        <x:v>9052.566702216223</x:v>
      </x:c>
      <x:c r="BK247" s="141" t="n">
        <x:f>BN246*(1+Premissas!$B$41)+BJ247</x:f>
        <x:v>5987371.3300832985</x:v>
      </x:c>
      <x:c r="BL247" s="141" t="n">
        <x:f>MAX(0,-BK247)</x:f>
        <x:v>0</x:v>
      </x:c>
      <x:c r="BM247" s="141" t="n">
        <x:f>BM246*(1+Premissas!$B$41)+BL247</x:f>
        <x:v>0</x:v>
      </x:c>
      <x:c r="BN247" s="141" t="n">
        <x:f>MAX(0,BK247)</x:f>
        <x:v>5987371.3300832985</x:v>
      </x:c>
      <x:c r="BO247" s="141" t="n">
        <x:f>INDEX('Consorcio Direto'!$K$55:$K$534,$A247)</x:f>
        <x:v>0</x:v>
      </x:c>
      <x:c r="BP247" s="141" t="n">
        <x:f>IF($A247&lt;'Consorcio Direto'!$B$29,INDEX('Consorcio Direto'!$L$55:$L$534,$A247),$F247)</x:f>
        <x:v>647686.649438192</x:v>
      </x:c>
      <x:c r="BQ247" s="141" t="n">
        <x:f>BN247+BP247-BO247</x:f>
        <x:v>6635057.979521491</x:v>
      </x:c>
      <x:c r="BR247" s="141" t="n">
        <x:f>IF(BM247&gt;1,"Inviavel",BQ247)</x:f>
        <x:v>6635057.979521491</x:v>
      </x:c>
      <x:c r="BS247" s="141" t="str">
        <x:f>IF(BM247&gt;1,"Inviavel","OK")</x:f>
        <x:v>OK</x:v>
      </x:c>
      <x:c r="BT247" s="141" t="n">
        <x:f>IF(AND('Carta Contemplada'!$B$22="Sim",$A247='Carta Contemplada'!$B$23),'Carta Contemplada'!$B$37,0)</x:f>
        <x:v>0</x:v>
      </x:c>
      <x:c r="BU247" s="141" t="n">
        <x:f>IF('Carta Contemplada'!$B$22="Sim",INDEX('Carta Contemplada'!$C$55:$C$1013,$A247),0)</x:f>
        <x:v>0</x:v>
      </x:c>
      <x:c r="BV247" s="141" t="n">
        <x:f>IF(AND('Carta Contemplada'!$B$22="Sim",Premissas!$B$11="Imovel",Premissas!$B$47="Moradia",$A247&lt;MAX('Carta Contemplada'!$B$44,Premissas!$B$49)),$D247,0)</x:f>
        <x:v>0</x:v>
      </x:c>
      <x:c r="BW247" s="141" t="n">
        <x:f>IF(AND('Carta Contemplada'!$B$22="Sim",Premissas!$B$11="Imovel",Premissas!$B$47="Investimento",$A247&gt;=MAX('Carta Contemplada'!$B$44,Premissas!$B$49)),$E247,0)</x:f>
        <x:v>2052.566702216223</x:v>
      </x:c>
      <x:c r="BX247" s="141" t="n">
        <x:f>BT247+BU247+BV247</x:f>
        <x:v>0</x:v>
      </x:c>
      <x:c r="BY247" s="141" t="n">
        <x:f>BW247</x:f>
        <x:v>2052.566702216223</x:v>
      </x:c>
      <x:c r="BZ247" s="141" t="n">
        <x:f>$C247+BY247-BX247</x:f>
        <x:v>9052.566702216223</x:v>
      </x:c>
      <x:c r="CA247" s="141" t="n">
        <x:f>CD246*(1+Premissas!$B$41)+BZ247</x:f>
        <x:v>6494483.580913815</x:v>
      </x:c>
      <x:c r="CB247" s="141" t="n">
        <x:f>MAX(0,-CA247)</x:f>
        <x:v>0</x:v>
      </x:c>
      <x:c r="CC247" s="141" t="n">
        <x:f>CC246*(1+Premissas!$B$41)+CB247</x:f>
        <x:v>0</x:v>
      </x:c>
      <x:c r="CD247" s="141" t="n">
        <x:f>MAX(0,CA247)</x:f>
        <x:v>6494483.580913815</x:v>
      </x:c>
      <x:c r="CE247" s="141" t="n">
        <x:f>IF(AND('Carta Contemplada'!$B$22="Sim",$A247&gt;='Carta Contemplada'!$B$23),INDEX('Carta Contemplada'!$I$55:$I$1013,$A247),0)</x:f>
        <x:v>0</x:v>
      </x:c>
      <x:c r="CF247" s="141" t="n">
        <x:f>IF(AND('Carta Contemplada'!$B$22="Sim",$A247&gt;='Carta Contemplada'!$B$44),$F247,0)</x:f>
        <x:v>647686.649438192</x:v>
      </x:c>
      <x:c r="CG247" s="141" t="n">
        <x:f>CD247+CF247-CE247</x:f>
        <x:v>7142170.230352007</x:v>
      </x:c>
      <x:c r="CH247" s="141" t="n">
        <x:f>IF(CC247&gt;1,"Inviavel",CG247)</x:f>
        <x:v>7142170.230352007</x:v>
      </x:c>
      <x:c r="CI247" s="145" t="str">
        <x:f>IF(CC247&gt;1,"Inviavel","OK")</x:f>
        <x:v>OK</x:v>
      </x:c>
    </x:row>
    <x:row r="248">
      <x:c r="A248" s="142" t="n">
        <x:v>244</x:v>
      </x:c>
      <x:c r="B248" s="179" t="n">
        <x:f>EDATE(Premissas!$B$4,A248-1)</x:f>
        <x:v>53936</x:v>
      </x:c>
      <x:c r="C248" s="141" t="n">
        <x:f>IF(A248&lt;=Premissas!$B$39,Premissas!$B$42,0)</x:f>
        <x:v>7000</x:v>
      </x:c>
      <x:c r="D248" s="141" t="n">
        <x:f>Premissas!$B$54*(1+Premissas!$B$57)^INT((A248-1)/12)</x:f>
        <x:v>2244.9948305489934</x:v>
      </x:c>
      <x:c r="E248" s="141" t="n">
        <x:f>Premissas!$B$64*(1+Premissas!$B$57)^INT((A248-1)/12)</x:f>
        <x:v>2052.566702216223</x:v>
      </x:c>
      <x:c r="F248" s="141" t="n">
        <x:f>MAX(0,Premissas!$B$6*(1+Premissas!$B$66)^((A248-1)/12))</x:f>
        <x:v>650839.29695483</x:v>
      </x:c>
      <x:c r="G248" s="141" t="n">
        <x:f>G247*(1+Premissas!$B$41)+C248</x:f>
        <x:v>7545557.526971391</x:v>
      </x:c>
      <x:c r="H248" s="141" t="n">
        <x:f>IF($A248=Premissas!$B$48,Premissas!$B$8,0)</x:f>
        <x:v>0</x:v>
      </x:c>
      <x:c r="I248" s="141" t="n">
        <x:f>IF(AND($A248&gt;=Premissas!$B$48,$A248-Premissas!$B$48+1&lt;=Premissas!$B$13),INDEX(Financiamento!$J$6:$J$485,$A248-Premissas!$B$48+1),0)</x:f>
        <x:v>1170.7681331128395</x:v>
      </x:c>
      <x:c r="J248" s="141" t="n">
        <x:f>IF(AND(TRUE,Premissas!$B$11="Imovel",Premissas!$B$47="Moradia",$A248&lt;MAX(Premissas!$B$48,Premissas!$B$49)),$D248,0)</x:f>
        <x:v>0</x:v>
      </x:c>
      <x:c r="K248" s="141" t="n">
        <x:f>IF(AND(TRUE,Premissas!$B$11="Imovel",Premissas!$B$47="Investimento",$A248&gt;=MAX(Premissas!$B$48,Premissas!$B$49)),$E248,0)</x:f>
        <x:v>2052.566702216223</x:v>
      </x:c>
      <x:c r="L248" s="141" t="n">
        <x:f>H248+I248+J248</x:f>
        <x:v>1170.7681331128395</x:v>
      </x:c>
      <x:c r="M248" s="141" t="n">
        <x:f>K248</x:f>
        <x:v>2052.566702216223</x:v>
      </x:c>
      <x:c r="N248" s="141" t="n">
        <x:f>$C248+M248-L248</x:f>
        <x:v>7881.798569103384</x:v>
      </x:c>
      <x:c r="O248" s="141" t="n">
        <x:f>R247*(1+Premissas!$B$41)+N248</x:f>
        <x:v>6380671.530478814</x:v>
      </x:c>
      <x:c r="P248" s="141" t="n">
        <x:f>MAX(0,-O248)</x:f>
        <x:v>0</x:v>
      </x:c>
      <x:c r="Q248" s="141" t="n">
        <x:f>Q247*(1+Premissas!$B$41)+P248</x:f>
        <x:v>0</x:v>
      </x:c>
      <x:c r="R248" s="141" t="n">
        <x:f>MAX(0,O248)</x:f>
        <x:v>6380671.530478814</x:v>
      </x:c>
      <x:c r="S248" s="141" t="n">
        <x:f>IF(AND($A248&gt;=Premissas!$B$48,$A248-Premissas!$B$48+1&lt;=Premissas!$B$13),INDEX(Financiamento!$M$6:$M$485,$A248-Premissas!$B$48+1),0)</x:f>
        <x:v>67047.61904761916</x:v>
      </x:c>
      <x:c r="T248" s="141" t="n">
        <x:f>IF($A248&gt;=Premissas!$B$48,$F248,0)</x:f>
        <x:v>650839.29695483</x:v>
      </x:c>
      <x:c r="U248" s="141" t="n">
        <x:f>R248+T248-S248</x:f>
        <x:v>6964463.208386024</x:v>
      </x:c>
      <x:c r="V248" s="141" t="n">
        <x:f>IF(Q248&gt;1,"Inviavel",U248)</x:f>
        <x:v>6964463.208386024</x:v>
      </x:c>
      <x:c r="W248" s="141" t="str">
        <x:f>IF(Q248&gt;1,"Inviavel","OK")</x:f>
        <x:v>OK</x:v>
      </x:c>
      <x:c r="X248" s="141" t="n">
        <x:f>IF($A248=Premissas!$B$48,Premissas!$B$8,0)</x:f>
        <x:v>0</x:v>
      </x:c>
      <x:c r="Y248" s="141" t="n">
        <x:f>IF(AND($A248&gt;=Premissas!$B$48,$A248-Premissas!$B$48+1&lt;=Premissas!$B$13),INDEX(Amortizacao!$K$6:$K$485,$A248-Premissas!$B$48+1),0)</x:f>
        <x:v>0</x:v>
      </x:c>
      <x:c r="Z248" s="141" t="n">
        <x:f>IF(AND(TRUE,Premissas!$B$11="Imovel",Premissas!$B$47="Moradia",$A248&lt;MAX(Premissas!$B$48,Premissas!$B$49)),$D248,0)</x:f>
        <x:v>0</x:v>
      </x:c>
      <x:c r="AA248" s="141" t="n">
        <x:f>IF(AND(TRUE,Premissas!$B$11="Imovel",Premissas!$B$47="Investimento",$A248&gt;=MAX(Premissas!$B$48,Premissas!$B$49)),$E248,0)</x:f>
        <x:v>2052.566702216223</x:v>
      </x:c>
      <x:c r="AB248" s="141" t="n">
        <x:f>X248+Y248+Z248</x:f>
        <x:v>0</x:v>
      </x:c>
      <x:c r="AC248" s="141" t="n">
        <x:f>AA248</x:f>
        <x:v>2052.566702216223</x:v>
      </x:c>
      <x:c r="AD248" s="141" t="n">
        <x:f>$C248+AC248-AB248</x:f>
        <x:v>9052.566702216223</x:v>
      </x:c>
      <x:c r="AE248" s="141" t="n">
        <x:f>AH247*(1+Premissas!$B$41)+AD248</x:f>
        <x:v>6420533.204342568</x:v>
      </x:c>
      <x:c r="AF248" s="141" t="n">
        <x:f>MAX(0,-AE248)</x:f>
        <x:v>0</x:v>
      </x:c>
      <x:c r="AG248" s="141" t="n">
        <x:f>AG247*(1+Premissas!$B$41)+AF248</x:f>
        <x:v>0</x:v>
      </x:c>
      <x:c r="AH248" s="141" t="n">
        <x:f>MAX(0,AE248)</x:f>
        <x:v>6420533.204342568</x:v>
      </x:c>
      <x:c r="AI248" s="141" t="n">
        <x:f>IF(AND($A248&gt;=Premissas!$B$48,$A248-Premissas!$B$48+1&lt;=Premissas!$B$13),INDEX(Amortizacao!$L$6:$L$485,$A248-Premissas!$B$48+1),0)</x:f>
        <x:v>0</x:v>
      </x:c>
      <x:c r="AJ248" s="141" t="n">
        <x:f>IF($A248&gt;=Premissas!$B$48,$F248,0)</x:f>
        <x:v>650839.29695483</x:v>
      </x:c>
      <x:c r="AK248" s="141" t="n">
        <x:f>AH248+AJ248-AI248</x:f>
        <x:v>7071372.5012973985</x:v>
      </x:c>
      <x:c r="AL248" s="141" t="n">
        <x:f>IF(AG248&gt;1,"Inviavel",AK248)</x:f>
        <x:v>7071372.5012973985</x:v>
      </x:c>
      <x:c r="AM248" s="141" t="str">
        <x:f>IF(AG248&gt;1,"Inviavel","OK")</x:f>
        <x:v>OK</x:v>
      </x:c>
      <x:c r="AN248" s="141" t="n">
        <x:f>IF($A248=Premissas!$B$48,Premissas!$B$8,0)</x:f>
        <x:v>0</x:v>
      </x:c>
      <x:c r="AO248" s="141" t="n">
        <x:f>IF($A248&lt;=Premissas!$B$25,INDEX('Consorcio IQ'!$K$6:$K$485,$A248),0)</x:f>
        <x:v>0</x:v>
      </x:c>
      <x:c r="AP248" s="141" t="n">
        <x:f>IF(AND(TRUE,Premissas!$B$11="Imovel",Premissas!$B$47="Moradia",$A248&lt;MAX(Premissas!$B$48,Premissas!$B$49)),$D248,0)</x:f>
        <x:v>0</x:v>
      </x:c>
      <x:c r="AQ248" s="141" t="n">
        <x:f>IF(AND(TRUE,Premissas!$B$11="Imovel",Premissas!$B$47="Investimento",$A248&gt;=MAX(Premissas!$B$48,Premissas!$B$49)),$E248,0)</x:f>
        <x:v>2052.566702216223</x:v>
      </x:c>
      <x:c r="AR248" s="141" t="n">
        <x:f>AN248+AO248+AP248</x:f>
        <x:v>0</x:v>
      </x:c>
      <x:c r="AS248" s="141" t="n">
        <x:f>AQ248</x:f>
        <x:v>2052.566702216223</x:v>
      </x:c>
      <x:c r="AT248" s="141" t="n">
        <x:f>$C248+AS248-AR248</x:f>
        <x:v>9052.566702216223</x:v>
      </x:c>
      <x:c r="AU248" s="141" t="n">
        <x:f>AX247*(1+Premissas!$B$41)+AT248</x:f>
        <x:v>6363182.478211255</x:v>
      </x:c>
      <x:c r="AV248" s="141" t="n">
        <x:f>MAX(0,-AU248)</x:f>
        <x:v>0</x:v>
      </x:c>
      <x:c r="AW248" s="141" t="n">
        <x:f>AW247*(1+Premissas!$B$41)+AV248</x:f>
        <x:v>0</x:v>
      </x:c>
      <x:c r="AX248" s="141" t="n">
        <x:f>MAX(0,AU248)</x:f>
        <x:v>6363182.478211255</x:v>
      </x:c>
      <x:c r="AY248" s="141" t="n">
        <x:f>INDEX('Consorcio IQ'!$P$6:$P$485,$A248)</x:f>
        <x:v>0</x:v>
      </x:c>
      <x:c r="AZ248" s="141" t="n">
        <x:f>IF($A248&gt;=Premissas!$B$48,$F248,0)+IF($A248&lt;Premissas!$B$27,INDEX('Consorcio IQ'!$O$6:$O$485,$A248),0)</x:f>
        <x:v>650839.29695483</x:v>
      </x:c>
      <x:c r="BA248" s="141" t="n">
        <x:f>AX248+AZ248-AY248</x:f>
        <x:v>7014021.775166085</x:v>
      </x:c>
      <x:c r="BB248" s="141" t="n">
        <x:f>IF(AW248&gt;1,"Inviavel",BA248)</x:f>
        <x:v>7014021.775166085</x:v>
      </x:c>
      <x:c r="BC248" s="141" t="str">
        <x:f>IF(AW248&gt;1,"Inviavel","OK")</x:f>
        <x:v>OK</x:v>
      </x:c>
      <x:c r="BD248" s="141" t="n">
        <x:f>IF($A248='Consorcio Direto'!$B$29,'Consorcio Direto'!$B$44,0)</x:f>
        <x:v>0</x:v>
      </x:c>
      <x:c r="BE248" s="141" t="n">
        <x:f>IF($A248&lt;='Consorcio Direto'!$B$27,INDEX('Consorcio Direto'!$E$55:$E$534,$A248),0)</x:f>
        <x:v>0</x:v>
      </x:c>
      <x:c r="BF248" s="141" t="n">
        <x:f>IF(AND(TRUE,Premissas!$B$11="Imovel",Premissas!$B$47="Moradia",$A248&lt;MAX('Consorcio Direto'!$B$29,Premissas!$B$49)),$D248,0)</x:f>
        <x:v>0</x:v>
      </x:c>
      <x:c r="BG248" s="141" t="n">
        <x:f>IF(AND(TRUE,Premissas!$B$11="Imovel",Premissas!$B$47="Investimento",$A248&gt;=MAX('Consorcio Direto'!$B$29,Premissas!$B$49)),$E248,0)</x:f>
        <x:v>2052.566702216223</x:v>
      </x:c>
      <x:c r="BH248" s="141" t="n">
        <x:f>BD248+BE248+BF248</x:f>
        <x:v>0</x:v>
      </x:c>
      <x:c r="BI248" s="141" t="n">
        <x:f>BG248</x:f>
        <x:v>2052.566702216223</x:v>
      </x:c>
      <x:c r="BJ248" s="141" t="n">
        <x:f>$C248+BI248-BH248</x:f>
        <x:v>9052.566702216223</x:v>
      </x:c>
      <x:c r="BK248" s="141" t="n">
        <x:f>BN247*(1+Premissas!$B$41)+BJ248</x:f>
        <x:v>6053236.823559134</x:v>
      </x:c>
      <x:c r="BL248" s="141" t="n">
        <x:f>MAX(0,-BK248)</x:f>
        <x:v>0</x:v>
      </x:c>
      <x:c r="BM248" s="141" t="n">
        <x:f>BM247*(1+Premissas!$B$41)+BL248</x:f>
        <x:v>0</x:v>
      </x:c>
      <x:c r="BN248" s="141" t="n">
        <x:f>MAX(0,BK248)</x:f>
        <x:v>6053236.823559134</x:v>
      </x:c>
      <x:c r="BO248" s="141" t="n">
        <x:f>INDEX('Consorcio Direto'!$K$55:$K$534,$A248)</x:f>
        <x:v>0</x:v>
      </x:c>
      <x:c r="BP248" s="141" t="n">
        <x:f>IF($A248&lt;'Consorcio Direto'!$B$29,INDEX('Consorcio Direto'!$L$55:$L$534,$A248),$F248)</x:f>
        <x:v>650839.29695483</x:v>
      </x:c>
      <x:c r="BQ248" s="141" t="n">
        <x:f>BN248+BP248-BO248</x:f>
        <x:v>6704076.120513964</x:v>
      </x:c>
      <x:c r="BR248" s="141" t="n">
        <x:f>IF(BM248&gt;1,"Inviavel",BQ248)</x:f>
        <x:v>6704076.120513964</x:v>
      </x:c>
      <x:c r="BS248" s="141" t="str">
        <x:f>IF(BM248&gt;1,"Inviavel","OK")</x:f>
        <x:v>OK</x:v>
      </x:c>
      <x:c r="BT248" s="141" t="n">
        <x:f>IF(AND('Carta Contemplada'!$B$22="Sim",$A248='Carta Contemplada'!$B$23),'Carta Contemplada'!$B$37,0)</x:f>
        <x:v>0</x:v>
      </x:c>
      <x:c r="BU248" s="141" t="n">
        <x:f>IF('Carta Contemplada'!$B$22="Sim",INDEX('Carta Contemplada'!$C$55:$C$1013,$A248),0)</x:f>
        <x:v>0</x:v>
      </x:c>
      <x:c r="BV248" s="141" t="n">
        <x:f>IF(AND('Carta Contemplada'!$B$22="Sim",Premissas!$B$11="Imovel",Premissas!$B$47="Moradia",$A248&lt;MAX('Carta Contemplada'!$B$44,Premissas!$B$49)),$D248,0)</x:f>
        <x:v>0</x:v>
      </x:c>
      <x:c r="BW248" s="141" t="n">
        <x:f>IF(AND('Carta Contemplada'!$B$22="Sim",Premissas!$B$11="Imovel",Premissas!$B$47="Investimento",$A248&gt;=MAX('Carta Contemplada'!$B$44,Premissas!$B$49)),$E248,0)</x:f>
        <x:v>2052.566702216223</x:v>
      </x:c>
      <x:c r="BX248" s="141" t="n">
        <x:f>BT248+BU248+BV248</x:f>
        <x:v>0</x:v>
      </x:c>
      <x:c r="BY248" s="141" t="n">
        <x:f>BW248</x:f>
        <x:v>2052.566702216223</x:v>
      </x:c>
      <x:c r="BZ248" s="141" t="n">
        <x:f>$C248+BY248-BX248</x:f>
        <x:v>9052.566702216223</x:v>
      </x:c>
      <x:c r="CA248" s="141" t="n">
        <x:f>CD247*(1+Premissas!$B$41)+BZ248</x:f>
        <x:v>6565160.957532371</x:v>
      </x:c>
      <x:c r="CB248" s="141" t="n">
        <x:f>MAX(0,-CA248)</x:f>
        <x:v>0</x:v>
      </x:c>
      <x:c r="CC248" s="141" t="n">
        <x:f>CC247*(1+Premissas!$B$41)+CB248</x:f>
        <x:v>0</x:v>
      </x:c>
      <x:c r="CD248" s="141" t="n">
        <x:f>MAX(0,CA248)</x:f>
        <x:v>6565160.957532371</x:v>
      </x:c>
      <x:c r="CE248" s="141" t="n">
        <x:f>IF(AND('Carta Contemplada'!$B$22="Sim",$A248&gt;='Carta Contemplada'!$B$23),INDEX('Carta Contemplada'!$I$55:$I$1013,$A248),0)</x:f>
        <x:v>0</x:v>
      </x:c>
      <x:c r="CF248" s="141" t="n">
        <x:f>IF(AND('Carta Contemplada'!$B$22="Sim",$A248&gt;='Carta Contemplada'!$B$44),$F248,0)</x:f>
        <x:v>650839.29695483</x:v>
      </x:c>
      <x:c r="CG248" s="141" t="n">
        <x:f>CD248+CF248-CE248</x:f>
        <x:v>7216000.254487202</x:v>
      </x:c>
      <x:c r="CH248" s="141" t="n">
        <x:f>IF(CC248&gt;1,"Inviavel",CG248)</x:f>
        <x:v>7216000.254487202</x:v>
      </x:c>
      <x:c r="CI248" s="145" t="str">
        <x:f>IF(CC248&gt;1,"Inviavel","OK")</x:f>
        <x:v>OK</x:v>
      </x:c>
    </x:row>
    <x:row r="249">
      <x:c r="A249" s="142" t="n">
        <x:v>245</x:v>
      </x:c>
      <x:c r="B249" s="179" t="n">
        <x:f>EDATE(Premissas!$B$4,A249-1)</x:f>
        <x:v>53966</x:v>
      </x:c>
      <x:c r="C249" s="141" t="n">
        <x:f>IF(A249&lt;=Premissas!$B$39,Premissas!$B$42,0)</x:f>
        <x:v>7000</x:v>
      </x:c>
      <x:c r="D249" s="141" t="n">
        <x:f>Premissas!$B$54*(1+Premissas!$B$57)^INT((A249-1)/12)</x:f>
        <x:v>2244.9948305489934</x:v>
      </x:c>
      <x:c r="E249" s="141" t="n">
        <x:f>Premissas!$B$64*(1+Premissas!$B$57)^INT((A249-1)/12)</x:f>
        <x:v>2052.566702216223</x:v>
      </x:c>
      <x:c r="F249" s="141" t="n">
        <x:f>MAX(0,Premissas!$B$6*(1+Premissas!$B$66)^((A249-1)/12))</x:f>
        <x:v>654007.2901426699</x:v>
      </x:c>
      <x:c r="G249" s="141" t="n">
        <x:f>G248*(1+Premissas!$B$41)+C249</x:f>
        <x:v>7624155.759920808</x:v>
      </x:c>
      <x:c r="H249" s="141" t="n">
        <x:f>IF($A249=Premissas!$B$48,Premissas!$B$8,0)</x:f>
        <x:v>0</x:v>
      </x:c>
      <x:c r="I249" s="141" t="n">
        <x:f>IF(AND($A249&gt;=Premissas!$B$48,$A249-Premissas!$B$48+1&lt;=Premissas!$B$13),INDEX(Financiamento!$J$6:$J$485,$A249-Premissas!$B$48+1),0)</x:f>
        <x:v>1167.1533548520458</x:v>
      </x:c>
      <x:c r="J249" s="141" t="n">
        <x:f>IF(AND(TRUE,Premissas!$B$11="Imovel",Premissas!$B$47="Moradia",$A249&lt;MAX(Premissas!$B$48,Premissas!$B$49)),$D249,0)</x:f>
        <x:v>0</x:v>
      </x:c>
      <x:c r="K249" s="141" t="n">
        <x:f>IF(AND(TRUE,Premissas!$B$11="Imovel",Premissas!$B$47="Investimento",$A249&gt;=MAX(Premissas!$B$48,Premissas!$B$49)),$E249,0)</x:f>
        <x:v>2052.566702216223</x:v>
      </x:c>
      <x:c r="L249" s="141" t="n">
        <x:f>H249+I249+J249</x:f>
        <x:v>1167.1533548520458</x:v>
      </x:c>
      <x:c r="M249" s="141" t="n">
        <x:f>K249</x:f>
        <x:v>2052.566702216223</x:v>
      </x:c>
      <x:c r="N249" s="141" t="n">
        <x:f>$C249+M249-L249</x:f>
        <x:v>7885.413347364178</x:v>
      </x:c>
      <x:c r="O249" s="141" t="n">
        <x:f>R248*(1+Premissas!$B$41)+N249</x:f>
        <x:v>6449101.814762481</x:v>
      </x:c>
      <x:c r="P249" s="141" t="n">
        <x:f>MAX(0,-O249)</x:f>
        <x:v>0</x:v>
      </x:c>
      <x:c r="Q249" s="141" t="n">
        <x:f>Q248*(1+Premissas!$B$41)+P249</x:f>
        <x:v>0</x:v>
      </x:c>
      <x:c r="R249" s="141" t="n">
        <x:f>MAX(0,O249)</x:f>
        <x:v>6449101.814762481</x:v>
      </x:c>
      <x:c r="S249" s="141" t="n">
        <x:f>IF(AND($A249&gt;=Premissas!$B$48,$A249-Premissas!$B$48+1&lt;=Premissas!$B$13),INDEX(Financiamento!$M$6:$M$485,$A249-Premissas!$B$48+1),0)</x:f>
        <x:v>66666.66666666677</x:v>
      </x:c>
      <x:c r="T249" s="141" t="n">
        <x:f>IF($A249&gt;=Premissas!$B$48,$F249,0)</x:f>
        <x:v>654007.2901426699</x:v>
      </x:c>
      <x:c r="U249" s="141" t="n">
        <x:f>R249+T249-S249</x:f>
        <x:v>7036442.438238484</x:v>
      </x:c>
      <x:c r="V249" s="141" t="n">
        <x:f>IF(Q249&gt;1,"Inviavel",U249)</x:f>
        <x:v>7036442.438238484</x:v>
      </x:c>
      <x:c r="W249" s="141" t="str">
        <x:f>IF(Q249&gt;1,"Inviavel","OK")</x:f>
        <x:v>OK</x:v>
      </x:c>
      <x:c r="X249" s="141" t="n">
        <x:f>IF($A249=Premissas!$B$48,Premissas!$B$8,0)</x:f>
        <x:v>0</x:v>
      </x:c>
      <x:c r="Y249" s="141" t="n">
        <x:f>IF(AND($A249&gt;=Premissas!$B$48,$A249-Premissas!$B$48+1&lt;=Premissas!$B$13),INDEX(Amortizacao!$K$6:$K$485,$A249-Premissas!$B$48+1),0)</x:f>
        <x:v>0</x:v>
      </x:c>
      <x:c r="Z249" s="141" t="n">
        <x:f>IF(AND(TRUE,Premissas!$B$11="Imovel",Premissas!$B$47="Moradia",$A249&lt;MAX(Premissas!$B$48,Premissas!$B$49)),$D249,0)</x:f>
        <x:v>0</x:v>
      </x:c>
      <x:c r="AA249" s="141" t="n">
        <x:f>IF(AND(TRUE,Premissas!$B$11="Imovel",Premissas!$B$47="Investimento",$A249&gt;=MAX(Premissas!$B$48,Premissas!$B$49)),$E249,0)</x:f>
        <x:v>2052.566702216223</x:v>
      </x:c>
      <x:c r="AB249" s="141" t="n">
        <x:f>X249+Y249+Z249</x:f>
        <x:v>0</x:v>
      </x:c>
      <x:c r="AC249" s="141" t="n">
        <x:f>AA249</x:f>
        <x:v>2052.566702216223</x:v>
      </x:c>
      <x:c r="AD249" s="141" t="n">
        <x:f>$C249+AC249-AB249</x:f>
        <x:v>9052.566702216223</x:v>
      </x:c>
      <x:c r="AE249" s="141" t="n">
        <x:f>AH248*(1+Premissas!$B$41)+AD249</x:f>
        <x:v>6490508.881150406</x:v>
      </x:c>
      <x:c r="AF249" s="141" t="n">
        <x:f>MAX(0,-AE249)</x:f>
        <x:v>0</x:v>
      </x:c>
      <x:c r="AG249" s="141" t="n">
        <x:f>AG248*(1+Premissas!$B$41)+AF249</x:f>
        <x:v>0</x:v>
      </x:c>
      <x:c r="AH249" s="141" t="n">
        <x:f>MAX(0,AE249)</x:f>
        <x:v>6490508.881150406</x:v>
      </x:c>
      <x:c r="AI249" s="141" t="n">
        <x:f>IF(AND($A249&gt;=Premissas!$B$48,$A249-Premissas!$B$48+1&lt;=Premissas!$B$13),INDEX(Amortizacao!$L$6:$L$485,$A249-Premissas!$B$48+1),0)</x:f>
        <x:v>0</x:v>
      </x:c>
      <x:c r="AJ249" s="141" t="n">
        <x:f>IF($A249&gt;=Premissas!$B$48,$F249,0)</x:f>
        <x:v>654007.2901426699</x:v>
      </x:c>
      <x:c r="AK249" s="141" t="n">
        <x:f>AH249+AJ249-AI249</x:f>
        <x:v>7144516.171293076</x:v>
      </x:c>
      <x:c r="AL249" s="141" t="n">
        <x:f>IF(AG249&gt;1,"Inviavel",AK249)</x:f>
        <x:v>7144516.171293076</x:v>
      </x:c>
      <x:c r="AM249" s="141" t="str">
        <x:f>IF(AG249&gt;1,"Inviavel","OK")</x:f>
        <x:v>OK</x:v>
      </x:c>
      <x:c r="AN249" s="141" t="n">
        <x:f>IF($A249=Premissas!$B$48,Premissas!$B$8,0)</x:f>
        <x:v>0</x:v>
      </x:c>
      <x:c r="AO249" s="141" t="n">
        <x:f>IF($A249&lt;=Premissas!$B$25,INDEX('Consorcio IQ'!$K$6:$K$485,$A249),0)</x:f>
        <x:v>0</x:v>
      </x:c>
      <x:c r="AP249" s="141" t="n">
        <x:f>IF(AND(TRUE,Premissas!$B$11="Imovel",Premissas!$B$47="Moradia",$A249&lt;MAX(Premissas!$B$48,Premissas!$B$49)),$D249,0)</x:f>
        <x:v>0</x:v>
      </x:c>
      <x:c r="AQ249" s="141" t="n">
        <x:f>IF(AND(TRUE,Premissas!$B$11="Imovel",Premissas!$B$47="Investimento",$A249&gt;=MAX(Premissas!$B$48,Premissas!$B$49)),$E249,0)</x:f>
        <x:v>2052.566702216223</x:v>
      </x:c>
      <x:c r="AR249" s="141" t="n">
        <x:f>AN249+AO249+AP249</x:f>
        <x:v>0</x:v>
      </x:c>
      <x:c r="AS249" s="141" t="n">
        <x:f>AQ249</x:f>
        <x:v>2052.566702216223</x:v>
      </x:c>
      <x:c r="AT249" s="141" t="n">
        <x:f>$C249+AS249-AR249</x:f>
        <x:v>9052.566702216223</x:v>
      </x:c>
      <x:c r="AU249" s="141" t="n">
        <x:f>AX248*(1+Premissas!$B$41)+AT249</x:f>
        <x:v>6432613.965854185</x:v>
      </x:c>
      <x:c r="AV249" s="141" t="n">
        <x:f>MAX(0,-AU249)</x:f>
        <x:v>0</x:v>
      </x:c>
      <x:c r="AW249" s="141" t="n">
        <x:f>AW248*(1+Premissas!$B$41)+AV249</x:f>
        <x:v>0</x:v>
      </x:c>
      <x:c r="AX249" s="141" t="n">
        <x:f>MAX(0,AU249)</x:f>
        <x:v>6432613.965854185</x:v>
      </x:c>
      <x:c r="AY249" s="141" t="n">
        <x:f>INDEX('Consorcio IQ'!$P$6:$P$485,$A249)</x:f>
        <x:v>0</x:v>
      </x:c>
      <x:c r="AZ249" s="141" t="n">
        <x:f>IF($A249&gt;=Premissas!$B$48,$F249,0)+IF($A249&lt;Premissas!$B$27,INDEX('Consorcio IQ'!$O$6:$O$485,$A249),0)</x:f>
        <x:v>654007.2901426699</x:v>
      </x:c>
      <x:c r="BA249" s="141" t="n">
        <x:f>AX249+AZ249-AY249</x:f>
        <x:v>7086621.255996855</x:v>
      </x:c>
      <x:c r="BB249" s="141" t="n">
        <x:f>IF(AW249&gt;1,"Inviavel",BA249)</x:f>
        <x:v>7086621.255996855</x:v>
      </x:c>
      <x:c r="BC249" s="141" t="str">
        <x:f>IF(AW249&gt;1,"Inviavel","OK")</x:f>
        <x:v>OK</x:v>
      </x:c>
      <x:c r="BD249" s="141" t="n">
        <x:f>IF($A249='Consorcio Direto'!$B$29,'Consorcio Direto'!$B$44,0)</x:f>
        <x:v>0</x:v>
      </x:c>
      <x:c r="BE249" s="141" t="n">
        <x:f>IF($A249&lt;='Consorcio Direto'!$B$27,INDEX('Consorcio Direto'!$E$55:$E$534,$A249),0)</x:f>
        <x:v>0</x:v>
      </x:c>
      <x:c r="BF249" s="141" t="n">
        <x:f>IF(AND(TRUE,Premissas!$B$11="Imovel",Premissas!$B$47="Moradia",$A249&lt;MAX('Consorcio Direto'!$B$29,Premissas!$B$49)),$D249,0)</x:f>
        <x:v>0</x:v>
      </x:c>
      <x:c r="BG249" s="141" t="n">
        <x:f>IF(AND(TRUE,Premissas!$B$11="Imovel",Premissas!$B$47="Investimento",$A249&gt;=MAX('Consorcio Direto'!$B$29,Premissas!$B$49)),$E249,0)</x:f>
        <x:v>2052.566702216223</x:v>
      </x:c>
      <x:c r="BH249" s="141" t="n">
        <x:f>BD249+BE249+BF249</x:f>
        <x:v>0</x:v>
      </x:c>
      <x:c r="BI249" s="141" t="n">
        <x:f>BG249</x:f>
        <x:v>2052.566702216223</x:v>
      </x:c>
      <x:c r="BJ249" s="141" t="n">
        <x:f>$C249+BI249-BH249</x:f>
        <x:v>9052.566702216223</x:v>
      </x:c>
      <x:c r="BK249" s="141" t="n">
        <x:f>BN248*(1+Premissas!$B$41)+BJ249</x:f>
        <x:v>6119727.301064096</x:v>
      </x:c>
      <x:c r="BL249" s="141" t="n">
        <x:f>MAX(0,-BK249)</x:f>
        <x:v>0</x:v>
      </x:c>
      <x:c r="BM249" s="141" t="n">
        <x:f>BM248*(1+Premissas!$B$41)+BL249</x:f>
        <x:v>0</x:v>
      </x:c>
      <x:c r="BN249" s="141" t="n">
        <x:f>MAX(0,BK249)</x:f>
        <x:v>6119727.301064096</x:v>
      </x:c>
      <x:c r="BO249" s="141" t="n">
        <x:f>INDEX('Consorcio Direto'!$K$55:$K$534,$A249)</x:f>
        <x:v>0</x:v>
      </x:c>
      <x:c r="BP249" s="141" t="n">
        <x:f>IF($A249&lt;'Consorcio Direto'!$B$29,INDEX('Consorcio Direto'!$L$55:$L$534,$A249),$F249)</x:f>
        <x:v>654007.2901426699</x:v>
      </x:c>
      <x:c r="BQ249" s="141" t="n">
        <x:f>BN249+BP249-BO249</x:f>
        <x:v>6773734.591206767</x:v>
      </x:c>
      <x:c r="BR249" s="141" t="n">
        <x:f>IF(BM249&gt;1,"Inviavel",BQ249)</x:f>
        <x:v>6773734.591206767</x:v>
      </x:c>
      <x:c r="BS249" s="141" t="str">
        <x:f>IF(BM249&gt;1,"Inviavel","OK")</x:f>
        <x:v>OK</x:v>
      </x:c>
      <x:c r="BT249" s="141" t="n">
        <x:f>IF(AND('Carta Contemplada'!$B$22="Sim",$A249='Carta Contemplada'!$B$23),'Carta Contemplada'!$B$37,0)</x:f>
        <x:v>0</x:v>
      </x:c>
      <x:c r="BU249" s="141" t="n">
        <x:f>IF('Carta Contemplada'!$B$22="Sim",INDEX('Carta Contemplada'!$C$55:$C$1013,$A249),0)</x:f>
        <x:v>0</x:v>
      </x:c>
      <x:c r="BV249" s="141" t="n">
        <x:f>IF(AND('Carta Contemplada'!$B$22="Sim",Premissas!$B$11="Imovel",Premissas!$B$47="Moradia",$A249&lt;MAX('Carta Contemplada'!$B$44,Premissas!$B$49)),$D249,0)</x:f>
        <x:v>0</x:v>
      </x:c>
      <x:c r="BW249" s="141" t="n">
        <x:f>IF(AND('Carta Contemplada'!$B$22="Sim",Premissas!$B$11="Imovel",Premissas!$B$47="Investimento",$A249&gt;=MAX('Carta Contemplada'!$B$44,Premissas!$B$49)),$E249,0)</x:f>
        <x:v>2052.566702216223</x:v>
      </x:c>
      <x:c r="BX249" s="141" t="n">
        <x:f>BT249+BU249+BV249</x:f>
        <x:v>0</x:v>
      </x:c>
      <x:c r="BY249" s="141" t="n">
        <x:f>BW249</x:f>
        <x:v>2052.566702216223</x:v>
      </x:c>
      <x:c r="BZ249" s="141" t="n">
        <x:f>$C249+BY249-BX249</x:f>
        <x:v>9052.566702216223</x:v>
      </x:c>
      <x:c r="CA249" s="141" t="n">
        <x:f>CD248*(1+Premissas!$B$41)+BZ249</x:f>
        <x:v>6636508.977142821</x:v>
      </x:c>
      <x:c r="CB249" s="141" t="n">
        <x:f>MAX(0,-CA249)</x:f>
        <x:v>0</x:v>
      </x:c>
      <x:c r="CC249" s="141" t="n">
        <x:f>CC248*(1+Premissas!$B$41)+CB249</x:f>
        <x:v>0</x:v>
      </x:c>
      <x:c r="CD249" s="141" t="n">
        <x:f>MAX(0,CA249)</x:f>
        <x:v>6636508.977142821</x:v>
      </x:c>
      <x:c r="CE249" s="141" t="n">
        <x:f>IF(AND('Carta Contemplada'!$B$22="Sim",$A249&gt;='Carta Contemplada'!$B$23),INDEX('Carta Contemplada'!$I$55:$I$1013,$A249),0)</x:f>
        <x:v>0</x:v>
      </x:c>
      <x:c r="CF249" s="141" t="n">
        <x:f>IF(AND('Carta Contemplada'!$B$22="Sim",$A249&gt;='Carta Contemplada'!$B$44),$F249,0)</x:f>
        <x:v>654007.2901426699</x:v>
      </x:c>
      <x:c r="CG249" s="141" t="n">
        <x:f>CD249+CF249-CE249</x:f>
        <x:v>7290516.267285491</x:v>
      </x:c>
      <x:c r="CH249" s="141" t="n">
        <x:f>IF(CC249&gt;1,"Inviavel",CG249)</x:f>
        <x:v>7290516.267285491</x:v>
      </x:c>
      <x:c r="CI249" s="145" t="str">
        <x:f>IF(CC249&gt;1,"Inviavel","OK")</x:f>
        <x:v>OK</x:v>
      </x:c>
    </x:row>
    <x:row r="250">
      <x:c r="A250" s="142" t="n">
        <x:v>246</x:v>
      </x:c>
      <x:c r="B250" s="179" t="n">
        <x:f>EDATE(Premissas!$B$4,A250-1)</x:f>
        <x:v>53997</x:v>
      </x:c>
      <x:c r="C250" s="141" t="n">
        <x:f>IF(A250&lt;=Premissas!$B$39,Premissas!$B$42,0)</x:f>
        <x:v>7000</x:v>
      </x:c>
      <x:c r="D250" s="141" t="n">
        <x:f>Premissas!$B$54*(1+Premissas!$B$57)^INT((A250-1)/12)</x:f>
        <x:v>2244.9948305489934</x:v>
      </x:c>
      <x:c r="E250" s="141" t="n">
        <x:f>Premissas!$B$64*(1+Premissas!$B$57)^INT((A250-1)/12)</x:f>
        <x:v>2052.566702216223</x:v>
      </x:c>
      <x:c r="F250" s="141" t="n">
        <x:f>MAX(0,Premissas!$B$6*(1+Premissas!$B$66)^((A250-1)/12))</x:f>
        <x:v>657190.7036975424</x:v>
      </x:c>
      <x:c r="G250" s="141" t="n">
        <x:f>G249*(1+Premissas!$B$41)+C250</x:f>
        <x:v>7703499.795227705</x:v>
      </x:c>
      <x:c r="H250" s="141" t="n">
        <x:f>IF($A250=Premissas!$B$48,Premissas!$B$8,0)</x:f>
        <x:v>0</x:v>
      </x:c>
      <x:c r="I250" s="141" t="n">
        <x:f>IF(AND($A250&gt;=Premissas!$B$48,$A250-Premissas!$B$48+1&lt;=Premissas!$B$13),INDEX(Financiamento!$J$6:$J$485,$A250-Premissas!$B$48+1),0)</x:f>
        <x:v>1163.5385765912524</x:v>
      </x:c>
      <x:c r="J250" s="141" t="n">
        <x:f>IF(AND(TRUE,Premissas!$B$11="Imovel",Premissas!$B$47="Moradia",$A250&lt;MAX(Premissas!$B$48,Premissas!$B$49)),$D250,0)</x:f>
        <x:v>0</x:v>
      </x:c>
      <x:c r="K250" s="141" t="n">
        <x:f>IF(AND(TRUE,Premissas!$B$11="Imovel",Premissas!$B$47="Investimento",$A250&gt;=MAX(Premissas!$B$48,Premissas!$B$49)),$E250,0)</x:f>
        <x:v>2052.566702216223</x:v>
      </x:c>
      <x:c r="L250" s="141" t="n">
        <x:f>H250+I250+J250</x:f>
        <x:v>1163.5385765912524</x:v>
      </x:c>
      <x:c r="M250" s="141" t="n">
        <x:f>K250</x:f>
        <x:v>2052.566702216223</x:v>
      </x:c>
      <x:c r="N250" s="141" t="n">
        <x:f>$C250+M250-L250</x:f>
        <x:v>7889.028125624971</x:v>
      </x:c>
      <x:c r="O250" s="141" t="n">
        <x:f>R249*(1+Premissas!$B$41)+N250</x:f>
        <x:v>6518185.034622431</x:v>
      </x:c>
      <x:c r="P250" s="141" t="n">
        <x:f>MAX(0,-O250)</x:f>
        <x:v>0</x:v>
      </x:c>
      <x:c r="Q250" s="141" t="n">
        <x:f>Q249*(1+Premissas!$B$41)+P250</x:f>
        <x:v>0</x:v>
      </x:c>
      <x:c r="R250" s="141" t="n">
        <x:f>MAX(0,O250)</x:f>
        <x:v>6518185.034622431</x:v>
      </x:c>
      <x:c r="S250" s="141" t="n">
        <x:f>IF(AND($A250&gt;=Premissas!$B$48,$A250-Premissas!$B$48+1&lt;=Premissas!$B$13),INDEX(Financiamento!$M$6:$M$485,$A250-Premissas!$B$48+1),0)</x:f>
        <x:v>66285.71428571439</x:v>
      </x:c>
      <x:c r="T250" s="141" t="n">
        <x:f>IF($A250&gt;=Premissas!$B$48,$F250,0)</x:f>
        <x:v>657190.7036975424</x:v>
      </x:c>
      <x:c r="U250" s="141" t="n">
        <x:f>R250+T250-S250</x:f>
        <x:v>7109090.024034259</x:v>
      </x:c>
      <x:c r="V250" s="141" t="n">
        <x:f>IF(Q250&gt;1,"Inviavel",U250)</x:f>
        <x:v>7109090.024034259</x:v>
      </x:c>
      <x:c r="W250" s="141" t="str">
        <x:f>IF(Q250&gt;1,"Inviavel","OK")</x:f>
        <x:v>OK</x:v>
      </x:c>
      <x:c r="X250" s="141" t="n">
        <x:f>IF($A250=Premissas!$B$48,Premissas!$B$8,0)</x:f>
        <x:v>0</x:v>
      </x:c>
      <x:c r="Y250" s="141" t="n">
        <x:f>IF(AND($A250&gt;=Premissas!$B$48,$A250-Premissas!$B$48+1&lt;=Premissas!$B$13),INDEX(Amortizacao!$K$6:$K$485,$A250-Premissas!$B$48+1),0)</x:f>
        <x:v>0</x:v>
      </x:c>
      <x:c r="Z250" s="141" t="n">
        <x:f>IF(AND(TRUE,Premissas!$B$11="Imovel",Premissas!$B$47="Moradia",$A250&lt;MAX(Premissas!$B$48,Premissas!$B$49)),$D250,0)</x:f>
        <x:v>0</x:v>
      </x:c>
      <x:c r="AA250" s="141" t="n">
        <x:f>IF(AND(TRUE,Premissas!$B$11="Imovel",Premissas!$B$47="Investimento",$A250&gt;=MAX(Premissas!$B$48,Premissas!$B$49)),$E250,0)</x:f>
        <x:v>2052.566702216223</x:v>
      </x:c>
      <x:c r="AB250" s="141" t="n">
        <x:f>X250+Y250+Z250</x:f>
        <x:v>0</x:v>
      </x:c>
      <x:c r="AC250" s="141" t="n">
        <x:f>AA250</x:f>
        <x:v>2052.566702216223</x:v>
      </x:c>
      <x:c r="AD250" s="141" t="n">
        <x:f>$C250+AC250-AB250</x:f>
        <x:v>9052.566702216223</x:v>
      </x:c>
      <x:c r="AE250" s="141" t="n">
        <x:f>AH249*(1+Premissas!$B$41)+AD250</x:f>
        <x:v>6561148.54266593</x:v>
      </x:c>
      <x:c r="AF250" s="141" t="n">
        <x:f>MAX(0,-AE250)</x:f>
        <x:v>0</x:v>
      </x:c>
      <x:c r="AG250" s="141" t="n">
        <x:f>AG249*(1+Premissas!$B$41)+AF250</x:f>
        <x:v>0</x:v>
      </x:c>
      <x:c r="AH250" s="141" t="n">
        <x:f>MAX(0,AE250)</x:f>
        <x:v>6561148.54266593</x:v>
      </x:c>
      <x:c r="AI250" s="141" t="n">
        <x:f>IF(AND($A250&gt;=Premissas!$B$48,$A250-Premissas!$B$48+1&lt;=Premissas!$B$13),INDEX(Amortizacao!$L$6:$L$485,$A250-Premissas!$B$48+1),0)</x:f>
        <x:v>0</x:v>
      </x:c>
      <x:c r="AJ250" s="141" t="n">
        <x:f>IF($A250&gt;=Premissas!$B$48,$F250,0)</x:f>
        <x:v>657190.7036975424</x:v>
      </x:c>
      <x:c r="AK250" s="141" t="n">
        <x:f>AH250+AJ250-AI250</x:f>
        <x:v>7218339.246363473</x:v>
      </x:c>
      <x:c r="AL250" s="141" t="n">
        <x:f>IF(AG250&gt;1,"Inviavel",AK250)</x:f>
        <x:v>7218339.246363473</x:v>
      </x:c>
      <x:c r="AM250" s="141" t="str">
        <x:f>IF(AG250&gt;1,"Inviavel","OK")</x:f>
        <x:v>OK</x:v>
      </x:c>
      <x:c r="AN250" s="141" t="n">
        <x:f>IF($A250=Premissas!$B$48,Premissas!$B$8,0)</x:f>
        <x:v>0</x:v>
      </x:c>
      <x:c r="AO250" s="141" t="n">
        <x:f>IF($A250&lt;=Premissas!$B$25,INDEX('Consorcio IQ'!$K$6:$K$485,$A250),0)</x:f>
        <x:v>0</x:v>
      </x:c>
      <x:c r="AP250" s="141" t="n">
        <x:f>IF(AND(TRUE,Premissas!$B$11="Imovel",Premissas!$B$47="Moradia",$A250&lt;MAX(Premissas!$B$48,Premissas!$B$49)),$D250,0)</x:f>
        <x:v>0</x:v>
      </x:c>
      <x:c r="AQ250" s="141" t="n">
        <x:f>IF(AND(TRUE,Premissas!$B$11="Imovel",Premissas!$B$47="Investimento",$A250&gt;=MAX(Premissas!$B$48,Premissas!$B$49)),$E250,0)</x:f>
        <x:v>2052.566702216223</x:v>
      </x:c>
      <x:c r="AR250" s="141" t="n">
        <x:f>AN250+AO250+AP250</x:f>
        <x:v>0</x:v>
      </x:c>
      <x:c r="AS250" s="141" t="n">
        <x:f>AQ250</x:f>
        <x:v>2052.566702216223</x:v>
      </x:c>
      <x:c r="AT250" s="141" t="n">
        <x:f>$C250+AS250-AR250</x:f>
        <x:v>9052.566702216223</x:v>
      </x:c>
      <x:c r="AU250" s="141" t="n">
        <x:f>AX249*(1+Premissas!$B$41)+AT250</x:f>
        <x:v>6502704.274506498</x:v>
      </x:c>
      <x:c r="AV250" s="141" t="n">
        <x:f>MAX(0,-AU250)</x:f>
        <x:v>0</x:v>
      </x:c>
      <x:c r="AW250" s="141" t="n">
        <x:f>AW249*(1+Premissas!$B$41)+AV250</x:f>
        <x:v>0</x:v>
      </x:c>
      <x:c r="AX250" s="141" t="n">
        <x:f>MAX(0,AU250)</x:f>
        <x:v>6502704.274506498</x:v>
      </x:c>
      <x:c r="AY250" s="141" t="n">
        <x:f>INDEX('Consorcio IQ'!$P$6:$P$485,$A250)</x:f>
        <x:v>0</x:v>
      </x:c>
      <x:c r="AZ250" s="141" t="n">
        <x:f>IF($A250&gt;=Premissas!$B$48,$F250,0)+IF($A250&lt;Premissas!$B$27,INDEX('Consorcio IQ'!$O$6:$O$485,$A250),0)</x:f>
        <x:v>657190.7036975424</x:v>
      </x:c>
      <x:c r="BA250" s="141" t="n">
        <x:f>AX250+AZ250-AY250</x:f>
        <x:v>7159894.978204041</x:v>
      </x:c>
      <x:c r="BB250" s="141" t="n">
        <x:f>IF(AW250&gt;1,"Inviavel",BA250)</x:f>
        <x:v>7159894.978204041</x:v>
      </x:c>
      <x:c r="BC250" s="141" t="str">
        <x:f>IF(AW250&gt;1,"Inviavel","OK")</x:f>
        <x:v>OK</x:v>
      </x:c>
      <x:c r="BD250" s="141" t="n">
        <x:f>IF($A250='Consorcio Direto'!$B$29,'Consorcio Direto'!$B$44,0)</x:f>
        <x:v>0</x:v>
      </x:c>
      <x:c r="BE250" s="141" t="n">
        <x:f>IF($A250&lt;='Consorcio Direto'!$B$27,INDEX('Consorcio Direto'!$E$55:$E$534,$A250),0)</x:f>
        <x:v>0</x:v>
      </x:c>
      <x:c r="BF250" s="141" t="n">
        <x:f>IF(AND(TRUE,Premissas!$B$11="Imovel",Premissas!$B$47="Moradia",$A250&lt;MAX('Consorcio Direto'!$B$29,Premissas!$B$49)),$D250,0)</x:f>
        <x:v>0</x:v>
      </x:c>
      <x:c r="BG250" s="141" t="n">
        <x:f>IF(AND(TRUE,Premissas!$B$11="Imovel",Premissas!$B$47="Investimento",$A250&gt;=MAX('Consorcio Direto'!$B$29,Premissas!$B$49)),$E250,0)</x:f>
        <x:v>2052.566702216223</x:v>
      </x:c>
      <x:c r="BH250" s="141" t="n">
        <x:f>BD250+BE250+BF250</x:f>
        <x:v>0</x:v>
      </x:c>
      <x:c r="BI250" s="141" t="n">
        <x:f>BG250</x:f>
        <x:v>2052.566702216223</x:v>
      </x:c>
      <x:c r="BJ250" s="141" t="n">
        <x:f>$C250+BI250-BH250</x:f>
        <x:v>9052.566702216223</x:v>
      </x:c>
      <x:c r="BK250" s="141" t="n">
        <x:f>BN249*(1+Premissas!$B$41)+BJ250</x:f>
        <x:v>6186848.692942224</x:v>
      </x:c>
      <x:c r="BL250" s="141" t="n">
        <x:f>MAX(0,-BK250)</x:f>
        <x:v>0</x:v>
      </x:c>
      <x:c r="BM250" s="141" t="n">
        <x:f>BM249*(1+Premissas!$B$41)+BL250</x:f>
        <x:v>0</x:v>
      </x:c>
      <x:c r="BN250" s="141" t="n">
        <x:f>MAX(0,BK250)</x:f>
        <x:v>6186848.692942224</x:v>
      </x:c>
      <x:c r="BO250" s="141" t="n">
        <x:f>INDEX('Consorcio Direto'!$K$55:$K$534,$A250)</x:f>
        <x:v>0</x:v>
      </x:c>
      <x:c r="BP250" s="141" t="n">
        <x:f>IF($A250&lt;'Consorcio Direto'!$B$29,INDEX('Consorcio Direto'!$L$55:$L$534,$A250),$F250)</x:f>
        <x:v>657190.7036975424</x:v>
      </x:c>
      <x:c r="BQ250" s="141" t="n">
        <x:f>BN250+BP250-BO250</x:f>
        <x:v>6844039.396639767</x:v>
      </x:c>
      <x:c r="BR250" s="141" t="n">
        <x:f>IF(BM250&gt;1,"Inviavel",BQ250)</x:f>
        <x:v>6844039.396639767</x:v>
      </x:c>
      <x:c r="BS250" s="141" t="str">
        <x:f>IF(BM250&gt;1,"Inviavel","OK")</x:f>
        <x:v>OK</x:v>
      </x:c>
      <x:c r="BT250" s="141" t="n">
        <x:f>IF(AND('Carta Contemplada'!$B$22="Sim",$A250='Carta Contemplada'!$B$23),'Carta Contemplada'!$B$37,0)</x:f>
        <x:v>0</x:v>
      </x:c>
      <x:c r="BU250" s="141" t="n">
        <x:f>IF('Carta Contemplada'!$B$22="Sim",INDEX('Carta Contemplada'!$C$55:$C$1013,$A250),0)</x:f>
        <x:v>0</x:v>
      </x:c>
      <x:c r="BV250" s="141" t="n">
        <x:f>IF(AND('Carta Contemplada'!$B$22="Sim",Premissas!$B$11="Imovel",Premissas!$B$47="Moradia",$A250&lt;MAX('Carta Contemplada'!$B$44,Premissas!$B$49)),$D250,0)</x:f>
        <x:v>0</x:v>
      </x:c>
      <x:c r="BW250" s="141" t="n">
        <x:f>IF(AND('Carta Contemplada'!$B$22="Sim",Premissas!$B$11="Imovel",Premissas!$B$47="Investimento",$A250&gt;=MAX('Carta Contemplada'!$B$44,Premissas!$B$49)),$E250,0)</x:f>
        <x:v>2052.566702216223</x:v>
      </x:c>
      <x:c r="BX250" s="141" t="n">
        <x:f>BT250+BU250+BV250</x:f>
        <x:v>0</x:v>
      </x:c>
      <x:c r="BY250" s="141" t="n">
        <x:f>BW250</x:f>
        <x:v>2052.566702216223</x:v>
      </x:c>
      <x:c r="BZ250" s="141" t="n">
        <x:f>$C250+BY250-BX250</x:f>
        <x:v>9052.566702216223</x:v>
      </x:c>
      <x:c r="CA250" s="141" t="n">
        <x:f>CD249*(1+Premissas!$B$41)+BZ250</x:f>
        <x:v>6708534.003337647</x:v>
      </x:c>
      <x:c r="CB250" s="141" t="n">
        <x:f>MAX(0,-CA250)</x:f>
        <x:v>0</x:v>
      </x:c>
      <x:c r="CC250" s="141" t="n">
        <x:f>CC249*(1+Premissas!$B$41)+CB250</x:f>
        <x:v>0</x:v>
      </x:c>
      <x:c r="CD250" s="141" t="n">
        <x:f>MAX(0,CA250)</x:f>
        <x:v>6708534.003337647</x:v>
      </x:c>
      <x:c r="CE250" s="141" t="n">
        <x:f>IF(AND('Carta Contemplada'!$B$22="Sim",$A250&gt;='Carta Contemplada'!$B$23),INDEX('Carta Contemplada'!$I$55:$I$1013,$A250),0)</x:f>
        <x:v>0</x:v>
      </x:c>
      <x:c r="CF250" s="141" t="n">
        <x:f>IF(AND('Carta Contemplada'!$B$22="Sim",$A250&gt;='Carta Contemplada'!$B$44),$F250,0)</x:f>
        <x:v>657190.7036975424</x:v>
      </x:c>
      <x:c r="CG250" s="141" t="n">
        <x:f>CD250+CF250-CE250</x:f>
        <x:v>7365724.7070351895</x:v>
      </x:c>
      <x:c r="CH250" s="141" t="n">
        <x:f>IF(CC250&gt;1,"Inviavel",CG250)</x:f>
        <x:v>7365724.7070351895</x:v>
      </x:c>
      <x:c r="CI250" s="145" t="str">
        <x:f>IF(CC250&gt;1,"Inviavel","OK")</x:f>
        <x:v>OK</x:v>
      </x:c>
    </x:row>
    <x:row r="251">
      <x:c r="A251" s="142" t="n">
        <x:v>247</x:v>
      </x:c>
      <x:c r="B251" s="179" t="n">
        <x:f>EDATE(Premissas!$B$4,A251-1)</x:f>
        <x:v>54027</x:v>
      </x:c>
      <x:c r="C251" s="141" t="n">
        <x:f>IF(A251&lt;=Premissas!$B$39,Premissas!$B$42,0)</x:f>
        <x:v>7000</x:v>
      </x:c>
      <x:c r="D251" s="141" t="n">
        <x:f>Premissas!$B$54*(1+Premissas!$B$57)^INT((A251-1)/12)</x:f>
        <x:v>2244.9948305489934</x:v>
      </x:c>
      <x:c r="E251" s="141" t="n">
        <x:f>Premissas!$B$64*(1+Premissas!$B$57)^INT((A251-1)/12)</x:f>
        <x:v>2052.566702216223</x:v>
      </x:c>
      <x:c r="F251" s="141" t="n">
        <x:f>MAX(0,Premissas!$B$6*(1+Premissas!$B$66)^((A251-1)/12))</x:f>
        <x:v>660389.6126788635</x:v>
      </x:c>
      <x:c r="G251" s="141" t="n">
        <x:f>G250*(1+Premissas!$B$41)+C251</x:f>
        <x:v>7783596.709656223</x:v>
      </x:c>
      <x:c r="H251" s="141" t="n">
        <x:f>IF($A251=Premissas!$B$48,Premissas!$B$8,0)</x:f>
        <x:v>0</x:v>
      </x:c>
      <x:c r="I251" s="141" t="n">
        <x:f>IF(AND($A251&gt;=Premissas!$B$48,$A251-Premissas!$B$48+1&lt;=Premissas!$B$13),INDEX(Financiamento!$J$6:$J$485,$A251-Premissas!$B$48+1),0)</x:f>
        <x:v>1159.9237983304588</x:v>
      </x:c>
      <x:c r="J251" s="141" t="n">
        <x:f>IF(AND(TRUE,Premissas!$B$11="Imovel",Premissas!$B$47="Moradia",$A251&lt;MAX(Premissas!$B$48,Premissas!$B$49)),$D251,0)</x:f>
        <x:v>0</x:v>
      </x:c>
      <x:c r="K251" s="141" t="n">
        <x:f>IF(AND(TRUE,Premissas!$B$11="Imovel",Premissas!$B$47="Investimento",$A251&gt;=MAX(Premissas!$B$48,Premissas!$B$49)),$E251,0)</x:f>
        <x:v>2052.566702216223</x:v>
      </x:c>
      <x:c r="L251" s="141" t="n">
        <x:f>H251+I251+J251</x:f>
        <x:v>1159.9237983304588</x:v>
      </x:c>
      <x:c r="M251" s="141" t="n">
        <x:f>K251</x:f>
        <x:v>2052.566702216223</x:v>
      </x:c>
      <x:c r="N251" s="141" t="n">
        <x:f>$C251+M251-L251</x:f>
        <x:v>7892.642903885764</x:v>
      </x:c>
      <x:c r="O251" s="141" t="n">
        <x:f>R250*(1+Premissas!$B$41)+N251</x:f>
        <x:v>6587927.385629147</x:v>
      </x:c>
      <x:c r="P251" s="141" t="n">
        <x:f>MAX(0,-O251)</x:f>
        <x:v>0</x:v>
      </x:c>
      <x:c r="Q251" s="141" t="n">
        <x:f>Q250*(1+Premissas!$B$41)+P251</x:f>
        <x:v>0</x:v>
      </x:c>
      <x:c r="R251" s="141" t="n">
        <x:f>MAX(0,O251)</x:f>
        <x:v>6587927.385629147</x:v>
      </x:c>
      <x:c r="S251" s="141" t="n">
        <x:f>IF(AND($A251&gt;=Premissas!$B$48,$A251-Premissas!$B$48+1&lt;=Premissas!$B$13),INDEX(Financiamento!$M$6:$M$485,$A251-Premissas!$B$48+1),0)</x:f>
        <x:v>65904.76190476201</x:v>
      </x:c>
      <x:c r="T251" s="141" t="n">
        <x:f>IF($A251&gt;=Premissas!$B$48,$F251,0)</x:f>
        <x:v>660389.6126788635</x:v>
      </x:c>
      <x:c r="U251" s="141" t="n">
        <x:f>R251+T251-S251</x:f>
        <x:v>7182412.236403248</x:v>
      </x:c>
      <x:c r="V251" s="141" t="n">
        <x:f>IF(Q251&gt;1,"Inviavel",U251)</x:f>
        <x:v>7182412.236403248</x:v>
      </x:c>
      <x:c r="W251" s="141" t="str">
        <x:f>IF(Q251&gt;1,"Inviavel","OK")</x:f>
        <x:v>OK</x:v>
      </x:c>
      <x:c r="X251" s="141" t="n">
        <x:f>IF($A251=Premissas!$B$48,Premissas!$B$8,0)</x:f>
        <x:v>0</x:v>
      </x:c>
      <x:c r="Y251" s="141" t="n">
        <x:f>IF(AND($A251&gt;=Premissas!$B$48,$A251-Premissas!$B$48+1&lt;=Premissas!$B$13),INDEX(Amortizacao!$K$6:$K$485,$A251-Premissas!$B$48+1),0)</x:f>
        <x:v>0</x:v>
      </x:c>
      <x:c r="Z251" s="141" t="n">
        <x:f>IF(AND(TRUE,Premissas!$B$11="Imovel",Premissas!$B$47="Moradia",$A251&lt;MAX(Premissas!$B$48,Premissas!$B$49)),$D251,0)</x:f>
        <x:v>0</x:v>
      </x:c>
      <x:c r="AA251" s="141" t="n">
        <x:f>IF(AND(TRUE,Premissas!$B$11="Imovel",Premissas!$B$47="Investimento",$A251&gt;=MAX(Premissas!$B$48,Premissas!$B$49)),$E251,0)</x:f>
        <x:v>2052.566702216223</x:v>
      </x:c>
      <x:c r="AB251" s="141" t="n">
        <x:f>X251+Y251+Z251</x:f>
        <x:v>0</x:v>
      </x:c>
      <x:c r="AC251" s="141" t="n">
        <x:f>AA251</x:f>
        <x:v>2052.566702216223</x:v>
      </x:c>
      <x:c r="AD251" s="141" t="n">
        <x:f>$C251+AC251-AB251</x:f>
        <x:v>9052.566702216223</x:v>
      </x:c>
      <x:c r="AE251" s="141" t="n">
        <x:f>AH250*(1+Premissas!$B$41)+AD251</x:f>
        <x:v>6632458.489302545</x:v>
      </x:c>
      <x:c r="AF251" s="141" t="n">
        <x:f>MAX(0,-AE251)</x:f>
        <x:v>0</x:v>
      </x:c>
      <x:c r="AG251" s="141" t="n">
        <x:f>AG250*(1+Premissas!$B$41)+AF251</x:f>
        <x:v>0</x:v>
      </x:c>
      <x:c r="AH251" s="141" t="n">
        <x:f>MAX(0,AE251)</x:f>
        <x:v>6632458.489302545</x:v>
      </x:c>
      <x:c r="AI251" s="141" t="n">
        <x:f>IF(AND($A251&gt;=Premissas!$B$48,$A251-Premissas!$B$48+1&lt;=Premissas!$B$13),INDEX(Amortizacao!$L$6:$L$485,$A251-Premissas!$B$48+1),0)</x:f>
        <x:v>0</x:v>
      </x:c>
      <x:c r="AJ251" s="141" t="n">
        <x:f>IF($A251&gt;=Premissas!$B$48,$F251,0)</x:f>
        <x:v>660389.6126788635</x:v>
      </x:c>
      <x:c r="AK251" s="141" t="n">
        <x:f>AH251+AJ251-AI251</x:f>
        <x:v>7292848.101981408</x:v>
      </x:c>
      <x:c r="AL251" s="141" t="n">
        <x:f>IF(AG251&gt;1,"Inviavel",AK251)</x:f>
        <x:v>7292848.101981408</x:v>
      </x:c>
      <x:c r="AM251" s="141" t="str">
        <x:f>IF(AG251&gt;1,"Inviavel","OK")</x:f>
        <x:v>OK</x:v>
      </x:c>
      <x:c r="AN251" s="141" t="n">
        <x:f>IF($A251=Premissas!$B$48,Premissas!$B$8,0)</x:f>
        <x:v>0</x:v>
      </x:c>
      <x:c r="AO251" s="141" t="n">
        <x:f>IF($A251&lt;=Premissas!$B$25,INDEX('Consorcio IQ'!$K$6:$K$485,$A251),0)</x:f>
        <x:v>0</x:v>
      </x:c>
      <x:c r="AP251" s="141" t="n">
        <x:f>IF(AND(TRUE,Premissas!$B$11="Imovel",Premissas!$B$47="Moradia",$A251&lt;MAX(Premissas!$B$48,Premissas!$B$49)),$D251,0)</x:f>
        <x:v>0</x:v>
      </x:c>
      <x:c r="AQ251" s="141" t="n">
        <x:f>IF(AND(TRUE,Premissas!$B$11="Imovel",Premissas!$B$47="Investimento",$A251&gt;=MAX(Premissas!$B$48,Premissas!$B$49)),$E251,0)</x:f>
        <x:v>2052.566702216223</x:v>
      </x:c>
      <x:c r="AR251" s="141" t="n">
        <x:f>AN251+AO251+AP251</x:f>
        <x:v>0</x:v>
      </x:c>
      <x:c r="AS251" s="141" t="n">
        <x:f>AQ251</x:f>
        <x:v>2052.566702216223</x:v>
      </x:c>
      <x:c r="AT251" s="141" t="n">
        <x:f>$C251+AS251-AR251</x:f>
        <x:v>9052.566702216223</x:v>
      </x:c>
      <x:c r="AU251" s="141" t="n">
        <x:f>AX250*(1+Premissas!$B$41)+AT251</x:f>
        <x:v>6573459.655584334</x:v>
      </x:c>
      <x:c r="AV251" s="141" t="n">
        <x:f>MAX(0,-AU251)</x:f>
        <x:v>0</x:v>
      </x:c>
      <x:c r="AW251" s="141" t="n">
        <x:f>AW250*(1+Premissas!$B$41)+AV251</x:f>
        <x:v>0</x:v>
      </x:c>
      <x:c r="AX251" s="141" t="n">
        <x:f>MAX(0,AU251)</x:f>
        <x:v>6573459.655584334</x:v>
      </x:c>
      <x:c r="AY251" s="141" t="n">
        <x:f>INDEX('Consorcio IQ'!$P$6:$P$485,$A251)</x:f>
        <x:v>0</x:v>
      </x:c>
      <x:c r="AZ251" s="141" t="n">
        <x:f>IF($A251&gt;=Premissas!$B$48,$F251,0)+IF($A251&lt;Premissas!$B$27,INDEX('Consorcio IQ'!$O$6:$O$485,$A251),0)</x:f>
        <x:v>660389.6126788635</x:v>
      </x:c>
      <x:c r="BA251" s="141" t="n">
        <x:f>AX251+AZ251-AY251</x:f>
        <x:v>7233849.2682631975</x:v>
      </x:c>
      <x:c r="BB251" s="141" t="n">
        <x:f>IF(AW251&gt;1,"Inviavel",BA251)</x:f>
        <x:v>7233849.2682631975</x:v>
      </x:c>
      <x:c r="BC251" s="141" t="str">
        <x:f>IF(AW251&gt;1,"Inviavel","OK")</x:f>
        <x:v>OK</x:v>
      </x:c>
      <x:c r="BD251" s="141" t="n">
        <x:f>IF($A251='Consorcio Direto'!$B$29,'Consorcio Direto'!$B$44,0)</x:f>
        <x:v>0</x:v>
      </x:c>
      <x:c r="BE251" s="141" t="n">
        <x:f>IF($A251&lt;='Consorcio Direto'!$B$27,INDEX('Consorcio Direto'!$E$55:$E$534,$A251),0)</x:f>
        <x:v>0</x:v>
      </x:c>
      <x:c r="BF251" s="141" t="n">
        <x:f>IF(AND(TRUE,Premissas!$B$11="Imovel",Premissas!$B$47="Moradia",$A251&lt;MAX('Consorcio Direto'!$B$29,Premissas!$B$49)),$D251,0)</x:f>
        <x:v>0</x:v>
      </x:c>
      <x:c r="BG251" s="141" t="n">
        <x:f>IF(AND(TRUE,Premissas!$B$11="Imovel",Premissas!$B$47="Investimento",$A251&gt;=MAX('Consorcio Direto'!$B$29,Premissas!$B$49)),$E251,0)</x:f>
        <x:v>2052.566702216223</x:v>
      </x:c>
      <x:c r="BH251" s="141" t="n">
        <x:f>BD251+BE251+BF251</x:f>
        <x:v>0</x:v>
      </x:c>
      <x:c r="BI251" s="141" t="n">
        <x:f>BG251</x:f>
        <x:v>2052.566702216223</x:v>
      </x:c>
      <x:c r="BJ251" s="141" t="n">
        <x:f>$C251+BI251-BH251</x:f>
        <x:v>9052.566702216223</x:v>
      </x:c>
      <x:c r="BK251" s="141" t="n">
        <x:f>BN250*(1+Premissas!$B$41)+BJ251</x:f>
        <x:v>6254606.985809365</x:v>
      </x:c>
      <x:c r="BL251" s="141" t="n">
        <x:f>MAX(0,-BK251)</x:f>
        <x:v>0</x:v>
      </x:c>
      <x:c r="BM251" s="141" t="n">
        <x:f>BM250*(1+Premissas!$B$41)+BL251</x:f>
        <x:v>0</x:v>
      </x:c>
      <x:c r="BN251" s="141" t="n">
        <x:f>MAX(0,BK251)</x:f>
        <x:v>6254606.985809365</x:v>
      </x:c>
      <x:c r="BO251" s="141" t="n">
        <x:f>INDEX('Consorcio Direto'!$K$55:$K$534,$A251)</x:f>
        <x:v>0</x:v>
      </x:c>
      <x:c r="BP251" s="141" t="n">
        <x:f>IF($A251&lt;'Consorcio Direto'!$B$29,INDEX('Consorcio Direto'!$L$55:$L$534,$A251),$F251)</x:f>
        <x:v>660389.6126788635</x:v>
      </x:c>
      <x:c r="BQ251" s="141" t="n">
        <x:f>BN251+BP251-BO251</x:f>
        <x:v>6914996.598488228</x:v>
      </x:c>
      <x:c r="BR251" s="141" t="n">
        <x:f>IF(BM251&gt;1,"Inviavel",BQ251)</x:f>
        <x:v>6914996.598488228</x:v>
      </x:c>
      <x:c r="BS251" s="141" t="str">
        <x:f>IF(BM251&gt;1,"Inviavel","OK")</x:f>
        <x:v>OK</x:v>
      </x:c>
      <x:c r="BT251" s="141" t="n">
        <x:f>IF(AND('Carta Contemplada'!$B$22="Sim",$A251='Carta Contemplada'!$B$23),'Carta Contemplada'!$B$37,0)</x:f>
        <x:v>0</x:v>
      </x:c>
      <x:c r="BU251" s="141" t="n">
        <x:f>IF('Carta Contemplada'!$B$22="Sim",INDEX('Carta Contemplada'!$C$55:$C$1013,$A251),0)</x:f>
        <x:v>0</x:v>
      </x:c>
      <x:c r="BV251" s="141" t="n">
        <x:f>IF(AND('Carta Contemplada'!$B$22="Sim",Premissas!$B$11="Imovel",Premissas!$B$47="Moradia",$A251&lt;MAX('Carta Contemplada'!$B$44,Premissas!$B$49)),$D251,0)</x:f>
        <x:v>0</x:v>
      </x:c>
      <x:c r="BW251" s="141" t="n">
        <x:f>IF(AND('Carta Contemplada'!$B$22="Sim",Premissas!$B$11="Imovel",Premissas!$B$47="Investimento",$A251&gt;=MAX('Carta Contemplada'!$B$44,Premissas!$B$49)),$E251,0)</x:f>
        <x:v>2052.566702216223</x:v>
      </x:c>
      <x:c r="BX251" s="141" t="n">
        <x:f>BT251+BU251+BV251</x:f>
        <x:v>0</x:v>
      </x:c>
      <x:c r="BY251" s="141" t="n">
        <x:f>BW251</x:f>
        <x:v>2052.566702216223</x:v>
      </x:c>
      <x:c r="BZ251" s="141" t="n">
        <x:f>$C251+BY251-BX251</x:f>
        <x:v>9052.566702216223</x:v>
      </x:c>
      <x:c r="CA251" s="141" t="n">
        <x:f>CD250*(1+Premissas!$B$41)+BZ251</x:f>
        <x:v>6781242.460092143</x:v>
      </x:c>
      <x:c r="CB251" s="141" t="n">
        <x:f>MAX(0,-CA251)</x:f>
        <x:v>0</x:v>
      </x:c>
      <x:c r="CC251" s="141" t="n">
        <x:f>CC250*(1+Premissas!$B$41)+CB251</x:f>
        <x:v>0</x:v>
      </x:c>
      <x:c r="CD251" s="141" t="n">
        <x:f>MAX(0,CA251)</x:f>
        <x:v>6781242.460092143</x:v>
      </x:c>
      <x:c r="CE251" s="141" t="n">
        <x:f>IF(AND('Carta Contemplada'!$B$22="Sim",$A251&gt;='Carta Contemplada'!$B$23),INDEX('Carta Contemplada'!$I$55:$I$1013,$A251),0)</x:f>
        <x:v>0</x:v>
      </x:c>
      <x:c r="CF251" s="141" t="n">
        <x:f>IF(AND('Carta Contemplada'!$B$22="Sim",$A251&gt;='Carta Contemplada'!$B$44),$F251,0)</x:f>
        <x:v>660389.6126788635</x:v>
      </x:c>
      <x:c r="CG251" s="141" t="n">
        <x:f>CD251+CF251-CE251</x:f>
        <x:v>7441632.072771006</x:v>
      </x:c>
      <x:c r="CH251" s="141" t="n">
        <x:f>IF(CC251&gt;1,"Inviavel",CG251)</x:f>
        <x:v>7441632.072771006</x:v>
      </x:c>
      <x:c r="CI251" s="145" t="str">
        <x:f>IF(CC251&gt;1,"Inviavel","OK")</x:f>
        <x:v>OK</x:v>
      </x:c>
    </x:row>
    <x:row r="252">
      <x:c r="A252" s="142" t="n">
        <x:v>248</x:v>
      </x:c>
      <x:c r="B252" s="179" t="n">
        <x:f>EDATE(Premissas!$B$4,A252-1)</x:f>
        <x:v>54058</x:v>
      </x:c>
      <x:c r="C252" s="141" t="n">
        <x:f>IF(A252&lt;=Premissas!$B$39,Premissas!$B$42,0)</x:f>
        <x:v>7000</x:v>
      </x:c>
      <x:c r="D252" s="141" t="n">
        <x:f>Premissas!$B$54*(1+Premissas!$B$57)^INT((A252-1)/12)</x:f>
        <x:v>2244.9948305489934</x:v>
      </x:c>
      <x:c r="E252" s="141" t="n">
        <x:f>Premissas!$B$64*(1+Premissas!$B$57)^INT((A252-1)/12)</x:f>
        <x:v>2052.566702216223</x:v>
      </x:c>
      <x:c r="F252" s="141" t="n">
        <x:f>MAX(0,Premissas!$B$6*(1+Premissas!$B$66)^((A252-1)/12))</x:f>
        <x:v>663604.0925114051</x:v>
      </x:c>
      <x:c r="G252" s="141" t="n">
        <x:f>G251*(1+Premissas!$B$41)+C252</x:f>
        <x:v>7864453.6471204525</x:v>
      </x:c>
      <x:c r="H252" s="141" t="n">
        <x:f>IF($A252=Premissas!$B$48,Premissas!$B$8,0)</x:f>
        <x:v>0</x:v>
      </x:c>
      <x:c r="I252" s="141" t="n">
        <x:f>IF(AND($A252&gt;=Premissas!$B$48,$A252-Premissas!$B$48+1&lt;=Premissas!$B$13),INDEX(Financiamento!$J$6:$J$485,$A252-Premissas!$B$48+1),0)</x:f>
        <x:v>1156.3090200696652</x:v>
      </x:c>
      <x:c r="J252" s="141" t="n">
        <x:f>IF(AND(TRUE,Premissas!$B$11="Imovel",Premissas!$B$47="Moradia",$A252&lt;MAX(Premissas!$B$48,Premissas!$B$49)),$D252,0)</x:f>
        <x:v>0</x:v>
      </x:c>
      <x:c r="K252" s="141" t="n">
        <x:f>IF(AND(TRUE,Premissas!$B$11="Imovel",Premissas!$B$47="Investimento",$A252&gt;=MAX(Premissas!$B$48,Premissas!$B$49)),$E252,0)</x:f>
        <x:v>2052.566702216223</x:v>
      </x:c>
      <x:c r="L252" s="141" t="n">
        <x:f>H252+I252+J252</x:f>
        <x:v>1156.3090200696652</x:v>
      </x:c>
      <x:c r="M252" s="141" t="n">
        <x:f>K252</x:f>
        <x:v>2052.566702216223</x:v>
      </x:c>
      <x:c r="N252" s="141" t="n">
        <x:f>$C252+M252-L252</x:f>
        <x:v>7896.257682146558</x:v>
      </x:c>
      <x:c r="O252" s="141" t="n">
        <x:f>R251*(1+Premissas!$B$41)+N252</x:f>
        <x:v>6658335.122141598</x:v>
      </x:c>
      <x:c r="P252" s="141" t="n">
        <x:f>MAX(0,-O252)</x:f>
        <x:v>0</x:v>
      </x:c>
      <x:c r="Q252" s="141" t="n">
        <x:f>Q251*(1+Premissas!$B$41)+P252</x:f>
        <x:v>0</x:v>
      </x:c>
      <x:c r="R252" s="141" t="n">
        <x:f>MAX(0,O252)</x:f>
        <x:v>6658335.122141598</x:v>
      </x:c>
      <x:c r="S252" s="141" t="n">
        <x:f>IF(AND($A252&gt;=Premissas!$B$48,$A252-Premissas!$B$48+1&lt;=Premissas!$B$13),INDEX(Financiamento!$M$6:$M$485,$A252-Premissas!$B$48+1),0)</x:f>
        <x:v>65523.80952380963</x:v>
      </x:c>
      <x:c r="T252" s="141" t="n">
        <x:f>IF($A252&gt;=Premissas!$B$48,$F252,0)</x:f>
        <x:v>663604.0925114051</x:v>
      </x:c>
      <x:c r="U252" s="141" t="n">
        <x:f>R252+T252-S252</x:f>
        <x:v>7256415.405129193</x:v>
      </x:c>
      <x:c r="V252" s="141" t="n">
        <x:f>IF(Q252&gt;1,"Inviavel",U252)</x:f>
        <x:v>7256415.405129193</x:v>
      </x:c>
      <x:c r="W252" s="141" t="str">
        <x:f>IF(Q252&gt;1,"Inviavel","OK")</x:f>
        <x:v>OK</x:v>
      </x:c>
      <x:c r="X252" s="141" t="n">
        <x:f>IF($A252=Premissas!$B$48,Premissas!$B$8,0)</x:f>
        <x:v>0</x:v>
      </x:c>
      <x:c r="Y252" s="141" t="n">
        <x:f>IF(AND($A252&gt;=Premissas!$B$48,$A252-Premissas!$B$48+1&lt;=Premissas!$B$13),INDEX(Amortizacao!$K$6:$K$485,$A252-Premissas!$B$48+1),0)</x:f>
        <x:v>0</x:v>
      </x:c>
      <x:c r="Z252" s="141" t="n">
        <x:f>IF(AND(TRUE,Premissas!$B$11="Imovel",Premissas!$B$47="Moradia",$A252&lt;MAX(Premissas!$B$48,Premissas!$B$49)),$D252,0)</x:f>
        <x:v>0</x:v>
      </x:c>
      <x:c r="AA252" s="141" t="n">
        <x:f>IF(AND(TRUE,Premissas!$B$11="Imovel",Premissas!$B$47="Investimento",$A252&gt;=MAX(Premissas!$B$48,Premissas!$B$49)),$E252,0)</x:f>
        <x:v>2052.566702216223</x:v>
      </x:c>
      <x:c r="AB252" s="141" t="n">
        <x:f>X252+Y252+Z252</x:f>
        <x:v>0</x:v>
      </x:c>
      <x:c r="AC252" s="141" t="n">
        <x:f>AA252</x:f>
        <x:v>2052.566702216223</x:v>
      </x:c>
      <x:c r="AD252" s="141" t="n">
        <x:f>$C252+AC252-AB252</x:f>
        <x:v>9052.566702216223</x:v>
      </x:c>
      <x:c r="AE252" s="141" t="n">
        <x:f>AH251*(1+Premissas!$B$41)+AD252</x:f>
        <x:v>6704445.08125697</x:v>
      </x:c>
      <x:c r="AF252" s="141" t="n">
        <x:f>MAX(0,-AE252)</x:f>
        <x:v>0</x:v>
      </x:c>
      <x:c r="AG252" s="141" t="n">
        <x:f>AG251*(1+Premissas!$B$41)+AF252</x:f>
        <x:v>0</x:v>
      </x:c>
      <x:c r="AH252" s="141" t="n">
        <x:f>MAX(0,AE252)</x:f>
        <x:v>6704445.08125697</x:v>
      </x:c>
      <x:c r="AI252" s="141" t="n">
        <x:f>IF(AND($A252&gt;=Premissas!$B$48,$A252-Premissas!$B$48+1&lt;=Premissas!$B$13),INDEX(Amortizacao!$L$6:$L$485,$A252-Premissas!$B$48+1),0)</x:f>
        <x:v>0</x:v>
      </x:c>
      <x:c r="AJ252" s="141" t="n">
        <x:f>IF($A252&gt;=Premissas!$B$48,$F252,0)</x:f>
        <x:v>663604.0925114051</x:v>
      </x:c>
      <x:c r="AK252" s="141" t="n">
        <x:f>AH252+AJ252-AI252</x:f>
        <x:v>7368049.173768375</x:v>
      </x:c>
      <x:c r="AL252" s="141" t="n">
        <x:f>IF(AG252&gt;1,"Inviavel",AK252)</x:f>
        <x:v>7368049.173768375</x:v>
      </x:c>
      <x:c r="AM252" s="141" t="str">
        <x:f>IF(AG252&gt;1,"Inviavel","OK")</x:f>
        <x:v>OK</x:v>
      </x:c>
      <x:c r="AN252" s="141" t="n">
        <x:f>IF($A252=Premissas!$B$48,Premissas!$B$8,0)</x:f>
        <x:v>0</x:v>
      </x:c>
      <x:c r="AO252" s="141" t="n">
        <x:f>IF($A252&lt;=Premissas!$B$25,INDEX('Consorcio IQ'!$K$6:$K$485,$A252),0)</x:f>
        <x:v>0</x:v>
      </x:c>
      <x:c r="AP252" s="141" t="n">
        <x:f>IF(AND(TRUE,Premissas!$B$11="Imovel",Premissas!$B$47="Moradia",$A252&lt;MAX(Premissas!$B$48,Premissas!$B$49)),$D252,0)</x:f>
        <x:v>0</x:v>
      </x:c>
      <x:c r="AQ252" s="141" t="n">
        <x:f>IF(AND(TRUE,Premissas!$B$11="Imovel",Premissas!$B$47="Investimento",$A252&gt;=MAX(Premissas!$B$48,Premissas!$B$49)),$E252,0)</x:f>
        <x:v>2052.566702216223</x:v>
      </x:c>
      <x:c r="AR252" s="141" t="n">
        <x:f>AN252+AO252+AP252</x:f>
        <x:v>0</x:v>
      </x:c>
      <x:c r="AS252" s="141" t="n">
        <x:f>AQ252</x:f>
        <x:v>2052.566702216223</x:v>
      </x:c>
      <x:c r="AT252" s="141" t="n">
        <x:f>$C252+AS252-AR252</x:f>
        <x:v>9052.566702216223</x:v>
      </x:c>
      <x:c r="AU252" s="141" t="n">
        <x:f>AX251*(1+Premissas!$B$41)+AT252</x:f>
        <x:v>6644886.419822225</x:v>
      </x:c>
      <x:c r="AV252" s="141" t="n">
        <x:f>MAX(0,-AU252)</x:f>
        <x:v>0</x:v>
      </x:c>
      <x:c r="AW252" s="141" t="n">
        <x:f>AW251*(1+Premissas!$B$41)+AV252</x:f>
        <x:v>0</x:v>
      </x:c>
      <x:c r="AX252" s="141" t="n">
        <x:f>MAX(0,AU252)</x:f>
        <x:v>6644886.419822225</x:v>
      </x:c>
      <x:c r="AY252" s="141" t="n">
        <x:f>INDEX('Consorcio IQ'!$P$6:$P$485,$A252)</x:f>
        <x:v>0</x:v>
      </x:c>
      <x:c r="AZ252" s="141" t="n">
        <x:f>IF($A252&gt;=Premissas!$B$48,$F252,0)+IF($A252&lt;Premissas!$B$27,INDEX('Consorcio IQ'!$O$6:$O$485,$A252),0)</x:f>
        <x:v>663604.0925114051</x:v>
      </x:c>
      <x:c r="BA252" s="141" t="n">
        <x:f>AX252+AZ252-AY252</x:f>
        <x:v>7308490.512333631</x:v>
      </x:c>
      <x:c r="BB252" s="141" t="n">
        <x:f>IF(AW252&gt;1,"Inviavel",BA252)</x:f>
        <x:v>7308490.512333631</x:v>
      </x:c>
      <x:c r="BC252" s="141" t="str">
        <x:f>IF(AW252&gt;1,"Inviavel","OK")</x:f>
        <x:v>OK</x:v>
      </x:c>
      <x:c r="BD252" s="141" t="n">
        <x:f>IF($A252='Consorcio Direto'!$B$29,'Consorcio Direto'!$B$44,0)</x:f>
        <x:v>0</x:v>
      </x:c>
      <x:c r="BE252" s="141" t="n">
        <x:f>IF($A252&lt;='Consorcio Direto'!$B$27,INDEX('Consorcio Direto'!$E$55:$E$534,$A252),0)</x:f>
        <x:v>0</x:v>
      </x:c>
      <x:c r="BF252" s="141" t="n">
        <x:f>IF(AND(TRUE,Premissas!$B$11="Imovel",Premissas!$B$47="Moradia",$A252&lt;MAX('Consorcio Direto'!$B$29,Premissas!$B$49)),$D252,0)</x:f>
        <x:v>0</x:v>
      </x:c>
      <x:c r="BG252" s="141" t="n">
        <x:f>IF(AND(TRUE,Premissas!$B$11="Imovel",Premissas!$B$47="Investimento",$A252&gt;=MAX('Consorcio Direto'!$B$29,Premissas!$B$49)),$E252,0)</x:f>
        <x:v>2052.566702216223</x:v>
      </x:c>
      <x:c r="BH252" s="141" t="n">
        <x:f>BD252+BE252+BF252</x:f>
        <x:v>0</x:v>
      </x:c>
      <x:c r="BI252" s="141" t="n">
        <x:f>BG252</x:f>
        <x:v>2052.566702216223</x:v>
      </x:c>
      <x:c r="BJ252" s="141" t="n">
        <x:f>$C252+BI252-BH252</x:f>
        <x:v>9052.566702216223</x:v>
      </x:c>
      <x:c r="BK252" s="141" t="n">
        <x:f>BN251*(1+Premissas!$B$41)+BJ252</x:f>
        <x:v>6323008.223087123</x:v>
      </x:c>
      <x:c r="BL252" s="141" t="n">
        <x:f>MAX(0,-BK252)</x:f>
        <x:v>0</x:v>
      </x:c>
      <x:c r="BM252" s="141" t="n">
        <x:f>BM251*(1+Premissas!$B$41)+BL252</x:f>
        <x:v>0</x:v>
      </x:c>
      <x:c r="BN252" s="141" t="n">
        <x:f>MAX(0,BK252)</x:f>
        <x:v>6323008.223087123</x:v>
      </x:c>
      <x:c r="BO252" s="141" t="n">
        <x:f>INDEX('Consorcio Direto'!$K$55:$K$534,$A252)</x:f>
        <x:v>0</x:v>
      </x:c>
      <x:c r="BP252" s="141" t="n">
        <x:f>IF($A252&lt;'Consorcio Direto'!$B$29,INDEX('Consorcio Direto'!$L$55:$L$534,$A252),$F252)</x:f>
        <x:v>663604.0925114051</x:v>
      </x:c>
      <x:c r="BQ252" s="141" t="n">
        <x:f>BN252+BP252-BO252</x:f>
        <x:v>6986612.315598528</x:v>
      </x:c>
      <x:c r="BR252" s="141" t="n">
        <x:f>IF(BM252&gt;1,"Inviavel",BQ252)</x:f>
        <x:v>6986612.315598528</x:v>
      </x:c>
      <x:c r="BS252" s="141" t="str">
        <x:f>IF(BM252&gt;1,"Inviavel","OK")</x:f>
        <x:v>OK</x:v>
      </x:c>
      <x:c r="BT252" s="141" t="n">
        <x:f>IF(AND('Carta Contemplada'!$B$22="Sim",$A252='Carta Contemplada'!$B$23),'Carta Contemplada'!$B$37,0)</x:f>
        <x:v>0</x:v>
      </x:c>
      <x:c r="BU252" s="141" t="n">
        <x:f>IF('Carta Contemplada'!$B$22="Sim",INDEX('Carta Contemplada'!$C$55:$C$1013,$A252),0)</x:f>
        <x:v>0</x:v>
      </x:c>
      <x:c r="BV252" s="141" t="n">
        <x:f>IF(AND('Carta Contemplada'!$B$22="Sim",Premissas!$B$11="Imovel",Premissas!$B$47="Moradia",$A252&lt;MAX('Carta Contemplada'!$B$44,Premissas!$B$49)),$D252,0)</x:f>
        <x:v>0</x:v>
      </x:c>
      <x:c r="BW252" s="141" t="n">
        <x:f>IF(AND('Carta Contemplada'!$B$22="Sim",Premissas!$B$11="Imovel",Premissas!$B$47="Investimento",$A252&gt;=MAX('Carta Contemplada'!$B$44,Premissas!$B$49)),$E252,0)</x:f>
        <x:v>2052.566702216223</x:v>
      </x:c>
      <x:c r="BX252" s="141" t="n">
        <x:f>BT252+BU252+BV252</x:f>
        <x:v>0</x:v>
      </x:c>
      <x:c r="BY252" s="141" t="n">
        <x:f>BW252</x:f>
        <x:v>2052.566702216223</x:v>
      </x:c>
      <x:c r="BZ252" s="141" t="n">
        <x:f>$C252+BY252-BX252</x:f>
        <x:v>9052.566702216223</x:v>
      </x:c>
      <x:c r="CA252" s="141" t="n">
        <x:f>CD251*(1+Premissas!$B$41)+BZ252</x:f>
        <x:v>6854640.832337376</x:v>
      </x:c>
      <x:c r="CB252" s="141" t="n">
        <x:f>MAX(0,-CA252)</x:f>
        <x:v>0</x:v>
      </x:c>
      <x:c r="CC252" s="141" t="n">
        <x:f>CC251*(1+Premissas!$B$41)+CB252</x:f>
        <x:v>0</x:v>
      </x:c>
      <x:c r="CD252" s="141" t="n">
        <x:f>MAX(0,CA252)</x:f>
        <x:v>6854640.832337376</x:v>
      </x:c>
      <x:c r="CE252" s="141" t="n">
        <x:f>IF(AND('Carta Contemplada'!$B$22="Sim",$A252&gt;='Carta Contemplada'!$B$23),INDEX('Carta Contemplada'!$I$55:$I$1013,$A252),0)</x:f>
        <x:v>0</x:v>
      </x:c>
      <x:c r="CF252" s="141" t="n">
        <x:f>IF(AND('Carta Contemplada'!$B$22="Sim",$A252&gt;='Carta Contemplada'!$B$44),$F252,0)</x:f>
        <x:v>663604.0925114051</x:v>
      </x:c>
      <x:c r="CG252" s="141" t="n">
        <x:f>CD252+CF252-CE252</x:f>
        <x:v>7518244.924848781</x:v>
      </x:c>
      <x:c r="CH252" s="141" t="n">
        <x:f>IF(CC252&gt;1,"Inviavel",CG252)</x:f>
        <x:v>7518244.924848781</x:v>
      </x:c>
      <x:c r="CI252" s="145" t="str">
        <x:f>IF(CC252&gt;1,"Inviavel","OK")</x:f>
        <x:v>OK</x:v>
      </x:c>
    </x:row>
    <x:row r="253">
      <x:c r="A253" s="142" t="n">
        <x:v>249</x:v>
      </x:c>
      <x:c r="B253" s="179" t="n">
        <x:f>EDATE(Premissas!$B$4,A253-1)</x:f>
        <x:v>54089</x:v>
      </x:c>
      <x:c r="C253" s="141" t="n">
        <x:f>IF(A253&lt;=Premissas!$B$39,Premissas!$B$42,0)</x:f>
        <x:v>7000</x:v>
      </x:c>
      <x:c r="D253" s="141" t="n">
        <x:f>Premissas!$B$54*(1+Premissas!$B$57)^INT((A253-1)/12)</x:f>
        <x:v>2244.9948305489934</x:v>
      </x:c>
      <x:c r="E253" s="141" t="n">
        <x:f>Premissas!$B$64*(1+Premissas!$B$57)^INT((A253-1)/12)</x:f>
        <x:v>2052.566702216223</x:v>
      </x:c>
      <x:c r="F253" s="141" t="n">
        <x:f>MAX(0,Premissas!$B$6*(1+Premissas!$B$66)^((A253-1)/12))</x:f>
        <x:v>666834.218987073</x:v>
      </x:c>
      <x:c r="G253" s="141" t="n">
        <x:f>G252*(1+Premissas!$B$41)+C253</x:f>
        <x:v>7946077.819321604</x:v>
      </x:c>
      <x:c r="H253" s="141" t="n">
        <x:f>IF($A253=Premissas!$B$48,Premissas!$B$8,0)</x:f>
        <x:v>0</x:v>
      </x:c>
      <x:c r="I253" s="141" t="n">
        <x:f>IF(AND($A253&gt;=Premissas!$B$48,$A253-Premissas!$B$48+1&lt;=Premissas!$B$13),INDEX(Financiamento!$J$6:$J$485,$A253-Premissas!$B$48+1),0)</x:f>
        <x:v>1152.6942418088718</x:v>
      </x:c>
      <x:c r="J253" s="141" t="n">
        <x:f>IF(AND(TRUE,Premissas!$B$11="Imovel",Premissas!$B$47="Moradia",$A253&lt;MAX(Premissas!$B$48,Premissas!$B$49)),$D253,0)</x:f>
        <x:v>0</x:v>
      </x:c>
      <x:c r="K253" s="141" t="n">
        <x:f>IF(AND(TRUE,Premissas!$B$11="Imovel",Premissas!$B$47="Investimento",$A253&gt;=MAX(Premissas!$B$48,Premissas!$B$49)),$E253,0)</x:f>
        <x:v>2052.566702216223</x:v>
      </x:c>
      <x:c r="L253" s="141" t="n">
        <x:f>H253+I253+J253</x:f>
        <x:v>1152.6942418088718</x:v>
      </x:c>
      <x:c r="M253" s="141" t="n">
        <x:f>K253</x:f>
        <x:v>2052.566702216223</x:v>
      </x:c>
      <x:c r="N253" s="141" t="n">
        <x:f>$C253+M253-L253</x:f>
        <x:v>7899.872460407351</x:v>
      </x:c>
      <x:c r="O253" s="141" t="n">
        <x:f>R252*(1+Premissas!$B$41)+N253</x:f>
        <x:v>6729414.557865068</x:v>
      </x:c>
      <x:c r="P253" s="141" t="n">
        <x:f>MAX(0,-O253)</x:f>
        <x:v>0</x:v>
      </x:c>
      <x:c r="Q253" s="141" t="n">
        <x:f>Q252*(1+Premissas!$B$41)+P253</x:f>
        <x:v>0</x:v>
      </x:c>
      <x:c r="R253" s="141" t="n">
        <x:f>MAX(0,O253)</x:f>
        <x:v>6729414.557865068</x:v>
      </x:c>
      <x:c r="S253" s="141" t="n">
        <x:f>IF(AND($A253&gt;=Premissas!$B$48,$A253-Premissas!$B$48+1&lt;=Premissas!$B$13),INDEX(Financiamento!$M$6:$M$485,$A253-Premissas!$B$48+1),0)</x:f>
        <x:v>65142.85714285725</x:v>
      </x:c>
      <x:c r="T253" s="141" t="n">
        <x:f>IF($A253&gt;=Premissas!$B$48,$F253,0)</x:f>
        <x:v>666834.218987073</x:v>
      </x:c>
      <x:c r="U253" s="141" t="n">
        <x:f>R253+T253-S253</x:f>
        <x:v>7331105.919709284</x:v>
      </x:c>
      <x:c r="V253" s="141" t="n">
        <x:f>IF(Q253&gt;1,"Inviavel",U253)</x:f>
        <x:v>7331105.919709284</x:v>
      </x:c>
      <x:c r="W253" s="141" t="str">
        <x:f>IF(Q253&gt;1,"Inviavel","OK")</x:f>
        <x:v>OK</x:v>
      </x:c>
      <x:c r="X253" s="141" t="n">
        <x:f>IF($A253=Premissas!$B$48,Premissas!$B$8,0)</x:f>
        <x:v>0</x:v>
      </x:c>
      <x:c r="Y253" s="141" t="n">
        <x:f>IF(AND($A253&gt;=Premissas!$B$48,$A253-Premissas!$B$48+1&lt;=Premissas!$B$13),INDEX(Amortizacao!$K$6:$K$485,$A253-Premissas!$B$48+1),0)</x:f>
        <x:v>0</x:v>
      </x:c>
      <x:c r="Z253" s="141" t="n">
        <x:f>IF(AND(TRUE,Premissas!$B$11="Imovel",Premissas!$B$47="Moradia",$A253&lt;MAX(Premissas!$B$48,Premissas!$B$49)),$D253,0)</x:f>
        <x:v>0</x:v>
      </x:c>
      <x:c r="AA253" s="141" t="n">
        <x:f>IF(AND(TRUE,Premissas!$B$11="Imovel",Premissas!$B$47="Investimento",$A253&gt;=MAX(Premissas!$B$48,Premissas!$B$49)),$E253,0)</x:f>
        <x:v>2052.566702216223</x:v>
      </x:c>
      <x:c r="AB253" s="141" t="n">
        <x:f>X253+Y253+Z253</x:f>
        <x:v>0</x:v>
      </x:c>
      <x:c r="AC253" s="141" t="n">
        <x:f>AA253</x:f>
        <x:v>2052.566702216223</x:v>
      </x:c>
      <x:c r="AD253" s="141" t="n">
        <x:f>$C253+AC253-AB253</x:f>
        <x:v>9052.566702216223</x:v>
      </x:c>
      <x:c r="AE253" s="141" t="n">
        <x:f>AH252*(1+Premissas!$B$41)+AD253</x:f>
        <x:v>6777114.739076517</x:v>
      </x:c>
      <x:c r="AF253" s="141" t="n">
        <x:f>MAX(0,-AE253)</x:f>
        <x:v>0</x:v>
      </x:c>
      <x:c r="AG253" s="141" t="n">
        <x:f>AG252*(1+Premissas!$B$41)+AF253</x:f>
        <x:v>0</x:v>
      </x:c>
      <x:c r="AH253" s="141" t="n">
        <x:f>MAX(0,AE253)</x:f>
        <x:v>6777114.739076517</x:v>
      </x:c>
      <x:c r="AI253" s="141" t="n">
        <x:f>IF(AND($A253&gt;=Premissas!$B$48,$A253-Premissas!$B$48+1&lt;=Premissas!$B$13),INDEX(Amortizacao!$L$6:$L$485,$A253-Premissas!$B$48+1),0)</x:f>
        <x:v>0</x:v>
      </x:c>
      <x:c r="AJ253" s="141" t="n">
        <x:f>IF($A253&gt;=Premissas!$B$48,$F253,0)</x:f>
        <x:v>666834.218987073</x:v>
      </x:c>
      <x:c r="AK253" s="141" t="n">
        <x:f>AH253+AJ253-AI253</x:f>
        <x:v>7443948.958063589</x:v>
      </x:c>
      <x:c r="AL253" s="141" t="n">
        <x:f>IF(AG253&gt;1,"Inviavel",AK253)</x:f>
        <x:v>7443948.958063589</x:v>
      </x:c>
      <x:c r="AM253" s="141" t="str">
        <x:f>IF(AG253&gt;1,"Inviavel","OK")</x:f>
        <x:v>OK</x:v>
      </x:c>
      <x:c r="AN253" s="141" t="n">
        <x:f>IF($A253=Premissas!$B$48,Premissas!$B$8,0)</x:f>
        <x:v>0</x:v>
      </x:c>
      <x:c r="AO253" s="141" t="n">
        <x:f>IF($A253&lt;=Premissas!$B$25,INDEX('Consorcio IQ'!$K$6:$K$485,$A253),0)</x:f>
        <x:v>0</x:v>
      </x:c>
      <x:c r="AP253" s="141" t="n">
        <x:f>IF(AND(TRUE,Premissas!$B$11="Imovel",Premissas!$B$47="Moradia",$A253&lt;MAX(Premissas!$B$48,Premissas!$B$49)),$D253,0)</x:f>
        <x:v>0</x:v>
      </x:c>
      <x:c r="AQ253" s="141" t="n">
        <x:f>IF(AND(TRUE,Premissas!$B$11="Imovel",Premissas!$B$47="Investimento",$A253&gt;=MAX(Premissas!$B$48,Premissas!$B$49)),$E253,0)</x:f>
        <x:v>2052.566702216223</x:v>
      </x:c>
      <x:c r="AR253" s="141" t="n">
        <x:f>AN253+AO253+AP253</x:f>
        <x:v>0</x:v>
      </x:c>
      <x:c r="AS253" s="141" t="n">
        <x:f>AQ253</x:f>
        <x:v>2052.566702216223</x:v>
      </x:c>
      <x:c r="AT253" s="141" t="n">
        <x:f>$C253+AS253-AR253</x:f>
        <x:v>9052.566702216223</x:v>
      </x:c>
      <x:c r="AU253" s="141" t="n">
        <x:f>AX252*(1+Premissas!$B$41)+AT253</x:f>
        <x:v>6716990.937835957</x:v>
      </x:c>
      <x:c r="AV253" s="141" t="n">
        <x:f>MAX(0,-AU253)</x:f>
        <x:v>0</x:v>
      </x:c>
      <x:c r="AW253" s="141" t="n">
        <x:f>AW252*(1+Premissas!$B$41)+AV253</x:f>
        <x:v>0</x:v>
      </x:c>
      <x:c r="AX253" s="141" t="n">
        <x:f>MAX(0,AU253)</x:f>
        <x:v>6716990.937835957</x:v>
      </x:c>
      <x:c r="AY253" s="141" t="n">
        <x:f>INDEX('Consorcio IQ'!$P$6:$P$485,$A253)</x:f>
        <x:v>0</x:v>
      </x:c>
      <x:c r="AZ253" s="141" t="n">
        <x:f>IF($A253&gt;=Premissas!$B$48,$F253,0)+IF($A253&lt;Premissas!$B$27,INDEX('Consorcio IQ'!$O$6:$O$485,$A253),0)</x:f>
        <x:v>666834.218987073</x:v>
      </x:c>
      <x:c r="BA253" s="141" t="n">
        <x:f>AX253+AZ253-AY253</x:f>
        <x:v>7383825.15682303</x:v>
      </x:c>
      <x:c r="BB253" s="141" t="n">
        <x:f>IF(AW253&gt;1,"Inviavel",BA253)</x:f>
        <x:v>7383825.15682303</x:v>
      </x:c>
      <x:c r="BC253" s="141" t="str">
        <x:f>IF(AW253&gt;1,"Inviavel","OK")</x:f>
        <x:v>OK</x:v>
      </x:c>
      <x:c r="BD253" s="141" t="n">
        <x:f>IF($A253='Consorcio Direto'!$B$29,'Consorcio Direto'!$B$44,0)</x:f>
        <x:v>0</x:v>
      </x:c>
      <x:c r="BE253" s="141" t="n">
        <x:f>IF($A253&lt;='Consorcio Direto'!$B$27,INDEX('Consorcio Direto'!$E$55:$E$534,$A253),0)</x:f>
        <x:v>0</x:v>
      </x:c>
      <x:c r="BF253" s="141" t="n">
        <x:f>IF(AND(TRUE,Premissas!$B$11="Imovel",Premissas!$B$47="Moradia",$A253&lt;MAX('Consorcio Direto'!$B$29,Premissas!$B$49)),$D253,0)</x:f>
        <x:v>0</x:v>
      </x:c>
      <x:c r="BG253" s="141" t="n">
        <x:f>IF(AND(TRUE,Premissas!$B$11="Imovel",Premissas!$B$47="Investimento",$A253&gt;=MAX('Consorcio Direto'!$B$29,Premissas!$B$49)),$E253,0)</x:f>
        <x:v>2052.566702216223</x:v>
      </x:c>
      <x:c r="BH253" s="141" t="n">
        <x:f>BD253+BE253+BF253</x:f>
        <x:v>0</x:v>
      </x:c>
      <x:c r="BI253" s="141" t="n">
        <x:f>BG253</x:f>
        <x:v>2052.566702216223</x:v>
      </x:c>
      <x:c r="BJ253" s="141" t="n">
        <x:f>$C253+BI253-BH253</x:f>
        <x:v>9052.566702216223</x:v>
      </x:c>
      <x:c r="BK253" s="141" t="n">
        <x:f>BN252*(1+Premissas!$B$41)+BJ253</x:f>
        <x:v>6392058.505541878</x:v>
      </x:c>
      <x:c r="BL253" s="141" t="n">
        <x:f>MAX(0,-BK253)</x:f>
        <x:v>0</x:v>
      </x:c>
      <x:c r="BM253" s="141" t="n">
        <x:f>BM252*(1+Premissas!$B$41)+BL253</x:f>
        <x:v>0</x:v>
      </x:c>
      <x:c r="BN253" s="141" t="n">
        <x:f>MAX(0,BK253)</x:f>
        <x:v>6392058.505541878</x:v>
      </x:c>
      <x:c r="BO253" s="141" t="n">
        <x:f>INDEX('Consorcio Direto'!$K$55:$K$534,$A253)</x:f>
        <x:v>0</x:v>
      </x:c>
      <x:c r="BP253" s="141" t="n">
        <x:f>IF($A253&lt;'Consorcio Direto'!$B$29,INDEX('Consorcio Direto'!$L$55:$L$534,$A253),$F253)</x:f>
        <x:v>666834.218987073</x:v>
      </x:c>
      <x:c r="BQ253" s="141" t="n">
        <x:f>BN253+BP253-BO253</x:f>
        <x:v>7058892.724528951</x:v>
      </x:c>
      <x:c r="BR253" s="141" t="n">
        <x:f>IF(BM253&gt;1,"Inviavel",BQ253)</x:f>
        <x:v>7058892.724528951</x:v>
      </x:c>
      <x:c r="BS253" s="141" t="str">
        <x:f>IF(BM253&gt;1,"Inviavel","OK")</x:f>
        <x:v>OK</x:v>
      </x:c>
      <x:c r="BT253" s="141" t="n">
        <x:f>IF(AND('Carta Contemplada'!$B$22="Sim",$A253='Carta Contemplada'!$B$23),'Carta Contemplada'!$B$37,0)</x:f>
        <x:v>0</x:v>
      </x:c>
      <x:c r="BU253" s="141" t="n">
        <x:f>IF('Carta Contemplada'!$B$22="Sim",INDEX('Carta Contemplada'!$C$55:$C$1013,$A253),0)</x:f>
        <x:v>0</x:v>
      </x:c>
      <x:c r="BV253" s="141" t="n">
        <x:f>IF(AND('Carta Contemplada'!$B$22="Sim",Premissas!$B$11="Imovel",Premissas!$B$47="Moradia",$A253&lt;MAX('Carta Contemplada'!$B$44,Premissas!$B$49)),$D253,0)</x:f>
        <x:v>0</x:v>
      </x:c>
      <x:c r="BW253" s="141" t="n">
        <x:f>IF(AND('Carta Contemplada'!$B$22="Sim",Premissas!$B$11="Imovel",Premissas!$B$47="Investimento",$A253&gt;=MAX('Carta Contemplada'!$B$44,Premissas!$B$49)),$E253,0)</x:f>
        <x:v>2052.566702216223</x:v>
      </x:c>
      <x:c r="BX253" s="141" t="n">
        <x:f>BT253+BU253+BV253</x:f>
        <x:v>0</x:v>
      </x:c>
      <x:c r="BY253" s="141" t="n">
        <x:f>BW253</x:f>
        <x:v>2052.566702216223</x:v>
      </x:c>
      <x:c r="BZ253" s="141" t="n">
        <x:f>$C253+BY253-BX253</x:f>
        <x:v>9052.566702216223</x:v>
      </x:c>
      <x:c r="CA253" s="141" t="n">
        <x:f>CD252*(1+Premissas!$B$41)+BZ253</x:f>
        <x:v>6928735.666538579</x:v>
      </x:c>
      <x:c r="CB253" s="141" t="n">
        <x:f>MAX(0,-CA253)</x:f>
        <x:v>0</x:v>
      </x:c>
      <x:c r="CC253" s="141" t="n">
        <x:f>CC252*(1+Premissas!$B$41)+CB253</x:f>
        <x:v>0</x:v>
      </x:c>
      <x:c r="CD253" s="141" t="n">
        <x:f>MAX(0,CA253)</x:f>
        <x:v>6928735.666538579</x:v>
      </x:c>
      <x:c r="CE253" s="141" t="n">
        <x:f>IF(AND('Carta Contemplada'!$B$22="Sim",$A253&gt;='Carta Contemplada'!$B$23),INDEX('Carta Contemplada'!$I$55:$I$1013,$A253),0)</x:f>
        <x:v>0</x:v>
      </x:c>
      <x:c r="CF253" s="141" t="n">
        <x:f>IF(AND('Carta Contemplada'!$B$22="Sim",$A253&gt;='Carta Contemplada'!$B$44),$F253,0)</x:f>
        <x:v>666834.218987073</x:v>
      </x:c>
      <x:c r="CG253" s="141" t="n">
        <x:f>CD253+CF253-CE253</x:f>
        <x:v>7595569.885525652</x:v>
      </x:c>
      <x:c r="CH253" s="141" t="n">
        <x:f>IF(CC253&gt;1,"Inviavel",CG253)</x:f>
        <x:v>7595569.885525652</x:v>
      </x:c>
      <x:c r="CI253" s="145" t="str">
        <x:f>IF(CC253&gt;1,"Inviavel","OK")</x:f>
        <x:v>OK</x:v>
      </x:c>
    </x:row>
    <x:row r="254">
      <x:c r="A254" s="142" t="n">
        <x:v>250</x:v>
      </x:c>
      <x:c r="B254" s="179" t="n">
        <x:f>EDATE(Premissas!$B$4,A254-1)</x:f>
        <x:v>54118</x:v>
      </x:c>
      <x:c r="C254" s="141" t="n">
        <x:f>IF(A254&lt;=Premissas!$B$39,Premissas!$B$42,0)</x:f>
        <x:v>7000</x:v>
      </x:c>
      <x:c r="D254" s="141" t="n">
        <x:f>Premissas!$B$54*(1+Premissas!$B$57)^INT((A254-1)/12)</x:f>
        <x:v>2244.9948305489934</x:v>
      </x:c>
      <x:c r="E254" s="141" t="n">
        <x:f>Premissas!$B$64*(1+Premissas!$B$57)^INT((A254-1)/12)</x:f>
        <x:v>2052.566702216223</x:v>
      </x:c>
      <x:c r="F254" s="141" t="n">
        <x:f>MAX(0,Premissas!$B$6*(1+Premissas!$B$66)^((A254-1)/12))</x:f>
        <x:v>670080.0682666936</x:v>
      </x:c>
      <x:c r="G254" s="141" t="n">
        <x:f>G253*(1+Premissas!$B$41)+C254</x:f>
        <x:v>8028476.50639123</x:v>
      </x:c>
      <x:c r="H254" s="141" t="n">
        <x:f>IF($A254=Premissas!$B$48,Premissas!$B$8,0)</x:f>
        <x:v>0</x:v>
      </x:c>
      <x:c r="I254" s="141" t="n">
        <x:f>IF(AND($A254&gt;=Premissas!$B$48,$A254-Premissas!$B$48+1&lt;=Premissas!$B$13),INDEX(Financiamento!$J$6:$J$485,$A254-Premissas!$B$48+1),0)</x:f>
        <x:v>1149.0794635480781</x:v>
      </x:c>
      <x:c r="J254" s="141" t="n">
        <x:f>IF(AND(TRUE,Premissas!$B$11="Imovel",Premissas!$B$47="Moradia",$A254&lt;MAX(Premissas!$B$48,Premissas!$B$49)),$D254,0)</x:f>
        <x:v>0</x:v>
      </x:c>
      <x:c r="K254" s="141" t="n">
        <x:f>IF(AND(TRUE,Premissas!$B$11="Imovel",Premissas!$B$47="Investimento",$A254&gt;=MAX(Premissas!$B$48,Premissas!$B$49)),$E254,0)</x:f>
        <x:v>2052.566702216223</x:v>
      </x:c>
      <x:c r="L254" s="141" t="n">
        <x:f>H254+I254+J254</x:f>
        <x:v>1149.0794635480781</x:v>
      </x:c>
      <x:c r="M254" s="141" t="n">
        <x:f>K254</x:f>
        <x:v>2052.566702216223</x:v>
      </x:c>
      <x:c r="N254" s="141" t="n">
        <x:f>$C254+M254-L254</x:f>
        <x:v>7903.487238668145</x:v>
      </x:c>
      <x:c r="O254" s="141" t="n">
        <x:f>R253*(1+Premissas!$B$41)+N254</x:f>
        <x:v>6801172.066414286</x:v>
      </x:c>
      <x:c r="P254" s="141" t="n">
        <x:f>MAX(0,-O254)</x:f>
        <x:v>0</x:v>
      </x:c>
      <x:c r="Q254" s="141" t="n">
        <x:f>Q253*(1+Premissas!$B$41)+P254</x:f>
        <x:v>0</x:v>
      </x:c>
      <x:c r="R254" s="141" t="n">
        <x:f>MAX(0,O254)</x:f>
        <x:v>6801172.066414286</x:v>
      </x:c>
      <x:c r="S254" s="141" t="n">
        <x:f>IF(AND($A254&gt;=Premissas!$B$48,$A254-Premissas!$B$48+1&lt;=Premissas!$B$13),INDEX(Financiamento!$M$6:$M$485,$A254-Premissas!$B$48+1),0)</x:f>
        <x:v>64761.904761904865</x:v>
      </x:c>
      <x:c r="T254" s="141" t="n">
        <x:f>IF($A254&gt;=Premissas!$B$48,$F254,0)</x:f>
        <x:v>670080.0682666936</x:v>
      </x:c>
      <x:c r="U254" s="141" t="n">
        <x:f>R254+T254-S254</x:f>
        <x:v>7406490.229919075</x:v>
      </x:c>
      <x:c r="V254" s="141" t="n">
        <x:f>IF(Q254&gt;1,"Inviavel",U254)</x:f>
        <x:v>7406490.229919075</x:v>
      </x:c>
      <x:c r="W254" s="141" t="str">
        <x:f>IF(Q254&gt;1,"Inviavel","OK")</x:f>
        <x:v>OK</x:v>
      </x:c>
      <x:c r="X254" s="141" t="n">
        <x:f>IF($A254=Premissas!$B$48,Premissas!$B$8,0)</x:f>
        <x:v>0</x:v>
      </x:c>
      <x:c r="Y254" s="141" t="n">
        <x:f>IF(AND($A254&gt;=Premissas!$B$48,$A254-Premissas!$B$48+1&lt;=Premissas!$B$13),INDEX(Amortizacao!$K$6:$K$485,$A254-Premissas!$B$48+1),0)</x:f>
        <x:v>0</x:v>
      </x:c>
      <x:c r="Z254" s="141" t="n">
        <x:f>IF(AND(TRUE,Premissas!$B$11="Imovel",Premissas!$B$47="Moradia",$A254&lt;MAX(Premissas!$B$48,Premissas!$B$49)),$D254,0)</x:f>
        <x:v>0</x:v>
      </x:c>
      <x:c r="AA254" s="141" t="n">
        <x:f>IF(AND(TRUE,Premissas!$B$11="Imovel",Premissas!$B$47="Investimento",$A254&gt;=MAX(Premissas!$B$48,Premissas!$B$49)),$E254,0)</x:f>
        <x:v>2052.566702216223</x:v>
      </x:c>
      <x:c r="AB254" s="141" t="n">
        <x:f>X254+Y254+Z254</x:f>
        <x:v>0</x:v>
      </x:c>
      <x:c r="AC254" s="141" t="n">
        <x:f>AA254</x:f>
        <x:v>2052.566702216223</x:v>
      </x:c>
      <x:c r="AD254" s="141" t="n">
        <x:f>$C254+AC254-AB254</x:f>
        <x:v>9052.566702216223</x:v>
      </x:c>
      <x:c r="AE254" s="141" t="n">
        <x:f>AH253*(1+Premissas!$B$41)+AD254</x:f>
        <x:v>6850473.94423174</x:v>
      </x:c>
      <x:c r="AF254" s="141" t="n">
        <x:f>MAX(0,-AE254)</x:f>
        <x:v>0</x:v>
      </x:c>
      <x:c r="AG254" s="141" t="n">
        <x:f>AG253*(1+Premissas!$B$41)+AF254</x:f>
        <x:v>0</x:v>
      </x:c>
      <x:c r="AH254" s="141" t="n">
        <x:f>MAX(0,AE254)</x:f>
        <x:v>6850473.94423174</x:v>
      </x:c>
      <x:c r="AI254" s="141" t="n">
        <x:f>IF(AND($A254&gt;=Premissas!$B$48,$A254-Premissas!$B$48+1&lt;=Premissas!$B$13),INDEX(Amortizacao!$L$6:$L$485,$A254-Premissas!$B$48+1),0)</x:f>
        <x:v>0</x:v>
      </x:c>
      <x:c r="AJ254" s="141" t="n">
        <x:f>IF($A254&gt;=Premissas!$B$48,$F254,0)</x:f>
        <x:v>670080.0682666936</x:v>
      </x:c>
      <x:c r="AK254" s="141" t="n">
        <x:f>AH254+AJ254-AI254</x:f>
        <x:v>7520554.012498434</x:v>
      </x:c>
      <x:c r="AL254" s="141" t="n">
        <x:f>IF(AG254&gt;1,"Inviavel",AK254)</x:f>
        <x:v>7520554.012498434</x:v>
      </x:c>
      <x:c r="AM254" s="141" t="str">
        <x:f>IF(AG254&gt;1,"Inviavel","OK")</x:f>
        <x:v>OK</x:v>
      </x:c>
      <x:c r="AN254" s="141" t="n">
        <x:f>IF($A254=Premissas!$B$48,Premissas!$B$8,0)</x:f>
        <x:v>0</x:v>
      </x:c>
      <x:c r="AO254" s="141" t="n">
        <x:f>IF($A254&lt;=Premissas!$B$25,INDEX('Consorcio IQ'!$K$6:$K$485,$A254),0)</x:f>
        <x:v>0</x:v>
      </x:c>
      <x:c r="AP254" s="141" t="n">
        <x:f>IF(AND(TRUE,Premissas!$B$11="Imovel",Premissas!$B$47="Moradia",$A254&lt;MAX(Premissas!$B$48,Premissas!$B$49)),$D254,0)</x:f>
        <x:v>0</x:v>
      </x:c>
      <x:c r="AQ254" s="141" t="n">
        <x:f>IF(AND(TRUE,Premissas!$B$11="Imovel",Premissas!$B$47="Investimento",$A254&gt;=MAX(Premissas!$B$48,Premissas!$B$49)),$E254,0)</x:f>
        <x:v>2052.566702216223</x:v>
      </x:c>
      <x:c r="AR254" s="141" t="n">
        <x:f>AN254+AO254+AP254</x:f>
        <x:v>0</x:v>
      </x:c>
      <x:c r="AS254" s="141" t="n">
        <x:f>AQ254</x:f>
        <x:v>2052.566702216223</x:v>
      </x:c>
      <x:c r="AT254" s="141" t="n">
        <x:f>$C254+AS254-AR254</x:f>
        <x:v>9052.566702216223</x:v>
      </x:c>
      <x:c r="AU254" s="141" t="n">
        <x:f>AX253*(1+Premissas!$B$41)+AT254</x:f>
        <x:v>6789779.640690769</x:v>
      </x:c>
      <x:c r="AV254" s="141" t="n">
        <x:f>MAX(0,-AU254)</x:f>
        <x:v>0</x:v>
      </x:c>
      <x:c r="AW254" s="141" t="n">
        <x:f>AW253*(1+Premissas!$B$41)+AV254</x:f>
        <x:v>0</x:v>
      </x:c>
      <x:c r="AX254" s="141" t="n">
        <x:f>MAX(0,AU254)</x:f>
        <x:v>6789779.640690769</x:v>
      </x:c>
      <x:c r="AY254" s="141" t="n">
        <x:f>INDEX('Consorcio IQ'!$P$6:$P$485,$A254)</x:f>
        <x:v>0</x:v>
      </x:c>
      <x:c r="AZ254" s="141" t="n">
        <x:f>IF($A254&gt;=Premissas!$B$48,$F254,0)+IF($A254&lt;Premissas!$B$27,INDEX('Consorcio IQ'!$O$6:$O$485,$A254),0)</x:f>
        <x:v>670080.0682666936</x:v>
      </x:c>
      <x:c r="BA254" s="141" t="n">
        <x:f>AX254+AZ254-AY254</x:f>
        <x:v>7459859.708957463</x:v>
      </x:c>
      <x:c r="BB254" s="141" t="n">
        <x:f>IF(AW254&gt;1,"Inviavel",BA254)</x:f>
        <x:v>7459859.708957463</x:v>
      </x:c>
      <x:c r="BC254" s="141" t="str">
        <x:f>IF(AW254&gt;1,"Inviavel","OK")</x:f>
        <x:v>OK</x:v>
      </x:c>
      <x:c r="BD254" s="141" t="n">
        <x:f>IF($A254='Consorcio Direto'!$B$29,'Consorcio Direto'!$B$44,0)</x:f>
        <x:v>0</x:v>
      </x:c>
      <x:c r="BE254" s="141" t="n">
        <x:f>IF($A254&lt;='Consorcio Direto'!$B$27,INDEX('Consorcio Direto'!$E$55:$E$534,$A254),0)</x:f>
        <x:v>0</x:v>
      </x:c>
      <x:c r="BF254" s="141" t="n">
        <x:f>IF(AND(TRUE,Premissas!$B$11="Imovel",Premissas!$B$47="Moradia",$A254&lt;MAX('Consorcio Direto'!$B$29,Premissas!$B$49)),$D254,0)</x:f>
        <x:v>0</x:v>
      </x:c>
      <x:c r="BG254" s="141" t="n">
        <x:f>IF(AND(TRUE,Premissas!$B$11="Imovel",Premissas!$B$47="Investimento",$A254&gt;=MAX('Consorcio Direto'!$B$29,Premissas!$B$49)),$E254,0)</x:f>
        <x:v>2052.566702216223</x:v>
      </x:c>
      <x:c r="BH254" s="141" t="n">
        <x:f>BD254+BE254+BF254</x:f>
        <x:v>0</x:v>
      </x:c>
      <x:c r="BI254" s="141" t="n">
        <x:f>BG254</x:f>
        <x:v>2052.566702216223</x:v>
      </x:c>
      <x:c r="BJ254" s="141" t="n">
        <x:f>$C254+BI254-BH254</x:f>
        <x:v>9052.566702216223</x:v>
      </x:c>
      <x:c r="BK254" s="141" t="n">
        <x:f>BN253*(1+Premissas!$B$41)+BJ254</x:f>
        <x:v>6461763.991828921</x:v>
      </x:c>
      <x:c r="BL254" s="141" t="n">
        <x:f>MAX(0,-BK254)</x:f>
        <x:v>0</x:v>
      </x:c>
      <x:c r="BM254" s="141" t="n">
        <x:f>BM253*(1+Premissas!$B$41)+BL254</x:f>
        <x:v>0</x:v>
      </x:c>
      <x:c r="BN254" s="141" t="n">
        <x:f>MAX(0,BK254)</x:f>
        <x:v>6461763.991828921</x:v>
      </x:c>
      <x:c r="BO254" s="141" t="n">
        <x:f>INDEX('Consorcio Direto'!$K$55:$K$534,$A254)</x:f>
        <x:v>0</x:v>
      </x:c>
      <x:c r="BP254" s="141" t="n">
        <x:f>IF($A254&lt;'Consorcio Direto'!$B$29,INDEX('Consorcio Direto'!$L$55:$L$534,$A254),$F254)</x:f>
        <x:v>670080.0682666936</x:v>
      </x:c>
      <x:c r="BQ254" s="141" t="n">
        <x:f>BN254+BP254-BO254</x:f>
        <x:v>7131844.060095615</x:v>
      </x:c>
      <x:c r="BR254" s="141" t="n">
        <x:f>IF(BM254&gt;1,"Inviavel",BQ254)</x:f>
        <x:v>7131844.060095615</x:v>
      </x:c>
      <x:c r="BS254" s="141" t="str">
        <x:f>IF(BM254&gt;1,"Inviavel","OK")</x:f>
        <x:v>OK</x:v>
      </x:c>
      <x:c r="BT254" s="141" t="n">
        <x:f>IF(AND('Carta Contemplada'!$B$22="Sim",$A254='Carta Contemplada'!$B$23),'Carta Contemplada'!$B$37,0)</x:f>
        <x:v>0</x:v>
      </x:c>
      <x:c r="BU254" s="141" t="n">
        <x:f>IF('Carta Contemplada'!$B$22="Sim",INDEX('Carta Contemplada'!$C$55:$C$1013,$A254),0)</x:f>
        <x:v>0</x:v>
      </x:c>
      <x:c r="BV254" s="141" t="n">
        <x:f>IF(AND('Carta Contemplada'!$B$22="Sim",Premissas!$B$11="Imovel",Premissas!$B$47="Moradia",$A254&lt;MAX('Carta Contemplada'!$B$44,Premissas!$B$49)),$D254,0)</x:f>
        <x:v>0</x:v>
      </x:c>
      <x:c r="BW254" s="141" t="n">
        <x:f>IF(AND('Carta Contemplada'!$B$22="Sim",Premissas!$B$11="Imovel",Premissas!$B$47="Investimento",$A254&gt;=MAX('Carta Contemplada'!$B$44,Premissas!$B$49)),$E254,0)</x:f>
        <x:v>2052.566702216223</x:v>
      </x:c>
      <x:c r="BX254" s="141" t="n">
        <x:f>BT254+BU254+BV254</x:f>
        <x:v>0</x:v>
      </x:c>
      <x:c r="BY254" s="141" t="n">
        <x:f>BW254</x:f>
        <x:v>2052.566702216223</x:v>
      </x:c>
      <x:c r="BZ254" s="141" t="n">
        <x:f>$C254+BY254-BX254</x:f>
        <x:v>9052.566702216223</x:v>
      </x:c>
      <x:c r="CA254" s="141" t="n">
        <x:f>CD253*(1+Premissas!$B$41)+BZ254</x:f>
        <x:v>7003533.571279041</x:v>
      </x:c>
      <x:c r="CB254" s="141" t="n">
        <x:f>MAX(0,-CA254)</x:f>
        <x:v>0</x:v>
      </x:c>
      <x:c r="CC254" s="141" t="n">
        <x:f>CC253*(1+Premissas!$B$41)+CB254</x:f>
        <x:v>0</x:v>
      </x:c>
      <x:c r="CD254" s="141" t="n">
        <x:f>MAX(0,CA254)</x:f>
        <x:v>7003533.571279041</x:v>
      </x:c>
      <x:c r="CE254" s="141" t="n">
        <x:f>IF(AND('Carta Contemplada'!$B$22="Sim",$A254&gt;='Carta Contemplada'!$B$23),INDEX('Carta Contemplada'!$I$55:$I$1013,$A254),0)</x:f>
        <x:v>0</x:v>
      </x:c>
      <x:c r="CF254" s="141" t="n">
        <x:f>IF(AND('Carta Contemplada'!$B$22="Sim",$A254&gt;='Carta Contemplada'!$B$44),$F254,0)</x:f>
        <x:v>670080.0682666936</x:v>
      </x:c>
      <x:c r="CG254" s="141" t="n">
        <x:f>CD254+CF254-CE254</x:f>
        <x:v>7673613.639545734</x:v>
      </x:c>
      <x:c r="CH254" s="141" t="n">
        <x:f>IF(CC254&gt;1,"Inviavel",CG254)</x:f>
        <x:v>7673613.639545734</x:v>
      </x:c>
      <x:c r="CI254" s="145" t="str">
        <x:f>IF(CC254&gt;1,"Inviavel","OK")</x:f>
        <x:v>OK</x:v>
      </x:c>
    </x:row>
    <x:row r="255">
      <x:c r="A255" s="142" t="n">
        <x:v>251</x:v>
      </x:c>
      <x:c r="B255" s="179" t="n">
        <x:f>EDATE(Premissas!$B$4,A255-1)</x:f>
        <x:v>54149</x:v>
      </x:c>
      <x:c r="C255" s="141" t="n">
        <x:f>IF(A255&lt;=Premissas!$B$39,Premissas!$B$42,0)</x:f>
        <x:v>7000</x:v>
      </x:c>
      <x:c r="D255" s="141" t="n">
        <x:f>Premissas!$B$54*(1+Premissas!$B$57)^INT((A255-1)/12)</x:f>
        <x:v>2244.9948305489934</x:v>
      </x:c>
      <x:c r="E255" s="141" t="n">
        <x:f>Premissas!$B$64*(1+Premissas!$B$57)^INT((A255-1)/12)</x:f>
        <x:v>2052.566702216223</x:v>
      </x:c>
      <x:c r="F255" s="141" t="n">
        <x:f>MAX(0,Premissas!$B$6*(1+Premissas!$B$66)^((A255-1)/12))</x:f>
        <x:v>673341.7168818102</x:v>
      </x:c>
      <x:c r="G255" s="141" t="n">
        <x:f>G254*(1+Premissas!$B$41)+C255</x:f>
        <x:v>8111657.0575405415</x:v>
      </x:c>
      <x:c r="H255" s="141" t="n">
        <x:f>IF($A255=Premissas!$B$48,Premissas!$B$8,0)</x:f>
        <x:v>0</x:v>
      </x:c>
      <x:c r="I255" s="141" t="n">
        <x:f>IF(AND($A255&gt;=Premissas!$B$48,$A255-Premissas!$B$48+1&lt;=Premissas!$B$13),INDEX(Financiamento!$J$6:$J$485,$A255-Premissas!$B$48+1),0)</x:f>
        <x:v>1145.4646852872845</x:v>
      </x:c>
      <x:c r="J255" s="141" t="n">
        <x:f>IF(AND(TRUE,Premissas!$B$11="Imovel",Premissas!$B$47="Moradia",$A255&lt;MAX(Premissas!$B$48,Premissas!$B$49)),$D255,0)</x:f>
        <x:v>0</x:v>
      </x:c>
      <x:c r="K255" s="141" t="n">
        <x:f>IF(AND(TRUE,Premissas!$B$11="Imovel",Premissas!$B$47="Investimento",$A255&gt;=MAX(Premissas!$B$48,Premissas!$B$49)),$E255,0)</x:f>
        <x:v>2052.566702216223</x:v>
      </x:c>
      <x:c r="L255" s="141" t="n">
        <x:f>H255+I255+J255</x:f>
        <x:v>1145.4646852872845</x:v>
      </x:c>
      <x:c r="M255" s="141" t="n">
        <x:f>K255</x:f>
        <x:v>2052.566702216223</x:v>
      </x:c>
      <x:c r="N255" s="141" t="n">
        <x:f>$C255+M255-L255</x:f>
        <x:v>7907.102016928939</x:v>
      </x:c>
      <x:c r="O255" s="141" t="n">
        <x:f>R254*(1+Premissas!$B$41)+N255</x:f>
        <x:v>6873614.08188189</x:v>
      </x:c>
      <x:c r="P255" s="141" t="n">
        <x:f>MAX(0,-O255)</x:f>
        <x:v>0</x:v>
      </x:c>
      <x:c r="Q255" s="141" t="n">
        <x:f>Q254*(1+Premissas!$B$41)+P255</x:f>
        <x:v>0</x:v>
      </x:c>
      <x:c r="R255" s="141" t="n">
        <x:f>MAX(0,O255)</x:f>
        <x:v>6873614.08188189</x:v>
      </x:c>
      <x:c r="S255" s="141" t="n">
        <x:f>IF(AND($A255&gt;=Premissas!$B$48,$A255-Premissas!$B$48+1&lt;=Premissas!$B$13),INDEX(Financiamento!$M$6:$M$485,$A255-Premissas!$B$48+1),0)</x:f>
        <x:v>64380.95238095248</x:v>
      </x:c>
      <x:c r="T255" s="141" t="n">
        <x:f>IF($A255&gt;=Premissas!$B$48,$F255,0)</x:f>
        <x:v>673341.7168818102</x:v>
      </x:c>
      <x:c r="U255" s="141" t="n">
        <x:f>R255+T255-S255</x:f>
        <x:v>7482574.846382747</x:v>
      </x:c>
      <x:c r="V255" s="141" t="n">
        <x:f>IF(Q255&gt;1,"Inviavel",U255)</x:f>
        <x:v>7482574.846382747</x:v>
      </x:c>
      <x:c r="W255" s="141" t="str">
        <x:f>IF(Q255&gt;1,"Inviavel","OK")</x:f>
        <x:v>OK</x:v>
      </x:c>
      <x:c r="X255" s="141" t="n">
        <x:f>IF($A255=Premissas!$B$48,Premissas!$B$8,0)</x:f>
        <x:v>0</x:v>
      </x:c>
      <x:c r="Y255" s="141" t="n">
        <x:f>IF(AND($A255&gt;=Premissas!$B$48,$A255-Premissas!$B$48+1&lt;=Premissas!$B$13),INDEX(Amortizacao!$K$6:$K$485,$A255-Premissas!$B$48+1),0)</x:f>
        <x:v>0</x:v>
      </x:c>
      <x:c r="Z255" s="141" t="n">
        <x:f>IF(AND(TRUE,Premissas!$B$11="Imovel",Premissas!$B$47="Moradia",$A255&lt;MAX(Premissas!$B$48,Premissas!$B$49)),$D255,0)</x:f>
        <x:v>0</x:v>
      </x:c>
      <x:c r="AA255" s="141" t="n">
        <x:f>IF(AND(TRUE,Premissas!$B$11="Imovel",Premissas!$B$47="Investimento",$A255&gt;=MAX(Premissas!$B$48,Premissas!$B$49)),$E255,0)</x:f>
        <x:v>2052.566702216223</x:v>
      </x:c>
      <x:c r="AB255" s="141" t="n">
        <x:f>X255+Y255+Z255</x:f>
        <x:v>0</x:v>
      </x:c>
      <x:c r="AC255" s="141" t="n">
        <x:f>AA255</x:f>
        <x:v>2052.566702216223</x:v>
      </x:c>
      <x:c r="AD255" s="141" t="n">
        <x:f>$C255+AC255-AB255</x:f>
        <x:v>9052.566702216223</x:v>
      </x:c>
      <x:c r="AE255" s="141" t="n">
        <x:f>AH254*(1+Premissas!$B$41)+AD255</x:f>
        <x:v>6924529.239694527</x:v>
      </x:c>
      <x:c r="AF255" s="141" t="n">
        <x:f>MAX(0,-AE255)</x:f>
        <x:v>0</x:v>
      </x:c>
      <x:c r="AG255" s="141" t="n">
        <x:f>AG254*(1+Premissas!$B$41)+AF255</x:f>
        <x:v>0</x:v>
      </x:c>
      <x:c r="AH255" s="141" t="n">
        <x:f>MAX(0,AE255)</x:f>
        <x:v>6924529.239694527</x:v>
      </x:c>
      <x:c r="AI255" s="141" t="n">
        <x:f>IF(AND($A255&gt;=Premissas!$B$48,$A255-Premissas!$B$48+1&lt;=Premissas!$B$13),INDEX(Amortizacao!$L$6:$L$485,$A255-Premissas!$B$48+1),0)</x:f>
        <x:v>0</x:v>
      </x:c>
      <x:c r="AJ255" s="141" t="n">
        <x:f>IF($A255&gt;=Premissas!$B$48,$F255,0)</x:f>
        <x:v>673341.7168818102</x:v>
      </x:c>
      <x:c r="AK255" s="141" t="n">
        <x:f>AH255+AJ255-AI255</x:f>
        <x:v>7597870.956576338</x:v>
      </x:c>
      <x:c r="AL255" s="141" t="n">
        <x:f>IF(AG255&gt;1,"Inviavel",AK255)</x:f>
        <x:v>7597870.956576338</x:v>
      </x:c>
      <x:c r="AM255" s="141" t="str">
        <x:f>IF(AG255&gt;1,"Inviavel","OK")</x:f>
        <x:v>OK</x:v>
      </x:c>
      <x:c r="AN255" s="141" t="n">
        <x:f>IF($A255=Premissas!$B$48,Premissas!$B$8,0)</x:f>
        <x:v>0</x:v>
      </x:c>
      <x:c r="AO255" s="141" t="n">
        <x:f>IF($A255&lt;=Premissas!$B$25,INDEX('Consorcio IQ'!$K$6:$K$485,$A255),0)</x:f>
        <x:v>0</x:v>
      </x:c>
      <x:c r="AP255" s="141" t="n">
        <x:f>IF(AND(TRUE,Premissas!$B$11="Imovel",Premissas!$B$47="Moradia",$A255&lt;MAX(Premissas!$B$48,Premissas!$B$49)),$D255,0)</x:f>
        <x:v>0</x:v>
      </x:c>
      <x:c r="AQ255" s="141" t="n">
        <x:f>IF(AND(TRUE,Premissas!$B$11="Imovel",Premissas!$B$47="Investimento",$A255&gt;=MAX(Premissas!$B$48,Premissas!$B$49)),$E255,0)</x:f>
        <x:v>2052.566702216223</x:v>
      </x:c>
      <x:c r="AR255" s="141" t="n">
        <x:f>AN255+AO255+AP255</x:f>
        <x:v>0</x:v>
      </x:c>
      <x:c r="AS255" s="141" t="n">
        <x:f>AQ255</x:f>
        <x:v>2052.566702216223</x:v>
      </x:c>
      <x:c r="AT255" s="141" t="n">
        <x:f>$C255+AS255-AR255</x:f>
        <x:v>9052.566702216223</x:v>
      </x:c>
      <x:c r="AU255" s="141" t="n">
        <x:f>AX254*(1+Premissas!$B$41)+AT255</x:f>
        <x:v>6863259.020474947</x:v>
      </x:c>
      <x:c r="AV255" s="141" t="n">
        <x:f>MAX(0,-AU255)</x:f>
        <x:v>0</x:v>
      </x:c>
      <x:c r="AW255" s="141" t="n">
        <x:f>AW254*(1+Premissas!$B$41)+AV255</x:f>
        <x:v>0</x:v>
      </x:c>
      <x:c r="AX255" s="141" t="n">
        <x:f>MAX(0,AU255)</x:f>
        <x:v>6863259.020474947</x:v>
      </x:c>
      <x:c r="AY255" s="141" t="n">
        <x:f>INDEX('Consorcio IQ'!$P$6:$P$485,$A255)</x:f>
        <x:v>0</x:v>
      </x:c>
      <x:c r="AZ255" s="141" t="n">
        <x:f>IF($A255&gt;=Premissas!$B$48,$F255,0)+IF($A255&lt;Premissas!$B$27,INDEX('Consorcio IQ'!$O$6:$O$485,$A255),0)</x:f>
        <x:v>673341.7168818102</x:v>
      </x:c>
      <x:c r="BA255" s="141" t="n">
        <x:f>AX255+AZ255-AY255</x:f>
        <x:v>7536600.737356758</x:v>
      </x:c>
      <x:c r="BB255" s="141" t="n">
        <x:f>IF(AW255&gt;1,"Inviavel",BA255)</x:f>
        <x:v>7536600.737356758</x:v>
      </x:c>
      <x:c r="BC255" s="141" t="str">
        <x:f>IF(AW255&gt;1,"Inviavel","OK")</x:f>
        <x:v>OK</x:v>
      </x:c>
      <x:c r="BD255" s="141" t="n">
        <x:f>IF($A255='Consorcio Direto'!$B$29,'Consorcio Direto'!$B$44,0)</x:f>
        <x:v>0</x:v>
      </x:c>
      <x:c r="BE255" s="141" t="n">
        <x:f>IF($A255&lt;='Consorcio Direto'!$B$27,INDEX('Consorcio Direto'!$E$55:$E$534,$A255),0)</x:f>
        <x:v>0</x:v>
      </x:c>
      <x:c r="BF255" s="141" t="n">
        <x:f>IF(AND(TRUE,Premissas!$B$11="Imovel",Premissas!$B$47="Moradia",$A255&lt;MAX('Consorcio Direto'!$B$29,Premissas!$B$49)),$D255,0)</x:f>
        <x:v>0</x:v>
      </x:c>
      <x:c r="BG255" s="141" t="n">
        <x:f>IF(AND(TRUE,Premissas!$B$11="Imovel",Premissas!$B$47="Investimento",$A255&gt;=MAX('Consorcio Direto'!$B$29,Premissas!$B$49)),$E255,0)</x:f>
        <x:v>2052.566702216223</x:v>
      </x:c>
      <x:c r="BH255" s="141" t="n">
        <x:f>BD255+BE255+BF255</x:f>
        <x:v>0</x:v>
      </x:c>
      <x:c r="BI255" s="141" t="n">
        <x:f>BG255</x:f>
        <x:v>2052.566702216223</x:v>
      </x:c>
      <x:c r="BJ255" s="141" t="n">
        <x:f>$C255+BI255-BH255</x:f>
        <x:v>9052.566702216223</x:v>
      </x:c>
      <x:c r="BK255" s="141" t="n">
        <x:f>BN254*(1+Premissas!$B$41)+BJ255</x:f>
        <x:v>6532130.899041747</x:v>
      </x:c>
      <x:c r="BL255" s="141" t="n">
        <x:f>MAX(0,-BK255)</x:f>
        <x:v>0</x:v>
      </x:c>
      <x:c r="BM255" s="141" t="n">
        <x:f>BM254*(1+Premissas!$B$41)+BL255</x:f>
        <x:v>0</x:v>
      </x:c>
      <x:c r="BN255" s="141" t="n">
        <x:f>MAX(0,BK255)</x:f>
        <x:v>6532130.899041747</x:v>
      </x:c>
      <x:c r="BO255" s="141" t="n">
        <x:f>INDEX('Consorcio Direto'!$K$55:$K$534,$A255)</x:f>
        <x:v>0</x:v>
      </x:c>
      <x:c r="BP255" s="141" t="n">
        <x:f>IF($A255&lt;'Consorcio Direto'!$B$29,INDEX('Consorcio Direto'!$L$55:$L$534,$A255),$F255)</x:f>
        <x:v>673341.7168818102</x:v>
      </x:c>
      <x:c r="BQ255" s="141" t="n">
        <x:f>BN255+BP255-BO255</x:f>
        <x:v>7205472.615923557</x:v>
      </x:c>
      <x:c r="BR255" s="141" t="n">
        <x:f>IF(BM255&gt;1,"Inviavel",BQ255)</x:f>
        <x:v>7205472.615923557</x:v>
      </x:c>
      <x:c r="BS255" s="141" t="str">
        <x:f>IF(BM255&gt;1,"Inviavel","OK")</x:f>
        <x:v>OK</x:v>
      </x:c>
      <x:c r="BT255" s="141" t="n">
        <x:f>IF(AND('Carta Contemplada'!$B$22="Sim",$A255='Carta Contemplada'!$B$23),'Carta Contemplada'!$B$37,0)</x:f>
        <x:v>0</x:v>
      </x:c>
      <x:c r="BU255" s="141" t="n">
        <x:f>IF('Carta Contemplada'!$B$22="Sim",INDEX('Carta Contemplada'!$C$55:$C$1013,$A255),0)</x:f>
        <x:v>0</x:v>
      </x:c>
      <x:c r="BV255" s="141" t="n">
        <x:f>IF(AND('Carta Contemplada'!$B$22="Sim",Premissas!$B$11="Imovel",Premissas!$B$47="Moradia",$A255&lt;MAX('Carta Contemplada'!$B$44,Premissas!$B$49)),$D255,0)</x:f>
        <x:v>0</x:v>
      </x:c>
      <x:c r="BW255" s="141" t="n">
        <x:f>IF(AND('Carta Contemplada'!$B$22="Sim",Premissas!$B$11="Imovel",Premissas!$B$47="Investimento",$A255&gt;=MAX('Carta Contemplada'!$B$44,Premissas!$B$49)),$E255,0)</x:f>
        <x:v>2052.566702216223</x:v>
      </x:c>
      <x:c r="BX255" s="141" t="n">
        <x:f>BT255+BU255+BV255</x:f>
        <x:v>0</x:v>
      </x:c>
      <x:c r="BY255" s="141" t="n">
        <x:f>BW255</x:f>
        <x:v>2052.566702216223</x:v>
      </x:c>
      <x:c r="BZ255" s="141" t="n">
        <x:f>$C255+BY255-BX255</x:f>
        <x:v>9052.566702216223</x:v>
      </x:c>
      <x:c r="CA255" s="141" t="n">
        <x:f>CD254*(1+Premissas!$B$41)+BZ255</x:f>
        <x:v>7079041.217849524</x:v>
      </x:c>
      <x:c r="CB255" s="141" t="n">
        <x:f>MAX(0,-CA255)</x:f>
        <x:v>0</x:v>
      </x:c>
      <x:c r="CC255" s="141" t="n">
        <x:f>CC254*(1+Premissas!$B$41)+CB255</x:f>
        <x:v>0</x:v>
      </x:c>
      <x:c r="CD255" s="141" t="n">
        <x:f>MAX(0,CA255)</x:f>
        <x:v>7079041.217849524</x:v>
      </x:c>
      <x:c r="CE255" s="141" t="n">
        <x:f>IF(AND('Carta Contemplada'!$B$22="Sim",$A255&gt;='Carta Contemplada'!$B$23),INDEX('Carta Contemplada'!$I$55:$I$1013,$A255),0)</x:f>
        <x:v>0</x:v>
      </x:c>
      <x:c r="CF255" s="141" t="n">
        <x:f>IF(AND('Carta Contemplada'!$B$22="Sim",$A255&gt;='Carta Contemplada'!$B$44),$F255,0)</x:f>
        <x:v>673341.7168818102</x:v>
      </x:c>
      <x:c r="CG255" s="141" t="n">
        <x:f>CD255+CF255-CE255</x:f>
        <x:v>7752382.934731334</x:v>
      </x:c>
      <x:c r="CH255" s="141" t="n">
        <x:f>IF(CC255&gt;1,"Inviavel",CG255)</x:f>
        <x:v>7752382.934731334</x:v>
      </x:c>
      <x:c r="CI255" s="145" t="str">
        <x:f>IF(CC255&gt;1,"Inviavel","OK")</x:f>
        <x:v>OK</x:v>
      </x:c>
    </x:row>
    <x:row r="256">
      <x:c r="A256" s="142" t="n">
        <x:v>252</x:v>
      </x:c>
      <x:c r="B256" s="179" t="n">
        <x:f>EDATE(Premissas!$B$4,A256-1)</x:f>
        <x:v>54179</x:v>
      </x:c>
      <x:c r="C256" s="141" t="n">
        <x:f>IF(A256&lt;=Premissas!$B$39,Premissas!$B$42,0)</x:f>
        <x:v>7000</x:v>
      </x:c>
      <x:c r="D256" s="141" t="n">
        <x:f>Premissas!$B$54*(1+Premissas!$B$57)^INT((A256-1)/12)</x:f>
        <x:v>2244.9948305489934</x:v>
      </x:c>
      <x:c r="E256" s="141" t="n">
        <x:f>Premissas!$B$64*(1+Premissas!$B$57)^INT((A256-1)/12)</x:f>
        <x:v>2052.566702216223</x:v>
      </x:c>
      <x:c r="F256" s="141" t="n">
        <x:f>MAX(0,Premissas!$B$6*(1+Premissas!$B$66)^((A256-1)/12))</x:f>
        <x:v>676619.2417364875</x:v>
      </x:c>
      <x:c r="G256" s="141" t="n">
        <x:f>G255*(1+Premissas!$B$41)+C256</x:f>
        <x:v>8195626.891715893</x:v>
      </x:c>
      <x:c r="H256" s="141" t="n">
        <x:f>IF($A256=Premissas!$B$48,Premissas!$B$8,0)</x:f>
        <x:v>0</x:v>
      </x:c>
      <x:c r="I256" s="141" t="n">
        <x:f>IF(AND($A256&gt;=Premissas!$B$48,$A256-Premissas!$B$48+1&lt;=Premissas!$B$13),INDEX(Financiamento!$J$6:$J$485,$A256-Premissas!$B$48+1),0)</x:f>
        <x:v>1141.849907026491</x:v>
      </x:c>
      <x:c r="J256" s="141" t="n">
        <x:f>IF(AND(TRUE,Premissas!$B$11="Imovel",Premissas!$B$47="Moradia",$A256&lt;MAX(Premissas!$B$48,Premissas!$B$49)),$D256,0)</x:f>
        <x:v>0</x:v>
      </x:c>
      <x:c r="K256" s="141" t="n">
        <x:f>IF(AND(TRUE,Premissas!$B$11="Imovel",Premissas!$B$47="Investimento",$A256&gt;=MAX(Premissas!$B$48,Premissas!$B$49)),$E256,0)</x:f>
        <x:v>2052.566702216223</x:v>
      </x:c>
      <x:c r="L256" s="141" t="n">
        <x:f>H256+I256+J256</x:f>
        <x:v>1141.849907026491</x:v>
      </x:c>
      <x:c r="M256" s="141" t="n">
        <x:f>K256</x:f>
        <x:v>2052.566702216223</x:v>
      </x:c>
      <x:c r="N256" s="141" t="n">
        <x:f>$C256+M256-L256</x:f>
        <x:v>7910.716795189732</x:v>
      </x:c>
      <x:c r="O256" s="141" t="n">
        <x:f>R255*(1+Premissas!$B$41)+N256</x:f>
        <x:v>6946747.09941229</x:v>
      </x:c>
      <x:c r="P256" s="141" t="n">
        <x:f>MAX(0,-O256)</x:f>
        <x:v>0</x:v>
      </x:c>
      <x:c r="Q256" s="141" t="n">
        <x:f>Q255*(1+Premissas!$B$41)+P256</x:f>
        <x:v>0</x:v>
      </x:c>
      <x:c r="R256" s="141" t="n">
        <x:f>MAX(0,O256)</x:f>
        <x:v>6946747.09941229</x:v>
      </x:c>
      <x:c r="S256" s="141" t="n">
        <x:f>IF(AND($A256&gt;=Premissas!$B$48,$A256-Premissas!$B$48+1&lt;=Premissas!$B$13),INDEX(Financiamento!$M$6:$M$485,$A256-Premissas!$B$48+1),0)</x:f>
        <x:v>64000.0000000001</x:v>
      </x:c>
      <x:c r="T256" s="141" t="n">
        <x:f>IF($A256&gt;=Premissas!$B$48,$F256,0)</x:f>
        <x:v>676619.2417364875</x:v>
      </x:c>
      <x:c r="U256" s="141" t="n">
        <x:f>R256+T256-S256</x:f>
        <x:v>7559366.341148778</x:v>
      </x:c>
      <x:c r="V256" s="141" t="n">
        <x:f>IF(Q256&gt;1,"Inviavel",U256)</x:f>
        <x:v>7559366.341148778</x:v>
      </x:c>
      <x:c r="W256" s="141" t="str">
        <x:f>IF(Q256&gt;1,"Inviavel","OK")</x:f>
        <x:v>OK</x:v>
      </x:c>
      <x:c r="X256" s="141" t="n">
        <x:f>IF($A256=Premissas!$B$48,Premissas!$B$8,0)</x:f>
        <x:v>0</x:v>
      </x:c>
      <x:c r="Y256" s="141" t="n">
        <x:f>IF(AND($A256&gt;=Premissas!$B$48,$A256-Premissas!$B$48+1&lt;=Premissas!$B$13),INDEX(Amortizacao!$K$6:$K$485,$A256-Premissas!$B$48+1),0)</x:f>
        <x:v>0</x:v>
      </x:c>
      <x:c r="Z256" s="141" t="n">
        <x:f>IF(AND(TRUE,Premissas!$B$11="Imovel",Premissas!$B$47="Moradia",$A256&lt;MAX(Premissas!$B$48,Premissas!$B$49)),$D256,0)</x:f>
        <x:v>0</x:v>
      </x:c>
      <x:c r="AA256" s="141" t="n">
        <x:f>IF(AND(TRUE,Premissas!$B$11="Imovel",Premissas!$B$47="Investimento",$A256&gt;=MAX(Premissas!$B$48,Premissas!$B$49)),$E256,0)</x:f>
        <x:v>2052.566702216223</x:v>
      </x:c>
      <x:c r="AB256" s="141" t="n">
        <x:f>X256+Y256+Z256</x:f>
        <x:v>0</x:v>
      </x:c>
      <x:c r="AC256" s="141" t="n">
        <x:f>AA256</x:f>
        <x:v>2052.566702216223</x:v>
      </x:c>
      <x:c r="AD256" s="141" t="n">
        <x:f>$C256+AC256-AB256</x:f>
        <x:v>9052.566702216223</x:v>
      </x:c>
      <x:c r="AE256" s="141" t="n">
        <x:f>AH255*(1+Premissas!$B$41)+AD256</x:f>
        <x:v>6999287.230521671</x:v>
      </x:c>
      <x:c r="AF256" s="141" t="n">
        <x:f>MAX(0,-AE256)</x:f>
        <x:v>0</x:v>
      </x:c>
      <x:c r="AG256" s="141" t="n">
        <x:f>AG255*(1+Premissas!$B$41)+AF256</x:f>
        <x:v>0</x:v>
      </x:c>
      <x:c r="AH256" s="141" t="n">
        <x:f>MAX(0,AE256)</x:f>
        <x:v>6999287.230521671</x:v>
      </x:c>
      <x:c r="AI256" s="141" t="n">
        <x:f>IF(AND($A256&gt;=Premissas!$B$48,$A256-Premissas!$B$48+1&lt;=Premissas!$B$13),INDEX(Amortizacao!$L$6:$L$485,$A256-Premissas!$B$48+1),0)</x:f>
        <x:v>0</x:v>
      </x:c>
      <x:c r="AJ256" s="141" t="n">
        <x:f>IF($A256&gt;=Premissas!$B$48,$F256,0)</x:f>
        <x:v>676619.2417364875</x:v>
      </x:c>
      <x:c r="AK256" s="141" t="n">
        <x:f>AH256+AJ256-AI256</x:f>
        <x:v>7675906.472258158</x:v>
      </x:c>
      <x:c r="AL256" s="141" t="n">
        <x:f>IF(AG256&gt;1,"Inviavel",AK256)</x:f>
        <x:v>7675906.472258158</x:v>
      </x:c>
      <x:c r="AM256" s="141" t="str">
        <x:f>IF(AG256&gt;1,"Inviavel","OK")</x:f>
        <x:v>OK</x:v>
      </x:c>
      <x:c r="AN256" s="141" t="n">
        <x:f>IF($A256=Premissas!$B$48,Premissas!$B$8,0)</x:f>
        <x:v>0</x:v>
      </x:c>
      <x:c r="AO256" s="141" t="n">
        <x:f>IF($A256&lt;=Premissas!$B$25,INDEX('Consorcio IQ'!$K$6:$K$485,$A256),0)</x:f>
        <x:v>0</x:v>
      </x:c>
      <x:c r="AP256" s="141" t="n">
        <x:f>IF(AND(TRUE,Premissas!$B$11="Imovel",Premissas!$B$47="Moradia",$A256&lt;MAX(Premissas!$B$48,Premissas!$B$49)),$D256,0)</x:f>
        <x:v>0</x:v>
      </x:c>
      <x:c r="AQ256" s="141" t="n">
        <x:f>IF(AND(TRUE,Premissas!$B$11="Imovel",Premissas!$B$47="Investimento",$A256&gt;=MAX(Premissas!$B$48,Premissas!$B$49)),$E256,0)</x:f>
        <x:v>2052.566702216223</x:v>
      </x:c>
      <x:c r="AR256" s="141" t="n">
        <x:f>AN256+AO256+AP256</x:f>
        <x:v>0</x:v>
      </x:c>
      <x:c r="AS256" s="141" t="n">
        <x:f>AQ256</x:f>
        <x:v>2052.566702216223</x:v>
      </x:c>
      <x:c r="AT256" s="141" t="n">
        <x:f>$C256+AS256-AR256</x:f>
        <x:v>9052.566702216223</x:v>
      </x:c>
      <x:c r="AU256" s="141" t="n">
        <x:f>AX255*(1+Premissas!$B$41)+AT256</x:f>
        <x:v>6937435.630878859</x:v>
      </x:c>
      <x:c r="AV256" s="141" t="n">
        <x:f>MAX(0,-AU256)</x:f>
        <x:v>0</x:v>
      </x:c>
      <x:c r="AW256" s="141" t="n">
        <x:f>AW255*(1+Premissas!$B$41)+AV256</x:f>
        <x:v>0</x:v>
      </x:c>
      <x:c r="AX256" s="141" t="n">
        <x:f>MAX(0,AU256)</x:f>
        <x:v>6937435.630878859</x:v>
      </x:c>
      <x:c r="AY256" s="141" t="n">
        <x:f>INDEX('Consorcio IQ'!$P$6:$P$485,$A256)</x:f>
        <x:v>0</x:v>
      </x:c>
      <x:c r="AZ256" s="141" t="n">
        <x:f>IF($A256&gt;=Premissas!$B$48,$F256,0)+IF($A256&lt;Premissas!$B$27,INDEX('Consorcio IQ'!$O$6:$O$485,$A256),0)</x:f>
        <x:v>676619.2417364875</x:v>
      </x:c>
      <x:c r="BA256" s="141" t="n">
        <x:f>AX256+AZ256-AY256</x:f>
        <x:v>7614054.872615347</x:v>
      </x:c>
      <x:c r="BB256" s="141" t="n">
        <x:f>IF(AW256&gt;1,"Inviavel",BA256)</x:f>
        <x:v>7614054.872615347</x:v>
      </x:c>
      <x:c r="BC256" s="141" t="str">
        <x:f>IF(AW256&gt;1,"Inviavel","OK")</x:f>
        <x:v>OK</x:v>
      </x:c>
      <x:c r="BD256" s="141" t="n">
        <x:f>IF($A256='Consorcio Direto'!$B$29,'Consorcio Direto'!$B$44,0)</x:f>
        <x:v>0</x:v>
      </x:c>
      <x:c r="BE256" s="141" t="n">
        <x:f>IF($A256&lt;='Consorcio Direto'!$B$27,INDEX('Consorcio Direto'!$E$55:$E$534,$A256),0)</x:f>
        <x:v>0</x:v>
      </x:c>
      <x:c r="BF256" s="141" t="n">
        <x:f>IF(AND(TRUE,Premissas!$B$11="Imovel",Premissas!$B$47="Moradia",$A256&lt;MAX('Consorcio Direto'!$B$29,Premissas!$B$49)),$D256,0)</x:f>
        <x:v>0</x:v>
      </x:c>
      <x:c r="BG256" s="141" t="n">
        <x:f>IF(AND(TRUE,Premissas!$B$11="Imovel",Premissas!$B$47="Investimento",$A256&gt;=MAX('Consorcio Direto'!$B$29,Premissas!$B$49)),$E256,0)</x:f>
        <x:v>2052.566702216223</x:v>
      </x:c>
      <x:c r="BH256" s="141" t="n">
        <x:f>BD256+BE256+BF256</x:f>
        <x:v>0</x:v>
      </x:c>
      <x:c r="BI256" s="141" t="n">
        <x:f>BG256</x:f>
        <x:v>2052.566702216223</x:v>
      </x:c>
      <x:c r="BJ256" s="141" t="n">
        <x:f>$C256+BI256-BH256</x:f>
        <x:v>9052.566702216223</x:v>
      </x:c>
      <x:c r="BK256" s="141" t="n">
        <x:f>BN255*(1+Premissas!$B$41)+BJ256</x:f>
        <x:v>6603165.503266562</x:v>
      </x:c>
      <x:c r="BL256" s="141" t="n">
        <x:f>MAX(0,-BK256)</x:f>
        <x:v>0</x:v>
      </x:c>
      <x:c r="BM256" s="141" t="n">
        <x:f>BM255*(1+Premissas!$B$41)+BL256</x:f>
        <x:v>0</x:v>
      </x:c>
      <x:c r="BN256" s="141" t="n">
        <x:f>MAX(0,BK256)</x:f>
        <x:v>6603165.503266562</x:v>
      </x:c>
      <x:c r="BO256" s="141" t="n">
        <x:f>INDEX('Consorcio Direto'!$K$55:$K$534,$A256)</x:f>
        <x:v>0</x:v>
      </x:c>
      <x:c r="BP256" s="141" t="n">
        <x:f>IF($A256&lt;'Consorcio Direto'!$B$29,INDEX('Consorcio Direto'!$L$55:$L$534,$A256),$F256)</x:f>
        <x:v>676619.2417364875</x:v>
      </x:c>
      <x:c r="BQ256" s="141" t="n">
        <x:f>BN256+BP256-BO256</x:f>
        <x:v>7279784.745003049</x:v>
      </x:c>
      <x:c r="BR256" s="141" t="n">
        <x:f>IF(BM256&gt;1,"Inviavel",BQ256)</x:f>
        <x:v>7279784.745003049</x:v>
      </x:c>
      <x:c r="BS256" s="141" t="str">
        <x:f>IF(BM256&gt;1,"Inviavel","OK")</x:f>
        <x:v>OK</x:v>
      </x:c>
      <x:c r="BT256" s="141" t="n">
        <x:f>IF(AND('Carta Contemplada'!$B$22="Sim",$A256='Carta Contemplada'!$B$23),'Carta Contemplada'!$B$37,0)</x:f>
        <x:v>0</x:v>
      </x:c>
      <x:c r="BU256" s="141" t="n">
        <x:f>IF('Carta Contemplada'!$B$22="Sim",INDEX('Carta Contemplada'!$C$55:$C$1013,$A256),0)</x:f>
        <x:v>0</x:v>
      </x:c>
      <x:c r="BV256" s="141" t="n">
        <x:f>IF(AND('Carta Contemplada'!$B$22="Sim",Premissas!$B$11="Imovel",Premissas!$B$47="Moradia",$A256&lt;MAX('Carta Contemplada'!$B$44,Premissas!$B$49)),$D256,0)</x:f>
        <x:v>0</x:v>
      </x:c>
      <x:c r="BW256" s="141" t="n">
        <x:f>IF(AND('Carta Contemplada'!$B$22="Sim",Premissas!$B$11="Imovel",Premissas!$B$47="Investimento",$A256&gt;=MAX('Carta Contemplada'!$B$44,Premissas!$B$49)),$E256,0)</x:f>
        <x:v>2052.566702216223</x:v>
      </x:c>
      <x:c r="BX256" s="141" t="n">
        <x:f>BT256+BU256+BV256</x:f>
        <x:v>0</x:v>
      </x:c>
      <x:c r="BY256" s="141" t="n">
        <x:f>BW256</x:f>
        <x:v>2052.566702216223</x:v>
      </x:c>
      <x:c r="BZ256" s="141" t="n">
        <x:f>$C256+BY256-BX256</x:f>
        <x:v>9052.566702216223</x:v>
      </x:c>
      <x:c r="CA256" s="141" t="n">
        <x:f>CD255*(1+Premissas!$B$41)+BZ256</x:f>
        <x:v>7155265.340843292</x:v>
      </x:c>
      <x:c r="CB256" s="141" t="n">
        <x:f>MAX(0,-CA256)</x:f>
        <x:v>0</x:v>
      </x:c>
      <x:c r="CC256" s="141" t="n">
        <x:f>CC255*(1+Premissas!$B$41)+CB256</x:f>
        <x:v>0</x:v>
      </x:c>
      <x:c r="CD256" s="141" t="n">
        <x:f>MAX(0,CA256)</x:f>
        <x:v>7155265.340843292</x:v>
      </x:c>
      <x:c r="CE256" s="141" t="n">
        <x:f>IF(AND('Carta Contemplada'!$B$22="Sim",$A256&gt;='Carta Contemplada'!$B$23),INDEX('Carta Contemplada'!$I$55:$I$1013,$A256),0)</x:f>
        <x:v>0</x:v>
      </x:c>
      <x:c r="CF256" s="141" t="n">
        <x:f>IF(AND('Carta Contemplada'!$B$22="Sim",$A256&gt;='Carta Contemplada'!$B$44),$F256,0)</x:f>
        <x:v>676619.2417364875</x:v>
      </x:c>
      <x:c r="CG256" s="141" t="n">
        <x:f>CD256+CF256-CE256</x:f>
        <x:v>7831884.582579779</x:v>
      </x:c>
      <x:c r="CH256" s="141" t="n">
        <x:f>IF(CC256&gt;1,"Inviavel",CG256)</x:f>
        <x:v>7831884.582579779</x:v>
      </x:c>
      <x:c r="CI256" s="145" t="str">
        <x:f>IF(CC256&gt;1,"Inviavel","OK")</x:f>
        <x:v>OK</x:v>
      </x:c>
    </x:row>
    <x:row r="257">
      <x:c r="A257" s="142" t="n">
        <x:v>253</x:v>
      </x:c>
      <x:c r="B257" s="179" t="n">
        <x:f>EDATE(Premissas!$B$4,A257-1)</x:f>
        <x:v>54210</x:v>
      </x:c>
      <x:c r="C257" s="141" t="n">
        <x:f>IF(A257&lt;=Premissas!$B$39,Premissas!$B$42,0)</x:f>
        <x:v>7000</x:v>
      </x:c>
      <x:c r="D257" s="141" t="n">
        <x:f>Premissas!$B$54*(1+Premissas!$B$57)^INT((A257-1)/12)</x:f>
        <x:v>2379.694520381933</x:v>
      </x:c>
      <x:c r="E257" s="141" t="n">
        <x:f>Premissas!$B$64*(1+Premissas!$B$57)^INT((A257-1)/12)</x:f>
        <x:v>2175.7207043491962</x:v>
      </x:c>
      <x:c r="F257" s="141" t="n">
        <x:f>MAX(0,Premissas!$B$6*(1+Premissas!$B$66)^((A257-1)/12))</x:f>
        <x:v>679912.7201091239</x:v>
      </x:c>
      <x:c r="G257" s="141" t="n">
        <x:f>G256*(1+Premissas!$B$41)+C257</x:f>
        <x:v>8280393.498260485</x:v>
      </x:c>
      <x:c r="H257" s="141" t="n">
        <x:f>IF($A257=Premissas!$B$48,Premissas!$B$8,0)</x:f>
        <x:v>0</x:v>
      </x:c>
      <x:c r="I257" s="141" t="n">
        <x:f>IF(AND($A257&gt;=Premissas!$B$48,$A257-Premissas!$B$48+1&lt;=Premissas!$B$13),INDEX(Financiamento!$J$6:$J$485,$A257-Premissas!$B$48+1),0)</x:f>
        <x:v>1138.2351287656975</x:v>
      </x:c>
      <x:c r="J257" s="141" t="n">
        <x:f>IF(AND(TRUE,Premissas!$B$11="Imovel",Premissas!$B$47="Moradia",$A257&lt;MAX(Premissas!$B$48,Premissas!$B$49)),$D257,0)</x:f>
        <x:v>0</x:v>
      </x:c>
      <x:c r="K257" s="141" t="n">
        <x:f>IF(AND(TRUE,Premissas!$B$11="Imovel",Premissas!$B$47="Investimento",$A257&gt;=MAX(Premissas!$B$48,Premissas!$B$49)),$E257,0)</x:f>
        <x:v>2175.7207043491962</x:v>
      </x:c>
      <x:c r="L257" s="141" t="n">
        <x:f>H257+I257+J257</x:f>
        <x:v>1138.2351287656975</x:v>
      </x:c>
      <x:c r="M257" s="141" t="n">
        <x:f>K257</x:f>
        <x:v>2175.7207043491962</x:v>
      </x:c>
      <x:c r="N257" s="141" t="n">
        <x:f>$C257+M257-L257</x:f>
        <x:v>8037.485575583499</x:v>
      </x:c>
      <x:c r="O257" s="141" t="n">
        <x:f>R256*(1+Premissas!$B$41)+N257</x:f>
        <x:v>7020700.829783113</x:v>
      </x:c>
      <x:c r="P257" s="141" t="n">
        <x:f>MAX(0,-O257)</x:f>
        <x:v>0</x:v>
      </x:c>
      <x:c r="Q257" s="141" t="n">
        <x:f>Q256*(1+Premissas!$B$41)+P257</x:f>
        <x:v>0</x:v>
      </x:c>
      <x:c r="R257" s="141" t="n">
        <x:f>MAX(0,O257)</x:f>
        <x:v>7020700.829783113</x:v>
      </x:c>
      <x:c r="S257" s="141" t="n">
        <x:f>IF(AND($A257&gt;=Premissas!$B$48,$A257-Premissas!$B$48+1&lt;=Premissas!$B$13),INDEX(Financiamento!$M$6:$M$485,$A257-Premissas!$B$48+1),0)</x:f>
        <x:v>63619.04761904772</x:v>
      </x:c>
      <x:c r="T257" s="141" t="n">
        <x:f>IF($A257&gt;=Premissas!$B$48,$F257,0)</x:f>
        <x:v>679912.7201091239</x:v>
      </x:c>
      <x:c r="U257" s="141" t="n">
        <x:f>R257+T257-S257</x:f>
        <x:v>7636994.502273189</x:v>
      </x:c>
      <x:c r="V257" s="141" t="n">
        <x:f>IF(Q257&gt;1,"Inviavel",U257)</x:f>
        <x:v>7636994.502273189</x:v>
      </x:c>
      <x:c r="W257" s="141" t="str">
        <x:f>IF(Q257&gt;1,"Inviavel","OK")</x:f>
        <x:v>OK</x:v>
      </x:c>
      <x:c r="X257" s="141" t="n">
        <x:f>IF($A257=Premissas!$B$48,Premissas!$B$8,0)</x:f>
        <x:v>0</x:v>
      </x:c>
      <x:c r="Y257" s="141" t="n">
        <x:f>IF(AND($A257&gt;=Premissas!$B$48,$A257-Premissas!$B$48+1&lt;=Premissas!$B$13),INDEX(Amortizacao!$K$6:$K$485,$A257-Premissas!$B$48+1),0)</x:f>
        <x:v>0</x:v>
      </x:c>
      <x:c r="Z257" s="141" t="n">
        <x:f>IF(AND(TRUE,Premissas!$B$11="Imovel",Premissas!$B$47="Moradia",$A257&lt;MAX(Premissas!$B$48,Premissas!$B$49)),$D257,0)</x:f>
        <x:v>0</x:v>
      </x:c>
      <x:c r="AA257" s="141" t="n">
        <x:f>IF(AND(TRUE,Premissas!$B$11="Imovel",Premissas!$B$47="Investimento",$A257&gt;=MAX(Premissas!$B$48,Premissas!$B$49)),$E257,0)</x:f>
        <x:v>2175.7207043491962</x:v>
      </x:c>
      <x:c r="AB257" s="141" t="n">
        <x:f>X257+Y257+Z257</x:f>
        <x:v>0</x:v>
      </x:c>
      <x:c r="AC257" s="141" t="n">
        <x:f>AA257</x:f>
        <x:v>2175.7207043491962</x:v>
      </x:c>
      <x:c r="AD257" s="141" t="n">
        <x:f>$C257+AC257-AB257</x:f>
        <x:v>9175.720704349196</x:v>
      </x:c>
      <x:c r="AE257" s="141" t="n">
        <x:f>AH256*(1+Premissas!$B$41)+AD257</x:f>
        <x:v>7074877.738446111</x:v>
      </x:c>
      <x:c r="AF257" s="141" t="n">
        <x:f>MAX(0,-AE257)</x:f>
        <x:v>0</x:v>
      </x:c>
      <x:c r="AG257" s="141" t="n">
        <x:f>AG256*(1+Premissas!$B$41)+AF257</x:f>
        <x:v>0</x:v>
      </x:c>
      <x:c r="AH257" s="141" t="n">
        <x:f>MAX(0,AE257)</x:f>
        <x:v>7074877.738446111</x:v>
      </x:c>
      <x:c r="AI257" s="141" t="n">
        <x:f>IF(AND($A257&gt;=Premissas!$B$48,$A257-Premissas!$B$48+1&lt;=Premissas!$B$13),INDEX(Amortizacao!$L$6:$L$485,$A257-Premissas!$B$48+1),0)</x:f>
        <x:v>0</x:v>
      </x:c>
      <x:c r="AJ257" s="141" t="n">
        <x:f>IF($A257&gt;=Premissas!$B$48,$F257,0)</x:f>
        <x:v>679912.7201091239</x:v>
      </x:c>
      <x:c r="AK257" s="141" t="n">
        <x:f>AH257+AJ257-AI257</x:f>
        <x:v>7754790.458555235</x:v>
      </x:c>
      <x:c r="AL257" s="141" t="n">
        <x:f>IF(AG257&gt;1,"Inviavel",AK257)</x:f>
        <x:v>7754790.458555235</x:v>
      </x:c>
      <x:c r="AM257" s="141" t="str">
        <x:f>IF(AG257&gt;1,"Inviavel","OK")</x:f>
        <x:v>OK</x:v>
      </x:c>
      <x:c r="AN257" s="141" t="n">
        <x:f>IF($A257=Premissas!$B$48,Premissas!$B$8,0)</x:f>
        <x:v>0</x:v>
      </x:c>
      <x:c r="AO257" s="141" t="n">
        <x:f>IF($A257&lt;=Premissas!$B$25,INDEX('Consorcio IQ'!$K$6:$K$485,$A257),0)</x:f>
        <x:v>0</x:v>
      </x:c>
      <x:c r="AP257" s="141" t="n">
        <x:f>IF(AND(TRUE,Premissas!$B$11="Imovel",Premissas!$B$47="Moradia",$A257&lt;MAX(Premissas!$B$48,Premissas!$B$49)),$D257,0)</x:f>
        <x:v>0</x:v>
      </x:c>
      <x:c r="AQ257" s="141" t="n">
        <x:f>IF(AND(TRUE,Premissas!$B$11="Imovel",Premissas!$B$47="Investimento",$A257&gt;=MAX(Premissas!$B$48,Premissas!$B$49)),$E257,0)</x:f>
        <x:v>2175.7207043491962</x:v>
      </x:c>
      <x:c r="AR257" s="141" t="n">
        <x:f>AN257+AO257+AP257</x:f>
        <x:v>0</x:v>
      </x:c>
      <x:c r="AS257" s="141" t="n">
        <x:f>AQ257</x:f>
        <x:v>2175.7207043491962</x:v>
      </x:c>
      <x:c r="AT257" s="141" t="n">
        <x:f>$C257+AS257-AR257</x:f>
        <x:v>9175.720704349196</x:v>
      </x:c>
      <x:c r="AU257" s="141" t="n">
        <x:f>AX256*(1+Premissas!$B$41)+AT257</x:f>
        <x:v>7012439.241781616</x:v>
      </x:c>
      <x:c r="AV257" s="141" t="n">
        <x:f>MAX(0,-AU257)</x:f>
        <x:v>0</x:v>
      </x:c>
      <x:c r="AW257" s="141" t="n">
        <x:f>AW256*(1+Premissas!$B$41)+AV257</x:f>
        <x:v>0</x:v>
      </x:c>
      <x:c r="AX257" s="141" t="n">
        <x:f>MAX(0,AU257)</x:f>
        <x:v>7012439.241781616</x:v>
      </x:c>
      <x:c r="AY257" s="141" t="n">
        <x:f>INDEX('Consorcio IQ'!$P$6:$P$485,$A257)</x:f>
        <x:v>0</x:v>
      </x:c>
      <x:c r="AZ257" s="141" t="n">
        <x:f>IF($A257&gt;=Premissas!$B$48,$F257,0)+IF($A257&lt;Premissas!$B$27,INDEX('Consorcio IQ'!$O$6:$O$485,$A257),0)</x:f>
        <x:v>679912.7201091239</x:v>
      </x:c>
      <x:c r="BA257" s="141" t="n">
        <x:f>AX257+AZ257-AY257</x:f>
        <x:v>7692351.961890739</x:v>
      </x:c>
      <x:c r="BB257" s="141" t="n">
        <x:f>IF(AW257&gt;1,"Inviavel",BA257)</x:f>
        <x:v>7692351.961890739</x:v>
      </x:c>
      <x:c r="BC257" s="141" t="str">
        <x:f>IF(AW257&gt;1,"Inviavel","OK")</x:f>
        <x:v>OK</x:v>
      </x:c>
      <x:c r="BD257" s="141" t="n">
        <x:f>IF($A257='Consorcio Direto'!$B$29,'Consorcio Direto'!$B$44,0)</x:f>
        <x:v>0</x:v>
      </x:c>
      <x:c r="BE257" s="141" t="n">
        <x:f>IF($A257&lt;='Consorcio Direto'!$B$27,INDEX('Consorcio Direto'!$E$55:$E$534,$A257),0)</x:f>
        <x:v>0</x:v>
      </x:c>
      <x:c r="BF257" s="141" t="n">
        <x:f>IF(AND(TRUE,Premissas!$B$11="Imovel",Premissas!$B$47="Moradia",$A257&lt;MAX('Consorcio Direto'!$B$29,Premissas!$B$49)),$D257,0)</x:f>
        <x:v>0</x:v>
      </x:c>
      <x:c r="BG257" s="141" t="n">
        <x:f>IF(AND(TRUE,Premissas!$B$11="Imovel",Premissas!$B$47="Investimento",$A257&gt;=MAX('Consorcio Direto'!$B$29,Premissas!$B$49)),$E257,0)</x:f>
        <x:v>2175.7207043491962</x:v>
      </x:c>
      <x:c r="BH257" s="141" t="n">
        <x:f>BD257+BE257+BF257</x:f>
        <x:v>0</x:v>
      </x:c>
      <x:c r="BI257" s="141" t="n">
        <x:f>BG257</x:f>
        <x:v>2175.7207043491962</x:v>
      </x:c>
      <x:c r="BJ257" s="141" t="n">
        <x:f>$C257+BI257-BH257</x:f>
        <x:v>9175.720704349196</x:v>
      </x:c>
      <x:c r="BK257" s="141" t="n">
        <x:f>BN256*(1+Premissas!$B$41)+BJ257</x:f>
        <x:v>6674997.294144189</x:v>
      </x:c>
      <x:c r="BL257" s="141" t="n">
        <x:f>MAX(0,-BK257)</x:f>
        <x:v>0</x:v>
      </x:c>
      <x:c r="BM257" s="141" t="n">
        <x:f>BM256*(1+Premissas!$B$41)+BL257</x:f>
        <x:v>0</x:v>
      </x:c>
      <x:c r="BN257" s="141" t="n">
        <x:f>MAX(0,BK257)</x:f>
        <x:v>6674997.294144189</x:v>
      </x:c>
      <x:c r="BO257" s="141" t="n">
        <x:f>INDEX('Consorcio Direto'!$K$55:$K$534,$A257)</x:f>
        <x:v>0</x:v>
      </x:c>
      <x:c r="BP257" s="141" t="n">
        <x:f>IF($A257&lt;'Consorcio Direto'!$B$29,INDEX('Consorcio Direto'!$L$55:$L$534,$A257),$F257)</x:f>
        <x:v>679912.7201091239</x:v>
      </x:c>
      <x:c r="BQ257" s="141" t="n">
        <x:f>BN257+BP257-BO257</x:f>
        <x:v>7354910.014253313</x:v>
      </x:c>
      <x:c r="BR257" s="141" t="n">
        <x:f>IF(BM257&gt;1,"Inviavel",BQ257)</x:f>
        <x:v>7354910.014253313</x:v>
      </x:c>
      <x:c r="BS257" s="141" t="str">
        <x:f>IF(BM257&gt;1,"Inviavel","OK")</x:f>
        <x:v>OK</x:v>
      </x:c>
      <x:c r="BT257" s="141" t="n">
        <x:f>IF(AND('Carta Contemplada'!$B$22="Sim",$A257='Carta Contemplada'!$B$23),'Carta Contemplada'!$B$37,0)</x:f>
        <x:v>0</x:v>
      </x:c>
      <x:c r="BU257" s="141" t="n">
        <x:f>IF('Carta Contemplada'!$B$22="Sim",INDEX('Carta Contemplada'!$C$55:$C$1013,$A257),0)</x:f>
        <x:v>0</x:v>
      </x:c>
      <x:c r="BV257" s="141" t="n">
        <x:f>IF(AND('Carta Contemplada'!$B$22="Sim",Premissas!$B$11="Imovel",Premissas!$B$47="Moradia",$A257&lt;MAX('Carta Contemplada'!$B$44,Premissas!$B$49)),$D257,0)</x:f>
        <x:v>0</x:v>
      </x:c>
      <x:c r="BW257" s="141" t="n">
        <x:f>IF(AND('Carta Contemplada'!$B$22="Sim",Premissas!$B$11="Imovel",Premissas!$B$47="Investimento",$A257&gt;=MAX('Carta Contemplada'!$B$44,Premissas!$B$49)),$E257,0)</x:f>
        <x:v>2175.7207043491962</x:v>
      </x:c>
      <x:c r="BX257" s="141" t="n">
        <x:f>BT257+BU257+BV257</x:f>
        <x:v>0</x:v>
      </x:c>
      <x:c r="BY257" s="141" t="n">
        <x:f>BW257</x:f>
        <x:v>2175.7207043491962</x:v>
      </x:c>
      <x:c r="BZ257" s="141" t="n">
        <x:f>$C257+BY257-BX257</x:f>
        <x:v>9175.720704349196</x:v>
      </x:c>
      <x:c r="CA257" s="141" t="n">
        <x:f>CD256*(1+Premissas!$B$41)+BZ257</x:f>
        <x:v>7232335.892758901</x:v>
      </x:c>
      <x:c r="CB257" s="141" t="n">
        <x:f>MAX(0,-CA257)</x:f>
        <x:v>0</x:v>
      </x:c>
      <x:c r="CC257" s="141" t="n">
        <x:f>CC256*(1+Premissas!$B$41)+CB257</x:f>
        <x:v>0</x:v>
      </x:c>
      <x:c r="CD257" s="141" t="n">
        <x:f>MAX(0,CA257)</x:f>
        <x:v>7232335.892758901</x:v>
      </x:c>
      <x:c r="CE257" s="141" t="n">
        <x:f>IF(AND('Carta Contemplada'!$B$22="Sim",$A257&gt;='Carta Contemplada'!$B$23),INDEX('Carta Contemplada'!$I$55:$I$1013,$A257),0)</x:f>
        <x:v>0</x:v>
      </x:c>
      <x:c r="CF257" s="141" t="n">
        <x:f>IF(AND('Carta Contemplada'!$B$22="Sim",$A257&gt;='Carta Contemplada'!$B$44),$F257,0)</x:f>
        <x:v>679912.7201091239</x:v>
      </x:c>
      <x:c r="CG257" s="141" t="n">
        <x:f>CD257+CF257-CE257</x:f>
        <x:v>7912248.612868025</x:v>
      </x:c>
      <x:c r="CH257" s="141" t="n">
        <x:f>IF(CC257&gt;1,"Inviavel",CG257)</x:f>
        <x:v>7912248.612868025</x:v>
      </x:c>
      <x:c r="CI257" s="145" t="str">
        <x:f>IF(CC257&gt;1,"Inviavel","OK")</x:f>
        <x:v>OK</x:v>
      </x:c>
    </x:row>
    <x:row r="258">
      <x:c r="A258" s="142" t="n">
        <x:v>254</x:v>
      </x:c>
      <x:c r="B258" s="179" t="n">
        <x:f>EDATE(Premissas!$B$4,A258-1)</x:f>
        <x:v>54240</x:v>
      </x:c>
      <x:c r="C258" s="141" t="n">
        <x:f>IF(A258&lt;=Premissas!$B$39,Premissas!$B$42,0)</x:f>
        <x:v>7000</x:v>
      </x:c>
      <x:c r="D258" s="141" t="n">
        <x:f>Premissas!$B$54*(1+Premissas!$B$57)^INT((A258-1)/12)</x:f>
        <x:v>2379.694520381933</x:v>
      </x:c>
      <x:c r="E258" s="141" t="n">
        <x:f>Premissas!$B$64*(1+Premissas!$B$57)^INT((A258-1)/12)</x:f>
        <x:v>2175.7207043491962</x:v>
      </x:c>
      <x:c r="F258" s="141" t="n">
        <x:f>MAX(0,Premissas!$B$6*(1+Premissas!$B$66)^((A258-1)/12))</x:f>
        <x:v>683222.2296542749</x:v>
      </x:c>
      <x:c r="G258" s="141" t="n">
        <x:f>G257*(1+Premissas!$B$41)+C258</x:f>
        <x:v>8365964.437582347</x:v>
      </x:c>
      <x:c r="H258" s="141" t="n">
        <x:f>IF($A258=Premissas!$B$48,Premissas!$B$8,0)</x:f>
        <x:v>0</x:v>
      </x:c>
      <x:c r="I258" s="141" t="n">
        <x:f>IF(AND($A258&gt;=Premissas!$B$48,$A258-Premissas!$B$48+1&lt;=Premissas!$B$13),INDEX(Financiamento!$J$6:$J$485,$A258-Premissas!$B$48+1),0)</x:f>
        <x:v>1134.6203505049039</x:v>
      </x:c>
      <x:c r="J258" s="141" t="n">
        <x:f>IF(AND(TRUE,Premissas!$B$11="Imovel",Premissas!$B$47="Moradia",$A258&lt;MAX(Premissas!$B$48,Premissas!$B$49)),$D258,0)</x:f>
        <x:v>0</x:v>
      </x:c>
      <x:c r="K258" s="141" t="n">
        <x:f>IF(AND(TRUE,Premissas!$B$11="Imovel",Premissas!$B$47="Investimento",$A258&gt;=MAX(Premissas!$B$48,Premissas!$B$49)),$E258,0)</x:f>
        <x:v>2175.7207043491962</x:v>
      </x:c>
      <x:c r="L258" s="141" t="n">
        <x:f>H258+I258+J258</x:f>
        <x:v>1134.6203505049039</x:v>
      </x:c>
      <x:c r="M258" s="141" t="n">
        <x:f>K258</x:f>
        <x:v>2175.7207043491962</x:v>
      </x:c>
      <x:c r="N258" s="141" t="n">
        <x:f>$C258+M258-L258</x:f>
        <x:v>8041.100353844293</x:v>
      </x:c>
      <x:c r="O258" s="141" t="n">
        <x:f>R257*(1+Premissas!$B$41)+N258</x:f>
        <x:v>7095359.906566424</x:v>
      </x:c>
      <x:c r="P258" s="141" t="n">
        <x:f>MAX(0,-O258)</x:f>
        <x:v>0</x:v>
      </x:c>
      <x:c r="Q258" s="141" t="n">
        <x:f>Q257*(1+Premissas!$B$41)+P258</x:f>
        <x:v>0</x:v>
      </x:c>
      <x:c r="R258" s="141" t="n">
        <x:f>MAX(0,O258)</x:f>
        <x:v>7095359.906566424</x:v>
      </x:c>
      <x:c r="S258" s="141" t="n">
        <x:f>IF(AND($A258&gt;=Premissas!$B$48,$A258-Premissas!$B$48+1&lt;=Premissas!$B$13),INDEX(Financiamento!$M$6:$M$485,$A258-Premissas!$B$48+1),0)</x:f>
        <x:v>63238.09523809534</x:v>
      </x:c>
      <x:c r="T258" s="141" t="n">
        <x:f>IF($A258&gt;=Premissas!$B$48,$F258,0)</x:f>
        <x:v>683222.2296542749</x:v>
      </x:c>
      <x:c r="U258" s="141" t="n">
        <x:f>R258+T258-S258</x:f>
        <x:v>7715344.040982604</x:v>
      </x:c>
      <x:c r="V258" s="141" t="n">
        <x:f>IF(Q258&gt;1,"Inviavel",U258)</x:f>
        <x:v>7715344.040982604</x:v>
      </x:c>
      <x:c r="W258" s="141" t="str">
        <x:f>IF(Q258&gt;1,"Inviavel","OK")</x:f>
        <x:v>OK</x:v>
      </x:c>
      <x:c r="X258" s="141" t="n">
        <x:f>IF($A258=Premissas!$B$48,Premissas!$B$8,0)</x:f>
        <x:v>0</x:v>
      </x:c>
      <x:c r="Y258" s="141" t="n">
        <x:f>IF(AND($A258&gt;=Premissas!$B$48,$A258-Premissas!$B$48+1&lt;=Premissas!$B$13),INDEX(Amortizacao!$K$6:$K$485,$A258-Premissas!$B$48+1),0)</x:f>
        <x:v>0</x:v>
      </x:c>
      <x:c r="Z258" s="141" t="n">
        <x:f>IF(AND(TRUE,Premissas!$B$11="Imovel",Premissas!$B$47="Moradia",$A258&lt;MAX(Premissas!$B$48,Premissas!$B$49)),$D258,0)</x:f>
        <x:v>0</x:v>
      </x:c>
      <x:c r="AA258" s="141" t="n">
        <x:f>IF(AND(TRUE,Premissas!$B$11="Imovel",Premissas!$B$47="Investimento",$A258&gt;=MAX(Premissas!$B$48,Premissas!$B$49)),$E258,0)</x:f>
        <x:v>2175.7207043491962</x:v>
      </x:c>
      <x:c r="AB258" s="141" t="n">
        <x:f>X258+Y258+Z258</x:f>
        <x:v>0</x:v>
      </x:c>
      <x:c r="AC258" s="141" t="n">
        <x:f>AA258</x:f>
        <x:v>2175.7207043491962</x:v>
      </x:c>
      <x:c r="AD258" s="141" t="n">
        <x:f>$C258+AC258-AB258</x:f>
        <x:v>9175.720704349196</x:v>
      </x:c>
      <x:c r="AE258" s="141" t="n">
        <x:f>AH257*(1+Premissas!$B$41)+AD258</x:f>
        <x:v>7151185.509048066</x:v>
      </x:c>
      <x:c r="AF258" s="141" t="n">
        <x:f>MAX(0,-AE258)</x:f>
        <x:v>0</x:v>
      </x:c>
      <x:c r="AG258" s="141" t="n">
        <x:f>AG257*(1+Premissas!$B$41)+AF258</x:f>
        <x:v>0</x:v>
      </x:c>
      <x:c r="AH258" s="141" t="n">
        <x:f>MAX(0,AE258)</x:f>
        <x:v>7151185.509048066</x:v>
      </x:c>
      <x:c r="AI258" s="141" t="n">
        <x:f>IF(AND($A258&gt;=Premissas!$B$48,$A258-Premissas!$B$48+1&lt;=Premissas!$B$13),INDEX(Amortizacao!$L$6:$L$485,$A258-Premissas!$B$48+1),0)</x:f>
        <x:v>0</x:v>
      </x:c>
      <x:c r="AJ258" s="141" t="n">
        <x:f>IF($A258&gt;=Premissas!$B$48,$F258,0)</x:f>
        <x:v>683222.2296542749</x:v>
      </x:c>
      <x:c r="AK258" s="141" t="n">
        <x:f>AH258+AJ258-AI258</x:f>
        <x:v>7834407.738702341</x:v>
      </x:c>
      <x:c r="AL258" s="141" t="n">
        <x:f>IF(AG258&gt;1,"Inviavel",AK258)</x:f>
        <x:v>7834407.738702341</x:v>
      </x:c>
      <x:c r="AM258" s="141" t="str">
        <x:f>IF(AG258&gt;1,"Inviavel","OK")</x:f>
        <x:v>OK</x:v>
      </x:c>
      <x:c r="AN258" s="141" t="n">
        <x:f>IF($A258=Premissas!$B$48,Premissas!$B$8,0)</x:f>
        <x:v>0</x:v>
      </x:c>
      <x:c r="AO258" s="141" t="n">
        <x:f>IF($A258&lt;=Premissas!$B$25,INDEX('Consorcio IQ'!$K$6:$K$485,$A258),0)</x:f>
        <x:v>0</x:v>
      </x:c>
      <x:c r="AP258" s="141" t="n">
        <x:f>IF(AND(TRUE,Premissas!$B$11="Imovel",Premissas!$B$47="Moradia",$A258&lt;MAX(Premissas!$B$48,Premissas!$B$49)),$D258,0)</x:f>
        <x:v>0</x:v>
      </x:c>
      <x:c r="AQ258" s="141" t="n">
        <x:f>IF(AND(TRUE,Premissas!$B$11="Imovel",Premissas!$B$47="Investimento",$A258&gt;=MAX(Premissas!$B$48,Premissas!$B$49)),$E258,0)</x:f>
        <x:v>2175.7207043491962</x:v>
      </x:c>
      <x:c r="AR258" s="141" t="n">
        <x:f>AN258+AO258+AP258</x:f>
        <x:v>0</x:v>
      </x:c>
      <x:c r="AS258" s="141" t="n">
        <x:f>AQ258</x:f>
        <x:v>2175.7207043491962</x:v>
      </x:c>
      <x:c r="AT258" s="141" t="n">
        <x:f>$C258+AS258-AR258</x:f>
        <x:v>9175.720704349196</x:v>
      </x:c>
      <x:c r="AU258" s="141" t="n">
        <x:f>AX257*(1+Premissas!$B$41)+AT258</x:f>
        <x:v>7088154.546417574</x:v>
      </x:c>
      <x:c r="AV258" s="141" t="n">
        <x:f>MAX(0,-AU258)</x:f>
        <x:v>0</x:v>
      </x:c>
      <x:c r="AW258" s="141" t="n">
        <x:f>AW257*(1+Premissas!$B$41)+AV258</x:f>
        <x:v>0</x:v>
      </x:c>
      <x:c r="AX258" s="141" t="n">
        <x:f>MAX(0,AU258)</x:f>
        <x:v>7088154.546417574</x:v>
      </x:c>
      <x:c r="AY258" s="141" t="n">
        <x:f>INDEX('Consorcio IQ'!$P$6:$P$485,$A258)</x:f>
        <x:v>0</x:v>
      </x:c>
      <x:c r="AZ258" s="141" t="n">
        <x:f>IF($A258&gt;=Premissas!$B$48,$F258,0)+IF($A258&lt;Premissas!$B$27,INDEX('Consorcio IQ'!$O$6:$O$485,$A258),0)</x:f>
        <x:v>683222.2296542749</x:v>
      </x:c>
      <x:c r="BA258" s="141" t="n">
        <x:f>AX258+AZ258-AY258</x:f>
        <x:v>7771376.776071849</x:v>
      </x:c>
      <x:c r="BB258" s="141" t="n">
        <x:f>IF(AW258&gt;1,"Inviavel",BA258)</x:f>
        <x:v>7771376.776071849</x:v>
      </x:c>
      <x:c r="BC258" s="141" t="str">
        <x:f>IF(AW258&gt;1,"Inviavel","OK")</x:f>
        <x:v>OK</x:v>
      </x:c>
      <x:c r="BD258" s="141" t="n">
        <x:f>IF($A258='Consorcio Direto'!$B$29,'Consorcio Direto'!$B$44,0)</x:f>
        <x:v>0</x:v>
      </x:c>
      <x:c r="BE258" s="141" t="n">
        <x:f>IF($A258&lt;='Consorcio Direto'!$B$27,INDEX('Consorcio Direto'!$E$55:$E$534,$A258),0)</x:f>
        <x:v>0</x:v>
      </x:c>
      <x:c r="BF258" s="141" t="n">
        <x:f>IF(AND(TRUE,Premissas!$B$11="Imovel",Premissas!$B$47="Moradia",$A258&lt;MAX('Consorcio Direto'!$B$29,Premissas!$B$49)),$D258,0)</x:f>
        <x:v>0</x:v>
      </x:c>
      <x:c r="BG258" s="141" t="n">
        <x:f>IF(AND(TRUE,Premissas!$B$11="Imovel",Premissas!$B$47="Investimento",$A258&gt;=MAX('Consorcio Direto'!$B$29,Premissas!$B$49)),$E258,0)</x:f>
        <x:v>2175.7207043491962</x:v>
      </x:c>
      <x:c r="BH258" s="141" t="n">
        <x:f>BD258+BE258+BF258</x:f>
        <x:v>0</x:v>
      </x:c>
      <x:c r="BI258" s="141" t="n">
        <x:f>BG258</x:f>
        <x:v>2175.7207043491962</x:v>
      </x:c>
      <x:c r="BJ258" s="141" t="n">
        <x:f>$C258+BI258-BH258</x:f>
        <x:v>9175.720704349196</x:v>
      </x:c>
      <x:c r="BK258" s="141" t="n">
        <x:f>BN257*(1+Premissas!$B$41)+BJ258</x:f>
        <x:v>6747510.6820115745</x:v>
      </x:c>
      <x:c r="BL258" s="141" t="n">
        <x:f>MAX(0,-BK258)</x:f>
        <x:v>0</x:v>
      </x:c>
      <x:c r="BM258" s="141" t="n">
        <x:f>BM257*(1+Premissas!$B$41)+BL258</x:f>
        <x:v>0</x:v>
      </x:c>
      <x:c r="BN258" s="141" t="n">
        <x:f>MAX(0,BK258)</x:f>
        <x:v>6747510.6820115745</x:v>
      </x:c>
      <x:c r="BO258" s="141" t="n">
        <x:f>INDEX('Consorcio Direto'!$K$55:$K$534,$A258)</x:f>
        <x:v>0</x:v>
      </x:c>
      <x:c r="BP258" s="141" t="n">
        <x:f>IF($A258&lt;'Consorcio Direto'!$B$29,INDEX('Consorcio Direto'!$L$55:$L$534,$A258),$F258)</x:f>
        <x:v>683222.2296542749</x:v>
      </x:c>
      <x:c r="BQ258" s="141" t="n">
        <x:f>BN258+BP258-BO258</x:f>
        <x:v>7430732.911665849</x:v>
      </x:c>
      <x:c r="BR258" s="141" t="n">
        <x:f>IF(BM258&gt;1,"Inviavel",BQ258)</x:f>
        <x:v>7430732.911665849</x:v>
      </x:c>
      <x:c r="BS258" s="141" t="str">
        <x:f>IF(BM258&gt;1,"Inviavel","OK")</x:f>
        <x:v>OK</x:v>
      </x:c>
      <x:c r="BT258" s="141" t="n">
        <x:f>IF(AND('Carta Contemplada'!$B$22="Sim",$A258='Carta Contemplada'!$B$23),'Carta Contemplada'!$B$37,0)</x:f>
        <x:v>0</x:v>
      </x:c>
      <x:c r="BU258" s="141" t="n">
        <x:f>IF('Carta Contemplada'!$B$22="Sim",INDEX('Carta Contemplada'!$C$55:$C$1013,$A258),0)</x:f>
        <x:v>0</x:v>
      </x:c>
      <x:c r="BV258" s="141" t="n">
        <x:f>IF(AND('Carta Contemplada'!$B$22="Sim",Premissas!$B$11="Imovel",Premissas!$B$47="Moradia",$A258&lt;MAX('Carta Contemplada'!$B$44,Premissas!$B$49)),$D258,0)</x:f>
        <x:v>0</x:v>
      </x:c>
      <x:c r="BW258" s="141" t="n">
        <x:f>IF(AND('Carta Contemplada'!$B$22="Sim",Premissas!$B$11="Imovel",Premissas!$B$47="Investimento",$A258&gt;=MAX('Carta Contemplada'!$B$44,Premissas!$B$49)),$E258,0)</x:f>
        <x:v>2175.7207043491962</x:v>
      </x:c>
      <x:c r="BX258" s="141" t="n">
        <x:f>BT258+BU258+BV258</x:f>
        <x:v>0</x:v>
      </x:c>
      <x:c r="BY258" s="141" t="n">
        <x:f>BW258</x:f>
        <x:v>2175.7207043491962</x:v>
      </x:c>
      <x:c r="BZ258" s="141" t="n">
        <x:f>$C258+BY258-BX258</x:f>
        <x:v>9175.720704349196</x:v>
      </x:c>
      <x:c r="CA258" s="141" t="n">
        <x:f>CD257*(1+Premissas!$B$41)+BZ258</x:f>
        <x:v>7310137.751182992</x:v>
      </x:c>
      <x:c r="CB258" s="141" t="n">
        <x:f>MAX(0,-CA258)</x:f>
        <x:v>0</x:v>
      </x:c>
      <x:c r="CC258" s="141" t="n">
        <x:f>CC257*(1+Premissas!$B$41)+CB258</x:f>
        <x:v>0</x:v>
      </x:c>
      <x:c r="CD258" s="141" t="n">
        <x:f>MAX(0,CA258)</x:f>
        <x:v>7310137.751182992</x:v>
      </x:c>
      <x:c r="CE258" s="141" t="n">
        <x:f>IF(AND('Carta Contemplada'!$B$22="Sim",$A258&gt;='Carta Contemplada'!$B$23),INDEX('Carta Contemplada'!$I$55:$I$1013,$A258),0)</x:f>
        <x:v>0</x:v>
      </x:c>
      <x:c r="CF258" s="141" t="n">
        <x:f>IF(AND('Carta Contemplada'!$B$22="Sim",$A258&gt;='Carta Contemplada'!$B$44),$F258,0)</x:f>
        <x:v>683222.2296542749</x:v>
      </x:c>
      <x:c r="CG258" s="141" t="n">
        <x:f>CD258+CF258-CE258</x:f>
        <x:v>7993359.980837267</x:v>
      </x:c>
      <x:c r="CH258" s="141" t="n">
        <x:f>IF(CC258&gt;1,"Inviavel",CG258)</x:f>
        <x:v>7993359.980837267</x:v>
      </x:c>
      <x:c r="CI258" s="145" t="str">
        <x:f>IF(CC258&gt;1,"Inviavel","OK")</x:f>
        <x:v>OK</x:v>
      </x:c>
    </x:row>
    <x:row r="259">
      <x:c r="A259" s="142" t="n">
        <x:v>255</x:v>
      </x:c>
      <x:c r="B259" s="179" t="n">
        <x:f>EDATE(Premissas!$B$4,A259-1)</x:f>
        <x:v>54271</x:v>
      </x:c>
      <x:c r="C259" s="141" t="n">
        <x:f>IF(A259&lt;=Premissas!$B$39,Premissas!$B$42,0)</x:f>
        <x:v>7000</x:v>
      </x:c>
      <x:c r="D259" s="141" t="n">
        <x:f>Premissas!$B$54*(1+Premissas!$B$57)^INT((A259-1)/12)</x:f>
        <x:v>2379.694520381933</x:v>
      </x:c>
      <x:c r="E259" s="141" t="n">
        <x:f>Premissas!$B$64*(1+Premissas!$B$57)^INT((A259-1)/12)</x:f>
        <x:v>2175.7207043491962</x:v>
      </x:c>
      <x:c r="F259" s="141" t="n">
        <x:f>MAX(0,Premissas!$B$6*(1+Premissas!$B$66)^((A259-1)/12))</x:f>
        <x:v>686547.8484044835</x:v>
      </x:c>
      <x:c r="G259" s="141" t="n">
        <x:f>G258*(1+Premissas!$B$41)+C259</x:f>
        <x:v>8452347.341828652</x:v>
      </x:c>
      <x:c r="H259" s="141" t="n">
        <x:f>IF($A259=Premissas!$B$48,Premissas!$B$8,0)</x:f>
        <x:v>0</x:v>
      </x:c>
      <x:c r="I259" s="141" t="n">
        <x:f>IF(AND($A259&gt;=Premissas!$B$48,$A259-Premissas!$B$48+1&lt;=Premissas!$B$13),INDEX(Financiamento!$J$6:$J$485,$A259-Premissas!$B$48+1),0)</x:f>
        <x:v>1131.0055722441102</x:v>
      </x:c>
      <x:c r="J259" s="141" t="n">
        <x:f>IF(AND(TRUE,Premissas!$B$11="Imovel",Premissas!$B$47="Moradia",$A259&lt;MAX(Premissas!$B$48,Premissas!$B$49)),$D259,0)</x:f>
        <x:v>0</x:v>
      </x:c>
      <x:c r="K259" s="141" t="n">
        <x:f>IF(AND(TRUE,Premissas!$B$11="Imovel",Premissas!$B$47="Investimento",$A259&gt;=MAX(Premissas!$B$48,Premissas!$B$49)),$E259,0)</x:f>
        <x:v>2175.7207043491962</x:v>
      </x:c>
      <x:c r="L259" s="141" t="n">
        <x:f>H259+I259+J259</x:f>
        <x:v>1131.0055722441102</x:v>
      </x:c>
      <x:c r="M259" s="141" t="n">
        <x:f>K259</x:f>
        <x:v>2175.7207043491962</x:v>
      </x:c>
      <x:c r="N259" s="141" t="n">
        <x:f>$C259+M259-L259</x:f>
        <x:v>8044.715132105086</x:v>
      </x:c>
      <x:c r="O259" s="141" t="n">
        <x:f>R258*(1+Premissas!$B$41)+N259</x:f>
        <x:v>7170731.0226482805</x:v>
      </x:c>
      <x:c r="P259" s="141" t="n">
        <x:f>MAX(0,-O259)</x:f>
        <x:v>0</x:v>
      </x:c>
      <x:c r="Q259" s="141" t="n">
        <x:f>Q258*(1+Premissas!$B$41)+P259</x:f>
        <x:v>0</x:v>
      </x:c>
      <x:c r="R259" s="141" t="n">
        <x:f>MAX(0,O259)</x:f>
        <x:v>7170731.0226482805</x:v>
      </x:c>
      <x:c r="S259" s="141" t="n">
        <x:f>IF(AND($A259&gt;=Premissas!$B$48,$A259-Premissas!$B$48+1&lt;=Premissas!$B$13),INDEX(Financiamento!$M$6:$M$485,$A259-Premissas!$B$48+1),0)</x:f>
        <x:v>62857.14285714296</x:v>
      </x:c>
      <x:c r="T259" s="141" t="n">
        <x:f>IF($A259&gt;=Premissas!$B$48,$F259,0)</x:f>
        <x:v>686547.8484044835</x:v>
      </x:c>
      <x:c r="U259" s="141" t="n">
        <x:f>R259+T259-S259</x:f>
        <x:v>7794421.728195622</x:v>
      </x:c>
      <x:c r="V259" s="141" t="n">
        <x:f>IF(Q259&gt;1,"Inviavel",U259)</x:f>
        <x:v>7794421.728195622</x:v>
      </x:c>
      <x:c r="W259" s="141" t="str">
        <x:f>IF(Q259&gt;1,"Inviavel","OK")</x:f>
        <x:v>OK</x:v>
      </x:c>
      <x:c r="X259" s="141" t="n">
        <x:f>IF($A259=Premissas!$B$48,Premissas!$B$8,0)</x:f>
        <x:v>0</x:v>
      </x:c>
      <x:c r="Y259" s="141" t="n">
        <x:f>IF(AND($A259&gt;=Premissas!$B$48,$A259-Premissas!$B$48+1&lt;=Premissas!$B$13),INDEX(Amortizacao!$K$6:$K$485,$A259-Premissas!$B$48+1),0)</x:f>
        <x:v>0</x:v>
      </x:c>
      <x:c r="Z259" s="141" t="n">
        <x:f>IF(AND(TRUE,Premissas!$B$11="Imovel",Premissas!$B$47="Moradia",$A259&lt;MAX(Premissas!$B$48,Premissas!$B$49)),$D259,0)</x:f>
        <x:v>0</x:v>
      </x:c>
      <x:c r="AA259" s="141" t="n">
        <x:f>IF(AND(TRUE,Premissas!$B$11="Imovel",Premissas!$B$47="Investimento",$A259&gt;=MAX(Premissas!$B$48,Premissas!$B$49)),$E259,0)</x:f>
        <x:v>2175.7207043491962</x:v>
      </x:c>
      <x:c r="AB259" s="141" t="n">
        <x:f>X259+Y259+Z259</x:f>
        <x:v>0</x:v>
      </x:c>
      <x:c r="AC259" s="141" t="n">
        <x:f>AA259</x:f>
        <x:v>2175.7207043491962</x:v>
      </x:c>
      <x:c r="AD259" s="141" t="n">
        <x:f>$C259+AC259-AB259</x:f>
        <x:v>9175.720704349196</x:v>
      </x:c>
      <x:c r="AE259" s="141" t="n">
        <x:f>AH258*(1+Premissas!$B$41)+AD259</x:f>
        <x:v>7228217.348284563</x:v>
      </x:c>
      <x:c r="AF259" s="141" t="n">
        <x:f>MAX(0,-AE259)</x:f>
        <x:v>0</x:v>
      </x:c>
      <x:c r="AG259" s="141" t="n">
        <x:f>AG258*(1+Premissas!$B$41)+AF259</x:f>
        <x:v>0</x:v>
      </x:c>
      <x:c r="AH259" s="141" t="n">
        <x:f>MAX(0,AE259)</x:f>
        <x:v>7228217.348284563</x:v>
      </x:c>
      <x:c r="AI259" s="141" t="n">
        <x:f>IF(AND($A259&gt;=Premissas!$B$48,$A259-Premissas!$B$48+1&lt;=Premissas!$B$13),INDEX(Amortizacao!$L$6:$L$485,$A259-Premissas!$B$48+1),0)</x:f>
        <x:v>0</x:v>
      </x:c>
      <x:c r="AJ259" s="141" t="n">
        <x:f>IF($A259&gt;=Premissas!$B$48,$F259,0)</x:f>
        <x:v>686547.8484044835</x:v>
      </x:c>
      <x:c r="AK259" s="141" t="n">
        <x:f>AH259+AJ259-AI259</x:f>
        <x:v>7914765.196689047</x:v>
      </x:c>
      <x:c r="AL259" s="141" t="n">
        <x:f>IF(AG259&gt;1,"Inviavel",AK259)</x:f>
        <x:v>7914765.196689047</x:v>
      </x:c>
      <x:c r="AM259" s="141" t="str">
        <x:f>IF(AG259&gt;1,"Inviavel","OK")</x:f>
        <x:v>OK</x:v>
      </x:c>
      <x:c r="AN259" s="141" t="n">
        <x:f>IF($A259=Premissas!$B$48,Premissas!$B$8,0)</x:f>
        <x:v>0</x:v>
      </x:c>
      <x:c r="AO259" s="141" t="n">
        <x:f>IF($A259&lt;=Premissas!$B$25,INDEX('Consorcio IQ'!$K$6:$K$485,$A259),0)</x:f>
        <x:v>0</x:v>
      </x:c>
      <x:c r="AP259" s="141" t="n">
        <x:f>IF(AND(TRUE,Premissas!$B$11="Imovel",Premissas!$B$47="Moradia",$A259&lt;MAX(Premissas!$B$48,Premissas!$B$49)),$D259,0)</x:f>
        <x:v>0</x:v>
      </x:c>
      <x:c r="AQ259" s="141" t="n">
        <x:f>IF(AND(TRUE,Premissas!$B$11="Imovel",Premissas!$B$47="Investimento",$A259&gt;=MAX(Premissas!$B$48,Premissas!$B$49)),$E259,0)</x:f>
        <x:v>2175.7207043491962</x:v>
      </x:c>
      <x:c r="AR259" s="141" t="n">
        <x:f>AN259+AO259+AP259</x:f>
        <x:v>0</x:v>
      </x:c>
      <x:c r="AS259" s="141" t="n">
        <x:f>AQ259</x:f>
        <x:v>2175.7207043491962</x:v>
      </x:c>
      <x:c r="AT259" s="141" t="n">
        <x:f>$C259+AS259-AR259</x:f>
        <x:v>9175.720704349196</x:v>
      </x:c>
      <x:c r="AU259" s="141" t="n">
        <x:f>AX258*(1+Premissas!$B$41)+AT259</x:f>
        <x:v>7164588.297901203</x:v>
      </x:c>
      <x:c r="AV259" s="141" t="n">
        <x:f>MAX(0,-AU259)</x:f>
        <x:v>0</x:v>
      </x:c>
      <x:c r="AW259" s="141" t="n">
        <x:f>AW258*(1+Premissas!$B$41)+AV259</x:f>
        <x:v>0</x:v>
      </x:c>
      <x:c r="AX259" s="141" t="n">
        <x:f>MAX(0,AU259)</x:f>
        <x:v>7164588.297901203</x:v>
      </x:c>
      <x:c r="AY259" s="141" t="n">
        <x:f>INDEX('Consorcio IQ'!$P$6:$P$485,$A259)</x:f>
        <x:v>0</x:v>
      </x:c>
      <x:c r="AZ259" s="141" t="n">
        <x:f>IF($A259&gt;=Premissas!$B$48,$F259,0)+IF($A259&lt;Premissas!$B$27,INDEX('Consorcio IQ'!$O$6:$O$485,$A259),0)</x:f>
        <x:v>686547.8484044835</x:v>
      </x:c>
      <x:c r="BA259" s="141" t="n">
        <x:f>AX259+AZ259-AY259</x:f>
        <x:v>7851136.146305687</x:v>
      </x:c>
      <x:c r="BB259" s="141" t="n">
        <x:f>IF(AW259&gt;1,"Inviavel",BA259)</x:f>
        <x:v>7851136.146305687</x:v>
      </x:c>
      <x:c r="BC259" s="141" t="str">
        <x:f>IF(AW259&gt;1,"Inviavel","OK")</x:f>
        <x:v>OK</x:v>
      </x:c>
      <x:c r="BD259" s="141" t="n">
        <x:f>IF($A259='Consorcio Direto'!$B$29,'Consorcio Direto'!$B$44,0)</x:f>
        <x:v>0</x:v>
      </x:c>
      <x:c r="BE259" s="141" t="n">
        <x:f>IF($A259&lt;='Consorcio Direto'!$B$27,INDEX('Consorcio Direto'!$E$55:$E$534,$A259),0)</x:f>
        <x:v>0</x:v>
      </x:c>
      <x:c r="BF259" s="141" t="n">
        <x:f>IF(AND(TRUE,Premissas!$B$11="Imovel",Premissas!$B$47="Moradia",$A259&lt;MAX('Consorcio Direto'!$B$29,Premissas!$B$49)),$D259,0)</x:f>
        <x:v>0</x:v>
      </x:c>
      <x:c r="BG259" s="141" t="n">
        <x:f>IF(AND(TRUE,Premissas!$B$11="Imovel",Premissas!$B$47="Investimento",$A259&gt;=MAX('Consorcio Direto'!$B$29,Premissas!$B$49)),$E259,0)</x:f>
        <x:v>2175.7207043491962</x:v>
      </x:c>
      <x:c r="BH259" s="141" t="n">
        <x:f>BD259+BE259+BF259</x:f>
        <x:v>0</x:v>
      </x:c>
      <x:c r="BI259" s="141" t="n">
        <x:f>BG259</x:f>
        <x:v>2175.7207043491962</x:v>
      </x:c>
      <x:c r="BJ259" s="141" t="n">
        <x:f>$C259+BI259-BH259</x:f>
        <x:v>9175.720704349196</x:v>
      </x:c>
      <x:c r="BK259" s="141" t="n">
        <x:f>BN258*(1+Premissas!$B$41)+BJ259</x:f>
        <x:v>6820712.134401418</x:v>
      </x:c>
      <x:c r="BL259" s="141" t="n">
        <x:f>MAX(0,-BK259)</x:f>
        <x:v>0</x:v>
      </x:c>
      <x:c r="BM259" s="141" t="n">
        <x:f>BM258*(1+Premissas!$B$41)+BL259</x:f>
        <x:v>0</x:v>
      </x:c>
      <x:c r="BN259" s="141" t="n">
        <x:f>MAX(0,BK259)</x:f>
        <x:v>6820712.134401418</x:v>
      </x:c>
      <x:c r="BO259" s="141" t="n">
        <x:f>INDEX('Consorcio Direto'!$K$55:$K$534,$A259)</x:f>
        <x:v>0</x:v>
      </x:c>
      <x:c r="BP259" s="141" t="n">
        <x:f>IF($A259&lt;'Consorcio Direto'!$B$29,INDEX('Consorcio Direto'!$L$55:$L$534,$A259),$F259)</x:f>
        <x:v>686547.8484044835</x:v>
      </x:c>
      <x:c r="BQ259" s="141" t="n">
        <x:f>BN259+BP259-BO259</x:f>
        <x:v>7507259.982805902</x:v>
      </x:c>
      <x:c r="BR259" s="141" t="n">
        <x:f>IF(BM259&gt;1,"Inviavel",BQ259)</x:f>
        <x:v>7507259.982805902</x:v>
      </x:c>
      <x:c r="BS259" s="141" t="str">
        <x:f>IF(BM259&gt;1,"Inviavel","OK")</x:f>
        <x:v>OK</x:v>
      </x:c>
      <x:c r="BT259" s="141" t="n">
        <x:f>IF(AND('Carta Contemplada'!$B$22="Sim",$A259='Carta Contemplada'!$B$23),'Carta Contemplada'!$B$37,0)</x:f>
        <x:v>0</x:v>
      </x:c>
      <x:c r="BU259" s="141" t="n">
        <x:f>IF('Carta Contemplada'!$B$22="Sim",INDEX('Carta Contemplada'!$C$55:$C$1013,$A259),0)</x:f>
        <x:v>0</x:v>
      </x:c>
      <x:c r="BV259" s="141" t="n">
        <x:f>IF(AND('Carta Contemplada'!$B$22="Sim",Premissas!$B$11="Imovel",Premissas!$B$47="Moradia",$A259&lt;MAX('Carta Contemplada'!$B$44,Premissas!$B$49)),$D259,0)</x:f>
        <x:v>0</x:v>
      </x:c>
      <x:c r="BW259" s="141" t="n">
        <x:f>IF(AND('Carta Contemplada'!$B$22="Sim",Premissas!$B$11="Imovel",Premissas!$B$47="Investimento",$A259&gt;=MAX('Carta Contemplada'!$B$44,Premissas!$B$49)),$E259,0)</x:f>
        <x:v>2175.7207043491962</x:v>
      </x:c>
      <x:c r="BX259" s="141" t="n">
        <x:f>BT259+BU259+BV259</x:f>
        <x:v>0</x:v>
      </x:c>
      <x:c r="BY259" s="141" t="n">
        <x:f>BW259</x:f>
        <x:v>2175.7207043491962</x:v>
      </x:c>
      <x:c r="BZ259" s="141" t="n">
        <x:f>$C259+BY259-BX259</x:f>
        <x:v>9175.720704349196</x:v>
      </x:c>
      <x:c r="CA259" s="141" t="n">
        <x:f>CD258*(1+Premissas!$B$41)+BZ259</x:f>
        <x:v>7388677.855331595</x:v>
      </x:c>
      <x:c r="CB259" s="141" t="n">
        <x:f>MAX(0,-CA259)</x:f>
        <x:v>0</x:v>
      </x:c>
      <x:c r="CC259" s="141" t="n">
        <x:f>CC258*(1+Premissas!$B$41)+CB259</x:f>
        <x:v>0</x:v>
      </x:c>
      <x:c r="CD259" s="141" t="n">
        <x:f>MAX(0,CA259)</x:f>
        <x:v>7388677.855331595</x:v>
      </x:c>
      <x:c r="CE259" s="141" t="n">
        <x:f>IF(AND('Carta Contemplada'!$B$22="Sim",$A259&gt;='Carta Contemplada'!$B$23),INDEX('Carta Contemplada'!$I$55:$I$1013,$A259),0)</x:f>
        <x:v>0</x:v>
      </x:c>
      <x:c r="CF259" s="141" t="n">
        <x:f>IF(AND('Carta Contemplada'!$B$22="Sim",$A259&gt;='Carta Contemplada'!$B$44),$F259,0)</x:f>
        <x:v>686547.8484044835</x:v>
      </x:c>
      <x:c r="CG259" s="141" t="n">
        <x:f>CD259+CF259-CE259</x:f>
        <x:v>8075225.703736079</x:v>
      </x:c>
      <x:c r="CH259" s="141" t="n">
        <x:f>IF(CC259&gt;1,"Inviavel",CG259)</x:f>
        <x:v>8075225.703736079</x:v>
      </x:c>
      <x:c r="CI259" s="145" t="str">
        <x:f>IF(CC259&gt;1,"Inviavel","OK")</x:f>
        <x:v>OK</x:v>
      </x:c>
    </x:row>
    <x:row r="260">
      <x:c r="A260" s="142" t="n">
        <x:v>256</x:v>
      </x:c>
      <x:c r="B260" s="179" t="n">
        <x:f>EDATE(Premissas!$B$4,A260-1)</x:f>
        <x:v>54302</x:v>
      </x:c>
      <x:c r="C260" s="141" t="n">
        <x:f>IF(A260&lt;=Premissas!$B$39,Premissas!$B$42,0)</x:f>
        <x:v>7000</x:v>
      </x:c>
      <x:c r="D260" s="141" t="n">
        <x:f>Premissas!$B$54*(1+Premissas!$B$57)^INT((A260-1)/12)</x:f>
        <x:v>2379.694520381933</x:v>
      </x:c>
      <x:c r="E260" s="141" t="n">
        <x:f>Premissas!$B$64*(1+Premissas!$B$57)^INT((A260-1)/12)</x:f>
        <x:v>2175.7207043491962</x:v>
      </x:c>
      <x:c r="F260" s="141" t="n">
        <x:f>MAX(0,Premissas!$B$6*(1+Premissas!$B$66)^((A260-1)/12))</x:f>
        <x:v>689889.6547721198</x:v>
      </x:c>
      <x:c r="G260" s="141" t="n">
        <x:f>G259*(1+Premissas!$B$41)+C260</x:f>
        <x:v>8539549.915566437</x:v>
      </x:c>
      <x:c r="H260" s="141" t="n">
        <x:f>IF($A260=Premissas!$B$48,Premissas!$B$8,0)</x:f>
        <x:v>0</x:v>
      </x:c>
      <x:c r="I260" s="141" t="n">
        <x:f>IF(AND($A260&gt;=Premissas!$B$48,$A260-Premissas!$B$48+1&lt;=Premissas!$B$13),INDEX(Financiamento!$J$6:$J$485,$A260-Premissas!$B$48+1),0)</x:f>
        <x:v>1127.3907939833168</x:v>
      </x:c>
      <x:c r="J260" s="141" t="n">
        <x:f>IF(AND(TRUE,Premissas!$B$11="Imovel",Premissas!$B$47="Moradia",$A260&lt;MAX(Premissas!$B$48,Premissas!$B$49)),$D260,0)</x:f>
        <x:v>0</x:v>
      </x:c>
      <x:c r="K260" s="141" t="n">
        <x:f>IF(AND(TRUE,Premissas!$B$11="Imovel",Premissas!$B$47="Investimento",$A260&gt;=MAX(Premissas!$B$48,Premissas!$B$49)),$E260,0)</x:f>
        <x:v>2175.7207043491962</x:v>
      </x:c>
      <x:c r="L260" s="141" t="n">
        <x:f>H260+I260+J260</x:f>
        <x:v>1127.3907939833168</x:v>
      </x:c>
      <x:c r="M260" s="141" t="n">
        <x:f>K260</x:f>
        <x:v>2175.7207043491962</x:v>
      </x:c>
      <x:c r="N260" s="141" t="n">
        <x:f>$C260+M260-L260</x:f>
        <x:v>8048.329910365879</x:v>
      </x:c>
      <x:c r="O260" s="141" t="n">
        <x:f>R259*(1+Premissas!$B$41)+N260</x:f>
        <x:v>7246820.9344221465</x:v>
      </x:c>
      <x:c r="P260" s="141" t="n">
        <x:f>MAX(0,-O260)</x:f>
        <x:v>0</x:v>
      </x:c>
      <x:c r="Q260" s="141" t="n">
        <x:f>Q259*(1+Premissas!$B$41)+P260</x:f>
        <x:v>0</x:v>
      </x:c>
      <x:c r="R260" s="141" t="n">
        <x:f>MAX(0,O260)</x:f>
        <x:v>7246820.9344221465</x:v>
      </x:c>
      <x:c r="S260" s="141" t="n">
        <x:f>IF(AND($A260&gt;=Premissas!$B$48,$A260-Premissas!$B$48+1&lt;=Premissas!$B$13),INDEX(Financiamento!$M$6:$M$485,$A260-Premissas!$B$48+1),0)</x:f>
        <x:v>62476.190476190575</x:v>
      </x:c>
      <x:c r="T260" s="141" t="n">
        <x:f>IF($A260&gt;=Premissas!$B$48,$F260,0)</x:f>
        <x:v>689889.6547721198</x:v>
      </x:c>
      <x:c r="U260" s="141" t="n">
        <x:f>R260+T260-S260</x:f>
        <x:v>7874234.398718076</x:v>
      </x:c>
      <x:c r="V260" s="141" t="n">
        <x:f>IF(Q260&gt;1,"Inviavel",U260)</x:f>
        <x:v>7874234.398718076</x:v>
      </x:c>
      <x:c r="W260" s="141" t="str">
        <x:f>IF(Q260&gt;1,"Inviavel","OK")</x:f>
        <x:v>OK</x:v>
      </x:c>
      <x:c r="X260" s="141" t="n">
        <x:f>IF($A260=Premissas!$B$48,Premissas!$B$8,0)</x:f>
        <x:v>0</x:v>
      </x:c>
      <x:c r="Y260" s="141" t="n">
        <x:f>IF(AND($A260&gt;=Premissas!$B$48,$A260-Premissas!$B$48+1&lt;=Premissas!$B$13),INDEX(Amortizacao!$K$6:$K$485,$A260-Premissas!$B$48+1),0)</x:f>
        <x:v>0</x:v>
      </x:c>
      <x:c r="Z260" s="141" t="n">
        <x:f>IF(AND(TRUE,Premissas!$B$11="Imovel",Premissas!$B$47="Moradia",$A260&lt;MAX(Premissas!$B$48,Premissas!$B$49)),$D260,0)</x:f>
        <x:v>0</x:v>
      </x:c>
      <x:c r="AA260" s="141" t="n">
        <x:f>IF(AND(TRUE,Premissas!$B$11="Imovel",Premissas!$B$47="Investimento",$A260&gt;=MAX(Premissas!$B$48,Premissas!$B$49)),$E260,0)</x:f>
        <x:v>2175.7207043491962</x:v>
      </x:c>
      <x:c r="AB260" s="141" t="n">
        <x:f>X260+Y260+Z260</x:f>
        <x:v>0</x:v>
      </x:c>
      <x:c r="AC260" s="141" t="n">
        <x:f>AA260</x:f>
        <x:v>2175.7207043491962</x:v>
      </x:c>
      <x:c r="AD260" s="141" t="n">
        <x:f>$C260+AC260-AB260</x:f>
        <x:v>9175.720704349196</x:v>
      </x:c>
      <x:c r="AE260" s="141" t="n">
        <x:f>AH259*(1+Premissas!$B$41)+AD260</x:f>
        <x:v>7305980.126692945</x:v>
      </x:c>
      <x:c r="AF260" s="141" t="n">
        <x:f>MAX(0,-AE260)</x:f>
        <x:v>0</x:v>
      </x:c>
      <x:c r="AG260" s="141" t="n">
        <x:f>AG259*(1+Premissas!$B$41)+AF260</x:f>
        <x:v>0</x:v>
      </x:c>
      <x:c r="AH260" s="141" t="n">
        <x:f>MAX(0,AE260)</x:f>
        <x:v>7305980.126692945</x:v>
      </x:c>
      <x:c r="AI260" s="141" t="n">
        <x:f>IF(AND($A260&gt;=Premissas!$B$48,$A260-Premissas!$B$48+1&lt;=Premissas!$B$13),INDEX(Amortizacao!$L$6:$L$485,$A260-Premissas!$B$48+1),0)</x:f>
        <x:v>0</x:v>
      </x:c>
      <x:c r="AJ260" s="141" t="n">
        <x:f>IF($A260&gt;=Premissas!$B$48,$F260,0)</x:f>
        <x:v>689889.6547721198</x:v>
      </x:c>
      <x:c r="AK260" s="141" t="n">
        <x:f>AH260+AJ260-AI260</x:f>
        <x:v>7995869.781465065</x:v>
      </x:c>
      <x:c r="AL260" s="141" t="n">
        <x:f>IF(AG260&gt;1,"Inviavel",AK260)</x:f>
        <x:v>7995869.781465065</x:v>
      </x:c>
      <x:c r="AM260" s="141" t="str">
        <x:f>IF(AG260&gt;1,"Inviavel","OK")</x:f>
        <x:v>OK</x:v>
      </x:c>
      <x:c r="AN260" s="141" t="n">
        <x:f>IF($A260=Premissas!$B$48,Premissas!$B$8,0)</x:f>
        <x:v>0</x:v>
      </x:c>
      <x:c r="AO260" s="141" t="n">
        <x:f>IF($A260&lt;=Premissas!$B$25,INDEX('Consorcio IQ'!$K$6:$K$485,$A260),0)</x:f>
        <x:v>0</x:v>
      </x:c>
      <x:c r="AP260" s="141" t="n">
        <x:f>IF(AND(TRUE,Premissas!$B$11="Imovel",Premissas!$B$47="Moradia",$A260&lt;MAX(Premissas!$B$48,Premissas!$B$49)),$D260,0)</x:f>
        <x:v>0</x:v>
      </x:c>
      <x:c r="AQ260" s="141" t="n">
        <x:f>IF(AND(TRUE,Premissas!$B$11="Imovel",Premissas!$B$47="Investimento",$A260&gt;=MAX(Premissas!$B$48,Premissas!$B$49)),$E260,0)</x:f>
        <x:v>2175.7207043491962</x:v>
      </x:c>
      <x:c r="AR260" s="141" t="n">
        <x:f>AN260+AO260+AP260</x:f>
        <x:v>0</x:v>
      </x:c>
      <x:c r="AS260" s="141" t="n">
        <x:f>AQ260</x:f>
        <x:v>2175.7207043491962</x:v>
      </x:c>
      <x:c r="AT260" s="141" t="n">
        <x:f>$C260+AS260-AR260</x:f>
        <x:v>9175.720704349196</x:v>
      </x:c>
      <x:c r="AU260" s="141" t="n">
        <x:f>AX259*(1+Premissas!$B$41)+AT260</x:f>
        <x:v>7241747.313425873</x:v>
      </x:c>
      <x:c r="AV260" s="141" t="n">
        <x:f>MAX(0,-AU260)</x:f>
        <x:v>0</x:v>
      </x:c>
      <x:c r="AW260" s="141" t="n">
        <x:f>AW259*(1+Premissas!$B$41)+AV260</x:f>
        <x:v>0</x:v>
      </x:c>
      <x:c r="AX260" s="141" t="n">
        <x:f>MAX(0,AU260)</x:f>
        <x:v>7241747.313425873</x:v>
      </x:c>
      <x:c r="AY260" s="141" t="n">
        <x:f>INDEX('Consorcio IQ'!$P$6:$P$485,$A260)</x:f>
        <x:v>0</x:v>
      </x:c>
      <x:c r="AZ260" s="141" t="n">
        <x:f>IF($A260&gt;=Premissas!$B$48,$F260,0)+IF($A260&lt;Premissas!$B$27,INDEX('Consorcio IQ'!$O$6:$O$485,$A260),0)</x:f>
        <x:v>689889.6547721198</x:v>
      </x:c>
      <x:c r="BA260" s="141" t="n">
        <x:f>AX260+AZ260-AY260</x:f>
        <x:v>7931636.968197993</x:v>
      </x:c>
      <x:c r="BB260" s="141" t="n">
        <x:f>IF(AW260&gt;1,"Inviavel",BA260)</x:f>
        <x:v>7931636.968197993</x:v>
      </x:c>
      <x:c r="BC260" s="141" t="str">
        <x:f>IF(AW260&gt;1,"Inviavel","OK")</x:f>
        <x:v>OK</x:v>
      </x:c>
      <x:c r="BD260" s="141" t="n">
        <x:f>IF($A260='Consorcio Direto'!$B$29,'Consorcio Direto'!$B$44,0)</x:f>
        <x:v>0</x:v>
      </x:c>
      <x:c r="BE260" s="141" t="n">
        <x:f>IF($A260&lt;='Consorcio Direto'!$B$27,INDEX('Consorcio Direto'!$E$55:$E$534,$A260),0)</x:f>
        <x:v>0</x:v>
      </x:c>
      <x:c r="BF260" s="141" t="n">
        <x:f>IF(AND(TRUE,Premissas!$B$11="Imovel",Premissas!$B$47="Moradia",$A260&lt;MAX('Consorcio Direto'!$B$29,Premissas!$B$49)),$D260,0)</x:f>
        <x:v>0</x:v>
      </x:c>
      <x:c r="BG260" s="141" t="n">
        <x:f>IF(AND(TRUE,Premissas!$B$11="Imovel",Premissas!$B$47="Investimento",$A260&gt;=MAX('Consorcio Direto'!$B$29,Premissas!$B$49)),$E260,0)</x:f>
        <x:v>2175.7207043491962</x:v>
      </x:c>
      <x:c r="BH260" s="141" t="n">
        <x:f>BD260+BE260+BF260</x:f>
        <x:v>0</x:v>
      </x:c>
      <x:c r="BI260" s="141" t="n">
        <x:f>BG260</x:f>
        <x:v>2175.7207043491962</x:v>
      </x:c>
      <x:c r="BJ260" s="141" t="n">
        <x:f>$C260+BI260-BH260</x:f>
        <x:v>9175.720704349196</x:v>
      </x:c>
      <x:c r="BK260" s="141" t="n">
        <x:f>BN259*(1+Premissas!$B$41)+BJ260</x:f>
        <x:v>6894608.1802155</x:v>
      </x:c>
      <x:c r="BL260" s="141" t="n">
        <x:f>MAX(0,-BK260)</x:f>
        <x:v>0</x:v>
      </x:c>
      <x:c r="BM260" s="141" t="n">
        <x:f>BM259*(1+Premissas!$B$41)+BL260</x:f>
        <x:v>0</x:v>
      </x:c>
      <x:c r="BN260" s="141" t="n">
        <x:f>MAX(0,BK260)</x:f>
        <x:v>6894608.1802155</x:v>
      </x:c>
      <x:c r="BO260" s="141" t="n">
        <x:f>INDEX('Consorcio Direto'!$K$55:$K$534,$A260)</x:f>
        <x:v>0</x:v>
      </x:c>
      <x:c r="BP260" s="141" t="n">
        <x:f>IF($A260&lt;'Consorcio Direto'!$B$29,INDEX('Consorcio Direto'!$L$55:$L$534,$A260),$F260)</x:f>
        <x:v>689889.6547721198</x:v>
      </x:c>
      <x:c r="BQ260" s="141" t="n">
        <x:f>BN260+BP260-BO260</x:f>
        <x:v>7584497.83498762</x:v>
      </x:c>
      <x:c r="BR260" s="141" t="n">
        <x:f>IF(BM260&gt;1,"Inviavel",BQ260)</x:f>
        <x:v>7584497.83498762</x:v>
      </x:c>
      <x:c r="BS260" s="141" t="str">
        <x:f>IF(BM260&gt;1,"Inviavel","OK")</x:f>
        <x:v>OK</x:v>
      </x:c>
      <x:c r="BT260" s="141" t="n">
        <x:f>IF(AND('Carta Contemplada'!$B$22="Sim",$A260='Carta Contemplada'!$B$23),'Carta Contemplada'!$B$37,0)</x:f>
        <x:v>0</x:v>
      </x:c>
      <x:c r="BU260" s="141" t="n">
        <x:f>IF('Carta Contemplada'!$B$22="Sim",INDEX('Carta Contemplada'!$C$55:$C$1013,$A260),0)</x:f>
        <x:v>0</x:v>
      </x:c>
      <x:c r="BV260" s="141" t="n">
        <x:f>IF(AND('Carta Contemplada'!$B$22="Sim",Premissas!$B$11="Imovel",Premissas!$B$47="Moradia",$A260&lt;MAX('Carta Contemplada'!$B$44,Premissas!$B$49)),$D260,0)</x:f>
        <x:v>0</x:v>
      </x:c>
      <x:c r="BW260" s="141" t="n">
        <x:f>IF(AND('Carta Contemplada'!$B$22="Sim",Premissas!$B$11="Imovel",Premissas!$B$47="Investimento",$A260&gt;=MAX('Carta Contemplada'!$B$44,Premissas!$B$49)),$E260,0)</x:f>
        <x:v>2175.7207043491962</x:v>
      </x:c>
      <x:c r="BX260" s="141" t="n">
        <x:f>BT260+BU260+BV260</x:f>
        <x:v>0</x:v>
      </x:c>
      <x:c r="BY260" s="141" t="n">
        <x:f>BW260</x:f>
        <x:v>2175.7207043491962</x:v>
      </x:c>
      <x:c r="BZ260" s="141" t="n">
        <x:f>$C260+BY260-BX260</x:f>
        <x:v>9175.720704349196</x:v>
      </x:c>
      <x:c r="CA260" s="141" t="n">
        <x:f>CD259*(1+Premissas!$B$41)+BZ260</x:f>
        <x:v>7467963.210265525</x:v>
      </x:c>
      <x:c r="CB260" s="141" t="n">
        <x:f>MAX(0,-CA260)</x:f>
        <x:v>0</x:v>
      </x:c>
      <x:c r="CC260" s="141" t="n">
        <x:f>CC259*(1+Premissas!$B$41)+CB260</x:f>
        <x:v>0</x:v>
      </x:c>
      <x:c r="CD260" s="141" t="n">
        <x:f>MAX(0,CA260)</x:f>
        <x:v>7467963.210265525</x:v>
      </x:c>
      <x:c r="CE260" s="141" t="n">
        <x:f>IF(AND('Carta Contemplada'!$B$22="Sim",$A260&gt;='Carta Contemplada'!$B$23),INDEX('Carta Contemplada'!$I$55:$I$1013,$A260),0)</x:f>
        <x:v>0</x:v>
      </x:c>
      <x:c r="CF260" s="141" t="n">
        <x:f>IF(AND('Carta Contemplada'!$B$22="Sim",$A260&gt;='Carta Contemplada'!$B$44),$F260,0)</x:f>
        <x:v>689889.6547721198</x:v>
      </x:c>
      <x:c r="CG260" s="141" t="n">
        <x:f>CD260+CF260-CE260</x:f>
        <x:v>8157852.865037644</x:v>
      </x:c>
      <x:c r="CH260" s="141" t="n">
        <x:f>IF(CC260&gt;1,"Inviavel",CG260)</x:f>
        <x:v>8157852.865037644</x:v>
      </x:c>
      <x:c r="CI260" s="145" t="str">
        <x:f>IF(CC260&gt;1,"Inviavel","OK")</x:f>
        <x:v>OK</x:v>
      </x:c>
    </x:row>
    <x:row r="261">
      <x:c r="A261" s="142" t="n">
        <x:v>257</x:v>
      </x:c>
      <x:c r="B261" s="179" t="n">
        <x:f>EDATE(Premissas!$B$4,A261-1)</x:f>
        <x:v>54332</x:v>
      </x:c>
      <x:c r="C261" s="141" t="n">
        <x:f>IF(A261&lt;=Premissas!$B$39,Premissas!$B$42,0)</x:f>
        <x:v>7000</x:v>
      </x:c>
      <x:c r="D261" s="141" t="n">
        <x:f>Premissas!$B$54*(1+Premissas!$B$57)^INT((A261-1)/12)</x:f>
        <x:v>2379.694520381933</x:v>
      </x:c>
      <x:c r="E261" s="141" t="n">
        <x:f>Premissas!$B$64*(1+Premissas!$B$57)^INT((A261-1)/12)</x:f>
        <x:v>2175.7207043491962</x:v>
      </x:c>
      <x:c r="F261" s="141" t="n">
        <x:f>MAX(0,Premissas!$B$6*(1+Premissas!$B$66)^((A261-1)/12))</x:f>
        <x:v>693247.72755123</x:v>
      </x:c>
      <x:c r="G261" s="141" t="n">
        <x:f>G260*(1+Premissas!$B$41)+C261</x:f>
        <x:v>8627579.936469782</x:v>
      </x:c>
      <x:c r="H261" s="141" t="n">
        <x:f>IF($A261=Premissas!$B$48,Premissas!$B$8,0)</x:f>
        <x:v>0</x:v>
      </x:c>
      <x:c r="I261" s="141" t="n">
        <x:f>IF(AND($A261&gt;=Premissas!$B$48,$A261-Premissas!$B$48+1&lt;=Premissas!$B$13),INDEX(Financiamento!$J$6:$J$485,$A261-Premissas!$B$48+1),0)</x:f>
        <x:v>1123.7760157225232</x:v>
      </x:c>
      <x:c r="J261" s="141" t="n">
        <x:f>IF(AND(TRUE,Premissas!$B$11="Imovel",Premissas!$B$47="Moradia",$A261&lt;MAX(Premissas!$B$48,Premissas!$B$49)),$D261,0)</x:f>
        <x:v>0</x:v>
      </x:c>
      <x:c r="K261" s="141" t="n">
        <x:f>IF(AND(TRUE,Premissas!$B$11="Imovel",Premissas!$B$47="Investimento",$A261&gt;=MAX(Premissas!$B$48,Premissas!$B$49)),$E261,0)</x:f>
        <x:v>2175.7207043491962</x:v>
      </x:c>
      <x:c r="L261" s="141" t="n">
        <x:f>H261+I261+J261</x:f>
        <x:v>1123.7760157225232</x:v>
      </x:c>
      <x:c r="M261" s="141" t="n">
        <x:f>K261</x:f>
        <x:v>2175.7207043491962</x:v>
      </x:c>
      <x:c r="N261" s="141" t="n">
        <x:f>$C261+M261-L261</x:f>
        <x:v>8051.944688626673</x:v>
      </x:c>
      <x:c r="O261" s="141" t="n">
        <x:f>R260*(1+Premissas!$B$41)+N261</x:f>
        <x:v>7323636.462391507</x:v>
      </x:c>
      <x:c r="P261" s="141" t="n">
        <x:f>MAX(0,-O261)</x:f>
        <x:v>0</x:v>
      </x:c>
      <x:c r="Q261" s="141" t="n">
        <x:f>Q260*(1+Premissas!$B$41)+P261</x:f>
        <x:v>0</x:v>
      </x:c>
      <x:c r="R261" s="141" t="n">
        <x:f>MAX(0,O261)</x:f>
        <x:v>7323636.462391507</x:v>
      </x:c>
      <x:c r="S261" s="141" t="n">
        <x:f>IF(AND($A261&gt;=Premissas!$B$48,$A261-Premissas!$B$48+1&lt;=Premissas!$B$13),INDEX(Financiamento!$M$6:$M$485,$A261-Premissas!$B$48+1),0)</x:f>
        <x:v>62095.23809523819</x:v>
      </x:c>
      <x:c r="T261" s="141" t="n">
        <x:f>IF($A261&gt;=Premissas!$B$48,$F261,0)</x:f>
        <x:v>693247.72755123</x:v>
      </x:c>
      <x:c r="U261" s="141" t="n">
        <x:f>R261+T261-S261</x:f>
        <x:v>7954788.951847499</x:v>
      </x:c>
      <x:c r="V261" s="141" t="n">
        <x:f>IF(Q261&gt;1,"Inviavel",U261)</x:f>
        <x:v>7954788.951847499</x:v>
      </x:c>
      <x:c r="W261" s="141" t="str">
        <x:f>IF(Q261&gt;1,"Inviavel","OK")</x:f>
        <x:v>OK</x:v>
      </x:c>
      <x:c r="X261" s="141" t="n">
        <x:f>IF($A261=Premissas!$B$48,Premissas!$B$8,0)</x:f>
        <x:v>0</x:v>
      </x:c>
      <x:c r="Y261" s="141" t="n">
        <x:f>IF(AND($A261&gt;=Premissas!$B$48,$A261-Premissas!$B$48+1&lt;=Premissas!$B$13),INDEX(Amortizacao!$K$6:$K$485,$A261-Premissas!$B$48+1),0)</x:f>
        <x:v>0</x:v>
      </x:c>
      <x:c r="Z261" s="141" t="n">
        <x:f>IF(AND(TRUE,Premissas!$B$11="Imovel",Premissas!$B$47="Moradia",$A261&lt;MAX(Premissas!$B$48,Premissas!$B$49)),$D261,0)</x:f>
        <x:v>0</x:v>
      </x:c>
      <x:c r="AA261" s="141" t="n">
        <x:f>IF(AND(TRUE,Premissas!$B$11="Imovel",Premissas!$B$47="Investimento",$A261&gt;=MAX(Premissas!$B$48,Premissas!$B$49)),$E261,0)</x:f>
        <x:v>2175.7207043491962</x:v>
      </x:c>
      <x:c r="AB261" s="141" t="n">
        <x:f>X261+Y261+Z261</x:f>
        <x:v>0</x:v>
      </x:c>
      <x:c r="AC261" s="141" t="n">
        <x:f>AA261</x:f>
        <x:v>2175.7207043491962</x:v>
      </x:c>
      <x:c r="AD261" s="141" t="n">
        <x:f>$C261+AC261-AB261</x:f>
        <x:v>9175.720704349196</x:v>
      </x:c>
      <x:c r="AE261" s="141" t="n">
        <x:f>AH260*(1+Premissas!$B$41)+AD261</x:f>
        <x:v>7384480.780003662</x:v>
      </x:c>
      <x:c r="AF261" s="141" t="n">
        <x:f>MAX(0,-AE261)</x:f>
        <x:v>0</x:v>
      </x:c>
      <x:c r="AG261" s="141" t="n">
        <x:f>AG260*(1+Premissas!$B$41)+AF261</x:f>
        <x:v>0</x:v>
      </x:c>
      <x:c r="AH261" s="141" t="n">
        <x:f>MAX(0,AE261)</x:f>
        <x:v>7384480.780003662</x:v>
      </x:c>
      <x:c r="AI261" s="141" t="n">
        <x:f>IF(AND($A261&gt;=Premissas!$B$48,$A261-Premissas!$B$48+1&lt;=Premissas!$B$13),INDEX(Amortizacao!$L$6:$L$485,$A261-Premissas!$B$48+1),0)</x:f>
        <x:v>0</x:v>
      </x:c>
      <x:c r="AJ261" s="141" t="n">
        <x:f>IF($A261&gt;=Premissas!$B$48,$F261,0)</x:f>
        <x:v>693247.72755123</x:v>
      </x:c>
      <x:c r="AK261" s="141" t="n">
        <x:f>AH261+AJ261-AI261</x:f>
        <x:v>8077728.507554892</x:v>
      </x:c>
      <x:c r="AL261" s="141" t="n">
        <x:f>IF(AG261&gt;1,"Inviavel",AK261)</x:f>
        <x:v>8077728.507554892</x:v>
      </x:c>
      <x:c r="AM261" s="141" t="str">
        <x:f>IF(AG261&gt;1,"Inviavel","OK")</x:f>
        <x:v>OK</x:v>
      </x:c>
      <x:c r="AN261" s="141" t="n">
        <x:f>IF($A261=Premissas!$B$48,Premissas!$B$8,0)</x:f>
        <x:v>0</x:v>
      </x:c>
      <x:c r="AO261" s="141" t="n">
        <x:f>IF($A261&lt;=Premissas!$B$25,INDEX('Consorcio IQ'!$K$6:$K$485,$A261),0)</x:f>
        <x:v>0</x:v>
      </x:c>
      <x:c r="AP261" s="141" t="n">
        <x:f>IF(AND(TRUE,Premissas!$B$11="Imovel",Premissas!$B$47="Moradia",$A261&lt;MAX(Premissas!$B$48,Premissas!$B$49)),$D261,0)</x:f>
        <x:v>0</x:v>
      </x:c>
      <x:c r="AQ261" s="141" t="n">
        <x:f>IF(AND(TRUE,Premissas!$B$11="Imovel",Premissas!$B$47="Investimento",$A261&gt;=MAX(Premissas!$B$48,Premissas!$B$49)),$E261,0)</x:f>
        <x:v>2175.7207043491962</x:v>
      </x:c>
      <x:c r="AR261" s="141" t="n">
        <x:f>AN261+AO261+AP261</x:f>
        <x:v>0</x:v>
      </x:c>
      <x:c r="AS261" s="141" t="n">
        <x:f>AQ261</x:f>
        <x:v>2175.7207043491962</x:v>
      </x:c>
      <x:c r="AT261" s="141" t="n">
        <x:f>$C261+AS261-AR261</x:f>
        <x:v>9175.720704349196</x:v>
      </x:c>
      <x:c r="AU261" s="141" t="n">
        <x:f>AX260*(1+Premissas!$B$41)+AT261</x:f>
        <x:v>7319638.474871893</x:v>
      </x:c>
      <x:c r="AV261" s="141" t="n">
        <x:f>MAX(0,-AU261)</x:f>
        <x:v>0</x:v>
      </x:c>
      <x:c r="AW261" s="141" t="n">
        <x:f>AW260*(1+Premissas!$B$41)+AV261</x:f>
        <x:v>0</x:v>
      </x:c>
      <x:c r="AX261" s="141" t="n">
        <x:f>MAX(0,AU261)</x:f>
        <x:v>7319638.474871893</x:v>
      </x:c>
      <x:c r="AY261" s="141" t="n">
        <x:f>INDEX('Consorcio IQ'!$P$6:$P$485,$A261)</x:f>
        <x:v>0</x:v>
      </x:c>
      <x:c r="AZ261" s="141" t="n">
        <x:f>IF($A261&gt;=Premissas!$B$48,$F261,0)+IF($A261&lt;Premissas!$B$27,INDEX('Consorcio IQ'!$O$6:$O$485,$A261),0)</x:f>
        <x:v>693247.72755123</x:v>
      </x:c>
      <x:c r="BA261" s="141" t="n">
        <x:f>AX261+AZ261-AY261</x:f>
        <x:v>8012886.202423124</x:v>
      </x:c>
      <x:c r="BB261" s="141" t="n">
        <x:f>IF(AW261&gt;1,"Inviavel",BA261)</x:f>
        <x:v>8012886.202423124</x:v>
      </x:c>
      <x:c r="BC261" s="141" t="str">
        <x:f>IF(AW261&gt;1,"Inviavel","OK")</x:f>
        <x:v>OK</x:v>
      </x:c>
      <x:c r="BD261" s="141" t="n">
        <x:f>IF($A261='Consorcio Direto'!$B$29,'Consorcio Direto'!$B$44,0)</x:f>
        <x:v>0</x:v>
      </x:c>
      <x:c r="BE261" s="141" t="n">
        <x:f>IF($A261&lt;='Consorcio Direto'!$B$27,INDEX('Consorcio Direto'!$E$55:$E$534,$A261),0)</x:f>
        <x:v>0</x:v>
      </x:c>
      <x:c r="BF261" s="141" t="n">
        <x:f>IF(AND(TRUE,Premissas!$B$11="Imovel",Premissas!$B$47="Moradia",$A261&lt;MAX('Consorcio Direto'!$B$29,Premissas!$B$49)),$D261,0)</x:f>
        <x:v>0</x:v>
      </x:c>
      <x:c r="BG261" s="141" t="n">
        <x:f>IF(AND(TRUE,Premissas!$B$11="Imovel",Premissas!$B$47="Investimento",$A261&gt;=MAX('Consorcio Direto'!$B$29,Premissas!$B$49)),$E261,0)</x:f>
        <x:v>2175.7207043491962</x:v>
      </x:c>
      <x:c r="BH261" s="141" t="n">
        <x:f>BD261+BE261+BF261</x:f>
        <x:v>0</x:v>
      </x:c>
      <x:c r="BI261" s="141" t="n">
        <x:f>BG261</x:f>
        <x:v>2175.7207043491962</x:v>
      </x:c>
      <x:c r="BJ261" s="141" t="n">
        <x:f>$C261+BI261-BH261</x:f>
        <x:v>9175.720704349196</x:v>
      </x:c>
      <x:c r="BK261" s="141" t="n">
        <x:f>BN260*(1+Premissas!$B$41)+BJ261</x:f>
        <x:v>6969205.410306997</x:v>
      </x:c>
      <x:c r="BL261" s="141" t="n">
        <x:f>MAX(0,-BK261)</x:f>
        <x:v>0</x:v>
      </x:c>
      <x:c r="BM261" s="141" t="n">
        <x:f>BM260*(1+Premissas!$B$41)+BL261</x:f>
        <x:v>0</x:v>
      </x:c>
      <x:c r="BN261" s="141" t="n">
        <x:f>MAX(0,BK261)</x:f>
        <x:v>6969205.410306997</x:v>
      </x:c>
      <x:c r="BO261" s="141" t="n">
        <x:f>INDEX('Consorcio Direto'!$K$55:$K$534,$A261)</x:f>
        <x:v>0</x:v>
      </x:c>
      <x:c r="BP261" s="141" t="n">
        <x:f>IF($A261&lt;'Consorcio Direto'!$B$29,INDEX('Consorcio Direto'!$L$55:$L$534,$A261),$F261)</x:f>
        <x:v>693247.72755123</x:v>
      </x:c>
      <x:c r="BQ261" s="141" t="n">
        <x:f>BN261+BP261-BO261</x:f>
        <x:v>7662453.137858227</x:v>
      </x:c>
      <x:c r="BR261" s="141" t="n">
        <x:f>IF(BM261&gt;1,"Inviavel",BQ261)</x:f>
        <x:v>7662453.137858227</x:v>
      </x:c>
      <x:c r="BS261" s="141" t="str">
        <x:f>IF(BM261&gt;1,"Inviavel","OK")</x:f>
        <x:v>OK</x:v>
      </x:c>
      <x:c r="BT261" s="141" t="n">
        <x:f>IF(AND('Carta Contemplada'!$B$22="Sim",$A261='Carta Contemplada'!$B$23),'Carta Contemplada'!$B$37,0)</x:f>
        <x:v>0</x:v>
      </x:c>
      <x:c r="BU261" s="141" t="n">
        <x:f>IF('Carta Contemplada'!$B$22="Sim",INDEX('Carta Contemplada'!$C$55:$C$1013,$A261),0)</x:f>
        <x:v>0</x:v>
      </x:c>
      <x:c r="BV261" s="141" t="n">
        <x:f>IF(AND('Carta Contemplada'!$B$22="Sim",Premissas!$B$11="Imovel",Premissas!$B$47="Moradia",$A261&lt;MAX('Carta Contemplada'!$B$44,Premissas!$B$49)),$D261,0)</x:f>
        <x:v>0</x:v>
      </x:c>
      <x:c r="BW261" s="141" t="n">
        <x:f>IF(AND('Carta Contemplada'!$B$22="Sim",Premissas!$B$11="Imovel",Premissas!$B$47="Investimento",$A261&gt;=MAX('Carta Contemplada'!$B$44,Premissas!$B$49)),$E261,0)</x:f>
        <x:v>2175.7207043491962</x:v>
      </x:c>
      <x:c r="BX261" s="141" t="n">
        <x:f>BT261+BU261+BV261</x:f>
        <x:v>0</x:v>
      </x:c>
      <x:c r="BY261" s="141" t="n">
        <x:f>BW261</x:f>
        <x:v>2175.7207043491962</x:v>
      </x:c>
      <x:c r="BZ261" s="141" t="n">
        <x:f>$C261+BY261-BX261</x:f>
        <x:v>9175.720704349196</x:v>
      </x:c>
      <x:c r="CA261" s="141" t="n">
        <x:f>CD260*(1+Premissas!$B$41)+BZ261</x:f>
        <x:v>7548000.887515167</x:v>
      </x:c>
      <x:c r="CB261" s="141" t="n">
        <x:f>MAX(0,-CA261)</x:f>
        <x:v>0</x:v>
      </x:c>
      <x:c r="CC261" s="141" t="n">
        <x:f>CC260*(1+Premissas!$B$41)+CB261</x:f>
        <x:v>0</x:v>
      </x:c>
      <x:c r="CD261" s="141" t="n">
        <x:f>MAX(0,CA261)</x:f>
        <x:v>7548000.887515167</x:v>
      </x:c>
      <x:c r="CE261" s="141" t="n">
        <x:f>IF(AND('Carta Contemplada'!$B$22="Sim",$A261&gt;='Carta Contemplada'!$B$23),INDEX('Carta Contemplada'!$I$55:$I$1013,$A261),0)</x:f>
        <x:v>0</x:v>
      </x:c>
      <x:c r="CF261" s="141" t="n">
        <x:f>IF(AND('Carta Contemplada'!$B$22="Sim",$A261&gt;='Carta Contemplada'!$B$44),$F261,0)</x:f>
        <x:v>693247.72755123</x:v>
      </x:c>
      <x:c r="CG261" s="141" t="n">
        <x:f>CD261+CF261-CE261</x:f>
        <x:v>8241248.615066397</x:v>
      </x:c>
      <x:c r="CH261" s="141" t="n">
        <x:f>IF(CC261&gt;1,"Inviavel",CG261)</x:f>
        <x:v>8241248.615066397</x:v>
      </x:c>
      <x:c r="CI261" s="145" t="str">
        <x:f>IF(CC261&gt;1,"Inviavel","OK")</x:f>
        <x:v>OK</x:v>
      </x:c>
    </x:row>
    <x:row r="262">
      <x:c r="A262" s="142" t="n">
        <x:v>258</x:v>
      </x:c>
      <x:c r="B262" s="179" t="n">
        <x:f>EDATE(Premissas!$B$4,A262-1)</x:f>
        <x:v>54363</x:v>
      </x:c>
      <x:c r="C262" s="141" t="n">
        <x:f>IF(A262&lt;=Premissas!$B$39,Premissas!$B$42,0)</x:f>
        <x:v>7000</x:v>
      </x:c>
      <x:c r="D262" s="141" t="n">
        <x:f>Premissas!$B$54*(1+Premissas!$B$57)^INT((A262-1)/12)</x:f>
        <x:v>2379.694520381933</x:v>
      </x:c>
      <x:c r="E262" s="141" t="n">
        <x:f>Premissas!$B$64*(1+Premissas!$B$57)^INT((A262-1)/12)</x:f>
        <x:v>2175.7207043491962</x:v>
      </x:c>
      <x:c r="F262" s="141" t="n">
        <x:f>MAX(0,Premissas!$B$6*(1+Premissas!$B$66)^((A262-1)/12))</x:f>
        <x:v>696622.1459193949</x:v>
      </x:c>
      <x:c r="G262" s="141" t="n">
        <x:f>G261*(1+Premissas!$B$41)+C262</x:f>
        <x:v>8716445.256013507</x:v>
      </x:c>
      <x:c r="H262" s="141" t="n">
        <x:f>IF($A262=Premissas!$B$48,Premissas!$B$8,0)</x:f>
        <x:v>0</x:v>
      </x:c>
      <x:c r="I262" s="141" t="n">
        <x:f>IF(AND($A262&gt;=Premissas!$B$48,$A262-Premissas!$B$48+1&lt;=Premissas!$B$13),INDEX(Financiamento!$J$6:$J$485,$A262-Premissas!$B$48+1),0)</x:f>
        <x:v>1120.1612374617298</x:v>
      </x:c>
      <x:c r="J262" s="141" t="n">
        <x:f>IF(AND(TRUE,Premissas!$B$11="Imovel",Premissas!$B$47="Moradia",$A262&lt;MAX(Premissas!$B$48,Premissas!$B$49)),$D262,0)</x:f>
        <x:v>0</x:v>
      </x:c>
      <x:c r="K262" s="141" t="n">
        <x:f>IF(AND(TRUE,Premissas!$B$11="Imovel",Premissas!$B$47="Investimento",$A262&gt;=MAX(Premissas!$B$48,Premissas!$B$49)),$E262,0)</x:f>
        <x:v>2175.7207043491962</x:v>
      </x:c>
      <x:c r="L262" s="141" t="n">
        <x:f>H262+I262+J262</x:f>
        <x:v>1120.1612374617298</x:v>
      </x:c>
      <x:c r="M262" s="141" t="n">
        <x:f>K262</x:f>
        <x:v>2175.7207043491962</x:v>
      </x:c>
      <x:c r="N262" s="141" t="n">
        <x:f>$C262+M262-L262</x:f>
        <x:v>8055.559466887466</x:v>
      </x:c>
      <x:c r="O262" s="141" t="n">
        <x:f>R261*(1+Premissas!$B$41)+N262</x:f>
        <x:v>7401184.491778189</x:v>
      </x:c>
      <x:c r="P262" s="141" t="n">
        <x:f>MAX(0,-O262)</x:f>
        <x:v>0</x:v>
      </x:c>
      <x:c r="Q262" s="141" t="n">
        <x:f>Q261*(1+Premissas!$B$41)+P262</x:f>
        <x:v>0</x:v>
      </x:c>
      <x:c r="R262" s="141" t="n">
        <x:f>MAX(0,O262)</x:f>
        <x:v>7401184.491778189</x:v>
      </x:c>
      <x:c r="S262" s="141" t="n">
        <x:f>IF(AND($A262&gt;=Premissas!$B$48,$A262-Premissas!$B$48+1&lt;=Premissas!$B$13),INDEX(Financiamento!$M$6:$M$485,$A262-Premissas!$B$48+1),0)</x:f>
        <x:v>61714.28571428581</x:v>
      </x:c>
      <x:c r="T262" s="141" t="n">
        <x:f>IF($A262&gt;=Premissas!$B$48,$F262,0)</x:f>
        <x:v>696622.1459193949</x:v>
      </x:c>
      <x:c r="U262" s="141" t="n">
        <x:f>R262+T262-S262</x:f>
        <x:v>8036092.351983299</x:v>
      </x:c>
      <x:c r="V262" s="141" t="n">
        <x:f>IF(Q262&gt;1,"Inviavel",U262)</x:f>
        <x:v>8036092.351983299</x:v>
      </x:c>
      <x:c r="W262" s="141" t="str">
        <x:f>IF(Q262&gt;1,"Inviavel","OK")</x:f>
        <x:v>OK</x:v>
      </x:c>
      <x:c r="X262" s="141" t="n">
        <x:f>IF($A262=Premissas!$B$48,Premissas!$B$8,0)</x:f>
        <x:v>0</x:v>
      </x:c>
      <x:c r="Y262" s="141" t="n">
        <x:f>IF(AND($A262&gt;=Premissas!$B$48,$A262-Premissas!$B$48+1&lt;=Premissas!$B$13),INDEX(Amortizacao!$K$6:$K$485,$A262-Premissas!$B$48+1),0)</x:f>
        <x:v>0</x:v>
      </x:c>
      <x:c r="Z262" s="141" t="n">
        <x:f>IF(AND(TRUE,Premissas!$B$11="Imovel",Premissas!$B$47="Moradia",$A262&lt;MAX(Premissas!$B$48,Premissas!$B$49)),$D262,0)</x:f>
        <x:v>0</x:v>
      </x:c>
      <x:c r="AA262" s="141" t="n">
        <x:f>IF(AND(TRUE,Premissas!$B$11="Imovel",Premissas!$B$47="Investimento",$A262&gt;=MAX(Premissas!$B$48,Premissas!$B$49)),$E262,0)</x:f>
        <x:v>2175.7207043491962</x:v>
      </x:c>
      <x:c r="AB262" s="141" t="n">
        <x:f>X262+Y262+Z262</x:f>
        <x:v>0</x:v>
      </x:c>
      <x:c r="AC262" s="141" t="n">
        <x:f>AA262</x:f>
        <x:v>2175.7207043491962</x:v>
      </x:c>
      <x:c r="AD262" s="141" t="n">
        <x:f>$C262+AC262-AB262</x:f>
        <x:v>9175.720704349196</x:v>
      </x:c>
      <x:c r="AE262" s="141" t="n">
        <x:f>AH261*(1+Premissas!$B$41)+AD262</x:f>
        <x:v>7463726.309758874</x:v>
      </x:c>
      <x:c r="AF262" s="141" t="n">
        <x:f>MAX(0,-AE262)</x:f>
        <x:v>0</x:v>
      </x:c>
      <x:c r="AG262" s="141" t="n">
        <x:f>AG261*(1+Premissas!$B$41)+AF262</x:f>
        <x:v>0</x:v>
      </x:c>
      <x:c r="AH262" s="141" t="n">
        <x:f>MAX(0,AE262)</x:f>
        <x:v>7463726.309758874</x:v>
      </x:c>
      <x:c r="AI262" s="141" t="n">
        <x:f>IF(AND($A262&gt;=Premissas!$B$48,$A262-Premissas!$B$48+1&lt;=Premissas!$B$13),INDEX(Amortizacao!$L$6:$L$485,$A262-Premissas!$B$48+1),0)</x:f>
        <x:v>0</x:v>
      </x:c>
      <x:c r="AJ262" s="141" t="n">
        <x:f>IF($A262&gt;=Premissas!$B$48,$F262,0)</x:f>
        <x:v>696622.1459193949</x:v>
      </x:c>
      <x:c r="AK262" s="141" t="n">
        <x:f>AH262+AJ262-AI262</x:f>
        <x:v>8160348.455678268</x:v>
      </x:c>
      <x:c r="AL262" s="141" t="n">
        <x:f>IF(AG262&gt;1,"Inviavel",AK262)</x:f>
        <x:v>8160348.455678268</x:v>
      </x:c>
      <x:c r="AM262" s="141" t="str">
        <x:f>IF(AG262&gt;1,"Inviavel","OK")</x:f>
        <x:v>OK</x:v>
      </x:c>
      <x:c r="AN262" s="141" t="n">
        <x:f>IF($A262=Premissas!$B$48,Premissas!$B$8,0)</x:f>
        <x:v>0</x:v>
      </x:c>
      <x:c r="AO262" s="141" t="n">
        <x:f>IF($A262&lt;=Premissas!$B$25,INDEX('Consorcio IQ'!$K$6:$K$485,$A262),0)</x:f>
        <x:v>0</x:v>
      </x:c>
      <x:c r="AP262" s="141" t="n">
        <x:f>IF(AND(TRUE,Premissas!$B$11="Imovel",Premissas!$B$47="Moradia",$A262&lt;MAX(Premissas!$B$48,Premissas!$B$49)),$D262,0)</x:f>
        <x:v>0</x:v>
      </x:c>
      <x:c r="AQ262" s="141" t="n">
        <x:f>IF(AND(TRUE,Premissas!$B$11="Imovel",Premissas!$B$47="Investimento",$A262&gt;=MAX(Premissas!$B$48,Premissas!$B$49)),$E262,0)</x:f>
        <x:v>2175.7207043491962</x:v>
      </x:c>
      <x:c r="AR262" s="141" t="n">
        <x:f>AN262+AO262+AP262</x:f>
        <x:v>0</x:v>
      </x:c>
      <x:c r="AS262" s="141" t="n">
        <x:f>AQ262</x:f>
        <x:v>2175.7207043491962</x:v>
      </x:c>
      <x:c r="AT262" s="141" t="n">
        <x:f>$C262+AS262-AR262</x:f>
        <x:v>9175.720704349196</x:v>
      </x:c>
      <x:c r="AU262" s="141" t="n">
        <x:f>AX261*(1+Premissas!$B$41)+AT262</x:f>
        <x:v>7398268.729420309</x:v>
      </x:c>
      <x:c r="AV262" s="141" t="n">
        <x:f>MAX(0,-AU262)</x:f>
        <x:v>0</x:v>
      </x:c>
      <x:c r="AW262" s="141" t="n">
        <x:f>AW261*(1+Premissas!$B$41)+AV262</x:f>
        <x:v>0</x:v>
      </x:c>
      <x:c r="AX262" s="141" t="n">
        <x:f>MAX(0,AU262)</x:f>
        <x:v>7398268.729420309</x:v>
      </x:c>
      <x:c r="AY262" s="141" t="n">
        <x:f>INDEX('Consorcio IQ'!$P$6:$P$485,$A262)</x:f>
        <x:v>0</x:v>
      </x:c>
      <x:c r="AZ262" s="141" t="n">
        <x:f>IF($A262&gt;=Premissas!$B$48,$F262,0)+IF($A262&lt;Premissas!$B$27,INDEX('Consorcio IQ'!$O$6:$O$485,$A262),0)</x:f>
        <x:v>696622.1459193949</x:v>
      </x:c>
      <x:c r="BA262" s="141" t="n">
        <x:f>AX262+AZ262-AY262</x:f>
        <x:v>8094890.875339704</x:v>
      </x:c>
      <x:c r="BB262" s="141" t="n">
        <x:f>IF(AW262&gt;1,"Inviavel",BA262)</x:f>
        <x:v>8094890.875339704</x:v>
      </x:c>
      <x:c r="BC262" s="141" t="str">
        <x:f>IF(AW262&gt;1,"Inviavel","OK")</x:f>
        <x:v>OK</x:v>
      </x:c>
      <x:c r="BD262" s="141" t="n">
        <x:f>IF($A262='Consorcio Direto'!$B$29,'Consorcio Direto'!$B$44,0)</x:f>
        <x:v>0</x:v>
      </x:c>
      <x:c r="BE262" s="141" t="n">
        <x:f>IF($A262&lt;='Consorcio Direto'!$B$27,INDEX('Consorcio Direto'!$E$55:$E$534,$A262),0)</x:f>
        <x:v>0</x:v>
      </x:c>
      <x:c r="BF262" s="141" t="n">
        <x:f>IF(AND(TRUE,Premissas!$B$11="Imovel",Premissas!$B$47="Moradia",$A262&lt;MAX('Consorcio Direto'!$B$29,Premissas!$B$49)),$D262,0)</x:f>
        <x:v>0</x:v>
      </x:c>
      <x:c r="BG262" s="141" t="n">
        <x:f>IF(AND(TRUE,Premissas!$B$11="Imovel",Premissas!$B$47="Investimento",$A262&gt;=MAX('Consorcio Direto'!$B$29,Premissas!$B$49)),$E262,0)</x:f>
        <x:v>2175.7207043491962</x:v>
      </x:c>
      <x:c r="BH262" s="141" t="n">
        <x:f>BD262+BE262+BF262</x:f>
        <x:v>0</x:v>
      </x:c>
      <x:c r="BI262" s="141" t="n">
        <x:f>BG262</x:f>
        <x:v>2175.7207043491962</x:v>
      </x:c>
      <x:c r="BJ262" s="141" t="n">
        <x:f>$C262+BI262-BH262</x:f>
        <x:v>9175.720704349196</x:v>
      </x:c>
      <x:c r="BK262" s="141" t="n">
        <x:f>BN261*(1+Premissas!$B$41)+BJ262</x:f>
        <x:v>7044510.478068325</x:v>
      </x:c>
      <x:c r="BL262" s="141" t="n">
        <x:f>MAX(0,-BK262)</x:f>
        <x:v>0</x:v>
      </x:c>
      <x:c r="BM262" s="141" t="n">
        <x:f>BM261*(1+Premissas!$B$41)+BL262</x:f>
        <x:v>0</x:v>
      </x:c>
      <x:c r="BN262" s="141" t="n">
        <x:f>MAX(0,BK262)</x:f>
        <x:v>7044510.478068325</x:v>
      </x:c>
      <x:c r="BO262" s="141" t="n">
        <x:f>INDEX('Consorcio Direto'!$K$55:$K$534,$A262)</x:f>
        <x:v>0</x:v>
      </x:c>
      <x:c r="BP262" s="141" t="n">
        <x:f>IF($A262&lt;'Consorcio Direto'!$B$29,INDEX('Consorcio Direto'!$L$55:$L$534,$A262),$F262)</x:f>
        <x:v>696622.1459193949</x:v>
      </x:c>
      <x:c r="BQ262" s="141" t="n">
        <x:f>BN262+BP262-BO262</x:f>
        <x:v>7741132.623987719</x:v>
      </x:c>
      <x:c r="BR262" s="141" t="n">
        <x:f>IF(BM262&gt;1,"Inviavel",BQ262)</x:f>
        <x:v>7741132.623987719</x:v>
      </x:c>
      <x:c r="BS262" s="141" t="str">
        <x:f>IF(BM262&gt;1,"Inviavel","OK")</x:f>
        <x:v>OK</x:v>
      </x:c>
      <x:c r="BT262" s="141" t="n">
        <x:f>IF(AND('Carta Contemplada'!$B$22="Sim",$A262='Carta Contemplada'!$B$23),'Carta Contemplada'!$B$37,0)</x:f>
        <x:v>0</x:v>
      </x:c>
      <x:c r="BU262" s="141" t="n">
        <x:f>IF('Carta Contemplada'!$B$22="Sim",INDEX('Carta Contemplada'!$C$55:$C$1013,$A262),0)</x:f>
        <x:v>0</x:v>
      </x:c>
      <x:c r="BV262" s="141" t="n">
        <x:f>IF(AND('Carta Contemplada'!$B$22="Sim",Premissas!$B$11="Imovel",Premissas!$B$47="Moradia",$A262&lt;MAX('Carta Contemplada'!$B$44,Premissas!$B$49)),$D262,0)</x:f>
        <x:v>0</x:v>
      </x:c>
      <x:c r="BW262" s="141" t="n">
        <x:f>IF(AND('Carta Contemplada'!$B$22="Sim",Premissas!$B$11="Imovel",Premissas!$B$47="Investimento",$A262&gt;=MAX('Carta Contemplada'!$B$44,Premissas!$B$49)),$E262,0)</x:f>
        <x:v>2175.7207043491962</x:v>
      </x:c>
      <x:c r="BX262" s="141" t="n">
        <x:f>BT262+BU262+BV262</x:f>
        <x:v>0</x:v>
      </x:c>
      <x:c r="BY262" s="141" t="n">
        <x:f>BW262</x:f>
        <x:v>2175.7207043491962</x:v>
      </x:c>
      <x:c r="BZ262" s="141" t="n">
        <x:f>$C262+BY262-BX262</x:f>
        <x:v>9175.720704349196</x:v>
      </x:c>
      <x:c r="CA262" s="141" t="n">
        <x:f>CD261*(1+Premissas!$B$41)+BZ262</x:f>
        <x:v>7628798.025711196</x:v>
      </x:c>
      <x:c r="CB262" s="141" t="n">
        <x:f>MAX(0,-CA262)</x:f>
        <x:v>0</x:v>
      </x:c>
      <x:c r="CC262" s="141" t="n">
        <x:f>CC261*(1+Premissas!$B$41)+CB262</x:f>
        <x:v>0</x:v>
      </x:c>
      <x:c r="CD262" s="141" t="n">
        <x:f>MAX(0,CA262)</x:f>
        <x:v>7628798.025711196</x:v>
      </x:c>
      <x:c r="CE262" s="141" t="n">
        <x:f>IF(AND('Carta Contemplada'!$B$22="Sim",$A262&gt;='Carta Contemplada'!$B$23),INDEX('Carta Contemplada'!$I$55:$I$1013,$A262),0)</x:f>
        <x:v>0</x:v>
      </x:c>
      <x:c r="CF262" s="141" t="n">
        <x:f>IF(AND('Carta Contemplada'!$B$22="Sim",$A262&gt;='Carta Contemplada'!$B$44),$F262,0)</x:f>
        <x:v>696622.1459193949</x:v>
      </x:c>
      <x:c r="CG262" s="141" t="n">
        <x:f>CD262+CF262-CE262</x:f>
        <x:v>8325420.17163059</x:v>
      </x:c>
      <x:c r="CH262" s="141" t="n">
        <x:f>IF(CC262&gt;1,"Inviavel",CG262)</x:f>
        <x:v>8325420.17163059</x:v>
      </x:c>
      <x:c r="CI262" s="145" t="str">
        <x:f>IF(CC262&gt;1,"Inviavel","OK")</x:f>
        <x:v>OK</x:v>
      </x:c>
    </x:row>
    <x:row r="263">
      <x:c r="A263" s="142" t="n">
        <x:v>259</x:v>
      </x:c>
      <x:c r="B263" s="179" t="n">
        <x:f>EDATE(Premissas!$B$4,A263-1)</x:f>
        <x:v>54393</x:v>
      </x:c>
      <x:c r="C263" s="141" t="n">
        <x:f>IF(A263&lt;=Premissas!$B$39,Premissas!$B$42,0)</x:f>
        <x:v>7000</x:v>
      </x:c>
      <x:c r="D263" s="141" t="n">
        <x:f>Premissas!$B$54*(1+Premissas!$B$57)^INT((A263-1)/12)</x:f>
        <x:v>2379.694520381933</x:v>
      </x:c>
      <x:c r="E263" s="141" t="n">
        <x:f>Premissas!$B$64*(1+Premissas!$B$57)^INT((A263-1)/12)</x:f>
        <x:v>2175.7207043491962</x:v>
      </x:c>
      <x:c r="F263" s="141" t="n">
        <x:f>MAX(0,Premissas!$B$6*(1+Premissas!$B$66)^((A263-1)/12))</x:f>
        <x:v>700012.9894395953</x:v>
      </x:c>
      <x:c r="G263" s="141" t="n">
        <x:f>G262*(1+Premissas!$B$41)+C263</x:f>
        <x:v>8806153.800173448</x:v>
      </x:c>
      <x:c r="H263" s="141" t="n">
        <x:f>IF($A263=Premissas!$B$48,Premissas!$B$8,0)</x:f>
        <x:v>0</x:v>
      </x:c>
      <x:c r="I263" s="141" t="n">
        <x:f>IF(AND($A263&gt;=Premissas!$B$48,$A263-Premissas!$B$48+1&lt;=Premissas!$B$13),INDEX(Financiamento!$J$6:$J$485,$A263-Premissas!$B$48+1),0)</x:f>
        <x:v>1116.5464592009362</x:v>
      </x:c>
      <x:c r="J263" s="141" t="n">
        <x:f>IF(AND(TRUE,Premissas!$B$11="Imovel",Premissas!$B$47="Moradia",$A263&lt;MAX(Premissas!$B$48,Premissas!$B$49)),$D263,0)</x:f>
        <x:v>0</x:v>
      </x:c>
      <x:c r="K263" s="141" t="n">
        <x:f>IF(AND(TRUE,Premissas!$B$11="Imovel",Premissas!$B$47="Investimento",$A263&gt;=MAX(Premissas!$B$48,Premissas!$B$49)),$E263,0)</x:f>
        <x:v>2175.7207043491962</x:v>
      </x:c>
      <x:c r="L263" s="141" t="n">
        <x:f>H263+I263+J263</x:f>
        <x:v>1116.5464592009362</x:v>
      </x:c>
      <x:c r="M263" s="141" t="n">
        <x:f>K263</x:f>
        <x:v>2175.7207043491962</x:v>
      </x:c>
      <x:c r="N263" s="141" t="n">
        <x:f>$C263+M263-L263</x:f>
        <x:v>8059.1742451482605</x:v>
      </x:c>
      <x:c r="O263" s="141" t="n">
        <x:f>R262*(1+Premissas!$B$41)+N263</x:f>
        <x:v>7479471.973136468</x:v>
      </x:c>
      <x:c r="P263" s="141" t="n">
        <x:f>MAX(0,-O263)</x:f>
        <x:v>0</x:v>
      </x:c>
      <x:c r="Q263" s="141" t="n">
        <x:f>Q262*(1+Premissas!$B$41)+P263</x:f>
        <x:v>0</x:v>
      </x:c>
      <x:c r="R263" s="141" t="n">
        <x:f>MAX(0,O263)</x:f>
        <x:v>7479471.973136468</x:v>
      </x:c>
      <x:c r="S263" s="141" t="n">
        <x:f>IF(AND($A263&gt;=Premissas!$B$48,$A263-Premissas!$B$48+1&lt;=Premissas!$B$13),INDEX(Financiamento!$M$6:$M$485,$A263-Premissas!$B$48+1),0)</x:f>
        <x:v>61333.33333333343</x:v>
      </x:c>
      <x:c r="T263" s="141" t="n">
        <x:f>IF($A263&gt;=Premissas!$B$48,$F263,0)</x:f>
        <x:v>700012.9894395953</x:v>
      </x:c>
      <x:c r="U263" s="141" t="n">
        <x:f>R263+T263-S263</x:f>
        <x:v>8118151.62924273</x:v>
      </x:c>
      <x:c r="V263" s="141" t="n">
        <x:f>IF(Q263&gt;1,"Inviavel",U263)</x:f>
        <x:v>8118151.62924273</x:v>
      </x:c>
      <x:c r="W263" s="141" t="str">
        <x:f>IF(Q263&gt;1,"Inviavel","OK")</x:f>
        <x:v>OK</x:v>
      </x:c>
      <x:c r="X263" s="141" t="n">
        <x:f>IF($A263=Premissas!$B$48,Premissas!$B$8,0)</x:f>
        <x:v>0</x:v>
      </x:c>
      <x:c r="Y263" s="141" t="n">
        <x:f>IF(AND($A263&gt;=Premissas!$B$48,$A263-Premissas!$B$48+1&lt;=Premissas!$B$13),INDEX(Amortizacao!$K$6:$K$485,$A263-Premissas!$B$48+1),0)</x:f>
        <x:v>0</x:v>
      </x:c>
      <x:c r="Z263" s="141" t="n">
        <x:f>IF(AND(TRUE,Premissas!$B$11="Imovel",Premissas!$B$47="Moradia",$A263&lt;MAX(Premissas!$B$48,Premissas!$B$49)),$D263,0)</x:f>
        <x:v>0</x:v>
      </x:c>
      <x:c r="AA263" s="141" t="n">
        <x:f>IF(AND(TRUE,Premissas!$B$11="Imovel",Premissas!$B$47="Investimento",$A263&gt;=MAX(Premissas!$B$48,Premissas!$B$49)),$E263,0)</x:f>
        <x:v>2175.7207043491962</x:v>
      </x:c>
      <x:c r="AB263" s="141" t="n">
        <x:f>X263+Y263+Z263</x:f>
        <x:v>0</x:v>
      </x:c>
      <x:c r="AC263" s="141" t="n">
        <x:f>AA263</x:f>
        <x:v>2175.7207043491962</x:v>
      </x:c>
      <x:c r="AD263" s="141" t="n">
        <x:f>$C263+AC263-AB263</x:f>
        <x:v>9175.720704349196</x:v>
      </x:c>
      <x:c r="AE263" s="141" t="n">
        <x:f>AH262*(1+Premissas!$B$41)+AD263</x:f>
        <x:v>7543723.783936924</x:v>
      </x:c>
      <x:c r="AF263" s="141" t="n">
        <x:f>MAX(0,-AE263)</x:f>
        <x:v>0</x:v>
      </x:c>
      <x:c r="AG263" s="141" t="n">
        <x:f>AG262*(1+Premissas!$B$41)+AF263</x:f>
        <x:v>0</x:v>
      </x:c>
      <x:c r="AH263" s="141" t="n">
        <x:f>MAX(0,AE263)</x:f>
        <x:v>7543723.783936924</x:v>
      </x:c>
      <x:c r="AI263" s="141" t="n">
        <x:f>IF(AND($A263&gt;=Premissas!$B$48,$A263-Premissas!$B$48+1&lt;=Premissas!$B$13),INDEX(Amortizacao!$L$6:$L$485,$A263-Premissas!$B$48+1),0)</x:f>
        <x:v>0</x:v>
      </x:c>
      <x:c r="AJ263" s="141" t="n">
        <x:f>IF($A263&gt;=Premissas!$B$48,$F263,0)</x:f>
        <x:v>700012.9894395953</x:v>
      </x:c>
      <x:c r="AK263" s="141" t="n">
        <x:f>AH263+AJ263-AI263</x:f>
        <x:v>8243736.77337652</x:v>
      </x:c>
      <x:c r="AL263" s="141" t="n">
        <x:f>IF(AG263&gt;1,"Inviavel",AK263)</x:f>
        <x:v>8243736.77337652</x:v>
      </x:c>
      <x:c r="AM263" s="141" t="str">
        <x:f>IF(AG263&gt;1,"Inviavel","OK")</x:f>
        <x:v>OK</x:v>
      </x:c>
      <x:c r="AN263" s="141" t="n">
        <x:f>IF($A263=Premissas!$B$48,Premissas!$B$8,0)</x:f>
        <x:v>0</x:v>
      </x:c>
      <x:c r="AO263" s="141" t="n">
        <x:f>IF($A263&lt;=Premissas!$B$25,INDEX('Consorcio IQ'!$K$6:$K$485,$A263),0)</x:f>
        <x:v>0</x:v>
      </x:c>
      <x:c r="AP263" s="141" t="n">
        <x:f>IF(AND(TRUE,Premissas!$B$11="Imovel",Premissas!$B$47="Moradia",$A263&lt;MAX(Premissas!$B$48,Premissas!$B$49)),$D263,0)</x:f>
        <x:v>0</x:v>
      </x:c>
      <x:c r="AQ263" s="141" t="n">
        <x:f>IF(AND(TRUE,Premissas!$B$11="Imovel",Premissas!$B$47="Investimento",$A263&gt;=MAX(Premissas!$B$48,Premissas!$B$49)),$E263,0)</x:f>
        <x:v>2175.7207043491962</x:v>
      </x:c>
      <x:c r="AR263" s="141" t="n">
        <x:f>AN263+AO263+AP263</x:f>
        <x:v>0</x:v>
      </x:c>
      <x:c r="AS263" s="141" t="n">
        <x:f>AQ263</x:f>
        <x:v>2175.7207043491962</x:v>
      </x:c>
      <x:c r="AT263" s="141" t="n">
        <x:f>$C263+AS263-AR263</x:f>
        <x:v>9175.720704349196</x:v>
      </x:c>
      <x:c r="AU263" s="141" t="n">
        <x:f>AX262*(1+Premissas!$B$41)+AT263</x:f>
        <x:v>7477645.090172528</x:v>
      </x:c>
      <x:c r="AV263" s="141" t="n">
        <x:f>MAX(0,-AU263)</x:f>
        <x:v>0</x:v>
      </x:c>
      <x:c r="AW263" s="141" t="n">
        <x:f>AW262*(1+Premissas!$B$41)+AV263</x:f>
        <x:v>0</x:v>
      </x:c>
      <x:c r="AX263" s="141" t="n">
        <x:f>MAX(0,AU263)</x:f>
        <x:v>7477645.090172528</x:v>
      </x:c>
      <x:c r="AY263" s="141" t="n">
        <x:f>INDEX('Consorcio IQ'!$P$6:$P$485,$A263)</x:f>
        <x:v>0</x:v>
      </x:c>
      <x:c r="AZ263" s="141" t="n">
        <x:f>IF($A263&gt;=Premissas!$B$48,$F263,0)+IF($A263&lt;Premissas!$B$27,INDEX('Consorcio IQ'!$O$6:$O$485,$A263),0)</x:f>
        <x:v>700012.9894395953</x:v>
      </x:c>
      <x:c r="BA263" s="141" t="n">
        <x:f>AX263+AZ263-AY263</x:f>
        <x:v>8177658.079612124</x:v>
      </x:c>
      <x:c r="BB263" s="141" t="n">
        <x:f>IF(AW263&gt;1,"Inviavel",BA263)</x:f>
        <x:v>8177658.079612124</x:v>
      </x:c>
      <x:c r="BC263" s="141" t="str">
        <x:f>IF(AW263&gt;1,"Inviavel","OK")</x:f>
        <x:v>OK</x:v>
      </x:c>
      <x:c r="BD263" s="141" t="n">
        <x:f>IF($A263='Consorcio Direto'!$B$29,'Consorcio Direto'!$B$44,0)</x:f>
        <x:v>0</x:v>
      </x:c>
      <x:c r="BE263" s="141" t="n">
        <x:f>IF($A263&lt;='Consorcio Direto'!$B$27,INDEX('Consorcio Direto'!$E$55:$E$534,$A263),0)</x:f>
        <x:v>0</x:v>
      </x:c>
      <x:c r="BF263" s="141" t="n">
        <x:f>IF(AND(TRUE,Premissas!$B$11="Imovel",Premissas!$B$47="Moradia",$A263&lt;MAX('Consorcio Direto'!$B$29,Premissas!$B$49)),$D263,0)</x:f>
        <x:v>0</x:v>
      </x:c>
      <x:c r="BG263" s="141" t="n">
        <x:f>IF(AND(TRUE,Premissas!$B$11="Imovel",Premissas!$B$47="Investimento",$A263&gt;=MAX('Consorcio Direto'!$B$29,Premissas!$B$49)),$E263,0)</x:f>
        <x:v>2175.7207043491962</x:v>
      </x:c>
      <x:c r="BH263" s="141" t="n">
        <x:f>BD263+BE263+BF263</x:f>
        <x:v>0</x:v>
      </x:c>
      <x:c r="BI263" s="141" t="n">
        <x:f>BG263</x:f>
        <x:v>2175.7207043491962</x:v>
      </x:c>
      <x:c r="BJ263" s="141" t="n">
        <x:f>$C263+BI263-BH263</x:f>
        <x:v>9175.720704349196</x:v>
      </x:c>
      <x:c r="BK263" s="141" t="n">
        <x:f>BN262*(1+Premissas!$B$41)+BJ263</x:f>
        <x:v>7120530.100024564</x:v>
      </x:c>
      <x:c r="BL263" s="141" t="n">
        <x:f>MAX(0,-BK263)</x:f>
        <x:v>0</x:v>
      </x:c>
      <x:c r="BM263" s="141" t="n">
        <x:f>BM262*(1+Premissas!$B$41)+BL263</x:f>
        <x:v>0</x:v>
      </x:c>
      <x:c r="BN263" s="141" t="n">
        <x:f>MAX(0,BK263)</x:f>
        <x:v>7120530.100024564</x:v>
      </x:c>
      <x:c r="BO263" s="141" t="n">
        <x:f>INDEX('Consorcio Direto'!$K$55:$K$534,$A263)</x:f>
        <x:v>0</x:v>
      </x:c>
      <x:c r="BP263" s="141" t="n">
        <x:f>IF($A263&lt;'Consorcio Direto'!$B$29,INDEX('Consorcio Direto'!$L$55:$L$534,$A263),$F263)</x:f>
        <x:v>700012.9894395953</x:v>
      </x:c>
      <x:c r="BQ263" s="141" t="n">
        <x:f>BN263+BP263-BO263</x:f>
        <x:v>7820543.08946416</x:v>
      </x:c>
      <x:c r="BR263" s="141" t="n">
        <x:f>IF(BM263&gt;1,"Inviavel",BQ263)</x:f>
        <x:v>7820543.08946416</x:v>
      </x:c>
      <x:c r="BS263" s="141" t="str">
        <x:f>IF(BM263&gt;1,"Inviavel","OK")</x:f>
        <x:v>OK</x:v>
      </x:c>
      <x:c r="BT263" s="141" t="n">
        <x:f>IF(AND('Carta Contemplada'!$B$22="Sim",$A263='Carta Contemplada'!$B$23),'Carta Contemplada'!$B$37,0)</x:f>
        <x:v>0</x:v>
      </x:c>
      <x:c r="BU263" s="141" t="n">
        <x:f>IF('Carta Contemplada'!$B$22="Sim",INDEX('Carta Contemplada'!$C$55:$C$1013,$A263),0)</x:f>
        <x:v>0</x:v>
      </x:c>
      <x:c r="BV263" s="141" t="n">
        <x:f>IF(AND('Carta Contemplada'!$B$22="Sim",Premissas!$B$11="Imovel",Premissas!$B$47="Moradia",$A263&lt;MAX('Carta Contemplada'!$B$44,Premissas!$B$49)),$D263,0)</x:f>
        <x:v>0</x:v>
      </x:c>
      <x:c r="BW263" s="141" t="n">
        <x:f>IF(AND('Carta Contemplada'!$B$22="Sim",Premissas!$B$11="Imovel",Premissas!$B$47="Investimento",$A263&gt;=MAX('Carta Contemplada'!$B$44,Premissas!$B$49)),$E263,0)</x:f>
        <x:v>2175.7207043491962</x:v>
      </x:c>
      <x:c r="BX263" s="141" t="n">
        <x:f>BT263+BU263+BV263</x:f>
        <x:v>0</x:v>
      </x:c>
      <x:c r="BY263" s="141" t="n">
        <x:f>BW263</x:f>
        <x:v>2175.7207043491962</x:v>
      </x:c>
      <x:c r="BZ263" s="141" t="n">
        <x:f>$C263+BY263-BX263</x:f>
        <x:v>9175.720704349196</x:v>
      </x:c>
      <x:c r="CA263" s="141" t="n">
        <x:f>CD262*(1+Premissas!$B$41)+BZ263</x:f>
        <x:v>7710361.831221274</x:v>
      </x:c>
      <x:c r="CB263" s="141" t="n">
        <x:f>MAX(0,-CA263)</x:f>
        <x:v>0</x:v>
      </x:c>
      <x:c r="CC263" s="141" t="n">
        <x:f>CC262*(1+Premissas!$B$41)+CB263</x:f>
        <x:v>0</x:v>
      </x:c>
      <x:c r="CD263" s="141" t="n">
        <x:f>MAX(0,CA263)</x:f>
        <x:v>7710361.831221274</x:v>
      </x:c>
      <x:c r="CE263" s="141" t="n">
        <x:f>IF(AND('Carta Contemplada'!$B$22="Sim",$A263&gt;='Carta Contemplada'!$B$23),INDEX('Carta Contemplada'!$I$55:$I$1013,$A263),0)</x:f>
        <x:v>0</x:v>
      </x:c>
      <x:c r="CF263" s="141" t="n">
        <x:f>IF(AND('Carta Contemplada'!$B$22="Sim",$A263&gt;='Carta Contemplada'!$B$44),$F263,0)</x:f>
        <x:v>700012.9894395953</x:v>
      </x:c>
      <x:c r="CG263" s="141" t="n">
        <x:f>CD263+CF263-CE263</x:f>
        <x:v>8410374.820660869</x:v>
      </x:c>
      <x:c r="CH263" s="141" t="n">
        <x:f>IF(CC263&gt;1,"Inviavel",CG263)</x:f>
        <x:v>8410374.820660869</x:v>
      </x:c>
      <x:c r="CI263" s="145" t="str">
        <x:f>IF(CC263&gt;1,"Inviavel","OK")</x:f>
        <x:v>OK</x:v>
      </x:c>
    </x:row>
    <x:row r="264">
      <x:c r="A264" s="142" t="n">
        <x:v>260</x:v>
      </x:c>
      <x:c r="B264" s="179" t="n">
        <x:f>EDATE(Premissas!$B$4,A264-1)</x:f>
        <x:v>54424</x:v>
      </x:c>
      <x:c r="C264" s="141" t="n">
        <x:f>IF(A264&lt;=Premissas!$B$39,Premissas!$B$42,0)</x:f>
        <x:v>7000</x:v>
      </x:c>
      <x:c r="D264" s="141" t="n">
        <x:f>Premissas!$B$54*(1+Premissas!$B$57)^INT((A264-1)/12)</x:f>
        <x:v>2379.694520381933</x:v>
      </x:c>
      <x:c r="E264" s="141" t="n">
        <x:f>Premissas!$B$64*(1+Premissas!$B$57)^INT((A264-1)/12)</x:f>
        <x:v>2175.7207043491962</x:v>
      </x:c>
      <x:c r="F264" s="141" t="n">
        <x:f>MAX(0,Premissas!$B$6*(1+Premissas!$B$66)^((A264-1)/12))</x:f>
        <x:v>703420.3380620894</x:v>
      </x:c>
      <x:c r="G264" s="141" t="n">
        <x:f>G263*(1+Premissas!$B$41)+C264</x:f>
        <x:v>8896713.570133386</x:v>
      </x:c>
      <x:c r="H264" s="141" t="n">
        <x:f>IF($A264=Premissas!$B$48,Premissas!$B$8,0)</x:f>
        <x:v>0</x:v>
      </x:c>
      <x:c r="I264" s="141" t="n">
        <x:f>IF(AND($A264&gt;=Premissas!$B$48,$A264-Premissas!$B$48+1&lt;=Premissas!$B$13),INDEX(Financiamento!$J$6:$J$485,$A264-Premissas!$B$48+1),0)</x:f>
        <x:v>1112.9316809401425</x:v>
      </x:c>
      <x:c r="J264" s="141" t="n">
        <x:f>IF(AND(TRUE,Premissas!$B$11="Imovel",Premissas!$B$47="Moradia",$A264&lt;MAX(Premissas!$B$48,Premissas!$B$49)),$D264,0)</x:f>
        <x:v>0</x:v>
      </x:c>
      <x:c r="K264" s="141" t="n">
        <x:f>IF(AND(TRUE,Premissas!$B$11="Imovel",Premissas!$B$47="Investimento",$A264&gt;=MAX(Premissas!$B$48,Premissas!$B$49)),$E264,0)</x:f>
        <x:v>2175.7207043491962</x:v>
      </x:c>
      <x:c r="L264" s="141" t="n">
        <x:f>H264+I264+J264</x:f>
        <x:v>1112.9316809401425</x:v>
      </x:c>
      <x:c r="M264" s="141" t="n">
        <x:f>K264</x:f>
        <x:v>2175.7207043491962</x:v>
      </x:c>
      <x:c r="N264" s="141" t="n">
        <x:f>$C264+M264-L264</x:f>
        <x:v>8062.789023409054</x:v>
      </x:c>
      <x:c r="O264" s="141" t="n">
        <x:f>R263*(1+Premissas!$B$41)+N264</x:f>
        <x:v>7558505.922972986</x:v>
      </x:c>
      <x:c r="P264" s="141" t="n">
        <x:f>MAX(0,-O264)</x:f>
        <x:v>0</x:v>
      </x:c>
      <x:c r="Q264" s="141" t="n">
        <x:f>Q263*(1+Premissas!$B$41)+P264</x:f>
        <x:v>0</x:v>
      </x:c>
      <x:c r="R264" s="141" t="n">
        <x:f>MAX(0,O264)</x:f>
        <x:v>7558505.922972986</x:v>
      </x:c>
      <x:c r="S264" s="141" t="n">
        <x:f>IF(AND($A264&gt;=Premissas!$B$48,$A264-Premissas!$B$48+1&lt;=Premissas!$B$13),INDEX(Financiamento!$M$6:$M$485,$A264-Premissas!$B$48+1),0)</x:f>
        <x:v>60952.38095238105</x:v>
      </x:c>
      <x:c r="T264" s="141" t="n">
        <x:f>IF($A264&gt;=Premissas!$B$48,$F264,0)</x:f>
        <x:v>703420.3380620894</x:v>
      </x:c>
      <x:c r="U264" s="141" t="n">
        <x:f>R264+T264-S264</x:f>
        <x:v>8200973.880082695</x:v>
      </x:c>
      <x:c r="V264" s="141" t="n">
        <x:f>IF(Q264&gt;1,"Inviavel",U264)</x:f>
        <x:v>8200973.880082695</x:v>
      </x:c>
      <x:c r="W264" s="141" t="str">
        <x:f>IF(Q264&gt;1,"Inviavel","OK")</x:f>
        <x:v>OK</x:v>
      </x:c>
      <x:c r="X264" s="141" t="n">
        <x:f>IF($A264=Premissas!$B$48,Premissas!$B$8,0)</x:f>
        <x:v>0</x:v>
      </x:c>
      <x:c r="Y264" s="141" t="n">
        <x:f>IF(AND($A264&gt;=Premissas!$B$48,$A264-Premissas!$B$48+1&lt;=Premissas!$B$13),INDEX(Amortizacao!$K$6:$K$485,$A264-Premissas!$B$48+1),0)</x:f>
        <x:v>0</x:v>
      </x:c>
      <x:c r="Z264" s="141" t="n">
        <x:f>IF(AND(TRUE,Premissas!$B$11="Imovel",Premissas!$B$47="Moradia",$A264&lt;MAX(Premissas!$B$48,Premissas!$B$49)),$D264,0)</x:f>
        <x:v>0</x:v>
      </x:c>
      <x:c r="AA264" s="141" t="n">
        <x:f>IF(AND(TRUE,Premissas!$B$11="Imovel",Premissas!$B$47="Investimento",$A264&gt;=MAX(Premissas!$B$48,Premissas!$B$49)),$E264,0)</x:f>
        <x:v>2175.7207043491962</x:v>
      </x:c>
      <x:c r="AB264" s="141" t="n">
        <x:f>X264+Y264+Z264</x:f>
        <x:v>0</x:v>
      </x:c>
      <x:c r="AC264" s="141" t="n">
        <x:f>AA264</x:f>
        <x:v>2175.7207043491962</x:v>
      </x:c>
      <x:c r="AD264" s="141" t="n">
        <x:f>$C264+AC264-AB264</x:f>
        <x:v>9175.720704349196</x:v>
      </x:c>
      <x:c r="AE264" s="141" t="n">
        <x:f>AH263*(1+Premissas!$B$41)+AD264</x:f>
        <x:v>7624480.33758274</x:v>
      </x:c>
      <x:c r="AF264" s="141" t="n">
        <x:f>MAX(0,-AE264)</x:f>
        <x:v>0</x:v>
      </x:c>
      <x:c r="AG264" s="141" t="n">
        <x:f>AG263*(1+Premissas!$B$41)+AF264</x:f>
        <x:v>0</x:v>
      </x:c>
      <x:c r="AH264" s="141" t="n">
        <x:f>MAX(0,AE264)</x:f>
        <x:v>7624480.33758274</x:v>
      </x:c>
      <x:c r="AI264" s="141" t="n">
        <x:f>IF(AND($A264&gt;=Premissas!$B$48,$A264-Premissas!$B$48+1&lt;=Premissas!$B$13),INDEX(Amortizacao!$L$6:$L$485,$A264-Premissas!$B$48+1),0)</x:f>
        <x:v>0</x:v>
      </x:c>
      <x:c r="AJ264" s="141" t="n">
        <x:f>IF($A264&gt;=Premissas!$B$48,$F264,0)</x:f>
        <x:v>703420.3380620894</x:v>
      </x:c>
      <x:c r="AK264" s="141" t="n">
        <x:f>AH264+AJ264-AI264</x:f>
        <x:v>8327900.67564483</x:v>
      </x:c>
      <x:c r="AL264" s="141" t="n">
        <x:f>IF(AG264&gt;1,"Inviavel",AK264)</x:f>
        <x:v>8327900.67564483</x:v>
      </x:c>
      <x:c r="AM264" s="141" t="str">
        <x:f>IF(AG264&gt;1,"Inviavel","OK")</x:f>
        <x:v>OK</x:v>
      </x:c>
      <x:c r="AN264" s="141" t="n">
        <x:f>IF($A264=Premissas!$B$48,Premissas!$B$8,0)</x:f>
        <x:v>0</x:v>
      </x:c>
      <x:c r="AO264" s="141" t="n">
        <x:f>IF($A264&lt;=Premissas!$B$25,INDEX('Consorcio IQ'!$K$6:$K$485,$A264),0)</x:f>
        <x:v>0</x:v>
      </x:c>
      <x:c r="AP264" s="141" t="n">
        <x:f>IF(AND(TRUE,Premissas!$B$11="Imovel",Premissas!$B$47="Moradia",$A264&lt;MAX(Premissas!$B$48,Premissas!$B$49)),$D264,0)</x:f>
        <x:v>0</x:v>
      </x:c>
      <x:c r="AQ264" s="141" t="n">
        <x:f>IF(AND(TRUE,Premissas!$B$11="Imovel",Premissas!$B$47="Investimento",$A264&gt;=MAX(Premissas!$B$48,Premissas!$B$49)),$E264,0)</x:f>
        <x:v>2175.7207043491962</x:v>
      </x:c>
      <x:c r="AR264" s="141" t="n">
        <x:f>AN264+AO264+AP264</x:f>
        <x:v>0</x:v>
      </x:c>
      <x:c r="AS264" s="141" t="n">
        <x:f>AQ264</x:f>
        <x:v>2175.7207043491962</x:v>
      </x:c>
      <x:c r="AT264" s="141" t="n">
        <x:f>$C264+AS264-AR264</x:f>
        <x:v>9175.720704349196</x:v>
      </x:c>
      <x:c r="AU264" s="141" t="n">
        <x:f>AX263*(1+Premissas!$B$41)+AT264</x:f>
        <x:v>7557774.636775826</x:v>
      </x:c>
      <x:c r="AV264" s="141" t="n">
        <x:f>MAX(0,-AU264)</x:f>
        <x:v>0</x:v>
      </x:c>
      <x:c r="AW264" s="141" t="n">
        <x:f>AW263*(1+Premissas!$B$41)+AV264</x:f>
        <x:v>0</x:v>
      </x:c>
      <x:c r="AX264" s="141" t="n">
        <x:f>MAX(0,AU264)</x:f>
        <x:v>7557774.636775826</x:v>
      </x:c>
      <x:c r="AY264" s="141" t="n">
        <x:f>INDEX('Consorcio IQ'!$P$6:$P$485,$A264)</x:f>
        <x:v>0</x:v>
      </x:c>
      <x:c r="AZ264" s="141" t="n">
        <x:f>IF($A264&gt;=Premissas!$B$48,$F264,0)+IF($A264&lt;Premissas!$B$27,INDEX('Consorcio IQ'!$O$6:$O$485,$A264),0)</x:f>
        <x:v>703420.3380620894</x:v>
      </x:c>
      <x:c r="BA264" s="141" t="n">
        <x:f>AX264+AZ264-AY264</x:f>
        <x:v>8261194.974837916</x:v>
      </x:c>
      <x:c r="BB264" s="141" t="n">
        <x:f>IF(AW264&gt;1,"Inviavel",BA264)</x:f>
        <x:v>8261194.974837916</x:v>
      </x:c>
      <x:c r="BC264" s="141" t="str">
        <x:f>IF(AW264&gt;1,"Inviavel","OK")</x:f>
        <x:v>OK</x:v>
      </x:c>
      <x:c r="BD264" s="141" t="n">
        <x:f>IF($A264='Consorcio Direto'!$B$29,'Consorcio Direto'!$B$44,0)</x:f>
        <x:v>0</x:v>
      </x:c>
      <x:c r="BE264" s="141" t="n">
        <x:f>IF($A264&lt;='Consorcio Direto'!$B$27,INDEX('Consorcio Direto'!$E$55:$E$534,$A264),0)</x:f>
        <x:v>0</x:v>
      </x:c>
      <x:c r="BF264" s="141" t="n">
        <x:f>IF(AND(TRUE,Premissas!$B$11="Imovel",Premissas!$B$47="Moradia",$A264&lt;MAX('Consorcio Direto'!$B$29,Premissas!$B$49)),$D264,0)</x:f>
        <x:v>0</x:v>
      </x:c>
      <x:c r="BG264" s="141" t="n">
        <x:f>IF(AND(TRUE,Premissas!$B$11="Imovel",Premissas!$B$47="Investimento",$A264&gt;=MAX('Consorcio Direto'!$B$29,Premissas!$B$49)),$E264,0)</x:f>
        <x:v>2175.7207043491962</x:v>
      </x:c>
      <x:c r="BH264" s="141" t="n">
        <x:f>BD264+BE264+BF264</x:f>
        <x:v>0</x:v>
      </x:c>
      <x:c r="BI264" s="141" t="n">
        <x:f>BG264</x:f>
        <x:v>2175.7207043491962</x:v>
      </x:c>
      <x:c r="BJ264" s="141" t="n">
        <x:f>$C264+BI264-BH264</x:f>
        <x:v>9175.720704349196</x:v>
      </x:c>
      <x:c r="BK264" s="141" t="n">
        <x:f>BN263*(1+Premissas!$B$41)+BJ264</x:f>
        <x:v>7197271.056432512</x:v>
      </x:c>
      <x:c r="BL264" s="141" t="n">
        <x:f>MAX(0,-BK264)</x:f>
        <x:v>0</x:v>
      </x:c>
      <x:c r="BM264" s="141" t="n">
        <x:f>BM263*(1+Premissas!$B$41)+BL264</x:f>
        <x:v>0</x:v>
      </x:c>
      <x:c r="BN264" s="141" t="n">
        <x:f>MAX(0,BK264)</x:f>
        <x:v>7197271.056432512</x:v>
      </x:c>
      <x:c r="BO264" s="141" t="n">
        <x:f>INDEX('Consorcio Direto'!$K$55:$K$534,$A264)</x:f>
        <x:v>0</x:v>
      </x:c>
      <x:c r="BP264" s="141" t="n">
        <x:f>IF($A264&lt;'Consorcio Direto'!$B$29,INDEX('Consorcio Direto'!$L$55:$L$534,$A264),$F264)</x:f>
        <x:v>703420.3380620894</x:v>
      </x:c>
      <x:c r="BQ264" s="141" t="n">
        <x:f>BN264+BP264-BO264</x:f>
        <x:v>7900691.394494601</x:v>
      </x:c>
      <x:c r="BR264" s="141" t="n">
        <x:f>IF(BM264&gt;1,"Inviavel",BQ264)</x:f>
        <x:v>7900691.394494601</x:v>
      </x:c>
      <x:c r="BS264" s="141" t="str">
        <x:f>IF(BM264&gt;1,"Inviavel","OK")</x:f>
        <x:v>OK</x:v>
      </x:c>
      <x:c r="BT264" s="141" t="n">
        <x:f>IF(AND('Carta Contemplada'!$B$22="Sim",$A264='Carta Contemplada'!$B$23),'Carta Contemplada'!$B$37,0)</x:f>
        <x:v>0</x:v>
      </x:c>
      <x:c r="BU264" s="141" t="n">
        <x:f>IF('Carta Contemplada'!$B$22="Sim",INDEX('Carta Contemplada'!$C$55:$C$1013,$A264),0)</x:f>
        <x:v>0</x:v>
      </x:c>
      <x:c r="BV264" s="141" t="n">
        <x:f>IF(AND('Carta Contemplada'!$B$22="Sim",Premissas!$B$11="Imovel",Premissas!$B$47="Moradia",$A264&lt;MAX('Carta Contemplada'!$B$44,Premissas!$B$49)),$D264,0)</x:f>
        <x:v>0</x:v>
      </x:c>
      <x:c r="BW264" s="141" t="n">
        <x:f>IF(AND('Carta Contemplada'!$B$22="Sim",Premissas!$B$11="Imovel",Premissas!$B$47="Investimento",$A264&gt;=MAX('Carta Contemplada'!$B$44,Premissas!$B$49)),$E264,0)</x:f>
        <x:v>2175.7207043491962</x:v>
      </x:c>
      <x:c r="BX264" s="141" t="n">
        <x:f>BT264+BU264+BV264</x:f>
        <x:v>0</x:v>
      </x:c>
      <x:c r="BY264" s="141" t="n">
        <x:f>BW264</x:f>
        <x:v>2175.7207043491962</x:v>
      </x:c>
      <x:c r="BZ264" s="141" t="n">
        <x:f>$C264+BY264-BX264</x:f>
        <x:v>9175.720704349196</x:v>
      </x:c>
      <x:c r="CA264" s="141" t="n">
        <x:f>CD263*(1+Premissas!$B$41)+BZ264</x:f>
        <x:v>7792699.578792794</x:v>
      </x:c>
      <x:c r="CB264" s="141" t="n">
        <x:f>MAX(0,-CA264)</x:f>
        <x:v>0</x:v>
      </x:c>
      <x:c r="CC264" s="141" t="n">
        <x:f>CC263*(1+Premissas!$B$41)+CB264</x:f>
        <x:v>0</x:v>
      </x:c>
      <x:c r="CD264" s="141" t="n">
        <x:f>MAX(0,CA264)</x:f>
        <x:v>7792699.578792794</x:v>
      </x:c>
      <x:c r="CE264" s="141" t="n">
        <x:f>IF(AND('Carta Contemplada'!$B$22="Sim",$A264&gt;='Carta Contemplada'!$B$23),INDEX('Carta Contemplada'!$I$55:$I$1013,$A264),0)</x:f>
        <x:v>0</x:v>
      </x:c>
      <x:c r="CF264" s="141" t="n">
        <x:f>IF(AND('Carta Contemplada'!$B$22="Sim",$A264&gt;='Carta Contemplada'!$B$44),$F264,0)</x:f>
        <x:v>703420.3380620894</x:v>
      </x:c>
      <x:c r="CG264" s="141" t="n">
        <x:f>CD264+CF264-CE264</x:f>
        <x:v>8496119.916854883</x:v>
      </x:c>
      <x:c r="CH264" s="141" t="n">
        <x:f>IF(CC264&gt;1,"Inviavel",CG264)</x:f>
        <x:v>8496119.916854883</x:v>
      </x:c>
      <x:c r="CI264" s="145" t="str">
        <x:f>IF(CC264&gt;1,"Inviavel","OK")</x:f>
        <x:v>OK</x:v>
      </x:c>
    </x:row>
    <x:row r="265">
      <x:c r="A265" s="142" t="n">
        <x:v>261</x:v>
      </x:c>
      <x:c r="B265" s="179" t="n">
        <x:f>EDATE(Premissas!$B$4,A265-1)</x:f>
        <x:v>54455</x:v>
      </x:c>
      <x:c r="C265" s="141" t="n">
        <x:f>IF(A265&lt;=Premissas!$B$39,Premissas!$B$42,0)</x:f>
        <x:v>7000</x:v>
      </x:c>
      <x:c r="D265" s="141" t="n">
        <x:f>Premissas!$B$54*(1+Premissas!$B$57)^INT((A265-1)/12)</x:f>
        <x:v>2379.694520381933</x:v>
      </x:c>
      <x:c r="E265" s="141" t="n">
        <x:f>Premissas!$B$64*(1+Premissas!$B$57)^INT((A265-1)/12)</x:f>
        <x:v>2175.7207043491962</x:v>
      </x:c>
      <x:c r="F265" s="141" t="n">
        <x:f>MAX(0,Premissas!$B$6*(1+Premissas!$B$66)^((A265-1)/12))</x:f>
        <x:v>706844.2721262975</x:v>
      </x:c>
      <x:c r="G265" s="141" t="n">
        <x:f>G264*(1+Premissas!$B$41)+C265</x:f>
        <x:v>8988132.642998677</x:v>
      </x:c>
      <x:c r="H265" s="141" t="n">
        <x:f>IF($A265=Premissas!$B$48,Premissas!$B$8,0)</x:f>
        <x:v>0</x:v>
      </x:c>
      <x:c r="I265" s="141" t="n">
        <x:f>IF(AND($A265&gt;=Premissas!$B$48,$A265-Premissas!$B$48+1&lt;=Premissas!$B$13),INDEX(Financiamento!$J$6:$J$485,$A265-Premissas!$B$48+1),0)</x:f>
        <x:v>1109.316902679349</x:v>
      </x:c>
      <x:c r="J265" s="141" t="n">
        <x:f>IF(AND(TRUE,Premissas!$B$11="Imovel",Premissas!$B$47="Moradia",$A265&lt;MAX(Premissas!$B$48,Premissas!$B$49)),$D265,0)</x:f>
        <x:v>0</x:v>
      </x:c>
      <x:c r="K265" s="141" t="n">
        <x:f>IF(AND(TRUE,Premissas!$B$11="Imovel",Premissas!$B$47="Investimento",$A265&gt;=MAX(Premissas!$B$48,Premissas!$B$49)),$E265,0)</x:f>
        <x:v>2175.7207043491962</x:v>
      </x:c>
      <x:c r="L265" s="141" t="n">
        <x:f>H265+I265+J265</x:f>
        <x:v>1109.316902679349</x:v>
      </x:c>
      <x:c r="M265" s="141" t="n">
        <x:f>K265</x:f>
        <x:v>2175.7207043491962</x:v>
      </x:c>
      <x:c r="N265" s="141" t="n">
        <x:f>$C265+M265-L265</x:f>
        <x:v>8066.403801669847</x:v>
      </x:c>
      <x:c r="O265" s="141" t="n">
        <x:f>R264*(1+Premissas!$B$41)+N265</x:f>
        <x:v>7638293.424372566</x:v>
      </x:c>
      <x:c r="P265" s="141" t="n">
        <x:f>MAX(0,-O265)</x:f>
        <x:v>0</x:v>
      </x:c>
      <x:c r="Q265" s="141" t="n">
        <x:f>Q264*(1+Premissas!$B$41)+P265</x:f>
        <x:v>0</x:v>
      </x:c>
      <x:c r="R265" s="141" t="n">
        <x:f>MAX(0,O265)</x:f>
        <x:v>7638293.424372566</x:v>
      </x:c>
      <x:c r="S265" s="141" t="n">
        <x:f>IF(AND($A265&gt;=Premissas!$B$48,$A265-Premissas!$B$48+1&lt;=Premissas!$B$13),INDEX(Financiamento!$M$6:$M$485,$A265-Premissas!$B$48+1),0)</x:f>
        <x:v>60571.42857142867</x:v>
      </x:c>
      <x:c r="T265" s="141" t="n">
        <x:f>IF($A265&gt;=Premissas!$B$48,$F265,0)</x:f>
        <x:v>706844.2721262975</x:v>
      </x:c>
      <x:c r="U265" s="141" t="n">
        <x:f>R265+T265-S265</x:f>
        <x:v>8284566.267927434</x:v>
      </x:c>
      <x:c r="V265" s="141" t="n">
        <x:f>IF(Q265&gt;1,"Inviavel",U265)</x:f>
        <x:v>8284566.267927434</x:v>
      </x:c>
      <x:c r="W265" s="141" t="str">
        <x:f>IF(Q265&gt;1,"Inviavel","OK")</x:f>
        <x:v>OK</x:v>
      </x:c>
      <x:c r="X265" s="141" t="n">
        <x:f>IF($A265=Premissas!$B$48,Premissas!$B$8,0)</x:f>
        <x:v>0</x:v>
      </x:c>
      <x:c r="Y265" s="141" t="n">
        <x:f>IF(AND($A265&gt;=Premissas!$B$48,$A265-Premissas!$B$48+1&lt;=Premissas!$B$13),INDEX(Amortizacao!$K$6:$K$485,$A265-Premissas!$B$48+1),0)</x:f>
        <x:v>0</x:v>
      </x:c>
      <x:c r="Z265" s="141" t="n">
        <x:f>IF(AND(TRUE,Premissas!$B$11="Imovel",Premissas!$B$47="Moradia",$A265&lt;MAX(Premissas!$B$48,Premissas!$B$49)),$D265,0)</x:f>
        <x:v>0</x:v>
      </x:c>
      <x:c r="AA265" s="141" t="n">
        <x:f>IF(AND(TRUE,Premissas!$B$11="Imovel",Premissas!$B$47="Investimento",$A265&gt;=MAX(Premissas!$B$48,Premissas!$B$49)),$E265,0)</x:f>
        <x:v>2175.7207043491962</x:v>
      </x:c>
      <x:c r="AB265" s="141" t="n">
        <x:f>X265+Y265+Z265</x:f>
        <x:v>0</x:v>
      </x:c>
      <x:c r="AC265" s="141" t="n">
        <x:f>AA265</x:f>
        <x:v>2175.7207043491962</x:v>
      </x:c>
      <x:c r="AD265" s="141" t="n">
        <x:f>$C265+AC265-AB265</x:f>
        <x:v>9175.720704349196</x:v>
      </x:c>
      <x:c r="AE265" s="141" t="n">
        <x:f>AH264*(1+Premissas!$B$41)+AD265</x:f>
        <x:v>7706003.1734442115</x:v>
      </x:c>
      <x:c r="AF265" s="141" t="n">
        <x:f>MAX(0,-AE265)</x:f>
        <x:v>0</x:v>
      </x:c>
      <x:c r="AG265" s="141" t="n">
        <x:f>AG264*(1+Premissas!$B$41)+AF265</x:f>
        <x:v>0</x:v>
      </x:c>
      <x:c r="AH265" s="141" t="n">
        <x:f>MAX(0,AE265)</x:f>
        <x:v>7706003.1734442115</x:v>
      </x:c>
      <x:c r="AI265" s="141" t="n">
        <x:f>IF(AND($A265&gt;=Premissas!$B$48,$A265-Premissas!$B$48+1&lt;=Premissas!$B$13),INDEX(Amortizacao!$L$6:$L$485,$A265-Premissas!$B$48+1),0)</x:f>
        <x:v>0</x:v>
      </x:c>
      <x:c r="AJ265" s="141" t="n">
        <x:f>IF($A265&gt;=Premissas!$B$48,$F265,0)</x:f>
        <x:v>706844.2721262975</x:v>
      </x:c>
      <x:c r="AK265" s="141" t="n">
        <x:f>AH265+AJ265-AI265</x:f>
        <x:v>8412847.44557051</x:v>
      </x:c>
      <x:c r="AL265" s="141" t="n">
        <x:f>IF(AG265&gt;1,"Inviavel",AK265)</x:f>
        <x:v>8412847.44557051</x:v>
      </x:c>
      <x:c r="AM265" s="141" t="str">
        <x:f>IF(AG265&gt;1,"Inviavel","OK")</x:f>
        <x:v>OK</x:v>
      </x:c>
      <x:c r="AN265" s="141" t="n">
        <x:f>IF($A265=Premissas!$B$48,Premissas!$B$8,0)</x:f>
        <x:v>0</x:v>
      </x:c>
      <x:c r="AO265" s="141" t="n">
        <x:f>IF($A265&lt;=Premissas!$B$25,INDEX('Consorcio IQ'!$K$6:$K$485,$A265),0)</x:f>
        <x:v>0</x:v>
      </x:c>
      <x:c r="AP265" s="141" t="n">
        <x:f>IF(AND(TRUE,Premissas!$B$11="Imovel",Premissas!$B$47="Moradia",$A265&lt;MAX(Premissas!$B$48,Premissas!$B$49)),$D265,0)</x:f>
        <x:v>0</x:v>
      </x:c>
      <x:c r="AQ265" s="141" t="n">
        <x:f>IF(AND(TRUE,Premissas!$B$11="Imovel",Premissas!$B$47="Investimento",$A265&gt;=MAX(Premissas!$B$48,Premissas!$B$49)),$E265,0)</x:f>
        <x:v>2175.7207043491962</x:v>
      </x:c>
      <x:c r="AR265" s="141" t="n">
        <x:f>AN265+AO265+AP265</x:f>
        <x:v>0</x:v>
      </x:c>
      <x:c r="AS265" s="141" t="n">
        <x:f>AQ265</x:f>
        <x:v>2175.7207043491962</x:v>
      </x:c>
      <x:c r="AT265" s="141" t="n">
        <x:f>$C265+AS265-AR265</x:f>
        <x:v>9175.720704349196</x:v>
      </x:c>
      <x:c r="AU265" s="141" t="n">
        <x:f>AX264*(1+Premissas!$B$41)+AT265</x:f>
        <x:v>7638664.516054784</x:v>
      </x:c>
      <x:c r="AV265" s="141" t="n">
        <x:f>MAX(0,-AU265)</x:f>
        <x:v>0</x:v>
      </x:c>
      <x:c r="AW265" s="141" t="n">
        <x:f>AW264*(1+Premissas!$B$41)+AV265</x:f>
        <x:v>0</x:v>
      </x:c>
      <x:c r="AX265" s="141" t="n">
        <x:f>MAX(0,AU265)</x:f>
        <x:v>7638664.516054784</x:v>
      </x:c>
      <x:c r="AY265" s="141" t="n">
        <x:f>INDEX('Consorcio IQ'!$P$6:$P$485,$A265)</x:f>
        <x:v>0</x:v>
      </x:c>
      <x:c r="AZ265" s="141" t="n">
        <x:f>IF($A265&gt;=Premissas!$B$48,$F265,0)+IF($A265&lt;Premissas!$B$27,INDEX('Consorcio IQ'!$O$6:$O$485,$A265),0)</x:f>
        <x:v>706844.2721262975</x:v>
      </x:c>
      <x:c r="BA265" s="141" t="n">
        <x:f>AX265+AZ265-AY265</x:f>
        <x:v>8345508.788181081</x:v>
      </x:c>
      <x:c r="BB265" s="141" t="n">
        <x:f>IF(AW265&gt;1,"Inviavel",BA265)</x:f>
        <x:v>8345508.788181081</x:v>
      </x:c>
      <x:c r="BC265" s="141" t="str">
        <x:f>IF(AW265&gt;1,"Inviavel","OK")</x:f>
        <x:v>OK</x:v>
      </x:c>
      <x:c r="BD265" s="141" t="n">
        <x:f>IF($A265='Consorcio Direto'!$B$29,'Consorcio Direto'!$B$44,0)</x:f>
        <x:v>0</x:v>
      </x:c>
      <x:c r="BE265" s="141" t="n">
        <x:f>IF($A265&lt;='Consorcio Direto'!$B$27,INDEX('Consorcio Direto'!$E$55:$E$534,$A265),0)</x:f>
        <x:v>0</x:v>
      </x:c>
      <x:c r="BF265" s="141" t="n">
        <x:f>IF(AND(TRUE,Premissas!$B$11="Imovel",Premissas!$B$47="Moradia",$A265&lt;MAX('Consorcio Direto'!$B$29,Premissas!$B$49)),$D265,0)</x:f>
        <x:v>0</x:v>
      </x:c>
      <x:c r="BG265" s="141" t="n">
        <x:f>IF(AND(TRUE,Premissas!$B$11="Imovel",Premissas!$B$47="Investimento",$A265&gt;=MAX('Consorcio Direto'!$B$29,Premissas!$B$49)),$E265,0)</x:f>
        <x:v>2175.7207043491962</x:v>
      </x:c>
      <x:c r="BH265" s="141" t="n">
        <x:f>BD265+BE265+BF265</x:f>
        <x:v>0</x:v>
      </x:c>
      <x:c r="BI265" s="141" t="n">
        <x:f>BG265</x:f>
        <x:v>2175.7207043491962</x:v>
      </x:c>
      <x:c r="BJ265" s="141" t="n">
        <x:f>$C265+BI265-BH265</x:f>
        <x:v>9175.720704349196</x:v>
      </x:c>
      <x:c r="BK265" s="141" t="n">
        <x:f>BN264*(1+Premissas!$B$41)+BJ265</x:f>
        <x:v>7274740.191885416</x:v>
      </x:c>
      <x:c r="BL265" s="141" t="n">
        <x:f>MAX(0,-BK265)</x:f>
        <x:v>0</x:v>
      </x:c>
      <x:c r="BM265" s="141" t="n">
        <x:f>BM264*(1+Premissas!$B$41)+BL265</x:f>
        <x:v>0</x:v>
      </x:c>
      <x:c r="BN265" s="141" t="n">
        <x:f>MAX(0,BK265)</x:f>
        <x:v>7274740.191885416</x:v>
      </x:c>
      <x:c r="BO265" s="141" t="n">
        <x:f>INDEX('Consorcio Direto'!$K$55:$K$534,$A265)</x:f>
        <x:v>0</x:v>
      </x:c>
      <x:c r="BP265" s="141" t="n">
        <x:f>IF($A265&lt;'Consorcio Direto'!$B$29,INDEX('Consorcio Direto'!$L$55:$L$534,$A265),$F265)</x:f>
        <x:v>706844.2721262975</x:v>
      </x:c>
      <x:c r="BQ265" s="141" t="n">
        <x:f>BN265+BP265-BO265</x:f>
        <x:v>7981584.464011714</x:v>
      </x:c>
      <x:c r="BR265" s="141" t="n">
        <x:f>IF(BM265&gt;1,"Inviavel",BQ265)</x:f>
        <x:v>7981584.464011714</x:v>
      </x:c>
      <x:c r="BS265" s="141" t="str">
        <x:f>IF(BM265&gt;1,"Inviavel","OK")</x:f>
        <x:v>OK</x:v>
      </x:c>
      <x:c r="BT265" s="141" t="n">
        <x:f>IF(AND('Carta Contemplada'!$B$22="Sim",$A265='Carta Contemplada'!$B$23),'Carta Contemplada'!$B$37,0)</x:f>
        <x:v>0</x:v>
      </x:c>
      <x:c r="BU265" s="141" t="n">
        <x:f>IF('Carta Contemplada'!$B$22="Sim",INDEX('Carta Contemplada'!$C$55:$C$1013,$A265),0)</x:f>
        <x:v>0</x:v>
      </x:c>
      <x:c r="BV265" s="141" t="n">
        <x:f>IF(AND('Carta Contemplada'!$B$22="Sim",Premissas!$B$11="Imovel",Premissas!$B$47="Moradia",$A265&lt;MAX('Carta Contemplada'!$B$44,Premissas!$B$49)),$D265,0)</x:f>
        <x:v>0</x:v>
      </x:c>
      <x:c r="BW265" s="141" t="n">
        <x:f>IF(AND('Carta Contemplada'!$B$22="Sim",Premissas!$B$11="Imovel",Premissas!$B$47="Investimento",$A265&gt;=MAX('Carta Contemplada'!$B$44,Premissas!$B$49)),$E265,0)</x:f>
        <x:v>2175.7207043491962</x:v>
      </x:c>
      <x:c r="BX265" s="141" t="n">
        <x:f>BT265+BU265+BV265</x:f>
        <x:v>0</x:v>
      </x:c>
      <x:c r="BY265" s="141" t="n">
        <x:f>BW265</x:f>
        <x:v>2175.7207043491962</x:v>
      </x:c>
      <x:c r="BZ265" s="141" t="n">
        <x:f>$C265+BY265-BX265</x:f>
        <x:v>9175.720704349196</x:v>
      </x:c>
      <x:c r="CA265" s="141" t="n">
        <x:f>CD264*(1+Premissas!$B$41)+BZ265</x:f>
        <x:v>7875818.61220172</x:v>
      </x:c>
      <x:c r="CB265" s="141" t="n">
        <x:f>MAX(0,-CA265)</x:f>
        <x:v>0</x:v>
      </x:c>
      <x:c r="CC265" s="141" t="n">
        <x:f>CC264*(1+Premissas!$B$41)+CB265</x:f>
        <x:v>0</x:v>
      </x:c>
      <x:c r="CD265" s="141" t="n">
        <x:f>MAX(0,CA265)</x:f>
        <x:v>7875818.61220172</x:v>
      </x:c>
      <x:c r="CE265" s="141" t="n">
        <x:f>IF(AND('Carta Contemplada'!$B$22="Sim",$A265&gt;='Carta Contemplada'!$B$23),INDEX('Carta Contemplada'!$I$55:$I$1013,$A265),0)</x:f>
        <x:v>0</x:v>
      </x:c>
      <x:c r="CF265" s="141" t="n">
        <x:f>IF(AND('Carta Contemplada'!$B$22="Sim",$A265&gt;='Carta Contemplada'!$B$44),$F265,0)</x:f>
        <x:v>706844.2721262975</x:v>
      </x:c>
      <x:c r="CG265" s="141" t="n">
        <x:f>CD265+CF265-CE265</x:f>
        <x:v>8582662.884328017</x:v>
      </x:c>
      <x:c r="CH265" s="141" t="n">
        <x:f>IF(CC265&gt;1,"Inviavel",CG265)</x:f>
        <x:v>8582662.884328017</x:v>
      </x:c>
      <x:c r="CI265" s="145" t="str">
        <x:f>IF(CC265&gt;1,"Inviavel","OK")</x:f>
        <x:v>OK</x:v>
      </x:c>
    </x:row>
    <x:row r="266">
      <x:c r="A266" s="142" t="n">
        <x:v>262</x:v>
      </x:c>
      <x:c r="B266" s="179" t="n">
        <x:f>EDATE(Premissas!$B$4,A266-1)</x:f>
        <x:v>54483</x:v>
      </x:c>
      <x:c r="C266" s="141" t="n">
        <x:f>IF(A266&lt;=Premissas!$B$39,Premissas!$B$42,0)</x:f>
        <x:v>7000</x:v>
      </x:c>
      <x:c r="D266" s="141" t="n">
        <x:f>Premissas!$B$54*(1+Premissas!$B$57)^INT((A266-1)/12)</x:f>
        <x:v>2379.694520381933</x:v>
      </x:c>
      <x:c r="E266" s="141" t="n">
        <x:f>Premissas!$B$64*(1+Premissas!$B$57)^INT((A266-1)/12)</x:f>
        <x:v>2175.7207043491962</x:v>
      </x:c>
      <x:c r="F266" s="141" t="n">
        <x:f>MAX(0,Premissas!$B$6*(1+Premissas!$B$66)^((A266-1)/12))</x:f>
        <x:v>710284.8723626953</x:v>
      </x:c>
      <x:c r="G266" s="141" t="n">
        <x:f>G265*(1+Premissas!$B$41)+C266</x:f>
        <x:v>9080419.172516657</x:v>
      </x:c>
      <x:c r="H266" s="141" t="n">
        <x:f>IF($A266=Premissas!$B$48,Premissas!$B$8,0)</x:f>
        <x:v>0</x:v>
      </x:c>
      <x:c r="I266" s="141" t="n">
        <x:f>IF(AND($A266&gt;=Premissas!$B$48,$A266-Premissas!$B$48+1&lt;=Premissas!$B$13),INDEX(Financiamento!$J$6:$J$485,$A266-Premissas!$B$48+1),0)</x:f>
        <x:v>1105.7021244185555</x:v>
      </x:c>
      <x:c r="J266" s="141" t="n">
        <x:f>IF(AND(TRUE,Premissas!$B$11="Imovel",Premissas!$B$47="Moradia",$A266&lt;MAX(Premissas!$B$48,Premissas!$B$49)),$D266,0)</x:f>
        <x:v>0</x:v>
      </x:c>
      <x:c r="K266" s="141" t="n">
        <x:f>IF(AND(TRUE,Premissas!$B$11="Imovel",Premissas!$B$47="Investimento",$A266&gt;=MAX(Premissas!$B$48,Premissas!$B$49)),$E266,0)</x:f>
        <x:v>2175.7207043491962</x:v>
      </x:c>
      <x:c r="L266" s="141" t="n">
        <x:f>H266+I266+J266</x:f>
        <x:v>1105.7021244185555</x:v>
      </x:c>
      <x:c r="M266" s="141" t="n">
        <x:f>K266</x:f>
        <x:v>2175.7207043491962</x:v>
      </x:c>
      <x:c r="N266" s="141" t="n">
        <x:f>$C266+M266-L266</x:f>
        <x:v>8070.018579930641</x:v>
      </x:c>
      <x:c r="O266" s="141" t="n">
        <x:f>R265*(1+Premissas!$B$41)+N266</x:f>
        <x:v>7718841.627629955</x:v>
      </x:c>
      <x:c r="P266" s="141" t="n">
        <x:f>MAX(0,-O266)</x:f>
        <x:v>0</x:v>
      </x:c>
      <x:c r="Q266" s="141" t="n">
        <x:f>Q265*(1+Premissas!$B$41)+P266</x:f>
        <x:v>0</x:v>
      </x:c>
      <x:c r="R266" s="141" t="n">
        <x:f>MAX(0,O266)</x:f>
        <x:v>7718841.627629955</x:v>
      </x:c>
      <x:c r="S266" s="141" t="n">
        <x:f>IF(AND($A266&gt;=Premissas!$B$48,$A266-Premissas!$B$48+1&lt;=Premissas!$B$13),INDEX(Financiamento!$M$6:$M$485,$A266-Premissas!$B$48+1),0)</x:f>
        <x:v>60190.476190476285</x:v>
      </x:c>
      <x:c r="T266" s="141" t="n">
        <x:f>IF($A266&gt;=Premissas!$B$48,$F266,0)</x:f>
        <x:v>710284.8723626953</x:v>
      </x:c>
      <x:c r="U266" s="141" t="n">
        <x:f>R266+T266-S266</x:f>
        <x:v>8368936.023802173</x:v>
      </x:c>
      <x:c r="V266" s="141" t="n">
        <x:f>IF(Q266&gt;1,"Inviavel",U266)</x:f>
        <x:v>8368936.023802173</x:v>
      </x:c>
      <x:c r="W266" s="141" t="str">
        <x:f>IF(Q266&gt;1,"Inviavel","OK")</x:f>
        <x:v>OK</x:v>
      </x:c>
      <x:c r="X266" s="141" t="n">
        <x:f>IF($A266=Premissas!$B$48,Premissas!$B$8,0)</x:f>
        <x:v>0</x:v>
      </x:c>
      <x:c r="Y266" s="141" t="n">
        <x:f>IF(AND($A266&gt;=Premissas!$B$48,$A266-Premissas!$B$48+1&lt;=Premissas!$B$13),INDEX(Amortizacao!$K$6:$K$485,$A266-Premissas!$B$48+1),0)</x:f>
        <x:v>0</x:v>
      </x:c>
      <x:c r="Z266" s="141" t="n">
        <x:f>IF(AND(TRUE,Premissas!$B$11="Imovel",Premissas!$B$47="Moradia",$A266&lt;MAX(Premissas!$B$48,Premissas!$B$49)),$D266,0)</x:f>
        <x:v>0</x:v>
      </x:c>
      <x:c r="AA266" s="141" t="n">
        <x:f>IF(AND(TRUE,Premissas!$B$11="Imovel",Premissas!$B$47="Investimento",$A266&gt;=MAX(Premissas!$B$48,Premissas!$B$49)),$E266,0)</x:f>
        <x:v>2175.7207043491962</x:v>
      </x:c>
      <x:c r="AB266" s="141" t="n">
        <x:f>X266+Y266+Z266</x:f>
        <x:v>0</x:v>
      </x:c>
      <x:c r="AC266" s="141" t="n">
        <x:f>AA266</x:f>
        <x:v>2175.7207043491962</x:v>
      </x:c>
      <x:c r="AD266" s="141" t="n">
        <x:f>$C266+AC266-AB266</x:f>
        <x:v>9175.720704349196</x:v>
      </x:c>
      <x:c r="AE266" s="141" t="n">
        <x:f>AH265*(1+Premissas!$B$41)+AD266</x:f>
        <x:v>7788299.562614612</x:v>
      </x:c>
      <x:c r="AF266" s="141" t="n">
        <x:f>MAX(0,-AE266)</x:f>
        <x:v>0</x:v>
      </x:c>
      <x:c r="AG266" s="141" t="n">
        <x:f>AG265*(1+Premissas!$B$41)+AF266</x:f>
        <x:v>0</x:v>
      </x:c>
      <x:c r="AH266" s="141" t="n">
        <x:f>MAX(0,AE266)</x:f>
        <x:v>7788299.562614612</x:v>
      </x:c>
      <x:c r="AI266" s="141" t="n">
        <x:f>IF(AND($A266&gt;=Premissas!$B$48,$A266-Premissas!$B$48+1&lt;=Premissas!$B$13),INDEX(Amortizacao!$L$6:$L$485,$A266-Premissas!$B$48+1),0)</x:f>
        <x:v>0</x:v>
      </x:c>
      <x:c r="AJ266" s="141" t="n">
        <x:f>IF($A266&gt;=Premissas!$B$48,$F266,0)</x:f>
        <x:v>710284.8723626953</x:v>
      </x:c>
      <x:c r="AK266" s="141" t="n">
        <x:f>AH266+AJ266-AI266</x:f>
        <x:v>8498584.434977308</x:v>
      </x:c>
      <x:c r="AL266" s="141" t="n">
        <x:f>IF(AG266&gt;1,"Inviavel",AK266)</x:f>
        <x:v>8498584.434977308</x:v>
      </x:c>
      <x:c r="AM266" s="141" t="str">
        <x:f>IF(AG266&gt;1,"Inviavel","OK")</x:f>
        <x:v>OK</x:v>
      </x:c>
      <x:c r="AN266" s="141" t="n">
        <x:f>IF($A266=Premissas!$B$48,Premissas!$B$8,0)</x:f>
        <x:v>0</x:v>
      </x:c>
      <x:c r="AO266" s="141" t="n">
        <x:f>IF($A266&lt;=Premissas!$B$25,INDEX('Consorcio IQ'!$K$6:$K$485,$A266),0)</x:f>
        <x:v>0</x:v>
      </x:c>
      <x:c r="AP266" s="141" t="n">
        <x:f>IF(AND(TRUE,Premissas!$B$11="Imovel",Premissas!$B$47="Moradia",$A266&lt;MAX(Premissas!$B$48,Premissas!$B$49)),$D266,0)</x:f>
        <x:v>0</x:v>
      </x:c>
      <x:c r="AQ266" s="141" t="n">
        <x:f>IF(AND(TRUE,Premissas!$B$11="Imovel",Premissas!$B$47="Investimento",$A266&gt;=MAX(Premissas!$B$48,Premissas!$B$49)),$E266,0)</x:f>
        <x:v>2175.7207043491962</x:v>
      </x:c>
      <x:c r="AR266" s="141" t="n">
        <x:f>AN266+AO266+AP266</x:f>
        <x:v>0</x:v>
      </x:c>
      <x:c r="AS266" s="141" t="n">
        <x:f>AQ266</x:f>
        <x:v>2175.7207043491962</x:v>
      </x:c>
      <x:c r="AT266" s="141" t="n">
        <x:f>$C266+AS266-AR266</x:f>
        <x:v>9175.720704349196</x:v>
      </x:c>
      <x:c r="AU266" s="141" t="n">
        <x:f>AX265*(1+Premissas!$B$41)+AT266</x:f>
        <x:v>7720321.942648724</x:v>
      </x:c>
      <x:c r="AV266" s="141" t="n">
        <x:f>MAX(0,-AU266)</x:f>
        <x:v>0</x:v>
      </x:c>
      <x:c r="AW266" s="141" t="n">
        <x:f>AW265*(1+Premissas!$B$41)+AV266</x:f>
        <x:v>0</x:v>
      </x:c>
      <x:c r="AX266" s="141" t="n">
        <x:f>MAX(0,AU266)</x:f>
        <x:v>7720321.942648724</x:v>
      </x:c>
      <x:c r="AY266" s="141" t="n">
        <x:f>INDEX('Consorcio IQ'!$P$6:$P$485,$A266)</x:f>
        <x:v>0</x:v>
      </x:c>
      <x:c r="AZ266" s="141" t="n">
        <x:f>IF($A266&gt;=Premissas!$B$48,$F266,0)+IF($A266&lt;Premissas!$B$27,INDEX('Consorcio IQ'!$O$6:$O$485,$A266),0)</x:f>
        <x:v>710284.8723626953</x:v>
      </x:c>
      <x:c r="BA266" s="141" t="n">
        <x:f>AX266+AZ266-AY266</x:f>
        <x:v>8430606.81501142</x:v>
      </x:c>
      <x:c r="BB266" s="141" t="n">
        <x:f>IF(AW266&gt;1,"Inviavel",BA266)</x:f>
        <x:v>8430606.81501142</x:v>
      </x:c>
      <x:c r="BC266" s="141" t="str">
        <x:f>IF(AW266&gt;1,"Inviavel","OK")</x:f>
        <x:v>OK</x:v>
      </x:c>
      <x:c r="BD266" s="141" t="n">
        <x:f>IF($A266='Consorcio Direto'!$B$29,'Consorcio Direto'!$B$44,0)</x:f>
        <x:v>0</x:v>
      </x:c>
      <x:c r="BE266" s="141" t="n">
        <x:f>IF($A266&lt;='Consorcio Direto'!$B$27,INDEX('Consorcio Direto'!$E$55:$E$534,$A266),0)</x:f>
        <x:v>0</x:v>
      </x:c>
      <x:c r="BF266" s="141" t="n">
        <x:f>IF(AND(TRUE,Premissas!$B$11="Imovel",Premissas!$B$47="Moradia",$A266&lt;MAX('Consorcio Direto'!$B$29,Premissas!$B$49)),$D266,0)</x:f>
        <x:v>0</x:v>
      </x:c>
      <x:c r="BG266" s="141" t="n">
        <x:f>IF(AND(TRUE,Premissas!$B$11="Imovel",Premissas!$B$47="Investimento",$A266&gt;=MAX('Consorcio Direto'!$B$29,Premissas!$B$49)),$E266,0)</x:f>
        <x:v>2175.7207043491962</x:v>
      </x:c>
      <x:c r="BH266" s="141" t="n">
        <x:f>BD266+BE266+BF266</x:f>
        <x:v>0</x:v>
      </x:c>
      <x:c r="BI266" s="141" t="n">
        <x:f>BG266</x:f>
        <x:v>2175.7207043491962</x:v>
      </x:c>
      <x:c r="BJ266" s="141" t="n">
        <x:f>$C266+BI266-BH266</x:f>
        <x:v>9175.720704349196</x:v>
      </x:c>
      <x:c r="BK266" s="141" t="n">
        <x:f>BN265*(1+Premissas!$B$41)+BJ266</x:f>
        <x:v>7352944.415923455</x:v>
      </x:c>
      <x:c r="BL266" s="141" t="n">
        <x:f>MAX(0,-BK266)</x:f>
        <x:v>0</x:v>
      </x:c>
      <x:c r="BM266" s="141" t="n">
        <x:f>BM265*(1+Premissas!$B$41)+BL266</x:f>
        <x:v>0</x:v>
      </x:c>
      <x:c r="BN266" s="141" t="n">
        <x:f>MAX(0,BK266)</x:f>
        <x:v>7352944.415923455</x:v>
      </x:c>
      <x:c r="BO266" s="141" t="n">
        <x:f>INDEX('Consorcio Direto'!$K$55:$K$534,$A266)</x:f>
        <x:v>0</x:v>
      </x:c>
      <x:c r="BP266" s="141" t="n">
        <x:f>IF($A266&lt;'Consorcio Direto'!$B$29,INDEX('Consorcio Direto'!$L$55:$L$534,$A266),$F266)</x:f>
        <x:v>710284.8723626953</x:v>
      </x:c>
      <x:c r="BQ266" s="141" t="n">
        <x:f>BN266+BP266-BO266</x:f>
        <x:v>8063229.28828615</x:v>
      </x:c>
      <x:c r="BR266" s="141" t="n">
        <x:f>IF(BM266&gt;1,"Inviavel",BQ266)</x:f>
        <x:v>8063229.28828615</x:v>
      </x:c>
      <x:c r="BS266" s="141" t="str">
        <x:f>IF(BM266&gt;1,"Inviavel","OK")</x:f>
        <x:v>OK</x:v>
      </x:c>
      <x:c r="BT266" s="141" t="n">
        <x:f>IF(AND('Carta Contemplada'!$B$22="Sim",$A266='Carta Contemplada'!$B$23),'Carta Contemplada'!$B$37,0)</x:f>
        <x:v>0</x:v>
      </x:c>
      <x:c r="BU266" s="141" t="n">
        <x:f>IF('Carta Contemplada'!$B$22="Sim",INDEX('Carta Contemplada'!$C$55:$C$1013,$A266),0)</x:f>
        <x:v>0</x:v>
      </x:c>
      <x:c r="BV266" s="141" t="n">
        <x:f>IF(AND('Carta Contemplada'!$B$22="Sim",Premissas!$B$11="Imovel",Premissas!$B$47="Moradia",$A266&lt;MAX('Carta Contemplada'!$B$44,Premissas!$B$49)),$D266,0)</x:f>
        <x:v>0</x:v>
      </x:c>
      <x:c r="BW266" s="141" t="n">
        <x:f>IF(AND('Carta Contemplada'!$B$22="Sim",Premissas!$B$11="Imovel",Premissas!$B$47="Investimento",$A266&gt;=MAX('Carta Contemplada'!$B$44,Premissas!$B$49)),$E266,0)</x:f>
        <x:v>2175.7207043491962</x:v>
      </x:c>
      <x:c r="BX266" s="141" t="n">
        <x:f>BT266+BU266+BV266</x:f>
        <x:v>0</x:v>
      </x:c>
      <x:c r="BY266" s="141" t="n">
        <x:f>BW266</x:f>
        <x:v>2175.7207043491962</x:v>
      </x:c>
      <x:c r="BZ266" s="141" t="n">
        <x:f>$C266+BY266-BX266</x:f>
        <x:v>9175.720704349196</x:v>
      </x:c>
      <x:c r="CA266" s="141" t="n">
        <x:f>CD265*(1+Premissas!$B$41)+BZ266</x:f>
        <x:v>7959726.3449075855</x:v>
      </x:c>
      <x:c r="CB266" s="141" t="n">
        <x:f>MAX(0,-CA266)</x:f>
        <x:v>0</x:v>
      </x:c>
      <x:c r="CC266" s="141" t="n">
        <x:f>CC265*(1+Premissas!$B$41)+CB266</x:f>
        <x:v>0</x:v>
      </x:c>
      <x:c r="CD266" s="141" t="n">
        <x:f>MAX(0,CA266)</x:f>
        <x:v>7959726.3449075855</x:v>
      </x:c>
      <x:c r="CE266" s="141" t="n">
        <x:f>IF(AND('Carta Contemplada'!$B$22="Sim",$A266&gt;='Carta Contemplada'!$B$23),INDEX('Carta Contemplada'!$I$55:$I$1013,$A266),0)</x:f>
        <x:v>0</x:v>
      </x:c>
      <x:c r="CF266" s="141" t="n">
        <x:f>IF(AND('Carta Contemplada'!$B$22="Sim",$A266&gt;='Carta Contemplada'!$B$44),$F266,0)</x:f>
        <x:v>710284.8723626953</x:v>
      </x:c>
      <x:c r="CG266" s="141" t="n">
        <x:f>CD266+CF266-CE266</x:f>
        <x:v>8670011.217270281</x:v>
      </x:c>
      <x:c r="CH266" s="141" t="n">
        <x:f>IF(CC266&gt;1,"Inviavel",CG266)</x:f>
        <x:v>8670011.217270281</x:v>
      </x:c>
      <x:c r="CI266" s="145" t="str">
        <x:f>IF(CC266&gt;1,"Inviavel","OK")</x:f>
        <x:v>OK</x:v>
      </x:c>
    </x:row>
    <x:row r="267">
      <x:c r="A267" s="142" t="n">
        <x:v>263</x:v>
      </x:c>
      <x:c r="B267" s="179" t="n">
        <x:f>EDATE(Premissas!$B$4,A267-1)</x:f>
        <x:v>54514</x:v>
      </x:c>
      <x:c r="C267" s="141" t="n">
        <x:f>IF(A267&lt;=Premissas!$B$39,Premissas!$B$42,0)</x:f>
        <x:v>7000</x:v>
      </x:c>
      <x:c r="D267" s="141" t="n">
        <x:f>Premissas!$B$54*(1+Premissas!$B$57)^INT((A267-1)/12)</x:f>
        <x:v>2379.694520381933</x:v>
      </x:c>
      <x:c r="E267" s="141" t="n">
        <x:f>Premissas!$B$64*(1+Premissas!$B$57)^INT((A267-1)/12)</x:f>
        <x:v>2175.7207043491962</x:v>
      </x:c>
      <x:c r="F267" s="141" t="n">
        <x:f>MAX(0,Premissas!$B$6*(1+Premissas!$B$66)^((A267-1)/12))</x:f>
        <x:v>713742.2198947188</x:v>
      </x:c>
      <x:c r="G267" s="141" t="n">
        <x:f>G266*(1+Premissas!$B$41)+C267</x:f>
        <x:v>9173581.389803886</x:v>
      </x:c>
      <x:c r="H267" s="141" t="n">
        <x:f>IF($A267=Premissas!$B$48,Premissas!$B$8,0)</x:f>
        <x:v>0</x:v>
      </x:c>
      <x:c r="I267" s="141" t="n">
        <x:f>IF(AND($A267&gt;=Premissas!$B$48,$A267-Premissas!$B$48+1&lt;=Premissas!$B$13),INDEX(Financiamento!$J$6:$J$485,$A267-Premissas!$B$48+1),0)</x:f>
        <x:v>1102.087346157762</x:v>
      </x:c>
      <x:c r="J267" s="141" t="n">
        <x:f>IF(AND(TRUE,Premissas!$B$11="Imovel",Premissas!$B$47="Moradia",$A267&lt;MAX(Premissas!$B$48,Premissas!$B$49)),$D267,0)</x:f>
        <x:v>0</x:v>
      </x:c>
      <x:c r="K267" s="141" t="n">
        <x:f>IF(AND(TRUE,Premissas!$B$11="Imovel",Premissas!$B$47="Investimento",$A267&gt;=MAX(Premissas!$B$48,Premissas!$B$49)),$E267,0)</x:f>
        <x:v>2175.7207043491962</x:v>
      </x:c>
      <x:c r="L267" s="141" t="n">
        <x:f>H267+I267+J267</x:f>
        <x:v>1102.087346157762</x:v>
      </x:c>
      <x:c r="M267" s="141" t="n">
        <x:f>K267</x:f>
        <x:v>2175.7207043491962</x:v>
      </x:c>
      <x:c r="N267" s="141" t="n">
        <x:f>$C267+M267-L267</x:f>
        <x:v>8073.633358191434</x:v>
      </x:c>
      <x:c r="O267" s="141" t="n">
        <x:f>R266*(1+Premissas!$B$41)+N267</x:f>
        <x:v>7800157.750887567</x:v>
      </x:c>
      <x:c r="P267" s="141" t="n">
        <x:f>MAX(0,-O267)</x:f>
        <x:v>0</x:v>
      </x:c>
      <x:c r="Q267" s="141" t="n">
        <x:f>Q266*(1+Premissas!$B$41)+P267</x:f>
        <x:v>0</x:v>
      </x:c>
      <x:c r="R267" s="141" t="n">
        <x:f>MAX(0,O267)</x:f>
        <x:v>7800157.750887567</x:v>
      </x:c>
      <x:c r="S267" s="141" t="n">
        <x:f>IF(AND($A267&gt;=Premissas!$B$48,$A267-Premissas!$B$48+1&lt;=Premissas!$B$13),INDEX(Financiamento!$M$6:$M$485,$A267-Premissas!$B$48+1),0)</x:f>
        <x:v>59809.523809523904</x:v>
      </x:c>
      <x:c r="T267" s="141" t="n">
        <x:f>IF($A267&gt;=Premissas!$B$48,$F267,0)</x:f>
        <x:v>713742.2198947188</x:v>
      </x:c>
      <x:c r="U267" s="141" t="n">
        <x:f>R267+T267-S267</x:f>
        <x:v>8454090.446972761</x:v>
      </x:c>
      <x:c r="V267" s="141" t="n">
        <x:f>IF(Q267&gt;1,"Inviavel",U267)</x:f>
        <x:v>8454090.446972761</x:v>
      </x:c>
      <x:c r="W267" s="141" t="str">
        <x:f>IF(Q267&gt;1,"Inviavel","OK")</x:f>
        <x:v>OK</x:v>
      </x:c>
      <x:c r="X267" s="141" t="n">
        <x:f>IF($A267=Premissas!$B$48,Premissas!$B$8,0)</x:f>
        <x:v>0</x:v>
      </x:c>
      <x:c r="Y267" s="141" t="n">
        <x:f>IF(AND($A267&gt;=Premissas!$B$48,$A267-Premissas!$B$48+1&lt;=Premissas!$B$13),INDEX(Amortizacao!$K$6:$K$485,$A267-Premissas!$B$48+1),0)</x:f>
        <x:v>0</x:v>
      </x:c>
      <x:c r="Z267" s="141" t="n">
        <x:f>IF(AND(TRUE,Premissas!$B$11="Imovel",Premissas!$B$47="Moradia",$A267&lt;MAX(Premissas!$B$48,Premissas!$B$49)),$D267,0)</x:f>
        <x:v>0</x:v>
      </x:c>
      <x:c r="AA267" s="141" t="n">
        <x:f>IF(AND(TRUE,Premissas!$B$11="Imovel",Premissas!$B$47="Investimento",$A267&gt;=MAX(Premissas!$B$48,Premissas!$B$49)),$E267,0)</x:f>
        <x:v>2175.7207043491962</x:v>
      </x:c>
      <x:c r="AB267" s="141" t="n">
        <x:f>X267+Y267+Z267</x:f>
        <x:v>0</x:v>
      </x:c>
      <x:c r="AC267" s="141" t="n">
        <x:f>AA267</x:f>
        <x:v>2175.7207043491962</x:v>
      </x:c>
      <x:c r="AD267" s="141" t="n">
        <x:f>$C267+AC267-AB267</x:f>
        <x:v>9175.720704349196</x:v>
      </x:c>
      <x:c r="AE267" s="141" t="n">
        <x:f>AH266*(1+Premissas!$B$41)+AD267</x:f>
        <x:v>7871376.845181115</x:v>
      </x:c>
      <x:c r="AF267" s="141" t="n">
        <x:f>MAX(0,-AE267)</x:f>
        <x:v>0</x:v>
      </x:c>
      <x:c r="AG267" s="141" t="n">
        <x:f>AG266*(1+Premissas!$B$41)+AF267</x:f>
        <x:v>0</x:v>
      </x:c>
      <x:c r="AH267" s="141" t="n">
        <x:f>MAX(0,AE267)</x:f>
        <x:v>7871376.845181115</x:v>
      </x:c>
      <x:c r="AI267" s="141" t="n">
        <x:f>IF(AND($A267&gt;=Premissas!$B$48,$A267-Premissas!$B$48+1&lt;=Premissas!$B$13),INDEX(Amortizacao!$L$6:$L$485,$A267-Premissas!$B$48+1),0)</x:f>
        <x:v>0</x:v>
      </x:c>
      <x:c r="AJ267" s="141" t="n">
        <x:f>IF($A267&gt;=Premissas!$B$48,$F267,0)</x:f>
        <x:v>713742.2198947188</x:v>
      </x:c>
      <x:c r="AK267" s="141" t="n">
        <x:f>AH267+AJ267-AI267</x:f>
        <x:v>8585119.065075833</x:v>
      </x:c>
      <x:c r="AL267" s="141" t="n">
        <x:f>IF(AG267&gt;1,"Inviavel",AK267)</x:f>
        <x:v>8585119.065075833</x:v>
      </x:c>
      <x:c r="AM267" s="141" t="str">
        <x:f>IF(AG267&gt;1,"Inviavel","OK")</x:f>
        <x:v>OK</x:v>
      </x:c>
      <x:c r="AN267" s="141" t="n">
        <x:f>IF($A267=Premissas!$B$48,Premissas!$B$8,0)</x:f>
        <x:v>0</x:v>
      </x:c>
      <x:c r="AO267" s="141" t="n">
        <x:f>IF($A267&lt;=Premissas!$B$25,INDEX('Consorcio IQ'!$K$6:$K$485,$A267),0)</x:f>
        <x:v>0</x:v>
      </x:c>
      <x:c r="AP267" s="141" t="n">
        <x:f>IF(AND(TRUE,Premissas!$B$11="Imovel",Premissas!$B$47="Moradia",$A267&lt;MAX(Premissas!$B$48,Premissas!$B$49)),$D267,0)</x:f>
        <x:v>0</x:v>
      </x:c>
      <x:c r="AQ267" s="141" t="n">
        <x:f>IF(AND(TRUE,Premissas!$B$11="Imovel",Premissas!$B$47="Investimento",$A267&gt;=MAX(Premissas!$B$48,Premissas!$B$49)),$E267,0)</x:f>
        <x:v>2175.7207043491962</x:v>
      </x:c>
      <x:c r="AR267" s="141" t="n">
        <x:f>AN267+AO267+AP267</x:f>
        <x:v>0</x:v>
      </x:c>
      <x:c r="AS267" s="141" t="n">
        <x:f>AQ267</x:f>
        <x:v>2175.7207043491962</x:v>
      </x:c>
      <x:c r="AT267" s="141" t="n">
        <x:f>$C267+AS267-AR267</x:f>
        <x:v>9175.720704349196</x:v>
      </x:c>
      <x:c r="AU267" s="141" t="n">
        <x:f>AX266*(1+Premissas!$B$41)+AT267</x:f>
        <x:v>7802754.1996551845</x:v>
      </x:c>
      <x:c r="AV267" s="141" t="n">
        <x:f>MAX(0,-AU267)</x:f>
        <x:v>0</x:v>
      </x:c>
      <x:c r="AW267" s="141" t="n">
        <x:f>AW266*(1+Premissas!$B$41)+AV267</x:f>
        <x:v>0</x:v>
      </x:c>
      <x:c r="AX267" s="141" t="n">
        <x:f>MAX(0,AU267)</x:f>
        <x:v>7802754.1996551845</x:v>
      </x:c>
      <x:c r="AY267" s="141" t="n">
        <x:f>INDEX('Consorcio IQ'!$P$6:$P$485,$A267)</x:f>
        <x:v>0</x:v>
      </x:c>
      <x:c r="AZ267" s="141" t="n">
        <x:f>IF($A267&gt;=Premissas!$B$48,$F267,0)+IF($A267&lt;Premissas!$B$27,INDEX('Consorcio IQ'!$O$6:$O$485,$A267),0)</x:f>
        <x:v>713742.2198947188</x:v>
      </x:c>
      <x:c r="BA267" s="141" t="n">
        <x:f>AX267+AZ267-AY267</x:f>
        <x:v>8516496.419549903</x:v>
      </x:c>
      <x:c r="BB267" s="141" t="n">
        <x:f>IF(AW267&gt;1,"Inviavel",BA267)</x:f>
        <x:v>8516496.419549903</x:v>
      </x:c>
      <x:c r="BC267" s="141" t="str">
        <x:f>IF(AW267&gt;1,"Inviavel","OK")</x:f>
        <x:v>OK</x:v>
      </x:c>
      <x:c r="BD267" s="141" t="n">
        <x:f>IF($A267='Consorcio Direto'!$B$29,'Consorcio Direto'!$B$44,0)</x:f>
        <x:v>0</x:v>
      </x:c>
      <x:c r="BE267" s="141" t="n">
        <x:f>IF($A267&lt;='Consorcio Direto'!$B$27,INDEX('Consorcio Direto'!$E$55:$E$534,$A267),0)</x:f>
        <x:v>0</x:v>
      </x:c>
      <x:c r="BF267" s="141" t="n">
        <x:f>IF(AND(TRUE,Premissas!$B$11="Imovel",Premissas!$B$47="Moradia",$A267&lt;MAX('Consorcio Direto'!$B$29,Premissas!$B$49)),$D267,0)</x:f>
        <x:v>0</x:v>
      </x:c>
      <x:c r="BG267" s="141" t="n">
        <x:f>IF(AND(TRUE,Premissas!$B$11="Imovel",Premissas!$B$47="Investimento",$A267&gt;=MAX('Consorcio Direto'!$B$29,Premissas!$B$49)),$E267,0)</x:f>
        <x:v>2175.7207043491962</x:v>
      </x:c>
      <x:c r="BH267" s="141" t="n">
        <x:f>BD267+BE267+BF267</x:f>
        <x:v>0</x:v>
      </x:c>
      <x:c r="BI267" s="141" t="n">
        <x:f>BG267</x:f>
        <x:v>2175.7207043491962</x:v>
      </x:c>
      <x:c r="BJ267" s="141" t="n">
        <x:f>$C267+BI267-BH267</x:f>
        <x:v>9175.720704349196</x:v>
      </x:c>
      <x:c r="BK267" s="141" t="n">
        <x:f>BN266*(1+Premissas!$B$41)+BJ267</x:f>
        <x:v>7431890.70365</x:v>
      </x:c>
      <x:c r="BL267" s="141" t="n">
        <x:f>MAX(0,-BK267)</x:f>
        <x:v>0</x:v>
      </x:c>
      <x:c r="BM267" s="141" t="n">
        <x:f>BM266*(1+Premissas!$B$41)+BL267</x:f>
        <x:v>0</x:v>
      </x:c>
      <x:c r="BN267" s="141" t="n">
        <x:f>MAX(0,BK267)</x:f>
        <x:v>7431890.70365</x:v>
      </x:c>
      <x:c r="BO267" s="141" t="n">
        <x:f>INDEX('Consorcio Direto'!$K$55:$K$534,$A267)</x:f>
        <x:v>0</x:v>
      </x:c>
      <x:c r="BP267" s="141" t="n">
        <x:f>IF($A267&lt;'Consorcio Direto'!$B$29,INDEX('Consorcio Direto'!$L$55:$L$534,$A267),$F267)</x:f>
        <x:v>713742.2198947188</x:v>
      </x:c>
      <x:c r="BQ267" s="141" t="n">
        <x:f>BN267+BP267-BO267</x:f>
        <x:v>8145632.923544718</x:v>
      </x:c>
      <x:c r="BR267" s="141" t="n">
        <x:f>IF(BM267&gt;1,"Inviavel",BQ267)</x:f>
        <x:v>8145632.923544718</x:v>
      </x:c>
      <x:c r="BS267" s="141" t="str">
        <x:f>IF(BM267&gt;1,"Inviavel","OK")</x:f>
        <x:v>OK</x:v>
      </x:c>
      <x:c r="BT267" s="141" t="n">
        <x:f>IF(AND('Carta Contemplada'!$B$22="Sim",$A267='Carta Contemplada'!$B$23),'Carta Contemplada'!$B$37,0)</x:f>
        <x:v>0</x:v>
      </x:c>
      <x:c r="BU267" s="141" t="n">
        <x:f>IF('Carta Contemplada'!$B$22="Sim",INDEX('Carta Contemplada'!$C$55:$C$1013,$A267),0)</x:f>
        <x:v>0</x:v>
      </x:c>
      <x:c r="BV267" s="141" t="n">
        <x:f>IF(AND('Carta Contemplada'!$B$22="Sim",Premissas!$B$11="Imovel",Premissas!$B$47="Moradia",$A267&lt;MAX('Carta Contemplada'!$B$44,Premissas!$B$49)),$D267,0)</x:f>
        <x:v>0</x:v>
      </x:c>
      <x:c r="BW267" s="141" t="n">
        <x:f>IF(AND('Carta Contemplada'!$B$22="Sim",Premissas!$B$11="Imovel",Premissas!$B$47="Investimento",$A267&gt;=MAX('Carta Contemplada'!$B$44,Premissas!$B$49)),$E267,0)</x:f>
        <x:v>2175.7207043491962</x:v>
      </x:c>
      <x:c r="BX267" s="141" t="n">
        <x:f>BT267+BU267+BV267</x:f>
        <x:v>0</x:v>
      </x:c>
      <x:c r="BY267" s="141" t="n">
        <x:f>BW267</x:f>
        <x:v>2175.7207043491962</x:v>
      </x:c>
      <x:c r="BZ267" s="141" t="n">
        <x:f>$C267+BY267-BX267</x:f>
        <x:v>9175.720704349196</x:v>
      </x:c>
      <x:c r="CA267" s="141" t="n">
        <x:f>CD266*(1+Premissas!$B$41)+BZ267</x:f>
        <x:v>8044430.260714708</x:v>
      </x:c>
      <x:c r="CB267" s="141" t="n">
        <x:f>MAX(0,-CA267)</x:f>
        <x:v>0</x:v>
      </x:c>
      <x:c r="CC267" s="141" t="n">
        <x:f>CC266*(1+Premissas!$B$41)+CB267</x:f>
        <x:v>0</x:v>
      </x:c>
      <x:c r="CD267" s="141" t="n">
        <x:f>MAX(0,CA267)</x:f>
        <x:v>8044430.260714708</x:v>
      </x:c>
      <x:c r="CE267" s="141" t="n">
        <x:f>IF(AND('Carta Contemplada'!$B$22="Sim",$A267&gt;='Carta Contemplada'!$B$23),INDEX('Carta Contemplada'!$I$55:$I$1013,$A267),0)</x:f>
        <x:v>0</x:v>
      </x:c>
      <x:c r="CF267" s="141" t="n">
        <x:f>IF(AND('Carta Contemplada'!$B$22="Sim",$A267&gt;='Carta Contemplada'!$B$44),$F267,0)</x:f>
        <x:v>713742.2198947188</x:v>
      </x:c>
      <x:c r="CG267" s="141" t="n">
        <x:f>CD267+CF267-CE267</x:f>
        <x:v>8758172.480609426</x:v>
      </x:c>
      <x:c r="CH267" s="141" t="n">
        <x:f>IF(CC267&gt;1,"Inviavel",CG267)</x:f>
        <x:v>8758172.480609426</x:v>
      </x:c>
      <x:c r="CI267" s="145" t="str">
        <x:f>IF(CC267&gt;1,"Inviavel","OK")</x:f>
        <x:v>OK</x:v>
      </x:c>
    </x:row>
    <x:row r="268">
      <x:c r="A268" s="142" t="n">
        <x:v>264</x:v>
      </x:c>
      <x:c r="B268" s="179" t="n">
        <x:f>EDATE(Premissas!$B$4,A268-1)</x:f>
        <x:v>54544</x:v>
      </x:c>
      <x:c r="C268" s="141" t="n">
        <x:f>IF(A268&lt;=Premissas!$B$39,Premissas!$B$42,0)</x:f>
        <x:v>7000</x:v>
      </x:c>
      <x:c r="D268" s="141" t="n">
        <x:f>Premissas!$B$54*(1+Premissas!$B$57)^INT((A268-1)/12)</x:f>
        <x:v>2379.694520381933</x:v>
      </x:c>
      <x:c r="E268" s="141" t="n">
        <x:f>Premissas!$B$64*(1+Premissas!$B$57)^INT((A268-1)/12)</x:f>
        <x:v>2175.7207043491962</x:v>
      </x:c>
      <x:c r="F268" s="141" t="n">
        <x:f>MAX(0,Premissas!$B$6*(1+Premissas!$B$66)^((A268-1)/12))</x:f>
        <x:v>717216.3962406768</x:v>
      </x:c>
      <x:c r="G268" s="141" t="n">
        <x:f>G267*(1+Premissas!$B$41)+C268</x:f>
        <x:v>9267627.60408028</x:v>
      </x:c>
      <x:c r="H268" s="141" t="n">
        <x:f>IF($A268=Premissas!$B$48,Premissas!$B$8,0)</x:f>
        <x:v>0</x:v>
      </x:c>
      <x:c r="I268" s="141" t="n">
        <x:f>IF(AND($A268&gt;=Premissas!$B$48,$A268-Premissas!$B$48+1&lt;=Premissas!$B$13),INDEX(Financiamento!$J$6:$J$485,$A268-Premissas!$B$48+1),0)</x:f>
        <x:v>1098.4725678969685</x:v>
      </x:c>
      <x:c r="J268" s="141" t="n">
        <x:f>IF(AND(TRUE,Premissas!$B$11="Imovel",Premissas!$B$47="Moradia",$A268&lt;MAX(Premissas!$B$48,Premissas!$B$49)),$D268,0)</x:f>
        <x:v>0</x:v>
      </x:c>
      <x:c r="K268" s="141" t="n">
        <x:f>IF(AND(TRUE,Premissas!$B$11="Imovel",Premissas!$B$47="Investimento",$A268&gt;=MAX(Premissas!$B$48,Premissas!$B$49)),$E268,0)</x:f>
        <x:v>2175.7207043491962</x:v>
      </x:c>
      <x:c r="L268" s="141" t="n">
        <x:f>H268+I268+J268</x:f>
        <x:v>1098.4725678969685</x:v>
      </x:c>
      <x:c r="M268" s="141" t="n">
        <x:f>K268</x:f>
        <x:v>2175.7207043491962</x:v>
      </x:c>
      <x:c r="N268" s="141" t="n">
        <x:f>$C268+M268-L268</x:f>
        <x:v>8077.248136452228</x:v>
      </x:c>
      <x:c r="O268" s="141" t="n">
        <x:f>R267*(1+Premissas!$B$41)+N268</x:f>
        <x:v>7882249.080779275</x:v>
      </x:c>
      <x:c r="P268" s="141" t="n">
        <x:f>MAX(0,-O268)</x:f>
        <x:v>0</x:v>
      </x:c>
      <x:c r="Q268" s="141" t="n">
        <x:f>Q267*(1+Premissas!$B$41)+P268</x:f>
        <x:v>0</x:v>
      </x:c>
      <x:c r="R268" s="141" t="n">
        <x:f>MAX(0,O268)</x:f>
        <x:v>7882249.080779275</x:v>
      </x:c>
      <x:c r="S268" s="141" t="n">
        <x:f>IF(AND($A268&gt;=Premissas!$B$48,$A268-Premissas!$B$48+1&lt;=Premissas!$B$13),INDEX(Financiamento!$M$6:$M$485,$A268-Premissas!$B$48+1),0)</x:f>
        <x:v>59428.57142857152</x:v>
      </x:c>
      <x:c r="T268" s="141" t="n">
        <x:f>IF($A268&gt;=Premissas!$B$48,$F268,0)</x:f>
        <x:v>717216.3962406768</x:v>
      </x:c>
      <x:c r="U268" s="141" t="n">
        <x:f>R268+T268-S268</x:f>
        <x:v>8540036.90559138</x:v>
      </x:c>
      <x:c r="V268" s="141" t="n">
        <x:f>IF(Q268&gt;1,"Inviavel",U268)</x:f>
        <x:v>8540036.90559138</x:v>
      </x:c>
      <x:c r="W268" s="141" t="str">
        <x:f>IF(Q268&gt;1,"Inviavel","OK")</x:f>
        <x:v>OK</x:v>
      </x:c>
      <x:c r="X268" s="141" t="n">
        <x:f>IF($A268=Premissas!$B$48,Premissas!$B$8,0)</x:f>
        <x:v>0</x:v>
      </x:c>
      <x:c r="Y268" s="141" t="n">
        <x:f>IF(AND($A268&gt;=Premissas!$B$48,$A268-Premissas!$B$48+1&lt;=Premissas!$B$13),INDEX(Amortizacao!$K$6:$K$485,$A268-Premissas!$B$48+1),0)</x:f>
        <x:v>0</x:v>
      </x:c>
      <x:c r="Z268" s="141" t="n">
        <x:f>IF(AND(TRUE,Premissas!$B$11="Imovel",Premissas!$B$47="Moradia",$A268&lt;MAX(Premissas!$B$48,Premissas!$B$49)),$D268,0)</x:f>
        <x:v>0</x:v>
      </x:c>
      <x:c r="AA268" s="141" t="n">
        <x:f>IF(AND(TRUE,Premissas!$B$11="Imovel",Premissas!$B$47="Investimento",$A268&gt;=MAX(Premissas!$B$48,Premissas!$B$49)),$E268,0)</x:f>
        <x:v>2175.7207043491962</x:v>
      </x:c>
      <x:c r="AB268" s="141" t="n">
        <x:f>X268+Y268+Z268</x:f>
        <x:v>0</x:v>
      </x:c>
      <x:c r="AC268" s="141" t="n">
        <x:f>AA268</x:f>
        <x:v>2175.7207043491962</x:v>
      </x:c>
      <x:c r="AD268" s="141" t="n">
        <x:f>$C268+AC268-AB268</x:f>
        <x:v>9175.720704349196</x:v>
      </x:c>
      <x:c r="AE268" s="141" t="n">
        <x:f>AH267*(1+Premissas!$B$41)+AD268</x:f>
        <x:v>7955242.430879459</x:v>
      </x:c>
      <x:c r="AF268" s="141" t="n">
        <x:f>MAX(0,-AE268)</x:f>
        <x:v>0</x:v>
      </x:c>
      <x:c r="AG268" s="141" t="n">
        <x:f>AG267*(1+Premissas!$B$41)+AF268</x:f>
        <x:v>0</x:v>
      </x:c>
      <x:c r="AH268" s="141" t="n">
        <x:f>MAX(0,AE268)</x:f>
        <x:v>7955242.430879459</x:v>
      </x:c>
      <x:c r="AI268" s="141" t="n">
        <x:f>IF(AND($A268&gt;=Premissas!$B$48,$A268-Premissas!$B$48+1&lt;=Premissas!$B$13),INDEX(Amortizacao!$L$6:$L$485,$A268-Premissas!$B$48+1),0)</x:f>
        <x:v>0</x:v>
      </x:c>
      <x:c r="AJ268" s="141" t="n">
        <x:f>IF($A268&gt;=Premissas!$B$48,$F268,0)</x:f>
        <x:v>717216.3962406768</x:v>
      </x:c>
      <x:c r="AK268" s="141" t="n">
        <x:f>AH268+AJ268-AI268</x:f>
        <x:v>8672458.827120136</x:v>
      </x:c>
      <x:c r="AL268" s="141" t="n">
        <x:f>IF(AG268&gt;1,"Inviavel",AK268)</x:f>
        <x:v>8672458.827120136</x:v>
      </x:c>
      <x:c r="AM268" s="141" t="str">
        <x:f>IF(AG268&gt;1,"Inviavel","OK")</x:f>
        <x:v>OK</x:v>
      </x:c>
      <x:c r="AN268" s="141" t="n">
        <x:f>IF($A268=Premissas!$B$48,Premissas!$B$8,0)</x:f>
        <x:v>0</x:v>
      </x:c>
      <x:c r="AO268" s="141" t="n">
        <x:f>IF($A268&lt;=Premissas!$B$25,INDEX('Consorcio IQ'!$K$6:$K$485,$A268),0)</x:f>
        <x:v>0</x:v>
      </x:c>
      <x:c r="AP268" s="141" t="n">
        <x:f>IF(AND(TRUE,Premissas!$B$11="Imovel",Premissas!$B$47="Moradia",$A268&lt;MAX(Premissas!$B$48,Premissas!$B$49)),$D268,0)</x:f>
        <x:v>0</x:v>
      </x:c>
      <x:c r="AQ268" s="141" t="n">
        <x:f>IF(AND(TRUE,Premissas!$B$11="Imovel",Premissas!$B$47="Investimento",$A268&gt;=MAX(Premissas!$B$48,Premissas!$B$49)),$E268,0)</x:f>
        <x:v>2175.7207043491962</x:v>
      </x:c>
      <x:c r="AR268" s="141" t="n">
        <x:f>AN268+AO268+AP268</x:f>
        <x:v>0</x:v>
      </x:c>
      <x:c r="AS268" s="141" t="n">
        <x:f>AQ268</x:f>
        <x:v>2175.7207043491962</x:v>
      </x:c>
      <x:c r="AT268" s="141" t="n">
        <x:f>$C268+AS268-AR268</x:f>
        <x:v>9175.720704349196</x:v>
      </x:c>
      <x:c r="AU268" s="141" t="n">
        <x:f>AX267*(1+Premissas!$B$41)+AT268</x:f>
        <x:v>7885968.63927951</x:v>
      </x:c>
      <x:c r="AV268" s="141" t="n">
        <x:f>MAX(0,-AU268)</x:f>
        <x:v>0</x:v>
      </x:c>
      <x:c r="AW268" s="141" t="n">
        <x:f>AW267*(1+Premissas!$B$41)+AV268</x:f>
        <x:v>0</x:v>
      </x:c>
      <x:c r="AX268" s="141" t="n">
        <x:f>MAX(0,AU268)</x:f>
        <x:v>7885968.63927951</x:v>
      </x:c>
      <x:c r="AY268" s="141" t="n">
        <x:f>INDEX('Consorcio IQ'!$P$6:$P$485,$A268)</x:f>
        <x:v>0</x:v>
      </x:c>
      <x:c r="AZ268" s="141" t="n">
        <x:f>IF($A268&gt;=Premissas!$B$48,$F268,0)+IF($A268&lt;Premissas!$B$27,INDEX('Consorcio IQ'!$O$6:$O$485,$A268),0)</x:f>
        <x:v>717216.3962406768</x:v>
      </x:c>
      <x:c r="BA268" s="141" t="n">
        <x:f>AX268+AZ268-AY268</x:f>
        <x:v>8603185.035520187</x:v>
      </x:c>
      <x:c r="BB268" s="141" t="n">
        <x:f>IF(AW268&gt;1,"Inviavel",BA268)</x:f>
        <x:v>8603185.035520187</x:v>
      </x:c>
      <x:c r="BC268" s="141" t="str">
        <x:f>IF(AW268&gt;1,"Inviavel","OK")</x:f>
        <x:v>OK</x:v>
      </x:c>
      <x:c r="BD268" s="141" t="n">
        <x:f>IF($A268='Consorcio Direto'!$B$29,'Consorcio Direto'!$B$44,0)</x:f>
        <x:v>0</x:v>
      </x:c>
      <x:c r="BE268" s="141" t="n">
        <x:f>IF($A268&lt;='Consorcio Direto'!$B$27,INDEX('Consorcio Direto'!$E$55:$E$534,$A268),0)</x:f>
        <x:v>0</x:v>
      </x:c>
      <x:c r="BF268" s="141" t="n">
        <x:f>IF(AND(TRUE,Premissas!$B$11="Imovel",Premissas!$B$47="Moradia",$A268&lt;MAX('Consorcio Direto'!$B$29,Premissas!$B$49)),$D268,0)</x:f>
        <x:v>0</x:v>
      </x:c>
      <x:c r="BG268" s="141" t="n">
        <x:f>IF(AND(TRUE,Premissas!$B$11="Imovel",Premissas!$B$47="Investimento",$A268&gt;=MAX('Consorcio Direto'!$B$29,Premissas!$B$49)),$E268,0)</x:f>
        <x:v>2175.7207043491962</x:v>
      </x:c>
      <x:c r="BH268" s="141" t="n">
        <x:f>BD268+BE268+BF268</x:f>
        <x:v>0</x:v>
      </x:c>
      <x:c r="BI268" s="141" t="n">
        <x:f>BG268</x:f>
        <x:v>2175.7207043491962</x:v>
      </x:c>
      <x:c r="BJ268" s="141" t="n">
        <x:f>$C268+BI268-BH268</x:f>
        <x:v>9175.720704349196</x:v>
      </x:c>
      <x:c r="BK268" s="141" t="n">
        <x:f>BN267*(1+Premissas!$B$41)+BJ268</x:f>
        <x:v>7511586.096353736</x:v>
      </x:c>
      <x:c r="BL268" s="141" t="n">
        <x:f>MAX(0,-BK268)</x:f>
        <x:v>0</x:v>
      </x:c>
      <x:c r="BM268" s="141" t="n">
        <x:f>BM267*(1+Premissas!$B$41)+BL268</x:f>
        <x:v>0</x:v>
      </x:c>
      <x:c r="BN268" s="141" t="n">
        <x:f>MAX(0,BK268)</x:f>
        <x:v>7511586.096353736</x:v>
      </x:c>
      <x:c r="BO268" s="141" t="n">
        <x:f>INDEX('Consorcio Direto'!$K$55:$K$534,$A268)</x:f>
        <x:v>0</x:v>
      </x:c>
      <x:c r="BP268" s="141" t="n">
        <x:f>IF($A268&lt;'Consorcio Direto'!$B$29,INDEX('Consorcio Direto'!$L$55:$L$534,$A268),$F268)</x:f>
        <x:v>717216.3962406768</x:v>
      </x:c>
      <x:c r="BQ268" s="141" t="n">
        <x:f>BN268+BP268-BO268</x:f>
        <x:v>8228802.4925944125</x:v>
      </x:c>
      <x:c r="BR268" s="141" t="n">
        <x:f>IF(BM268&gt;1,"Inviavel",BQ268)</x:f>
        <x:v>8228802.4925944125</x:v>
      </x:c>
      <x:c r="BS268" s="141" t="str">
        <x:f>IF(BM268&gt;1,"Inviavel","OK")</x:f>
        <x:v>OK</x:v>
      </x:c>
      <x:c r="BT268" s="141" t="n">
        <x:f>IF(AND('Carta Contemplada'!$B$22="Sim",$A268='Carta Contemplada'!$B$23),'Carta Contemplada'!$B$37,0)</x:f>
        <x:v>0</x:v>
      </x:c>
      <x:c r="BU268" s="141" t="n">
        <x:f>IF('Carta Contemplada'!$B$22="Sim",INDEX('Carta Contemplada'!$C$55:$C$1013,$A268),0)</x:f>
        <x:v>0</x:v>
      </x:c>
      <x:c r="BV268" s="141" t="n">
        <x:f>IF(AND('Carta Contemplada'!$B$22="Sim",Premissas!$B$11="Imovel",Premissas!$B$47="Moradia",$A268&lt;MAX('Carta Contemplada'!$B$44,Premissas!$B$49)),$D268,0)</x:f>
        <x:v>0</x:v>
      </x:c>
      <x:c r="BW268" s="141" t="n">
        <x:f>IF(AND('Carta Contemplada'!$B$22="Sim",Premissas!$B$11="Imovel",Premissas!$B$47="Investimento",$A268&gt;=MAX('Carta Contemplada'!$B$44,Premissas!$B$49)),$E268,0)</x:f>
        <x:v>2175.7207043491962</x:v>
      </x:c>
      <x:c r="BX268" s="141" t="n">
        <x:f>BT268+BU268+BV268</x:f>
        <x:v>0</x:v>
      </x:c>
      <x:c r="BY268" s="141" t="n">
        <x:f>BW268</x:f>
        <x:v>2175.7207043491962</x:v>
      </x:c>
      <x:c r="BZ268" s="141" t="n">
        <x:f>$C268+BY268-BX268</x:f>
        <x:v>9175.720704349196</x:v>
      </x:c>
      <x:c r="CA268" s="141" t="n">
        <x:f>CD267*(1+Premissas!$B$41)+BZ268</x:f>
        <x:v>8129937.914439673</x:v>
      </x:c>
      <x:c r="CB268" s="141" t="n">
        <x:f>MAX(0,-CA268)</x:f>
        <x:v>0</x:v>
      </x:c>
      <x:c r="CC268" s="141" t="n">
        <x:f>CC267*(1+Premissas!$B$41)+CB268</x:f>
        <x:v>0</x:v>
      </x:c>
      <x:c r="CD268" s="141" t="n">
        <x:f>MAX(0,CA268)</x:f>
        <x:v>8129937.914439673</x:v>
      </x:c>
      <x:c r="CE268" s="141" t="n">
        <x:f>IF(AND('Carta Contemplada'!$B$22="Sim",$A268&gt;='Carta Contemplada'!$B$23),INDEX('Carta Contemplada'!$I$55:$I$1013,$A268),0)</x:f>
        <x:v>0</x:v>
      </x:c>
      <x:c r="CF268" s="141" t="n">
        <x:f>IF(AND('Carta Contemplada'!$B$22="Sim",$A268&gt;='Carta Contemplada'!$B$44),$F268,0)</x:f>
        <x:v>717216.3962406768</x:v>
      </x:c>
      <x:c r="CG268" s="141" t="n">
        <x:f>CD268+CF268-CE268</x:f>
        <x:v>8847154.310680348</x:v>
      </x:c>
      <x:c r="CH268" s="141" t="n">
        <x:f>IF(CC268&gt;1,"Inviavel",CG268)</x:f>
        <x:v>8847154.310680348</x:v>
      </x:c>
      <x:c r="CI268" s="145" t="str">
        <x:f>IF(CC268&gt;1,"Inviavel","OK")</x:f>
        <x:v>OK</x:v>
      </x:c>
    </x:row>
    <x:row r="269">
      <x:c r="A269" s="142" t="n">
        <x:v>265</x:v>
      </x:c>
      <x:c r="B269" s="179" t="n">
        <x:f>EDATE(Premissas!$B$4,A269-1)</x:f>
        <x:v>54575</x:v>
      </x:c>
      <x:c r="C269" s="141" t="n">
        <x:f>IF(A269&lt;=Premissas!$B$39,Premissas!$B$42,0)</x:f>
        <x:v>7000</x:v>
      </x:c>
      <x:c r="D269" s="141" t="n">
        <x:f>Premissas!$B$54*(1+Premissas!$B$57)^INT((A269-1)/12)</x:f>
        <x:v>2522.4761916048496</x:v>
      </x:c>
      <x:c r="E269" s="141" t="n">
        <x:f>Premissas!$B$64*(1+Premissas!$B$57)^INT((A269-1)/12)</x:f>
        <x:v>2306.263946610148</x:v>
      </x:c>
      <x:c r="F269" s="141" t="n">
        <x:f>MAX(0,Premissas!$B$6*(1+Premissas!$B$66)^((A269-1)/12))</x:f>
        <x:v>720707.4833156713</x:v>
      </x:c>
      <x:c r="G269" s="141" t="n">
        <x:f>G268*(1+Premissas!$B$41)+C269</x:f>
        <x:v>9362566.203410223</x:v>
      </x:c>
      <x:c r="H269" s="141" t="n">
        <x:f>IF($A269=Premissas!$B$48,Premissas!$B$8,0)</x:f>
        <x:v>0</x:v>
      </x:c>
      <x:c r="I269" s="141" t="n">
        <x:f>IF(AND($A269&gt;=Premissas!$B$48,$A269-Premissas!$B$48+1&lt;=Premissas!$B$13),INDEX(Financiamento!$J$6:$J$485,$A269-Premissas!$B$48+1),0)</x:f>
        <x:v>1094.8577896361749</x:v>
      </x:c>
      <x:c r="J269" s="141" t="n">
        <x:f>IF(AND(TRUE,Premissas!$B$11="Imovel",Premissas!$B$47="Moradia",$A269&lt;MAX(Premissas!$B$48,Premissas!$B$49)),$D269,0)</x:f>
        <x:v>0</x:v>
      </x:c>
      <x:c r="K269" s="141" t="n">
        <x:f>IF(AND(TRUE,Premissas!$B$11="Imovel",Premissas!$B$47="Investimento",$A269&gt;=MAX(Premissas!$B$48,Premissas!$B$49)),$E269,0)</x:f>
        <x:v>2306.263946610148</x:v>
      </x:c>
      <x:c r="L269" s="141" t="n">
        <x:f>H269+I269+J269</x:f>
        <x:v>1094.8577896361749</x:v>
      </x:c>
      <x:c r="M269" s="141" t="n">
        <x:f>K269</x:f>
        <x:v>2306.263946610148</x:v>
      </x:c>
      <x:c r="N269" s="141" t="n">
        <x:f>$C269+M269-L269</x:f>
        <x:v>8211.406156973973</x:v>
      </x:c>
      <x:c r="O269" s="141" t="n">
        <x:f>R268*(1+Premissas!$B$41)+N269</x:f>
        <x:v>7965253.516322571</x:v>
      </x:c>
      <x:c r="P269" s="141" t="n">
        <x:f>MAX(0,-O269)</x:f>
        <x:v>0</x:v>
      </x:c>
      <x:c r="Q269" s="141" t="n">
        <x:f>Q268*(1+Premissas!$B$41)+P269</x:f>
        <x:v>0</x:v>
      </x:c>
      <x:c r="R269" s="141" t="n">
        <x:f>MAX(0,O269)</x:f>
        <x:v>7965253.516322571</x:v>
      </x:c>
      <x:c r="S269" s="141" t="n">
        <x:f>IF(AND($A269&gt;=Premissas!$B$48,$A269-Premissas!$B$48+1&lt;=Premissas!$B$13),INDEX(Financiamento!$M$6:$M$485,$A269-Premissas!$B$48+1),0)</x:f>
        <x:v>59047.61904761914</x:v>
      </x:c>
      <x:c r="T269" s="141" t="n">
        <x:f>IF($A269&gt;=Premissas!$B$48,$F269,0)</x:f>
        <x:v>720707.4833156713</x:v>
      </x:c>
      <x:c r="U269" s="141" t="n">
        <x:f>R269+T269-S269</x:f>
        <x:v>8626913.380590623</x:v>
      </x:c>
      <x:c r="V269" s="141" t="n">
        <x:f>IF(Q269&gt;1,"Inviavel",U269)</x:f>
        <x:v>8626913.380590623</x:v>
      </x:c>
      <x:c r="W269" s="141" t="str">
        <x:f>IF(Q269&gt;1,"Inviavel","OK")</x:f>
        <x:v>OK</x:v>
      </x:c>
      <x:c r="X269" s="141" t="n">
        <x:f>IF($A269=Premissas!$B$48,Premissas!$B$8,0)</x:f>
        <x:v>0</x:v>
      </x:c>
      <x:c r="Y269" s="141" t="n">
        <x:f>IF(AND($A269&gt;=Premissas!$B$48,$A269-Premissas!$B$48+1&lt;=Premissas!$B$13),INDEX(Amortizacao!$K$6:$K$485,$A269-Premissas!$B$48+1),0)</x:f>
        <x:v>0</x:v>
      </x:c>
      <x:c r="Z269" s="141" t="n">
        <x:f>IF(AND(TRUE,Premissas!$B$11="Imovel",Premissas!$B$47="Moradia",$A269&lt;MAX(Premissas!$B$48,Premissas!$B$49)),$D269,0)</x:f>
        <x:v>0</x:v>
      </x:c>
      <x:c r="AA269" s="141" t="n">
        <x:f>IF(AND(TRUE,Premissas!$B$11="Imovel",Premissas!$B$47="Investimento",$A269&gt;=MAX(Premissas!$B$48,Premissas!$B$49)),$E269,0)</x:f>
        <x:v>2306.263946610148</x:v>
      </x:c>
      <x:c r="AB269" s="141" t="n">
        <x:f>X269+Y269+Z269</x:f>
        <x:v>0</x:v>
      </x:c>
      <x:c r="AC269" s="141" t="n">
        <x:f>AA269</x:f>
        <x:v>2306.263946610148</x:v>
      </x:c>
      <x:c r="AD269" s="141" t="n">
        <x:f>$C269+AC269-AB269</x:f>
        <x:v>9306.263946610148</x:v>
      </x:c>
      <x:c r="AE269" s="141" t="n">
        <x:f>AH268*(1+Premissas!$B$41)+AD269</x:f>
        <x:v>8040034.342997094</x:v>
      </x:c>
      <x:c r="AF269" s="141" t="n">
        <x:f>MAX(0,-AE269)</x:f>
        <x:v>0</x:v>
      </x:c>
      <x:c r="AG269" s="141" t="n">
        <x:f>AG268*(1+Premissas!$B$41)+AF269</x:f>
        <x:v>0</x:v>
      </x:c>
      <x:c r="AH269" s="141" t="n">
        <x:f>MAX(0,AE269)</x:f>
        <x:v>8040034.342997094</x:v>
      </x:c>
      <x:c r="AI269" s="141" t="n">
        <x:f>IF(AND($A269&gt;=Premissas!$B$48,$A269-Premissas!$B$48+1&lt;=Premissas!$B$13),INDEX(Amortizacao!$L$6:$L$485,$A269-Premissas!$B$48+1),0)</x:f>
        <x:v>0</x:v>
      </x:c>
      <x:c r="AJ269" s="141" t="n">
        <x:f>IF($A269&gt;=Premissas!$B$48,$F269,0)</x:f>
        <x:v>720707.4833156713</x:v>
      </x:c>
      <x:c r="AK269" s="141" t="n">
        <x:f>AH269+AJ269-AI269</x:f>
        <x:v>8760741.826312765</x:v>
      </x:c>
      <x:c r="AL269" s="141" t="n">
        <x:f>IF(AG269&gt;1,"Inviavel",AK269)</x:f>
        <x:v>8760741.826312765</x:v>
      </x:c>
      <x:c r="AM269" s="141" t="str">
        <x:f>IF(AG269&gt;1,"Inviavel","OK")</x:f>
        <x:v>OK</x:v>
      </x:c>
      <x:c r="AN269" s="141" t="n">
        <x:f>IF($A269=Premissas!$B$48,Premissas!$B$8,0)</x:f>
        <x:v>0</x:v>
      </x:c>
      <x:c r="AO269" s="141" t="n">
        <x:f>IF($A269&lt;=Premissas!$B$25,INDEX('Consorcio IQ'!$K$6:$K$485,$A269),0)</x:f>
        <x:v>0</x:v>
      </x:c>
      <x:c r="AP269" s="141" t="n">
        <x:f>IF(AND(TRUE,Premissas!$B$11="Imovel",Premissas!$B$47="Moradia",$A269&lt;MAX(Premissas!$B$48,Premissas!$B$49)),$D269,0)</x:f>
        <x:v>0</x:v>
      </x:c>
      <x:c r="AQ269" s="141" t="n">
        <x:f>IF(AND(TRUE,Premissas!$B$11="Imovel",Premissas!$B$47="Investimento",$A269&gt;=MAX(Premissas!$B$48,Premissas!$B$49)),$E269,0)</x:f>
        <x:v>2306.263946610148</x:v>
      </x:c>
      <x:c r="AR269" s="141" t="n">
        <x:f>AN269+AO269+AP269</x:f>
        <x:v>0</x:v>
      </x:c>
      <x:c r="AS269" s="141" t="n">
        <x:f>AQ269</x:f>
        <x:v>2306.263946610148</x:v>
      </x:c>
      <x:c r="AT269" s="141" t="n">
        <x:f>$C269+AS269-AR269</x:f>
        <x:v>9306.263946610148</x:v>
      </x:c>
      <x:c r="AU269" s="141" t="n">
        <x:f>AX268*(1+Premissas!$B$41)+AT269</x:f>
        <x:v>7970103.226732859</x:v>
      </x:c>
      <x:c r="AV269" s="141" t="n">
        <x:f>MAX(0,-AU269)</x:f>
        <x:v>0</x:v>
      </x:c>
      <x:c r="AW269" s="141" t="n">
        <x:f>AW268*(1+Premissas!$B$41)+AV269</x:f>
        <x:v>0</x:v>
      </x:c>
      <x:c r="AX269" s="141" t="n">
        <x:f>MAX(0,AU269)</x:f>
        <x:v>7970103.226732859</x:v>
      </x:c>
      <x:c r="AY269" s="141" t="n">
        <x:f>INDEX('Consorcio IQ'!$P$6:$P$485,$A269)</x:f>
        <x:v>0</x:v>
      </x:c>
      <x:c r="AZ269" s="141" t="n">
        <x:f>IF($A269&gt;=Premissas!$B$48,$F269,0)+IF($A269&lt;Premissas!$B$27,INDEX('Consorcio IQ'!$O$6:$O$485,$A269),0)</x:f>
        <x:v>720707.4833156713</x:v>
      </x:c>
      <x:c r="BA269" s="141" t="n">
        <x:f>AX269+AZ269-AY269</x:f>
        <x:v>8690810.71004853</x:v>
      </x:c>
      <x:c r="BB269" s="141" t="n">
        <x:f>IF(AW269&gt;1,"Inviavel",BA269)</x:f>
        <x:v>8690810.71004853</x:v>
      </x:c>
      <x:c r="BC269" s="141" t="str">
        <x:f>IF(AW269&gt;1,"Inviavel","OK")</x:f>
        <x:v>OK</x:v>
      </x:c>
      <x:c r="BD269" s="141" t="n">
        <x:f>IF($A269='Consorcio Direto'!$B$29,'Consorcio Direto'!$B$44,0)</x:f>
        <x:v>0</x:v>
      </x:c>
      <x:c r="BE269" s="141" t="n">
        <x:f>IF($A269&lt;='Consorcio Direto'!$B$27,INDEX('Consorcio Direto'!$E$55:$E$534,$A269),0)</x:f>
        <x:v>0</x:v>
      </x:c>
      <x:c r="BF269" s="141" t="n">
        <x:f>IF(AND(TRUE,Premissas!$B$11="Imovel",Premissas!$B$47="Moradia",$A269&lt;MAX('Consorcio Direto'!$B$29,Premissas!$B$49)),$D269,0)</x:f>
        <x:v>0</x:v>
      </x:c>
      <x:c r="BG269" s="141" t="n">
        <x:f>IF(AND(TRUE,Premissas!$B$11="Imovel",Premissas!$B$47="Investimento",$A269&gt;=MAX('Consorcio Direto'!$B$29,Premissas!$B$49)),$E269,0)</x:f>
        <x:v>2306.263946610148</x:v>
      </x:c>
      <x:c r="BH269" s="141" t="n">
        <x:f>BD269+BE269+BF269</x:f>
        <x:v>0</x:v>
      </x:c>
      <x:c r="BI269" s="141" t="n">
        <x:f>BG269</x:f>
        <x:v>2306.263946610148</x:v>
      </x:c>
      <x:c r="BJ269" s="141" t="n">
        <x:f>$C269+BI269-BH269</x:f>
        <x:v>9306.263946610148</x:v>
      </x:c>
      <x:c r="BK269" s="141" t="n">
        <x:f>BN268*(1+Premissas!$B$41)+BJ269</x:f>
        <x:v>7592168.245378939</x:v>
      </x:c>
      <x:c r="BL269" s="141" t="n">
        <x:f>MAX(0,-BK269)</x:f>
        <x:v>0</x:v>
      </x:c>
      <x:c r="BM269" s="141" t="n">
        <x:f>BM268*(1+Premissas!$B$41)+BL269</x:f>
        <x:v>0</x:v>
      </x:c>
      <x:c r="BN269" s="141" t="n">
        <x:f>MAX(0,BK269)</x:f>
        <x:v>7592168.245378939</x:v>
      </x:c>
      <x:c r="BO269" s="141" t="n">
        <x:f>INDEX('Consorcio Direto'!$K$55:$K$534,$A269)</x:f>
        <x:v>0</x:v>
      </x:c>
      <x:c r="BP269" s="141" t="n">
        <x:f>IF($A269&lt;'Consorcio Direto'!$B$29,INDEX('Consorcio Direto'!$L$55:$L$534,$A269),$F269)</x:f>
        <x:v>720707.4833156713</x:v>
      </x:c>
      <x:c r="BQ269" s="141" t="n">
        <x:f>BN269+BP269-BO269</x:f>
        <x:v>8312875.72869461</x:v>
      </x:c>
      <x:c r="BR269" s="141" t="n">
        <x:f>IF(BM269&gt;1,"Inviavel",BQ269)</x:f>
        <x:v>8312875.72869461</x:v>
      </x:c>
      <x:c r="BS269" s="141" t="str">
        <x:f>IF(BM269&gt;1,"Inviavel","OK")</x:f>
        <x:v>OK</x:v>
      </x:c>
      <x:c r="BT269" s="141" t="n">
        <x:f>IF(AND('Carta Contemplada'!$B$22="Sim",$A269='Carta Contemplada'!$B$23),'Carta Contemplada'!$B$37,0)</x:f>
        <x:v>0</x:v>
      </x:c>
      <x:c r="BU269" s="141" t="n">
        <x:f>IF('Carta Contemplada'!$B$22="Sim",INDEX('Carta Contemplada'!$C$55:$C$1013,$A269),0)</x:f>
        <x:v>0</x:v>
      </x:c>
      <x:c r="BV269" s="141" t="n">
        <x:f>IF(AND('Carta Contemplada'!$B$22="Sim",Premissas!$B$11="Imovel",Premissas!$B$47="Moradia",$A269&lt;MAX('Carta Contemplada'!$B$44,Premissas!$B$49)),$D269,0)</x:f>
        <x:v>0</x:v>
      </x:c>
      <x:c r="BW269" s="141" t="n">
        <x:f>IF(AND('Carta Contemplada'!$B$22="Sim",Premissas!$B$11="Imovel",Premissas!$B$47="Investimento",$A269&gt;=MAX('Carta Contemplada'!$B$44,Premissas!$B$49)),$E269,0)</x:f>
        <x:v>2306.263946610148</x:v>
      </x:c>
      <x:c r="BX269" s="141" t="n">
        <x:f>BT269+BU269+BV269</x:f>
        <x:v>0</x:v>
      </x:c>
      <x:c r="BY269" s="141" t="n">
        <x:f>BW269</x:f>
        <x:v>2306.263946610148</x:v>
      </x:c>
      <x:c r="BZ269" s="141" t="n">
        <x:f>$C269+BY269-BX269</x:f>
        <x:v>9306.263946610148</x:v>
      </x:c>
      <x:c r="CA269" s="141" t="n">
        <x:f>CD268*(1+Premissas!$B$41)+BZ269</x:f>
        <x:v>8216387.475827417</x:v>
      </x:c>
      <x:c r="CB269" s="141" t="n">
        <x:f>MAX(0,-CA269)</x:f>
        <x:v>0</x:v>
      </x:c>
      <x:c r="CC269" s="141" t="n">
        <x:f>CC268*(1+Premissas!$B$41)+CB269</x:f>
        <x:v>0</x:v>
      </x:c>
      <x:c r="CD269" s="141" t="n">
        <x:f>MAX(0,CA269)</x:f>
        <x:v>8216387.475827417</x:v>
      </x:c>
      <x:c r="CE269" s="141" t="n">
        <x:f>IF(AND('Carta Contemplada'!$B$22="Sim",$A269&gt;='Carta Contemplada'!$B$23),INDEX('Carta Contemplada'!$I$55:$I$1013,$A269),0)</x:f>
        <x:v>0</x:v>
      </x:c>
      <x:c r="CF269" s="141" t="n">
        <x:f>IF(AND('Carta Contemplada'!$B$22="Sim",$A269&gt;='Carta Contemplada'!$B$44),$F269,0)</x:f>
        <x:v>720707.4833156713</x:v>
      </x:c>
      <x:c r="CG269" s="141" t="n">
        <x:f>CD269+CF269-CE269</x:f>
        <x:v>8937094.95914309</x:v>
      </x:c>
      <x:c r="CH269" s="141" t="n">
        <x:f>IF(CC269&gt;1,"Inviavel",CG269)</x:f>
        <x:v>8937094.95914309</x:v>
      </x:c>
      <x:c r="CI269" s="145" t="str">
        <x:f>IF(CC269&gt;1,"Inviavel","OK")</x:f>
        <x:v>OK</x:v>
      </x:c>
    </x:row>
    <x:row r="270">
      <x:c r="A270" s="142" t="n">
        <x:v>266</x:v>
      </x:c>
      <x:c r="B270" s="179" t="n">
        <x:f>EDATE(Premissas!$B$4,A270-1)</x:f>
        <x:v>54605</x:v>
      </x:c>
      <x:c r="C270" s="141" t="n">
        <x:f>IF(A270&lt;=Premissas!$B$39,Premissas!$B$42,0)</x:f>
        <x:v>7000</x:v>
      </x:c>
      <x:c r="D270" s="141" t="n">
        <x:f>Premissas!$B$54*(1+Premissas!$B$57)^INT((A270-1)/12)</x:f>
        <x:v>2522.4761916048496</x:v>
      </x:c>
      <x:c r="E270" s="141" t="n">
        <x:f>Premissas!$B$64*(1+Premissas!$B$57)^INT((A270-1)/12)</x:f>
        <x:v>2306.263946610148</x:v>
      </x:c>
      <x:c r="F270" s="141" t="n">
        <x:f>MAX(0,Premissas!$B$6*(1+Premissas!$B$66)^((A270-1)/12))</x:f>
        <x:v>724215.5634335313</x:v>
      </x:c>
      <x:c r="G270" s="141" t="n">
        <x:f>G269*(1+Premissas!$B$41)+C270</x:f>
        <x:v>9458405.655450707</x:v>
      </x:c>
      <x:c r="H270" s="141" t="n">
        <x:f>IF($A270=Premissas!$B$48,Premissas!$B$8,0)</x:f>
        <x:v>0</x:v>
      </x:c>
      <x:c r="I270" s="141" t="n">
        <x:f>IF(AND($A270&gt;=Premissas!$B$48,$A270-Premissas!$B$48+1&lt;=Premissas!$B$13),INDEX(Financiamento!$J$6:$J$485,$A270-Premissas!$B$48+1),0)</x:f>
        <x:v>1091.2430113753812</x:v>
      </x:c>
      <x:c r="J270" s="141" t="n">
        <x:f>IF(AND(TRUE,Premissas!$B$11="Imovel",Premissas!$B$47="Moradia",$A270&lt;MAX(Premissas!$B$48,Premissas!$B$49)),$D270,0)</x:f>
        <x:v>0</x:v>
      </x:c>
      <x:c r="K270" s="141" t="n">
        <x:f>IF(AND(TRUE,Premissas!$B$11="Imovel",Premissas!$B$47="Investimento",$A270&gt;=MAX(Premissas!$B$48,Premissas!$B$49)),$E270,0)</x:f>
        <x:v>2306.263946610148</x:v>
      </x:c>
      <x:c r="L270" s="141" t="n">
        <x:f>H270+I270+J270</x:f>
        <x:v>1091.2430113753812</x:v>
      </x:c>
      <x:c r="M270" s="141" t="n">
        <x:f>K270</x:f>
        <x:v>2306.263946610148</x:v>
      </x:c>
      <x:c r="N270" s="141" t="n">
        <x:f>$C270+M270-L270</x:f>
        <x:v>8215.020935234767</x:v>
      </x:c>
      <x:c r="O270" s="141" t="n">
        <x:f>R269*(1+Premissas!$B$41)+N270</x:f>
        <x:v>8049049.17854565</x:v>
      </x:c>
      <x:c r="P270" s="141" t="n">
        <x:f>MAX(0,-O270)</x:f>
        <x:v>0</x:v>
      </x:c>
      <x:c r="Q270" s="141" t="n">
        <x:f>Q269*(1+Premissas!$B$41)+P270</x:f>
        <x:v>0</x:v>
      </x:c>
      <x:c r="R270" s="141" t="n">
        <x:f>MAX(0,O270)</x:f>
        <x:v>8049049.17854565</x:v>
      </x:c>
      <x:c r="S270" s="141" t="n">
        <x:f>IF(AND($A270&gt;=Premissas!$B$48,$A270-Premissas!$B$48+1&lt;=Premissas!$B$13),INDEX(Financiamento!$M$6:$M$485,$A270-Premissas!$B$48+1),0)</x:f>
        <x:v>58666.66666666676</x:v>
      </x:c>
      <x:c r="T270" s="141" t="n">
        <x:f>IF($A270&gt;=Premissas!$B$48,$F270,0)</x:f>
        <x:v>724215.5634335313</x:v>
      </x:c>
      <x:c r="U270" s="141" t="n">
        <x:f>R270+T270-S270</x:f>
        <x:v>8714598.075312516</x:v>
      </x:c>
      <x:c r="V270" s="141" t="n">
        <x:f>IF(Q270&gt;1,"Inviavel",U270)</x:f>
        <x:v>8714598.075312516</x:v>
      </x:c>
      <x:c r="W270" s="141" t="str">
        <x:f>IF(Q270&gt;1,"Inviavel","OK")</x:f>
        <x:v>OK</x:v>
      </x:c>
      <x:c r="X270" s="141" t="n">
        <x:f>IF($A270=Premissas!$B$48,Premissas!$B$8,0)</x:f>
        <x:v>0</x:v>
      </x:c>
      <x:c r="Y270" s="141" t="n">
        <x:f>IF(AND($A270&gt;=Premissas!$B$48,$A270-Premissas!$B$48+1&lt;=Premissas!$B$13),INDEX(Amortizacao!$K$6:$K$485,$A270-Premissas!$B$48+1),0)</x:f>
        <x:v>0</x:v>
      </x:c>
      <x:c r="Z270" s="141" t="n">
        <x:f>IF(AND(TRUE,Premissas!$B$11="Imovel",Premissas!$B$47="Moradia",$A270&lt;MAX(Premissas!$B$48,Premissas!$B$49)),$D270,0)</x:f>
        <x:v>0</x:v>
      </x:c>
      <x:c r="AA270" s="141" t="n">
        <x:f>IF(AND(TRUE,Premissas!$B$11="Imovel",Premissas!$B$47="Investimento",$A270&gt;=MAX(Premissas!$B$48,Premissas!$B$49)),$E270,0)</x:f>
        <x:v>2306.263946610148</x:v>
      </x:c>
      <x:c r="AB270" s="141" t="n">
        <x:f>X270+Y270+Z270</x:f>
        <x:v>0</x:v>
      </x:c>
      <x:c r="AC270" s="141" t="n">
        <x:f>AA270</x:f>
        <x:v>2306.263946610148</x:v>
      </x:c>
      <x:c r="AD270" s="141" t="n">
        <x:f>$C270+AC270-AB270</x:f>
        <x:v>9306.263946610148</x:v>
      </x:c>
      <x:c r="AE270" s="141" t="n">
        <x:f>AH269*(1+Premissas!$B$41)+AD270</x:f>
        <x:v>8125630.82801134</x:v>
      </x:c>
      <x:c r="AF270" s="141" t="n">
        <x:f>MAX(0,-AE270)</x:f>
        <x:v>0</x:v>
      </x:c>
      <x:c r="AG270" s="141" t="n">
        <x:f>AG269*(1+Premissas!$B$41)+AF270</x:f>
        <x:v>0</x:v>
      </x:c>
      <x:c r="AH270" s="141" t="n">
        <x:f>MAX(0,AE270)</x:f>
        <x:v>8125630.82801134</x:v>
      </x:c>
      <x:c r="AI270" s="141" t="n">
        <x:f>IF(AND($A270&gt;=Premissas!$B$48,$A270-Premissas!$B$48+1&lt;=Premissas!$B$13),INDEX(Amortizacao!$L$6:$L$485,$A270-Premissas!$B$48+1),0)</x:f>
        <x:v>0</x:v>
      </x:c>
      <x:c r="AJ270" s="141" t="n">
        <x:f>IF($A270&gt;=Premissas!$B$48,$F270,0)</x:f>
        <x:v>724215.5634335313</x:v>
      </x:c>
      <x:c r="AK270" s="141" t="n">
        <x:f>AH270+AJ270-AI270</x:f>
        <x:v>8849846.391444871</x:v>
      </x:c>
      <x:c r="AL270" s="141" t="n">
        <x:f>IF(AG270&gt;1,"Inviavel",AK270)</x:f>
        <x:v>8849846.391444871</x:v>
      </x:c>
      <x:c r="AM270" s="141" t="str">
        <x:f>IF(AG270&gt;1,"Inviavel","OK")</x:f>
        <x:v>OK</x:v>
      </x:c>
      <x:c r="AN270" s="141" t="n">
        <x:f>IF($A270=Premissas!$B$48,Premissas!$B$8,0)</x:f>
        <x:v>0</x:v>
      </x:c>
      <x:c r="AO270" s="141" t="n">
        <x:f>IF($A270&lt;=Premissas!$B$25,INDEX('Consorcio IQ'!$K$6:$K$485,$A270),0)</x:f>
        <x:v>0</x:v>
      </x:c>
      <x:c r="AP270" s="141" t="n">
        <x:f>IF(AND(TRUE,Premissas!$B$11="Imovel",Premissas!$B$47="Moradia",$A270&lt;MAX(Premissas!$B$48,Premissas!$B$49)),$D270,0)</x:f>
        <x:v>0</x:v>
      </x:c>
      <x:c r="AQ270" s="141" t="n">
        <x:f>IF(AND(TRUE,Premissas!$B$11="Imovel",Premissas!$B$47="Investimento",$A270&gt;=MAX(Premissas!$B$48,Premissas!$B$49)),$E270,0)</x:f>
        <x:v>2306.263946610148</x:v>
      </x:c>
      <x:c r="AR270" s="141" t="n">
        <x:f>AN270+AO270+AP270</x:f>
        <x:v>0</x:v>
      </x:c>
      <x:c r="AS270" s="141" t="n">
        <x:f>AQ270</x:f>
        <x:v>2306.263946610148</x:v>
      </x:c>
      <x:c r="AT270" s="141" t="n">
        <x:f>$C270+AS270-AR270</x:f>
        <x:v>9306.263946610148</x:v>
      </x:c>
      <x:c r="AU270" s="141" t="n">
        <x:f>AX269*(1+Premissas!$B$41)+AT270</x:f>
        <x:v>8055036.1498651905</x:v>
      </x:c>
      <x:c r="AV270" s="141" t="n">
        <x:f>MAX(0,-AU270)</x:f>
        <x:v>0</x:v>
      </x:c>
      <x:c r="AW270" s="141" t="n">
        <x:f>AW269*(1+Premissas!$B$41)+AV270</x:f>
        <x:v>0</x:v>
      </x:c>
      <x:c r="AX270" s="141" t="n">
        <x:f>MAX(0,AU270)</x:f>
        <x:v>8055036.1498651905</x:v>
      </x:c>
      <x:c r="AY270" s="141" t="n">
        <x:f>INDEX('Consorcio IQ'!$P$6:$P$485,$A270)</x:f>
        <x:v>0</x:v>
      </x:c>
      <x:c r="AZ270" s="141" t="n">
        <x:f>IF($A270&gt;=Premissas!$B$48,$F270,0)+IF($A270&lt;Premissas!$B$27,INDEX('Consorcio IQ'!$O$6:$O$485,$A270),0)</x:f>
        <x:v>724215.5634335313</x:v>
      </x:c>
      <x:c r="BA270" s="141" t="n">
        <x:f>AX270+AZ270-AY270</x:f>
        <x:v>8779251.713298721</x:v>
      </x:c>
      <x:c r="BB270" s="141" t="n">
        <x:f>IF(AW270&gt;1,"Inviavel",BA270)</x:f>
        <x:v>8779251.713298721</x:v>
      </x:c>
      <x:c r="BC270" s="141" t="str">
        <x:f>IF(AW270&gt;1,"Inviavel","OK")</x:f>
        <x:v>OK</x:v>
      </x:c>
      <x:c r="BD270" s="141" t="n">
        <x:f>IF($A270='Consorcio Direto'!$B$29,'Consorcio Direto'!$B$44,0)</x:f>
        <x:v>0</x:v>
      </x:c>
      <x:c r="BE270" s="141" t="n">
        <x:f>IF($A270&lt;='Consorcio Direto'!$B$27,INDEX('Consorcio Direto'!$E$55:$E$534,$A270),0)</x:f>
        <x:v>0</x:v>
      </x:c>
      <x:c r="BF270" s="141" t="n">
        <x:f>IF(AND(TRUE,Premissas!$B$11="Imovel",Premissas!$B$47="Moradia",$A270&lt;MAX('Consorcio Direto'!$B$29,Premissas!$B$49)),$D270,0)</x:f>
        <x:v>0</x:v>
      </x:c>
      <x:c r="BG270" s="141" t="n">
        <x:f>IF(AND(TRUE,Premissas!$B$11="Imovel",Premissas!$B$47="Investimento",$A270&gt;=MAX('Consorcio Direto'!$B$29,Premissas!$B$49)),$E270,0)</x:f>
        <x:v>2306.263946610148</x:v>
      </x:c>
      <x:c r="BH270" s="141" t="n">
        <x:f>BD270+BE270+BF270</x:f>
        <x:v>0</x:v>
      </x:c>
      <x:c r="BI270" s="141" t="n">
        <x:f>BG270</x:f>
        <x:v>2306.263946610148</x:v>
      </x:c>
      <x:c r="BJ270" s="141" t="n">
        <x:f>$C270+BI270-BH270</x:f>
        <x:v>9306.263946610148</x:v>
      </x:c>
      <x:c r="BK270" s="141" t="n">
        <x:f>BN269*(1+Premissas!$B$41)+BJ270</x:f>
        <x:v>7673515.021730468</x:v>
      </x:c>
      <x:c r="BL270" s="141" t="n">
        <x:f>MAX(0,-BK270)</x:f>
        <x:v>0</x:v>
      </x:c>
      <x:c r="BM270" s="141" t="n">
        <x:f>BM269*(1+Premissas!$B$41)+BL270</x:f>
        <x:v>0</x:v>
      </x:c>
      <x:c r="BN270" s="141" t="n">
        <x:f>MAX(0,BK270)</x:f>
        <x:v>7673515.021730468</x:v>
      </x:c>
      <x:c r="BO270" s="141" t="n">
        <x:f>INDEX('Consorcio Direto'!$K$55:$K$534,$A270)</x:f>
        <x:v>0</x:v>
      </x:c>
      <x:c r="BP270" s="141" t="n">
        <x:f>IF($A270&lt;'Consorcio Direto'!$B$29,INDEX('Consorcio Direto'!$L$55:$L$534,$A270),$F270)</x:f>
        <x:v>724215.5634335313</x:v>
      </x:c>
      <x:c r="BQ270" s="141" t="n">
        <x:f>BN270+BP270-BO270</x:f>
        <x:v>8397730.585164</x:v>
      </x:c>
      <x:c r="BR270" s="141" t="n">
        <x:f>IF(BM270&gt;1,"Inviavel",BQ270)</x:f>
        <x:v>8397730.585164</x:v>
      </x:c>
      <x:c r="BS270" s="141" t="str">
        <x:f>IF(BM270&gt;1,"Inviavel","OK")</x:f>
        <x:v>OK</x:v>
      </x:c>
      <x:c r="BT270" s="141" t="n">
        <x:f>IF(AND('Carta Contemplada'!$B$22="Sim",$A270='Carta Contemplada'!$B$23),'Carta Contemplada'!$B$37,0)</x:f>
        <x:v>0</x:v>
      </x:c>
      <x:c r="BU270" s="141" t="n">
        <x:f>IF('Carta Contemplada'!$B$22="Sim",INDEX('Carta Contemplada'!$C$55:$C$1013,$A270),0)</x:f>
        <x:v>0</x:v>
      </x:c>
      <x:c r="BV270" s="141" t="n">
        <x:f>IF(AND('Carta Contemplada'!$B$22="Sim",Premissas!$B$11="Imovel",Premissas!$B$47="Moradia",$A270&lt;MAX('Carta Contemplada'!$B$44,Premissas!$B$49)),$D270,0)</x:f>
        <x:v>0</x:v>
      </x:c>
      <x:c r="BW270" s="141" t="n">
        <x:f>IF(AND('Carta Contemplada'!$B$22="Sim",Premissas!$B$11="Imovel",Premissas!$B$47="Investimento",$A270&gt;=MAX('Carta Contemplada'!$B$44,Premissas!$B$49)),$E270,0)</x:f>
        <x:v>2306.263946610148</x:v>
      </x:c>
      <x:c r="BX270" s="141" t="n">
        <x:f>BT270+BU270+BV270</x:f>
        <x:v>0</x:v>
      </x:c>
      <x:c r="BY270" s="141" t="n">
        <x:f>BW270</x:f>
        <x:v>2306.263946610148</x:v>
      </x:c>
      <x:c r="BZ270" s="141" t="n">
        <x:f>$C270+BY270-BX270</x:f>
        <x:v>9306.263946610148</x:v>
      </x:c>
      <x:c r="CA270" s="141" t="n">
        <x:f>CD269*(1+Premissas!$B$41)+BZ270</x:f>
        <x:v>8303657.339202455</x:v>
      </x:c>
      <x:c r="CB270" s="141" t="n">
        <x:f>MAX(0,-CA270)</x:f>
        <x:v>0</x:v>
      </x:c>
      <x:c r="CC270" s="141" t="n">
        <x:f>CC269*(1+Premissas!$B$41)+CB270</x:f>
        <x:v>0</x:v>
      </x:c>
      <x:c r="CD270" s="141" t="n">
        <x:f>MAX(0,CA270)</x:f>
        <x:v>8303657.339202455</x:v>
      </x:c>
      <x:c r="CE270" s="141" t="n">
        <x:f>IF(AND('Carta Contemplada'!$B$22="Sim",$A270&gt;='Carta Contemplada'!$B$23),INDEX('Carta Contemplada'!$I$55:$I$1013,$A270),0)</x:f>
        <x:v>0</x:v>
      </x:c>
      <x:c r="CF270" s="141" t="n">
        <x:f>IF(AND('Carta Contemplada'!$B$22="Sim",$A270&gt;='Carta Contemplada'!$B$44),$F270,0)</x:f>
        <x:v>724215.5634335313</x:v>
      </x:c>
      <x:c r="CG270" s="141" t="n">
        <x:f>CD270+CF270-CE270</x:f>
        <x:v>9027872.902635986</x:v>
      </x:c>
      <x:c r="CH270" s="141" t="n">
        <x:f>IF(CC270&gt;1,"Inviavel",CG270)</x:f>
        <x:v>9027872.902635986</x:v>
      </x:c>
      <x:c r="CI270" s="145" t="str">
        <x:f>IF(CC270&gt;1,"Inviavel","OK")</x:f>
        <x:v>OK</x:v>
      </x:c>
    </x:row>
    <x:row r="271">
      <x:c r="A271" s="142" t="n">
        <x:v>267</x:v>
      </x:c>
      <x:c r="B271" s="179" t="n">
        <x:f>EDATE(Premissas!$B$4,A271-1)</x:f>
        <x:v>54636</x:v>
      </x:c>
      <x:c r="C271" s="141" t="n">
        <x:f>IF(A271&lt;=Premissas!$B$39,Premissas!$B$42,0)</x:f>
        <x:v>7000</x:v>
      </x:c>
      <x:c r="D271" s="141" t="n">
        <x:f>Premissas!$B$54*(1+Premissas!$B$57)^INT((A271-1)/12)</x:f>
        <x:v>2522.4761916048496</x:v>
      </x:c>
      <x:c r="E271" s="141" t="n">
        <x:f>Premissas!$B$64*(1+Premissas!$B$57)^INT((A271-1)/12)</x:f>
        <x:v>2306.263946610148</x:v>
      </x:c>
      <x:c r="F271" s="141" t="n">
        <x:f>MAX(0,Premissas!$B$6*(1+Premissas!$B$66)^((A271-1)/12))</x:f>
        <x:v>727740.7193087526</x:v>
      </x:c>
      <x:c r="G271" s="141" t="n">
        <x:f>G270*(1+Premissas!$B$41)+C271</x:f>
        <x:v>9555154.508206569</x:v>
      </x:c>
      <x:c r="H271" s="141" t="n">
        <x:f>IF($A271=Premissas!$B$48,Premissas!$B$8,0)</x:f>
        <x:v>0</x:v>
      </x:c>
      <x:c r="I271" s="141" t="n">
        <x:f>IF(AND($A271&gt;=Premissas!$B$48,$A271-Premissas!$B$48+1&lt;=Premissas!$B$13),INDEX(Financiamento!$J$6:$J$485,$A271-Premissas!$B$48+1),0)</x:f>
        <x:v>1087.6282331145876</x:v>
      </x:c>
      <x:c r="J271" s="141" t="n">
        <x:f>IF(AND(TRUE,Premissas!$B$11="Imovel",Premissas!$B$47="Moradia",$A271&lt;MAX(Premissas!$B$48,Premissas!$B$49)),$D271,0)</x:f>
        <x:v>0</x:v>
      </x:c>
      <x:c r="K271" s="141" t="n">
        <x:f>IF(AND(TRUE,Premissas!$B$11="Imovel",Premissas!$B$47="Investimento",$A271&gt;=MAX(Premissas!$B$48,Premissas!$B$49)),$E271,0)</x:f>
        <x:v>2306.263946610148</x:v>
      </x:c>
      <x:c r="L271" s="141" t="n">
        <x:f>H271+I271+J271</x:f>
        <x:v>1087.6282331145876</x:v>
      </x:c>
      <x:c r="M271" s="141" t="n">
        <x:f>K271</x:f>
        <x:v>2306.263946610148</x:v>
      </x:c>
      <x:c r="N271" s="141" t="n">
        <x:f>$C271+M271-L271</x:f>
        <x:v>8218.635713495562</x:v>
      </x:c>
      <x:c r="O271" s="141" t="n">
        <x:f>R270*(1+Premissas!$B$41)+N271</x:f>
        <x:v>8133643.57523464</x:v>
      </x:c>
      <x:c r="P271" s="141" t="n">
        <x:f>MAX(0,-O271)</x:f>
        <x:v>0</x:v>
      </x:c>
      <x:c r="Q271" s="141" t="n">
        <x:f>Q270*(1+Premissas!$B$41)+P271</x:f>
        <x:v>0</x:v>
      </x:c>
      <x:c r="R271" s="141" t="n">
        <x:f>MAX(0,O271)</x:f>
        <x:v>8133643.57523464</x:v>
      </x:c>
      <x:c r="S271" s="141" t="n">
        <x:f>IF(AND($A271&gt;=Premissas!$B$48,$A271-Premissas!$B$48+1&lt;=Premissas!$B$13),INDEX(Financiamento!$M$6:$M$485,$A271-Premissas!$B$48+1),0)</x:f>
        <x:v>58285.71428571438</x:v>
      </x:c>
      <x:c r="T271" s="141" t="n">
        <x:f>IF($A271&gt;=Premissas!$B$48,$F271,0)</x:f>
        <x:v>727740.7193087526</x:v>
      </x:c>
      <x:c r="U271" s="141" t="n">
        <x:f>R271+T271-S271</x:f>
        <x:v>8803098.580257678</x:v>
      </x:c>
      <x:c r="V271" s="141" t="n">
        <x:f>IF(Q271&gt;1,"Inviavel",U271)</x:f>
        <x:v>8803098.580257678</x:v>
      </x:c>
      <x:c r="W271" s="141" t="str">
        <x:f>IF(Q271&gt;1,"Inviavel","OK")</x:f>
        <x:v>OK</x:v>
      </x:c>
      <x:c r="X271" s="141" t="n">
        <x:f>IF($A271=Premissas!$B$48,Premissas!$B$8,0)</x:f>
        <x:v>0</x:v>
      </x:c>
      <x:c r="Y271" s="141" t="n">
        <x:f>IF(AND($A271&gt;=Premissas!$B$48,$A271-Premissas!$B$48+1&lt;=Premissas!$B$13),INDEX(Amortizacao!$K$6:$K$485,$A271-Premissas!$B$48+1),0)</x:f>
        <x:v>0</x:v>
      </x:c>
      <x:c r="Z271" s="141" t="n">
        <x:f>IF(AND(TRUE,Premissas!$B$11="Imovel",Premissas!$B$47="Moradia",$A271&lt;MAX(Premissas!$B$48,Premissas!$B$49)),$D271,0)</x:f>
        <x:v>0</x:v>
      </x:c>
      <x:c r="AA271" s="141" t="n">
        <x:f>IF(AND(TRUE,Premissas!$B$11="Imovel",Premissas!$B$47="Investimento",$A271&gt;=MAX(Premissas!$B$48,Premissas!$B$49)),$E271,0)</x:f>
        <x:v>2306.263946610148</x:v>
      </x:c>
      <x:c r="AB271" s="141" t="n">
        <x:f>X271+Y271+Z271</x:f>
        <x:v>0</x:v>
      </x:c>
      <x:c r="AC271" s="141" t="n">
        <x:f>AA271</x:f>
        <x:v>2306.263946610148</x:v>
      </x:c>
      <x:c r="AD271" s="141" t="n">
        <x:f>$C271+AC271-AB271</x:f>
        <x:v>9306.263946610148</x:v>
      </x:c>
      <x:c r="AE271" s="141" t="n">
        <x:f>AH270*(1+Premissas!$B$41)+AD271</x:f>
        <x:v>8212039.520347815</x:v>
      </x:c>
      <x:c r="AF271" s="141" t="n">
        <x:f>MAX(0,-AE271)</x:f>
        <x:v>0</x:v>
      </x:c>
      <x:c r="AG271" s="141" t="n">
        <x:f>AG270*(1+Premissas!$B$41)+AF271</x:f>
        <x:v>0</x:v>
      </x:c>
      <x:c r="AH271" s="141" t="n">
        <x:f>MAX(0,AE271)</x:f>
        <x:v>8212039.520347815</x:v>
      </x:c>
      <x:c r="AI271" s="141" t="n">
        <x:f>IF(AND($A271&gt;=Premissas!$B$48,$A271-Premissas!$B$48+1&lt;=Premissas!$B$13),INDEX(Amortizacao!$L$6:$L$485,$A271-Premissas!$B$48+1),0)</x:f>
        <x:v>0</x:v>
      </x:c>
      <x:c r="AJ271" s="141" t="n">
        <x:f>IF($A271&gt;=Premissas!$B$48,$F271,0)</x:f>
        <x:v>727740.7193087526</x:v>
      </x:c>
      <x:c r="AK271" s="141" t="n">
        <x:f>AH271+AJ271-AI271</x:f>
        <x:v>8939780.239656568</x:v>
      </x:c>
      <x:c r="AL271" s="141" t="n">
        <x:f>IF(AG271&gt;1,"Inviavel",AK271)</x:f>
        <x:v>8939780.239656568</x:v>
      </x:c>
      <x:c r="AM271" s="141" t="str">
        <x:f>IF(AG271&gt;1,"Inviavel","OK")</x:f>
        <x:v>OK</x:v>
      </x:c>
      <x:c r="AN271" s="141" t="n">
        <x:f>IF($A271=Premissas!$B$48,Premissas!$B$8,0)</x:f>
        <x:v>0</x:v>
      </x:c>
      <x:c r="AO271" s="141" t="n">
        <x:f>IF($A271&lt;=Premissas!$B$25,INDEX('Consorcio IQ'!$K$6:$K$485,$A271),0)</x:f>
        <x:v>0</x:v>
      </x:c>
      <x:c r="AP271" s="141" t="n">
        <x:f>IF(AND(TRUE,Premissas!$B$11="Imovel",Premissas!$B$47="Moradia",$A271&lt;MAX(Premissas!$B$48,Premissas!$B$49)),$D271,0)</x:f>
        <x:v>0</x:v>
      </x:c>
      <x:c r="AQ271" s="141" t="n">
        <x:f>IF(AND(TRUE,Premissas!$B$11="Imovel",Premissas!$B$47="Investimento",$A271&gt;=MAX(Premissas!$B$48,Premissas!$B$49)),$E271,0)</x:f>
        <x:v>2306.263946610148</x:v>
      </x:c>
      <x:c r="AR271" s="141" t="n">
        <x:f>AN271+AO271+AP271</x:f>
        <x:v>0</x:v>
      </x:c>
      <x:c r="AS271" s="141" t="n">
        <x:f>AQ271</x:f>
        <x:v>2306.263946610148</x:v>
      </x:c>
      <x:c r="AT271" s="141" t="n">
        <x:f>$C271+AS271-AR271</x:f>
        <x:v>9306.263946610148</x:v>
      </x:c>
      <x:c r="AU271" s="141" t="n">
        <x:f>AX270*(1+Premissas!$B$41)+AT271</x:f>
        <x:v>8140774.983918453</x:v>
      </x:c>
      <x:c r="AV271" s="141" t="n">
        <x:f>MAX(0,-AU271)</x:f>
        <x:v>0</x:v>
      </x:c>
      <x:c r="AW271" s="141" t="n">
        <x:f>AW270*(1+Premissas!$B$41)+AV271</x:f>
        <x:v>0</x:v>
      </x:c>
      <x:c r="AX271" s="141" t="n">
        <x:f>MAX(0,AU271)</x:f>
        <x:v>8140774.983918453</x:v>
      </x:c>
      <x:c r="AY271" s="141" t="n">
        <x:f>INDEX('Consorcio IQ'!$P$6:$P$485,$A271)</x:f>
        <x:v>0</x:v>
      </x:c>
      <x:c r="AZ271" s="141" t="n">
        <x:f>IF($A271&gt;=Premissas!$B$48,$F271,0)+IF($A271&lt;Premissas!$B$27,INDEX('Consorcio IQ'!$O$6:$O$485,$A271),0)</x:f>
        <x:v>727740.7193087526</x:v>
      </x:c>
      <x:c r="BA271" s="141" t="n">
        <x:f>AX271+AZ271-AY271</x:f>
        <x:v>8868515.703227205</x:v>
      </x:c>
      <x:c r="BB271" s="141" t="n">
        <x:f>IF(AW271&gt;1,"Inviavel",BA271)</x:f>
        <x:v>8868515.703227205</x:v>
      </x:c>
      <x:c r="BC271" s="141" t="str">
        <x:f>IF(AW271&gt;1,"Inviavel","OK")</x:f>
        <x:v>OK</x:v>
      </x:c>
      <x:c r="BD271" s="141" t="n">
        <x:f>IF($A271='Consorcio Direto'!$B$29,'Consorcio Direto'!$B$44,0)</x:f>
        <x:v>0</x:v>
      </x:c>
      <x:c r="BE271" s="141" t="n">
        <x:f>IF($A271&lt;='Consorcio Direto'!$B$27,INDEX('Consorcio Direto'!$E$55:$E$534,$A271),0)</x:f>
        <x:v>0</x:v>
      </x:c>
      <x:c r="BF271" s="141" t="n">
        <x:f>IF(AND(TRUE,Premissas!$B$11="Imovel",Premissas!$B$47="Moradia",$A271&lt;MAX('Consorcio Direto'!$B$29,Premissas!$B$49)),$D271,0)</x:f>
        <x:v>0</x:v>
      </x:c>
      <x:c r="BG271" s="141" t="n">
        <x:f>IF(AND(TRUE,Premissas!$B$11="Imovel",Premissas!$B$47="Investimento",$A271&gt;=MAX('Consorcio Direto'!$B$29,Premissas!$B$49)),$E271,0)</x:f>
        <x:v>2306.263946610148</x:v>
      </x:c>
      <x:c r="BH271" s="141" t="n">
        <x:f>BD271+BE271+BF271</x:f>
        <x:v>0</x:v>
      </x:c>
      <x:c r="BI271" s="141" t="n">
        <x:f>BG271</x:f>
        <x:v>2306.263946610148</x:v>
      </x:c>
      <x:c r="BJ271" s="141" t="n">
        <x:f>$C271+BI271-BH271</x:f>
        <x:v>9306.263946610148</x:v>
      </x:c>
      <x:c r="BK271" s="141" t="n">
        <x:f>BN270*(1+Premissas!$B$41)+BJ271</x:f>
        <x:v>7755633.680798691</x:v>
      </x:c>
      <x:c r="BL271" s="141" t="n">
        <x:f>MAX(0,-BK271)</x:f>
        <x:v>0</x:v>
      </x:c>
      <x:c r="BM271" s="141" t="n">
        <x:f>BM270*(1+Premissas!$B$41)+BL271</x:f>
        <x:v>0</x:v>
      </x:c>
      <x:c r="BN271" s="141" t="n">
        <x:f>MAX(0,BK271)</x:f>
        <x:v>7755633.680798691</x:v>
      </x:c>
      <x:c r="BO271" s="141" t="n">
        <x:f>INDEX('Consorcio Direto'!$K$55:$K$534,$A271)</x:f>
        <x:v>0</x:v>
      </x:c>
      <x:c r="BP271" s="141" t="n">
        <x:f>IF($A271&lt;'Consorcio Direto'!$B$29,INDEX('Consorcio Direto'!$L$55:$L$534,$A271),$F271)</x:f>
        <x:v>727740.7193087526</x:v>
      </x:c>
      <x:c r="BQ271" s="141" t="n">
        <x:f>BN271+BP271-BO271</x:f>
        <x:v>8483374.400107443</x:v>
      </x:c>
      <x:c r="BR271" s="141" t="n">
        <x:f>IF(BM271&gt;1,"Inviavel",BQ271)</x:f>
        <x:v>8483374.400107443</x:v>
      </x:c>
      <x:c r="BS271" s="141" t="str">
        <x:f>IF(BM271&gt;1,"Inviavel","OK")</x:f>
        <x:v>OK</x:v>
      </x:c>
      <x:c r="BT271" s="141" t="n">
        <x:f>IF(AND('Carta Contemplada'!$B$22="Sim",$A271='Carta Contemplada'!$B$23),'Carta Contemplada'!$B$37,0)</x:f>
        <x:v>0</x:v>
      </x:c>
      <x:c r="BU271" s="141" t="n">
        <x:f>IF('Carta Contemplada'!$B$22="Sim",INDEX('Carta Contemplada'!$C$55:$C$1013,$A271),0)</x:f>
        <x:v>0</x:v>
      </x:c>
      <x:c r="BV271" s="141" t="n">
        <x:f>IF(AND('Carta Contemplada'!$B$22="Sim",Premissas!$B$11="Imovel",Premissas!$B$47="Moradia",$A271&lt;MAX('Carta Contemplada'!$B$44,Premissas!$B$49)),$D271,0)</x:f>
        <x:v>0</x:v>
      </x:c>
      <x:c r="BW271" s="141" t="n">
        <x:f>IF(AND('Carta Contemplada'!$B$22="Sim",Premissas!$B$11="Imovel",Premissas!$B$47="Investimento",$A271&gt;=MAX('Carta Contemplada'!$B$44,Premissas!$B$49)),$E271,0)</x:f>
        <x:v>2306.263946610148</x:v>
      </x:c>
      <x:c r="BX271" s="141" t="n">
        <x:f>BT271+BU271+BV271</x:f>
        <x:v>0</x:v>
      </x:c>
      <x:c r="BY271" s="141" t="n">
        <x:f>BW271</x:f>
        <x:v>2306.263946610148</x:v>
      </x:c>
      <x:c r="BZ271" s="141" t="n">
        <x:f>$C271+BY271-BX271</x:f>
        <x:v>9306.263946610148</x:v>
      </x:c>
      <x:c r="CA271" s="141" t="n">
        <x:f>CD270*(1+Premissas!$B$41)+BZ271</x:f>
        <x:v>8391755.288240489</x:v>
      </x:c>
      <x:c r="CB271" s="141" t="n">
        <x:f>MAX(0,-CA271)</x:f>
        <x:v>0</x:v>
      </x:c>
      <x:c r="CC271" s="141" t="n">
        <x:f>CC270*(1+Premissas!$B$41)+CB271</x:f>
        <x:v>0</x:v>
      </x:c>
      <x:c r="CD271" s="141" t="n">
        <x:f>MAX(0,CA271)</x:f>
        <x:v>8391755.288240489</x:v>
      </x:c>
      <x:c r="CE271" s="141" t="n">
        <x:f>IF(AND('Carta Contemplada'!$B$22="Sim",$A271&gt;='Carta Contemplada'!$B$23),INDEX('Carta Contemplada'!$I$55:$I$1013,$A271),0)</x:f>
        <x:v>0</x:v>
      </x:c>
      <x:c r="CF271" s="141" t="n">
        <x:f>IF(AND('Carta Contemplada'!$B$22="Sim",$A271&gt;='Carta Contemplada'!$B$44),$F271,0)</x:f>
        <x:v>727740.7193087526</x:v>
      </x:c>
      <x:c r="CG271" s="141" t="n">
        <x:f>CD271+CF271-CE271</x:f>
        <x:v>9119496.007549241</x:v>
      </x:c>
      <x:c r="CH271" s="141" t="n">
        <x:f>IF(CC271&gt;1,"Inviavel",CG271)</x:f>
        <x:v>9119496.007549241</x:v>
      </x:c>
      <x:c r="CI271" s="145" t="str">
        <x:f>IF(CC271&gt;1,"Inviavel","OK")</x:f>
        <x:v>OK</x:v>
      </x:c>
    </x:row>
    <x:row r="272">
      <x:c r="A272" s="142" t="n">
        <x:v>268</x:v>
      </x:c>
      <x:c r="B272" s="179" t="n">
        <x:f>EDATE(Premissas!$B$4,A272-1)</x:f>
        <x:v>54667</x:v>
      </x:c>
      <x:c r="C272" s="141" t="n">
        <x:f>IF(A272&lt;=Premissas!$B$39,Premissas!$B$42,0)</x:f>
        <x:v>7000</x:v>
      </x:c>
      <x:c r="D272" s="141" t="n">
        <x:f>Premissas!$B$54*(1+Premissas!$B$57)^INT((A272-1)/12)</x:f>
        <x:v>2522.4761916048496</x:v>
      </x:c>
      <x:c r="E272" s="141" t="n">
        <x:f>Premissas!$B$64*(1+Premissas!$B$57)^INT((A272-1)/12)</x:f>
        <x:v>2306.263946610148</x:v>
      </x:c>
      <x:c r="F272" s="141" t="n">
        <x:f>MAX(0,Premissas!$B$6*(1+Premissas!$B$66)^((A272-1)/12))</x:f>
        <x:v>731283.034058447</x:v>
      </x:c>
      <x:c r="G272" s="141" t="n">
        <x:f>G271*(1+Premissas!$B$41)+C272</x:f>
        <x:v>9652821.390792888</x:v>
      </x:c>
      <x:c r="H272" s="141" t="n">
        <x:f>IF($A272=Premissas!$B$48,Premissas!$B$8,0)</x:f>
        <x:v>0</x:v>
      </x:c>
      <x:c r="I272" s="141" t="n">
        <x:f>IF(AND($A272&gt;=Premissas!$B$48,$A272-Premissas!$B$48+1&lt;=Premissas!$B$13),INDEX(Financiamento!$J$6:$J$485,$A272-Premissas!$B$48+1),0)</x:f>
        <x:v>1084.0134548537942</x:v>
      </x:c>
      <x:c r="J272" s="141" t="n">
        <x:f>IF(AND(TRUE,Premissas!$B$11="Imovel",Premissas!$B$47="Moradia",$A272&lt;MAX(Premissas!$B$48,Premissas!$B$49)),$D272,0)</x:f>
        <x:v>0</x:v>
      </x:c>
      <x:c r="K272" s="141" t="n">
        <x:f>IF(AND(TRUE,Premissas!$B$11="Imovel",Premissas!$B$47="Investimento",$A272&gt;=MAX(Premissas!$B$48,Premissas!$B$49)),$E272,0)</x:f>
        <x:v>2306.263946610148</x:v>
      </x:c>
      <x:c r="L272" s="141" t="n">
        <x:f>H272+I272+J272</x:f>
        <x:v>1084.0134548537942</x:v>
      </x:c>
      <x:c r="M272" s="141" t="n">
        <x:f>K272</x:f>
        <x:v>2306.263946610148</x:v>
      </x:c>
      <x:c r="N272" s="141" t="n">
        <x:f>$C272+M272-L272</x:f>
        <x:v>8222.250491756355</x:v>
      </x:c>
      <x:c r="O272" s="141" t="n">
        <x:f>R271*(1+Premissas!$B$41)+N272</x:f>
        <x:v>8219044.2854154995</x:v>
      </x:c>
      <x:c r="P272" s="141" t="n">
        <x:f>MAX(0,-O272)</x:f>
        <x:v>0</x:v>
      </x:c>
      <x:c r="Q272" s="141" t="n">
        <x:f>Q271*(1+Premissas!$B$41)+P272</x:f>
        <x:v>0</x:v>
      </x:c>
      <x:c r="R272" s="141" t="n">
        <x:f>MAX(0,O272)</x:f>
        <x:v>8219044.2854154995</x:v>
      </x:c>
      <x:c r="S272" s="141" t="n">
        <x:f>IF(AND($A272&gt;=Premissas!$B$48,$A272-Premissas!$B$48+1&lt;=Premissas!$B$13),INDEX(Financiamento!$M$6:$M$485,$A272-Premissas!$B$48+1),0)</x:f>
        <x:v>57904.761904761996</x:v>
      </x:c>
      <x:c r="T272" s="141" t="n">
        <x:f>IF($A272&gt;=Premissas!$B$48,$F272,0)</x:f>
        <x:v>731283.034058447</x:v>
      </x:c>
      <x:c r="U272" s="141" t="n">
        <x:f>R272+T272-S272</x:f>
        <x:v>8892422.557569185</x:v>
      </x:c>
      <x:c r="V272" s="141" t="n">
        <x:f>IF(Q272&gt;1,"Inviavel",U272)</x:f>
        <x:v>8892422.557569185</x:v>
      </x:c>
      <x:c r="W272" s="141" t="str">
        <x:f>IF(Q272&gt;1,"Inviavel","OK")</x:f>
        <x:v>OK</x:v>
      </x:c>
      <x:c r="X272" s="141" t="n">
        <x:f>IF($A272=Premissas!$B$48,Premissas!$B$8,0)</x:f>
        <x:v>0</x:v>
      </x:c>
      <x:c r="Y272" s="141" t="n">
        <x:f>IF(AND($A272&gt;=Premissas!$B$48,$A272-Premissas!$B$48+1&lt;=Premissas!$B$13),INDEX(Amortizacao!$K$6:$K$485,$A272-Premissas!$B$48+1),0)</x:f>
        <x:v>0</x:v>
      </x:c>
      <x:c r="Z272" s="141" t="n">
        <x:f>IF(AND(TRUE,Premissas!$B$11="Imovel",Premissas!$B$47="Moradia",$A272&lt;MAX(Premissas!$B$48,Premissas!$B$49)),$D272,0)</x:f>
        <x:v>0</x:v>
      </x:c>
      <x:c r="AA272" s="141" t="n">
        <x:f>IF(AND(TRUE,Premissas!$B$11="Imovel",Premissas!$B$47="Investimento",$A272&gt;=MAX(Premissas!$B$48,Premissas!$B$49)),$E272,0)</x:f>
        <x:v>2306.263946610148</x:v>
      </x:c>
      <x:c r="AB272" s="141" t="n">
        <x:f>X272+Y272+Z272</x:f>
        <x:v>0</x:v>
      </x:c>
      <x:c r="AC272" s="141" t="n">
        <x:f>AA272</x:f>
        <x:v>2306.263946610148</x:v>
      </x:c>
      <x:c r="AD272" s="141" t="n">
        <x:f>$C272+AC272-AB272</x:f>
        <x:v>9306.263946610148</x:v>
      </x:c>
      <x:c r="AE272" s="141" t="n">
        <x:f>AH271*(1+Premissas!$B$41)+AD272</x:f>
        <x:v>8299268.126873619</x:v>
      </x:c>
      <x:c r="AF272" s="141" t="n">
        <x:f>MAX(0,-AE272)</x:f>
        <x:v>0</x:v>
      </x:c>
      <x:c r="AG272" s="141" t="n">
        <x:f>AG271*(1+Premissas!$B$41)+AF272</x:f>
        <x:v>0</x:v>
      </x:c>
      <x:c r="AH272" s="141" t="n">
        <x:f>MAX(0,AE272)</x:f>
        <x:v>8299268.126873619</x:v>
      </x:c>
      <x:c r="AI272" s="141" t="n">
        <x:f>IF(AND($A272&gt;=Premissas!$B$48,$A272-Premissas!$B$48+1&lt;=Premissas!$B$13),INDEX(Amortizacao!$L$6:$L$485,$A272-Premissas!$B$48+1),0)</x:f>
        <x:v>0</x:v>
      </x:c>
      <x:c r="AJ272" s="141" t="n">
        <x:f>IF($A272&gt;=Premissas!$B$48,$F272,0)</x:f>
        <x:v>731283.034058447</x:v>
      </x:c>
      <x:c r="AK272" s="141" t="n">
        <x:f>AH272+AJ272-AI272</x:f>
        <x:v>9030551.160932066</x:v>
      </x:c>
      <x:c r="AL272" s="141" t="n">
        <x:f>IF(AG272&gt;1,"Inviavel",AK272)</x:f>
        <x:v>9030551.160932066</x:v>
      </x:c>
      <x:c r="AM272" s="141" t="str">
        <x:f>IF(AG272&gt;1,"Inviavel","OK")</x:f>
        <x:v>OK</x:v>
      </x:c>
      <x:c r="AN272" s="141" t="n">
        <x:f>IF($A272=Premissas!$B$48,Premissas!$B$8,0)</x:f>
        <x:v>0</x:v>
      </x:c>
      <x:c r="AO272" s="141" t="n">
        <x:f>IF($A272&lt;=Premissas!$B$25,INDEX('Consorcio IQ'!$K$6:$K$485,$A272),0)</x:f>
        <x:v>0</x:v>
      </x:c>
      <x:c r="AP272" s="141" t="n">
        <x:f>IF(AND(TRUE,Premissas!$B$11="Imovel",Premissas!$B$47="Moradia",$A272&lt;MAX(Premissas!$B$48,Premissas!$B$49)),$D272,0)</x:f>
        <x:v>0</x:v>
      </x:c>
      <x:c r="AQ272" s="141" t="n">
        <x:f>IF(AND(TRUE,Premissas!$B$11="Imovel",Premissas!$B$47="Investimento",$A272&gt;=MAX(Premissas!$B$48,Premissas!$B$49)),$E272,0)</x:f>
        <x:v>2306.263946610148</x:v>
      </x:c>
      <x:c r="AR272" s="141" t="n">
        <x:f>AN272+AO272+AP272</x:f>
        <x:v>0</x:v>
      </x:c>
      <x:c r="AS272" s="141" t="n">
        <x:f>AQ272</x:f>
        <x:v>2306.263946610148</x:v>
      </x:c>
      <x:c r="AT272" s="141" t="n">
        <x:f>$C272+AS272-AR272</x:f>
        <x:v>9306.263946610148</x:v>
      </x:c>
      <x:c r="AU272" s="141" t="n">
        <x:f>AX271*(1+Premissas!$B$41)+AT272</x:f>
        <x:v>8227327.376014499</x:v>
      </x:c>
      <x:c r="AV272" s="141" t="n">
        <x:f>MAX(0,-AU272)</x:f>
        <x:v>0</x:v>
      </x:c>
      <x:c r="AW272" s="141" t="n">
        <x:f>AW271*(1+Premissas!$B$41)+AV272</x:f>
        <x:v>0</x:v>
      </x:c>
      <x:c r="AX272" s="141" t="n">
        <x:f>MAX(0,AU272)</x:f>
        <x:v>8227327.376014499</x:v>
      </x:c>
      <x:c r="AY272" s="141" t="n">
        <x:f>INDEX('Consorcio IQ'!$P$6:$P$485,$A272)</x:f>
        <x:v>0</x:v>
      </x:c>
      <x:c r="AZ272" s="141" t="n">
        <x:f>IF($A272&gt;=Premissas!$B$48,$F272,0)+IF($A272&lt;Premissas!$B$27,INDEX('Consorcio IQ'!$O$6:$O$485,$A272),0)</x:f>
        <x:v>731283.034058447</x:v>
      </x:c>
      <x:c r="BA272" s="141" t="n">
        <x:f>AX272+AZ272-AY272</x:f>
        <x:v>8958610.410072945</x:v>
      </x:c>
      <x:c r="BB272" s="141" t="n">
        <x:f>IF(AW272&gt;1,"Inviavel",BA272)</x:f>
        <x:v>8958610.410072945</x:v>
      </x:c>
      <x:c r="BC272" s="141" t="str">
        <x:f>IF(AW272&gt;1,"Inviavel","OK")</x:f>
        <x:v>OK</x:v>
      </x:c>
      <x:c r="BD272" s="141" t="n">
        <x:f>IF($A272='Consorcio Direto'!$B$29,'Consorcio Direto'!$B$44,0)</x:f>
        <x:v>0</x:v>
      </x:c>
      <x:c r="BE272" s="141" t="n">
        <x:f>IF($A272&lt;='Consorcio Direto'!$B$27,INDEX('Consorcio Direto'!$E$55:$E$534,$A272),0)</x:f>
        <x:v>0</x:v>
      </x:c>
      <x:c r="BF272" s="141" t="n">
        <x:f>IF(AND(TRUE,Premissas!$B$11="Imovel",Premissas!$B$47="Moradia",$A272&lt;MAX('Consorcio Direto'!$B$29,Premissas!$B$49)),$D272,0)</x:f>
        <x:v>0</x:v>
      </x:c>
      <x:c r="BG272" s="141" t="n">
        <x:f>IF(AND(TRUE,Premissas!$B$11="Imovel",Premissas!$B$47="Investimento",$A272&gt;=MAX('Consorcio Direto'!$B$29,Premissas!$B$49)),$E272,0)</x:f>
        <x:v>2306.263946610148</x:v>
      </x:c>
      <x:c r="BH272" s="141" t="n">
        <x:f>BD272+BE272+BF272</x:f>
        <x:v>0</x:v>
      </x:c>
      <x:c r="BI272" s="141" t="n">
        <x:f>BG272</x:f>
        <x:v>2306.263946610148</x:v>
      </x:c>
      <x:c r="BJ272" s="141" t="n">
        <x:f>$C272+BI272-BH272</x:f>
        <x:v>9306.263946610148</x:v>
      </x:c>
      <x:c r="BK272" s="141" t="n">
        <x:f>BN271*(1+Premissas!$B$41)+BJ272</x:f>
        <x:v>7838531.5468188785</x:v>
      </x:c>
      <x:c r="BL272" s="141" t="n">
        <x:f>MAX(0,-BK272)</x:f>
        <x:v>0</x:v>
      </x:c>
      <x:c r="BM272" s="141" t="n">
        <x:f>BM271*(1+Premissas!$B$41)+BL272</x:f>
        <x:v>0</x:v>
      </x:c>
      <x:c r="BN272" s="141" t="n">
        <x:f>MAX(0,BK272)</x:f>
        <x:v>7838531.5468188785</x:v>
      </x:c>
      <x:c r="BO272" s="141" t="n">
        <x:f>INDEX('Consorcio Direto'!$K$55:$K$534,$A272)</x:f>
        <x:v>0</x:v>
      </x:c>
      <x:c r="BP272" s="141" t="n">
        <x:f>IF($A272&lt;'Consorcio Direto'!$B$29,INDEX('Consorcio Direto'!$L$55:$L$534,$A272),$F272)</x:f>
        <x:v>731283.034058447</x:v>
      </x:c>
      <x:c r="BQ272" s="141" t="n">
        <x:f>BN272+BP272-BO272</x:f>
        <x:v>8569814.580877326</x:v>
      </x:c>
      <x:c r="BR272" s="141" t="n">
        <x:f>IF(BM272&gt;1,"Inviavel",BQ272)</x:f>
        <x:v>8569814.580877326</x:v>
      </x:c>
      <x:c r="BS272" s="141" t="str">
        <x:f>IF(BM272&gt;1,"Inviavel","OK")</x:f>
        <x:v>OK</x:v>
      </x:c>
      <x:c r="BT272" s="141" t="n">
        <x:f>IF(AND('Carta Contemplada'!$B$22="Sim",$A272='Carta Contemplada'!$B$23),'Carta Contemplada'!$B$37,0)</x:f>
        <x:v>0</x:v>
      </x:c>
      <x:c r="BU272" s="141" t="n">
        <x:f>IF('Carta Contemplada'!$B$22="Sim",INDEX('Carta Contemplada'!$C$55:$C$1013,$A272),0)</x:f>
        <x:v>0</x:v>
      </x:c>
      <x:c r="BV272" s="141" t="n">
        <x:f>IF(AND('Carta Contemplada'!$B$22="Sim",Premissas!$B$11="Imovel",Premissas!$B$47="Moradia",$A272&lt;MAX('Carta Contemplada'!$B$44,Premissas!$B$49)),$D272,0)</x:f>
        <x:v>0</x:v>
      </x:c>
      <x:c r="BW272" s="141" t="n">
        <x:f>IF(AND('Carta Contemplada'!$B$22="Sim",Premissas!$B$11="Imovel",Premissas!$B$47="Investimento",$A272&gt;=MAX('Carta Contemplada'!$B$44,Premissas!$B$49)),$E272,0)</x:f>
        <x:v>2306.263946610148</x:v>
      </x:c>
      <x:c r="BX272" s="141" t="n">
        <x:f>BT272+BU272+BV272</x:f>
        <x:v>0</x:v>
      </x:c>
      <x:c r="BY272" s="141" t="n">
        <x:f>BW272</x:f>
        <x:v>2306.263946610148</x:v>
      </x:c>
      <x:c r="BZ272" s="141" t="n">
        <x:f>$C272+BY272-BX272</x:f>
        <x:v>9306.263946610148</x:v>
      </x:c>
      <x:c r="CA272" s="141" t="n">
        <x:f>CD271*(1+Premissas!$B$41)+BZ272</x:f>
        <x:v>8480689.180474905</x:v>
      </x:c>
      <x:c r="CB272" s="141" t="n">
        <x:f>MAX(0,-CA272)</x:f>
        <x:v>0</x:v>
      </x:c>
      <x:c r="CC272" s="141" t="n">
        <x:f>CC271*(1+Premissas!$B$41)+CB272</x:f>
        <x:v>0</x:v>
      </x:c>
      <x:c r="CD272" s="141" t="n">
        <x:f>MAX(0,CA272)</x:f>
        <x:v>8480689.180474905</x:v>
      </x:c>
      <x:c r="CE272" s="141" t="n">
        <x:f>IF(AND('Carta Contemplada'!$B$22="Sim",$A272&gt;='Carta Contemplada'!$B$23),INDEX('Carta Contemplada'!$I$55:$I$1013,$A272),0)</x:f>
        <x:v>0</x:v>
      </x:c>
      <x:c r="CF272" s="141" t="n">
        <x:f>IF(AND('Carta Contemplada'!$B$22="Sim",$A272&gt;='Carta Contemplada'!$B$44),$F272,0)</x:f>
        <x:v>731283.034058447</x:v>
      </x:c>
      <x:c r="CG272" s="141" t="n">
        <x:f>CD272+CF272-CE272</x:f>
        <x:v>9211972.214533351</x:v>
      </x:c>
      <x:c r="CH272" s="141" t="n">
        <x:f>IF(CC272&gt;1,"Inviavel",CG272)</x:f>
        <x:v>9211972.214533351</x:v>
      </x:c>
      <x:c r="CI272" s="145" t="str">
        <x:f>IF(CC272&gt;1,"Inviavel","OK")</x:f>
        <x:v>OK</x:v>
      </x:c>
    </x:row>
    <x:row r="273">
      <x:c r="A273" s="142" t="n">
        <x:v>269</x:v>
      </x:c>
      <x:c r="B273" s="179" t="n">
        <x:f>EDATE(Premissas!$B$4,A273-1)</x:f>
        <x:v>54697</x:v>
      </x:c>
      <x:c r="C273" s="141" t="n">
        <x:f>IF(A273&lt;=Premissas!$B$39,Premissas!$B$42,0)</x:f>
        <x:v>7000</x:v>
      </x:c>
      <x:c r="D273" s="141" t="n">
        <x:f>Premissas!$B$54*(1+Premissas!$B$57)^INT((A273-1)/12)</x:f>
        <x:v>2522.4761916048496</x:v>
      </x:c>
      <x:c r="E273" s="141" t="n">
        <x:f>Premissas!$B$64*(1+Premissas!$B$57)^INT((A273-1)/12)</x:f>
        <x:v>2306.263946610148</x:v>
      </x:c>
      <x:c r="F273" s="141" t="n">
        <x:f>MAX(0,Premissas!$B$6*(1+Premissas!$B$66)^((A273-1)/12))</x:f>
        <x:v>734842.5912043039</x:v>
      </x:c>
      <x:c r="G273" s="141" t="n">
        <x:f>G272*(1+Premissas!$B$41)+C273</x:f>
        <x:v>9751415.014204636</x:v>
      </x:c>
      <x:c r="H273" s="141" t="n">
        <x:f>IF($A273=Premissas!$B$48,Premissas!$B$8,0)</x:f>
        <x:v>0</x:v>
      </x:c>
      <x:c r="I273" s="141" t="n">
        <x:f>IF(AND($A273&gt;=Premissas!$B$48,$A273-Premissas!$B$48+1&lt;=Premissas!$B$13),INDEX(Financiamento!$J$6:$J$485,$A273-Premissas!$B$48+1),0)</x:f>
        <x:v>1080.3986765930008</x:v>
      </x:c>
      <x:c r="J273" s="141" t="n">
        <x:f>IF(AND(TRUE,Premissas!$B$11="Imovel",Premissas!$B$47="Moradia",$A273&lt;MAX(Premissas!$B$48,Premissas!$B$49)),$D273,0)</x:f>
        <x:v>0</x:v>
      </x:c>
      <x:c r="K273" s="141" t="n">
        <x:f>IF(AND(TRUE,Premissas!$B$11="Imovel",Premissas!$B$47="Investimento",$A273&gt;=MAX(Premissas!$B$48,Premissas!$B$49)),$E273,0)</x:f>
        <x:v>2306.263946610148</x:v>
      </x:c>
      <x:c r="L273" s="141" t="n">
        <x:f>H273+I273+J273</x:f>
        <x:v>1080.3986765930008</x:v>
      </x:c>
      <x:c r="M273" s="141" t="n">
        <x:f>K273</x:f>
        <x:v>2306.263946610148</x:v>
      </x:c>
      <x:c r="N273" s="141" t="n">
        <x:f>$C273+M273-L273</x:f>
        <x:v>8225.865270017148</x:v>
      </x:c>
      <x:c r="O273" s="141" t="n">
        <x:f>R272*(1+Premissas!$B$41)+N273</x:f>
        <x:v>8305258.960029992</x:v>
      </x:c>
      <x:c r="P273" s="141" t="n">
        <x:f>MAX(0,-O273)</x:f>
        <x:v>0</x:v>
      </x:c>
      <x:c r="Q273" s="141" t="n">
        <x:f>Q272*(1+Premissas!$B$41)+P273</x:f>
        <x:v>0</x:v>
      </x:c>
      <x:c r="R273" s="141" t="n">
        <x:f>MAX(0,O273)</x:f>
        <x:v>8305258.960029992</x:v>
      </x:c>
      <x:c r="S273" s="141" t="n">
        <x:f>IF(AND($A273&gt;=Premissas!$B$48,$A273-Premissas!$B$48+1&lt;=Premissas!$B$13),INDEX(Financiamento!$M$6:$M$485,$A273-Premissas!$B$48+1),0)</x:f>
        <x:v>57523.809523809614</x:v>
      </x:c>
      <x:c r="T273" s="141" t="n">
        <x:f>IF($A273&gt;=Premissas!$B$48,$F273,0)</x:f>
        <x:v>734842.5912043039</x:v>
      </x:c>
      <x:c r="U273" s="141" t="n">
        <x:f>R273+T273-S273</x:f>
        <x:v>8982577.741710486</x:v>
      </x:c>
      <x:c r="V273" s="141" t="n">
        <x:f>IF(Q273&gt;1,"Inviavel",U273)</x:f>
        <x:v>8982577.741710486</x:v>
      </x:c>
      <x:c r="W273" s="141" t="str">
        <x:f>IF(Q273&gt;1,"Inviavel","OK")</x:f>
        <x:v>OK</x:v>
      </x:c>
      <x:c r="X273" s="141" t="n">
        <x:f>IF($A273=Premissas!$B$48,Premissas!$B$8,0)</x:f>
        <x:v>0</x:v>
      </x:c>
      <x:c r="Y273" s="141" t="n">
        <x:f>IF(AND($A273&gt;=Premissas!$B$48,$A273-Premissas!$B$48+1&lt;=Premissas!$B$13),INDEX(Amortizacao!$K$6:$K$485,$A273-Premissas!$B$48+1),0)</x:f>
        <x:v>0</x:v>
      </x:c>
      <x:c r="Z273" s="141" t="n">
        <x:f>IF(AND(TRUE,Premissas!$B$11="Imovel",Premissas!$B$47="Moradia",$A273&lt;MAX(Premissas!$B$48,Premissas!$B$49)),$D273,0)</x:f>
        <x:v>0</x:v>
      </x:c>
      <x:c r="AA273" s="141" t="n">
        <x:f>IF(AND(TRUE,Premissas!$B$11="Imovel",Premissas!$B$47="Investimento",$A273&gt;=MAX(Premissas!$B$48,Premissas!$B$49)),$E273,0)</x:f>
        <x:v>2306.263946610148</x:v>
      </x:c>
      <x:c r="AB273" s="141" t="n">
        <x:f>X273+Y273+Z273</x:f>
        <x:v>0</x:v>
      </x:c>
      <x:c r="AC273" s="141" t="n">
        <x:f>AA273</x:f>
        <x:v>2306.263946610148</x:v>
      </x:c>
      <x:c r="AD273" s="141" t="n">
        <x:f>$C273+AC273-AB273</x:f>
        <x:v>9306.263946610148</x:v>
      </x:c>
      <x:c r="AE273" s="141" t="n">
        <x:f>AH272*(1+Premissas!$B$41)+AD273</x:f>
        <x:v>8387324.427584718</x:v>
      </x:c>
      <x:c r="AF273" s="141" t="n">
        <x:f>MAX(0,-AE273)</x:f>
        <x:v>0</x:v>
      </x:c>
      <x:c r="AG273" s="141" t="n">
        <x:f>AG272*(1+Premissas!$B$41)+AF273</x:f>
        <x:v>0</x:v>
      </x:c>
      <x:c r="AH273" s="141" t="n">
        <x:f>MAX(0,AE273)</x:f>
        <x:v>8387324.427584718</x:v>
      </x:c>
      <x:c r="AI273" s="141" t="n">
        <x:f>IF(AND($A273&gt;=Premissas!$B$48,$A273-Premissas!$B$48+1&lt;=Premissas!$B$13),INDEX(Amortizacao!$L$6:$L$485,$A273-Premissas!$B$48+1),0)</x:f>
        <x:v>0</x:v>
      </x:c>
      <x:c r="AJ273" s="141" t="n">
        <x:f>IF($A273&gt;=Premissas!$B$48,$F273,0)</x:f>
        <x:v>734842.5912043039</x:v>
      </x:c>
      <x:c r="AK273" s="141" t="n">
        <x:f>AH273+AJ273-AI273</x:f>
        <x:v>9122167.018789021</x:v>
      </x:c>
      <x:c r="AL273" s="141" t="n">
        <x:f>IF(AG273&gt;1,"Inviavel",AK273)</x:f>
        <x:v>9122167.018789021</x:v>
      </x:c>
      <x:c r="AM273" s="141" t="str">
        <x:f>IF(AG273&gt;1,"Inviavel","OK")</x:f>
        <x:v>OK</x:v>
      </x:c>
      <x:c r="AN273" s="141" t="n">
        <x:f>IF($A273=Premissas!$B$48,Premissas!$B$8,0)</x:f>
        <x:v>0</x:v>
      </x:c>
      <x:c r="AO273" s="141" t="n">
        <x:f>IF($A273&lt;=Premissas!$B$25,INDEX('Consorcio IQ'!$K$6:$K$485,$A273),0)</x:f>
        <x:v>0</x:v>
      </x:c>
      <x:c r="AP273" s="141" t="n">
        <x:f>IF(AND(TRUE,Premissas!$B$11="Imovel",Premissas!$B$47="Moradia",$A273&lt;MAX(Premissas!$B$48,Premissas!$B$49)),$D273,0)</x:f>
        <x:v>0</x:v>
      </x:c>
      <x:c r="AQ273" s="141" t="n">
        <x:f>IF(AND(TRUE,Premissas!$B$11="Imovel",Premissas!$B$47="Investimento",$A273&gt;=MAX(Premissas!$B$48,Premissas!$B$49)),$E273,0)</x:f>
        <x:v>2306.263946610148</x:v>
      </x:c>
      <x:c r="AR273" s="141" t="n">
        <x:f>AN273+AO273+AP273</x:f>
        <x:v>0</x:v>
      </x:c>
      <x:c r="AS273" s="141" t="n">
        <x:f>AQ273</x:f>
        <x:v>2306.263946610148</x:v>
      </x:c>
      <x:c r="AT273" s="141" t="n">
        <x:f>$C273+AS273-AR273</x:f>
        <x:v>9306.263946610148</x:v>
      </x:c>
      <x:c r="AU273" s="141" t="n">
        <x:f>AX272*(1+Premissas!$B$41)+AT273</x:f>
        <x:v>8314701.045837138</x:v>
      </x:c>
      <x:c r="AV273" s="141" t="n">
        <x:f>MAX(0,-AU273)</x:f>
        <x:v>0</x:v>
      </x:c>
      <x:c r="AW273" s="141" t="n">
        <x:f>AW272*(1+Premissas!$B$41)+AV273</x:f>
        <x:v>0</x:v>
      </x:c>
      <x:c r="AX273" s="141" t="n">
        <x:f>MAX(0,AU273)</x:f>
        <x:v>8314701.045837138</x:v>
      </x:c>
      <x:c r="AY273" s="141" t="n">
        <x:f>INDEX('Consorcio IQ'!$P$6:$P$485,$A273)</x:f>
        <x:v>0</x:v>
      </x:c>
      <x:c r="AZ273" s="141" t="n">
        <x:f>IF($A273&gt;=Premissas!$B$48,$F273,0)+IF($A273&lt;Premissas!$B$27,INDEX('Consorcio IQ'!$O$6:$O$485,$A273),0)</x:f>
        <x:v>734842.5912043039</x:v>
      </x:c>
      <x:c r="BA273" s="141" t="n">
        <x:f>AX273+AZ273-AY273</x:f>
        <x:v>9049543.637041442</x:v>
      </x:c>
      <x:c r="BB273" s="141" t="n">
        <x:f>IF(AW273&gt;1,"Inviavel",BA273)</x:f>
        <x:v>9049543.637041442</x:v>
      </x:c>
      <x:c r="BC273" s="141" t="str">
        <x:f>IF(AW273&gt;1,"Inviavel","OK")</x:f>
        <x:v>OK</x:v>
      </x:c>
      <x:c r="BD273" s="141" t="n">
        <x:f>IF($A273='Consorcio Direto'!$B$29,'Consorcio Direto'!$B$44,0)</x:f>
        <x:v>0</x:v>
      </x:c>
      <x:c r="BE273" s="141" t="n">
        <x:f>IF($A273&lt;='Consorcio Direto'!$B$27,INDEX('Consorcio Direto'!$E$55:$E$534,$A273),0)</x:f>
        <x:v>0</x:v>
      </x:c>
      <x:c r="BF273" s="141" t="n">
        <x:f>IF(AND(TRUE,Premissas!$B$11="Imovel",Premissas!$B$47="Moradia",$A273&lt;MAX('Consorcio Direto'!$B$29,Premissas!$B$49)),$D273,0)</x:f>
        <x:v>0</x:v>
      </x:c>
      <x:c r="BG273" s="141" t="n">
        <x:f>IF(AND(TRUE,Premissas!$B$11="Imovel",Premissas!$B$47="Investimento",$A273&gt;=MAX('Consorcio Direto'!$B$29,Premissas!$B$49)),$E273,0)</x:f>
        <x:v>2306.263946610148</x:v>
      </x:c>
      <x:c r="BH273" s="141" t="n">
        <x:f>BD273+BE273+BF273</x:f>
        <x:v>0</x:v>
      </x:c>
      <x:c r="BI273" s="141" t="n">
        <x:f>BG273</x:f>
        <x:v>2306.263946610148</x:v>
      </x:c>
      <x:c r="BJ273" s="141" t="n">
        <x:f>$C273+BI273-BH273</x:f>
        <x:v>9306.263946610148</x:v>
      </x:c>
      <x:c r="BK273" s="141" t="n">
        <x:f>BN272*(1+Premissas!$B$41)+BJ273</x:f>
        <x:v>7922216.01352445</x:v>
      </x:c>
      <x:c r="BL273" s="141" t="n">
        <x:f>MAX(0,-BK273)</x:f>
        <x:v>0</x:v>
      </x:c>
      <x:c r="BM273" s="141" t="n">
        <x:f>BM272*(1+Premissas!$B$41)+BL273</x:f>
        <x:v>0</x:v>
      </x:c>
      <x:c r="BN273" s="141" t="n">
        <x:f>MAX(0,BK273)</x:f>
        <x:v>7922216.01352445</x:v>
      </x:c>
      <x:c r="BO273" s="141" t="n">
        <x:f>INDEX('Consorcio Direto'!$K$55:$K$534,$A273)</x:f>
        <x:v>0</x:v>
      </x:c>
      <x:c r="BP273" s="141" t="n">
        <x:f>IF($A273&lt;'Consorcio Direto'!$B$29,INDEX('Consorcio Direto'!$L$55:$L$534,$A273),$F273)</x:f>
        <x:v>734842.5912043039</x:v>
      </x:c>
      <x:c r="BQ273" s="141" t="n">
        <x:f>BN273+BP273-BO273</x:f>
        <x:v>8657058.604728755</x:v>
      </x:c>
      <x:c r="BR273" s="141" t="n">
        <x:f>IF(BM273&gt;1,"Inviavel",BQ273)</x:f>
        <x:v>8657058.604728755</x:v>
      </x:c>
      <x:c r="BS273" s="141" t="str">
        <x:f>IF(BM273&gt;1,"Inviavel","OK")</x:f>
        <x:v>OK</x:v>
      </x:c>
      <x:c r="BT273" s="141" t="n">
        <x:f>IF(AND('Carta Contemplada'!$B$22="Sim",$A273='Carta Contemplada'!$B$23),'Carta Contemplada'!$B$37,0)</x:f>
        <x:v>0</x:v>
      </x:c>
      <x:c r="BU273" s="141" t="n">
        <x:f>IF('Carta Contemplada'!$B$22="Sim",INDEX('Carta Contemplada'!$C$55:$C$1013,$A273),0)</x:f>
        <x:v>0</x:v>
      </x:c>
      <x:c r="BV273" s="141" t="n">
        <x:f>IF(AND('Carta Contemplada'!$B$22="Sim",Premissas!$B$11="Imovel",Premissas!$B$47="Moradia",$A273&lt;MAX('Carta Contemplada'!$B$44,Premissas!$B$49)),$D273,0)</x:f>
        <x:v>0</x:v>
      </x:c>
      <x:c r="BW273" s="141" t="n">
        <x:f>IF(AND('Carta Contemplada'!$B$22="Sim",Premissas!$B$11="Imovel",Premissas!$B$47="Investimento",$A273&gt;=MAX('Carta Contemplada'!$B$44,Premissas!$B$49)),$E273,0)</x:f>
        <x:v>2306.263946610148</x:v>
      </x:c>
      <x:c r="BX273" s="141" t="n">
        <x:f>BT273+BU273+BV273</x:f>
        <x:v>0</x:v>
      </x:c>
      <x:c r="BY273" s="141" t="n">
        <x:f>BW273</x:f>
        <x:v>2306.263946610148</x:v>
      </x:c>
      <x:c r="BZ273" s="141" t="n">
        <x:f>$C273+BY273-BX273</x:f>
        <x:v>9306.263946610148</x:v>
      </x:c>
      <x:c r="CA273" s="141" t="n">
        <x:f>CD272*(1+Premissas!$B$41)+BZ273</x:f>
        <x:v>8570466.9479976</x:v>
      </x:c>
      <x:c r="CB273" s="141" t="n">
        <x:f>MAX(0,-CA273)</x:f>
        <x:v>0</x:v>
      </x:c>
      <x:c r="CC273" s="141" t="n">
        <x:f>CC272*(1+Premissas!$B$41)+CB273</x:f>
        <x:v>0</x:v>
      </x:c>
      <x:c r="CD273" s="141" t="n">
        <x:f>MAX(0,CA273)</x:f>
        <x:v>8570466.9479976</x:v>
      </x:c>
      <x:c r="CE273" s="141" t="n">
        <x:f>IF(AND('Carta Contemplada'!$B$22="Sim",$A273&gt;='Carta Contemplada'!$B$23),INDEX('Carta Contemplada'!$I$55:$I$1013,$A273),0)</x:f>
        <x:v>0</x:v>
      </x:c>
      <x:c r="CF273" s="141" t="n">
        <x:f>IF(AND('Carta Contemplada'!$B$22="Sim",$A273&gt;='Carta Contemplada'!$B$44),$F273,0)</x:f>
        <x:v>734842.5912043039</x:v>
      </x:c>
      <x:c r="CG273" s="141" t="n">
        <x:f>CD273+CF273-CE273</x:f>
        <x:v>9305309.539201904</x:v>
      </x:c>
      <x:c r="CH273" s="141" t="n">
        <x:f>IF(CC273&gt;1,"Inviavel",CG273)</x:f>
        <x:v>9305309.539201904</x:v>
      </x:c>
      <x:c r="CI273" s="145" t="str">
        <x:f>IF(CC273&gt;1,"Inviavel","OK")</x:f>
        <x:v>OK</x:v>
      </x:c>
    </x:row>
    <x:row r="274">
      <x:c r="A274" s="142" t="n">
        <x:v>270</x:v>
      </x:c>
      <x:c r="B274" s="179" t="n">
        <x:f>EDATE(Premissas!$B$4,A274-1)</x:f>
        <x:v>54728</x:v>
      </x:c>
      <x:c r="C274" s="141" t="n">
        <x:f>IF(A274&lt;=Premissas!$B$39,Premissas!$B$42,0)</x:f>
        <x:v>7000</x:v>
      </x:c>
      <x:c r="D274" s="141" t="n">
        <x:f>Premissas!$B$54*(1+Premissas!$B$57)^INT((A274-1)/12)</x:f>
        <x:v>2522.4761916048496</x:v>
      </x:c>
      <x:c r="E274" s="141" t="n">
        <x:f>Premissas!$B$64*(1+Premissas!$B$57)^INT((A274-1)/12)</x:f>
        <x:v>2306.263946610148</x:v>
      </x:c>
      <x:c r="F274" s="141" t="n">
        <x:f>MAX(0,Premissas!$B$6*(1+Premissas!$B$66)^((A274-1)/12))</x:f>
        <x:v>738419.4746745587</x:v>
      </x:c>
      <x:c r="G274" s="141" t="n">
        <x:f>G273*(1+Premissas!$B$41)+C274</x:f>
        <x:v>9850944.172093607</x:v>
      </x:c>
      <x:c r="H274" s="141" t="n">
        <x:f>IF($A274=Premissas!$B$48,Premissas!$B$8,0)</x:f>
        <x:v>0</x:v>
      </x:c>
      <x:c r="I274" s="141" t="n">
        <x:f>IF(AND($A274&gt;=Premissas!$B$48,$A274-Premissas!$B$48+1&lt;=Premissas!$B$13),INDEX(Financiamento!$J$6:$J$485,$A274-Premissas!$B$48+1),0)</x:f>
        <x:v>1076.7838983322072</x:v>
      </x:c>
      <x:c r="J274" s="141" t="n">
        <x:f>IF(AND(TRUE,Premissas!$B$11="Imovel",Premissas!$B$47="Moradia",$A274&lt;MAX(Premissas!$B$48,Premissas!$B$49)),$D274,0)</x:f>
        <x:v>0</x:v>
      </x:c>
      <x:c r="K274" s="141" t="n">
        <x:f>IF(AND(TRUE,Premissas!$B$11="Imovel",Premissas!$B$47="Investimento",$A274&gt;=MAX(Premissas!$B$48,Premissas!$B$49)),$E274,0)</x:f>
        <x:v>2306.263946610148</x:v>
      </x:c>
      <x:c r="L274" s="141" t="n">
        <x:f>H274+I274+J274</x:f>
        <x:v>1076.7838983322072</x:v>
      </x:c>
      <x:c r="M274" s="141" t="n">
        <x:f>K274</x:f>
        <x:v>2306.263946610148</x:v>
      </x:c>
      <x:c r="N274" s="141" t="n">
        <x:f>$C274+M274-L274</x:f>
        <x:v>8229.480048277941</x:v>
      </x:c>
      <x:c r="O274" s="141" t="n">
        <x:f>R273*(1+Premissas!$B$41)+N274</x:f>
        <x:v>8392295.322618086</x:v>
      </x:c>
      <x:c r="P274" s="141" t="n">
        <x:f>MAX(0,-O274)</x:f>
        <x:v>0</x:v>
      </x:c>
      <x:c r="Q274" s="141" t="n">
        <x:f>Q273*(1+Premissas!$B$41)+P274</x:f>
        <x:v>0</x:v>
      </x:c>
      <x:c r="R274" s="141" t="n">
        <x:f>MAX(0,O274)</x:f>
        <x:v>8392295.322618086</x:v>
      </x:c>
      <x:c r="S274" s="141" t="n">
        <x:f>IF(AND($A274&gt;=Premissas!$B$48,$A274-Premissas!$B$48+1&lt;=Premissas!$B$13),INDEX(Financiamento!$M$6:$M$485,$A274-Premissas!$B$48+1),0)</x:f>
        <x:v>57142.85714285723</x:v>
      </x:c>
      <x:c r="T274" s="141" t="n">
        <x:f>IF($A274&gt;=Premissas!$B$48,$F274,0)</x:f>
        <x:v>738419.4746745587</x:v>
      </x:c>
      <x:c r="U274" s="141" t="n">
        <x:f>R274+T274-S274</x:f>
        <x:v>9073571.940149788</x:v>
      </x:c>
      <x:c r="V274" s="141" t="n">
        <x:f>IF(Q274&gt;1,"Inviavel",U274)</x:f>
        <x:v>9073571.940149788</x:v>
      </x:c>
      <x:c r="W274" s="141" t="str">
        <x:f>IF(Q274&gt;1,"Inviavel","OK")</x:f>
        <x:v>OK</x:v>
      </x:c>
      <x:c r="X274" s="141" t="n">
        <x:f>IF($A274=Premissas!$B$48,Premissas!$B$8,0)</x:f>
        <x:v>0</x:v>
      </x:c>
      <x:c r="Y274" s="141" t="n">
        <x:f>IF(AND($A274&gt;=Premissas!$B$48,$A274-Premissas!$B$48+1&lt;=Premissas!$B$13),INDEX(Amortizacao!$K$6:$K$485,$A274-Premissas!$B$48+1),0)</x:f>
        <x:v>0</x:v>
      </x:c>
      <x:c r="Z274" s="141" t="n">
        <x:f>IF(AND(TRUE,Premissas!$B$11="Imovel",Premissas!$B$47="Moradia",$A274&lt;MAX(Premissas!$B$48,Premissas!$B$49)),$D274,0)</x:f>
        <x:v>0</x:v>
      </x:c>
      <x:c r="AA274" s="141" t="n">
        <x:f>IF(AND(TRUE,Premissas!$B$11="Imovel",Premissas!$B$47="Investimento",$A274&gt;=MAX(Premissas!$B$48,Premissas!$B$49)),$E274,0)</x:f>
        <x:v>2306.263946610148</x:v>
      </x:c>
      <x:c r="AB274" s="141" t="n">
        <x:f>X274+Y274+Z274</x:f>
        <x:v>0</x:v>
      </x:c>
      <x:c r="AC274" s="141" t="n">
        <x:f>AA274</x:f>
        <x:v>2306.263946610148</x:v>
      </x:c>
      <x:c r="AD274" s="141" t="n">
        <x:f>$C274+AC274-AB274</x:f>
        <x:v>9306.263946610148</x:v>
      </x:c>
      <x:c r="AE274" s="141" t="n">
        <x:f>AH273*(1+Premissas!$B$41)+AD274</x:f>
        <x:v>8476216.27629985</x:v>
      </x:c>
      <x:c r="AF274" s="141" t="n">
        <x:f>MAX(0,-AE274)</x:f>
        <x:v>0</x:v>
      </x:c>
      <x:c r="AG274" s="141" t="n">
        <x:f>AG273*(1+Premissas!$B$41)+AF274</x:f>
        <x:v>0</x:v>
      </x:c>
      <x:c r="AH274" s="141" t="n">
        <x:f>MAX(0,AE274)</x:f>
        <x:v>8476216.27629985</x:v>
      </x:c>
      <x:c r="AI274" s="141" t="n">
        <x:f>IF(AND($A274&gt;=Premissas!$B$48,$A274-Premissas!$B$48+1&lt;=Premissas!$B$13),INDEX(Amortizacao!$L$6:$L$485,$A274-Premissas!$B$48+1),0)</x:f>
        <x:v>0</x:v>
      </x:c>
      <x:c r="AJ274" s="141" t="n">
        <x:f>IF($A274&gt;=Premissas!$B$48,$F274,0)</x:f>
        <x:v>738419.4746745587</x:v>
      </x:c>
      <x:c r="AK274" s="141" t="n">
        <x:f>AH274+AJ274-AI274</x:f>
        <x:v>9214635.750974407</x:v>
      </x:c>
      <x:c r="AL274" s="141" t="n">
        <x:f>IF(AG274&gt;1,"Inviavel",AK274)</x:f>
        <x:v>9214635.750974407</x:v>
      </x:c>
      <x:c r="AM274" s="141" t="str">
        <x:f>IF(AG274&gt;1,"Inviavel","OK")</x:f>
        <x:v>OK</x:v>
      </x:c>
      <x:c r="AN274" s="141" t="n">
        <x:f>IF($A274=Premissas!$B$48,Premissas!$B$8,0)</x:f>
        <x:v>0</x:v>
      </x:c>
      <x:c r="AO274" s="141" t="n">
        <x:f>IF($A274&lt;=Premissas!$B$25,INDEX('Consorcio IQ'!$K$6:$K$485,$A274),0)</x:f>
        <x:v>0</x:v>
      </x:c>
      <x:c r="AP274" s="141" t="n">
        <x:f>IF(AND(TRUE,Premissas!$B$11="Imovel",Premissas!$B$47="Moradia",$A274&lt;MAX(Premissas!$B$48,Premissas!$B$49)),$D274,0)</x:f>
        <x:v>0</x:v>
      </x:c>
      <x:c r="AQ274" s="141" t="n">
        <x:f>IF(AND(TRUE,Premissas!$B$11="Imovel",Premissas!$B$47="Investimento",$A274&gt;=MAX(Premissas!$B$48,Premissas!$B$49)),$E274,0)</x:f>
        <x:v>2306.263946610148</x:v>
      </x:c>
      <x:c r="AR274" s="141" t="n">
        <x:f>AN274+AO274+AP274</x:f>
        <x:v>0</x:v>
      </x:c>
      <x:c r="AS274" s="141" t="n">
        <x:f>AQ274</x:f>
        <x:v>2306.263946610148</x:v>
      </x:c>
      <x:c r="AT274" s="141" t="n">
        <x:f>$C274+AS274-AR274</x:f>
        <x:v>9306.263946610148</x:v>
      </x:c>
      <x:c r="AU274" s="141" t="n">
        <x:f>AX273*(1+Premissas!$B$41)+AT274</x:f>
        <x:v>8402903.786320657</x:v>
      </x:c>
      <x:c r="AV274" s="141" t="n">
        <x:f>MAX(0,-AU274)</x:f>
        <x:v>0</x:v>
      </x:c>
      <x:c r="AW274" s="141" t="n">
        <x:f>AW273*(1+Premissas!$B$41)+AV274</x:f>
        <x:v>0</x:v>
      </x:c>
      <x:c r="AX274" s="141" t="n">
        <x:f>MAX(0,AU274)</x:f>
        <x:v>8402903.786320657</x:v>
      </x:c>
      <x:c r="AY274" s="141" t="n">
        <x:f>INDEX('Consorcio IQ'!$P$6:$P$485,$A274)</x:f>
        <x:v>0</x:v>
      </x:c>
      <x:c r="AZ274" s="141" t="n">
        <x:f>IF($A274&gt;=Premissas!$B$48,$F274,0)+IF($A274&lt;Premissas!$B$27,INDEX('Consorcio IQ'!$O$6:$O$485,$A274),0)</x:f>
        <x:v>738419.4746745587</x:v>
      </x:c>
      <x:c r="BA274" s="141" t="n">
        <x:f>AX274+AZ274-AY274</x:f>
        <x:v>9141323.260995215</x:v>
      </x:c>
      <x:c r="BB274" s="141" t="n">
        <x:f>IF(AW274&gt;1,"Inviavel",BA274)</x:f>
        <x:v>9141323.260995215</x:v>
      </x:c>
      <x:c r="BC274" s="141" t="str">
        <x:f>IF(AW274&gt;1,"Inviavel","OK")</x:f>
        <x:v>OK</x:v>
      </x:c>
      <x:c r="BD274" s="141" t="n">
        <x:f>IF($A274='Consorcio Direto'!$B$29,'Consorcio Direto'!$B$44,0)</x:f>
        <x:v>0</x:v>
      </x:c>
      <x:c r="BE274" s="141" t="n">
        <x:f>IF($A274&lt;='Consorcio Direto'!$B$27,INDEX('Consorcio Direto'!$E$55:$E$534,$A274),0)</x:f>
        <x:v>0</x:v>
      </x:c>
      <x:c r="BF274" s="141" t="n">
        <x:f>IF(AND(TRUE,Premissas!$B$11="Imovel",Premissas!$B$47="Moradia",$A274&lt;MAX('Consorcio Direto'!$B$29,Premissas!$B$49)),$D274,0)</x:f>
        <x:v>0</x:v>
      </x:c>
      <x:c r="BG274" s="141" t="n">
        <x:f>IF(AND(TRUE,Premissas!$B$11="Imovel",Premissas!$B$47="Investimento",$A274&gt;=MAX('Consorcio Direto'!$B$29,Premissas!$B$49)),$E274,0)</x:f>
        <x:v>2306.263946610148</x:v>
      </x:c>
      <x:c r="BH274" s="141" t="n">
        <x:f>BD274+BE274+BF274</x:f>
        <x:v>0</x:v>
      </x:c>
      <x:c r="BI274" s="141" t="n">
        <x:f>BG274</x:f>
        <x:v>2306.263946610148</x:v>
      </x:c>
      <x:c r="BJ274" s="141" t="n">
        <x:f>$C274+BI274-BH274</x:f>
        <x:v>9306.263946610148</x:v>
      </x:c>
      <x:c r="BK274" s="141" t="n">
        <x:f>BN273*(1+Premissas!$B$41)+BJ274</x:f>
        <x:v>8006694.544806432</x:v>
      </x:c>
      <x:c r="BL274" s="141" t="n">
        <x:f>MAX(0,-BK274)</x:f>
        <x:v>0</x:v>
      </x:c>
      <x:c r="BM274" s="141" t="n">
        <x:f>BM273*(1+Premissas!$B$41)+BL274</x:f>
        <x:v>0</x:v>
      </x:c>
      <x:c r="BN274" s="141" t="n">
        <x:f>MAX(0,BK274)</x:f>
        <x:v>8006694.544806432</x:v>
      </x:c>
      <x:c r="BO274" s="141" t="n">
        <x:f>INDEX('Consorcio Direto'!$K$55:$K$534,$A274)</x:f>
        <x:v>0</x:v>
      </x:c>
      <x:c r="BP274" s="141" t="n">
        <x:f>IF($A274&lt;'Consorcio Direto'!$B$29,INDEX('Consorcio Direto'!$L$55:$L$534,$A274),$F274)</x:f>
        <x:v>738419.4746745587</x:v>
      </x:c>
      <x:c r="BQ274" s="141" t="n">
        <x:f>BN274+BP274-BO274</x:f>
        <x:v>8745114.01948099</x:v>
      </x:c>
      <x:c r="BR274" s="141" t="n">
        <x:f>IF(BM274&gt;1,"Inviavel",BQ274)</x:f>
        <x:v>8745114.01948099</x:v>
      </x:c>
      <x:c r="BS274" s="141" t="str">
        <x:f>IF(BM274&gt;1,"Inviavel","OK")</x:f>
        <x:v>OK</x:v>
      </x:c>
      <x:c r="BT274" s="141" t="n">
        <x:f>IF(AND('Carta Contemplada'!$B$22="Sim",$A274='Carta Contemplada'!$B$23),'Carta Contemplada'!$B$37,0)</x:f>
        <x:v>0</x:v>
      </x:c>
      <x:c r="BU274" s="141" t="n">
        <x:f>IF('Carta Contemplada'!$B$22="Sim",INDEX('Carta Contemplada'!$C$55:$C$1013,$A274),0)</x:f>
        <x:v>0</x:v>
      </x:c>
      <x:c r="BV274" s="141" t="n">
        <x:f>IF(AND('Carta Contemplada'!$B$22="Sim",Premissas!$B$11="Imovel",Premissas!$B$47="Moradia",$A274&lt;MAX('Carta Contemplada'!$B$44,Premissas!$B$49)),$D274,0)</x:f>
        <x:v>0</x:v>
      </x:c>
      <x:c r="BW274" s="141" t="n">
        <x:f>IF(AND('Carta Contemplada'!$B$22="Sim",Premissas!$B$11="Imovel",Premissas!$B$47="Investimento",$A274&gt;=MAX('Carta Contemplada'!$B$44,Premissas!$B$49)),$E274,0)</x:f>
        <x:v>2306.263946610148</x:v>
      </x:c>
      <x:c r="BX274" s="141" t="n">
        <x:f>BT274+BU274+BV274</x:f>
        <x:v>0</x:v>
      </x:c>
      <x:c r="BY274" s="141" t="n">
        <x:f>BW274</x:f>
        <x:v>2306.263946610148</x:v>
      </x:c>
      <x:c r="BZ274" s="141" t="n">
        <x:f>$C274+BY274-BX274</x:f>
        <x:v>9306.263946610148</x:v>
      </x:c>
      <x:c r="CA274" s="141" t="n">
        <x:f>CD273*(1+Premissas!$B$41)+BZ274</x:f>
        <x:v>8661096.598166447</x:v>
      </x:c>
      <x:c r="CB274" s="141" t="n">
        <x:f>MAX(0,-CA274)</x:f>
        <x:v>0</x:v>
      </x:c>
      <x:c r="CC274" s="141" t="n">
        <x:f>CC273*(1+Premissas!$B$41)+CB274</x:f>
        <x:v>0</x:v>
      </x:c>
      <x:c r="CD274" s="141" t="n">
        <x:f>MAX(0,CA274)</x:f>
        <x:v>8661096.598166447</x:v>
      </x:c>
      <x:c r="CE274" s="141" t="n">
        <x:f>IF(AND('Carta Contemplada'!$B$22="Sim",$A274&gt;='Carta Contemplada'!$B$23),INDEX('Carta Contemplada'!$I$55:$I$1013,$A274),0)</x:f>
        <x:v>0</x:v>
      </x:c>
      <x:c r="CF274" s="141" t="n">
        <x:f>IF(AND('Carta Contemplada'!$B$22="Sim",$A274&gt;='Carta Contemplada'!$B$44),$F274,0)</x:f>
        <x:v>738419.4746745587</x:v>
      </x:c>
      <x:c r="CG274" s="141" t="n">
        <x:f>CD274+CF274-CE274</x:f>
        <x:v>9399516.072841005</x:v>
      </x:c>
      <x:c r="CH274" s="141" t="n">
        <x:f>IF(CC274&gt;1,"Inviavel",CG274)</x:f>
        <x:v>9399516.072841005</x:v>
      </x:c>
      <x:c r="CI274" s="145" t="str">
        <x:f>IF(CC274&gt;1,"Inviavel","OK")</x:f>
        <x:v>OK</x:v>
      </x:c>
    </x:row>
    <x:row r="275">
      <x:c r="A275" s="142" t="n">
        <x:v>271</x:v>
      </x:c>
      <x:c r="B275" s="179" t="n">
        <x:f>EDATE(Premissas!$B$4,A275-1)</x:f>
        <x:v>54758</x:v>
      </x:c>
      <x:c r="C275" s="141" t="n">
        <x:f>IF(A275&lt;=Premissas!$B$39,Premissas!$B$42,0)</x:f>
        <x:v>7000</x:v>
      </x:c>
      <x:c r="D275" s="141" t="n">
        <x:f>Premissas!$B$54*(1+Premissas!$B$57)^INT((A275-1)/12)</x:f>
        <x:v>2522.4761916048496</x:v>
      </x:c>
      <x:c r="E275" s="141" t="n">
        <x:f>Premissas!$B$64*(1+Premissas!$B$57)^INT((A275-1)/12)</x:f>
        <x:v>2306.263946610148</x:v>
      </x:c>
      <x:c r="F275" s="141" t="n">
        <x:f>MAX(0,Premissas!$B$6*(1+Premissas!$B$66)^((A275-1)/12))</x:f>
        <x:v>742013.7688059711</x:v>
      </x:c>
      <x:c r="G275" s="141" t="n">
        <x:f>G274*(1+Premissas!$B$41)+C275</x:f>
        <x:v>9951417.741552742</x:v>
      </x:c>
      <x:c r="H275" s="141" t="n">
        <x:f>IF($A275=Premissas!$B$48,Premissas!$B$8,0)</x:f>
        <x:v>0</x:v>
      </x:c>
      <x:c r="I275" s="141" t="n">
        <x:f>IF(AND($A275&gt;=Premissas!$B$48,$A275-Premissas!$B$48+1&lt;=Premissas!$B$13),INDEX(Financiamento!$J$6:$J$485,$A275-Premissas!$B$48+1),0)</x:f>
        <x:v>1073.1691200714135</x:v>
      </x:c>
      <x:c r="J275" s="141" t="n">
        <x:f>IF(AND(TRUE,Premissas!$B$11="Imovel",Premissas!$B$47="Moradia",$A275&lt;MAX(Premissas!$B$48,Premissas!$B$49)),$D275,0)</x:f>
        <x:v>0</x:v>
      </x:c>
      <x:c r="K275" s="141" t="n">
        <x:f>IF(AND(TRUE,Premissas!$B$11="Imovel",Premissas!$B$47="Investimento",$A275&gt;=MAX(Premissas!$B$48,Premissas!$B$49)),$E275,0)</x:f>
        <x:v>2306.263946610148</x:v>
      </x:c>
      <x:c r="L275" s="141" t="n">
        <x:f>H275+I275+J275</x:f>
        <x:v>1073.1691200714135</x:v>
      </x:c>
      <x:c r="M275" s="141" t="n">
        <x:f>K275</x:f>
        <x:v>2306.263946610148</x:v>
      </x:c>
      <x:c r="N275" s="141" t="n">
        <x:f>$C275+M275-L275</x:f>
        <x:v>8233.094826538734</x:v>
      </x:c>
      <x:c r="O275" s="141" t="n">
        <x:f>R274*(1+Premissas!$B$41)+N275</x:f>
        <x:v>8480161.170006817</x:v>
      </x:c>
      <x:c r="P275" s="141" t="n">
        <x:f>MAX(0,-O275)</x:f>
        <x:v>0</x:v>
      </x:c>
      <x:c r="Q275" s="141" t="n">
        <x:f>Q274*(1+Premissas!$B$41)+P275</x:f>
        <x:v>0</x:v>
      </x:c>
      <x:c r="R275" s="141" t="n">
        <x:f>MAX(0,O275)</x:f>
        <x:v>8480161.170006817</x:v>
      </x:c>
      <x:c r="S275" s="141" t="n">
        <x:f>IF(AND($A275&gt;=Premissas!$B$48,$A275-Premissas!$B$48+1&lt;=Premissas!$B$13),INDEX(Financiamento!$M$6:$M$485,$A275-Premissas!$B$48+1),0)</x:f>
        <x:v>56761.90476190485</x:v>
      </x:c>
      <x:c r="T275" s="141" t="n">
        <x:f>IF($A275&gt;=Premissas!$B$48,$F275,0)</x:f>
        <x:v>742013.7688059711</x:v>
      </x:c>
      <x:c r="U275" s="141" t="n">
        <x:f>R275+T275-S275</x:f>
        <x:v>9165413.034050884</x:v>
      </x:c>
      <x:c r="V275" s="141" t="n">
        <x:f>IF(Q275&gt;1,"Inviavel",U275)</x:f>
        <x:v>9165413.034050884</x:v>
      </x:c>
      <x:c r="W275" s="141" t="str">
        <x:f>IF(Q275&gt;1,"Inviavel","OK")</x:f>
        <x:v>OK</x:v>
      </x:c>
      <x:c r="X275" s="141" t="n">
        <x:f>IF($A275=Premissas!$B$48,Premissas!$B$8,0)</x:f>
        <x:v>0</x:v>
      </x:c>
      <x:c r="Y275" s="141" t="n">
        <x:f>IF(AND($A275&gt;=Premissas!$B$48,$A275-Premissas!$B$48+1&lt;=Premissas!$B$13),INDEX(Amortizacao!$K$6:$K$485,$A275-Premissas!$B$48+1),0)</x:f>
        <x:v>0</x:v>
      </x:c>
      <x:c r="Z275" s="141" t="n">
        <x:f>IF(AND(TRUE,Premissas!$B$11="Imovel",Premissas!$B$47="Moradia",$A275&lt;MAX(Premissas!$B$48,Premissas!$B$49)),$D275,0)</x:f>
        <x:v>0</x:v>
      </x:c>
      <x:c r="AA275" s="141" t="n">
        <x:f>IF(AND(TRUE,Premissas!$B$11="Imovel",Premissas!$B$47="Investimento",$A275&gt;=MAX(Premissas!$B$48,Premissas!$B$49)),$E275,0)</x:f>
        <x:v>2306.263946610148</x:v>
      </x:c>
      <x:c r="AB275" s="141" t="n">
        <x:f>X275+Y275+Z275</x:f>
        <x:v>0</x:v>
      </x:c>
      <x:c r="AC275" s="141" t="n">
        <x:f>AA275</x:f>
        <x:v>2306.263946610148</x:v>
      </x:c>
      <x:c r="AD275" s="141" t="n">
        <x:f>$C275+AC275-AB275</x:f>
        <x:v>9306.263946610148</x:v>
      </x:c>
      <x:c r="AE275" s="141" t="n">
        <x:f>AH274*(1+Premissas!$B$41)+AD275</x:f>
        <x:v>8565951.60136101</x:v>
      </x:c>
      <x:c r="AF275" s="141" t="n">
        <x:f>MAX(0,-AE275)</x:f>
        <x:v>0</x:v>
      </x:c>
      <x:c r="AG275" s="141" t="n">
        <x:f>AG274*(1+Premissas!$B$41)+AF275</x:f>
        <x:v>0</x:v>
      </x:c>
      <x:c r="AH275" s="141" t="n">
        <x:f>MAX(0,AE275)</x:f>
        <x:v>8565951.60136101</x:v>
      </x:c>
      <x:c r="AI275" s="141" t="n">
        <x:f>IF(AND($A275&gt;=Premissas!$B$48,$A275-Premissas!$B$48+1&lt;=Premissas!$B$13),INDEX(Amortizacao!$L$6:$L$485,$A275-Premissas!$B$48+1),0)</x:f>
        <x:v>0</x:v>
      </x:c>
      <x:c r="AJ275" s="141" t="n">
        <x:f>IF($A275&gt;=Premissas!$B$48,$F275,0)</x:f>
        <x:v>742013.7688059711</x:v>
      </x:c>
      <x:c r="AK275" s="141" t="n">
        <x:f>AH275+AJ275-AI275</x:f>
        <x:v>9307965.370166982</x:v>
      </x:c>
      <x:c r="AL275" s="141" t="n">
        <x:f>IF(AG275&gt;1,"Inviavel",AK275)</x:f>
        <x:v>9307965.370166982</x:v>
      </x:c>
      <x:c r="AM275" s="141" t="str">
        <x:f>IF(AG275&gt;1,"Inviavel","OK")</x:f>
        <x:v>OK</x:v>
      </x:c>
      <x:c r="AN275" s="141" t="n">
        <x:f>IF($A275=Premissas!$B$48,Premissas!$B$8,0)</x:f>
        <x:v>0</x:v>
      </x:c>
      <x:c r="AO275" s="141" t="n">
        <x:f>IF($A275&lt;=Premissas!$B$25,INDEX('Consorcio IQ'!$K$6:$K$485,$A275),0)</x:f>
        <x:v>0</x:v>
      </x:c>
      <x:c r="AP275" s="141" t="n">
        <x:f>IF(AND(TRUE,Premissas!$B$11="Imovel",Premissas!$B$47="Moradia",$A275&lt;MAX(Premissas!$B$48,Premissas!$B$49)),$D275,0)</x:f>
        <x:v>0</x:v>
      </x:c>
      <x:c r="AQ275" s="141" t="n">
        <x:f>IF(AND(TRUE,Premissas!$B$11="Imovel",Premissas!$B$47="Investimento",$A275&gt;=MAX(Premissas!$B$48,Premissas!$B$49)),$E275,0)</x:f>
        <x:v>2306.263946610148</x:v>
      </x:c>
      <x:c r="AR275" s="141" t="n">
        <x:f>AN275+AO275+AP275</x:f>
        <x:v>0</x:v>
      </x:c>
      <x:c r="AS275" s="141" t="n">
        <x:f>AQ275</x:f>
        <x:v>2306.263946610148</x:v>
      </x:c>
      <x:c r="AT275" s="141" t="n">
        <x:f>$C275+AS275-AR275</x:f>
        <x:v>9306.263946610148</x:v>
      </x:c>
      <x:c r="AU275" s="141" t="n">
        <x:f>AX274*(1+Premissas!$B$41)+AT275</x:f>
        <x:v>8491943.464344887</x:v>
      </x:c>
      <x:c r="AV275" s="141" t="n">
        <x:f>MAX(0,-AU275)</x:f>
        <x:v>0</x:v>
      </x:c>
      <x:c r="AW275" s="141" t="n">
        <x:f>AW274*(1+Premissas!$B$41)+AV275</x:f>
        <x:v>0</x:v>
      </x:c>
      <x:c r="AX275" s="141" t="n">
        <x:f>MAX(0,AU275)</x:f>
        <x:v>8491943.464344887</x:v>
      </x:c>
      <x:c r="AY275" s="141" t="n">
        <x:f>INDEX('Consorcio IQ'!$P$6:$P$485,$A275)</x:f>
        <x:v>0</x:v>
      </x:c>
      <x:c r="AZ275" s="141" t="n">
        <x:f>IF($A275&gt;=Premissas!$B$48,$F275,0)+IF($A275&lt;Premissas!$B$27,INDEX('Consorcio IQ'!$O$6:$O$485,$A275),0)</x:f>
        <x:v>742013.7688059711</x:v>
      </x:c>
      <x:c r="BA275" s="141" t="n">
        <x:f>AX275+AZ275-AY275</x:f>
        <x:v>9233957.233150858</x:v>
      </x:c>
      <x:c r="BB275" s="141" t="n">
        <x:f>IF(AW275&gt;1,"Inviavel",BA275)</x:f>
        <x:v>9233957.233150858</x:v>
      </x:c>
      <x:c r="BC275" s="141" t="str">
        <x:f>IF(AW275&gt;1,"Inviavel","OK")</x:f>
        <x:v>OK</x:v>
      </x:c>
      <x:c r="BD275" s="141" t="n">
        <x:f>IF($A275='Consorcio Direto'!$B$29,'Consorcio Direto'!$B$44,0)</x:f>
        <x:v>0</x:v>
      </x:c>
      <x:c r="BE275" s="141" t="n">
        <x:f>IF($A275&lt;='Consorcio Direto'!$B$27,INDEX('Consorcio Direto'!$E$55:$E$534,$A275),0)</x:f>
        <x:v>0</x:v>
      </x:c>
      <x:c r="BF275" s="141" t="n">
        <x:f>IF(AND(TRUE,Premissas!$B$11="Imovel",Premissas!$B$47="Moradia",$A275&lt;MAX('Consorcio Direto'!$B$29,Premissas!$B$49)),$D275,0)</x:f>
        <x:v>0</x:v>
      </x:c>
      <x:c r="BG275" s="141" t="n">
        <x:f>IF(AND(TRUE,Premissas!$B$11="Imovel",Premissas!$B$47="Investimento",$A275&gt;=MAX('Consorcio Direto'!$B$29,Premissas!$B$49)),$E275,0)</x:f>
        <x:v>2306.263946610148</x:v>
      </x:c>
      <x:c r="BH275" s="141" t="n">
        <x:f>BD275+BE275+BF275</x:f>
        <x:v>0</x:v>
      </x:c>
      <x:c r="BI275" s="141" t="n">
        <x:f>BG275</x:f>
        <x:v>2306.263946610148</x:v>
      </x:c>
      <x:c r="BJ275" s="141" t="n">
        <x:f>$C275+BI275-BH275</x:f>
        <x:v>9306.263946610148</x:v>
      </x:c>
      <x:c r="BK275" s="141" t="n">
        <x:f>BN274*(1+Premissas!$B$41)+BJ275</x:f>
        <x:v>8091974.675379166</x:v>
      </x:c>
      <x:c r="BL275" s="141" t="n">
        <x:f>MAX(0,-BK275)</x:f>
        <x:v>0</x:v>
      </x:c>
      <x:c r="BM275" s="141" t="n">
        <x:f>BM274*(1+Premissas!$B$41)+BL275</x:f>
        <x:v>0</x:v>
      </x:c>
      <x:c r="BN275" s="141" t="n">
        <x:f>MAX(0,BK275)</x:f>
        <x:v>8091974.675379166</x:v>
      </x:c>
      <x:c r="BO275" s="141" t="n">
        <x:f>INDEX('Consorcio Direto'!$K$55:$K$534,$A275)</x:f>
        <x:v>0</x:v>
      </x:c>
      <x:c r="BP275" s="141" t="n">
        <x:f>IF($A275&lt;'Consorcio Direto'!$B$29,INDEX('Consorcio Direto'!$L$55:$L$534,$A275),$F275)</x:f>
        <x:v>742013.7688059711</x:v>
      </x:c>
      <x:c r="BQ275" s="141" t="n">
        <x:f>BN275+BP275-BO275</x:f>
        <x:v>8833988.444185138</x:v>
      </x:c>
      <x:c r="BR275" s="141" t="n">
        <x:f>IF(BM275&gt;1,"Inviavel",BQ275)</x:f>
        <x:v>8833988.444185138</x:v>
      </x:c>
      <x:c r="BS275" s="141" t="str">
        <x:f>IF(BM275&gt;1,"Inviavel","OK")</x:f>
        <x:v>OK</x:v>
      </x:c>
      <x:c r="BT275" s="141" t="n">
        <x:f>IF(AND('Carta Contemplada'!$B$22="Sim",$A275='Carta Contemplada'!$B$23),'Carta Contemplada'!$B$37,0)</x:f>
        <x:v>0</x:v>
      </x:c>
      <x:c r="BU275" s="141" t="n">
        <x:f>IF('Carta Contemplada'!$B$22="Sim",INDEX('Carta Contemplada'!$C$55:$C$1013,$A275),0)</x:f>
        <x:v>0</x:v>
      </x:c>
      <x:c r="BV275" s="141" t="n">
        <x:f>IF(AND('Carta Contemplada'!$B$22="Sim",Premissas!$B$11="Imovel",Premissas!$B$47="Moradia",$A275&lt;MAX('Carta Contemplada'!$B$44,Premissas!$B$49)),$D275,0)</x:f>
        <x:v>0</x:v>
      </x:c>
      <x:c r="BW275" s="141" t="n">
        <x:f>IF(AND('Carta Contemplada'!$B$22="Sim",Premissas!$B$11="Imovel",Premissas!$B$47="Investimento",$A275&gt;=MAX('Carta Contemplada'!$B$44,Premissas!$B$49)),$E275,0)</x:f>
        <x:v>2306.263946610148</x:v>
      </x:c>
      <x:c r="BX275" s="141" t="n">
        <x:f>BT275+BU275+BV275</x:f>
        <x:v>0</x:v>
      </x:c>
      <x:c r="BY275" s="141" t="n">
        <x:f>BW275</x:f>
        <x:v>2306.263946610148</x:v>
      </x:c>
      <x:c r="BZ275" s="141" t="n">
        <x:f>$C275+BY275-BX275</x:f>
        <x:v>9306.263946610148</x:v>
      </x:c>
      <x:c r="CA275" s="141" t="n">
        <x:f>CD274*(1+Premissas!$B$41)+BZ275</x:f>
        <x:v>8752586.21431948</x:v>
      </x:c>
      <x:c r="CB275" s="141" t="n">
        <x:f>MAX(0,-CA275)</x:f>
        <x:v>0</x:v>
      </x:c>
      <x:c r="CC275" s="141" t="n">
        <x:f>CC274*(1+Premissas!$B$41)+CB275</x:f>
        <x:v>0</x:v>
      </x:c>
      <x:c r="CD275" s="141" t="n">
        <x:f>MAX(0,CA275)</x:f>
        <x:v>8752586.21431948</x:v>
      </x:c>
      <x:c r="CE275" s="141" t="n">
        <x:f>IF(AND('Carta Contemplada'!$B$22="Sim",$A275&gt;='Carta Contemplada'!$B$23),INDEX('Carta Contemplada'!$I$55:$I$1013,$A275),0)</x:f>
        <x:v>0</x:v>
      </x:c>
      <x:c r="CF275" s="141" t="n">
        <x:f>IF(AND('Carta Contemplada'!$B$22="Sim",$A275&gt;='Carta Contemplada'!$B$44),$F275,0)</x:f>
        <x:v>742013.7688059711</x:v>
      </x:c>
      <x:c r="CG275" s="141" t="n">
        <x:f>CD275+CF275-CE275</x:f>
        <x:v>9494599.983125452</x:v>
      </x:c>
      <x:c r="CH275" s="141" t="n">
        <x:f>IF(CC275&gt;1,"Inviavel",CG275)</x:f>
        <x:v>9494599.983125452</x:v>
      </x:c>
      <x:c r="CI275" s="145" t="str">
        <x:f>IF(CC275&gt;1,"Inviavel","OK")</x:f>
        <x:v>OK</x:v>
      </x:c>
    </x:row>
    <x:row r="276">
      <x:c r="A276" s="142" t="n">
        <x:v>272</x:v>
      </x:c>
      <x:c r="B276" s="179" t="n">
        <x:f>EDATE(Premissas!$B$4,A276-1)</x:f>
        <x:v>54789</x:v>
      </x:c>
      <x:c r="C276" s="141" t="n">
        <x:f>IF(A276&lt;=Premissas!$B$39,Premissas!$B$42,0)</x:f>
        <x:v>7000</x:v>
      </x:c>
      <x:c r="D276" s="141" t="n">
        <x:f>Premissas!$B$54*(1+Premissas!$B$57)^INT((A276-1)/12)</x:f>
        <x:v>2522.4761916048496</x:v>
      </x:c>
      <x:c r="E276" s="141" t="n">
        <x:f>Premissas!$B$64*(1+Premissas!$B$57)^INT((A276-1)/12)</x:f>
        <x:v>2306.263946610148</x:v>
      </x:c>
      <x:c r="F276" s="141" t="n">
        <x:f>MAX(0,Premissas!$B$6*(1+Premissas!$B$66)^((A276-1)/12))</x:f>
        <x:v>745625.5583458149</x:v>
      </x:c>
      <x:c r="G276" s="141" t="n">
        <x:f>G275*(1+Premissas!$B$41)+C276</x:f>
        <x:v>10052844.683907872</x:v>
      </x:c>
      <x:c r="H276" s="141" t="n">
        <x:f>IF($A276=Premissas!$B$48,Premissas!$B$8,0)</x:f>
        <x:v>0</x:v>
      </x:c>
      <x:c r="I276" s="141" t="n">
        <x:f>IF(AND($A276&gt;=Premissas!$B$48,$A276-Premissas!$B$48+1&lt;=Premissas!$B$13),INDEX(Financiamento!$J$6:$J$485,$A276-Premissas!$B$48+1),0)</x:f>
        <x:v>1069.55434181062</x:v>
      </x:c>
      <x:c r="J276" s="141" t="n">
        <x:f>IF(AND(TRUE,Premissas!$B$11="Imovel",Premissas!$B$47="Moradia",$A276&lt;MAX(Premissas!$B$48,Premissas!$B$49)),$D276,0)</x:f>
        <x:v>0</x:v>
      </x:c>
      <x:c r="K276" s="141" t="n">
        <x:f>IF(AND(TRUE,Premissas!$B$11="Imovel",Premissas!$B$47="Investimento",$A276&gt;=MAX(Premissas!$B$48,Premissas!$B$49)),$E276,0)</x:f>
        <x:v>2306.263946610148</x:v>
      </x:c>
      <x:c r="L276" s="141" t="n">
        <x:f>H276+I276+J276</x:f>
        <x:v>1069.55434181062</x:v>
      </x:c>
      <x:c r="M276" s="141" t="n">
        <x:f>K276</x:f>
        <x:v>2306.263946610148</x:v>
      </x:c>
      <x:c r="N276" s="141" t="n">
        <x:f>$C276+M276-L276</x:f>
        <x:v>8236.70960479953</x:v>
      </x:c>
      <x:c r="O276" s="141" t="n">
        <x:f>R275*(1+Premissas!$B$41)+N276</x:f>
        <x:v>8568864.373005703</x:v>
      </x:c>
      <x:c r="P276" s="141" t="n">
        <x:f>MAX(0,-O276)</x:f>
        <x:v>0</x:v>
      </x:c>
      <x:c r="Q276" s="141" t="n">
        <x:f>Q275*(1+Premissas!$B$41)+P276</x:f>
        <x:v>0</x:v>
      </x:c>
      <x:c r="R276" s="141" t="n">
        <x:f>MAX(0,O276)</x:f>
        <x:v>8568864.373005703</x:v>
      </x:c>
      <x:c r="S276" s="141" t="n">
        <x:f>IF(AND($A276&gt;=Premissas!$B$48,$A276-Premissas!$B$48+1&lt;=Premissas!$B$13),INDEX(Financiamento!$M$6:$M$485,$A276-Premissas!$B$48+1),0)</x:f>
        <x:v>56380.95238095247</x:v>
      </x:c>
      <x:c r="T276" s="141" t="n">
        <x:f>IF($A276&gt;=Premissas!$B$48,$F276,0)</x:f>
        <x:v>745625.5583458149</x:v>
      </x:c>
      <x:c r="U276" s="141" t="n">
        <x:f>R276+T276-S276</x:f>
        <x:v>9258108.978970565</x:v>
      </x:c>
      <x:c r="V276" s="141" t="n">
        <x:f>IF(Q276&gt;1,"Inviavel",U276)</x:f>
        <x:v>9258108.978970565</x:v>
      </x:c>
      <x:c r="W276" s="141" t="str">
        <x:f>IF(Q276&gt;1,"Inviavel","OK")</x:f>
        <x:v>OK</x:v>
      </x:c>
      <x:c r="X276" s="141" t="n">
        <x:f>IF($A276=Premissas!$B$48,Premissas!$B$8,0)</x:f>
        <x:v>0</x:v>
      </x:c>
      <x:c r="Y276" s="141" t="n">
        <x:f>IF(AND($A276&gt;=Premissas!$B$48,$A276-Premissas!$B$48+1&lt;=Premissas!$B$13),INDEX(Amortizacao!$K$6:$K$485,$A276-Premissas!$B$48+1),0)</x:f>
        <x:v>0</x:v>
      </x:c>
      <x:c r="Z276" s="141" t="n">
        <x:f>IF(AND(TRUE,Premissas!$B$11="Imovel",Premissas!$B$47="Moradia",$A276&lt;MAX(Premissas!$B$48,Premissas!$B$49)),$D276,0)</x:f>
        <x:v>0</x:v>
      </x:c>
      <x:c r="AA276" s="141" t="n">
        <x:f>IF(AND(TRUE,Premissas!$B$11="Imovel",Premissas!$B$47="Investimento",$A276&gt;=MAX(Premissas!$B$48,Premissas!$B$49)),$E276,0)</x:f>
        <x:v>2306.263946610148</x:v>
      </x:c>
      <x:c r="AB276" s="141" t="n">
        <x:f>X276+Y276+Z276</x:f>
        <x:v>0</x:v>
      </x:c>
      <x:c r="AC276" s="141" t="n">
        <x:f>AA276</x:f>
        <x:v>2306.263946610148</x:v>
      </x:c>
      <x:c r="AD276" s="141" t="n">
        <x:f>$C276+AC276-AB276</x:f>
        <x:v>9306.263946610148</x:v>
      </x:c>
      <x:c r="AE276" s="141" t="n">
        <x:f>AH275*(1+Premissas!$B$41)+AD276</x:f>
        <x:v>8656538.406340595</x:v>
      </x:c>
      <x:c r="AF276" s="141" t="n">
        <x:f>MAX(0,-AE276)</x:f>
        <x:v>0</x:v>
      </x:c>
      <x:c r="AG276" s="141" t="n">
        <x:f>AG275*(1+Premissas!$B$41)+AF276</x:f>
        <x:v>0</x:v>
      </x:c>
      <x:c r="AH276" s="141" t="n">
        <x:f>MAX(0,AE276)</x:f>
        <x:v>8656538.406340595</x:v>
      </x:c>
      <x:c r="AI276" s="141" t="n">
        <x:f>IF(AND($A276&gt;=Premissas!$B$48,$A276-Premissas!$B$48+1&lt;=Premissas!$B$13),INDEX(Amortizacao!$L$6:$L$485,$A276-Premissas!$B$48+1),0)</x:f>
        <x:v>0</x:v>
      </x:c>
      <x:c r="AJ276" s="141" t="n">
        <x:f>IF($A276&gt;=Premissas!$B$48,$F276,0)</x:f>
        <x:v>745625.5583458149</x:v>
      </x:c>
      <x:c r="AK276" s="141" t="n">
        <x:f>AH276+AJ276-AI276</x:f>
        <x:v>9402163.96468641</x:v>
      </x:c>
      <x:c r="AL276" s="141" t="n">
        <x:f>IF(AG276&gt;1,"Inviavel",AK276)</x:f>
        <x:v>9402163.96468641</x:v>
      </x:c>
      <x:c r="AM276" s="141" t="str">
        <x:f>IF(AG276&gt;1,"Inviavel","OK")</x:f>
        <x:v>OK</x:v>
      </x:c>
      <x:c r="AN276" s="141" t="n">
        <x:f>IF($A276=Premissas!$B$48,Premissas!$B$8,0)</x:f>
        <x:v>0</x:v>
      </x:c>
      <x:c r="AO276" s="141" t="n">
        <x:f>IF($A276&lt;=Premissas!$B$25,INDEX('Consorcio IQ'!$K$6:$K$485,$A276),0)</x:f>
        <x:v>0</x:v>
      </x:c>
      <x:c r="AP276" s="141" t="n">
        <x:f>IF(AND(TRUE,Premissas!$B$11="Imovel",Premissas!$B$47="Moradia",$A276&lt;MAX(Premissas!$B$48,Premissas!$B$49)),$D276,0)</x:f>
        <x:v>0</x:v>
      </x:c>
      <x:c r="AQ276" s="141" t="n">
        <x:f>IF(AND(TRUE,Premissas!$B$11="Imovel",Premissas!$B$47="Investimento",$A276&gt;=MAX(Premissas!$B$48,Premissas!$B$49)),$E276,0)</x:f>
        <x:v>2306.263946610148</x:v>
      </x:c>
      <x:c r="AR276" s="141" t="n">
        <x:f>AN276+AO276+AP276</x:f>
        <x:v>0</x:v>
      </x:c>
      <x:c r="AS276" s="141" t="n">
        <x:f>AQ276</x:f>
        <x:v>2306.263946610148</x:v>
      </x:c>
      <x:c r="AT276" s="141" t="n">
        <x:f>$C276+AS276-AR276</x:f>
        <x:v>9306.263946610148</x:v>
      </x:c>
      <x:c r="AU276" s="141" t="n">
        <x:f>AX275*(1+Premissas!$B$41)+AT276</x:f>
        <x:v>8581828.021436851</x:v>
      </x:c>
      <x:c r="AV276" s="141" t="n">
        <x:f>MAX(0,-AU276)</x:f>
        <x:v>0</x:v>
      </x:c>
      <x:c r="AW276" s="141" t="n">
        <x:f>AW275*(1+Premissas!$B$41)+AV276</x:f>
        <x:v>0</x:v>
      </x:c>
      <x:c r="AX276" s="141" t="n">
        <x:f>MAX(0,AU276)</x:f>
        <x:v>8581828.021436851</x:v>
      </x:c>
      <x:c r="AY276" s="141" t="n">
        <x:f>INDEX('Consorcio IQ'!$P$6:$P$485,$A276)</x:f>
        <x:v>0</x:v>
      </x:c>
      <x:c r="AZ276" s="141" t="n">
        <x:f>IF($A276&gt;=Premissas!$B$48,$F276,0)+IF($A276&lt;Premissas!$B$27,INDEX('Consorcio IQ'!$O$6:$O$485,$A276),0)</x:f>
        <x:v>745625.5583458149</x:v>
      </x:c>
      <x:c r="BA276" s="141" t="n">
        <x:f>AX276+AZ276-AY276</x:f>
        <x:v>9327453.579782667</x:v>
      </x:c>
      <x:c r="BB276" s="141" t="n">
        <x:f>IF(AW276&gt;1,"Inviavel",BA276)</x:f>
        <x:v>9327453.579782667</x:v>
      </x:c>
      <x:c r="BC276" s="141" t="str">
        <x:f>IF(AW276&gt;1,"Inviavel","OK")</x:f>
        <x:v>OK</x:v>
      </x:c>
      <x:c r="BD276" s="141" t="n">
        <x:f>IF($A276='Consorcio Direto'!$B$29,'Consorcio Direto'!$B$44,0)</x:f>
        <x:v>0</x:v>
      </x:c>
      <x:c r="BE276" s="141" t="n">
        <x:f>IF($A276&lt;='Consorcio Direto'!$B$27,INDEX('Consorcio Direto'!$E$55:$E$534,$A276),0)</x:f>
        <x:v>0</x:v>
      </x:c>
      <x:c r="BF276" s="141" t="n">
        <x:f>IF(AND(TRUE,Premissas!$B$11="Imovel",Premissas!$B$47="Moradia",$A276&lt;MAX('Consorcio Direto'!$B$29,Premissas!$B$49)),$D276,0)</x:f>
        <x:v>0</x:v>
      </x:c>
      <x:c r="BG276" s="141" t="n">
        <x:f>IF(AND(TRUE,Premissas!$B$11="Imovel",Premissas!$B$47="Investimento",$A276&gt;=MAX('Consorcio Direto'!$B$29,Premissas!$B$49)),$E276,0)</x:f>
        <x:v>2306.263946610148</x:v>
      </x:c>
      <x:c r="BH276" s="141" t="n">
        <x:f>BD276+BE276+BF276</x:f>
        <x:v>0</x:v>
      </x:c>
      <x:c r="BI276" s="141" t="n">
        <x:f>BG276</x:f>
        <x:v>2306.263946610148</x:v>
      </x:c>
      <x:c r="BJ276" s="141" t="n">
        <x:f>$C276+BI276-BH276</x:f>
        <x:v>9306.263946610148</x:v>
      </x:c>
      <x:c r="BK276" s="141" t="n">
        <x:f>BN275*(1+Premissas!$B$41)+BJ276</x:f>
        <x:v>8178064.01145234</x:v>
      </x:c>
      <x:c r="BL276" s="141" t="n">
        <x:f>MAX(0,-BK276)</x:f>
        <x:v>0</x:v>
      </x:c>
      <x:c r="BM276" s="141" t="n">
        <x:f>BM275*(1+Premissas!$B$41)+BL276</x:f>
        <x:v>0</x:v>
      </x:c>
      <x:c r="BN276" s="141" t="n">
        <x:f>MAX(0,BK276)</x:f>
        <x:v>8178064.01145234</x:v>
      </x:c>
      <x:c r="BO276" s="141" t="n">
        <x:f>INDEX('Consorcio Direto'!$K$55:$K$534,$A276)</x:f>
        <x:v>0</x:v>
      </x:c>
      <x:c r="BP276" s="141" t="n">
        <x:f>IF($A276&lt;'Consorcio Direto'!$B$29,INDEX('Consorcio Direto'!$L$55:$L$534,$A276),$F276)</x:f>
        <x:v>745625.5583458149</x:v>
      </x:c>
      <x:c r="BQ276" s="141" t="n">
        <x:f>BN276+BP276-BO276</x:f>
        <x:v>8923689.569798155</x:v>
      </x:c>
      <x:c r="BR276" s="141" t="n">
        <x:f>IF(BM276&gt;1,"Inviavel",BQ276)</x:f>
        <x:v>8923689.569798155</x:v>
      </x:c>
      <x:c r="BS276" s="141" t="str">
        <x:f>IF(BM276&gt;1,"Inviavel","OK")</x:f>
        <x:v>OK</x:v>
      </x:c>
      <x:c r="BT276" s="141" t="n">
        <x:f>IF(AND('Carta Contemplada'!$B$22="Sim",$A276='Carta Contemplada'!$B$23),'Carta Contemplada'!$B$37,0)</x:f>
        <x:v>0</x:v>
      </x:c>
      <x:c r="BU276" s="141" t="n">
        <x:f>IF('Carta Contemplada'!$B$22="Sim",INDEX('Carta Contemplada'!$C$55:$C$1013,$A276),0)</x:f>
        <x:v>0</x:v>
      </x:c>
      <x:c r="BV276" s="141" t="n">
        <x:f>IF(AND('Carta Contemplada'!$B$22="Sim",Premissas!$B$11="Imovel",Premissas!$B$47="Moradia",$A276&lt;MAX('Carta Contemplada'!$B$44,Premissas!$B$49)),$D276,0)</x:f>
        <x:v>0</x:v>
      </x:c>
      <x:c r="BW276" s="141" t="n">
        <x:f>IF(AND('Carta Contemplada'!$B$22="Sim",Premissas!$B$11="Imovel",Premissas!$B$47="Investimento",$A276&gt;=MAX('Carta Contemplada'!$B$44,Premissas!$B$49)),$E276,0)</x:f>
        <x:v>2306.263946610148</x:v>
      </x:c>
      <x:c r="BX276" s="141" t="n">
        <x:f>BT276+BU276+BV276</x:f>
        <x:v>0</x:v>
      </x:c>
      <x:c r="BY276" s="141" t="n">
        <x:f>BW276</x:f>
        <x:v>2306.263946610148</x:v>
      </x:c>
      <x:c r="BZ276" s="141" t="n">
        <x:f>$C276+BY276-BX276</x:f>
        <x:v>9306.263946610148</x:v>
      </x:c>
      <x:c r="CA276" s="141" t="n">
        <x:f>CD275*(1+Premissas!$B$41)+BZ276</x:f>
        <x:v>8844943.956495853</x:v>
      </x:c>
      <x:c r="CB276" s="141" t="n">
        <x:f>MAX(0,-CA276)</x:f>
        <x:v>0</x:v>
      </x:c>
      <x:c r="CC276" s="141" t="n">
        <x:f>CC275*(1+Premissas!$B$41)+CB276</x:f>
        <x:v>0</x:v>
      </x:c>
      <x:c r="CD276" s="141" t="n">
        <x:f>MAX(0,CA276)</x:f>
        <x:v>8844943.956495853</x:v>
      </x:c>
      <x:c r="CE276" s="141" t="n">
        <x:f>IF(AND('Carta Contemplada'!$B$22="Sim",$A276&gt;='Carta Contemplada'!$B$23),INDEX('Carta Contemplada'!$I$55:$I$1013,$A276),0)</x:f>
        <x:v>0</x:v>
      </x:c>
      <x:c r="CF276" s="141" t="n">
        <x:f>IF(AND('Carta Contemplada'!$B$22="Sim",$A276&gt;='Carta Contemplada'!$B$44),$F276,0)</x:f>
        <x:v>745625.5583458149</x:v>
      </x:c>
      <x:c r="CG276" s="141" t="n">
        <x:f>CD276+CF276-CE276</x:f>
        <x:v>9590569.514841668</x:v>
      </x:c>
      <x:c r="CH276" s="141" t="n">
        <x:f>IF(CC276&gt;1,"Inviavel",CG276)</x:f>
        <x:v>9590569.514841668</x:v>
      </x:c>
      <x:c r="CI276" s="145" t="str">
        <x:f>IF(CC276&gt;1,"Inviavel","OK")</x:f>
        <x:v>OK</x:v>
      </x:c>
    </x:row>
    <x:row r="277">
      <x:c r="A277" s="142" t="n">
        <x:v>273</x:v>
      </x:c>
      <x:c r="B277" s="179" t="n">
        <x:f>EDATE(Premissas!$B$4,A277-1)</x:f>
        <x:v>54820</x:v>
      </x:c>
      <x:c r="C277" s="141" t="n">
        <x:f>IF(A277&lt;=Premissas!$B$39,Premissas!$B$42,0)</x:f>
        <x:v>7000</x:v>
      </x:c>
      <x:c r="D277" s="141" t="n">
        <x:f>Premissas!$B$54*(1+Premissas!$B$57)^INT((A277-1)/12)</x:f>
        <x:v>2522.4761916048496</x:v>
      </x:c>
      <x:c r="E277" s="141" t="n">
        <x:f>Premissas!$B$64*(1+Premissas!$B$57)^INT((A277-1)/12)</x:f>
        <x:v>2306.263946610148</x:v>
      </x:c>
      <x:c r="F277" s="141" t="n">
        <x:f>MAX(0,Premissas!$B$6*(1+Premissas!$B$66)^((A277-1)/12))</x:f>
        <x:v>749254.9284538754</x:v>
      </x:c>
      <x:c r="G277" s="141" t="n">
        <x:f>G276*(1+Premissas!$B$41)+C277</x:f>
        <x:v>10155234.045516998</x:v>
      </x:c>
      <x:c r="H277" s="141" t="n">
        <x:f>IF($A277=Premissas!$B$48,Premissas!$B$8,0)</x:f>
        <x:v>0</x:v>
      </x:c>
      <x:c r="I277" s="141" t="n">
        <x:f>IF(AND($A277&gt;=Premissas!$B$48,$A277-Premissas!$B$48+1&lt;=Premissas!$B$13),INDEX(Financiamento!$J$6:$J$485,$A277-Premissas!$B$48+1),0)</x:f>
        <x:v>1065.9395635498265</x:v>
      </x:c>
      <x:c r="J277" s="141" t="n">
        <x:f>IF(AND(TRUE,Premissas!$B$11="Imovel",Premissas!$B$47="Moradia",$A277&lt;MAX(Premissas!$B$48,Premissas!$B$49)),$D277,0)</x:f>
        <x:v>0</x:v>
      </x:c>
      <x:c r="K277" s="141" t="n">
        <x:f>IF(AND(TRUE,Premissas!$B$11="Imovel",Premissas!$B$47="Investimento",$A277&gt;=MAX(Premissas!$B$48,Premissas!$B$49)),$E277,0)</x:f>
        <x:v>2306.263946610148</x:v>
      </x:c>
      <x:c r="L277" s="141" t="n">
        <x:f>H277+I277+J277</x:f>
        <x:v>1065.9395635498265</x:v>
      </x:c>
      <x:c r="M277" s="141" t="n">
        <x:f>K277</x:f>
        <x:v>2306.263946610148</x:v>
      </x:c>
      <x:c r="N277" s="141" t="n">
        <x:f>$C277+M277-L277</x:f>
        <x:v>8240.324383060322</x:v>
      </x:c>
      <x:c r="O277" s="141" t="n">
        <x:f>R276*(1+Premissas!$B$41)+N277</x:f>
        <x:v>8658412.87710874</x:v>
      </x:c>
      <x:c r="P277" s="141" t="n">
        <x:f>MAX(0,-O277)</x:f>
        <x:v>0</x:v>
      </x:c>
      <x:c r="Q277" s="141" t="n">
        <x:f>Q276*(1+Premissas!$B$41)+P277</x:f>
        <x:v>0</x:v>
      </x:c>
      <x:c r="R277" s="141" t="n">
        <x:f>MAX(0,O277)</x:f>
        <x:v>8658412.87710874</x:v>
      </x:c>
      <x:c r="S277" s="141" t="n">
        <x:f>IF(AND($A277&gt;=Premissas!$B$48,$A277-Premissas!$B$48+1&lt;=Premissas!$B$13),INDEX(Financiamento!$M$6:$M$485,$A277-Premissas!$B$48+1),0)</x:f>
        <x:v>56000.00000000009</x:v>
      </x:c>
      <x:c r="T277" s="141" t="n">
        <x:f>IF($A277&gt;=Premissas!$B$48,$F277,0)</x:f>
        <x:v>749254.9284538754</x:v>
      </x:c>
      <x:c r="U277" s="141" t="n">
        <x:f>R277+T277-S277</x:f>
        <x:v>9351667.805562615</x:v>
      </x:c>
      <x:c r="V277" s="141" t="n">
        <x:f>IF(Q277&gt;1,"Inviavel",U277)</x:f>
        <x:v>9351667.805562615</x:v>
      </x:c>
      <x:c r="W277" s="141" t="str">
        <x:f>IF(Q277&gt;1,"Inviavel","OK")</x:f>
        <x:v>OK</x:v>
      </x:c>
      <x:c r="X277" s="141" t="n">
        <x:f>IF($A277=Premissas!$B$48,Premissas!$B$8,0)</x:f>
        <x:v>0</x:v>
      </x:c>
      <x:c r="Y277" s="141" t="n">
        <x:f>IF(AND($A277&gt;=Premissas!$B$48,$A277-Premissas!$B$48+1&lt;=Premissas!$B$13),INDEX(Amortizacao!$K$6:$K$485,$A277-Premissas!$B$48+1),0)</x:f>
        <x:v>0</x:v>
      </x:c>
      <x:c r="Z277" s="141" t="n">
        <x:f>IF(AND(TRUE,Premissas!$B$11="Imovel",Premissas!$B$47="Moradia",$A277&lt;MAX(Premissas!$B$48,Premissas!$B$49)),$D277,0)</x:f>
        <x:v>0</x:v>
      </x:c>
      <x:c r="AA277" s="141" t="n">
        <x:f>IF(AND(TRUE,Premissas!$B$11="Imovel",Premissas!$B$47="Investimento",$A277&gt;=MAX(Premissas!$B$48,Premissas!$B$49)),$E277,0)</x:f>
        <x:v>2306.263946610148</x:v>
      </x:c>
      <x:c r="AB277" s="141" t="n">
        <x:f>X277+Y277+Z277</x:f>
        <x:v>0</x:v>
      </x:c>
      <x:c r="AC277" s="141" t="n">
        <x:f>AA277</x:f>
        <x:v>2306.263946610148</x:v>
      </x:c>
      <x:c r="AD277" s="141" t="n">
        <x:f>$C277+AC277-AB277</x:f>
        <x:v>9306.263946610148</x:v>
      </x:c>
      <x:c r="AE277" s="141" t="n">
        <x:f>AH276*(1+Premissas!$B$41)+AD277</x:f>
        <x:v>8747984.770755237</x:v>
      </x:c>
      <x:c r="AF277" s="141" t="n">
        <x:f>MAX(0,-AE277)</x:f>
        <x:v>0</x:v>
      </x:c>
      <x:c r="AG277" s="141" t="n">
        <x:f>AG276*(1+Premissas!$B$41)+AF277</x:f>
        <x:v>0</x:v>
      </x:c>
      <x:c r="AH277" s="141" t="n">
        <x:f>MAX(0,AE277)</x:f>
        <x:v>8747984.770755237</x:v>
      </x:c>
      <x:c r="AI277" s="141" t="n">
        <x:f>IF(AND($A277&gt;=Premissas!$B$48,$A277-Premissas!$B$48+1&lt;=Premissas!$B$13),INDEX(Amortizacao!$L$6:$L$485,$A277-Premissas!$B$48+1),0)</x:f>
        <x:v>0</x:v>
      </x:c>
      <x:c r="AJ277" s="141" t="n">
        <x:f>IF($A277&gt;=Premissas!$B$48,$F277,0)</x:f>
        <x:v>749254.9284538754</x:v>
      </x:c>
      <x:c r="AK277" s="141" t="n">
        <x:f>AH277+AJ277-AI277</x:f>
        <x:v>9497239.699209113</x:v>
      </x:c>
      <x:c r="AL277" s="141" t="n">
        <x:f>IF(AG277&gt;1,"Inviavel",AK277)</x:f>
        <x:v>9497239.699209113</x:v>
      </x:c>
      <x:c r="AM277" s="141" t="str">
        <x:f>IF(AG277&gt;1,"Inviavel","OK")</x:f>
        <x:v>OK</x:v>
      </x:c>
      <x:c r="AN277" s="141" t="n">
        <x:f>IF($A277=Premissas!$B$48,Premissas!$B$8,0)</x:f>
        <x:v>0</x:v>
      </x:c>
      <x:c r="AO277" s="141" t="n">
        <x:f>IF($A277&lt;=Premissas!$B$25,INDEX('Consorcio IQ'!$K$6:$K$485,$A277),0)</x:f>
        <x:v>0</x:v>
      </x:c>
      <x:c r="AP277" s="141" t="n">
        <x:f>IF(AND(TRUE,Premissas!$B$11="Imovel",Premissas!$B$47="Moradia",$A277&lt;MAX(Premissas!$B$48,Premissas!$B$49)),$D277,0)</x:f>
        <x:v>0</x:v>
      </x:c>
      <x:c r="AQ277" s="141" t="n">
        <x:f>IF(AND(TRUE,Premissas!$B$11="Imovel",Premissas!$B$47="Investimento",$A277&gt;=MAX(Premissas!$B$48,Premissas!$B$49)),$E277,0)</x:f>
        <x:v>2306.263946610148</x:v>
      </x:c>
      <x:c r="AR277" s="141" t="n">
        <x:f>AN277+AO277+AP277</x:f>
        <x:v>0</x:v>
      </x:c>
      <x:c r="AS277" s="141" t="n">
        <x:f>AQ277</x:f>
        <x:v>2306.263946610148</x:v>
      </x:c>
      <x:c r="AT277" s="141" t="n">
        <x:f>$C277+AS277-AR277</x:f>
        <x:v>9306.263946610148</x:v>
      </x:c>
      <x:c r="AU277" s="141" t="n">
        <x:f>AX276*(1+Premissas!$B$41)+AT277</x:f>
        <x:v>8672565.474479077</x:v>
      </x:c>
      <x:c r="AV277" s="141" t="n">
        <x:f>MAX(0,-AU277)</x:f>
        <x:v>0</x:v>
      </x:c>
      <x:c r="AW277" s="141" t="n">
        <x:f>AW276*(1+Premissas!$B$41)+AV277</x:f>
        <x:v>0</x:v>
      </x:c>
      <x:c r="AX277" s="141" t="n">
        <x:f>MAX(0,AU277)</x:f>
        <x:v>8672565.474479077</x:v>
      </x:c>
      <x:c r="AY277" s="141" t="n">
        <x:f>INDEX('Consorcio IQ'!$P$6:$P$485,$A277)</x:f>
        <x:v>0</x:v>
      </x:c>
      <x:c r="AZ277" s="141" t="n">
        <x:f>IF($A277&gt;=Premissas!$B$48,$F277,0)+IF($A277&lt;Premissas!$B$27,INDEX('Consorcio IQ'!$O$6:$O$485,$A277),0)</x:f>
        <x:v>749254.9284538754</x:v>
      </x:c>
      <x:c r="BA277" s="141" t="n">
        <x:f>AX277+AZ277-AY277</x:f>
        <x:v>9421820.402932953</x:v>
      </x:c>
      <x:c r="BB277" s="141" t="n">
        <x:f>IF(AW277&gt;1,"Inviavel",BA277)</x:f>
        <x:v>9421820.402932953</x:v>
      </x:c>
      <x:c r="BC277" s="141" t="str">
        <x:f>IF(AW277&gt;1,"Inviavel","OK")</x:f>
        <x:v>OK</x:v>
      </x:c>
      <x:c r="BD277" s="141" t="n">
        <x:f>IF($A277='Consorcio Direto'!$B$29,'Consorcio Direto'!$B$44,0)</x:f>
        <x:v>0</x:v>
      </x:c>
      <x:c r="BE277" s="141" t="n">
        <x:f>IF($A277&lt;='Consorcio Direto'!$B$27,INDEX('Consorcio Direto'!$E$55:$E$534,$A277),0)</x:f>
        <x:v>0</x:v>
      </x:c>
      <x:c r="BF277" s="141" t="n">
        <x:f>IF(AND(TRUE,Premissas!$B$11="Imovel",Premissas!$B$47="Moradia",$A277&lt;MAX('Consorcio Direto'!$B$29,Premissas!$B$49)),$D277,0)</x:f>
        <x:v>0</x:v>
      </x:c>
      <x:c r="BG277" s="141" t="n">
        <x:f>IF(AND(TRUE,Premissas!$B$11="Imovel",Premissas!$B$47="Investimento",$A277&gt;=MAX('Consorcio Direto'!$B$29,Premissas!$B$49)),$E277,0)</x:f>
        <x:v>2306.263946610148</x:v>
      </x:c>
      <x:c r="BH277" s="141" t="n">
        <x:f>BD277+BE277+BF277</x:f>
        <x:v>0</x:v>
      </x:c>
      <x:c r="BI277" s="141" t="n">
        <x:f>BG277</x:f>
        <x:v>2306.263946610148</x:v>
      </x:c>
      <x:c r="BJ277" s="141" t="n">
        <x:f>$C277+BI277-BH277</x:f>
        <x:v>9306.263946610148</x:v>
      </x:c>
      <x:c r="BK277" s="141" t="n">
        <x:f>BN276*(1+Premissas!$B$41)+BJ277</x:f>
        <x:v>8264970.231409387</x:v>
      </x:c>
      <x:c r="BL277" s="141" t="n">
        <x:f>MAX(0,-BK277)</x:f>
        <x:v>0</x:v>
      </x:c>
      <x:c r="BM277" s="141" t="n">
        <x:f>BM276*(1+Premissas!$B$41)+BL277</x:f>
        <x:v>0</x:v>
      </x:c>
      <x:c r="BN277" s="141" t="n">
        <x:f>MAX(0,BK277)</x:f>
        <x:v>8264970.231409387</x:v>
      </x:c>
      <x:c r="BO277" s="141" t="n">
        <x:f>INDEX('Consorcio Direto'!$K$55:$K$534,$A277)</x:f>
        <x:v>0</x:v>
      </x:c>
      <x:c r="BP277" s="141" t="n">
        <x:f>IF($A277&lt;'Consorcio Direto'!$B$29,INDEX('Consorcio Direto'!$L$55:$L$534,$A277),$F277)</x:f>
        <x:v>749254.9284538754</x:v>
      </x:c>
      <x:c r="BQ277" s="141" t="n">
        <x:f>BN277+BP277-BO277</x:f>
        <x:v>9014225.159863262</x:v>
      </x:c>
      <x:c r="BR277" s="141" t="n">
        <x:f>IF(BM277&gt;1,"Inviavel",BQ277)</x:f>
        <x:v>9014225.159863262</x:v>
      </x:c>
      <x:c r="BS277" s="141" t="str">
        <x:f>IF(BM277&gt;1,"Inviavel","OK")</x:f>
        <x:v>OK</x:v>
      </x:c>
      <x:c r="BT277" s="141" t="n">
        <x:f>IF(AND('Carta Contemplada'!$B$22="Sim",$A277='Carta Contemplada'!$B$23),'Carta Contemplada'!$B$37,0)</x:f>
        <x:v>0</x:v>
      </x:c>
      <x:c r="BU277" s="141" t="n">
        <x:f>IF('Carta Contemplada'!$B$22="Sim",INDEX('Carta Contemplada'!$C$55:$C$1013,$A277),0)</x:f>
        <x:v>0</x:v>
      </x:c>
      <x:c r="BV277" s="141" t="n">
        <x:f>IF(AND('Carta Contemplada'!$B$22="Sim",Premissas!$B$11="Imovel",Premissas!$B$47="Moradia",$A277&lt;MAX('Carta Contemplada'!$B$44,Premissas!$B$49)),$D277,0)</x:f>
        <x:v>0</x:v>
      </x:c>
      <x:c r="BW277" s="141" t="n">
        <x:f>IF(AND('Carta Contemplada'!$B$22="Sim",Premissas!$B$11="Imovel",Premissas!$B$47="Investimento",$A277&gt;=MAX('Carta Contemplada'!$B$44,Premissas!$B$49)),$E277,0)</x:f>
        <x:v>2306.263946610148</x:v>
      </x:c>
      <x:c r="BX277" s="141" t="n">
        <x:f>BT277+BU277+BV277</x:f>
        <x:v>0</x:v>
      </x:c>
      <x:c r="BY277" s="141" t="n">
        <x:f>BW277</x:f>
        <x:v>2306.263946610148</x:v>
      </x:c>
      <x:c r="BZ277" s="141" t="n">
        <x:f>$C277+BY277-BX277</x:f>
        <x:v>9306.263946610148</x:v>
      </x:c>
      <x:c r="CA277" s="141" t="n">
        <x:f>CD276*(1+Premissas!$B$41)+BZ277</x:f>
        <x:v>8938178.062163644</x:v>
      </x:c>
      <x:c r="CB277" s="141" t="n">
        <x:f>MAX(0,-CA277)</x:f>
        <x:v>0</x:v>
      </x:c>
      <x:c r="CC277" s="141" t="n">
        <x:f>CC276*(1+Premissas!$B$41)+CB277</x:f>
        <x:v>0</x:v>
      </x:c>
      <x:c r="CD277" s="141" t="n">
        <x:f>MAX(0,CA277)</x:f>
        <x:v>8938178.062163644</x:v>
      </x:c>
      <x:c r="CE277" s="141" t="n">
        <x:f>IF(AND('Carta Contemplada'!$B$22="Sim",$A277&gt;='Carta Contemplada'!$B$23),INDEX('Carta Contemplada'!$I$55:$I$1013,$A277),0)</x:f>
        <x:v>0</x:v>
      </x:c>
      <x:c r="CF277" s="141" t="n">
        <x:f>IF(AND('Carta Contemplada'!$B$22="Sim",$A277&gt;='Carta Contemplada'!$B$44),$F277,0)</x:f>
        <x:v>749254.9284538754</x:v>
      </x:c>
      <x:c r="CG277" s="141" t="n">
        <x:f>CD277+CF277-CE277</x:f>
        <x:v>9687432.99061752</x:v>
      </x:c>
      <x:c r="CH277" s="141" t="n">
        <x:f>IF(CC277&gt;1,"Inviavel",CG277)</x:f>
        <x:v>9687432.99061752</x:v>
      </x:c>
      <x:c r="CI277" s="145" t="str">
        <x:f>IF(CC277&gt;1,"Inviavel","OK")</x:f>
        <x:v>OK</x:v>
      </x:c>
    </x:row>
    <x:row r="278">
      <x:c r="A278" s="142" t="n">
        <x:v>274</x:v>
      </x:c>
      <x:c r="B278" s="179" t="n">
        <x:f>EDATE(Premissas!$B$4,A278-1)</x:f>
        <x:v>54848</x:v>
      </x:c>
      <x:c r="C278" s="141" t="n">
        <x:f>IF(A278&lt;=Premissas!$B$39,Premissas!$B$42,0)</x:f>
        <x:v>7000</x:v>
      </x:c>
      <x:c r="D278" s="141" t="n">
        <x:f>Premissas!$B$54*(1+Premissas!$B$57)^INT((A278-1)/12)</x:f>
        <x:v>2522.4761916048496</x:v>
      </x:c>
      <x:c r="E278" s="141" t="n">
        <x:f>Premissas!$B$64*(1+Premissas!$B$57)^INT((A278-1)/12)</x:f>
        <x:v>2306.263946610148</x:v>
      </x:c>
      <x:c r="F278" s="141" t="n">
        <x:f>MAX(0,Premissas!$B$6*(1+Premissas!$B$66)^((A278-1)/12))</x:f>
        <x:v>752901.9647044571</x:v>
      </x:c>
      <x:c r="G278" s="141" t="n">
        <x:f>G277*(1+Premissas!$B$41)+C278</x:f>
        <x:v>10258594.958577136</x:v>
      </x:c>
      <x:c r="H278" s="141" t="n">
        <x:f>IF($A278=Premissas!$B$48,Premissas!$B$8,0)</x:f>
        <x:v>0</x:v>
      </x:c>
      <x:c r="I278" s="141" t="n">
        <x:f>IF(AND($A278&gt;=Premissas!$B$48,$A278-Premissas!$B$48+1&lt;=Premissas!$B$13),INDEX(Financiamento!$J$6:$J$485,$A278-Premissas!$B$48+1),0)</x:f>
        <x:v>1062.324785289033</x:v>
      </x:c>
      <x:c r="J278" s="141" t="n">
        <x:f>IF(AND(TRUE,Premissas!$B$11="Imovel",Premissas!$B$47="Moradia",$A278&lt;MAX(Premissas!$B$48,Premissas!$B$49)),$D278,0)</x:f>
        <x:v>0</x:v>
      </x:c>
      <x:c r="K278" s="141" t="n">
        <x:f>IF(AND(TRUE,Premissas!$B$11="Imovel",Premissas!$B$47="Investimento",$A278&gt;=MAX(Premissas!$B$48,Premissas!$B$49)),$E278,0)</x:f>
        <x:v>2306.263946610148</x:v>
      </x:c>
      <x:c r="L278" s="141" t="n">
        <x:f>H278+I278+J278</x:f>
        <x:v>1062.324785289033</x:v>
      </x:c>
      <x:c r="M278" s="141" t="n">
        <x:f>K278</x:f>
        <x:v>2306.263946610148</x:v>
      </x:c>
      <x:c r="N278" s="141" t="n">
        <x:f>$C278+M278-L278</x:f>
        <x:v>8243.939161321116</x:v>
      </x:c>
      <x:c r="O278" s="141" t="n">
        <x:f>R277*(1+Premissas!$B$41)+N278</x:f>
        <x:v>8748814.703203073</x:v>
      </x:c>
      <x:c r="P278" s="141" t="n">
        <x:f>MAX(0,-O278)</x:f>
        <x:v>0</x:v>
      </x:c>
      <x:c r="Q278" s="141" t="n">
        <x:f>Q277*(1+Premissas!$B$41)+P278</x:f>
        <x:v>0</x:v>
      </x:c>
      <x:c r="R278" s="141" t="n">
        <x:f>MAX(0,O278)</x:f>
        <x:v>8748814.703203073</x:v>
      </x:c>
      <x:c r="S278" s="141" t="n">
        <x:f>IF(AND($A278&gt;=Premissas!$B$48,$A278-Premissas!$B$48+1&lt;=Premissas!$B$13),INDEX(Financiamento!$M$6:$M$485,$A278-Premissas!$B$48+1),0)</x:f>
        <x:v>55619.047619047706</x:v>
      </x:c>
      <x:c r="T278" s="141" t="n">
        <x:f>IF($A278&gt;=Premissas!$B$48,$F278,0)</x:f>
        <x:v>752901.9647044571</x:v>
      </x:c>
      <x:c r="U278" s="141" t="n">
        <x:f>R278+T278-S278</x:f>
        <x:v>9446097.620288482</x:v>
      </x:c>
      <x:c r="V278" s="141" t="n">
        <x:f>IF(Q278&gt;1,"Inviavel",U278)</x:f>
        <x:v>9446097.620288482</x:v>
      </x:c>
      <x:c r="W278" s="141" t="str">
        <x:f>IF(Q278&gt;1,"Inviavel","OK")</x:f>
        <x:v>OK</x:v>
      </x:c>
      <x:c r="X278" s="141" t="n">
        <x:f>IF($A278=Premissas!$B$48,Premissas!$B$8,0)</x:f>
        <x:v>0</x:v>
      </x:c>
      <x:c r="Y278" s="141" t="n">
        <x:f>IF(AND($A278&gt;=Premissas!$B$48,$A278-Premissas!$B$48+1&lt;=Premissas!$B$13),INDEX(Amortizacao!$K$6:$K$485,$A278-Premissas!$B$48+1),0)</x:f>
        <x:v>0</x:v>
      </x:c>
      <x:c r="Z278" s="141" t="n">
        <x:f>IF(AND(TRUE,Premissas!$B$11="Imovel",Premissas!$B$47="Moradia",$A278&lt;MAX(Premissas!$B$48,Premissas!$B$49)),$D278,0)</x:f>
        <x:v>0</x:v>
      </x:c>
      <x:c r="AA278" s="141" t="n">
        <x:f>IF(AND(TRUE,Premissas!$B$11="Imovel",Premissas!$B$47="Investimento",$A278&gt;=MAX(Premissas!$B$48,Premissas!$B$49)),$E278,0)</x:f>
        <x:v>2306.263946610148</x:v>
      </x:c>
      <x:c r="AB278" s="141" t="n">
        <x:f>X278+Y278+Z278</x:f>
        <x:v>0</x:v>
      </x:c>
      <x:c r="AC278" s="141" t="n">
        <x:f>AA278</x:f>
        <x:v>2306.263946610148</x:v>
      </x:c>
      <x:c r="AD278" s="141" t="n">
        <x:f>$C278+AC278-AB278</x:f>
        <x:v>9306.263946610148</x:v>
      </x:c>
      <x:c r="AE278" s="141" t="n">
        <x:f>AH277*(1+Premissas!$B$41)+AD278</x:f>
        <x:v>8840298.850786429</x:v>
      </x:c>
      <x:c r="AF278" s="141" t="n">
        <x:f>MAX(0,-AE278)</x:f>
        <x:v>0</x:v>
      </x:c>
      <x:c r="AG278" s="141" t="n">
        <x:f>AG277*(1+Premissas!$B$41)+AF278</x:f>
        <x:v>0</x:v>
      </x:c>
      <x:c r="AH278" s="141" t="n">
        <x:f>MAX(0,AE278)</x:f>
        <x:v>8840298.850786429</x:v>
      </x:c>
      <x:c r="AI278" s="141" t="n">
        <x:f>IF(AND($A278&gt;=Premissas!$B$48,$A278-Premissas!$B$48+1&lt;=Premissas!$B$13),INDEX(Amortizacao!$L$6:$L$485,$A278-Premissas!$B$48+1),0)</x:f>
        <x:v>0</x:v>
      </x:c>
      <x:c r="AJ278" s="141" t="n">
        <x:f>IF($A278&gt;=Premissas!$B$48,$F278,0)</x:f>
        <x:v>752901.9647044571</x:v>
      </x:c>
      <x:c r="AK278" s="141" t="n">
        <x:f>AH278+AJ278-AI278</x:f>
        <x:v>9593200.815490887</x:v>
      </x:c>
      <x:c r="AL278" s="141" t="n">
        <x:f>IF(AG278&gt;1,"Inviavel",AK278)</x:f>
        <x:v>9593200.815490887</x:v>
      </x:c>
      <x:c r="AM278" s="141" t="str">
        <x:f>IF(AG278&gt;1,"Inviavel","OK")</x:f>
        <x:v>OK</x:v>
      </x:c>
      <x:c r="AN278" s="141" t="n">
        <x:f>IF($A278=Premissas!$B$48,Premissas!$B$8,0)</x:f>
        <x:v>0</x:v>
      </x:c>
      <x:c r="AO278" s="141" t="n">
        <x:f>IF($A278&lt;=Premissas!$B$25,INDEX('Consorcio IQ'!$K$6:$K$485,$A278),0)</x:f>
        <x:v>0</x:v>
      </x:c>
      <x:c r="AP278" s="141" t="n">
        <x:f>IF(AND(TRUE,Premissas!$B$11="Imovel",Premissas!$B$47="Moradia",$A278&lt;MAX(Premissas!$B$48,Premissas!$B$49)),$D278,0)</x:f>
        <x:v>0</x:v>
      </x:c>
      <x:c r="AQ278" s="141" t="n">
        <x:f>IF(AND(TRUE,Premissas!$B$11="Imovel",Premissas!$B$47="Investimento",$A278&gt;=MAX(Premissas!$B$48,Premissas!$B$49)),$E278,0)</x:f>
        <x:v>2306.263946610148</x:v>
      </x:c>
      <x:c r="AR278" s="141" t="n">
        <x:f>AN278+AO278+AP278</x:f>
        <x:v>0</x:v>
      </x:c>
      <x:c r="AS278" s="141" t="n">
        <x:f>AQ278</x:f>
        <x:v>2306.263946610148</x:v>
      </x:c>
      <x:c r="AT278" s="141" t="n">
        <x:f>$C278+AS278-AR278</x:f>
        <x:v>9306.263946610148</x:v>
      </x:c>
      <x:c r="AU278" s="141" t="n">
        <x:f>AX277*(1+Premissas!$B$41)+AT278</x:f>
        <x:v>8764163.916424632</x:v>
      </x:c>
      <x:c r="AV278" s="141" t="n">
        <x:f>MAX(0,-AU278)</x:f>
        <x:v>0</x:v>
      </x:c>
      <x:c r="AW278" s="141" t="n">
        <x:f>AW277*(1+Premissas!$B$41)+AV278</x:f>
        <x:v>0</x:v>
      </x:c>
      <x:c r="AX278" s="141" t="n">
        <x:f>MAX(0,AU278)</x:f>
        <x:v>8764163.916424632</x:v>
      </x:c>
      <x:c r="AY278" s="141" t="n">
        <x:f>INDEX('Consorcio IQ'!$P$6:$P$485,$A278)</x:f>
        <x:v>0</x:v>
      </x:c>
      <x:c r="AZ278" s="141" t="n">
        <x:f>IF($A278&gt;=Premissas!$B$48,$F278,0)+IF($A278&lt;Premissas!$B$27,INDEX('Consorcio IQ'!$O$6:$O$485,$A278),0)</x:f>
        <x:v>752901.9647044571</x:v>
      </x:c>
      <x:c r="BA278" s="141" t="n">
        <x:f>AX278+AZ278-AY278</x:f>
        <x:v>9517065.88112909</x:v>
      </x:c>
      <x:c r="BB278" s="141" t="n">
        <x:f>IF(AW278&gt;1,"Inviavel",BA278)</x:f>
        <x:v>9517065.88112909</x:v>
      </x:c>
      <x:c r="BC278" s="141" t="str">
        <x:f>IF(AW278&gt;1,"Inviavel","OK")</x:f>
        <x:v>OK</x:v>
      </x:c>
      <x:c r="BD278" s="141" t="n">
        <x:f>IF($A278='Consorcio Direto'!$B$29,'Consorcio Direto'!$B$44,0)</x:f>
        <x:v>0</x:v>
      </x:c>
      <x:c r="BE278" s="141" t="n">
        <x:f>IF($A278&lt;='Consorcio Direto'!$B$27,INDEX('Consorcio Direto'!$E$55:$E$534,$A278),0)</x:f>
        <x:v>0</x:v>
      </x:c>
      <x:c r="BF278" s="141" t="n">
        <x:f>IF(AND(TRUE,Premissas!$B$11="Imovel",Premissas!$B$47="Moradia",$A278&lt;MAX('Consorcio Direto'!$B$29,Premissas!$B$49)),$D278,0)</x:f>
        <x:v>0</x:v>
      </x:c>
      <x:c r="BG278" s="141" t="n">
        <x:f>IF(AND(TRUE,Premissas!$B$11="Imovel",Premissas!$B$47="Investimento",$A278&gt;=MAX('Consorcio Direto'!$B$29,Premissas!$B$49)),$E278,0)</x:f>
        <x:v>2306.263946610148</x:v>
      </x:c>
      <x:c r="BH278" s="141" t="n">
        <x:f>BD278+BE278+BF278</x:f>
        <x:v>0</x:v>
      </x:c>
      <x:c r="BI278" s="141" t="n">
        <x:f>BG278</x:f>
        <x:v>2306.263946610148</x:v>
      </x:c>
      <x:c r="BJ278" s="141" t="n">
        <x:f>$C278+BI278-BH278</x:f>
        <x:v>9306.263946610148</x:v>
      </x:c>
      <x:c r="BK278" s="141" t="n">
        <x:f>BN277*(1+Premissas!$B$41)+BJ278</x:f>
        <x:v>8352701.086492334</x:v>
      </x:c>
      <x:c r="BL278" s="141" t="n">
        <x:f>MAX(0,-BK278)</x:f>
        <x:v>0</x:v>
      </x:c>
      <x:c r="BM278" s="141" t="n">
        <x:f>BM277*(1+Premissas!$B$41)+BL278</x:f>
        <x:v>0</x:v>
      </x:c>
      <x:c r="BN278" s="141" t="n">
        <x:f>MAX(0,BK278)</x:f>
        <x:v>8352701.086492334</x:v>
      </x:c>
      <x:c r="BO278" s="141" t="n">
        <x:f>INDEX('Consorcio Direto'!$K$55:$K$534,$A278)</x:f>
        <x:v>0</x:v>
      </x:c>
      <x:c r="BP278" s="141" t="n">
        <x:f>IF($A278&lt;'Consorcio Direto'!$B$29,INDEX('Consorcio Direto'!$L$55:$L$534,$A278),$F278)</x:f>
        <x:v>752901.9647044571</x:v>
      </x:c>
      <x:c r="BQ278" s="141" t="n">
        <x:f>BN278+BP278-BO278</x:f>
        <x:v>9105603.051196791</x:v>
      </x:c>
      <x:c r="BR278" s="141" t="n">
        <x:f>IF(BM278&gt;1,"Inviavel",BQ278)</x:f>
        <x:v>9105603.051196791</x:v>
      </x:c>
      <x:c r="BS278" s="141" t="str">
        <x:f>IF(BM278&gt;1,"Inviavel","OK")</x:f>
        <x:v>OK</x:v>
      </x:c>
      <x:c r="BT278" s="141" t="n">
        <x:f>IF(AND('Carta Contemplada'!$B$22="Sim",$A278='Carta Contemplada'!$B$23),'Carta Contemplada'!$B$37,0)</x:f>
        <x:v>0</x:v>
      </x:c>
      <x:c r="BU278" s="141" t="n">
        <x:f>IF('Carta Contemplada'!$B$22="Sim",INDEX('Carta Contemplada'!$C$55:$C$1013,$A278),0)</x:f>
        <x:v>0</x:v>
      </x:c>
      <x:c r="BV278" s="141" t="n">
        <x:f>IF(AND('Carta Contemplada'!$B$22="Sim",Premissas!$B$11="Imovel",Premissas!$B$47="Moradia",$A278&lt;MAX('Carta Contemplada'!$B$44,Premissas!$B$49)),$D278,0)</x:f>
        <x:v>0</x:v>
      </x:c>
      <x:c r="BW278" s="141" t="n">
        <x:f>IF(AND('Carta Contemplada'!$B$22="Sim",Premissas!$B$11="Imovel",Premissas!$B$47="Investimento",$A278&gt;=MAX('Carta Contemplada'!$B$44,Premissas!$B$49)),$E278,0)</x:f>
        <x:v>2306.263946610148</x:v>
      </x:c>
      <x:c r="BX278" s="141" t="n">
        <x:f>BT278+BU278+BV278</x:f>
        <x:v>0</x:v>
      </x:c>
      <x:c r="BY278" s="141" t="n">
        <x:f>BW278</x:f>
        <x:v>2306.263946610148</x:v>
      </x:c>
      <x:c r="BZ278" s="141" t="n">
        <x:f>$C278+BY278-BX278</x:f>
        <x:v>9306.263946610148</x:v>
      </x:c>
      <x:c r="CA278" s="141" t="n">
        <x:f>CD277*(1+Premissas!$B$41)+BZ278</x:f>
        <x:v>9032296.846954556</x:v>
      </x:c>
      <x:c r="CB278" s="141" t="n">
        <x:f>MAX(0,-CA278)</x:f>
        <x:v>0</x:v>
      </x:c>
      <x:c r="CC278" s="141" t="n">
        <x:f>CC277*(1+Premissas!$B$41)+CB278</x:f>
        <x:v>0</x:v>
      </x:c>
      <x:c r="CD278" s="141" t="n">
        <x:f>MAX(0,CA278)</x:f>
        <x:v>9032296.846954556</x:v>
      </x:c>
      <x:c r="CE278" s="141" t="n">
        <x:f>IF(AND('Carta Contemplada'!$B$22="Sim",$A278&gt;='Carta Contemplada'!$B$23),INDEX('Carta Contemplada'!$I$55:$I$1013,$A278),0)</x:f>
        <x:v>0</x:v>
      </x:c>
      <x:c r="CF278" s="141" t="n">
        <x:f>IF(AND('Carta Contemplada'!$B$22="Sim",$A278&gt;='Carta Contemplada'!$B$44),$F278,0)</x:f>
        <x:v>752901.9647044571</x:v>
      </x:c>
      <x:c r="CG278" s="141" t="n">
        <x:f>CD278+CF278-CE278</x:f>
        <x:v>9785198.811659014</x:v>
      </x:c>
      <x:c r="CH278" s="141" t="n">
        <x:f>IF(CC278&gt;1,"Inviavel",CG278)</x:f>
        <x:v>9785198.811659014</x:v>
      </x:c>
      <x:c r="CI278" s="145" t="str">
        <x:f>IF(CC278&gt;1,"Inviavel","OK")</x:f>
        <x:v>OK</x:v>
      </x:c>
    </x:row>
    <x:row r="279">
      <x:c r="A279" s="142" t="n">
        <x:v>275</x:v>
      </x:c>
      <x:c r="B279" s="179" t="n">
        <x:f>EDATE(Premissas!$B$4,A279-1)</x:f>
        <x:v>54879</x:v>
      </x:c>
      <x:c r="C279" s="141" t="n">
        <x:f>IF(A279&lt;=Premissas!$B$39,Premissas!$B$42,0)</x:f>
        <x:v>7000</x:v>
      </x:c>
      <x:c r="D279" s="141" t="n">
        <x:f>Premissas!$B$54*(1+Premissas!$B$57)^INT((A279-1)/12)</x:f>
        <x:v>2522.4761916048496</x:v>
      </x:c>
      <x:c r="E279" s="141" t="n">
        <x:f>Premissas!$B$64*(1+Premissas!$B$57)^INT((A279-1)/12)</x:f>
        <x:v>2306.263946610148</x:v>
      </x:c>
      <x:c r="F279" s="141" t="n">
        <x:f>MAX(0,Premissas!$B$6*(1+Premissas!$B$66)^((A279-1)/12))</x:f>
        <x:v>756566.7530884021</x:v>
      </x:c>
      <x:c r="G279" s="141" t="n">
        <x:f>G278*(1+Premissas!$B$41)+C279</x:f>
        <x:v>10362936.641938832</x:v>
      </x:c>
      <x:c r="H279" s="141" t="n">
        <x:f>IF($A279=Premissas!$B$48,Premissas!$B$8,0)</x:f>
        <x:v>0</x:v>
      </x:c>
      <x:c r="I279" s="141" t="n">
        <x:f>IF(AND($A279&gt;=Premissas!$B$48,$A279-Premissas!$B$48+1&lt;=Premissas!$B$13),INDEX(Financiamento!$J$6:$J$485,$A279-Premissas!$B$48+1),0)</x:f>
        <x:v>1058.7100070282395</x:v>
      </x:c>
      <x:c r="J279" s="141" t="n">
        <x:f>IF(AND(TRUE,Premissas!$B$11="Imovel",Premissas!$B$47="Moradia",$A279&lt;MAX(Premissas!$B$48,Premissas!$B$49)),$D279,0)</x:f>
        <x:v>0</x:v>
      </x:c>
      <x:c r="K279" s="141" t="n">
        <x:f>IF(AND(TRUE,Premissas!$B$11="Imovel",Premissas!$B$47="Investimento",$A279&gt;=MAX(Premissas!$B$48,Premissas!$B$49)),$E279,0)</x:f>
        <x:v>2306.263946610148</x:v>
      </x:c>
      <x:c r="L279" s="141" t="n">
        <x:f>H279+I279+J279</x:f>
        <x:v>1058.7100070282395</x:v>
      </x:c>
      <x:c r="M279" s="141" t="n">
        <x:f>K279</x:f>
        <x:v>2306.263946610148</x:v>
      </x:c>
      <x:c r="N279" s="141" t="n">
        <x:f>$C279+M279-L279</x:f>
        <x:v>8247.553939581909</x:v>
      </x:c>
      <x:c r="O279" s="141" t="n">
        <x:f>R278*(1+Premissas!$B$41)+N279</x:f>
        <x:v>8840077.948284386</x:v>
      </x:c>
      <x:c r="P279" s="141" t="n">
        <x:f>MAX(0,-O279)</x:f>
        <x:v>0</x:v>
      </x:c>
      <x:c r="Q279" s="141" t="n">
        <x:f>Q278*(1+Premissas!$B$41)+P279</x:f>
        <x:v>0</x:v>
      </x:c>
      <x:c r="R279" s="141" t="n">
        <x:f>MAX(0,O279)</x:f>
        <x:v>8840077.948284386</x:v>
      </x:c>
      <x:c r="S279" s="141" t="n">
        <x:f>IF(AND($A279&gt;=Premissas!$B$48,$A279-Premissas!$B$48+1&lt;=Premissas!$B$13),INDEX(Financiamento!$M$6:$M$485,$A279-Premissas!$B$48+1),0)</x:f>
        <x:v>55238.095238095324</x:v>
      </x:c>
      <x:c r="T279" s="141" t="n">
        <x:f>IF($A279&gt;=Premissas!$B$48,$F279,0)</x:f>
        <x:v>756566.7530884021</x:v>
      </x:c>
      <x:c r="U279" s="141" t="n">
        <x:f>R279+T279-S279</x:f>
        <x:v>9541406.606134692</x:v>
      </x:c>
      <x:c r="V279" s="141" t="n">
        <x:f>IF(Q279&gt;1,"Inviavel",U279)</x:f>
        <x:v>9541406.606134692</x:v>
      </x:c>
      <x:c r="W279" s="141" t="str">
        <x:f>IF(Q279&gt;1,"Inviavel","OK")</x:f>
        <x:v>OK</x:v>
      </x:c>
      <x:c r="X279" s="141" t="n">
        <x:f>IF($A279=Premissas!$B$48,Premissas!$B$8,0)</x:f>
        <x:v>0</x:v>
      </x:c>
      <x:c r="Y279" s="141" t="n">
        <x:f>IF(AND($A279&gt;=Premissas!$B$48,$A279-Premissas!$B$48+1&lt;=Premissas!$B$13),INDEX(Amortizacao!$K$6:$K$485,$A279-Premissas!$B$48+1),0)</x:f>
        <x:v>0</x:v>
      </x:c>
      <x:c r="Z279" s="141" t="n">
        <x:f>IF(AND(TRUE,Premissas!$B$11="Imovel",Premissas!$B$47="Moradia",$A279&lt;MAX(Premissas!$B$48,Premissas!$B$49)),$D279,0)</x:f>
        <x:v>0</x:v>
      </x:c>
      <x:c r="AA279" s="141" t="n">
        <x:f>IF(AND(TRUE,Premissas!$B$11="Imovel",Premissas!$B$47="Investimento",$A279&gt;=MAX(Premissas!$B$48,Premissas!$B$49)),$E279,0)</x:f>
        <x:v>2306.263946610148</x:v>
      </x:c>
      <x:c r="AB279" s="141" t="n">
        <x:f>X279+Y279+Z279</x:f>
        <x:v>0</x:v>
      </x:c>
      <x:c r="AC279" s="141" t="n">
        <x:f>AA279</x:f>
        <x:v>2306.263946610148</x:v>
      </x:c>
      <x:c r="AD279" s="141" t="n">
        <x:f>$C279+AC279-AB279</x:f>
        <x:v>9306.263946610148</x:v>
      </x:c>
      <x:c r="AE279" s="141" t="n">
        <x:f>AH278*(1+Premissas!$B$41)+AD279</x:f>
        <x:v>8933488.880007984</x:v>
      </x:c>
      <x:c r="AF279" s="141" t="n">
        <x:f>MAX(0,-AE279)</x:f>
        <x:v>0</x:v>
      </x:c>
      <x:c r="AG279" s="141" t="n">
        <x:f>AG278*(1+Premissas!$B$41)+AF279</x:f>
        <x:v>0</x:v>
      </x:c>
      <x:c r="AH279" s="141" t="n">
        <x:f>MAX(0,AE279)</x:f>
        <x:v>8933488.880007984</x:v>
      </x:c>
      <x:c r="AI279" s="141" t="n">
        <x:f>IF(AND($A279&gt;=Premissas!$B$48,$A279-Premissas!$B$48+1&lt;=Premissas!$B$13),INDEX(Amortizacao!$L$6:$L$485,$A279-Premissas!$B$48+1),0)</x:f>
        <x:v>0</x:v>
      </x:c>
      <x:c r="AJ279" s="141" t="n">
        <x:f>IF($A279&gt;=Premissas!$B$48,$F279,0)</x:f>
        <x:v>756566.7530884021</x:v>
      </x:c>
      <x:c r="AK279" s="141" t="n">
        <x:f>AH279+AJ279-AI279</x:f>
        <x:v>9690055.633096386</x:v>
      </x:c>
      <x:c r="AL279" s="141" t="n">
        <x:f>IF(AG279&gt;1,"Inviavel",AK279)</x:f>
        <x:v>9690055.633096386</x:v>
      </x:c>
      <x:c r="AM279" s="141" t="str">
        <x:f>IF(AG279&gt;1,"Inviavel","OK")</x:f>
        <x:v>OK</x:v>
      </x:c>
      <x:c r="AN279" s="141" t="n">
        <x:f>IF($A279=Premissas!$B$48,Premissas!$B$8,0)</x:f>
        <x:v>0</x:v>
      </x:c>
      <x:c r="AO279" s="141" t="n">
        <x:f>IF($A279&lt;=Premissas!$B$25,INDEX('Consorcio IQ'!$K$6:$K$485,$A279),0)</x:f>
        <x:v>0</x:v>
      </x:c>
      <x:c r="AP279" s="141" t="n">
        <x:f>IF(AND(TRUE,Premissas!$B$11="Imovel",Premissas!$B$47="Moradia",$A279&lt;MAX(Premissas!$B$48,Premissas!$B$49)),$D279,0)</x:f>
        <x:v>0</x:v>
      </x:c>
      <x:c r="AQ279" s="141" t="n">
        <x:f>IF(AND(TRUE,Premissas!$B$11="Imovel",Premissas!$B$47="Investimento",$A279&gt;=MAX(Premissas!$B$48,Premissas!$B$49)),$E279,0)</x:f>
        <x:v>2306.263946610148</x:v>
      </x:c>
      <x:c r="AR279" s="141" t="n">
        <x:f>AN279+AO279+AP279</x:f>
        <x:v>0</x:v>
      </x:c>
      <x:c r="AS279" s="141" t="n">
        <x:f>AQ279</x:f>
        <x:v>2306.263946610148</x:v>
      </x:c>
      <x:c r="AT279" s="141" t="n">
        <x:f>$C279+AS279-AR279</x:f>
        <x:v>9306.263946610148</x:v>
      </x:c>
      <x:c r="AU279" s="141" t="n">
        <x:f>AX278*(1+Premissas!$B$41)+AT279</x:f>
        <x:v>8856631.517018938</x:v>
      </x:c>
      <x:c r="AV279" s="141" t="n">
        <x:f>MAX(0,-AU279)</x:f>
        <x:v>0</x:v>
      </x:c>
      <x:c r="AW279" s="141" t="n">
        <x:f>AW278*(1+Premissas!$B$41)+AV279</x:f>
        <x:v>0</x:v>
      </x:c>
      <x:c r="AX279" s="141" t="n">
        <x:f>MAX(0,AU279)</x:f>
        <x:v>8856631.517018938</x:v>
      </x:c>
      <x:c r="AY279" s="141" t="n">
        <x:f>INDEX('Consorcio IQ'!$P$6:$P$485,$A279)</x:f>
        <x:v>0</x:v>
      </x:c>
      <x:c r="AZ279" s="141" t="n">
        <x:f>IF($A279&gt;=Premissas!$B$48,$F279,0)+IF($A279&lt;Premissas!$B$27,INDEX('Consorcio IQ'!$O$6:$O$485,$A279),0)</x:f>
        <x:v>756566.7530884021</x:v>
      </x:c>
      <x:c r="BA279" s="141" t="n">
        <x:f>AX279+AZ279-AY279</x:f>
        <x:v>9613198.27010734</x:v>
      </x:c>
      <x:c r="BB279" s="141" t="n">
        <x:f>IF(AW279&gt;1,"Inviavel",BA279)</x:f>
        <x:v>9613198.27010734</x:v>
      </x:c>
      <x:c r="BC279" s="141" t="str">
        <x:f>IF(AW279&gt;1,"Inviavel","OK")</x:f>
        <x:v>OK</x:v>
      </x:c>
      <x:c r="BD279" s="141" t="n">
        <x:f>IF($A279='Consorcio Direto'!$B$29,'Consorcio Direto'!$B$44,0)</x:f>
        <x:v>0</x:v>
      </x:c>
      <x:c r="BE279" s="141" t="n">
        <x:f>IF($A279&lt;='Consorcio Direto'!$B$27,INDEX('Consorcio Direto'!$E$55:$E$534,$A279),0)</x:f>
        <x:v>0</x:v>
      </x:c>
      <x:c r="BF279" s="141" t="n">
        <x:f>IF(AND(TRUE,Premissas!$B$11="Imovel",Premissas!$B$47="Moradia",$A279&lt;MAX('Consorcio Direto'!$B$29,Premissas!$B$49)),$D279,0)</x:f>
        <x:v>0</x:v>
      </x:c>
      <x:c r="BG279" s="141" t="n">
        <x:f>IF(AND(TRUE,Premissas!$B$11="Imovel",Premissas!$B$47="Investimento",$A279&gt;=MAX('Consorcio Direto'!$B$29,Premissas!$B$49)),$E279,0)</x:f>
        <x:v>2306.263946610148</x:v>
      </x:c>
      <x:c r="BH279" s="141" t="n">
        <x:f>BD279+BE279+BF279</x:f>
        <x:v>0</x:v>
      </x:c>
      <x:c r="BI279" s="141" t="n">
        <x:f>BG279</x:f>
        <x:v>2306.263946610148</x:v>
      </x:c>
      <x:c r="BJ279" s="141" t="n">
        <x:f>$C279+BI279-BH279</x:f>
        <x:v>9306.263946610148</x:v>
      </x:c>
      <x:c r="BK279" s="141" t="n">
        <x:f>BN278*(1+Premissas!$B$41)+BJ279</x:f>
        <x:v>8441264.401493136</x:v>
      </x:c>
      <x:c r="BL279" s="141" t="n">
        <x:f>MAX(0,-BK279)</x:f>
        <x:v>0</x:v>
      </x:c>
      <x:c r="BM279" s="141" t="n">
        <x:f>BM278*(1+Premissas!$B$41)+BL279</x:f>
        <x:v>0</x:v>
      </x:c>
      <x:c r="BN279" s="141" t="n">
        <x:f>MAX(0,BK279)</x:f>
        <x:v>8441264.401493136</x:v>
      </x:c>
      <x:c r="BO279" s="141" t="n">
        <x:f>INDEX('Consorcio Direto'!$K$55:$K$534,$A279)</x:f>
        <x:v>0</x:v>
      </x:c>
      <x:c r="BP279" s="141" t="n">
        <x:f>IF($A279&lt;'Consorcio Direto'!$B$29,INDEX('Consorcio Direto'!$L$55:$L$534,$A279),$F279)</x:f>
        <x:v>756566.7530884021</x:v>
      </x:c>
      <x:c r="BQ279" s="141" t="n">
        <x:f>BN279+BP279-BO279</x:f>
        <x:v>9197831.154581537</x:v>
      </x:c>
      <x:c r="BR279" s="141" t="n">
        <x:f>IF(BM279&gt;1,"Inviavel",BQ279)</x:f>
        <x:v>9197831.154581537</x:v>
      </x:c>
      <x:c r="BS279" s="141" t="str">
        <x:f>IF(BM279&gt;1,"Inviavel","OK")</x:f>
        <x:v>OK</x:v>
      </x:c>
      <x:c r="BT279" s="141" t="n">
        <x:f>IF(AND('Carta Contemplada'!$B$22="Sim",$A279='Carta Contemplada'!$B$23),'Carta Contemplada'!$B$37,0)</x:f>
        <x:v>0</x:v>
      </x:c>
      <x:c r="BU279" s="141" t="n">
        <x:f>IF('Carta Contemplada'!$B$22="Sim",INDEX('Carta Contemplada'!$C$55:$C$1013,$A279),0)</x:f>
        <x:v>0</x:v>
      </x:c>
      <x:c r="BV279" s="141" t="n">
        <x:f>IF(AND('Carta Contemplada'!$B$22="Sim",Premissas!$B$11="Imovel",Premissas!$B$47="Moradia",$A279&lt;MAX('Carta Contemplada'!$B$44,Premissas!$B$49)),$D279,0)</x:f>
        <x:v>0</x:v>
      </x:c>
      <x:c r="BW279" s="141" t="n">
        <x:f>IF(AND('Carta Contemplada'!$B$22="Sim",Premissas!$B$11="Imovel",Premissas!$B$47="Investimento",$A279&gt;=MAX('Carta Contemplada'!$B$44,Premissas!$B$49)),$E279,0)</x:f>
        <x:v>2306.263946610148</x:v>
      </x:c>
      <x:c r="BX279" s="141" t="n">
        <x:f>BT279+BU279+BV279</x:f>
        <x:v>0</x:v>
      </x:c>
      <x:c r="BY279" s="141" t="n">
        <x:f>BW279</x:f>
        <x:v>2306.263946610148</x:v>
      </x:c>
      <x:c r="BZ279" s="141" t="n">
        <x:f>$C279+BY279-BX279</x:f>
        <x:v>9306.263946610148</x:v>
      </x:c>
      <x:c r="CA279" s="141" t="n">
        <x:f>CD278*(1+Premissas!$B$41)+BZ279</x:f>
        <x:v>9127308.705405604</x:v>
      </x:c>
      <x:c r="CB279" s="141" t="n">
        <x:f>MAX(0,-CA279)</x:f>
        <x:v>0</x:v>
      </x:c>
      <x:c r="CC279" s="141" t="n">
        <x:f>CC278*(1+Premissas!$B$41)+CB279</x:f>
        <x:v>0</x:v>
      </x:c>
      <x:c r="CD279" s="141" t="n">
        <x:f>MAX(0,CA279)</x:f>
        <x:v>9127308.705405604</x:v>
      </x:c>
      <x:c r="CE279" s="141" t="n">
        <x:f>IF(AND('Carta Contemplada'!$B$22="Sim",$A279&gt;='Carta Contemplada'!$B$23),INDEX('Carta Contemplada'!$I$55:$I$1013,$A279),0)</x:f>
        <x:v>0</x:v>
      </x:c>
      <x:c r="CF279" s="141" t="n">
        <x:f>IF(AND('Carta Contemplada'!$B$22="Sim",$A279&gt;='Carta Contemplada'!$B$44),$F279,0)</x:f>
        <x:v>756566.7530884021</x:v>
      </x:c>
      <x:c r="CG279" s="141" t="n">
        <x:f>CD279+CF279-CE279</x:f>
        <x:v>9883875.458494006</x:v>
      </x:c>
      <x:c r="CH279" s="141" t="n">
        <x:f>IF(CC279&gt;1,"Inviavel",CG279)</x:f>
        <x:v>9883875.458494006</x:v>
      </x:c>
      <x:c r="CI279" s="145" t="str">
        <x:f>IF(CC279&gt;1,"Inviavel","OK")</x:f>
        <x:v>OK</x:v>
      </x:c>
    </x:row>
    <x:row r="280">
      <x:c r="A280" s="142" t="n">
        <x:v>276</x:v>
      </x:c>
      <x:c r="B280" s="179" t="n">
        <x:f>EDATE(Premissas!$B$4,A280-1)</x:f>
        <x:v>54909</x:v>
      </x:c>
      <x:c r="C280" s="141" t="n">
        <x:f>IF(A280&lt;=Premissas!$B$39,Premissas!$B$42,0)</x:f>
        <x:v>7000</x:v>
      </x:c>
      <x:c r="D280" s="141" t="n">
        <x:f>Premissas!$B$54*(1+Premissas!$B$57)^INT((A280-1)/12)</x:f>
        <x:v>2522.4761916048496</x:v>
      </x:c>
      <x:c r="E280" s="141" t="n">
        <x:f>Premissas!$B$64*(1+Premissas!$B$57)^INT((A280-1)/12)</x:f>
        <x:v>2306.263946610148</x:v>
      </x:c>
      <x:c r="F280" s="141" t="n">
        <x:f>MAX(0,Premissas!$B$6*(1+Premissas!$B$66)^((A280-1)/12))</x:f>
        <x:v>760249.3800151173</x:v>
      </x:c>
      <x:c r="G280" s="141" t="n">
        <x:f>G279*(1+Premissas!$B$41)+C280</x:f>
        <x:v>10468268.401928393</x:v>
      </x:c>
      <x:c r="H280" s="141" t="n">
        <x:f>IF($A280=Premissas!$B$48,Premissas!$B$8,0)</x:f>
        <x:v>0</x:v>
      </x:c>
      <x:c r="I280" s="141" t="n">
        <x:f>IF(AND($A280&gt;=Premissas!$B$48,$A280-Premissas!$B$48+1&lt;=Premissas!$B$13),INDEX(Financiamento!$J$6:$J$485,$A280-Premissas!$B$48+1),0)</x:f>
        <x:v>1055.0952287674459</x:v>
      </x:c>
      <x:c r="J280" s="141" t="n">
        <x:f>IF(AND(TRUE,Premissas!$B$11="Imovel",Premissas!$B$47="Moradia",$A280&lt;MAX(Premissas!$B$48,Premissas!$B$49)),$D280,0)</x:f>
        <x:v>0</x:v>
      </x:c>
      <x:c r="K280" s="141" t="n">
        <x:f>IF(AND(TRUE,Premissas!$B$11="Imovel",Premissas!$B$47="Investimento",$A280&gt;=MAX(Premissas!$B$48,Premissas!$B$49)),$E280,0)</x:f>
        <x:v>2306.263946610148</x:v>
      </x:c>
      <x:c r="L280" s="141" t="n">
        <x:f>H280+I280+J280</x:f>
        <x:v>1055.0952287674459</x:v>
      </x:c>
      <x:c r="M280" s="141" t="n">
        <x:f>K280</x:f>
        <x:v>2306.263946610148</x:v>
      </x:c>
      <x:c r="N280" s="141" t="n">
        <x:f>$C280+M280-L280</x:f>
        <x:v>8251.168717842702</x:v>
      </x:c>
      <x:c r="O280" s="141" t="n">
        <x:f>R279*(1+Premissas!$B$41)+N280</x:f>
        <x:v>8932210.786179073</x:v>
      </x:c>
      <x:c r="P280" s="141" t="n">
        <x:f>MAX(0,-O280)</x:f>
        <x:v>0</x:v>
      </x:c>
      <x:c r="Q280" s="141" t="n">
        <x:f>Q279*(1+Premissas!$B$41)+P280</x:f>
        <x:v>0</x:v>
      </x:c>
      <x:c r="R280" s="141" t="n">
        <x:f>MAX(0,O280)</x:f>
        <x:v>8932210.786179073</x:v>
      </x:c>
      <x:c r="S280" s="141" t="n">
        <x:f>IF(AND($A280&gt;=Premissas!$B$48,$A280-Premissas!$B$48+1&lt;=Premissas!$B$13),INDEX(Financiamento!$M$6:$M$485,$A280-Premissas!$B$48+1),0)</x:f>
        <x:v>54857.14285714294</x:v>
      </x:c>
      <x:c r="T280" s="141" t="n">
        <x:f>IF($A280&gt;=Premissas!$B$48,$F280,0)</x:f>
        <x:v>760249.3800151173</x:v>
      </x:c>
      <x:c r="U280" s="141" t="n">
        <x:f>R280+T280-S280</x:f>
        <x:v>9637603.023337048</x:v>
      </x:c>
      <x:c r="V280" s="141" t="n">
        <x:f>IF(Q280&gt;1,"Inviavel",U280)</x:f>
        <x:v>9637603.023337048</x:v>
      </x:c>
      <x:c r="W280" s="141" t="str">
        <x:f>IF(Q280&gt;1,"Inviavel","OK")</x:f>
        <x:v>OK</x:v>
      </x:c>
      <x:c r="X280" s="141" t="n">
        <x:f>IF($A280=Premissas!$B$48,Premissas!$B$8,0)</x:f>
        <x:v>0</x:v>
      </x:c>
      <x:c r="Y280" s="141" t="n">
        <x:f>IF(AND($A280&gt;=Premissas!$B$48,$A280-Premissas!$B$48+1&lt;=Premissas!$B$13),INDEX(Amortizacao!$K$6:$K$485,$A280-Premissas!$B$48+1),0)</x:f>
        <x:v>0</x:v>
      </x:c>
      <x:c r="Z280" s="141" t="n">
        <x:f>IF(AND(TRUE,Premissas!$B$11="Imovel",Premissas!$B$47="Moradia",$A280&lt;MAX(Premissas!$B$48,Premissas!$B$49)),$D280,0)</x:f>
        <x:v>0</x:v>
      </x:c>
      <x:c r="AA280" s="141" t="n">
        <x:f>IF(AND(TRUE,Premissas!$B$11="Imovel",Premissas!$B$47="Investimento",$A280&gt;=MAX(Premissas!$B$48,Premissas!$B$49)),$E280,0)</x:f>
        <x:v>2306.263946610148</x:v>
      </x:c>
      <x:c r="AB280" s="141" t="n">
        <x:f>X280+Y280+Z280</x:f>
        <x:v>0</x:v>
      </x:c>
      <x:c r="AC280" s="141" t="n">
        <x:f>AA280</x:f>
        <x:v>2306.263946610148</x:v>
      </x:c>
      <x:c r="AD280" s="141" t="n">
        <x:f>$C280+AC280-AB280</x:f>
        <x:v>9306.263946610148</x:v>
      </x:c>
      <x:c r="AE280" s="141" t="n">
        <x:f>AH279*(1+Premissas!$B$41)+AD280</x:f>
        <x:v>9027563.17012039</x:v>
      </x:c>
      <x:c r="AF280" s="141" t="n">
        <x:f>MAX(0,-AE280)</x:f>
        <x:v>0</x:v>
      </x:c>
      <x:c r="AG280" s="141" t="n">
        <x:f>AG279*(1+Premissas!$B$41)+AF280</x:f>
        <x:v>0</x:v>
      </x:c>
      <x:c r="AH280" s="141" t="n">
        <x:f>MAX(0,AE280)</x:f>
        <x:v>9027563.17012039</x:v>
      </x:c>
      <x:c r="AI280" s="141" t="n">
        <x:f>IF(AND($A280&gt;=Premissas!$B$48,$A280-Premissas!$B$48+1&lt;=Premissas!$B$13),INDEX(Amortizacao!$L$6:$L$485,$A280-Premissas!$B$48+1),0)</x:f>
        <x:v>0</x:v>
      </x:c>
      <x:c r="AJ280" s="141" t="n">
        <x:f>IF($A280&gt;=Premissas!$B$48,$F280,0)</x:f>
        <x:v>760249.3800151173</x:v>
      </x:c>
      <x:c r="AK280" s="141" t="n">
        <x:f>AH280+AJ280-AI280</x:f>
        <x:v>9787812.550135508</x:v>
      </x:c>
      <x:c r="AL280" s="141" t="n">
        <x:f>IF(AG280&gt;1,"Inviavel",AK280)</x:f>
        <x:v>9787812.550135508</x:v>
      </x:c>
      <x:c r="AM280" s="141" t="str">
        <x:f>IF(AG280&gt;1,"Inviavel","OK")</x:f>
        <x:v>OK</x:v>
      </x:c>
      <x:c r="AN280" s="141" t="n">
        <x:f>IF($A280=Premissas!$B$48,Premissas!$B$8,0)</x:f>
        <x:v>0</x:v>
      </x:c>
      <x:c r="AO280" s="141" t="n">
        <x:f>IF($A280&lt;=Premissas!$B$25,INDEX('Consorcio IQ'!$K$6:$K$485,$A280),0)</x:f>
        <x:v>0</x:v>
      </x:c>
      <x:c r="AP280" s="141" t="n">
        <x:f>IF(AND(TRUE,Premissas!$B$11="Imovel",Premissas!$B$47="Moradia",$A280&lt;MAX(Premissas!$B$48,Premissas!$B$49)),$D280,0)</x:f>
        <x:v>0</x:v>
      </x:c>
      <x:c r="AQ280" s="141" t="n">
        <x:f>IF(AND(TRUE,Premissas!$B$11="Imovel",Premissas!$B$47="Investimento",$A280&gt;=MAX(Premissas!$B$48,Premissas!$B$49)),$E280,0)</x:f>
        <x:v>2306.263946610148</x:v>
      </x:c>
      <x:c r="AR280" s="141" t="n">
        <x:f>AN280+AO280+AP280</x:f>
        <x:v>0</x:v>
      </x:c>
      <x:c r="AS280" s="141" t="n">
        <x:f>AQ280</x:f>
        <x:v>2306.263946610148</x:v>
      </x:c>
      <x:c r="AT280" s="141" t="n">
        <x:f>$C280+AS280-AR280</x:f>
        <x:v>9306.263946610148</x:v>
      </x:c>
      <x:c r="AU280" s="141" t="n">
        <x:f>AX279*(1+Premissas!$B$41)+AT280</x:f>
        <x:v>8949976.523528444</x:v>
      </x:c>
      <x:c r="AV280" s="141" t="n">
        <x:f>MAX(0,-AU280)</x:f>
        <x:v>0</x:v>
      </x:c>
      <x:c r="AW280" s="141" t="n">
        <x:f>AW279*(1+Premissas!$B$41)+AV280</x:f>
        <x:v>0</x:v>
      </x:c>
      <x:c r="AX280" s="141" t="n">
        <x:f>MAX(0,AU280)</x:f>
        <x:v>8949976.523528444</x:v>
      </x:c>
      <x:c r="AY280" s="141" t="n">
        <x:f>INDEX('Consorcio IQ'!$P$6:$P$485,$A280)</x:f>
        <x:v>0</x:v>
      </x:c>
      <x:c r="AZ280" s="141" t="n">
        <x:f>IF($A280&gt;=Premissas!$B$48,$F280,0)+IF($A280&lt;Premissas!$B$27,INDEX('Consorcio IQ'!$O$6:$O$485,$A280),0)</x:f>
        <x:v>760249.3800151173</x:v>
      </x:c>
      <x:c r="BA280" s="141" t="n">
        <x:f>AX280+AZ280-AY280</x:f>
        <x:v>9710225.903543562</x:v>
      </x:c>
      <x:c r="BB280" s="141" t="n">
        <x:f>IF(AW280&gt;1,"Inviavel",BA280)</x:f>
        <x:v>9710225.903543562</x:v>
      </x:c>
      <x:c r="BC280" s="141" t="str">
        <x:f>IF(AW280&gt;1,"Inviavel","OK")</x:f>
        <x:v>OK</x:v>
      </x:c>
      <x:c r="BD280" s="141" t="n">
        <x:f>IF($A280='Consorcio Direto'!$B$29,'Consorcio Direto'!$B$44,0)</x:f>
        <x:v>0</x:v>
      </x:c>
      <x:c r="BE280" s="141" t="n">
        <x:f>IF($A280&lt;='Consorcio Direto'!$B$27,INDEX('Consorcio Direto'!$E$55:$E$534,$A280),0)</x:f>
        <x:v>0</x:v>
      </x:c>
      <x:c r="BF280" s="141" t="n">
        <x:f>IF(AND(TRUE,Premissas!$B$11="Imovel",Premissas!$B$47="Moradia",$A280&lt;MAX('Consorcio Direto'!$B$29,Premissas!$B$49)),$D280,0)</x:f>
        <x:v>0</x:v>
      </x:c>
      <x:c r="BG280" s="141" t="n">
        <x:f>IF(AND(TRUE,Premissas!$B$11="Imovel",Premissas!$B$47="Investimento",$A280&gt;=MAX('Consorcio Direto'!$B$29,Premissas!$B$49)),$E280,0)</x:f>
        <x:v>2306.263946610148</x:v>
      </x:c>
      <x:c r="BH280" s="141" t="n">
        <x:f>BD280+BE280+BF280</x:f>
        <x:v>0</x:v>
      </x:c>
      <x:c r="BI280" s="141" t="n">
        <x:f>BG280</x:f>
        <x:v>2306.263946610148</x:v>
      </x:c>
      <x:c r="BJ280" s="141" t="n">
        <x:f>$C280+BI280-BH280</x:f>
        <x:v>9306.263946610148</x:v>
      </x:c>
      <x:c r="BK280" s="141" t="n">
        <x:f>BN279*(1+Premissas!$B$41)+BJ280</x:f>
        <x:v>8530668.07545158</x:v>
      </x:c>
      <x:c r="BL280" s="141" t="n">
        <x:f>MAX(0,-BK280)</x:f>
        <x:v>0</x:v>
      </x:c>
      <x:c r="BM280" s="141" t="n">
        <x:f>BM279*(1+Premissas!$B$41)+BL280</x:f>
        <x:v>0</x:v>
      </x:c>
      <x:c r="BN280" s="141" t="n">
        <x:f>MAX(0,BK280)</x:f>
        <x:v>8530668.07545158</x:v>
      </x:c>
      <x:c r="BO280" s="141" t="n">
        <x:f>INDEX('Consorcio Direto'!$K$55:$K$534,$A280)</x:f>
        <x:v>0</x:v>
      </x:c>
      <x:c r="BP280" s="141" t="n">
        <x:f>IF($A280&lt;'Consorcio Direto'!$B$29,INDEX('Consorcio Direto'!$L$55:$L$534,$A280),$F280)</x:f>
        <x:v>760249.3800151173</x:v>
      </x:c>
      <x:c r="BQ280" s="141" t="n">
        <x:f>BN280+BP280-BO280</x:f>
        <x:v>9290917.455466699</x:v>
      </x:c>
      <x:c r="BR280" s="141" t="n">
        <x:f>IF(BM280&gt;1,"Inviavel",BQ280)</x:f>
        <x:v>9290917.455466699</x:v>
      </x:c>
      <x:c r="BS280" s="141" t="str">
        <x:f>IF(BM280&gt;1,"Inviavel","OK")</x:f>
        <x:v>OK</x:v>
      </x:c>
      <x:c r="BT280" s="141" t="n">
        <x:f>IF(AND('Carta Contemplada'!$B$22="Sim",$A280='Carta Contemplada'!$B$23),'Carta Contemplada'!$B$37,0)</x:f>
        <x:v>0</x:v>
      </x:c>
      <x:c r="BU280" s="141" t="n">
        <x:f>IF('Carta Contemplada'!$B$22="Sim",INDEX('Carta Contemplada'!$C$55:$C$1013,$A280),0)</x:f>
        <x:v>0</x:v>
      </x:c>
      <x:c r="BV280" s="141" t="n">
        <x:f>IF(AND('Carta Contemplada'!$B$22="Sim",Premissas!$B$11="Imovel",Premissas!$B$47="Moradia",$A280&lt;MAX('Carta Contemplada'!$B$44,Premissas!$B$49)),$D280,0)</x:f>
        <x:v>0</x:v>
      </x:c>
      <x:c r="BW280" s="141" t="n">
        <x:f>IF(AND('Carta Contemplada'!$B$22="Sim",Premissas!$B$11="Imovel",Premissas!$B$47="Investimento",$A280&gt;=MAX('Carta Contemplada'!$B$44,Premissas!$B$49)),$E280,0)</x:f>
        <x:v>2306.263946610148</x:v>
      </x:c>
      <x:c r="BX280" s="141" t="n">
        <x:f>BT280+BU280+BV280</x:f>
        <x:v>0</x:v>
      </x:c>
      <x:c r="BY280" s="141" t="n">
        <x:f>BW280</x:f>
        <x:v>2306.263946610148</x:v>
      </x:c>
      <x:c r="BZ280" s="141" t="n">
        <x:f>$C280+BY280-BX280</x:f>
        <x:v>9306.263946610148</x:v>
      </x:c>
      <x:c r="CA280" s="141" t="n">
        <x:f>CD279*(1+Premissas!$B$41)+BZ280</x:f>
        <x:v>9223222.111707825</x:v>
      </x:c>
      <x:c r="CB280" s="141" t="n">
        <x:f>MAX(0,-CA280)</x:f>
        <x:v>0</x:v>
      </x:c>
      <x:c r="CC280" s="141" t="n">
        <x:f>CC279*(1+Premissas!$B$41)+CB280</x:f>
        <x:v>0</x:v>
      </x:c>
      <x:c r="CD280" s="141" t="n">
        <x:f>MAX(0,CA280)</x:f>
        <x:v>9223222.111707825</x:v>
      </x:c>
      <x:c r="CE280" s="141" t="n">
        <x:f>IF(AND('Carta Contemplada'!$B$22="Sim",$A280&gt;='Carta Contemplada'!$B$23),INDEX('Carta Contemplada'!$I$55:$I$1013,$A280),0)</x:f>
        <x:v>0</x:v>
      </x:c>
      <x:c r="CF280" s="141" t="n">
        <x:f>IF(AND('Carta Contemplada'!$B$22="Sim",$A280&gt;='Carta Contemplada'!$B$44),$F280,0)</x:f>
        <x:v>760249.3800151173</x:v>
      </x:c>
      <x:c r="CG280" s="141" t="n">
        <x:f>CD280+CF280-CE280</x:f>
        <x:v>9983471.491722943</x:v>
      </x:c>
      <x:c r="CH280" s="141" t="n">
        <x:f>IF(CC280&gt;1,"Inviavel",CG280)</x:f>
        <x:v>9983471.491722943</x:v>
      </x:c>
      <x:c r="CI280" s="145" t="str">
        <x:f>IF(CC280&gt;1,"Inviavel","OK")</x:f>
        <x:v>OK</x:v>
      </x:c>
    </x:row>
    <x:row r="281">
      <x:c r="A281" s="142" t="n">
        <x:v>277</x:v>
      </x:c>
      <x:c r="B281" s="179" t="n">
        <x:f>EDATE(Premissas!$B$4,A281-1)</x:f>
        <x:v>54940</x:v>
      </x:c>
      <x:c r="C281" s="141" t="n">
        <x:f>IF(A281&lt;=Premissas!$B$39,Premissas!$B$42,0)</x:f>
        <x:v>7000</x:v>
      </x:c>
      <x:c r="D281" s="141" t="n">
        <x:f>Premissas!$B$54*(1+Premissas!$B$57)^INT((A281-1)/12)</x:f>
        <x:v>2673.8247631011404</x:v>
      </x:c>
      <x:c r="E281" s="141" t="n">
        <x:f>Premissas!$B$64*(1+Premissas!$B$57)^INT((A281-1)/12)</x:f>
        <x:v>2444.639783406757</x:v>
      </x:c>
      <x:c r="F281" s="141" t="n">
        <x:f>MAX(0,Premissas!$B$6*(1+Premissas!$B$66)^((A281-1)/12))</x:f>
        <x:v>763949.9323146116</x:v>
      </x:c>
      <x:c r="G281" s="141" t="n">
        <x:f>G280*(1+Premissas!$B$41)+C281</x:f>
        <x:v>10574599.63317793</x:v>
      </x:c>
      <x:c r="H281" s="141" t="n">
        <x:f>IF($A281=Premissas!$B$48,Premissas!$B$8,0)</x:f>
        <x:v>0</x:v>
      </x:c>
      <x:c r="I281" s="141" t="n">
        <x:f>IF(AND($A281&gt;=Premissas!$B$48,$A281-Premissas!$B$48+1&lt;=Premissas!$B$13),INDEX(Financiamento!$J$6:$J$485,$A281-Premissas!$B$48+1),0)</x:f>
        <x:v>1051.4804505066522</x:v>
      </x:c>
      <x:c r="J281" s="141" t="n">
        <x:f>IF(AND(TRUE,Premissas!$B$11="Imovel",Premissas!$B$47="Moradia",$A281&lt;MAX(Premissas!$B$48,Premissas!$B$49)),$D281,0)</x:f>
        <x:v>0</x:v>
      </x:c>
      <x:c r="K281" s="141" t="n">
        <x:f>IF(AND(TRUE,Premissas!$B$11="Imovel",Premissas!$B$47="Investimento",$A281&gt;=MAX(Premissas!$B$48,Premissas!$B$49)),$E281,0)</x:f>
        <x:v>2444.639783406757</x:v>
      </x:c>
      <x:c r="L281" s="141" t="n">
        <x:f>H281+I281+J281</x:f>
        <x:v>1051.4804505066522</x:v>
      </x:c>
      <x:c r="M281" s="141" t="n">
        <x:f>K281</x:f>
        <x:v>2444.639783406757</x:v>
      </x:c>
      <x:c r="N281" s="141" t="n">
        <x:f>$C281+M281-L281</x:f>
        <x:v>8393.159332900104</x:v>
      </x:c>
      <x:c r="O281" s="141" t="n">
        <x:f>R280*(1+Premissas!$B$41)+N281</x:f>
        <x:v>9025359.844110075</x:v>
      </x:c>
      <x:c r="P281" s="141" t="n">
        <x:f>MAX(0,-O281)</x:f>
        <x:v>0</x:v>
      </x:c>
      <x:c r="Q281" s="141" t="n">
        <x:f>Q280*(1+Premissas!$B$41)+P281</x:f>
        <x:v>0</x:v>
      </x:c>
      <x:c r="R281" s="141" t="n">
        <x:f>MAX(0,O281)</x:f>
        <x:v>9025359.844110075</x:v>
      </x:c>
      <x:c r="S281" s="141" t="n">
        <x:f>IF(AND($A281&gt;=Premissas!$B$48,$A281-Premissas!$B$48+1&lt;=Premissas!$B$13),INDEX(Financiamento!$M$6:$M$485,$A281-Premissas!$B$48+1),0)</x:f>
        <x:v>54476.19047619056</x:v>
      </x:c>
      <x:c r="T281" s="141" t="n">
        <x:f>IF($A281&gt;=Premissas!$B$48,$F281,0)</x:f>
        <x:v>763949.9323146116</x:v>
      </x:c>
      <x:c r="U281" s="141" t="n">
        <x:f>R281+T281-S281</x:f>
        <x:v>9734833.585948497</x:v>
      </x:c>
      <x:c r="V281" s="141" t="n">
        <x:f>IF(Q281&gt;1,"Inviavel",U281)</x:f>
        <x:v>9734833.585948497</x:v>
      </x:c>
      <x:c r="W281" s="141" t="str">
        <x:f>IF(Q281&gt;1,"Inviavel","OK")</x:f>
        <x:v>OK</x:v>
      </x:c>
      <x:c r="X281" s="141" t="n">
        <x:f>IF($A281=Premissas!$B$48,Premissas!$B$8,0)</x:f>
        <x:v>0</x:v>
      </x:c>
      <x:c r="Y281" s="141" t="n">
        <x:f>IF(AND($A281&gt;=Premissas!$B$48,$A281-Premissas!$B$48+1&lt;=Premissas!$B$13),INDEX(Amortizacao!$K$6:$K$485,$A281-Premissas!$B$48+1),0)</x:f>
        <x:v>0</x:v>
      </x:c>
      <x:c r="Z281" s="141" t="n">
        <x:f>IF(AND(TRUE,Premissas!$B$11="Imovel",Premissas!$B$47="Moradia",$A281&lt;MAX(Premissas!$B$48,Premissas!$B$49)),$D281,0)</x:f>
        <x:v>0</x:v>
      </x:c>
      <x:c r="AA281" s="141" t="n">
        <x:f>IF(AND(TRUE,Premissas!$B$11="Imovel",Premissas!$B$47="Investimento",$A281&gt;=MAX(Premissas!$B$48,Premissas!$B$49)),$E281,0)</x:f>
        <x:v>2444.639783406757</x:v>
      </x:c>
      <x:c r="AB281" s="141" t="n">
        <x:f>X281+Y281+Z281</x:f>
        <x:v>0</x:v>
      </x:c>
      <x:c r="AC281" s="141" t="n">
        <x:f>AA281</x:f>
        <x:v>2444.639783406757</x:v>
      </x:c>
      <x:c r="AD281" s="141" t="n">
        <x:f>$C281+AC281-AB281</x:f>
        <x:v>9444.639783406757</x:v>
      </x:c>
      <x:c r="AE281" s="141" t="n">
        <x:f>AH280*(1+Premissas!$B$41)+AD281</x:f>
        <x:v>9122668.487528937</x:v>
      </x:c>
      <x:c r="AF281" s="141" t="n">
        <x:f>MAX(0,-AE281)</x:f>
        <x:v>0</x:v>
      </x:c>
      <x:c r="AG281" s="141" t="n">
        <x:f>AG280*(1+Premissas!$B$41)+AF281</x:f>
        <x:v>0</x:v>
      </x:c>
      <x:c r="AH281" s="141" t="n">
        <x:f>MAX(0,AE281)</x:f>
        <x:v>9122668.487528937</x:v>
      </x:c>
      <x:c r="AI281" s="141" t="n">
        <x:f>IF(AND($A281&gt;=Premissas!$B$48,$A281-Premissas!$B$48+1&lt;=Premissas!$B$13),INDEX(Amortizacao!$L$6:$L$485,$A281-Premissas!$B$48+1),0)</x:f>
        <x:v>0</x:v>
      </x:c>
      <x:c r="AJ281" s="141" t="n">
        <x:f>IF($A281&gt;=Premissas!$B$48,$F281,0)</x:f>
        <x:v>763949.9323146116</x:v>
      </x:c>
      <x:c r="AK281" s="141" t="n">
        <x:f>AH281+AJ281-AI281</x:f>
        <x:v>9886618.419843549</x:v>
      </x:c>
      <x:c r="AL281" s="141" t="n">
        <x:f>IF(AG281&gt;1,"Inviavel",AK281)</x:f>
        <x:v>9886618.419843549</x:v>
      </x:c>
      <x:c r="AM281" s="141" t="str">
        <x:f>IF(AG281&gt;1,"Inviavel","OK")</x:f>
        <x:v>OK</x:v>
      </x:c>
      <x:c r="AN281" s="141" t="n">
        <x:f>IF($A281=Premissas!$B$48,Premissas!$B$8,0)</x:f>
        <x:v>0</x:v>
      </x:c>
      <x:c r="AO281" s="141" t="n">
        <x:f>IF($A281&lt;=Premissas!$B$25,INDEX('Consorcio IQ'!$K$6:$K$485,$A281),0)</x:f>
        <x:v>0</x:v>
      </x:c>
      <x:c r="AP281" s="141" t="n">
        <x:f>IF(AND(TRUE,Premissas!$B$11="Imovel",Premissas!$B$47="Moradia",$A281&lt;MAX(Premissas!$B$48,Premissas!$B$49)),$D281,0)</x:f>
        <x:v>0</x:v>
      </x:c>
      <x:c r="AQ281" s="141" t="n">
        <x:f>IF(AND(TRUE,Premissas!$B$11="Imovel",Premissas!$B$47="Investimento",$A281&gt;=MAX(Premissas!$B$48,Premissas!$B$49)),$E281,0)</x:f>
        <x:v>2444.639783406757</x:v>
      </x:c>
      <x:c r="AR281" s="141" t="n">
        <x:f>AN281+AO281+AP281</x:f>
        <x:v>0</x:v>
      </x:c>
      <x:c r="AS281" s="141" t="n">
        <x:f>AQ281</x:f>
        <x:v>2444.639783406757</x:v>
      </x:c>
      <x:c r="AT281" s="141" t="n">
        <x:f>$C281+AS281-AR281</x:f>
        <x:v>9444.639783406757</x:v>
      </x:c>
      <x:c r="AU281" s="141" t="n">
        <x:f>AX280*(1+Premissas!$B$41)+AT281</x:f>
        <x:v>9044345.637312992</x:v>
      </x:c>
      <x:c r="AV281" s="141" t="n">
        <x:f>MAX(0,-AU281)</x:f>
        <x:v>0</x:v>
      </x:c>
      <x:c r="AW281" s="141" t="n">
        <x:f>AW280*(1+Premissas!$B$41)+AV281</x:f>
        <x:v>0</x:v>
      </x:c>
      <x:c r="AX281" s="141" t="n">
        <x:f>MAX(0,AU281)</x:f>
        <x:v>9044345.637312992</x:v>
      </x:c>
      <x:c r="AY281" s="141" t="n">
        <x:f>INDEX('Consorcio IQ'!$P$6:$P$485,$A281)</x:f>
        <x:v>0</x:v>
      </x:c>
      <x:c r="AZ281" s="141" t="n">
        <x:f>IF($A281&gt;=Premissas!$B$48,$F281,0)+IF($A281&lt;Premissas!$B$27,INDEX('Consorcio IQ'!$O$6:$O$485,$A281),0)</x:f>
        <x:v>763949.9323146116</x:v>
      </x:c>
      <x:c r="BA281" s="141" t="n">
        <x:f>AX281+AZ281-AY281</x:f>
        <x:v>9808295.569627604</x:v>
      </x:c>
      <x:c r="BB281" s="141" t="n">
        <x:f>IF(AW281&gt;1,"Inviavel",BA281)</x:f>
        <x:v>9808295.569627604</x:v>
      </x:c>
      <x:c r="BC281" s="141" t="str">
        <x:f>IF(AW281&gt;1,"Inviavel","OK")</x:f>
        <x:v>OK</x:v>
      </x:c>
      <x:c r="BD281" s="141" t="n">
        <x:f>IF($A281='Consorcio Direto'!$B$29,'Consorcio Direto'!$B$44,0)</x:f>
        <x:v>0</x:v>
      </x:c>
      <x:c r="BE281" s="141" t="n">
        <x:f>IF($A281&lt;='Consorcio Direto'!$B$27,INDEX('Consorcio Direto'!$E$55:$E$534,$A281),0)</x:f>
        <x:v>0</x:v>
      </x:c>
      <x:c r="BF281" s="141" t="n">
        <x:f>IF(AND(TRUE,Premissas!$B$11="Imovel",Premissas!$B$47="Moradia",$A281&lt;MAX('Consorcio Direto'!$B$29,Premissas!$B$49)),$D281,0)</x:f>
        <x:v>0</x:v>
      </x:c>
      <x:c r="BG281" s="141" t="n">
        <x:f>IF(AND(TRUE,Premissas!$B$11="Imovel",Premissas!$B$47="Investimento",$A281&gt;=MAX('Consorcio Direto'!$B$29,Premissas!$B$49)),$E281,0)</x:f>
        <x:v>2444.639783406757</x:v>
      </x:c>
      <x:c r="BH281" s="141" t="n">
        <x:f>BD281+BE281+BF281</x:f>
        <x:v>0</x:v>
      </x:c>
      <x:c r="BI281" s="141" t="n">
        <x:f>BG281</x:f>
        <x:v>2444.639783406757</x:v>
      </x:c>
      <x:c r="BJ281" s="141" t="n">
        <x:f>$C281+BI281-BH281</x:f>
        <x:v>9444.639783406757</x:v>
      </x:c>
      <x:c r="BK281" s="141" t="n">
        <x:f>BN280*(1+Premissas!$B$41)+BJ281</x:f>
        <x:v>8621058.458196605</x:v>
      </x:c>
      <x:c r="BL281" s="141" t="n">
        <x:f>MAX(0,-BK281)</x:f>
        <x:v>0</x:v>
      </x:c>
      <x:c r="BM281" s="141" t="n">
        <x:f>BM280*(1+Premissas!$B$41)+BL281</x:f>
        <x:v>0</x:v>
      </x:c>
      <x:c r="BN281" s="141" t="n">
        <x:f>MAX(0,BK281)</x:f>
        <x:v>8621058.458196605</x:v>
      </x:c>
      <x:c r="BO281" s="141" t="n">
        <x:f>INDEX('Consorcio Direto'!$K$55:$K$534,$A281)</x:f>
        <x:v>0</x:v>
      </x:c>
      <x:c r="BP281" s="141" t="n">
        <x:f>IF($A281&lt;'Consorcio Direto'!$B$29,INDEX('Consorcio Direto'!$L$55:$L$534,$A281),$F281)</x:f>
        <x:v>763949.9323146116</x:v>
      </x:c>
      <x:c r="BQ281" s="141" t="n">
        <x:f>BN281+BP281-BO281</x:f>
        <x:v>9385008.390511217</x:v>
      </x:c>
      <x:c r="BR281" s="141" t="n">
        <x:f>IF(BM281&gt;1,"Inviavel",BQ281)</x:f>
        <x:v>9385008.390511217</x:v>
      </x:c>
      <x:c r="BS281" s="141" t="str">
        <x:f>IF(BM281&gt;1,"Inviavel","OK")</x:f>
        <x:v>OK</x:v>
      </x:c>
      <x:c r="BT281" s="141" t="n">
        <x:f>IF(AND('Carta Contemplada'!$B$22="Sim",$A281='Carta Contemplada'!$B$23),'Carta Contemplada'!$B$37,0)</x:f>
        <x:v>0</x:v>
      </x:c>
      <x:c r="BU281" s="141" t="n">
        <x:f>IF('Carta Contemplada'!$B$22="Sim",INDEX('Carta Contemplada'!$C$55:$C$1013,$A281),0)</x:f>
        <x:v>0</x:v>
      </x:c>
      <x:c r="BV281" s="141" t="n">
        <x:f>IF(AND('Carta Contemplada'!$B$22="Sim",Premissas!$B$11="Imovel",Premissas!$B$47="Moradia",$A281&lt;MAX('Carta Contemplada'!$B$44,Premissas!$B$49)),$D281,0)</x:f>
        <x:v>0</x:v>
      </x:c>
      <x:c r="BW281" s="141" t="n">
        <x:f>IF(AND('Carta Contemplada'!$B$22="Sim",Premissas!$B$11="Imovel",Premissas!$B$47="Investimento",$A281&gt;=MAX('Carta Contemplada'!$B$44,Premissas!$B$49)),$E281,0)</x:f>
        <x:v>2444.639783406757</x:v>
      </x:c>
      <x:c r="BX281" s="141" t="n">
        <x:f>BT281+BU281+BV281</x:f>
        <x:v>0</x:v>
      </x:c>
      <x:c r="BY281" s="141" t="n">
        <x:f>BW281</x:f>
        <x:v>2444.639783406757</x:v>
      </x:c>
      <x:c r="BZ281" s="141" t="n">
        <x:f>$C281+BY281-BX281</x:f>
        <x:v>9444.639783406757</x:v>
      </x:c>
      <x:c r="CA281" s="141" t="n">
        <x:f>CD280*(1+Premissas!$B$41)+BZ281</x:f>
        <x:v>9320183.996298894</x:v>
      </x:c>
      <x:c r="CB281" s="141" t="n">
        <x:f>MAX(0,-CA281)</x:f>
        <x:v>0</x:v>
      </x:c>
      <x:c r="CC281" s="141" t="n">
        <x:f>CC280*(1+Premissas!$B$41)+CB281</x:f>
        <x:v>0</x:v>
      </x:c>
      <x:c r="CD281" s="141" t="n">
        <x:f>MAX(0,CA281)</x:f>
        <x:v>9320183.996298894</x:v>
      </x:c>
      <x:c r="CE281" s="141" t="n">
        <x:f>IF(AND('Carta Contemplada'!$B$22="Sim",$A281&gt;='Carta Contemplada'!$B$23),INDEX('Carta Contemplada'!$I$55:$I$1013,$A281),0)</x:f>
        <x:v>0</x:v>
      </x:c>
      <x:c r="CF281" s="141" t="n">
        <x:f>IF(AND('Carta Contemplada'!$B$22="Sim",$A281&gt;='Carta Contemplada'!$B$44),$F281,0)</x:f>
        <x:v>763949.9323146116</x:v>
      </x:c>
      <x:c r="CG281" s="141" t="n">
        <x:f>CD281+CF281-CE281</x:f>
        <x:v>10084133.928613506</x:v>
      </x:c>
      <x:c r="CH281" s="141" t="n">
        <x:f>IF(CC281&gt;1,"Inviavel",CG281)</x:f>
        <x:v>10084133.928613506</x:v>
      </x:c>
      <x:c r="CI281" s="145" t="str">
        <x:f>IF(CC281&gt;1,"Inviavel","OK")</x:f>
        <x:v>OK</x:v>
      </x:c>
    </x:row>
    <x:row r="282">
      <x:c r="A282" s="142" t="n">
        <x:v>278</x:v>
      </x:c>
      <x:c r="B282" s="179" t="n">
        <x:f>EDATE(Premissas!$B$4,A282-1)</x:f>
        <x:v>54970</x:v>
      </x:c>
      <x:c r="C282" s="141" t="n">
        <x:f>IF(A282&lt;=Premissas!$B$39,Premissas!$B$42,0)</x:f>
        <x:v>7000</x:v>
      </x:c>
      <x:c r="D282" s="141" t="n">
        <x:f>Premissas!$B$54*(1+Premissas!$B$57)^INT((A282-1)/12)</x:f>
        <x:v>2673.8247631011404</x:v>
      </x:c>
      <x:c r="E282" s="141" t="n">
        <x:f>Premissas!$B$64*(1+Premissas!$B$57)^INT((A282-1)/12)</x:f>
        <x:v>2444.639783406757</x:v>
      </x:c>
      <x:c r="F282" s="141" t="n">
        <x:f>MAX(0,Premissas!$B$6*(1+Premissas!$B$66)^((A282-1)/12))</x:f>
        <x:v>767668.4972395434</x:v>
      </x:c>
      <x:c r="G282" s="141" t="n">
        <x:f>G281*(1+Premissas!$B$41)+C282</x:f>
        <x:v>10681939.819463274</x:v>
      </x:c>
      <x:c r="H282" s="141" t="n">
        <x:f>IF($A282=Premissas!$B$48,Premissas!$B$8,0)</x:f>
        <x:v>0</x:v>
      </x:c>
      <x:c r="I282" s="141" t="n">
        <x:f>IF(AND($A282&gt;=Premissas!$B$48,$A282-Premissas!$B$48+1&lt;=Premissas!$B$13),INDEX(Financiamento!$J$6:$J$485,$A282-Premissas!$B$48+1),0)</x:f>
        <x:v>1047.8656722458586</x:v>
      </x:c>
      <x:c r="J282" s="141" t="n">
        <x:f>IF(AND(TRUE,Premissas!$B$11="Imovel",Premissas!$B$47="Moradia",$A282&lt;MAX(Premissas!$B$48,Premissas!$B$49)),$D282,0)</x:f>
        <x:v>0</x:v>
      </x:c>
      <x:c r="K282" s="141" t="n">
        <x:f>IF(AND(TRUE,Premissas!$B$11="Imovel",Premissas!$B$47="Investimento",$A282&gt;=MAX(Premissas!$B$48,Premissas!$B$49)),$E282,0)</x:f>
        <x:v>2444.639783406757</x:v>
      </x:c>
      <x:c r="L282" s="141" t="n">
        <x:f>H282+I282+J282</x:f>
        <x:v>1047.8656722458586</x:v>
      </x:c>
      <x:c r="M282" s="141" t="n">
        <x:f>K282</x:f>
        <x:v>2444.639783406757</x:v>
      </x:c>
      <x:c r="N282" s="141" t="n">
        <x:f>$C282+M282-L282</x:f>
        <x:v>8396.7741111609</x:v>
      </x:c>
      <x:c r="O282" s="141" t="n">
        <x:f>R281*(1+Premissas!$B$41)+N282</x:f>
        <x:v>9119396.388942098</x:v>
      </x:c>
      <x:c r="P282" s="141" t="n">
        <x:f>MAX(0,-O282)</x:f>
        <x:v>0</x:v>
      </x:c>
      <x:c r="Q282" s="141" t="n">
        <x:f>Q281*(1+Premissas!$B$41)+P282</x:f>
        <x:v>0</x:v>
      </x:c>
      <x:c r="R282" s="141" t="n">
        <x:f>MAX(0,O282)</x:f>
        <x:v>9119396.388942098</x:v>
      </x:c>
      <x:c r="S282" s="141" t="n">
        <x:f>IF(AND($A282&gt;=Premissas!$B$48,$A282-Premissas!$B$48+1&lt;=Premissas!$B$13),INDEX(Financiamento!$M$6:$M$485,$A282-Premissas!$B$48+1),0)</x:f>
        <x:v>54095.23809523818</x:v>
      </x:c>
      <x:c r="T282" s="141" t="n">
        <x:f>IF($A282&gt;=Premissas!$B$48,$F282,0)</x:f>
        <x:v>767668.4972395434</x:v>
      </x:c>
      <x:c r="U282" s="141" t="n">
        <x:f>R282+T282-S282</x:f>
        <x:v>9832969.648086403</x:v>
      </x:c>
      <x:c r="V282" s="141" t="n">
        <x:f>IF(Q282&gt;1,"Inviavel",U282)</x:f>
        <x:v>9832969.648086403</x:v>
      </x:c>
      <x:c r="W282" s="141" t="str">
        <x:f>IF(Q282&gt;1,"Inviavel","OK")</x:f>
        <x:v>OK</x:v>
      </x:c>
      <x:c r="X282" s="141" t="n">
        <x:f>IF($A282=Premissas!$B$48,Premissas!$B$8,0)</x:f>
        <x:v>0</x:v>
      </x:c>
      <x:c r="Y282" s="141" t="n">
        <x:f>IF(AND($A282&gt;=Premissas!$B$48,$A282-Premissas!$B$48+1&lt;=Premissas!$B$13),INDEX(Amortizacao!$K$6:$K$485,$A282-Premissas!$B$48+1),0)</x:f>
        <x:v>0</x:v>
      </x:c>
      <x:c r="Z282" s="141" t="n">
        <x:f>IF(AND(TRUE,Premissas!$B$11="Imovel",Premissas!$B$47="Moradia",$A282&lt;MAX(Premissas!$B$48,Premissas!$B$49)),$D282,0)</x:f>
        <x:v>0</x:v>
      </x:c>
      <x:c r="AA282" s="141" t="n">
        <x:f>IF(AND(TRUE,Premissas!$B$11="Imovel",Premissas!$B$47="Investimento",$A282&gt;=MAX(Premissas!$B$48,Premissas!$B$49)),$E282,0)</x:f>
        <x:v>2444.639783406757</x:v>
      </x:c>
      <x:c r="AB282" s="141" t="n">
        <x:f>X282+Y282+Z282</x:f>
        <x:v>0</x:v>
      </x:c>
      <x:c r="AC282" s="141" t="n">
        <x:f>AA282</x:f>
        <x:v>2444.639783406757</x:v>
      </x:c>
      <x:c r="AD282" s="141" t="n">
        <x:f>$C282+AC282-AB282</x:f>
        <x:v>9444.639783406757</x:v>
      </x:c>
      <x:c r="AE282" s="141" t="n">
        <x:f>AH281*(1+Premissas!$B$41)+AD282</x:f>
        <x:v>9218676.239601351</x:v>
      </x:c>
      <x:c r="AF282" s="141" t="n">
        <x:f>MAX(0,-AE282)</x:f>
        <x:v>0</x:v>
      </x:c>
      <x:c r="AG282" s="141" t="n">
        <x:f>AG281*(1+Premissas!$B$41)+AF282</x:f>
        <x:v>0</x:v>
      </x:c>
      <x:c r="AH282" s="141" t="n">
        <x:f>MAX(0,AE282)</x:f>
        <x:v>9218676.239601351</x:v>
      </x:c>
      <x:c r="AI282" s="141" t="n">
        <x:f>IF(AND($A282&gt;=Premissas!$B$48,$A282-Premissas!$B$48+1&lt;=Premissas!$B$13),INDEX(Amortizacao!$L$6:$L$485,$A282-Premissas!$B$48+1),0)</x:f>
        <x:v>0</x:v>
      </x:c>
      <x:c r="AJ282" s="141" t="n">
        <x:f>IF($A282&gt;=Premissas!$B$48,$F282,0)</x:f>
        <x:v>767668.4972395434</x:v>
      </x:c>
      <x:c r="AK282" s="141" t="n">
        <x:f>AH282+AJ282-AI282</x:f>
        <x:v>9986344.736840894</x:v>
      </x:c>
      <x:c r="AL282" s="141" t="n">
        <x:f>IF(AG282&gt;1,"Inviavel",AK282)</x:f>
        <x:v>9986344.736840894</x:v>
      </x:c>
      <x:c r="AM282" s="141" t="str">
        <x:f>IF(AG282&gt;1,"Inviavel","OK")</x:f>
        <x:v>OK</x:v>
      </x:c>
      <x:c r="AN282" s="141" t="n">
        <x:f>IF($A282=Premissas!$B$48,Premissas!$B$8,0)</x:f>
        <x:v>0</x:v>
      </x:c>
      <x:c r="AO282" s="141" t="n">
        <x:f>IF($A282&lt;=Premissas!$B$25,INDEX('Consorcio IQ'!$K$6:$K$485,$A282),0)</x:f>
        <x:v>0</x:v>
      </x:c>
      <x:c r="AP282" s="141" t="n">
        <x:f>IF(AND(TRUE,Premissas!$B$11="Imovel",Premissas!$B$47="Moradia",$A282&lt;MAX(Premissas!$B$48,Premissas!$B$49)),$D282,0)</x:f>
        <x:v>0</x:v>
      </x:c>
      <x:c r="AQ282" s="141" t="n">
        <x:f>IF(AND(TRUE,Premissas!$B$11="Imovel",Premissas!$B$47="Investimento",$A282&gt;=MAX(Premissas!$B$48,Premissas!$B$49)),$E282,0)</x:f>
        <x:v>2444.639783406757</x:v>
      </x:c>
      <x:c r="AR282" s="141" t="n">
        <x:f>AN282+AO282+AP282</x:f>
        <x:v>0</x:v>
      </x:c>
      <x:c r="AS282" s="141" t="n">
        <x:f>AQ282</x:f>
        <x:v>2444.639783406757</x:v>
      </x:c>
      <x:c r="AT282" s="141" t="n">
        <x:f>$C282+AS282-AR282</x:f>
        <x:v>9444.639783406757</x:v>
      </x:c>
      <x:c r="AU282" s="141" t="n">
        <x:f>AX281*(1+Premissas!$B$41)+AT282</x:f>
        <x:v>9139610.20007766</x:v>
      </x:c>
      <x:c r="AV282" s="141" t="n">
        <x:f>MAX(0,-AU282)</x:f>
        <x:v>0</x:v>
      </x:c>
      <x:c r="AW282" s="141" t="n">
        <x:f>AW281*(1+Premissas!$B$41)+AV282</x:f>
        <x:v>0</x:v>
      </x:c>
      <x:c r="AX282" s="141" t="n">
        <x:f>MAX(0,AU282)</x:f>
        <x:v>9139610.20007766</x:v>
      </x:c>
      <x:c r="AY282" s="141" t="n">
        <x:f>INDEX('Consorcio IQ'!$P$6:$P$485,$A282)</x:f>
        <x:v>0</x:v>
      </x:c>
      <x:c r="AZ282" s="141" t="n">
        <x:f>IF($A282&gt;=Premissas!$B$48,$F282,0)+IF($A282&lt;Premissas!$B$27,INDEX('Consorcio IQ'!$O$6:$O$485,$A282),0)</x:f>
        <x:v>767668.4972395434</x:v>
      </x:c>
      <x:c r="BA282" s="141" t="n">
        <x:f>AX282+AZ282-AY282</x:f>
        <x:v>9907278.697317204</x:v>
      </x:c>
      <x:c r="BB282" s="141" t="n">
        <x:f>IF(AW282&gt;1,"Inviavel",BA282)</x:f>
        <x:v>9907278.697317204</x:v>
      </x:c>
      <x:c r="BC282" s="141" t="str">
        <x:f>IF(AW282&gt;1,"Inviavel","OK")</x:f>
        <x:v>OK</x:v>
      </x:c>
      <x:c r="BD282" s="141" t="n">
        <x:f>IF($A282='Consorcio Direto'!$B$29,'Consorcio Direto'!$B$44,0)</x:f>
        <x:v>0</x:v>
      </x:c>
      <x:c r="BE282" s="141" t="n">
        <x:f>IF($A282&lt;='Consorcio Direto'!$B$27,INDEX('Consorcio Direto'!$E$55:$E$534,$A282),0)</x:f>
        <x:v>0</x:v>
      </x:c>
      <x:c r="BF282" s="141" t="n">
        <x:f>IF(AND(TRUE,Premissas!$B$11="Imovel",Premissas!$B$47="Moradia",$A282&lt;MAX('Consorcio Direto'!$B$29,Premissas!$B$49)),$D282,0)</x:f>
        <x:v>0</x:v>
      </x:c>
      <x:c r="BG282" s="141" t="n">
        <x:f>IF(AND(TRUE,Premissas!$B$11="Imovel",Premissas!$B$47="Investimento",$A282&gt;=MAX('Consorcio Direto'!$B$29,Premissas!$B$49)),$E282,0)</x:f>
        <x:v>2444.639783406757</x:v>
      </x:c>
      <x:c r="BH282" s="141" t="n">
        <x:f>BD282+BE282+BF282</x:f>
        <x:v>0</x:v>
      </x:c>
      <x:c r="BI282" s="141" t="n">
        <x:f>BG282</x:f>
        <x:v>2444.639783406757</x:v>
      </x:c>
      <x:c r="BJ282" s="141" t="n">
        <x:f>$C282+BI282-BH282</x:f>
        <x:v>9444.639783406757</x:v>
      </x:c>
      <x:c r="BK282" s="141" t="n">
        <x:f>BN281*(1+Premissas!$B$41)+BJ282</x:f>
        <x:v>8712306.536566775</x:v>
      </x:c>
      <x:c r="BL282" s="141" t="n">
        <x:f>MAX(0,-BK282)</x:f>
        <x:v>0</x:v>
      </x:c>
      <x:c r="BM282" s="141" t="n">
        <x:f>BM281*(1+Premissas!$B$41)+BL282</x:f>
        <x:v>0</x:v>
      </x:c>
      <x:c r="BN282" s="141" t="n">
        <x:f>MAX(0,BK282)</x:f>
        <x:v>8712306.536566775</x:v>
      </x:c>
      <x:c r="BO282" s="141" t="n">
        <x:f>INDEX('Consorcio Direto'!$K$55:$K$534,$A282)</x:f>
        <x:v>0</x:v>
      </x:c>
      <x:c r="BP282" s="141" t="n">
        <x:f>IF($A282&lt;'Consorcio Direto'!$B$29,INDEX('Consorcio Direto'!$L$55:$L$534,$A282),$F282)</x:f>
        <x:v>767668.4972395434</x:v>
      </x:c>
      <x:c r="BQ282" s="141" t="n">
        <x:f>BN282+BP282-BO282</x:f>
        <x:v>9479975.033806318</x:v>
      </x:c>
      <x:c r="BR282" s="141" t="n">
        <x:f>IF(BM282&gt;1,"Inviavel",BQ282)</x:f>
        <x:v>9479975.033806318</x:v>
      </x:c>
      <x:c r="BS282" s="141" t="str">
        <x:f>IF(BM282&gt;1,"Inviavel","OK")</x:f>
        <x:v>OK</x:v>
      </x:c>
      <x:c r="BT282" s="141" t="n">
        <x:f>IF(AND('Carta Contemplada'!$B$22="Sim",$A282='Carta Contemplada'!$B$23),'Carta Contemplada'!$B$37,0)</x:f>
        <x:v>0</x:v>
      </x:c>
      <x:c r="BU282" s="141" t="n">
        <x:f>IF('Carta Contemplada'!$B$22="Sim",INDEX('Carta Contemplada'!$C$55:$C$1013,$A282),0)</x:f>
        <x:v>0</x:v>
      </x:c>
      <x:c r="BV282" s="141" t="n">
        <x:f>IF(AND('Carta Contemplada'!$B$22="Sim",Premissas!$B$11="Imovel",Premissas!$B$47="Moradia",$A282&lt;MAX('Carta Contemplada'!$B$44,Premissas!$B$49)),$D282,0)</x:f>
        <x:v>0</x:v>
      </x:c>
      <x:c r="BW282" s="141" t="n">
        <x:f>IF(AND('Carta Contemplada'!$B$22="Sim",Premissas!$B$11="Imovel",Premissas!$B$47="Investimento",$A282&gt;=MAX('Carta Contemplada'!$B$44,Premissas!$B$49)),$E282,0)</x:f>
        <x:v>2444.639783406757</x:v>
      </x:c>
      <x:c r="BX282" s="141" t="n">
        <x:f>BT282+BU282+BV282</x:f>
        <x:v>0</x:v>
      </x:c>
      <x:c r="BY282" s="141" t="n">
        <x:f>BW282</x:f>
        <x:v>2444.639783406757</x:v>
      </x:c>
      <x:c r="BZ282" s="141" t="n">
        <x:f>$C282+BY282-BX282</x:f>
        <x:v>9444.639783406757</x:v>
      </x:c>
      <x:c r="CA282" s="141" t="n">
        <x:f>CD281*(1+Premissas!$B$41)+BZ282</x:f>
        <x:v>9418065.932135396</x:v>
      </x:c>
      <x:c r="CB282" s="141" t="n">
        <x:f>MAX(0,-CA282)</x:f>
        <x:v>0</x:v>
      </x:c>
      <x:c r="CC282" s="141" t="n">
        <x:f>CC281*(1+Premissas!$B$41)+CB282</x:f>
        <x:v>0</x:v>
      </x:c>
      <x:c r="CD282" s="141" t="n">
        <x:f>MAX(0,CA282)</x:f>
        <x:v>9418065.932135396</x:v>
      </x:c>
      <x:c r="CE282" s="141" t="n">
        <x:f>IF(AND('Carta Contemplada'!$B$22="Sim",$A282&gt;='Carta Contemplada'!$B$23),INDEX('Carta Contemplada'!$I$55:$I$1013,$A282),0)</x:f>
        <x:v>0</x:v>
      </x:c>
      <x:c r="CF282" s="141" t="n">
        <x:f>IF(AND('Carta Contemplada'!$B$22="Sim",$A282&gt;='Carta Contemplada'!$B$44),$F282,0)</x:f>
        <x:v>767668.4972395434</x:v>
      </x:c>
      <x:c r="CG282" s="141" t="n">
        <x:f>CD282+CF282-CE282</x:f>
        <x:v>10185734.429374939</x:v>
      </x:c>
      <x:c r="CH282" s="141" t="n">
        <x:f>IF(CC282&gt;1,"Inviavel",CG282)</x:f>
        <x:v>10185734.429374939</x:v>
      </x:c>
      <x:c r="CI282" s="145" t="str">
        <x:f>IF(CC282&gt;1,"Inviavel","OK")</x:f>
        <x:v>OK</x:v>
      </x:c>
    </x:row>
    <x:row r="283">
      <x:c r="A283" s="142" t="n">
        <x:v>279</x:v>
      </x:c>
      <x:c r="B283" s="179" t="n">
        <x:f>EDATE(Premissas!$B$4,A283-1)</x:f>
        <x:v>55001</x:v>
      </x:c>
      <x:c r="C283" s="141" t="n">
        <x:f>IF(A283&lt;=Premissas!$B$39,Premissas!$B$42,0)</x:f>
        <x:v>7000</x:v>
      </x:c>
      <x:c r="D283" s="141" t="n">
        <x:f>Premissas!$B$54*(1+Premissas!$B$57)^INT((A283-1)/12)</x:f>
        <x:v>2673.8247631011404</x:v>
      </x:c>
      <x:c r="E283" s="141" t="n">
        <x:f>Premissas!$B$64*(1+Premissas!$B$57)^INT((A283-1)/12)</x:f>
        <x:v>2444.639783406757</x:v>
      </x:c>
      <x:c r="F283" s="141" t="n">
        <x:f>MAX(0,Premissas!$B$6*(1+Premissas!$B$66)^((A283-1)/12))</x:f>
        <x:v>771405.1624672778</x:v>
      </x:c>
      <x:c r="G283" s="141" t="n">
        <x:f>G282*(1+Premissas!$B$41)+C283</x:f>
        <x:v>10790298.534549838</x:v>
      </x:c>
      <x:c r="H283" s="141" t="n">
        <x:f>IF($A283=Premissas!$B$48,Premissas!$B$8,0)</x:f>
        <x:v>0</x:v>
      </x:c>
      <x:c r="I283" s="141" t="n">
        <x:f>IF(AND($A283&gt;=Premissas!$B$48,$A283-Premissas!$B$48+1&lt;=Premissas!$B$13),INDEX(Financiamento!$J$6:$J$485,$A283-Premissas!$B$48+1),0)</x:f>
        <x:v>1044.2508939850652</x:v>
      </x:c>
      <x:c r="J283" s="141" t="n">
        <x:f>IF(AND(TRUE,Premissas!$B$11="Imovel",Premissas!$B$47="Moradia",$A283&lt;MAX(Premissas!$B$48,Premissas!$B$49)),$D283,0)</x:f>
        <x:v>0</x:v>
      </x:c>
      <x:c r="K283" s="141" t="n">
        <x:f>IF(AND(TRUE,Premissas!$B$11="Imovel",Premissas!$B$47="Investimento",$A283&gt;=MAX(Premissas!$B$48,Premissas!$B$49)),$E283,0)</x:f>
        <x:v>2444.639783406757</x:v>
      </x:c>
      <x:c r="L283" s="141" t="n">
        <x:f>H283+I283+J283</x:f>
        <x:v>1044.2508939850652</x:v>
      </x:c>
      <x:c r="M283" s="141" t="n">
        <x:f>K283</x:f>
        <x:v>2444.639783406757</x:v>
      </x:c>
      <x:c r="N283" s="141" t="n">
        <x:f>$C283+M283-L283</x:f>
        <x:v>8400.388889421693</x:v>
      </x:c>
      <x:c r="O283" s="141" t="n">
        <x:f>R282*(1+Premissas!$B$41)+N283</x:f>
        <x:v>9214328.841854574</x:v>
      </x:c>
      <x:c r="P283" s="141" t="n">
        <x:f>MAX(0,-O283)</x:f>
        <x:v>0</x:v>
      </x:c>
      <x:c r="Q283" s="141" t="n">
        <x:f>Q282*(1+Premissas!$B$41)+P283</x:f>
        <x:v>0</x:v>
      </x:c>
      <x:c r="R283" s="141" t="n">
        <x:f>MAX(0,O283)</x:f>
        <x:v>9214328.841854574</x:v>
      </x:c>
      <x:c r="S283" s="141" t="n">
        <x:f>IF(AND($A283&gt;=Premissas!$B$48,$A283-Premissas!$B$48+1&lt;=Premissas!$B$13),INDEX(Financiamento!$M$6:$M$485,$A283-Premissas!$B$48+1),0)</x:f>
        <x:v>53714.2857142858</x:v>
      </x:c>
      <x:c r="T283" s="141" t="n">
        <x:f>IF($A283&gt;=Premissas!$B$48,$F283,0)</x:f>
        <x:v>771405.1624672778</x:v>
      </x:c>
      <x:c r="U283" s="141" t="n">
        <x:f>R283+T283-S283</x:f>
        <x:v>9932019.718607567</x:v>
      </x:c>
      <x:c r="V283" s="141" t="n">
        <x:f>IF(Q283&gt;1,"Inviavel",U283)</x:f>
        <x:v>9932019.718607567</x:v>
      </x:c>
      <x:c r="W283" s="141" t="str">
        <x:f>IF(Q283&gt;1,"Inviavel","OK")</x:f>
        <x:v>OK</x:v>
      </x:c>
      <x:c r="X283" s="141" t="n">
        <x:f>IF($A283=Premissas!$B$48,Premissas!$B$8,0)</x:f>
        <x:v>0</x:v>
      </x:c>
      <x:c r="Y283" s="141" t="n">
        <x:f>IF(AND($A283&gt;=Premissas!$B$48,$A283-Premissas!$B$48+1&lt;=Premissas!$B$13),INDEX(Amortizacao!$K$6:$K$485,$A283-Premissas!$B$48+1),0)</x:f>
        <x:v>0</x:v>
      </x:c>
      <x:c r="Z283" s="141" t="n">
        <x:f>IF(AND(TRUE,Premissas!$B$11="Imovel",Premissas!$B$47="Moradia",$A283&lt;MAX(Premissas!$B$48,Premissas!$B$49)),$D283,0)</x:f>
        <x:v>0</x:v>
      </x:c>
      <x:c r="AA283" s="141" t="n">
        <x:f>IF(AND(TRUE,Premissas!$B$11="Imovel",Premissas!$B$47="Investimento",$A283&gt;=MAX(Premissas!$B$48,Premissas!$B$49)),$E283,0)</x:f>
        <x:v>2444.639783406757</x:v>
      </x:c>
      <x:c r="AB283" s="141" t="n">
        <x:f>X283+Y283+Z283</x:f>
        <x:v>0</x:v>
      </x:c>
      <x:c r="AC283" s="141" t="n">
        <x:f>AA283</x:f>
        <x:v>2444.639783406757</x:v>
      </x:c>
      <x:c r="AD283" s="141" t="n">
        <x:f>$C283+AC283-AB283</x:f>
        <x:v>9444.639783406757</x:v>
      </x:c>
      <x:c r="AE283" s="141" t="n">
        <x:f>AH282*(1+Premissas!$B$41)+AD283</x:f>
        <x:v>9315594.989353295</x:v>
      </x:c>
      <x:c r="AF283" s="141" t="n">
        <x:f>MAX(0,-AE283)</x:f>
        <x:v>0</x:v>
      </x:c>
      <x:c r="AG283" s="141" t="n">
        <x:f>AG282*(1+Premissas!$B$41)+AF283</x:f>
        <x:v>0</x:v>
      </x:c>
      <x:c r="AH283" s="141" t="n">
        <x:f>MAX(0,AE283)</x:f>
        <x:v>9315594.989353295</x:v>
      </x:c>
      <x:c r="AI283" s="141" t="n">
        <x:f>IF(AND($A283&gt;=Premissas!$B$48,$A283-Premissas!$B$48+1&lt;=Premissas!$B$13),INDEX(Amortizacao!$L$6:$L$485,$A283-Premissas!$B$48+1),0)</x:f>
        <x:v>0</x:v>
      </x:c>
      <x:c r="AJ283" s="141" t="n">
        <x:f>IF($A283&gt;=Premissas!$B$48,$F283,0)</x:f>
        <x:v>771405.1624672778</x:v>
      </x:c>
      <x:c r="AK283" s="141" t="n">
        <x:f>AH283+AJ283-AI283</x:f>
        <x:v>10087000.151820574</x:v>
      </x:c>
      <x:c r="AL283" s="141" t="n">
        <x:f>IF(AG283&gt;1,"Inviavel",AK283)</x:f>
        <x:v>10087000.151820574</x:v>
      </x:c>
      <x:c r="AM283" s="141" t="str">
        <x:f>IF(AG283&gt;1,"Inviavel","OK")</x:f>
        <x:v>OK</x:v>
      </x:c>
      <x:c r="AN283" s="141" t="n">
        <x:f>IF($A283=Premissas!$B$48,Premissas!$B$8,0)</x:f>
        <x:v>0</x:v>
      </x:c>
      <x:c r="AO283" s="141" t="n">
        <x:f>IF($A283&lt;=Premissas!$B$25,INDEX('Consorcio IQ'!$K$6:$K$485,$A283),0)</x:f>
        <x:v>0</x:v>
      </x:c>
      <x:c r="AP283" s="141" t="n">
        <x:f>IF(AND(TRUE,Premissas!$B$11="Imovel",Premissas!$B$47="Moradia",$A283&lt;MAX(Premissas!$B$48,Premissas!$B$49)),$D283,0)</x:f>
        <x:v>0</x:v>
      </x:c>
      <x:c r="AQ283" s="141" t="n">
        <x:f>IF(AND(TRUE,Premissas!$B$11="Imovel",Premissas!$B$47="Investimento",$A283&gt;=MAX(Premissas!$B$48,Premissas!$B$49)),$E283,0)</x:f>
        <x:v>2444.639783406757</x:v>
      </x:c>
      <x:c r="AR283" s="141" t="n">
        <x:f>AN283+AO283+AP283</x:f>
        <x:v>0</x:v>
      </x:c>
      <x:c r="AS283" s="141" t="n">
        <x:f>AQ283</x:f>
        <x:v>2444.639783406757</x:v>
      </x:c>
      <x:c r="AT283" s="141" t="n">
        <x:f>$C283+AS283-AR283</x:f>
        <x:v>9444.639783406757</x:v>
      </x:c>
      <x:c r="AU283" s="141" t="n">
        <x:f>AX282*(1+Premissas!$B$41)+AT283</x:f>
        <x:v>9235778.708552407</x:v>
      </x:c>
      <x:c r="AV283" s="141" t="n">
        <x:f>MAX(0,-AU283)</x:f>
        <x:v>0</x:v>
      </x:c>
      <x:c r="AW283" s="141" t="n">
        <x:f>AW282*(1+Premissas!$B$41)+AV283</x:f>
        <x:v>0</x:v>
      </x:c>
      <x:c r="AX283" s="141" t="n">
        <x:f>MAX(0,AU283)</x:f>
        <x:v>9235778.708552407</x:v>
      </x:c>
      <x:c r="AY283" s="141" t="n">
        <x:f>INDEX('Consorcio IQ'!$P$6:$P$485,$A283)</x:f>
        <x:v>0</x:v>
      </x:c>
      <x:c r="AZ283" s="141" t="n">
        <x:f>IF($A283&gt;=Premissas!$B$48,$F283,0)+IF($A283&lt;Premissas!$B$27,INDEX('Consorcio IQ'!$O$6:$O$485,$A283),0)</x:f>
        <x:v>771405.1624672778</x:v>
      </x:c>
      <x:c r="BA283" s="141" t="n">
        <x:f>AX283+AZ283-AY283</x:f>
        <x:v>10007183.871019686</x:v>
      </x:c>
      <x:c r="BB283" s="141" t="n">
        <x:f>IF(AW283&gt;1,"Inviavel",BA283)</x:f>
        <x:v>10007183.871019686</x:v>
      </x:c>
      <x:c r="BC283" s="141" t="str">
        <x:f>IF(AW283&gt;1,"Inviavel","OK")</x:f>
        <x:v>OK</x:v>
      </x:c>
      <x:c r="BD283" s="141" t="n">
        <x:f>IF($A283='Consorcio Direto'!$B$29,'Consorcio Direto'!$B$44,0)</x:f>
        <x:v>0</x:v>
      </x:c>
      <x:c r="BE283" s="141" t="n">
        <x:f>IF($A283&lt;='Consorcio Direto'!$B$27,INDEX('Consorcio Direto'!$E$55:$E$534,$A283),0)</x:f>
        <x:v>0</x:v>
      </x:c>
      <x:c r="BF283" s="141" t="n">
        <x:f>IF(AND(TRUE,Premissas!$B$11="Imovel",Premissas!$B$47="Moradia",$A283&lt;MAX('Consorcio Direto'!$B$29,Premissas!$B$49)),$D283,0)</x:f>
        <x:v>0</x:v>
      </x:c>
      <x:c r="BG283" s="141" t="n">
        <x:f>IF(AND(TRUE,Premissas!$B$11="Imovel",Premissas!$B$47="Investimento",$A283&gt;=MAX('Consorcio Direto'!$B$29,Premissas!$B$49)),$E283,0)</x:f>
        <x:v>2444.639783406757</x:v>
      </x:c>
      <x:c r="BH283" s="141" t="n">
        <x:f>BD283+BE283+BF283</x:f>
        <x:v>0</x:v>
      </x:c>
      <x:c r="BI283" s="141" t="n">
        <x:f>BG283</x:f>
        <x:v>2444.639783406757</x:v>
      </x:c>
      <x:c r="BJ283" s="141" t="n">
        <x:f>$C283+BI283-BH283</x:f>
        <x:v>9444.639783406757</x:v>
      </x:c>
      <x:c r="BK283" s="141" t="n">
        <x:f>BN282*(1+Premissas!$B$41)+BJ283</x:f>
        <x:v>8804420.449058278</x:v>
      </x:c>
      <x:c r="BL283" s="141" t="n">
        <x:f>MAX(0,-BK283)</x:f>
        <x:v>0</x:v>
      </x:c>
      <x:c r="BM283" s="141" t="n">
        <x:f>BM282*(1+Premissas!$B$41)+BL283</x:f>
        <x:v>0</x:v>
      </x:c>
      <x:c r="BN283" s="141" t="n">
        <x:f>MAX(0,BK283)</x:f>
        <x:v>8804420.449058278</x:v>
      </x:c>
      <x:c r="BO283" s="141" t="n">
        <x:f>INDEX('Consorcio Direto'!$K$55:$K$534,$A283)</x:f>
        <x:v>0</x:v>
      </x:c>
      <x:c r="BP283" s="141" t="n">
        <x:f>IF($A283&lt;'Consorcio Direto'!$B$29,INDEX('Consorcio Direto'!$L$55:$L$534,$A283),$F283)</x:f>
        <x:v>771405.1624672778</x:v>
      </x:c>
      <x:c r="BQ283" s="141" t="n">
        <x:f>BN283+BP283-BO283</x:f>
        <x:v>9575825.611525556</x:v>
      </x:c>
      <x:c r="BR283" s="141" t="n">
        <x:f>IF(BM283&gt;1,"Inviavel",BQ283)</x:f>
        <x:v>9575825.611525556</x:v>
      </x:c>
      <x:c r="BS283" s="141" t="str">
        <x:f>IF(BM283&gt;1,"Inviavel","OK")</x:f>
        <x:v>OK</x:v>
      </x:c>
      <x:c r="BT283" s="141" t="n">
        <x:f>IF(AND('Carta Contemplada'!$B$22="Sim",$A283='Carta Contemplada'!$B$23),'Carta Contemplada'!$B$37,0)</x:f>
        <x:v>0</x:v>
      </x:c>
      <x:c r="BU283" s="141" t="n">
        <x:f>IF('Carta Contemplada'!$B$22="Sim",INDEX('Carta Contemplada'!$C$55:$C$1013,$A283),0)</x:f>
        <x:v>0</x:v>
      </x:c>
      <x:c r="BV283" s="141" t="n">
        <x:f>IF(AND('Carta Contemplada'!$B$22="Sim",Premissas!$B$11="Imovel",Premissas!$B$47="Moradia",$A283&lt;MAX('Carta Contemplada'!$B$44,Premissas!$B$49)),$D283,0)</x:f>
        <x:v>0</x:v>
      </x:c>
      <x:c r="BW283" s="141" t="n">
        <x:f>IF(AND('Carta Contemplada'!$B$22="Sim",Premissas!$B$11="Imovel",Premissas!$B$47="Investimento",$A283&gt;=MAX('Carta Contemplada'!$B$44,Premissas!$B$49)),$E283,0)</x:f>
        <x:v>2444.639783406757</x:v>
      </x:c>
      <x:c r="BX283" s="141" t="n">
        <x:f>BT283+BU283+BV283</x:f>
        <x:v>0</x:v>
      </x:c>
      <x:c r="BY283" s="141" t="n">
        <x:f>BW283</x:f>
        <x:v>2444.639783406757</x:v>
      </x:c>
      <x:c r="BZ283" s="141" t="n">
        <x:f>$C283+BY283-BX283</x:f>
        <x:v>9444.639783406757</x:v>
      </x:c>
      <x:c r="CA283" s="141" t="n">
        <x:f>CD282*(1+Premissas!$B$41)+BZ283</x:f>
        <x:v>9516876.649393085</x:v>
      </x:c>
      <x:c r="CB283" s="141" t="n">
        <x:f>MAX(0,-CA283)</x:f>
        <x:v>0</x:v>
      </x:c>
      <x:c r="CC283" s="141" t="n">
        <x:f>CC282*(1+Premissas!$B$41)+CB283</x:f>
        <x:v>0</x:v>
      </x:c>
      <x:c r="CD283" s="141" t="n">
        <x:f>MAX(0,CA283)</x:f>
        <x:v>9516876.649393085</x:v>
      </x:c>
      <x:c r="CE283" s="141" t="n">
        <x:f>IF(AND('Carta Contemplada'!$B$22="Sim",$A283&gt;='Carta Contemplada'!$B$23),INDEX('Carta Contemplada'!$I$55:$I$1013,$A283),0)</x:f>
        <x:v>0</x:v>
      </x:c>
      <x:c r="CF283" s="141" t="n">
        <x:f>IF(AND('Carta Contemplada'!$B$22="Sim",$A283&gt;='Carta Contemplada'!$B$44),$F283,0)</x:f>
        <x:v>771405.1624672778</x:v>
      </x:c>
      <x:c r="CG283" s="141" t="n">
        <x:f>CD283+CF283-CE283</x:f>
        <x:v>10288281.811860364</x:v>
      </x:c>
      <x:c r="CH283" s="141" t="n">
        <x:f>IF(CC283&gt;1,"Inviavel",CG283)</x:f>
        <x:v>10288281.811860364</x:v>
      </x:c>
      <x:c r="CI283" s="145" t="str">
        <x:f>IF(CC283&gt;1,"Inviavel","OK")</x:f>
        <x:v>OK</x:v>
      </x:c>
    </x:row>
    <x:row r="284">
      <x:c r="A284" s="142" t="n">
        <x:v>280</x:v>
      </x:c>
      <x:c r="B284" s="179" t="n">
        <x:f>EDATE(Premissas!$B$4,A284-1)</x:f>
        <x:v>55032</x:v>
      </x:c>
      <x:c r="C284" s="141" t="n">
        <x:f>IF(A284&lt;=Premissas!$B$39,Premissas!$B$42,0)</x:f>
        <x:v>7000</x:v>
      </x:c>
      <x:c r="D284" s="141" t="n">
        <x:f>Premissas!$B$54*(1+Premissas!$B$57)^INT((A284-1)/12)</x:f>
        <x:v>2673.8247631011404</x:v>
      </x:c>
      <x:c r="E284" s="141" t="n">
        <x:f>Premissas!$B$64*(1+Premissas!$B$57)^INT((A284-1)/12)</x:f>
        <x:v>2444.639783406757</x:v>
      </x:c>
      <x:c r="F284" s="141" t="n">
        <x:f>MAX(0,Premissas!$B$6*(1+Premissas!$B$66)^((A284-1)/12))</x:f>
        <x:v>775160.0161019539</x:v>
      </x:c>
      <x:c r="G284" s="141" t="n">
        <x:f>G283*(1+Premissas!$B$41)+C284</x:f>
        <x:v>10899685.443046516</x:v>
      </x:c>
      <x:c r="H284" s="141" t="n">
        <x:f>IF($A284=Premissas!$B$48,Premissas!$B$8,0)</x:f>
        <x:v>0</x:v>
      </x:c>
      <x:c r="I284" s="141" t="n">
        <x:f>IF(AND($A284&gt;=Premissas!$B$48,$A284-Premissas!$B$48+1&lt;=Premissas!$B$13),INDEX(Financiamento!$J$6:$J$485,$A284-Premissas!$B$48+1),0)</x:f>
        <x:v>1040.6361157242716</x:v>
      </x:c>
      <x:c r="J284" s="141" t="n">
        <x:f>IF(AND(TRUE,Premissas!$B$11="Imovel",Premissas!$B$47="Moradia",$A284&lt;MAX(Premissas!$B$48,Premissas!$B$49)),$D284,0)</x:f>
        <x:v>0</x:v>
      </x:c>
      <x:c r="K284" s="141" t="n">
        <x:f>IF(AND(TRUE,Premissas!$B$11="Imovel",Premissas!$B$47="Investimento",$A284&gt;=MAX(Premissas!$B$48,Premissas!$B$49)),$E284,0)</x:f>
        <x:v>2444.639783406757</x:v>
      </x:c>
      <x:c r="L284" s="141" t="n">
        <x:f>H284+I284+J284</x:f>
        <x:v>1040.6361157242716</x:v>
      </x:c>
      <x:c r="M284" s="141" t="n">
        <x:f>K284</x:f>
        <x:v>2444.639783406757</x:v>
      </x:c>
      <x:c r="N284" s="141" t="n">
        <x:f>$C284+M284-L284</x:f>
        <x:v>8404.003667682486</x:v>
      </x:c>
      <x:c r="O284" s="141" t="n">
        <x:f>R283*(1+Premissas!$B$41)+N284</x:f>
        <x:v>9310165.703933772</x:v>
      </x:c>
      <x:c r="P284" s="141" t="n">
        <x:f>MAX(0,-O284)</x:f>
        <x:v>0</x:v>
      </x:c>
      <x:c r="Q284" s="141" t="n">
        <x:f>Q283*(1+Premissas!$B$41)+P284</x:f>
        <x:v>0</x:v>
      </x:c>
      <x:c r="R284" s="141" t="n">
        <x:f>MAX(0,O284)</x:f>
        <x:v>9310165.703933772</x:v>
      </x:c>
      <x:c r="S284" s="141" t="n">
        <x:f>IF(AND($A284&gt;=Premissas!$B$48,$A284-Premissas!$B$48+1&lt;=Premissas!$B$13),INDEX(Financiamento!$M$6:$M$485,$A284-Premissas!$B$48+1),0)</x:f>
        <x:v>53333.333333333416</x:v>
      </x:c>
      <x:c r="T284" s="141" t="n">
        <x:f>IF($A284&gt;=Premissas!$B$48,$F284,0)</x:f>
        <x:v>775160.0161019539</x:v>
      </x:c>
      <x:c r="U284" s="141" t="n">
        <x:f>R284+T284-S284</x:f>
        <x:v>10031992.386702392</x:v>
      </x:c>
      <x:c r="V284" s="141" t="n">
        <x:f>IF(Q284&gt;1,"Inviavel",U284)</x:f>
        <x:v>10031992.386702392</x:v>
      </x:c>
      <x:c r="W284" s="141" t="str">
        <x:f>IF(Q284&gt;1,"Inviavel","OK")</x:f>
        <x:v>OK</x:v>
      </x:c>
      <x:c r="X284" s="141" t="n">
        <x:f>IF($A284=Premissas!$B$48,Premissas!$B$8,0)</x:f>
        <x:v>0</x:v>
      </x:c>
      <x:c r="Y284" s="141" t="n">
        <x:f>IF(AND($A284&gt;=Premissas!$B$48,$A284-Premissas!$B$48+1&lt;=Premissas!$B$13),INDEX(Amortizacao!$K$6:$K$485,$A284-Premissas!$B$48+1),0)</x:f>
        <x:v>0</x:v>
      </x:c>
      <x:c r="Z284" s="141" t="n">
        <x:f>IF(AND(TRUE,Premissas!$B$11="Imovel",Premissas!$B$47="Moradia",$A284&lt;MAX(Premissas!$B$48,Premissas!$B$49)),$D284,0)</x:f>
        <x:v>0</x:v>
      </x:c>
      <x:c r="AA284" s="141" t="n">
        <x:f>IF(AND(TRUE,Premissas!$B$11="Imovel",Premissas!$B$47="Investimento",$A284&gt;=MAX(Premissas!$B$48,Premissas!$B$49)),$E284,0)</x:f>
        <x:v>2444.639783406757</x:v>
      </x:c>
      <x:c r="AB284" s="141" t="n">
        <x:f>X284+Y284+Z284</x:f>
        <x:v>0</x:v>
      </x:c>
      <x:c r="AC284" s="141" t="n">
        <x:f>AA284</x:f>
        <x:v>2444.639783406757</x:v>
      </x:c>
      <x:c r="AD284" s="141" t="n">
        <x:f>$C284+AC284-AB284</x:f>
        <x:v>9444.639783406757</x:v>
      </x:c>
      <x:c r="AE284" s="141" t="n">
        <x:f>AH283*(1+Premissas!$B$41)+AD284</x:f>
        <x:v>9413433.381053114</x:v>
      </x:c>
      <x:c r="AF284" s="141" t="n">
        <x:f>MAX(0,-AE284)</x:f>
        <x:v>0</x:v>
      </x:c>
      <x:c r="AG284" s="141" t="n">
        <x:f>AG283*(1+Premissas!$B$41)+AF284</x:f>
        <x:v>0</x:v>
      </x:c>
      <x:c r="AH284" s="141" t="n">
        <x:f>MAX(0,AE284)</x:f>
        <x:v>9413433.381053114</x:v>
      </x:c>
      <x:c r="AI284" s="141" t="n">
        <x:f>IF(AND($A284&gt;=Premissas!$B$48,$A284-Premissas!$B$48+1&lt;=Premissas!$B$13),INDEX(Amortizacao!$L$6:$L$485,$A284-Premissas!$B$48+1),0)</x:f>
        <x:v>0</x:v>
      </x:c>
      <x:c r="AJ284" s="141" t="n">
        <x:f>IF($A284&gt;=Premissas!$B$48,$F284,0)</x:f>
        <x:v>775160.0161019539</x:v>
      </x:c>
      <x:c r="AK284" s="141" t="n">
        <x:f>AH284+AJ284-AI284</x:f>
        <x:v>10188593.397155069</x:v>
      </x:c>
      <x:c r="AL284" s="141" t="n">
        <x:f>IF(AG284&gt;1,"Inviavel",AK284)</x:f>
        <x:v>10188593.397155069</x:v>
      </x:c>
      <x:c r="AM284" s="141" t="str">
        <x:f>IF(AG284&gt;1,"Inviavel","OK")</x:f>
        <x:v>OK</x:v>
      </x:c>
      <x:c r="AN284" s="141" t="n">
        <x:f>IF($A284=Premissas!$B$48,Premissas!$B$8,0)</x:f>
        <x:v>0</x:v>
      </x:c>
      <x:c r="AO284" s="141" t="n">
        <x:f>IF($A284&lt;=Premissas!$B$25,INDEX('Consorcio IQ'!$K$6:$K$485,$A284),0)</x:f>
        <x:v>0</x:v>
      </x:c>
      <x:c r="AP284" s="141" t="n">
        <x:f>IF(AND(TRUE,Premissas!$B$11="Imovel",Premissas!$B$47="Moradia",$A284&lt;MAX(Premissas!$B$48,Premissas!$B$49)),$D284,0)</x:f>
        <x:v>0</x:v>
      </x:c>
      <x:c r="AQ284" s="141" t="n">
        <x:f>IF(AND(TRUE,Premissas!$B$11="Imovel",Premissas!$B$47="Investimento",$A284&gt;=MAX(Premissas!$B$48,Premissas!$B$49)),$E284,0)</x:f>
        <x:v>2444.639783406757</x:v>
      </x:c>
      <x:c r="AR284" s="141" t="n">
        <x:f>AN284+AO284+AP284</x:f>
        <x:v>0</x:v>
      </x:c>
      <x:c r="AS284" s="141" t="n">
        <x:f>AQ284</x:f>
        <x:v>2444.639783406757</x:v>
      </x:c>
      <x:c r="AT284" s="141" t="n">
        <x:f>$C284+AS284-AR284</x:f>
        <x:v>9444.639783406757</x:v>
      </x:c>
      <x:c r="AU284" s="141" t="n">
        <x:f>AX283*(1+Premissas!$B$41)+AT284</x:f>
        <x:v>9332859.7400909</x:v>
      </x:c>
      <x:c r="AV284" s="141" t="n">
        <x:f>MAX(0,-AU284)</x:f>
        <x:v>0</x:v>
      </x:c>
      <x:c r="AW284" s="141" t="n">
        <x:f>AW283*(1+Premissas!$B$41)+AV284</x:f>
        <x:v>0</x:v>
      </x:c>
      <x:c r="AX284" s="141" t="n">
        <x:f>MAX(0,AU284)</x:f>
        <x:v>9332859.7400909</x:v>
      </x:c>
      <x:c r="AY284" s="141" t="n">
        <x:f>INDEX('Consorcio IQ'!$P$6:$P$485,$A284)</x:f>
        <x:v>0</x:v>
      </x:c>
      <x:c r="AZ284" s="141" t="n">
        <x:f>IF($A284&gt;=Premissas!$B$48,$F284,0)+IF($A284&lt;Premissas!$B$27,INDEX('Consorcio IQ'!$O$6:$O$485,$A284),0)</x:f>
        <x:v>775160.0161019539</x:v>
      </x:c>
      <x:c r="BA284" s="141" t="n">
        <x:f>AX284+AZ284-AY284</x:f>
        <x:v>10108019.756192854</x:v>
      </x:c>
      <x:c r="BB284" s="141" t="n">
        <x:f>IF(AW284&gt;1,"Inviavel",BA284)</x:f>
        <x:v>10108019.756192854</x:v>
      </x:c>
      <x:c r="BC284" s="141" t="str">
        <x:f>IF(AW284&gt;1,"Inviavel","OK")</x:f>
        <x:v>OK</x:v>
      </x:c>
      <x:c r="BD284" s="141" t="n">
        <x:f>IF($A284='Consorcio Direto'!$B$29,'Consorcio Direto'!$B$44,0)</x:f>
        <x:v>0</x:v>
      </x:c>
      <x:c r="BE284" s="141" t="n">
        <x:f>IF($A284&lt;='Consorcio Direto'!$B$27,INDEX('Consorcio Direto'!$E$55:$E$534,$A284),0)</x:f>
        <x:v>0</x:v>
      </x:c>
      <x:c r="BF284" s="141" t="n">
        <x:f>IF(AND(TRUE,Premissas!$B$11="Imovel",Premissas!$B$47="Moradia",$A284&lt;MAX('Consorcio Direto'!$B$29,Premissas!$B$49)),$D284,0)</x:f>
        <x:v>0</x:v>
      </x:c>
      <x:c r="BG284" s="141" t="n">
        <x:f>IF(AND(TRUE,Premissas!$B$11="Imovel",Premissas!$B$47="Investimento",$A284&gt;=MAX('Consorcio Direto'!$B$29,Premissas!$B$49)),$E284,0)</x:f>
        <x:v>2444.639783406757</x:v>
      </x:c>
      <x:c r="BH284" s="141" t="n">
        <x:f>BD284+BE284+BF284</x:f>
        <x:v>0</x:v>
      </x:c>
      <x:c r="BI284" s="141" t="n">
        <x:f>BG284</x:f>
        <x:v>2444.639783406757</x:v>
      </x:c>
      <x:c r="BJ284" s="141" t="n">
        <x:f>$C284+BI284-BH284</x:f>
        <x:v>9444.639783406757</x:v>
      </x:c>
      <x:c r="BK284" s="141" t="n">
        <x:f>BN283*(1+Premissas!$B$41)+BJ284</x:f>
        <x:v>8897408.411391808</x:v>
      </x:c>
      <x:c r="BL284" s="141" t="n">
        <x:f>MAX(0,-BK284)</x:f>
        <x:v>0</x:v>
      </x:c>
      <x:c r="BM284" s="141" t="n">
        <x:f>BM283*(1+Premissas!$B$41)+BL284</x:f>
        <x:v>0</x:v>
      </x:c>
      <x:c r="BN284" s="141" t="n">
        <x:f>MAX(0,BK284)</x:f>
        <x:v>8897408.411391808</x:v>
      </x:c>
      <x:c r="BO284" s="141" t="n">
        <x:f>INDEX('Consorcio Direto'!$K$55:$K$534,$A284)</x:f>
        <x:v>0</x:v>
      </x:c>
      <x:c r="BP284" s="141" t="n">
        <x:f>IF($A284&lt;'Consorcio Direto'!$B$29,INDEX('Consorcio Direto'!$L$55:$L$534,$A284),$F284)</x:f>
        <x:v>775160.0161019539</x:v>
      </x:c>
      <x:c r="BQ284" s="141" t="n">
        <x:f>BN284+BP284-BO284</x:f>
        <x:v>9672568.427493762</x:v>
      </x:c>
      <x:c r="BR284" s="141" t="n">
        <x:f>IF(BM284&gt;1,"Inviavel",BQ284)</x:f>
        <x:v>9672568.427493762</x:v>
      </x:c>
      <x:c r="BS284" s="141" t="str">
        <x:f>IF(BM284&gt;1,"Inviavel","OK")</x:f>
        <x:v>OK</x:v>
      </x:c>
      <x:c r="BT284" s="141" t="n">
        <x:f>IF(AND('Carta Contemplada'!$B$22="Sim",$A284='Carta Contemplada'!$B$23),'Carta Contemplada'!$B$37,0)</x:f>
        <x:v>0</x:v>
      </x:c>
      <x:c r="BU284" s="141" t="n">
        <x:f>IF('Carta Contemplada'!$B$22="Sim",INDEX('Carta Contemplada'!$C$55:$C$1013,$A284),0)</x:f>
        <x:v>0</x:v>
      </x:c>
      <x:c r="BV284" s="141" t="n">
        <x:f>IF(AND('Carta Contemplada'!$B$22="Sim",Premissas!$B$11="Imovel",Premissas!$B$47="Moradia",$A284&lt;MAX('Carta Contemplada'!$B$44,Premissas!$B$49)),$D284,0)</x:f>
        <x:v>0</x:v>
      </x:c>
      <x:c r="BW284" s="141" t="n">
        <x:f>IF(AND('Carta Contemplada'!$B$22="Sim",Premissas!$B$11="Imovel",Premissas!$B$47="Investimento",$A284&gt;=MAX('Carta Contemplada'!$B$44,Premissas!$B$49)),$E284,0)</x:f>
        <x:v>2444.639783406757</x:v>
      </x:c>
      <x:c r="BX284" s="141" t="n">
        <x:f>BT284+BU284+BV284</x:f>
        <x:v>0</x:v>
      </x:c>
      <x:c r="BY284" s="141" t="n">
        <x:f>BW284</x:f>
        <x:v>2444.639783406757</x:v>
      </x:c>
      <x:c r="BZ284" s="141" t="n">
        <x:f>$C284+BY284-BX284</x:f>
        <x:v>9444.639783406757</x:v>
      </x:c>
      <x:c r="CA284" s="141" t="n">
        <x:f>CD283*(1+Premissas!$B$41)+BZ284</x:f>
        <x:v>9616624.96108655</x:v>
      </x:c>
      <x:c r="CB284" s="141" t="n">
        <x:f>MAX(0,-CA284)</x:f>
        <x:v>0</x:v>
      </x:c>
      <x:c r="CC284" s="141" t="n">
        <x:f>CC283*(1+Premissas!$B$41)+CB284</x:f>
        <x:v>0</x:v>
      </x:c>
      <x:c r="CD284" s="141" t="n">
        <x:f>MAX(0,CA284)</x:f>
        <x:v>9616624.96108655</x:v>
      </x:c>
      <x:c r="CE284" s="141" t="n">
        <x:f>IF(AND('Carta Contemplada'!$B$22="Sim",$A284&gt;='Carta Contemplada'!$B$23),INDEX('Carta Contemplada'!$I$55:$I$1013,$A284),0)</x:f>
        <x:v>0</x:v>
      </x:c>
      <x:c r="CF284" s="141" t="n">
        <x:f>IF(AND('Carta Contemplada'!$B$22="Sim",$A284&gt;='Carta Contemplada'!$B$44),$F284,0)</x:f>
        <x:v>775160.0161019539</x:v>
      </x:c>
      <x:c r="CG284" s="141" t="n">
        <x:f>CD284+CF284-CE284</x:f>
        <x:v>10391784.977188505</x:v>
      </x:c>
      <x:c r="CH284" s="141" t="n">
        <x:f>IF(CC284&gt;1,"Inviavel",CG284)</x:f>
        <x:v>10391784.977188505</x:v>
      </x:c>
      <x:c r="CI284" s="145" t="str">
        <x:f>IF(CC284&gt;1,"Inviavel","OK")</x:f>
        <x:v>OK</x:v>
      </x:c>
    </x:row>
    <x:row r="285">
      <x:c r="A285" s="142" t="n">
        <x:v>281</x:v>
      </x:c>
      <x:c r="B285" s="179" t="n">
        <x:f>EDATE(Premissas!$B$4,A285-1)</x:f>
        <x:v>55062</x:v>
      </x:c>
      <x:c r="C285" s="141" t="n">
        <x:f>IF(A285&lt;=Premissas!$B$39,Premissas!$B$42,0)</x:f>
        <x:v>7000</x:v>
      </x:c>
      <x:c r="D285" s="141" t="n">
        <x:f>Premissas!$B$54*(1+Premissas!$B$57)^INT((A285-1)/12)</x:f>
        <x:v>2673.8247631011404</x:v>
      </x:c>
      <x:c r="E285" s="141" t="n">
        <x:f>Premissas!$B$64*(1+Premissas!$B$57)^INT((A285-1)/12)</x:f>
        <x:v>2444.639783406757</x:v>
      </x:c>
      <x:c r="F285" s="141" t="n">
        <x:f>MAX(0,Premissas!$B$6*(1+Premissas!$B$66)^((A285-1)/12))</x:f>
        <x:v>778933.1466765623</x:v>
      </x:c>
      <x:c r="G285" s="141" t="n">
        <x:f>G284*(1+Premissas!$B$41)+C285</x:f>
        <x:v>11010110.301267672</x:v>
      </x:c>
      <x:c r="H285" s="141" t="n">
        <x:f>IF($A285=Premissas!$B$48,Premissas!$B$8,0)</x:f>
        <x:v>0</x:v>
      </x:c>
      <x:c r="I285" s="141" t="n">
        <x:f>IF(AND($A285&gt;=Premissas!$B$48,$A285-Premissas!$B$48+1&lt;=Premissas!$B$13),INDEX(Financiamento!$J$6:$J$485,$A285-Premissas!$B$48+1),0)</x:f>
        <x:v>1037.0213374634782</x:v>
      </x:c>
      <x:c r="J285" s="141" t="n">
        <x:f>IF(AND(TRUE,Premissas!$B$11="Imovel",Premissas!$B$47="Moradia",$A285&lt;MAX(Premissas!$B$48,Premissas!$B$49)),$D285,0)</x:f>
        <x:v>0</x:v>
      </x:c>
      <x:c r="K285" s="141" t="n">
        <x:f>IF(AND(TRUE,Premissas!$B$11="Imovel",Premissas!$B$47="Investimento",$A285&gt;=MAX(Premissas!$B$48,Premissas!$B$49)),$E285,0)</x:f>
        <x:v>2444.639783406757</x:v>
      </x:c>
      <x:c r="L285" s="141" t="n">
        <x:f>H285+I285+J285</x:f>
        <x:v>1037.0213374634782</x:v>
      </x:c>
      <x:c r="M285" s="141" t="n">
        <x:f>K285</x:f>
        <x:v>2444.639783406757</x:v>
      </x:c>
      <x:c r="N285" s="141" t="n">
        <x:f>$C285+M285-L285</x:f>
        <x:v>8407.618445943279</x:v>
      </x:c>
      <x:c r="O285" s="141" t="n">
        <x:f>R284*(1+Premissas!$B$41)+N285</x:f>
        <x:v>9406915.556931</x:v>
      </x:c>
      <x:c r="P285" s="141" t="n">
        <x:f>MAX(0,-O285)</x:f>
        <x:v>0</x:v>
      </x:c>
      <x:c r="Q285" s="141" t="n">
        <x:f>Q284*(1+Premissas!$B$41)+P285</x:f>
        <x:v>0</x:v>
      </x:c>
      <x:c r="R285" s="141" t="n">
        <x:f>MAX(0,O285)</x:f>
        <x:v>9406915.556931</x:v>
      </x:c>
      <x:c r="S285" s="141" t="n">
        <x:f>IF(AND($A285&gt;=Premissas!$B$48,$A285-Premissas!$B$48+1&lt;=Premissas!$B$13),INDEX(Financiamento!$M$6:$M$485,$A285-Premissas!$B$48+1),0)</x:f>
        <x:v>52952.380952381034</x:v>
      </x:c>
      <x:c r="T285" s="141" t="n">
        <x:f>IF($A285&gt;=Premissas!$B$48,$F285,0)</x:f>
        <x:v>778933.1466765623</x:v>
      </x:c>
      <x:c r="U285" s="141" t="n">
        <x:f>R285+T285-S285</x:f>
        <x:v>10132896.322655182</x:v>
      </x:c>
      <x:c r="V285" s="141" t="n">
        <x:f>IF(Q285&gt;1,"Inviavel",U285)</x:f>
        <x:v>10132896.322655182</x:v>
      </x:c>
      <x:c r="W285" s="141" t="str">
        <x:f>IF(Q285&gt;1,"Inviavel","OK")</x:f>
        <x:v>OK</x:v>
      </x:c>
      <x:c r="X285" s="141" t="n">
        <x:f>IF($A285=Premissas!$B$48,Premissas!$B$8,0)</x:f>
        <x:v>0</x:v>
      </x:c>
      <x:c r="Y285" s="141" t="n">
        <x:f>IF(AND($A285&gt;=Premissas!$B$48,$A285-Premissas!$B$48+1&lt;=Premissas!$B$13),INDEX(Amortizacao!$K$6:$K$485,$A285-Premissas!$B$48+1),0)</x:f>
        <x:v>0</x:v>
      </x:c>
      <x:c r="Z285" s="141" t="n">
        <x:f>IF(AND(TRUE,Premissas!$B$11="Imovel",Premissas!$B$47="Moradia",$A285&lt;MAX(Premissas!$B$48,Premissas!$B$49)),$D285,0)</x:f>
        <x:v>0</x:v>
      </x:c>
      <x:c r="AA285" s="141" t="n">
        <x:f>IF(AND(TRUE,Premissas!$B$11="Imovel",Premissas!$B$47="Investimento",$A285&gt;=MAX(Premissas!$B$48,Premissas!$B$49)),$E285,0)</x:f>
        <x:v>2444.639783406757</x:v>
      </x:c>
      <x:c r="AB285" s="141" t="n">
        <x:f>X285+Y285+Z285</x:f>
        <x:v>0</x:v>
      </x:c>
      <x:c r="AC285" s="141" t="n">
        <x:f>AA285</x:f>
        <x:v>2444.639783406757</x:v>
      </x:c>
      <x:c r="AD285" s="141" t="n">
        <x:f>$C285+AC285-AB285</x:f>
        <x:v>9444.639783406757</x:v>
      </x:c>
      <x:c r="AE285" s="141" t="n">
        <x:f>AH284*(1+Premissas!$B$41)+AD285</x:f>
        <x:v>9512200.140992826</x:v>
      </x:c>
      <x:c r="AF285" s="141" t="n">
        <x:f>MAX(0,-AE285)</x:f>
        <x:v>0</x:v>
      </x:c>
      <x:c r="AG285" s="141" t="n">
        <x:f>AG284*(1+Premissas!$B$41)+AF285</x:f>
        <x:v>0</x:v>
      </x:c>
      <x:c r="AH285" s="141" t="n">
        <x:f>MAX(0,AE285)</x:f>
        <x:v>9512200.140992826</x:v>
      </x:c>
      <x:c r="AI285" s="141" t="n">
        <x:f>IF(AND($A285&gt;=Premissas!$B$48,$A285-Premissas!$B$48+1&lt;=Premissas!$B$13),INDEX(Amortizacao!$L$6:$L$485,$A285-Premissas!$B$48+1),0)</x:f>
        <x:v>0</x:v>
      </x:c>
      <x:c r="AJ285" s="141" t="n">
        <x:f>IF($A285&gt;=Premissas!$B$48,$F285,0)</x:f>
        <x:v>778933.1466765623</x:v>
      </x:c>
      <x:c r="AK285" s="141" t="n">
        <x:f>AH285+AJ285-AI285</x:f>
        <x:v>10291133.287669389</x:v>
      </x:c>
      <x:c r="AL285" s="141" t="n">
        <x:f>IF(AG285&gt;1,"Inviavel",AK285)</x:f>
        <x:v>10291133.287669389</x:v>
      </x:c>
      <x:c r="AM285" s="141" t="str">
        <x:f>IF(AG285&gt;1,"Inviavel","OK")</x:f>
        <x:v>OK</x:v>
      </x:c>
      <x:c r="AN285" s="141" t="n">
        <x:f>IF($A285=Premissas!$B$48,Premissas!$B$8,0)</x:f>
        <x:v>0</x:v>
      </x:c>
      <x:c r="AO285" s="141" t="n">
        <x:f>IF($A285&lt;=Premissas!$B$25,INDEX('Consorcio IQ'!$K$6:$K$485,$A285),0)</x:f>
        <x:v>0</x:v>
      </x:c>
      <x:c r="AP285" s="141" t="n">
        <x:f>IF(AND(TRUE,Premissas!$B$11="Imovel",Premissas!$B$47="Moradia",$A285&lt;MAX(Premissas!$B$48,Premissas!$B$49)),$D285,0)</x:f>
        <x:v>0</x:v>
      </x:c>
      <x:c r="AQ285" s="141" t="n">
        <x:f>IF(AND(TRUE,Premissas!$B$11="Imovel",Premissas!$B$47="Investimento",$A285&gt;=MAX(Premissas!$B$48,Premissas!$B$49)),$E285,0)</x:f>
        <x:v>2444.639783406757</x:v>
      </x:c>
      <x:c r="AR285" s="141" t="n">
        <x:f>AN285+AO285+AP285</x:f>
        <x:v>0</x:v>
      </x:c>
      <x:c r="AS285" s="141" t="n">
        <x:f>AQ285</x:f>
        <x:v>2444.639783406757</x:v>
      </x:c>
      <x:c r="AT285" s="141" t="n">
        <x:f>$C285+AS285-AR285</x:f>
        <x:v>9444.639783406757</x:v>
      </x:c>
      <x:c r="AU285" s="141" t="n">
        <x:f>AX284*(1+Premissas!$B$41)+AT285</x:f>
        <x:v>9430861.953435535</x:v>
      </x:c>
      <x:c r="AV285" s="141" t="n">
        <x:f>MAX(0,-AU285)</x:f>
        <x:v>0</x:v>
      </x:c>
      <x:c r="AW285" s="141" t="n">
        <x:f>AW284*(1+Premissas!$B$41)+AV285</x:f>
        <x:v>0</x:v>
      </x:c>
      <x:c r="AX285" s="141" t="n">
        <x:f>MAX(0,AU285)</x:f>
        <x:v>9430861.953435535</x:v>
      </x:c>
      <x:c r="AY285" s="141" t="n">
        <x:f>INDEX('Consorcio IQ'!$P$6:$P$485,$A285)</x:f>
        <x:v>0</x:v>
      </x:c>
      <x:c r="AZ285" s="141" t="n">
        <x:f>IF($A285&gt;=Premissas!$B$48,$F285,0)+IF($A285&lt;Premissas!$B$27,INDEX('Consorcio IQ'!$O$6:$O$485,$A285),0)</x:f>
        <x:v>778933.1466765623</x:v>
      </x:c>
      <x:c r="BA285" s="141" t="n">
        <x:f>AX285+AZ285-AY285</x:f>
        <x:v>10209795.100112097</x:v>
      </x:c>
      <x:c r="BB285" s="141" t="n">
        <x:f>IF(AW285&gt;1,"Inviavel",BA285)</x:f>
        <x:v>10209795.100112097</x:v>
      </x:c>
      <x:c r="BC285" s="141" t="str">
        <x:f>IF(AW285&gt;1,"Inviavel","OK")</x:f>
        <x:v>OK</x:v>
      </x:c>
      <x:c r="BD285" s="141" t="n">
        <x:f>IF($A285='Consorcio Direto'!$B$29,'Consorcio Direto'!$B$44,0)</x:f>
        <x:v>0</x:v>
      </x:c>
      <x:c r="BE285" s="141" t="n">
        <x:f>IF($A285&lt;='Consorcio Direto'!$B$27,INDEX('Consorcio Direto'!$E$55:$E$534,$A285),0)</x:f>
        <x:v>0</x:v>
      </x:c>
      <x:c r="BF285" s="141" t="n">
        <x:f>IF(AND(TRUE,Premissas!$B$11="Imovel",Premissas!$B$47="Moradia",$A285&lt;MAX('Consorcio Direto'!$B$29,Premissas!$B$49)),$D285,0)</x:f>
        <x:v>0</x:v>
      </x:c>
      <x:c r="BG285" s="141" t="n">
        <x:f>IF(AND(TRUE,Premissas!$B$11="Imovel",Premissas!$B$47="Investimento",$A285&gt;=MAX('Consorcio Direto'!$B$29,Premissas!$B$49)),$E285,0)</x:f>
        <x:v>2444.639783406757</x:v>
      </x:c>
      <x:c r="BH285" s="141" t="n">
        <x:f>BD285+BE285+BF285</x:f>
        <x:v>0</x:v>
      </x:c>
      <x:c r="BI285" s="141" t="n">
        <x:f>BG285</x:f>
        <x:v>2444.639783406757</x:v>
      </x:c>
      <x:c r="BJ285" s="141" t="n">
        <x:f>$C285+BI285-BH285</x:f>
        <x:v>9444.639783406757</x:v>
      </x:c>
      <x:c r="BK285" s="141" t="n">
        <x:f>BN284*(1+Premissas!$B$41)+BJ285</x:f>
        <x:v>8991278.71724533</x:v>
      </x:c>
      <x:c r="BL285" s="141" t="n">
        <x:f>MAX(0,-BK285)</x:f>
        <x:v>0</x:v>
      </x:c>
      <x:c r="BM285" s="141" t="n">
        <x:f>BM284*(1+Premissas!$B$41)+BL285</x:f>
        <x:v>0</x:v>
      </x:c>
      <x:c r="BN285" s="141" t="n">
        <x:f>MAX(0,BK285)</x:f>
        <x:v>8991278.71724533</x:v>
      </x:c>
      <x:c r="BO285" s="141" t="n">
        <x:f>INDEX('Consorcio Direto'!$K$55:$K$534,$A285)</x:f>
        <x:v>0</x:v>
      </x:c>
      <x:c r="BP285" s="141" t="n">
        <x:f>IF($A285&lt;'Consorcio Direto'!$B$29,INDEX('Consorcio Direto'!$L$55:$L$534,$A285),$F285)</x:f>
        <x:v>778933.1466765623</x:v>
      </x:c>
      <x:c r="BQ285" s="141" t="n">
        <x:f>BN285+BP285-BO285</x:f>
        <x:v>9770211.863921892</x:v>
      </x:c>
      <x:c r="BR285" s="141" t="n">
        <x:f>IF(BM285&gt;1,"Inviavel",BQ285)</x:f>
        <x:v>9770211.863921892</x:v>
      </x:c>
      <x:c r="BS285" s="141" t="str">
        <x:f>IF(BM285&gt;1,"Inviavel","OK")</x:f>
        <x:v>OK</x:v>
      </x:c>
      <x:c r="BT285" s="141" t="n">
        <x:f>IF(AND('Carta Contemplada'!$B$22="Sim",$A285='Carta Contemplada'!$B$23),'Carta Contemplada'!$B$37,0)</x:f>
        <x:v>0</x:v>
      </x:c>
      <x:c r="BU285" s="141" t="n">
        <x:f>IF('Carta Contemplada'!$B$22="Sim",INDEX('Carta Contemplada'!$C$55:$C$1013,$A285),0)</x:f>
        <x:v>0</x:v>
      </x:c>
      <x:c r="BV285" s="141" t="n">
        <x:f>IF(AND('Carta Contemplada'!$B$22="Sim",Premissas!$B$11="Imovel",Premissas!$B$47="Moradia",$A285&lt;MAX('Carta Contemplada'!$B$44,Premissas!$B$49)),$D285,0)</x:f>
        <x:v>0</x:v>
      </x:c>
      <x:c r="BW285" s="141" t="n">
        <x:f>IF(AND('Carta Contemplada'!$B$22="Sim",Premissas!$B$11="Imovel",Premissas!$B$47="Investimento",$A285&gt;=MAX('Carta Contemplada'!$B$44,Premissas!$B$49)),$E285,0)</x:f>
        <x:v>2444.639783406757</x:v>
      </x:c>
      <x:c r="BX285" s="141" t="n">
        <x:f>BT285+BU285+BV285</x:f>
        <x:v>0</x:v>
      </x:c>
      <x:c r="BY285" s="141" t="n">
        <x:f>BW285</x:f>
        <x:v>2444.639783406757</x:v>
      </x:c>
      <x:c r="BZ285" s="141" t="n">
        <x:f>$C285+BY285-BX285</x:f>
        <x:v>9444.639783406757</x:v>
      </x:c>
      <x:c r="CA285" s="141" t="n">
        <x:f>CD284*(1+Premissas!$B$41)+BZ285</x:f>
        <x:v>9717319.76385525</x:v>
      </x:c>
      <x:c r="CB285" s="141" t="n">
        <x:f>MAX(0,-CA285)</x:f>
        <x:v>0</x:v>
      </x:c>
      <x:c r="CC285" s="141" t="n">
        <x:f>CC284*(1+Premissas!$B$41)+CB285</x:f>
        <x:v>0</x:v>
      </x:c>
      <x:c r="CD285" s="141" t="n">
        <x:f>MAX(0,CA285)</x:f>
        <x:v>9717319.76385525</x:v>
      </x:c>
      <x:c r="CE285" s="141" t="n">
        <x:f>IF(AND('Carta Contemplada'!$B$22="Sim",$A285&gt;='Carta Contemplada'!$B$23),INDEX('Carta Contemplada'!$I$55:$I$1013,$A285),0)</x:f>
        <x:v>0</x:v>
      </x:c>
      <x:c r="CF285" s="141" t="n">
        <x:f>IF(AND('Carta Contemplada'!$B$22="Sim",$A285&gt;='Carta Contemplada'!$B$44),$F285,0)</x:f>
        <x:v>778933.1466765623</x:v>
      </x:c>
      <x:c r="CG285" s="141" t="n">
        <x:f>CD285+CF285-CE285</x:f>
        <x:v>10496252.910531813</x:v>
      </x:c>
      <x:c r="CH285" s="141" t="n">
        <x:f>IF(CC285&gt;1,"Inviavel",CG285)</x:f>
        <x:v>10496252.910531813</x:v>
      </x:c>
      <x:c r="CI285" s="145" t="str">
        <x:f>IF(CC285&gt;1,"Inviavel","OK")</x:f>
        <x:v>OK</x:v>
      </x:c>
    </x:row>
    <x:row r="286">
      <x:c r="A286" s="142" t="n">
        <x:v>282</x:v>
      </x:c>
      <x:c r="B286" s="179" t="n">
        <x:f>EDATE(Premissas!$B$4,A286-1)</x:f>
        <x:v>55093</x:v>
      </x:c>
      <x:c r="C286" s="141" t="n">
        <x:f>IF(A286&lt;=Premissas!$B$39,Premissas!$B$42,0)</x:f>
        <x:v>7000</x:v>
      </x:c>
      <x:c r="D286" s="141" t="n">
        <x:f>Premissas!$B$54*(1+Premissas!$B$57)^INT((A286-1)/12)</x:f>
        <x:v>2673.8247631011404</x:v>
      </x:c>
      <x:c r="E286" s="141" t="n">
        <x:f>Premissas!$B$64*(1+Premissas!$B$57)^INT((A286-1)/12)</x:f>
        <x:v>2444.639783406757</x:v>
      </x:c>
      <x:c r="F286" s="141" t="n">
        <x:f>MAX(0,Premissas!$B$6*(1+Premissas!$B$66)^((A286-1)/12))</x:f>
        <x:v>782724.6431550322</x:v>
      </x:c>
      <x:c r="G286" s="141" t="n">
        <x:f>G285*(1+Premissas!$B$41)+C286</x:f>
        <x:v>11121582.958103321</x:v>
      </x:c>
      <x:c r="H286" s="141" t="n">
        <x:f>IF($A286=Premissas!$B$48,Premissas!$B$8,0)</x:f>
        <x:v>0</x:v>
      </x:c>
      <x:c r="I286" s="141" t="n">
        <x:f>IF(AND($A286&gt;=Premissas!$B$48,$A286-Premissas!$B$48+1&lt;=Premissas!$B$13),INDEX(Financiamento!$J$6:$J$485,$A286-Premissas!$B$48+1),0)</x:f>
        <x:v>1033.4065592026845</x:v>
      </x:c>
      <x:c r="J286" s="141" t="n">
        <x:f>IF(AND(TRUE,Premissas!$B$11="Imovel",Premissas!$B$47="Moradia",$A286&lt;MAX(Premissas!$B$48,Premissas!$B$49)),$D286,0)</x:f>
        <x:v>0</x:v>
      </x:c>
      <x:c r="K286" s="141" t="n">
        <x:f>IF(AND(TRUE,Premissas!$B$11="Imovel",Premissas!$B$47="Investimento",$A286&gt;=MAX(Premissas!$B$48,Premissas!$B$49)),$E286,0)</x:f>
        <x:v>2444.639783406757</x:v>
      </x:c>
      <x:c r="L286" s="141" t="n">
        <x:f>H286+I286+J286</x:f>
        <x:v>1033.4065592026845</x:v>
      </x:c>
      <x:c r="M286" s="141" t="n">
        <x:f>K286</x:f>
        <x:v>2444.639783406757</x:v>
      </x:c>
      <x:c r="N286" s="141" t="n">
        <x:f>$C286+M286-L286</x:f>
        <x:v>8411.233224204072</x:v>
      </x:c>
      <x:c r="O286" s="141" t="n">
        <x:f>R285*(1+Premissas!$B$41)+N286</x:f>
        <x:v>9504587.06402803</x:v>
      </x:c>
      <x:c r="P286" s="141" t="n">
        <x:f>MAX(0,-O286)</x:f>
        <x:v>0</x:v>
      </x:c>
      <x:c r="Q286" s="141" t="n">
        <x:f>Q285*(1+Premissas!$B$41)+P286</x:f>
        <x:v>0</x:v>
      </x:c>
      <x:c r="R286" s="141" t="n">
        <x:f>MAX(0,O286)</x:f>
        <x:v>9504587.06402803</x:v>
      </x:c>
      <x:c r="S286" s="141" t="n">
        <x:f>IF(AND($A286&gt;=Premissas!$B$48,$A286-Premissas!$B$48+1&lt;=Premissas!$B$13),INDEX(Financiamento!$M$6:$M$485,$A286-Premissas!$B$48+1),0)</x:f>
        <x:v>52571.42857142865</x:v>
      </x:c>
      <x:c r="T286" s="141" t="n">
        <x:f>IF($A286&gt;=Premissas!$B$48,$F286,0)</x:f>
        <x:v>782724.6431550322</x:v>
      </x:c>
      <x:c r="U286" s="141" t="n">
        <x:f>R286+T286-S286</x:f>
        <x:v>10234740.278611634</x:v>
      </x:c>
      <x:c r="V286" s="141" t="n">
        <x:f>IF(Q286&gt;1,"Inviavel",U286)</x:f>
        <x:v>10234740.278611634</x:v>
      </x:c>
      <x:c r="W286" s="141" t="str">
        <x:f>IF(Q286&gt;1,"Inviavel","OK")</x:f>
        <x:v>OK</x:v>
      </x:c>
      <x:c r="X286" s="141" t="n">
        <x:f>IF($A286=Premissas!$B$48,Premissas!$B$8,0)</x:f>
        <x:v>0</x:v>
      </x:c>
      <x:c r="Y286" s="141" t="n">
        <x:f>IF(AND($A286&gt;=Premissas!$B$48,$A286-Premissas!$B$48+1&lt;=Premissas!$B$13),INDEX(Amortizacao!$K$6:$K$485,$A286-Premissas!$B$48+1),0)</x:f>
        <x:v>0</x:v>
      </x:c>
      <x:c r="Z286" s="141" t="n">
        <x:f>IF(AND(TRUE,Premissas!$B$11="Imovel",Premissas!$B$47="Moradia",$A286&lt;MAX(Premissas!$B$48,Premissas!$B$49)),$D286,0)</x:f>
        <x:v>0</x:v>
      </x:c>
      <x:c r="AA286" s="141" t="n">
        <x:f>IF(AND(TRUE,Premissas!$B$11="Imovel",Premissas!$B$47="Investimento",$A286&gt;=MAX(Premissas!$B$48,Premissas!$B$49)),$E286,0)</x:f>
        <x:v>2444.639783406757</x:v>
      </x:c>
      <x:c r="AB286" s="141" t="n">
        <x:f>X286+Y286+Z286</x:f>
        <x:v>0</x:v>
      </x:c>
      <x:c r="AC286" s="141" t="n">
        <x:f>AA286</x:f>
        <x:v>2444.639783406757</x:v>
      </x:c>
      <x:c r="AD286" s="141" t="n">
        <x:f>$C286+AC286-AB286</x:f>
        <x:v>9444.639783406757</x:v>
      </x:c>
      <x:c r="AE286" s="141" t="n">
        <x:f>AH285*(1+Premissas!$B$41)+AD286</x:f>
        <x:v>9611904.078266425</x:v>
      </x:c>
      <x:c r="AF286" s="141" t="n">
        <x:f>MAX(0,-AE286)</x:f>
        <x:v>0</x:v>
      </x:c>
      <x:c r="AG286" s="141" t="n">
        <x:f>AG285*(1+Premissas!$B$41)+AF286</x:f>
        <x:v>0</x:v>
      </x:c>
      <x:c r="AH286" s="141" t="n">
        <x:f>MAX(0,AE286)</x:f>
        <x:v>9611904.078266425</x:v>
      </x:c>
      <x:c r="AI286" s="141" t="n">
        <x:f>IF(AND($A286&gt;=Premissas!$B$48,$A286-Premissas!$B$48+1&lt;=Premissas!$B$13),INDEX(Amortizacao!$L$6:$L$485,$A286-Premissas!$B$48+1),0)</x:f>
        <x:v>0</x:v>
      </x:c>
      <x:c r="AJ286" s="141" t="n">
        <x:f>IF($A286&gt;=Premissas!$B$48,$F286,0)</x:f>
        <x:v>782724.6431550322</x:v>
      </x:c>
      <x:c r="AK286" s="141" t="n">
        <x:f>AH286+AJ286-AI286</x:f>
        <x:v>10394628.721421458</x:v>
      </x:c>
      <x:c r="AL286" s="141" t="n">
        <x:f>IF(AG286&gt;1,"Inviavel",AK286)</x:f>
        <x:v>10394628.721421458</x:v>
      </x:c>
      <x:c r="AM286" s="141" t="str">
        <x:f>IF(AG286&gt;1,"Inviavel","OK")</x:f>
        <x:v>OK</x:v>
      </x:c>
      <x:c r="AN286" s="141" t="n">
        <x:f>IF($A286=Premissas!$B$48,Premissas!$B$8,0)</x:f>
        <x:v>0</x:v>
      </x:c>
      <x:c r="AO286" s="141" t="n">
        <x:f>IF($A286&lt;=Premissas!$B$25,INDEX('Consorcio IQ'!$K$6:$K$485,$A286),0)</x:f>
        <x:v>0</x:v>
      </x:c>
      <x:c r="AP286" s="141" t="n">
        <x:f>IF(AND(TRUE,Premissas!$B$11="Imovel",Premissas!$B$47="Moradia",$A286&lt;MAX(Premissas!$B$48,Premissas!$B$49)),$D286,0)</x:f>
        <x:v>0</x:v>
      </x:c>
      <x:c r="AQ286" s="141" t="n">
        <x:f>IF(AND(TRUE,Premissas!$B$11="Imovel",Premissas!$B$47="Investimento",$A286&gt;=MAX(Premissas!$B$48,Premissas!$B$49)),$E286,0)</x:f>
        <x:v>2444.639783406757</x:v>
      </x:c>
      <x:c r="AR286" s="141" t="n">
        <x:f>AN286+AO286+AP286</x:f>
        <x:v>0</x:v>
      </x:c>
      <x:c r="AS286" s="141" t="n">
        <x:f>AQ286</x:f>
        <x:v>2444.639783406757</x:v>
      </x:c>
      <x:c r="AT286" s="141" t="n">
        <x:f>$C286+AS286-AR286</x:f>
        <x:v>9444.639783406757</x:v>
      </x:c>
      <x:c r="AU286" s="141" t="n">
        <x:f>AX285*(1+Premissas!$B$41)+AT286</x:f>
        <x:v>9529794.089489728</x:v>
      </x:c>
      <x:c r="AV286" s="141" t="n">
        <x:f>MAX(0,-AU286)</x:f>
        <x:v>0</x:v>
      </x:c>
      <x:c r="AW286" s="141" t="n">
        <x:f>AW285*(1+Premissas!$B$41)+AV286</x:f>
        <x:v>0</x:v>
      </x:c>
      <x:c r="AX286" s="141" t="n">
        <x:f>MAX(0,AU286)</x:f>
        <x:v>9529794.089489728</x:v>
      </x:c>
      <x:c r="AY286" s="141" t="n">
        <x:f>INDEX('Consorcio IQ'!$P$6:$P$485,$A286)</x:f>
        <x:v>0</x:v>
      </x:c>
      <x:c r="AZ286" s="141" t="n">
        <x:f>IF($A286&gt;=Premissas!$B$48,$F286,0)+IF($A286&lt;Premissas!$B$27,INDEX('Consorcio IQ'!$O$6:$O$485,$A286),0)</x:f>
        <x:v>782724.6431550322</x:v>
      </x:c>
      <x:c r="BA286" s="141" t="n">
        <x:f>AX286+AZ286-AY286</x:f>
        <x:v>10312518.732644761</x:v>
      </x:c>
      <x:c r="BB286" s="141" t="n">
        <x:f>IF(AW286&gt;1,"Inviavel",BA286)</x:f>
        <x:v>10312518.732644761</x:v>
      </x:c>
      <x:c r="BC286" s="141" t="str">
        <x:f>IF(AW286&gt;1,"Inviavel","OK")</x:f>
        <x:v>OK</x:v>
      </x:c>
      <x:c r="BD286" s="141" t="n">
        <x:f>IF($A286='Consorcio Direto'!$B$29,'Consorcio Direto'!$B$44,0)</x:f>
        <x:v>0</x:v>
      </x:c>
      <x:c r="BE286" s="141" t="n">
        <x:f>IF($A286&lt;='Consorcio Direto'!$B$27,INDEX('Consorcio Direto'!$E$55:$E$534,$A286),0)</x:f>
        <x:v>0</x:v>
      </x:c>
      <x:c r="BF286" s="141" t="n">
        <x:f>IF(AND(TRUE,Premissas!$B$11="Imovel",Premissas!$B$47="Moradia",$A286&lt;MAX('Consorcio Direto'!$B$29,Premissas!$B$49)),$D286,0)</x:f>
        <x:v>0</x:v>
      </x:c>
      <x:c r="BG286" s="141" t="n">
        <x:f>IF(AND(TRUE,Premissas!$B$11="Imovel",Premissas!$B$47="Investimento",$A286&gt;=MAX('Consorcio Direto'!$B$29,Premissas!$B$49)),$E286,0)</x:f>
        <x:v>2444.639783406757</x:v>
      </x:c>
      <x:c r="BH286" s="141" t="n">
        <x:f>BD286+BE286+BF286</x:f>
        <x:v>0</x:v>
      </x:c>
      <x:c r="BI286" s="141" t="n">
        <x:f>BG286</x:f>
        <x:v>2444.639783406757</x:v>
      </x:c>
      <x:c r="BJ286" s="141" t="n">
        <x:f>$C286+BI286-BH286</x:f>
        <x:v>9444.639783406757</x:v>
      </x:c>
      <x:c r="BK286" s="141" t="n">
        <x:f>BN285*(1+Premissas!$B$41)+BJ286</x:f>
        <x:v>9086039.7389938</x:v>
      </x:c>
      <x:c r="BL286" s="141" t="n">
        <x:f>MAX(0,-BK286)</x:f>
        <x:v>0</x:v>
      </x:c>
      <x:c r="BM286" s="141" t="n">
        <x:f>BM285*(1+Premissas!$B$41)+BL286</x:f>
        <x:v>0</x:v>
      </x:c>
      <x:c r="BN286" s="141" t="n">
        <x:f>MAX(0,BK286)</x:f>
        <x:v>9086039.7389938</x:v>
      </x:c>
      <x:c r="BO286" s="141" t="n">
        <x:f>INDEX('Consorcio Direto'!$K$55:$K$534,$A286)</x:f>
        <x:v>0</x:v>
      </x:c>
      <x:c r="BP286" s="141" t="n">
        <x:f>IF($A286&lt;'Consorcio Direto'!$B$29,INDEX('Consorcio Direto'!$L$55:$L$534,$A286),$F286)</x:f>
        <x:v>782724.6431550322</x:v>
      </x:c>
      <x:c r="BQ286" s="141" t="n">
        <x:f>BN286+BP286-BO286</x:f>
        <x:v>9868764.382148832</x:v>
      </x:c>
      <x:c r="BR286" s="141" t="n">
        <x:f>IF(BM286&gt;1,"Inviavel",BQ286)</x:f>
        <x:v>9868764.382148832</x:v>
      </x:c>
      <x:c r="BS286" s="141" t="str">
        <x:f>IF(BM286&gt;1,"Inviavel","OK")</x:f>
        <x:v>OK</x:v>
      </x:c>
      <x:c r="BT286" s="141" t="n">
        <x:f>IF(AND('Carta Contemplada'!$B$22="Sim",$A286='Carta Contemplada'!$B$23),'Carta Contemplada'!$B$37,0)</x:f>
        <x:v>0</x:v>
      </x:c>
      <x:c r="BU286" s="141" t="n">
        <x:f>IF('Carta Contemplada'!$B$22="Sim",INDEX('Carta Contemplada'!$C$55:$C$1013,$A286),0)</x:f>
        <x:v>0</x:v>
      </x:c>
      <x:c r="BV286" s="141" t="n">
        <x:f>IF(AND('Carta Contemplada'!$B$22="Sim",Premissas!$B$11="Imovel",Premissas!$B$47="Moradia",$A286&lt;MAX('Carta Contemplada'!$B$44,Premissas!$B$49)),$D286,0)</x:f>
        <x:v>0</x:v>
      </x:c>
      <x:c r="BW286" s="141" t="n">
        <x:f>IF(AND('Carta Contemplada'!$B$22="Sim",Premissas!$B$11="Imovel",Premissas!$B$47="Investimento",$A286&gt;=MAX('Carta Contemplada'!$B$44,Premissas!$B$49)),$E286,0)</x:f>
        <x:v>2444.639783406757</x:v>
      </x:c>
      <x:c r="BX286" s="141" t="n">
        <x:f>BT286+BU286+BV286</x:f>
        <x:v>0</x:v>
      </x:c>
      <x:c r="BY286" s="141" t="n">
        <x:f>BW286</x:f>
        <x:v>2444.639783406757</x:v>
      </x:c>
      <x:c r="BZ286" s="141" t="n">
        <x:f>$C286+BY286-BX286</x:f>
        <x:v>9444.639783406757</x:v>
      </x:c>
      <x:c r="CA286" s="141" t="n">
        <x:f>CD285*(1+Premissas!$B$41)+BZ286</x:f>
        <x:v>9818970.038757011</x:v>
      </x:c>
      <x:c r="CB286" s="141" t="n">
        <x:f>MAX(0,-CA286)</x:f>
        <x:v>0</x:v>
      </x:c>
      <x:c r="CC286" s="141" t="n">
        <x:f>CC285*(1+Premissas!$B$41)+CB286</x:f>
        <x:v>0</x:v>
      </x:c>
      <x:c r="CD286" s="141" t="n">
        <x:f>MAX(0,CA286)</x:f>
        <x:v>9818970.038757011</x:v>
      </x:c>
      <x:c r="CE286" s="141" t="n">
        <x:f>IF(AND('Carta Contemplada'!$B$22="Sim",$A286&gt;='Carta Contemplada'!$B$23),INDEX('Carta Contemplada'!$I$55:$I$1013,$A286),0)</x:f>
        <x:v>0</x:v>
      </x:c>
      <x:c r="CF286" s="141" t="n">
        <x:f>IF(AND('Carta Contemplada'!$B$22="Sim",$A286&gt;='Carta Contemplada'!$B$44),$F286,0)</x:f>
        <x:v>782724.6431550322</x:v>
      </x:c>
      <x:c r="CG286" s="141" t="n">
        <x:f>CD286+CF286-CE286</x:f>
        <x:v>10601694.681912044</x:v>
      </x:c>
      <x:c r="CH286" s="141" t="n">
        <x:f>IF(CC286&gt;1,"Inviavel",CG286)</x:f>
        <x:v>10601694.681912044</x:v>
      </x:c>
      <x:c r="CI286" s="145" t="str">
        <x:f>IF(CC286&gt;1,"Inviavel","OK")</x:f>
        <x:v>OK</x:v>
      </x:c>
    </x:row>
    <x:row r="287">
      <x:c r="A287" s="142" t="n">
        <x:v>283</x:v>
      </x:c>
      <x:c r="B287" s="179" t="n">
        <x:f>EDATE(Premissas!$B$4,A287-1)</x:f>
        <x:v>55123</x:v>
      </x:c>
      <x:c r="C287" s="141" t="n">
        <x:f>IF(A287&lt;=Premissas!$B$39,Premissas!$B$42,0)</x:f>
        <x:v>7000</x:v>
      </x:c>
      <x:c r="D287" s="141" t="n">
        <x:f>Premissas!$B$54*(1+Premissas!$B$57)^INT((A287-1)/12)</x:f>
        <x:v>2673.8247631011404</x:v>
      </x:c>
      <x:c r="E287" s="141" t="n">
        <x:f>Premissas!$B$64*(1+Premissas!$B$57)^INT((A287-1)/12)</x:f>
        <x:v>2444.639783406757</x:v>
      </x:c>
      <x:c r="F287" s="141" t="n">
        <x:f>MAX(0,Premissas!$B$6*(1+Premissas!$B$66)^((A287-1)/12))</x:f>
        <x:v>786534.5949343294</x:v>
      </x:c>
      <x:c r="G287" s="141" t="n">
        <x:f>G286*(1+Premissas!$B$41)+C287</x:f>
        <x:v>11234113.355897551</x:v>
      </x:c>
      <x:c r="H287" s="141" t="n">
        <x:f>IF($A287=Premissas!$B$48,Premissas!$B$8,0)</x:f>
        <x:v>0</x:v>
      </x:c>
      <x:c r="I287" s="141" t="n">
        <x:f>IF(AND($A287&gt;=Premissas!$B$48,$A287-Premissas!$B$48+1&lt;=Premissas!$B$13),INDEX(Financiamento!$J$6:$J$485,$A287-Premissas!$B$48+1),0)</x:f>
        <x:v>1029.791780941891</x:v>
      </x:c>
      <x:c r="J287" s="141" t="n">
        <x:f>IF(AND(TRUE,Premissas!$B$11="Imovel",Premissas!$B$47="Moradia",$A287&lt;MAX(Premissas!$B$48,Premissas!$B$49)),$D287,0)</x:f>
        <x:v>0</x:v>
      </x:c>
      <x:c r="K287" s="141" t="n">
        <x:f>IF(AND(TRUE,Premissas!$B$11="Imovel",Premissas!$B$47="Investimento",$A287&gt;=MAX(Premissas!$B$48,Premissas!$B$49)),$E287,0)</x:f>
        <x:v>2444.639783406757</x:v>
      </x:c>
      <x:c r="L287" s="141" t="n">
        <x:f>H287+I287+J287</x:f>
        <x:v>1029.791780941891</x:v>
      </x:c>
      <x:c r="M287" s="141" t="n">
        <x:f>K287</x:f>
        <x:v>2444.639783406757</x:v>
      </x:c>
      <x:c r="N287" s="141" t="n">
        <x:f>$C287+M287-L287</x:f>
        <x:v>8414.848002464867</x:v>
      </x:c>
      <x:c r="O287" s="141" t="n">
        <x:f>R286*(1+Premissas!$B$41)+N287</x:f>
        <x:v>9603188.970609775</x:v>
      </x:c>
      <x:c r="P287" s="141" t="n">
        <x:f>MAX(0,-O287)</x:f>
        <x:v>0</x:v>
      </x:c>
      <x:c r="Q287" s="141" t="n">
        <x:f>Q286*(1+Premissas!$B$41)+P287</x:f>
        <x:v>0</x:v>
      </x:c>
      <x:c r="R287" s="141" t="n">
        <x:f>MAX(0,O287)</x:f>
        <x:v>9603188.970609775</x:v>
      </x:c>
      <x:c r="S287" s="141" t="n">
        <x:f>IF(AND($A287&gt;=Premissas!$B$48,$A287-Premissas!$B$48+1&lt;=Premissas!$B$13),INDEX(Financiamento!$M$6:$M$485,$A287-Premissas!$B$48+1),0)</x:f>
        <x:v>52190.47619047627</x:v>
      </x:c>
      <x:c r="T287" s="141" t="n">
        <x:f>IF($A287&gt;=Premissas!$B$48,$F287,0)</x:f>
        <x:v>786534.5949343294</x:v>
      </x:c>
      <x:c r="U287" s="141" t="n">
        <x:f>R287+T287-S287</x:f>
        <x:v>10337533.089353628</x:v>
      </x:c>
      <x:c r="V287" s="141" t="n">
        <x:f>IF(Q287&gt;1,"Inviavel",U287)</x:f>
        <x:v>10337533.089353628</x:v>
      </x:c>
      <x:c r="W287" s="141" t="str">
        <x:f>IF(Q287&gt;1,"Inviavel","OK")</x:f>
        <x:v>OK</x:v>
      </x:c>
      <x:c r="X287" s="141" t="n">
        <x:f>IF($A287=Premissas!$B$48,Premissas!$B$8,0)</x:f>
        <x:v>0</x:v>
      </x:c>
      <x:c r="Y287" s="141" t="n">
        <x:f>IF(AND($A287&gt;=Premissas!$B$48,$A287-Premissas!$B$48+1&lt;=Premissas!$B$13),INDEX(Amortizacao!$K$6:$K$485,$A287-Premissas!$B$48+1),0)</x:f>
        <x:v>0</x:v>
      </x:c>
      <x:c r="Z287" s="141" t="n">
        <x:f>IF(AND(TRUE,Premissas!$B$11="Imovel",Premissas!$B$47="Moradia",$A287&lt;MAX(Premissas!$B$48,Premissas!$B$49)),$D287,0)</x:f>
        <x:v>0</x:v>
      </x:c>
      <x:c r="AA287" s="141" t="n">
        <x:f>IF(AND(TRUE,Premissas!$B$11="Imovel",Premissas!$B$47="Investimento",$A287&gt;=MAX(Premissas!$B$48,Premissas!$B$49)),$E287,0)</x:f>
        <x:v>2444.639783406757</x:v>
      </x:c>
      <x:c r="AB287" s="141" t="n">
        <x:f>X287+Y287+Z287</x:f>
        <x:v>0</x:v>
      </x:c>
      <x:c r="AC287" s="141" t="n">
        <x:f>AA287</x:f>
        <x:v>2444.639783406757</x:v>
      </x:c>
      <x:c r="AD287" s="141" t="n">
        <x:f>$C287+AC287-AB287</x:f>
        <x:v>9444.639783406757</x:v>
      </x:c>
      <x:c r="AE287" s="141" t="n">
        <x:f>AH286*(1+Premissas!$B$41)+AD287</x:f>
        <x:v>9712554.085555576</x:v>
      </x:c>
      <x:c r="AF287" s="141" t="n">
        <x:f>MAX(0,-AE287)</x:f>
        <x:v>0</x:v>
      </x:c>
      <x:c r="AG287" s="141" t="n">
        <x:f>AG286*(1+Premissas!$B$41)+AF287</x:f>
        <x:v>0</x:v>
      </x:c>
      <x:c r="AH287" s="141" t="n">
        <x:f>MAX(0,AE287)</x:f>
        <x:v>9712554.085555576</x:v>
      </x:c>
      <x:c r="AI287" s="141" t="n">
        <x:f>IF(AND($A287&gt;=Premissas!$B$48,$A287-Premissas!$B$48+1&lt;=Premissas!$B$13),INDEX(Amortizacao!$L$6:$L$485,$A287-Premissas!$B$48+1),0)</x:f>
        <x:v>0</x:v>
      </x:c>
      <x:c r="AJ287" s="141" t="n">
        <x:f>IF($A287&gt;=Premissas!$B$48,$F287,0)</x:f>
        <x:v>786534.5949343294</x:v>
      </x:c>
      <x:c r="AK287" s="141" t="n">
        <x:f>AH287+AJ287-AI287</x:f>
        <x:v>10499088.680489905</x:v>
      </x:c>
      <x:c r="AL287" s="141" t="n">
        <x:f>IF(AG287&gt;1,"Inviavel",AK287)</x:f>
        <x:v>10499088.680489905</x:v>
      </x:c>
      <x:c r="AM287" s="141" t="str">
        <x:f>IF(AG287&gt;1,"Inviavel","OK")</x:f>
        <x:v>OK</x:v>
      </x:c>
      <x:c r="AN287" s="141" t="n">
        <x:f>IF($A287=Premissas!$B$48,Premissas!$B$8,0)</x:f>
        <x:v>0</x:v>
      </x:c>
      <x:c r="AO287" s="141" t="n">
        <x:f>IF($A287&lt;=Premissas!$B$25,INDEX('Consorcio IQ'!$K$6:$K$485,$A287),0)</x:f>
        <x:v>0</x:v>
      </x:c>
      <x:c r="AP287" s="141" t="n">
        <x:f>IF(AND(TRUE,Premissas!$B$11="Imovel",Premissas!$B$47="Moradia",$A287&lt;MAX(Premissas!$B$48,Premissas!$B$49)),$D287,0)</x:f>
        <x:v>0</x:v>
      </x:c>
      <x:c r="AQ287" s="141" t="n">
        <x:f>IF(AND(TRUE,Premissas!$B$11="Imovel",Premissas!$B$47="Investimento",$A287&gt;=MAX(Premissas!$B$48,Premissas!$B$49)),$E287,0)</x:f>
        <x:v>2444.639783406757</x:v>
      </x:c>
      <x:c r="AR287" s="141" t="n">
        <x:f>AN287+AO287+AP287</x:f>
        <x:v>0</x:v>
      </x:c>
      <x:c r="AS287" s="141" t="n">
        <x:f>AQ287</x:f>
        <x:v>2444.639783406757</x:v>
      </x:c>
      <x:c r="AT287" s="141" t="n">
        <x:f>$C287+AS287-AR287</x:f>
        <x:v>9444.639783406757</x:v>
      </x:c>
      <x:c r="AU287" s="141" t="n">
        <x:f>AX286*(1+Premissas!$B$41)+AT287</x:f>
        <x:v>9629664.972097516</x:v>
      </x:c>
      <x:c r="AV287" s="141" t="n">
        <x:f>MAX(0,-AU287)</x:f>
        <x:v>0</x:v>
      </x:c>
      <x:c r="AW287" s="141" t="n">
        <x:f>AW286*(1+Premissas!$B$41)+AV287</x:f>
        <x:v>0</x:v>
      </x:c>
      <x:c r="AX287" s="141" t="n">
        <x:f>MAX(0,AU287)</x:f>
        <x:v>9629664.972097516</x:v>
      </x:c>
      <x:c r="AY287" s="141" t="n">
        <x:f>INDEX('Consorcio IQ'!$P$6:$P$485,$A287)</x:f>
        <x:v>0</x:v>
      </x:c>
      <x:c r="AZ287" s="141" t="n">
        <x:f>IF($A287&gt;=Premissas!$B$48,$F287,0)+IF($A287&lt;Premissas!$B$27,INDEX('Consorcio IQ'!$O$6:$O$485,$A287),0)</x:f>
        <x:v>786534.5949343294</x:v>
      </x:c>
      <x:c r="BA287" s="141" t="n">
        <x:f>AX287+AZ287-AY287</x:f>
        <x:v>10416199.567031845</x:v>
      </x:c>
      <x:c r="BB287" s="141" t="n">
        <x:f>IF(AW287&gt;1,"Inviavel",BA287)</x:f>
        <x:v>10416199.567031845</x:v>
      </x:c>
      <x:c r="BC287" s="141" t="str">
        <x:f>IF(AW287&gt;1,"Inviavel","OK")</x:f>
        <x:v>OK</x:v>
      </x:c>
      <x:c r="BD287" s="141" t="n">
        <x:f>IF($A287='Consorcio Direto'!$B$29,'Consorcio Direto'!$B$44,0)</x:f>
        <x:v>0</x:v>
      </x:c>
      <x:c r="BE287" s="141" t="n">
        <x:f>IF($A287&lt;='Consorcio Direto'!$B$27,INDEX('Consorcio Direto'!$E$55:$E$534,$A287),0)</x:f>
        <x:v>0</x:v>
      </x:c>
      <x:c r="BF287" s="141" t="n">
        <x:f>IF(AND(TRUE,Premissas!$B$11="Imovel",Premissas!$B$47="Moradia",$A287&lt;MAX('Consorcio Direto'!$B$29,Premissas!$B$49)),$D287,0)</x:f>
        <x:v>0</x:v>
      </x:c>
      <x:c r="BG287" s="141" t="n">
        <x:f>IF(AND(TRUE,Premissas!$B$11="Imovel",Premissas!$B$47="Investimento",$A287&gt;=MAX('Consorcio Direto'!$B$29,Premissas!$B$49)),$E287,0)</x:f>
        <x:v>2444.639783406757</x:v>
      </x:c>
      <x:c r="BH287" s="141" t="n">
        <x:f>BD287+BE287+BF287</x:f>
        <x:v>0</x:v>
      </x:c>
      <x:c r="BI287" s="141" t="n">
        <x:f>BG287</x:f>
        <x:v>2444.639783406757</x:v>
      </x:c>
      <x:c r="BJ287" s="141" t="n">
        <x:f>$C287+BI287-BH287</x:f>
        <x:v>9444.639783406757</x:v>
      </x:c>
      <x:c r="BK287" s="141" t="n">
        <x:f>BN286*(1+Premissas!$B$41)+BJ287</x:f>
        <x:v>9181699.928455912</x:v>
      </x:c>
      <x:c r="BL287" s="141" t="n">
        <x:f>MAX(0,-BK287)</x:f>
        <x:v>0</x:v>
      </x:c>
      <x:c r="BM287" s="141" t="n">
        <x:f>BM286*(1+Premissas!$B$41)+BL287</x:f>
        <x:v>0</x:v>
      </x:c>
      <x:c r="BN287" s="141" t="n">
        <x:f>MAX(0,BK287)</x:f>
        <x:v>9181699.928455912</x:v>
      </x:c>
      <x:c r="BO287" s="141" t="n">
        <x:f>INDEX('Consorcio Direto'!$K$55:$K$534,$A287)</x:f>
        <x:v>0</x:v>
      </x:c>
      <x:c r="BP287" s="141" t="n">
        <x:f>IF($A287&lt;'Consorcio Direto'!$B$29,INDEX('Consorcio Direto'!$L$55:$L$534,$A287),$F287)</x:f>
        <x:v>786534.5949343294</x:v>
      </x:c>
      <x:c r="BQ287" s="141" t="n">
        <x:f>BN287+BP287-BO287</x:f>
        <x:v>9968234.523390241</x:v>
      </x:c>
      <x:c r="BR287" s="141" t="n">
        <x:f>IF(BM287&gt;1,"Inviavel",BQ287)</x:f>
        <x:v>9968234.523390241</x:v>
      </x:c>
      <x:c r="BS287" s="141" t="str">
        <x:f>IF(BM287&gt;1,"Inviavel","OK")</x:f>
        <x:v>OK</x:v>
      </x:c>
      <x:c r="BT287" s="141" t="n">
        <x:f>IF(AND('Carta Contemplada'!$B$22="Sim",$A287='Carta Contemplada'!$B$23),'Carta Contemplada'!$B$37,0)</x:f>
        <x:v>0</x:v>
      </x:c>
      <x:c r="BU287" s="141" t="n">
        <x:f>IF('Carta Contemplada'!$B$22="Sim",INDEX('Carta Contemplada'!$C$55:$C$1013,$A287),0)</x:f>
        <x:v>0</x:v>
      </x:c>
      <x:c r="BV287" s="141" t="n">
        <x:f>IF(AND('Carta Contemplada'!$B$22="Sim",Premissas!$B$11="Imovel",Premissas!$B$47="Moradia",$A287&lt;MAX('Carta Contemplada'!$B$44,Premissas!$B$49)),$D287,0)</x:f>
        <x:v>0</x:v>
      </x:c>
      <x:c r="BW287" s="141" t="n">
        <x:f>IF(AND('Carta Contemplada'!$B$22="Sim",Premissas!$B$11="Imovel",Premissas!$B$47="Investimento",$A287&gt;=MAX('Carta Contemplada'!$B$44,Premissas!$B$49)),$E287,0)</x:f>
        <x:v>2444.639783406757</x:v>
      </x:c>
      <x:c r="BX287" s="141" t="n">
        <x:f>BT287+BU287+BV287</x:f>
        <x:v>0</x:v>
      </x:c>
      <x:c r="BY287" s="141" t="n">
        <x:f>BW287</x:f>
        <x:v>2444.639783406757</x:v>
      </x:c>
      <x:c r="BZ287" s="141" t="n">
        <x:f>$C287+BY287-BX287</x:f>
        <x:v>9444.639783406757</x:v>
      </x:c>
      <x:c r="CA287" s="141" t="n">
        <x:f>CD286*(1+Premissas!$B$41)+BZ287</x:f>
        <x:v>9921584.852069058</x:v>
      </x:c>
      <x:c r="CB287" s="141" t="n">
        <x:f>MAX(0,-CA287)</x:f>
        <x:v>0</x:v>
      </x:c>
      <x:c r="CC287" s="141" t="n">
        <x:f>CC286*(1+Premissas!$B$41)+CB287</x:f>
        <x:v>0</x:v>
      </x:c>
      <x:c r="CD287" s="141" t="n">
        <x:f>MAX(0,CA287)</x:f>
        <x:v>9921584.852069058</x:v>
      </x:c>
      <x:c r="CE287" s="141" t="n">
        <x:f>IF(AND('Carta Contemplada'!$B$22="Sim",$A287&gt;='Carta Contemplada'!$B$23),INDEX('Carta Contemplada'!$I$55:$I$1013,$A287),0)</x:f>
        <x:v>0</x:v>
      </x:c>
      <x:c r="CF287" s="141" t="n">
        <x:f>IF(AND('Carta Contemplada'!$B$22="Sim",$A287&gt;='Carta Contemplada'!$B$44),$F287,0)</x:f>
        <x:v>786534.5949343294</x:v>
      </x:c>
      <x:c r="CG287" s="141" t="n">
        <x:f>CD287+CF287-CE287</x:f>
        <x:v>10708119.447003387</x:v>
      </x:c>
      <x:c r="CH287" s="141" t="n">
        <x:f>IF(CC287&gt;1,"Inviavel",CG287)</x:f>
        <x:v>10708119.447003387</x:v>
      </x:c>
      <x:c r="CI287" s="145" t="str">
        <x:f>IF(CC287&gt;1,"Inviavel","OK")</x:f>
        <x:v>OK</x:v>
      </x:c>
    </x:row>
    <x:row r="288">
      <x:c r="A288" s="142" t="n">
        <x:v>284</x:v>
      </x:c>
      <x:c r="B288" s="179" t="n">
        <x:f>EDATE(Premissas!$B$4,A288-1)</x:f>
        <x:v>55154</x:v>
      </x:c>
      <x:c r="C288" s="141" t="n">
        <x:f>IF(A288&lt;=Premissas!$B$39,Premissas!$B$42,0)</x:f>
        <x:v>7000</x:v>
      </x:c>
      <x:c r="D288" s="141" t="n">
        <x:f>Premissas!$B$54*(1+Premissas!$B$57)^INT((A288-1)/12)</x:f>
        <x:v>2673.8247631011404</x:v>
      </x:c>
      <x:c r="E288" s="141" t="n">
        <x:f>Premissas!$B$64*(1+Premissas!$B$57)^INT((A288-1)/12)</x:f>
        <x:v>2444.639783406757</x:v>
      </x:c>
      <x:c r="F288" s="141" t="n">
        <x:f>MAX(0,Premissas!$B$6*(1+Premissas!$B$66)^((A288-1)/12))</x:f>
        <x:v>790363.0918465639</x:v>
      </x:c>
      <x:c r="G288" s="141" t="n">
        <x:f>G287*(1+Premissas!$B$41)+C288</x:f>
        <x:v>11347711.531335298</x:v>
      </x:c>
      <x:c r="H288" s="141" t="n">
        <x:f>IF($A288=Premissas!$B$48,Premissas!$B$8,0)</x:f>
        <x:v>0</x:v>
      </x:c>
      <x:c r="I288" s="141" t="n">
        <x:f>IF(AND($A288&gt;=Premissas!$B$48,$A288-Premissas!$B$48+1&lt;=Premissas!$B$13),INDEX(Financiamento!$J$6:$J$485,$A288-Premissas!$B$48+1),0)</x:f>
        <x:v>1026.1770026810975</x:v>
      </x:c>
      <x:c r="J288" s="141" t="n">
        <x:f>IF(AND(TRUE,Premissas!$B$11="Imovel",Premissas!$B$47="Moradia",$A288&lt;MAX(Premissas!$B$48,Premissas!$B$49)),$D288,0)</x:f>
        <x:v>0</x:v>
      </x:c>
      <x:c r="K288" s="141" t="n">
        <x:f>IF(AND(TRUE,Premissas!$B$11="Imovel",Premissas!$B$47="Investimento",$A288&gt;=MAX(Premissas!$B$48,Premissas!$B$49)),$E288,0)</x:f>
        <x:v>2444.639783406757</x:v>
      </x:c>
      <x:c r="L288" s="141" t="n">
        <x:f>H288+I288+J288</x:f>
        <x:v>1026.1770026810975</x:v>
      </x:c>
      <x:c r="M288" s="141" t="n">
        <x:f>K288</x:f>
        <x:v>2444.639783406757</x:v>
      </x:c>
      <x:c r="N288" s="141" t="n">
        <x:f>$C288+M288-L288</x:f>
        <x:v>8418.46278072566</x:v>
      </x:c>
      <x:c r="O288" s="141" t="n">
        <x:f>R287*(1+Premissas!$B$41)+N288</x:f>
        <x:v>9702730.105044289</x:v>
      </x:c>
      <x:c r="P288" s="141" t="n">
        <x:f>MAX(0,-O288)</x:f>
        <x:v>0</x:v>
      </x:c>
      <x:c r="Q288" s="141" t="n">
        <x:f>Q287*(1+Premissas!$B$41)+P288</x:f>
        <x:v>0</x:v>
      </x:c>
      <x:c r="R288" s="141" t="n">
        <x:f>MAX(0,O288)</x:f>
        <x:v>9702730.105044289</x:v>
      </x:c>
      <x:c r="S288" s="141" t="n">
        <x:f>IF(AND($A288&gt;=Premissas!$B$48,$A288-Premissas!$B$48+1&lt;=Premissas!$B$13),INDEX(Financiamento!$M$6:$M$485,$A288-Premissas!$B$48+1),0)</x:f>
        <x:v>51809.52380952389</x:v>
      </x:c>
      <x:c r="T288" s="141" t="n">
        <x:f>IF($A288&gt;=Premissas!$B$48,$F288,0)</x:f>
        <x:v>790363.0918465639</x:v>
      </x:c>
      <x:c r="U288" s="141" t="n">
        <x:f>R288+T288-S288</x:f>
        <x:v>10441283.67308133</x:v>
      </x:c>
      <x:c r="V288" s="141" t="n">
        <x:f>IF(Q288&gt;1,"Inviavel",U288)</x:f>
        <x:v>10441283.67308133</x:v>
      </x:c>
      <x:c r="W288" s="141" t="str">
        <x:f>IF(Q288&gt;1,"Inviavel","OK")</x:f>
        <x:v>OK</x:v>
      </x:c>
      <x:c r="X288" s="141" t="n">
        <x:f>IF($A288=Premissas!$B$48,Premissas!$B$8,0)</x:f>
        <x:v>0</x:v>
      </x:c>
      <x:c r="Y288" s="141" t="n">
        <x:f>IF(AND($A288&gt;=Premissas!$B$48,$A288-Premissas!$B$48+1&lt;=Premissas!$B$13),INDEX(Amortizacao!$K$6:$K$485,$A288-Premissas!$B$48+1),0)</x:f>
        <x:v>0</x:v>
      </x:c>
      <x:c r="Z288" s="141" t="n">
        <x:f>IF(AND(TRUE,Premissas!$B$11="Imovel",Premissas!$B$47="Moradia",$A288&lt;MAX(Premissas!$B$48,Premissas!$B$49)),$D288,0)</x:f>
        <x:v>0</x:v>
      </x:c>
      <x:c r="AA288" s="141" t="n">
        <x:f>IF(AND(TRUE,Premissas!$B$11="Imovel",Premissas!$B$47="Investimento",$A288&gt;=MAX(Premissas!$B$48,Premissas!$B$49)),$E288,0)</x:f>
        <x:v>2444.639783406757</x:v>
      </x:c>
      <x:c r="AB288" s="141" t="n">
        <x:f>X288+Y288+Z288</x:f>
        <x:v>0</x:v>
      </x:c>
      <x:c r="AC288" s="141" t="n">
        <x:f>AA288</x:f>
        <x:v>2444.639783406757</x:v>
      </x:c>
      <x:c r="AD288" s="141" t="n">
        <x:f>$C288+AC288-AB288</x:f>
        <x:v>9444.639783406757</x:v>
      </x:c>
      <x:c r="AE288" s="141" t="n">
        <x:f>AH287*(1+Premissas!$B$41)+AD288</x:f>
        <x:v>9814159.139922759</x:v>
      </x:c>
      <x:c r="AF288" s="141" t="n">
        <x:f>MAX(0,-AE288)</x:f>
        <x:v>0</x:v>
      </x:c>
      <x:c r="AG288" s="141" t="n">
        <x:f>AG287*(1+Premissas!$B$41)+AF288</x:f>
        <x:v>0</x:v>
      </x:c>
      <x:c r="AH288" s="141" t="n">
        <x:f>MAX(0,AE288)</x:f>
        <x:v>9814159.139922759</x:v>
      </x:c>
      <x:c r="AI288" s="141" t="n">
        <x:f>IF(AND($A288&gt;=Premissas!$B$48,$A288-Premissas!$B$48+1&lt;=Premissas!$B$13),INDEX(Amortizacao!$L$6:$L$485,$A288-Premissas!$B$48+1),0)</x:f>
        <x:v>0</x:v>
      </x:c>
      <x:c r="AJ288" s="141" t="n">
        <x:f>IF($A288&gt;=Premissas!$B$48,$F288,0)</x:f>
        <x:v>790363.0918465639</x:v>
      </x:c>
      <x:c r="AK288" s="141" t="n">
        <x:f>AH288+AJ288-AI288</x:f>
        <x:v>10604522.231769323</x:v>
      </x:c>
      <x:c r="AL288" s="141" t="n">
        <x:f>IF(AG288&gt;1,"Inviavel",AK288)</x:f>
        <x:v>10604522.231769323</x:v>
      </x:c>
      <x:c r="AM288" s="141" t="str">
        <x:f>IF(AG288&gt;1,"Inviavel","OK")</x:f>
        <x:v>OK</x:v>
      </x:c>
      <x:c r="AN288" s="141" t="n">
        <x:f>IF($A288=Premissas!$B$48,Premissas!$B$8,0)</x:f>
        <x:v>0</x:v>
      </x:c>
      <x:c r="AO288" s="141" t="n">
        <x:f>IF($A288&lt;=Premissas!$B$25,INDEX('Consorcio IQ'!$K$6:$K$485,$A288),0)</x:f>
        <x:v>0</x:v>
      </x:c>
      <x:c r="AP288" s="141" t="n">
        <x:f>IF(AND(TRUE,Premissas!$B$11="Imovel",Premissas!$B$47="Moradia",$A288&lt;MAX(Premissas!$B$48,Premissas!$B$49)),$D288,0)</x:f>
        <x:v>0</x:v>
      </x:c>
      <x:c r="AQ288" s="141" t="n">
        <x:f>IF(AND(TRUE,Premissas!$B$11="Imovel",Premissas!$B$47="Investimento",$A288&gt;=MAX(Premissas!$B$48,Premissas!$B$49)),$E288,0)</x:f>
        <x:v>2444.639783406757</x:v>
      </x:c>
      <x:c r="AR288" s="141" t="n">
        <x:f>AN288+AO288+AP288</x:f>
        <x:v>0</x:v>
      </x:c>
      <x:c r="AS288" s="141" t="n">
        <x:f>AQ288</x:f>
        <x:v>2444.639783406757</x:v>
      </x:c>
      <x:c r="AT288" s="141" t="n">
        <x:f>$C288+AS288-AR288</x:f>
        <x:v>9444.639783406757</x:v>
      </x:c>
      <x:c r="AU288" s="141" t="n">
        <x:f>AX287*(1+Premissas!$B$41)+AT288</x:f>
        <x:v>9730483.508830564</x:v>
      </x:c>
      <x:c r="AV288" s="141" t="n">
        <x:f>MAX(0,-AU288)</x:f>
        <x:v>0</x:v>
      </x:c>
      <x:c r="AW288" s="141" t="n">
        <x:f>AW287*(1+Premissas!$B$41)+AV288</x:f>
        <x:v>0</x:v>
      </x:c>
      <x:c r="AX288" s="141" t="n">
        <x:f>MAX(0,AU288)</x:f>
        <x:v>9730483.508830564</x:v>
      </x:c>
      <x:c r="AY288" s="141" t="n">
        <x:f>INDEX('Consorcio IQ'!$P$6:$P$485,$A288)</x:f>
        <x:v>0</x:v>
      </x:c>
      <x:c r="AZ288" s="141" t="n">
        <x:f>IF($A288&gt;=Premissas!$B$48,$F288,0)+IF($A288&lt;Premissas!$B$27,INDEX('Consorcio IQ'!$O$6:$O$485,$A288),0)</x:f>
        <x:v>790363.0918465639</x:v>
      </x:c>
      <x:c r="BA288" s="141" t="n">
        <x:f>AX288+AZ288-AY288</x:f>
        <x:v>10520846.600677129</x:v>
      </x:c>
      <x:c r="BB288" s="141" t="n">
        <x:f>IF(AW288&gt;1,"Inviavel",BA288)</x:f>
        <x:v>10520846.600677129</x:v>
      </x:c>
      <x:c r="BC288" s="141" t="str">
        <x:f>IF(AW288&gt;1,"Inviavel","OK")</x:f>
        <x:v>OK</x:v>
      </x:c>
      <x:c r="BD288" s="141" t="n">
        <x:f>IF($A288='Consorcio Direto'!$B$29,'Consorcio Direto'!$B$44,0)</x:f>
        <x:v>0</x:v>
      </x:c>
      <x:c r="BE288" s="141" t="n">
        <x:f>IF($A288&lt;='Consorcio Direto'!$B$27,INDEX('Consorcio Direto'!$E$55:$E$534,$A288),0)</x:f>
        <x:v>0</x:v>
      </x:c>
      <x:c r="BF288" s="141" t="n">
        <x:f>IF(AND(TRUE,Premissas!$B$11="Imovel",Premissas!$B$47="Moradia",$A288&lt;MAX('Consorcio Direto'!$B$29,Premissas!$B$49)),$D288,0)</x:f>
        <x:v>0</x:v>
      </x:c>
      <x:c r="BG288" s="141" t="n">
        <x:f>IF(AND(TRUE,Premissas!$B$11="Imovel",Premissas!$B$47="Investimento",$A288&gt;=MAX('Consorcio Direto'!$B$29,Premissas!$B$49)),$E288,0)</x:f>
        <x:v>2444.639783406757</x:v>
      </x:c>
      <x:c r="BH288" s="141" t="n">
        <x:f>BD288+BE288+BF288</x:f>
        <x:v>0</x:v>
      </x:c>
      <x:c r="BI288" s="141" t="n">
        <x:f>BG288</x:f>
        <x:v>2444.639783406757</x:v>
      </x:c>
      <x:c r="BJ288" s="141" t="n">
        <x:f>$C288+BI288-BH288</x:f>
        <x:v>9444.639783406757</x:v>
      </x:c>
      <x:c r="BK288" s="141" t="n">
        <x:f>BN287*(1+Premissas!$B$41)+BJ288</x:f>
        <x:v>9278267.817647912</x:v>
      </x:c>
      <x:c r="BL288" s="141" t="n">
        <x:f>MAX(0,-BK288)</x:f>
        <x:v>0</x:v>
      </x:c>
      <x:c r="BM288" s="141" t="n">
        <x:f>BM287*(1+Premissas!$B$41)+BL288</x:f>
        <x:v>0</x:v>
      </x:c>
      <x:c r="BN288" s="141" t="n">
        <x:f>MAX(0,BK288)</x:f>
        <x:v>9278267.817647912</x:v>
      </x:c>
      <x:c r="BO288" s="141" t="n">
        <x:f>INDEX('Consorcio Direto'!$K$55:$K$534,$A288)</x:f>
        <x:v>0</x:v>
      </x:c>
      <x:c r="BP288" s="141" t="n">
        <x:f>IF($A288&lt;'Consorcio Direto'!$B$29,INDEX('Consorcio Direto'!$L$55:$L$534,$A288),$F288)</x:f>
        <x:v>790363.0918465639</x:v>
      </x:c>
      <x:c r="BQ288" s="141" t="n">
        <x:f>BN288+BP288-BO288</x:f>
        <x:v>10068630.909494475</x:v>
      </x:c>
      <x:c r="BR288" s="141" t="n">
        <x:f>IF(BM288&gt;1,"Inviavel",BQ288)</x:f>
        <x:v>10068630.909494475</x:v>
      </x:c>
      <x:c r="BS288" s="141" t="str">
        <x:f>IF(BM288&gt;1,"Inviavel","OK")</x:f>
        <x:v>OK</x:v>
      </x:c>
      <x:c r="BT288" s="141" t="n">
        <x:f>IF(AND('Carta Contemplada'!$B$22="Sim",$A288='Carta Contemplada'!$B$23),'Carta Contemplada'!$B$37,0)</x:f>
        <x:v>0</x:v>
      </x:c>
      <x:c r="BU288" s="141" t="n">
        <x:f>IF('Carta Contemplada'!$B$22="Sim",INDEX('Carta Contemplada'!$C$55:$C$1013,$A288),0)</x:f>
        <x:v>0</x:v>
      </x:c>
      <x:c r="BV288" s="141" t="n">
        <x:f>IF(AND('Carta Contemplada'!$B$22="Sim",Premissas!$B$11="Imovel",Premissas!$B$47="Moradia",$A288&lt;MAX('Carta Contemplada'!$B$44,Premissas!$B$49)),$D288,0)</x:f>
        <x:v>0</x:v>
      </x:c>
      <x:c r="BW288" s="141" t="n">
        <x:f>IF(AND('Carta Contemplada'!$B$22="Sim",Premissas!$B$11="Imovel",Premissas!$B$47="Investimento",$A288&gt;=MAX('Carta Contemplada'!$B$44,Premissas!$B$49)),$E288,0)</x:f>
        <x:v>2444.639783406757</x:v>
      </x:c>
      <x:c r="BX288" s="141" t="n">
        <x:f>BT288+BU288+BV288</x:f>
        <x:v>0</x:v>
      </x:c>
      <x:c r="BY288" s="141" t="n">
        <x:f>BW288</x:f>
        <x:v>2444.639783406757</x:v>
      </x:c>
      <x:c r="BZ288" s="141" t="n">
        <x:f>$C288+BY288-BX288</x:f>
        <x:v>9444.639783406757</x:v>
      </x:c>
      <x:c r="CA288" s="141" t="n">
        <x:f>CD287*(1+Premissas!$B$41)+BZ288</x:f>
        <x:v>10025173.356096644</x:v>
      </x:c>
      <x:c r="CB288" s="141" t="n">
        <x:f>MAX(0,-CA288)</x:f>
        <x:v>0</x:v>
      </x:c>
      <x:c r="CC288" s="141" t="n">
        <x:f>CC287*(1+Premissas!$B$41)+CB288</x:f>
        <x:v>0</x:v>
      </x:c>
      <x:c r="CD288" s="141" t="n">
        <x:f>MAX(0,CA288)</x:f>
        <x:v>10025173.356096644</x:v>
      </x:c>
      <x:c r="CE288" s="141" t="n">
        <x:f>IF(AND('Carta Contemplada'!$B$22="Sim",$A288&gt;='Carta Contemplada'!$B$23),INDEX('Carta Contemplada'!$I$55:$I$1013,$A288),0)</x:f>
        <x:v>0</x:v>
      </x:c>
      <x:c r="CF288" s="141" t="n">
        <x:f>IF(AND('Carta Contemplada'!$B$22="Sim",$A288&gt;='Carta Contemplada'!$B$44),$F288,0)</x:f>
        <x:v>790363.0918465639</x:v>
      </x:c>
      <x:c r="CG288" s="141" t="n">
        <x:f>CD288+CF288-CE288</x:f>
        <x:v>10815536.447943207</x:v>
      </x:c>
      <x:c r="CH288" s="141" t="n">
        <x:f>IF(CC288&gt;1,"Inviavel",CG288)</x:f>
        <x:v>10815536.447943207</x:v>
      </x:c>
      <x:c r="CI288" s="145" t="str">
        <x:f>IF(CC288&gt;1,"Inviavel","OK")</x:f>
        <x:v>OK</x:v>
      </x:c>
    </x:row>
    <x:row r="289">
      <x:c r="A289" s="142" t="n">
        <x:v>285</x:v>
      </x:c>
      <x:c r="B289" s="179" t="n">
        <x:f>EDATE(Premissas!$B$4,A289-1)</x:f>
        <x:v>55185</x:v>
      </x:c>
      <x:c r="C289" s="141" t="n">
        <x:f>IF(A289&lt;=Premissas!$B$39,Premissas!$B$42,0)</x:f>
        <x:v>7000</x:v>
      </x:c>
      <x:c r="D289" s="141" t="n">
        <x:f>Premissas!$B$54*(1+Premissas!$B$57)^INT((A289-1)/12)</x:f>
        <x:v>2673.8247631011404</x:v>
      </x:c>
      <x:c r="E289" s="141" t="n">
        <x:f>Premissas!$B$64*(1+Premissas!$B$57)^INT((A289-1)/12)</x:f>
        <x:v>2444.639783406757</x:v>
      </x:c>
      <x:c r="F289" s="141" t="n">
        <x:f>MAX(0,Premissas!$B$6*(1+Premissas!$B$66)^((A289-1)/12))</x:f>
        <x:v>794210.2241611079</x:v>
      </x:c>
      <x:c r="G289" s="141" t="n">
        <x:f>G288*(1+Premissas!$B$41)+C289</x:f>
        <x:v>11462387.61633752</x:v>
      </x:c>
      <x:c r="H289" s="141" t="n">
        <x:f>IF($A289=Premissas!$B$48,Premissas!$B$8,0)</x:f>
        <x:v>0</x:v>
      </x:c>
      <x:c r="I289" s="141" t="n">
        <x:f>IF(AND($A289&gt;=Premissas!$B$48,$A289-Premissas!$B$48+1&lt;=Premissas!$B$13),INDEX(Financiamento!$J$6:$J$485,$A289-Premissas!$B$48+1),0)</x:f>
        <x:v>1022.5622244203039</x:v>
      </x:c>
      <x:c r="J289" s="141" t="n">
        <x:f>IF(AND(TRUE,Premissas!$B$11="Imovel",Premissas!$B$47="Moradia",$A289&lt;MAX(Premissas!$B$48,Premissas!$B$49)),$D289,0)</x:f>
        <x:v>0</x:v>
      </x:c>
      <x:c r="K289" s="141" t="n">
        <x:f>IF(AND(TRUE,Premissas!$B$11="Imovel",Premissas!$B$47="Investimento",$A289&gt;=MAX(Premissas!$B$48,Premissas!$B$49)),$E289,0)</x:f>
        <x:v>2444.639783406757</x:v>
      </x:c>
      <x:c r="L289" s="141" t="n">
        <x:f>H289+I289+J289</x:f>
        <x:v>1022.5622244203039</x:v>
      </x:c>
      <x:c r="M289" s="141" t="n">
        <x:f>K289</x:f>
        <x:v>2444.639783406757</x:v>
      </x:c>
      <x:c r="N289" s="141" t="n">
        <x:f>$C289+M289-L289</x:f>
        <x:v>8422.077558986453</x:v>
      </x:c>
      <x:c r="O289" s="141" t="n">
        <x:f>R288*(1+Premissas!$B$41)+N289</x:f>
        <x:v>9803219.379470186</x:v>
      </x:c>
      <x:c r="P289" s="141" t="n">
        <x:f>MAX(0,-O289)</x:f>
        <x:v>0</x:v>
      </x:c>
      <x:c r="Q289" s="141" t="n">
        <x:f>Q288*(1+Premissas!$B$41)+P289</x:f>
        <x:v>0</x:v>
      </x:c>
      <x:c r="R289" s="141" t="n">
        <x:f>MAX(0,O289)</x:f>
        <x:v>9803219.379470186</x:v>
      </x:c>
      <x:c r="S289" s="141" t="n">
        <x:f>IF(AND($A289&gt;=Premissas!$B$48,$A289-Premissas!$B$48+1&lt;=Premissas!$B$13),INDEX(Financiamento!$M$6:$M$485,$A289-Premissas!$B$48+1),0)</x:f>
        <x:v>51428.57142857151</x:v>
      </x:c>
      <x:c r="T289" s="141" t="n">
        <x:f>IF($A289&gt;=Premissas!$B$48,$F289,0)</x:f>
        <x:v>794210.2241611079</x:v>
      </x:c>
      <x:c r="U289" s="141" t="n">
        <x:f>R289+T289-S289</x:f>
        <x:v>10546001.032202723</x:v>
      </x:c>
      <x:c r="V289" s="141" t="n">
        <x:f>IF(Q289&gt;1,"Inviavel",U289)</x:f>
        <x:v>10546001.032202723</x:v>
      </x:c>
      <x:c r="W289" s="141" t="str">
        <x:f>IF(Q289&gt;1,"Inviavel","OK")</x:f>
        <x:v>OK</x:v>
      </x:c>
      <x:c r="X289" s="141" t="n">
        <x:f>IF($A289=Premissas!$B$48,Premissas!$B$8,0)</x:f>
        <x:v>0</x:v>
      </x:c>
      <x:c r="Y289" s="141" t="n">
        <x:f>IF(AND($A289&gt;=Premissas!$B$48,$A289-Premissas!$B$48+1&lt;=Premissas!$B$13),INDEX(Amortizacao!$K$6:$K$485,$A289-Premissas!$B$48+1),0)</x:f>
        <x:v>0</x:v>
      </x:c>
      <x:c r="Z289" s="141" t="n">
        <x:f>IF(AND(TRUE,Premissas!$B$11="Imovel",Premissas!$B$47="Moradia",$A289&lt;MAX(Premissas!$B$48,Premissas!$B$49)),$D289,0)</x:f>
        <x:v>0</x:v>
      </x:c>
      <x:c r="AA289" s="141" t="n">
        <x:f>IF(AND(TRUE,Premissas!$B$11="Imovel",Premissas!$B$47="Investimento",$A289&gt;=MAX(Premissas!$B$48,Premissas!$B$49)),$E289,0)</x:f>
        <x:v>2444.639783406757</x:v>
      </x:c>
      <x:c r="AB289" s="141" t="n">
        <x:f>X289+Y289+Z289</x:f>
        <x:v>0</x:v>
      </x:c>
      <x:c r="AC289" s="141" t="n">
        <x:f>AA289</x:f>
        <x:v>2444.639783406757</x:v>
      </x:c>
      <x:c r="AD289" s="141" t="n">
        <x:f>$C289+AC289-AB289</x:f>
        <x:v>9444.639783406757</x:v>
      </x:c>
      <x:c r="AE289" s="141" t="n">
        <x:f>AH288*(1+Premissas!$B$41)+AD289</x:f>
        <x:v>9916728.303611938</x:v>
      </x:c>
      <x:c r="AF289" s="141" t="n">
        <x:f>MAX(0,-AE289)</x:f>
        <x:v>0</x:v>
      </x:c>
      <x:c r="AG289" s="141" t="n">
        <x:f>AG288*(1+Premissas!$B$41)+AF289</x:f>
        <x:v>0</x:v>
      </x:c>
      <x:c r="AH289" s="141" t="n">
        <x:f>MAX(0,AE289)</x:f>
        <x:v>9916728.303611938</x:v>
      </x:c>
      <x:c r="AI289" s="141" t="n">
        <x:f>IF(AND($A289&gt;=Premissas!$B$48,$A289-Premissas!$B$48+1&lt;=Premissas!$B$13),INDEX(Amortizacao!$L$6:$L$485,$A289-Premissas!$B$48+1),0)</x:f>
        <x:v>0</x:v>
      </x:c>
      <x:c r="AJ289" s="141" t="n">
        <x:f>IF($A289&gt;=Premissas!$B$48,$F289,0)</x:f>
        <x:v>794210.2241611079</x:v>
      </x:c>
      <x:c r="AK289" s="141" t="n">
        <x:f>AH289+AJ289-AI289</x:f>
        <x:v>10710938.527773045</x:v>
      </x:c>
      <x:c r="AL289" s="141" t="n">
        <x:f>IF(AG289&gt;1,"Inviavel",AK289)</x:f>
        <x:v>10710938.527773045</x:v>
      </x:c>
      <x:c r="AM289" s="141" t="str">
        <x:f>IF(AG289&gt;1,"Inviavel","OK")</x:f>
        <x:v>OK</x:v>
      </x:c>
      <x:c r="AN289" s="141" t="n">
        <x:f>IF($A289=Premissas!$B$48,Premissas!$B$8,0)</x:f>
        <x:v>0</x:v>
      </x:c>
      <x:c r="AO289" s="141" t="n">
        <x:f>IF($A289&lt;=Premissas!$B$25,INDEX('Consorcio IQ'!$K$6:$K$485,$A289),0)</x:f>
        <x:v>0</x:v>
      </x:c>
      <x:c r="AP289" s="141" t="n">
        <x:f>IF(AND(TRUE,Premissas!$B$11="Imovel",Premissas!$B$47="Moradia",$A289&lt;MAX(Premissas!$B$48,Premissas!$B$49)),$D289,0)</x:f>
        <x:v>0</x:v>
      </x:c>
      <x:c r="AQ289" s="141" t="n">
        <x:f>IF(AND(TRUE,Premissas!$B$11="Imovel",Premissas!$B$47="Investimento",$A289&gt;=MAX(Premissas!$B$48,Premissas!$B$49)),$E289,0)</x:f>
        <x:v>2444.639783406757</x:v>
      </x:c>
      <x:c r="AR289" s="141" t="n">
        <x:f>AN289+AO289+AP289</x:f>
        <x:v>0</x:v>
      </x:c>
      <x:c r="AS289" s="141" t="n">
        <x:f>AQ289</x:f>
        <x:v>2444.639783406757</x:v>
      </x:c>
      <x:c r="AT289" s="141" t="n">
        <x:f>$C289+AS289-AR289</x:f>
        <x:v>9444.639783406757</x:v>
      </x:c>
      <x:c r="AU289" s="141" t="n">
        <x:f>AX288*(1+Premissas!$B$41)+AT289</x:f>
        <x:v>9832258.691782638</x:v>
      </x:c>
      <x:c r="AV289" s="141" t="n">
        <x:f>MAX(0,-AU289)</x:f>
        <x:v>0</x:v>
      </x:c>
      <x:c r="AW289" s="141" t="n">
        <x:f>AW288*(1+Premissas!$B$41)+AV289</x:f>
        <x:v>0</x:v>
      </x:c>
      <x:c r="AX289" s="141" t="n">
        <x:f>MAX(0,AU289)</x:f>
        <x:v>9832258.691782638</x:v>
      </x:c>
      <x:c r="AY289" s="141" t="n">
        <x:f>INDEX('Consorcio IQ'!$P$6:$P$485,$A289)</x:f>
        <x:v>0</x:v>
      </x:c>
      <x:c r="AZ289" s="141" t="n">
        <x:f>IF($A289&gt;=Premissas!$B$48,$F289,0)+IF($A289&lt;Premissas!$B$27,INDEX('Consorcio IQ'!$O$6:$O$485,$A289),0)</x:f>
        <x:v>794210.2241611079</x:v>
      </x:c>
      <x:c r="BA289" s="141" t="n">
        <x:f>AX289+AZ289-AY289</x:f>
        <x:v>10626468.915943746</x:v>
      </x:c>
      <x:c r="BB289" s="141" t="n">
        <x:f>IF(AW289&gt;1,"Inviavel",BA289)</x:f>
        <x:v>10626468.915943746</x:v>
      </x:c>
      <x:c r="BC289" s="141" t="str">
        <x:f>IF(AW289&gt;1,"Inviavel","OK")</x:f>
        <x:v>OK</x:v>
      </x:c>
      <x:c r="BD289" s="141" t="n">
        <x:f>IF($A289='Consorcio Direto'!$B$29,'Consorcio Direto'!$B$44,0)</x:f>
        <x:v>0</x:v>
      </x:c>
      <x:c r="BE289" s="141" t="n">
        <x:f>IF($A289&lt;='Consorcio Direto'!$B$27,INDEX('Consorcio Direto'!$E$55:$E$534,$A289),0)</x:f>
        <x:v>0</x:v>
      </x:c>
      <x:c r="BF289" s="141" t="n">
        <x:f>IF(AND(TRUE,Premissas!$B$11="Imovel",Premissas!$B$47="Moradia",$A289&lt;MAX('Consorcio Direto'!$B$29,Premissas!$B$49)),$D289,0)</x:f>
        <x:v>0</x:v>
      </x:c>
      <x:c r="BG289" s="141" t="n">
        <x:f>IF(AND(TRUE,Premissas!$B$11="Imovel",Premissas!$B$47="Investimento",$A289&gt;=MAX('Consorcio Direto'!$B$29,Premissas!$B$49)),$E289,0)</x:f>
        <x:v>2444.639783406757</x:v>
      </x:c>
      <x:c r="BH289" s="141" t="n">
        <x:f>BD289+BE289+BF289</x:f>
        <x:v>0</x:v>
      </x:c>
      <x:c r="BI289" s="141" t="n">
        <x:f>BG289</x:f>
        <x:v>2444.639783406757</x:v>
      </x:c>
      <x:c r="BJ289" s="141" t="n">
        <x:f>$C289+BI289-BH289</x:f>
        <x:v>9444.639783406757</x:v>
      </x:c>
      <x:c r="BK289" s="141" t="n">
        <x:f>BN288*(1+Premissas!$B$41)+BJ289</x:f>
        <x:v>9375752.019544585</x:v>
      </x:c>
      <x:c r="BL289" s="141" t="n">
        <x:f>MAX(0,-BK289)</x:f>
        <x:v>0</x:v>
      </x:c>
      <x:c r="BM289" s="141" t="n">
        <x:f>BM288*(1+Premissas!$B$41)+BL289</x:f>
        <x:v>0</x:v>
      </x:c>
      <x:c r="BN289" s="141" t="n">
        <x:f>MAX(0,BK289)</x:f>
        <x:v>9375752.019544585</x:v>
      </x:c>
      <x:c r="BO289" s="141" t="n">
        <x:f>INDEX('Consorcio Direto'!$K$55:$K$534,$A289)</x:f>
        <x:v>0</x:v>
      </x:c>
      <x:c r="BP289" s="141" t="n">
        <x:f>IF($A289&lt;'Consorcio Direto'!$B$29,INDEX('Consorcio Direto'!$L$55:$L$534,$A289),$F289)</x:f>
        <x:v>794210.2241611079</x:v>
      </x:c>
      <x:c r="BQ289" s="141" t="n">
        <x:f>BN289+BP289-BO289</x:f>
        <x:v>10169962.243705692</x:v>
      </x:c>
      <x:c r="BR289" s="141" t="n">
        <x:f>IF(BM289&gt;1,"Inviavel",BQ289)</x:f>
        <x:v>10169962.243705692</x:v>
      </x:c>
      <x:c r="BS289" s="141" t="str">
        <x:f>IF(BM289&gt;1,"Inviavel","OK")</x:f>
        <x:v>OK</x:v>
      </x:c>
      <x:c r="BT289" s="141" t="n">
        <x:f>IF(AND('Carta Contemplada'!$B$22="Sim",$A289='Carta Contemplada'!$B$23),'Carta Contemplada'!$B$37,0)</x:f>
        <x:v>0</x:v>
      </x:c>
      <x:c r="BU289" s="141" t="n">
        <x:f>IF('Carta Contemplada'!$B$22="Sim",INDEX('Carta Contemplada'!$C$55:$C$1013,$A289),0)</x:f>
        <x:v>0</x:v>
      </x:c>
      <x:c r="BV289" s="141" t="n">
        <x:f>IF(AND('Carta Contemplada'!$B$22="Sim",Premissas!$B$11="Imovel",Premissas!$B$47="Moradia",$A289&lt;MAX('Carta Contemplada'!$B$44,Premissas!$B$49)),$D289,0)</x:f>
        <x:v>0</x:v>
      </x:c>
      <x:c r="BW289" s="141" t="n">
        <x:f>IF(AND('Carta Contemplada'!$B$22="Sim",Premissas!$B$11="Imovel",Premissas!$B$47="Investimento",$A289&gt;=MAX('Carta Contemplada'!$B$44,Premissas!$B$49)),$E289,0)</x:f>
        <x:v>2444.639783406757</x:v>
      </x:c>
      <x:c r="BX289" s="141" t="n">
        <x:f>BT289+BU289+BV289</x:f>
        <x:v>0</x:v>
      </x:c>
      <x:c r="BY289" s="141" t="n">
        <x:f>BW289</x:f>
        <x:v>2444.639783406757</x:v>
      </x:c>
      <x:c r="BZ289" s="141" t="n">
        <x:f>$C289+BY289-BX289</x:f>
        <x:v>9444.639783406757</x:v>
      </x:c>
      <x:c r="CA289" s="141" t="n">
        <x:f>CD288*(1+Premissas!$B$41)+BZ289</x:f>
        <x:v>10129744.78998935</x:v>
      </x:c>
      <x:c r="CB289" s="141" t="n">
        <x:f>MAX(0,-CA289)</x:f>
        <x:v>0</x:v>
      </x:c>
      <x:c r="CC289" s="141" t="n">
        <x:f>CC288*(1+Premissas!$B$41)+CB289</x:f>
        <x:v>0</x:v>
      </x:c>
      <x:c r="CD289" s="141" t="n">
        <x:f>MAX(0,CA289)</x:f>
        <x:v>10129744.78998935</x:v>
      </x:c>
      <x:c r="CE289" s="141" t="n">
        <x:f>IF(AND('Carta Contemplada'!$B$22="Sim",$A289&gt;='Carta Contemplada'!$B$23),INDEX('Carta Contemplada'!$I$55:$I$1013,$A289),0)</x:f>
        <x:v>0</x:v>
      </x:c>
      <x:c r="CF289" s="141" t="n">
        <x:f>IF(AND('Carta Contemplada'!$B$22="Sim",$A289&gt;='Carta Contemplada'!$B$44),$F289,0)</x:f>
        <x:v>794210.2241611079</x:v>
      </x:c>
      <x:c r="CG289" s="141" t="n">
        <x:f>CD289+CF289-CE289</x:f>
        <x:v>10923955.014150457</x:v>
      </x:c>
      <x:c r="CH289" s="141" t="n">
        <x:f>IF(CC289&gt;1,"Inviavel",CG289)</x:f>
        <x:v>10923955.014150457</x:v>
      </x:c>
      <x:c r="CI289" s="145" t="str">
        <x:f>IF(CC289&gt;1,"Inviavel","OK")</x:f>
        <x:v>OK</x:v>
      </x:c>
    </x:row>
    <x:row r="290">
      <x:c r="A290" s="142" t="n">
        <x:v>286</x:v>
      </x:c>
      <x:c r="B290" s="179" t="n">
        <x:f>EDATE(Premissas!$B$4,A290-1)</x:f>
        <x:v>55213</x:v>
      </x:c>
      <x:c r="C290" s="141" t="n">
        <x:f>IF(A290&lt;=Premissas!$B$39,Premissas!$B$42,0)</x:f>
        <x:v>7000</x:v>
      </x:c>
      <x:c r="D290" s="141" t="n">
        <x:f>Premissas!$B$54*(1+Premissas!$B$57)^INT((A290-1)/12)</x:f>
        <x:v>2673.8247631011404</x:v>
      </x:c>
      <x:c r="E290" s="141" t="n">
        <x:f>Premissas!$B$64*(1+Premissas!$B$57)^INT((A290-1)/12)</x:f>
        <x:v>2444.639783406757</x:v>
      </x:c>
      <x:c r="F290" s="141" t="n">
        <x:f>MAX(0,Premissas!$B$6*(1+Premissas!$B$66)^((A290-1)/12))</x:f>
        <x:v>798076.0825867245</x:v>
      </x:c>
      <x:c r="G290" s="141" t="n">
        <x:f>G289*(1+Premissas!$B$41)+C290</x:f>
        <x:v>11578151.838964874</x:v>
      </x:c>
      <x:c r="H290" s="141" t="n">
        <x:f>IF($A290=Premissas!$B$48,Premissas!$B$8,0)</x:f>
        <x:v>0</x:v>
      </x:c>
      <x:c r="I290" s="141" t="n">
        <x:f>IF(AND($A290&gt;=Premissas!$B$48,$A290-Premissas!$B$48+1&lt;=Premissas!$B$13),INDEX(Financiamento!$J$6:$J$485,$A290-Premissas!$B$48+1),0)</x:f>
        <x:v>1018.9474461595103</x:v>
      </x:c>
      <x:c r="J290" s="141" t="n">
        <x:f>IF(AND(TRUE,Premissas!$B$11="Imovel",Premissas!$B$47="Moradia",$A290&lt;MAX(Premissas!$B$48,Premissas!$B$49)),$D290,0)</x:f>
        <x:v>0</x:v>
      </x:c>
      <x:c r="K290" s="141" t="n">
        <x:f>IF(AND(TRUE,Premissas!$B$11="Imovel",Premissas!$B$47="Investimento",$A290&gt;=MAX(Premissas!$B$48,Premissas!$B$49)),$E290,0)</x:f>
        <x:v>2444.639783406757</x:v>
      </x:c>
      <x:c r="L290" s="141" t="n">
        <x:f>H290+I290+J290</x:f>
        <x:v>1018.9474461595103</x:v>
      </x:c>
      <x:c r="M290" s="141" t="n">
        <x:f>K290</x:f>
        <x:v>2444.639783406757</x:v>
      </x:c>
      <x:c r="N290" s="141" t="n">
        <x:f>$C290+M290-L290</x:f>
        <x:v>8425.692337247247</x:v>
      </x:c>
      <x:c r="O290" s="141" t="n">
        <x:f>R289*(1+Premissas!$B$41)+N290</x:f>
        <x:v>9904665.790591517</x:v>
      </x:c>
      <x:c r="P290" s="141" t="n">
        <x:f>MAX(0,-O290)</x:f>
        <x:v>0</x:v>
      </x:c>
      <x:c r="Q290" s="141" t="n">
        <x:f>Q289*(1+Premissas!$B$41)+P290</x:f>
        <x:v>0</x:v>
      </x:c>
      <x:c r="R290" s="141" t="n">
        <x:f>MAX(0,O290)</x:f>
        <x:v>9904665.790591517</x:v>
      </x:c>
      <x:c r="S290" s="141" t="n">
        <x:f>IF(AND($A290&gt;=Premissas!$B$48,$A290-Premissas!$B$48+1&lt;=Premissas!$B$13),INDEX(Financiamento!$M$6:$M$485,$A290-Premissas!$B$48+1),0)</x:f>
        <x:v>51047.619047619126</x:v>
      </x:c>
      <x:c r="T290" s="141" t="n">
        <x:f>IF($A290&gt;=Premissas!$B$48,$F290,0)</x:f>
        <x:v>798076.0825867245</x:v>
      </x:c>
      <x:c r="U290" s="141" t="n">
        <x:f>R290+T290-S290</x:f>
        <x:v>10651694.254130622</x:v>
      </x:c>
      <x:c r="V290" s="141" t="n">
        <x:f>IF(Q290&gt;1,"Inviavel",U290)</x:f>
        <x:v>10651694.254130622</x:v>
      </x:c>
      <x:c r="W290" s="141" t="str">
        <x:f>IF(Q290&gt;1,"Inviavel","OK")</x:f>
        <x:v>OK</x:v>
      </x:c>
      <x:c r="X290" s="141" t="n">
        <x:f>IF($A290=Premissas!$B$48,Premissas!$B$8,0)</x:f>
        <x:v>0</x:v>
      </x:c>
      <x:c r="Y290" s="141" t="n">
        <x:f>IF(AND($A290&gt;=Premissas!$B$48,$A290-Premissas!$B$48+1&lt;=Premissas!$B$13),INDEX(Amortizacao!$K$6:$K$485,$A290-Premissas!$B$48+1),0)</x:f>
        <x:v>0</x:v>
      </x:c>
      <x:c r="Z290" s="141" t="n">
        <x:f>IF(AND(TRUE,Premissas!$B$11="Imovel",Premissas!$B$47="Moradia",$A290&lt;MAX(Premissas!$B$48,Premissas!$B$49)),$D290,0)</x:f>
        <x:v>0</x:v>
      </x:c>
      <x:c r="AA290" s="141" t="n">
        <x:f>IF(AND(TRUE,Premissas!$B$11="Imovel",Premissas!$B$47="Investimento",$A290&gt;=MAX(Premissas!$B$48,Premissas!$B$49)),$E290,0)</x:f>
        <x:v>2444.639783406757</x:v>
      </x:c>
      <x:c r="AB290" s="141" t="n">
        <x:f>X290+Y290+Z290</x:f>
        <x:v>0</x:v>
      </x:c>
      <x:c r="AC290" s="141" t="n">
        <x:f>AA290</x:f>
        <x:v>2444.639783406757</x:v>
      </x:c>
      <x:c r="AD290" s="141" t="n">
        <x:f>$C290+AC290-AB290</x:f>
        <x:v>9444.639783406757</x:v>
      </x:c>
      <x:c r="AE290" s="141" t="n">
        <x:f>AH289*(1+Premissas!$B$41)+AD290</x:f>
        <x:v>10020270.724856837</x:v>
      </x:c>
      <x:c r="AF290" s="141" t="n">
        <x:f>MAX(0,-AE290)</x:f>
        <x:v>0</x:v>
      </x:c>
      <x:c r="AG290" s="141" t="n">
        <x:f>AG289*(1+Premissas!$B$41)+AF290</x:f>
        <x:v>0</x:v>
      </x:c>
      <x:c r="AH290" s="141" t="n">
        <x:f>MAX(0,AE290)</x:f>
        <x:v>10020270.724856837</x:v>
      </x:c>
      <x:c r="AI290" s="141" t="n">
        <x:f>IF(AND($A290&gt;=Premissas!$B$48,$A290-Premissas!$B$48+1&lt;=Premissas!$B$13),INDEX(Amortizacao!$L$6:$L$485,$A290-Premissas!$B$48+1),0)</x:f>
        <x:v>0</x:v>
      </x:c>
      <x:c r="AJ290" s="141" t="n">
        <x:f>IF($A290&gt;=Premissas!$B$48,$F290,0)</x:f>
        <x:v>798076.0825867245</x:v>
      </x:c>
      <x:c r="AK290" s="141" t="n">
        <x:f>AH290+AJ290-AI290</x:f>
        <x:v>10818346.807443561</x:v>
      </x:c>
      <x:c r="AL290" s="141" t="n">
        <x:f>IF(AG290&gt;1,"Inviavel",AK290)</x:f>
        <x:v>10818346.807443561</x:v>
      </x:c>
      <x:c r="AM290" s="141" t="str">
        <x:f>IF(AG290&gt;1,"Inviavel","OK")</x:f>
        <x:v>OK</x:v>
      </x:c>
      <x:c r="AN290" s="141" t="n">
        <x:f>IF($A290=Premissas!$B$48,Premissas!$B$8,0)</x:f>
        <x:v>0</x:v>
      </x:c>
      <x:c r="AO290" s="141" t="n">
        <x:f>IF($A290&lt;=Premissas!$B$25,INDEX('Consorcio IQ'!$K$6:$K$485,$A290),0)</x:f>
        <x:v>0</x:v>
      </x:c>
      <x:c r="AP290" s="141" t="n">
        <x:f>IF(AND(TRUE,Premissas!$B$11="Imovel",Premissas!$B$47="Moradia",$A290&lt;MAX(Premissas!$B$48,Premissas!$B$49)),$D290,0)</x:f>
        <x:v>0</x:v>
      </x:c>
      <x:c r="AQ290" s="141" t="n">
        <x:f>IF(AND(TRUE,Premissas!$B$11="Imovel",Premissas!$B$47="Investimento",$A290&gt;=MAX(Premissas!$B$48,Premissas!$B$49)),$E290,0)</x:f>
        <x:v>2444.639783406757</x:v>
      </x:c>
      <x:c r="AR290" s="141" t="n">
        <x:f>AN290+AO290+AP290</x:f>
        <x:v>0</x:v>
      </x:c>
      <x:c r="AS290" s="141" t="n">
        <x:f>AQ290</x:f>
        <x:v>2444.639783406757</x:v>
      </x:c>
      <x:c r="AT290" s="141" t="n">
        <x:f>$C290+AS290-AR290</x:f>
        <x:v>9444.639783406757</x:v>
      </x:c>
      <x:c r="AU290" s="141" t="n">
        <x:f>AX289*(1+Premissas!$B$41)+AT290</x:f>
        <x:v>9934999.598371625</x:v>
      </x:c>
      <x:c r="AV290" s="141" t="n">
        <x:f>MAX(0,-AU290)</x:f>
        <x:v>0</x:v>
      </x:c>
      <x:c r="AW290" s="141" t="n">
        <x:f>AW289*(1+Premissas!$B$41)+AV290</x:f>
        <x:v>0</x:v>
      </x:c>
      <x:c r="AX290" s="141" t="n">
        <x:f>MAX(0,AU290)</x:f>
        <x:v>9934999.598371625</x:v>
      </x:c>
      <x:c r="AY290" s="141" t="n">
        <x:f>INDEX('Consorcio IQ'!$P$6:$P$485,$A290)</x:f>
        <x:v>0</x:v>
      </x:c>
      <x:c r="AZ290" s="141" t="n">
        <x:f>IF($A290&gt;=Premissas!$B$48,$F290,0)+IF($A290&lt;Premissas!$B$27,INDEX('Consorcio IQ'!$O$6:$O$485,$A290),0)</x:f>
        <x:v>798076.0825867245</x:v>
      </x:c>
      <x:c r="BA290" s="141" t="n">
        <x:f>AX290+AZ290-AY290</x:f>
        <x:v>10733075.68095835</x:v>
      </x:c>
      <x:c r="BB290" s="141" t="n">
        <x:f>IF(AW290&gt;1,"Inviavel",BA290)</x:f>
        <x:v>10733075.68095835</x:v>
      </x:c>
      <x:c r="BC290" s="141" t="str">
        <x:f>IF(AW290&gt;1,"Inviavel","OK")</x:f>
        <x:v>OK</x:v>
      </x:c>
      <x:c r="BD290" s="141" t="n">
        <x:f>IF($A290='Consorcio Direto'!$B$29,'Consorcio Direto'!$B$44,0)</x:f>
        <x:v>0</x:v>
      </x:c>
      <x:c r="BE290" s="141" t="n">
        <x:f>IF($A290&lt;='Consorcio Direto'!$B$27,INDEX('Consorcio Direto'!$E$55:$E$534,$A290),0)</x:f>
        <x:v>0</x:v>
      </x:c>
      <x:c r="BF290" s="141" t="n">
        <x:f>IF(AND(TRUE,Premissas!$B$11="Imovel",Premissas!$B$47="Moradia",$A290&lt;MAX('Consorcio Direto'!$B$29,Premissas!$B$49)),$D290,0)</x:f>
        <x:v>0</x:v>
      </x:c>
      <x:c r="BG290" s="141" t="n">
        <x:f>IF(AND(TRUE,Premissas!$B$11="Imovel",Premissas!$B$47="Investimento",$A290&gt;=MAX('Consorcio Direto'!$B$29,Premissas!$B$49)),$E290,0)</x:f>
        <x:v>2444.639783406757</x:v>
      </x:c>
      <x:c r="BH290" s="141" t="n">
        <x:f>BD290+BE290+BF290</x:f>
        <x:v>0</x:v>
      </x:c>
      <x:c r="BI290" s="141" t="n">
        <x:f>BG290</x:f>
        <x:v>2444.639783406757</x:v>
      </x:c>
      <x:c r="BJ290" s="141" t="n">
        <x:f>$C290+BI290-BH290</x:f>
        <x:v>9444.639783406757</x:v>
      </x:c>
      <x:c r="BK290" s="141" t="n">
        <x:f>BN289*(1+Premissas!$B$41)+BJ290</x:f>
        <x:v>9474161.228847448</x:v>
      </x:c>
      <x:c r="BL290" s="141" t="n">
        <x:f>MAX(0,-BK290)</x:f>
        <x:v>0</x:v>
      </x:c>
      <x:c r="BM290" s="141" t="n">
        <x:f>BM289*(1+Premissas!$B$41)+BL290</x:f>
        <x:v>0</x:v>
      </x:c>
      <x:c r="BN290" s="141" t="n">
        <x:f>MAX(0,BK290)</x:f>
        <x:v>9474161.228847448</x:v>
      </x:c>
      <x:c r="BO290" s="141" t="n">
        <x:f>INDEX('Consorcio Direto'!$K$55:$K$534,$A290)</x:f>
        <x:v>0</x:v>
      </x:c>
      <x:c r="BP290" s="141" t="n">
        <x:f>IF($A290&lt;'Consorcio Direto'!$B$29,INDEX('Consorcio Direto'!$L$55:$L$534,$A290),$F290)</x:f>
        <x:v>798076.0825867245</x:v>
      </x:c>
      <x:c r="BQ290" s="141" t="n">
        <x:f>BN290+BP290-BO290</x:f>
        <x:v>10272237.311434172</x:v>
      </x:c>
      <x:c r="BR290" s="141" t="n">
        <x:f>IF(BM290&gt;1,"Inviavel",BQ290)</x:f>
        <x:v>10272237.311434172</x:v>
      </x:c>
      <x:c r="BS290" s="141" t="str">
        <x:f>IF(BM290&gt;1,"Inviavel","OK")</x:f>
        <x:v>OK</x:v>
      </x:c>
      <x:c r="BT290" s="141" t="n">
        <x:f>IF(AND('Carta Contemplada'!$B$22="Sim",$A290='Carta Contemplada'!$B$23),'Carta Contemplada'!$B$37,0)</x:f>
        <x:v>0</x:v>
      </x:c>
      <x:c r="BU290" s="141" t="n">
        <x:f>IF('Carta Contemplada'!$B$22="Sim",INDEX('Carta Contemplada'!$C$55:$C$1013,$A290),0)</x:f>
        <x:v>0</x:v>
      </x:c>
      <x:c r="BV290" s="141" t="n">
        <x:f>IF(AND('Carta Contemplada'!$B$22="Sim",Premissas!$B$11="Imovel",Premissas!$B$47="Moradia",$A290&lt;MAX('Carta Contemplada'!$B$44,Premissas!$B$49)),$D290,0)</x:f>
        <x:v>0</x:v>
      </x:c>
      <x:c r="BW290" s="141" t="n">
        <x:f>IF(AND('Carta Contemplada'!$B$22="Sim",Premissas!$B$11="Imovel",Premissas!$B$47="Investimento",$A290&gt;=MAX('Carta Contemplada'!$B$44,Premissas!$B$49)),$E290,0)</x:f>
        <x:v>2444.639783406757</x:v>
      </x:c>
      <x:c r="BX290" s="141" t="n">
        <x:f>BT290+BU290+BV290</x:f>
        <x:v>0</x:v>
      </x:c>
      <x:c r="BY290" s="141" t="n">
        <x:f>BW290</x:f>
        <x:v>2444.639783406757</x:v>
      </x:c>
      <x:c r="BZ290" s="141" t="n">
        <x:f>$C290+BY290-BX290</x:f>
        <x:v>9444.639783406757</x:v>
      </x:c>
      <x:c r="CA290" s="141" t="n">
        <x:f>CD289*(1+Premissas!$B$41)+BZ290</x:f>
        <x:v>10235308.480565138</x:v>
      </x:c>
      <x:c r="CB290" s="141" t="n">
        <x:f>MAX(0,-CA290)</x:f>
        <x:v>0</x:v>
      </x:c>
      <x:c r="CC290" s="141" t="n">
        <x:f>CC289*(1+Premissas!$B$41)+CB290</x:f>
        <x:v>0</x:v>
      </x:c>
      <x:c r="CD290" s="141" t="n">
        <x:f>MAX(0,CA290)</x:f>
        <x:v>10235308.480565138</x:v>
      </x:c>
      <x:c r="CE290" s="141" t="n">
        <x:f>IF(AND('Carta Contemplada'!$B$22="Sim",$A290&gt;='Carta Contemplada'!$B$23),INDEX('Carta Contemplada'!$I$55:$I$1013,$A290),0)</x:f>
        <x:v>0</x:v>
      </x:c>
      <x:c r="CF290" s="141" t="n">
        <x:f>IF(AND('Carta Contemplada'!$B$22="Sim",$A290&gt;='Carta Contemplada'!$B$44),$F290,0)</x:f>
        <x:v>798076.0825867245</x:v>
      </x:c>
      <x:c r="CG290" s="141" t="n">
        <x:f>CD290+CF290-CE290</x:f>
        <x:v>11033384.563151862</x:v>
      </x:c>
      <x:c r="CH290" s="141" t="n">
        <x:f>IF(CC290&gt;1,"Inviavel",CG290)</x:f>
        <x:v>11033384.563151862</x:v>
      </x:c>
      <x:c r="CI290" s="145" t="str">
        <x:f>IF(CC290&gt;1,"Inviavel","OK")</x:f>
        <x:v>OK</x:v>
      </x:c>
    </x:row>
    <x:row r="291">
      <x:c r="A291" s="142" t="n">
        <x:v>287</x:v>
      </x:c>
      <x:c r="B291" s="179" t="n">
        <x:f>EDATE(Premissas!$B$4,A291-1)</x:f>
        <x:v>55244</x:v>
      </x:c>
      <x:c r="C291" s="141" t="n">
        <x:f>IF(A291&lt;=Premissas!$B$39,Premissas!$B$42,0)</x:f>
        <x:v>7000</x:v>
      </x:c>
      <x:c r="D291" s="141" t="n">
        <x:f>Premissas!$B$54*(1+Premissas!$B$57)^INT((A291-1)/12)</x:f>
        <x:v>2673.8247631011404</x:v>
      </x:c>
      <x:c r="E291" s="141" t="n">
        <x:f>Premissas!$B$64*(1+Premissas!$B$57)^INT((A291-1)/12)</x:f>
        <x:v>2444.639783406757</x:v>
      </x:c>
      <x:c r="F291" s="141" t="n">
        <x:f>MAX(0,Premissas!$B$6*(1+Premissas!$B$66)^((A291-1)/12))</x:f>
        <x:v>801960.7582737063</x:v>
      </x:c>
      <x:c r="G291" s="141" t="n">
        <x:f>G290*(1+Premissas!$B$41)+C291</x:f>
        <x:v>11695014.524329973</x:v>
      </x:c>
      <x:c r="H291" s="141" t="n">
        <x:f>IF($A291=Premissas!$B$48,Premissas!$B$8,0)</x:f>
        <x:v>0</x:v>
      </x:c>
      <x:c r="I291" s="141" t="n">
        <x:f>IF(AND($A291&gt;=Premissas!$B$48,$A291-Premissas!$B$48+1&lt;=Premissas!$B$13),INDEX(Financiamento!$J$6:$J$485,$A291-Premissas!$B$48+1),0)</x:f>
        <x:v>1015.3326678987169</x:v>
      </x:c>
      <x:c r="J291" s="141" t="n">
        <x:f>IF(AND(TRUE,Premissas!$B$11="Imovel",Premissas!$B$47="Moradia",$A291&lt;MAX(Premissas!$B$48,Premissas!$B$49)),$D291,0)</x:f>
        <x:v>0</x:v>
      </x:c>
      <x:c r="K291" s="141" t="n">
        <x:f>IF(AND(TRUE,Premissas!$B$11="Imovel",Premissas!$B$47="Investimento",$A291&gt;=MAX(Premissas!$B$48,Premissas!$B$49)),$E291,0)</x:f>
        <x:v>2444.639783406757</x:v>
      </x:c>
      <x:c r="L291" s="141" t="n">
        <x:f>H291+I291+J291</x:f>
        <x:v>1015.3326678987169</x:v>
      </x:c>
      <x:c r="M291" s="141" t="n">
        <x:f>K291</x:f>
        <x:v>2444.639783406757</x:v>
      </x:c>
      <x:c r="N291" s="141" t="n">
        <x:f>$C291+M291-L291</x:f>
        <x:v>8429.30711550804</x:v>
      </x:c>
      <x:c r="O291" s="141" t="n">
        <x:f>R290*(1+Premissas!$B$41)+N291</x:f>
        <x:v>10007078.420480197</x:v>
      </x:c>
      <x:c r="P291" s="141" t="n">
        <x:f>MAX(0,-O291)</x:f>
        <x:v>0</x:v>
      </x:c>
      <x:c r="Q291" s="141" t="n">
        <x:f>Q290*(1+Premissas!$B$41)+P291</x:f>
        <x:v>0</x:v>
      </x:c>
      <x:c r="R291" s="141" t="n">
        <x:f>MAX(0,O291)</x:f>
        <x:v>10007078.420480197</x:v>
      </x:c>
      <x:c r="S291" s="141" t="n">
        <x:f>IF(AND($A291&gt;=Premissas!$B$48,$A291-Premissas!$B$48+1&lt;=Premissas!$B$13),INDEX(Financiamento!$M$6:$M$485,$A291-Premissas!$B$48+1),0)</x:f>
        <x:v>50666.666666666744</x:v>
      </x:c>
      <x:c r="T291" s="141" t="n">
        <x:f>IF($A291&gt;=Premissas!$B$48,$F291,0)</x:f>
        <x:v>801960.7582737063</x:v>
      </x:c>
      <x:c r="U291" s="141" t="n">
        <x:f>R291+T291-S291</x:f>
        <x:v>10758372.512087237</x:v>
      </x:c>
      <x:c r="V291" s="141" t="n">
        <x:f>IF(Q291&gt;1,"Inviavel",U291)</x:f>
        <x:v>10758372.512087237</x:v>
      </x:c>
      <x:c r="W291" s="141" t="str">
        <x:f>IF(Q291&gt;1,"Inviavel","OK")</x:f>
        <x:v>OK</x:v>
      </x:c>
      <x:c r="X291" s="141" t="n">
        <x:f>IF($A291=Premissas!$B$48,Premissas!$B$8,0)</x:f>
        <x:v>0</x:v>
      </x:c>
      <x:c r="Y291" s="141" t="n">
        <x:f>IF(AND($A291&gt;=Premissas!$B$48,$A291-Premissas!$B$48+1&lt;=Premissas!$B$13),INDEX(Amortizacao!$K$6:$K$485,$A291-Premissas!$B$48+1),0)</x:f>
        <x:v>0</x:v>
      </x:c>
      <x:c r="Z291" s="141" t="n">
        <x:f>IF(AND(TRUE,Premissas!$B$11="Imovel",Premissas!$B$47="Moradia",$A291&lt;MAX(Premissas!$B$48,Premissas!$B$49)),$D291,0)</x:f>
        <x:v>0</x:v>
      </x:c>
      <x:c r="AA291" s="141" t="n">
        <x:f>IF(AND(TRUE,Premissas!$B$11="Imovel",Premissas!$B$47="Investimento",$A291&gt;=MAX(Premissas!$B$48,Premissas!$B$49)),$E291,0)</x:f>
        <x:v>2444.639783406757</x:v>
      </x:c>
      <x:c r="AB291" s="141" t="n">
        <x:f>X291+Y291+Z291</x:f>
        <x:v>0</x:v>
      </x:c>
      <x:c r="AC291" s="141" t="n">
        <x:f>AA291</x:f>
        <x:v>2444.639783406757</x:v>
      </x:c>
      <x:c r="AD291" s="141" t="n">
        <x:f>$C291+AC291-AB291</x:f>
        <x:v>9444.639783406757</x:v>
      </x:c>
      <x:c r="AE291" s="141" t="n">
        <x:f>AH290*(1+Premissas!$B$41)+AD291</x:f>
        <x:v>10124795.638696874</x:v>
      </x:c>
      <x:c r="AF291" s="141" t="n">
        <x:f>MAX(0,-AE291)</x:f>
        <x:v>0</x:v>
      </x:c>
      <x:c r="AG291" s="141" t="n">
        <x:f>AG290*(1+Premissas!$B$41)+AF291</x:f>
        <x:v>0</x:v>
      </x:c>
      <x:c r="AH291" s="141" t="n">
        <x:f>MAX(0,AE291)</x:f>
        <x:v>10124795.638696874</x:v>
      </x:c>
      <x:c r="AI291" s="141" t="n">
        <x:f>IF(AND($A291&gt;=Premissas!$B$48,$A291-Premissas!$B$48+1&lt;=Premissas!$B$13),INDEX(Amortizacao!$L$6:$L$485,$A291-Premissas!$B$48+1),0)</x:f>
        <x:v>0</x:v>
      </x:c>
      <x:c r="AJ291" s="141" t="n">
        <x:f>IF($A291&gt;=Premissas!$B$48,$F291,0)</x:f>
        <x:v>801960.7582737063</x:v>
      </x:c>
      <x:c r="AK291" s="141" t="n">
        <x:f>AH291+AJ291-AI291</x:f>
        <x:v>10926756.39697058</x:v>
      </x:c>
      <x:c r="AL291" s="141" t="n">
        <x:f>IF(AG291&gt;1,"Inviavel",AK291)</x:f>
        <x:v>10926756.39697058</x:v>
      </x:c>
      <x:c r="AM291" s="141" t="str">
        <x:f>IF(AG291&gt;1,"Inviavel","OK")</x:f>
        <x:v>OK</x:v>
      </x:c>
      <x:c r="AN291" s="141" t="n">
        <x:f>IF($A291=Premissas!$B$48,Premissas!$B$8,0)</x:f>
        <x:v>0</x:v>
      </x:c>
      <x:c r="AO291" s="141" t="n">
        <x:f>IF($A291&lt;=Premissas!$B$25,INDEX('Consorcio IQ'!$K$6:$K$485,$A291),0)</x:f>
        <x:v>0</x:v>
      </x:c>
      <x:c r="AP291" s="141" t="n">
        <x:f>IF(AND(TRUE,Premissas!$B$11="Imovel",Premissas!$B$47="Moradia",$A291&lt;MAX(Premissas!$B$48,Premissas!$B$49)),$D291,0)</x:f>
        <x:v>0</x:v>
      </x:c>
      <x:c r="AQ291" s="141" t="n">
        <x:f>IF(AND(TRUE,Premissas!$B$11="Imovel",Premissas!$B$47="Investimento",$A291&gt;=MAX(Premissas!$B$48,Premissas!$B$49)),$E291,0)</x:f>
        <x:v>2444.639783406757</x:v>
      </x:c>
      <x:c r="AR291" s="141" t="n">
        <x:f>AN291+AO291+AP291</x:f>
        <x:v>0</x:v>
      </x:c>
      <x:c r="AS291" s="141" t="n">
        <x:f>AQ291</x:f>
        <x:v>2444.639783406757</x:v>
      </x:c>
      <x:c r="AT291" s="141" t="n">
        <x:f>$C291+AS291-AR291</x:f>
        <x:v>9444.639783406757</x:v>
      </x:c>
      <x:c r="AU291" s="141" t="n">
        <x:f>AX290*(1+Premissas!$B$41)+AT291</x:f>
        <x:v>10038715.392149145</x:v>
      </x:c>
      <x:c r="AV291" s="141" t="n">
        <x:f>MAX(0,-AU291)</x:f>
        <x:v>0</x:v>
      </x:c>
      <x:c r="AW291" s="141" t="n">
        <x:f>AW290*(1+Premissas!$B$41)+AV291</x:f>
        <x:v>0</x:v>
      </x:c>
      <x:c r="AX291" s="141" t="n">
        <x:f>MAX(0,AU291)</x:f>
        <x:v>10038715.392149145</x:v>
      </x:c>
      <x:c r="AY291" s="141" t="n">
        <x:f>INDEX('Consorcio IQ'!$P$6:$P$485,$A291)</x:f>
        <x:v>0</x:v>
      </x:c>
      <x:c r="AZ291" s="141" t="n">
        <x:f>IF($A291&gt;=Premissas!$B$48,$F291,0)+IF($A291&lt;Premissas!$B$27,INDEX('Consorcio IQ'!$O$6:$O$485,$A291),0)</x:f>
        <x:v>801960.7582737063</x:v>
      </x:c>
      <x:c r="BA291" s="141" t="n">
        <x:f>AX291+AZ291-AY291</x:f>
        <x:v>10840676.15042285</x:v>
      </x:c>
      <x:c r="BB291" s="141" t="n">
        <x:f>IF(AW291&gt;1,"Inviavel",BA291)</x:f>
        <x:v>10840676.15042285</x:v>
      </x:c>
      <x:c r="BC291" s="141" t="str">
        <x:f>IF(AW291&gt;1,"Inviavel","OK")</x:f>
        <x:v>OK</x:v>
      </x:c>
      <x:c r="BD291" s="141" t="n">
        <x:f>IF($A291='Consorcio Direto'!$B$29,'Consorcio Direto'!$B$44,0)</x:f>
        <x:v>0</x:v>
      </x:c>
      <x:c r="BE291" s="141" t="n">
        <x:f>IF($A291&lt;='Consorcio Direto'!$B$27,INDEX('Consorcio Direto'!$E$55:$E$534,$A291),0)</x:f>
        <x:v>0</x:v>
      </x:c>
      <x:c r="BF291" s="141" t="n">
        <x:f>IF(AND(TRUE,Premissas!$B$11="Imovel",Premissas!$B$47="Moradia",$A291&lt;MAX('Consorcio Direto'!$B$29,Premissas!$B$49)),$D291,0)</x:f>
        <x:v>0</x:v>
      </x:c>
      <x:c r="BG291" s="141" t="n">
        <x:f>IF(AND(TRUE,Premissas!$B$11="Imovel",Premissas!$B$47="Investimento",$A291&gt;=MAX('Consorcio Direto'!$B$29,Premissas!$B$49)),$E291,0)</x:f>
        <x:v>2444.639783406757</x:v>
      </x:c>
      <x:c r="BH291" s="141" t="n">
        <x:f>BD291+BE291+BF291</x:f>
        <x:v>0</x:v>
      </x:c>
      <x:c r="BI291" s="141" t="n">
        <x:f>BG291</x:f>
        <x:v>2444.639783406757</x:v>
      </x:c>
      <x:c r="BJ291" s="141" t="n">
        <x:f>$C291+BI291-BH291</x:f>
        <x:v>9444.639783406757</x:v>
      </x:c>
      <x:c r="BK291" s="141" t="n">
        <x:f>BN290*(1+Premissas!$B$41)+BJ291</x:f>
        <x:v>9573504.222760243</x:v>
      </x:c>
      <x:c r="BL291" s="141" t="n">
        <x:f>MAX(0,-BK291)</x:f>
        <x:v>0</x:v>
      </x:c>
      <x:c r="BM291" s="141" t="n">
        <x:f>BM290*(1+Premissas!$B$41)+BL291</x:f>
        <x:v>0</x:v>
      </x:c>
      <x:c r="BN291" s="141" t="n">
        <x:f>MAX(0,BK291)</x:f>
        <x:v>9573504.222760243</x:v>
      </x:c>
      <x:c r="BO291" s="141" t="n">
        <x:f>INDEX('Consorcio Direto'!$K$55:$K$534,$A291)</x:f>
        <x:v>0</x:v>
      </x:c>
      <x:c r="BP291" s="141" t="n">
        <x:f>IF($A291&lt;'Consorcio Direto'!$B$29,INDEX('Consorcio Direto'!$L$55:$L$534,$A291),$F291)</x:f>
        <x:v>801960.7582737063</x:v>
      </x:c>
      <x:c r="BQ291" s="141" t="n">
        <x:f>BN291+BP291-BO291</x:f>
        <x:v>10375464.98103395</x:v>
      </x:c>
      <x:c r="BR291" s="141" t="n">
        <x:f>IF(BM291&gt;1,"Inviavel",BQ291)</x:f>
        <x:v>10375464.98103395</x:v>
      </x:c>
      <x:c r="BS291" s="141" t="str">
        <x:f>IF(BM291&gt;1,"Inviavel","OK")</x:f>
        <x:v>OK</x:v>
      </x:c>
      <x:c r="BT291" s="141" t="n">
        <x:f>IF(AND('Carta Contemplada'!$B$22="Sim",$A291='Carta Contemplada'!$B$23),'Carta Contemplada'!$B$37,0)</x:f>
        <x:v>0</x:v>
      </x:c>
      <x:c r="BU291" s="141" t="n">
        <x:f>IF('Carta Contemplada'!$B$22="Sim",INDEX('Carta Contemplada'!$C$55:$C$1013,$A291),0)</x:f>
        <x:v>0</x:v>
      </x:c>
      <x:c r="BV291" s="141" t="n">
        <x:f>IF(AND('Carta Contemplada'!$B$22="Sim",Premissas!$B$11="Imovel",Premissas!$B$47="Moradia",$A291&lt;MAX('Carta Contemplada'!$B$44,Premissas!$B$49)),$D291,0)</x:f>
        <x:v>0</x:v>
      </x:c>
      <x:c r="BW291" s="141" t="n">
        <x:f>IF(AND('Carta Contemplada'!$B$22="Sim",Premissas!$B$11="Imovel",Premissas!$B$47="Investimento",$A291&gt;=MAX('Carta Contemplada'!$B$44,Premissas!$B$49)),$E291,0)</x:f>
        <x:v>2444.639783406757</x:v>
      </x:c>
      <x:c r="BX291" s="141" t="n">
        <x:f>BT291+BU291+BV291</x:f>
        <x:v>0</x:v>
      </x:c>
      <x:c r="BY291" s="141" t="n">
        <x:f>BW291</x:f>
        <x:v>2444.639783406757</x:v>
      </x:c>
      <x:c r="BZ291" s="141" t="n">
        <x:f>$C291+BY291-BX291</x:f>
        <x:v>9444.639783406757</x:v>
      </x:c>
      <x:c r="CA291" s="141" t="n">
        <x:f>CD290*(1+Premissas!$B$41)+BZ291</x:f>
        <x:v>10341873.84314221</x:v>
      </x:c>
      <x:c r="CB291" s="141" t="n">
        <x:f>MAX(0,-CA291)</x:f>
        <x:v>0</x:v>
      </x:c>
      <x:c r="CC291" s="141" t="n">
        <x:f>CC290*(1+Premissas!$B$41)+CB291</x:f>
        <x:v>0</x:v>
      </x:c>
      <x:c r="CD291" s="141" t="n">
        <x:f>MAX(0,CA291)</x:f>
        <x:v>10341873.84314221</x:v>
      </x:c>
      <x:c r="CE291" s="141" t="n">
        <x:f>IF(AND('Carta Contemplada'!$B$22="Sim",$A291&gt;='Carta Contemplada'!$B$23),INDEX('Carta Contemplada'!$I$55:$I$1013,$A291),0)</x:f>
        <x:v>0</x:v>
      </x:c>
      <x:c r="CF291" s="141" t="n">
        <x:f>IF(AND('Carta Contemplada'!$B$22="Sim",$A291&gt;='Carta Contemplada'!$B$44),$F291,0)</x:f>
        <x:v>801960.7582737063</x:v>
      </x:c>
      <x:c r="CG291" s="141" t="n">
        <x:f>CD291+CF291-CE291</x:f>
        <x:v>11143834.601415915</x:v>
      </x:c>
      <x:c r="CH291" s="141" t="n">
        <x:f>IF(CC291&gt;1,"Inviavel",CG291)</x:f>
        <x:v>11143834.601415915</x:v>
      </x:c>
      <x:c r="CI291" s="145" t="str">
        <x:f>IF(CC291&gt;1,"Inviavel","OK")</x:f>
        <x:v>OK</x:v>
      </x:c>
    </x:row>
    <x:row r="292">
      <x:c r="A292" s="142" t="n">
        <x:v>288</x:v>
      </x:c>
      <x:c r="B292" s="179" t="n">
        <x:f>EDATE(Premissas!$B$4,A292-1)</x:f>
        <x:v>55274</x:v>
      </x:c>
      <x:c r="C292" s="141" t="n">
        <x:f>IF(A292&lt;=Premissas!$B$39,Premissas!$B$42,0)</x:f>
        <x:v>7000</x:v>
      </x:c>
      <x:c r="D292" s="141" t="n">
        <x:f>Premissas!$B$54*(1+Premissas!$B$57)^INT((A292-1)/12)</x:f>
        <x:v>2673.8247631011404</x:v>
      </x:c>
      <x:c r="E292" s="141" t="n">
        <x:f>Premissas!$B$64*(1+Premissas!$B$57)^INT((A292-1)/12)</x:f>
        <x:v>2444.639783406757</x:v>
      </x:c>
      <x:c r="F292" s="141" t="n">
        <x:f>MAX(0,Premissas!$B$6*(1+Premissas!$B$66)^((A292-1)/12))</x:f>
        <x:v>805864.3428160246</x:v>
      </x:c>
      <x:c r="G292" s="141" t="n">
        <x:f>G291*(1+Premissas!$B$41)+C292</x:f>
        <x:v>11812986.095518282</x:v>
      </x:c>
      <x:c r="H292" s="141" t="n">
        <x:f>IF($A292=Premissas!$B$48,Premissas!$B$8,0)</x:f>
        <x:v>0</x:v>
      </x:c>
      <x:c r="I292" s="141" t="n">
        <x:f>IF(AND($A292&gt;=Premissas!$B$48,$A292-Premissas!$B$48+1&lt;=Premissas!$B$13),INDEX(Financiamento!$J$6:$J$485,$A292-Premissas!$B$48+1),0)</x:f>
        <x:v>1011.7178896379232</x:v>
      </x:c>
      <x:c r="J292" s="141" t="n">
        <x:f>IF(AND(TRUE,Premissas!$B$11="Imovel",Premissas!$B$47="Moradia",$A292&lt;MAX(Premissas!$B$48,Premissas!$B$49)),$D292,0)</x:f>
        <x:v>0</x:v>
      </x:c>
      <x:c r="K292" s="141" t="n">
        <x:f>IF(AND(TRUE,Premissas!$B$11="Imovel",Premissas!$B$47="Investimento",$A292&gt;=MAX(Premissas!$B$48,Premissas!$B$49)),$E292,0)</x:f>
        <x:v>2444.639783406757</x:v>
      </x:c>
      <x:c r="L292" s="141" t="n">
        <x:f>H292+I292+J292</x:f>
        <x:v>1011.7178896379232</x:v>
      </x:c>
      <x:c r="M292" s="141" t="n">
        <x:f>K292</x:f>
        <x:v>2444.639783406757</x:v>
      </x:c>
      <x:c r="N292" s="141" t="n">
        <x:f>$C292+M292-L292</x:f>
        <x:v>8432.921893768835</x:v>
      </x:c>
      <x:c r="O292" s="141" t="n">
        <x:f>R291*(1+Premissas!$B$41)+N292</x:f>
        <x:v>10110466.437386036</x:v>
      </x:c>
      <x:c r="P292" s="141" t="n">
        <x:f>MAX(0,-O292)</x:f>
        <x:v>0</x:v>
      </x:c>
      <x:c r="Q292" s="141" t="n">
        <x:f>Q291*(1+Premissas!$B$41)+P292</x:f>
        <x:v>0</x:v>
      </x:c>
      <x:c r="R292" s="141" t="n">
        <x:f>MAX(0,O292)</x:f>
        <x:v>10110466.437386036</x:v>
      </x:c>
      <x:c r="S292" s="141" t="n">
        <x:f>IF(AND($A292&gt;=Premissas!$B$48,$A292-Premissas!$B$48+1&lt;=Premissas!$B$13),INDEX(Financiamento!$M$6:$M$485,$A292-Premissas!$B$48+1),0)</x:f>
        <x:v>50285.71428571436</x:v>
      </x:c>
      <x:c r="T292" s="141" t="n">
        <x:f>IF($A292&gt;=Premissas!$B$48,$F292,0)</x:f>
        <x:v>805864.3428160246</x:v>
      </x:c>
      <x:c r="U292" s="141" t="n">
        <x:f>R292+T292-S292</x:f>
        <x:v>10866045.065916346</x:v>
      </x:c>
      <x:c r="V292" s="141" t="n">
        <x:f>IF(Q292&gt;1,"Inviavel",U292)</x:f>
        <x:v>10866045.065916346</x:v>
      </x:c>
      <x:c r="W292" s="141" t="str">
        <x:f>IF(Q292&gt;1,"Inviavel","OK")</x:f>
        <x:v>OK</x:v>
      </x:c>
      <x:c r="X292" s="141" t="n">
        <x:f>IF($A292=Premissas!$B$48,Premissas!$B$8,0)</x:f>
        <x:v>0</x:v>
      </x:c>
      <x:c r="Y292" s="141" t="n">
        <x:f>IF(AND($A292&gt;=Premissas!$B$48,$A292-Premissas!$B$48+1&lt;=Premissas!$B$13),INDEX(Amortizacao!$K$6:$K$485,$A292-Premissas!$B$48+1),0)</x:f>
        <x:v>0</x:v>
      </x:c>
      <x:c r="Z292" s="141" t="n">
        <x:f>IF(AND(TRUE,Premissas!$B$11="Imovel",Premissas!$B$47="Moradia",$A292&lt;MAX(Premissas!$B$48,Premissas!$B$49)),$D292,0)</x:f>
        <x:v>0</x:v>
      </x:c>
      <x:c r="AA292" s="141" t="n">
        <x:f>IF(AND(TRUE,Premissas!$B$11="Imovel",Premissas!$B$47="Investimento",$A292&gt;=MAX(Premissas!$B$48,Premissas!$B$49)),$E292,0)</x:f>
        <x:v>2444.639783406757</x:v>
      </x:c>
      <x:c r="AB292" s="141" t="n">
        <x:f>X292+Y292+Z292</x:f>
        <x:v>0</x:v>
      </x:c>
      <x:c r="AC292" s="141" t="n">
        <x:f>AA292</x:f>
        <x:v>2444.639783406757</x:v>
      </x:c>
      <x:c r="AD292" s="141" t="n">
        <x:f>$C292+AC292-AB292</x:f>
        <x:v>9444.639783406757</x:v>
      </x:c>
      <x:c r="AE292" s="141" t="n">
        <x:f>AH291*(1+Premissas!$B$41)+AD292</x:f>
        <x:v>10230312.367800845</x:v>
      </x:c>
      <x:c r="AF292" s="141" t="n">
        <x:f>MAX(0,-AE292)</x:f>
        <x:v>0</x:v>
      </x:c>
      <x:c r="AG292" s="141" t="n">
        <x:f>AG291*(1+Premissas!$B$41)+AF292</x:f>
        <x:v>0</x:v>
      </x:c>
      <x:c r="AH292" s="141" t="n">
        <x:f>MAX(0,AE292)</x:f>
        <x:v>10230312.367800845</x:v>
      </x:c>
      <x:c r="AI292" s="141" t="n">
        <x:f>IF(AND($A292&gt;=Premissas!$B$48,$A292-Premissas!$B$48+1&lt;=Premissas!$B$13),INDEX(Amortizacao!$L$6:$L$485,$A292-Premissas!$B$48+1),0)</x:f>
        <x:v>0</x:v>
      </x:c>
      <x:c r="AJ292" s="141" t="n">
        <x:f>IF($A292&gt;=Premissas!$B$48,$F292,0)</x:f>
        <x:v>805864.3428160246</x:v>
      </x:c>
      <x:c r="AK292" s="141" t="n">
        <x:f>AH292+AJ292-AI292</x:f>
        <x:v>11036176.71061687</x:v>
      </x:c>
      <x:c r="AL292" s="141" t="n">
        <x:f>IF(AG292&gt;1,"Inviavel",AK292)</x:f>
        <x:v>11036176.71061687</x:v>
      </x:c>
      <x:c r="AM292" s="141" t="str">
        <x:f>IF(AG292&gt;1,"Inviavel","OK")</x:f>
        <x:v>OK</x:v>
      </x:c>
      <x:c r="AN292" s="141" t="n">
        <x:f>IF($A292=Premissas!$B$48,Premissas!$B$8,0)</x:f>
        <x:v>0</x:v>
      </x:c>
      <x:c r="AO292" s="141" t="n">
        <x:f>IF($A292&lt;=Premissas!$B$25,INDEX('Consorcio IQ'!$K$6:$K$485,$A292),0)</x:f>
        <x:v>0</x:v>
      </x:c>
      <x:c r="AP292" s="141" t="n">
        <x:f>IF(AND(TRUE,Premissas!$B$11="Imovel",Premissas!$B$47="Moradia",$A292&lt;MAX(Premissas!$B$48,Premissas!$B$49)),$D292,0)</x:f>
        <x:v>0</x:v>
      </x:c>
      <x:c r="AQ292" s="141" t="n">
        <x:f>IF(AND(TRUE,Premissas!$B$11="Imovel",Premissas!$B$47="Investimento",$A292&gt;=MAX(Premissas!$B$48,Premissas!$B$49)),$E292,0)</x:f>
        <x:v>2444.639783406757</x:v>
      </x:c>
      <x:c r="AR292" s="141" t="n">
        <x:f>AN292+AO292+AP292</x:f>
        <x:v>0</x:v>
      </x:c>
      <x:c r="AS292" s="141" t="n">
        <x:f>AQ292</x:f>
        <x:v>2444.639783406757</x:v>
      </x:c>
      <x:c r="AT292" s="141" t="n">
        <x:f>$C292+AS292-AR292</x:f>
        <x:v>9444.639783406757</x:v>
      </x:c>
      <x:c r="AU292" s="141" t="n">
        <x:f>AX291*(1+Premissas!$B$41)+AT292</x:f>
        <x:v>10143415.323617866</x:v>
      </x:c>
      <x:c r="AV292" s="141" t="n">
        <x:f>MAX(0,-AU292)</x:f>
        <x:v>0</x:v>
      </x:c>
      <x:c r="AW292" s="141" t="n">
        <x:f>AW291*(1+Premissas!$B$41)+AV292</x:f>
        <x:v>0</x:v>
      </x:c>
      <x:c r="AX292" s="141" t="n">
        <x:f>MAX(0,AU292)</x:f>
        <x:v>10143415.323617866</x:v>
      </x:c>
      <x:c r="AY292" s="141" t="n">
        <x:f>INDEX('Consorcio IQ'!$P$6:$P$485,$A292)</x:f>
        <x:v>0</x:v>
      </x:c>
      <x:c r="AZ292" s="141" t="n">
        <x:f>IF($A292&gt;=Premissas!$B$48,$F292,0)+IF($A292&lt;Premissas!$B$27,INDEX('Consorcio IQ'!$O$6:$O$485,$A292),0)</x:f>
        <x:v>805864.3428160246</x:v>
      </x:c>
      <x:c r="BA292" s="141" t="n">
        <x:f>AX292+AZ292-AY292</x:f>
        <x:v>10949279.666433891</x:v>
      </x:c>
      <x:c r="BB292" s="141" t="n">
        <x:f>IF(AW292&gt;1,"Inviavel",BA292)</x:f>
        <x:v>10949279.666433891</x:v>
      </x:c>
      <x:c r="BC292" s="141" t="str">
        <x:f>IF(AW292&gt;1,"Inviavel","OK")</x:f>
        <x:v>OK</x:v>
      </x:c>
      <x:c r="BD292" s="141" t="n">
        <x:f>IF($A292='Consorcio Direto'!$B$29,'Consorcio Direto'!$B$44,0)</x:f>
        <x:v>0</x:v>
      </x:c>
      <x:c r="BE292" s="141" t="n">
        <x:f>IF($A292&lt;='Consorcio Direto'!$B$27,INDEX('Consorcio Direto'!$E$55:$E$534,$A292),0)</x:f>
        <x:v>0</x:v>
      </x:c>
      <x:c r="BF292" s="141" t="n">
        <x:f>IF(AND(TRUE,Premissas!$B$11="Imovel",Premissas!$B$47="Moradia",$A292&lt;MAX('Consorcio Direto'!$B$29,Premissas!$B$49)),$D292,0)</x:f>
        <x:v>0</x:v>
      </x:c>
      <x:c r="BG292" s="141" t="n">
        <x:f>IF(AND(TRUE,Premissas!$B$11="Imovel",Premissas!$B$47="Investimento",$A292&gt;=MAX('Consorcio Direto'!$B$29,Premissas!$B$49)),$E292,0)</x:f>
        <x:v>2444.639783406757</x:v>
      </x:c>
      <x:c r="BH292" s="141" t="n">
        <x:f>BD292+BE292+BF292</x:f>
        <x:v>0</x:v>
      </x:c>
      <x:c r="BI292" s="141" t="n">
        <x:f>BG292</x:f>
        <x:v>2444.639783406757</x:v>
      </x:c>
      <x:c r="BJ292" s="141" t="n">
        <x:f>$C292+BI292-BH292</x:f>
        <x:v>9444.639783406757</x:v>
      </x:c>
      <x:c r="BK292" s="141" t="n">
        <x:f>BN291*(1+Premissas!$B$41)+BJ292</x:f>
        <x:v>9673789.86177178</x:v>
      </x:c>
      <x:c r="BL292" s="141" t="n">
        <x:f>MAX(0,-BK292)</x:f>
        <x:v>0</x:v>
      </x:c>
      <x:c r="BM292" s="141" t="n">
        <x:f>BM291*(1+Premissas!$B$41)+BL292</x:f>
        <x:v>0</x:v>
      </x:c>
      <x:c r="BN292" s="141" t="n">
        <x:f>MAX(0,BK292)</x:f>
        <x:v>9673789.86177178</x:v>
      </x:c>
      <x:c r="BO292" s="141" t="n">
        <x:f>INDEX('Consorcio Direto'!$K$55:$K$534,$A292)</x:f>
        <x:v>0</x:v>
      </x:c>
      <x:c r="BP292" s="141" t="n">
        <x:f>IF($A292&lt;'Consorcio Direto'!$B$29,INDEX('Consorcio Direto'!$L$55:$L$534,$A292),$F292)</x:f>
        <x:v>805864.3428160246</x:v>
      </x:c>
      <x:c r="BQ292" s="141" t="n">
        <x:f>BN292+BP292-BO292</x:f>
        <x:v>10479654.204587804</x:v>
      </x:c>
      <x:c r="BR292" s="141" t="n">
        <x:f>IF(BM292&gt;1,"Inviavel",BQ292)</x:f>
        <x:v>10479654.204587804</x:v>
      </x:c>
      <x:c r="BS292" s="141" t="str">
        <x:f>IF(BM292&gt;1,"Inviavel","OK")</x:f>
        <x:v>OK</x:v>
      </x:c>
      <x:c r="BT292" s="141" t="n">
        <x:f>IF(AND('Carta Contemplada'!$B$22="Sim",$A292='Carta Contemplada'!$B$23),'Carta Contemplada'!$B$37,0)</x:f>
        <x:v>0</x:v>
      </x:c>
      <x:c r="BU292" s="141" t="n">
        <x:f>IF('Carta Contemplada'!$B$22="Sim",INDEX('Carta Contemplada'!$C$55:$C$1013,$A292),0)</x:f>
        <x:v>0</x:v>
      </x:c>
      <x:c r="BV292" s="141" t="n">
        <x:f>IF(AND('Carta Contemplada'!$B$22="Sim",Premissas!$B$11="Imovel",Premissas!$B$47="Moradia",$A292&lt;MAX('Carta Contemplada'!$B$44,Premissas!$B$49)),$D292,0)</x:f>
        <x:v>0</x:v>
      </x:c>
      <x:c r="BW292" s="141" t="n">
        <x:f>IF(AND('Carta Contemplada'!$B$22="Sim",Premissas!$B$11="Imovel",Premissas!$B$47="Investimento",$A292&gt;=MAX('Carta Contemplada'!$B$44,Premissas!$B$49)),$E292,0)</x:f>
        <x:v>2444.639783406757</x:v>
      </x:c>
      <x:c r="BX292" s="141" t="n">
        <x:f>BT292+BU292+BV292</x:f>
        <x:v>0</x:v>
      </x:c>
      <x:c r="BY292" s="141" t="n">
        <x:f>BW292</x:f>
        <x:v>2444.639783406757</x:v>
      </x:c>
      <x:c r="BZ292" s="141" t="n">
        <x:f>$C292+BY292-BX292</x:f>
        <x:v>9444.639783406757</x:v>
      </x:c>
      <x:c r="CA292" s="141" t="n">
        <x:f>CD291*(1+Premissas!$B$41)+BZ292</x:f>
        <x:v>10449450.382378774</x:v>
      </x:c>
      <x:c r="CB292" s="141" t="n">
        <x:f>MAX(0,-CA292)</x:f>
        <x:v>0</x:v>
      </x:c>
      <x:c r="CC292" s="141" t="n">
        <x:f>CC291*(1+Premissas!$B$41)+CB292</x:f>
        <x:v>0</x:v>
      </x:c>
      <x:c r="CD292" s="141" t="n">
        <x:f>MAX(0,CA292)</x:f>
        <x:v>10449450.382378774</x:v>
      </x:c>
      <x:c r="CE292" s="141" t="n">
        <x:f>IF(AND('Carta Contemplada'!$B$22="Sim",$A292&gt;='Carta Contemplada'!$B$23),INDEX('Carta Contemplada'!$I$55:$I$1013,$A292),0)</x:f>
        <x:v>0</x:v>
      </x:c>
      <x:c r="CF292" s="141" t="n">
        <x:f>IF(AND('Carta Contemplada'!$B$22="Sim",$A292&gt;='Carta Contemplada'!$B$44),$F292,0)</x:f>
        <x:v>805864.3428160246</x:v>
      </x:c>
      <x:c r="CG292" s="141" t="n">
        <x:f>CD292+CF292-CE292</x:f>
        <x:v>11255314.725194799</x:v>
      </x:c>
      <x:c r="CH292" s="141" t="n">
        <x:f>IF(CC292&gt;1,"Inviavel",CG292)</x:f>
        <x:v>11255314.725194799</x:v>
      </x:c>
      <x:c r="CI292" s="145" t="str">
        <x:f>IF(CC292&gt;1,"Inviavel","OK")</x:f>
        <x:v>OK</x:v>
      </x:c>
    </x:row>
    <x:row r="293">
      <x:c r="A293" s="142" t="n">
        <x:v>289</x:v>
      </x:c>
      <x:c r="B293" s="179" t="n">
        <x:f>EDATE(Premissas!$B$4,A293-1)</x:f>
        <x:v>55305</x:v>
      </x:c>
      <x:c r="C293" s="141" t="n">
        <x:f>IF(A293&lt;=Premissas!$B$39,Premissas!$B$42,0)</x:f>
        <x:v>7000</x:v>
      </x:c>
      <x:c r="D293" s="141" t="n">
        <x:f>Premissas!$B$54*(1+Premissas!$B$57)^INT((A293-1)/12)</x:f>
        <x:v>2834.254248887209</x:v>
      </x:c>
      <x:c r="E293" s="141" t="n">
        <x:f>Premissas!$B$64*(1+Premissas!$B$57)^INT((A293-1)/12)</x:f>
        <x:v>2591.318170411163</x:v>
      </x:c>
      <x:c r="F293" s="141" t="n">
        <x:f>MAX(0,Premissas!$B$6*(1+Premissas!$B$66)^((A293-1)/12))</x:f>
        <x:v>809786.9282534884</x:v>
      </x:c>
      <x:c r="G293" s="141" t="n">
        <x:f>G292*(1+Premissas!$B$41)+C293</x:f>
        <x:v>11932077.074517764</x:v>
      </x:c>
      <x:c r="H293" s="141" t="n">
        <x:f>IF($A293=Premissas!$B$48,Premissas!$B$8,0)</x:f>
        <x:v>0</x:v>
      </x:c>
      <x:c r="I293" s="141" t="n">
        <x:f>IF(AND($A293&gt;=Premissas!$B$48,$A293-Premissas!$B$48+1&lt;=Premissas!$B$13),INDEX(Financiamento!$J$6:$J$485,$A293-Premissas!$B$48+1),0)</x:f>
        <x:v>1008.1031113771297</x:v>
      </x:c>
      <x:c r="J293" s="141" t="n">
        <x:f>IF(AND(TRUE,Premissas!$B$11="Imovel",Premissas!$B$47="Moradia",$A293&lt;MAX(Premissas!$B$48,Premissas!$B$49)),$D293,0)</x:f>
        <x:v>0</x:v>
      </x:c>
      <x:c r="K293" s="141" t="n">
        <x:f>IF(AND(TRUE,Premissas!$B$11="Imovel",Premissas!$B$47="Investimento",$A293&gt;=MAX(Premissas!$B$48,Premissas!$B$49)),$E293,0)</x:f>
        <x:v>2591.318170411163</x:v>
      </x:c>
      <x:c r="L293" s="141" t="n">
        <x:f>H293+I293+J293</x:f>
        <x:v>1008.1031113771297</x:v>
      </x:c>
      <x:c r="M293" s="141" t="n">
        <x:f>K293</x:f>
        <x:v>2591.318170411163</x:v>
      </x:c>
      <x:c r="N293" s="141" t="n">
        <x:f>$C293+M293-L293</x:f>
        <x:v>8583.215059034033</x:v>
      </x:c>
      <x:c r="O293" s="141" t="n">
        <x:f>R292*(1+Premissas!$B$41)+N293</x:f>
        <x:v>10214985.774941478</x:v>
      </x:c>
      <x:c r="P293" s="141" t="n">
        <x:f>MAX(0,-O293)</x:f>
        <x:v>0</x:v>
      </x:c>
      <x:c r="Q293" s="141" t="n">
        <x:f>Q292*(1+Premissas!$B$41)+P293</x:f>
        <x:v>0</x:v>
      </x:c>
      <x:c r="R293" s="141" t="n">
        <x:f>MAX(0,O293)</x:f>
        <x:v>10214985.774941478</x:v>
      </x:c>
      <x:c r="S293" s="141" t="n">
        <x:f>IF(AND($A293&gt;=Premissas!$B$48,$A293-Premissas!$B$48+1&lt;=Premissas!$B$13),INDEX(Financiamento!$M$6:$M$485,$A293-Premissas!$B$48+1),0)</x:f>
        <x:v>49904.76190476198</x:v>
      </x:c>
      <x:c r="T293" s="141" t="n">
        <x:f>IF($A293&gt;=Premissas!$B$48,$F293,0)</x:f>
        <x:v>809786.9282534884</x:v>
      </x:c>
      <x:c r="U293" s="141" t="n">
        <x:f>R293+T293-S293</x:f>
        <x:v>10974867.941290205</x:v>
      </x:c>
      <x:c r="V293" s="141" t="n">
        <x:f>IF(Q293&gt;1,"Inviavel",U293)</x:f>
        <x:v>10974867.941290205</x:v>
      </x:c>
      <x:c r="W293" s="141" t="str">
        <x:f>IF(Q293&gt;1,"Inviavel","OK")</x:f>
        <x:v>OK</x:v>
      </x:c>
      <x:c r="X293" s="141" t="n">
        <x:f>IF($A293=Premissas!$B$48,Premissas!$B$8,0)</x:f>
        <x:v>0</x:v>
      </x:c>
      <x:c r="Y293" s="141" t="n">
        <x:f>IF(AND($A293&gt;=Premissas!$B$48,$A293-Premissas!$B$48+1&lt;=Premissas!$B$13),INDEX(Amortizacao!$K$6:$K$485,$A293-Premissas!$B$48+1),0)</x:f>
        <x:v>0</x:v>
      </x:c>
      <x:c r="Z293" s="141" t="n">
        <x:f>IF(AND(TRUE,Premissas!$B$11="Imovel",Premissas!$B$47="Moradia",$A293&lt;MAX(Premissas!$B$48,Premissas!$B$49)),$D293,0)</x:f>
        <x:v>0</x:v>
      </x:c>
      <x:c r="AA293" s="141" t="n">
        <x:f>IF(AND(TRUE,Premissas!$B$11="Imovel",Premissas!$B$47="Investimento",$A293&gt;=MAX(Premissas!$B$48,Premissas!$B$49)),$E293,0)</x:f>
        <x:v>2591.318170411163</x:v>
      </x:c>
      <x:c r="AB293" s="141" t="n">
        <x:f>X293+Y293+Z293</x:f>
        <x:v>0</x:v>
      </x:c>
      <x:c r="AC293" s="141" t="n">
        <x:f>AA293</x:f>
        <x:v>2591.318170411163</x:v>
      </x:c>
      <x:c r="AD293" s="141" t="n">
        <x:f>$C293+AC293-AB293</x:f>
        <x:v>9591.318170411163</x:v>
      </x:c>
      <x:c r="AE293" s="141" t="n">
        <x:f>AH292*(1+Premissas!$B$41)+AD293</x:f>
        <x:v>10336977.001685422</x:v>
      </x:c>
      <x:c r="AF293" s="141" t="n">
        <x:f>MAX(0,-AE293)</x:f>
        <x:v>0</x:v>
      </x:c>
      <x:c r="AG293" s="141" t="n">
        <x:f>AG292*(1+Premissas!$B$41)+AF293</x:f>
        <x:v>0</x:v>
      </x:c>
      <x:c r="AH293" s="141" t="n">
        <x:f>MAX(0,AE293)</x:f>
        <x:v>10336977.001685422</x:v>
      </x:c>
      <x:c r="AI293" s="141" t="n">
        <x:f>IF(AND($A293&gt;=Premissas!$B$48,$A293-Premissas!$B$48+1&lt;=Premissas!$B$13),INDEX(Amortizacao!$L$6:$L$485,$A293-Premissas!$B$48+1),0)</x:f>
        <x:v>0</x:v>
      </x:c>
      <x:c r="AJ293" s="141" t="n">
        <x:f>IF($A293&gt;=Premissas!$B$48,$F293,0)</x:f>
        <x:v>809786.9282534884</x:v>
      </x:c>
      <x:c r="AK293" s="141" t="n">
        <x:f>AH293+AJ293-AI293</x:f>
        <x:v>11146763.92993891</x:v>
      </x:c>
      <x:c r="AL293" s="141" t="n">
        <x:f>IF(AG293&gt;1,"Inviavel",AK293)</x:f>
        <x:v>11146763.92993891</x:v>
      </x:c>
      <x:c r="AM293" s="141" t="str">
        <x:f>IF(AG293&gt;1,"Inviavel","OK")</x:f>
        <x:v>OK</x:v>
      </x:c>
      <x:c r="AN293" s="141" t="n">
        <x:f>IF($A293=Premissas!$B$48,Premissas!$B$8,0)</x:f>
        <x:v>0</x:v>
      </x:c>
      <x:c r="AO293" s="141" t="n">
        <x:f>IF($A293&lt;=Premissas!$B$25,INDEX('Consorcio IQ'!$K$6:$K$485,$A293),0)</x:f>
        <x:v>0</x:v>
      </x:c>
      <x:c r="AP293" s="141" t="n">
        <x:f>IF(AND(TRUE,Premissas!$B$11="Imovel",Premissas!$B$47="Moradia",$A293&lt;MAX(Premissas!$B$48,Premissas!$B$49)),$D293,0)</x:f>
        <x:v>0</x:v>
      </x:c>
      <x:c r="AQ293" s="141" t="n">
        <x:f>IF(AND(TRUE,Premissas!$B$11="Imovel",Premissas!$B$47="Investimento",$A293&gt;=MAX(Premissas!$B$48,Premissas!$B$49)),$E293,0)</x:f>
        <x:v>2591.318170411163</x:v>
      </x:c>
      <x:c r="AR293" s="141" t="n">
        <x:f>AN293+AO293+AP293</x:f>
        <x:v>0</x:v>
      </x:c>
      <x:c r="AS293" s="141" t="n">
        <x:f>AQ293</x:f>
        <x:v>2591.318170411163</x:v>
      </x:c>
      <x:c r="AT293" s="141" t="n">
        <x:f>$C293+AS293-AR293</x:f>
        <x:v>9591.318170411163</x:v>
      </x:c>
      <x:c r="AU293" s="141" t="n">
        <x:f>AX292*(1+Premissas!$B$41)+AT293</x:f>
        <x:v>10249255.409443565</x:v>
      </x:c>
      <x:c r="AV293" s="141" t="n">
        <x:f>MAX(0,-AU293)</x:f>
        <x:v>0</x:v>
      </x:c>
      <x:c r="AW293" s="141" t="n">
        <x:f>AW292*(1+Premissas!$B$41)+AV293</x:f>
        <x:v>0</x:v>
      </x:c>
      <x:c r="AX293" s="141" t="n">
        <x:f>MAX(0,AU293)</x:f>
        <x:v>10249255.409443565</x:v>
      </x:c>
      <x:c r="AY293" s="141" t="n">
        <x:f>INDEX('Consorcio IQ'!$P$6:$P$485,$A293)</x:f>
        <x:v>0</x:v>
      </x:c>
      <x:c r="AZ293" s="141" t="n">
        <x:f>IF($A293&gt;=Premissas!$B$48,$F293,0)+IF($A293&lt;Premissas!$B$27,INDEX('Consorcio IQ'!$O$6:$O$485,$A293),0)</x:f>
        <x:v>809786.9282534884</x:v>
      </x:c>
      <x:c r="BA293" s="141" t="n">
        <x:f>AX293+AZ293-AY293</x:f>
        <x:v>11059042.337697053</x:v>
      </x:c>
      <x:c r="BB293" s="141" t="n">
        <x:f>IF(AW293&gt;1,"Inviavel",BA293)</x:f>
        <x:v>11059042.337697053</x:v>
      </x:c>
      <x:c r="BC293" s="141" t="str">
        <x:f>IF(AW293&gt;1,"Inviavel","OK")</x:f>
        <x:v>OK</x:v>
      </x:c>
      <x:c r="BD293" s="141" t="n">
        <x:f>IF($A293='Consorcio Direto'!$B$29,'Consorcio Direto'!$B$44,0)</x:f>
        <x:v>0</x:v>
      </x:c>
      <x:c r="BE293" s="141" t="n">
        <x:f>IF($A293&lt;='Consorcio Direto'!$B$27,INDEX('Consorcio Direto'!$E$55:$E$534,$A293),0)</x:f>
        <x:v>0</x:v>
      </x:c>
      <x:c r="BF293" s="141" t="n">
        <x:f>IF(AND(TRUE,Premissas!$B$11="Imovel",Premissas!$B$47="Moradia",$A293&lt;MAX('Consorcio Direto'!$B$29,Premissas!$B$49)),$D293,0)</x:f>
        <x:v>0</x:v>
      </x:c>
      <x:c r="BG293" s="141" t="n">
        <x:f>IF(AND(TRUE,Premissas!$B$11="Imovel",Premissas!$B$47="Investimento",$A293&gt;=MAX('Consorcio Direto'!$B$29,Premissas!$B$49)),$E293,0)</x:f>
        <x:v>2591.318170411163</x:v>
      </x:c>
      <x:c r="BH293" s="141" t="n">
        <x:f>BD293+BE293+BF293</x:f>
        <x:v>0</x:v>
      </x:c>
      <x:c r="BI293" s="141" t="n">
        <x:f>BG293</x:f>
        <x:v>2591.318170411163</x:v>
      </x:c>
      <x:c r="BJ293" s="141" t="n">
        <x:f>$C293+BI293-BH293</x:f>
        <x:v>9591.318170411163</x:v>
      </x:c>
      <x:c r="BK293" s="141" t="n">
        <x:f>BN292*(1+Premissas!$B$41)+BJ293</x:f>
        <x:v>9775173.768833213</x:v>
      </x:c>
      <x:c r="BL293" s="141" t="n">
        <x:f>MAX(0,-BK293)</x:f>
        <x:v>0</x:v>
      </x:c>
      <x:c r="BM293" s="141" t="n">
        <x:f>BM292*(1+Premissas!$B$41)+BL293</x:f>
        <x:v>0</x:v>
      </x:c>
      <x:c r="BN293" s="141" t="n">
        <x:f>MAX(0,BK293)</x:f>
        <x:v>9775173.768833213</x:v>
      </x:c>
      <x:c r="BO293" s="141" t="n">
        <x:f>INDEX('Consorcio Direto'!$K$55:$K$534,$A293)</x:f>
        <x:v>0</x:v>
      </x:c>
      <x:c r="BP293" s="141" t="n">
        <x:f>IF($A293&lt;'Consorcio Direto'!$B$29,INDEX('Consorcio Direto'!$L$55:$L$534,$A293),$F293)</x:f>
        <x:v>809786.9282534884</x:v>
      </x:c>
      <x:c r="BQ293" s="141" t="n">
        <x:f>BN293+BP293-BO293</x:f>
        <x:v>10584960.697086701</x:v>
      </x:c>
      <x:c r="BR293" s="141" t="n">
        <x:f>IF(BM293&gt;1,"Inviavel",BQ293)</x:f>
        <x:v>10584960.697086701</x:v>
      </x:c>
      <x:c r="BS293" s="141" t="str">
        <x:f>IF(BM293&gt;1,"Inviavel","OK")</x:f>
        <x:v>OK</x:v>
      </x:c>
      <x:c r="BT293" s="141" t="n">
        <x:f>IF(AND('Carta Contemplada'!$B$22="Sim",$A293='Carta Contemplada'!$B$23),'Carta Contemplada'!$B$37,0)</x:f>
        <x:v>0</x:v>
      </x:c>
      <x:c r="BU293" s="141" t="n">
        <x:f>IF('Carta Contemplada'!$B$22="Sim",INDEX('Carta Contemplada'!$C$55:$C$1013,$A293),0)</x:f>
        <x:v>0</x:v>
      </x:c>
      <x:c r="BV293" s="141" t="n">
        <x:f>IF(AND('Carta Contemplada'!$B$22="Sim",Premissas!$B$11="Imovel",Premissas!$B$47="Moradia",$A293&lt;MAX('Carta Contemplada'!$B$44,Premissas!$B$49)),$D293,0)</x:f>
        <x:v>0</x:v>
      </x:c>
      <x:c r="BW293" s="141" t="n">
        <x:f>IF(AND('Carta Contemplada'!$B$22="Sim",Premissas!$B$11="Imovel",Premissas!$B$47="Investimento",$A293&gt;=MAX('Carta Contemplada'!$B$44,Premissas!$B$49)),$E293,0)</x:f>
        <x:v>2591.318170411163</x:v>
      </x:c>
      <x:c r="BX293" s="141" t="n">
        <x:f>BT293+BU293+BV293</x:f>
        <x:v>0</x:v>
      </x:c>
      <x:c r="BY293" s="141" t="n">
        <x:f>BW293</x:f>
        <x:v>2591.318170411163</x:v>
      </x:c>
      <x:c r="BZ293" s="141" t="n">
        <x:f>$C293+BY293-BX293</x:f>
        <x:v>9591.318170411163</x:v>
      </x:c>
      <x:c r="CA293" s="141" t="n">
        <x:f>CD292*(1+Premissas!$B$41)+BZ293</x:f>
        <x:v>10558194.371507777</x:v>
      </x:c>
      <x:c r="CB293" s="141" t="n">
        <x:f>MAX(0,-CA293)</x:f>
        <x:v>0</x:v>
      </x:c>
      <x:c r="CC293" s="141" t="n">
        <x:f>CC292*(1+Premissas!$B$41)+CB293</x:f>
        <x:v>0</x:v>
      </x:c>
      <x:c r="CD293" s="141" t="n">
        <x:f>MAX(0,CA293)</x:f>
        <x:v>10558194.371507777</x:v>
      </x:c>
      <x:c r="CE293" s="141" t="n">
        <x:f>IF(AND('Carta Contemplada'!$B$22="Sim",$A293&gt;='Carta Contemplada'!$B$23),INDEX('Carta Contemplada'!$I$55:$I$1013,$A293),0)</x:f>
        <x:v>0</x:v>
      </x:c>
      <x:c r="CF293" s="141" t="n">
        <x:f>IF(AND('Carta Contemplada'!$B$22="Sim",$A293&gt;='Carta Contemplada'!$B$44),$F293,0)</x:f>
        <x:v>809786.9282534884</x:v>
      </x:c>
      <x:c r="CG293" s="141" t="n">
        <x:f>CD293+CF293-CE293</x:f>
        <x:v>11367981.299761266</x:v>
      </x:c>
      <x:c r="CH293" s="141" t="n">
        <x:f>IF(CC293&gt;1,"Inviavel",CG293)</x:f>
        <x:v>11367981.299761266</x:v>
      </x:c>
      <x:c r="CI293" s="145" t="str">
        <x:f>IF(CC293&gt;1,"Inviavel","OK")</x:f>
        <x:v>OK</x:v>
      </x:c>
    </x:row>
    <x:row r="294">
      <x:c r="A294" s="142" t="n">
        <x:v>290</x:v>
      </x:c>
      <x:c r="B294" s="179" t="n">
        <x:f>EDATE(Premissas!$B$4,A294-1)</x:f>
        <x:v>55335</x:v>
      </x:c>
      <x:c r="C294" s="141" t="n">
        <x:f>IF(A294&lt;=Premissas!$B$39,Premissas!$B$42,0)</x:f>
        <x:v>7000</x:v>
      </x:c>
      <x:c r="D294" s="141" t="n">
        <x:f>Premissas!$B$54*(1+Premissas!$B$57)^INT((A294-1)/12)</x:f>
        <x:v>2834.254248887209</x:v>
      </x:c>
      <x:c r="E294" s="141" t="n">
        <x:f>Premissas!$B$64*(1+Premissas!$B$57)^INT((A294-1)/12)</x:f>
        <x:v>2591.318170411163</x:v>
      </x:c>
      <x:c r="F294" s="141" t="n">
        <x:f>MAX(0,Premissas!$B$6*(1+Premissas!$B$66)^((A294-1)/12))</x:f>
        <x:v>813728.607073916</x:v>
      </x:c>
      <x:c r="G294" s="141" t="n">
        <x:f>G293*(1+Premissas!$B$41)+C294</x:f>
        <x:v>12052298.08315735</x:v>
      </x:c>
      <x:c r="H294" s="141" t="n">
        <x:f>IF($A294=Premissas!$B$48,Premissas!$B$8,0)</x:f>
        <x:v>0</x:v>
      </x:c>
      <x:c r="I294" s="141" t="n">
        <x:f>IF(AND($A294&gt;=Premissas!$B$48,$A294-Premissas!$B$48+1&lt;=Premissas!$B$13),INDEX(Financiamento!$J$6:$J$485,$A294-Premissas!$B$48+1),0)</x:f>
        <x:v>1004.4883331163362</x:v>
      </x:c>
      <x:c r="J294" s="141" t="n">
        <x:f>IF(AND(TRUE,Premissas!$B$11="Imovel",Premissas!$B$47="Moradia",$A294&lt;MAX(Premissas!$B$48,Premissas!$B$49)),$D294,0)</x:f>
        <x:v>0</x:v>
      </x:c>
      <x:c r="K294" s="141" t="n">
        <x:f>IF(AND(TRUE,Premissas!$B$11="Imovel",Premissas!$B$47="Investimento",$A294&gt;=MAX(Premissas!$B$48,Premissas!$B$49)),$E294,0)</x:f>
        <x:v>2591.318170411163</x:v>
      </x:c>
      <x:c r="L294" s="141" t="n">
        <x:f>H294+I294+J294</x:f>
        <x:v>1004.4883331163362</x:v>
      </x:c>
      <x:c r="M294" s="141" t="n">
        <x:f>K294</x:f>
        <x:v>2591.318170411163</x:v>
      </x:c>
      <x:c r="N294" s="141" t="n">
        <x:f>$C294+M294-L294</x:f>
        <x:v>8586.829837294827</x:v>
      </x:c>
      <x:c r="O294" s="141" t="n">
        <x:f>R293*(1+Premissas!$B$41)+N294</x:f>
        <x:v>10320500.489626903</x:v>
      </x:c>
      <x:c r="P294" s="141" t="n">
        <x:f>MAX(0,-O294)</x:f>
        <x:v>0</x:v>
      </x:c>
      <x:c r="Q294" s="141" t="n">
        <x:f>Q293*(1+Premissas!$B$41)+P294</x:f>
        <x:v>0</x:v>
      </x:c>
      <x:c r="R294" s="141" t="n">
        <x:f>MAX(0,O294)</x:f>
        <x:v>10320500.489626903</x:v>
      </x:c>
      <x:c r="S294" s="141" t="n">
        <x:f>IF(AND($A294&gt;=Premissas!$B$48,$A294-Premissas!$B$48+1&lt;=Premissas!$B$13),INDEX(Financiamento!$M$6:$M$485,$A294-Premissas!$B$48+1),0)</x:f>
        <x:v>49523.8095238096</x:v>
      </x:c>
      <x:c r="T294" s="141" t="n">
        <x:f>IF($A294&gt;=Premissas!$B$48,$F294,0)</x:f>
        <x:v>813728.607073916</x:v>
      </x:c>
      <x:c r="U294" s="141" t="n">
        <x:f>R294+T294-S294</x:f>
        <x:v>11084705.28717701</x:v>
      </x:c>
      <x:c r="V294" s="141" t="n">
        <x:f>IF(Q294&gt;1,"Inviavel",U294)</x:f>
        <x:v>11084705.28717701</x:v>
      </x:c>
      <x:c r="W294" s="141" t="str">
        <x:f>IF(Q294&gt;1,"Inviavel","OK")</x:f>
        <x:v>OK</x:v>
      </x:c>
      <x:c r="X294" s="141" t="n">
        <x:f>IF($A294=Premissas!$B$48,Premissas!$B$8,0)</x:f>
        <x:v>0</x:v>
      </x:c>
      <x:c r="Y294" s="141" t="n">
        <x:f>IF(AND($A294&gt;=Premissas!$B$48,$A294-Premissas!$B$48+1&lt;=Premissas!$B$13),INDEX(Amortizacao!$K$6:$K$485,$A294-Premissas!$B$48+1),0)</x:f>
        <x:v>0</x:v>
      </x:c>
      <x:c r="Z294" s="141" t="n">
        <x:f>IF(AND(TRUE,Premissas!$B$11="Imovel",Premissas!$B$47="Moradia",$A294&lt;MAX(Premissas!$B$48,Premissas!$B$49)),$D294,0)</x:f>
        <x:v>0</x:v>
      </x:c>
      <x:c r="AA294" s="141" t="n">
        <x:f>IF(AND(TRUE,Premissas!$B$11="Imovel",Premissas!$B$47="Investimento",$A294&gt;=MAX(Premissas!$B$48,Premissas!$B$49)),$E294,0)</x:f>
        <x:v>2591.318170411163</x:v>
      </x:c>
      <x:c r="AB294" s="141" t="n">
        <x:f>X294+Y294+Z294</x:f>
        <x:v>0</x:v>
      </x:c>
      <x:c r="AC294" s="141" t="n">
        <x:f>AA294</x:f>
        <x:v>2591.318170411163</x:v>
      </x:c>
      <x:c r="AD294" s="141" t="n">
        <x:f>$C294+AC294-AB294</x:f>
        <x:v>9591.318170411163</x:v>
      </x:c>
      <x:c r="AE294" s="141" t="n">
        <x:f>AH293*(1+Premissas!$B$41)+AD294</x:f>
        <x:v>10444653.754194373</x:v>
      </x:c>
      <x:c r="AF294" s="141" t="n">
        <x:f>MAX(0,-AE294)</x:f>
        <x:v>0</x:v>
      </x:c>
      <x:c r="AG294" s="141" t="n">
        <x:f>AG293*(1+Premissas!$B$41)+AF294</x:f>
        <x:v>0</x:v>
      </x:c>
      <x:c r="AH294" s="141" t="n">
        <x:f>MAX(0,AE294)</x:f>
        <x:v>10444653.754194373</x:v>
      </x:c>
      <x:c r="AI294" s="141" t="n">
        <x:f>IF(AND($A294&gt;=Premissas!$B$48,$A294-Premissas!$B$48+1&lt;=Premissas!$B$13),INDEX(Amortizacao!$L$6:$L$485,$A294-Premissas!$B$48+1),0)</x:f>
        <x:v>0</x:v>
      </x:c>
      <x:c r="AJ294" s="141" t="n">
        <x:f>IF($A294&gt;=Premissas!$B$48,$F294,0)</x:f>
        <x:v>813728.607073916</x:v>
      </x:c>
      <x:c r="AK294" s="141" t="n">
        <x:f>AH294+AJ294-AI294</x:f>
        <x:v>11258382.36126829</x:v>
      </x:c>
      <x:c r="AL294" s="141" t="n">
        <x:f>IF(AG294&gt;1,"Inviavel",AK294)</x:f>
        <x:v>11258382.36126829</x:v>
      </x:c>
      <x:c r="AM294" s="141" t="str">
        <x:f>IF(AG294&gt;1,"Inviavel","OK")</x:f>
        <x:v>OK</x:v>
      </x:c>
      <x:c r="AN294" s="141" t="n">
        <x:f>IF($A294=Premissas!$B$48,Premissas!$B$8,0)</x:f>
        <x:v>0</x:v>
      </x:c>
      <x:c r="AO294" s="141" t="n">
        <x:f>IF($A294&lt;=Premissas!$B$25,INDEX('Consorcio IQ'!$K$6:$K$485,$A294),0)</x:f>
        <x:v>0</x:v>
      </x:c>
      <x:c r="AP294" s="141" t="n">
        <x:f>IF(AND(TRUE,Premissas!$B$11="Imovel",Premissas!$B$47="Moradia",$A294&lt;MAX(Premissas!$B$48,Premissas!$B$49)),$D294,0)</x:f>
        <x:v>0</x:v>
      </x:c>
      <x:c r="AQ294" s="141" t="n">
        <x:f>IF(AND(TRUE,Premissas!$B$11="Imovel",Premissas!$B$47="Investimento",$A294&gt;=MAX(Premissas!$B$48,Premissas!$B$49)),$E294,0)</x:f>
        <x:v>2591.318170411163</x:v>
      </x:c>
      <x:c r="AR294" s="141" t="n">
        <x:f>AN294+AO294+AP294</x:f>
        <x:v>0</x:v>
      </x:c>
      <x:c r="AS294" s="141" t="n">
        <x:f>AQ294</x:f>
        <x:v>2591.318170411163</x:v>
      </x:c>
      <x:c r="AT294" s="141" t="n">
        <x:f>$C294+AS294-AR294</x:f>
        <x:v>9591.318170411163</x:v>
      </x:c>
      <x:c r="AU294" s="141" t="n">
        <x:f>AX293*(1+Premissas!$B$41)+AT294</x:f>
        <x:v>10356099.789927842</x:v>
      </x:c>
      <x:c r="AV294" s="141" t="n">
        <x:f>MAX(0,-AU294)</x:f>
        <x:v>0</x:v>
      </x:c>
      <x:c r="AW294" s="141" t="n">
        <x:f>AW293*(1+Premissas!$B$41)+AV294</x:f>
        <x:v>0</x:v>
      </x:c>
      <x:c r="AX294" s="141" t="n">
        <x:f>MAX(0,AU294)</x:f>
        <x:v>10356099.789927842</x:v>
      </x:c>
      <x:c r="AY294" s="141" t="n">
        <x:f>INDEX('Consorcio IQ'!$P$6:$P$485,$A294)</x:f>
        <x:v>0</x:v>
      </x:c>
      <x:c r="AZ294" s="141" t="n">
        <x:f>IF($A294&gt;=Premissas!$B$48,$F294,0)+IF($A294&lt;Premissas!$B$27,INDEX('Consorcio IQ'!$O$6:$O$485,$A294),0)</x:f>
        <x:v>813728.607073916</x:v>
      </x:c>
      <x:c r="BA294" s="141" t="n">
        <x:f>AX294+AZ294-AY294</x:f>
        <x:v>11169828.397001758</x:v>
      </x:c>
      <x:c r="BB294" s="141" t="n">
        <x:f>IF(AW294&gt;1,"Inviavel",BA294)</x:f>
        <x:v>11169828.397001758</x:v>
      </x:c>
      <x:c r="BC294" s="141" t="str">
        <x:f>IF(AW294&gt;1,"Inviavel","OK")</x:f>
        <x:v>OK</x:v>
      </x:c>
      <x:c r="BD294" s="141" t="n">
        <x:f>IF($A294='Consorcio Direto'!$B$29,'Consorcio Direto'!$B$44,0)</x:f>
        <x:v>0</x:v>
      </x:c>
      <x:c r="BE294" s="141" t="n">
        <x:f>IF($A294&lt;='Consorcio Direto'!$B$27,INDEX('Consorcio Direto'!$E$55:$E$534,$A294),0)</x:f>
        <x:v>0</x:v>
      </x:c>
      <x:c r="BF294" s="141" t="n">
        <x:f>IF(AND(TRUE,Premissas!$B$11="Imovel",Premissas!$B$47="Moradia",$A294&lt;MAX('Consorcio Direto'!$B$29,Premissas!$B$49)),$D294,0)</x:f>
        <x:v>0</x:v>
      </x:c>
      <x:c r="BG294" s="141" t="n">
        <x:f>IF(AND(TRUE,Premissas!$B$11="Imovel",Premissas!$B$47="Investimento",$A294&gt;=MAX('Consorcio Direto'!$B$29,Premissas!$B$49)),$E294,0)</x:f>
        <x:v>2591.318170411163</x:v>
      </x:c>
      <x:c r="BH294" s="141" t="n">
        <x:f>BD294+BE294+BF294</x:f>
        <x:v>0</x:v>
      </x:c>
      <x:c r="BI294" s="141" t="n">
        <x:f>BG294</x:f>
        <x:v>2591.318170411163</x:v>
      </x:c>
      <x:c r="BJ294" s="141" t="n">
        <x:f>$C294+BI294-BH294</x:f>
        <x:v>9591.318170411163</x:v>
      </x:c>
      <x:c r="BK294" s="141" t="n">
        <x:f>BN293*(1+Premissas!$B$41)+BJ294</x:f>
        <x:v>9877519.68679565</x:v>
      </x:c>
      <x:c r="BL294" s="141" t="n">
        <x:f>MAX(0,-BK294)</x:f>
        <x:v>0</x:v>
      </x:c>
      <x:c r="BM294" s="141" t="n">
        <x:f>BM293*(1+Premissas!$B$41)+BL294</x:f>
        <x:v>0</x:v>
      </x:c>
      <x:c r="BN294" s="141" t="n">
        <x:f>MAX(0,BK294)</x:f>
        <x:v>9877519.68679565</x:v>
      </x:c>
      <x:c r="BO294" s="141" t="n">
        <x:f>INDEX('Consorcio Direto'!$K$55:$K$534,$A294)</x:f>
        <x:v>0</x:v>
      </x:c>
      <x:c r="BP294" s="141" t="n">
        <x:f>IF($A294&lt;'Consorcio Direto'!$B$29,INDEX('Consorcio Direto'!$L$55:$L$534,$A294),$F294)</x:f>
        <x:v>813728.607073916</x:v>
      </x:c>
      <x:c r="BQ294" s="141" t="n">
        <x:f>BN294+BP294-BO294</x:f>
        <x:v>10691248.293869566</x:v>
      </x:c>
      <x:c r="BR294" s="141" t="n">
        <x:f>IF(BM294&gt;1,"Inviavel",BQ294)</x:f>
        <x:v>10691248.293869566</x:v>
      </x:c>
      <x:c r="BS294" s="141" t="str">
        <x:f>IF(BM294&gt;1,"Inviavel","OK")</x:f>
        <x:v>OK</x:v>
      </x:c>
      <x:c r="BT294" s="141" t="n">
        <x:f>IF(AND('Carta Contemplada'!$B$22="Sim",$A294='Carta Contemplada'!$B$23),'Carta Contemplada'!$B$37,0)</x:f>
        <x:v>0</x:v>
      </x:c>
      <x:c r="BU294" s="141" t="n">
        <x:f>IF('Carta Contemplada'!$B$22="Sim",INDEX('Carta Contemplada'!$C$55:$C$1013,$A294),0)</x:f>
        <x:v>0</x:v>
      </x:c>
      <x:c r="BV294" s="141" t="n">
        <x:f>IF(AND('Carta Contemplada'!$B$22="Sim",Premissas!$B$11="Imovel",Premissas!$B$47="Moradia",$A294&lt;MAX('Carta Contemplada'!$B$44,Premissas!$B$49)),$D294,0)</x:f>
        <x:v>0</x:v>
      </x:c>
      <x:c r="BW294" s="141" t="n">
        <x:f>IF(AND('Carta Contemplada'!$B$22="Sim",Premissas!$B$11="Imovel",Premissas!$B$47="Investimento",$A294&gt;=MAX('Carta Contemplada'!$B$44,Premissas!$B$49)),$E294,0)</x:f>
        <x:v>2591.318170411163</x:v>
      </x:c>
      <x:c r="BX294" s="141" t="n">
        <x:f>BT294+BU294+BV294</x:f>
        <x:v>0</x:v>
      </x:c>
      <x:c r="BY294" s="141" t="n">
        <x:f>BW294</x:f>
        <x:v>2591.318170411163</x:v>
      </x:c>
      <x:c r="BZ294" s="141" t="n">
        <x:f>$C294+BY294-BX294</x:f>
        <x:v>9591.318170411163</x:v>
      </x:c>
      <x:c r="CA294" s="141" t="n">
        <x:f>CD293*(1+Premissas!$B$41)+BZ294</x:f>
        <x:v>10667970.209832506</x:v>
      </x:c>
      <x:c r="CB294" s="141" t="n">
        <x:f>MAX(0,-CA294)</x:f>
        <x:v>0</x:v>
      </x:c>
      <x:c r="CC294" s="141" t="n">
        <x:f>CC293*(1+Premissas!$B$41)+CB294</x:f>
        <x:v>0</x:v>
      </x:c>
      <x:c r="CD294" s="141" t="n">
        <x:f>MAX(0,CA294)</x:f>
        <x:v>10667970.209832506</x:v>
      </x:c>
      <x:c r="CE294" s="141" t="n">
        <x:f>IF(AND('Carta Contemplada'!$B$22="Sim",$A294&gt;='Carta Contemplada'!$B$23),INDEX('Carta Contemplada'!$I$55:$I$1013,$A294),0)</x:f>
        <x:v>0</x:v>
      </x:c>
      <x:c r="CF294" s="141" t="n">
        <x:f>IF(AND('Carta Contemplada'!$B$22="Sim",$A294&gt;='Carta Contemplada'!$B$44),$F294,0)</x:f>
        <x:v>813728.607073916</x:v>
      </x:c>
      <x:c r="CG294" s="141" t="n">
        <x:f>CD294+CF294-CE294</x:f>
        <x:v>11481698.816906422</x:v>
      </x:c>
      <x:c r="CH294" s="141" t="n">
        <x:f>IF(CC294&gt;1,"Inviavel",CG294)</x:f>
        <x:v>11481698.816906422</x:v>
      </x:c>
      <x:c r="CI294" s="145" t="str">
        <x:f>IF(CC294&gt;1,"Inviavel","OK")</x:f>
        <x:v>OK</x:v>
      </x:c>
    </x:row>
    <x:row r="295">
      <x:c r="A295" s="142" t="n">
        <x:v>291</x:v>
      </x:c>
      <x:c r="B295" s="179" t="n">
        <x:f>EDATE(Premissas!$B$4,A295-1)</x:f>
        <x:v>55366</x:v>
      </x:c>
      <x:c r="C295" s="141" t="n">
        <x:f>IF(A295&lt;=Premissas!$B$39,Premissas!$B$42,0)</x:f>
        <x:v>7000</x:v>
      </x:c>
      <x:c r="D295" s="141" t="n">
        <x:f>Premissas!$B$54*(1+Premissas!$B$57)^INT((A295-1)/12)</x:f>
        <x:v>2834.254248887209</x:v>
      </x:c>
      <x:c r="E295" s="141" t="n">
        <x:f>Premissas!$B$64*(1+Premissas!$B$57)^INT((A295-1)/12)</x:f>
        <x:v>2591.318170411163</x:v>
      </x:c>
      <x:c r="F295" s="141" t="n">
        <x:f>MAX(0,Premissas!$B$6*(1+Premissas!$B$66)^((A295-1)/12))</x:f>
        <x:v>817689.4722153145</x:v>
      </x:c>
      <x:c r="G295" s="141" t="n">
        <x:f>G294*(1+Premissas!$B$41)+C295</x:f>
        <x:v>12173659.844054302</x:v>
      </x:c>
      <x:c r="H295" s="141" t="n">
        <x:f>IF($A295=Premissas!$B$48,Premissas!$B$8,0)</x:f>
        <x:v>0</x:v>
      </x:c>
      <x:c r="I295" s="141" t="n">
        <x:f>IF(AND($A295&gt;=Premissas!$B$48,$A295-Premissas!$B$48+1&lt;=Premissas!$B$13),INDEX(Financiamento!$J$6:$J$485,$A295-Premissas!$B$48+1),0)</x:f>
        <x:v>1000.8735548555426</x:v>
      </x:c>
      <x:c r="J295" s="141" t="n">
        <x:f>IF(AND(TRUE,Premissas!$B$11="Imovel",Premissas!$B$47="Moradia",$A295&lt;MAX(Premissas!$B$48,Premissas!$B$49)),$D295,0)</x:f>
        <x:v>0</x:v>
      </x:c>
      <x:c r="K295" s="141" t="n">
        <x:f>IF(AND(TRUE,Premissas!$B$11="Imovel",Premissas!$B$47="Investimento",$A295&gt;=MAX(Premissas!$B$48,Premissas!$B$49)),$E295,0)</x:f>
        <x:v>2591.318170411163</x:v>
      </x:c>
      <x:c r="L295" s="141" t="n">
        <x:f>H295+I295+J295</x:f>
        <x:v>1000.8735548555426</x:v>
      </x:c>
      <x:c r="M295" s="141" t="n">
        <x:f>K295</x:f>
        <x:v>2591.318170411163</x:v>
      </x:c>
      <x:c r="N295" s="141" t="n">
        <x:f>$C295+M295-L295</x:f>
        <x:v>8590.44461555562</x:v>
      </x:c>
      <x:c r="O295" s="141" t="n">
        <x:f>R294*(1+Premissas!$B$41)+N295</x:f>
        <x:v>10427020.026369791</x:v>
      </x:c>
      <x:c r="P295" s="141" t="n">
        <x:f>MAX(0,-O295)</x:f>
        <x:v>0</x:v>
      </x:c>
      <x:c r="Q295" s="141" t="n">
        <x:f>Q294*(1+Premissas!$B$41)+P295</x:f>
        <x:v>0</x:v>
      </x:c>
      <x:c r="R295" s="141" t="n">
        <x:f>MAX(0,O295)</x:f>
        <x:v>10427020.026369791</x:v>
      </x:c>
      <x:c r="S295" s="141" t="n">
        <x:f>IF(AND($A295&gt;=Premissas!$B$48,$A295-Premissas!$B$48+1&lt;=Premissas!$B$13),INDEX(Financiamento!$M$6:$M$485,$A295-Premissas!$B$48+1),0)</x:f>
        <x:v>49142.85714285722</x:v>
      </x:c>
      <x:c r="T295" s="141" t="n">
        <x:f>IF($A295&gt;=Premissas!$B$48,$F295,0)</x:f>
        <x:v>817689.4722153145</x:v>
      </x:c>
      <x:c r="U295" s="141" t="n">
        <x:f>R295+T295-S295</x:f>
        <x:v>11195566.64144225</x:v>
      </x:c>
      <x:c r="V295" s="141" t="n">
        <x:f>IF(Q295&gt;1,"Inviavel",U295)</x:f>
        <x:v>11195566.64144225</x:v>
      </x:c>
      <x:c r="W295" s="141" t="str">
        <x:f>IF(Q295&gt;1,"Inviavel","OK")</x:f>
        <x:v>OK</x:v>
      </x:c>
      <x:c r="X295" s="141" t="n">
        <x:f>IF($A295=Premissas!$B$48,Premissas!$B$8,0)</x:f>
        <x:v>0</x:v>
      </x:c>
      <x:c r="Y295" s="141" t="n">
        <x:f>IF(AND($A295&gt;=Premissas!$B$48,$A295-Premissas!$B$48+1&lt;=Premissas!$B$13),INDEX(Amortizacao!$K$6:$K$485,$A295-Premissas!$B$48+1),0)</x:f>
        <x:v>0</x:v>
      </x:c>
      <x:c r="Z295" s="141" t="n">
        <x:f>IF(AND(TRUE,Premissas!$B$11="Imovel",Premissas!$B$47="Moradia",$A295&lt;MAX(Premissas!$B$48,Premissas!$B$49)),$D295,0)</x:f>
        <x:v>0</x:v>
      </x:c>
      <x:c r="AA295" s="141" t="n">
        <x:f>IF(AND(TRUE,Premissas!$B$11="Imovel",Premissas!$B$47="Investimento",$A295&gt;=MAX(Premissas!$B$48,Premissas!$B$49)),$E295,0)</x:f>
        <x:v>2591.318170411163</x:v>
      </x:c>
      <x:c r="AB295" s="141" t="n">
        <x:f>X295+Y295+Z295</x:f>
        <x:v>0</x:v>
      </x:c>
      <x:c r="AC295" s="141" t="n">
        <x:f>AA295</x:f>
        <x:v>2591.318170411163</x:v>
      </x:c>
      <x:c r="AD295" s="141" t="n">
        <x:f>$C295+AC295-AB295</x:f>
        <x:v>9591.318170411163</x:v>
      </x:c>
      <x:c r="AE295" s="141" t="n">
        <x:f>AH294*(1+Premissas!$B$41)+AD295</x:f>
        <x:v>10553352.229111752</x:v>
      </x:c>
      <x:c r="AF295" s="141" t="n">
        <x:f>MAX(0,-AE295)</x:f>
        <x:v>0</x:v>
      </x:c>
      <x:c r="AG295" s="141" t="n">
        <x:f>AG294*(1+Premissas!$B$41)+AF295</x:f>
        <x:v>0</x:v>
      </x:c>
      <x:c r="AH295" s="141" t="n">
        <x:f>MAX(0,AE295)</x:f>
        <x:v>10553352.229111752</x:v>
      </x:c>
      <x:c r="AI295" s="141" t="n">
        <x:f>IF(AND($A295&gt;=Premissas!$B$48,$A295-Premissas!$B$48+1&lt;=Premissas!$B$13),INDEX(Amortizacao!$L$6:$L$485,$A295-Premissas!$B$48+1),0)</x:f>
        <x:v>0</x:v>
      </x:c>
      <x:c r="AJ295" s="141" t="n">
        <x:f>IF($A295&gt;=Premissas!$B$48,$F295,0)</x:f>
        <x:v>817689.4722153145</x:v>
      </x:c>
      <x:c r="AK295" s="141" t="n">
        <x:f>AH295+AJ295-AI295</x:f>
        <x:v>11371041.701327067</x:v>
      </x:c>
      <x:c r="AL295" s="141" t="n">
        <x:f>IF(AG295&gt;1,"Inviavel",AK295)</x:f>
        <x:v>11371041.701327067</x:v>
      </x:c>
      <x:c r="AM295" s="141" t="str">
        <x:f>IF(AG295&gt;1,"Inviavel","OK")</x:f>
        <x:v>OK</x:v>
      </x:c>
      <x:c r="AN295" s="141" t="n">
        <x:f>IF($A295=Premissas!$B$48,Premissas!$B$8,0)</x:f>
        <x:v>0</x:v>
      </x:c>
      <x:c r="AO295" s="141" t="n">
        <x:f>IF($A295&lt;=Premissas!$B$25,INDEX('Consorcio IQ'!$K$6:$K$485,$A295),0)</x:f>
        <x:v>0</x:v>
      </x:c>
      <x:c r="AP295" s="141" t="n">
        <x:f>IF(AND(TRUE,Premissas!$B$11="Imovel",Premissas!$B$47="Moradia",$A295&lt;MAX(Premissas!$B$48,Premissas!$B$49)),$D295,0)</x:f>
        <x:v>0</x:v>
      </x:c>
      <x:c r="AQ295" s="141" t="n">
        <x:f>IF(AND(TRUE,Premissas!$B$11="Imovel",Premissas!$B$47="Investimento",$A295&gt;=MAX(Premissas!$B$48,Premissas!$B$49)),$E295,0)</x:f>
        <x:v>2591.318170411163</x:v>
      </x:c>
      <x:c r="AR295" s="141" t="n">
        <x:f>AN295+AO295+AP295</x:f>
        <x:v>0</x:v>
      </x:c>
      <x:c r="AS295" s="141" t="n">
        <x:f>AQ295</x:f>
        <x:v>2591.318170411163</x:v>
      </x:c>
      <x:c r="AT295" s="141" t="n">
        <x:f>$C295+AS295-AR295</x:f>
        <x:v>9591.318170411163</x:v>
      </x:c>
      <x:c r="AU295" s="141" t="n">
        <x:f>AX294*(1+Premissas!$B$41)+AT295</x:f>
        <x:v>10463957.994614758</x:v>
      </x:c>
      <x:c r="AV295" s="141" t="n">
        <x:f>MAX(0,-AU295)</x:f>
        <x:v>0</x:v>
      </x:c>
      <x:c r="AW295" s="141" t="n">
        <x:f>AW294*(1+Premissas!$B$41)+AV295</x:f>
        <x:v>0</x:v>
      </x:c>
      <x:c r="AX295" s="141" t="n">
        <x:f>MAX(0,AU295)</x:f>
        <x:v>10463957.994614758</x:v>
      </x:c>
      <x:c r="AY295" s="141" t="n">
        <x:f>INDEX('Consorcio IQ'!$P$6:$P$485,$A295)</x:f>
        <x:v>0</x:v>
      </x:c>
      <x:c r="AZ295" s="141" t="n">
        <x:f>IF($A295&gt;=Premissas!$B$48,$F295,0)+IF($A295&lt;Premissas!$B$27,INDEX('Consorcio IQ'!$O$6:$O$485,$A295),0)</x:f>
        <x:v>817689.4722153145</x:v>
      </x:c>
      <x:c r="BA295" s="141" t="n">
        <x:f>AX295+AZ295-AY295</x:f>
        <x:v>11281647.466830073</x:v>
      </x:c>
      <x:c r="BB295" s="141" t="n">
        <x:f>IF(AW295&gt;1,"Inviavel",BA295)</x:f>
        <x:v>11281647.466830073</x:v>
      </x:c>
      <x:c r="BC295" s="141" t="str">
        <x:f>IF(AW295&gt;1,"Inviavel","OK")</x:f>
        <x:v>OK</x:v>
      </x:c>
      <x:c r="BD295" s="141" t="n">
        <x:f>IF($A295='Consorcio Direto'!$B$29,'Consorcio Direto'!$B$44,0)</x:f>
        <x:v>0</x:v>
      </x:c>
      <x:c r="BE295" s="141" t="n">
        <x:f>IF($A295&lt;='Consorcio Direto'!$B$27,INDEX('Consorcio Direto'!$E$55:$E$534,$A295),0)</x:f>
        <x:v>0</x:v>
      </x:c>
      <x:c r="BF295" s="141" t="n">
        <x:f>IF(AND(TRUE,Premissas!$B$11="Imovel",Premissas!$B$47="Moradia",$A295&lt;MAX('Consorcio Direto'!$B$29,Premissas!$B$49)),$D295,0)</x:f>
        <x:v>0</x:v>
      </x:c>
      <x:c r="BG295" s="141" t="n">
        <x:f>IF(AND(TRUE,Premissas!$B$11="Imovel",Premissas!$B$47="Investimento",$A295&gt;=MAX('Consorcio Direto'!$B$29,Premissas!$B$49)),$E295,0)</x:f>
        <x:v>2591.318170411163</x:v>
      </x:c>
      <x:c r="BH295" s="141" t="n">
        <x:f>BD295+BE295+BF295</x:f>
        <x:v>0</x:v>
      </x:c>
      <x:c r="BI295" s="141" t="n">
        <x:f>BG295</x:f>
        <x:v>2591.318170411163</x:v>
      </x:c>
      <x:c r="BJ295" s="141" t="n">
        <x:f>$C295+BI295-BH295</x:f>
        <x:v>9591.318170411163</x:v>
      </x:c>
      <x:c r="BK295" s="141" t="n">
        <x:f>BN294*(1+Premissas!$B$41)+BJ295</x:f>
        <x:v>9980836.743981333</x:v>
      </x:c>
      <x:c r="BL295" s="141" t="n">
        <x:f>MAX(0,-BK295)</x:f>
        <x:v>0</x:v>
      </x:c>
      <x:c r="BM295" s="141" t="n">
        <x:f>BM294*(1+Premissas!$B$41)+BL295</x:f>
        <x:v>0</x:v>
      </x:c>
      <x:c r="BN295" s="141" t="n">
        <x:f>MAX(0,BK295)</x:f>
        <x:v>9980836.743981333</x:v>
      </x:c>
      <x:c r="BO295" s="141" t="n">
        <x:f>INDEX('Consorcio Direto'!$K$55:$K$534,$A295)</x:f>
        <x:v>0</x:v>
      </x:c>
      <x:c r="BP295" s="141" t="n">
        <x:f>IF($A295&lt;'Consorcio Direto'!$B$29,INDEX('Consorcio Direto'!$L$55:$L$534,$A295),$F295)</x:f>
        <x:v>817689.4722153145</x:v>
      </x:c>
      <x:c r="BQ295" s="141" t="n">
        <x:f>BN295+BP295-BO295</x:f>
        <x:v>10798526.216196649</x:v>
      </x:c>
      <x:c r="BR295" s="141" t="n">
        <x:f>IF(BM295&gt;1,"Inviavel",BQ295)</x:f>
        <x:v>10798526.216196649</x:v>
      </x:c>
      <x:c r="BS295" s="141" t="str">
        <x:f>IF(BM295&gt;1,"Inviavel","OK")</x:f>
        <x:v>OK</x:v>
      </x:c>
      <x:c r="BT295" s="141" t="n">
        <x:f>IF(AND('Carta Contemplada'!$B$22="Sim",$A295='Carta Contemplada'!$B$23),'Carta Contemplada'!$B$37,0)</x:f>
        <x:v>0</x:v>
      </x:c>
      <x:c r="BU295" s="141" t="n">
        <x:f>IF('Carta Contemplada'!$B$22="Sim",INDEX('Carta Contemplada'!$C$55:$C$1013,$A295),0)</x:f>
        <x:v>0</x:v>
      </x:c>
      <x:c r="BV295" s="141" t="n">
        <x:f>IF(AND('Carta Contemplada'!$B$22="Sim",Premissas!$B$11="Imovel",Premissas!$B$47="Moradia",$A295&lt;MAX('Carta Contemplada'!$B$44,Premissas!$B$49)),$D295,0)</x:f>
        <x:v>0</x:v>
      </x:c>
      <x:c r="BW295" s="141" t="n">
        <x:f>IF(AND('Carta Contemplada'!$B$22="Sim",Premissas!$B$11="Imovel",Premissas!$B$47="Investimento",$A295&gt;=MAX('Carta Contemplada'!$B$44,Premissas!$B$49)),$E295,0)</x:f>
        <x:v>2591.318170411163</x:v>
      </x:c>
      <x:c r="BX295" s="141" t="n">
        <x:f>BT295+BU295+BV295</x:f>
        <x:v>0</x:v>
      </x:c>
      <x:c r="BY295" s="141" t="n">
        <x:f>BW295</x:f>
        <x:v>2591.318170411163</x:v>
      </x:c>
      <x:c r="BZ295" s="141" t="n">
        <x:f>$C295+BY295-BX295</x:f>
        <x:v>9591.318170411163</x:v>
      </x:c>
      <x:c r="CA295" s="141" t="n">
        <x:f>CD294*(1+Premissas!$B$41)+BZ295</x:f>
        <x:v>10778787.68835632</x:v>
      </x:c>
      <x:c r="CB295" s="141" t="n">
        <x:f>MAX(0,-CA295)</x:f>
        <x:v>0</x:v>
      </x:c>
      <x:c r="CC295" s="141" t="n">
        <x:f>CC294*(1+Premissas!$B$41)+CB295</x:f>
        <x:v>0</x:v>
      </x:c>
      <x:c r="CD295" s="141" t="n">
        <x:f>MAX(0,CA295)</x:f>
        <x:v>10778787.68835632</x:v>
      </x:c>
      <x:c r="CE295" s="141" t="n">
        <x:f>IF(AND('Carta Contemplada'!$B$22="Sim",$A295&gt;='Carta Contemplada'!$B$23),INDEX('Carta Contemplada'!$I$55:$I$1013,$A295),0)</x:f>
        <x:v>0</x:v>
      </x:c>
      <x:c r="CF295" s="141" t="n">
        <x:f>IF(AND('Carta Contemplada'!$B$22="Sim",$A295&gt;='Carta Contemplada'!$B$44),$F295,0)</x:f>
        <x:v>817689.4722153145</x:v>
      </x:c>
      <x:c r="CG295" s="141" t="n">
        <x:f>CD295+CF295-CE295</x:f>
        <x:v>11596477.160571635</x:v>
      </x:c>
      <x:c r="CH295" s="141" t="n">
        <x:f>IF(CC295&gt;1,"Inviavel",CG295)</x:f>
        <x:v>11596477.160571635</x:v>
      </x:c>
      <x:c r="CI295" s="145" t="str">
        <x:f>IF(CC295&gt;1,"Inviavel","OK")</x:f>
        <x:v>OK</x:v>
      </x:c>
    </x:row>
    <x:row r="296">
      <x:c r="A296" s="142" t="n">
        <x:v>292</x:v>
      </x:c>
      <x:c r="B296" s="179" t="n">
        <x:f>EDATE(Premissas!$B$4,A296-1)</x:f>
        <x:v>55397</x:v>
      </x:c>
      <x:c r="C296" s="141" t="n">
        <x:f>IF(A296&lt;=Premissas!$B$39,Premissas!$B$42,0)</x:f>
        <x:v>7000</x:v>
      </x:c>
      <x:c r="D296" s="141" t="n">
        <x:f>Premissas!$B$54*(1+Premissas!$B$57)^INT((A296-1)/12)</x:f>
        <x:v>2834.254248887209</x:v>
      </x:c>
      <x:c r="E296" s="141" t="n">
        <x:f>Premissas!$B$64*(1+Premissas!$B$57)^INT((A296-1)/12)</x:f>
        <x:v>2591.318170411163</x:v>
      </x:c>
      <x:c r="F296" s="141" t="n">
        <x:f>MAX(0,Premissas!$B$6*(1+Premissas!$B$66)^((A296-1)/12))</x:f>
        <x:v>821669.6170680712</x:v>
      </x:c>
      <x:c r="G296" s="141" t="n">
        <x:f>G295*(1+Premissas!$B$41)+C296</x:f>
        <x:v>12296173.181570582</x:v>
      </x:c>
      <x:c r="H296" s="141" t="n">
        <x:f>IF($A296=Premissas!$B$48,Premissas!$B$8,0)</x:f>
        <x:v>0</x:v>
      </x:c>
      <x:c r="I296" s="141" t="n">
        <x:f>IF(AND($A296&gt;=Premissas!$B$48,$A296-Premissas!$B$48+1&lt;=Premissas!$B$13),INDEX(Financiamento!$J$6:$J$485,$A296-Premissas!$B$48+1),0)</x:f>
        <x:v>997.2587765947491</x:v>
      </x:c>
      <x:c r="J296" s="141" t="n">
        <x:f>IF(AND(TRUE,Premissas!$B$11="Imovel",Premissas!$B$47="Moradia",$A296&lt;MAX(Premissas!$B$48,Premissas!$B$49)),$D296,0)</x:f>
        <x:v>0</x:v>
      </x:c>
      <x:c r="K296" s="141" t="n">
        <x:f>IF(AND(TRUE,Premissas!$B$11="Imovel",Premissas!$B$47="Investimento",$A296&gt;=MAX(Premissas!$B$48,Premissas!$B$49)),$E296,0)</x:f>
        <x:v>2591.318170411163</x:v>
      </x:c>
      <x:c r="L296" s="141" t="n">
        <x:f>H296+I296+J296</x:f>
        <x:v>997.2587765947491</x:v>
      </x:c>
      <x:c r="M296" s="141" t="n">
        <x:f>K296</x:f>
        <x:v>2591.318170411163</x:v>
      </x:c>
      <x:c r="N296" s="141" t="n">
        <x:f>$C296+M296-L296</x:f>
        <x:v>8594.059393816415</x:v>
      </x:c>
      <x:c r="O296" s="141" t="n">
        <x:f>R295*(1+Premissas!$B$41)+N296</x:f>
        <x:v>10534553.91971858</x:v>
      </x:c>
      <x:c r="P296" s="141" t="n">
        <x:f>MAX(0,-O296)</x:f>
        <x:v>0</x:v>
      </x:c>
      <x:c r="Q296" s="141" t="n">
        <x:f>Q295*(1+Premissas!$B$41)+P296</x:f>
        <x:v>0</x:v>
      </x:c>
      <x:c r="R296" s="141" t="n">
        <x:f>MAX(0,O296)</x:f>
        <x:v>10534553.91971858</x:v>
      </x:c>
      <x:c r="S296" s="141" t="n">
        <x:f>IF(AND($A296&gt;=Premissas!$B$48,$A296-Premissas!$B$48+1&lt;=Premissas!$B$13),INDEX(Financiamento!$M$6:$M$485,$A296-Premissas!$B$48+1),0)</x:f>
        <x:v>48761.904761904836</x:v>
      </x:c>
      <x:c r="T296" s="141" t="n">
        <x:f>IF($A296&gt;=Premissas!$B$48,$F296,0)</x:f>
        <x:v>821669.6170680712</x:v>
      </x:c>
      <x:c r="U296" s="141" t="n">
        <x:f>R296+T296-S296</x:f>
        <x:v>11307461.632024746</x:v>
      </x:c>
      <x:c r="V296" s="141" t="n">
        <x:f>IF(Q296&gt;1,"Inviavel",U296)</x:f>
        <x:v>11307461.632024746</x:v>
      </x:c>
      <x:c r="W296" s="141" t="str">
        <x:f>IF(Q296&gt;1,"Inviavel","OK")</x:f>
        <x:v>OK</x:v>
      </x:c>
      <x:c r="X296" s="141" t="n">
        <x:f>IF($A296=Premissas!$B$48,Premissas!$B$8,0)</x:f>
        <x:v>0</x:v>
      </x:c>
      <x:c r="Y296" s="141" t="n">
        <x:f>IF(AND($A296&gt;=Premissas!$B$48,$A296-Premissas!$B$48+1&lt;=Premissas!$B$13),INDEX(Amortizacao!$K$6:$K$485,$A296-Premissas!$B$48+1),0)</x:f>
        <x:v>0</x:v>
      </x:c>
      <x:c r="Z296" s="141" t="n">
        <x:f>IF(AND(TRUE,Premissas!$B$11="Imovel",Premissas!$B$47="Moradia",$A296&lt;MAX(Premissas!$B$48,Premissas!$B$49)),$D296,0)</x:f>
        <x:v>0</x:v>
      </x:c>
      <x:c r="AA296" s="141" t="n">
        <x:f>IF(AND(TRUE,Premissas!$B$11="Imovel",Premissas!$B$47="Investimento",$A296&gt;=MAX(Premissas!$B$48,Premissas!$B$49)),$E296,0)</x:f>
        <x:v>2591.318170411163</x:v>
      </x:c>
      <x:c r="AB296" s="141" t="n">
        <x:f>X296+Y296+Z296</x:f>
        <x:v>0</x:v>
      </x:c>
      <x:c r="AC296" s="141" t="n">
        <x:f>AA296</x:f>
        <x:v>2591.318170411163</x:v>
      </x:c>
      <x:c r="AD296" s="141" t="n">
        <x:f>$C296+AC296-AB296</x:f>
        <x:v>9591.318170411163</x:v>
      </x:c>
      <x:c r="AE296" s="141" t="n">
        <x:f>AH295*(1+Premissas!$B$41)+AD296</x:f>
        <x:v>10663082.121349925</x:v>
      </x:c>
      <x:c r="AF296" s="141" t="n">
        <x:f>MAX(0,-AE296)</x:f>
        <x:v>0</x:v>
      </x:c>
      <x:c r="AG296" s="141" t="n">
        <x:f>AG295*(1+Premissas!$B$41)+AF296</x:f>
        <x:v>0</x:v>
      </x:c>
      <x:c r="AH296" s="141" t="n">
        <x:f>MAX(0,AE296)</x:f>
        <x:v>10663082.121349925</x:v>
      </x:c>
      <x:c r="AI296" s="141" t="n">
        <x:f>IF(AND($A296&gt;=Premissas!$B$48,$A296-Premissas!$B$48+1&lt;=Premissas!$B$13),INDEX(Amortizacao!$L$6:$L$485,$A296-Premissas!$B$48+1),0)</x:f>
        <x:v>0</x:v>
      </x:c>
      <x:c r="AJ296" s="141" t="n">
        <x:f>IF($A296&gt;=Premissas!$B$48,$F296,0)</x:f>
        <x:v>821669.6170680712</x:v>
      </x:c>
      <x:c r="AK296" s="141" t="n">
        <x:f>AH296+AJ296-AI296</x:f>
        <x:v>11484751.738417996</x:v>
      </x:c>
      <x:c r="AL296" s="141" t="n">
        <x:f>IF(AG296&gt;1,"Inviavel",AK296)</x:f>
        <x:v>11484751.738417996</x:v>
      </x:c>
      <x:c r="AM296" s="141" t="str">
        <x:f>IF(AG296&gt;1,"Inviavel","OK")</x:f>
        <x:v>OK</x:v>
      </x:c>
      <x:c r="AN296" s="141" t="n">
        <x:f>IF($A296=Premissas!$B$48,Premissas!$B$8,0)</x:f>
        <x:v>0</x:v>
      </x:c>
      <x:c r="AO296" s="141" t="n">
        <x:f>IF($A296&lt;=Premissas!$B$25,INDEX('Consorcio IQ'!$K$6:$K$485,$A296),0)</x:f>
        <x:v>0</x:v>
      </x:c>
      <x:c r="AP296" s="141" t="n">
        <x:f>IF(AND(TRUE,Premissas!$B$11="Imovel",Premissas!$B$47="Moradia",$A296&lt;MAX(Premissas!$B$48,Premissas!$B$49)),$D296,0)</x:f>
        <x:v>0</x:v>
      </x:c>
      <x:c r="AQ296" s="141" t="n">
        <x:f>IF(AND(TRUE,Premissas!$B$11="Imovel",Premissas!$B$47="Investimento",$A296&gt;=MAX(Premissas!$B$48,Premissas!$B$49)),$E296,0)</x:f>
        <x:v>2591.318170411163</x:v>
      </x:c>
      <x:c r="AR296" s="141" t="n">
        <x:f>AN296+AO296+AP296</x:f>
        <x:v>0</x:v>
      </x:c>
      <x:c r="AS296" s="141" t="n">
        <x:f>AQ296</x:f>
        <x:v>2591.318170411163</x:v>
      </x:c>
      <x:c r="AT296" s="141" t="n">
        <x:f>$C296+AS296-AR296</x:f>
        <x:v>9591.318170411163</x:v>
      </x:c>
      <x:c r="AU296" s="141" t="n">
        <x:f>AX295*(1+Premissas!$B$41)+AT296</x:f>
        <x:v>10572839.643472243</x:v>
      </x:c>
      <x:c r="AV296" s="141" t="n">
        <x:f>MAX(0,-AU296)</x:f>
        <x:v>0</x:v>
      </x:c>
      <x:c r="AW296" s="141" t="n">
        <x:f>AW295*(1+Premissas!$B$41)+AV296</x:f>
        <x:v>0</x:v>
      </x:c>
      <x:c r="AX296" s="141" t="n">
        <x:f>MAX(0,AU296)</x:f>
        <x:v>10572839.643472243</x:v>
      </x:c>
      <x:c r="AY296" s="141" t="n">
        <x:f>INDEX('Consorcio IQ'!$P$6:$P$485,$A296)</x:f>
        <x:v>0</x:v>
      </x:c>
      <x:c r="AZ296" s="141" t="n">
        <x:f>IF($A296&gt;=Premissas!$B$48,$F296,0)+IF($A296&lt;Premissas!$B$27,INDEX('Consorcio IQ'!$O$6:$O$485,$A296),0)</x:f>
        <x:v>821669.6170680712</x:v>
      </x:c>
      <x:c r="BA296" s="141" t="n">
        <x:f>AX296+AZ296-AY296</x:f>
        <x:v>11394509.260540314</x:v>
      </x:c>
      <x:c r="BB296" s="141" t="n">
        <x:f>IF(AW296&gt;1,"Inviavel",BA296)</x:f>
        <x:v>11394509.260540314</x:v>
      </x:c>
      <x:c r="BC296" s="141" t="str">
        <x:f>IF(AW296&gt;1,"Inviavel","OK")</x:f>
        <x:v>OK</x:v>
      </x:c>
      <x:c r="BD296" s="141" t="n">
        <x:f>IF($A296='Consorcio Direto'!$B$29,'Consorcio Direto'!$B$44,0)</x:f>
        <x:v>0</x:v>
      </x:c>
      <x:c r="BE296" s="141" t="n">
        <x:f>IF($A296&lt;='Consorcio Direto'!$B$27,INDEX('Consorcio Direto'!$E$55:$E$534,$A296),0)</x:f>
        <x:v>0</x:v>
      </x:c>
      <x:c r="BF296" s="141" t="n">
        <x:f>IF(AND(TRUE,Premissas!$B$11="Imovel",Premissas!$B$47="Moradia",$A296&lt;MAX('Consorcio Direto'!$B$29,Premissas!$B$49)),$D296,0)</x:f>
        <x:v>0</x:v>
      </x:c>
      <x:c r="BG296" s="141" t="n">
        <x:f>IF(AND(TRUE,Premissas!$B$11="Imovel",Premissas!$B$47="Investimento",$A296&gt;=MAX('Consorcio Direto'!$B$29,Premissas!$B$49)),$E296,0)</x:f>
        <x:v>2591.318170411163</x:v>
      </x:c>
      <x:c r="BH296" s="141" t="n">
        <x:f>BD296+BE296+BF296</x:f>
        <x:v>0</x:v>
      </x:c>
      <x:c r="BI296" s="141" t="n">
        <x:f>BG296</x:f>
        <x:v>2591.318170411163</x:v>
      </x:c>
      <x:c r="BJ296" s="141" t="n">
        <x:f>$C296+BI296-BH296</x:f>
        <x:v>9591.318170411163</x:v>
      </x:c>
      <x:c r="BK296" s="141" t="n">
        <x:f>BN295*(1+Premissas!$B$41)+BJ296</x:f>
        <x:v>10085134.155329261</x:v>
      </x:c>
      <x:c r="BL296" s="141" t="n">
        <x:f>MAX(0,-BK296)</x:f>
        <x:v>0</x:v>
      </x:c>
      <x:c r="BM296" s="141" t="n">
        <x:f>BM295*(1+Premissas!$B$41)+BL296</x:f>
        <x:v>0</x:v>
      </x:c>
      <x:c r="BN296" s="141" t="n">
        <x:f>MAX(0,BK296)</x:f>
        <x:v>10085134.155329261</x:v>
      </x:c>
      <x:c r="BO296" s="141" t="n">
        <x:f>INDEX('Consorcio Direto'!$K$55:$K$534,$A296)</x:f>
        <x:v>0</x:v>
      </x:c>
      <x:c r="BP296" s="141" t="n">
        <x:f>IF($A296&lt;'Consorcio Direto'!$B$29,INDEX('Consorcio Direto'!$L$55:$L$534,$A296),$F296)</x:f>
        <x:v>821669.6170680712</x:v>
      </x:c>
      <x:c r="BQ296" s="141" t="n">
        <x:f>BN296+BP296-BO296</x:f>
        <x:v>10906803.772397332</x:v>
      </x:c>
      <x:c r="BR296" s="141" t="n">
        <x:f>IF(BM296&gt;1,"Inviavel",BQ296)</x:f>
        <x:v>10906803.772397332</x:v>
      </x:c>
      <x:c r="BS296" s="141" t="str">
        <x:f>IF(BM296&gt;1,"Inviavel","OK")</x:f>
        <x:v>OK</x:v>
      </x:c>
      <x:c r="BT296" s="141" t="n">
        <x:f>IF(AND('Carta Contemplada'!$B$22="Sim",$A296='Carta Contemplada'!$B$23),'Carta Contemplada'!$B$37,0)</x:f>
        <x:v>0</x:v>
      </x:c>
      <x:c r="BU296" s="141" t="n">
        <x:f>IF('Carta Contemplada'!$B$22="Sim",INDEX('Carta Contemplada'!$C$55:$C$1013,$A296),0)</x:f>
        <x:v>0</x:v>
      </x:c>
      <x:c r="BV296" s="141" t="n">
        <x:f>IF(AND('Carta Contemplada'!$B$22="Sim",Premissas!$B$11="Imovel",Premissas!$B$47="Moradia",$A296&lt;MAX('Carta Contemplada'!$B$44,Premissas!$B$49)),$D296,0)</x:f>
        <x:v>0</x:v>
      </x:c>
      <x:c r="BW296" s="141" t="n">
        <x:f>IF(AND('Carta Contemplada'!$B$22="Sim",Premissas!$B$11="Imovel",Premissas!$B$47="Investimento",$A296&gt;=MAX('Carta Contemplada'!$B$44,Premissas!$B$49)),$E296,0)</x:f>
        <x:v>2591.318170411163</x:v>
      </x:c>
      <x:c r="BX296" s="141" t="n">
        <x:f>BT296+BU296+BV296</x:f>
        <x:v>0</x:v>
      </x:c>
      <x:c r="BY296" s="141" t="n">
        <x:f>BW296</x:f>
        <x:v>2591.318170411163</x:v>
      </x:c>
      <x:c r="BZ296" s="141" t="n">
        <x:f>$C296+BY296-BX296</x:f>
        <x:v>9591.318170411163</x:v>
      </x:c>
      <x:c r="CA296" s="141" t="n">
        <x:f>CD295*(1+Premissas!$B$41)+BZ296</x:f>
        <x:v>10890656.690987376</x:v>
      </x:c>
      <x:c r="CB296" s="141" t="n">
        <x:f>MAX(0,-CA296)</x:f>
        <x:v>0</x:v>
      </x:c>
      <x:c r="CC296" s="141" t="n">
        <x:f>CC295*(1+Premissas!$B$41)+CB296</x:f>
        <x:v>0</x:v>
      </x:c>
      <x:c r="CD296" s="141" t="n">
        <x:f>MAX(0,CA296)</x:f>
        <x:v>10890656.690987376</x:v>
      </x:c>
      <x:c r="CE296" s="141" t="n">
        <x:f>IF(AND('Carta Contemplada'!$B$22="Sim",$A296&gt;='Carta Contemplada'!$B$23),INDEX('Carta Contemplada'!$I$55:$I$1013,$A296),0)</x:f>
        <x:v>0</x:v>
      </x:c>
      <x:c r="CF296" s="141" t="n">
        <x:f>IF(AND('Carta Contemplada'!$B$22="Sim",$A296&gt;='Carta Contemplada'!$B$44),$F296,0)</x:f>
        <x:v>821669.6170680712</x:v>
      </x:c>
      <x:c r="CG296" s="141" t="n">
        <x:f>CD296+CF296-CE296</x:f>
        <x:v>11712326.308055447</x:v>
      </x:c>
      <x:c r="CH296" s="141" t="n">
        <x:f>IF(CC296&gt;1,"Inviavel",CG296)</x:f>
        <x:v>11712326.308055447</x:v>
      </x:c>
      <x:c r="CI296" s="145" t="str">
        <x:f>IF(CC296&gt;1,"Inviavel","OK")</x:f>
        <x:v>OK</x:v>
      </x:c>
    </x:row>
    <x:row r="297">
      <x:c r="A297" s="142" t="n">
        <x:v>293</x:v>
      </x:c>
      <x:c r="B297" s="179" t="n">
        <x:f>EDATE(Premissas!$B$4,A297-1)</x:f>
        <x:v>55427</x:v>
      </x:c>
      <x:c r="C297" s="141" t="n">
        <x:f>IF(A297&lt;=Premissas!$B$39,Premissas!$B$42,0)</x:f>
        <x:v>7000</x:v>
      </x:c>
      <x:c r="D297" s="141" t="n">
        <x:f>Premissas!$B$54*(1+Premissas!$B$57)^INT((A297-1)/12)</x:f>
        <x:v>2834.254248887209</x:v>
      </x:c>
      <x:c r="E297" s="141" t="n">
        <x:f>Premissas!$B$64*(1+Premissas!$B$57)^INT((A297-1)/12)</x:f>
        <x:v>2591.318170411163</x:v>
      </x:c>
      <x:c r="F297" s="141" t="n">
        <x:f>MAX(0,Premissas!$B$6*(1+Premissas!$B$66)^((A297-1)/12))</x:f>
        <x:v>825669.1354771559</x:v>
      </x:c>
      <x:c r="G297" s="141" t="n">
        <x:f>G296*(1+Premissas!$B$41)+C297</x:f>
        <x:v>12419849.022778278</x:v>
      </x:c>
      <x:c r="H297" s="141" t="n">
        <x:f>IF($A297=Premissas!$B$48,Premissas!$B$8,0)</x:f>
        <x:v>0</x:v>
      </x:c>
      <x:c r="I297" s="141" t="n">
        <x:f>IF(AND($A297&gt;=Premissas!$B$48,$A297-Premissas!$B$48+1&lt;=Premissas!$B$13),INDEX(Financiamento!$J$6:$J$485,$A297-Premissas!$B$48+1),0)</x:f>
        <x:v>993.6439983339556</x:v>
      </x:c>
      <x:c r="J297" s="141" t="n">
        <x:f>IF(AND(TRUE,Premissas!$B$11="Imovel",Premissas!$B$47="Moradia",$A297&lt;MAX(Premissas!$B$48,Premissas!$B$49)),$D297,0)</x:f>
        <x:v>0</x:v>
      </x:c>
      <x:c r="K297" s="141" t="n">
        <x:f>IF(AND(TRUE,Premissas!$B$11="Imovel",Premissas!$B$47="Investimento",$A297&gt;=MAX(Premissas!$B$48,Premissas!$B$49)),$E297,0)</x:f>
        <x:v>2591.318170411163</x:v>
      </x:c>
      <x:c r="L297" s="141" t="n">
        <x:f>H297+I297+J297</x:f>
        <x:v>993.6439983339556</x:v>
      </x:c>
      <x:c r="M297" s="141" t="n">
        <x:f>K297</x:f>
        <x:v>2591.318170411163</x:v>
      </x:c>
      <x:c r="N297" s="141" t="n">
        <x:f>$C297+M297-L297</x:f>
        <x:v>8597.674172077208</x:v>
      </x:c>
      <x:c r="O297" s="141" t="n">
        <x:f>R296*(1+Premissas!$B$41)+N297</x:f>
        <x:v>10643111.794693068</x:v>
      </x:c>
      <x:c r="P297" s="141" t="n">
        <x:f>MAX(0,-O297)</x:f>
        <x:v>0</x:v>
      </x:c>
      <x:c r="Q297" s="141" t="n">
        <x:f>Q296*(1+Premissas!$B$41)+P297</x:f>
        <x:v>0</x:v>
      </x:c>
      <x:c r="R297" s="141" t="n">
        <x:f>MAX(0,O297)</x:f>
        <x:v>10643111.794693068</x:v>
      </x:c>
      <x:c r="S297" s="141" t="n">
        <x:f>IF(AND($A297&gt;=Premissas!$B$48,$A297-Premissas!$B$48+1&lt;=Premissas!$B$13),INDEX(Financiamento!$M$6:$M$485,$A297-Premissas!$B$48+1),0)</x:f>
        <x:v>48380.952380952454</x:v>
      </x:c>
      <x:c r="T297" s="141" t="n">
        <x:f>IF($A297&gt;=Premissas!$B$48,$F297,0)</x:f>
        <x:v>825669.1354771559</x:v>
      </x:c>
      <x:c r="U297" s="141" t="n">
        <x:f>R297+T297-S297</x:f>
        <x:v>11420399.97778927</x:v>
      </x:c>
      <x:c r="V297" s="141" t="n">
        <x:f>IF(Q297&gt;1,"Inviavel",U297)</x:f>
        <x:v>11420399.97778927</x:v>
      </x:c>
      <x:c r="W297" s="141" t="str">
        <x:f>IF(Q297&gt;1,"Inviavel","OK")</x:f>
        <x:v>OK</x:v>
      </x:c>
      <x:c r="X297" s="141" t="n">
        <x:f>IF($A297=Premissas!$B$48,Premissas!$B$8,0)</x:f>
        <x:v>0</x:v>
      </x:c>
      <x:c r="Y297" s="141" t="n">
        <x:f>IF(AND($A297&gt;=Premissas!$B$48,$A297-Premissas!$B$48+1&lt;=Premissas!$B$13),INDEX(Amortizacao!$K$6:$K$485,$A297-Premissas!$B$48+1),0)</x:f>
        <x:v>0</x:v>
      </x:c>
      <x:c r="Z297" s="141" t="n">
        <x:f>IF(AND(TRUE,Premissas!$B$11="Imovel",Premissas!$B$47="Moradia",$A297&lt;MAX(Premissas!$B$48,Premissas!$B$49)),$D297,0)</x:f>
        <x:v>0</x:v>
      </x:c>
      <x:c r="AA297" s="141" t="n">
        <x:f>IF(AND(TRUE,Premissas!$B$11="Imovel",Premissas!$B$47="Investimento",$A297&gt;=MAX(Premissas!$B$48,Premissas!$B$49)),$E297,0)</x:f>
        <x:v>2591.318170411163</x:v>
      </x:c>
      <x:c r="AB297" s="141" t="n">
        <x:f>X297+Y297+Z297</x:f>
        <x:v>0</x:v>
      </x:c>
      <x:c r="AC297" s="141" t="n">
        <x:f>AA297</x:f>
        <x:v>2591.318170411163</x:v>
      </x:c>
      <x:c r="AD297" s="141" t="n">
        <x:f>$C297+AC297-AB297</x:f>
        <x:v>9591.318170411163</x:v>
      </x:c>
      <x:c r="AE297" s="141" t="n">
        <x:f>AH296*(1+Premissas!$B$41)+AD297</x:f>
        <x:v>10773853.217814282</x:v>
      </x:c>
      <x:c r="AF297" s="141" t="n">
        <x:f>MAX(0,-AE297)</x:f>
        <x:v>0</x:v>
      </x:c>
      <x:c r="AG297" s="141" t="n">
        <x:f>AG296*(1+Premissas!$B$41)+AF297</x:f>
        <x:v>0</x:v>
      </x:c>
      <x:c r="AH297" s="141" t="n">
        <x:f>MAX(0,AE297)</x:f>
        <x:v>10773853.217814282</x:v>
      </x:c>
      <x:c r="AI297" s="141" t="n">
        <x:f>IF(AND($A297&gt;=Premissas!$B$48,$A297-Premissas!$B$48+1&lt;=Premissas!$B$13),INDEX(Amortizacao!$L$6:$L$485,$A297-Premissas!$B$48+1),0)</x:f>
        <x:v>0</x:v>
      </x:c>
      <x:c r="AJ297" s="141" t="n">
        <x:f>IF($A297&gt;=Premissas!$B$48,$F297,0)</x:f>
        <x:v>825669.1354771559</x:v>
      </x:c>
      <x:c r="AK297" s="141" t="n">
        <x:f>AH297+AJ297-AI297</x:f>
        <x:v>11599522.353291437</x:v>
      </x:c>
      <x:c r="AL297" s="141" t="n">
        <x:f>IF(AG297&gt;1,"Inviavel",AK297)</x:f>
        <x:v>11599522.353291437</x:v>
      </x:c>
      <x:c r="AM297" s="141" t="str">
        <x:f>IF(AG297&gt;1,"Inviavel","OK")</x:f>
        <x:v>OK</x:v>
      </x:c>
      <x:c r="AN297" s="141" t="n">
        <x:f>IF($A297=Premissas!$B$48,Premissas!$B$8,0)</x:f>
        <x:v>0</x:v>
      </x:c>
      <x:c r="AO297" s="141" t="n">
        <x:f>IF($A297&lt;=Premissas!$B$25,INDEX('Consorcio IQ'!$K$6:$K$485,$A297),0)</x:f>
        <x:v>0</x:v>
      </x:c>
      <x:c r="AP297" s="141" t="n">
        <x:f>IF(AND(TRUE,Premissas!$B$11="Imovel",Premissas!$B$47="Moradia",$A297&lt;MAX(Premissas!$B$48,Premissas!$B$49)),$D297,0)</x:f>
        <x:v>0</x:v>
      </x:c>
      <x:c r="AQ297" s="141" t="n">
        <x:f>IF(AND(TRUE,Premissas!$B$11="Imovel",Premissas!$B$47="Investimento",$A297&gt;=MAX(Premissas!$B$48,Premissas!$B$49)),$E297,0)</x:f>
        <x:v>2591.318170411163</x:v>
      </x:c>
      <x:c r="AR297" s="141" t="n">
        <x:f>AN297+AO297+AP297</x:f>
        <x:v>0</x:v>
      </x:c>
      <x:c r="AS297" s="141" t="n">
        <x:f>AQ297</x:f>
        <x:v>2591.318170411163</x:v>
      </x:c>
      <x:c r="AT297" s="141" t="n">
        <x:f>$C297+AS297-AR297</x:f>
        <x:v>9591.318170411163</x:v>
      </x:c>
      <x:c r="AU297" s="141" t="n">
        <x:f>AX296*(1+Premissas!$B$41)+AT297</x:f>
        <x:v>10682754.447750114</x:v>
      </x:c>
      <x:c r="AV297" s="141" t="n">
        <x:f>MAX(0,-AU297)</x:f>
        <x:v>0</x:v>
      </x:c>
      <x:c r="AW297" s="141" t="n">
        <x:f>AW296*(1+Premissas!$B$41)+AV297</x:f>
        <x:v>0</x:v>
      </x:c>
      <x:c r="AX297" s="141" t="n">
        <x:f>MAX(0,AU297)</x:f>
        <x:v>10682754.447750114</x:v>
      </x:c>
      <x:c r="AY297" s="141" t="n">
        <x:f>INDEX('Consorcio IQ'!$P$6:$P$485,$A297)</x:f>
        <x:v>0</x:v>
      </x:c>
      <x:c r="AZ297" s="141" t="n">
        <x:f>IF($A297&gt;=Premissas!$B$48,$F297,0)+IF($A297&lt;Premissas!$B$27,INDEX('Consorcio IQ'!$O$6:$O$485,$A297),0)</x:f>
        <x:v>825669.1354771559</x:v>
      </x:c>
      <x:c r="BA297" s="141" t="n">
        <x:f>AX297+AZ297-AY297</x:f>
        <x:v>11508423.58322727</x:v>
      </x:c>
      <x:c r="BB297" s="141" t="n">
        <x:f>IF(AW297&gt;1,"Inviavel",BA297)</x:f>
        <x:v>11508423.58322727</x:v>
      </x:c>
      <x:c r="BC297" s="141" t="str">
        <x:f>IF(AW297&gt;1,"Inviavel","OK")</x:f>
        <x:v>OK</x:v>
      </x:c>
      <x:c r="BD297" s="141" t="n">
        <x:f>IF($A297='Consorcio Direto'!$B$29,'Consorcio Direto'!$B$44,0)</x:f>
        <x:v>0</x:v>
      </x:c>
      <x:c r="BE297" s="141" t="n">
        <x:f>IF($A297&lt;='Consorcio Direto'!$B$27,INDEX('Consorcio Direto'!$E$55:$E$534,$A297),0)</x:f>
        <x:v>0</x:v>
      </x:c>
      <x:c r="BF297" s="141" t="n">
        <x:f>IF(AND(TRUE,Premissas!$B$11="Imovel",Premissas!$B$47="Moradia",$A297&lt;MAX('Consorcio Direto'!$B$29,Premissas!$B$49)),$D297,0)</x:f>
        <x:v>0</x:v>
      </x:c>
      <x:c r="BG297" s="141" t="n">
        <x:f>IF(AND(TRUE,Premissas!$B$11="Imovel",Premissas!$B$47="Investimento",$A297&gt;=MAX('Consorcio Direto'!$B$29,Premissas!$B$49)),$E297,0)</x:f>
        <x:v>2591.318170411163</x:v>
      </x:c>
      <x:c r="BH297" s="141" t="n">
        <x:f>BD297+BE297+BF297</x:f>
        <x:v>0</x:v>
      </x:c>
      <x:c r="BI297" s="141" t="n">
        <x:f>BG297</x:f>
        <x:v>2591.318170411163</x:v>
      </x:c>
      <x:c r="BJ297" s="141" t="n">
        <x:f>$C297+BI297-BH297</x:f>
        <x:v>9591.318170411163</x:v>
      </x:c>
      <x:c r="BK297" s="141" t="n">
        <x:f>BN296*(1+Premissas!$B$41)+BJ297</x:f>
        <x:v>10190421.223217083</x:v>
      </x:c>
      <x:c r="BL297" s="141" t="n">
        <x:f>MAX(0,-BK297)</x:f>
        <x:v>0</x:v>
      </x:c>
      <x:c r="BM297" s="141" t="n">
        <x:f>BM296*(1+Premissas!$B$41)+BL297</x:f>
        <x:v>0</x:v>
      </x:c>
      <x:c r="BN297" s="141" t="n">
        <x:f>MAX(0,BK297)</x:f>
        <x:v>10190421.223217083</x:v>
      </x:c>
      <x:c r="BO297" s="141" t="n">
        <x:f>INDEX('Consorcio Direto'!$K$55:$K$534,$A297)</x:f>
        <x:v>0</x:v>
      </x:c>
      <x:c r="BP297" s="141" t="n">
        <x:f>IF($A297&lt;'Consorcio Direto'!$B$29,INDEX('Consorcio Direto'!$L$55:$L$534,$A297),$F297)</x:f>
        <x:v>825669.1354771559</x:v>
      </x:c>
      <x:c r="BQ297" s="141" t="n">
        <x:f>BN297+BP297-BO297</x:f>
        <x:v>11016090.358694239</x:v>
      </x:c>
      <x:c r="BR297" s="141" t="n">
        <x:f>IF(BM297&gt;1,"Inviavel",BQ297)</x:f>
        <x:v>11016090.358694239</x:v>
      </x:c>
      <x:c r="BS297" s="141" t="str">
        <x:f>IF(BM297&gt;1,"Inviavel","OK")</x:f>
        <x:v>OK</x:v>
      </x:c>
      <x:c r="BT297" s="141" t="n">
        <x:f>IF(AND('Carta Contemplada'!$B$22="Sim",$A297='Carta Contemplada'!$B$23),'Carta Contemplada'!$B$37,0)</x:f>
        <x:v>0</x:v>
      </x:c>
      <x:c r="BU297" s="141" t="n">
        <x:f>IF('Carta Contemplada'!$B$22="Sim",INDEX('Carta Contemplada'!$C$55:$C$1013,$A297),0)</x:f>
        <x:v>0</x:v>
      </x:c>
      <x:c r="BV297" s="141" t="n">
        <x:f>IF(AND('Carta Contemplada'!$B$22="Sim",Premissas!$B$11="Imovel",Premissas!$B$47="Moradia",$A297&lt;MAX('Carta Contemplada'!$B$44,Premissas!$B$49)),$D297,0)</x:f>
        <x:v>0</x:v>
      </x:c>
      <x:c r="BW297" s="141" t="n">
        <x:f>IF(AND('Carta Contemplada'!$B$22="Sim",Premissas!$B$11="Imovel",Premissas!$B$47="Investimento",$A297&gt;=MAX('Carta Contemplada'!$B$44,Premissas!$B$49)),$E297,0)</x:f>
        <x:v>2591.318170411163</x:v>
      </x:c>
      <x:c r="BX297" s="141" t="n">
        <x:f>BT297+BU297+BV297</x:f>
        <x:v>0</x:v>
      </x:c>
      <x:c r="BY297" s="141" t="n">
        <x:f>BW297</x:f>
        <x:v>2591.318170411163</x:v>
      </x:c>
      <x:c r="BZ297" s="141" t="n">
        <x:f>$C297+BY297-BX297</x:f>
        <x:v>9591.318170411163</x:v>
      </x:c>
      <x:c r="CA297" s="141" t="n">
        <x:f>CD296*(1+Premissas!$B$41)+BZ297</x:f>
        <x:v>11003587.195420198</x:v>
      </x:c>
      <x:c r="CB297" s="141" t="n">
        <x:f>MAX(0,-CA297)</x:f>
        <x:v>0</x:v>
      </x:c>
      <x:c r="CC297" s="141" t="n">
        <x:f>CC296*(1+Premissas!$B$41)+CB297</x:f>
        <x:v>0</x:v>
      </x:c>
      <x:c r="CD297" s="141" t="n">
        <x:f>MAX(0,CA297)</x:f>
        <x:v>11003587.195420198</x:v>
      </x:c>
      <x:c r="CE297" s="141" t="n">
        <x:f>IF(AND('Carta Contemplada'!$B$22="Sim",$A297&gt;='Carta Contemplada'!$B$23),INDEX('Carta Contemplada'!$I$55:$I$1013,$A297),0)</x:f>
        <x:v>0</x:v>
      </x:c>
      <x:c r="CF297" s="141" t="n">
        <x:f>IF(AND('Carta Contemplada'!$B$22="Sim",$A297&gt;='Carta Contemplada'!$B$44),$F297,0)</x:f>
        <x:v>825669.1354771559</x:v>
      </x:c>
      <x:c r="CG297" s="141" t="n">
        <x:f>CD297+CF297-CE297</x:f>
        <x:v>11829256.330897354</x:v>
      </x:c>
      <x:c r="CH297" s="141" t="n">
        <x:f>IF(CC297&gt;1,"Inviavel",CG297)</x:f>
        <x:v>11829256.330897354</x:v>
      </x:c>
      <x:c r="CI297" s="145" t="str">
        <x:f>IF(CC297&gt;1,"Inviavel","OK")</x:f>
        <x:v>OK</x:v>
      </x:c>
    </x:row>
    <x:row r="298">
      <x:c r="A298" s="142" t="n">
        <x:v>294</x:v>
      </x:c>
      <x:c r="B298" s="179" t="n">
        <x:f>EDATE(Premissas!$B$4,A298-1)</x:f>
        <x:v>55458</x:v>
      </x:c>
      <x:c r="C298" s="141" t="n">
        <x:f>IF(A298&lt;=Premissas!$B$39,Premissas!$B$42,0)</x:f>
        <x:v>7000</x:v>
      </x:c>
      <x:c r="D298" s="141" t="n">
        <x:f>Premissas!$B$54*(1+Premissas!$B$57)^INT((A298-1)/12)</x:f>
        <x:v>2834.254248887209</x:v>
      </x:c>
      <x:c r="E298" s="141" t="n">
        <x:f>Premissas!$B$64*(1+Premissas!$B$57)^INT((A298-1)/12)</x:f>
        <x:v>2591.318170411163</x:v>
      </x:c>
      <x:c r="F298" s="141" t="n">
        <x:f>MAX(0,Premissas!$B$6*(1+Premissas!$B$66)^((A298-1)/12))</x:f>
        <x:v>829688.1217443342</x:v>
      </x:c>
      <x:c r="G298" s="141" t="n">
        <x:f>G297*(1+Premissas!$B$41)+C298</x:f>
        <x:v>12544698.398434205</x:v>
      </x:c>
      <x:c r="H298" s="141" t="n">
        <x:f>IF($A298=Premissas!$B$48,Premissas!$B$8,0)</x:f>
        <x:v>0</x:v>
      </x:c>
      <x:c r="I298" s="141" t="n">
        <x:f>IF(AND($A298&gt;=Premissas!$B$48,$A298-Premissas!$B$48+1&lt;=Premissas!$B$13),INDEX(Financiamento!$J$6:$J$485,$A298-Premissas!$B$48+1),0)</x:f>
        <x:v>990.0292200731619</x:v>
      </x:c>
      <x:c r="J298" s="141" t="n">
        <x:f>IF(AND(TRUE,Premissas!$B$11="Imovel",Premissas!$B$47="Moradia",$A298&lt;MAX(Premissas!$B$48,Premissas!$B$49)),$D298,0)</x:f>
        <x:v>0</x:v>
      </x:c>
      <x:c r="K298" s="141" t="n">
        <x:f>IF(AND(TRUE,Premissas!$B$11="Imovel",Premissas!$B$47="Investimento",$A298&gt;=MAX(Premissas!$B$48,Premissas!$B$49)),$E298,0)</x:f>
        <x:v>2591.318170411163</x:v>
      </x:c>
      <x:c r="L298" s="141" t="n">
        <x:f>H298+I298+J298</x:f>
        <x:v>990.0292200731619</x:v>
      </x:c>
      <x:c r="M298" s="141" t="n">
        <x:f>K298</x:f>
        <x:v>2591.318170411163</x:v>
      </x:c>
      <x:c r="N298" s="141" t="n">
        <x:f>$C298+M298-L298</x:f>
        <x:v>8601.288950338001</x:v>
      </x:c>
      <x:c r="O298" s="141" t="n">
        <x:f>R297*(1+Premissas!$B$41)+N298</x:f>
        <x:v>10752703.367642866</x:v>
      </x:c>
      <x:c r="P298" s="141" t="n">
        <x:f>MAX(0,-O298)</x:f>
        <x:v>0</x:v>
      </x:c>
      <x:c r="Q298" s="141" t="n">
        <x:f>Q297*(1+Premissas!$B$41)+P298</x:f>
        <x:v>0</x:v>
      </x:c>
      <x:c r="R298" s="141" t="n">
        <x:f>MAX(0,O298)</x:f>
        <x:v>10752703.367642866</x:v>
      </x:c>
      <x:c r="S298" s="141" t="n">
        <x:f>IF(AND($A298&gt;=Premissas!$B$48,$A298-Premissas!$B$48+1&lt;=Premissas!$B$13),INDEX(Financiamento!$M$6:$M$485,$A298-Premissas!$B$48+1),0)</x:f>
        <x:v>48000.00000000007</x:v>
      </x:c>
      <x:c r="T298" s="141" t="n">
        <x:f>IF($A298&gt;=Premissas!$B$48,$F298,0)</x:f>
        <x:v>829688.1217443342</x:v>
      </x:c>
      <x:c r="U298" s="141" t="n">
        <x:f>R298+T298-S298</x:f>
        <x:v>11534391.489387201</x:v>
      </x:c>
      <x:c r="V298" s="141" t="n">
        <x:f>IF(Q298&gt;1,"Inviavel",U298)</x:f>
        <x:v>11534391.489387201</x:v>
      </x:c>
      <x:c r="W298" s="141" t="str">
        <x:f>IF(Q298&gt;1,"Inviavel","OK")</x:f>
        <x:v>OK</x:v>
      </x:c>
      <x:c r="X298" s="141" t="n">
        <x:f>IF($A298=Premissas!$B$48,Premissas!$B$8,0)</x:f>
        <x:v>0</x:v>
      </x:c>
      <x:c r="Y298" s="141" t="n">
        <x:f>IF(AND($A298&gt;=Premissas!$B$48,$A298-Premissas!$B$48+1&lt;=Premissas!$B$13),INDEX(Amortizacao!$K$6:$K$485,$A298-Premissas!$B$48+1),0)</x:f>
        <x:v>0</x:v>
      </x:c>
      <x:c r="Z298" s="141" t="n">
        <x:f>IF(AND(TRUE,Premissas!$B$11="Imovel",Premissas!$B$47="Moradia",$A298&lt;MAX(Premissas!$B$48,Premissas!$B$49)),$D298,0)</x:f>
        <x:v>0</x:v>
      </x:c>
      <x:c r="AA298" s="141" t="n">
        <x:f>IF(AND(TRUE,Premissas!$B$11="Imovel",Premissas!$B$47="Investimento",$A298&gt;=MAX(Premissas!$B$48,Premissas!$B$49)),$E298,0)</x:f>
        <x:v>2591.318170411163</x:v>
      </x:c>
      <x:c r="AB298" s="141" t="n">
        <x:f>X298+Y298+Z298</x:f>
        <x:v>0</x:v>
      </x:c>
      <x:c r="AC298" s="141" t="n">
        <x:f>AA298</x:f>
        <x:v>2591.318170411163</x:v>
      </x:c>
      <x:c r="AD298" s="141" t="n">
        <x:f>$C298+AC298-AB298</x:f>
        <x:v>9591.318170411163</x:v>
      </x:c>
      <x:c r="AE298" s="141" t="n">
        <x:f>AH297*(1+Premissas!$B$41)+AD298</x:f>
        <x:v>10885675.398276124</x:v>
      </x:c>
      <x:c r="AF298" s="141" t="n">
        <x:f>MAX(0,-AE298)</x:f>
        <x:v>0</x:v>
      </x:c>
      <x:c r="AG298" s="141" t="n">
        <x:f>AG297*(1+Premissas!$B$41)+AF298</x:f>
        <x:v>0</x:v>
      </x:c>
      <x:c r="AH298" s="141" t="n">
        <x:f>MAX(0,AE298)</x:f>
        <x:v>10885675.398276124</x:v>
      </x:c>
      <x:c r="AI298" s="141" t="n">
        <x:f>IF(AND($A298&gt;=Premissas!$B$48,$A298-Premissas!$B$48+1&lt;=Premissas!$B$13),INDEX(Amortizacao!$L$6:$L$485,$A298-Premissas!$B$48+1),0)</x:f>
        <x:v>0</x:v>
      </x:c>
      <x:c r="AJ298" s="141" t="n">
        <x:f>IF($A298&gt;=Premissas!$B$48,$F298,0)</x:f>
        <x:v>829688.1217443342</x:v>
      </x:c>
      <x:c r="AK298" s="141" t="n">
        <x:f>AH298+AJ298-AI298</x:f>
        <x:v>11715363.520020459</x:v>
      </x:c>
      <x:c r="AL298" s="141" t="n">
        <x:f>IF(AG298&gt;1,"Inviavel",AK298)</x:f>
        <x:v>11715363.520020459</x:v>
      </x:c>
      <x:c r="AM298" s="141" t="str">
        <x:f>IF(AG298&gt;1,"Inviavel","OK")</x:f>
        <x:v>OK</x:v>
      </x:c>
      <x:c r="AN298" s="141" t="n">
        <x:f>IF($A298=Premissas!$B$48,Premissas!$B$8,0)</x:f>
        <x:v>0</x:v>
      </x:c>
      <x:c r="AO298" s="141" t="n">
        <x:f>IF($A298&lt;=Premissas!$B$25,INDEX('Consorcio IQ'!$K$6:$K$485,$A298),0)</x:f>
        <x:v>0</x:v>
      </x:c>
      <x:c r="AP298" s="141" t="n">
        <x:f>IF(AND(TRUE,Premissas!$B$11="Imovel",Premissas!$B$47="Moradia",$A298&lt;MAX(Premissas!$B$48,Premissas!$B$49)),$D298,0)</x:f>
        <x:v>0</x:v>
      </x:c>
      <x:c r="AQ298" s="141" t="n">
        <x:f>IF(AND(TRUE,Premissas!$B$11="Imovel",Premissas!$B$47="Investimento",$A298&gt;=MAX(Premissas!$B$48,Premissas!$B$49)),$E298,0)</x:f>
        <x:v>2591.318170411163</x:v>
      </x:c>
      <x:c r="AR298" s="141" t="n">
        <x:f>AN298+AO298+AP298</x:f>
        <x:v>0</x:v>
      </x:c>
      <x:c r="AS298" s="141" t="n">
        <x:f>AQ298</x:f>
        <x:v>2591.318170411163</x:v>
      </x:c>
      <x:c r="AT298" s="141" t="n">
        <x:f>$C298+AS298-AR298</x:f>
        <x:v>9591.318170411163</x:v>
      </x:c>
      <x:c r="AU298" s="141" t="n">
        <x:f>AX297*(1+Premissas!$B$41)+AT298</x:f>
        <x:v>10793712.210846223</x:v>
      </x:c>
      <x:c r="AV298" s="141" t="n">
        <x:f>MAX(0,-AU298)</x:f>
        <x:v>0</x:v>
      </x:c>
      <x:c r="AW298" s="141" t="n">
        <x:f>AW297*(1+Premissas!$B$41)+AV298</x:f>
        <x:v>0</x:v>
      </x:c>
      <x:c r="AX298" s="141" t="n">
        <x:f>MAX(0,AU298)</x:f>
        <x:v>10793712.210846223</x:v>
      </x:c>
      <x:c r="AY298" s="141" t="n">
        <x:f>INDEX('Consorcio IQ'!$P$6:$P$485,$A298)</x:f>
        <x:v>0</x:v>
      </x:c>
      <x:c r="AZ298" s="141" t="n">
        <x:f>IF($A298&gt;=Premissas!$B$48,$F298,0)+IF($A298&lt;Premissas!$B$27,INDEX('Consorcio IQ'!$O$6:$O$485,$A298),0)</x:f>
        <x:v>829688.1217443342</x:v>
      </x:c>
      <x:c r="BA298" s="141" t="n">
        <x:f>AX298+AZ298-AY298</x:f>
        <x:v>11623400.332590558</x:v>
      </x:c>
      <x:c r="BB298" s="141" t="n">
        <x:f>IF(AW298&gt;1,"Inviavel",BA298)</x:f>
        <x:v>11623400.332590558</x:v>
      </x:c>
      <x:c r="BC298" s="141" t="str">
        <x:f>IF(AW298&gt;1,"Inviavel","OK")</x:f>
        <x:v>OK</x:v>
      </x:c>
      <x:c r="BD298" s="141" t="n">
        <x:f>IF($A298='Consorcio Direto'!$B$29,'Consorcio Direto'!$B$44,0)</x:f>
        <x:v>0</x:v>
      </x:c>
      <x:c r="BE298" s="141" t="n">
        <x:f>IF($A298&lt;='Consorcio Direto'!$B$27,INDEX('Consorcio Direto'!$E$55:$E$534,$A298),0)</x:f>
        <x:v>0</x:v>
      </x:c>
      <x:c r="BF298" s="141" t="n">
        <x:f>IF(AND(TRUE,Premissas!$B$11="Imovel",Premissas!$B$47="Moradia",$A298&lt;MAX('Consorcio Direto'!$B$29,Premissas!$B$49)),$D298,0)</x:f>
        <x:v>0</x:v>
      </x:c>
      <x:c r="BG298" s="141" t="n">
        <x:f>IF(AND(TRUE,Premissas!$B$11="Imovel",Premissas!$B$47="Investimento",$A298&gt;=MAX('Consorcio Direto'!$B$29,Premissas!$B$49)),$E298,0)</x:f>
        <x:v>2591.318170411163</x:v>
      </x:c>
      <x:c r="BH298" s="141" t="n">
        <x:f>BD298+BE298+BF298</x:f>
        <x:v>0</x:v>
      </x:c>
      <x:c r="BI298" s="141" t="n">
        <x:f>BG298</x:f>
        <x:v>2591.318170411163</x:v>
      </x:c>
      <x:c r="BJ298" s="141" t="n">
        <x:f>$C298+BI298-BH298</x:f>
        <x:v>9591.318170411163</x:v>
      </x:c>
      <x:c r="BK298" s="141" t="n">
        <x:f>BN297*(1+Premissas!$B$41)+BJ298</x:f>
        <x:v>10296707.338290783</x:v>
      </x:c>
      <x:c r="BL298" s="141" t="n">
        <x:f>MAX(0,-BK298)</x:f>
        <x:v>0</x:v>
      </x:c>
      <x:c r="BM298" s="141" t="n">
        <x:f>BM297*(1+Premissas!$B$41)+BL298</x:f>
        <x:v>0</x:v>
      </x:c>
      <x:c r="BN298" s="141" t="n">
        <x:f>MAX(0,BK298)</x:f>
        <x:v>10296707.338290783</x:v>
      </x:c>
      <x:c r="BO298" s="141" t="n">
        <x:f>INDEX('Consorcio Direto'!$K$55:$K$534,$A298)</x:f>
        <x:v>0</x:v>
      </x:c>
      <x:c r="BP298" s="141" t="n">
        <x:f>IF($A298&lt;'Consorcio Direto'!$B$29,INDEX('Consorcio Direto'!$L$55:$L$534,$A298),$F298)</x:f>
        <x:v>829688.1217443342</x:v>
      </x:c>
      <x:c r="BQ298" s="141" t="n">
        <x:f>BN298+BP298-BO298</x:f>
        <x:v>11126395.460035117</x:v>
      </x:c>
      <x:c r="BR298" s="141" t="n">
        <x:f>IF(BM298&gt;1,"Inviavel",BQ298)</x:f>
        <x:v>11126395.460035117</x:v>
      </x:c>
      <x:c r="BS298" s="141" t="str">
        <x:f>IF(BM298&gt;1,"Inviavel","OK")</x:f>
        <x:v>OK</x:v>
      </x:c>
      <x:c r="BT298" s="141" t="n">
        <x:f>IF(AND('Carta Contemplada'!$B$22="Sim",$A298='Carta Contemplada'!$B$23),'Carta Contemplada'!$B$37,0)</x:f>
        <x:v>0</x:v>
      </x:c>
      <x:c r="BU298" s="141" t="n">
        <x:f>IF('Carta Contemplada'!$B$22="Sim",INDEX('Carta Contemplada'!$C$55:$C$1013,$A298),0)</x:f>
        <x:v>0</x:v>
      </x:c>
      <x:c r="BV298" s="141" t="n">
        <x:f>IF(AND('Carta Contemplada'!$B$22="Sim",Premissas!$B$11="Imovel",Premissas!$B$47="Moradia",$A298&lt;MAX('Carta Contemplada'!$B$44,Premissas!$B$49)),$D298,0)</x:f>
        <x:v>0</x:v>
      </x:c>
      <x:c r="BW298" s="141" t="n">
        <x:f>IF(AND('Carta Contemplada'!$B$22="Sim",Premissas!$B$11="Imovel",Premissas!$B$47="Investimento",$A298&gt;=MAX('Carta Contemplada'!$B$44,Premissas!$B$49)),$E298,0)</x:f>
        <x:v>2591.318170411163</x:v>
      </x:c>
      <x:c r="BX298" s="141" t="n">
        <x:f>BT298+BU298+BV298</x:f>
        <x:v>0</x:v>
      </x:c>
      <x:c r="BY298" s="141" t="n">
        <x:f>BW298</x:f>
        <x:v>2591.318170411163</x:v>
      </x:c>
      <x:c r="BZ298" s="141" t="n">
        <x:f>$C298+BY298-BX298</x:f>
        <x:v>9591.318170411163</x:v>
      </x:c>
      <x:c r="CA298" s="141" t="n">
        <x:f>CD297*(1+Premissas!$B$41)+BZ298</x:f>
        <x:v>11117589.274025582</x:v>
      </x:c>
      <x:c r="CB298" s="141" t="n">
        <x:f>MAX(0,-CA298)</x:f>
        <x:v>0</x:v>
      </x:c>
      <x:c r="CC298" s="141" t="n">
        <x:f>CC297*(1+Premissas!$B$41)+CB298</x:f>
        <x:v>0</x:v>
      </x:c>
      <x:c r="CD298" s="141" t="n">
        <x:f>MAX(0,CA298)</x:f>
        <x:v>11117589.274025582</x:v>
      </x:c>
      <x:c r="CE298" s="141" t="n">
        <x:f>IF(AND('Carta Contemplada'!$B$22="Sim",$A298&gt;='Carta Contemplada'!$B$23),INDEX('Carta Contemplada'!$I$55:$I$1013,$A298),0)</x:f>
        <x:v>0</x:v>
      </x:c>
      <x:c r="CF298" s="141" t="n">
        <x:f>IF(AND('Carta Contemplada'!$B$22="Sim",$A298&gt;='Carta Contemplada'!$B$44),$F298,0)</x:f>
        <x:v>829688.1217443342</x:v>
      </x:c>
      <x:c r="CG298" s="141" t="n">
        <x:f>CD298+CF298-CE298</x:f>
        <x:v>11947277.395769916</x:v>
      </x:c>
      <x:c r="CH298" s="141" t="n">
        <x:f>IF(CC298&gt;1,"Inviavel",CG298)</x:f>
        <x:v>11947277.395769916</x:v>
      </x:c>
      <x:c r="CI298" s="145" t="str">
        <x:f>IF(CC298&gt;1,"Inviavel","OK")</x:f>
        <x:v>OK</x:v>
      </x:c>
    </x:row>
    <x:row r="299">
      <x:c r="A299" s="142" t="n">
        <x:v>295</x:v>
      </x:c>
      <x:c r="B299" s="179" t="n">
        <x:f>EDATE(Premissas!$B$4,A299-1)</x:f>
        <x:v>55488</x:v>
      </x:c>
      <x:c r="C299" s="141" t="n">
        <x:f>IF(A299&lt;=Premissas!$B$39,Premissas!$B$42,0)</x:f>
        <x:v>7000</x:v>
      </x:c>
      <x:c r="D299" s="141" t="n">
        <x:f>Premissas!$B$54*(1+Premissas!$B$57)^INT((A299-1)/12)</x:f>
        <x:v>2834.254248887209</x:v>
      </x:c>
      <x:c r="E299" s="141" t="n">
        <x:f>Premissas!$B$64*(1+Premissas!$B$57)^INT((A299-1)/12)</x:f>
        <x:v>2591.318170411163</x:v>
      </x:c>
      <x:c r="F299" s="141" t="n">
        <x:f>MAX(0,Premissas!$B$6*(1+Premissas!$B$66)^((A299-1)/12))</x:f>
        <x:v>833726.6706303891</x:v>
      </x:c>
      <x:c r="G299" s="141" t="n">
        <x:f>G298*(1+Premissas!$B$41)+C299</x:f>
        <x:v>12670732.443963742</x:v>
      </x:c>
      <x:c r="H299" s="141" t="n">
        <x:f>IF($A299=Premissas!$B$48,Premissas!$B$8,0)</x:f>
        <x:v>0</x:v>
      </x:c>
      <x:c r="I299" s="141" t="n">
        <x:f>IF(AND($A299&gt;=Premissas!$B$48,$A299-Premissas!$B$48+1&lt;=Premissas!$B$13),INDEX(Financiamento!$J$6:$J$485,$A299-Premissas!$B$48+1),0)</x:f>
        <x:v>986.4144418123684</x:v>
      </x:c>
      <x:c r="J299" s="141" t="n">
        <x:f>IF(AND(TRUE,Premissas!$B$11="Imovel",Premissas!$B$47="Moradia",$A299&lt;MAX(Premissas!$B$48,Premissas!$B$49)),$D299,0)</x:f>
        <x:v>0</x:v>
      </x:c>
      <x:c r="K299" s="141" t="n">
        <x:f>IF(AND(TRUE,Premissas!$B$11="Imovel",Premissas!$B$47="Investimento",$A299&gt;=MAX(Premissas!$B$48,Premissas!$B$49)),$E299,0)</x:f>
        <x:v>2591.318170411163</x:v>
      </x:c>
      <x:c r="L299" s="141" t="n">
        <x:f>H299+I299+J299</x:f>
        <x:v>986.4144418123684</x:v>
      </x:c>
      <x:c r="M299" s="141" t="n">
        <x:f>K299</x:f>
        <x:v>2591.318170411163</x:v>
      </x:c>
      <x:c r="N299" s="141" t="n">
        <x:f>$C299+M299-L299</x:f>
        <x:v>8604.903728598794</x:v>
      </x:c>
      <x:c r="O299" s="141" t="n">
        <x:f>R298*(1+Premissas!$B$41)+N299</x:f>
        <x:v>10863338.447114022</x:v>
      </x:c>
      <x:c r="P299" s="141" t="n">
        <x:f>MAX(0,-O299)</x:f>
        <x:v>0</x:v>
      </x:c>
      <x:c r="Q299" s="141" t="n">
        <x:f>Q298*(1+Premissas!$B$41)+P299</x:f>
        <x:v>0</x:v>
      </x:c>
      <x:c r="R299" s="141" t="n">
        <x:f>MAX(0,O299)</x:f>
        <x:v>10863338.447114022</x:v>
      </x:c>
      <x:c r="S299" s="141" t="n">
        <x:f>IF(AND($A299&gt;=Premissas!$B$48,$A299-Premissas!$B$48+1&lt;=Premissas!$B$13),INDEX(Financiamento!$M$6:$M$485,$A299-Premissas!$B$48+1),0)</x:f>
        <x:v>47619.04761904769</x:v>
      </x:c>
      <x:c r="T299" s="141" t="n">
        <x:f>IF($A299&gt;=Premissas!$B$48,$F299,0)</x:f>
        <x:v>833726.6706303891</x:v>
      </x:c>
      <x:c r="U299" s="141" t="n">
        <x:f>R299+T299-S299</x:f>
        <x:v>11649446.070125364</x:v>
      </x:c>
      <x:c r="V299" s="141" t="n">
        <x:f>IF(Q299&gt;1,"Inviavel",U299)</x:f>
        <x:v>11649446.070125364</x:v>
      </x:c>
      <x:c r="W299" s="141" t="str">
        <x:f>IF(Q299&gt;1,"Inviavel","OK")</x:f>
        <x:v>OK</x:v>
      </x:c>
      <x:c r="X299" s="141" t="n">
        <x:f>IF($A299=Premissas!$B$48,Premissas!$B$8,0)</x:f>
        <x:v>0</x:v>
      </x:c>
      <x:c r="Y299" s="141" t="n">
        <x:f>IF(AND($A299&gt;=Premissas!$B$48,$A299-Premissas!$B$48+1&lt;=Premissas!$B$13),INDEX(Amortizacao!$K$6:$K$485,$A299-Premissas!$B$48+1),0)</x:f>
        <x:v>0</x:v>
      </x:c>
      <x:c r="Z299" s="141" t="n">
        <x:f>IF(AND(TRUE,Premissas!$B$11="Imovel",Premissas!$B$47="Moradia",$A299&lt;MAX(Premissas!$B$48,Premissas!$B$49)),$D299,0)</x:f>
        <x:v>0</x:v>
      </x:c>
      <x:c r="AA299" s="141" t="n">
        <x:f>IF(AND(TRUE,Premissas!$B$11="Imovel",Premissas!$B$47="Investimento",$A299&gt;=MAX(Premissas!$B$48,Premissas!$B$49)),$E299,0)</x:f>
        <x:v>2591.318170411163</x:v>
      </x:c>
      <x:c r="AB299" s="141" t="n">
        <x:f>X299+Y299+Z299</x:f>
        <x:v>0</x:v>
      </x:c>
      <x:c r="AC299" s="141" t="n">
        <x:f>AA299</x:f>
        <x:v>2591.318170411163</x:v>
      </x:c>
      <x:c r="AD299" s="141" t="n">
        <x:f>$C299+AC299-AB299</x:f>
        <x:v>9591.318170411163</x:v>
      </x:c>
      <x:c r="AE299" s="141" t="n">
        <x:f>AH298*(1+Premissas!$B$41)+AD299</x:f>
        <x:v>10998558.636253862</x:v>
      </x:c>
      <x:c r="AF299" s="141" t="n">
        <x:f>MAX(0,-AE299)</x:f>
        <x:v>0</x:v>
      </x:c>
      <x:c r="AG299" s="141" t="n">
        <x:f>AG298*(1+Premissas!$B$41)+AF299</x:f>
        <x:v>0</x:v>
      </x:c>
      <x:c r="AH299" s="141" t="n">
        <x:f>MAX(0,AE299)</x:f>
        <x:v>10998558.636253862</x:v>
      </x:c>
      <x:c r="AI299" s="141" t="n">
        <x:f>IF(AND($A299&gt;=Premissas!$B$48,$A299-Premissas!$B$48+1&lt;=Premissas!$B$13),INDEX(Amortizacao!$L$6:$L$485,$A299-Premissas!$B$48+1),0)</x:f>
        <x:v>0</x:v>
      </x:c>
      <x:c r="AJ299" s="141" t="n">
        <x:f>IF($A299&gt;=Premissas!$B$48,$F299,0)</x:f>
        <x:v>833726.6706303891</x:v>
      </x:c>
      <x:c r="AK299" s="141" t="n">
        <x:f>AH299+AJ299-AI299</x:f>
        <x:v>11832285.306884252</x:v>
      </x:c>
      <x:c r="AL299" s="141" t="n">
        <x:f>IF(AG299&gt;1,"Inviavel",AK299)</x:f>
        <x:v>11832285.306884252</x:v>
      </x:c>
      <x:c r="AM299" s="141" t="str">
        <x:f>IF(AG299&gt;1,"Inviavel","OK")</x:f>
        <x:v>OK</x:v>
      </x:c>
      <x:c r="AN299" s="141" t="n">
        <x:f>IF($A299=Premissas!$B$48,Premissas!$B$8,0)</x:f>
        <x:v>0</x:v>
      </x:c>
      <x:c r="AO299" s="141" t="n">
        <x:f>IF($A299&lt;=Premissas!$B$25,INDEX('Consorcio IQ'!$K$6:$K$485,$A299),0)</x:f>
        <x:v>0</x:v>
      </x:c>
      <x:c r="AP299" s="141" t="n">
        <x:f>IF(AND(TRUE,Premissas!$B$11="Imovel",Premissas!$B$47="Moradia",$A299&lt;MAX(Premissas!$B$48,Premissas!$B$49)),$D299,0)</x:f>
        <x:v>0</x:v>
      </x:c>
      <x:c r="AQ299" s="141" t="n">
        <x:f>IF(AND(TRUE,Premissas!$B$11="Imovel",Premissas!$B$47="Investimento",$A299&gt;=MAX(Premissas!$B$48,Premissas!$B$49)),$E299,0)</x:f>
        <x:v>2591.318170411163</x:v>
      </x:c>
      <x:c r="AR299" s="141" t="n">
        <x:f>AN299+AO299+AP299</x:f>
        <x:v>0</x:v>
      </x:c>
      <x:c r="AS299" s="141" t="n">
        <x:f>AQ299</x:f>
        <x:v>2591.318170411163</x:v>
      </x:c>
      <x:c r="AT299" s="141" t="n">
        <x:f>$C299+AS299-AR299</x:f>
        <x:v>9591.318170411163</x:v>
      </x:c>
      <x:c r="AU299" s="141" t="n">
        <x:f>AX298*(1+Premissas!$B$41)+AT299</x:f>
        <x:v>10905722.829180835</x:v>
      </x:c>
      <x:c r="AV299" s="141" t="n">
        <x:f>MAX(0,-AU299)</x:f>
        <x:v>0</x:v>
      </x:c>
      <x:c r="AW299" s="141" t="n">
        <x:f>AW298*(1+Premissas!$B$41)+AV299</x:f>
        <x:v>0</x:v>
      </x:c>
      <x:c r="AX299" s="141" t="n">
        <x:f>MAX(0,AU299)</x:f>
        <x:v>10905722.829180835</x:v>
      </x:c>
      <x:c r="AY299" s="141" t="n">
        <x:f>INDEX('Consorcio IQ'!$P$6:$P$485,$A299)</x:f>
        <x:v>0</x:v>
      </x:c>
      <x:c r="AZ299" s="141" t="n">
        <x:f>IF($A299&gt;=Premissas!$B$48,$F299,0)+IF($A299&lt;Premissas!$B$27,INDEX('Consorcio IQ'!$O$6:$O$485,$A299),0)</x:f>
        <x:v>833726.6706303891</x:v>
      </x:c>
      <x:c r="BA299" s="141" t="n">
        <x:f>AX299+AZ299-AY299</x:f>
        <x:v>11739449.499811225</x:v>
      </x:c>
      <x:c r="BB299" s="141" t="n">
        <x:f>IF(AW299&gt;1,"Inviavel",BA299)</x:f>
        <x:v>11739449.499811225</x:v>
      </x:c>
      <x:c r="BC299" s="141" t="str">
        <x:f>IF(AW299&gt;1,"Inviavel","OK")</x:f>
        <x:v>OK</x:v>
      </x:c>
      <x:c r="BD299" s="141" t="n">
        <x:f>IF($A299='Consorcio Direto'!$B$29,'Consorcio Direto'!$B$44,0)</x:f>
        <x:v>0</x:v>
      </x:c>
      <x:c r="BE299" s="141" t="n">
        <x:f>IF($A299&lt;='Consorcio Direto'!$B$27,INDEX('Consorcio Direto'!$E$55:$E$534,$A299),0)</x:f>
        <x:v>0</x:v>
      </x:c>
      <x:c r="BF299" s="141" t="n">
        <x:f>IF(AND(TRUE,Premissas!$B$11="Imovel",Premissas!$B$47="Moradia",$A299&lt;MAX('Consorcio Direto'!$B$29,Premissas!$B$49)),$D299,0)</x:f>
        <x:v>0</x:v>
      </x:c>
      <x:c r="BG299" s="141" t="n">
        <x:f>IF(AND(TRUE,Premissas!$B$11="Imovel",Premissas!$B$47="Investimento",$A299&gt;=MAX('Consorcio Direto'!$B$29,Premissas!$B$49)),$E299,0)</x:f>
        <x:v>2591.318170411163</x:v>
      </x:c>
      <x:c r="BH299" s="141" t="n">
        <x:f>BD299+BE299+BF299</x:f>
        <x:v>0</x:v>
      </x:c>
      <x:c r="BI299" s="141" t="n">
        <x:f>BG299</x:f>
        <x:v>2591.318170411163</x:v>
      </x:c>
      <x:c r="BJ299" s="141" t="n">
        <x:f>$C299+BI299-BH299</x:f>
        <x:v>9591.318170411163</x:v>
      </x:c>
      <x:c r="BK299" s="141" t="n">
        <x:f>BN298*(1+Premissas!$B$41)+BJ299</x:f>
        <x:v>10404001.980302237</x:v>
      </x:c>
      <x:c r="BL299" s="141" t="n">
        <x:f>MAX(0,-BK299)</x:f>
        <x:v>0</x:v>
      </x:c>
      <x:c r="BM299" s="141" t="n">
        <x:f>BM298*(1+Premissas!$B$41)+BL299</x:f>
        <x:v>0</x:v>
      </x:c>
      <x:c r="BN299" s="141" t="n">
        <x:f>MAX(0,BK299)</x:f>
        <x:v>10404001.980302237</x:v>
      </x:c>
      <x:c r="BO299" s="141" t="n">
        <x:f>INDEX('Consorcio Direto'!$K$55:$K$534,$A299)</x:f>
        <x:v>0</x:v>
      </x:c>
      <x:c r="BP299" s="141" t="n">
        <x:f>IF($A299&lt;'Consorcio Direto'!$B$29,INDEX('Consorcio Direto'!$L$55:$L$534,$A299),$F299)</x:f>
        <x:v>833726.6706303891</x:v>
      </x:c>
      <x:c r="BQ299" s="141" t="n">
        <x:f>BN299+BP299-BO299</x:f>
        <x:v>11237728.650932627</x:v>
      </x:c>
      <x:c r="BR299" s="141" t="n">
        <x:f>IF(BM299&gt;1,"Inviavel",BQ299)</x:f>
        <x:v>11237728.650932627</x:v>
      </x:c>
      <x:c r="BS299" s="141" t="str">
        <x:f>IF(BM299&gt;1,"Inviavel","OK")</x:f>
        <x:v>OK</x:v>
      </x:c>
      <x:c r="BT299" s="141" t="n">
        <x:f>IF(AND('Carta Contemplada'!$B$22="Sim",$A299='Carta Contemplada'!$B$23),'Carta Contemplada'!$B$37,0)</x:f>
        <x:v>0</x:v>
      </x:c>
      <x:c r="BU299" s="141" t="n">
        <x:f>IF('Carta Contemplada'!$B$22="Sim",INDEX('Carta Contemplada'!$C$55:$C$1013,$A299),0)</x:f>
        <x:v>0</x:v>
      </x:c>
      <x:c r="BV299" s="141" t="n">
        <x:f>IF(AND('Carta Contemplada'!$B$22="Sim",Premissas!$B$11="Imovel",Premissas!$B$47="Moradia",$A299&lt;MAX('Carta Contemplada'!$B$44,Premissas!$B$49)),$D299,0)</x:f>
        <x:v>0</x:v>
      </x:c>
      <x:c r="BW299" s="141" t="n">
        <x:f>IF(AND('Carta Contemplada'!$B$22="Sim",Premissas!$B$11="Imovel",Premissas!$B$47="Investimento",$A299&gt;=MAX('Carta Contemplada'!$B$44,Premissas!$B$49)),$E299,0)</x:f>
        <x:v>2591.318170411163</x:v>
      </x:c>
      <x:c r="BX299" s="141" t="n">
        <x:f>BT299+BU299+BV299</x:f>
        <x:v>0</x:v>
      </x:c>
      <x:c r="BY299" s="141" t="n">
        <x:f>BW299</x:f>
        <x:v>2591.318170411163</x:v>
      </x:c>
      <x:c r="BZ299" s="141" t="n">
        <x:f>$C299+BY299-BX299</x:f>
        <x:v>9591.318170411163</x:v>
      </x:c>
      <x:c r="CA299" s="141" t="n">
        <x:f>CD298*(1+Premissas!$B$41)+BZ299</x:f>
        <x:v>11232673.094748963</x:v>
      </x:c>
      <x:c r="CB299" s="141" t="n">
        <x:f>MAX(0,-CA299)</x:f>
        <x:v>0</x:v>
      </x:c>
      <x:c r="CC299" s="141" t="n">
        <x:f>CC298*(1+Premissas!$B$41)+CB299</x:f>
        <x:v>0</x:v>
      </x:c>
      <x:c r="CD299" s="141" t="n">
        <x:f>MAX(0,CA299)</x:f>
        <x:v>11232673.094748963</x:v>
      </x:c>
      <x:c r="CE299" s="141" t="n">
        <x:f>IF(AND('Carta Contemplada'!$B$22="Sim",$A299&gt;='Carta Contemplada'!$B$23),INDEX('Carta Contemplada'!$I$55:$I$1013,$A299),0)</x:f>
        <x:v>0</x:v>
      </x:c>
      <x:c r="CF299" s="141" t="n">
        <x:f>IF(AND('Carta Contemplada'!$B$22="Sim",$A299&gt;='Carta Contemplada'!$B$44),$F299,0)</x:f>
        <x:v>833726.6706303891</x:v>
      </x:c>
      <x:c r="CG299" s="141" t="n">
        <x:f>CD299+CF299-CE299</x:f>
        <x:v>12066399.765379352</x:v>
      </x:c>
      <x:c r="CH299" s="141" t="n">
        <x:f>IF(CC299&gt;1,"Inviavel",CG299)</x:f>
        <x:v>12066399.765379352</x:v>
      </x:c>
      <x:c r="CI299" s="145" t="str">
        <x:f>IF(CC299&gt;1,"Inviavel","OK")</x:f>
        <x:v>OK</x:v>
      </x:c>
    </x:row>
    <x:row r="300">
      <x:c r="A300" s="142" t="n">
        <x:v>296</x:v>
      </x:c>
      <x:c r="B300" s="179" t="n">
        <x:f>EDATE(Premissas!$B$4,A300-1)</x:f>
        <x:v>55519</x:v>
      </x:c>
      <x:c r="C300" s="141" t="n">
        <x:f>IF(A300&lt;=Premissas!$B$39,Premissas!$B$42,0)</x:f>
        <x:v>7000</x:v>
      </x:c>
      <x:c r="D300" s="141" t="n">
        <x:f>Premissas!$B$54*(1+Premissas!$B$57)^INT((A300-1)/12)</x:f>
        <x:v>2834.254248887209</x:v>
      </x:c>
      <x:c r="E300" s="141" t="n">
        <x:f>Premissas!$B$64*(1+Premissas!$B$57)^INT((A300-1)/12)</x:f>
        <x:v>2591.318170411163</x:v>
      </x:c>
      <x:c r="F300" s="141" t="n">
        <x:f>MAX(0,Premissas!$B$6*(1+Premissas!$B$66)^((A300-1)/12))</x:f>
        <x:v>837784.8773573576</x:v>
      </x:c>
      <x:c r="G300" s="141" t="n">
        <x:f>G299*(1+Premissas!$B$41)+C300</x:f>
        <x:v>12797962.400454016</x:v>
      </x:c>
      <x:c r="H300" s="141" t="n">
        <x:f>IF($A300=Premissas!$B$48,Premissas!$B$8,0)</x:f>
        <x:v>0</x:v>
      </x:c>
      <x:c r="I300" s="141" t="n">
        <x:f>IF(AND($A300&gt;=Premissas!$B$48,$A300-Premissas!$B$48+1&lt;=Premissas!$B$13),INDEX(Financiamento!$J$6:$J$485,$A300-Premissas!$B$48+1),0)</x:f>
        <x:v>982.7996635515749</x:v>
      </x:c>
      <x:c r="J300" s="141" t="n">
        <x:f>IF(AND(TRUE,Premissas!$B$11="Imovel",Premissas!$B$47="Moradia",$A300&lt;MAX(Premissas!$B$48,Premissas!$B$49)),$D300,0)</x:f>
        <x:v>0</x:v>
      </x:c>
      <x:c r="K300" s="141" t="n">
        <x:f>IF(AND(TRUE,Premissas!$B$11="Imovel",Premissas!$B$47="Investimento",$A300&gt;=MAX(Premissas!$B$48,Premissas!$B$49)),$E300,0)</x:f>
        <x:v>2591.318170411163</x:v>
      </x:c>
      <x:c r="L300" s="141" t="n">
        <x:f>H300+I300+J300</x:f>
        <x:v>982.7996635515749</x:v>
      </x:c>
      <x:c r="M300" s="141" t="n">
        <x:f>K300</x:f>
        <x:v>2591.318170411163</x:v>
      </x:c>
      <x:c r="N300" s="141" t="n">
        <x:f>$C300+M300-L300</x:f>
        <x:v>8608.518506859587</x:v>
      </x:c>
      <x:c r="O300" s="141" t="n">
        <x:f>R299*(1+Premissas!$B$41)+N300</x:f>
        <x:v>10975026.934723843</x:v>
      </x:c>
      <x:c r="P300" s="141" t="n">
        <x:f>MAX(0,-O300)</x:f>
        <x:v>0</x:v>
      </x:c>
      <x:c r="Q300" s="141" t="n">
        <x:f>Q299*(1+Premissas!$B$41)+P300</x:f>
        <x:v>0</x:v>
      </x:c>
      <x:c r="R300" s="141" t="n">
        <x:f>MAX(0,O300)</x:f>
        <x:v>10975026.934723843</x:v>
      </x:c>
      <x:c r="S300" s="141" t="n">
        <x:f>IF(AND($A300&gt;=Premissas!$B$48,$A300-Premissas!$B$48+1&lt;=Premissas!$B$13),INDEX(Financiamento!$M$6:$M$485,$A300-Premissas!$B$48+1),0)</x:f>
        <x:v>47238.09523809531</x:v>
      </x:c>
      <x:c r="T300" s="141" t="n">
        <x:f>IF($A300&gt;=Premissas!$B$48,$F300,0)</x:f>
        <x:v>837784.8773573576</x:v>
      </x:c>
      <x:c r="U300" s="141" t="n">
        <x:f>R300+T300-S300</x:f>
        <x:v>11765573.716843106</x:v>
      </x:c>
      <x:c r="V300" s="141" t="n">
        <x:f>IF(Q300&gt;1,"Inviavel",U300)</x:f>
        <x:v>11765573.716843106</x:v>
      </x:c>
      <x:c r="W300" s="141" t="str">
        <x:f>IF(Q300&gt;1,"Inviavel","OK")</x:f>
        <x:v>OK</x:v>
      </x:c>
      <x:c r="X300" s="141" t="n">
        <x:f>IF($A300=Premissas!$B$48,Premissas!$B$8,0)</x:f>
        <x:v>0</x:v>
      </x:c>
      <x:c r="Y300" s="141" t="n">
        <x:f>IF(AND($A300&gt;=Premissas!$B$48,$A300-Premissas!$B$48+1&lt;=Premissas!$B$13),INDEX(Amortizacao!$K$6:$K$485,$A300-Premissas!$B$48+1),0)</x:f>
        <x:v>0</x:v>
      </x:c>
      <x:c r="Z300" s="141" t="n">
        <x:f>IF(AND(TRUE,Premissas!$B$11="Imovel",Premissas!$B$47="Moradia",$A300&lt;MAX(Premissas!$B$48,Premissas!$B$49)),$D300,0)</x:f>
        <x:v>0</x:v>
      </x:c>
      <x:c r="AA300" s="141" t="n">
        <x:f>IF(AND(TRUE,Premissas!$B$11="Imovel",Premissas!$B$47="Investimento",$A300&gt;=MAX(Premissas!$B$48,Premissas!$B$49)),$E300,0)</x:f>
        <x:v>2591.318170411163</x:v>
      </x:c>
      <x:c r="AB300" s="141" t="n">
        <x:f>X300+Y300+Z300</x:f>
        <x:v>0</x:v>
      </x:c>
      <x:c r="AC300" s="141" t="n">
        <x:f>AA300</x:f>
        <x:v>2591.318170411163</x:v>
      </x:c>
      <x:c r="AD300" s="141" t="n">
        <x:f>$C300+AC300-AB300</x:f>
        <x:v>9591.318170411163</x:v>
      </x:c>
      <x:c r="AE300" s="141" t="n">
        <x:f>AH299*(1+Premissas!$B$41)+AD300</x:f>
        <x:v>11112512.999902556</x:v>
      </x:c>
      <x:c r="AF300" s="141" t="n">
        <x:f>MAX(0,-AE300)</x:f>
        <x:v>0</x:v>
      </x:c>
      <x:c r="AG300" s="141" t="n">
        <x:f>AG299*(1+Premissas!$B$41)+AF300</x:f>
        <x:v>0</x:v>
      </x:c>
      <x:c r="AH300" s="141" t="n">
        <x:f>MAX(0,AE300)</x:f>
        <x:v>11112512.999902556</x:v>
      </x:c>
      <x:c r="AI300" s="141" t="n">
        <x:f>IF(AND($A300&gt;=Premissas!$B$48,$A300-Premissas!$B$48+1&lt;=Premissas!$B$13),INDEX(Amortizacao!$L$6:$L$485,$A300-Premissas!$B$48+1),0)</x:f>
        <x:v>0</x:v>
      </x:c>
      <x:c r="AJ300" s="141" t="n">
        <x:f>IF($A300&gt;=Premissas!$B$48,$F300,0)</x:f>
        <x:v>837784.8773573576</x:v>
      </x:c>
      <x:c r="AK300" s="141" t="n">
        <x:f>AH300+AJ300-AI300</x:f>
        <x:v>11950297.877259914</x:v>
      </x:c>
      <x:c r="AL300" s="141" t="n">
        <x:f>IF(AG300&gt;1,"Inviavel",AK300)</x:f>
        <x:v>11950297.877259914</x:v>
      </x:c>
      <x:c r="AM300" s="141" t="str">
        <x:f>IF(AG300&gt;1,"Inviavel","OK")</x:f>
        <x:v>OK</x:v>
      </x:c>
      <x:c r="AN300" s="141" t="n">
        <x:f>IF($A300=Premissas!$B$48,Premissas!$B$8,0)</x:f>
        <x:v>0</x:v>
      </x:c>
      <x:c r="AO300" s="141" t="n">
        <x:f>IF($A300&lt;=Premissas!$B$25,INDEX('Consorcio IQ'!$K$6:$K$485,$A300),0)</x:f>
        <x:v>0</x:v>
      </x:c>
      <x:c r="AP300" s="141" t="n">
        <x:f>IF(AND(TRUE,Premissas!$B$11="Imovel",Premissas!$B$47="Moradia",$A300&lt;MAX(Premissas!$B$48,Premissas!$B$49)),$D300,0)</x:f>
        <x:v>0</x:v>
      </x:c>
      <x:c r="AQ300" s="141" t="n">
        <x:f>IF(AND(TRUE,Premissas!$B$11="Imovel",Premissas!$B$47="Investimento",$A300&gt;=MAX(Premissas!$B$48,Premissas!$B$49)),$E300,0)</x:f>
        <x:v>2591.318170411163</x:v>
      </x:c>
      <x:c r="AR300" s="141" t="n">
        <x:f>AN300+AO300+AP300</x:f>
        <x:v>0</x:v>
      </x:c>
      <x:c r="AS300" s="141" t="n">
        <x:f>AQ300</x:f>
        <x:v>2591.318170411163</x:v>
      </x:c>
      <x:c r="AT300" s="141" t="n">
        <x:f>$C300+AS300-AR300</x:f>
        <x:v>9591.318170411163</x:v>
      </x:c>
      <x:c r="AU300" s="141" t="n">
        <x:f>AX299*(1+Premissas!$B$41)+AT300</x:f>
        <x:v>11018796.293079298</x:v>
      </x:c>
      <x:c r="AV300" s="141" t="n">
        <x:f>MAX(0,-AU300)</x:f>
        <x:v>0</x:v>
      </x:c>
      <x:c r="AW300" s="141" t="n">
        <x:f>AW299*(1+Premissas!$B$41)+AV300</x:f>
        <x:v>0</x:v>
      </x:c>
      <x:c r="AX300" s="141" t="n">
        <x:f>MAX(0,AU300)</x:f>
        <x:v>11018796.293079298</x:v>
      </x:c>
      <x:c r="AY300" s="141" t="n">
        <x:f>INDEX('Consorcio IQ'!$P$6:$P$485,$A300)</x:f>
        <x:v>0</x:v>
      </x:c>
      <x:c r="AZ300" s="141" t="n">
        <x:f>IF($A300&gt;=Premissas!$B$48,$F300,0)+IF($A300&lt;Premissas!$B$27,INDEX('Consorcio IQ'!$O$6:$O$485,$A300),0)</x:f>
        <x:v>837784.8773573576</x:v>
      </x:c>
      <x:c r="BA300" s="141" t="n">
        <x:f>AX300+AZ300-AY300</x:f>
        <x:v>11856581.170436656</x:v>
      </x:c>
      <x:c r="BB300" s="141" t="n">
        <x:f>IF(AW300&gt;1,"Inviavel",BA300)</x:f>
        <x:v>11856581.170436656</x:v>
      </x:c>
      <x:c r="BC300" s="141" t="str">
        <x:f>IF(AW300&gt;1,"Inviavel","OK")</x:f>
        <x:v>OK</x:v>
      </x:c>
      <x:c r="BD300" s="141" t="n">
        <x:f>IF($A300='Consorcio Direto'!$B$29,'Consorcio Direto'!$B$44,0)</x:f>
        <x:v>0</x:v>
      </x:c>
      <x:c r="BE300" s="141" t="n">
        <x:f>IF($A300&lt;='Consorcio Direto'!$B$27,INDEX('Consorcio Direto'!$E$55:$E$534,$A300),0)</x:f>
        <x:v>0</x:v>
      </x:c>
      <x:c r="BF300" s="141" t="n">
        <x:f>IF(AND(TRUE,Premissas!$B$11="Imovel",Premissas!$B$47="Moradia",$A300&lt;MAX('Consorcio Direto'!$B$29,Premissas!$B$49)),$D300,0)</x:f>
        <x:v>0</x:v>
      </x:c>
      <x:c r="BG300" s="141" t="n">
        <x:f>IF(AND(TRUE,Premissas!$B$11="Imovel",Premissas!$B$47="Investimento",$A300&gt;=MAX('Consorcio Direto'!$B$29,Premissas!$B$49)),$E300,0)</x:f>
        <x:v>2591.318170411163</x:v>
      </x:c>
      <x:c r="BH300" s="141" t="n">
        <x:f>BD300+BE300+BF300</x:f>
        <x:v>0</x:v>
      </x:c>
      <x:c r="BI300" s="141" t="n">
        <x:f>BG300</x:f>
        <x:v>2591.318170411163</x:v>
      </x:c>
      <x:c r="BJ300" s="141" t="n">
        <x:f>$C300+BI300-BH300</x:f>
        <x:v>9591.318170411163</x:v>
      </x:c>
      <x:c r="BK300" s="141" t="n">
        <x:f>BN299*(1+Premissas!$B$41)+BJ300</x:f>
        <x:v>10512314.718954729</x:v>
      </x:c>
      <x:c r="BL300" s="141" t="n">
        <x:f>MAX(0,-BK300)</x:f>
        <x:v>0</x:v>
      </x:c>
      <x:c r="BM300" s="141" t="n">
        <x:f>BM299*(1+Premissas!$B$41)+BL300</x:f>
        <x:v>0</x:v>
      </x:c>
      <x:c r="BN300" s="141" t="n">
        <x:f>MAX(0,BK300)</x:f>
        <x:v>10512314.718954729</x:v>
      </x:c>
      <x:c r="BO300" s="141" t="n">
        <x:f>INDEX('Consorcio Direto'!$K$55:$K$534,$A300)</x:f>
        <x:v>0</x:v>
      </x:c>
      <x:c r="BP300" s="141" t="n">
        <x:f>IF($A300&lt;'Consorcio Direto'!$B$29,INDEX('Consorcio Direto'!$L$55:$L$534,$A300),$F300)</x:f>
        <x:v>837784.8773573576</x:v>
      </x:c>
      <x:c r="BQ300" s="141" t="n">
        <x:f>BN300+BP300-BO300</x:f>
        <x:v>11350099.596312087</x:v>
      </x:c>
      <x:c r="BR300" s="141" t="n">
        <x:f>IF(BM300&gt;1,"Inviavel",BQ300)</x:f>
        <x:v>11350099.596312087</x:v>
      </x:c>
      <x:c r="BS300" s="141" t="str">
        <x:f>IF(BM300&gt;1,"Inviavel","OK")</x:f>
        <x:v>OK</x:v>
      </x:c>
      <x:c r="BT300" s="141" t="n">
        <x:f>IF(AND('Carta Contemplada'!$B$22="Sim",$A300='Carta Contemplada'!$B$23),'Carta Contemplada'!$B$37,0)</x:f>
        <x:v>0</x:v>
      </x:c>
      <x:c r="BU300" s="141" t="n">
        <x:f>IF('Carta Contemplada'!$B$22="Sim",INDEX('Carta Contemplada'!$C$55:$C$1013,$A300),0)</x:f>
        <x:v>0</x:v>
      </x:c>
      <x:c r="BV300" s="141" t="n">
        <x:f>IF(AND('Carta Contemplada'!$B$22="Sim",Premissas!$B$11="Imovel",Premissas!$B$47="Moradia",$A300&lt;MAX('Carta Contemplada'!$B$44,Premissas!$B$49)),$D300,0)</x:f>
        <x:v>0</x:v>
      </x:c>
      <x:c r="BW300" s="141" t="n">
        <x:f>IF(AND('Carta Contemplada'!$B$22="Sim",Premissas!$B$11="Imovel",Premissas!$B$47="Investimento",$A300&gt;=MAX('Carta Contemplada'!$B$44,Premissas!$B$49)),$E300,0)</x:f>
        <x:v>2591.318170411163</x:v>
      </x:c>
      <x:c r="BX300" s="141" t="n">
        <x:f>BT300+BU300+BV300</x:f>
        <x:v>0</x:v>
      </x:c>
      <x:c r="BY300" s="141" t="n">
        <x:f>BW300</x:f>
        <x:v>2591.318170411163</x:v>
      </x:c>
      <x:c r="BZ300" s="141" t="n">
        <x:f>$C300+BY300-BX300</x:f>
        <x:v>9591.318170411163</x:v>
      </x:c>
      <x:c r="CA300" s="141" t="n">
        <x:f>CD299*(1+Premissas!$B$41)+BZ300</x:f>
        <x:v>11348848.92201731</x:v>
      </x:c>
      <x:c r="CB300" s="141" t="n">
        <x:f>MAX(0,-CA300)</x:f>
        <x:v>0</x:v>
      </x:c>
      <x:c r="CC300" s="141" t="n">
        <x:f>CC299*(1+Premissas!$B$41)+CB300</x:f>
        <x:v>0</x:v>
      </x:c>
      <x:c r="CD300" s="141" t="n">
        <x:f>MAX(0,CA300)</x:f>
        <x:v>11348848.92201731</x:v>
      </x:c>
      <x:c r="CE300" s="141" t="n">
        <x:f>IF(AND('Carta Contemplada'!$B$22="Sim",$A300&gt;='Carta Contemplada'!$B$23),INDEX('Carta Contemplada'!$I$55:$I$1013,$A300),0)</x:f>
        <x:v>0</x:v>
      </x:c>
      <x:c r="CF300" s="141" t="n">
        <x:f>IF(AND('Carta Contemplada'!$B$22="Sim",$A300&gt;='Carta Contemplada'!$B$44),$F300,0)</x:f>
        <x:v>837784.8773573576</x:v>
      </x:c>
      <x:c r="CG300" s="141" t="n">
        <x:f>CD300+CF300-CE300</x:f>
        <x:v>12186633.799374668</x:v>
      </x:c>
      <x:c r="CH300" s="141" t="n">
        <x:f>IF(CC300&gt;1,"Inviavel",CG300)</x:f>
        <x:v>12186633.799374668</x:v>
      </x:c>
      <x:c r="CI300" s="145" t="str">
        <x:f>IF(CC300&gt;1,"Inviavel","OK")</x:f>
        <x:v>OK</x:v>
      </x:c>
    </x:row>
    <x:row r="301">
      <x:c r="A301" s="142" t="n">
        <x:v>297</x:v>
      </x:c>
      <x:c r="B301" s="179" t="n">
        <x:f>EDATE(Premissas!$B$4,A301-1)</x:f>
        <x:v>55550</x:v>
      </x:c>
      <x:c r="C301" s="141" t="n">
        <x:f>IF(A301&lt;=Premissas!$B$39,Premissas!$B$42,0)</x:f>
        <x:v>7000</x:v>
      </x:c>
      <x:c r="D301" s="141" t="n">
        <x:f>Premissas!$B$54*(1+Premissas!$B$57)^INT((A301-1)/12)</x:f>
        <x:v>2834.254248887209</x:v>
      </x:c>
      <x:c r="E301" s="141" t="n">
        <x:f>Premissas!$B$64*(1+Premissas!$B$57)^INT((A301-1)/12)</x:f>
        <x:v>2591.318170411163</x:v>
      </x:c>
      <x:c r="F301" s="141" t="n">
        <x:f>MAX(0,Premissas!$B$6*(1+Premissas!$B$66)^((A301-1)/12))</x:f>
        <x:v>841862.8376107744</x:v>
      </x:c>
      <x:c r="G301" s="141" t="n">
        <x:f>G300*(1+Premissas!$B$41)+C301</x:f>
        <x:v>12926399.615656504</x:v>
      </x:c>
      <x:c r="H301" s="141" t="n">
        <x:f>IF($A301=Premissas!$B$48,Premissas!$B$8,0)</x:f>
        <x:v>0</x:v>
      </x:c>
      <x:c r="I301" s="141" t="n">
        <x:f>IF(AND($A301&gt;=Premissas!$B$48,$A301-Premissas!$B$48+1&lt;=Premissas!$B$13),INDEX(Financiamento!$J$6:$J$485,$A301-Premissas!$B$48+1),0)</x:f>
        <x:v>979.1848852907813</x:v>
      </x:c>
      <x:c r="J301" s="141" t="n">
        <x:f>IF(AND(TRUE,Premissas!$B$11="Imovel",Premissas!$B$47="Moradia",$A301&lt;MAX(Premissas!$B$48,Premissas!$B$49)),$D301,0)</x:f>
        <x:v>0</x:v>
      </x:c>
      <x:c r="K301" s="141" t="n">
        <x:f>IF(AND(TRUE,Premissas!$B$11="Imovel",Premissas!$B$47="Investimento",$A301&gt;=MAX(Premissas!$B$48,Premissas!$B$49)),$E301,0)</x:f>
        <x:v>2591.318170411163</x:v>
      </x:c>
      <x:c r="L301" s="141" t="n">
        <x:f>H301+I301+J301</x:f>
        <x:v>979.1848852907813</x:v>
      </x:c>
      <x:c r="M301" s="141" t="n">
        <x:f>K301</x:f>
        <x:v>2591.318170411163</x:v>
      </x:c>
      <x:c r="N301" s="141" t="n">
        <x:f>$C301+M301-L301</x:f>
        <x:v>8612.133285120382</x:v>
      </x:c>
      <x:c r="O301" s="141" t="n">
        <x:f>R300*(1+Premissas!$B$41)+N301</x:f>
        <x:v>11087778.826044029</x:v>
      </x:c>
      <x:c r="P301" s="141" t="n">
        <x:f>MAX(0,-O301)</x:f>
        <x:v>0</x:v>
      </x:c>
      <x:c r="Q301" s="141" t="n">
        <x:f>Q300*(1+Premissas!$B$41)+P301</x:f>
        <x:v>0</x:v>
      </x:c>
      <x:c r="R301" s="141" t="n">
        <x:f>MAX(0,O301)</x:f>
        <x:v>11087778.826044029</x:v>
      </x:c>
      <x:c r="S301" s="141" t="n">
        <x:f>IF(AND($A301&gt;=Premissas!$B$48,$A301-Premissas!$B$48+1&lt;=Premissas!$B$13),INDEX(Financiamento!$M$6:$M$485,$A301-Premissas!$B$48+1),0)</x:f>
        <x:v>46857.14285714293</x:v>
      </x:c>
      <x:c r="T301" s="141" t="n">
        <x:f>IF($A301&gt;=Premissas!$B$48,$F301,0)</x:f>
        <x:v>841862.8376107744</x:v>
      </x:c>
      <x:c r="U301" s="141" t="n">
        <x:f>R301+T301-S301</x:f>
        <x:v>11882784.520797659</x:v>
      </x:c>
      <x:c r="V301" s="141" t="n">
        <x:f>IF(Q301&gt;1,"Inviavel",U301)</x:f>
        <x:v>11882784.520797659</x:v>
      </x:c>
      <x:c r="W301" s="141" t="str">
        <x:f>IF(Q301&gt;1,"Inviavel","OK")</x:f>
        <x:v>OK</x:v>
      </x:c>
      <x:c r="X301" s="141" t="n">
        <x:f>IF($A301=Premissas!$B$48,Premissas!$B$8,0)</x:f>
        <x:v>0</x:v>
      </x:c>
      <x:c r="Y301" s="141" t="n">
        <x:f>IF(AND($A301&gt;=Premissas!$B$48,$A301-Premissas!$B$48+1&lt;=Premissas!$B$13),INDEX(Amortizacao!$K$6:$K$485,$A301-Premissas!$B$48+1),0)</x:f>
        <x:v>0</x:v>
      </x:c>
      <x:c r="Z301" s="141" t="n">
        <x:f>IF(AND(TRUE,Premissas!$B$11="Imovel",Premissas!$B$47="Moradia",$A301&lt;MAX(Premissas!$B$48,Premissas!$B$49)),$D301,0)</x:f>
        <x:v>0</x:v>
      </x:c>
      <x:c r="AA301" s="141" t="n">
        <x:f>IF(AND(TRUE,Premissas!$B$11="Imovel",Premissas!$B$47="Investimento",$A301&gt;=MAX(Premissas!$B$48,Premissas!$B$49)),$E301,0)</x:f>
        <x:v>2591.318170411163</x:v>
      </x:c>
      <x:c r="AB301" s="141" t="n">
        <x:f>X301+Y301+Z301</x:f>
        <x:v>0</x:v>
      </x:c>
      <x:c r="AC301" s="141" t="n">
        <x:f>AA301</x:f>
        <x:v>2591.318170411163</x:v>
      </x:c>
      <x:c r="AD301" s="141" t="n">
        <x:f>$C301+AC301-AB301</x:f>
        <x:v>9591.318170411163</x:v>
      </x:c>
      <x:c r="AE301" s="141" t="n">
        <x:f>AH300*(1+Premissas!$B$41)+AD301</x:f>
        <x:v>11227548.652911905</x:v>
      </x:c>
      <x:c r="AF301" s="141" t="n">
        <x:f>MAX(0,-AE301)</x:f>
        <x:v>0</x:v>
      </x:c>
      <x:c r="AG301" s="141" t="n">
        <x:f>AG300*(1+Premissas!$B$41)+AF301</x:f>
        <x:v>0</x:v>
      </x:c>
      <x:c r="AH301" s="141" t="n">
        <x:f>MAX(0,AE301)</x:f>
        <x:v>11227548.652911905</x:v>
      </x:c>
      <x:c r="AI301" s="141" t="n">
        <x:f>IF(AND($A301&gt;=Premissas!$B$48,$A301-Premissas!$B$48+1&lt;=Premissas!$B$13),INDEX(Amortizacao!$L$6:$L$485,$A301-Premissas!$B$48+1),0)</x:f>
        <x:v>0</x:v>
      </x:c>
      <x:c r="AJ301" s="141" t="n">
        <x:f>IF($A301&gt;=Premissas!$B$48,$F301,0)</x:f>
        <x:v>841862.8376107744</x:v>
      </x:c>
      <x:c r="AK301" s="141" t="n">
        <x:f>AH301+AJ301-AI301</x:f>
        <x:v>12069411.490522679</x:v>
      </x:c>
      <x:c r="AL301" s="141" t="n">
        <x:f>IF(AG301&gt;1,"Inviavel",AK301)</x:f>
        <x:v>12069411.490522679</x:v>
      </x:c>
      <x:c r="AM301" s="141" t="str">
        <x:f>IF(AG301&gt;1,"Inviavel","OK")</x:f>
        <x:v>OK</x:v>
      </x:c>
      <x:c r="AN301" s="141" t="n">
        <x:f>IF($A301=Premissas!$B$48,Premissas!$B$8,0)</x:f>
        <x:v>0</x:v>
      </x:c>
      <x:c r="AO301" s="141" t="n">
        <x:f>IF($A301&lt;=Premissas!$B$25,INDEX('Consorcio IQ'!$K$6:$K$485,$A301),0)</x:f>
        <x:v>0</x:v>
      </x:c>
      <x:c r="AP301" s="141" t="n">
        <x:f>IF(AND(TRUE,Premissas!$B$11="Imovel",Premissas!$B$47="Moradia",$A301&lt;MAX(Premissas!$B$48,Premissas!$B$49)),$D301,0)</x:f>
        <x:v>0</x:v>
      </x:c>
      <x:c r="AQ301" s="141" t="n">
        <x:f>IF(AND(TRUE,Premissas!$B$11="Imovel",Premissas!$B$47="Investimento",$A301&gt;=MAX(Premissas!$B$48,Premissas!$B$49)),$E301,0)</x:f>
        <x:v>2591.318170411163</x:v>
      </x:c>
      <x:c r="AR301" s="141" t="n">
        <x:f>AN301+AO301+AP301</x:f>
        <x:v>0</x:v>
      </x:c>
      <x:c r="AS301" s="141" t="n">
        <x:f>AQ301</x:f>
        <x:v>2591.318170411163</x:v>
      </x:c>
      <x:c r="AT301" s="141" t="n">
        <x:f>$C301+AS301-AR301</x:f>
        <x:v>9591.318170411163</x:v>
      </x:c>
      <x:c r="AU301" s="141" t="n">
        <x:f>AX300*(1+Premissas!$B$41)+AT301</x:f>
        <x:v>11132942.68766309</x:v>
      </x:c>
      <x:c r="AV301" s="141" t="n">
        <x:f>MAX(0,-AU301)</x:f>
        <x:v>0</x:v>
      </x:c>
      <x:c r="AW301" s="141" t="n">
        <x:f>AW300*(1+Premissas!$B$41)+AV301</x:f>
        <x:v>0</x:v>
      </x:c>
      <x:c r="AX301" s="141" t="n">
        <x:f>MAX(0,AU301)</x:f>
        <x:v>11132942.68766309</x:v>
      </x:c>
      <x:c r="AY301" s="141" t="n">
        <x:f>INDEX('Consorcio IQ'!$P$6:$P$485,$A301)</x:f>
        <x:v>0</x:v>
      </x:c>
      <x:c r="AZ301" s="141" t="n">
        <x:f>IF($A301&gt;=Premissas!$B$48,$F301,0)+IF($A301&lt;Premissas!$B$27,INDEX('Consorcio IQ'!$O$6:$O$485,$A301),0)</x:f>
        <x:v>841862.8376107744</x:v>
      </x:c>
      <x:c r="BA301" s="141" t="n">
        <x:f>AX301+AZ301-AY301</x:f>
        <x:v>11974805.525273863</x:v>
      </x:c>
      <x:c r="BB301" s="141" t="n">
        <x:f>IF(AW301&gt;1,"Inviavel",BA301)</x:f>
        <x:v>11974805.525273863</x:v>
      </x:c>
      <x:c r="BC301" s="141" t="str">
        <x:f>IF(AW301&gt;1,"Inviavel","OK")</x:f>
        <x:v>OK</x:v>
      </x:c>
      <x:c r="BD301" s="141" t="n">
        <x:f>IF($A301='Consorcio Direto'!$B$29,'Consorcio Direto'!$B$44,0)</x:f>
        <x:v>0</x:v>
      </x:c>
      <x:c r="BE301" s="141" t="n">
        <x:f>IF($A301&lt;='Consorcio Direto'!$B$27,INDEX('Consorcio Direto'!$E$55:$E$534,$A301),0)</x:f>
        <x:v>0</x:v>
      </x:c>
      <x:c r="BF301" s="141" t="n">
        <x:f>IF(AND(TRUE,Premissas!$B$11="Imovel",Premissas!$B$47="Moradia",$A301&lt;MAX('Consorcio Direto'!$B$29,Premissas!$B$49)),$D301,0)</x:f>
        <x:v>0</x:v>
      </x:c>
      <x:c r="BG301" s="141" t="n">
        <x:f>IF(AND(TRUE,Premissas!$B$11="Imovel",Premissas!$B$47="Investimento",$A301&gt;=MAX('Consorcio Direto'!$B$29,Premissas!$B$49)),$E301,0)</x:f>
        <x:v>2591.318170411163</x:v>
      </x:c>
      <x:c r="BH301" s="141" t="n">
        <x:f>BD301+BE301+BF301</x:f>
        <x:v>0</x:v>
      </x:c>
      <x:c r="BI301" s="141" t="n">
        <x:f>BG301</x:f>
        <x:v>2591.318170411163</x:v>
      </x:c>
      <x:c r="BJ301" s="141" t="n">
        <x:f>$C301+BI301-BH301</x:f>
        <x:v>9591.318170411163</x:v>
      </x:c>
      <x:c r="BK301" s="141" t="n">
        <x:f>BN300*(1+Premissas!$B$41)+BJ301</x:f>
        <x:v>10621655.214756472</x:v>
      </x:c>
      <x:c r="BL301" s="141" t="n">
        <x:f>MAX(0,-BK301)</x:f>
        <x:v>0</x:v>
      </x:c>
      <x:c r="BM301" s="141" t="n">
        <x:f>BM300*(1+Premissas!$B$41)+BL301</x:f>
        <x:v>0</x:v>
      </x:c>
      <x:c r="BN301" s="141" t="n">
        <x:f>MAX(0,BK301)</x:f>
        <x:v>10621655.214756472</x:v>
      </x:c>
      <x:c r="BO301" s="141" t="n">
        <x:f>INDEX('Consorcio Direto'!$K$55:$K$534,$A301)</x:f>
        <x:v>0</x:v>
      </x:c>
      <x:c r="BP301" s="141" t="n">
        <x:f>IF($A301&lt;'Consorcio Direto'!$B$29,INDEX('Consorcio Direto'!$L$55:$L$534,$A301),$F301)</x:f>
        <x:v>841862.8376107744</x:v>
      </x:c>
      <x:c r="BQ301" s="141" t="n">
        <x:f>BN301+BP301-BO301</x:f>
        <x:v>11463518.052367246</x:v>
      </x:c>
      <x:c r="BR301" s="141" t="n">
        <x:f>IF(BM301&gt;1,"Inviavel",BQ301)</x:f>
        <x:v>11463518.052367246</x:v>
      </x:c>
      <x:c r="BS301" s="141" t="str">
        <x:f>IF(BM301&gt;1,"Inviavel","OK")</x:f>
        <x:v>OK</x:v>
      </x:c>
      <x:c r="BT301" s="141" t="n">
        <x:f>IF(AND('Carta Contemplada'!$B$22="Sim",$A301='Carta Contemplada'!$B$23),'Carta Contemplada'!$B$37,0)</x:f>
        <x:v>0</x:v>
      </x:c>
      <x:c r="BU301" s="141" t="n">
        <x:f>IF('Carta Contemplada'!$B$22="Sim",INDEX('Carta Contemplada'!$C$55:$C$1013,$A301),0)</x:f>
        <x:v>0</x:v>
      </x:c>
      <x:c r="BV301" s="141" t="n">
        <x:f>IF(AND('Carta Contemplada'!$B$22="Sim",Premissas!$B$11="Imovel",Premissas!$B$47="Moradia",$A301&lt;MAX('Carta Contemplada'!$B$44,Premissas!$B$49)),$D301,0)</x:f>
        <x:v>0</x:v>
      </x:c>
      <x:c r="BW301" s="141" t="n">
        <x:f>IF(AND('Carta Contemplada'!$B$22="Sim",Premissas!$B$11="Imovel",Premissas!$B$47="Investimento",$A301&gt;=MAX('Carta Contemplada'!$B$44,Premissas!$B$49)),$E301,0)</x:f>
        <x:v>2591.318170411163</x:v>
      </x:c>
      <x:c r="BX301" s="141" t="n">
        <x:f>BT301+BU301+BV301</x:f>
        <x:v>0</x:v>
      </x:c>
      <x:c r="BY301" s="141" t="n">
        <x:f>BW301</x:f>
        <x:v>2591.318170411163</x:v>
      </x:c>
      <x:c r="BZ301" s="141" t="n">
        <x:f>$C301+BY301-BX301</x:f>
        <x:v>9591.318170411163</x:v>
      </x:c>
      <x:c r="CA301" s="141" t="n">
        <x:f>CD300*(1+Premissas!$B$41)+BZ301</x:f>
        <x:v>11466127.11765461</x:v>
      </x:c>
      <x:c r="CB301" s="141" t="n">
        <x:f>MAX(0,-CA301)</x:f>
        <x:v>0</x:v>
      </x:c>
      <x:c r="CC301" s="141" t="n">
        <x:f>CC300*(1+Premissas!$B$41)+CB301</x:f>
        <x:v>0</x:v>
      </x:c>
      <x:c r="CD301" s="141" t="n">
        <x:f>MAX(0,CA301)</x:f>
        <x:v>11466127.11765461</x:v>
      </x:c>
      <x:c r="CE301" s="141" t="n">
        <x:f>IF(AND('Carta Contemplada'!$B$22="Sim",$A301&gt;='Carta Contemplada'!$B$23),INDEX('Carta Contemplada'!$I$55:$I$1013,$A301),0)</x:f>
        <x:v>0</x:v>
      </x:c>
      <x:c r="CF301" s="141" t="n">
        <x:f>IF(AND('Carta Contemplada'!$B$22="Sim",$A301&gt;='Carta Contemplada'!$B$44),$F301,0)</x:f>
        <x:v>841862.8376107744</x:v>
      </x:c>
      <x:c r="CG301" s="141" t="n">
        <x:f>CD301+CF301-CE301</x:f>
        <x:v>12307989.955265384</x:v>
      </x:c>
      <x:c r="CH301" s="141" t="n">
        <x:f>IF(CC301&gt;1,"Inviavel",CG301)</x:f>
        <x:v>12307989.955265384</x:v>
      </x:c>
      <x:c r="CI301" s="145" t="str">
        <x:f>IF(CC301&gt;1,"Inviavel","OK")</x:f>
        <x:v>OK</x:v>
      </x:c>
    </x:row>
    <x:row r="302">
      <x:c r="A302" s="142" t="n">
        <x:v>298</x:v>
      </x:c>
      <x:c r="B302" s="179" t="n">
        <x:f>EDATE(Premissas!$B$4,A302-1)</x:f>
        <x:v>55579</x:v>
      </x:c>
      <x:c r="C302" s="141" t="n">
        <x:f>IF(A302&lt;=Premissas!$B$39,Premissas!$B$42,0)</x:f>
        <x:v>7000</x:v>
      </x:c>
      <x:c r="D302" s="141" t="n">
        <x:f>Premissas!$B$54*(1+Premissas!$B$57)^INT((A302-1)/12)</x:f>
        <x:v>2834.254248887209</x:v>
      </x:c>
      <x:c r="E302" s="141" t="n">
        <x:f>Premissas!$B$64*(1+Premissas!$B$57)^INT((A302-1)/12)</x:f>
        <x:v>2591.318170411163</x:v>
      </x:c>
      <x:c r="F302" s="141" t="n">
        <x:f>MAX(0,Premissas!$B$6*(1+Premissas!$B$66)^((A302-1)/12))</x:f>
        <x:v>845960.647541928</x:v>
      </x:c>
      <x:c r="G302" s="141" t="n">
        <x:f>G301*(1+Premissas!$B$41)+C302</x:f>
        <x:v>13056055.544999143</x:v>
      </x:c>
      <x:c r="H302" s="141" t="n">
        <x:f>IF($A302=Premissas!$B$48,Premissas!$B$8,0)</x:f>
        <x:v>0</x:v>
      </x:c>
      <x:c r="I302" s="141" t="n">
        <x:f>IF(AND($A302&gt;=Premissas!$B$48,$A302-Premissas!$B$48+1&lt;=Premissas!$B$13),INDEX(Financiamento!$J$6:$J$485,$A302-Premissas!$B$48+1),0)</x:f>
        <x:v>975.5701070299878</x:v>
      </x:c>
      <x:c r="J302" s="141" t="n">
        <x:f>IF(AND(TRUE,Premissas!$B$11="Imovel",Premissas!$B$47="Moradia",$A302&lt;MAX(Premissas!$B$48,Premissas!$B$49)),$D302,0)</x:f>
        <x:v>0</x:v>
      </x:c>
      <x:c r="K302" s="141" t="n">
        <x:f>IF(AND(TRUE,Premissas!$B$11="Imovel",Premissas!$B$47="Investimento",$A302&gt;=MAX(Premissas!$B$48,Premissas!$B$49)),$E302,0)</x:f>
        <x:v>2591.318170411163</x:v>
      </x:c>
      <x:c r="L302" s="141" t="n">
        <x:f>H302+I302+J302</x:f>
        <x:v>975.5701070299878</x:v>
      </x:c>
      <x:c r="M302" s="141" t="n">
        <x:f>K302</x:f>
        <x:v>2591.318170411163</x:v>
      </x:c>
      <x:c r="N302" s="141" t="n">
        <x:f>$C302+M302-L302</x:f>
        <x:v>8615.748063381176</x:v>
      </x:c>
      <x:c r="O302" s="141" t="n">
        <x:f>R301*(1+Premissas!$B$41)+N302</x:f>
        <x:v>11201604.211492196</x:v>
      </x:c>
      <x:c r="P302" s="141" t="n">
        <x:f>MAX(0,-O302)</x:f>
        <x:v>0</x:v>
      </x:c>
      <x:c r="Q302" s="141" t="n">
        <x:f>Q301*(1+Premissas!$B$41)+P302</x:f>
        <x:v>0</x:v>
      </x:c>
      <x:c r="R302" s="141" t="n">
        <x:f>MAX(0,O302)</x:f>
        <x:v>11201604.211492196</x:v>
      </x:c>
      <x:c r="S302" s="141" t="n">
        <x:f>IF(AND($A302&gt;=Premissas!$B$48,$A302-Premissas!$B$48+1&lt;=Premissas!$B$13),INDEX(Financiamento!$M$6:$M$485,$A302-Premissas!$B$48+1),0)</x:f>
        <x:v>46476.190476190546</x:v>
      </x:c>
      <x:c r="T302" s="141" t="n">
        <x:f>IF($A302&gt;=Premissas!$B$48,$F302,0)</x:f>
        <x:v>845960.647541928</x:v>
      </x:c>
      <x:c r="U302" s="141" t="n">
        <x:f>R302+T302-S302</x:f>
        <x:v>12001088.668557933</x:v>
      </x:c>
      <x:c r="V302" s="141" t="n">
        <x:f>IF(Q302&gt;1,"Inviavel",U302)</x:f>
        <x:v>12001088.668557933</x:v>
      </x:c>
      <x:c r="W302" s="141" t="str">
        <x:f>IF(Q302&gt;1,"Inviavel","OK")</x:f>
        <x:v>OK</x:v>
      </x:c>
      <x:c r="X302" s="141" t="n">
        <x:f>IF($A302=Premissas!$B$48,Premissas!$B$8,0)</x:f>
        <x:v>0</x:v>
      </x:c>
      <x:c r="Y302" s="141" t="n">
        <x:f>IF(AND($A302&gt;=Premissas!$B$48,$A302-Premissas!$B$48+1&lt;=Premissas!$B$13),INDEX(Amortizacao!$K$6:$K$485,$A302-Premissas!$B$48+1),0)</x:f>
        <x:v>0</x:v>
      </x:c>
      <x:c r="Z302" s="141" t="n">
        <x:f>IF(AND(TRUE,Premissas!$B$11="Imovel",Premissas!$B$47="Moradia",$A302&lt;MAX(Premissas!$B$48,Premissas!$B$49)),$D302,0)</x:f>
        <x:v>0</x:v>
      </x:c>
      <x:c r="AA302" s="141" t="n">
        <x:f>IF(AND(TRUE,Premissas!$B$11="Imovel",Premissas!$B$47="Investimento",$A302&gt;=MAX(Premissas!$B$48,Premissas!$B$49)),$E302,0)</x:f>
        <x:v>2591.318170411163</x:v>
      </x:c>
      <x:c r="AB302" s="141" t="n">
        <x:f>X302+Y302+Z302</x:f>
        <x:v>0</x:v>
      </x:c>
      <x:c r="AC302" s="141" t="n">
        <x:f>AA302</x:f>
        <x:v>2591.318170411163</x:v>
      </x:c>
      <x:c r="AD302" s="141" t="n">
        <x:f>$C302+AC302-AB302</x:f>
        <x:v>9591.318170411163</x:v>
      </x:c>
      <x:c r="AE302" s="141" t="n">
        <x:f>AH301*(1+Premissas!$B$41)+AD302</x:f>
        <x:v>11343675.855412755</x:v>
      </x:c>
      <x:c r="AF302" s="141" t="n">
        <x:f>MAX(0,-AE302)</x:f>
        <x:v>0</x:v>
      </x:c>
      <x:c r="AG302" s="141" t="n">
        <x:f>AG301*(1+Premissas!$B$41)+AF302</x:f>
        <x:v>0</x:v>
      </x:c>
      <x:c r="AH302" s="141" t="n">
        <x:f>MAX(0,AE302)</x:f>
        <x:v>11343675.855412755</x:v>
      </x:c>
      <x:c r="AI302" s="141" t="n">
        <x:f>IF(AND($A302&gt;=Premissas!$B$48,$A302-Premissas!$B$48+1&lt;=Premissas!$B$13),INDEX(Amortizacao!$L$6:$L$485,$A302-Premissas!$B$48+1),0)</x:f>
        <x:v>0</x:v>
      </x:c>
      <x:c r="AJ302" s="141" t="n">
        <x:f>IF($A302&gt;=Premissas!$B$48,$F302,0)</x:f>
        <x:v>845960.647541928</x:v>
      </x:c>
      <x:c r="AK302" s="141" t="n">
        <x:f>AH302+AJ302-AI302</x:f>
        <x:v>12189636.502954682</x:v>
      </x:c>
      <x:c r="AL302" s="141" t="n">
        <x:f>IF(AG302&gt;1,"Inviavel",AK302)</x:f>
        <x:v>12189636.502954682</x:v>
      </x:c>
      <x:c r="AM302" s="141" t="str">
        <x:f>IF(AG302&gt;1,"Inviavel","OK")</x:f>
        <x:v>OK</x:v>
      </x:c>
      <x:c r="AN302" s="141" t="n">
        <x:f>IF($A302=Premissas!$B$48,Premissas!$B$8,0)</x:f>
        <x:v>0</x:v>
      </x:c>
      <x:c r="AO302" s="141" t="n">
        <x:f>IF($A302&lt;=Premissas!$B$25,INDEX('Consorcio IQ'!$K$6:$K$485,$A302),0)</x:f>
        <x:v>0</x:v>
      </x:c>
      <x:c r="AP302" s="141" t="n">
        <x:f>IF(AND(TRUE,Premissas!$B$11="Imovel",Premissas!$B$47="Moradia",$A302&lt;MAX(Premissas!$B$48,Premissas!$B$49)),$D302,0)</x:f>
        <x:v>0</x:v>
      </x:c>
      <x:c r="AQ302" s="141" t="n">
        <x:f>IF(AND(TRUE,Premissas!$B$11="Imovel",Premissas!$B$47="Investimento",$A302&gt;=MAX(Premissas!$B$48,Premissas!$B$49)),$E302,0)</x:f>
        <x:v>2591.318170411163</x:v>
      </x:c>
      <x:c r="AR302" s="141" t="n">
        <x:f>AN302+AO302+AP302</x:f>
        <x:v>0</x:v>
      </x:c>
      <x:c r="AS302" s="141" t="n">
        <x:f>AQ302</x:f>
        <x:v>2591.318170411163</x:v>
      </x:c>
      <x:c r="AT302" s="141" t="n">
        <x:f>$C302+AS302-AR302</x:f>
        <x:v>9591.318170411163</x:v>
      </x:c>
      <x:c r="AU302" s="141" t="n">
        <x:f>AX301*(1+Premissas!$B$41)+AT302</x:f>
        <x:v>11248172.193749316</x:v>
      </x:c>
      <x:c r="AV302" s="141" t="n">
        <x:f>MAX(0,-AU302)</x:f>
        <x:v>0</x:v>
      </x:c>
      <x:c r="AW302" s="141" t="n">
        <x:f>AW301*(1+Premissas!$B$41)+AV302</x:f>
        <x:v>0</x:v>
      </x:c>
      <x:c r="AX302" s="141" t="n">
        <x:f>MAX(0,AU302)</x:f>
        <x:v>11248172.193749316</x:v>
      </x:c>
      <x:c r="AY302" s="141" t="n">
        <x:f>INDEX('Consorcio IQ'!$P$6:$P$485,$A302)</x:f>
        <x:v>0</x:v>
      </x:c>
      <x:c r="AZ302" s="141" t="n">
        <x:f>IF($A302&gt;=Premissas!$B$48,$F302,0)+IF($A302&lt;Premissas!$B$27,INDEX('Consorcio IQ'!$O$6:$O$485,$A302),0)</x:f>
        <x:v>845960.647541928</x:v>
      </x:c>
      <x:c r="BA302" s="141" t="n">
        <x:f>AX302+AZ302-AY302</x:f>
        <x:v>12094132.841291243</x:v>
      </x:c>
      <x:c r="BB302" s="141" t="n">
        <x:f>IF(AW302&gt;1,"Inviavel",BA302)</x:f>
        <x:v>12094132.841291243</x:v>
      </x:c>
      <x:c r="BC302" s="141" t="str">
        <x:f>IF(AW302&gt;1,"Inviavel","OK")</x:f>
        <x:v>OK</x:v>
      </x:c>
      <x:c r="BD302" s="141" t="n">
        <x:f>IF($A302='Consorcio Direto'!$B$29,'Consorcio Direto'!$B$44,0)</x:f>
        <x:v>0</x:v>
      </x:c>
      <x:c r="BE302" s="141" t="n">
        <x:f>IF($A302&lt;='Consorcio Direto'!$B$27,INDEX('Consorcio Direto'!$E$55:$E$534,$A302),0)</x:f>
        <x:v>0</x:v>
      </x:c>
      <x:c r="BF302" s="141" t="n">
        <x:f>IF(AND(TRUE,Premissas!$B$11="Imovel",Premissas!$B$47="Moradia",$A302&lt;MAX('Consorcio Direto'!$B$29,Premissas!$B$49)),$D302,0)</x:f>
        <x:v>0</x:v>
      </x:c>
      <x:c r="BG302" s="141" t="n">
        <x:f>IF(AND(TRUE,Premissas!$B$11="Imovel",Premissas!$B$47="Investimento",$A302&gt;=MAX('Consorcio Direto'!$B$29,Premissas!$B$49)),$E302,0)</x:f>
        <x:v>2591.318170411163</x:v>
      </x:c>
      <x:c r="BH302" s="141" t="n">
        <x:f>BD302+BE302+BF302</x:f>
        <x:v>0</x:v>
      </x:c>
      <x:c r="BI302" s="141" t="n">
        <x:f>BG302</x:f>
        <x:v>2591.318170411163</x:v>
      </x:c>
      <x:c r="BJ302" s="141" t="n">
        <x:f>$C302+BI302-BH302</x:f>
        <x:v>9591.318170411163</x:v>
      </x:c>
      <x:c r="BK302" s="141" t="n">
        <x:f>BN301*(1+Premissas!$B$41)+BJ302</x:f>
        <x:v>10732033.219882242</x:v>
      </x:c>
      <x:c r="BL302" s="141" t="n">
        <x:f>MAX(0,-BK302)</x:f>
        <x:v>0</x:v>
      </x:c>
      <x:c r="BM302" s="141" t="n">
        <x:f>BM301*(1+Premissas!$B$41)+BL302</x:f>
        <x:v>0</x:v>
      </x:c>
      <x:c r="BN302" s="141" t="n">
        <x:f>MAX(0,BK302)</x:f>
        <x:v>10732033.219882242</x:v>
      </x:c>
      <x:c r="BO302" s="141" t="n">
        <x:f>INDEX('Consorcio Direto'!$K$55:$K$534,$A302)</x:f>
        <x:v>0</x:v>
      </x:c>
      <x:c r="BP302" s="141" t="n">
        <x:f>IF($A302&lt;'Consorcio Direto'!$B$29,INDEX('Consorcio Direto'!$L$55:$L$534,$A302),$F302)</x:f>
        <x:v>845960.647541928</x:v>
      </x:c>
      <x:c r="BQ302" s="141" t="n">
        <x:f>BN302+BP302-BO302</x:f>
        <x:v>11577993.86742417</x:v>
      </x:c>
      <x:c r="BR302" s="141" t="n">
        <x:f>IF(BM302&gt;1,"Inviavel",BQ302)</x:f>
        <x:v>11577993.86742417</x:v>
      </x:c>
      <x:c r="BS302" s="141" t="str">
        <x:f>IF(BM302&gt;1,"Inviavel","OK")</x:f>
        <x:v>OK</x:v>
      </x:c>
      <x:c r="BT302" s="141" t="n">
        <x:f>IF(AND('Carta Contemplada'!$B$22="Sim",$A302='Carta Contemplada'!$B$23),'Carta Contemplada'!$B$37,0)</x:f>
        <x:v>0</x:v>
      </x:c>
      <x:c r="BU302" s="141" t="n">
        <x:f>IF('Carta Contemplada'!$B$22="Sim",INDEX('Carta Contemplada'!$C$55:$C$1013,$A302),0)</x:f>
        <x:v>0</x:v>
      </x:c>
      <x:c r="BV302" s="141" t="n">
        <x:f>IF(AND('Carta Contemplada'!$B$22="Sim",Premissas!$B$11="Imovel",Premissas!$B$47="Moradia",$A302&lt;MAX('Carta Contemplada'!$B$44,Premissas!$B$49)),$D302,0)</x:f>
        <x:v>0</x:v>
      </x:c>
      <x:c r="BW302" s="141" t="n">
        <x:f>IF(AND('Carta Contemplada'!$B$22="Sim",Premissas!$B$11="Imovel",Premissas!$B$47="Investimento",$A302&gt;=MAX('Carta Contemplada'!$B$44,Premissas!$B$49)),$E302,0)</x:f>
        <x:v>2591.318170411163</x:v>
      </x:c>
      <x:c r="BX302" s="141" t="n">
        <x:f>BT302+BU302+BV302</x:f>
        <x:v>0</x:v>
      </x:c>
      <x:c r="BY302" s="141" t="n">
        <x:f>BW302</x:f>
        <x:v>2591.318170411163</x:v>
      </x:c>
      <x:c r="BZ302" s="141" t="n">
        <x:f>$C302+BY302-BX302</x:f>
        <x:v>9591.318170411163</x:v>
      </x:c>
      <x:c r="CA302" s="141" t="n">
        <x:f>CD301*(1+Premissas!$B$41)+BZ302</x:f>
        <x:v>11584518.141806055</x:v>
      </x:c>
      <x:c r="CB302" s="141" t="n">
        <x:f>MAX(0,-CA302)</x:f>
        <x:v>0</x:v>
      </x:c>
      <x:c r="CC302" s="141" t="n">
        <x:f>CC301*(1+Premissas!$B$41)+CB302</x:f>
        <x:v>0</x:v>
      </x:c>
      <x:c r="CD302" s="141" t="n">
        <x:f>MAX(0,CA302)</x:f>
        <x:v>11584518.141806055</x:v>
      </x:c>
      <x:c r="CE302" s="141" t="n">
        <x:f>IF(AND('Carta Contemplada'!$B$22="Sim",$A302&gt;='Carta Contemplada'!$B$23),INDEX('Carta Contemplada'!$I$55:$I$1013,$A302),0)</x:f>
        <x:v>0</x:v>
      </x:c>
      <x:c r="CF302" s="141" t="n">
        <x:f>IF(AND('Carta Contemplada'!$B$22="Sim",$A302&gt;='Carta Contemplada'!$B$44),$F302,0)</x:f>
        <x:v>845960.647541928</x:v>
      </x:c>
      <x:c r="CG302" s="141" t="n">
        <x:f>CD302+CF302-CE302</x:f>
        <x:v>12430478.789347982</x:v>
      </x:c>
      <x:c r="CH302" s="141" t="n">
        <x:f>IF(CC302&gt;1,"Inviavel",CG302)</x:f>
        <x:v>12430478.789347982</x:v>
      </x:c>
      <x:c r="CI302" s="145" t="str">
        <x:f>IF(CC302&gt;1,"Inviavel","OK")</x:f>
        <x:v>OK</x:v>
      </x:c>
    </x:row>
    <x:row r="303">
      <x:c r="A303" s="142" t="n">
        <x:v>299</x:v>
      </x:c>
      <x:c r="B303" s="179" t="n">
        <x:f>EDATE(Premissas!$B$4,A303-1)</x:f>
        <x:v>55610</x:v>
      </x:c>
      <x:c r="C303" s="141" t="n">
        <x:f>IF(A303&lt;=Premissas!$B$39,Premissas!$B$42,0)</x:f>
        <x:v>7000</x:v>
      </x:c>
      <x:c r="D303" s="141" t="n">
        <x:f>Premissas!$B$54*(1+Premissas!$B$57)^INT((A303-1)/12)</x:f>
        <x:v>2834.254248887209</x:v>
      </x:c>
      <x:c r="E303" s="141" t="n">
        <x:f>Premissas!$B$64*(1+Premissas!$B$57)^INT((A303-1)/12)</x:f>
        <x:v>2591.318170411163</x:v>
      </x:c>
      <x:c r="F303" s="141" t="n">
        <x:f>MAX(0,Premissas!$B$6*(1+Premissas!$B$66)^((A303-1)/12))</x:f>
        <x:v>850078.4037701287</x:v>
      </x:c>
      <x:c r="G303" s="141" t="n">
        <x:f>G302*(1+Premissas!$B$41)+C303</x:f>
        <x:v>13186941.752608055</x:v>
      </x:c>
      <x:c r="H303" s="141" t="n">
        <x:f>IF($A303=Premissas!$B$48,Premissas!$B$8,0)</x:f>
        <x:v>0</x:v>
      </x:c>
      <x:c r="I303" s="141" t="n">
        <x:f>IF(AND($A303&gt;=Premissas!$B$48,$A303-Premissas!$B$48+1&lt;=Premissas!$B$13),INDEX(Financiamento!$J$6:$J$485,$A303-Premissas!$B$48+1),0)</x:f>
        <x:v>971.9553287691942</x:v>
      </x:c>
      <x:c r="J303" s="141" t="n">
        <x:f>IF(AND(TRUE,Premissas!$B$11="Imovel",Premissas!$B$47="Moradia",$A303&lt;MAX(Premissas!$B$48,Premissas!$B$49)),$D303,0)</x:f>
        <x:v>0</x:v>
      </x:c>
      <x:c r="K303" s="141" t="n">
        <x:f>IF(AND(TRUE,Premissas!$B$11="Imovel",Premissas!$B$47="Investimento",$A303&gt;=MAX(Premissas!$B$48,Premissas!$B$49)),$E303,0)</x:f>
        <x:v>2591.318170411163</x:v>
      </x:c>
      <x:c r="L303" s="141" t="n">
        <x:f>H303+I303+J303</x:f>
        <x:v>971.9553287691942</x:v>
      </x:c>
      <x:c r="M303" s="141" t="n">
        <x:f>K303</x:f>
        <x:v>2591.318170411163</x:v>
      </x:c>
      <x:c r="N303" s="141" t="n">
        <x:f>$C303+M303-L303</x:f>
        <x:v>8619.362841641969</x:v>
      </x:c>
      <x:c r="O303" s="141" t="n">
        <x:f>R302*(1+Premissas!$B$41)+N303</x:f>
        <x:v>11316513.27723184</x:v>
      </x:c>
      <x:c r="P303" s="141" t="n">
        <x:f>MAX(0,-O303)</x:f>
        <x:v>0</x:v>
      </x:c>
      <x:c r="Q303" s="141" t="n">
        <x:f>Q302*(1+Premissas!$B$41)+P303</x:f>
        <x:v>0</x:v>
      </x:c>
      <x:c r="R303" s="141" t="n">
        <x:f>MAX(0,O303)</x:f>
        <x:v>11316513.27723184</x:v>
      </x:c>
      <x:c r="S303" s="141" t="n">
        <x:f>IF(AND($A303&gt;=Premissas!$B$48,$A303-Premissas!$B$48+1&lt;=Premissas!$B$13),INDEX(Financiamento!$M$6:$M$485,$A303-Premissas!$B$48+1),0)</x:f>
        <x:v>46095.238095238165</x:v>
      </x:c>
      <x:c r="T303" s="141" t="n">
        <x:f>IF($A303&gt;=Premissas!$B$48,$F303,0)</x:f>
        <x:v>850078.4037701287</x:v>
      </x:c>
      <x:c r="U303" s="141" t="n">
        <x:f>R303+T303-S303</x:f>
        <x:v>12120496.44290673</x:v>
      </x:c>
      <x:c r="V303" s="141" t="n">
        <x:f>IF(Q303&gt;1,"Inviavel",U303)</x:f>
        <x:v>12120496.44290673</x:v>
      </x:c>
      <x:c r="W303" s="141" t="str">
        <x:f>IF(Q303&gt;1,"Inviavel","OK")</x:f>
        <x:v>OK</x:v>
      </x:c>
      <x:c r="X303" s="141" t="n">
        <x:f>IF($A303=Premissas!$B$48,Premissas!$B$8,0)</x:f>
        <x:v>0</x:v>
      </x:c>
      <x:c r="Y303" s="141" t="n">
        <x:f>IF(AND($A303&gt;=Premissas!$B$48,$A303-Premissas!$B$48+1&lt;=Premissas!$B$13),INDEX(Amortizacao!$K$6:$K$485,$A303-Premissas!$B$48+1),0)</x:f>
        <x:v>0</x:v>
      </x:c>
      <x:c r="Z303" s="141" t="n">
        <x:f>IF(AND(TRUE,Premissas!$B$11="Imovel",Premissas!$B$47="Moradia",$A303&lt;MAX(Premissas!$B$48,Premissas!$B$49)),$D303,0)</x:f>
        <x:v>0</x:v>
      </x:c>
      <x:c r="AA303" s="141" t="n">
        <x:f>IF(AND(TRUE,Premissas!$B$11="Imovel",Premissas!$B$47="Investimento",$A303&gt;=MAX(Premissas!$B$48,Premissas!$B$49)),$E303,0)</x:f>
        <x:v>2591.318170411163</x:v>
      </x:c>
      <x:c r="AB303" s="141" t="n">
        <x:f>X303+Y303+Z303</x:f>
        <x:v>0</x:v>
      </x:c>
      <x:c r="AC303" s="141" t="n">
        <x:f>AA303</x:f>
        <x:v>2591.318170411163</x:v>
      </x:c>
      <x:c r="AD303" s="141" t="n">
        <x:f>$C303+AC303-AB303</x:f>
        <x:v>9591.318170411163</x:v>
      </x:c>
      <x:c r="AE303" s="141" t="n">
        <x:f>AH302*(1+Premissas!$B$41)+AD303</x:f>
        <x:v>11460904.964892207</x:v>
      </x:c>
      <x:c r="AF303" s="141" t="n">
        <x:f>MAX(0,-AE303)</x:f>
        <x:v>0</x:v>
      </x:c>
      <x:c r="AG303" s="141" t="n">
        <x:f>AG302*(1+Premissas!$B$41)+AF303</x:f>
        <x:v>0</x:v>
      </x:c>
      <x:c r="AH303" s="141" t="n">
        <x:f>MAX(0,AE303)</x:f>
        <x:v>11460904.964892207</x:v>
      </x:c>
      <x:c r="AI303" s="141" t="n">
        <x:f>IF(AND($A303&gt;=Premissas!$B$48,$A303-Premissas!$B$48+1&lt;=Premissas!$B$13),INDEX(Amortizacao!$L$6:$L$485,$A303-Premissas!$B$48+1),0)</x:f>
        <x:v>0</x:v>
      </x:c>
      <x:c r="AJ303" s="141" t="n">
        <x:f>IF($A303&gt;=Premissas!$B$48,$F303,0)</x:f>
        <x:v>850078.4037701287</x:v>
      </x:c>
      <x:c r="AK303" s="141" t="n">
        <x:f>AH303+AJ303-AI303</x:f>
        <x:v>12310983.368662335</x:v>
      </x:c>
      <x:c r="AL303" s="141" t="n">
        <x:f>IF(AG303&gt;1,"Inviavel",AK303)</x:f>
        <x:v>12310983.368662335</x:v>
      </x:c>
      <x:c r="AM303" s="141" t="str">
        <x:f>IF(AG303&gt;1,"Inviavel","OK")</x:f>
        <x:v>OK</x:v>
      </x:c>
      <x:c r="AN303" s="141" t="n">
        <x:f>IF($A303=Premissas!$B$48,Premissas!$B$8,0)</x:f>
        <x:v>0</x:v>
      </x:c>
      <x:c r="AO303" s="141" t="n">
        <x:f>IF($A303&lt;=Premissas!$B$25,INDEX('Consorcio IQ'!$K$6:$K$485,$A303),0)</x:f>
        <x:v>0</x:v>
      </x:c>
      <x:c r="AP303" s="141" t="n">
        <x:f>IF(AND(TRUE,Premissas!$B$11="Imovel",Premissas!$B$47="Moradia",$A303&lt;MAX(Premissas!$B$48,Premissas!$B$49)),$D303,0)</x:f>
        <x:v>0</x:v>
      </x:c>
      <x:c r="AQ303" s="141" t="n">
        <x:f>IF(AND(TRUE,Premissas!$B$11="Imovel",Premissas!$B$47="Investimento",$A303&gt;=MAX(Premissas!$B$48,Premissas!$B$49)),$E303,0)</x:f>
        <x:v>2591.318170411163</x:v>
      </x:c>
      <x:c r="AR303" s="141" t="n">
        <x:f>AN303+AO303+AP303</x:f>
        <x:v>0</x:v>
      </x:c>
      <x:c r="AS303" s="141" t="n">
        <x:f>AQ303</x:f>
        <x:v>2591.318170411163</x:v>
      </x:c>
      <x:c r="AT303" s="141" t="n">
        <x:f>$C303+AS303-AR303</x:f>
        <x:v>9591.318170411163</x:v>
      </x:c>
      <x:c r="AU303" s="141" t="n">
        <x:f>AX302*(1+Premissas!$B$41)+AT303</x:f>
        <x:v>11364495.08875875</x:v>
      </x:c>
      <x:c r="AV303" s="141" t="n">
        <x:f>MAX(0,-AU303)</x:f>
        <x:v>0</x:v>
      </x:c>
      <x:c r="AW303" s="141" t="n">
        <x:f>AW302*(1+Premissas!$B$41)+AV303</x:f>
        <x:v>0</x:v>
      </x:c>
      <x:c r="AX303" s="141" t="n">
        <x:f>MAX(0,AU303)</x:f>
        <x:v>11364495.08875875</x:v>
      </x:c>
      <x:c r="AY303" s="141" t="n">
        <x:f>INDEX('Consorcio IQ'!$P$6:$P$485,$A303)</x:f>
        <x:v>0</x:v>
      </x:c>
      <x:c r="AZ303" s="141" t="n">
        <x:f>IF($A303&gt;=Premissas!$B$48,$F303,0)+IF($A303&lt;Premissas!$B$27,INDEX('Consorcio IQ'!$O$6:$O$485,$A303),0)</x:f>
        <x:v>850078.4037701287</x:v>
      </x:c>
      <x:c r="BA303" s="141" t="n">
        <x:f>AX303+AZ303-AY303</x:f>
        <x:v>12214573.492528878</x:v>
      </x:c>
      <x:c r="BB303" s="141" t="n">
        <x:f>IF(AW303&gt;1,"Inviavel",BA303)</x:f>
        <x:v>12214573.492528878</x:v>
      </x:c>
      <x:c r="BC303" s="141" t="str">
        <x:f>IF(AW303&gt;1,"Inviavel","OK")</x:f>
        <x:v>OK</x:v>
      </x:c>
      <x:c r="BD303" s="141" t="n">
        <x:f>IF($A303='Consorcio Direto'!$B$29,'Consorcio Direto'!$B$44,0)</x:f>
        <x:v>0</x:v>
      </x:c>
      <x:c r="BE303" s="141" t="n">
        <x:f>IF($A303&lt;='Consorcio Direto'!$B$27,INDEX('Consorcio Direto'!$E$55:$E$534,$A303),0)</x:f>
        <x:v>0</x:v>
      </x:c>
      <x:c r="BF303" s="141" t="n">
        <x:f>IF(AND(TRUE,Premissas!$B$11="Imovel",Premissas!$B$47="Moradia",$A303&lt;MAX('Consorcio Direto'!$B$29,Premissas!$B$49)),$D303,0)</x:f>
        <x:v>0</x:v>
      </x:c>
      <x:c r="BG303" s="141" t="n">
        <x:f>IF(AND(TRUE,Premissas!$B$11="Imovel",Premissas!$B$47="Investimento",$A303&gt;=MAX('Consorcio Direto'!$B$29,Premissas!$B$49)),$E303,0)</x:f>
        <x:v>2591.318170411163</x:v>
      </x:c>
      <x:c r="BH303" s="141" t="n">
        <x:f>BD303+BE303+BF303</x:f>
        <x:v>0</x:v>
      </x:c>
      <x:c r="BI303" s="141" t="n">
        <x:f>BG303</x:f>
        <x:v>2591.318170411163</x:v>
      </x:c>
      <x:c r="BJ303" s="141" t="n">
        <x:f>$C303+BI303-BH303</x:f>
        <x:v>9591.318170411163</x:v>
      </x:c>
      <x:c r="BK303" s="141" t="n">
        <x:f>BN302*(1+Premissas!$B$41)+BJ303</x:f>
        <x:v>10843458.579043183</x:v>
      </x:c>
      <x:c r="BL303" s="141" t="n">
        <x:f>MAX(0,-BK303)</x:f>
        <x:v>0</x:v>
      </x:c>
      <x:c r="BM303" s="141" t="n">
        <x:f>BM302*(1+Premissas!$B$41)+BL303</x:f>
        <x:v>0</x:v>
      </x:c>
      <x:c r="BN303" s="141" t="n">
        <x:f>MAX(0,BK303)</x:f>
        <x:v>10843458.579043183</x:v>
      </x:c>
      <x:c r="BO303" s="141" t="n">
        <x:f>INDEX('Consorcio Direto'!$K$55:$K$534,$A303)</x:f>
        <x:v>0</x:v>
      </x:c>
      <x:c r="BP303" s="141" t="n">
        <x:f>IF($A303&lt;'Consorcio Direto'!$B$29,INDEX('Consorcio Direto'!$L$55:$L$534,$A303),$F303)</x:f>
        <x:v>850078.4037701287</x:v>
      </x:c>
      <x:c r="BQ303" s="141" t="n">
        <x:f>BN303+BP303-BO303</x:f>
        <x:v>11693536.982813312</x:v>
      </x:c>
      <x:c r="BR303" s="141" t="n">
        <x:f>IF(BM303&gt;1,"Inviavel",BQ303)</x:f>
        <x:v>11693536.982813312</x:v>
      </x:c>
      <x:c r="BS303" s="141" t="str">
        <x:f>IF(BM303&gt;1,"Inviavel","OK")</x:f>
        <x:v>OK</x:v>
      </x:c>
      <x:c r="BT303" s="141" t="n">
        <x:f>IF(AND('Carta Contemplada'!$B$22="Sim",$A303='Carta Contemplada'!$B$23),'Carta Contemplada'!$B$37,0)</x:f>
        <x:v>0</x:v>
      </x:c>
      <x:c r="BU303" s="141" t="n">
        <x:f>IF('Carta Contemplada'!$B$22="Sim",INDEX('Carta Contemplada'!$C$55:$C$1013,$A303),0)</x:f>
        <x:v>0</x:v>
      </x:c>
      <x:c r="BV303" s="141" t="n">
        <x:f>IF(AND('Carta Contemplada'!$B$22="Sim",Premissas!$B$11="Imovel",Premissas!$B$47="Moradia",$A303&lt;MAX('Carta Contemplada'!$B$44,Premissas!$B$49)),$D303,0)</x:f>
        <x:v>0</x:v>
      </x:c>
      <x:c r="BW303" s="141" t="n">
        <x:f>IF(AND('Carta Contemplada'!$B$22="Sim",Premissas!$B$11="Imovel",Premissas!$B$47="Investimento",$A303&gt;=MAX('Carta Contemplada'!$B$44,Premissas!$B$49)),$E303,0)</x:f>
        <x:v>2591.318170411163</x:v>
      </x:c>
      <x:c r="BX303" s="141" t="n">
        <x:f>BT303+BU303+BV303</x:f>
        <x:v>0</x:v>
      </x:c>
      <x:c r="BY303" s="141" t="n">
        <x:f>BW303</x:f>
        <x:v>2591.318170411163</x:v>
      </x:c>
      <x:c r="BZ303" s="141" t="n">
        <x:f>$C303+BY303-BX303</x:f>
        <x:v>9591.318170411163</x:v>
      </x:c>
      <x:c r="CA303" s="141" t="n">
        <x:f>CD302*(1+Premissas!$B$41)+BZ303</x:f>
        <x:v>11704032.553870985</x:v>
      </x:c>
      <x:c r="CB303" s="141" t="n">
        <x:f>MAX(0,-CA303)</x:f>
        <x:v>0</x:v>
      </x:c>
      <x:c r="CC303" s="141" t="n">
        <x:f>CC302*(1+Premissas!$B$41)+CB303</x:f>
        <x:v>0</x:v>
      </x:c>
      <x:c r="CD303" s="141" t="n">
        <x:f>MAX(0,CA303)</x:f>
        <x:v>11704032.553870985</x:v>
      </x:c>
      <x:c r="CE303" s="141" t="n">
        <x:f>IF(AND('Carta Contemplada'!$B$22="Sim",$A303&gt;='Carta Contemplada'!$B$23),INDEX('Carta Contemplada'!$I$55:$I$1013,$A303),0)</x:f>
        <x:v>0</x:v>
      </x:c>
      <x:c r="CF303" s="141" t="n">
        <x:f>IF(AND('Carta Contemplada'!$B$22="Sim",$A303&gt;='Carta Contemplada'!$B$44),$F303,0)</x:f>
        <x:v>850078.4037701287</x:v>
      </x:c>
      <x:c r="CG303" s="141" t="n">
        <x:f>CD303+CF303-CE303</x:f>
        <x:v>12554110.957641114</x:v>
      </x:c>
      <x:c r="CH303" s="141" t="n">
        <x:f>IF(CC303&gt;1,"Inviavel",CG303)</x:f>
        <x:v>12554110.957641114</x:v>
      </x:c>
      <x:c r="CI303" s="145" t="str">
        <x:f>IF(CC303&gt;1,"Inviavel","OK")</x:f>
        <x:v>OK</x:v>
      </x:c>
    </x:row>
    <x:row r="304">
      <x:c r="A304" s="142" t="n">
        <x:v>300</x:v>
      </x:c>
      <x:c r="B304" s="179" t="n">
        <x:f>EDATE(Premissas!$B$4,A304-1)</x:f>
        <x:v>55640</x:v>
      </x:c>
      <x:c r="C304" s="141" t="n">
        <x:f>IF(A304&lt;=Premissas!$B$39,Premissas!$B$42,0)</x:f>
        <x:v>7000</x:v>
      </x:c>
      <x:c r="D304" s="141" t="n">
        <x:f>Premissas!$B$54*(1+Premissas!$B$57)^INT((A304-1)/12)</x:f>
        <x:v>2834.254248887209</x:v>
      </x:c>
      <x:c r="E304" s="141" t="n">
        <x:f>Premissas!$B$64*(1+Premissas!$B$57)^INT((A304-1)/12)</x:f>
        <x:v>2591.318170411163</x:v>
      </x:c>
      <x:c r="F304" s="141" t="n">
        <x:f>MAX(0,Premissas!$B$6*(1+Premissas!$B$66)^((A304-1)/12))</x:f>
        <x:v>854216.2033849859</x:v>
      </x:c>
      <x:c r="G304" s="141" t="n">
        <x:f>G303*(1+Premissas!$B$41)+C304</x:f>
        <x:v>13319069.91233896</x:v>
      </x:c>
      <x:c r="H304" s="141" t="n">
        <x:f>IF($A304=Premissas!$B$48,Premissas!$B$8,0)</x:f>
        <x:v>0</x:v>
      </x:c>
      <x:c r="I304" s="141" t="n">
        <x:f>IF(AND($A304&gt;=Premissas!$B$48,$A304-Premissas!$B$48+1&lt;=Premissas!$B$13),INDEX(Financiamento!$J$6:$J$485,$A304-Premissas!$B$48+1),0)</x:f>
        <x:v>968.3405505084006</x:v>
      </x:c>
      <x:c r="J304" s="141" t="n">
        <x:f>IF(AND(TRUE,Premissas!$B$11="Imovel",Premissas!$B$47="Moradia",$A304&lt;MAX(Premissas!$B$48,Premissas!$B$49)),$D304,0)</x:f>
        <x:v>0</x:v>
      </x:c>
      <x:c r="K304" s="141" t="n">
        <x:f>IF(AND(TRUE,Premissas!$B$11="Imovel",Premissas!$B$47="Investimento",$A304&gt;=MAX(Premissas!$B$48,Premissas!$B$49)),$E304,0)</x:f>
        <x:v>2591.318170411163</x:v>
      </x:c>
      <x:c r="L304" s="141" t="n">
        <x:f>H304+I304+J304</x:f>
        <x:v>968.3405505084006</x:v>
      </x:c>
      <x:c r="M304" s="141" t="n">
        <x:f>K304</x:f>
        <x:v>2591.318170411163</x:v>
      </x:c>
      <x:c r="N304" s="141" t="n">
        <x:f>$C304+M304-L304</x:f>
        <x:v>8622.977619902762</x:v>
      </x:c>
      <x:c r="O304" s="141" t="n">
        <x:f>R303*(1+Premissas!$B$41)+N304</x:f>
        <x:v>11432516.306080855</x:v>
      </x:c>
      <x:c r="P304" s="141" t="n">
        <x:f>MAX(0,-O304)</x:f>
        <x:v>0</x:v>
      </x:c>
      <x:c r="Q304" s="141" t="n">
        <x:f>Q303*(1+Premissas!$B$41)+P304</x:f>
        <x:v>0</x:v>
      </x:c>
      <x:c r="R304" s="141" t="n">
        <x:f>MAX(0,O304)</x:f>
        <x:v>11432516.306080855</x:v>
      </x:c>
      <x:c r="S304" s="141" t="n">
        <x:f>IF(AND($A304&gt;=Premissas!$B$48,$A304-Premissas!$B$48+1&lt;=Premissas!$B$13),INDEX(Financiamento!$M$6:$M$485,$A304-Premissas!$B$48+1),0)</x:f>
        <x:v>45714.28571428578</x:v>
      </x:c>
      <x:c r="T304" s="141" t="n">
        <x:f>IF($A304&gt;=Premissas!$B$48,$F304,0)</x:f>
        <x:v>854216.2033849859</x:v>
      </x:c>
      <x:c r="U304" s="141" t="n">
        <x:f>R304+T304-S304</x:f>
        <x:v>12241018.223751556</x:v>
      </x:c>
      <x:c r="V304" s="141" t="n">
        <x:f>IF(Q304&gt;1,"Inviavel",U304)</x:f>
        <x:v>12241018.223751556</x:v>
      </x:c>
      <x:c r="W304" s="141" t="str">
        <x:f>IF(Q304&gt;1,"Inviavel","OK")</x:f>
        <x:v>OK</x:v>
      </x:c>
      <x:c r="X304" s="141" t="n">
        <x:f>IF($A304=Premissas!$B$48,Premissas!$B$8,0)</x:f>
        <x:v>0</x:v>
      </x:c>
      <x:c r="Y304" s="141" t="n">
        <x:f>IF(AND($A304&gt;=Premissas!$B$48,$A304-Premissas!$B$48+1&lt;=Premissas!$B$13),INDEX(Amortizacao!$K$6:$K$485,$A304-Premissas!$B$48+1),0)</x:f>
        <x:v>0</x:v>
      </x:c>
      <x:c r="Z304" s="141" t="n">
        <x:f>IF(AND(TRUE,Premissas!$B$11="Imovel",Premissas!$B$47="Moradia",$A304&lt;MAX(Premissas!$B$48,Premissas!$B$49)),$D304,0)</x:f>
        <x:v>0</x:v>
      </x:c>
      <x:c r="AA304" s="141" t="n">
        <x:f>IF(AND(TRUE,Premissas!$B$11="Imovel",Premissas!$B$47="Investimento",$A304&gt;=MAX(Premissas!$B$48,Premissas!$B$49)),$E304,0)</x:f>
        <x:v>2591.318170411163</x:v>
      </x:c>
      <x:c r="AB304" s="141" t="n">
        <x:f>X304+Y304+Z304</x:f>
        <x:v>0</x:v>
      </x:c>
      <x:c r="AC304" s="141" t="n">
        <x:f>AA304</x:f>
        <x:v>2591.318170411163</x:v>
      </x:c>
      <x:c r="AD304" s="141" t="n">
        <x:f>$C304+AC304-AB304</x:f>
        <x:v>9591.318170411163</x:v>
      </x:c>
      <x:c r="AE304" s="141" t="n">
        <x:f>AH303*(1+Premissas!$B$41)+AD304</x:f>
        <x:v>11579246.437117415</x:v>
      </x:c>
      <x:c r="AF304" s="141" t="n">
        <x:f>MAX(0,-AE304)</x:f>
        <x:v>0</x:v>
      </x:c>
      <x:c r="AG304" s="141" t="n">
        <x:f>AG303*(1+Premissas!$B$41)+AF304</x:f>
        <x:v>0</x:v>
      </x:c>
      <x:c r="AH304" s="141" t="n">
        <x:f>MAX(0,AE304)</x:f>
        <x:v>11579246.437117415</x:v>
      </x:c>
      <x:c r="AI304" s="141" t="n">
        <x:f>IF(AND($A304&gt;=Premissas!$B$48,$A304-Premissas!$B$48+1&lt;=Premissas!$B$13),INDEX(Amortizacao!$L$6:$L$485,$A304-Premissas!$B$48+1),0)</x:f>
        <x:v>0</x:v>
      </x:c>
      <x:c r="AJ304" s="141" t="n">
        <x:f>IF($A304&gt;=Premissas!$B$48,$F304,0)</x:f>
        <x:v>854216.2033849859</x:v>
      </x:c>
      <x:c r="AK304" s="141" t="n">
        <x:f>AH304+AJ304-AI304</x:f>
        <x:v>12433462.6405024</x:v>
      </x:c>
      <x:c r="AL304" s="141" t="n">
        <x:f>IF(AG304&gt;1,"Inviavel",AK304)</x:f>
        <x:v>12433462.6405024</x:v>
      </x:c>
      <x:c r="AM304" s="141" t="str">
        <x:f>IF(AG304&gt;1,"Inviavel","OK")</x:f>
        <x:v>OK</x:v>
      </x:c>
      <x:c r="AN304" s="141" t="n">
        <x:f>IF($A304=Premissas!$B$48,Premissas!$B$8,0)</x:f>
        <x:v>0</x:v>
      </x:c>
      <x:c r="AO304" s="141" t="n">
        <x:f>IF($A304&lt;=Premissas!$B$25,INDEX('Consorcio IQ'!$K$6:$K$485,$A304),0)</x:f>
        <x:v>0</x:v>
      </x:c>
      <x:c r="AP304" s="141" t="n">
        <x:f>IF(AND(TRUE,Premissas!$B$11="Imovel",Premissas!$B$47="Moradia",$A304&lt;MAX(Premissas!$B$48,Premissas!$B$49)),$D304,0)</x:f>
        <x:v>0</x:v>
      </x:c>
      <x:c r="AQ304" s="141" t="n">
        <x:f>IF(AND(TRUE,Premissas!$B$11="Imovel",Premissas!$B$47="Investimento",$A304&gt;=MAX(Premissas!$B$48,Premissas!$B$49)),$E304,0)</x:f>
        <x:v>2591.318170411163</x:v>
      </x:c>
      <x:c r="AR304" s="141" t="n">
        <x:f>AN304+AO304+AP304</x:f>
        <x:v>0</x:v>
      </x:c>
      <x:c r="AS304" s="141" t="n">
        <x:f>AQ304</x:f>
        <x:v>2591.318170411163</x:v>
      </x:c>
      <x:c r="AT304" s="141" t="n">
        <x:f>$C304+AS304-AR304</x:f>
        <x:v>9591.318170411163</x:v>
      </x:c>
      <x:c r="AU304" s="141" t="n">
        <x:f>AX303*(1+Premissas!$B$41)+AT304</x:f>
        <x:v>11481921.74763248</x:v>
      </x:c>
      <x:c r="AV304" s="141" t="n">
        <x:f>MAX(0,-AU304)</x:f>
        <x:v>0</x:v>
      </x:c>
      <x:c r="AW304" s="141" t="n">
        <x:f>AW303*(1+Premissas!$B$41)+AV304</x:f>
        <x:v>0</x:v>
      </x:c>
      <x:c r="AX304" s="141" t="n">
        <x:f>MAX(0,AU304)</x:f>
        <x:v>11481921.74763248</x:v>
      </x:c>
      <x:c r="AY304" s="141" t="n">
        <x:f>INDEX('Consorcio IQ'!$P$6:$P$485,$A304)</x:f>
        <x:v>0</x:v>
      </x:c>
      <x:c r="AZ304" s="141" t="n">
        <x:f>IF($A304&gt;=Premissas!$B$48,$F304,0)+IF($A304&lt;Premissas!$B$27,INDEX('Consorcio IQ'!$O$6:$O$485,$A304),0)</x:f>
        <x:v>854216.2033849859</x:v>
      </x:c>
      <x:c r="BA304" s="141" t="n">
        <x:f>AX304+AZ304-AY304</x:f>
        <x:v>12336137.951017465</x:v>
      </x:c>
      <x:c r="BB304" s="141" t="n">
        <x:f>IF(AW304&gt;1,"Inviavel",BA304)</x:f>
        <x:v>12336137.951017465</x:v>
      </x:c>
      <x:c r="BC304" s="141" t="str">
        <x:f>IF(AW304&gt;1,"Inviavel","OK")</x:f>
        <x:v>OK</x:v>
      </x:c>
      <x:c r="BD304" s="141" t="n">
        <x:f>IF($A304='Consorcio Direto'!$B$29,'Consorcio Direto'!$B$44,0)</x:f>
        <x:v>0</x:v>
      </x:c>
      <x:c r="BE304" s="141" t="n">
        <x:f>IF($A304&lt;='Consorcio Direto'!$B$27,INDEX('Consorcio Direto'!$E$55:$E$534,$A304),0)</x:f>
        <x:v>0</x:v>
      </x:c>
      <x:c r="BF304" s="141" t="n">
        <x:f>IF(AND(TRUE,Premissas!$B$11="Imovel",Premissas!$B$47="Moradia",$A304&lt;MAX('Consorcio Direto'!$B$29,Premissas!$B$49)),$D304,0)</x:f>
        <x:v>0</x:v>
      </x:c>
      <x:c r="BG304" s="141" t="n">
        <x:f>IF(AND(TRUE,Premissas!$B$11="Imovel",Premissas!$B$47="Investimento",$A304&gt;=MAX('Consorcio Direto'!$B$29,Premissas!$B$49)),$E304,0)</x:f>
        <x:v>2591.318170411163</x:v>
      </x:c>
      <x:c r="BH304" s="141" t="n">
        <x:f>BD304+BE304+BF304</x:f>
        <x:v>0</x:v>
      </x:c>
      <x:c r="BI304" s="141" t="n">
        <x:f>BG304</x:f>
        <x:v>2591.318170411163</x:v>
      </x:c>
      <x:c r="BJ304" s="141" t="n">
        <x:f>$C304+BI304-BH304</x:f>
        <x:v>9591.318170411163</x:v>
      </x:c>
      <x:c r="BK304" s="141" t="n">
        <x:f>BN303*(1+Premissas!$B$41)+BJ304</x:f>
        <x:v>10955941.230364865</x:v>
      </x:c>
      <x:c r="BL304" s="141" t="n">
        <x:f>MAX(0,-BK304)</x:f>
        <x:v>0</x:v>
      </x:c>
      <x:c r="BM304" s="141" t="n">
        <x:f>BM303*(1+Premissas!$B$41)+BL304</x:f>
        <x:v>0</x:v>
      </x:c>
      <x:c r="BN304" s="141" t="n">
        <x:f>MAX(0,BK304)</x:f>
        <x:v>10955941.230364865</x:v>
      </x:c>
      <x:c r="BO304" s="141" t="n">
        <x:f>INDEX('Consorcio Direto'!$K$55:$K$534,$A304)</x:f>
        <x:v>0</x:v>
      </x:c>
      <x:c r="BP304" s="141" t="n">
        <x:f>IF($A304&lt;'Consorcio Direto'!$B$29,INDEX('Consorcio Direto'!$L$55:$L$534,$A304),$F304)</x:f>
        <x:v>854216.2033849859</x:v>
      </x:c>
      <x:c r="BQ304" s="141" t="n">
        <x:f>BN304+BP304-BO304</x:f>
        <x:v>11810157.43374985</x:v>
      </x:c>
      <x:c r="BR304" s="141" t="n">
        <x:f>IF(BM304&gt;1,"Inviavel",BQ304)</x:f>
        <x:v>11810157.43374985</x:v>
      </x:c>
      <x:c r="BS304" s="141" t="str">
        <x:f>IF(BM304&gt;1,"Inviavel","OK")</x:f>
        <x:v>OK</x:v>
      </x:c>
      <x:c r="BT304" s="141" t="n">
        <x:f>IF(AND('Carta Contemplada'!$B$22="Sim",$A304='Carta Contemplada'!$B$23),'Carta Contemplada'!$B$37,0)</x:f>
        <x:v>0</x:v>
      </x:c>
      <x:c r="BU304" s="141" t="n">
        <x:f>IF('Carta Contemplada'!$B$22="Sim",INDEX('Carta Contemplada'!$C$55:$C$1013,$A304),0)</x:f>
        <x:v>0</x:v>
      </x:c>
      <x:c r="BV304" s="141" t="n">
        <x:f>IF(AND('Carta Contemplada'!$B$22="Sim",Premissas!$B$11="Imovel",Premissas!$B$47="Moradia",$A304&lt;MAX('Carta Contemplada'!$B$44,Premissas!$B$49)),$D304,0)</x:f>
        <x:v>0</x:v>
      </x:c>
      <x:c r="BW304" s="141" t="n">
        <x:f>IF(AND('Carta Contemplada'!$B$22="Sim",Premissas!$B$11="Imovel",Premissas!$B$47="Investimento",$A304&gt;=MAX('Carta Contemplada'!$B$44,Premissas!$B$49)),$E304,0)</x:f>
        <x:v>2591.318170411163</x:v>
      </x:c>
      <x:c r="BX304" s="141" t="n">
        <x:f>BT304+BU304+BV304</x:f>
        <x:v>0</x:v>
      </x:c>
      <x:c r="BY304" s="141" t="n">
        <x:f>BW304</x:f>
        <x:v>2591.318170411163</x:v>
      </x:c>
      <x:c r="BZ304" s="141" t="n">
        <x:f>$C304+BY304-BX304</x:f>
        <x:v>9591.318170411163</x:v>
      </x:c>
      <x:c r="CA304" s="141" t="n">
        <x:f>CD303*(1+Premissas!$B$41)+BZ304</x:f>
        <x:v>11824681.013444697</x:v>
      </x:c>
      <x:c r="CB304" s="141" t="n">
        <x:f>MAX(0,-CA304)</x:f>
        <x:v>0</x:v>
      </x:c>
      <x:c r="CC304" s="141" t="n">
        <x:f>CC303*(1+Premissas!$B$41)+CB304</x:f>
        <x:v>0</x:v>
      </x:c>
      <x:c r="CD304" s="141" t="n">
        <x:f>MAX(0,CA304)</x:f>
        <x:v>11824681.013444697</x:v>
      </x:c>
      <x:c r="CE304" s="141" t="n">
        <x:f>IF(AND('Carta Contemplada'!$B$22="Sim",$A304&gt;='Carta Contemplada'!$B$23),INDEX('Carta Contemplada'!$I$55:$I$1013,$A304),0)</x:f>
        <x:v>0</x:v>
      </x:c>
      <x:c r="CF304" s="141" t="n">
        <x:f>IF(AND('Carta Contemplada'!$B$22="Sim",$A304&gt;='Carta Contemplada'!$B$44),$F304,0)</x:f>
        <x:v>854216.2033849859</x:v>
      </x:c>
      <x:c r="CG304" s="141" t="n">
        <x:f>CD304+CF304-CE304</x:f>
        <x:v>12678897.216829684</x:v>
      </x:c>
      <x:c r="CH304" s="141" t="n">
        <x:f>IF(CC304&gt;1,"Inviavel",CG304)</x:f>
        <x:v>12678897.216829684</x:v>
      </x:c>
      <x:c r="CI304" s="145" t="str">
        <x:f>IF(CC304&gt;1,"Inviavel","OK")</x:f>
        <x:v>OK</x:v>
      </x:c>
    </x:row>
    <x:row r="305">
      <x:c r="A305" s="142" t="n">
        <x:v>301</x:v>
      </x:c>
      <x:c r="B305" s="179" t="n">
        <x:f>EDATE(Premissas!$B$4,A305-1)</x:f>
        <x:v>55671</x:v>
      </x:c>
      <x:c r="C305" s="141" t="n">
        <x:f>IF(A305&lt;=Premissas!$B$39,Premissas!$B$42,0)</x:f>
        <x:v>7000</x:v>
      </x:c>
      <x:c r="D305" s="141" t="n">
        <x:f>Premissas!$B$54*(1+Premissas!$B$57)^INT((A305-1)/12)</x:f>
        <x:v>3004.309503820442</x:v>
      </x:c>
      <x:c r="E305" s="141" t="n">
        <x:f>Premissas!$B$64*(1+Premissas!$B$57)^INT((A305-1)/12)</x:f>
        <x:v>2746.7972606358326</x:v>
      </x:c>
      <x:c r="F305" s="141" t="n">
        <x:f>MAX(0,Premissas!$B$6*(1+Premissas!$B$66)^((A305-1)/12))</x:f>
        <x:v>858374.1439486976</x:v>
      </x:c>
      <x:c r="G305" s="141" t="n">
        <x:f>G304*(1+Premissas!$B$41)+C305</x:f>
        <x:v>13452451.808818381</x:v>
      </x:c>
      <x:c r="H305" s="141" t="n">
        <x:f>IF($A305=Premissas!$B$48,Premissas!$B$8,0)</x:f>
        <x:v>0</x:v>
      </x:c>
      <x:c r="I305" s="141" t="n">
        <x:f>IF(AND($A305&gt;=Premissas!$B$48,$A305-Premissas!$B$48+1&lt;=Premissas!$B$13),INDEX(Financiamento!$J$6:$J$485,$A305-Premissas!$B$48+1),0)</x:f>
        <x:v>964.7257722476072</x:v>
      </x:c>
      <x:c r="J305" s="141" t="n">
        <x:f>IF(AND(TRUE,Premissas!$B$11="Imovel",Premissas!$B$47="Moradia",$A305&lt;MAX(Premissas!$B$48,Premissas!$B$49)),$D305,0)</x:f>
        <x:v>0</x:v>
      </x:c>
      <x:c r="K305" s="141" t="n">
        <x:f>IF(AND(TRUE,Premissas!$B$11="Imovel",Premissas!$B$47="Investimento",$A305&gt;=MAX(Premissas!$B$48,Premissas!$B$49)),$E305,0)</x:f>
        <x:v>2746.7972606358326</x:v>
      </x:c>
      <x:c r="L305" s="141" t="n">
        <x:f>H305+I305+J305</x:f>
        <x:v>964.7257722476072</x:v>
      </x:c>
      <x:c r="M305" s="141" t="n">
        <x:f>K305</x:f>
        <x:v>2746.7972606358326</x:v>
      </x:c>
      <x:c r="N305" s="141" t="n">
        <x:f>$C305+M305-L305</x:f>
        <x:v>8782.071488388225</x:v>
      </x:c>
      <x:c r="O305" s="141" t="n">
        <x:f>R304*(1+Premissas!$B$41)+N305</x:f>
        <x:v>11549779.157518888</x:v>
      </x:c>
      <x:c r="P305" s="141" t="n">
        <x:f>MAX(0,-O305)</x:f>
        <x:v>0</x:v>
      </x:c>
      <x:c r="Q305" s="141" t="n">
        <x:f>Q304*(1+Premissas!$B$41)+P305</x:f>
        <x:v>0</x:v>
      </x:c>
      <x:c r="R305" s="141" t="n">
        <x:f>MAX(0,O305)</x:f>
        <x:v>11549779.157518888</x:v>
      </x:c>
      <x:c r="S305" s="141" t="n">
        <x:f>IF(AND($A305&gt;=Premissas!$B$48,$A305-Premissas!$B$48+1&lt;=Premissas!$B$13),INDEX(Financiamento!$M$6:$M$485,$A305-Premissas!$B$48+1),0)</x:f>
        <x:v>45333.3333333334</x:v>
      </x:c>
      <x:c r="T305" s="141" t="n">
        <x:f>IF($A305&gt;=Premissas!$B$48,$F305,0)</x:f>
        <x:v>858374.1439486976</x:v>
      </x:c>
      <x:c r="U305" s="141" t="n">
        <x:f>R305+T305-S305</x:f>
        <x:v>12362819.968134252</x:v>
      </x:c>
      <x:c r="V305" s="141" t="n">
        <x:f>IF(Q305&gt;1,"Inviavel",U305)</x:f>
        <x:v>12362819.968134252</x:v>
      </x:c>
      <x:c r="W305" s="141" t="str">
        <x:f>IF(Q305&gt;1,"Inviavel","OK")</x:f>
        <x:v>OK</x:v>
      </x:c>
      <x:c r="X305" s="141" t="n">
        <x:f>IF($A305=Premissas!$B$48,Premissas!$B$8,0)</x:f>
        <x:v>0</x:v>
      </x:c>
      <x:c r="Y305" s="141" t="n">
        <x:f>IF(AND($A305&gt;=Premissas!$B$48,$A305-Premissas!$B$48+1&lt;=Premissas!$B$13),INDEX(Amortizacao!$K$6:$K$485,$A305-Premissas!$B$48+1),0)</x:f>
        <x:v>0</x:v>
      </x:c>
      <x:c r="Z305" s="141" t="n">
        <x:f>IF(AND(TRUE,Premissas!$B$11="Imovel",Premissas!$B$47="Moradia",$A305&lt;MAX(Premissas!$B$48,Premissas!$B$49)),$D305,0)</x:f>
        <x:v>0</x:v>
      </x:c>
      <x:c r="AA305" s="141" t="n">
        <x:f>IF(AND(TRUE,Premissas!$B$11="Imovel",Premissas!$B$47="Investimento",$A305&gt;=MAX(Premissas!$B$48,Premissas!$B$49)),$E305,0)</x:f>
        <x:v>2746.7972606358326</x:v>
      </x:c>
      <x:c r="AB305" s="141" t="n">
        <x:f>X305+Y305+Z305</x:f>
        <x:v>0</x:v>
      </x:c>
      <x:c r="AC305" s="141" t="n">
        <x:f>AA305</x:f>
        <x:v>2746.7972606358326</x:v>
      </x:c>
      <x:c r="AD305" s="141" t="n">
        <x:f>$C305+AC305-AB305</x:f>
        <x:v>9746.797260635833</x:v>
      </x:c>
      <x:c r="AE305" s="141" t="n">
        <x:f>AH304*(1+Premissas!$B$41)+AD305</x:f>
        <x:v>11698866.306158368</x:v>
      </x:c>
      <x:c r="AF305" s="141" t="n">
        <x:f>MAX(0,-AE305)</x:f>
        <x:v>0</x:v>
      </x:c>
      <x:c r="AG305" s="141" t="n">
        <x:f>AG304*(1+Premissas!$B$41)+AF305</x:f>
        <x:v>0</x:v>
      </x:c>
      <x:c r="AH305" s="141" t="n">
        <x:f>MAX(0,AE305)</x:f>
        <x:v>11698866.306158368</x:v>
      </x:c>
      <x:c r="AI305" s="141" t="n">
        <x:f>IF(AND($A305&gt;=Premissas!$B$48,$A305-Premissas!$B$48+1&lt;=Premissas!$B$13),INDEX(Amortizacao!$L$6:$L$485,$A305-Premissas!$B$48+1),0)</x:f>
        <x:v>0</x:v>
      </x:c>
      <x:c r="AJ305" s="141" t="n">
        <x:f>IF($A305&gt;=Premissas!$B$48,$F305,0)</x:f>
        <x:v>858374.1439486976</x:v>
      </x:c>
      <x:c r="AK305" s="141" t="n">
        <x:f>AH305+AJ305-AI305</x:f>
        <x:v>12557240.450107066</x:v>
      </x:c>
      <x:c r="AL305" s="141" t="n">
        <x:f>IF(AG305&gt;1,"Inviavel",AK305)</x:f>
        <x:v>12557240.450107066</x:v>
      </x:c>
      <x:c r="AM305" s="141" t="str">
        <x:f>IF(AG305&gt;1,"Inviavel","OK")</x:f>
        <x:v>OK</x:v>
      </x:c>
      <x:c r="AN305" s="141" t="n">
        <x:f>IF($A305=Premissas!$B$48,Premissas!$B$8,0)</x:f>
        <x:v>0</x:v>
      </x:c>
      <x:c r="AO305" s="141" t="n">
        <x:f>IF($A305&lt;=Premissas!$B$25,INDEX('Consorcio IQ'!$K$6:$K$485,$A305),0)</x:f>
        <x:v>0</x:v>
      </x:c>
      <x:c r="AP305" s="141" t="n">
        <x:f>IF(AND(TRUE,Premissas!$B$11="Imovel",Premissas!$B$47="Moradia",$A305&lt;MAX(Premissas!$B$48,Premissas!$B$49)),$D305,0)</x:f>
        <x:v>0</x:v>
      </x:c>
      <x:c r="AQ305" s="141" t="n">
        <x:f>IF(AND(TRUE,Premissas!$B$11="Imovel",Premissas!$B$47="Investimento",$A305&gt;=MAX(Premissas!$B$48,Premissas!$B$49)),$E305,0)</x:f>
        <x:v>2746.7972606358326</x:v>
      </x:c>
      <x:c r="AR305" s="141" t="n">
        <x:f>AN305+AO305+AP305</x:f>
        <x:v>0</x:v>
      </x:c>
      <x:c r="AS305" s="141" t="n">
        <x:f>AQ305</x:f>
        <x:v>2746.7972606358326</x:v>
      </x:c>
      <x:c r="AT305" s="141" t="n">
        <x:f>$C305+AS305-AR305</x:f>
        <x:v>9746.797260635833</x:v>
      </x:c>
      <x:c r="AU305" s="141" t="n">
        <x:f>AX304*(1+Premissas!$B$41)+AT305</x:f>
        <x:v>11600618.122847486</x:v>
      </x:c>
      <x:c r="AV305" s="141" t="n">
        <x:f>MAX(0,-AU305)</x:f>
        <x:v>0</x:v>
      </x:c>
      <x:c r="AW305" s="141" t="n">
        <x:f>AW304*(1+Premissas!$B$41)+AV305</x:f>
        <x:v>0</x:v>
      </x:c>
      <x:c r="AX305" s="141" t="n">
        <x:f>MAX(0,AU305)</x:f>
        <x:v>11600618.122847486</x:v>
      </x:c>
      <x:c r="AY305" s="141" t="n">
        <x:f>INDEX('Consorcio IQ'!$P$6:$P$485,$A305)</x:f>
        <x:v>0</x:v>
      </x:c>
      <x:c r="AZ305" s="141" t="n">
        <x:f>IF($A305&gt;=Premissas!$B$48,$F305,0)+IF($A305&lt;Premissas!$B$27,INDEX('Consorcio IQ'!$O$6:$O$485,$A305),0)</x:f>
        <x:v>858374.1439486976</x:v>
      </x:c>
      <x:c r="BA305" s="141" t="n">
        <x:f>AX305+AZ305-AY305</x:f>
        <x:v>12458992.266796185</x:v>
      </x:c>
      <x:c r="BB305" s="141" t="n">
        <x:f>IF(AW305&gt;1,"Inviavel",BA305)</x:f>
        <x:v>12458992.266796185</x:v>
      </x:c>
      <x:c r="BC305" s="141" t="str">
        <x:f>IF(AW305&gt;1,"Inviavel","OK")</x:f>
        <x:v>OK</x:v>
      </x:c>
      <x:c r="BD305" s="141" t="n">
        <x:f>IF($A305='Consorcio Direto'!$B$29,'Consorcio Direto'!$B$44,0)</x:f>
        <x:v>0</x:v>
      </x:c>
      <x:c r="BE305" s="141" t="n">
        <x:f>IF($A305&lt;='Consorcio Direto'!$B$27,INDEX('Consorcio Direto'!$E$55:$E$534,$A305),0)</x:f>
        <x:v>0</x:v>
      </x:c>
      <x:c r="BF305" s="141" t="n">
        <x:f>IF(AND(TRUE,Premissas!$B$11="Imovel",Premissas!$B$47="Moradia",$A305&lt;MAX('Consorcio Direto'!$B$29,Premissas!$B$49)),$D305,0)</x:f>
        <x:v>0</x:v>
      </x:c>
      <x:c r="BG305" s="141" t="n">
        <x:f>IF(AND(TRUE,Premissas!$B$11="Imovel",Premissas!$B$47="Investimento",$A305&gt;=MAX('Consorcio Direto'!$B$29,Premissas!$B$49)),$E305,0)</x:f>
        <x:v>2746.7972606358326</x:v>
      </x:c>
      <x:c r="BH305" s="141" t="n">
        <x:f>BD305+BE305+BF305</x:f>
        <x:v>0</x:v>
      </x:c>
      <x:c r="BI305" s="141" t="n">
        <x:f>BG305</x:f>
        <x:v>2746.7972606358326</x:v>
      </x:c>
      <x:c r="BJ305" s="141" t="n">
        <x:f>$C305+BI305-BH305</x:f>
        <x:v>9746.797260635833</x:v>
      </x:c>
      <x:c r="BK305" s="141" t="n">
        <x:f>BN304*(1+Premissas!$B$41)+BJ305</x:f>
        <x:v>11069646.685363894</x:v>
      </x:c>
      <x:c r="BL305" s="141" t="n">
        <x:f>MAX(0,-BK305)</x:f>
        <x:v>0</x:v>
      </x:c>
      <x:c r="BM305" s="141" t="n">
        <x:f>BM304*(1+Premissas!$B$41)+BL305</x:f>
        <x:v>0</x:v>
      </x:c>
      <x:c r="BN305" s="141" t="n">
        <x:f>MAX(0,BK305)</x:f>
        <x:v>11069646.685363894</x:v>
      </x:c>
      <x:c r="BO305" s="141" t="n">
        <x:f>INDEX('Consorcio Direto'!$K$55:$K$534,$A305)</x:f>
        <x:v>0</x:v>
      </x:c>
      <x:c r="BP305" s="141" t="n">
        <x:f>IF($A305&lt;'Consorcio Direto'!$B$29,INDEX('Consorcio Direto'!$L$55:$L$534,$A305),$F305)</x:f>
        <x:v>858374.1439486976</x:v>
      </x:c>
      <x:c r="BQ305" s="141" t="n">
        <x:f>BN305+BP305-BO305</x:f>
        <x:v>11928020.829312593</x:v>
      </x:c>
      <x:c r="BR305" s="141" t="n">
        <x:f>IF(BM305&gt;1,"Inviavel",BQ305)</x:f>
        <x:v>11928020.829312593</x:v>
      </x:c>
      <x:c r="BS305" s="141" t="str">
        <x:f>IF(BM305&gt;1,"Inviavel","OK")</x:f>
        <x:v>OK</x:v>
      </x:c>
      <x:c r="BT305" s="141" t="n">
        <x:f>IF(AND('Carta Contemplada'!$B$22="Sim",$A305='Carta Contemplada'!$B$23),'Carta Contemplada'!$B$37,0)</x:f>
        <x:v>0</x:v>
      </x:c>
      <x:c r="BU305" s="141" t="n">
        <x:f>IF('Carta Contemplada'!$B$22="Sim",INDEX('Carta Contemplada'!$C$55:$C$1013,$A305),0)</x:f>
        <x:v>0</x:v>
      </x:c>
      <x:c r="BV305" s="141" t="n">
        <x:f>IF(AND('Carta Contemplada'!$B$22="Sim",Premissas!$B$11="Imovel",Premissas!$B$47="Moradia",$A305&lt;MAX('Carta Contemplada'!$B$44,Premissas!$B$49)),$D305,0)</x:f>
        <x:v>0</x:v>
      </x:c>
      <x:c r="BW305" s="141" t="n">
        <x:f>IF(AND('Carta Contemplada'!$B$22="Sim",Premissas!$B$11="Imovel",Premissas!$B$47="Investimento",$A305&gt;=MAX('Carta Contemplada'!$B$44,Premissas!$B$49)),$E305,0)</x:f>
        <x:v>2746.7972606358326</x:v>
      </x:c>
      <x:c r="BX305" s="141" t="n">
        <x:f>BT305+BU305+BV305</x:f>
        <x:v>0</x:v>
      </x:c>
      <x:c r="BY305" s="141" t="n">
        <x:f>BW305</x:f>
        <x:v>2746.7972606358326</x:v>
      </x:c>
      <x:c r="BZ305" s="141" t="n">
        <x:f>$C305+BY305-BX305</x:f>
        <x:v>9746.797260635833</x:v>
      </x:c>
      <x:c r="CA305" s="141" t="n">
        <x:f>CD304*(1+Premissas!$B$41)+BZ305</x:f>
        <x:v>11946629.760359406</x:v>
      </x:c>
      <x:c r="CB305" s="141" t="n">
        <x:f>MAX(0,-CA305)</x:f>
        <x:v>0</x:v>
      </x:c>
      <x:c r="CC305" s="141" t="n">
        <x:f>CC304*(1+Premissas!$B$41)+CB305</x:f>
        <x:v>0</x:v>
      </x:c>
      <x:c r="CD305" s="141" t="n">
        <x:f>MAX(0,CA305)</x:f>
        <x:v>11946629.760359406</x:v>
      </x:c>
      <x:c r="CE305" s="141" t="n">
        <x:f>IF(AND('Carta Contemplada'!$B$22="Sim",$A305&gt;='Carta Contemplada'!$B$23),INDEX('Carta Contemplada'!$I$55:$I$1013,$A305),0)</x:f>
        <x:v>0</x:v>
      </x:c>
      <x:c r="CF305" s="141" t="n">
        <x:f>IF(AND('Carta Contemplada'!$B$22="Sim",$A305&gt;='Carta Contemplada'!$B$44),$F305,0)</x:f>
        <x:v>858374.1439486976</x:v>
      </x:c>
      <x:c r="CG305" s="141" t="n">
        <x:f>CD305+CF305-CE305</x:f>
        <x:v>12805003.904308105</x:v>
      </x:c>
      <x:c r="CH305" s="141" t="n">
        <x:f>IF(CC305&gt;1,"Inviavel",CG305)</x:f>
        <x:v>12805003.904308105</x:v>
      </x:c>
      <x:c r="CI305" s="145" t="str">
        <x:f>IF(CC305&gt;1,"Inviavel","OK")</x:f>
        <x:v>OK</x:v>
      </x:c>
    </x:row>
    <x:row r="306">
      <x:c r="A306" s="142" t="n">
        <x:v>302</x:v>
      </x:c>
      <x:c r="B306" s="179" t="n">
        <x:f>EDATE(Premissas!$B$4,A306-1)</x:f>
        <x:v>55701</x:v>
      </x:c>
      <x:c r="C306" s="141" t="n">
        <x:f>IF(A306&lt;=Premissas!$B$39,Premissas!$B$42,0)</x:f>
        <x:v>7000</x:v>
      </x:c>
      <x:c r="D306" s="141" t="n">
        <x:f>Premissas!$B$54*(1+Premissas!$B$57)^INT((A306-1)/12)</x:f>
        <x:v>3004.309503820442</x:v>
      </x:c>
      <x:c r="E306" s="141" t="n">
        <x:f>Premissas!$B$64*(1+Premissas!$B$57)^INT((A306-1)/12)</x:f>
        <x:v>2746.7972606358326</x:v>
      </x:c>
      <x:c r="F306" s="141" t="n">
        <x:f>MAX(0,Premissas!$B$6*(1+Premissas!$B$66)^((A306-1)/12))</x:f>
        <x:v>862552.3234983509</x:v>
      </x:c>
      <x:c r="G306" s="141" t="n">
        <x:f>G305*(1+Premissas!$B$41)+C306</x:f>
        <x:v>13587099.338494716</x:v>
      </x:c>
      <x:c r="H306" s="141" t="n">
        <x:f>IF($A306=Premissas!$B$48,Premissas!$B$8,0)</x:f>
        <x:v>0</x:v>
      </x:c>
      <x:c r="I306" s="141" t="n">
        <x:f>IF(AND($A306&gt;=Premissas!$B$48,$A306-Premissas!$B$48+1&lt;=Premissas!$B$13),INDEX(Financiamento!$J$6:$J$485,$A306-Premissas!$B$48+1),0)</x:f>
        <x:v>961.1109939868136</x:v>
      </x:c>
      <x:c r="J306" s="141" t="n">
        <x:f>IF(AND(TRUE,Premissas!$B$11="Imovel",Premissas!$B$47="Moradia",$A306&lt;MAX(Premissas!$B$48,Premissas!$B$49)),$D306,0)</x:f>
        <x:v>0</x:v>
      </x:c>
      <x:c r="K306" s="141" t="n">
        <x:f>IF(AND(TRUE,Premissas!$B$11="Imovel",Premissas!$B$47="Investimento",$A306&gt;=MAX(Premissas!$B$48,Premissas!$B$49)),$E306,0)</x:f>
        <x:v>2746.7972606358326</x:v>
      </x:c>
      <x:c r="L306" s="141" t="n">
        <x:f>H306+I306+J306</x:f>
        <x:v>961.1109939868136</x:v>
      </x:c>
      <x:c r="M306" s="141" t="n">
        <x:f>K306</x:f>
        <x:v>2746.7972606358326</x:v>
      </x:c>
      <x:c r="N306" s="141" t="n">
        <x:f>$C306+M306-L306</x:f>
        <x:v>8785.68626664902</x:v>
      </x:c>
      <x:c r="O306" s="141" t="n">
        <x:f>R305*(1+Premissas!$B$41)+N306</x:f>
        <x:v>11668158.306651397</x:v>
      </x:c>
      <x:c r="P306" s="141" t="n">
        <x:f>MAX(0,-O306)</x:f>
        <x:v>0</x:v>
      </x:c>
      <x:c r="Q306" s="141" t="n">
        <x:f>Q305*(1+Premissas!$B$41)+P306</x:f>
        <x:v>0</x:v>
      </x:c>
      <x:c r="R306" s="141" t="n">
        <x:f>MAX(0,O306)</x:f>
        <x:v>11668158.306651397</x:v>
      </x:c>
      <x:c r="S306" s="141" t="n">
        <x:f>IF(AND($A306&gt;=Premissas!$B$48,$A306-Premissas!$B$48+1&lt;=Premissas!$B$13),INDEX(Financiamento!$M$6:$M$485,$A306-Premissas!$B$48+1),0)</x:f>
        <x:v>44952.38095238102</x:v>
      </x:c>
      <x:c r="T306" s="141" t="n">
        <x:f>IF($A306&gt;=Premissas!$B$48,$F306,0)</x:f>
        <x:v>862552.3234983509</x:v>
      </x:c>
      <x:c r="U306" s="141" t="n">
        <x:f>R306+T306-S306</x:f>
        <x:v>12485758.249197368</x:v>
      </x:c>
      <x:c r="V306" s="141" t="n">
        <x:f>IF(Q306&gt;1,"Inviavel",U306)</x:f>
        <x:v>12485758.249197368</x:v>
      </x:c>
      <x:c r="W306" s="141" t="str">
        <x:f>IF(Q306&gt;1,"Inviavel","OK")</x:f>
        <x:v>OK</x:v>
      </x:c>
      <x:c r="X306" s="141" t="n">
        <x:f>IF($A306=Premissas!$B$48,Premissas!$B$8,0)</x:f>
        <x:v>0</x:v>
      </x:c>
      <x:c r="Y306" s="141" t="n">
        <x:f>IF(AND($A306&gt;=Premissas!$B$48,$A306-Premissas!$B$48+1&lt;=Premissas!$B$13),INDEX(Amortizacao!$K$6:$K$485,$A306-Premissas!$B$48+1),0)</x:f>
        <x:v>0</x:v>
      </x:c>
      <x:c r="Z306" s="141" t="n">
        <x:f>IF(AND(TRUE,Premissas!$B$11="Imovel",Premissas!$B$47="Moradia",$A306&lt;MAX(Premissas!$B$48,Premissas!$B$49)),$D306,0)</x:f>
        <x:v>0</x:v>
      </x:c>
      <x:c r="AA306" s="141" t="n">
        <x:f>IF(AND(TRUE,Premissas!$B$11="Imovel",Premissas!$B$47="Investimento",$A306&gt;=MAX(Premissas!$B$48,Premissas!$B$49)),$E306,0)</x:f>
        <x:v>2746.7972606358326</x:v>
      </x:c>
      <x:c r="AB306" s="141" t="n">
        <x:f>X306+Y306+Z306</x:f>
        <x:v>0</x:v>
      </x:c>
      <x:c r="AC306" s="141" t="n">
        <x:f>AA306</x:f>
        <x:v>2746.7972606358326</x:v>
      </x:c>
      <x:c r="AD306" s="141" t="n">
        <x:f>$C306+AC306-AB306</x:f>
        <x:v>9746.797260635833</x:v>
      </x:c>
      <x:c r="AE306" s="141" t="n">
        <x:f>AH305*(1+Premissas!$B$41)+AD306</x:f>
        <x:v>11819621.22336751</x:v>
      </x:c>
      <x:c r="AF306" s="141" t="n">
        <x:f>MAX(0,-AE306)</x:f>
        <x:v>0</x:v>
      </x:c>
      <x:c r="AG306" s="141" t="n">
        <x:f>AG305*(1+Premissas!$B$41)+AF306</x:f>
        <x:v>0</x:v>
      </x:c>
      <x:c r="AH306" s="141" t="n">
        <x:f>MAX(0,AE306)</x:f>
        <x:v>11819621.22336751</x:v>
      </x:c>
      <x:c r="AI306" s="141" t="n">
        <x:f>IF(AND($A306&gt;=Premissas!$B$48,$A306-Premissas!$B$48+1&lt;=Premissas!$B$13),INDEX(Amortizacao!$L$6:$L$485,$A306-Premissas!$B$48+1),0)</x:f>
        <x:v>0</x:v>
      </x:c>
      <x:c r="AJ306" s="141" t="n">
        <x:f>IF($A306&gt;=Premissas!$B$48,$F306,0)</x:f>
        <x:v>862552.3234983509</x:v>
      </x:c>
      <x:c r="AK306" s="141" t="n">
        <x:f>AH306+AJ306-AI306</x:f>
        <x:v>12682173.546865862</x:v>
      </x:c>
      <x:c r="AL306" s="141" t="n">
        <x:f>IF(AG306&gt;1,"Inviavel",AK306)</x:f>
        <x:v>12682173.546865862</x:v>
      </x:c>
      <x:c r="AM306" s="141" t="str">
        <x:f>IF(AG306&gt;1,"Inviavel","OK")</x:f>
        <x:v>OK</x:v>
      </x:c>
      <x:c r="AN306" s="141" t="n">
        <x:f>IF($A306=Premissas!$B$48,Premissas!$B$8,0)</x:f>
        <x:v>0</x:v>
      </x:c>
      <x:c r="AO306" s="141" t="n">
        <x:f>IF($A306&lt;=Premissas!$B$25,INDEX('Consorcio IQ'!$K$6:$K$485,$A306),0)</x:f>
        <x:v>0</x:v>
      </x:c>
      <x:c r="AP306" s="141" t="n">
        <x:f>IF(AND(TRUE,Premissas!$B$11="Imovel",Premissas!$B$47="Moradia",$A306&lt;MAX(Premissas!$B$48,Premissas!$B$49)),$D306,0)</x:f>
        <x:v>0</x:v>
      </x:c>
      <x:c r="AQ306" s="141" t="n">
        <x:f>IF(AND(TRUE,Premissas!$B$11="Imovel",Premissas!$B$47="Investimento",$A306&gt;=MAX(Premissas!$B$48,Premissas!$B$49)),$E306,0)</x:f>
        <x:v>2746.7972606358326</x:v>
      </x:c>
      <x:c r="AR306" s="141" t="n">
        <x:f>AN306+AO306+AP306</x:f>
        <x:v>0</x:v>
      </x:c>
      <x:c r="AS306" s="141" t="n">
        <x:f>AQ306</x:f>
        <x:v>2746.7972606358326</x:v>
      </x:c>
      <x:c r="AT306" s="141" t="n">
        <x:f>$C306+AS306-AR306</x:f>
        <x:v>9746.797260635833</x:v>
      </x:c>
      <x:c r="AU306" s="141" t="n">
        <x:f>AX305*(1+Premissas!$B$41)+AT306</x:f>
        <x:v>11720440.783388995</x:v>
      </x:c>
      <x:c r="AV306" s="141" t="n">
        <x:f>MAX(0,-AU306)</x:f>
        <x:v>0</x:v>
      </x:c>
      <x:c r="AW306" s="141" t="n">
        <x:f>AW305*(1+Premissas!$B$41)+AV306</x:f>
        <x:v>0</x:v>
      </x:c>
      <x:c r="AX306" s="141" t="n">
        <x:f>MAX(0,AU306)</x:f>
        <x:v>11720440.783388995</x:v>
      </x:c>
      <x:c r="AY306" s="141" t="n">
        <x:f>INDEX('Consorcio IQ'!$P$6:$P$485,$A306)</x:f>
        <x:v>0</x:v>
      </x:c>
      <x:c r="AZ306" s="141" t="n">
        <x:f>IF($A306&gt;=Premissas!$B$48,$F306,0)+IF($A306&lt;Premissas!$B$27,INDEX('Consorcio IQ'!$O$6:$O$485,$A306),0)</x:f>
        <x:v>862552.3234983509</x:v>
      </x:c>
      <x:c r="BA306" s="141" t="n">
        <x:f>AX306+AZ306-AY306</x:f>
        <x:v>12582993.106887346</x:v>
      </x:c>
      <x:c r="BB306" s="141" t="n">
        <x:f>IF(AW306&gt;1,"Inviavel",BA306)</x:f>
        <x:v>12582993.106887346</x:v>
      </x:c>
      <x:c r="BC306" s="141" t="str">
        <x:f>IF(AW306&gt;1,"Inviavel","OK")</x:f>
        <x:v>OK</x:v>
      </x:c>
      <x:c r="BD306" s="141" t="n">
        <x:f>IF($A306='Consorcio Direto'!$B$29,'Consorcio Direto'!$B$44,0)</x:f>
        <x:v>0</x:v>
      </x:c>
      <x:c r="BE306" s="141" t="n">
        <x:f>IF($A306&lt;='Consorcio Direto'!$B$27,INDEX('Consorcio Direto'!$E$55:$E$534,$A306),0)</x:f>
        <x:v>0</x:v>
      </x:c>
      <x:c r="BF306" s="141" t="n">
        <x:f>IF(AND(TRUE,Premissas!$B$11="Imovel",Premissas!$B$47="Moradia",$A306&lt;MAX('Consorcio Direto'!$B$29,Premissas!$B$49)),$D306,0)</x:f>
        <x:v>0</x:v>
      </x:c>
      <x:c r="BG306" s="141" t="n">
        <x:f>IF(AND(TRUE,Premissas!$B$11="Imovel",Premissas!$B$47="Investimento",$A306&gt;=MAX('Consorcio Direto'!$B$29,Premissas!$B$49)),$E306,0)</x:f>
        <x:v>2746.7972606358326</x:v>
      </x:c>
      <x:c r="BH306" s="141" t="n">
        <x:f>BD306+BE306+BF306</x:f>
        <x:v>0</x:v>
      </x:c>
      <x:c r="BI306" s="141" t="n">
        <x:f>BG306</x:f>
        <x:v>2746.7972606358326</x:v>
      </x:c>
      <x:c r="BJ306" s="141" t="n">
        <x:f>$C306+BI306-BH306</x:f>
        <x:v>9746.797260635833</x:v>
      </x:c>
      <x:c r="BK306" s="141" t="n">
        <x:f>BN305*(1+Premissas!$B$41)+BJ306</x:f>
        <x:v>11184431.067880942</x:v>
      </x:c>
      <x:c r="BL306" s="141" t="n">
        <x:f>MAX(0,-BK306)</x:f>
        <x:v>0</x:v>
      </x:c>
      <x:c r="BM306" s="141" t="n">
        <x:f>BM305*(1+Premissas!$B$41)+BL306</x:f>
        <x:v>0</x:v>
      </x:c>
      <x:c r="BN306" s="141" t="n">
        <x:f>MAX(0,BK306)</x:f>
        <x:v>11184431.067880942</x:v>
      </x:c>
      <x:c r="BO306" s="141" t="n">
        <x:f>INDEX('Consorcio Direto'!$K$55:$K$534,$A306)</x:f>
        <x:v>0</x:v>
      </x:c>
      <x:c r="BP306" s="141" t="n">
        <x:f>IF($A306&lt;'Consorcio Direto'!$B$29,INDEX('Consorcio Direto'!$L$55:$L$534,$A306),$F306)</x:f>
        <x:v>862552.3234983509</x:v>
      </x:c>
      <x:c r="BQ306" s="141" t="n">
        <x:f>BN306+BP306-BO306</x:f>
        <x:v>12046983.391379293</x:v>
      </x:c>
      <x:c r="BR306" s="141" t="n">
        <x:f>IF(BM306&gt;1,"Inviavel",BQ306)</x:f>
        <x:v>12046983.391379293</x:v>
      </x:c>
      <x:c r="BS306" s="141" t="str">
        <x:f>IF(BM306&gt;1,"Inviavel","OK")</x:f>
        <x:v>OK</x:v>
      </x:c>
      <x:c r="BT306" s="141" t="n">
        <x:f>IF(AND('Carta Contemplada'!$B$22="Sim",$A306='Carta Contemplada'!$B$23),'Carta Contemplada'!$B$37,0)</x:f>
        <x:v>0</x:v>
      </x:c>
      <x:c r="BU306" s="141" t="n">
        <x:f>IF('Carta Contemplada'!$B$22="Sim",INDEX('Carta Contemplada'!$C$55:$C$1013,$A306),0)</x:f>
        <x:v>0</x:v>
      </x:c>
      <x:c r="BV306" s="141" t="n">
        <x:f>IF(AND('Carta Contemplada'!$B$22="Sim",Premissas!$B$11="Imovel",Premissas!$B$47="Moradia",$A306&lt;MAX('Carta Contemplada'!$B$44,Premissas!$B$49)),$D306,0)</x:f>
        <x:v>0</x:v>
      </x:c>
      <x:c r="BW306" s="141" t="n">
        <x:f>IF(AND('Carta Contemplada'!$B$22="Sim",Premissas!$B$11="Imovel",Premissas!$B$47="Investimento",$A306&gt;=MAX('Carta Contemplada'!$B$44,Premissas!$B$49)),$E306,0)</x:f>
        <x:v>2746.7972606358326</x:v>
      </x:c>
      <x:c r="BX306" s="141" t="n">
        <x:f>BT306+BU306+BV306</x:f>
        <x:v>0</x:v>
      </x:c>
      <x:c r="BY306" s="141" t="n">
        <x:f>BW306</x:f>
        <x:v>2746.7972606358326</x:v>
      </x:c>
      <x:c r="BZ306" s="141" t="n">
        <x:f>$C306+BY306-BX306</x:f>
        <x:v>9746.797260635833</x:v>
      </x:c>
      <x:c r="CA306" s="141" t="n">
        <x:f>CD305*(1+Premissas!$B$41)+BZ306</x:f>
        <x:v>12069735.65368222</x:v>
      </x:c>
      <x:c r="CB306" s="141" t="n">
        <x:f>MAX(0,-CA306)</x:f>
        <x:v>0</x:v>
      </x:c>
      <x:c r="CC306" s="141" t="n">
        <x:f>CC305*(1+Premissas!$B$41)+CB306</x:f>
        <x:v>0</x:v>
      </x:c>
      <x:c r="CD306" s="141" t="n">
        <x:f>MAX(0,CA306)</x:f>
        <x:v>12069735.65368222</x:v>
      </x:c>
      <x:c r="CE306" s="141" t="n">
        <x:f>IF(AND('Carta Contemplada'!$B$22="Sim",$A306&gt;='Carta Contemplada'!$B$23),INDEX('Carta Contemplada'!$I$55:$I$1013,$A306),0)</x:f>
        <x:v>0</x:v>
      </x:c>
      <x:c r="CF306" s="141" t="n">
        <x:f>IF(AND('Carta Contemplada'!$B$22="Sim",$A306&gt;='Carta Contemplada'!$B$44),$F306,0)</x:f>
        <x:v>862552.3234983509</x:v>
      </x:c>
      <x:c r="CG306" s="141" t="n">
        <x:f>CD306+CF306-CE306</x:f>
        <x:v>12932287.977180572</x:v>
      </x:c>
      <x:c r="CH306" s="141" t="n">
        <x:f>IF(CC306&gt;1,"Inviavel",CG306)</x:f>
        <x:v>12932287.977180572</x:v>
      </x:c>
      <x:c r="CI306" s="145" t="str">
        <x:f>IF(CC306&gt;1,"Inviavel","OK")</x:f>
        <x:v>OK</x:v>
      </x:c>
    </x:row>
    <x:row r="307">
      <x:c r="A307" s="142" t="n">
        <x:v>303</x:v>
      </x:c>
      <x:c r="B307" s="179" t="n">
        <x:f>EDATE(Premissas!$B$4,A307-1)</x:f>
        <x:v>55732</x:v>
      </x:c>
      <x:c r="C307" s="141" t="n">
        <x:f>IF(A307&lt;=Premissas!$B$39,Premissas!$B$42,0)</x:f>
        <x:v>7000</x:v>
      </x:c>
      <x:c r="D307" s="141" t="n">
        <x:f>Premissas!$B$54*(1+Premissas!$B$57)^INT((A307-1)/12)</x:f>
        <x:v>3004.309503820442</x:v>
      </x:c>
      <x:c r="E307" s="141" t="n">
        <x:f>Premissas!$B$64*(1+Premissas!$B$57)^INT((A307-1)/12)</x:f>
        <x:v>2746.7972606358326</x:v>
      </x:c>
      <x:c r="F307" s="141" t="n">
        <x:f>MAX(0,Premissas!$B$6*(1+Premissas!$B$66)^((A307-1)/12))</x:f>
        <x:v>866750.8405482334</x:v>
      </x:c>
      <x:c r="G307" s="141" t="n">
        <x:f>G306*(1+Premissas!$B$41)+C307</x:f>
        <x:v>13723024.510699302</x:v>
      </x:c>
      <x:c r="H307" s="141" t="n">
        <x:f>IF($A307=Premissas!$B$48,Premissas!$B$8,0)</x:f>
        <x:v>0</x:v>
      </x:c>
      <x:c r="I307" s="141" t="n">
        <x:f>IF(AND($A307&gt;=Premissas!$B$48,$A307-Premissas!$B$48+1&lt;=Premissas!$B$13),INDEX(Financiamento!$J$6:$J$485,$A307-Premissas!$B$48+1),0)</x:f>
        <x:v>957.49621572602</x:v>
      </x:c>
      <x:c r="J307" s="141" t="n">
        <x:f>IF(AND(TRUE,Premissas!$B$11="Imovel",Premissas!$B$47="Moradia",$A307&lt;MAX(Premissas!$B$48,Premissas!$B$49)),$D307,0)</x:f>
        <x:v>0</x:v>
      </x:c>
      <x:c r="K307" s="141" t="n">
        <x:f>IF(AND(TRUE,Premissas!$B$11="Imovel",Premissas!$B$47="Investimento",$A307&gt;=MAX(Premissas!$B$48,Premissas!$B$49)),$E307,0)</x:f>
        <x:v>2746.7972606358326</x:v>
      </x:c>
      <x:c r="L307" s="141" t="n">
        <x:f>H307+I307+J307</x:f>
        <x:v>957.49621572602</x:v>
      </x:c>
      <x:c r="M307" s="141" t="n">
        <x:f>K307</x:f>
        <x:v>2746.7972606358326</x:v>
      </x:c>
      <x:c r="N307" s="141" t="n">
        <x:f>$C307+M307-L307</x:f>
        <x:v>8789.301044909813</x:v>
      </x:c>
      <x:c r="O307" s="141" t="n">
        <x:f>R306*(1+Premissas!$B$41)+N307</x:f>
        <x:v>11787664.345796056</x:v>
      </x:c>
      <x:c r="P307" s="141" t="n">
        <x:f>MAX(0,-O307)</x:f>
        <x:v>0</x:v>
      </x:c>
      <x:c r="Q307" s="141" t="n">
        <x:f>Q306*(1+Premissas!$B$41)+P307</x:f>
        <x:v>0</x:v>
      </x:c>
      <x:c r="R307" s="141" t="n">
        <x:f>MAX(0,O307)</x:f>
        <x:v>11787664.345796056</x:v>
      </x:c>
      <x:c r="S307" s="141" t="n">
        <x:f>IF(AND($A307&gt;=Premissas!$B$48,$A307-Premissas!$B$48+1&lt;=Premissas!$B$13),INDEX(Financiamento!$M$6:$M$485,$A307-Premissas!$B$48+1),0)</x:f>
        <x:v>44571.42857142864</x:v>
      </x:c>
      <x:c r="T307" s="141" t="n">
        <x:f>IF($A307&gt;=Premissas!$B$48,$F307,0)</x:f>
        <x:v>866750.8405482334</x:v>
      </x:c>
      <x:c r="U307" s="141" t="n">
        <x:f>R307+T307-S307</x:f>
        <x:v>12609843.757772861</x:v>
      </x:c>
      <x:c r="V307" s="141" t="n">
        <x:f>IF(Q307&gt;1,"Inviavel",U307)</x:f>
        <x:v>12609843.757772861</x:v>
      </x:c>
      <x:c r="W307" s="141" t="str">
        <x:f>IF(Q307&gt;1,"Inviavel","OK")</x:f>
        <x:v>OK</x:v>
      </x:c>
      <x:c r="X307" s="141" t="n">
        <x:f>IF($A307=Premissas!$B$48,Premissas!$B$8,0)</x:f>
        <x:v>0</x:v>
      </x:c>
      <x:c r="Y307" s="141" t="n">
        <x:f>IF(AND($A307&gt;=Premissas!$B$48,$A307-Premissas!$B$48+1&lt;=Premissas!$B$13),INDEX(Amortizacao!$K$6:$K$485,$A307-Premissas!$B$48+1),0)</x:f>
        <x:v>0</x:v>
      </x:c>
      <x:c r="Z307" s="141" t="n">
        <x:f>IF(AND(TRUE,Premissas!$B$11="Imovel",Premissas!$B$47="Moradia",$A307&lt;MAX(Premissas!$B$48,Premissas!$B$49)),$D307,0)</x:f>
        <x:v>0</x:v>
      </x:c>
      <x:c r="AA307" s="141" t="n">
        <x:f>IF(AND(TRUE,Premissas!$B$11="Imovel",Premissas!$B$47="Investimento",$A307&gt;=MAX(Premissas!$B$48,Premissas!$B$49)),$E307,0)</x:f>
        <x:v>2746.7972606358326</x:v>
      </x:c>
      <x:c r="AB307" s="141" t="n">
        <x:f>X307+Y307+Z307</x:f>
        <x:v>0</x:v>
      </x:c>
      <x:c r="AC307" s="141" t="n">
        <x:f>AA307</x:f>
        <x:v>2746.7972606358326</x:v>
      </x:c>
      <x:c r="AD307" s="141" t="n">
        <x:f>$C307+AC307-AB307</x:f>
        <x:v>9746.797260635833</x:v>
      </x:c>
      <x:c r="AE307" s="141" t="n">
        <x:f>AH306*(1+Premissas!$B$41)+AD307</x:f>
        <x:v>11941521.958981885</x:v>
      </x:c>
      <x:c r="AF307" s="141" t="n">
        <x:f>MAX(0,-AE307)</x:f>
        <x:v>0</x:v>
      </x:c>
      <x:c r="AG307" s="141" t="n">
        <x:f>AG306*(1+Premissas!$B$41)+AF307</x:f>
        <x:v>0</x:v>
      </x:c>
      <x:c r="AH307" s="141" t="n">
        <x:f>MAX(0,AE307)</x:f>
        <x:v>11941521.958981885</x:v>
      </x:c>
      <x:c r="AI307" s="141" t="n">
        <x:f>IF(AND($A307&gt;=Premissas!$B$48,$A307-Premissas!$B$48+1&lt;=Premissas!$B$13),INDEX(Amortizacao!$L$6:$L$485,$A307-Premissas!$B$48+1),0)</x:f>
        <x:v>0</x:v>
      </x:c>
      <x:c r="AJ307" s="141" t="n">
        <x:f>IF($A307&gt;=Premissas!$B$48,$F307,0)</x:f>
        <x:v>866750.8405482334</x:v>
      </x:c>
      <x:c r="AK307" s="141" t="n">
        <x:f>AH307+AJ307-AI307</x:f>
        <x:v>12808272.799530119</x:v>
      </x:c>
      <x:c r="AL307" s="141" t="n">
        <x:f>IF(AG307&gt;1,"Inviavel",AK307)</x:f>
        <x:v>12808272.799530119</x:v>
      </x:c>
      <x:c r="AM307" s="141" t="str">
        <x:f>IF(AG307&gt;1,"Inviavel","OK")</x:f>
        <x:v>OK</x:v>
      </x:c>
      <x:c r="AN307" s="141" t="n">
        <x:f>IF($A307=Premissas!$B$48,Premissas!$B$8,0)</x:f>
        <x:v>0</x:v>
      </x:c>
      <x:c r="AO307" s="141" t="n">
        <x:f>IF($A307&lt;=Premissas!$B$25,INDEX('Consorcio IQ'!$K$6:$K$485,$A307),0)</x:f>
        <x:v>0</x:v>
      </x:c>
      <x:c r="AP307" s="141" t="n">
        <x:f>IF(AND(TRUE,Premissas!$B$11="Imovel",Premissas!$B$47="Moradia",$A307&lt;MAX(Premissas!$B$48,Premissas!$B$49)),$D307,0)</x:f>
        <x:v>0</x:v>
      </x:c>
      <x:c r="AQ307" s="141" t="n">
        <x:f>IF(AND(TRUE,Premissas!$B$11="Imovel",Premissas!$B$47="Investimento",$A307&gt;=MAX(Premissas!$B$48,Premissas!$B$49)),$E307,0)</x:f>
        <x:v>2746.7972606358326</x:v>
      </x:c>
      <x:c r="AR307" s="141" t="n">
        <x:f>AN307+AO307+AP307</x:f>
        <x:v>0</x:v>
      </x:c>
      <x:c r="AS307" s="141" t="n">
        <x:f>AQ307</x:f>
        <x:v>2746.7972606358326</x:v>
      </x:c>
      <x:c r="AT307" s="141" t="n">
        <x:f>$C307+AS307-AR307</x:f>
        <x:v>9746.797260635833</x:v>
      </x:c>
      <x:c r="AU307" s="141" t="n">
        <x:f>AX306*(1+Premissas!$B$41)+AT307</x:f>
        <x:v>11841400.416345252</x:v>
      </x:c>
      <x:c r="AV307" s="141" t="n">
        <x:f>MAX(0,-AU307)</x:f>
        <x:v>0</x:v>
      </x:c>
      <x:c r="AW307" s="141" t="n">
        <x:f>AW306*(1+Premissas!$B$41)+AV307</x:f>
        <x:v>0</x:v>
      </x:c>
      <x:c r="AX307" s="141" t="n">
        <x:f>MAX(0,AU307)</x:f>
        <x:v>11841400.416345252</x:v>
      </x:c>
      <x:c r="AY307" s="141" t="n">
        <x:f>INDEX('Consorcio IQ'!$P$6:$P$485,$A307)</x:f>
        <x:v>0</x:v>
      </x:c>
      <x:c r="AZ307" s="141" t="n">
        <x:f>IF($A307&gt;=Premissas!$B$48,$F307,0)+IF($A307&lt;Premissas!$B$27,INDEX('Consorcio IQ'!$O$6:$O$485,$A307),0)</x:f>
        <x:v>866750.8405482334</x:v>
      </x:c>
      <x:c r="BA307" s="141" t="n">
        <x:f>AX307+AZ307-AY307</x:f>
        <x:v>12708151.256893486</x:v>
      </x:c>
      <x:c r="BB307" s="141" t="n">
        <x:f>IF(AW307&gt;1,"Inviavel",BA307)</x:f>
        <x:v>12708151.256893486</x:v>
      </x:c>
      <x:c r="BC307" s="141" t="str">
        <x:f>IF(AW307&gt;1,"Inviavel","OK")</x:f>
        <x:v>OK</x:v>
      </x:c>
      <x:c r="BD307" s="141" t="n">
        <x:f>IF($A307='Consorcio Direto'!$B$29,'Consorcio Direto'!$B$44,0)</x:f>
        <x:v>0</x:v>
      </x:c>
      <x:c r="BE307" s="141" t="n">
        <x:f>IF($A307&lt;='Consorcio Direto'!$B$27,INDEX('Consorcio Direto'!$E$55:$E$534,$A307),0)</x:f>
        <x:v>0</x:v>
      </x:c>
      <x:c r="BF307" s="141" t="n">
        <x:f>IF(AND(TRUE,Premissas!$B$11="Imovel",Premissas!$B$47="Moradia",$A307&lt;MAX('Consorcio Direto'!$B$29,Premissas!$B$49)),$D307,0)</x:f>
        <x:v>0</x:v>
      </x:c>
      <x:c r="BG307" s="141" t="n">
        <x:f>IF(AND(TRUE,Premissas!$B$11="Imovel",Premissas!$B$47="Investimento",$A307&gt;=MAX('Consorcio Direto'!$B$29,Premissas!$B$49)),$E307,0)</x:f>
        <x:v>2746.7972606358326</x:v>
      </x:c>
      <x:c r="BH307" s="141" t="n">
        <x:f>BD307+BE307+BF307</x:f>
        <x:v>0</x:v>
      </x:c>
      <x:c r="BI307" s="141" t="n">
        <x:f>BG307</x:f>
        <x:v>2746.7972606358326</x:v>
      </x:c>
      <x:c r="BJ307" s="141" t="n">
        <x:f>$C307+BI307-BH307</x:f>
        <x:v>9746.797260635833</x:v>
      </x:c>
      <x:c r="BK307" s="141" t="n">
        <x:f>BN306*(1+Premissas!$B$41)+BJ307</x:f>
        <x:v>11300304.615635818</x:v>
      </x:c>
      <x:c r="BL307" s="141" t="n">
        <x:f>MAX(0,-BK307)</x:f>
        <x:v>0</x:v>
      </x:c>
      <x:c r="BM307" s="141" t="n">
        <x:f>BM306*(1+Premissas!$B$41)+BL307</x:f>
        <x:v>0</x:v>
      </x:c>
      <x:c r="BN307" s="141" t="n">
        <x:f>MAX(0,BK307)</x:f>
        <x:v>11300304.615635818</x:v>
      </x:c>
      <x:c r="BO307" s="141" t="n">
        <x:f>INDEX('Consorcio Direto'!$K$55:$K$534,$A307)</x:f>
        <x:v>0</x:v>
      </x:c>
      <x:c r="BP307" s="141" t="n">
        <x:f>IF($A307&lt;'Consorcio Direto'!$B$29,INDEX('Consorcio Direto'!$L$55:$L$534,$A307),$F307)</x:f>
        <x:v>866750.8405482334</x:v>
      </x:c>
      <x:c r="BQ307" s="141" t="n">
        <x:f>BN307+BP307-BO307</x:f>
        <x:v>12167055.456184052</x:v>
      </x:c>
      <x:c r="BR307" s="141" t="n">
        <x:f>IF(BM307&gt;1,"Inviavel",BQ307)</x:f>
        <x:v>12167055.456184052</x:v>
      </x:c>
      <x:c r="BS307" s="141" t="str">
        <x:f>IF(BM307&gt;1,"Inviavel","OK")</x:f>
        <x:v>OK</x:v>
      </x:c>
      <x:c r="BT307" s="141" t="n">
        <x:f>IF(AND('Carta Contemplada'!$B$22="Sim",$A307='Carta Contemplada'!$B$23),'Carta Contemplada'!$B$37,0)</x:f>
        <x:v>0</x:v>
      </x:c>
      <x:c r="BU307" s="141" t="n">
        <x:f>IF('Carta Contemplada'!$B$22="Sim",INDEX('Carta Contemplada'!$C$55:$C$1013,$A307),0)</x:f>
        <x:v>0</x:v>
      </x:c>
      <x:c r="BV307" s="141" t="n">
        <x:f>IF(AND('Carta Contemplada'!$B$22="Sim",Premissas!$B$11="Imovel",Premissas!$B$47="Moradia",$A307&lt;MAX('Carta Contemplada'!$B$44,Premissas!$B$49)),$D307,0)</x:f>
        <x:v>0</x:v>
      </x:c>
      <x:c r="BW307" s="141" t="n">
        <x:f>IF(AND('Carta Contemplada'!$B$22="Sim",Premissas!$B$11="Imovel",Premissas!$B$47="Investimento",$A307&gt;=MAX('Carta Contemplada'!$B$44,Premissas!$B$49)),$E307,0)</x:f>
        <x:v>2746.7972606358326</x:v>
      </x:c>
      <x:c r="BX307" s="141" t="n">
        <x:f>BT307+BU307+BV307</x:f>
        <x:v>0</x:v>
      </x:c>
      <x:c r="BY307" s="141" t="n">
        <x:f>BW307</x:f>
        <x:v>2746.7972606358326</x:v>
      </x:c>
      <x:c r="BZ307" s="141" t="n">
        <x:f>$C307+BY307-BX307</x:f>
        <x:v>9746.797260635833</x:v>
      </x:c>
      <x:c r="CA307" s="141" t="n">
        <x:f>CD306*(1+Premissas!$B$41)+BZ307</x:f>
        <x:v>12194009.673335802</x:v>
      </x:c>
      <x:c r="CB307" s="141" t="n">
        <x:f>MAX(0,-CA307)</x:f>
        <x:v>0</x:v>
      </x:c>
      <x:c r="CC307" s="141" t="n">
        <x:f>CC306*(1+Premissas!$B$41)+CB307</x:f>
        <x:v>0</x:v>
      </x:c>
      <x:c r="CD307" s="141" t="n">
        <x:f>MAX(0,CA307)</x:f>
        <x:v>12194009.673335802</x:v>
      </x:c>
      <x:c r="CE307" s="141" t="n">
        <x:f>IF(AND('Carta Contemplada'!$B$22="Sim",$A307&gt;='Carta Contemplada'!$B$23),INDEX('Carta Contemplada'!$I$55:$I$1013,$A307),0)</x:f>
        <x:v>0</x:v>
      </x:c>
      <x:c r="CF307" s="141" t="n">
        <x:f>IF(AND('Carta Contemplada'!$B$22="Sim",$A307&gt;='Carta Contemplada'!$B$44),$F307,0)</x:f>
        <x:v>866750.8405482334</x:v>
      </x:c>
      <x:c r="CG307" s="141" t="n">
        <x:f>CD307+CF307-CE307</x:f>
        <x:v>13060760.513884036</x:v>
      </x:c>
      <x:c r="CH307" s="141" t="n">
        <x:f>IF(CC307&gt;1,"Inviavel",CG307)</x:f>
        <x:v>13060760.513884036</x:v>
      </x:c>
      <x:c r="CI307" s="145" t="str">
        <x:f>IF(CC307&gt;1,"Inviavel","OK")</x:f>
        <x:v>OK</x:v>
      </x:c>
    </x:row>
    <x:row r="308">
      <x:c r="A308" s="142" t="n">
        <x:v>304</x:v>
      </x:c>
      <x:c r="B308" s="179" t="n">
        <x:f>EDATE(Premissas!$B$4,A308-1)</x:f>
        <x:v>55763</x:v>
      </x:c>
      <x:c r="C308" s="141" t="n">
        <x:f>IF(A308&lt;=Premissas!$B$39,Premissas!$B$42,0)</x:f>
        <x:v>7000</x:v>
      </x:c>
      <x:c r="D308" s="141" t="n">
        <x:f>Premissas!$B$54*(1+Premissas!$B$57)^INT((A308-1)/12)</x:f>
        <x:v>3004.309503820442</x:v>
      </x:c>
      <x:c r="E308" s="141" t="n">
        <x:f>Premissas!$B$64*(1+Premissas!$B$57)^INT((A308-1)/12)</x:f>
        <x:v>2746.7972606358326</x:v>
      </x:c>
      <x:c r="F308" s="141" t="n">
        <x:f>MAX(0,Premissas!$B$6*(1+Premissas!$B$66)^((A308-1)/12))</x:f>
        <x:v>870969.7940921554</x:v>
      </x:c>
      <x:c r="G308" s="141" t="n">
        <x:f>G307*(1+Premissas!$B$41)+C308</x:f>
        <x:v>13860239.448717535</x:v>
      </x:c>
      <x:c r="H308" s="141" t="n">
        <x:f>IF($A308=Premissas!$B$48,Premissas!$B$8,0)</x:f>
        <x:v>0</x:v>
      </x:c>
      <x:c r="I308" s="141" t="n">
        <x:f>IF(AND($A308&gt;=Premissas!$B$48,$A308-Premissas!$B$48+1&lt;=Premissas!$B$13),INDEX(Financiamento!$J$6:$J$485,$A308-Premissas!$B$48+1),0)</x:f>
        <x:v>953.8814374652266</x:v>
      </x:c>
      <x:c r="J308" s="141" t="n">
        <x:f>IF(AND(TRUE,Premissas!$B$11="Imovel",Premissas!$B$47="Moradia",$A308&lt;MAX(Premissas!$B$48,Premissas!$B$49)),$D308,0)</x:f>
        <x:v>0</x:v>
      </x:c>
      <x:c r="K308" s="141" t="n">
        <x:f>IF(AND(TRUE,Premissas!$B$11="Imovel",Premissas!$B$47="Investimento",$A308&gt;=MAX(Premissas!$B$48,Premissas!$B$49)),$E308,0)</x:f>
        <x:v>2746.7972606358326</x:v>
      </x:c>
      <x:c r="L308" s="141" t="n">
        <x:f>H308+I308+J308</x:f>
        <x:v>953.8814374652266</x:v>
      </x:c>
      <x:c r="M308" s="141" t="n">
        <x:f>K308</x:f>
        <x:v>2746.7972606358326</x:v>
      </x:c>
      <x:c r="N308" s="141" t="n">
        <x:f>$C308+M308-L308</x:f>
        <x:v>8792.915823170606</x:v>
      </x:c>
      <x:c r="O308" s="141" t="n">
        <x:f>R307*(1+Premissas!$B$41)+N308</x:f>
        <x:v>11908307.967778852</x:v>
      </x:c>
      <x:c r="P308" s="141" t="n">
        <x:f>MAX(0,-O308)</x:f>
        <x:v>0</x:v>
      </x:c>
      <x:c r="Q308" s="141" t="n">
        <x:f>Q307*(1+Premissas!$B$41)+P308</x:f>
        <x:v>0</x:v>
      </x:c>
      <x:c r="R308" s="141" t="n">
        <x:f>MAX(0,O308)</x:f>
        <x:v>11908307.967778852</x:v>
      </x:c>
      <x:c r="S308" s="141" t="n">
        <x:f>IF(AND($A308&gt;=Premissas!$B$48,$A308-Premissas!$B$48+1&lt;=Premissas!$B$13),INDEX(Financiamento!$M$6:$M$485,$A308-Premissas!$B$48+1),0)</x:f>
        <x:v>44190.476190476256</x:v>
      </x:c>
      <x:c r="T308" s="141" t="n">
        <x:f>IF($A308&gt;=Premissas!$B$48,$F308,0)</x:f>
        <x:v>870969.7940921554</x:v>
      </x:c>
      <x:c r="U308" s="141" t="n">
        <x:f>R308+T308-S308</x:f>
        <x:v>12735087.285680532</x:v>
      </x:c>
      <x:c r="V308" s="141" t="n">
        <x:f>IF(Q308&gt;1,"Inviavel",U308)</x:f>
        <x:v>12735087.285680532</x:v>
      </x:c>
      <x:c r="W308" s="141" t="str">
        <x:f>IF(Q308&gt;1,"Inviavel","OK")</x:f>
        <x:v>OK</x:v>
      </x:c>
      <x:c r="X308" s="141" t="n">
        <x:f>IF($A308=Premissas!$B$48,Premissas!$B$8,0)</x:f>
        <x:v>0</x:v>
      </x:c>
      <x:c r="Y308" s="141" t="n">
        <x:f>IF(AND($A308&gt;=Premissas!$B$48,$A308-Premissas!$B$48+1&lt;=Premissas!$B$13),INDEX(Amortizacao!$K$6:$K$485,$A308-Premissas!$B$48+1),0)</x:f>
        <x:v>0</x:v>
      </x:c>
      <x:c r="Z308" s="141" t="n">
        <x:f>IF(AND(TRUE,Premissas!$B$11="Imovel",Premissas!$B$47="Moradia",$A308&lt;MAX(Premissas!$B$48,Premissas!$B$49)),$D308,0)</x:f>
        <x:v>0</x:v>
      </x:c>
      <x:c r="AA308" s="141" t="n">
        <x:f>IF(AND(TRUE,Premissas!$B$11="Imovel",Premissas!$B$47="Investimento",$A308&gt;=MAX(Premissas!$B$48,Premissas!$B$49)),$E308,0)</x:f>
        <x:v>2746.7972606358326</x:v>
      </x:c>
      <x:c r="AB308" s="141" t="n">
        <x:f>X308+Y308+Z308</x:f>
        <x:v>0</x:v>
      </x:c>
      <x:c r="AC308" s="141" t="n">
        <x:f>AA308</x:f>
        <x:v>2746.7972606358326</x:v>
      </x:c>
      <x:c r="AD308" s="141" t="n">
        <x:f>$C308+AC308-AB308</x:f>
        <x:v>9746.797260635833</x:v>
      </x:c>
      <x:c r="AE308" s="141" t="n">
        <x:f>AH307*(1+Premissas!$B$41)+AD308</x:f>
        <x:v>12064579.385435076</x:v>
      </x:c>
      <x:c r="AF308" s="141" t="n">
        <x:f>MAX(0,-AE308)</x:f>
        <x:v>0</x:v>
      </x:c>
      <x:c r="AG308" s="141" t="n">
        <x:f>AG307*(1+Premissas!$B$41)+AF308</x:f>
        <x:v>0</x:v>
      </x:c>
      <x:c r="AH308" s="141" t="n">
        <x:f>MAX(0,AE308)</x:f>
        <x:v>12064579.385435076</x:v>
      </x:c>
      <x:c r="AI308" s="141" t="n">
        <x:f>IF(AND($A308&gt;=Premissas!$B$48,$A308-Premissas!$B$48+1&lt;=Premissas!$B$13),INDEX(Amortizacao!$L$6:$L$485,$A308-Premissas!$B$48+1),0)</x:f>
        <x:v>0</x:v>
      </x:c>
      <x:c r="AJ308" s="141" t="n">
        <x:f>IF($A308&gt;=Premissas!$B$48,$F308,0)</x:f>
        <x:v>870969.7940921554</x:v>
      </x:c>
      <x:c r="AK308" s="141" t="n">
        <x:f>AH308+AJ308-AI308</x:f>
        <x:v>12935549.179527232</x:v>
      </x:c>
      <x:c r="AL308" s="141" t="n">
        <x:f>IF(AG308&gt;1,"Inviavel",AK308)</x:f>
        <x:v>12935549.179527232</x:v>
      </x:c>
      <x:c r="AM308" s="141" t="str">
        <x:f>IF(AG308&gt;1,"Inviavel","OK")</x:f>
        <x:v>OK</x:v>
      </x:c>
      <x:c r="AN308" s="141" t="n">
        <x:f>IF($A308=Premissas!$B$48,Premissas!$B$8,0)</x:f>
        <x:v>0</x:v>
      </x:c>
      <x:c r="AO308" s="141" t="n">
        <x:f>IF($A308&lt;=Premissas!$B$25,INDEX('Consorcio IQ'!$K$6:$K$485,$A308),0)</x:f>
        <x:v>0</x:v>
      </x:c>
      <x:c r="AP308" s="141" t="n">
        <x:f>IF(AND(TRUE,Premissas!$B$11="Imovel",Premissas!$B$47="Moradia",$A308&lt;MAX(Premissas!$B$48,Premissas!$B$49)),$D308,0)</x:f>
        <x:v>0</x:v>
      </x:c>
      <x:c r="AQ308" s="141" t="n">
        <x:f>IF(AND(TRUE,Premissas!$B$11="Imovel",Premissas!$B$47="Investimento",$A308&gt;=MAX(Premissas!$B$48,Premissas!$B$49)),$E308,0)</x:f>
        <x:v>2746.7972606358326</x:v>
      </x:c>
      <x:c r="AR308" s="141" t="n">
        <x:f>AN308+AO308+AP308</x:f>
        <x:v>0</x:v>
      </x:c>
      <x:c r="AS308" s="141" t="n">
        <x:f>AQ308</x:f>
        <x:v>2746.7972606358326</x:v>
      </x:c>
      <x:c r="AT308" s="141" t="n">
        <x:f>$C308+AS308-AR308</x:f>
        <x:v>9746.797260635833</x:v>
      </x:c>
      <x:c r="AU308" s="141" t="n">
        <x:f>AX307*(1+Premissas!$B$41)+AT308</x:f>
        <x:v>11963507.810212074</x:v>
      </x:c>
      <x:c r="AV308" s="141" t="n">
        <x:f>MAX(0,-AU308)</x:f>
        <x:v>0</x:v>
      </x:c>
      <x:c r="AW308" s="141" t="n">
        <x:f>AW307*(1+Premissas!$B$41)+AV308</x:f>
        <x:v>0</x:v>
      </x:c>
      <x:c r="AX308" s="141" t="n">
        <x:f>MAX(0,AU308)</x:f>
        <x:v>11963507.810212074</x:v>
      </x:c>
      <x:c r="AY308" s="141" t="n">
        <x:f>INDEX('Consorcio IQ'!$P$6:$P$485,$A308)</x:f>
        <x:v>0</x:v>
      </x:c>
      <x:c r="AZ308" s="141" t="n">
        <x:f>IF($A308&gt;=Premissas!$B$48,$F308,0)+IF($A308&lt;Premissas!$B$27,INDEX('Consorcio IQ'!$O$6:$O$485,$A308),0)</x:f>
        <x:v>870969.7940921554</x:v>
      </x:c>
      <x:c r="BA308" s="141" t="n">
        <x:f>AX308+AZ308-AY308</x:f>
        <x:v>12834477.60430423</x:v>
      </x:c>
      <x:c r="BB308" s="141" t="n">
        <x:f>IF(AW308&gt;1,"Inviavel",BA308)</x:f>
        <x:v>12834477.60430423</x:v>
      </x:c>
      <x:c r="BC308" s="141" t="str">
        <x:f>IF(AW308&gt;1,"Inviavel","OK")</x:f>
        <x:v>OK</x:v>
      </x:c>
      <x:c r="BD308" s="141" t="n">
        <x:f>IF($A308='Consorcio Direto'!$B$29,'Consorcio Direto'!$B$44,0)</x:f>
        <x:v>0</x:v>
      </x:c>
      <x:c r="BE308" s="141" t="n">
        <x:f>IF($A308&lt;='Consorcio Direto'!$B$27,INDEX('Consorcio Direto'!$E$55:$E$534,$A308),0)</x:f>
        <x:v>0</x:v>
      </x:c>
      <x:c r="BF308" s="141" t="n">
        <x:f>IF(AND(TRUE,Premissas!$B$11="Imovel",Premissas!$B$47="Moradia",$A308&lt;MAX('Consorcio Direto'!$B$29,Premissas!$B$49)),$D308,0)</x:f>
        <x:v>0</x:v>
      </x:c>
      <x:c r="BG308" s="141" t="n">
        <x:f>IF(AND(TRUE,Premissas!$B$11="Imovel",Premissas!$B$47="Investimento",$A308&gt;=MAX('Consorcio Direto'!$B$29,Premissas!$B$49)),$E308,0)</x:f>
        <x:v>2746.7972606358326</x:v>
      </x:c>
      <x:c r="BH308" s="141" t="n">
        <x:f>BD308+BE308+BF308</x:f>
        <x:v>0</x:v>
      </x:c>
      <x:c r="BI308" s="141" t="n">
        <x:f>BG308</x:f>
        <x:v>2746.7972606358326</x:v>
      </x:c>
      <x:c r="BJ308" s="141" t="n">
        <x:f>$C308+BI308-BH308</x:f>
        <x:v>9746.797260635833</x:v>
      </x:c>
      <x:c r="BK308" s="141" t="n">
        <x:f>BN307*(1+Premissas!$B$41)+BJ308</x:f>
        <x:v>11417277.663491936</x:v>
      </x:c>
      <x:c r="BL308" s="141" t="n">
        <x:f>MAX(0,-BK308)</x:f>
        <x:v>0</x:v>
      </x:c>
      <x:c r="BM308" s="141" t="n">
        <x:f>BM307*(1+Premissas!$B$41)+BL308</x:f>
        <x:v>0</x:v>
      </x:c>
      <x:c r="BN308" s="141" t="n">
        <x:f>MAX(0,BK308)</x:f>
        <x:v>11417277.663491936</x:v>
      </x:c>
      <x:c r="BO308" s="141" t="n">
        <x:f>INDEX('Consorcio Direto'!$K$55:$K$534,$A308)</x:f>
        <x:v>0</x:v>
      </x:c>
      <x:c r="BP308" s="141" t="n">
        <x:f>IF($A308&lt;'Consorcio Direto'!$B$29,INDEX('Consorcio Direto'!$L$55:$L$534,$A308),$F308)</x:f>
        <x:v>870969.7940921554</x:v>
      </x:c>
      <x:c r="BQ308" s="141" t="n">
        <x:f>BN308+BP308-BO308</x:f>
        <x:v>12288247.457584092</x:v>
      </x:c>
      <x:c r="BR308" s="141" t="n">
        <x:f>IF(BM308&gt;1,"Inviavel",BQ308)</x:f>
        <x:v>12288247.457584092</x:v>
      </x:c>
      <x:c r="BS308" s="141" t="str">
        <x:f>IF(BM308&gt;1,"Inviavel","OK")</x:f>
        <x:v>OK</x:v>
      </x:c>
      <x:c r="BT308" s="141" t="n">
        <x:f>IF(AND('Carta Contemplada'!$B$22="Sim",$A308='Carta Contemplada'!$B$23),'Carta Contemplada'!$B$37,0)</x:f>
        <x:v>0</x:v>
      </x:c>
      <x:c r="BU308" s="141" t="n">
        <x:f>IF('Carta Contemplada'!$B$22="Sim",INDEX('Carta Contemplada'!$C$55:$C$1013,$A308),0)</x:f>
        <x:v>0</x:v>
      </x:c>
      <x:c r="BV308" s="141" t="n">
        <x:f>IF(AND('Carta Contemplada'!$B$22="Sim",Premissas!$B$11="Imovel",Premissas!$B$47="Moradia",$A308&lt;MAX('Carta Contemplada'!$B$44,Premissas!$B$49)),$D308,0)</x:f>
        <x:v>0</x:v>
      </x:c>
      <x:c r="BW308" s="141" t="n">
        <x:f>IF(AND('Carta Contemplada'!$B$22="Sim",Premissas!$B$11="Imovel",Premissas!$B$47="Investimento",$A308&gt;=MAX('Carta Contemplada'!$B$44,Premissas!$B$49)),$E308,0)</x:f>
        <x:v>2746.7972606358326</x:v>
      </x:c>
      <x:c r="BX308" s="141" t="n">
        <x:f>BT308+BU308+BV308</x:f>
        <x:v>0</x:v>
      </x:c>
      <x:c r="BY308" s="141" t="n">
        <x:f>BW308</x:f>
        <x:v>2746.7972606358326</x:v>
      </x:c>
      <x:c r="BZ308" s="141" t="n">
        <x:f>$C308+BY308-BX308</x:f>
        <x:v>9746.797260635833</x:v>
      </x:c>
      <x:c r="CA308" s="141" t="n">
        <x:f>CD307*(1+Premissas!$B$41)+BZ308</x:f>
        <x:v>12319462.903429024</x:v>
      </x:c>
      <x:c r="CB308" s="141" t="n">
        <x:f>MAX(0,-CA308)</x:f>
        <x:v>0</x:v>
      </x:c>
      <x:c r="CC308" s="141" t="n">
        <x:f>CC307*(1+Premissas!$B$41)+CB308</x:f>
        <x:v>0</x:v>
      </x:c>
      <x:c r="CD308" s="141" t="n">
        <x:f>MAX(0,CA308)</x:f>
        <x:v>12319462.903429024</x:v>
      </x:c>
      <x:c r="CE308" s="141" t="n">
        <x:f>IF(AND('Carta Contemplada'!$B$22="Sim",$A308&gt;='Carta Contemplada'!$B$23),INDEX('Carta Contemplada'!$I$55:$I$1013,$A308),0)</x:f>
        <x:v>0</x:v>
      </x:c>
      <x:c r="CF308" s="141" t="n">
        <x:f>IF(AND('Carta Contemplada'!$B$22="Sim",$A308&gt;='Carta Contemplada'!$B$44),$F308,0)</x:f>
        <x:v>870969.7940921554</x:v>
      </x:c>
      <x:c r="CG308" s="141" t="n">
        <x:f>CD308+CF308-CE308</x:f>
        <x:v>13190432.69752118</x:v>
      </x:c>
      <x:c r="CH308" s="141" t="n">
        <x:f>IF(CC308&gt;1,"Inviavel",CG308)</x:f>
        <x:v>13190432.69752118</x:v>
      </x:c>
      <x:c r="CI308" s="145" t="str">
        <x:f>IF(CC308&gt;1,"Inviavel","OK")</x:f>
        <x:v>OK</x:v>
      </x:c>
    </x:row>
    <x:row r="309">
      <x:c r="A309" s="142" t="n">
        <x:v>305</x:v>
      </x:c>
      <x:c r="B309" s="179" t="n">
        <x:f>EDATE(Premissas!$B$4,A309-1)</x:f>
        <x:v>55793</x:v>
      </x:c>
      <x:c r="C309" s="141" t="n">
        <x:f>IF(A309&lt;=Premissas!$B$39,Premissas!$B$42,0)</x:f>
        <x:v>7000</x:v>
      </x:c>
      <x:c r="D309" s="141" t="n">
        <x:f>Premissas!$B$54*(1+Premissas!$B$57)^INT((A309-1)/12)</x:f>
        <x:v>3004.309503820442</x:v>
      </x:c>
      <x:c r="E309" s="141" t="n">
        <x:f>Premissas!$B$64*(1+Premissas!$B$57)^INT((A309-1)/12)</x:f>
        <x:v>2746.7972606358326</x:v>
      </x:c>
      <x:c r="F309" s="141" t="n">
        <x:f>MAX(0,Premissas!$B$6*(1+Premissas!$B$66)^((A309-1)/12))</x:f>
        <x:v>875209.2836057853</x:v>
      </x:c>
      <x:c r="G309" s="141" t="n">
        <x:f>G308*(1+Premissas!$B$41)+C309</x:f>
        <x:v>13998756.390870154</x:v>
      </x:c>
      <x:c r="H309" s="141" t="n">
        <x:f>IF($A309=Premissas!$B$48,Premissas!$B$8,0)</x:f>
        <x:v>0</x:v>
      </x:c>
      <x:c r="I309" s="141" t="n">
        <x:f>IF(AND($A309&gt;=Premissas!$B$48,$A309-Premissas!$B$48+1&lt;=Premissas!$B$13),INDEX(Financiamento!$J$6:$J$485,$A309-Premissas!$B$48+1),0)</x:f>
        <x:v>950.2666592044329</x:v>
      </x:c>
      <x:c r="J309" s="141" t="n">
        <x:f>IF(AND(TRUE,Premissas!$B$11="Imovel",Premissas!$B$47="Moradia",$A309&lt;MAX(Premissas!$B$48,Premissas!$B$49)),$D309,0)</x:f>
        <x:v>0</x:v>
      </x:c>
      <x:c r="K309" s="141" t="n">
        <x:f>IF(AND(TRUE,Premissas!$B$11="Imovel",Premissas!$B$47="Investimento",$A309&gt;=MAX(Premissas!$B$48,Premissas!$B$49)),$E309,0)</x:f>
        <x:v>2746.7972606358326</x:v>
      </x:c>
      <x:c r="L309" s="141" t="n">
        <x:f>H309+I309+J309</x:f>
        <x:v>950.2666592044329</x:v>
      </x:c>
      <x:c r="M309" s="141" t="n">
        <x:f>K309</x:f>
        <x:v>2746.7972606358326</x:v>
      </x:c>
      <x:c r="N309" s="141" t="n">
        <x:f>$C309+M309-L309</x:f>
        <x:v>8796.5306014314</x:v>
      </x:c>
      <x:c r="O309" s="141" t="n">
        <x:f>R308*(1+Premissas!$B$41)+N309</x:f>
        <x:v>12030099.966887781</x:v>
      </x:c>
      <x:c r="P309" s="141" t="n">
        <x:f>MAX(0,-O309)</x:f>
        <x:v>0</x:v>
      </x:c>
      <x:c r="Q309" s="141" t="n">
        <x:f>Q308*(1+Premissas!$B$41)+P309</x:f>
        <x:v>0</x:v>
      </x:c>
      <x:c r="R309" s="141" t="n">
        <x:f>MAX(0,O309)</x:f>
        <x:v>12030099.966887781</x:v>
      </x:c>
      <x:c r="S309" s="141" t="n">
        <x:f>IF(AND($A309&gt;=Premissas!$B$48,$A309-Premissas!$B$48+1&lt;=Premissas!$B$13),INDEX(Financiamento!$M$6:$M$485,$A309-Premissas!$B$48+1),0)</x:f>
        <x:v>43809.523809523875</x:v>
      </x:c>
      <x:c r="T309" s="141" t="n">
        <x:f>IF($A309&gt;=Premissas!$B$48,$F309,0)</x:f>
        <x:v>875209.2836057853</x:v>
      </x:c>
      <x:c r="U309" s="141" t="n">
        <x:f>R309+T309-S309</x:f>
        <x:v>12861499.726684043</x:v>
      </x:c>
      <x:c r="V309" s="141" t="n">
        <x:f>IF(Q309&gt;1,"Inviavel",U309)</x:f>
        <x:v>12861499.726684043</x:v>
      </x:c>
      <x:c r="W309" s="141" t="str">
        <x:f>IF(Q309&gt;1,"Inviavel","OK")</x:f>
        <x:v>OK</x:v>
      </x:c>
      <x:c r="X309" s="141" t="n">
        <x:f>IF($A309=Premissas!$B$48,Premissas!$B$8,0)</x:f>
        <x:v>0</x:v>
      </x:c>
      <x:c r="Y309" s="141" t="n">
        <x:f>IF(AND($A309&gt;=Premissas!$B$48,$A309-Premissas!$B$48+1&lt;=Premissas!$B$13),INDEX(Amortizacao!$K$6:$K$485,$A309-Premissas!$B$48+1),0)</x:f>
        <x:v>0</x:v>
      </x:c>
      <x:c r="Z309" s="141" t="n">
        <x:f>IF(AND(TRUE,Premissas!$B$11="Imovel",Premissas!$B$47="Moradia",$A309&lt;MAX(Premissas!$B$48,Premissas!$B$49)),$D309,0)</x:f>
        <x:v>0</x:v>
      </x:c>
      <x:c r="AA309" s="141" t="n">
        <x:f>IF(AND(TRUE,Premissas!$B$11="Imovel",Premissas!$B$47="Investimento",$A309&gt;=MAX(Premissas!$B$48,Premissas!$B$49)),$E309,0)</x:f>
        <x:v>2746.7972606358326</x:v>
      </x:c>
      <x:c r="AB309" s="141" t="n">
        <x:f>X309+Y309+Z309</x:f>
        <x:v>0</x:v>
      </x:c>
      <x:c r="AC309" s="141" t="n">
        <x:f>AA309</x:f>
        <x:v>2746.7972606358326</x:v>
      </x:c>
      <x:c r="AD309" s="141" t="n">
        <x:f>$C309+AC309-AB309</x:f>
        <x:v>9746.797260635833</x:v>
      </x:c>
      <x:c r="AE309" s="141" t="n">
        <x:f>AH308*(1+Premissas!$B$41)+AD309</x:f>
        <x:v>12188804.478326945</x:v>
      </x:c>
      <x:c r="AF309" s="141" t="n">
        <x:f>MAX(0,-AE309)</x:f>
        <x:v>0</x:v>
      </x:c>
      <x:c r="AG309" s="141" t="n">
        <x:f>AG308*(1+Premissas!$B$41)+AF309</x:f>
        <x:v>0</x:v>
      </x:c>
      <x:c r="AH309" s="141" t="n">
        <x:f>MAX(0,AE309)</x:f>
        <x:v>12188804.478326945</x:v>
      </x:c>
      <x:c r="AI309" s="141" t="n">
        <x:f>IF(AND($A309&gt;=Premissas!$B$48,$A309-Premissas!$B$48+1&lt;=Premissas!$B$13),INDEX(Amortizacao!$L$6:$L$485,$A309-Premissas!$B$48+1),0)</x:f>
        <x:v>0</x:v>
      </x:c>
      <x:c r="AJ309" s="141" t="n">
        <x:f>IF($A309&gt;=Premissas!$B$48,$F309,0)</x:f>
        <x:v>875209.2836057853</x:v>
      </x:c>
      <x:c r="AK309" s="141" t="n">
        <x:f>AH309+AJ309-AI309</x:f>
        <x:v>13064013.76193273</x:v>
      </x:c>
      <x:c r="AL309" s="141" t="n">
        <x:f>IF(AG309&gt;1,"Inviavel",AK309)</x:f>
        <x:v>13064013.76193273</x:v>
      </x:c>
      <x:c r="AM309" s="141" t="str">
        <x:f>IF(AG309&gt;1,"Inviavel","OK")</x:f>
        <x:v>OK</x:v>
      </x:c>
      <x:c r="AN309" s="141" t="n">
        <x:f>IF($A309=Premissas!$B$48,Premissas!$B$8,0)</x:f>
        <x:v>0</x:v>
      </x:c>
      <x:c r="AO309" s="141" t="n">
        <x:f>IF($A309&lt;=Premissas!$B$25,INDEX('Consorcio IQ'!$K$6:$K$485,$A309),0)</x:f>
        <x:v>0</x:v>
      </x:c>
      <x:c r="AP309" s="141" t="n">
        <x:f>IF(AND(TRUE,Premissas!$B$11="Imovel",Premissas!$B$47="Moradia",$A309&lt;MAX(Premissas!$B$48,Premissas!$B$49)),$D309,0)</x:f>
        <x:v>0</x:v>
      </x:c>
      <x:c r="AQ309" s="141" t="n">
        <x:f>IF(AND(TRUE,Premissas!$B$11="Imovel",Premissas!$B$47="Investimento",$A309&gt;=MAX(Premissas!$B$48,Premissas!$B$49)),$E309,0)</x:f>
        <x:v>2746.7972606358326</x:v>
      </x:c>
      <x:c r="AR309" s="141" t="n">
        <x:f>AN309+AO309+AP309</x:f>
        <x:v>0</x:v>
      </x:c>
      <x:c r="AS309" s="141" t="n">
        <x:f>AQ309</x:f>
        <x:v>2746.7972606358326</x:v>
      </x:c>
      <x:c r="AT309" s="141" t="n">
        <x:f>$C309+AS309-AR309</x:f>
        <x:v>9746.797260635833</x:v>
      </x:c>
      <x:c r="AU309" s="141" t="n">
        <x:f>AX308*(1+Premissas!$B$41)+AT309</x:f>
        <x:v>12086773.85585508</x:v>
      </x:c>
      <x:c r="AV309" s="141" t="n">
        <x:f>MAX(0,-AU309)</x:f>
        <x:v>0</x:v>
      </x:c>
      <x:c r="AW309" s="141" t="n">
        <x:f>AW308*(1+Premissas!$B$41)+AV309</x:f>
        <x:v>0</x:v>
      </x:c>
      <x:c r="AX309" s="141" t="n">
        <x:f>MAX(0,AU309)</x:f>
        <x:v>12086773.85585508</x:v>
      </x:c>
      <x:c r="AY309" s="141" t="n">
        <x:f>INDEX('Consorcio IQ'!$P$6:$P$485,$A309)</x:f>
        <x:v>0</x:v>
      </x:c>
      <x:c r="AZ309" s="141" t="n">
        <x:f>IF($A309&gt;=Premissas!$B$48,$F309,0)+IF($A309&lt;Premissas!$B$27,INDEX('Consorcio IQ'!$O$6:$O$485,$A309),0)</x:f>
        <x:v>875209.2836057853</x:v>
      </x:c>
      <x:c r="BA309" s="141" t="n">
        <x:f>AX309+AZ309-AY309</x:f>
        <x:v>12961983.139460865</x:v>
      </x:c>
      <x:c r="BB309" s="141" t="n">
        <x:f>IF(AW309&gt;1,"Inviavel",BA309)</x:f>
        <x:v>12961983.139460865</x:v>
      </x:c>
      <x:c r="BC309" s="141" t="str">
        <x:f>IF(AW309&gt;1,"Inviavel","OK")</x:f>
        <x:v>OK</x:v>
      </x:c>
      <x:c r="BD309" s="141" t="n">
        <x:f>IF($A309='Consorcio Direto'!$B$29,'Consorcio Direto'!$B$44,0)</x:f>
        <x:v>0</x:v>
      </x:c>
      <x:c r="BE309" s="141" t="n">
        <x:f>IF($A309&lt;='Consorcio Direto'!$B$27,INDEX('Consorcio Direto'!$E$55:$E$534,$A309),0)</x:f>
        <x:v>0</x:v>
      </x:c>
      <x:c r="BF309" s="141" t="n">
        <x:f>IF(AND(TRUE,Premissas!$B$11="Imovel",Premissas!$B$47="Moradia",$A309&lt;MAX('Consorcio Direto'!$B$29,Premissas!$B$49)),$D309,0)</x:f>
        <x:v>0</x:v>
      </x:c>
      <x:c r="BG309" s="141" t="n">
        <x:f>IF(AND(TRUE,Premissas!$B$11="Imovel",Premissas!$B$47="Investimento",$A309&gt;=MAX('Consorcio Direto'!$B$29,Premissas!$B$49)),$E309,0)</x:f>
        <x:v>2746.7972606358326</x:v>
      </x:c>
      <x:c r="BH309" s="141" t="n">
        <x:f>BD309+BE309+BF309</x:f>
        <x:v>0</x:v>
      </x:c>
      <x:c r="BI309" s="141" t="n">
        <x:f>BG309</x:f>
        <x:v>2746.7972606358326</x:v>
      </x:c>
      <x:c r="BJ309" s="141" t="n">
        <x:f>$C309+BI309-BH309</x:f>
        <x:v>9746.797260635833</x:v>
      </x:c>
      <x:c r="BK309" s="141" t="n">
        <x:f>BN308*(1+Premissas!$B$41)+BJ309</x:f>
        <x:v>11535360.644378088</x:v>
      </x:c>
      <x:c r="BL309" s="141" t="n">
        <x:f>MAX(0,-BK309)</x:f>
        <x:v>0</x:v>
      </x:c>
      <x:c r="BM309" s="141" t="n">
        <x:f>BM308*(1+Premissas!$B$41)+BL309</x:f>
        <x:v>0</x:v>
      </x:c>
      <x:c r="BN309" s="141" t="n">
        <x:f>MAX(0,BK309)</x:f>
        <x:v>11535360.644378088</x:v>
      </x:c>
      <x:c r="BO309" s="141" t="n">
        <x:f>INDEX('Consorcio Direto'!$K$55:$K$534,$A309)</x:f>
        <x:v>0</x:v>
      </x:c>
      <x:c r="BP309" s="141" t="n">
        <x:f>IF($A309&lt;'Consorcio Direto'!$B$29,INDEX('Consorcio Direto'!$L$55:$L$534,$A309),$F309)</x:f>
        <x:v>875209.2836057853</x:v>
      </x:c>
      <x:c r="BQ309" s="141" t="n">
        <x:f>BN309+BP309-BO309</x:f>
        <x:v>12410569.927983874</x:v>
      </x:c>
      <x:c r="BR309" s="141" t="n">
        <x:f>IF(BM309&gt;1,"Inviavel",BQ309)</x:f>
        <x:v>12410569.927983874</x:v>
      </x:c>
      <x:c r="BS309" s="141" t="str">
        <x:f>IF(BM309&gt;1,"Inviavel","OK")</x:f>
        <x:v>OK</x:v>
      </x:c>
      <x:c r="BT309" s="141" t="n">
        <x:f>IF(AND('Carta Contemplada'!$B$22="Sim",$A309='Carta Contemplada'!$B$23),'Carta Contemplada'!$B$37,0)</x:f>
        <x:v>0</x:v>
      </x:c>
      <x:c r="BU309" s="141" t="n">
        <x:f>IF('Carta Contemplada'!$B$22="Sim",INDEX('Carta Contemplada'!$C$55:$C$1013,$A309),0)</x:f>
        <x:v>0</x:v>
      </x:c>
      <x:c r="BV309" s="141" t="n">
        <x:f>IF(AND('Carta Contemplada'!$B$22="Sim",Premissas!$B$11="Imovel",Premissas!$B$47="Moradia",$A309&lt;MAX('Carta Contemplada'!$B$44,Premissas!$B$49)),$D309,0)</x:f>
        <x:v>0</x:v>
      </x:c>
      <x:c r="BW309" s="141" t="n">
        <x:f>IF(AND('Carta Contemplada'!$B$22="Sim",Premissas!$B$11="Imovel",Premissas!$B$47="Investimento",$A309&gt;=MAX('Carta Contemplada'!$B$44,Premissas!$B$49)),$E309,0)</x:f>
        <x:v>2746.7972606358326</x:v>
      </x:c>
      <x:c r="BX309" s="141" t="n">
        <x:f>BT309+BU309+BV309</x:f>
        <x:v>0</x:v>
      </x:c>
      <x:c r="BY309" s="141" t="n">
        <x:f>BW309</x:f>
        <x:v>2746.7972606358326</x:v>
      </x:c>
      <x:c r="BZ309" s="141" t="n">
        <x:f>$C309+BY309-BX309</x:f>
        <x:v>9746.797260635833</x:v>
      </x:c>
      <x:c r="CA309" s="141" t="n">
        <x:f>CD308*(1+Premissas!$B$41)+BZ309</x:f>
        <x:v>12446106.533245577</x:v>
      </x:c>
      <x:c r="CB309" s="141" t="n">
        <x:f>MAX(0,-CA309)</x:f>
        <x:v>0</x:v>
      </x:c>
      <x:c r="CC309" s="141" t="n">
        <x:f>CC308*(1+Premissas!$B$41)+CB309</x:f>
        <x:v>0</x:v>
      </x:c>
      <x:c r="CD309" s="141" t="n">
        <x:f>MAX(0,CA309)</x:f>
        <x:v>12446106.533245577</x:v>
      </x:c>
      <x:c r="CE309" s="141" t="n">
        <x:f>IF(AND('Carta Contemplada'!$B$22="Sim",$A309&gt;='Carta Contemplada'!$B$23),INDEX('Carta Contemplada'!$I$55:$I$1013,$A309),0)</x:f>
        <x:v>0</x:v>
      </x:c>
      <x:c r="CF309" s="141" t="n">
        <x:f>IF(AND('Carta Contemplada'!$B$22="Sim",$A309&gt;='Carta Contemplada'!$B$44),$F309,0)</x:f>
        <x:v>875209.2836057853</x:v>
      </x:c>
      <x:c r="CG309" s="141" t="n">
        <x:f>CD309+CF309-CE309</x:f>
        <x:v>13321315.816851363</x:v>
      </x:c>
      <x:c r="CH309" s="141" t="n">
        <x:f>IF(CC309&gt;1,"Inviavel",CG309)</x:f>
        <x:v>13321315.816851363</x:v>
      </x:c>
      <x:c r="CI309" s="145" t="str">
        <x:f>IF(CC309&gt;1,"Inviavel","OK")</x:f>
        <x:v>OK</x:v>
      </x:c>
    </x:row>
    <x:row r="310">
      <x:c r="A310" s="142" t="n">
        <x:v>306</x:v>
      </x:c>
      <x:c r="B310" s="179" t="n">
        <x:f>EDATE(Premissas!$B$4,A310-1)</x:f>
        <x:v>55824</x:v>
      </x:c>
      <x:c r="C310" s="141" t="n">
        <x:f>IF(A310&lt;=Premissas!$B$39,Premissas!$B$42,0)</x:f>
        <x:v>7000</x:v>
      </x:c>
      <x:c r="D310" s="141" t="n">
        <x:f>Premissas!$B$54*(1+Premissas!$B$57)^INT((A310-1)/12)</x:f>
        <x:v>3004.309503820442</x:v>
      </x:c>
      <x:c r="E310" s="141" t="n">
        <x:f>Premissas!$B$64*(1+Premissas!$B$57)^INT((A310-1)/12)</x:f>
        <x:v>2746.7972606358326</x:v>
      </x:c>
      <x:c r="F310" s="141" t="n">
        <x:f>MAX(0,Premissas!$B$6*(1+Premissas!$B$66)^((A310-1)/12))</x:f>
        <x:v>879469.4090489942</x:v>
      </x:c>
      <x:c r="G310" s="141" t="n">
        <x:f>G309*(1+Premissas!$B$41)+C310</x:f>
        <x:v>14138587.691604791</x:v>
      </x:c>
      <x:c r="H310" s="141" t="n">
        <x:f>IF($A310=Premissas!$B$48,Premissas!$B$8,0)</x:f>
        <x:v>0</x:v>
      </x:c>
      <x:c r="I310" s="141" t="n">
        <x:f>IF(AND($A310&gt;=Premissas!$B$48,$A310-Premissas!$B$48+1&lt;=Premissas!$B$13),INDEX(Financiamento!$J$6:$J$485,$A310-Premissas!$B$48+1),0)</x:f>
        <x:v>946.6518809436394</x:v>
      </x:c>
      <x:c r="J310" s="141" t="n">
        <x:f>IF(AND(TRUE,Premissas!$B$11="Imovel",Premissas!$B$47="Moradia",$A310&lt;MAX(Premissas!$B$48,Premissas!$B$49)),$D310,0)</x:f>
        <x:v>0</x:v>
      </x:c>
      <x:c r="K310" s="141" t="n">
        <x:f>IF(AND(TRUE,Premissas!$B$11="Imovel",Premissas!$B$47="Investimento",$A310&gt;=MAX(Premissas!$B$48,Premissas!$B$49)),$E310,0)</x:f>
        <x:v>2746.7972606358326</x:v>
      </x:c>
      <x:c r="L310" s="141" t="n">
        <x:f>H310+I310+J310</x:f>
        <x:v>946.6518809436394</x:v>
      </x:c>
      <x:c r="M310" s="141" t="n">
        <x:f>K310</x:f>
        <x:v>2746.7972606358326</x:v>
      </x:c>
      <x:c r="N310" s="141" t="n">
        <x:f>$C310+M310-L310</x:f>
        <x:v>8800.145379692192</x:v>
      </x:c>
      <x:c r="O310" s="141" t="n">
        <x:f>R309*(1+Premissas!$B$41)+N310</x:f>
        <x:v>12153051.239835607</x:v>
      </x:c>
      <x:c r="P310" s="141" t="n">
        <x:f>MAX(0,-O310)</x:f>
        <x:v>0</x:v>
      </x:c>
      <x:c r="Q310" s="141" t="n">
        <x:f>Q309*(1+Premissas!$B$41)+P310</x:f>
        <x:v>0</x:v>
      </x:c>
      <x:c r="R310" s="141" t="n">
        <x:f>MAX(0,O310)</x:f>
        <x:v>12153051.239835607</x:v>
      </x:c>
      <x:c r="S310" s="141" t="n">
        <x:f>IF(AND($A310&gt;=Premissas!$B$48,$A310-Premissas!$B$48+1&lt;=Premissas!$B$13),INDEX(Financiamento!$M$6:$M$485,$A310-Premissas!$B$48+1),0)</x:f>
        <x:v>43428.57142857149</x:v>
      </x:c>
      <x:c r="T310" s="141" t="n">
        <x:f>IF($A310&gt;=Premissas!$B$48,$F310,0)</x:f>
        <x:v>879469.4090489942</x:v>
      </x:c>
      <x:c r="U310" s="141" t="n">
        <x:f>R310+T310-S310</x:f>
        <x:v>12989092.077456031</x:v>
      </x:c>
      <x:c r="V310" s="141" t="n">
        <x:f>IF(Q310&gt;1,"Inviavel",U310)</x:f>
        <x:v>12989092.077456031</x:v>
      </x:c>
      <x:c r="W310" s="141" t="str">
        <x:f>IF(Q310&gt;1,"Inviavel","OK")</x:f>
        <x:v>OK</x:v>
      </x:c>
      <x:c r="X310" s="141" t="n">
        <x:f>IF($A310=Premissas!$B$48,Premissas!$B$8,0)</x:f>
        <x:v>0</x:v>
      </x:c>
      <x:c r="Y310" s="141" t="n">
        <x:f>IF(AND($A310&gt;=Premissas!$B$48,$A310-Premissas!$B$48+1&lt;=Premissas!$B$13),INDEX(Amortizacao!$K$6:$K$485,$A310-Premissas!$B$48+1),0)</x:f>
        <x:v>0</x:v>
      </x:c>
      <x:c r="Z310" s="141" t="n">
        <x:f>IF(AND(TRUE,Premissas!$B$11="Imovel",Premissas!$B$47="Moradia",$A310&lt;MAX(Premissas!$B$48,Premissas!$B$49)),$D310,0)</x:f>
        <x:v>0</x:v>
      </x:c>
      <x:c r="AA310" s="141" t="n">
        <x:f>IF(AND(TRUE,Premissas!$B$11="Imovel",Premissas!$B$47="Investimento",$A310&gt;=MAX(Premissas!$B$48,Premissas!$B$49)),$E310,0)</x:f>
        <x:v>2746.7972606358326</x:v>
      </x:c>
      <x:c r="AB310" s="141" t="n">
        <x:f>X310+Y310+Z310</x:f>
        <x:v>0</x:v>
      </x:c>
      <x:c r="AC310" s="141" t="n">
        <x:f>AA310</x:f>
        <x:v>2746.7972606358326</x:v>
      </x:c>
      <x:c r="AD310" s="141" t="n">
        <x:f>$C310+AC310-AB310</x:f>
        <x:v>9746.797260635833</x:v>
      </x:c>
      <x:c r="AE310" s="141" t="n">
        <x:f>AH309*(1+Premissas!$B$41)+AD310</x:f>
        <x:v>12314208.317402544</x:v>
      </x:c>
      <x:c r="AF310" s="141" t="n">
        <x:f>MAX(0,-AE310)</x:f>
        <x:v>0</x:v>
      </x:c>
      <x:c r="AG310" s="141" t="n">
        <x:f>AG309*(1+Premissas!$B$41)+AF310</x:f>
        <x:v>0</x:v>
      </x:c>
      <x:c r="AH310" s="141" t="n">
        <x:f>MAX(0,AE310)</x:f>
        <x:v>12314208.317402544</x:v>
      </x:c>
      <x:c r="AI310" s="141" t="n">
        <x:f>IF(AND($A310&gt;=Premissas!$B$48,$A310-Premissas!$B$48+1&lt;=Premissas!$B$13),INDEX(Amortizacao!$L$6:$L$485,$A310-Premissas!$B$48+1),0)</x:f>
        <x:v>0</x:v>
      </x:c>
      <x:c r="AJ310" s="141" t="n">
        <x:f>IF($A310&gt;=Premissas!$B$48,$F310,0)</x:f>
        <x:v>879469.4090489942</x:v>
      </x:c>
      <x:c r="AK310" s="141" t="n">
        <x:f>AH310+AJ310-AI310</x:f>
        <x:v>13193677.726451539</x:v>
      </x:c>
      <x:c r="AL310" s="141" t="n">
        <x:f>IF(AG310&gt;1,"Inviavel",AK310)</x:f>
        <x:v>13193677.726451539</x:v>
      </x:c>
      <x:c r="AM310" s="141" t="str">
        <x:f>IF(AG310&gt;1,"Inviavel","OK")</x:f>
        <x:v>OK</x:v>
      </x:c>
      <x:c r="AN310" s="141" t="n">
        <x:f>IF($A310=Premissas!$B$48,Premissas!$B$8,0)</x:f>
        <x:v>0</x:v>
      </x:c>
      <x:c r="AO310" s="141" t="n">
        <x:f>IF($A310&lt;=Premissas!$B$25,INDEX('Consorcio IQ'!$K$6:$K$485,$A310),0)</x:f>
        <x:v>0</x:v>
      </x:c>
      <x:c r="AP310" s="141" t="n">
        <x:f>IF(AND(TRUE,Premissas!$B$11="Imovel",Premissas!$B$47="Moradia",$A310&lt;MAX(Premissas!$B$48,Premissas!$B$49)),$D310,0)</x:f>
        <x:v>0</x:v>
      </x:c>
      <x:c r="AQ310" s="141" t="n">
        <x:f>IF(AND(TRUE,Premissas!$B$11="Imovel",Premissas!$B$47="Investimento",$A310&gt;=MAX(Premissas!$B$48,Premissas!$B$49)),$E310,0)</x:f>
        <x:v>2746.7972606358326</x:v>
      </x:c>
      <x:c r="AR310" s="141" t="n">
        <x:f>AN310+AO310+AP310</x:f>
        <x:v>0</x:v>
      </x:c>
      <x:c r="AS310" s="141" t="n">
        <x:f>AQ310</x:f>
        <x:v>2746.7972606358326</x:v>
      </x:c>
      <x:c r="AT310" s="141" t="n">
        <x:f>$C310+AS310-AR310</x:f>
        <x:v>9746.797260635833</x:v>
      </x:c>
      <x:c r="AU310" s="141" t="n">
        <x:f>AX309*(1+Premissas!$B$41)+AT310</x:f>
        <x:v>12211209.547481056</x:v>
      </x:c>
      <x:c r="AV310" s="141" t="n">
        <x:f>MAX(0,-AU310)</x:f>
        <x:v>0</x:v>
      </x:c>
      <x:c r="AW310" s="141" t="n">
        <x:f>AW309*(1+Premissas!$B$41)+AV310</x:f>
        <x:v>0</x:v>
      </x:c>
      <x:c r="AX310" s="141" t="n">
        <x:f>MAX(0,AU310)</x:f>
        <x:v>12211209.547481056</x:v>
      </x:c>
      <x:c r="AY310" s="141" t="n">
        <x:f>INDEX('Consorcio IQ'!$P$6:$P$485,$A310)</x:f>
        <x:v>0</x:v>
      </x:c>
      <x:c r="AZ310" s="141" t="n">
        <x:f>IF($A310&gt;=Premissas!$B$48,$F310,0)+IF($A310&lt;Premissas!$B$27,INDEX('Consorcio IQ'!$O$6:$O$485,$A310),0)</x:f>
        <x:v>879469.4090489942</x:v>
      </x:c>
      <x:c r="BA310" s="141" t="n">
        <x:f>AX310+AZ310-AY310</x:f>
        <x:v>13090678.956530051</x:v>
      </x:c>
      <x:c r="BB310" s="141" t="n">
        <x:f>IF(AW310&gt;1,"Inviavel",BA310)</x:f>
        <x:v>13090678.956530051</x:v>
      </x:c>
      <x:c r="BC310" s="141" t="str">
        <x:f>IF(AW310&gt;1,"Inviavel","OK")</x:f>
        <x:v>OK</x:v>
      </x:c>
      <x:c r="BD310" s="141" t="n">
        <x:f>IF($A310='Consorcio Direto'!$B$29,'Consorcio Direto'!$B$44,0)</x:f>
        <x:v>0</x:v>
      </x:c>
      <x:c r="BE310" s="141" t="n">
        <x:f>IF($A310&lt;='Consorcio Direto'!$B$27,INDEX('Consorcio Direto'!$E$55:$E$534,$A310),0)</x:f>
        <x:v>0</x:v>
      </x:c>
      <x:c r="BF310" s="141" t="n">
        <x:f>IF(AND(TRUE,Premissas!$B$11="Imovel",Premissas!$B$47="Moradia",$A310&lt;MAX('Consorcio Direto'!$B$29,Premissas!$B$49)),$D310,0)</x:f>
        <x:v>0</x:v>
      </x:c>
      <x:c r="BG310" s="141" t="n">
        <x:f>IF(AND(TRUE,Premissas!$B$11="Imovel",Premissas!$B$47="Investimento",$A310&gt;=MAX('Consorcio Direto'!$B$29,Premissas!$B$49)),$E310,0)</x:f>
        <x:v>2746.7972606358326</x:v>
      </x:c>
      <x:c r="BH310" s="141" t="n">
        <x:f>BD310+BE310+BF310</x:f>
        <x:v>0</x:v>
      </x:c>
      <x:c r="BI310" s="141" t="n">
        <x:f>BG310</x:f>
        <x:v>2746.7972606358326</x:v>
      </x:c>
      <x:c r="BJ310" s="141" t="n">
        <x:f>$C310+BI310-BH310</x:f>
        <x:v>9746.797260635833</x:v>
      </x:c>
      <x:c r="BK310" s="141" t="n">
        <x:f>BN309*(1+Premissas!$B$41)+BJ310</x:f>
        <x:v>11654564.090218967</x:v>
      </x:c>
      <x:c r="BL310" s="141" t="n">
        <x:f>MAX(0,-BK310)</x:f>
        <x:v>0</x:v>
      </x:c>
      <x:c r="BM310" s="141" t="n">
        <x:f>BM309*(1+Premissas!$B$41)+BL310</x:f>
        <x:v>0</x:v>
      </x:c>
      <x:c r="BN310" s="141" t="n">
        <x:f>MAX(0,BK310)</x:f>
        <x:v>11654564.090218967</x:v>
      </x:c>
      <x:c r="BO310" s="141" t="n">
        <x:f>INDEX('Consorcio Direto'!$K$55:$K$534,$A310)</x:f>
        <x:v>0</x:v>
      </x:c>
      <x:c r="BP310" s="141" t="n">
        <x:f>IF($A310&lt;'Consorcio Direto'!$B$29,INDEX('Consorcio Direto'!$L$55:$L$534,$A310),$F310)</x:f>
        <x:v>879469.4090489942</x:v>
      </x:c>
      <x:c r="BQ310" s="141" t="n">
        <x:f>BN310+BP310-BO310</x:f>
        <x:v>12534033.499267962</x:v>
      </x:c>
      <x:c r="BR310" s="141" t="n">
        <x:f>IF(BM310&gt;1,"Inviavel",BQ310)</x:f>
        <x:v>12534033.499267962</x:v>
      </x:c>
      <x:c r="BS310" s="141" t="str">
        <x:f>IF(BM310&gt;1,"Inviavel","OK")</x:f>
        <x:v>OK</x:v>
      </x:c>
      <x:c r="BT310" s="141" t="n">
        <x:f>IF(AND('Carta Contemplada'!$B$22="Sim",$A310='Carta Contemplada'!$B$23),'Carta Contemplada'!$B$37,0)</x:f>
        <x:v>0</x:v>
      </x:c>
      <x:c r="BU310" s="141" t="n">
        <x:f>IF('Carta Contemplada'!$B$22="Sim",INDEX('Carta Contemplada'!$C$55:$C$1013,$A310),0)</x:f>
        <x:v>0</x:v>
      </x:c>
      <x:c r="BV310" s="141" t="n">
        <x:f>IF(AND('Carta Contemplada'!$B$22="Sim",Premissas!$B$11="Imovel",Premissas!$B$47="Moradia",$A310&lt;MAX('Carta Contemplada'!$B$44,Premissas!$B$49)),$D310,0)</x:f>
        <x:v>0</x:v>
      </x:c>
      <x:c r="BW310" s="141" t="n">
        <x:f>IF(AND('Carta Contemplada'!$B$22="Sim",Premissas!$B$11="Imovel",Premissas!$B$47="Investimento",$A310&gt;=MAX('Carta Contemplada'!$B$44,Premissas!$B$49)),$E310,0)</x:f>
        <x:v>2746.7972606358326</x:v>
      </x:c>
      <x:c r="BX310" s="141" t="n">
        <x:f>BT310+BU310+BV310</x:f>
        <x:v>0</x:v>
      </x:c>
      <x:c r="BY310" s="141" t="n">
        <x:f>BW310</x:f>
        <x:v>2746.7972606358326</x:v>
      </x:c>
      <x:c r="BZ310" s="141" t="n">
        <x:f>$C310+BY310-BX310</x:f>
        <x:v>9746.797260635833</x:v>
      </x:c>
      <x:c r="CA310" s="141" t="n">
        <x:f>CD309*(1+Premissas!$B$41)+BZ310</x:f>
        <x:v>12573951.858241942</x:v>
      </x:c>
      <x:c r="CB310" s="141" t="n">
        <x:f>MAX(0,-CA310)</x:f>
        <x:v>0</x:v>
      </x:c>
      <x:c r="CC310" s="141" t="n">
        <x:f>CC309*(1+Premissas!$B$41)+CB310</x:f>
        <x:v>0</x:v>
      </x:c>
      <x:c r="CD310" s="141" t="n">
        <x:f>MAX(0,CA310)</x:f>
        <x:v>12573951.858241942</x:v>
      </x:c>
      <x:c r="CE310" s="141" t="n">
        <x:f>IF(AND('Carta Contemplada'!$B$22="Sim",$A310&gt;='Carta Contemplada'!$B$23),INDEX('Carta Contemplada'!$I$55:$I$1013,$A310),0)</x:f>
        <x:v>0</x:v>
      </x:c>
      <x:c r="CF310" s="141" t="n">
        <x:f>IF(AND('Carta Contemplada'!$B$22="Sim",$A310&gt;='Carta Contemplada'!$B$44),$F310,0)</x:f>
        <x:v>879469.4090489942</x:v>
      </x:c>
      <x:c r="CG310" s="141" t="n">
        <x:f>CD310+CF310-CE310</x:f>
        <x:v>13453421.267290937</x:v>
      </x:c>
      <x:c r="CH310" s="141" t="n">
        <x:f>IF(CC310&gt;1,"Inviavel",CG310)</x:f>
        <x:v>13453421.267290937</x:v>
      </x:c>
      <x:c r="CI310" s="145" t="str">
        <x:f>IF(CC310&gt;1,"Inviavel","OK")</x:f>
        <x:v>OK</x:v>
      </x:c>
    </x:row>
    <x:row r="311">
      <x:c r="A311" s="142" t="n">
        <x:v>307</x:v>
      </x:c>
      <x:c r="B311" s="179" t="n">
        <x:f>EDATE(Premissas!$B$4,A311-1)</x:f>
        <x:v>55854</x:v>
      </x:c>
      <x:c r="C311" s="141" t="n">
        <x:f>IF(A311&lt;=Premissas!$B$39,Premissas!$B$42,0)</x:f>
        <x:v>7000</x:v>
      </x:c>
      <x:c r="D311" s="141" t="n">
        <x:f>Premissas!$B$54*(1+Premissas!$B$57)^INT((A311-1)/12)</x:f>
        <x:v>3004.309503820442</x:v>
      </x:c>
      <x:c r="E311" s="141" t="n">
        <x:f>Premissas!$B$64*(1+Premissas!$B$57)^INT((A311-1)/12)</x:f>
        <x:v>2746.7972606358326</x:v>
      </x:c>
      <x:c r="F311" s="141" t="n">
        <x:f>MAX(0,Premissas!$B$6*(1+Premissas!$B$66)^((A311-1)/12))</x:f>
        <x:v>883750.2708682126</x:v>
      </x:c>
      <x:c r="G311" s="141" t="n">
        <x:f>G310*(1+Premissas!$B$41)+C311</x:f>
        <x:v>14279745.822597874</x:v>
      </x:c>
      <x:c r="H311" s="141" t="n">
        <x:f>IF($A311=Premissas!$B$48,Premissas!$B$8,0)</x:f>
        <x:v>0</x:v>
      </x:c>
      <x:c r="I311" s="141" t="n">
        <x:f>IF(AND($A311&gt;=Premissas!$B$48,$A311-Premissas!$B$48+1&lt;=Premissas!$B$13),INDEX(Financiamento!$J$6:$J$485,$A311-Premissas!$B$48+1),0)</x:f>
        <x:v>943.0371026828459</x:v>
      </x:c>
      <x:c r="J311" s="141" t="n">
        <x:f>IF(AND(TRUE,Premissas!$B$11="Imovel",Premissas!$B$47="Moradia",$A311&lt;MAX(Premissas!$B$48,Premissas!$B$49)),$D311,0)</x:f>
        <x:v>0</x:v>
      </x:c>
      <x:c r="K311" s="141" t="n">
        <x:f>IF(AND(TRUE,Premissas!$B$11="Imovel",Premissas!$B$47="Investimento",$A311&gt;=MAX(Premissas!$B$48,Premissas!$B$49)),$E311,0)</x:f>
        <x:v>2746.7972606358326</x:v>
      </x:c>
      <x:c r="L311" s="141" t="n">
        <x:f>H311+I311+J311</x:f>
        <x:v>943.0371026828459</x:v>
      </x:c>
      <x:c r="M311" s="141" t="n">
        <x:f>K311</x:f>
        <x:v>2746.7972606358326</x:v>
      </x:c>
      <x:c r="N311" s="141" t="n">
        <x:f>$C311+M311-L311</x:f>
        <x:v>8803.760157952987</x:v>
      </x:c>
      <x:c r="O311" s="141" t="n">
        <x:f>R310*(1+Premissas!$B$41)+N311</x:f>
        <x:v>12277172.786731737</x:v>
      </x:c>
      <x:c r="P311" s="141" t="n">
        <x:f>MAX(0,-O311)</x:f>
        <x:v>0</x:v>
      </x:c>
      <x:c r="Q311" s="141" t="n">
        <x:f>Q310*(1+Premissas!$B$41)+P311</x:f>
        <x:v>0</x:v>
      </x:c>
      <x:c r="R311" s="141" t="n">
        <x:f>MAX(0,O311)</x:f>
        <x:v>12277172.786731737</x:v>
      </x:c>
      <x:c r="S311" s="141" t="n">
        <x:f>IF(AND($A311&gt;=Premissas!$B$48,$A311-Premissas!$B$48+1&lt;=Premissas!$B$13),INDEX(Financiamento!$M$6:$M$485,$A311-Premissas!$B$48+1),0)</x:f>
        <x:v>43047.61904761911</x:v>
      </x:c>
      <x:c r="T311" s="141" t="n">
        <x:f>IF($A311&gt;=Premissas!$B$48,$F311,0)</x:f>
        <x:v>883750.2708682126</x:v>
      </x:c>
      <x:c r="U311" s="141" t="n">
        <x:f>R311+T311-S311</x:f>
        <x:v>13117875.43855233</x:v>
      </x:c>
      <x:c r="V311" s="141" t="n">
        <x:f>IF(Q311&gt;1,"Inviavel",U311)</x:f>
        <x:v>13117875.43855233</x:v>
      </x:c>
      <x:c r="W311" s="141" t="str">
        <x:f>IF(Q311&gt;1,"Inviavel","OK")</x:f>
        <x:v>OK</x:v>
      </x:c>
      <x:c r="X311" s="141" t="n">
        <x:f>IF($A311=Premissas!$B$48,Premissas!$B$8,0)</x:f>
        <x:v>0</x:v>
      </x:c>
      <x:c r="Y311" s="141" t="n">
        <x:f>IF(AND($A311&gt;=Premissas!$B$48,$A311-Premissas!$B$48+1&lt;=Premissas!$B$13),INDEX(Amortizacao!$K$6:$K$485,$A311-Premissas!$B$48+1),0)</x:f>
        <x:v>0</x:v>
      </x:c>
      <x:c r="Z311" s="141" t="n">
        <x:f>IF(AND(TRUE,Premissas!$B$11="Imovel",Premissas!$B$47="Moradia",$A311&lt;MAX(Premissas!$B$48,Premissas!$B$49)),$D311,0)</x:f>
        <x:v>0</x:v>
      </x:c>
      <x:c r="AA311" s="141" t="n">
        <x:f>IF(AND(TRUE,Premissas!$B$11="Imovel",Premissas!$B$47="Investimento",$A311&gt;=MAX(Premissas!$B$48,Premissas!$B$49)),$E311,0)</x:f>
        <x:v>2746.7972606358326</x:v>
      </x:c>
      <x:c r="AB311" s="141" t="n">
        <x:f>X311+Y311+Z311</x:f>
        <x:v>0</x:v>
      </x:c>
      <x:c r="AC311" s="141" t="n">
        <x:f>AA311</x:f>
        <x:v>2746.7972606358326</x:v>
      </x:c>
      <x:c r="AD311" s="141" t="n">
        <x:f>$C311+AC311-AB311</x:f>
        <x:v>9746.797260635833</x:v>
      </x:c>
      <x:c r="AE311" s="141" t="n">
        <x:f>AH310*(1+Premissas!$B$41)+AD311</x:f>
        <x:v>12440802.087540332</x:v>
      </x:c>
      <x:c r="AF311" s="141" t="n">
        <x:f>MAX(0,-AE311)</x:f>
        <x:v>0</x:v>
      </x:c>
      <x:c r="AG311" s="141" t="n">
        <x:f>AG310*(1+Premissas!$B$41)+AF311</x:f>
        <x:v>0</x:v>
      </x:c>
      <x:c r="AH311" s="141" t="n">
        <x:f>MAX(0,AE311)</x:f>
        <x:v>12440802.087540332</x:v>
      </x:c>
      <x:c r="AI311" s="141" t="n">
        <x:f>IF(AND($A311&gt;=Premissas!$B$48,$A311-Premissas!$B$48+1&lt;=Premissas!$B$13),INDEX(Amortizacao!$L$6:$L$485,$A311-Premissas!$B$48+1),0)</x:f>
        <x:v>0</x:v>
      </x:c>
      <x:c r="AJ311" s="141" t="n">
        <x:f>IF($A311&gt;=Premissas!$B$48,$F311,0)</x:f>
        <x:v>883750.2708682126</x:v>
      </x:c>
      <x:c r="AK311" s="141" t="n">
        <x:f>AH311+AJ311-AI311</x:f>
        <x:v>13324552.358408544</x:v>
      </x:c>
      <x:c r="AL311" s="141" t="n">
        <x:f>IF(AG311&gt;1,"Inviavel",AK311)</x:f>
        <x:v>13324552.358408544</x:v>
      </x:c>
      <x:c r="AM311" s="141" t="str">
        <x:f>IF(AG311&gt;1,"Inviavel","OK")</x:f>
        <x:v>OK</x:v>
      </x:c>
      <x:c r="AN311" s="141" t="n">
        <x:f>IF($A311=Premissas!$B$48,Premissas!$B$8,0)</x:f>
        <x:v>0</x:v>
      </x:c>
      <x:c r="AO311" s="141" t="n">
        <x:f>IF($A311&lt;=Premissas!$B$25,INDEX('Consorcio IQ'!$K$6:$K$485,$A311),0)</x:f>
        <x:v>0</x:v>
      </x:c>
      <x:c r="AP311" s="141" t="n">
        <x:f>IF(AND(TRUE,Premissas!$B$11="Imovel",Premissas!$B$47="Moradia",$A311&lt;MAX(Premissas!$B$48,Premissas!$B$49)),$D311,0)</x:f>
        <x:v>0</x:v>
      </x:c>
      <x:c r="AQ311" s="141" t="n">
        <x:f>IF(AND(TRUE,Premissas!$B$11="Imovel",Premissas!$B$47="Investimento",$A311&gt;=MAX(Premissas!$B$48,Premissas!$B$49)),$E311,0)</x:f>
        <x:v>2746.7972606358326</x:v>
      </x:c>
      <x:c r="AR311" s="141" t="n">
        <x:f>AN311+AO311+AP311</x:f>
        <x:v>0</x:v>
      </x:c>
      <x:c r="AS311" s="141" t="n">
        <x:f>AQ311</x:f>
        <x:v>2746.7972606358326</x:v>
      </x:c>
      <x:c r="AT311" s="141" t="n">
        <x:f>$C311+AS311-AR311</x:f>
        <x:v>9746.797260635833</x:v>
      </x:c>
      <x:c r="AU311" s="141" t="n">
        <x:f>AX310*(1+Premissas!$B$41)+AT311</x:f>
        <x:v>12336825.983618544</x:v>
      </x:c>
      <x:c r="AV311" s="141" t="n">
        <x:f>MAX(0,-AU311)</x:f>
        <x:v>0</x:v>
      </x:c>
      <x:c r="AW311" s="141" t="n">
        <x:f>AW310*(1+Premissas!$B$41)+AV311</x:f>
        <x:v>0</x:v>
      </x:c>
      <x:c r="AX311" s="141" t="n">
        <x:f>MAX(0,AU311)</x:f>
        <x:v>12336825.983618544</x:v>
      </x:c>
      <x:c r="AY311" s="141" t="n">
        <x:f>INDEX('Consorcio IQ'!$P$6:$P$485,$A311)</x:f>
        <x:v>0</x:v>
      </x:c>
      <x:c r="AZ311" s="141" t="n">
        <x:f>IF($A311&gt;=Premissas!$B$48,$F311,0)+IF($A311&lt;Premissas!$B$27,INDEX('Consorcio IQ'!$O$6:$O$485,$A311),0)</x:f>
        <x:v>883750.2708682126</x:v>
      </x:c>
      <x:c r="BA311" s="141" t="n">
        <x:f>AX311+AZ311-AY311</x:f>
        <x:v>13220576.254486756</x:v>
      </x:c>
      <x:c r="BB311" s="141" t="n">
        <x:f>IF(AW311&gt;1,"Inviavel",BA311)</x:f>
        <x:v>13220576.254486756</x:v>
      </x:c>
      <x:c r="BC311" s="141" t="str">
        <x:f>IF(AW311&gt;1,"Inviavel","OK")</x:f>
        <x:v>OK</x:v>
      </x:c>
      <x:c r="BD311" s="141" t="n">
        <x:f>IF($A311='Consorcio Direto'!$B$29,'Consorcio Direto'!$B$44,0)</x:f>
        <x:v>0</x:v>
      </x:c>
      <x:c r="BE311" s="141" t="n">
        <x:f>IF($A311&lt;='Consorcio Direto'!$B$27,INDEX('Consorcio Direto'!$E$55:$E$534,$A311),0)</x:f>
        <x:v>0</x:v>
      </x:c>
      <x:c r="BF311" s="141" t="n">
        <x:f>IF(AND(TRUE,Premissas!$B$11="Imovel",Premissas!$B$47="Moradia",$A311&lt;MAX('Consorcio Direto'!$B$29,Premissas!$B$49)),$D311,0)</x:f>
        <x:v>0</x:v>
      </x:c>
      <x:c r="BG311" s="141" t="n">
        <x:f>IF(AND(TRUE,Premissas!$B$11="Imovel",Premissas!$B$47="Investimento",$A311&gt;=MAX('Consorcio Direto'!$B$29,Premissas!$B$49)),$E311,0)</x:f>
        <x:v>2746.7972606358326</x:v>
      </x:c>
      <x:c r="BH311" s="141" t="n">
        <x:f>BD311+BE311+BF311</x:f>
        <x:v>0</x:v>
      </x:c>
      <x:c r="BI311" s="141" t="n">
        <x:f>BG311</x:f>
        <x:v>2746.7972606358326</x:v>
      </x:c>
      <x:c r="BJ311" s="141" t="n">
        <x:f>$C311+BI311-BH311</x:f>
        <x:v>9746.797260635833</x:v>
      </x:c>
      <x:c r="BK311" s="141" t="n">
        <x:f>BN310*(1+Premissas!$B$41)+BJ311</x:f>
        <x:v>11774898.632874519</x:v>
      </x:c>
      <x:c r="BL311" s="141" t="n">
        <x:f>MAX(0,-BK311)</x:f>
        <x:v>0</x:v>
      </x:c>
      <x:c r="BM311" s="141" t="n">
        <x:f>BM310*(1+Premissas!$B$41)+BL311</x:f>
        <x:v>0</x:v>
      </x:c>
      <x:c r="BN311" s="141" t="n">
        <x:f>MAX(0,BK311)</x:f>
        <x:v>11774898.632874519</x:v>
      </x:c>
      <x:c r="BO311" s="141" t="n">
        <x:f>INDEX('Consorcio Direto'!$K$55:$K$534,$A311)</x:f>
        <x:v>0</x:v>
      </x:c>
      <x:c r="BP311" s="141" t="n">
        <x:f>IF($A311&lt;'Consorcio Direto'!$B$29,INDEX('Consorcio Direto'!$L$55:$L$534,$A311),$F311)</x:f>
        <x:v>883750.2708682126</x:v>
      </x:c>
      <x:c r="BQ311" s="141" t="n">
        <x:f>BN311+BP311-BO311</x:f>
        <x:v>12658648.90374273</x:v>
      </x:c>
      <x:c r="BR311" s="141" t="n">
        <x:f>IF(BM311&gt;1,"Inviavel",BQ311)</x:f>
        <x:v>12658648.90374273</x:v>
      </x:c>
      <x:c r="BS311" s="141" t="str">
        <x:f>IF(BM311&gt;1,"Inviavel","OK")</x:f>
        <x:v>OK</x:v>
      </x:c>
      <x:c r="BT311" s="141" t="n">
        <x:f>IF(AND('Carta Contemplada'!$B$22="Sim",$A311='Carta Contemplada'!$B$23),'Carta Contemplada'!$B$37,0)</x:f>
        <x:v>0</x:v>
      </x:c>
      <x:c r="BU311" s="141" t="n">
        <x:f>IF('Carta Contemplada'!$B$22="Sim",INDEX('Carta Contemplada'!$C$55:$C$1013,$A311),0)</x:f>
        <x:v>0</x:v>
      </x:c>
      <x:c r="BV311" s="141" t="n">
        <x:f>IF(AND('Carta Contemplada'!$B$22="Sim",Premissas!$B$11="Imovel",Premissas!$B$47="Moradia",$A311&lt;MAX('Carta Contemplada'!$B$44,Premissas!$B$49)),$D311,0)</x:f>
        <x:v>0</x:v>
      </x:c>
      <x:c r="BW311" s="141" t="n">
        <x:f>IF(AND('Carta Contemplada'!$B$22="Sim",Premissas!$B$11="Imovel",Premissas!$B$47="Investimento",$A311&gt;=MAX('Carta Contemplada'!$B$44,Premissas!$B$49)),$E311,0)</x:f>
        <x:v>2746.7972606358326</x:v>
      </x:c>
      <x:c r="BX311" s="141" t="n">
        <x:f>BT311+BU311+BV311</x:f>
        <x:v>0</x:v>
      </x:c>
      <x:c r="BY311" s="141" t="n">
        <x:f>BW311</x:f>
        <x:v>2746.7972606358326</x:v>
      </x:c>
      <x:c r="BZ311" s="141" t="n">
        <x:f>$C311+BY311-BX311</x:f>
        <x:v>9746.797260635833</x:v>
      </x:c>
      <x:c r="CA311" s="141" t="n">
        <x:f>CD310*(1+Premissas!$B$41)+BZ311</x:f>
        <x:v>12703010.281054853</x:v>
      </x:c>
      <x:c r="CB311" s="141" t="n">
        <x:f>MAX(0,-CA311)</x:f>
        <x:v>0</x:v>
      </x:c>
      <x:c r="CC311" s="141" t="n">
        <x:f>CC310*(1+Premissas!$B$41)+CB311</x:f>
        <x:v>0</x:v>
      </x:c>
      <x:c r="CD311" s="141" t="n">
        <x:f>MAX(0,CA311)</x:f>
        <x:v>12703010.281054853</x:v>
      </x:c>
      <x:c r="CE311" s="141" t="n">
        <x:f>IF(AND('Carta Contemplada'!$B$22="Sim",$A311&gt;='Carta Contemplada'!$B$23),INDEX('Carta Contemplada'!$I$55:$I$1013,$A311),0)</x:f>
        <x:v>0</x:v>
      </x:c>
      <x:c r="CF311" s="141" t="n">
        <x:f>IF(AND('Carta Contemplada'!$B$22="Sim",$A311&gt;='Carta Contemplada'!$B$44),$F311,0)</x:f>
        <x:v>883750.2708682126</x:v>
      </x:c>
      <x:c r="CG311" s="141" t="n">
        <x:f>CD311+CF311-CE311</x:f>
        <x:v>13586760.551923065</x:v>
      </x:c>
      <x:c r="CH311" s="141" t="n">
        <x:f>IF(CC311&gt;1,"Inviavel",CG311)</x:f>
        <x:v>13586760.551923065</x:v>
      </x:c>
      <x:c r="CI311" s="145" t="str">
        <x:f>IF(CC311&gt;1,"Inviavel","OK")</x:f>
        <x:v>OK</x:v>
      </x:c>
    </x:row>
    <x:row r="312">
      <x:c r="A312" s="142" t="n">
        <x:v>308</x:v>
      </x:c>
      <x:c r="B312" s="179" t="n">
        <x:f>EDATE(Premissas!$B$4,A312-1)</x:f>
        <x:v>55885</x:v>
      </x:c>
      <x:c r="C312" s="141" t="n">
        <x:f>IF(A312&lt;=Premissas!$B$39,Premissas!$B$42,0)</x:f>
        <x:v>7000</x:v>
      </x:c>
      <x:c r="D312" s="141" t="n">
        <x:f>Premissas!$B$54*(1+Premissas!$B$57)^INT((A312-1)/12)</x:f>
        <x:v>3004.309503820442</x:v>
      </x:c>
      <x:c r="E312" s="141" t="n">
        <x:f>Premissas!$B$64*(1+Premissas!$B$57)^INT((A312-1)/12)</x:f>
        <x:v>2746.7972606358326</x:v>
      </x:c>
      <x:c r="F312" s="141" t="n">
        <x:f>MAX(0,Premissas!$B$6*(1+Premissas!$B$66)^((A312-1)/12))</x:f>
        <x:v>888051.9699987993</x:v>
      </x:c>
      <x:c r="G312" s="141" t="n">
        <x:f>G311*(1+Premissas!$B$41)+C312</x:f>
        <x:v>14422243.373866983</x:v>
      </x:c>
      <x:c r="H312" s="141" t="n">
        <x:f>IF($A312=Premissas!$B$48,Premissas!$B$8,0)</x:f>
        <x:v>0</x:v>
      </x:c>
      <x:c r="I312" s="141" t="n">
        <x:f>IF(AND($A312&gt;=Premissas!$B$48,$A312-Premissas!$B$48+1&lt;=Premissas!$B$13),INDEX(Financiamento!$J$6:$J$485,$A312-Premissas!$B$48+1),0)</x:f>
        <x:v>939.4223244220523</x:v>
      </x:c>
      <x:c r="J312" s="141" t="n">
        <x:f>IF(AND(TRUE,Premissas!$B$11="Imovel",Premissas!$B$47="Moradia",$A312&lt;MAX(Premissas!$B$48,Premissas!$B$49)),$D312,0)</x:f>
        <x:v>0</x:v>
      </x:c>
      <x:c r="K312" s="141" t="n">
        <x:f>IF(AND(TRUE,Premissas!$B$11="Imovel",Premissas!$B$47="Investimento",$A312&gt;=MAX(Premissas!$B$48,Premissas!$B$49)),$E312,0)</x:f>
        <x:v>2746.7972606358326</x:v>
      </x:c>
      <x:c r="L312" s="141" t="n">
        <x:f>H312+I312+J312</x:f>
        <x:v>939.4223244220523</x:v>
      </x:c>
      <x:c r="M312" s="141" t="n">
        <x:f>K312</x:f>
        <x:v>2746.7972606358326</x:v>
      </x:c>
      <x:c r="N312" s="141" t="n">
        <x:f>$C312+M312-L312</x:f>
        <x:v>8807.37493621378</x:v>
      </x:c>
      <x:c r="O312" s="141" t="n">
        <x:f>R311*(1+Premissas!$B$41)+N312</x:f>
        <x:v>12402475.712063346</x:v>
      </x:c>
      <x:c r="P312" s="141" t="n">
        <x:f>MAX(0,-O312)</x:f>
        <x:v>0</x:v>
      </x:c>
      <x:c r="Q312" s="141" t="n">
        <x:f>Q311*(1+Premissas!$B$41)+P312</x:f>
        <x:v>0</x:v>
      </x:c>
      <x:c r="R312" s="141" t="n">
        <x:f>MAX(0,O312)</x:f>
        <x:v>12402475.712063346</x:v>
      </x:c>
      <x:c r="S312" s="141" t="n">
        <x:f>IF(AND($A312&gt;=Premissas!$B$48,$A312-Premissas!$B$48+1&lt;=Premissas!$B$13),INDEX(Financiamento!$M$6:$M$485,$A312-Premissas!$B$48+1),0)</x:f>
        <x:v>42666.66666666673</x:v>
      </x:c>
      <x:c r="T312" s="141" t="n">
        <x:f>IF($A312&gt;=Premissas!$B$48,$F312,0)</x:f>
        <x:v>888051.9699987993</x:v>
      </x:c>
      <x:c r="U312" s="141" t="n">
        <x:f>R312+T312-S312</x:f>
        <x:v>13247861.01539548</x:v>
      </x:c>
      <x:c r="V312" s="141" t="n">
        <x:f>IF(Q312&gt;1,"Inviavel",U312)</x:f>
        <x:v>13247861.01539548</x:v>
      </x:c>
      <x:c r="W312" s="141" t="str">
        <x:f>IF(Q312&gt;1,"Inviavel","OK")</x:f>
        <x:v>OK</x:v>
      </x:c>
      <x:c r="X312" s="141" t="n">
        <x:f>IF($A312=Premissas!$B$48,Premissas!$B$8,0)</x:f>
        <x:v>0</x:v>
      </x:c>
      <x:c r="Y312" s="141" t="n">
        <x:f>IF(AND($A312&gt;=Premissas!$B$48,$A312-Premissas!$B$48+1&lt;=Premissas!$B$13),INDEX(Amortizacao!$K$6:$K$485,$A312-Premissas!$B$48+1),0)</x:f>
        <x:v>0</x:v>
      </x:c>
      <x:c r="Z312" s="141" t="n">
        <x:f>IF(AND(TRUE,Premissas!$B$11="Imovel",Premissas!$B$47="Moradia",$A312&lt;MAX(Premissas!$B$48,Premissas!$B$49)),$D312,0)</x:f>
        <x:v>0</x:v>
      </x:c>
      <x:c r="AA312" s="141" t="n">
        <x:f>IF(AND(TRUE,Premissas!$B$11="Imovel",Premissas!$B$47="Investimento",$A312&gt;=MAX(Premissas!$B$48,Premissas!$B$49)),$E312,0)</x:f>
        <x:v>2746.7972606358326</x:v>
      </x:c>
      <x:c r="AB312" s="141" t="n">
        <x:f>X312+Y312+Z312</x:f>
        <x:v>0</x:v>
      </x:c>
      <x:c r="AC312" s="141" t="n">
        <x:f>AA312</x:f>
        <x:v>2746.7972606358326</x:v>
      </x:c>
      <x:c r="AD312" s="141" t="n">
        <x:f>$C312+AC312-AB312</x:f>
        <x:v>9746.797260635833</x:v>
      </x:c>
      <x:c r="AE312" s="141" t="n">
        <x:f>AH311*(1+Premissas!$B$41)+AD312</x:f>
        <x:v>12568597.079749767</x:v>
      </x:c>
      <x:c r="AF312" s="141" t="n">
        <x:f>MAX(0,-AE312)</x:f>
        <x:v>0</x:v>
      </x:c>
      <x:c r="AG312" s="141" t="n">
        <x:f>AG311*(1+Premissas!$B$41)+AF312</x:f>
        <x:v>0</x:v>
      </x:c>
      <x:c r="AH312" s="141" t="n">
        <x:f>MAX(0,AE312)</x:f>
        <x:v>12568597.079749767</x:v>
      </x:c>
      <x:c r="AI312" s="141" t="n">
        <x:f>IF(AND($A312&gt;=Premissas!$B$48,$A312-Premissas!$B$48+1&lt;=Premissas!$B$13),INDEX(Amortizacao!$L$6:$L$485,$A312-Premissas!$B$48+1),0)</x:f>
        <x:v>0</x:v>
      </x:c>
      <x:c r="AJ312" s="141" t="n">
        <x:f>IF($A312&gt;=Premissas!$B$48,$F312,0)</x:f>
        <x:v>888051.9699987993</x:v>
      </x:c>
      <x:c r="AK312" s="141" t="n">
        <x:f>AH312+AJ312-AI312</x:f>
        <x:v>13456649.049748566</x:v>
      </x:c>
      <x:c r="AL312" s="141" t="n">
        <x:f>IF(AG312&gt;1,"Inviavel",AK312)</x:f>
        <x:v>13456649.049748566</x:v>
      </x:c>
      <x:c r="AM312" s="141" t="str">
        <x:f>IF(AG312&gt;1,"Inviavel","OK")</x:f>
        <x:v>OK</x:v>
      </x:c>
      <x:c r="AN312" s="141" t="n">
        <x:f>IF($A312=Premissas!$B$48,Premissas!$B$8,0)</x:f>
        <x:v>0</x:v>
      </x:c>
      <x:c r="AO312" s="141" t="n">
        <x:f>IF($A312&lt;=Premissas!$B$25,INDEX('Consorcio IQ'!$K$6:$K$485,$A312),0)</x:f>
        <x:v>0</x:v>
      </x:c>
      <x:c r="AP312" s="141" t="n">
        <x:f>IF(AND(TRUE,Premissas!$B$11="Imovel",Premissas!$B$47="Moradia",$A312&lt;MAX(Premissas!$B$48,Premissas!$B$49)),$D312,0)</x:f>
        <x:v>0</x:v>
      </x:c>
      <x:c r="AQ312" s="141" t="n">
        <x:f>IF(AND(TRUE,Premissas!$B$11="Imovel",Premissas!$B$47="Investimento",$A312&gt;=MAX(Premissas!$B$48,Premissas!$B$49)),$E312,0)</x:f>
        <x:v>2746.7972606358326</x:v>
      </x:c>
      <x:c r="AR312" s="141" t="n">
        <x:f>AN312+AO312+AP312</x:f>
        <x:v>0</x:v>
      </x:c>
      <x:c r="AS312" s="141" t="n">
        <x:f>AQ312</x:f>
        <x:v>2746.7972606358326</x:v>
      </x:c>
      <x:c r="AT312" s="141" t="n">
        <x:f>$C312+AS312-AR312</x:f>
        <x:v>9746.797260635833</x:v>
      </x:c>
      <x:c r="AU312" s="141" t="n">
        <x:f>AX311*(1+Premissas!$B$41)+AT312</x:f>
        <x:v>12463634.368107721</x:v>
      </x:c>
      <x:c r="AV312" s="141" t="n">
        <x:f>MAX(0,-AU312)</x:f>
        <x:v>0</x:v>
      </x:c>
      <x:c r="AW312" s="141" t="n">
        <x:f>AW311*(1+Premissas!$B$41)+AV312</x:f>
        <x:v>0</x:v>
      </x:c>
      <x:c r="AX312" s="141" t="n">
        <x:f>MAX(0,AU312)</x:f>
        <x:v>12463634.368107721</x:v>
      </x:c>
      <x:c r="AY312" s="141" t="n">
        <x:f>INDEX('Consorcio IQ'!$P$6:$P$485,$A312)</x:f>
        <x:v>0</x:v>
      </x:c>
      <x:c r="AZ312" s="141" t="n">
        <x:f>IF($A312&gt;=Premissas!$B$48,$F312,0)+IF($A312&lt;Premissas!$B$27,INDEX('Consorcio IQ'!$O$6:$O$485,$A312),0)</x:f>
        <x:v>888051.9699987993</x:v>
      </x:c>
      <x:c r="BA312" s="141" t="n">
        <x:f>AX312+AZ312-AY312</x:f>
        <x:v>13351686.33810652</x:v>
      </x:c>
      <x:c r="BB312" s="141" t="n">
        <x:f>IF(AW312&gt;1,"Inviavel",BA312)</x:f>
        <x:v>13351686.33810652</x:v>
      </x:c>
      <x:c r="BC312" s="141" t="str">
        <x:f>IF(AW312&gt;1,"Inviavel","OK")</x:f>
        <x:v>OK</x:v>
      </x:c>
      <x:c r="BD312" s="141" t="n">
        <x:f>IF($A312='Consorcio Direto'!$B$29,'Consorcio Direto'!$B$44,0)</x:f>
        <x:v>0</x:v>
      </x:c>
      <x:c r="BE312" s="141" t="n">
        <x:f>IF($A312&lt;='Consorcio Direto'!$B$27,INDEX('Consorcio Direto'!$E$55:$E$534,$A312),0)</x:f>
        <x:v>0</x:v>
      </x:c>
      <x:c r="BF312" s="141" t="n">
        <x:f>IF(AND(TRUE,Premissas!$B$11="Imovel",Premissas!$B$47="Moradia",$A312&lt;MAX('Consorcio Direto'!$B$29,Premissas!$B$49)),$D312,0)</x:f>
        <x:v>0</x:v>
      </x:c>
      <x:c r="BG312" s="141" t="n">
        <x:f>IF(AND(TRUE,Premissas!$B$11="Imovel",Premissas!$B$47="Investimento",$A312&gt;=MAX('Consorcio Direto'!$B$29,Premissas!$B$49)),$E312,0)</x:f>
        <x:v>2746.7972606358326</x:v>
      </x:c>
      <x:c r="BH312" s="141" t="n">
        <x:f>BD312+BE312+BF312</x:f>
        <x:v>0</x:v>
      </x:c>
      <x:c r="BI312" s="141" t="n">
        <x:f>BG312</x:f>
        <x:v>2746.7972606358326</x:v>
      </x:c>
      <x:c r="BJ312" s="141" t="n">
        <x:f>$C312+BI312-BH312</x:f>
        <x:v>9746.797260635833</x:v>
      </x:c>
      <x:c r="BK312" s="141" t="n">
        <x:f>BN311*(1+Premissas!$B$41)+BJ312</x:f>
        <x:v>11896375.005088206</x:v>
      </x:c>
      <x:c r="BL312" s="141" t="n">
        <x:f>MAX(0,-BK312)</x:f>
        <x:v>0</x:v>
      </x:c>
      <x:c r="BM312" s="141" t="n">
        <x:f>BM311*(1+Premissas!$B$41)+BL312</x:f>
        <x:v>0</x:v>
      </x:c>
      <x:c r="BN312" s="141" t="n">
        <x:f>MAX(0,BK312)</x:f>
        <x:v>11896375.005088206</x:v>
      </x:c>
      <x:c r="BO312" s="141" t="n">
        <x:f>INDEX('Consorcio Direto'!$K$55:$K$534,$A312)</x:f>
        <x:v>0</x:v>
      </x:c>
      <x:c r="BP312" s="141" t="n">
        <x:f>IF($A312&lt;'Consorcio Direto'!$B$29,INDEX('Consorcio Direto'!$L$55:$L$534,$A312),$F312)</x:f>
        <x:v>888051.9699987993</x:v>
      </x:c>
      <x:c r="BQ312" s="141" t="n">
        <x:f>BN312+BP312-BO312</x:f>
        <x:v>12784426.975087006</x:v>
      </x:c>
      <x:c r="BR312" s="141" t="n">
        <x:f>IF(BM312&gt;1,"Inviavel",BQ312)</x:f>
        <x:v>12784426.975087006</x:v>
      </x:c>
      <x:c r="BS312" s="141" t="str">
        <x:f>IF(BM312&gt;1,"Inviavel","OK")</x:f>
        <x:v>OK</x:v>
      </x:c>
      <x:c r="BT312" s="141" t="n">
        <x:f>IF(AND('Carta Contemplada'!$B$22="Sim",$A312='Carta Contemplada'!$B$23),'Carta Contemplada'!$B$37,0)</x:f>
        <x:v>0</x:v>
      </x:c>
      <x:c r="BU312" s="141" t="n">
        <x:f>IF('Carta Contemplada'!$B$22="Sim",INDEX('Carta Contemplada'!$C$55:$C$1013,$A312),0)</x:f>
        <x:v>0</x:v>
      </x:c>
      <x:c r="BV312" s="141" t="n">
        <x:f>IF(AND('Carta Contemplada'!$B$22="Sim",Premissas!$B$11="Imovel",Premissas!$B$47="Moradia",$A312&lt;MAX('Carta Contemplada'!$B$44,Premissas!$B$49)),$D312,0)</x:f>
        <x:v>0</x:v>
      </x:c>
      <x:c r="BW312" s="141" t="n">
        <x:f>IF(AND('Carta Contemplada'!$B$22="Sim",Premissas!$B$11="Imovel",Premissas!$B$47="Investimento",$A312&gt;=MAX('Carta Contemplada'!$B$44,Premissas!$B$49)),$E312,0)</x:f>
        <x:v>2746.7972606358326</x:v>
      </x:c>
      <x:c r="BX312" s="141" t="n">
        <x:f>BT312+BU312+BV312</x:f>
        <x:v>0</x:v>
      </x:c>
      <x:c r="BY312" s="141" t="n">
        <x:f>BW312</x:f>
        <x:v>2746.7972606358326</x:v>
      </x:c>
      <x:c r="BZ312" s="141" t="n">
        <x:f>$C312+BY312-BX312</x:f>
        <x:v>9746.797260635833</x:v>
      </x:c>
      <x:c r="CA312" s="141" t="n">
        <x:f>CD311*(1+Premissas!$B$41)+BZ312</x:f>
        <x:v>12833293.312518299</x:v>
      </x:c>
      <x:c r="CB312" s="141" t="n">
        <x:f>MAX(0,-CA312)</x:f>
        <x:v>0</x:v>
      </x:c>
      <x:c r="CC312" s="141" t="n">
        <x:f>CC311*(1+Premissas!$B$41)+CB312</x:f>
        <x:v>0</x:v>
      </x:c>
      <x:c r="CD312" s="141" t="n">
        <x:f>MAX(0,CA312)</x:f>
        <x:v>12833293.312518299</x:v>
      </x:c>
      <x:c r="CE312" s="141" t="n">
        <x:f>IF(AND('Carta Contemplada'!$B$22="Sim",$A312&gt;='Carta Contemplada'!$B$23),INDEX('Carta Contemplada'!$I$55:$I$1013,$A312),0)</x:f>
        <x:v>0</x:v>
      </x:c>
      <x:c r="CF312" s="141" t="n">
        <x:f>IF(AND('Carta Contemplada'!$B$22="Sim",$A312&gt;='Carta Contemplada'!$B$44),$F312,0)</x:f>
        <x:v>888051.9699987993</x:v>
      </x:c>
      <x:c r="CG312" s="141" t="n">
        <x:f>CD312+CF312-CE312</x:f>
        <x:v>13721345.282517098</x:v>
      </x:c>
      <x:c r="CH312" s="141" t="n">
        <x:f>IF(CC312&gt;1,"Inviavel",CG312)</x:f>
        <x:v>13721345.282517098</x:v>
      </x:c>
      <x:c r="CI312" s="145" t="str">
        <x:f>IF(CC312&gt;1,"Inviavel","OK")</x:f>
        <x:v>OK</x:v>
      </x:c>
    </x:row>
    <x:row r="313">
      <x:c r="A313" s="142" t="n">
        <x:v>309</x:v>
      </x:c>
      <x:c r="B313" s="179" t="n">
        <x:f>EDATE(Premissas!$B$4,A313-1)</x:f>
        <x:v>55916</x:v>
      </x:c>
      <x:c r="C313" s="141" t="n">
        <x:f>IF(A313&lt;=Premissas!$B$39,Premissas!$B$42,0)</x:f>
        <x:v>7000</x:v>
      </x:c>
      <x:c r="D313" s="141" t="n">
        <x:f>Premissas!$B$54*(1+Premissas!$B$57)^INT((A313-1)/12)</x:f>
        <x:v>3004.309503820442</x:v>
      </x:c>
      <x:c r="E313" s="141" t="n">
        <x:f>Premissas!$B$64*(1+Premissas!$B$57)^INT((A313-1)/12)</x:f>
        <x:v>2746.7972606358326</x:v>
      </x:c>
      <x:c r="F313" s="141" t="n">
        <x:f>MAX(0,Premissas!$B$6*(1+Premissas!$B$66)^((A313-1)/12))</x:f>
        <x:v>892374.607867421</x:v>
      </x:c>
      <x:c r="G313" s="141" t="n">
        <x:f>G312*(1+Premissas!$B$41)+C313</x:f>
        <x:v>14566093.05489377</x:v>
      </x:c>
      <x:c r="H313" s="141" t="n">
        <x:f>IF($A313=Premissas!$B$48,Premissas!$B$8,0)</x:f>
        <x:v>0</x:v>
      </x:c>
      <x:c r="I313" s="141" t="n">
        <x:f>IF(AND($A313&gt;=Premissas!$B$48,$A313-Premissas!$B$48+1&lt;=Premissas!$B$13),INDEX(Financiamento!$J$6:$J$485,$A313-Premissas!$B$48+1),0)</x:f>
        <x:v>935.8075461612588</x:v>
      </x:c>
      <x:c r="J313" s="141" t="n">
        <x:f>IF(AND(TRUE,Premissas!$B$11="Imovel",Premissas!$B$47="Moradia",$A313&lt;MAX(Premissas!$B$48,Premissas!$B$49)),$D313,0)</x:f>
        <x:v>0</x:v>
      </x:c>
      <x:c r="K313" s="141" t="n">
        <x:f>IF(AND(TRUE,Premissas!$B$11="Imovel",Premissas!$B$47="Investimento",$A313&gt;=MAX(Premissas!$B$48,Premissas!$B$49)),$E313,0)</x:f>
        <x:v>2746.7972606358326</x:v>
      </x:c>
      <x:c r="L313" s="141" t="n">
        <x:f>H313+I313+J313</x:f>
        <x:v>935.8075461612588</x:v>
      </x:c>
      <x:c r="M313" s="141" t="n">
        <x:f>K313</x:f>
        <x:v>2746.7972606358326</x:v>
      </x:c>
      <x:c r="N313" s="141" t="n">
        <x:f>$C313+M313-L313</x:f>
        <x:v>8810.989714474574</x:v>
      </x:c>
      <x:c r="O313" s="141" t="n">
        <x:f>R312*(1+Premissas!$B$41)+N313</x:f>
        <x:v>12528971.225685786</x:v>
      </x:c>
      <x:c r="P313" s="141" t="n">
        <x:f>MAX(0,-O313)</x:f>
        <x:v>0</x:v>
      </x:c>
      <x:c r="Q313" s="141" t="n">
        <x:f>Q312*(1+Premissas!$B$41)+P313</x:f>
        <x:v>0</x:v>
      </x:c>
      <x:c r="R313" s="141" t="n">
        <x:f>MAX(0,O313)</x:f>
        <x:v>12528971.225685786</x:v>
      </x:c>
      <x:c r="S313" s="141" t="n">
        <x:f>IF(AND($A313&gt;=Premissas!$B$48,$A313-Premissas!$B$48+1&lt;=Premissas!$B$13),INDEX(Financiamento!$M$6:$M$485,$A313-Premissas!$B$48+1),0)</x:f>
        <x:v>42285.71428571435</x:v>
      </x:c>
      <x:c r="T313" s="141" t="n">
        <x:f>IF($A313&gt;=Premissas!$B$48,$F313,0)</x:f>
        <x:v>892374.607867421</x:v>
      </x:c>
      <x:c r="U313" s="141" t="n">
        <x:f>R313+T313-S313</x:f>
        <x:v>13379060.119267493</x:v>
      </x:c>
      <x:c r="V313" s="141" t="n">
        <x:f>IF(Q313&gt;1,"Inviavel",U313)</x:f>
        <x:v>13379060.119267493</x:v>
      </x:c>
      <x:c r="W313" s="141" t="str">
        <x:f>IF(Q313&gt;1,"Inviavel","OK")</x:f>
        <x:v>OK</x:v>
      </x:c>
      <x:c r="X313" s="141" t="n">
        <x:f>IF($A313=Premissas!$B$48,Premissas!$B$8,0)</x:f>
        <x:v>0</x:v>
      </x:c>
      <x:c r="Y313" s="141" t="n">
        <x:f>IF(AND($A313&gt;=Premissas!$B$48,$A313-Premissas!$B$48+1&lt;=Premissas!$B$13),INDEX(Amortizacao!$K$6:$K$485,$A313-Premissas!$B$48+1),0)</x:f>
        <x:v>0</x:v>
      </x:c>
      <x:c r="Z313" s="141" t="n">
        <x:f>IF(AND(TRUE,Premissas!$B$11="Imovel",Premissas!$B$47="Moradia",$A313&lt;MAX(Premissas!$B$48,Premissas!$B$49)),$D313,0)</x:f>
        <x:v>0</x:v>
      </x:c>
      <x:c r="AA313" s="141" t="n">
        <x:f>IF(AND(TRUE,Premissas!$B$11="Imovel",Premissas!$B$47="Investimento",$A313&gt;=MAX(Premissas!$B$48,Premissas!$B$49)),$E313,0)</x:f>
        <x:v>2746.7972606358326</x:v>
      </x:c>
      <x:c r="AB313" s="141" t="n">
        <x:f>X313+Y313+Z313</x:f>
        <x:v>0</x:v>
      </x:c>
      <x:c r="AC313" s="141" t="n">
        <x:f>AA313</x:f>
        <x:v>2746.7972606358326</x:v>
      </x:c>
      <x:c r="AD313" s="141" t="n">
        <x:f>$C313+AC313-AB313</x:f>
        <x:v>9746.797260635833</x:v>
      </x:c>
      <x:c r="AE313" s="141" t="n">
        <x:f>AH312*(1+Premissas!$B$41)+AD313</x:f>
        <x:v>12697604.692178354</x:v>
      </x:c>
      <x:c r="AF313" s="141" t="n">
        <x:f>MAX(0,-AE313)</x:f>
        <x:v>0</x:v>
      </x:c>
      <x:c r="AG313" s="141" t="n">
        <x:f>AG312*(1+Premissas!$B$41)+AF313</x:f>
        <x:v>0</x:v>
      </x:c>
      <x:c r="AH313" s="141" t="n">
        <x:f>MAX(0,AE313)</x:f>
        <x:v>12697604.692178354</x:v>
      </x:c>
      <x:c r="AI313" s="141" t="n">
        <x:f>IF(AND($A313&gt;=Premissas!$B$48,$A313-Premissas!$B$48+1&lt;=Premissas!$B$13),INDEX(Amortizacao!$L$6:$L$485,$A313-Premissas!$B$48+1),0)</x:f>
        <x:v>0</x:v>
      </x:c>
      <x:c r="AJ313" s="141" t="n">
        <x:f>IF($A313&gt;=Premissas!$B$48,$F313,0)</x:f>
        <x:v>892374.607867421</x:v>
      </x:c>
      <x:c r="AK313" s="141" t="n">
        <x:f>AH313+AJ313-AI313</x:f>
        <x:v>13589979.300045775</x:v>
      </x:c>
      <x:c r="AL313" s="141" t="n">
        <x:f>IF(AG313&gt;1,"Inviavel",AK313)</x:f>
        <x:v>13589979.300045775</x:v>
      </x:c>
      <x:c r="AM313" s="141" t="str">
        <x:f>IF(AG313&gt;1,"Inviavel","OK")</x:f>
        <x:v>OK</x:v>
      </x:c>
      <x:c r="AN313" s="141" t="n">
        <x:f>IF($A313=Premissas!$B$48,Premissas!$B$8,0)</x:f>
        <x:v>0</x:v>
      </x:c>
      <x:c r="AO313" s="141" t="n">
        <x:f>IF($A313&lt;=Premissas!$B$25,INDEX('Consorcio IQ'!$K$6:$K$485,$A313),0)</x:f>
        <x:v>0</x:v>
      </x:c>
      <x:c r="AP313" s="141" t="n">
        <x:f>IF(AND(TRUE,Premissas!$B$11="Imovel",Premissas!$B$47="Moradia",$A313&lt;MAX(Premissas!$B$48,Premissas!$B$49)),$D313,0)</x:f>
        <x:v>0</x:v>
      </x:c>
      <x:c r="AQ313" s="141" t="n">
        <x:f>IF(AND(TRUE,Premissas!$B$11="Imovel",Premissas!$B$47="Investimento",$A313&gt;=MAX(Premissas!$B$48,Premissas!$B$49)),$E313,0)</x:f>
        <x:v>2746.7972606358326</x:v>
      </x:c>
      <x:c r="AR313" s="141" t="n">
        <x:f>AN313+AO313+AP313</x:f>
        <x:v>0</x:v>
      </x:c>
      <x:c r="AS313" s="141" t="n">
        <x:f>AQ313</x:f>
        <x:v>2746.7972606358326</x:v>
      </x:c>
      <x:c r="AT313" s="141" t="n">
        <x:f>$C313+AS313-AR313</x:f>
        <x:v>9746.797260635833</x:v>
      </x:c>
      <x:c r="AU313" s="141" t="n">
        <x:f>AX312*(1+Premissas!$B$41)+AT313</x:f>
        <x:v>12591646.011099685</x:v>
      </x:c>
      <x:c r="AV313" s="141" t="n">
        <x:f>MAX(0,-AU313)</x:f>
        <x:v>0</x:v>
      </x:c>
      <x:c r="AW313" s="141" t="n">
        <x:f>AW312*(1+Premissas!$B$41)+AV313</x:f>
        <x:v>0</x:v>
      </x:c>
      <x:c r="AX313" s="141" t="n">
        <x:f>MAX(0,AU313)</x:f>
        <x:v>12591646.011099685</x:v>
      </x:c>
      <x:c r="AY313" s="141" t="n">
        <x:f>INDEX('Consorcio IQ'!$P$6:$P$485,$A313)</x:f>
        <x:v>0</x:v>
      </x:c>
      <x:c r="AZ313" s="141" t="n">
        <x:f>IF($A313&gt;=Premissas!$B$48,$F313,0)+IF($A313&lt;Premissas!$B$27,INDEX('Consorcio IQ'!$O$6:$O$485,$A313),0)</x:f>
        <x:v>892374.607867421</x:v>
      </x:c>
      <x:c r="BA313" s="141" t="n">
        <x:f>AX313+AZ313-AY313</x:f>
        <x:v>13484020.618967107</x:v>
      </x:c>
      <x:c r="BB313" s="141" t="n">
        <x:f>IF(AW313&gt;1,"Inviavel",BA313)</x:f>
        <x:v>13484020.618967107</x:v>
      </x:c>
      <x:c r="BC313" s="141" t="str">
        <x:f>IF(AW313&gt;1,"Inviavel","OK")</x:f>
        <x:v>OK</x:v>
      </x:c>
      <x:c r="BD313" s="141" t="n">
        <x:f>IF($A313='Consorcio Direto'!$B$29,'Consorcio Direto'!$B$44,0)</x:f>
        <x:v>0</x:v>
      </x:c>
      <x:c r="BE313" s="141" t="n">
        <x:f>IF($A313&lt;='Consorcio Direto'!$B$27,INDEX('Consorcio Direto'!$E$55:$E$534,$A313),0)</x:f>
        <x:v>0</x:v>
      </x:c>
      <x:c r="BF313" s="141" t="n">
        <x:f>IF(AND(TRUE,Premissas!$B$11="Imovel",Premissas!$B$47="Moradia",$A313&lt;MAX('Consorcio Direto'!$B$29,Premissas!$B$49)),$D313,0)</x:f>
        <x:v>0</x:v>
      </x:c>
      <x:c r="BG313" s="141" t="n">
        <x:f>IF(AND(TRUE,Premissas!$B$11="Imovel",Premissas!$B$47="Investimento",$A313&gt;=MAX('Consorcio Direto'!$B$29,Premissas!$B$49)),$E313,0)</x:f>
        <x:v>2746.7972606358326</x:v>
      </x:c>
      <x:c r="BH313" s="141" t="n">
        <x:f>BD313+BE313+BF313</x:f>
        <x:v>0</x:v>
      </x:c>
      <x:c r="BI313" s="141" t="n">
        <x:f>BG313</x:f>
        <x:v>2746.7972606358326</x:v>
      </x:c>
      <x:c r="BJ313" s="141" t="n">
        <x:f>$C313+BI313-BH313</x:f>
        <x:v>9746.797260635833</x:v>
      </x:c>
      <x:c r="BK313" s="141" t="n">
        <x:f>BN312*(1+Premissas!$B$41)+BJ313</x:f>
        <x:v>12019004.041444274</x:v>
      </x:c>
      <x:c r="BL313" s="141" t="n">
        <x:f>MAX(0,-BK313)</x:f>
        <x:v>0</x:v>
      </x:c>
      <x:c r="BM313" s="141" t="n">
        <x:f>BM312*(1+Premissas!$B$41)+BL313</x:f>
        <x:v>0</x:v>
      </x:c>
      <x:c r="BN313" s="141" t="n">
        <x:f>MAX(0,BK313)</x:f>
        <x:v>12019004.041444274</x:v>
      </x:c>
      <x:c r="BO313" s="141" t="n">
        <x:f>INDEX('Consorcio Direto'!$K$55:$K$534,$A313)</x:f>
        <x:v>0</x:v>
      </x:c>
      <x:c r="BP313" s="141" t="n">
        <x:f>IF($A313&lt;'Consorcio Direto'!$B$29,INDEX('Consorcio Direto'!$L$55:$L$534,$A313),$F313)</x:f>
        <x:v>892374.607867421</x:v>
      </x:c>
      <x:c r="BQ313" s="141" t="n">
        <x:f>BN313+BP313-BO313</x:f>
        <x:v>12911378.649311695</x:v>
      </x:c>
      <x:c r="BR313" s="141" t="n">
        <x:f>IF(BM313&gt;1,"Inviavel",BQ313)</x:f>
        <x:v>12911378.649311695</x:v>
      </x:c>
      <x:c r="BS313" s="141" t="str">
        <x:f>IF(BM313&gt;1,"Inviavel","OK")</x:f>
        <x:v>OK</x:v>
      </x:c>
      <x:c r="BT313" s="141" t="n">
        <x:f>IF(AND('Carta Contemplada'!$B$22="Sim",$A313='Carta Contemplada'!$B$23),'Carta Contemplada'!$B$37,0)</x:f>
        <x:v>0</x:v>
      </x:c>
      <x:c r="BU313" s="141" t="n">
        <x:f>IF('Carta Contemplada'!$B$22="Sim",INDEX('Carta Contemplada'!$C$55:$C$1013,$A313),0)</x:f>
        <x:v>0</x:v>
      </x:c>
      <x:c r="BV313" s="141" t="n">
        <x:f>IF(AND('Carta Contemplada'!$B$22="Sim",Premissas!$B$11="Imovel",Premissas!$B$47="Moradia",$A313&lt;MAX('Carta Contemplada'!$B$44,Premissas!$B$49)),$D313,0)</x:f>
        <x:v>0</x:v>
      </x:c>
      <x:c r="BW313" s="141" t="n">
        <x:f>IF(AND('Carta Contemplada'!$B$22="Sim",Premissas!$B$11="Imovel",Premissas!$B$47="Investimento",$A313&gt;=MAX('Carta Contemplada'!$B$44,Premissas!$B$49)),$E313,0)</x:f>
        <x:v>2746.7972606358326</x:v>
      </x:c>
      <x:c r="BX313" s="141" t="n">
        <x:f>BT313+BU313+BV313</x:f>
        <x:v>0</x:v>
      </x:c>
      <x:c r="BY313" s="141" t="n">
        <x:f>BW313</x:f>
        <x:v>2746.7972606358326</x:v>
      </x:c>
      <x:c r="BZ313" s="141" t="n">
        <x:f>$C313+BY313-BX313</x:f>
        <x:v>9746.797260635833</x:v>
      </x:c>
      <x:c r="CA313" s="141" t="n">
        <x:f>CD312*(1+Premissas!$B$41)+BZ313</x:f>
        <x:v>12964812.57269019</x:v>
      </x:c>
      <x:c r="CB313" s="141" t="n">
        <x:f>MAX(0,-CA313)</x:f>
        <x:v>0</x:v>
      </x:c>
      <x:c r="CC313" s="141" t="n">
        <x:f>CC312*(1+Premissas!$B$41)+CB313</x:f>
        <x:v>0</x:v>
      </x:c>
      <x:c r="CD313" s="141" t="n">
        <x:f>MAX(0,CA313)</x:f>
        <x:v>12964812.57269019</x:v>
      </x:c>
      <x:c r="CE313" s="141" t="n">
        <x:f>IF(AND('Carta Contemplada'!$B$22="Sim",$A313&gt;='Carta Contemplada'!$B$23),INDEX('Carta Contemplada'!$I$55:$I$1013,$A313),0)</x:f>
        <x:v>0</x:v>
      </x:c>
      <x:c r="CF313" s="141" t="n">
        <x:f>IF(AND('Carta Contemplada'!$B$22="Sim",$A313&gt;='Carta Contemplada'!$B$44),$F313,0)</x:f>
        <x:v>892374.607867421</x:v>
      </x:c>
      <x:c r="CG313" s="141" t="n">
        <x:f>CD313+CF313-CE313</x:f>
        <x:v>13857187.180557612</x:v>
      </x:c>
      <x:c r="CH313" s="141" t="n">
        <x:f>IF(CC313&gt;1,"Inviavel",CG313)</x:f>
        <x:v>13857187.180557612</x:v>
      </x:c>
      <x:c r="CI313" s="145" t="str">
        <x:f>IF(CC313&gt;1,"Inviavel","OK")</x:f>
        <x:v>OK</x:v>
      </x:c>
    </x:row>
    <x:row r="314">
      <x:c r="A314" s="142" t="n">
        <x:v>310</x:v>
      </x:c>
      <x:c r="B314" s="179" t="n">
        <x:f>EDATE(Premissas!$B$4,A314-1)</x:f>
        <x:v>55944</x:v>
      </x:c>
      <x:c r="C314" s="141" t="n">
        <x:f>IF(A314&lt;=Premissas!$B$39,Premissas!$B$42,0)</x:f>
        <x:v>7000</x:v>
      </x:c>
      <x:c r="D314" s="141" t="n">
        <x:f>Premissas!$B$54*(1+Premissas!$B$57)^INT((A314-1)/12)</x:f>
        <x:v>3004.309503820442</x:v>
      </x:c>
      <x:c r="E314" s="141" t="n">
        <x:f>Premissas!$B$64*(1+Premissas!$B$57)^INT((A314-1)/12)</x:f>
        <x:v>2746.7972606358326</x:v>
      </x:c>
      <x:c r="F314" s="141" t="n">
        <x:f>MAX(0,Premissas!$B$6*(1+Premissas!$B$66)^((A314-1)/12))</x:f>
        <x:v>896718.2863944437</x:v>
      </x:c>
      <x:c r="G314" s="141" t="n">
        <x:f>G313*(1+Premissas!$B$41)+C314</x:f>
        <x:v>14711307.695757525</x:v>
      </x:c>
      <x:c r="H314" s="141" t="n">
        <x:f>IF($A314=Premissas!$B$48,Premissas!$B$8,0)</x:f>
        <x:v>0</x:v>
      </x:c>
      <x:c r="I314" s="141" t="n">
        <x:f>IF(AND($A314&gt;=Premissas!$B$48,$A314-Premissas!$B$48+1&lt;=Premissas!$B$13),INDEX(Financiamento!$J$6:$J$485,$A314-Premissas!$B$48+1),0)</x:f>
        <x:v>932.1927679004652</x:v>
      </x:c>
      <x:c r="J314" s="141" t="n">
        <x:f>IF(AND(TRUE,Premissas!$B$11="Imovel",Premissas!$B$47="Moradia",$A314&lt;MAX(Premissas!$B$48,Premissas!$B$49)),$D314,0)</x:f>
        <x:v>0</x:v>
      </x:c>
      <x:c r="K314" s="141" t="n">
        <x:f>IF(AND(TRUE,Premissas!$B$11="Imovel",Premissas!$B$47="Investimento",$A314&gt;=MAX(Premissas!$B$48,Premissas!$B$49)),$E314,0)</x:f>
        <x:v>2746.7972606358326</x:v>
      </x:c>
      <x:c r="L314" s="141" t="n">
        <x:f>H314+I314+J314</x:f>
        <x:v>932.1927679004652</x:v>
      </x:c>
      <x:c r="M314" s="141" t="n">
        <x:f>K314</x:f>
        <x:v>2746.7972606358326</x:v>
      </x:c>
      <x:c r="N314" s="141" t="n">
        <x:f>$C314+M314-L314</x:f>
        <x:v>8814.604492735367</x:v>
      </x:c>
      <x:c r="O314" s="141" t="n">
        <x:f>R313*(1+Premissas!$B$41)+N314</x:f>
        <x:v>12656670.643822404</x:v>
      </x:c>
      <x:c r="P314" s="141" t="n">
        <x:f>MAX(0,-O314)</x:f>
        <x:v>0</x:v>
      </x:c>
      <x:c r="Q314" s="141" t="n">
        <x:f>Q313*(1+Premissas!$B$41)+P314</x:f>
        <x:v>0</x:v>
      </x:c>
      <x:c r="R314" s="141" t="n">
        <x:f>MAX(0,O314)</x:f>
        <x:v>12656670.643822404</x:v>
      </x:c>
      <x:c r="S314" s="141" t="n">
        <x:f>IF(AND($A314&gt;=Premissas!$B$48,$A314-Premissas!$B$48+1&lt;=Premissas!$B$13),INDEX(Financiamento!$M$6:$M$485,$A314-Premissas!$B$48+1),0)</x:f>
        <x:v>41904.76190476197</x:v>
      </x:c>
      <x:c r="T314" s="141" t="n">
        <x:f>IF($A314&gt;=Premissas!$B$48,$F314,0)</x:f>
        <x:v>896718.2863944437</x:v>
      </x:c>
      <x:c r="U314" s="141" t="n">
        <x:f>R314+T314-S314</x:f>
        <x:v>13511484.168312086</x:v>
      </x:c>
      <x:c r="V314" s="141" t="n">
        <x:f>IF(Q314&gt;1,"Inviavel",U314)</x:f>
        <x:v>13511484.168312086</x:v>
      </x:c>
      <x:c r="W314" s="141" t="str">
        <x:f>IF(Q314&gt;1,"Inviavel","OK")</x:f>
        <x:v>OK</x:v>
      </x:c>
      <x:c r="X314" s="141" t="n">
        <x:f>IF($A314=Premissas!$B$48,Premissas!$B$8,0)</x:f>
        <x:v>0</x:v>
      </x:c>
      <x:c r="Y314" s="141" t="n">
        <x:f>IF(AND($A314&gt;=Premissas!$B$48,$A314-Premissas!$B$48+1&lt;=Premissas!$B$13),INDEX(Amortizacao!$K$6:$K$485,$A314-Premissas!$B$48+1),0)</x:f>
        <x:v>0</x:v>
      </x:c>
      <x:c r="Z314" s="141" t="n">
        <x:f>IF(AND(TRUE,Premissas!$B$11="Imovel",Premissas!$B$47="Moradia",$A314&lt;MAX(Premissas!$B$48,Premissas!$B$49)),$D314,0)</x:f>
        <x:v>0</x:v>
      </x:c>
      <x:c r="AA314" s="141" t="n">
        <x:f>IF(AND(TRUE,Premissas!$B$11="Imovel",Premissas!$B$47="Investimento",$A314&gt;=MAX(Premissas!$B$48,Premissas!$B$49)),$E314,0)</x:f>
        <x:v>2746.7972606358326</x:v>
      </x:c>
      <x:c r="AB314" s="141" t="n">
        <x:f>X314+Y314+Z314</x:f>
        <x:v>0</x:v>
      </x:c>
      <x:c r="AC314" s="141" t="n">
        <x:f>AA314</x:f>
        <x:v>2746.7972606358326</x:v>
      </x:c>
      <x:c r="AD314" s="141" t="n">
        <x:f>$C314+AC314-AB314</x:f>
        <x:v>9746.797260635833</x:v>
      </x:c>
      <x:c r="AE314" s="141" t="n">
        <x:f>AH313*(1+Premissas!$B$41)+AD314</x:f>
        <x:v>12827836.43112826</x:v>
      </x:c>
      <x:c r="AF314" s="141" t="n">
        <x:f>MAX(0,-AE314)</x:f>
        <x:v>0</x:v>
      </x:c>
      <x:c r="AG314" s="141" t="n">
        <x:f>AG313*(1+Premissas!$B$41)+AF314</x:f>
        <x:v>0</x:v>
      </x:c>
      <x:c r="AH314" s="141" t="n">
        <x:f>MAX(0,AE314)</x:f>
        <x:v>12827836.43112826</x:v>
      </x:c>
      <x:c r="AI314" s="141" t="n">
        <x:f>IF(AND($A314&gt;=Premissas!$B$48,$A314-Premissas!$B$48+1&lt;=Premissas!$B$13),INDEX(Amortizacao!$L$6:$L$485,$A314-Premissas!$B$48+1),0)</x:f>
        <x:v>0</x:v>
      </x:c>
      <x:c r="AJ314" s="141" t="n">
        <x:f>IF($A314&gt;=Premissas!$B$48,$F314,0)</x:f>
        <x:v>896718.2863944437</x:v>
      </x:c>
      <x:c r="AK314" s="141" t="n">
        <x:f>AH314+AJ314-AI314</x:f>
        <x:v>13724554.717522703</x:v>
      </x:c>
      <x:c r="AL314" s="141" t="n">
        <x:f>IF(AG314&gt;1,"Inviavel",AK314)</x:f>
        <x:v>13724554.717522703</x:v>
      </x:c>
      <x:c r="AM314" s="141" t="str">
        <x:f>IF(AG314&gt;1,"Inviavel","OK")</x:f>
        <x:v>OK</x:v>
      </x:c>
      <x:c r="AN314" s="141" t="n">
        <x:f>IF($A314=Premissas!$B$48,Premissas!$B$8,0)</x:f>
        <x:v>0</x:v>
      </x:c>
      <x:c r="AO314" s="141" t="n">
        <x:f>IF($A314&lt;=Premissas!$B$25,INDEX('Consorcio IQ'!$K$6:$K$485,$A314),0)</x:f>
        <x:v>0</x:v>
      </x:c>
      <x:c r="AP314" s="141" t="n">
        <x:f>IF(AND(TRUE,Premissas!$B$11="Imovel",Premissas!$B$47="Moradia",$A314&lt;MAX(Premissas!$B$48,Premissas!$B$49)),$D314,0)</x:f>
        <x:v>0</x:v>
      </x:c>
      <x:c r="AQ314" s="141" t="n">
        <x:f>IF(AND(TRUE,Premissas!$B$11="Imovel",Premissas!$B$47="Investimento",$A314&gt;=MAX(Premissas!$B$48,Premissas!$B$49)),$E314,0)</x:f>
        <x:v>2746.7972606358326</x:v>
      </x:c>
      <x:c r="AR314" s="141" t="n">
        <x:f>AN314+AO314+AP314</x:f>
        <x:v>0</x:v>
      </x:c>
      <x:c r="AS314" s="141" t="n">
        <x:f>AQ314</x:f>
        <x:v>2746.7972606358326</x:v>
      </x:c>
      <x:c r="AT314" s="141" t="n">
        <x:f>$C314+AS314-AR314</x:f>
        <x:v>9746.797260635833</x:v>
      </x:c>
      <x:c r="AU314" s="141" t="n">
        <x:f>AX313*(1+Premissas!$B$41)+AT314</x:f>
        <x:v>12720872.330065215</x:v>
      </x:c>
      <x:c r="AV314" s="141" t="n">
        <x:f>MAX(0,-AU314)</x:f>
        <x:v>0</x:v>
      </x:c>
      <x:c r="AW314" s="141" t="n">
        <x:f>AW313*(1+Premissas!$B$41)+AV314</x:f>
        <x:v>0</x:v>
      </x:c>
      <x:c r="AX314" s="141" t="n">
        <x:f>MAX(0,AU314)</x:f>
        <x:v>12720872.330065215</x:v>
      </x:c>
      <x:c r="AY314" s="141" t="n">
        <x:f>INDEX('Consorcio IQ'!$P$6:$P$485,$A314)</x:f>
        <x:v>0</x:v>
      </x:c>
      <x:c r="AZ314" s="141" t="n">
        <x:f>IF($A314&gt;=Premissas!$B$48,$F314,0)+IF($A314&lt;Premissas!$B$27,INDEX('Consorcio IQ'!$O$6:$O$485,$A314),0)</x:f>
        <x:v>896718.2863944437</x:v>
      </x:c>
      <x:c r="BA314" s="141" t="n">
        <x:f>AX314+AZ314-AY314</x:f>
        <x:v>13617590.616459658</x:v>
      </x:c>
      <x:c r="BB314" s="141" t="n">
        <x:f>IF(AW314&gt;1,"Inviavel",BA314)</x:f>
        <x:v>13617590.616459658</x:v>
      </x:c>
      <x:c r="BC314" s="141" t="str">
        <x:f>IF(AW314&gt;1,"Inviavel","OK")</x:f>
        <x:v>OK</x:v>
      </x:c>
      <x:c r="BD314" s="141" t="n">
        <x:f>IF($A314='Consorcio Direto'!$B$29,'Consorcio Direto'!$B$44,0)</x:f>
        <x:v>0</x:v>
      </x:c>
      <x:c r="BE314" s="141" t="n">
        <x:f>IF($A314&lt;='Consorcio Direto'!$B$27,INDEX('Consorcio Direto'!$E$55:$E$534,$A314),0)</x:f>
        <x:v>0</x:v>
      </x:c>
      <x:c r="BF314" s="141" t="n">
        <x:f>IF(AND(TRUE,Premissas!$B$11="Imovel",Premissas!$B$47="Moradia",$A314&lt;MAX('Consorcio Direto'!$B$29,Premissas!$B$49)),$D314,0)</x:f>
        <x:v>0</x:v>
      </x:c>
      <x:c r="BG314" s="141" t="n">
        <x:f>IF(AND(TRUE,Premissas!$B$11="Imovel",Premissas!$B$47="Investimento",$A314&gt;=MAX('Consorcio Direto'!$B$29,Premissas!$B$49)),$E314,0)</x:f>
        <x:v>2746.7972606358326</x:v>
      </x:c>
      <x:c r="BH314" s="141" t="n">
        <x:f>BD314+BE314+BF314</x:f>
        <x:v>0</x:v>
      </x:c>
      <x:c r="BI314" s="141" t="n">
        <x:f>BG314</x:f>
        <x:v>2746.7972606358326</x:v>
      </x:c>
      <x:c r="BJ314" s="141" t="n">
        <x:f>$C314+BI314-BH314</x:f>
        <x:v>9746.797260635833</x:v>
      </x:c>
      <x:c r="BK314" s="141" t="n">
        <x:f>BN313*(1+Premissas!$B$41)+BJ314</x:f>
        <x:v>12142796.679334091</x:v>
      </x:c>
      <x:c r="BL314" s="141" t="n">
        <x:f>MAX(0,-BK314)</x:f>
        <x:v>0</x:v>
      </x:c>
      <x:c r="BM314" s="141" t="n">
        <x:f>BM313*(1+Premissas!$B$41)+BL314</x:f>
        <x:v>0</x:v>
      </x:c>
      <x:c r="BN314" s="141" t="n">
        <x:f>MAX(0,BK314)</x:f>
        <x:v>12142796.679334091</x:v>
      </x:c>
      <x:c r="BO314" s="141" t="n">
        <x:f>INDEX('Consorcio Direto'!$K$55:$K$534,$A314)</x:f>
        <x:v>0</x:v>
      </x:c>
      <x:c r="BP314" s="141" t="n">
        <x:f>IF($A314&lt;'Consorcio Direto'!$B$29,INDEX('Consorcio Direto'!$L$55:$L$534,$A314),$F314)</x:f>
        <x:v>896718.2863944437</x:v>
      </x:c>
      <x:c r="BQ314" s="141" t="n">
        <x:f>BN314+BP314-BO314</x:f>
        <x:v>13039514.965728534</x:v>
      </x:c>
      <x:c r="BR314" s="141" t="n">
        <x:f>IF(BM314&gt;1,"Inviavel",BQ314)</x:f>
        <x:v>13039514.965728534</x:v>
      </x:c>
      <x:c r="BS314" s="141" t="str">
        <x:f>IF(BM314&gt;1,"Inviavel","OK")</x:f>
        <x:v>OK</x:v>
      </x:c>
      <x:c r="BT314" s="141" t="n">
        <x:f>IF(AND('Carta Contemplada'!$B$22="Sim",$A314='Carta Contemplada'!$B$23),'Carta Contemplada'!$B$37,0)</x:f>
        <x:v>0</x:v>
      </x:c>
      <x:c r="BU314" s="141" t="n">
        <x:f>IF('Carta Contemplada'!$B$22="Sim",INDEX('Carta Contemplada'!$C$55:$C$1013,$A314),0)</x:f>
        <x:v>0</x:v>
      </x:c>
      <x:c r="BV314" s="141" t="n">
        <x:f>IF(AND('Carta Contemplada'!$B$22="Sim",Premissas!$B$11="Imovel",Premissas!$B$47="Moradia",$A314&lt;MAX('Carta Contemplada'!$B$44,Premissas!$B$49)),$D314,0)</x:f>
        <x:v>0</x:v>
      </x:c>
      <x:c r="BW314" s="141" t="n">
        <x:f>IF(AND('Carta Contemplada'!$B$22="Sim",Premissas!$B$11="Imovel",Premissas!$B$47="Investimento",$A314&gt;=MAX('Carta Contemplada'!$B$44,Premissas!$B$49)),$E314,0)</x:f>
        <x:v>2746.7972606358326</x:v>
      </x:c>
      <x:c r="BX314" s="141" t="n">
        <x:f>BT314+BU314+BV314</x:f>
        <x:v>0</x:v>
      </x:c>
      <x:c r="BY314" s="141" t="n">
        <x:f>BW314</x:f>
        <x:v>2746.7972606358326</x:v>
      </x:c>
      <x:c r="BZ314" s="141" t="n">
        <x:f>$C314+BY314-BX314</x:f>
        <x:v>9746.797260635833</x:v>
      </x:c>
      <x:c r="CA314" s="141" t="n">
        <x:f>CD313*(1+Premissas!$B$41)+BZ314</x:f>
        <x:v>13097579.791888764</x:v>
      </x:c>
      <x:c r="CB314" s="141" t="n">
        <x:f>MAX(0,-CA314)</x:f>
        <x:v>0</x:v>
      </x:c>
      <x:c r="CC314" s="141" t="n">
        <x:f>CC313*(1+Premissas!$B$41)+CB314</x:f>
        <x:v>0</x:v>
      </x:c>
      <x:c r="CD314" s="141" t="n">
        <x:f>MAX(0,CA314)</x:f>
        <x:v>13097579.791888764</x:v>
      </x:c>
      <x:c r="CE314" s="141" t="n">
        <x:f>IF(AND('Carta Contemplada'!$B$22="Sim",$A314&gt;='Carta Contemplada'!$B$23),INDEX('Carta Contemplada'!$I$55:$I$1013,$A314),0)</x:f>
        <x:v>0</x:v>
      </x:c>
      <x:c r="CF314" s="141" t="n">
        <x:f>IF(AND('Carta Contemplada'!$B$22="Sim",$A314&gt;='Carta Contemplada'!$B$44),$F314,0)</x:f>
        <x:v>896718.2863944437</x:v>
      </x:c>
      <x:c r="CG314" s="141" t="n">
        <x:f>CD314+CF314-CE314</x:f>
        <x:v>13994298.078283207</x:v>
      </x:c>
      <x:c r="CH314" s="141" t="n">
        <x:f>IF(CC314&gt;1,"Inviavel",CG314)</x:f>
        <x:v>13994298.078283207</x:v>
      </x:c>
      <x:c r="CI314" s="145" t="str">
        <x:f>IF(CC314&gt;1,"Inviavel","OK")</x:f>
        <x:v>OK</x:v>
      </x:c>
    </x:row>
    <x:row r="315">
      <x:c r="A315" s="142" t="n">
        <x:v>311</x:v>
      </x:c>
      <x:c r="B315" s="179" t="n">
        <x:f>EDATE(Premissas!$B$4,A315-1)</x:f>
        <x:v>55975</x:v>
      </x:c>
      <x:c r="C315" s="141" t="n">
        <x:f>IF(A315&lt;=Premissas!$B$39,Premissas!$B$42,0)</x:f>
        <x:v>7000</x:v>
      </x:c>
      <x:c r="D315" s="141" t="n">
        <x:f>Premissas!$B$54*(1+Premissas!$B$57)^INT((A315-1)/12)</x:f>
        <x:v>3004.309503820442</x:v>
      </x:c>
      <x:c r="E315" s="141" t="n">
        <x:f>Premissas!$B$64*(1+Premissas!$B$57)^INT((A315-1)/12)</x:f>
        <x:v>2746.7972606358326</x:v>
      </x:c>
      <x:c r="F315" s="141" t="n">
        <x:f>MAX(0,Premissas!$B$6*(1+Premissas!$B$66)^((A315-1)/12))</x:f>
        <x:v>901083.1079963363</x:v>
      </x:c>
      <x:c r="G315" s="141" t="n">
        <x:f>G314*(1+Premissas!$B$41)+C315</x:f>
        <x:v>14857900.248279506</x:v>
      </x:c>
      <x:c r="H315" s="141" t="n">
        <x:f>IF($A315=Premissas!$B$48,Premissas!$B$8,0)</x:f>
        <x:v>0</x:v>
      </x:c>
      <x:c r="I315" s="141" t="n">
        <x:f>IF(AND($A315&gt;=Premissas!$B$48,$A315-Premissas!$B$48+1&lt;=Premissas!$B$13),INDEX(Financiamento!$J$6:$J$485,$A315-Premissas!$B$48+1),0)</x:f>
        <x:v>928.5779896396716</x:v>
      </x:c>
      <x:c r="J315" s="141" t="n">
        <x:f>IF(AND(TRUE,Premissas!$B$11="Imovel",Premissas!$B$47="Moradia",$A315&lt;MAX(Premissas!$B$48,Premissas!$B$49)),$D315,0)</x:f>
        <x:v>0</x:v>
      </x:c>
      <x:c r="K315" s="141" t="n">
        <x:f>IF(AND(TRUE,Premissas!$B$11="Imovel",Premissas!$B$47="Investimento",$A315&gt;=MAX(Premissas!$B$48,Premissas!$B$49)),$E315,0)</x:f>
        <x:v>2746.7972606358326</x:v>
      </x:c>
      <x:c r="L315" s="141" t="n">
        <x:f>H315+I315+J315</x:f>
        <x:v>928.5779896396716</x:v>
      </x:c>
      <x:c r="M315" s="141" t="n">
        <x:f>K315</x:f>
        <x:v>2746.7972606358326</x:v>
      </x:c>
      <x:c r="N315" s="141" t="n">
        <x:f>$C315+M315-L315</x:f>
        <x:v>8818.21927099616</x:v>
      </x:c>
      <x:c r="O315" s="141" t="n">
        <x:f>R314*(1+Premissas!$B$41)+N315</x:f>
        <x:v>12785585.390073847</x:v>
      </x:c>
      <x:c r="P315" s="141" t="n">
        <x:f>MAX(0,-O315)</x:f>
        <x:v>0</x:v>
      </x:c>
      <x:c r="Q315" s="141" t="n">
        <x:f>Q314*(1+Premissas!$B$41)+P315</x:f>
        <x:v>0</x:v>
      </x:c>
      <x:c r="R315" s="141" t="n">
        <x:f>MAX(0,O315)</x:f>
        <x:v>12785585.390073847</x:v>
      </x:c>
      <x:c r="S315" s="141" t="n">
        <x:f>IF(AND($A315&gt;=Premissas!$B$48,$A315-Premissas!$B$48+1&lt;=Premissas!$B$13),INDEX(Financiamento!$M$6:$M$485,$A315-Premissas!$B$48+1),0)</x:f>
        <x:v>41523.809523809585</x:v>
      </x:c>
      <x:c r="T315" s="141" t="n">
        <x:f>IF($A315&gt;=Premissas!$B$48,$F315,0)</x:f>
        <x:v>901083.1079963363</x:v>
      </x:c>
      <x:c r="U315" s="141" t="n">
        <x:f>R315+T315-S315</x:f>
        <x:v>13645144.688546374</x:v>
      </x:c>
      <x:c r="V315" s="141" t="n">
        <x:f>IF(Q315&gt;1,"Inviavel",U315)</x:f>
        <x:v>13645144.688546374</x:v>
      </x:c>
      <x:c r="W315" s="141" t="str">
        <x:f>IF(Q315&gt;1,"Inviavel","OK")</x:f>
        <x:v>OK</x:v>
      </x:c>
      <x:c r="X315" s="141" t="n">
        <x:f>IF($A315=Premissas!$B$48,Premissas!$B$8,0)</x:f>
        <x:v>0</x:v>
      </x:c>
      <x:c r="Y315" s="141" t="n">
        <x:f>IF(AND($A315&gt;=Premissas!$B$48,$A315-Premissas!$B$48+1&lt;=Premissas!$B$13),INDEX(Amortizacao!$K$6:$K$485,$A315-Premissas!$B$48+1),0)</x:f>
        <x:v>0</x:v>
      </x:c>
      <x:c r="Z315" s="141" t="n">
        <x:f>IF(AND(TRUE,Premissas!$B$11="Imovel",Premissas!$B$47="Moradia",$A315&lt;MAX(Premissas!$B$48,Premissas!$B$49)),$D315,0)</x:f>
        <x:v>0</x:v>
      </x:c>
      <x:c r="AA315" s="141" t="n">
        <x:f>IF(AND(TRUE,Premissas!$B$11="Imovel",Premissas!$B$47="Investimento",$A315&gt;=MAX(Premissas!$B$48,Premissas!$B$49)),$E315,0)</x:f>
        <x:v>2746.7972606358326</x:v>
      </x:c>
      <x:c r="AB315" s="141" t="n">
        <x:f>X315+Y315+Z315</x:f>
        <x:v>0</x:v>
      </x:c>
      <x:c r="AC315" s="141" t="n">
        <x:f>AA315</x:f>
        <x:v>2746.7972606358326</x:v>
      </x:c>
      <x:c r="AD315" s="141" t="n">
        <x:f>$C315+AC315-AB315</x:f>
        <x:v>9746.797260635833</x:v>
      </x:c>
      <x:c r="AE315" s="141" t="n">
        <x:f>AH314*(1+Premissas!$B$41)+AD315</x:f>
        <x:v>12959303.912082573</x:v>
      </x:c>
      <x:c r="AF315" s="141" t="n">
        <x:f>MAX(0,-AE315)</x:f>
        <x:v>0</x:v>
      </x:c>
      <x:c r="AG315" s="141" t="n">
        <x:f>AG314*(1+Premissas!$B$41)+AF315</x:f>
        <x:v>0</x:v>
      </x:c>
      <x:c r="AH315" s="141" t="n">
        <x:f>MAX(0,AE315)</x:f>
        <x:v>12959303.912082573</x:v>
      </x:c>
      <x:c r="AI315" s="141" t="n">
        <x:f>IF(AND($A315&gt;=Premissas!$B$48,$A315-Premissas!$B$48+1&lt;=Premissas!$B$13),INDEX(Amortizacao!$L$6:$L$485,$A315-Premissas!$B$48+1),0)</x:f>
        <x:v>0</x:v>
      </x:c>
      <x:c r="AJ315" s="141" t="n">
        <x:f>IF($A315&gt;=Premissas!$B$48,$F315,0)</x:f>
        <x:v>901083.1079963363</x:v>
      </x:c>
      <x:c r="AK315" s="141" t="n">
        <x:f>AH315+AJ315-AI315</x:f>
        <x:v>13860387.02007891</x:v>
      </x:c>
      <x:c r="AL315" s="141" t="n">
        <x:f>IF(AG315&gt;1,"Inviavel",AK315)</x:f>
        <x:v>13860387.02007891</x:v>
      </x:c>
      <x:c r="AM315" s="141" t="str">
        <x:f>IF(AG315&gt;1,"Inviavel","OK")</x:f>
        <x:v>OK</x:v>
      </x:c>
      <x:c r="AN315" s="141" t="n">
        <x:f>IF($A315=Premissas!$B$48,Premissas!$B$8,0)</x:f>
        <x:v>0</x:v>
      </x:c>
      <x:c r="AO315" s="141" t="n">
        <x:f>IF($A315&lt;=Premissas!$B$25,INDEX('Consorcio IQ'!$K$6:$K$485,$A315),0)</x:f>
        <x:v>0</x:v>
      </x:c>
      <x:c r="AP315" s="141" t="n">
        <x:f>IF(AND(TRUE,Premissas!$B$11="Imovel",Premissas!$B$47="Moradia",$A315&lt;MAX(Premissas!$B$48,Premissas!$B$49)),$D315,0)</x:f>
        <x:v>0</x:v>
      </x:c>
      <x:c r="AQ315" s="141" t="n">
        <x:f>IF(AND(TRUE,Premissas!$B$11="Imovel",Premissas!$B$47="Investimento",$A315&gt;=MAX(Premissas!$B$48,Premissas!$B$49)),$E315,0)</x:f>
        <x:v>2746.7972606358326</x:v>
      </x:c>
      <x:c r="AR315" s="141" t="n">
        <x:f>AN315+AO315+AP315</x:f>
        <x:v>0</x:v>
      </x:c>
      <x:c r="AS315" s="141" t="n">
        <x:f>AQ315</x:f>
        <x:v>2746.7972606358326</x:v>
      </x:c>
      <x:c r="AT315" s="141" t="n">
        <x:f>$C315+AS315-AR315</x:f>
        <x:v>9746.797260635833</x:v>
      </x:c>
      <x:c r="AU315" s="141" t="n">
        <x:f>AX314*(1+Premissas!$B$41)+AT315</x:f>
        <x:v>12851324.850813108</x:v>
      </x:c>
      <x:c r="AV315" s="141" t="n">
        <x:f>MAX(0,-AU315)</x:f>
        <x:v>0</x:v>
      </x:c>
      <x:c r="AW315" s="141" t="n">
        <x:f>AW314*(1+Premissas!$B$41)+AV315</x:f>
        <x:v>0</x:v>
      </x:c>
      <x:c r="AX315" s="141" t="n">
        <x:f>MAX(0,AU315)</x:f>
        <x:v>12851324.850813108</x:v>
      </x:c>
      <x:c r="AY315" s="141" t="n">
        <x:f>INDEX('Consorcio IQ'!$P$6:$P$485,$A315)</x:f>
        <x:v>0</x:v>
      </x:c>
      <x:c r="AZ315" s="141" t="n">
        <x:f>IF($A315&gt;=Premissas!$B$48,$F315,0)+IF($A315&lt;Premissas!$B$27,INDEX('Consorcio IQ'!$O$6:$O$485,$A315),0)</x:f>
        <x:v>901083.1079963363</x:v>
      </x:c>
      <x:c r="BA315" s="141" t="n">
        <x:f>AX315+AZ315-AY315</x:f>
        <x:v>13752407.958809445</x:v>
      </x:c>
      <x:c r="BB315" s="141" t="n">
        <x:f>IF(AW315&gt;1,"Inviavel",BA315)</x:f>
        <x:v>13752407.958809445</x:v>
      </x:c>
      <x:c r="BC315" s="141" t="str">
        <x:f>IF(AW315&gt;1,"Inviavel","OK")</x:f>
        <x:v>OK</x:v>
      </x:c>
      <x:c r="BD315" s="141" t="n">
        <x:f>IF($A315='Consorcio Direto'!$B$29,'Consorcio Direto'!$B$44,0)</x:f>
        <x:v>0</x:v>
      </x:c>
      <x:c r="BE315" s="141" t="n">
        <x:f>IF($A315&lt;='Consorcio Direto'!$B$27,INDEX('Consorcio Direto'!$E$55:$E$534,$A315),0)</x:f>
        <x:v>0</x:v>
      </x:c>
      <x:c r="BF315" s="141" t="n">
        <x:f>IF(AND(TRUE,Premissas!$B$11="Imovel",Premissas!$B$47="Moradia",$A315&lt;MAX('Consorcio Direto'!$B$29,Premissas!$B$49)),$D315,0)</x:f>
        <x:v>0</x:v>
      </x:c>
      <x:c r="BG315" s="141" t="n">
        <x:f>IF(AND(TRUE,Premissas!$B$11="Imovel",Premissas!$B$47="Investimento",$A315&gt;=MAX('Consorcio Direto'!$B$29,Premissas!$B$49)),$E315,0)</x:f>
        <x:v>2746.7972606358326</x:v>
      </x:c>
      <x:c r="BH315" s="141" t="n">
        <x:f>BD315+BE315+BF315</x:f>
        <x:v>0</x:v>
      </x:c>
      <x:c r="BI315" s="141" t="n">
        <x:f>BG315</x:f>
        <x:v>2746.7972606358326</x:v>
      </x:c>
      <x:c r="BJ315" s="141" t="n">
        <x:f>$C315+BI315-BH315</x:f>
        <x:v>9746.797260635833</x:v>
      </x:c>
      <x:c r="BK315" s="141" t="n">
        <x:f>BN314*(1+Premissas!$B$41)+BJ315</x:f>
        <x:v>12267763.959931672</x:v>
      </x:c>
      <x:c r="BL315" s="141" t="n">
        <x:f>MAX(0,-BK315)</x:f>
        <x:v>0</x:v>
      </x:c>
      <x:c r="BM315" s="141" t="n">
        <x:f>BM314*(1+Premissas!$B$41)+BL315</x:f>
        <x:v>0</x:v>
      </x:c>
      <x:c r="BN315" s="141" t="n">
        <x:f>MAX(0,BK315)</x:f>
        <x:v>12267763.959931672</x:v>
      </x:c>
      <x:c r="BO315" s="141" t="n">
        <x:f>INDEX('Consorcio Direto'!$K$55:$K$534,$A315)</x:f>
        <x:v>0</x:v>
      </x:c>
      <x:c r="BP315" s="141" t="n">
        <x:f>IF($A315&lt;'Consorcio Direto'!$B$29,INDEX('Consorcio Direto'!$L$55:$L$534,$A315),$F315)</x:f>
        <x:v>901083.1079963363</x:v>
      </x:c>
      <x:c r="BQ315" s="141" t="n">
        <x:f>BN315+BP315-BO315</x:f>
        <x:v>13168847.067928009</x:v>
      </x:c>
      <x:c r="BR315" s="141" t="n">
        <x:f>IF(BM315&gt;1,"Inviavel",BQ315)</x:f>
        <x:v>13168847.067928009</x:v>
      </x:c>
      <x:c r="BS315" s="141" t="str">
        <x:f>IF(BM315&gt;1,"Inviavel","OK")</x:f>
        <x:v>OK</x:v>
      </x:c>
      <x:c r="BT315" s="141" t="n">
        <x:f>IF(AND('Carta Contemplada'!$B$22="Sim",$A315='Carta Contemplada'!$B$23),'Carta Contemplada'!$B$37,0)</x:f>
        <x:v>0</x:v>
      </x:c>
      <x:c r="BU315" s="141" t="n">
        <x:f>IF('Carta Contemplada'!$B$22="Sim",INDEX('Carta Contemplada'!$C$55:$C$1013,$A315),0)</x:f>
        <x:v>0</x:v>
      </x:c>
      <x:c r="BV315" s="141" t="n">
        <x:f>IF(AND('Carta Contemplada'!$B$22="Sim",Premissas!$B$11="Imovel",Premissas!$B$47="Moradia",$A315&lt;MAX('Carta Contemplada'!$B$44,Premissas!$B$49)),$D315,0)</x:f>
        <x:v>0</x:v>
      </x:c>
      <x:c r="BW315" s="141" t="n">
        <x:f>IF(AND('Carta Contemplada'!$B$22="Sim",Premissas!$B$11="Imovel",Premissas!$B$47="Investimento",$A315&gt;=MAX('Carta Contemplada'!$B$44,Premissas!$B$49)),$E315,0)</x:f>
        <x:v>2746.7972606358326</x:v>
      </x:c>
      <x:c r="BX315" s="141" t="n">
        <x:f>BT315+BU315+BV315</x:f>
        <x:v>0</x:v>
      </x:c>
      <x:c r="BY315" s="141" t="n">
        <x:f>BW315</x:f>
        <x:v>2746.7972606358326</x:v>
      </x:c>
      <x:c r="BZ315" s="141" t="n">
        <x:f>$C315+BY315-BX315</x:f>
        <x:v>9746.797260635833</x:v>
      </x:c>
      <x:c r="CA315" s="141" t="n">
        <x:f>CD314*(1+Premissas!$B$41)+BZ315</x:f>
        <x:v>13231606.811738813</x:v>
      </x:c>
      <x:c r="CB315" s="141" t="n">
        <x:f>MAX(0,-CA315)</x:f>
        <x:v>0</x:v>
      </x:c>
      <x:c r="CC315" s="141" t="n">
        <x:f>CC314*(1+Premissas!$B$41)+CB315</x:f>
        <x:v>0</x:v>
      </x:c>
      <x:c r="CD315" s="141" t="n">
        <x:f>MAX(0,CA315)</x:f>
        <x:v>13231606.811738813</x:v>
      </x:c>
      <x:c r="CE315" s="141" t="n">
        <x:f>IF(AND('Carta Contemplada'!$B$22="Sim",$A315&gt;='Carta Contemplada'!$B$23),INDEX('Carta Contemplada'!$I$55:$I$1013,$A315),0)</x:f>
        <x:v>0</x:v>
      </x:c>
      <x:c r="CF315" s="141" t="n">
        <x:f>IF(AND('Carta Contemplada'!$B$22="Sim",$A315&gt;='Carta Contemplada'!$B$44),$F315,0)</x:f>
        <x:v>901083.1079963363</x:v>
      </x:c>
      <x:c r="CG315" s="141" t="n">
        <x:f>CD315+CF315-CE315</x:f>
        <x:v>14132689.91973515</x:v>
      </x:c>
      <x:c r="CH315" s="141" t="n">
        <x:f>IF(CC315&gt;1,"Inviavel",CG315)</x:f>
        <x:v>14132689.91973515</x:v>
      </x:c>
      <x:c r="CI315" s="145" t="str">
        <x:f>IF(CC315&gt;1,"Inviavel","OK")</x:f>
        <x:v>OK</x:v>
      </x:c>
    </x:row>
    <x:row r="316">
      <x:c r="A316" s="142" t="n">
        <x:v>312</x:v>
      </x:c>
      <x:c r="B316" s="179" t="n">
        <x:f>EDATE(Premissas!$B$4,A316-1)</x:f>
        <x:v>56005</x:v>
      </x:c>
      <x:c r="C316" s="141" t="n">
        <x:f>IF(A316&lt;=Premissas!$B$39,Premissas!$B$42,0)</x:f>
        <x:v>7000</x:v>
      </x:c>
      <x:c r="D316" s="141" t="n">
        <x:f>Premissas!$B$54*(1+Premissas!$B$57)^INT((A316-1)/12)</x:f>
        <x:v>3004.309503820442</x:v>
      </x:c>
      <x:c r="E316" s="141" t="n">
        <x:f>Premissas!$B$64*(1+Premissas!$B$57)^INT((A316-1)/12)</x:f>
        <x:v>2746.7972606358326</x:v>
      </x:c>
      <x:c r="F316" s="141" t="n">
        <x:f>MAX(0,Premissas!$B$6*(1+Premissas!$B$66)^((A316-1)/12))</x:f>
        <x:v>905469.1755880851</x:v>
      </x:c>
      <x:c r="G316" s="141" t="n">
        <x:f>G315*(1+Premissas!$B$41)+C316</x:f>
        <x:v>15005883.787178122</x:v>
      </x:c>
      <x:c r="H316" s="141" t="n">
        <x:f>IF($A316=Premissas!$B$48,Premissas!$B$8,0)</x:f>
        <x:v>0</x:v>
      </x:c>
      <x:c r="I316" s="141" t="n">
        <x:f>IF(AND($A316&gt;=Premissas!$B$48,$A316-Premissas!$B$48+1&lt;=Premissas!$B$13),INDEX(Financiamento!$J$6:$J$485,$A316-Premissas!$B$48+1),0)</x:f>
        <x:v>924.9632113788781</x:v>
      </x:c>
      <x:c r="J316" s="141" t="n">
        <x:f>IF(AND(TRUE,Premissas!$B$11="Imovel",Premissas!$B$47="Moradia",$A316&lt;MAX(Premissas!$B$48,Premissas!$B$49)),$D316,0)</x:f>
        <x:v>0</x:v>
      </x:c>
      <x:c r="K316" s="141" t="n">
        <x:f>IF(AND(TRUE,Premissas!$B$11="Imovel",Premissas!$B$47="Investimento",$A316&gt;=MAX(Premissas!$B$48,Premissas!$B$49)),$E316,0)</x:f>
        <x:v>2746.7972606358326</x:v>
      </x:c>
      <x:c r="L316" s="141" t="n">
        <x:f>H316+I316+J316</x:f>
        <x:v>924.9632113788781</x:v>
      </x:c>
      <x:c r="M316" s="141" t="n">
        <x:f>K316</x:f>
        <x:v>2746.7972606358326</x:v>
      </x:c>
      <x:c r="N316" s="141" t="n">
        <x:f>$C316+M316-L316</x:f>
        <x:v>8821.834049256955</x:v>
      </x:c>
      <x:c r="O316" s="141" t="n">
        <x:f>R315*(1+Premissas!$B$41)+N316</x:f>
        <x:v>12915726.996436944</x:v>
      </x:c>
      <x:c r="P316" s="141" t="n">
        <x:f>MAX(0,-O316)</x:f>
        <x:v>0</x:v>
      </x:c>
      <x:c r="Q316" s="141" t="n">
        <x:f>Q315*(1+Premissas!$B$41)+P316</x:f>
        <x:v>0</x:v>
      </x:c>
      <x:c r="R316" s="141" t="n">
        <x:f>MAX(0,O316)</x:f>
        <x:v>12915726.996436944</x:v>
      </x:c>
      <x:c r="S316" s="141" t="n">
        <x:f>IF(AND($A316&gt;=Premissas!$B$48,$A316-Premissas!$B$48+1&lt;=Premissas!$B$13),INDEX(Financiamento!$M$6:$M$485,$A316-Premissas!$B$48+1),0)</x:f>
        <x:v>41142.8571428572</x:v>
      </x:c>
      <x:c r="T316" s="141" t="n">
        <x:f>IF($A316&gt;=Premissas!$B$48,$F316,0)</x:f>
        <x:v>905469.1755880851</x:v>
      </x:c>
      <x:c r="U316" s="141" t="n">
        <x:f>R316+T316-S316</x:f>
        <x:v>13780053.314882172</x:v>
      </x:c>
      <x:c r="V316" s="141" t="n">
        <x:f>IF(Q316&gt;1,"Inviavel",U316)</x:f>
        <x:v>13780053.314882172</x:v>
      </x:c>
      <x:c r="W316" s="141" t="str">
        <x:f>IF(Q316&gt;1,"Inviavel","OK")</x:f>
        <x:v>OK</x:v>
      </x:c>
      <x:c r="X316" s="141" t="n">
        <x:f>IF($A316=Premissas!$B$48,Premissas!$B$8,0)</x:f>
        <x:v>0</x:v>
      </x:c>
      <x:c r="Y316" s="141" t="n">
        <x:f>IF(AND($A316&gt;=Premissas!$B$48,$A316-Premissas!$B$48+1&lt;=Premissas!$B$13),INDEX(Amortizacao!$K$6:$K$485,$A316-Premissas!$B$48+1),0)</x:f>
        <x:v>0</x:v>
      </x:c>
      <x:c r="Z316" s="141" t="n">
        <x:f>IF(AND(TRUE,Premissas!$B$11="Imovel",Premissas!$B$47="Moradia",$A316&lt;MAX(Premissas!$B$48,Premissas!$B$49)),$D316,0)</x:f>
        <x:v>0</x:v>
      </x:c>
      <x:c r="AA316" s="141" t="n">
        <x:f>IF(AND(TRUE,Premissas!$B$11="Imovel",Premissas!$B$47="Investimento",$A316&gt;=MAX(Premissas!$B$48,Premissas!$B$49)),$E316,0)</x:f>
        <x:v>2746.7972606358326</x:v>
      </x:c>
      <x:c r="AB316" s="141" t="n">
        <x:f>X316+Y316+Z316</x:f>
        <x:v>0</x:v>
      </x:c>
      <x:c r="AC316" s="141" t="n">
        <x:f>AA316</x:f>
        <x:v>2746.7972606358326</x:v>
      </x:c>
      <x:c r="AD316" s="141" t="n">
        <x:f>$C316+AC316-AB316</x:f>
        <x:v>9746.797260635833</x:v>
      </x:c>
      <x:c r="AE316" s="141" t="n">
        <x:f>AH315*(1+Premissas!$B$41)+AD316</x:f>
        <x:v>13092018.860741293</x:v>
      </x:c>
      <x:c r="AF316" s="141" t="n">
        <x:f>MAX(0,-AE316)</x:f>
        <x:v>0</x:v>
      </x:c>
      <x:c r="AG316" s="141" t="n">
        <x:f>AG315*(1+Premissas!$B$41)+AF316</x:f>
        <x:v>0</x:v>
      </x:c>
      <x:c r="AH316" s="141" t="n">
        <x:f>MAX(0,AE316)</x:f>
        <x:v>13092018.860741293</x:v>
      </x:c>
      <x:c r="AI316" s="141" t="n">
        <x:f>IF(AND($A316&gt;=Premissas!$B$48,$A316-Premissas!$B$48+1&lt;=Premissas!$B$13),INDEX(Amortizacao!$L$6:$L$485,$A316-Premissas!$B$48+1),0)</x:f>
        <x:v>0</x:v>
      </x:c>
      <x:c r="AJ316" s="141" t="n">
        <x:f>IF($A316&gt;=Premissas!$B$48,$F316,0)</x:f>
        <x:v>905469.1755880851</x:v>
      </x:c>
      <x:c r="AK316" s="141" t="n">
        <x:f>AH316+AJ316-AI316</x:f>
        <x:v>13997488.036329377</x:v>
      </x:c>
      <x:c r="AL316" s="141" t="n">
        <x:f>IF(AG316&gt;1,"Inviavel",AK316)</x:f>
        <x:v>13997488.036329377</x:v>
      </x:c>
      <x:c r="AM316" s="141" t="str">
        <x:f>IF(AG316&gt;1,"Inviavel","OK")</x:f>
        <x:v>OK</x:v>
      </x:c>
      <x:c r="AN316" s="141" t="n">
        <x:f>IF($A316=Premissas!$B$48,Premissas!$B$8,0)</x:f>
        <x:v>0</x:v>
      </x:c>
      <x:c r="AO316" s="141" t="n">
        <x:f>IF($A316&lt;=Premissas!$B$25,INDEX('Consorcio IQ'!$K$6:$K$485,$A316),0)</x:f>
        <x:v>0</x:v>
      </x:c>
      <x:c r="AP316" s="141" t="n">
        <x:f>IF(AND(TRUE,Premissas!$B$11="Imovel",Premissas!$B$47="Moradia",$A316&lt;MAX(Premissas!$B$48,Premissas!$B$49)),$D316,0)</x:f>
        <x:v>0</x:v>
      </x:c>
      <x:c r="AQ316" s="141" t="n">
        <x:f>IF(AND(TRUE,Premissas!$B$11="Imovel",Premissas!$B$47="Investimento",$A316&gt;=MAX(Premissas!$B$48,Premissas!$B$49)),$E316,0)</x:f>
        <x:v>2746.7972606358326</x:v>
      </x:c>
      <x:c r="AR316" s="141" t="n">
        <x:f>AN316+AO316+AP316</x:f>
        <x:v>0</x:v>
      </x:c>
      <x:c r="AS316" s="141" t="n">
        <x:f>AQ316</x:f>
        <x:v>2746.7972606358326</x:v>
      </x:c>
      <x:c r="AT316" s="141" t="n">
        <x:f>$C316+AS316-AR316</x:f>
        <x:v>9746.797260635833</x:v>
      </x:c>
      <x:c r="AU316" s="141" t="n">
        <x:f>AX315*(1+Premissas!$B$41)+AT316</x:f>
        <x:v>12983015.208518172</x:v>
      </x:c>
      <x:c r="AV316" s="141" t="n">
        <x:f>MAX(0,-AU316)</x:f>
        <x:v>0</x:v>
      </x:c>
      <x:c r="AW316" s="141" t="n">
        <x:f>AW315*(1+Premissas!$B$41)+AV316</x:f>
        <x:v>0</x:v>
      </x:c>
      <x:c r="AX316" s="141" t="n">
        <x:f>MAX(0,AU316)</x:f>
        <x:v>12983015.208518172</x:v>
      </x:c>
      <x:c r="AY316" s="141" t="n">
        <x:f>INDEX('Consorcio IQ'!$P$6:$P$485,$A316)</x:f>
        <x:v>0</x:v>
      </x:c>
      <x:c r="AZ316" s="141" t="n">
        <x:f>IF($A316&gt;=Premissas!$B$48,$F316,0)+IF($A316&lt;Premissas!$B$27,INDEX('Consorcio IQ'!$O$6:$O$485,$A316),0)</x:f>
        <x:v>905469.1755880851</x:v>
      </x:c>
      <x:c r="BA316" s="141" t="n">
        <x:f>AX316+AZ316-AY316</x:f>
        <x:v>13888484.384106256</x:v>
      </x:c>
      <x:c r="BB316" s="141" t="n">
        <x:f>IF(AW316&gt;1,"Inviavel",BA316)</x:f>
        <x:v>13888484.384106256</x:v>
      </x:c>
      <x:c r="BC316" s="141" t="str">
        <x:f>IF(AW316&gt;1,"Inviavel","OK")</x:f>
        <x:v>OK</x:v>
      </x:c>
      <x:c r="BD316" s="141" t="n">
        <x:f>IF($A316='Consorcio Direto'!$B$29,'Consorcio Direto'!$B$44,0)</x:f>
        <x:v>0</x:v>
      </x:c>
      <x:c r="BE316" s="141" t="n">
        <x:f>IF($A316&lt;='Consorcio Direto'!$B$27,INDEX('Consorcio Direto'!$E$55:$E$534,$A316),0)</x:f>
        <x:v>0</x:v>
      </x:c>
      <x:c r="BF316" s="141" t="n">
        <x:f>IF(AND(TRUE,Premissas!$B$11="Imovel",Premissas!$B$47="Moradia",$A316&lt;MAX('Consorcio Direto'!$B$29,Premissas!$B$49)),$D316,0)</x:f>
        <x:v>0</x:v>
      </x:c>
      <x:c r="BG316" s="141" t="n">
        <x:f>IF(AND(TRUE,Premissas!$B$11="Imovel",Premissas!$B$47="Investimento",$A316&gt;=MAX('Consorcio Direto'!$B$29,Premissas!$B$49)),$E316,0)</x:f>
        <x:v>2746.7972606358326</x:v>
      </x:c>
      <x:c r="BH316" s="141" t="n">
        <x:f>BD316+BE316+BF316</x:f>
        <x:v>0</x:v>
      </x:c>
      <x:c r="BI316" s="141" t="n">
        <x:f>BG316</x:f>
        <x:v>2746.7972606358326</x:v>
      </x:c>
      <x:c r="BJ316" s="141" t="n">
        <x:f>$C316+BI316-BH316</x:f>
        <x:v>9746.797260635833</x:v>
      </x:c>
      <x:c r="BK316" s="141" t="n">
        <x:f>BN315*(1+Premissas!$B$41)+BJ316</x:f>
        <x:v>12393917.02917844</x:v>
      </x:c>
      <x:c r="BL316" s="141" t="n">
        <x:f>MAX(0,-BK316)</x:f>
        <x:v>0</x:v>
      </x:c>
      <x:c r="BM316" s="141" t="n">
        <x:f>BM315*(1+Premissas!$B$41)+BL316</x:f>
        <x:v>0</x:v>
      </x:c>
      <x:c r="BN316" s="141" t="n">
        <x:f>MAX(0,BK316)</x:f>
        <x:v>12393917.02917844</x:v>
      </x:c>
      <x:c r="BO316" s="141" t="n">
        <x:f>INDEX('Consorcio Direto'!$K$55:$K$534,$A316)</x:f>
        <x:v>0</x:v>
      </x:c>
      <x:c r="BP316" s="141" t="n">
        <x:f>IF($A316&lt;'Consorcio Direto'!$B$29,INDEX('Consorcio Direto'!$L$55:$L$534,$A316),$F316)</x:f>
        <x:v>905469.1755880851</x:v>
      </x:c>
      <x:c r="BQ316" s="141" t="n">
        <x:f>BN316+BP316-BO316</x:f>
        <x:v>13299386.204766525</x:v>
      </x:c>
      <x:c r="BR316" s="141" t="n">
        <x:f>IF(BM316&gt;1,"Inviavel",BQ316)</x:f>
        <x:v>13299386.204766525</x:v>
      </x:c>
      <x:c r="BS316" s="141" t="str">
        <x:f>IF(BM316&gt;1,"Inviavel","OK")</x:f>
        <x:v>OK</x:v>
      </x:c>
      <x:c r="BT316" s="141" t="n">
        <x:f>IF(AND('Carta Contemplada'!$B$22="Sim",$A316='Carta Contemplada'!$B$23),'Carta Contemplada'!$B$37,0)</x:f>
        <x:v>0</x:v>
      </x:c>
      <x:c r="BU316" s="141" t="n">
        <x:f>IF('Carta Contemplada'!$B$22="Sim",INDEX('Carta Contemplada'!$C$55:$C$1013,$A316),0)</x:f>
        <x:v>0</x:v>
      </x:c>
      <x:c r="BV316" s="141" t="n">
        <x:f>IF(AND('Carta Contemplada'!$B$22="Sim",Premissas!$B$11="Imovel",Premissas!$B$47="Moradia",$A316&lt;MAX('Carta Contemplada'!$B$44,Premissas!$B$49)),$D316,0)</x:f>
        <x:v>0</x:v>
      </x:c>
      <x:c r="BW316" s="141" t="n">
        <x:f>IF(AND('Carta Contemplada'!$B$22="Sim",Premissas!$B$11="Imovel",Premissas!$B$47="Investimento",$A316&gt;=MAX('Carta Contemplada'!$B$44,Premissas!$B$49)),$E316,0)</x:f>
        <x:v>2746.7972606358326</x:v>
      </x:c>
      <x:c r="BX316" s="141" t="n">
        <x:f>BT316+BU316+BV316</x:f>
        <x:v>0</x:v>
      </x:c>
      <x:c r="BY316" s="141" t="n">
        <x:f>BW316</x:f>
        <x:v>2746.7972606358326</x:v>
      </x:c>
      <x:c r="BZ316" s="141" t="n">
        <x:f>$C316+BY316-BX316</x:f>
        <x:v>9746.797260635833</x:v>
      </x:c>
      <x:c r="CA316" s="141" t="n">
        <x:f>CD315*(1+Premissas!$B$41)+BZ316</x:f>
        <x:v>13366905.586227858</x:v>
      </x:c>
      <x:c r="CB316" s="141" t="n">
        <x:f>MAX(0,-CA316)</x:f>
        <x:v>0</x:v>
      </x:c>
      <x:c r="CC316" s="141" t="n">
        <x:f>CC315*(1+Premissas!$B$41)+CB316</x:f>
        <x:v>0</x:v>
      </x:c>
      <x:c r="CD316" s="141" t="n">
        <x:f>MAX(0,CA316)</x:f>
        <x:v>13366905.586227858</x:v>
      </x:c>
      <x:c r="CE316" s="141" t="n">
        <x:f>IF(AND('Carta Contemplada'!$B$22="Sim",$A316&gt;='Carta Contemplada'!$B$23),INDEX('Carta Contemplada'!$I$55:$I$1013,$A316),0)</x:f>
        <x:v>0</x:v>
      </x:c>
      <x:c r="CF316" s="141" t="n">
        <x:f>IF(AND('Carta Contemplada'!$B$22="Sim",$A316&gt;='Carta Contemplada'!$B$44),$F316,0)</x:f>
        <x:v>905469.1755880851</x:v>
      </x:c>
      <x:c r="CG316" s="141" t="n">
        <x:f>CD316+CF316-CE316</x:f>
        <x:v>14272374.761815943</x:v>
      </x:c>
      <x:c r="CH316" s="141" t="n">
        <x:f>IF(CC316&gt;1,"Inviavel",CG316)</x:f>
        <x:v>14272374.761815943</x:v>
      </x:c>
      <x:c r="CI316" s="145" t="str">
        <x:f>IF(CC316&gt;1,"Inviavel","OK")</x:f>
        <x:v>OK</x:v>
      </x:c>
    </x:row>
    <x:row r="317">
      <x:c r="A317" s="142" t="n">
        <x:v>313</x:v>
      </x:c>
      <x:c r="B317" s="179" t="n">
        <x:f>EDATE(Premissas!$B$4,A317-1)</x:f>
        <x:v>56036</x:v>
      </x:c>
      <x:c r="C317" s="141" t="n">
        <x:f>IF(A317&lt;=Premissas!$B$39,Premissas!$B$42,0)</x:f>
        <x:v>7000</x:v>
      </x:c>
      <x:c r="D317" s="141" t="n">
        <x:f>Premissas!$B$54*(1+Premissas!$B$57)^INT((A317-1)/12)</x:f>
        <x:v>3184.568074049668</x:v>
      </x:c>
      <x:c r="E317" s="141" t="n">
        <x:f>Premissas!$B$64*(1+Premissas!$B$57)^INT((A317-1)/12)</x:f>
        <x:v>2911.605096273983</x:v>
      </x:c>
      <x:c r="F317" s="141" t="n">
        <x:f>MAX(0,Premissas!$B$6*(1+Premissas!$B$66)^((A317-1)/12))</x:f>
        <x:v>909876.5925856195</x:v>
      </x:c>
      <x:c r="G317" s="141" t="n">
        <x:f>G316*(1+Premissas!$B$41)+C317</x:f>
        <x:v>15155271.511235071</x:v>
      </x:c>
      <x:c r="H317" s="141" t="n">
        <x:f>IF($A317=Premissas!$B$48,Premissas!$B$8,0)</x:f>
        <x:v>0</x:v>
      </x:c>
      <x:c r="I317" s="141" t="n">
        <x:f>IF(AND($A317&gt;=Premissas!$B$48,$A317-Premissas!$B$48+1&lt;=Premissas!$B$13),INDEX(Financiamento!$J$6:$J$485,$A317-Premissas!$B$48+1),0)</x:f>
        <x:v>921.3484331180846</x:v>
      </x:c>
      <x:c r="J317" s="141" t="n">
        <x:f>IF(AND(TRUE,Premissas!$B$11="Imovel",Premissas!$B$47="Moradia",$A317&lt;MAX(Premissas!$B$48,Premissas!$B$49)),$D317,0)</x:f>
        <x:v>0</x:v>
      </x:c>
      <x:c r="K317" s="141" t="n">
        <x:f>IF(AND(TRUE,Premissas!$B$11="Imovel",Premissas!$B$47="Investimento",$A317&gt;=MAX(Premissas!$B$48,Premissas!$B$49)),$E317,0)</x:f>
        <x:v>2911.605096273983</x:v>
      </x:c>
      <x:c r="L317" s="141" t="n">
        <x:f>H317+I317+J317</x:f>
        <x:v>921.3484331180846</x:v>
      </x:c>
      <x:c r="M317" s="141" t="n">
        <x:f>K317</x:f>
        <x:v>2911.605096273983</x:v>
      </x:c>
      <x:c r="N317" s="141" t="n">
        <x:f>$C317+M317-L317</x:f>
        <x:v>8990.256663155898</x:v>
      </x:c>
      <x:c r="O317" s="141" t="n">
        <x:f>R316*(1+Premissas!$B$41)+N317</x:f>
        <x:v>13047271.912168896</x:v>
      </x:c>
      <x:c r="P317" s="141" t="n">
        <x:f>MAX(0,-O317)</x:f>
        <x:v>0</x:v>
      </x:c>
      <x:c r="Q317" s="141" t="n">
        <x:f>Q316*(1+Premissas!$B$41)+P317</x:f>
        <x:v>0</x:v>
      </x:c>
      <x:c r="R317" s="141" t="n">
        <x:f>MAX(0,O317)</x:f>
        <x:v>13047271.912168896</x:v>
      </x:c>
      <x:c r="S317" s="141" t="n">
        <x:f>IF(AND($A317&gt;=Premissas!$B$48,$A317-Premissas!$B$48+1&lt;=Premissas!$B$13),INDEX(Financiamento!$M$6:$M$485,$A317-Premissas!$B$48+1),0)</x:f>
        <x:v>40761.90476190482</x:v>
      </x:c>
      <x:c r="T317" s="141" t="n">
        <x:f>IF($A317&gt;=Premissas!$B$48,$F317,0)</x:f>
        <x:v>909876.5925856195</x:v>
      </x:c>
      <x:c r="U317" s="141" t="n">
        <x:f>R317+T317-S317</x:f>
        <x:v>13916386.59999261</x:v>
      </x:c>
      <x:c r="V317" s="141" t="n">
        <x:f>IF(Q317&gt;1,"Inviavel",U317)</x:f>
        <x:v>13916386.59999261</x:v>
      </x:c>
      <x:c r="W317" s="141" t="str">
        <x:f>IF(Q317&gt;1,"Inviavel","OK")</x:f>
        <x:v>OK</x:v>
      </x:c>
      <x:c r="X317" s="141" t="n">
        <x:f>IF($A317=Premissas!$B$48,Premissas!$B$8,0)</x:f>
        <x:v>0</x:v>
      </x:c>
      <x:c r="Y317" s="141" t="n">
        <x:f>IF(AND($A317&gt;=Premissas!$B$48,$A317-Premissas!$B$48+1&lt;=Premissas!$B$13),INDEX(Amortizacao!$K$6:$K$485,$A317-Premissas!$B$48+1),0)</x:f>
        <x:v>0</x:v>
      </x:c>
      <x:c r="Z317" s="141" t="n">
        <x:f>IF(AND(TRUE,Premissas!$B$11="Imovel",Premissas!$B$47="Moradia",$A317&lt;MAX(Premissas!$B$48,Premissas!$B$49)),$D317,0)</x:f>
        <x:v>0</x:v>
      </x:c>
      <x:c r="AA317" s="141" t="n">
        <x:f>IF(AND(TRUE,Premissas!$B$11="Imovel",Premissas!$B$47="Investimento",$A317&gt;=MAX(Premissas!$B$48,Premissas!$B$49)),$E317,0)</x:f>
        <x:v>2911.605096273983</x:v>
      </x:c>
      <x:c r="AB317" s="141" t="n">
        <x:f>X317+Y317+Z317</x:f>
        <x:v>0</x:v>
      </x:c>
      <x:c r="AC317" s="141" t="n">
        <x:f>AA317</x:f>
        <x:v>2911.605096273983</x:v>
      </x:c>
      <x:c r="AD317" s="141" t="n">
        <x:f>$C317+AC317-AB317</x:f>
        <x:v>9911.605096273983</x:v>
      </x:c>
      <x:c r="AE317" s="141" t="n">
        <x:f>AH316*(1+Premissas!$B$41)+AD317</x:f>
        <x:v>13226157.921902796</x:v>
      </x:c>
      <x:c r="AF317" s="141" t="n">
        <x:f>MAX(0,-AE317)</x:f>
        <x:v>0</x:v>
      </x:c>
      <x:c r="AG317" s="141" t="n">
        <x:f>AG316*(1+Premissas!$B$41)+AF317</x:f>
        <x:v>0</x:v>
      </x:c>
      <x:c r="AH317" s="141" t="n">
        <x:f>MAX(0,AE317)</x:f>
        <x:v>13226157.921902796</x:v>
      </x:c>
      <x:c r="AI317" s="141" t="n">
        <x:f>IF(AND($A317&gt;=Premissas!$B$48,$A317-Premissas!$B$48+1&lt;=Premissas!$B$13),INDEX(Amortizacao!$L$6:$L$485,$A317-Premissas!$B$48+1),0)</x:f>
        <x:v>0</x:v>
      </x:c>
      <x:c r="AJ317" s="141" t="n">
        <x:f>IF($A317&gt;=Premissas!$B$48,$F317,0)</x:f>
        <x:v>909876.5925856195</x:v>
      </x:c>
      <x:c r="AK317" s="141" t="n">
        <x:f>AH317+AJ317-AI317</x:f>
        <x:v>14136034.514488416</x:v>
      </x:c>
      <x:c r="AL317" s="141" t="n">
        <x:f>IF(AG317&gt;1,"Inviavel",AK317)</x:f>
        <x:v>14136034.514488416</x:v>
      </x:c>
      <x:c r="AM317" s="141" t="str">
        <x:f>IF(AG317&gt;1,"Inviavel","OK")</x:f>
        <x:v>OK</x:v>
      </x:c>
      <x:c r="AN317" s="141" t="n">
        <x:f>IF($A317=Premissas!$B$48,Premissas!$B$8,0)</x:f>
        <x:v>0</x:v>
      </x:c>
      <x:c r="AO317" s="141" t="n">
        <x:f>IF($A317&lt;=Premissas!$B$25,INDEX('Consorcio IQ'!$K$6:$K$485,$A317),0)</x:f>
        <x:v>0</x:v>
      </x:c>
      <x:c r="AP317" s="141" t="n">
        <x:f>IF(AND(TRUE,Premissas!$B$11="Imovel",Premissas!$B$47="Moradia",$A317&lt;MAX(Premissas!$B$48,Premissas!$B$49)),$D317,0)</x:f>
        <x:v>0</x:v>
      </x:c>
      <x:c r="AQ317" s="141" t="n">
        <x:f>IF(AND(TRUE,Premissas!$B$11="Imovel",Premissas!$B$47="Investimento",$A317&gt;=MAX(Premissas!$B$48,Premissas!$B$49)),$E317,0)</x:f>
        <x:v>2911.605096273983</x:v>
      </x:c>
      <x:c r="AR317" s="141" t="n">
        <x:f>AN317+AO317+AP317</x:f>
        <x:v>0</x:v>
      </x:c>
      <x:c r="AS317" s="141" t="n">
        <x:f>AQ317</x:f>
        <x:v>2911.605096273983</x:v>
      </x:c>
      <x:c r="AT317" s="141" t="n">
        <x:f>$C317+AS317-AR317</x:f>
        <x:v>9911.605096273983</x:v>
      </x:c>
      <x:c r="AU317" s="141" t="n">
        <x:f>AX316*(1+Premissas!$B$41)+AT317</x:f>
        <x:v>13116119.956594616</x:v>
      </x:c>
      <x:c r="AV317" s="141" t="n">
        <x:f>MAX(0,-AU317)</x:f>
        <x:v>0</x:v>
      </x:c>
      <x:c r="AW317" s="141" t="n">
        <x:f>AW316*(1+Premissas!$B$41)+AV317</x:f>
        <x:v>0</x:v>
      </x:c>
      <x:c r="AX317" s="141" t="n">
        <x:f>MAX(0,AU317)</x:f>
        <x:v>13116119.956594616</x:v>
      </x:c>
      <x:c r="AY317" s="141" t="n">
        <x:f>INDEX('Consorcio IQ'!$P$6:$P$485,$A317)</x:f>
        <x:v>0</x:v>
      </x:c>
      <x:c r="AZ317" s="141" t="n">
        <x:f>IF($A317&gt;=Premissas!$B$48,$F317,0)+IF($A317&lt;Premissas!$B$27,INDEX('Consorcio IQ'!$O$6:$O$485,$A317),0)</x:f>
        <x:v>909876.5925856195</x:v>
      </x:c>
      <x:c r="BA317" s="141" t="n">
        <x:f>AX317+AZ317-AY317</x:f>
        <x:v>14025996.549180236</x:v>
      </x:c>
      <x:c r="BB317" s="141" t="n">
        <x:f>IF(AW317&gt;1,"Inviavel",BA317)</x:f>
        <x:v>14025996.549180236</x:v>
      </x:c>
      <x:c r="BC317" s="141" t="str">
        <x:f>IF(AW317&gt;1,"Inviavel","OK")</x:f>
        <x:v>OK</x:v>
      </x:c>
      <x:c r="BD317" s="141" t="n">
        <x:f>IF($A317='Consorcio Direto'!$B$29,'Consorcio Direto'!$B$44,0)</x:f>
        <x:v>0</x:v>
      </x:c>
      <x:c r="BE317" s="141" t="n">
        <x:f>IF($A317&lt;='Consorcio Direto'!$B$27,INDEX('Consorcio Direto'!$E$55:$E$534,$A317),0)</x:f>
        <x:v>0</x:v>
      </x:c>
      <x:c r="BF317" s="141" t="n">
        <x:f>IF(AND(TRUE,Premissas!$B$11="Imovel",Premissas!$B$47="Moradia",$A317&lt;MAX('Consorcio Direto'!$B$29,Premissas!$B$49)),$D317,0)</x:f>
        <x:v>0</x:v>
      </x:c>
      <x:c r="BG317" s="141" t="n">
        <x:f>IF(AND(TRUE,Premissas!$B$11="Imovel",Premissas!$B$47="Investimento",$A317&gt;=MAX('Consorcio Direto'!$B$29,Premissas!$B$49)),$E317,0)</x:f>
        <x:v>2911.605096273983</x:v>
      </x:c>
      <x:c r="BH317" s="141" t="n">
        <x:f>BD317+BE317+BF317</x:f>
        <x:v>0</x:v>
      </x:c>
      <x:c r="BI317" s="141" t="n">
        <x:f>BG317</x:f>
        <x:v>2911.605096273983</x:v>
      </x:c>
      <x:c r="BJ317" s="141" t="n">
        <x:f>$C317+BI317-BH317</x:f>
        <x:v>9911.605096273983</x:v>
      </x:c>
      <x:c r="BK317" s="141" t="n">
        <x:f>BN316*(1+Premissas!$B$41)+BJ317</x:f>
        <x:v>12521431.946612991</x:v>
      </x:c>
      <x:c r="BL317" s="141" t="n">
        <x:f>MAX(0,-BK317)</x:f>
        <x:v>0</x:v>
      </x:c>
      <x:c r="BM317" s="141" t="n">
        <x:f>BM316*(1+Premissas!$B$41)+BL317</x:f>
        <x:v>0</x:v>
      </x:c>
      <x:c r="BN317" s="141" t="n">
        <x:f>MAX(0,BK317)</x:f>
        <x:v>12521431.946612991</x:v>
      </x:c>
      <x:c r="BO317" s="141" t="n">
        <x:f>INDEX('Consorcio Direto'!$K$55:$K$534,$A317)</x:f>
        <x:v>0</x:v>
      </x:c>
      <x:c r="BP317" s="141" t="n">
        <x:f>IF($A317&lt;'Consorcio Direto'!$B$29,INDEX('Consorcio Direto'!$L$55:$L$534,$A317),$F317)</x:f>
        <x:v>909876.5925856195</x:v>
      </x:c>
      <x:c r="BQ317" s="141" t="n">
        <x:f>BN317+BP317-BO317</x:f>
        <x:v>13431308.539198611</x:v>
      </x:c>
      <x:c r="BR317" s="141" t="n">
        <x:f>IF(BM317&gt;1,"Inviavel",BQ317)</x:f>
        <x:v>13431308.539198611</x:v>
      </x:c>
      <x:c r="BS317" s="141" t="str">
        <x:f>IF(BM317&gt;1,"Inviavel","OK")</x:f>
        <x:v>OK</x:v>
      </x:c>
      <x:c r="BT317" s="141" t="n">
        <x:f>IF(AND('Carta Contemplada'!$B$22="Sim",$A317='Carta Contemplada'!$B$23),'Carta Contemplada'!$B$37,0)</x:f>
        <x:v>0</x:v>
      </x:c>
      <x:c r="BU317" s="141" t="n">
        <x:f>IF('Carta Contemplada'!$B$22="Sim",INDEX('Carta Contemplada'!$C$55:$C$1013,$A317),0)</x:f>
        <x:v>0</x:v>
      </x:c>
      <x:c r="BV317" s="141" t="n">
        <x:f>IF(AND('Carta Contemplada'!$B$22="Sim",Premissas!$B$11="Imovel",Premissas!$B$47="Moradia",$A317&lt;MAX('Carta Contemplada'!$B$44,Premissas!$B$49)),$D317,0)</x:f>
        <x:v>0</x:v>
      </x:c>
      <x:c r="BW317" s="141" t="n">
        <x:f>IF(AND('Carta Contemplada'!$B$22="Sim",Premissas!$B$11="Imovel",Premissas!$B$47="Investimento",$A317&gt;=MAX('Carta Contemplada'!$B$44,Premissas!$B$49)),$E317,0)</x:f>
        <x:v>2911.605096273983</x:v>
      </x:c>
      <x:c r="BX317" s="141" t="n">
        <x:f>BT317+BU317+BV317</x:f>
        <x:v>0</x:v>
      </x:c>
      <x:c r="BY317" s="141" t="n">
        <x:f>BW317</x:f>
        <x:v>2911.605096273983</x:v>
      </x:c>
      <x:c r="BZ317" s="141" t="n">
        <x:f>$C317+BY317-BX317</x:f>
        <x:v>9911.605096273983</x:v>
      </x:c>
      <x:c r="CA317" s="141" t="n">
        <x:f>CD316*(1+Premissas!$B$41)+BZ317</x:f>
        <x:v>13503652.99060797</x:v>
      </x:c>
      <x:c r="CB317" s="141" t="n">
        <x:f>MAX(0,-CA317)</x:f>
        <x:v>0</x:v>
      </x:c>
      <x:c r="CC317" s="141" t="n">
        <x:f>CC316*(1+Premissas!$B$41)+CB317</x:f>
        <x:v>0</x:v>
      </x:c>
      <x:c r="CD317" s="141" t="n">
        <x:f>MAX(0,CA317)</x:f>
        <x:v>13503652.99060797</x:v>
      </x:c>
      <x:c r="CE317" s="141" t="n">
        <x:f>IF(AND('Carta Contemplada'!$B$22="Sim",$A317&gt;='Carta Contemplada'!$B$23),INDEX('Carta Contemplada'!$I$55:$I$1013,$A317),0)</x:f>
        <x:v>0</x:v>
      </x:c>
      <x:c r="CF317" s="141" t="n">
        <x:f>IF(AND('Carta Contemplada'!$B$22="Sim",$A317&gt;='Carta Contemplada'!$B$44),$F317,0)</x:f>
        <x:v>909876.5925856195</x:v>
      </x:c>
      <x:c r="CG317" s="141" t="n">
        <x:f>CD317+CF317-CE317</x:f>
        <x:v>14413529.583193589</x:v>
      </x:c>
      <x:c r="CH317" s="141" t="n">
        <x:f>IF(CC317&gt;1,"Inviavel",CG317)</x:f>
        <x:v>14413529.583193589</x:v>
      </x:c>
      <x:c r="CI317" s="145" t="str">
        <x:f>IF(CC317&gt;1,"Inviavel","OK")</x:f>
        <x:v>OK</x:v>
      </x:c>
    </x:row>
    <x:row r="318">
      <x:c r="A318" s="142" t="n">
        <x:v>314</x:v>
      </x:c>
      <x:c r="B318" s="179" t="n">
        <x:f>EDATE(Premissas!$B$4,A318-1)</x:f>
        <x:v>56066</x:v>
      </x:c>
      <x:c r="C318" s="141" t="n">
        <x:f>IF(A318&lt;=Premissas!$B$39,Premissas!$B$42,0)</x:f>
        <x:v>7000</x:v>
      </x:c>
      <x:c r="D318" s="141" t="n">
        <x:f>Premissas!$B$54*(1+Premissas!$B$57)^INT((A318-1)/12)</x:f>
        <x:v>3184.568074049668</x:v>
      </x:c>
      <x:c r="E318" s="141" t="n">
        <x:f>Premissas!$B$64*(1+Premissas!$B$57)^INT((A318-1)/12)</x:f>
        <x:v>2911.605096273983</x:v>
      </x:c>
      <x:c r="F318" s="141" t="n">
        <x:f>MAX(0,Premissas!$B$6*(1+Premissas!$B$66)^((A318-1)/12))</x:f>
        <x:v>914305.462908252</x:v>
      </x:c>
      <x:c r="G318" s="141" t="n">
        <x:f>G317*(1+Premissas!$B$41)+C318</x:f>
        <x:v>15306076.744472567</x:v>
      </x:c>
      <x:c r="H318" s="141" t="n">
        <x:f>IF($A318=Premissas!$B$48,Premissas!$B$8,0)</x:f>
        <x:v>0</x:v>
      </x:c>
      <x:c r="I318" s="141" t="n">
        <x:f>IF(AND($A318&gt;=Premissas!$B$48,$A318-Premissas!$B$48+1&lt;=Premissas!$B$13),INDEX(Financiamento!$J$6:$J$485,$A318-Premissas!$B$48+1),0)</x:f>
        <x:v>917.733654857291</x:v>
      </x:c>
      <x:c r="J318" s="141" t="n">
        <x:f>IF(AND(TRUE,Premissas!$B$11="Imovel",Premissas!$B$47="Moradia",$A318&lt;MAX(Premissas!$B$48,Premissas!$B$49)),$D318,0)</x:f>
        <x:v>0</x:v>
      </x:c>
      <x:c r="K318" s="141" t="n">
        <x:f>IF(AND(TRUE,Premissas!$B$11="Imovel",Premissas!$B$47="Investimento",$A318&gt;=MAX(Premissas!$B$48,Premissas!$B$49)),$E318,0)</x:f>
        <x:v>2911.605096273983</x:v>
      </x:c>
      <x:c r="L318" s="141" t="n">
        <x:f>H318+I318+J318</x:f>
        <x:v>917.733654857291</x:v>
      </x:c>
      <x:c r="M318" s="141" t="n">
        <x:f>K318</x:f>
        <x:v>2911.605096273983</x:v>
      </x:c>
      <x:c r="N318" s="141" t="n">
        <x:f>$C318+M318-L318</x:f>
        <x:v>8993.871441416692</x:v>
      </x:c>
      <x:c r="O318" s="141" t="n">
        <x:f>R317*(1+Premissas!$B$41)+N318</x:f>
        <x:v>13180068.645146085</x:v>
      </x:c>
      <x:c r="P318" s="141" t="n">
        <x:f>MAX(0,-O318)</x:f>
        <x:v>0</x:v>
      </x:c>
      <x:c r="Q318" s="141" t="n">
        <x:f>Q317*(1+Premissas!$B$41)+P318</x:f>
        <x:v>0</x:v>
      </x:c>
      <x:c r="R318" s="141" t="n">
        <x:f>MAX(0,O318)</x:f>
        <x:v>13180068.645146085</x:v>
      </x:c>
      <x:c r="S318" s="141" t="n">
        <x:f>IF(AND($A318&gt;=Premissas!$B$48,$A318-Premissas!$B$48+1&lt;=Premissas!$B$13),INDEX(Financiamento!$M$6:$M$485,$A318-Premissas!$B$48+1),0)</x:f>
        <x:v>40380.95238095244</x:v>
      </x:c>
      <x:c r="T318" s="141" t="n">
        <x:f>IF($A318&gt;=Premissas!$B$48,$F318,0)</x:f>
        <x:v>914305.462908252</x:v>
      </x:c>
      <x:c r="U318" s="141" t="n">
        <x:f>R318+T318-S318</x:f>
        <x:v>14053993.155673383</x:v>
      </x:c>
      <x:c r="V318" s="141" t="n">
        <x:f>IF(Q318&gt;1,"Inviavel",U318)</x:f>
        <x:v>14053993.155673383</x:v>
      </x:c>
      <x:c r="W318" s="141" t="str">
        <x:f>IF(Q318&gt;1,"Inviavel","OK")</x:f>
        <x:v>OK</x:v>
      </x:c>
      <x:c r="X318" s="141" t="n">
        <x:f>IF($A318=Premissas!$B$48,Premissas!$B$8,0)</x:f>
        <x:v>0</x:v>
      </x:c>
      <x:c r="Y318" s="141" t="n">
        <x:f>IF(AND($A318&gt;=Premissas!$B$48,$A318-Premissas!$B$48+1&lt;=Premissas!$B$13),INDEX(Amortizacao!$K$6:$K$485,$A318-Premissas!$B$48+1),0)</x:f>
        <x:v>0</x:v>
      </x:c>
      <x:c r="Z318" s="141" t="n">
        <x:f>IF(AND(TRUE,Premissas!$B$11="Imovel",Premissas!$B$47="Moradia",$A318&lt;MAX(Premissas!$B$48,Premissas!$B$49)),$D318,0)</x:f>
        <x:v>0</x:v>
      </x:c>
      <x:c r="AA318" s="141" t="n">
        <x:f>IF(AND(TRUE,Premissas!$B$11="Imovel",Premissas!$B$47="Investimento",$A318&gt;=MAX(Premissas!$B$48,Premissas!$B$49)),$E318,0)</x:f>
        <x:v>2911.605096273983</x:v>
      </x:c>
      <x:c r="AB318" s="141" t="n">
        <x:f>X318+Y318+Z318</x:f>
        <x:v>0</x:v>
      </x:c>
      <x:c r="AC318" s="141" t="n">
        <x:f>AA318</x:f>
        <x:v>2911.605096273983</x:v>
      </x:c>
      <x:c r="AD318" s="141" t="n">
        <x:f>$C318+AC318-AB318</x:f>
        <x:v>9911.605096273983</x:v>
      </x:c>
      <x:c r="AE318" s="141" t="n">
        <x:f>AH317*(1+Premissas!$B$41)+AD318</x:f>
        <x:v>13361569.8008401</x:v>
      </x:c>
      <x:c r="AF318" s="141" t="n">
        <x:f>MAX(0,-AE318)</x:f>
        <x:v>0</x:v>
      </x:c>
      <x:c r="AG318" s="141" t="n">
        <x:f>AG317*(1+Premissas!$B$41)+AF318</x:f>
        <x:v>0</x:v>
      </x:c>
      <x:c r="AH318" s="141" t="n">
        <x:f>MAX(0,AE318)</x:f>
        <x:v>13361569.8008401</x:v>
      </x:c>
      <x:c r="AI318" s="141" t="n">
        <x:f>IF(AND($A318&gt;=Premissas!$B$48,$A318-Premissas!$B$48+1&lt;=Premissas!$B$13),INDEX(Amortizacao!$L$6:$L$485,$A318-Premissas!$B$48+1),0)</x:f>
        <x:v>0</x:v>
      </x:c>
      <x:c r="AJ318" s="141" t="n">
        <x:f>IF($A318&gt;=Premissas!$B$48,$F318,0)</x:f>
        <x:v>914305.462908252</x:v>
      </x:c>
      <x:c r="AK318" s="141" t="n">
        <x:f>AH318+AJ318-AI318</x:f>
        <x:v>14275875.263748351</x:v>
      </x:c>
      <x:c r="AL318" s="141" t="n">
        <x:f>IF(AG318&gt;1,"Inviavel",AK318)</x:f>
        <x:v>14275875.263748351</x:v>
      </x:c>
      <x:c r="AM318" s="141" t="str">
        <x:f>IF(AG318&gt;1,"Inviavel","OK")</x:f>
        <x:v>OK</x:v>
      </x:c>
      <x:c r="AN318" s="141" t="n">
        <x:f>IF($A318=Premissas!$B$48,Premissas!$B$8,0)</x:f>
        <x:v>0</x:v>
      </x:c>
      <x:c r="AO318" s="141" t="n">
        <x:f>IF($A318&lt;=Premissas!$B$25,INDEX('Consorcio IQ'!$K$6:$K$485,$A318),0)</x:f>
        <x:v>0</x:v>
      </x:c>
      <x:c r="AP318" s="141" t="n">
        <x:f>IF(AND(TRUE,Premissas!$B$11="Imovel",Premissas!$B$47="Moradia",$A318&lt;MAX(Premissas!$B$48,Premissas!$B$49)),$D318,0)</x:f>
        <x:v>0</x:v>
      </x:c>
      <x:c r="AQ318" s="141" t="n">
        <x:f>IF(AND(TRUE,Premissas!$B$11="Imovel",Premissas!$B$47="Investimento",$A318&gt;=MAX(Premissas!$B$48,Premissas!$B$49)),$E318,0)</x:f>
        <x:v>2911.605096273983</x:v>
      </x:c>
      <x:c r="AR318" s="141" t="n">
        <x:f>AN318+AO318+AP318</x:f>
        <x:v>0</x:v>
      </x:c>
      <x:c r="AS318" s="141" t="n">
        <x:f>AQ318</x:f>
        <x:v>2911.605096273983</x:v>
      </x:c>
      <x:c r="AT318" s="141" t="n">
        <x:f>$C318+AS318-AR318</x:f>
        <x:v>9911.605096273983</x:v>
      </x:c>
      <x:c r="AU318" s="141" t="n">
        <x:f>AX317*(1+Premissas!$B$41)+AT318</x:f>
        <x:v>13250487.708064169</x:v>
      </x:c>
      <x:c r="AV318" s="141" t="n">
        <x:f>MAX(0,-AU318)</x:f>
        <x:v>0</x:v>
      </x:c>
      <x:c r="AW318" s="141" t="n">
        <x:f>AW317*(1+Premissas!$B$41)+AV318</x:f>
        <x:v>0</x:v>
      </x:c>
      <x:c r="AX318" s="141" t="n">
        <x:f>MAX(0,AU318)</x:f>
        <x:v>13250487.708064169</x:v>
      </x:c>
      <x:c r="AY318" s="141" t="n">
        <x:f>INDEX('Consorcio IQ'!$P$6:$P$485,$A318)</x:f>
        <x:v>0</x:v>
      </x:c>
      <x:c r="AZ318" s="141" t="n">
        <x:f>IF($A318&gt;=Premissas!$B$48,$F318,0)+IF($A318&lt;Premissas!$B$27,INDEX('Consorcio IQ'!$O$6:$O$485,$A318),0)</x:f>
        <x:v>914305.462908252</x:v>
      </x:c>
      <x:c r="BA318" s="141" t="n">
        <x:f>AX318+AZ318-AY318</x:f>
        <x:v>14164793.17097242</x:v>
      </x:c>
      <x:c r="BB318" s="141" t="n">
        <x:f>IF(AW318&gt;1,"Inviavel",BA318)</x:f>
        <x:v>14164793.17097242</x:v>
      </x:c>
      <x:c r="BC318" s="141" t="str">
        <x:f>IF(AW318&gt;1,"Inviavel","OK")</x:f>
        <x:v>OK</x:v>
      </x:c>
      <x:c r="BD318" s="141" t="n">
        <x:f>IF($A318='Consorcio Direto'!$B$29,'Consorcio Direto'!$B$44,0)</x:f>
        <x:v>0</x:v>
      </x:c>
      <x:c r="BE318" s="141" t="n">
        <x:f>IF($A318&lt;='Consorcio Direto'!$B$27,INDEX('Consorcio Direto'!$E$55:$E$534,$A318),0)</x:f>
        <x:v>0</x:v>
      </x:c>
      <x:c r="BF318" s="141" t="n">
        <x:f>IF(AND(TRUE,Premissas!$B$11="Imovel",Premissas!$B$47="Moradia",$A318&lt;MAX('Consorcio Direto'!$B$29,Premissas!$B$49)),$D318,0)</x:f>
        <x:v>0</x:v>
      </x:c>
      <x:c r="BG318" s="141" t="n">
        <x:f>IF(AND(TRUE,Premissas!$B$11="Imovel",Premissas!$B$47="Investimento",$A318&gt;=MAX('Consorcio Direto'!$B$29,Premissas!$B$49)),$E318,0)</x:f>
        <x:v>2911.605096273983</x:v>
      </x:c>
      <x:c r="BH318" s="141" t="n">
        <x:f>BD318+BE318+BF318</x:f>
        <x:v>0</x:v>
      </x:c>
      <x:c r="BI318" s="141" t="n">
        <x:f>BG318</x:f>
        <x:v>2911.605096273983</x:v>
      </x:c>
      <x:c r="BJ318" s="141" t="n">
        <x:f>$C318+BI318-BH318</x:f>
        <x:v>9911.605096273983</x:v>
      </x:c>
      <x:c r="BK318" s="141" t="n">
        <x:f>BN317*(1+Premissas!$B$41)+BJ318</x:f>
        <x:v>12650156.826695148</x:v>
      </x:c>
      <x:c r="BL318" s="141" t="n">
        <x:f>MAX(0,-BK318)</x:f>
        <x:v>0</x:v>
      </x:c>
      <x:c r="BM318" s="141" t="n">
        <x:f>BM317*(1+Premissas!$B$41)+BL318</x:f>
        <x:v>0</x:v>
      </x:c>
      <x:c r="BN318" s="141" t="n">
        <x:f>MAX(0,BK318)</x:f>
        <x:v>12650156.826695148</x:v>
      </x:c>
      <x:c r="BO318" s="141" t="n">
        <x:f>INDEX('Consorcio Direto'!$K$55:$K$534,$A318)</x:f>
        <x:v>0</x:v>
      </x:c>
      <x:c r="BP318" s="141" t="n">
        <x:f>IF($A318&lt;'Consorcio Direto'!$B$29,INDEX('Consorcio Direto'!$L$55:$L$534,$A318),$F318)</x:f>
        <x:v>914305.462908252</x:v>
      </x:c>
      <x:c r="BQ318" s="141" t="n">
        <x:f>BN318+BP318-BO318</x:f>
        <x:v>13564462.2896034</x:v>
      </x:c>
      <x:c r="BR318" s="141" t="n">
        <x:f>IF(BM318&gt;1,"Inviavel",BQ318)</x:f>
        <x:v>13564462.2896034</x:v>
      </x:c>
      <x:c r="BS318" s="141" t="str">
        <x:f>IF(BM318&gt;1,"Inviavel","OK")</x:f>
        <x:v>OK</x:v>
      </x:c>
      <x:c r="BT318" s="141" t="n">
        <x:f>IF(AND('Carta Contemplada'!$B$22="Sim",$A318='Carta Contemplada'!$B$23),'Carta Contemplada'!$B$37,0)</x:f>
        <x:v>0</x:v>
      </x:c>
      <x:c r="BU318" s="141" t="n">
        <x:f>IF('Carta Contemplada'!$B$22="Sim",INDEX('Carta Contemplada'!$C$55:$C$1013,$A318),0)</x:f>
        <x:v>0</x:v>
      </x:c>
      <x:c r="BV318" s="141" t="n">
        <x:f>IF(AND('Carta Contemplada'!$B$22="Sim",Premissas!$B$11="Imovel",Premissas!$B$47="Moradia",$A318&lt;MAX('Carta Contemplada'!$B$44,Premissas!$B$49)),$D318,0)</x:f>
        <x:v>0</x:v>
      </x:c>
      <x:c r="BW318" s="141" t="n">
        <x:f>IF(AND('Carta Contemplada'!$B$22="Sim",Premissas!$B$11="Imovel",Premissas!$B$47="Investimento",$A318&gt;=MAX('Carta Contemplada'!$B$44,Premissas!$B$49)),$E318,0)</x:f>
        <x:v>2911.605096273983</x:v>
      </x:c>
      <x:c r="BX318" s="141" t="n">
        <x:f>BT318+BU318+BV318</x:f>
        <x:v>0</x:v>
      </x:c>
      <x:c r="BY318" s="141" t="n">
        <x:f>BW318</x:f>
        <x:v>2911.605096273983</x:v>
      </x:c>
      <x:c r="BZ318" s="141" t="n">
        <x:f>$C318+BY318-BX318</x:f>
        <x:v>9911.605096273983</x:v>
      </x:c>
      <x:c r="CA318" s="141" t="n">
        <x:f>CD317*(1+Premissas!$B$41)+BZ318</x:f>
        <x:v>13641697.962792585</x:v>
      </x:c>
      <x:c r="CB318" s="141" t="n">
        <x:f>MAX(0,-CA318)</x:f>
        <x:v>0</x:v>
      </x:c>
      <x:c r="CC318" s="141" t="n">
        <x:f>CC317*(1+Premissas!$B$41)+CB318</x:f>
        <x:v>0</x:v>
      </x:c>
      <x:c r="CD318" s="141" t="n">
        <x:f>MAX(0,CA318)</x:f>
        <x:v>13641697.962792585</x:v>
      </x:c>
      <x:c r="CE318" s="141" t="n">
        <x:f>IF(AND('Carta Contemplada'!$B$22="Sim",$A318&gt;='Carta Contemplada'!$B$23),INDEX('Carta Contemplada'!$I$55:$I$1013,$A318),0)</x:f>
        <x:v>0</x:v>
      </x:c>
      <x:c r="CF318" s="141" t="n">
        <x:f>IF(AND('Carta Contemplada'!$B$22="Sim",$A318&gt;='Carta Contemplada'!$B$44),$F318,0)</x:f>
        <x:v>914305.462908252</x:v>
      </x:c>
      <x:c r="CG318" s="141" t="n">
        <x:f>CD318+CF318-CE318</x:f>
        <x:v>14556003.425700836</x:v>
      </x:c>
      <x:c r="CH318" s="141" t="n">
        <x:f>IF(CC318&gt;1,"Inviavel",CG318)</x:f>
        <x:v>14556003.425700836</x:v>
      </x:c>
      <x:c r="CI318" s="145" t="str">
        <x:f>IF(CC318&gt;1,"Inviavel","OK")</x:f>
        <x:v>OK</x:v>
      </x:c>
    </x:row>
    <x:row r="319">
      <x:c r="A319" s="142" t="n">
        <x:v>315</x:v>
      </x:c>
      <x:c r="B319" s="179" t="n">
        <x:f>EDATE(Premissas!$B$4,A319-1)</x:f>
        <x:v>56097</x:v>
      </x:c>
      <x:c r="C319" s="141" t="n">
        <x:f>IF(A319&lt;=Premissas!$B$39,Premissas!$B$42,0)</x:f>
        <x:v>7000</x:v>
      </x:c>
      <x:c r="D319" s="141" t="n">
        <x:f>Premissas!$B$54*(1+Premissas!$B$57)^INT((A319-1)/12)</x:f>
        <x:v>3184.568074049668</x:v>
      </x:c>
      <x:c r="E319" s="141" t="n">
        <x:f>Premissas!$B$64*(1+Premissas!$B$57)^INT((A319-1)/12)</x:f>
        <x:v>2911.605096273983</x:v>
      </x:c>
      <x:c r="F319" s="141" t="n">
        <x:f>MAX(0,Premissas!$B$6*(1+Premissas!$B$66)^((A319-1)/12))</x:f>
        <x:v>918755.8909811274</x:v>
      </x:c>
      <x:c r="G319" s="141" t="n">
        <x:f>G318*(1+Premissas!$B$41)+C319</x:f>
        <x:v>15458312.937341705</x:v>
      </x:c>
      <x:c r="H319" s="141" t="n">
        <x:f>IF($A319=Premissas!$B$48,Premissas!$B$8,0)</x:f>
        <x:v>0</x:v>
      </x:c>
      <x:c r="I319" s="141" t="n">
        <x:f>IF(AND($A319&gt;=Premissas!$B$48,$A319-Premissas!$B$48+1&lt;=Premissas!$B$13),INDEX(Financiamento!$J$6:$J$485,$A319-Premissas!$B$48+1),0)</x:f>
        <x:v>914.1188765964974</x:v>
      </x:c>
      <x:c r="J319" s="141" t="n">
        <x:f>IF(AND(TRUE,Premissas!$B$11="Imovel",Premissas!$B$47="Moradia",$A319&lt;MAX(Premissas!$B$48,Premissas!$B$49)),$D319,0)</x:f>
        <x:v>0</x:v>
      </x:c>
      <x:c r="K319" s="141" t="n">
        <x:f>IF(AND(TRUE,Premissas!$B$11="Imovel",Premissas!$B$47="Investimento",$A319&gt;=MAX(Premissas!$B$48,Premissas!$B$49)),$E319,0)</x:f>
        <x:v>2911.605096273983</x:v>
      </x:c>
      <x:c r="L319" s="141" t="n">
        <x:f>H319+I319+J319</x:f>
        <x:v>914.1188765964974</x:v>
      </x:c>
      <x:c r="M319" s="141" t="n">
        <x:f>K319</x:f>
        <x:v>2911.605096273983</x:v>
      </x:c>
      <x:c r="N319" s="141" t="n">
        <x:f>$C319+M319-L319</x:f>
        <x:v>8997.486219677485</x:v>
      </x:c>
      <x:c r="O319" s="141" t="n">
        <x:f>R318*(1+Premissas!$B$41)+N319</x:f>
        <x:v>13314129.073603144</x:v>
      </x:c>
      <x:c r="P319" s="141" t="n">
        <x:f>MAX(0,-O319)</x:f>
        <x:v>0</x:v>
      </x:c>
      <x:c r="Q319" s="141" t="n">
        <x:f>Q318*(1+Premissas!$B$41)+P319</x:f>
        <x:v>0</x:v>
      </x:c>
      <x:c r="R319" s="141" t="n">
        <x:f>MAX(0,O319)</x:f>
        <x:v>13314129.073603144</x:v>
      </x:c>
      <x:c r="S319" s="141" t="n">
        <x:f>IF(AND($A319&gt;=Premissas!$B$48,$A319-Premissas!$B$48+1&lt;=Premissas!$B$13),INDEX(Financiamento!$M$6:$M$485,$A319-Premissas!$B$48+1),0)</x:f>
        <x:v>40000.00000000006</x:v>
      </x:c>
      <x:c r="T319" s="141" t="n">
        <x:f>IF($A319&gt;=Premissas!$B$48,$F319,0)</x:f>
        <x:v>918755.8909811274</x:v>
      </x:c>
      <x:c r="U319" s="141" t="n">
        <x:f>R319+T319-S319</x:f>
        <x:v>14192884.96458427</x:v>
      </x:c>
      <x:c r="V319" s="141" t="n">
        <x:f>IF(Q319&gt;1,"Inviavel",U319)</x:f>
        <x:v>14192884.96458427</x:v>
      </x:c>
      <x:c r="W319" s="141" t="str">
        <x:f>IF(Q319&gt;1,"Inviavel","OK")</x:f>
        <x:v>OK</x:v>
      </x:c>
      <x:c r="X319" s="141" t="n">
        <x:f>IF($A319=Premissas!$B$48,Premissas!$B$8,0)</x:f>
        <x:v>0</x:v>
      </x:c>
      <x:c r="Y319" s="141" t="n">
        <x:f>IF(AND($A319&gt;=Premissas!$B$48,$A319-Premissas!$B$48+1&lt;=Premissas!$B$13),INDEX(Amortizacao!$K$6:$K$485,$A319-Premissas!$B$48+1),0)</x:f>
        <x:v>0</x:v>
      </x:c>
      <x:c r="Z319" s="141" t="n">
        <x:f>IF(AND(TRUE,Premissas!$B$11="Imovel",Premissas!$B$47="Moradia",$A319&lt;MAX(Premissas!$B$48,Premissas!$B$49)),$D319,0)</x:f>
        <x:v>0</x:v>
      </x:c>
      <x:c r="AA319" s="141" t="n">
        <x:f>IF(AND(TRUE,Premissas!$B$11="Imovel",Premissas!$B$47="Investimento",$A319&gt;=MAX(Premissas!$B$48,Premissas!$B$49)),$E319,0)</x:f>
        <x:v>2911.605096273983</x:v>
      </x:c>
      <x:c r="AB319" s="141" t="n">
        <x:f>X319+Y319+Z319</x:f>
        <x:v>0</x:v>
      </x:c>
      <x:c r="AC319" s="141" t="n">
        <x:f>AA319</x:f>
        <x:v>2911.605096273983</x:v>
      </x:c>
      <x:c r="AD319" s="141" t="n">
        <x:f>$C319+AC319-AB319</x:f>
        <x:v>9911.605096273983</x:v>
      </x:c>
      <x:c r="AE319" s="141" t="n">
        <x:f>AH318*(1+Premissas!$B$41)+AD319</x:f>
        <x:v>13498266.575057523</x:v>
      </x:c>
      <x:c r="AF319" s="141" t="n">
        <x:f>MAX(0,-AE319)</x:f>
        <x:v>0</x:v>
      </x:c>
      <x:c r="AG319" s="141" t="n">
        <x:f>AG318*(1+Premissas!$B$41)+AF319</x:f>
        <x:v>0</x:v>
      </x:c>
      <x:c r="AH319" s="141" t="n">
        <x:f>MAX(0,AE319)</x:f>
        <x:v>13498266.575057523</x:v>
      </x:c>
      <x:c r="AI319" s="141" t="n">
        <x:f>IF(AND($A319&gt;=Premissas!$B$48,$A319-Premissas!$B$48+1&lt;=Premissas!$B$13),INDEX(Amortizacao!$L$6:$L$485,$A319-Premissas!$B$48+1),0)</x:f>
        <x:v>0</x:v>
      </x:c>
      <x:c r="AJ319" s="141" t="n">
        <x:f>IF($A319&gt;=Premissas!$B$48,$F319,0)</x:f>
        <x:v>918755.8909811274</x:v>
      </x:c>
      <x:c r="AK319" s="141" t="n">
        <x:f>AH319+AJ319-AI319</x:f>
        <x:v>14417022.46603865</x:v>
      </x:c>
      <x:c r="AL319" s="141" t="n">
        <x:f>IF(AG319&gt;1,"Inviavel",AK319)</x:f>
        <x:v>14417022.46603865</x:v>
      </x:c>
      <x:c r="AM319" s="141" t="str">
        <x:f>IF(AG319&gt;1,"Inviavel","OK")</x:f>
        <x:v>OK</x:v>
      </x:c>
      <x:c r="AN319" s="141" t="n">
        <x:f>IF($A319=Premissas!$B$48,Premissas!$B$8,0)</x:f>
        <x:v>0</x:v>
      </x:c>
      <x:c r="AO319" s="141" t="n">
        <x:f>IF($A319&lt;=Premissas!$B$25,INDEX('Consorcio IQ'!$K$6:$K$485,$A319),0)</x:f>
        <x:v>0</x:v>
      </x:c>
      <x:c r="AP319" s="141" t="n">
        <x:f>IF(AND(TRUE,Premissas!$B$11="Imovel",Premissas!$B$47="Moradia",$A319&lt;MAX(Premissas!$B$48,Premissas!$B$49)),$D319,0)</x:f>
        <x:v>0</x:v>
      </x:c>
      <x:c r="AQ319" s="141" t="n">
        <x:f>IF(AND(TRUE,Premissas!$B$11="Imovel",Premissas!$B$47="Investimento",$A319&gt;=MAX(Premissas!$B$48,Premissas!$B$49)),$E319,0)</x:f>
        <x:v>2911.605096273983</x:v>
      </x:c>
      <x:c r="AR319" s="141" t="n">
        <x:f>AN319+AO319+AP319</x:f>
        <x:v>0</x:v>
      </x:c>
      <x:c r="AS319" s="141" t="n">
        <x:f>AQ319</x:f>
        <x:v>2911.605096273983</x:v>
      </x:c>
      <x:c r="AT319" s="141" t="n">
        <x:f>$C319+AS319-AR319</x:f>
        <x:v>9911.605096273983</x:v>
      </x:c>
      <x:c r="AU319" s="141" t="n">
        <x:f>AX318*(1+Premissas!$B$41)+AT319</x:f>
        <x:v>13386130.4473045</x:v>
      </x:c>
      <x:c r="AV319" s="141" t="n">
        <x:f>MAX(0,-AU319)</x:f>
        <x:v>0</x:v>
      </x:c>
      <x:c r="AW319" s="141" t="n">
        <x:f>AW318*(1+Premissas!$B$41)+AV319</x:f>
        <x:v>0</x:v>
      </x:c>
      <x:c r="AX319" s="141" t="n">
        <x:f>MAX(0,AU319)</x:f>
        <x:v>13386130.4473045</x:v>
      </x:c>
      <x:c r="AY319" s="141" t="n">
        <x:f>INDEX('Consorcio IQ'!$P$6:$P$485,$A319)</x:f>
        <x:v>0</x:v>
      </x:c>
      <x:c r="AZ319" s="141" t="n">
        <x:f>IF($A319&gt;=Premissas!$B$48,$F319,0)+IF($A319&lt;Premissas!$B$27,INDEX('Consorcio IQ'!$O$6:$O$485,$A319),0)</x:f>
        <x:v>918755.8909811274</x:v>
      </x:c>
      <x:c r="BA319" s="141" t="n">
        <x:f>AX319+AZ319-AY319</x:f>
        <x:v>14304886.338285627</x:v>
      </x:c>
      <x:c r="BB319" s="141" t="n">
        <x:f>IF(AW319&gt;1,"Inviavel",BA319)</x:f>
        <x:v>14304886.338285627</x:v>
      </x:c>
      <x:c r="BC319" s="141" t="str">
        <x:f>IF(AW319&gt;1,"Inviavel","OK")</x:f>
        <x:v>OK</x:v>
      </x:c>
      <x:c r="BD319" s="141" t="n">
        <x:f>IF($A319='Consorcio Direto'!$B$29,'Consorcio Direto'!$B$44,0)</x:f>
        <x:v>0</x:v>
      </x:c>
      <x:c r="BE319" s="141" t="n">
        <x:f>IF($A319&lt;='Consorcio Direto'!$B$27,INDEX('Consorcio Direto'!$E$55:$E$534,$A319),0)</x:f>
        <x:v>0</x:v>
      </x:c>
      <x:c r="BF319" s="141" t="n">
        <x:f>IF(AND(TRUE,Premissas!$B$11="Imovel",Premissas!$B$47="Moradia",$A319&lt;MAX('Consorcio Direto'!$B$29,Premissas!$B$49)),$D319,0)</x:f>
        <x:v>0</x:v>
      </x:c>
      <x:c r="BG319" s="141" t="n">
        <x:f>IF(AND(TRUE,Premissas!$B$11="Imovel",Premissas!$B$47="Investimento",$A319&gt;=MAX('Consorcio Direto'!$B$29,Premissas!$B$49)),$E319,0)</x:f>
        <x:v>2911.605096273983</x:v>
      </x:c>
      <x:c r="BH319" s="141" t="n">
        <x:f>BD319+BE319+BF319</x:f>
        <x:v>0</x:v>
      </x:c>
      <x:c r="BI319" s="141" t="n">
        <x:f>BG319</x:f>
        <x:v>2911.605096273983</x:v>
      </x:c>
      <x:c r="BJ319" s="141" t="n">
        <x:f>$C319+BI319-BH319</x:f>
        <x:v>9911.605096273983</x:v>
      </x:c>
      <x:c r="BK319" s="141" t="n">
        <x:f>BN318*(1+Premissas!$B$41)+BJ319</x:f>
        <x:v>12780103.150509933</x:v>
      </x:c>
      <x:c r="BL319" s="141" t="n">
        <x:f>MAX(0,-BK319)</x:f>
        <x:v>0</x:v>
      </x:c>
      <x:c r="BM319" s="141" t="n">
        <x:f>BM318*(1+Premissas!$B$41)+BL319</x:f>
        <x:v>0</x:v>
      </x:c>
      <x:c r="BN319" s="141" t="n">
        <x:f>MAX(0,BK319)</x:f>
        <x:v>12780103.150509933</x:v>
      </x:c>
      <x:c r="BO319" s="141" t="n">
        <x:f>INDEX('Consorcio Direto'!$K$55:$K$534,$A319)</x:f>
        <x:v>0</x:v>
      </x:c>
      <x:c r="BP319" s="141" t="n">
        <x:f>IF($A319&lt;'Consorcio Direto'!$B$29,INDEX('Consorcio Direto'!$L$55:$L$534,$A319),$F319)</x:f>
        <x:v>918755.8909811274</x:v>
      </x:c>
      <x:c r="BQ319" s="141" t="n">
        <x:f>BN319+BP319-BO319</x:f>
        <x:v>13698859.04149106</x:v>
      </x:c>
      <x:c r="BR319" s="141" t="n">
        <x:f>IF(BM319&gt;1,"Inviavel",BQ319)</x:f>
        <x:v>13698859.04149106</x:v>
      </x:c>
      <x:c r="BS319" s="141" t="str">
        <x:f>IF(BM319&gt;1,"Inviavel","OK")</x:f>
        <x:v>OK</x:v>
      </x:c>
      <x:c r="BT319" s="141" t="n">
        <x:f>IF(AND('Carta Contemplada'!$B$22="Sim",$A319='Carta Contemplada'!$B$23),'Carta Contemplada'!$B$37,0)</x:f>
        <x:v>0</x:v>
      </x:c>
      <x:c r="BU319" s="141" t="n">
        <x:f>IF('Carta Contemplada'!$B$22="Sim",INDEX('Carta Contemplada'!$C$55:$C$1013,$A319),0)</x:f>
        <x:v>0</x:v>
      </x:c>
      <x:c r="BV319" s="141" t="n">
        <x:f>IF(AND('Carta Contemplada'!$B$22="Sim",Premissas!$B$11="Imovel",Premissas!$B$47="Moradia",$A319&lt;MAX('Carta Contemplada'!$B$44,Premissas!$B$49)),$D319,0)</x:f>
        <x:v>0</x:v>
      </x:c>
      <x:c r="BW319" s="141" t="n">
        <x:f>IF(AND('Carta Contemplada'!$B$22="Sim",Premissas!$B$11="Imovel",Premissas!$B$47="Investimento",$A319&gt;=MAX('Carta Contemplada'!$B$44,Premissas!$B$49)),$E319,0)</x:f>
        <x:v>2911.605096273983</x:v>
      </x:c>
      <x:c r="BX319" s="141" t="n">
        <x:f>BT319+BU319+BV319</x:f>
        <x:v>0</x:v>
      </x:c>
      <x:c r="BY319" s="141" t="n">
        <x:f>BW319</x:f>
        <x:v>2911.605096273983</x:v>
      </x:c>
      <x:c r="BZ319" s="141" t="n">
        <x:f>$C319+BY319-BX319</x:f>
        <x:v>9911.605096273983</x:v>
      </x:c>
      <x:c r="CA319" s="141" t="n">
        <x:f>CD318*(1+Premissas!$B$41)+BZ319</x:f>
        <x:v>13781052.81513392</x:v>
      </x:c>
      <x:c r="CB319" s="141" t="n">
        <x:f>MAX(0,-CA319)</x:f>
        <x:v>0</x:v>
      </x:c>
      <x:c r="CC319" s="141" t="n">
        <x:f>CC318*(1+Premissas!$B$41)+CB319</x:f>
        <x:v>0</x:v>
      </x:c>
      <x:c r="CD319" s="141" t="n">
        <x:f>MAX(0,CA319)</x:f>
        <x:v>13781052.81513392</x:v>
      </x:c>
      <x:c r="CE319" s="141" t="n">
        <x:f>IF(AND('Carta Contemplada'!$B$22="Sim",$A319&gt;='Carta Contemplada'!$B$23),INDEX('Carta Contemplada'!$I$55:$I$1013,$A319),0)</x:f>
        <x:v>0</x:v>
      </x:c>
      <x:c r="CF319" s="141" t="n">
        <x:f>IF(AND('Carta Contemplada'!$B$22="Sim",$A319&gt;='Carta Contemplada'!$B$44),$F319,0)</x:f>
        <x:v>918755.8909811274</x:v>
      </x:c>
      <x:c r="CG319" s="141" t="n">
        <x:f>CD319+CF319-CE319</x:f>
        <x:v>14699808.706115047</x:v>
      </x:c>
      <x:c r="CH319" s="141" t="n">
        <x:f>IF(CC319&gt;1,"Inviavel",CG319)</x:f>
        <x:v>14699808.706115047</x:v>
      </x:c>
      <x:c r="CI319" s="145" t="str">
        <x:f>IF(CC319&gt;1,"Inviavel","OK")</x:f>
        <x:v>OK</x:v>
      </x:c>
    </x:row>
    <x:row r="320">
      <x:c r="A320" s="142" t="n">
        <x:v>316</x:v>
      </x:c>
      <x:c r="B320" s="179" t="n">
        <x:f>EDATE(Premissas!$B$4,A320-1)</x:f>
        <x:v>56128</x:v>
      </x:c>
      <x:c r="C320" s="141" t="n">
        <x:f>IF(A320&lt;=Premissas!$B$39,Premissas!$B$42,0)</x:f>
        <x:v>7000</x:v>
      </x:c>
      <x:c r="D320" s="141" t="n">
        <x:f>Premissas!$B$54*(1+Premissas!$B$57)^INT((A320-1)/12)</x:f>
        <x:v>3184.568074049668</x:v>
      </x:c>
      <x:c r="E320" s="141" t="n">
        <x:f>Premissas!$B$64*(1+Premissas!$B$57)^INT((A320-1)/12)</x:f>
        <x:v>2911.605096273983</x:v>
      </x:c>
      <x:c r="F320" s="141" t="n">
        <x:f>MAX(0,Premissas!$B$6*(1+Premissas!$B$66)^((A320-1)/12))</x:f>
        <x:v>923227.9817376849</x:v>
      </x:c>
      <x:c r="G320" s="141" t="n">
        <x:f>G319*(1+Premissas!$B$41)+C320</x:f>
        <x:v>15611993.667922126</x:v>
      </x:c>
      <x:c r="H320" s="141" t="n">
        <x:f>IF($A320=Premissas!$B$48,Premissas!$B$8,0)</x:f>
        <x:v>0</x:v>
      </x:c>
      <x:c r="I320" s="141" t="n">
        <x:f>IF(AND($A320&gt;=Premissas!$B$48,$A320-Premissas!$B$48+1&lt;=Premissas!$B$13),INDEX(Financiamento!$J$6:$J$485,$A320-Premissas!$B$48+1),0)</x:f>
        <x:v>910.5040983357039</x:v>
      </x:c>
      <x:c r="J320" s="141" t="n">
        <x:f>IF(AND(TRUE,Premissas!$B$11="Imovel",Premissas!$B$47="Moradia",$A320&lt;MAX(Premissas!$B$48,Premissas!$B$49)),$D320,0)</x:f>
        <x:v>0</x:v>
      </x:c>
      <x:c r="K320" s="141" t="n">
        <x:f>IF(AND(TRUE,Premissas!$B$11="Imovel",Premissas!$B$47="Investimento",$A320&gt;=MAX(Premissas!$B$48,Premissas!$B$49)),$E320,0)</x:f>
        <x:v>2911.605096273983</x:v>
      </x:c>
      <x:c r="L320" s="141" t="n">
        <x:f>H320+I320+J320</x:f>
        <x:v>910.5040983357039</x:v>
      </x:c>
      <x:c r="M320" s="141" t="n">
        <x:f>K320</x:f>
        <x:v>2911.605096273983</x:v>
      </x:c>
      <x:c r="N320" s="141" t="n">
        <x:f>$C320+M320-L320</x:f>
        <x:v>9001.10099793828</x:v>
      </x:c>
      <x:c r="O320" s="141" t="n">
        <x:f>R319*(1+Premissas!$B$41)+N320</x:f>
        <x:v>13449465.188484814</x:v>
      </x:c>
      <x:c r="P320" s="141" t="n">
        <x:f>MAX(0,-O320)</x:f>
        <x:v>0</x:v>
      </x:c>
      <x:c r="Q320" s="141" t="n">
        <x:f>Q319*(1+Premissas!$B$41)+P320</x:f>
        <x:v>0</x:v>
      </x:c>
      <x:c r="R320" s="141" t="n">
        <x:f>MAX(0,O320)</x:f>
        <x:v>13449465.188484814</x:v>
      </x:c>
      <x:c r="S320" s="141" t="n">
        <x:f>IF(AND($A320&gt;=Premissas!$B$48,$A320-Premissas!$B$48+1&lt;=Premissas!$B$13),INDEX(Financiamento!$M$6:$M$485,$A320-Premissas!$B$48+1),0)</x:f>
        <x:v>39619.04761904768</x:v>
      </x:c>
      <x:c r="T320" s="141" t="n">
        <x:f>IF($A320&gt;=Premissas!$B$48,$F320,0)</x:f>
        <x:v>923227.9817376849</x:v>
      </x:c>
      <x:c r="U320" s="141" t="n">
        <x:f>R320+T320-S320</x:f>
        <x:v>14333074.12260345</x:v>
      </x:c>
      <x:c r="V320" s="141" t="n">
        <x:f>IF(Q320&gt;1,"Inviavel",U320)</x:f>
        <x:v>14333074.12260345</x:v>
      </x:c>
      <x:c r="W320" s="141" t="str">
        <x:f>IF(Q320&gt;1,"Inviavel","OK")</x:f>
        <x:v>OK</x:v>
      </x:c>
      <x:c r="X320" s="141" t="n">
        <x:f>IF($A320=Premissas!$B$48,Premissas!$B$8,0)</x:f>
        <x:v>0</x:v>
      </x:c>
      <x:c r="Y320" s="141" t="n">
        <x:f>IF(AND($A320&gt;=Premissas!$B$48,$A320-Premissas!$B$48+1&lt;=Premissas!$B$13),INDEX(Amortizacao!$K$6:$K$485,$A320-Premissas!$B$48+1),0)</x:f>
        <x:v>0</x:v>
      </x:c>
      <x:c r="Z320" s="141" t="n">
        <x:f>IF(AND(TRUE,Premissas!$B$11="Imovel",Premissas!$B$47="Moradia",$A320&lt;MAX(Premissas!$B$48,Premissas!$B$49)),$D320,0)</x:f>
        <x:v>0</x:v>
      </x:c>
      <x:c r="AA320" s="141" t="n">
        <x:f>IF(AND(TRUE,Premissas!$B$11="Imovel",Premissas!$B$47="Investimento",$A320&gt;=MAX(Premissas!$B$48,Premissas!$B$49)),$E320,0)</x:f>
        <x:v>2911.605096273983</x:v>
      </x:c>
      <x:c r="AB320" s="141" t="n">
        <x:f>X320+Y320+Z320</x:f>
        <x:v>0</x:v>
      </x:c>
      <x:c r="AC320" s="141" t="n">
        <x:f>AA320</x:f>
        <x:v>2911.605096273983</x:v>
      </x:c>
      <x:c r="AD320" s="141" t="n">
        <x:f>$C320+AC320-AB320</x:f>
        <x:v>9911.605096273983</x:v>
      </x:c>
      <x:c r="AE320" s="141" t="n">
        <x:f>AH319*(1+Premissas!$B$41)+AD320</x:f>
        <x:v>13636260.436660321</x:v>
      </x:c>
      <x:c r="AF320" s="141" t="n">
        <x:f>MAX(0,-AE320)</x:f>
        <x:v>0</x:v>
      </x:c>
      <x:c r="AG320" s="141" t="n">
        <x:f>AG319*(1+Premissas!$B$41)+AF320</x:f>
        <x:v>0</x:v>
      </x:c>
      <x:c r="AH320" s="141" t="n">
        <x:f>MAX(0,AE320)</x:f>
        <x:v>13636260.436660321</x:v>
      </x:c>
      <x:c r="AI320" s="141" t="n">
        <x:f>IF(AND($A320&gt;=Premissas!$B$48,$A320-Premissas!$B$48+1&lt;=Premissas!$B$13),INDEX(Amortizacao!$L$6:$L$485,$A320-Premissas!$B$48+1),0)</x:f>
        <x:v>0</x:v>
      </x:c>
      <x:c r="AJ320" s="141" t="n">
        <x:f>IF($A320&gt;=Premissas!$B$48,$F320,0)</x:f>
        <x:v>923227.9817376849</x:v>
      </x:c>
      <x:c r="AK320" s="141" t="n">
        <x:f>AH320+AJ320-AI320</x:f>
        <x:v>14559488.418398006</x:v>
      </x:c>
      <x:c r="AL320" s="141" t="n">
        <x:f>IF(AG320&gt;1,"Inviavel",AK320)</x:f>
        <x:v>14559488.418398006</x:v>
      </x:c>
      <x:c r="AM320" s="141" t="str">
        <x:f>IF(AG320&gt;1,"Inviavel","OK")</x:f>
        <x:v>OK</x:v>
      </x:c>
      <x:c r="AN320" s="141" t="n">
        <x:f>IF($A320=Premissas!$B$48,Premissas!$B$8,0)</x:f>
        <x:v>0</x:v>
      </x:c>
      <x:c r="AO320" s="141" t="n">
        <x:f>IF($A320&lt;=Premissas!$B$25,INDEX('Consorcio IQ'!$K$6:$K$485,$A320),0)</x:f>
        <x:v>0</x:v>
      </x:c>
      <x:c r="AP320" s="141" t="n">
        <x:f>IF(AND(TRUE,Premissas!$B$11="Imovel",Premissas!$B$47="Moradia",$A320&lt;MAX(Premissas!$B$48,Premissas!$B$49)),$D320,0)</x:f>
        <x:v>0</x:v>
      </x:c>
      <x:c r="AQ320" s="141" t="n">
        <x:f>IF(AND(TRUE,Premissas!$B$11="Imovel",Premissas!$B$47="Investimento",$A320&gt;=MAX(Premissas!$B$48,Premissas!$B$49)),$E320,0)</x:f>
        <x:v>2911.605096273983</x:v>
      </x:c>
      <x:c r="AR320" s="141" t="n">
        <x:f>AN320+AO320+AP320</x:f>
        <x:v>0</x:v>
      </x:c>
      <x:c r="AS320" s="141" t="n">
        <x:f>AQ320</x:f>
        <x:v>2911.605096273983</x:v>
      </x:c>
      <x:c r="AT320" s="141" t="n">
        <x:f>$C320+AS320-AR320</x:f>
        <x:v>9911.605096273983</x:v>
      </x:c>
      <x:c r="AU320" s="141" t="n">
        <x:f>AX319*(1+Premissas!$B$41)+AT320</x:f>
        <x:v>13523060.272410564</x:v>
      </x:c>
      <x:c r="AV320" s="141" t="n">
        <x:f>MAX(0,-AU320)</x:f>
        <x:v>0</x:v>
      </x:c>
      <x:c r="AW320" s="141" t="n">
        <x:f>AW319*(1+Premissas!$B$41)+AV320</x:f>
        <x:v>0</x:v>
      </x:c>
      <x:c r="AX320" s="141" t="n">
        <x:f>MAX(0,AU320)</x:f>
        <x:v>13523060.272410564</x:v>
      </x:c>
      <x:c r="AY320" s="141" t="n">
        <x:f>INDEX('Consorcio IQ'!$P$6:$P$485,$A320)</x:f>
        <x:v>0</x:v>
      </x:c>
      <x:c r="AZ320" s="141" t="n">
        <x:f>IF($A320&gt;=Premissas!$B$48,$F320,0)+IF($A320&lt;Premissas!$B$27,INDEX('Consorcio IQ'!$O$6:$O$485,$A320),0)</x:f>
        <x:v>923227.9817376849</x:v>
      </x:c>
      <x:c r="BA320" s="141" t="n">
        <x:f>AX320+AZ320-AY320</x:f>
        <x:v>14446288.254148249</x:v>
      </x:c>
      <x:c r="BB320" s="141" t="n">
        <x:f>IF(AW320&gt;1,"Inviavel",BA320)</x:f>
        <x:v>14446288.254148249</x:v>
      </x:c>
      <x:c r="BC320" s="141" t="str">
        <x:f>IF(AW320&gt;1,"Inviavel","OK")</x:f>
        <x:v>OK</x:v>
      </x:c>
      <x:c r="BD320" s="141" t="n">
        <x:f>IF($A320='Consorcio Direto'!$B$29,'Consorcio Direto'!$B$44,0)</x:f>
        <x:v>0</x:v>
      </x:c>
      <x:c r="BE320" s="141" t="n">
        <x:f>IF($A320&lt;='Consorcio Direto'!$B$27,INDEX('Consorcio Direto'!$E$55:$E$534,$A320),0)</x:f>
        <x:v>0</x:v>
      </x:c>
      <x:c r="BF320" s="141" t="n">
        <x:f>IF(AND(TRUE,Premissas!$B$11="Imovel",Premissas!$B$47="Moradia",$A320&lt;MAX('Consorcio Direto'!$B$29,Premissas!$B$49)),$D320,0)</x:f>
        <x:v>0</x:v>
      </x:c>
      <x:c r="BG320" s="141" t="n">
        <x:f>IF(AND(TRUE,Premissas!$B$11="Imovel",Premissas!$B$47="Investimento",$A320&gt;=MAX('Consorcio Direto'!$B$29,Premissas!$B$49)),$E320,0)</x:f>
        <x:v>2911.605096273983</x:v>
      </x:c>
      <x:c r="BH320" s="141" t="n">
        <x:f>BD320+BE320+BF320</x:f>
        <x:v>0</x:v>
      </x:c>
      <x:c r="BI320" s="141" t="n">
        <x:f>BG320</x:f>
        <x:v>2911.605096273983</x:v>
      </x:c>
      <x:c r="BJ320" s="141" t="n">
        <x:f>$C320+BI320-BH320</x:f>
        <x:v>9911.605096273983</x:v>
      </x:c>
      <x:c r="BK320" s="141" t="n">
        <x:f>BN319*(1+Premissas!$B$41)+BJ320</x:f>
        <x:v>12911282.508084007</x:v>
      </x:c>
      <x:c r="BL320" s="141" t="n">
        <x:f>MAX(0,-BK320)</x:f>
        <x:v>0</x:v>
      </x:c>
      <x:c r="BM320" s="141" t="n">
        <x:f>BM319*(1+Premissas!$B$41)+BL320</x:f>
        <x:v>0</x:v>
      </x:c>
      <x:c r="BN320" s="141" t="n">
        <x:f>MAX(0,BK320)</x:f>
        <x:v>12911282.508084007</x:v>
      </x:c>
      <x:c r="BO320" s="141" t="n">
        <x:f>INDEX('Consorcio Direto'!$K$55:$K$534,$A320)</x:f>
        <x:v>0</x:v>
      </x:c>
      <x:c r="BP320" s="141" t="n">
        <x:f>IF($A320&lt;'Consorcio Direto'!$B$29,INDEX('Consorcio Direto'!$L$55:$L$534,$A320),$F320)</x:f>
        <x:v>923227.9817376849</x:v>
      </x:c>
      <x:c r="BQ320" s="141" t="n">
        <x:f>BN320+BP320-BO320</x:f>
        <x:v>13834510.489821691</x:v>
      </x:c>
      <x:c r="BR320" s="141" t="n">
        <x:f>IF(BM320&gt;1,"Inviavel",BQ320)</x:f>
        <x:v>13834510.489821691</x:v>
      </x:c>
      <x:c r="BS320" s="141" t="str">
        <x:f>IF(BM320&gt;1,"Inviavel","OK")</x:f>
        <x:v>OK</x:v>
      </x:c>
      <x:c r="BT320" s="141" t="n">
        <x:f>IF(AND('Carta Contemplada'!$B$22="Sim",$A320='Carta Contemplada'!$B$23),'Carta Contemplada'!$B$37,0)</x:f>
        <x:v>0</x:v>
      </x:c>
      <x:c r="BU320" s="141" t="n">
        <x:f>IF('Carta Contemplada'!$B$22="Sim",INDEX('Carta Contemplada'!$C$55:$C$1013,$A320),0)</x:f>
        <x:v>0</x:v>
      </x:c>
      <x:c r="BV320" s="141" t="n">
        <x:f>IF(AND('Carta Contemplada'!$B$22="Sim",Premissas!$B$11="Imovel",Premissas!$B$47="Moradia",$A320&lt;MAX('Carta Contemplada'!$B$44,Premissas!$B$49)),$D320,0)</x:f>
        <x:v>0</x:v>
      </x:c>
      <x:c r="BW320" s="141" t="n">
        <x:f>IF(AND('Carta Contemplada'!$B$22="Sim",Premissas!$B$11="Imovel",Premissas!$B$47="Investimento",$A320&gt;=MAX('Carta Contemplada'!$B$44,Premissas!$B$49)),$E320,0)</x:f>
        <x:v>2911.605096273983</x:v>
      </x:c>
      <x:c r="BX320" s="141" t="n">
        <x:f>BT320+BU320+BV320</x:f>
        <x:v>0</x:v>
      </x:c>
      <x:c r="BY320" s="141" t="n">
        <x:f>BW320</x:f>
        <x:v>2911.605096273983</x:v>
      </x:c>
      <x:c r="BZ320" s="141" t="n">
        <x:f>$C320+BY320-BX320</x:f>
        <x:v>9911.605096273983</x:v>
      </x:c>
      <x:c r="CA320" s="141" t="n">
        <x:f>CD319*(1+Premissas!$B$41)+BZ320</x:f>
        <x:v>13921729.976813551</x:v>
      </x:c>
      <x:c r="CB320" s="141" t="n">
        <x:f>MAX(0,-CA320)</x:f>
        <x:v>0</x:v>
      </x:c>
      <x:c r="CC320" s="141" t="n">
        <x:f>CC319*(1+Premissas!$B$41)+CB320</x:f>
        <x:v>0</x:v>
      </x:c>
      <x:c r="CD320" s="141" t="n">
        <x:f>MAX(0,CA320)</x:f>
        <x:v>13921729.976813551</x:v>
      </x:c>
      <x:c r="CE320" s="141" t="n">
        <x:f>IF(AND('Carta Contemplada'!$B$22="Sim",$A320&gt;='Carta Contemplada'!$B$23),INDEX('Carta Contemplada'!$I$55:$I$1013,$A320),0)</x:f>
        <x:v>0</x:v>
      </x:c>
      <x:c r="CF320" s="141" t="n">
        <x:f>IF(AND('Carta Contemplada'!$B$22="Sim",$A320&gt;='Carta Contemplada'!$B$44),$F320,0)</x:f>
        <x:v>923227.9817376849</x:v>
      </x:c>
      <x:c r="CG320" s="141" t="n">
        <x:f>CD320+CF320-CE320</x:f>
        <x:v>14844957.958551235</x:v>
      </x:c>
      <x:c r="CH320" s="141" t="n">
        <x:f>IF(CC320&gt;1,"Inviavel",CG320)</x:f>
        <x:v>14844957.958551235</x:v>
      </x:c>
      <x:c r="CI320" s="145" t="str">
        <x:f>IF(CC320&gt;1,"Inviavel","OK")</x:f>
        <x:v>OK</x:v>
      </x:c>
    </x:row>
    <x:row r="321">
      <x:c r="A321" s="142" t="n">
        <x:v>317</x:v>
      </x:c>
      <x:c r="B321" s="179" t="n">
        <x:f>EDATE(Premissas!$B$4,A321-1)</x:f>
        <x:v>56158</x:v>
      </x:c>
      <x:c r="C321" s="141" t="n">
        <x:f>IF(A321&lt;=Premissas!$B$39,Premissas!$B$42,0)</x:f>
        <x:v>7000</x:v>
      </x:c>
      <x:c r="D321" s="141" t="n">
        <x:f>Premissas!$B$54*(1+Premissas!$B$57)^INT((A321-1)/12)</x:f>
        <x:v>3184.568074049668</x:v>
      </x:c>
      <x:c r="E321" s="141" t="n">
        <x:f>Premissas!$B$64*(1+Premissas!$B$57)^INT((A321-1)/12)</x:f>
        <x:v>2911.605096273983</x:v>
      </x:c>
      <x:c r="F321" s="141" t="n">
        <x:f>MAX(0,Premissas!$B$6*(1+Premissas!$B$66)^((A321-1)/12))</x:f>
        <x:v>927721.8406221326</x:v>
      </x:c>
      <x:c r="G321" s="141" t="n">
        <x:f>G320*(1+Premissas!$B$41)+C321</x:f>
        <x:v>15767132.643133061</x:v>
      </x:c>
      <x:c r="H321" s="141" t="n">
        <x:f>IF($A321=Premissas!$B$48,Premissas!$B$8,0)</x:f>
        <x:v>0</x:v>
      </x:c>
      <x:c r="I321" s="141" t="n">
        <x:f>IF(AND($A321&gt;=Premissas!$B$48,$A321-Premissas!$B$48+1&lt;=Premissas!$B$13),INDEX(Financiamento!$J$6:$J$485,$A321-Premissas!$B$48+1),0)</x:f>
        <x:v>906.8893200749103</x:v>
      </x:c>
      <x:c r="J321" s="141" t="n">
        <x:f>IF(AND(TRUE,Premissas!$B$11="Imovel",Premissas!$B$47="Moradia",$A321&lt;MAX(Premissas!$B$48,Premissas!$B$49)),$D321,0)</x:f>
        <x:v>0</x:v>
      </x:c>
      <x:c r="K321" s="141" t="n">
        <x:f>IF(AND(TRUE,Premissas!$B$11="Imovel",Premissas!$B$47="Investimento",$A321&gt;=MAX(Premissas!$B$48,Premissas!$B$49)),$E321,0)</x:f>
        <x:v>2911.605096273983</x:v>
      </x:c>
      <x:c r="L321" s="141" t="n">
        <x:f>H321+I321+J321</x:f>
        <x:v>906.8893200749103</x:v>
      </x:c>
      <x:c r="M321" s="141" t="n">
        <x:f>K321</x:f>
        <x:v>2911.605096273983</x:v>
      </x:c>
      <x:c r="N321" s="141" t="n">
        <x:f>$C321+M321-L321</x:f>
        <x:v>9004.715776199073</x:v>
      </x:c>
      <x:c r="O321" s="141" t="n">
        <x:f>R320*(1+Premissas!$B$41)+N321</x:f>
        <x:v>13586089.094515428</x:v>
      </x:c>
      <x:c r="P321" s="141" t="n">
        <x:f>MAX(0,-O321)</x:f>
        <x:v>0</x:v>
      </x:c>
      <x:c r="Q321" s="141" t="n">
        <x:f>Q320*(1+Premissas!$B$41)+P321</x:f>
        <x:v>0</x:v>
      </x:c>
      <x:c r="R321" s="141" t="n">
        <x:f>MAX(0,O321)</x:f>
        <x:v>13586089.094515428</x:v>
      </x:c>
      <x:c r="S321" s="141" t="n">
        <x:f>IF(AND($A321&gt;=Premissas!$B$48,$A321-Premissas!$B$48+1&lt;=Premissas!$B$13),INDEX(Financiamento!$M$6:$M$485,$A321-Premissas!$B$48+1),0)</x:f>
        <x:v>39238.095238095295</x:v>
      </x:c>
      <x:c r="T321" s="141" t="n">
        <x:f>IF($A321&gt;=Premissas!$B$48,$F321,0)</x:f>
        <x:v>927721.8406221326</x:v>
      </x:c>
      <x:c r="U321" s="141" t="n">
        <x:f>R321+T321-S321</x:f>
        <x:v>14474572.839899465</x:v>
      </x:c>
      <x:c r="V321" s="141" t="n">
        <x:f>IF(Q321&gt;1,"Inviavel",U321)</x:f>
        <x:v>14474572.839899465</x:v>
      </x:c>
      <x:c r="W321" s="141" t="str">
        <x:f>IF(Q321&gt;1,"Inviavel","OK")</x:f>
        <x:v>OK</x:v>
      </x:c>
      <x:c r="X321" s="141" t="n">
        <x:f>IF($A321=Premissas!$B$48,Premissas!$B$8,0)</x:f>
        <x:v>0</x:v>
      </x:c>
      <x:c r="Y321" s="141" t="n">
        <x:f>IF(AND($A321&gt;=Premissas!$B$48,$A321-Premissas!$B$48+1&lt;=Premissas!$B$13),INDEX(Amortizacao!$K$6:$K$485,$A321-Premissas!$B$48+1),0)</x:f>
        <x:v>0</x:v>
      </x:c>
      <x:c r="Z321" s="141" t="n">
        <x:f>IF(AND(TRUE,Premissas!$B$11="Imovel",Premissas!$B$47="Moradia",$A321&lt;MAX(Premissas!$B$48,Premissas!$B$49)),$D321,0)</x:f>
        <x:v>0</x:v>
      </x:c>
      <x:c r="AA321" s="141" t="n">
        <x:f>IF(AND(TRUE,Premissas!$B$11="Imovel",Premissas!$B$47="Investimento",$A321&gt;=MAX(Premissas!$B$48,Premissas!$B$49)),$E321,0)</x:f>
        <x:v>2911.605096273983</x:v>
      </x:c>
      <x:c r="AB321" s="141" t="n">
        <x:f>X321+Y321+Z321</x:f>
        <x:v>0</x:v>
      </x:c>
      <x:c r="AC321" s="141" t="n">
        <x:f>AA321</x:f>
        <x:v>2911.605096273983</x:v>
      </x:c>
      <x:c r="AD321" s="141" t="n">
        <x:f>$C321+AC321-AB321</x:f>
        <x:v>9911.605096273983</x:v>
      </x:c>
      <x:c r="AE321" s="141" t="n">
        <x:f>AH320*(1+Premissas!$B$41)+AD321</x:f>
        <x:v>13775563.693442112</x:v>
      </x:c>
      <x:c r="AF321" s="141" t="n">
        <x:f>MAX(0,-AE321)</x:f>
        <x:v>0</x:v>
      </x:c>
      <x:c r="AG321" s="141" t="n">
        <x:f>AG320*(1+Premissas!$B$41)+AF321</x:f>
        <x:v>0</x:v>
      </x:c>
      <x:c r="AH321" s="141" t="n">
        <x:f>MAX(0,AE321)</x:f>
        <x:v>13775563.693442112</x:v>
      </x:c>
      <x:c r="AI321" s="141" t="n">
        <x:f>IF(AND($A321&gt;=Premissas!$B$48,$A321-Premissas!$B$48+1&lt;=Premissas!$B$13),INDEX(Amortizacao!$L$6:$L$485,$A321-Premissas!$B$48+1),0)</x:f>
        <x:v>0</x:v>
      </x:c>
      <x:c r="AJ321" s="141" t="n">
        <x:f>IF($A321&gt;=Premissas!$B$48,$F321,0)</x:f>
        <x:v>927721.8406221326</x:v>
      </x:c>
      <x:c r="AK321" s="141" t="n">
        <x:f>AH321+AJ321-AI321</x:f>
        <x:v>14703285.534064244</x:v>
      </x:c>
      <x:c r="AL321" s="141" t="n">
        <x:f>IF(AG321&gt;1,"Inviavel",AK321)</x:f>
        <x:v>14703285.534064244</x:v>
      </x:c>
      <x:c r="AM321" s="141" t="str">
        <x:f>IF(AG321&gt;1,"Inviavel","OK")</x:f>
        <x:v>OK</x:v>
      </x:c>
      <x:c r="AN321" s="141" t="n">
        <x:f>IF($A321=Premissas!$B$48,Premissas!$B$8,0)</x:f>
        <x:v>0</x:v>
      </x:c>
      <x:c r="AO321" s="141" t="n">
        <x:f>IF($A321&lt;=Premissas!$B$25,INDEX('Consorcio IQ'!$K$6:$K$485,$A321),0)</x:f>
        <x:v>0</x:v>
      </x:c>
      <x:c r="AP321" s="141" t="n">
        <x:f>IF(AND(TRUE,Premissas!$B$11="Imovel",Premissas!$B$47="Moradia",$A321&lt;MAX(Premissas!$B$48,Premissas!$B$49)),$D321,0)</x:f>
        <x:v>0</x:v>
      </x:c>
      <x:c r="AQ321" s="141" t="n">
        <x:f>IF(AND(TRUE,Premissas!$B$11="Imovel",Premissas!$B$47="Investimento",$A321&gt;=MAX(Premissas!$B$48,Premissas!$B$49)),$E321,0)</x:f>
        <x:v>2911.605096273983</x:v>
      </x:c>
      <x:c r="AR321" s="141" t="n">
        <x:f>AN321+AO321+AP321</x:f>
        <x:v>0</x:v>
      </x:c>
      <x:c r="AS321" s="141" t="n">
        <x:f>AQ321</x:f>
        <x:v>2911.605096273983</x:v>
      </x:c>
      <x:c r="AT321" s="141" t="n">
        <x:f>$C321+AS321-AR321</x:f>
        <x:v>9911.605096273983</x:v>
      </x:c>
      <x:c r="AU321" s="141" t="n">
        <x:f>AX320*(1+Premissas!$B$41)+AT321</x:f>
        <x:v>13661289.396273628</x:v>
      </x:c>
      <x:c r="AV321" s="141" t="n">
        <x:f>MAX(0,-AU321)</x:f>
        <x:v>0</x:v>
      </x:c>
      <x:c r="AW321" s="141" t="n">
        <x:f>AW320*(1+Premissas!$B$41)+AV321</x:f>
        <x:v>0</x:v>
      </x:c>
      <x:c r="AX321" s="141" t="n">
        <x:f>MAX(0,AU321)</x:f>
        <x:v>13661289.396273628</x:v>
      </x:c>
      <x:c r="AY321" s="141" t="n">
        <x:f>INDEX('Consorcio IQ'!$P$6:$P$485,$A321)</x:f>
        <x:v>0</x:v>
      </x:c>
      <x:c r="AZ321" s="141" t="n">
        <x:f>IF($A321&gt;=Premissas!$B$48,$F321,0)+IF($A321&lt;Premissas!$B$27,INDEX('Consorcio IQ'!$O$6:$O$485,$A321),0)</x:f>
        <x:v>927721.8406221326</x:v>
      </x:c>
      <x:c r="BA321" s="141" t="n">
        <x:f>AX321+AZ321-AY321</x:f>
        <x:v>14589011.23689576</x:v>
      </x:c>
      <x:c r="BB321" s="141" t="n">
        <x:f>IF(AW321&gt;1,"Inviavel",BA321)</x:f>
        <x:v>14589011.23689576</x:v>
      </x:c>
      <x:c r="BC321" s="141" t="str">
        <x:f>IF(AW321&gt;1,"Inviavel","OK")</x:f>
        <x:v>OK</x:v>
      </x:c>
      <x:c r="BD321" s="141" t="n">
        <x:f>IF($A321='Consorcio Direto'!$B$29,'Consorcio Direto'!$B$44,0)</x:f>
        <x:v>0</x:v>
      </x:c>
      <x:c r="BE321" s="141" t="n">
        <x:f>IF($A321&lt;='Consorcio Direto'!$B$27,INDEX('Consorcio Direto'!$E$55:$E$534,$A321),0)</x:f>
        <x:v>0</x:v>
      </x:c>
      <x:c r="BF321" s="141" t="n">
        <x:f>IF(AND(TRUE,Premissas!$B$11="Imovel",Premissas!$B$47="Moradia",$A321&lt;MAX('Consorcio Direto'!$B$29,Premissas!$B$49)),$D321,0)</x:f>
        <x:v>0</x:v>
      </x:c>
      <x:c r="BG321" s="141" t="n">
        <x:f>IF(AND(TRUE,Premissas!$B$11="Imovel",Premissas!$B$47="Investimento",$A321&gt;=MAX('Consorcio Direto'!$B$29,Premissas!$B$49)),$E321,0)</x:f>
        <x:v>2911.605096273983</x:v>
      </x:c>
      <x:c r="BH321" s="141" t="n">
        <x:f>BD321+BE321+BF321</x:f>
        <x:v>0</x:v>
      </x:c>
      <x:c r="BI321" s="141" t="n">
        <x:f>BG321</x:f>
        <x:v>2911.605096273983</x:v>
      </x:c>
      <x:c r="BJ321" s="141" t="n">
        <x:f>$C321+BI321-BH321</x:f>
        <x:v>9911.605096273983</x:v>
      </x:c>
      <x:c r="BK321" s="141" t="n">
        <x:f>BN320*(1+Premissas!$B$41)+BJ321</x:f>
        <x:v>13043706.599419393</x:v>
      </x:c>
      <x:c r="BL321" s="141" t="n">
        <x:f>MAX(0,-BK321)</x:f>
        <x:v>0</x:v>
      </x:c>
      <x:c r="BM321" s="141" t="n">
        <x:f>BM320*(1+Premissas!$B$41)+BL321</x:f>
        <x:v>0</x:v>
      </x:c>
      <x:c r="BN321" s="141" t="n">
        <x:f>MAX(0,BK321)</x:f>
        <x:v>13043706.599419393</x:v>
      </x:c>
      <x:c r="BO321" s="141" t="n">
        <x:f>INDEX('Consorcio Direto'!$K$55:$K$534,$A321)</x:f>
        <x:v>0</x:v>
      </x:c>
      <x:c r="BP321" s="141" t="n">
        <x:f>IF($A321&lt;'Consorcio Direto'!$B$29,INDEX('Consorcio Direto'!$L$55:$L$534,$A321),$F321)</x:f>
        <x:v>927721.8406221326</x:v>
      </x:c>
      <x:c r="BQ321" s="141" t="n">
        <x:f>BN321+BP321-BO321</x:f>
        <x:v>13971428.440041525</x:v>
      </x:c>
      <x:c r="BR321" s="141" t="n">
        <x:f>IF(BM321&gt;1,"Inviavel",BQ321)</x:f>
        <x:v>13971428.440041525</x:v>
      </x:c>
      <x:c r="BS321" s="141" t="str">
        <x:f>IF(BM321&gt;1,"Inviavel","OK")</x:f>
        <x:v>OK</x:v>
      </x:c>
      <x:c r="BT321" s="141" t="n">
        <x:f>IF(AND('Carta Contemplada'!$B$22="Sim",$A321='Carta Contemplada'!$B$23),'Carta Contemplada'!$B$37,0)</x:f>
        <x:v>0</x:v>
      </x:c>
      <x:c r="BU321" s="141" t="n">
        <x:f>IF('Carta Contemplada'!$B$22="Sim",INDEX('Carta Contemplada'!$C$55:$C$1013,$A321),0)</x:f>
        <x:v>0</x:v>
      </x:c>
      <x:c r="BV321" s="141" t="n">
        <x:f>IF(AND('Carta Contemplada'!$B$22="Sim",Premissas!$B$11="Imovel",Premissas!$B$47="Moradia",$A321&lt;MAX('Carta Contemplada'!$B$44,Premissas!$B$49)),$D321,0)</x:f>
        <x:v>0</x:v>
      </x:c>
      <x:c r="BW321" s="141" t="n">
        <x:f>IF(AND('Carta Contemplada'!$B$22="Sim",Premissas!$B$11="Imovel",Premissas!$B$47="Investimento",$A321&gt;=MAX('Carta Contemplada'!$B$44,Premissas!$B$49)),$E321,0)</x:f>
        <x:v>2911.605096273983</x:v>
      </x:c>
      <x:c r="BX321" s="141" t="n">
        <x:f>BT321+BU321+BV321</x:f>
        <x:v>0</x:v>
      </x:c>
      <x:c r="BY321" s="141" t="n">
        <x:f>BW321</x:f>
        <x:v>2911.605096273983</x:v>
      </x:c>
      <x:c r="BZ321" s="141" t="n">
        <x:f>$C321+BY321-BX321</x:f>
        <x:v>9911.605096273983</x:v>
      </x:c>
      <x:c r="CA321" s="141" t="n">
        <x:f>CD320*(1+Premissas!$B$41)+BZ321</x:f>
        <x:v>14063741.994950986</x:v>
      </x:c>
      <x:c r="CB321" s="141" t="n">
        <x:f>MAX(0,-CA321)</x:f>
        <x:v>0</x:v>
      </x:c>
      <x:c r="CC321" s="141" t="n">
        <x:f>CC320*(1+Premissas!$B$41)+CB321</x:f>
        <x:v>0</x:v>
      </x:c>
      <x:c r="CD321" s="141" t="n">
        <x:f>MAX(0,CA321)</x:f>
        <x:v>14063741.994950986</x:v>
      </x:c>
      <x:c r="CE321" s="141" t="n">
        <x:f>IF(AND('Carta Contemplada'!$B$22="Sim",$A321&gt;='Carta Contemplada'!$B$23),INDEX('Carta Contemplada'!$I$55:$I$1013,$A321),0)</x:f>
        <x:v>0</x:v>
      </x:c>
      <x:c r="CF321" s="141" t="n">
        <x:f>IF(AND('Carta Contemplada'!$B$22="Sim",$A321&gt;='Carta Contemplada'!$B$44),$F321,0)</x:f>
        <x:v>927721.8406221326</x:v>
      </x:c>
      <x:c r="CG321" s="141" t="n">
        <x:f>CD321+CF321-CE321</x:f>
        <x:v>14991463.835573118</x:v>
      </x:c>
      <x:c r="CH321" s="141" t="n">
        <x:f>IF(CC321&gt;1,"Inviavel",CG321)</x:f>
        <x:v>14991463.835573118</x:v>
      </x:c>
      <x:c r="CI321" s="145" t="str">
        <x:f>IF(CC321&gt;1,"Inviavel","OK")</x:f>
        <x:v>OK</x:v>
      </x:c>
    </x:row>
    <x:row r="322">
      <x:c r="A322" s="142" t="n">
        <x:v>318</x:v>
      </x:c>
      <x:c r="B322" s="179" t="n">
        <x:f>EDATE(Premissas!$B$4,A322-1)</x:f>
        <x:v>56189</x:v>
      </x:c>
      <x:c r="C322" s="141" t="n">
        <x:f>IF(A322&lt;=Premissas!$B$39,Premissas!$B$42,0)</x:f>
        <x:v>7000</x:v>
      </x:c>
      <x:c r="D322" s="141" t="n">
        <x:f>Premissas!$B$54*(1+Premissas!$B$57)^INT((A322-1)/12)</x:f>
        <x:v>3184.568074049668</x:v>
      </x:c>
      <x:c r="E322" s="141" t="n">
        <x:f>Premissas!$B$64*(1+Premissas!$B$57)^INT((A322-1)/12)</x:f>
        <x:v>2911.605096273983</x:v>
      </x:c>
      <x:c r="F322" s="141" t="n">
        <x:f>MAX(0,Premissas!$B$6*(1+Premissas!$B$66)^((A322-1)/12))</x:f>
        <x:v>932237.573591934</x:v>
      </x:c>
      <x:c r="G322" s="141" t="n">
        <x:f>G321*(1+Premissas!$B$41)+C322</x:f>
        <x:v>15923743.699955856</x:v>
      </x:c>
      <x:c r="H322" s="141" t="n">
        <x:f>IF($A322=Premissas!$B$48,Premissas!$B$8,0)</x:f>
        <x:v>0</x:v>
      </x:c>
      <x:c r="I322" s="141" t="n">
        <x:f>IF(AND($A322&gt;=Premissas!$B$48,$A322-Premissas!$B$48+1&lt;=Premissas!$B$13),INDEX(Financiamento!$J$6:$J$485,$A322-Premissas!$B$48+1),0)</x:f>
        <x:v>903.2745418141169</x:v>
      </x:c>
      <x:c r="J322" s="141" t="n">
        <x:f>IF(AND(TRUE,Premissas!$B$11="Imovel",Premissas!$B$47="Moradia",$A322&lt;MAX(Premissas!$B$48,Premissas!$B$49)),$D322,0)</x:f>
        <x:v>0</x:v>
      </x:c>
      <x:c r="K322" s="141" t="n">
        <x:f>IF(AND(TRUE,Premissas!$B$11="Imovel",Premissas!$B$47="Investimento",$A322&gt;=MAX(Premissas!$B$48,Premissas!$B$49)),$E322,0)</x:f>
        <x:v>2911.605096273983</x:v>
      </x:c>
      <x:c r="L322" s="141" t="n">
        <x:f>H322+I322+J322</x:f>
        <x:v>903.2745418141169</x:v>
      </x:c>
      <x:c r="M322" s="141" t="n">
        <x:f>K322</x:f>
        <x:v>2911.605096273983</x:v>
      </x:c>
      <x:c r="N322" s="141" t="n">
        <x:f>$C322+M322-L322</x:f>
        <x:v>9008.330554459866</x:v>
      </x:c>
      <x:c r="O322" s="141" t="n">
        <x:f>R321*(1+Premissas!$B$41)+N322</x:f>
        <x:v>13724013.011278542</x:v>
      </x:c>
      <x:c r="P322" s="141" t="n">
        <x:f>MAX(0,-O322)</x:f>
        <x:v>0</x:v>
      </x:c>
      <x:c r="Q322" s="141" t="n">
        <x:f>Q321*(1+Premissas!$B$41)+P322</x:f>
        <x:v>0</x:v>
      </x:c>
      <x:c r="R322" s="141" t="n">
        <x:f>MAX(0,O322)</x:f>
        <x:v>13724013.011278542</x:v>
      </x:c>
      <x:c r="S322" s="141" t="n">
        <x:f>IF(AND($A322&gt;=Premissas!$B$48,$A322-Premissas!$B$48+1&lt;=Premissas!$B$13),INDEX(Financiamento!$M$6:$M$485,$A322-Premissas!$B$48+1),0)</x:f>
        <x:v>38857.14285714291</x:v>
      </x:c>
      <x:c r="T322" s="141" t="n">
        <x:f>IF($A322&gt;=Premissas!$B$48,$F322,0)</x:f>
        <x:v>932237.573591934</x:v>
      </x:c>
      <x:c r="U322" s="141" t="n">
        <x:f>R322+T322-S322</x:f>
        <x:v>14617393.442013333</x:v>
      </x:c>
      <x:c r="V322" s="141" t="n">
        <x:f>IF(Q322&gt;1,"Inviavel",U322)</x:f>
        <x:v>14617393.442013333</x:v>
      </x:c>
      <x:c r="W322" s="141" t="str">
        <x:f>IF(Q322&gt;1,"Inviavel","OK")</x:f>
        <x:v>OK</x:v>
      </x:c>
      <x:c r="X322" s="141" t="n">
        <x:f>IF($A322=Premissas!$B$48,Premissas!$B$8,0)</x:f>
        <x:v>0</x:v>
      </x:c>
      <x:c r="Y322" s="141" t="n">
        <x:f>IF(AND($A322&gt;=Premissas!$B$48,$A322-Premissas!$B$48+1&lt;=Premissas!$B$13),INDEX(Amortizacao!$K$6:$K$485,$A322-Premissas!$B$48+1),0)</x:f>
        <x:v>0</x:v>
      </x:c>
      <x:c r="Z322" s="141" t="n">
        <x:f>IF(AND(TRUE,Premissas!$B$11="Imovel",Premissas!$B$47="Moradia",$A322&lt;MAX(Premissas!$B$48,Premissas!$B$49)),$D322,0)</x:f>
        <x:v>0</x:v>
      </x:c>
      <x:c r="AA322" s="141" t="n">
        <x:f>IF(AND(TRUE,Premissas!$B$11="Imovel",Premissas!$B$47="Investimento",$A322&gt;=MAX(Premissas!$B$48,Premissas!$B$49)),$E322,0)</x:f>
        <x:v>2911.605096273983</x:v>
      </x:c>
      <x:c r="AB322" s="141" t="n">
        <x:f>X322+Y322+Z322</x:f>
        <x:v>0</x:v>
      </x:c>
      <x:c r="AC322" s="141" t="n">
        <x:f>AA322</x:f>
        <x:v>2911.605096273983</x:v>
      </x:c>
      <x:c r="AD322" s="141" t="n">
        <x:f>$C322+AC322-AB322</x:f>
        <x:v>9911.605096273983</x:v>
      </x:c>
      <x:c r="AE322" s="141" t="n">
        <x:f>AH321*(1+Premissas!$B$41)+AD322</x:f>
        <x:v>13916188.769982617</x:v>
      </x:c>
      <x:c r="AF322" s="141" t="n">
        <x:f>MAX(0,-AE322)</x:f>
        <x:v>0</x:v>
      </x:c>
      <x:c r="AG322" s="141" t="n">
        <x:f>AG321*(1+Premissas!$B$41)+AF322</x:f>
        <x:v>0</x:v>
      </x:c>
      <x:c r="AH322" s="141" t="n">
        <x:f>MAX(0,AE322)</x:f>
        <x:v>13916188.769982617</x:v>
      </x:c>
      <x:c r="AI322" s="141" t="n">
        <x:f>IF(AND($A322&gt;=Premissas!$B$48,$A322-Premissas!$B$48+1&lt;=Premissas!$B$13),INDEX(Amortizacao!$L$6:$L$485,$A322-Premissas!$B$48+1),0)</x:f>
        <x:v>0</x:v>
      </x:c>
      <x:c r="AJ322" s="141" t="n">
        <x:f>IF($A322&gt;=Premissas!$B$48,$F322,0)</x:f>
        <x:v>932237.573591934</x:v>
      </x:c>
      <x:c r="AK322" s="141" t="n">
        <x:f>AH322+AJ322-AI322</x:f>
        <x:v>14848426.343574552</x:v>
      </x:c>
      <x:c r="AL322" s="141" t="n">
        <x:f>IF(AG322&gt;1,"Inviavel",AK322)</x:f>
        <x:v>14848426.343574552</x:v>
      </x:c>
      <x:c r="AM322" s="141" t="str">
        <x:f>IF(AG322&gt;1,"Inviavel","OK")</x:f>
        <x:v>OK</x:v>
      </x:c>
      <x:c r="AN322" s="141" t="n">
        <x:f>IF($A322=Premissas!$B$48,Premissas!$B$8,0)</x:f>
        <x:v>0</x:v>
      </x:c>
      <x:c r="AO322" s="141" t="n">
        <x:f>IF($A322&lt;=Premissas!$B$25,INDEX('Consorcio IQ'!$K$6:$K$485,$A322),0)</x:f>
        <x:v>0</x:v>
      </x:c>
      <x:c r="AP322" s="141" t="n">
        <x:f>IF(AND(TRUE,Premissas!$B$11="Imovel",Premissas!$B$47="Moradia",$A322&lt;MAX(Premissas!$B$48,Premissas!$B$49)),$D322,0)</x:f>
        <x:v>0</x:v>
      </x:c>
      <x:c r="AQ322" s="141" t="n">
        <x:f>IF(AND(TRUE,Premissas!$B$11="Imovel",Premissas!$B$47="Investimento",$A322&gt;=MAX(Premissas!$B$48,Premissas!$B$49)),$E322,0)</x:f>
        <x:v>2911.605096273983</x:v>
      </x:c>
      <x:c r="AR322" s="141" t="n">
        <x:f>AN322+AO322+AP322</x:f>
        <x:v>0</x:v>
      </x:c>
      <x:c r="AS322" s="141" t="n">
        <x:f>AQ322</x:f>
        <x:v>2911.605096273983</x:v>
      </x:c>
      <x:c r="AT322" s="141" t="n">
        <x:f>$C322+AS322-AR322</x:f>
        <x:v>9911.605096273983</x:v>
      </x:c>
      <x:c r="AU322" s="141" t="n">
        <x:f>AX321*(1+Premissas!$B$41)+AT322</x:f>
        <x:v>13800830.147670556</x:v>
      </x:c>
      <x:c r="AV322" s="141" t="n">
        <x:f>MAX(0,-AU322)</x:f>
        <x:v>0</x:v>
      </x:c>
      <x:c r="AW322" s="141" t="n">
        <x:f>AW321*(1+Premissas!$B$41)+AV322</x:f>
        <x:v>0</x:v>
      </x:c>
      <x:c r="AX322" s="141" t="n">
        <x:f>MAX(0,AU322)</x:f>
        <x:v>13800830.147670556</x:v>
      </x:c>
      <x:c r="AY322" s="141" t="n">
        <x:f>INDEX('Consorcio IQ'!$P$6:$P$485,$A322)</x:f>
        <x:v>0</x:v>
      </x:c>
      <x:c r="AZ322" s="141" t="n">
        <x:f>IF($A322&gt;=Premissas!$B$48,$F322,0)+IF($A322&lt;Premissas!$B$27,INDEX('Consorcio IQ'!$O$6:$O$485,$A322),0)</x:f>
        <x:v>932237.573591934</x:v>
      </x:c>
      <x:c r="BA322" s="141" t="n">
        <x:f>AX322+AZ322-AY322</x:f>
        <x:v>14733067.72126249</x:v>
      </x:c>
      <x:c r="BB322" s="141" t="n">
        <x:f>IF(AW322&gt;1,"Inviavel",BA322)</x:f>
        <x:v>14733067.72126249</x:v>
      </x:c>
      <x:c r="BC322" s="141" t="str">
        <x:f>IF(AW322&gt;1,"Inviavel","OK")</x:f>
        <x:v>OK</x:v>
      </x:c>
      <x:c r="BD322" s="141" t="n">
        <x:f>IF($A322='Consorcio Direto'!$B$29,'Consorcio Direto'!$B$44,0)</x:f>
        <x:v>0</x:v>
      </x:c>
      <x:c r="BE322" s="141" t="n">
        <x:f>IF($A322&lt;='Consorcio Direto'!$B$27,INDEX('Consorcio Direto'!$E$55:$E$534,$A322),0)</x:f>
        <x:v>0</x:v>
      </x:c>
      <x:c r="BF322" s="141" t="n">
        <x:f>IF(AND(TRUE,Premissas!$B$11="Imovel",Premissas!$B$47="Moradia",$A322&lt;MAX('Consorcio Direto'!$B$29,Premissas!$B$49)),$D322,0)</x:f>
        <x:v>0</x:v>
      </x:c>
      <x:c r="BG322" s="141" t="n">
        <x:f>IF(AND(TRUE,Premissas!$B$11="Imovel",Premissas!$B$47="Investimento",$A322&gt;=MAX('Consorcio Direto'!$B$29,Premissas!$B$49)),$E322,0)</x:f>
        <x:v>2911.605096273983</x:v>
      </x:c>
      <x:c r="BH322" s="141" t="n">
        <x:f>BD322+BE322+BF322</x:f>
        <x:v>0</x:v>
      </x:c>
      <x:c r="BI322" s="141" t="n">
        <x:f>BG322</x:f>
        <x:v>2911.605096273983</x:v>
      </x:c>
      <x:c r="BJ322" s="141" t="n">
        <x:f>$C322+BI322-BH322</x:f>
        <x:v>9911.605096273983</x:v>
      </x:c>
      <x:c r="BK322" s="141" t="n">
        <x:f>BN321*(1+Premissas!$B$41)+BJ322</x:f>
        <x:v>13177387.235537011</x:v>
      </x:c>
      <x:c r="BL322" s="141" t="n">
        <x:f>MAX(0,-BK322)</x:f>
        <x:v>0</x:v>
      </x:c>
      <x:c r="BM322" s="141" t="n">
        <x:f>BM321*(1+Premissas!$B$41)+BL322</x:f>
        <x:v>0</x:v>
      </x:c>
      <x:c r="BN322" s="141" t="n">
        <x:f>MAX(0,BK322)</x:f>
        <x:v>13177387.235537011</x:v>
      </x:c>
      <x:c r="BO322" s="141" t="n">
        <x:f>INDEX('Consorcio Direto'!$K$55:$K$534,$A322)</x:f>
        <x:v>0</x:v>
      </x:c>
      <x:c r="BP322" s="141" t="n">
        <x:f>IF($A322&lt;'Consorcio Direto'!$B$29,INDEX('Consorcio Direto'!$L$55:$L$534,$A322),$F322)</x:f>
        <x:v>932237.573591934</x:v>
      </x:c>
      <x:c r="BQ322" s="141" t="n">
        <x:f>BN322+BP322-BO322</x:f>
        <x:v>14109624.809128946</x:v>
      </x:c>
      <x:c r="BR322" s="141" t="n">
        <x:f>IF(BM322&gt;1,"Inviavel",BQ322)</x:f>
        <x:v>14109624.809128946</x:v>
      </x:c>
      <x:c r="BS322" s="141" t="str">
        <x:f>IF(BM322&gt;1,"Inviavel","OK")</x:f>
        <x:v>OK</x:v>
      </x:c>
      <x:c r="BT322" s="141" t="n">
        <x:f>IF(AND('Carta Contemplada'!$B$22="Sim",$A322='Carta Contemplada'!$B$23),'Carta Contemplada'!$B$37,0)</x:f>
        <x:v>0</x:v>
      </x:c>
      <x:c r="BU322" s="141" t="n">
        <x:f>IF('Carta Contemplada'!$B$22="Sim",INDEX('Carta Contemplada'!$C$55:$C$1013,$A322),0)</x:f>
        <x:v>0</x:v>
      </x:c>
      <x:c r="BV322" s="141" t="n">
        <x:f>IF(AND('Carta Contemplada'!$B$22="Sim",Premissas!$B$11="Imovel",Premissas!$B$47="Moradia",$A322&lt;MAX('Carta Contemplada'!$B$44,Premissas!$B$49)),$D322,0)</x:f>
        <x:v>0</x:v>
      </x:c>
      <x:c r="BW322" s="141" t="n">
        <x:f>IF(AND('Carta Contemplada'!$B$22="Sim",Premissas!$B$11="Imovel",Premissas!$B$47="Investimento",$A322&gt;=MAX('Carta Contemplada'!$B$44,Premissas!$B$49)),$E322,0)</x:f>
        <x:v>2911.605096273983</x:v>
      </x:c>
      <x:c r="BX322" s="141" t="n">
        <x:f>BT322+BU322+BV322</x:f>
        <x:v>0</x:v>
      </x:c>
      <x:c r="BY322" s="141" t="n">
        <x:f>BW322</x:f>
        <x:v>2911.605096273983</x:v>
      </x:c>
      <x:c r="BZ322" s="141" t="n">
        <x:f>$C322+BY322-BX322</x:f>
        <x:v>9911.605096273983</x:v>
      </x:c>
      <x:c r="CA322" s="141" t="n">
        <x:f>CD321*(1+Premissas!$B$41)+BZ322</x:f>
        <x:v>14207101.53572275</x:v>
      </x:c>
      <x:c r="CB322" s="141" t="n">
        <x:f>MAX(0,-CA322)</x:f>
        <x:v>0</x:v>
      </x:c>
      <x:c r="CC322" s="141" t="n">
        <x:f>CC321*(1+Premissas!$B$41)+CB322</x:f>
        <x:v>0</x:v>
      </x:c>
      <x:c r="CD322" s="141" t="n">
        <x:f>MAX(0,CA322)</x:f>
        <x:v>14207101.53572275</x:v>
      </x:c>
      <x:c r="CE322" s="141" t="n">
        <x:f>IF(AND('Carta Contemplada'!$B$22="Sim",$A322&gt;='Carta Contemplada'!$B$23),INDEX('Carta Contemplada'!$I$55:$I$1013,$A322),0)</x:f>
        <x:v>0</x:v>
      </x:c>
      <x:c r="CF322" s="141" t="n">
        <x:f>IF(AND('Carta Contemplada'!$B$22="Sim",$A322&gt;='Carta Contemplada'!$B$44),$F322,0)</x:f>
        <x:v>932237.573591934</x:v>
      </x:c>
      <x:c r="CG322" s="141" t="n">
        <x:f>CD322+CF322-CE322</x:f>
        <x:v>15139339.109314684</x:v>
      </x:c>
      <x:c r="CH322" s="141" t="n">
        <x:f>IF(CC322&gt;1,"Inviavel",CG322)</x:f>
        <x:v>15139339.109314684</x:v>
      </x:c>
      <x:c r="CI322" s="145" t="str">
        <x:f>IF(CC322&gt;1,"Inviavel","OK")</x:f>
        <x:v>OK</x:v>
      </x:c>
    </x:row>
    <x:row r="323">
      <x:c r="A323" s="142" t="n">
        <x:v>319</x:v>
      </x:c>
      <x:c r="B323" s="179" t="n">
        <x:f>EDATE(Premissas!$B$4,A323-1)</x:f>
        <x:v>56219</x:v>
      </x:c>
      <x:c r="C323" s="141" t="n">
        <x:f>IF(A323&lt;=Premissas!$B$39,Premissas!$B$42,0)</x:f>
        <x:v>7000</x:v>
      </x:c>
      <x:c r="D323" s="141" t="n">
        <x:f>Premissas!$B$54*(1+Premissas!$B$57)^INT((A323-1)/12)</x:f>
        <x:v>3184.568074049668</x:v>
      </x:c>
      <x:c r="E323" s="141" t="n">
        <x:f>Premissas!$B$64*(1+Premissas!$B$57)^INT((A323-1)/12)</x:f>
        <x:v>2911.605096273983</x:v>
      </x:c>
      <x:c r="F323" s="141" t="n">
        <x:f>MAX(0,Premissas!$B$6*(1+Premissas!$B$66)^((A323-1)/12))</x:f>
        <x:v>936775.2871203054</x:v>
      </x:c>
      <x:c r="G323" s="141" t="n">
        <x:f>G322*(1+Premissas!$B$41)+C323</x:f>
        <x:v>16081840.806668108</x:v>
      </x:c>
      <x:c r="H323" s="141" t="n">
        <x:f>IF($A323=Premissas!$B$48,Premissas!$B$8,0)</x:f>
        <x:v>0</x:v>
      </x:c>
      <x:c r="I323" s="141" t="n">
        <x:f>IF(AND($A323&gt;=Premissas!$B$48,$A323-Premissas!$B$48+1&lt;=Premissas!$B$13),INDEX(Financiamento!$J$6:$J$485,$A323-Premissas!$B$48+1),0)</x:f>
        <x:v>899.6597635533233</x:v>
      </x:c>
      <x:c r="J323" s="141" t="n">
        <x:f>IF(AND(TRUE,Premissas!$B$11="Imovel",Premissas!$B$47="Moradia",$A323&lt;MAX(Premissas!$B$48,Premissas!$B$49)),$D323,0)</x:f>
        <x:v>0</x:v>
      </x:c>
      <x:c r="K323" s="141" t="n">
        <x:f>IF(AND(TRUE,Premissas!$B$11="Imovel",Premissas!$B$47="Investimento",$A323&gt;=MAX(Premissas!$B$48,Premissas!$B$49)),$E323,0)</x:f>
        <x:v>2911.605096273983</x:v>
      </x:c>
      <x:c r="L323" s="141" t="n">
        <x:f>H323+I323+J323</x:f>
        <x:v>899.6597635533233</x:v>
      </x:c>
      <x:c r="M323" s="141" t="n">
        <x:f>K323</x:f>
        <x:v>2911.605096273983</x:v>
      </x:c>
      <x:c r="N323" s="141" t="n">
        <x:f>$C323+M323-L323</x:f>
        <x:v>9011.94533272066</x:v>
      </x:c>
      <x:c r="O323" s="141" t="n">
        <x:f>R322*(1+Premissas!$B$41)+N323</x:f>
        <x:v>13863249.274306808</x:v>
      </x:c>
      <x:c r="P323" s="141" t="n">
        <x:f>MAX(0,-O323)</x:f>
        <x:v>0</x:v>
      </x:c>
      <x:c r="Q323" s="141" t="n">
        <x:f>Q322*(1+Premissas!$B$41)+P323</x:f>
        <x:v>0</x:v>
      </x:c>
      <x:c r="R323" s="141" t="n">
        <x:f>MAX(0,O323)</x:f>
        <x:v>13863249.274306808</x:v>
      </x:c>
      <x:c r="S323" s="141" t="n">
        <x:f>IF(AND($A323&gt;=Premissas!$B$48,$A323-Premissas!$B$48+1&lt;=Premissas!$B$13),INDEX(Financiamento!$M$6:$M$485,$A323-Premissas!$B$48+1),0)</x:f>
        <x:v>38476.19047619053</x:v>
      </x:c>
      <x:c r="T323" s="141" t="n">
        <x:f>IF($A323&gt;=Premissas!$B$48,$F323,0)</x:f>
        <x:v>936775.2871203054</x:v>
      </x:c>
      <x:c r="U323" s="141" t="n">
        <x:f>R323+T323-S323</x:f>
        <x:v>14761548.370950922</x:v>
      </x:c>
      <x:c r="V323" s="141" t="n">
        <x:f>IF(Q323&gt;1,"Inviavel",U323)</x:f>
        <x:v>14761548.370950922</x:v>
      </x:c>
      <x:c r="W323" s="141" t="str">
        <x:f>IF(Q323&gt;1,"Inviavel","OK")</x:f>
        <x:v>OK</x:v>
      </x:c>
      <x:c r="X323" s="141" t="n">
        <x:f>IF($A323=Premissas!$B$48,Premissas!$B$8,0)</x:f>
        <x:v>0</x:v>
      </x:c>
      <x:c r="Y323" s="141" t="n">
        <x:f>IF(AND($A323&gt;=Premissas!$B$48,$A323-Premissas!$B$48+1&lt;=Premissas!$B$13),INDEX(Amortizacao!$K$6:$K$485,$A323-Premissas!$B$48+1),0)</x:f>
        <x:v>0</x:v>
      </x:c>
      <x:c r="Z323" s="141" t="n">
        <x:f>IF(AND(TRUE,Premissas!$B$11="Imovel",Premissas!$B$47="Moradia",$A323&lt;MAX(Premissas!$B$48,Premissas!$B$49)),$D323,0)</x:f>
        <x:v>0</x:v>
      </x:c>
      <x:c r="AA323" s="141" t="n">
        <x:f>IF(AND(TRUE,Premissas!$B$11="Imovel",Premissas!$B$47="Investimento",$A323&gt;=MAX(Premissas!$B$48,Premissas!$B$49)),$E323,0)</x:f>
        <x:v>2911.605096273983</x:v>
      </x:c>
      <x:c r="AB323" s="141" t="n">
        <x:f>X323+Y323+Z323</x:f>
        <x:v>0</x:v>
      </x:c>
      <x:c r="AC323" s="141" t="n">
        <x:f>AA323</x:f>
        <x:v>2911.605096273983</x:v>
      </x:c>
      <x:c r="AD323" s="141" t="n">
        <x:f>$C323+AC323-AB323</x:f>
        <x:v>9911.605096273983</x:v>
      </x:c>
      <x:c r="AE323" s="141" t="n">
        <x:f>AH322*(1+Premissas!$B$41)+AD323</x:f>
        <x:v>14058148.208755825</x:v>
      </x:c>
      <x:c r="AF323" s="141" t="n">
        <x:f>MAX(0,-AE323)</x:f>
        <x:v>0</x:v>
      </x:c>
      <x:c r="AG323" s="141" t="n">
        <x:f>AG322*(1+Premissas!$B$41)+AF323</x:f>
        <x:v>0</x:v>
      </x:c>
      <x:c r="AH323" s="141" t="n">
        <x:f>MAX(0,AE323)</x:f>
        <x:v>14058148.208755825</x:v>
      </x:c>
      <x:c r="AI323" s="141" t="n">
        <x:f>IF(AND($A323&gt;=Premissas!$B$48,$A323-Premissas!$B$48+1&lt;=Premissas!$B$13),INDEX(Amortizacao!$L$6:$L$485,$A323-Premissas!$B$48+1),0)</x:f>
        <x:v>0</x:v>
      </x:c>
      <x:c r="AJ323" s="141" t="n">
        <x:f>IF($A323&gt;=Premissas!$B$48,$F323,0)</x:f>
        <x:v>936775.2871203054</x:v>
      </x:c>
      <x:c r="AK323" s="141" t="n">
        <x:f>AH323+AJ323-AI323</x:f>
        <x:v>14994923.49587613</x:v>
      </x:c>
      <x:c r="AL323" s="141" t="n">
        <x:f>IF(AG323&gt;1,"Inviavel",AK323)</x:f>
        <x:v>14994923.49587613</x:v>
      </x:c>
      <x:c r="AM323" s="141" t="str">
        <x:f>IF(AG323&gt;1,"Inviavel","OK")</x:f>
        <x:v>OK</x:v>
      </x:c>
      <x:c r="AN323" s="141" t="n">
        <x:f>IF($A323=Premissas!$B$48,Premissas!$B$8,0)</x:f>
        <x:v>0</x:v>
      </x:c>
      <x:c r="AO323" s="141" t="n">
        <x:f>IF($A323&lt;=Premissas!$B$25,INDEX('Consorcio IQ'!$K$6:$K$485,$A323),0)</x:f>
        <x:v>0</x:v>
      </x:c>
      <x:c r="AP323" s="141" t="n">
        <x:f>IF(AND(TRUE,Premissas!$B$11="Imovel",Premissas!$B$47="Moradia",$A323&lt;MAX(Premissas!$B$48,Premissas!$B$49)),$D323,0)</x:f>
        <x:v>0</x:v>
      </x:c>
      <x:c r="AQ323" s="141" t="n">
        <x:f>IF(AND(TRUE,Premissas!$B$11="Imovel",Premissas!$B$47="Investimento",$A323&gt;=MAX(Premissas!$B$48,Premissas!$B$49)),$E323,0)</x:f>
        <x:v>2911.605096273983</x:v>
      </x:c>
      <x:c r="AR323" s="141" t="n">
        <x:f>AN323+AO323+AP323</x:f>
        <x:v>0</x:v>
      </x:c>
      <x:c r="AS323" s="141" t="n">
        <x:f>AQ323</x:f>
        <x:v>2911.605096273983</x:v>
      </x:c>
      <x:c r="AT323" s="141" t="n">
        <x:f>$C323+AS323-AR323</x:f>
        <x:v>9911.605096273983</x:v>
      </x:c>
      <x:c r="AU323" s="141" t="n">
        <x:f>AX322*(1+Premissas!$B$41)+AT323</x:f>
        <x:v>13941694.972363425</x:v>
      </x:c>
      <x:c r="AV323" s="141" t="n">
        <x:f>MAX(0,-AU323)</x:f>
        <x:v>0</x:v>
      </x:c>
      <x:c r="AW323" s="141" t="n">
        <x:f>AW322*(1+Premissas!$B$41)+AV323</x:f>
        <x:v>0</x:v>
      </x:c>
      <x:c r="AX323" s="141" t="n">
        <x:f>MAX(0,AU323)</x:f>
        <x:v>13941694.972363425</x:v>
      </x:c>
      <x:c r="AY323" s="141" t="n">
        <x:f>INDEX('Consorcio IQ'!$P$6:$P$485,$A323)</x:f>
        <x:v>0</x:v>
      </x:c>
      <x:c r="AZ323" s="141" t="n">
        <x:f>IF($A323&gt;=Premissas!$B$48,$F323,0)+IF($A323&lt;Premissas!$B$27,INDEX('Consorcio IQ'!$O$6:$O$485,$A323),0)</x:f>
        <x:v>936775.2871203054</x:v>
      </x:c>
      <x:c r="BA323" s="141" t="n">
        <x:f>AX323+AZ323-AY323</x:f>
        <x:v>14878470.25948373</x:v>
      </x:c>
      <x:c r="BB323" s="141" t="n">
        <x:f>IF(AW323&gt;1,"Inviavel",BA323)</x:f>
        <x:v>14878470.25948373</x:v>
      </x:c>
      <x:c r="BC323" s="141" t="str">
        <x:f>IF(AW323&gt;1,"Inviavel","OK")</x:f>
        <x:v>OK</x:v>
      </x:c>
      <x:c r="BD323" s="141" t="n">
        <x:f>IF($A323='Consorcio Direto'!$B$29,'Consorcio Direto'!$B$44,0)</x:f>
        <x:v>0</x:v>
      </x:c>
      <x:c r="BE323" s="141" t="n">
        <x:f>IF($A323&lt;='Consorcio Direto'!$B$27,INDEX('Consorcio Direto'!$E$55:$E$534,$A323),0)</x:f>
        <x:v>0</x:v>
      </x:c>
      <x:c r="BF323" s="141" t="n">
        <x:f>IF(AND(TRUE,Premissas!$B$11="Imovel",Premissas!$B$47="Moradia",$A323&lt;MAX('Consorcio Direto'!$B$29,Premissas!$B$49)),$D323,0)</x:f>
        <x:v>0</x:v>
      </x:c>
      <x:c r="BG323" s="141" t="n">
        <x:f>IF(AND(TRUE,Premissas!$B$11="Imovel",Premissas!$B$47="Investimento",$A323&gt;=MAX('Consorcio Direto'!$B$29,Premissas!$B$49)),$E323,0)</x:f>
        <x:v>2911.605096273983</x:v>
      </x:c>
      <x:c r="BH323" s="141" t="n">
        <x:f>BD323+BE323+BF323</x:f>
        <x:v>0</x:v>
      </x:c>
      <x:c r="BI323" s="141" t="n">
        <x:f>BG323</x:f>
        <x:v>2911.605096273983</x:v>
      </x:c>
      <x:c r="BJ323" s="141" t="n">
        <x:f>$C323+BI323-BH323</x:f>
        <x:v>9911.605096273983</x:v>
      </x:c>
      <x:c r="BK323" s="141" t="n">
        <x:f>BN322*(1+Premissas!$B$41)+BJ323</x:f>
        <x:v>13312336.339530112</x:v>
      </x:c>
      <x:c r="BL323" s="141" t="n">
        <x:f>MAX(0,-BK323)</x:f>
        <x:v>0</x:v>
      </x:c>
      <x:c r="BM323" s="141" t="n">
        <x:f>BM322*(1+Premissas!$B$41)+BL323</x:f>
        <x:v>0</x:v>
      </x:c>
      <x:c r="BN323" s="141" t="n">
        <x:f>MAX(0,BK323)</x:f>
        <x:v>13312336.339530112</x:v>
      </x:c>
      <x:c r="BO323" s="141" t="n">
        <x:f>INDEX('Consorcio Direto'!$K$55:$K$534,$A323)</x:f>
        <x:v>0</x:v>
      </x:c>
      <x:c r="BP323" s="141" t="n">
        <x:f>IF($A323&lt;'Consorcio Direto'!$B$29,INDEX('Consorcio Direto'!$L$55:$L$534,$A323),$F323)</x:f>
        <x:v>936775.2871203054</x:v>
      </x:c>
      <x:c r="BQ323" s="141" t="n">
        <x:f>BN323+BP323-BO323</x:f>
        <x:v>14249111.626650417</x:v>
      </x:c>
      <x:c r="BR323" s="141" t="n">
        <x:f>IF(BM323&gt;1,"Inviavel",BQ323)</x:f>
        <x:v>14249111.626650417</x:v>
      </x:c>
      <x:c r="BS323" s="141" t="str">
        <x:f>IF(BM323&gt;1,"Inviavel","OK")</x:f>
        <x:v>OK</x:v>
      </x:c>
      <x:c r="BT323" s="141" t="n">
        <x:f>IF(AND('Carta Contemplada'!$B$22="Sim",$A323='Carta Contemplada'!$B$23),'Carta Contemplada'!$B$37,0)</x:f>
        <x:v>0</x:v>
      </x:c>
      <x:c r="BU323" s="141" t="n">
        <x:f>IF('Carta Contemplada'!$B$22="Sim",INDEX('Carta Contemplada'!$C$55:$C$1013,$A323),0)</x:f>
        <x:v>0</x:v>
      </x:c>
      <x:c r="BV323" s="141" t="n">
        <x:f>IF(AND('Carta Contemplada'!$B$22="Sim",Premissas!$B$11="Imovel",Premissas!$B$47="Moradia",$A323&lt;MAX('Carta Contemplada'!$B$44,Premissas!$B$49)),$D323,0)</x:f>
        <x:v>0</x:v>
      </x:c>
      <x:c r="BW323" s="141" t="n">
        <x:f>IF(AND('Carta Contemplada'!$B$22="Sim",Premissas!$B$11="Imovel",Premissas!$B$47="Investimento",$A323&gt;=MAX('Carta Contemplada'!$B$44,Premissas!$B$49)),$E323,0)</x:f>
        <x:v>2911.605096273983</x:v>
      </x:c>
      <x:c r="BX323" s="141" t="n">
        <x:f>BT323+BU323+BV323</x:f>
        <x:v>0</x:v>
      </x:c>
      <x:c r="BY323" s="141" t="n">
        <x:f>BW323</x:f>
        <x:v>2911.605096273983</x:v>
      </x:c>
      <x:c r="BZ323" s="141" t="n">
        <x:f>$C323+BY323-BX323</x:f>
        <x:v>9911.605096273983</x:v>
      </x:c>
      <x:c r="CA323" s="141" t="n">
        <x:f>CD322*(1+Premissas!$B$41)+BZ323</x:f>
        <x:v>14351821.385492092</x:v>
      </x:c>
      <x:c r="CB323" s="141" t="n">
        <x:f>MAX(0,-CA323)</x:f>
        <x:v>0</x:v>
      </x:c>
      <x:c r="CC323" s="141" t="n">
        <x:f>CC322*(1+Premissas!$B$41)+CB323</x:f>
        <x:v>0</x:v>
      </x:c>
      <x:c r="CD323" s="141" t="n">
        <x:f>MAX(0,CA323)</x:f>
        <x:v>14351821.385492092</x:v>
      </x:c>
      <x:c r="CE323" s="141" t="n">
        <x:f>IF(AND('Carta Contemplada'!$B$22="Sim",$A323&gt;='Carta Contemplada'!$B$23),INDEX('Carta Contemplada'!$I$55:$I$1013,$A323),0)</x:f>
        <x:v>0</x:v>
      </x:c>
      <x:c r="CF323" s="141" t="n">
        <x:f>IF(AND('Carta Contemplada'!$B$22="Sim",$A323&gt;='Carta Contemplada'!$B$44),$F323,0)</x:f>
        <x:v>936775.2871203054</x:v>
      </x:c>
      <x:c r="CG323" s="141" t="n">
        <x:f>CD323+CF323-CE323</x:f>
        <x:v>15288596.672612397</x:v>
      </x:c>
      <x:c r="CH323" s="141" t="n">
        <x:f>IF(CC323&gt;1,"Inviavel",CG323)</x:f>
        <x:v>15288596.672612397</x:v>
      </x:c>
      <x:c r="CI323" s="145" t="str">
        <x:f>IF(CC323&gt;1,"Inviavel","OK")</x:f>
        <x:v>OK</x:v>
      </x:c>
    </x:row>
    <x:row r="324">
      <x:c r="A324" s="142" t="n">
        <x:v>320</x:v>
      </x:c>
      <x:c r="B324" s="179" t="n">
        <x:f>EDATE(Premissas!$B$4,A324-1)</x:f>
        <x:v>56250</x:v>
      </x:c>
      <x:c r="C324" s="141" t="n">
        <x:f>IF(A324&lt;=Premissas!$B$39,Premissas!$B$42,0)</x:f>
        <x:v>7000</x:v>
      </x:c>
      <x:c r="D324" s="141" t="n">
        <x:f>Premissas!$B$54*(1+Premissas!$B$57)^INT((A324-1)/12)</x:f>
        <x:v>3184.568074049668</x:v>
      </x:c>
      <x:c r="E324" s="141" t="n">
        <x:f>Premissas!$B$64*(1+Premissas!$B$57)^INT((A324-1)/12)</x:f>
        <x:v>2911.605096273983</x:v>
      </x:c>
      <x:c r="F324" s="141" t="n">
        <x:f>MAX(0,Premissas!$B$6*(1+Premissas!$B$66)^((A324-1)/12))</x:f>
        <x:v>941335.0881987272</x:v>
      </x:c>
      <x:c r="G324" s="141" t="n">
        <x:f>G323*(1+Premissas!$B$41)+C324</x:f>
        <x:v>16241438.06408951</x:v>
      </x:c>
      <x:c r="H324" s="141" t="n">
        <x:f>IF($A324=Premissas!$B$48,Premissas!$B$8,0)</x:f>
        <x:v>0</x:v>
      </x:c>
      <x:c r="I324" s="141" t="n">
        <x:f>IF(AND($A324&gt;=Premissas!$B$48,$A324-Premissas!$B$48+1&lt;=Premissas!$B$13),INDEX(Financiamento!$J$6:$J$485,$A324-Premissas!$B$48+1),0)</x:f>
        <x:v>896.0449852925296</x:v>
      </x:c>
      <x:c r="J324" s="141" t="n">
        <x:f>IF(AND(TRUE,Premissas!$B$11="Imovel",Premissas!$B$47="Moradia",$A324&lt;MAX(Premissas!$B$48,Premissas!$B$49)),$D324,0)</x:f>
        <x:v>0</x:v>
      </x:c>
      <x:c r="K324" s="141" t="n">
        <x:f>IF(AND(TRUE,Premissas!$B$11="Imovel",Premissas!$B$47="Investimento",$A324&gt;=MAX(Premissas!$B$48,Premissas!$B$49)),$E324,0)</x:f>
        <x:v>2911.605096273983</x:v>
      </x:c>
      <x:c r="L324" s="141" t="n">
        <x:f>H324+I324+J324</x:f>
        <x:v>896.0449852925296</x:v>
      </x:c>
      <x:c r="M324" s="141" t="n">
        <x:f>K324</x:f>
        <x:v>2911.605096273983</x:v>
      </x:c>
      <x:c r="N324" s="141" t="n">
        <x:f>$C324+M324-L324</x:f>
        <x:v>9015.560110981452</x:v>
      </x:c>
      <x:c r="O324" s="141" t="n">
        <x:f>R323*(1+Premissas!$B$41)+N324</x:f>
        <x:v>14003810.336182194</x:v>
      </x:c>
      <x:c r="P324" s="141" t="n">
        <x:f>MAX(0,-O324)</x:f>
        <x:v>0</x:v>
      </x:c>
      <x:c r="Q324" s="141" t="n">
        <x:f>Q323*(1+Premissas!$B$41)+P324</x:f>
        <x:v>0</x:v>
      </x:c>
      <x:c r="R324" s="141" t="n">
        <x:f>MAX(0,O324)</x:f>
        <x:v>14003810.336182194</x:v>
      </x:c>
      <x:c r="S324" s="141" t="n">
        <x:f>IF(AND($A324&gt;=Premissas!$B$48,$A324-Premissas!$B$48+1&lt;=Premissas!$B$13),INDEX(Financiamento!$M$6:$M$485,$A324-Premissas!$B$48+1),0)</x:f>
        <x:v>38095.23809523815</x:v>
      </x:c>
      <x:c r="T324" s="141" t="n">
        <x:f>IF($A324&gt;=Premissas!$B$48,$F324,0)</x:f>
        <x:v>941335.0881987272</x:v>
      </x:c>
      <x:c r="U324" s="141" t="n">
        <x:f>R324+T324-S324</x:f>
        <x:v>14907050.186285682</x:v>
      </x:c>
      <x:c r="V324" s="141" t="n">
        <x:f>IF(Q324&gt;1,"Inviavel",U324)</x:f>
        <x:v>14907050.186285682</x:v>
      </x:c>
      <x:c r="W324" s="141" t="str">
        <x:f>IF(Q324&gt;1,"Inviavel","OK")</x:f>
        <x:v>OK</x:v>
      </x:c>
      <x:c r="X324" s="141" t="n">
        <x:f>IF($A324=Premissas!$B$48,Premissas!$B$8,0)</x:f>
        <x:v>0</x:v>
      </x:c>
      <x:c r="Y324" s="141" t="n">
        <x:f>IF(AND($A324&gt;=Premissas!$B$48,$A324-Premissas!$B$48+1&lt;=Premissas!$B$13),INDEX(Amortizacao!$K$6:$K$485,$A324-Premissas!$B$48+1),0)</x:f>
        <x:v>0</x:v>
      </x:c>
      <x:c r="Z324" s="141" t="n">
        <x:f>IF(AND(TRUE,Premissas!$B$11="Imovel",Premissas!$B$47="Moradia",$A324&lt;MAX(Premissas!$B$48,Premissas!$B$49)),$D324,0)</x:f>
        <x:v>0</x:v>
      </x:c>
      <x:c r="AA324" s="141" t="n">
        <x:f>IF(AND(TRUE,Premissas!$B$11="Imovel",Premissas!$B$47="Investimento",$A324&gt;=MAX(Premissas!$B$48,Premissas!$B$49)),$E324,0)</x:f>
        <x:v>2911.605096273983</x:v>
      </x:c>
      <x:c r="AB324" s="141" t="n">
        <x:f>X324+Y324+Z324</x:f>
        <x:v>0</x:v>
      </x:c>
      <x:c r="AC324" s="141" t="n">
        <x:f>AA324</x:f>
        <x:v>2911.605096273983</x:v>
      </x:c>
      <x:c r="AD324" s="141" t="n">
        <x:f>$C324+AC324-AB324</x:f>
        <x:v>9911.605096273983</x:v>
      </x:c>
      <x:c r="AE324" s="141" t="n">
        <x:f>AH323*(1+Premissas!$B$41)+AD324</x:f>
        <x:v>14201454.671248661</x:v>
      </x:c>
      <x:c r="AF324" s="141" t="n">
        <x:f>MAX(0,-AE324)</x:f>
        <x:v>0</x:v>
      </x:c>
      <x:c r="AG324" s="141" t="n">
        <x:f>AG323*(1+Premissas!$B$41)+AF324</x:f>
        <x:v>0</x:v>
      </x:c>
      <x:c r="AH324" s="141" t="n">
        <x:f>MAX(0,AE324)</x:f>
        <x:v>14201454.671248661</x:v>
      </x:c>
      <x:c r="AI324" s="141" t="n">
        <x:f>IF(AND($A324&gt;=Premissas!$B$48,$A324-Premissas!$B$48+1&lt;=Premissas!$B$13),INDEX(Amortizacao!$L$6:$L$485,$A324-Premissas!$B$48+1),0)</x:f>
        <x:v>0</x:v>
      </x:c>
      <x:c r="AJ324" s="141" t="n">
        <x:f>IF($A324&gt;=Premissas!$B$48,$F324,0)</x:f>
        <x:v>941335.0881987272</x:v>
      </x:c>
      <x:c r="AK324" s="141" t="n">
        <x:f>AH324+AJ324-AI324</x:f>
        <x:v>15142789.759447388</x:v>
      </x:c>
      <x:c r="AL324" s="141" t="n">
        <x:f>IF(AG324&gt;1,"Inviavel",AK324)</x:f>
        <x:v>15142789.759447388</x:v>
      </x:c>
      <x:c r="AM324" s="141" t="str">
        <x:f>IF(AG324&gt;1,"Inviavel","OK")</x:f>
        <x:v>OK</x:v>
      </x:c>
      <x:c r="AN324" s="141" t="n">
        <x:f>IF($A324=Premissas!$B$48,Premissas!$B$8,0)</x:f>
        <x:v>0</x:v>
      </x:c>
      <x:c r="AO324" s="141" t="n">
        <x:f>IF($A324&lt;=Premissas!$B$25,INDEX('Consorcio IQ'!$K$6:$K$485,$A324),0)</x:f>
        <x:v>0</x:v>
      </x:c>
      <x:c r="AP324" s="141" t="n">
        <x:f>IF(AND(TRUE,Premissas!$B$11="Imovel",Premissas!$B$47="Moradia",$A324&lt;MAX(Premissas!$B$48,Premissas!$B$49)),$D324,0)</x:f>
        <x:v>0</x:v>
      </x:c>
      <x:c r="AQ324" s="141" t="n">
        <x:f>IF(AND(TRUE,Premissas!$B$11="Imovel",Premissas!$B$47="Investimento",$A324&gt;=MAX(Premissas!$B$48,Premissas!$B$49)),$E324,0)</x:f>
        <x:v>2911.605096273983</x:v>
      </x:c>
      <x:c r="AR324" s="141" t="n">
        <x:f>AN324+AO324+AP324</x:f>
        <x:v>0</x:v>
      </x:c>
      <x:c r="AS324" s="141" t="n">
        <x:f>AQ324</x:f>
        <x:v>2911.605096273983</x:v>
      </x:c>
      <x:c r="AT324" s="141" t="n">
        <x:f>$C324+AS324-AR324</x:f>
        <x:v>9911.605096273983</x:v>
      </x:c>
      <x:c r="AU324" s="141" t="n">
        <x:f>AX323*(1+Premissas!$B$41)+AT324</x:f>
        <x:v>14083896.434209572</x:v>
      </x:c>
      <x:c r="AV324" s="141" t="n">
        <x:f>MAX(0,-AU324)</x:f>
        <x:v>0</x:v>
      </x:c>
      <x:c r="AW324" s="141" t="n">
        <x:f>AW323*(1+Premissas!$B$41)+AV324</x:f>
        <x:v>0</x:v>
      </x:c>
      <x:c r="AX324" s="141" t="n">
        <x:f>MAX(0,AU324)</x:f>
        <x:v>14083896.434209572</x:v>
      </x:c>
      <x:c r="AY324" s="141" t="n">
        <x:f>INDEX('Consorcio IQ'!$P$6:$P$485,$A324)</x:f>
        <x:v>0</x:v>
      </x:c>
      <x:c r="AZ324" s="141" t="n">
        <x:f>IF($A324&gt;=Premissas!$B$48,$F324,0)+IF($A324&lt;Premissas!$B$27,INDEX('Consorcio IQ'!$O$6:$O$485,$A324),0)</x:f>
        <x:v>941335.0881987272</x:v>
      </x:c>
      <x:c r="BA324" s="141" t="n">
        <x:f>AX324+AZ324-AY324</x:f>
        <x:v>15025231.5224083</x:v>
      </x:c>
      <x:c r="BB324" s="141" t="n">
        <x:f>IF(AW324&gt;1,"Inviavel",BA324)</x:f>
        <x:v>15025231.5224083</x:v>
      </x:c>
      <x:c r="BC324" s="141" t="str">
        <x:f>IF(AW324&gt;1,"Inviavel","OK")</x:f>
        <x:v>OK</x:v>
      </x:c>
      <x:c r="BD324" s="141" t="n">
        <x:f>IF($A324='Consorcio Direto'!$B$29,'Consorcio Direto'!$B$44,0)</x:f>
        <x:v>0</x:v>
      </x:c>
      <x:c r="BE324" s="141" t="n">
        <x:f>IF($A324&lt;='Consorcio Direto'!$B$27,INDEX('Consorcio Direto'!$E$55:$E$534,$A324),0)</x:f>
        <x:v>0</x:v>
      </x:c>
      <x:c r="BF324" s="141" t="n">
        <x:f>IF(AND(TRUE,Premissas!$B$11="Imovel",Premissas!$B$47="Moradia",$A324&lt;MAX('Consorcio Direto'!$B$29,Premissas!$B$49)),$D324,0)</x:f>
        <x:v>0</x:v>
      </x:c>
      <x:c r="BG324" s="141" t="n">
        <x:f>IF(AND(TRUE,Premissas!$B$11="Imovel",Premissas!$B$47="Investimento",$A324&gt;=MAX('Consorcio Direto'!$B$29,Premissas!$B$49)),$E324,0)</x:f>
        <x:v>2911.605096273983</x:v>
      </x:c>
      <x:c r="BH324" s="141" t="n">
        <x:f>BD324+BE324+BF324</x:f>
        <x:v>0</x:v>
      </x:c>
      <x:c r="BI324" s="141" t="n">
        <x:f>BG324</x:f>
        <x:v>2911.605096273983</x:v>
      </x:c>
      <x:c r="BJ324" s="141" t="n">
        <x:f>$C324+BI324-BH324</x:f>
        <x:v>9911.605096273983</x:v>
      </x:c>
      <x:c r="BK324" s="141" t="n">
        <x:f>BN323*(1+Premissas!$B$41)+BJ324</x:f>
        <x:v>13448565.947627712</x:v>
      </x:c>
      <x:c r="BL324" s="141" t="n">
        <x:f>MAX(0,-BK324)</x:f>
        <x:v>0</x:v>
      </x:c>
      <x:c r="BM324" s="141" t="n">
        <x:f>BM323*(1+Premissas!$B$41)+BL324</x:f>
        <x:v>0</x:v>
      </x:c>
      <x:c r="BN324" s="141" t="n">
        <x:f>MAX(0,BK324)</x:f>
        <x:v>13448565.947627712</x:v>
      </x:c>
      <x:c r="BO324" s="141" t="n">
        <x:f>INDEX('Consorcio Direto'!$K$55:$K$534,$A324)</x:f>
        <x:v>0</x:v>
      </x:c>
      <x:c r="BP324" s="141" t="n">
        <x:f>IF($A324&lt;'Consorcio Direto'!$B$29,INDEX('Consorcio Direto'!$L$55:$L$534,$A324),$F324)</x:f>
        <x:v>941335.0881987272</x:v>
      </x:c>
      <x:c r="BQ324" s="141" t="n">
        <x:f>BN324+BP324-BO324</x:f>
        <x:v>14389901.035826439</x:v>
      </x:c>
      <x:c r="BR324" s="141" t="n">
        <x:f>IF(BM324&gt;1,"Inviavel",BQ324)</x:f>
        <x:v>14389901.035826439</x:v>
      </x:c>
      <x:c r="BS324" s="141" t="str">
        <x:f>IF(BM324&gt;1,"Inviavel","OK")</x:f>
        <x:v>OK</x:v>
      </x:c>
      <x:c r="BT324" s="141" t="n">
        <x:f>IF(AND('Carta Contemplada'!$B$22="Sim",$A324='Carta Contemplada'!$B$23),'Carta Contemplada'!$B$37,0)</x:f>
        <x:v>0</x:v>
      </x:c>
      <x:c r="BU324" s="141" t="n">
        <x:f>IF('Carta Contemplada'!$B$22="Sim",INDEX('Carta Contemplada'!$C$55:$C$1013,$A324),0)</x:f>
        <x:v>0</x:v>
      </x:c>
      <x:c r="BV324" s="141" t="n">
        <x:f>IF(AND('Carta Contemplada'!$B$22="Sim",Premissas!$B$11="Imovel",Premissas!$B$47="Moradia",$A324&lt;MAX('Carta Contemplada'!$B$44,Premissas!$B$49)),$D324,0)</x:f>
        <x:v>0</x:v>
      </x:c>
      <x:c r="BW324" s="141" t="n">
        <x:f>IF(AND('Carta Contemplada'!$B$22="Sim",Premissas!$B$11="Imovel",Premissas!$B$47="Investimento",$A324&gt;=MAX('Carta Contemplada'!$B$44,Premissas!$B$49)),$E324,0)</x:f>
        <x:v>2911.605096273983</x:v>
      </x:c>
      <x:c r="BX324" s="141" t="n">
        <x:f>BT324+BU324+BV324</x:f>
        <x:v>0</x:v>
      </x:c>
      <x:c r="BY324" s="141" t="n">
        <x:f>BW324</x:f>
        <x:v>2911.605096273983</x:v>
      </x:c>
      <x:c r="BZ324" s="141" t="n">
        <x:f>$C324+BY324-BX324</x:f>
        <x:v>9911.605096273983</x:v>
      </x:c>
      <x:c r="CA324" s="141" t="n">
        <x:f>CD323*(1+Premissas!$B$41)+BZ324</x:f>
        <x:v>14497914.45194942</x:v>
      </x:c>
      <x:c r="CB324" s="141" t="n">
        <x:f>MAX(0,-CA324)</x:f>
        <x:v>0</x:v>
      </x:c>
      <x:c r="CC324" s="141" t="n">
        <x:f>CC323*(1+Premissas!$B$41)+CB324</x:f>
        <x:v>0</x:v>
      </x:c>
      <x:c r="CD324" s="141" t="n">
        <x:f>MAX(0,CA324)</x:f>
        <x:v>14497914.45194942</x:v>
      </x:c>
      <x:c r="CE324" s="141" t="n">
        <x:f>IF(AND('Carta Contemplada'!$B$22="Sim",$A324&gt;='Carta Contemplada'!$B$23),INDEX('Carta Contemplada'!$I$55:$I$1013,$A324),0)</x:f>
        <x:v>0</x:v>
      </x:c>
      <x:c r="CF324" s="141" t="n">
        <x:f>IF(AND('Carta Contemplada'!$B$22="Sim",$A324&gt;='Carta Contemplada'!$B$44),$F324,0)</x:f>
        <x:v>941335.0881987272</x:v>
      </x:c>
      <x:c r="CG324" s="141" t="n">
        <x:f>CD324+CF324-CE324</x:f>
        <x:v>15439249.540148146</x:v>
      </x:c>
      <x:c r="CH324" s="141" t="n">
        <x:f>IF(CC324&gt;1,"Inviavel",CG324)</x:f>
        <x:v>15439249.540148146</x:v>
      </x:c>
      <x:c r="CI324" s="145" t="str">
        <x:f>IF(CC324&gt;1,"Inviavel","OK")</x:f>
        <x:v>OK</x:v>
      </x:c>
    </x:row>
    <x:row r="325">
      <x:c r="A325" s="142" t="n">
        <x:v>321</x:v>
      </x:c>
      <x:c r="B325" s="179" t="n">
        <x:f>EDATE(Premissas!$B$4,A325-1)</x:f>
        <x:v>56281</x:v>
      </x:c>
      <x:c r="C325" s="141" t="n">
        <x:f>IF(A325&lt;=Premissas!$B$39,Premissas!$B$42,0)</x:f>
        <x:v>7000</x:v>
      </x:c>
      <x:c r="D325" s="141" t="n">
        <x:f>Premissas!$B$54*(1+Premissas!$B$57)^INT((A325-1)/12)</x:f>
        <x:v>3184.568074049668</x:v>
      </x:c>
      <x:c r="E325" s="141" t="n">
        <x:f>Premissas!$B$64*(1+Premissas!$B$57)^INT((A325-1)/12)</x:f>
        <x:v>2911.605096273983</x:v>
      </x:c>
      <x:c r="F325" s="141" t="n">
        <x:f>MAX(0,Premissas!$B$6*(1+Premissas!$B$66)^((A325-1)/12))</x:f>
        <x:v>945917.0843394663</x:v>
      </x:c>
      <x:c r="G325" s="141" t="n">
        <x:f>G324*(1+Premissas!$B$41)+C325</x:f>
        <x:v>16402549.706839511</x:v>
      </x:c>
      <x:c r="H325" s="141" t="n">
        <x:f>IF($A325=Premissas!$B$48,Premissas!$B$8,0)</x:f>
        <x:v>0</x:v>
      </x:c>
      <x:c r="I325" s="141" t="n">
        <x:f>IF(AND($A325&gt;=Premissas!$B$48,$A325-Premissas!$B$48+1&lt;=Premissas!$B$13),INDEX(Financiamento!$J$6:$J$485,$A325-Premissas!$B$48+1),0)</x:f>
        <x:v>892.4302070317361</x:v>
      </x:c>
      <x:c r="J325" s="141" t="n">
        <x:f>IF(AND(TRUE,Premissas!$B$11="Imovel",Premissas!$B$47="Moradia",$A325&lt;MAX(Premissas!$B$48,Premissas!$B$49)),$D325,0)</x:f>
        <x:v>0</x:v>
      </x:c>
      <x:c r="K325" s="141" t="n">
        <x:f>IF(AND(TRUE,Premissas!$B$11="Imovel",Premissas!$B$47="Investimento",$A325&gt;=MAX(Premissas!$B$48,Premissas!$B$49)),$E325,0)</x:f>
        <x:v>2911.605096273983</x:v>
      </x:c>
      <x:c r="L325" s="141" t="n">
        <x:f>H325+I325+J325</x:f>
        <x:v>892.4302070317361</x:v>
      </x:c>
      <x:c r="M325" s="141" t="n">
        <x:f>K325</x:f>
        <x:v>2911.605096273983</x:v>
      </x:c>
      <x:c r="N325" s="141" t="n">
        <x:f>$C325+M325-L325</x:f>
        <x:v>9019.174889242247</x:v>
      </x:c>
      <x:c r="O325" s="141" t="n">
        <x:f>R324*(1+Premissas!$B$41)+N325</x:f>
        <x:v>14145708.767646642</x:v>
      </x:c>
      <x:c r="P325" s="141" t="n">
        <x:f>MAX(0,-O325)</x:f>
        <x:v>0</x:v>
      </x:c>
      <x:c r="Q325" s="141" t="n">
        <x:f>Q324*(1+Premissas!$B$41)+P325</x:f>
        <x:v>0</x:v>
      </x:c>
      <x:c r="R325" s="141" t="n">
        <x:f>MAX(0,O325)</x:f>
        <x:v>14145708.767646642</x:v>
      </x:c>
      <x:c r="S325" s="141" t="n">
        <x:f>IF(AND($A325&gt;=Premissas!$B$48,$A325-Premissas!$B$48+1&lt;=Premissas!$B$13),INDEX(Financiamento!$M$6:$M$485,$A325-Premissas!$B$48+1),0)</x:f>
        <x:v>37714.28571428577</x:v>
      </x:c>
      <x:c r="T325" s="141" t="n">
        <x:f>IF($A325&gt;=Premissas!$B$48,$F325,0)</x:f>
        <x:v>945917.0843394663</x:v>
      </x:c>
      <x:c r="U325" s="141" t="n">
        <x:f>R325+T325-S325</x:f>
        <x:v>15053911.566271823</x:v>
      </x:c>
      <x:c r="V325" s="141" t="n">
        <x:f>IF(Q325&gt;1,"Inviavel",U325)</x:f>
        <x:v>15053911.566271823</x:v>
      </x:c>
      <x:c r="W325" s="141" t="str">
        <x:f>IF(Q325&gt;1,"Inviavel","OK")</x:f>
        <x:v>OK</x:v>
      </x:c>
      <x:c r="X325" s="141" t="n">
        <x:f>IF($A325=Premissas!$B$48,Premissas!$B$8,0)</x:f>
        <x:v>0</x:v>
      </x:c>
      <x:c r="Y325" s="141" t="n">
        <x:f>IF(AND($A325&gt;=Premissas!$B$48,$A325-Premissas!$B$48+1&lt;=Premissas!$B$13),INDEX(Amortizacao!$K$6:$K$485,$A325-Premissas!$B$48+1),0)</x:f>
        <x:v>0</x:v>
      </x:c>
      <x:c r="Z325" s="141" t="n">
        <x:f>IF(AND(TRUE,Premissas!$B$11="Imovel",Premissas!$B$47="Moradia",$A325&lt;MAX(Premissas!$B$48,Premissas!$B$49)),$D325,0)</x:f>
        <x:v>0</x:v>
      </x:c>
      <x:c r="AA325" s="141" t="n">
        <x:f>IF(AND(TRUE,Premissas!$B$11="Imovel",Premissas!$B$47="Investimento",$A325&gt;=MAX(Premissas!$B$48,Premissas!$B$49)),$E325,0)</x:f>
        <x:v>2911.605096273983</x:v>
      </x:c>
      <x:c r="AB325" s="141" t="n">
        <x:f>X325+Y325+Z325</x:f>
        <x:v>0</x:v>
      </x:c>
      <x:c r="AC325" s="141" t="n">
        <x:f>AA325</x:f>
        <x:v>2911.605096273983</x:v>
      </x:c>
      <x:c r="AD325" s="141" t="n">
        <x:f>$C325+AC325-AB325</x:f>
        <x:v>9911.605096273983</x:v>
      </x:c>
      <x:c r="AE325" s="141" t="n">
        <x:f>AH324*(1+Premissas!$B$41)+AD325</x:f>
        <x:v>14346120.93909028</x:v>
      </x:c>
      <x:c r="AF325" s="141" t="n">
        <x:f>MAX(0,-AE325)</x:f>
        <x:v>0</x:v>
      </x:c>
      <x:c r="AG325" s="141" t="n">
        <x:f>AG324*(1+Premissas!$B$41)+AF325</x:f>
        <x:v>0</x:v>
      </x:c>
      <x:c r="AH325" s="141" t="n">
        <x:f>MAX(0,AE325)</x:f>
        <x:v>14346120.93909028</x:v>
      </x:c>
      <x:c r="AI325" s="141" t="n">
        <x:f>IF(AND($A325&gt;=Premissas!$B$48,$A325-Premissas!$B$48+1&lt;=Premissas!$B$13),INDEX(Amortizacao!$L$6:$L$485,$A325-Premissas!$B$48+1),0)</x:f>
        <x:v>0</x:v>
      </x:c>
      <x:c r="AJ325" s="141" t="n">
        <x:f>IF($A325&gt;=Premissas!$B$48,$F325,0)</x:f>
        <x:v>945917.0843394663</x:v>
      </x:c>
      <x:c r="AK325" s="141" t="n">
        <x:f>AH325+AJ325-AI325</x:f>
        <x:v>15292038.023429746</x:v>
      </x:c>
      <x:c r="AL325" s="141" t="n">
        <x:f>IF(AG325&gt;1,"Inviavel",AK325)</x:f>
        <x:v>15292038.023429746</x:v>
      </x:c>
      <x:c r="AM325" s="141" t="str">
        <x:f>IF(AG325&gt;1,"Inviavel","OK")</x:f>
        <x:v>OK</x:v>
      </x:c>
      <x:c r="AN325" s="141" t="n">
        <x:f>IF($A325=Premissas!$B$48,Premissas!$B$8,0)</x:f>
        <x:v>0</x:v>
      </x:c>
      <x:c r="AO325" s="141" t="n">
        <x:f>IF($A325&lt;=Premissas!$B$25,INDEX('Consorcio IQ'!$K$6:$K$485,$A325),0)</x:f>
        <x:v>0</x:v>
      </x:c>
      <x:c r="AP325" s="141" t="n">
        <x:f>IF(AND(TRUE,Premissas!$B$11="Imovel",Premissas!$B$47="Moradia",$A325&lt;MAX(Premissas!$B$48,Premissas!$B$49)),$D325,0)</x:f>
        <x:v>0</x:v>
      </x:c>
      <x:c r="AQ325" s="141" t="n">
        <x:f>IF(AND(TRUE,Premissas!$B$11="Imovel",Premissas!$B$47="Investimento",$A325&gt;=MAX(Premissas!$B$48,Premissas!$B$49)),$E325,0)</x:f>
        <x:v>2911.605096273983</x:v>
      </x:c>
      <x:c r="AR325" s="141" t="n">
        <x:f>AN325+AO325+AP325</x:f>
        <x:v>0</x:v>
      </x:c>
      <x:c r="AS325" s="141" t="n">
        <x:f>AQ325</x:f>
        <x:v>2911.605096273983</x:v>
      </x:c>
      <x:c r="AT325" s="141" t="n">
        <x:f>$C325+AS325-AR325</x:f>
        <x:v>9911.605096273983</x:v>
      </x:c>
      <x:c r="AU325" s="141" t="n">
        <x:f>AX324*(1+Premissas!$B$41)+AT325</x:f>
        <x:v>14227447.216282172</x:v>
      </x:c>
      <x:c r="AV325" s="141" t="n">
        <x:f>MAX(0,-AU325)</x:f>
        <x:v>0</x:v>
      </x:c>
      <x:c r="AW325" s="141" t="n">
        <x:f>AW324*(1+Premissas!$B$41)+AV325</x:f>
        <x:v>0</x:v>
      </x:c>
      <x:c r="AX325" s="141" t="n">
        <x:f>MAX(0,AU325)</x:f>
        <x:v>14227447.216282172</x:v>
      </x:c>
      <x:c r="AY325" s="141" t="n">
        <x:f>INDEX('Consorcio IQ'!$P$6:$P$485,$A325)</x:f>
        <x:v>0</x:v>
      </x:c>
      <x:c r="AZ325" s="141" t="n">
        <x:f>IF($A325&gt;=Premissas!$B$48,$F325,0)+IF($A325&lt;Premissas!$B$27,INDEX('Consorcio IQ'!$O$6:$O$485,$A325),0)</x:f>
        <x:v>945917.0843394663</x:v>
      </x:c>
      <x:c r="BA325" s="141" t="n">
        <x:f>AX325+AZ325-AY325</x:f>
        <x:v>15173364.300621638</x:v>
      </x:c>
      <x:c r="BB325" s="141" t="n">
        <x:f>IF(AW325&gt;1,"Inviavel",BA325)</x:f>
        <x:v>15173364.300621638</x:v>
      </x:c>
      <x:c r="BC325" s="141" t="str">
        <x:f>IF(AW325&gt;1,"Inviavel","OK")</x:f>
        <x:v>OK</x:v>
      </x:c>
      <x:c r="BD325" s="141" t="n">
        <x:f>IF($A325='Consorcio Direto'!$B$29,'Consorcio Direto'!$B$44,0)</x:f>
        <x:v>0</x:v>
      </x:c>
      <x:c r="BE325" s="141" t="n">
        <x:f>IF($A325&lt;='Consorcio Direto'!$B$27,INDEX('Consorcio Direto'!$E$55:$E$534,$A325),0)</x:f>
        <x:v>0</x:v>
      </x:c>
      <x:c r="BF325" s="141" t="n">
        <x:f>IF(AND(TRUE,Premissas!$B$11="Imovel",Premissas!$B$47="Moradia",$A325&lt;MAX('Consorcio Direto'!$B$29,Premissas!$B$49)),$D325,0)</x:f>
        <x:v>0</x:v>
      </x:c>
      <x:c r="BG325" s="141" t="n">
        <x:f>IF(AND(TRUE,Premissas!$B$11="Imovel",Premissas!$B$47="Investimento",$A325&gt;=MAX('Consorcio Direto'!$B$29,Premissas!$B$49)),$E325,0)</x:f>
        <x:v>2911.605096273983</x:v>
      </x:c>
      <x:c r="BH325" s="141" t="n">
        <x:f>BD325+BE325+BF325</x:f>
        <x:v>0</x:v>
      </x:c>
      <x:c r="BI325" s="141" t="n">
        <x:f>BG325</x:f>
        <x:v>2911.605096273983</x:v>
      </x:c>
      <x:c r="BJ325" s="141" t="n">
        <x:f>$C325+BI325-BH325</x:f>
        <x:v>9911.605096273983</x:v>
      </x:c>
      <x:c r="BK325" s="141" t="n">
        <x:f>BN324*(1+Premissas!$B$41)+BJ325</x:f>
        <x:v>13586088.21026811</x:v>
      </x:c>
      <x:c r="BL325" s="141" t="n">
        <x:f>MAX(0,-BK325)</x:f>
        <x:v>0</x:v>
      </x:c>
      <x:c r="BM325" s="141" t="n">
        <x:f>BM324*(1+Premissas!$B$41)+BL325</x:f>
        <x:v>0</x:v>
      </x:c>
      <x:c r="BN325" s="141" t="n">
        <x:f>MAX(0,BK325)</x:f>
        <x:v>13586088.21026811</x:v>
      </x:c>
      <x:c r="BO325" s="141" t="n">
        <x:f>INDEX('Consorcio Direto'!$K$55:$K$534,$A325)</x:f>
        <x:v>0</x:v>
      </x:c>
      <x:c r="BP325" s="141" t="n">
        <x:f>IF($A325&lt;'Consorcio Direto'!$B$29,INDEX('Consorcio Direto'!$L$55:$L$534,$A325),$F325)</x:f>
        <x:v>945917.0843394663</x:v>
      </x:c>
      <x:c r="BQ325" s="141" t="n">
        <x:f>BN325+BP325-BO325</x:f>
        <x:v>14532005.294607576</x:v>
      </x:c>
      <x:c r="BR325" s="141" t="n">
        <x:f>IF(BM325&gt;1,"Inviavel",BQ325)</x:f>
        <x:v>14532005.294607576</x:v>
      </x:c>
      <x:c r="BS325" s="141" t="str">
        <x:f>IF(BM325&gt;1,"Inviavel","OK")</x:f>
        <x:v>OK</x:v>
      </x:c>
      <x:c r="BT325" s="141" t="n">
        <x:f>IF(AND('Carta Contemplada'!$B$22="Sim",$A325='Carta Contemplada'!$B$23),'Carta Contemplada'!$B$37,0)</x:f>
        <x:v>0</x:v>
      </x:c>
      <x:c r="BU325" s="141" t="n">
        <x:f>IF('Carta Contemplada'!$B$22="Sim",INDEX('Carta Contemplada'!$C$55:$C$1013,$A325),0)</x:f>
        <x:v>0</x:v>
      </x:c>
      <x:c r="BV325" s="141" t="n">
        <x:f>IF(AND('Carta Contemplada'!$B$22="Sim",Premissas!$B$11="Imovel",Premissas!$B$47="Moradia",$A325&lt;MAX('Carta Contemplada'!$B$44,Premissas!$B$49)),$D325,0)</x:f>
        <x:v>0</x:v>
      </x:c>
      <x:c r="BW325" s="141" t="n">
        <x:f>IF(AND('Carta Contemplada'!$B$22="Sim",Premissas!$B$11="Imovel",Premissas!$B$47="Investimento",$A325&gt;=MAX('Carta Contemplada'!$B$44,Premissas!$B$49)),$E325,0)</x:f>
        <x:v>2911.605096273983</x:v>
      </x:c>
      <x:c r="BX325" s="141" t="n">
        <x:f>BT325+BU325+BV325</x:f>
        <x:v>0</x:v>
      </x:c>
      <x:c r="BY325" s="141" t="n">
        <x:f>BW325</x:f>
        <x:v>2911.605096273983</x:v>
      </x:c>
      <x:c r="BZ325" s="141" t="n">
        <x:f>$C325+BY325-BX325</x:f>
        <x:v>9911.605096273983</x:v>
      </x:c>
      <x:c r="CA325" s="141" t="n">
        <x:f>CD324*(1+Premissas!$B$41)+BZ325</x:f>
        <x:v>14645393.765263539</x:v>
      </x:c>
      <x:c r="CB325" s="141" t="n">
        <x:f>MAX(0,-CA325)</x:f>
        <x:v>0</x:v>
      </x:c>
      <x:c r="CC325" s="141" t="n">
        <x:f>CC324*(1+Premissas!$B$41)+CB325</x:f>
        <x:v>0</x:v>
      </x:c>
      <x:c r="CD325" s="141" t="n">
        <x:f>MAX(0,CA325)</x:f>
        <x:v>14645393.765263539</x:v>
      </x:c>
      <x:c r="CE325" s="141" t="n">
        <x:f>IF(AND('Carta Contemplada'!$B$22="Sim",$A325&gt;='Carta Contemplada'!$B$23),INDEX('Carta Contemplada'!$I$55:$I$1013,$A325),0)</x:f>
        <x:v>0</x:v>
      </x:c>
      <x:c r="CF325" s="141" t="n">
        <x:f>IF(AND('Carta Contemplada'!$B$22="Sim",$A325&gt;='Carta Contemplada'!$B$44),$F325,0)</x:f>
        <x:v>945917.0843394663</x:v>
      </x:c>
      <x:c r="CG325" s="141" t="n">
        <x:f>CD325+CF325-CE325</x:f>
        <x:v>15591310.849603005</x:v>
      </x:c>
      <x:c r="CH325" s="141" t="n">
        <x:f>IF(CC325&gt;1,"Inviavel",CG325)</x:f>
        <x:v>15591310.849603005</x:v>
      </x:c>
      <x:c r="CI325" s="145" t="str">
        <x:f>IF(CC325&gt;1,"Inviavel","OK")</x:f>
        <x:v>OK</x:v>
      </x:c>
    </x:row>
    <x:row r="326">
      <x:c r="A326" s="142" t="n">
        <x:v>322</x:v>
      </x:c>
      <x:c r="B326" s="179" t="n">
        <x:f>EDATE(Premissas!$B$4,A326-1)</x:f>
        <x:v>56309</x:v>
      </x:c>
      <x:c r="C326" s="141" t="n">
        <x:f>IF(A326&lt;=Premissas!$B$39,Premissas!$B$42,0)</x:f>
        <x:v>7000</x:v>
      </x:c>
      <x:c r="D326" s="141" t="n">
        <x:f>Premissas!$B$54*(1+Premissas!$B$57)^INT((A326-1)/12)</x:f>
        <x:v>3184.568074049668</x:v>
      </x:c>
      <x:c r="E326" s="141" t="n">
        <x:f>Premissas!$B$64*(1+Premissas!$B$57)^INT((A326-1)/12)</x:f>
        <x:v>2911.605096273983</x:v>
      </x:c>
      <x:c r="F326" s="141" t="n">
        <x:f>MAX(0,Premissas!$B$6*(1+Premissas!$B$66)^((A326-1)/12))</x:f>
        <x:v>950521.3835781104</x:v>
      </x:c>
      <x:c r="G326" s="141" t="n">
        <x:f>G325*(1+Premissas!$B$41)+C326</x:f>
        <x:v>16565190.104606917</x:v>
      </x:c>
      <x:c r="H326" s="141" t="n">
        <x:f>IF($A326=Premissas!$B$48,Premissas!$B$8,0)</x:f>
        <x:v>0</x:v>
      </x:c>
      <x:c r="I326" s="141" t="n">
        <x:f>IF(AND($A326&gt;=Premissas!$B$48,$A326-Premissas!$B$48+1&lt;=Premissas!$B$13),INDEX(Financiamento!$J$6:$J$485,$A326-Premissas!$B$48+1),0)</x:f>
        <x:v>888.8154287709426</x:v>
      </x:c>
      <x:c r="J326" s="141" t="n">
        <x:f>IF(AND(TRUE,Premissas!$B$11="Imovel",Premissas!$B$47="Moradia",$A326&lt;MAX(Premissas!$B$48,Premissas!$B$49)),$D326,0)</x:f>
        <x:v>0</x:v>
      </x:c>
      <x:c r="K326" s="141" t="n">
        <x:f>IF(AND(TRUE,Premissas!$B$11="Imovel",Premissas!$B$47="Investimento",$A326&gt;=MAX(Premissas!$B$48,Premissas!$B$49)),$E326,0)</x:f>
        <x:v>2911.605096273983</x:v>
      </x:c>
      <x:c r="L326" s="141" t="n">
        <x:f>H326+I326+J326</x:f>
        <x:v>888.8154287709426</x:v>
      </x:c>
      <x:c r="M326" s="141" t="n">
        <x:f>K326</x:f>
        <x:v>2911.605096273983</x:v>
      </x:c>
      <x:c r="N326" s="141" t="n">
        <x:f>$C326+M326-L326</x:f>
        <x:v>9022.78966750304</x:v>
      </x:c>
      <x:c r="O326" s="141" t="n">
        <x:f>R325*(1+Premissas!$B$41)+N326</x:f>
        <x:v>14288957.25872326</x:v>
      </x:c>
      <x:c r="P326" s="141" t="n">
        <x:f>MAX(0,-O326)</x:f>
        <x:v>0</x:v>
      </x:c>
      <x:c r="Q326" s="141" t="n">
        <x:f>Q325*(1+Premissas!$B$41)+P326</x:f>
        <x:v>0</x:v>
      </x:c>
      <x:c r="R326" s="141" t="n">
        <x:f>MAX(0,O326)</x:f>
        <x:v>14288957.25872326</x:v>
      </x:c>
      <x:c r="S326" s="141" t="n">
        <x:f>IF(AND($A326&gt;=Premissas!$B$48,$A326-Premissas!$B$48+1&lt;=Premissas!$B$13),INDEX(Financiamento!$M$6:$M$485,$A326-Premissas!$B$48+1),0)</x:f>
        <x:v>37333.33333333339</x:v>
      </x:c>
      <x:c r="T326" s="141" t="n">
        <x:f>IF($A326&gt;=Premissas!$B$48,$F326,0)</x:f>
        <x:v>950521.3835781104</x:v>
      </x:c>
      <x:c r="U326" s="141" t="n">
        <x:f>R326+T326-S326</x:f>
        <x:v>15202145.308968037</x:v>
      </x:c>
      <x:c r="V326" s="141" t="n">
        <x:f>IF(Q326&gt;1,"Inviavel",U326)</x:f>
        <x:v>15202145.308968037</x:v>
      </x:c>
      <x:c r="W326" s="141" t="str">
        <x:f>IF(Q326&gt;1,"Inviavel","OK")</x:f>
        <x:v>OK</x:v>
      </x:c>
      <x:c r="X326" s="141" t="n">
        <x:f>IF($A326=Premissas!$B$48,Premissas!$B$8,0)</x:f>
        <x:v>0</x:v>
      </x:c>
      <x:c r="Y326" s="141" t="n">
        <x:f>IF(AND($A326&gt;=Premissas!$B$48,$A326-Premissas!$B$48+1&lt;=Premissas!$B$13),INDEX(Amortizacao!$K$6:$K$485,$A326-Premissas!$B$48+1),0)</x:f>
        <x:v>0</x:v>
      </x:c>
      <x:c r="Z326" s="141" t="n">
        <x:f>IF(AND(TRUE,Premissas!$B$11="Imovel",Premissas!$B$47="Moradia",$A326&lt;MAX(Premissas!$B$48,Premissas!$B$49)),$D326,0)</x:f>
        <x:v>0</x:v>
      </x:c>
      <x:c r="AA326" s="141" t="n">
        <x:f>IF(AND(TRUE,Premissas!$B$11="Imovel",Premissas!$B$47="Investimento",$A326&gt;=MAX(Premissas!$B$48,Premissas!$B$49)),$E326,0)</x:f>
        <x:v>2911.605096273983</x:v>
      </x:c>
      <x:c r="AB326" s="141" t="n">
        <x:f>X326+Y326+Z326</x:f>
        <x:v>0</x:v>
      </x:c>
      <x:c r="AC326" s="141" t="n">
        <x:f>AA326</x:f>
        <x:v>2911.605096273983</x:v>
      </x:c>
      <x:c r="AD326" s="141" t="n">
        <x:f>$C326+AC326-AB326</x:f>
        <x:v>9911.605096273983</x:v>
      </x:c>
      <x:c r="AE326" s="141" t="n">
        <x:f>AH325*(1+Premissas!$B$41)+AD326</x:f>
        <x:v>14492159.915192068</x:v>
      </x:c>
      <x:c r="AF326" s="141" t="n">
        <x:f>MAX(0,-AE326)</x:f>
        <x:v>0</x:v>
      </x:c>
      <x:c r="AG326" s="141" t="n">
        <x:f>AG325*(1+Premissas!$B$41)+AF326</x:f>
        <x:v>0</x:v>
      </x:c>
      <x:c r="AH326" s="141" t="n">
        <x:f>MAX(0,AE326)</x:f>
        <x:v>14492159.915192068</x:v>
      </x:c>
      <x:c r="AI326" s="141" t="n">
        <x:f>IF(AND($A326&gt;=Premissas!$B$48,$A326-Premissas!$B$48+1&lt;=Premissas!$B$13),INDEX(Amortizacao!$L$6:$L$485,$A326-Premissas!$B$48+1),0)</x:f>
        <x:v>0</x:v>
      </x:c>
      <x:c r="AJ326" s="141" t="n">
        <x:f>IF($A326&gt;=Premissas!$B$48,$F326,0)</x:f>
        <x:v>950521.3835781104</x:v>
      </x:c>
      <x:c r="AK326" s="141" t="n">
        <x:f>AH326+AJ326-AI326</x:f>
        <x:v>15442681.298770178</x:v>
      </x:c>
      <x:c r="AL326" s="141" t="n">
        <x:f>IF(AG326&gt;1,"Inviavel",AK326)</x:f>
        <x:v>15442681.298770178</x:v>
      </x:c>
      <x:c r="AM326" s="141" t="str">
        <x:f>IF(AG326&gt;1,"Inviavel","OK")</x:f>
        <x:v>OK</x:v>
      </x:c>
      <x:c r="AN326" s="141" t="n">
        <x:f>IF($A326=Premissas!$B$48,Premissas!$B$8,0)</x:f>
        <x:v>0</x:v>
      </x:c>
      <x:c r="AO326" s="141" t="n">
        <x:f>IF($A326&lt;=Premissas!$B$25,INDEX('Consorcio IQ'!$K$6:$K$485,$A326),0)</x:f>
        <x:v>0</x:v>
      </x:c>
      <x:c r="AP326" s="141" t="n">
        <x:f>IF(AND(TRUE,Premissas!$B$11="Imovel",Premissas!$B$47="Moradia",$A326&lt;MAX(Premissas!$B$48,Premissas!$B$49)),$D326,0)</x:f>
        <x:v>0</x:v>
      </x:c>
      <x:c r="AQ326" s="141" t="n">
        <x:f>IF(AND(TRUE,Premissas!$B$11="Imovel",Premissas!$B$47="Investimento",$A326&gt;=MAX(Premissas!$B$48,Premissas!$B$49)),$E326,0)</x:f>
        <x:v>2911.605096273983</x:v>
      </x:c>
      <x:c r="AR326" s="141" t="n">
        <x:f>AN326+AO326+AP326</x:f>
        <x:v>0</x:v>
      </x:c>
      <x:c r="AS326" s="141" t="n">
        <x:f>AQ326</x:f>
        <x:v>2911.605096273983</x:v>
      </x:c>
      <x:c r="AT326" s="141" t="n">
        <x:f>$C326+AS326-AR326</x:f>
        <x:v>9911.605096273983</x:v>
      </x:c>
      <x:c r="AU326" s="141" t="n">
        <x:f>AX325*(1+Premissas!$B$41)+AT326</x:f>
        <x:v>14372360.122001456</x:v>
      </x:c>
      <x:c r="AV326" s="141" t="n">
        <x:f>MAX(0,-AU326)</x:f>
        <x:v>0</x:v>
      </x:c>
      <x:c r="AW326" s="141" t="n">
        <x:f>AW325*(1+Premissas!$B$41)+AV326</x:f>
        <x:v>0</x:v>
      </x:c>
      <x:c r="AX326" s="141" t="n">
        <x:f>MAX(0,AU326)</x:f>
        <x:v>14372360.122001456</x:v>
      </x:c>
      <x:c r="AY326" s="141" t="n">
        <x:f>INDEX('Consorcio IQ'!$P$6:$P$485,$A326)</x:f>
        <x:v>0</x:v>
      </x:c>
      <x:c r="AZ326" s="141" t="n">
        <x:f>IF($A326&gt;=Premissas!$B$48,$F326,0)+IF($A326&lt;Premissas!$B$27,INDEX('Consorcio IQ'!$O$6:$O$485,$A326),0)</x:f>
        <x:v>950521.3835781104</x:v>
      </x:c>
      <x:c r="BA326" s="141" t="n">
        <x:f>AX326+AZ326-AY326</x:f>
        <x:v>15322881.505579567</x:v>
      </x:c>
      <x:c r="BB326" s="141" t="n">
        <x:f>IF(AW326&gt;1,"Inviavel",BA326)</x:f>
        <x:v>15322881.505579567</x:v>
      </x:c>
      <x:c r="BC326" s="141" t="str">
        <x:f>IF(AW326&gt;1,"Inviavel","OK")</x:f>
        <x:v>OK</x:v>
      </x:c>
      <x:c r="BD326" s="141" t="n">
        <x:f>IF($A326='Consorcio Direto'!$B$29,'Consorcio Direto'!$B$44,0)</x:f>
        <x:v>0</x:v>
      </x:c>
      <x:c r="BE326" s="141" t="n">
        <x:f>IF($A326&lt;='Consorcio Direto'!$B$27,INDEX('Consorcio Direto'!$E$55:$E$534,$A326),0)</x:f>
        <x:v>0</x:v>
      </x:c>
      <x:c r="BF326" s="141" t="n">
        <x:f>IF(AND(TRUE,Premissas!$B$11="Imovel",Premissas!$B$47="Moradia",$A326&lt;MAX('Consorcio Direto'!$B$29,Premissas!$B$49)),$D326,0)</x:f>
        <x:v>0</x:v>
      </x:c>
      <x:c r="BG326" s="141" t="n">
        <x:f>IF(AND(TRUE,Premissas!$B$11="Imovel",Premissas!$B$47="Investimento",$A326&gt;=MAX('Consorcio Direto'!$B$29,Premissas!$B$49)),$E326,0)</x:f>
        <x:v>2911.605096273983</x:v>
      </x:c>
      <x:c r="BH326" s="141" t="n">
        <x:f>BD326+BE326+BF326</x:f>
        <x:v>0</x:v>
      </x:c>
      <x:c r="BI326" s="141" t="n">
        <x:f>BG326</x:f>
        <x:v>2911.605096273983</x:v>
      </x:c>
      <x:c r="BJ326" s="141" t="n">
        <x:f>$C326+BI326-BH326</x:f>
        <x:v>9911.605096273983</x:v>
      </x:c>
      <x:c r="BK326" s="141" t="n">
        <x:f>BN325*(1+Premissas!$B$41)+BJ326</x:f>
        <x:v>13724915.393182598</x:v>
      </x:c>
      <x:c r="BL326" s="141" t="n">
        <x:f>MAX(0,-BK326)</x:f>
        <x:v>0</x:v>
      </x:c>
      <x:c r="BM326" s="141" t="n">
        <x:f>BM325*(1+Premissas!$B$41)+BL326</x:f>
        <x:v>0</x:v>
      </x:c>
      <x:c r="BN326" s="141" t="n">
        <x:f>MAX(0,BK326)</x:f>
        <x:v>13724915.393182598</x:v>
      </x:c>
      <x:c r="BO326" s="141" t="n">
        <x:f>INDEX('Consorcio Direto'!$K$55:$K$534,$A326)</x:f>
        <x:v>0</x:v>
      </x:c>
      <x:c r="BP326" s="141" t="n">
        <x:f>IF($A326&lt;'Consorcio Direto'!$B$29,INDEX('Consorcio Direto'!$L$55:$L$534,$A326),$F326)</x:f>
        <x:v>950521.3835781104</x:v>
      </x:c>
      <x:c r="BQ326" s="141" t="n">
        <x:f>BN326+BP326-BO326</x:f>
        <x:v>14675436.776760709</x:v>
      </x:c>
      <x:c r="BR326" s="141" t="n">
        <x:f>IF(BM326&gt;1,"Inviavel",BQ326)</x:f>
        <x:v>14675436.776760709</x:v>
      </x:c>
      <x:c r="BS326" s="141" t="str">
        <x:f>IF(BM326&gt;1,"Inviavel","OK")</x:f>
        <x:v>OK</x:v>
      </x:c>
      <x:c r="BT326" s="141" t="n">
        <x:f>IF(AND('Carta Contemplada'!$B$22="Sim",$A326='Carta Contemplada'!$B$23),'Carta Contemplada'!$B$37,0)</x:f>
        <x:v>0</x:v>
      </x:c>
      <x:c r="BU326" s="141" t="n">
        <x:f>IF('Carta Contemplada'!$B$22="Sim",INDEX('Carta Contemplada'!$C$55:$C$1013,$A326),0)</x:f>
        <x:v>0</x:v>
      </x:c>
      <x:c r="BV326" s="141" t="n">
        <x:f>IF(AND('Carta Contemplada'!$B$22="Sim",Premissas!$B$11="Imovel",Premissas!$B$47="Moradia",$A326&lt;MAX('Carta Contemplada'!$B$44,Premissas!$B$49)),$D326,0)</x:f>
        <x:v>0</x:v>
      </x:c>
      <x:c r="BW326" s="141" t="n">
        <x:f>IF(AND('Carta Contemplada'!$B$22="Sim",Premissas!$B$11="Imovel",Premissas!$B$47="Investimento",$A326&gt;=MAX('Carta Contemplada'!$B$44,Premissas!$B$49)),$E326,0)</x:f>
        <x:v>2911.605096273983</x:v>
      </x:c>
      <x:c r="BX326" s="141" t="n">
        <x:f>BT326+BU326+BV326</x:f>
        <x:v>0</x:v>
      </x:c>
      <x:c r="BY326" s="141" t="n">
        <x:f>BW326</x:f>
        <x:v>2911.605096273983</x:v>
      </x:c>
      <x:c r="BZ326" s="141" t="n">
        <x:f>$C326+BY326-BX326</x:f>
        <x:v>9911.605096273983</x:v>
      </x:c>
      <x:c r="CA326" s="141" t="n">
        <x:f>CD325*(1+Premissas!$B$41)+BZ326</x:f>
        <x:v>14794272.479243832</x:v>
      </x:c>
      <x:c r="CB326" s="141" t="n">
        <x:f>MAX(0,-CA326)</x:f>
        <x:v>0</x:v>
      </x:c>
      <x:c r="CC326" s="141" t="n">
        <x:f>CC325*(1+Premissas!$B$41)+CB326</x:f>
        <x:v>0</x:v>
      </x:c>
      <x:c r="CD326" s="141" t="n">
        <x:f>MAX(0,CA326)</x:f>
        <x:v>14794272.479243832</x:v>
      </x:c>
      <x:c r="CE326" s="141" t="n">
        <x:f>IF(AND('Carta Contemplada'!$B$22="Sim",$A326&gt;='Carta Contemplada'!$B$23),INDEX('Carta Contemplada'!$I$55:$I$1013,$A326),0)</x:f>
        <x:v>0</x:v>
      </x:c>
      <x:c r="CF326" s="141" t="n">
        <x:f>IF(AND('Carta Contemplada'!$B$22="Sim",$A326&gt;='Carta Contemplada'!$B$44),$F326,0)</x:f>
        <x:v>950521.3835781104</x:v>
      </x:c>
      <x:c r="CG326" s="141" t="n">
        <x:f>CD326+CF326-CE326</x:f>
        <x:v>15744793.862821942</x:v>
      </x:c>
      <x:c r="CH326" s="141" t="n">
        <x:f>IF(CC326&gt;1,"Inviavel",CG326)</x:f>
        <x:v>15744793.862821942</x:v>
      </x:c>
      <x:c r="CI326" s="145" t="str">
        <x:f>IF(CC326&gt;1,"Inviavel","OK")</x:f>
        <x:v>OK</x:v>
      </x:c>
    </x:row>
    <x:row r="327">
      <x:c r="A327" s="142" t="n">
        <x:v>323</x:v>
      </x:c>
      <x:c r="B327" s="179" t="n">
        <x:f>EDATE(Premissas!$B$4,A327-1)</x:f>
        <x:v>56340</x:v>
      </x:c>
      <x:c r="C327" s="141" t="n">
        <x:f>IF(A327&lt;=Premissas!$B$39,Premissas!$B$42,0)</x:f>
        <x:v>7000</x:v>
      </x:c>
      <x:c r="D327" s="141" t="n">
        <x:f>Premissas!$B$54*(1+Premissas!$B$57)^INT((A327-1)/12)</x:f>
        <x:v>3184.568074049668</x:v>
      </x:c>
      <x:c r="E327" s="141" t="n">
        <x:f>Premissas!$B$64*(1+Premissas!$B$57)^INT((A327-1)/12)</x:f>
        <x:v>2911.605096273983</x:v>
      </x:c>
      <x:c r="F327" s="141" t="n">
        <x:f>MAX(0,Premissas!$B$6*(1+Premissas!$B$66)^((A327-1)/12))</x:f>
        <x:v>955148.0944761167</x:v>
      </x:c>
      <x:c r="G327" s="141" t="n">
        <x:f>G326*(1+Premissas!$B$41)+C327</x:f>
        <x:v>16729373.763431536</x:v>
      </x:c>
      <x:c r="H327" s="141" t="n">
        <x:f>IF($A327=Premissas!$B$48,Premissas!$B$8,0)</x:f>
        <x:v>0</x:v>
      </x:c>
      <x:c r="I327" s="141" t="n">
        <x:f>IF(AND($A327&gt;=Premissas!$B$48,$A327-Premissas!$B$48+1&lt;=Premissas!$B$13),INDEX(Financiamento!$J$6:$J$485,$A327-Premissas!$B$48+1),0)</x:f>
        <x:v>885.200650510149</x:v>
      </x:c>
      <x:c r="J327" s="141" t="n">
        <x:f>IF(AND(TRUE,Premissas!$B$11="Imovel",Premissas!$B$47="Moradia",$A327&lt;MAX(Premissas!$B$48,Premissas!$B$49)),$D327,0)</x:f>
        <x:v>0</x:v>
      </x:c>
      <x:c r="K327" s="141" t="n">
        <x:f>IF(AND(TRUE,Premissas!$B$11="Imovel",Premissas!$B$47="Investimento",$A327&gt;=MAX(Premissas!$B$48,Premissas!$B$49)),$E327,0)</x:f>
        <x:v>2911.605096273983</x:v>
      </x:c>
      <x:c r="L327" s="141" t="n">
        <x:f>H327+I327+J327</x:f>
        <x:v>885.200650510149</x:v>
      </x:c>
      <x:c r="M327" s="141" t="n">
        <x:f>K327</x:f>
        <x:v>2911.605096273983</x:v>
      </x:c>
      <x:c r="N327" s="141" t="n">
        <x:f>$C327+M327-L327</x:f>
        <x:v>9026.404445763834</x:v>
      </x:c>
      <x:c r="O327" s="141" t="n">
        <x:f>R326*(1+Premissas!$B$41)+N327</x:f>
        <x:v>14433568.619848156</x:v>
      </x:c>
      <x:c r="P327" s="141" t="n">
        <x:f>MAX(0,-O327)</x:f>
        <x:v>0</x:v>
      </x:c>
      <x:c r="Q327" s="141" t="n">
        <x:f>Q326*(1+Premissas!$B$41)+P327</x:f>
        <x:v>0</x:v>
      </x:c>
      <x:c r="R327" s="141" t="n">
        <x:f>MAX(0,O327)</x:f>
        <x:v>14433568.619848156</x:v>
      </x:c>
      <x:c r="S327" s="141" t="n">
        <x:f>IF(AND($A327&gt;=Premissas!$B$48,$A327-Premissas!$B$48+1&lt;=Premissas!$B$13),INDEX(Financiamento!$M$6:$M$485,$A327-Premissas!$B$48+1),0)</x:f>
        <x:v>36952.380952381005</x:v>
      </x:c>
      <x:c r="T327" s="141" t="n">
        <x:f>IF($A327&gt;=Premissas!$B$48,$F327,0)</x:f>
        <x:v>955148.0944761167</x:v>
      </x:c>
      <x:c r="U327" s="141" t="n">
        <x:f>R327+T327-S327</x:f>
        <x:v>15351764.333371893</x:v>
      </x:c>
      <x:c r="V327" s="141" t="n">
        <x:f>IF(Q327&gt;1,"Inviavel",U327)</x:f>
        <x:v>15351764.333371893</x:v>
      </x:c>
      <x:c r="W327" s="141" t="str">
        <x:f>IF(Q327&gt;1,"Inviavel","OK")</x:f>
        <x:v>OK</x:v>
      </x:c>
      <x:c r="X327" s="141" t="n">
        <x:f>IF($A327=Premissas!$B$48,Premissas!$B$8,0)</x:f>
        <x:v>0</x:v>
      </x:c>
      <x:c r="Y327" s="141" t="n">
        <x:f>IF(AND($A327&gt;=Premissas!$B$48,$A327-Premissas!$B$48+1&lt;=Premissas!$B$13),INDEX(Amortizacao!$K$6:$K$485,$A327-Premissas!$B$48+1),0)</x:f>
        <x:v>0</x:v>
      </x:c>
      <x:c r="Z327" s="141" t="n">
        <x:f>IF(AND(TRUE,Premissas!$B$11="Imovel",Premissas!$B$47="Moradia",$A327&lt;MAX(Premissas!$B$48,Premissas!$B$49)),$D327,0)</x:f>
        <x:v>0</x:v>
      </x:c>
      <x:c r="AA327" s="141" t="n">
        <x:f>IF(AND(TRUE,Premissas!$B$11="Imovel",Premissas!$B$47="Investimento",$A327&gt;=MAX(Premissas!$B$48,Premissas!$B$49)),$E327,0)</x:f>
        <x:v>2911.605096273983</x:v>
      </x:c>
      <x:c r="AB327" s="141" t="n">
        <x:f>X327+Y327+Z327</x:f>
        <x:v>0</x:v>
      </x:c>
      <x:c r="AC327" s="141" t="n">
        <x:f>AA327</x:f>
        <x:v>2911.605096273983</x:v>
      </x:c>
      <x:c r="AD327" s="141" t="n">
        <x:f>$C327+AC327-AB327</x:f>
        <x:v>9911.605096273983</x:v>
      </x:c>
      <x:c r="AE327" s="141" t="n">
        <x:f>AH326*(1+Premissas!$B$41)+AD327</x:f>
        <x:v>14639584.624898463</x:v>
      </x:c>
      <x:c r="AF327" s="141" t="n">
        <x:f>MAX(0,-AE327)</x:f>
        <x:v>0</x:v>
      </x:c>
      <x:c r="AG327" s="141" t="n">
        <x:f>AG326*(1+Premissas!$B$41)+AF327</x:f>
        <x:v>0</x:v>
      </x:c>
      <x:c r="AH327" s="141" t="n">
        <x:f>MAX(0,AE327)</x:f>
        <x:v>14639584.624898463</x:v>
      </x:c>
      <x:c r="AI327" s="141" t="n">
        <x:f>IF(AND($A327&gt;=Premissas!$B$48,$A327-Premissas!$B$48+1&lt;=Premissas!$B$13),INDEX(Amortizacao!$L$6:$L$485,$A327-Premissas!$B$48+1),0)</x:f>
        <x:v>0</x:v>
      </x:c>
      <x:c r="AJ327" s="141" t="n">
        <x:f>IF($A327&gt;=Premissas!$B$48,$F327,0)</x:f>
        <x:v>955148.0944761167</x:v>
      </x:c>
      <x:c r="AK327" s="141" t="n">
        <x:f>AH327+AJ327-AI327</x:f>
        <x:v>15594732.71937458</x:v>
      </x:c>
      <x:c r="AL327" s="141" t="n">
        <x:f>IF(AG327&gt;1,"Inviavel",AK327)</x:f>
        <x:v>15594732.71937458</x:v>
      </x:c>
      <x:c r="AM327" s="141" t="str">
        <x:f>IF(AG327&gt;1,"Inviavel","OK")</x:f>
        <x:v>OK</x:v>
      </x:c>
      <x:c r="AN327" s="141" t="n">
        <x:f>IF($A327=Premissas!$B$48,Premissas!$B$8,0)</x:f>
        <x:v>0</x:v>
      </x:c>
      <x:c r="AO327" s="141" t="n">
        <x:f>IF($A327&lt;=Premissas!$B$25,INDEX('Consorcio IQ'!$K$6:$K$485,$A327),0)</x:f>
        <x:v>0</x:v>
      </x:c>
      <x:c r="AP327" s="141" t="n">
        <x:f>IF(AND(TRUE,Premissas!$B$11="Imovel",Premissas!$B$47="Moradia",$A327&lt;MAX(Premissas!$B$48,Premissas!$B$49)),$D327,0)</x:f>
        <x:v>0</x:v>
      </x:c>
      <x:c r="AQ327" s="141" t="n">
        <x:f>IF(AND(TRUE,Premissas!$B$11="Imovel",Premissas!$B$47="Investimento",$A327&gt;=MAX(Premissas!$B$48,Premissas!$B$49)),$E327,0)</x:f>
        <x:v>2911.605096273983</x:v>
      </x:c>
      <x:c r="AR327" s="141" t="n">
        <x:f>AN327+AO327+AP327</x:f>
        <x:v>0</x:v>
      </x:c>
      <x:c r="AS327" s="141" t="n">
        <x:f>AQ327</x:f>
        <x:v>2911.605096273983</x:v>
      </x:c>
      <x:c r="AT327" s="141" t="n">
        <x:f>$C327+AS327-AR327</x:f>
        <x:v>9911.605096273983</x:v>
      </x:c>
      <x:c r="AU327" s="141" t="n">
        <x:f>AX326*(1+Premissas!$B$41)+AT327</x:f>
        <x:v>14518648.07627666</x:v>
      </x:c>
      <x:c r="AV327" s="141" t="n">
        <x:f>MAX(0,-AU327)</x:f>
        <x:v>0</x:v>
      </x:c>
      <x:c r="AW327" s="141" t="n">
        <x:f>AW326*(1+Premissas!$B$41)+AV327</x:f>
        <x:v>0</x:v>
      </x:c>
      <x:c r="AX327" s="141" t="n">
        <x:f>MAX(0,AU327)</x:f>
        <x:v>14518648.07627666</x:v>
      </x:c>
      <x:c r="AY327" s="141" t="n">
        <x:f>INDEX('Consorcio IQ'!$P$6:$P$485,$A327)</x:f>
        <x:v>0</x:v>
      </x:c>
      <x:c r="AZ327" s="141" t="n">
        <x:f>IF($A327&gt;=Premissas!$B$48,$F327,0)+IF($A327&lt;Premissas!$B$27,INDEX('Consorcio IQ'!$O$6:$O$485,$A327),0)</x:f>
        <x:v>955148.0944761167</x:v>
      </x:c>
      <x:c r="BA327" s="141" t="n">
        <x:f>AX327+AZ327-AY327</x:f>
        <x:v>15473796.170752777</x:v>
      </x:c>
      <x:c r="BB327" s="141" t="n">
        <x:f>IF(AW327&gt;1,"Inviavel",BA327)</x:f>
        <x:v>15473796.170752777</x:v>
      </x:c>
      <x:c r="BC327" s="141" t="str">
        <x:f>IF(AW327&gt;1,"Inviavel","OK")</x:f>
        <x:v>OK</x:v>
      </x:c>
      <x:c r="BD327" s="141" t="n">
        <x:f>IF($A327='Consorcio Direto'!$B$29,'Consorcio Direto'!$B$44,0)</x:f>
        <x:v>0</x:v>
      </x:c>
      <x:c r="BE327" s="141" t="n">
        <x:f>IF($A327&lt;='Consorcio Direto'!$B$27,INDEX('Consorcio Direto'!$E$55:$E$534,$A327),0)</x:f>
        <x:v>0</x:v>
      </x:c>
      <x:c r="BF327" s="141" t="n">
        <x:f>IF(AND(TRUE,Premissas!$B$11="Imovel",Premissas!$B$47="Moradia",$A327&lt;MAX('Consorcio Direto'!$B$29,Premissas!$B$49)),$D327,0)</x:f>
        <x:v>0</x:v>
      </x:c>
      <x:c r="BG327" s="141" t="n">
        <x:f>IF(AND(TRUE,Premissas!$B$11="Imovel",Premissas!$B$47="Investimento",$A327&gt;=MAX('Consorcio Direto'!$B$29,Premissas!$B$49)),$E327,0)</x:f>
        <x:v>2911.605096273983</x:v>
      </x:c>
      <x:c r="BH327" s="141" t="n">
        <x:f>BD327+BE327+BF327</x:f>
        <x:v>0</x:v>
      </x:c>
      <x:c r="BI327" s="141" t="n">
        <x:f>BG327</x:f>
        <x:v>2911.605096273983</x:v>
      </x:c>
      <x:c r="BJ327" s="141" t="n">
        <x:f>$C327+BI327-BH327</x:f>
        <x:v>9911.605096273983</x:v>
      </x:c>
      <x:c r="BK327" s="141" t="n">
        <x:f>BN326*(1+Premissas!$B$41)+BJ327</x:f>
        <x:v>13865059.878489451</x:v>
      </x:c>
      <x:c r="BL327" s="141" t="n">
        <x:f>MAX(0,-BK327)</x:f>
        <x:v>0</x:v>
      </x:c>
      <x:c r="BM327" s="141" t="n">
        <x:f>BM326*(1+Premissas!$B$41)+BL327</x:f>
        <x:v>0</x:v>
      </x:c>
      <x:c r="BN327" s="141" t="n">
        <x:f>MAX(0,BK327)</x:f>
        <x:v>13865059.878489451</x:v>
      </x:c>
      <x:c r="BO327" s="141" t="n">
        <x:f>INDEX('Consorcio Direto'!$K$55:$K$534,$A327)</x:f>
        <x:v>0</x:v>
      </x:c>
      <x:c r="BP327" s="141" t="n">
        <x:f>IF($A327&lt;'Consorcio Direto'!$B$29,INDEX('Consorcio Direto'!$L$55:$L$534,$A327),$F327)</x:f>
        <x:v>955148.0944761167</x:v>
      </x:c>
      <x:c r="BQ327" s="141" t="n">
        <x:f>BN327+BP327-BO327</x:f>
        <x:v>14820207.972965568</x:v>
      </x:c>
      <x:c r="BR327" s="141" t="n">
        <x:f>IF(BM327&gt;1,"Inviavel",BQ327)</x:f>
        <x:v>14820207.972965568</x:v>
      </x:c>
      <x:c r="BS327" s="141" t="str">
        <x:f>IF(BM327&gt;1,"Inviavel","OK")</x:f>
        <x:v>OK</x:v>
      </x:c>
      <x:c r="BT327" s="141" t="n">
        <x:f>IF(AND('Carta Contemplada'!$B$22="Sim",$A327='Carta Contemplada'!$B$23),'Carta Contemplada'!$B$37,0)</x:f>
        <x:v>0</x:v>
      </x:c>
      <x:c r="BU327" s="141" t="n">
        <x:f>IF('Carta Contemplada'!$B$22="Sim",INDEX('Carta Contemplada'!$C$55:$C$1013,$A327),0)</x:f>
        <x:v>0</x:v>
      </x:c>
      <x:c r="BV327" s="141" t="n">
        <x:f>IF(AND('Carta Contemplada'!$B$22="Sim",Premissas!$B$11="Imovel",Premissas!$B$47="Moradia",$A327&lt;MAX('Carta Contemplada'!$B$44,Premissas!$B$49)),$D327,0)</x:f>
        <x:v>0</x:v>
      </x:c>
      <x:c r="BW327" s="141" t="n">
        <x:f>IF(AND('Carta Contemplada'!$B$22="Sim",Premissas!$B$11="Imovel",Premissas!$B$47="Investimento",$A327&gt;=MAX('Carta Contemplada'!$B$44,Premissas!$B$49)),$E327,0)</x:f>
        <x:v>2911.605096273983</x:v>
      </x:c>
      <x:c r="BX327" s="141" t="n">
        <x:f>BT327+BU327+BV327</x:f>
        <x:v>0</x:v>
      </x:c>
      <x:c r="BY327" s="141" t="n">
        <x:f>BW327</x:f>
        <x:v>2911.605096273983</x:v>
      </x:c>
      <x:c r="BZ327" s="141" t="n">
        <x:f>$C327+BY327-BX327</x:f>
        <x:v>9911.605096273983</x:v>
      </x:c>
      <x:c r="CA327" s="141" t="n">
        <x:f>CD326*(1+Premissas!$B$41)+BZ327</x:f>
        <x:v>14944563.87251345</x:v>
      </x:c>
      <x:c r="CB327" s="141" t="n">
        <x:f>MAX(0,-CA327)</x:f>
        <x:v>0</x:v>
      </x:c>
      <x:c r="CC327" s="141" t="n">
        <x:f>CC326*(1+Premissas!$B$41)+CB327</x:f>
        <x:v>0</x:v>
      </x:c>
      <x:c r="CD327" s="141" t="n">
        <x:f>MAX(0,CA327)</x:f>
        <x:v>14944563.87251345</x:v>
      </x:c>
      <x:c r="CE327" s="141" t="n">
        <x:f>IF(AND('Carta Contemplada'!$B$22="Sim",$A327&gt;='Carta Contemplada'!$B$23),INDEX('Carta Contemplada'!$I$55:$I$1013,$A327),0)</x:f>
        <x:v>0</x:v>
      </x:c>
      <x:c r="CF327" s="141" t="n">
        <x:f>IF(AND('Carta Contemplada'!$B$22="Sim",$A327&gt;='Carta Contemplada'!$B$44),$F327,0)</x:f>
        <x:v>955148.0944761167</x:v>
      </x:c>
      <x:c r="CG327" s="141" t="n">
        <x:f>CD327+CF327-CE327</x:f>
        <x:v>15899711.966989568</x:v>
      </x:c>
      <x:c r="CH327" s="141" t="n">
        <x:f>IF(CC327&gt;1,"Inviavel",CG327)</x:f>
        <x:v>15899711.966989568</x:v>
      </x:c>
      <x:c r="CI327" s="145" t="str">
        <x:f>IF(CC327&gt;1,"Inviavel","OK")</x:f>
        <x:v>OK</x:v>
      </x:c>
    </x:row>
    <x:row r="328">
      <x:c r="A328" s="142" t="n">
        <x:v>324</x:v>
      </x:c>
      <x:c r="B328" s="179" t="n">
        <x:f>EDATE(Premissas!$B$4,A328-1)</x:f>
        <x:v>56370</x:v>
      </x:c>
      <x:c r="C328" s="141" t="n">
        <x:f>IF(A328&lt;=Premissas!$B$39,Premissas!$B$42,0)</x:f>
        <x:v>7000</x:v>
      </x:c>
      <x:c r="D328" s="141" t="n">
        <x:f>Premissas!$B$54*(1+Premissas!$B$57)^INT((A328-1)/12)</x:f>
        <x:v>3184.568074049668</x:v>
      </x:c>
      <x:c r="E328" s="141" t="n">
        <x:f>Premissas!$B$64*(1+Premissas!$B$57)^INT((A328-1)/12)</x:f>
        <x:v>2911.605096273983</x:v>
      </x:c>
      <x:c r="F328" s="141" t="n">
        <x:f>MAX(0,Premissas!$B$6*(1+Premissas!$B$66)^((A328-1)/12))</x:f>
        <x:v>959797.3261233703</x:v>
      </x:c>
      <x:c r="G328" s="141" t="n">
        <x:f>G327*(1+Premissas!$B$41)+C328</x:f>
        <x:v>16895115.326997984</x:v>
      </x:c>
      <x:c r="H328" s="141" t="n">
        <x:f>IF($A328=Premissas!$B$48,Premissas!$B$8,0)</x:f>
        <x:v>0</x:v>
      </x:c>
      <x:c r="I328" s="141" t="n">
        <x:f>IF(AND($A328&gt;=Premissas!$B$48,$A328-Premissas!$B$48+1&lt;=Premissas!$B$13),INDEX(Financiamento!$J$6:$J$485,$A328-Premissas!$B$48+1),0)</x:f>
        <x:v>881.5858722493555</x:v>
      </x:c>
      <x:c r="J328" s="141" t="n">
        <x:f>IF(AND(TRUE,Premissas!$B$11="Imovel",Premissas!$B$47="Moradia",$A328&lt;MAX(Premissas!$B$48,Premissas!$B$49)),$D328,0)</x:f>
        <x:v>0</x:v>
      </x:c>
      <x:c r="K328" s="141" t="n">
        <x:f>IF(AND(TRUE,Premissas!$B$11="Imovel",Premissas!$B$47="Investimento",$A328&gt;=MAX(Premissas!$B$48,Premissas!$B$49)),$E328,0)</x:f>
        <x:v>2911.605096273983</x:v>
      </x:c>
      <x:c r="L328" s="141" t="n">
        <x:f>H328+I328+J328</x:f>
        <x:v>881.5858722493555</x:v>
      </x:c>
      <x:c r="M328" s="141" t="n">
        <x:f>K328</x:f>
        <x:v>2911.605096273983</x:v>
      </x:c>
      <x:c r="N328" s="141" t="n">
        <x:f>$C328+M328-L328</x:f>
        <x:v>9030.019224024627</x:v>
      </x:c>
      <x:c r="O328" s="141" t="n">
        <x:f>R327*(1+Premissas!$B$41)+N328</x:f>
        <x:v>14579555.783013016</x:v>
      </x:c>
      <x:c r="P328" s="141" t="n">
        <x:f>MAX(0,-O328)</x:f>
        <x:v>0</x:v>
      </x:c>
      <x:c r="Q328" s="141" t="n">
        <x:f>Q327*(1+Premissas!$B$41)+P328</x:f>
        <x:v>0</x:v>
      </x:c>
      <x:c r="R328" s="141" t="n">
        <x:f>MAX(0,O328)</x:f>
        <x:v>14579555.783013016</x:v>
      </x:c>
      <x:c r="S328" s="141" t="n">
        <x:f>IF(AND($A328&gt;=Premissas!$B$48,$A328-Premissas!$B$48+1&lt;=Premissas!$B$13),INDEX(Financiamento!$M$6:$M$485,$A328-Premissas!$B$48+1),0)</x:f>
        <x:v>36571.42857142862</x:v>
      </x:c>
      <x:c r="T328" s="141" t="n">
        <x:f>IF($A328&gt;=Premissas!$B$48,$F328,0)</x:f>
        <x:v>959797.3261233703</x:v>
      </x:c>
      <x:c r="U328" s="141" t="n">
        <x:f>R328+T328-S328</x:f>
        <x:v>15502781.680564957</x:v>
      </x:c>
      <x:c r="V328" s="141" t="n">
        <x:f>IF(Q328&gt;1,"Inviavel",U328)</x:f>
        <x:v>15502781.680564957</x:v>
      </x:c>
      <x:c r="W328" s="141" t="str">
        <x:f>IF(Q328&gt;1,"Inviavel","OK")</x:f>
        <x:v>OK</x:v>
      </x:c>
      <x:c r="X328" s="141" t="n">
        <x:f>IF($A328=Premissas!$B$48,Premissas!$B$8,0)</x:f>
        <x:v>0</x:v>
      </x:c>
      <x:c r="Y328" s="141" t="n">
        <x:f>IF(AND($A328&gt;=Premissas!$B$48,$A328-Premissas!$B$48+1&lt;=Premissas!$B$13),INDEX(Amortizacao!$K$6:$K$485,$A328-Premissas!$B$48+1),0)</x:f>
        <x:v>0</x:v>
      </x:c>
      <x:c r="Z328" s="141" t="n">
        <x:f>IF(AND(TRUE,Premissas!$B$11="Imovel",Premissas!$B$47="Moradia",$A328&lt;MAX(Premissas!$B$48,Premissas!$B$49)),$D328,0)</x:f>
        <x:v>0</x:v>
      </x:c>
      <x:c r="AA328" s="141" t="n">
        <x:f>IF(AND(TRUE,Premissas!$B$11="Imovel",Premissas!$B$47="Investimento",$A328&gt;=MAX(Premissas!$B$48,Premissas!$B$49)),$E328,0)</x:f>
        <x:v>2911.605096273983</x:v>
      </x:c>
      <x:c r="AB328" s="141" t="n">
        <x:f>X328+Y328+Z328</x:f>
        <x:v>0</x:v>
      </x:c>
      <x:c r="AC328" s="141" t="n">
        <x:f>AA328</x:f>
        <x:v>2911.605096273983</x:v>
      </x:c>
      <x:c r="AD328" s="141" t="n">
        <x:f>$C328+AC328-AB328</x:f>
        <x:v>9911.605096273983</x:v>
      </x:c>
      <x:c r="AE328" s="141" t="n">
        <x:f>AH327*(1+Premissas!$B$41)+AD328</x:f>
        <x:v>14788408.217148704</x:v>
      </x:c>
      <x:c r="AF328" s="141" t="n">
        <x:f>MAX(0,-AE328)</x:f>
        <x:v>0</x:v>
      </x:c>
      <x:c r="AG328" s="141" t="n">
        <x:f>AG327*(1+Premissas!$B$41)+AF328</x:f>
        <x:v>0</x:v>
      </x:c>
      <x:c r="AH328" s="141" t="n">
        <x:f>MAX(0,AE328)</x:f>
        <x:v>14788408.217148704</x:v>
      </x:c>
      <x:c r="AI328" s="141" t="n">
        <x:f>IF(AND($A328&gt;=Premissas!$B$48,$A328-Premissas!$B$48+1&lt;=Premissas!$B$13),INDEX(Amortizacao!$L$6:$L$485,$A328-Premissas!$B$48+1),0)</x:f>
        <x:v>0</x:v>
      </x:c>
      <x:c r="AJ328" s="141" t="n">
        <x:f>IF($A328&gt;=Premissas!$B$48,$F328,0)</x:f>
        <x:v>959797.3261233703</x:v>
      </x:c>
      <x:c r="AK328" s="141" t="n">
        <x:f>AH328+AJ328-AI328</x:f>
        <x:v>15748205.543272074</x:v>
      </x:c>
      <x:c r="AL328" s="141" t="n">
        <x:f>IF(AG328&gt;1,"Inviavel",AK328)</x:f>
        <x:v>15748205.543272074</x:v>
      </x:c>
      <x:c r="AM328" s="141" t="str">
        <x:f>IF(AG328&gt;1,"Inviavel","OK")</x:f>
        <x:v>OK</x:v>
      </x:c>
      <x:c r="AN328" s="141" t="n">
        <x:f>IF($A328=Premissas!$B$48,Premissas!$B$8,0)</x:f>
        <x:v>0</x:v>
      </x:c>
      <x:c r="AO328" s="141" t="n">
        <x:f>IF($A328&lt;=Premissas!$B$25,INDEX('Consorcio IQ'!$K$6:$K$485,$A328),0)</x:f>
        <x:v>0</x:v>
      </x:c>
      <x:c r="AP328" s="141" t="n">
        <x:f>IF(AND(TRUE,Premissas!$B$11="Imovel",Premissas!$B$47="Moradia",$A328&lt;MAX(Premissas!$B$48,Premissas!$B$49)),$D328,0)</x:f>
        <x:v>0</x:v>
      </x:c>
      <x:c r="AQ328" s="141" t="n">
        <x:f>IF(AND(TRUE,Premissas!$B$11="Imovel",Premissas!$B$47="Investimento",$A328&gt;=MAX(Premissas!$B$48,Premissas!$B$49)),$E328,0)</x:f>
        <x:v>2911.605096273983</x:v>
      </x:c>
      <x:c r="AR328" s="141" t="n">
        <x:f>AN328+AO328+AP328</x:f>
        <x:v>0</x:v>
      </x:c>
      <x:c r="AS328" s="141" t="n">
        <x:f>AQ328</x:f>
        <x:v>2911.605096273983</x:v>
      </x:c>
      <x:c r="AT328" s="141" t="n">
        <x:f>$C328+AS328-AR328</x:f>
        <x:v>9911.605096273983</x:v>
      </x:c>
      <x:c r="AU328" s="141" t="n">
        <x:f>AX327*(1+Premissas!$B$41)+AT328</x:f>
        <x:v>14666324.126658805</x:v>
      </x:c>
      <x:c r="AV328" s="141" t="n">
        <x:f>MAX(0,-AU328)</x:f>
        <x:v>0</x:v>
      </x:c>
      <x:c r="AW328" s="141" t="n">
        <x:f>AW327*(1+Premissas!$B$41)+AV328</x:f>
        <x:v>0</x:v>
      </x:c>
      <x:c r="AX328" s="141" t="n">
        <x:f>MAX(0,AU328)</x:f>
        <x:v>14666324.126658805</x:v>
      </x:c>
      <x:c r="AY328" s="141" t="n">
        <x:f>INDEX('Consorcio IQ'!$P$6:$P$485,$A328)</x:f>
        <x:v>0</x:v>
      </x:c>
      <x:c r="AZ328" s="141" t="n">
        <x:f>IF($A328&gt;=Premissas!$B$48,$F328,0)+IF($A328&lt;Premissas!$B$27,INDEX('Consorcio IQ'!$O$6:$O$485,$A328),0)</x:f>
        <x:v>959797.3261233703</x:v>
      </x:c>
      <x:c r="BA328" s="141" t="n">
        <x:f>AX328+AZ328-AY328</x:f>
        <x:v>15626121.452782175</x:v>
      </x:c>
      <x:c r="BB328" s="141" t="n">
        <x:f>IF(AW328&gt;1,"Inviavel",BA328)</x:f>
        <x:v>15626121.452782175</x:v>
      </x:c>
      <x:c r="BC328" s="141" t="str">
        <x:f>IF(AW328&gt;1,"Inviavel","OK")</x:f>
        <x:v>OK</x:v>
      </x:c>
      <x:c r="BD328" s="141" t="n">
        <x:f>IF($A328='Consorcio Direto'!$B$29,'Consorcio Direto'!$B$44,0)</x:f>
        <x:v>0</x:v>
      </x:c>
      <x:c r="BE328" s="141" t="n">
        <x:f>IF($A328&lt;='Consorcio Direto'!$B$27,INDEX('Consorcio Direto'!$E$55:$E$534,$A328),0)</x:f>
        <x:v>0</x:v>
      </x:c>
      <x:c r="BF328" s="141" t="n">
        <x:f>IF(AND(TRUE,Premissas!$B$11="Imovel",Premissas!$B$47="Moradia",$A328&lt;MAX('Consorcio Direto'!$B$29,Premissas!$B$49)),$D328,0)</x:f>
        <x:v>0</x:v>
      </x:c>
      <x:c r="BG328" s="141" t="n">
        <x:f>IF(AND(TRUE,Premissas!$B$11="Imovel",Premissas!$B$47="Investimento",$A328&gt;=MAX('Consorcio Direto'!$B$29,Premissas!$B$49)),$E328,0)</x:f>
        <x:v>2911.605096273983</x:v>
      </x:c>
      <x:c r="BH328" s="141" t="n">
        <x:f>BD328+BE328+BF328</x:f>
        <x:v>0</x:v>
      </x:c>
      <x:c r="BI328" s="141" t="n">
        <x:f>BG328</x:f>
        <x:v>2911.605096273983</x:v>
      </x:c>
      <x:c r="BJ328" s="141" t="n">
        <x:f>$C328+BI328-BH328</x:f>
        <x:v>9911.605096273983</x:v>
      </x:c>
      <x:c r="BK328" s="141" t="n">
        <x:f>BN327*(1+Premissas!$B$41)+BJ328</x:f>
        <x:v>14006534.165798306</x:v>
      </x:c>
      <x:c r="BL328" s="141" t="n">
        <x:f>MAX(0,-BK328)</x:f>
        <x:v>0</x:v>
      </x:c>
      <x:c r="BM328" s="141" t="n">
        <x:f>BM327*(1+Premissas!$B$41)+BL328</x:f>
        <x:v>0</x:v>
      </x:c>
      <x:c r="BN328" s="141" t="n">
        <x:f>MAX(0,BK328)</x:f>
        <x:v>14006534.165798306</x:v>
      </x:c>
      <x:c r="BO328" s="141" t="n">
        <x:f>INDEX('Consorcio Direto'!$K$55:$K$534,$A328)</x:f>
        <x:v>0</x:v>
      </x:c>
      <x:c r="BP328" s="141" t="n">
        <x:f>IF($A328&lt;'Consorcio Direto'!$B$29,INDEX('Consorcio Direto'!$L$55:$L$534,$A328),$F328)</x:f>
        <x:v>959797.3261233703</x:v>
      </x:c>
      <x:c r="BQ328" s="141" t="n">
        <x:f>BN328+BP328-BO328</x:f>
        <x:v>14966331.491921676</x:v>
      </x:c>
      <x:c r="BR328" s="141" t="n">
        <x:f>IF(BM328&gt;1,"Inviavel",BQ328)</x:f>
        <x:v>14966331.491921676</x:v>
      </x:c>
      <x:c r="BS328" s="141" t="str">
        <x:f>IF(BM328&gt;1,"Inviavel","OK")</x:f>
        <x:v>OK</x:v>
      </x:c>
      <x:c r="BT328" s="141" t="n">
        <x:f>IF(AND('Carta Contemplada'!$B$22="Sim",$A328='Carta Contemplada'!$B$23),'Carta Contemplada'!$B$37,0)</x:f>
        <x:v>0</x:v>
      </x:c>
      <x:c r="BU328" s="141" t="n">
        <x:f>IF('Carta Contemplada'!$B$22="Sim",INDEX('Carta Contemplada'!$C$55:$C$1013,$A328),0)</x:f>
        <x:v>0</x:v>
      </x:c>
      <x:c r="BV328" s="141" t="n">
        <x:f>IF(AND('Carta Contemplada'!$B$22="Sim",Premissas!$B$11="Imovel",Premissas!$B$47="Moradia",$A328&lt;MAX('Carta Contemplada'!$B$44,Premissas!$B$49)),$D328,0)</x:f>
        <x:v>0</x:v>
      </x:c>
      <x:c r="BW328" s="141" t="n">
        <x:f>IF(AND('Carta Contemplada'!$B$22="Sim",Premissas!$B$11="Imovel",Premissas!$B$47="Investimento",$A328&gt;=MAX('Carta Contemplada'!$B$44,Premissas!$B$49)),$E328,0)</x:f>
        <x:v>2911.605096273983</x:v>
      </x:c>
      <x:c r="BX328" s="141" t="n">
        <x:f>BT328+BU328+BV328</x:f>
        <x:v>0</x:v>
      </x:c>
      <x:c r="BY328" s="141" t="n">
        <x:f>BW328</x:f>
        <x:v>2911.605096273983</x:v>
      </x:c>
      <x:c r="BZ328" s="141" t="n">
        <x:f>$C328+BY328-BX328</x:f>
        <x:v>9911.605096273983</x:v>
      </x:c>
      <x:c r="CA328" s="141" t="n">
        <x:f>CD327*(1+Premissas!$B$41)+BZ328</x:f>
        <x:v>15096281.349693654</x:v>
      </x:c>
      <x:c r="CB328" s="141" t="n">
        <x:f>MAX(0,-CA328)</x:f>
        <x:v>0</x:v>
      </x:c>
      <x:c r="CC328" s="141" t="n">
        <x:f>CC327*(1+Premissas!$B$41)+CB328</x:f>
        <x:v>0</x:v>
      </x:c>
      <x:c r="CD328" s="141" t="n">
        <x:f>MAX(0,CA328)</x:f>
        <x:v>15096281.349693654</x:v>
      </x:c>
      <x:c r="CE328" s="141" t="n">
        <x:f>IF(AND('Carta Contemplada'!$B$22="Sim",$A328&gt;='Carta Contemplada'!$B$23),INDEX('Carta Contemplada'!$I$55:$I$1013,$A328),0)</x:f>
        <x:v>0</x:v>
      </x:c>
      <x:c r="CF328" s="141" t="n">
        <x:f>IF(AND('Carta Contemplada'!$B$22="Sim",$A328&gt;='Carta Contemplada'!$B$44),$F328,0)</x:f>
        <x:v>959797.3261233703</x:v>
      </x:c>
      <x:c r="CG328" s="141" t="n">
        <x:f>CD328+CF328-CE328</x:f>
        <x:v>16056078.675817024</x:v>
      </x:c>
      <x:c r="CH328" s="141" t="n">
        <x:f>IF(CC328&gt;1,"Inviavel",CG328)</x:f>
        <x:v>16056078.675817024</x:v>
      </x:c>
      <x:c r="CI328" s="145" t="str">
        <x:f>IF(CC328&gt;1,"Inviavel","OK")</x:f>
        <x:v>OK</x:v>
      </x:c>
    </x:row>
    <x:row r="329">
      <x:c r="A329" s="142" t="n">
        <x:v>325</x:v>
      </x:c>
      <x:c r="B329" s="179" t="n">
        <x:f>EDATE(Premissas!$B$4,A329-1)</x:f>
        <x:v>56401</x:v>
      </x:c>
      <x:c r="C329" s="141" t="n">
        <x:f>IF(A329&lt;=Premissas!$B$39,Premissas!$B$42,0)</x:f>
        <x:v>7000</x:v>
      </x:c>
      <x:c r="D329" s="141" t="n">
        <x:f>Premissas!$B$54*(1+Premissas!$B$57)^INT((A329-1)/12)</x:f>
        <x:v>3375.6421584926484</x:v>
      </x:c>
      <x:c r="E329" s="141" t="n">
        <x:f>Premissas!$B$64*(1+Premissas!$B$57)^INT((A329-1)/12)</x:f>
        <x:v>3086.3014020504215</x:v>
      </x:c>
      <x:c r="F329" s="141" t="n">
        <x:f>MAX(0,Premissas!$B$6*(1+Premissas!$B$66)^((A329-1)/12))</x:f>
        <x:v>964469.1881407567</x:v>
      </x:c>
      <x:c r="G329" s="141" t="n">
        <x:f>G328*(1+Premissas!$B$41)+C329</x:f>
        <x:v>17062429.577941768</x:v>
      </x:c>
      <x:c r="H329" s="141" t="n">
        <x:f>IF($A329=Premissas!$B$48,Premissas!$B$8,0)</x:f>
        <x:v>0</x:v>
      </x:c>
      <x:c r="I329" s="141" t="n">
        <x:f>IF(AND($A329&gt;=Premissas!$B$48,$A329-Premissas!$B$48+1&lt;=Premissas!$B$13),INDEX(Financiamento!$J$6:$J$485,$A329-Premissas!$B$48+1),0)</x:f>
        <x:v>877.971093988562</x:v>
      </x:c>
      <x:c r="J329" s="141" t="n">
        <x:f>IF(AND(TRUE,Premissas!$B$11="Imovel",Premissas!$B$47="Moradia",$A329&lt;MAX(Premissas!$B$48,Premissas!$B$49)),$D329,0)</x:f>
        <x:v>0</x:v>
      </x:c>
      <x:c r="K329" s="141" t="n">
        <x:f>IF(AND(TRUE,Premissas!$B$11="Imovel",Premissas!$B$47="Investimento",$A329&gt;=MAX(Premissas!$B$48,Premissas!$B$49)),$E329,0)</x:f>
        <x:v>3086.3014020504215</x:v>
      </x:c>
      <x:c r="L329" s="141" t="n">
        <x:f>H329+I329+J329</x:f>
        <x:v>877.971093988562</x:v>
      </x:c>
      <x:c r="M329" s="141" t="n">
        <x:f>K329</x:f>
        <x:v>3086.3014020504215</x:v>
      </x:c>
      <x:c r="N329" s="141" t="n">
        <x:f>$C329+M329-L329</x:f>
        <x:v>9208.330308061859</x:v>
      </x:c>
      <x:c r="O329" s="141" t="n">
        <x:f>R328*(1+Premissas!$B$41)+N329</x:f>
        <x:v>14727106.49922429</x:v>
      </x:c>
      <x:c r="P329" s="141" t="n">
        <x:f>MAX(0,-O329)</x:f>
        <x:v>0</x:v>
      </x:c>
      <x:c r="Q329" s="141" t="n">
        <x:f>Q328*(1+Premissas!$B$41)+P329</x:f>
        <x:v>0</x:v>
      </x:c>
      <x:c r="R329" s="141" t="n">
        <x:f>MAX(0,O329)</x:f>
        <x:v>14727106.49922429</x:v>
      </x:c>
      <x:c r="S329" s="141" t="n">
        <x:f>IF(AND($A329&gt;=Premissas!$B$48,$A329-Premissas!$B$48+1&lt;=Premissas!$B$13),INDEX(Financiamento!$M$6:$M$485,$A329-Premissas!$B$48+1),0)</x:f>
        <x:v>36190.47619047624</x:v>
      </x:c>
      <x:c r="T329" s="141" t="n">
        <x:f>IF($A329&gt;=Premissas!$B$48,$F329,0)</x:f>
        <x:v>964469.1881407567</x:v>
      </x:c>
      <x:c r="U329" s="141" t="n">
        <x:f>R329+T329-S329</x:f>
        <x:v>15655385.211174572</x:v>
      </x:c>
      <x:c r="V329" s="141" t="n">
        <x:f>IF(Q329&gt;1,"Inviavel",U329)</x:f>
        <x:v>15655385.211174572</x:v>
      </x:c>
      <x:c r="W329" s="141" t="str">
        <x:f>IF(Q329&gt;1,"Inviavel","OK")</x:f>
        <x:v>OK</x:v>
      </x:c>
      <x:c r="X329" s="141" t="n">
        <x:f>IF($A329=Premissas!$B$48,Premissas!$B$8,0)</x:f>
        <x:v>0</x:v>
      </x:c>
      <x:c r="Y329" s="141" t="n">
        <x:f>IF(AND($A329&gt;=Premissas!$B$48,$A329-Premissas!$B$48+1&lt;=Premissas!$B$13),INDEX(Amortizacao!$K$6:$K$485,$A329-Premissas!$B$48+1),0)</x:f>
        <x:v>0</x:v>
      </x:c>
      <x:c r="Z329" s="141" t="n">
        <x:f>IF(AND(TRUE,Premissas!$B$11="Imovel",Premissas!$B$47="Moradia",$A329&lt;MAX(Premissas!$B$48,Premissas!$B$49)),$D329,0)</x:f>
        <x:v>0</x:v>
      </x:c>
      <x:c r="AA329" s="141" t="n">
        <x:f>IF(AND(TRUE,Premissas!$B$11="Imovel",Premissas!$B$47="Investimento",$A329&gt;=MAX(Premissas!$B$48,Premissas!$B$49)),$E329,0)</x:f>
        <x:v>3086.3014020504215</x:v>
      </x:c>
      <x:c r="AB329" s="141" t="n">
        <x:f>X329+Y329+Z329</x:f>
        <x:v>0</x:v>
      </x:c>
      <x:c r="AC329" s="141" t="n">
        <x:f>AA329</x:f>
        <x:v>3086.3014020504215</x:v>
      </x:c>
      <x:c r="AD329" s="141" t="n">
        <x:f>$C329+AC329-AB329</x:f>
        <x:v>10086.301402050422</x:v>
      </x:c>
      <x:c r="AE329" s="141" t="n">
        <x:f>AH328*(1+Premissas!$B$41)+AD329</x:f>
        <x:v>14938818.661955366</x:v>
      </x:c>
      <x:c r="AF329" s="141" t="n">
        <x:f>MAX(0,-AE329)</x:f>
        <x:v>0</x:v>
      </x:c>
      <x:c r="AG329" s="141" t="n">
        <x:f>AG328*(1+Premissas!$B$41)+AF329</x:f>
        <x:v>0</x:v>
      </x:c>
      <x:c r="AH329" s="141" t="n">
        <x:f>MAX(0,AE329)</x:f>
        <x:v>14938818.661955366</x:v>
      </x:c>
      <x:c r="AI329" s="141" t="n">
        <x:f>IF(AND($A329&gt;=Premissas!$B$48,$A329-Premissas!$B$48+1&lt;=Premissas!$B$13),INDEX(Amortizacao!$L$6:$L$485,$A329-Premissas!$B$48+1),0)</x:f>
        <x:v>0</x:v>
      </x:c>
      <x:c r="AJ329" s="141" t="n">
        <x:f>IF($A329&gt;=Premissas!$B$48,$F329,0)</x:f>
        <x:v>964469.1881407567</x:v>
      </x:c>
      <x:c r="AK329" s="141" t="n">
        <x:f>AH329+AJ329-AI329</x:f>
        <x:v>15903287.850096123</x:v>
      </x:c>
      <x:c r="AL329" s="141" t="n">
        <x:f>IF(AG329&gt;1,"Inviavel",AK329)</x:f>
        <x:v>15903287.850096123</x:v>
      </x:c>
      <x:c r="AM329" s="141" t="str">
        <x:f>IF(AG329&gt;1,"Inviavel","OK")</x:f>
        <x:v>OK</x:v>
      </x:c>
      <x:c r="AN329" s="141" t="n">
        <x:f>IF($A329=Premissas!$B$48,Premissas!$B$8,0)</x:f>
        <x:v>0</x:v>
      </x:c>
      <x:c r="AO329" s="141" t="n">
        <x:f>IF($A329&lt;=Premissas!$B$25,INDEX('Consorcio IQ'!$K$6:$K$485,$A329),0)</x:f>
        <x:v>0</x:v>
      </x:c>
      <x:c r="AP329" s="141" t="n">
        <x:f>IF(AND(TRUE,Premissas!$B$11="Imovel",Premissas!$B$47="Moradia",$A329&lt;MAX(Premissas!$B$48,Premissas!$B$49)),$D329,0)</x:f>
        <x:v>0</x:v>
      </x:c>
      <x:c r="AQ329" s="141" t="n">
        <x:f>IF(AND(TRUE,Premissas!$B$11="Imovel",Premissas!$B$47="Investimento",$A329&gt;=MAX(Premissas!$B$48,Premissas!$B$49)),$E329,0)</x:f>
        <x:v>3086.3014020504215</x:v>
      </x:c>
      <x:c r="AR329" s="141" t="n">
        <x:f>AN329+AO329+AP329</x:f>
        <x:v>0</x:v>
      </x:c>
      <x:c r="AS329" s="141" t="n">
        <x:f>AQ329</x:f>
        <x:v>3086.3014020504215</x:v>
      </x:c>
      <x:c r="AT329" s="141" t="n">
        <x:f>$C329+AS329-AR329</x:f>
        <x:v>10086.301402050422</x:v>
      </x:c>
      <x:c r="AU329" s="141" t="n">
        <x:f>AX328*(1+Premissas!$B$41)+AT329</x:f>
        <x:v>14815576.140810201</x:v>
      </x:c>
      <x:c r="AV329" s="141" t="n">
        <x:f>MAX(0,-AU329)</x:f>
        <x:v>0</x:v>
      </x:c>
      <x:c r="AW329" s="141" t="n">
        <x:f>AW328*(1+Premissas!$B$41)+AV329</x:f>
        <x:v>0</x:v>
      </x:c>
      <x:c r="AX329" s="141" t="n">
        <x:f>MAX(0,AU329)</x:f>
        <x:v>14815576.140810201</x:v>
      </x:c>
      <x:c r="AY329" s="141" t="n">
        <x:f>INDEX('Consorcio IQ'!$P$6:$P$485,$A329)</x:f>
        <x:v>0</x:v>
      </x:c>
      <x:c r="AZ329" s="141" t="n">
        <x:f>IF($A329&gt;=Premissas!$B$48,$F329,0)+IF($A329&lt;Premissas!$B$27,INDEX('Consorcio IQ'!$O$6:$O$485,$A329),0)</x:f>
        <x:v>964469.1881407567</x:v>
      </x:c>
      <x:c r="BA329" s="141" t="n">
        <x:f>AX329+AZ329-AY329</x:f>
        <x:v>15780045.328950958</x:v>
      </x:c>
      <x:c r="BB329" s="141" t="n">
        <x:f>IF(AW329&gt;1,"Inviavel",BA329)</x:f>
        <x:v>15780045.328950958</x:v>
      </x:c>
      <x:c r="BC329" s="141" t="str">
        <x:f>IF(AW329&gt;1,"Inviavel","OK")</x:f>
        <x:v>OK</x:v>
      </x:c>
      <x:c r="BD329" s="141" t="n">
        <x:f>IF($A329='Consorcio Direto'!$B$29,'Consorcio Direto'!$B$44,0)</x:f>
        <x:v>0</x:v>
      </x:c>
      <x:c r="BE329" s="141" t="n">
        <x:f>IF($A329&lt;='Consorcio Direto'!$B$27,INDEX('Consorcio Direto'!$E$55:$E$534,$A329),0)</x:f>
        <x:v>0</x:v>
      </x:c>
      <x:c r="BF329" s="141" t="n">
        <x:f>IF(AND(TRUE,Premissas!$B$11="Imovel",Premissas!$B$47="Moradia",$A329&lt;MAX('Consorcio Direto'!$B$29,Premissas!$B$49)),$D329,0)</x:f>
        <x:v>0</x:v>
      </x:c>
      <x:c r="BG329" s="141" t="n">
        <x:f>IF(AND(TRUE,Premissas!$B$11="Imovel",Premissas!$B$47="Investimento",$A329&gt;=MAX('Consorcio Direto'!$B$29,Premissas!$B$49)),$E329,0)</x:f>
        <x:v>3086.3014020504215</x:v>
      </x:c>
      <x:c r="BH329" s="141" t="n">
        <x:f>BD329+BE329+BF329</x:f>
        <x:v>0</x:v>
      </x:c>
      <x:c r="BI329" s="141" t="n">
        <x:f>BG329</x:f>
        <x:v>3086.3014020504215</x:v>
      </x:c>
      <x:c r="BJ329" s="141" t="n">
        <x:f>$C329+BI329-BH329</x:f>
        <x:v>10086.301402050422</x:v>
      </x:c>
      <x:c r="BK329" s="141" t="n">
        <x:f>BN328*(1+Premissas!$B$41)+BJ329</x:f>
        <x:v>14149525.569630781</x:v>
      </x:c>
      <x:c r="BL329" s="141" t="n">
        <x:f>MAX(0,-BK329)</x:f>
        <x:v>0</x:v>
      </x:c>
      <x:c r="BM329" s="141" t="n">
        <x:f>BM328*(1+Premissas!$B$41)+BL329</x:f>
        <x:v>0</x:v>
      </x:c>
      <x:c r="BN329" s="141" t="n">
        <x:f>MAX(0,BK329)</x:f>
        <x:v>14149525.569630781</x:v>
      </x:c>
      <x:c r="BO329" s="141" t="n">
        <x:f>INDEX('Consorcio Direto'!$K$55:$K$534,$A329)</x:f>
        <x:v>0</x:v>
      </x:c>
      <x:c r="BP329" s="141" t="n">
        <x:f>IF($A329&lt;'Consorcio Direto'!$B$29,INDEX('Consorcio Direto'!$L$55:$L$534,$A329),$F329)</x:f>
        <x:v>964469.1881407567</x:v>
      </x:c>
      <x:c r="BQ329" s="141" t="n">
        <x:f>BN329+BP329-BO329</x:f>
        <x:v>15113994.757771539</x:v>
      </x:c>
      <x:c r="BR329" s="141" t="n">
        <x:f>IF(BM329&gt;1,"Inviavel",BQ329)</x:f>
        <x:v>15113994.757771539</x:v>
      </x:c>
      <x:c r="BS329" s="141" t="str">
        <x:f>IF(BM329&gt;1,"Inviavel","OK")</x:f>
        <x:v>OK</x:v>
      </x:c>
      <x:c r="BT329" s="141" t="n">
        <x:f>IF(AND('Carta Contemplada'!$B$22="Sim",$A329='Carta Contemplada'!$B$23),'Carta Contemplada'!$B$37,0)</x:f>
        <x:v>0</x:v>
      </x:c>
      <x:c r="BU329" s="141" t="n">
        <x:f>IF('Carta Contemplada'!$B$22="Sim",INDEX('Carta Contemplada'!$C$55:$C$1013,$A329),0)</x:f>
        <x:v>0</x:v>
      </x:c>
      <x:c r="BV329" s="141" t="n">
        <x:f>IF(AND('Carta Contemplada'!$B$22="Sim",Premissas!$B$11="Imovel",Premissas!$B$47="Moradia",$A329&lt;MAX('Carta Contemplada'!$B$44,Premissas!$B$49)),$D329,0)</x:f>
        <x:v>0</x:v>
      </x:c>
      <x:c r="BW329" s="141" t="n">
        <x:f>IF(AND('Carta Contemplada'!$B$22="Sim",Premissas!$B$11="Imovel",Premissas!$B$47="Investimento",$A329&gt;=MAX('Carta Contemplada'!$B$44,Premissas!$B$49)),$E329,0)</x:f>
        <x:v>3086.3014020504215</x:v>
      </x:c>
      <x:c r="BX329" s="141" t="n">
        <x:f>BT329+BU329+BV329</x:f>
        <x:v>0</x:v>
      </x:c>
      <x:c r="BY329" s="141" t="n">
        <x:f>BW329</x:f>
        <x:v>3086.3014020504215</x:v>
      </x:c>
      <x:c r="BZ329" s="141" t="n">
        <x:f>$C329+BY329-BX329</x:f>
        <x:v>10086.301402050422</x:v>
      </x:c>
      <x:c r="CA329" s="141" t="n">
        <x:f>CD328*(1+Premissas!$B$41)+BZ329</x:f>
        <x:v>15249613.138905156</x:v>
      </x:c>
      <x:c r="CB329" s="141" t="n">
        <x:f>MAX(0,-CA329)</x:f>
        <x:v>0</x:v>
      </x:c>
      <x:c r="CC329" s="141" t="n">
        <x:f>CC328*(1+Premissas!$B$41)+CB329</x:f>
        <x:v>0</x:v>
      </x:c>
      <x:c r="CD329" s="141" t="n">
        <x:f>MAX(0,CA329)</x:f>
        <x:v>15249613.138905156</x:v>
      </x:c>
      <x:c r="CE329" s="141" t="n">
        <x:f>IF(AND('Carta Contemplada'!$B$22="Sim",$A329&gt;='Carta Contemplada'!$B$23),INDEX('Carta Contemplada'!$I$55:$I$1013,$A329),0)</x:f>
        <x:v>0</x:v>
      </x:c>
      <x:c r="CF329" s="141" t="n">
        <x:f>IF(AND('Carta Contemplada'!$B$22="Sim",$A329&gt;='Carta Contemplada'!$B$44),$F329,0)</x:f>
        <x:v>964469.1881407567</x:v>
      </x:c>
      <x:c r="CG329" s="141" t="n">
        <x:f>CD329+CF329-CE329</x:f>
        <x:v>16214082.327045914</x:v>
      </x:c>
      <x:c r="CH329" s="141" t="n">
        <x:f>IF(CC329&gt;1,"Inviavel",CG329)</x:f>
        <x:v>16214082.327045914</x:v>
      </x:c>
      <x:c r="CI329" s="145" t="str">
        <x:f>IF(CC329&gt;1,"Inviavel","OK")</x:f>
        <x:v>OK</x:v>
      </x:c>
    </x:row>
    <x:row r="330">
      <x:c r="A330" s="142" t="n">
        <x:v>326</x:v>
      </x:c>
      <x:c r="B330" s="179" t="n">
        <x:f>EDATE(Premissas!$B$4,A330-1)</x:f>
        <x:v>56431</x:v>
      </x:c>
      <x:c r="C330" s="141" t="n">
        <x:f>IF(A330&lt;=Premissas!$B$39,Premissas!$B$42,0)</x:f>
        <x:v>7000</x:v>
      </x:c>
      <x:c r="D330" s="141" t="n">
        <x:f>Premissas!$B$54*(1+Premissas!$B$57)^INT((A330-1)/12)</x:f>
        <x:v>3375.6421584926484</x:v>
      </x:c>
      <x:c r="E330" s="141" t="n">
        <x:f>Premissas!$B$64*(1+Premissas!$B$57)^INT((A330-1)/12)</x:f>
        <x:v>3086.3014020504215</x:v>
      </x:c>
      <x:c r="F330" s="141" t="n">
        <x:f>MAX(0,Premissas!$B$6*(1+Premissas!$B$66)^((A330-1)/12))</x:f>
        <x:v>969163.7906827471</x:v>
      </x:c>
      <x:c r="G330" s="141" t="n">
        <x:f>G329*(1+Premissas!$B$41)+C330</x:f>
        <x:v>17231331.439167764</x:v>
      </x:c>
      <x:c r="H330" s="141" t="n">
        <x:f>IF($A330=Premissas!$B$48,Premissas!$B$8,0)</x:f>
        <x:v>0</x:v>
      </x:c>
      <x:c r="I330" s="141" t="n">
        <x:f>IF(AND($A330&gt;=Premissas!$B$48,$A330-Premissas!$B$48+1&lt;=Premissas!$B$13),INDEX(Financiamento!$J$6:$J$485,$A330-Premissas!$B$48+1),0)</x:f>
        <x:v>874.3563157277683</x:v>
      </x:c>
      <x:c r="J330" s="141" t="n">
        <x:f>IF(AND(TRUE,Premissas!$B$11="Imovel",Premissas!$B$47="Moradia",$A330&lt;MAX(Premissas!$B$48,Premissas!$B$49)),$D330,0)</x:f>
        <x:v>0</x:v>
      </x:c>
      <x:c r="K330" s="141" t="n">
        <x:f>IF(AND(TRUE,Premissas!$B$11="Imovel",Premissas!$B$47="Investimento",$A330&gt;=MAX(Premissas!$B$48,Premissas!$B$49)),$E330,0)</x:f>
        <x:v>3086.3014020504215</x:v>
      </x:c>
      <x:c r="L330" s="141" t="n">
        <x:f>H330+I330+J330</x:f>
        <x:v>874.3563157277683</x:v>
      </x:c>
      <x:c r="M330" s="141" t="n">
        <x:f>K330</x:f>
        <x:v>3086.3014020504215</x:v>
      </x:c>
      <x:c r="N330" s="141" t="n">
        <x:f>$C330+M330-L330</x:f>
        <x:v>9211.945086322654</x:v>
      </x:c>
      <x:c r="O330" s="141" t="n">
        <x:f>R329*(1+Premissas!$B$41)+N330</x:f>
        <x:v>14876060.908407304</x:v>
      </x:c>
      <x:c r="P330" s="141" t="n">
        <x:f>MAX(0,-O330)</x:f>
        <x:v>0</x:v>
      </x:c>
      <x:c r="Q330" s="141" t="n">
        <x:f>Q329*(1+Premissas!$B$41)+P330</x:f>
        <x:v>0</x:v>
      </x:c>
      <x:c r="R330" s="141" t="n">
        <x:f>MAX(0,O330)</x:f>
        <x:v>14876060.908407304</x:v>
      </x:c>
      <x:c r="S330" s="141" t="n">
        <x:f>IF(AND($A330&gt;=Premissas!$B$48,$A330-Premissas!$B$48+1&lt;=Premissas!$B$13),INDEX(Financiamento!$M$6:$M$485,$A330-Premissas!$B$48+1),0)</x:f>
        <x:v>35809.52380952386</x:v>
      </x:c>
      <x:c r="T330" s="141" t="n">
        <x:f>IF($A330&gt;=Premissas!$B$48,$F330,0)</x:f>
        <x:v>969163.7906827471</x:v>
      </x:c>
      <x:c r="U330" s="141" t="n">
        <x:f>R330+T330-S330</x:f>
        <x:v>15809415.175280528</x:v>
      </x:c>
      <x:c r="V330" s="141" t="n">
        <x:f>IF(Q330&gt;1,"Inviavel",U330)</x:f>
        <x:v>15809415.175280528</x:v>
      </x:c>
      <x:c r="W330" s="141" t="str">
        <x:f>IF(Q330&gt;1,"Inviavel","OK")</x:f>
        <x:v>OK</x:v>
      </x:c>
      <x:c r="X330" s="141" t="n">
        <x:f>IF($A330=Premissas!$B$48,Premissas!$B$8,0)</x:f>
        <x:v>0</x:v>
      </x:c>
      <x:c r="Y330" s="141" t="n">
        <x:f>IF(AND($A330&gt;=Premissas!$B$48,$A330-Premissas!$B$48+1&lt;=Premissas!$B$13),INDEX(Amortizacao!$K$6:$K$485,$A330-Premissas!$B$48+1),0)</x:f>
        <x:v>0</x:v>
      </x:c>
      <x:c r="Z330" s="141" t="n">
        <x:f>IF(AND(TRUE,Premissas!$B$11="Imovel",Premissas!$B$47="Moradia",$A330&lt;MAX(Premissas!$B$48,Premissas!$B$49)),$D330,0)</x:f>
        <x:v>0</x:v>
      </x:c>
      <x:c r="AA330" s="141" t="n">
        <x:f>IF(AND(TRUE,Premissas!$B$11="Imovel",Premissas!$B$47="Investimento",$A330&gt;=MAX(Premissas!$B$48,Premissas!$B$49)),$E330,0)</x:f>
        <x:v>3086.3014020504215</x:v>
      </x:c>
      <x:c r="AB330" s="141" t="n">
        <x:f>X330+Y330+Z330</x:f>
        <x:v>0</x:v>
      </x:c>
      <x:c r="AC330" s="141" t="n">
        <x:f>AA330</x:f>
        <x:v>3086.3014020504215</x:v>
      </x:c>
      <x:c r="AD330" s="141" t="n">
        <x:f>$C330+AC330-AB330</x:f>
        <x:v>10086.301402050422</x:v>
      </x:c>
      <x:c r="AE330" s="141" t="n">
        <x:f>AH329*(1+Premissas!$B$41)+AD330</x:f>
        <x:v>15090656.320327997</x:v>
      </x:c>
      <x:c r="AF330" s="141" t="n">
        <x:f>MAX(0,-AE330)</x:f>
        <x:v>0</x:v>
      </x:c>
      <x:c r="AG330" s="141" t="n">
        <x:f>AG329*(1+Premissas!$B$41)+AF330</x:f>
        <x:v>0</x:v>
      </x:c>
      <x:c r="AH330" s="141" t="n">
        <x:f>MAX(0,AE330)</x:f>
        <x:v>15090656.320327997</x:v>
      </x:c>
      <x:c r="AI330" s="141" t="n">
        <x:f>IF(AND($A330&gt;=Premissas!$B$48,$A330-Premissas!$B$48+1&lt;=Premissas!$B$13),INDEX(Amortizacao!$L$6:$L$485,$A330-Premissas!$B$48+1),0)</x:f>
        <x:v>0</x:v>
      </x:c>
      <x:c r="AJ330" s="141" t="n">
        <x:f>IF($A330&gt;=Premissas!$B$48,$F330,0)</x:f>
        <x:v>969163.7906827471</x:v>
      </x:c>
      <x:c r="AK330" s="141" t="n">
        <x:f>AH330+AJ330-AI330</x:f>
        <x:v>16059820.111010745</x:v>
      </x:c>
      <x:c r="AL330" s="141" t="n">
        <x:f>IF(AG330&gt;1,"Inviavel",AK330)</x:f>
        <x:v>16059820.111010745</x:v>
      </x:c>
      <x:c r="AM330" s="141" t="str">
        <x:f>IF(AG330&gt;1,"Inviavel","OK")</x:f>
        <x:v>OK</x:v>
      </x:c>
      <x:c r="AN330" s="141" t="n">
        <x:f>IF($A330=Premissas!$B$48,Premissas!$B$8,0)</x:f>
        <x:v>0</x:v>
      </x:c>
      <x:c r="AO330" s="141" t="n">
        <x:f>IF($A330&lt;=Premissas!$B$25,INDEX('Consorcio IQ'!$K$6:$K$485,$A330),0)</x:f>
        <x:v>0</x:v>
      </x:c>
      <x:c r="AP330" s="141" t="n">
        <x:f>IF(AND(TRUE,Premissas!$B$11="Imovel",Premissas!$B$47="Moradia",$A330&lt;MAX(Premissas!$B$48,Premissas!$B$49)),$D330,0)</x:f>
        <x:v>0</x:v>
      </x:c>
      <x:c r="AQ330" s="141" t="n">
        <x:f>IF(AND(TRUE,Premissas!$B$11="Imovel",Premissas!$B$47="Investimento",$A330&gt;=MAX(Premissas!$B$48,Premissas!$B$49)),$E330,0)</x:f>
        <x:v>3086.3014020504215</x:v>
      </x:c>
      <x:c r="AR330" s="141" t="n">
        <x:f>AN330+AO330+AP330</x:f>
        <x:v>0</x:v>
      </x:c>
      <x:c r="AS330" s="141" t="n">
        <x:f>AQ330</x:f>
        <x:v>3086.3014020504215</x:v>
      </x:c>
      <x:c r="AT330" s="141" t="n">
        <x:f>$C330+AS330-AR330</x:f>
        <x:v>10086.301402050422</x:v>
      </x:c>
      <x:c r="AU330" s="141" t="n">
        <x:f>AX329*(1+Premissas!$B$41)+AT330</x:f>
        <x:v>14966244.376418948</x:v>
      </x:c>
      <x:c r="AV330" s="141" t="n">
        <x:f>MAX(0,-AU330)</x:f>
        <x:v>0</x:v>
      </x:c>
      <x:c r="AW330" s="141" t="n">
        <x:f>AW329*(1+Premissas!$B$41)+AV330</x:f>
        <x:v>0</x:v>
      </x:c>
      <x:c r="AX330" s="141" t="n">
        <x:f>MAX(0,AU330)</x:f>
        <x:v>14966244.376418948</x:v>
      </x:c>
      <x:c r="AY330" s="141" t="n">
        <x:f>INDEX('Consorcio IQ'!$P$6:$P$485,$A330)</x:f>
        <x:v>0</x:v>
      </x:c>
      <x:c r="AZ330" s="141" t="n">
        <x:f>IF($A330&gt;=Premissas!$B$48,$F330,0)+IF($A330&lt;Premissas!$B$27,INDEX('Consorcio IQ'!$O$6:$O$485,$A330),0)</x:f>
        <x:v>969163.7906827471</x:v>
      </x:c>
      <x:c r="BA330" s="141" t="n">
        <x:f>AX330+AZ330-AY330</x:f>
        <x:v>15935408.167101696</x:v>
      </x:c>
      <x:c r="BB330" s="141" t="n">
        <x:f>IF(AW330&gt;1,"Inviavel",BA330)</x:f>
        <x:v>15935408.167101696</x:v>
      </x:c>
      <x:c r="BC330" s="141" t="str">
        <x:f>IF(AW330&gt;1,"Inviavel","OK")</x:f>
        <x:v>OK</x:v>
      </x:c>
      <x:c r="BD330" s="141" t="n">
        <x:f>IF($A330='Consorcio Direto'!$B$29,'Consorcio Direto'!$B$44,0)</x:f>
        <x:v>0</x:v>
      </x:c>
      <x:c r="BE330" s="141" t="n">
        <x:f>IF($A330&lt;='Consorcio Direto'!$B$27,INDEX('Consorcio Direto'!$E$55:$E$534,$A330),0)</x:f>
        <x:v>0</x:v>
      </x:c>
      <x:c r="BF330" s="141" t="n">
        <x:f>IF(AND(TRUE,Premissas!$B$11="Imovel",Premissas!$B$47="Moradia",$A330&lt;MAX('Consorcio Direto'!$B$29,Premissas!$B$49)),$D330,0)</x:f>
        <x:v>0</x:v>
      </x:c>
      <x:c r="BG330" s="141" t="n">
        <x:f>IF(AND(TRUE,Premissas!$B$11="Imovel",Premissas!$B$47="Investimento",$A330&gt;=MAX('Consorcio Direto'!$B$29,Premissas!$B$49)),$E330,0)</x:f>
        <x:v>3086.3014020504215</x:v>
      </x:c>
      <x:c r="BH330" s="141" t="n">
        <x:f>BD330+BE330+BF330</x:f>
        <x:v>0</x:v>
      </x:c>
      <x:c r="BI330" s="141" t="n">
        <x:f>BG330</x:f>
        <x:v>3086.3014020504215</x:v>
      </x:c>
      <x:c r="BJ330" s="141" t="n">
        <x:f>$C330+BI330-BH330</x:f>
        <x:v>10086.301402050422</x:v>
      </x:c>
      <x:c r="BK330" s="141" t="n">
        <x:f>BN329*(1+Premissas!$B$41)+BJ330</x:f>
        <x:v>14293873.789285647</x:v>
      </x:c>
      <x:c r="BL330" s="141" t="n">
        <x:f>MAX(0,-BK330)</x:f>
        <x:v>0</x:v>
      </x:c>
      <x:c r="BM330" s="141" t="n">
        <x:f>BM329*(1+Premissas!$B$41)+BL330</x:f>
        <x:v>0</x:v>
      </x:c>
      <x:c r="BN330" s="141" t="n">
        <x:f>MAX(0,BK330)</x:f>
        <x:v>14293873.789285647</x:v>
      </x:c>
      <x:c r="BO330" s="141" t="n">
        <x:f>INDEX('Consorcio Direto'!$K$55:$K$534,$A330)</x:f>
        <x:v>0</x:v>
      </x:c>
      <x:c r="BP330" s="141" t="n">
        <x:f>IF($A330&lt;'Consorcio Direto'!$B$29,INDEX('Consorcio Direto'!$L$55:$L$534,$A330),$F330)</x:f>
        <x:v>969163.7906827471</x:v>
      </x:c>
      <x:c r="BQ330" s="141" t="n">
        <x:f>BN330+BP330-BO330</x:f>
        <x:v>15263037.579968395</x:v>
      </x:c>
      <x:c r="BR330" s="141" t="n">
        <x:f>IF(BM330&gt;1,"Inviavel",BQ330)</x:f>
        <x:v>15263037.579968395</x:v>
      </x:c>
      <x:c r="BS330" s="141" t="str">
        <x:f>IF(BM330&gt;1,"Inviavel","OK")</x:f>
        <x:v>OK</x:v>
      </x:c>
      <x:c r="BT330" s="141" t="n">
        <x:f>IF(AND('Carta Contemplada'!$B$22="Sim",$A330='Carta Contemplada'!$B$23),'Carta Contemplada'!$B$37,0)</x:f>
        <x:v>0</x:v>
      </x:c>
      <x:c r="BU330" s="141" t="n">
        <x:f>IF('Carta Contemplada'!$B$22="Sim",INDEX('Carta Contemplada'!$C$55:$C$1013,$A330),0)</x:f>
        <x:v>0</x:v>
      </x:c>
      <x:c r="BV330" s="141" t="n">
        <x:f>IF(AND('Carta Contemplada'!$B$22="Sim",Premissas!$B$11="Imovel",Premissas!$B$47="Moradia",$A330&lt;MAX('Carta Contemplada'!$B$44,Premissas!$B$49)),$D330,0)</x:f>
        <x:v>0</x:v>
      </x:c>
      <x:c r="BW330" s="141" t="n">
        <x:f>IF(AND('Carta Contemplada'!$B$22="Sim",Premissas!$B$11="Imovel",Premissas!$B$47="Investimento",$A330&gt;=MAX('Carta Contemplada'!$B$44,Premissas!$B$49)),$E330,0)</x:f>
        <x:v>3086.3014020504215</x:v>
      </x:c>
      <x:c r="BX330" s="141" t="n">
        <x:f>BT330+BU330+BV330</x:f>
        <x:v>0</x:v>
      </x:c>
      <x:c r="BY330" s="141" t="n">
        <x:f>BW330</x:f>
        <x:v>3086.3014020504215</x:v>
      </x:c>
      <x:c r="BZ330" s="141" t="n">
        <x:f>$C330+BY330-BX330</x:f>
        <x:v>10086.301402050422</x:v>
      </x:c>
      <x:c r="CA330" s="141" t="n">
        <x:f>CD329*(1+Premissas!$B$41)+BZ330</x:f>
        <x:v>15404399.861714775</x:v>
      </x:c>
      <x:c r="CB330" s="141" t="n">
        <x:f>MAX(0,-CA330)</x:f>
        <x:v>0</x:v>
      </x:c>
      <x:c r="CC330" s="141" t="n">
        <x:f>CC329*(1+Premissas!$B$41)+CB330</x:f>
        <x:v>0</x:v>
      </x:c>
      <x:c r="CD330" s="141" t="n">
        <x:f>MAX(0,CA330)</x:f>
        <x:v>15404399.861714775</x:v>
      </x:c>
      <x:c r="CE330" s="141" t="n">
        <x:f>IF(AND('Carta Contemplada'!$B$22="Sim",$A330&gt;='Carta Contemplada'!$B$23),INDEX('Carta Contemplada'!$I$55:$I$1013,$A330),0)</x:f>
        <x:v>0</x:v>
      </x:c>
      <x:c r="CF330" s="141" t="n">
        <x:f>IF(AND('Carta Contemplada'!$B$22="Sim",$A330&gt;='Carta Contemplada'!$B$44),$F330,0)</x:f>
        <x:v>969163.7906827471</x:v>
      </x:c>
      <x:c r="CG330" s="141" t="n">
        <x:f>CD330+CF330-CE330</x:f>
        <x:v>16373563.652397523</x:v>
      </x:c>
      <x:c r="CH330" s="141" t="n">
        <x:f>IF(CC330&gt;1,"Inviavel",CG330)</x:f>
        <x:v>16373563.652397523</x:v>
      </x:c>
      <x:c r="CI330" s="145" t="str">
        <x:f>IF(CC330&gt;1,"Inviavel","OK")</x:f>
        <x:v>OK</x:v>
      </x:c>
    </x:row>
    <x:row r="331">
      <x:c r="A331" s="142" t="n">
        <x:v>327</x:v>
      </x:c>
      <x:c r="B331" s="179" t="n">
        <x:f>EDATE(Premissas!$B$4,A331-1)</x:f>
        <x:v>56462</x:v>
      </x:c>
      <x:c r="C331" s="141" t="n">
        <x:f>IF(A331&lt;=Premissas!$B$39,Premissas!$B$42,0)</x:f>
        <x:v>7000</x:v>
      </x:c>
      <x:c r="D331" s="141" t="n">
        <x:f>Premissas!$B$54*(1+Premissas!$B$57)^INT((A331-1)/12)</x:f>
        <x:v>3375.6421584926484</x:v>
      </x:c>
      <x:c r="E331" s="141" t="n">
        <x:f>Premissas!$B$64*(1+Premissas!$B$57)^INT((A331-1)/12)</x:f>
        <x:v>3086.3014020504215</x:v>
      </x:c>
      <x:c r="F331" s="141" t="n">
        <x:f>MAX(0,Premissas!$B$6*(1+Premissas!$B$66)^((A331-1)/12))</x:f>
        <x:v>973881.244439995</x:v>
      </x:c>
      <x:c r="G331" s="141" t="n">
        <x:f>G330*(1+Premissas!$B$41)+C331</x:f>
        <x:v>17401835.9751812</x:v>
      </x:c>
      <x:c r="H331" s="141" t="n">
        <x:f>IF($A331=Premissas!$B$48,Premissas!$B$8,0)</x:f>
        <x:v>0</x:v>
      </x:c>
      <x:c r="I331" s="141" t="n">
        <x:f>IF(AND($A331&gt;=Premissas!$B$48,$A331-Premissas!$B$48+1&lt;=Premissas!$B$13),INDEX(Financiamento!$J$6:$J$485,$A331-Premissas!$B$48+1),0)</x:f>
        <x:v>870.7415374669748</x:v>
      </x:c>
      <x:c r="J331" s="141" t="n">
        <x:f>IF(AND(TRUE,Premissas!$B$11="Imovel",Premissas!$B$47="Moradia",$A331&lt;MAX(Premissas!$B$48,Premissas!$B$49)),$D331,0)</x:f>
        <x:v>0</x:v>
      </x:c>
      <x:c r="K331" s="141" t="n">
        <x:f>IF(AND(TRUE,Premissas!$B$11="Imovel",Premissas!$B$47="Investimento",$A331&gt;=MAX(Premissas!$B$48,Premissas!$B$49)),$E331,0)</x:f>
        <x:v>3086.3014020504215</x:v>
      </x:c>
      <x:c r="L331" s="141" t="n">
        <x:f>H331+I331+J331</x:f>
        <x:v>870.7415374669748</x:v>
      </x:c>
      <x:c r="M331" s="141" t="n">
        <x:f>K331</x:f>
        <x:v>3086.3014020504215</x:v>
      </x:c>
      <x:c r="N331" s="141" t="n">
        <x:f>$C331+M331-L331</x:f>
        <x:v>9215.559864583447</x:v>
      </x:c>
      <x:c r="O331" s="141" t="n">
        <x:f>R330*(1+Premissas!$B$41)+N331</x:f>
        <x:v>15026432.329914011</x:v>
      </x:c>
      <x:c r="P331" s="141" t="n">
        <x:f>MAX(0,-O331)</x:f>
        <x:v>0</x:v>
      </x:c>
      <x:c r="Q331" s="141" t="n">
        <x:f>Q330*(1+Premissas!$B$41)+P331</x:f>
        <x:v>0</x:v>
      </x:c>
      <x:c r="R331" s="141" t="n">
        <x:f>MAX(0,O331)</x:f>
        <x:v>15026432.329914011</x:v>
      </x:c>
      <x:c r="S331" s="141" t="n">
        <x:f>IF(AND($A331&gt;=Premissas!$B$48,$A331-Premissas!$B$48+1&lt;=Premissas!$B$13),INDEX(Financiamento!$M$6:$M$485,$A331-Premissas!$B$48+1),0)</x:f>
        <x:v>35428.57142857148</x:v>
      </x:c>
      <x:c r="T331" s="141" t="n">
        <x:f>IF($A331&gt;=Premissas!$B$48,$F331,0)</x:f>
        <x:v>973881.244439995</x:v>
      </x:c>
      <x:c r="U331" s="141" t="n">
        <x:f>R331+T331-S331</x:f>
        <x:v>15964885.002925435</x:v>
      </x:c>
      <x:c r="V331" s="141" t="n">
        <x:f>IF(Q331&gt;1,"Inviavel",U331)</x:f>
        <x:v>15964885.002925435</x:v>
      </x:c>
      <x:c r="W331" s="141" t="str">
        <x:f>IF(Q331&gt;1,"Inviavel","OK")</x:f>
        <x:v>OK</x:v>
      </x:c>
      <x:c r="X331" s="141" t="n">
        <x:f>IF($A331=Premissas!$B$48,Premissas!$B$8,0)</x:f>
        <x:v>0</x:v>
      </x:c>
      <x:c r="Y331" s="141" t="n">
        <x:f>IF(AND($A331&gt;=Premissas!$B$48,$A331-Premissas!$B$48+1&lt;=Premissas!$B$13),INDEX(Amortizacao!$K$6:$K$485,$A331-Premissas!$B$48+1),0)</x:f>
        <x:v>0</x:v>
      </x:c>
      <x:c r="Z331" s="141" t="n">
        <x:f>IF(AND(TRUE,Premissas!$B$11="Imovel",Premissas!$B$47="Moradia",$A331&lt;MAX(Premissas!$B$48,Premissas!$B$49)),$D331,0)</x:f>
        <x:v>0</x:v>
      </x:c>
      <x:c r="AA331" s="141" t="n">
        <x:f>IF(AND(TRUE,Premissas!$B$11="Imovel",Premissas!$B$47="Investimento",$A331&gt;=MAX(Premissas!$B$48,Premissas!$B$49)),$E331,0)</x:f>
        <x:v>3086.3014020504215</x:v>
      </x:c>
      <x:c r="AB331" s="141" t="n">
        <x:f>X331+Y331+Z331</x:f>
        <x:v>0</x:v>
      </x:c>
      <x:c r="AC331" s="141" t="n">
        <x:f>AA331</x:f>
        <x:v>3086.3014020504215</x:v>
      </x:c>
      <x:c r="AD331" s="141" t="n">
        <x:f>$C331+AC331-AB331</x:f>
        <x:v>10086.301402050422</x:v>
      </x:c>
      <x:c r="AE331" s="141" t="n">
        <x:f>AH330*(1+Premissas!$B$41)+AD331</x:f>
        <x:v>15243934.734800598</x:v>
      </x:c>
      <x:c r="AF331" s="141" t="n">
        <x:f>MAX(0,-AE331)</x:f>
        <x:v>0</x:v>
      </x:c>
      <x:c r="AG331" s="141" t="n">
        <x:f>AG330*(1+Premissas!$B$41)+AF331</x:f>
        <x:v>0</x:v>
      </x:c>
      <x:c r="AH331" s="141" t="n">
        <x:f>MAX(0,AE331)</x:f>
        <x:v>15243934.734800598</x:v>
      </x:c>
      <x:c r="AI331" s="141" t="n">
        <x:f>IF(AND($A331&gt;=Premissas!$B$48,$A331-Premissas!$B$48+1&lt;=Premissas!$B$13),INDEX(Amortizacao!$L$6:$L$485,$A331-Premissas!$B$48+1),0)</x:f>
        <x:v>0</x:v>
      </x:c>
      <x:c r="AJ331" s="141" t="n">
        <x:f>IF($A331&gt;=Premissas!$B$48,$F331,0)</x:f>
        <x:v>973881.244439995</x:v>
      </x:c>
      <x:c r="AK331" s="141" t="n">
        <x:f>AH331+AJ331-AI331</x:f>
        <x:v>16217815.979240593</x:v>
      </x:c>
      <x:c r="AL331" s="141" t="n">
        <x:f>IF(AG331&gt;1,"Inviavel",AK331)</x:f>
        <x:v>16217815.979240593</x:v>
      </x:c>
      <x:c r="AM331" s="141" t="str">
        <x:f>IF(AG331&gt;1,"Inviavel","OK")</x:f>
        <x:v>OK</x:v>
      </x:c>
      <x:c r="AN331" s="141" t="n">
        <x:f>IF($A331=Premissas!$B$48,Premissas!$B$8,0)</x:f>
        <x:v>0</x:v>
      </x:c>
      <x:c r="AO331" s="141" t="n">
        <x:f>IF($A331&lt;=Premissas!$B$25,INDEX('Consorcio IQ'!$K$6:$K$485,$A331),0)</x:f>
        <x:v>0</x:v>
      </x:c>
      <x:c r="AP331" s="141" t="n">
        <x:f>IF(AND(TRUE,Premissas!$B$11="Imovel",Premissas!$B$47="Moradia",$A331&lt;MAX(Premissas!$B$48,Premissas!$B$49)),$D331,0)</x:f>
        <x:v>0</x:v>
      </x:c>
      <x:c r="AQ331" s="141" t="n">
        <x:f>IF(AND(TRUE,Premissas!$B$11="Imovel",Premissas!$B$47="Investimento",$A331&gt;=MAX(Premissas!$B$48,Premissas!$B$49)),$E331,0)</x:f>
        <x:v>3086.3014020504215</x:v>
      </x:c>
      <x:c r="AR331" s="141" t="n">
        <x:f>AN331+AO331+AP331</x:f>
        <x:v>0</x:v>
      </x:c>
      <x:c r="AS331" s="141" t="n">
        <x:f>AQ331</x:f>
        <x:v>3086.3014020504215</x:v>
      </x:c>
      <x:c r="AT331" s="141" t="n">
        <x:f>$C331+AS331-AR331</x:f>
        <x:v>10086.301402050422</x:v>
      </x:c>
      <x:c r="AU331" s="141" t="n">
        <x:f>AX330*(1+Premissas!$B$41)+AT331</x:f>
        <x:v>15118342.271717206</x:v>
      </x:c>
      <x:c r="AV331" s="141" t="n">
        <x:f>MAX(0,-AU331)</x:f>
        <x:v>0</x:v>
      </x:c>
      <x:c r="AW331" s="141" t="n">
        <x:f>AW330*(1+Premissas!$B$41)+AV331</x:f>
        <x:v>0</x:v>
      </x:c>
      <x:c r="AX331" s="141" t="n">
        <x:f>MAX(0,AU331)</x:f>
        <x:v>15118342.271717206</x:v>
      </x:c>
      <x:c r="AY331" s="141" t="n">
        <x:f>INDEX('Consorcio IQ'!$P$6:$P$485,$A331)</x:f>
        <x:v>0</x:v>
      </x:c>
      <x:c r="AZ331" s="141" t="n">
        <x:f>IF($A331&gt;=Premissas!$B$48,$F331,0)+IF($A331&lt;Premissas!$B$27,INDEX('Consorcio IQ'!$O$6:$O$485,$A331),0)</x:f>
        <x:v>973881.244439995</x:v>
      </x:c>
      <x:c r="BA331" s="141" t="n">
        <x:f>AX331+AZ331-AY331</x:f>
        <x:v>16092223.5161572</x:v>
      </x:c>
      <x:c r="BB331" s="141" t="n">
        <x:f>IF(AW331&gt;1,"Inviavel",BA331)</x:f>
        <x:v>16092223.5161572</x:v>
      </x:c>
      <x:c r="BC331" s="141" t="str">
        <x:f>IF(AW331&gt;1,"Inviavel","OK")</x:f>
        <x:v>OK</x:v>
      </x:c>
      <x:c r="BD331" s="141" t="n">
        <x:f>IF($A331='Consorcio Direto'!$B$29,'Consorcio Direto'!$B$44,0)</x:f>
        <x:v>0</x:v>
      </x:c>
      <x:c r="BE331" s="141" t="n">
        <x:f>IF($A331&lt;='Consorcio Direto'!$B$27,INDEX('Consorcio Direto'!$E$55:$E$534,$A331),0)</x:f>
        <x:v>0</x:v>
      </x:c>
      <x:c r="BF331" s="141" t="n">
        <x:f>IF(AND(TRUE,Premissas!$B$11="Imovel",Premissas!$B$47="Moradia",$A331&lt;MAX('Consorcio Direto'!$B$29,Premissas!$B$49)),$D331,0)</x:f>
        <x:v>0</x:v>
      </x:c>
      <x:c r="BG331" s="141" t="n">
        <x:f>IF(AND(TRUE,Premissas!$B$11="Imovel",Premissas!$B$47="Investimento",$A331&gt;=MAX('Consorcio Direto'!$B$29,Premissas!$B$49)),$E331,0)</x:f>
        <x:v>3086.3014020504215</x:v>
      </x:c>
      <x:c r="BH331" s="141" t="n">
        <x:f>BD331+BE331+BF331</x:f>
        <x:v>0</x:v>
      </x:c>
      <x:c r="BI331" s="141" t="n">
        <x:f>BG331</x:f>
        <x:v>3086.3014020504215</x:v>
      </x:c>
      <x:c r="BJ331" s="141" t="n">
        <x:f>$C331+BI331-BH331</x:f>
        <x:v>10086.301402050422</x:v>
      </x:c>
      <x:c r="BK331" s="141" t="n">
        <x:f>BN330*(1+Premissas!$B$41)+BJ331</x:f>
        <x:v>14439591.699307293</x:v>
      </x:c>
      <x:c r="BL331" s="141" t="n">
        <x:f>MAX(0,-BK331)</x:f>
        <x:v>0</x:v>
      </x:c>
      <x:c r="BM331" s="141" t="n">
        <x:f>BM330*(1+Premissas!$B$41)+BL331</x:f>
        <x:v>0</x:v>
      </x:c>
      <x:c r="BN331" s="141" t="n">
        <x:f>MAX(0,BK331)</x:f>
        <x:v>14439591.699307293</x:v>
      </x:c>
      <x:c r="BO331" s="141" t="n">
        <x:f>INDEX('Consorcio Direto'!$K$55:$K$534,$A331)</x:f>
        <x:v>0</x:v>
      </x:c>
      <x:c r="BP331" s="141" t="n">
        <x:f>IF($A331&lt;'Consorcio Direto'!$B$29,INDEX('Consorcio Direto'!$L$55:$L$534,$A331),$F331)</x:f>
        <x:v>973881.244439995</x:v>
      </x:c>
      <x:c r="BQ331" s="141" t="n">
        <x:f>BN331+BP331-BO331</x:f>
        <x:v>15413472.943747288</x:v>
      </x:c>
      <x:c r="BR331" s="141" t="n">
        <x:f>IF(BM331&gt;1,"Inviavel",BQ331)</x:f>
        <x:v>15413472.943747288</x:v>
      </x:c>
      <x:c r="BS331" s="141" t="str">
        <x:f>IF(BM331&gt;1,"Inviavel","OK")</x:f>
        <x:v>OK</x:v>
      </x:c>
      <x:c r="BT331" s="141" t="n">
        <x:f>IF(AND('Carta Contemplada'!$B$22="Sim",$A331='Carta Contemplada'!$B$23),'Carta Contemplada'!$B$37,0)</x:f>
        <x:v>0</x:v>
      </x:c>
      <x:c r="BU331" s="141" t="n">
        <x:f>IF('Carta Contemplada'!$B$22="Sim",INDEX('Carta Contemplada'!$C$55:$C$1013,$A331),0)</x:f>
        <x:v>0</x:v>
      </x:c>
      <x:c r="BV331" s="141" t="n">
        <x:f>IF(AND('Carta Contemplada'!$B$22="Sim",Premissas!$B$11="Imovel",Premissas!$B$47="Moradia",$A331&lt;MAX('Carta Contemplada'!$B$44,Premissas!$B$49)),$D331,0)</x:f>
        <x:v>0</x:v>
      </x:c>
      <x:c r="BW331" s="141" t="n">
        <x:f>IF(AND('Carta Contemplada'!$B$22="Sim",Premissas!$B$11="Imovel",Premissas!$B$47="Investimento",$A331&gt;=MAX('Carta Contemplada'!$B$44,Premissas!$B$49)),$E331,0)</x:f>
        <x:v>3086.3014020504215</x:v>
      </x:c>
      <x:c r="BX331" s="141" t="n">
        <x:f>BT331+BU331+BV331</x:f>
        <x:v>0</x:v>
      </x:c>
      <x:c r="BY331" s="141" t="n">
        <x:f>BW331</x:f>
        <x:v>3086.3014020504215</x:v>
      </x:c>
      <x:c r="BZ331" s="141" t="n">
        <x:f>$C331+BY331-BX331</x:f>
        <x:v>10086.301402050422</x:v>
      </x:c>
      <x:c r="CA331" s="141" t="n">
        <x:f>CD330*(1+Premissas!$B$41)+BZ331</x:f>
        <x:v>15560655.323686156</x:v>
      </x:c>
      <x:c r="CB331" s="141" t="n">
        <x:f>MAX(0,-CA331)</x:f>
        <x:v>0</x:v>
      </x:c>
      <x:c r="CC331" s="141" t="n">
        <x:f>CC330*(1+Premissas!$B$41)+CB331</x:f>
        <x:v>0</x:v>
      </x:c>
      <x:c r="CD331" s="141" t="n">
        <x:f>MAX(0,CA331)</x:f>
        <x:v>15560655.323686156</x:v>
      </x:c>
      <x:c r="CE331" s="141" t="n">
        <x:f>IF(AND('Carta Contemplada'!$B$22="Sim",$A331&gt;='Carta Contemplada'!$B$23),INDEX('Carta Contemplada'!$I$55:$I$1013,$A331),0)</x:f>
        <x:v>0</x:v>
      </x:c>
      <x:c r="CF331" s="141" t="n">
        <x:f>IF(AND('Carta Contemplada'!$B$22="Sim",$A331&gt;='Carta Contemplada'!$B$44),$F331,0)</x:f>
        <x:v>973881.244439995</x:v>
      </x:c>
      <x:c r="CG331" s="141" t="n">
        <x:f>CD331+CF331-CE331</x:f>
        <x:v>16534536.568126151</x:v>
      </x:c>
      <x:c r="CH331" s="141" t="n">
        <x:f>IF(CC331&gt;1,"Inviavel",CG331)</x:f>
        <x:v>16534536.568126151</x:v>
      </x:c>
      <x:c r="CI331" s="145" t="str">
        <x:f>IF(CC331&gt;1,"Inviavel","OK")</x:f>
        <x:v>OK</x:v>
      </x:c>
    </x:row>
    <x:row r="332">
      <x:c r="A332" s="142" t="n">
        <x:v>328</x:v>
      </x:c>
      <x:c r="B332" s="179" t="n">
        <x:f>EDATE(Premissas!$B$4,A332-1)</x:f>
        <x:v>56493</x:v>
      </x:c>
      <x:c r="C332" s="141" t="n">
        <x:f>IF(A332&lt;=Premissas!$B$39,Premissas!$B$42,0)</x:f>
        <x:v>7000</x:v>
      </x:c>
      <x:c r="D332" s="141" t="n">
        <x:f>Premissas!$B$54*(1+Premissas!$B$57)^INT((A332-1)/12)</x:f>
        <x:v>3375.6421584926484</x:v>
      </x:c>
      <x:c r="E332" s="141" t="n">
        <x:f>Premissas!$B$64*(1+Premissas!$B$57)^INT((A332-1)/12)</x:f>
        <x:v>3086.3014020504215</x:v>
      </x:c>
      <x:c r="F332" s="141" t="n">
        <x:f>MAX(0,Premissas!$B$6*(1+Premissas!$B$66)^((A332-1)/12))</x:f>
        <x:v>978621.660641946</x:v>
      </x:c>
      <x:c r="G332" s="141" t="n">
        <x:f>G331*(1+Premissas!$B$41)+C332</x:f>
        <x:v>17573958.393431272</x:v>
      </x:c>
      <x:c r="H332" s="141" t="n">
        <x:f>IF($A332=Premissas!$B$48,Premissas!$B$8,0)</x:f>
        <x:v>0</x:v>
      </x:c>
      <x:c r="I332" s="141" t="n">
        <x:f>IF(AND($A332&gt;=Premissas!$B$48,$A332-Premissas!$B$48+1&lt;=Premissas!$B$13),INDEX(Financiamento!$J$6:$J$485,$A332-Premissas!$B$48+1),0)</x:f>
        <x:v>867.1267592061813</x:v>
      </x:c>
      <x:c r="J332" s="141" t="n">
        <x:f>IF(AND(TRUE,Premissas!$B$11="Imovel",Premissas!$B$47="Moradia",$A332&lt;MAX(Premissas!$B$48,Premissas!$B$49)),$D332,0)</x:f>
        <x:v>0</x:v>
      </x:c>
      <x:c r="K332" s="141" t="n">
        <x:f>IF(AND(TRUE,Premissas!$B$11="Imovel",Premissas!$B$47="Investimento",$A332&gt;=MAX(Premissas!$B$48,Premissas!$B$49)),$E332,0)</x:f>
        <x:v>3086.3014020504215</x:v>
      </x:c>
      <x:c r="L332" s="141" t="n">
        <x:f>H332+I332+J332</x:f>
        <x:v>867.1267592061813</x:v>
      </x:c>
      <x:c r="M332" s="141" t="n">
        <x:f>K332</x:f>
        <x:v>3086.3014020504215</x:v>
      </x:c>
      <x:c r="N332" s="141" t="n">
        <x:f>$C332+M332-L332</x:f>
        <x:v>9219.17464284424</x:v>
      </x:c>
      <x:c r="O332" s="141" t="n">
        <x:f>R331*(1+Premissas!$B$41)+N332</x:f>
        <x:v>15178234.209480934</x:v>
      </x:c>
      <x:c r="P332" s="141" t="n">
        <x:f>MAX(0,-O332)</x:f>
        <x:v>0</x:v>
      </x:c>
      <x:c r="Q332" s="141" t="n">
        <x:f>Q331*(1+Premissas!$B$41)+P332</x:f>
        <x:v>0</x:v>
      </x:c>
      <x:c r="R332" s="141" t="n">
        <x:f>MAX(0,O332)</x:f>
        <x:v>15178234.209480934</x:v>
      </x:c>
      <x:c r="S332" s="141" t="n">
        <x:f>IF(AND($A332&gt;=Premissas!$B$48,$A332-Premissas!$B$48+1&lt;=Premissas!$B$13),INDEX(Financiamento!$M$6:$M$485,$A332-Premissas!$B$48+1),0)</x:f>
        <x:v>35047.6190476191</x:v>
      </x:c>
      <x:c r="T332" s="141" t="n">
        <x:f>IF($A332&gt;=Premissas!$B$48,$F332,0)</x:f>
        <x:v>978621.660641946</x:v>
      </x:c>
      <x:c r="U332" s="141" t="n">
        <x:f>R332+T332-S332</x:f>
        <x:v>16121808.25107526</x:v>
      </x:c>
      <x:c r="V332" s="141" t="n">
        <x:f>IF(Q332&gt;1,"Inviavel",U332)</x:f>
        <x:v>16121808.25107526</x:v>
      </x:c>
      <x:c r="W332" s="141" t="str">
        <x:f>IF(Q332&gt;1,"Inviavel","OK")</x:f>
        <x:v>OK</x:v>
      </x:c>
      <x:c r="X332" s="141" t="n">
        <x:f>IF($A332=Premissas!$B$48,Premissas!$B$8,0)</x:f>
        <x:v>0</x:v>
      </x:c>
      <x:c r="Y332" s="141" t="n">
        <x:f>IF(AND($A332&gt;=Premissas!$B$48,$A332-Premissas!$B$48+1&lt;=Premissas!$B$13),INDEX(Amortizacao!$K$6:$K$485,$A332-Premissas!$B$48+1),0)</x:f>
        <x:v>0</x:v>
      </x:c>
      <x:c r="Z332" s="141" t="n">
        <x:f>IF(AND(TRUE,Premissas!$B$11="Imovel",Premissas!$B$47="Moradia",$A332&lt;MAX(Premissas!$B$48,Premissas!$B$49)),$D332,0)</x:f>
        <x:v>0</x:v>
      </x:c>
      <x:c r="AA332" s="141" t="n">
        <x:f>IF(AND(TRUE,Premissas!$B$11="Imovel",Premissas!$B$47="Investimento",$A332&gt;=MAX(Premissas!$B$48,Premissas!$B$49)),$E332,0)</x:f>
        <x:v>3086.3014020504215</x:v>
      </x:c>
      <x:c r="AB332" s="141" t="n">
        <x:f>X332+Y332+Z332</x:f>
        <x:v>0</x:v>
      </x:c>
      <x:c r="AC332" s="141" t="n">
        <x:f>AA332</x:f>
        <x:v>3086.3014020504215</x:v>
      </x:c>
      <x:c r="AD332" s="141" t="n">
        <x:f>$C332+AC332-AB332</x:f>
        <x:v>10086.301402050422</x:v>
      </x:c>
      <x:c r="AE332" s="141" t="n">
        <x:f>AH331*(1+Premissas!$B$41)+AD332</x:f>
        <x:v>15398667.57640947</x:v>
      </x:c>
      <x:c r="AF332" s="141" t="n">
        <x:f>MAX(0,-AE332)</x:f>
        <x:v>0</x:v>
      </x:c>
      <x:c r="AG332" s="141" t="n">
        <x:f>AG331*(1+Premissas!$B$41)+AF332</x:f>
        <x:v>0</x:v>
      </x:c>
      <x:c r="AH332" s="141" t="n">
        <x:f>MAX(0,AE332)</x:f>
        <x:v>15398667.57640947</x:v>
      </x:c>
      <x:c r="AI332" s="141" t="n">
        <x:f>IF(AND($A332&gt;=Premissas!$B$48,$A332-Premissas!$B$48+1&lt;=Premissas!$B$13),INDEX(Amortizacao!$L$6:$L$485,$A332-Premissas!$B$48+1),0)</x:f>
        <x:v>0</x:v>
      </x:c>
      <x:c r="AJ332" s="141" t="n">
        <x:f>IF($A332&gt;=Premissas!$B$48,$F332,0)</x:f>
        <x:v>978621.660641946</x:v>
      </x:c>
      <x:c r="AK332" s="141" t="n">
        <x:f>AH332+AJ332-AI332</x:f>
        <x:v>16377289.237051416</x:v>
      </x:c>
      <x:c r="AL332" s="141" t="n">
        <x:f>IF(AG332&gt;1,"Inviavel",AK332)</x:f>
        <x:v>16377289.237051416</x:v>
      </x:c>
      <x:c r="AM332" s="141" t="str">
        <x:f>IF(AG332&gt;1,"Inviavel","OK")</x:f>
        <x:v>OK</x:v>
      </x:c>
      <x:c r="AN332" s="141" t="n">
        <x:f>IF($A332=Premissas!$B$48,Premissas!$B$8,0)</x:f>
        <x:v>0</x:v>
      </x:c>
      <x:c r="AO332" s="141" t="n">
        <x:f>IF($A332&lt;=Premissas!$B$25,INDEX('Consorcio IQ'!$K$6:$K$485,$A332),0)</x:f>
        <x:v>0</x:v>
      </x:c>
      <x:c r="AP332" s="141" t="n">
        <x:f>IF(AND(TRUE,Premissas!$B$11="Imovel",Premissas!$B$47="Moradia",$A332&lt;MAX(Premissas!$B$48,Premissas!$B$49)),$D332,0)</x:f>
        <x:v>0</x:v>
      </x:c>
      <x:c r="AQ332" s="141" t="n">
        <x:f>IF(AND(TRUE,Premissas!$B$11="Imovel",Premissas!$B$47="Investimento",$A332&gt;=MAX(Premissas!$B$48,Premissas!$B$49)),$E332,0)</x:f>
        <x:v>3086.3014020504215</x:v>
      </x:c>
      <x:c r="AR332" s="141" t="n">
        <x:f>AN332+AO332+AP332</x:f>
        <x:v>0</x:v>
      </x:c>
      <x:c r="AS332" s="141" t="n">
        <x:f>AQ332</x:f>
        <x:v>3086.3014020504215</x:v>
      </x:c>
      <x:c r="AT332" s="141" t="n">
        <x:f>$C332+AS332-AR332</x:f>
        <x:v>10086.301402050422</x:v>
      </x:c>
      <x:c r="AU332" s="141" t="n">
        <x:f>AX331*(1+Premissas!$B$41)+AT332</x:f>
        <x:v>15271883.392449735</x:v>
      </x:c>
      <x:c r="AV332" s="141" t="n">
        <x:f>MAX(0,-AU332)</x:f>
        <x:v>0</x:v>
      </x:c>
      <x:c r="AW332" s="141" t="n">
        <x:f>AW331*(1+Premissas!$B$41)+AV332</x:f>
        <x:v>0</x:v>
      </x:c>
      <x:c r="AX332" s="141" t="n">
        <x:f>MAX(0,AU332)</x:f>
        <x:v>15271883.392449735</x:v>
      </x:c>
      <x:c r="AY332" s="141" t="n">
        <x:f>INDEX('Consorcio IQ'!$P$6:$P$485,$A332)</x:f>
        <x:v>0</x:v>
      </x:c>
      <x:c r="AZ332" s="141" t="n">
        <x:f>IF($A332&gt;=Premissas!$B$48,$F332,0)+IF($A332&lt;Premissas!$B$27,INDEX('Consorcio IQ'!$O$6:$O$485,$A332),0)</x:f>
        <x:v>978621.660641946</x:v>
      </x:c>
      <x:c r="BA332" s="141" t="n">
        <x:f>AX332+AZ332-AY332</x:f>
        <x:v>16250505.05309168</x:v>
      </x:c>
      <x:c r="BB332" s="141" t="n">
        <x:f>IF(AW332&gt;1,"Inviavel",BA332)</x:f>
        <x:v>16250505.05309168</x:v>
      </x:c>
      <x:c r="BC332" s="141" t="str">
        <x:f>IF(AW332&gt;1,"Inviavel","OK")</x:f>
        <x:v>OK</x:v>
      </x:c>
      <x:c r="BD332" s="141" t="n">
        <x:f>IF($A332='Consorcio Direto'!$B$29,'Consorcio Direto'!$B$44,0)</x:f>
        <x:v>0</x:v>
      </x:c>
      <x:c r="BE332" s="141" t="n">
        <x:f>IF($A332&lt;='Consorcio Direto'!$B$27,INDEX('Consorcio Direto'!$E$55:$E$534,$A332),0)</x:f>
        <x:v>0</x:v>
      </x:c>
      <x:c r="BF332" s="141" t="n">
        <x:f>IF(AND(TRUE,Premissas!$B$11="Imovel",Premissas!$B$47="Moradia",$A332&lt;MAX('Consorcio Direto'!$B$29,Premissas!$B$49)),$D332,0)</x:f>
        <x:v>0</x:v>
      </x:c>
      <x:c r="BG332" s="141" t="n">
        <x:f>IF(AND(TRUE,Premissas!$B$11="Imovel",Premissas!$B$47="Investimento",$A332&gt;=MAX('Consorcio Direto'!$B$29,Premissas!$B$49)),$E332,0)</x:f>
        <x:v>3086.3014020504215</x:v>
      </x:c>
      <x:c r="BH332" s="141" t="n">
        <x:f>BD332+BE332+BF332</x:f>
        <x:v>0</x:v>
      </x:c>
      <x:c r="BI332" s="141" t="n">
        <x:f>BG332</x:f>
        <x:v>3086.3014020504215</x:v>
      </x:c>
      <x:c r="BJ332" s="141" t="n">
        <x:f>$C332+BI332-BH332</x:f>
        <x:v>10086.301402050422</x:v>
      </x:c>
      <x:c r="BK332" s="141" t="n">
        <x:f>BN331*(1+Premissas!$B$41)+BJ332</x:f>
        <x:v>14586692.296403995</x:v>
      </x:c>
      <x:c r="BL332" s="141" t="n">
        <x:f>MAX(0,-BK332)</x:f>
        <x:v>0</x:v>
      </x:c>
      <x:c r="BM332" s="141" t="n">
        <x:f>BM331*(1+Premissas!$B$41)+BL332</x:f>
        <x:v>0</x:v>
      </x:c>
      <x:c r="BN332" s="141" t="n">
        <x:f>MAX(0,BK332)</x:f>
        <x:v>14586692.296403995</x:v>
      </x:c>
      <x:c r="BO332" s="141" t="n">
        <x:f>INDEX('Consorcio Direto'!$K$55:$K$534,$A332)</x:f>
        <x:v>0</x:v>
      </x:c>
      <x:c r="BP332" s="141" t="n">
        <x:f>IF($A332&lt;'Consorcio Direto'!$B$29,INDEX('Consorcio Direto'!$L$55:$L$534,$A332),$F332)</x:f>
        <x:v>978621.660641946</x:v>
      </x:c>
      <x:c r="BQ332" s="141" t="n">
        <x:f>BN332+BP332-BO332</x:f>
        <x:v>15565313.95704594</x:v>
      </x:c>
      <x:c r="BR332" s="141" t="n">
        <x:f>IF(BM332&gt;1,"Inviavel",BQ332)</x:f>
        <x:v>15565313.95704594</x:v>
      </x:c>
      <x:c r="BS332" s="141" t="str">
        <x:f>IF(BM332&gt;1,"Inviavel","OK")</x:f>
        <x:v>OK</x:v>
      </x:c>
      <x:c r="BT332" s="141" t="n">
        <x:f>IF(AND('Carta Contemplada'!$B$22="Sim",$A332='Carta Contemplada'!$B$23),'Carta Contemplada'!$B$37,0)</x:f>
        <x:v>0</x:v>
      </x:c>
      <x:c r="BU332" s="141" t="n">
        <x:f>IF('Carta Contemplada'!$B$22="Sim",INDEX('Carta Contemplada'!$C$55:$C$1013,$A332),0)</x:f>
        <x:v>0</x:v>
      </x:c>
      <x:c r="BV332" s="141" t="n">
        <x:f>IF(AND('Carta Contemplada'!$B$22="Sim",Premissas!$B$11="Imovel",Premissas!$B$47="Moradia",$A332&lt;MAX('Carta Contemplada'!$B$44,Premissas!$B$49)),$D332,0)</x:f>
        <x:v>0</x:v>
      </x:c>
      <x:c r="BW332" s="141" t="n">
        <x:f>IF(AND('Carta Contemplada'!$B$22="Sim",Premissas!$B$11="Imovel",Premissas!$B$47="Investimento",$A332&gt;=MAX('Carta Contemplada'!$B$44,Premissas!$B$49)),$E332,0)</x:f>
        <x:v>3086.3014020504215</x:v>
      </x:c>
      <x:c r="BX332" s="141" t="n">
        <x:f>BT332+BU332+BV332</x:f>
        <x:v>0</x:v>
      </x:c>
      <x:c r="BY332" s="141" t="n">
        <x:f>BW332</x:f>
        <x:v>3086.3014020504215</x:v>
      </x:c>
      <x:c r="BZ332" s="141" t="n">
        <x:f>$C332+BY332-BX332</x:f>
        <x:v>10086.301402050422</x:v>
      </x:c>
      <x:c r="CA332" s="141" t="n">
        <x:f>CD331*(1+Premissas!$B$41)+BZ332</x:f>
        <x:v>15718393.461381083</x:v>
      </x:c>
      <x:c r="CB332" s="141" t="n">
        <x:f>MAX(0,-CA332)</x:f>
        <x:v>0</x:v>
      </x:c>
      <x:c r="CC332" s="141" t="n">
        <x:f>CC331*(1+Premissas!$B$41)+CB332</x:f>
        <x:v>0</x:v>
      </x:c>
      <x:c r="CD332" s="141" t="n">
        <x:f>MAX(0,CA332)</x:f>
        <x:v>15718393.461381083</x:v>
      </x:c>
      <x:c r="CE332" s="141" t="n">
        <x:f>IF(AND('Carta Contemplada'!$B$22="Sim",$A332&gt;='Carta Contemplada'!$B$23),INDEX('Carta Contemplada'!$I$55:$I$1013,$A332),0)</x:f>
        <x:v>0</x:v>
      </x:c>
      <x:c r="CF332" s="141" t="n">
        <x:f>IF(AND('Carta Contemplada'!$B$22="Sim",$A332&gt;='Carta Contemplada'!$B$44),$F332,0)</x:f>
        <x:v>978621.660641946</x:v>
      </x:c>
      <x:c r="CG332" s="141" t="n">
        <x:f>CD332+CF332-CE332</x:f>
        <x:v>16697015.12202303</x:v>
      </x:c>
      <x:c r="CH332" s="141" t="n">
        <x:f>IF(CC332&gt;1,"Inviavel",CG332)</x:f>
        <x:v>16697015.12202303</x:v>
      </x:c>
      <x:c r="CI332" s="145" t="str">
        <x:f>IF(CC332&gt;1,"Inviavel","OK")</x:f>
        <x:v>OK</x:v>
      </x:c>
    </x:row>
    <x:row r="333">
      <x:c r="A333" s="142" t="n">
        <x:v>329</x:v>
      </x:c>
      <x:c r="B333" s="179" t="n">
        <x:f>EDATE(Premissas!$B$4,A333-1)</x:f>
        <x:v>56523</x:v>
      </x:c>
      <x:c r="C333" s="141" t="n">
        <x:f>IF(A333&lt;=Premissas!$B$39,Premissas!$B$42,0)</x:f>
        <x:v>7000</x:v>
      </x:c>
      <x:c r="D333" s="141" t="n">
        <x:f>Premissas!$B$54*(1+Premissas!$B$57)^INT((A333-1)/12)</x:f>
        <x:v>3375.6421584926484</x:v>
      </x:c>
      <x:c r="E333" s="141" t="n">
        <x:f>Premissas!$B$64*(1+Premissas!$B$57)^INT((A333-1)/12)</x:f>
        <x:v>3086.3014020504215</x:v>
      </x:c>
      <x:c r="F333" s="141" t="n">
        <x:f>MAX(0,Premissas!$B$6*(1+Premissas!$B$66)^((A333-1)/12))</x:f>
        <x:v>983385.1510594606</x:v>
      </x:c>
      <x:c r="G333" s="141" t="n">
        <x:f>G332*(1+Premissas!$B$41)+C333</x:f>
        <x:v>17747714.045667518</x:v>
      </x:c>
      <x:c r="H333" s="141" t="n">
        <x:f>IF($A333=Premissas!$B$48,Premissas!$B$8,0)</x:f>
        <x:v>0</x:v>
      </x:c>
      <x:c r="I333" s="141" t="n">
        <x:f>IF(AND($A333&gt;=Premissas!$B$48,$A333-Premissas!$B$48+1&lt;=Premissas!$B$13),INDEX(Financiamento!$J$6:$J$485,$A333-Premissas!$B$48+1),0)</x:f>
        <x:v>863.5119809453877</x:v>
      </x:c>
      <x:c r="J333" s="141" t="n">
        <x:f>IF(AND(TRUE,Premissas!$B$11="Imovel",Premissas!$B$47="Moradia",$A333&lt;MAX(Premissas!$B$48,Premissas!$B$49)),$D333,0)</x:f>
        <x:v>0</x:v>
      </x:c>
      <x:c r="K333" s="141" t="n">
        <x:f>IF(AND(TRUE,Premissas!$B$11="Imovel",Premissas!$B$47="Investimento",$A333&gt;=MAX(Premissas!$B$48,Premissas!$B$49)),$E333,0)</x:f>
        <x:v>3086.3014020504215</x:v>
      </x:c>
      <x:c r="L333" s="141" t="n">
        <x:f>H333+I333+J333</x:f>
        <x:v>863.5119809453877</x:v>
      </x:c>
      <x:c r="M333" s="141" t="n">
        <x:f>K333</x:f>
        <x:v>3086.3014020504215</x:v>
      </x:c>
      <x:c r="N333" s="141" t="n">
        <x:f>$C333+M333-L333</x:f>
        <x:v>9222.789421105033</x:v>
      </x:c>
      <x:c r="O333" s="141" t="n">
        <x:f>R332*(1+Premissas!$B$41)+N333</x:f>
        <x:v>15331480.12042841</x:v>
      </x:c>
      <x:c r="P333" s="141" t="n">
        <x:f>MAX(0,-O333)</x:f>
        <x:v>0</x:v>
      </x:c>
      <x:c r="Q333" s="141" t="n">
        <x:f>Q332*(1+Premissas!$B$41)+P333</x:f>
        <x:v>0</x:v>
      </x:c>
      <x:c r="R333" s="141" t="n">
        <x:f>MAX(0,O333)</x:f>
        <x:v>15331480.12042841</x:v>
      </x:c>
      <x:c r="S333" s="141" t="n">
        <x:f>IF(AND($A333&gt;=Premissas!$B$48,$A333-Premissas!$B$48+1&lt;=Premissas!$B$13),INDEX(Financiamento!$M$6:$M$485,$A333-Premissas!$B$48+1),0)</x:f>
        <x:v>34666.666666666715</x:v>
      </x:c>
      <x:c r="T333" s="141" t="n">
        <x:f>IF($A333&gt;=Premissas!$B$48,$F333,0)</x:f>
        <x:v>983385.1510594606</x:v>
      </x:c>
      <x:c r="U333" s="141" t="n">
        <x:f>R333+T333-S333</x:f>
        <x:v>16280198.604821203</x:v>
      </x:c>
      <x:c r="V333" s="141" t="n">
        <x:f>IF(Q333&gt;1,"Inviavel",U333)</x:f>
        <x:v>16280198.604821203</x:v>
      </x:c>
      <x:c r="W333" s="141" t="str">
        <x:f>IF(Q333&gt;1,"Inviavel","OK")</x:f>
        <x:v>OK</x:v>
      </x:c>
      <x:c r="X333" s="141" t="n">
        <x:f>IF($A333=Premissas!$B$48,Premissas!$B$8,0)</x:f>
        <x:v>0</x:v>
      </x:c>
      <x:c r="Y333" s="141" t="n">
        <x:f>IF(AND($A333&gt;=Premissas!$B$48,$A333-Premissas!$B$48+1&lt;=Premissas!$B$13),INDEX(Amortizacao!$K$6:$K$485,$A333-Premissas!$B$48+1),0)</x:f>
        <x:v>0</x:v>
      </x:c>
      <x:c r="Z333" s="141" t="n">
        <x:f>IF(AND(TRUE,Premissas!$B$11="Imovel",Premissas!$B$47="Moradia",$A333&lt;MAX(Premissas!$B$48,Premissas!$B$49)),$D333,0)</x:f>
        <x:v>0</x:v>
      </x:c>
      <x:c r="AA333" s="141" t="n">
        <x:f>IF(AND(TRUE,Premissas!$B$11="Imovel",Premissas!$B$47="Investimento",$A333&gt;=MAX(Premissas!$B$48,Premissas!$B$49)),$E333,0)</x:f>
        <x:v>3086.3014020504215</x:v>
      </x:c>
      <x:c r="AB333" s="141" t="n">
        <x:f>X333+Y333+Z333</x:f>
        <x:v>0</x:v>
      </x:c>
      <x:c r="AC333" s="141" t="n">
        <x:f>AA333</x:f>
        <x:v>3086.3014020504215</x:v>
      </x:c>
      <x:c r="AD333" s="141" t="n">
        <x:f>$C333+AC333-AB333</x:f>
        <x:v>10086.301402050422</x:v>
      </x:c>
      <x:c r="AE333" s="141" t="n">
        <x:f>AH332*(1+Premissas!$B$41)+AD333</x:f>
        <x:v>15554868.645912549</x:v>
      </x:c>
      <x:c r="AF333" s="141" t="n">
        <x:f>MAX(0,-AE333)</x:f>
        <x:v>0</x:v>
      </x:c>
      <x:c r="AG333" s="141" t="n">
        <x:f>AG332*(1+Premissas!$B$41)+AF333</x:f>
        <x:v>0</x:v>
      </x:c>
      <x:c r="AH333" s="141" t="n">
        <x:f>MAX(0,AE333)</x:f>
        <x:v>15554868.645912549</x:v>
      </x:c>
      <x:c r="AI333" s="141" t="n">
        <x:f>IF(AND($A333&gt;=Premissas!$B$48,$A333-Premissas!$B$48+1&lt;=Premissas!$B$13),INDEX(Amortizacao!$L$6:$L$485,$A333-Premissas!$B$48+1),0)</x:f>
        <x:v>0</x:v>
      </x:c>
      <x:c r="AJ333" s="141" t="n">
        <x:f>IF($A333&gt;=Premissas!$B$48,$F333,0)</x:f>
        <x:v>983385.1510594606</x:v>
      </x:c>
      <x:c r="AK333" s="141" t="n">
        <x:f>AH333+AJ333-AI333</x:f>
        <x:v>16538253.796972008</x:v>
      </x:c>
      <x:c r="AL333" s="141" t="n">
        <x:f>IF(AG333&gt;1,"Inviavel",AK333)</x:f>
        <x:v>16538253.796972008</x:v>
      </x:c>
      <x:c r="AM333" s="141" t="str">
        <x:f>IF(AG333&gt;1,"Inviavel","OK")</x:f>
        <x:v>OK</x:v>
      </x:c>
      <x:c r="AN333" s="141" t="n">
        <x:f>IF($A333=Premissas!$B$48,Premissas!$B$8,0)</x:f>
        <x:v>0</x:v>
      </x:c>
      <x:c r="AO333" s="141" t="n">
        <x:f>IF($A333&lt;=Premissas!$B$25,INDEX('Consorcio IQ'!$K$6:$K$485,$A333),0)</x:f>
        <x:v>0</x:v>
      </x:c>
      <x:c r="AP333" s="141" t="n">
        <x:f>IF(AND(TRUE,Premissas!$B$11="Imovel",Premissas!$B$47="Moradia",$A333&lt;MAX(Premissas!$B$48,Premissas!$B$49)),$D333,0)</x:f>
        <x:v>0</x:v>
      </x:c>
      <x:c r="AQ333" s="141" t="n">
        <x:f>IF(AND(TRUE,Premissas!$B$11="Imovel",Premissas!$B$47="Investimento",$A333&gt;=MAX(Premissas!$B$48,Premissas!$B$49)),$E333,0)</x:f>
        <x:v>3086.3014020504215</x:v>
      </x:c>
      <x:c r="AR333" s="141" t="n">
        <x:f>AN333+AO333+AP333</x:f>
        <x:v>0</x:v>
      </x:c>
      <x:c r="AS333" s="141" t="n">
        <x:f>AQ333</x:f>
        <x:v>3086.3014020504215</x:v>
      </x:c>
      <x:c r="AT333" s="141" t="n">
        <x:f>$C333+AS333-AR333</x:f>
        <x:v>10086.301402050422</x:v>
      </x:c>
      <x:c r="AU333" s="141" t="n">
        <x:f>AX332*(1+Premissas!$B$41)+AT333</x:f>
        <x:v>15426881.43308384</x:v>
      </x:c>
      <x:c r="AV333" s="141" t="n">
        <x:f>MAX(0,-AU333)</x:f>
        <x:v>0</x:v>
      </x:c>
      <x:c r="AW333" s="141" t="n">
        <x:f>AW332*(1+Premissas!$B$41)+AV333</x:f>
        <x:v>0</x:v>
      </x:c>
      <x:c r="AX333" s="141" t="n">
        <x:f>MAX(0,AU333)</x:f>
        <x:v>15426881.43308384</x:v>
      </x:c>
      <x:c r="AY333" s="141" t="n">
        <x:f>INDEX('Consorcio IQ'!$P$6:$P$485,$A333)</x:f>
        <x:v>0</x:v>
      </x:c>
      <x:c r="AZ333" s="141" t="n">
        <x:f>IF($A333&gt;=Premissas!$B$48,$F333,0)+IF($A333&lt;Premissas!$B$27,INDEX('Consorcio IQ'!$O$6:$O$485,$A333),0)</x:f>
        <x:v>983385.1510594606</x:v>
      </x:c>
      <x:c r="BA333" s="141" t="n">
        <x:f>AX333+AZ333-AY333</x:f>
        <x:v>16410266.5841433</x:v>
      </x:c>
      <x:c r="BB333" s="141" t="n">
        <x:f>IF(AW333&gt;1,"Inviavel",BA333)</x:f>
        <x:v>16410266.5841433</x:v>
      </x:c>
      <x:c r="BC333" s="141" t="str">
        <x:f>IF(AW333&gt;1,"Inviavel","OK")</x:f>
        <x:v>OK</x:v>
      </x:c>
      <x:c r="BD333" s="141" t="n">
        <x:f>IF($A333='Consorcio Direto'!$B$29,'Consorcio Direto'!$B$44,0)</x:f>
        <x:v>0</x:v>
      </x:c>
      <x:c r="BE333" s="141" t="n">
        <x:f>IF($A333&lt;='Consorcio Direto'!$B$27,INDEX('Consorcio Direto'!$E$55:$E$534,$A333),0)</x:f>
        <x:v>0</x:v>
      </x:c>
      <x:c r="BF333" s="141" t="n">
        <x:f>IF(AND(TRUE,Premissas!$B$11="Imovel",Premissas!$B$47="Moradia",$A333&lt;MAX('Consorcio Direto'!$B$29,Premissas!$B$49)),$D333,0)</x:f>
        <x:v>0</x:v>
      </x:c>
      <x:c r="BG333" s="141" t="n">
        <x:f>IF(AND(TRUE,Premissas!$B$11="Imovel",Premissas!$B$47="Investimento",$A333&gt;=MAX('Consorcio Direto'!$B$29,Premissas!$B$49)),$E333,0)</x:f>
        <x:v>3086.3014020504215</x:v>
      </x:c>
      <x:c r="BH333" s="141" t="n">
        <x:f>BD333+BE333+BF333</x:f>
        <x:v>0</x:v>
      </x:c>
      <x:c r="BI333" s="141" t="n">
        <x:f>BG333</x:f>
        <x:v>3086.3014020504215</x:v>
      </x:c>
      <x:c r="BJ333" s="141" t="n">
        <x:f>$C333+BI333-BH333</x:f>
        <x:v>10086.301402050422</x:v>
      </x:c>
      <x:c r="BK333" s="141" t="n">
        <x:f>BN332*(1+Premissas!$B$41)+BJ333</x:f>
        <x:v>14735188.7006071</x:v>
      </x:c>
      <x:c r="BL333" s="141" t="n">
        <x:f>MAX(0,-BK333)</x:f>
        <x:v>0</x:v>
      </x:c>
      <x:c r="BM333" s="141" t="n">
        <x:f>BM332*(1+Premissas!$B$41)+BL333</x:f>
        <x:v>0</x:v>
      </x:c>
      <x:c r="BN333" s="141" t="n">
        <x:f>MAX(0,BK333)</x:f>
        <x:v>14735188.7006071</x:v>
      </x:c>
      <x:c r="BO333" s="141" t="n">
        <x:f>INDEX('Consorcio Direto'!$K$55:$K$534,$A333)</x:f>
        <x:v>0</x:v>
      </x:c>
      <x:c r="BP333" s="141" t="n">
        <x:f>IF($A333&lt;'Consorcio Direto'!$B$29,INDEX('Consorcio Direto'!$L$55:$L$534,$A333),$F333)</x:f>
        <x:v>983385.1510594606</x:v>
      </x:c>
      <x:c r="BQ333" s="141" t="n">
        <x:f>BN333+BP333-BO333</x:f>
        <x:v>15718573.85166656</x:v>
      </x:c>
      <x:c r="BR333" s="141" t="n">
        <x:f>IF(BM333&gt;1,"Inviavel",BQ333)</x:f>
        <x:v>15718573.85166656</x:v>
      </x:c>
      <x:c r="BS333" s="141" t="str">
        <x:f>IF(BM333&gt;1,"Inviavel","OK")</x:f>
        <x:v>OK</x:v>
      </x:c>
      <x:c r="BT333" s="141" t="n">
        <x:f>IF(AND('Carta Contemplada'!$B$22="Sim",$A333='Carta Contemplada'!$B$23),'Carta Contemplada'!$B$37,0)</x:f>
        <x:v>0</x:v>
      </x:c>
      <x:c r="BU333" s="141" t="n">
        <x:f>IF('Carta Contemplada'!$B$22="Sim",INDEX('Carta Contemplada'!$C$55:$C$1013,$A333),0)</x:f>
        <x:v>0</x:v>
      </x:c>
      <x:c r="BV333" s="141" t="n">
        <x:f>IF(AND('Carta Contemplada'!$B$22="Sim",Premissas!$B$11="Imovel",Premissas!$B$47="Moradia",$A333&lt;MAX('Carta Contemplada'!$B$44,Premissas!$B$49)),$D333,0)</x:f>
        <x:v>0</x:v>
      </x:c>
      <x:c r="BW333" s="141" t="n">
        <x:f>IF(AND('Carta Contemplada'!$B$22="Sim",Premissas!$B$11="Imovel",Premissas!$B$47="Investimento",$A333&gt;=MAX('Carta Contemplada'!$B$44,Premissas!$B$49)),$E333,0)</x:f>
        <x:v>3086.3014020504215</x:v>
      </x:c>
      <x:c r="BX333" s="141" t="n">
        <x:f>BT333+BU333+BV333</x:f>
        <x:v>0</x:v>
      </x:c>
      <x:c r="BY333" s="141" t="n">
        <x:f>BW333</x:f>
        <x:v>3086.3014020504215</x:v>
      </x:c>
      <x:c r="BZ333" s="141" t="n">
        <x:f>$C333+BY333-BX333</x:f>
        <x:v>10086.301402050422</x:v>
      </x:c>
      <x:c r="CA333" s="141" t="n">
        <x:f>CD332*(1+Premissas!$B$41)+BZ333</x:f>
        <x:v>15877628.343602484</x:v>
      </x:c>
      <x:c r="CB333" s="141" t="n">
        <x:f>MAX(0,-CA333)</x:f>
        <x:v>0</x:v>
      </x:c>
      <x:c r="CC333" s="141" t="n">
        <x:f>CC332*(1+Premissas!$B$41)+CB333</x:f>
        <x:v>0</x:v>
      </x:c>
      <x:c r="CD333" s="141" t="n">
        <x:f>MAX(0,CA333)</x:f>
        <x:v>15877628.343602484</x:v>
      </x:c>
      <x:c r="CE333" s="141" t="n">
        <x:f>IF(AND('Carta Contemplada'!$B$22="Sim",$A333&gt;='Carta Contemplada'!$B$23),INDEX('Carta Contemplada'!$I$55:$I$1013,$A333),0)</x:f>
        <x:v>0</x:v>
      </x:c>
      <x:c r="CF333" s="141" t="n">
        <x:f>IF(AND('Carta Contemplada'!$B$22="Sim",$A333&gt;='Carta Contemplada'!$B$44),$F333,0)</x:f>
        <x:v>983385.1510594606</x:v>
      </x:c>
      <x:c r="CG333" s="141" t="n">
        <x:f>CD333+CF333-CE333</x:f>
        <x:v>16861013.494661946</x:v>
      </x:c>
      <x:c r="CH333" s="141" t="n">
        <x:f>IF(CC333&gt;1,"Inviavel",CG333)</x:f>
        <x:v>16861013.494661946</x:v>
      </x:c>
      <x:c r="CI333" s="145" t="str">
        <x:f>IF(CC333&gt;1,"Inviavel","OK")</x:f>
        <x:v>OK</x:v>
      </x:c>
    </x:row>
    <x:row r="334">
      <x:c r="A334" s="142" t="n">
        <x:v>330</x:v>
      </x:c>
      <x:c r="B334" s="179" t="n">
        <x:f>EDATE(Premissas!$B$4,A334-1)</x:f>
        <x:v>56554</x:v>
      </x:c>
      <x:c r="C334" s="141" t="n">
        <x:f>IF(A334&lt;=Premissas!$B$39,Premissas!$B$42,0)</x:f>
        <x:v>7000</x:v>
      </x:c>
      <x:c r="D334" s="141" t="n">
        <x:f>Premissas!$B$54*(1+Premissas!$B$57)^INT((A334-1)/12)</x:f>
        <x:v>3375.6421584926484</x:v>
      </x:c>
      <x:c r="E334" s="141" t="n">
        <x:f>Premissas!$B$64*(1+Premissas!$B$57)^INT((A334-1)/12)</x:f>
        <x:v>3086.3014020504215</x:v>
      </x:c>
      <x:c r="F334" s="141" t="n">
        <x:f>MAX(0,Premissas!$B$6*(1+Premissas!$B$66)^((A334-1)/12))</x:f>
        <x:v>988171.8280074502</x:v>
      </x:c>
      <x:c r="G334" s="141" t="n">
        <x:f>G333*(1+Premissas!$B$41)+C334</x:f>
        <x:v>17923118.429309048</x:v>
      </x:c>
      <x:c r="H334" s="141" t="n">
        <x:f>IF($A334=Premissas!$B$48,Premissas!$B$8,0)</x:f>
        <x:v>0</x:v>
      </x:c>
      <x:c r="I334" s="141" t="n">
        <x:f>IF(AND($A334&gt;=Premissas!$B$48,$A334-Premissas!$B$48+1&lt;=Premissas!$B$13),INDEX(Financiamento!$J$6:$J$485,$A334-Premissas!$B$48+1),0)</x:f>
        <x:v>859.8972026845942</x:v>
      </x:c>
      <x:c r="J334" s="141" t="n">
        <x:f>IF(AND(TRUE,Premissas!$B$11="Imovel",Premissas!$B$47="Moradia",$A334&lt;MAX(Premissas!$B$48,Premissas!$B$49)),$D334,0)</x:f>
        <x:v>0</x:v>
      </x:c>
      <x:c r="K334" s="141" t="n">
        <x:f>IF(AND(TRUE,Premissas!$B$11="Imovel",Premissas!$B$47="Investimento",$A334&gt;=MAX(Premissas!$B$48,Premissas!$B$49)),$E334,0)</x:f>
        <x:v>3086.3014020504215</x:v>
      </x:c>
      <x:c r="L334" s="141" t="n">
        <x:f>H334+I334+J334</x:f>
        <x:v>859.8972026845942</x:v>
      </x:c>
      <x:c r="M334" s="141" t="n">
        <x:f>K334</x:f>
        <x:v>3086.3014020504215</x:v>
      </x:c>
      <x:c r="N334" s="141" t="n">
        <x:f>$C334+M334-L334</x:f>
        <x:v>9226.404199365827</x:v>
      </x:c>
      <x:c r="O334" s="141" t="n">
        <x:f>R333*(1+Premissas!$B$41)+N334</x:f>
        <x:v>15486183.764871197</x:v>
      </x:c>
      <x:c r="P334" s="141" t="n">
        <x:f>MAX(0,-O334)</x:f>
        <x:v>0</x:v>
      </x:c>
      <x:c r="Q334" s="141" t="n">
        <x:f>Q333*(1+Premissas!$B$41)+P334</x:f>
        <x:v>0</x:v>
      </x:c>
      <x:c r="R334" s="141" t="n">
        <x:f>MAX(0,O334)</x:f>
        <x:v>15486183.764871197</x:v>
      </x:c>
      <x:c r="S334" s="141" t="n">
        <x:f>IF(AND($A334&gt;=Premissas!$B$48,$A334-Premissas!$B$48+1&lt;=Premissas!$B$13),INDEX(Financiamento!$M$6:$M$485,$A334-Premissas!$B$48+1),0)</x:f>
        <x:v>34285.71428571433</x:v>
      </x:c>
      <x:c r="T334" s="141" t="n">
        <x:f>IF($A334&gt;=Premissas!$B$48,$F334,0)</x:f>
        <x:v>988171.8280074502</x:v>
      </x:c>
      <x:c r="U334" s="141" t="n">
        <x:f>R334+T334-S334</x:f>
        <x:v>16440069.878592933</x:v>
      </x:c>
      <x:c r="V334" s="141" t="n">
        <x:f>IF(Q334&gt;1,"Inviavel",U334)</x:f>
        <x:v>16440069.878592933</x:v>
      </x:c>
      <x:c r="W334" s="141" t="str">
        <x:f>IF(Q334&gt;1,"Inviavel","OK")</x:f>
        <x:v>OK</x:v>
      </x:c>
      <x:c r="X334" s="141" t="n">
        <x:f>IF($A334=Premissas!$B$48,Premissas!$B$8,0)</x:f>
        <x:v>0</x:v>
      </x:c>
      <x:c r="Y334" s="141" t="n">
        <x:f>IF(AND($A334&gt;=Premissas!$B$48,$A334-Premissas!$B$48+1&lt;=Premissas!$B$13),INDEX(Amortizacao!$K$6:$K$485,$A334-Premissas!$B$48+1),0)</x:f>
        <x:v>0</x:v>
      </x:c>
      <x:c r="Z334" s="141" t="n">
        <x:f>IF(AND(TRUE,Premissas!$B$11="Imovel",Premissas!$B$47="Moradia",$A334&lt;MAX(Premissas!$B$48,Premissas!$B$49)),$D334,0)</x:f>
        <x:v>0</x:v>
      </x:c>
      <x:c r="AA334" s="141" t="n">
        <x:f>IF(AND(TRUE,Premissas!$B$11="Imovel",Premissas!$B$47="Investimento",$A334&gt;=MAX(Premissas!$B$48,Premissas!$B$49)),$E334,0)</x:f>
        <x:v>3086.3014020504215</x:v>
      </x:c>
      <x:c r="AB334" s="141" t="n">
        <x:f>X334+Y334+Z334</x:f>
        <x:v>0</x:v>
      </x:c>
      <x:c r="AC334" s="141" t="n">
        <x:f>AA334</x:f>
        <x:v>3086.3014020504215</x:v>
      </x:c>
      <x:c r="AD334" s="141" t="n">
        <x:f>$C334+AC334-AB334</x:f>
        <x:v>10086.301402050422</x:v>
      </x:c>
      <x:c r="AE334" s="141" t="n">
        <x:f>AH333*(1+Premissas!$B$41)+AD334</x:f>
        <x:v>15712551.875020301</x:v>
      </x:c>
      <x:c r="AF334" s="141" t="n">
        <x:f>MAX(0,-AE334)</x:f>
        <x:v>0</x:v>
      </x:c>
      <x:c r="AG334" s="141" t="n">
        <x:f>AG333*(1+Premissas!$B$41)+AF334</x:f>
        <x:v>0</x:v>
      </x:c>
      <x:c r="AH334" s="141" t="n">
        <x:f>MAX(0,AE334)</x:f>
        <x:v>15712551.875020301</x:v>
      </x:c>
      <x:c r="AI334" s="141" t="n">
        <x:f>IF(AND($A334&gt;=Premissas!$B$48,$A334-Premissas!$B$48+1&lt;=Premissas!$B$13),INDEX(Amortizacao!$L$6:$L$485,$A334-Premissas!$B$48+1),0)</x:f>
        <x:v>0</x:v>
      </x:c>
      <x:c r="AJ334" s="141" t="n">
        <x:f>IF($A334&gt;=Premissas!$B$48,$F334,0)</x:f>
        <x:v>988171.8280074502</x:v>
      </x:c>
      <x:c r="AK334" s="141" t="n">
        <x:f>AH334+AJ334-AI334</x:f>
        <x:v>16700723.703027751</x:v>
      </x:c>
      <x:c r="AL334" s="141" t="n">
        <x:f>IF(AG334&gt;1,"Inviavel",AK334)</x:f>
        <x:v>16700723.703027751</x:v>
      </x:c>
      <x:c r="AM334" s="141" t="str">
        <x:f>IF(AG334&gt;1,"Inviavel","OK")</x:f>
        <x:v>OK</x:v>
      </x:c>
      <x:c r="AN334" s="141" t="n">
        <x:f>IF($A334=Premissas!$B$48,Premissas!$B$8,0)</x:f>
        <x:v>0</x:v>
      </x:c>
      <x:c r="AO334" s="141" t="n">
        <x:f>IF($A334&lt;=Premissas!$B$25,INDEX('Consorcio IQ'!$K$6:$K$485,$A334),0)</x:f>
        <x:v>0</x:v>
      </x:c>
      <x:c r="AP334" s="141" t="n">
        <x:f>IF(AND(TRUE,Premissas!$B$11="Imovel",Premissas!$B$47="Moradia",$A334&lt;MAX(Premissas!$B$48,Premissas!$B$49)),$D334,0)</x:f>
        <x:v>0</x:v>
      </x:c>
      <x:c r="AQ334" s="141" t="n">
        <x:f>IF(AND(TRUE,Premissas!$B$11="Imovel",Premissas!$B$47="Investimento",$A334&gt;=MAX(Premissas!$B$48,Premissas!$B$49)),$E334,0)</x:f>
        <x:v>3086.3014020504215</x:v>
      </x:c>
      <x:c r="AR334" s="141" t="n">
        <x:f>AN334+AO334+AP334</x:f>
        <x:v>0</x:v>
      </x:c>
      <x:c r="AS334" s="141" t="n">
        <x:f>AQ334</x:f>
        <x:v>3086.3014020504215</x:v>
      </x:c>
      <x:c r="AT334" s="141" t="n">
        <x:f>$C334+AS334-AR334</x:f>
        <x:v>10086.301402050422</x:v>
      </x:c>
      <x:c r="AU334" s="141" t="n">
        <x:f>AX333*(1+Premissas!$B$41)+AT334</x:f>
        <x:v>15583350.218030786</x:v>
      </x:c>
      <x:c r="AV334" s="141" t="n">
        <x:f>MAX(0,-AU334)</x:f>
        <x:v>0</x:v>
      </x:c>
      <x:c r="AW334" s="141" t="n">
        <x:f>AW333*(1+Premissas!$B$41)+AV334</x:f>
        <x:v>0</x:v>
      </x:c>
      <x:c r="AX334" s="141" t="n">
        <x:f>MAX(0,AU334)</x:f>
        <x:v>15583350.218030786</x:v>
      </x:c>
      <x:c r="AY334" s="141" t="n">
        <x:f>INDEX('Consorcio IQ'!$P$6:$P$485,$A334)</x:f>
        <x:v>0</x:v>
      </x:c>
      <x:c r="AZ334" s="141" t="n">
        <x:f>IF($A334&gt;=Premissas!$B$48,$F334,0)+IF($A334&lt;Premissas!$B$27,INDEX('Consorcio IQ'!$O$6:$O$485,$A334),0)</x:f>
        <x:v>988171.8280074502</x:v>
      </x:c>
      <x:c r="BA334" s="141" t="n">
        <x:f>AX334+AZ334-AY334</x:f>
        <x:v>16571522.046038236</x:v>
      </x:c>
      <x:c r="BB334" s="141" t="n">
        <x:f>IF(AW334&gt;1,"Inviavel",BA334)</x:f>
        <x:v>16571522.046038236</x:v>
      </x:c>
      <x:c r="BC334" s="141" t="str">
        <x:f>IF(AW334&gt;1,"Inviavel","OK")</x:f>
        <x:v>OK</x:v>
      </x:c>
      <x:c r="BD334" s="141" t="n">
        <x:f>IF($A334='Consorcio Direto'!$B$29,'Consorcio Direto'!$B$44,0)</x:f>
        <x:v>0</x:v>
      </x:c>
      <x:c r="BE334" s="141" t="n">
        <x:f>IF($A334&lt;='Consorcio Direto'!$B$27,INDEX('Consorcio Direto'!$E$55:$E$534,$A334),0)</x:f>
        <x:v>0</x:v>
      </x:c>
      <x:c r="BF334" s="141" t="n">
        <x:f>IF(AND(TRUE,Premissas!$B$11="Imovel",Premissas!$B$47="Moradia",$A334&lt;MAX('Consorcio Direto'!$B$29,Premissas!$B$49)),$D334,0)</x:f>
        <x:v>0</x:v>
      </x:c>
      <x:c r="BG334" s="141" t="n">
        <x:f>IF(AND(TRUE,Premissas!$B$11="Imovel",Premissas!$B$47="Investimento",$A334&gt;=MAX('Consorcio Direto'!$B$29,Premissas!$B$49)),$E334,0)</x:f>
        <x:v>3086.3014020504215</x:v>
      </x:c>
      <x:c r="BH334" s="141" t="n">
        <x:f>BD334+BE334+BF334</x:f>
        <x:v>0</x:v>
      </x:c>
      <x:c r="BI334" s="141" t="n">
        <x:f>BG334</x:f>
        <x:v>3086.3014020504215</x:v>
      </x:c>
      <x:c r="BJ334" s="141" t="n">
        <x:f>$C334+BI334-BH334</x:f>
        <x:v>10086.301402050422</x:v>
      </x:c>
      <x:c r="BK334" s="141" t="n">
        <x:f>BN333*(1+Premissas!$B$41)+BJ334</x:f>
        <x:v>14885094.156441221</x:v>
      </x:c>
      <x:c r="BL334" s="141" t="n">
        <x:f>MAX(0,-BK334)</x:f>
        <x:v>0</x:v>
      </x:c>
      <x:c r="BM334" s="141" t="n">
        <x:f>BM333*(1+Premissas!$B$41)+BL334</x:f>
        <x:v>0</x:v>
      </x:c>
      <x:c r="BN334" s="141" t="n">
        <x:f>MAX(0,BK334)</x:f>
        <x:v>14885094.156441221</x:v>
      </x:c>
      <x:c r="BO334" s="141" t="n">
        <x:f>INDEX('Consorcio Direto'!$K$55:$K$534,$A334)</x:f>
        <x:v>0</x:v>
      </x:c>
      <x:c r="BP334" s="141" t="n">
        <x:f>IF($A334&lt;'Consorcio Direto'!$B$29,INDEX('Consorcio Direto'!$L$55:$L$534,$A334),$F334)</x:f>
        <x:v>988171.8280074502</x:v>
      </x:c>
      <x:c r="BQ334" s="141" t="n">
        <x:f>BN334+BP334-BO334</x:f>
        <x:v>15873265.984448671</x:v>
      </x:c>
      <x:c r="BR334" s="141" t="n">
        <x:f>IF(BM334&gt;1,"Inviavel",BQ334)</x:f>
        <x:v>15873265.984448671</x:v>
      </x:c>
      <x:c r="BS334" s="141" t="str">
        <x:f>IF(BM334&gt;1,"Inviavel","OK")</x:f>
        <x:v>OK</x:v>
      </x:c>
      <x:c r="BT334" s="141" t="n">
        <x:f>IF(AND('Carta Contemplada'!$B$22="Sim",$A334='Carta Contemplada'!$B$23),'Carta Contemplada'!$B$37,0)</x:f>
        <x:v>0</x:v>
      </x:c>
      <x:c r="BU334" s="141" t="n">
        <x:f>IF('Carta Contemplada'!$B$22="Sim",INDEX('Carta Contemplada'!$C$55:$C$1013,$A334),0)</x:f>
        <x:v>0</x:v>
      </x:c>
      <x:c r="BV334" s="141" t="n">
        <x:f>IF(AND('Carta Contemplada'!$B$22="Sim",Premissas!$B$11="Imovel",Premissas!$B$47="Moradia",$A334&lt;MAX('Carta Contemplada'!$B$44,Premissas!$B$49)),$D334,0)</x:f>
        <x:v>0</x:v>
      </x:c>
      <x:c r="BW334" s="141" t="n">
        <x:f>IF(AND('Carta Contemplada'!$B$22="Sim",Premissas!$B$11="Imovel",Premissas!$B$47="Investimento",$A334&gt;=MAX('Carta Contemplada'!$B$44,Premissas!$B$49)),$E334,0)</x:f>
        <x:v>3086.3014020504215</x:v>
      </x:c>
      <x:c r="BX334" s="141" t="n">
        <x:f>BT334+BU334+BV334</x:f>
        <x:v>0</x:v>
      </x:c>
      <x:c r="BY334" s="141" t="n">
        <x:f>BW334</x:f>
        <x:v>3086.3014020504215</x:v>
      </x:c>
      <x:c r="BZ334" s="141" t="n">
        <x:f>$C334+BY334-BX334</x:f>
        <x:v>10086.301402050422</x:v>
      </x:c>
      <x:c r="CA334" s="141" t="n">
        <x:f>CD333*(1+Premissas!$B$41)+BZ334</x:f>
        <x:v>16038374.172649246</x:v>
      </x:c>
      <x:c r="CB334" s="141" t="n">
        <x:f>MAX(0,-CA334)</x:f>
        <x:v>0</x:v>
      </x:c>
      <x:c r="CC334" s="141" t="n">
        <x:f>CC333*(1+Premissas!$B$41)+CB334</x:f>
        <x:v>0</x:v>
      </x:c>
      <x:c r="CD334" s="141" t="n">
        <x:f>MAX(0,CA334)</x:f>
        <x:v>16038374.172649246</x:v>
      </x:c>
      <x:c r="CE334" s="141" t="n">
        <x:f>IF(AND('Carta Contemplada'!$B$22="Sim",$A334&gt;='Carta Contemplada'!$B$23),INDEX('Carta Contemplada'!$I$55:$I$1013,$A334),0)</x:f>
        <x:v>0</x:v>
      </x:c>
      <x:c r="CF334" s="141" t="n">
        <x:f>IF(AND('Carta Contemplada'!$B$22="Sim",$A334&gt;='Carta Contemplada'!$B$44),$F334,0)</x:f>
        <x:v>988171.8280074502</x:v>
      </x:c>
      <x:c r="CG334" s="141" t="n">
        <x:f>CD334+CF334-CE334</x:f>
        <x:v>17026546.000656694</x:v>
      </x:c>
      <x:c r="CH334" s="141" t="n">
        <x:f>IF(CC334&gt;1,"Inviavel",CG334)</x:f>
        <x:v>17026546.000656694</x:v>
      </x:c>
      <x:c r="CI334" s="145" t="str">
        <x:f>IF(CC334&gt;1,"Inviavel","OK")</x:f>
        <x:v>OK</x:v>
      </x:c>
    </x:row>
    <x:row r="335">
      <x:c r="A335" s="142" t="n">
        <x:v>331</x:v>
      </x:c>
      <x:c r="B335" s="179" t="n">
        <x:f>EDATE(Premissas!$B$4,A335-1)</x:f>
        <x:v>56584</x:v>
      </x:c>
      <x:c r="C335" s="141" t="n">
        <x:f>IF(A335&lt;=Premissas!$B$39,Premissas!$B$42,0)</x:f>
        <x:v>7000</x:v>
      </x:c>
      <x:c r="D335" s="141" t="n">
        <x:f>Premissas!$B$54*(1+Premissas!$B$57)^INT((A335-1)/12)</x:f>
        <x:v>3375.6421584926484</x:v>
      </x:c>
      <x:c r="E335" s="141" t="n">
        <x:f>Premissas!$B$64*(1+Premissas!$B$57)^INT((A335-1)/12)</x:f>
        <x:v>3086.3014020504215</x:v>
      </x:c>
      <x:c r="F335" s="141" t="n">
        <x:f>MAX(0,Premissas!$B$6*(1+Premissas!$B$66)^((A335-1)/12))</x:f>
        <x:v>992981.8043475238</x:v>
      </x:c>
      <x:c r="G335" s="141" t="n">
        <x:f>G334*(1+Premissas!$B$41)+C335</x:f>
        <x:v>18100187.18882677</x:v>
      </x:c>
      <x:c r="H335" s="141" t="n">
        <x:f>IF($A335=Premissas!$B$48,Premissas!$B$8,0)</x:f>
        <x:v>0</x:v>
      </x:c>
      <x:c r="I335" s="141" t="n">
        <x:f>IF(AND($A335&gt;=Premissas!$B$48,$A335-Premissas!$B$48+1&lt;=Premissas!$B$13),INDEX(Financiamento!$J$6:$J$485,$A335-Premissas!$B$48+1),0)</x:f>
        <x:v>856.2824244238006</x:v>
      </x:c>
      <x:c r="J335" s="141" t="n">
        <x:f>IF(AND(TRUE,Premissas!$B$11="Imovel",Premissas!$B$47="Moradia",$A335&lt;MAX(Premissas!$B$48,Premissas!$B$49)),$D335,0)</x:f>
        <x:v>0</x:v>
      </x:c>
      <x:c r="K335" s="141" t="n">
        <x:f>IF(AND(TRUE,Premissas!$B$11="Imovel",Premissas!$B$47="Investimento",$A335&gt;=MAX(Premissas!$B$48,Premissas!$B$49)),$E335,0)</x:f>
        <x:v>3086.3014020504215</x:v>
      </x:c>
      <x:c r="L335" s="141" t="n">
        <x:f>H335+I335+J335</x:f>
        <x:v>856.2824244238006</x:v>
      </x:c>
      <x:c r="M335" s="141" t="n">
        <x:f>K335</x:f>
        <x:v>3086.3014020504215</x:v>
      </x:c>
      <x:c r="N335" s="141" t="n">
        <x:f>$C335+M335-L335</x:f>
        <x:v>9230.018977626622</x:v>
      </x:c>
      <x:c r="O335" s="141" t="n">
        <x:f>R334*(1+Premissas!$B$41)+N335</x:f>
        <x:v>15642358.974940589</x:v>
      </x:c>
      <x:c r="P335" s="141" t="n">
        <x:f>MAX(0,-O335)</x:f>
        <x:v>0</x:v>
      </x:c>
      <x:c r="Q335" s="141" t="n">
        <x:f>Q334*(1+Premissas!$B$41)+P335</x:f>
        <x:v>0</x:v>
      </x:c>
      <x:c r="R335" s="141" t="n">
        <x:f>MAX(0,O335)</x:f>
        <x:v>15642358.974940589</x:v>
      </x:c>
      <x:c r="S335" s="141" t="n">
        <x:f>IF(AND($A335&gt;=Premissas!$B$48,$A335-Premissas!$B$48+1&lt;=Premissas!$B$13),INDEX(Financiamento!$M$6:$M$485,$A335-Premissas!$B$48+1),0)</x:f>
        <x:v>33904.76190476195</x:v>
      </x:c>
      <x:c r="T335" s="141" t="n">
        <x:f>IF($A335&gt;=Premissas!$B$48,$F335,0)</x:f>
        <x:v>992981.8043475238</x:v>
      </x:c>
      <x:c r="U335" s="141" t="n">
        <x:f>R335+T335-S335</x:f>
        <x:v>16601436.017383352</x:v>
      </x:c>
      <x:c r="V335" s="141" t="n">
        <x:f>IF(Q335&gt;1,"Inviavel",U335)</x:f>
        <x:v>16601436.017383352</x:v>
      </x:c>
      <x:c r="W335" s="141" t="str">
        <x:f>IF(Q335&gt;1,"Inviavel","OK")</x:f>
        <x:v>OK</x:v>
      </x:c>
      <x:c r="X335" s="141" t="n">
        <x:f>IF($A335=Premissas!$B$48,Premissas!$B$8,0)</x:f>
        <x:v>0</x:v>
      </x:c>
      <x:c r="Y335" s="141" t="n">
        <x:f>IF(AND($A335&gt;=Premissas!$B$48,$A335-Premissas!$B$48+1&lt;=Premissas!$B$13),INDEX(Amortizacao!$K$6:$K$485,$A335-Premissas!$B$48+1),0)</x:f>
        <x:v>0</x:v>
      </x:c>
      <x:c r="Z335" s="141" t="n">
        <x:f>IF(AND(TRUE,Premissas!$B$11="Imovel",Premissas!$B$47="Moradia",$A335&lt;MAX(Premissas!$B$48,Premissas!$B$49)),$D335,0)</x:f>
        <x:v>0</x:v>
      </x:c>
      <x:c r="AA335" s="141" t="n">
        <x:f>IF(AND(TRUE,Premissas!$B$11="Imovel",Premissas!$B$47="Investimento",$A335&gt;=MAX(Premissas!$B$48,Premissas!$B$49)),$E335,0)</x:f>
        <x:v>3086.3014020504215</x:v>
      </x:c>
      <x:c r="AB335" s="141" t="n">
        <x:f>X335+Y335+Z335</x:f>
        <x:v>0</x:v>
      </x:c>
      <x:c r="AC335" s="141" t="n">
        <x:f>AA335</x:f>
        <x:v>3086.3014020504215</x:v>
      </x:c>
      <x:c r="AD335" s="141" t="n">
        <x:f>$C335+AC335-AB335</x:f>
        <x:v>10086.301402050422</x:v>
      </x:c>
      <x:c r="AE335" s="141" t="n">
        <x:f>AH334*(1+Premissas!$B$41)+AD335</x:f>
        <x:v>15871731.327638315</x:v>
      </x:c>
      <x:c r="AF335" s="141" t="n">
        <x:f>MAX(0,-AE335)</x:f>
        <x:v>0</x:v>
      </x:c>
      <x:c r="AG335" s="141" t="n">
        <x:f>AG334*(1+Premissas!$B$41)+AF335</x:f>
        <x:v>0</x:v>
      </x:c>
      <x:c r="AH335" s="141" t="n">
        <x:f>MAX(0,AE335)</x:f>
        <x:v>15871731.327638315</x:v>
      </x:c>
      <x:c r="AI335" s="141" t="n">
        <x:f>IF(AND($A335&gt;=Premissas!$B$48,$A335-Premissas!$B$48+1&lt;=Premissas!$B$13),INDEX(Amortizacao!$L$6:$L$485,$A335-Premissas!$B$48+1),0)</x:f>
        <x:v>0</x:v>
      </x:c>
      <x:c r="AJ335" s="141" t="n">
        <x:f>IF($A335&gt;=Premissas!$B$48,$F335,0)</x:f>
        <x:v>992981.8043475238</x:v>
      </x:c>
      <x:c r="AK335" s="141" t="n">
        <x:f>AH335+AJ335-AI335</x:f>
        <x:v>16864713.13198584</x:v>
      </x:c>
      <x:c r="AL335" s="141" t="n">
        <x:f>IF(AG335&gt;1,"Inviavel",AK335)</x:f>
        <x:v>16864713.13198584</x:v>
      </x:c>
      <x:c r="AM335" s="141" t="str">
        <x:f>IF(AG335&gt;1,"Inviavel","OK")</x:f>
        <x:v>OK</x:v>
      </x:c>
      <x:c r="AN335" s="141" t="n">
        <x:f>IF($A335=Premissas!$B$48,Premissas!$B$8,0)</x:f>
        <x:v>0</x:v>
      </x:c>
      <x:c r="AO335" s="141" t="n">
        <x:f>IF($A335&lt;=Premissas!$B$25,INDEX('Consorcio IQ'!$K$6:$K$485,$A335),0)</x:f>
        <x:v>0</x:v>
      </x:c>
      <x:c r="AP335" s="141" t="n">
        <x:f>IF(AND(TRUE,Premissas!$B$11="Imovel",Premissas!$B$47="Moradia",$A335&lt;MAX(Premissas!$B$48,Premissas!$B$49)),$D335,0)</x:f>
        <x:v>0</x:v>
      </x:c>
      <x:c r="AQ335" s="141" t="n">
        <x:f>IF(AND(TRUE,Premissas!$B$11="Imovel",Premissas!$B$47="Investimento",$A335&gt;=MAX(Premissas!$B$48,Premissas!$B$49)),$E335,0)</x:f>
        <x:v>3086.3014020504215</x:v>
      </x:c>
      <x:c r="AR335" s="141" t="n">
        <x:f>AN335+AO335+AP335</x:f>
        <x:v>0</x:v>
      </x:c>
      <x:c r="AS335" s="141" t="n">
        <x:f>AQ335</x:f>
        <x:v>3086.3014020504215</x:v>
      </x:c>
      <x:c r="AT335" s="141" t="n">
        <x:f>$C335+AS335-AR335</x:f>
        <x:v>10086.301402050422</x:v>
      </x:c>
      <x:c r="AU335" s="141" t="n">
        <x:f>AX334*(1+Premissas!$B$41)+AT335</x:f>
        <x:v>15741303.702878822</x:v>
      </x:c>
      <x:c r="AV335" s="141" t="n">
        <x:f>MAX(0,-AU335)</x:f>
        <x:v>0</x:v>
      </x:c>
      <x:c r="AW335" s="141" t="n">
        <x:f>AW334*(1+Premissas!$B$41)+AV335</x:f>
        <x:v>0</x:v>
      </x:c>
      <x:c r="AX335" s="141" t="n">
        <x:f>MAX(0,AU335)</x:f>
        <x:v>15741303.702878822</x:v>
      </x:c>
      <x:c r="AY335" s="141" t="n">
        <x:f>INDEX('Consorcio IQ'!$P$6:$P$485,$A335)</x:f>
        <x:v>0</x:v>
      </x:c>
      <x:c r="AZ335" s="141" t="n">
        <x:f>IF($A335&gt;=Premissas!$B$48,$F335,0)+IF($A335&lt;Premissas!$B$27,INDEX('Consorcio IQ'!$O$6:$O$485,$A335),0)</x:f>
        <x:v>992981.8043475238</x:v>
      </x:c>
      <x:c r="BA335" s="141" t="n">
        <x:f>AX335+AZ335-AY335</x:f>
        <x:v>16734285.507226346</x:v>
      </x:c>
      <x:c r="BB335" s="141" t="n">
        <x:f>IF(AW335&gt;1,"Inviavel",BA335)</x:f>
        <x:v>16734285.507226346</x:v>
      </x:c>
      <x:c r="BC335" s="141" t="str">
        <x:f>IF(AW335&gt;1,"Inviavel","OK")</x:f>
        <x:v>OK</x:v>
      </x:c>
      <x:c r="BD335" s="141" t="n">
        <x:f>IF($A335='Consorcio Direto'!$B$29,'Consorcio Direto'!$B$44,0)</x:f>
        <x:v>0</x:v>
      </x:c>
      <x:c r="BE335" s="141" t="n">
        <x:f>IF($A335&lt;='Consorcio Direto'!$B$27,INDEX('Consorcio Direto'!$E$55:$E$534,$A335),0)</x:f>
        <x:v>0</x:v>
      </x:c>
      <x:c r="BF335" s="141" t="n">
        <x:f>IF(AND(TRUE,Premissas!$B$11="Imovel",Premissas!$B$47="Moradia",$A335&lt;MAX('Consorcio Direto'!$B$29,Premissas!$B$49)),$D335,0)</x:f>
        <x:v>0</x:v>
      </x:c>
      <x:c r="BG335" s="141" t="n">
        <x:f>IF(AND(TRUE,Premissas!$B$11="Imovel",Premissas!$B$47="Investimento",$A335&gt;=MAX('Consorcio Direto'!$B$29,Premissas!$B$49)),$E335,0)</x:f>
        <x:v>3086.3014020504215</x:v>
      </x:c>
      <x:c r="BH335" s="141" t="n">
        <x:f>BD335+BE335+BF335</x:f>
        <x:v>0</x:v>
      </x:c>
      <x:c r="BI335" s="141" t="n">
        <x:f>BG335</x:f>
        <x:v>3086.3014020504215</x:v>
      </x:c>
      <x:c r="BJ335" s="141" t="n">
        <x:f>$C335+BI335-BH335</x:f>
        <x:v>10086.301402050422</x:v>
      </x:c>
      <x:c r="BK335" s="141" t="n">
        <x:f>BN334*(1+Premissas!$B$41)+BJ335</x:f>
        <x:v>15036422.034105515</x:v>
      </x:c>
      <x:c r="BL335" s="141" t="n">
        <x:f>MAX(0,-BK335)</x:f>
        <x:v>0</x:v>
      </x:c>
      <x:c r="BM335" s="141" t="n">
        <x:f>BM334*(1+Premissas!$B$41)+BL335</x:f>
        <x:v>0</x:v>
      </x:c>
      <x:c r="BN335" s="141" t="n">
        <x:f>MAX(0,BK335)</x:f>
        <x:v>15036422.034105515</x:v>
      </x:c>
      <x:c r="BO335" s="141" t="n">
        <x:f>INDEX('Consorcio Direto'!$K$55:$K$534,$A335)</x:f>
        <x:v>0</x:v>
      </x:c>
      <x:c r="BP335" s="141" t="n">
        <x:f>IF($A335&lt;'Consorcio Direto'!$B$29,INDEX('Consorcio Direto'!$L$55:$L$534,$A335),$F335)</x:f>
        <x:v>992981.8043475238</x:v>
      </x:c>
      <x:c r="BQ335" s="141" t="n">
        <x:f>BN335+BP335-BO335</x:f>
        <x:v>16029403.83845304</x:v>
      </x:c>
      <x:c r="BR335" s="141" t="n">
        <x:f>IF(BM335&gt;1,"Inviavel",BQ335)</x:f>
        <x:v>16029403.83845304</x:v>
      </x:c>
      <x:c r="BS335" s="141" t="str">
        <x:f>IF(BM335&gt;1,"Inviavel","OK")</x:f>
        <x:v>OK</x:v>
      </x:c>
      <x:c r="BT335" s="141" t="n">
        <x:f>IF(AND('Carta Contemplada'!$B$22="Sim",$A335='Carta Contemplada'!$B$23),'Carta Contemplada'!$B$37,0)</x:f>
        <x:v>0</x:v>
      </x:c>
      <x:c r="BU335" s="141" t="n">
        <x:f>IF('Carta Contemplada'!$B$22="Sim",INDEX('Carta Contemplada'!$C$55:$C$1013,$A335),0)</x:f>
        <x:v>0</x:v>
      </x:c>
      <x:c r="BV335" s="141" t="n">
        <x:f>IF(AND('Carta Contemplada'!$B$22="Sim",Premissas!$B$11="Imovel",Premissas!$B$47="Moradia",$A335&lt;MAX('Carta Contemplada'!$B$44,Premissas!$B$49)),$D335,0)</x:f>
        <x:v>0</x:v>
      </x:c>
      <x:c r="BW335" s="141" t="n">
        <x:f>IF(AND('Carta Contemplada'!$B$22="Sim",Premissas!$B$11="Imovel",Premissas!$B$47="Investimento",$A335&gt;=MAX('Carta Contemplada'!$B$44,Premissas!$B$49)),$E335,0)</x:f>
        <x:v>3086.3014020504215</x:v>
      </x:c>
      <x:c r="BX335" s="141" t="n">
        <x:f>BT335+BU335+BV335</x:f>
        <x:v>0</x:v>
      </x:c>
      <x:c r="BY335" s="141" t="n">
        <x:f>BW335</x:f>
        <x:v>3086.3014020504215</x:v>
      </x:c>
      <x:c r="BZ335" s="141" t="n">
        <x:f>$C335+BY335-BX335</x:f>
        <x:v>10086.301402050422</x:v>
      </x:c>
      <x:c r="CA335" s="141" t="n">
        <x:f>CD334*(1+Premissas!$B$41)+BZ335</x:f>
        <x:v>16200645.28558293</x:v>
      </x:c>
      <x:c r="CB335" s="141" t="n">
        <x:f>MAX(0,-CA335)</x:f>
        <x:v>0</x:v>
      </x:c>
      <x:c r="CC335" s="141" t="n">
        <x:f>CC334*(1+Premissas!$B$41)+CB335</x:f>
        <x:v>0</x:v>
      </x:c>
      <x:c r="CD335" s="141" t="n">
        <x:f>MAX(0,CA335)</x:f>
        <x:v>16200645.28558293</x:v>
      </x:c>
      <x:c r="CE335" s="141" t="n">
        <x:f>IF(AND('Carta Contemplada'!$B$22="Sim",$A335&gt;='Carta Contemplada'!$B$23),INDEX('Carta Contemplada'!$I$55:$I$1013,$A335),0)</x:f>
        <x:v>0</x:v>
      </x:c>
      <x:c r="CF335" s="141" t="n">
        <x:f>IF(AND('Carta Contemplada'!$B$22="Sim",$A335&gt;='Carta Contemplada'!$B$44),$F335,0)</x:f>
        <x:v>992981.8043475238</x:v>
      </x:c>
      <x:c r="CG335" s="141" t="n">
        <x:f>CD335+CF335-CE335</x:f>
        <x:v>17193627.089930452</x:v>
      </x:c>
      <x:c r="CH335" s="141" t="n">
        <x:f>IF(CC335&gt;1,"Inviavel",CG335)</x:f>
        <x:v>17193627.089930452</x:v>
      </x:c>
      <x:c r="CI335" s="145" t="str">
        <x:f>IF(CC335&gt;1,"Inviavel","OK")</x:f>
        <x:v>OK</x:v>
      </x:c>
    </x:row>
    <x:row r="336">
      <x:c r="A336" s="142" t="n">
        <x:v>332</x:v>
      </x:c>
      <x:c r="B336" s="179" t="n">
        <x:f>EDATE(Premissas!$B$4,A336-1)</x:f>
        <x:v>56615</x:v>
      </x:c>
      <x:c r="C336" s="141" t="n">
        <x:f>IF(A336&lt;=Premissas!$B$39,Premissas!$B$42,0)</x:f>
        <x:v>7000</x:v>
      </x:c>
      <x:c r="D336" s="141" t="n">
        <x:f>Premissas!$B$54*(1+Premissas!$B$57)^INT((A336-1)/12)</x:f>
        <x:v>3375.6421584926484</x:v>
      </x:c>
      <x:c r="E336" s="141" t="n">
        <x:f>Premissas!$B$64*(1+Premissas!$B$57)^INT((A336-1)/12)</x:f>
        <x:v>3086.3014020504215</x:v>
      </x:c>
      <x:c r="F336" s="141" t="n">
        <x:f>MAX(0,Premissas!$B$6*(1+Premissas!$B$66)^((A336-1)/12))</x:f>
        <x:v>997815.1934906509</x:v>
      </x:c>
      <x:c r="G336" s="141" t="n">
        <x:f>G335*(1+Premissas!$B$41)+C336</x:f>
        <x:v>18278936.11713874</x:v>
      </x:c>
      <x:c r="H336" s="141" t="n">
        <x:f>IF($A336=Premissas!$B$48,Premissas!$B$8,0)</x:f>
        <x:v>0</x:v>
      </x:c>
      <x:c r="I336" s="141" t="n">
        <x:f>IF(AND($A336&gt;=Premissas!$B$48,$A336-Premissas!$B$48+1&lt;=Premissas!$B$13),INDEX(Financiamento!$J$6:$J$485,$A336-Premissas!$B$48+1),0)</x:f>
        <x:v>852.667646163007</x:v>
      </x:c>
      <x:c r="J336" s="141" t="n">
        <x:f>IF(AND(TRUE,Premissas!$B$11="Imovel",Premissas!$B$47="Moradia",$A336&lt;MAX(Premissas!$B$48,Premissas!$B$49)),$D336,0)</x:f>
        <x:v>0</x:v>
      </x:c>
      <x:c r="K336" s="141" t="n">
        <x:f>IF(AND(TRUE,Premissas!$B$11="Imovel",Premissas!$B$47="Investimento",$A336&gt;=MAX(Premissas!$B$48,Premissas!$B$49)),$E336,0)</x:f>
        <x:v>3086.3014020504215</x:v>
      </x:c>
      <x:c r="L336" s="141" t="n">
        <x:f>H336+I336+J336</x:f>
        <x:v>852.667646163007</x:v>
      </x:c>
      <x:c r="M336" s="141" t="n">
        <x:f>K336</x:f>
        <x:v>3086.3014020504215</x:v>
      </x:c>
      <x:c r="N336" s="141" t="n">
        <x:f>$C336+M336-L336</x:f>
        <x:v>9233.633755887415</x:v>
      </x:c>
      <x:c r="O336" s="141" t="n">
        <x:f>R335*(1+Premissas!$B$41)+N336</x:f>
        <x:v>15800019.714018103</x:v>
      </x:c>
      <x:c r="P336" s="141" t="n">
        <x:f>MAX(0,-O336)</x:f>
        <x:v>0</x:v>
      </x:c>
      <x:c r="Q336" s="141" t="n">
        <x:f>Q335*(1+Premissas!$B$41)+P336</x:f>
        <x:v>0</x:v>
      </x:c>
      <x:c r="R336" s="141" t="n">
        <x:f>MAX(0,O336)</x:f>
        <x:v>15800019.714018103</x:v>
      </x:c>
      <x:c r="S336" s="141" t="n">
        <x:f>IF(AND($A336&gt;=Premissas!$B$48,$A336-Premissas!$B$48+1&lt;=Premissas!$B$13),INDEX(Financiamento!$M$6:$M$485,$A336-Premissas!$B$48+1),0)</x:f>
        <x:v>33523.80952380957</x:v>
      </x:c>
      <x:c r="T336" s="141" t="n">
        <x:f>IF($A336&gt;=Premissas!$B$48,$F336,0)</x:f>
        <x:v>997815.1934906509</x:v>
      </x:c>
      <x:c r="U336" s="141" t="n">
        <x:f>R336+T336-S336</x:f>
        <x:v>16764311.097984944</x:v>
      </x:c>
      <x:c r="V336" s="141" t="n">
        <x:f>IF(Q336&gt;1,"Inviavel",U336)</x:f>
        <x:v>16764311.097984944</x:v>
      </x:c>
      <x:c r="W336" s="141" t="str">
        <x:f>IF(Q336&gt;1,"Inviavel","OK")</x:f>
        <x:v>OK</x:v>
      </x:c>
      <x:c r="X336" s="141" t="n">
        <x:f>IF($A336=Premissas!$B$48,Premissas!$B$8,0)</x:f>
        <x:v>0</x:v>
      </x:c>
      <x:c r="Y336" s="141" t="n">
        <x:f>IF(AND($A336&gt;=Premissas!$B$48,$A336-Premissas!$B$48+1&lt;=Premissas!$B$13),INDEX(Amortizacao!$K$6:$K$485,$A336-Premissas!$B$48+1),0)</x:f>
        <x:v>0</x:v>
      </x:c>
      <x:c r="Z336" s="141" t="n">
        <x:f>IF(AND(TRUE,Premissas!$B$11="Imovel",Premissas!$B$47="Moradia",$A336&lt;MAX(Premissas!$B$48,Premissas!$B$49)),$D336,0)</x:f>
        <x:v>0</x:v>
      </x:c>
      <x:c r="AA336" s="141" t="n">
        <x:f>IF(AND(TRUE,Premissas!$B$11="Imovel",Premissas!$B$47="Investimento",$A336&gt;=MAX(Premissas!$B$48,Premissas!$B$49)),$E336,0)</x:f>
        <x:v>3086.3014020504215</x:v>
      </x:c>
      <x:c r="AB336" s="141" t="n">
        <x:f>X336+Y336+Z336</x:f>
        <x:v>0</x:v>
      </x:c>
      <x:c r="AC336" s="141" t="n">
        <x:f>AA336</x:f>
        <x:v>3086.3014020504215</x:v>
      </x:c>
      <x:c r="AD336" s="141" t="n">
        <x:f>$C336+AC336-AB336</x:f>
        <x:v>10086.301402050422</x:v>
      </x:c>
      <x:c r="AE336" s="141" t="n">
        <x:f>AH335*(1+Premissas!$B$41)+AD336</x:f>
        <x:v>16032421.20112166</x:v>
      </x:c>
      <x:c r="AF336" s="141" t="n">
        <x:f>MAX(0,-AE336)</x:f>
        <x:v>0</x:v>
      </x:c>
      <x:c r="AG336" s="141" t="n">
        <x:f>AG335*(1+Premissas!$B$41)+AF336</x:f>
        <x:v>0</x:v>
      </x:c>
      <x:c r="AH336" s="141" t="n">
        <x:f>MAX(0,AE336)</x:f>
        <x:v>16032421.20112166</x:v>
      </x:c>
      <x:c r="AI336" s="141" t="n">
        <x:f>IF(AND($A336&gt;=Premissas!$B$48,$A336-Premissas!$B$48+1&lt;=Premissas!$B$13),INDEX(Amortizacao!$L$6:$L$485,$A336-Premissas!$B$48+1),0)</x:f>
        <x:v>0</x:v>
      </x:c>
      <x:c r="AJ336" s="141" t="n">
        <x:f>IF($A336&gt;=Premissas!$B$48,$F336,0)</x:f>
        <x:v>997815.1934906509</x:v>
      </x:c>
      <x:c r="AK336" s="141" t="n">
        <x:f>AH336+AJ336-AI336</x:f>
        <x:v>17030236.394612312</x:v>
      </x:c>
      <x:c r="AL336" s="141" t="n">
        <x:f>IF(AG336&gt;1,"Inviavel",AK336)</x:f>
        <x:v>17030236.394612312</x:v>
      </x:c>
      <x:c r="AM336" s="141" t="str">
        <x:f>IF(AG336&gt;1,"Inviavel","OK")</x:f>
        <x:v>OK</x:v>
      </x:c>
      <x:c r="AN336" s="141" t="n">
        <x:f>IF($A336=Premissas!$B$48,Premissas!$B$8,0)</x:f>
        <x:v>0</x:v>
      </x:c>
      <x:c r="AO336" s="141" t="n">
        <x:f>IF($A336&lt;=Premissas!$B$25,INDEX('Consorcio IQ'!$K$6:$K$485,$A336),0)</x:f>
        <x:v>0</x:v>
      </x:c>
      <x:c r="AP336" s="141" t="n">
        <x:f>IF(AND(TRUE,Premissas!$B$11="Imovel",Premissas!$B$47="Moradia",$A336&lt;MAX(Premissas!$B$48,Premissas!$B$49)),$D336,0)</x:f>
        <x:v>0</x:v>
      </x:c>
      <x:c r="AQ336" s="141" t="n">
        <x:f>IF(AND(TRUE,Premissas!$B$11="Imovel",Premissas!$B$47="Investimento",$A336&gt;=MAX(Premissas!$B$48,Premissas!$B$49)),$E336,0)</x:f>
        <x:v>3086.3014020504215</x:v>
      </x:c>
      <x:c r="AR336" s="141" t="n">
        <x:f>AN336+AO336+AP336</x:f>
        <x:v>0</x:v>
      </x:c>
      <x:c r="AS336" s="141" t="n">
        <x:f>AQ336</x:f>
        <x:v>3086.3014020504215</x:v>
      </x:c>
      <x:c r="AT336" s="141" t="n">
        <x:f>$C336+AS336-AR336</x:f>
        <x:v>10086.301402050422</x:v>
      </x:c>
      <x:c r="AU336" s="141" t="n">
        <x:f>AX335*(1+Premissas!$B$41)+AT336</x:f>
        <x:v>15900755.975637875</x:v>
      </x:c>
      <x:c r="AV336" s="141" t="n">
        <x:f>MAX(0,-AU336)</x:f>
        <x:v>0</x:v>
      </x:c>
      <x:c r="AW336" s="141" t="n">
        <x:f>AW335*(1+Premissas!$B$41)+AV336</x:f>
        <x:v>0</x:v>
      </x:c>
      <x:c r="AX336" s="141" t="n">
        <x:f>MAX(0,AU336)</x:f>
        <x:v>15900755.975637875</x:v>
      </x:c>
      <x:c r="AY336" s="141" t="n">
        <x:f>INDEX('Consorcio IQ'!$P$6:$P$485,$A336)</x:f>
        <x:v>0</x:v>
      </x:c>
      <x:c r="AZ336" s="141" t="n">
        <x:f>IF($A336&gt;=Premissas!$B$48,$F336,0)+IF($A336&lt;Premissas!$B$27,INDEX('Consorcio IQ'!$O$6:$O$485,$A336),0)</x:f>
        <x:v>997815.1934906509</x:v>
      </x:c>
      <x:c r="BA336" s="141" t="n">
        <x:f>AX336+AZ336-AY336</x:f>
        <x:v>16898571.169128526</x:v>
      </x:c>
      <x:c r="BB336" s="141" t="n">
        <x:f>IF(AW336&gt;1,"Inviavel",BA336)</x:f>
        <x:v>16898571.169128526</x:v>
      </x:c>
      <x:c r="BC336" s="141" t="str">
        <x:f>IF(AW336&gt;1,"Inviavel","OK")</x:f>
        <x:v>OK</x:v>
      </x:c>
      <x:c r="BD336" s="141" t="n">
        <x:f>IF($A336='Consorcio Direto'!$B$29,'Consorcio Direto'!$B$44,0)</x:f>
        <x:v>0</x:v>
      </x:c>
      <x:c r="BE336" s="141" t="n">
        <x:f>IF($A336&lt;='Consorcio Direto'!$B$27,INDEX('Consorcio Direto'!$E$55:$E$534,$A336),0)</x:f>
        <x:v>0</x:v>
      </x:c>
      <x:c r="BF336" s="141" t="n">
        <x:f>IF(AND(TRUE,Premissas!$B$11="Imovel",Premissas!$B$47="Moradia",$A336&lt;MAX('Consorcio Direto'!$B$29,Premissas!$B$49)),$D336,0)</x:f>
        <x:v>0</x:v>
      </x:c>
      <x:c r="BG336" s="141" t="n">
        <x:f>IF(AND(TRUE,Premissas!$B$11="Imovel",Premissas!$B$47="Investimento",$A336&gt;=MAX('Consorcio Direto'!$B$29,Premissas!$B$49)),$E336,0)</x:f>
        <x:v>3086.3014020504215</x:v>
      </x:c>
      <x:c r="BH336" s="141" t="n">
        <x:f>BD336+BE336+BF336</x:f>
        <x:v>0</x:v>
      </x:c>
      <x:c r="BI336" s="141" t="n">
        <x:f>BG336</x:f>
        <x:v>3086.3014020504215</x:v>
      </x:c>
      <x:c r="BJ336" s="141" t="n">
        <x:f>$C336+BI336-BH336</x:f>
        <x:v>10086.301402050422</x:v>
      </x:c>
      <x:c r="BK336" s="141" t="n">
        <x:f>BN335*(1+Premissas!$B$41)+BJ336</x:f>
        <x:v>15189185.830666196</x:v>
      </x:c>
      <x:c r="BL336" s="141" t="n">
        <x:f>MAX(0,-BK336)</x:f>
        <x:v>0</x:v>
      </x:c>
      <x:c r="BM336" s="141" t="n">
        <x:f>BM335*(1+Premissas!$B$41)+BL336</x:f>
        <x:v>0</x:v>
      </x:c>
      <x:c r="BN336" s="141" t="n">
        <x:f>MAX(0,BK336)</x:f>
        <x:v>15189185.830666196</x:v>
      </x:c>
      <x:c r="BO336" s="141" t="n">
        <x:f>INDEX('Consorcio Direto'!$K$55:$K$534,$A336)</x:f>
        <x:v>0</x:v>
      </x:c>
      <x:c r="BP336" s="141" t="n">
        <x:f>IF($A336&lt;'Consorcio Direto'!$B$29,INDEX('Consorcio Direto'!$L$55:$L$534,$A336),$F336)</x:f>
        <x:v>997815.1934906509</x:v>
      </x:c>
      <x:c r="BQ336" s="141" t="n">
        <x:f>BN336+BP336-BO336</x:f>
        <x:v>16187001.024156846</x:v>
      </x:c>
      <x:c r="BR336" s="141" t="n">
        <x:f>IF(BM336&gt;1,"Inviavel",BQ336)</x:f>
        <x:v>16187001.024156846</x:v>
      </x:c>
      <x:c r="BS336" s="141" t="str">
        <x:f>IF(BM336&gt;1,"Inviavel","OK")</x:f>
        <x:v>OK</x:v>
      </x:c>
      <x:c r="BT336" s="141" t="n">
        <x:f>IF(AND('Carta Contemplada'!$B$22="Sim",$A336='Carta Contemplada'!$B$23),'Carta Contemplada'!$B$37,0)</x:f>
        <x:v>0</x:v>
      </x:c>
      <x:c r="BU336" s="141" t="n">
        <x:f>IF('Carta Contemplada'!$B$22="Sim",INDEX('Carta Contemplada'!$C$55:$C$1013,$A336),0)</x:f>
        <x:v>0</x:v>
      </x:c>
      <x:c r="BV336" s="141" t="n">
        <x:f>IF(AND('Carta Contemplada'!$B$22="Sim",Premissas!$B$11="Imovel",Premissas!$B$47="Moradia",$A336&lt;MAX('Carta Contemplada'!$B$44,Premissas!$B$49)),$D336,0)</x:f>
        <x:v>0</x:v>
      </x:c>
      <x:c r="BW336" s="141" t="n">
        <x:f>IF(AND('Carta Contemplada'!$B$22="Sim",Premissas!$B$11="Imovel",Premissas!$B$47="Investimento",$A336&gt;=MAX('Carta Contemplada'!$B$44,Premissas!$B$49)),$E336,0)</x:f>
        <x:v>3086.3014020504215</x:v>
      </x:c>
      <x:c r="BX336" s="141" t="n">
        <x:f>BT336+BU336+BV336</x:f>
        <x:v>0</x:v>
      </x:c>
      <x:c r="BY336" s="141" t="n">
        <x:f>BW336</x:f>
        <x:v>3086.3014020504215</x:v>
      </x:c>
      <x:c r="BZ336" s="141" t="n">
        <x:f>$C336+BY336-BX336</x:f>
        <x:v>10086.301402050422</x:v>
      </x:c>
      <x:c r="CA336" s="141" t="n">
        <x:f>CD335*(1+Premissas!$B$41)+BZ336</x:f>
        <x:v>16364456.155506507</x:v>
      </x:c>
      <x:c r="CB336" s="141" t="n">
        <x:f>MAX(0,-CA336)</x:f>
        <x:v>0</x:v>
      </x:c>
      <x:c r="CC336" s="141" t="n">
        <x:f>CC335*(1+Premissas!$B$41)+CB336</x:f>
        <x:v>0</x:v>
      </x:c>
      <x:c r="CD336" s="141" t="n">
        <x:f>MAX(0,CA336)</x:f>
        <x:v>16364456.155506507</x:v>
      </x:c>
      <x:c r="CE336" s="141" t="n">
        <x:f>IF(AND('Carta Contemplada'!$B$22="Sim",$A336&gt;='Carta Contemplada'!$B$23),INDEX('Carta Contemplada'!$I$55:$I$1013,$A336),0)</x:f>
        <x:v>0</x:v>
      </x:c>
      <x:c r="CF336" s="141" t="n">
        <x:f>IF(AND('Carta Contemplada'!$B$22="Sim",$A336&gt;='Carta Contemplada'!$B$44),$F336,0)</x:f>
        <x:v>997815.1934906509</x:v>
      </x:c>
      <x:c r="CG336" s="141" t="n">
        <x:f>CD336+CF336-CE336</x:f>
        <x:v>17362271.348997157</x:v>
      </x:c>
      <x:c r="CH336" s="141" t="n">
        <x:f>IF(CC336&gt;1,"Inviavel",CG336)</x:f>
        <x:v>17362271.348997157</x:v>
      </x:c>
      <x:c r="CI336" s="145" t="str">
        <x:f>IF(CC336&gt;1,"Inviavel","OK")</x:f>
        <x:v>OK</x:v>
      </x:c>
    </x:row>
    <x:row r="337">
      <x:c r="A337" s="142" t="n">
        <x:v>333</x:v>
      </x:c>
      <x:c r="B337" s="179" t="n">
        <x:f>EDATE(Premissas!$B$4,A337-1)</x:f>
        <x:v>56646</x:v>
      </x:c>
      <x:c r="C337" s="141" t="n">
        <x:f>IF(A337&lt;=Premissas!$B$39,Premissas!$B$42,0)</x:f>
        <x:v>7000</x:v>
      </x:c>
      <x:c r="D337" s="141" t="n">
        <x:f>Premissas!$B$54*(1+Premissas!$B$57)^INT((A337-1)/12)</x:f>
        <x:v>3375.6421584926484</x:v>
      </x:c>
      <x:c r="E337" s="141" t="n">
        <x:f>Premissas!$B$64*(1+Premissas!$B$57)^INT((A337-1)/12)</x:f>
        <x:v>3086.3014020504215</x:v>
      </x:c>
      <x:c r="F337" s="141" t="n">
        <x:f>MAX(0,Premissas!$B$6*(1+Premissas!$B$66)^((A337-1)/12))</x:f>
        <x:v>1002672.1093998343</x:v>
      </x:c>
      <x:c r="G337" s="141" t="n">
        <x:f>G336*(1+Premissas!$B$41)+C337</x:f>
        <x:v>18459381.15701874</x:v>
      </x:c>
      <x:c r="H337" s="141" t="n">
        <x:f>IF($A337=Premissas!$B$48,Premissas!$B$8,0)</x:f>
        <x:v>0</x:v>
      </x:c>
      <x:c r="I337" s="141" t="n">
        <x:f>IF(AND($A337&gt;=Premissas!$B$48,$A337-Premissas!$B$48+1&lt;=Premissas!$B$13),INDEX(Financiamento!$J$6:$J$485,$A337-Premissas!$B$48+1),0)</x:f>
        <x:v>849.0528679022136</x:v>
      </x:c>
      <x:c r="J337" s="141" t="n">
        <x:f>IF(AND(TRUE,Premissas!$B$11="Imovel",Premissas!$B$47="Moradia",$A337&lt;MAX(Premissas!$B$48,Premissas!$B$49)),$D337,0)</x:f>
        <x:v>0</x:v>
      </x:c>
      <x:c r="K337" s="141" t="n">
        <x:f>IF(AND(TRUE,Premissas!$B$11="Imovel",Premissas!$B$47="Investimento",$A337&gt;=MAX(Premissas!$B$48,Premissas!$B$49)),$E337,0)</x:f>
        <x:v>3086.3014020504215</x:v>
      </x:c>
      <x:c r="L337" s="141" t="n">
        <x:f>H337+I337+J337</x:f>
        <x:v>849.0528679022136</x:v>
      </x:c>
      <x:c r="M337" s="141" t="n">
        <x:f>K337</x:f>
        <x:v>3086.3014020504215</x:v>
      </x:c>
      <x:c r="N337" s="141" t="n">
        <x:f>$C337+M337-L337</x:f>
        <x:v>9237.248534148208</x:v>
      </x:c>
      <x:c r="O337" s="141" t="n">
        <x:f>R336*(1+Premissas!$B$41)+N337</x:f>
        <x:v>15959180.077980898</x:v>
      </x:c>
      <x:c r="P337" s="141" t="n">
        <x:f>MAX(0,-O337)</x:f>
        <x:v>0</x:v>
      </x:c>
      <x:c r="Q337" s="141" t="n">
        <x:f>Q336*(1+Premissas!$B$41)+P337</x:f>
        <x:v>0</x:v>
      </x:c>
      <x:c r="R337" s="141" t="n">
        <x:f>MAX(0,O337)</x:f>
        <x:v>15959180.077980898</x:v>
      </x:c>
      <x:c r="S337" s="141" t="n">
        <x:f>IF(AND($A337&gt;=Premissas!$B$48,$A337-Premissas!$B$48+1&lt;=Premissas!$B$13),INDEX(Financiamento!$M$6:$M$485,$A337-Premissas!$B$48+1),0)</x:f>
        <x:v>33142.85714285719</x:v>
      </x:c>
      <x:c r="T337" s="141" t="n">
        <x:f>IF($A337&gt;=Premissas!$B$48,$F337,0)</x:f>
        <x:v>1002672.1093998343</x:v>
      </x:c>
      <x:c r="U337" s="141" t="n">
        <x:f>R337+T337-S337</x:f>
        <x:v>16928709.330237873</x:v>
      </x:c>
      <x:c r="V337" s="141" t="n">
        <x:f>IF(Q337&gt;1,"Inviavel",U337)</x:f>
        <x:v>16928709.330237873</x:v>
      </x:c>
      <x:c r="W337" s="141" t="str">
        <x:f>IF(Q337&gt;1,"Inviavel","OK")</x:f>
        <x:v>OK</x:v>
      </x:c>
      <x:c r="X337" s="141" t="n">
        <x:f>IF($A337=Premissas!$B$48,Premissas!$B$8,0)</x:f>
        <x:v>0</x:v>
      </x:c>
      <x:c r="Y337" s="141" t="n">
        <x:f>IF(AND($A337&gt;=Premissas!$B$48,$A337-Premissas!$B$48+1&lt;=Premissas!$B$13),INDEX(Amortizacao!$K$6:$K$485,$A337-Premissas!$B$48+1),0)</x:f>
        <x:v>0</x:v>
      </x:c>
      <x:c r="Z337" s="141" t="n">
        <x:f>IF(AND(TRUE,Premissas!$B$11="Imovel",Premissas!$B$47="Moradia",$A337&lt;MAX(Premissas!$B$48,Premissas!$B$49)),$D337,0)</x:f>
        <x:v>0</x:v>
      </x:c>
      <x:c r="AA337" s="141" t="n">
        <x:f>IF(AND(TRUE,Premissas!$B$11="Imovel",Premissas!$B$47="Investimento",$A337&gt;=MAX(Premissas!$B$48,Premissas!$B$49)),$E337,0)</x:f>
        <x:v>3086.3014020504215</x:v>
      </x:c>
      <x:c r="AB337" s="141" t="n">
        <x:f>X337+Y337+Z337</x:f>
        <x:v>0</x:v>
      </x:c>
      <x:c r="AC337" s="141" t="n">
        <x:f>AA337</x:f>
        <x:v>3086.3014020504215</x:v>
      </x:c>
      <x:c r="AD337" s="141" t="n">
        <x:f>$C337+AC337-AB337</x:f>
        <x:v>10086.301402050422</x:v>
      </x:c>
      <x:c r="AE337" s="141" t="n">
        <x:f>AH336*(1+Premissas!$B$41)+AD337</x:f>
        <x:v>16194635.827541174</x:v>
      </x:c>
      <x:c r="AF337" s="141" t="n">
        <x:f>MAX(0,-AE337)</x:f>
        <x:v>0</x:v>
      </x:c>
      <x:c r="AG337" s="141" t="n">
        <x:f>AG336*(1+Premissas!$B$41)+AF337</x:f>
        <x:v>0</x:v>
      </x:c>
      <x:c r="AH337" s="141" t="n">
        <x:f>MAX(0,AE337)</x:f>
        <x:v>16194635.827541174</x:v>
      </x:c>
      <x:c r="AI337" s="141" t="n">
        <x:f>IF(AND($A337&gt;=Premissas!$B$48,$A337-Premissas!$B$48+1&lt;=Premissas!$B$13),INDEX(Amortizacao!$L$6:$L$485,$A337-Premissas!$B$48+1),0)</x:f>
        <x:v>0</x:v>
      </x:c>
      <x:c r="AJ337" s="141" t="n">
        <x:f>IF($A337&gt;=Premissas!$B$48,$F337,0)</x:f>
        <x:v>1002672.1093998343</x:v>
      </x:c>
      <x:c r="AK337" s="141" t="n">
        <x:f>AH337+AJ337-AI337</x:f>
        <x:v>17197307.93694101</x:v>
      </x:c>
      <x:c r="AL337" s="141" t="n">
        <x:f>IF(AG337&gt;1,"Inviavel",AK337)</x:f>
        <x:v>17197307.93694101</x:v>
      </x:c>
      <x:c r="AM337" s="141" t="str">
        <x:f>IF(AG337&gt;1,"Inviavel","OK")</x:f>
        <x:v>OK</x:v>
      </x:c>
      <x:c r="AN337" s="141" t="n">
        <x:f>IF($A337=Premissas!$B$48,Premissas!$B$8,0)</x:f>
        <x:v>0</x:v>
      </x:c>
      <x:c r="AO337" s="141" t="n">
        <x:f>IF($A337&lt;=Premissas!$B$25,INDEX('Consorcio IQ'!$K$6:$K$485,$A337),0)</x:f>
        <x:v>0</x:v>
      </x:c>
      <x:c r="AP337" s="141" t="n">
        <x:f>IF(AND(TRUE,Premissas!$B$11="Imovel",Premissas!$B$47="Moradia",$A337&lt;MAX(Premissas!$B$48,Premissas!$B$49)),$D337,0)</x:f>
        <x:v>0</x:v>
      </x:c>
      <x:c r="AQ337" s="141" t="n">
        <x:f>IF(AND(TRUE,Premissas!$B$11="Imovel",Premissas!$B$47="Investimento",$A337&gt;=MAX(Premissas!$B$48,Premissas!$B$49)),$E337,0)</x:f>
        <x:v>3086.3014020504215</x:v>
      </x:c>
      <x:c r="AR337" s="141" t="n">
        <x:f>AN337+AO337+AP337</x:f>
        <x:v>0</x:v>
      </x:c>
      <x:c r="AS337" s="141" t="n">
        <x:f>AQ337</x:f>
        <x:v>3086.3014020504215</x:v>
      </x:c>
      <x:c r="AT337" s="141" t="n">
        <x:f>$C337+AS337-AR337</x:f>
        <x:v>10086.301402050422</x:v>
      </x:c>
      <x:c r="AU337" s="141" t="n">
        <x:f>AX336*(1+Premissas!$B$41)+AT337</x:f>
        <x:v>16061721.257996088</x:v>
      </x:c>
      <x:c r="AV337" s="141" t="n">
        <x:f>MAX(0,-AU337)</x:f>
        <x:v>0</x:v>
      </x:c>
      <x:c r="AW337" s="141" t="n">
        <x:f>AW336*(1+Premissas!$B$41)+AV337</x:f>
        <x:v>0</x:v>
      </x:c>
      <x:c r="AX337" s="141" t="n">
        <x:f>MAX(0,AU337)</x:f>
        <x:v>16061721.257996088</x:v>
      </x:c>
      <x:c r="AY337" s="141" t="n">
        <x:f>INDEX('Consorcio IQ'!$P$6:$P$485,$A337)</x:f>
        <x:v>0</x:v>
      </x:c>
      <x:c r="AZ337" s="141" t="n">
        <x:f>IF($A337&gt;=Premissas!$B$48,$F337,0)+IF($A337&lt;Premissas!$B$27,INDEX('Consorcio IQ'!$O$6:$O$485,$A337),0)</x:f>
        <x:v>1002672.1093998343</x:v>
      </x:c>
      <x:c r="BA337" s="141" t="n">
        <x:f>AX337+AZ337-AY337</x:f>
        <x:v>17064393.367395923</x:v>
      </x:c>
      <x:c r="BB337" s="141" t="n">
        <x:f>IF(AW337&gt;1,"Inviavel",BA337)</x:f>
        <x:v>17064393.367395923</x:v>
      </x:c>
      <x:c r="BC337" s="141" t="str">
        <x:f>IF(AW337&gt;1,"Inviavel","OK")</x:f>
        <x:v>OK</x:v>
      </x:c>
      <x:c r="BD337" s="141" t="n">
        <x:f>IF($A337='Consorcio Direto'!$B$29,'Consorcio Direto'!$B$44,0)</x:f>
        <x:v>0</x:v>
      </x:c>
      <x:c r="BE337" s="141" t="n">
        <x:f>IF($A337&lt;='Consorcio Direto'!$B$27,INDEX('Consorcio Direto'!$E$55:$E$534,$A337),0)</x:f>
        <x:v>0</x:v>
      </x:c>
      <x:c r="BF337" s="141" t="n">
        <x:f>IF(AND(TRUE,Premissas!$B$11="Imovel",Premissas!$B$47="Moradia",$A337&lt;MAX('Consorcio Direto'!$B$29,Premissas!$B$49)),$D337,0)</x:f>
        <x:v>0</x:v>
      </x:c>
      <x:c r="BG337" s="141" t="n">
        <x:f>IF(AND(TRUE,Premissas!$B$11="Imovel",Premissas!$B$47="Investimento",$A337&gt;=MAX('Consorcio Direto'!$B$29,Premissas!$B$49)),$E337,0)</x:f>
        <x:v>3086.3014020504215</x:v>
      </x:c>
      <x:c r="BH337" s="141" t="n">
        <x:f>BD337+BE337+BF337</x:f>
        <x:v>0</x:v>
      </x:c>
      <x:c r="BI337" s="141" t="n">
        <x:f>BG337</x:f>
        <x:v>3086.3014020504215</x:v>
      </x:c>
      <x:c r="BJ337" s="141" t="n">
        <x:f>$C337+BI337-BH337</x:f>
        <x:v>10086.301402050422</x:v>
      </x:c>
      <x:c r="BK337" s="141" t="n">
        <x:f>BN336*(1+Premissas!$B$41)+BJ337</x:f>
        <x:v>15343399.17126034</x:v>
      </x:c>
      <x:c r="BL337" s="141" t="n">
        <x:f>MAX(0,-BK337)</x:f>
        <x:v>0</x:v>
      </x:c>
      <x:c r="BM337" s="141" t="n">
        <x:f>BM336*(1+Premissas!$B$41)+BL337</x:f>
        <x:v>0</x:v>
      </x:c>
      <x:c r="BN337" s="141" t="n">
        <x:f>MAX(0,BK337)</x:f>
        <x:v>15343399.17126034</x:v>
      </x:c>
      <x:c r="BO337" s="141" t="n">
        <x:f>INDEX('Consorcio Direto'!$K$55:$K$534,$A337)</x:f>
        <x:v>0</x:v>
      </x:c>
      <x:c r="BP337" s="141" t="n">
        <x:f>IF($A337&lt;'Consorcio Direto'!$B$29,INDEX('Consorcio Direto'!$L$55:$L$534,$A337),$F337)</x:f>
        <x:v>1002672.1093998343</x:v>
      </x:c>
      <x:c r="BQ337" s="141" t="n">
        <x:f>BN337+BP337-BO337</x:f>
        <x:v>16346071.280660175</x:v>
      </x:c>
      <x:c r="BR337" s="141" t="n">
        <x:f>IF(BM337&gt;1,"Inviavel",BQ337)</x:f>
        <x:v>16346071.280660175</x:v>
      </x:c>
      <x:c r="BS337" s="141" t="str">
        <x:f>IF(BM337&gt;1,"Inviavel","OK")</x:f>
        <x:v>OK</x:v>
      </x:c>
      <x:c r="BT337" s="141" t="n">
        <x:f>IF(AND('Carta Contemplada'!$B$22="Sim",$A337='Carta Contemplada'!$B$23),'Carta Contemplada'!$B$37,0)</x:f>
        <x:v>0</x:v>
      </x:c>
      <x:c r="BU337" s="141" t="n">
        <x:f>IF('Carta Contemplada'!$B$22="Sim",INDEX('Carta Contemplada'!$C$55:$C$1013,$A337),0)</x:f>
        <x:v>0</x:v>
      </x:c>
      <x:c r="BV337" s="141" t="n">
        <x:f>IF(AND('Carta Contemplada'!$B$22="Sim",Premissas!$B$11="Imovel",Premissas!$B$47="Moradia",$A337&lt;MAX('Carta Contemplada'!$B$44,Premissas!$B$49)),$D337,0)</x:f>
        <x:v>0</x:v>
      </x:c>
      <x:c r="BW337" s="141" t="n">
        <x:f>IF(AND('Carta Contemplada'!$B$22="Sim",Premissas!$B$11="Imovel",Premissas!$B$47="Investimento",$A337&gt;=MAX('Carta Contemplada'!$B$44,Premissas!$B$49)),$E337,0)</x:f>
        <x:v>3086.3014020504215</x:v>
      </x:c>
      <x:c r="BX337" s="141" t="n">
        <x:f>BT337+BU337+BV337</x:f>
        <x:v>0</x:v>
      </x:c>
      <x:c r="BY337" s="141" t="n">
        <x:f>BW337</x:f>
        <x:v>3086.3014020504215</x:v>
      </x:c>
      <x:c r="BZ337" s="141" t="n">
        <x:f>$C337+BY337-BX337</x:f>
        <x:v>10086.301402050422</x:v>
      </x:c>
      <x:c r="CA337" s="141" t="n">
        <x:f>CD336*(1+Premissas!$B$41)+BZ337</x:f>
        <x:v>16529821.392855221</x:v>
      </x:c>
      <x:c r="CB337" s="141" t="n">
        <x:f>MAX(0,-CA337)</x:f>
        <x:v>0</x:v>
      </x:c>
      <x:c r="CC337" s="141" t="n">
        <x:f>CC336*(1+Premissas!$B$41)+CB337</x:f>
        <x:v>0</x:v>
      </x:c>
      <x:c r="CD337" s="141" t="n">
        <x:f>MAX(0,CA337)</x:f>
        <x:v>16529821.392855221</x:v>
      </x:c>
      <x:c r="CE337" s="141" t="n">
        <x:f>IF(AND('Carta Contemplada'!$B$22="Sim",$A337&gt;='Carta Contemplada'!$B$23),INDEX('Carta Contemplada'!$I$55:$I$1013,$A337),0)</x:f>
        <x:v>0</x:v>
      </x:c>
      <x:c r="CF337" s="141" t="n">
        <x:f>IF(AND('Carta Contemplada'!$B$22="Sim",$A337&gt;='Carta Contemplada'!$B$44),$F337,0)</x:f>
        <x:v>1002672.1093998343</x:v>
      </x:c>
      <x:c r="CG337" s="141" t="n">
        <x:f>CD337+CF337-CE337</x:f>
        <x:v>17532493.502255056</x:v>
      </x:c>
      <x:c r="CH337" s="141" t="n">
        <x:f>IF(CC337&gt;1,"Inviavel",CG337)</x:f>
        <x:v>17532493.502255056</x:v>
      </x:c>
      <x:c r="CI337" s="145" t="str">
        <x:f>IF(CC337&gt;1,"Inviavel","OK")</x:f>
        <x:v>OK</x:v>
      </x:c>
    </x:row>
    <x:row r="338">
      <x:c r="A338" s="142" t="n">
        <x:v>334</x:v>
      </x:c>
      <x:c r="B338" s="179" t="n">
        <x:f>EDATE(Premissas!$B$4,A338-1)</x:f>
        <x:v>56674</x:v>
      </x:c>
      <x:c r="C338" s="141" t="n">
        <x:f>IF(A338&lt;=Premissas!$B$39,Premissas!$B$42,0)</x:f>
        <x:v>7000</x:v>
      </x:c>
      <x:c r="D338" s="141" t="n">
        <x:f>Premissas!$B$54*(1+Premissas!$B$57)^INT((A338-1)/12)</x:f>
        <x:v>3375.6421584926484</x:v>
      </x:c>
      <x:c r="E338" s="141" t="n">
        <x:f>Premissas!$B$64*(1+Premissas!$B$57)^INT((A338-1)/12)</x:f>
        <x:v>3086.3014020504215</x:v>
      </x:c>
      <x:c r="F338" s="141" t="n">
        <x:f>MAX(0,Premissas!$B$6*(1+Premissas!$B$66)^((A338-1)/12))</x:f>
        <x:v>1007552.666592797</x:v>
      </x:c>
      <x:c r="G338" s="141" t="n">
        <x:f>G337*(1+Premissas!$B$41)+C338</x:f>
        <x:v>18641538.402518235</x:v>
      </x:c>
      <x:c r="H338" s="141" t="n">
        <x:f>IF($A338=Premissas!$B$48,Premissas!$B$8,0)</x:f>
        <x:v>0</x:v>
      </x:c>
      <x:c r="I338" s="141" t="n">
        <x:f>IF(AND($A338&gt;=Premissas!$B$48,$A338-Premissas!$B$48+1&lt;=Premissas!$B$13),INDEX(Financiamento!$J$6:$J$485,$A338-Premissas!$B$48+1),0)</x:f>
        <x:v>845.43808964142</x:v>
      </x:c>
      <x:c r="J338" s="141" t="n">
        <x:f>IF(AND(TRUE,Premissas!$B$11="Imovel",Premissas!$B$47="Moradia",$A338&lt;MAX(Premissas!$B$48,Premissas!$B$49)),$D338,0)</x:f>
        <x:v>0</x:v>
      </x:c>
      <x:c r="K338" s="141" t="n">
        <x:f>IF(AND(TRUE,Premissas!$B$11="Imovel",Premissas!$B$47="Investimento",$A338&gt;=MAX(Premissas!$B$48,Premissas!$B$49)),$E338,0)</x:f>
        <x:v>3086.3014020504215</x:v>
      </x:c>
      <x:c r="L338" s="141" t="n">
        <x:f>H338+I338+J338</x:f>
        <x:v>845.43808964142</x:v>
      </x:c>
      <x:c r="M338" s="141" t="n">
        <x:f>K338</x:f>
        <x:v>3086.3014020504215</x:v>
      </x:c>
      <x:c r="N338" s="141" t="n">
        <x:f>$C338+M338-L338</x:f>
        <x:v>9240.863312409001</x:v>
      </x:c>
      <x:c r="O338" s="141" t="n">
        <x:f>R337*(1+Premissas!$B$41)+N338</x:f>
        <x:v>16119854.29645899</x:v>
      </x:c>
      <x:c r="P338" s="141" t="n">
        <x:f>MAX(0,-O338)</x:f>
        <x:v>0</x:v>
      </x:c>
      <x:c r="Q338" s="141" t="n">
        <x:f>Q337*(1+Premissas!$B$41)+P338</x:f>
        <x:v>0</x:v>
      </x:c>
      <x:c r="R338" s="141" t="n">
        <x:f>MAX(0,O338)</x:f>
        <x:v>16119854.29645899</x:v>
      </x:c>
      <x:c r="S338" s="141" t="n">
        <x:f>IF(AND($A338&gt;=Premissas!$B$48,$A338-Premissas!$B$48+1&lt;=Premissas!$B$13),INDEX(Financiamento!$M$6:$M$485,$A338-Premissas!$B$48+1),0)</x:f>
        <x:v>32761.904761904807</x:v>
      </x:c>
      <x:c r="T338" s="141" t="n">
        <x:f>IF($A338&gt;=Premissas!$B$48,$F338,0)</x:f>
        <x:v>1007552.666592797</x:v>
      </x:c>
      <x:c r="U338" s="141" t="n">
        <x:f>R338+T338-S338</x:f>
        <x:v>17094645.05828988</x:v>
      </x:c>
      <x:c r="V338" s="141" t="n">
        <x:f>IF(Q338&gt;1,"Inviavel",U338)</x:f>
        <x:v>17094645.05828988</x:v>
      </x:c>
      <x:c r="W338" s="141" t="str">
        <x:f>IF(Q338&gt;1,"Inviavel","OK")</x:f>
        <x:v>OK</x:v>
      </x:c>
      <x:c r="X338" s="141" t="n">
        <x:f>IF($A338=Premissas!$B$48,Premissas!$B$8,0)</x:f>
        <x:v>0</x:v>
      </x:c>
      <x:c r="Y338" s="141" t="n">
        <x:f>IF(AND($A338&gt;=Premissas!$B$48,$A338-Premissas!$B$48+1&lt;=Premissas!$B$13),INDEX(Amortizacao!$K$6:$K$485,$A338-Premissas!$B$48+1),0)</x:f>
        <x:v>0</x:v>
      </x:c>
      <x:c r="Z338" s="141" t="n">
        <x:f>IF(AND(TRUE,Premissas!$B$11="Imovel",Premissas!$B$47="Moradia",$A338&lt;MAX(Premissas!$B$48,Premissas!$B$49)),$D338,0)</x:f>
        <x:v>0</x:v>
      </x:c>
      <x:c r="AA338" s="141" t="n">
        <x:f>IF(AND(TRUE,Premissas!$B$11="Imovel",Premissas!$B$47="Investimento",$A338&gt;=MAX(Premissas!$B$48,Premissas!$B$49)),$E338,0)</x:f>
        <x:v>3086.3014020504215</x:v>
      </x:c>
      <x:c r="AB338" s="141" t="n">
        <x:f>X338+Y338+Z338</x:f>
        <x:v>0</x:v>
      </x:c>
      <x:c r="AC338" s="141" t="n">
        <x:f>AA338</x:f>
        <x:v>3086.3014020504215</x:v>
      </x:c>
      <x:c r="AD338" s="141" t="n">
        <x:f>$C338+AC338-AB338</x:f>
        <x:v>10086.301402050422</x:v>
      </x:c>
      <x:c r="AE338" s="141" t="n">
        <x:f>AH337*(1+Premissas!$B$41)+AD338</x:f>
        <x:v>16358389.674961744</x:v>
      </x:c>
      <x:c r="AF338" s="141" t="n">
        <x:f>MAX(0,-AE338)</x:f>
        <x:v>0</x:v>
      </x:c>
      <x:c r="AG338" s="141" t="n">
        <x:f>AG337*(1+Premissas!$B$41)+AF338</x:f>
        <x:v>0</x:v>
      </x:c>
      <x:c r="AH338" s="141" t="n">
        <x:f>MAX(0,AE338)</x:f>
        <x:v>16358389.674961744</x:v>
      </x:c>
      <x:c r="AI338" s="141" t="n">
        <x:f>IF(AND($A338&gt;=Premissas!$B$48,$A338-Premissas!$B$48+1&lt;=Premissas!$B$13),INDEX(Amortizacao!$L$6:$L$485,$A338-Premissas!$B$48+1),0)</x:f>
        <x:v>0</x:v>
      </x:c>
      <x:c r="AJ338" s="141" t="n">
        <x:f>IF($A338&gt;=Premissas!$B$48,$F338,0)</x:f>
        <x:v>1007552.666592797</x:v>
      </x:c>
      <x:c r="AK338" s="141" t="n">
        <x:f>AH338+AJ338-AI338</x:f>
        <x:v>17365942.34155454</x:v>
      </x:c>
      <x:c r="AL338" s="141" t="n">
        <x:f>IF(AG338&gt;1,"Inviavel",AK338)</x:f>
        <x:v>17365942.34155454</x:v>
      </x:c>
      <x:c r="AM338" s="141" t="str">
        <x:f>IF(AG338&gt;1,"Inviavel","OK")</x:f>
        <x:v>OK</x:v>
      </x:c>
      <x:c r="AN338" s="141" t="n">
        <x:f>IF($A338=Premissas!$B$48,Premissas!$B$8,0)</x:f>
        <x:v>0</x:v>
      </x:c>
      <x:c r="AO338" s="141" t="n">
        <x:f>IF($A338&lt;=Premissas!$B$25,INDEX('Consorcio IQ'!$K$6:$K$485,$A338),0)</x:f>
        <x:v>0</x:v>
      </x:c>
      <x:c r="AP338" s="141" t="n">
        <x:f>IF(AND(TRUE,Premissas!$B$11="Imovel",Premissas!$B$47="Moradia",$A338&lt;MAX(Premissas!$B$48,Premissas!$B$49)),$D338,0)</x:f>
        <x:v>0</x:v>
      </x:c>
      <x:c r="AQ338" s="141" t="n">
        <x:f>IF(AND(TRUE,Premissas!$B$11="Imovel",Premissas!$B$47="Investimento",$A338&gt;=MAX(Premissas!$B$48,Premissas!$B$49)),$E338,0)</x:f>
        <x:v>3086.3014020504215</x:v>
      </x:c>
      <x:c r="AR338" s="141" t="n">
        <x:f>AN338+AO338+AP338</x:f>
        <x:v>0</x:v>
      </x:c>
      <x:c r="AS338" s="141" t="n">
        <x:f>AQ338</x:f>
        <x:v>3086.3014020504215</x:v>
      </x:c>
      <x:c r="AT338" s="141" t="n">
        <x:f>$C338+AS338-AR338</x:f>
        <x:v>10086.301402050422</x:v>
      </x:c>
      <x:c r="AU338" s="141" t="n">
        <x:f>AX337*(1+Premissas!$B$41)+AT338</x:f>
        <x:v>16224213.906588254</x:v>
      </x:c>
      <x:c r="AV338" s="141" t="n">
        <x:f>MAX(0,-AU338)</x:f>
        <x:v>0</x:v>
      </x:c>
      <x:c r="AW338" s="141" t="n">
        <x:f>AW337*(1+Premissas!$B$41)+AV338</x:f>
        <x:v>0</x:v>
      </x:c>
      <x:c r="AX338" s="141" t="n">
        <x:f>MAX(0,AU338)</x:f>
        <x:v>16224213.906588254</x:v>
      </x:c>
      <x:c r="AY338" s="141" t="n">
        <x:f>INDEX('Consorcio IQ'!$P$6:$P$485,$A338)</x:f>
        <x:v>0</x:v>
      </x:c>
      <x:c r="AZ338" s="141" t="n">
        <x:f>IF($A338&gt;=Premissas!$B$48,$F338,0)+IF($A338&lt;Premissas!$B$27,INDEX('Consorcio IQ'!$O$6:$O$485,$A338),0)</x:f>
        <x:v>1007552.666592797</x:v>
      </x:c>
      <x:c r="BA338" s="141" t="n">
        <x:f>AX338+AZ338-AY338</x:f>
        <x:v>17231766.57318105</x:v>
      </x:c>
      <x:c r="BB338" s="141" t="n">
        <x:f>IF(AW338&gt;1,"Inviavel",BA338)</x:f>
        <x:v>17231766.57318105</x:v>
      </x:c>
      <x:c r="BC338" s="141" t="str">
        <x:f>IF(AW338&gt;1,"Inviavel","OK")</x:f>
        <x:v>OK</x:v>
      </x:c>
      <x:c r="BD338" s="141" t="n">
        <x:f>IF($A338='Consorcio Direto'!$B$29,'Consorcio Direto'!$B$44,0)</x:f>
        <x:v>0</x:v>
      </x:c>
      <x:c r="BE338" s="141" t="n">
        <x:f>IF($A338&lt;='Consorcio Direto'!$B$27,INDEX('Consorcio Direto'!$E$55:$E$534,$A338),0)</x:f>
        <x:v>0</x:v>
      </x:c>
      <x:c r="BF338" s="141" t="n">
        <x:f>IF(AND(TRUE,Premissas!$B$11="Imovel",Premissas!$B$47="Moradia",$A338&lt;MAX('Consorcio Direto'!$B$29,Premissas!$B$49)),$D338,0)</x:f>
        <x:v>0</x:v>
      </x:c>
      <x:c r="BG338" s="141" t="n">
        <x:f>IF(AND(TRUE,Premissas!$B$11="Imovel",Premissas!$B$47="Investimento",$A338&gt;=MAX('Consorcio Direto'!$B$29,Premissas!$B$49)),$E338,0)</x:f>
        <x:v>3086.3014020504215</x:v>
      </x:c>
      <x:c r="BH338" s="141" t="n">
        <x:f>BD338+BE338+BF338</x:f>
        <x:v>0</x:v>
      </x:c>
      <x:c r="BI338" s="141" t="n">
        <x:f>BG338</x:f>
        <x:v>3086.3014020504215</x:v>
      </x:c>
      <x:c r="BJ338" s="141" t="n">
        <x:f>$C338+BI338-BH338</x:f>
        <x:v>10086.301402050422</x:v>
      </x:c>
      <x:c r="BK338" s="141" t="n">
        <x:f>BN337*(1+Premissas!$B$41)+BJ338</x:f>
        <x:v>15499075.810311133</x:v>
      </x:c>
      <x:c r="BL338" s="141" t="n">
        <x:f>MAX(0,-BK338)</x:f>
        <x:v>0</x:v>
      </x:c>
      <x:c r="BM338" s="141" t="n">
        <x:f>BM337*(1+Premissas!$B$41)+BL338</x:f>
        <x:v>0</x:v>
      </x:c>
      <x:c r="BN338" s="141" t="n">
        <x:f>MAX(0,BK338)</x:f>
        <x:v>15499075.810311133</x:v>
      </x:c>
      <x:c r="BO338" s="141" t="n">
        <x:f>INDEX('Consorcio Direto'!$K$55:$K$534,$A338)</x:f>
        <x:v>0</x:v>
      </x:c>
      <x:c r="BP338" s="141" t="n">
        <x:f>IF($A338&lt;'Consorcio Direto'!$B$29,INDEX('Consorcio Direto'!$L$55:$L$534,$A338),$F338)</x:f>
        <x:v>1007552.666592797</x:v>
      </x:c>
      <x:c r="BQ338" s="141" t="n">
        <x:f>BN338+BP338-BO338</x:f>
        <x:v>16506628.47690393</x:v>
      </x:c>
      <x:c r="BR338" s="141" t="n">
        <x:f>IF(BM338&gt;1,"Inviavel",BQ338)</x:f>
        <x:v>16506628.47690393</x:v>
      </x:c>
      <x:c r="BS338" s="141" t="str">
        <x:f>IF(BM338&gt;1,"Inviavel","OK")</x:f>
        <x:v>OK</x:v>
      </x:c>
      <x:c r="BT338" s="141" t="n">
        <x:f>IF(AND('Carta Contemplada'!$B$22="Sim",$A338='Carta Contemplada'!$B$23),'Carta Contemplada'!$B$37,0)</x:f>
        <x:v>0</x:v>
      </x:c>
      <x:c r="BU338" s="141" t="n">
        <x:f>IF('Carta Contemplada'!$B$22="Sim",INDEX('Carta Contemplada'!$C$55:$C$1013,$A338),0)</x:f>
        <x:v>0</x:v>
      </x:c>
      <x:c r="BV338" s="141" t="n">
        <x:f>IF(AND('Carta Contemplada'!$B$22="Sim",Premissas!$B$11="Imovel",Premissas!$B$47="Moradia",$A338&lt;MAX('Carta Contemplada'!$B$44,Premissas!$B$49)),$D338,0)</x:f>
        <x:v>0</x:v>
      </x:c>
      <x:c r="BW338" s="141" t="n">
        <x:f>IF(AND('Carta Contemplada'!$B$22="Sim",Premissas!$B$11="Imovel",Premissas!$B$47="Investimento",$A338&gt;=MAX('Carta Contemplada'!$B$44,Premissas!$B$49)),$E338,0)</x:f>
        <x:v>3086.3014020504215</x:v>
      </x:c>
      <x:c r="BX338" s="141" t="n">
        <x:f>BT338+BU338+BV338</x:f>
        <x:v>0</x:v>
      </x:c>
      <x:c r="BY338" s="141" t="n">
        <x:f>BW338</x:f>
        <x:v>3086.3014020504215</x:v>
      </x:c>
      <x:c r="BZ338" s="141" t="n">
        <x:f>$C338+BY338-BX338</x:f>
        <x:v>10086.301402050422</x:v>
      </x:c>
      <x:c r="CA338" s="141" t="n">
        <x:f>CD337*(1+Premissas!$B$41)+BZ338</x:f>
        <x:v>16696755.746699717</x:v>
      </x:c>
      <x:c r="CB338" s="141" t="n">
        <x:f>MAX(0,-CA338)</x:f>
        <x:v>0</x:v>
      </x:c>
      <x:c r="CC338" s="141" t="n">
        <x:f>CC337*(1+Premissas!$B$41)+CB338</x:f>
        <x:v>0</x:v>
      </x:c>
      <x:c r="CD338" s="141" t="n">
        <x:f>MAX(0,CA338)</x:f>
        <x:v>16696755.746699717</x:v>
      </x:c>
      <x:c r="CE338" s="141" t="n">
        <x:f>IF(AND('Carta Contemplada'!$B$22="Sim",$A338&gt;='Carta Contemplada'!$B$23),INDEX('Carta Contemplada'!$I$55:$I$1013,$A338),0)</x:f>
        <x:v>0</x:v>
      </x:c>
      <x:c r="CF338" s="141" t="n">
        <x:f>IF(AND('Carta Contemplada'!$B$22="Sim",$A338&gt;='Carta Contemplada'!$B$44),$F338,0)</x:f>
        <x:v>1007552.666592797</x:v>
      </x:c>
      <x:c r="CG338" s="141" t="n">
        <x:f>CD338+CF338-CE338</x:f>
        <x:v>17704308.413292512</x:v>
      </x:c>
      <x:c r="CH338" s="141" t="n">
        <x:f>IF(CC338&gt;1,"Inviavel",CG338)</x:f>
        <x:v>17704308.413292512</x:v>
      </x:c>
      <x:c r="CI338" s="145" t="str">
        <x:f>IF(CC338&gt;1,"Inviavel","OK")</x:f>
        <x:v>OK</x:v>
      </x:c>
    </x:row>
    <x:row r="339">
      <x:c r="A339" s="142" t="n">
        <x:v>335</x:v>
      </x:c>
      <x:c r="B339" s="179" t="n">
        <x:f>EDATE(Premissas!$B$4,A339-1)</x:f>
        <x:v>56705</x:v>
      </x:c>
      <x:c r="C339" s="141" t="n">
        <x:f>IF(A339&lt;=Premissas!$B$39,Premissas!$B$42,0)</x:f>
        <x:v>7000</x:v>
      </x:c>
      <x:c r="D339" s="141" t="n">
        <x:f>Premissas!$B$54*(1+Premissas!$B$57)^INT((A339-1)/12)</x:f>
        <x:v>3375.6421584926484</x:v>
      </x:c>
      <x:c r="E339" s="141" t="n">
        <x:f>Premissas!$B$64*(1+Premissas!$B$57)^INT((A339-1)/12)</x:f>
        <x:v>3086.3014020504215</x:v>
      </x:c>
      <x:c r="F339" s="141" t="n">
        <x:f>MAX(0,Premissas!$B$6*(1+Premissas!$B$66)^((A339-1)/12))</x:f>
        <x:v>1012456.9801446837</x:v>
      </x:c>
      <x:c r="G339" s="141" t="n">
        <x:f>G338*(1+Premissas!$B$41)+C339</x:f>
        <x:v>18825424.100401808</x:v>
      </x:c>
      <x:c r="H339" s="141" t="n">
        <x:f>IF($A339=Premissas!$B$48,Premissas!$B$8,0)</x:f>
        <x:v>0</x:v>
      </x:c>
      <x:c r="I339" s="141" t="n">
        <x:f>IF(AND($A339&gt;=Premissas!$B$48,$A339-Premissas!$B$48+1&lt;=Premissas!$B$13),INDEX(Financiamento!$J$6:$J$485,$A339-Premissas!$B$48+1),0)</x:f>
        <x:v>841.8233113806264</x:v>
      </x:c>
      <x:c r="J339" s="141" t="n">
        <x:f>IF(AND(TRUE,Premissas!$B$11="Imovel",Premissas!$B$47="Moradia",$A339&lt;MAX(Premissas!$B$48,Premissas!$B$49)),$D339,0)</x:f>
        <x:v>0</x:v>
      </x:c>
      <x:c r="K339" s="141" t="n">
        <x:f>IF(AND(TRUE,Premissas!$B$11="Imovel",Premissas!$B$47="Investimento",$A339&gt;=MAX(Premissas!$B$48,Premissas!$B$49)),$E339,0)</x:f>
        <x:v>3086.3014020504215</x:v>
      </x:c>
      <x:c r="L339" s="141" t="n">
        <x:f>H339+I339+J339</x:f>
        <x:v>841.8233113806264</x:v>
      </x:c>
      <x:c r="M339" s="141" t="n">
        <x:f>K339</x:f>
        <x:v>3086.3014020504215</x:v>
      </x:c>
      <x:c r="N339" s="141" t="n">
        <x:f>$C339+M339-L339</x:f>
        <x:v>9244.478090669796</x:v>
      </x:c>
      <x:c r="O339" s="141" t="n">
        <x:f>R338*(1+Premissas!$B$41)+N339</x:f>
        <x:v>16282056.734104408</x:v>
      </x:c>
      <x:c r="P339" s="141" t="n">
        <x:f>MAX(0,-O339)</x:f>
        <x:v>0</x:v>
      </x:c>
      <x:c r="Q339" s="141" t="n">
        <x:f>Q338*(1+Premissas!$B$41)+P339</x:f>
        <x:v>0</x:v>
      </x:c>
      <x:c r="R339" s="141" t="n">
        <x:f>MAX(0,O339)</x:f>
        <x:v>16282056.734104408</x:v>
      </x:c>
      <x:c r="S339" s="141" t="n">
        <x:f>IF(AND($A339&gt;=Premissas!$B$48,$A339-Premissas!$B$48+1&lt;=Premissas!$B$13),INDEX(Financiamento!$M$6:$M$485,$A339-Premissas!$B$48+1),0)</x:f>
        <x:v>32380.952380952425</x:v>
      </x:c>
      <x:c r="T339" s="141" t="n">
        <x:f>IF($A339&gt;=Premissas!$B$48,$F339,0)</x:f>
        <x:v>1012456.9801446837</x:v>
      </x:c>
      <x:c r="U339" s="141" t="n">
        <x:f>R339+T339-S339</x:f>
        <x:v>17262132.76186814</x:v>
      </x:c>
      <x:c r="V339" s="141" t="n">
        <x:f>IF(Q339&gt;1,"Inviavel",U339)</x:f>
        <x:v>17262132.76186814</x:v>
      </x:c>
      <x:c r="W339" s="141" t="str">
        <x:f>IF(Q339&gt;1,"Inviavel","OK")</x:f>
        <x:v>OK</x:v>
      </x:c>
      <x:c r="X339" s="141" t="n">
        <x:f>IF($A339=Premissas!$B$48,Premissas!$B$8,0)</x:f>
        <x:v>0</x:v>
      </x:c>
      <x:c r="Y339" s="141" t="n">
        <x:f>IF(AND($A339&gt;=Premissas!$B$48,$A339-Premissas!$B$48+1&lt;=Premissas!$B$13),INDEX(Amortizacao!$K$6:$K$485,$A339-Premissas!$B$48+1),0)</x:f>
        <x:v>0</x:v>
      </x:c>
      <x:c r="Z339" s="141" t="n">
        <x:f>IF(AND(TRUE,Premissas!$B$11="Imovel",Premissas!$B$47="Moradia",$A339&lt;MAX(Premissas!$B$48,Premissas!$B$49)),$D339,0)</x:f>
        <x:v>0</x:v>
      </x:c>
      <x:c r="AA339" s="141" t="n">
        <x:f>IF(AND(TRUE,Premissas!$B$11="Imovel",Premissas!$B$47="Investimento",$A339&gt;=MAX(Premissas!$B$48,Premissas!$B$49)),$E339,0)</x:f>
        <x:v>3086.3014020504215</x:v>
      </x:c>
      <x:c r="AB339" s="141" t="n">
        <x:f>X339+Y339+Z339</x:f>
        <x:v>0</x:v>
      </x:c>
      <x:c r="AC339" s="141" t="n">
        <x:f>AA339</x:f>
        <x:v>3086.3014020504215</x:v>
      </x:c>
      <x:c r="AD339" s="141" t="n">
        <x:f>$C339+AC339-AB339</x:f>
        <x:v>10086.301402050422</x:v>
      </x:c>
      <x:c r="AE339" s="141" t="n">
        <x:f>AH338*(1+Premissas!$B$41)+AD339</x:f>
        <x:v>16523697.348732729</x:v>
      </x:c>
      <x:c r="AF339" s="141" t="n">
        <x:f>MAX(0,-AE339)</x:f>
        <x:v>0</x:v>
      </x:c>
      <x:c r="AG339" s="141" t="n">
        <x:f>AG338*(1+Premissas!$B$41)+AF339</x:f>
        <x:v>0</x:v>
      </x:c>
      <x:c r="AH339" s="141" t="n">
        <x:f>MAX(0,AE339)</x:f>
        <x:v>16523697.348732729</x:v>
      </x:c>
      <x:c r="AI339" s="141" t="n">
        <x:f>IF(AND($A339&gt;=Premissas!$B$48,$A339-Premissas!$B$48+1&lt;=Premissas!$B$13),INDEX(Amortizacao!$L$6:$L$485,$A339-Premissas!$B$48+1),0)</x:f>
        <x:v>0</x:v>
      </x:c>
      <x:c r="AJ339" s="141" t="n">
        <x:f>IF($A339&gt;=Premissas!$B$48,$F339,0)</x:f>
        <x:v>1012456.9801446837</x:v>
      </x:c>
      <x:c r="AK339" s="141" t="n">
        <x:f>AH339+AJ339-AI339</x:f>
        <x:v>17536154.32887741</x:v>
      </x:c>
      <x:c r="AL339" s="141" t="n">
        <x:f>IF(AG339&gt;1,"Inviavel",AK339)</x:f>
        <x:v>17536154.32887741</x:v>
      </x:c>
      <x:c r="AM339" s="141" t="str">
        <x:f>IF(AG339&gt;1,"Inviavel","OK")</x:f>
        <x:v>OK</x:v>
      </x:c>
      <x:c r="AN339" s="141" t="n">
        <x:f>IF($A339=Premissas!$B$48,Premissas!$B$8,0)</x:f>
        <x:v>0</x:v>
      </x:c>
      <x:c r="AO339" s="141" t="n">
        <x:f>IF($A339&lt;=Premissas!$B$25,INDEX('Consorcio IQ'!$K$6:$K$485,$A339),0)</x:f>
        <x:v>0</x:v>
      </x:c>
      <x:c r="AP339" s="141" t="n">
        <x:f>IF(AND(TRUE,Premissas!$B$11="Imovel",Premissas!$B$47="Moradia",$A339&lt;MAX(Premissas!$B$48,Premissas!$B$49)),$D339,0)</x:f>
        <x:v>0</x:v>
      </x:c>
      <x:c r="AQ339" s="141" t="n">
        <x:f>IF(AND(TRUE,Premissas!$B$11="Imovel",Premissas!$B$47="Investimento",$A339&gt;=MAX(Premissas!$B$48,Premissas!$B$49)),$E339,0)</x:f>
        <x:v>3086.3014020504215</x:v>
      </x:c>
      <x:c r="AR339" s="141" t="n">
        <x:f>AN339+AO339+AP339</x:f>
        <x:v>0</x:v>
      </x:c>
      <x:c r="AS339" s="141" t="n">
        <x:f>AQ339</x:f>
        <x:v>3086.3014020504215</x:v>
      </x:c>
      <x:c r="AT339" s="141" t="n">
        <x:f>$C339+AS339-AR339</x:f>
        <x:v>10086.301402050422</x:v>
      </x:c>
      <x:c r="AU339" s="141" t="n">
        <x:f>AX338*(1+Premissas!$B$41)+AT339</x:f>
        <x:v>16388248.414276304</x:v>
      </x:c>
      <x:c r="AV339" s="141" t="n">
        <x:f>MAX(0,-AU339)</x:f>
        <x:v>0</x:v>
      </x:c>
      <x:c r="AW339" s="141" t="n">
        <x:f>AW338*(1+Premissas!$B$41)+AV339</x:f>
        <x:v>0</x:v>
      </x:c>
      <x:c r="AX339" s="141" t="n">
        <x:f>MAX(0,AU339)</x:f>
        <x:v>16388248.414276304</x:v>
      </x:c>
      <x:c r="AY339" s="141" t="n">
        <x:f>INDEX('Consorcio IQ'!$P$6:$P$485,$A339)</x:f>
        <x:v>0</x:v>
      </x:c>
      <x:c r="AZ339" s="141" t="n">
        <x:f>IF($A339&gt;=Premissas!$B$48,$F339,0)+IF($A339&lt;Premissas!$B$27,INDEX('Consorcio IQ'!$O$6:$O$485,$A339),0)</x:f>
        <x:v>1012456.9801446837</x:v>
      </x:c>
      <x:c r="BA339" s="141" t="n">
        <x:f>AX339+AZ339-AY339</x:f>
        <x:v>17400705.39442099</x:v>
      </x:c>
      <x:c r="BB339" s="141" t="n">
        <x:f>IF(AW339&gt;1,"Inviavel",BA339)</x:f>
        <x:v>17400705.39442099</x:v>
      </x:c>
      <x:c r="BC339" s="141" t="str">
        <x:f>IF(AW339&gt;1,"Inviavel","OK")</x:f>
        <x:v>OK</x:v>
      </x:c>
      <x:c r="BD339" s="141" t="n">
        <x:f>IF($A339='Consorcio Direto'!$B$29,'Consorcio Direto'!$B$44,0)</x:f>
        <x:v>0</x:v>
      </x:c>
      <x:c r="BE339" s="141" t="n">
        <x:f>IF($A339&lt;='Consorcio Direto'!$B$27,INDEX('Consorcio Direto'!$E$55:$E$534,$A339),0)</x:f>
        <x:v>0</x:v>
      </x:c>
      <x:c r="BF339" s="141" t="n">
        <x:f>IF(AND(TRUE,Premissas!$B$11="Imovel",Premissas!$B$47="Moradia",$A339&lt;MAX('Consorcio Direto'!$B$29,Premissas!$B$49)),$D339,0)</x:f>
        <x:v>0</x:v>
      </x:c>
      <x:c r="BG339" s="141" t="n">
        <x:f>IF(AND(TRUE,Premissas!$B$11="Imovel",Premissas!$B$47="Investimento",$A339&gt;=MAX('Consorcio Direto'!$B$29,Premissas!$B$49)),$E339,0)</x:f>
        <x:v>3086.3014020504215</x:v>
      </x:c>
      <x:c r="BH339" s="141" t="n">
        <x:f>BD339+BE339+BF339</x:f>
        <x:v>0</x:v>
      </x:c>
      <x:c r="BI339" s="141" t="n">
        <x:f>BG339</x:f>
        <x:v>3086.3014020504215</x:v>
      </x:c>
      <x:c r="BJ339" s="141" t="n">
        <x:f>$C339+BI339-BH339</x:f>
        <x:v>10086.301402050422</x:v>
      </x:c>
      <x:c r="BK339" s="141" t="n">
        <x:f>BN338*(1+Premissas!$B$41)+BJ339</x:f>
        <x:v>15656229.632754631</x:v>
      </x:c>
      <x:c r="BL339" s="141" t="n">
        <x:f>MAX(0,-BK339)</x:f>
        <x:v>0</x:v>
      </x:c>
      <x:c r="BM339" s="141" t="n">
        <x:f>BM338*(1+Premissas!$B$41)+BL339</x:f>
        <x:v>0</x:v>
      </x:c>
      <x:c r="BN339" s="141" t="n">
        <x:f>MAX(0,BK339)</x:f>
        <x:v>15656229.632754631</x:v>
      </x:c>
      <x:c r="BO339" s="141" t="n">
        <x:f>INDEX('Consorcio Direto'!$K$55:$K$534,$A339)</x:f>
        <x:v>0</x:v>
      </x:c>
      <x:c r="BP339" s="141" t="n">
        <x:f>IF($A339&lt;'Consorcio Direto'!$B$29,INDEX('Consorcio Direto'!$L$55:$L$534,$A339),$F339)</x:f>
        <x:v>1012456.9801446837</x:v>
      </x:c>
      <x:c r="BQ339" s="141" t="n">
        <x:f>BN339+BP339-BO339</x:f>
        <x:v>16668686.612899315</x:v>
      </x:c>
      <x:c r="BR339" s="141" t="n">
        <x:f>IF(BM339&gt;1,"Inviavel",BQ339)</x:f>
        <x:v>16668686.612899315</x:v>
      </x:c>
      <x:c r="BS339" s="141" t="str">
        <x:f>IF(BM339&gt;1,"Inviavel","OK")</x:f>
        <x:v>OK</x:v>
      </x:c>
      <x:c r="BT339" s="141" t="n">
        <x:f>IF(AND('Carta Contemplada'!$B$22="Sim",$A339='Carta Contemplada'!$B$23),'Carta Contemplada'!$B$37,0)</x:f>
        <x:v>0</x:v>
      </x:c>
      <x:c r="BU339" s="141" t="n">
        <x:f>IF('Carta Contemplada'!$B$22="Sim",INDEX('Carta Contemplada'!$C$55:$C$1013,$A339),0)</x:f>
        <x:v>0</x:v>
      </x:c>
      <x:c r="BV339" s="141" t="n">
        <x:f>IF(AND('Carta Contemplada'!$B$22="Sim",Premissas!$B$11="Imovel",Premissas!$B$47="Moradia",$A339&lt;MAX('Carta Contemplada'!$B$44,Premissas!$B$49)),$D339,0)</x:f>
        <x:v>0</x:v>
      </x:c>
      <x:c r="BW339" s="141" t="n">
        <x:f>IF(AND('Carta Contemplada'!$B$22="Sim",Premissas!$B$11="Imovel",Premissas!$B$47="Investimento",$A339&gt;=MAX('Carta Contemplada'!$B$44,Premissas!$B$49)),$E339,0)</x:f>
        <x:v>3086.3014020504215</x:v>
      </x:c>
      <x:c r="BX339" s="141" t="n">
        <x:f>BT339+BU339+BV339</x:f>
        <x:v>0</x:v>
      </x:c>
      <x:c r="BY339" s="141" t="n">
        <x:f>BW339</x:f>
        <x:v>3086.3014020504215</x:v>
      </x:c>
      <x:c r="BZ339" s="141" t="n">
        <x:f>$C339+BY339-BX339</x:f>
        <x:v>10086.301402050422</x:v>
      </x:c>
      <x:c r="CA339" s="141" t="n">
        <x:f>CD338*(1+Premissas!$B$41)+BZ339</x:f>
        <x:v>16865274.10606151</x:v>
      </x:c>
      <x:c r="CB339" s="141" t="n">
        <x:f>MAX(0,-CA339)</x:f>
        <x:v>0</x:v>
      </x:c>
      <x:c r="CC339" s="141" t="n">
        <x:f>CC338*(1+Premissas!$B$41)+CB339</x:f>
        <x:v>0</x:v>
      </x:c>
      <x:c r="CD339" s="141" t="n">
        <x:f>MAX(0,CA339)</x:f>
        <x:v>16865274.10606151</x:v>
      </x:c>
      <x:c r="CE339" s="141" t="n">
        <x:f>IF(AND('Carta Contemplada'!$B$22="Sim",$A339&gt;='Carta Contemplada'!$B$23),INDEX('Carta Contemplada'!$I$55:$I$1013,$A339),0)</x:f>
        <x:v>0</x:v>
      </x:c>
      <x:c r="CF339" s="141" t="n">
        <x:f>IF(AND('Carta Contemplada'!$B$22="Sim",$A339&gt;='Carta Contemplada'!$B$44),$F339,0)</x:f>
        <x:v>1012456.9801446837</x:v>
      </x:c>
      <x:c r="CG339" s="141" t="n">
        <x:f>CD339+CF339-CE339</x:f>
        <x:v>17877731.086206194</x:v>
      </x:c>
      <x:c r="CH339" s="141" t="n">
        <x:f>IF(CC339&gt;1,"Inviavel",CG339)</x:f>
        <x:v>17877731.086206194</x:v>
      </x:c>
      <x:c r="CI339" s="145" t="str">
        <x:f>IF(CC339&gt;1,"Inviavel","OK")</x:f>
        <x:v>OK</x:v>
      </x:c>
    </x:row>
    <x:row r="340">
      <x:c r="A340" s="142" t="n">
        <x:v>336</x:v>
      </x:c>
      <x:c r="B340" s="179" t="n">
        <x:f>EDATE(Premissas!$B$4,A340-1)</x:f>
        <x:v>56735</x:v>
      </x:c>
      <x:c r="C340" s="141" t="n">
        <x:f>IF(A340&lt;=Premissas!$B$39,Premissas!$B$42,0)</x:f>
        <x:v>7000</x:v>
      </x:c>
      <x:c r="D340" s="141" t="n">
        <x:f>Premissas!$B$54*(1+Premissas!$B$57)^INT((A340-1)/12)</x:f>
        <x:v>3375.6421584926484</x:v>
      </x:c>
      <x:c r="E340" s="141" t="n">
        <x:f>Premissas!$B$64*(1+Premissas!$B$57)^INT((A340-1)/12)</x:f>
        <x:v>3086.3014020504215</x:v>
      </x:c>
      <x:c r="F340" s="141" t="n">
        <x:f>MAX(0,Premissas!$B$6*(1+Premissas!$B$66)^((A340-1)/12))</x:f>
        <x:v>1017385.1656907726</x:v>
      </x:c>
      <x:c r="G340" s="141" t="n">
        <x:f>G339*(1+Premissas!$B$41)+C340</x:f>
        <x:v>19011054.65159623</x:v>
      </x:c>
      <x:c r="H340" s="141" t="n">
        <x:f>IF($A340=Premissas!$B$48,Premissas!$B$8,0)</x:f>
        <x:v>0</x:v>
      </x:c>
      <x:c r="I340" s="141" t="n">
        <x:f>IF(AND($A340&gt;=Premissas!$B$48,$A340-Premissas!$B$48+1&lt;=Premissas!$B$13),INDEX(Financiamento!$J$6:$J$485,$A340-Premissas!$B$48+1),0)</x:f>
        <x:v>838.208533119833</x:v>
      </x:c>
      <x:c r="J340" s="141" t="n">
        <x:f>IF(AND(TRUE,Premissas!$B$11="Imovel",Premissas!$B$47="Moradia",$A340&lt;MAX(Premissas!$B$48,Premissas!$B$49)),$D340,0)</x:f>
        <x:v>0</x:v>
      </x:c>
      <x:c r="K340" s="141" t="n">
        <x:f>IF(AND(TRUE,Premissas!$B$11="Imovel",Premissas!$B$47="Investimento",$A340&gt;=MAX(Premissas!$B$48,Premissas!$B$49)),$E340,0)</x:f>
        <x:v>3086.3014020504215</x:v>
      </x:c>
      <x:c r="L340" s="141" t="n">
        <x:f>H340+I340+J340</x:f>
        <x:v>838.208533119833</x:v>
      </x:c>
      <x:c r="M340" s="141" t="n">
        <x:f>K340</x:f>
        <x:v>3086.3014020504215</x:v>
      </x:c>
      <x:c r="N340" s="141" t="n">
        <x:f>$C340+M340-L340</x:f>
        <x:v>9248.09286893059</x:v>
      </x:c>
      <x:c r="O340" s="141" t="n">
        <x:f>R339*(1+Premissas!$B$41)+N340</x:f>
        <x:v>16445801.891872387</x:v>
      </x:c>
      <x:c r="P340" s="141" t="n">
        <x:f>MAX(0,-O340)</x:f>
        <x:v>0</x:v>
      </x:c>
      <x:c r="Q340" s="141" t="n">
        <x:f>Q339*(1+Premissas!$B$41)+P340</x:f>
        <x:v>0</x:v>
      </x:c>
      <x:c r="R340" s="141" t="n">
        <x:f>MAX(0,O340)</x:f>
        <x:v>16445801.891872387</x:v>
      </x:c>
      <x:c r="S340" s="141" t="n">
        <x:f>IF(AND($A340&gt;=Premissas!$B$48,$A340-Premissas!$B$48+1&lt;=Premissas!$B$13),INDEX(Financiamento!$M$6:$M$485,$A340-Premissas!$B$48+1),0)</x:f>
        <x:v>32000.000000000044</x:v>
      </x:c>
      <x:c r="T340" s="141" t="n">
        <x:f>IF($A340&gt;=Premissas!$B$48,$F340,0)</x:f>
        <x:v>1017385.1656907726</x:v>
      </x:c>
      <x:c r="U340" s="141" t="n">
        <x:f>R340+T340-S340</x:f>
        <x:v>17431187.05756316</x:v>
      </x:c>
      <x:c r="V340" s="141" t="n">
        <x:f>IF(Q340&gt;1,"Inviavel",U340)</x:f>
        <x:v>17431187.05756316</x:v>
      </x:c>
      <x:c r="W340" s="141" t="str">
        <x:f>IF(Q340&gt;1,"Inviavel","OK")</x:f>
        <x:v>OK</x:v>
      </x:c>
      <x:c r="X340" s="141" t="n">
        <x:f>IF($A340=Premissas!$B$48,Premissas!$B$8,0)</x:f>
        <x:v>0</x:v>
      </x:c>
      <x:c r="Y340" s="141" t="n">
        <x:f>IF(AND($A340&gt;=Premissas!$B$48,$A340-Premissas!$B$48+1&lt;=Premissas!$B$13),INDEX(Amortizacao!$K$6:$K$485,$A340-Premissas!$B$48+1),0)</x:f>
        <x:v>0</x:v>
      </x:c>
      <x:c r="Z340" s="141" t="n">
        <x:f>IF(AND(TRUE,Premissas!$B$11="Imovel",Premissas!$B$47="Moradia",$A340&lt;MAX(Premissas!$B$48,Premissas!$B$49)),$D340,0)</x:f>
        <x:v>0</x:v>
      </x:c>
      <x:c r="AA340" s="141" t="n">
        <x:f>IF(AND(TRUE,Premissas!$B$11="Imovel",Premissas!$B$47="Investimento",$A340&gt;=MAX(Premissas!$B$48,Premissas!$B$49)),$E340,0)</x:f>
        <x:v>3086.3014020504215</x:v>
      </x:c>
      <x:c r="AB340" s="141" t="n">
        <x:f>X340+Y340+Z340</x:f>
        <x:v>0</x:v>
      </x:c>
      <x:c r="AC340" s="141" t="n">
        <x:f>AA340</x:f>
        <x:v>3086.3014020504215</x:v>
      </x:c>
      <x:c r="AD340" s="141" t="n">
        <x:f>$C340+AC340-AB340</x:f>
        <x:v>10086.301402050422</x:v>
      </x:c>
      <x:c r="AE340" s="141" t="n">
        <x:f>AH339*(1+Premissas!$B$41)+AD340</x:f>
        <x:v>16690573.592790624</x:v>
      </x:c>
      <x:c r="AF340" s="141" t="n">
        <x:f>MAX(0,-AE340)</x:f>
        <x:v>0</x:v>
      </x:c>
      <x:c r="AG340" s="141" t="n">
        <x:f>AG339*(1+Premissas!$B$41)+AF340</x:f>
        <x:v>0</x:v>
      </x:c>
      <x:c r="AH340" s="141" t="n">
        <x:f>MAX(0,AE340)</x:f>
        <x:v>16690573.592790624</x:v>
      </x:c>
      <x:c r="AI340" s="141" t="n">
        <x:f>IF(AND($A340&gt;=Premissas!$B$48,$A340-Premissas!$B$48+1&lt;=Premissas!$B$13),INDEX(Amortizacao!$L$6:$L$485,$A340-Premissas!$B$48+1),0)</x:f>
        <x:v>0</x:v>
      </x:c>
      <x:c r="AJ340" s="141" t="n">
        <x:f>IF($A340&gt;=Premissas!$B$48,$F340,0)</x:f>
        <x:v>1017385.1656907726</x:v>
      </x:c>
      <x:c r="AK340" s="141" t="n">
        <x:f>AH340+AJ340-AI340</x:f>
        <x:v>17707958.7584814</x:v>
      </x:c>
      <x:c r="AL340" s="141" t="n">
        <x:f>IF(AG340&gt;1,"Inviavel",AK340)</x:f>
        <x:v>17707958.7584814</x:v>
      </x:c>
      <x:c r="AM340" s="141" t="str">
        <x:f>IF(AG340&gt;1,"Inviavel","OK")</x:f>
        <x:v>OK</x:v>
      </x:c>
      <x:c r="AN340" s="141" t="n">
        <x:f>IF($A340=Premissas!$B$48,Premissas!$B$8,0)</x:f>
        <x:v>0</x:v>
      </x:c>
      <x:c r="AO340" s="141" t="n">
        <x:f>IF($A340&lt;=Premissas!$B$25,INDEX('Consorcio IQ'!$K$6:$K$485,$A340),0)</x:f>
        <x:v>0</x:v>
      </x:c>
      <x:c r="AP340" s="141" t="n">
        <x:f>IF(AND(TRUE,Premissas!$B$11="Imovel",Premissas!$B$47="Moradia",$A340&lt;MAX(Premissas!$B$48,Premissas!$B$49)),$D340,0)</x:f>
        <x:v>0</x:v>
      </x:c>
      <x:c r="AQ340" s="141" t="n">
        <x:f>IF(AND(TRUE,Premissas!$B$11="Imovel",Premissas!$B$47="Investimento",$A340&gt;=MAX(Premissas!$B$48,Premissas!$B$49)),$E340,0)</x:f>
        <x:v>3086.3014020504215</x:v>
      </x:c>
      <x:c r="AR340" s="141" t="n">
        <x:f>AN340+AO340+AP340</x:f>
        <x:v>0</x:v>
      </x:c>
      <x:c r="AS340" s="141" t="n">
        <x:f>AQ340</x:f>
        <x:v>3086.3014020504215</x:v>
      </x:c>
      <x:c r="AT340" s="141" t="n">
        <x:f>$C340+AS340-AR340</x:f>
        <x:v>10086.301402050422</x:v>
      </x:c>
      <x:c r="AU340" s="141" t="n">
        <x:f>AX339*(1+Premissas!$B$41)+AT340</x:f>
        <x:v>16553839.411441932</x:v>
      </x:c>
      <x:c r="AV340" s="141" t="n">
        <x:f>MAX(0,-AU340)</x:f>
        <x:v>0</x:v>
      </x:c>
      <x:c r="AW340" s="141" t="n">
        <x:f>AW339*(1+Premissas!$B$41)+AV340</x:f>
        <x:v>0</x:v>
      </x:c>
      <x:c r="AX340" s="141" t="n">
        <x:f>MAX(0,AU340)</x:f>
        <x:v>16553839.411441932</x:v>
      </x:c>
      <x:c r="AY340" s="141" t="n">
        <x:f>INDEX('Consorcio IQ'!$P$6:$P$485,$A340)</x:f>
        <x:v>0</x:v>
      </x:c>
      <x:c r="AZ340" s="141" t="n">
        <x:f>IF($A340&gt;=Premissas!$B$48,$F340,0)+IF($A340&lt;Premissas!$B$27,INDEX('Consorcio IQ'!$O$6:$O$485,$A340),0)</x:f>
        <x:v>1017385.1656907726</x:v>
      </x:c>
      <x:c r="BA340" s="141" t="n">
        <x:f>AX340+AZ340-AY340</x:f>
        <x:v>17571224.577132706</x:v>
      </x:c>
      <x:c r="BB340" s="141" t="n">
        <x:f>IF(AW340&gt;1,"Inviavel",BA340)</x:f>
        <x:v>17571224.577132706</x:v>
      </x:c>
      <x:c r="BC340" s="141" t="str">
        <x:f>IF(AW340&gt;1,"Inviavel","OK")</x:f>
        <x:v>OK</x:v>
      </x:c>
      <x:c r="BD340" s="141" t="n">
        <x:f>IF($A340='Consorcio Direto'!$B$29,'Consorcio Direto'!$B$44,0)</x:f>
        <x:v>0</x:v>
      </x:c>
      <x:c r="BE340" s="141" t="n">
        <x:f>IF($A340&lt;='Consorcio Direto'!$B$27,INDEX('Consorcio Direto'!$E$55:$E$534,$A340),0)</x:f>
        <x:v>0</x:v>
      </x:c>
      <x:c r="BF340" s="141" t="n">
        <x:f>IF(AND(TRUE,Premissas!$B$11="Imovel",Premissas!$B$47="Moradia",$A340&lt;MAX('Consorcio Direto'!$B$29,Premissas!$B$49)),$D340,0)</x:f>
        <x:v>0</x:v>
      </x:c>
      <x:c r="BG340" s="141" t="n">
        <x:f>IF(AND(TRUE,Premissas!$B$11="Imovel",Premissas!$B$47="Investimento",$A340&gt;=MAX('Consorcio Direto'!$B$29,Premissas!$B$49)),$E340,0)</x:f>
        <x:v>3086.3014020504215</x:v>
      </x:c>
      <x:c r="BH340" s="141" t="n">
        <x:f>BD340+BE340+BF340</x:f>
        <x:v>0</x:v>
      </x:c>
      <x:c r="BI340" s="141" t="n">
        <x:f>BG340</x:f>
        <x:v>3086.3014020504215</x:v>
      </x:c>
      <x:c r="BJ340" s="141" t="n">
        <x:f>$C340+BI340-BH340</x:f>
        <x:v>10086.301402050422</x:v>
      </x:c>
      <x:c r="BK340" s="141" t="n">
        <x:f>BN339*(1+Premissas!$B$41)+BJ340</x:f>
        <x:v>15814874.655278174</x:v>
      </x:c>
      <x:c r="BL340" s="141" t="n">
        <x:f>MAX(0,-BK340)</x:f>
        <x:v>0</x:v>
      </x:c>
      <x:c r="BM340" s="141" t="n">
        <x:f>BM339*(1+Premissas!$B$41)+BL340</x:f>
        <x:v>0</x:v>
      </x:c>
      <x:c r="BN340" s="141" t="n">
        <x:f>MAX(0,BK340)</x:f>
        <x:v>15814874.655278174</x:v>
      </x:c>
      <x:c r="BO340" s="141" t="n">
        <x:f>INDEX('Consorcio Direto'!$K$55:$K$534,$A340)</x:f>
        <x:v>0</x:v>
      </x:c>
      <x:c r="BP340" s="141" t="n">
        <x:f>IF($A340&lt;'Consorcio Direto'!$B$29,INDEX('Consorcio Direto'!$L$55:$L$534,$A340),$F340)</x:f>
        <x:v>1017385.1656907726</x:v>
      </x:c>
      <x:c r="BQ340" s="141" t="n">
        <x:f>BN340+BP340-BO340</x:f>
        <x:v>16832259.82096895</x:v>
      </x:c>
      <x:c r="BR340" s="141" t="n">
        <x:f>IF(BM340&gt;1,"Inviavel",BQ340)</x:f>
        <x:v>16832259.82096895</x:v>
      </x:c>
      <x:c r="BS340" s="141" t="str">
        <x:f>IF(BM340&gt;1,"Inviavel","OK")</x:f>
        <x:v>OK</x:v>
      </x:c>
      <x:c r="BT340" s="141" t="n">
        <x:f>IF(AND('Carta Contemplada'!$B$22="Sim",$A340='Carta Contemplada'!$B$23),'Carta Contemplada'!$B$37,0)</x:f>
        <x:v>0</x:v>
      </x:c>
      <x:c r="BU340" s="141" t="n">
        <x:f>IF('Carta Contemplada'!$B$22="Sim",INDEX('Carta Contemplada'!$C$55:$C$1013,$A340),0)</x:f>
        <x:v>0</x:v>
      </x:c>
      <x:c r="BV340" s="141" t="n">
        <x:f>IF(AND('Carta Contemplada'!$B$22="Sim",Premissas!$B$11="Imovel",Premissas!$B$47="Moradia",$A340&lt;MAX('Carta Contemplada'!$B$44,Premissas!$B$49)),$D340,0)</x:f>
        <x:v>0</x:v>
      </x:c>
      <x:c r="BW340" s="141" t="n">
        <x:f>IF(AND('Carta Contemplada'!$B$22="Sim",Premissas!$B$11="Imovel",Premissas!$B$47="Investimento",$A340&gt;=MAX('Carta Contemplada'!$B$44,Premissas!$B$49)),$E340,0)</x:f>
        <x:v>3086.3014020504215</x:v>
      </x:c>
      <x:c r="BX340" s="141" t="n">
        <x:f>BT340+BU340+BV340</x:f>
        <x:v>0</x:v>
      </x:c>
      <x:c r="BY340" s="141" t="n">
        <x:f>BW340</x:f>
        <x:v>3086.3014020504215</x:v>
      </x:c>
      <x:c r="BZ340" s="141" t="n">
        <x:f>$C340+BY340-BX340</x:f>
        <x:v>10086.301402050422</x:v>
      </x:c>
      <x:c r="CA340" s="141" t="n">
        <x:f>CD339*(1+Premissas!$B$41)+BZ340</x:f>
        <x:v>17035391.501240965</x:v>
      </x:c>
      <x:c r="CB340" s="141" t="n">
        <x:f>MAX(0,-CA340)</x:f>
        <x:v>0</x:v>
      </x:c>
      <x:c r="CC340" s="141" t="n">
        <x:f>CC339*(1+Premissas!$B$41)+CB340</x:f>
        <x:v>0</x:v>
      </x:c>
      <x:c r="CD340" s="141" t="n">
        <x:f>MAX(0,CA340)</x:f>
        <x:v>17035391.501240965</x:v>
      </x:c>
      <x:c r="CE340" s="141" t="n">
        <x:f>IF(AND('Carta Contemplada'!$B$22="Sim",$A340&gt;='Carta Contemplada'!$B$23),INDEX('Carta Contemplada'!$I$55:$I$1013,$A340),0)</x:f>
        <x:v>0</x:v>
      </x:c>
      <x:c r="CF340" s="141" t="n">
        <x:f>IF(AND('Carta Contemplada'!$B$22="Sim",$A340&gt;='Carta Contemplada'!$B$44),$F340,0)</x:f>
        <x:v>1017385.1656907726</x:v>
      </x:c>
      <x:c r="CG340" s="141" t="n">
        <x:f>CD340+CF340-CE340</x:f>
        <x:v>18052776.666931737</x:v>
      </x:c>
      <x:c r="CH340" s="141" t="n">
        <x:f>IF(CC340&gt;1,"Inviavel",CG340)</x:f>
        <x:v>18052776.666931737</x:v>
      </x:c>
      <x:c r="CI340" s="145" t="str">
        <x:f>IF(CC340&gt;1,"Inviavel","OK")</x:f>
        <x:v>OK</x:v>
      </x:c>
    </x:row>
    <x:row r="341">
      <x:c r="A341" s="142" t="n">
        <x:v>337</x:v>
      </x:c>
      <x:c r="B341" s="179" t="n">
        <x:f>EDATE(Premissas!$B$4,A341-1)</x:f>
        <x:v>56766</x:v>
      </x:c>
      <x:c r="C341" s="141" t="n">
        <x:f>IF(A341&lt;=Premissas!$B$39,Premissas!$B$42,0)</x:f>
        <x:v>7000</x:v>
      </x:c>
      <x:c r="D341" s="141" t="n">
        <x:f>Premissas!$B$54*(1+Premissas!$B$57)^INT((A341-1)/12)</x:f>
        <x:v>3578.1806880022077</x:v>
      </x:c>
      <x:c r="E341" s="141" t="n">
        <x:f>Premissas!$B$64*(1+Premissas!$B$57)^INT((A341-1)/12)</x:f>
        <x:v>3271.479486173447</x:v>
      </x:c>
      <x:c r="F341" s="141" t="n">
        <x:f>MAX(0,Premissas!$B$6*(1+Premissas!$B$66)^((A341-1)/12))</x:f>
        <x:v>1022337.3394292021</x:v>
      </x:c>
      <x:c r="G341" s="141" t="n">
        <x:f>G340*(1+Premissas!$B$41)+C341</x:f>
        <x:v>19198446.612653267</x:v>
      </x:c>
      <x:c r="H341" s="141" t="n">
        <x:f>IF($A341=Premissas!$B$48,Premissas!$B$8,0)</x:f>
        <x:v>0</x:v>
      </x:c>
      <x:c r="I341" s="141" t="n">
        <x:f>IF(AND($A341&gt;=Premissas!$B$48,$A341-Premissas!$B$48+1&lt;=Premissas!$B$13),INDEX(Financiamento!$J$6:$J$485,$A341-Premissas!$B$48+1),0)</x:f>
        <x:v>834.5937548590393</x:v>
      </x:c>
      <x:c r="J341" s="141" t="n">
        <x:f>IF(AND(TRUE,Premissas!$B$11="Imovel",Premissas!$B$47="Moradia",$A341&lt;MAX(Premissas!$B$48,Premissas!$B$49)),$D341,0)</x:f>
        <x:v>0</x:v>
      </x:c>
      <x:c r="K341" s="141" t="n">
        <x:f>IF(AND(TRUE,Premissas!$B$11="Imovel",Premissas!$B$47="Investimento",$A341&gt;=MAX(Premissas!$B$48,Premissas!$B$49)),$E341,0)</x:f>
        <x:v>3271.479486173447</x:v>
      </x:c>
      <x:c r="L341" s="141" t="n">
        <x:f>H341+I341+J341</x:f>
        <x:v>834.5937548590393</x:v>
      </x:c>
      <x:c r="M341" s="141" t="n">
        <x:f>K341</x:f>
        <x:v>3271.479486173447</x:v>
      </x:c>
      <x:c r="N341" s="141" t="n">
        <x:f>$C341+M341-L341</x:f>
        <x:v>9436.885731314409</x:v>
      </x:c>
      <x:c r="O341" s="141" t="n">
        <x:f>R340*(1+Premissas!$B$41)+N341</x:f>
        <x:v>16611289.586398853</x:v>
      </x:c>
      <x:c r="P341" s="141" t="n">
        <x:f>MAX(0,-O341)</x:f>
        <x:v>0</x:v>
      </x:c>
      <x:c r="Q341" s="141" t="n">
        <x:f>Q340*(1+Premissas!$B$41)+P341</x:f>
        <x:v>0</x:v>
      </x:c>
      <x:c r="R341" s="141" t="n">
        <x:f>MAX(0,O341)</x:f>
        <x:v>16611289.586398853</x:v>
      </x:c>
      <x:c r="S341" s="141" t="n">
        <x:f>IF(AND($A341&gt;=Premissas!$B$48,$A341-Premissas!$B$48+1&lt;=Premissas!$B$13),INDEX(Financiamento!$M$6:$M$485,$A341-Premissas!$B$48+1),0)</x:f>
        <x:v>31619.047619047662</x:v>
      </x:c>
      <x:c r="T341" s="141" t="n">
        <x:f>IF($A341&gt;=Premissas!$B$48,$F341,0)</x:f>
        <x:v>1022337.3394292021</x:v>
      </x:c>
      <x:c r="U341" s="141" t="n">
        <x:f>R341+T341-S341</x:f>
        <x:v>17602007.878209006</x:v>
      </x:c>
      <x:c r="V341" s="141" t="n">
        <x:f>IF(Q341&gt;1,"Inviavel",U341)</x:f>
        <x:v>17602007.878209006</x:v>
      </x:c>
      <x:c r="W341" s="141" t="str">
        <x:f>IF(Q341&gt;1,"Inviavel","OK")</x:f>
        <x:v>OK</x:v>
      </x:c>
      <x:c r="X341" s="141" t="n">
        <x:f>IF($A341=Premissas!$B$48,Premissas!$B$8,0)</x:f>
        <x:v>0</x:v>
      </x:c>
      <x:c r="Y341" s="141" t="n">
        <x:f>IF(AND($A341&gt;=Premissas!$B$48,$A341-Premissas!$B$48+1&lt;=Premissas!$B$13),INDEX(Amortizacao!$K$6:$K$485,$A341-Premissas!$B$48+1),0)</x:f>
        <x:v>0</x:v>
      </x:c>
      <x:c r="Z341" s="141" t="n">
        <x:f>IF(AND(TRUE,Premissas!$B$11="Imovel",Premissas!$B$47="Moradia",$A341&lt;MAX(Premissas!$B$48,Premissas!$B$49)),$D341,0)</x:f>
        <x:v>0</x:v>
      </x:c>
      <x:c r="AA341" s="141" t="n">
        <x:f>IF(AND(TRUE,Premissas!$B$11="Imovel",Premissas!$B$47="Investimento",$A341&gt;=MAX(Premissas!$B$48,Premissas!$B$49)),$E341,0)</x:f>
        <x:v>3271.479486173447</x:v>
      </x:c>
      <x:c r="AB341" s="141" t="n">
        <x:f>X341+Y341+Z341</x:f>
        <x:v>0</x:v>
      </x:c>
      <x:c r="AC341" s="141" t="n">
        <x:f>AA341</x:f>
        <x:v>3271.479486173447</x:v>
      </x:c>
      <x:c r="AD341" s="141" t="n">
        <x:f>$C341+AC341-AB341</x:f>
        <x:v>10271.479486173448</x:v>
      </x:c>
      <x:c r="AE341" s="141" t="n">
        <x:f>AH340*(1+Premissas!$B$41)+AD341</x:f>
        <x:v>16859218.46905821</x:v>
      </x:c>
      <x:c r="AF341" s="141" t="n">
        <x:f>MAX(0,-AE341)</x:f>
        <x:v>0</x:v>
      </x:c>
      <x:c r="AG341" s="141" t="n">
        <x:f>AG340*(1+Premissas!$B$41)+AF341</x:f>
        <x:v>0</x:v>
      </x:c>
      <x:c r="AH341" s="141" t="n">
        <x:f>MAX(0,AE341)</x:f>
        <x:v>16859218.46905821</x:v>
      </x:c>
      <x:c r="AI341" s="141" t="n">
        <x:f>IF(AND($A341&gt;=Premissas!$B$48,$A341-Premissas!$B$48+1&lt;=Premissas!$B$13),INDEX(Amortizacao!$L$6:$L$485,$A341-Premissas!$B$48+1),0)</x:f>
        <x:v>0</x:v>
      </x:c>
      <x:c r="AJ341" s="141" t="n">
        <x:f>IF($A341&gt;=Premissas!$B$48,$F341,0)</x:f>
        <x:v>1022337.3394292021</x:v>
      </x:c>
      <x:c r="AK341" s="141" t="n">
        <x:f>AH341+AJ341-AI341</x:f>
        <x:v>17881555.80848741</x:v>
      </x:c>
      <x:c r="AL341" s="141" t="n">
        <x:f>IF(AG341&gt;1,"Inviavel",AK341)</x:f>
        <x:v>17881555.80848741</x:v>
      </x:c>
      <x:c r="AM341" s="141" t="str">
        <x:f>IF(AG341&gt;1,"Inviavel","OK")</x:f>
        <x:v>OK</x:v>
      </x:c>
      <x:c r="AN341" s="141" t="n">
        <x:f>IF($A341=Premissas!$B$48,Premissas!$B$8,0)</x:f>
        <x:v>0</x:v>
      </x:c>
      <x:c r="AO341" s="141" t="n">
        <x:f>IF($A341&lt;=Premissas!$B$25,INDEX('Consorcio IQ'!$K$6:$K$485,$A341),0)</x:f>
        <x:v>0</x:v>
      </x:c>
      <x:c r="AP341" s="141" t="n">
        <x:f>IF(AND(TRUE,Premissas!$B$11="Imovel",Premissas!$B$47="Moradia",$A341&lt;MAX(Premissas!$B$48,Premissas!$B$49)),$D341,0)</x:f>
        <x:v>0</x:v>
      </x:c>
      <x:c r="AQ341" s="141" t="n">
        <x:f>IF(AND(TRUE,Premissas!$B$11="Imovel",Premissas!$B$47="Investimento",$A341&gt;=MAX(Premissas!$B$48,Premissas!$B$49)),$E341,0)</x:f>
        <x:v>3271.479486173447</x:v>
      </x:c>
      <x:c r="AR341" s="141" t="n">
        <x:f>AN341+AO341+AP341</x:f>
        <x:v>0</x:v>
      </x:c>
      <x:c r="AS341" s="141" t="n">
        <x:f>AQ341</x:f>
        <x:v>3271.479486173447</x:v>
      </x:c>
      <x:c r="AT341" s="141" t="n">
        <x:f>$C341+AS341-AR341</x:f>
        <x:v>10271.479486173448</x:v>
      </x:c>
      <x:c r="AU341" s="141" t="n">
        <x:f>AX340*(1+Premissas!$B$41)+AT341</x:f>
        <x:v>16721186.845375618</x:v>
      </x:c>
      <x:c r="AV341" s="141" t="n">
        <x:f>MAX(0,-AU341)</x:f>
        <x:v>0</x:v>
      </x:c>
      <x:c r="AW341" s="141" t="n">
        <x:f>AW340*(1+Premissas!$B$41)+AV341</x:f>
        <x:v>0</x:v>
      </x:c>
      <x:c r="AX341" s="141" t="n">
        <x:f>MAX(0,AU341)</x:f>
        <x:v>16721186.845375618</x:v>
      </x:c>
      <x:c r="AY341" s="141" t="n">
        <x:f>INDEX('Consorcio IQ'!$P$6:$P$485,$A341)</x:f>
        <x:v>0</x:v>
      </x:c>
      <x:c r="AZ341" s="141" t="n">
        <x:f>IF($A341&gt;=Premissas!$B$48,$F341,0)+IF($A341&lt;Premissas!$B$27,INDEX('Consorcio IQ'!$O$6:$O$485,$A341),0)</x:f>
        <x:v>1022337.3394292021</x:v>
      </x:c>
      <x:c r="BA341" s="141" t="n">
        <x:f>AX341+AZ341-AY341</x:f>
        <x:v>17743524.18480482</x:v>
      </x:c>
      <x:c r="BB341" s="141" t="n">
        <x:f>IF(AW341&gt;1,"Inviavel",BA341)</x:f>
        <x:v>17743524.18480482</x:v>
      </x:c>
      <x:c r="BC341" s="141" t="str">
        <x:f>IF(AW341&gt;1,"Inviavel","OK")</x:f>
        <x:v>OK</x:v>
      </x:c>
      <x:c r="BD341" s="141" t="n">
        <x:f>IF($A341='Consorcio Direto'!$B$29,'Consorcio Direto'!$B$44,0)</x:f>
        <x:v>0</x:v>
      </x:c>
      <x:c r="BE341" s="141" t="n">
        <x:f>IF($A341&lt;='Consorcio Direto'!$B$27,INDEX('Consorcio Direto'!$E$55:$E$534,$A341),0)</x:f>
        <x:v>0</x:v>
      </x:c>
      <x:c r="BF341" s="141" t="n">
        <x:f>IF(AND(TRUE,Premissas!$B$11="Imovel",Premissas!$B$47="Moradia",$A341&lt;MAX('Consorcio Direto'!$B$29,Premissas!$B$49)),$D341,0)</x:f>
        <x:v>0</x:v>
      </x:c>
      <x:c r="BG341" s="141" t="n">
        <x:f>IF(AND(TRUE,Premissas!$B$11="Imovel",Premissas!$B$47="Investimento",$A341&gt;=MAX('Consorcio Direto'!$B$29,Premissas!$B$49)),$E341,0)</x:f>
        <x:v>3271.479486173447</x:v>
      </x:c>
      <x:c r="BH341" s="141" t="n">
        <x:f>BD341+BE341+BF341</x:f>
        <x:v>0</x:v>
      </x:c>
      <x:c r="BI341" s="141" t="n">
        <x:f>BG341</x:f>
        <x:v>3271.479486173447</x:v>
      </x:c>
      <x:c r="BJ341" s="141" t="n">
        <x:f>$C341+BI341-BH341</x:f>
        <x:v>10271.479486173448</x:v>
      </x:c>
      <x:c r="BK341" s="141" t="n">
        <x:f>BN340*(1+Premissas!$B$41)+BJ341</x:f>
        <x:v>15975210.205654668</x:v>
      </x:c>
      <x:c r="BL341" s="141" t="n">
        <x:f>MAX(0,-BK341)</x:f>
        <x:v>0</x:v>
      </x:c>
      <x:c r="BM341" s="141" t="n">
        <x:f>BM340*(1+Premissas!$B$41)+BL341</x:f>
        <x:v>0</x:v>
      </x:c>
      <x:c r="BN341" s="141" t="n">
        <x:f>MAX(0,BK341)</x:f>
        <x:v>15975210.205654668</x:v>
      </x:c>
      <x:c r="BO341" s="141" t="n">
        <x:f>INDEX('Consorcio Direto'!$K$55:$K$534,$A341)</x:f>
        <x:v>0</x:v>
      </x:c>
      <x:c r="BP341" s="141" t="n">
        <x:f>IF($A341&lt;'Consorcio Direto'!$B$29,INDEX('Consorcio Direto'!$L$55:$L$534,$A341),$F341)</x:f>
        <x:v>1022337.3394292021</x:v>
      </x:c>
      <x:c r="BQ341" s="141" t="n">
        <x:f>BN341+BP341-BO341</x:f>
        <x:v>16997547.54508387</x:v>
      </x:c>
      <x:c r="BR341" s="141" t="n">
        <x:f>IF(BM341&gt;1,"Inviavel",BQ341)</x:f>
        <x:v>16997547.54508387</x:v>
      </x:c>
      <x:c r="BS341" s="141" t="str">
        <x:f>IF(BM341&gt;1,"Inviavel","OK")</x:f>
        <x:v>OK</x:v>
      </x:c>
      <x:c r="BT341" s="141" t="n">
        <x:f>IF(AND('Carta Contemplada'!$B$22="Sim",$A341='Carta Contemplada'!$B$23),'Carta Contemplada'!$B$37,0)</x:f>
        <x:v>0</x:v>
      </x:c>
      <x:c r="BU341" s="141" t="n">
        <x:f>IF('Carta Contemplada'!$B$22="Sim",INDEX('Carta Contemplada'!$C$55:$C$1013,$A341),0)</x:f>
        <x:v>0</x:v>
      </x:c>
      <x:c r="BV341" s="141" t="n">
        <x:f>IF(AND('Carta Contemplada'!$B$22="Sim",Premissas!$B$11="Imovel",Premissas!$B$47="Moradia",$A341&lt;MAX('Carta Contemplada'!$B$44,Premissas!$B$49)),$D341,0)</x:f>
        <x:v>0</x:v>
      </x:c>
      <x:c r="BW341" s="141" t="n">
        <x:f>IF(AND('Carta Contemplada'!$B$22="Sim",Premissas!$B$11="Imovel",Premissas!$B$47="Investimento",$A341&gt;=MAX('Carta Contemplada'!$B$44,Premissas!$B$49)),$E341,0)</x:f>
        <x:v>3271.479486173447</x:v>
      </x:c>
      <x:c r="BX341" s="141" t="n">
        <x:f>BT341+BU341+BV341</x:f>
        <x:v>0</x:v>
      </x:c>
      <x:c r="BY341" s="141" t="n">
        <x:f>BW341</x:f>
        <x:v>3271.479486173447</x:v>
      </x:c>
      <x:c r="BZ341" s="141" t="n">
        <x:f>$C341+BY341-BX341</x:f>
        <x:v>10271.479486173448</x:v>
      </x:c>
      <x:c r="CA341" s="141" t="n">
        <x:f>CD340*(1+Premissas!$B$41)+BZ341</x:f>
        <x:v>17207308.283241972</x:v>
      </x:c>
      <x:c r="CB341" s="141" t="n">
        <x:f>MAX(0,-CA341)</x:f>
        <x:v>0</x:v>
      </x:c>
      <x:c r="CC341" s="141" t="n">
        <x:f>CC340*(1+Premissas!$B$41)+CB341</x:f>
        <x:v>0</x:v>
      </x:c>
      <x:c r="CD341" s="141" t="n">
        <x:f>MAX(0,CA341)</x:f>
        <x:v>17207308.283241972</x:v>
      </x:c>
      <x:c r="CE341" s="141" t="n">
        <x:f>IF(AND('Carta Contemplada'!$B$22="Sim",$A341&gt;='Carta Contemplada'!$B$23),INDEX('Carta Contemplada'!$I$55:$I$1013,$A341),0)</x:f>
        <x:v>0</x:v>
      </x:c>
      <x:c r="CF341" s="141" t="n">
        <x:f>IF(AND('Carta Contemplada'!$B$22="Sim",$A341&gt;='Carta Contemplada'!$B$44),$F341,0)</x:f>
        <x:v>1022337.3394292021</x:v>
      </x:c>
      <x:c r="CG341" s="141" t="n">
        <x:f>CD341+CF341-CE341</x:f>
        <x:v>18229645.622671176</x:v>
      </x:c>
      <x:c r="CH341" s="141" t="n">
        <x:f>IF(CC341&gt;1,"Inviavel",CG341)</x:f>
        <x:v>18229645.622671176</x:v>
      </x:c>
      <x:c r="CI341" s="145" t="str">
        <x:f>IF(CC341&gt;1,"Inviavel","OK")</x:f>
        <x:v>OK</x:v>
      </x:c>
    </x:row>
    <x:row r="342">
      <x:c r="A342" s="142" t="n">
        <x:v>338</x:v>
      </x:c>
      <x:c r="B342" s="179" t="n">
        <x:f>EDATE(Premissas!$B$4,A342-1)</x:f>
        <x:v>56796</x:v>
      </x:c>
      <x:c r="C342" s="141" t="n">
        <x:f>IF(A342&lt;=Premissas!$B$39,Premissas!$B$42,0)</x:f>
        <x:v>7000</x:v>
      </x:c>
      <x:c r="D342" s="141" t="n">
        <x:f>Premissas!$B$54*(1+Premissas!$B$57)^INT((A342-1)/12)</x:f>
        <x:v>3578.1806880022077</x:v>
      </x:c>
      <x:c r="E342" s="141" t="n">
        <x:f>Premissas!$B$64*(1+Premissas!$B$57)^INT((A342-1)/12)</x:f>
        <x:v>3271.479486173447</x:v>
      </x:c>
      <x:c r="F342" s="141" t="n">
        <x:f>MAX(0,Premissas!$B$6*(1+Premissas!$B$66)^((A342-1)/12))</x:f>
        <x:v>1027313.618123712</x:v>
      </x:c>
      <x:c r="G342" s="141" t="n">
        <x:f>G341*(1+Premissas!$B$41)+C342</x:f>
        <x:v>19387616.69722638</x:v>
      </x:c>
      <x:c r="H342" s="141" t="n">
        <x:f>IF($A342=Premissas!$B$48,Premissas!$B$8,0)</x:f>
        <x:v>0</x:v>
      </x:c>
      <x:c r="I342" s="141" t="n">
        <x:f>IF(AND($A342&gt;=Premissas!$B$48,$A342-Premissas!$B$48+1&lt;=Premissas!$B$13),INDEX(Financiamento!$J$6:$J$485,$A342-Premissas!$B$48+1),0)</x:f>
        <x:v>830.9789765982458</x:v>
      </x:c>
      <x:c r="J342" s="141" t="n">
        <x:f>IF(AND(TRUE,Premissas!$B$11="Imovel",Premissas!$B$47="Moradia",$A342&lt;MAX(Premissas!$B$48,Premissas!$B$49)),$D342,0)</x:f>
        <x:v>0</x:v>
      </x:c>
      <x:c r="K342" s="141" t="n">
        <x:f>IF(AND(TRUE,Premissas!$B$11="Imovel",Premissas!$B$47="Investimento",$A342&gt;=MAX(Premissas!$B$48,Premissas!$B$49)),$E342,0)</x:f>
        <x:v>3271.479486173447</x:v>
      </x:c>
      <x:c r="L342" s="141" t="n">
        <x:f>H342+I342+J342</x:f>
        <x:v>830.9789765982458</x:v>
      </x:c>
      <x:c r="M342" s="141" t="n">
        <x:f>K342</x:f>
        <x:v>3271.479486173447</x:v>
      </x:c>
      <x:c r="N342" s="141" t="n">
        <x:f>$C342+M342-L342</x:f>
        <x:v>9440.500509575202</x:v>
      </x:c>
      <x:c r="O342" s="141" t="n">
        <x:f>R341*(1+Premissas!$B$41)+N342</x:f>
        <x:v>16778351.174170163</x:v>
      </x:c>
      <x:c r="P342" s="141" t="n">
        <x:f>MAX(0,-O342)</x:f>
        <x:v>0</x:v>
      </x:c>
      <x:c r="Q342" s="141" t="n">
        <x:f>Q341*(1+Premissas!$B$41)+P342</x:f>
        <x:v>0</x:v>
      </x:c>
      <x:c r="R342" s="141" t="n">
        <x:f>MAX(0,O342)</x:f>
        <x:v>16778351.174170163</x:v>
      </x:c>
      <x:c r="S342" s="141" t="n">
        <x:f>IF(AND($A342&gt;=Premissas!$B$48,$A342-Premissas!$B$48+1&lt;=Premissas!$B$13),INDEX(Financiamento!$M$6:$M$485,$A342-Premissas!$B$48+1),0)</x:f>
        <x:v>31238.09523809528</x:v>
      </x:c>
      <x:c r="T342" s="141" t="n">
        <x:f>IF($A342&gt;=Premissas!$B$48,$F342,0)</x:f>
        <x:v>1027313.618123712</x:v>
      </x:c>
      <x:c r="U342" s="141" t="n">
        <x:f>R342+T342-S342</x:f>
        <x:v>17774426.69705578</x:v>
      </x:c>
      <x:c r="V342" s="141" t="n">
        <x:f>IF(Q342&gt;1,"Inviavel",U342)</x:f>
        <x:v>17774426.69705578</x:v>
      </x:c>
      <x:c r="W342" s="141" t="str">
        <x:f>IF(Q342&gt;1,"Inviavel","OK")</x:f>
        <x:v>OK</x:v>
      </x:c>
      <x:c r="X342" s="141" t="n">
        <x:f>IF($A342=Premissas!$B$48,Premissas!$B$8,0)</x:f>
        <x:v>0</x:v>
      </x:c>
      <x:c r="Y342" s="141" t="n">
        <x:f>IF(AND($A342&gt;=Premissas!$B$48,$A342-Premissas!$B$48+1&lt;=Premissas!$B$13),INDEX(Amortizacao!$K$6:$K$485,$A342-Premissas!$B$48+1),0)</x:f>
        <x:v>0</x:v>
      </x:c>
      <x:c r="Z342" s="141" t="n">
        <x:f>IF(AND(TRUE,Premissas!$B$11="Imovel",Premissas!$B$47="Moradia",$A342&lt;MAX(Premissas!$B$48,Premissas!$B$49)),$D342,0)</x:f>
        <x:v>0</x:v>
      </x:c>
      <x:c r="AA342" s="141" t="n">
        <x:f>IF(AND(TRUE,Premissas!$B$11="Imovel",Premissas!$B$47="Investimento",$A342&gt;=MAX(Premissas!$B$48,Premissas!$B$49)),$E342,0)</x:f>
        <x:v>3271.479486173447</x:v>
      </x:c>
      <x:c r="AB342" s="141" t="n">
        <x:f>X342+Y342+Z342</x:f>
        <x:v>0</x:v>
      </x:c>
      <x:c r="AC342" s="141" t="n">
        <x:f>AA342</x:f>
        <x:v>3271.479486173447</x:v>
      </x:c>
      <x:c r="AD342" s="141" t="n">
        <x:f>$C342+AC342-AB342</x:f>
        <x:v>10271.479486173448</x:v>
      </x:c>
      <x:c r="AE342" s="141" t="n">
        <x:f>AH341*(1+Premissas!$B$41)+AD342</x:f>
        <x:v>17029463.581636176</x:v>
      </x:c>
      <x:c r="AF342" s="141" t="n">
        <x:f>MAX(0,-AE342)</x:f>
        <x:v>0</x:v>
      </x:c>
      <x:c r="AG342" s="141" t="n">
        <x:f>AG341*(1+Premissas!$B$41)+AF342</x:f>
        <x:v>0</x:v>
      </x:c>
      <x:c r="AH342" s="141" t="n">
        <x:f>MAX(0,AE342)</x:f>
        <x:v>17029463.581636176</x:v>
      </x:c>
      <x:c r="AI342" s="141" t="n">
        <x:f>IF(AND($A342&gt;=Premissas!$B$48,$A342-Premissas!$B$48+1&lt;=Premissas!$B$13),INDEX(Amortizacao!$L$6:$L$485,$A342-Premissas!$B$48+1),0)</x:f>
        <x:v>0</x:v>
      </x:c>
      <x:c r="AJ342" s="141" t="n">
        <x:f>IF($A342&gt;=Premissas!$B$48,$F342,0)</x:f>
        <x:v>1027313.618123712</x:v>
      </x:c>
      <x:c r="AK342" s="141" t="n">
        <x:f>AH342+AJ342-AI342</x:f>
        <x:v>18056777.199759886</x:v>
      </x:c>
      <x:c r="AL342" s="141" t="n">
        <x:f>IF(AG342&gt;1,"Inviavel",AK342)</x:f>
        <x:v>18056777.199759886</x:v>
      </x:c>
      <x:c r="AM342" s="141" t="str">
        <x:f>IF(AG342&gt;1,"Inviavel","OK")</x:f>
        <x:v>OK</x:v>
      </x:c>
      <x:c r="AN342" s="141" t="n">
        <x:f>IF($A342=Premissas!$B$48,Premissas!$B$8,0)</x:f>
        <x:v>0</x:v>
      </x:c>
      <x:c r="AO342" s="141" t="n">
        <x:f>IF($A342&lt;=Premissas!$B$25,INDEX('Consorcio IQ'!$K$6:$K$485,$A342),0)</x:f>
        <x:v>0</x:v>
      </x:c>
      <x:c r="AP342" s="141" t="n">
        <x:f>IF(AND(TRUE,Premissas!$B$11="Imovel",Premissas!$B$47="Moradia",$A342&lt;MAX(Premissas!$B$48,Premissas!$B$49)),$D342,0)</x:f>
        <x:v>0</x:v>
      </x:c>
      <x:c r="AQ342" s="141" t="n">
        <x:f>IF(AND(TRUE,Premissas!$B$11="Imovel",Premissas!$B$47="Investimento",$A342&gt;=MAX(Premissas!$B$48,Premissas!$B$49)),$E342,0)</x:f>
        <x:v>3271.479486173447</x:v>
      </x:c>
      <x:c r="AR342" s="141" t="n">
        <x:f>AN342+AO342+AP342</x:f>
        <x:v>0</x:v>
      </x:c>
      <x:c r="AS342" s="141" t="n">
        <x:f>AQ342</x:f>
        <x:v>3271.479486173447</x:v>
      </x:c>
      <x:c r="AT342" s="141" t="n">
        <x:f>$C342+AS342-AR342</x:f>
        <x:v>10271.479486173448</x:v>
      </x:c>
      <x:c r="AU342" s="141" t="n">
        <x:f>AX341*(1+Premissas!$B$41)+AT342</x:f>
        <x:v>16890122.204458036</x:v>
      </x:c>
      <x:c r="AV342" s="141" t="n">
        <x:f>MAX(0,-AU342)</x:f>
        <x:v>0</x:v>
      </x:c>
      <x:c r="AW342" s="141" t="n">
        <x:f>AW341*(1+Premissas!$B$41)+AV342</x:f>
        <x:v>0</x:v>
      </x:c>
      <x:c r="AX342" s="141" t="n">
        <x:f>MAX(0,AU342)</x:f>
        <x:v>16890122.204458036</x:v>
      </x:c>
      <x:c r="AY342" s="141" t="n">
        <x:f>INDEX('Consorcio IQ'!$P$6:$P$485,$A342)</x:f>
        <x:v>0</x:v>
      </x:c>
      <x:c r="AZ342" s="141" t="n">
        <x:f>IF($A342&gt;=Premissas!$B$48,$F342,0)+IF($A342&lt;Premissas!$B$27,INDEX('Consorcio IQ'!$O$6:$O$485,$A342),0)</x:f>
        <x:v>1027313.618123712</x:v>
      </x:c>
      <x:c r="BA342" s="141" t="n">
        <x:f>AX342+AZ342-AY342</x:f>
        <x:v>17917435.822581746</x:v>
      </x:c>
      <x:c r="BB342" s="141" t="n">
        <x:f>IF(AW342&gt;1,"Inviavel",BA342)</x:f>
        <x:v>17917435.822581746</x:v>
      </x:c>
      <x:c r="BC342" s="141" t="str">
        <x:f>IF(AW342&gt;1,"Inviavel","OK")</x:f>
        <x:v>OK</x:v>
      </x:c>
      <x:c r="BD342" s="141" t="n">
        <x:f>IF($A342='Consorcio Direto'!$B$29,'Consorcio Direto'!$B$44,0)</x:f>
        <x:v>0</x:v>
      </x:c>
      <x:c r="BE342" s="141" t="n">
        <x:f>IF($A342&lt;='Consorcio Direto'!$B$27,INDEX('Consorcio Direto'!$E$55:$E$534,$A342),0)</x:f>
        <x:v>0</x:v>
      </x:c>
      <x:c r="BF342" s="141" t="n">
        <x:f>IF(AND(TRUE,Premissas!$B$11="Imovel",Premissas!$B$47="Moradia",$A342&lt;MAX('Consorcio Direto'!$B$29,Premissas!$B$49)),$D342,0)</x:f>
        <x:v>0</x:v>
      </x:c>
      <x:c r="BG342" s="141" t="n">
        <x:f>IF(AND(TRUE,Premissas!$B$11="Imovel",Premissas!$B$47="Investimento",$A342&gt;=MAX('Consorcio Direto'!$B$29,Premissas!$B$49)),$E342,0)</x:f>
        <x:v>3271.479486173447</x:v>
      </x:c>
      <x:c r="BH342" s="141" t="n">
        <x:f>BD342+BE342+BF342</x:f>
        <x:v>0</x:v>
      </x:c>
      <x:c r="BI342" s="141" t="n">
        <x:f>BG342</x:f>
        <x:v>3271.479486173447</x:v>
      </x:c>
      <x:c r="BJ342" s="141" t="n">
        <x:f>$C342+BI342-BH342</x:f>
        <x:v>10271.479486173448</x:v>
      </x:c>
      <x:c r="BK342" s="141" t="n">
        <x:f>BN341*(1+Premissas!$B$41)+BJ342</x:f>
        <x:v>16137067.146868736</x:v>
      </x:c>
      <x:c r="BL342" s="141" t="n">
        <x:f>MAX(0,-BK342)</x:f>
        <x:v>0</x:v>
      </x:c>
      <x:c r="BM342" s="141" t="n">
        <x:f>BM341*(1+Premissas!$B$41)+BL342</x:f>
        <x:v>0</x:v>
      </x:c>
      <x:c r="BN342" s="141" t="n">
        <x:f>MAX(0,BK342)</x:f>
        <x:v>16137067.146868736</x:v>
      </x:c>
      <x:c r="BO342" s="141" t="n">
        <x:f>INDEX('Consorcio Direto'!$K$55:$K$534,$A342)</x:f>
        <x:v>0</x:v>
      </x:c>
      <x:c r="BP342" s="141" t="n">
        <x:f>IF($A342&lt;'Consorcio Direto'!$B$29,INDEX('Consorcio Direto'!$L$55:$L$534,$A342),$F342)</x:f>
        <x:v>1027313.618123712</x:v>
      </x:c>
      <x:c r="BQ342" s="141" t="n">
        <x:f>BN342+BP342-BO342</x:f>
        <x:v>17164380.764992446</x:v>
      </x:c>
      <x:c r="BR342" s="141" t="n">
        <x:f>IF(BM342&gt;1,"Inviavel",BQ342)</x:f>
        <x:v>17164380.764992446</x:v>
      </x:c>
      <x:c r="BS342" s="141" t="str">
        <x:f>IF(BM342&gt;1,"Inviavel","OK")</x:f>
        <x:v>OK</x:v>
      </x:c>
      <x:c r="BT342" s="141" t="n">
        <x:f>IF(AND('Carta Contemplada'!$B$22="Sim",$A342='Carta Contemplada'!$B$23),'Carta Contemplada'!$B$37,0)</x:f>
        <x:v>0</x:v>
      </x:c>
      <x:c r="BU342" s="141" t="n">
        <x:f>IF('Carta Contemplada'!$B$22="Sim",INDEX('Carta Contemplada'!$C$55:$C$1013,$A342),0)</x:f>
        <x:v>0</x:v>
      </x:c>
      <x:c r="BV342" s="141" t="n">
        <x:f>IF(AND('Carta Contemplada'!$B$22="Sim",Premissas!$B$11="Imovel",Premissas!$B$47="Moradia",$A342&lt;MAX('Carta Contemplada'!$B$44,Premissas!$B$49)),$D342,0)</x:f>
        <x:v>0</x:v>
      </x:c>
      <x:c r="BW342" s="141" t="n">
        <x:f>IF(AND('Carta Contemplada'!$B$22="Sim",Premissas!$B$11="Imovel",Premissas!$B$47="Investimento",$A342&gt;=MAX('Carta Contemplada'!$B$44,Premissas!$B$49)),$E342,0)</x:f>
        <x:v>3271.479486173447</x:v>
      </x:c>
      <x:c r="BX342" s="141" t="n">
        <x:f>BT342+BU342+BV342</x:f>
        <x:v>0</x:v>
      </x:c>
      <x:c r="BY342" s="141" t="n">
        <x:f>BW342</x:f>
        <x:v>3271.479486173447</x:v>
      </x:c>
      <x:c r="BZ342" s="141" t="n">
        <x:f>$C342+BY342-BX342</x:f>
        <x:v>10271.479486173448</x:v>
      </x:c>
      <x:c r="CA342" s="141" t="n">
        <x:f>CD341*(1+Premissas!$B$41)+BZ342</x:f>
        <x:v>17380856.347989365</x:v>
      </x:c>
      <x:c r="CB342" s="141" t="n">
        <x:f>MAX(0,-CA342)</x:f>
        <x:v>0</x:v>
      </x:c>
      <x:c r="CC342" s="141" t="n">
        <x:f>CC341*(1+Premissas!$B$41)+CB342</x:f>
        <x:v>0</x:v>
      </x:c>
      <x:c r="CD342" s="141" t="n">
        <x:f>MAX(0,CA342)</x:f>
        <x:v>17380856.347989365</x:v>
      </x:c>
      <x:c r="CE342" s="141" t="n">
        <x:f>IF(AND('Carta Contemplada'!$B$22="Sim",$A342&gt;='Carta Contemplada'!$B$23),INDEX('Carta Contemplada'!$I$55:$I$1013,$A342),0)</x:f>
        <x:v>0</x:v>
      </x:c>
      <x:c r="CF342" s="141" t="n">
        <x:f>IF(AND('Carta Contemplada'!$B$22="Sim",$A342&gt;='Carta Contemplada'!$B$44),$F342,0)</x:f>
        <x:v>1027313.618123712</x:v>
      </x:c>
      <x:c r="CG342" s="141" t="n">
        <x:f>CD342+CF342-CE342</x:f>
        <x:v>18408169.966113076</x:v>
      </x:c>
      <x:c r="CH342" s="141" t="n">
        <x:f>IF(CC342&gt;1,"Inviavel",CG342)</x:f>
        <x:v>18408169.966113076</x:v>
      </x:c>
      <x:c r="CI342" s="145" t="str">
        <x:f>IF(CC342&gt;1,"Inviavel","OK")</x:f>
        <x:v>OK</x:v>
      </x:c>
    </x:row>
    <x:row r="343">
      <x:c r="A343" s="142" t="n">
        <x:v>339</x:v>
      </x:c>
      <x:c r="B343" s="179" t="n">
        <x:f>EDATE(Premissas!$B$4,A343-1)</x:f>
        <x:v>56827</x:v>
      </x:c>
      <x:c r="C343" s="141" t="n">
        <x:f>IF(A343&lt;=Premissas!$B$39,Premissas!$B$42,0)</x:f>
        <x:v>7000</x:v>
      </x:c>
      <x:c r="D343" s="141" t="n">
        <x:f>Premissas!$B$54*(1+Premissas!$B$57)^INT((A343-1)/12)</x:f>
        <x:v>3578.1806880022077</x:v>
      </x:c>
      <x:c r="E343" s="141" t="n">
        <x:f>Premissas!$B$64*(1+Premissas!$B$57)^INT((A343-1)/12)</x:f>
        <x:v>3271.479486173447</x:v>
      </x:c>
      <x:c r="F343" s="141" t="n">
        <x:f>MAX(0,Premissas!$B$6*(1+Premissas!$B$66)^((A343-1)/12))</x:f>
        <x:v>1032314.1191063948</x:v>
      </x:c>
      <x:c r="G343" s="141" t="n">
        <x:f>G342*(1+Premissas!$B$41)+C343</x:f>
        <x:v>19578581.777561426</x:v>
      </x:c>
      <x:c r="H343" s="141" t="n">
        <x:f>IF($A343=Premissas!$B$48,Premissas!$B$8,0)</x:f>
        <x:v>0</x:v>
      </x:c>
      <x:c r="I343" s="141" t="n">
        <x:f>IF(AND($A343&gt;=Premissas!$B$48,$A343-Premissas!$B$48+1&lt;=Premissas!$B$13),INDEX(Financiamento!$J$6:$J$485,$A343-Premissas!$B$48+1),0)</x:f>
        <x:v>827.3641983374523</x:v>
      </x:c>
      <x:c r="J343" s="141" t="n">
        <x:f>IF(AND(TRUE,Premissas!$B$11="Imovel",Premissas!$B$47="Moradia",$A343&lt;MAX(Premissas!$B$48,Premissas!$B$49)),$D343,0)</x:f>
        <x:v>0</x:v>
      </x:c>
      <x:c r="K343" s="141" t="n">
        <x:f>IF(AND(TRUE,Premissas!$B$11="Imovel",Premissas!$B$47="Investimento",$A343&gt;=MAX(Premissas!$B$48,Premissas!$B$49)),$E343,0)</x:f>
        <x:v>3271.479486173447</x:v>
      </x:c>
      <x:c r="L343" s="141" t="n">
        <x:f>H343+I343+J343</x:f>
        <x:v>827.3641983374523</x:v>
      </x:c>
      <x:c r="M343" s="141" t="n">
        <x:f>K343</x:f>
        <x:v>3271.479486173447</x:v>
      </x:c>
      <x:c r="N343" s="141" t="n">
        <x:f>$C343+M343-L343</x:f>
        <x:v>9444.115287835995</x:v>
      </x:c>
      <x:c r="O343" s="141" t="n">
        <x:f>R342*(1+Premissas!$B$41)+N343</x:f>
        <x:v>16947001.58953342</x:v>
      </x:c>
      <x:c r="P343" s="141" t="n">
        <x:f>MAX(0,-O343)</x:f>
        <x:v>0</x:v>
      </x:c>
      <x:c r="Q343" s="141" t="n">
        <x:f>Q342*(1+Premissas!$B$41)+P343</x:f>
        <x:v>0</x:v>
      </x:c>
      <x:c r="R343" s="141" t="n">
        <x:f>MAX(0,O343)</x:f>
        <x:v>16947001.58953342</x:v>
      </x:c>
      <x:c r="S343" s="141" t="n">
        <x:f>IF(AND($A343&gt;=Premissas!$B$48,$A343-Premissas!$B$48+1&lt;=Premissas!$B$13),INDEX(Financiamento!$M$6:$M$485,$A343-Premissas!$B$48+1),0)</x:f>
        <x:v>30857.1428571429</x:v>
      </x:c>
      <x:c r="T343" s="141" t="n">
        <x:f>IF($A343&gt;=Premissas!$B$48,$F343,0)</x:f>
        <x:v>1032314.1191063948</x:v>
      </x:c>
      <x:c r="U343" s="141" t="n">
        <x:f>R343+T343-S343</x:f>
        <x:v>17948458.56578267</x:v>
      </x:c>
      <x:c r="V343" s="141" t="n">
        <x:f>IF(Q343&gt;1,"Inviavel",U343)</x:f>
        <x:v>17948458.56578267</x:v>
      </x:c>
      <x:c r="W343" s="141" t="str">
        <x:f>IF(Q343&gt;1,"Inviavel","OK")</x:f>
        <x:v>OK</x:v>
      </x:c>
      <x:c r="X343" s="141" t="n">
        <x:f>IF($A343=Premissas!$B$48,Premissas!$B$8,0)</x:f>
        <x:v>0</x:v>
      </x:c>
      <x:c r="Y343" s="141" t="n">
        <x:f>IF(AND($A343&gt;=Premissas!$B$48,$A343-Premissas!$B$48+1&lt;=Premissas!$B$13),INDEX(Amortizacao!$K$6:$K$485,$A343-Premissas!$B$48+1),0)</x:f>
        <x:v>0</x:v>
      </x:c>
      <x:c r="Z343" s="141" t="n">
        <x:f>IF(AND(TRUE,Premissas!$B$11="Imovel",Premissas!$B$47="Moradia",$A343&lt;MAX(Premissas!$B$48,Premissas!$B$49)),$D343,0)</x:f>
        <x:v>0</x:v>
      </x:c>
      <x:c r="AA343" s="141" t="n">
        <x:f>IF(AND(TRUE,Premissas!$B$11="Imovel",Premissas!$B$47="Investimento",$A343&gt;=MAX(Premissas!$B$48,Premissas!$B$49)),$E343,0)</x:f>
        <x:v>3271.479486173447</x:v>
      </x:c>
      <x:c r="AB343" s="141" t="n">
        <x:f>X343+Y343+Z343</x:f>
        <x:v>0</x:v>
      </x:c>
      <x:c r="AC343" s="141" t="n">
        <x:f>AA343</x:f>
        <x:v>3271.479486173447</x:v>
      </x:c>
      <x:c r="AD343" s="141" t="n">
        <x:f>$C343+AC343-AB343</x:f>
        <x:v>10271.479486173448</x:v>
      </x:c>
      <x:c r="AE343" s="141" t="n">
        <x:f>AH342*(1+Premissas!$B$41)+AD343</x:f>
        <x:v>17201324.11483552</x:v>
      </x:c>
      <x:c r="AF343" s="141" t="n">
        <x:f>MAX(0,-AE343)</x:f>
        <x:v>0</x:v>
      </x:c>
      <x:c r="AG343" s="141" t="n">
        <x:f>AG342*(1+Premissas!$B$41)+AF343</x:f>
        <x:v>0</x:v>
      </x:c>
      <x:c r="AH343" s="141" t="n">
        <x:f>MAX(0,AE343)</x:f>
        <x:v>17201324.11483552</x:v>
      </x:c>
      <x:c r="AI343" s="141" t="n">
        <x:f>IF(AND($A343&gt;=Premissas!$B$48,$A343-Premissas!$B$48+1&lt;=Premissas!$B$13),INDEX(Amortizacao!$L$6:$L$485,$A343-Premissas!$B$48+1),0)</x:f>
        <x:v>0</x:v>
      </x:c>
      <x:c r="AJ343" s="141" t="n">
        <x:f>IF($A343&gt;=Premissas!$B$48,$F343,0)</x:f>
        <x:v>1032314.1191063948</x:v>
      </x:c>
      <x:c r="AK343" s="141" t="n">
        <x:f>AH343+AJ343-AI343</x:f>
        <x:v>18233638.233941913</x:v>
      </x:c>
      <x:c r="AL343" s="141" t="n">
        <x:f>IF(AG343&gt;1,"Inviavel",AK343)</x:f>
        <x:v>18233638.233941913</x:v>
      </x:c>
      <x:c r="AM343" s="141" t="str">
        <x:f>IF(AG343&gt;1,"Inviavel","OK")</x:f>
        <x:v>OK</x:v>
      </x:c>
      <x:c r="AN343" s="141" t="n">
        <x:f>IF($A343=Premissas!$B$48,Premissas!$B$8,0)</x:f>
        <x:v>0</x:v>
      </x:c>
      <x:c r="AO343" s="141" t="n">
        <x:f>IF($A343&lt;=Premissas!$B$25,INDEX('Consorcio IQ'!$K$6:$K$485,$A343),0)</x:f>
        <x:v>0</x:v>
      </x:c>
      <x:c r="AP343" s="141" t="n">
        <x:f>IF(AND(TRUE,Premissas!$B$11="Imovel",Premissas!$B$47="Moradia",$A343&lt;MAX(Premissas!$B$48,Premissas!$B$49)),$D343,0)</x:f>
        <x:v>0</x:v>
      </x:c>
      <x:c r="AQ343" s="141" t="n">
        <x:f>IF(AND(TRUE,Premissas!$B$11="Imovel",Premissas!$B$47="Investimento",$A343&gt;=MAX(Premissas!$B$48,Premissas!$B$49)),$E343,0)</x:f>
        <x:v>3271.479486173447</x:v>
      </x:c>
      <x:c r="AR343" s="141" t="n">
        <x:f>AN343+AO343+AP343</x:f>
        <x:v>0</x:v>
      </x:c>
      <x:c r="AS343" s="141" t="n">
        <x:f>AQ343</x:f>
        <x:v>3271.479486173447</x:v>
      </x:c>
      <x:c r="AT343" s="141" t="n">
        <x:f>$C343+AS343-AR343</x:f>
        <x:v>10271.479486173448</x:v>
      </x:c>
      <x:c r="AU343" s="141" t="n">
        <x:f>AX342*(1+Premissas!$B$41)+AT343</x:f>
        <x:v>17060660.556182116</x:v>
      </x:c>
      <x:c r="AV343" s="141" t="n">
        <x:f>MAX(0,-AU343)</x:f>
        <x:v>0</x:v>
      </x:c>
      <x:c r="AW343" s="141" t="n">
        <x:f>AW342*(1+Premissas!$B$41)+AV343</x:f>
        <x:v>0</x:v>
      </x:c>
      <x:c r="AX343" s="141" t="n">
        <x:f>MAX(0,AU343)</x:f>
        <x:v>17060660.556182116</x:v>
      </x:c>
      <x:c r="AY343" s="141" t="n">
        <x:f>INDEX('Consorcio IQ'!$P$6:$P$485,$A343)</x:f>
        <x:v>0</x:v>
      </x:c>
      <x:c r="AZ343" s="141" t="n">
        <x:f>IF($A343&gt;=Premissas!$B$48,$F343,0)+IF($A343&lt;Premissas!$B$27,INDEX('Consorcio IQ'!$O$6:$O$485,$A343),0)</x:f>
        <x:v>1032314.1191063948</x:v>
      </x:c>
      <x:c r="BA343" s="141" t="n">
        <x:f>AX343+AZ343-AY343</x:f>
        <x:v>18092974.67528851</x:v>
      </x:c>
      <x:c r="BB343" s="141" t="n">
        <x:f>IF(AW343&gt;1,"Inviavel",BA343)</x:f>
        <x:v>18092974.67528851</x:v>
      </x:c>
      <x:c r="BC343" s="141" t="str">
        <x:f>IF(AW343&gt;1,"Inviavel","OK")</x:f>
        <x:v>OK</x:v>
      </x:c>
      <x:c r="BD343" s="141" t="n">
        <x:f>IF($A343='Consorcio Direto'!$B$29,'Consorcio Direto'!$B$44,0)</x:f>
        <x:v>0</x:v>
      </x:c>
      <x:c r="BE343" s="141" t="n">
        <x:f>IF($A343&lt;='Consorcio Direto'!$B$27,INDEX('Consorcio Direto'!$E$55:$E$534,$A343),0)</x:f>
        <x:v>0</x:v>
      </x:c>
      <x:c r="BF343" s="141" t="n">
        <x:f>IF(AND(TRUE,Premissas!$B$11="Imovel",Premissas!$B$47="Moradia",$A343&lt;MAX('Consorcio Direto'!$B$29,Premissas!$B$49)),$D343,0)</x:f>
        <x:v>0</x:v>
      </x:c>
      <x:c r="BG343" s="141" t="n">
        <x:f>IF(AND(TRUE,Premissas!$B$11="Imovel",Premissas!$B$47="Investimento",$A343&gt;=MAX('Consorcio Direto'!$B$29,Premissas!$B$49)),$E343,0)</x:f>
        <x:v>3271.479486173447</x:v>
      </x:c>
      <x:c r="BH343" s="141" t="n">
        <x:f>BD343+BE343+BF343</x:f>
        <x:v>0</x:v>
      </x:c>
      <x:c r="BI343" s="141" t="n">
        <x:f>BG343</x:f>
        <x:v>3271.479486173447</x:v>
      </x:c>
      <x:c r="BJ343" s="141" t="n">
        <x:f>$C343+BI343-BH343</x:f>
        <x:v>10271.479486173448</x:v>
      </x:c>
      <x:c r="BK343" s="141" t="n">
        <x:f>BN342*(1+Premissas!$B$41)+BJ343</x:f>
        <x:v>16300459.915083008</x:v>
      </x:c>
      <x:c r="BL343" s="141" t="n">
        <x:f>MAX(0,-BK343)</x:f>
        <x:v>0</x:v>
      </x:c>
      <x:c r="BM343" s="141" t="n">
        <x:f>BM342*(1+Premissas!$B$41)+BL343</x:f>
        <x:v>0</x:v>
      </x:c>
      <x:c r="BN343" s="141" t="n">
        <x:f>MAX(0,BK343)</x:f>
        <x:v>16300459.915083008</x:v>
      </x:c>
      <x:c r="BO343" s="141" t="n">
        <x:f>INDEX('Consorcio Direto'!$K$55:$K$534,$A343)</x:f>
        <x:v>0</x:v>
      </x:c>
      <x:c r="BP343" s="141" t="n">
        <x:f>IF($A343&lt;'Consorcio Direto'!$B$29,INDEX('Consorcio Direto'!$L$55:$L$534,$A343),$F343)</x:f>
        <x:v>1032314.1191063948</x:v>
      </x:c>
      <x:c r="BQ343" s="141" t="n">
        <x:f>BN343+BP343-BO343</x:f>
        <x:v>17332774.034189403</x:v>
      </x:c>
      <x:c r="BR343" s="141" t="n">
        <x:f>IF(BM343&gt;1,"Inviavel",BQ343)</x:f>
        <x:v>17332774.034189403</x:v>
      </x:c>
      <x:c r="BS343" s="141" t="str">
        <x:f>IF(BM343&gt;1,"Inviavel","OK")</x:f>
        <x:v>OK</x:v>
      </x:c>
      <x:c r="BT343" s="141" t="n">
        <x:f>IF(AND('Carta Contemplada'!$B$22="Sim",$A343='Carta Contemplada'!$B$23),'Carta Contemplada'!$B$37,0)</x:f>
        <x:v>0</x:v>
      </x:c>
      <x:c r="BU343" s="141" t="n">
        <x:f>IF('Carta Contemplada'!$B$22="Sim",INDEX('Carta Contemplada'!$C$55:$C$1013,$A343),0)</x:f>
        <x:v>0</x:v>
      </x:c>
      <x:c r="BV343" s="141" t="n">
        <x:f>IF(AND('Carta Contemplada'!$B$22="Sim",Premissas!$B$11="Imovel",Premissas!$B$47="Moradia",$A343&lt;MAX('Carta Contemplada'!$B$44,Premissas!$B$49)),$D343,0)</x:f>
        <x:v>0</x:v>
      </x:c>
      <x:c r="BW343" s="141" t="n">
        <x:f>IF(AND('Carta Contemplada'!$B$22="Sim",Premissas!$B$11="Imovel",Premissas!$B$47="Investimento",$A343&gt;=MAX('Carta Contemplada'!$B$44,Premissas!$B$49)),$E343,0)</x:f>
        <x:v>3271.479486173447</x:v>
      </x:c>
      <x:c r="BX343" s="141" t="n">
        <x:f>BT343+BU343+BV343</x:f>
        <x:v>0</x:v>
      </x:c>
      <x:c r="BY343" s="141" t="n">
        <x:f>BW343</x:f>
        <x:v>3271.479486173447</x:v>
      </x:c>
      <x:c r="BZ343" s="141" t="n">
        <x:f>$C343+BY343-BX343</x:f>
        <x:v>10271.479486173448</x:v>
      </x:c>
      <x:c r="CA343" s="141" t="n">
        <x:f>CD342*(1+Premissas!$B$41)+BZ343</x:f>
        <x:v>17556051.174387343</x:v>
      </x:c>
      <x:c r="CB343" s="141" t="n">
        <x:f>MAX(0,-CA343)</x:f>
        <x:v>0</x:v>
      </x:c>
      <x:c r="CC343" s="141" t="n">
        <x:f>CC342*(1+Premissas!$B$41)+CB343</x:f>
        <x:v>0</x:v>
      </x:c>
      <x:c r="CD343" s="141" t="n">
        <x:f>MAX(0,CA343)</x:f>
        <x:v>17556051.174387343</x:v>
      </x:c>
      <x:c r="CE343" s="141" t="n">
        <x:f>IF(AND('Carta Contemplada'!$B$22="Sim",$A343&gt;='Carta Contemplada'!$B$23),INDEX('Carta Contemplada'!$I$55:$I$1013,$A343),0)</x:f>
        <x:v>0</x:v>
      </x:c>
      <x:c r="CF343" s="141" t="n">
        <x:f>IF(AND('Carta Contemplada'!$B$22="Sim",$A343&gt;='Carta Contemplada'!$B$44),$F343,0)</x:f>
        <x:v>1032314.1191063948</x:v>
      </x:c>
      <x:c r="CG343" s="141" t="n">
        <x:f>CD343+CF343-CE343</x:f>
        <x:v>18588365.293493737</x:v>
      </x:c>
      <x:c r="CH343" s="141" t="n">
        <x:f>IF(CC343&gt;1,"Inviavel",CG343)</x:f>
        <x:v>18588365.293493737</x:v>
      </x:c>
      <x:c r="CI343" s="145" t="str">
        <x:f>IF(CC343&gt;1,"Inviavel","OK")</x:f>
        <x:v>OK</x:v>
      </x:c>
    </x:row>
    <x:row r="344">
      <x:c r="A344" s="142" t="n">
        <x:v>340</x:v>
      </x:c>
      <x:c r="B344" s="179" t="n">
        <x:f>EDATE(Premissas!$B$4,A344-1)</x:f>
        <x:v>56858</x:v>
      </x:c>
      <x:c r="C344" s="141" t="n">
        <x:f>IF(A344&lt;=Premissas!$B$39,Premissas!$B$42,0)</x:f>
        <x:v>7000</x:v>
      </x:c>
      <x:c r="D344" s="141" t="n">
        <x:f>Premissas!$B$54*(1+Premissas!$B$57)^INT((A344-1)/12)</x:f>
        <x:v>3578.1806880022077</x:v>
      </x:c>
      <x:c r="E344" s="141" t="n">
        <x:f>Premissas!$B$64*(1+Premissas!$B$57)^INT((A344-1)/12)</x:f>
        <x:v>3271.479486173447</x:v>
      </x:c>
      <x:c r="F344" s="141" t="n">
        <x:f>MAX(0,Premissas!$B$6*(1+Premissas!$B$66)^((A344-1)/12))</x:f>
        <x:v>1037338.9602804628</x:v>
      </x:c>
      <x:c r="G344" s="141" t="n">
        <x:f>G343*(1+Premissas!$B$41)+C344</x:f>
        <x:v>19771358.88600151</x:v>
      </x:c>
      <x:c r="H344" s="141" t="n">
        <x:f>IF($A344=Premissas!$B$48,Premissas!$B$8,0)</x:f>
        <x:v>0</x:v>
      </x:c>
      <x:c r="I344" s="141" t="n">
        <x:f>IF(AND($A344&gt;=Premissas!$B$48,$A344-Premissas!$B$48+1&lt;=Premissas!$B$13),INDEX(Financiamento!$J$6:$J$485,$A344-Premissas!$B$48+1),0)</x:f>
        <x:v>823.7494200766587</x:v>
      </x:c>
      <x:c r="J344" s="141" t="n">
        <x:f>IF(AND(TRUE,Premissas!$B$11="Imovel",Premissas!$B$47="Moradia",$A344&lt;MAX(Premissas!$B$48,Premissas!$B$49)),$D344,0)</x:f>
        <x:v>0</x:v>
      </x:c>
      <x:c r="K344" s="141" t="n">
        <x:f>IF(AND(TRUE,Premissas!$B$11="Imovel",Premissas!$B$47="Investimento",$A344&gt;=MAX(Premissas!$B$48,Premissas!$B$49)),$E344,0)</x:f>
        <x:v>3271.479486173447</x:v>
      </x:c>
      <x:c r="L344" s="141" t="n">
        <x:f>H344+I344+J344</x:f>
        <x:v>823.7494200766587</x:v>
      </x:c>
      <x:c r="M344" s="141" t="n">
        <x:f>K344</x:f>
        <x:v>3271.479486173447</x:v>
      </x:c>
      <x:c r="N344" s="141" t="n">
        <x:f>$C344+M344-L344</x:f>
        <x:v>9447.730066096789</x:v>
      </x:c>
      <x:c r="O344" s="141" t="n">
        <x:f>R343*(1+Premissas!$B$41)+N344</x:f>
        <x:v>17117255.90854465</x:v>
      </x:c>
      <x:c r="P344" s="141" t="n">
        <x:f>MAX(0,-O344)</x:f>
        <x:v>0</x:v>
      </x:c>
      <x:c r="Q344" s="141" t="n">
        <x:f>Q343*(1+Premissas!$B$41)+P344</x:f>
        <x:v>0</x:v>
      </x:c>
      <x:c r="R344" s="141" t="n">
        <x:f>MAX(0,O344)</x:f>
        <x:v>17117255.90854465</x:v>
      </x:c>
      <x:c r="S344" s="141" t="n">
        <x:f>IF(AND($A344&gt;=Premissas!$B$48,$A344-Premissas!$B$48+1&lt;=Premissas!$B$13),INDEX(Financiamento!$M$6:$M$485,$A344-Premissas!$B$48+1),0)</x:f>
        <x:v>30476.190476190517</x:v>
      </x:c>
      <x:c r="T344" s="141" t="n">
        <x:f>IF($A344&gt;=Premissas!$B$48,$F344,0)</x:f>
        <x:v>1037338.9602804628</x:v>
      </x:c>
      <x:c r="U344" s="141" t="n">
        <x:f>R344+T344-S344</x:f>
        <x:v>18124118.67834892</x:v>
      </x:c>
      <x:c r="V344" s="141" t="n">
        <x:f>IF(Q344&gt;1,"Inviavel",U344)</x:f>
        <x:v>18124118.67834892</x:v>
      </x:c>
      <x:c r="W344" s="141" t="str">
        <x:f>IF(Q344&gt;1,"Inviavel","OK")</x:f>
        <x:v>OK</x:v>
      </x:c>
      <x:c r="X344" s="141" t="n">
        <x:f>IF($A344=Premissas!$B$48,Premissas!$B$8,0)</x:f>
        <x:v>0</x:v>
      </x:c>
      <x:c r="Y344" s="141" t="n">
        <x:f>IF(AND($A344&gt;=Premissas!$B$48,$A344-Premissas!$B$48+1&lt;=Premissas!$B$13),INDEX(Amortizacao!$K$6:$K$485,$A344-Premissas!$B$48+1),0)</x:f>
        <x:v>0</x:v>
      </x:c>
      <x:c r="Z344" s="141" t="n">
        <x:f>IF(AND(TRUE,Premissas!$B$11="Imovel",Premissas!$B$47="Moradia",$A344&lt;MAX(Premissas!$B$48,Premissas!$B$49)),$D344,0)</x:f>
        <x:v>0</x:v>
      </x:c>
      <x:c r="AA344" s="141" t="n">
        <x:f>IF(AND(TRUE,Premissas!$B$11="Imovel",Premissas!$B$47="Investimento",$A344&gt;=MAX(Premissas!$B$48,Premissas!$B$49)),$E344,0)</x:f>
        <x:v>3271.479486173447</x:v>
      </x:c>
      <x:c r="AB344" s="141" t="n">
        <x:f>X344+Y344+Z344</x:f>
        <x:v>0</x:v>
      </x:c>
      <x:c r="AC344" s="141" t="n">
        <x:f>AA344</x:f>
        <x:v>3271.479486173447</x:v>
      </x:c>
      <x:c r="AD344" s="141" t="n">
        <x:f>$C344+AC344-AB344</x:f>
        <x:v>10271.479486173448</x:v>
      </x:c>
      <x:c r="AE344" s="141" t="n">
        <x:f>AH343*(1+Premissas!$B$41)+AD344</x:f>
        <x:v>17374815.39704802</x:v>
      </x:c>
      <x:c r="AF344" s="141" t="n">
        <x:f>MAX(0,-AE344)</x:f>
        <x:v>0</x:v>
      </x:c>
      <x:c r="AG344" s="141" t="n">
        <x:f>AG343*(1+Premissas!$B$41)+AF344</x:f>
        <x:v>0</x:v>
      </x:c>
      <x:c r="AH344" s="141" t="n">
        <x:f>MAX(0,AE344)</x:f>
        <x:v>17374815.39704802</x:v>
      </x:c>
      <x:c r="AI344" s="141" t="n">
        <x:f>IF(AND($A344&gt;=Premissas!$B$48,$A344-Premissas!$B$48+1&lt;=Premissas!$B$13),INDEX(Amortizacao!$L$6:$L$485,$A344-Premissas!$B$48+1),0)</x:f>
        <x:v>0</x:v>
      </x:c>
      <x:c r="AJ344" s="141" t="n">
        <x:f>IF($A344&gt;=Premissas!$B$48,$F344,0)</x:f>
        <x:v>1037338.9602804628</x:v>
      </x:c>
      <x:c r="AK344" s="141" t="n">
        <x:f>AH344+AJ344-AI344</x:f>
        <x:v>18412154.357328482</x:v>
      </x:c>
      <x:c r="AL344" s="141" t="n">
        <x:f>IF(AG344&gt;1,"Inviavel",AK344)</x:f>
        <x:v>18412154.357328482</x:v>
      </x:c>
      <x:c r="AM344" s="141" t="str">
        <x:f>IF(AG344&gt;1,"Inviavel","OK")</x:f>
        <x:v>OK</x:v>
      </x:c>
      <x:c r="AN344" s="141" t="n">
        <x:f>IF($A344=Premissas!$B$48,Premissas!$B$8,0)</x:f>
        <x:v>0</x:v>
      </x:c>
      <x:c r="AO344" s="141" t="n">
        <x:f>IF($A344&lt;=Premissas!$B$25,INDEX('Consorcio IQ'!$K$6:$K$485,$A344),0)</x:f>
        <x:v>0</x:v>
      </x:c>
      <x:c r="AP344" s="141" t="n">
        <x:f>IF(AND(TRUE,Premissas!$B$11="Imovel",Premissas!$B$47="Moradia",$A344&lt;MAX(Premissas!$B$48,Premissas!$B$49)),$D344,0)</x:f>
        <x:v>0</x:v>
      </x:c>
      <x:c r="AQ344" s="141" t="n">
        <x:f>IF(AND(TRUE,Premissas!$B$11="Imovel",Premissas!$B$47="Investimento",$A344&gt;=MAX(Premissas!$B$48,Premissas!$B$49)),$E344,0)</x:f>
        <x:v>3271.479486173447</x:v>
      </x:c>
      <x:c r="AR344" s="141" t="n">
        <x:f>AN344+AO344+AP344</x:f>
        <x:v>0</x:v>
      </x:c>
      <x:c r="AS344" s="141" t="n">
        <x:f>AQ344</x:f>
        <x:v>3271.479486173447</x:v>
      </x:c>
      <x:c r="AT344" s="141" t="n">
        <x:f>$C344+AS344-AR344</x:f>
        <x:v>10271.479486173448</x:v>
      </x:c>
      <x:c r="AU344" s="141" t="n">
        <x:f>AX343*(1+Premissas!$B$41)+AT344</x:f>
        <x:v>17232817.11101311</x:v>
      </x:c>
      <x:c r="AV344" s="141" t="n">
        <x:f>MAX(0,-AU344)</x:f>
        <x:v>0</x:v>
      </x:c>
      <x:c r="AW344" s="141" t="n">
        <x:f>AW343*(1+Premissas!$B$41)+AV344</x:f>
        <x:v>0</x:v>
      </x:c>
      <x:c r="AX344" s="141" t="n">
        <x:f>MAX(0,AU344)</x:f>
        <x:v>17232817.11101311</x:v>
      </x:c>
      <x:c r="AY344" s="141" t="n">
        <x:f>INDEX('Consorcio IQ'!$P$6:$P$485,$A344)</x:f>
        <x:v>0</x:v>
      </x:c>
      <x:c r="AZ344" s="141" t="n">
        <x:f>IF($A344&gt;=Premissas!$B$48,$F344,0)+IF($A344&lt;Premissas!$B$27,INDEX('Consorcio IQ'!$O$6:$O$485,$A344),0)</x:f>
        <x:v>1037338.9602804628</x:v>
      </x:c>
      <x:c r="BA344" s="141" t="n">
        <x:f>AX344+AZ344-AY344</x:f>
        <x:v>18270156.071293574</x:v>
      </x:c>
      <x:c r="BB344" s="141" t="n">
        <x:f>IF(AW344&gt;1,"Inviavel",BA344)</x:f>
        <x:v>18270156.071293574</x:v>
      </x:c>
      <x:c r="BC344" s="141" t="str">
        <x:f>IF(AW344&gt;1,"Inviavel","OK")</x:f>
        <x:v>OK</x:v>
      </x:c>
      <x:c r="BD344" s="141" t="n">
        <x:f>IF($A344='Consorcio Direto'!$B$29,'Consorcio Direto'!$B$44,0)</x:f>
        <x:v>0</x:v>
      </x:c>
      <x:c r="BE344" s="141" t="n">
        <x:f>IF($A344&lt;='Consorcio Direto'!$B$27,INDEX('Consorcio Direto'!$E$55:$E$534,$A344),0)</x:f>
        <x:v>0</x:v>
      </x:c>
      <x:c r="BF344" s="141" t="n">
        <x:f>IF(AND(TRUE,Premissas!$B$11="Imovel",Premissas!$B$47="Moradia",$A344&lt;MAX('Consorcio Direto'!$B$29,Premissas!$B$49)),$D344,0)</x:f>
        <x:v>0</x:v>
      </x:c>
      <x:c r="BG344" s="141" t="n">
        <x:f>IF(AND(TRUE,Premissas!$B$11="Imovel",Premissas!$B$47="Investimento",$A344&gt;=MAX('Consorcio Direto'!$B$29,Premissas!$B$49)),$E344,0)</x:f>
        <x:v>3271.479486173447</x:v>
      </x:c>
      <x:c r="BH344" s="141" t="n">
        <x:f>BD344+BE344+BF344</x:f>
        <x:v>0</x:v>
      </x:c>
      <x:c r="BI344" s="141" t="n">
        <x:f>BG344</x:f>
        <x:v>3271.479486173447</x:v>
      </x:c>
      <x:c r="BJ344" s="141" t="n">
        <x:f>$C344+BI344-BH344</x:f>
        <x:v>10271.479486173448</x:v>
      </x:c>
      <x:c r="BK344" s="141" t="n">
        <x:f>BN343*(1+Premissas!$B$41)+BJ344</x:f>
        <x:v>16465403.083441874</x:v>
      </x:c>
      <x:c r="BL344" s="141" t="n">
        <x:f>MAX(0,-BK344)</x:f>
        <x:v>0</x:v>
      </x:c>
      <x:c r="BM344" s="141" t="n">
        <x:f>BM343*(1+Premissas!$B$41)+BL344</x:f>
        <x:v>0</x:v>
      </x:c>
      <x:c r="BN344" s="141" t="n">
        <x:f>MAX(0,BK344)</x:f>
        <x:v>16465403.083441874</x:v>
      </x:c>
      <x:c r="BO344" s="141" t="n">
        <x:f>INDEX('Consorcio Direto'!$K$55:$K$534,$A344)</x:f>
        <x:v>0</x:v>
      </x:c>
      <x:c r="BP344" s="141" t="n">
        <x:f>IF($A344&lt;'Consorcio Direto'!$B$29,INDEX('Consorcio Direto'!$L$55:$L$534,$A344),$F344)</x:f>
        <x:v>1037338.9602804628</x:v>
      </x:c>
      <x:c r="BQ344" s="141" t="n">
        <x:f>BN344+BP344-BO344</x:f>
        <x:v>17502742.043722335</x:v>
      </x:c>
      <x:c r="BR344" s="141" t="n">
        <x:f>IF(BM344&gt;1,"Inviavel",BQ344)</x:f>
        <x:v>17502742.043722335</x:v>
      </x:c>
      <x:c r="BS344" s="141" t="str">
        <x:f>IF(BM344&gt;1,"Inviavel","OK")</x:f>
        <x:v>OK</x:v>
      </x:c>
      <x:c r="BT344" s="141" t="n">
        <x:f>IF(AND('Carta Contemplada'!$B$22="Sim",$A344='Carta Contemplada'!$B$23),'Carta Contemplada'!$B$37,0)</x:f>
        <x:v>0</x:v>
      </x:c>
      <x:c r="BU344" s="141" t="n">
        <x:f>IF('Carta Contemplada'!$B$22="Sim",INDEX('Carta Contemplada'!$C$55:$C$1013,$A344),0)</x:f>
        <x:v>0</x:v>
      </x:c>
      <x:c r="BV344" s="141" t="n">
        <x:f>IF(AND('Carta Contemplada'!$B$22="Sim",Premissas!$B$11="Imovel",Premissas!$B$47="Moradia",$A344&lt;MAX('Carta Contemplada'!$B$44,Premissas!$B$49)),$D344,0)</x:f>
        <x:v>0</x:v>
      </x:c>
      <x:c r="BW344" s="141" t="n">
        <x:f>IF(AND('Carta Contemplada'!$B$22="Sim",Premissas!$B$11="Imovel",Premissas!$B$47="Investimento",$A344&gt;=MAX('Carta Contemplada'!$B$44,Premissas!$B$49)),$E344,0)</x:f>
        <x:v>3271.479486173447</x:v>
      </x:c>
      <x:c r="BX344" s="141" t="n">
        <x:f>BT344+BU344+BV344</x:f>
        <x:v>0</x:v>
      </x:c>
      <x:c r="BY344" s="141" t="n">
        <x:f>BW344</x:f>
        <x:v>3271.479486173447</x:v>
      </x:c>
      <x:c r="BZ344" s="141" t="n">
        <x:f>$C344+BY344-BX344</x:f>
        <x:v>10271.479486173448</x:v>
      </x:c>
      <x:c r="CA344" s="141" t="n">
        <x:f>CD343*(1+Premissas!$B$41)+BZ344</x:f>
        <x:v>17732908.388216224</x:v>
      </x:c>
      <x:c r="CB344" s="141" t="n">
        <x:f>MAX(0,-CA344)</x:f>
        <x:v>0</x:v>
      </x:c>
      <x:c r="CC344" s="141" t="n">
        <x:f>CC343*(1+Premissas!$B$41)+CB344</x:f>
        <x:v>0</x:v>
      </x:c>
      <x:c r="CD344" s="141" t="n">
        <x:f>MAX(0,CA344)</x:f>
        <x:v>17732908.388216224</x:v>
      </x:c>
      <x:c r="CE344" s="141" t="n">
        <x:f>IF(AND('Carta Contemplada'!$B$22="Sim",$A344&gt;='Carta Contemplada'!$B$23),INDEX('Carta Contemplada'!$I$55:$I$1013,$A344),0)</x:f>
        <x:v>0</x:v>
      </x:c>
      <x:c r="CF344" s="141" t="n">
        <x:f>IF(AND('Carta Contemplada'!$B$22="Sim",$A344&gt;='Carta Contemplada'!$B$44),$F344,0)</x:f>
        <x:v>1037338.9602804628</x:v>
      </x:c>
      <x:c r="CG344" s="141" t="n">
        <x:f>CD344+CF344-CE344</x:f>
        <x:v>18770247.348496687</x:v>
      </x:c>
      <x:c r="CH344" s="141" t="n">
        <x:f>IF(CC344&gt;1,"Inviavel",CG344)</x:f>
        <x:v>18770247.348496687</x:v>
      </x:c>
      <x:c r="CI344" s="145" t="str">
        <x:f>IF(CC344&gt;1,"Inviavel","OK")</x:f>
        <x:v>OK</x:v>
      </x:c>
    </x:row>
    <x:row r="345">
      <x:c r="A345" s="142" t="n">
        <x:v>341</x:v>
      </x:c>
      <x:c r="B345" s="179" t="n">
        <x:f>EDATE(Premissas!$B$4,A345-1)</x:f>
        <x:v>56888</x:v>
      </x:c>
      <x:c r="C345" s="141" t="n">
        <x:f>IF(A345&lt;=Premissas!$B$39,Premissas!$B$42,0)</x:f>
        <x:v>7000</x:v>
      </x:c>
      <x:c r="D345" s="141" t="n">
        <x:f>Premissas!$B$54*(1+Premissas!$B$57)^INT((A345-1)/12)</x:f>
        <x:v>3578.1806880022077</x:v>
      </x:c>
      <x:c r="E345" s="141" t="n">
        <x:f>Premissas!$B$64*(1+Premissas!$B$57)^INT((A345-1)/12)</x:f>
        <x:v>3271.479486173447</x:v>
      </x:c>
      <x:c r="F345" s="141" t="n">
        <x:f>MAX(0,Premissas!$B$6*(1+Premissas!$B$66)^((A345-1)/12))</x:f>
        <x:v>1042388.2601230282</x:v>
      </x:c>
      <x:c r="G345" s="141" t="n">
        <x:f>G344*(1+Premissas!$B$41)+C345</x:f>
        <x:v>19965965.216506105</x:v>
      </x:c>
      <x:c r="H345" s="141" t="n">
        <x:f>IF($A345=Premissas!$B$48,Premissas!$B$8,0)</x:f>
        <x:v>0</x:v>
      </x:c>
      <x:c r="I345" s="141" t="n">
        <x:f>IF(AND($A345&gt;=Premissas!$B$48,$A345-Premissas!$B$48+1&lt;=Premissas!$B$13),INDEX(Financiamento!$J$6:$J$485,$A345-Premissas!$B$48+1),0)</x:f>
        <x:v>820.1346418158652</x:v>
      </x:c>
      <x:c r="J345" s="141" t="n">
        <x:f>IF(AND(TRUE,Premissas!$B$11="Imovel",Premissas!$B$47="Moradia",$A345&lt;MAX(Premissas!$B$48,Premissas!$B$49)),$D345,0)</x:f>
        <x:v>0</x:v>
      </x:c>
      <x:c r="K345" s="141" t="n">
        <x:f>IF(AND(TRUE,Premissas!$B$11="Imovel",Premissas!$B$47="Investimento",$A345&gt;=MAX(Premissas!$B$48,Premissas!$B$49)),$E345,0)</x:f>
        <x:v>3271.479486173447</x:v>
      </x:c>
      <x:c r="L345" s="141" t="n">
        <x:f>H345+I345+J345</x:f>
        <x:v>820.1346418158652</x:v>
      </x:c>
      <x:c r="M345" s="141" t="n">
        <x:f>K345</x:f>
        <x:v>3271.479486173447</x:v>
      </x:c>
      <x:c r="N345" s="141" t="n">
        <x:f>$C345+M345-L345</x:f>
        <x:v>9451.344844357583</x:v>
      </x:c>
      <x:c r="O345" s="141" t="n">
        <x:f>R344*(1+Premissas!$B$41)+N345</x:f>
        <x:v>17289129.35031345</x:v>
      </x:c>
      <x:c r="P345" s="141" t="n">
        <x:f>MAX(0,-O345)</x:f>
        <x:v>0</x:v>
      </x:c>
      <x:c r="Q345" s="141" t="n">
        <x:f>Q344*(1+Premissas!$B$41)+P345</x:f>
        <x:v>0</x:v>
      </x:c>
      <x:c r="R345" s="141" t="n">
        <x:f>MAX(0,O345)</x:f>
        <x:v>17289129.35031345</x:v>
      </x:c>
      <x:c r="S345" s="141" t="n">
        <x:f>IF(AND($A345&gt;=Premissas!$B$48,$A345-Premissas!$B$48+1&lt;=Premissas!$B$13),INDEX(Financiamento!$M$6:$M$485,$A345-Premissas!$B$48+1),0)</x:f>
        <x:v>30095.238095238135</x:v>
      </x:c>
      <x:c r="T345" s="141" t="n">
        <x:f>IF($A345&gt;=Premissas!$B$48,$F345,0)</x:f>
        <x:v>1042388.2601230282</x:v>
      </x:c>
      <x:c r="U345" s="141" t="n">
        <x:f>R345+T345-S345</x:f>
        <x:v>18301422.37234124</x:v>
      </x:c>
      <x:c r="V345" s="141" t="n">
        <x:f>IF(Q345&gt;1,"Inviavel",U345)</x:f>
        <x:v>18301422.37234124</x:v>
      </x:c>
      <x:c r="W345" s="141" t="str">
        <x:f>IF(Q345&gt;1,"Inviavel","OK")</x:f>
        <x:v>OK</x:v>
      </x:c>
      <x:c r="X345" s="141" t="n">
        <x:f>IF($A345=Premissas!$B$48,Premissas!$B$8,0)</x:f>
        <x:v>0</x:v>
      </x:c>
      <x:c r="Y345" s="141" t="n">
        <x:f>IF(AND($A345&gt;=Premissas!$B$48,$A345-Premissas!$B$48+1&lt;=Premissas!$B$13),INDEX(Amortizacao!$K$6:$K$485,$A345-Premissas!$B$48+1),0)</x:f>
        <x:v>0</x:v>
      </x:c>
      <x:c r="Z345" s="141" t="n">
        <x:f>IF(AND(TRUE,Premissas!$B$11="Imovel",Premissas!$B$47="Moradia",$A345&lt;MAX(Premissas!$B$48,Premissas!$B$49)),$D345,0)</x:f>
        <x:v>0</x:v>
      </x:c>
      <x:c r="AA345" s="141" t="n">
        <x:f>IF(AND(TRUE,Premissas!$B$11="Imovel",Premissas!$B$47="Investimento",$A345&gt;=MAX(Premissas!$B$48,Premissas!$B$49)),$E345,0)</x:f>
        <x:v>3271.479486173447</x:v>
      </x:c>
      <x:c r="AB345" s="141" t="n">
        <x:f>X345+Y345+Z345</x:f>
        <x:v>0</x:v>
      </x:c>
      <x:c r="AC345" s="141" t="n">
        <x:f>AA345</x:f>
        <x:v>3271.479486173447</x:v>
      </x:c>
      <x:c r="AD345" s="141" t="n">
        <x:f>$C345+AC345-AB345</x:f>
        <x:v>10271.479486173448</x:v>
      </x:c>
      <x:c r="AE345" s="141" t="n">
        <x:f>AH344*(1+Premissas!$B$41)+AD345</x:f>
        <x:v>17549952.90211339</x:v>
      </x:c>
      <x:c r="AF345" s="141" t="n">
        <x:f>MAX(0,-AE345)</x:f>
        <x:v>0</x:v>
      </x:c>
      <x:c r="AG345" s="141" t="n">
        <x:f>AG344*(1+Premissas!$B$41)+AF345</x:f>
        <x:v>0</x:v>
      </x:c>
      <x:c r="AH345" s="141" t="n">
        <x:f>MAX(0,AE345)</x:f>
        <x:v>17549952.90211339</x:v>
      </x:c>
      <x:c r="AI345" s="141" t="n">
        <x:f>IF(AND($A345&gt;=Premissas!$B$48,$A345-Premissas!$B$48+1&lt;=Premissas!$B$13),INDEX(Amortizacao!$L$6:$L$485,$A345-Premissas!$B$48+1),0)</x:f>
        <x:v>0</x:v>
      </x:c>
      <x:c r="AJ345" s="141" t="n">
        <x:f>IF($A345&gt;=Premissas!$B$48,$F345,0)</x:f>
        <x:v>1042388.2601230282</x:v>
      </x:c>
      <x:c r="AK345" s="141" t="n">
        <x:f>AH345+AJ345-AI345</x:f>
        <x:v>18592341.16223642</x:v>
      </x:c>
      <x:c r="AL345" s="141" t="n">
        <x:f>IF(AG345&gt;1,"Inviavel",AK345)</x:f>
        <x:v>18592341.16223642</x:v>
      </x:c>
      <x:c r="AM345" s="141" t="str">
        <x:f>IF(AG345&gt;1,"Inviavel","OK")</x:f>
        <x:v>OK</x:v>
      </x:c>
      <x:c r="AN345" s="141" t="n">
        <x:f>IF($A345=Premissas!$B$48,Premissas!$B$8,0)</x:f>
        <x:v>0</x:v>
      </x:c>
      <x:c r="AO345" s="141" t="n">
        <x:f>IF($A345&lt;=Premissas!$B$25,INDEX('Consorcio IQ'!$K$6:$K$485,$A345),0)</x:f>
        <x:v>0</x:v>
      </x:c>
      <x:c r="AP345" s="141" t="n">
        <x:f>IF(AND(TRUE,Premissas!$B$11="Imovel",Premissas!$B$47="Moradia",$A345&lt;MAX(Premissas!$B$48,Premissas!$B$49)),$D345,0)</x:f>
        <x:v>0</x:v>
      </x:c>
      <x:c r="AQ345" s="141" t="n">
        <x:f>IF(AND(TRUE,Premissas!$B$11="Imovel",Premissas!$B$47="Investimento",$A345&gt;=MAX(Premissas!$B$48,Premissas!$B$49)),$E345,0)</x:f>
        <x:v>3271.479486173447</x:v>
      </x:c>
      <x:c r="AR345" s="141" t="n">
        <x:f>AN345+AO345+AP345</x:f>
        <x:v>0</x:v>
      </x:c>
      <x:c r="AS345" s="141" t="n">
        <x:f>AQ345</x:f>
        <x:v>3271.479486173447</x:v>
      </x:c>
      <x:c r="AT345" s="141" t="n">
        <x:f>$C345+AS345-AR345</x:f>
        <x:v>10271.479486173448</x:v>
      </x:c>
      <x:c r="AU345" s="141" t="n">
        <x:f>AX344*(1+Premissas!$B$41)+AT345</x:f>
        <x:v>17406607.223745227</x:v>
      </x:c>
      <x:c r="AV345" s="141" t="n">
        <x:f>MAX(0,-AU345)</x:f>
        <x:v>0</x:v>
      </x:c>
      <x:c r="AW345" s="141" t="n">
        <x:f>AW344*(1+Premissas!$B$41)+AV345</x:f>
        <x:v>0</x:v>
      </x:c>
      <x:c r="AX345" s="141" t="n">
        <x:f>MAX(0,AU345)</x:f>
        <x:v>17406607.223745227</x:v>
      </x:c>
      <x:c r="AY345" s="141" t="n">
        <x:f>INDEX('Consorcio IQ'!$P$6:$P$485,$A345)</x:f>
        <x:v>0</x:v>
      </x:c>
      <x:c r="AZ345" s="141" t="n">
        <x:f>IF($A345&gt;=Premissas!$B$48,$F345,0)+IF($A345&lt;Premissas!$B$27,INDEX('Consorcio IQ'!$O$6:$O$485,$A345),0)</x:f>
        <x:v>1042388.2601230282</x:v>
      </x:c>
      <x:c r="BA345" s="141" t="n">
        <x:f>AX345+AZ345-AY345</x:f>
        <x:v>18448995.483868256</x:v>
      </x:c>
      <x:c r="BB345" s="141" t="n">
        <x:f>IF(AW345&gt;1,"Inviavel",BA345)</x:f>
        <x:v>18448995.483868256</x:v>
      </x:c>
      <x:c r="BC345" s="141" t="str">
        <x:f>IF(AW345&gt;1,"Inviavel","OK")</x:f>
        <x:v>OK</x:v>
      </x:c>
      <x:c r="BD345" s="141" t="n">
        <x:f>IF($A345='Consorcio Direto'!$B$29,'Consorcio Direto'!$B$44,0)</x:f>
        <x:v>0</x:v>
      </x:c>
      <x:c r="BE345" s="141" t="n">
        <x:f>IF($A345&lt;='Consorcio Direto'!$B$27,INDEX('Consorcio Direto'!$E$55:$E$534,$A345),0)</x:f>
        <x:v>0</x:v>
      </x:c>
      <x:c r="BF345" s="141" t="n">
        <x:f>IF(AND(TRUE,Premissas!$B$11="Imovel",Premissas!$B$47="Moradia",$A345&lt;MAX('Consorcio Direto'!$B$29,Premissas!$B$49)),$D345,0)</x:f>
        <x:v>0</x:v>
      </x:c>
      <x:c r="BG345" s="141" t="n">
        <x:f>IF(AND(TRUE,Premissas!$B$11="Imovel",Premissas!$B$47="Investimento",$A345&gt;=MAX('Consorcio Direto'!$B$29,Premissas!$B$49)),$E345,0)</x:f>
        <x:v>3271.479486173447</x:v>
      </x:c>
      <x:c r="BH345" s="141" t="n">
        <x:f>BD345+BE345+BF345</x:f>
        <x:v>0</x:v>
      </x:c>
      <x:c r="BI345" s="141" t="n">
        <x:f>BG345</x:f>
        <x:v>3271.479486173447</x:v>
      </x:c>
      <x:c r="BJ345" s="141" t="n">
        <x:f>$C345+BI345-BH345</x:f>
        <x:v>10271.479486173448</x:v>
      </x:c>
      <x:c r="BK345" s="141" t="n">
        <x:f>BN344*(1+Premissas!$B$41)+BJ345</x:f>
        <x:v>16631911.363371272</x:v>
      </x:c>
      <x:c r="BL345" s="141" t="n">
        <x:f>MAX(0,-BK345)</x:f>
        <x:v>0</x:v>
      </x:c>
      <x:c r="BM345" s="141" t="n">
        <x:f>BM344*(1+Premissas!$B$41)+BL345</x:f>
        <x:v>0</x:v>
      </x:c>
      <x:c r="BN345" s="141" t="n">
        <x:f>MAX(0,BK345)</x:f>
        <x:v>16631911.363371272</x:v>
      </x:c>
      <x:c r="BO345" s="141" t="n">
        <x:f>INDEX('Consorcio Direto'!$K$55:$K$534,$A345)</x:f>
        <x:v>0</x:v>
      </x:c>
      <x:c r="BP345" s="141" t="n">
        <x:f>IF($A345&lt;'Consorcio Direto'!$B$29,INDEX('Consorcio Direto'!$L$55:$L$534,$A345),$F345)</x:f>
        <x:v>1042388.2601230282</x:v>
      </x:c>
      <x:c r="BQ345" s="141" t="n">
        <x:f>BN345+BP345-BO345</x:f>
        <x:v>17674299.6234943</x:v>
      </x:c>
      <x:c r="BR345" s="141" t="n">
        <x:f>IF(BM345&gt;1,"Inviavel",BQ345)</x:f>
        <x:v>17674299.6234943</x:v>
      </x:c>
      <x:c r="BS345" s="141" t="str">
        <x:f>IF(BM345&gt;1,"Inviavel","OK")</x:f>
        <x:v>OK</x:v>
      </x:c>
      <x:c r="BT345" s="141" t="n">
        <x:f>IF(AND('Carta Contemplada'!$B$22="Sim",$A345='Carta Contemplada'!$B$23),'Carta Contemplada'!$B$37,0)</x:f>
        <x:v>0</x:v>
      </x:c>
      <x:c r="BU345" s="141" t="n">
        <x:f>IF('Carta Contemplada'!$B$22="Sim",INDEX('Carta Contemplada'!$C$55:$C$1013,$A345),0)</x:f>
        <x:v>0</x:v>
      </x:c>
      <x:c r="BV345" s="141" t="n">
        <x:f>IF(AND('Carta Contemplada'!$B$22="Sim",Premissas!$B$11="Imovel",Premissas!$B$47="Moradia",$A345&lt;MAX('Carta Contemplada'!$B$44,Premissas!$B$49)),$D345,0)</x:f>
        <x:v>0</x:v>
      </x:c>
      <x:c r="BW345" s="141" t="n">
        <x:f>IF(AND('Carta Contemplada'!$B$22="Sim",Premissas!$B$11="Imovel",Premissas!$B$47="Investimento",$A345&gt;=MAX('Carta Contemplada'!$B$44,Premissas!$B$49)),$E345,0)</x:f>
        <x:v>3271.479486173447</x:v>
      </x:c>
      <x:c r="BX345" s="141" t="n">
        <x:f>BT345+BU345+BV345</x:f>
        <x:v>0</x:v>
      </x:c>
      <x:c r="BY345" s="141" t="n">
        <x:f>BW345</x:f>
        <x:v>3271.479486173447</x:v>
      </x:c>
      <x:c r="BZ345" s="141" t="n">
        <x:f>$C345+BY345-BX345</x:f>
        <x:v>10271.479486173448</x:v>
      </x:c>
      <x:c r="CA345" s="141" t="n">
        <x:f>CD344*(1+Premissas!$B$41)+BZ345</x:f>
        <x:v>17911443.76352611</x:v>
      </x:c>
      <x:c r="CB345" s="141" t="n">
        <x:f>MAX(0,-CA345)</x:f>
        <x:v>0</x:v>
      </x:c>
      <x:c r="CC345" s="141" t="n">
        <x:f>CC344*(1+Premissas!$B$41)+CB345</x:f>
        <x:v>0</x:v>
      </x:c>
      <x:c r="CD345" s="141" t="n">
        <x:f>MAX(0,CA345)</x:f>
        <x:v>17911443.76352611</x:v>
      </x:c>
      <x:c r="CE345" s="141" t="n">
        <x:f>IF(AND('Carta Contemplada'!$B$22="Sim",$A345&gt;='Carta Contemplada'!$B$23),INDEX('Carta Contemplada'!$I$55:$I$1013,$A345),0)</x:f>
        <x:v>0</x:v>
      </x:c>
      <x:c r="CF345" s="141" t="n">
        <x:f>IF(AND('Carta Contemplada'!$B$22="Sim",$A345&gt;='Carta Contemplada'!$B$44),$F345,0)</x:f>
        <x:v>1042388.2601230282</x:v>
      </x:c>
      <x:c r="CG345" s="141" t="n">
        <x:f>CD345+CF345-CE345</x:f>
        <x:v>18953832.02364914</x:v>
      </x:c>
      <x:c r="CH345" s="141" t="n">
        <x:f>IF(CC345&gt;1,"Inviavel",CG345)</x:f>
        <x:v>18953832.02364914</x:v>
      </x:c>
      <x:c r="CI345" s="145" t="str">
        <x:f>IF(CC345&gt;1,"Inviavel","OK")</x:f>
        <x:v>OK</x:v>
      </x:c>
    </x:row>
    <x:row r="346">
      <x:c r="A346" s="142" t="n">
        <x:v>342</x:v>
      </x:c>
      <x:c r="B346" s="179" t="n">
        <x:f>EDATE(Premissas!$B$4,A346-1)</x:f>
        <x:v>56919</x:v>
      </x:c>
      <x:c r="C346" s="141" t="n">
        <x:f>IF(A346&lt;=Premissas!$B$39,Premissas!$B$42,0)</x:f>
        <x:v>7000</x:v>
      </x:c>
      <x:c r="D346" s="141" t="n">
        <x:f>Premissas!$B$54*(1+Premissas!$B$57)^INT((A346-1)/12)</x:f>
        <x:v>3578.1806880022077</x:v>
      </x:c>
      <x:c r="E346" s="141" t="n">
        <x:f>Premissas!$B$64*(1+Premissas!$B$57)^INT((A346-1)/12)</x:f>
        <x:v>3271.479486173447</x:v>
      </x:c>
      <x:c r="F346" s="141" t="n">
        <x:f>MAX(0,Premissas!$B$6*(1+Premissas!$B$66)^((A346-1)/12))</x:f>
        <x:v>1047462.1376878972</x:v>
      </x:c>
      <x:c r="G346" s="141" t="n">
        <x:f>G345*(1+Premissas!$B$41)+C346</x:f>
        <x:v>20162418.12618462</x:v>
      </x:c>
      <x:c r="H346" s="141" t="n">
        <x:f>IF($A346=Premissas!$B$48,Premissas!$B$8,0)</x:f>
        <x:v>0</x:v>
      </x:c>
      <x:c r="I346" s="141" t="n">
        <x:f>IF(AND($A346&gt;=Premissas!$B$48,$A346-Premissas!$B$48+1&lt;=Premissas!$B$13),INDEX(Financiamento!$J$6:$J$485,$A346-Premissas!$B$48+1),0)</x:f>
        <x:v>816.5198635550717</x:v>
      </x:c>
      <x:c r="J346" s="141" t="n">
        <x:f>IF(AND(TRUE,Premissas!$B$11="Imovel",Premissas!$B$47="Moradia",$A346&lt;MAX(Premissas!$B$48,Premissas!$B$49)),$D346,0)</x:f>
        <x:v>0</x:v>
      </x:c>
      <x:c r="K346" s="141" t="n">
        <x:f>IF(AND(TRUE,Premissas!$B$11="Imovel",Premissas!$B$47="Investimento",$A346&gt;=MAX(Premissas!$B$48,Premissas!$B$49)),$E346,0)</x:f>
        <x:v>3271.479486173447</x:v>
      </x:c>
      <x:c r="L346" s="141" t="n">
        <x:f>H346+I346+J346</x:f>
        <x:v>816.5198635550717</x:v>
      </x:c>
      <x:c r="M346" s="141" t="n">
        <x:f>K346</x:f>
        <x:v>3271.479486173447</x:v>
      </x:c>
      <x:c r="N346" s="141" t="n">
        <x:f>$C346+M346-L346</x:f>
        <x:v>9454.959622618377</x:v>
      </x:c>
      <x:c r="O346" s="141" t="n">
        <x:f>R345*(1+Premissas!$B$41)+N346</x:f>
        <x:v>17462637.278360415</x:v>
      </x:c>
      <x:c r="P346" s="141" t="n">
        <x:f>MAX(0,-O346)</x:f>
        <x:v>0</x:v>
      </x:c>
      <x:c r="Q346" s="141" t="n">
        <x:f>Q345*(1+Premissas!$B$41)+P346</x:f>
        <x:v>0</x:v>
      </x:c>
      <x:c r="R346" s="141" t="n">
        <x:f>MAX(0,O346)</x:f>
        <x:v>17462637.278360415</x:v>
      </x:c>
      <x:c r="S346" s="141" t="n">
        <x:f>IF(AND($A346&gt;=Premissas!$B$48,$A346-Premissas!$B$48+1&lt;=Premissas!$B$13),INDEX(Financiamento!$M$6:$M$485,$A346-Premissas!$B$48+1),0)</x:f>
        <x:v>29714.285714285754</x:v>
      </x:c>
      <x:c r="T346" s="141" t="n">
        <x:f>IF($A346&gt;=Premissas!$B$48,$F346,0)</x:f>
        <x:v>1047462.1376878972</x:v>
      </x:c>
      <x:c r="U346" s="141" t="n">
        <x:f>R346+T346-S346</x:f>
        <x:v>18480385.130334023</x:v>
      </x:c>
      <x:c r="V346" s="141" t="n">
        <x:f>IF(Q346&gt;1,"Inviavel",U346)</x:f>
        <x:v>18480385.130334023</x:v>
      </x:c>
      <x:c r="W346" s="141" t="str">
        <x:f>IF(Q346&gt;1,"Inviavel","OK")</x:f>
        <x:v>OK</x:v>
      </x:c>
      <x:c r="X346" s="141" t="n">
        <x:f>IF($A346=Premissas!$B$48,Premissas!$B$8,0)</x:f>
        <x:v>0</x:v>
      </x:c>
      <x:c r="Y346" s="141" t="n">
        <x:f>IF(AND($A346&gt;=Premissas!$B$48,$A346-Premissas!$B$48+1&lt;=Premissas!$B$13),INDEX(Amortizacao!$K$6:$K$485,$A346-Premissas!$B$48+1),0)</x:f>
        <x:v>0</x:v>
      </x:c>
      <x:c r="Z346" s="141" t="n">
        <x:f>IF(AND(TRUE,Premissas!$B$11="Imovel",Premissas!$B$47="Moradia",$A346&lt;MAX(Premissas!$B$48,Premissas!$B$49)),$D346,0)</x:f>
        <x:v>0</x:v>
      </x:c>
      <x:c r="AA346" s="141" t="n">
        <x:f>IF(AND(TRUE,Premissas!$B$11="Imovel",Premissas!$B$47="Investimento",$A346&gt;=MAX(Premissas!$B$48,Premissas!$B$49)),$E346,0)</x:f>
        <x:v>3271.479486173447</x:v>
      </x:c>
      <x:c r="AB346" s="141" t="n">
        <x:f>X346+Y346+Z346</x:f>
        <x:v>0</x:v>
      </x:c>
      <x:c r="AC346" s="141" t="n">
        <x:f>AA346</x:f>
        <x:v>3271.479486173447</x:v>
      </x:c>
      <x:c r="AD346" s="141" t="n">
        <x:f>$C346+AC346-AB346</x:f>
        <x:v>10271.479486173448</x:v>
      </x:c>
      <x:c r="AE346" s="141" t="n">
        <x:f>AH345*(1+Premissas!$B$41)+AD346</x:f>
        <x:v>17726752.250699405</x:v>
      </x:c>
      <x:c r="AF346" s="141" t="n">
        <x:f>MAX(0,-AE346)</x:f>
        <x:v>0</x:v>
      </x:c>
      <x:c r="AG346" s="141" t="n">
        <x:f>AG345*(1+Premissas!$B$41)+AF346</x:f>
        <x:v>0</x:v>
      </x:c>
      <x:c r="AH346" s="141" t="n">
        <x:f>MAX(0,AE346)</x:f>
        <x:v>17726752.250699405</x:v>
      </x:c>
      <x:c r="AI346" s="141" t="n">
        <x:f>IF(AND($A346&gt;=Premissas!$B$48,$A346-Premissas!$B$48+1&lt;=Premissas!$B$13),INDEX(Amortizacao!$L$6:$L$485,$A346-Premissas!$B$48+1),0)</x:f>
        <x:v>0</x:v>
      </x:c>
      <x:c r="AJ346" s="141" t="n">
        <x:f>IF($A346&gt;=Premissas!$B$48,$F346,0)</x:f>
        <x:v>1047462.1376878972</x:v>
      </x:c>
      <x:c r="AK346" s="141" t="n">
        <x:f>AH346+AJ346-AI346</x:f>
        <x:v>18774214.3883873</x:v>
      </x:c>
      <x:c r="AL346" s="141" t="n">
        <x:f>IF(AG346&gt;1,"Inviavel",AK346)</x:f>
        <x:v>18774214.3883873</x:v>
      </x:c>
      <x:c r="AM346" s="141" t="str">
        <x:f>IF(AG346&gt;1,"Inviavel","OK")</x:f>
        <x:v>OK</x:v>
      </x:c>
      <x:c r="AN346" s="141" t="n">
        <x:f>IF($A346=Premissas!$B$48,Premissas!$B$8,0)</x:f>
        <x:v>0</x:v>
      </x:c>
      <x:c r="AO346" s="141" t="n">
        <x:f>IF($A346&lt;=Premissas!$B$25,INDEX('Consorcio IQ'!$K$6:$K$485,$A346),0)</x:f>
        <x:v>0</x:v>
      </x:c>
      <x:c r="AP346" s="141" t="n">
        <x:f>IF(AND(TRUE,Premissas!$B$11="Imovel",Premissas!$B$47="Moradia",$A346&lt;MAX(Premissas!$B$48,Premissas!$B$49)),$D346,0)</x:f>
        <x:v>0</x:v>
      </x:c>
      <x:c r="AQ346" s="141" t="n">
        <x:f>IF(AND(TRUE,Premissas!$B$11="Imovel",Premissas!$B$47="Investimento",$A346&gt;=MAX(Premissas!$B$48,Premissas!$B$49)),$E346,0)</x:f>
        <x:v>3271.479486173447</x:v>
      </x:c>
      <x:c r="AR346" s="141" t="n">
        <x:f>AN346+AO346+AP346</x:f>
        <x:v>0</x:v>
      </x:c>
      <x:c r="AS346" s="141" t="n">
        <x:f>AQ346</x:f>
        <x:v>3271.479486173447</x:v>
      </x:c>
      <x:c r="AT346" s="141" t="n">
        <x:f>$C346+AS346-AR346</x:f>
        <x:v>10271.479486173448</x:v>
      </x:c>
      <x:c r="AU346" s="141" t="n">
        <x:f>AX345*(1+Premissas!$B$41)+AT346</x:f>
        <x:v>17582046.394871138</x:v>
      </x:c>
      <x:c r="AV346" s="141" t="n">
        <x:f>MAX(0,-AU346)</x:f>
        <x:v>0</x:v>
      </x:c>
      <x:c r="AW346" s="141" t="n">
        <x:f>AW345*(1+Premissas!$B$41)+AV346</x:f>
        <x:v>0</x:v>
      </x:c>
      <x:c r="AX346" s="141" t="n">
        <x:f>MAX(0,AU346)</x:f>
        <x:v>17582046.394871138</x:v>
      </x:c>
      <x:c r="AY346" s="141" t="n">
        <x:f>INDEX('Consorcio IQ'!$P$6:$P$485,$A346)</x:f>
        <x:v>0</x:v>
      </x:c>
      <x:c r="AZ346" s="141" t="n">
        <x:f>IF($A346&gt;=Premissas!$B$48,$F346,0)+IF($A346&lt;Premissas!$B$27,INDEX('Consorcio IQ'!$O$6:$O$485,$A346),0)</x:f>
        <x:v>1047462.1376878972</x:v>
      </x:c>
      <x:c r="BA346" s="141" t="n">
        <x:f>AX346+AZ346-AY346</x:f>
        <x:v>18629508.532559033</x:v>
      </x:c>
      <x:c r="BB346" s="141" t="n">
        <x:f>IF(AW346&gt;1,"Inviavel",BA346)</x:f>
        <x:v>18629508.532559033</x:v>
      </x:c>
      <x:c r="BC346" s="141" t="str">
        <x:f>IF(AW346&gt;1,"Inviavel","OK")</x:f>
        <x:v>OK</x:v>
      </x:c>
      <x:c r="BD346" s="141" t="n">
        <x:f>IF($A346='Consorcio Direto'!$B$29,'Consorcio Direto'!$B$44,0)</x:f>
        <x:v>0</x:v>
      </x:c>
      <x:c r="BE346" s="141" t="n">
        <x:f>IF($A346&lt;='Consorcio Direto'!$B$27,INDEX('Consorcio Direto'!$E$55:$E$534,$A346),0)</x:f>
        <x:v>0</x:v>
      </x:c>
      <x:c r="BF346" s="141" t="n">
        <x:f>IF(AND(TRUE,Premissas!$B$11="Imovel",Premissas!$B$47="Moradia",$A346&lt;MAX('Consorcio Direto'!$B$29,Premissas!$B$49)),$D346,0)</x:f>
        <x:v>0</x:v>
      </x:c>
      <x:c r="BG346" s="141" t="n">
        <x:f>IF(AND(TRUE,Premissas!$B$11="Imovel",Premissas!$B$47="Investimento",$A346&gt;=MAX('Consorcio Direto'!$B$29,Premissas!$B$49)),$E346,0)</x:f>
        <x:v>3271.479486173447</x:v>
      </x:c>
      <x:c r="BH346" s="141" t="n">
        <x:f>BD346+BE346+BF346</x:f>
        <x:v>0</x:v>
      </x:c>
      <x:c r="BI346" s="141" t="n">
        <x:f>BG346</x:f>
        <x:v>3271.479486173447</x:v>
      </x:c>
      <x:c r="BJ346" s="141" t="n">
        <x:f>$C346+BI346-BH346</x:f>
        <x:v>10271.479486173448</x:v>
      </x:c>
      <x:c r="BK346" s="141" t="n">
        <x:f>BN345*(1+Premissas!$B$41)+BJ346</x:f>
        <x:v>16799999.605890814</x:v>
      </x:c>
      <x:c r="BL346" s="141" t="n">
        <x:f>MAX(0,-BK346)</x:f>
        <x:v>0</x:v>
      </x:c>
      <x:c r="BM346" s="141" t="n">
        <x:f>BM345*(1+Premissas!$B$41)+BL346</x:f>
        <x:v>0</x:v>
      </x:c>
      <x:c r="BN346" s="141" t="n">
        <x:f>MAX(0,BK346)</x:f>
        <x:v>16799999.605890814</x:v>
      </x:c>
      <x:c r="BO346" s="141" t="n">
        <x:f>INDEX('Consorcio Direto'!$K$55:$K$534,$A346)</x:f>
        <x:v>0</x:v>
      </x:c>
      <x:c r="BP346" s="141" t="n">
        <x:f>IF($A346&lt;'Consorcio Direto'!$B$29,INDEX('Consorcio Direto'!$L$55:$L$534,$A346),$F346)</x:f>
        <x:v>1047462.1376878972</x:v>
      </x:c>
      <x:c r="BQ346" s="141" t="n">
        <x:f>BN346+BP346-BO346</x:f>
        <x:v>17847461.74357871</x:v>
      </x:c>
      <x:c r="BR346" s="141" t="n">
        <x:f>IF(BM346&gt;1,"Inviavel",BQ346)</x:f>
        <x:v>17847461.74357871</x:v>
      </x:c>
      <x:c r="BS346" s="141" t="str">
        <x:f>IF(BM346&gt;1,"Inviavel","OK")</x:f>
        <x:v>OK</x:v>
      </x:c>
      <x:c r="BT346" s="141" t="n">
        <x:f>IF(AND('Carta Contemplada'!$B$22="Sim",$A346='Carta Contemplada'!$B$23),'Carta Contemplada'!$B$37,0)</x:f>
        <x:v>0</x:v>
      </x:c>
      <x:c r="BU346" s="141" t="n">
        <x:f>IF('Carta Contemplada'!$B$22="Sim",INDEX('Carta Contemplada'!$C$55:$C$1013,$A346),0)</x:f>
        <x:v>0</x:v>
      </x:c>
      <x:c r="BV346" s="141" t="n">
        <x:f>IF(AND('Carta Contemplada'!$B$22="Sim",Premissas!$B$11="Imovel",Premissas!$B$47="Moradia",$A346&lt;MAX('Carta Contemplada'!$B$44,Premissas!$B$49)),$D346,0)</x:f>
        <x:v>0</x:v>
      </x:c>
      <x:c r="BW346" s="141" t="n">
        <x:f>IF(AND('Carta Contemplada'!$B$22="Sim",Premissas!$B$11="Imovel",Premissas!$B$47="Investimento",$A346&gt;=MAX('Carta Contemplada'!$B$44,Premissas!$B$49)),$E346,0)</x:f>
        <x:v>3271.479486173447</x:v>
      </x:c>
      <x:c r="BX346" s="141" t="n">
        <x:f>BT346+BU346+BV346</x:f>
        <x:v>0</x:v>
      </x:c>
      <x:c r="BY346" s="141" t="n">
        <x:f>BW346</x:f>
        <x:v>3271.479486173447</x:v>
      </x:c>
      <x:c r="BZ346" s="141" t="n">
        <x:f>$C346+BY346-BX346</x:f>
        <x:v>10271.479486173448</x:v>
      </x:c>
      <x:c r="CA346" s="141" t="n">
        <x:f>CD345*(1+Premissas!$B$41)+BZ346</x:f>
        <x:v>18091673.224043816</x:v>
      </x:c>
      <x:c r="CB346" s="141" t="n">
        <x:f>MAX(0,-CA346)</x:f>
        <x:v>0</x:v>
      </x:c>
      <x:c r="CC346" s="141" t="n">
        <x:f>CC345*(1+Premissas!$B$41)+CB346</x:f>
        <x:v>0</x:v>
      </x:c>
      <x:c r="CD346" s="141" t="n">
        <x:f>MAX(0,CA346)</x:f>
        <x:v>18091673.224043816</x:v>
      </x:c>
      <x:c r="CE346" s="141" t="n">
        <x:f>IF(AND('Carta Contemplada'!$B$22="Sim",$A346&gt;='Carta Contemplada'!$B$23),INDEX('Carta Contemplada'!$I$55:$I$1013,$A346),0)</x:f>
        <x:v>0</x:v>
      </x:c>
      <x:c r="CF346" s="141" t="n">
        <x:f>IF(AND('Carta Contemplada'!$B$22="Sim",$A346&gt;='Carta Contemplada'!$B$44),$F346,0)</x:f>
        <x:v>1047462.1376878972</x:v>
      </x:c>
      <x:c r="CG346" s="141" t="n">
        <x:f>CD346+CF346-CE346</x:f>
        <x:v>19139135.36173171</x:v>
      </x:c>
      <x:c r="CH346" s="141" t="n">
        <x:f>IF(CC346&gt;1,"Inviavel",CG346)</x:f>
        <x:v>19139135.36173171</x:v>
      </x:c>
      <x:c r="CI346" s="145" t="str">
        <x:f>IF(CC346&gt;1,"Inviavel","OK")</x:f>
        <x:v>OK</x:v>
      </x:c>
    </x:row>
    <x:row r="347">
      <x:c r="A347" s="142" t="n">
        <x:v>343</x:v>
      </x:c>
      <x:c r="B347" s="179" t="n">
        <x:f>EDATE(Premissas!$B$4,A347-1)</x:f>
        <x:v>56949</x:v>
      </x:c>
      <x:c r="C347" s="141" t="n">
        <x:f>IF(A347&lt;=Premissas!$B$39,Premissas!$B$42,0)</x:f>
        <x:v>7000</x:v>
      </x:c>
      <x:c r="D347" s="141" t="n">
        <x:f>Premissas!$B$54*(1+Premissas!$B$57)^INT((A347-1)/12)</x:f>
        <x:v>3578.1806880022077</x:v>
      </x:c>
      <x:c r="E347" s="141" t="n">
        <x:f>Premissas!$B$64*(1+Premissas!$B$57)^INT((A347-1)/12)</x:f>
        <x:v>3271.479486173447</x:v>
      </x:c>
      <x:c r="F347" s="141" t="n">
        <x:f>MAX(0,Premissas!$B$6*(1+Premissas!$B$66)^((A347-1)/12))</x:f>
        <x:v>1052560.7126083751</x:v>
      </x:c>
      <x:c r="G347" s="141" t="n">
        <x:f>G346*(1+Premissas!$B$41)+C347</x:f>
        <x:v>20360735.13684447</x:v>
      </x:c>
      <x:c r="H347" s="141" t="n">
        <x:f>IF($A347=Premissas!$B$48,Premissas!$B$8,0)</x:f>
        <x:v>0</x:v>
      </x:c>
      <x:c r="I347" s="141" t="n">
        <x:f>IF(AND($A347&gt;=Premissas!$B$48,$A347-Premissas!$B$48+1&lt;=Premissas!$B$13),INDEX(Financiamento!$J$6:$J$485,$A347-Premissas!$B$48+1),0)</x:f>
        <x:v>812.905085294278</x:v>
      </x:c>
      <x:c r="J347" s="141" t="n">
        <x:f>IF(AND(TRUE,Premissas!$B$11="Imovel",Premissas!$B$47="Moradia",$A347&lt;MAX(Premissas!$B$48,Premissas!$B$49)),$D347,0)</x:f>
        <x:v>0</x:v>
      </x:c>
      <x:c r="K347" s="141" t="n">
        <x:f>IF(AND(TRUE,Premissas!$B$11="Imovel",Premissas!$B$47="Investimento",$A347&gt;=MAX(Premissas!$B$48,Premissas!$B$49)),$E347,0)</x:f>
        <x:v>3271.479486173447</x:v>
      </x:c>
      <x:c r="L347" s="141" t="n">
        <x:f>H347+I347+J347</x:f>
        <x:v>812.905085294278</x:v>
      </x:c>
      <x:c r="M347" s="141" t="n">
        <x:f>K347</x:f>
        <x:v>3271.479486173447</x:v>
      </x:c>
      <x:c r="N347" s="141" t="n">
        <x:f>$C347+M347-L347</x:f>
        <x:v>9458.57440087917</x:v>
      </x:c>
      <x:c r="O347" s="141" t="n">
        <x:f>R346*(1+Premissas!$B$41)+N347</x:f>
        <x:v>17637795.201987386</x:v>
      </x:c>
      <x:c r="P347" s="141" t="n">
        <x:f>MAX(0,-O347)</x:f>
        <x:v>0</x:v>
      </x:c>
      <x:c r="Q347" s="141" t="n">
        <x:f>Q346*(1+Premissas!$B$41)+P347</x:f>
        <x:v>0</x:v>
      </x:c>
      <x:c r="R347" s="141" t="n">
        <x:f>MAX(0,O347)</x:f>
        <x:v>17637795.201987386</x:v>
      </x:c>
      <x:c r="S347" s="141" t="n">
        <x:f>IF(AND($A347&gt;=Premissas!$B$48,$A347-Premissas!$B$48+1&lt;=Premissas!$B$13),INDEX(Financiamento!$M$6:$M$485,$A347-Premissas!$B$48+1),0)</x:f>
        <x:v>29333.333333333372</x:v>
      </x:c>
      <x:c r="T347" s="141" t="n">
        <x:f>IF($A347&gt;=Premissas!$B$48,$F347,0)</x:f>
        <x:v>1052560.7126083751</x:v>
      </x:c>
      <x:c r="U347" s="141" t="n">
        <x:f>R347+T347-S347</x:f>
        <x:v>18661022.58126243</x:v>
      </x:c>
      <x:c r="V347" s="141" t="n">
        <x:f>IF(Q347&gt;1,"Inviavel",U347)</x:f>
        <x:v>18661022.58126243</x:v>
      </x:c>
      <x:c r="W347" s="141" t="str">
        <x:f>IF(Q347&gt;1,"Inviavel","OK")</x:f>
        <x:v>OK</x:v>
      </x:c>
      <x:c r="X347" s="141" t="n">
        <x:f>IF($A347=Premissas!$B$48,Premissas!$B$8,0)</x:f>
        <x:v>0</x:v>
      </x:c>
      <x:c r="Y347" s="141" t="n">
        <x:f>IF(AND($A347&gt;=Premissas!$B$48,$A347-Premissas!$B$48+1&lt;=Premissas!$B$13),INDEX(Amortizacao!$K$6:$K$485,$A347-Premissas!$B$48+1),0)</x:f>
        <x:v>0</x:v>
      </x:c>
      <x:c r="Z347" s="141" t="n">
        <x:f>IF(AND(TRUE,Premissas!$B$11="Imovel",Premissas!$B$47="Moradia",$A347&lt;MAX(Premissas!$B$48,Premissas!$B$49)),$D347,0)</x:f>
        <x:v>0</x:v>
      </x:c>
      <x:c r="AA347" s="141" t="n">
        <x:f>IF(AND(TRUE,Premissas!$B$11="Imovel",Premissas!$B$47="Investimento",$A347&gt;=MAX(Premissas!$B$48,Premissas!$B$49)),$E347,0)</x:f>
        <x:v>3271.479486173447</x:v>
      </x:c>
      <x:c r="AB347" s="141" t="n">
        <x:f>X347+Y347+Z347</x:f>
        <x:v>0</x:v>
      </x:c>
      <x:c r="AC347" s="141" t="n">
        <x:f>AA347</x:f>
        <x:v>3271.479486173447</x:v>
      </x:c>
      <x:c r="AD347" s="141" t="n">
        <x:f>$C347+AC347-AB347</x:f>
        <x:v>10271.479486173448</x:v>
      </x:c>
      <x:c r="AE347" s="141" t="n">
        <x:f>AH346*(1+Premissas!$B$41)+AD347</x:f>
        <x:v>17905229.21169512</x:v>
      </x:c>
      <x:c r="AF347" s="141" t="n">
        <x:f>MAX(0,-AE347)</x:f>
        <x:v>0</x:v>
      </x:c>
      <x:c r="AG347" s="141" t="n">
        <x:f>AG346*(1+Premissas!$B$41)+AF347</x:f>
        <x:v>0</x:v>
      </x:c>
      <x:c r="AH347" s="141" t="n">
        <x:f>MAX(0,AE347)</x:f>
        <x:v>17905229.21169512</x:v>
      </x:c>
      <x:c r="AI347" s="141" t="n">
        <x:f>IF(AND($A347&gt;=Premissas!$B$48,$A347-Premissas!$B$48+1&lt;=Premissas!$B$13),INDEX(Amortizacao!$L$6:$L$485,$A347-Premissas!$B$48+1),0)</x:f>
        <x:v>0</x:v>
      </x:c>
      <x:c r="AJ347" s="141" t="n">
        <x:f>IF($A347&gt;=Premissas!$B$48,$F347,0)</x:f>
        <x:v>1052560.7126083751</x:v>
      </x:c>
      <x:c r="AK347" s="141" t="n">
        <x:f>AH347+AJ347-AI347</x:f>
        <x:v>18957789.924303494</x:v>
      </x:c>
      <x:c r="AL347" s="141" t="n">
        <x:f>IF(AG347&gt;1,"Inviavel",AK347)</x:f>
        <x:v>18957789.924303494</x:v>
      </x:c>
      <x:c r="AM347" s="141" t="str">
        <x:f>IF(AG347&gt;1,"Inviavel","OK")</x:f>
        <x:v>OK</x:v>
      </x:c>
      <x:c r="AN347" s="141" t="n">
        <x:f>IF($A347=Premissas!$B$48,Premissas!$B$8,0)</x:f>
        <x:v>0</x:v>
      </x:c>
      <x:c r="AO347" s="141" t="n">
        <x:f>IF($A347&lt;=Premissas!$B$25,INDEX('Consorcio IQ'!$K$6:$K$485,$A347),0)</x:f>
        <x:v>0</x:v>
      </x:c>
      <x:c r="AP347" s="141" t="n">
        <x:f>IF(AND(TRUE,Premissas!$B$11="Imovel",Premissas!$B$47="Moradia",$A347&lt;MAX(Premissas!$B$48,Premissas!$B$49)),$D347,0)</x:f>
        <x:v>0</x:v>
      </x:c>
      <x:c r="AQ347" s="141" t="n">
        <x:f>IF(AND(TRUE,Premissas!$B$11="Imovel",Premissas!$B$47="Investimento",$A347&gt;=MAX(Premissas!$B$48,Premissas!$B$49)),$E347,0)</x:f>
        <x:v>3271.479486173447</x:v>
      </x:c>
      <x:c r="AR347" s="141" t="n">
        <x:f>AN347+AO347+AP347</x:f>
        <x:v>0</x:v>
      </x:c>
      <x:c r="AS347" s="141" t="n">
        <x:f>AQ347</x:f>
        <x:v>3271.479486173447</x:v>
      </x:c>
      <x:c r="AT347" s="141" t="n">
        <x:f>$C347+AS347-AR347</x:f>
        <x:v>10271.479486173448</x:v>
      </x:c>
      <x:c r="AU347" s="141" t="n">
        <x:f>AX346*(1+Premissas!$B$41)+AT347</x:f>
        <x:v>17759150.27196448</x:v>
      </x:c>
      <x:c r="AV347" s="141" t="n">
        <x:f>MAX(0,-AU347)</x:f>
        <x:v>0</x:v>
      </x:c>
      <x:c r="AW347" s="141" t="n">
        <x:f>AW346*(1+Premissas!$B$41)+AV347</x:f>
        <x:v>0</x:v>
      </x:c>
      <x:c r="AX347" s="141" t="n">
        <x:f>MAX(0,AU347)</x:f>
        <x:v>17759150.27196448</x:v>
      </x:c>
      <x:c r="AY347" s="141" t="n">
        <x:f>INDEX('Consorcio IQ'!$P$6:$P$485,$A347)</x:f>
        <x:v>0</x:v>
      </x:c>
      <x:c r="AZ347" s="141" t="n">
        <x:f>IF($A347&gt;=Premissas!$B$48,$F347,0)+IF($A347&lt;Premissas!$B$27,INDEX('Consorcio IQ'!$O$6:$O$485,$A347),0)</x:f>
        <x:v>1052560.7126083751</x:v>
      </x:c>
      <x:c r="BA347" s="141" t="n">
        <x:f>AX347+AZ347-AY347</x:f>
        <x:v>18811710.984572854</x:v>
      </x:c>
      <x:c r="BB347" s="141" t="n">
        <x:f>IF(AW347&gt;1,"Inviavel",BA347)</x:f>
        <x:v>18811710.984572854</x:v>
      </x:c>
      <x:c r="BC347" s="141" t="str">
        <x:f>IF(AW347&gt;1,"Inviavel","OK")</x:f>
        <x:v>OK</x:v>
      </x:c>
      <x:c r="BD347" s="141" t="n">
        <x:f>IF($A347='Consorcio Direto'!$B$29,'Consorcio Direto'!$B$44,0)</x:f>
        <x:v>0</x:v>
      </x:c>
      <x:c r="BE347" s="141" t="n">
        <x:f>IF($A347&lt;='Consorcio Direto'!$B$27,INDEX('Consorcio Direto'!$E$55:$E$534,$A347),0)</x:f>
        <x:v>0</x:v>
      </x:c>
      <x:c r="BF347" s="141" t="n">
        <x:f>IF(AND(TRUE,Premissas!$B$11="Imovel",Premissas!$B$47="Moradia",$A347&lt;MAX('Consorcio Direto'!$B$29,Premissas!$B$49)),$D347,0)</x:f>
        <x:v>0</x:v>
      </x:c>
      <x:c r="BG347" s="141" t="n">
        <x:f>IF(AND(TRUE,Premissas!$B$11="Imovel",Premissas!$B$47="Investimento",$A347&gt;=MAX('Consorcio Direto'!$B$29,Premissas!$B$49)),$E347,0)</x:f>
        <x:v>3271.479486173447</x:v>
      </x:c>
      <x:c r="BH347" s="141" t="n">
        <x:f>BD347+BE347+BF347</x:f>
        <x:v>0</x:v>
      </x:c>
      <x:c r="BI347" s="141" t="n">
        <x:f>BG347</x:f>
        <x:v>3271.479486173447</x:v>
      </x:c>
      <x:c r="BJ347" s="141" t="n">
        <x:f>$C347+BI347-BH347</x:f>
        <x:v>10271.479486173448</x:v>
      </x:c>
      <x:c r="BK347" s="141" t="n">
        <x:f>BN346*(1+Premissas!$B$41)+BJ347</x:f>
        <x:v>16969682.802938364</x:v>
      </x:c>
      <x:c r="BL347" s="141" t="n">
        <x:f>MAX(0,-BK347)</x:f>
        <x:v>0</x:v>
      </x:c>
      <x:c r="BM347" s="141" t="n">
        <x:f>BM346*(1+Premissas!$B$41)+BL347</x:f>
        <x:v>0</x:v>
      </x:c>
      <x:c r="BN347" s="141" t="n">
        <x:f>MAX(0,BK347)</x:f>
        <x:v>16969682.802938364</x:v>
      </x:c>
      <x:c r="BO347" s="141" t="n">
        <x:f>INDEX('Consorcio Direto'!$K$55:$K$534,$A347)</x:f>
        <x:v>0</x:v>
      </x:c>
      <x:c r="BP347" s="141" t="n">
        <x:f>IF($A347&lt;'Consorcio Direto'!$B$29,INDEX('Consorcio Direto'!$L$55:$L$534,$A347),$F347)</x:f>
        <x:v>1052560.7126083751</x:v>
      </x:c>
      <x:c r="BQ347" s="141" t="n">
        <x:f>BN347+BP347-BO347</x:f>
        <x:v>18022243.51554674</x:v>
      </x:c>
      <x:c r="BR347" s="141" t="n">
        <x:f>IF(BM347&gt;1,"Inviavel",BQ347)</x:f>
        <x:v>18022243.51554674</x:v>
      </x:c>
      <x:c r="BS347" s="141" t="str">
        <x:f>IF(BM347&gt;1,"Inviavel","OK")</x:f>
        <x:v>OK</x:v>
      </x:c>
      <x:c r="BT347" s="141" t="n">
        <x:f>IF(AND('Carta Contemplada'!$B$22="Sim",$A347='Carta Contemplada'!$B$23),'Carta Contemplada'!$B$37,0)</x:f>
        <x:v>0</x:v>
      </x:c>
      <x:c r="BU347" s="141" t="n">
        <x:f>IF('Carta Contemplada'!$B$22="Sim",INDEX('Carta Contemplada'!$C$55:$C$1013,$A347),0)</x:f>
        <x:v>0</x:v>
      </x:c>
      <x:c r="BV347" s="141" t="n">
        <x:f>IF(AND('Carta Contemplada'!$B$22="Sim",Premissas!$B$11="Imovel",Premissas!$B$47="Moradia",$A347&lt;MAX('Carta Contemplada'!$B$44,Premissas!$B$49)),$D347,0)</x:f>
        <x:v>0</x:v>
      </x:c>
      <x:c r="BW347" s="141" t="n">
        <x:f>IF(AND('Carta Contemplada'!$B$22="Sim",Premissas!$B$11="Imovel",Premissas!$B$47="Investimento",$A347&gt;=MAX('Carta Contemplada'!$B$44,Premissas!$B$49)),$E347,0)</x:f>
        <x:v>3271.479486173447</x:v>
      </x:c>
      <x:c r="BX347" s="141" t="n">
        <x:f>BT347+BU347+BV347</x:f>
        <x:v>0</x:v>
      </x:c>
      <x:c r="BY347" s="141" t="n">
        <x:f>BW347</x:f>
        <x:v>3271.479486173447</x:v>
      </x:c>
      <x:c r="BZ347" s="141" t="n">
        <x:f>$C347+BY347-BX347</x:f>
        <x:v>10271.479486173448</x:v>
      </x:c>
      <x:c r="CA347" s="141" t="n">
        <x:f>CD346*(1+Premissas!$B$41)+BZ347</x:f>
        <x:v>18273612.84459308</x:v>
      </x:c>
      <x:c r="CB347" s="141" t="n">
        <x:f>MAX(0,-CA347)</x:f>
        <x:v>0</x:v>
      </x:c>
      <x:c r="CC347" s="141" t="n">
        <x:f>CC346*(1+Premissas!$B$41)+CB347</x:f>
        <x:v>0</x:v>
      </x:c>
      <x:c r="CD347" s="141" t="n">
        <x:f>MAX(0,CA347)</x:f>
        <x:v>18273612.84459308</x:v>
      </x:c>
      <x:c r="CE347" s="141" t="n">
        <x:f>IF(AND('Carta Contemplada'!$B$22="Sim",$A347&gt;='Carta Contemplada'!$B$23),INDEX('Carta Contemplada'!$I$55:$I$1013,$A347),0)</x:f>
        <x:v>0</x:v>
      </x:c>
      <x:c r="CF347" s="141" t="n">
        <x:f>IF(AND('Carta Contemplada'!$B$22="Sim",$A347&gt;='Carta Contemplada'!$B$44),$F347,0)</x:f>
        <x:v>1052560.7126083751</x:v>
      </x:c>
      <x:c r="CG347" s="141" t="n">
        <x:f>CD347+CF347-CE347</x:f>
        <x:v>19326173.557201456</x:v>
      </x:c>
      <x:c r="CH347" s="141" t="n">
        <x:f>IF(CC347&gt;1,"Inviavel",CG347)</x:f>
        <x:v>19326173.557201456</x:v>
      </x:c>
      <x:c r="CI347" s="145" t="str">
        <x:f>IF(CC347&gt;1,"Inviavel","OK")</x:f>
        <x:v>OK</x:v>
      </x:c>
    </x:row>
    <x:row r="348">
      <x:c r="A348" s="142" t="n">
        <x:v>344</x:v>
      </x:c>
      <x:c r="B348" s="179" t="n">
        <x:f>EDATE(Premissas!$B$4,A348-1)</x:f>
        <x:v>56980</x:v>
      </x:c>
      <x:c r="C348" s="141" t="n">
        <x:f>IF(A348&lt;=Premissas!$B$39,Premissas!$B$42,0)</x:f>
        <x:v>7000</x:v>
      </x:c>
      <x:c r="D348" s="141" t="n">
        <x:f>Premissas!$B$54*(1+Premissas!$B$57)^INT((A348-1)/12)</x:f>
        <x:v>3578.1806880022077</x:v>
      </x:c>
      <x:c r="E348" s="141" t="n">
        <x:f>Premissas!$B$64*(1+Premissas!$B$57)^INT((A348-1)/12)</x:f>
        <x:v>3271.479486173447</x:v>
      </x:c>
      <x:c r="F348" s="141" t="n">
        <x:f>MAX(0,Premissas!$B$6*(1+Premissas!$B$66)^((A348-1)/12))</x:f>
        <x:v>1057684.10510009</x:v>
      </x:c>
      <x:c r="G348" s="141" t="n">
        <x:f>G347*(1+Premissas!$B$41)+C348</x:f>
        <x:v>20560933.936553877</x:v>
      </x:c>
      <x:c r="H348" s="141" t="n">
        <x:f>IF($A348=Premissas!$B$48,Premissas!$B$8,0)</x:f>
        <x:v>0</x:v>
      </x:c>
      <x:c r="I348" s="141" t="n">
        <x:f>IF(AND($A348&gt;=Premissas!$B$48,$A348-Premissas!$B$48+1&lt;=Premissas!$B$13),INDEX(Financiamento!$J$6:$J$485,$A348-Premissas!$B$48+1),0)</x:f>
        <x:v>809.2903070334845</x:v>
      </x:c>
      <x:c r="J348" s="141" t="n">
        <x:f>IF(AND(TRUE,Premissas!$B$11="Imovel",Premissas!$B$47="Moradia",$A348&lt;MAX(Premissas!$B$48,Premissas!$B$49)),$D348,0)</x:f>
        <x:v>0</x:v>
      </x:c>
      <x:c r="K348" s="141" t="n">
        <x:f>IF(AND(TRUE,Premissas!$B$11="Imovel",Premissas!$B$47="Investimento",$A348&gt;=MAX(Premissas!$B$48,Premissas!$B$49)),$E348,0)</x:f>
        <x:v>3271.479486173447</x:v>
      </x:c>
      <x:c r="L348" s="141" t="n">
        <x:f>H348+I348+J348</x:f>
        <x:v>809.2903070334845</x:v>
      </x:c>
      <x:c r="M348" s="141" t="n">
        <x:f>K348</x:f>
        <x:v>3271.479486173447</x:v>
      </x:c>
      <x:c r="N348" s="141" t="n">
        <x:f>$C348+M348-L348</x:f>
        <x:v>9462.189179139963</x:v>
      </x:c>
      <x:c r="O348" s="141" t="n">
        <x:f>R347*(1+Premissas!$B$41)+N348</x:f>
        <x:v>17814618.77766077</x:v>
      </x:c>
      <x:c r="P348" s="141" t="n">
        <x:f>MAX(0,-O348)</x:f>
        <x:v>0</x:v>
      </x:c>
      <x:c r="Q348" s="141" t="n">
        <x:f>Q347*(1+Premissas!$B$41)+P348</x:f>
        <x:v>0</x:v>
      </x:c>
      <x:c r="R348" s="141" t="n">
        <x:f>MAX(0,O348)</x:f>
        <x:v>17814618.77766077</x:v>
      </x:c>
      <x:c r="S348" s="141" t="n">
        <x:f>IF(AND($A348&gt;=Premissas!$B$48,$A348-Premissas!$B$48+1&lt;=Premissas!$B$13),INDEX(Financiamento!$M$6:$M$485,$A348-Premissas!$B$48+1),0)</x:f>
        <x:v>28952.38095238099</x:v>
      </x:c>
      <x:c r="T348" s="141" t="n">
        <x:f>IF($A348&gt;=Premissas!$B$48,$F348,0)</x:f>
        <x:v>1057684.10510009</x:v>
      </x:c>
      <x:c r="U348" s="141" t="n">
        <x:f>R348+T348-S348</x:f>
        <x:v>18843350.50180848</x:v>
      </x:c>
      <x:c r="V348" s="141" t="n">
        <x:f>IF(Q348&gt;1,"Inviavel",U348)</x:f>
        <x:v>18843350.50180848</x:v>
      </x:c>
      <x:c r="W348" s="141" t="str">
        <x:f>IF(Q348&gt;1,"Inviavel","OK")</x:f>
        <x:v>OK</x:v>
      </x:c>
      <x:c r="X348" s="141" t="n">
        <x:f>IF($A348=Premissas!$B$48,Premissas!$B$8,0)</x:f>
        <x:v>0</x:v>
      </x:c>
      <x:c r="Y348" s="141" t="n">
        <x:f>IF(AND($A348&gt;=Premissas!$B$48,$A348-Premissas!$B$48+1&lt;=Premissas!$B$13),INDEX(Amortizacao!$K$6:$K$485,$A348-Premissas!$B$48+1),0)</x:f>
        <x:v>0</x:v>
      </x:c>
      <x:c r="Z348" s="141" t="n">
        <x:f>IF(AND(TRUE,Premissas!$B$11="Imovel",Premissas!$B$47="Moradia",$A348&lt;MAX(Premissas!$B$48,Premissas!$B$49)),$D348,0)</x:f>
        <x:v>0</x:v>
      </x:c>
      <x:c r="AA348" s="141" t="n">
        <x:f>IF(AND(TRUE,Premissas!$B$11="Imovel",Premissas!$B$47="Investimento",$A348&gt;=MAX(Premissas!$B$48,Premissas!$B$49)),$E348,0)</x:f>
        <x:v>3271.479486173447</x:v>
      </x:c>
      <x:c r="AB348" s="141" t="n">
        <x:f>X348+Y348+Z348</x:f>
        <x:v>0</x:v>
      </x:c>
      <x:c r="AC348" s="141" t="n">
        <x:f>AA348</x:f>
        <x:v>3271.479486173447</x:v>
      </x:c>
      <x:c r="AD348" s="141" t="n">
        <x:f>$C348+AC348-AB348</x:f>
        <x:v>10271.479486173448</x:v>
      </x:c>
      <x:c r="AE348" s="141" t="n">
        <x:f>AH347*(1+Premissas!$B$41)+AD348</x:f>
        <x:v>18085399.703617316</x:v>
      </x:c>
      <x:c r="AF348" s="141" t="n">
        <x:f>MAX(0,-AE348)</x:f>
        <x:v>0</x:v>
      </x:c>
      <x:c r="AG348" s="141" t="n">
        <x:f>AG347*(1+Premissas!$B$41)+AF348</x:f>
        <x:v>0</x:v>
      </x:c>
      <x:c r="AH348" s="141" t="n">
        <x:f>MAX(0,AE348)</x:f>
        <x:v>18085399.703617316</x:v>
      </x:c>
      <x:c r="AI348" s="141" t="n">
        <x:f>IF(AND($A348&gt;=Premissas!$B$48,$A348-Premissas!$B$48+1&lt;=Premissas!$B$13),INDEX(Amortizacao!$L$6:$L$485,$A348-Premissas!$B$48+1),0)</x:f>
        <x:v>0</x:v>
      </x:c>
      <x:c r="AJ348" s="141" t="n">
        <x:f>IF($A348&gt;=Premissas!$B$48,$F348,0)</x:f>
        <x:v>1057684.10510009</x:v>
      </x:c>
      <x:c r="AK348" s="141" t="n">
        <x:f>AH348+AJ348-AI348</x:f>
        <x:v>19143083.808717407</x:v>
      </x:c>
      <x:c r="AL348" s="141" t="n">
        <x:f>IF(AG348&gt;1,"Inviavel",AK348)</x:f>
        <x:v>19143083.808717407</x:v>
      </x:c>
      <x:c r="AM348" s="141" t="str">
        <x:f>IF(AG348&gt;1,"Inviavel","OK")</x:f>
        <x:v>OK</x:v>
      </x:c>
      <x:c r="AN348" s="141" t="n">
        <x:f>IF($A348=Premissas!$B$48,Premissas!$B$8,0)</x:f>
        <x:v>0</x:v>
      </x:c>
      <x:c r="AO348" s="141" t="n">
        <x:f>IF($A348&lt;=Premissas!$B$25,INDEX('Consorcio IQ'!$K$6:$K$485,$A348),0)</x:f>
        <x:v>0</x:v>
      </x:c>
      <x:c r="AP348" s="141" t="n">
        <x:f>IF(AND(TRUE,Premissas!$B$11="Imovel",Premissas!$B$47="Moradia",$A348&lt;MAX(Premissas!$B$48,Premissas!$B$49)),$D348,0)</x:f>
        <x:v>0</x:v>
      </x:c>
      <x:c r="AQ348" s="141" t="n">
        <x:f>IF(AND(TRUE,Premissas!$B$11="Imovel",Premissas!$B$47="Investimento",$A348&gt;=MAX(Premissas!$B$48,Premissas!$B$49)),$E348,0)</x:f>
        <x:v>3271.479486173447</x:v>
      </x:c>
      <x:c r="AR348" s="141" t="n">
        <x:f>AN348+AO348+AP348</x:f>
        <x:v>0</x:v>
      </x:c>
      <x:c r="AS348" s="141" t="n">
        <x:f>AQ348</x:f>
        <x:v>3271.479486173447</x:v>
      </x:c>
      <x:c r="AT348" s="141" t="n">
        <x:f>$C348+AS348-AR348</x:f>
        <x:v>10271.479486173448</x:v>
      </x:c>
      <x:c r="AU348" s="141" t="n">
        <x:f>AX347*(1+Premissas!$B$41)+AT348</x:f>
        <x:v>17937934.651075467</x:v>
      </x:c>
      <x:c r="AV348" s="141" t="n">
        <x:f>MAX(0,-AU348)</x:f>
        <x:v>0</x:v>
      </x:c>
      <x:c r="AW348" s="141" t="n">
        <x:f>AW347*(1+Premissas!$B$41)+AV348</x:f>
        <x:v>0</x:v>
      </x:c>
      <x:c r="AX348" s="141" t="n">
        <x:f>MAX(0,AU348)</x:f>
        <x:v>17937934.651075467</x:v>
      </x:c>
      <x:c r="AY348" s="141" t="n">
        <x:f>INDEX('Consorcio IQ'!$P$6:$P$485,$A348)</x:f>
        <x:v>0</x:v>
      </x:c>
      <x:c r="AZ348" s="141" t="n">
        <x:f>IF($A348&gt;=Premissas!$B$48,$F348,0)+IF($A348&lt;Premissas!$B$27,INDEX('Consorcio IQ'!$O$6:$O$485,$A348),0)</x:f>
        <x:v>1057684.10510009</x:v>
      </x:c>
      <x:c r="BA348" s="141" t="n">
        <x:f>AX348+AZ348-AY348</x:f>
        <x:v>18995618.75617556</x:v>
      </x:c>
      <x:c r="BB348" s="141" t="n">
        <x:f>IF(AW348&gt;1,"Inviavel",BA348)</x:f>
        <x:v>18995618.75617556</x:v>
      </x:c>
      <x:c r="BC348" s="141" t="str">
        <x:f>IF(AW348&gt;1,"Inviavel","OK")</x:f>
        <x:v>OK</x:v>
      </x:c>
      <x:c r="BD348" s="141" t="n">
        <x:f>IF($A348='Consorcio Direto'!$B$29,'Consorcio Direto'!$B$44,0)</x:f>
        <x:v>0</x:v>
      </x:c>
      <x:c r="BE348" s="141" t="n">
        <x:f>IF($A348&lt;='Consorcio Direto'!$B$27,INDEX('Consorcio Direto'!$E$55:$E$534,$A348),0)</x:f>
        <x:v>0</x:v>
      </x:c>
      <x:c r="BF348" s="141" t="n">
        <x:f>IF(AND(TRUE,Premissas!$B$11="Imovel",Premissas!$B$47="Moradia",$A348&lt;MAX('Consorcio Direto'!$B$29,Premissas!$B$49)),$D348,0)</x:f>
        <x:v>0</x:v>
      </x:c>
      <x:c r="BG348" s="141" t="n">
        <x:f>IF(AND(TRUE,Premissas!$B$11="Imovel",Premissas!$B$47="Investimento",$A348&gt;=MAX('Consorcio Direto'!$B$29,Premissas!$B$49)),$E348,0)</x:f>
        <x:v>3271.479486173447</x:v>
      </x:c>
      <x:c r="BH348" s="141" t="n">
        <x:f>BD348+BE348+BF348</x:f>
        <x:v>0</x:v>
      </x:c>
      <x:c r="BI348" s="141" t="n">
        <x:f>BG348</x:f>
        <x:v>3271.479486173447</x:v>
      </x:c>
      <x:c r="BJ348" s="141" t="n">
        <x:f>$C348+BI348-BH348</x:f>
        <x:v>10271.479486173448</x:v>
      </x:c>
      <x:c r="BK348" s="141" t="n">
        <x:f>BN347*(1+Premissas!$B$41)+BJ348</x:f>
        <x:v>17140976.088707175</x:v>
      </x:c>
      <x:c r="BL348" s="141" t="n">
        <x:f>MAX(0,-BK348)</x:f>
        <x:v>0</x:v>
      </x:c>
      <x:c r="BM348" s="141" t="n">
        <x:f>BM347*(1+Premissas!$B$41)+BL348</x:f>
        <x:v>0</x:v>
      </x:c>
      <x:c r="BN348" s="141" t="n">
        <x:f>MAX(0,BK348)</x:f>
        <x:v>17140976.088707175</x:v>
      </x:c>
      <x:c r="BO348" s="141" t="n">
        <x:f>INDEX('Consorcio Direto'!$K$55:$K$534,$A348)</x:f>
        <x:v>0</x:v>
      </x:c>
      <x:c r="BP348" s="141" t="n">
        <x:f>IF($A348&lt;'Consorcio Direto'!$B$29,INDEX('Consorcio Direto'!$L$55:$L$534,$A348),$F348)</x:f>
        <x:v>1057684.10510009</x:v>
      </x:c>
      <x:c r="BQ348" s="141" t="n">
        <x:f>BN348+BP348-BO348</x:f>
        <x:v>18198660.193807267</x:v>
      </x:c>
      <x:c r="BR348" s="141" t="n">
        <x:f>IF(BM348&gt;1,"Inviavel",BQ348)</x:f>
        <x:v>18198660.193807267</x:v>
      </x:c>
      <x:c r="BS348" s="141" t="str">
        <x:f>IF(BM348&gt;1,"Inviavel","OK")</x:f>
        <x:v>OK</x:v>
      </x:c>
      <x:c r="BT348" s="141" t="n">
        <x:f>IF(AND('Carta Contemplada'!$B$22="Sim",$A348='Carta Contemplada'!$B$23),'Carta Contemplada'!$B$37,0)</x:f>
        <x:v>0</x:v>
      </x:c>
      <x:c r="BU348" s="141" t="n">
        <x:f>IF('Carta Contemplada'!$B$22="Sim",INDEX('Carta Contemplada'!$C$55:$C$1013,$A348),0)</x:f>
        <x:v>0</x:v>
      </x:c>
      <x:c r="BV348" s="141" t="n">
        <x:f>IF(AND('Carta Contemplada'!$B$22="Sim",Premissas!$B$11="Imovel",Premissas!$B$47="Moradia",$A348&lt;MAX('Carta Contemplada'!$B$44,Premissas!$B$49)),$D348,0)</x:f>
        <x:v>0</x:v>
      </x:c>
      <x:c r="BW348" s="141" t="n">
        <x:f>IF(AND('Carta Contemplada'!$B$22="Sim",Premissas!$B$11="Imovel",Premissas!$B$47="Investimento",$A348&gt;=MAX('Carta Contemplada'!$B$44,Premissas!$B$49)),$E348,0)</x:f>
        <x:v>3271.479486173447</x:v>
      </x:c>
      <x:c r="BX348" s="141" t="n">
        <x:f>BT348+BU348+BV348</x:f>
        <x:v>0</x:v>
      </x:c>
      <x:c r="BY348" s="141" t="n">
        <x:f>BW348</x:f>
        <x:v>3271.479486173447</x:v>
      </x:c>
      <x:c r="BZ348" s="141" t="n">
        <x:f>$C348+BY348-BX348</x:f>
        <x:v>10271.479486173448</x:v>
      </x:c>
      <x:c r="CA348" s="141" t="n">
        <x:f>CD347*(1+Premissas!$B$41)+BZ348</x:f>
        <x:v>18457278.852528337</x:v>
      </x:c>
      <x:c r="CB348" s="141" t="n">
        <x:f>MAX(0,-CA348)</x:f>
        <x:v>0</x:v>
      </x:c>
      <x:c r="CC348" s="141" t="n">
        <x:f>CC347*(1+Premissas!$B$41)+CB348</x:f>
        <x:v>0</x:v>
      </x:c>
      <x:c r="CD348" s="141" t="n">
        <x:f>MAX(0,CA348)</x:f>
        <x:v>18457278.852528337</x:v>
      </x:c>
      <x:c r="CE348" s="141" t="n">
        <x:f>IF(AND('Carta Contemplada'!$B$22="Sim",$A348&gt;='Carta Contemplada'!$B$23),INDEX('Carta Contemplada'!$I$55:$I$1013,$A348),0)</x:f>
        <x:v>0</x:v>
      </x:c>
      <x:c r="CF348" s="141" t="n">
        <x:f>IF(AND('Carta Contemplada'!$B$22="Sim",$A348&gt;='Carta Contemplada'!$B$44),$F348,0)</x:f>
        <x:v>1057684.10510009</x:v>
      </x:c>
      <x:c r="CG348" s="141" t="n">
        <x:f>CD348+CF348-CE348</x:f>
        <x:v>19514962.95762843</x:v>
      </x:c>
      <x:c r="CH348" s="141" t="n">
        <x:f>IF(CC348&gt;1,"Inviavel",CG348)</x:f>
        <x:v>19514962.95762843</x:v>
      </x:c>
      <x:c r="CI348" s="145" t="str">
        <x:f>IF(CC348&gt;1,"Inviavel","OK")</x:f>
        <x:v>OK</x:v>
      </x:c>
    </x:row>
    <x:row r="349">
      <x:c r="A349" s="142" t="n">
        <x:v>345</x:v>
      </x:c>
      <x:c r="B349" s="179" t="n">
        <x:f>EDATE(Premissas!$B$4,A349-1)</x:f>
        <x:v>57011</x:v>
      </x:c>
      <x:c r="C349" s="141" t="n">
        <x:f>IF(A349&lt;=Premissas!$B$39,Premissas!$B$42,0)</x:f>
        <x:v>7000</x:v>
      </x:c>
      <x:c r="D349" s="141" t="n">
        <x:f>Premissas!$B$54*(1+Premissas!$B$57)^INT((A349-1)/12)</x:f>
        <x:v>3578.1806880022077</x:v>
      </x:c>
      <x:c r="E349" s="141" t="n">
        <x:f>Premissas!$B$64*(1+Premissas!$B$57)^INT((A349-1)/12)</x:f>
        <x:v>3271.479486173447</x:v>
      </x:c>
      <x:c r="F349" s="141" t="n">
        <x:f>MAX(0,Premissas!$B$6*(1+Premissas!$B$66)^((A349-1)/12))</x:f>
        <x:v>1062832.4359638244</x:v>
      </x:c>
      <x:c r="G349" s="141" t="n">
        <x:f>G348*(1+Premissas!$B$41)+C349</x:f>
        <x:v>20763032.381219476</x:v>
      </x:c>
      <x:c r="H349" s="141" t="n">
        <x:f>IF($A349=Premissas!$B$48,Premissas!$B$8,0)</x:f>
        <x:v>0</x:v>
      </x:c>
      <x:c r="I349" s="141" t="n">
        <x:f>IF(AND($A349&gt;=Premissas!$B$48,$A349-Premissas!$B$48+1&lt;=Premissas!$B$13),INDEX(Financiamento!$J$6:$J$485,$A349-Premissas!$B$48+1),0)</x:f>
        <x:v>805.675528772691</x:v>
      </x:c>
      <x:c r="J349" s="141" t="n">
        <x:f>IF(AND(TRUE,Premissas!$B$11="Imovel",Premissas!$B$47="Moradia",$A349&lt;MAX(Premissas!$B$48,Premissas!$B$49)),$D349,0)</x:f>
        <x:v>0</x:v>
      </x:c>
      <x:c r="K349" s="141" t="n">
        <x:f>IF(AND(TRUE,Premissas!$B$11="Imovel",Premissas!$B$47="Investimento",$A349&gt;=MAX(Premissas!$B$48,Premissas!$B$49)),$E349,0)</x:f>
        <x:v>3271.479486173447</x:v>
      </x:c>
      <x:c r="L349" s="141" t="n">
        <x:f>H349+I349+J349</x:f>
        <x:v>805.675528772691</x:v>
      </x:c>
      <x:c r="M349" s="141" t="n">
        <x:f>K349</x:f>
        <x:v>3271.479486173447</x:v>
      </x:c>
      <x:c r="N349" s="141" t="n">
        <x:f>$C349+M349-L349</x:f>
        <x:v>9465.803957400756</x:v>
      </x:c>
      <x:c r="O349" s="141" t="n">
        <x:f>R348*(1+Premissas!$B$41)+N349</x:f>
        <x:v>17993123.810407925</x:v>
      </x:c>
      <x:c r="P349" s="141" t="n">
        <x:f>MAX(0,-O349)</x:f>
        <x:v>0</x:v>
      </x:c>
      <x:c r="Q349" s="141" t="n">
        <x:f>Q348*(1+Premissas!$B$41)+P349</x:f>
        <x:v>0</x:v>
      </x:c>
      <x:c r="R349" s="141" t="n">
        <x:f>MAX(0,O349)</x:f>
        <x:v>17993123.810407925</x:v>
      </x:c>
      <x:c r="S349" s="141" t="n">
        <x:f>IF(AND($A349&gt;=Premissas!$B$48,$A349-Premissas!$B$48+1&lt;=Premissas!$B$13),INDEX(Financiamento!$M$6:$M$485,$A349-Premissas!$B$48+1),0)</x:f>
        <x:v>28571.42857142861</x:v>
      </x:c>
      <x:c r="T349" s="141" t="n">
        <x:f>IF($A349&gt;=Premissas!$B$48,$F349,0)</x:f>
        <x:v>1062832.4359638244</x:v>
      </x:c>
      <x:c r="U349" s="141" t="n">
        <x:f>R349+T349-S349</x:f>
        <x:v>19027384.81780032</x:v>
      </x:c>
      <x:c r="V349" s="141" t="n">
        <x:f>IF(Q349&gt;1,"Inviavel",U349)</x:f>
        <x:v>19027384.81780032</x:v>
      </x:c>
      <x:c r="W349" s="141" t="str">
        <x:f>IF(Q349&gt;1,"Inviavel","OK")</x:f>
        <x:v>OK</x:v>
      </x:c>
      <x:c r="X349" s="141" t="n">
        <x:f>IF($A349=Premissas!$B$48,Premissas!$B$8,0)</x:f>
        <x:v>0</x:v>
      </x:c>
      <x:c r="Y349" s="141" t="n">
        <x:f>IF(AND($A349&gt;=Premissas!$B$48,$A349-Premissas!$B$48+1&lt;=Premissas!$B$13),INDEX(Amortizacao!$K$6:$K$485,$A349-Premissas!$B$48+1),0)</x:f>
        <x:v>0</x:v>
      </x:c>
      <x:c r="Z349" s="141" t="n">
        <x:f>IF(AND(TRUE,Premissas!$B$11="Imovel",Premissas!$B$47="Moradia",$A349&lt;MAX(Premissas!$B$48,Premissas!$B$49)),$D349,0)</x:f>
        <x:v>0</x:v>
      </x:c>
      <x:c r="AA349" s="141" t="n">
        <x:f>IF(AND(TRUE,Premissas!$B$11="Imovel",Premissas!$B$47="Investimento",$A349&gt;=MAX(Premissas!$B$48,Premissas!$B$49)),$E349,0)</x:f>
        <x:v>3271.479486173447</x:v>
      </x:c>
      <x:c r="AB349" s="141" t="n">
        <x:f>X349+Y349+Z349</x:f>
        <x:v>0</x:v>
      </x:c>
      <x:c r="AC349" s="141" t="n">
        <x:f>AA349</x:f>
        <x:v>3271.479486173447</x:v>
      </x:c>
      <x:c r="AD349" s="141" t="n">
        <x:f>$C349+AC349-AB349</x:f>
        <x:v>10271.479486173448</x:v>
      </x:c>
      <x:c r="AE349" s="141" t="n">
        <x:f>AH348*(1+Premissas!$B$41)+AD349</x:f>
        <x:v>18267279.796030287</x:v>
      </x:c>
      <x:c r="AF349" s="141" t="n">
        <x:f>MAX(0,-AE349)</x:f>
        <x:v>0</x:v>
      </x:c>
      <x:c r="AG349" s="141" t="n">
        <x:f>AG348*(1+Premissas!$B$41)+AF349</x:f>
        <x:v>0</x:v>
      </x:c>
      <x:c r="AH349" s="141" t="n">
        <x:f>MAX(0,AE349)</x:f>
        <x:v>18267279.796030287</x:v>
      </x:c>
      <x:c r="AI349" s="141" t="n">
        <x:f>IF(AND($A349&gt;=Premissas!$B$48,$A349-Premissas!$B$48+1&lt;=Premissas!$B$13),INDEX(Amortizacao!$L$6:$L$485,$A349-Premissas!$B$48+1),0)</x:f>
        <x:v>0</x:v>
      </x:c>
      <x:c r="AJ349" s="141" t="n">
        <x:f>IF($A349&gt;=Premissas!$B$48,$F349,0)</x:f>
        <x:v>1062832.4359638244</x:v>
      </x:c>
      <x:c r="AK349" s="141" t="n">
        <x:f>AH349+AJ349-AI349</x:f>
        <x:v>19330112.23199411</x:v>
      </x:c>
      <x:c r="AL349" s="141" t="n">
        <x:f>IF(AG349&gt;1,"Inviavel",AK349)</x:f>
        <x:v>19330112.23199411</x:v>
      </x:c>
      <x:c r="AM349" s="141" t="str">
        <x:f>IF(AG349&gt;1,"Inviavel","OK")</x:f>
        <x:v>OK</x:v>
      </x:c>
      <x:c r="AN349" s="141" t="n">
        <x:f>IF($A349=Premissas!$B$48,Premissas!$B$8,0)</x:f>
        <x:v>0</x:v>
      </x:c>
      <x:c r="AO349" s="141" t="n">
        <x:f>IF($A349&lt;=Premissas!$B$25,INDEX('Consorcio IQ'!$K$6:$K$485,$A349),0)</x:f>
        <x:v>0</x:v>
      </x:c>
      <x:c r="AP349" s="141" t="n">
        <x:f>IF(AND(TRUE,Premissas!$B$11="Imovel",Premissas!$B$47="Moradia",$A349&lt;MAX(Premissas!$B$48,Premissas!$B$49)),$D349,0)</x:f>
        <x:v>0</x:v>
      </x:c>
      <x:c r="AQ349" s="141" t="n">
        <x:f>IF(AND(TRUE,Premissas!$B$11="Imovel",Premissas!$B$47="Investimento",$A349&gt;=MAX(Premissas!$B$48,Premissas!$B$49)),$E349,0)</x:f>
        <x:v>3271.479486173447</x:v>
      </x:c>
      <x:c r="AR349" s="141" t="n">
        <x:f>AN349+AO349+AP349</x:f>
        <x:v>0</x:v>
      </x:c>
      <x:c r="AS349" s="141" t="n">
        <x:f>AQ349</x:f>
        <x:v>3271.479486173447</x:v>
      </x:c>
      <x:c r="AT349" s="141" t="n">
        <x:f>$C349+AS349-AR349</x:f>
        <x:v>10271.479486173448</x:v>
      </x:c>
      <x:c r="AU349" s="141" t="n">
        <x:f>AX348*(1+Premissas!$B$41)+AT349</x:f>
        <x:v>18118415.47813978</x:v>
      </x:c>
      <x:c r="AV349" s="141" t="n">
        <x:f>MAX(0,-AU349)</x:f>
        <x:v>0</x:v>
      </x:c>
      <x:c r="AW349" s="141" t="n">
        <x:f>AW348*(1+Premissas!$B$41)+AV349</x:f>
        <x:v>0</x:v>
      </x:c>
      <x:c r="AX349" s="141" t="n">
        <x:f>MAX(0,AU349)</x:f>
        <x:v>18118415.47813978</x:v>
      </x:c>
      <x:c r="AY349" s="141" t="n">
        <x:f>INDEX('Consorcio IQ'!$P$6:$P$485,$A349)</x:f>
        <x:v>0</x:v>
      </x:c>
      <x:c r="AZ349" s="141" t="n">
        <x:f>IF($A349&gt;=Premissas!$B$48,$F349,0)+IF($A349&lt;Premissas!$B$27,INDEX('Consorcio IQ'!$O$6:$O$485,$A349),0)</x:f>
        <x:v>1062832.4359638244</x:v>
      </x:c>
      <x:c r="BA349" s="141" t="n">
        <x:f>AX349+AZ349-AY349</x:f>
        <x:v>19181247.914103605</x:v>
      </x:c>
      <x:c r="BB349" s="141" t="n">
        <x:f>IF(AW349&gt;1,"Inviavel",BA349)</x:f>
        <x:v>19181247.914103605</x:v>
      </x:c>
      <x:c r="BC349" s="141" t="str">
        <x:f>IF(AW349&gt;1,"Inviavel","OK")</x:f>
        <x:v>OK</x:v>
      </x:c>
      <x:c r="BD349" s="141" t="n">
        <x:f>IF($A349='Consorcio Direto'!$B$29,'Consorcio Direto'!$B$44,0)</x:f>
        <x:v>0</x:v>
      </x:c>
      <x:c r="BE349" s="141" t="n">
        <x:f>IF($A349&lt;='Consorcio Direto'!$B$27,INDEX('Consorcio Direto'!$E$55:$E$534,$A349),0)</x:f>
        <x:v>0</x:v>
      </x:c>
      <x:c r="BF349" s="141" t="n">
        <x:f>IF(AND(TRUE,Premissas!$B$11="Imovel",Premissas!$B$47="Moradia",$A349&lt;MAX('Consorcio Direto'!$B$29,Premissas!$B$49)),$D349,0)</x:f>
        <x:v>0</x:v>
      </x:c>
      <x:c r="BG349" s="141" t="n">
        <x:f>IF(AND(TRUE,Premissas!$B$11="Imovel",Premissas!$B$47="Investimento",$A349&gt;=MAX('Consorcio Direto'!$B$29,Premissas!$B$49)),$E349,0)</x:f>
        <x:v>3271.479486173447</x:v>
      </x:c>
      <x:c r="BH349" s="141" t="n">
        <x:f>BD349+BE349+BF349</x:f>
        <x:v>0</x:v>
      </x:c>
      <x:c r="BI349" s="141" t="n">
        <x:f>BG349</x:f>
        <x:v>3271.479486173447</x:v>
      </x:c>
      <x:c r="BJ349" s="141" t="n">
        <x:f>$C349+BI349-BH349</x:f>
        <x:v>10271.479486173448</x:v>
      </x:c>
      <x:c r="BK349" s="141" t="n">
        <x:f>BN348*(1+Premissas!$B$41)+BJ349</x:f>
        <x:v>17313894.74099573</x:v>
      </x:c>
      <x:c r="BL349" s="141" t="n">
        <x:f>MAX(0,-BK349)</x:f>
        <x:v>0</x:v>
      </x:c>
      <x:c r="BM349" s="141" t="n">
        <x:f>BM348*(1+Premissas!$B$41)+BL349</x:f>
        <x:v>0</x:v>
      </x:c>
      <x:c r="BN349" s="141" t="n">
        <x:f>MAX(0,BK349)</x:f>
        <x:v>17313894.74099573</x:v>
      </x:c>
      <x:c r="BO349" s="141" t="n">
        <x:f>INDEX('Consorcio Direto'!$K$55:$K$534,$A349)</x:f>
        <x:v>0</x:v>
      </x:c>
      <x:c r="BP349" s="141" t="n">
        <x:f>IF($A349&lt;'Consorcio Direto'!$B$29,INDEX('Consorcio Direto'!$L$55:$L$534,$A349),$F349)</x:f>
        <x:v>1062832.4359638244</x:v>
      </x:c>
      <x:c r="BQ349" s="141" t="n">
        <x:f>BN349+BP349-BO349</x:f>
        <x:v>18376727.176959556</x:v>
      </x:c>
      <x:c r="BR349" s="141" t="n">
        <x:f>IF(BM349&gt;1,"Inviavel",BQ349)</x:f>
        <x:v>18376727.176959556</x:v>
      </x:c>
      <x:c r="BS349" s="141" t="str">
        <x:f>IF(BM349&gt;1,"Inviavel","OK")</x:f>
        <x:v>OK</x:v>
      </x:c>
      <x:c r="BT349" s="141" t="n">
        <x:f>IF(AND('Carta Contemplada'!$B$22="Sim",$A349='Carta Contemplada'!$B$23),'Carta Contemplada'!$B$37,0)</x:f>
        <x:v>0</x:v>
      </x:c>
      <x:c r="BU349" s="141" t="n">
        <x:f>IF('Carta Contemplada'!$B$22="Sim",INDEX('Carta Contemplada'!$C$55:$C$1013,$A349),0)</x:f>
        <x:v>0</x:v>
      </x:c>
      <x:c r="BV349" s="141" t="n">
        <x:f>IF(AND('Carta Contemplada'!$B$22="Sim",Premissas!$B$11="Imovel",Premissas!$B$47="Moradia",$A349&lt;MAX('Carta Contemplada'!$B$44,Premissas!$B$49)),$D349,0)</x:f>
        <x:v>0</x:v>
      </x:c>
      <x:c r="BW349" s="141" t="n">
        <x:f>IF(AND('Carta Contemplada'!$B$22="Sim",Premissas!$B$11="Imovel",Premissas!$B$47="Investimento",$A349&gt;=MAX('Carta Contemplada'!$B$44,Premissas!$B$49)),$E349,0)</x:f>
        <x:v>3271.479486173447</x:v>
      </x:c>
      <x:c r="BX349" s="141" t="n">
        <x:f>BT349+BU349+BV349</x:f>
        <x:v>0</x:v>
      </x:c>
      <x:c r="BY349" s="141" t="n">
        <x:f>BW349</x:f>
        <x:v>3271.479486173447</x:v>
      </x:c>
      <x:c r="BZ349" s="141" t="n">
        <x:f>$C349+BY349-BX349</x:f>
        <x:v>10271.479486173448</x:v>
      </x:c>
      <x:c r="CA349" s="141" t="n">
        <x:f>CD348*(1+Premissas!$B$41)+BZ349</x:f>
        <x:v>18642687.62918201</x:v>
      </x:c>
      <x:c r="CB349" s="141" t="n">
        <x:f>MAX(0,-CA349)</x:f>
        <x:v>0</x:v>
      </x:c>
      <x:c r="CC349" s="141" t="n">
        <x:f>CC348*(1+Premissas!$B$41)+CB349</x:f>
        <x:v>0</x:v>
      </x:c>
      <x:c r="CD349" s="141" t="n">
        <x:f>MAX(0,CA349)</x:f>
        <x:v>18642687.62918201</x:v>
      </x:c>
      <x:c r="CE349" s="141" t="n">
        <x:f>IF(AND('Carta Contemplada'!$B$22="Sim",$A349&gt;='Carta Contemplada'!$B$23),INDEX('Carta Contemplada'!$I$55:$I$1013,$A349),0)</x:f>
        <x:v>0</x:v>
      </x:c>
      <x:c r="CF349" s="141" t="n">
        <x:f>IF(AND('Carta Contemplada'!$B$22="Sim",$A349&gt;='Carta Contemplada'!$B$44),$F349,0)</x:f>
        <x:v>1062832.4359638244</x:v>
      </x:c>
      <x:c r="CG349" s="141" t="n">
        <x:f>CD349+CF349-CE349</x:f>
        <x:v>19705520.065145835</x:v>
      </x:c>
      <x:c r="CH349" s="141" t="n">
        <x:f>IF(CC349&gt;1,"Inviavel",CG349)</x:f>
        <x:v>19705520.065145835</x:v>
      </x:c>
      <x:c r="CI349" s="145" t="str">
        <x:f>IF(CC349&gt;1,"Inviavel","OK")</x:f>
        <x:v>OK</x:v>
      </x:c>
    </x:row>
    <x:row r="350">
      <x:c r="A350" s="142" t="n">
        <x:v>346</x:v>
      </x:c>
      <x:c r="B350" s="179" t="n">
        <x:f>EDATE(Premissas!$B$4,A350-1)</x:f>
        <x:v>57040</x:v>
      </x:c>
      <x:c r="C350" s="141" t="n">
        <x:f>IF(A350&lt;=Premissas!$B$39,Premissas!$B$42,0)</x:f>
        <x:v>7000</x:v>
      </x:c>
      <x:c r="D350" s="141" t="n">
        <x:f>Premissas!$B$54*(1+Premissas!$B$57)^INT((A350-1)/12)</x:f>
        <x:v>3578.1806880022077</x:v>
      </x:c>
      <x:c r="E350" s="141" t="n">
        <x:f>Premissas!$B$64*(1+Premissas!$B$57)^INT((A350-1)/12)</x:f>
        <x:v>3271.479486173447</x:v>
      </x:c>
      <x:c r="F350" s="141" t="n">
        <x:f>MAX(0,Premissas!$B$6*(1+Premissas!$B$66)^((A350-1)/12))</x:f>
        <x:v>1068005.826588365</x:v>
      </x:c>
      <x:c r="G350" s="141" t="n">
        <x:f>G349*(1+Premissas!$B$41)+C350</x:f>
        <x:v>20967048.49617891</x:v>
      </x:c>
      <x:c r="H350" s="141" t="n">
        <x:f>IF($A350=Premissas!$B$48,Premissas!$B$8,0)</x:f>
        <x:v>0</x:v>
      </x:c>
      <x:c r="I350" s="141" t="n">
        <x:f>IF(AND($A350&gt;=Premissas!$B$48,$A350-Premissas!$B$48+1&lt;=Premissas!$B$13),INDEX(Financiamento!$J$6:$J$485,$A350-Premissas!$B$48+1),0)</x:f>
        <x:v>802.0607505118974</x:v>
      </x:c>
      <x:c r="J350" s="141" t="n">
        <x:f>IF(AND(TRUE,Premissas!$B$11="Imovel",Premissas!$B$47="Moradia",$A350&lt;MAX(Premissas!$B$48,Premissas!$B$49)),$D350,0)</x:f>
        <x:v>0</x:v>
      </x:c>
      <x:c r="K350" s="141" t="n">
        <x:f>IF(AND(TRUE,Premissas!$B$11="Imovel",Premissas!$B$47="Investimento",$A350&gt;=MAX(Premissas!$B$48,Premissas!$B$49)),$E350,0)</x:f>
        <x:v>3271.479486173447</x:v>
      </x:c>
      <x:c r="L350" s="141" t="n">
        <x:f>H350+I350+J350</x:f>
        <x:v>802.0607505118974</x:v>
      </x:c>
      <x:c r="M350" s="141" t="n">
        <x:f>K350</x:f>
        <x:v>3271.479486173447</x:v>
      </x:c>
      <x:c r="N350" s="141" t="n">
        <x:f>$C350+M350-L350</x:f>
        <x:v>9469.418735661551</x:v>
      </x:c>
      <x:c r="O350" s="141" t="n">
        <x:f>R349*(1+Premissas!$B$41)+N350</x:f>
        <x:v>18173326.25522686</x:v>
      </x:c>
      <x:c r="P350" s="141" t="n">
        <x:f>MAX(0,-O350)</x:f>
        <x:v>0</x:v>
      </x:c>
      <x:c r="Q350" s="141" t="n">
        <x:f>Q349*(1+Premissas!$B$41)+P350</x:f>
        <x:v>0</x:v>
      </x:c>
      <x:c r="R350" s="141" t="n">
        <x:f>MAX(0,O350)</x:f>
        <x:v>18173326.25522686</x:v>
      </x:c>
      <x:c r="S350" s="141" t="n">
        <x:f>IF(AND($A350&gt;=Premissas!$B$48,$A350-Premissas!$B$48+1&lt;=Premissas!$B$13),INDEX(Financiamento!$M$6:$M$485,$A350-Premissas!$B$48+1),0)</x:f>
        <x:v>28190.476190476227</x:v>
      </x:c>
      <x:c r="T350" s="141" t="n">
        <x:f>IF($A350&gt;=Premissas!$B$48,$F350,0)</x:f>
        <x:v>1068005.826588365</x:v>
      </x:c>
      <x:c r="U350" s="141" t="n">
        <x:f>R350+T350-S350</x:f>
        <x:v>19213141.60562475</x:v>
      </x:c>
      <x:c r="V350" s="141" t="n">
        <x:f>IF(Q350&gt;1,"Inviavel",U350)</x:f>
        <x:v>19213141.60562475</x:v>
      </x:c>
      <x:c r="W350" s="141" t="str">
        <x:f>IF(Q350&gt;1,"Inviavel","OK")</x:f>
        <x:v>OK</x:v>
      </x:c>
      <x:c r="X350" s="141" t="n">
        <x:f>IF($A350=Premissas!$B$48,Premissas!$B$8,0)</x:f>
        <x:v>0</x:v>
      </x:c>
      <x:c r="Y350" s="141" t="n">
        <x:f>IF(AND($A350&gt;=Premissas!$B$48,$A350-Premissas!$B$48+1&lt;=Premissas!$B$13),INDEX(Amortizacao!$K$6:$K$485,$A350-Premissas!$B$48+1),0)</x:f>
        <x:v>0</x:v>
      </x:c>
      <x:c r="Z350" s="141" t="n">
        <x:f>IF(AND(TRUE,Premissas!$B$11="Imovel",Premissas!$B$47="Moradia",$A350&lt;MAX(Premissas!$B$48,Premissas!$B$49)),$D350,0)</x:f>
        <x:v>0</x:v>
      </x:c>
      <x:c r="AA350" s="141" t="n">
        <x:f>IF(AND(TRUE,Premissas!$B$11="Imovel",Premissas!$B$47="Investimento",$A350&gt;=MAX(Premissas!$B$48,Premissas!$B$49)),$E350,0)</x:f>
        <x:v>3271.479486173447</x:v>
      </x:c>
      <x:c r="AB350" s="141" t="n">
        <x:f>X350+Y350+Z350</x:f>
        <x:v>0</x:v>
      </x:c>
      <x:c r="AC350" s="141" t="n">
        <x:f>AA350</x:f>
        <x:v>3271.479486173447</x:v>
      </x:c>
      <x:c r="AD350" s="141" t="n">
        <x:f>$C350+AC350-AB350</x:f>
        <x:v>10271.479486173448</x:v>
      </x:c>
      <x:c r="AE350" s="141" t="n">
        <x:f>AH349*(1+Premissas!$B$41)+AD350</x:f>
        <x:v>18450885.710979085</x:v>
      </x:c>
      <x:c r="AF350" s="141" t="n">
        <x:f>MAX(0,-AE350)</x:f>
        <x:v>0</x:v>
      </x:c>
      <x:c r="AG350" s="141" t="n">
        <x:f>AG349*(1+Premissas!$B$41)+AF350</x:f>
        <x:v>0</x:v>
      </x:c>
      <x:c r="AH350" s="141" t="n">
        <x:f>MAX(0,AE350)</x:f>
        <x:v>18450885.710979085</x:v>
      </x:c>
      <x:c r="AI350" s="141" t="n">
        <x:f>IF(AND($A350&gt;=Premissas!$B$48,$A350-Premissas!$B$48+1&lt;=Premissas!$B$13),INDEX(Amortizacao!$L$6:$L$485,$A350-Premissas!$B$48+1),0)</x:f>
        <x:v>0</x:v>
      </x:c>
      <x:c r="AJ350" s="141" t="n">
        <x:f>IF($A350&gt;=Premissas!$B$48,$F350,0)</x:f>
        <x:v>1068005.826588365</x:v>
      </x:c>
      <x:c r="AK350" s="141" t="n">
        <x:f>AH350+AJ350-AI350</x:f>
        <x:v>19518891.53756745</x:v>
      </x:c>
      <x:c r="AL350" s="141" t="n">
        <x:f>IF(AG350&gt;1,"Inviavel",AK350)</x:f>
        <x:v>19518891.53756745</x:v>
      </x:c>
      <x:c r="AM350" s="141" t="str">
        <x:f>IF(AG350&gt;1,"Inviavel","OK")</x:f>
        <x:v>OK</x:v>
      </x:c>
      <x:c r="AN350" s="141" t="n">
        <x:f>IF($A350=Premissas!$B$48,Premissas!$B$8,0)</x:f>
        <x:v>0</x:v>
      </x:c>
      <x:c r="AO350" s="141" t="n">
        <x:f>IF($A350&lt;=Premissas!$B$25,INDEX('Consorcio IQ'!$K$6:$K$485,$A350),0)</x:f>
        <x:v>0</x:v>
      </x:c>
      <x:c r="AP350" s="141" t="n">
        <x:f>IF(AND(TRUE,Premissas!$B$11="Imovel",Premissas!$B$47="Moradia",$A350&lt;MAX(Premissas!$B$48,Premissas!$B$49)),$D350,0)</x:f>
        <x:v>0</x:v>
      </x:c>
      <x:c r="AQ350" s="141" t="n">
        <x:f>IF(AND(TRUE,Premissas!$B$11="Imovel",Premissas!$B$47="Investimento",$A350&gt;=MAX(Premissas!$B$48,Premissas!$B$49)),$E350,0)</x:f>
        <x:v>3271.479486173447</x:v>
      </x:c>
      <x:c r="AR350" s="141" t="n">
        <x:f>AN350+AO350+AP350</x:f>
        <x:v>0</x:v>
      </x:c>
      <x:c r="AS350" s="141" t="n">
        <x:f>AQ350</x:f>
        <x:v>3271.479486173447</x:v>
      </x:c>
      <x:c r="AT350" s="141" t="n">
        <x:f>$C350+AS350-AR350</x:f>
        <x:v>10271.479486173448</x:v>
      </x:c>
      <x:c r="AU350" s="141" t="n">
        <x:f>AX349*(1+Premissas!$B$41)+AT350</x:f>
        <x:v>18300608.85040077</x:v>
      </x:c>
      <x:c r="AV350" s="141" t="n">
        <x:f>MAX(0,-AU350)</x:f>
        <x:v>0</x:v>
      </x:c>
      <x:c r="AW350" s="141" t="n">
        <x:f>AW349*(1+Premissas!$B$41)+AV350</x:f>
        <x:v>0</x:v>
      </x:c>
      <x:c r="AX350" s="141" t="n">
        <x:f>MAX(0,AU350)</x:f>
        <x:v>18300608.85040077</x:v>
      </x:c>
      <x:c r="AY350" s="141" t="n">
        <x:f>INDEX('Consorcio IQ'!$P$6:$P$485,$A350)</x:f>
        <x:v>0</x:v>
      </x:c>
      <x:c r="AZ350" s="141" t="n">
        <x:f>IF($A350&gt;=Premissas!$B$48,$F350,0)+IF($A350&lt;Premissas!$B$27,INDEX('Consorcio IQ'!$O$6:$O$485,$A350),0)</x:f>
        <x:v>1068005.826588365</x:v>
      </x:c>
      <x:c r="BA350" s="141" t="n">
        <x:f>AX350+AZ350-AY350</x:f>
        <x:v>19368614.676989134</x:v>
      </x:c>
      <x:c r="BB350" s="141" t="n">
        <x:f>IF(AW350&gt;1,"Inviavel",BA350)</x:f>
        <x:v>19368614.676989134</x:v>
      </x:c>
      <x:c r="BC350" s="141" t="str">
        <x:f>IF(AW350&gt;1,"Inviavel","OK")</x:f>
        <x:v>OK</x:v>
      </x:c>
      <x:c r="BD350" s="141" t="n">
        <x:f>IF($A350='Consorcio Direto'!$B$29,'Consorcio Direto'!$B$44,0)</x:f>
        <x:v>0</x:v>
      </x:c>
      <x:c r="BE350" s="141" t="n">
        <x:f>IF($A350&lt;='Consorcio Direto'!$B$27,INDEX('Consorcio Direto'!$E$55:$E$534,$A350),0)</x:f>
        <x:v>0</x:v>
      </x:c>
      <x:c r="BF350" s="141" t="n">
        <x:f>IF(AND(TRUE,Premissas!$B$11="Imovel",Premissas!$B$47="Moradia",$A350&lt;MAX('Consorcio Direto'!$B$29,Premissas!$B$49)),$D350,0)</x:f>
        <x:v>0</x:v>
      </x:c>
      <x:c r="BG350" s="141" t="n">
        <x:f>IF(AND(TRUE,Premissas!$B$11="Imovel",Premissas!$B$47="Investimento",$A350&gt;=MAX('Consorcio Direto'!$B$29,Premissas!$B$49)),$E350,0)</x:f>
        <x:v>3271.479486173447</x:v>
      </x:c>
      <x:c r="BH350" s="141" t="n">
        <x:f>BD350+BE350+BF350</x:f>
        <x:v>0</x:v>
      </x:c>
      <x:c r="BI350" s="141" t="n">
        <x:f>BG350</x:f>
        <x:v>3271.479486173447</x:v>
      </x:c>
      <x:c r="BJ350" s="141" t="n">
        <x:f>$C350+BI350-BH350</x:f>
        <x:v>10271.479486173448</x:v>
      </x:c>
      <x:c r="BK350" s="141" t="n">
        <x:f>BN349*(1+Premissas!$B$41)+BJ350</x:f>
        <x:v>17488454.18257038</x:v>
      </x:c>
      <x:c r="BL350" s="141" t="n">
        <x:f>MAX(0,-BK350)</x:f>
        <x:v>0</x:v>
      </x:c>
      <x:c r="BM350" s="141" t="n">
        <x:f>BM349*(1+Premissas!$B$41)+BL350</x:f>
        <x:v>0</x:v>
      </x:c>
      <x:c r="BN350" s="141" t="n">
        <x:f>MAX(0,BK350)</x:f>
        <x:v>17488454.18257038</x:v>
      </x:c>
      <x:c r="BO350" s="141" t="n">
        <x:f>INDEX('Consorcio Direto'!$K$55:$K$534,$A350)</x:f>
        <x:v>0</x:v>
      </x:c>
      <x:c r="BP350" s="141" t="n">
        <x:f>IF($A350&lt;'Consorcio Direto'!$B$29,INDEX('Consorcio Direto'!$L$55:$L$534,$A350),$F350)</x:f>
        <x:v>1068005.826588365</x:v>
      </x:c>
      <x:c r="BQ350" s="141" t="n">
        <x:f>BN350+BP350-BO350</x:f>
        <x:v>18556460.009158745</x:v>
      </x:c>
      <x:c r="BR350" s="141" t="n">
        <x:f>IF(BM350&gt;1,"Inviavel",BQ350)</x:f>
        <x:v>18556460.009158745</x:v>
      </x:c>
      <x:c r="BS350" s="141" t="str">
        <x:f>IF(BM350&gt;1,"Inviavel","OK")</x:f>
        <x:v>OK</x:v>
      </x:c>
      <x:c r="BT350" s="141" t="n">
        <x:f>IF(AND('Carta Contemplada'!$B$22="Sim",$A350='Carta Contemplada'!$B$23),'Carta Contemplada'!$B$37,0)</x:f>
        <x:v>0</x:v>
      </x:c>
      <x:c r="BU350" s="141" t="n">
        <x:f>IF('Carta Contemplada'!$B$22="Sim",INDEX('Carta Contemplada'!$C$55:$C$1013,$A350),0)</x:f>
        <x:v>0</x:v>
      </x:c>
      <x:c r="BV350" s="141" t="n">
        <x:f>IF(AND('Carta Contemplada'!$B$22="Sim",Premissas!$B$11="Imovel",Premissas!$B$47="Moradia",$A350&lt;MAX('Carta Contemplada'!$B$44,Premissas!$B$49)),$D350,0)</x:f>
        <x:v>0</x:v>
      </x:c>
      <x:c r="BW350" s="141" t="n">
        <x:f>IF(AND('Carta Contemplada'!$B$22="Sim",Premissas!$B$11="Imovel",Premissas!$B$47="Investimento",$A350&gt;=MAX('Carta Contemplada'!$B$44,Premissas!$B$49)),$E350,0)</x:f>
        <x:v>3271.479486173447</x:v>
      </x:c>
      <x:c r="BX350" s="141" t="n">
        <x:f>BT350+BU350+BV350</x:f>
        <x:v>0</x:v>
      </x:c>
      <x:c r="BY350" s="141" t="n">
        <x:f>BW350</x:f>
        <x:v>3271.479486173447</x:v>
      </x:c>
      <x:c r="BZ350" s="141" t="n">
        <x:f>$C350+BY350-BX350</x:f>
        <x:v>10271.479486173448</x:v>
      </x:c>
      <x:c r="CA350" s="141" t="n">
        <x:f>CD349*(1+Premissas!$B$41)+BZ350</x:f>
        <x:v>18829855.71132561</x:v>
      </x:c>
      <x:c r="CB350" s="141" t="n">
        <x:f>MAX(0,-CA350)</x:f>
        <x:v>0</x:v>
      </x:c>
      <x:c r="CC350" s="141" t="n">
        <x:f>CC349*(1+Premissas!$B$41)+CB350</x:f>
        <x:v>0</x:v>
      </x:c>
      <x:c r="CD350" s="141" t="n">
        <x:f>MAX(0,CA350)</x:f>
        <x:v>18829855.71132561</x:v>
      </x:c>
      <x:c r="CE350" s="141" t="n">
        <x:f>IF(AND('Carta Contemplada'!$B$22="Sim",$A350&gt;='Carta Contemplada'!$B$23),INDEX('Carta Contemplada'!$I$55:$I$1013,$A350),0)</x:f>
        <x:v>0</x:v>
      </x:c>
      <x:c r="CF350" s="141" t="n">
        <x:f>IF(AND('Carta Contemplada'!$B$22="Sim",$A350&gt;='Carta Contemplada'!$B$44),$F350,0)</x:f>
        <x:v>1068005.826588365</x:v>
      </x:c>
      <x:c r="CG350" s="141" t="n">
        <x:f>CD350+CF350-CE350</x:f>
        <x:v>19897861.537913974</x:v>
      </x:c>
      <x:c r="CH350" s="141" t="n">
        <x:f>IF(CC350&gt;1,"Inviavel",CG350)</x:f>
        <x:v>19897861.537913974</x:v>
      </x:c>
      <x:c r="CI350" s="145" t="str">
        <x:f>IF(CC350&gt;1,"Inviavel","OK")</x:f>
        <x:v>OK</x:v>
      </x:c>
    </x:row>
    <x:row r="351">
      <x:c r="A351" s="142" t="n">
        <x:v>347</x:v>
      </x:c>
      <x:c r="B351" s="179" t="n">
        <x:f>EDATE(Premissas!$B$4,A351-1)</x:f>
        <x:v>57071</x:v>
      </x:c>
      <x:c r="C351" s="141" t="n">
        <x:f>IF(A351&lt;=Premissas!$B$39,Premissas!$B$42,0)</x:f>
        <x:v>7000</x:v>
      </x:c>
      <x:c r="D351" s="141" t="n">
        <x:f>Premissas!$B$54*(1+Premissas!$B$57)^INT((A351-1)/12)</x:f>
        <x:v>3578.1806880022077</x:v>
      </x:c>
      <x:c r="E351" s="141" t="n">
        <x:f>Premissas!$B$64*(1+Premissas!$B$57)^INT((A351-1)/12)</x:f>
        <x:v>3271.479486173447</x:v>
      </x:c>
      <x:c r="F351" s="141" t="n">
        <x:f>MAX(0,Premissas!$B$6*(1+Premissas!$B$66)^((A351-1)/12))</x:f>
        <x:v>1073204.3989533647</x:v>
      </x:c>
      <x:c r="G351" s="141" t="n">
        <x:f>G350*(1+Premissas!$B$41)+C351</x:f>
        <x:v>21173000.477808513</x:v>
      </x:c>
      <x:c r="H351" s="141" t="n">
        <x:f>IF($A351=Premissas!$B$48,Premissas!$B$8,0)</x:f>
        <x:v>0</x:v>
      </x:c>
      <x:c r="I351" s="141" t="n">
        <x:f>IF(AND($A351&gt;=Premissas!$B$48,$A351-Premissas!$B$48+1&lt;=Premissas!$B$13),INDEX(Financiamento!$J$6:$J$485,$A351-Premissas!$B$48+1),0)</x:f>
        <x:v>798.4459722511039</x:v>
      </x:c>
      <x:c r="J351" s="141" t="n">
        <x:f>IF(AND(TRUE,Premissas!$B$11="Imovel",Premissas!$B$47="Moradia",$A351&lt;MAX(Premissas!$B$48,Premissas!$B$49)),$D351,0)</x:f>
        <x:v>0</x:v>
      </x:c>
      <x:c r="K351" s="141" t="n">
        <x:f>IF(AND(TRUE,Premissas!$B$11="Imovel",Premissas!$B$47="Investimento",$A351&gt;=MAX(Premissas!$B$48,Premissas!$B$49)),$E351,0)</x:f>
        <x:v>3271.479486173447</x:v>
      </x:c>
      <x:c r="L351" s="141" t="n">
        <x:f>H351+I351+J351</x:f>
        <x:v>798.4459722511039</x:v>
      </x:c>
      <x:c r="M351" s="141" t="n">
        <x:f>K351</x:f>
        <x:v>3271.479486173447</x:v>
      </x:c>
      <x:c r="N351" s="141" t="n">
        <x:f>$C351+M351-L351</x:f>
        <x:v>9473.033513922344</x:v>
      </x:c>
      <x:c r="O351" s="141" t="n">
        <x:f>R350*(1+Premissas!$B$41)+N351</x:f>
        <x:v>18355242.218509253</x:v>
      </x:c>
      <x:c r="P351" s="141" t="n">
        <x:f>MAX(0,-O351)</x:f>
        <x:v>0</x:v>
      </x:c>
      <x:c r="Q351" s="141" t="n">
        <x:f>Q350*(1+Premissas!$B$41)+P351</x:f>
        <x:v>0</x:v>
      </x:c>
      <x:c r="R351" s="141" t="n">
        <x:f>MAX(0,O351)</x:f>
        <x:v>18355242.218509253</x:v>
      </x:c>
      <x:c r="S351" s="141" t="n">
        <x:f>IF(AND($A351&gt;=Premissas!$B$48,$A351-Premissas!$B$48+1&lt;=Premissas!$B$13),INDEX(Financiamento!$M$6:$M$485,$A351-Premissas!$B$48+1),0)</x:f>
        <x:v>27809.523809523846</x:v>
      </x:c>
      <x:c r="T351" s="141" t="n">
        <x:f>IF($A351&gt;=Premissas!$B$48,$F351,0)</x:f>
        <x:v>1073204.3989533647</x:v>
      </x:c>
      <x:c r="U351" s="141" t="n">
        <x:f>R351+T351-S351</x:f>
        <x:v>19400637.093653094</x:v>
      </x:c>
      <x:c r="V351" s="141" t="n">
        <x:f>IF(Q351&gt;1,"Inviavel",U351)</x:f>
        <x:v>19400637.093653094</x:v>
      </x:c>
      <x:c r="W351" s="141" t="str">
        <x:f>IF(Q351&gt;1,"Inviavel","OK")</x:f>
        <x:v>OK</x:v>
      </x:c>
      <x:c r="X351" s="141" t="n">
        <x:f>IF($A351=Premissas!$B$48,Premissas!$B$8,0)</x:f>
        <x:v>0</x:v>
      </x:c>
      <x:c r="Y351" s="141" t="n">
        <x:f>IF(AND($A351&gt;=Premissas!$B$48,$A351-Premissas!$B$48+1&lt;=Premissas!$B$13),INDEX(Amortizacao!$K$6:$K$485,$A351-Premissas!$B$48+1),0)</x:f>
        <x:v>0</x:v>
      </x:c>
      <x:c r="Z351" s="141" t="n">
        <x:f>IF(AND(TRUE,Premissas!$B$11="Imovel",Premissas!$B$47="Moradia",$A351&lt;MAX(Premissas!$B$48,Premissas!$B$49)),$D351,0)</x:f>
        <x:v>0</x:v>
      </x:c>
      <x:c r="AA351" s="141" t="n">
        <x:f>IF(AND(TRUE,Premissas!$B$11="Imovel",Premissas!$B$47="Investimento",$A351&gt;=MAX(Premissas!$B$48,Premissas!$B$49)),$E351,0)</x:f>
        <x:v>3271.479486173447</x:v>
      </x:c>
      <x:c r="AB351" s="141" t="n">
        <x:f>X351+Y351+Z351</x:f>
        <x:v>0</x:v>
      </x:c>
      <x:c r="AC351" s="141" t="n">
        <x:f>AA351</x:f>
        <x:v>3271.479486173447</x:v>
      </x:c>
      <x:c r="AD351" s="141" t="n">
        <x:f>$C351+AC351-AB351</x:f>
        <x:v>10271.479486173448</x:v>
      </x:c>
      <x:c r="AE351" s="141" t="n">
        <x:f>AH350*(1+Premissas!$B$41)+AD351</x:f>
        <x:v>18636233.824436396</x:v>
      </x:c>
      <x:c r="AF351" s="141" t="n">
        <x:f>MAX(0,-AE351)</x:f>
        <x:v>0</x:v>
      </x:c>
      <x:c r="AG351" s="141" t="n">
        <x:f>AG350*(1+Premissas!$B$41)+AF351</x:f>
        <x:v>0</x:v>
      </x:c>
      <x:c r="AH351" s="141" t="n">
        <x:f>MAX(0,AE351)</x:f>
        <x:v>18636233.824436396</x:v>
      </x:c>
      <x:c r="AI351" s="141" t="n">
        <x:f>IF(AND($A351&gt;=Premissas!$B$48,$A351-Premissas!$B$48+1&lt;=Premissas!$B$13),INDEX(Amortizacao!$L$6:$L$485,$A351-Premissas!$B$48+1),0)</x:f>
        <x:v>0</x:v>
      </x:c>
      <x:c r="AJ351" s="141" t="n">
        <x:f>IF($A351&gt;=Premissas!$B$48,$F351,0)</x:f>
        <x:v>1073204.3989533647</x:v>
      </x:c>
      <x:c r="AK351" s="141" t="n">
        <x:f>AH351+AJ351-AI351</x:f>
        <x:v>19709438.22338976</x:v>
      </x:c>
      <x:c r="AL351" s="141" t="n">
        <x:f>IF(AG351&gt;1,"Inviavel",AK351)</x:f>
        <x:v>19709438.22338976</x:v>
      </x:c>
      <x:c r="AM351" s="141" t="str">
        <x:f>IF(AG351&gt;1,"Inviavel","OK")</x:f>
        <x:v>OK</x:v>
      </x:c>
      <x:c r="AN351" s="141" t="n">
        <x:f>IF($A351=Premissas!$B$48,Premissas!$B$8,0)</x:f>
        <x:v>0</x:v>
      </x:c>
      <x:c r="AO351" s="141" t="n">
        <x:f>IF($A351&lt;=Premissas!$B$25,INDEX('Consorcio IQ'!$K$6:$K$485,$A351),0)</x:f>
        <x:v>0</x:v>
      </x:c>
      <x:c r="AP351" s="141" t="n">
        <x:f>IF(AND(TRUE,Premissas!$B$11="Imovel",Premissas!$B$47="Moradia",$A351&lt;MAX(Premissas!$B$48,Premissas!$B$49)),$D351,0)</x:f>
        <x:v>0</x:v>
      </x:c>
      <x:c r="AQ351" s="141" t="n">
        <x:f>IF(AND(TRUE,Premissas!$B$11="Imovel",Premissas!$B$47="Investimento",$A351&gt;=MAX(Premissas!$B$48,Premissas!$B$49)),$E351,0)</x:f>
        <x:v>3271.479486173447</x:v>
      </x:c>
      <x:c r="AR351" s="141" t="n">
        <x:f>AN351+AO351+AP351</x:f>
        <x:v>0</x:v>
      </x:c>
      <x:c r="AS351" s="141" t="n">
        <x:f>AQ351</x:f>
        <x:v>3271.479486173447</x:v>
      </x:c>
      <x:c r="AT351" s="141" t="n">
        <x:f>$C351+AS351-AR351</x:f>
        <x:v>10271.479486173448</x:v>
      </x:c>
      <x:c r="AU351" s="141" t="n">
        <x:f>AX350*(1+Premissas!$B$41)+AT351</x:f>
        <x:v>18484531.017845195</x:v>
      </x:c>
      <x:c r="AV351" s="141" t="n">
        <x:f>MAX(0,-AU351)</x:f>
        <x:v>0</x:v>
      </x:c>
      <x:c r="AW351" s="141" t="n">
        <x:f>AW350*(1+Premissas!$B$41)+AV351</x:f>
        <x:v>0</x:v>
      </x:c>
      <x:c r="AX351" s="141" t="n">
        <x:f>MAX(0,AU351)</x:f>
        <x:v>18484531.017845195</x:v>
      </x:c>
      <x:c r="AY351" s="141" t="n">
        <x:f>INDEX('Consorcio IQ'!$P$6:$P$485,$A351)</x:f>
        <x:v>0</x:v>
      </x:c>
      <x:c r="AZ351" s="141" t="n">
        <x:f>IF($A351&gt;=Premissas!$B$48,$F351,0)+IF($A351&lt;Premissas!$B$27,INDEX('Consorcio IQ'!$O$6:$O$485,$A351),0)</x:f>
        <x:v>1073204.3989533647</x:v>
      </x:c>
      <x:c r="BA351" s="141" t="n">
        <x:f>AX351+AZ351-AY351</x:f>
        <x:v>19557735.416798558</x:v>
      </x:c>
      <x:c r="BB351" s="141" t="n">
        <x:f>IF(AW351&gt;1,"Inviavel",BA351)</x:f>
        <x:v>19557735.416798558</x:v>
      </x:c>
      <x:c r="BC351" s="141" t="str">
        <x:f>IF(AW351&gt;1,"Inviavel","OK")</x:f>
        <x:v>OK</x:v>
      </x:c>
      <x:c r="BD351" s="141" t="n">
        <x:f>IF($A351='Consorcio Direto'!$B$29,'Consorcio Direto'!$B$44,0)</x:f>
        <x:v>0</x:v>
      </x:c>
      <x:c r="BE351" s="141" t="n">
        <x:f>IF($A351&lt;='Consorcio Direto'!$B$27,INDEX('Consorcio Direto'!$E$55:$E$534,$A351),0)</x:f>
        <x:v>0</x:v>
      </x:c>
      <x:c r="BF351" s="141" t="n">
        <x:f>IF(AND(TRUE,Premissas!$B$11="Imovel",Premissas!$B$47="Moradia",$A351&lt;MAX('Consorcio Direto'!$B$29,Premissas!$B$49)),$D351,0)</x:f>
        <x:v>0</x:v>
      </x:c>
      <x:c r="BG351" s="141" t="n">
        <x:f>IF(AND(TRUE,Premissas!$B$11="Imovel",Premissas!$B$47="Investimento",$A351&gt;=MAX('Consorcio Direto'!$B$29,Premissas!$B$49)),$E351,0)</x:f>
        <x:v>3271.479486173447</x:v>
      </x:c>
      <x:c r="BH351" s="141" t="n">
        <x:f>BD351+BE351+BF351</x:f>
        <x:v>0</x:v>
      </x:c>
      <x:c r="BI351" s="141" t="n">
        <x:f>BG351</x:f>
        <x:v>3271.479486173447</x:v>
      </x:c>
      <x:c r="BJ351" s="141" t="n">
        <x:f>$C351+BI351-BH351</x:f>
        <x:v>10271.479486173448</x:v>
      </x:c>
      <x:c r="BK351" s="141" t="n">
        <x:f>BN350*(1+Premissas!$B$41)+BJ351</x:f>
        <x:v>17664669.982540905</x:v>
      </x:c>
      <x:c r="BL351" s="141" t="n">
        <x:f>MAX(0,-BK351)</x:f>
        <x:v>0</x:v>
      </x:c>
      <x:c r="BM351" s="141" t="n">
        <x:f>BM350*(1+Premissas!$B$41)+BL351</x:f>
        <x:v>0</x:v>
      </x:c>
      <x:c r="BN351" s="141" t="n">
        <x:f>MAX(0,BK351)</x:f>
        <x:v>17664669.982540905</x:v>
      </x:c>
      <x:c r="BO351" s="141" t="n">
        <x:f>INDEX('Consorcio Direto'!$K$55:$K$534,$A351)</x:f>
        <x:v>0</x:v>
      </x:c>
      <x:c r="BP351" s="141" t="n">
        <x:f>IF($A351&lt;'Consorcio Direto'!$B$29,INDEX('Consorcio Direto'!$L$55:$L$534,$A351),$F351)</x:f>
        <x:v>1073204.3989533647</x:v>
      </x:c>
      <x:c r="BQ351" s="141" t="n">
        <x:f>BN351+BP351-BO351</x:f>
        <x:v>18737874.38149427</x:v>
      </x:c>
      <x:c r="BR351" s="141" t="n">
        <x:f>IF(BM351&gt;1,"Inviavel",BQ351)</x:f>
        <x:v>18737874.38149427</x:v>
      </x:c>
      <x:c r="BS351" s="141" t="str">
        <x:f>IF(BM351&gt;1,"Inviavel","OK")</x:f>
        <x:v>OK</x:v>
      </x:c>
      <x:c r="BT351" s="141" t="n">
        <x:f>IF(AND('Carta Contemplada'!$B$22="Sim",$A351='Carta Contemplada'!$B$23),'Carta Contemplada'!$B$37,0)</x:f>
        <x:v>0</x:v>
      </x:c>
      <x:c r="BU351" s="141" t="n">
        <x:f>IF('Carta Contemplada'!$B$22="Sim",INDEX('Carta Contemplada'!$C$55:$C$1013,$A351),0)</x:f>
        <x:v>0</x:v>
      </x:c>
      <x:c r="BV351" s="141" t="n">
        <x:f>IF(AND('Carta Contemplada'!$B$22="Sim",Premissas!$B$11="Imovel",Premissas!$B$47="Moradia",$A351&lt;MAX('Carta Contemplada'!$B$44,Premissas!$B$49)),$D351,0)</x:f>
        <x:v>0</x:v>
      </x:c>
      <x:c r="BW351" s="141" t="n">
        <x:f>IF(AND('Carta Contemplada'!$B$22="Sim",Premissas!$B$11="Imovel",Premissas!$B$47="Investimento",$A351&gt;=MAX('Carta Contemplada'!$B$44,Premissas!$B$49)),$E351,0)</x:f>
        <x:v>3271.479486173447</x:v>
      </x:c>
      <x:c r="BX351" s="141" t="n">
        <x:f>BT351+BU351+BV351</x:f>
        <x:v>0</x:v>
      </x:c>
      <x:c r="BY351" s="141" t="n">
        <x:f>BW351</x:f>
        <x:v>3271.479486173447</x:v>
      </x:c>
      <x:c r="BZ351" s="141" t="n">
        <x:f>$C351+BY351-BX351</x:f>
        <x:v>10271.479486173448</x:v>
      </x:c>
      <x:c r="CA351" s="141" t="n">
        <x:f>CD350*(1+Premissas!$B$41)+BZ351</x:f>
        <x:v>19018799.792644627</x:v>
      </x:c>
      <x:c r="CB351" s="141" t="n">
        <x:f>MAX(0,-CA351)</x:f>
        <x:v>0</x:v>
      </x:c>
      <x:c r="CC351" s="141" t="n">
        <x:f>CC350*(1+Premissas!$B$41)+CB351</x:f>
        <x:v>0</x:v>
      </x:c>
      <x:c r="CD351" s="141" t="n">
        <x:f>MAX(0,CA351)</x:f>
        <x:v>19018799.792644627</x:v>
      </x:c>
      <x:c r="CE351" s="141" t="n">
        <x:f>IF(AND('Carta Contemplada'!$B$22="Sim",$A351&gt;='Carta Contemplada'!$B$23),INDEX('Carta Contemplada'!$I$55:$I$1013,$A351),0)</x:f>
        <x:v>0</x:v>
      </x:c>
      <x:c r="CF351" s="141" t="n">
        <x:f>IF(AND('Carta Contemplada'!$B$22="Sim",$A351&gt;='Carta Contemplada'!$B$44),$F351,0)</x:f>
        <x:v>1073204.3989533647</x:v>
      </x:c>
      <x:c r="CG351" s="141" t="n">
        <x:f>CD351+CF351-CE351</x:f>
        <x:v>20092004.19159799</x:v>
      </x:c>
      <x:c r="CH351" s="141" t="n">
        <x:f>IF(CC351&gt;1,"Inviavel",CG351)</x:f>
        <x:v>20092004.19159799</x:v>
      </x:c>
      <x:c r="CI351" s="145" t="str">
        <x:f>IF(CC351&gt;1,"Inviavel","OK")</x:f>
        <x:v>OK</x:v>
      </x:c>
    </x:row>
    <x:row r="352">
      <x:c r="A352" s="142" t="n">
        <x:v>348</x:v>
      </x:c>
      <x:c r="B352" s="179" t="n">
        <x:f>EDATE(Premissas!$B$4,A352-1)</x:f>
        <x:v>57101</x:v>
      </x:c>
      <x:c r="C352" s="141" t="n">
        <x:f>IF(A352&lt;=Premissas!$B$39,Premissas!$B$42,0)</x:f>
        <x:v>7000</x:v>
      </x:c>
      <x:c r="D352" s="141" t="n">
        <x:f>Premissas!$B$54*(1+Premissas!$B$57)^INT((A352-1)/12)</x:f>
        <x:v>3578.1806880022077</x:v>
      </x:c>
      <x:c r="E352" s="141" t="n">
        <x:f>Premissas!$B$64*(1+Premissas!$B$57)^INT((A352-1)/12)</x:f>
        <x:v>3271.479486173447</x:v>
      </x:c>
      <x:c r="F352" s="141" t="n">
        <x:f>MAX(0,Premissas!$B$6*(1+Premissas!$B$66)^((A352-1)/12))</x:f>
        <x:v>1078428.275632219</x:v>
      </x:c>
      <x:c r="G352" s="141" t="n">
        <x:f>G351*(1+Premissas!$B$41)+C352</x:f>
        <x:v>21380906.695146266</x:v>
      </x:c>
      <x:c r="H352" s="141" t="n">
        <x:f>IF($A352=Premissas!$B$48,Premissas!$B$8,0)</x:f>
        <x:v>0</x:v>
      </x:c>
      <x:c r="I352" s="141" t="n">
        <x:f>IF(AND($A352&gt;=Premissas!$B$48,$A352-Premissas!$B$48+1&lt;=Premissas!$B$13),INDEX(Financiamento!$J$6:$J$485,$A352-Premissas!$B$48+1),0)</x:f>
        <x:v>794.8311939903103</x:v>
      </x:c>
      <x:c r="J352" s="141" t="n">
        <x:f>IF(AND(TRUE,Premissas!$B$11="Imovel",Premissas!$B$47="Moradia",$A352&lt;MAX(Premissas!$B$48,Premissas!$B$49)),$D352,0)</x:f>
        <x:v>0</x:v>
      </x:c>
      <x:c r="K352" s="141" t="n">
        <x:f>IF(AND(TRUE,Premissas!$B$11="Imovel",Premissas!$B$47="Investimento",$A352&gt;=MAX(Premissas!$B$48,Premissas!$B$49)),$E352,0)</x:f>
        <x:v>3271.479486173447</x:v>
      </x:c>
      <x:c r="L352" s="141" t="n">
        <x:f>H352+I352+J352</x:f>
        <x:v>794.8311939903103</x:v>
      </x:c>
      <x:c r="M352" s="141" t="n">
        <x:f>K352</x:f>
        <x:v>3271.479486173447</x:v>
      </x:c>
      <x:c r="N352" s="141" t="n">
        <x:f>$C352+M352-L352</x:f>
        <x:v>9476.648292183138</x:v>
      </x:c>
      <x:c r="O352" s="141" t="n">
        <x:f>R351*(1+Premissas!$B$41)+N352</x:f>
        <x:v>18538887.95947699</x:v>
      </x:c>
      <x:c r="P352" s="141" t="n">
        <x:f>MAX(0,-O352)</x:f>
        <x:v>0</x:v>
      </x:c>
      <x:c r="Q352" s="141" t="n">
        <x:f>Q351*(1+Premissas!$B$41)+P352</x:f>
        <x:v>0</x:v>
      </x:c>
      <x:c r="R352" s="141" t="n">
        <x:f>MAX(0,O352)</x:f>
        <x:v>18538887.95947699</x:v>
      </x:c>
      <x:c r="S352" s="141" t="n">
        <x:f>IF(AND($A352&gt;=Premissas!$B$48,$A352-Premissas!$B$48+1&lt;=Premissas!$B$13),INDEX(Financiamento!$M$6:$M$485,$A352-Premissas!$B$48+1),0)</x:f>
        <x:v>27428.571428571464</x:v>
      </x:c>
      <x:c r="T352" s="141" t="n">
        <x:f>IF($A352&gt;=Premissas!$B$48,$F352,0)</x:f>
        <x:v>1078428.275632219</x:v>
      </x:c>
      <x:c r="U352" s="141" t="n">
        <x:f>R352+T352-S352</x:f>
        <x:v>19589887.663680635</x:v>
      </x:c>
      <x:c r="V352" s="141" t="n">
        <x:f>IF(Q352&gt;1,"Inviavel",U352)</x:f>
        <x:v>19589887.663680635</x:v>
      </x:c>
      <x:c r="W352" s="141" t="str">
        <x:f>IF(Q352&gt;1,"Inviavel","OK")</x:f>
        <x:v>OK</x:v>
      </x:c>
      <x:c r="X352" s="141" t="n">
        <x:f>IF($A352=Premissas!$B$48,Premissas!$B$8,0)</x:f>
        <x:v>0</x:v>
      </x:c>
      <x:c r="Y352" s="141" t="n">
        <x:f>IF(AND($A352&gt;=Premissas!$B$48,$A352-Premissas!$B$48+1&lt;=Premissas!$B$13),INDEX(Amortizacao!$K$6:$K$485,$A352-Premissas!$B$48+1),0)</x:f>
        <x:v>0</x:v>
      </x:c>
      <x:c r="Z352" s="141" t="n">
        <x:f>IF(AND(TRUE,Premissas!$B$11="Imovel",Premissas!$B$47="Moradia",$A352&lt;MAX(Premissas!$B$48,Premissas!$B$49)),$D352,0)</x:f>
        <x:v>0</x:v>
      </x:c>
      <x:c r="AA352" s="141" t="n">
        <x:f>IF(AND(TRUE,Premissas!$B$11="Imovel",Premissas!$B$47="Investimento",$A352&gt;=MAX(Premissas!$B$48,Premissas!$B$49)),$E352,0)</x:f>
        <x:v>3271.479486173447</x:v>
      </x:c>
      <x:c r="AB352" s="141" t="n">
        <x:f>X352+Y352+Z352</x:f>
        <x:v>0</x:v>
      </x:c>
      <x:c r="AC352" s="141" t="n">
        <x:f>AA352</x:f>
        <x:v>3271.479486173447</x:v>
      </x:c>
      <x:c r="AD352" s="141" t="n">
        <x:f>$C352+AC352-AB352</x:f>
        <x:v>10271.479486173448</x:v>
      </x:c>
      <x:c r="AE352" s="141" t="n">
        <x:f>AH351*(1+Premissas!$B$41)+AD352</x:f>
        <x:v>18823340.66776312</x:v>
      </x:c>
      <x:c r="AF352" s="141" t="n">
        <x:f>MAX(0,-AE352)</x:f>
        <x:v>0</x:v>
      </x:c>
      <x:c r="AG352" s="141" t="n">
        <x:f>AG351*(1+Premissas!$B$41)+AF352</x:f>
        <x:v>0</x:v>
      </x:c>
      <x:c r="AH352" s="141" t="n">
        <x:f>MAX(0,AE352)</x:f>
        <x:v>18823340.66776312</x:v>
      </x:c>
      <x:c r="AI352" s="141" t="n">
        <x:f>IF(AND($A352&gt;=Premissas!$B$48,$A352-Premissas!$B$48+1&lt;=Premissas!$B$13),INDEX(Amortizacao!$L$6:$L$485,$A352-Premissas!$B$48+1),0)</x:f>
        <x:v>0</x:v>
      </x:c>
      <x:c r="AJ352" s="141" t="n">
        <x:f>IF($A352&gt;=Premissas!$B$48,$F352,0)</x:f>
        <x:v>1078428.275632219</x:v>
      </x:c>
      <x:c r="AK352" s="141" t="n">
        <x:f>AH352+AJ352-AI352</x:f>
        <x:v>19901768.94339534</x:v>
      </x:c>
      <x:c r="AL352" s="141" t="n">
        <x:f>IF(AG352&gt;1,"Inviavel",AK352)</x:f>
        <x:v>19901768.94339534</x:v>
      </x:c>
      <x:c r="AM352" s="141" t="str">
        <x:f>IF(AG352&gt;1,"Inviavel","OK")</x:f>
        <x:v>OK</x:v>
      </x:c>
      <x:c r="AN352" s="141" t="n">
        <x:f>IF($A352=Premissas!$B$48,Premissas!$B$8,0)</x:f>
        <x:v>0</x:v>
      </x:c>
      <x:c r="AO352" s="141" t="n">
        <x:f>IF($A352&lt;=Premissas!$B$25,INDEX('Consorcio IQ'!$K$6:$K$485,$A352),0)</x:f>
        <x:v>0</x:v>
      </x:c>
      <x:c r="AP352" s="141" t="n">
        <x:f>IF(AND(TRUE,Premissas!$B$11="Imovel",Premissas!$B$47="Moradia",$A352&lt;MAX(Premissas!$B$48,Premissas!$B$49)),$D352,0)</x:f>
        <x:v>0</x:v>
      </x:c>
      <x:c r="AQ352" s="141" t="n">
        <x:f>IF(AND(TRUE,Premissas!$B$11="Imovel",Premissas!$B$47="Investimento",$A352&gt;=MAX(Premissas!$B$48,Premissas!$B$49)),$E352,0)</x:f>
        <x:v>3271.479486173447</x:v>
      </x:c>
      <x:c r="AR352" s="141" t="n">
        <x:f>AN352+AO352+AP352</x:f>
        <x:v>0</x:v>
      </x:c>
      <x:c r="AS352" s="141" t="n">
        <x:f>AQ352</x:f>
        <x:v>3271.479486173447</x:v>
      </x:c>
      <x:c r="AT352" s="141" t="n">
        <x:f>$C352+AS352-AR352</x:f>
        <x:v>10271.479486173448</x:v>
      </x:c>
      <x:c r="AU352" s="141" t="n">
        <x:f>AX351*(1+Premissas!$B$41)+AT352</x:f>
        <x:v>18670198.38465258</x:v>
      </x:c>
      <x:c r="AV352" s="141" t="n">
        <x:f>MAX(0,-AU352)</x:f>
        <x:v>0</x:v>
      </x:c>
      <x:c r="AW352" s="141" t="n">
        <x:f>AW351*(1+Premissas!$B$41)+AV352</x:f>
        <x:v>0</x:v>
      </x:c>
      <x:c r="AX352" s="141" t="n">
        <x:f>MAX(0,AU352)</x:f>
        <x:v>18670198.38465258</x:v>
      </x:c>
      <x:c r="AY352" s="141" t="n">
        <x:f>INDEX('Consorcio IQ'!$P$6:$P$485,$A352)</x:f>
        <x:v>0</x:v>
      </x:c>
      <x:c r="AZ352" s="141" t="n">
        <x:f>IF($A352&gt;=Premissas!$B$48,$F352,0)+IF($A352&lt;Premissas!$B$27,INDEX('Consorcio IQ'!$O$6:$O$485,$A352),0)</x:f>
        <x:v>1078428.275632219</x:v>
      </x:c>
      <x:c r="BA352" s="141" t="n">
        <x:f>AX352+AZ352-AY352</x:f>
        <x:v>19748626.6602848</x:v>
      </x:c>
      <x:c r="BB352" s="141" t="n">
        <x:f>IF(AW352&gt;1,"Inviavel",BA352)</x:f>
        <x:v>19748626.6602848</x:v>
      </x:c>
      <x:c r="BC352" s="141" t="str">
        <x:f>IF(AW352&gt;1,"Inviavel","OK")</x:f>
        <x:v>OK</x:v>
      </x:c>
      <x:c r="BD352" s="141" t="n">
        <x:f>IF($A352='Consorcio Direto'!$B$29,'Consorcio Direto'!$B$44,0)</x:f>
        <x:v>0</x:v>
      </x:c>
      <x:c r="BE352" s="141" t="n">
        <x:f>IF($A352&lt;='Consorcio Direto'!$B$27,INDEX('Consorcio Direto'!$E$55:$E$534,$A352),0)</x:f>
        <x:v>0</x:v>
      </x:c>
      <x:c r="BF352" s="141" t="n">
        <x:f>IF(AND(TRUE,Premissas!$B$11="Imovel",Premissas!$B$47="Moradia",$A352&lt;MAX('Consorcio Direto'!$B$29,Premissas!$B$49)),$D352,0)</x:f>
        <x:v>0</x:v>
      </x:c>
      <x:c r="BG352" s="141" t="n">
        <x:f>IF(AND(TRUE,Premissas!$B$11="Imovel",Premissas!$B$47="Investimento",$A352&gt;=MAX('Consorcio Direto'!$B$29,Premissas!$B$49)),$E352,0)</x:f>
        <x:v>3271.479486173447</x:v>
      </x:c>
      <x:c r="BH352" s="141" t="n">
        <x:f>BD352+BE352+BF352</x:f>
        <x:v>0</x:v>
      </x:c>
      <x:c r="BI352" s="141" t="n">
        <x:f>BG352</x:f>
        <x:v>3271.479486173447</x:v>
      </x:c>
      <x:c r="BJ352" s="141" t="n">
        <x:f>$C352+BI352-BH352</x:f>
        <x:v>10271.479486173448</x:v>
      </x:c>
      <x:c r="BK352" s="141" t="n">
        <x:f>BN351*(1+Premissas!$B$41)+BJ352</x:f>
        <x:v>17842557.857749157</x:v>
      </x:c>
      <x:c r="BL352" s="141" t="n">
        <x:f>MAX(0,-BK352)</x:f>
        <x:v>0</x:v>
      </x:c>
      <x:c r="BM352" s="141" t="n">
        <x:f>BM351*(1+Premissas!$B$41)+BL352</x:f>
        <x:v>0</x:v>
      </x:c>
      <x:c r="BN352" s="141" t="n">
        <x:f>MAX(0,BK352)</x:f>
        <x:v>17842557.857749157</x:v>
      </x:c>
      <x:c r="BO352" s="141" t="n">
        <x:f>INDEX('Consorcio Direto'!$K$55:$K$534,$A352)</x:f>
        <x:v>0</x:v>
      </x:c>
      <x:c r="BP352" s="141" t="n">
        <x:f>IF($A352&lt;'Consorcio Direto'!$B$29,INDEX('Consorcio Direto'!$L$55:$L$534,$A352),$F352)</x:f>
        <x:v>1078428.275632219</x:v>
      </x:c>
      <x:c r="BQ352" s="141" t="n">
        <x:f>BN352+BP352-BO352</x:f>
        <x:v>18920986.133381374</x:v>
      </x:c>
      <x:c r="BR352" s="141" t="n">
        <x:f>IF(BM352&gt;1,"Inviavel",BQ352)</x:f>
        <x:v>18920986.133381374</x:v>
      </x:c>
      <x:c r="BS352" s="141" t="str">
        <x:f>IF(BM352&gt;1,"Inviavel","OK")</x:f>
        <x:v>OK</x:v>
      </x:c>
      <x:c r="BT352" s="141" t="n">
        <x:f>IF(AND('Carta Contemplada'!$B$22="Sim",$A352='Carta Contemplada'!$B$23),'Carta Contemplada'!$B$37,0)</x:f>
        <x:v>0</x:v>
      </x:c>
      <x:c r="BU352" s="141" t="n">
        <x:f>IF('Carta Contemplada'!$B$22="Sim",INDEX('Carta Contemplada'!$C$55:$C$1013,$A352),0)</x:f>
        <x:v>0</x:v>
      </x:c>
      <x:c r="BV352" s="141" t="n">
        <x:f>IF(AND('Carta Contemplada'!$B$22="Sim",Premissas!$B$11="Imovel",Premissas!$B$47="Moradia",$A352&lt;MAX('Carta Contemplada'!$B$44,Premissas!$B$49)),$D352,0)</x:f>
        <x:v>0</x:v>
      </x:c>
      <x:c r="BW352" s="141" t="n">
        <x:f>IF(AND('Carta Contemplada'!$B$22="Sim",Premissas!$B$11="Imovel",Premissas!$B$47="Investimento",$A352&gt;=MAX('Carta Contemplada'!$B$44,Premissas!$B$49)),$E352,0)</x:f>
        <x:v>3271.479486173447</x:v>
      </x:c>
      <x:c r="BX352" s="141" t="n">
        <x:f>BT352+BU352+BV352</x:f>
        <x:v>0</x:v>
      </x:c>
      <x:c r="BY352" s="141" t="n">
        <x:f>BW352</x:f>
        <x:v>3271.479486173447</x:v>
      </x:c>
      <x:c r="BZ352" s="141" t="n">
        <x:f>$C352+BY352-BX352</x:f>
        <x:v>10271.479486173448</x:v>
      </x:c>
      <x:c r="CA352" s="141" t="n">
        <x:f>CD351*(1+Premissas!$B$41)+BZ352</x:f>
        <x:v>19209536.725227498</x:v>
      </x:c>
      <x:c r="CB352" s="141" t="n">
        <x:f>MAX(0,-CA352)</x:f>
        <x:v>0</x:v>
      </x:c>
      <x:c r="CC352" s="141" t="n">
        <x:f>CC351*(1+Premissas!$B$41)+CB352</x:f>
        <x:v>0</x:v>
      </x:c>
      <x:c r="CD352" s="141" t="n">
        <x:f>MAX(0,CA352)</x:f>
        <x:v>19209536.725227498</x:v>
      </x:c>
      <x:c r="CE352" s="141" t="n">
        <x:f>IF(AND('Carta Contemplada'!$B$22="Sim",$A352&gt;='Carta Contemplada'!$B$23),INDEX('Carta Contemplada'!$I$55:$I$1013,$A352),0)</x:f>
        <x:v>0</x:v>
      </x:c>
      <x:c r="CF352" s="141" t="n">
        <x:f>IF(AND('Carta Contemplada'!$B$22="Sim",$A352&gt;='Carta Contemplada'!$B$44),$F352,0)</x:f>
        <x:v>1078428.275632219</x:v>
      </x:c>
      <x:c r="CG352" s="141" t="n">
        <x:f>CD352+CF352-CE352</x:f>
        <x:v>20287965.000859715</x:v>
      </x:c>
      <x:c r="CH352" s="141" t="n">
        <x:f>IF(CC352&gt;1,"Inviavel",CG352)</x:f>
        <x:v>20287965.000859715</x:v>
      </x:c>
      <x:c r="CI352" s="145" t="str">
        <x:f>IF(CC352&gt;1,"Inviavel","OK")</x:f>
        <x:v>OK</x:v>
      </x:c>
    </x:row>
    <x:row r="353">
      <x:c r="A353" s="142" t="n">
        <x:v>349</x:v>
      </x:c>
      <x:c r="B353" s="179" t="n">
        <x:f>EDATE(Premissas!$B$4,A353-1)</x:f>
        <x:v>57132</x:v>
      </x:c>
      <x:c r="C353" s="141" t="n">
        <x:f>IF(A353&lt;=Premissas!$B$39,Premissas!$B$42,0)</x:f>
        <x:v>7000</x:v>
      </x:c>
      <x:c r="D353" s="141" t="n">
        <x:f>Premissas!$B$54*(1+Premissas!$B$57)^INT((A353-1)/12)</x:f>
        <x:v>3792.8715292823404</x:v>
      </x:c>
      <x:c r="E353" s="141" t="n">
        <x:f>Premissas!$B$64*(1+Premissas!$B$57)^INT((A353-1)/12)</x:f>
        <x:v>3467.768255343854</x:v>
      </x:c>
      <x:c r="F353" s="141" t="n">
        <x:f>MAX(0,Premissas!$B$6*(1+Premissas!$B$66)^((A353-1)/12))</x:f>
        <x:v>1083677.5797949545</x:v>
      </x:c>
      <x:c r="G353" s="141" t="n">
        <x:f>G352*(1+Premissas!$B$41)+C353</x:f>
        <x:v>21590785.69153015</x:v>
      </x:c>
      <x:c r="H353" s="141" t="n">
        <x:f>IF($A353=Premissas!$B$48,Premissas!$B$8,0)</x:f>
        <x:v>0</x:v>
      </x:c>
      <x:c r="I353" s="141" t="n">
        <x:f>IF(AND($A353&gt;=Premissas!$B$48,$A353-Premissas!$B$48+1&lt;=Premissas!$B$13),INDEX(Financiamento!$J$6:$J$485,$A353-Premissas!$B$48+1),0)</x:f>
        <x:v>791.2164157295167</x:v>
      </x:c>
      <x:c r="J353" s="141" t="n">
        <x:f>IF(AND(TRUE,Premissas!$B$11="Imovel",Premissas!$B$47="Moradia",$A353&lt;MAX(Premissas!$B$48,Premissas!$B$49)),$D353,0)</x:f>
        <x:v>0</x:v>
      </x:c>
      <x:c r="K353" s="141" t="n">
        <x:f>IF(AND(TRUE,Premissas!$B$11="Imovel",Premissas!$B$47="Investimento",$A353&gt;=MAX(Premissas!$B$48,Premissas!$B$49)),$E353,0)</x:f>
        <x:v>3467.768255343854</x:v>
      </x:c>
      <x:c r="L353" s="141" t="n">
        <x:f>H353+I353+J353</x:f>
        <x:v>791.2164157295167</x:v>
      </x:c>
      <x:c r="M353" s="141" t="n">
        <x:f>K353</x:f>
        <x:v>3467.768255343854</x:v>
      </x:c>
      <x:c r="N353" s="141" t="n">
        <x:f>$C353+M353-L353</x:f>
        <x:v>9676.551839614336</x:v>
      </x:c>
      <x:c r="O353" s="141" t="n">
        <x:f>R352*(1+Premissas!$B$41)+N353</x:f>
        <x:v>18724476.180401515</x:v>
      </x:c>
      <x:c r="P353" s="141" t="n">
        <x:f>MAX(0,-O353)</x:f>
        <x:v>0</x:v>
      </x:c>
      <x:c r="Q353" s="141" t="n">
        <x:f>Q352*(1+Premissas!$B$41)+P353</x:f>
        <x:v>0</x:v>
      </x:c>
      <x:c r="R353" s="141" t="n">
        <x:f>MAX(0,O353)</x:f>
        <x:v>18724476.180401515</x:v>
      </x:c>
      <x:c r="S353" s="141" t="n">
        <x:f>IF(AND($A353&gt;=Premissas!$B$48,$A353-Premissas!$B$48+1&lt;=Premissas!$B$13),INDEX(Financiamento!$M$6:$M$485,$A353-Premissas!$B$48+1),0)</x:f>
        <x:v>27047.619047619082</x:v>
      </x:c>
      <x:c r="T353" s="141" t="n">
        <x:f>IF($A353&gt;=Premissas!$B$48,$F353,0)</x:f>
        <x:v>1083677.5797949545</x:v>
      </x:c>
      <x:c r="U353" s="141" t="n">
        <x:f>R353+T353-S353</x:f>
        <x:v>19781106.14114885</x:v>
      </x:c>
      <x:c r="V353" s="141" t="n">
        <x:f>IF(Q353&gt;1,"Inviavel",U353)</x:f>
        <x:v>19781106.14114885</x:v>
      </x:c>
      <x:c r="W353" s="141" t="str">
        <x:f>IF(Q353&gt;1,"Inviavel","OK")</x:f>
        <x:v>OK</x:v>
      </x:c>
      <x:c r="X353" s="141" t="n">
        <x:f>IF($A353=Premissas!$B$48,Premissas!$B$8,0)</x:f>
        <x:v>0</x:v>
      </x:c>
      <x:c r="Y353" s="141" t="n">
        <x:f>IF(AND($A353&gt;=Premissas!$B$48,$A353-Premissas!$B$48+1&lt;=Premissas!$B$13),INDEX(Amortizacao!$K$6:$K$485,$A353-Premissas!$B$48+1),0)</x:f>
        <x:v>0</x:v>
      </x:c>
      <x:c r="Z353" s="141" t="n">
        <x:f>IF(AND(TRUE,Premissas!$B$11="Imovel",Premissas!$B$47="Moradia",$A353&lt;MAX(Premissas!$B$48,Premissas!$B$49)),$D353,0)</x:f>
        <x:v>0</x:v>
      </x:c>
      <x:c r="AA353" s="141" t="n">
        <x:f>IF(AND(TRUE,Premissas!$B$11="Imovel",Premissas!$B$47="Investimento",$A353&gt;=MAX(Premissas!$B$48,Premissas!$B$49)),$E353,0)</x:f>
        <x:v>3467.768255343854</x:v>
      </x:c>
      <x:c r="AB353" s="141" t="n">
        <x:f>X353+Y353+Z353</x:f>
        <x:v>0</x:v>
      </x:c>
      <x:c r="AC353" s="141" t="n">
        <x:f>AA353</x:f>
        <x:v>3467.768255343854</x:v>
      </x:c>
      <x:c r="AD353" s="141" t="n">
        <x:f>$C353+AC353-AB353</x:f>
        <x:v>10467.768255343854</x:v>
      </x:c>
      <x:c r="AE353" s="141" t="n">
        <x:f>AH352*(1+Premissas!$B$41)+AD353</x:f>
        <x:v>19012419.217951987</x:v>
      </x:c>
      <x:c r="AF353" s="141" t="n">
        <x:f>MAX(0,-AE353)</x:f>
        <x:v>0</x:v>
      </x:c>
      <x:c r="AG353" s="141" t="n">
        <x:f>AG352*(1+Premissas!$B$41)+AF353</x:f>
        <x:v>0</x:v>
      </x:c>
      <x:c r="AH353" s="141" t="n">
        <x:f>MAX(0,AE353)</x:f>
        <x:v>19012419.217951987</x:v>
      </x:c>
      <x:c r="AI353" s="141" t="n">
        <x:f>IF(AND($A353&gt;=Premissas!$B$48,$A353-Premissas!$B$48+1&lt;=Premissas!$B$13),INDEX(Amortizacao!$L$6:$L$485,$A353-Premissas!$B$48+1),0)</x:f>
        <x:v>0</x:v>
      </x:c>
      <x:c r="AJ353" s="141" t="n">
        <x:f>IF($A353&gt;=Premissas!$B$48,$F353,0)</x:f>
        <x:v>1083677.5797949545</x:v>
      </x:c>
      <x:c r="AK353" s="141" t="n">
        <x:f>AH353+AJ353-AI353</x:f>
        <x:v>20096096.79774694</x:v>
      </x:c>
      <x:c r="AL353" s="141" t="n">
        <x:f>IF(AG353&gt;1,"Inviavel",AK353)</x:f>
        <x:v>20096096.79774694</x:v>
      </x:c>
      <x:c r="AM353" s="141" t="str">
        <x:f>IF(AG353&gt;1,"Inviavel","OK")</x:f>
        <x:v>OK</x:v>
      </x:c>
      <x:c r="AN353" s="141" t="n">
        <x:f>IF($A353=Premissas!$B$48,Premissas!$B$8,0)</x:f>
        <x:v>0</x:v>
      </x:c>
      <x:c r="AO353" s="141" t="n">
        <x:f>IF($A353&lt;=Premissas!$B$25,INDEX('Consorcio IQ'!$K$6:$K$485,$A353),0)</x:f>
        <x:v>0</x:v>
      </x:c>
      <x:c r="AP353" s="141" t="n">
        <x:f>IF(AND(TRUE,Premissas!$B$11="Imovel",Premissas!$B$47="Moradia",$A353&lt;MAX(Premissas!$B$48,Premissas!$B$49)),$D353,0)</x:f>
        <x:v>0</x:v>
      </x:c>
      <x:c r="AQ353" s="141" t="n">
        <x:f>IF(AND(TRUE,Premissas!$B$11="Imovel",Premissas!$B$47="Investimento",$A353&gt;=MAX(Premissas!$B$48,Premissas!$B$49)),$E353,0)</x:f>
        <x:v>3467.768255343854</x:v>
      </x:c>
      <x:c r="AR353" s="141" t="n">
        <x:f>AN353+AO353+AP353</x:f>
        <x:v>0</x:v>
      </x:c>
      <x:c r="AS353" s="141" t="n">
        <x:f>AQ353</x:f>
        <x:v>3467.768255343854</x:v>
      </x:c>
      <x:c r="AT353" s="141" t="n">
        <x:f>$C353+AS353-AR353</x:f>
        <x:v>10467.768255343854</x:v>
      </x:c>
      <x:c r="AU353" s="141" t="n">
        <x:f>AX352*(1+Premissas!$B$41)+AT353</x:f>
        <x:v>18857823.799427483</x:v>
      </x:c>
      <x:c r="AV353" s="141" t="n">
        <x:f>MAX(0,-AU353)</x:f>
        <x:v>0</x:v>
      </x:c>
      <x:c r="AW353" s="141" t="n">
        <x:f>AW352*(1+Premissas!$B$41)+AV353</x:f>
        <x:v>0</x:v>
      </x:c>
      <x:c r="AX353" s="141" t="n">
        <x:f>MAX(0,AU353)</x:f>
        <x:v>18857823.799427483</x:v>
      </x:c>
      <x:c r="AY353" s="141" t="n">
        <x:f>INDEX('Consorcio IQ'!$P$6:$P$485,$A353)</x:f>
        <x:v>0</x:v>
      </x:c>
      <x:c r="AZ353" s="141" t="n">
        <x:f>IF($A353&gt;=Premissas!$B$48,$F353,0)+IF($A353&lt;Premissas!$B$27,INDEX('Consorcio IQ'!$O$6:$O$485,$A353),0)</x:f>
        <x:v>1083677.5797949545</x:v>
      </x:c>
      <x:c r="BA353" s="141" t="n">
        <x:f>AX353+AZ353-AY353</x:f>
        <x:v>19941501.379222438</x:v>
      </x:c>
      <x:c r="BB353" s="141" t="n">
        <x:f>IF(AW353&gt;1,"Inviavel",BA353)</x:f>
        <x:v>19941501.379222438</x:v>
      </x:c>
      <x:c r="BC353" s="141" t="str">
        <x:f>IF(AW353&gt;1,"Inviavel","OK")</x:f>
        <x:v>OK</x:v>
      </x:c>
      <x:c r="BD353" s="141" t="n">
        <x:f>IF($A353='Consorcio Direto'!$B$29,'Consorcio Direto'!$B$44,0)</x:f>
        <x:v>0</x:v>
      </x:c>
      <x:c r="BE353" s="141" t="n">
        <x:f>IF($A353&lt;='Consorcio Direto'!$B$27,INDEX('Consorcio Direto'!$E$55:$E$534,$A353),0)</x:f>
        <x:v>0</x:v>
      </x:c>
      <x:c r="BF353" s="141" t="n">
        <x:f>IF(AND(TRUE,Premissas!$B$11="Imovel",Premissas!$B$47="Moradia",$A353&lt;MAX('Consorcio Direto'!$B$29,Premissas!$B$49)),$D353,0)</x:f>
        <x:v>0</x:v>
      </x:c>
      <x:c r="BG353" s="141" t="n">
        <x:f>IF(AND(TRUE,Premissas!$B$11="Imovel",Premissas!$B$47="Investimento",$A353&gt;=MAX('Consorcio Direto'!$B$29,Premissas!$B$49)),$E353,0)</x:f>
        <x:v>3467.768255343854</x:v>
      </x:c>
      <x:c r="BH353" s="141" t="n">
        <x:f>BD353+BE353+BF353</x:f>
        <x:v>0</x:v>
      </x:c>
      <x:c r="BI353" s="141" t="n">
        <x:f>BG353</x:f>
        <x:v>3467.768255343854</x:v>
      </x:c>
      <x:c r="BJ353" s="141" t="n">
        <x:f>$C353+BI353-BH353</x:f>
        <x:v>10467.768255343854</x:v>
      </x:c>
      <x:c r="BK353" s="141" t="n">
        <x:f>BN352*(1+Premissas!$B$41)+BJ353</x:f>
        <x:v>18022329.96294</x:v>
      </x:c>
      <x:c r="BL353" s="141" t="n">
        <x:f>MAX(0,-BK353)</x:f>
        <x:v>0</x:v>
      </x:c>
      <x:c r="BM353" s="141" t="n">
        <x:f>BM352*(1+Premissas!$B$41)+BL353</x:f>
        <x:v>0</x:v>
      </x:c>
      <x:c r="BN353" s="141" t="n">
        <x:f>MAX(0,BK353)</x:f>
        <x:v>18022329.96294</x:v>
      </x:c>
      <x:c r="BO353" s="141" t="n">
        <x:f>INDEX('Consorcio Direto'!$K$55:$K$534,$A353)</x:f>
        <x:v>0</x:v>
      </x:c>
      <x:c r="BP353" s="141" t="n">
        <x:f>IF($A353&lt;'Consorcio Direto'!$B$29,INDEX('Consorcio Direto'!$L$55:$L$534,$A353),$F353)</x:f>
        <x:v>1083677.5797949545</x:v>
      </x:c>
      <x:c r="BQ353" s="141" t="n">
        <x:f>BN353+BP353-BO353</x:f>
        <x:v>19106007.542734955</x:v>
      </x:c>
      <x:c r="BR353" s="141" t="n">
        <x:f>IF(BM353&gt;1,"Inviavel",BQ353)</x:f>
        <x:v>19106007.542734955</x:v>
      </x:c>
      <x:c r="BS353" s="141" t="str">
        <x:f>IF(BM353&gt;1,"Inviavel","OK")</x:f>
        <x:v>OK</x:v>
      </x:c>
      <x:c r="BT353" s="141" t="n">
        <x:f>IF(AND('Carta Contemplada'!$B$22="Sim",$A353='Carta Contemplada'!$B$23),'Carta Contemplada'!$B$37,0)</x:f>
        <x:v>0</x:v>
      </x:c>
      <x:c r="BU353" s="141" t="n">
        <x:f>IF('Carta Contemplada'!$B$22="Sim",INDEX('Carta Contemplada'!$C$55:$C$1013,$A353),0)</x:f>
        <x:v>0</x:v>
      </x:c>
      <x:c r="BV353" s="141" t="n">
        <x:f>IF(AND('Carta Contemplada'!$B$22="Sim",Premissas!$B$11="Imovel",Premissas!$B$47="Moradia",$A353&lt;MAX('Carta Contemplada'!$B$44,Premissas!$B$49)),$D353,0)</x:f>
        <x:v>0</x:v>
      </x:c>
      <x:c r="BW353" s="141" t="n">
        <x:f>IF(AND('Carta Contemplada'!$B$22="Sim",Premissas!$B$11="Imovel",Premissas!$B$47="Investimento",$A353&gt;=MAX('Carta Contemplada'!$B$44,Premissas!$B$49)),$E353,0)</x:f>
        <x:v>3467.768255343854</x:v>
      </x:c>
      <x:c r="BX353" s="141" t="n">
        <x:f>BT353+BU353+BV353</x:f>
        <x:v>0</x:v>
      </x:c>
      <x:c r="BY353" s="141" t="n">
        <x:f>BW353</x:f>
        <x:v>3467.768255343854</x:v>
      </x:c>
      <x:c r="BZ353" s="141" t="n">
        <x:f>$C353+BY353-BX353</x:f>
        <x:v>10467.768255343854</x:v>
      </x:c>
      <x:c r="CA353" s="141" t="n">
        <x:f>CD352*(1+Premissas!$B$41)+BZ353</x:f>
        <x:v>19402279.809837796</x:v>
      </x:c>
      <x:c r="CB353" s="141" t="n">
        <x:f>MAX(0,-CA353)</x:f>
        <x:v>0</x:v>
      </x:c>
      <x:c r="CC353" s="141" t="n">
        <x:f>CC352*(1+Premissas!$B$41)+CB353</x:f>
        <x:v>0</x:v>
      </x:c>
      <x:c r="CD353" s="141" t="n">
        <x:f>MAX(0,CA353)</x:f>
        <x:v>19402279.809837796</x:v>
      </x:c>
      <x:c r="CE353" s="141" t="n">
        <x:f>IF(AND('Carta Contemplada'!$B$22="Sim",$A353&gt;='Carta Contemplada'!$B$23),INDEX('Carta Contemplada'!$I$55:$I$1013,$A353),0)</x:f>
        <x:v>0</x:v>
      </x:c>
      <x:c r="CF353" s="141" t="n">
        <x:f>IF(AND('Carta Contemplada'!$B$22="Sim",$A353&gt;='Carta Contemplada'!$B$44),$F353,0)</x:f>
        <x:v>1083677.5797949545</x:v>
      </x:c>
      <x:c r="CG353" s="141" t="n">
        <x:f>CD353+CF353-CE353</x:f>
        <x:v>20485957.38963275</x:v>
      </x:c>
      <x:c r="CH353" s="141" t="n">
        <x:f>IF(CC353&gt;1,"Inviavel",CG353)</x:f>
        <x:v>20485957.38963275</x:v>
      </x:c>
      <x:c r="CI353" s="145" t="str">
        <x:f>IF(CC353&gt;1,"Inviavel","OK")</x:f>
        <x:v>OK</x:v>
      </x:c>
    </x:row>
    <x:row r="354">
      <x:c r="A354" s="142" t="n">
        <x:v>350</x:v>
      </x:c>
      <x:c r="B354" s="179" t="n">
        <x:f>EDATE(Premissas!$B$4,A354-1)</x:f>
        <x:v>57162</x:v>
      </x:c>
      <x:c r="C354" s="141" t="n">
        <x:f>IF(A354&lt;=Premissas!$B$39,Premissas!$B$42,0)</x:f>
        <x:v>7000</x:v>
      </x:c>
      <x:c r="D354" s="141" t="n">
        <x:f>Premissas!$B$54*(1+Premissas!$B$57)^INT((A354-1)/12)</x:f>
        <x:v>3792.8715292823404</x:v>
      </x:c>
      <x:c r="E354" s="141" t="n">
        <x:f>Premissas!$B$64*(1+Premissas!$B$57)^INT((A354-1)/12)</x:f>
        <x:v>3467.768255343854</x:v>
      </x:c>
      <x:c r="F354" s="141" t="n">
        <x:f>MAX(0,Premissas!$B$6*(1+Premissas!$B$66)^((A354-1)/12))</x:f>
        <x:v>1088952.4352111348</x:v>
      </x:c>
      <x:c r="G354" s="141" t="n">
        <x:f>G353*(1+Premissas!$B$41)+C354</x:f>
        <x:v>21802656.18625204</x:v>
      </x:c>
      <x:c r="H354" s="141" t="n">
        <x:f>IF($A354=Premissas!$B$48,Premissas!$B$8,0)</x:f>
        <x:v>0</x:v>
      </x:c>
      <x:c r="I354" s="141" t="n">
        <x:f>IF(AND($A354&gt;=Premissas!$B$48,$A354-Premissas!$B$48+1&lt;=Premissas!$B$13),INDEX(Financiamento!$J$6:$J$485,$A354-Premissas!$B$48+1),0)</x:f>
        <x:v>787.6016374687232</x:v>
      </x:c>
      <x:c r="J354" s="141" t="n">
        <x:f>IF(AND(TRUE,Premissas!$B$11="Imovel",Premissas!$B$47="Moradia",$A354&lt;MAX(Premissas!$B$48,Premissas!$B$49)),$D354,0)</x:f>
        <x:v>0</x:v>
      </x:c>
      <x:c r="K354" s="141" t="n">
        <x:f>IF(AND(TRUE,Premissas!$B$11="Imovel",Premissas!$B$47="Investimento",$A354&gt;=MAX(Premissas!$B$48,Premissas!$B$49)),$E354,0)</x:f>
        <x:v>3467.768255343854</x:v>
      </x:c>
      <x:c r="L354" s="141" t="n">
        <x:f>H354+I354+J354</x:f>
        <x:v>787.6016374687232</x:v>
      </x:c>
      <x:c r="M354" s="141" t="n">
        <x:f>K354</x:f>
        <x:v>3467.768255343854</x:v>
      </x:c>
      <x:c r="N354" s="141" t="n">
        <x:f>$C354+M354-L354</x:f>
        <x:v>9680.166617875131</x:v>
      </x:c>
      <x:c r="O354" s="141" t="n">
        <x:f>R353*(1+Premissas!$B$41)+N354</x:f>
        <x:v>18911829.024303753</x:v>
      </x:c>
      <x:c r="P354" s="141" t="n">
        <x:f>MAX(0,-O354)</x:f>
        <x:v>0</x:v>
      </x:c>
      <x:c r="Q354" s="141" t="n">
        <x:f>Q353*(1+Premissas!$B$41)+P354</x:f>
        <x:v>0</x:v>
      </x:c>
      <x:c r="R354" s="141" t="n">
        <x:f>MAX(0,O354)</x:f>
        <x:v>18911829.024303753</x:v>
      </x:c>
      <x:c r="S354" s="141" t="n">
        <x:f>IF(AND($A354&gt;=Premissas!$B$48,$A354-Premissas!$B$48+1&lt;=Premissas!$B$13),INDEX(Financiamento!$M$6:$M$485,$A354-Premissas!$B$48+1),0)</x:f>
        <x:v>26666.6666666667</x:v>
      </x:c>
      <x:c r="T354" s="141" t="n">
        <x:f>IF($A354&gt;=Premissas!$B$48,$F354,0)</x:f>
        <x:v>1088952.4352111348</x:v>
      </x:c>
      <x:c r="U354" s="141" t="n">
        <x:f>R354+T354-S354</x:f>
        <x:v>19974114.79284822</x:v>
      </x:c>
      <x:c r="V354" s="141" t="n">
        <x:f>IF(Q354&gt;1,"Inviavel",U354)</x:f>
        <x:v>19974114.79284822</x:v>
      </x:c>
      <x:c r="W354" s="141" t="str">
        <x:f>IF(Q354&gt;1,"Inviavel","OK")</x:f>
        <x:v>OK</x:v>
      </x:c>
      <x:c r="X354" s="141" t="n">
        <x:f>IF($A354=Premissas!$B$48,Premissas!$B$8,0)</x:f>
        <x:v>0</x:v>
      </x:c>
      <x:c r="Y354" s="141" t="n">
        <x:f>IF(AND($A354&gt;=Premissas!$B$48,$A354-Premissas!$B$48+1&lt;=Premissas!$B$13),INDEX(Amortizacao!$K$6:$K$485,$A354-Premissas!$B$48+1),0)</x:f>
        <x:v>0</x:v>
      </x:c>
      <x:c r="Z354" s="141" t="n">
        <x:f>IF(AND(TRUE,Premissas!$B$11="Imovel",Premissas!$B$47="Moradia",$A354&lt;MAX(Premissas!$B$48,Premissas!$B$49)),$D354,0)</x:f>
        <x:v>0</x:v>
      </x:c>
      <x:c r="AA354" s="141" t="n">
        <x:f>IF(AND(TRUE,Premissas!$B$11="Imovel",Premissas!$B$47="Investimento",$A354&gt;=MAX(Premissas!$B$48,Premissas!$B$49)),$E354,0)</x:f>
        <x:v>3467.768255343854</x:v>
      </x:c>
      <x:c r="AB354" s="141" t="n">
        <x:f>X354+Y354+Z354</x:f>
        <x:v>0</x:v>
      </x:c>
      <x:c r="AC354" s="141" t="n">
        <x:f>AA354</x:f>
        <x:v>3467.768255343854</x:v>
      </x:c>
      <x:c r="AD354" s="141" t="n">
        <x:f>$C354+AC354-AB354</x:f>
        <x:v>10467.768255343854</x:v>
      </x:c>
      <x:c r="AE354" s="141" t="n">
        <x:f>AH353*(1+Premissas!$B$41)+AD354</x:f>
        <x:v>19203291.895351965</x:v>
      </x:c>
      <x:c r="AF354" s="141" t="n">
        <x:f>MAX(0,-AE354)</x:f>
        <x:v>0</x:v>
      </x:c>
      <x:c r="AG354" s="141" t="n">
        <x:f>AG353*(1+Premissas!$B$41)+AF354</x:f>
        <x:v>0</x:v>
      </x:c>
      <x:c r="AH354" s="141" t="n">
        <x:f>MAX(0,AE354)</x:f>
        <x:v>19203291.895351965</x:v>
      </x:c>
      <x:c r="AI354" s="141" t="n">
        <x:f>IF(AND($A354&gt;=Premissas!$B$48,$A354-Premissas!$B$48+1&lt;=Premissas!$B$13),INDEX(Amortizacao!$L$6:$L$485,$A354-Premissas!$B$48+1),0)</x:f>
        <x:v>0</x:v>
      </x:c>
      <x:c r="AJ354" s="141" t="n">
        <x:f>IF($A354&gt;=Premissas!$B$48,$F354,0)</x:f>
        <x:v>1088952.4352111348</x:v>
      </x:c>
      <x:c r="AK354" s="141" t="n">
        <x:f>AH354+AJ354-AI354</x:f>
        <x:v>20292244.3305631</x:v>
      </x:c>
      <x:c r="AL354" s="141" t="n">
        <x:f>IF(AG354&gt;1,"Inviavel",AK354)</x:f>
        <x:v>20292244.3305631</x:v>
      </x:c>
      <x:c r="AM354" s="141" t="str">
        <x:f>IF(AG354&gt;1,"Inviavel","OK")</x:f>
        <x:v>OK</x:v>
      </x:c>
      <x:c r="AN354" s="141" t="n">
        <x:f>IF($A354=Premissas!$B$48,Premissas!$B$8,0)</x:f>
        <x:v>0</x:v>
      </x:c>
      <x:c r="AO354" s="141" t="n">
        <x:f>IF($A354&lt;=Premissas!$B$25,INDEX('Consorcio IQ'!$K$6:$K$485,$A354),0)</x:f>
        <x:v>0</x:v>
      </x:c>
      <x:c r="AP354" s="141" t="n">
        <x:f>IF(AND(TRUE,Premissas!$B$11="Imovel",Premissas!$B$47="Moradia",$A354&lt;MAX(Premissas!$B$48,Premissas!$B$49)),$D354,0)</x:f>
        <x:v>0</x:v>
      </x:c>
      <x:c r="AQ354" s="141" t="n">
        <x:f>IF(AND(TRUE,Premissas!$B$11="Imovel",Premissas!$B$47="Investimento",$A354&gt;=MAX(Premissas!$B$48,Premissas!$B$49)),$E354,0)</x:f>
        <x:v>3467.768255343854</x:v>
      </x:c>
      <x:c r="AR354" s="141" t="n">
        <x:f>AN354+AO354+AP354</x:f>
        <x:v>0</x:v>
      </x:c>
      <x:c r="AS354" s="141" t="n">
        <x:f>AQ354</x:f>
        <x:v>3467.768255343854</x:v>
      </x:c>
      <x:c r="AT354" s="141" t="n">
        <x:f>$C354+AS354-AR354</x:f>
        <x:v>10467.768255343854</x:v>
      </x:c>
      <x:c r="AU354" s="141" t="n">
        <x:f>AX353*(1+Premissas!$B$41)+AT354</x:f>
        <x:v>19047229.552912448</x:v>
      </x:c>
      <x:c r="AV354" s="141" t="n">
        <x:f>MAX(0,-AU354)</x:f>
        <x:v>0</x:v>
      </x:c>
      <x:c r="AW354" s="141" t="n">
        <x:f>AW353*(1+Premissas!$B$41)+AV354</x:f>
        <x:v>0</x:v>
      </x:c>
      <x:c r="AX354" s="141" t="n">
        <x:f>MAX(0,AU354)</x:f>
        <x:v>19047229.552912448</x:v>
      </x:c>
      <x:c r="AY354" s="141" t="n">
        <x:f>INDEX('Consorcio IQ'!$P$6:$P$485,$A354)</x:f>
        <x:v>0</x:v>
      </x:c>
      <x:c r="AZ354" s="141" t="n">
        <x:f>IF($A354&gt;=Premissas!$B$48,$F354,0)+IF($A354&lt;Premissas!$B$27,INDEX('Consorcio IQ'!$O$6:$O$485,$A354),0)</x:f>
        <x:v>1088952.4352111348</x:v>
      </x:c>
      <x:c r="BA354" s="141" t="n">
        <x:f>AX354+AZ354-AY354</x:f>
        <x:v>20136181.98812358</x:v>
      </x:c>
      <x:c r="BB354" s="141" t="n">
        <x:f>IF(AW354&gt;1,"Inviavel",BA354)</x:f>
        <x:v>20136181.98812358</x:v>
      </x:c>
      <x:c r="BC354" s="141" t="str">
        <x:f>IF(AW354&gt;1,"Inviavel","OK")</x:f>
        <x:v>OK</x:v>
      </x:c>
      <x:c r="BD354" s="141" t="n">
        <x:f>IF($A354='Consorcio Direto'!$B$29,'Consorcio Direto'!$B$44,0)</x:f>
        <x:v>0</x:v>
      </x:c>
      <x:c r="BE354" s="141" t="n">
        <x:f>IF($A354&lt;='Consorcio Direto'!$B$27,INDEX('Consorcio Direto'!$E$55:$E$534,$A354),0)</x:f>
        <x:v>0</x:v>
      </x:c>
      <x:c r="BF354" s="141" t="n">
        <x:f>IF(AND(TRUE,Premissas!$B$11="Imovel",Premissas!$B$47="Moradia",$A354&lt;MAX('Consorcio Direto'!$B$29,Premissas!$B$49)),$D354,0)</x:f>
        <x:v>0</x:v>
      </x:c>
      <x:c r="BG354" s="141" t="n">
        <x:f>IF(AND(TRUE,Premissas!$B$11="Imovel",Premissas!$B$47="Investimento",$A354&gt;=MAX('Consorcio Direto'!$B$29,Premissas!$B$49)),$E354,0)</x:f>
        <x:v>3467.768255343854</x:v>
      </x:c>
      <x:c r="BH354" s="141" t="n">
        <x:f>BD354+BE354+BF354</x:f>
        <x:v>0</x:v>
      </x:c>
      <x:c r="BI354" s="141" t="n">
        <x:f>BG354</x:f>
        <x:v>3467.768255343854</x:v>
      </x:c>
      <x:c r="BJ354" s="141" t="n">
        <x:f>$C354+BI354-BH354</x:f>
        <x:v>10467.768255343854</x:v>
      </x:c>
      <x:c r="BK354" s="141" t="n">
        <x:f>BN353*(1+Premissas!$B$41)+BJ354</x:f>
        <x:v>18203807.888412416</x:v>
      </x:c>
      <x:c r="BL354" s="141" t="n">
        <x:f>MAX(0,-BK354)</x:f>
        <x:v>0</x:v>
      </x:c>
      <x:c r="BM354" s="141" t="n">
        <x:f>BM353*(1+Premissas!$B$41)+BL354</x:f>
        <x:v>0</x:v>
      </x:c>
      <x:c r="BN354" s="141" t="n">
        <x:f>MAX(0,BK354)</x:f>
        <x:v>18203807.888412416</x:v>
      </x:c>
      <x:c r="BO354" s="141" t="n">
        <x:f>INDEX('Consorcio Direto'!$K$55:$K$534,$A354)</x:f>
        <x:v>0</x:v>
      </x:c>
      <x:c r="BP354" s="141" t="n">
        <x:f>IF($A354&lt;'Consorcio Direto'!$B$29,INDEX('Consorcio Direto'!$L$55:$L$534,$A354),$F354)</x:f>
        <x:v>1088952.4352111348</x:v>
      </x:c>
      <x:c r="BQ354" s="141" t="n">
        <x:f>BN354+BP354-BO354</x:f>
        <x:v>19292760.32362355</x:v>
      </x:c>
      <x:c r="BR354" s="141" t="n">
        <x:f>IF(BM354&gt;1,"Inviavel",BQ354)</x:f>
        <x:v>19292760.32362355</x:v>
      </x:c>
      <x:c r="BS354" s="141" t="str">
        <x:f>IF(BM354&gt;1,"Inviavel","OK")</x:f>
        <x:v>OK</x:v>
      </x:c>
      <x:c r="BT354" s="141" t="n">
        <x:f>IF(AND('Carta Contemplada'!$B$22="Sim",$A354='Carta Contemplada'!$B$23),'Carta Contemplada'!$B$37,0)</x:f>
        <x:v>0</x:v>
      </x:c>
      <x:c r="BU354" s="141" t="n">
        <x:f>IF('Carta Contemplada'!$B$22="Sim",INDEX('Carta Contemplada'!$C$55:$C$1013,$A354),0)</x:f>
        <x:v>0</x:v>
      </x:c>
      <x:c r="BV354" s="141" t="n">
        <x:f>IF(AND('Carta Contemplada'!$B$22="Sim",Premissas!$B$11="Imovel",Premissas!$B$47="Moradia",$A354&lt;MAX('Carta Contemplada'!$B$44,Premissas!$B$49)),$D354,0)</x:f>
        <x:v>0</x:v>
      </x:c>
      <x:c r="BW354" s="141" t="n">
        <x:f>IF(AND('Carta Contemplada'!$B$22="Sim",Premissas!$B$11="Imovel",Premissas!$B$47="Investimento",$A354&gt;=MAX('Carta Contemplada'!$B$44,Premissas!$B$49)),$E354,0)</x:f>
        <x:v>3467.768255343854</x:v>
      </x:c>
      <x:c r="BX354" s="141" t="n">
        <x:f>BT354+BU354+BV354</x:f>
        <x:v>0</x:v>
      </x:c>
      <x:c r="BY354" s="141" t="n">
        <x:f>BW354</x:f>
        <x:v>3467.768255343854</x:v>
      </x:c>
      <x:c r="BZ354" s="141" t="n">
        <x:f>$C354+BY354-BX354</x:f>
        <x:v>10467.768255343854</x:v>
      </x:c>
      <x:c r="CA354" s="141" t="n">
        <x:f>CD353*(1+Premissas!$B$41)+BZ354</x:f>
        <x:v>19596851.793667533</x:v>
      </x:c>
      <x:c r="CB354" s="141" t="n">
        <x:f>MAX(0,-CA354)</x:f>
        <x:v>0</x:v>
      </x:c>
      <x:c r="CC354" s="141" t="n">
        <x:f>CC353*(1+Premissas!$B$41)+CB354</x:f>
        <x:v>0</x:v>
      </x:c>
      <x:c r="CD354" s="141" t="n">
        <x:f>MAX(0,CA354)</x:f>
        <x:v>19596851.793667533</x:v>
      </x:c>
      <x:c r="CE354" s="141" t="n">
        <x:f>IF(AND('Carta Contemplada'!$B$22="Sim",$A354&gt;='Carta Contemplada'!$B$23),INDEX('Carta Contemplada'!$I$55:$I$1013,$A354),0)</x:f>
        <x:v>0</x:v>
      </x:c>
      <x:c r="CF354" s="141" t="n">
        <x:f>IF(AND('Carta Contemplada'!$B$22="Sim",$A354&gt;='Carta Contemplada'!$B$44),$F354,0)</x:f>
        <x:v>1088952.4352111348</x:v>
      </x:c>
      <x:c r="CG354" s="141" t="n">
        <x:f>CD354+CF354-CE354</x:f>
        <x:v>20685804.228878666</x:v>
      </x:c>
      <x:c r="CH354" s="141" t="n">
        <x:f>IF(CC354&gt;1,"Inviavel",CG354)</x:f>
        <x:v>20685804.228878666</x:v>
      </x:c>
      <x:c r="CI354" s="145" t="str">
        <x:f>IF(CC354&gt;1,"Inviavel","OK")</x:f>
        <x:v>OK</x:v>
      </x:c>
    </x:row>
    <x:row r="355">
      <x:c r="A355" s="142" t="n">
        <x:v>351</x:v>
      </x:c>
      <x:c r="B355" s="179" t="n">
        <x:f>EDATE(Premissas!$B$4,A355-1)</x:f>
        <x:v>57193</x:v>
      </x:c>
      <x:c r="C355" s="141" t="n">
        <x:f>IF(A355&lt;=Premissas!$B$39,Premissas!$B$42,0)</x:f>
        <x:v>7000</x:v>
      </x:c>
      <x:c r="D355" s="141" t="n">
        <x:f>Premissas!$B$54*(1+Premissas!$B$57)^INT((A355-1)/12)</x:f>
        <x:v>3792.8715292823404</x:v>
      </x:c>
      <x:c r="E355" s="141" t="n">
        <x:f>Premissas!$B$64*(1+Premissas!$B$57)^INT((A355-1)/12)</x:f>
        <x:v>3467.768255343854</x:v>
      </x:c>
      <x:c r="F355" s="141" t="n">
        <x:f>MAX(0,Premissas!$B$6*(1+Premissas!$B$66)^((A355-1)/12))</x:f>
        <x:v>1094252.9662527787</x:v>
      </x:c>
      <x:c r="G355" s="141" t="n">
        <x:f>G354*(1+Premissas!$B$41)+C355</x:f>
        <x:v>22016537.076227292</x:v>
      </x:c>
      <x:c r="H355" s="141" t="n">
        <x:f>IF($A355=Premissas!$B$48,Premissas!$B$8,0)</x:f>
        <x:v>0</x:v>
      </x:c>
      <x:c r="I355" s="141" t="n">
        <x:f>IF(AND($A355&gt;=Premissas!$B$48,$A355-Premissas!$B$48+1&lt;=Premissas!$B$13),INDEX(Financiamento!$J$6:$J$485,$A355-Premissas!$B$48+1),0)</x:f>
        <x:v>783.9868592079297</x:v>
      </x:c>
      <x:c r="J355" s="141" t="n">
        <x:f>IF(AND(TRUE,Premissas!$B$11="Imovel",Premissas!$B$47="Moradia",$A355&lt;MAX(Premissas!$B$48,Premissas!$B$49)),$D355,0)</x:f>
        <x:v>0</x:v>
      </x:c>
      <x:c r="K355" s="141" t="n">
        <x:f>IF(AND(TRUE,Premissas!$B$11="Imovel",Premissas!$B$47="Investimento",$A355&gt;=MAX(Premissas!$B$48,Premissas!$B$49)),$E355,0)</x:f>
        <x:v>3467.768255343854</x:v>
      </x:c>
      <x:c r="L355" s="141" t="n">
        <x:f>H355+I355+J355</x:f>
        <x:v>783.9868592079297</x:v>
      </x:c>
      <x:c r="M355" s="141" t="n">
        <x:f>K355</x:f>
        <x:v>3467.768255343854</x:v>
      </x:c>
      <x:c r="N355" s="141" t="n">
        <x:f>$C355+M355-L355</x:f>
        <x:v>9683.781396135924</x:v>
      </x:c>
      <x:c r="O355" s="141" t="n">
        <x:f>R354*(1+Premissas!$B$41)+N355</x:f>
        <x:v>19100963.235325746</x:v>
      </x:c>
      <x:c r="P355" s="141" t="n">
        <x:f>MAX(0,-O355)</x:f>
        <x:v>0</x:v>
      </x:c>
      <x:c r="Q355" s="141" t="n">
        <x:f>Q354*(1+Premissas!$B$41)+P355</x:f>
        <x:v>0</x:v>
      </x:c>
      <x:c r="R355" s="141" t="n">
        <x:f>MAX(0,O355)</x:f>
        <x:v>19100963.235325746</x:v>
      </x:c>
      <x:c r="S355" s="141" t="n">
        <x:f>IF(AND($A355&gt;=Premissas!$B$48,$A355-Premissas!$B$48+1&lt;=Premissas!$B$13),INDEX(Financiamento!$M$6:$M$485,$A355-Premissas!$B$48+1),0)</x:f>
        <x:v>26285.71428571432</x:v>
      </x:c>
      <x:c r="T355" s="141" t="n">
        <x:f>IF($A355&gt;=Premissas!$B$48,$F355,0)</x:f>
        <x:v>1094252.9662527787</x:v>
      </x:c>
      <x:c r="U355" s="141" t="n">
        <x:f>R355+T355-S355</x:f>
        <x:v>20168930.48729281</x:v>
      </x:c>
      <x:c r="V355" s="141" t="n">
        <x:f>IF(Q355&gt;1,"Inviavel",U355)</x:f>
        <x:v>20168930.48729281</x:v>
      </x:c>
      <x:c r="W355" s="141" t="str">
        <x:f>IF(Q355&gt;1,"Inviavel","OK")</x:f>
        <x:v>OK</x:v>
      </x:c>
      <x:c r="X355" s="141" t="n">
        <x:f>IF($A355=Premissas!$B$48,Premissas!$B$8,0)</x:f>
        <x:v>0</x:v>
      </x:c>
      <x:c r="Y355" s="141" t="n">
        <x:f>IF(AND($A355&gt;=Premissas!$B$48,$A355-Premissas!$B$48+1&lt;=Premissas!$B$13),INDEX(Amortizacao!$K$6:$K$485,$A355-Premissas!$B$48+1),0)</x:f>
        <x:v>0</x:v>
      </x:c>
      <x:c r="Z355" s="141" t="n">
        <x:f>IF(AND(TRUE,Premissas!$B$11="Imovel",Premissas!$B$47="Moradia",$A355&lt;MAX(Premissas!$B$48,Premissas!$B$49)),$D355,0)</x:f>
        <x:v>0</x:v>
      </x:c>
      <x:c r="AA355" s="141" t="n">
        <x:f>IF(AND(TRUE,Premissas!$B$11="Imovel",Premissas!$B$47="Investimento",$A355&gt;=MAX(Premissas!$B$48,Premissas!$B$49)),$E355,0)</x:f>
        <x:v>3467.768255343854</x:v>
      </x:c>
      <x:c r="AB355" s="141" t="n">
        <x:f>X355+Y355+Z355</x:f>
        <x:v>0</x:v>
      </x:c>
      <x:c r="AC355" s="141" t="n">
        <x:f>AA355</x:f>
        <x:v>3467.768255343854</x:v>
      </x:c>
      <x:c r="AD355" s="141" t="n">
        <x:f>$C355+AC355-AB355</x:f>
        <x:v>10467.768255343854</x:v>
      </x:c>
      <x:c r="AE355" s="141" t="n">
        <x:f>AH354*(1+Premissas!$B$41)+AD355</x:f>
        <x:v>19395975.724064663</x:v>
      </x:c>
      <x:c r="AF355" s="141" t="n">
        <x:f>MAX(0,-AE355)</x:f>
        <x:v>0</x:v>
      </x:c>
      <x:c r="AG355" s="141" t="n">
        <x:f>AG354*(1+Premissas!$B$41)+AF355</x:f>
        <x:v>0</x:v>
      </x:c>
      <x:c r="AH355" s="141" t="n">
        <x:f>MAX(0,AE355)</x:f>
        <x:v>19395975.724064663</x:v>
      </x:c>
      <x:c r="AI355" s="141" t="n">
        <x:f>IF(AND($A355&gt;=Premissas!$B$48,$A355-Premissas!$B$48+1&lt;=Premissas!$B$13),INDEX(Amortizacao!$L$6:$L$485,$A355-Premissas!$B$48+1),0)</x:f>
        <x:v>0</x:v>
      </x:c>
      <x:c r="AJ355" s="141" t="n">
        <x:f>IF($A355&gt;=Premissas!$B$48,$F355,0)</x:f>
        <x:v>1094252.9662527787</x:v>
      </x:c>
      <x:c r="AK355" s="141" t="n">
        <x:f>AH355+AJ355-AI355</x:f>
        <x:v>20490228.69031744</x:v>
      </x:c>
      <x:c r="AL355" s="141" t="n">
        <x:f>IF(AG355&gt;1,"Inviavel",AK355)</x:f>
        <x:v>20490228.69031744</x:v>
      </x:c>
      <x:c r="AM355" s="141" t="str">
        <x:f>IF(AG355&gt;1,"Inviavel","OK")</x:f>
        <x:v>OK</x:v>
      </x:c>
      <x:c r="AN355" s="141" t="n">
        <x:f>IF($A355=Premissas!$B$48,Premissas!$B$8,0)</x:f>
        <x:v>0</x:v>
      </x:c>
      <x:c r="AO355" s="141" t="n">
        <x:f>IF($A355&lt;=Premissas!$B$25,INDEX('Consorcio IQ'!$K$6:$K$485,$A355),0)</x:f>
        <x:v>0</x:v>
      </x:c>
      <x:c r="AP355" s="141" t="n">
        <x:f>IF(AND(TRUE,Premissas!$B$11="Imovel",Premissas!$B$47="Moradia",$A355&lt;MAX(Premissas!$B$48,Premissas!$B$49)),$D355,0)</x:f>
        <x:v>0</x:v>
      </x:c>
      <x:c r="AQ355" s="141" t="n">
        <x:f>IF(AND(TRUE,Premissas!$B$11="Imovel",Premissas!$B$47="Investimento",$A355&gt;=MAX(Premissas!$B$48,Premissas!$B$49)),$E355,0)</x:f>
        <x:v>3467.768255343854</x:v>
      </x:c>
      <x:c r="AR355" s="141" t="n">
        <x:f>AN355+AO355+AP355</x:f>
        <x:v>0</x:v>
      </x:c>
      <x:c r="AS355" s="141" t="n">
        <x:f>AQ355</x:f>
        <x:v>3467.768255343854</x:v>
      </x:c>
      <x:c r="AT355" s="141" t="n">
        <x:f>$C355+AS355-AR355</x:f>
        <x:v>10467.768255343854</x:v>
      </x:c>
      <x:c r="AU355" s="141" t="n">
        <x:f>AX354*(1+Premissas!$B$41)+AT355</x:f>
        <x:v>19238432.538372852</x:v>
      </x:c>
      <x:c r="AV355" s="141" t="n">
        <x:f>MAX(0,-AU355)</x:f>
        <x:v>0</x:v>
      </x:c>
      <x:c r="AW355" s="141" t="n">
        <x:f>AW354*(1+Premissas!$B$41)+AV355</x:f>
        <x:v>0</x:v>
      </x:c>
      <x:c r="AX355" s="141" t="n">
        <x:f>MAX(0,AU355)</x:f>
        <x:v>19238432.538372852</x:v>
      </x:c>
      <x:c r="AY355" s="141" t="n">
        <x:f>INDEX('Consorcio IQ'!$P$6:$P$485,$A355)</x:f>
        <x:v>0</x:v>
      </x:c>
      <x:c r="AZ355" s="141" t="n">
        <x:f>IF($A355&gt;=Premissas!$B$48,$F355,0)+IF($A355&lt;Premissas!$B$27,INDEX('Consorcio IQ'!$O$6:$O$485,$A355),0)</x:f>
        <x:v>1094252.9662527787</x:v>
      </x:c>
      <x:c r="BA355" s="141" t="n">
        <x:f>AX355+AZ355-AY355</x:f>
        <x:v>20332685.50462563</x:v>
      </x:c>
      <x:c r="BB355" s="141" t="n">
        <x:f>IF(AW355&gt;1,"Inviavel",BA355)</x:f>
        <x:v>20332685.50462563</x:v>
      </x:c>
      <x:c r="BC355" s="141" t="str">
        <x:f>IF(AW355&gt;1,"Inviavel","OK")</x:f>
        <x:v>OK</x:v>
      </x:c>
      <x:c r="BD355" s="141" t="n">
        <x:f>IF($A355='Consorcio Direto'!$B$29,'Consorcio Direto'!$B$44,0)</x:f>
        <x:v>0</x:v>
      </x:c>
      <x:c r="BE355" s="141" t="n">
        <x:f>IF($A355&lt;='Consorcio Direto'!$B$27,INDEX('Consorcio Direto'!$E$55:$E$534,$A355),0)</x:f>
        <x:v>0</x:v>
      </x:c>
      <x:c r="BF355" s="141" t="n">
        <x:f>IF(AND(TRUE,Premissas!$B$11="Imovel",Premissas!$B$47="Moradia",$A355&lt;MAX('Consorcio Direto'!$B$29,Premissas!$B$49)),$D355,0)</x:f>
        <x:v>0</x:v>
      </x:c>
      <x:c r="BG355" s="141" t="n">
        <x:f>IF(AND(TRUE,Premissas!$B$11="Imovel",Premissas!$B$47="Investimento",$A355&gt;=MAX('Consorcio Direto'!$B$29,Premissas!$B$49)),$E355,0)</x:f>
        <x:v>3467.768255343854</x:v>
      </x:c>
      <x:c r="BH355" s="141" t="n">
        <x:f>BD355+BE355+BF355</x:f>
        <x:v>0</x:v>
      </x:c>
      <x:c r="BI355" s="141" t="n">
        <x:f>BG355</x:f>
        <x:v>3467.768255343854</x:v>
      </x:c>
      <x:c r="BJ355" s="141" t="n">
        <x:f>$C355+BI355-BH355</x:f>
        <x:v>10467.768255343854</x:v>
      </x:c>
      <x:c r="BK355" s="141" t="n">
        <x:f>BN354*(1+Premissas!$B$41)+BJ355</x:f>
        <x:v>18387007.820341837</x:v>
      </x:c>
      <x:c r="BL355" s="141" t="n">
        <x:f>MAX(0,-BK355)</x:f>
        <x:v>0</x:v>
      </x:c>
      <x:c r="BM355" s="141" t="n">
        <x:f>BM354*(1+Premissas!$B$41)+BL355</x:f>
        <x:v>0</x:v>
      </x:c>
      <x:c r="BN355" s="141" t="n">
        <x:f>MAX(0,BK355)</x:f>
        <x:v>18387007.820341837</x:v>
      </x:c>
      <x:c r="BO355" s="141" t="n">
        <x:f>INDEX('Consorcio Direto'!$K$55:$K$534,$A355)</x:f>
        <x:v>0</x:v>
      </x:c>
      <x:c r="BP355" s="141" t="n">
        <x:f>IF($A355&lt;'Consorcio Direto'!$B$29,INDEX('Consorcio Direto'!$L$55:$L$534,$A355),$F355)</x:f>
        <x:v>1094252.9662527787</x:v>
      </x:c>
      <x:c r="BQ355" s="141" t="n">
        <x:f>BN355+BP355-BO355</x:f>
        <x:v>19481260.786594614</x:v>
      </x:c>
      <x:c r="BR355" s="141" t="n">
        <x:f>IF(BM355&gt;1,"Inviavel",BQ355)</x:f>
        <x:v>19481260.786594614</x:v>
      </x:c>
      <x:c r="BS355" s="141" t="str">
        <x:f>IF(BM355&gt;1,"Inviavel","OK")</x:f>
        <x:v>OK</x:v>
      </x:c>
      <x:c r="BT355" s="141" t="n">
        <x:f>IF(AND('Carta Contemplada'!$B$22="Sim",$A355='Carta Contemplada'!$B$23),'Carta Contemplada'!$B$37,0)</x:f>
        <x:v>0</x:v>
      </x:c>
      <x:c r="BU355" s="141" t="n">
        <x:f>IF('Carta Contemplada'!$B$22="Sim",INDEX('Carta Contemplada'!$C$55:$C$1013,$A355),0)</x:f>
        <x:v>0</x:v>
      </x:c>
      <x:c r="BV355" s="141" t="n">
        <x:f>IF(AND('Carta Contemplada'!$B$22="Sim",Premissas!$B$11="Imovel",Premissas!$B$47="Moradia",$A355&lt;MAX('Carta Contemplada'!$B$44,Premissas!$B$49)),$D355,0)</x:f>
        <x:v>0</x:v>
      </x:c>
      <x:c r="BW355" s="141" t="n">
        <x:f>IF(AND('Carta Contemplada'!$B$22="Sim",Premissas!$B$11="Imovel",Premissas!$B$47="Investimento",$A355&gt;=MAX('Carta Contemplada'!$B$44,Premissas!$B$49)),$E355,0)</x:f>
        <x:v>3467.768255343854</x:v>
      </x:c>
      <x:c r="BX355" s="141" t="n">
        <x:f>BT355+BU355+BV355</x:f>
        <x:v>0</x:v>
      </x:c>
      <x:c r="BY355" s="141" t="n">
        <x:f>BW355</x:f>
        <x:v>3467.768255343854</x:v>
      </x:c>
      <x:c r="BZ355" s="141" t="n">
        <x:f>$C355+BY355-BX355</x:f>
        <x:v>10467.768255343854</x:v>
      </x:c>
      <x:c r="CA355" s="141" t="n">
        <x:f>CD354*(1+Premissas!$B$41)+BZ355</x:f>
        <x:v>19793270.030762702</x:v>
      </x:c>
      <x:c r="CB355" s="141" t="n">
        <x:f>MAX(0,-CA355)</x:f>
        <x:v>0</x:v>
      </x:c>
      <x:c r="CC355" s="141" t="n">
        <x:f>CC354*(1+Premissas!$B$41)+CB355</x:f>
        <x:v>0</x:v>
      </x:c>
      <x:c r="CD355" s="141" t="n">
        <x:f>MAX(0,CA355)</x:f>
        <x:v>19793270.030762702</x:v>
      </x:c>
      <x:c r="CE355" s="141" t="n">
        <x:f>IF(AND('Carta Contemplada'!$B$22="Sim",$A355&gt;='Carta Contemplada'!$B$23),INDEX('Carta Contemplada'!$I$55:$I$1013,$A355),0)</x:f>
        <x:v>0</x:v>
      </x:c>
      <x:c r="CF355" s="141" t="n">
        <x:f>IF(AND('Carta Contemplada'!$B$22="Sim",$A355&gt;='Carta Contemplada'!$B$44),$F355,0)</x:f>
        <x:v>1094252.9662527787</x:v>
      </x:c>
      <x:c r="CG355" s="141" t="n">
        <x:f>CD355+CF355-CE355</x:f>
        <x:v>20887522.99701548</x:v>
      </x:c>
      <x:c r="CH355" s="141" t="n">
        <x:f>IF(CC355&gt;1,"Inviavel",CG355)</x:f>
        <x:v>20887522.99701548</x:v>
      </x:c>
      <x:c r="CI355" s="145" t="str">
        <x:f>IF(CC355&gt;1,"Inviavel","OK")</x:f>
        <x:v>OK</x:v>
      </x:c>
    </x:row>
    <x:row r="356">
      <x:c r="A356" s="142" t="n">
        <x:v>352</x:v>
      </x:c>
      <x:c r="B356" s="179" t="n">
        <x:f>EDATE(Premissas!$B$4,A356-1)</x:f>
        <x:v>57224</x:v>
      </x:c>
      <x:c r="C356" s="141" t="n">
        <x:f>IF(A356&lt;=Premissas!$B$39,Premissas!$B$42,0)</x:f>
        <x:v>7000</x:v>
      </x:c>
      <x:c r="D356" s="141" t="n">
        <x:f>Premissas!$B$54*(1+Premissas!$B$57)^INT((A356-1)/12)</x:f>
        <x:v>3792.8715292823404</x:v>
      </x:c>
      <x:c r="E356" s="141" t="n">
        <x:f>Premissas!$B$64*(1+Premissas!$B$57)^INT((A356-1)/12)</x:f>
        <x:v>3467.768255343854</x:v>
      </x:c>
      <x:c r="F356" s="141" t="n">
        <x:f>MAX(0,Premissas!$B$6*(1+Premissas!$B$66)^((A356-1)/12))</x:f>
        <x:v>1099579.2978972907</x:v>
      </x:c>
      <x:c r="G356" s="141" t="n">
        <x:f>G355*(1+Premissas!$B$41)+C356</x:f>
        <x:v>22232447.437680185</x:v>
      </x:c>
      <x:c r="H356" s="141" t="n">
        <x:f>IF($A356=Premissas!$B$48,Premissas!$B$8,0)</x:f>
        <x:v>0</x:v>
      </x:c>
      <x:c r="I356" s="141" t="n">
        <x:f>IF(AND($A356&gt;=Premissas!$B$48,$A356-Premissas!$B$48+1&lt;=Premissas!$B$13),INDEX(Financiamento!$J$6:$J$485,$A356-Premissas!$B$48+1),0)</x:f>
        <x:v>780.372080947136</x:v>
      </x:c>
      <x:c r="J356" s="141" t="n">
        <x:f>IF(AND(TRUE,Premissas!$B$11="Imovel",Premissas!$B$47="Moradia",$A356&lt;MAX(Premissas!$B$48,Premissas!$B$49)),$D356,0)</x:f>
        <x:v>0</x:v>
      </x:c>
      <x:c r="K356" s="141" t="n">
        <x:f>IF(AND(TRUE,Premissas!$B$11="Imovel",Premissas!$B$47="Investimento",$A356&gt;=MAX(Premissas!$B$48,Premissas!$B$49)),$E356,0)</x:f>
        <x:v>3467.768255343854</x:v>
      </x:c>
      <x:c r="L356" s="141" t="n">
        <x:f>H356+I356+J356</x:f>
        <x:v>780.372080947136</x:v>
      </x:c>
      <x:c r="M356" s="141" t="n">
        <x:f>K356</x:f>
        <x:v>3467.768255343854</x:v>
      </x:c>
      <x:c r="N356" s="141" t="n">
        <x:f>$C356+M356-L356</x:f>
        <x:v>9687.396174396717</x:v>
      </x:c>
      <x:c r="O356" s="141" t="n">
        <x:f>R355*(1+Premissas!$B$41)+N356</x:f>
        <x:v>19291895.716491234</x:v>
      </x:c>
      <x:c r="P356" s="141" t="n">
        <x:f>MAX(0,-O356)</x:f>
        <x:v>0</x:v>
      </x:c>
      <x:c r="Q356" s="141" t="n">
        <x:f>Q355*(1+Premissas!$B$41)+P356</x:f>
        <x:v>0</x:v>
      </x:c>
      <x:c r="R356" s="141" t="n">
        <x:f>MAX(0,O356)</x:f>
        <x:v>19291895.716491234</x:v>
      </x:c>
      <x:c r="S356" s="141" t="n">
        <x:f>IF(AND($A356&gt;=Premissas!$B$48,$A356-Premissas!$B$48+1&lt;=Premissas!$B$13),INDEX(Financiamento!$M$6:$M$485,$A356-Premissas!$B$48+1),0)</x:f>
        <x:v>25904.761904761937</x:v>
      </x:c>
      <x:c r="T356" s="141" t="n">
        <x:f>IF($A356&gt;=Premissas!$B$48,$F356,0)</x:f>
        <x:v>1099579.2978972907</x:v>
      </x:c>
      <x:c r="U356" s="141" t="n">
        <x:f>R356+T356-S356</x:f>
        <x:v>20365570.252483763</x:v>
      </x:c>
      <x:c r="V356" s="141" t="n">
        <x:f>IF(Q356&gt;1,"Inviavel",U356)</x:f>
        <x:v>20365570.252483763</x:v>
      </x:c>
      <x:c r="W356" s="141" t="str">
        <x:f>IF(Q356&gt;1,"Inviavel","OK")</x:f>
        <x:v>OK</x:v>
      </x:c>
      <x:c r="X356" s="141" t="n">
        <x:f>IF($A356=Premissas!$B$48,Premissas!$B$8,0)</x:f>
        <x:v>0</x:v>
      </x:c>
      <x:c r="Y356" s="141" t="n">
        <x:f>IF(AND($A356&gt;=Premissas!$B$48,$A356-Premissas!$B$48+1&lt;=Premissas!$B$13),INDEX(Amortizacao!$K$6:$K$485,$A356-Premissas!$B$48+1),0)</x:f>
        <x:v>0</x:v>
      </x:c>
      <x:c r="Z356" s="141" t="n">
        <x:f>IF(AND(TRUE,Premissas!$B$11="Imovel",Premissas!$B$47="Moradia",$A356&lt;MAX(Premissas!$B$48,Premissas!$B$49)),$D356,0)</x:f>
        <x:v>0</x:v>
      </x:c>
      <x:c r="AA356" s="141" t="n">
        <x:f>IF(AND(TRUE,Premissas!$B$11="Imovel",Premissas!$B$47="Investimento",$A356&gt;=MAX(Premissas!$B$48,Premissas!$B$49)),$E356,0)</x:f>
        <x:v>3467.768255343854</x:v>
      </x:c>
      <x:c r="AB356" s="141" t="n">
        <x:f>X356+Y356+Z356</x:f>
        <x:v>0</x:v>
      </x:c>
      <x:c r="AC356" s="141" t="n">
        <x:f>AA356</x:f>
        <x:v>3467.768255343854</x:v>
      </x:c>
      <x:c r="AD356" s="141" t="n">
        <x:f>$C356+AC356-AB356</x:f>
        <x:v>10467.768255343854</x:v>
      </x:c>
      <x:c r="AE356" s="141" t="n">
        <x:f>AH355*(1+Premissas!$B$41)+AD356</x:f>
        <x:v>19590487.889729857</x:v>
      </x:c>
      <x:c r="AF356" s="141" t="n">
        <x:f>MAX(0,-AE356)</x:f>
        <x:v>0</x:v>
      </x:c>
      <x:c r="AG356" s="141" t="n">
        <x:f>AG355*(1+Premissas!$B$41)+AF356</x:f>
        <x:v>0</x:v>
      </x:c>
      <x:c r="AH356" s="141" t="n">
        <x:f>MAX(0,AE356)</x:f>
        <x:v>19590487.889729857</x:v>
      </x:c>
      <x:c r="AI356" s="141" t="n">
        <x:f>IF(AND($A356&gt;=Premissas!$B$48,$A356-Premissas!$B$48+1&lt;=Premissas!$B$13),INDEX(Amortizacao!$L$6:$L$485,$A356-Premissas!$B$48+1),0)</x:f>
        <x:v>0</x:v>
      </x:c>
      <x:c r="AJ356" s="141" t="n">
        <x:f>IF($A356&gt;=Premissas!$B$48,$F356,0)</x:f>
        <x:v>1099579.2978972907</x:v>
      </x:c>
      <x:c r="AK356" s="141" t="n">
        <x:f>AH356+AJ356-AI356</x:f>
        <x:v>20690067.187627148</x:v>
      </x:c>
      <x:c r="AL356" s="141" t="n">
        <x:f>IF(AG356&gt;1,"Inviavel",AK356)</x:f>
        <x:v>20690067.187627148</x:v>
      </x:c>
      <x:c r="AM356" s="141" t="str">
        <x:f>IF(AG356&gt;1,"Inviavel","OK")</x:f>
        <x:v>OK</x:v>
      </x:c>
      <x:c r="AN356" s="141" t="n">
        <x:f>IF($A356=Premissas!$B$48,Premissas!$B$8,0)</x:f>
        <x:v>0</x:v>
      </x:c>
      <x:c r="AO356" s="141" t="n">
        <x:f>IF($A356&lt;=Premissas!$B$25,INDEX('Consorcio IQ'!$K$6:$K$485,$A356),0)</x:f>
        <x:v>0</x:v>
      </x:c>
      <x:c r="AP356" s="141" t="n">
        <x:f>IF(AND(TRUE,Premissas!$B$11="Imovel",Premissas!$B$47="Moradia",$A356&lt;MAX(Premissas!$B$48,Premissas!$B$49)),$D356,0)</x:f>
        <x:v>0</x:v>
      </x:c>
      <x:c r="AQ356" s="141" t="n">
        <x:f>IF(AND(TRUE,Premissas!$B$11="Imovel",Premissas!$B$47="Investimento",$A356&gt;=MAX(Premissas!$B$48,Premissas!$B$49)),$E356,0)</x:f>
        <x:v>3467.768255343854</x:v>
      </x:c>
      <x:c r="AR356" s="141" t="n">
        <x:f>AN356+AO356+AP356</x:f>
        <x:v>0</x:v>
      </x:c>
      <x:c r="AS356" s="141" t="n">
        <x:f>AQ356</x:f>
        <x:v>3467.768255343854</x:v>
      </x:c>
      <x:c r="AT356" s="141" t="n">
        <x:f>$C356+AS356-AR356</x:f>
        <x:v>10467.768255343854</x:v>
      </x:c>
      <x:c r="AU356" s="141" t="n">
        <x:f>AX355*(1+Premissas!$B$41)+AT356</x:f>
        <x:v>19431449.809370764</x:v>
      </x:c>
      <x:c r="AV356" s="141" t="n">
        <x:f>MAX(0,-AU356)</x:f>
        <x:v>0</x:v>
      </x:c>
      <x:c r="AW356" s="141" t="n">
        <x:f>AW355*(1+Premissas!$B$41)+AV356</x:f>
        <x:v>0</x:v>
      </x:c>
      <x:c r="AX356" s="141" t="n">
        <x:f>MAX(0,AU356)</x:f>
        <x:v>19431449.809370764</x:v>
      </x:c>
      <x:c r="AY356" s="141" t="n">
        <x:f>INDEX('Consorcio IQ'!$P$6:$P$485,$A356)</x:f>
        <x:v>0</x:v>
      </x:c>
      <x:c r="AZ356" s="141" t="n">
        <x:f>IF($A356&gt;=Premissas!$B$48,$F356,0)+IF($A356&lt;Premissas!$B$27,INDEX('Consorcio IQ'!$O$6:$O$485,$A356),0)</x:f>
        <x:v>1099579.2978972907</x:v>
      </x:c>
      <x:c r="BA356" s="141" t="n">
        <x:f>AX356+AZ356-AY356</x:f>
        <x:v>20531029.107268054</x:v>
      </x:c>
      <x:c r="BB356" s="141" t="n">
        <x:f>IF(AW356&gt;1,"Inviavel",BA356)</x:f>
        <x:v>20531029.107268054</x:v>
      </x:c>
      <x:c r="BC356" s="141" t="str">
        <x:f>IF(AW356&gt;1,"Inviavel","OK")</x:f>
        <x:v>OK</x:v>
      </x:c>
      <x:c r="BD356" s="141" t="n">
        <x:f>IF($A356='Consorcio Direto'!$B$29,'Consorcio Direto'!$B$44,0)</x:f>
        <x:v>0</x:v>
      </x:c>
      <x:c r="BE356" s="141" t="n">
        <x:f>IF($A356&lt;='Consorcio Direto'!$B$27,INDEX('Consorcio Direto'!$E$55:$E$534,$A356),0)</x:f>
        <x:v>0</x:v>
      </x:c>
      <x:c r="BF356" s="141" t="n">
        <x:f>IF(AND(TRUE,Premissas!$B$11="Imovel",Premissas!$B$47="Moradia",$A356&lt;MAX('Consorcio Direto'!$B$29,Premissas!$B$49)),$D356,0)</x:f>
        <x:v>0</x:v>
      </x:c>
      <x:c r="BG356" s="141" t="n">
        <x:f>IF(AND(TRUE,Premissas!$B$11="Imovel",Premissas!$B$47="Investimento",$A356&gt;=MAX('Consorcio Direto'!$B$29,Premissas!$B$49)),$E356,0)</x:f>
        <x:v>3467.768255343854</x:v>
      </x:c>
      <x:c r="BH356" s="141" t="n">
        <x:f>BD356+BE356+BF356</x:f>
        <x:v>0</x:v>
      </x:c>
      <x:c r="BI356" s="141" t="n">
        <x:f>BG356</x:f>
        <x:v>3467.768255343854</x:v>
      </x:c>
      <x:c r="BJ356" s="141" t="n">
        <x:f>$C356+BI356-BH356</x:f>
        <x:v>10467.768255343854</x:v>
      </x:c>
      <x:c r="BK356" s="141" t="n">
        <x:f>BN355*(1+Premissas!$B$41)+BJ356</x:f>
        <x:v>18571946.098490965</x:v>
      </x:c>
      <x:c r="BL356" s="141" t="n">
        <x:f>MAX(0,-BK356)</x:f>
        <x:v>0</x:v>
      </x:c>
      <x:c r="BM356" s="141" t="n">
        <x:f>BM355*(1+Premissas!$B$41)+BL356</x:f>
        <x:v>0</x:v>
      </x:c>
      <x:c r="BN356" s="141" t="n">
        <x:f>MAX(0,BK356)</x:f>
        <x:v>18571946.098490965</x:v>
      </x:c>
      <x:c r="BO356" s="141" t="n">
        <x:f>INDEX('Consorcio Direto'!$K$55:$K$534,$A356)</x:f>
        <x:v>0</x:v>
      </x:c>
      <x:c r="BP356" s="141" t="n">
        <x:f>IF($A356&lt;'Consorcio Direto'!$B$29,INDEX('Consorcio Direto'!$L$55:$L$534,$A356),$F356)</x:f>
        <x:v>1099579.2978972907</x:v>
      </x:c>
      <x:c r="BQ356" s="141" t="n">
        <x:f>BN356+BP356-BO356</x:f>
        <x:v>19671525.396388255</x:v>
      </x:c>
      <x:c r="BR356" s="141" t="n">
        <x:f>IF(BM356&gt;1,"Inviavel",BQ356)</x:f>
        <x:v>19671525.396388255</x:v>
      </x:c>
      <x:c r="BS356" s="141" t="str">
        <x:f>IF(BM356&gt;1,"Inviavel","OK")</x:f>
        <x:v>OK</x:v>
      </x:c>
      <x:c r="BT356" s="141" t="n">
        <x:f>IF(AND('Carta Contemplada'!$B$22="Sim",$A356='Carta Contemplada'!$B$23),'Carta Contemplada'!$B$37,0)</x:f>
        <x:v>0</x:v>
      </x:c>
      <x:c r="BU356" s="141" t="n">
        <x:f>IF('Carta Contemplada'!$B$22="Sim",INDEX('Carta Contemplada'!$C$55:$C$1013,$A356),0)</x:f>
        <x:v>0</x:v>
      </x:c>
      <x:c r="BV356" s="141" t="n">
        <x:f>IF(AND('Carta Contemplada'!$B$22="Sim",Premissas!$B$11="Imovel",Premissas!$B$47="Moradia",$A356&lt;MAX('Carta Contemplada'!$B$44,Premissas!$B$49)),$D356,0)</x:f>
        <x:v>0</x:v>
      </x:c>
      <x:c r="BW356" s="141" t="n">
        <x:f>IF(AND('Carta Contemplada'!$B$22="Sim",Premissas!$B$11="Imovel",Premissas!$B$47="Investimento",$A356&gt;=MAX('Carta Contemplada'!$B$44,Premissas!$B$49)),$E356,0)</x:f>
        <x:v>3467.768255343854</x:v>
      </x:c>
      <x:c r="BX356" s="141" t="n">
        <x:f>BT356+BU356+BV356</x:f>
        <x:v>0</x:v>
      </x:c>
      <x:c r="BY356" s="141" t="n">
        <x:f>BW356</x:f>
        <x:v>3467.768255343854</x:v>
      </x:c>
      <x:c r="BZ356" s="141" t="n">
        <x:f>$C356+BY356-BX356</x:f>
        <x:v>10467.768255343854</x:v>
      </x:c>
      <x:c r="CA356" s="141" t="n">
        <x:f>CD355*(1+Premissas!$B$41)+BZ356</x:f>
        <x:v>19991552.039838243</x:v>
      </x:c>
      <x:c r="CB356" s="141" t="n">
        <x:f>MAX(0,-CA356)</x:f>
        <x:v>0</x:v>
      </x:c>
      <x:c r="CC356" s="141" t="n">
        <x:f>CC355*(1+Premissas!$B$41)+CB356</x:f>
        <x:v>0</x:v>
      </x:c>
      <x:c r="CD356" s="141" t="n">
        <x:f>MAX(0,CA356)</x:f>
        <x:v>19991552.039838243</x:v>
      </x:c>
      <x:c r="CE356" s="141" t="n">
        <x:f>IF(AND('Carta Contemplada'!$B$22="Sim",$A356&gt;='Carta Contemplada'!$B$23),INDEX('Carta Contemplada'!$I$55:$I$1013,$A356),0)</x:f>
        <x:v>0</x:v>
      </x:c>
      <x:c r="CF356" s="141" t="n">
        <x:f>IF(AND('Carta Contemplada'!$B$22="Sim",$A356&gt;='Carta Contemplada'!$B$44),$F356,0)</x:f>
        <x:v>1099579.2978972907</x:v>
      </x:c>
      <x:c r="CG356" s="141" t="n">
        <x:f>CD356+CF356-CE356</x:f>
        <x:v>21091131.337735534</x:v>
      </x:c>
      <x:c r="CH356" s="141" t="n">
        <x:f>IF(CC356&gt;1,"Inviavel",CG356)</x:f>
        <x:v>21091131.337735534</x:v>
      </x:c>
      <x:c r="CI356" s="145" t="str">
        <x:f>IF(CC356&gt;1,"Inviavel","OK")</x:f>
        <x:v>OK</x:v>
      </x:c>
    </x:row>
    <x:row r="357">
      <x:c r="A357" s="142" t="n">
        <x:v>353</x:v>
      </x:c>
      <x:c r="B357" s="179" t="n">
        <x:f>EDATE(Premissas!$B$4,A357-1)</x:f>
        <x:v>57254</x:v>
      </x:c>
      <x:c r="C357" s="141" t="n">
        <x:f>IF(A357&lt;=Premissas!$B$39,Premissas!$B$42,0)</x:f>
        <x:v>7000</x:v>
      </x:c>
      <x:c r="D357" s="141" t="n">
        <x:f>Premissas!$B$54*(1+Premissas!$B$57)^INT((A357-1)/12)</x:f>
        <x:v>3792.8715292823404</x:v>
      </x:c>
      <x:c r="E357" s="141" t="n">
        <x:f>Premissas!$B$64*(1+Premissas!$B$57)^INT((A357-1)/12)</x:f>
        <x:v>3467.768255343854</x:v>
      </x:c>
      <x:c r="F357" s="141" t="n">
        <x:f>MAX(0,Premissas!$B$6*(1+Premissas!$B$66)^((A357-1)/12))</x:f>
        <x:v>1104931.55573041</x:v>
      </x:c>
      <x:c r="G357" s="141" t="n">
        <x:f>G356*(1+Premissas!$B$41)+C357</x:f>
        <x:v>22450406.527845334</x:v>
      </x:c>
      <x:c r="H357" s="141" t="n">
        <x:f>IF($A357=Premissas!$B$48,Premissas!$B$8,0)</x:f>
        <x:v>0</x:v>
      </x:c>
      <x:c r="I357" s="141" t="n">
        <x:f>IF(AND($A357&gt;=Premissas!$B$48,$A357-Premissas!$B$48+1&lt;=Premissas!$B$13),INDEX(Financiamento!$J$6:$J$485,$A357-Premissas!$B$48+1),0)</x:f>
        <x:v>776.7573026863425</x:v>
      </x:c>
      <x:c r="J357" s="141" t="n">
        <x:f>IF(AND(TRUE,Premissas!$B$11="Imovel",Premissas!$B$47="Moradia",$A357&lt;MAX(Premissas!$B$48,Premissas!$B$49)),$D357,0)</x:f>
        <x:v>0</x:v>
      </x:c>
      <x:c r="K357" s="141" t="n">
        <x:f>IF(AND(TRUE,Premissas!$B$11="Imovel",Premissas!$B$47="Investimento",$A357&gt;=MAX(Premissas!$B$48,Premissas!$B$49)),$E357,0)</x:f>
        <x:v>3467.768255343854</x:v>
      </x:c>
      <x:c r="L357" s="141" t="n">
        <x:f>H357+I357+J357</x:f>
        <x:v>776.7573026863425</x:v>
      </x:c>
      <x:c r="M357" s="141" t="n">
        <x:f>K357</x:f>
        <x:v>3467.768255343854</x:v>
      </x:c>
      <x:c r="N357" s="141" t="n">
        <x:f>$C357+M357-L357</x:f>
        <x:v>9691.01095265751</x:v>
      </x:c>
      <x:c r="O357" s="141" t="n">
        <x:f>R356*(1+Premissas!$B$41)+N357</x:f>
        <x:v>19484643.531213246</x:v>
      </x:c>
      <x:c r="P357" s="141" t="n">
        <x:f>MAX(0,-O357)</x:f>
        <x:v>0</x:v>
      </x:c>
      <x:c r="Q357" s="141" t="n">
        <x:f>Q356*(1+Premissas!$B$41)+P357</x:f>
        <x:v>0</x:v>
      </x:c>
      <x:c r="R357" s="141" t="n">
        <x:f>MAX(0,O357)</x:f>
        <x:v>19484643.531213246</x:v>
      </x:c>
      <x:c r="S357" s="141" t="n">
        <x:f>IF(AND($A357&gt;=Premissas!$B$48,$A357-Premissas!$B$48+1&lt;=Premissas!$B$13),INDEX(Financiamento!$M$6:$M$485,$A357-Premissas!$B$48+1),0)</x:f>
        <x:v>25523.809523809556</x:v>
      </x:c>
      <x:c r="T357" s="141" t="n">
        <x:f>IF($A357&gt;=Premissas!$B$48,$F357,0)</x:f>
        <x:v>1104931.55573041</x:v>
      </x:c>
      <x:c r="U357" s="141" t="n">
        <x:f>R357+T357-S357</x:f>
        <x:v>20564051.277419847</x:v>
      </x:c>
      <x:c r="V357" s="141" t="n">
        <x:f>IF(Q357&gt;1,"Inviavel",U357)</x:f>
        <x:v>20564051.277419847</x:v>
      </x:c>
      <x:c r="W357" s="141" t="str">
        <x:f>IF(Q357&gt;1,"Inviavel","OK")</x:f>
        <x:v>OK</x:v>
      </x:c>
      <x:c r="X357" s="141" t="n">
        <x:f>IF($A357=Premissas!$B$48,Premissas!$B$8,0)</x:f>
        <x:v>0</x:v>
      </x:c>
      <x:c r="Y357" s="141" t="n">
        <x:f>IF(AND($A357&gt;=Premissas!$B$48,$A357-Premissas!$B$48+1&lt;=Premissas!$B$13),INDEX(Amortizacao!$K$6:$K$485,$A357-Premissas!$B$48+1),0)</x:f>
        <x:v>0</x:v>
      </x:c>
      <x:c r="Z357" s="141" t="n">
        <x:f>IF(AND(TRUE,Premissas!$B$11="Imovel",Premissas!$B$47="Moradia",$A357&lt;MAX(Premissas!$B$48,Premissas!$B$49)),$D357,0)</x:f>
        <x:v>0</x:v>
      </x:c>
      <x:c r="AA357" s="141" t="n">
        <x:f>IF(AND(TRUE,Premissas!$B$11="Imovel",Premissas!$B$47="Investimento",$A357&gt;=MAX(Premissas!$B$48,Premissas!$B$49)),$E357,0)</x:f>
        <x:v>3467.768255343854</x:v>
      </x:c>
      <x:c r="AB357" s="141" t="n">
        <x:f>X357+Y357+Z357</x:f>
        <x:v>0</x:v>
      </x:c>
      <x:c r="AC357" s="141" t="n">
        <x:f>AA357</x:f>
        <x:v>3467.768255343854</x:v>
      </x:c>
      <x:c r="AD357" s="141" t="n">
        <x:f>$C357+AC357-AB357</x:f>
        <x:v>10467.768255343854</x:v>
      </x:c>
      <x:c r="AE357" s="141" t="n">
        <x:f>AH356*(1+Premissas!$B$41)+AD357</x:f>
        <x:v>19786845.741058305</x:v>
      </x:c>
      <x:c r="AF357" s="141" t="n">
        <x:f>MAX(0,-AE357)</x:f>
        <x:v>0</x:v>
      </x:c>
      <x:c r="AG357" s="141" t="n">
        <x:f>AG356*(1+Premissas!$B$41)+AF357</x:f>
        <x:v>0</x:v>
      </x:c>
      <x:c r="AH357" s="141" t="n">
        <x:f>MAX(0,AE357)</x:f>
        <x:v>19786845.741058305</x:v>
      </x:c>
      <x:c r="AI357" s="141" t="n">
        <x:f>IF(AND($A357&gt;=Premissas!$B$48,$A357-Premissas!$B$48+1&lt;=Premissas!$B$13),INDEX(Amortizacao!$L$6:$L$485,$A357-Premissas!$B$48+1),0)</x:f>
        <x:v>0</x:v>
      </x:c>
      <x:c r="AJ357" s="141" t="n">
        <x:f>IF($A357&gt;=Premissas!$B$48,$F357,0)</x:f>
        <x:v>1104931.55573041</x:v>
      </x:c>
      <x:c r="AK357" s="141" t="n">
        <x:f>AH357+AJ357-AI357</x:f>
        <x:v>20891777.296788715</x:v>
      </x:c>
      <x:c r="AL357" s="141" t="n">
        <x:f>IF(AG357&gt;1,"Inviavel",AK357)</x:f>
        <x:v>20891777.296788715</x:v>
      </x:c>
      <x:c r="AM357" s="141" t="str">
        <x:f>IF(AG357&gt;1,"Inviavel","OK")</x:f>
        <x:v>OK</x:v>
      </x:c>
      <x:c r="AN357" s="141" t="n">
        <x:f>IF($A357=Premissas!$B$48,Premissas!$B$8,0)</x:f>
        <x:v>0</x:v>
      </x:c>
      <x:c r="AO357" s="141" t="n">
        <x:f>IF($A357&lt;=Premissas!$B$25,INDEX('Consorcio IQ'!$K$6:$K$485,$A357),0)</x:f>
        <x:v>0</x:v>
      </x:c>
      <x:c r="AP357" s="141" t="n">
        <x:f>IF(AND(TRUE,Premissas!$B$11="Imovel",Premissas!$B$47="Moradia",$A357&lt;MAX(Premissas!$B$48,Premissas!$B$49)),$D357,0)</x:f>
        <x:v>0</x:v>
      </x:c>
      <x:c r="AQ357" s="141" t="n">
        <x:f>IF(AND(TRUE,Premissas!$B$11="Imovel",Premissas!$B$47="Investimento",$A357&gt;=MAX(Premissas!$B$48,Premissas!$B$49)),$E357,0)</x:f>
        <x:v>3467.768255343854</x:v>
      </x:c>
      <x:c r="AR357" s="141" t="n">
        <x:f>AN357+AO357+AP357</x:f>
        <x:v>0</x:v>
      </x:c>
      <x:c r="AS357" s="141" t="n">
        <x:f>AQ357</x:f>
        <x:v>3467.768255343854</x:v>
      </x:c>
      <x:c r="AT357" s="141" t="n">
        <x:f>$C357+AS357-AR357</x:f>
        <x:v>10467.768255343854</x:v>
      </x:c>
      <x:c r="AU357" s="141" t="n">
        <x:f>AX356*(1+Premissas!$B$41)+AT357</x:f>
        <x:v>19626298.581285972</x:v>
      </x:c>
      <x:c r="AV357" s="141" t="n">
        <x:f>MAX(0,-AU357)</x:f>
        <x:v>0</x:v>
      </x:c>
      <x:c r="AW357" s="141" t="n">
        <x:f>AW356*(1+Premissas!$B$41)+AV357</x:f>
        <x:v>0</x:v>
      </x:c>
      <x:c r="AX357" s="141" t="n">
        <x:f>MAX(0,AU357)</x:f>
        <x:v>19626298.581285972</x:v>
      </x:c>
      <x:c r="AY357" s="141" t="n">
        <x:f>INDEX('Consorcio IQ'!$P$6:$P$485,$A357)</x:f>
        <x:v>0</x:v>
      </x:c>
      <x:c r="AZ357" s="141" t="n">
        <x:f>IF($A357&gt;=Premissas!$B$48,$F357,0)+IF($A357&lt;Premissas!$B$27,INDEX('Consorcio IQ'!$O$6:$O$485,$A357),0)</x:f>
        <x:v>1104931.55573041</x:v>
      </x:c>
      <x:c r="BA357" s="141" t="n">
        <x:f>AX357+AZ357-AY357</x:f>
        <x:v>20731230.137016382</x:v>
      </x:c>
      <x:c r="BB357" s="141" t="n">
        <x:f>IF(AW357&gt;1,"Inviavel",BA357)</x:f>
        <x:v>20731230.137016382</x:v>
      </x:c>
      <x:c r="BC357" s="141" t="str">
        <x:f>IF(AW357&gt;1,"Inviavel","OK")</x:f>
        <x:v>OK</x:v>
      </x:c>
      <x:c r="BD357" s="141" t="n">
        <x:f>IF($A357='Consorcio Direto'!$B$29,'Consorcio Direto'!$B$44,0)</x:f>
        <x:v>0</x:v>
      </x:c>
      <x:c r="BE357" s="141" t="n">
        <x:f>IF($A357&lt;='Consorcio Direto'!$B$27,INDEX('Consorcio Direto'!$E$55:$E$534,$A357),0)</x:f>
        <x:v>0</x:v>
      </x:c>
      <x:c r="BF357" s="141" t="n">
        <x:f>IF(AND(TRUE,Premissas!$B$11="Imovel",Premissas!$B$47="Moradia",$A357&lt;MAX('Consorcio Direto'!$B$29,Premissas!$B$49)),$D357,0)</x:f>
        <x:v>0</x:v>
      </x:c>
      <x:c r="BG357" s="141" t="n">
        <x:f>IF(AND(TRUE,Premissas!$B$11="Imovel",Premissas!$B$47="Investimento",$A357&gt;=MAX('Consorcio Direto'!$B$29,Premissas!$B$49)),$E357,0)</x:f>
        <x:v>3467.768255343854</x:v>
      </x:c>
      <x:c r="BH357" s="141" t="n">
        <x:f>BD357+BE357+BF357</x:f>
        <x:v>0</x:v>
      </x:c>
      <x:c r="BI357" s="141" t="n">
        <x:f>BG357</x:f>
        <x:v>3467.768255343854</x:v>
      </x:c>
      <x:c r="BJ357" s="141" t="n">
        <x:f>$C357+BI357-BH357</x:f>
        <x:v>10467.768255343854</x:v>
      </x:c>
      <x:c r="BK357" s="141" t="n">
        <x:f>BN356*(1+Premissas!$B$41)+BJ357</x:f>
        <x:v>18758639.21766713</x:v>
      </x:c>
      <x:c r="BL357" s="141" t="n">
        <x:f>MAX(0,-BK357)</x:f>
        <x:v>0</x:v>
      </x:c>
      <x:c r="BM357" s="141" t="n">
        <x:f>BM356*(1+Premissas!$B$41)+BL357</x:f>
        <x:v>0</x:v>
      </x:c>
      <x:c r="BN357" s="141" t="n">
        <x:f>MAX(0,BK357)</x:f>
        <x:v>18758639.21766713</x:v>
      </x:c>
      <x:c r="BO357" s="141" t="n">
        <x:f>INDEX('Consorcio Direto'!$K$55:$K$534,$A357)</x:f>
        <x:v>0</x:v>
      </x:c>
      <x:c r="BP357" s="141" t="n">
        <x:f>IF($A357&lt;'Consorcio Direto'!$B$29,INDEX('Consorcio Direto'!$L$55:$L$534,$A357),$F357)</x:f>
        <x:v>1104931.55573041</x:v>
      </x:c>
      <x:c r="BQ357" s="141" t="n">
        <x:f>BN357+BP357-BO357</x:f>
        <x:v>19863570.77339754</x:v>
      </x:c>
      <x:c r="BR357" s="141" t="n">
        <x:f>IF(BM357&gt;1,"Inviavel",BQ357)</x:f>
        <x:v>19863570.77339754</x:v>
      </x:c>
      <x:c r="BS357" s="141" t="str">
        <x:f>IF(BM357&gt;1,"Inviavel","OK")</x:f>
        <x:v>OK</x:v>
      </x:c>
      <x:c r="BT357" s="141" t="n">
        <x:f>IF(AND('Carta Contemplada'!$B$22="Sim",$A357='Carta Contemplada'!$B$23),'Carta Contemplada'!$B$37,0)</x:f>
        <x:v>0</x:v>
      </x:c>
      <x:c r="BU357" s="141" t="n">
        <x:f>IF('Carta Contemplada'!$B$22="Sim",INDEX('Carta Contemplada'!$C$55:$C$1013,$A357),0)</x:f>
        <x:v>0</x:v>
      </x:c>
      <x:c r="BV357" s="141" t="n">
        <x:f>IF(AND('Carta Contemplada'!$B$22="Sim",Premissas!$B$11="Imovel",Premissas!$B$47="Moradia",$A357&lt;MAX('Carta Contemplada'!$B$44,Premissas!$B$49)),$D357,0)</x:f>
        <x:v>0</x:v>
      </x:c>
      <x:c r="BW357" s="141" t="n">
        <x:f>IF(AND('Carta Contemplada'!$B$22="Sim",Premissas!$B$11="Imovel",Premissas!$B$47="Investimento",$A357&gt;=MAX('Carta Contemplada'!$B$44,Premissas!$B$49)),$E357,0)</x:f>
        <x:v>3467.768255343854</x:v>
      </x:c>
      <x:c r="BX357" s="141" t="n">
        <x:f>BT357+BU357+BV357</x:f>
        <x:v>0</x:v>
      </x:c>
      <x:c r="BY357" s="141" t="n">
        <x:f>BW357</x:f>
        <x:v>3467.768255343854</x:v>
      </x:c>
      <x:c r="BZ357" s="141" t="n">
        <x:f>$C357+BY357-BX357</x:f>
        <x:v>10467.768255343854</x:v>
      </x:c>
      <x:c r="CA357" s="141" t="n">
        <x:f>CD356*(1+Premissas!$B$41)+BZ357</x:f>
        <x:v>20191715.505840555</x:v>
      </x:c>
      <x:c r="CB357" s="141" t="n">
        <x:f>MAX(0,-CA357)</x:f>
        <x:v>0</x:v>
      </x:c>
      <x:c r="CC357" s="141" t="n">
        <x:f>CC356*(1+Premissas!$B$41)+CB357</x:f>
        <x:v>0</x:v>
      </x:c>
      <x:c r="CD357" s="141" t="n">
        <x:f>MAX(0,CA357)</x:f>
        <x:v>20191715.505840555</x:v>
      </x:c>
      <x:c r="CE357" s="141" t="n">
        <x:f>IF(AND('Carta Contemplada'!$B$22="Sim",$A357&gt;='Carta Contemplada'!$B$23),INDEX('Carta Contemplada'!$I$55:$I$1013,$A357),0)</x:f>
        <x:v>0</x:v>
      </x:c>
      <x:c r="CF357" s="141" t="n">
        <x:f>IF(AND('Carta Contemplada'!$B$22="Sim",$A357&gt;='Carta Contemplada'!$B$44),$F357,0)</x:f>
        <x:v>1104931.55573041</x:v>
      </x:c>
      <x:c r="CG357" s="141" t="n">
        <x:f>CD357+CF357-CE357</x:f>
        <x:v>21296647.061570965</x:v>
      </x:c>
      <x:c r="CH357" s="141" t="n">
        <x:f>IF(CC357&gt;1,"Inviavel",CG357)</x:f>
        <x:v>21296647.061570965</x:v>
      </x:c>
      <x:c r="CI357" s="145" t="str">
        <x:f>IF(CC357&gt;1,"Inviavel","OK")</x:f>
        <x:v>OK</x:v>
      </x:c>
    </x:row>
    <x:row r="358">
      <x:c r="A358" s="142" t="n">
        <x:v>354</x:v>
      </x:c>
      <x:c r="B358" s="179" t="n">
        <x:f>EDATE(Premissas!$B$4,A358-1)</x:f>
        <x:v>57285</x:v>
      </x:c>
      <x:c r="C358" s="141" t="n">
        <x:f>IF(A358&lt;=Premissas!$B$39,Premissas!$B$42,0)</x:f>
        <x:v>7000</x:v>
      </x:c>
      <x:c r="D358" s="141" t="n">
        <x:f>Premissas!$B$54*(1+Premissas!$B$57)^INT((A358-1)/12)</x:f>
        <x:v>3792.8715292823404</x:v>
      </x:c>
      <x:c r="E358" s="141" t="n">
        <x:f>Premissas!$B$64*(1+Premissas!$B$57)^INT((A358-1)/12)</x:f>
        <x:v>3467.768255343854</x:v>
      </x:c>
      <x:c r="F358" s="141" t="n">
        <x:f>MAX(0,Premissas!$B$6*(1+Premissas!$B$66)^((A358-1)/12))</x:f>
        <x:v>1110309.8659491711</x:v>
      </x:c>
      <x:c r="G358" s="141" t="n">
        <x:f>G357*(1+Premissas!$B$41)+C358</x:f>
        <x:v>22670433.78668527</x:v>
      </x:c>
      <x:c r="H358" s="141" t="n">
        <x:f>IF($A358=Premissas!$B$48,Premissas!$B$8,0)</x:f>
        <x:v>0</x:v>
      </x:c>
      <x:c r="I358" s="141" t="n">
        <x:f>IF(AND($A358&gt;=Premissas!$B$48,$A358-Premissas!$B$48+1&lt;=Premissas!$B$13),INDEX(Financiamento!$J$6:$J$485,$A358-Premissas!$B$48+1),0)</x:f>
        <x:v>773.142524425549</x:v>
      </x:c>
      <x:c r="J358" s="141" t="n">
        <x:f>IF(AND(TRUE,Premissas!$B$11="Imovel",Premissas!$B$47="Moradia",$A358&lt;MAX(Premissas!$B$48,Premissas!$B$49)),$D358,0)</x:f>
        <x:v>0</x:v>
      </x:c>
      <x:c r="K358" s="141" t="n">
        <x:f>IF(AND(TRUE,Premissas!$B$11="Imovel",Premissas!$B$47="Investimento",$A358&gt;=MAX(Premissas!$B$48,Premissas!$B$49)),$E358,0)</x:f>
        <x:v>3467.768255343854</x:v>
      </x:c>
      <x:c r="L358" s="141" t="n">
        <x:f>H358+I358+J358</x:f>
        <x:v>773.142524425549</x:v>
      </x:c>
      <x:c r="M358" s="141" t="n">
        <x:f>K358</x:f>
        <x:v>3467.768255343854</x:v>
      </x:c>
      <x:c r="N358" s="141" t="n">
        <x:f>$C358+M358-L358</x:f>
        <x:v>9694.625730918304</x:v>
      </x:c>
      <x:c r="O358" s="141" t="n">
        <x:f>R357*(1+Premissas!$B$41)+N358</x:f>
        <x:v>19679223.90481601</x:v>
      </x:c>
      <x:c r="P358" s="141" t="n">
        <x:f>MAX(0,-O358)</x:f>
        <x:v>0</x:v>
      </x:c>
      <x:c r="Q358" s="141" t="n">
        <x:f>Q357*(1+Premissas!$B$41)+P358</x:f>
        <x:v>0</x:v>
      </x:c>
      <x:c r="R358" s="141" t="n">
        <x:f>MAX(0,O358)</x:f>
        <x:v>19679223.90481601</x:v>
      </x:c>
      <x:c r="S358" s="141" t="n">
        <x:f>IF(AND($A358&gt;=Premissas!$B$48,$A358-Premissas!$B$48+1&lt;=Premissas!$B$13),INDEX(Financiamento!$M$6:$M$485,$A358-Premissas!$B$48+1),0)</x:f>
        <x:v>25142.857142857174</x:v>
      </x:c>
      <x:c r="T358" s="141" t="n">
        <x:f>IF($A358&gt;=Premissas!$B$48,$F358,0)</x:f>
        <x:v>1110309.8659491711</x:v>
      </x:c>
      <x:c r="U358" s="141" t="n">
        <x:f>R358+T358-S358</x:f>
        <x:v>20764390.913622323</x:v>
      </x:c>
      <x:c r="V358" s="141" t="n">
        <x:f>IF(Q358&gt;1,"Inviavel",U358)</x:f>
        <x:v>20764390.913622323</x:v>
      </x:c>
      <x:c r="W358" s="141" t="str">
        <x:f>IF(Q358&gt;1,"Inviavel","OK")</x:f>
        <x:v>OK</x:v>
      </x:c>
      <x:c r="X358" s="141" t="n">
        <x:f>IF($A358=Premissas!$B$48,Premissas!$B$8,0)</x:f>
        <x:v>0</x:v>
      </x:c>
      <x:c r="Y358" s="141" t="n">
        <x:f>IF(AND($A358&gt;=Premissas!$B$48,$A358-Premissas!$B$48+1&lt;=Premissas!$B$13),INDEX(Amortizacao!$K$6:$K$485,$A358-Premissas!$B$48+1),0)</x:f>
        <x:v>0</x:v>
      </x:c>
      <x:c r="Z358" s="141" t="n">
        <x:f>IF(AND(TRUE,Premissas!$B$11="Imovel",Premissas!$B$47="Moradia",$A358&lt;MAX(Premissas!$B$48,Premissas!$B$49)),$D358,0)</x:f>
        <x:v>0</x:v>
      </x:c>
      <x:c r="AA358" s="141" t="n">
        <x:f>IF(AND(TRUE,Premissas!$B$11="Imovel",Premissas!$B$47="Investimento",$A358&gt;=MAX(Premissas!$B$48,Premissas!$B$49)),$E358,0)</x:f>
        <x:v>3467.768255343854</x:v>
      </x:c>
      <x:c r="AB358" s="141" t="n">
        <x:f>X358+Y358+Z358</x:f>
        <x:v>0</x:v>
      </x:c>
      <x:c r="AC358" s="141" t="n">
        <x:f>AA358</x:f>
        <x:v>3467.768255343854</x:v>
      </x:c>
      <x:c r="AD358" s="141" t="n">
        <x:f>$C358+AC358-AB358</x:f>
        <x:v>10467.768255343854</x:v>
      </x:c>
      <x:c r="AE358" s="141" t="n">
        <x:f>AH357*(1+Premissas!$B$41)+AD358</x:f>
        <x:v>19985066.79137909</x:v>
      </x:c>
      <x:c r="AF358" s="141" t="n">
        <x:f>MAX(0,-AE358)</x:f>
        <x:v>0</x:v>
      </x:c>
      <x:c r="AG358" s="141" t="n">
        <x:f>AG357*(1+Premissas!$B$41)+AF358</x:f>
        <x:v>0</x:v>
      </x:c>
      <x:c r="AH358" s="141" t="n">
        <x:f>MAX(0,AE358)</x:f>
        <x:v>19985066.79137909</x:v>
      </x:c>
      <x:c r="AI358" s="141" t="n">
        <x:f>IF(AND($A358&gt;=Premissas!$B$48,$A358-Premissas!$B$48+1&lt;=Premissas!$B$13),INDEX(Amortizacao!$L$6:$L$485,$A358-Premissas!$B$48+1),0)</x:f>
        <x:v>0</x:v>
      </x:c>
      <x:c r="AJ358" s="141" t="n">
        <x:f>IF($A358&gt;=Premissas!$B$48,$F358,0)</x:f>
        <x:v>1110309.8659491711</x:v>
      </x:c>
      <x:c r="AK358" s="141" t="n">
        <x:f>AH358+AJ358-AI358</x:f>
        <x:v>21095376.657328263</x:v>
      </x:c>
      <x:c r="AL358" s="141" t="n">
        <x:f>IF(AG358&gt;1,"Inviavel",AK358)</x:f>
        <x:v>21095376.657328263</x:v>
      </x:c>
      <x:c r="AM358" s="141" t="str">
        <x:f>IF(AG358&gt;1,"Inviavel","OK")</x:f>
        <x:v>OK</x:v>
      </x:c>
      <x:c r="AN358" s="141" t="n">
        <x:f>IF($A358=Premissas!$B$48,Premissas!$B$8,0)</x:f>
        <x:v>0</x:v>
      </x:c>
      <x:c r="AO358" s="141" t="n">
        <x:f>IF($A358&lt;=Premissas!$B$25,INDEX('Consorcio IQ'!$K$6:$K$485,$A358),0)</x:f>
        <x:v>0</x:v>
      </x:c>
      <x:c r="AP358" s="141" t="n">
        <x:f>IF(AND(TRUE,Premissas!$B$11="Imovel",Premissas!$B$47="Moradia",$A358&lt;MAX(Premissas!$B$48,Premissas!$B$49)),$D358,0)</x:f>
        <x:v>0</x:v>
      </x:c>
      <x:c r="AQ358" s="141" t="n">
        <x:f>IF(AND(TRUE,Premissas!$B$11="Imovel",Premissas!$B$47="Investimento",$A358&gt;=MAX(Premissas!$B$48,Premissas!$B$49)),$E358,0)</x:f>
        <x:v>3467.768255343854</x:v>
      </x:c>
      <x:c r="AR358" s="141" t="n">
        <x:f>AN358+AO358+AP358</x:f>
        <x:v>0</x:v>
      </x:c>
      <x:c r="AS358" s="141" t="n">
        <x:f>AQ358</x:f>
        <x:v>3467.768255343854</x:v>
      </x:c>
      <x:c r="AT358" s="141" t="n">
        <x:f>$C358+AS358-AR358</x:f>
        <x:v>10467.768255343854</x:v>
      </x:c>
      <x:c r="AU358" s="141" t="n">
        <x:f>AX357*(1+Premissas!$B$41)+AT358</x:f>
        <x:v>19822996.232851442</x:v>
      </x:c>
      <x:c r="AV358" s="141" t="n">
        <x:f>MAX(0,-AU358)</x:f>
        <x:v>0</x:v>
      </x:c>
      <x:c r="AW358" s="141" t="n">
        <x:f>AW357*(1+Premissas!$B$41)+AV358</x:f>
        <x:v>0</x:v>
      </x:c>
      <x:c r="AX358" s="141" t="n">
        <x:f>MAX(0,AU358)</x:f>
        <x:v>19822996.232851442</x:v>
      </x:c>
      <x:c r="AY358" s="141" t="n">
        <x:f>INDEX('Consorcio IQ'!$P$6:$P$485,$A358)</x:f>
        <x:v>0</x:v>
      </x:c>
      <x:c r="AZ358" s="141" t="n">
        <x:f>IF($A358&gt;=Premissas!$B$48,$F358,0)+IF($A358&lt;Premissas!$B$27,INDEX('Consorcio IQ'!$O$6:$O$485,$A358),0)</x:f>
        <x:v>1110309.8659491711</x:v>
      </x:c>
      <x:c r="BA358" s="141" t="n">
        <x:f>AX358+AZ358-AY358</x:f>
        <x:v>20933306.098800614</x:v>
      </x:c>
      <x:c r="BB358" s="141" t="n">
        <x:f>IF(AW358&gt;1,"Inviavel",BA358)</x:f>
        <x:v>20933306.098800614</x:v>
      </x:c>
      <x:c r="BC358" s="141" t="str">
        <x:f>IF(AW358&gt;1,"Inviavel","OK")</x:f>
        <x:v>OK</x:v>
      </x:c>
      <x:c r="BD358" s="141" t="n">
        <x:f>IF($A358='Consorcio Direto'!$B$29,'Consorcio Direto'!$B$44,0)</x:f>
        <x:v>0</x:v>
      </x:c>
      <x:c r="BE358" s="141" t="n">
        <x:f>IF($A358&lt;='Consorcio Direto'!$B$27,INDEX('Consorcio Direto'!$E$55:$E$534,$A358),0)</x:f>
        <x:v>0</x:v>
      </x:c>
      <x:c r="BF358" s="141" t="n">
        <x:f>IF(AND(TRUE,Premissas!$B$11="Imovel",Premissas!$B$47="Moradia",$A358&lt;MAX('Consorcio Direto'!$B$29,Premissas!$B$49)),$D358,0)</x:f>
        <x:v>0</x:v>
      </x:c>
      <x:c r="BG358" s="141" t="n">
        <x:f>IF(AND(TRUE,Premissas!$B$11="Imovel",Premissas!$B$47="Investimento",$A358&gt;=MAX('Consorcio Direto'!$B$29,Premissas!$B$49)),$E358,0)</x:f>
        <x:v>3467.768255343854</x:v>
      </x:c>
      <x:c r="BH358" s="141" t="n">
        <x:f>BD358+BE358+BF358</x:f>
        <x:v>0</x:v>
      </x:c>
      <x:c r="BI358" s="141" t="n">
        <x:f>BG358</x:f>
        <x:v>3467.768255343854</x:v>
      </x:c>
      <x:c r="BJ358" s="141" t="n">
        <x:f>$C358+BI358-BH358</x:f>
        <x:v>10467.768255343854</x:v>
      </x:c>
      <x:c r="BK358" s="141" t="n">
        <x:f>BN357*(1+Premissas!$B$41)+BJ358</x:f>
        <x:v>18947103.829193465</x:v>
      </x:c>
      <x:c r="BL358" s="141" t="n">
        <x:f>MAX(0,-BK358)</x:f>
        <x:v>0</x:v>
      </x:c>
      <x:c r="BM358" s="141" t="n">
        <x:f>BM357*(1+Premissas!$B$41)+BL358</x:f>
        <x:v>0</x:v>
      </x:c>
      <x:c r="BN358" s="141" t="n">
        <x:f>MAX(0,BK358)</x:f>
        <x:v>18947103.829193465</x:v>
      </x:c>
      <x:c r="BO358" s="141" t="n">
        <x:f>INDEX('Consorcio Direto'!$K$55:$K$534,$A358)</x:f>
        <x:v>0</x:v>
      </x:c>
      <x:c r="BP358" s="141" t="n">
        <x:f>IF($A358&lt;'Consorcio Direto'!$B$29,INDEX('Consorcio Direto'!$L$55:$L$534,$A358),$F358)</x:f>
        <x:v>1110309.8659491711</x:v>
      </x:c>
      <x:c r="BQ358" s="141" t="n">
        <x:f>BN358+BP358-BO358</x:f>
        <x:v>20057413.695142638</x:v>
      </x:c>
      <x:c r="BR358" s="141" t="n">
        <x:f>IF(BM358&gt;1,"Inviavel",BQ358)</x:f>
        <x:v>20057413.695142638</x:v>
      </x:c>
      <x:c r="BS358" s="141" t="str">
        <x:f>IF(BM358&gt;1,"Inviavel","OK")</x:f>
        <x:v>OK</x:v>
      </x:c>
      <x:c r="BT358" s="141" t="n">
        <x:f>IF(AND('Carta Contemplada'!$B$22="Sim",$A358='Carta Contemplada'!$B$23),'Carta Contemplada'!$B$37,0)</x:f>
        <x:v>0</x:v>
      </x:c>
      <x:c r="BU358" s="141" t="n">
        <x:f>IF('Carta Contemplada'!$B$22="Sim",INDEX('Carta Contemplada'!$C$55:$C$1013,$A358),0)</x:f>
        <x:v>0</x:v>
      </x:c>
      <x:c r="BV358" s="141" t="n">
        <x:f>IF(AND('Carta Contemplada'!$B$22="Sim",Premissas!$B$11="Imovel",Premissas!$B$47="Moradia",$A358&lt;MAX('Carta Contemplada'!$B$44,Premissas!$B$49)),$D358,0)</x:f>
        <x:v>0</x:v>
      </x:c>
      <x:c r="BW358" s="141" t="n">
        <x:f>IF(AND('Carta Contemplada'!$B$22="Sim",Premissas!$B$11="Imovel",Premissas!$B$47="Investimento",$A358&gt;=MAX('Carta Contemplada'!$B$44,Premissas!$B$49)),$E358,0)</x:f>
        <x:v>3467.768255343854</x:v>
      </x:c>
      <x:c r="BX358" s="141" t="n">
        <x:f>BT358+BU358+BV358</x:f>
        <x:v>0</x:v>
      </x:c>
      <x:c r="BY358" s="141" t="n">
        <x:f>BW358</x:f>
        <x:v>3467.768255343854</x:v>
      </x:c>
      <x:c r="BZ358" s="141" t="n">
        <x:f>$C358+BY358-BX358</x:f>
        <x:v>10467.768255343854</x:v>
      </x:c>
      <x:c r="CA358" s="141" t="n">
        <x:f>CD357*(1+Premissas!$B$41)+BZ358</x:f>
        <x:v>20393778.28152483</x:v>
      </x:c>
      <x:c r="CB358" s="141" t="n">
        <x:f>MAX(0,-CA358)</x:f>
        <x:v>0</x:v>
      </x:c>
      <x:c r="CC358" s="141" t="n">
        <x:f>CC357*(1+Premissas!$B$41)+CB358</x:f>
        <x:v>0</x:v>
      </x:c>
      <x:c r="CD358" s="141" t="n">
        <x:f>MAX(0,CA358)</x:f>
        <x:v>20393778.28152483</x:v>
      </x:c>
      <x:c r="CE358" s="141" t="n">
        <x:f>IF(AND('Carta Contemplada'!$B$22="Sim",$A358&gt;='Carta Contemplada'!$B$23),INDEX('Carta Contemplada'!$I$55:$I$1013,$A358),0)</x:f>
        <x:v>0</x:v>
      </x:c>
      <x:c r="CF358" s="141" t="n">
        <x:f>IF(AND('Carta Contemplada'!$B$22="Sim",$A358&gt;='Carta Contemplada'!$B$44),$F358,0)</x:f>
        <x:v>1110309.8659491711</x:v>
      </x:c>
      <x:c r="CG358" s="141" t="n">
        <x:f>CD358+CF358-CE358</x:f>
        <x:v>21504088.147474002</x:v>
      </x:c>
      <x:c r="CH358" s="141" t="n">
        <x:f>IF(CC358&gt;1,"Inviavel",CG358)</x:f>
        <x:v>21504088.147474002</x:v>
      </x:c>
      <x:c r="CI358" s="145" t="str">
        <x:f>IF(CC358&gt;1,"Inviavel","OK")</x:f>
        <x:v>OK</x:v>
      </x:c>
    </x:row>
    <x:row r="359">
      <x:c r="A359" s="142" t="n">
        <x:v>355</x:v>
      </x:c>
      <x:c r="B359" s="179" t="n">
        <x:f>EDATE(Premissas!$B$4,A359-1)</x:f>
        <x:v>57315</x:v>
      </x:c>
      <x:c r="C359" s="141" t="n">
        <x:f>IF(A359&lt;=Premissas!$B$39,Premissas!$B$42,0)</x:f>
        <x:v>7000</x:v>
      </x:c>
      <x:c r="D359" s="141" t="n">
        <x:f>Premissas!$B$54*(1+Premissas!$B$57)^INT((A359-1)/12)</x:f>
        <x:v>3792.8715292823404</x:v>
      </x:c>
      <x:c r="E359" s="141" t="n">
        <x:f>Premissas!$B$64*(1+Premissas!$B$57)^INT((A359-1)/12)</x:f>
        <x:v>3467.768255343854</x:v>
      </x:c>
      <x:c r="F359" s="141" t="n">
        <x:f>MAX(0,Premissas!$B$6*(1+Premissas!$B$66)^((A359-1)/12))</x:f>
        <x:v>1115714.3553648777</x:v>
      </x:c>
      <x:c r="G359" s="141" t="n">
        <x:f>G358*(1+Premissas!$B$41)+C359</x:f>
        <x:v>22892548.838624302</x:v>
      </x:c>
      <x:c r="H359" s="141" t="n">
        <x:f>IF($A359=Premissas!$B$48,Premissas!$B$8,0)</x:f>
        <x:v>0</x:v>
      </x:c>
      <x:c r="I359" s="141" t="n">
        <x:f>IF(AND($A359&gt;=Premissas!$B$48,$A359-Premissas!$B$48+1&lt;=Premissas!$B$13),INDEX(Financiamento!$J$6:$J$485,$A359-Premissas!$B$48+1),0)</x:f>
        <x:v>769.5277461647554</x:v>
      </x:c>
      <x:c r="J359" s="141" t="n">
        <x:f>IF(AND(TRUE,Premissas!$B$11="Imovel",Premissas!$B$47="Moradia",$A359&lt;MAX(Premissas!$B$48,Premissas!$B$49)),$D359,0)</x:f>
        <x:v>0</x:v>
      </x:c>
      <x:c r="K359" s="141" t="n">
        <x:f>IF(AND(TRUE,Premissas!$B$11="Imovel",Premissas!$B$47="Investimento",$A359&gt;=MAX(Premissas!$B$48,Premissas!$B$49)),$E359,0)</x:f>
        <x:v>3467.768255343854</x:v>
      </x:c>
      <x:c r="L359" s="141" t="n">
        <x:f>H359+I359+J359</x:f>
        <x:v>769.5277461647554</x:v>
      </x:c>
      <x:c r="M359" s="141" t="n">
        <x:f>K359</x:f>
        <x:v>3467.768255343854</x:v>
      </x:c>
      <x:c r="N359" s="141" t="n">
        <x:f>$C359+M359-L359</x:f>
        <x:v>9698.240509179099</x:v>
      </x:c>
      <x:c r="O359" s="141" t="n">
        <x:f>R358*(1+Premissas!$B$41)+N359</x:f>
        <x:v>19875654.226071283</x:v>
      </x:c>
      <x:c r="P359" s="141" t="n">
        <x:f>MAX(0,-O359)</x:f>
        <x:v>0</x:v>
      </x:c>
      <x:c r="Q359" s="141" t="n">
        <x:f>Q358*(1+Premissas!$B$41)+P359</x:f>
        <x:v>0</x:v>
      </x:c>
      <x:c r="R359" s="141" t="n">
        <x:f>MAX(0,O359)</x:f>
        <x:v>19875654.226071283</x:v>
      </x:c>
      <x:c r="S359" s="141" t="n">
        <x:f>IF(AND($A359&gt;=Premissas!$B$48,$A359-Premissas!$B$48+1&lt;=Premissas!$B$13),INDEX(Financiamento!$M$6:$M$485,$A359-Premissas!$B$48+1),0)</x:f>
        <x:v>24761.904761904792</x:v>
      </x:c>
      <x:c r="T359" s="141" t="n">
        <x:f>IF($A359&gt;=Premissas!$B$48,$F359,0)</x:f>
        <x:v>1115714.3553648777</x:v>
      </x:c>
      <x:c r="U359" s="141" t="n">
        <x:f>R359+T359-S359</x:f>
        <x:v>20966606.676674258</x:v>
      </x:c>
      <x:c r="V359" s="141" t="n">
        <x:f>IF(Q359&gt;1,"Inviavel",U359)</x:f>
        <x:v>20966606.676674258</x:v>
      </x:c>
      <x:c r="W359" s="141" t="str">
        <x:f>IF(Q359&gt;1,"Inviavel","OK")</x:f>
        <x:v>OK</x:v>
      </x:c>
      <x:c r="X359" s="141" t="n">
        <x:f>IF($A359=Premissas!$B$48,Premissas!$B$8,0)</x:f>
        <x:v>0</x:v>
      </x:c>
      <x:c r="Y359" s="141" t="n">
        <x:f>IF(AND($A359&gt;=Premissas!$B$48,$A359-Premissas!$B$48+1&lt;=Premissas!$B$13),INDEX(Amortizacao!$K$6:$K$485,$A359-Premissas!$B$48+1),0)</x:f>
        <x:v>0</x:v>
      </x:c>
      <x:c r="Z359" s="141" t="n">
        <x:f>IF(AND(TRUE,Premissas!$B$11="Imovel",Premissas!$B$47="Moradia",$A359&lt;MAX(Premissas!$B$48,Premissas!$B$49)),$D359,0)</x:f>
        <x:v>0</x:v>
      </x:c>
      <x:c r="AA359" s="141" t="n">
        <x:f>IF(AND(TRUE,Premissas!$B$11="Imovel",Premissas!$B$47="Investimento",$A359&gt;=MAX(Premissas!$B$48,Premissas!$B$49)),$E359,0)</x:f>
        <x:v>3467.768255343854</x:v>
      </x:c>
      <x:c r="AB359" s="141" t="n">
        <x:f>X359+Y359+Z359</x:f>
        <x:v>0</x:v>
      </x:c>
      <x:c r="AC359" s="141" t="n">
        <x:f>AA359</x:f>
        <x:v>3467.768255343854</x:v>
      </x:c>
      <x:c r="AD359" s="141" t="n">
        <x:f>$C359+AC359-AB359</x:f>
        <x:v>10467.768255343854</x:v>
      </x:c>
      <x:c r="AE359" s="141" t="n">
        <x:f>AH358*(1+Premissas!$B$41)+AD359</x:f>
        <x:v>20185168.720201645</x:v>
      </x:c>
      <x:c r="AF359" s="141" t="n">
        <x:f>MAX(0,-AE359)</x:f>
        <x:v>0</x:v>
      </x:c>
      <x:c r="AG359" s="141" t="n">
        <x:f>AG358*(1+Premissas!$B$41)+AF359</x:f>
        <x:v>0</x:v>
      </x:c>
      <x:c r="AH359" s="141" t="n">
        <x:f>MAX(0,AE359)</x:f>
        <x:v>20185168.720201645</x:v>
      </x:c>
      <x:c r="AI359" s="141" t="n">
        <x:f>IF(AND($A359&gt;=Premissas!$B$48,$A359-Premissas!$B$48+1&lt;=Premissas!$B$13),INDEX(Amortizacao!$L$6:$L$485,$A359-Premissas!$B$48+1),0)</x:f>
        <x:v>0</x:v>
      </x:c>
      <x:c r="AJ359" s="141" t="n">
        <x:f>IF($A359&gt;=Premissas!$B$48,$F359,0)</x:f>
        <x:v>1115714.3553648777</x:v>
      </x:c>
      <x:c r="AK359" s="141" t="n">
        <x:f>AH359+AJ359-AI359</x:f>
        <x:v>21300883.075566523</x:v>
      </x:c>
      <x:c r="AL359" s="141" t="n">
        <x:f>IF(AG359&gt;1,"Inviavel",AK359)</x:f>
        <x:v>21300883.075566523</x:v>
      </x:c>
      <x:c r="AM359" s="141" t="str">
        <x:f>IF(AG359&gt;1,"Inviavel","OK")</x:f>
        <x:v>OK</x:v>
      </x:c>
      <x:c r="AN359" s="141" t="n">
        <x:f>IF($A359=Premissas!$B$48,Premissas!$B$8,0)</x:f>
        <x:v>0</x:v>
      </x:c>
      <x:c r="AO359" s="141" t="n">
        <x:f>IF($A359&lt;=Premissas!$B$25,INDEX('Consorcio IQ'!$K$6:$K$485,$A359),0)</x:f>
        <x:v>0</x:v>
      </x:c>
      <x:c r="AP359" s="141" t="n">
        <x:f>IF(AND(TRUE,Premissas!$B$11="Imovel",Premissas!$B$47="Moradia",$A359&lt;MAX(Premissas!$B$48,Premissas!$B$49)),$D359,0)</x:f>
        <x:v>0</x:v>
      </x:c>
      <x:c r="AQ359" s="141" t="n">
        <x:f>IF(AND(TRUE,Premissas!$B$11="Imovel",Premissas!$B$47="Investimento",$A359&gt;=MAX(Premissas!$B$48,Premissas!$B$49)),$E359,0)</x:f>
        <x:v>3467.768255343854</x:v>
      </x:c>
      <x:c r="AR359" s="141" t="n">
        <x:f>AN359+AO359+AP359</x:f>
        <x:v>0</x:v>
      </x:c>
      <x:c r="AS359" s="141" t="n">
        <x:f>AQ359</x:f>
        <x:v>3467.768255343854</x:v>
      </x:c>
      <x:c r="AT359" s="141" t="n">
        <x:f>$C359+AS359-AR359</x:f>
        <x:v>10467.768255343854</x:v>
      </x:c>
      <x:c r="AU359" s="141" t="n">
        <x:f>AX358*(1+Premissas!$B$41)+AT359</x:f>
        <x:v>20021560.307703335</x:v>
      </x:c>
      <x:c r="AV359" s="141" t="n">
        <x:f>MAX(0,-AU359)</x:f>
        <x:v>0</x:v>
      </x:c>
      <x:c r="AW359" s="141" t="n">
        <x:f>AW358*(1+Premissas!$B$41)+AV359</x:f>
        <x:v>0</x:v>
      </x:c>
      <x:c r="AX359" s="141" t="n">
        <x:f>MAX(0,AU359)</x:f>
        <x:v>20021560.307703335</x:v>
      </x:c>
      <x:c r="AY359" s="141" t="n">
        <x:f>INDEX('Consorcio IQ'!$P$6:$P$485,$A359)</x:f>
        <x:v>0</x:v>
      </x:c>
      <x:c r="AZ359" s="141" t="n">
        <x:f>IF($A359&gt;=Premissas!$B$48,$F359,0)+IF($A359&lt;Premissas!$B$27,INDEX('Consorcio IQ'!$O$6:$O$485,$A359),0)</x:f>
        <x:v>1115714.3553648777</x:v>
      </x:c>
      <x:c r="BA359" s="141" t="n">
        <x:f>AX359+AZ359-AY359</x:f>
        <x:v>21137274.663068213</x:v>
      </x:c>
      <x:c r="BB359" s="141" t="n">
        <x:f>IF(AW359&gt;1,"Inviavel",BA359)</x:f>
        <x:v>21137274.663068213</x:v>
      </x:c>
      <x:c r="BC359" s="141" t="str">
        <x:f>IF(AW359&gt;1,"Inviavel","OK")</x:f>
        <x:v>OK</x:v>
      </x:c>
      <x:c r="BD359" s="141" t="n">
        <x:f>IF($A359='Consorcio Direto'!$B$29,'Consorcio Direto'!$B$44,0)</x:f>
        <x:v>0</x:v>
      </x:c>
      <x:c r="BE359" s="141" t="n">
        <x:f>IF($A359&lt;='Consorcio Direto'!$B$27,INDEX('Consorcio Direto'!$E$55:$E$534,$A359),0)</x:f>
        <x:v>0</x:v>
      </x:c>
      <x:c r="BF359" s="141" t="n">
        <x:f>IF(AND(TRUE,Premissas!$B$11="Imovel",Premissas!$B$47="Moradia",$A359&lt;MAX('Consorcio Direto'!$B$29,Premissas!$B$49)),$D359,0)</x:f>
        <x:v>0</x:v>
      </x:c>
      <x:c r="BG359" s="141" t="n">
        <x:f>IF(AND(TRUE,Premissas!$B$11="Imovel",Premissas!$B$47="Investimento",$A359&gt;=MAX('Consorcio Direto'!$B$29,Premissas!$B$49)),$E359,0)</x:f>
        <x:v>3467.768255343854</x:v>
      </x:c>
      <x:c r="BH359" s="141" t="n">
        <x:f>BD359+BE359+BF359</x:f>
        <x:v>0</x:v>
      </x:c>
      <x:c r="BI359" s="141" t="n">
        <x:f>BG359</x:f>
        <x:v>3467.768255343854</x:v>
      </x:c>
      <x:c r="BJ359" s="141" t="n">
        <x:f>$C359+BI359-BH359</x:f>
        <x:v>10467.768255343854</x:v>
      </x:c>
      <x:c r="BK359" s="141" t="n">
        <x:f>BN358*(1+Premissas!$B$41)+BJ359</x:f>
        <x:v>19137356.742394075</x:v>
      </x:c>
      <x:c r="BL359" s="141" t="n">
        <x:f>MAX(0,-BK359)</x:f>
        <x:v>0</x:v>
      </x:c>
      <x:c r="BM359" s="141" t="n">
        <x:f>BM358*(1+Premissas!$B$41)+BL359</x:f>
        <x:v>0</x:v>
      </x:c>
      <x:c r="BN359" s="141" t="n">
        <x:f>MAX(0,BK359)</x:f>
        <x:v>19137356.742394075</x:v>
      </x:c>
      <x:c r="BO359" s="141" t="n">
        <x:f>INDEX('Consorcio Direto'!$K$55:$K$534,$A359)</x:f>
        <x:v>0</x:v>
      </x:c>
      <x:c r="BP359" s="141" t="n">
        <x:f>IF($A359&lt;'Consorcio Direto'!$B$29,INDEX('Consorcio Direto'!$L$55:$L$534,$A359),$F359)</x:f>
        <x:v>1115714.3553648777</x:v>
      </x:c>
      <x:c r="BQ359" s="141" t="n">
        <x:f>BN359+BP359-BO359</x:f>
        <x:v>20253071.097758953</x:v>
      </x:c>
      <x:c r="BR359" s="141" t="n">
        <x:f>IF(BM359&gt;1,"Inviavel",BQ359)</x:f>
        <x:v>20253071.097758953</x:v>
      </x:c>
      <x:c r="BS359" s="141" t="str">
        <x:f>IF(BM359&gt;1,"Inviavel","OK")</x:f>
        <x:v>OK</x:v>
      </x:c>
      <x:c r="BT359" s="141" t="n">
        <x:f>IF(AND('Carta Contemplada'!$B$22="Sim",$A359='Carta Contemplada'!$B$23),'Carta Contemplada'!$B$37,0)</x:f>
        <x:v>0</x:v>
      </x:c>
      <x:c r="BU359" s="141" t="n">
        <x:f>IF('Carta Contemplada'!$B$22="Sim",INDEX('Carta Contemplada'!$C$55:$C$1013,$A359),0)</x:f>
        <x:v>0</x:v>
      </x:c>
      <x:c r="BV359" s="141" t="n">
        <x:f>IF(AND('Carta Contemplada'!$B$22="Sim",Premissas!$B$11="Imovel",Premissas!$B$47="Moradia",$A359&lt;MAX('Carta Contemplada'!$B$44,Premissas!$B$49)),$D359,0)</x:f>
        <x:v>0</x:v>
      </x:c>
      <x:c r="BW359" s="141" t="n">
        <x:f>IF(AND('Carta Contemplada'!$B$22="Sim",Premissas!$B$11="Imovel",Premissas!$B$47="Investimento",$A359&gt;=MAX('Carta Contemplada'!$B$44,Premissas!$B$49)),$E359,0)</x:f>
        <x:v>3467.768255343854</x:v>
      </x:c>
      <x:c r="BX359" s="141" t="n">
        <x:f>BT359+BU359+BV359</x:f>
        <x:v>0</x:v>
      </x:c>
      <x:c r="BY359" s="141" t="n">
        <x:f>BW359</x:f>
        <x:v>3467.768255343854</x:v>
      </x:c>
      <x:c r="BZ359" s="141" t="n">
        <x:f>$C359+BY359-BX359</x:f>
        <x:v>10467.768255343854</x:v>
      </x:c>
      <x:c r="CA359" s="141" t="n">
        <x:f>CD358*(1+Premissas!$B$41)+BZ359</x:f>
        <x:v>20597758.389047362</x:v>
      </x:c>
      <x:c r="CB359" s="141" t="n">
        <x:f>MAX(0,-CA359)</x:f>
        <x:v>0</x:v>
      </x:c>
      <x:c r="CC359" s="141" t="n">
        <x:f>CC358*(1+Premissas!$B$41)+CB359</x:f>
        <x:v>0</x:v>
      </x:c>
      <x:c r="CD359" s="141" t="n">
        <x:f>MAX(0,CA359)</x:f>
        <x:v>20597758.389047362</x:v>
      </x:c>
      <x:c r="CE359" s="141" t="n">
        <x:f>IF(AND('Carta Contemplada'!$B$22="Sim",$A359&gt;='Carta Contemplada'!$B$23),INDEX('Carta Contemplada'!$I$55:$I$1013,$A359),0)</x:f>
        <x:v>0</x:v>
      </x:c>
      <x:c r="CF359" s="141" t="n">
        <x:f>IF(AND('Carta Contemplada'!$B$22="Sim",$A359&gt;='Carta Contemplada'!$B$44),$F359,0)</x:f>
        <x:v>1115714.3553648777</x:v>
      </x:c>
      <x:c r="CG359" s="141" t="n">
        <x:f>CD359+CF359-CE359</x:f>
        <x:v>21713472.74441224</x:v>
      </x:c>
      <x:c r="CH359" s="141" t="n">
        <x:f>IF(CC359&gt;1,"Inviavel",CG359)</x:f>
        <x:v>21713472.74441224</x:v>
      </x:c>
      <x:c r="CI359" s="145" t="str">
        <x:f>IF(CC359&gt;1,"Inviavel","OK")</x:f>
        <x:v>OK</x:v>
      </x:c>
    </x:row>
    <x:row r="360">
      <x:c r="A360" s="142" t="n">
        <x:v>356</x:v>
      </x:c>
      <x:c r="B360" s="179" t="n">
        <x:f>EDATE(Premissas!$B$4,A360-1)</x:f>
        <x:v>57346</x:v>
      </x:c>
      <x:c r="C360" s="141" t="n">
        <x:f>IF(A360&lt;=Premissas!$B$39,Premissas!$B$42,0)</x:f>
        <x:v>7000</x:v>
      </x:c>
      <x:c r="D360" s="141" t="n">
        <x:f>Premissas!$B$54*(1+Premissas!$B$57)^INT((A360-1)/12)</x:f>
        <x:v>3792.8715292823404</x:v>
      </x:c>
      <x:c r="E360" s="141" t="n">
        <x:f>Premissas!$B$64*(1+Premissas!$B$57)^INT((A360-1)/12)</x:f>
        <x:v>3467.768255343854</x:v>
      </x:c>
      <x:c r="F360" s="141" t="n">
        <x:f>MAX(0,Premissas!$B$6*(1+Premissas!$B$66)^((A360-1)/12))</x:f>
        <x:v>1121145.1514060954</x:v>
      </x:c>
      <x:c r="G360" s="141" t="n">
        <x:f>G359*(1+Premissas!$B$41)+C360</x:f>
        <x:v>23116771.494298838</x:v>
      </x:c>
      <x:c r="H360" s="141" t="n">
        <x:f>IF($A360=Premissas!$B$48,Premissas!$B$8,0)</x:f>
        <x:v>0</x:v>
      </x:c>
      <x:c r="I360" s="141" t="n">
        <x:f>IF(AND($A360&gt;=Premissas!$B$48,$A360-Premissas!$B$48+1&lt;=Premissas!$B$13),INDEX(Financiamento!$J$6:$J$485,$A360-Premissas!$B$48+1),0)</x:f>
        <x:v>765.9129679039619</x:v>
      </x:c>
      <x:c r="J360" s="141" t="n">
        <x:f>IF(AND(TRUE,Premissas!$B$11="Imovel",Premissas!$B$47="Moradia",$A360&lt;MAX(Premissas!$B$48,Premissas!$B$49)),$D360,0)</x:f>
        <x:v>0</x:v>
      </x:c>
      <x:c r="K360" s="141" t="n">
        <x:f>IF(AND(TRUE,Premissas!$B$11="Imovel",Premissas!$B$47="Investimento",$A360&gt;=MAX(Premissas!$B$48,Premissas!$B$49)),$E360,0)</x:f>
        <x:v>3467.768255343854</x:v>
      </x:c>
      <x:c r="L360" s="141" t="n">
        <x:f>H360+I360+J360</x:f>
        <x:v>765.9129679039619</x:v>
      </x:c>
      <x:c r="M360" s="141" t="n">
        <x:f>K360</x:f>
        <x:v>3467.768255343854</x:v>
      </x:c>
      <x:c r="N360" s="141" t="n">
        <x:f>$C360+M360-L360</x:f>
        <x:v>9701.855287439892</x:v>
      </x:c>
      <x:c r="O360" s="141" t="n">
        <x:f>R359*(1+Premissas!$B$41)+N360</x:f>
        <x:v>20073952.048749283</x:v>
      </x:c>
      <x:c r="P360" s="141" t="n">
        <x:f>MAX(0,-O360)</x:f>
        <x:v>0</x:v>
      </x:c>
      <x:c r="Q360" s="141" t="n">
        <x:f>Q359*(1+Premissas!$B$41)+P360</x:f>
        <x:v>0</x:v>
      </x:c>
      <x:c r="R360" s="141" t="n">
        <x:f>MAX(0,O360)</x:f>
        <x:v>20073952.048749283</x:v>
      </x:c>
      <x:c r="S360" s="141" t="n">
        <x:f>IF(AND($A360&gt;=Premissas!$B$48,$A360-Premissas!$B$48+1&lt;=Premissas!$B$13),INDEX(Financiamento!$M$6:$M$485,$A360-Premissas!$B$48+1),0)</x:f>
        <x:v>24380.95238095241</x:v>
      </x:c>
      <x:c r="T360" s="141" t="n">
        <x:f>IF($A360&gt;=Premissas!$B$48,$F360,0)</x:f>
        <x:v>1121145.1514060954</x:v>
      </x:c>
      <x:c r="U360" s="141" t="n">
        <x:f>R360+T360-S360</x:f>
        <x:v>21170716.247774426</x:v>
      </x:c>
      <x:c r="V360" s="141" t="n">
        <x:f>IF(Q360&gt;1,"Inviavel",U360)</x:f>
        <x:v>21170716.247774426</x:v>
      </x:c>
      <x:c r="W360" s="141" t="str">
        <x:f>IF(Q360&gt;1,"Inviavel","OK")</x:f>
        <x:v>OK</x:v>
      </x:c>
      <x:c r="X360" s="141" t="n">
        <x:f>IF($A360=Premissas!$B$48,Premissas!$B$8,0)</x:f>
        <x:v>0</x:v>
      </x:c>
      <x:c r="Y360" s="141" t="n">
        <x:f>IF(AND($A360&gt;=Premissas!$B$48,$A360-Premissas!$B$48+1&lt;=Premissas!$B$13),INDEX(Amortizacao!$K$6:$K$485,$A360-Premissas!$B$48+1),0)</x:f>
        <x:v>0</x:v>
      </x:c>
      <x:c r="Z360" s="141" t="n">
        <x:f>IF(AND(TRUE,Premissas!$B$11="Imovel",Premissas!$B$47="Moradia",$A360&lt;MAX(Premissas!$B$48,Premissas!$B$49)),$D360,0)</x:f>
        <x:v>0</x:v>
      </x:c>
      <x:c r="AA360" s="141" t="n">
        <x:f>IF(AND(TRUE,Premissas!$B$11="Imovel",Premissas!$B$47="Investimento",$A360&gt;=MAX(Premissas!$B$48,Premissas!$B$49)),$E360,0)</x:f>
        <x:v>3467.768255343854</x:v>
      </x:c>
      <x:c r="AB360" s="141" t="n">
        <x:f>X360+Y360+Z360</x:f>
        <x:v>0</x:v>
      </x:c>
      <x:c r="AC360" s="141" t="n">
        <x:f>AA360</x:f>
        <x:v>3467.768255343854</x:v>
      </x:c>
      <x:c r="AD360" s="141" t="n">
        <x:f>$C360+AC360-AB360</x:f>
        <x:v>10467.768255343854</x:v>
      </x:c>
      <x:c r="AE360" s="141" t="n">
        <x:f>AH359*(1+Premissas!$B$41)+AD360</x:f>
        <x:v>20387169.374792606</x:v>
      </x:c>
      <x:c r="AF360" s="141" t="n">
        <x:f>MAX(0,-AE360)</x:f>
        <x:v>0</x:v>
      </x:c>
      <x:c r="AG360" s="141" t="n">
        <x:f>AG359*(1+Premissas!$B$41)+AF360</x:f>
        <x:v>0</x:v>
      </x:c>
      <x:c r="AH360" s="141" t="n">
        <x:f>MAX(0,AE360)</x:f>
        <x:v>20387169.374792606</x:v>
      </x:c>
      <x:c r="AI360" s="141" t="n">
        <x:f>IF(AND($A360&gt;=Premissas!$B$48,$A360-Premissas!$B$48+1&lt;=Premissas!$B$13),INDEX(Amortizacao!$L$6:$L$485,$A360-Premissas!$B$48+1),0)</x:f>
        <x:v>0</x:v>
      </x:c>
      <x:c r="AJ360" s="141" t="n">
        <x:f>IF($A360&gt;=Premissas!$B$48,$F360,0)</x:f>
        <x:v>1121145.1514060954</x:v>
      </x:c>
      <x:c r="AK360" s="141" t="n">
        <x:f>AH360+AJ360-AI360</x:f>
        <x:v>21508314.5261987</x:v>
      </x:c>
      <x:c r="AL360" s="141" t="n">
        <x:f>IF(AG360&gt;1,"Inviavel",AK360)</x:f>
        <x:v>21508314.5261987</x:v>
      </x:c>
      <x:c r="AM360" s="141" t="str">
        <x:f>IF(AG360&gt;1,"Inviavel","OK")</x:f>
        <x:v>OK</x:v>
      </x:c>
      <x:c r="AN360" s="141" t="n">
        <x:f>IF($A360=Premissas!$B$48,Premissas!$B$8,0)</x:f>
        <x:v>0</x:v>
      </x:c>
      <x:c r="AO360" s="141" t="n">
        <x:f>IF($A360&lt;=Premissas!$B$25,INDEX('Consorcio IQ'!$K$6:$K$485,$A360),0)</x:f>
        <x:v>0</x:v>
      </x:c>
      <x:c r="AP360" s="141" t="n">
        <x:f>IF(AND(TRUE,Premissas!$B$11="Imovel",Premissas!$B$47="Moradia",$A360&lt;MAX(Premissas!$B$48,Premissas!$B$49)),$D360,0)</x:f>
        <x:v>0</x:v>
      </x:c>
      <x:c r="AQ360" s="141" t="n">
        <x:f>IF(AND(TRUE,Premissas!$B$11="Imovel",Premissas!$B$47="Investimento",$A360&gt;=MAX(Premissas!$B$48,Premissas!$B$49)),$E360,0)</x:f>
        <x:v>3467.768255343854</x:v>
      </x:c>
      <x:c r="AR360" s="141" t="n">
        <x:f>AN360+AO360+AP360</x:f>
        <x:v>0</x:v>
      </x:c>
      <x:c r="AS360" s="141" t="n">
        <x:f>AQ360</x:f>
        <x:v>3467.768255343854</x:v>
      </x:c>
      <x:c r="AT360" s="141" t="n">
        <x:f>$C360+AS360-AR360</x:f>
        <x:v>10467.768255343854</x:v>
      </x:c>
      <x:c r="AU360" s="141" t="n">
        <x:f>AX359*(1+Premissas!$B$41)+AT360</x:f>
        <x:v>20222008.515945744</x:v>
      </x:c>
      <x:c r="AV360" s="141" t="n">
        <x:f>MAX(0,-AU360)</x:f>
        <x:v>0</x:v>
      </x:c>
      <x:c r="AW360" s="141" t="n">
        <x:f>AW359*(1+Premissas!$B$41)+AV360</x:f>
        <x:v>0</x:v>
      </x:c>
      <x:c r="AX360" s="141" t="n">
        <x:f>MAX(0,AU360)</x:f>
        <x:v>20222008.515945744</x:v>
      </x:c>
      <x:c r="AY360" s="141" t="n">
        <x:f>INDEX('Consorcio IQ'!$P$6:$P$485,$A360)</x:f>
        <x:v>0</x:v>
      </x:c>
      <x:c r="AZ360" s="141" t="n">
        <x:f>IF($A360&gt;=Premissas!$B$48,$F360,0)+IF($A360&lt;Premissas!$B$27,INDEX('Consorcio IQ'!$O$6:$O$485,$A360),0)</x:f>
        <x:v>1121145.1514060954</x:v>
      </x:c>
      <x:c r="BA360" s="141" t="n">
        <x:f>AX360+AZ360-AY360</x:f>
        <x:v>21343153.66735184</x:v>
      </x:c>
      <x:c r="BB360" s="141" t="n">
        <x:f>IF(AW360&gt;1,"Inviavel",BA360)</x:f>
        <x:v>21343153.66735184</x:v>
      </x:c>
      <x:c r="BC360" s="141" t="str">
        <x:f>IF(AW360&gt;1,"Inviavel","OK")</x:f>
        <x:v>OK</x:v>
      </x:c>
      <x:c r="BD360" s="141" t="n">
        <x:f>IF($A360='Consorcio Direto'!$B$29,'Consorcio Direto'!$B$44,0)</x:f>
        <x:v>0</x:v>
      </x:c>
      <x:c r="BE360" s="141" t="n">
        <x:f>IF($A360&lt;='Consorcio Direto'!$B$27,INDEX('Consorcio Direto'!$E$55:$E$534,$A360),0)</x:f>
        <x:v>0</x:v>
      </x:c>
      <x:c r="BF360" s="141" t="n">
        <x:f>IF(AND(TRUE,Premissas!$B$11="Imovel",Premissas!$B$47="Moradia",$A360&lt;MAX('Consorcio Direto'!$B$29,Premissas!$B$49)),$D360,0)</x:f>
        <x:v>0</x:v>
      </x:c>
      <x:c r="BG360" s="141" t="n">
        <x:f>IF(AND(TRUE,Premissas!$B$11="Imovel",Premissas!$B$47="Investimento",$A360&gt;=MAX('Consorcio Direto'!$B$29,Premissas!$B$49)),$E360,0)</x:f>
        <x:v>3467.768255343854</x:v>
      </x:c>
      <x:c r="BH360" s="141" t="n">
        <x:f>BD360+BE360+BF360</x:f>
        <x:v>0</x:v>
      </x:c>
      <x:c r="BI360" s="141" t="n">
        <x:f>BG360</x:f>
        <x:v>3467.768255343854</x:v>
      </x:c>
      <x:c r="BJ360" s="141" t="n">
        <x:f>$C360+BI360-BH360</x:f>
        <x:v>10467.768255343854</x:v>
      </x:c>
      <x:c r="BK360" s="141" t="n">
        <x:f>BN359*(1+Premissas!$B$41)+BJ360</x:f>
        <x:v>19329414.926093243</x:v>
      </x:c>
      <x:c r="BL360" s="141" t="n">
        <x:f>MAX(0,-BK360)</x:f>
        <x:v>0</x:v>
      </x:c>
      <x:c r="BM360" s="141" t="n">
        <x:f>BM359*(1+Premissas!$B$41)+BL360</x:f>
        <x:v>0</x:v>
      </x:c>
      <x:c r="BN360" s="141" t="n">
        <x:f>MAX(0,BK360)</x:f>
        <x:v>19329414.926093243</x:v>
      </x:c>
      <x:c r="BO360" s="141" t="n">
        <x:f>INDEX('Consorcio Direto'!$K$55:$K$534,$A360)</x:f>
        <x:v>0</x:v>
      </x:c>
      <x:c r="BP360" s="141" t="n">
        <x:f>IF($A360&lt;'Consorcio Direto'!$B$29,INDEX('Consorcio Direto'!$L$55:$L$534,$A360),$F360)</x:f>
        <x:v>1121145.1514060954</x:v>
      </x:c>
      <x:c r="BQ360" s="141" t="n">
        <x:f>BN360+BP360-BO360</x:f>
        <x:v>20450560.077499337</x:v>
      </x:c>
      <x:c r="BR360" s="141" t="n">
        <x:f>IF(BM360&gt;1,"Inviavel",BQ360)</x:f>
        <x:v>20450560.077499337</x:v>
      </x:c>
      <x:c r="BS360" s="141" t="str">
        <x:f>IF(BM360&gt;1,"Inviavel","OK")</x:f>
        <x:v>OK</x:v>
      </x:c>
      <x:c r="BT360" s="141" t="n">
        <x:f>IF(AND('Carta Contemplada'!$B$22="Sim",$A360='Carta Contemplada'!$B$23),'Carta Contemplada'!$B$37,0)</x:f>
        <x:v>0</x:v>
      </x:c>
      <x:c r="BU360" s="141" t="n">
        <x:f>IF('Carta Contemplada'!$B$22="Sim",INDEX('Carta Contemplada'!$C$55:$C$1013,$A360),0)</x:f>
        <x:v>0</x:v>
      </x:c>
      <x:c r="BV360" s="141" t="n">
        <x:f>IF(AND('Carta Contemplada'!$B$22="Sim",Premissas!$B$11="Imovel",Premissas!$B$47="Moradia",$A360&lt;MAX('Carta Contemplada'!$B$44,Premissas!$B$49)),$D360,0)</x:f>
        <x:v>0</x:v>
      </x:c>
      <x:c r="BW360" s="141" t="n">
        <x:f>IF(AND('Carta Contemplada'!$B$22="Sim",Premissas!$B$11="Imovel",Premissas!$B$47="Investimento",$A360&gt;=MAX('Carta Contemplada'!$B$44,Premissas!$B$49)),$E360,0)</x:f>
        <x:v>3467.768255343854</x:v>
      </x:c>
      <x:c r="BX360" s="141" t="n">
        <x:f>BT360+BU360+BV360</x:f>
        <x:v>0</x:v>
      </x:c>
      <x:c r="BY360" s="141" t="n">
        <x:f>BW360</x:f>
        <x:v>3467.768255343854</x:v>
      </x:c>
      <x:c r="BZ360" s="141" t="n">
        <x:f>$C360+BY360-BX360</x:f>
        <x:v>10467.768255343854</x:v>
      </x:c>
      <x:c r="CA360" s="141" t="n">
        <x:f>CD359*(1+Premissas!$B$41)+BZ360</x:f>
        <x:v>20803674.021572948</x:v>
      </x:c>
      <x:c r="CB360" s="141" t="n">
        <x:f>MAX(0,-CA360)</x:f>
        <x:v>0</x:v>
      </x:c>
      <x:c r="CC360" s="141" t="n">
        <x:f>CC359*(1+Premissas!$B$41)+CB360</x:f>
        <x:v>0</x:v>
      </x:c>
      <x:c r="CD360" s="141" t="n">
        <x:f>MAX(0,CA360)</x:f>
        <x:v>20803674.021572948</x:v>
      </x:c>
      <x:c r="CE360" s="141" t="n">
        <x:f>IF(AND('Carta Contemplada'!$B$22="Sim",$A360&gt;='Carta Contemplada'!$B$23),INDEX('Carta Contemplada'!$I$55:$I$1013,$A360),0)</x:f>
        <x:v>0</x:v>
      </x:c>
      <x:c r="CF360" s="141" t="n">
        <x:f>IF(AND('Carta Contemplada'!$B$22="Sim",$A360&gt;='Carta Contemplada'!$B$44),$F360,0)</x:f>
        <x:v>1121145.1514060954</x:v>
      </x:c>
      <x:c r="CG360" s="141" t="n">
        <x:f>CD360+CF360-CE360</x:f>
        <x:v>21924819.172979042</x:v>
      </x:c>
      <x:c r="CH360" s="141" t="n">
        <x:f>IF(CC360&gt;1,"Inviavel",CG360)</x:f>
        <x:v>21924819.172979042</x:v>
      </x:c>
      <x:c r="CI360" s="145" t="str">
        <x:f>IF(CC360&gt;1,"Inviavel","OK")</x:f>
        <x:v>OK</x:v>
      </x:c>
    </x:row>
    <x:row r="361">
      <x:c r="A361" s="142" t="n">
        <x:v>357</x:v>
      </x:c>
      <x:c r="B361" s="179" t="n">
        <x:f>EDATE(Premissas!$B$4,A361-1)</x:f>
        <x:v>57377</x:v>
      </x:c>
      <x:c r="C361" s="141" t="n">
        <x:f>IF(A361&lt;=Premissas!$B$39,Premissas!$B$42,0)</x:f>
        <x:v>7000</x:v>
      </x:c>
      <x:c r="D361" s="141" t="n">
        <x:f>Premissas!$B$54*(1+Premissas!$B$57)^INT((A361-1)/12)</x:f>
        <x:v>3792.8715292823404</x:v>
      </x:c>
      <x:c r="E361" s="141" t="n">
        <x:f>Premissas!$B$64*(1+Premissas!$B$57)^INT((A361-1)/12)</x:f>
        <x:v>3467.768255343854</x:v>
      </x:c>
      <x:c r="F361" s="141" t="n">
        <x:f>MAX(0,Premissas!$B$6*(1+Premissas!$B$66)^((A361-1)/12))</x:f>
        <x:v>1126602.382121654</x:v>
      </x:c>
      <x:c r="G361" s="141" t="n">
        <x:f>G360*(1+Premissas!$B$41)+C361</x:f>
        <x:v>23343121.752324313</x:v>
      </x:c>
      <x:c r="H361" s="141" t="n">
        <x:f>IF($A361=Premissas!$B$48,Premissas!$B$8,0)</x:f>
        <x:v>0</x:v>
      </x:c>
      <x:c r="I361" s="141" t="n">
        <x:f>IF(AND($A361&gt;=Premissas!$B$48,$A361-Premissas!$B$48+1&lt;=Premissas!$B$13),INDEX(Financiamento!$J$6:$J$485,$A361-Premissas!$B$48+1),0)</x:f>
        <x:v>762.2981896431684</x:v>
      </x:c>
      <x:c r="J361" s="141" t="n">
        <x:f>IF(AND(TRUE,Premissas!$B$11="Imovel",Premissas!$B$47="Moradia",$A361&lt;MAX(Premissas!$B$48,Premissas!$B$49)),$D361,0)</x:f>
        <x:v>0</x:v>
      </x:c>
      <x:c r="K361" s="141" t="n">
        <x:f>IF(AND(TRUE,Premissas!$B$11="Imovel",Premissas!$B$47="Investimento",$A361&gt;=MAX(Premissas!$B$48,Premissas!$B$49)),$E361,0)</x:f>
        <x:v>3467.768255343854</x:v>
      </x:c>
      <x:c r="L361" s="141" t="n">
        <x:f>H361+I361+J361</x:f>
        <x:v>762.2981896431684</x:v>
      </x:c>
      <x:c r="M361" s="141" t="n">
        <x:f>K361</x:f>
        <x:v>3467.768255343854</x:v>
      </x:c>
      <x:c r="N361" s="141" t="n">
        <x:f>$C361+M361-L361</x:f>
        <x:v>9705.470065700685</x:v>
      </x:c>
      <x:c r="O361" s="141" t="n">
        <x:f>R360*(1+Premissas!$B$41)+N361</x:f>
        <x:v>20274135.093184315</x:v>
      </x:c>
      <x:c r="P361" s="141" t="n">
        <x:f>MAX(0,-O361)</x:f>
        <x:v>0</x:v>
      </x:c>
      <x:c r="Q361" s="141" t="n">
        <x:f>Q360*(1+Premissas!$B$41)+P361</x:f>
        <x:v>0</x:v>
      </x:c>
      <x:c r="R361" s="141" t="n">
        <x:f>MAX(0,O361)</x:f>
        <x:v>20274135.093184315</x:v>
      </x:c>
      <x:c r="S361" s="141" t="n">
        <x:f>IF(AND($A361&gt;=Premissas!$B$48,$A361-Premissas!$B$48+1&lt;=Premissas!$B$13),INDEX(Financiamento!$M$6:$M$485,$A361-Premissas!$B$48+1),0)</x:f>
        <x:v>24000.00000000003</x:v>
      </x:c>
      <x:c r="T361" s="141" t="n">
        <x:f>IF($A361&gt;=Premissas!$B$48,$F361,0)</x:f>
        <x:v>1126602.382121654</x:v>
      </x:c>
      <x:c r="U361" s="141" t="n">
        <x:f>R361+T361-S361</x:f>
        <x:v>21376737.475305967</x:v>
      </x:c>
      <x:c r="V361" s="141" t="n">
        <x:f>IF(Q361&gt;1,"Inviavel",U361)</x:f>
        <x:v>21376737.475305967</x:v>
      </x:c>
      <x:c r="W361" s="141" t="str">
        <x:f>IF(Q361&gt;1,"Inviavel","OK")</x:f>
        <x:v>OK</x:v>
      </x:c>
      <x:c r="X361" s="141" t="n">
        <x:f>IF($A361=Premissas!$B$48,Premissas!$B$8,0)</x:f>
        <x:v>0</x:v>
      </x:c>
      <x:c r="Y361" s="141" t="n">
        <x:f>IF(AND($A361&gt;=Premissas!$B$48,$A361-Premissas!$B$48+1&lt;=Premissas!$B$13),INDEX(Amortizacao!$K$6:$K$485,$A361-Premissas!$B$48+1),0)</x:f>
        <x:v>0</x:v>
      </x:c>
      <x:c r="Z361" s="141" t="n">
        <x:f>IF(AND(TRUE,Premissas!$B$11="Imovel",Premissas!$B$47="Moradia",$A361&lt;MAX(Premissas!$B$48,Premissas!$B$49)),$D361,0)</x:f>
        <x:v>0</x:v>
      </x:c>
      <x:c r="AA361" s="141" t="n">
        <x:f>IF(AND(TRUE,Premissas!$B$11="Imovel",Premissas!$B$47="Investimento",$A361&gt;=MAX(Premissas!$B$48,Premissas!$B$49)),$E361,0)</x:f>
        <x:v>3467.768255343854</x:v>
      </x:c>
      <x:c r="AB361" s="141" t="n">
        <x:f>X361+Y361+Z361</x:f>
        <x:v>0</x:v>
      </x:c>
      <x:c r="AC361" s="141" t="n">
        <x:f>AA361</x:f>
        <x:v>3467.768255343854</x:v>
      </x:c>
      <x:c r="AD361" s="141" t="n">
        <x:f>$C361+AC361-AB361</x:f>
        <x:v>10467.768255343854</x:v>
      </x:c>
      <x:c r="AE361" s="141" t="n">
        <x:f>AH360*(1+Premissas!$B$41)+AD361</x:f>
        <x:v>20591086.77176763</x:v>
      </x:c>
      <x:c r="AF361" s="141" t="n">
        <x:f>MAX(0,-AE361)</x:f>
        <x:v>0</x:v>
      </x:c>
      <x:c r="AG361" s="141" t="n">
        <x:f>AG360*(1+Premissas!$B$41)+AF361</x:f>
        <x:v>0</x:v>
      </x:c>
      <x:c r="AH361" s="141" t="n">
        <x:f>MAX(0,AE361)</x:f>
        <x:v>20591086.77176763</x:v>
      </x:c>
      <x:c r="AI361" s="141" t="n">
        <x:f>IF(AND($A361&gt;=Premissas!$B$48,$A361-Premissas!$B$48+1&lt;=Premissas!$B$13),INDEX(Amortizacao!$L$6:$L$485,$A361-Premissas!$B$48+1),0)</x:f>
        <x:v>0</x:v>
      </x:c>
      <x:c r="AJ361" s="141" t="n">
        <x:f>IF($A361&gt;=Premissas!$B$48,$F361,0)</x:f>
        <x:v>1126602.382121654</x:v>
      </x:c>
      <x:c r="AK361" s="141" t="n">
        <x:f>AH361+AJ361-AI361</x:f>
        <x:v>21717689.153889284</x:v>
      </x:c>
      <x:c r="AL361" s="141" t="n">
        <x:f>IF(AG361&gt;1,"Inviavel",AK361)</x:f>
        <x:v>21717689.153889284</x:v>
      </x:c>
      <x:c r="AM361" s="141" t="str">
        <x:f>IF(AG361&gt;1,"Inviavel","OK")</x:f>
        <x:v>OK</x:v>
      </x:c>
      <x:c r="AN361" s="141" t="n">
        <x:f>IF($A361=Premissas!$B$48,Premissas!$B$8,0)</x:f>
        <x:v>0</x:v>
      </x:c>
      <x:c r="AO361" s="141" t="n">
        <x:f>IF($A361&lt;=Premissas!$B$25,INDEX('Consorcio IQ'!$K$6:$K$485,$A361),0)</x:f>
        <x:v>0</x:v>
      </x:c>
      <x:c r="AP361" s="141" t="n">
        <x:f>IF(AND(TRUE,Premissas!$B$11="Imovel",Premissas!$B$47="Moradia",$A361&lt;MAX(Premissas!$B$48,Premissas!$B$49)),$D361,0)</x:f>
        <x:v>0</x:v>
      </x:c>
      <x:c r="AQ361" s="141" t="n">
        <x:f>IF(AND(TRUE,Premissas!$B$11="Imovel",Premissas!$B$47="Investimento",$A361&gt;=MAX(Premissas!$B$48,Premissas!$B$49)),$E361,0)</x:f>
        <x:v>3467.768255343854</x:v>
      </x:c>
      <x:c r="AR361" s="141" t="n">
        <x:f>AN361+AO361+AP361</x:f>
        <x:v>0</x:v>
      </x:c>
      <x:c r="AS361" s="141" t="n">
        <x:f>AQ361</x:f>
        <x:v>3467.768255343854</x:v>
      </x:c>
      <x:c r="AT361" s="141" t="n">
        <x:f>$C361+AS361-AR361</x:f>
        <x:v>10467.768255343854</x:v>
      </x:c>
      <x:c r="AU361" s="141" t="n">
        <x:f>AX360*(1+Premissas!$B$41)+AT361</x:f>
        <x:v>20424358.73573027</x:v>
      </x:c>
      <x:c r="AV361" s="141" t="n">
        <x:f>MAX(0,-AU361)</x:f>
        <x:v>0</x:v>
      </x:c>
      <x:c r="AW361" s="141" t="n">
        <x:f>AW360*(1+Premissas!$B$41)+AV361</x:f>
        <x:v>0</x:v>
      </x:c>
      <x:c r="AX361" s="141" t="n">
        <x:f>MAX(0,AU361)</x:f>
        <x:v>20424358.73573027</x:v>
      </x:c>
      <x:c r="AY361" s="141" t="n">
        <x:f>INDEX('Consorcio IQ'!$P$6:$P$485,$A361)</x:f>
        <x:v>0</x:v>
      </x:c>
      <x:c r="AZ361" s="141" t="n">
        <x:f>IF($A361&gt;=Premissas!$B$48,$F361,0)+IF($A361&lt;Premissas!$B$27,INDEX('Consorcio IQ'!$O$6:$O$485,$A361),0)</x:f>
        <x:v>1126602.382121654</x:v>
      </x:c>
      <x:c r="BA361" s="141" t="n">
        <x:f>AX361+AZ361-AY361</x:f>
        <x:v>21550961.117851924</x:v>
      </x:c>
      <x:c r="BB361" s="141" t="n">
        <x:f>IF(AW361&gt;1,"Inviavel",BA361)</x:f>
        <x:v>21550961.117851924</x:v>
      </x:c>
      <x:c r="BC361" s="141" t="str">
        <x:f>IF(AW361&gt;1,"Inviavel","OK")</x:f>
        <x:v>OK</x:v>
      </x:c>
      <x:c r="BD361" s="141" t="n">
        <x:f>IF($A361='Consorcio Direto'!$B$29,'Consorcio Direto'!$B$44,0)</x:f>
        <x:v>0</x:v>
      </x:c>
      <x:c r="BE361" s="141" t="n">
        <x:f>IF($A361&lt;='Consorcio Direto'!$B$27,INDEX('Consorcio Direto'!$E$55:$E$534,$A361),0)</x:f>
        <x:v>0</x:v>
      </x:c>
      <x:c r="BF361" s="141" t="n">
        <x:f>IF(AND(TRUE,Premissas!$B$11="Imovel",Premissas!$B$47="Moradia",$A361&lt;MAX('Consorcio Direto'!$B$29,Premissas!$B$49)),$D361,0)</x:f>
        <x:v>0</x:v>
      </x:c>
      <x:c r="BG361" s="141" t="n">
        <x:f>IF(AND(TRUE,Premissas!$B$11="Imovel",Premissas!$B$47="Investimento",$A361&gt;=MAX('Consorcio Direto'!$B$29,Premissas!$B$49)),$E361,0)</x:f>
        <x:v>3467.768255343854</x:v>
      </x:c>
      <x:c r="BH361" s="141" t="n">
        <x:f>BD361+BE361+BF361</x:f>
        <x:v>0</x:v>
      </x:c>
      <x:c r="BI361" s="141" t="n">
        <x:f>BG361</x:f>
        <x:v>3467.768255343854</x:v>
      </x:c>
      <x:c r="BJ361" s="141" t="n">
        <x:f>$C361+BI361-BH361</x:f>
        <x:v>10467.768255343854</x:v>
      </x:c>
      <x:c r="BK361" s="141" t="n">
        <x:f>BN360*(1+Premissas!$B$41)+BJ361</x:f>
        <x:v>19523295.510128926</x:v>
      </x:c>
      <x:c r="BL361" s="141" t="n">
        <x:f>MAX(0,-BK361)</x:f>
        <x:v>0</x:v>
      </x:c>
      <x:c r="BM361" s="141" t="n">
        <x:f>BM360*(1+Premissas!$B$41)+BL361</x:f>
        <x:v>0</x:v>
      </x:c>
      <x:c r="BN361" s="141" t="n">
        <x:f>MAX(0,BK361)</x:f>
        <x:v>19523295.510128926</x:v>
      </x:c>
      <x:c r="BO361" s="141" t="n">
        <x:f>INDEX('Consorcio Direto'!$K$55:$K$534,$A361)</x:f>
        <x:v>0</x:v>
      </x:c>
      <x:c r="BP361" s="141" t="n">
        <x:f>IF($A361&lt;'Consorcio Direto'!$B$29,INDEX('Consorcio Direto'!$L$55:$L$534,$A361),$F361)</x:f>
        <x:v>1126602.382121654</x:v>
      </x:c>
      <x:c r="BQ361" s="141" t="n">
        <x:f>BN361+BP361-BO361</x:f>
        <x:v>20649897.89225058</x:v>
      </x:c>
      <x:c r="BR361" s="141" t="n">
        <x:f>IF(BM361&gt;1,"Inviavel",BQ361)</x:f>
        <x:v>20649897.89225058</x:v>
      </x:c>
      <x:c r="BS361" s="141" t="str">
        <x:f>IF(BM361&gt;1,"Inviavel","OK")</x:f>
        <x:v>OK</x:v>
      </x:c>
      <x:c r="BT361" s="141" t="n">
        <x:f>IF(AND('Carta Contemplada'!$B$22="Sim",$A361='Carta Contemplada'!$B$23),'Carta Contemplada'!$B$37,0)</x:f>
        <x:v>0</x:v>
      </x:c>
      <x:c r="BU361" s="141" t="n">
        <x:f>IF('Carta Contemplada'!$B$22="Sim",INDEX('Carta Contemplada'!$C$55:$C$1013,$A361),0)</x:f>
        <x:v>0</x:v>
      </x:c>
      <x:c r="BV361" s="141" t="n">
        <x:f>IF(AND('Carta Contemplada'!$B$22="Sim",Premissas!$B$11="Imovel",Premissas!$B$47="Moradia",$A361&lt;MAX('Carta Contemplada'!$B$44,Premissas!$B$49)),$D361,0)</x:f>
        <x:v>0</x:v>
      </x:c>
      <x:c r="BW361" s="141" t="n">
        <x:f>IF(AND('Carta Contemplada'!$B$22="Sim",Premissas!$B$11="Imovel",Premissas!$B$47="Investimento",$A361&gt;=MAX('Carta Contemplada'!$B$44,Premissas!$B$49)),$E361,0)</x:f>
        <x:v>3467.768255343854</x:v>
      </x:c>
      <x:c r="BX361" s="141" t="n">
        <x:f>BT361+BU361+BV361</x:f>
        <x:v>0</x:v>
      </x:c>
      <x:c r="BY361" s="141" t="n">
        <x:f>BW361</x:f>
        <x:v>3467.768255343854</x:v>
      </x:c>
      <x:c r="BZ361" s="141" t="n">
        <x:f>$C361+BY361-BX361</x:f>
        <x:v>10467.768255343854</x:v>
      </x:c>
      <x:c r="CA361" s="141" t="n">
        <x:f>CD360*(1+Premissas!$B$41)+BZ361</x:f>
        <x:v>21011543.544897564</x:v>
      </x:c>
      <x:c r="CB361" s="141" t="n">
        <x:f>MAX(0,-CA361)</x:f>
        <x:v>0</x:v>
      </x:c>
      <x:c r="CC361" s="141" t="n">
        <x:f>CC360*(1+Premissas!$B$41)+CB361</x:f>
        <x:v>0</x:v>
      </x:c>
      <x:c r="CD361" s="141" t="n">
        <x:f>MAX(0,CA361)</x:f>
        <x:v>21011543.544897564</x:v>
      </x:c>
      <x:c r="CE361" s="141" t="n">
        <x:f>IF(AND('Carta Contemplada'!$B$22="Sim",$A361&gt;='Carta Contemplada'!$B$23),INDEX('Carta Contemplada'!$I$55:$I$1013,$A361),0)</x:f>
        <x:v>0</x:v>
      </x:c>
      <x:c r="CF361" s="141" t="n">
        <x:f>IF(AND('Carta Contemplada'!$B$22="Sim",$A361&gt;='Carta Contemplada'!$B$44),$F361,0)</x:f>
        <x:v>1126602.382121654</x:v>
      </x:c>
      <x:c r="CG361" s="141" t="n">
        <x:f>CD361+CF361-CE361</x:f>
        <x:v>22138145.927019216</x:v>
      </x:c>
      <x:c r="CH361" s="141" t="n">
        <x:f>IF(CC361&gt;1,"Inviavel",CG361)</x:f>
        <x:v>22138145.927019216</x:v>
      </x:c>
      <x:c r="CI361" s="145" t="str">
        <x:f>IF(CC361&gt;1,"Inviavel","OK")</x:f>
        <x:v>OK</x:v>
      </x:c>
    </x:row>
    <x:row r="362">
      <x:c r="A362" s="142" t="n">
        <x:v>358</x:v>
      </x:c>
      <x:c r="B362" s="179" t="n">
        <x:f>EDATE(Premissas!$B$4,A362-1)</x:f>
        <x:v>57405</x:v>
      </x:c>
      <x:c r="C362" s="141" t="n">
        <x:f>IF(A362&lt;=Premissas!$B$39,Premissas!$B$42,0)</x:f>
        <x:v>7000</x:v>
      </x:c>
      <x:c r="D362" s="141" t="n">
        <x:f>Premissas!$B$54*(1+Premissas!$B$57)^INT((A362-1)/12)</x:f>
        <x:v>3792.8715292823404</x:v>
      </x:c>
      <x:c r="E362" s="141" t="n">
        <x:f>Premissas!$B$64*(1+Premissas!$B$57)^INT((A362-1)/12)</x:f>
        <x:v>3467.768255343854</x:v>
      </x:c>
      <x:c r="F362" s="141" t="n">
        <x:f>MAX(0,Premissas!$B$6*(1+Premissas!$B$66)^((A362-1)/12))</x:f>
        <x:v>1132086.1761836668</x:v>
      </x:c>
      <x:c r="G362" s="141" t="n">
        <x:f>G361*(1+Premissas!$B$41)+C362</x:f>
        <x:v>23571619.80107888</x:v>
      </x:c>
      <x:c r="H362" s="141" t="n">
        <x:f>IF($A362=Premissas!$B$48,Premissas!$B$8,0)</x:f>
        <x:v>0</x:v>
      </x:c>
      <x:c r="I362" s="141" t="n">
        <x:f>IF(AND($A362&gt;=Premissas!$B$48,$A362-Premissas!$B$48+1&lt;=Premissas!$B$13),INDEX(Financiamento!$J$6:$J$485,$A362-Premissas!$B$48+1),0)</x:f>
        <x:v>758.6834113823747</x:v>
      </x:c>
      <x:c r="J362" s="141" t="n">
        <x:f>IF(AND(TRUE,Premissas!$B$11="Imovel",Premissas!$B$47="Moradia",$A362&lt;MAX(Premissas!$B$48,Premissas!$B$49)),$D362,0)</x:f>
        <x:v>0</x:v>
      </x:c>
      <x:c r="K362" s="141" t="n">
        <x:f>IF(AND(TRUE,Premissas!$B$11="Imovel",Premissas!$B$47="Investimento",$A362&gt;=MAX(Premissas!$B$48,Premissas!$B$49)),$E362,0)</x:f>
        <x:v>3467.768255343854</x:v>
      </x:c>
      <x:c r="L362" s="141" t="n">
        <x:f>H362+I362+J362</x:f>
        <x:v>758.6834113823747</x:v>
      </x:c>
      <x:c r="M362" s="141" t="n">
        <x:f>K362</x:f>
        <x:v>3467.768255343854</x:v>
      </x:c>
      <x:c r="N362" s="141" t="n">
        <x:f>$C362+M362-L362</x:f>
        <x:v>9709.084843961478</x:v>
      </x:c>
      <x:c r="O362" s="141" t="n">
        <x:f>R361*(1+Premissas!$B$41)+N362</x:f>
        <x:v>20476221.247855265</x:v>
      </x:c>
      <x:c r="P362" s="141" t="n">
        <x:f>MAX(0,-O362)</x:f>
        <x:v>0</x:v>
      </x:c>
      <x:c r="Q362" s="141" t="n">
        <x:f>Q361*(1+Premissas!$B$41)+P362</x:f>
        <x:v>0</x:v>
      </x:c>
      <x:c r="R362" s="141" t="n">
        <x:f>MAX(0,O362)</x:f>
        <x:v>20476221.247855265</x:v>
      </x:c>
      <x:c r="S362" s="141" t="n">
        <x:f>IF(AND($A362&gt;=Premissas!$B$48,$A362-Premissas!$B$48+1&lt;=Premissas!$B$13),INDEX(Financiamento!$M$6:$M$485,$A362-Premissas!$B$48+1),0)</x:f>
        <x:v>23619.047619047647</x:v>
      </x:c>
      <x:c r="T362" s="141" t="n">
        <x:f>IF($A362&gt;=Premissas!$B$48,$F362,0)</x:f>
        <x:v>1132086.1761836668</x:v>
      </x:c>
      <x:c r="U362" s="141" t="n">
        <x:f>R362+T362-S362</x:f>
        <x:v>21584688.376419883</x:v>
      </x:c>
      <x:c r="V362" s="141" t="n">
        <x:f>IF(Q362&gt;1,"Inviavel",U362)</x:f>
        <x:v>21584688.376419883</x:v>
      </x:c>
      <x:c r="W362" s="141" t="str">
        <x:f>IF(Q362&gt;1,"Inviavel","OK")</x:f>
        <x:v>OK</x:v>
      </x:c>
      <x:c r="X362" s="141" t="n">
        <x:f>IF($A362=Premissas!$B$48,Premissas!$B$8,0)</x:f>
        <x:v>0</x:v>
      </x:c>
      <x:c r="Y362" s="141" t="n">
        <x:f>IF(AND($A362&gt;=Premissas!$B$48,$A362-Premissas!$B$48+1&lt;=Premissas!$B$13),INDEX(Amortizacao!$K$6:$K$485,$A362-Premissas!$B$48+1),0)</x:f>
        <x:v>0</x:v>
      </x:c>
      <x:c r="Z362" s="141" t="n">
        <x:f>IF(AND(TRUE,Premissas!$B$11="Imovel",Premissas!$B$47="Moradia",$A362&lt;MAX(Premissas!$B$48,Premissas!$B$49)),$D362,0)</x:f>
        <x:v>0</x:v>
      </x:c>
      <x:c r="AA362" s="141" t="n">
        <x:f>IF(AND(TRUE,Premissas!$B$11="Imovel",Premissas!$B$47="Investimento",$A362&gt;=MAX(Premissas!$B$48,Premissas!$B$49)),$E362,0)</x:f>
        <x:v>3467.768255343854</x:v>
      </x:c>
      <x:c r="AB362" s="141" t="n">
        <x:f>X362+Y362+Z362</x:f>
        <x:v>0</x:v>
      </x:c>
      <x:c r="AC362" s="141" t="n">
        <x:f>AA362</x:f>
        <x:v>3467.768255343854</x:v>
      </x:c>
      <x:c r="AD362" s="141" t="n">
        <x:f>$C362+AC362-AB362</x:f>
        <x:v>10467.768255343854</x:v>
      </x:c>
      <x:c r="AE362" s="141" t="n">
        <x:f>AH361*(1+Premissas!$B$41)+AD362</x:f>
        <x:v>20796939.09869831</x:v>
      </x:c>
      <x:c r="AF362" s="141" t="n">
        <x:f>MAX(0,-AE362)</x:f>
        <x:v>0</x:v>
      </x:c>
      <x:c r="AG362" s="141" t="n">
        <x:f>AG361*(1+Premissas!$B$41)+AF362</x:f>
        <x:v>0</x:v>
      </x:c>
      <x:c r="AH362" s="141" t="n">
        <x:f>MAX(0,AE362)</x:f>
        <x:v>20796939.09869831</x:v>
      </x:c>
      <x:c r="AI362" s="141" t="n">
        <x:f>IF(AND($A362&gt;=Premissas!$B$48,$A362-Premissas!$B$48+1&lt;=Premissas!$B$13),INDEX(Amortizacao!$L$6:$L$485,$A362-Premissas!$B$48+1),0)</x:f>
        <x:v>0</x:v>
      </x:c>
      <x:c r="AJ362" s="141" t="n">
        <x:f>IF($A362&gt;=Premissas!$B$48,$F362,0)</x:f>
        <x:v>1132086.1761836668</x:v>
      </x:c>
      <x:c r="AK362" s="141" t="n">
        <x:f>AH362+AJ362-AI362</x:f>
        <x:v>21929025.274881978</x:v>
      </x:c>
      <x:c r="AL362" s="141" t="n">
        <x:f>IF(AG362&gt;1,"Inviavel",AK362)</x:f>
        <x:v>21929025.274881978</x:v>
      </x:c>
      <x:c r="AM362" s="141" t="str">
        <x:f>IF(AG362&gt;1,"Inviavel","OK")</x:f>
        <x:v>OK</x:v>
      </x:c>
      <x:c r="AN362" s="141" t="n">
        <x:f>IF($A362=Premissas!$B$48,Premissas!$B$8,0)</x:f>
        <x:v>0</x:v>
      </x:c>
      <x:c r="AO362" s="141" t="n">
        <x:f>IF($A362&lt;=Premissas!$B$25,INDEX('Consorcio IQ'!$K$6:$K$485,$A362),0)</x:f>
        <x:v>0</x:v>
      </x:c>
      <x:c r="AP362" s="141" t="n">
        <x:f>IF(AND(TRUE,Premissas!$B$11="Imovel",Premissas!$B$47="Moradia",$A362&lt;MAX(Premissas!$B$48,Premissas!$B$49)),$D362,0)</x:f>
        <x:v>0</x:v>
      </x:c>
      <x:c r="AQ362" s="141" t="n">
        <x:f>IF(AND(TRUE,Premissas!$B$11="Imovel",Premissas!$B$47="Investimento",$A362&gt;=MAX(Premissas!$B$48,Premissas!$B$49)),$E362,0)</x:f>
        <x:v>3467.768255343854</x:v>
      </x:c>
      <x:c r="AR362" s="141" t="n">
        <x:f>AN362+AO362+AP362</x:f>
        <x:v>0</x:v>
      </x:c>
      <x:c r="AS362" s="141" t="n">
        <x:f>AQ362</x:f>
        <x:v>3467.768255343854</x:v>
      </x:c>
      <x:c r="AT362" s="141" t="n">
        <x:f>$C362+AS362-AR362</x:f>
        <x:v>10467.768255343854</x:v>
      </x:c>
      <x:c r="AU362" s="141" t="n">
        <x:f>AX361*(1+Premissas!$B$41)+AT362</x:f>
        <x:v>20628629.014850605</x:v>
      </x:c>
      <x:c r="AV362" s="141" t="n">
        <x:f>MAX(0,-AU362)</x:f>
        <x:v>0</x:v>
      </x:c>
      <x:c r="AW362" s="141" t="n">
        <x:f>AW361*(1+Premissas!$B$41)+AV362</x:f>
        <x:v>0</x:v>
      </x:c>
      <x:c r="AX362" s="141" t="n">
        <x:f>MAX(0,AU362)</x:f>
        <x:v>20628629.014850605</x:v>
      </x:c>
      <x:c r="AY362" s="141" t="n">
        <x:f>INDEX('Consorcio IQ'!$P$6:$P$485,$A362)</x:f>
        <x:v>0</x:v>
      </x:c>
      <x:c r="AZ362" s="141" t="n">
        <x:f>IF($A362&gt;=Premissas!$B$48,$F362,0)+IF($A362&lt;Premissas!$B$27,INDEX('Consorcio IQ'!$O$6:$O$485,$A362),0)</x:f>
        <x:v>1132086.1761836668</x:v>
      </x:c>
      <x:c r="BA362" s="141" t="n">
        <x:f>AX362+AZ362-AY362</x:f>
        <x:v>21760715.191034272</x:v>
      </x:c>
      <x:c r="BB362" s="141" t="n">
        <x:f>IF(AW362&gt;1,"Inviavel",BA362)</x:f>
        <x:v>21760715.191034272</x:v>
      </x:c>
      <x:c r="BC362" s="141" t="str">
        <x:f>IF(AW362&gt;1,"Inviavel","OK")</x:f>
        <x:v>OK</x:v>
      </x:c>
      <x:c r="BD362" s="141" t="n">
        <x:f>IF($A362='Consorcio Direto'!$B$29,'Consorcio Direto'!$B$44,0)</x:f>
        <x:v>0</x:v>
      </x:c>
      <x:c r="BE362" s="141" t="n">
        <x:f>IF($A362&lt;='Consorcio Direto'!$B$27,INDEX('Consorcio Direto'!$E$55:$E$534,$A362),0)</x:f>
        <x:v>0</x:v>
      </x:c>
      <x:c r="BF362" s="141" t="n">
        <x:f>IF(AND(TRUE,Premissas!$B$11="Imovel",Premissas!$B$47="Moradia",$A362&lt;MAX('Consorcio Direto'!$B$29,Premissas!$B$49)),$D362,0)</x:f>
        <x:v>0</x:v>
      </x:c>
      <x:c r="BG362" s="141" t="n">
        <x:f>IF(AND(TRUE,Premissas!$B$11="Imovel",Premissas!$B$47="Investimento",$A362&gt;=MAX('Consorcio Direto'!$B$29,Premissas!$B$49)),$E362,0)</x:f>
        <x:v>3467.768255343854</x:v>
      </x:c>
      <x:c r="BH362" s="141" t="n">
        <x:f>BD362+BE362+BF362</x:f>
        <x:v>0</x:v>
      </x:c>
      <x:c r="BI362" s="141" t="n">
        <x:f>BG362</x:f>
        <x:v>3467.768255343854</x:v>
      </x:c>
      <x:c r="BJ362" s="141" t="n">
        <x:f>$C362+BI362-BH362</x:f>
        <x:v>10467.768255343854</x:v>
      </x:c>
      <x:c r="BK362" s="141" t="n">
        <x:f>BN361*(1+Premissas!$B$41)+BJ362</x:f>
        <x:v>19719015.78688056</x:v>
      </x:c>
      <x:c r="BL362" s="141" t="n">
        <x:f>MAX(0,-BK362)</x:f>
        <x:v>0</x:v>
      </x:c>
      <x:c r="BM362" s="141" t="n">
        <x:f>BM361*(1+Premissas!$B$41)+BL362</x:f>
        <x:v>0</x:v>
      </x:c>
      <x:c r="BN362" s="141" t="n">
        <x:f>MAX(0,BK362)</x:f>
        <x:v>19719015.78688056</x:v>
      </x:c>
      <x:c r="BO362" s="141" t="n">
        <x:f>INDEX('Consorcio Direto'!$K$55:$K$534,$A362)</x:f>
        <x:v>0</x:v>
      </x:c>
      <x:c r="BP362" s="141" t="n">
        <x:f>IF($A362&lt;'Consorcio Direto'!$B$29,INDEX('Consorcio Direto'!$L$55:$L$534,$A362),$F362)</x:f>
        <x:v>1132086.1761836668</x:v>
      </x:c>
      <x:c r="BQ362" s="141" t="n">
        <x:f>BN362+BP362-BO362</x:f>
        <x:v>20851101.963064227</x:v>
      </x:c>
      <x:c r="BR362" s="141" t="n">
        <x:f>IF(BM362&gt;1,"Inviavel",BQ362)</x:f>
        <x:v>20851101.963064227</x:v>
      </x:c>
      <x:c r="BS362" s="141" t="str">
        <x:f>IF(BM362&gt;1,"Inviavel","OK")</x:f>
        <x:v>OK</x:v>
      </x:c>
      <x:c r="BT362" s="141" t="n">
        <x:f>IF(AND('Carta Contemplada'!$B$22="Sim",$A362='Carta Contemplada'!$B$23),'Carta Contemplada'!$B$37,0)</x:f>
        <x:v>0</x:v>
      </x:c>
      <x:c r="BU362" s="141" t="n">
        <x:f>IF('Carta Contemplada'!$B$22="Sim",INDEX('Carta Contemplada'!$C$55:$C$1013,$A362),0)</x:f>
        <x:v>0</x:v>
      </x:c>
      <x:c r="BV362" s="141" t="n">
        <x:f>IF(AND('Carta Contemplada'!$B$22="Sim",Premissas!$B$11="Imovel",Premissas!$B$47="Moradia",$A362&lt;MAX('Carta Contemplada'!$B$44,Premissas!$B$49)),$D362,0)</x:f>
        <x:v>0</x:v>
      </x:c>
      <x:c r="BW362" s="141" t="n">
        <x:f>IF(AND('Carta Contemplada'!$B$22="Sim",Premissas!$B$11="Imovel",Premissas!$B$47="Investimento",$A362&gt;=MAX('Carta Contemplada'!$B$44,Premissas!$B$49)),$E362,0)</x:f>
        <x:v>3467.768255343854</x:v>
      </x:c>
      <x:c r="BX362" s="141" t="n">
        <x:f>BT362+BU362+BV362</x:f>
        <x:v>0</x:v>
      </x:c>
      <x:c r="BY362" s="141" t="n">
        <x:f>BW362</x:f>
        <x:v>3467.768255343854</x:v>
      </x:c>
      <x:c r="BZ362" s="141" t="n">
        <x:f>$C362+BY362-BX362</x:f>
        <x:v>10467.768255343854</x:v>
      </x:c>
      <x:c r="CA362" s="141" t="n">
        <x:f>CD361*(1+Premissas!$B$41)+BZ362</x:f>
        <x:v>21221385.499086417</x:v>
      </x:c>
      <x:c r="CB362" s="141" t="n">
        <x:f>MAX(0,-CA362)</x:f>
        <x:v>0</x:v>
      </x:c>
      <x:c r="CC362" s="141" t="n">
        <x:f>CC361*(1+Premissas!$B$41)+CB362</x:f>
        <x:v>0</x:v>
      </x:c>
      <x:c r="CD362" s="141" t="n">
        <x:f>MAX(0,CA362)</x:f>
        <x:v>21221385.499086417</x:v>
      </x:c>
      <x:c r="CE362" s="141" t="n">
        <x:f>IF(AND('Carta Contemplada'!$B$22="Sim",$A362&gt;='Carta Contemplada'!$B$23),INDEX('Carta Contemplada'!$I$55:$I$1013,$A362),0)</x:f>
        <x:v>0</x:v>
      </x:c>
      <x:c r="CF362" s="141" t="n">
        <x:f>IF(AND('Carta Contemplada'!$B$22="Sim",$A362&gt;='Carta Contemplada'!$B$44),$F362,0)</x:f>
        <x:v>1132086.1761836668</x:v>
      </x:c>
      <x:c r="CG362" s="141" t="n">
        <x:f>CD362+CF362-CE362</x:f>
        <x:v>22353471.675270084</x:v>
      </x:c>
      <x:c r="CH362" s="141" t="n">
        <x:f>IF(CC362&gt;1,"Inviavel",CG362)</x:f>
        <x:v>22353471.675270084</x:v>
      </x:c>
      <x:c r="CI362" s="145" t="str">
        <x:f>IF(CC362&gt;1,"Inviavel","OK")</x:f>
        <x:v>OK</x:v>
      </x:c>
    </x:row>
    <x:row r="363">
      <x:c r="A363" s="142" t="n">
        <x:v>359</x:v>
      </x:c>
      <x:c r="B363" s="179" t="n">
        <x:f>EDATE(Premissas!$B$4,A363-1)</x:f>
        <x:v>57436</x:v>
      </x:c>
      <x:c r="C363" s="141" t="n">
        <x:f>IF(A363&lt;=Premissas!$B$39,Premissas!$B$42,0)</x:f>
        <x:v>7000</x:v>
      </x:c>
      <x:c r="D363" s="141" t="n">
        <x:f>Premissas!$B$54*(1+Premissas!$B$57)^INT((A363-1)/12)</x:f>
        <x:v>3792.8715292823404</x:v>
      </x:c>
      <x:c r="E363" s="141" t="n">
        <x:f>Premissas!$B$64*(1+Premissas!$B$57)^INT((A363-1)/12)</x:f>
        <x:v>3467.768255343854</x:v>
      </x:c>
      <x:c r="F363" s="141" t="n">
        <x:f>MAX(0,Premissas!$B$6*(1+Premissas!$B$66)^((A363-1)/12))</x:f>
        <x:v>1137596.6628905667</x:v>
      </x:c>
      <x:c r="G363" s="141" t="n">
        <x:f>G362*(1+Premissas!$B$41)+C363</x:f>
        <x:v>23802286.020504035</x:v>
      </x:c>
      <x:c r="H363" s="141" t="n">
        <x:f>IF($A363=Premissas!$B$48,Premissas!$B$8,0)</x:f>
        <x:v>0</x:v>
      </x:c>
      <x:c r="I363" s="141" t="n">
        <x:f>IF(AND($A363&gt;=Premissas!$B$48,$A363-Premissas!$B$48+1&lt;=Premissas!$B$13),INDEX(Financiamento!$J$6:$J$485,$A363-Premissas!$B$48+1),0)</x:f>
        <x:v>755.0686331215812</x:v>
      </x:c>
      <x:c r="J363" s="141" t="n">
        <x:f>IF(AND(TRUE,Premissas!$B$11="Imovel",Premissas!$B$47="Moradia",$A363&lt;MAX(Premissas!$B$48,Premissas!$B$49)),$D363,0)</x:f>
        <x:v>0</x:v>
      </x:c>
      <x:c r="K363" s="141" t="n">
        <x:f>IF(AND(TRUE,Premissas!$B$11="Imovel",Premissas!$B$47="Investimento",$A363&gt;=MAX(Premissas!$B$48,Premissas!$B$49)),$E363,0)</x:f>
        <x:v>3467.768255343854</x:v>
      </x:c>
      <x:c r="L363" s="141" t="n">
        <x:f>H363+I363+J363</x:f>
        <x:v>755.0686331215812</x:v>
      </x:c>
      <x:c r="M363" s="141" t="n">
        <x:f>K363</x:f>
        <x:v>3467.768255343854</x:v>
      </x:c>
      <x:c r="N363" s="141" t="n">
        <x:f>$C363+M363-L363</x:f>
        <x:v>9712.699622222272</x:v>
      </x:c>
      <x:c r="O363" s="141" t="n">
        <x:f>R362*(1+Premissas!$B$41)+N363</x:f>
        <x:v>20680228.570981093</x:v>
      </x:c>
      <x:c r="P363" s="141" t="n">
        <x:f>MAX(0,-O363)</x:f>
        <x:v>0</x:v>
      </x:c>
      <x:c r="Q363" s="141" t="n">
        <x:f>Q362*(1+Premissas!$B$41)+P363</x:f>
        <x:v>0</x:v>
      </x:c>
      <x:c r="R363" s="141" t="n">
        <x:f>MAX(0,O363)</x:f>
        <x:v>20680228.570981093</x:v>
      </x:c>
      <x:c r="S363" s="141" t="n">
        <x:f>IF(AND($A363&gt;=Premissas!$B$48,$A363-Premissas!$B$48+1&lt;=Premissas!$B$13),INDEX(Financiamento!$M$6:$M$485,$A363-Premissas!$B$48+1),0)</x:f>
        <x:v>23238.095238095266</x:v>
      </x:c>
      <x:c r="T363" s="141" t="n">
        <x:f>IF($A363&gt;=Premissas!$B$48,$F363,0)</x:f>
        <x:v>1137596.6628905667</x:v>
      </x:c>
      <x:c r="U363" s="141" t="n">
        <x:f>R363+T363-S363</x:f>
        <x:v>21794587.138633564</x:v>
      </x:c>
      <x:c r="V363" s="141" t="n">
        <x:f>IF(Q363&gt;1,"Inviavel",U363)</x:f>
        <x:v>21794587.138633564</x:v>
      </x:c>
      <x:c r="W363" s="141" t="str">
        <x:f>IF(Q363&gt;1,"Inviavel","OK")</x:f>
        <x:v>OK</x:v>
      </x:c>
      <x:c r="X363" s="141" t="n">
        <x:f>IF($A363=Premissas!$B$48,Premissas!$B$8,0)</x:f>
        <x:v>0</x:v>
      </x:c>
      <x:c r="Y363" s="141" t="n">
        <x:f>IF(AND($A363&gt;=Premissas!$B$48,$A363-Premissas!$B$48+1&lt;=Premissas!$B$13),INDEX(Amortizacao!$K$6:$K$485,$A363-Premissas!$B$48+1),0)</x:f>
        <x:v>0</x:v>
      </x:c>
      <x:c r="Z363" s="141" t="n">
        <x:f>IF(AND(TRUE,Premissas!$B$11="Imovel",Premissas!$B$47="Moradia",$A363&lt;MAX(Premissas!$B$48,Premissas!$B$49)),$D363,0)</x:f>
        <x:v>0</x:v>
      </x:c>
      <x:c r="AA363" s="141" t="n">
        <x:f>IF(AND(TRUE,Premissas!$B$11="Imovel",Premissas!$B$47="Investimento",$A363&gt;=MAX(Premissas!$B$48,Premissas!$B$49)),$E363,0)</x:f>
        <x:v>3467.768255343854</x:v>
      </x:c>
      <x:c r="AB363" s="141" t="n">
        <x:f>X363+Y363+Z363</x:f>
        <x:v>0</x:v>
      </x:c>
      <x:c r="AC363" s="141" t="n">
        <x:f>AA363</x:f>
        <x:v>3467.768255343854</x:v>
      </x:c>
      <x:c r="AD363" s="141" t="n">
        <x:f>$C363+AC363-AB363</x:f>
        <x:v>10467.768255343854</x:v>
      </x:c>
      <x:c r="AE363" s="141" t="n">
        <x:f>AH362*(1+Premissas!$B$41)+AD363</x:f>
        <x:v>21004744.71573434</x:v>
      </x:c>
      <x:c r="AF363" s="141" t="n">
        <x:f>MAX(0,-AE363)</x:f>
        <x:v>0</x:v>
      </x:c>
      <x:c r="AG363" s="141" t="n">
        <x:f>AG362*(1+Premissas!$B$41)+AF363</x:f>
        <x:v>0</x:v>
      </x:c>
      <x:c r="AH363" s="141" t="n">
        <x:f>MAX(0,AE363)</x:f>
        <x:v>21004744.71573434</x:v>
      </x:c>
      <x:c r="AI363" s="141" t="n">
        <x:f>IF(AND($A363&gt;=Premissas!$B$48,$A363-Premissas!$B$48+1&lt;=Premissas!$B$13),INDEX(Amortizacao!$L$6:$L$485,$A363-Premissas!$B$48+1),0)</x:f>
        <x:v>0</x:v>
      </x:c>
      <x:c r="AJ363" s="141" t="n">
        <x:f>IF($A363&gt;=Premissas!$B$48,$F363,0)</x:f>
        <x:v>1137596.6628905667</x:v>
      </x:c>
      <x:c r="AK363" s="141" t="n">
        <x:f>AH363+AJ363-AI363</x:f>
        <x:v>22142341.37862491</x:v>
      </x:c>
      <x:c r="AL363" s="141" t="n">
        <x:f>IF(AG363&gt;1,"Inviavel",AK363)</x:f>
        <x:v>22142341.37862491</x:v>
      </x:c>
      <x:c r="AM363" s="141" t="str">
        <x:f>IF(AG363&gt;1,"Inviavel","OK")</x:f>
        <x:v>OK</x:v>
      </x:c>
      <x:c r="AN363" s="141" t="n">
        <x:f>IF($A363=Premissas!$B$48,Premissas!$B$8,0)</x:f>
        <x:v>0</x:v>
      </x:c>
      <x:c r="AO363" s="141" t="n">
        <x:f>IF($A363&lt;=Premissas!$B$25,INDEX('Consorcio IQ'!$K$6:$K$485,$A363),0)</x:f>
        <x:v>0</x:v>
      </x:c>
      <x:c r="AP363" s="141" t="n">
        <x:f>IF(AND(TRUE,Premissas!$B$11="Imovel",Premissas!$B$47="Moradia",$A363&lt;MAX(Premissas!$B$48,Premissas!$B$49)),$D363,0)</x:f>
        <x:v>0</x:v>
      </x:c>
      <x:c r="AQ363" s="141" t="n">
        <x:f>IF(AND(TRUE,Premissas!$B$11="Imovel",Premissas!$B$47="Investimento",$A363&gt;=MAX(Premissas!$B$48,Premissas!$B$49)),$E363,0)</x:f>
        <x:v>3467.768255343854</x:v>
      </x:c>
      <x:c r="AR363" s="141" t="n">
        <x:f>AN363+AO363+AP363</x:f>
        <x:v>0</x:v>
      </x:c>
      <x:c r="AS363" s="141" t="n">
        <x:f>AQ363</x:f>
        <x:v>3467.768255343854</x:v>
      </x:c>
      <x:c r="AT363" s="141" t="n">
        <x:f>$C363+AS363-AR363</x:f>
        <x:v>10467.768255343854</x:v>
      </x:c>
      <x:c r="AU363" s="141" t="n">
        <x:f>AX362*(1+Premissas!$B$41)+AT363</x:f>
        <x:v>20834837.5723522</x:v>
      </x:c>
      <x:c r="AV363" s="141" t="n">
        <x:f>MAX(0,-AU363)</x:f>
        <x:v>0</x:v>
      </x:c>
      <x:c r="AW363" s="141" t="n">
        <x:f>AW362*(1+Premissas!$B$41)+AV363</x:f>
        <x:v>0</x:v>
      </x:c>
      <x:c r="AX363" s="141" t="n">
        <x:f>MAX(0,AU363)</x:f>
        <x:v>20834837.5723522</x:v>
      </x:c>
      <x:c r="AY363" s="141" t="n">
        <x:f>INDEX('Consorcio IQ'!$P$6:$P$485,$A363)</x:f>
        <x:v>0</x:v>
      </x:c>
      <x:c r="AZ363" s="141" t="n">
        <x:f>IF($A363&gt;=Premissas!$B$48,$F363,0)+IF($A363&lt;Premissas!$B$27,INDEX('Consorcio IQ'!$O$6:$O$485,$A363),0)</x:f>
        <x:v>1137596.6628905667</x:v>
      </x:c>
      <x:c r="BA363" s="141" t="n">
        <x:f>AX363+AZ363-AY363</x:f>
        <x:v>21972434.23524277</x:v>
      </x:c>
      <x:c r="BB363" s="141" t="n">
        <x:f>IF(AW363&gt;1,"Inviavel",BA363)</x:f>
        <x:v>21972434.23524277</x:v>
      </x:c>
      <x:c r="BC363" s="141" t="str">
        <x:f>IF(AW363&gt;1,"Inviavel","OK")</x:f>
        <x:v>OK</x:v>
      </x:c>
      <x:c r="BD363" s="141" t="n">
        <x:f>IF($A363='Consorcio Direto'!$B$29,'Consorcio Direto'!$B$44,0)</x:f>
        <x:v>0</x:v>
      </x:c>
      <x:c r="BE363" s="141" t="n">
        <x:f>IF($A363&lt;='Consorcio Direto'!$B$27,INDEX('Consorcio Direto'!$E$55:$E$534,$A363),0)</x:f>
        <x:v>0</x:v>
      </x:c>
      <x:c r="BF363" s="141" t="n">
        <x:f>IF(AND(TRUE,Premissas!$B$11="Imovel",Premissas!$B$47="Moradia",$A363&lt;MAX('Consorcio Direto'!$B$29,Premissas!$B$49)),$D363,0)</x:f>
        <x:v>0</x:v>
      </x:c>
      <x:c r="BG363" s="141" t="n">
        <x:f>IF(AND(TRUE,Premissas!$B$11="Imovel",Premissas!$B$47="Investimento",$A363&gt;=MAX('Consorcio Direto'!$B$29,Premissas!$B$49)),$E363,0)</x:f>
        <x:v>3467.768255343854</x:v>
      </x:c>
      <x:c r="BH363" s="141" t="n">
        <x:f>BD363+BE363+BF363</x:f>
        <x:v>0</x:v>
      </x:c>
      <x:c r="BI363" s="141" t="n">
        <x:f>BG363</x:f>
        <x:v>3467.768255343854</x:v>
      </x:c>
      <x:c r="BJ363" s="141" t="n">
        <x:f>$C363+BI363-BH363</x:f>
        <x:v>10467.768255343854</x:v>
      </x:c>
      <x:c r="BK363" s="141" t="n">
        <x:f>BN362*(1+Premissas!$B$41)+BJ363</x:f>
        <x:v>19916593.212811388</x:v>
      </x:c>
      <x:c r="BL363" s="141" t="n">
        <x:f>MAX(0,-BK363)</x:f>
        <x:v>0</x:v>
      </x:c>
      <x:c r="BM363" s="141" t="n">
        <x:f>BM362*(1+Premissas!$B$41)+BL363</x:f>
        <x:v>0</x:v>
      </x:c>
      <x:c r="BN363" s="141" t="n">
        <x:f>MAX(0,BK363)</x:f>
        <x:v>19916593.212811388</x:v>
      </x:c>
      <x:c r="BO363" s="141" t="n">
        <x:f>INDEX('Consorcio Direto'!$K$55:$K$534,$A363)</x:f>
        <x:v>0</x:v>
      </x:c>
      <x:c r="BP363" s="141" t="n">
        <x:f>IF($A363&lt;'Consorcio Direto'!$B$29,INDEX('Consorcio Direto'!$L$55:$L$534,$A363),$F363)</x:f>
        <x:v>1137596.6628905667</x:v>
      </x:c>
      <x:c r="BQ363" s="141" t="n">
        <x:f>BN363+BP363-BO363</x:f>
        <x:v>21054189.875701956</x:v>
      </x:c>
      <x:c r="BR363" s="141" t="n">
        <x:f>IF(BM363&gt;1,"Inviavel",BQ363)</x:f>
        <x:v>21054189.875701956</x:v>
      </x:c>
      <x:c r="BS363" s="141" t="str">
        <x:f>IF(BM363&gt;1,"Inviavel","OK")</x:f>
        <x:v>OK</x:v>
      </x:c>
      <x:c r="BT363" s="141" t="n">
        <x:f>IF(AND('Carta Contemplada'!$B$22="Sim",$A363='Carta Contemplada'!$B$23),'Carta Contemplada'!$B$37,0)</x:f>
        <x:v>0</x:v>
      </x:c>
      <x:c r="BU363" s="141" t="n">
        <x:f>IF('Carta Contemplada'!$B$22="Sim",INDEX('Carta Contemplada'!$C$55:$C$1013,$A363),0)</x:f>
        <x:v>0</x:v>
      </x:c>
      <x:c r="BV363" s="141" t="n">
        <x:f>IF(AND('Carta Contemplada'!$B$22="Sim",Premissas!$B$11="Imovel",Premissas!$B$47="Moradia",$A363&lt;MAX('Carta Contemplada'!$B$44,Premissas!$B$49)),$D363,0)</x:f>
        <x:v>0</x:v>
      </x:c>
      <x:c r="BW363" s="141" t="n">
        <x:f>IF(AND('Carta Contemplada'!$B$22="Sim",Premissas!$B$11="Imovel",Premissas!$B$47="Investimento",$A363&gt;=MAX('Carta Contemplada'!$B$44,Premissas!$B$49)),$E363,0)</x:f>
        <x:v>3467.768255343854</x:v>
      </x:c>
      <x:c r="BX363" s="141" t="n">
        <x:f>BT363+BU363+BV363</x:f>
        <x:v>0</x:v>
      </x:c>
      <x:c r="BY363" s="141" t="n">
        <x:f>BW363</x:f>
        <x:v>3467.768255343854</x:v>
      </x:c>
      <x:c r="BZ363" s="141" t="n">
        <x:f>$C363+BY363-BX363</x:f>
        <x:v>10467.768255343854</x:v>
      </x:c>
      <x:c r="CA363" s="141" t="n">
        <x:f>CD362*(1+Premissas!$B$41)+BZ363</x:f>
        <x:v>21433218.600127555</x:v>
      </x:c>
      <x:c r="CB363" s="141" t="n">
        <x:f>MAX(0,-CA363)</x:f>
        <x:v>0</x:v>
      </x:c>
      <x:c r="CC363" s="141" t="n">
        <x:f>CC362*(1+Premissas!$B$41)+CB363</x:f>
        <x:v>0</x:v>
      </x:c>
      <x:c r="CD363" s="141" t="n">
        <x:f>MAX(0,CA363)</x:f>
        <x:v>21433218.600127555</x:v>
      </x:c>
      <x:c r="CE363" s="141" t="n">
        <x:f>IF(AND('Carta Contemplada'!$B$22="Sim",$A363&gt;='Carta Contemplada'!$B$23),INDEX('Carta Contemplada'!$I$55:$I$1013,$A363),0)</x:f>
        <x:v>0</x:v>
      </x:c>
      <x:c r="CF363" s="141" t="n">
        <x:f>IF(AND('Carta Contemplada'!$B$22="Sim",$A363&gt;='Carta Contemplada'!$B$44),$F363,0)</x:f>
        <x:v>1137596.6628905667</x:v>
      </x:c>
      <x:c r="CG363" s="141" t="n">
        <x:f>CD363+CF363-CE363</x:f>
        <x:v>22570815.263018124</x:v>
      </x:c>
      <x:c r="CH363" s="141" t="n">
        <x:f>IF(CC363&gt;1,"Inviavel",CG363)</x:f>
        <x:v>22570815.263018124</x:v>
      </x:c>
      <x:c r="CI363" s="145" t="str">
        <x:f>IF(CC363&gt;1,"Inviavel","OK")</x:f>
        <x:v>OK</x:v>
      </x:c>
    </x:row>
    <x:row r="364">
      <x:c r="A364" s="142" t="n">
        <x:v>360</x:v>
      </x:c>
      <x:c r="B364" s="179" t="n">
        <x:f>EDATE(Premissas!$B$4,A364-1)</x:f>
        <x:v>57466</x:v>
      </x:c>
      <x:c r="C364" s="141" t="n">
        <x:f>IF(A364&lt;=Premissas!$B$39,Premissas!$B$42,0)</x:f>
        <x:v>7000</x:v>
      </x:c>
      <x:c r="D364" s="141" t="n">
        <x:f>Premissas!$B$54*(1+Premissas!$B$57)^INT((A364-1)/12)</x:f>
        <x:v>3792.8715292823404</x:v>
      </x:c>
      <x:c r="E364" s="141" t="n">
        <x:f>Premissas!$B$64*(1+Premissas!$B$57)^INT((A364-1)/12)</x:f>
        <x:v>3467.768255343854</x:v>
      </x:c>
      <x:c r="F364" s="141" t="n">
        <x:f>MAX(0,Premissas!$B$6*(1+Premissas!$B$66)^((A364-1)/12))</x:f>
        <x:v>1143133.972170152</x:v>
      </x:c>
      <x:c r="G364" s="141" t="n">
        <x:f>G363*(1+Premissas!$B$41)+C364</x:f>
        <x:v>24035140.983922318</x:v>
      </x:c>
      <x:c r="H364" s="141" t="n">
        <x:f>IF($A364=Premissas!$B$48,Premissas!$B$8,0)</x:f>
        <x:v>0</x:v>
      </x:c>
      <x:c r="I364" s="141" t="n">
        <x:f>IF(AND($A364&gt;=Premissas!$B$48,$A364-Premissas!$B$48+1&lt;=Premissas!$B$13),INDEX(Financiamento!$J$6:$J$485,$A364-Premissas!$B$48+1),0)</x:f>
        <x:v>751.4538548607877</x:v>
      </x:c>
      <x:c r="J364" s="141" t="n">
        <x:f>IF(AND(TRUE,Premissas!$B$11="Imovel",Premissas!$B$47="Moradia",$A364&lt;MAX(Premissas!$B$48,Premissas!$B$49)),$D364,0)</x:f>
        <x:v>0</x:v>
      </x:c>
      <x:c r="K364" s="141" t="n">
        <x:f>IF(AND(TRUE,Premissas!$B$11="Imovel",Premissas!$B$47="Investimento",$A364&gt;=MAX(Premissas!$B$48,Premissas!$B$49)),$E364,0)</x:f>
        <x:v>3467.768255343854</x:v>
      </x:c>
      <x:c r="L364" s="141" t="n">
        <x:f>H364+I364+J364</x:f>
        <x:v>751.4538548607877</x:v>
      </x:c>
      <x:c r="M364" s="141" t="n">
        <x:f>K364</x:f>
        <x:v>3467.768255343854</x:v>
      </x:c>
      <x:c r="N364" s="141" t="n">
        <x:f>$C364+M364-L364</x:f>
        <x:v>9716.314400483066</x:v>
      </x:c>
      <x:c r="O364" s="141" t="n">
        <x:f>R363*(1+Premissas!$B$41)+N364</x:f>
        <x:v>20886175.292131465</x:v>
      </x:c>
      <x:c r="P364" s="141" t="n">
        <x:f>MAX(0,-O364)</x:f>
        <x:v>0</x:v>
      </x:c>
      <x:c r="Q364" s="141" t="n">
        <x:f>Q363*(1+Premissas!$B$41)+P364</x:f>
        <x:v>0</x:v>
      </x:c>
      <x:c r="R364" s="141" t="n">
        <x:f>MAX(0,O364)</x:f>
        <x:v>20886175.292131465</x:v>
      </x:c>
      <x:c r="S364" s="141" t="n">
        <x:f>IF(AND($A364&gt;=Premissas!$B$48,$A364-Premissas!$B$48+1&lt;=Premissas!$B$13),INDEX(Financiamento!$M$6:$M$485,$A364-Premissas!$B$48+1),0)</x:f>
        <x:v>22857.142857142884</x:v>
      </x:c>
      <x:c r="T364" s="141" t="n">
        <x:f>IF($A364&gt;=Premissas!$B$48,$F364,0)</x:f>
        <x:v>1143133.972170152</x:v>
      </x:c>
      <x:c r="U364" s="141" t="n">
        <x:f>R364+T364-S364</x:f>
        <x:v>22006452.121444475</x:v>
      </x:c>
      <x:c r="V364" s="141" t="n">
        <x:f>IF(Q364&gt;1,"Inviavel",U364)</x:f>
        <x:v>22006452.121444475</x:v>
      </x:c>
      <x:c r="W364" s="141" t="str">
        <x:f>IF(Q364&gt;1,"Inviavel","OK")</x:f>
        <x:v>OK</x:v>
      </x:c>
      <x:c r="X364" s="141" t="n">
        <x:f>IF($A364=Premissas!$B$48,Premissas!$B$8,0)</x:f>
        <x:v>0</x:v>
      </x:c>
      <x:c r="Y364" s="141" t="n">
        <x:f>IF(AND($A364&gt;=Premissas!$B$48,$A364-Premissas!$B$48+1&lt;=Premissas!$B$13),INDEX(Amortizacao!$K$6:$K$485,$A364-Premissas!$B$48+1),0)</x:f>
        <x:v>0</x:v>
      </x:c>
      <x:c r="Z364" s="141" t="n">
        <x:f>IF(AND(TRUE,Premissas!$B$11="Imovel",Premissas!$B$47="Moradia",$A364&lt;MAX(Premissas!$B$48,Premissas!$B$49)),$D364,0)</x:f>
        <x:v>0</x:v>
      </x:c>
      <x:c r="AA364" s="141" t="n">
        <x:f>IF(AND(TRUE,Premissas!$B$11="Imovel",Premissas!$B$47="Investimento",$A364&gt;=MAX(Premissas!$B$48,Premissas!$B$49)),$E364,0)</x:f>
        <x:v>3467.768255343854</x:v>
      </x:c>
      <x:c r="AB364" s="141" t="n">
        <x:f>X364+Y364+Z364</x:f>
        <x:v>0</x:v>
      </x:c>
      <x:c r="AC364" s="141" t="n">
        <x:f>AA364</x:f>
        <x:v>3467.768255343854</x:v>
      </x:c>
      <x:c r="AD364" s="141" t="n">
        <x:f>$C364+AC364-AB364</x:f>
        <x:v>10467.768255343854</x:v>
      </x:c>
      <x:c r="AE364" s="141" t="n">
        <x:f>AH363*(1+Premissas!$B$41)+AD364</x:f>
        <x:v>21214522.157241065</x:v>
      </x:c>
      <x:c r="AF364" s="141" t="n">
        <x:f>MAX(0,-AE364)</x:f>
        <x:v>0</x:v>
      </x:c>
      <x:c r="AG364" s="141" t="n">
        <x:f>AG363*(1+Premissas!$B$41)+AF364</x:f>
        <x:v>0</x:v>
      </x:c>
      <x:c r="AH364" s="141" t="n">
        <x:f>MAX(0,AE364)</x:f>
        <x:v>21214522.157241065</x:v>
      </x:c>
      <x:c r="AI364" s="141" t="n">
        <x:f>IF(AND($A364&gt;=Premissas!$B$48,$A364-Premissas!$B$48+1&lt;=Premissas!$B$13),INDEX(Amortizacao!$L$6:$L$485,$A364-Premissas!$B$48+1),0)</x:f>
        <x:v>0</x:v>
      </x:c>
      <x:c r="AJ364" s="141" t="n">
        <x:f>IF($A364&gt;=Premissas!$B$48,$F364,0)</x:f>
        <x:v>1143133.972170152</x:v>
      </x:c>
      <x:c r="AK364" s="141" t="n">
        <x:f>AH364+AJ364-AI364</x:f>
        <x:v>22357656.129411217</x:v>
      </x:c>
      <x:c r="AL364" s="141" t="n">
        <x:f>IF(AG364&gt;1,"Inviavel",AK364)</x:f>
        <x:v>22357656.129411217</x:v>
      </x:c>
      <x:c r="AM364" s="141" t="str">
        <x:f>IF(AG364&gt;1,"Inviavel","OK")</x:f>
        <x:v>OK</x:v>
      </x:c>
      <x:c r="AN364" s="141" t="n">
        <x:f>IF($A364=Premissas!$B$48,Premissas!$B$8,0)</x:f>
        <x:v>0</x:v>
      </x:c>
      <x:c r="AO364" s="141" t="n">
        <x:f>IF($A364&lt;=Premissas!$B$25,INDEX('Consorcio IQ'!$K$6:$K$485,$A364),0)</x:f>
        <x:v>0</x:v>
      </x:c>
      <x:c r="AP364" s="141" t="n">
        <x:f>IF(AND(TRUE,Premissas!$B$11="Imovel",Premissas!$B$47="Moradia",$A364&lt;MAX(Premissas!$B$48,Premissas!$B$49)),$D364,0)</x:f>
        <x:v>0</x:v>
      </x:c>
      <x:c r="AQ364" s="141" t="n">
        <x:f>IF(AND(TRUE,Premissas!$B$11="Imovel",Premissas!$B$47="Investimento",$A364&gt;=MAX(Premissas!$B$48,Premissas!$B$49)),$E364,0)</x:f>
        <x:v>3467.768255343854</x:v>
      </x:c>
      <x:c r="AR364" s="141" t="n">
        <x:f>AN364+AO364+AP364</x:f>
        <x:v>0</x:v>
      </x:c>
      <x:c r="AS364" s="141" t="n">
        <x:f>AQ364</x:f>
        <x:v>3467.768255343854</x:v>
      </x:c>
      <x:c r="AT364" s="141" t="n">
        <x:f>$C364+AS364-AR364</x:f>
        <x:v>10467.768255343854</x:v>
      </x:c>
      <x:c r="AU364" s="141" t="n">
        <x:f>AX363*(1+Premissas!$B$41)+AT364</x:f>
        <x:v>21043002.800157268</x:v>
      </x:c>
      <x:c r="AV364" s="141" t="n">
        <x:f>MAX(0,-AU364)</x:f>
        <x:v>0</x:v>
      </x:c>
      <x:c r="AW364" s="141" t="n">
        <x:f>AW363*(1+Premissas!$B$41)+AV364</x:f>
        <x:v>0</x:v>
      </x:c>
      <x:c r="AX364" s="141" t="n">
        <x:f>MAX(0,AU364)</x:f>
        <x:v>21043002.800157268</x:v>
      </x:c>
      <x:c r="AY364" s="141" t="n">
        <x:f>INDEX('Consorcio IQ'!$P$6:$P$485,$A364)</x:f>
        <x:v>0</x:v>
      </x:c>
      <x:c r="AZ364" s="141" t="n">
        <x:f>IF($A364&gt;=Premissas!$B$48,$F364,0)+IF($A364&lt;Premissas!$B$27,INDEX('Consorcio IQ'!$O$6:$O$485,$A364),0)</x:f>
        <x:v>1143133.972170152</x:v>
      </x:c>
      <x:c r="BA364" s="141" t="n">
        <x:f>AX364+AZ364-AY364</x:f>
        <x:v>22186136.77232742</x:v>
      </x:c>
      <x:c r="BB364" s="141" t="n">
        <x:f>IF(AW364&gt;1,"Inviavel",BA364)</x:f>
        <x:v>22186136.77232742</x:v>
      </x:c>
      <x:c r="BC364" s="141" t="str">
        <x:f>IF(AW364&gt;1,"Inviavel","OK")</x:f>
        <x:v>OK</x:v>
      </x:c>
      <x:c r="BD364" s="141" t="n">
        <x:f>IF($A364='Consorcio Direto'!$B$29,'Consorcio Direto'!$B$44,0)</x:f>
        <x:v>0</x:v>
      </x:c>
      <x:c r="BE364" s="141" t="n">
        <x:f>IF($A364&lt;='Consorcio Direto'!$B$27,INDEX('Consorcio Direto'!$E$55:$E$534,$A364),0)</x:f>
        <x:v>0</x:v>
      </x:c>
      <x:c r="BF364" s="141" t="n">
        <x:f>IF(AND(TRUE,Premissas!$B$11="Imovel",Premissas!$B$47="Moradia",$A364&lt;MAX('Consorcio Direto'!$B$29,Premissas!$B$49)),$D364,0)</x:f>
        <x:v>0</x:v>
      </x:c>
      <x:c r="BG364" s="141" t="n">
        <x:f>IF(AND(TRUE,Premissas!$B$11="Imovel",Premissas!$B$47="Investimento",$A364&gt;=MAX('Consorcio Direto'!$B$29,Premissas!$B$49)),$E364,0)</x:f>
        <x:v>3467.768255343854</x:v>
      </x:c>
      <x:c r="BH364" s="141" t="n">
        <x:f>BD364+BE364+BF364</x:f>
        <x:v>0</x:v>
      </x:c>
      <x:c r="BI364" s="141" t="n">
        <x:f>BG364</x:f>
        <x:v>3467.768255343854</x:v>
      </x:c>
      <x:c r="BJ364" s="141" t="n">
        <x:f>$C364+BI364-BH364</x:f>
        <x:v>10467.768255343854</x:v>
      </x:c>
      <x:c r="BK364" s="141" t="n">
        <x:f>BN363*(1+Premissas!$B$41)+BJ364</x:f>
        <x:v>20116045.41002542</x:v>
      </x:c>
      <x:c r="BL364" s="141" t="n">
        <x:f>MAX(0,-BK364)</x:f>
        <x:v>0</x:v>
      </x:c>
      <x:c r="BM364" s="141" t="n">
        <x:f>BM363*(1+Premissas!$B$41)+BL364</x:f>
        <x:v>0</x:v>
      </x:c>
      <x:c r="BN364" s="141" t="n">
        <x:f>MAX(0,BK364)</x:f>
        <x:v>20116045.41002542</x:v>
      </x:c>
      <x:c r="BO364" s="141" t="n">
        <x:f>INDEX('Consorcio Direto'!$K$55:$K$534,$A364)</x:f>
        <x:v>0</x:v>
      </x:c>
      <x:c r="BP364" s="141" t="n">
        <x:f>IF($A364&lt;'Consorcio Direto'!$B$29,INDEX('Consorcio Direto'!$L$55:$L$534,$A364),$F364)</x:f>
        <x:v>1143133.972170152</x:v>
      </x:c>
      <x:c r="BQ364" s="141" t="n">
        <x:f>BN364+BP364-BO364</x:f>
        <x:v>21259179.382195573</x:v>
      </x:c>
      <x:c r="BR364" s="141" t="n">
        <x:f>IF(BM364&gt;1,"Inviavel",BQ364)</x:f>
        <x:v>21259179.382195573</x:v>
      </x:c>
      <x:c r="BS364" s="141" t="str">
        <x:f>IF(BM364&gt;1,"Inviavel","OK")</x:f>
        <x:v>OK</x:v>
      </x:c>
      <x:c r="BT364" s="141" t="n">
        <x:f>IF(AND('Carta Contemplada'!$B$22="Sim",$A364='Carta Contemplada'!$B$23),'Carta Contemplada'!$B$37,0)</x:f>
        <x:v>0</x:v>
      </x:c>
      <x:c r="BU364" s="141" t="n">
        <x:f>IF('Carta Contemplada'!$B$22="Sim",INDEX('Carta Contemplada'!$C$55:$C$1013,$A364),0)</x:f>
        <x:v>0</x:v>
      </x:c>
      <x:c r="BV364" s="141" t="n">
        <x:f>IF(AND('Carta Contemplada'!$B$22="Sim",Premissas!$B$11="Imovel",Premissas!$B$47="Moradia",$A364&lt;MAX('Carta Contemplada'!$B$44,Premissas!$B$49)),$D364,0)</x:f>
        <x:v>0</x:v>
      </x:c>
      <x:c r="BW364" s="141" t="n">
        <x:f>IF(AND('Carta Contemplada'!$B$22="Sim",Premissas!$B$11="Imovel",Premissas!$B$47="Investimento",$A364&gt;=MAX('Carta Contemplada'!$B$44,Premissas!$B$49)),$E364,0)</x:f>
        <x:v>3467.768255343854</x:v>
      </x:c>
      <x:c r="BX364" s="141" t="n">
        <x:f>BT364+BU364+BV364</x:f>
        <x:v>0</x:v>
      </x:c>
      <x:c r="BY364" s="141" t="n">
        <x:f>BW364</x:f>
        <x:v>3467.768255343854</x:v>
      </x:c>
      <x:c r="BZ364" s="141" t="n">
        <x:f>$C364+BY364-BX364</x:f>
        <x:v>10467.768255343854</x:v>
      </x:c>
      <x:c r="CA364" s="141" t="n">
        <x:f>CD363*(1+Premissas!$B$41)+BZ364</x:f>
        <x:v>21647061.741601165</x:v>
      </x:c>
      <x:c r="CB364" s="141" t="n">
        <x:f>MAX(0,-CA364)</x:f>
        <x:v>0</x:v>
      </x:c>
      <x:c r="CC364" s="141" t="n">
        <x:f>CC363*(1+Premissas!$B$41)+CB364</x:f>
        <x:v>0</x:v>
      </x:c>
      <x:c r="CD364" s="141" t="n">
        <x:f>MAX(0,CA364)</x:f>
        <x:v>21647061.741601165</x:v>
      </x:c>
      <x:c r="CE364" s="141" t="n">
        <x:f>IF(AND('Carta Contemplada'!$B$22="Sim",$A364&gt;='Carta Contemplada'!$B$23),INDEX('Carta Contemplada'!$I$55:$I$1013,$A364),0)</x:f>
        <x:v>0</x:v>
      </x:c>
      <x:c r="CF364" s="141" t="n">
        <x:f>IF(AND('Carta Contemplada'!$B$22="Sim",$A364&gt;='Carta Contemplada'!$B$44),$F364,0)</x:f>
        <x:v>1143133.972170152</x:v>
      </x:c>
      <x:c r="CG364" s="141" t="n">
        <x:f>CD364+CF364-CE364</x:f>
        <x:v>22790195.713771317</x:v>
      </x:c>
      <x:c r="CH364" s="141" t="n">
        <x:f>IF(CC364&gt;1,"Inviavel",CG364)</x:f>
        <x:v>22790195.713771317</x:v>
      </x:c>
      <x:c r="CI364" s="145" t="str">
        <x:f>IF(CC364&gt;1,"Inviavel","OK")</x:f>
        <x:v>OK</x:v>
      </x:c>
    </x:row>
    <x:row r="365">
      <x:c r="A365" s="142" t="n">
        <x:v>361</x:v>
      </x:c>
      <x:c r="B365" s="179" t="n">
        <x:f>EDATE(Premissas!$B$4,A365-1)</x:f>
        <x:v>57497</x:v>
      </x:c>
      <x:c r="C365" s="141" t="n">
        <x:f>IF(A365&lt;=Premissas!$B$39,Premissas!$B$42,0)</x:f>
        <x:v>7000</x:v>
      </x:c>
      <x:c r="D365" s="141" t="n">
        <x:f>Premissas!$B$54*(1+Premissas!$B$57)^INT((A365-1)/12)</x:f>
        <x:v>4020.443821039281</x:v>
      </x:c>
      <x:c r="E365" s="141" t="n">
        <x:f>Premissas!$B$64*(1+Premissas!$B$57)^INT((A365-1)/12)</x:f>
        <x:v>3675.8343506644856</x:v>
      </x:c>
      <x:c r="F365" s="141" t="n">
        <x:f>MAX(0,Premissas!$B$6*(1+Premissas!$B$66)^((A365-1)/12))</x:f>
        <x:v>1148698.2345826516</x:v>
      </x:c>
      <x:c r="G365" s="141" t="n">
        <x:f>G364*(1+Premissas!$B$41)+C365</x:f>
        <x:v>24270205.45987227</x:v>
      </x:c>
      <x:c r="H365" s="141" t="n">
        <x:f>IF($A365=Premissas!$B$48,Premissas!$B$8,0)</x:f>
        <x:v>0</x:v>
      </x:c>
      <x:c r="I365" s="141" t="n">
        <x:f>IF(AND($A365&gt;=Premissas!$B$48,$A365-Premissas!$B$48+1&lt;=Premissas!$B$13),INDEX(Financiamento!$J$6:$J$485,$A365-Premissas!$B$48+1),0)</x:f>
        <x:v>747.8390765999941</x:v>
      </x:c>
      <x:c r="J365" s="141" t="n">
        <x:f>IF(AND(TRUE,Premissas!$B$11="Imovel",Premissas!$B$47="Moradia",$A365&lt;MAX(Premissas!$B$48,Premissas!$B$49)),$D365,0)</x:f>
        <x:v>0</x:v>
      </x:c>
      <x:c r="K365" s="141" t="n">
        <x:f>IF(AND(TRUE,Premissas!$B$11="Imovel",Premissas!$B$47="Investimento",$A365&gt;=MAX(Premissas!$B$48,Premissas!$B$49)),$E365,0)</x:f>
        <x:v>3675.8343506644856</x:v>
      </x:c>
      <x:c r="L365" s="141" t="n">
        <x:f>H365+I365+J365</x:f>
        <x:v>747.8390765999941</x:v>
      </x:c>
      <x:c r="M365" s="141" t="n">
        <x:f>K365</x:f>
        <x:v>3675.8343506644856</x:v>
      </x:c>
      <x:c r="N365" s="141" t="n">
        <x:f>$C365+M365-L365</x:f>
        <x:v>9927.995274064491</x:v>
      </x:c>
      <x:c r="O365" s="141" t="n">
        <x:f>R364*(1+Premissas!$B$41)+N365</x:f>
        <x:v>21094287.879947968</x:v>
      </x:c>
      <x:c r="P365" s="141" t="n">
        <x:f>MAX(0,-O365)</x:f>
        <x:v>0</x:v>
      </x:c>
      <x:c r="Q365" s="141" t="n">
        <x:f>Q364*(1+Premissas!$B$41)+P365</x:f>
        <x:v>0</x:v>
      </x:c>
      <x:c r="R365" s="141" t="n">
        <x:f>MAX(0,O365)</x:f>
        <x:v>21094287.879947968</x:v>
      </x:c>
      <x:c r="S365" s="141" t="n">
        <x:f>IF(AND($A365&gt;=Premissas!$B$48,$A365-Premissas!$B$48+1&lt;=Premissas!$B$13),INDEX(Financiamento!$M$6:$M$485,$A365-Premissas!$B$48+1),0)</x:f>
        <x:v>22476.190476190503</x:v>
      </x:c>
      <x:c r="T365" s="141" t="n">
        <x:f>IF($A365&gt;=Premissas!$B$48,$F365,0)</x:f>
        <x:v>1148698.2345826516</x:v>
      </x:c>
      <x:c r="U365" s="141" t="n">
        <x:f>R365+T365-S365</x:f>
        <x:v>22220509.92405443</x:v>
      </x:c>
      <x:c r="V365" s="141" t="n">
        <x:f>IF(Q365&gt;1,"Inviavel",U365)</x:f>
        <x:v>22220509.92405443</x:v>
      </x:c>
      <x:c r="W365" s="141" t="str">
        <x:f>IF(Q365&gt;1,"Inviavel","OK")</x:f>
        <x:v>OK</x:v>
      </x:c>
      <x:c r="X365" s="141" t="n">
        <x:f>IF($A365=Premissas!$B$48,Premissas!$B$8,0)</x:f>
        <x:v>0</x:v>
      </x:c>
      <x:c r="Y365" s="141" t="n">
        <x:f>IF(AND($A365&gt;=Premissas!$B$48,$A365-Premissas!$B$48+1&lt;=Premissas!$B$13),INDEX(Amortizacao!$K$6:$K$485,$A365-Premissas!$B$48+1),0)</x:f>
        <x:v>0</x:v>
      </x:c>
      <x:c r="Z365" s="141" t="n">
        <x:f>IF(AND(TRUE,Premissas!$B$11="Imovel",Premissas!$B$47="Moradia",$A365&lt;MAX(Premissas!$B$48,Premissas!$B$49)),$D365,0)</x:f>
        <x:v>0</x:v>
      </x:c>
      <x:c r="AA365" s="141" t="n">
        <x:f>IF(AND(TRUE,Premissas!$B$11="Imovel",Premissas!$B$47="Investimento",$A365&gt;=MAX(Premissas!$B$48,Premissas!$B$49)),$E365,0)</x:f>
        <x:v>3675.8343506644856</x:v>
      </x:c>
      <x:c r="AB365" s="141" t="n">
        <x:f>X365+Y365+Z365</x:f>
        <x:v>0</x:v>
      </x:c>
      <x:c r="AC365" s="141" t="n">
        <x:f>AA365</x:f>
        <x:v>3675.8343506644856</x:v>
      </x:c>
      <x:c r="AD365" s="141" t="n">
        <x:f>$C365+AC365-AB365</x:f>
        <x:v>10675.834350664485</x:v>
      </x:c>
      <x:c r="AE365" s="141" t="n">
        <x:f>AH364*(1+Premissas!$B$41)+AD365</x:f>
        <x:v>21426498.199547913</x:v>
      </x:c>
      <x:c r="AF365" s="141" t="n">
        <x:f>MAX(0,-AE365)</x:f>
        <x:v>0</x:v>
      </x:c>
      <x:c r="AG365" s="141" t="n">
        <x:f>AG364*(1+Premissas!$B$41)+AF365</x:f>
        <x:v>0</x:v>
      </x:c>
      <x:c r="AH365" s="141" t="n">
        <x:f>MAX(0,AE365)</x:f>
        <x:v>21426498.199547913</x:v>
      </x:c>
      <x:c r="AI365" s="141" t="n">
        <x:f>IF(AND($A365&gt;=Premissas!$B$48,$A365-Premissas!$B$48+1&lt;=Premissas!$B$13),INDEX(Amortizacao!$L$6:$L$485,$A365-Premissas!$B$48+1),0)</x:f>
        <x:v>0</x:v>
      </x:c>
      <x:c r="AJ365" s="141" t="n">
        <x:f>IF($A365&gt;=Premissas!$B$48,$F365,0)</x:f>
        <x:v>1148698.2345826516</x:v>
      </x:c>
      <x:c r="AK365" s="141" t="n">
        <x:f>AH365+AJ365-AI365</x:f>
        <x:v>22575196.434130564</x:v>
      </x:c>
      <x:c r="AL365" s="141" t="n">
        <x:f>IF(AG365&gt;1,"Inviavel",AK365)</x:f>
        <x:v>22575196.434130564</x:v>
      </x:c>
      <x:c r="AM365" s="141" t="str">
        <x:f>IF(AG365&gt;1,"Inviavel","OK")</x:f>
        <x:v>OK</x:v>
      </x:c>
      <x:c r="AN365" s="141" t="n">
        <x:f>IF($A365=Premissas!$B$48,Premissas!$B$8,0)</x:f>
        <x:v>0</x:v>
      </x:c>
      <x:c r="AO365" s="141" t="n">
        <x:f>IF($A365&lt;=Premissas!$B$25,INDEX('Consorcio IQ'!$K$6:$K$485,$A365),0)</x:f>
        <x:v>0</x:v>
      </x:c>
      <x:c r="AP365" s="141" t="n">
        <x:f>IF(AND(TRUE,Premissas!$B$11="Imovel",Premissas!$B$47="Moradia",$A365&lt;MAX(Premissas!$B$48,Premissas!$B$49)),$D365,0)</x:f>
        <x:v>0</x:v>
      </x:c>
      <x:c r="AQ365" s="141" t="n">
        <x:f>IF(AND(TRUE,Premissas!$B$11="Imovel",Premissas!$B$47="Investimento",$A365&gt;=MAX(Premissas!$B$48,Premissas!$B$49)),$E365,0)</x:f>
        <x:v>3675.8343506644856</x:v>
      </x:c>
      <x:c r="AR365" s="141" t="n">
        <x:f>AN365+AO365+AP365</x:f>
        <x:v>0</x:v>
      </x:c>
      <x:c r="AS365" s="141" t="n">
        <x:f>AQ365</x:f>
        <x:v>3675.8343506644856</x:v>
      </x:c>
      <x:c r="AT365" s="141" t="n">
        <x:f>$C365+AS365-AR365</x:f>
        <x:v>10675.834350664485</x:v>
      </x:c>
      <x:c r="AU365" s="141" t="n">
        <x:f>AX364*(1+Premissas!$B$41)+AT365</x:f>
        <x:v>21253351.330800474</x:v>
      </x:c>
      <x:c r="AV365" s="141" t="n">
        <x:f>MAX(0,-AU365)</x:f>
        <x:v>0</x:v>
      </x:c>
      <x:c r="AW365" s="141" t="n">
        <x:f>AW364*(1+Premissas!$B$41)+AV365</x:f>
        <x:v>0</x:v>
      </x:c>
      <x:c r="AX365" s="141" t="n">
        <x:f>MAX(0,AU365)</x:f>
        <x:v>21253351.330800474</x:v>
      </x:c>
      <x:c r="AY365" s="141" t="n">
        <x:f>INDEX('Consorcio IQ'!$P$6:$P$485,$A365)</x:f>
        <x:v>0</x:v>
      </x:c>
      <x:c r="AZ365" s="141" t="n">
        <x:f>IF($A365&gt;=Premissas!$B$48,$F365,0)+IF($A365&lt;Premissas!$B$27,INDEX('Consorcio IQ'!$O$6:$O$485,$A365),0)</x:f>
        <x:v>1148698.2345826516</x:v>
      </x:c>
      <x:c r="BA365" s="141" t="n">
        <x:f>AX365+AZ365-AY365</x:f>
        <x:v>22402049.565383125</x:v>
      </x:c>
      <x:c r="BB365" s="141" t="n">
        <x:f>IF(AW365&gt;1,"Inviavel",BA365)</x:f>
        <x:v>22402049.565383125</x:v>
      </x:c>
      <x:c r="BC365" s="141" t="str">
        <x:f>IF(AW365&gt;1,"Inviavel","OK")</x:f>
        <x:v>OK</x:v>
      </x:c>
      <x:c r="BD365" s="141" t="n">
        <x:f>IF($A365='Consorcio Direto'!$B$29,'Consorcio Direto'!$B$44,0)</x:f>
        <x:v>0</x:v>
      </x:c>
      <x:c r="BE365" s="141" t="n">
        <x:f>IF($A365&lt;='Consorcio Direto'!$B$27,INDEX('Consorcio Direto'!$E$55:$E$534,$A365),0)</x:f>
        <x:v>0</x:v>
      </x:c>
      <x:c r="BF365" s="141" t="n">
        <x:f>IF(AND(TRUE,Premissas!$B$11="Imovel",Premissas!$B$47="Moradia",$A365&lt;MAX('Consorcio Direto'!$B$29,Premissas!$B$49)),$D365,0)</x:f>
        <x:v>0</x:v>
      </x:c>
      <x:c r="BG365" s="141" t="n">
        <x:f>IF(AND(TRUE,Premissas!$B$11="Imovel",Premissas!$B$47="Investimento",$A365&gt;=MAX('Consorcio Direto'!$B$29,Premissas!$B$49)),$E365,0)</x:f>
        <x:v>3675.8343506644856</x:v>
      </x:c>
      <x:c r="BH365" s="141" t="n">
        <x:f>BD365+BE365+BF365</x:f>
        <x:v>0</x:v>
      </x:c>
      <x:c r="BI365" s="141" t="n">
        <x:f>BG365</x:f>
        <x:v>3675.8343506644856</x:v>
      </x:c>
      <x:c r="BJ365" s="141" t="n">
        <x:f>$C365+BI365-BH365</x:f>
        <x:v>10675.834350664485</x:v>
      </x:c>
      <x:c r="BK365" s="141" t="n">
        <x:f>BN364*(1+Premissas!$B$41)+BJ365</x:f>
        <x:v>20317598.23393449</x:v>
      </x:c>
      <x:c r="BL365" s="141" t="n">
        <x:f>MAX(0,-BK365)</x:f>
        <x:v>0</x:v>
      </x:c>
      <x:c r="BM365" s="141" t="n">
        <x:f>BM364*(1+Premissas!$B$41)+BL365</x:f>
        <x:v>0</x:v>
      </x:c>
      <x:c r="BN365" s="141" t="n">
        <x:f>MAX(0,BK365)</x:f>
        <x:v>20317598.23393449</x:v>
      </x:c>
      <x:c r="BO365" s="141" t="n">
        <x:f>INDEX('Consorcio Direto'!$K$55:$K$534,$A365)</x:f>
        <x:v>0</x:v>
      </x:c>
      <x:c r="BP365" s="141" t="n">
        <x:f>IF($A365&lt;'Consorcio Direto'!$B$29,INDEX('Consorcio Direto'!$L$55:$L$534,$A365),$F365)</x:f>
        <x:v>1148698.2345826516</x:v>
      </x:c>
      <x:c r="BQ365" s="141" t="n">
        <x:f>BN365+BP365-BO365</x:f>
        <x:v>21466296.46851714</x:v>
      </x:c>
      <x:c r="BR365" s="141" t="n">
        <x:f>IF(BM365&gt;1,"Inviavel",BQ365)</x:f>
        <x:v>21466296.46851714</x:v>
      </x:c>
      <x:c r="BS365" s="141" t="str">
        <x:f>IF(BM365&gt;1,"Inviavel","OK")</x:f>
        <x:v>OK</x:v>
      </x:c>
      <x:c r="BT365" s="141" t="n">
        <x:f>IF(AND('Carta Contemplada'!$B$22="Sim",$A365='Carta Contemplada'!$B$23),'Carta Contemplada'!$B$37,0)</x:f>
        <x:v>0</x:v>
      </x:c>
      <x:c r="BU365" s="141" t="n">
        <x:f>IF('Carta Contemplada'!$B$22="Sim",INDEX('Carta Contemplada'!$C$55:$C$1013,$A365),0)</x:f>
        <x:v>0</x:v>
      </x:c>
      <x:c r="BV365" s="141" t="n">
        <x:f>IF(AND('Carta Contemplada'!$B$22="Sim",Premissas!$B$11="Imovel",Premissas!$B$47="Moradia",$A365&lt;MAX('Carta Contemplada'!$B$44,Premissas!$B$49)),$D365,0)</x:f>
        <x:v>0</x:v>
      </x:c>
      <x:c r="BW365" s="141" t="n">
        <x:f>IF(AND('Carta Contemplada'!$B$22="Sim",Premissas!$B$11="Imovel",Premissas!$B$47="Investimento",$A365&gt;=MAX('Carta Contemplada'!$B$44,Premissas!$B$49)),$E365,0)</x:f>
        <x:v>3675.8343506644856</x:v>
      </x:c>
      <x:c r="BX365" s="141" t="n">
        <x:f>BT365+BU365+BV365</x:f>
        <x:v>0</x:v>
      </x:c>
      <x:c r="BY365" s="141" t="n">
        <x:f>BW365</x:f>
        <x:v>3675.8343506644856</x:v>
      </x:c>
      <x:c r="BZ365" s="141" t="n">
        <x:f>$C365+BY365-BX365</x:f>
        <x:v>10675.834350664485</x:v>
      </x:c>
      <x:c r="CA365" s="141" t="n">
        <x:f>CD364*(1+Premissas!$B$41)+BZ365</x:f>
        <x:v>21863142.062460016</x:v>
      </x:c>
      <x:c r="CB365" s="141" t="n">
        <x:f>MAX(0,-CA365)</x:f>
        <x:v>0</x:v>
      </x:c>
      <x:c r="CC365" s="141" t="n">
        <x:f>CC364*(1+Premissas!$B$41)+CB365</x:f>
        <x:v>0</x:v>
      </x:c>
      <x:c r="CD365" s="141" t="n">
        <x:f>MAX(0,CA365)</x:f>
        <x:v>21863142.062460016</x:v>
      </x:c>
      <x:c r="CE365" s="141" t="n">
        <x:f>IF(AND('Carta Contemplada'!$B$22="Sim",$A365&gt;='Carta Contemplada'!$B$23),INDEX('Carta Contemplada'!$I$55:$I$1013,$A365),0)</x:f>
        <x:v>0</x:v>
      </x:c>
      <x:c r="CF365" s="141" t="n">
        <x:f>IF(AND('Carta Contemplada'!$B$22="Sim",$A365&gt;='Carta Contemplada'!$B$44),$F365,0)</x:f>
        <x:v>1148698.2345826516</x:v>
      </x:c>
      <x:c r="CG365" s="141" t="n">
        <x:f>CD365+CF365-CE365</x:f>
        <x:v>23011840.297042668</x:v>
      </x:c>
      <x:c r="CH365" s="141" t="n">
        <x:f>IF(CC365&gt;1,"Inviavel",CG365)</x:f>
        <x:v>23011840.297042668</x:v>
      </x:c>
      <x:c r="CI365" s="145" t="str">
        <x:f>IF(CC365&gt;1,"Inviavel","OK")</x:f>
        <x:v>OK</x:v>
      </x:c>
    </x:row>
    <x:row r="366">
      <x:c r="A366" s="142" t="n">
        <x:v>362</x:v>
      </x:c>
      <x:c r="B366" s="179" t="n">
        <x:f>EDATE(Premissas!$B$4,A366-1)</x:f>
        <x:v>57527</x:v>
      </x:c>
      <x:c r="C366" s="141" t="n">
        <x:f>IF(A366&lt;=Premissas!$B$39,Premissas!$B$42,0)</x:f>
        <x:v>7000</x:v>
      </x:c>
      <x:c r="D366" s="141" t="n">
        <x:f>Premissas!$B$54*(1+Premissas!$B$57)^INT((A366-1)/12)</x:f>
        <x:v>4020.443821039281</x:v>
      </x:c>
      <x:c r="E366" s="141" t="n">
        <x:f>Premissas!$B$64*(1+Premissas!$B$57)^INT((A366-1)/12)</x:f>
        <x:v>3675.8343506644856</x:v>
      </x:c>
      <x:c r="F366" s="141" t="n">
        <x:f>MAX(0,Premissas!$B$6*(1+Premissas!$B$66)^((A366-1)/12))</x:f>
        <x:v>1154289.581323803</x:v>
      </x:c>
      <x:c r="G366" s="141" t="n">
        <x:f>G365*(1+Premissas!$B$41)+C366</x:f>
        <x:v>24507500.413960785</x:v>
      </x:c>
      <x:c r="H366" s="141" t="n">
        <x:f>IF($A366=Premissas!$B$48,Premissas!$B$8,0)</x:f>
        <x:v>0</x:v>
      </x:c>
      <x:c r="I366" s="141" t="n">
        <x:f>IF(AND($A366&gt;=Premissas!$B$48,$A366-Premissas!$B$48+1&lt;=Premissas!$B$13),INDEX(Financiamento!$J$6:$J$485,$A366-Premissas!$B$48+1),0)</x:f>
        <x:v>744.2242983392006</x:v>
      </x:c>
      <x:c r="J366" s="141" t="n">
        <x:f>IF(AND(TRUE,Premissas!$B$11="Imovel",Premissas!$B$47="Moradia",$A366&lt;MAX(Premissas!$B$48,Premissas!$B$49)),$D366,0)</x:f>
        <x:v>0</x:v>
      </x:c>
      <x:c r="K366" s="141" t="n">
        <x:f>IF(AND(TRUE,Premissas!$B$11="Imovel",Premissas!$B$47="Investimento",$A366&gt;=MAX(Premissas!$B$48,Premissas!$B$49)),$E366,0)</x:f>
        <x:v>3675.8343506644856</x:v>
      </x:c>
      <x:c r="L366" s="141" t="n">
        <x:f>H366+I366+J366</x:f>
        <x:v>744.2242983392006</x:v>
      </x:c>
      <x:c r="M366" s="141" t="n">
        <x:f>K366</x:f>
        <x:v>3675.8343506644856</x:v>
      </x:c>
      <x:c r="N366" s="141" t="n">
        <x:f>$C366+M366-L366</x:f>
        <x:v>9931.610052325284</x:v>
      </x:c>
      <x:c r="O366" s="141" t="n">
        <x:f>R365*(1+Premissas!$B$41)+N366</x:f>
        <x:v>21304378.819795605</x:v>
      </x:c>
      <x:c r="P366" s="141" t="n">
        <x:f>MAX(0,-O366)</x:f>
        <x:v>0</x:v>
      </x:c>
      <x:c r="Q366" s="141" t="n">
        <x:f>Q365*(1+Premissas!$B$41)+P366</x:f>
        <x:v>0</x:v>
      </x:c>
      <x:c r="R366" s="141" t="n">
        <x:f>MAX(0,O366)</x:f>
        <x:v>21304378.819795605</x:v>
      </x:c>
      <x:c r="S366" s="141" t="n">
        <x:f>IF(AND($A366&gt;=Premissas!$B$48,$A366-Premissas!$B$48+1&lt;=Premissas!$B$13),INDEX(Financiamento!$M$6:$M$485,$A366-Premissas!$B$48+1),0)</x:f>
        <x:v>22095.23809523812</x:v>
      </x:c>
      <x:c r="T366" s="141" t="n">
        <x:f>IF($A366&gt;=Premissas!$B$48,$F366,0)</x:f>
        <x:v>1154289.581323803</x:v>
      </x:c>
      <x:c r="U366" s="141" t="n">
        <x:f>R366+T366-S366</x:f>
        <x:v>22436573.16302417</x:v>
      </x:c>
      <x:c r="V366" s="141" t="n">
        <x:f>IF(Q366&gt;1,"Inviavel",U366)</x:f>
        <x:v>22436573.16302417</x:v>
      </x:c>
      <x:c r="W366" s="141" t="str">
        <x:f>IF(Q366&gt;1,"Inviavel","OK")</x:f>
        <x:v>OK</x:v>
      </x:c>
      <x:c r="X366" s="141" t="n">
        <x:f>IF($A366=Premissas!$B$48,Premissas!$B$8,0)</x:f>
        <x:v>0</x:v>
      </x:c>
      <x:c r="Y366" s="141" t="n">
        <x:f>IF(AND($A366&gt;=Premissas!$B$48,$A366-Premissas!$B$48+1&lt;=Premissas!$B$13),INDEX(Amortizacao!$K$6:$K$485,$A366-Premissas!$B$48+1),0)</x:f>
        <x:v>0</x:v>
      </x:c>
      <x:c r="Z366" s="141" t="n">
        <x:f>IF(AND(TRUE,Premissas!$B$11="Imovel",Premissas!$B$47="Moradia",$A366&lt;MAX(Premissas!$B$48,Premissas!$B$49)),$D366,0)</x:f>
        <x:v>0</x:v>
      </x:c>
      <x:c r="AA366" s="141" t="n">
        <x:f>IF(AND(TRUE,Premissas!$B$11="Imovel",Premissas!$B$47="Investimento",$A366&gt;=MAX(Premissas!$B$48,Premissas!$B$49)),$E366,0)</x:f>
        <x:v>3675.8343506644856</x:v>
      </x:c>
      <x:c r="AB366" s="141" t="n">
        <x:f>X366+Y366+Z366</x:f>
        <x:v>0</x:v>
      </x:c>
      <x:c r="AC366" s="141" t="n">
        <x:f>AA366</x:f>
        <x:v>3675.8343506644856</x:v>
      </x:c>
      <x:c r="AD366" s="141" t="n">
        <x:f>$C366+AC366-AB366</x:f>
        <x:v>10675.834350664485</x:v>
      </x:c>
      <x:c r="AE366" s="141" t="n">
        <x:f>AH365*(1+Premissas!$B$41)+AD366</x:f>
        <x:v>21640485.638627302</x:v>
      </x:c>
      <x:c r="AF366" s="141" t="n">
        <x:f>MAX(0,-AE366)</x:f>
        <x:v>0</x:v>
      </x:c>
      <x:c r="AG366" s="141" t="n">
        <x:f>AG365*(1+Premissas!$B$41)+AF366</x:f>
        <x:v>0</x:v>
      </x:c>
      <x:c r="AH366" s="141" t="n">
        <x:f>MAX(0,AE366)</x:f>
        <x:v>21640485.638627302</x:v>
      </x:c>
      <x:c r="AI366" s="141" t="n">
        <x:f>IF(AND($A366&gt;=Premissas!$B$48,$A366-Premissas!$B$48+1&lt;=Premissas!$B$13),INDEX(Amortizacao!$L$6:$L$485,$A366-Premissas!$B$48+1),0)</x:f>
        <x:v>0</x:v>
      </x:c>
      <x:c r="AJ366" s="141" t="n">
        <x:f>IF($A366&gt;=Premissas!$B$48,$F366,0)</x:f>
        <x:v>1154289.581323803</x:v>
      </x:c>
      <x:c r="AK366" s="141" t="n">
        <x:f>AH366+AJ366-AI366</x:f>
        <x:v>22794775.219951104</x:v>
      </x:c>
      <x:c r="AL366" s="141" t="n">
        <x:f>IF(AG366&gt;1,"Inviavel",AK366)</x:f>
        <x:v>22794775.219951104</x:v>
      </x:c>
      <x:c r="AM366" s="141" t="str">
        <x:f>IF(AG366&gt;1,"Inviavel","OK")</x:f>
        <x:v>OK</x:v>
      </x:c>
      <x:c r="AN366" s="141" t="n">
        <x:f>IF($A366=Premissas!$B$48,Premissas!$B$8,0)</x:f>
        <x:v>0</x:v>
      </x:c>
      <x:c r="AO366" s="141" t="n">
        <x:f>IF($A366&lt;=Premissas!$B$25,INDEX('Consorcio IQ'!$K$6:$K$485,$A366),0)</x:f>
        <x:v>0</x:v>
      </x:c>
      <x:c r="AP366" s="141" t="n">
        <x:f>IF(AND(TRUE,Premissas!$B$11="Imovel",Premissas!$B$47="Moradia",$A366&lt;MAX(Premissas!$B$48,Premissas!$B$49)),$D366,0)</x:f>
        <x:v>0</x:v>
      </x:c>
      <x:c r="AQ366" s="141" t="n">
        <x:f>IF(AND(TRUE,Premissas!$B$11="Imovel",Premissas!$B$47="Investimento",$A366&gt;=MAX(Premissas!$B$48,Premissas!$B$49)),$E366,0)</x:f>
        <x:v>3675.8343506644856</x:v>
      </x:c>
      <x:c r="AR366" s="141" t="n">
        <x:f>AN366+AO366+AP366</x:f>
        <x:v>0</x:v>
      </x:c>
      <x:c r="AS366" s="141" t="n">
        <x:f>AQ366</x:f>
        <x:v>3675.8343506644856</x:v>
      </x:c>
      <x:c r="AT366" s="141" t="n">
        <x:f>$C366+AS366-AR366</x:f>
        <x:v>10675.834350664485</x:v>
      </x:c>
      <x:c r="AU366" s="141" t="n">
        <x:f>AX365*(1+Premissas!$B$41)+AT366</x:f>
        <x:v>21465695.81509505</x:v>
      </x:c>
      <x:c r="AV366" s="141" t="n">
        <x:f>MAX(0,-AU366)</x:f>
        <x:v>0</x:v>
      </x:c>
      <x:c r="AW366" s="141" t="n">
        <x:f>AW365*(1+Premissas!$B$41)+AV366</x:f>
        <x:v>0</x:v>
      </x:c>
      <x:c r="AX366" s="141" t="n">
        <x:f>MAX(0,AU366)</x:f>
        <x:v>21465695.81509505</x:v>
      </x:c>
      <x:c r="AY366" s="141" t="n">
        <x:f>INDEX('Consorcio IQ'!$P$6:$P$485,$A366)</x:f>
        <x:v>0</x:v>
      </x:c>
      <x:c r="AZ366" s="141" t="n">
        <x:f>IF($A366&gt;=Premissas!$B$48,$F366,0)+IF($A366&lt;Premissas!$B$27,INDEX('Consorcio IQ'!$O$6:$O$485,$A366),0)</x:f>
        <x:v>1154289.581323803</x:v>
      </x:c>
      <x:c r="BA366" s="141" t="n">
        <x:f>AX366+AZ366-AY366</x:f>
        <x:v>22619985.39641885</x:v>
      </x:c>
      <x:c r="BB366" s="141" t="n">
        <x:f>IF(AW366&gt;1,"Inviavel",BA366)</x:f>
        <x:v>22619985.39641885</x:v>
      </x:c>
      <x:c r="BC366" s="141" t="str">
        <x:f>IF(AW366&gt;1,"Inviavel","OK")</x:f>
        <x:v>OK</x:v>
      </x:c>
      <x:c r="BD366" s="141" t="n">
        <x:f>IF($A366='Consorcio Direto'!$B$29,'Consorcio Direto'!$B$44,0)</x:f>
        <x:v>0</x:v>
      </x:c>
      <x:c r="BE366" s="141" t="n">
        <x:f>IF($A366&lt;='Consorcio Direto'!$B$27,INDEX('Consorcio Direto'!$E$55:$E$534,$A366),0)</x:f>
        <x:v>0</x:v>
      </x:c>
      <x:c r="BF366" s="141" t="n">
        <x:f>IF(AND(TRUE,Premissas!$B$11="Imovel",Premissas!$B$47="Moradia",$A366&lt;MAX('Consorcio Direto'!$B$29,Premissas!$B$49)),$D366,0)</x:f>
        <x:v>0</x:v>
      </x:c>
      <x:c r="BG366" s="141" t="n">
        <x:f>IF(AND(TRUE,Premissas!$B$11="Imovel",Premissas!$B$47="Investimento",$A366&gt;=MAX('Consorcio Direto'!$B$29,Premissas!$B$49)),$E366,0)</x:f>
        <x:v>3675.8343506644856</x:v>
      </x:c>
      <x:c r="BH366" s="141" t="n">
        <x:f>BD366+BE366+BF366</x:f>
        <x:v>0</x:v>
      </x:c>
      <x:c r="BI366" s="141" t="n">
        <x:f>BG366</x:f>
        <x:v>3675.8343506644856</x:v>
      </x:c>
      <x:c r="BJ366" s="141" t="n">
        <x:f>$C366+BI366-BH366</x:f>
        <x:v>10675.834350664485</x:v>
      </x:c>
      <x:c r="BK366" s="141" t="n">
        <x:f>BN365*(1+Premissas!$B$41)+BJ366</x:f>
        <x:v>20521063.550855007</x:v>
      </x:c>
      <x:c r="BL366" s="141" t="n">
        <x:f>MAX(0,-BK366)</x:f>
        <x:v>0</x:v>
      </x:c>
      <x:c r="BM366" s="141" t="n">
        <x:f>BM365*(1+Premissas!$B$41)+BL366</x:f>
        <x:v>0</x:v>
      </x:c>
      <x:c r="BN366" s="141" t="n">
        <x:f>MAX(0,BK366)</x:f>
        <x:v>20521063.550855007</x:v>
      </x:c>
      <x:c r="BO366" s="141" t="n">
        <x:f>INDEX('Consorcio Direto'!$K$55:$K$534,$A366)</x:f>
        <x:v>0</x:v>
      </x:c>
      <x:c r="BP366" s="141" t="n">
        <x:f>IF($A366&lt;'Consorcio Direto'!$B$29,INDEX('Consorcio Direto'!$L$55:$L$534,$A366),$F366)</x:f>
        <x:v>1154289.581323803</x:v>
      </x:c>
      <x:c r="BQ366" s="141" t="n">
        <x:f>BN366+BP366-BO366</x:f>
        <x:v>21675353.13217881</x:v>
      </x:c>
      <x:c r="BR366" s="141" t="n">
        <x:f>IF(BM366&gt;1,"Inviavel",BQ366)</x:f>
        <x:v>21675353.13217881</x:v>
      </x:c>
      <x:c r="BS366" s="141" t="str">
        <x:f>IF(BM366&gt;1,"Inviavel","OK")</x:f>
        <x:v>OK</x:v>
      </x:c>
      <x:c r="BT366" s="141" t="n">
        <x:f>IF(AND('Carta Contemplada'!$B$22="Sim",$A366='Carta Contemplada'!$B$23),'Carta Contemplada'!$B$37,0)</x:f>
        <x:v>0</x:v>
      </x:c>
      <x:c r="BU366" s="141" t="n">
        <x:f>IF('Carta Contemplada'!$B$22="Sim",INDEX('Carta Contemplada'!$C$55:$C$1013,$A366),0)</x:f>
        <x:v>0</x:v>
      </x:c>
      <x:c r="BV366" s="141" t="n">
        <x:f>IF(AND('Carta Contemplada'!$B$22="Sim",Premissas!$B$11="Imovel",Premissas!$B$47="Moradia",$A366&lt;MAX('Carta Contemplada'!$B$44,Premissas!$B$49)),$D366,0)</x:f>
        <x:v>0</x:v>
      </x:c>
      <x:c r="BW366" s="141" t="n">
        <x:f>IF(AND('Carta Contemplada'!$B$22="Sim",Premissas!$B$11="Imovel",Premissas!$B$47="Investimento",$A366&gt;=MAX('Carta Contemplada'!$B$44,Premissas!$B$49)),$E366,0)</x:f>
        <x:v>3675.8343506644856</x:v>
      </x:c>
      <x:c r="BX366" s="141" t="n">
        <x:f>BT366+BU366+BV366</x:f>
        <x:v>0</x:v>
      </x:c>
      <x:c r="BY366" s="141" t="n">
        <x:f>BW366</x:f>
        <x:v>3675.8343506644856</x:v>
      </x:c>
      <x:c r="BZ366" s="141" t="n">
        <x:f>$C366+BY366-BX366</x:f>
        <x:v>10675.834350664485</x:v>
      </x:c>
      <x:c r="CA366" s="141" t="n">
        <x:f>CD365*(1+Premissas!$B$41)+BZ366</x:f>
        <x:v>22081272.724740736</x:v>
      </x:c>
      <x:c r="CB366" s="141" t="n">
        <x:f>MAX(0,-CA366)</x:f>
        <x:v>0</x:v>
      </x:c>
      <x:c r="CC366" s="141" t="n">
        <x:f>CC365*(1+Premissas!$B$41)+CB366</x:f>
        <x:v>0</x:v>
      </x:c>
      <x:c r="CD366" s="141" t="n">
        <x:f>MAX(0,CA366)</x:f>
        <x:v>22081272.724740736</x:v>
      </x:c>
      <x:c r="CE366" s="141" t="n">
        <x:f>IF(AND('Carta Contemplada'!$B$22="Sim",$A366&gt;='Carta Contemplada'!$B$23),INDEX('Carta Contemplada'!$I$55:$I$1013,$A366),0)</x:f>
        <x:v>0</x:v>
      </x:c>
      <x:c r="CF366" s="141" t="n">
        <x:f>IF(AND('Carta Contemplada'!$B$22="Sim",$A366&gt;='Carta Contemplada'!$B$44),$F366,0)</x:f>
        <x:v>1154289.581323803</x:v>
      </x:c>
      <x:c r="CG366" s="141" t="n">
        <x:f>CD366+CF366-CE366</x:f>
        <x:v>23235562.30606454</x:v>
      </x:c>
      <x:c r="CH366" s="141" t="n">
        <x:f>IF(CC366&gt;1,"Inviavel",CG366)</x:f>
        <x:v>23235562.30606454</x:v>
      </x:c>
      <x:c r="CI366" s="145" t="str">
        <x:f>IF(CC366&gt;1,"Inviavel","OK")</x:f>
        <x:v>OK</x:v>
      </x:c>
    </x:row>
    <x:row r="367">
      <x:c r="A367" s="142" t="n">
        <x:v>363</x:v>
      </x:c>
      <x:c r="B367" s="179" t="n">
        <x:f>EDATE(Premissas!$B$4,A367-1)</x:f>
        <x:v>57558</x:v>
      </x:c>
      <x:c r="C367" s="141" t="n">
        <x:f>IF(A367&lt;=Premissas!$B$39,Premissas!$B$42,0)</x:f>
        <x:v>7000</x:v>
      </x:c>
      <x:c r="D367" s="141" t="n">
        <x:f>Premissas!$B$54*(1+Premissas!$B$57)^INT((A367-1)/12)</x:f>
        <x:v>4020.443821039281</x:v>
      </x:c>
      <x:c r="E367" s="141" t="n">
        <x:f>Premissas!$B$64*(1+Premissas!$B$57)^INT((A367-1)/12)</x:f>
        <x:v>3675.8343506644856</x:v>
      </x:c>
      <x:c r="F367" s="141" t="n">
        <x:f>MAX(0,Premissas!$B$6*(1+Premissas!$B$66)^((A367-1)/12))</x:f>
        <x:v>1159908.1442279455</x:v>
      </x:c>
      <x:c r="G367" s="141" t="n">
        <x:f>G366*(1+Premissas!$B$41)+C367</x:f>
        <x:v>24747047.010733068</x:v>
      </x:c>
      <x:c r="H367" s="141" t="n">
        <x:f>IF($A367=Premissas!$B$48,Premissas!$B$8,0)</x:f>
        <x:v>0</x:v>
      </x:c>
      <x:c r="I367" s="141" t="n">
        <x:f>IF(AND($A367&gt;=Premissas!$B$48,$A367-Premissas!$B$48+1&lt;=Premissas!$B$13),INDEX(Financiamento!$J$6:$J$485,$A367-Premissas!$B$48+1),0)</x:f>
        <x:v>740.6095200784071</x:v>
      </x:c>
      <x:c r="J367" s="141" t="n">
        <x:f>IF(AND(TRUE,Premissas!$B$11="Imovel",Premissas!$B$47="Moradia",$A367&lt;MAX(Premissas!$B$48,Premissas!$B$49)),$D367,0)</x:f>
        <x:v>0</x:v>
      </x:c>
      <x:c r="K367" s="141" t="n">
        <x:f>IF(AND(TRUE,Premissas!$B$11="Imovel",Premissas!$B$47="Investimento",$A367&gt;=MAX(Premissas!$B$48,Premissas!$B$49)),$E367,0)</x:f>
        <x:v>3675.8343506644856</x:v>
      </x:c>
      <x:c r="L367" s="141" t="n">
        <x:f>H367+I367+J367</x:f>
        <x:v>740.6095200784071</x:v>
      </x:c>
      <x:c r="M367" s="141" t="n">
        <x:f>K367</x:f>
        <x:v>3675.8343506644856</x:v>
      </x:c>
      <x:c r="N367" s="141" t="n">
        <x:f>$C367+M367-L367</x:f>
        <x:v>9935.224830586078</x:v>
      </x:c>
      <x:c r="O367" s="141" t="n">
        <x:f>R366*(1+Premissas!$B$41)+N367</x:f>
        <x:v>21516466.883847147</x:v>
      </x:c>
      <x:c r="P367" s="141" t="n">
        <x:f>MAX(0,-O367)</x:f>
        <x:v>0</x:v>
      </x:c>
      <x:c r="Q367" s="141" t="n">
        <x:f>Q366*(1+Premissas!$B$41)+P367</x:f>
        <x:v>0</x:v>
      </x:c>
      <x:c r="R367" s="141" t="n">
        <x:f>MAX(0,O367)</x:f>
        <x:v>21516466.883847147</x:v>
      </x:c>
      <x:c r="S367" s="141" t="n">
        <x:f>IF(AND($A367&gt;=Premissas!$B$48,$A367-Premissas!$B$48+1&lt;=Premissas!$B$13),INDEX(Financiamento!$M$6:$M$485,$A367-Premissas!$B$48+1),0)</x:f>
        <x:v>21714.28571428574</x:v>
      </x:c>
      <x:c r="T367" s="141" t="n">
        <x:f>IF($A367&gt;=Premissas!$B$48,$F367,0)</x:f>
        <x:v>1159908.1442279455</x:v>
      </x:c>
      <x:c r="U367" s="141" t="n">
        <x:f>R367+T367-S367</x:f>
        <x:v>22654660.742360804</x:v>
      </x:c>
      <x:c r="V367" s="141" t="n">
        <x:f>IF(Q367&gt;1,"Inviavel",U367)</x:f>
        <x:v>22654660.742360804</x:v>
      </x:c>
      <x:c r="W367" s="141" t="str">
        <x:f>IF(Q367&gt;1,"Inviavel","OK")</x:f>
        <x:v>OK</x:v>
      </x:c>
      <x:c r="X367" s="141" t="n">
        <x:f>IF($A367=Premissas!$B$48,Premissas!$B$8,0)</x:f>
        <x:v>0</x:v>
      </x:c>
      <x:c r="Y367" s="141" t="n">
        <x:f>IF(AND($A367&gt;=Premissas!$B$48,$A367-Premissas!$B$48+1&lt;=Premissas!$B$13),INDEX(Amortizacao!$K$6:$K$485,$A367-Premissas!$B$48+1),0)</x:f>
        <x:v>0</x:v>
      </x:c>
      <x:c r="Z367" s="141" t="n">
        <x:f>IF(AND(TRUE,Premissas!$B$11="Imovel",Premissas!$B$47="Moradia",$A367&lt;MAX(Premissas!$B$48,Premissas!$B$49)),$D367,0)</x:f>
        <x:v>0</x:v>
      </x:c>
      <x:c r="AA367" s="141" t="n">
        <x:f>IF(AND(TRUE,Premissas!$B$11="Imovel",Premissas!$B$47="Investimento",$A367&gt;=MAX(Premissas!$B$48,Premissas!$B$49)),$E367,0)</x:f>
        <x:v>3675.8343506644856</x:v>
      </x:c>
      <x:c r="AB367" s="141" t="n">
        <x:f>X367+Y367+Z367</x:f>
        <x:v>0</x:v>
      </x:c>
      <x:c r="AC367" s="141" t="n">
        <x:f>AA367</x:f>
        <x:v>3675.8343506644856</x:v>
      </x:c>
      <x:c r="AD367" s="141" t="n">
        <x:f>$C367+AC367-AB367</x:f>
        <x:v>10675.834350664485</x:v>
      </x:c>
      <x:c r="AE367" s="141" t="n">
        <x:f>AH366*(1+Premissas!$B$41)+AD367</x:f>
        <x:v>21856503.56020672</x:v>
      </x:c>
      <x:c r="AF367" s="141" t="n">
        <x:f>MAX(0,-AE367)</x:f>
        <x:v>0</x:v>
      </x:c>
      <x:c r="AG367" s="141" t="n">
        <x:f>AG366*(1+Premissas!$B$41)+AF367</x:f>
        <x:v>0</x:v>
      </x:c>
      <x:c r="AH367" s="141" t="n">
        <x:f>MAX(0,AE367)</x:f>
        <x:v>21856503.56020672</x:v>
      </x:c>
      <x:c r="AI367" s="141" t="n">
        <x:f>IF(AND($A367&gt;=Premissas!$B$48,$A367-Premissas!$B$48+1&lt;=Premissas!$B$13),INDEX(Amortizacao!$L$6:$L$485,$A367-Premissas!$B$48+1),0)</x:f>
        <x:v>0</x:v>
      </x:c>
      <x:c r="AJ367" s="141" t="n">
        <x:f>IF($A367&gt;=Premissas!$B$48,$F367,0)</x:f>
        <x:v>1159908.1442279455</x:v>
      </x:c>
      <x:c r="AK367" s="141" t="n">
        <x:f>AH367+AJ367-AI367</x:f>
        <x:v>23016411.704434663</x:v>
      </x:c>
      <x:c r="AL367" s="141" t="n">
        <x:f>IF(AG367&gt;1,"Inviavel",AK367)</x:f>
        <x:v>23016411.704434663</x:v>
      </x:c>
      <x:c r="AM367" s="141" t="str">
        <x:f>IF(AG367&gt;1,"Inviavel","OK")</x:f>
        <x:v>OK</x:v>
      </x:c>
      <x:c r="AN367" s="141" t="n">
        <x:f>IF($A367=Premissas!$B$48,Premissas!$B$8,0)</x:f>
        <x:v>0</x:v>
      </x:c>
      <x:c r="AO367" s="141" t="n">
        <x:f>IF($A367&lt;=Premissas!$B$25,INDEX('Consorcio IQ'!$K$6:$K$485,$A367),0)</x:f>
        <x:v>0</x:v>
      </x:c>
      <x:c r="AP367" s="141" t="n">
        <x:f>IF(AND(TRUE,Premissas!$B$11="Imovel",Premissas!$B$47="Moradia",$A367&lt;MAX(Premissas!$B$48,Premissas!$B$49)),$D367,0)</x:f>
        <x:v>0</x:v>
      </x:c>
      <x:c r="AQ367" s="141" t="n">
        <x:f>IF(AND(TRUE,Premissas!$B$11="Imovel",Premissas!$B$47="Investimento",$A367&gt;=MAX(Premissas!$B$48,Premissas!$B$49)),$E367,0)</x:f>
        <x:v>3675.8343506644856</x:v>
      </x:c>
      <x:c r="AR367" s="141" t="n">
        <x:f>AN367+AO367+AP367</x:f>
        <x:v>0</x:v>
      </x:c>
      <x:c r="AS367" s="141" t="n">
        <x:f>AQ367</x:f>
        <x:v>3675.8343506644856</x:v>
      </x:c>
      <x:c r="AT367" s="141" t="n">
        <x:f>$C367+AS367-AR367</x:f>
        <x:v>10675.834350664485</x:v>
      </x:c>
      <x:c r="AU367" s="141" t="n">
        <x:f>AX366*(1+Premissas!$B$41)+AT367</x:f>
        <x:v>21680055.192231894</x:v>
      </x:c>
      <x:c r="AV367" s="141" t="n">
        <x:f>MAX(0,-AU367)</x:f>
        <x:v>0</x:v>
      </x:c>
      <x:c r="AW367" s="141" t="n">
        <x:f>AW366*(1+Premissas!$B$41)+AV367</x:f>
        <x:v>0</x:v>
      </x:c>
      <x:c r="AX367" s="141" t="n">
        <x:f>MAX(0,AU367)</x:f>
        <x:v>21680055.192231894</x:v>
      </x:c>
      <x:c r="AY367" s="141" t="n">
        <x:f>INDEX('Consorcio IQ'!$P$6:$P$485,$A367)</x:f>
        <x:v>0</x:v>
      </x:c>
      <x:c r="AZ367" s="141" t="n">
        <x:f>IF($A367&gt;=Premissas!$B$48,$F367,0)+IF($A367&lt;Premissas!$B$27,INDEX('Consorcio IQ'!$O$6:$O$485,$A367),0)</x:f>
        <x:v>1159908.1442279455</x:v>
      </x:c>
      <x:c r="BA367" s="141" t="n">
        <x:f>AX367+AZ367-AY367</x:f>
        <x:v>22839963.336459838</x:v>
      </x:c>
      <x:c r="BB367" s="141" t="n">
        <x:f>IF(AW367&gt;1,"Inviavel",BA367)</x:f>
        <x:v>22839963.336459838</x:v>
      </x:c>
      <x:c r="BC367" s="141" t="str">
        <x:f>IF(AW367&gt;1,"Inviavel","OK")</x:f>
        <x:v>OK</x:v>
      </x:c>
      <x:c r="BD367" s="141" t="n">
        <x:f>IF($A367='Consorcio Direto'!$B$29,'Consorcio Direto'!$B$44,0)</x:f>
        <x:v>0</x:v>
      </x:c>
      <x:c r="BE367" s="141" t="n">
        <x:f>IF($A367&lt;='Consorcio Direto'!$B$27,INDEX('Consorcio Direto'!$E$55:$E$534,$A367),0)</x:f>
        <x:v>0</x:v>
      </x:c>
      <x:c r="BF367" s="141" t="n">
        <x:f>IF(AND(TRUE,Premissas!$B$11="Imovel",Premissas!$B$47="Moradia",$A367&lt;MAX('Consorcio Direto'!$B$29,Premissas!$B$49)),$D367,0)</x:f>
        <x:v>0</x:v>
      </x:c>
      <x:c r="BG367" s="141" t="n">
        <x:f>IF(AND(TRUE,Premissas!$B$11="Imovel",Premissas!$B$47="Investimento",$A367&gt;=MAX('Consorcio Direto'!$B$29,Premissas!$B$49)),$E367,0)</x:f>
        <x:v>3675.8343506644856</x:v>
      </x:c>
      <x:c r="BH367" s="141" t="n">
        <x:f>BD367+BE367+BF367</x:f>
        <x:v>0</x:v>
      </x:c>
      <x:c r="BI367" s="141" t="n">
        <x:f>BG367</x:f>
        <x:v>3675.8343506644856</x:v>
      </x:c>
      <x:c r="BJ367" s="141" t="n">
        <x:f>$C367+BI367-BH367</x:f>
        <x:v>10675.834350664485</x:v>
      </x:c>
      <x:c r="BK367" s="141" t="n">
        <x:f>BN366*(1+Premissas!$B$41)+BJ367</x:f>
        <x:v>20726459.508037154</x:v>
      </x:c>
      <x:c r="BL367" s="141" t="n">
        <x:f>MAX(0,-BK367)</x:f>
        <x:v>0</x:v>
      </x:c>
      <x:c r="BM367" s="141" t="n">
        <x:f>BM366*(1+Premissas!$B$41)+BL367</x:f>
        <x:v>0</x:v>
      </x:c>
      <x:c r="BN367" s="141" t="n">
        <x:f>MAX(0,BK367)</x:f>
        <x:v>20726459.508037154</x:v>
      </x:c>
      <x:c r="BO367" s="141" t="n">
        <x:f>INDEX('Consorcio Direto'!$K$55:$K$534,$A367)</x:f>
        <x:v>0</x:v>
      </x:c>
      <x:c r="BP367" s="141" t="n">
        <x:f>IF($A367&lt;'Consorcio Direto'!$B$29,INDEX('Consorcio Direto'!$L$55:$L$534,$A367),$F367)</x:f>
        <x:v>1159908.1442279455</x:v>
      </x:c>
      <x:c r="BQ367" s="141" t="n">
        <x:f>BN367+BP367-BO367</x:f>
        <x:v>21886367.652265098</x:v>
      </x:c>
      <x:c r="BR367" s="141" t="n">
        <x:f>IF(BM367&gt;1,"Inviavel",BQ367)</x:f>
        <x:v>21886367.652265098</x:v>
      </x:c>
      <x:c r="BS367" s="141" t="str">
        <x:f>IF(BM367&gt;1,"Inviavel","OK")</x:f>
        <x:v>OK</x:v>
      </x:c>
      <x:c r="BT367" s="141" t="n">
        <x:f>IF(AND('Carta Contemplada'!$B$22="Sim",$A367='Carta Contemplada'!$B$23),'Carta Contemplada'!$B$37,0)</x:f>
        <x:v>0</x:v>
      </x:c>
      <x:c r="BU367" s="141" t="n">
        <x:f>IF('Carta Contemplada'!$B$22="Sim",INDEX('Carta Contemplada'!$C$55:$C$1013,$A367),0)</x:f>
        <x:v>0</x:v>
      </x:c>
      <x:c r="BV367" s="141" t="n">
        <x:f>IF(AND('Carta Contemplada'!$B$22="Sim",Premissas!$B$11="Imovel",Premissas!$B$47="Moradia",$A367&lt;MAX('Carta Contemplada'!$B$44,Premissas!$B$49)),$D367,0)</x:f>
        <x:v>0</x:v>
      </x:c>
      <x:c r="BW367" s="141" t="n">
        <x:f>IF(AND('Carta Contemplada'!$B$22="Sim",Premissas!$B$11="Imovel",Premissas!$B$47="Investimento",$A367&gt;=MAX('Carta Contemplada'!$B$44,Premissas!$B$49)),$E367,0)</x:f>
        <x:v>3675.8343506644856</x:v>
      </x:c>
      <x:c r="BX367" s="141" t="n">
        <x:f>BT367+BU367+BV367</x:f>
        <x:v>0</x:v>
      </x:c>
      <x:c r="BY367" s="141" t="n">
        <x:f>BW367</x:f>
        <x:v>3675.8343506644856</x:v>
      </x:c>
      <x:c r="BZ367" s="141" t="n">
        <x:f>$C367+BY367-BX367</x:f>
        <x:v>10675.834350664485</x:v>
      </x:c>
      <x:c r="CA367" s="141" t="n">
        <x:f>CD366*(1+Premissas!$B$41)+BZ367</x:f>
        <x:v>22301473.183708522</x:v>
      </x:c>
      <x:c r="CB367" s="141" t="n">
        <x:f>MAX(0,-CA367)</x:f>
        <x:v>0</x:v>
      </x:c>
      <x:c r="CC367" s="141" t="n">
        <x:f>CC366*(1+Premissas!$B$41)+CB367</x:f>
        <x:v>0</x:v>
      </x:c>
      <x:c r="CD367" s="141" t="n">
        <x:f>MAX(0,CA367)</x:f>
        <x:v>22301473.183708522</x:v>
      </x:c>
      <x:c r="CE367" s="141" t="n">
        <x:f>IF(AND('Carta Contemplada'!$B$22="Sim",$A367&gt;='Carta Contemplada'!$B$23),INDEX('Carta Contemplada'!$I$55:$I$1013,$A367),0)</x:f>
        <x:v>0</x:v>
      </x:c>
      <x:c r="CF367" s="141" t="n">
        <x:f>IF(AND('Carta Contemplada'!$B$22="Sim",$A367&gt;='Carta Contemplada'!$B$44),$F367,0)</x:f>
        <x:v>1159908.1442279455</x:v>
      </x:c>
      <x:c r="CG367" s="141" t="n">
        <x:f>CD367+CF367-CE367</x:f>
        <x:v>23461381.327936467</x:v>
      </x:c>
      <x:c r="CH367" s="141" t="n">
        <x:f>IF(CC367&gt;1,"Inviavel",CG367)</x:f>
        <x:v>23461381.327936467</x:v>
      </x:c>
      <x:c r="CI367" s="145" t="str">
        <x:f>IF(CC367&gt;1,"Inviavel","OK")</x:f>
        <x:v>OK</x:v>
      </x:c>
    </x:row>
    <x:row r="368">
      <x:c r="A368" s="142" t="n">
        <x:v>364</x:v>
      </x:c>
      <x:c r="B368" s="179" t="n">
        <x:f>EDATE(Premissas!$B$4,A368-1)</x:f>
        <x:v>57589</x:v>
      </x:c>
      <x:c r="C368" s="141" t="n">
        <x:f>IF(A368&lt;=Premissas!$B$39,Premissas!$B$42,0)</x:f>
        <x:v>7000</x:v>
      </x:c>
      <x:c r="D368" s="141" t="n">
        <x:f>Premissas!$B$54*(1+Premissas!$B$57)^INT((A368-1)/12)</x:f>
        <x:v>4020.443821039281</x:v>
      </x:c>
      <x:c r="E368" s="141" t="n">
        <x:f>Premissas!$B$64*(1+Premissas!$B$57)^INT((A368-1)/12)</x:f>
        <x:v>3675.8343506644856</x:v>
      </x:c>
      <x:c r="F368" s="141" t="n">
        <x:f>MAX(0,Premissas!$B$6*(1+Premissas!$B$66)^((A368-1)/12))</x:f>
        <x:v>1165554.055771128</x:v>
      </x:c>
      <x:c r="G368" s="141" t="n">
        <x:f>G367*(1+Premissas!$B$41)+C368</x:f>
        <x:v>24988866.615560308</x:v>
      </x:c>
      <x:c r="H368" s="141" t="n">
        <x:f>IF($A368=Premissas!$B$48,Premissas!$B$8,0)</x:f>
        <x:v>0</x:v>
      </x:c>
      <x:c r="I368" s="141" t="n">
        <x:f>IF(AND($A368&gt;=Premissas!$B$48,$A368-Premissas!$B$48+1&lt;=Premissas!$B$13),INDEX(Financiamento!$J$6:$J$485,$A368-Premissas!$B$48+1),0)</x:f>
        <x:v>736.9947418176135</x:v>
      </x:c>
      <x:c r="J368" s="141" t="n">
        <x:f>IF(AND(TRUE,Premissas!$B$11="Imovel",Premissas!$B$47="Moradia",$A368&lt;MAX(Premissas!$B$48,Premissas!$B$49)),$D368,0)</x:f>
        <x:v>0</x:v>
      </x:c>
      <x:c r="K368" s="141" t="n">
        <x:f>IF(AND(TRUE,Premissas!$B$11="Imovel",Premissas!$B$47="Investimento",$A368&gt;=MAX(Premissas!$B$48,Premissas!$B$49)),$E368,0)</x:f>
        <x:v>3675.8343506644856</x:v>
      </x:c>
      <x:c r="L368" s="141" t="n">
        <x:f>H368+I368+J368</x:f>
        <x:v>736.9947418176135</x:v>
      </x:c>
      <x:c r="M368" s="141" t="n">
        <x:f>K368</x:f>
        <x:v>3675.8343506644856</x:v>
      </x:c>
      <x:c r="N368" s="141" t="n">
        <x:f>$C368+M368-L368</x:f>
        <x:v>9938.83960884687</x:v>
      </x:c>
      <x:c r="O368" s="141" t="n">
        <x:f>R367*(1+Premissas!$B$41)+N368</x:f>
        <x:v>21730571.022400633</x:v>
      </x:c>
      <x:c r="P368" s="141" t="n">
        <x:f>MAX(0,-O368)</x:f>
        <x:v>0</x:v>
      </x:c>
      <x:c r="Q368" s="141" t="n">
        <x:f>Q367*(1+Premissas!$B$41)+P368</x:f>
        <x:v>0</x:v>
      </x:c>
      <x:c r="R368" s="141" t="n">
        <x:f>MAX(0,O368)</x:f>
        <x:v>21730571.022400633</x:v>
      </x:c>
      <x:c r="S368" s="141" t="n">
        <x:f>IF(AND($A368&gt;=Premissas!$B$48,$A368-Premissas!$B$48+1&lt;=Premissas!$B$13),INDEX(Financiamento!$M$6:$M$485,$A368-Premissas!$B$48+1),0)</x:f>
        <x:v>21333.333333333358</x:v>
      </x:c>
      <x:c r="T368" s="141" t="n">
        <x:f>IF($A368&gt;=Premissas!$B$48,$F368,0)</x:f>
        <x:v>1165554.055771128</x:v>
      </x:c>
      <x:c r="U368" s="141" t="n">
        <x:f>R368+T368-S368</x:f>
        <x:v>22874791.744838428</x:v>
      </x:c>
      <x:c r="V368" s="141" t="n">
        <x:f>IF(Q368&gt;1,"Inviavel",U368)</x:f>
        <x:v>22874791.744838428</x:v>
      </x:c>
      <x:c r="W368" s="141" t="str">
        <x:f>IF(Q368&gt;1,"Inviavel","OK")</x:f>
        <x:v>OK</x:v>
      </x:c>
      <x:c r="X368" s="141" t="n">
        <x:f>IF($A368=Premissas!$B$48,Premissas!$B$8,0)</x:f>
        <x:v>0</x:v>
      </x:c>
      <x:c r="Y368" s="141" t="n">
        <x:f>IF(AND($A368&gt;=Premissas!$B$48,$A368-Premissas!$B$48+1&lt;=Premissas!$B$13),INDEX(Amortizacao!$K$6:$K$485,$A368-Premissas!$B$48+1),0)</x:f>
        <x:v>0</x:v>
      </x:c>
      <x:c r="Z368" s="141" t="n">
        <x:f>IF(AND(TRUE,Premissas!$B$11="Imovel",Premissas!$B$47="Moradia",$A368&lt;MAX(Premissas!$B$48,Premissas!$B$49)),$D368,0)</x:f>
        <x:v>0</x:v>
      </x:c>
      <x:c r="AA368" s="141" t="n">
        <x:f>IF(AND(TRUE,Premissas!$B$11="Imovel",Premissas!$B$47="Investimento",$A368&gt;=MAX(Premissas!$B$48,Premissas!$B$49)),$E368,0)</x:f>
        <x:v>3675.8343506644856</x:v>
      </x:c>
      <x:c r="AB368" s="141" t="n">
        <x:f>X368+Y368+Z368</x:f>
        <x:v>0</x:v>
      </x:c>
      <x:c r="AC368" s="141" t="n">
        <x:f>AA368</x:f>
        <x:v>3675.8343506644856</x:v>
      </x:c>
      <x:c r="AD368" s="141" t="n">
        <x:f>$C368+AC368-AB368</x:f>
        <x:v>10675.834350664485</x:v>
      </x:c>
      <x:c r="AE368" s="141" t="n">
        <x:f>AH367*(1+Premissas!$B$41)+AD368</x:f>
        <x:v>22074571.23111416</x:v>
      </x:c>
      <x:c r="AF368" s="141" t="n">
        <x:f>MAX(0,-AE368)</x:f>
        <x:v>0</x:v>
      </x:c>
      <x:c r="AG368" s="141" t="n">
        <x:f>AG367*(1+Premissas!$B$41)+AF368</x:f>
        <x:v>0</x:v>
      </x:c>
      <x:c r="AH368" s="141" t="n">
        <x:f>MAX(0,AE368)</x:f>
        <x:v>22074571.23111416</x:v>
      </x:c>
      <x:c r="AI368" s="141" t="n">
        <x:f>IF(AND($A368&gt;=Premissas!$B$48,$A368-Premissas!$B$48+1&lt;=Premissas!$B$13),INDEX(Amortizacao!$L$6:$L$485,$A368-Premissas!$B$48+1),0)</x:f>
        <x:v>0</x:v>
      </x:c>
      <x:c r="AJ368" s="141" t="n">
        <x:f>IF($A368&gt;=Premissas!$B$48,$F368,0)</x:f>
        <x:v>1165554.055771128</x:v>
      </x:c>
      <x:c r="AK368" s="141" t="n">
        <x:f>AH368+AJ368-AI368</x:f>
        <x:v>23240125.286885288</x:v>
      </x:c>
      <x:c r="AL368" s="141" t="n">
        <x:f>IF(AG368&gt;1,"Inviavel",AK368)</x:f>
        <x:v>23240125.286885288</x:v>
      </x:c>
      <x:c r="AM368" s="141" t="str">
        <x:f>IF(AG368&gt;1,"Inviavel","OK")</x:f>
        <x:v>OK</x:v>
      </x:c>
      <x:c r="AN368" s="141" t="n">
        <x:f>IF($A368=Premissas!$B$48,Premissas!$B$8,0)</x:f>
        <x:v>0</x:v>
      </x:c>
      <x:c r="AO368" s="141" t="n">
        <x:f>IF($A368&lt;=Premissas!$B$25,INDEX('Consorcio IQ'!$K$6:$K$485,$A368),0)</x:f>
        <x:v>0</x:v>
      </x:c>
      <x:c r="AP368" s="141" t="n">
        <x:f>IF(AND(TRUE,Premissas!$B$11="Imovel",Premissas!$B$47="Moradia",$A368&lt;MAX(Premissas!$B$48,Premissas!$B$49)),$D368,0)</x:f>
        <x:v>0</x:v>
      </x:c>
      <x:c r="AQ368" s="141" t="n">
        <x:f>IF(AND(TRUE,Premissas!$B$11="Imovel",Premissas!$B$47="Investimento",$A368&gt;=MAX(Premissas!$B$48,Premissas!$B$49)),$E368,0)</x:f>
        <x:v>3675.8343506644856</x:v>
      </x:c>
      <x:c r="AR368" s="141" t="n">
        <x:f>AN368+AO368+AP368</x:f>
        <x:v>0</x:v>
      </x:c>
      <x:c r="AS368" s="141" t="n">
        <x:f>AQ368</x:f>
        <x:v>3675.8343506644856</x:v>
      </x:c>
      <x:c r="AT368" s="141" t="n">
        <x:f>$C368+AS368-AR368</x:f>
        <x:v>10675.834350664485</x:v>
      </x:c>
      <x:c r="AU368" s="141" t="n">
        <x:f>AX367*(1+Premissas!$B$41)+AT368</x:f>
        <x:v>21896448.58111198</x:v>
      </x:c>
      <x:c r="AV368" s="141" t="n">
        <x:f>MAX(0,-AU368)</x:f>
        <x:v>0</x:v>
      </x:c>
      <x:c r="AW368" s="141" t="n">
        <x:f>AW367*(1+Premissas!$B$41)+AV368</x:f>
        <x:v>0</x:v>
      </x:c>
      <x:c r="AX368" s="141" t="n">
        <x:f>MAX(0,AU368)</x:f>
        <x:v>21896448.58111198</x:v>
      </x:c>
      <x:c r="AY368" s="141" t="n">
        <x:f>INDEX('Consorcio IQ'!$P$6:$P$485,$A368)</x:f>
        <x:v>0</x:v>
      </x:c>
      <x:c r="AZ368" s="141" t="n">
        <x:f>IF($A368&gt;=Premissas!$B$48,$F368,0)+IF($A368&lt;Premissas!$B$27,INDEX('Consorcio IQ'!$O$6:$O$485,$A368),0)</x:f>
        <x:v>1165554.055771128</x:v>
      </x:c>
      <x:c r="BA368" s="141" t="n">
        <x:f>AX368+AZ368-AY368</x:f>
        <x:v>23062002.636883106</x:v>
      </x:c>
      <x:c r="BB368" s="141" t="n">
        <x:f>IF(AW368&gt;1,"Inviavel",BA368)</x:f>
        <x:v>23062002.636883106</x:v>
      </x:c>
      <x:c r="BC368" s="141" t="str">
        <x:f>IF(AW368&gt;1,"Inviavel","OK")</x:f>
        <x:v>OK</x:v>
      </x:c>
      <x:c r="BD368" s="141" t="n">
        <x:f>IF($A368='Consorcio Direto'!$B$29,'Consorcio Direto'!$B$44,0)</x:f>
        <x:v>0</x:v>
      </x:c>
      <x:c r="BE368" s="141" t="n">
        <x:f>IF($A368&lt;='Consorcio Direto'!$B$27,INDEX('Consorcio Direto'!$E$55:$E$534,$A368),0)</x:f>
        <x:v>0</x:v>
      </x:c>
      <x:c r="BF368" s="141" t="n">
        <x:f>IF(AND(TRUE,Premissas!$B$11="Imovel",Premissas!$B$47="Moradia",$A368&lt;MAX('Consorcio Direto'!$B$29,Premissas!$B$49)),$D368,0)</x:f>
        <x:v>0</x:v>
      </x:c>
      <x:c r="BG368" s="141" t="n">
        <x:f>IF(AND(TRUE,Premissas!$B$11="Imovel",Premissas!$B$47="Investimento",$A368&gt;=MAX('Consorcio Direto'!$B$29,Premissas!$B$49)),$E368,0)</x:f>
        <x:v>3675.8343506644856</x:v>
      </x:c>
      <x:c r="BH368" s="141" t="n">
        <x:f>BD368+BE368+BF368</x:f>
        <x:v>0</x:v>
      </x:c>
      <x:c r="BI368" s="141" t="n">
        <x:f>BG368</x:f>
        <x:v>3675.8343506644856</x:v>
      </x:c>
      <x:c r="BJ368" s="141" t="n">
        <x:f>$C368+BI368-BH368</x:f>
        <x:v>10675.834350664485</x:v>
      </x:c>
      <x:c r="BK368" s="141" t="n">
        <x:f>BN367*(1+Premissas!$B$41)+BJ368</x:f>
        <x:v>20933804.4249266</x:v>
      </x:c>
      <x:c r="BL368" s="141" t="n">
        <x:f>MAX(0,-BK368)</x:f>
        <x:v>0</x:v>
      </x:c>
      <x:c r="BM368" s="141" t="n">
        <x:f>BM367*(1+Premissas!$B$41)+BL368</x:f>
        <x:v>0</x:v>
      </x:c>
      <x:c r="BN368" s="141" t="n">
        <x:f>MAX(0,BK368)</x:f>
        <x:v>20933804.4249266</x:v>
      </x:c>
      <x:c r="BO368" s="141" t="n">
        <x:f>INDEX('Consorcio Direto'!$K$55:$K$534,$A368)</x:f>
        <x:v>0</x:v>
      </x:c>
      <x:c r="BP368" s="141" t="n">
        <x:f>IF($A368&lt;'Consorcio Direto'!$B$29,INDEX('Consorcio Direto'!$L$55:$L$534,$A368),$F368)</x:f>
        <x:v>1165554.055771128</x:v>
      </x:c>
      <x:c r="BQ368" s="141" t="n">
        <x:f>BN368+BP368-BO368</x:f>
        <x:v>22099358.48069773</x:v>
      </x:c>
      <x:c r="BR368" s="141" t="n">
        <x:f>IF(BM368&gt;1,"Inviavel",BQ368)</x:f>
        <x:v>22099358.48069773</x:v>
      </x:c>
      <x:c r="BS368" s="141" t="str">
        <x:f>IF(BM368&gt;1,"Inviavel","OK")</x:f>
        <x:v>OK</x:v>
      </x:c>
      <x:c r="BT368" s="141" t="n">
        <x:f>IF(AND('Carta Contemplada'!$B$22="Sim",$A368='Carta Contemplada'!$B$23),'Carta Contemplada'!$B$37,0)</x:f>
        <x:v>0</x:v>
      </x:c>
      <x:c r="BU368" s="141" t="n">
        <x:f>IF('Carta Contemplada'!$B$22="Sim",INDEX('Carta Contemplada'!$C$55:$C$1013,$A368),0)</x:f>
        <x:v>0</x:v>
      </x:c>
      <x:c r="BV368" s="141" t="n">
        <x:f>IF(AND('Carta Contemplada'!$B$22="Sim",Premissas!$B$11="Imovel",Premissas!$B$47="Moradia",$A368&lt;MAX('Carta Contemplada'!$B$44,Premissas!$B$49)),$D368,0)</x:f>
        <x:v>0</x:v>
      </x:c>
      <x:c r="BW368" s="141" t="n">
        <x:f>IF(AND('Carta Contemplada'!$B$22="Sim",Premissas!$B$11="Imovel",Premissas!$B$47="Investimento",$A368&gt;=MAX('Carta Contemplada'!$B$44,Premissas!$B$49)),$E368,0)</x:f>
        <x:v>3675.8343506644856</x:v>
      </x:c>
      <x:c r="BX368" s="141" t="n">
        <x:f>BT368+BU368+BV368</x:f>
        <x:v>0</x:v>
      </x:c>
      <x:c r="BY368" s="141" t="n">
        <x:f>BW368</x:f>
        <x:v>3675.8343506644856</x:v>
      </x:c>
      <x:c r="BZ368" s="141" t="n">
        <x:f>$C368+BY368-BX368</x:f>
        <x:v>10675.834350664485</x:v>
      </x:c>
      <x:c r="CA368" s="141" t="n">
        <x:f>CD367*(1+Premissas!$B$41)+BZ368</x:f>
        <x:v>22523763.079235554</x:v>
      </x:c>
      <x:c r="CB368" s="141" t="n">
        <x:f>MAX(0,-CA368)</x:f>
        <x:v>0</x:v>
      </x:c>
      <x:c r="CC368" s="141" t="n">
        <x:f>CC367*(1+Premissas!$B$41)+CB368</x:f>
        <x:v>0</x:v>
      </x:c>
      <x:c r="CD368" s="141" t="n">
        <x:f>MAX(0,CA368)</x:f>
        <x:v>22523763.079235554</x:v>
      </x:c>
      <x:c r="CE368" s="141" t="n">
        <x:f>IF(AND('Carta Contemplada'!$B$22="Sim",$A368&gt;='Carta Contemplada'!$B$23),INDEX('Carta Contemplada'!$I$55:$I$1013,$A368),0)</x:f>
        <x:v>0</x:v>
      </x:c>
      <x:c r="CF368" s="141" t="n">
        <x:f>IF(AND('Carta Contemplada'!$B$22="Sim",$A368&gt;='Carta Contemplada'!$B$44),$F368,0)</x:f>
        <x:v>1165554.055771128</x:v>
      </x:c>
      <x:c r="CG368" s="141" t="n">
        <x:f>CD368+CF368-CE368</x:f>
        <x:v>23689317.13500668</x:v>
      </x:c>
      <x:c r="CH368" s="141" t="n">
        <x:f>IF(CC368&gt;1,"Inviavel",CG368)</x:f>
        <x:v>23689317.13500668</x:v>
      </x:c>
      <x:c r="CI368" s="145" t="str">
        <x:f>IF(CC368&gt;1,"Inviavel","OK")</x:f>
        <x:v>OK</x:v>
      </x:c>
    </x:row>
    <x:row r="369">
      <x:c r="A369" s="142" t="n">
        <x:v>365</x:v>
      </x:c>
      <x:c r="B369" s="179" t="n">
        <x:f>EDATE(Premissas!$B$4,A369-1)</x:f>
        <x:v>57619</x:v>
      </x:c>
      <x:c r="C369" s="141" t="n">
        <x:f>IF(A369&lt;=Premissas!$B$39,Premissas!$B$42,0)</x:f>
        <x:v>7000</x:v>
      </x:c>
      <x:c r="D369" s="141" t="n">
        <x:f>Premissas!$B$54*(1+Premissas!$B$57)^INT((A369-1)/12)</x:f>
        <x:v>4020.443821039281</x:v>
      </x:c>
      <x:c r="E369" s="141" t="n">
        <x:f>Premissas!$B$64*(1+Premissas!$B$57)^INT((A369-1)/12)</x:f>
        <x:v>3675.8343506644856</x:v>
      </x:c>
      <x:c r="F369" s="141" t="n">
        <x:f>MAX(0,Premissas!$B$6*(1+Premissas!$B$66)^((A369-1)/12))</x:f>
        <x:v>1171227.4490742348</x:v>
      </x:c>
      <x:c r="G369" s="141" t="n">
        <x:f>G368*(1+Premissas!$B$41)+C369</x:f>
        <x:v>25232980.796545275</x:v>
      </x:c>
      <x:c r="H369" s="141" t="n">
        <x:f>IF($A369=Premissas!$B$48,Premissas!$B$8,0)</x:f>
        <x:v>0</x:v>
      </x:c>
      <x:c r="I369" s="141" t="n">
        <x:f>IF(AND($A369&gt;=Premissas!$B$48,$A369-Premissas!$B$48+1&lt;=Premissas!$B$13),INDEX(Financiamento!$J$6:$J$485,$A369-Premissas!$B$48+1),0)</x:f>
        <x:v>733.3799635568199</x:v>
      </x:c>
      <x:c r="J369" s="141" t="n">
        <x:f>IF(AND(TRUE,Premissas!$B$11="Imovel",Premissas!$B$47="Moradia",$A369&lt;MAX(Premissas!$B$48,Premissas!$B$49)),$D369,0)</x:f>
        <x:v>0</x:v>
      </x:c>
      <x:c r="K369" s="141" t="n">
        <x:f>IF(AND(TRUE,Premissas!$B$11="Imovel",Premissas!$B$47="Investimento",$A369&gt;=MAX(Premissas!$B$48,Premissas!$B$49)),$E369,0)</x:f>
        <x:v>3675.8343506644856</x:v>
      </x:c>
      <x:c r="L369" s="141" t="n">
        <x:f>H369+I369+J369</x:f>
        <x:v>733.3799635568199</x:v>
      </x:c>
      <x:c r="M369" s="141" t="n">
        <x:f>K369</x:f>
        <x:v>3675.8343506644856</x:v>
      </x:c>
      <x:c r="N369" s="141" t="n">
        <x:f>$C369+M369-L369</x:f>
        <x:v>9942.454387107666</x:v>
      </x:c>
      <x:c r="O369" s="141" t="n">
        <x:f>R368*(1+Premissas!$B$41)+N369</x:f>
        <x:v>21946710.36556955</x:v>
      </x:c>
      <x:c r="P369" s="141" t="n">
        <x:f>MAX(0,-O369)</x:f>
        <x:v>0</x:v>
      </x:c>
      <x:c r="Q369" s="141" t="n">
        <x:f>Q368*(1+Premissas!$B$41)+P369</x:f>
        <x:v>0</x:v>
      </x:c>
      <x:c r="R369" s="141" t="n">
        <x:f>MAX(0,O369)</x:f>
        <x:v>21946710.36556955</x:v>
      </x:c>
      <x:c r="S369" s="141" t="n">
        <x:f>IF(AND($A369&gt;=Premissas!$B$48,$A369-Premissas!$B$48+1&lt;=Premissas!$B$13),INDEX(Financiamento!$M$6:$M$485,$A369-Premissas!$B$48+1),0)</x:f>
        <x:v>20952.380952380976</x:v>
      </x:c>
      <x:c r="T369" s="141" t="n">
        <x:f>IF($A369&gt;=Premissas!$B$48,$F369,0)</x:f>
        <x:v>1171227.4490742348</x:v>
      </x:c>
      <x:c r="U369" s="141" t="n">
        <x:f>R369+T369-S369</x:f>
        <x:v>23096985.433691405</x:v>
      </x:c>
      <x:c r="V369" s="141" t="n">
        <x:f>IF(Q369&gt;1,"Inviavel",U369)</x:f>
        <x:v>23096985.433691405</x:v>
      </x:c>
      <x:c r="W369" s="141" t="str">
        <x:f>IF(Q369&gt;1,"Inviavel","OK")</x:f>
        <x:v>OK</x:v>
      </x:c>
      <x:c r="X369" s="141" t="n">
        <x:f>IF($A369=Premissas!$B$48,Premissas!$B$8,0)</x:f>
        <x:v>0</x:v>
      </x:c>
      <x:c r="Y369" s="141" t="n">
        <x:f>IF(AND($A369&gt;=Premissas!$B$48,$A369-Premissas!$B$48+1&lt;=Premissas!$B$13),INDEX(Amortizacao!$K$6:$K$485,$A369-Premissas!$B$48+1),0)</x:f>
        <x:v>0</x:v>
      </x:c>
      <x:c r="Z369" s="141" t="n">
        <x:f>IF(AND(TRUE,Premissas!$B$11="Imovel",Premissas!$B$47="Moradia",$A369&lt;MAX(Premissas!$B$48,Premissas!$B$49)),$D369,0)</x:f>
        <x:v>0</x:v>
      </x:c>
      <x:c r="AA369" s="141" t="n">
        <x:f>IF(AND(TRUE,Premissas!$B$11="Imovel",Premissas!$B$47="Investimento",$A369&gt;=MAX(Premissas!$B$48,Premissas!$B$49)),$E369,0)</x:f>
        <x:v>3675.8343506644856</x:v>
      </x:c>
      <x:c r="AB369" s="141" t="n">
        <x:f>X369+Y369+Z369</x:f>
        <x:v>0</x:v>
      </x:c>
      <x:c r="AC369" s="141" t="n">
        <x:f>AA369</x:f>
        <x:v>3675.8343506644856</x:v>
      </x:c>
      <x:c r="AD369" s="141" t="n">
        <x:f>$C369+AC369-AB369</x:f>
        <x:v>10675.834350664485</x:v>
      </x:c>
      <x:c r="AE369" s="141" t="n">
        <x:f>AH368*(1+Premissas!$B$41)+AD369</x:f>
        <x:v>22294708.10099657</x:v>
      </x:c>
      <x:c r="AF369" s="141" t="n">
        <x:f>MAX(0,-AE369)</x:f>
        <x:v>0</x:v>
      </x:c>
      <x:c r="AG369" s="141" t="n">
        <x:f>AG368*(1+Premissas!$B$41)+AF369</x:f>
        <x:v>0</x:v>
      </x:c>
      <x:c r="AH369" s="141" t="n">
        <x:f>MAX(0,AE369)</x:f>
        <x:v>22294708.10099657</x:v>
      </x:c>
      <x:c r="AI369" s="141" t="n">
        <x:f>IF(AND($A369&gt;=Premissas!$B$48,$A369-Premissas!$B$48+1&lt;=Premissas!$B$13),INDEX(Amortizacao!$L$6:$L$485,$A369-Premissas!$B$48+1),0)</x:f>
        <x:v>0</x:v>
      </x:c>
      <x:c r="AJ369" s="141" t="n">
        <x:f>IF($A369&gt;=Premissas!$B$48,$F369,0)</x:f>
        <x:v>1171227.4490742348</x:v>
      </x:c>
      <x:c r="AK369" s="141" t="n">
        <x:f>AH369+AJ369-AI369</x:f>
        <x:v>23465935.550070804</x:v>
      </x:c>
      <x:c r="AL369" s="141" t="n">
        <x:f>IF(AG369&gt;1,"Inviavel",AK369)</x:f>
        <x:v>23465935.550070804</x:v>
      </x:c>
      <x:c r="AM369" s="141" t="str">
        <x:f>IF(AG369&gt;1,"Inviavel","OK")</x:f>
        <x:v>OK</x:v>
      </x:c>
      <x:c r="AN369" s="141" t="n">
        <x:f>IF($A369=Premissas!$B$48,Premissas!$B$8,0)</x:f>
        <x:v>0</x:v>
      </x:c>
      <x:c r="AO369" s="141" t="n">
        <x:f>IF($A369&lt;=Premissas!$B$25,INDEX('Consorcio IQ'!$K$6:$K$485,$A369),0)</x:f>
        <x:v>0</x:v>
      </x:c>
      <x:c r="AP369" s="141" t="n">
        <x:f>IF(AND(TRUE,Premissas!$B$11="Imovel",Premissas!$B$47="Moradia",$A369&lt;MAX(Premissas!$B$48,Premissas!$B$49)),$D369,0)</x:f>
        <x:v>0</x:v>
      </x:c>
      <x:c r="AQ369" s="141" t="n">
        <x:f>IF(AND(TRUE,Premissas!$B$11="Imovel",Premissas!$B$47="Investimento",$A369&gt;=MAX(Premissas!$B$48,Premissas!$B$49)),$E369,0)</x:f>
        <x:v>3675.8343506644856</x:v>
      </x:c>
      <x:c r="AR369" s="141" t="n">
        <x:f>AN369+AO369+AP369</x:f>
        <x:v>0</x:v>
      </x:c>
      <x:c r="AS369" s="141" t="n">
        <x:f>AQ369</x:f>
        <x:v>3675.8343506644856</x:v>
      </x:c>
      <x:c r="AT369" s="141" t="n">
        <x:f>$C369+AS369-AR369</x:f>
        <x:v>10675.834350664485</x:v>
      </x:c>
      <x:c r="AU369" s="141" t="n">
        <x:f>AX368*(1+Premissas!$B$41)+AT369</x:f>
        <x:v>22114895.28205156</x:v>
      </x:c>
      <x:c r="AV369" s="141" t="n">
        <x:f>MAX(0,-AU369)</x:f>
        <x:v>0</x:v>
      </x:c>
      <x:c r="AW369" s="141" t="n">
        <x:f>AW368*(1+Premissas!$B$41)+AV369</x:f>
        <x:v>0</x:v>
      </x:c>
      <x:c r="AX369" s="141" t="n">
        <x:f>MAX(0,AU369)</x:f>
        <x:v>22114895.28205156</x:v>
      </x:c>
      <x:c r="AY369" s="141" t="n">
        <x:f>INDEX('Consorcio IQ'!$P$6:$P$485,$A369)</x:f>
        <x:v>0</x:v>
      </x:c>
      <x:c r="AZ369" s="141" t="n">
        <x:f>IF($A369&gt;=Premissas!$B$48,$F369,0)+IF($A369&lt;Premissas!$B$27,INDEX('Consorcio IQ'!$O$6:$O$485,$A369),0)</x:f>
        <x:v>1171227.4490742348</x:v>
      </x:c>
      <x:c r="BA369" s="141" t="n">
        <x:f>AX369+AZ369-AY369</x:f>
        <x:v>23286122.731125794</x:v>
      </x:c>
      <x:c r="BB369" s="141" t="n">
        <x:f>IF(AW369&gt;1,"Inviavel",BA369)</x:f>
        <x:v>23286122.731125794</x:v>
      </x:c>
      <x:c r="BC369" s="141" t="str">
        <x:f>IF(AW369&gt;1,"Inviavel","OK")</x:f>
        <x:v>OK</x:v>
      </x:c>
      <x:c r="BD369" s="141" t="n">
        <x:f>IF($A369='Consorcio Direto'!$B$29,'Consorcio Direto'!$B$44,0)</x:f>
        <x:v>0</x:v>
      </x:c>
      <x:c r="BE369" s="141" t="n">
        <x:f>IF($A369&lt;='Consorcio Direto'!$B$27,INDEX('Consorcio Direto'!$E$55:$E$534,$A369),0)</x:f>
        <x:v>0</x:v>
      </x:c>
      <x:c r="BF369" s="141" t="n">
        <x:f>IF(AND(TRUE,Premissas!$B$11="Imovel",Premissas!$B$47="Moradia",$A369&lt;MAX('Consorcio Direto'!$B$29,Premissas!$B$49)),$D369,0)</x:f>
        <x:v>0</x:v>
      </x:c>
      <x:c r="BG369" s="141" t="n">
        <x:f>IF(AND(TRUE,Premissas!$B$11="Imovel",Premissas!$B$47="Investimento",$A369&gt;=MAX('Consorcio Direto'!$B$29,Premissas!$B$49)),$E369,0)</x:f>
        <x:v>3675.8343506644856</x:v>
      </x:c>
      <x:c r="BH369" s="141" t="n">
        <x:f>BD369+BE369+BF369</x:f>
        <x:v>0</x:v>
      </x:c>
      <x:c r="BI369" s="141" t="n">
        <x:f>BG369</x:f>
        <x:v>3675.8343506644856</x:v>
      </x:c>
      <x:c r="BJ369" s="141" t="n">
        <x:f>$C369+BI369-BH369</x:f>
        <x:v>10675.834350664485</x:v>
      </x:c>
      <x:c r="BK369" s="141" t="n">
        <x:f>BN368*(1+Premissas!$B$41)+BJ369</x:f>
        <x:v>21143116.794798452</x:v>
      </x:c>
      <x:c r="BL369" s="141" t="n">
        <x:f>MAX(0,-BK369)</x:f>
        <x:v>0</x:v>
      </x:c>
      <x:c r="BM369" s="141" t="n">
        <x:f>BM368*(1+Premissas!$B$41)+BL369</x:f>
        <x:v>0</x:v>
      </x:c>
      <x:c r="BN369" s="141" t="n">
        <x:f>MAX(0,BK369)</x:f>
        <x:v>21143116.794798452</x:v>
      </x:c>
      <x:c r="BO369" s="141" t="n">
        <x:f>INDEX('Consorcio Direto'!$K$55:$K$534,$A369)</x:f>
        <x:v>0</x:v>
      </x:c>
      <x:c r="BP369" s="141" t="n">
        <x:f>IF($A369&lt;'Consorcio Direto'!$B$29,INDEX('Consorcio Direto'!$L$55:$L$534,$A369),$F369)</x:f>
        <x:v>1171227.4490742348</x:v>
      </x:c>
      <x:c r="BQ369" s="141" t="n">
        <x:f>BN369+BP369-BO369</x:f>
        <x:v>22314344.243872687</x:v>
      </x:c>
      <x:c r="BR369" s="141" t="n">
        <x:f>IF(BM369&gt;1,"Inviavel",BQ369)</x:f>
        <x:v>22314344.243872687</x:v>
      </x:c>
      <x:c r="BS369" s="141" t="str">
        <x:f>IF(BM369&gt;1,"Inviavel","OK")</x:f>
        <x:v>OK</x:v>
      </x:c>
      <x:c r="BT369" s="141" t="n">
        <x:f>IF(AND('Carta Contemplada'!$B$22="Sim",$A369='Carta Contemplada'!$B$23),'Carta Contemplada'!$B$37,0)</x:f>
        <x:v>0</x:v>
      </x:c>
      <x:c r="BU369" s="141" t="n">
        <x:f>IF('Carta Contemplada'!$B$22="Sim",INDEX('Carta Contemplada'!$C$55:$C$1013,$A369),0)</x:f>
        <x:v>0</x:v>
      </x:c>
      <x:c r="BV369" s="141" t="n">
        <x:f>IF(AND('Carta Contemplada'!$B$22="Sim",Premissas!$B$11="Imovel",Premissas!$B$47="Moradia",$A369&lt;MAX('Carta Contemplada'!$B$44,Premissas!$B$49)),$D369,0)</x:f>
        <x:v>0</x:v>
      </x:c>
      <x:c r="BW369" s="141" t="n">
        <x:f>IF(AND('Carta Contemplada'!$B$22="Sim",Premissas!$B$11="Imovel",Premissas!$B$47="Investimento",$A369&gt;=MAX('Carta Contemplada'!$B$44,Premissas!$B$49)),$E369,0)</x:f>
        <x:v>3675.8343506644856</x:v>
      </x:c>
      <x:c r="BX369" s="141" t="n">
        <x:f>BT369+BU369+BV369</x:f>
        <x:v>0</x:v>
      </x:c>
      <x:c r="BY369" s="141" t="n">
        <x:f>BW369</x:f>
        <x:v>3675.8343506644856</x:v>
      </x:c>
      <x:c r="BZ369" s="141" t="n">
        <x:f>$C369+BY369-BX369</x:f>
        <x:v>10675.834350664485</x:v>
      </x:c>
      <x:c r="CA369" s="141" t="n">
        <x:f>CD368*(1+Premissas!$B$41)+BZ369</x:f>
        <x:v>22748162.23755269</x:v>
      </x:c>
      <x:c r="CB369" s="141" t="n">
        <x:f>MAX(0,-CA369)</x:f>
        <x:v>0</x:v>
      </x:c>
      <x:c r="CC369" s="141" t="n">
        <x:f>CC368*(1+Premissas!$B$41)+CB369</x:f>
        <x:v>0</x:v>
      </x:c>
      <x:c r="CD369" s="141" t="n">
        <x:f>MAX(0,CA369)</x:f>
        <x:v>22748162.23755269</x:v>
      </x:c>
      <x:c r="CE369" s="141" t="n">
        <x:f>IF(AND('Carta Contemplada'!$B$22="Sim",$A369&gt;='Carta Contemplada'!$B$23),INDEX('Carta Contemplada'!$I$55:$I$1013,$A369),0)</x:f>
        <x:v>0</x:v>
      </x:c>
      <x:c r="CF369" s="141" t="n">
        <x:f>IF(AND('Carta Contemplada'!$B$22="Sim",$A369&gt;='Carta Contemplada'!$B$44),$F369,0)</x:f>
        <x:v>1171227.4490742348</x:v>
      </x:c>
      <x:c r="CG369" s="141" t="n">
        <x:f>CD369+CF369-CE369</x:f>
        <x:v>23919389.686626926</x:v>
      </x:c>
      <x:c r="CH369" s="141" t="n">
        <x:f>IF(CC369&gt;1,"Inviavel",CG369)</x:f>
        <x:v>23919389.686626926</x:v>
      </x:c>
      <x:c r="CI369" s="145" t="str">
        <x:f>IF(CC369&gt;1,"Inviavel","OK")</x:f>
        <x:v>OK</x:v>
      </x:c>
    </x:row>
    <x:row r="370">
      <x:c r="A370" s="142" t="n">
        <x:v>366</x:v>
      </x:c>
      <x:c r="B370" s="179" t="n">
        <x:f>EDATE(Premissas!$B$4,A370-1)</x:f>
        <x:v>57650</x:v>
      </x:c>
      <x:c r="C370" s="141" t="n">
        <x:f>IF(A370&lt;=Premissas!$B$39,Premissas!$B$42,0)</x:f>
        <x:v>7000</x:v>
      </x:c>
      <x:c r="D370" s="141" t="n">
        <x:f>Premissas!$B$54*(1+Premissas!$B$57)^INT((A370-1)/12)</x:f>
        <x:v>4020.443821039281</x:v>
      </x:c>
      <x:c r="E370" s="141" t="n">
        <x:f>Premissas!$B$64*(1+Premissas!$B$57)^INT((A370-1)/12)</x:f>
        <x:v>3675.8343506644856</x:v>
      </x:c>
      <x:c r="F370" s="141" t="n">
        <x:f>MAX(0,Premissas!$B$6*(1+Premissas!$B$66)^((A370-1)/12))</x:f>
        <x:v>1176928.4579061214</x:v>
      </x:c>
      <x:c r="G370" s="141" t="n">
        <x:f>G369*(1+Premissas!$B$41)+C370</x:f>
        <x:v>25479411.326446004</x:v>
      </x:c>
      <x:c r="H370" s="141" t="n">
        <x:f>IF($A370=Premissas!$B$48,Premissas!$B$8,0)</x:f>
        <x:v>0</x:v>
      </x:c>
      <x:c r="I370" s="141" t="n">
        <x:f>IF(AND($A370&gt;=Premissas!$B$48,$A370-Premissas!$B$48+1&lt;=Premissas!$B$13),INDEX(Financiamento!$J$6:$J$485,$A370-Premissas!$B$48+1),0)</x:f>
        <x:v>729.7651852960264</x:v>
      </x:c>
      <x:c r="J370" s="141" t="n">
        <x:f>IF(AND(TRUE,Premissas!$B$11="Imovel",Premissas!$B$47="Moradia",$A370&lt;MAX(Premissas!$B$48,Premissas!$B$49)),$D370,0)</x:f>
        <x:v>0</x:v>
      </x:c>
      <x:c r="K370" s="141" t="n">
        <x:f>IF(AND(TRUE,Premissas!$B$11="Imovel",Premissas!$B$47="Investimento",$A370&gt;=MAX(Premissas!$B$48,Premissas!$B$49)),$E370,0)</x:f>
        <x:v>3675.8343506644856</x:v>
      </x:c>
      <x:c r="L370" s="141" t="n">
        <x:f>H370+I370+J370</x:f>
        <x:v>729.7651852960264</x:v>
      </x:c>
      <x:c r="M370" s="141" t="n">
        <x:f>K370</x:f>
        <x:v>3675.8343506644856</x:v>
      </x:c>
      <x:c r="N370" s="141" t="n">
        <x:f>$C370+M370-L370</x:f>
        <x:v>9946.069165368459</x:v>
      </x:c>
      <x:c r="O370" s="141" t="n">
        <x:f>R369*(1+Premissas!$B$41)+N370</x:f>
        <x:v>22164904.224989075</x:v>
      </x:c>
      <x:c r="P370" s="141" t="n">
        <x:f>MAX(0,-O370)</x:f>
        <x:v>0</x:v>
      </x:c>
      <x:c r="Q370" s="141" t="n">
        <x:f>Q369*(1+Premissas!$B$41)+P370</x:f>
        <x:v>0</x:v>
      </x:c>
      <x:c r="R370" s="141" t="n">
        <x:f>MAX(0,O370)</x:f>
        <x:v>22164904.224989075</x:v>
      </x:c>
      <x:c r="S370" s="141" t="n">
        <x:f>IF(AND($A370&gt;=Premissas!$B$48,$A370-Premissas!$B$48+1&lt;=Premissas!$B$13),INDEX(Financiamento!$M$6:$M$485,$A370-Premissas!$B$48+1),0)</x:f>
        <x:v>20571.428571428594</x:v>
      </x:c>
      <x:c r="T370" s="141" t="n">
        <x:f>IF($A370&gt;=Premissas!$B$48,$F370,0)</x:f>
        <x:v>1176928.4579061214</x:v>
      </x:c>
      <x:c r="U370" s="141" t="n">
        <x:f>R370+T370-S370</x:f>
        <x:v>23321261.25432377</x:v>
      </x:c>
      <x:c r="V370" s="141" t="n">
        <x:f>IF(Q370&gt;1,"Inviavel",U370)</x:f>
        <x:v>23321261.25432377</x:v>
      </x:c>
      <x:c r="W370" s="141" t="str">
        <x:f>IF(Q370&gt;1,"Inviavel","OK")</x:f>
        <x:v>OK</x:v>
      </x:c>
      <x:c r="X370" s="141" t="n">
        <x:f>IF($A370=Premissas!$B$48,Premissas!$B$8,0)</x:f>
        <x:v>0</x:v>
      </x:c>
      <x:c r="Y370" s="141" t="n">
        <x:f>IF(AND($A370&gt;=Premissas!$B$48,$A370-Premissas!$B$48+1&lt;=Premissas!$B$13),INDEX(Amortizacao!$K$6:$K$485,$A370-Premissas!$B$48+1),0)</x:f>
        <x:v>0</x:v>
      </x:c>
      <x:c r="Z370" s="141" t="n">
        <x:f>IF(AND(TRUE,Premissas!$B$11="Imovel",Premissas!$B$47="Moradia",$A370&lt;MAX(Premissas!$B$48,Premissas!$B$49)),$D370,0)</x:f>
        <x:v>0</x:v>
      </x:c>
      <x:c r="AA370" s="141" t="n">
        <x:f>IF(AND(TRUE,Premissas!$B$11="Imovel",Premissas!$B$47="Investimento",$A370&gt;=MAX(Premissas!$B$48,Premissas!$B$49)),$E370,0)</x:f>
        <x:v>3675.8343506644856</x:v>
      </x:c>
      <x:c r="AB370" s="141" t="n">
        <x:f>X370+Y370+Z370</x:f>
        <x:v>0</x:v>
      </x:c>
      <x:c r="AC370" s="141" t="n">
        <x:f>AA370</x:f>
        <x:v>3675.8343506644856</x:v>
      </x:c>
      <x:c r="AD370" s="141" t="n">
        <x:f>$C370+AC370-AB370</x:f>
        <x:v>10675.834350664485</x:v>
      </x:c>
      <x:c r="AE370" s="141" t="n">
        <x:f>AH369*(1+Premissas!$B$41)+AD370</x:f>
        <x:v>22516933.804054562</x:v>
      </x:c>
      <x:c r="AF370" s="141" t="n">
        <x:f>MAX(0,-AE370)</x:f>
        <x:v>0</x:v>
      </x:c>
      <x:c r="AG370" s="141" t="n">
        <x:f>AG369*(1+Premissas!$B$41)+AF370</x:f>
        <x:v>0</x:v>
      </x:c>
      <x:c r="AH370" s="141" t="n">
        <x:f>MAX(0,AE370)</x:f>
        <x:v>22516933.804054562</x:v>
      </x:c>
      <x:c r="AI370" s="141" t="n">
        <x:f>IF(AND($A370&gt;=Premissas!$B$48,$A370-Premissas!$B$48+1&lt;=Premissas!$B$13),INDEX(Amortizacao!$L$6:$L$485,$A370-Premissas!$B$48+1),0)</x:f>
        <x:v>0</x:v>
      </x:c>
      <x:c r="AJ370" s="141" t="n">
        <x:f>IF($A370&gt;=Premissas!$B$48,$F370,0)</x:f>
        <x:v>1176928.4579061214</x:v>
      </x:c>
      <x:c r="AK370" s="141" t="n">
        <x:f>AH370+AJ370-AI370</x:f>
        <x:v>23693862.261960685</x:v>
      </x:c>
      <x:c r="AL370" s="141" t="n">
        <x:f>IF(AG370&gt;1,"Inviavel",AK370)</x:f>
        <x:v>23693862.261960685</x:v>
      </x:c>
      <x:c r="AM370" s="141" t="str">
        <x:f>IF(AG370&gt;1,"Inviavel","OK")</x:f>
        <x:v>OK</x:v>
      </x:c>
      <x:c r="AN370" s="141" t="n">
        <x:f>IF($A370=Premissas!$B$48,Premissas!$B$8,0)</x:f>
        <x:v>0</x:v>
      </x:c>
      <x:c r="AO370" s="141" t="n">
        <x:f>IF($A370&lt;=Premissas!$B$25,INDEX('Consorcio IQ'!$K$6:$K$485,$A370),0)</x:f>
        <x:v>0</x:v>
      </x:c>
      <x:c r="AP370" s="141" t="n">
        <x:f>IF(AND(TRUE,Premissas!$B$11="Imovel",Premissas!$B$47="Moradia",$A370&lt;MAX(Premissas!$B$48,Premissas!$B$49)),$D370,0)</x:f>
        <x:v>0</x:v>
      </x:c>
      <x:c r="AQ370" s="141" t="n">
        <x:f>IF(AND(TRUE,Premissas!$B$11="Imovel",Premissas!$B$47="Investimento",$A370&gt;=MAX(Premissas!$B$48,Premissas!$B$49)),$E370,0)</x:f>
        <x:v>3675.8343506644856</x:v>
      </x:c>
      <x:c r="AR370" s="141" t="n">
        <x:f>AN370+AO370+AP370</x:f>
        <x:v>0</x:v>
      </x:c>
      <x:c r="AS370" s="141" t="n">
        <x:f>AQ370</x:f>
        <x:v>3675.8343506644856</x:v>
      </x:c>
      <x:c r="AT370" s="141" t="n">
        <x:f>$C370+AS370-AR370</x:f>
        <x:v>10675.834350664485</x:v>
      </x:c>
      <x:c r="AU370" s="141" t="n">
        <x:f>AX369*(1+Premissas!$B$41)+AT370</x:f>
        <x:v>22335414.778503597</x:v>
      </x:c>
      <x:c r="AV370" s="141" t="n">
        <x:f>MAX(0,-AU370)</x:f>
        <x:v>0</x:v>
      </x:c>
      <x:c r="AW370" s="141" t="n">
        <x:f>AW369*(1+Premissas!$B$41)+AV370</x:f>
        <x:v>0</x:v>
      </x:c>
      <x:c r="AX370" s="141" t="n">
        <x:f>MAX(0,AU370)</x:f>
        <x:v>22335414.778503597</x:v>
      </x:c>
      <x:c r="AY370" s="141" t="n">
        <x:f>INDEX('Consorcio IQ'!$P$6:$P$485,$A370)</x:f>
        <x:v>0</x:v>
      </x:c>
      <x:c r="AZ370" s="141" t="n">
        <x:f>IF($A370&gt;=Premissas!$B$48,$F370,0)+IF($A370&lt;Premissas!$B$27,INDEX('Consorcio IQ'!$O$6:$O$485,$A370),0)</x:f>
        <x:v>1176928.4579061214</x:v>
      </x:c>
      <x:c r="BA370" s="141" t="n">
        <x:f>AX370+AZ370-AY370</x:f>
        <x:v>23512343.236409716</x:v>
      </x:c>
      <x:c r="BB370" s="141" t="n">
        <x:f>IF(AW370&gt;1,"Inviavel",BA370)</x:f>
        <x:v>23512343.236409716</x:v>
      </x:c>
      <x:c r="BC370" s="141" t="str">
        <x:f>IF(AW370&gt;1,"Inviavel","OK")</x:f>
        <x:v>OK</x:v>
      </x:c>
      <x:c r="BD370" s="141" t="n">
        <x:f>IF($A370='Consorcio Direto'!$B$29,'Consorcio Direto'!$B$44,0)</x:f>
        <x:v>0</x:v>
      </x:c>
      <x:c r="BE370" s="141" t="n">
        <x:f>IF($A370&lt;='Consorcio Direto'!$B$27,INDEX('Consorcio Direto'!$E$55:$E$534,$A370),0)</x:f>
        <x:v>0</x:v>
      </x:c>
      <x:c r="BF370" s="141" t="n">
        <x:f>IF(AND(TRUE,Premissas!$B$11="Imovel",Premissas!$B$47="Moradia",$A370&lt;MAX('Consorcio Direto'!$B$29,Premissas!$B$49)),$D370,0)</x:f>
        <x:v>0</x:v>
      </x:c>
      <x:c r="BG370" s="141" t="n">
        <x:f>IF(AND(TRUE,Premissas!$B$11="Imovel",Premissas!$B$47="Investimento",$A370&gt;=MAX('Consorcio Direto'!$B$29,Premissas!$B$49)),$E370,0)</x:f>
        <x:v>3675.8343506644856</x:v>
      </x:c>
      <x:c r="BH370" s="141" t="n">
        <x:f>BD370+BE370+BF370</x:f>
        <x:v>0</x:v>
      </x:c>
      <x:c r="BI370" s="141" t="n">
        <x:f>BG370</x:f>
        <x:v>3675.8343506644856</x:v>
      </x:c>
      <x:c r="BJ370" s="141" t="n">
        <x:f>$C370+BI370-BH370</x:f>
        <x:v>10675.834350664485</x:v>
      </x:c>
      <x:c r="BK370" s="141" t="n">
        <x:f>BN369*(1+Premissas!$B$41)+BJ370</x:f>
        <x:v>21354415.286406666</x:v>
      </x:c>
      <x:c r="BL370" s="141" t="n">
        <x:f>MAX(0,-BK370)</x:f>
        <x:v>0</x:v>
      </x:c>
      <x:c r="BM370" s="141" t="n">
        <x:f>BM369*(1+Premissas!$B$41)+BL370</x:f>
        <x:v>0</x:v>
      </x:c>
      <x:c r="BN370" s="141" t="n">
        <x:f>MAX(0,BK370)</x:f>
        <x:v>21354415.286406666</x:v>
      </x:c>
      <x:c r="BO370" s="141" t="n">
        <x:f>INDEX('Consorcio Direto'!$K$55:$K$534,$A370)</x:f>
        <x:v>0</x:v>
      </x:c>
      <x:c r="BP370" s="141" t="n">
        <x:f>IF($A370&lt;'Consorcio Direto'!$B$29,INDEX('Consorcio Direto'!$L$55:$L$534,$A370),$F370)</x:f>
        <x:v>1176928.4579061214</x:v>
      </x:c>
      <x:c r="BQ370" s="141" t="n">
        <x:f>BN370+BP370-BO370</x:f>
        <x:v>22531343.744312786</x:v>
      </x:c>
      <x:c r="BR370" s="141" t="n">
        <x:f>IF(BM370&gt;1,"Inviavel",BQ370)</x:f>
        <x:v>22531343.744312786</x:v>
      </x:c>
      <x:c r="BS370" s="141" t="str">
        <x:f>IF(BM370&gt;1,"Inviavel","OK")</x:f>
        <x:v>OK</x:v>
      </x:c>
      <x:c r="BT370" s="141" t="n">
        <x:f>IF(AND('Carta Contemplada'!$B$22="Sim",$A370='Carta Contemplada'!$B$23),'Carta Contemplada'!$B$37,0)</x:f>
        <x:v>0</x:v>
      </x:c>
      <x:c r="BU370" s="141" t="n">
        <x:f>IF('Carta Contemplada'!$B$22="Sim",INDEX('Carta Contemplada'!$C$55:$C$1013,$A370),0)</x:f>
        <x:v>0</x:v>
      </x:c>
      <x:c r="BV370" s="141" t="n">
        <x:f>IF(AND('Carta Contemplada'!$B$22="Sim",Premissas!$B$11="Imovel",Premissas!$B$47="Moradia",$A370&lt;MAX('Carta Contemplada'!$B$44,Premissas!$B$49)),$D370,0)</x:f>
        <x:v>0</x:v>
      </x:c>
      <x:c r="BW370" s="141" t="n">
        <x:f>IF(AND('Carta Contemplada'!$B$22="Sim",Premissas!$B$11="Imovel",Premissas!$B$47="Investimento",$A370&gt;=MAX('Carta Contemplada'!$B$44,Premissas!$B$49)),$E370,0)</x:f>
        <x:v>3675.8343506644856</x:v>
      </x:c>
      <x:c r="BX370" s="141" t="n">
        <x:f>BT370+BU370+BV370</x:f>
        <x:v>0</x:v>
      </x:c>
      <x:c r="BY370" s="141" t="n">
        <x:f>BW370</x:f>
        <x:v>3675.8343506644856</x:v>
      </x:c>
      <x:c r="BZ370" s="141" t="n">
        <x:f>$C370+BY370-BX370</x:f>
        <x:v>10675.834350664485</x:v>
      </x:c>
      <x:c r="CA370" s="141" t="n">
        <x:f>CD369*(1+Premissas!$B$41)+BZ370</x:f>
        <x:v>22974690.673017792</x:v>
      </x:c>
      <x:c r="CB370" s="141" t="n">
        <x:f>MAX(0,-CA370)</x:f>
        <x:v>0</x:v>
      </x:c>
      <x:c r="CC370" s="141" t="n">
        <x:f>CC369*(1+Premissas!$B$41)+CB370</x:f>
        <x:v>0</x:v>
      </x:c>
      <x:c r="CD370" s="141" t="n">
        <x:f>MAX(0,CA370)</x:f>
        <x:v>22974690.673017792</x:v>
      </x:c>
      <x:c r="CE370" s="141" t="n">
        <x:f>IF(AND('Carta Contemplada'!$B$22="Sim",$A370&gt;='Carta Contemplada'!$B$23),INDEX('Carta Contemplada'!$I$55:$I$1013,$A370),0)</x:f>
        <x:v>0</x:v>
      </x:c>
      <x:c r="CF370" s="141" t="n">
        <x:f>IF(AND('Carta Contemplada'!$B$22="Sim",$A370&gt;='Carta Contemplada'!$B$44),$F370,0)</x:f>
        <x:v>1176928.4579061214</x:v>
      </x:c>
      <x:c r="CG370" s="141" t="n">
        <x:f>CD370+CF370-CE370</x:f>
        <x:v>24151619.130923912</x:v>
      </x:c>
      <x:c r="CH370" s="141" t="n">
        <x:f>IF(CC370&gt;1,"Inviavel",CG370)</x:f>
        <x:v>24151619.130923912</x:v>
      </x:c>
      <x:c r="CI370" s="145" t="str">
        <x:f>IF(CC370&gt;1,"Inviavel","OK")</x:f>
        <x:v>OK</x:v>
      </x:c>
    </x:row>
    <x:row r="371">
      <x:c r="A371" s="142" t="n">
        <x:v>367</x:v>
      </x:c>
      <x:c r="B371" s="179" t="n">
        <x:f>EDATE(Premissas!$B$4,A371-1)</x:f>
        <x:v>57680</x:v>
      </x:c>
      <x:c r="C371" s="141" t="n">
        <x:f>IF(A371&lt;=Premissas!$B$39,Premissas!$B$42,0)</x:f>
        <x:v>7000</x:v>
      </x:c>
      <x:c r="D371" s="141" t="n">
        <x:f>Premissas!$B$54*(1+Premissas!$B$57)^INT((A371-1)/12)</x:f>
        <x:v>4020.443821039281</x:v>
      </x:c>
      <x:c r="E371" s="141" t="n">
        <x:f>Premissas!$B$64*(1+Premissas!$B$57)^INT((A371-1)/12)</x:f>
        <x:v>3675.8343506644856</x:v>
      </x:c>
      <x:c r="F371" s="141" t="n">
        <x:f>MAX(0,Premissas!$B$6*(1+Premissas!$B$66)^((A371-1)/12))</x:f>
        <x:v>1182657.2166867706</x:v>
      </x:c>
      <x:c r="G371" s="141" t="n">
        <x:f>G370*(1+Premissas!$B$41)+C371</x:f>
        <x:v>25728180.18461772</x:v>
      </x:c>
      <x:c r="H371" s="141" t="n">
        <x:f>IF($A371=Premissas!$B$48,Premissas!$B$8,0)</x:f>
        <x:v>0</x:v>
      </x:c>
      <x:c r="I371" s="141" t="n">
        <x:f>IF(AND($A371&gt;=Premissas!$B$48,$A371-Premissas!$B$48+1&lt;=Premissas!$B$13),INDEX(Financiamento!$J$6:$J$485,$A371-Premissas!$B$48+1),0)</x:f>
        <x:v>726.1504070352328</x:v>
      </x:c>
      <x:c r="J371" s="141" t="n">
        <x:f>IF(AND(TRUE,Premissas!$B$11="Imovel",Premissas!$B$47="Moradia",$A371&lt;MAX(Premissas!$B$48,Premissas!$B$49)),$D371,0)</x:f>
        <x:v>0</x:v>
      </x:c>
      <x:c r="K371" s="141" t="n">
        <x:f>IF(AND(TRUE,Premissas!$B$11="Imovel",Premissas!$B$47="Investimento",$A371&gt;=MAX(Premissas!$B$48,Premissas!$B$49)),$E371,0)</x:f>
        <x:v>3675.8343506644856</x:v>
      </x:c>
      <x:c r="L371" s="141" t="n">
        <x:f>H371+I371+J371</x:f>
        <x:v>726.1504070352328</x:v>
      </x:c>
      <x:c r="M371" s="141" t="n">
        <x:f>K371</x:f>
        <x:v>3675.8343506644856</x:v>
      </x:c>
      <x:c r="N371" s="141" t="n">
        <x:f>$C371+M371-L371</x:f>
        <x:v>9949.683943629252</x:v>
      </x:c>
      <x:c r="O371" s="141" t="n">
        <x:f>R370*(1+Premissas!$B$41)+N371</x:f>
        <x:v>22385172.09553849</x:v>
      </x:c>
      <x:c r="P371" s="141" t="n">
        <x:f>MAX(0,-O371)</x:f>
        <x:v>0</x:v>
      </x:c>
      <x:c r="Q371" s="141" t="n">
        <x:f>Q370*(1+Premissas!$B$41)+P371</x:f>
        <x:v>0</x:v>
      </x:c>
      <x:c r="R371" s="141" t="n">
        <x:f>MAX(0,O371)</x:f>
        <x:v>22385172.09553849</x:v>
      </x:c>
      <x:c r="S371" s="141" t="n">
        <x:f>IF(AND($A371&gt;=Premissas!$B$48,$A371-Premissas!$B$48+1&lt;=Premissas!$B$13),INDEX(Financiamento!$M$6:$M$485,$A371-Premissas!$B$48+1),0)</x:f>
        <x:v>20190.476190476213</x:v>
      </x:c>
      <x:c r="T371" s="141" t="n">
        <x:f>IF($A371&gt;=Premissas!$B$48,$F371,0)</x:f>
        <x:v>1182657.2166867706</x:v>
      </x:c>
      <x:c r="U371" s="141" t="n">
        <x:f>R371+T371-S371</x:f>
        <x:v>23547638.836034782</x:v>
      </x:c>
      <x:c r="V371" s="141" t="n">
        <x:f>IF(Q371&gt;1,"Inviavel",U371)</x:f>
        <x:v>23547638.836034782</x:v>
      </x:c>
      <x:c r="W371" s="141" t="str">
        <x:f>IF(Q371&gt;1,"Inviavel","OK")</x:f>
        <x:v>OK</x:v>
      </x:c>
      <x:c r="X371" s="141" t="n">
        <x:f>IF($A371=Premissas!$B$48,Premissas!$B$8,0)</x:f>
        <x:v>0</x:v>
      </x:c>
      <x:c r="Y371" s="141" t="n">
        <x:f>IF(AND($A371&gt;=Premissas!$B$48,$A371-Premissas!$B$48+1&lt;=Premissas!$B$13),INDEX(Amortizacao!$K$6:$K$485,$A371-Premissas!$B$48+1),0)</x:f>
        <x:v>0</x:v>
      </x:c>
      <x:c r="Z371" s="141" t="n">
        <x:f>IF(AND(TRUE,Premissas!$B$11="Imovel",Premissas!$B$47="Moradia",$A371&lt;MAX(Premissas!$B$48,Premissas!$B$49)),$D371,0)</x:f>
        <x:v>0</x:v>
      </x:c>
      <x:c r="AA371" s="141" t="n">
        <x:f>IF(AND(TRUE,Premissas!$B$11="Imovel",Premissas!$B$47="Investimento",$A371&gt;=MAX(Premissas!$B$48,Premissas!$B$49)),$E371,0)</x:f>
        <x:v>3675.8343506644856</x:v>
      </x:c>
      <x:c r="AB371" s="141" t="n">
        <x:f>X371+Y371+Z371</x:f>
        <x:v>0</x:v>
      </x:c>
      <x:c r="AC371" s="141" t="n">
        <x:f>AA371</x:f>
        <x:v>3675.8343506644856</x:v>
      </x:c>
      <x:c r="AD371" s="141" t="n">
        <x:f>$C371+AC371-AB371</x:f>
        <x:v>10675.834350664485</x:v>
      </x:c>
      <x:c r="AE371" s="141" t="n">
        <x:f>AH370*(1+Premissas!$B$41)+AD371</x:f>
        <x:v>22741268.160793614</x:v>
      </x:c>
      <x:c r="AF371" s="141" t="n">
        <x:f>MAX(0,-AE371)</x:f>
        <x:v>0</x:v>
      </x:c>
      <x:c r="AG371" s="141" t="n">
        <x:f>AG370*(1+Premissas!$B$41)+AF371</x:f>
        <x:v>0</x:v>
      </x:c>
      <x:c r="AH371" s="141" t="n">
        <x:f>MAX(0,AE371)</x:f>
        <x:v>22741268.160793614</x:v>
      </x:c>
      <x:c r="AI371" s="141" t="n">
        <x:f>IF(AND($A371&gt;=Premissas!$B$48,$A371-Premissas!$B$48+1&lt;=Premissas!$B$13),INDEX(Amortizacao!$L$6:$L$485,$A371-Premissas!$B$48+1),0)</x:f>
        <x:v>0</x:v>
      </x:c>
      <x:c r="AJ371" s="141" t="n">
        <x:f>IF($A371&gt;=Premissas!$B$48,$F371,0)</x:f>
        <x:v>1182657.2166867706</x:v>
      </x:c>
      <x:c r="AK371" s="141" t="n">
        <x:f>AH371+AJ371-AI371</x:f>
        <x:v>23923925.377480384</x:v>
      </x:c>
      <x:c r="AL371" s="141" t="n">
        <x:f>IF(AG371&gt;1,"Inviavel",AK371)</x:f>
        <x:v>23923925.377480384</x:v>
      </x:c>
      <x:c r="AM371" s="141" t="str">
        <x:f>IF(AG371&gt;1,"Inviavel","OK")</x:f>
        <x:v>OK</x:v>
      </x:c>
      <x:c r="AN371" s="141" t="n">
        <x:f>IF($A371=Premissas!$B$48,Premissas!$B$8,0)</x:f>
        <x:v>0</x:v>
      </x:c>
      <x:c r="AO371" s="141" t="n">
        <x:f>IF($A371&lt;=Premissas!$B$25,INDEX('Consorcio IQ'!$K$6:$K$485,$A371),0)</x:f>
        <x:v>0</x:v>
      </x:c>
      <x:c r="AP371" s="141" t="n">
        <x:f>IF(AND(TRUE,Premissas!$B$11="Imovel",Premissas!$B$47="Moradia",$A371&lt;MAX(Premissas!$B$48,Premissas!$B$49)),$D371,0)</x:f>
        <x:v>0</x:v>
      </x:c>
      <x:c r="AQ371" s="141" t="n">
        <x:f>IF(AND(TRUE,Premissas!$B$11="Imovel",Premissas!$B$47="Investimento",$A371&gt;=MAX(Premissas!$B$48,Premissas!$B$49)),$E371,0)</x:f>
        <x:v>3675.8343506644856</x:v>
      </x:c>
      <x:c r="AR371" s="141" t="n">
        <x:f>AN371+AO371+AP371</x:f>
        <x:v>0</x:v>
      </x:c>
      <x:c r="AS371" s="141" t="n">
        <x:f>AQ371</x:f>
        <x:v>3675.8343506644856</x:v>
      </x:c>
      <x:c r="AT371" s="141" t="n">
        <x:f>$C371+AS371-AR371</x:f>
        <x:v>10675.834350664485</x:v>
      </x:c>
      <x:c r="AU371" s="141" t="n">
        <x:f>AX370*(1+Premissas!$B$41)+AT371</x:f>
        <x:v>22558026.738795508</x:v>
      </x:c>
      <x:c r="AV371" s="141" t="n">
        <x:f>MAX(0,-AU371)</x:f>
        <x:v>0</x:v>
      </x:c>
      <x:c r="AW371" s="141" t="n">
        <x:f>AW370*(1+Premissas!$B$41)+AV371</x:f>
        <x:v>0</x:v>
      </x:c>
      <x:c r="AX371" s="141" t="n">
        <x:f>MAX(0,AU371)</x:f>
        <x:v>22558026.738795508</x:v>
      </x:c>
      <x:c r="AY371" s="141" t="n">
        <x:f>INDEX('Consorcio IQ'!$P$6:$P$485,$A371)</x:f>
        <x:v>0</x:v>
      </x:c>
      <x:c r="AZ371" s="141" t="n">
        <x:f>IF($A371&gt;=Premissas!$B$48,$F371,0)+IF($A371&lt;Premissas!$B$27,INDEX('Consorcio IQ'!$O$6:$O$485,$A371),0)</x:f>
        <x:v>1182657.2166867706</x:v>
      </x:c>
      <x:c r="BA371" s="141" t="n">
        <x:f>AX371+AZ371-AY371</x:f>
        <x:v>23740683.955482278</x:v>
      </x:c>
      <x:c r="BB371" s="141" t="n">
        <x:f>IF(AW371&gt;1,"Inviavel",BA371)</x:f>
        <x:v>23740683.955482278</x:v>
      </x:c>
      <x:c r="BC371" s="141" t="str">
        <x:f>IF(AW371&gt;1,"Inviavel","OK")</x:f>
        <x:v>OK</x:v>
      </x:c>
      <x:c r="BD371" s="141" t="n">
        <x:f>IF($A371='Consorcio Direto'!$B$29,'Consorcio Direto'!$B$44,0)</x:f>
        <x:v>0</x:v>
      </x:c>
      <x:c r="BE371" s="141" t="n">
        <x:f>IF($A371&lt;='Consorcio Direto'!$B$27,INDEX('Consorcio Direto'!$E$55:$E$534,$A371),0)</x:f>
        <x:v>0</x:v>
      </x:c>
      <x:c r="BF371" s="141" t="n">
        <x:f>IF(AND(TRUE,Premissas!$B$11="Imovel",Premissas!$B$47="Moradia",$A371&lt;MAX('Consorcio Direto'!$B$29,Premissas!$B$49)),$D371,0)</x:f>
        <x:v>0</x:v>
      </x:c>
      <x:c r="BG371" s="141" t="n">
        <x:f>IF(AND(TRUE,Premissas!$B$11="Imovel",Premissas!$B$47="Investimento",$A371&gt;=MAX('Consorcio Direto'!$B$29,Premissas!$B$49)),$E371,0)</x:f>
        <x:v>3675.8343506644856</x:v>
      </x:c>
      <x:c r="BH371" s="141" t="n">
        <x:f>BD371+BE371+BF371</x:f>
        <x:v>0</x:v>
      </x:c>
      <x:c r="BI371" s="141" t="n">
        <x:f>BG371</x:f>
        <x:v>3675.8343506644856</x:v>
      </x:c>
      <x:c r="BJ371" s="141" t="n">
        <x:f>$C371+BI371-BH371</x:f>
        <x:v>10675.834350664485</x:v>
      </x:c>
      <x:c r="BK371" s="141" t="n">
        <x:f>BN370*(1+Premissas!$B$41)+BJ371</x:f>
        <x:v>21567718.745649137</x:v>
      </x:c>
      <x:c r="BL371" s="141" t="n">
        <x:f>MAX(0,-BK371)</x:f>
        <x:v>0</x:v>
      </x:c>
      <x:c r="BM371" s="141" t="n">
        <x:f>BM370*(1+Premissas!$B$41)+BL371</x:f>
        <x:v>0</x:v>
      </x:c>
      <x:c r="BN371" s="141" t="n">
        <x:f>MAX(0,BK371)</x:f>
        <x:v>21567718.745649137</x:v>
      </x:c>
      <x:c r="BO371" s="141" t="n">
        <x:f>INDEX('Consorcio Direto'!$K$55:$K$534,$A371)</x:f>
        <x:v>0</x:v>
      </x:c>
      <x:c r="BP371" s="141" t="n">
        <x:f>IF($A371&lt;'Consorcio Direto'!$B$29,INDEX('Consorcio Direto'!$L$55:$L$534,$A371),$F371)</x:f>
        <x:v>1182657.2166867706</x:v>
      </x:c>
      <x:c r="BQ371" s="141" t="n">
        <x:f>BN371+BP371-BO371</x:f>
        <x:v>22750375.962335907</x:v>
      </x:c>
      <x:c r="BR371" s="141" t="n">
        <x:f>IF(BM371&gt;1,"Inviavel",BQ371)</x:f>
        <x:v>22750375.962335907</x:v>
      </x:c>
      <x:c r="BS371" s="141" t="str">
        <x:f>IF(BM371&gt;1,"Inviavel","OK")</x:f>
        <x:v>OK</x:v>
      </x:c>
      <x:c r="BT371" s="141" t="n">
        <x:f>IF(AND('Carta Contemplada'!$B$22="Sim",$A371='Carta Contemplada'!$B$23),'Carta Contemplada'!$B$37,0)</x:f>
        <x:v>0</x:v>
      </x:c>
      <x:c r="BU371" s="141" t="n">
        <x:f>IF('Carta Contemplada'!$B$22="Sim",INDEX('Carta Contemplada'!$C$55:$C$1013,$A371),0)</x:f>
        <x:v>0</x:v>
      </x:c>
      <x:c r="BV371" s="141" t="n">
        <x:f>IF(AND('Carta Contemplada'!$B$22="Sim",Premissas!$B$11="Imovel",Premissas!$B$47="Moradia",$A371&lt;MAX('Carta Contemplada'!$B$44,Premissas!$B$49)),$D371,0)</x:f>
        <x:v>0</x:v>
      </x:c>
      <x:c r="BW371" s="141" t="n">
        <x:f>IF(AND('Carta Contemplada'!$B$22="Sim",Premissas!$B$11="Imovel",Premissas!$B$47="Investimento",$A371&gt;=MAX('Carta Contemplada'!$B$44,Premissas!$B$49)),$E371,0)</x:f>
        <x:v>3675.8343506644856</x:v>
      </x:c>
      <x:c r="BX371" s="141" t="n">
        <x:f>BT371+BU371+BV371</x:f>
        <x:v>0</x:v>
      </x:c>
      <x:c r="BY371" s="141" t="n">
        <x:f>BW371</x:f>
        <x:v>3675.8343506644856</x:v>
      </x:c>
      <x:c r="BZ371" s="141" t="n">
        <x:f>$C371+BY371-BX371</x:f>
        <x:v>10675.834350664485</x:v>
      </x:c>
      <x:c r="CA371" s="141" t="n">
        <x:f>CD370*(1+Premissas!$B$41)+BZ371</x:f>
        <x:v>23203368.589900818</x:v>
      </x:c>
      <x:c r="CB371" s="141" t="n">
        <x:f>MAX(0,-CA371)</x:f>
        <x:v>0</x:v>
      </x:c>
      <x:c r="CC371" s="141" t="n">
        <x:f>CC370*(1+Premissas!$B$41)+CB371</x:f>
        <x:v>0</x:v>
      </x:c>
      <x:c r="CD371" s="141" t="n">
        <x:f>MAX(0,CA371)</x:f>
        <x:v>23203368.589900818</x:v>
      </x:c>
      <x:c r="CE371" s="141" t="n">
        <x:f>IF(AND('Carta Contemplada'!$B$22="Sim",$A371&gt;='Carta Contemplada'!$B$23),INDEX('Carta Contemplada'!$I$55:$I$1013,$A371),0)</x:f>
        <x:v>0</x:v>
      </x:c>
      <x:c r="CF371" s="141" t="n">
        <x:f>IF(AND('Carta Contemplada'!$B$22="Sim",$A371&gt;='Carta Contemplada'!$B$44),$F371,0)</x:f>
        <x:v>1182657.2166867706</x:v>
      </x:c>
      <x:c r="CG371" s="141" t="n">
        <x:f>CD371+CF371-CE371</x:f>
        <x:v>24386025.806587588</x:v>
      </x:c>
      <x:c r="CH371" s="141" t="n">
        <x:f>IF(CC371&gt;1,"Inviavel",CG371)</x:f>
        <x:v>24386025.806587588</x:v>
      </x:c>
      <x:c r="CI371" s="145" t="str">
        <x:f>IF(CC371&gt;1,"Inviavel","OK")</x:f>
        <x:v>OK</x:v>
      </x:c>
    </x:row>
    <x:row r="372">
      <x:c r="A372" s="142" t="n">
        <x:v>368</x:v>
      </x:c>
      <x:c r="B372" s="179" t="n">
        <x:f>EDATE(Premissas!$B$4,A372-1)</x:f>
        <x:v>57711</x:v>
      </x:c>
      <x:c r="C372" s="141" t="n">
        <x:f>IF(A372&lt;=Premissas!$B$39,Premissas!$B$42,0)</x:f>
        <x:v>7000</x:v>
      </x:c>
      <x:c r="D372" s="141" t="n">
        <x:f>Premissas!$B$54*(1+Premissas!$B$57)^INT((A372-1)/12)</x:f>
        <x:v>4020.443821039281</x:v>
      </x:c>
      <x:c r="E372" s="141" t="n">
        <x:f>Premissas!$B$64*(1+Premissas!$B$57)^INT((A372-1)/12)</x:f>
        <x:v>3675.8343506644856</x:v>
      </x:c>
      <x:c r="F372" s="141" t="n">
        <x:f>MAX(0,Premissas!$B$6*(1+Premissas!$B$66)^((A372-1)/12))</x:f>
        <x:v>1188413.860490461</x:v>
      </x:c>
      <x:c r="G372" s="141" t="n">
        <x:f>G371*(1+Premissas!$B$41)+C372</x:f>
        <x:v>25979309.5589732</x:v>
      </x:c>
      <x:c r="H372" s="141" t="n">
        <x:f>IF($A372=Premissas!$B$48,Premissas!$B$8,0)</x:f>
        <x:v>0</x:v>
      </x:c>
      <x:c r="I372" s="141" t="n">
        <x:f>IF(AND($A372&gt;=Premissas!$B$48,$A372-Premissas!$B$48+1&lt;=Premissas!$B$13),INDEX(Financiamento!$J$6:$J$485,$A372-Premissas!$B$48+1),0)</x:f>
        <x:v>722.5356287744393</x:v>
      </x:c>
      <x:c r="J372" s="141" t="n">
        <x:f>IF(AND(TRUE,Premissas!$B$11="Imovel",Premissas!$B$47="Moradia",$A372&lt;MAX(Premissas!$B$48,Premissas!$B$49)),$D372,0)</x:f>
        <x:v>0</x:v>
      </x:c>
      <x:c r="K372" s="141" t="n">
        <x:f>IF(AND(TRUE,Premissas!$B$11="Imovel",Premissas!$B$47="Investimento",$A372&gt;=MAX(Premissas!$B$48,Premissas!$B$49)),$E372,0)</x:f>
        <x:v>3675.8343506644856</x:v>
      </x:c>
      <x:c r="L372" s="141" t="n">
        <x:f>H372+I372+J372</x:f>
        <x:v>722.5356287744393</x:v>
      </x:c>
      <x:c r="M372" s="141" t="n">
        <x:f>K372</x:f>
        <x:v>3675.8343506644856</x:v>
      </x:c>
      <x:c r="N372" s="141" t="n">
        <x:f>$C372+M372-L372</x:f>
        <x:v>9953.298721890045</x:v>
      </x:c>
      <x:c r="O372" s="141" t="n">
        <x:f>R371*(1+Premissas!$B$41)+N372</x:f>
        <x:v>22607533.65707995</x:v>
      </x:c>
      <x:c r="P372" s="141" t="n">
        <x:f>MAX(0,-O372)</x:f>
        <x:v>0</x:v>
      </x:c>
      <x:c r="Q372" s="141" t="n">
        <x:f>Q371*(1+Premissas!$B$41)+P372</x:f>
        <x:v>0</x:v>
      </x:c>
      <x:c r="R372" s="141" t="n">
        <x:f>MAX(0,O372)</x:f>
        <x:v>22607533.65707995</x:v>
      </x:c>
      <x:c r="S372" s="141" t="n">
        <x:f>IF(AND($A372&gt;=Premissas!$B$48,$A372-Premissas!$B$48+1&lt;=Premissas!$B$13),INDEX(Financiamento!$M$6:$M$485,$A372-Premissas!$B$48+1),0)</x:f>
        <x:v>19809.52380952383</x:v>
      </x:c>
      <x:c r="T372" s="141" t="n">
        <x:f>IF($A372&gt;=Premissas!$B$48,$F372,0)</x:f>
        <x:v>1188413.860490461</x:v>
      </x:c>
      <x:c r="U372" s="141" t="n">
        <x:f>R372+T372-S372</x:f>
        <x:v>23776137.993760888</x:v>
      </x:c>
      <x:c r="V372" s="141" t="n">
        <x:f>IF(Q372&gt;1,"Inviavel",U372)</x:f>
        <x:v>23776137.993760888</x:v>
      </x:c>
      <x:c r="W372" s="141" t="str">
        <x:f>IF(Q372&gt;1,"Inviavel","OK")</x:f>
        <x:v>OK</x:v>
      </x:c>
      <x:c r="X372" s="141" t="n">
        <x:f>IF($A372=Premissas!$B$48,Premissas!$B$8,0)</x:f>
        <x:v>0</x:v>
      </x:c>
      <x:c r="Y372" s="141" t="n">
        <x:f>IF(AND($A372&gt;=Premissas!$B$48,$A372-Premissas!$B$48+1&lt;=Premissas!$B$13),INDEX(Amortizacao!$K$6:$K$485,$A372-Premissas!$B$48+1),0)</x:f>
        <x:v>0</x:v>
      </x:c>
      <x:c r="Z372" s="141" t="n">
        <x:f>IF(AND(TRUE,Premissas!$B$11="Imovel",Premissas!$B$47="Moradia",$A372&lt;MAX(Premissas!$B$48,Premissas!$B$49)),$D372,0)</x:f>
        <x:v>0</x:v>
      </x:c>
      <x:c r="AA372" s="141" t="n">
        <x:f>IF(AND(TRUE,Premissas!$B$11="Imovel",Premissas!$B$47="Investimento",$A372&gt;=MAX(Premissas!$B$48,Premissas!$B$49)),$E372,0)</x:f>
        <x:v>3675.8343506644856</x:v>
      </x:c>
      <x:c r="AB372" s="141" t="n">
        <x:f>X372+Y372+Z372</x:f>
        <x:v>0</x:v>
      </x:c>
      <x:c r="AC372" s="141" t="n">
        <x:f>AA372</x:f>
        <x:v>3675.8343506644856</x:v>
      </x:c>
      <x:c r="AD372" s="141" t="n">
        <x:f>$C372+AC372-AB372</x:f>
        <x:v>10675.834350664485</x:v>
      </x:c>
      <x:c r="AE372" s="141" t="n">
        <x:f>AH371*(1+Premissas!$B$41)+AD372</x:f>
        <x:v>22967731.179791875</x:v>
      </x:c>
      <x:c r="AF372" s="141" t="n">
        <x:f>MAX(0,-AE372)</x:f>
        <x:v>0</x:v>
      </x:c>
      <x:c r="AG372" s="141" t="n">
        <x:f>AG371*(1+Premissas!$B$41)+AF372</x:f>
        <x:v>0</x:v>
      </x:c>
      <x:c r="AH372" s="141" t="n">
        <x:f>MAX(0,AE372)</x:f>
        <x:v>22967731.179791875</x:v>
      </x:c>
      <x:c r="AI372" s="141" t="n">
        <x:f>IF(AND($A372&gt;=Premissas!$B$48,$A372-Premissas!$B$48+1&lt;=Premissas!$B$13),INDEX(Amortizacao!$L$6:$L$485,$A372-Premissas!$B$48+1),0)</x:f>
        <x:v>0</x:v>
      </x:c>
      <x:c r="AJ372" s="141" t="n">
        <x:f>IF($A372&gt;=Premissas!$B$48,$F372,0)</x:f>
        <x:v>1188413.860490461</x:v>
      </x:c>
      <x:c r="AK372" s="141" t="n">
        <x:f>AH372+AJ372-AI372</x:f>
        <x:v>24156145.040282335</x:v>
      </x:c>
      <x:c r="AL372" s="141" t="n">
        <x:f>IF(AG372&gt;1,"Inviavel",AK372)</x:f>
        <x:v>24156145.040282335</x:v>
      </x:c>
      <x:c r="AM372" s="141" t="str">
        <x:f>IF(AG372&gt;1,"Inviavel","OK")</x:f>
        <x:v>OK</x:v>
      </x:c>
      <x:c r="AN372" s="141" t="n">
        <x:f>IF($A372=Premissas!$B$48,Premissas!$B$8,0)</x:f>
        <x:v>0</x:v>
      </x:c>
      <x:c r="AO372" s="141" t="n">
        <x:f>IF($A372&lt;=Premissas!$B$25,INDEX('Consorcio IQ'!$K$6:$K$485,$A372),0)</x:f>
        <x:v>0</x:v>
      </x:c>
      <x:c r="AP372" s="141" t="n">
        <x:f>IF(AND(TRUE,Premissas!$B$11="Imovel",Premissas!$B$47="Moradia",$A372&lt;MAX(Premissas!$B$48,Premissas!$B$49)),$D372,0)</x:f>
        <x:v>0</x:v>
      </x:c>
      <x:c r="AQ372" s="141" t="n">
        <x:f>IF(AND(TRUE,Premissas!$B$11="Imovel",Premissas!$B$47="Investimento",$A372&gt;=MAX(Premissas!$B$48,Premissas!$B$49)),$E372,0)</x:f>
        <x:v>3675.8343506644856</x:v>
      </x:c>
      <x:c r="AR372" s="141" t="n">
        <x:f>AN372+AO372+AP372</x:f>
        <x:v>0</x:v>
      </x:c>
      <x:c r="AS372" s="141" t="n">
        <x:f>AQ372</x:f>
        <x:v>3675.8343506644856</x:v>
      </x:c>
      <x:c r="AT372" s="141" t="n">
        <x:f>$C372+AS372-AR372</x:f>
        <x:v>10675.834350664485</x:v>
      </x:c>
      <x:c r="AU372" s="141" t="n">
        <x:f>AX371*(1+Premissas!$B$41)+AT372</x:f>
        <x:v>22782751.01788339</x:v>
      </x:c>
      <x:c r="AV372" s="141" t="n">
        <x:f>MAX(0,-AU372)</x:f>
        <x:v>0</x:v>
      </x:c>
      <x:c r="AW372" s="141" t="n">
        <x:f>AW371*(1+Premissas!$B$41)+AV372</x:f>
        <x:v>0</x:v>
      </x:c>
      <x:c r="AX372" s="141" t="n">
        <x:f>MAX(0,AU372)</x:f>
        <x:v>22782751.01788339</x:v>
      </x:c>
      <x:c r="AY372" s="141" t="n">
        <x:f>INDEX('Consorcio IQ'!$P$6:$P$485,$A372)</x:f>
        <x:v>0</x:v>
      </x:c>
      <x:c r="AZ372" s="141" t="n">
        <x:f>IF($A372&gt;=Premissas!$B$48,$F372,0)+IF($A372&lt;Premissas!$B$27,INDEX('Consorcio IQ'!$O$6:$O$485,$A372),0)</x:f>
        <x:v>1188413.860490461</x:v>
      </x:c>
      <x:c r="BA372" s="141" t="n">
        <x:f>AX372+AZ372-AY372</x:f>
        <x:v>23971164.87837385</x:v>
      </x:c>
      <x:c r="BB372" s="141" t="n">
        <x:f>IF(AW372&gt;1,"Inviavel",BA372)</x:f>
        <x:v>23971164.87837385</x:v>
      </x:c>
      <x:c r="BC372" s="141" t="str">
        <x:f>IF(AW372&gt;1,"Inviavel","OK")</x:f>
        <x:v>OK</x:v>
      </x:c>
      <x:c r="BD372" s="141" t="n">
        <x:f>IF($A372='Consorcio Direto'!$B$29,'Consorcio Direto'!$B$44,0)</x:f>
        <x:v>0</x:v>
      </x:c>
      <x:c r="BE372" s="141" t="n">
        <x:f>IF($A372&lt;='Consorcio Direto'!$B$27,INDEX('Consorcio Direto'!$E$55:$E$534,$A372),0)</x:f>
        <x:v>0</x:v>
      </x:c>
      <x:c r="BF372" s="141" t="n">
        <x:f>IF(AND(TRUE,Premissas!$B$11="Imovel",Premissas!$B$47="Moradia",$A372&lt;MAX('Consorcio Direto'!$B$29,Premissas!$B$49)),$D372,0)</x:f>
        <x:v>0</x:v>
      </x:c>
      <x:c r="BG372" s="141" t="n">
        <x:f>IF(AND(TRUE,Premissas!$B$11="Imovel",Premissas!$B$47="Investimento",$A372&gt;=MAX('Consorcio Direto'!$B$29,Premissas!$B$49)),$E372,0)</x:f>
        <x:v>3675.8343506644856</x:v>
      </x:c>
      <x:c r="BH372" s="141" t="n">
        <x:f>BD372+BE372+BF372</x:f>
        <x:v>0</x:v>
      </x:c>
      <x:c r="BI372" s="141" t="n">
        <x:f>BG372</x:f>
        <x:v>3675.8343506644856</x:v>
      </x:c>
      <x:c r="BJ372" s="141" t="n">
        <x:f>$C372+BI372-BH372</x:f>
        <x:v>10675.834350664485</x:v>
      </x:c>
      <x:c r="BK372" s="141" t="n">
        <x:f>BN371*(1+Premissas!$B$41)+BJ372</x:f>
        <x:v>21783046.19724859</x:v>
      </x:c>
      <x:c r="BL372" s="141" t="n">
        <x:f>MAX(0,-BK372)</x:f>
        <x:v>0</x:v>
      </x:c>
      <x:c r="BM372" s="141" t="n">
        <x:f>BM371*(1+Premissas!$B$41)+BL372</x:f>
        <x:v>0</x:v>
      </x:c>
      <x:c r="BN372" s="141" t="n">
        <x:f>MAX(0,BK372)</x:f>
        <x:v>21783046.19724859</x:v>
      </x:c>
      <x:c r="BO372" s="141" t="n">
        <x:f>INDEX('Consorcio Direto'!$K$55:$K$534,$A372)</x:f>
        <x:v>0</x:v>
      </x:c>
      <x:c r="BP372" s="141" t="n">
        <x:f>IF($A372&lt;'Consorcio Direto'!$B$29,INDEX('Consorcio Direto'!$L$55:$L$534,$A372),$F372)</x:f>
        <x:v>1188413.860490461</x:v>
      </x:c>
      <x:c r="BQ372" s="141" t="n">
        <x:f>BN372+BP372-BO372</x:f>
        <x:v>22971460.05773905</x:v>
      </x:c>
      <x:c r="BR372" s="141" t="n">
        <x:f>IF(BM372&gt;1,"Inviavel",BQ372)</x:f>
        <x:v>22971460.05773905</x:v>
      </x:c>
      <x:c r="BS372" s="141" t="str">
        <x:f>IF(BM372&gt;1,"Inviavel","OK")</x:f>
        <x:v>OK</x:v>
      </x:c>
      <x:c r="BT372" s="141" t="n">
        <x:f>IF(AND('Carta Contemplada'!$B$22="Sim",$A372='Carta Contemplada'!$B$23),'Carta Contemplada'!$B$37,0)</x:f>
        <x:v>0</x:v>
      </x:c>
      <x:c r="BU372" s="141" t="n">
        <x:f>IF('Carta Contemplada'!$B$22="Sim",INDEX('Carta Contemplada'!$C$55:$C$1013,$A372),0)</x:f>
        <x:v>0</x:v>
      </x:c>
      <x:c r="BV372" s="141" t="n">
        <x:f>IF(AND('Carta Contemplada'!$B$22="Sim",Premissas!$B$11="Imovel",Premissas!$B$47="Moradia",$A372&lt;MAX('Carta Contemplada'!$B$44,Premissas!$B$49)),$D372,0)</x:f>
        <x:v>0</x:v>
      </x:c>
      <x:c r="BW372" s="141" t="n">
        <x:f>IF(AND('Carta Contemplada'!$B$22="Sim",Premissas!$B$11="Imovel",Premissas!$B$47="Investimento",$A372&gt;=MAX('Carta Contemplada'!$B$44,Premissas!$B$49)),$E372,0)</x:f>
        <x:v>3675.8343506644856</x:v>
      </x:c>
      <x:c r="BX372" s="141" t="n">
        <x:f>BT372+BU372+BV372</x:f>
        <x:v>0</x:v>
      </x:c>
      <x:c r="BY372" s="141" t="n">
        <x:f>BW372</x:f>
        <x:v>3675.8343506644856</x:v>
      </x:c>
      <x:c r="BZ372" s="141" t="n">
        <x:f>$C372+BY372-BX372</x:f>
        <x:v>10675.834350664485</x:v>
      </x:c>
      <x:c r="CA372" s="141" t="n">
        <x:f>CD371*(1+Premissas!$B$41)+BZ372</x:f>
        <x:v>23434216.384185858</x:v>
      </x:c>
      <x:c r="CB372" s="141" t="n">
        <x:f>MAX(0,-CA372)</x:f>
        <x:v>0</x:v>
      </x:c>
      <x:c r="CC372" s="141" t="n">
        <x:f>CC371*(1+Premissas!$B$41)+CB372</x:f>
        <x:v>0</x:v>
      </x:c>
      <x:c r="CD372" s="141" t="n">
        <x:f>MAX(0,CA372)</x:f>
        <x:v>23434216.384185858</x:v>
      </x:c>
      <x:c r="CE372" s="141" t="n">
        <x:f>IF(AND('Carta Contemplada'!$B$22="Sim",$A372&gt;='Carta Contemplada'!$B$23),INDEX('Carta Contemplada'!$I$55:$I$1013,$A372),0)</x:f>
        <x:v>0</x:v>
      </x:c>
      <x:c r="CF372" s="141" t="n">
        <x:f>IF(AND('Carta Contemplada'!$B$22="Sim",$A372&gt;='Carta Contemplada'!$B$44),$F372,0)</x:f>
        <x:v>1188413.860490461</x:v>
      </x:c>
      <x:c r="CG372" s="141" t="n">
        <x:f>CD372+CF372-CE372</x:f>
        <x:v>24622630.244676318</x:v>
      </x:c>
      <x:c r="CH372" s="141" t="n">
        <x:f>IF(CC372&gt;1,"Inviavel",CG372)</x:f>
        <x:v>24622630.244676318</x:v>
      </x:c>
      <x:c r="CI372" s="145" t="str">
        <x:f>IF(CC372&gt;1,"Inviavel","OK")</x:f>
        <x:v>OK</x:v>
      </x:c>
    </x:row>
    <x:row r="373">
      <x:c r="A373" s="142" t="n">
        <x:v>369</x:v>
      </x:c>
      <x:c r="B373" s="179" t="n">
        <x:f>EDATE(Premissas!$B$4,A373-1)</x:f>
        <x:v>57742</x:v>
      </x:c>
      <x:c r="C373" s="141" t="n">
        <x:f>IF(A373&lt;=Premissas!$B$39,Premissas!$B$42,0)</x:f>
        <x:v>7000</x:v>
      </x:c>
      <x:c r="D373" s="141" t="n">
        <x:f>Premissas!$B$54*(1+Premissas!$B$57)^INT((A373-1)/12)</x:f>
        <x:v>4020.443821039281</x:v>
      </x:c>
      <x:c r="E373" s="141" t="n">
        <x:f>Premissas!$B$64*(1+Premissas!$B$57)^INT((A373-1)/12)</x:f>
        <x:v>3675.8343506644856</x:v>
      </x:c>
      <x:c r="F373" s="141" t="n">
        <x:f>MAX(0,Premissas!$B$6*(1+Premissas!$B$66)^((A373-1)/12))</x:f>
        <x:v>1194198.5250489532</x:v>
      </x:c>
      <x:c r="G373" s="141" t="n">
        <x:f>G372*(1+Premissas!$B$41)+C373</x:f>
        <x:v>26232821.84796173</x:v>
      </x:c>
      <x:c r="H373" s="141" t="n">
        <x:f>IF($A373=Premissas!$B$48,Premissas!$B$8,0)</x:f>
        <x:v>0</x:v>
      </x:c>
      <x:c r="I373" s="141" t="n">
        <x:f>IF(AND($A373&gt;=Premissas!$B$48,$A373-Premissas!$B$48+1&lt;=Premissas!$B$13),INDEX(Financiamento!$J$6:$J$485,$A373-Premissas!$B$48+1),0)</x:f>
        <x:v>718.9208505136457</x:v>
      </x:c>
      <x:c r="J373" s="141" t="n">
        <x:f>IF(AND(TRUE,Premissas!$B$11="Imovel",Premissas!$B$47="Moradia",$A373&lt;MAX(Premissas!$B$48,Premissas!$B$49)),$D373,0)</x:f>
        <x:v>0</x:v>
      </x:c>
      <x:c r="K373" s="141" t="n">
        <x:f>IF(AND(TRUE,Premissas!$B$11="Imovel",Premissas!$B$47="Investimento",$A373&gt;=MAX(Premissas!$B$48,Premissas!$B$49)),$E373,0)</x:f>
        <x:v>3675.8343506644856</x:v>
      </x:c>
      <x:c r="L373" s="141" t="n">
        <x:f>H373+I373+J373</x:f>
        <x:v>718.9208505136457</x:v>
      </x:c>
      <x:c r="M373" s="141" t="n">
        <x:f>K373</x:f>
        <x:v>3675.8343506644856</x:v>
      </x:c>
      <x:c r="N373" s="141" t="n">
        <x:f>$C373+M373-L373</x:f>
        <x:v>9956.91350015084</x:v>
      </x:c>
      <x:c r="O373" s="141" t="n">
        <x:f>R372*(1+Premissas!$B$41)+N373</x:f>
        <x:v>22832008.77621375</x:v>
      </x:c>
      <x:c r="P373" s="141" t="n">
        <x:f>MAX(0,-O373)</x:f>
        <x:v>0</x:v>
      </x:c>
      <x:c r="Q373" s="141" t="n">
        <x:f>Q372*(1+Premissas!$B$41)+P373</x:f>
        <x:v>0</x:v>
      </x:c>
      <x:c r="R373" s="141" t="n">
        <x:f>MAX(0,O373)</x:f>
        <x:v>22832008.77621375</x:v>
      </x:c>
      <x:c r="S373" s="141" t="n">
        <x:f>IF(AND($A373&gt;=Premissas!$B$48,$A373-Premissas!$B$48+1&lt;=Premissas!$B$13),INDEX(Financiamento!$M$6:$M$485,$A373-Premissas!$B$48+1),0)</x:f>
        <x:v>19428.57142857145</x:v>
      </x:c>
      <x:c r="T373" s="141" t="n">
        <x:f>IF($A373&gt;=Premissas!$B$48,$F373,0)</x:f>
        <x:v>1194198.5250489532</x:v>
      </x:c>
      <x:c r="U373" s="141" t="n">
        <x:f>R373+T373-S373</x:f>
        <x:v>24006778.729834132</x:v>
      </x:c>
      <x:c r="V373" s="141" t="n">
        <x:f>IF(Q373&gt;1,"Inviavel",U373)</x:f>
        <x:v>24006778.729834132</x:v>
      </x:c>
      <x:c r="W373" s="141" t="str">
        <x:f>IF(Q373&gt;1,"Inviavel","OK")</x:f>
        <x:v>OK</x:v>
      </x:c>
      <x:c r="X373" s="141" t="n">
        <x:f>IF($A373=Premissas!$B$48,Premissas!$B$8,0)</x:f>
        <x:v>0</x:v>
      </x:c>
      <x:c r="Y373" s="141" t="n">
        <x:f>IF(AND($A373&gt;=Premissas!$B$48,$A373-Premissas!$B$48+1&lt;=Premissas!$B$13),INDEX(Amortizacao!$K$6:$K$485,$A373-Premissas!$B$48+1),0)</x:f>
        <x:v>0</x:v>
      </x:c>
      <x:c r="Z373" s="141" t="n">
        <x:f>IF(AND(TRUE,Premissas!$B$11="Imovel",Premissas!$B$47="Moradia",$A373&lt;MAX(Premissas!$B$48,Premissas!$B$49)),$D373,0)</x:f>
        <x:v>0</x:v>
      </x:c>
      <x:c r="AA373" s="141" t="n">
        <x:f>IF(AND(TRUE,Premissas!$B$11="Imovel",Premissas!$B$47="Investimento",$A373&gt;=MAX(Premissas!$B$48,Premissas!$B$49)),$E373,0)</x:f>
        <x:v>3675.8343506644856</x:v>
      </x:c>
      <x:c r="AB373" s="141" t="n">
        <x:f>X373+Y373+Z373</x:f>
        <x:v>0</x:v>
      </x:c>
      <x:c r="AC373" s="141" t="n">
        <x:f>AA373</x:f>
        <x:v>3675.8343506644856</x:v>
      </x:c>
      <x:c r="AD373" s="141" t="n">
        <x:f>$C373+AC373-AB373</x:f>
        <x:v>10675.834350664485</x:v>
      </x:c>
      <x:c r="AE373" s="141" t="n">
        <x:f>AH372*(1+Premissas!$B$41)+AD373</x:f>
        <x:v>23196343.05948475</x:v>
      </x:c>
      <x:c r="AF373" s="141" t="n">
        <x:f>MAX(0,-AE373)</x:f>
        <x:v>0</x:v>
      </x:c>
      <x:c r="AG373" s="141" t="n">
        <x:f>AG372*(1+Premissas!$B$41)+AF373</x:f>
        <x:v>0</x:v>
      </x:c>
      <x:c r="AH373" s="141" t="n">
        <x:f>MAX(0,AE373)</x:f>
        <x:v>23196343.05948475</x:v>
      </x:c>
      <x:c r="AI373" s="141" t="n">
        <x:f>IF(AND($A373&gt;=Premissas!$B$48,$A373-Premissas!$B$48+1&lt;=Premissas!$B$13),INDEX(Amortizacao!$L$6:$L$485,$A373-Premissas!$B$48+1),0)</x:f>
        <x:v>0</x:v>
      </x:c>
      <x:c r="AJ373" s="141" t="n">
        <x:f>IF($A373&gt;=Premissas!$B$48,$F373,0)</x:f>
        <x:v>1194198.5250489532</x:v>
      </x:c>
      <x:c r="AK373" s="141" t="n">
        <x:f>AH373+AJ373-AI373</x:f>
        <x:v>24390541.584533703</x:v>
      </x:c>
      <x:c r="AL373" s="141" t="n">
        <x:f>IF(AG373&gt;1,"Inviavel",AK373)</x:f>
        <x:v>24390541.584533703</x:v>
      </x:c>
      <x:c r="AM373" s="141" t="str">
        <x:f>IF(AG373&gt;1,"Inviavel","OK")</x:f>
        <x:v>OK</x:v>
      </x:c>
      <x:c r="AN373" s="141" t="n">
        <x:f>IF($A373=Premissas!$B$48,Premissas!$B$8,0)</x:f>
        <x:v>0</x:v>
      </x:c>
      <x:c r="AO373" s="141" t="n">
        <x:f>IF($A373&lt;=Premissas!$B$25,INDEX('Consorcio IQ'!$K$6:$K$485,$A373),0)</x:f>
        <x:v>0</x:v>
      </x:c>
      <x:c r="AP373" s="141" t="n">
        <x:f>IF(AND(TRUE,Premissas!$B$11="Imovel",Premissas!$B$47="Moradia",$A373&lt;MAX(Premissas!$B$48,Premissas!$B$49)),$D373,0)</x:f>
        <x:v>0</x:v>
      </x:c>
      <x:c r="AQ373" s="141" t="n">
        <x:f>IF(AND(TRUE,Premissas!$B$11="Imovel",Premissas!$B$47="Investimento",$A373&gt;=MAX(Premissas!$B$48,Premissas!$B$49)),$E373,0)</x:f>
        <x:v>3675.8343506644856</x:v>
      </x:c>
      <x:c r="AR373" s="141" t="n">
        <x:f>AN373+AO373+AP373</x:f>
        <x:v>0</x:v>
      </x:c>
      <x:c r="AS373" s="141" t="n">
        <x:f>AQ373</x:f>
        <x:v>3675.8343506644856</x:v>
      </x:c>
      <x:c r="AT373" s="141" t="n">
        <x:f>$C373+AS373-AR373</x:f>
        <x:v>10675.834350664485</x:v>
      </x:c>
      <x:c r="AU373" s="141" t="n">
        <x:f>AX372*(1+Premissas!$B$41)+AT373</x:f>
        <x:v>23009607.65912291</x:v>
      </x:c>
      <x:c r="AV373" s="141" t="n">
        <x:f>MAX(0,-AU373)</x:f>
        <x:v>0</x:v>
      </x:c>
      <x:c r="AW373" s="141" t="n">
        <x:f>AW372*(1+Premissas!$B$41)+AV373</x:f>
        <x:v>0</x:v>
      </x:c>
      <x:c r="AX373" s="141" t="n">
        <x:f>MAX(0,AU373)</x:f>
        <x:v>23009607.65912291</x:v>
      </x:c>
      <x:c r="AY373" s="141" t="n">
        <x:f>INDEX('Consorcio IQ'!$P$6:$P$485,$A373)</x:f>
        <x:v>0</x:v>
      </x:c>
      <x:c r="AZ373" s="141" t="n">
        <x:f>IF($A373&gt;=Premissas!$B$48,$F373,0)+IF($A373&lt;Premissas!$B$27,INDEX('Consorcio IQ'!$O$6:$O$485,$A373),0)</x:f>
        <x:v>1194198.5250489532</x:v>
      </x:c>
      <x:c r="BA373" s="141" t="n">
        <x:f>AX373+AZ373-AY373</x:f>
        <x:v>24203806.184171863</x:v>
      </x:c>
      <x:c r="BB373" s="141" t="n">
        <x:f>IF(AW373&gt;1,"Inviavel",BA373)</x:f>
        <x:v>24203806.184171863</x:v>
      </x:c>
      <x:c r="BC373" s="141" t="str">
        <x:f>IF(AW373&gt;1,"Inviavel","OK")</x:f>
        <x:v>OK</x:v>
      </x:c>
      <x:c r="BD373" s="141" t="n">
        <x:f>IF($A373='Consorcio Direto'!$B$29,'Consorcio Direto'!$B$44,0)</x:f>
        <x:v>0</x:v>
      </x:c>
      <x:c r="BE373" s="141" t="n">
        <x:f>IF($A373&lt;='Consorcio Direto'!$B$27,INDEX('Consorcio Direto'!$E$55:$E$534,$A373),0)</x:f>
        <x:v>0</x:v>
      </x:c>
      <x:c r="BF373" s="141" t="n">
        <x:f>IF(AND(TRUE,Premissas!$B$11="Imovel",Premissas!$B$47="Moradia",$A373&lt;MAX('Consorcio Direto'!$B$29,Premissas!$B$49)),$D373,0)</x:f>
        <x:v>0</x:v>
      </x:c>
      <x:c r="BG373" s="141" t="n">
        <x:f>IF(AND(TRUE,Premissas!$B$11="Imovel",Premissas!$B$47="Investimento",$A373&gt;=MAX('Consorcio Direto'!$B$29,Premissas!$B$49)),$E373,0)</x:f>
        <x:v>3675.8343506644856</x:v>
      </x:c>
      <x:c r="BH373" s="141" t="n">
        <x:f>BD373+BE373+BF373</x:f>
        <x:v>0</x:v>
      </x:c>
      <x:c r="BI373" s="141" t="n">
        <x:f>BG373</x:f>
        <x:v>3675.8343506644856</x:v>
      </x:c>
      <x:c r="BJ373" s="141" t="n">
        <x:f>$C373+BI373-BH373</x:f>
        <x:v>10675.834350664485</x:v>
      </x:c>
      <x:c r="BK373" s="141" t="n">
        <x:f>BN372*(1+Premissas!$B$41)+BJ373</x:f>
        <x:v>22000416.8464494</x:v>
      </x:c>
      <x:c r="BL373" s="141" t="n">
        <x:f>MAX(0,-BK373)</x:f>
        <x:v>0</x:v>
      </x:c>
      <x:c r="BM373" s="141" t="n">
        <x:f>BM372*(1+Premissas!$B$41)+BL373</x:f>
        <x:v>0</x:v>
      </x:c>
      <x:c r="BN373" s="141" t="n">
        <x:f>MAX(0,BK373)</x:f>
        <x:v>22000416.8464494</x:v>
      </x:c>
      <x:c r="BO373" s="141" t="n">
        <x:f>INDEX('Consorcio Direto'!$K$55:$K$534,$A373)</x:f>
        <x:v>0</x:v>
      </x:c>
      <x:c r="BP373" s="141" t="n">
        <x:f>IF($A373&lt;'Consorcio Direto'!$B$29,INDEX('Consorcio Direto'!$L$55:$L$534,$A373),$F373)</x:f>
        <x:v>1194198.5250489532</x:v>
      </x:c>
      <x:c r="BQ373" s="141" t="n">
        <x:f>BN373+BP373-BO373</x:f>
        <x:v>23194615.371498354</x:v>
      </x:c>
      <x:c r="BR373" s="141" t="n">
        <x:f>IF(BM373&gt;1,"Inviavel",BQ373)</x:f>
        <x:v>23194615.371498354</x:v>
      </x:c>
      <x:c r="BS373" s="141" t="str">
        <x:f>IF(BM373&gt;1,"Inviavel","OK")</x:f>
        <x:v>OK</x:v>
      </x:c>
      <x:c r="BT373" s="141" t="n">
        <x:f>IF(AND('Carta Contemplada'!$B$22="Sim",$A373='Carta Contemplada'!$B$23),'Carta Contemplada'!$B$37,0)</x:f>
        <x:v>0</x:v>
      </x:c>
      <x:c r="BU373" s="141" t="n">
        <x:f>IF('Carta Contemplada'!$B$22="Sim",INDEX('Carta Contemplada'!$C$55:$C$1013,$A373),0)</x:f>
        <x:v>0</x:v>
      </x:c>
      <x:c r="BV373" s="141" t="n">
        <x:f>IF(AND('Carta Contemplada'!$B$22="Sim",Premissas!$B$11="Imovel",Premissas!$B$47="Moradia",$A373&lt;MAX('Carta Contemplada'!$B$44,Premissas!$B$49)),$D373,0)</x:f>
        <x:v>0</x:v>
      </x:c>
      <x:c r="BW373" s="141" t="n">
        <x:f>IF(AND('Carta Contemplada'!$B$22="Sim",Premissas!$B$11="Imovel",Premissas!$B$47="Investimento",$A373&gt;=MAX('Carta Contemplada'!$B$44,Premissas!$B$49)),$E373,0)</x:f>
        <x:v>3675.8343506644856</x:v>
      </x:c>
      <x:c r="BX373" s="141" t="n">
        <x:f>BT373+BU373+BV373</x:f>
        <x:v>0</x:v>
      </x:c>
      <x:c r="BY373" s="141" t="n">
        <x:f>BW373</x:f>
        <x:v>3675.8343506644856</x:v>
      </x:c>
      <x:c r="BZ373" s="141" t="n">
        <x:f>$C373+BY373-BX373</x:f>
        <x:v>10675.834350664485</x:v>
      </x:c>
      <x:c r="CA373" s="141" t="n">
        <x:f>CD372*(1+Premissas!$B$41)+BZ373</x:f>
        <x:v>23667254.645390276</x:v>
      </x:c>
      <x:c r="CB373" s="141" t="n">
        <x:f>MAX(0,-CA373)</x:f>
        <x:v>0</x:v>
      </x:c>
      <x:c r="CC373" s="141" t="n">
        <x:f>CC372*(1+Premissas!$B$41)+CB373</x:f>
        <x:v>0</x:v>
      </x:c>
      <x:c r="CD373" s="141" t="n">
        <x:f>MAX(0,CA373)</x:f>
        <x:v>23667254.645390276</x:v>
      </x:c>
      <x:c r="CE373" s="141" t="n">
        <x:f>IF(AND('Carta Contemplada'!$B$22="Sim",$A373&gt;='Carta Contemplada'!$B$23),INDEX('Carta Contemplada'!$I$55:$I$1013,$A373),0)</x:f>
        <x:v>0</x:v>
      </x:c>
      <x:c r="CF373" s="141" t="n">
        <x:f>IF(AND('Carta Contemplada'!$B$22="Sim",$A373&gt;='Carta Contemplada'!$B$44),$F373,0)</x:f>
        <x:v>1194198.5250489532</x:v>
      </x:c>
      <x:c r="CG373" s="141" t="n">
        <x:f>CD373+CF373-CE373</x:f>
        <x:v>24861453.17043923</x:v>
      </x:c>
      <x:c r="CH373" s="141" t="n">
        <x:f>IF(CC373&gt;1,"Inviavel",CG373)</x:f>
        <x:v>24861453.17043923</x:v>
      </x:c>
      <x:c r="CI373" s="145" t="str">
        <x:f>IF(CC373&gt;1,"Inviavel","OK")</x:f>
        <x:v>OK</x:v>
      </x:c>
    </x:row>
    <x:row r="374">
      <x:c r="A374" s="142" t="n">
        <x:v>370</x:v>
      </x:c>
      <x:c r="B374" s="179" t="n">
        <x:f>EDATE(Premissas!$B$4,A374-1)</x:f>
        <x:v>57770</x:v>
      </x:c>
      <x:c r="C374" s="141" t="n">
        <x:f>IF(A374&lt;=Premissas!$B$39,Premissas!$B$42,0)</x:f>
        <x:v>7000</x:v>
      </x:c>
      <x:c r="D374" s="141" t="n">
        <x:f>Premissas!$B$54*(1+Premissas!$B$57)^INT((A374-1)/12)</x:f>
        <x:v>4020.443821039281</x:v>
      </x:c>
      <x:c r="E374" s="141" t="n">
        <x:f>Premissas!$B$64*(1+Premissas!$B$57)^INT((A374-1)/12)</x:f>
        <x:v>3675.8343506644856</x:v>
      </x:c>
      <x:c r="F374" s="141" t="n">
        <x:f>MAX(0,Premissas!$B$6*(1+Premissas!$B$66)^((A374-1)/12))</x:f>
        <x:v>1200011.346754687</x:v>
      </x:c>
      <x:c r="G374" s="141" t="n">
        <x:f>G373*(1+Premissas!$B$41)+C374</x:f>
        <x:v>26488739.662566848</x:v>
      </x:c>
      <x:c r="H374" s="141" t="n">
        <x:f>IF($A374=Premissas!$B$48,Premissas!$B$8,0)</x:f>
        <x:v>0</x:v>
      </x:c>
      <x:c r="I374" s="141" t="n">
        <x:f>IF(AND($A374&gt;=Premissas!$B$48,$A374-Premissas!$B$48+1&lt;=Premissas!$B$13),INDEX(Financiamento!$J$6:$J$485,$A374-Premissas!$B$48+1),0)</x:f>
        <x:v>715.3060722528521</x:v>
      </x:c>
      <x:c r="J374" s="141" t="n">
        <x:f>IF(AND(TRUE,Premissas!$B$11="Imovel",Premissas!$B$47="Moradia",$A374&lt;MAX(Premissas!$B$48,Premissas!$B$49)),$D374,0)</x:f>
        <x:v>0</x:v>
      </x:c>
      <x:c r="K374" s="141" t="n">
        <x:f>IF(AND(TRUE,Premissas!$B$11="Imovel",Premissas!$B$47="Investimento",$A374&gt;=MAX(Premissas!$B$48,Premissas!$B$49)),$E374,0)</x:f>
        <x:v>3675.8343506644856</x:v>
      </x:c>
      <x:c r="L374" s="141" t="n">
        <x:f>H374+I374+J374</x:f>
        <x:v>715.3060722528521</x:v>
      </x:c>
      <x:c r="M374" s="141" t="n">
        <x:f>K374</x:f>
        <x:v>3675.8343506644856</x:v>
      </x:c>
      <x:c r="N374" s="141" t="n">
        <x:f>$C374+M374-L374</x:f>
        <x:v>9960.528278411633</x:v>
      </x:c>
      <x:c r="O374" s="141" t="n">
        <x:f>R373*(1+Premissas!$B$41)+N374</x:f>
        <x:v>23058617.508050237</x:v>
      </x:c>
      <x:c r="P374" s="141" t="n">
        <x:f>MAX(0,-O374)</x:f>
        <x:v>0</x:v>
      </x:c>
      <x:c r="Q374" s="141" t="n">
        <x:f>Q373*(1+Premissas!$B$41)+P374</x:f>
        <x:v>0</x:v>
      </x:c>
      <x:c r="R374" s="141" t="n">
        <x:f>MAX(0,O374)</x:f>
        <x:v>23058617.508050237</x:v>
      </x:c>
      <x:c r="S374" s="141" t="n">
        <x:f>IF(AND($A374&gt;=Premissas!$B$48,$A374-Premissas!$B$48+1&lt;=Premissas!$B$13),INDEX(Financiamento!$M$6:$M$485,$A374-Premissas!$B$48+1),0)</x:f>
        <x:v>19047.619047619068</x:v>
      </x:c>
      <x:c r="T374" s="141" t="n">
        <x:f>IF($A374&gt;=Premissas!$B$48,$F374,0)</x:f>
        <x:v>1200011.346754687</x:v>
      </x:c>
      <x:c r="U374" s="141" t="n">
        <x:f>R374+T374-S374</x:f>
        <x:v>24239581.235757306</x:v>
      </x:c>
      <x:c r="V374" s="141" t="n">
        <x:f>IF(Q374&gt;1,"Inviavel",U374)</x:f>
        <x:v>24239581.235757306</x:v>
      </x:c>
      <x:c r="W374" s="141" t="str">
        <x:f>IF(Q374&gt;1,"Inviavel","OK")</x:f>
        <x:v>OK</x:v>
      </x:c>
      <x:c r="X374" s="141" t="n">
        <x:f>IF($A374=Premissas!$B$48,Premissas!$B$8,0)</x:f>
        <x:v>0</x:v>
      </x:c>
      <x:c r="Y374" s="141" t="n">
        <x:f>IF(AND($A374&gt;=Premissas!$B$48,$A374-Premissas!$B$48+1&lt;=Premissas!$B$13),INDEX(Amortizacao!$K$6:$K$485,$A374-Premissas!$B$48+1),0)</x:f>
        <x:v>0</x:v>
      </x:c>
      <x:c r="Z374" s="141" t="n">
        <x:f>IF(AND(TRUE,Premissas!$B$11="Imovel",Premissas!$B$47="Moradia",$A374&lt;MAX(Premissas!$B$48,Premissas!$B$49)),$D374,0)</x:f>
        <x:v>0</x:v>
      </x:c>
      <x:c r="AA374" s="141" t="n">
        <x:f>IF(AND(TRUE,Premissas!$B$11="Imovel",Premissas!$B$47="Investimento",$A374&gt;=MAX(Premissas!$B$48,Premissas!$B$49)),$E374,0)</x:f>
        <x:v>3675.8343506644856</x:v>
      </x:c>
      <x:c r="AB374" s="141" t="n">
        <x:f>X374+Y374+Z374</x:f>
        <x:v>0</x:v>
      </x:c>
      <x:c r="AC374" s="141" t="n">
        <x:f>AA374</x:f>
        <x:v>3675.8343506644856</x:v>
      </x:c>
      <x:c r="AD374" s="141" t="n">
        <x:f>$C374+AC374-AB374</x:f>
        <x:v>10675.834350664485</x:v>
      </x:c>
      <x:c r="AE374" s="141" t="n">
        <x:f>AH373*(1+Premissas!$B$41)+AD374</x:f>
        <x:v>23427124.189966418</x:v>
      </x:c>
      <x:c r="AF374" s="141" t="n">
        <x:f>MAX(0,-AE374)</x:f>
        <x:v>0</x:v>
      </x:c>
      <x:c r="AG374" s="141" t="n">
        <x:f>AG373*(1+Premissas!$B$41)+AF374</x:f>
        <x:v>0</x:v>
      </x:c>
      <x:c r="AH374" s="141" t="n">
        <x:f>MAX(0,AE374)</x:f>
        <x:v>23427124.189966418</x:v>
      </x:c>
      <x:c r="AI374" s="141" t="n">
        <x:f>IF(AND($A374&gt;=Premissas!$B$48,$A374-Premissas!$B$48+1&lt;=Premissas!$B$13),INDEX(Amortizacao!$L$6:$L$485,$A374-Premissas!$B$48+1),0)</x:f>
        <x:v>0</x:v>
      </x:c>
      <x:c r="AJ374" s="141" t="n">
        <x:f>IF($A374&gt;=Premissas!$B$48,$F374,0)</x:f>
        <x:v>1200011.346754687</x:v>
      </x:c>
      <x:c r="AK374" s="141" t="n">
        <x:f>AH374+AJ374-AI374</x:f>
        <x:v>24627135.536721103</x:v>
      </x:c>
      <x:c r="AL374" s="141" t="n">
        <x:f>IF(AG374&gt;1,"Inviavel",AK374)</x:f>
        <x:v>24627135.536721103</x:v>
      </x:c>
      <x:c r="AM374" s="141" t="str">
        <x:f>IF(AG374&gt;1,"Inviavel","OK")</x:f>
        <x:v>OK</x:v>
      </x:c>
      <x:c r="AN374" s="141" t="n">
        <x:f>IF($A374=Premissas!$B$48,Premissas!$B$8,0)</x:f>
        <x:v>0</x:v>
      </x:c>
      <x:c r="AO374" s="141" t="n">
        <x:f>IF($A374&lt;=Premissas!$B$25,INDEX('Consorcio IQ'!$K$6:$K$485,$A374),0)</x:f>
        <x:v>0</x:v>
      </x:c>
      <x:c r="AP374" s="141" t="n">
        <x:f>IF(AND(TRUE,Premissas!$B$11="Imovel",Premissas!$B$47="Moradia",$A374&lt;MAX(Premissas!$B$48,Premissas!$B$49)),$D374,0)</x:f>
        <x:v>0</x:v>
      </x:c>
      <x:c r="AQ374" s="141" t="n">
        <x:f>IF(AND(TRUE,Premissas!$B$11="Imovel",Premissas!$B$47="Investimento",$A374&gt;=MAX(Premissas!$B$48,Premissas!$B$49)),$E374,0)</x:f>
        <x:v>3675.8343506644856</x:v>
      </x:c>
      <x:c r="AR374" s="141" t="n">
        <x:f>AN374+AO374+AP374</x:f>
        <x:v>0</x:v>
      </x:c>
      <x:c r="AS374" s="141" t="n">
        <x:f>AQ374</x:f>
        <x:v>3675.8343506644856</x:v>
      </x:c>
      <x:c r="AT374" s="141" t="n">
        <x:f>$C374+AS374-AR374</x:f>
        <x:v>10675.834350664485</x:v>
      </x:c>
      <x:c r="AU374" s="141" t="n">
        <x:f>AX373*(1+Premissas!$B$41)+AT374</x:f>
        <x:v>23238616.896056987</x:v>
      </x:c>
      <x:c r="AV374" s="141" t="n">
        <x:f>MAX(0,-AU374)</x:f>
        <x:v>0</x:v>
      </x:c>
      <x:c r="AW374" s="141" t="n">
        <x:f>AW373*(1+Premissas!$B$41)+AV374</x:f>
        <x:v>0</x:v>
      </x:c>
      <x:c r="AX374" s="141" t="n">
        <x:f>MAX(0,AU374)</x:f>
        <x:v>23238616.896056987</x:v>
      </x:c>
      <x:c r="AY374" s="141" t="n">
        <x:f>INDEX('Consorcio IQ'!$P$6:$P$485,$A374)</x:f>
        <x:v>0</x:v>
      </x:c>
      <x:c r="AZ374" s="141" t="n">
        <x:f>IF($A374&gt;=Premissas!$B$48,$F374,0)+IF($A374&lt;Premissas!$B$27,INDEX('Consorcio IQ'!$O$6:$O$485,$A374),0)</x:f>
        <x:v>1200011.346754687</x:v>
      </x:c>
      <x:c r="BA374" s="141" t="n">
        <x:f>AX374+AZ374-AY374</x:f>
        <x:v>24438628.242811672</x:v>
      </x:c>
      <x:c r="BB374" s="141" t="n">
        <x:f>IF(AW374&gt;1,"Inviavel",BA374)</x:f>
        <x:v>24438628.242811672</x:v>
      </x:c>
      <x:c r="BC374" s="141" t="str">
        <x:f>IF(AW374&gt;1,"Inviavel","OK")</x:f>
        <x:v>OK</x:v>
      </x:c>
      <x:c r="BD374" s="141" t="n">
        <x:f>IF($A374='Consorcio Direto'!$B$29,'Consorcio Direto'!$B$44,0)</x:f>
        <x:v>0</x:v>
      </x:c>
      <x:c r="BE374" s="141" t="n">
        <x:f>IF($A374&lt;='Consorcio Direto'!$B$27,INDEX('Consorcio Direto'!$E$55:$E$534,$A374),0)</x:f>
        <x:v>0</x:v>
      </x:c>
      <x:c r="BF374" s="141" t="n">
        <x:f>IF(AND(TRUE,Premissas!$B$11="Imovel",Premissas!$B$47="Moradia",$A374&lt;MAX('Consorcio Direto'!$B$29,Premissas!$B$49)),$D374,0)</x:f>
        <x:v>0</x:v>
      </x:c>
      <x:c r="BG374" s="141" t="n">
        <x:f>IF(AND(TRUE,Premissas!$B$11="Imovel",Premissas!$B$47="Investimento",$A374&gt;=MAX('Consorcio Direto'!$B$29,Premissas!$B$49)),$E374,0)</x:f>
        <x:v>3675.8343506644856</x:v>
      </x:c>
      <x:c r="BH374" s="141" t="n">
        <x:f>BD374+BE374+BF374</x:f>
        <x:v>0</x:v>
      </x:c>
      <x:c r="BI374" s="141" t="n">
        <x:f>BG374</x:f>
        <x:v>3675.8343506644856</x:v>
      </x:c>
      <x:c r="BJ374" s="141" t="n">
        <x:f>$C374+BI374-BH374</x:f>
        <x:v>10675.834350664485</x:v>
      </x:c>
      <x:c r="BK374" s="141" t="n">
        <x:f>BN373*(1+Premissas!$B$41)+BJ374</x:f>
        <x:v>22219850.080730535</x:v>
      </x:c>
      <x:c r="BL374" s="141" t="n">
        <x:f>MAX(0,-BK374)</x:f>
        <x:v>0</x:v>
      </x:c>
      <x:c r="BM374" s="141" t="n">
        <x:f>BM373*(1+Premissas!$B$41)+BL374</x:f>
        <x:v>0</x:v>
      </x:c>
      <x:c r="BN374" s="141" t="n">
        <x:f>MAX(0,BK374)</x:f>
        <x:v>22219850.080730535</x:v>
      </x:c>
      <x:c r="BO374" s="141" t="n">
        <x:f>INDEX('Consorcio Direto'!$K$55:$K$534,$A374)</x:f>
        <x:v>0</x:v>
      </x:c>
      <x:c r="BP374" s="141" t="n">
        <x:f>IF($A374&lt;'Consorcio Direto'!$B$29,INDEX('Consorcio Direto'!$L$55:$L$534,$A374),$F374)</x:f>
        <x:v>1200011.346754687</x:v>
      </x:c>
      <x:c r="BQ374" s="141" t="n">
        <x:f>BN374+BP374-BO374</x:f>
        <x:v>23419861.42748522</x:v>
      </x:c>
      <x:c r="BR374" s="141" t="n">
        <x:f>IF(BM374&gt;1,"Inviavel",BQ374)</x:f>
        <x:v>23419861.42748522</x:v>
      </x:c>
      <x:c r="BS374" s="141" t="str">
        <x:f>IF(BM374&gt;1,"Inviavel","OK")</x:f>
        <x:v>OK</x:v>
      </x:c>
      <x:c r="BT374" s="141" t="n">
        <x:f>IF(AND('Carta Contemplada'!$B$22="Sim",$A374='Carta Contemplada'!$B$23),'Carta Contemplada'!$B$37,0)</x:f>
        <x:v>0</x:v>
      </x:c>
      <x:c r="BU374" s="141" t="n">
        <x:f>IF('Carta Contemplada'!$B$22="Sim",INDEX('Carta Contemplada'!$C$55:$C$1013,$A374),0)</x:f>
        <x:v>0</x:v>
      </x:c>
      <x:c r="BV374" s="141" t="n">
        <x:f>IF(AND('Carta Contemplada'!$B$22="Sim",Premissas!$B$11="Imovel",Premissas!$B$47="Moradia",$A374&lt;MAX('Carta Contemplada'!$B$44,Premissas!$B$49)),$D374,0)</x:f>
        <x:v>0</x:v>
      </x:c>
      <x:c r="BW374" s="141" t="n">
        <x:f>IF(AND('Carta Contemplada'!$B$22="Sim",Premissas!$B$11="Imovel",Premissas!$B$47="Investimento",$A374&gt;=MAX('Carta Contemplada'!$B$44,Premissas!$B$49)),$E374,0)</x:f>
        <x:v>3675.8343506644856</x:v>
      </x:c>
      <x:c r="BX374" s="141" t="n">
        <x:f>BT374+BU374+BV374</x:f>
        <x:v>0</x:v>
      </x:c>
      <x:c r="BY374" s="141" t="n">
        <x:f>BW374</x:f>
        <x:v>3675.8343506644856</x:v>
      </x:c>
      <x:c r="BZ374" s="141" t="n">
        <x:f>$C374+BY374-BX374</x:f>
        <x:v>10675.834350664485</x:v>
      </x:c>
      <x:c r="CA374" s="141" t="n">
        <x:f>CD373*(1+Premissas!$B$41)+BZ374</x:f>
        <x:v>23902504.158401098</x:v>
      </x:c>
      <x:c r="CB374" s="141" t="n">
        <x:f>MAX(0,-CA374)</x:f>
        <x:v>0</x:v>
      </x:c>
      <x:c r="CC374" s="141" t="n">
        <x:f>CC373*(1+Premissas!$B$41)+CB374</x:f>
        <x:v>0</x:v>
      </x:c>
      <x:c r="CD374" s="141" t="n">
        <x:f>MAX(0,CA374)</x:f>
        <x:v>23902504.158401098</x:v>
      </x:c>
      <x:c r="CE374" s="141" t="n">
        <x:f>IF(AND('Carta Contemplada'!$B$22="Sim",$A374&gt;='Carta Contemplada'!$B$23),INDEX('Carta Contemplada'!$I$55:$I$1013,$A374),0)</x:f>
        <x:v>0</x:v>
      </x:c>
      <x:c r="CF374" s="141" t="n">
        <x:f>IF(AND('Carta Contemplada'!$B$22="Sim",$A374&gt;='Carta Contemplada'!$B$44),$F374,0)</x:f>
        <x:v>1200011.346754687</x:v>
      </x:c>
      <x:c r="CG374" s="141" t="n">
        <x:f>CD374+CF374-CE374</x:f>
        <x:v>25102515.505155787</x:v>
      </x:c>
      <x:c r="CH374" s="141" t="n">
        <x:f>IF(CC374&gt;1,"Inviavel",CG374)</x:f>
        <x:v>25102515.505155787</x:v>
      </x:c>
      <x:c r="CI374" s="145" t="str">
        <x:f>IF(CC374&gt;1,"Inviavel","OK")</x:f>
        <x:v>OK</x:v>
      </x:c>
    </x:row>
    <x:row r="375">
      <x:c r="A375" s="142" t="n">
        <x:v>371</x:v>
      </x:c>
      <x:c r="B375" s="179" t="n">
        <x:f>EDATE(Premissas!$B$4,A375-1)</x:f>
        <x:v>57801</x:v>
      </x:c>
      <x:c r="C375" s="141" t="n">
        <x:f>IF(A375&lt;=Premissas!$B$39,Premissas!$B$42,0)</x:f>
        <x:v>7000</x:v>
      </x:c>
      <x:c r="D375" s="141" t="n">
        <x:f>Premissas!$B$54*(1+Premissas!$B$57)^INT((A375-1)/12)</x:f>
        <x:v>4020.443821039281</x:v>
      </x:c>
      <x:c r="E375" s="141" t="n">
        <x:f>Premissas!$B$64*(1+Premissas!$B$57)^INT((A375-1)/12)</x:f>
        <x:v>3675.8343506644856</x:v>
      </x:c>
      <x:c r="F375" s="141" t="n">
        <x:f>MAX(0,Premissas!$B$6*(1+Premissas!$B$66)^((A375-1)/12))</x:f>
        <x:v>1205852.4626640007</x:v>
      </x:c>
      <x:c r="G375" s="141" t="n">
        <x:f>G374*(1+Premissas!$B$41)+C375</x:f>
        <x:v>26747085.82832302</x:v>
      </x:c>
      <x:c r="H375" s="141" t="n">
        <x:f>IF($A375=Premissas!$B$48,Premissas!$B$8,0)</x:f>
        <x:v>0</x:v>
      </x:c>
      <x:c r="I375" s="141" t="n">
        <x:f>IF(AND($A375&gt;=Premissas!$B$48,$A375-Premissas!$B$48+1&lt;=Premissas!$B$13),INDEX(Financiamento!$J$6:$J$485,$A375-Premissas!$B$48+1),0)</x:f>
        <x:v>711.6912939920586</x:v>
      </x:c>
      <x:c r="J375" s="141" t="n">
        <x:f>IF(AND(TRUE,Premissas!$B$11="Imovel",Premissas!$B$47="Moradia",$A375&lt;MAX(Premissas!$B$48,Premissas!$B$49)),$D375,0)</x:f>
        <x:v>0</x:v>
      </x:c>
      <x:c r="K375" s="141" t="n">
        <x:f>IF(AND(TRUE,Premissas!$B$11="Imovel",Premissas!$B$47="Investimento",$A375&gt;=MAX(Premissas!$B$48,Premissas!$B$49)),$E375,0)</x:f>
        <x:v>3675.8343506644856</x:v>
      </x:c>
      <x:c r="L375" s="141" t="n">
        <x:f>H375+I375+J375</x:f>
        <x:v>711.6912939920586</x:v>
      </x:c>
      <x:c r="M375" s="141" t="n">
        <x:f>K375</x:f>
        <x:v>3675.8343506644856</x:v>
      </x:c>
      <x:c r="N375" s="141" t="n">
        <x:f>$C375+M375-L375</x:f>
        <x:v>9964.143056672427</x:v>
      </x:c>
      <x:c r="O375" s="141" t="n">
        <x:f>R374*(1+Premissas!$B$41)+N375</x:f>
        <x:v>23287380.09799855</x:v>
      </x:c>
      <x:c r="P375" s="141" t="n">
        <x:f>MAX(0,-O375)</x:f>
        <x:v>0</x:v>
      </x:c>
      <x:c r="Q375" s="141" t="n">
        <x:f>Q374*(1+Premissas!$B$41)+P375</x:f>
        <x:v>0</x:v>
      </x:c>
      <x:c r="R375" s="141" t="n">
        <x:f>MAX(0,O375)</x:f>
        <x:v>23287380.09799855</x:v>
      </x:c>
      <x:c r="S375" s="141" t="n">
        <x:f>IF(AND($A375&gt;=Premissas!$B$48,$A375-Premissas!$B$48+1&lt;=Premissas!$B$13),INDEX(Financiamento!$M$6:$M$485,$A375-Premissas!$B$48+1),0)</x:f>
        <x:v>18666.666666666686</x:v>
      </x:c>
      <x:c r="T375" s="141" t="n">
        <x:f>IF($A375&gt;=Premissas!$B$48,$F375,0)</x:f>
        <x:v>1205852.4626640007</x:v>
      </x:c>
      <x:c r="U375" s="141" t="n">
        <x:f>R375+T375-S375</x:f>
        <x:v>24474565.89399588</x:v>
      </x:c>
      <x:c r="V375" s="141" t="n">
        <x:f>IF(Q375&gt;1,"Inviavel",U375)</x:f>
        <x:v>24474565.89399588</x:v>
      </x:c>
      <x:c r="W375" s="141" t="str">
        <x:f>IF(Q375&gt;1,"Inviavel","OK")</x:f>
        <x:v>OK</x:v>
      </x:c>
      <x:c r="X375" s="141" t="n">
        <x:f>IF($A375=Premissas!$B$48,Premissas!$B$8,0)</x:f>
        <x:v>0</x:v>
      </x:c>
      <x:c r="Y375" s="141" t="n">
        <x:f>IF(AND($A375&gt;=Premissas!$B$48,$A375-Premissas!$B$48+1&lt;=Premissas!$B$13),INDEX(Amortizacao!$K$6:$K$485,$A375-Premissas!$B$48+1),0)</x:f>
        <x:v>0</x:v>
      </x:c>
      <x:c r="Z375" s="141" t="n">
        <x:f>IF(AND(TRUE,Premissas!$B$11="Imovel",Premissas!$B$47="Moradia",$A375&lt;MAX(Premissas!$B$48,Premissas!$B$49)),$D375,0)</x:f>
        <x:v>0</x:v>
      </x:c>
      <x:c r="AA375" s="141" t="n">
        <x:f>IF(AND(TRUE,Premissas!$B$11="Imovel",Premissas!$B$47="Investimento",$A375&gt;=MAX(Premissas!$B$48,Premissas!$B$49)),$E375,0)</x:f>
        <x:v>3675.8343506644856</x:v>
      </x:c>
      <x:c r="AB375" s="141" t="n">
        <x:f>X375+Y375+Z375</x:f>
        <x:v>0</x:v>
      </x:c>
      <x:c r="AC375" s="141" t="n">
        <x:f>AA375</x:f>
        <x:v>3675.8343506644856</x:v>
      </x:c>
      <x:c r="AD375" s="141" t="n">
        <x:f>$C375+AC375-AB375</x:f>
        <x:v>10675.834350664485</x:v>
      </x:c>
      <x:c r="AE375" s="141" t="n">
        <x:f>AH374*(1+Premissas!$B$41)+AD375</x:f>
        <x:v>23660095.154808436</x:v>
      </x:c>
      <x:c r="AF375" s="141" t="n">
        <x:f>MAX(0,-AE375)</x:f>
        <x:v>0</x:v>
      </x:c>
      <x:c r="AG375" s="141" t="n">
        <x:f>AG374*(1+Premissas!$B$41)+AF375</x:f>
        <x:v>0</x:v>
      </x:c>
      <x:c r="AH375" s="141" t="n">
        <x:f>MAX(0,AE375)</x:f>
        <x:v>23660095.154808436</x:v>
      </x:c>
      <x:c r="AI375" s="141" t="n">
        <x:f>IF(AND($A375&gt;=Premissas!$B$48,$A375-Premissas!$B$48+1&lt;=Premissas!$B$13),INDEX(Amortizacao!$L$6:$L$485,$A375-Premissas!$B$48+1),0)</x:f>
        <x:v>0</x:v>
      </x:c>
      <x:c r="AJ375" s="141" t="n">
        <x:f>IF($A375&gt;=Premissas!$B$48,$F375,0)</x:f>
        <x:v>1205852.4626640007</x:v>
      </x:c>
      <x:c r="AK375" s="141" t="n">
        <x:f>AH375+AJ375-AI375</x:f>
        <x:v>24865947.617472436</x:v>
      </x:c>
      <x:c r="AL375" s="141" t="n">
        <x:f>IF(AG375&gt;1,"Inviavel",AK375)</x:f>
        <x:v>24865947.617472436</x:v>
      </x:c>
      <x:c r="AM375" s="141" t="str">
        <x:f>IF(AG375&gt;1,"Inviavel","OK")</x:f>
        <x:v>OK</x:v>
      </x:c>
      <x:c r="AN375" s="141" t="n">
        <x:f>IF($A375=Premissas!$B$48,Premissas!$B$8,0)</x:f>
        <x:v>0</x:v>
      </x:c>
      <x:c r="AO375" s="141" t="n">
        <x:f>IF($A375&lt;=Premissas!$B$25,INDEX('Consorcio IQ'!$K$6:$K$485,$A375),0)</x:f>
        <x:v>0</x:v>
      </x:c>
      <x:c r="AP375" s="141" t="n">
        <x:f>IF(AND(TRUE,Premissas!$B$11="Imovel",Premissas!$B$47="Moradia",$A375&lt;MAX(Premissas!$B$48,Premissas!$B$49)),$D375,0)</x:f>
        <x:v>0</x:v>
      </x:c>
      <x:c r="AQ375" s="141" t="n">
        <x:f>IF(AND(TRUE,Premissas!$B$11="Imovel",Premissas!$B$47="Investimento",$A375&gt;=MAX(Premissas!$B$48,Premissas!$B$49)),$E375,0)</x:f>
        <x:v>3675.8343506644856</x:v>
      </x:c>
      <x:c r="AR375" s="141" t="n">
        <x:f>AN375+AO375+AP375</x:f>
        <x:v>0</x:v>
      </x:c>
      <x:c r="AS375" s="141" t="n">
        <x:f>AQ375</x:f>
        <x:v>3675.8343506644856</x:v>
      </x:c>
      <x:c r="AT375" s="141" t="n">
        <x:f>$C375+AS375-AR375</x:f>
        <x:v>10675.834350664485</x:v>
      </x:c>
      <x:c r="AU375" s="141" t="n">
        <x:f>AX374*(1+Premissas!$B$41)+AT375</x:f>
        <x:v>23469799.15422044</x:v>
      </x:c>
      <x:c r="AV375" s="141" t="n">
        <x:f>MAX(0,-AU375)</x:f>
        <x:v>0</x:v>
      </x:c>
      <x:c r="AW375" s="141" t="n">
        <x:f>AW374*(1+Premissas!$B$41)+AV375</x:f>
        <x:v>0</x:v>
      </x:c>
      <x:c r="AX375" s="141" t="n">
        <x:f>MAX(0,AU375)</x:f>
        <x:v>23469799.15422044</x:v>
      </x:c>
      <x:c r="AY375" s="141" t="n">
        <x:f>INDEX('Consorcio IQ'!$P$6:$P$485,$A375)</x:f>
        <x:v>0</x:v>
      </x:c>
      <x:c r="AZ375" s="141" t="n">
        <x:f>IF($A375&gt;=Premissas!$B$48,$F375,0)+IF($A375&lt;Premissas!$B$27,INDEX('Consorcio IQ'!$O$6:$O$485,$A375),0)</x:f>
        <x:v>1205852.4626640007</x:v>
      </x:c>
      <x:c r="BA375" s="141" t="n">
        <x:f>AX375+AZ375-AY375</x:f>
        <x:v>24675651.61688444</x:v>
      </x:c>
      <x:c r="BB375" s="141" t="n">
        <x:f>IF(AW375&gt;1,"Inviavel",BA375)</x:f>
        <x:v>24675651.61688444</x:v>
      </x:c>
      <x:c r="BC375" s="141" t="str">
        <x:f>IF(AW375&gt;1,"Inviavel","OK")</x:f>
        <x:v>OK</x:v>
      </x:c>
      <x:c r="BD375" s="141" t="n">
        <x:f>IF($A375='Consorcio Direto'!$B$29,'Consorcio Direto'!$B$44,0)</x:f>
        <x:v>0</x:v>
      </x:c>
      <x:c r="BE375" s="141" t="n">
        <x:f>IF($A375&lt;='Consorcio Direto'!$B$27,INDEX('Consorcio Direto'!$E$55:$E$534,$A375),0)</x:f>
        <x:v>0</x:v>
      </x:c>
      <x:c r="BF375" s="141" t="n">
        <x:f>IF(AND(TRUE,Premissas!$B$11="Imovel",Premissas!$B$47="Moradia",$A375&lt;MAX('Consorcio Direto'!$B$29,Premissas!$B$49)),$D375,0)</x:f>
        <x:v>0</x:v>
      </x:c>
      <x:c r="BG375" s="141" t="n">
        <x:f>IF(AND(TRUE,Premissas!$B$11="Imovel",Premissas!$B$47="Investimento",$A375&gt;=MAX('Consorcio Direto'!$B$29,Premissas!$B$49)),$E375,0)</x:f>
        <x:v>3675.8343506644856</x:v>
      </x:c>
      <x:c r="BH375" s="141" t="n">
        <x:f>BD375+BE375+BF375</x:f>
        <x:v>0</x:v>
      </x:c>
      <x:c r="BI375" s="141" t="n">
        <x:f>BG375</x:f>
        <x:v>3675.8343506644856</x:v>
      </x:c>
      <x:c r="BJ375" s="141" t="n">
        <x:f>$C375+BI375-BH375</x:f>
        <x:v>10675.834350664485</x:v>
      </x:c>
      <x:c r="BK375" s="141" t="n">
        <x:f>BN374*(1+Premissas!$B$41)+BJ375</x:f>
        <x:v>22441365.47153473</x:v>
      </x:c>
      <x:c r="BL375" s="141" t="n">
        <x:f>MAX(0,-BK375)</x:f>
        <x:v>0</x:v>
      </x:c>
      <x:c r="BM375" s="141" t="n">
        <x:f>BM374*(1+Premissas!$B$41)+BL375</x:f>
        <x:v>0</x:v>
      </x:c>
      <x:c r="BN375" s="141" t="n">
        <x:f>MAX(0,BK375)</x:f>
        <x:v>22441365.47153473</x:v>
      </x:c>
      <x:c r="BO375" s="141" t="n">
        <x:f>INDEX('Consorcio Direto'!$K$55:$K$534,$A375)</x:f>
        <x:v>0</x:v>
      </x:c>
      <x:c r="BP375" s="141" t="n">
        <x:f>IF($A375&lt;'Consorcio Direto'!$B$29,INDEX('Consorcio Direto'!$L$55:$L$534,$A375),$F375)</x:f>
        <x:v>1205852.4626640007</x:v>
      </x:c>
      <x:c r="BQ375" s="141" t="n">
        <x:f>BN375+BP375-BO375</x:f>
        <x:v>23647217.93419873</x:v>
      </x:c>
      <x:c r="BR375" s="141" t="n">
        <x:f>IF(BM375&gt;1,"Inviavel",BQ375)</x:f>
        <x:v>23647217.93419873</x:v>
      </x:c>
      <x:c r="BS375" s="141" t="str">
        <x:f>IF(BM375&gt;1,"Inviavel","OK")</x:f>
        <x:v>OK</x:v>
      </x:c>
      <x:c r="BT375" s="141" t="n">
        <x:f>IF(AND('Carta Contemplada'!$B$22="Sim",$A375='Carta Contemplada'!$B$23),'Carta Contemplada'!$B$37,0)</x:f>
        <x:v>0</x:v>
      </x:c>
      <x:c r="BU375" s="141" t="n">
        <x:f>IF('Carta Contemplada'!$B$22="Sim",INDEX('Carta Contemplada'!$C$55:$C$1013,$A375),0)</x:f>
        <x:v>0</x:v>
      </x:c>
      <x:c r="BV375" s="141" t="n">
        <x:f>IF(AND('Carta Contemplada'!$B$22="Sim",Premissas!$B$11="Imovel",Premissas!$B$47="Moradia",$A375&lt;MAX('Carta Contemplada'!$B$44,Premissas!$B$49)),$D375,0)</x:f>
        <x:v>0</x:v>
      </x:c>
      <x:c r="BW375" s="141" t="n">
        <x:f>IF(AND('Carta Contemplada'!$B$22="Sim",Premissas!$B$11="Imovel",Premissas!$B$47="Investimento",$A375&gt;=MAX('Carta Contemplada'!$B$44,Premissas!$B$49)),$E375,0)</x:f>
        <x:v>3675.8343506644856</x:v>
      </x:c>
      <x:c r="BX375" s="141" t="n">
        <x:f>BT375+BU375+BV375</x:f>
        <x:v>0</x:v>
      </x:c>
      <x:c r="BY375" s="141" t="n">
        <x:f>BW375</x:f>
        <x:v>3675.8343506644856</x:v>
      </x:c>
      <x:c r="BZ375" s="141" t="n">
        <x:f>$C375+BY375-BX375</x:f>
        <x:v>10675.834350664485</x:v>
      </x:c>
      <x:c r="CA375" s="141" t="n">
        <x:f>CD374*(1+Premissas!$B$41)+BZ375</x:f>
        <x:v>24139985.90532884</x:v>
      </x:c>
      <x:c r="CB375" s="141" t="n">
        <x:f>MAX(0,-CA375)</x:f>
        <x:v>0</x:v>
      </x:c>
      <x:c r="CC375" s="141" t="n">
        <x:f>CC374*(1+Premissas!$B$41)+CB375</x:f>
        <x:v>0</x:v>
      </x:c>
      <x:c r="CD375" s="141" t="n">
        <x:f>MAX(0,CA375)</x:f>
        <x:v>24139985.90532884</x:v>
      </x:c>
      <x:c r="CE375" s="141" t="n">
        <x:f>IF(AND('Carta Contemplada'!$B$22="Sim",$A375&gt;='Carta Contemplada'!$B$23),INDEX('Carta Contemplada'!$I$55:$I$1013,$A375),0)</x:f>
        <x:v>0</x:v>
      </x:c>
      <x:c r="CF375" s="141" t="n">
        <x:f>IF(AND('Carta Contemplada'!$B$22="Sim",$A375&gt;='Carta Contemplada'!$B$44),$F375,0)</x:f>
        <x:v>1205852.4626640007</x:v>
      </x:c>
      <x:c r="CG375" s="141" t="n">
        <x:f>CD375+CF375-CE375</x:f>
        <x:v>25345838.36799284</x:v>
      </x:c>
      <x:c r="CH375" s="141" t="n">
        <x:f>IF(CC375&gt;1,"Inviavel",CG375)</x:f>
        <x:v>25345838.36799284</x:v>
      </x:c>
      <x:c r="CI375" s="145" t="str">
        <x:f>IF(CC375&gt;1,"Inviavel","OK")</x:f>
        <x:v>OK</x:v>
      </x:c>
    </x:row>
    <x:row r="376">
      <x:c r="A376" s="142" t="n">
        <x:v>372</x:v>
      </x:c>
      <x:c r="B376" s="179" t="n">
        <x:f>EDATE(Premissas!$B$4,A376-1)</x:f>
        <x:v>57831</x:v>
      </x:c>
      <x:c r="C376" s="141" t="n">
        <x:f>IF(A376&lt;=Premissas!$B$39,Premissas!$B$42,0)</x:f>
        <x:v>7000</x:v>
      </x:c>
      <x:c r="D376" s="141" t="n">
        <x:f>Premissas!$B$54*(1+Premissas!$B$57)^INT((A376-1)/12)</x:f>
        <x:v>4020.443821039281</x:v>
      </x:c>
      <x:c r="E376" s="141" t="n">
        <x:f>Premissas!$B$64*(1+Premissas!$B$57)^INT((A376-1)/12)</x:f>
        <x:v>3675.8343506644856</x:v>
      </x:c>
      <x:c r="F376" s="141" t="n">
        <x:f>MAX(0,Premissas!$B$6*(1+Premissas!$B$66)^((A376-1)/12))</x:f>
        <x:v>1211722.0105003614</x:v>
      </x:c>
      <x:c r="G376" s="141" t="n">
        <x:f>G375*(1+Premissas!$B$41)+C376</x:f>
        <x:v>27007883.387351498</x:v>
      </x:c>
      <x:c r="H376" s="141" t="n">
        <x:f>IF($A376=Premissas!$B$48,Premissas!$B$8,0)</x:f>
        <x:v>0</x:v>
      </x:c>
      <x:c r="I376" s="141" t="n">
        <x:f>IF(AND($A376&gt;=Premissas!$B$48,$A376-Premissas!$B$48+1&lt;=Premissas!$B$13),INDEX(Financiamento!$J$6:$J$485,$A376-Premissas!$B$48+1),0)</x:f>
        <x:v>708.0765157312651</x:v>
      </x:c>
      <x:c r="J376" s="141" t="n">
        <x:f>IF(AND(TRUE,Premissas!$B$11="Imovel",Premissas!$B$47="Moradia",$A376&lt;MAX(Premissas!$B$48,Premissas!$B$49)),$D376,0)</x:f>
        <x:v>0</x:v>
      </x:c>
      <x:c r="K376" s="141" t="n">
        <x:f>IF(AND(TRUE,Premissas!$B$11="Imovel",Premissas!$B$47="Investimento",$A376&gt;=MAX(Premissas!$B$48,Premissas!$B$49)),$E376,0)</x:f>
        <x:v>3675.8343506644856</x:v>
      </x:c>
      <x:c r="L376" s="141" t="n">
        <x:f>H376+I376+J376</x:f>
        <x:v>708.0765157312651</x:v>
      </x:c>
      <x:c r="M376" s="141" t="n">
        <x:f>K376</x:f>
        <x:v>3675.8343506644856</x:v>
      </x:c>
      <x:c r="N376" s="141" t="n">
        <x:f>$C376+M376-L376</x:f>
        <x:v>9967.75783493322</x:v>
      </x:c>
      <x:c r="O376" s="141" t="n">
        <x:f>R375*(1+Premissas!$B$41)+N376</x:f>
        <x:v>23518316.98357232</x:v>
      </x:c>
      <x:c r="P376" s="141" t="n">
        <x:f>MAX(0,-O376)</x:f>
        <x:v>0</x:v>
      </x:c>
      <x:c r="Q376" s="141" t="n">
        <x:f>Q375*(1+Premissas!$B$41)+P376</x:f>
        <x:v>0</x:v>
      </x:c>
      <x:c r="R376" s="141" t="n">
        <x:f>MAX(0,O376)</x:f>
        <x:v>23518316.98357232</x:v>
      </x:c>
      <x:c r="S376" s="141" t="n">
        <x:f>IF(AND($A376&gt;=Premissas!$B$48,$A376-Premissas!$B$48+1&lt;=Premissas!$B$13),INDEX(Financiamento!$M$6:$M$485,$A376-Premissas!$B$48+1),0)</x:f>
        <x:v>18285.714285714304</x:v>
      </x:c>
      <x:c r="T376" s="141" t="n">
        <x:f>IF($A376&gt;=Premissas!$B$48,$F376,0)</x:f>
        <x:v>1211722.0105003614</x:v>
      </x:c>
      <x:c r="U376" s="141" t="n">
        <x:f>R376+T376-S376</x:f>
        <x:v>24711753.279786967</x:v>
      </x:c>
      <x:c r="V376" s="141" t="n">
        <x:f>IF(Q376&gt;1,"Inviavel",U376)</x:f>
        <x:v>24711753.279786967</x:v>
      </x:c>
      <x:c r="W376" s="141" t="str">
        <x:f>IF(Q376&gt;1,"Inviavel","OK")</x:f>
        <x:v>OK</x:v>
      </x:c>
      <x:c r="X376" s="141" t="n">
        <x:f>IF($A376=Premissas!$B$48,Premissas!$B$8,0)</x:f>
        <x:v>0</x:v>
      </x:c>
      <x:c r="Y376" s="141" t="n">
        <x:f>IF(AND($A376&gt;=Premissas!$B$48,$A376-Premissas!$B$48+1&lt;=Premissas!$B$13),INDEX(Amortizacao!$K$6:$K$485,$A376-Premissas!$B$48+1),0)</x:f>
        <x:v>0</x:v>
      </x:c>
      <x:c r="Z376" s="141" t="n">
        <x:f>IF(AND(TRUE,Premissas!$B$11="Imovel",Premissas!$B$47="Moradia",$A376&lt;MAX(Premissas!$B$48,Premissas!$B$49)),$D376,0)</x:f>
        <x:v>0</x:v>
      </x:c>
      <x:c r="AA376" s="141" t="n">
        <x:f>IF(AND(TRUE,Premissas!$B$11="Imovel",Premissas!$B$47="Investimento",$A376&gt;=MAX(Premissas!$B$48,Premissas!$B$49)),$E376,0)</x:f>
        <x:v>3675.8343506644856</x:v>
      </x:c>
      <x:c r="AB376" s="141" t="n">
        <x:f>X376+Y376+Z376</x:f>
        <x:v>0</x:v>
      </x:c>
      <x:c r="AC376" s="141" t="n">
        <x:f>AA376</x:f>
        <x:v>3675.8343506644856</x:v>
      </x:c>
      <x:c r="AD376" s="141" t="n">
        <x:f>$C376+AC376-AB376</x:f>
        <x:v>10675.834350664485</x:v>
      </x:c>
      <x:c r="AE376" s="141" t="n">
        <x:f>AH375*(1+Premissas!$B$41)+AD376</x:f>
        <x:v>23895276.73289561</x:v>
      </x:c>
      <x:c r="AF376" s="141" t="n">
        <x:f>MAX(0,-AE376)</x:f>
        <x:v>0</x:v>
      </x:c>
      <x:c r="AG376" s="141" t="n">
        <x:f>AG375*(1+Premissas!$B$41)+AF376</x:f>
        <x:v>0</x:v>
      </x:c>
      <x:c r="AH376" s="141" t="n">
        <x:f>MAX(0,AE376)</x:f>
        <x:v>23895276.73289561</x:v>
      </x:c>
      <x:c r="AI376" s="141" t="n">
        <x:f>IF(AND($A376&gt;=Premissas!$B$48,$A376-Premissas!$B$48+1&lt;=Premissas!$B$13),INDEX(Amortizacao!$L$6:$L$485,$A376-Premissas!$B$48+1),0)</x:f>
        <x:v>0</x:v>
      </x:c>
      <x:c r="AJ376" s="141" t="n">
        <x:f>IF($A376&gt;=Premissas!$B$48,$F376,0)</x:f>
        <x:v>1211722.0105003614</x:v>
      </x:c>
      <x:c r="AK376" s="141" t="n">
        <x:f>AH376+AJ376-AI376</x:f>
        <x:v>25106998.74339597</x:v>
      </x:c>
      <x:c r="AL376" s="141" t="n">
        <x:f>IF(AG376&gt;1,"Inviavel",AK376)</x:f>
        <x:v>25106998.74339597</x:v>
      </x:c>
      <x:c r="AM376" s="141" t="str">
        <x:f>IF(AG376&gt;1,"Inviavel","OK")</x:f>
        <x:v>OK</x:v>
      </x:c>
      <x:c r="AN376" s="141" t="n">
        <x:f>IF($A376=Premissas!$B$48,Premissas!$B$8,0)</x:f>
        <x:v>0</x:v>
      </x:c>
      <x:c r="AO376" s="141" t="n">
        <x:f>IF($A376&lt;=Premissas!$B$25,INDEX('Consorcio IQ'!$K$6:$K$485,$A376),0)</x:f>
        <x:v>0</x:v>
      </x:c>
      <x:c r="AP376" s="141" t="n">
        <x:f>IF(AND(TRUE,Premissas!$B$11="Imovel",Premissas!$B$47="Moradia",$A376&lt;MAX(Premissas!$B$48,Premissas!$B$49)),$D376,0)</x:f>
        <x:v>0</x:v>
      </x:c>
      <x:c r="AQ376" s="141" t="n">
        <x:f>IF(AND(TRUE,Premissas!$B$11="Imovel",Premissas!$B$47="Investimento",$A376&gt;=MAX(Premissas!$B$48,Premissas!$B$49)),$E376,0)</x:f>
        <x:v>3675.8343506644856</x:v>
      </x:c>
      <x:c r="AR376" s="141" t="n">
        <x:f>AN376+AO376+AP376</x:f>
        <x:v>0</x:v>
      </x:c>
      <x:c r="AS376" s="141" t="n">
        <x:f>AQ376</x:f>
        <x:v>3675.8343506644856</x:v>
      </x:c>
      <x:c r="AT376" s="141" t="n">
        <x:f>$C376+AS376-AR376</x:f>
        <x:v>10675.834350664485</x:v>
      </x:c>
      <x:c r="AU376" s="141" t="n">
        <x:f>AX375*(1+Premissas!$B$41)+AT376</x:f>
        <x:v>23703175.052961756</x:v>
      </x:c>
      <x:c r="AV376" s="141" t="n">
        <x:f>MAX(0,-AU376)</x:f>
        <x:v>0</x:v>
      </x:c>
      <x:c r="AW376" s="141" t="n">
        <x:f>AW375*(1+Premissas!$B$41)+AV376</x:f>
        <x:v>0</x:v>
      </x:c>
      <x:c r="AX376" s="141" t="n">
        <x:f>MAX(0,AU376)</x:f>
        <x:v>23703175.052961756</x:v>
      </x:c>
      <x:c r="AY376" s="141" t="n">
        <x:f>INDEX('Consorcio IQ'!$P$6:$P$485,$A376)</x:f>
        <x:v>0</x:v>
      </x:c>
      <x:c r="AZ376" s="141" t="n">
        <x:f>IF($A376&gt;=Premissas!$B$48,$F376,0)+IF($A376&lt;Premissas!$B$27,INDEX('Consorcio IQ'!$O$6:$O$485,$A376),0)</x:f>
        <x:v>1211722.0105003614</x:v>
      </x:c>
      <x:c r="BA376" s="141" t="n">
        <x:f>AX376+AZ376-AY376</x:f>
        <x:v>24914897.063462116</x:v>
      </x:c>
      <x:c r="BB376" s="141" t="n">
        <x:f>IF(AW376&gt;1,"Inviavel",BA376)</x:f>
        <x:v>24914897.063462116</x:v>
      </x:c>
      <x:c r="BC376" s="141" t="str">
        <x:f>IF(AW376&gt;1,"Inviavel","OK")</x:f>
        <x:v>OK</x:v>
      </x:c>
      <x:c r="BD376" s="141" t="n">
        <x:f>IF($A376='Consorcio Direto'!$B$29,'Consorcio Direto'!$B$44,0)</x:f>
        <x:v>0</x:v>
      </x:c>
      <x:c r="BE376" s="141" t="n">
        <x:f>IF($A376&lt;='Consorcio Direto'!$B$27,INDEX('Consorcio Direto'!$E$55:$E$534,$A376),0)</x:f>
        <x:v>0</x:v>
      </x:c>
      <x:c r="BF376" s="141" t="n">
        <x:f>IF(AND(TRUE,Premissas!$B$11="Imovel",Premissas!$B$47="Moradia",$A376&lt;MAX('Consorcio Direto'!$B$29,Premissas!$B$49)),$D376,0)</x:f>
        <x:v>0</x:v>
      </x:c>
      <x:c r="BG376" s="141" t="n">
        <x:f>IF(AND(TRUE,Premissas!$B$11="Imovel",Premissas!$B$47="Investimento",$A376&gt;=MAX('Consorcio Direto'!$B$29,Premissas!$B$49)),$E376,0)</x:f>
        <x:v>3675.8343506644856</x:v>
      </x:c>
      <x:c r="BH376" s="141" t="n">
        <x:f>BD376+BE376+BF376</x:f>
        <x:v>0</x:v>
      </x:c>
      <x:c r="BI376" s="141" t="n">
        <x:f>BG376</x:f>
        <x:v>3675.8343506644856</x:v>
      </x:c>
      <x:c r="BJ376" s="141" t="n">
        <x:f>$C376+BI376-BH376</x:f>
        <x:v>10675.834350664485</x:v>
      </x:c>
      <x:c r="BK376" s="141" t="n">
        <x:f>BN375*(1+Premissas!$B$41)+BJ376</x:f>
        <x:v>22664982.77601409</x:v>
      </x:c>
      <x:c r="BL376" s="141" t="n">
        <x:f>MAX(0,-BK376)</x:f>
        <x:v>0</x:v>
      </x:c>
      <x:c r="BM376" s="141" t="n">
        <x:f>BM375*(1+Premissas!$B$41)+BL376</x:f>
        <x:v>0</x:v>
      </x:c>
      <x:c r="BN376" s="141" t="n">
        <x:f>MAX(0,BK376)</x:f>
        <x:v>22664982.77601409</x:v>
      </x:c>
      <x:c r="BO376" s="141" t="n">
        <x:f>INDEX('Consorcio Direto'!$K$55:$K$534,$A376)</x:f>
        <x:v>0</x:v>
      </x:c>
      <x:c r="BP376" s="141" t="n">
        <x:f>IF($A376&lt;'Consorcio Direto'!$B$29,INDEX('Consorcio Direto'!$L$55:$L$534,$A376),$F376)</x:f>
        <x:v>1211722.0105003614</x:v>
      </x:c>
      <x:c r="BQ376" s="141" t="n">
        <x:f>BN376+BP376-BO376</x:f>
        <x:v>23876704.78651445</x:v>
      </x:c>
      <x:c r="BR376" s="141" t="n">
        <x:f>IF(BM376&gt;1,"Inviavel",BQ376)</x:f>
        <x:v>23876704.78651445</x:v>
      </x:c>
      <x:c r="BS376" s="141" t="str">
        <x:f>IF(BM376&gt;1,"Inviavel","OK")</x:f>
        <x:v>OK</x:v>
      </x:c>
      <x:c r="BT376" s="141" t="n">
        <x:f>IF(AND('Carta Contemplada'!$B$22="Sim",$A376='Carta Contemplada'!$B$23),'Carta Contemplada'!$B$37,0)</x:f>
        <x:v>0</x:v>
      </x:c>
      <x:c r="BU376" s="141" t="n">
        <x:f>IF('Carta Contemplada'!$B$22="Sim",INDEX('Carta Contemplada'!$C$55:$C$1013,$A376),0)</x:f>
        <x:v>0</x:v>
      </x:c>
      <x:c r="BV376" s="141" t="n">
        <x:f>IF(AND('Carta Contemplada'!$B$22="Sim",Premissas!$B$11="Imovel",Premissas!$B$47="Moradia",$A376&lt;MAX('Carta Contemplada'!$B$44,Premissas!$B$49)),$D376,0)</x:f>
        <x:v>0</x:v>
      </x:c>
      <x:c r="BW376" s="141" t="n">
        <x:f>IF(AND('Carta Contemplada'!$B$22="Sim",Premissas!$B$11="Imovel",Premissas!$B$47="Investimento",$A376&gt;=MAX('Carta Contemplada'!$B$44,Premissas!$B$49)),$E376,0)</x:f>
        <x:v>3675.8343506644856</x:v>
      </x:c>
      <x:c r="BX376" s="141" t="n">
        <x:f>BT376+BU376+BV376</x:f>
        <x:v>0</x:v>
      </x:c>
      <x:c r="BY376" s="141" t="n">
        <x:f>BW376</x:f>
        <x:v>3675.8343506644856</x:v>
      </x:c>
      <x:c r="BZ376" s="141" t="n">
        <x:f>$C376+BY376-BX376</x:f>
        <x:v>10675.834350664485</x:v>
      </x:c>
      <x:c r="CA376" s="141" t="n">
        <x:f>CD375*(1+Premissas!$B$41)+BZ376</x:f>
        <x:v>24379721.067378923</x:v>
      </x:c>
      <x:c r="CB376" s="141" t="n">
        <x:f>MAX(0,-CA376)</x:f>
        <x:v>0</x:v>
      </x:c>
      <x:c r="CC376" s="141" t="n">
        <x:f>CC375*(1+Premissas!$B$41)+CB376</x:f>
        <x:v>0</x:v>
      </x:c>
      <x:c r="CD376" s="141" t="n">
        <x:f>MAX(0,CA376)</x:f>
        <x:v>24379721.067378923</x:v>
      </x:c>
      <x:c r="CE376" s="141" t="n">
        <x:f>IF(AND('Carta Contemplada'!$B$22="Sim",$A376&gt;='Carta Contemplada'!$B$23),INDEX('Carta Contemplada'!$I$55:$I$1013,$A376),0)</x:f>
        <x:v>0</x:v>
      </x:c>
      <x:c r="CF376" s="141" t="n">
        <x:f>IF(AND('Carta Contemplada'!$B$22="Sim",$A376&gt;='Carta Contemplada'!$B$44),$F376,0)</x:f>
        <x:v>1211722.0105003614</x:v>
      </x:c>
      <x:c r="CG376" s="141" t="n">
        <x:f>CD376+CF376-CE376</x:f>
        <x:v>25591443.077879284</x:v>
      </x:c>
      <x:c r="CH376" s="141" t="n">
        <x:f>IF(CC376&gt;1,"Inviavel",CG376)</x:f>
        <x:v>25591443.077879284</x:v>
      </x:c>
      <x:c r="CI376" s="145" t="str">
        <x:f>IF(CC376&gt;1,"Inviavel","OK")</x:f>
        <x:v>OK</x:v>
      </x:c>
    </x:row>
    <x:row r="377">
      <x:c r="A377" s="142" t="n">
        <x:v>373</x:v>
      </x:c>
      <x:c r="B377" s="179" t="n">
        <x:f>EDATE(Premissas!$B$4,A377-1)</x:f>
        <x:v>57862</x:v>
      </x:c>
      <x:c r="C377" s="141" t="n">
        <x:f>IF(A377&lt;=Premissas!$B$39,Premissas!$B$42,0)</x:f>
        <x:v>7000</x:v>
      </x:c>
      <x:c r="D377" s="141" t="n">
        <x:f>Premissas!$B$54*(1+Premissas!$B$57)^INT((A377-1)/12)</x:f>
        <x:v>4261.670450301638</x:v>
      </x:c>
      <x:c r="E377" s="141" t="n">
        <x:f>Premissas!$B$64*(1+Premissas!$B$57)^INT((A377-1)/12)</x:f>
        <x:v>3896.384411704355</x:v>
      </x:c>
      <x:c r="F377" s="141" t="n">
        <x:f>MAX(0,Premissas!$B$6*(1+Premissas!$B$66)^((A377-1)/12))</x:f>
        <x:v>1217620.1286576109</x:v>
      </x:c>
      <x:c r="G377" s="141" t="n">
        <x:f>G376*(1+Premissas!$B$41)+C377</x:f>
        <x:v>27271155.600415442</x:v>
      </x:c>
      <x:c r="H377" s="141" t="n">
        <x:f>IF($A377=Premissas!$B$48,Premissas!$B$8,0)</x:f>
        <x:v>0</x:v>
      </x:c>
      <x:c r="I377" s="141" t="n">
        <x:f>IF(AND($A377&gt;=Premissas!$B$48,$A377-Premissas!$B$48+1&lt;=Premissas!$B$13),INDEX(Financiamento!$J$6:$J$485,$A377-Premissas!$B$48+1),0)</x:f>
        <x:v>704.4617374704715</x:v>
      </x:c>
      <x:c r="J377" s="141" t="n">
        <x:f>IF(AND(TRUE,Premissas!$B$11="Imovel",Premissas!$B$47="Moradia",$A377&lt;MAX(Premissas!$B$48,Premissas!$B$49)),$D377,0)</x:f>
        <x:v>0</x:v>
      </x:c>
      <x:c r="K377" s="141" t="n">
        <x:f>IF(AND(TRUE,Premissas!$B$11="Imovel",Premissas!$B$47="Investimento",$A377&gt;=MAX(Premissas!$B$48,Premissas!$B$49)),$E377,0)</x:f>
        <x:v>3896.384411704355</x:v>
      </x:c>
      <x:c r="L377" s="141" t="n">
        <x:f>H377+I377+J377</x:f>
        <x:v>704.4617374704715</x:v>
      </x:c>
      <x:c r="M377" s="141" t="n">
        <x:f>K377</x:f>
        <x:v>3896.384411704355</x:v>
      </x:c>
      <x:c r="N377" s="141" t="n">
        <x:f>$C377+M377-L377</x:f>
        <x:v>10191.922674233883</x:v>
      </x:c>
      <x:c r="O377" s="141" t="n">
        <x:f>R376*(1+Premissas!$B$41)+N377</x:f>
        <x:v>23751669.34627356</x:v>
      </x:c>
      <x:c r="P377" s="141" t="n">
        <x:f>MAX(0,-O377)</x:f>
        <x:v>0</x:v>
      </x:c>
      <x:c r="Q377" s="141" t="n">
        <x:f>Q376*(1+Premissas!$B$41)+P377</x:f>
        <x:v>0</x:v>
      </x:c>
      <x:c r="R377" s="141" t="n">
        <x:f>MAX(0,O377)</x:f>
        <x:v>23751669.34627356</x:v>
      </x:c>
      <x:c r="S377" s="141" t="n">
        <x:f>IF(AND($A377&gt;=Premissas!$B$48,$A377-Premissas!$B$48+1&lt;=Premissas!$B$13),INDEX(Financiamento!$M$6:$M$485,$A377-Premissas!$B$48+1),0)</x:f>
        <x:v>17904.761904761923</x:v>
      </x:c>
      <x:c r="T377" s="141" t="n">
        <x:f>IF($A377&gt;=Premissas!$B$48,$F377,0)</x:f>
        <x:v>1217620.1286576109</x:v>
      </x:c>
      <x:c r="U377" s="141" t="n">
        <x:f>R377+T377-S377</x:f>
        <x:v>24951384.713026408</x:v>
      </x:c>
      <x:c r="V377" s="141" t="n">
        <x:f>IF(Q377&gt;1,"Inviavel",U377)</x:f>
        <x:v>24951384.713026408</x:v>
      </x:c>
      <x:c r="W377" s="141" t="str">
        <x:f>IF(Q377&gt;1,"Inviavel","OK")</x:f>
        <x:v>OK</x:v>
      </x:c>
      <x:c r="X377" s="141" t="n">
        <x:f>IF($A377=Premissas!$B$48,Premissas!$B$8,0)</x:f>
        <x:v>0</x:v>
      </x:c>
      <x:c r="Y377" s="141" t="n">
        <x:f>IF(AND($A377&gt;=Premissas!$B$48,$A377-Premissas!$B$48+1&lt;=Premissas!$B$13),INDEX(Amortizacao!$K$6:$K$485,$A377-Premissas!$B$48+1),0)</x:f>
        <x:v>0</x:v>
      </x:c>
      <x:c r="Z377" s="141" t="n">
        <x:f>IF(AND(TRUE,Premissas!$B$11="Imovel",Premissas!$B$47="Moradia",$A377&lt;MAX(Premissas!$B$48,Premissas!$B$49)),$D377,0)</x:f>
        <x:v>0</x:v>
      </x:c>
      <x:c r="AA377" s="141" t="n">
        <x:f>IF(AND(TRUE,Premissas!$B$11="Imovel",Premissas!$B$47="Investimento",$A377&gt;=MAX(Premissas!$B$48,Premissas!$B$49)),$E377,0)</x:f>
        <x:v>3896.384411704355</x:v>
      </x:c>
      <x:c r="AB377" s="141" t="n">
        <x:f>X377+Y377+Z377</x:f>
        <x:v>0</x:v>
      </x:c>
      <x:c r="AC377" s="141" t="n">
        <x:f>AA377</x:f>
        <x:v>3896.384411704355</x:v>
      </x:c>
      <x:c r="AD377" s="141" t="n">
        <x:f>$C377+AC377-AB377</x:f>
        <x:v>10896.384411704355</x:v>
      </x:c>
      <x:c r="AE377" s="141" t="n">
        <x:f>AH376*(1+Premissas!$B$41)+AD377</x:f>
        <x:v>24132910.45034032</x:v>
      </x:c>
      <x:c r="AF377" s="141" t="n">
        <x:f>MAX(0,-AE377)</x:f>
        <x:v>0</x:v>
      </x:c>
      <x:c r="AG377" s="141" t="n">
        <x:f>AG376*(1+Premissas!$B$41)+AF377</x:f>
        <x:v>0</x:v>
      </x:c>
      <x:c r="AH377" s="141" t="n">
        <x:f>MAX(0,AE377)</x:f>
        <x:v>24132910.45034032</x:v>
      </x:c>
      <x:c r="AI377" s="141" t="n">
        <x:f>IF(AND($A377&gt;=Premissas!$B$48,$A377-Premissas!$B$48+1&lt;=Premissas!$B$13),INDEX(Amortizacao!$L$6:$L$485,$A377-Premissas!$B$48+1),0)</x:f>
        <x:v>0</x:v>
      </x:c>
      <x:c r="AJ377" s="141" t="n">
        <x:f>IF($A377&gt;=Premissas!$B$48,$F377,0)</x:f>
        <x:v>1217620.1286576109</x:v>
      </x:c>
      <x:c r="AK377" s="141" t="n">
        <x:f>AH377+AJ377-AI377</x:f>
        <x:v>25350530.57899793</x:v>
      </x:c>
      <x:c r="AL377" s="141" t="n">
        <x:f>IF(AG377&gt;1,"Inviavel",AK377)</x:f>
        <x:v>25350530.57899793</x:v>
      </x:c>
      <x:c r="AM377" s="141" t="str">
        <x:f>IF(AG377&gt;1,"Inviavel","OK")</x:f>
        <x:v>OK</x:v>
      </x:c>
      <x:c r="AN377" s="141" t="n">
        <x:f>IF($A377=Premissas!$B$48,Premissas!$B$8,0)</x:f>
        <x:v>0</x:v>
      </x:c>
      <x:c r="AO377" s="141" t="n">
        <x:f>IF($A377&lt;=Premissas!$B$25,INDEX('Consorcio IQ'!$K$6:$K$485,$A377),0)</x:f>
        <x:v>0</x:v>
      </x:c>
      <x:c r="AP377" s="141" t="n">
        <x:f>IF(AND(TRUE,Premissas!$B$11="Imovel",Premissas!$B$47="Moradia",$A377&lt;MAX(Premissas!$B$48,Premissas!$B$49)),$D377,0)</x:f>
        <x:v>0</x:v>
      </x:c>
      <x:c r="AQ377" s="141" t="n">
        <x:f>IF(AND(TRUE,Premissas!$B$11="Imovel",Premissas!$B$47="Investimento",$A377&gt;=MAX(Premissas!$B$48,Premissas!$B$49)),$E377,0)</x:f>
        <x:v>3896.384411704355</x:v>
      </x:c>
      <x:c r="AR377" s="141" t="n">
        <x:f>AN377+AO377+AP377</x:f>
        <x:v>0</x:v>
      </x:c>
      <x:c r="AS377" s="141" t="n">
        <x:f>AQ377</x:f>
        <x:v>3896.384411704355</x:v>
      </x:c>
      <x:c r="AT377" s="141" t="n">
        <x:f>$C377+AS377-AR377</x:f>
        <x:v>10896.384411704355</x:v>
      </x:c>
      <x:c r="AU377" s="141" t="n">
        <x:f>AX376*(1+Premissas!$B$41)+AT377</x:f>
        <x:v>23938985.957343187</x:v>
      </x:c>
      <x:c r="AV377" s="141" t="n">
        <x:f>MAX(0,-AU377)</x:f>
        <x:v>0</x:v>
      </x:c>
      <x:c r="AW377" s="141" t="n">
        <x:f>AW376*(1+Premissas!$B$41)+AV377</x:f>
        <x:v>0</x:v>
      </x:c>
      <x:c r="AX377" s="141" t="n">
        <x:f>MAX(0,AU377)</x:f>
        <x:v>23938985.957343187</x:v>
      </x:c>
      <x:c r="AY377" s="141" t="n">
        <x:f>INDEX('Consorcio IQ'!$P$6:$P$485,$A377)</x:f>
        <x:v>0</x:v>
      </x:c>
      <x:c r="AZ377" s="141" t="n">
        <x:f>IF($A377&gt;=Premissas!$B$48,$F377,0)+IF($A377&lt;Premissas!$B$27,INDEX('Consorcio IQ'!$O$6:$O$485,$A377),0)</x:f>
        <x:v>1217620.1286576109</x:v>
      </x:c>
      <x:c r="BA377" s="141" t="n">
        <x:f>AX377+AZ377-AY377</x:f>
        <x:v>25156606.086000796</x:v>
      </x:c>
      <x:c r="BB377" s="141" t="n">
        <x:f>IF(AW377&gt;1,"Inviavel",BA377)</x:f>
        <x:v>25156606.086000796</x:v>
      </x:c>
      <x:c r="BC377" s="141" t="str">
        <x:f>IF(AW377&gt;1,"Inviavel","OK")</x:f>
        <x:v>OK</x:v>
      </x:c>
      <x:c r="BD377" s="141" t="n">
        <x:f>IF($A377='Consorcio Direto'!$B$29,'Consorcio Direto'!$B$44,0)</x:f>
        <x:v>0</x:v>
      </x:c>
      <x:c r="BE377" s="141" t="n">
        <x:f>IF($A377&lt;='Consorcio Direto'!$B$27,INDEX('Consorcio Direto'!$E$55:$E$534,$A377),0)</x:f>
        <x:v>0</x:v>
      </x:c>
      <x:c r="BF377" s="141" t="n">
        <x:f>IF(AND(TRUE,Premissas!$B$11="Imovel",Premissas!$B$47="Moradia",$A377&lt;MAX('Consorcio Direto'!$B$29,Premissas!$B$49)),$D377,0)</x:f>
        <x:v>0</x:v>
      </x:c>
      <x:c r="BG377" s="141" t="n">
        <x:f>IF(AND(TRUE,Premissas!$B$11="Imovel",Premissas!$B$47="Investimento",$A377&gt;=MAX('Consorcio Direto'!$B$29,Premissas!$B$49)),$E377,0)</x:f>
        <x:v>3896.384411704355</x:v>
      </x:c>
      <x:c r="BH377" s="141" t="n">
        <x:f>BD377+BE377+BF377</x:f>
        <x:v>0</x:v>
      </x:c>
      <x:c r="BI377" s="141" t="n">
        <x:f>BG377</x:f>
        <x:v>3896.384411704355</x:v>
      </x:c>
      <x:c r="BJ377" s="141" t="n">
        <x:f>$C377+BI377-BH377</x:f>
        <x:v>10896.384411704355</x:v>
      </x:c>
      <x:c r="BK377" s="141" t="n">
        <x:f>BN376*(1+Premissas!$B$41)+BJ377</x:f>
        <x:v>22890942.488853283</x:v>
      </x:c>
      <x:c r="BL377" s="141" t="n">
        <x:f>MAX(0,-BK377)</x:f>
        <x:v>0</x:v>
      </x:c>
      <x:c r="BM377" s="141" t="n">
        <x:f>BM376*(1+Premissas!$B$41)+BL377</x:f>
        <x:v>0</x:v>
      </x:c>
      <x:c r="BN377" s="141" t="n">
        <x:f>MAX(0,BK377)</x:f>
        <x:v>22890942.488853283</x:v>
      </x:c>
      <x:c r="BO377" s="141" t="n">
        <x:f>INDEX('Consorcio Direto'!$K$55:$K$534,$A377)</x:f>
        <x:v>0</x:v>
      </x:c>
      <x:c r="BP377" s="141" t="n">
        <x:f>IF($A377&lt;'Consorcio Direto'!$B$29,INDEX('Consorcio Direto'!$L$55:$L$534,$A377),$F377)</x:f>
        <x:v>1217620.1286576109</x:v>
      </x:c>
      <x:c r="BQ377" s="141" t="n">
        <x:f>BN377+BP377-BO377</x:f>
        <x:v>24108562.617510892</x:v>
      </x:c>
      <x:c r="BR377" s="141" t="n">
        <x:f>IF(BM377&gt;1,"Inviavel",BQ377)</x:f>
        <x:v>24108562.617510892</x:v>
      </x:c>
      <x:c r="BS377" s="141" t="str">
        <x:f>IF(BM377&gt;1,"Inviavel","OK")</x:f>
        <x:v>OK</x:v>
      </x:c>
      <x:c r="BT377" s="141" t="n">
        <x:f>IF(AND('Carta Contemplada'!$B$22="Sim",$A377='Carta Contemplada'!$B$23),'Carta Contemplada'!$B$37,0)</x:f>
        <x:v>0</x:v>
      </x:c>
      <x:c r="BU377" s="141" t="n">
        <x:f>IF('Carta Contemplada'!$B$22="Sim",INDEX('Carta Contemplada'!$C$55:$C$1013,$A377),0)</x:f>
        <x:v>0</x:v>
      </x:c>
      <x:c r="BV377" s="141" t="n">
        <x:f>IF(AND('Carta Contemplada'!$B$22="Sim",Premissas!$B$11="Imovel",Premissas!$B$47="Moradia",$A377&lt;MAX('Carta Contemplada'!$B$44,Premissas!$B$49)),$D377,0)</x:f>
        <x:v>0</x:v>
      </x:c>
      <x:c r="BW377" s="141" t="n">
        <x:f>IF(AND('Carta Contemplada'!$B$22="Sim",Premissas!$B$11="Imovel",Premissas!$B$47="Investimento",$A377&gt;=MAX('Carta Contemplada'!$B$44,Premissas!$B$49)),$E377,0)</x:f>
        <x:v>3896.384411704355</x:v>
      </x:c>
      <x:c r="BX377" s="141" t="n">
        <x:f>BT377+BU377+BV377</x:f>
        <x:v>0</x:v>
      </x:c>
      <x:c r="BY377" s="141" t="n">
        <x:f>BW377</x:f>
        <x:v>3896.384411704355</x:v>
      </x:c>
      <x:c r="BZ377" s="141" t="n">
        <x:f>$C377+BY377-BX377</x:f>
        <x:v>10896.384411704355</x:v>
      </x:c>
      <x:c r="CA377" s="141" t="n">
        <x:f>CD376*(1+Premissas!$B$41)+BZ377</x:f>
        <x:v>24621951.576801877</x:v>
      </x:c>
      <x:c r="CB377" s="141" t="n">
        <x:f>MAX(0,-CA377)</x:f>
        <x:v>0</x:v>
      </x:c>
      <x:c r="CC377" s="141" t="n">
        <x:f>CC376*(1+Premissas!$B$41)+CB377</x:f>
        <x:v>0</x:v>
      </x:c>
      <x:c r="CD377" s="141" t="n">
        <x:f>MAX(0,CA377)</x:f>
        <x:v>24621951.576801877</x:v>
      </x:c>
      <x:c r="CE377" s="141" t="n">
        <x:f>IF(AND('Carta Contemplada'!$B$22="Sim",$A377&gt;='Carta Contemplada'!$B$23),INDEX('Carta Contemplada'!$I$55:$I$1013,$A377),0)</x:f>
        <x:v>0</x:v>
      </x:c>
      <x:c r="CF377" s="141" t="n">
        <x:f>IF(AND('Carta Contemplada'!$B$22="Sim",$A377&gt;='Carta Contemplada'!$B$44),$F377,0)</x:f>
        <x:v>1217620.1286576109</x:v>
      </x:c>
      <x:c r="CG377" s="141" t="n">
        <x:f>CD377+CF377-CE377</x:f>
        <x:v>25839571.705459487</x:v>
      </x:c>
      <x:c r="CH377" s="141" t="n">
        <x:f>IF(CC377&gt;1,"Inviavel",CG377)</x:f>
        <x:v>25839571.705459487</x:v>
      </x:c>
      <x:c r="CI377" s="145" t="str">
        <x:f>IF(CC377&gt;1,"Inviavel","OK")</x:f>
        <x:v>OK</x:v>
      </x:c>
    </x:row>
    <x:row r="378">
      <x:c r="A378" s="142" t="n">
        <x:v>374</x:v>
      </x:c>
      <x:c r="B378" s="179" t="n">
        <x:f>EDATE(Premissas!$B$4,A378-1)</x:f>
        <x:v>57892</x:v>
      </x:c>
      <x:c r="C378" s="141" t="n">
        <x:f>IF(A378&lt;=Premissas!$B$39,Premissas!$B$42,0)</x:f>
        <x:v>7000</x:v>
      </x:c>
      <x:c r="D378" s="141" t="n">
        <x:f>Premissas!$B$54*(1+Premissas!$B$57)^INT((A378-1)/12)</x:f>
        <x:v>4261.670450301638</x:v>
      </x:c>
      <x:c r="E378" s="141" t="n">
        <x:f>Premissas!$B$64*(1+Premissas!$B$57)^INT((A378-1)/12)</x:f>
        <x:v>3896.384411704355</x:v>
      </x:c>
      <x:c r="F378" s="141" t="n">
        <x:f>MAX(0,Premissas!$B$6*(1+Premissas!$B$66)^((A378-1)/12))</x:f>
        <x:v>1223546.9562032314</x:v>
      </x:c>
      <x:c r="G378" s="141" t="n">
        <x:f>G377*(1+Premissas!$B$41)+C378</x:f>
        <x:v>27536925.94899458</x:v>
      </x:c>
      <x:c r="H378" s="141" t="n">
        <x:f>IF($A378=Premissas!$B$48,Premissas!$B$8,0)</x:f>
        <x:v>0</x:v>
      </x:c>
      <x:c r="I378" s="141" t="n">
        <x:f>IF(AND($A378&gt;=Premissas!$B$48,$A378-Premissas!$B$48+1&lt;=Premissas!$B$13),INDEX(Financiamento!$J$6:$J$485,$A378-Premissas!$B$48+1),0)</x:f>
        <x:v>700.846959209678</x:v>
      </x:c>
      <x:c r="J378" s="141" t="n">
        <x:f>IF(AND(TRUE,Premissas!$B$11="Imovel",Premissas!$B$47="Moradia",$A378&lt;MAX(Premissas!$B$48,Premissas!$B$49)),$D378,0)</x:f>
        <x:v>0</x:v>
      </x:c>
      <x:c r="K378" s="141" t="n">
        <x:f>IF(AND(TRUE,Premissas!$B$11="Imovel",Premissas!$B$47="Investimento",$A378&gt;=MAX(Premissas!$B$48,Premissas!$B$49)),$E378,0)</x:f>
        <x:v>3896.384411704355</x:v>
      </x:c>
      <x:c r="L378" s="141" t="n">
        <x:f>H378+I378+J378</x:f>
        <x:v>700.846959209678</x:v>
      </x:c>
      <x:c r="M378" s="141" t="n">
        <x:f>K378</x:f>
        <x:v>3896.384411704355</x:v>
      </x:c>
      <x:c r="N378" s="141" t="n">
        <x:f>$C378+M378-L378</x:f>
        <x:v>10195.537452494678</x:v>
      </x:c>
      <x:c r="O378" s="141" t="n">
        <x:f>R377*(1+Premissas!$B$41)+N378</x:f>
        <x:v>23987239.556003526</x:v>
      </x:c>
      <x:c r="P378" s="141" t="n">
        <x:f>MAX(0,-O378)</x:f>
        <x:v>0</x:v>
      </x:c>
      <x:c r="Q378" s="141" t="n">
        <x:f>Q377*(1+Premissas!$B$41)+P378</x:f>
        <x:v>0</x:v>
      </x:c>
      <x:c r="R378" s="141" t="n">
        <x:f>MAX(0,O378)</x:f>
        <x:v>23987239.556003526</x:v>
      </x:c>
      <x:c r="S378" s="141" t="n">
        <x:f>IF(AND($A378&gt;=Premissas!$B$48,$A378-Premissas!$B$48+1&lt;=Premissas!$B$13),INDEX(Financiamento!$M$6:$M$485,$A378-Premissas!$B$48+1),0)</x:f>
        <x:v>17523.80952380954</x:v>
      </x:c>
      <x:c r="T378" s="141" t="n">
        <x:f>IF($A378&gt;=Premissas!$B$48,$F378,0)</x:f>
        <x:v>1223546.9562032314</x:v>
      </x:c>
      <x:c r="U378" s="141" t="n">
        <x:f>R378+T378-S378</x:f>
        <x:v>25193262.702682946</x:v>
      </x:c>
      <x:c r="V378" s="141" t="n">
        <x:f>IF(Q378&gt;1,"Inviavel",U378)</x:f>
        <x:v>25193262.702682946</x:v>
      </x:c>
      <x:c r="W378" s="141" t="str">
        <x:f>IF(Q378&gt;1,"Inviavel","OK")</x:f>
        <x:v>OK</x:v>
      </x:c>
      <x:c r="X378" s="141" t="n">
        <x:f>IF($A378=Premissas!$B$48,Premissas!$B$8,0)</x:f>
        <x:v>0</x:v>
      </x:c>
      <x:c r="Y378" s="141" t="n">
        <x:f>IF(AND($A378&gt;=Premissas!$B$48,$A378-Premissas!$B$48+1&lt;=Premissas!$B$13),INDEX(Amortizacao!$K$6:$K$485,$A378-Premissas!$B$48+1),0)</x:f>
        <x:v>0</x:v>
      </x:c>
      <x:c r="Z378" s="141" t="n">
        <x:f>IF(AND(TRUE,Premissas!$B$11="Imovel",Premissas!$B$47="Moradia",$A378&lt;MAX(Premissas!$B$48,Premissas!$B$49)),$D378,0)</x:f>
        <x:v>0</x:v>
      </x:c>
      <x:c r="AA378" s="141" t="n">
        <x:f>IF(AND(TRUE,Premissas!$B$11="Imovel",Premissas!$B$47="Investimento",$A378&gt;=MAX(Premissas!$B$48,Premissas!$B$49)),$E378,0)</x:f>
        <x:v>3896.384411704355</x:v>
      </x:c>
      <x:c r="AB378" s="141" t="n">
        <x:f>X378+Y378+Z378</x:f>
        <x:v>0</x:v>
      </x:c>
      <x:c r="AC378" s="141" t="n">
        <x:f>AA378</x:f>
        <x:v>3896.384411704355</x:v>
      </x:c>
      <x:c r="AD378" s="141" t="n">
        <x:f>$C378+AC378-AB378</x:f>
        <x:v>10896.384411704355</x:v>
      </x:c>
      <x:c r="AE378" s="141" t="n">
        <x:f>AH377*(1+Premissas!$B$41)+AD378</x:f>
        <x:v>24372799.024924137</x:v>
      </x:c>
      <x:c r="AF378" s="141" t="n">
        <x:f>MAX(0,-AE378)</x:f>
        <x:v>0</x:v>
      </x:c>
      <x:c r="AG378" s="141" t="n">
        <x:f>AG377*(1+Premissas!$B$41)+AF378</x:f>
        <x:v>0</x:v>
      </x:c>
      <x:c r="AH378" s="141" t="n">
        <x:f>MAX(0,AE378)</x:f>
        <x:v>24372799.024924137</x:v>
      </x:c>
      <x:c r="AI378" s="141" t="n">
        <x:f>IF(AND($A378&gt;=Premissas!$B$48,$A378-Premissas!$B$48+1&lt;=Premissas!$B$13),INDEX(Amortizacao!$L$6:$L$485,$A378-Premissas!$B$48+1),0)</x:f>
        <x:v>0</x:v>
      </x:c>
      <x:c r="AJ378" s="141" t="n">
        <x:f>IF($A378&gt;=Premissas!$B$48,$F378,0)</x:f>
        <x:v>1223546.9562032314</x:v>
      </x:c>
      <x:c r="AK378" s="141" t="n">
        <x:f>AH378+AJ378-AI378</x:f>
        <x:v>25596345.981127366</x:v>
      </x:c>
      <x:c r="AL378" s="141" t="n">
        <x:f>IF(AG378&gt;1,"Inviavel",AK378)</x:f>
        <x:v>25596345.981127366</x:v>
      </x:c>
      <x:c r="AM378" s="141" t="str">
        <x:f>IF(AG378&gt;1,"Inviavel","OK")</x:f>
        <x:v>OK</x:v>
      </x:c>
      <x:c r="AN378" s="141" t="n">
        <x:f>IF($A378=Premissas!$B$48,Premissas!$B$8,0)</x:f>
        <x:v>0</x:v>
      </x:c>
      <x:c r="AO378" s="141" t="n">
        <x:f>IF($A378&lt;=Premissas!$B$25,INDEX('Consorcio IQ'!$K$6:$K$485,$A378),0)</x:f>
        <x:v>0</x:v>
      </x:c>
      <x:c r="AP378" s="141" t="n">
        <x:f>IF(AND(TRUE,Premissas!$B$11="Imovel",Premissas!$B$47="Moradia",$A378&lt;MAX(Premissas!$B$48,Premissas!$B$49)),$D378,0)</x:f>
        <x:v>0</x:v>
      </x:c>
      <x:c r="AQ378" s="141" t="n">
        <x:f>IF(AND(TRUE,Premissas!$B$11="Imovel",Premissas!$B$47="Investimento",$A378&gt;=MAX(Premissas!$B$48,Premissas!$B$49)),$E378,0)</x:f>
        <x:v>3896.384411704355</x:v>
      </x:c>
      <x:c r="AR378" s="141" t="n">
        <x:f>AN378+AO378+AP378</x:f>
        <x:v>0</x:v>
      </x:c>
      <x:c r="AS378" s="141" t="n">
        <x:f>AQ378</x:f>
        <x:v>3896.384411704355</x:v>
      </x:c>
      <x:c r="AT378" s="141" t="n">
        <x:f>$C378+AS378-AR378</x:f>
        <x:v>10896.384411704355</x:v>
      </x:c>
      <x:c r="AU378" s="141" t="n">
        <x:f>AX377*(1+Premissas!$B$41)+AT378</x:f>
        <x:v>24177034.422568012</x:v>
      </x:c>
      <x:c r="AV378" s="141" t="n">
        <x:f>MAX(0,-AU378)</x:f>
        <x:v>0</x:v>
      </x:c>
      <x:c r="AW378" s="141" t="n">
        <x:f>AW377*(1+Premissas!$B$41)+AV378</x:f>
        <x:v>0</x:v>
      </x:c>
      <x:c r="AX378" s="141" t="n">
        <x:f>MAX(0,AU378)</x:f>
        <x:v>24177034.422568012</x:v>
      </x:c>
      <x:c r="AY378" s="141" t="n">
        <x:f>INDEX('Consorcio IQ'!$P$6:$P$485,$A378)</x:f>
        <x:v>0</x:v>
      </x:c>
      <x:c r="AZ378" s="141" t="n">
        <x:f>IF($A378&gt;=Premissas!$B$48,$F378,0)+IF($A378&lt;Premissas!$B$27,INDEX('Consorcio IQ'!$O$6:$O$485,$A378),0)</x:f>
        <x:v>1223546.9562032314</x:v>
      </x:c>
      <x:c r="BA378" s="141" t="n">
        <x:f>AX378+AZ378-AY378</x:f>
        <x:v>25400581.37877124</x:v>
      </x:c>
      <x:c r="BB378" s="141" t="n">
        <x:f>IF(AW378&gt;1,"Inviavel",BA378)</x:f>
        <x:v>25400581.37877124</x:v>
      </x:c>
      <x:c r="BC378" s="141" t="str">
        <x:f>IF(AW378&gt;1,"Inviavel","OK")</x:f>
        <x:v>OK</x:v>
      </x:c>
      <x:c r="BD378" s="141" t="n">
        <x:f>IF($A378='Consorcio Direto'!$B$29,'Consorcio Direto'!$B$44,0)</x:f>
        <x:v>0</x:v>
      </x:c>
      <x:c r="BE378" s="141" t="n">
        <x:f>IF($A378&lt;='Consorcio Direto'!$B$27,INDEX('Consorcio Direto'!$E$55:$E$534,$A378),0)</x:f>
        <x:v>0</x:v>
      </x:c>
      <x:c r="BF378" s="141" t="n">
        <x:f>IF(AND(TRUE,Premissas!$B$11="Imovel",Premissas!$B$47="Moradia",$A378&lt;MAX('Consorcio Direto'!$B$29,Premissas!$B$49)),$D378,0)</x:f>
        <x:v>0</x:v>
      </x:c>
      <x:c r="BG378" s="141" t="n">
        <x:f>IF(AND(TRUE,Premissas!$B$11="Imovel",Premissas!$B$47="Investimento",$A378&gt;=MAX('Consorcio Direto'!$B$29,Premissas!$B$49)),$E378,0)</x:f>
        <x:v>3896.384411704355</x:v>
      </x:c>
      <x:c r="BH378" s="141" t="n">
        <x:f>BD378+BE378+BF378</x:f>
        <x:v>0</x:v>
      </x:c>
      <x:c r="BI378" s="141" t="n">
        <x:f>BG378</x:f>
        <x:v>3896.384411704355</x:v>
      </x:c>
      <x:c r="BJ378" s="141" t="n">
        <x:f>$C378+BI378-BH378</x:f>
        <x:v>10896.384411704355</x:v>
      </x:c>
      <x:c r="BK378" s="141" t="n">
        <x:f>BN377*(1+Premissas!$B$41)+BJ378</x:f>
        <x:v>23119046.286619164</x:v>
      </x:c>
      <x:c r="BL378" s="141" t="n">
        <x:f>MAX(0,-BK378)</x:f>
        <x:v>0</x:v>
      </x:c>
      <x:c r="BM378" s="141" t="n">
        <x:f>BM377*(1+Premissas!$B$41)+BL378</x:f>
        <x:v>0</x:v>
      </x:c>
      <x:c r="BN378" s="141" t="n">
        <x:f>MAX(0,BK378)</x:f>
        <x:v>23119046.286619164</x:v>
      </x:c>
      <x:c r="BO378" s="141" t="n">
        <x:f>INDEX('Consorcio Direto'!$K$55:$K$534,$A378)</x:f>
        <x:v>0</x:v>
      </x:c>
      <x:c r="BP378" s="141" t="n">
        <x:f>IF($A378&lt;'Consorcio Direto'!$B$29,INDEX('Consorcio Direto'!$L$55:$L$534,$A378),$F378)</x:f>
        <x:v>1223546.9562032314</x:v>
      </x:c>
      <x:c r="BQ378" s="141" t="n">
        <x:f>BN378+BP378-BO378</x:f>
        <x:v>24342593.242822394</x:v>
      </x:c>
      <x:c r="BR378" s="141" t="n">
        <x:f>IF(BM378&gt;1,"Inviavel",BQ378)</x:f>
        <x:v>24342593.242822394</x:v>
      </x:c>
      <x:c r="BS378" s="141" t="str">
        <x:f>IF(BM378&gt;1,"Inviavel","OK")</x:f>
        <x:v>OK</x:v>
      </x:c>
      <x:c r="BT378" s="141" t="n">
        <x:f>IF(AND('Carta Contemplada'!$B$22="Sim",$A378='Carta Contemplada'!$B$23),'Carta Contemplada'!$B$37,0)</x:f>
        <x:v>0</x:v>
      </x:c>
      <x:c r="BU378" s="141" t="n">
        <x:f>IF('Carta Contemplada'!$B$22="Sim",INDEX('Carta Contemplada'!$C$55:$C$1013,$A378),0)</x:f>
        <x:v>0</x:v>
      </x:c>
      <x:c r="BV378" s="141" t="n">
        <x:f>IF(AND('Carta Contemplada'!$B$22="Sim",Premissas!$B$11="Imovel",Premissas!$B$47="Moradia",$A378&lt;MAX('Carta Contemplada'!$B$44,Premissas!$B$49)),$D378,0)</x:f>
        <x:v>0</x:v>
      </x:c>
      <x:c r="BW378" s="141" t="n">
        <x:f>IF(AND('Carta Contemplada'!$B$22="Sim",Premissas!$B$11="Imovel",Premissas!$B$47="Investimento",$A378&gt;=MAX('Carta Contemplada'!$B$44,Premissas!$B$49)),$E378,0)</x:f>
        <x:v>3896.384411704355</x:v>
      </x:c>
      <x:c r="BX378" s="141" t="n">
        <x:f>BT378+BU378+BV378</x:f>
        <x:v>0</x:v>
      </x:c>
      <x:c r="BY378" s="141" t="n">
        <x:f>BW378</x:f>
        <x:v>3896.384411704355</x:v>
      </x:c>
      <x:c r="BZ378" s="141" t="n">
        <x:f>$C378+BY378-BX378</x:f>
        <x:v>10896.384411704355</x:v>
      </x:c>
      <x:c r="CA378" s="141" t="n">
        <x:f>CD377*(1+Premissas!$B$41)+BZ378</x:f>
        <x:v>24866480.561371185</x:v>
      </x:c>
      <x:c r="CB378" s="141" t="n">
        <x:f>MAX(0,-CA378)</x:f>
        <x:v>0</x:v>
      </x:c>
      <x:c r="CC378" s="141" t="n">
        <x:f>CC377*(1+Premissas!$B$41)+CB378</x:f>
        <x:v>0</x:v>
      </x:c>
      <x:c r="CD378" s="141" t="n">
        <x:f>MAX(0,CA378)</x:f>
        <x:v>24866480.561371185</x:v>
      </x:c>
      <x:c r="CE378" s="141" t="n">
        <x:f>IF(AND('Carta Contemplada'!$B$22="Sim",$A378&gt;='Carta Contemplada'!$B$23),INDEX('Carta Contemplada'!$I$55:$I$1013,$A378),0)</x:f>
        <x:v>0</x:v>
      </x:c>
      <x:c r="CF378" s="141" t="n">
        <x:f>IF(AND('Carta Contemplada'!$B$22="Sim",$A378&gt;='Carta Contemplada'!$B$44),$F378,0)</x:f>
        <x:v>1223546.9562032314</x:v>
      </x:c>
      <x:c r="CG378" s="141" t="n">
        <x:f>CD378+CF378-CE378</x:f>
        <x:v>26090027.517574415</x:v>
      </x:c>
      <x:c r="CH378" s="141" t="n">
        <x:f>IF(CC378&gt;1,"Inviavel",CG378)</x:f>
        <x:v>26090027.517574415</x:v>
      </x:c>
      <x:c r="CI378" s="145" t="str">
        <x:f>IF(CC378&gt;1,"Inviavel","OK")</x:f>
        <x:v>OK</x:v>
      </x:c>
    </x:row>
    <x:row r="379">
      <x:c r="A379" s="142" t="n">
        <x:v>375</x:v>
      </x:c>
      <x:c r="B379" s="179" t="n">
        <x:f>EDATE(Premissas!$B$4,A379-1)</x:f>
        <x:v>57923</x:v>
      </x:c>
      <x:c r="C379" s="141" t="n">
        <x:f>IF(A379&lt;=Premissas!$B$39,Premissas!$B$42,0)</x:f>
        <x:v>7000</x:v>
      </x:c>
      <x:c r="D379" s="141" t="n">
        <x:f>Premissas!$B$54*(1+Premissas!$B$57)^INT((A379-1)/12)</x:f>
        <x:v>4261.670450301638</x:v>
      </x:c>
      <x:c r="E379" s="141" t="n">
        <x:f>Premissas!$B$64*(1+Premissas!$B$57)^INT((A379-1)/12)</x:f>
        <x:v>3896.384411704355</x:v>
      </x:c>
      <x:c r="F379" s="141" t="n">
        <x:f>MAX(0,Premissas!$B$6*(1+Premissas!$B$66)^((A379-1)/12))</x:f>
        <x:v>1229502.6328816223</x:v>
      </x:c>
      <x:c r="G379" s="141" t="n">
        <x:f>G378*(1+Premissas!$B$41)+C379</x:f>
        <x:v>27805218.13737954</x:v>
      </x:c>
      <x:c r="H379" s="141" t="n">
        <x:f>IF($A379=Premissas!$B$48,Premissas!$B$8,0)</x:f>
        <x:v>0</x:v>
      </x:c>
      <x:c r="I379" s="141" t="n">
        <x:f>IF(AND($A379&gt;=Premissas!$B$48,$A379-Premissas!$B$48+1&lt;=Premissas!$B$13),INDEX(Financiamento!$J$6:$J$485,$A379-Premissas!$B$48+1),0)</x:f>
        <x:v>697.2321809488844</x:v>
      </x:c>
      <x:c r="J379" s="141" t="n">
        <x:f>IF(AND(TRUE,Premissas!$B$11="Imovel",Premissas!$B$47="Moradia",$A379&lt;MAX(Premissas!$B$48,Premissas!$B$49)),$D379,0)</x:f>
        <x:v>0</x:v>
      </x:c>
      <x:c r="K379" s="141" t="n">
        <x:f>IF(AND(TRUE,Premissas!$B$11="Imovel",Premissas!$B$47="Investimento",$A379&gt;=MAX(Premissas!$B$48,Premissas!$B$49)),$E379,0)</x:f>
        <x:v>3896.384411704355</x:v>
      </x:c>
      <x:c r="L379" s="141" t="n">
        <x:f>H379+I379+J379</x:f>
        <x:v>697.2321809488844</x:v>
      </x:c>
      <x:c r="M379" s="141" t="n">
        <x:f>K379</x:f>
        <x:v>3896.384411704355</x:v>
      </x:c>
      <x:c r="N379" s="141" t="n">
        <x:f>$C379+M379-L379</x:f>
        <x:v>10199.152230755471</x:v>
      </x:c>
      <x:c r="O379" s="141" t="n">
        <x:f>R378*(1+Premissas!$B$41)+N379</x:f>
        <x:v>24225048.657453436</x:v>
      </x:c>
      <x:c r="P379" s="141" t="n">
        <x:f>MAX(0,-O379)</x:f>
        <x:v>0</x:v>
      </x:c>
      <x:c r="Q379" s="141" t="n">
        <x:f>Q378*(1+Premissas!$B$41)+P379</x:f>
        <x:v>0</x:v>
      </x:c>
      <x:c r="R379" s="141" t="n">
        <x:f>MAX(0,O379)</x:f>
        <x:v>24225048.657453436</x:v>
      </x:c>
      <x:c r="S379" s="141" t="n">
        <x:f>IF(AND($A379&gt;=Premissas!$B$48,$A379-Premissas!$B$48+1&lt;=Premissas!$B$13),INDEX(Financiamento!$M$6:$M$485,$A379-Premissas!$B$48+1),0)</x:f>
        <x:v>17142.85714285716</x:v>
      </x:c>
      <x:c r="T379" s="141" t="n">
        <x:f>IF($A379&gt;=Premissas!$B$48,$F379,0)</x:f>
        <x:v>1229502.6328816223</x:v>
      </x:c>
      <x:c r="U379" s="141" t="n">
        <x:f>R379+T379-S379</x:f>
        <x:v>25437408.4331922</x:v>
      </x:c>
      <x:c r="V379" s="141" t="n">
        <x:f>IF(Q379&gt;1,"Inviavel",U379)</x:f>
        <x:v>25437408.4331922</x:v>
      </x:c>
      <x:c r="W379" s="141" t="str">
        <x:f>IF(Q379&gt;1,"Inviavel","OK")</x:f>
        <x:v>OK</x:v>
      </x:c>
      <x:c r="X379" s="141" t="n">
        <x:f>IF($A379=Premissas!$B$48,Premissas!$B$8,0)</x:f>
        <x:v>0</x:v>
      </x:c>
      <x:c r="Y379" s="141" t="n">
        <x:f>IF(AND($A379&gt;=Premissas!$B$48,$A379-Premissas!$B$48+1&lt;=Premissas!$B$13),INDEX(Amortizacao!$K$6:$K$485,$A379-Premissas!$B$48+1),0)</x:f>
        <x:v>0</x:v>
      </x:c>
      <x:c r="Z379" s="141" t="n">
        <x:f>IF(AND(TRUE,Premissas!$B$11="Imovel",Premissas!$B$47="Moradia",$A379&lt;MAX(Premissas!$B$48,Premissas!$B$49)),$D379,0)</x:f>
        <x:v>0</x:v>
      </x:c>
      <x:c r="AA379" s="141" t="n">
        <x:f>IF(AND(TRUE,Premissas!$B$11="Imovel",Premissas!$B$47="Investimento",$A379&gt;=MAX(Premissas!$B$48,Premissas!$B$49)),$E379,0)</x:f>
        <x:v>3896.384411704355</x:v>
      </x:c>
      <x:c r="AB379" s="141" t="n">
        <x:f>X379+Y379+Z379</x:f>
        <x:v>0</x:v>
      </x:c>
      <x:c r="AC379" s="141" t="n">
        <x:f>AA379</x:f>
        <x:v>3896.384411704355</x:v>
      </x:c>
      <x:c r="AD379" s="141" t="n">
        <x:f>$C379+AC379-AB379</x:f>
        <x:v>10896.384411704355</x:v>
      </x:c>
      <x:c r="AE379" s="141" t="n">
        <x:f>AH378*(1+Premissas!$B$41)+AD379</x:f>
        <x:v>24614963.852519553</x:v>
      </x:c>
      <x:c r="AF379" s="141" t="n">
        <x:f>MAX(0,-AE379)</x:f>
        <x:v>0</x:v>
      </x:c>
      <x:c r="AG379" s="141" t="n">
        <x:f>AG378*(1+Premissas!$B$41)+AF379</x:f>
        <x:v>0</x:v>
      </x:c>
      <x:c r="AH379" s="141" t="n">
        <x:f>MAX(0,AE379)</x:f>
        <x:v>24614963.852519553</x:v>
      </x:c>
      <x:c r="AI379" s="141" t="n">
        <x:f>IF(AND($A379&gt;=Premissas!$B$48,$A379-Premissas!$B$48+1&lt;=Premissas!$B$13),INDEX(Amortizacao!$L$6:$L$485,$A379-Premissas!$B$48+1),0)</x:f>
        <x:v>0</x:v>
      </x:c>
      <x:c r="AJ379" s="141" t="n">
        <x:f>IF($A379&gt;=Premissas!$B$48,$F379,0)</x:f>
        <x:v>1229502.6328816223</x:v>
      </x:c>
      <x:c r="AK379" s="141" t="n">
        <x:f>AH379+AJ379-AI379</x:f>
        <x:v>25844466.485401176</x:v>
      </x:c>
      <x:c r="AL379" s="141" t="n">
        <x:f>IF(AG379&gt;1,"Inviavel",AK379)</x:f>
        <x:v>25844466.485401176</x:v>
      </x:c>
      <x:c r="AM379" s="141" t="str">
        <x:f>IF(AG379&gt;1,"Inviavel","OK")</x:f>
        <x:v>OK</x:v>
      </x:c>
      <x:c r="AN379" s="141" t="n">
        <x:f>IF($A379=Premissas!$B$48,Premissas!$B$8,0)</x:f>
        <x:v>0</x:v>
      </x:c>
      <x:c r="AO379" s="141" t="n">
        <x:f>IF($A379&lt;=Premissas!$B$25,INDEX('Consorcio IQ'!$K$6:$K$485,$A379),0)</x:f>
        <x:v>0</x:v>
      </x:c>
      <x:c r="AP379" s="141" t="n">
        <x:f>IF(AND(TRUE,Premissas!$B$11="Imovel",Premissas!$B$47="Moradia",$A379&lt;MAX(Premissas!$B$48,Premissas!$B$49)),$D379,0)</x:f>
        <x:v>0</x:v>
      </x:c>
      <x:c r="AQ379" s="141" t="n">
        <x:f>IF(AND(TRUE,Premissas!$B$11="Imovel",Premissas!$B$47="Investimento",$A379&gt;=MAX(Premissas!$B$48,Premissas!$B$49)),$E379,0)</x:f>
        <x:v>3896.384411704355</x:v>
      </x:c>
      <x:c r="AR379" s="141" t="n">
        <x:f>AN379+AO379+AP379</x:f>
        <x:v>0</x:v>
      </x:c>
      <x:c r="AS379" s="141" t="n">
        <x:f>AQ379</x:f>
        <x:v>3896.384411704355</x:v>
      </x:c>
      <x:c r="AT379" s="141" t="n">
        <x:f>$C379+AS379-AR379</x:f>
        <x:v>10896.384411704355</x:v>
      </x:c>
      <x:c r="AU379" s="141" t="n">
        <x:f>AX378*(1+Premissas!$B$41)+AT379</x:f>
        <x:v>24417341.68038775</x:v>
      </x:c>
      <x:c r="AV379" s="141" t="n">
        <x:f>MAX(0,-AU379)</x:f>
        <x:v>0</x:v>
      </x:c>
      <x:c r="AW379" s="141" t="n">
        <x:f>AW378*(1+Premissas!$B$41)+AV379</x:f>
        <x:v>0</x:v>
      </x:c>
      <x:c r="AX379" s="141" t="n">
        <x:f>MAX(0,AU379)</x:f>
        <x:v>24417341.68038775</x:v>
      </x:c>
      <x:c r="AY379" s="141" t="n">
        <x:f>INDEX('Consorcio IQ'!$P$6:$P$485,$A379)</x:f>
        <x:v>0</x:v>
      </x:c>
      <x:c r="AZ379" s="141" t="n">
        <x:f>IF($A379&gt;=Premissas!$B$48,$F379,0)+IF($A379&lt;Premissas!$B$27,INDEX('Consorcio IQ'!$O$6:$O$485,$A379),0)</x:f>
        <x:v>1229502.6328816223</x:v>
      </x:c>
      <x:c r="BA379" s="141" t="n">
        <x:f>AX379+AZ379-AY379</x:f>
        <x:v>25646844.313269373</x:v>
      </x:c>
      <x:c r="BB379" s="141" t="n">
        <x:f>IF(AW379&gt;1,"Inviavel",BA379)</x:f>
        <x:v>25646844.313269373</x:v>
      </x:c>
      <x:c r="BC379" s="141" t="str">
        <x:f>IF(AW379&gt;1,"Inviavel","OK")</x:f>
        <x:v>OK</x:v>
      </x:c>
      <x:c r="BD379" s="141" t="n">
        <x:f>IF($A379='Consorcio Direto'!$B$29,'Consorcio Direto'!$B$44,0)</x:f>
        <x:v>0</x:v>
      </x:c>
      <x:c r="BE379" s="141" t="n">
        <x:f>IF($A379&lt;='Consorcio Direto'!$B$27,INDEX('Consorcio Direto'!$E$55:$E$534,$A379),0)</x:f>
        <x:v>0</x:v>
      </x:c>
      <x:c r="BF379" s="141" t="n">
        <x:f>IF(AND(TRUE,Premissas!$B$11="Imovel",Premissas!$B$47="Moradia",$A379&lt;MAX('Consorcio Direto'!$B$29,Premissas!$B$49)),$D379,0)</x:f>
        <x:v>0</x:v>
      </x:c>
      <x:c r="BG379" s="141" t="n">
        <x:f>IF(AND(TRUE,Premissas!$B$11="Imovel",Premissas!$B$47="Investimento",$A379&gt;=MAX('Consorcio Direto'!$B$29,Premissas!$B$49)),$E379,0)</x:f>
        <x:v>3896.384411704355</x:v>
      </x:c>
      <x:c r="BH379" s="141" t="n">
        <x:f>BD379+BE379+BF379</x:f>
        <x:v>0</x:v>
      </x:c>
      <x:c r="BI379" s="141" t="n">
        <x:f>BG379</x:f>
        <x:v>3896.384411704355</x:v>
      </x:c>
      <x:c r="BJ379" s="141" t="n">
        <x:f>$C379+BI379-BH379</x:f>
        <x:v>10896.384411704355</x:v>
      </x:c>
      <x:c r="BK379" s="141" t="n">
        <x:f>BN378*(1+Premissas!$B$41)+BJ379</x:f>
        <x:v>23349314.514089637</x:v>
      </x:c>
      <x:c r="BL379" s="141" t="n">
        <x:f>MAX(0,-BK379)</x:f>
        <x:v>0</x:v>
      </x:c>
      <x:c r="BM379" s="141" t="n">
        <x:f>BM378*(1+Premissas!$B$41)+BL379</x:f>
        <x:v>0</x:v>
      </x:c>
      <x:c r="BN379" s="141" t="n">
        <x:f>MAX(0,BK379)</x:f>
        <x:v>23349314.514089637</x:v>
      </x:c>
      <x:c r="BO379" s="141" t="n">
        <x:f>INDEX('Consorcio Direto'!$K$55:$K$534,$A379)</x:f>
        <x:v>0</x:v>
      </x:c>
      <x:c r="BP379" s="141" t="n">
        <x:f>IF($A379&lt;'Consorcio Direto'!$B$29,INDEX('Consorcio Direto'!$L$55:$L$534,$A379),$F379)</x:f>
        <x:v>1229502.6328816223</x:v>
      </x:c>
      <x:c r="BQ379" s="141" t="n">
        <x:f>BN379+BP379-BO379</x:f>
        <x:v>24578817.14697126</x:v>
      </x:c>
      <x:c r="BR379" s="141" t="n">
        <x:f>IF(BM379&gt;1,"Inviavel",BQ379)</x:f>
        <x:v>24578817.14697126</x:v>
      </x:c>
      <x:c r="BS379" s="141" t="str">
        <x:f>IF(BM379&gt;1,"Inviavel","OK")</x:f>
        <x:v>OK</x:v>
      </x:c>
      <x:c r="BT379" s="141" t="n">
        <x:f>IF(AND('Carta Contemplada'!$B$22="Sim",$A379='Carta Contemplada'!$B$23),'Carta Contemplada'!$B$37,0)</x:f>
        <x:v>0</x:v>
      </x:c>
      <x:c r="BU379" s="141" t="n">
        <x:f>IF('Carta Contemplada'!$B$22="Sim",INDEX('Carta Contemplada'!$C$55:$C$1013,$A379),0)</x:f>
        <x:v>0</x:v>
      </x:c>
      <x:c r="BV379" s="141" t="n">
        <x:f>IF(AND('Carta Contemplada'!$B$22="Sim",Premissas!$B$11="Imovel",Premissas!$B$47="Moradia",$A379&lt;MAX('Carta Contemplada'!$B$44,Premissas!$B$49)),$D379,0)</x:f>
        <x:v>0</x:v>
      </x:c>
      <x:c r="BW379" s="141" t="n">
        <x:f>IF(AND('Carta Contemplada'!$B$22="Sim",Premissas!$B$11="Imovel",Premissas!$B$47="Investimento",$A379&gt;=MAX('Carta Contemplada'!$B$44,Premissas!$B$49)),$E379,0)</x:f>
        <x:v>3896.384411704355</x:v>
      </x:c>
      <x:c r="BX379" s="141" t="n">
        <x:f>BT379+BU379+BV379</x:f>
        <x:v>0</x:v>
      </x:c>
      <x:c r="BY379" s="141" t="n">
        <x:f>BW379</x:f>
        <x:v>3896.384411704355</x:v>
      </x:c>
      <x:c r="BZ379" s="141" t="n">
        <x:f>$C379+BY379-BX379</x:f>
        <x:v>10896.384411704355</x:v>
      </x:c>
      <x:c r="CA379" s="141" t="n">
        <x:f>CD378*(1+Premissas!$B$41)+BZ379</x:f>
        <x:v>25113329.830841575</x:v>
      </x:c>
      <x:c r="CB379" s="141" t="n">
        <x:f>MAX(0,-CA379)</x:f>
        <x:v>0</x:v>
      </x:c>
      <x:c r="CC379" s="141" t="n">
        <x:f>CC378*(1+Premissas!$B$41)+CB379</x:f>
        <x:v>0</x:v>
      </x:c>
      <x:c r="CD379" s="141" t="n">
        <x:f>MAX(0,CA379)</x:f>
        <x:v>25113329.830841575</x:v>
      </x:c>
      <x:c r="CE379" s="141" t="n">
        <x:f>IF(AND('Carta Contemplada'!$B$22="Sim",$A379&gt;='Carta Contemplada'!$B$23),INDEX('Carta Contemplada'!$I$55:$I$1013,$A379),0)</x:f>
        <x:v>0</x:v>
      </x:c>
      <x:c r="CF379" s="141" t="n">
        <x:f>IF(AND('Carta Contemplada'!$B$22="Sim",$A379&gt;='Carta Contemplada'!$B$44),$F379,0)</x:f>
        <x:v>1229502.6328816223</x:v>
      </x:c>
      <x:c r="CG379" s="141" t="n">
        <x:f>CD379+CF379-CE379</x:f>
        <x:v>26342832.463723198</x:v>
      </x:c>
      <x:c r="CH379" s="141" t="n">
        <x:f>IF(CC379&gt;1,"Inviavel",CG379)</x:f>
        <x:v>26342832.463723198</x:v>
      </x:c>
      <x:c r="CI379" s="145" t="str">
        <x:f>IF(CC379&gt;1,"Inviavel","OK")</x:f>
        <x:v>OK</x:v>
      </x:c>
    </x:row>
    <x:row r="380">
      <x:c r="A380" s="142" t="n">
        <x:v>376</x:v>
      </x:c>
      <x:c r="B380" s="179" t="n">
        <x:f>EDATE(Premissas!$B$4,A380-1)</x:f>
        <x:v>57954</x:v>
      </x:c>
      <x:c r="C380" s="141" t="n">
        <x:f>IF(A380&lt;=Premissas!$B$39,Premissas!$B$42,0)</x:f>
        <x:v>7000</x:v>
      </x:c>
      <x:c r="D380" s="141" t="n">
        <x:f>Premissas!$B$54*(1+Premissas!$B$57)^INT((A380-1)/12)</x:f>
        <x:v>4261.670450301638</x:v>
      </x:c>
      <x:c r="E380" s="141" t="n">
        <x:f>Premissas!$B$64*(1+Premissas!$B$57)^INT((A380-1)/12)</x:f>
        <x:v>3896.384411704355</x:v>
      </x:c>
      <x:c r="F380" s="141" t="n">
        <x:f>MAX(0,Premissas!$B$6*(1+Premissas!$B$66)^((A380-1)/12))</x:f>
        <x:v>1235487.299117396</x:v>
      </x:c>
      <x:c r="G380" s="141" t="n">
        <x:f>G379*(1+Premissas!$B$41)+C380</x:f>
        <x:v>28076056.094786044</x:v>
      </x:c>
      <x:c r="H380" s="141" t="n">
        <x:f>IF($A380=Premissas!$B$48,Premissas!$B$8,0)</x:f>
        <x:v>0</x:v>
      </x:c>
      <x:c r="I380" s="141" t="n">
        <x:f>IF(AND($A380&gt;=Premissas!$B$48,$A380-Premissas!$B$48+1&lt;=Premissas!$B$13),INDEX(Financiamento!$J$6:$J$485,$A380-Premissas!$B$48+1),0)</x:f>
        <x:v>693.6174026880908</x:v>
      </x:c>
      <x:c r="J380" s="141" t="n">
        <x:f>IF(AND(TRUE,Premissas!$B$11="Imovel",Premissas!$B$47="Moradia",$A380&lt;MAX(Premissas!$B$48,Premissas!$B$49)),$D380,0)</x:f>
        <x:v>0</x:v>
      </x:c>
      <x:c r="K380" s="141" t="n">
        <x:f>IF(AND(TRUE,Premissas!$B$11="Imovel",Premissas!$B$47="Investimento",$A380&gt;=MAX(Premissas!$B$48,Premissas!$B$49)),$E380,0)</x:f>
        <x:v>3896.384411704355</x:v>
      </x:c>
      <x:c r="L380" s="141" t="n">
        <x:f>H380+I380+J380</x:f>
        <x:v>693.6174026880908</x:v>
      </x:c>
      <x:c r="M380" s="141" t="n">
        <x:f>K380</x:f>
        <x:v>3896.384411704355</x:v>
      </x:c>
      <x:c r="N380" s="141" t="n">
        <x:f>$C380+M380-L380</x:f>
        <x:v>10202.767009016265</x:v>
      </x:c>
      <x:c r="O380" s="141" t="n">
        <x:f>R379*(1+Premissas!$B$41)+N380</x:f>
        <x:v>24465117.895003226</x:v>
      </x:c>
      <x:c r="P380" s="141" t="n">
        <x:f>MAX(0,-O380)</x:f>
        <x:v>0</x:v>
      </x:c>
      <x:c r="Q380" s="141" t="n">
        <x:f>Q379*(1+Premissas!$B$41)+P380</x:f>
        <x:v>0</x:v>
      </x:c>
      <x:c r="R380" s="141" t="n">
        <x:f>MAX(0,O380)</x:f>
        <x:v>24465117.895003226</x:v>
      </x:c>
      <x:c r="S380" s="141" t="n">
        <x:f>IF(AND($A380&gt;=Premissas!$B$48,$A380-Premissas!$B$48+1&lt;=Premissas!$B$13),INDEX(Financiamento!$M$6:$M$485,$A380-Premissas!$B$48+1),0)</x:f>
        <x:v>16761.904761904778</x:v>
      </x:c>
      <x:c r="T380" s="141" t="n">
        <x:f>IF($A380&gt;=Premissas!$B$48,$F380,0)</x:f>
        <x:v>1235487.299117396</x:v>
      </x:c>
      <x:c r="U380" s="141" t="n">
        <x:f>R380+T380-S380</x:f>
        <x:v>25683843.28935872</x:v>
      </x:c>
      <x:c r="V380" s="141" t="n">
        <x:f>IF(Q380&gt;1,"Inviavel",U380)</x:f>
        <x:v>25683843.28935872</x:v>
      </x:c>
      <x:c r="W380" s="141" t="str">
        <x:f>IF(Q380&gt;1,"Inviavel","OK")</x:f>
        <x:v>OK</x:v>
      </x:c>
      <x:c r="X380" s="141" t="n">
        <x:f>IF($A380=Premissas!$B$48,Premissas!$B$8,0)</x:f>
        <x:v>0</x:v>
      </x:c>
      <x:c r="Y380" s="141" t="n">
        <x:f>IF(AND($A380&gt;=Premissas!$B$48,$A380-Premissas!$B$48+1&lt;=Premissas!$B$13),INDEX(Amortizacao!$K$6:$K$485,$A380-Premissas!$B$48+1),0)</x:f>
        <x:v>0</x:v>
      </x:c>
      <x:c r="Z380" s="141" t="n">
        <x:f>IF(AND(TRUE,Premissas!$B$11="Imovel",Premissas!$B$47="Moradia",$A380&lt;MAX(Premissas!$B$48,Premissas!$B$49)),$D380,0)</x:f>
        <x:v>0</x:v>
      </x:c>
      <x:c r="AA380" s="141" t="n">
        <x:f>IF(AND(TRUE,Premissas!$B$11="Imovel",Premissas!$B$47="Investimento",$A380&gt;=MAX(Premissas!$B$48,Premissas!$B$49)),$E380,0)</x:f>
        <x:v>3896.384411704355</x:v>
      </x:c>
      <x:c r="AB380" s="141" t="n">
        <x:f>X380+Y380+Z380</x:f>
        <x:v>0</x:v>
      </x:c>
      <x:c r="AC380" s="141" t="n">
        <x:f>AA380</x:f>
        <x:v>3896.384411704355</x:v>
      </x:c>
      <x:c r="AD380" s="141" t="n">
        <x:f>$C380+AC380-AB380</x:f>
        <x:v>10896.384411704355</x:v>
      </x:c>
      <x:c r="AE380" s="141" t="n">
        <x:f>AH379*(1+Premissas!$B$41)+AD380</x:f>
        <x:v>24859426.532020062</x:v>
      </x:c>
      <x:c r="AF380" s="141" t="n">
        <x:f>MAX(0,-AE380)</x:f>
        <x:v>0</x:v>
      </x:c>
      <x:c r="AG380" s="141" t="n">
        <x:f>AG379*(1+Premissas!$B$41)+AF380</x:f>
        <x:v>0</x:v>
      </x:c>
      <x:c r="AH380" s="141" t="n">
        <x:f>MAX(0,AE380)</x:f>
        <x:v>24859426.532020062</x:v>
      </x:c>
      <x:c r="AI380" s="141" t="n">
        <x:f>IF(AND($A380&gt;=Premissas!$B$48,$A380-Premissas!$B$48+1&lt;=Premissas!$B$13),INDEX(Amortizacao!$L$6:$L$485,$A380-Premissas!$B$48+1),0)</x:f>
        <x:v>0</x:v>
      </x:c>
      <x:c r="AJ380" s="141" t="n">
        <x:f>IF($A380&gt;=Premissas!$B$48,$F380,0)</x:f>
        <x:v>1235487.299117396</x:v>
      </x:c>
      <x:c r="AK380" s="141" t="n">
        <x:f>AH380+AJ380-AI380</x:f>
        <x:v>26094913.83113746</x:v>
      </x:c>
      <x:c r="AL380" s="141" t="n">
        <x:f>IF(AG380&gt;1,"Inviavel",AK380)</x:f>
        <x:v>26094913.83113746</x:v>
      </x:c>
      <x:c r="AM380" s="141" t="str">
        <x:f>IF(AG380&gt;1,"Inviavel","OK")</x:f>
        <x:v>OK</x:v>
      </x:c>
      <x:c r="AN380" s="141" t="n">
        <x:f>IF($A380=Premissas!$B$48,Premissas!$B$8,0)</x:f>
        <x:v>0</x:v>
      </x:c>
      <x:c r="AO380" s="141" t="n">
        <x:f>IF($A380&lt;=Premissas!$B$25,INDEX('Consorcio IQ'!$K$6:$K$485,$A380),0)</x:f>
        <x:v>0</x:v>
      </x:c>
      <x:c r="AP380" s="141" t="n">
        <x:f>IF(AND(TRUE,Premissas!$B$11="Imovel",Premissas!$B$47="Moradia",$A380&lt;MAX(Premissas!$B$48,Premissas!$B$49)),$D380,0)</x:f>
        <x:v>0</x:v>
      </x:c>
      <x:c r="AQ380" s="141" t="n">
        <x:f>IF(AND(TRUE,Premissas!$B$11="Imovel",Premissas!$B$47="Investimento",$A380&gt;=MAX(Premissas!$B$48,Premissas!$B$49)),$E380,0)</x:f>
        <x:v>3896.384411704355</x:v>
      </x:c>
      <x:c r="AR380" s="141" t="n">
        <x:f>AN380+AO380+AP380</x:f>
        <x:v>0</x:v>
      </x:c>
      <x:c r="AS380" s="141" t="n">
        <x:f>AQ380</x:f>
        <x:v>3896.384411704355</x:v>
      </x:c>
      <x:c r="AT380" s="141" t="n">
        <x:f>$C380+AS380-AR380</x:f>
        <x:v>10896.384411704355</x:v>
      </x:c>
      <x:c r="AU380" s="141" t="n">
        <x:f>AX379*(1+Premissas!$B$41)+AT380</x:f>
        <x:v>24659929.164017618</x:v>
      </x:c>
      <x:c r="AV380" s="141" t="n">
        <x:f>MAX(0,-AU380)</x:f>
        <x:v>0</x:v>
      </x:c>
      <x:c r="AW380" s="141" t="n">
        <x:f>AW379*(1+Premissas!$B$41)+AV380</x:f>
        <x:v>0</x:v>
      </x:c>
      <x:c r="AX380" s="141" t="n">
        <x:f>MAX(0,AU380)</x:f>
        <x:v>24659929.164017618</x:v>
      </x:c>
      <x:c r="AY380" s="141" t="n">
        <x:f>INDEX('Consorcio IQ'!$P$6:$P$485,$A380)</x:f>
        <x:v>0</x:v>
      </x:c>
      <x:c r="AZ380" s="141" t="n">
        <x:f>IF($A380&gt;=Premissas!$B$48,$F380,0)+IF($A380&lt;Premissas!$B$27,INDEX('Consorcio IQ'!$O$6:$O$485,$A380),0)</x:f>
        <x:v>1235487.299117396</x:v>
      </x:c>
      <x:c r="BA380" s="141" t="n">
        <x:f>AX380+AZ380-AY380</x:f>
        <x:v>25895416.463135015</x:v>
      </x:c>
      <x:c r="BB380" s="141" t="n">
        <x:f>IF(AW380&gt;1,"Inviavel",BA380)</x:f>
        <x:v>25895416.463135015</x:v>
      </x:c>
      <x:c r="BC380" s="141" t="str">
        <x:f>IF(AW380&gt;1,"Inviavel","OK")</x:f>
        <x:v>OK</x:v>
      </x:c>
      <x:c r="BD380" s="141" t="n">
        <x:f>IF($A380='Consorcio Direto'!$B$29,'Consorcio Direto'!$B$44,0)</x:f>
        <x:v>0</x:v>
      </x:c>
      <x:c r="BE380" s="141" t="n">
        <x:f>IF($A380&lt;='Consorcio Direto'!$B$27,INDEX('Consorcio Direto'!$E$55:$E$534,$A380),0)</x:f>
        <x:v>0</x:v>
      </x:c>
      <x:c r="BF380" s="141" t="n">
        <x:f>IF(AND(TRUE,Premissas!$B$11="Imovel",Premissas!$B$47="Moradia",$A380&lt;MAX('Consorcio Direto'!$B$29,Premissas!$B$49)),$D380,0)</x:f>
        <x:v>0</x:v>
      </x:c>
      <x:c r="BG380" s="141" t="n">
        <x:f>IF(AND(TRUE,Premissas!$B$11="Imovel",Premissas!$B$47="Investimento",$A380&gt;=MAX('Consorcio Direto'!$B$29,Premissas!$B$49)),$E380,0)</x:f>
        <x:v>3896.384411704355</x:v>
      </x:c>
      <x:c r="BH380" s="141" t="n">
        <x:f>BD380+BE380+BF380</x:f>
        <x:v>0</x:v>
      </x:c>
      <x:c r="BI380" s="141" t="n">
        <x:f>BG380</x:f>
        <x:v>3896.384411704355</x:v>
      </x:c>
      <x:c r="BJ380" s="141" t="n">
        <x:f>$C380+BI380-BH380</x:f>
        <x:v>10896.384411704355</x:v>
      </x:c>
      <x:c r="BK380" s="141" t="n">
        <x:f>BN379*(1+Premissas!$B$41)+BJ380</x:f>
        <x:v>23581767.70908999</x:v>
      </x:c>
      <x:c r="BL380" s="141" t="n">
        <x:f>MAX(0,-BK380)</x:f>
        <x:v>0</x:v>
      </x:c>
      <x:c r="BM380" s="141" t="n">
        <x:f>BM379*(1+Premissas!$B$41)+BL380</x:f>
        <x:v>0</x:v>
      </x:c>
      <x:c r="BN380" s="141" t="n">
        <x:f>MAX(0,BK380)</x:f>
        <x:v>23581767.70908999</x:v>
      </x:c>
      <x:c r="BO380" s="141" t="n">
        <x:f>INDEX('Consorcio Direto'!$K$55:$K$534,$A380)</x:f>
        <x:v>0</x:v>
      </x:c>
      <x:c r="BP380" s="141" t="n">
        <x:f>IF($A380&lt;'Consorcio Direto'!$B$29,INDEX('Consorcio Direto'!$L$55:$L$534,$A380),$F380)</x:f>
        <x:v>1235487.299117396</x:v>
      </x:c>
      <x:c r="BQ380" s="141" t="n">
        <x:f>BN380+BP380-BO380</x:f>
        <x:v>24817255.00820739</x:v>
      </x:c>
      <x:c r="BR380" s="141" t="n">
        <x:f>IF(BM380&gt;1,"Inviavel",BQ380)</x:f>
        <x:v>24817255.00820739</x:v>
      </x:c>
      <x:c r="BS380" s="141" t="str">
        <x:f>IF(BM380&gt;1,"Inviavel","OK")</x:f>
        <x:v>OK</x:v>
      </x:c>
      <x:c r="BT380" s="141" t="n">
        <x:f>IF(AND('Carta Contemplada'!$B$22="Sim",$A380='Carta Contemplada'!$B$23),'Carta Contemplada'!$B$37,0)</x:f>
        <x:v>0</x:v>
      </x:c>
      <x:c r="BU380" s="141" t="n">
        <x:f>IF('Carta Contemplada'!$B$22="Sim",INDEX('Carta Contemplada'!$C$55:$C$1013,$A380),0)</x:f>
        <x:v>0</x:v>
      </x:c>
      <x:c r="BV380" s="141" t="n">
        <x:f>IF(AND('Carta Contemplada'!$B$22="Sim",Premissas!$B$11="Imovel",Premissas!$B$47="Moradia",$A380&lt;MAX('Carta Contemplada'!$B$44,Premissas!$B$49)),$D380,0)</x:f>
        <x:v>0</x:v>
      </x:c>
      <x:c r="BW380" s="141" t="n">
        <x:f>IF(AND('Carta Contemplada'!$B$22="Sim",Premissas!$B$11="Imovel",Premissas!$B$47="Investimento",$A380&gt;=MAX('Carta Contemplada'!$B$44,Premissas!$B$49)),$E380,0)</x:f>
        <x:v>3896.384411704355</x:v>
      </x:c>
      <x:c r="BX380" s="141" t="n">
        <x:f>BT380+BU380+BV380</x:f>
        <x:v>0</x:v>
      </x:c>
      <x:c r="BY380" s="141" t="n">
        <x:f>BW380</x:f>
        <x:v>3896.384411704355</x:v>
      </x:c>
      <x:c r="BZ380" s="141" t="n">
        <x:f>$C380+BY380-BX380</x:f>
        <x:v>10896.384411704355</x:v>
      </x:c>
      <x:c r="CA380" s="141" t="n">
        <x:f>CD379*(1+Premissas!$B$41)+BZ380</x:f>
        <x:v>25362521.401916023</x:v>
      </x:c>
      <x:c r="CB380" s="141" t="n">
        <x:f>MAX(0,-CA380)</x:f>
        <x:v>0</x:v>
      </x:c>
      <x:c r="CC380" s="141" t="n">
        <x:f>CC379*(1+Premissas!$B$41)+CB380</x:f>
        <x:v>0</x:v>
      </x:c>
      <x:c r="CD380" s="141" t="n">
        <x:f>MAX(0,CA380)</x:f>
        <x:v>25362521.401916023</x:v>
      </x:c>
      <x:c r="CE380" s="141" t="n">
        <x:f>IF(AND('Carta Contemplada'!$B$22="Sim",$A380&gt;='Carta Contemplada'!$B$23),INDEX('Carta Contemplada'!$I$55:$I$1013,$A380),0)</x:f>
        <x:v>0</x:v>
      </x:c>
      <x:c r="CF380" s="141" t="n">
        <x:f>IF(AND('Carta Contemplada'!$B$22="Sim",$A380&gt;='Carta Contemplada'!$B$44),$F380,0)</x:f>
        <x:v>1235487.299117396</x:v>
      </x:c>
      <x:c r="CG380" s="141" t="n">
        <x:f>CD380+CF380-CE380</x:f>
        <x:v>26598008.70103342</x:v>
      </x:c>
      <x:c r="CH380" s="141" t="n">
        <x:f>IF(CC380&gt;1,"Inviavel",CG380)</x:f>
        <x:v>26598008.70103342</x:v>
      </x:c>
      <x:c r="CI380" s="145" t="str">
        <x:f>IF(CC380&gt;1,"Inviavel","OK")</x:f>
        <x:v>OK</x:v>
      </x:c>
    </x:row>
    <x:row r="381">
      <x:c r="A381" s="142" t="n">
        <x:v>377</x:v>
      </x:c>
      <x:c r="B381" s="179" t="n">
        <x:f>EDATE(Premissas!$B$4,A381-1)</x:f>
        <x:v>57984</x:v>
      </x:c>
      <x:c r="C381" s="141" t="n">
        <x:f>IF(A381&lt;=Premissas!$B$39,Premissas!$B$42,0)</x:f>
        <x:v>7000</x:v>
      </x:c>
      <x:c r="D381" s="141" t="n">
        <x:f>Premissas!$B$54*(1+Premissas!$B$57)^INT((A381-1)/12)</x:f>
        <x:v>4261.670450301638</x:v>
      </x:c>
      <x:c r="E381" s="141" t="n">
        <x:f>Premissas!$B$64*(1+Premissas!$B$57)^INT((A381-1)/12)</x:f>
        <x:v>3896.384411704355</x:v>
      </x:c>
      <x:c r="F381" s="141" t="n">
        <x:f>MAX(0,Premissas!$B$6*(1+Premissas!$B$66)^((A381-1)/12))</x:f>
        <x:v>1241501.0960186888</x:v>
      </x:c>
      <x:c r="G381" s="141" t="n">
        <x:f>G380*(1+Premissas!$B$41)+C381</x:f>
        <x:v>28349463.977489207</x:v>
      </x:c>
      <x:c r="H381" s="141" t="n">
        <x:f>IF($A381=Premissas!$B$48,Premissas!$B$8,0)</x:f>
        <x:v>0</x:v>
      </x:c>
      <x:c r="I381" s="141" t="n">
        <x:f>IF(AND($A381&gt;=Premissas!$B$48,$A381-Premissas!$B$48+1&lt;=Premissas!$B$13),INDEX(Financiamento!$J$6:$J$485,$A381-Premissas!$B$48+1),0)</x:f>
        <x:v>690.0026244272973</x:v>
      </x:c>
      <x:c r="J381" s="141" t="n">
        <x:f>IF(AND(TRUE,Premissas!$B$11="Imovel",Premissas!$B$47="Moradia",$A381&lt;MAX(Premissas!$B$48,Premissas!$B$49)),$D381,0)</x:f>
        <x:v>0</x:v>
      </x:c>
      <x:c r="K381" s="141" t="n">
        <x:f>IF(AND(TRUE,Premissas!$B$11="Imovel",Premissas!$B$47="Investimento",$A381&gt;=MAX(Premissas!$B$48,Premissas!$B$49)),$E381,0)</x:f>
        <x:v>3896.384411704355</x:v>
      </x:c>
      <x:c r="L381" s="141" t="n">
        <x:f>H381+I381+J381</x:f>
        <x:v>690.0026244272973</x:v>
      </x:c>
      <x:c r="M381" s="141" t="n">
        <x:f>K381</x:f>
        <x:v>3896.384411704355</x:v>
      </x:c>
      <x:c r="N381" s="141" t="n">
        <x:f>$C381+M381-L381</x:f>
        <x:v>10206.381787277058</x:v>
      </x:c>
      <x:c r="O381" s="141" t="n">
        <x:f>R380*(1+Premissas!$B$41)+N381</x:f>
        <x:v>24707468.71461635</x:v>
      </x:c>
      <x:c r="P381" s="141" t="n">
        <x:f>MAX(0,-O381)</x:f>
        <x:v>0</x:v>
      </x:c>
      <x:c r="Q381" s="141" t="n">
        <x:f>Q380*(1+Premissas!$B$41)+P381</x:f>
        <x:v>0</x:v>
      </x:c>
      <x:c r="R381" s="141" t="n">
        <x:f>MAX(0,O381)</x:f>
        <x:v>24707468.71461635</x:v>
      </x:c>
      <x:c r="S381" s="141" t="n">
        <x:f>IF(AND($A381&gt;=Premissas!$B$48,$A381-Premissas!$B$48+1&lt;=Premissas!$B$13),INDEX(Financiamento!$M$6:$M$485,$A381-Premissas!$B$48+1),0)</x:f>
        <x:v>16380.952380952396</x:v>
      </x:c>
      <x:c r="T381" s="141" t="n">
        <x:f>IF($A381&gt;=Premissas!$B$48,$F381,0)</x:f>
        <x:v>1241501.0960186888</x:v>
      </x:c>
      <x:c r="U381" s="141" t="n">
        <x:f>R381+T381-S381</x:f>
        <x:v>25932588.858254086</x:v>
      </x:c>
      <x:c r="V381" s="141" t="n">
        <x:f>IF(Q381&gt;1,"Inviavel",U381)</x:f>
        <x:v>25932588.858254086</x:v>
      </x:c>
      <x:c r="W381" s="141" t="str">
        <x:f>IF(Q381&gt;1,"Inviavel","OK")</x:f>
        <x:v>OK</x:v>
      </x:c>
      <x:c r="X381" s="141" t="n">
        <x:f>IF($A381=Premissas!$B$48,Premissas!$B$8,0)</x:f>
        <x:v>0</x:v>
      </x:c>
      <x:c r="Y381" s="141" t="n">
        <x:f>IF(AND($A381&gt;=Premissas!$B$48,$A381-Premissas!$B$48+1&lt;=Premissas!$B$13),INDEX(Amortizacao!$K$6:$K$485,$A381-Premissas!$B$48+1),0)</x:f>
        <x:v>0</x:v>
      </x:c>
      <x:c r="Z381" s="141" t="n">
        <x:f>IF(AND(TRUE,Premissas!$B$11="Imovel",Premissas!$B$47="Moradia",$A381&lt;MAX(Premissas!$B$48,Premissas!$B$49)),$D381,0)</x:f>
        <x:v>0</x:v>
      </x:c>
      <x:c r="AA381" s="141" t="n">
        <x:f>IF(AND(TRUE,Premissas!$B$11="Imovel",Premissas!$B$47="Investimento",$A381&gt;=MAX(Premissas!$B$48,Premissas!$B$49)),$E381,0)</x:f>
        <x:v>3896.384411704355</x:v>
      </x:c>
      <x:c r="AB381" s="141" t="n">
        <x:f>X381+Y381+Z381</x:f>
        <x:v>0</x:v>
      </x:c>
      <x:c r="AC381" s="141" t="n">
        <x:f>AA381</x:f>
        <x:v>3896.384411704355</x:v>
      </x:c>
      <x:c r="AD381" s="141" t="n">
        <x:f>$C381+AC381-AB381</x:f>
        <x:v>10896.384411704355</x:v>
      </x:c>
      <x:c r="AE381" s="141" t="n">
        <x:f>AH380*(1+Premissas!$B$41)+AD381</x:f>
        <x:v>25106208.867266584</x:v>
      </x:c>
      <x:c r="AF381" s="141" t="n">
        <x:f>MAX(0,-AE381)</x:f>
        <x:v>0</x:v>
      </x:c>
      <x:c r="AG381" s="141" t="n">
        <x:f>AG380*(1+Premissas!$B$41)+AF381</x:f>
        <x:v>0</x:v>
      </x:c>
      <x:c r="AH381" s="141" t="n">
        <x:f>MAX(0,AE381)</x:f>
        <x:v>25106208.867266584</x:v>
      </x:c>
      <x:c r="AI381" s="141" t="n">
        <x:f>IF(AND($A381&gt;=Premissas!$B$48,$A381-Premissas!$B$48+1&lt;=Premissas!$B$13),INDEX(Amortizacao!$L$6:$L$485,$A381-Premissas!$B$48+1),0)</x:f>
        <x:v>0</x:v>
      </x:c>
      <x:c r="AJ381" s="141" t="n">
        <x:f>IF($A381&gt;=Premissas!$B$48,$F381,0)</x:f>
        <x:v>1241501.0960186888</x:v>
      </x:c>
      <x:c r="AK381" s="141" t="n">
        <x:f>AH381+AJ381-AI381</x:f>
        <x:v>26347709.963285275</x:v>
      </x:c>
      <x:c r="AL381" s="141" t="n">
        <x:f>IF(AG381&gt;1,"Inviavel",AK381)</x:f>
        <x:v>26347709.963285275</x:v>
      </x:c>
      <x:c r="AM381" s="141" t="str">
        <x:f>IF(AG381&gt;1,"Inviavel","OK")</x:f>
        <x:v>OK</x:v>
      </x:c>
      <x:c r="AN381" s="141" t="n">
        <x:f>IF($A381=Premissas!$B$48,Premissas!$B$8,0)</x:f>
        <x:v>0</x:v>
      </x:c>
      <x:c r="AO381" s="141" t="n">
        <x:f>IF($A381&lt;=Premissas!$B$25,INDEX('Consorcio IQ'!$K$6:$K$485,$A381),0)</x:f>
        <x:v>0</x:v>
      </x:c>
      <x:c r="AP381" s="141" t="n">
        <x:f>IF(AND(TRUE,Premissas!$B$11="Imovel",Premissas!$B$47="Moradia",$A381&lt;MAX(Premissas!$B$48,Premissas!$B$49)),$D381,0)</x:f>
        <x:v>0</x:v>
      </x:c>
      <x:c r="AQ381" s="141" t="n">
        <x:f>IF(AND(TRUE,Premissas!$B$11="Imovel",Premissas!$B$47="Investimento",$A381&gt;=MAX(Premissas!$B$48,Premissas!$B$49)),$E381,0)</x:f>
        <x:v>3896.384411704355</x:v>
      </x:c>
      <x:c r="AR381" s="141" t="n">
        <x:f>AN381+AO381+AP381</x:f>
        <x:v>0</x:v>
      </x:c>
      <x:c r="AS381" s="141" t="n">
        <x:f>AQ381</x:f>
        <x:v>3896.384411704355</x:v>
      </x:c>
      <x:c r="AT381" s="141" t="n">
        <x:f>$C381+AS381-AR381</x:f>
        <x:v>10896.384411704355</x:v>
      </x:c>
      <x:c r="AU381" s="141" t="n">
        <x:f>AX380*(1+Premissas!$B$41)+AT381</x:f>
        <x:v>24904818.51004817</x:v>
      </x:c>
      <x:c r="AV381" s="141" t="n">
        <x:f>MAX(0,-AU381)</x:f>
        <x:v>0</x:v>
      </x:c>
      <x:c r="AW381" s="141" t="n">
        <x:f>AW380*(1+Premissas!$B$41)+AV381</x:f>
        <x:v>0</x:v>
      </x:c>
      <x:c r="AX381" s="141" t="n">
        <x:f>MAX(0,AU381)</x:f>
        <x:v>24904818.51004817</x:v>
      </x:c>
      <x:c r="AY381" s="141" t="n">
        <x:f>INDEX('Consorcio IQ'!$P$6:$P$485,$A381)</x:f>
        <x:v>0</x:v>
      </x:c>
      <x:c r="AZ381" s="141" t="n">
        <x:f>IF($A381&gt;=Premissas!$B$48,$F381,0)+IF($A381&lt;Premissas!$B$27,INDEX('Consorcio IQ'!$O$6:$O$485,$A381),0)</x:f>
        <x:v>1241501.0960186888</x:v>
      </x:c>
      <x:c r="BA381" s="141" t="n">
        <x:f>AX381+AZ381-AY381</x:f>
        <x:v>26146319.60606686</x:v>
      </x:c>
      <x:c r="BB381" s="141" t="n">
        <x:f>IF(AW381&gt;1,"Inviavel",BA381)</x:f>
        <x:v>26146319.60606686</x:v>
      </x:c>
      <x:c r="BC381" s="141" t="str">
        <x:f>IF(AW381&gt;1,"Inviavel","OK")</x:f>
        <x:v>OK</x:v>
      </x:c>
      <x:c r="BD381" s="141" t="n">
        <x:f>IF($A381='Consorcio Direto'!$B$29,'Consorcio Direto'!$B$44,0)</x:f>
        <x:v>0</x:v>
      </x:c>
      <x:c r="BE381" s="141" t="n">
        <x:f>IF($A381&lt;='Consorcio Direto'!$B$27,INDEX('Consorcio Direto'!$E$55:$E$534,$A381),0)</x:f>
        <x:v>0</x:v>
      </x:c>
      <x:c r="BF381" s="141" t="n">
        <x:f>IF(AND(TRUE,Premissas!$B$11="Imovel",Premissas!$B$47="Moradia",$A381&lt;MAX('Consorcio Direto'!$B$29,Premissas!$B$49)),$D381,0)</x:f>
        <x:v>0</x:v>
      </x:c>
      <x:c r="BG381" s="141" t="n">
        <x:f>IF(AND(TRUE,Premissas!$B$11="Imovel",Premissas!$B$47="Investimento",$A381&gt;=MAX('Consorcio Direto'!$B$29,Premissas!$B$49)),$E381,0)</x:f>
        <x:v>3896.384411704355</x:v>
      </x:c>
      <x:c r="BH381" s="141" t="n">
        <x:f>BD381+BE381+BF381</x:f>
        <x:v>0</x:v>
      </x:c>
      <x:c r="BI381" s="141" t="n">
        <x:f>BG381</x:f>
        <x:v>3896.384411704355</x:v>
      </x:c>
      <x:c r="BJ381" s="141" t="n">
        <x:f>$C381+BI381-BH381</x:f>
        <x:v>10896.384411704355</x:v>
      </x:c>
      <x:c r="BK381" s="141" t="n">
        <x:f>BN380*(1+Premissas!$B$41)+BJ381</x:f>
        <x:v>23816426.604324687</x:v>
      </x:c>
      <x:c r="BL381" s="141" t="n">
        <x:f>MAX(0,-BK381)</x:f>
        <x:v>0</x:v>
      </x:c>
      <x:c r="BM381" s="141" t="n">
        <x:f>BM380*(1+Premissas!$B$41)+BL381</x:f>
        <x:v>0</x:v>
      </x:c>
      <x:c r="BN381" s="141" t="n">
        <x:f>MAX(0,BK381)</x:f>
        <x:v>23816426.604324687</x:v>
      </x:c>
      <x:c r="BO381" s="141" t="n">
        <x:f>INDEX('Consorcio Direto'!$K$55:$K$534,$A381)</x:f>
        <x:v>0</x:v>
      </x:c>
      <x:c r="BP381" s="141" t="n">
        <x:f>IF($A381&lt;'Consorcio Direto'!$B$29,INDEX('Consorcio Direto'!$L$55:$L$534,$A381),$F381)</x:f>
        <x:v>1241501.0960186888</x:v>
      </x:c>
      <x:c r="BQ381" s="141" t="n">
        <x:f>BN381+BP381-BO381</x:f>
        <x:v>25057927.700343378</x:v>
      </x:c>
      <x:c r="BR381" s="141" t="n">
        <x:f>IF(BM381&gt;1,"Inviavel",BQ381)</x:f>
        <x:v>25057927.700343378</x:v>
      </x:c>
      <x:c r="BS381" s="141" t="str">
        <x:f>IF(BM381&gt;1,"Inviavel","OK")</x:f>
        <x:v>OK</x:v>
      </x:c>
      <x:c r="BT381" s="141" t="n">
        <x:f>IF(AND('Carta Contemplada'!$B$22="Sim",$A381='Carta Contemplada'!$B$23),'Carta Contemplada'!$B$37,0)</x:f>
        <x:v>0</x:v>
      </x:c>
      <x:c r="BU381" s="141" t="n">
        <x:f>IF('Carta Contemplada'!$B$22="Sim",INDEX('Carta Contemplada'!$C$55:$C$1013,$A381),0)</x:f>
        <x:v>0</x:v>
      </x:c>
      <x:c r="BV381" s="141" t="n">
        <x:f>IF(AND('Carta Contemplada'!$B$22="Sim",Premissas!$B$11="Imovel",Premissas!$B$47="Moradia",$A381&lt;MAX('Carta Contemplada'!$B$44,Premissas!$B$49)),$D381,0)</x:f>
        <x:v>0</x:v>
      </x:c>
      <x:c r="BW381" s="141" t="n">
        <x:f>IF(AND('Carta Contemplada'!$B$22="Sim",Premissas!$B$11="Imovel",Premissas!$B$47="Investimento",$A381&gt;=MAX('Carta Contemplada'!$B$44,Premissas!$B$49)),$E381,0)</x:f>
        <x:v>3896.384411704355</x:v>
      </x:c>
      <x:c r="BX381" s="141" t="n">
        <x:f>BT381+BU381+BV381</x:f>
        <x:v>0</x:v>
      </x:c>
      <x:c r="BY381" s="141" t="n">
        <x:f>BW381</x:f>
        <x:v>3896.384411704355</x:v>
      </x:c>
      <x:c r="BZ381" s="141" t="n">
        <x:f>$C381+BY381-BX381</x:f>
        <x:v>10896.384411704355</x:v>
      </x:c>
      <x:c r="CA381" s="141" t="n">
        <x:f>CD380*(1+Premissas!$B$41)+BZ381</x:f>
        <x:v>25614077.50020944</x:v>
      </x:c>
      <x:c r="CB381" s="141" t="n">
        <x:f>MAX(0,-CA381)</x:f>
        <x:v>0</x:v>
      </x:c>
      <x:c r="CC381" s="141" t="n">
        <x:f>CC380*(1+Premissas!$B$41)+CB381</x:f>
        <x:v>0</x:v>
      </x:c>
      <x:c r="CD381" s="141" t="n">
        <x:f>MAX(0,CA381)</x:f>
        <x:v>25614077.50020944</x:v>
      </x:c>
      <x:c r="CE381" s="141" t="n">
        <x:f>IF(AND('Carta Contemplada'!$B$22="Sim",$A381&gt;='Carta Contemplada'!$B$23),INDEX('Carta Contemplada'!$I$55:$I$1013,$A381),0)</x:f>
        <x:v>0</x:v>
      </x:c>
      <x:c r="CF381" s="141" t="n">
        <x:f>IF(AND('Carta Contemplada'!$B$22="Sim",$A381&gt;='Carta Contemplada'!$B$44),$F381,0)</x:f>
        <x:v>1241501.0960186888</x:v>
      </x:c>
      <x:c r="CG381" s="141" t="n">
        <x:f>CD381+CF381-CE381</x:f>
        <x:v>26855578.59622813</x:v>
      </x:c>
      <x:c r="CH381" s="141" t="n">
        <x:f>IF(CC381&gt;1,"Inviavel",CG381)</x:f>
        <x:v>26855578.59622813</x:v>
      </x:c>
      <x:c r="CI381" s="145" t="str">
        <x:f>IF(CC381&gt;1,"Inviavel","OK")</x:f>
        <x:v>OK</x:v>
      </x:c>
    </x:row>
    <x:row r="382">
      <x:c r="A382" s="142" t="n">
        <x:v>378</x:v>
      </x:c>
      <x:c r="B382" s="179" t="n">
        <x:f>EDATE(Premissas!$B$4,A382-1)</x:f>
        <x:v>58015</x:v>
      </x:c>
      <x:c r="C382" s="141" t="n">
        <x:f>IF(A382&lt;=Premissas!$B$39,Premissas!$B$42,0)</x:f>
        <x:v>7000</x:v>
      </x:c>
      <x:c r="D382" s="141" t="n">
        <x:f>Premissas!$B$54*(1+Premissas!$B$57)^INT((A382-1)/12)</x:f>
        <x:v>4261.670450301638</x:v>
      </x:c>
      <x:c r="E382" s="141" t="n">
        <x:f>Premissas!$B$64*(1+Premissas!$B$57)^INT((A382-1)/12)</x:f>
        <x:v>3896.384411704355</x:v>
      </x:c>
      <x:c r="F382" s="141" t="n">
        <x:f>MAX(0,Premissas!$B$6*(1+Premissas!$B$66)^((A382-1)/12))</x:f>
        <x:v>1247544.1653804888</x:v>
      </x:c>
      <x:c r="G382" s="141" t="n">
        <x:f>G381*(1+Premissas!$B$41)+C382</x:f>
        <x:v>28625466.170978025</x:v>
      </x:c>
      <x:c r="H382" s="141" t="n">
        <x:f>IF($A382=Premissas!$B$48,Premissas!$B$8,0)</x:f>
        <x:v>0</x:v>
      </x:c>
      <x:c r="I382" s="141" t="n">
        <x:f>IF(AND($A382&gt;=Premissas!$B$48,$A382-Premissas!$B$48+1&lt;=Premissas!$B$13),INDEX(Financiamento!$J$6:$J$485,$A382-Premissas!$B$48+1),0)</x:f>
        <x:v>686.3878461665038</x:v>
      </x:c>
      <x:c r="J382" s="141" t="n">
        <x:f>IF(AND(TRUE,Premissas!$B$11="Imovel",Premissas!$B$47="Moradia",$A382&lt;MAX(Premissas!$B$48,Premissas!$B$49)),$D382,0)</x:f>
        <x:v>0</x:v>
      </x:c>
      <x:c r="K382" s="141" t="n">
        <x:f>IF(AND(TRUE,Premissas!$B$11="Imovel",Premissas!$B$47="Investimento",$A382&gt;=MAX(Premissas!$B$48,Premissas!$B$49)),$E382,0)</x:f>
        <x:v>3896.384411704355</x:v>
      </x:c>
      <x:c r="L382" s="141" t="n">
        <x:f>H382+I382+J382</x:f>
        <x:v>686.3878461665038</x:v>
      </x:c>
      <x:c r="M382" s="141" t="n">
        <x:f>K382</x:f>
        <x:v>3896.384411704355</x:v>
      </x:c>
      <x:c r="N382" s="141" t="n">
        <x:f>$C382+M382-L382</x:f>
        <x:v>10209.996565537851</x:v>
      </x:c>
      <x:c r="O382" s="141" t="n">
        <x:f>R381*(1+Premissas!$B$41)+N382</x:f>
        <x:v>24952122.765752573</x:v>
      </x:c>
      <x:c r="P382" s="141" t="n">
        <x:f>MAX(0,-O382)</x:f>
        <x:v>0</x:v>
      </x:c>
      <x:c r="Q382" s="141" t="n">
        <x:f>Q381*(1+Premissas!$B$41)+P382</x:f>
        <x:v>0</x:v>
      </x:c>
      <x:c r="R382" s="141" t="n">
        <x:f>MAX(0,O382)</x:f>
        <x:v>24952122.765752573</x:v>
      </x:c>
      <x:c r="S382" s="141" t="n">
        <x:f>IF(AND($A382&gt;=Premissas!$B$48,$A382-Premissas!$B$48+1&lt;=Premissas!$B$13),INDEX(Financiamento!$M$6:$M$485,$A382-Premissas!$B$48+1),0)</x:f>
        <x:v>16000.000000000015</x:v>
      </x:c>
      <x:c r="T382" s="141" t="n">
        <x:f>IF($A382&gt;=Premissas!$B$48,$F382,0)</x:f>
        <x:v>1247544.1653804888</x:v>
      </x:c>
      <x:c r="U382" s="141" t="n">
        <x:f>R382+T382-S382</x:f>
        <x:v>26183666.93113306</x:v>
      </x:c>
      <x:c r="V382" s="141" t="n">
        <x:f>IF(Q382&gt;1,"Inviavel",U382)</x:f>
        <x:v>26183666.93113306</x:v>
      </x:c>
      <x:c r="W382" s="141" t="str">
        <x:f>IF(Q382&gt;1,"Inviavel","OK")</x:f>
        <x:v>OK</x:v>
      </x:c>
      <x:c r="X382" s="141" t="n">
        <x:f>IF($A382=Premissas!$B$48,Premissas!$B$8,0)</x:f>
        <x:v>0</x:v>
      </x:c>
      <x:c r="Y382" s="141" t="n">
        <x:f>IF(AND($A382&gt;=Premissas!$B$48,$A382-Premissas!$B$48+1&lt;=Premissas!$B$13),INDEX(Amortizacao!$K$6:$K$485,$A382-Premissas!$B$48+1),0)</x:f>
        <x:v>0</x:v>
      </x:c>
      <x:c r="Z382" s="141" t="n">
        <x:f>IF(AND(TRUE,Premissas!$B$11="Imovel",Premissas!$B$47="Moradia",$A382&lt;MAX(Premissas!$B$48,Premissas!$B$49)),$D382,0)</x:f>
        <x:v>0</x:v>
      </x:c>
      <x:c r="AA382" s="141" t="n">
        <x:f>IF(AND(TRUE,Premissas!$B$11="Imovel",Premissas!$B$47="Investimento",$A382&gt;=MAX(Premissas!$B$48,Premissas!$B$49)),$E382,0)</x:f>
        <x:v>3896.384411704355</x:v>
      </x:c>
      <x:c r="AB382" s="141" t="n">
        <x:f>X382+Y382+Z382</x:f>
        <x:v>0</x:v>
      </x:c>
      <x:c r="AC382" s="141" t="n">
        <x:f>AA382</x:f>
        <x:v>3896.384411704355</x:v>
      </x:c>
      <x:c r="AD382" s="141" t="n">
        <x:f>$C382+AC382-AB382</x:f>
        <x:v>10896.384411704355</x:v>
      </x:c>
      <x:c r="AE382" s="141" t="n">
        <x:f>AH381*(1+Premissas!$B$41)+AD382</x:f>
        <x:v>25355332.868992172</x:v>
      </x:c>
      <x:c r="AF382" s="141" t="n">
        <x:f>MAX(0,-AE382)</x:f>
        <x:v>0</x:v>
      </x:c>
      <x:c r="AG382" s="141" t="n">
        <x:f>AG381*(1+Premissas!$B$41)+AF382</x:f>
        <x:v>0</x:v>
      </x:c>
      <x:c r="AH382" s="141" t="n">
        <x:f>MAX(0,AE382)</x:f>
        <x:v>25355332.868992172</x:v>
      </x:c>
      <x:c r="AI382" s="141" t="n">
        <x:f>IF(AND($A382&gt;=Premissas!$B$48,$A382-Premissas!$B$48+1&lt;=Premissas!$B$13),INDEX(Amortizacao!$L$6:$L$485,$A382-Premissas!$B$48+1),0)</x:f>
        <x:v>0</x:v>
      </x:c>
      <x:c r="AJ382" s="141" t="n">
        <x:f>IF($A382&gt;=Premissas!$B$48,$F382,0)</x:f>
        <x:v>1247544.1653804888</x:v>
      </x:c>
      <x:c r="AK382" s="141" t="n">
        <x:f>AH382+AJ382-AI382</x:f>
        <x:v>26602877.03437266</x:v>
      </x:c>
      <x:c r="AL382" s="141" t="n">
        <x:f>IF(AG382&gt;1,"Inviavel",AK382)</x:f>
        <x:v>26602877.03437266</x:v>
      </x:c>
      <x:c r="AM382" s="141" t="str">
        <x:f>IF(AG382&gt;1,"Inviavel","OK")</x:f>
        <x:v>OK</x:v>
      </x:c>
      <x:c r="AN382" s="141" t="n">
        <x:f>IF($A382=Premissas!$B$48,Premissas!$B$8,0)</x:f>
        <x:v>0</x:v>
      </x:c>
      <x:c r="AO382" s="141" t="n">
        <x:f>IF($A382&lt;=Premissas!$B$25,INDEX('Consorcio IQ'!$K$6:$K$485,$A382),0)</x:f>
        <x:v>0</x:v>
      </x:c>
      <x:c r="AP382" s="141" t="n">
        <x:f>IF(AND(TRUE,Premissas!$B$11="Imovel",Premissas!$B$47="Moradia",$A382&lt;MAX(Premissas!$B$48,Premissas!$B$49)),$D382,0)</x:f>
        <x:v>0</x:v>
      </x:c>
      <x:c r="AQ382" s="141" t="n">
        <x:f>IF(AND(TRUE,Premissas!$B$11="Imovel",Premissas!$B$47="Investimento",$A382&gt;=MAX(Premissas!$B$48,Premissas!$B$49)),$E382,0)</x:f>
        <x:v>3896.384411704355</x:v>
      </x:c>
      <x:c r="AR382" s="141" t="n">
        <x:f>AN382+AO382+AP382</x:f>
        <x:v>0</x:v>
      </x:c>
      <x:c r="AS382" s="141" t="n">
        <x:f>AQ382</x:f>
        <x:v>3896.384411704355</x:v>
      </x:c>
      <x:c r="AT382" s="141" t="n">
        <x:f>$C382+AS382-AR382</x:f>
        <x:v>10896.384411704355</x:v>
      </x:c>
      <x:c r="AU382" s="141" t="n">
        <x:f>AX381*(1+Premissas!$B$41)+AT382</x:f>
        <x:v>25152031.56037509</x:v>
      </x:c>
      <x:c r="AV382" s="141" t="n">
        <x:f>MAX(0,-AU382)</x:f>
        <x:v>0</x:v>
      </x:c>
      <x:c r="AW382" s="141" t="n">
        <x:f>AW381*(1+Premissas!$B$41)+AV382</x:f>
        <x:v>0</x:v>
      </x:c>
      <x:c r="AX382" s="141" t="n">
        <x:f>MAX(0,AU382)</x:f>
        <x:v>25152031.56037509</x:v>
      </x:c>
      <x:c r="AY382" s="141" t="n">
        <x:f>INDEX('Consorcio IQ'!$P$6:$P$485,$A382)</x:f>
        <x:v>0</x:v>
      </x:c>
      <x:c r="AZ382" s="141" t="n">
        <x:f>IF($A382&gt;=Premissas!$B$48,$F382,0)+IF($A382&lt;Premissas!$B$27,INDEX('Consorcio IQ'!$O$6:$O$485,$A382),0)</x:f>
        <x:v>1247544.1653804888</x:v>
      </x:c>
      <x:c r="BA382" s="141" t="n">
        <x:f>AX382+AZ382-AY382</x:f>
        <x:v>26399575.72575558</x:v>
      </x:c>
      <x:c r="BB382" s="141" t="n">
        <x:f>IF(AW382&gt;1,"Inviavel",BA382)</x:f>
        <x:v>26399575.72575558</x:v>
      </x:c>
      <x:c r="BC382" s="141" t="str">
        <x:f>IF(AW382&gt;1,"Inviavel","OK")</x:f>
        <x:v>OK</x:v>
      </x:c>
      <x:c r="BD382" s="141" t="n">
        <x:f>IF($A382='Consorcio Direto'!$B$29,'Consorcio Direto'!$B$44,0)</x:f>
        <x:v>0</x:v>
      </x:c>
      <x:c r="BE382" s="141" t="n">
        <x:f>IF($A382&lt;='Consorcio Direto'!$B$27,INDEX('Consorcio Direto'!$E$55:$E$534,$A382),0)</x:f>
        <x:v>0</x:v>
      </x:c>
      <x:c r="BF382" s="141" t="n">
        <x:f>IF(AND(TRUE,Premissas!$B$11="Imovel",Premissas!$B$47="Moradia",$A382&lt;MAX('Consorcio Direto'!$B$29,Premissas!$B$49)),$D382,0)</x:f>
        <x:v>0</x:v>
      </x:c>
      <x:c r="BG382" s="141" t="n">
        <x:f>IF(AND(TRUE,Premissas!$B$11="Imovel",Premissas!$B$47="Investimento",$A382&gt;=MAX('Consorcio Direto'!$B$29,Premissas!$B$49)),$E382,0)</x:f>
        <x:v>3896.384411704355</x:v>
      </x:c>
      <x:c r="BH382" s="141" t="n">
        <x:f>BD382+BE382+BF382</x:f>
        <x:v>0</x:v>
      </x:c>
      <x:c r="BI382" s="141" t="n">
        <x:f>BG382</x:f>
        <x:v>3896.384411704355</x:v>
      </x:c>
      <x:c r="BJ382" s="141" t="n">
        <x:f>$C382+BI382-BH382</x:f>
        <x:v>10896.384411704355</x:v>
      </x:c>
      <x:c r="BK382" s="141" t="n">
        <x:f>BN381*(1+Premissas!$B$41)+BJ382</x:f>
        <x:v>24053312.129226524</x:v>
      </x:c>
      <x:c r="BL382" s="141" t="n">
        <x:f>MAX(0,-BK382)</x:f>
        <x:v>0</x:v>
      </x:c>
      <x:c r="BM382" s="141" t="n">
        <x:f>BM381*(1+Premissas!$B$41)+BL382</x:f>
        <x:v>0</x:v>
      </x:c>
      <x:c r="BN382" s="141" t="n">
        <x:f>MAX(0,BK382)</x:f>
        <x:v>24053312.129226524</x:v>
      </x:c>
      <x:c r="BO382" s="141" t="n">
        <x:f>INDEX('Consorcio Direto'!$K$55:$K$534,$A382)</x:f>
        <x:v>0</x:v>
      </x:c>
      <x:c r="BP382" s="141" t="n">
        <x:f>IF($A382&lt;'Consorcio Direto'!$B$29,INDEX('Consorcio Direto'!$L$55:$L$534,$A382),$F382)</x:f>
        <x:v>1247544.1653804888</x:v>
      </x:c>
      <x:c r="BQ382" s="141" t="n">
        <x:f>BN382+BP382-BO382</x:f>
        <x:v>25300856.294607013</x:v>
      </x:c>
      <x:c r="BR382" s="141" t="n">
        <x:f>IF(BM382&gt;1,"Inviavel",BQ382)</x:f>
        <x:v>25300856.294607013</x:v>
      </x:c>
      <x:c r="BS382" s="141" t="str">
        <x:f>IF(BM382&gt;1,"Inviavel","OK")</x:f>
        <x:v>OK</x:v>
      </x:c>
      <x:c r="BT382" s="141" t="n">
        <x:f>IF(AND('Carta Contemplada'!$B$22="Sim",$A382='Carta Contemplada'!$B$23),'Carta Contemplada'!$B$37,0)</x:f>
        <x:v>0</x:v>
      </x:c>
      <x:c r="BU382" s="141" t="n">
        <x:f>IF('Carta Contemplada'!$B$22="Sim",INDEX('Carta Contemplada'!$C$55:$C$1013,$A382),0)</x:f>
        <x:v>0</x:v>
      </x:c>
      <x:c r="BV382" s="141" t="n">
        <x:f>IF(AND('Carta Contemplada'!$B$22="Sim",Premissas!$B$11="Imovel",Premissas!$B$47="Moradia",$A382&lt;MAX('Carta Contemplada'!$B$44,Premissas!$B$49)),$D382,0)</x:f>
        <x:v>0</x:v>
      </x:c>
      <x:c r="BW382" s="141" t="n">
        <x:f>IF(AND('Carta Contemplada'!$B$22="Sim",Premissas!$B$11="Imovel",Premissas!$B$47="Investimento",$A382&gt;=MAX('Carta Contemplada'!$B$44,Premissas!$B$49)),$E382,0)</x:f>
        <x:v>3896.384411704355</x:v>
      </x:c>
      <x:c r="BX382" s="141" t="n">
        <x:f>BT382+BU382+BV382</x:f>
        <x:v>0</x:v>
      </x:c>
      <x:c r="BY382" s="141" t="n">
        <x:f>BW382</x:f>
        <x:v>3896.384411704355</x:v>
      </x:c>
      <x:c r="BZ382" s="141" t="n">
        <x:f>$C382+BY382-BX382</x:f>
        <x:v>10896.384411704355</x:v>
      </x:c>
      <x:c r="CA382" s="141" t="n">
        <x:f>CD381*(1+Premissas!$B$41)+BZ382</x:f>
        <x:v>25868020.562230993</x:v>
      </x:c>
      <x:c r="CB382" s="141" t="n">
        <x:f>MAX(0,-CA382)</x:f>
        <x:v>0</x:v>
      </x:c>
      <x:c r="CC382" s="141" t="n">
        <x:f>CC381*(1+Premissas!$B$41)+CB382</x:f>
        <x:v>0</x:v>
      </x:c>
      <x:c r="CD382" s="141" t="n">
        <x:f>MAX(0,CA382)</x:f>
        <x:v>25868020.562230993</x:v>
      </x:c>
      <x:c r="CE382" s="141" t="n">
        <x:f>IF(AND('Carta Contemplada'!$B$22="Sim",$A382&gt;='Carta Contemplada'!$B$23),INDEX('Carta Contemplada'!$I$55:$I$1013,$A382),0)</x:f>
        <x:v>0</x:v>
      </x:c>
      <x:c r="CF382" s="141" t="n">
        <x:f>IF(AND('Carta Contemplada'!$B$22="Sim",$A382&gt;='Carta Contemplada'!$B$44),$F382,0)</x:f>
        <x:v>1247544.1653804888</x:v>
      </x:c>
      <x:c r="CG382" s="141" t="n">
        <x:f>CD382+CF382-CE382</x:f>
        <x:v>27115564.727611482</x:v>
      </x:c>
      <x:c r="CH382" s="141" t="n">
        <x:f>IF(CC382&gt;1,"Inviavel",CG382)</x:f>
        <x:v>27115564.727611482</x:v>
      </x:c>
      <x:c r="CI382" s="145" t="str">
        <x:f>IF(CC382&gt;1,"Inviavel","OK")</x:f>
        <x:v>OK</x:v>
      </x:c>
    </x:row>
    <x:row r="383">
      <x:c r="A383" s="142" t="n">
        <x:v>379</x:v>
      </x:c>
      <x:c r="B383" s="179" t="n">
        <x:f>EDATE(Premissas!$B$4,A383-1)</x:f>
        <x:v>58045</x:v>
      </x:c>
      <x:c r="C383" s="141" t="n">
        <x:f>IF(A383&lt;=Premissas!$B$39,Premissas!$B$42,0)</x:f>
        <x:v>7000</x:v>
      </x:c>
      <x:c r="D383" s="141" t="n">
        <x:f>Premissas!$B$54*(1+Premissas!$B$57)^INT((A383-1)/12)</x:f>
        <x:v>4261.670450301638</x:v>
      </x:c>
      <x:c r="E383" s="141" t="n">
        <x:f>Premissas!$B$64*(1+Premissas!$B$57)^INT((A383-1)/12)</x:f>
        <x:v>3896.384411704355</x:v>
      </x:c>
      <x:c r="F383" s="141" t="n">
        <x:f>MAX(0,Premissas!$B$6*(1+Premissas!$B$66)^((A383-1)/12))</x:f>
        <x:v>1253616.6496879768</x:v>
      </x:c>
      <x:c r="G383" s="141" t="n">
        <x:f>G382*(1+Premissas!$B$41)+C383</x:f>
        <x:v>28904087.292130347</x:v>
      </x:c>
      <x:c r="H383" s="141" t="n">
        <x:f>IF($A383=Premissas!$B$48,Premissas!$B$8,0)</x:f>
        <x:v>0</x:v>
      </x:c>
      <x:c r="I383" s="141" t="n">
        <x:f>IF(AND($A383&gt;=Premissas!$B$48,$A383-Premissas!$B$48+1&lt;=Premissas!$B$13),INDEX(Financiamento!$J$6:$J$485,$A383-Premissas!$B$48+1),0)</x:f>
        <x:v>682.7730679057101</x:v>
      </x:c>
      <x:c r="J383" s="141" t="n">
        <x:f>IF(AND(TRUE,Premissas!$B$11="Imovel",Premissas!$B$47="Moradia",$A383&lt;MAX(Premissas!$B$48,Premissas!$B$49)),$D383,0)</x:f>
        <x:v>0</x:v>
      </x:c>
      <x:c r="K383" s="141" t="n">
        <x:f>IF(AND(TRUE,Premissas!$B$11="Imovel",Premissas!$B$47="Investimento",$A383&gt;=MAX(Premissas!$B$48,Premissas!$B$49)),$E383,0)</x:f>
        <x:v>3896.384411704355</x:v>
      </x:c>
      <x:c r="L383" s="141" t="n">
        <x:f>H383+I383+J383</x:f>
        <x:v>682.7730679057101</x:v>
      </x:c>
      <x:c r="M383" s="141" t="n">
        <x:f>K383</x:f>
        <x:v>3896.384411704355</x:v>
      </x:c>
      <x:c r="N383" s="141" t="n">
        <x:f>$C383+M383-L383</x:f>
        <x:v>10213.611343798646</x:v>
      </x:c>
      <x:c r="O383" s="141" t="n">
        <x:f>R382*(1+Premissas!$B$41)+N383</x:f>
        <x:v>25199101.903298892</x:v>
      </x:c>
      <x:c r="P383" s="141" t="n">
        <x:f>MAX(0,-O383)</x:f>
        <x:v>0</x:v>
      </x:c>
      <x:c r="Q383" s="141" t="n">
        <x:f>Q382*(1+Premissas!$B$41)+P383</x:f>
        <x:v>0</x:v>
      </x:c>
      <x:c r="R383" s="141" t="n">
        <x:f>MAX(0,O383)</x:f>
        <x:v>25199101.903298892</x:v>
      </x:c>
      <x:c r="S383" s="141" t="n">
        <x:f>IF(AND($A383&gt;=Premissas!$B$48,$A383-Premissas!$B$48+1&lt;=Premissas!$B$13),INDEX(Financiamento!$M$6:$M$485,$A383-Premissas!$B$48+1),0)</x:f>
        <x:v>15619.047619047633</x:v>
      </x:c>
      <x:c r="T383" s="141" t="n">
        <x:f>IF($A383&gt;=Premissas!$B$48,$F383,0)</x:f>
        <x:v>1253616.6496879768</x:v>
      </x:c>
      <x:c r="U383" s="141" t="n">
        <x:f>R383+T383-S383</x:f>
        <x:v>26437099.50536782</x:v>
      </x:c>
      <x:c r="V383" s="141" t="n">
        <x:f>IF(Q383&gt;1,"Inviavel",U383)</x:f>
        <x:v>26437099.50536782</x:v>
      </x:c>
      <x:c r="W383" s="141" t="str">
        <x:f>IF(Q383&gt;1,"Inviavel","OK")</x:f>
        <x:v>OK</x:v>
      </x:c>
      <x:c r="X383" s="141" t="n">
        <x:f>IF($A383=Premissas!$B$48,Premissas!$B$8,0)</x:f>
        <x:v>0</x:v>
      </x:c>
      <x:c r="Y383" s="141" t="n">
        <x:f>IF(AND($A383&gt;=Premissas!$B$48,$A383-Premissas!$B$48+1&lt;=Premissas!$B$13),INDEX(Amortizacao!$K$6:$K$485,$A383-Premissas!$B$48+1),0)</x:f>
        <x:v>0</x:v>
      </x:c>
      <x:c r="Z383" s="141" t="n">
        <x:f>IF(AND(TRUE,Premissas!$B$11="Imovel",Premissas!$B$47="Moradia",$A383&lt;MAX(Premissas!$B$48,Premissas!$B$49)),$D383,0)</x:f>
        <x:v>0</x:v>
      </x:c>
      <x:c r="AA383" s="141" t="n">
        <x:f>IF(AND(TRUE,Premissas!$B$11="Imovel",Premissas!$B$47="Investimento",$A383&gt;=MAX(Premissas!$B$48,Premissas!$B$49)),$E383,0)</x:f>
        <x:v>3896.384411704355</x:v>
      </x:c>
      <x:c r="AB383" s="141" t="n">
        <x:f>X383+Y383+Z383</x:f>
        <x:v>0</x:v>
      </x:c>
      <x:c r="AC383" s="141" t="n">
        <x:f>AA383</x:f>
        <x:v>3896.384411704355</x:v>
      </x:c>
      <x:c r="AD383" s="141" t="n">
        <x:f>$C383+AC383-AB383</x:f>
        <x:v>10896.384411704355</x:v>
      </x:c>
      <x:c r="AE383" s="141" t="n">
        <x:f>AH382*(1+Premissas!$B$41)+AD383</x:f>
        <x:v>25606820.75678517</x:v>
      </x:c>
      <x:c r="AF383" s="141" t="n">
        <x:f>MAX(0,-AE383)</x:f>
        <x:v>0</x:v>
      </x:c>
      <x:c r="AG383" s="141" t="n">
        <x:f>AG382*(1+Premissas!$B$41)+AF383</x:f>
        <x:v>0</x:v>
      </x:c>
      <x:c r="AH383" s="141" t="n">
        <x:f>MAX(0,AE383)</x:f>
        <x:v>25606820.75678517</x:v>
      </x:c>
      <x:c r="AI383" s="141" t="n">
        <x:f>IF(AND($A383&gt;=Premissas!$B$48,$A383-Premissas!$B$48+1&lt;=Premissas!$B$13),INDEX(Amortizacao!$L$6:$L$485,$A383-Premissas!$B$48+1),0)</x:f>
        <x:v>0</x:v>
      </x:c>
      <x:c r="AJ383" s="141" t="n">
        <x:f>IF($A383&gt;=Premissas!$B$48,$F383,0)</x:f>
        <x:v>1253616.6496879768</x:v>
      </x:c>
      <x:c r="AK383" s="141" t="n">
        <x:f>AH383+AJ383-AI383</x:f>
        <x:v>26860437.406473145</x:v>
      </x:c>
      <x:c r="AL383" s="141" t="n">
        <x:f>IF(AG383&gt;1,"Inviavel",AK383)</x:f>
        <x:v>26860437.406473145</x:v>
      </x:c>
      <x:c r="AM383" s="141" t="str">
        <x:f>IF(AG383&gt;1,"Inviavel","OK")</x:f>
        <x:v>OK</x:v>
      </x:c>
      <x:c r="AN383" s="141" t="n">
        <x:f>IF($A383=Premissas!$B$48,Premissas!$B$8,0)</x:f>
        <x:v>0</x:v>
      </x:c>
      <x:c r="AO383" s="141" t="n">
        <x:f>IF($A383&lt;=Premissas!$B$25,INDEX('Consorcio IQ'!$K$6:$K$485,$A383),0)</x:f>
        <x:v>0</x:v>
      </x:c>
      <x:c r="AP383" s="141" t="n">
        <x:f>IF(AND(TRUE,Premissas!$B$11="Imovel",Premissas!$B$47="Moradia",$A383&lt;MAX(Premissas!$B$48,Premissas!$B$49)),$D383,0)</x:f>
        <x:v>0</x:v>
      </x:c>
      <x:c r="AQ383" s="141" t="n">
        <x:f>IF(AND(TRUE,Premissas!$B$11="Imovel",Premissas!$B$47="Investimento",$A383&gt;=MAX(Premissas!$B$48,Premissas!$B$49)),$E383,0)</x:f>
        <x:v>3896.384411704355</x:v>
      </x:c>
      <x:c r="AR383" s="141" t="n">
        <x:f>AN383+AO383+AP383</x:f>
        <x:v>0</x:v>
      </x:c>
      <x:c r="AS383" s="141" t="n">
        <x:f>AQ383</x:f>
        <x:v>3896.384411704355</x:v>
      </x:c>
      <x:c r="AT383" s="141" t="n">
        <x:f>$C383+AS383-AR383</x:f>
        <x:v>10896.384411704355</x:v>
      </x:c>
      <x:c r="AU383" s="141" t="n">
        <x:f>AX382*(1+Premissas!$B$41)+AT383</x:f>
        <x:v>25401590.36414729</x:v>
      </x:c>
      <x:c r="AV383" s="141" t="n">
        <x:f>MAX(0,-AU383)</x:f>
        <x:v>0</x:v>
      </x:c>
      <x:c r="AW383" s="141" t="n">
        <x:f>AW382*(1+Premissas!$B$41)+AV383</x:f>
        <x:v>0</x:v>
      </x:c>
      <x:c r="AX383" s="141" t="n">
        <x:f>MAX(0,AU383)</x:f>
        <x:v>25401590.36414729</x:v>
      </x:c>
      <x:c r="AY383" s="141" t="n">
        <x:f>INDEX('Consorcio IQ'!$P$6:$P$485,$A383)</x:f>
        <x:v>0</x:v>
      </x:c>
      <x:c r="AZ383" s="141" t="n">
        <x:f>IF($A383&gt;=Premissas!$B$48,$F383,0)+IF($A383&lt;Premissas!$B$27,INDEX('Consorcio IQ'!$O$6:$O$485,$A383),0)</x:f>
        <x:v>1253616.6496879768</x:v>
      </x:c>
      <x:c r="BA383" s="141" t="n">
        <x:f>AX383+AZ383-AY383</x:f>
        <x:v>26655207.013835266</x:v>
      </x:c>
      <x:c r="BB383" s="141" t="n">
        <x:f>IF(AW383&gt;1,"Inviavel",BA383)</x:f>
        <x:v>26655207.013835266</x:v>
      </x:c>
      <x:c r="BC383" s="141" t="str">
        <x:f>IF(AW383&gt;1,"Inviavel","OK")</x:f>
        <x:v>OK</x:v>
      </x:c>
      <x:c r="BD383" s="141" t="n">
        <x:f>IF($A383='Consorcio Direto'!$B$29,'Consorcio Direto'!$B$44,0)</x:f>
        <x:v>0</x:v>
      </x:c>
      <x:c r="BE383" s="141" t="n">
        <x:f>IF($A383&lt;='Consorcio Direto'!$B$27,INDEX('Consorcio Direto'!$E$55:$E$534,$A383),0)</x:f>
        <x:v>0</x:v>
      </x:c>
      <x:c r="BF383" s="141" t="n">
        <x:f>IF(AND(TRUE,Premissas!$B$11="Imovel",Premissas!$B$47="Moradia",$A383&lt;MAX('Consorcio Direto'!$B$29,Premissas!$B$49)),$D383,0)</x:f>
        <x:v>0</x:v>
      </x:c>
      <x:c r="BG383" s="141" t="n">
        <x:f>IF(AND(TRUE,Premissas!$B$11="Imovel",Premissas!$B$47="Investimento",$A383&gt;=MAX('Consorcio Direto'!$B$29,Premissas!$B$49)),$E383,0)</x:f>
        <x:v>3896.384411704355</x:v>
      </x:c>
      <x:c r="BH383" s="141" t="n">
        <x:f>BD383+BE383+BF383</x:f>
        <x:v>0</x:v>
      </x:c>
      <x:c r="BI383" s="141" t="n">
        <x:f>BG383</x:f>
        <x:v>3896.384411704355</x:v>
      </x:c>
      <x:c r="BJ383" s="141" t="n">
        <x:f>$C383+BI383-BH383</x:f>
        <x:v>10896.384411704355</x:v>
      </x:c>
      <x:c r="BK383" s="141" t="n">
        <x:f>BN382*(1+Premissas!$B$41)+BJ383</x:f>
        <x:v>24292445.411823355</x:v>
      </x:c>
      <x:c r="BL383" s="141" t="n">
        <x:f>MAX(0,-BK383)</x:f>
        <x:v>0</x:v>
      </x:c>
      <x:c r="BM383" s="141" t="n">
        <x:f>BM382*(1+Premissas!$B$41)+BL383</x:f>
        <x:v>0</x:v>
      </x:c>
      <x:c r="BN383" s="141" t="n">
        <x:f>MAX(0,BK383)</x:f>
        <x:v>24292445.411823355</x:v>
      </x:c>
      <x:c r="BO383" s="141" t="n">
        <x:f>INDEX('Consorcio Direto'!$K$55:$K$534,$A383)</x:f>
        <x:v>0</x:v>
      </x:c>
      <x:c r="BP383" s="141" t="n">
        <x:f>IF($A383&lt;'Consorcio Direto'!$B$29,INDEX('Consorcio Direto'!$L$55:$L$534,$A383),$F383)</x:f>
        <x:v>1253616.6496879768</x:v>
      </x:c>
      <x:c r="BQ383" s="141" t="n">
        <x:f>BN383+BP383-BO383</x:f>
        <x:v>25546062.06151133</x:v>
      </x:c>
      <x:c r="BR383" s="141" t="n">
        <x:f>IF(BM383&gt;1,"Inviavel",BQ383)</x:f>
        <x:v>25546062.06151133</x:v>
      </x:c>
      <x:c r="BS383" s="141" t="str">
        <x:f>IF(BM383&gt;1,"Inviavel","OK")</x:f>
        <x:v>OK</x:v>
      </x:c>
      <x:c r="BT383" s="141" t="n">
        <x:f>IF(AND('Carta Contemplada'!$B$22="Sim",$A383='Carta Contemplada'!$B$23),'Carta Contemplada'!$B$37,0)</x:f>
        <x:v>0</x:v>
      </x:c>
      <x:c r="BU383" s="141" t="n">
        <x:f>IF('Carta Contemplada'!$B$22="Sim",INDEX('Carta Contemplada'!$C$55:$C$1013,$A383),0)</x:f>
        <x:v>0</x:v>
      </x:c>
      <x:c r="BV383" s="141" t="n">
        <x:f>IF(AND('Carta Contemplada'!$B$22="Sim",Premissas!$B$11="Imovel",Premissas!$B$47="Moradia",$A383&lt;MAX('Carta Contemplada'!$B$44,Premissas!$B$49)),$D383,0)</x:f>
        <x:v>0</x:v>
      </x:c>
      <x:c r="BW383" s="141" t="n">
        <x:f>IF(AND('Carta Contemplada'!$B$22="Sim",Premissas!$B$11="Imovel",Premissas!$B$47="Investimento",$A383&gt;=MAX('Carta Contemplada'!$B$44,Premissas!$B$49)),$E383,0)</x:f>
        <x:v>3896.384411704355</x:v>
      </x:c>
      <x:c r="BX383" s="141" t="n">
        <x:f>BT383+BU383+BV383</x:f>
        <x:v>0</x:v>
      </x:c>
      <x:c r="BY383" s="141" t="n">
        <x:f>BW383</x:f>
        <x:v>3896.384411704355</x:v>
      </x:c>
      <x:c r="BZ383" s="141" t="n">
        <x:f>$C383+BY383-BX383</x:f>
        <x:v>10896.384411704355</x:v>
      </x:c>
      <x:c r="CA383" s="141" t="n">
        <x:f>CD382*(1+Premissas!$B$41)+BZ383</x:f>
        <x:v>26124373.237385243</x:v>
      </x:c>
      <x:c r="CB383" s="141" t="n">
        <x:f>MAX(0,-CA383)</x:f>
        <x:v>0</x:v>
      </x:c>
      <x:c r="CC383" s="141" t="n">
        <x:f>CC382*(1+Premissas!$B$41)+CB383</x:f>
        <x:v>0</x:v>
      </x:c>
      <x:c r="CD383" s="141" t="n">
        <x:f>MAX(0,CA383)</x:f>
        <x:v>26124373.237385243</x:v>
      </x:c>
      <x:c r="CE383" s="141" t="n">
        <x:f>IF(AND('Carta Contemplada'!$B$22="Sim",$A383&gt;='Carta Contemplada'!$B$23),INDEX('Carta Contemplada'!$I$55:$I$1013,$A383),0)</x:f>
        <x:v>0</x:v>
      </x:c>
      <x:c r="CF383" s="141" t="n">
        <x:f>IF(AND('Carta Contemplada'!$B$22="Sim",$A383&gt;='Carta Contemplada'!$B$44),$F383,0)</x:f>
        <x:v>1253616.6496879768</x:v>
      </x:c>
      <x:c r="CG383" s="141" t="n">
        <x:f>CD383+CF383-CE383</x:f>
        <x:v>27377989.88707322</x:v>
      </x:c>
      <x:c r="CH383" s="141" t="n">
        <x:f>IF(CC383&gt;1,"Inviavel",CG383)</x:f>
        <x:v>27377989.88707322</x:v>
      </x:c>
      <x:c r="CI383" s="145" t="str">
        <x:f>IF(CC383&gt;1,"Inviavel","OK")</x:f>
        <x:v>OK</x:v>
      </x:c>
    </x:row>
    <x:row r="384">
      <x:c r="A384" s="142" t="n">
        <x:v>380</x:v>
      </x:c>
      <x:c r="B384" s="179" t="n">
        <x:f>EDATE(Premissas!$B$4,A384-1)</x:f>
        <x:v>58076</x:v>
      </x:c>
      <x:c r="C384" s="141" t="n">
        <x:f>IF(A384&lt;=Premissas!$B$39,Premissas!$B$42,0)</x:f>
        <x:v>7000</x:v>
      </x:c>
      <x:c r="D384" s="141" t="n">
        <x:f>Premissas!$B$54*(1+Premissas!$B$57)^INT((A384-1)/12)</x:f>
        <x:v>4261.670450301638</x:v>
      </x:c>
      <x:c r="E384" s="141" t="n">
        <x:f>Premissas!$B$64*(1+Premissas!$B$57)^INT((A384-1)/12)</x:f>
        <x:v>3896.384411704355</x:v>
      </x:c>
      <x:c r="F384" s="141" t="n">
        <x:f>MAX(0,Premissas!$B$6*(1+Premissas!$B$66)^((A384-1)/12))</x:f>
        <x:v>1259718.692119889</x:v>
      </x:c>
      <x:c r="G384" s="141" t="n">
        <x:f>G383*(1+Premissas!$B$41)+C384</x:f>
        <x:v>29185352.191408485</x:v>
      </x:c>
      <x:c r="H384" s="141" t="n">
        <x:f>IF($A384=Premissas!$B$48,Premissas!$B$8,0)</x:f>
        <x:v>0</x:v>
      </x:c>
      <x:c r="I384" s="141" t="n">
        <x:f>IF(AND($A384&gt;=Premissas!$B$48,$A384-Premissas!$B$48+1&lt;=Premissas!$B$13),INDEX(Financiamento!$J$6:$J$485,$A384-Premissas!$B$48+1),0)</x:f>
        <x:v>679.1582896449166</x:v>
      </x:c>
      <x:c r="J384" s="141" t="n">
        <x:f>IF(AND(TRUE,Premissas!$B$11="Imovel",Premissas!$B$47="Moradia",$A384&lt;MAX(Premissas!$B$48,Premissas!$B$49)),$D384,0)</x:f>
        <x:v>0</x:v>
      </x:c>
      <x:c r="K384" s="141" t="n">
        <x:f>IF(AND(TRUE,Premissas!$B$11="Imovel",Premissas!$B$47="Investimento",$A384&gt;=MAX(Premissas!$B$48,Premissas!$B$49)),$E384,0)</x:f>
        <x:v>3896.384411704355</x:v>
      </x:c>
      <x:c r="L384" s="141" t="n">
        <x:f>H384+I384+J384</x:f>
        <x:v>679.1582896449166</x:v>
      </x:c>
      <x:c r="M384" s="141" t="n">
        <x:f>K384</x:f>
        <x:v>3896.384411704355</x:v>
      </x:c>
      <x:c r="N384" s="141" t="n">
        <x:f>$C384+M384-L384</x:f>
        <x:v>10217.22612205944</x:v>
      </x:c>
      <x:c r="O384" s="141" t="n">
        <x:f>R383*(1+Premissas!$B$41)+N384</x:f>
        <x:v>25448428.189518813</x:v>
      </x:c>
      <x:c r="P384" s="141" t="n">
        <x:f>MAX(0,-O384)</x:f>
        <x:v>0</x:v>
      </x:c>
      <x:c r="Q384" s="141" t="n">
        <x:f>Q383*(1+Premissas!$B$41)+P384</x:f>
        <x:v>0</x:v>
      </x:c>
      <x:c r="R384" s="141" t="n">
        <x:f>MAX(0,O384)</x:f>
        <x:v>25448428.189518813</x:v>
      </x:c>
      <x:c r="S384" s="141" t="n">
        <x:f>IF(AND($A384&gt;=Premissas!$B$48,$A384-Premissas!$B$48+1&lt;=Premissas!$B$13),INDEX(Financiamento!$M$6:$M$485,$A384-Premissas!$B$48+1),0)</x:f>
        <x:v>15238.095238095251</x:v>
      </x:c>
      <x:c r="T384" s="141" t="n">
        <x:f>IF($A384&gt;=Premissas!$B$48,$F384,0)</x:f>
        <x:v>1259718.692119889</x:v>
      </x:c>
      <x:c r="U384" s="141" t="n">
        <x:f>R384+T384-S384</x:f>
        <x:v>26692908.786400605</x:v>
      </x:c>
      <x:c r="V384" s="141" t="n">
        <x:f>IF(Q384&gt;1,"Inviavel",U384)</x:f>
        <x:v>26692908.786400605</x:v>
      </x:c>
      <x:c r="W384" s="141" t="str">
        <x:f>IF(Q384&gt;1,"Inviavel","OK")</x:f>
        <x:v>OK</x:v>
      </x:c>
      <x:c r="X384" s="141" t="n">
        <x:f>IF($A384=Premissas!$B$48,Premissas!$B$8,0)</x:f>
        <x:v>0</x:v>
      </x:c>
      <x:c r="Y384" s="141" t="n">
        <x:f>IF(AND($A384&gt;=Premissas!$B$48,$A384-Premissas!$B$48+1&lt;=Premissas!$B$13),INDEX(Amortizacao!$K$6:$K$485,$A384-Premissas!$B$48+1),0)</x:f>
        <x:v>0</x:v>
      </x:c>
      <x:c r="Z384" s="141" t="n">
        <x:f>IF(AND(TRUE,Premissas!$B$11="Imovel",Premissas!$B$47="Moradia",$A384&lt;MAX(Premissas!$B$48,Premissas!$B$49)),$D384,0)</x:f>
        <x:v>0</x:v>
      </x:c>
      <x:c r="AA384" s="141" t="n">
        <x:f>IF(AND(TRUE,Premissas!$B$11="Imovel",Premissas!$B$47="Investimento",$A384&gt;=MAX(Premissas!$B$48,Premissas!$B$49)),$E384,0)</x:f>
        <x:v>3896.384411704355</x:v>
      </x:c>
      <x:c r="AB384" s="141" t="n">
        <x:f>X384+Y384+Z384</x:f>
        <x:v>0</x:v>
      </x:c>
      <x:c r="AC384" s="141" t="n">
        <x:f>AA384</x:f>
        <x:v>3896.384411704355</x:v>
      </x:c>
      <x:c r="AD384" s="141" t="n">
        <x:f>$C384+AC384-AB384</x:f>
        <x:v>10896.384411704355</x:v>
      </x:c>
      <x:c r="AE384" s="141" t="n">
        <x:f>AH383*(1+Premissas!$B$41)+AD384</x:f>
        <x:v>25860694.961070992</x:v>
      </x:c>
      <x:c r="AF384" s="141" t="n">
        <x:f>MAX(0,-AE384)</x:f>
        <x:v>0</x:v>
      </x:c>
      <x:c r="AG384" s="141" t="n">
        <x:f>AG383*(1+Premissas!$B$41)+AF384</x:f>
        <x:v>0</x:v>
      </x:c>
      <x:c r="AH384" s="141" t="n">
        <x:f>MAX(0,AE384)</x:f>
        <x:v>25860694.961070992</x:v>
      </x:c>
      <x:c r="AI384" s="141" t="n">
        <x:f>IF(AND($A384&gt;=Premissas!$B$48,$A384-Premissas!$B$48+1&lt;=Premissas!$B$13),INDEX(Amortizacao!$L$6:$L$485,$A384-Premissas!$B$48+1),0)</x:f>
        <x:v>0</x:v>
      </x:c>
      <x:c r="AJ384" s="141" t="n">
        <x:f>IF($A384&gt;=Premissas!$B$48,$F384,0)</x:f>
        <x:v>1259718.692119889</x:v>
      </x:c>
      <x:c r="AK384" s="141" t="n">
        <x:f>AH384+AJ384-AI384</x:f>
        <x:v>27120413.65319088</x:v>
      </x:c>
      <x:c r="AL384" s="141" t="n">
        <x:f>IF(AG384&gt;1,"Inviavel",AK384)</x:f>
        <x:v>27120413.65319088</x:v>
      </x:c>
      <x:c r="AM384" s="141" t="str">
        <x:f>IF(AG384&gt;1,"Inviavel","OK")</x:f>
        <x:v>OK</x:v>
      </x:c>
      <x:c r="AN384" s="141" t="n">
        <x:f>IF($A384=Premissas!$B$48,Premissas!$B$8,0)</x:f>
        <x:v>0</x:v>
      </x:c>
      <x:c r="AO384" s="141" t="n">
        <x:f>IF($A384&lt;=Premissas!$B$25,INDEX('Consorcio IQ'!$K$6:$K$485,$A384),0)</x:f>
        <x:v>0</x:v>
      </x:c>
      <x:c r="AP384" s="141" t="n">
        <x:f>IF(AND(TRUE,Premissas!$B$11="Imovel",Premissas!$B$47="Moradia",$A384&lt;MAX(Premissas!$B$48,Premissas!$B$49)),$D384,0)</x:f>
        <x:v>0</x:v>
      </x:c>
      <x:c r="AQ384" s="141" t="n">
        <x:f>IF(AND(TRUE,Premissas!$B$11="Imovel",Premissas!$B$47="Investimento",$A384&gt;=MAX(Premissas!$B$48,Premissas!$B$49)),$E384,0)</x:f>
        <x:v>3896.384411704355</x:v>
      </x:c>
      <x:c r="AR384" s="141" t="n">
        <x:f>AN384+AO384+AP384</x:f>
        <x:v>0</x:v>
      </x:c>
      <x:c r="AS384" s="141" t="n">
        <x:f>AQ384</x:f>
        <x:v>3896.384411704355</x:v>
      </x:c>
      <x:c r="AT384" s="141" t="n">
        <x:f>$C384+AS384-AR384</x:f>
        <x:v>10896.384411704355</x:v>
      </x:c>
      <x:c r="AU384" s="141" t="n">
        <x:f>AX383*(1+Premissas!$B$41)+AT384</x:f>
        <x:v>25653517.17973349</x:v>
      </x:c>
      <x:c r="AV384" s="141" t="n">
        <x:f>MAX(0,-AU384)</x:f>
        <x:v>0</x:v>
      </x:c>
      <x:c r="AW384" s="141" t="n">
        <x:f>AW383*(1+Premissas!$B$41)+AV384</x:f>
        <x:v>0</x:v>
      </x:c>
      <x:c r="AX384" s="141" t="n">
        <x:f>MAX(0,AU384)</x:f>
        <x:v>25653517.17973349</x:v>
      </x:c>
      <x:c r="AY384" s="141" t="n">
        <x:f>INDEX('Consorcio IQ'!$P$6:$P$485,$A384)</x:f>
        <x:v>0</x:v>
      </x:c>
      <x:c r="AZ384" s="141" t="n">
        <x:f>IF($A384&gt;=Premissas!$B$48,$F384,0)+IF($A384&lt;Premissas!$B$27,INDEX('Consorcio IQ'!$O$6:$O$485,$A384),0)</x:f>
        <x:v>1259718.692119889</x:v>
      </x:c>
      <x:c r="BA384" s="141" t="n">
        <x:f>AX384+AZ384-AY384</x:f>
        <x:v>26913235.871853378</x:v>
      </x:c>
      <x:c r="BB384" s="141" t="n">
        <x:f>IF(AW384&gt;1,"Inviavel",BA384)</x:f>
        <x:v>26913235.871853378</x:v>
      </x:c>
      <x:c r="BC384" s="141" t="str">
        <x:f>IF(AW384&gt;1,"Inviavel","OK")</x:f>
        <x:v>OK</x:v>
      </x:c>
      <x:c r="BD384" s="141" t="n">
        <x:f>IF($A384='Consorcio Direto'!$B$29,'Consorcio Direto'!$B$44,0)</x:f>
        <x:v>0</x:v>
      </x:c>
      <x:c r="BE384" s="141" t="n">
        <x:f>IF($A384&lt;='Consorcio Direto'!$B$27,INDEX('Consorcio Direto'!$E$55:$E$534,$A384),0)</x:f>
        <x:v>0</x:v>
      </x:c>
      <x:c r="BF384" s="141" t="n">
        <x:f>IF(AND(TRUE,Premissas!$B$11="Imovel",Premissas!$B$47="Moradia",$A384&lt;MAX('Consorcio Direto'!$B$29,Premissas!$B$49)),$D384,0)</x:f>
        <x:v>0</x:v>
      </x:c>
      <x:c r="BG384" s="141" t="n">
        <x:f>IF(AND(TRUE,Premissas!$B$11="Imovel",Premissas!$B$47="Investimento",$A384&gt;=MAX('Consorcio Direto'!$B$29,Premissas!$B$49)),$E384,0)</x:f>
        <x:v>3896.384411704355</x:v>
      </x:c>
      <x:c r="BH384" s="141" t="n">
        <x:f>BD384+BE384+BF384</x:f>
        <x:v>0</x:v>
      </x:c>
      <x:c r="BI384" s="141" t="n">
        <x:f>BG384</x:f>
        <x:v>3896.384411704355</x:v>
      </x:c>
      <x:c r="BJ384" s="141" t="n">
        <x:f>$C384+BI384-BH384</x:f>
        <x:v>10896.384411704355</x:v>
      </x:c>
      <x:c r="BK384" s="141" t="n">
        <x:f>BN383*(1+Premissas!$B$41)+BJ384</x:f>
        <x:v>24533847.780622512</x:v>
      </x:c>
      <x:c r="BL384" s="141" t="n">
        <x:f>MAX(0,-BK384)</x:f>
        <x:v>0</x:v>
      </x:c>
      <x:c r="BM384" s="141" t="n">
        <x:f>BM383*(1+Premissas!$B$41)+BL384</x:f>
        <x:v>0</x:v>
      </x:c>
      <x:c r="BN384" s="141" t="n">
        <x:f>MAX(0,BK384)</x:f>
        <x:v>24533847.780622512</x:v>
      </x:c>
      <x:c r="BO384" s="141" t="n">
        <x:f>INDEX('Consorcio Direto'!$K$55:$K$534,$A384)</x:f>
        <x:v>0</x:v>
      </x:c>
      <x:c r="BP384" s="141" t="n">
        <x:f>IF($A384&lt;'Consorcio Direto'!$B$29,INDEX('Consorcio Direto'!$L$55:$L$534,$A384),$F384)</x:f>
        <x:v>1259718.692119889</x:v>
      </x:c>
      <x:c r="BQ384" s="141" t="n">
        <x:f>BN384+BP384-BO384</x:f>
        <x:v>25793566.4727424</x:v>
      </x:c>
      <x:c r="BR384" s="141" t="n">
        <x:f>IF(BM384&gt;1,"Inviavel",BQ384)</x:f>
        <x:v>25793566.4727424</x:v>
      </x:c>
      <x:c r="BS384" s="141" t="str">
        <x:f>IF(BM384&gt;1,"Inviavel","OK")</x:f>
        <x:v>OK</x:v>
      </x:c>
      <x:c r="BT384" s="141" t="n">
        <x:f>IF(AND('Carta Contemplada'!$B$22="Sim",$A384='Carta Contemplada'!$B$23),'Carta Contemplada'!$B$37,0)</x:f>
        <x:v>0</x:v>
      </x:c>
      <x:c r="BU384" s="141" t="n">
        <x:f>IF('Carta Contemplada'!$B$22="Sim",INDEX('Carta Contemplada'!$C$55:$C$1013,$A384),0)</x:f>
        <x:v>0</x:v>
      </x:c>
      <x:c r="BV384" s="141" t="n">
        <x:f>IF(AND('Carta Contemplada'!$B$22="Sim",Premissas!$B$11="Imovel",Premissas!$B$47="Moradia",$A384&lt;MAX('Carta Contemplada'!$B$44,Premissas!$B$49)),$D384,0)</x:f>
        <x:v>0</x:v>
      </x:c>
      <x:c r="BW384" s="141" t="n">
        <x:f>IF(AND('Carta Contemplada'!$B$22="Sim",Premissas!$B$11="Imovel",Premissas!$B$47="Investimento",$A384&gt;=MAX('Carta Contemplada'!$B$44,Premissas!$B$49)),$E384,0)</x:f>
        <x:v>3896.384411704355</x:v>
      </x:c>
      <x:c r="BX384" s="141" t="n">
        <x:f>BT384+BU384+BV384</x:f>
        <x:v>0</x:v>
      </x:c>
      <x:c r="BY384" s="141" t="n">
        <x:f>BW384</x:f>
        <x:v>3896.384411704355</x:v>
      </x:c>
      <x:c r="BZ384" s="141" t="n">
        <x:f>$C384+BY384-BX384</x:f>
        <x:v>10896.384411704355</x:v>
      </x:c>
      <x:c r="CA384" s="141" t="n">
        <x:f>CD383*(1+Premissas!$B$41)+BZ384</x:f>
        <x:v>26383158.38999226</x:v>
      </x:c>
      <x:c r="CB384" s="141" t="n">
        <x:f>MAX(0,-CA384)</x:f>
        <x:v>0</x:v>
      </x:c>
      <x:c r="CC384" s="141" t="n">
        <x:f>CC383*(1+Premissas!$B$41)+CB384</x:f>
        <x:v>0</x:v>
      </x:c>
      <x:c r="CD384" s="141" t="n">
        <x:f>MAX(0,CA384)</x:f>
        <x:v>26383158.38999226</x:v>
      </x:c>
      <x:c r="CE384" s="141" t="n">
        <x:f>IF(AND('Carta Contemplada'!$B$22="Sim",$A384&gt;='Carta Contemplada'!$B$23),INDEX('Carta Contemplada'!$I$55:$I$1013,$A384),0)</x:f>
        <x:v>0</x:v>
      </x:c>
      <x:c r="CF384" s="141" t="n">
        <x:f>IF(AND('Carta Contemplada'!$B$22="Sim",$A384&gt;='Carta Contemplada'!$B$44),$F384,0)</x:f>
        <x:v>1259718.692119889</x:v>
      </x:c>
      <x:c r="CG384" s="141" t="n">
        <x:f>CD384+CF384-CE384</x:f>
        <x:v>27642877.08211215</x:v>
      </x:c>
      <x:c r="CH384" s="141" t="n">
        <x:f>IF(CC384&gt;1,"Inviavel",CG384)</x:f>
        <x:v>27642877.08211215</x:v>
      </x:c>
      <x:c r="CI384" s="145" t="str">
        <x:f>IF(CC384&gt;1,"Inviavel","OK")</x:f>
        <x:v>OK</x:v>
      </x:c>
    </x:row>
    <x:row r="385">
      <x:c r="A385" s="142" t="n">
        <x:v>381</x:v>
      </x:c>
      <x:c r="B385" s="179" t="n">
        <x:f>EDATE(Premissas!$B$4,A385-1)</x:f>
        <x:v>58107</x:v>
      </x:c>
      <x:c r="C385" s="141" t="n">
        <x:f>IF(A385&lt;=Premissas!$B$39,Premissas!$B$42,0)</x:f>
        <x:v>7000</x:v>
      </x:c>
      <x:c r="D385" s="141" t="n">
        <x:f>Premissas!$B$54*(1+Premissas!$B$57)^INT((A385-1)/12)</x:f>
        <x:v>4261.670450301638</x:v>
      </x:c>
      <x:c r="E385" s="141" t="n">
        <x:f>Premissas!$B$64*(1+Premissas!$B$57)^INT((A385-1)/12)</x:f>
        <x:v>3896.384411704355</x:v>
      </x:c>
      <x:c r="F385" s="141" t="n">
        <x:f>MAX(0,Premissas!$B$6*(1+Premissas!$B$66)^((A385-1)/12))</x:f>
        <x:v>1265850.4365518906</x:v>
      </x:c>
      <x:c r="G385" s="141" t="n">
        <x:f>G384*(1+Premissas!$B$41)+C385</x:f>
        <x:v>29469285.95507564</x:v>
      </x:c>
      <x:c r="H385" s="141" t="n">
        <x:f>IF($A385=Premissas!$B$48,Premissas!$B$8,0)</x:f>
        <x:v>0</x:v>
      </x:c>
      <x:c r="I385" s="141" t="n">
        <x:f>IF(AND($A385&gt;=Premissas!$B$48,$A385-Premissas!$B$48+1&lt;=Premissas!$B$13),INDEX(Financiamento!$J$6:$J$485,$A385-Premissas!$B$48+1),0)</x:f>
        <x:v>675.5435113841231</x:v>
      </x:c>
      <x:c r="J385" s="141" t="n">
        <x:f>IF(AND(TRUE,Premissas!$B$11="Imovel",Premissas!$B$47="Moradia",$A385&lt;MAX(Premissas!$B$48,Premissas!$B$49)),$D385,0)</x:f>
        <x:v>0</x:v>
      </x:c>
      <x:c r="K385" s="141" t="n">
        <x:f>IF(AND(TRUE,Premissas!$B$11="Imovel",Premissas!$B$47="Investimento",$A385&gt;=MAX(Premissas!$B$48,Premissas!$B$49)),$E385,0)</x:f>
        <x:v>3896.384411704355</x:v>
      </x:c>
      <x:c r="L385" s="141" t="n">
        <x:f>H385+I385+J385</x:f>
        <x:v>675.5435113841231</x:v>
      </x:c>
      <x:c r="M385" s="141" t="n">
        <x:f>K385</x:f>
        <x:v>3896.384411704355</x:v>
      </x:c>
      <x:c r="N385" s="141" t="n">
        <x:f>$C385+M385-L385</x:f>
        <x:v>10220.840900320232</x:v>
      </x:c>
      <x:c r="O385" s="141" t="n">
        <x:f>R384*(1+Premissas!$B$41)+N385</x:f>
        <x:v>25700123.896020085</x:v>
      </x:c>
      <x:c r="P385" s="141" t="n">
        <x:f>MAX(0,-O385)</x:f>
        <x:v>0</x:v>
      </x:c>
      <x:c r="Q385" s="141" t="n">
        <x:f>Q384*(1+Premissas!$B$41)+P385</x:f>
        <x:v>0</x:v>
      </x:c>
      <x:c r="R385" s="141" t="n">
        <x:f>MAX(0,O385)</x:f>
        <x:v>25700123.896020085</x:v>
      </x:c>
      <x:c r="S385" s="141" t="n">
        <x:f>IF(AND($A385&gt;=Premissas!$B$48,$A385-Premissas!$B$48+1&lt;=Premissas!$B$13),INDEX(Financiamento!$M$6:$M$485,$A385-Premissas!$B$48+1),0)</x:f>
        <x:v>14857.14285714287</x:v>
      </x:c>
      <x:c r="T385" s="141" t="n">
        <x:f>IF($A385&gt;=Premissas!$B$48,$F385,0)</x:f>
        <x:v>1265850.4365518906</x:v>
      </x:c>
      <x:c r="U385" s="141" t="n">
        <x:f>R385+T385-S385</x:f>
        <x:v>26951117.189714834</x:v>
      </x:c>
      <x:c r="V385" s="141" t="n">
        <x:f>IF(Q385&gt;1,"Inviavel",U385)</x:f>
        <x:v>26951117.189714834</x:v>
      </x:c>
      <x:c r="W385" s="141" t="str">
        <x:f>IF(Q385&gt;1,"Inviavel","OK")</x:f>
        <x:v>OK</x:v>
      </x:c>
      <x:c r="X385" s="141" t="n">
        <x:f>IF($A385=Premissas!$B$48,Premissas!$B$8,0)</x:f>
        <x:v>0</x:v>
      </x:c>
      <x:c r="Y385" s="141" t="n">
        <x:f>IF(AND($A385&gt;=Premissas!$B$48,$A385-Premissas!$B$48+1&lt;=Premissas!$B$13),INDEX(Amortizacao!$K$6:$K$485,$A385-Premissas!$B$48+1),0)</x:f>
        <x:v>0</x:v>
      </x:c>
      <x:c r="Z385" s="141" t="n">
        <x:f>IF(AND(TRUE,Premissas!$B$11="Imovel",Premissas!$B$47="Moradia",$A385&lt;MAX(Premissas!$B$48,Premissas!$B$49)),$D385,0)</x:f>
        <x:v>0</x:v>
      </x:c>
      <x:c r="AA385" s="141" t="n">
        <x:f>IF(AND(TRUE,Premissas!$B$11="Imovel",Premissas!$B$47="Investimento",$A385&gt;=MAX(Premissas!$B$48,Premissas!$B$49)),$E385,0)</x:f>
        <x:v>3896.384411704355</x:v>
      </x:c>
      <x:c r="AB385" s="141" t="n">
        <x:f>X385+Y385+Z385</x:f>
        <x:v>0</x:v>
      </x:c>
      <x:c r="AC385" s="141" t="n">
        <x:f>AA385</x:f>
        <x:v>3896.384411704355</x:v>
      </x:c>
      <x:c r="AD385" s="141" t="n">
        <x:f>$C385+AC385-AB385</x:f>
        <x:v>10896.384411704355</x:v>
      </x:c>
      <x:c r="AE385" s="141" t="n">
        <x:f>AH384*(1+Premissas!$B$41)+AD385</x:f>
        <x:v>26116978.125112712</x:v>
      </x:c>
      <x:c r="AF385" s="141" t="n">
        <x:f>MAX(0,-AE385)</x:f>
        <x:v>0</x:v>
      </x:c>
      <x:c r="AG385" s="141" t="n">
        <x:f>AG384*(1+Premissas!$B$41)+AF385</x:f>
        <x:v>0</x:v>
      </x:c>
      <x:c r="AH385" s="141" t="n">
        <x:f>MAX(0,AE385)</x:f>
        <x:v>26116978.125112712</x:v>
      </x:c>
      <x:c r="AI385" s="141" t="n">
        <x:f>IF(AND($A385&gt;=Premissas!$B$48,$A385-Premissas!$B$48+1&lt;=Premissas!$B$13),INDEX(Amortizacao!$L$6:$L$485,$A385-Premissas!$B$48+1),0)</x:f>
        <x:v>0</x:v>
      </x:c>
      <x:c r="AJ385" s="141" t="n">
        <x:f>IF($A385&gt;=Premissas!$B$48,$F385,0)</x:f>
        <x:v>1265850.4365518906</x:v>
      </x:c>
      <x:c r="AK385" s="141" t="n">
        <x:f>AH385+AJ385-AI385</x:f>
        <x:v>27382828.561664604</x:v>
      </x:c>
      <x:c r="AL385" s="141" t="n">
        <x:f>IF(AG385&gt;1,"Inviavel",AK385)</x:f>
        <x:v>27382828.561664604</x:v>
      </x:c>
      <x:c r="AM385" s="141" t="str">
        <x:f>IF(AG385&gt;1,"Inviavel","OK")</x:f>
        <x:v>OK</x:v>
      </x:c>
      <x:c r="AN385" s="141" t="n">
        <x:f>IF($A385=Premissas!$B$48,Premissas!$B$8,0)</x:f>
        <x:v>0</x:v>
      </x:c>
      <x:c r="AO385" s="141" t="n">
        <x:f>IF($A385&lt;=Premissas!$B$25,INDEX('Consorcio IQ'!$K$6:$K$485,$A385),0)</x:f>
        <x:v>0</x:v>
      </x:c>
      <x:c r="AP385" s="141" t="n">
        <x:f>IF(AND(TRUE,Premissas!$B$11="Imovel",Premissas!$B$47="Moradia",$A385&lt;MAX(Premissas!$B$48,Premissas!$B$49)),$D385,0)</x:f>
        <x:v>0</x:v>
      </x:c>
      <x:c r="AQ385" s="141" t="n">
        <x:f>IF(AND(TRUE,Premissas!$B$11="Imovel",Premissas!$B$47="Investimento",$A385&gt;=MAX(Premissas!$B$48,Premissas!$B$49)),$E385,0)</x:f>
        <x:v>3896.384411704355</x:v>
      </x:c>
      <x:c r="AR385" s="141" t="n">
        <x:f>AN385+AO385+AP385</x:f>
        <x:v>0</x:v>
      </x:c>
      <x:c r="AS385" s="141" t="n">
        <x:f>AQ385</x:f>
        <x:v>3896.384411704355</x:v>
      </x:c>
      <x:c r="AT385" s="141" t="n">
        <x:f>$C385+AS385-AR385</x:f>
        <x:v>10896.384411704355</x:v>
      </x:c>
      <x:c r="AU385" s="141" t="n">
        <x:f>AX384*(1+Premissas!$B$41)+AT385</x:f>
        <x:v>25907834.47670745</x:v>
      </x:c>
      <x:c r="AV385" s="141" t="n">
        <x:f>MAX(0,-AU385)</x:f>
        <x:v>0</x:v>
      </x:c>
      <x:c r="AW385" s="141" t="n">
        <x:f>AW384*(1+Premissas!$B$41)+AV385</x:f>
        <x:v>0</x:v>
      </x:c>
      <x:c r="AX385" s="141" t="n">
        <x:f>MAX(0,AU385)</x:f>
        <x:v>25907834.47670745</x:v>
      </x:c>
      <x:c r="AY385" s="141" t="n">
        <x:f>INDEX('Consorcio IQ'!$P$6:$P$485,$A385)</x:f>
        <x:v>0</x:v>
      </x:c>
      <x:c r="AZ385" s="141" t="n">
        <x:f>IF($A385&gt;=Premissas!$B$48,$F385,0)+IF($A385&lt;Premissas!$B$27,INDEX('Consorcio IQ'!$O$6:$O$485,$A385),0)</x:f>
        <x:v>1265850.4365518906</x:v>
      </x:c>
      <x:c r="BA385" s="141" t="n">
        <x:f>AX385+AZ385-AY385</x:f>
        <x:v>27173684.913259342</x:v>
      </x:c>
      <x:c r="BB385" s="141" t="n">
        <x:f>IF(AW385&gt;1,"Inviavel",BA385)</x:f>
        <x:v>27173684.913259342</x:v>
      </x:c>
      <x:c r="BC385" s="141" t="str">
        <x:f>IF(AW385&gt;1,"Inviavel","OK")</x:f>
        <x:v>OK</x:v>
      </x:c>
      <x:c r="BD385" s="141" t="n">
        <x:f>IF($A385='Consorcio Direto'!$B$29,'Consorcio Direto'!$B$44,0)</x:f>
        <x:v>0</x:v>
      </x:c>
      <x:c r="BE385" s="141" t="n">
        <x:f>IF($A385&lt;='Consorcio Direto'!$B$27,INDEX('Consorcio Direto'!$E$55:$E$534,$A385),0)</x:f>
        <x:v>0</x:v>
      </x:c>
      <x:c r="BF385" s="141" t="n">
        <x:f>IF(AND(TRUE,Premissas!$B$11="Imovel",Premissas!$B$47="Moradia",$A385&lt;MAX('Consorcio Direto'!$B$29,Premissas!$B$49)),$D385,0)</x:f>
        <x:v>0</x:v>
      </x:c>
      <x:c r="BG385" s="141" t="n">
        <x:f>IF(AND(TRUE,Premissas!$B$11="Imovel",Premissas!$B$47="Investimento",$A385&gt;=MAX('Consorcio Direto'!$B$29,Premissas!$B$49)),$E385,0)</x:f>
        <x:v>3896.384411704355</x:v>
      </x:c>
      <x:c r="BH385" s="141" t="n">
        <x:f>BD385+BE385+BF385</x:f>
        <x:v>0</x:v>
      </x:c>
      <x:c r="BI385" s="141" t="n">
        <x:f>BG385</x:f>
        <x:v>3896.384411704355</x:v>
      </x:c>
      <x:c r="BJ385" s="141" t="n">
        <x:f>$C385+BI385-BH385</x:f>
        <x:v>10896.384411704355</x:v>
      </x:c>
      <x:c r="BK385" s="141" t="n">
        <x:f>BN384*(1+Premissas!$B$41)+BJ385</x:f>
        <x:v>24777540.766513124</x:v>
      </x:c>
      <x:c r="BL385" s="141" t="n">
        <x:f>MAX(0,-BK385)</x:f>
        <x:v>0</x:v>
      </x:c>
      <x:c r="BM385" s="141" t="n">
        <x:f>BM384*(1+Premissas!$B$41)+BL385</x:f>
        <x:v>0</x:v>
      </x:c>
      <x:c r="BN385" s="141" t="n">
        <x:f>MAX(0,BK385)</x:f>
        <x:v>24777540.766513124</x:v>
      </x:c>
      <x:c r="BO385" s="141" t="n">
        <x:f>INDEX('Consorcio Direto'!$K$55:$K$534,$A385)</x:f>
        <x:v>0</x:v>
      </x:c>
      <x:c r="BP385" s="141" t="n">
        <x:f>IF($A385&lt;'Consorcio Direto'!$B$29,INDEX('Consorcio Direto'!$L$55:$L$534,$A385),$F385)</x:f>
        <x:v>1265850.4365518906</x:v>
      </x:c>
      <x:c r="BQ385" s="141" t="n">
        <x:f>BN385+BP385-BO385</x:f>
        <x:v>26043391.203065015</x:v>
      </x:c>
      <x:c r="BR385" s="141" t="n">
        <x:f>IF(BM385&gt;1,"Inviavel",BQ385)</x:f>
        <x:v>26043391.203065015</x:v>
      </x:c>
      <x:c r="BS385" s="141" t="str">
        <x:f>IF(BM385&gt;1,"Inviavel","OK")</x:f>
        <x:v>OK</x:v>
      </x:c>
      <x:c r="BT385" s="141" t="n">
        <x:f>IF(AND('Carta Contemplada'!$B$22="Sim",$A385='Carta Contemplada'!$B$23),'Carta Contemplada'!$B$37,0)</x:f>
        <x:v>0</x:v>
      </x:c>
      <x:c r="BU385" s="141" t="n">
        <x:f>IF('Carta Contemplada'!$B$22="Sim",INDEX('Carta Contemplada'!$C$55:$C$1013,$A385),0)</x:f>
        <x:v>0</x:v>
      </x:c>
      <x:c r="BV385" s="141" t="n">
        <x:f>IF(AND('Carta Contemplada'!$B$22="Sim",Premissas!$B$11="Imovel",Premissas!$B$47="Moradia",$A385&lt;MAX('Carta Contemplada'!$B$44,Premissas!$B$49)),$D385,0)</x:f>
        <x:v>0</x:v>
      </x:c>
      <x:c r="BW385" s="141" t="n">
        <x:f>IF(AND('Carta Contemplada'!$B$22="Sim",Premissas!$B$11="Imovel",Premissas!$B$47="Investimento",$A385&gt;=MAX('Carta Contemplada'!$B$44,Premissas!$B$49)),$E385,0)</x:f>
        <x:v>3896.384411704355</x:v>
      </x:c>
      <x:c r="BX385" s="141" t="n">
        <x:f>BT385+BU385+BV385</x:f>
        <x:v>0</x:v>
      </x:c>
      <x:c r="BY385" s="141" t="n">
        <x:f>BW385</x:f>
        <x:v>3896.384411704355</x:v>
      </x:c>
      <x:c r="BZ385" s="141" t="n">
        <x:f>$C385+BY385-BX385</x:f>
        <x:v>10896.384411704355</x:v>
      </x:c>
      <x:c r="CA385" s="141" t="n">
        <x:f>CD384*(1+Premissas!$B$41)+BZ385</x:f>
        <x:v>26644399.10132691</x:v>
      </x:c>
      <x:c r="CB385" s="141" t="n">
        <x:f>MAX(0,-CA385)</x:f>
        <x:v>0</x:v>
      </x:c>
      <x:c r="CC385" s="141" t="n">
        <x:f>CC384*(1+Premissas!$B$41)+CB385</x:f>
        <x:v>0</x:v>
      </x:c>
      <x:c r="CD385" s="141" t="n">
        <x:f>MAX(0,CA385)</x:f>
        <x:v>26644399.10132691</x:v>
      </x:c>
      <x:c r="CE385" s="141" t="n">
        <x:f>IF(AND('Carta Contemplada'!$B$22="Sim",$A385&gt;='Carta Contemplada'!$B$23),INDEX('Carta Contemplada'!$I$55:$I$1013,$A385),0)</x:f>
        <x:v>0</x:v>
      </x:c>
      <x:c r="CF385" s="141" t="n">
        <x:f>IF(AND('Carta Contemplada'!$B$22="Sim",$A385&gt;='Carta Contemplada'!$B$44),$F385,0)</x:f>
        <x:v>1265850.4365518906</x:v>
      </x:c>
      <x:c r="CG385" s="141" t="n">
        <x:f>CD385+CF385-CE385</x:f>
        <x:v>27910249.5378788</x:v>
      </x:c>
      <x:c r="CH385" s="141" t="n">
        <x:f>IF(CC385&gt;1,"Inviavel",CG385)</x:f>
        <x:v>27910249.5378788</x:v>
      </x:c>
      <x:c r="CI385" s="145" t="str">
        <x:f>IF(CC385&gt;1,"Inviavel","OK")</x:f>
        <x:v>OK</x:v>
      </x:c>
    </x:row>
    <x:row r="386">
      <x:c r="A386" s="142" t="n">
        <x:v>382</x:v>
      </x:c>
      <x:c r="B386" s="179" t="n">
        <x:f>EDATE(Premissas!$B$4,A386-1)</x:f>
        <x:v>58135</x:v>
      </x:c>
      <x:c r="C386" s="141" t="n">
        <x:f>IF(A386&lt;=Premissas!$B$39,Premissas!$B$42,0)</x:f>
        <x:v>7000</x:v>
      </x:c>
      <x:c r="D386" s="141" t="n">
        <x:f>Premissas!$B$54*(1+Premissas!$B$57)^INT((A386-1)/12)</x:f>
        <x:v>4261.670450301638</x:v>
      </x:c>
      <x:c r="E386" s="141" t="n">
        <x:f>Premissas!$B$64*(1+Premissas!$B$57)^INT((A386-1)/12)</x:f>
        <x:v>3896.384411704355</x:v>
      </x:c>
      <x:c r="F386" s="141" t="n">
        <x:f>MAX(0,Premissas!$B$6*(1+Premissas!$B$66)^((A386-1)/12))</x:f>
        <x:v>1272012.0275599684</x:v>
      </x:c>
      <x:c r="G386" s="141" t="n">
        <x:f>G385*(1+Premissas!$B$41)+C386</x:f>
        <x:v>29755913.90743337</x:v>
      </x:c>
      <x:c r="H386" s="141" t="n">
        <x:f>IF($A386=Premissas!$B$48,Premissas!$B$8,0)</x:f>
        <x:v>0</x:v>
      </x:c>
      <x:c r="I386" s="141" t="n">
        <x:f>IF(AND($A386&gt;=Premissas!$B$48,$A386-Premissas!$B$48+1&lt;=Premissas!$B$13),INDEX(Financiamento!$J$6:$J$485,$A386-Premissas!$B$48+1),0)</x:f>
        <x:v>671.9287331233295</x:v>
      </x:c>
      <x:c r="J386" s="141" t="n">
        <x:f>IF(AND(TRUE,Premissas!$B$11="Imovel",Premissas!$B$47="Moradia",$A386&lt;MAX(Premissas!$B$48,Premissas!$B$49)),$D386,0)</x:f>
        <x:v>0</x:v>
      </x:c>
      <x:c r="K386" s="141" t="n">
        <x:f>IF(AND(TRUE,Premissas!$B$11="Imovel",Premissas!$B$47="Investimento",$A386&gt;=MAX(Premissas!$B$48,Premissas!$B$49)),$E386,0)</x:f>
        <x:v>3896.384411704355</x:v>
      </x:c>
      <x:c r="L386" s="141" t="n">
        <x:f>H386+I386+J386</x:f>
        <x:v>671.9287331233295</x:v>
      </x:c>
      <x:c r="M386" s="141" t="n">
        <x:f>K386</x:f>
        <x:v>3896.384411704355</x:v>
      </x:c>
      <x:c r="N386" s="141" t="n">
        <x:f>$C386+M386-L386</x:f>
        <x:v>10224.455678581025</x:v>
      </x:c>
      <x:c r="O386" s="141" t="n">
        <x:f>R385*(1+Premissas!$B$41)+N386</x:f>
        <x:v>25954211.50574113</x:v>
      </x:c>
      <x:c r="P386" s="141" t="n">
        <x:f>MAX(0,-O386)</x:f>
        <x:v>0</x:v>
      </x:c>
      <x:c r="Q386" s="141" t="n">
        <x:f>Q385*(1+Premissas!$B$41)+P386</x:f>
        <x:v>0</x:v>
      </x:c>
      <x:c r="R386" s="141" t="n">
        <x:f>MAX(0,O386)</x:f>
        <x:v>25954211.50574113</x:v>
      </x:c>
      <x:c r="S386" s="141" t="n">
        <x:f>IF(AND($A386&gt;=Premissas!$B$48,$A386-Premissas!$B$48+1&lt;=Premissas!$B$13),INDEX(Financiamento!$M$6:$M$485,$A386-Premissas!$B$48+1),0)</x:f>
        <x:v>14476.190476190488</x:v>
      </x:c>
      <x:c r="T386" s="141" t="n">
        <x:f>IF($A386&gt;=Premissas!$B$48,$F386,0)</x:f>
        <x:v>1272012.0275599684</x:v>
      </x:c>
      <x:c r="U386" s="141" t="n">
        <x:f>R386+T386-S386</x:f>
        <x:v>27211747.34282491</x:v>
      </x:c>
      <x:c r="V386" s="141" t="n">
        <x:f>IF(Q386&gt;1,"Inviavel",U386)</x:f>
        <x:v>27211747.34282491</x:v>
      </x:c>
      <x:c r="W386" s="141" t="str">
        <x:f>IF(Q386&gt;1,"Inviavel","OK")</x:f>
        <x:v>OK</x:v>
      </x:c>
      <x:c r="X386" s="141" t="n">
        <x:f>IF($A386=Premissas!$B$48,Premissas!$B$8,0)</x:f>
        <x:v>0</x:v>
      </x:c>
      <x:c r="Y386" s="141" t="n">
        <x:f>IF(AND($A386&gt;=Premissas!$B$48,$A386-Premissas!$B$48+1&lt;=Premissas!$B$13),INDEX(Amortizacao!$K$6:$K$485,$A386-Premissas!$B$48+1),0)</x:f>
        <x:v>0</x:v>
      </x:c>
      <x:c r="Z386" s="141" t="n">
        <x:f>IF(AND(TRUE,Premissas!$B$11="Imovel",Premissas!$B$47="Moradia",$A386&lt;MAX(Premissas!$B$48,Premissas!$B$49)),$D386,0)</x:f>
        <x:v>0</x:v>
      </x:c>
      <x:c r="AA386" s="141" t="n">
        <x:f>IF(AND(TRUE,Premissas!$B$11="Imovel",Premissas!$B$47="Investimento",$A386&gt;=MAX(Premissas!$B$48,Premissas!$B$49)),$E386,0)</x:f>
        <x:v>3896.384411704355</x:v>
      </x:c>
      <x:c r="AB386" s="141" t="n">
        <x:f>X386+Y386+Z386</x:f>
        <x:v>0</x:v>
      </x:c>
      <x:c r="AC386" s="141" t="n">
        <x:f>AA386</x:f>
        <x:v>3896.384411704355</x:v>
      </x:c>
      <x:c r="AD386" s="141" t="n">
        <x:f>$C386+AC386-AB386</x:f>
        <x:v>10896.384411704355</x:v>
      </x:c>
      <x:c r="AE386" s="141" t="n">
        <x:f>AH385*(1+Premissas!$B$41)+AD386</x:f>
        <x:v>26375693.107030645</x:v>
      </x:c>
      <x:c r="AF386" s="141" t="n">
        <x:f>MAX(0,-AE386)</x:f>
        <x:v>0</x:v>
      </x:c>
      <x:c r="AG386" s="141" t="n">
        <x:f>AG385*(1+Premissas!$B$41)+AF386</x:f>
        <x:v>0</x:v>
      </x:c>
      <x:c r="AH386" s="141" t="n">
        <x:f>MAX(0,AE386)</x:f>
        <x:v>26375693.107030645</x:v>
      </x:c>
      <x:c r="AI386" s="141" t="n">
        <x:f>IF(AND($A386&gt;=Premissas!$B$48,$A386-Premissas!$B$48+1&lt;=Premissas!$B$13),INDEX(Amortizacao!$L$6:$L$485,$A386-Premissas!$B$48+1),0)</x:f>
        <x:v>0</x:v>
      </x:c>
      <x:c r="AJ386" s="141" t="n">
        <x:f>IF($A386&gt;=Premissas!$B$48,$F386,0)</x:f>
        <x:v>1272012.0275599684</x:v>
      </x:c>
      <x:c r="AK386" s="141" t="n">
        <x:f>AH386+AJ386-AI386</x:f>
        <x:v>27647705.134590615</x:v>
      </x:c>
      <x:c r="AL386" s="141" t="n">
        <x:f>IF(AG386&gt;1,"Inviavel",AK386)</x:f>
        <x:v>27647705.134590615</x:v>
      </x:c>
      <x:c r="AM386" s="141" t="str">
        <x:f>IF(AG386&gt;1,"Inviavel","OK")</x:f>
        <x:v>OK</x:v>
      </x:c>
      <x:c r="AN386" s="141" t="n">
        <x:f>IF($A386=Premissas!$B$48,Premissas!$B$8,0)</x:f>
        <x:v>0</x:v>
      </x:c>
      <x:c r="AO386" s="141" t="n">
        <x:f>IF($A386&lt;=Premissas!$B$25,INDEX('Consorcio IQ'!$K$6:$K$485,$A386),0)</x:f>
        <x:v>0</x:v>
      </x:c>
      <x:c r="AP386" s="141" t="n">
        <x:f>IF(AND(TRUE,Premissas!$B$11="Imovel",Premissas!$B$47="Moradia",$A386&lt;MAX(Premissas!$B$48,Premissas!$B$49)),$D386,0)</x:f>
        <x:v>0</x:v>
      </x:c>
      <x:c r="AQ386" s="141" t="n">
        <x:f>IF(AND(TRUE,Premissas!$B$11="Imovel",Premissas!$B$47="Investimento",$A386&gt;=MAX(Premissas!$B$48,Premissas!$B$49)),$E386,0)</x:f>
        <x:v>3896.384411704355</x:v>
      </x:c>
      <x:c r="AR386" s="141" t="n">
        <x:f>AN386+AO386+AP386</x:f>
        <x:v>0</x:v>
      </x:c>
      <x:c r="AS386" s="141" t="n">
        <x:f>AQ386</x:f>
        <x:v>3896.384411704355</x:v>
      </x:c>
      <x:c r="AT386" s="141" t="n">
        <x:f>$C386+AS386-AR386</x:f>
        <x:v>10896.384411704355</x:v>
      </x:c>
      <x:c r="AU386" s="141" t="n">
        <x:f>AX385*(1+Premissas!$B$41)+AT386</x:f>
        <x:v>26164564.937852085</x:v>
      </x:c>
      <x:c r="AV386" s="141" t="n">
        <x:f>MAX(0,-AU386)</x:f>
        <x:v>0</x:v>
      </x:c>
      <x:c r="AW386" s="141" t="n">
        <x:f>AW385*(1+Premissas!$B$41)+AV386</x:f>
        <x:v>0</x:v>
      </x:c>
      <x:c r="AX386" s="141" t="n">
        <x:f>MAX(0,AU386)</x:f>
        <x:v>26164564.937852085</x:v>
      </x:c>
      <x:c r="AY386" s="141" t="n">
        <x:f>INDEX('Consorcio IQ'!$P$6:$P$485,$A386)</x:f>
        <x:v>0</x:v>
      </x:c>
      <x:c r="AZ386" s="141" t="n">
        <x:f>IF($A386&gt;=Premissas!$B$48,$F386,0)+IF($A386&lt;Premissas!$B$27,INDEX('Consorcio IQ'!$O$6:$O$485,$A386),0)</x:f>
        <x:v>1272012.0275599684</x:v>
      </x:c>
      <x:c r="BA386" s="141" t="n">
        <x:f>AX386+AZ386-AY386</x:f>
        <x:v>27436576.965412054</x:v>
      </x:c>
      <x:c r="BB386" s="141" t="n">
        <x:f>IF(AW386&gt;1,"Inviavel",BA386)</x:f>
        <x:v>27436576.965412054</x:v>
      </x:c>
      <x:c r="BC386" s="141" t="str">
        <x:f>IF(AW386&gt;1,"Inviavel","OK")</x:f>
        <x:v>OK</x:v>
      </x:c>
      <x:c r="BD386" s="141" t="n">
        <x:f>IF($A386='Consorcio Direto'!$B$29,'Consorcio Direto'!$B$44,0)</x:f>
        <x:v>0</x:v>
      </x:c>
      <x:c r="BE386" s="141" t="n">
        <x:f>IF($A386&lt;='Consorcio Direto'!$B$27,INDEX('Consorcio Direto'!$E$55:$E$534,$A386),0)</x:f>
        <x:v>0</x:v>
      </x:c>
      <x:c r="BF386" s="141" t="n">
        <x:f>IF(AND(TRUE,Premissas!$B$11="Imovel",Premissas!$B$47="Moradia",$A386&lt;MAX('Consorcio Direto'!$B$29,Premissas!$B$49)),$D386,0)</x:f>
        <x:v>0</x:v>
      </x:c>
      <x:c r="BG386" s="141" t="n">
        <x:f>IF(AND(TRUE,Premissas!$B$11="Imovel",Premissas!$B$47="Investimento",$A386&gt;=MAX('Consorcio Direto'!$B$29,Premissas!$B$49)),$E386,0)</x:f>
        <x:v>3896.384411704355</x:v>
      </x:c>
      <x:c r="BH386" s="141" t="n">
        <x:f>BD386+BE386+BF386</x:f>
        <x:v>0</x:v>
      </x:c>
      <x:c r="BI386" s="141" t="n">
        <x:f>BG386</x:f>
        <x:v>3896.384411704355</x:v>
      </x:c>
      <x:c r="BJ386" s="141" t="n">
        <x:f>$C386+BI386-BH386</x:f>
        <x:v>10896.384411704355</x:v>
      </x:c>
      <x:c r="BK386" s="141" t="n">
        <x:f>BN385*(1+Premissas!$B$41)+BJ386</x:f>
        <x:v>25023546.10468646</x:v>
      </x:c>
      <x:c r="BL386" s="141" t="n">
        <x:f>MAX(0,-BK386)</x:f>
        <x:v>0</x:v>
      </x:c>
      <x:c r="BM386" s="141" t="n">
        <x:f>BM385*(1+Premissas!$B$41)+BL386</x:f>
        <x:v>0</x:v>
      </x:c>
      <x:c r="BN386" s="141" t="n">
        <x:f>MAX(0,BK386)</x:f>
        <x:v>25023546.10468646</x:v>
      </x:c>
      <x:c r="BO386" s="141" t="n">
        <x:f>INDEX('Consorcio Direto'!$K$55:$K$534,$A386)</x:f>
        <x:v>0</x:v>
      </x:c>
      <x:c r="BP386" s="141" t="n">
        <x:f>IF($A386&lt;'Consorcio Direto'!$B$29,INDEX('Consorcio Direto'!$L$55:$L$534,$A386),$F386)</x:f>
        <x:v>1272012.0275599684</x:v>
      </x:c>
      <x:c r="BQ386" s="141" t="n">
        <x:f>BN386+BP386-BO386</x:f>
        <x:v>26295558.13224643</x:v>
      </x:c>
      <x:c r="BR386" s="141" t="n">
        <x:f>IF(BM386&gt;1,"Inviavel",BQ386)</x:f>
        <x:v>26295558.13224643</x:v>
      </x:c>
      <x:c r="BS386" s="141" t="str">
        <x:f>IF(BM386&gt;1,"Inviavel","OK")</x:f>
        <x:v>OK</x:v>
      </x:c>
      <x:c r="BT386" s="141" t="n">
        <x:f>IF(AND('Carta Contemplada'!$B$22="Sim",$A386='Carta Contemplada'!$B$23),'Carta Contemplada'!$B$37,0)</x:f>
        <x:v>0</x:v>
      </x:c>
      <x:c r="BU386" s="141" t="n">
        <x:f>IF('Carta Contemplada'!$B$22="Sim",INDEX('Carta Contemplada'!$C$55:$C$1013,$A386),0)</x:f>
        <x:v>0</x:v>
      </x:c>
      <x:c r="BV386" s="141" t="n">
        <x:f>IF(AND('Carta Contemplada'!$B$22="Sim",Premissas!$B$11="Imovel",Premissas!$B$47="Moradia",$A386&lt;MAX('Carta Contemplada'!$B$44,Premissas!$B$49)),$D386,0)</x:f>
        <x:v>0</x:v>
      </x:c>
      <x:c r="BW386" s="141" t="n">
        <x:f>IF(AND('Carta Contemplada'!$B$22="Sim",Premissas!$B$11="Imovel",Premissas!$B$47="Investimento",$A386&gt;=MAX('Carta Contemplada'!$B$44,Premissas!$B$49)),$E386,0)</x:f>
        <x:v>3896.384411704355</x:v>
      </x:c>
      <x:c r="BX386" s="141" t="n">
        <x:f>BT386+BU386+BV386</x:f>
        <x:v>0</x:v>
      </x:c>
      <x:c r="BY386" s="141" t="n">
        <x:f>BW386</x:f>
        <x:v>3896.384411704355</x:v>
      </x:c>
      <x:c r="BZ386" s="141" t="n">
        <x:f>$C386+BY386-BX386</x:f>
        <x:v>10896.384411704355</x:v>
      </x:c>
      <x:c r="CA386" s="141" t="n">
        <x:f>CD385*(1+Premissas!$B$41)+BZ386</x:f>
        <x:v>26908118.671677493</x:v>
      </x:c>
      <x:c r="CB386" s="141" t="n">
        <x:f>MAX(0,-CA386)</x:f>
        <x:v>0</x:v>
      </x:c>
      <x:c r="CC386" s="141" t="n">
        <x:f>CC385*(1+Premissas!$B$41)+CB386</x:f>
        <x:v>0</x:v>
      </x:c>
      <x:c r="CD386" s="141" t="n">
        <x:f>MAX(0,CA386)</x:f>
        <x:v>26908118.671677493</x:v>
      </x:c>
      <x:c r="CE386" s="141" t="n">
        <x:f>IF(AND('Carta Contemplada'!$B$22="Sim",$A386&gt;='Carta Contemplada'!$B$23),INDEX('Carta Contemplada'!$I$55:$I$1013,$A386),0)</x:f>
        <x:v>0</x:v>
      </x:c>
      <x:c r="CF386" s="141" t="n">
        <x:f>IF(AND('Carta Contemplada'!$B$22="Sim",$A386&gt;='Carta Contemplada'!$B$44),$F386,0)</x:f>
        <x:v>1272012.0275599684</x:v>
      </x:c>
      <x:c r="CG386" s="141" t="n">
        <x:f>CD386+CF386-CE386</x:f>
        <x:v>28180130.699237462</x:v>
      </x:c>
      <x:c r="CH386" s="141" t="n">
        <x:f>IF(CC386&gt;1,"Inviavel",CG386)</x:f>
        <x:v>28180130.699237462</x:v>
      </x:c>
      <x:c r="CI386" s="145" t="str">
        <x:f>IF(CC386&gt;1,"Inviavel","OK")</x:f>
        <x:v>OK</x:v>
      </x:c>
    </x:row>
    <x:row r="387">
      <x:c r="A387" s="142" t="n">
        <x:v>383</x:v>
      </x:c>
      <x:c r="B387" s="179" t="n">
        <x:f>EDATE(Premissas!$B$4,A387-1)</x:f>
        <x:v>58166</x:v>
      </x:c>
      <x:c r="C387" s="141" t="n">
        <x:f>IF(A387&lt;=Premissas!$B$39,Premissas!$B$42,0)</x:f>
        <x:v>7000</x:v>
      </x:c>
      <x:c r="D387" s="141" t="n">
        <x:f>Premissas!$B$54*(1+Premissas!$B$57)^INT((A387-1)/12)</x:f>
        <x:v>4261.670450301638</x:v>
      </x:c>
      <x:c r="E387" s="141" t="n">
        <x:f>Premissas!$B$64*(1+Premissas!$B$57)^INT((A387-1)/12)</x:f>
        <x:v>3896.384411704355</x:v>
      </x:c>
      <x:c r="F387" s="141" t="n">
        <x:f>MAX(0,Premissas!$B$6*(1+Premissas!$B$66)^((A387-1)/12))</x:f>
        <x:v>1278203.6104238408</x:v>
      </x:c>
      <x:c r="G387" s="141" t="n">
        <x:f>G386*(1+Premissas!$B$41)+C387</x:f>
        <x:v>30045261.61308028</x:v>
      </x:c>
      <x:c r="H387" s="141" t="n">
        <x:f>IF($A387=Premissas!$B$48,Premissas!$B$8,0)</x:f>
        <x:v>0</x:v>
      </x:c>
      <x:c r="I387" s="141" t="n">
        <x:f>IF(AND($A387&gt;=Premissas!$B$48,$A387-Premissas!$B$48+1&lt;=Premissas!$B$13),INDEX(Financiamento!$J$6:$J$485,$A387-Premissas!$B$48+1),0)</x:f>
        <x:v>668.3139548625359</x:v>
      </x:c>
      <x:c r="J387" s="141" t="n">
        <x:f>IF(AND(TRUE,Premissas!$B$11="Imovel",Premissas!$B$47="Moradia",$A387&lt;MAX(Premissas!$B$48,Premissas!$B$49)),$D387,0)</x:f>
        <x:v>0</x:v>
      </x:c>
      <x:c r="K387" s="141" t="n">
        <x:f>IF(AND(TRUE,Premissas!$B$11="Imovel",Premissas!$B$47="Investimento",$A387&gt;=MAX(Premissas!$B$48,Premissas!$B$49)),$E387,0)</x:f>
        <x:v>3896.384411704355</x:v>
      </x:c>
      <x:c r="L387" s="141" t="n">
        <x:f>H387+I387+J387</x:f>
        <x:v>668.3139548625359</x:v>
      </x:c>
      <x:c r="M387" s="141" t="n">
        <x:f>K387</x:f>
        <x:v>3896.384411704355</x:v>
      </x:c>
      <x:c r="N387" s="141" t="n">
        <x:f>$C387+M387-L387</x:f>
        <x:v>10228.070456841819</x:v>
      </x:c>
      <x:c r="O387" s="141" t="n">
        <x:f>R386*(1+Premissas!$B$41)+N387</x:f>
        <x:v>26210713.71495632</x:v>
      </x:c>
      <x:c r="P387" s="141" t="n">
        <x:f>MAX(0,-O387)</x:f>
        <x:v>0</x:v>
      </x:c>
      <x:c r="Q387" s="141" t="n">
        <x:f>Q386*(1+Premissas!$B$41)+P387</x:f>
        <x:v>0</x:v>
      </x:c>
      <x:c r="R387" s="141" t="n">
        <x:f>MAX(0,O387)</x:f>
        <x:v>26210713.71495632</x:v>
      </x:c>
      <x:c r="S387" s="141" t="n">
        <x:f>IF(AND($A387&gt;=Premissas!$B$48,$A387-Premissas!$B$48+1&lt;=Premissas!$B$13),INDEX(Financiamento!$M$6:$M$485,$A387-Premissas!$B$48+1),0)</x:f>
        <x:v>14095.238095238106</x:v>
      </x:c>
      <x:c r="T387" s="141" t="n">
        <x:f>IF($A387&gt;=Premissas!$B$48,$F387,0)</x:f>
        <x:v>1278203.6104238408</x:v>
      </x:c>
      <x:c r="U387" s="141" t="n">
        <x:f>R387+T387-S387</x:f>
        <x:v>27474822.087284923</x:v>
      </x:c>
      <x:c r="V387" s="141" t="n">
        <x:f>IF(Q387&gt;1,"Inviavel",U387)</x:f>
        <x:v>27474822.087284923</x:v>
      </x:c>
      <x:c r="W387" s="141" t="str">
        <x:f>IF(Q387&gt;1,"Inviavel","OK")</x:f>
        <x:v>OK</x:v>
      </x:c>
      <x:c r="X387" s="141" t="n">
        <x:f>IF($A387=Premissas!$B$48,Premissas!$B$8,0)</x:f>
        <x:v>0</x:v>
      </x:c>
      <x:c r="Y387" s="141" t="n">
        <x:f>IF(AND($A387&gt;=Premissas!$B$48,$A387-Premissas!$B$48+1&lt;=Premissas!$B$13),INDEX(Amortizacao!$K$6:$K$485,$A387-Premissas!$B$48+1),0)</x:f>
        <x:v>0</x:v>
      </x:c>
      <x:c r="Z387" s="141" t="n">
        <x:f>IF(AND(TRUE,Premissas!$B$11="Imovel",Premissas!$B$47="Moradia",$A387&lt;MAX(Premissas!$B$48,Premissas!$B$49)),$D387,0)</x:f>
        <x:v>0</x:v>
      </x:c>
      <x:c r="AA387" s="141" t="n">
        <x:f>IF(AND(TRUE,Premissas!$B$11="Imovel",Premissas!$B$47="Investimento",$A387&gt;=MAX(Premissas!$B$48,Premissas!$B$49)),$E387,0)</x:f>
        <x:v>3896.384411704355</x:v>
      </x:c>
      <x:c r="AB387" s="141" t="n">
        <x:f>X387+Y387+Z387</x:f>
        <x:v>0</x:v>
      </x:c>
      <x:c r="AC387" s="141" t="n">
        <x:f>AA387</x:f>
        <x:v>3896.384411704355</x:v>
      </x:c>
      <x:c r="AD387" s="141" t="n">
        <x:f>$C387+AC387-AB387</x:f>
        <x:v>10896.384411704355</x:v>
      </x:c>
      <x:c r="AE387" s="141" t="n">
        <x:f>AH386*(1+Premissas!$B$41)+AD387</x:f>
        <x:v>26636862.981841072</x:v>
      </x:c>
      <x:c r="AF387" s="141" t="n">
        <x:f>MAX(0,-AE387)</x:f>
        <x:v>0</x:v>
      </x:c>
      <x:c r="AG387" s="141" t="n">
        <x:f>AG386*(1+Premissas!$B$41)+AF387</x:f>
        <x:v>0</x:v>
      </x:c>
      <x:c r="AH387" s="141" t="n">
        <x:f>MAX(0,AE387)</x:f>
        <x:v>26636862.981841072</x:v>
      </x:c>
      <x:c r="AI387" s="141" t="n">
        <x:f>IF(AND($A387&gt;=Premissas!$B$48,$A387-Premissas!$B$48+1&lt;=Premissas!$B$13),INDEX(Amortizacao!$L$6:$L$485,$A387-Premissas!$B$48+1),0)</x:f>
        <x:v>0</x:v>
      </x:c>
      <x:c r="AJ387" s="141" t="n">
        <x:f>IF($A387&gt;=Premissas!$B$48,$F387,0)</x:f>
        <x:v>1278203.6104238408</x:v>
      </x:c>
      <x:c r="AK387" s="141" t="n">
        <x:f>AH387+AJ387-AI387</x:f>
        <x:v>27915066.592264913</x:v>
      </x:c>
      <x:c r="AL387" s="141" t="n">
        <x:f>IF(AG387&gt;1,"Inviavel",AK387)</x:f>
        <x:v>27915066.592264913</x:v>
      </x:c>
      <x:c r="AM387" s="141" t="str">
        <x:f>IF(AG387&gt;1,"Inviavel","OK")</x:f>
        <x:v>OK</x:v>
      </x:c>
      <x:c r="AN387" s="141" t="n">
        <x:f>IF($A387=Premissas!$B$48,Premissas!$B$8,0)</x:f>
        <x:v>0</x:v>
      </x:c>
      <x:c r="AO387" s="141" t="n">
        <x:f>IF($A387&lt;=Premissas!$B$25,INDEX('Consorcio IQ'!$K$6:$K$485,$A387),0)</x:f>
        <x:v>0</x:v>
      </x:c>
      <x:c r="AP387" s="141" t="n">
        <x:f>IF(AND(TRUE,Premissas!$B$11="Imovel",Premissas!$B$47="Moradia",$A387&lt;MAX(Premissas!$B$48,Premissas!$B$49)),$D387,0)</x:f>
        <x:v>0</x:v>
      </x:c>
      <x:c r="AQ387" s="141" t="n">
        <x:f>IF(AND(TRUE,Premissas!$B$11="Imovel",Premissas!$B$47="Investimento",$A387&gt;=MAX(Premissas!$B$48,Premissas!$B$49)),$E387,0)</x:f>
        <x:v>3896.384411704355</x:v>
      </x:c>
      <x:c r="AR387" s="141" t="n">
        <x:f>AN387+AO387+AP387</x:f>
        <x:v>0</x:v>
      </x:c>
      <x:c r="AS387" s="141" t="n">
        <x:f>AQ387</x:f>
        <x:v>3896.384411704355</x:v>
      </x:c>
      <x:c r="AT387" s="141" t="n">
        <x:f>$C387+AS387-AR387</x:f>
        <x:v>10896.384411704355</x:v>
      </x:c>
      <x:c r="AU387" s="141" t="n">
        <x:f>AX386*(1+Premissas!$B$41)+AT387</x:f>
        <x:v>26423731.46118252</x:v>
      </x:c>
      <x:c r="AV387" s="141" t="n">
        <x:f>MAX(0,-AU387)</x:f>
        <x:v>0</x:v>
      </x:c>
      <x:c r="AW387" s="141" t="n">
        <x:f>AW386*(1+Premissas!$B$41)+AV387</x:f>
        <x:v>0</x:v>
      </x:c>
      <x:c r="AX387" s="141" t="n">
        <x:f>MAX(0,AU387)</x:f>
        <x:v>26423731.46118252</x:v>
      </x:c>
      <x:c r="AY387" s="141" t="n">
        <x:f>INDEX('Consorcio IQ'!$P$6:$P$485,$A387)</x:f>
        <x:v>0</x:v>
      </x:c>
      <x:c r="AZ387" s="141" t="n">
        <x:f>IF($A387&gt;=Premissas!$B$48,$F387,0)+IF($A387&lt;Premissas!$B$27,INDEX('Consorcio IQ'!$O$6:$O$485,$A387),0)</x:f>
        <x:v>1278203.6104238408</x:v>
      </x:c>
      <x:c r="BA387" s="141" t="n">
        <x:f>AX387+AZ387-AY387</x:f>
        <x:v>27701935.07160636</x:v>
      </x:c>
      <x:c r="BB387" s="141" t="n">
        <x:f>IF(AW387&gt;1,"Inviavel",BA387)</x:f>
        <x:v>27701935.07160636</x:v>
      </x:c>
      <x:c r="BC387" s="141" t="str">
        <x:f>IF(AW387&gt;1,"Inviavel","OK")</x:f>
        <x:v>OK</x:v>
      </x:c>
      <x:c r="BD387" s="141" t="n">
        <x:f>IF($A387='Consorcio Direto'!$B$29,'Consorcio Direto'!$B$44,0)</x:f>
        <x:v>0</x:v>
      </x:c>
      <x:c r="BE387" s="141" t="n">
        <x:f>IF($A387&lt;='Consorcio Direto'!$B$27,INDEX('Consorcio Direto'!$E$55:$E$534,$A387),0)</x:f>
        <x:v>0</x:v>
      </x:c>
      <x:c r="BF387" s="141" t="n">
        <x:f>IF(AND(TRUE,Premissas!$B$11="Imovel",Premissas!$B$47="Moradia",$A387&lt;MAX('Consorcio Direto'!$B$29,Premissas!$B$49)),$D387,0)</x:f>
        <x:v>0</x:v>
      </x:c>
      <x:c r="BG387" s="141" t="n">
        <x:f>IF(AND(TRUE,Premissas!$B$11="Imovel",Premissas!$B$47="Investimento",$A387&gt;=MAX('Consorcio Direto'!$B$29,Premissas!$B$49)),$E387,0)</x:f>
        <x:v>3896.384411704355</x:v>
      </x:c>
      <x:c r="BH387" s="141" t="n">
        <x:f>BD387+BE387+BF387</x:f>
        <x:v>0</x:v>
      </x:c>
      <x:c r="BI387" s="141" t="n">
        <x:f>BG387</x:f>
        <x:v>3896.384411704355</x:v>
      </x:c>
      <x:c r="BJ387" s="141" t="n">
        <x:f>$C387+BI387-BH387</x:f>
        <x:v>10896.384411704355</x:v>
      </x:c>
      <x:c r="BK387" s="141" t="n">
        <x:f>BN386*(1+Premissas!$B$41)+BJ387</x:f>
        <x:v>25271885.736574527</x:v>
      </x:c>
      <x:c r="BL387" s="141" t="n">
        <x:f>MAX(0,-BK387)</x:f>
        <x:v>0</x:v>
      </x:c>
      <x:c r="BM387" s="141" t="n">
        <x:f>BM386*(1+Premissas!$B$41)+BL387</x:f>
        <x:v>0</x:v>
      </x:c>
      <x:c r="BN387" s="141" t="n">
        <x:f>MAX(0,BK387)</x:f>
        <x:v>25271885.736574527</x:v>
      </x:c>
      <x:c r="BO387" s="141" t="n">
        <x:f>INDEX('Consorcio Direto'!$K$55:$K$534,$A387)</x:f>
        <x:v>0</x:v>
      </x:c>
      <x:c r="BP387" s="141" t="n">
        <x:f>IF($A387&lt;'Consorcio Direto'!$B$29,INDEX('Consorcio Direto'!$L$55:$L$534,$A387),$F387)</x:f>
        <x:v>1278203.6104238408</x:v>
      </x:c>
      <x:c r="BQ387" s="141" t="n">
        <x:f>BN387+BP387-BO387</x:f>
        <x:v>26550089.346998367</x:v>
      </x:c>
      <x:c r="BR387" s="141" t="n">
        <x:f>IF(BM387&gt;1,"Inviavel",BQ387)</x:f>
        <x:v>26550089.346998367</x:v>
      </x:c>
      <x:c r="BS387" s="141" t="str">
        <x:f>IF(BM387&gt;1,"Inviavel","OK")</x:f>
        <x:v>OK</x:v>
      </x:c>
      <x:c r="BT387" s="141" t="n">
        <x:f>IF(AND('Carta Contemplada'!$B$22="Sim",$A387='Carta Contemplada'!$B$23),'Carta Contemplada'!$B$37,0)</x:f>
        <x:v>0</x:v>
      </x:c>
      <x:c r="BU387" s="141" t="n">
        <x:f>IF('Carta Contemplada'!$B$22="Sim",INDEX('Carta Contemplada'!$C$55:$C$1013,$A387),0)</x:f>
        <x:v>0</x:v>
      </x:c>
      <x:c r="BV387" s="141" t="n">
        <x:f>IF(AND('Carta Contemplada'!$B$22="Sim",Premissas!$B$11="Imovel",Premissas!$B$47="Moradia",$A387&lt;MAX('Carta Contemplada'!$B$44,Premissas!$B$49)),$D387,0)</x:f>
        <x:v>0</x:v>
      </x:c>
      <x:c r="BW387" s="141" t="n">
        <x:f>IF(AND('Carta Contemplada'!$B$22="Sim",Premissas!$B$11="Imovel",Premissas!$B$47="Investimento",$A387&gt;=MAX('Carta Contemplada'!$B$44,Premissas!$B$49)),$E387,0)</x:f>
        <x:v>3896.384411704355</x:v>
      </x:c>
      <x:c r="BX387" s="141" t="n">
        <x:f>BT387+BU387+BV387</x:f>
        <x:v>0</x:v>
      </x:c>
      <x:c r="BY387" s="141" t="n">
        <x:f>BW387</x:f>
        <x:v>3896.384411704355</x:v>
      </x:c>
      <x:c r="BZ387" s="141" t="n">
        <x:f>$C387+BY387-BX387</x:f>
        <x:v>10896.384411704355</x:v>
      </x:c>
      <x:c r="CA387" s="141" t="n">
        <x:f>CD386*(1+Premissas!$B$41)+BZ387</x:f>
        <x:v>27174340.622423932</x:v>
      </x:c>
      <x:c r="CB387" s="141" t="n">
        <x:f>MAX(0,-CA387)</x:f>
        <x:v>0</x:v>
      </x:c>
      <x:c r="CC387" s="141" t="n">
        <x:f>CC386*(1+Premissas!$B$41)+CB387</x:f>
        <x:v>0</x:v>
      </x:c>
      <x:c r="CD387" s="141" t="n">
        <x:f>MAX(0,CA387)</x:f>
        <x:v>27174340.622423932</x:v>
      </x:c>
      <x:c r="CE387" s="141" t="n">
        <x:f>IF(AND('Carta Contemplada'!$B$22="Sim",$A387&gt;='Carta Contemplada'!$B$23),INDEX('Carta Contemplada'!$I$55:$I$1013,$A387),0)</x:f>
        <x:v>0</x:v>
      </x:c>
      <x:c r="CF387" s="141" t="n">
        <x:f>IF(AND('Carta Contemplada'!$B$22="Sim",$A387&gt;='Carta Contemplada'!$B$44),$F387,0)</x:f>
        <x:v>1278203.6104238408</x:v>
      </x:c>
      <x:c r="CG387" s="141" t="n">
        <x:f>CD387+CF387-CE387</x:f>
        <x:v>28452544.232847773</x:v>
      </x:c>
      <x:c r="CH387" s="141" t="n">
        <x:f>IF(CC387&gt;1,"Inviavel",CG387)</x:f>
        <x:v>28452544.232847773</x:v>
      </x:c>
      <x:c r="CI387" s="145" t="str">
        <x:f>IF(CC387&gt;1,"Inviavel","OK")</x:f>
        <x:v>OK</x:v>
      </x:c>
    </x:row>
    <x:row r="388">
      <x:c r="A388" s="142" t="n">
        <x:v>384</x:v>
      </x:c>
      <x:c r="B388" s="179" t="n">
        <x:f>EDATE(Premissas!$B$4,A388-1)</x:f>
        <x:v>58196</x:v>
      </x:c>
      <x:c r="C388" s="141" t="n">
        <x:f>IF(A388&lt;=Premissas!$B$39,Premissas!$B$42,0)</x:f>
        <x:v>7000</x:v>
      </x:c>
      <x:c r="D388" s="141" t="n">
        <x:f>Premissas!$B$54*(1+Premissas!$B$57)^INT((A388-1)/12)</x:f>
        <x:v>4261.670450301638</x:v>
      </x:c>
      <x:c r="E388" s="141" t="n">
        <x:f>Premissas!$B$64*(1+Premissas!$B$57)^INT((A388-1)/12)</x:f>
        <x:v>3896.384411704355</x:v>
      </x:c>
      <x:c r="F388" s="141" t="n">
        <x:f>MAX(0,Premissas!$B$6*(1+Premissas!$B$66)^((A388-1)/12))</x:f>
        <x:v>1284425.331130383</x:v>
      </x:c>
      <x:c r="G388" s="141" t="n">
        <x:f>G387*(1+Premissas!$B$41)+C388</x:f>
        <x:v>30337354.879192177</x:v>
      </x:c>
      <x:c r="H388" s="141" t="n">
        <x:f>IF($A388=Premissas!$B$48,Premissas!$B$8,0)</x:f>
        <x:v>0</x:v>
      </x:c>
      <x:c r="I388" s="141" t="n">
        <x:f>IF(AND($A388&gt;=Premissas!$B$48,$A388-Premissas!$B$48+1&lt;=Premissas!$B$13),INDEX(Financiamento!$J$6:$J$485,$A388-Premissas!$B$48+1),0)</x:f>
        <x:v>664.6991766017424</x:v>
      </x:c>
      <x:c r="J388" s="141" t="n">
        <x:f>IF(AND(TRUE,Premissas!$B$11="Imovel",Premissas!$B$47="Moradia",$A388&lt;MAX(Premissas!$B$48,Premissas!$B$49)),$D388,0)</x:f>
        <x:v>0</x:v>
      </x:c>
      <x:c r="K388" s="141" t="n">
        <x:f>IF(AND(TRUE,Premissas!$B$11="Imovel",Premissas!$B$47="Investimento",$A388&gt;=MAX(Premissas!$B$48,Premissas!$B$49)),$E388,0)</x:f>
        <x:v>3896.384411704355</x:v>
      </x:c>
      <x:c r="L388" s="141" t="n">
        <x:f>H388+I388+J388</x:f>
        <x:v>664.6991766017424</x:v>
      </x:c>
      <x:c r="M388" s="141" t="n">
        <x:f>K388</x:f>
        <x:v>3896.384411704355</x:v>
      </x:c>
      <x:c r="N388" s="141" t="n">
        <x:f>$C388+M388-L388</x:f>
        <x:v>10231.685235102614</x:v>
      </x:c>
      <x:c r="O388" s="141" t="n">
        <x:f>R387*(1+Premissas!$B$41)+N388</x:f>
        <x:v>26469653.43530028</x:v>
      </x:c>
      <x:c r="P388" s="141" t="n">
        <x:f>MAX(0,-O388)</x:f>
        <x:v>0</x:v>
      </x:c>
      <x:c r="Q388" s="141" t="n">
        <x:f>Q387*(1+Premissas!$B$41)+P388</x:f>
        <x:v>0</x:v>
      </x:c>
      <x:c r="R388" s="141" t="n">
        <x:f>MAX(0,O388)</x:f>
        <x:v>26469653.43530028</x:v>
      </x:c>
      <x:c r="S388" s="141" t="n">
        <x:f>IF(AND($A388&gt;=Premissas!$B$48,$A388-Premissas!$B$48+1&lt;=Premissas!$B$13),INDEX(Financiamento!$M$6:$M$485,$A388-Premissas!$B$48+1),0)</x:f>
        <x:v>13714.285714285725</x:v>
      </x:c>
      <x:c r="T388" s="141" t="n">
        <x:f>IF($A388&gt;=Premissas!$B$48,$F388,0)</x:f>
        <x:v>1284425.331130383</x:v>
      </x:c>
      <x:c r="U388" s="141" t="n">
        <x:f>R388+T388-S388</x:f>
        <x:v>27740364.480716374</x:v>
      </x:c>
      <x:c r="V388" s="141" t="n">
        <x:f>IF(Q388&gt;1,"Inviavel",U388)</x:f>
        <x:v>27740364.480716374</x:v>
      </x:c>
      <x:c r="W388" s="141" t="str">
        <x:f>IF(Q388&gt;1,"Inviavel","OK")</x:f>
        <x:v>OK</x:v>
      </x:c>
      <x:c r="X388" s="141" t="n">
        <x:f>IF($A388=Premissas!$B$48,Premissas!$B$8,0)</x:f>
        <x:v>0</x:v>
      </x:c>
      <x:c r="Y388" s="141" t="n">
        <x:f>IF(AND($A388&gt;=Premissas!$B$48,$A388-Premissas!$B$48+1&lt;=Premissas!$B$13),INDEX(Amortizacao!$K$6:$K$485,$A388-Premissas!$B$48+1),0)</x:f>
        <x:v>0</x:v>
      </x:c>
      <x:c r="Z388" s="141" t="n">
        <x:f>IF(AND(TRUE,Premissas!$B$11="Imovel",Premissas!$B$47="Moradia",$A388&lt;MAX(Premissas!$B$48,Premissas!$B$49)),$D388,0)</x:f>
        <x:v>0</x:v>
      </x:c>
      <x:c r="AA388" s="141" t="n">
        <x:f>IF(AND(TRUE,Premissas!$B$11="Imovel",Premissas!$B$47="Investimento",$A388&gt;=MAX(Premissas!$B$48,Premissas!$B$49)),$E388,0)</x:f>
        <x:v>3896.384411704355</x:v>
      </x:c>
      <x:c r="AB388" s="141" t="n">
        <x:f>X388+Y388+Z388</x:f>
        <x:v>0</x:v>
      </x:c>
      <x:c r="AC388" s="141" t="n">
        <x:f>AA388</x:f>
        <x:v>3896.384411704355</x:v>
      </x:c>
      <x:c r="AD388" s="141" t="n">
        <x:f>$C388+AC388-AB388</x:f>
        <x:v>10896.384411704355</x:v>
      </x:c>
      <x:c r="AE388" s="141" t="n">
        <x:f>AH387*(1+Premissas!$B$41)+AD388</x:f>
        <x:v>26900511.043514326</x:v>
      </x:c>
      <x:c r="AF388" s="141" t="n">
        <x:f>MAX(0,-AE388)</x:f>
        <x:v>0</x:v>
      </x:c>
      <x:c r="AG388" s="141" t="n">
        <x:f>AG387*(1+Premissas!$B$41)+AF388</x:f>
        <x:v>0</x:v>
      </x:c>
      <x:c r="AH388" s="141" t="n">
        <x:f>MAX(0,AE388)</x:f>
        <x:v>26900511.043514326</x:v>
      </x:c>
      <x:c r="AI388" s="141" t="n">
        <x:f>IF(AND($A388&gt;=Premissas!$B$48,$A388-Premissas!$B$48+1&lt;=Premissas!$B$13),INDEX(Amortizacao!$L$6:$L$485,$A388-Premissas!$B$48+1),0)</x:f>
        <x:v>0</x:v>
      </x:c>
      <x:c r="AJ388" s="141" t="n">
        <x:f>IF($A388&gt;=Premissas!$B$48,$F388,0)</x:f>
        <x:v>1284425.331130383</x:v>
      </x:c>
      <x:c r="AK388" s="141" t="n">
        <x:f>AH388+AJ388-AI388</x:f>
        <x:v>28184936.374644708</x:v>
      </x:c>
      <x:c r="AL388" s="141" t="n">
        <x:f>IF(AG388&gt;1,"Inviavel",AK388)</x:f>
        <x:v>28184936.374644708</x:v>
      </x:c>
      <x:c r="AM388" s="141" t="str">
        <x:f>IF(AG388&gt;1,"Inviavel","OK")</x:f>
        <x:v>OK</x:v>
      </x:c>
      <x:c r="AN388" s="141" t="n">
        <x:f>IF($A388=Premissas!$B$48,Premissas!$B$8,0)</x:f>
        <x:v>0</x:v>
      </x:c>
      <x:c r="AO388" s="141" t="n">
        <x:f>IF($A388&lt;=Premissas!$B$25,INDEX('Consorcio IQ'!$K$6:$K$485,$A388),0)</x:f>
        <x:v>0</x:v>
      </x:c>
      <x:c r="AP388" s="141" t="n">
        <x:f>IF(AND(TRUE,Premissas!$B$11="Imovel",Premissas!$B$47="Moradia",$A388&lt;MAX(Premissas!$B$48,Premissas!$B$49)),$D388,0)</x:f>
        <x:v>0</x:v>
      </x:c>
      <x:c r="AQ388" s="141" t="n">
        <x:f>IF(AND(TRUE,Premissas!$B$11="Imovel",Premissas!$B$47="Investimento",$A388&gt;=MAX(Premissas!$B$48,Premissas!$B$49)),$E388,0)</x:f>
        <x:v>3896.384411704355</x:v>
      </x:c>
      <x:c r="AR388" s="141" t="n">
        <x:f>AN388+AO388+AP388</x:f>
        <x:v>0</x:v>
      </x:c>
      <x:c r="AS388" s="141" t="n">
        <x:f>AQ388</x:f>
        <x:v>3896.384411704355</x:v>
      </x:c>
      <x:c r="AT388" s="141" t="n">
        <x:f>$C388+AS388-AR388</x:f>
        <x:v>10896.384411704355</x:v>
      </x:c>
      <x:c r="AU388" s="141" t="n">
        <x:f>AX387*(1+Premissas!$B$41)+AT388</x:f>
        <x:v>26685357.16198841</x:v>
      </x:c>
      <x:c r="AV388" s="141" t="n">
        <x:f>MAX(0,-AU388)</x:f>
        <x:v>0</x:v>
      </x:c>
      <x:c r="AW388" s="141" t="n">
        <x:f>AW387*(1+Premissas!$B$41)+AV388</x:f>
        <x:v>0</x:v>
      </x:c>
      <x:c r="AX388" s="141" t="n">
        <x:f>MAX(0,AU388)</x:f>
        <x:v>26685357.16198841</x:v>
      </x:c>
      <x:c r="AY388" s="141" t="n">
        <x:f>INDEX('Consorcio IQ'!$P$6:$P$485,$A388)</x:f>
        <x:v>0</x:v>
      </x:c>
      <x:c r="AZ388" s="141" t="n">
        <x:f>IF($A388&gt;=Premissas!$B$48,$F388,0)+IF($A388&lt;Premissas!$B$27,INDEX('Consorcio IQ'!$O$6:$O$485,$A388),0)</x:f>
        <x:v>1284425.331130383</x:v>
      </x:c>
      <x:c r="BA388" s="141" t="n">
        <x:f>AX388+AZ388-AY388</x:f>
        <x:v>27969782.493118793</x:v>
      </x:c>
      <x:c r="BB388" s="141" t="n">
        <x:f>IF(AW388&gt;1,"Inviavel",BA388)</x:f>
        <x:v>27969782.493118793</x:v>
      </x:c>
      <x:c r="BC388" s="141" t="str">
        <x:f>IF(AW388&gt;1,"Inviavel","OK")</x:f>
        <x:v>OK</x:v>
      </x:c>
      <x:c r="BD388" s="141" t="n">
        <x:f>IF($A388='Consorcio Direto'!$B$29,'Consorcio Direto'!$B$44,0)</x:f>
        <x:v>0</x:v>
      </x:c>
      <x:c r="BE388" s="141" t="n">
        <x:f>IF($A388&lt;='Consorcio Direto'!$B$27,INDEX('Consorcio Direto'!$E$55:$E$534,$A388),0)</x:f>
        <x:v>0</x:v>
      </x:c>
      <x:c r="BF388" s="141" t="n">
        <x:f>IF(AND(TRUE,Premissas!$B$11="Imovel",Premissas!$B$47="Moradia",$A388&lt;MAX('Consorcio Direto'!$B$29,Premissas!$B$49)),$D388,0)</x:f>
        <x:v>0</x:v>
      </x:c>
      <x:c r="BG388" s="141" t="n">
        <x:f>IF(AND(TRUE,Premissas!$B$11="Imovel",Premissas!$B$47="Investimento",$A388&gt;=MAX('Consorcio Direto'!$B$29,Premissas!$B$49)),$E388,0)</x:f>
        <x:v>3896.384411704355</x:v>
      </x:c>
      <x:c r="BH388" s="141" t="n">
        <x:f>BD388+BE388+BF388</x:f>
        <x:v>0</x:v>
      </x:c>
      <x:c r="BI388" s="141" t="n">
        <x:f>BG388</x:f>
        <x:v>3896.384411704355</x:v>
      </x:c>
      <x:c r="BJ388" s="141" t="n">
        <x:f>$C388+BI388-BH388</x:f>
        <x:v>10896.384411704355</x:v>
      </x:c>
      <x:c r="BK388" s="141" t="n">
        <x:f>BN387*(1+Premissas!$B$41)+BJ388</x:f>
        <x:v>25522581.81180703</x:v>
      </x:c>
      <x:c r="BL388" s="141" t="n">
        <x:f>MAX(0,-BK388)</x:f>
        <x:v>0</x:v>
      </x:c>
      <x:c r="BM388" s="141" t="n">
        <x:f>BM387*(1+Premissas!$B$41)+BL388</x:f>
        <x:v>0</x:v>
      </x:c>
      <x:c r="BN388" s="141" t="n">
        <x:f>MAX(0,BK388)</x:f>
        <x:v>25522581.81180703</x:v>
      </x:c>
      <x:c r="BO388" s="141" t="n">
        <x:f>INDEX('Consorcio Direto'!$K$55:$K$534,$A388)</x:f>
        <x:v>0</x:v>
      </x:c>
      <x:c r="BP388" s="141" t="n">
        <x:f>IF($A388&lt;'Consorcio Direto'!$B$29,INDEX('Consorcio Direto'!$L$55:$L$534,$A388),$F388)</x:f>
        <x:v>1284425.331130383</x:v>
      </x:c>
      <x:c r="BQ388" s="141" t="n">
        <x:f>BN388+BP388-BO388</x:f>
        <x:v>26807007.14293741</x:v>
      </x:c>
      <x:c r="BR388" s="141" t="n">
        <x:f>IF(BM388&gt;1,"Inviavel",BQ388)</x:f>
        <x:v>26807007.14293741</x:v>
      </x:c>
      <x:c r="BS388" s="141" t="str">
        <x:f>IF(BM388&gt;1,"Inviavel","OK")</x:f>
        <x:v>OK</x:v>
      </x:c>
      <x:c r="BT388" s="141" t="n">
        <x:f>IF(AND('Carta Contemplada'!$B$22="Sim",$A388='Carta Contemplada'!$B$23),'Carta Contemplada'!$B$37,0)</x:f>
        <x:v>0</x:v>
      </x:c>
      <x:c r="BU388" s="141" t="n">
        <x:f>IF('Carta Contemplada'!$B$22="Sim",INDEX('Carta Contemplada'!$C$55:$C$1013,$A388),0)</x:f>
        <x:v>0</x:v>
      </x:c>
      <x:c r="BV388" s="141" t="n">
        <x:f>IF(AND('Carta Contemplada'!$B$22="Sim",Premissas!$B$11="Imovel",Premissas!$B$47="Moradia",$A388&lt;MAX('Carta Contemplada'!$B$44,Premissas!$B$49)),$D388,0)</x:f>
        <x:v>0</x:v>
      </x:c>
      <x:c r="BW388" s="141" t="n">
        <x:f>IF(AND('Carta Contemplada'!$B$22="Sim",Premissas!$B$11="Imovel",Premissas!$B$47="Investimento",$A388&gt;=MAX('Carta Contemplada'!$B$44,Premissas!$B$49)),$E388,0)</x:f>
        <x:v>3896.384411704355</x:v>
      </x:c>
      <x:c r="BX388" s="141" t="n">
        <x:f>BT388+BU388+BV388</x:f>
        <x:v>0</x:v>
      </x:c>
      <x:c r="BY388" s="141" t="n">
        <x:f>BW388</x:f>
        <x:v>3896.384411704355</x:v>
      </x:c>
      <x:c r="BZ388" s="141" t="n">
        <x:f>$C388+BY388-BX388</x:f>
        <x:v>10896.384411704355</x:v>
      </x:c>
      <x:c r="CA388" s="141" t="n">
        <x:f>CD387*(1+Premissas!$B$41)+BZ388</x:f>
        <x:v>27443088.698135644</x:v>
      </x:c>
      <x:c r="CB388" s="141" t="n">
        <x:f>MAX(0,-CA388)</x:f>
        <x:v>0</x:v>
      </x:c>
      <x:c r="CC388" s="141" t="n">
        <x:f>CC387*(1+Premissas!$B$41)+CB388</x:f>
        <x:v>0</x:v>
      </x:c>
      <x:c r="CD388" s="141" t="n">
        <x:f>MAX(0,CA388)</x:f>
        <x:v>27443088.698135644</x:v>
      </x:c>
      <x:c r="CE388" s="141" t="n">
        <x:f>IF(AND('Carta Contemplada'!$B$22="Sim",$A388&gt;='Carta Contemplada'!$B$23),INDEX('Carta Contemplada'!$I$55:$I$1013,$A388),0)</x:f>
        <x:v>0</x:v>
      </x:c>
      <x:c r="CF388" s="141" t="n">
        <x:f>IF(AND('Carta Contemplada'!$B$22="Sim",$A388&gt;='Carta Contemplada'!$B$44),$F388,0)</x:f>
        <x:v>1284425.331130383</x:v>
      </x:c>
      <x:c r="CG388" s="141" t="n">
        <x:f>CD388+CF388-CE388</x:f>
        <x:v>28727514.029266026</x:v>
      </x:c>
      <x:c r="CH388" s="141" t="n">
        <x:f>IF(CC388&gt;1,"Inviavel",CG388)</x:f>
        <x:v>28727514.029266026</x:v>
      </x:c>
      <x:c r="CI388" s="145" t="str">
        <x:f>IF(CC388&gt;1,"Inviavel","OK")</x:f>
        <x:v>OK</x:v>
      </x:c>
    </x:row>
    <x:row r="389">
      <x:c r="A389" s="142" t="n">
        <x:v>385</x:v>
      </x:c>
      <x:c r="B389" s="179" t="n">
        <x:f>EDATE(Premissas!$B$4,A389-1)</x:f>
        <x:v>58227</x:v>
      </x:c>
      <x:c r="C389" s="141" t="n">
        <x:f>IF(A389&lt;=Premissas!$B$39,Premissas!$B$42,0)</x:f>
        <x:v>7000</x:v>
      </x:c>
      <x:c r="D389" s="141" t="n">
        <x:f>Premissas!$B$54*(1+Premissas!$B$57)^INT((A389-1)/12)</x:f>
        <x:v>4517.370677319737</x:v>
      </x:c>
      <x:c r="E389" s="141" t="n">
        <x:f>Premissas!$B$64*(1+Premissas!$B$57)^INT((A389-1)/12)</x:f>
        <x:v>4130.1674764066165</x:v>
      </x:c>
      <x:c r="F389" s="141" t="n">
        <x:f>MAX(0,Premissas!$B$6*(1+Premissas!$B$66)^((A389-1)/12))</x:f>
        <x:v>1290677.3363770677</x:v>
      </x:c>
      <x:c r="G389" s="141" t="n">
        <x:f>G388*(1+Premissas!$B$41)+C389</x:f>
        <x:v>30632219.757823795</x:v>
      </x:c>
      <x:c r="H389" s="141" t="n">
        <x:f>IF($A389=Premissas!$B$48,Premissas!$B$8,0)</x:f>
        <x:v>0</x:v>
      </x:c>
      <x:c r="I389" s="141" t="n">
        <x:f>IF(AND($A389&gt;=Premissas!$B$48,$A389-Premissas!$B$48+1&lt;=Premissas!$B$13),INDEX(Financiamento!$J$6:$J$485,$A389-Premissas!$B$48+1),0)</x:f>
        <x:v>661.0843983409488</x:v>
      </x:c>
      <x:c r="J389" s="141" t="n">
        <x:f>IF(AND(TRUE,Premissas!$B$11="Imovel",Premissas!$B$47="Moradia",$A389&lt;MAX(Premissas!$B$48,Premissas!$B$49)),$D389,0)</x:f>
        <x:v>0</x:v>
      </x:c>
      <x:c r="K389" s="141" t="n">
        <x:f>IF(AND(TRUE,Premissas!$B$11="Imovel",Premissas!$B$47="Investimento",$A389&gt;=MAX(Premissas!$B$48,Premissas!$B$49)),$E389,0)</x:f>
        <x:v>4130.1674764066165</x:v>
      </x:c>
      <x:c r="L389" s="141" t="n">
        <x:f>H389+I389+J389</x:f>
        <x:v>661.0843983409488</x:v>
      </x:c>
      <x:c r="M389" s="141" t="n">
        <x:f>K389</x:f>
        <x:v>4130.1674764066165</x:v>
      </x:c>
      <x:c r="N389" s="141" t="n">
        <x:f>$C389+M389-L389</x:f>
        <x:v>10469.083078065667</x:v>
      </x:c>
      <x:c r="O389" s="141" t="n">
        <x:f>R388*(1+Premissas!$B$41)+N389</x:f>
        <x:v>26731287.57887608</x:v>
      </x:c>
      <x:c r="P389" s="141" t="n">
        <x:f>MAX(0,-O389)</x:f>
        <x:v>0</x:v>
      </x:c>
      <x:c r="Q389" s="141" t="n">
        <x:f>Q388*(1+Premissas!$B$41)+P389</x:f>
        <x:v>0</x:v>
      </x:c>
      <x:c r="R389" s="141" t="n">
        <x:f>MAX(0,O389)</x:f>
        <x:v>26731287.57887608</x:v>
      </x:c>
      <x:c r="S389" s="141" t="n">
        <x:f>IF(AND($A389&gt;=Premissas!$B$48,$A389-Premissas!$B$48+1&lt;=Premissas!$B$13),INDEX(Financiamento!$M$6:$M$485,$A389-Premissas!$B$48+1),0)</x:f>
        <x:v>13333.333333333343</x:v>
      </x:c>
      <x:c r="T389" s="141" t="n">
        <x:f>IF($A389&gt;=Premissas!$B$48,$F389,0)</x:f>
        <x:v>1290677.3363770677</x:v>
      </x:c>
      <x:c r="U389" s="141" t="n">
        <x:f>R389+T389-S389</x:f>
        <x:v>28008631.58191982</x:v>
      </x:c>
      <x:c r="V389" s="141" t="n">
        <x:f>IF(Q389&gt;1,"Inviavel",U389)</x:f>
        <x:v>28008631.58191982</x:v>
      </x:c>
      <x:c r="W389" s="141" t="str">
        <x:f>IF(Q389&gt;1,"Inviavel","OK")</x:f>
        <x:v>OK</x:v>
      </x:c>
      <x:c r="X389" s="141" t="n">
        <x:f>IF($A389=Premissas!$B$48,Premissas!$B$8,0)</x:f>
        <x:v>0</x:v>
      </x:c>
      <x:c r="Y389" s="141" t="n">
        <x:f>IF(AND($A389&gt;=Premissas!$B$48,$A389-Premissas!$B$48+1&lt;=Premissas!$B$13),INDEX(Amortizacao!$K$6:$K$485,$A389-Premissas!$B$48+1),0)</x:f>
        <x:v>0</x:v>
      </x:c>
      <x:c r="Z389" s="141" t="n">
        <x:f>IF(AND(TRUE,Premissas!$B$11="Imovel",Premissas!$B$47="Moradia",$A389&lt;MAX(Premissas!$B$48,Premissas!$B$49)),$D389,0)</x:f>
        <x:v>0</x:v>
      </x:c>
      <x:c r="AA389" s="141" t="n">
        <x:f>IF(AND(TRUE,Premissas!$B$11="Imovel",Premissas!$B$47="Investimento",$A389&gt;=MAX(Premissas!$B$48,Premissas!$B$49)),$E389,0)</x:f>
        <x:v>4130.1674764066165</x:v>
      </x:c>
      <x:c r="AB389" s="141" t="n">
        <x:f>X389+Y389+Z389</x:f>
        <x:v>0</x:v>
      </x:c>
      <x:c r="AC389" s="141" t="n">
        <x:f>AA389</x:f>
        <x:v>4130.1674764066165</x:v>
      </x:c>
      <x:c r="AD389" s="141" t="n">
        <x:f>$C389+AC389-AB389</x:f>
        <x:v>11130.167476406616</x:v>
      </x:c>
      <x:c r="AE389" s="141" t="n">
        <x:f>AH388*(1+Premissas!$B$41)+AD389</x:f>
        <x:v>27166894.590117108</x:v>
      </x:c>
      <x:c r="AF389" s="141" t="n">
        <x:f>MAX(0,-AE389)</x:f>
        <x:v>0</x:v>
      </x:c>
      <x:c r="AG389" s="141" t="n">
        <x:f>AG388*(1+Premissas!$B$41)+AF389</x:f>
        <x:v>0</x:v>
      </x:c>
      <x:c r="AH389" s="141" t="n">
        <x:f>MAX(0,AE389)</x:f>
        <x:v>27166894.590117108</x:v>
      </x:c>
      <x:c r="AI389" s="141" t="n">
        <x:f>IF(AND($A389&gt;=Premissas!$B$48,$A389-Premissas!$B$48+1&lt;=Premissas!$B$13),INDEX(Amortizacao!$L$6:$L$485,$A389-Premissas!$B$48+1),0)</x:f>
        <x:v>0</x:v>
      </x:c>
      <x:c r="AJ389" s="141" t="n">
        <x:f>IF($A389&gt;=Premissas!$B$48,$F389,0)</x:f>
        <x:v>1290677.3363770677</x:v>
      </x:c>
      <x:c r="AK389" s="141" t="n">
        <x:f>AH389+AJ389-AI389</x:f>
        <x:v>28457571.926494177</x:v>
      </x:c>
      <x:c r="AL389" s="141" t="n">
        <x:f>IF(AG389&gt;1,"Inviavel",AK389)</x:f>
        <x:v>28457571.926494177</x:v>
      </x:c>
      <x:c r="AM389" s="141" t="str">
        <x:f>IF(AG389&gt;1,"Inviavel","OK")</x:f>
        <x:v>OK</x:v>
      </x:c>
      <x:c r="AN389" s="141" t="n">
        <x:f>IF($A389=Premissas!$B$48,Premissas!$B$8,0)</x:f>
        <x:v>0</x:v>
      </x:c>
      <x:c r="AO389" s="141" t="n">
        <x:f>IF($A389&lt;=Premissas!$B$25,INDEX('Consorcio IQ'!$K$6:$K$485,$A389),0)</x:f>
        <x:v>0</x:v>
      </x:c>
      <x:c r="AP389" s="141" t="n">
        <x:f>IF(AND(TRUE,Premissas!$B$11="Imovel",Premissas!$B$47="Moradia",$A389&lt;MAX(Premissas!$B$48,Premissas!$B$49)),$D389,0)</x:f>
        <x:v>0</x:v>
      </x:c>
      <x:c r="AQ389" s="141" t="n">
        <x:f>IF(AND(TRUE,Premissas!$B$11="Imovel",Premissas!$B$47="Investimento",$A389&gt;=MAX(Premissas!$B$48,Premissas!$B$49)),$E389,0)</x:f>
        <x:v>4130.1674764066165</x:v>
      </x:c>
      <x:c r="AR389" s="141" t="n">
        <x:f>AN389+AO389+AP389</x:f>
        <x:v>0</x:v>
      </x:c>
      <x:c r="AS389" s="141" t="n">
        <x:f>AQ389</x:f>
        <x:v>4130.1674764066165</x:v>
      </x:c>
      <x:c r="AT389" s="141" t="n">
        <x:f>$C389+AS389-AR389</x:f>
        <x:v>11130.167476406616</x:v>
      </x:c>
      <x:c r="AU389" s="141" t="n">
        <x:f>AX388*(1+Premissas!$B$41)+AT389</x:f>
        <x:v>26949699.15796032</x:v>
      </x:c>
      <x:c r="AV389" s="141" t="n">
        <x:f>MAX(0,-AU389)</x:f>
        <x:v>0</x:v>
      </x:c>
      <x:c r="AW389" s="141" t="n">
        <x:f>AW388*(1+Premissas!$B$41)+AV389</x:f>
        <x:v>0</x:v>
      </x:c>
      <x:c r="AX389" s="141" t="n">
        <x:f>MAX(0,AU389)</x:f>
        <x:v>26949699.15796032</x:v>
      </x:c>
      <x:c r="AY389" s="141" t="n">
        <x:f>INDEX('Consorcio IQ'!$P$6:$P$485,$A389)</x:f>
        <x:v>0</x:v>
      </x:c>
      <x:c r="AZ389" s="141" t="n">
        <x:f>IF($A389&gt;=Premissas!$B$48,$F389,0)+IF($A389&lt;Premissas!$B$27,INDEX('Consorcio IQ'!$O$6:$O$485,$A389),0)</x:f>
        <x:v>1290677.3363770677</x:v>
      </x:c>
      <x:c r="BA389" s="141" t="n">
        <x:f>AX389+AZ389-AY389</x:f>
        <x:v>28240376.49433739</x:v>
      </x:c>
      <x:c r="BB389" s="141" t="n">
        <x:f>IF(AW389&gt;1,"Inviavel",BA389)</x:f>
        <x:v>28240376.49433739</x:v>
      </x:c>
      <x:c r="BC389" s="141" t="str">
        <x:f>IF(AW389&gt;1,"Inviavel","OK")</x:f>
        <x:v>OK</x:v>
      </x:c>
      <x:c r="BD389" s="141" t="n">
        <x:f>IF($A389='Consorcio Direto'!$B$29,'Consorcio Direto'!$B$44,0)</x:f>
        <x:v>0</x:v>
      </x:c>
      <x:c r="BE389" s="141" t="n">
        <x:f>IF($A389&lt;='Consorcio Direto'!$B$27,INDEX('Consorcio Direto'!$E$55:$E$534,$A389),0)</x:f>
        <x:v>0</x:v>
      </x:c>
      <x:c r="BF389" s="141" t="n">
        <x:f>IF(AND(TRUE,Premissas!$B$11="Imovel",Premissas!$B$47="Moradia",$A389&lt;MAX('Consorcio Direto'!$B$29,Premissas!$B$49)),$D389,0)</x:f>
        <x:v>0</x:v>
      </x:c>
      <x:c r="BG389" s="141" t="n">
        <x:f>IF(AND(TRUE,Premissas!$B$11="Imovel",Premissas!$B$47="Investimento",$A389&gt;=MAX('Consorcio Direto'!$B$29,Premissas!$B$49)),$E389,0)</x:f>
        <x:v>4130.1674764066165</x:v>
      </x:c>
      <x:c r="BH389" s="141" t="n">
        <x:f>BD389+BE389+BF389</x:f>
        <x:v>0</x:v>
      </x:c>
      <x:c r="BI389" s="141" t="n">
        <x:f>BG389</x:f>
        <x:v>4130.1674764066165</x:v>
      </x:c>
      <x:c r="BJ389" s="141" t="n">
        <x:f>$C389+BI389-BH389</x:f>
        <x:v>11130.167476406616</x:v>
      </x:c>
      <x:c r="BK389" s="141" t="n">
        <x:f>BN388*(1+Premissas!$B$41)+BJ389</x:f>
        <x:v>25775890.47325163</x:v>
      </x:c>
      <x:c r="BL389" s="141" t="n">
        <x:f>MAX(0,-BK389)</x:f>
        <x:v>0</x:v>
      </x:c>
      <x:c r="BM389" s="141" t="n">
        <x:f>BM388*(1+Premissas!$B$41)+BL389</x:f>
        <x:v>0</x:v>
      </x:c>
      <x:c r="BN389" s="141" t="n">
        <x:f>MAX(0,BK389)</x:f>
        <x:v>25775890.47325163</x:v>
      </x:c>
      <x:c r="BO389" s="141" t="n">
        <x:f>INDEX('Consorcio Direto'!$K$55:$K$534,$A389)</x:f>
        <x:v>0</x:v>
      </x:c>
      <x:c r="BP389" s="141" t="n">
        <x:f>IF($A389&lt;'Consorcio Direto'!$B$29,INDEX('Consorcio Direto'!$L$55:$L$534,$A389),$F389)</x:f>
        <x:v>1290677.3363770677</x:v>
      </x:c>
      <x:c r="BQ389" s="141" t="n">
        <x:f>BN389+BP389-BO389</x:f>
        <x:v>27066567.8096287</x:v>
      </x:c>
      <x:c r="BR389" s="141" t="n">
        <x:f>IF(BM389&gt;1,"Inviavel",BQ389)</x:f>
        <x:v>27066567.8096287</x:v>
      </x:c>
      <x:c r="BS389" s="141" t="str">
        <x:f>IF(BM389&gt;1,"Inviavel","OK")</x:f>
        <x:v>OK</x:v>
      </x:c>
      <x:c r="BT389" s="141" t="n">
        <x:f>IF(AND('Carta Contemplada'!$B$22="Sim",$A389='Carta Contemplada'!$B$23),'Carta Contemplada'!$B$37,0)</x:f>
        <x:v>0</x:v>
      </x:c>
      <x:c r="BU389" s="141" t="n">
        <x:f>IF('Carta Contemplada'!$B$22="Sim",INDEX('Carta Contemplada'!$C$55:$C$1013,$A389),0)</x:f>
        <x:v>0</x:v>
      </x:c>
      <x:c r="BV389" s="141" t="n">
        <x:f>IF(AND('Carta Contemplada'!$B$22="Sim",Premissas!$B$11="Imovel",Premissas!$B$47="Moradia",$A389&lt;MAX('Carta Contemplada'!$B$44,Premissas!$B$49)),$D389,0)</x:f>
        <x:v>0</x:v>
      </x:c>
      <x:c r="BW389" s="141" t="n">
        <x:f>IF(AND('Carta Contemplada'!$B$22="Sim",Premissas!$B$11="Imovel",Premissas!$B$47="Investimento",$A389&gt;=MAX('Carta Contemplada'!$B$44,Premissas!$B$49)),$E389,0)</x:f>
        <x:v>4130.1674764066165</x:v>
      </x:c>
      <x:c r="BX389" s="141" t="n">
        <x:f>BT389+BU389+BV389</x:f>
        <x:v>0</x:v>
      </x:c>
      <x:c r="BY389" s="141" t="n">
        <x:f>BW389</x:f>
        <x:v>4130.1674764066165</x:v>
      </x:c>
      <x:c r="BZ389" s="141" t="n">
        <x:f>$C389+BY389-BX389</x:f>
        <x:v>11130.167476406616</x:v>
      </x:c>
      <x:c r="CA389" s="141" t="n">
        <x:f>CD388*(1+Premissas!$B$41)+BZ389</x:f>
        <x:v>27714620.65175406</x:v>
      </x:c>
      <x:c r="CB389" s="141" t="n">
        <x:f>MAX(0,-CA389)</x:f>
        <x:v>0</x:v>
      </x:c>
      <x:c r="CC389" s="141" t="n">
        <x:f>CC388*(1+Premissas!$B$41)+CB389</x:f>
        <x:v>0</x:v>
      </x:c>
      <x:c r="CD389" s="141" t="n">
        <x:f>MAX(0,CA389)</x:f>
        <x:v>27714620.65175406</x:v>
      </x:c>
      <x:c r="CE389" s="141" t="n">
        <x:f>IF(AND('Carta Contemplada'!$B$22="Sim",$A389&gt;='Carta Contemplada'!$B$23),INDEX('Carta Contemplada'!$I$55:$I$1013,$A389),0)</x:f>
        <x:v>0</x:v>
      </x:c>
      <x:c r="CF389" s="141" t="n">
        <x:f>IF(AND('Carta Contemplada'!$B$22="Sim",$A389&gt;='Carta Contemplada'!$B$44),$F389,0)</x:f>
        <x:v>1290677.3363770677</x:v>
      </x:c>
      <x:c r="CG389" s="141" t="n">
        <x:f>CD389+CF389-CE389</x:f>
        <x:v>29005297.98813113</x:v>
      </x:c>
      <x:c r="CH389" s="141" t="n">
        <x:f>IF(CC389&gt;1,"Inviavel",CG389)</x:f>
        <x:v>29005297.98813113</x:v>
      </x:c>
      <x:c r="CI389" s="145" t="str">
        <x:f>IF(CC389&gt;1,"Inviavel","OK")</x:f>
        <x:v>OK</x:v>
      </x:c>
    </x:row>
    <x:row r="390">
      <x:c r="A390" s="142" t="n">
        <x:v>386</x:v>
      </x:c>
      <x:c r="B390" s="179" t="n">
        <x:f>EDATE(Premissas!$B$4,A390-1)</x:f>
        <x:v>58257</x:v>
      </x:c>
      <x:c r="C390" s="141" t="n">
        <x:f>IF(A390&lt;=Premissas!$B$39,Premissas!$B$42,0)</x:f>
        <x:v>7000</x:v>
      </x:c>
      <x:c r="D390" s="141" t="n">
        <x:f>Premissas!$B$54*(1+Premissas!$B$57)^INT((A390-1)/12)</x:f>
        <x:v>4517.370677319737</x:v>
      </x:c>
      <x:c r="E390" s="141" t="n">
        <x:f>Premissas!$B$64*(1+Premissas!$B$57)^INT((A390-1)/12)</x:f>
        <x:v>4130.1674764066165</x:v>
      </x:c>
      <x:c r="F390" s="141" t="n">
        <x:f>MAX(0,Premissas!$B$6*(1+Premissas!$B$66)^((A390-1)/12))</x:f>
        <x:v>1296959.7735754254</x:v>
      </x:c>
      <x:c r="G390" s="141" t="n">
        <x:f>G389*(1+Premissas!$B$41)+C390</x:f>
        <x:v>30929882.54823243</x:v>
      </x:c>
      <x:c r="H390" s="141" t="n">
        <x:f>IF($A390=Premissas!$B$48,Premissas!$B$8,0)</x:f>
        <x:v>0</x:v>
      </x:c>
      <x:c r="I390" s="141" t="n">
        <x:f>IF(AND($A390&gt;=Premissas!$B$48,$A390-Premissas!$B$48+1&lt;=Premissas!$B$13),INDEX(Financiamento!$J$6:$J$485,$A390-Premissas!$B$48+1),0)</x:f>
        <x:v>657.4696200801552</x:v>
      </x:c>
      <x:c r="J390" s="141" t="n">
        <x:f>IF(AND(TRUE,Premissas!$B$11="Imovel",Premissas!$B$47="Moradia",$A390&lt;MAX(Premissas!$B$48,Premissas!$B$49)),$D390,0)</x:f>
        <x:v>0</x:v>
      </x:c>
      <x:c r="K390" s="141" t="n">
        <x:f>IF(AND(TRUE,Premissas!$B$11="Imovel",Premissas!$B$47="Investimento",$A390&gt;=MAX(Premissas!$B$48,Premissas!$B$49)),$E390,0)</x:f>
        <x:v>4130.1674764066165</x:v>
      </x:c>
      <x:c r="L390" s="141" t="n">
        <x:f>H390+I390+J390</x:f>
        <x:v>657.4696200801552</x:v>
      </x:c>
      <x:c r="M390" s="141" t="n">
        <x:f>K390</x:f>
        <x:v>4130.1674764066165</x:v>
      </x:c>
      <x:c r="N390" s="141" t="n">
        <x:f>$C390+M390-L390</x:f>
        <x:v>10472.69785632646</x:v>
      </x:c>
      <x:c r="O390" s="141" t="n">
        <x:f>R389*(1+Premissas!$B$41)+N390</x:f>
        <x:v>26995407.929443154</x:v>
      </x:c>
      <x:c r="P390" s="141" t="n">
        <x:f>MAX(0,-O390)</x:f>
        <x:v>0</x:v>
      </x:c>
      <x:c r="Q390" s="141" t="n">
        <x:f>Q389*(1+Premissas!$B$41)+P390</x:f>
        <x:v>0</x:v>
      </x:c>
      <x:c r="R390" s="141" t="n">
        <x:f>MAX(0,O390)</x:f>
        <x:v>26995407.929443154</x:v>
      </x:c>
      <x:c r="S390" s="141" t="n">
        <x:f>IF(AND($A390&gt;=Premissas!$B$48,$A390-Premissas!$B$48+1&lt;=Premissas!$B$13),INDEX(Financiamento!$M$6:$M$485,$A390-Premissas!$B$48+1),0)</x:f>
        <x:v>12952.380952380961</x:v>
      </x:c>
      <x:c r="T390" s="141" t="n">
        <x:f>IF($A390&gt;=Premissas!$B$48,$F390,0)</x:f>
        <x:v>1296959.7735754254</x:v>
      </x:c>
      <x:c r="U390" s="141" t="n">
        <x:f>R390+T390-S390</x:f>
        <x:v>28279415.3220662</x:v>
      </x:c>
      <x:c r="V390" s="141" t="n">
        <x:f>IF(Q390&gt;1,"Inviavel",U390)</x:f>
        <x:v>28279415.3220662</x:v>
      </x:c>
      <x:c r="W390" s="141" t="str">
        <x:f>IF(Q390&gt;1,"Inviavel","OK")</x:f>
        <x:v>OK</x:v>
      </x:c>
      <x:c r="X390" s="141" t="n">
        <x:f>IF($A390=Premissas!$B$48,Premissas!$B$8,0)</x:f>
        <x:v>0</x:v>
      </x:c>
      <x:c r="Y390" s="141" t="n">
        <x:f>IF(AND($A390&gt;=Premissas!$B$48,$A390-Premissas!$B$48+1&lt;=Premissas!$B$13),INDEX(Amortizacao!$K$6:$K$485,$A390-Premissas!$B$48+1),0)</x:f>
        <x:v>0</x:v>
      </x:c>
      <x:c r="Z390" s="141" t="n">
        <x:f>IF(AND(TRUE,Premissas!$B$11="Imovel",Premissas!$B$47="Moradia",$A390&lt;MAX(Premissas!$B$48,Premissas!$B$49)),$D390,0)</x:f>
        <x:v>0</x:v>
      </x:c>
      <x:c r="AA390" s="141" t="n">
        <x:f>IF(AND(TRUE,Premissas!$B$11="Imovel",Premissas!$B$47="Investimento",$A390&gt;=MAX(Premissas!$B$48,Premissas!$B$49)),$E390,0)</x:f>
        <x:v>4130.1674764066165</x:v>
      </x:c>
      <x:c r="AB390" s="141" t="n">
        <x:f>X390+Y390+Z390</x:f>
        <x:v>0</x:v>
      </x:c>
      <x:c r="AC390" s="141" t="n">
        <x:f>AA390</x:f>
        <x:v>4130.1674764066165</x:v>
      </x:c>
      <x:c r="AD390" s="141" t="n">
        <x:f>$C390+AC390-AB390</x:f>
        <x:v>11130.167476406616</x:v>
      </x:c>
      <x:c r="AE390" s="141" t="n">
        <x:f>AH389*(1+Premissas!$B$41)+AD390</x:f>
        <x:v>27435805.79503478</x:v>
      </x:c>
      <x:c r="AF390" s="141" t="n">
        <x:f>MAX(0,-AE390)</x:f>
        <x:v>0</x:v>
      </x:c>
      <x:c r="AG390" s="141" t="n">
        <x:f>AG389*(1+Premissas!$B$41)+AF390</x:f>
        <x:v>0</x:v>
      </x:c>
      <x:c r="AH390" s="141" t="n">
        <x:f>MAX(0,AE390)</x:f>
        <x:v>27435805.79503478</x:v>
      </x:c>
      <x:c r="AI390" s="141" t="n">
        <x:f>IF(AND($A390&gt;=Premissas!$B$48,$A390-Premissas!$B$48+1&lt;=Premissas!$B$13),INDEX(Amortizacao!$L$6:$L$485,$A390-Premissas!$B$48+1),0)</x:f>
        <x:v>0</x:v>
      </x:c>
      <x:c r="AJ390" s="141" t="n">
        <x:f>IF($A390&gt;=Premissas!$B$48,$F390,0)</x:f>
        <x:v>1296959.7735754254</x:v>
      </x:c>
      <x:c r="AK390" s="141" t="n">
        <x:f>AH390+AJ390-AI390</x:f>
        <x:v>28732765.568610206</x:v>
      </x:c>
      <x:c r="AL390" s="141" t="n">
        <x:f>IF(AG390&gt;1,"Inviavel",AK390)</x:f>
        <x:v>28732765.568610206</x:v>
      </x:c>
      <x:c r="AM390" s="141" t="str">
        <x:f>IF(AG390&gt;1,"Inviavel","OK")</x:f>
        <x:v>OK</x:v>
      </x:c>
      <x:c r="AN390" s="141" t="n">
        <x:f>IF($A390=Premissas!$B$48,Premissas!$B$8,0)</x:f>
        <x:v>0</x:v>
      </x:c>
      <x:c r="AO390" s="141" t="n">
        <x:f>IF($A390&lt;=Premissas!$B$25,INDEX('Consorcio IQ'!$K$6:$K$485,$A390),0)</x:f>
        <x:v>0</x:v>
      </x:c>
      <x:c r="AP390" s="141" t="n">
        <x:f>IF(AND(TRUE,Premissas!$B$11="Imovel",Premissas!$B$47="Moradia",$A390&lt;MAX(Premissas!$B$48,Premissas!$B$49)),$D390,0)</x:f>
        <x:v>0</x:v>
      </x:c>
      <x:c r="AQ390" s="141" t="n">
        <x:f>IF(AND(TRUE,Premissas!$B$11="Imovel",Premissas!$B$47="Investimento",$A390&gt;=MAX(Premissas!$B$48,Premissas!$B$49)),$E390,0)</x:f>
        <x:v>4130.1674764066165</x:v>
      </x:c>
      <x:c r="AR390" s="141" t="n">
        <x:f>AN390+AO390+AP390</x:f>
        <x:v>0</x:v>
      </x:c>
      <x:c r="AS390" s="141" t="n">
        <x:f>AQ390</x:f>
        <x:v>4130.1674764066165</x:v>
      </x:c>
      <x:c r="AT390" s="141" t="n">
        <x:f>$C390+AS390-AR390</x:f>
        <x:v>11130.167476406616</x:v>
      </x:c>
      <x:c r="AU390" s="141" t="n">
        <x:f>AX389*(1+Premissas!$B$41)+AT390</x:f>
        <x:v>27216549.44039592</x:v>
      </x:c>
      <x:c r="AV390" s="141" t="n">
        <x:f>MAX(0,-AU390)</x:f>
        <x:v>0</x:v>
      </x:c>
      <x:c r="AW390" s="141" t="n">
        <x:f>AW389*(1+Premissas!$B$41)+AV390</x:f>
        <x:v>0</x:v>
      </x:c>
      <x:c r="AX390" s="141" t="n">
        <x:f>MAX(0,AU390)</x:f>
        <x:v>27216549.44039592</x:v>
      </x:c>
      <x:c r="AY390" s="141" t="n">
        <x:f>INDEX('Consorcio IQ'!$P$6:$P$485,$A390)</x:f>
        <x:v>0</x:v>
      </x:c>
      <x:c r="AZ390" s="141" t="n">
        <x:f>IF($A390&gt;=Premissas!$B$48,$F390,0)+IF($A390&lt;Premissas!$B$27,INDEX('Consorcio IQ'!$O$6:$O$485,$A390),0)</x:f>
        <x:v>1296959.7735754254</x:v>
      </x:c>
      <x:c r="BA390" s="141" t="n">
        <x:f>AX390+AZ390-AY390</x:f>
        <x:v>28513509.213971347</x:v>
      </x:c>
      <x:c r="BB390" s="141" t="n">
        <x:f>IF(AW390&gt;1,"Inviavel",BA390)</x:f>
        <x:v>28513509.213971347</x:v>
      </x:c>
      <x:c r="BC390" s="141" t="str">
        <x:f>IF(AW390&gt;1,"Inviavel","OK")</x:f>
        <x:v>OK</x:v>
      </x:c>
      <x:c r="BD390" s="141" t="n">
        <x:f>IF($A390='Consorcio Direto'!$B$29,'Consorcio Direto'!$B$44,0)</x:f>
        <x:v>0</x:v>
      </x:c>
      <x:c r="BE390" s="141" t="n">
        <x:f>IF($A390&lt;='Consorcio Direto'!$B$27,INDEX('Consorcio Direto'!$E$55:$E$534,$A390),0)</x:f>
        <x:v>0</x:v>
      </x:c>
      <x:c r="BF390" s="141" t="n">
        <x:f>IF(AND(TRUE,Premissas!$B$11="Imovel",Premissas!$B$47="Moradia",$A390&lt;MAX('Consorcio Direto'!$B$29,Premissas!$B$49)),$D390,0)</x:f>
        <x:v>0</x:v>
      </x:c>
      <x:c r="BG390" s="141" t="n">
        <x:f>IF(AND(TRUE,Premissas!$B$11="Imovel",Premissas!$B$47="Investimento",$A390&gt;=MAX('Consorcio Direto'!$B$29,Premissas!$B$49)),$E390,0)</x:f>
        <x:v>4130.1674764066165</x:v>
      </x:c>
      <x:c r="BH390" s="141" t="n">
        <x:f>BD390+BE390+BF390</x:f>
        <x:v>0</x:v>
      </x:c>
      <x:c r="BI390" s="141" t="n">
        <x:f>BG390</x:f>
        <x:v>4130.1674764066165</x:v>
      </x:c>
      <x:c r="BJ390" s="141" t="n">
        <x:f>$C390+BI390-BH390</x:f>
        <x:v>11130.167476406616</x:v>
      </x:c>
      <x:c r="BK390" s="141" t="n">
        <x:f>BN389*(1+Premissas!$B$41)+BJ390</x:f>
        <x:v>26031602.728133213</x:v>
      </x:c>
      <x:c r="BL390" s="141" t="n">
        <x:f>MAX(0,-BK390)</x:f>
        <x:v>0</x:v>
      </x:c>
      <x:c r="BM390" s="141" t="n">
        <x:f>BM389*(1+Premissas!$B$41)+BL390</x:f>
        <x:v>0</x:v>
      </x:c>
      <x:c r="BN390" s="141" t="n">
        <x:f>MAX(0,BK390)</x:f>
        <x:v>26031602.728133213</x:v>
      </x:c>
      <x:c r="BO390" s="141" t="n">
        <x:f>INDEX('Consorcio Direto'!$K$55:$K$534,$A390)</x:f>
        <x:v>0</x:v>
      </x:c>
      <x:c r="BP390" s="141" t="n">
        <x:f>IF($A390&lt;'Consorcio Direto'!$B$29,INDEX('Consorcio Direto'!$L$55:$L$534,$A390),$F390)</x:f>
        <x:v>1296959.7735754254</x:v>
      </x:c>
      <x:c r="BQ390" s="141" t="n">
        <x:f>BN390+BP390-BO390</x:f>
        <x:v>27328562.501708638</x:v>
      </x:c>
      <x:c r="BR390" s="141" t="n">
        <x:f>IF(BM390&gt;1,"Inviavel",BQ390)</x:f>
        <x:v>27328562.501708638</x:v>
      </x:c>
      <x:c r="BS390" s="141" t="str">
        <x:f>IF(BM390&gt;1,"Inviavel","OK")</x:f>
        <x:v>OK</x:v>
      </x:c>
      <x:c r="BT390" s="141" t="n">
        <x:f>IF(AND('Carta Contemplada'!$B$22="Sim",$A390='Carta Contemplada'!$B$23),'Carta Contemplada'!$B$37,0)</x:f>
        <x:v>0</x:v>
      </x:c>
      <x:c r="BU390" s="141" t="n">
        <x:f>IF('Carta Contemplada'!$B$22="Sim",INDEX('Carta Contemplada'!$C$55:$C$1013,$A390),0)</x:f>
        <x:v>0</x:v>
      </x:c>
      <x:c r="BV390" s="141" t="n">
        <x:f>IF(AND('Carta Contemplada'!$B$22="Sim",Premissas!$B$11="Imovel",Premissas!$B$47="Moradia",$A390&lt;MAX('Carta Contemplada'!$B$44,Premissas!$B$49)),$D390,0)</x:f>
        <x:v>0</x:v>
      </x:c>
      <x:c r="BW390" s="141" t="n">
        <x:f>IF(AND('Carta Contemplada'!$B$22="Sim",Premissas!$B$11="Imovel",Premissas!$B$47="Investimento",$A390&gt;=MAX('Carta Contemplada'!$B$44,Premissas!$B$49)),$E390,0)</x:f>
        <x:v>4130.1674764066165</x:v>
      </x:c>
      <x:c r="BX390" s="141" t="n">
        <x:f>BT390+BU390+BV390</x:f>
        <x:v>0</x:v>
      </x:c>
      <x:c r="BY390" s="141" t="n">
        <x:f>BW390</x:f>
        <x:v>4130.1674764066165</x:v>
      </x:c>
      <x:c r="BZ390" s="141" t="n">
        <x:f>$C390+BY390-BX390</x:f>
        <x:v>11130.167476406616</x:v>
      </x:c>
      <x:c r="CA390" s="141" t="n">
        <x:f>CD389*(1+Premissas!$B$41)+BZ390</x:f>
        <x:v>27988729.11585548</x:v>
      </x:c>
      <x:c r="CB390" s="141" t="n">
        <x:f>MAX(0,-CA390)</x:f>
        <x:v>0</x:v>
      </x:c>
      <x:c r="CC390" s="141" t="n">
        <x:f>CC389*(1+Premissas!$B$41)+CB390</x:f>
        <x:v>0</x:v>
      </x:c>
      <x:c r="CD390" s="141" t="n">
        <x:f>MAX(0,CA390)</x:f>
        <x:v>27988729.11585548</x:v>
      </x:c>
      <x:c r="CE390" s="141" t="n">
        <x:f>IF(AND('Carta Contemplada'!$B$22="Sim",$A390&gt;='Carta Contemplada'!$B$23),INDEX('Carta Contemplada'!$I$55:$I$1013,$A390),0)</x:f>
        <x:v>0</x:v>
      </x:c>
      <x:c r="CF390" s="141" t="n">
        <x:f>IF(AND('Carta Contemplada'!$B$22="Sim",$A390&gt;='Carta Contemplada'!$B$44),$F390,0)</x:f>
        <x:v>1296959.7735754254</x:v>
      </x:c>
      <x:c r="CG390" s="141" t="n">
        <x:f>CD390+CF390-CE390</x:f>
        <x:v>29285688.889430907</x:v>
      </x:c>
      <x:c r="CH390" s="141" t="n">
        <x:f>IF(CC390&gt;1,"Inviavel",CG390)</x:f>
        <x:v>29285688.889430907</x:v>
      </x:c>
      <x:c r="CI390" s="145" t="str">
        <x:f>IF(CC390&gt;1,"Inviavel","OK")</x:f>
        <x:v>OK</x:v>
      </x:c>
    </x:row>
    <x:row r="391">
      <x:c r="A391" s="142" t="n">
        <x:v>387</x:v>
      </x:c>
      <x:c r="B391" s="179" t="n">
        <x:f>EDATE(Premissas!$B$4,A391-1)</x:f>
        <x:v>58288</x:v>
      </x:c>
      <x:c r="C391" s="141" t="n">
        <x:f>IF(A391&lt;=Premissas!$B$39,Premissas!$B$42,0)</x:f>
        <x:v>7000</x:v>
      </x:c>
      <x:c r="D391" s="141" t="n">
        <x:f>Premissas!$B$54*(1+Premissas!$B$57)^INT((A391-1)/12)</x:f>
        <x:v>4517.370677319737</x:v>
      </x:c>
      <x:c r="E391" s="141" t="n">
        <x:f>Premissas!$B$64*(1+Premissas!$B$57)^INT((A391-1)/12)</x:f>
        <x:v>4130.1674764066165</x:v>
      </x:c>
      <x:c r="F391" s="141" t="n">
        <x:f>MAX(0,Premissas!$B$6*(1+Premissas!$B$66)^((A391-1)/12))</x:f>
        <x:v>1303272.7908545195</x:v>
      </x:c>
      <x:c r="G391" s="141" t="n">
        <x:f>G390*(1+Premissas!$B$41)+C391</x:f>
        <x:v>31230369.79922358</x:v>
      </x:c>
      <x:c r="H391" s="141" t="n">
        <x:f>IF($A391=Premissas!$B$48,Premissas!$B$8,0)</x:f>
        <x:v>0</x:v>
      </x:c>
      <x:c r="I391" s="141" t="n">
        <x:f>IF(AND($A391&gt;=Premissas!$B$48,$A391-Premissas!$B$48+1&lt;=Premissas!$B$13),INDEX(Financiamento!$J$6:$J$485,$A391-Premissas!$B$48+1),0)</x:f>
        <x:v>653.8548418193617</x:v>
      </x:c>
      <x:c r="J391" s="141" t="n">
        <x:f>IF(AND(TRUE,Premissas!$B$11="Imovel",Premissas!$B$47="Moradia",$A391&lt;MAX(Premissas!$B$48,Premissas!$B$49)),$D391,0)</x:f>
        <x:v>0</x:v>
      </x:c>
      <x:c r="K391" s="141" t="n">
        <x:f>IF(AND(TRUE,Premissas!$B$11="Imovel",Premissas!$B$47="Investimento",$A391&gt;=MAX(Premissas!$B$48,Premissas!$B$49)),$E391,0)</x:f>
        <x:v>4130.1674764066165</x:v>
      </x:c>
      <x:c r="L391" s="141" t="n">
        <x:f>H391+I391+J391</x:f>
        <x:v>653.8548418193617</x:v>
      </x:c>
      <x:c r="M391" s="141" t="n">
        <x:f>K391</x:f>
        <x:v>4130.1674764066165</x:v>
      </x:c>
      <x:c r="N391" s="141" t="n">
        <x:f>$C391+M391-L391</x:f>
        <x:v>10476.312634587253</x:v>
      </x:c>
      <x:c r="O391" s="141" t="n">
        <x:f>R390*(1+Premissas!$B$41)+N391</x:f>
        <x:v>27262038.078104828</x:v>
      </x:c>
      <x:c r="P391" s="141" t="n">
        <x:f>MAX(0,-O391)</x:f>
        <x:v>0</x:v>
      </x:c>
      <x:c r="Q391" s="141" t="n">
        <x:f>Q390*(1+Premissas!$B$41)+P391</x:f>
        <x:v>0</x:v>
      </x:c>
      <x:c r="R391" s="141" t="n">
        <x:f>MAX(0,O391)</x:f>
        <x:v>27262038.078104828</x:v>
      </x:c>
      <x:c r="S391" s="141" t="n">
        <x:f>IF(AND($A391&gt;=Premissas!$B$48,$A391-Premissas!$B$48+1&lt;=Premissas!$B$13),INDEX(Financiamento!$M$6:$M$485,$A391-Premissas!$B$48+1),0)</x:f>
        <x:v>12571.42857142858</x:v>
      </x:c>
      <x:c r="T391" s="141" t="n">
        <x:f>IF($A391&gt;=Premissas!$B$48,$F391,0)</x:f>
        <x:v>1303272.7908545195</x:v>
      </x:c>
      <x:c r="U391" s="141" t="n">
        <x:f>R391+T391-S391</x:f>
        <x:v>28552739.44038792</x:v>
      </x:c>
      <x:c r="V391" s="141" t="n">
        <x:f>IF(Q391&gt;1,"Inviavel",U391)</x:f>
        <x:v>28552739.44038792</x:v>
      </x:c>
      <x:c r="W391" s="141" t="str">
        <x:f>IF(Q391&gt;1,"Inviavel","OK")</x:f>
        <x:v>OK</x:v>
      </x:c>
      <x:c r="X391" s="141" t="n">
        <x:f>IF($A391=Premissas!$B$48,Premissas!$B$8,0)</x:f>
        <x:v>0</x:v>
      </x:c>
      <x:c r="Y391" s="141" t="n">
        <x:f>IF(AND($A391&gt;=Premissas!$B$48,$A391-Premissas!$B$48+1&lt;=Premissas!$B$13),INDEX(Amortizacao!$K$6:$K$485,$A391-Premissas!$B$48+1),0)</x:f>
        <x:v>0</x:v>
      </x:c>
      <x:c r="Z391" s="141" t="n">
        <x:f>IF(AND(TRUE,Premissas!$B$11="Imovel",Premissas!$B$47="Moradia",$A391&lt;MAX(Premissas!$B$48,Premissas!$B$49)),$D391,0)</x:f>
        <x:v>0</x:v>
      </x:c>
      <x:c r="AA391" s="141" t="n">
        <x:f>IF(AND(TRUE,Premissas!$B$11="Imovel",Premissas!$B$47="Investimento",$A391&gt;=MAX(Premissas!$B$48,Premissas!$B$49)),$E391,0)</x:f>
        <x:v>4130.1674764066165</x:v>
      </x:c>
      <x:c r="AB391" s="141" t="n">
        <x:f>X391+Y391+Z391</x:f>
        <x:v>0</x:v>
      </x:c>
      <x:c r="AC391" s="141" t="n">
        <x:f>AA391</x:f>
        <x:v>4130.1674764066165</x:v>
      </x:c>
      <x:c r="AD391" s="141" t="n">
        <x:f>$C391+AC391-AB391</x:f>
        <x:v>11130.167476406616</x:v>
      </x:c>
      <x:c r="AE391" s="141" t="n">
        <x:f>AH390*(1+Premissas!$B$41)+AD391</x:f>
        <x:v>27707268.64269371</x:v>
      </x:c>
      <x:c r="AF391" s="141" t="n">
        <x:f>MAX(0,-AE391)</x:f>
        <x:v>0</x:v>
      </x:c>
      <x:c r="AG391" s="141" t="n">
        <x:f>AG390*(1+Premissas!$B$41)+AF391</x:f>
        <x:v>0</x:v>
      </x:c>
      <x:c r="AH391" s="141" t="n">
        <x:f>MAX(0,AE391)</x:f>
        <x:v>27707268.64269371</x:v>
      </x:c>
      <x:c r="AI391" s="141" t="n">
        <x:f>IF(AND($A391&gt;=Premissas!$B$48,$A391-Premissas!$B$48+1&lt;=Premissas!$B$13),INDEX(Amortizacao!$L$6:$L$485,$A391-Premissas!$B$48+1),0)</x:f>
        <x:v>0</x:v>
      </x:c>
      <x:c r="AJ391" s="141" t="n">
        <x:f>IF($A391&gt;=Premissas!$B$48,$F391,0)</x:f>
        <x:v>1303272.7908545195</x:v>
      </x:c>
      <x:c r="AK391" s="141" t="n">
        <x:f>AH391+AJ391-AI391</x:f>
        <x:v>29010541.43354823</x:v>
      </x:c>
      <x:c r="AL391" s="141" t="n">
        <x:f>IF(AG391&gt;1,"Inviavel",AK391)</x:f>
        <x:v>29010541.43354823</x:v>
      </x:c>
      <x:c r="AM391" s="141" t="str">
        <x:f>IF(AG391&gt;1,"Inviavel","OK")</x:f>
        <x:v>OK</x:v>
      </x:c>
      <x:c r="AN391" s="141" t="n">
        <x:f>IF($A391=Premissas!$B$48,Premissas!$B$8,0)</x:f>
        <x:v>0</x:v>
      </x:c>
      <x:c r="AO391" s="141" t="n">
        <x:f>IF($A391&lt;=Premissas!$B$25,INDEX('Consorcio IQ'!$K$6:$K$485,$A391),0)</x:f>
        <x:v>0</x:v>
      </x:c>
      <x:c r="AP391" s="141" t="n">
        <x:f>IF(AND(TRUE,Premissas!$B$11="Imovel",Premissas!$B$47="Moradia",$A391&lt;MAX(Premissas!$B$48,Premissas!$B$49)),$D391,0)</x:f>
        <x:v>0</x:v>
      </x:c>
      <x:c r="AQ391" s="141" t="n">
        <x:f>IF(AND(TRUE,Premissas!$B$11="Imovel",Premissas!$B$47="Investimento",$A391&gt;=MAX(Premissas!$B$48,Premissas!$B$49)),$E391,0)</x:f>
        <x:v>4130.1674764066165</x:v>
      </x:c>
      <x:c r="AR391" s="141" t="n">
        <x:f>AN391+AO391+AP391</x:f>
        <x:v>0</x:v>
      </x:c>
      <x:c r="AS391" s="141" t="n">
        <x:f>AQ391</x:f>
        <x:v>4130.1674764066165</x:v>
      </x:c>
      <x:c r="AT391" s="141" t="n">
        <x:f>$C391+AS391-AR391</x:f>
        <x:v>11130.167476406616</x:v>
      </x:c>
      <x:c r="AU391" s="141" t="n">
        <x:f>AX390*(1+Premissas!$B$41)+AT391</x:f>
        <x:v>27485931.809906088</x:v>
      </x:c>
      <x:c r="AV391" s="141" t="n">
        <x:f>MAX(0,-AU391)</x:f>
        <x:v>0</x:v>
      </x:c>
      <x:c r="AW391" s="141" t="n">
        <x:f>AW390*(1+Premissas!$B$41)+AV391</x:f>
        <x:v>0</x:v>
      </x:c>
      <x:c r="AX391" s="141" t="n">
        <x:f>MAX(0,AU391)</x:f>
        <x:v>27485931.809906088</x:v>
      </x:c>
      <x:c r="AY391" s="141" t="n">
        <x:f>INDEX('Consorcio IQ'!$P$6:$P$485,$A391)</x:f>
        <x:v>0</x:v>
      </x:c>
      <x:c r="AZ391" s="141" t="n">
        <x:f>IF($A391&gt;=Premissas!$B$48,$F391,0)+IF($A391&lt;Premissas!$B$27,INDEX('Consorcio IQ'!$O$6:$O$485,$A391),0)</x:f>
        <x:v>1303272.7908545195</x:v>
      </x:c>
      <x:c r="BA391" s="141" t="n">
        <x:f>AX391+AZ391-AY391</x:f>
        <x:v>28789204.60076061</x:v>
      </x:c>
      <x:c r="BB391" s="141" t="n">
        <x:f>IF(AW391&gt;1,"Inviavel",BA391)</x:f>
        <x:v>28789204.60076061</x:v>
      </x:c>
      <x:c r="BC391" s="141" t="str">
        <x:f>IF(AW391&gt;1,"Inviavel","OK")</x:f>
        <x:v>OK</x:v>
      </x:c>
      <x:c r="BD391" s="141" t="n">
        <x:f>IF($A391='Consorcio Direto'!$B$29,'Consorcio Direto'!$B$44,0)</x:f>
        <x:v>0</x:v>
      </x:c>
      <x:c r="BE391" s="141" t="n">
        <x:f>IF($A391&lt;='Consorcio Direto'!$B$27,INDEX('Consorcio Direto'!$E$55:$E$534,$A391),0)</x:f>
        <x:v>0</x:v>
      </x:c>
      <x:c r="BF391" s="141" t="n">
        <x:f>IF(AND(TRUE,Premissas!$B$11="Imovel",Premissas!$B$47="Moradia",$A391&lt;MAX('Consorcio Direto'!$B$29,Premissas!$B$49)),$D391,0)</x:f>
        <x:v>0</x:v>
      </x:c>
      <x:c r="BG391" s="141" t="n">
        <x:f>IF(AND(TRUE,Premissas!$B$11="Imovel",Premissas!$B$47="Investimento",$A391&gt;=MAX('Consorcio Direto'!$B$29,Premissas!$B$49)),$E391,0)</x:f>
        <x:v>4130.1674764066165</x:v>
      </x:c>
      <x:c r="BH391" s="141" t="n">
        <x:f>BD391+BE391+BF391</x:f>
        <x:v>0</x:v>
      </x:c>
      <x:c r="BI391" s="141" t="n">
        <x:f>BG391</x:f>
        <x:v>4130.1674764066165</x:v>
      </x:c>
      <x:c r="BJ391" s="141" t="n">
        <x:f>$C391+BI391-BH391</x:f>
        <x:v>11130.167476406616</x:v>
      </x:c>
      <x:c r="BK391" s="141" t="n">
        <x:f>BN390*(1+Premissas!$B$41)+BJ391</x:f>
        <x:v>26289741.383652203</x:v>
      </x:c>
      <x:c r="BL391" s="141" t="n">
        <x:f>MAX(0,-BK391)</x:f>
        <x:v>0</x:v>
      </x:c>
      <x:c r="BM391" s="141" t="n">
        <x:f>BM390*(1+Premissas!$B$41)+BL391</x:f>
        <x:v>0</x:v>
      </x:c>
      <x:c r="BN391" s="141" t="n">
        <x:f>MAX(0,BK391)</x:f>
        <x:v>26289741.383652203</x:v>
      </x:c>
      <x:c r="BO391" s="141" t="n">
        <x:f>INDEX('Consorcio Direto'!$K$55:$K$534,$A391)</x:f>
        <x:v>0</x:v>
      </x:c>
      <x:c r="BP391" s="141" t="n">
        <x:f>IF($A391&lt;'Consorcio Direto'!$B$29,INDEX('Consorcio Direto'!$L$55:$L$534,$A391),$F391)</x:f>
        <x:v>1303272.7908545195</x:v>
      </x:c>
      <x:c r="BQ391" s="141" t="n">
        <x:f>BN391+BP391-BO391</x:f>
        <x:v>27593014.174506724</x:v>
      </x:c>
      <x:c r="BR391" s="141" t="n">
        <x:f>IF(BM391&gt;1,"Inviavel",BQ391)</x:f>
        <x:v>27593014.174506724</x:v>
      </x:c>
      <x:c r="BS391" s="141" t="str">
        <x:f>IF(BM391&gt;1,"Inviavel","OK")</x:f>
        <x:v>OK</x:v>
      </x:c>
      <x:c r="BT391" s="141" t="n">
        <x:f>IF(AND('Carta Contemplada'!$B$22="Sim",$A391='Carta Contemplada'!$B$23),'Carta Contemplada'!$B$37,0)</x:f>
        <x:v>0</x:v>
      </x:c>
      <x:c r="BU391" s="141" t="n">
        <x:f>IF('Carta Contemplada'!$B$22="Sim",INDEX('Carta Contemplada'!$C$55:$C$1013,$A391),0)</x:f>
        <x:v>0</x:v>
      </x:c>
      <x:c r="BV391" s="141" t="n">
        <x:f>IF(AND('Carta Contemplada'!$B$22="Sim",Premissas!$B$11="Imovel",Premissas!$B$47="Moradia",$A391&lt;MAX('Carta Contemplada'!$B$44,Premissas!$B$49)),$D391,0)</x:f>
        <x:v>0</x:v>
      </x:c>
      <x:c r="BW391" s="141" t="n">
        <x:f>IF(AND('Carta Contemplada'!$B$22="Sim",Premissas!$B$11="Imovel",Premissas!$B$47="Investimento",$A391&gt;=MAX('Carta Contemplada'!$B$44,Premissas!$B$49)),$E391,0)</x:f>
        <x:v>4130.1674764066165</x:v>
      </x:c>
      <x:c r="BX391" s="141" t="n">
        <x:f>BT391+BU391+BV391</x:f>
        <x:v>0</x:v>
      </x:c>
      <x:c r="BY391" s="141" t="n">
        <x:f>BW391</x:f>
        <x:v>4130.1674764066165</x:v>
      </x:c>
      <x:c r="BZ391" s="141" t="n">
        <x:f>$C391+BY391-BX391</x:f>
        <x:v>11130.167476406616</x:v>
      </x:c>
      <x:c r="CA391" s="141" t="n">
        <x:f>CD390*(1+Premissas!$B$41)+BZ391</x:f>
        <x:v>28265438.538414378</x:v>
      </x:c>
      <x:c r="CB391" s="141" t="n">
        <x:f>MAX(0,-CA391)</x:f>
        <x:v>0</x:v>
      </x:c>
      <x:c r="CC391" s="141" t="n">
        <x:f>CC390*(1+Premissas!$B$41)+CB391</x:f>
        <x:v>0</x:v>
      </x:c>
      <x:c r="CD391" s="141" t="n">
        <x:f>MAX(0,CA391)</x:f>
        <x:v>28265438.538414378</x:v>
      </x:c>
      <x:c r="CE391" s="141" t="n">
        <x:f>IF(AND('Carta Contemplada'!$B$22="Sim",$A391&gt;='Carta Contemplada'!$B$23),INDEX('Carta Contemplada'!$I$55:$I$1013,$A391),0)</x:f>
        <x:v>0</x:v>
      </x:c>
      <x:c r="CF391" s="141" t="n">
        <x:f>IF(AND('Carta Contemplada'!$B$22="Sim",$A391&gt;='Carta Contemplada'!$B$44),$F391,0)</x:f>
        <x:v>1303272.7908545195</x:v>
      </x:c>
      <x:c r="CG391" s="141" t="n">
        <x:f>CD391+CF391-CE391</x:f>
        <x:v>29568711.3292689</x:v>
      </x:c>
      <x:c r="CH391" s="141" t="n">
        <x:f>IF(CC391&gt;1,"Inviavel",CG391)</x:f>
        <x:v>29568711.3292689</x:v>
      </x:c>
      <x:c r="CI391" s="145" t="str">
        <x:f>IF(CC391&gt;1,"Inviavel","OK")</x:f>
        <x:v>OK</x:v>
      </x:c>
    </x:row>
    <x:row r="392">
      <x:c r="A392" s="142" t="n">
        <x:v>388</x:v>
      </x:c>
      <x:c r="B392" s="179" t="n">
        <x:f>EDATE(Premissas!$B$4,A392-1)</x:f>
        <x:v>58319</x:v>
      </x:c>
      <x:c r="C392" s="141" t="n">
        <x:f>IF(A392&lt;=Premissas!$B$39,Premissas!$B$42,0)</x:f>
        <x:v>7000</x:v>
      </x:c>
      <x:c r="D392" s="141" t="n">
        <x:f>Premissas!$B$54*(1+Premissas!$B$57)^INT((A392-1)/12)</x:f>
        <x:v>4517.370677319737</x:v>
      </x:c>
      <x:c r="E392" s="141" t="n">
        <x:f>Premissas!$B$64*(1+Premissas!$B$57)^INT((A392-1)/12)</x:f>
        <x:v>4130.1674764066165</x:v>
      </x:c>
      <x:c r="F392" s="141" t="n">
        <x:f>MAX(0,Premissas!$B$6*(1+Premissas!$B$66)^((A392-1)/12))</x:f>
        <x:v>1309616.5370644396</x:v>
      </x:c>
      <x:c r="G392" s="141" t="n">
        <x:f>G391*(1+Premissas!$B$41)+C392</x:f>
        <x:v>31533708.311518867</x:v>
      </x:c>
      <x:c r="H392" s="141" t="n">
        <x:f>IF($A392=Premissas!$B$48,Premissas!$B$8,0)</x:f>
        <x:v>0</x:v>
      </x:c>
      <x:c r="I392" s="141" t="n">
        <x:f>IF(AND($A392&gt;=Premissas!$B$48,$A392-Premissas!$B$48+1&lt;=Premissas!$B$13),INDEX(Financiamento!$J$6:$J$485,$A392-Premissas!$B$48+1),0)</x:f>
        <x:v>650.2400635585682</x:v>
      </x:c>
      <x:c r="J392" s="141" t="n">
        <x:f>IF(AND(TRUE,Premissas!$B$11="Imovel",Premissas!$B$47="Moradia",$A392&lt;MAX(Premissas!$B$48,Premissas!$B$49)),$D392,0)</x:f>
        <x:v>0</x:v>
      </x:c>
      <x:c r="K392" s="141" t="n">
        <x:f>IF(AND(TRUE,Premissas!$B$11="Imovel",Premissas!$B$47="Investimento",$A392&gt;=MAX(Premissas!$B$48,Premissas!$B$49)),$E392,0)</x:f>
        <x:v>4130.1674764066165</x:v>
      </x:c>
      <x:c r="L392" s="141" t="n">
        <x:f>H392+I392+J392</x:f>
        <x:v>650.2400635585682</x:v>
      </x:c>
      <x:c r="M392" s="141" t="n">
        <x:f>K392</x:f>
        <x:v>4130.1674764066165</x:v>
      </x:c>
      <x:c r="N392" s="141" t="n">
        <x:f>$C392+M392-L392</x:f>
        <x:v>10479.927412848047</x:v>
      </x:c>
      <x:c r="O392" s="141" t="n">
        <x:f>R391*(1+Premissas!$B$41)+N392</x:f>
        <x:v>27531201.83981553</x:v>
      </x:c>
      <x:c r="P392" s="141" t="n">
        <x:f>MAX(0,-O392)</x:f>
        <x:v>0</x:v>
      </x:c>
      <x:c r="Q392" s="141" t="n">
        <x:f>Q391*(1+Premissas!$B$41)+P392</x:f>
        <x:v>0</x:v>
      </x:c>
      <x:c r="R392" s="141" t="n">
        <x:f>MAX(0,O392)</x:f>
        <x:v>27531201.83981553</x:v>
      </x:c>
      <x:c r="S392" s="141" t="n">
        <x:f>IF(AND($A392&gt;=Premissas!$B$48,$A392-Premissas!$B$48+1&lt;=Premissas!$B$13),INDEX(Financiamento!$M$6:$M$485,$A392-Premissas!$B$48+1),0)</x:f>
        <x:v>12190.476190476198</x:v>
      </x:c>
      <x:c r="T392" s="141" t="n">
        <x:f>IF($A392&gt;=Premissas!$B$48,$F392,0)</x:f>
        <x:v>1309616.5370644396</x:v>
      </x:c>
      <x:c r="U392" s="141" t="n">
        <x:f>R392+T392-S392</x:f>
        <x:v>28828627.900689494</x:v>
      </x:c>
      <x:c r="V392" s="141" t="n">
        <x:f>IF(Q392&gt;1,"Inviavel",U392)</x:f>
        <x:v>28828627.900689494</x:v>
      </x:c>
      <x:c r="W392" s="141" t="str">
        <x:f>IF(Q392&gt;1,"Inviavel","OK")</x:f>
        <x:v>OK</x:v>
      </x:c>
      <x:c r="X392" s="141" t="n">
        <x:f>IF($A392=Premissas!$B$48,Premissas!$B$8,0)</x:f>
        <x:v>0</x:v>
      </x:c>
      <x:c r="Y392" s="141" t="n">
        <x:f>IF(AND($A392&gt;=Premissas!$B$48,$A392-Premissas!$B$48+1&lt;=Premissas!$B$13),INDEX(Amortizacao!$K$6:$K$485,$A392-Premissas!$B$48+1),0)</x:f>
        <x:v>0</x:v>
      </x:c>
      <x:c r="Z392" s="141" t="n">
        <x:f>IF(AND(TRUE,Premissas!$B$11="Imovel",Premissas!$B$47="Moradia",$A392&lt;MAX(Premissas!$B$48,Premissas!$B$49)),$D392,0)</x:f>
        <x:v>0</x:v>
      </x:c>
      <x:c r="AA392" s="141" t="n">
        <x:f>IF(AND(TRUE,Premissas!$B$11="Imovel",Premissas!$B$47="Investimento",$A392&gt;=MAX(Premissas!$B$48,Premissas!$B$49)),$E392,0)</x:f>
        <x:v>4130.1674764066165</x:v>
      </x:c>
      <x:c r="AB392" s="141" t="n">
        <x:f>X392+Y392+Z392</x:f>
        <x:v>0</x:v>
      </x:c>
      <x:c r="AC392" s="141" t="n">
        <x:f>AA392</x:f>
        <x:v>4130.1674764066165</x:v>
      </x:c>
      <x:c r="AD392" s="141" t="n">
        <x:f>$C392+AC392-AB392</x:f>
        <x:v>11130.167476406616</x:v>
      </x:c>
      <x:c r="AE392" s="141" t="n">
        <x:f>AH391*(1+Premissas!$B$41)+AD392</x:f>
        <x:v>27981307.345103506</x:v>
      </x:c>
      <x:c r="AF392" s="141" t="n">
        <x:f>MAX(0,-AE392)</x:f>
        <x:v>0</x:v>
      </x:c>
      <x:c r="AG392" s="141" t="n">
        <x:f>AG391*(1+Premissas!$B$41)+AF392</x:f>
        <x:v>0</x:v>
      </x:c>
      <x:c r="AH392" s="141" t="n">
        <x:f>MAX(0,AE392)</x:f>
        <x:v>27981307.345103506</x:v>
      </x:c>
      <x:c r="AI392" s="141" t="n">
        <x:f>IF(AND($A392&gt;=Premissas!$B$48,$A392-Premissas!$B$48+1&lt;=Premissas!$B$13),INDEX(Amortizacao!$L$6:$L$485,$A392-Premissas!$B$48+1),0)</x:f>
        <x:v>0</x:v>
      </x:c>
      <x:c r="AJ392" s="141" t="n">
        <x:f>IF($A392&gt;=Premissas!$B$48,$F392,0)</x:f>
        <x:v>1309616.5370644396</x:v>
      </x:c>
      <x:c r="AK392" s="141" t="n">
        <x:f>AH392+AJ392-AI392</x:f>
        <x:v>29290923.882167947</x:v>
      </x:c>
      <x:c r="AL392" s="141" t="n">
        <x:f>IF(AG392&gt;1,"Inviavel",AK392)</x:f>
        <x:v>29290923.882167947</x:v>
      </x:c>
      <x:c r="AM392" s="141" t="str">
        <x:f>IF(AG392&gt;1,"Inviavel","OK")</x:f>
        <x:v>OK</x:v>
      </x:c>
      <x:c r="AN392" s="141" t="n">
        <x:f>IF($A392=Premissas!$B$48,Premissas!$B$8,0)</x:f>
        <x:v>0</x:v>
      </x:c>
      <x:c r="AO392" s="141" t="n">
        <x:f>IF($A392&lt;=Premissas!$B$25,INDEX('Consorcio IQ'!$K$6:$K$485,$A392),0)</x:f>
        <x:v>0</x:v>
      </x:c>
      <x:c r="AP392" s="141" t="n">
        <x:f>IF(AND(TRUE,Premissas!$B$11="Imovel",Premissas!$B$47="Moradia",$A392&lt;MAX(Premissas!$B$48,Premissas!$B$49)),$D392,0)</x:f>
        <x:v>0</x:v>
      </x:c>
      <x:c r="AQ392" s="141" t="n">
        <x:f>IF(AND(TRUE,Premissas!$B$11="Imovel",Premissas!$B$47="Investimento",$A392&gt;=MAX(Premissas!$B$48,Premissas!$B$49)),$E392,0)</x:f>
        <x:v>4130.1674764066165</x:v>
      </x:c>
      <x:c r="AR392" s="141" t="n">
        <x:f>AN392+AO392+AP392</x:f>
        <x:v>0</x:v>
      </x:c>
      <x:c r="AS392" s="141" t="n">
        <x:f>AQ392</x:f>
        <x:v>4130.1674764066165</x:v>
      </x:c>
      <x:c r="AT392" s="141" t="n">
        <x:f>$C392+AS392-AR392</x:f>
        <x:v>11130.167476406616</x:v>
      </x:c>
      <x:c r="AU392" s="141" t="n">
        <x:f>AX391*(1+Premissas!$B$41)+AT392</x:f>
        <x:v>27757870.292940766</x:v>
      </x:c>
      <x:c r="AV392" s="141" t="n">
        <x:f>MAX(0,-AU392)</x:f>
        <x:v>0</x:v>
      </x:c>
      <x:c r="AW392" s="141" t="n">
        <x:f>AW391*(1+Premissas!$B$41)+AV392</x:f>
        <x:v>0</x:v>
      </x:c>
      <x:c r="AX392" s="141" t="n">
        <x:f>MAX(0,AU392)</x:f>
        <x:v>27757870.292940766</x:v>
      </x:c>
      <x:c r="AY392" s="141" t="n">
        <x:f>INDEX('Consorcio IQ'!$P$6:$P$485,$A392)</x:f>
        <x:v>0</x:v>
      </x:c>
      <x:c r="AZ392" s="141" t="n">
        <x:f>IF($A392&gt;=Premissas!$B$48,$F392,0)+IF($A392&lt;Premissas!$B$27,INDEX('Consorcio IQ'!$O$6:$O$485,$A392),0)</x:f>
        <x:v>1309616.5370644396</x:v>
      </x:c>
      <x:c r="BA392" s="141" t="n">
        <x:f>AX392+AZ392-AY392</x:f>
        <x:v>29067486.830005206</x:v>
      </x:c>
      <x:c r="BB392" s="141" t="n">
        <x:f>IF(AW392&gt;1,"Inviavel",BA392)</x:f>
        <x:v>29067486.830005206</x:v>
      </x:c>
      <x:c r="BC392" s="141" t="str">
        <x:f>IF(AW392&gt;1,"Inviavel","OK")</x:f>
        <x:v>OK</x:v>
      </x:c>
      <x:c r="BD392" s="141" t="n">
        <x:f>IF($A392='Consorcio Direto'!$B$29,'Consorcio Direto'!$B$44,0)</x:f>
        <x:v>0</x:v>
      </x:c>
      <x:c r="BE392" s="141" t="n">
        <x:f>IF($A392&lt;='Consorcio Direto'!$B$27,INDEX('Consorcio Direto'!$E$55:$E$534,$A392),0)</x:f>
        <x:v>0</x:v>
      </x:c>
      <x:c r="BF392" s="141" t="n">
        <x:f>IF(AND(TRUE,Premissas!$B$11="Imovel",Premissas!$B$47="Moradia",$A392&lt;MAX('Consorcio Direto'!$B$29,Premissas!$B$49)),$D392,0)</x:f>
        <x:v>0</x:v>
      </x:c>
      <x:c r="BG392" s="141" t="n">
        <x:f>IF(AND(TRUE,Premissas!$B$11="Imovel",Premissas!$B$47="Investimento",$A392&gt;=MAX('Consorcio Direto'!$B$29,Premissas!$B$49)),$E392,0)</x:f>
        <x:v>4130.1674764066165</x:v>
      </x:c>
      <x:c r="BH392" s="141" t="n">
        <x:f>BD392+BE392+BF392</x:f>
        <x:v>0</x:v>
      </x:c>
      <x:c r="BI392" s="141" t="n">
        <x:f>BG392</x:f>
        <x:v>4130.1674764066165</x:v>
      </x:c>
      <x:c r="BJ392" s="141" t="n">
        <x:f>$C392+BI392-BH392</x:f>
        <x:v>11130.167476406616</x:v>
      </x:c>
      <x:c r="BK392" s="141" t="n">
        <x:f>BN391*(1+Premissas!$B$41)+BJ392</x:f>
        <x:v>26550329.463421825</x:v>
      </x:c>
      <x:c r="BL392" s="141" t="n">
        <x:f>MAX(0,-BK392)</x:f>
        <x:v>0</x:v>
      </x:c>
      <x:c r="BM392" s="141" t="n">
        <x:f>BM391*(1+Premissas!$B$41)+BL392</x:f>
        <x:v>0</x:v>
      </x:c>
      <x:c r="BN392" s="141" t="n">
        <x:f>MAX(0,BK392)</x:f>
        <x:v>26550329.463421825</x:v>
      </x:c>
      <x:c r="BO392" s="141" t="n">
        <x:f>INDEX('Consorcio Direto'!$K$55:$K$534,$A392)</x:f>
        <x:v>0</x:v>
      </x:c>
      <x:c r="BP392" s="141" t="n">
        <x:f>IF($A392&lt;'Consorcio Direto'!$B$29,INDEX('Consorcio Direto'!$L$55:$L$534,$A392),$F392)</x:f>
        <x:v>1309616.5370644396</x:v>
      </x:c>
      <x:c r="BQ392" s="141" t="n">
        <x:f>BN392+BP392-BO392</x:f>
        <x:v>27859946.000486266</x:v>
      </x:c>
      <x:c r="BR392" s="141" t="n">
        <x:f>IF(BM392&gt;1,"Inviavel",BQ392)</x:f>
        <x:v>27859946.000486266</x:v>
      </x:c>
      <x:c r="BS392" s="141" t="str">
        <x:f>IF(BM392&gt;1,"Inviavel","OK")</x:f>
        <x:v>OK</x:v>
      </x:c>
      <x:c r="BT392" s="141" t="n">
        <x:f>IF(AND('Carta Contemplada'!$B$22="Sim",$A392='Carta Contemplada'!$B$23),'Carta Contemplada'!$B$37,0)</x:f>
        <x:v>0</x:v>
      </x:c>
      <x:c r="BU392" s="141" t="n">
        <x:f>IF('Carta Contemplada'!$B$22="Sim",INDEX('Carta Contemplada'!$C$55:$C$1013,$A392),0)</x:f>
        <x:v>0</x:v>
      </x:c>
      <x:c r="BV392" s="141" t="n">
        <x:f>IF(AND('Carta Contemplada'!$B$22="Sim",Premissas!$B$11="Imovel",Premissas!$B$47="Moradia",$A392&lt;MAX('Carta Contemplada'!$B$44,Premissas!$B$49)),$D392,0)</x:f>
        <x:v>0</x:v>
      </x:c>
      <x:c r="BW392" s="141" t="n">
        <x:f>IF(AND('Carta Contemplada'!$B$22="Sim",Premissas!$B$11="Imovel",Premissas!$B$47="Investimento",$A392&gt;=MAX('Carta Contemplada'!$B$44,Premissas!$B$49)),$E392,0)</x:f>
        <x:v>4130.1674764066165</x:v>
      </x:c>
      <x:c r="BX392" s="141" t="n">
        <x:f>BT392+BU392+BV392</x:f>
        <x:v>0</x:v>
      </x:c>
      <x:c r="BY392" s="141" t="n">
        <x:f>BW392</x:f>
        <x:v>4130.1674764066165</x:v>
      </x:c>
      <x:c r="BZ392" s="141" t="n">
        <x:f>$C392+BY392-BX392</x:f>
        <x:v>11130.167476406616</x:v>
      </x:c>
      <x:c r="CA392" s="141" t="n">
        <x:f>CD391*(1+Premissas!$B$41)+BZ392</x:f>
        <x:v>28544773.599386983</x:v>
      </x:c>
      <x:c r="CB392" s="141" t="n">
        <x:f>MAX(0,-CA392)</x:f>
        <x:v>0</x:v>
      </x:c>
      <x:c r="CC392" s="141" t="n">
        <x:f>CC391*(1+Premissas!$B$41)+CB392</x:f>
        <x:v>0</x:v>
      </x:c>
      <x:c r="CD392" s="141" t="n">
        <x:f>MAX(0,CA392)</x:f>
        <x:v>28544773.599386983</x:v>
      </x:c>
      <x:c r="CE392" s="141" t="n">
        <x:f>IF(AND('Carta Contemplada'!$B$22="Sim",$A392&gt;='Carta Contemplada'!$B$23),INDEX('Carta Contemplada'!$I$55:$I$1013,$A392),0)</x:f>
        <x:v>0</x:v>
      </x:c>
      <x:c r="CF392" s="141" t="n">
        <x:f>IF(AND('Carta Contemplada'!$B$22="Sim",$A392&gt;='Carta Contemplada'!$B$44),$F392,0)</x:f>
        <x:v>1309616.5370644396</x:v>
      </x:c>
      <x:c r="CG392" s="141" t="n">
        <x:f>CD392+CF392-CE392</x:f>
        <x:v>29854390.136451423</x:v>
      </x:c>
      <x:c r="CH392" s="141" t="n">
        <x:f>IF(CC392&gt;1,"Inviavel",CG392)</x:f>
        <x:v>29854390.136451423</x:v>
      </x:c>
      <x:c r="CI392" s="145" t="str">
        <x:f>IF(CC392&gt;1,"Inviavel","OK")</x:f>
        <x:v>OK</x:v>
      </x:c>
    </x:row>
    <x:row r="393">
      <x:c r="A393" s="142" t="n">
        <x:v>389</x:v>
      </x:c>
      <x:c r="B393" s="179" t="n">
        <x:f>EDATE(Premissas!$B$4,A393-1)</x:f>
        <x:v>58349</x:v>
      </x:c>
      <x:c r="C393" s="141" t="n">
        <x:f>IF(A393&lt;=Premissas!$B$39,Premissas!$B$42,0)</x:f>
        <x:v>7000</x:v>
      </x:c>
      <x:c r="D393" s="141" t="n">
        <x:f>Premissas!$B$54*(1+Premissas!$B$57)^INT((A393-1)/12)</x:f>
        <x:v>4517.370677319737</x:v>
      </x:c>
      <x:c r="E393" s="141" t="n">
        <x:f>Premissas!$B$64*(1+Premissas!$B$57)^INT((A393-1)/12)</x:f>
        <x:v>4130.1674764066165</x:v>
      </x:c>
      <x:c r="F393" s="141" t="n">
        <x:f>MAX(0,Premissas!$B$6*(1+Premissas!$B$66)^((A393-1)/12))</x:f>
        <x:v>1315991.1617798104</x:v>
      </x:c>
      <x:c r="G393" s="141" t="n">
        <x:f>G392*(1+Premissas!$B$41)+C393</x:f>
        <x:v>31839925.14014641</x:v>
      </x:c>
      <x:c r="H393" s="141" t="n">
        <x:f>IF($A393=Premissas!$B$48,Premissas!$B$8,0)</x:f>
        <x:v>0</x:v>
      </x:c>
      <x:c r="I393" s="141" t="n">
        <x:f>IF(AND($A393&gt;=Premissas!$B$48,$A393-Premissas!$B$48+1&lt;=Premissas!$B$13),INDEX(Financiamento!$J$6:$J$485,$A393-Premissas!$B$48+1),0)</x:f>
        <x:v>646.6252852977746</x:v>
      </x:c>
      <x:c r="J393" s="141" t="n">
        <x:f>IF(AND(TRUE,Premissas!$B$11="Imovel",Premissas!$B$47="Moradia",$A393&lt;MAX(Premissas!$B$48,Premissas!$B$49)),$D393,0)</x:f>
        <x:v>0</x:v>
      </x:c>
      <x:c r="K393" s="141" t="n">
        <x:f>IF(AND(TRUE,Premissas!$B$11="Imovel",Premissas!$B$47="Investimento",$A393&gt;=MAX(Premissas!$B$48,Premissas!$B$49)),$E393,0)</x:f>
        <x:v>4130.1674764066165</x:v>
      </x:c>
      <x:c r="L393" s="141" t="n">
        <x:f>H393+I393+J393</x:f>
        <x:v>646.6252852977746</x:v>
      </x:c>
      <x:c r="M393" s="141" t="n">
        <x:f>K393</x:f>
        <x:v>4130.1674764066165</x:v>
      </x:c>
      <x:c r="N393" s="141" t="n">
        <x:f>$C393+M393-L393</x:f>
        <x:v>10483.542191108842</x:v>
      </x:c>
      <x:c r="O393" s="141" t="n">
        <x:f>R392*(1+Premissas!$B$41)+N393</x:f>
        <x:v>27802923.25550486</x:v>
      </x:c>
      <x:c r="P393" s="141" t="n">
        <x:f>MAX(0,-O393)</x:f>
        <x:v>0</x:v>
      </x:c>
      <x:c r="Q393" s="141" t="n">
        <x:f>Q392*(1+Premissas!$B$41)+P393</x:f>
        <x:v>0</x:v>
      </x:c>
      <x:c r="R393" s="141" t="n">
        <x:f>MAX(0,O393)</x:f>
        <x:v>27802923.25550486</x:v>
      </x:c>
      <x:c r="S393" s="141" t="n">
        <x:f>IF(AND($A393&gt;=Premissas!$B$48,$A393-Premissas!$B$48+1&lt;=Premissas!$B$13),INDEX(Financiamento!$M$6:$M$485,$A393-Premissas!$B$48+1),0)</x:f>
        <x:v>11809.523809523816</x:v>
      </x:c>
      <x:c r="T393" s="141" t="n">
        <x:f>IF($A393&gt;=Premissas!$B$48,$F393,0)</x:f>
        <x:v>1315991.1617798104</x:v>
      </x:c>
      <x:c r="U393" s="141" t="n">
        <x:f>R393+T393-S393</x:f>
        <x:v>29107104.89347515</x:v>
      </x:c>
      <x:c r="V393" s="141" t="n">
        <x:f>IF(Q393&gt;1,"Inviavel",U393)</x:f>
        <x:v>29107104.89347515</x:v>
      </x:c>
      <x:c r="W393" s="141" t="str">
        <x:f>IF(Q393&gt;1,"Inviavel","OK")</x:f>
        <x:v>OK</x:v>
      </x:c>
      <x:c r="X393" s="141" t="n">
        <x:f>IF($A393=Premissas!$B$48,Premissas!$B$8,0)</x:f>
        <x:v>0</x:v>
      </x:c>
      <x:c r="Y393" s="141" t="n">
        <x:f>IF(AND($A393&gt;=Premissas!$B$48,$A393-Premissas!$B$48+1&lt;=Premissas!$B$13),INDEX(Amortizacao!$K$6:$K$485,$A393-Premissas!$B$48+1),0)</x:f>
        <x:v>0</x:v>
      </x:c>
      <x:c r="Z393" s="141" t="n">
        <x:f>IF(AND(TRUE,Premissas!$B$11="Imovel",Premissas!$B$47="Moradia",$A393&lt;MAX(Premissas!$B$48,Premissas!$B$49)),$D393,0)</x:f>
        <x:v>0</x:v>
      </x:c>
      <x:c r="AA393" s="141" t="n">
        <x:f>IF(AND(TRUE,Premissas!$B$11="Imovel",Premissas!$B$47="Investimento",$A393&gt;=MAX(Premissas!$B$48,Premissas!$B$49)),$E393,0)</x:f>
        <x:v>4130.1674764066165</x:v>
      </x:c>
      <x:c r="AB393" s="141" t="n">
        <x:f>X393+Y393+Z393</x:f>
        <x:v>0</x:v>
      </x:c>
      <x:c r="AC393" s="141" t="n">
        <x:f>AA393</x:f>
        <x:v>4130.1674764066165</x:v>
      </x:c>
      <x:c r="AD393" s="141" t="n">
        <x:f>$C393+AC393-AB393</x:f>
        <x:v>11130.167476406616</x:v>
      </x:c>
      <x:c r="AE393" s="141" t="n">
        <x:f>AH392*(1+Premissas!$B$41)+AD393</x:f>
        <x:v>28257946.34401653</x:v>
      </x:c>
      <x:c r="AF393" s="141" t="n">
        <x:f>MAX(0,-AE393)</x:f>
        <x:v>0</x:v>
      </x:c>
      <x:c r="AG393" s="141" t="n">
        <x:f>AG392*(1+Premissas!$B$41)+AF393</x:f>
        <x:v>0</x:v>
      </x:c>
      <x:c r="AH393" s="141" t="n">
        <x:f>MAX(0,AE393)</x:f>
        <x:v>28257946.34401653</x:v>
      </x:c>
      <x:c r="AI393" s="141" t="n">
        <x:f>IF(AND($A393&gt;=Premissas!$B$48,$A393-Premissas!$B$48+1&lt;=Premissas!$B$13),INDEX(Amortizacao!$L$6:$L$485,$A393-Premissas!$B$48+1),0)</x:f>
        <x:v>0</x:v>
      </x:c>
      <x:c r="AJ393" s="141" t="n">
        <x:f>IF($A393&gt;=Premissas!$B$48,$F393,0)</x:f>
        <x:v>1315991.1617798104</x:v>
      </x:c>
      <x:c r="AK393" s="141" t="n">
        <x:f>AH393+AJ393-AI393</x:f>
        <x:v>29573937.50579634</x:v>
      </x:c>
      <x:c r="AL393" s="141" t="n">
        <x:f>IF(AG393&gt;1,"Inviavel",AK393)</x:f>
        <x:v>29573937.50579634</x:v>
      </x:c>
      <x:c r="AM393" s="141" t="str">
        <x:f>IF(AG393&gt;1,"Inviavel","OK")</x:f>
        <x:v>OK</x:v>
      </x:c>
      <x:c r="AN393" s="141" t="n">
        <x:f>IF($A393=Premissas!$B$48,Premissas!$B$8,0)</x:f>
        <x:v>0</x:v>
      </x:c>
      <x:c r="AO393" s="141" t="n">
        <x:f>IF($A393&lt;=Premissas!$B$25,INDEX('Consorcio IQ'!$K$6:$K$485,$A393),0)</x:f>
        <x:v>0</x:v>
      </x:c>
      <x:c r="AP393" s="141" t="n">
        <x:f>IF(AND(TRUE,Premissas!$B$11="Imovel",Premissas!$B$47="Moradia",$A393&lt;MAX(Premissas!$B$48,Premissas!$B$49)),$D393,0)</x:f>
        <x:v>0</x:v>
      </x:c>
      <x:c r="AQ393" s="141" t="n">
        <x:f>IF(AND(TRUE,Premissas!$B$11="Imovel",Premissas!$B$47="Investimento",$A393&gt;=MAX(Premissas!$B$48,Premissas!$B$49)),$E393,0)</x:f>
        <x:v>4130.1674764066165</x:v>
      </x:c>
      <x:c r="AR393" s="141" t="n">
        <x:f>AN393+AO393+AP393</x:f>
        <x:v>0</x:v>
      </x:c>
      <x:c r="AS393" s="141" t="n">
        <x:f>AQ393</x:f>
        <x:v>4130.1674764066165</x:v>
      </x:c>
      <x:c r="AT393" s="141" t="n">
        <x:f>$C393+AS393-AR393</x:f>
        <x:v>11130.167476406616</x:v>
      </x:c>
      <x:c r="AU393" s="141" t="n">
        <x:f>AX392*(1+Premissas!$B$41)+AT393</x:f>
        <x:v>28032389.143931903</x:v>
      </x:c>
      <x:c r="AV393" s="141" t="n">
        <x:f>MAX(0,-AU393)</x:f>
        <x:v>0</x:v>
      </x:c>
      <x:c r="AW393" s="141" t="n">
        <x:f>AW392*(1+Premissas!$B$41)+AV393</x:f>
        <x:v>0</x:v>
      </x:c>
      <x:c r="AX393" s="141" t="n">
        <x:f>MAX(0,AU393)</x:f>
        <x:v>28032389.143931903</x:v>
      </x:c>
      <x:c r="AY393" s="141" t="n">
        <x:f>INDEX('Consorcio IQ'!$P$6:$P$485,$A393)</x:f>
        <x:v>0</x:v>
      </x:c>
      <x:c r="AZ393" s="141" t="n">
        <x:f>IF($A393&gt;=Premissas!$B$48,$F393,0)+IF($A393&lt;Premissas!$B$27,INDEX('Consorcio IQ'!$O$6:$O$485,$A393),0)</x:f>
        <x:v>1315991.1617798104</x:v>
      </x:c>
      <x:c r="BA393" s="141" t="n">
        <x:f>AX393+AZ393-AY393</x:f>
        <x:v>29348380.305711713</x:v>
      </x:c>
      <x:c r="BB393" s="141" t="n">
        <x:f>IF(AW393&gt;1,"Inviavel",BA393)</x:f>
        <x:v>29348380.305711713</x:v>
      </x:c>
      <x:c r="BC393" s="141" t="str">
        <x:f>IF(AW393&gt;1,"Inviavel","OK")</x:f>
        <x:v>OK</x:v>
      </x:c>
      <x:c r="BD393" s="141" t="n">
        <x:f>IF($A393='Consorcio Direto'!$B$29,'Consorcio Direto'!$B$44,0)</x:f>
        <x:v>0</x:v>
      </x:c>
      <x:c r="BE393" s="141" t="n">
        <x:f>IF($A393&lt;='Consorcio Direto'!$B$27,INDEX('Consorcio Direto'!$E$55:$E$534,$A393),0)</x:f>
        <x:v>0</x:v>
      </x:c>
      <x:c r="BF393" s="141" t="n">
        <x:f>IF(AND(TRUE,Premissas!$B$11="Imovel",Premissas!$B$47="Moradia",$A393&lt;MAX('Consorcio Direto'!$B$29,Premissas!$B$49)),$D393,0)</x:f>
        <x:v>0</x:v>
      </x:c>
      <x:c r="BG393" s="141" t="n">
        <x:f>IF(AND(TRUE,Premissas!$B$11="Imovel",Premissas!$B$47="Investimento",$A393&gt;=MAX('Consorcio Direto'!$B$29,Premissas!$B$49)),$E393,0)</x:f>
        <x:v>4130.1674764066165</x:v>
      </x:c>
      <x:c r="BH393" s="141" t="n">
        <x:f>BD393+BE393+BF393</x:f>
        <x:v>0</x:v>
      </x:c>
      <x:c r="BI393" s="141" t="n">
        <x:f>BG393</x:f>
        <x:v>4130.1674764066165</x:v>
      </x:c>
      <x:c r="BJ393" s="141" t="n">
        <x:f>$C393+BI393-BH393</x:f>
        <x:v>11130.167476406616</x:v>
      </x:c>
      <x:c r="BK393" s="141" t="n">
        <x:f>BN392*(1+Premissas!$B$41)+BJ393</x:f>
        <x:v>26813390.209521603</x:v>
      </x:c>
      <x:c r="BL393" s="141" t="n">
        <x:f>MAX(0,-BK393)</x:f>
        <x:v>0</x:v>
      </x:c>
      <x:c r="BM393" s="141" t="n">
        <x:f>BM392*(1+Premissas!$B$41)+BL393</x:f>
        <x:v>0</x:v>
      </x:c>
      <x:c r="BN393" s="141" t="n">
        <x:f>MAX(0,BK393)</x:f>
        <x:v>26813390.209521603</x:v>
      </x:c>
      <x:c r="BO393" s="141" t="n">
        <x:f>INDEX('Consorcio Direto'!$K$55:$K$534,$A393)</x:f>
        <x:v>0</x:v>
      </x:c>
      <x:c r="BP393" s="141" t="n">
        <x:f>IF($A393&lt;'Consorcio Direto'!$B$29,INDEX('Consorcio Direto'!$L$55:$L$534,$A393),$F393)</x:f>
        <x:v>1315991.1617798104</x:v>
      </x:c>
      <x:c r="BQ393" s="141" t="n">
        <x:f>BN393+BP393-BO393</x:f>
        <x:v>28129381.371301413</x:v>
      </x:c>
      <x:c r="BR393" s="141" t="n">
        <x:f>IF(BM393&gt;1,"Inviavel",BQ393)</x:f>
        <x:v>28129381.371301413</x:v>
      </x:c>
      <x:c r="BS393" s="141" t="str">
        <x:f>IF(BM393&gt;1,"Inviavel","OK")</x:f>
        <x:v>OK</x:v>
      </x:c>
      <x:c r="BT393" s="141" t="n">
        <x:f>IF(AND('Carta Contemplada'!$B$22="Sim",$A393='Carta Contemplada'!$B$23),'Carta Contemplada'!$B$37,0)</x:f>
        <x:v>0</x:v>
      </x:c>
      <x:c r="BU393" s="141" t="n">
        <x:f>IF('Carta Contemplada'!$B$22="Sim",INDEX('Carta Contemplada'!$C$55:$C$1013,$A393),0)</x:f>
        <x:v>0</x:v>
      </x:c>
      <x:c r="BV393" s="141" t="n">
        <x:f>IF(AND('Carta Contemplada'!$B$22="Sim",Premissas!$B$11="Imovel",Premissas!$B$47="Moradia",$A393&lt;MAX('Carta Contemplada'!$B$44,Premissas!$B$49)),$D393,0)</x:f>
        <x:v>0</x:v>
      </x:c>
      <x:c r="BW393" s="141" t="n">
        <x:f>IF(AND('Carta Contemplada'!$B$22="Sim",Premissas!$B$11="Imovel",Premissas!$B$47="Investimento",$A393&gt;=MAX('Carta Contemplada'!$B$44,Premissas!$B$49)),$E393,0)</x:f>
        <x:v>4130.1674764066165</x:v>
      </x:c>
      <x:c r="BX393" s="141" t="n">
        <x:f>BT393+BU393+BV393</x:f>
        <x:v>0</x:v>
      </x:c>
      <x:c r="BY393" s="141" t="n">
        <x:f>BW393</x:f>
        <x:v>4130.1674764066165</x:v>
      </x:c>
      <x:c r="BZ393" s="141" t="n">
        <x:f>$C393+BY393-BX393</x:f>
        <x:v>11130.167476406616</x:v>
      </x:c>
      <x:c r="CA393" s="141" t="n">
        <x:f>CD392*(1+Premissas!$B$41)+BZ393</x:f>
        <x:v>28826759.212912526</x:v>
      </x:c>
      <x:c r="CB393" s="141" t="n">
        <x:f>MAX(0,-CA393)</x:f>
        <x:v>0</x:v>
      </x:c>
      <x:c r="CC393" s="141" t="n">
        <x:f>CC392*(1+Premissas!$B$41)+CB393</x:f>
        <x:v>0</x:v>
      </x:c>
      <x:c r="CD393" s="141" t="n">
        <x:f>MAX(0,CA393)</x:f>
        <x:v>28826759.212912526</x:v>
      </x:c>
      <x:c r="CE393" s="141" t="n">
        <x:f>IF(AND('Carta Contemplada'!$B$22="Sim",$A393&gt;='Carta Contemplada'!$B$23),INDEX('Carta Contemplada'!$I$55:$I$1013,$A393),0)</x:f>
        <x:v>0</x:v>
      </x:c>
      <x:c r="CF393" s="141" t="n">
        <x:f>IF(AND('Carta Contemplada'!$B$22="Sim",$A393&gt;='Carta Contemplada'!$B$44),$F393,0)</x:f>
        <x:v>1315991.1617798104</x:v>
      </x:c>
      <x:c r="CG393" s="141" t="n">
        <x:f>CD393+CF393-CE393</x:f>
        <x:v>30142750.374692336</x:v>
      </x:c>
      <x:c r="CH393" s="141" t="n">
        <x:f>IF(CC393&gt;1,"Inviavel",CG393)</x:f>
        <x:v>30142750.374692336</x:v>
      </x:c>
      <x:c r="CI393" s="145" t="str">
        <x:f>IF(CC393&gt;1,"Inviavel","OK")</x:f>
        <x:v>OK</x:v>
      </x:c>
    </x:row>
    <x:row r="394">
      <x:c r="A394" s="142" t="n">
        <x:v>390</x:v>
      </x:c>
      <x:c r="B394" s="179" t="n">
        <x:f>EDATE(Premissas!$B$4,A394-1)</x:f>
        <x:v>58380</x:v>
      </x:c>
      <x:c r="C394" s="141" t="n">
        <x:f>IF(A394&lt;=Premissas!$B$39,Premissas!$B$42,0)</x:f>
        <x:v>7000</x:v>
      </x:c>
      <x:c r="D394" s="141" t="n">
        <x:f>Premissas!$B$54*(1+Premissas!$B$57)^INT((A394-1)/12)</x:f>
        <x:v>4517.370677319737</x:v>
      </x:c>
      <x:c r="E394" s="141" t="n">
        <x:f>Premissas!$B$64*(1+Premissas!$B$57)^INT((A394-1)/12)</x:f>
        <x:v>4130.1674764066165</x:v>
      </x:c>
      <x:c r="F394" s="141" t="n">
        <x:f>MAX(0,Premissas!$B$6*(1+Premissas!$B$66)^((A394-1)/12))</x:f>
        <x:v>1322396.8153033177</x:v>
      </x:c>
      <x:c r="G394" s="141" t="n">
        <x:f>G393*(1+Premissas!$B$41)+C394</x:f>
        <x:v>32149047.596853882</x:v>
      </x:c>
      <x:c r="H394" s="141" t="n">
        <x:f>IF($A394=Premissas!$B$48,Premissas!$B$8,0)</x:f>
        <x:v>0</x:v>
      </x:c>
      <x:c r="I394" s="141" t="n">
        <x:f>IF(AND($A394&gt;=Premissas!$B$48,$A394-Premissas!$B$48+1&lt;=Premissas!$B$13),INDEX(Financiamento!$J$6:$J$485,$A394-Premissas!$B$48+1),0)</x:f>
        <x:v>643.010507036981</x:v>
      </x:c>
      <x:c r="J394" s="141" t="n">
        <x:f>IF(AND(TRUE,Premissas!$B$11="Imovel",Premissas!$B$47="Moradia",$A394&lt;MAX(Premissas!$B$48,Premissas!$B$49)),$D394,0)</x:f>
        <x:v>0</x:v>
      </x:c>
      <x:c r="K394" s="141" t="n">
        <x:f>IF(AND(TRUE,Premissas!$B$11="Imovel",Premissas!$B$47="Investimento",$A394&gt;=MAX(Premissas!$B$48,Premissas!$B$49)),$E394,0)</x:f>
        <x:v>4130.1674764066165</x:v>
      </x:c>
      <x:c r="L394" s="141" t="n">
        <x:f>H394+I394+J394</x:f>
        <x:v>643.010507036981</x:v>
      </x:c>
      <x:c r="M394" s="141" t="n">
        <x:f>K394</x:f>
        <x:v>4130.1674764066165</x:v>
      </x:c>
      <x:c r="N394" s="141" t="n">
        <x:f>$C394+M394-L394</x:f>
        <x:v>10487.156969369635</x:v>
      </x:c>
      <x:c r="O394" s="141" t="n">
        <x:f>R393*(1+Premissas!$B$41)+N394</x:f>
        <x:v>28077226.59422182</x:v>
      </x:c>
      <x:c r="P394" s="141" t="n">
        <x:f>MAX(0,-O394)</x:f>
        <x:v>0</x:v>
      </x:c>
      <x:c r="Q394" s="141" t="n">
        <x:f>Q393*(1+Premissas!$B$41)+P394</x:f>
        <x:v>0</x:v>
      </x:c>
      <x:c r="R394" s="141" t="n">
        <x:f>MAX(0,O394)</x:f>
        <x:v>28077226.59422182</x:v>
      </x:c>
      <x:c r="S394" s="141" t="n">
        <x:f>IF(AND($A394&gt;=Premissas!$B$48,$A394-Premissas!$B$48+1&lt;=Premissas!$B$13),INDEX(Financiamento!$M$6:$M$485,$A394-Premissas!$B$48+1),0)</x:f>
        <x:v>11428.571428571435</x:v>
      </x:c>
      <x:c r="T394" s="141" t="n">
        <x:f>IF($A394&gt;=Premissas!$B$48,$F394,0)</x:f>
        <x:v>1322396.8153033177</x:v>
      </x:c>
      <x:c r="U394" s="141" t="n">
        <x:f>R394+T394-S394</x:f>
        <x:v>29388194.838096566</x:v>
      </x:c>
      <x:c r="V394" s="141" t="n">
        <x:f>IF(Q394&gt;1,"Inviavel",U394)</x:f>
        <x:v>29388194.838096566</x:v>
      </x:c>
      <x:c r="W394" s="141" t="str">
        <x:f>IF(Q394&gt;1,"Inviavel","OK")</x:f>
        <x:v>OK</x:v>
      </x:c>
      <x:c r="X394" s="141" t="n">
        <x:f>IF($A394=Premissas!$B$48,Premissas!$B$8,0)</x:f>
        <x:v>0</x:v>
      </x:c>
      <x:c r="Y394" s="141" t="n">
        <x:f>IF(AND($A394&gt;=Premissas!$B$48,$A394-Premissas!$B$48+1&lt;=Premissas!$B$13),INDEX(Amortizacao!$K$6:$K$485,$A394-Premissas!$B$48+1),0)</x:f>
        <x:v>0</x:v>
      </x:c>
      <x:c r="Z394" s="141" t="n">
        <x:f>IF(AND(TRUE,Premissas!$B$11="Imovel",Premissas!$B$47="Moradia",$A394&lt;MAX(Premissas!$B$48,Premissas!$B$49)),$D394,0)</x:f>
        <x:v>0</x:v>
      </x:c>
      <x:c r="AA394" s="141" t="n">
        <x:f>IF(AND(TRUE,Premissas!$B$11="Imovel",Premissas!$B$47="Investimento",$A394&gt;=MAX(Premissas!$B$48,Premissas!$B$49)),$E394,0)</x:f>
        <x:v>4130.1674764066165</x:v>
      </x:c>
      <x:c r="AB394" s="141" t="n">
        <x:f>X394+Y394+Z394</x:f>
        <x:v>0</x:v>
      </x:c>
      <x:c r="AC394" s="141" t="n">
        <x:f>AA394</x:f>
        <x:v>4130.1674764066165</x:v>
      </x:c>
      <x:c r="AD394" s="141" t="n">
        <x:f>$C394+AC394-AB394</x:f>
        <x:v>11130.167476406616</x:v>
      </x:c>
      <x:c r="AE394" s="141" t="n">
        <x:f>AH393*(1+Premissas!$B$41)+AD394</x:f>
        <x:v>28537210.31310787</x:v>
      </x:c>
      <x:c r="AF394" s="141" t="n">
        <x:f>MAX(0,-AE394)</x:f>
        <x:v>0</x:v>
      </x:c>
      <x:c r="AG394" s="141" t="n">
        <x:f>AG393*(1+Premissas!$B$41)+AF394</x:f>
        <x:v>0</x:v>
      </x:c>
      <x:c r="AH394" s="141" t="n">
        <x:f>MAX(0,AE394)</x:f>
        <x:v>28537210.31310787</x:v>
      </x:c>
      <x:c r="AI394" s="141" t="n">
        <x:f>IF(AND($A394&gt;=Premissas!$B$48,$A394-Premissas!$B$48+1&lt;=Premissas!$B$13),INDEX(Amortizacao!$L$6:$L$485,$A394-Premissas!$B$48+1),0)</x:f>
        <x:v>0</x:v>
      </x:c>
      <x:c r="AJ394" s="141" t="n">
        <x:f>IF($A394&gt;=Premissas!$B$48,$F394,0)</x:f>
        <x:v>1322396.8153033177</x:v>
      </x:c>
      <x:c r="AK394" s="141" t="n">
        <x:f>AH394+AJ394-AI394</x:f>
        <x:v>29859607.12841119</x:v>
      </x:c>
      <x:c r="AL394" s="141" t="n">
        <x:f>IF(AG394&gt;1,"Inviavel",AK394)</x:f>
        <x:v>29859607.12841119</x:v>
      </x:c>
      <x:c r="AM394" s="141" t="str">
        <x:f>IF(AG394&gt;1,"Inviavel","OK")</x:f>
        <x:v>OK</x:v>
      </x:c>
      <x:c r="AN394" s="141" t="n">
        <x:f>IF($A394=Premissas!$B$48,Premissas!$B$8,0)</x:f>
        <x:v>0</x:v>
      </x:c>
      <x:c r="AO394" s="141" t="n">
        <x:f>IF($A394&lt;=Premissas!$B$25,INDEX('Consorcio IQ'!$K$6:$K$485,$A394),0)</x:f>
        <x:v>0</x:v>
      </x:c>
      <x:c r="AP394" s="141" t="n">
        <x:f>IF(AND(TRUE,Premissas!$B$11="Imovel",Premissas!$B$47="Moradia",$A394&lt;MAX(Premissas!$B$48,Premissas!$B$49)),$D394,0)</x:f>
        <x:v>0</x:v>
      </x:c>
      <x:c r="AQ394" s="141" t="n">
        <x:f>IF(AND(TRUE,Premissas!$B$11="Imovel",Premissas!$B$47="Investimento",$A394&gt;=MAX(Premissas!$B$48,Premissas!$B$49)),$E394,0)</x:f>
        <x:v>4130.1674764066165</x:v>
      </x:c>
      <x:c r="AR394" s="141" t="n">
        <x:f>AN394+AO394+AP394</x:f>
        <x:v>0</x:v>
      </x:c>
      <x:c r="AS394" s="141" t="n">
        <x:f>AQ394</x:f>
        <x:v>4130.1674764066165</x:v>
      </x:c>
      <x:c r="AT394" s="141" t="n">
        <x:f>$C394+AS394-AR394</x:f>
        <x:v>11130.167476406616</x:v>
      </x:c>
      <x:c r="AU394" s="141" t="n">
        <x:f>AX393*(1+Premissas!$B$41)+AT394</x:f>
        <x:v>28309512.847456735</x:v>
      </x:c>
      <x:c r="AV394" s="141" t="n">
        <x:f>MAX(0,-AU394)</x:f>
        <x:v>0</x:v>
      </x:c>
      <x:c r="AW394" s="141" t="n">
        <x:f>AW393*(1+Premissas!$B$41)+AV394</x:f>
        <x:v>0</x:v>
      </x:c>
      <x:c r="AX394" s="141" t="n">
        <x:f>MAX(0,AU394)</x:f>
        <x:v>28309512.847456735</x:v>
      </x:c>
      <x:c r="AY394" s="141" t="n">
        <x:f>INDEX('Consorcio IQ'!$P$6:$P$485,$A394)</x:f>
        <x:v>0</x:v>
      </x:c>
      <x:c r="AZ394" s="141" t="n">
        <x:f>IF($A394&gt;=Premissas!$B$48,$F394,0)+IF($A394&lt;Premissas!$B$27,INDEX('Consorcio IQ'!$O$6:$O$485,$A394),0)</x:f>
        <x:v>1322396.8153033177</x:v>
      </x:c>
      <x:c r="BA394" s="141" t="n">
        <x:f>AX394+AZ394-AY394</x:f>
        <x:v>29631909.662760053</x:v>
      </x:c>
      <x:c r="BB394" s="141" t="n">
        <x:f>IF(AW394&gt;1,"Inviavel",BA394)</x:f>
        <x:v>29631909.662760053</x:v>
      </x:c>
      <x:c r="BC394" s="141" t="str">
        <x:f>IF(AW394&gt;1,"Inviavel","OK")</x:f>
        <x:v>OK</x:v>
      </x:c>
      <x:c r="BD394" s="141" t="n">
        <x:f>IF($A394='Consorcio Direto'!$B$29,'Consorcio Direto'!$B$44,0)</x:f>
        <x:v>0</x:v>
      </x:c>
      <x:c r="BE394" s="141" t="n">
        <x:f>IF($A394&lt;='Consorcio Direto'!$B$27,INDEX('Consorcio Direto'!$E$55:$E$534,$A394),0)</x:f>
        <x:v>0</x:v>
      </x:c>
      <x:c r="BF394" s="141" t="n">
        <x:f>IF(AND(TRUE,Premissas!$B$11="Imovel",Premissas!$B$47="Moradia",$A394&lt;MAX('Consorcio Direto'!$B$29,Premissas!$B$49)),$D394,0)</x:f>
        <x:v>0</x:v>
      </x:c>
      <x:c r="BG394" s="141" t="n">
        <x:f>IF(AND(TRUE,Premissas!$B$11="Imovel",Premissas!$B$47="Investimento",$A394&gt;=MAX('Consorcio Direto'!$B$29,Premissas!$B$49)),$E394,0)</x:f>
        <x:v>4130.1674764066165</x:v>
      </x:c>
      <x:c r="BH394" s="141" t="n">
        <x:f>BD394+BE394+BF394</x:f>
        <x:v>0</x:v>
      </x:c>
      <x:c r="BI394" s="141" t="n">
        <x:f>BG394</x:f>
        <x:v>4130.1674764066165</x:v>
      </x:c>
      <x:c r="BJ394" s="141" t="n">
        <x:f>$C394+BI394-BH394</x:f>
        <x:v>11130.167476406616</x:v>
      </x:c>
      <x:c r="BK394" s="141" t="n">
        <x:f>BN393*(1+Premissas!$B$41)+BJ394</x:f>
        <x:v>27078947.084570337</x:v>
      </x:c>
      <x:c r="BL394" s="141" t="n">
        <x:f>MAX(0,-BK394)</x:f>
        <x:v>0</x:v>
      </x:c>
      <x:c r="BM394" s="141" t="n">
        <x:f>BM393*(1+Premissas!$B$41)+BL394</x:f>
        <x:v>0</x:v>
      </x:c>
      <x:c r="BN394" s="141" t="n">
        <x:f>MAX(0,BK394)</x:f>
        <x:v>27078947.084570337</x:v>
      </x:c>
      <x:c r="BO394" s="141" t="n">
        <x:f>INDEX('Consorcio Direto'!$K$55:$K$534,$A394)</x:f>
        <x:v>0</x:v>
      </x:c>
      <x:c r="BP394" s="141" t="n">
        <x:f>IF($A394&lt;'Consorcio Direto'!$B$29,INDEX('Consorcio Direto'!$L$55:$L$534,$A394),$F394)</x:f>
        <x:v>1322396.8153033177</x:v>
      </x:c>
      <x:c r="BQ394" s="141" t="n">
        <x:f>BN394+BP394-BO394</x:f>
        <x:v>28401343.899873655</x:v>
      </x:c>
      <x:c r="BR394" s="141" t="n">
        <x:f>IF(BM394&gt;1,"Inviavel",BQ394)</x:f>
        <x:v>28401343.899873655</x:v>
      </x:c>
      <x:c r="BS394" s="141" t="str">
        <x:f>IF(BM394&gt;1,"Inviavel","OK")</x:f>
        <x:v>OK</x:v>
      </x:c>
      <x:c r="BT394" s="141" t="n">
        <x:f>IF(AND('Carta Contemplada'!$B$22="Sim",$A394='Carta Contemplada'!$B$23),'Carta Contemplada'!$B$37,0)</x:f>
        <x:v>0</x:v>
      </x:c>
      <x:c r="BU394" s="141" t="n">
        <x:f>IF('Carta Contemplada'!$B$22="Sim",INDEX('Carta Contemplada'!$C$55:$C$1013,$A394),0)</x:f>
        <x:v>0</x:v>
      </x:c>
      <x:c r="BV394" s="141" t="n">
        <x:f>IF(AND('Carta Contemplada'!$B$22="Sim",Premissas!$B$11="Imovel",Premissas!$B$47="Moradia",$A394&lt;MAX('Carta Contemplada'!$B$44,Premissas!$B$49)),$D394,0)</x:f>
        <x:v>0</x:v>
      </x:c>
      <x:c r="BW394" s="141" t="n">
        <x:f>IF(AND('Carta Contemplada'!$B$22="Sim",Premissas!$B$11="Imovel",Premissas!$B$47="Investimento",$A394&gt;=MAX('Carta Contemplada'!$B$44,Premissas!$B$49)),$E394,0)</x:f>
        <x:v>4130.1674764066165</x:v>
      </x:c>
      <x:c r="BX394" s="141" t="n">
        <x:f>BT394+BU394+BV394</x:f>
        <x:v>0</x:v>
      </x:c>
      <x:c r="BY394" s="141" t="n">
        <x:f>BW394</x:f>
        <x:v>4130.1674764066165</x:v>
      </x:c>
      <x:c r="BZ394" s="141" t="n">
        <x:f>$C394+BY394-BX394</x:f>
        <x:v>11130.167476406616</x:v>
      </x:c>
      <x:c r="CA394" s="141" t="n">
        <x:f>CD393*(1+Premissas!$B$41)+BZ394</x:f>
        <x:v>29111420.529535346</x:v>
      </x:c>
      <x:c r="CB394" s="141" t="n">
        <x:f>MAX(0,-CA394)</x:f>
        <x:v>0</x:v>
      </x:c>
      <x:c r="CC394" s="141" t="n">
        <x:f>CC393*(1+Premissas!$B$41)+CB394</x:f>
        <x:v>0</x:v>
      </x:c>
      <x:c r="CD394" s="141" t="n">
        <x:f>MAX(0,CA394)</x:f>
        <x:v>29111420.529535346</x:v>
      </x:c>
      <x:c r="CE394" s="141" t="n">
        <x:f>IF(AND('Carta Contemplada'!$B$22="Sim",$A394&gt;='Carta Contemplada'!$B$23),INDEX('Carta Contemplada'!$I$55:$I$1013,$A394),0)</x:f>
        <x:v>0</x:v>
      </x:c>
      <x:c r="CF394" s="141" t="n">
        <x:f>IF(AND('Carta Contemplada'!$B$22="Sim",$A394&gt;='Carta Contemplada'!$B$44),$F394,0)</x:f>
        <x:v>1322396.8153033177</x:v>
      </x:c>
      <x:c r="CG394" s="141" t="n">
        <x:f>CD394+CF394-CE394</x:f>
        <x:v>30433817.344838664</x:v>
      </x:c>
      <x:c r="CH394" s="141" t="n">
        <x:f>IF(CC394&gt;1,"Inviavel",CG394)</x:f>
        <x:v>30433817.344838664</x:v>
      </x:c>
      <x:c r="CI394" s="145" t="str">
        <x:f>IF(CC394&gt;1,"Inviavel","OK")</x:f>
        <x:v>OK</x:v>
      </x:c>
    </x:row>
    <x:row r="395">
      <x:c r="A395" s="142" t="n">
        <x:v>391</x:v>
      </x:c>
      <x:c r="B395" s="179" t="n">
        <x:f>EDATE(Premissas!$B$4,A395-1)</x:f>
        <x:v>58410</x:v>
      </x:c>
      <x:c r="C395" s="141" t="n">
        <x:f>IF(A395&lt;=Premissas!$B$39,Premissas!$B$42,0)</x:f>
        <x:v>7000</x:v>
      </x:c>
      <x:c r="D395" s="141" t="n">
        <x:f>Premissas!$B$54*(1+Premissas!$B$57)^INT((A395-1)/12)</x:f>
        <x:v>4517.370677319737</x:v>
      </x:c>
      <x:c r="E395" s="141" t="n">
        <x:f>Premissas!$B$64*(1+Premissas!$B$57)^INT((A395-1)/12)</x:f>
        <x:v>4130.1674764066165</x:v>
      </x:c>
      <x:c r="F395" s="141" t="n">
        <x:f>MAX(0,Premissas!$B$6*(1+Premissas!$B$66)^((A395-1)/12))</x:f>
        <x:v>1328833.6486692557</x:v>
      </x:c>
      <x:c r="G395" s="141" t="n">
        <x:f>G394*(1+Premissas!$B$41)+C395</x:f>
        <x:v>32461103.252544485</x:v>
      </x:c>
      <x:c r="H395" s="141" t="n">
        <x:f>IF($A395=Premissas!$B$48,Premissas!$B$8,0)</x:f>
        <x:v>0</x:v>
      </x:c>
      <x:c r="I395" s="141" t="n">
        <x:f>IF(AND($A395&gt;=Premissas!$B$48,$A395-Premissas!$B$48+1&lt;=Premissas!$B$13),INDEX(Financiamento!$J$6:$J$485,$A395-Premissas!$B$48+1),0)</x:f>
        <x:v>639.3957287761874</x:v>
      </x:c>
      <x:c r="J395" s="141" t="n">
        <x:f>IF(AND(TRUE,Premissas!$B$11="Imovel",Premissas!$B$47="Moradia",$A395&lt;MAX(Premissas!$B$48,Premissas!$B$49)),$D395,0)</x:f>
        <x:v>0</x:v>
      </x:c>
      <x:c r="K395" s="141" t="n">
        <x:f>IF(AND(TRUE,Premissas!$B$11="Imovel",Premissas!$B$47="Investimento",$A395&gt;=MAX(Premissas!$B$48,Premissas!$B$49)),$E395,0)</x:f>
        <x:v>4130.1674764066165</x:v>
      </x:c>
      <x:c r="L395" s="141" t="n">
        <x:f>H395+I395+J395</x:f>
        <x:v>639.3957287761874</x:v>
      </x:c>
      <x:c r="M395" s="141" t="n">
        <x:f>K395</x:f>
        <x:v>4130.1674764066165</x:v>
      </x:c>
      <x:c r="N395" s="141" t="n">
        <x:f>$C395+M395-L395</x:f>
        <x:v>10490.771747630428</x:v>
      </x:c>
      <x:c r="O395" s="141" t="n">
        <x:f>R394*(1+Premissas!$B$41)+N395</x:f>
        <x:v>28354136.355299387</x:v>
      </x:c>
      <x:c r="P395" s="141" t="n">
        <x:f>MAX(0,-O395)</x:f>
        <x:v>0</x:v>
      </x:c>
      <x:c r="Q395" s="141" t="n">
        <x:f>Q394*(1+Premissas!$B$41)+P395</x:f>
        <x:v>0</x:v>
      </x:c>
      <x:c r="R395" s="141" t="n">
        <x:f>MAX(0,O395)</x:f>
        <x:v>28354136.355299387</x:v>
      </x:c>
      <x:c r="S395" s="141" t="n">
        <x:f>IF(AND($A395&gt;=Premissas!$B$48,$A395-Premissas!$B$48+1&lt;=Premissas!$B$13),INDEX(Financiamento!$M$6:$M$485,$A395-Premissas!$B$48+1),0)</x:f>
        <x:v>11047.619047619053</x:v>
      </x:c>
      <x:c r="T395" s="141" t="n">
        <x:f>IF($A395&gt;=Premissas!$B$48,$F395,0)</x:f>
        <x:v>1328833.6486692557</x:v>
      </x:c>
      <x:c r="U395" s="141" t="n">
        <x:f>R395+T395-S395</x:f>
        <x:v>29671922.38492102</x:v>
      </x:c>
      <x:c r="V395" s="141" t="n">
        <x:f>IF(Q395&gt;1,"Inviavel",U395)</x:f>
        <x:v>29671922.38492102</x:v>
      </x:c>
      <x:c r="W395" s="141" t="str">
        <x:f>IF(Q395&gt;1,"Inviavel","OK")</x:f>
        <x:v>OK</x:v>
      </x:c>
      <x:c r="X395" s="141" t="n">
        <x:f>IF($A395=Premissas!$B$48,Premissas!$B$8,0)</x:f>
        <x:v>0</x:v>
      </x:c>
      <x:c r="Y395" s="141" t="n">
        <x:f>IF(AND($A395&gt;=Premissas!$B$48,$A395-Premissas!$B$48+1&lt;=Premissas!$B$13),INDEX(Amortizacao!$K$6:$K$485,$A395-Premissas!$B$48+1),0)</x:f>
        <x:v>0</x:v>
      </x:c>
      <x:c r="Z395" s="141" t="n">
        <x:f>IF(AND(TRUE,Premissas!$B$11="Imovel",Premissas!$B$47="Moradia",$A395&lt;MAX(Premissas!$B$48,Premissas!$B$49)),$D395,0)</x:f>
        <x:v>0</x:v>
      </x:c>
      <x:c r="AA395" s="141" t="n">
        <x:f>IF(AND(TRUE,Premissas!$B$11="Imovel",Premissas!$B$47="Investimento",$A395&gt;=MAX(Premissas!$B$48,Premissas!$B$49)),$E395,0)</x:f>
        <x:v>4130.1674764066165</x:v>
      </x:c>
      <x:c r="AB395" s="141" t="n">
        <x:f>X395+Y395+Z395</x:f>
        <x:v>0</x:v>
      </x:c>
      <x:c r="AC395" s="141" t="n">
        <x:f>AA395</x:f>
        <x:v>4130.1674764066165</x:v>
      </x:c>
      <x:c r="AD395" s="141" t="n">
        <x:f>$C395+AC395-AB395</x:f>
        <x:v>11130.167476406616</x:v>
      </x:c>
      <x:c r="AE395" s="141" t="n">
        <x:f>AH394*(1+Premissas!$B$41)+AD395</x:f>
        <x:v>28819124.16017601</x:v>
      </x:c>
      <x:c r="AF395" s="141" t="n">
        <x:f>MAX(0,-AE395)</x:f>
        <x:v>0</x:v>
      </x:c>
      <x:c r="AG395" s="141" t="n">
        <x:f>AG394*(1+Premissas!$B$41)+AF395</x:f>
        <x:v>0</x:v>
      </x:c>
      <x:c r="AH395" s="141" t="n">
        <x:f>MAX(0,AE395)</x:f>
        <x:v>28819124.16017601</x:v>
      </x:c>
      <x:c r="AI395" s="141" t="n">
        <x:f>IF(AND($A395&gt;=Premissas!$B$48,$A395-Premissas!$B$48+1&lt;=Premissas!$B$13),INDEX(Amortizacao!$L$6:$L$485,$A395-Premissas!$B$48+1),0)</x:f>
        <x:v>0</x:v>
      </x:c>
      <x:c r="AJ395" s="141" t="n">
        <x:f>IF($A395&gt;=Premissas!$B$48,$F395,0)</x:f>
        <x:v>1328833.6486692557</x:v>
      </x:c>
      <x:c r="AK395" s="141" t="n">
        <x:f>AH395+AJ395-AI395</x:f>
        <x:v>30147957.808845263</x:v>
      </x:c>
      <x:c r="AL395" s="141" t="n">
        <x:f>IF(AG395&gt;1,"Inviavel",AK395)</x:f>
        <x:v>30147957.808845263</x:v>
      </x:c>
      <x:c r="AM395" s="141" t="str">
        <x:f>IF(AG395&gt;1,"Inviavel","OK")</x:f>
        <x:v>OK</x:v>
      </x:c>
      <x:c r="AN395" s="141" t="n">
        <x:f>IF($A395=Premissas!$B$48,Premissas!$B$8,0)</x:f>
        <x:v>0</x:v>
      </x:c>
      <x:c r="AO395" s="141" t="n">
        <x:f>IF($A395&lt;=Premissas!$B$25,INDEX('Consorcio IQ'!$K$6:$K$485,$A395),0)</x:f>
        <x:v>0</x:v>
      </x:c>
      <x:c r="AP395" s="141" t="n">
        <x:f>IF(AND(TRUE,Premissas!$B$11="Imovel",Premissas!$B$47="Moradia",$A395&lt;MAX(Premissas!$B$48,Premissas!$B$49)),$D395,0)</x:f>
        <x:v>0</x:v>
      </x:c>
      <x:c r="AQ395" s="141" t="n">
        <x:f>IF(AND(TRUE,Premissas!$B$11="Imovel",Premissas!$B$47="Investimento",$A395&gt;=MAX(Premissas!$B$48,Premissas!$B$49)),$E395,0)</x:f>
        <x:v>4130.1674764066165</x:v>
      </x:c>
      <x:c r="AR395" s="141" t="n">
        <x:f>AN395+AO395+AP395</x:f>
        <x:v>0</x:v>
      </x:c>
      <x:c r="AS395" s="141" t="n">
        <x:f>AQ395</x:f>
        <x:v>4130.1674764066165</x:v>
      </x:c>
      <x:c r="AT395" s="141" t="n">
        <x:f>$C395+AS395-AR395</x:f>
        <x:v>11130.167476406616</x:v>
      </x:c>
      <x:c r="AU395" s="141" t="n">
        <x:f>AX394*(1+Premissas!$B$41)+AT395</x:f>
        <x:v>28589266.120421577</x:v>
      </x:c>
      <x:c r="AV395" s="141" t="n">
        <x:f>MAX(0,-AU395)</x:f>
        <x:v>0</x:v>
      </x:c>
      <x:c r="AW395" s="141" t="n">
        <x:f>AW394*(1+Premissas!$B$41)+AV395</x:f>
        <x:v>0</x:v>
      </x:c>
      <x:c r="AX395" s="141" t="n">
        <x:f>MAX(0,AU395)</x:f>
        <x:v>28589266.120421577</x:v>
      </x:c>
      <x:c r="AY395" s="141" t="n">
        <x:f>INDEX('Consorcio IQ'!$P$6:$P$485,$A395)</x:f>
        <x:v>0</x:v>
      </x:c>
      <x:c r="AZ395" s="141" t="n">
        <x:f>IF($A395&gt;=Premissas!$B$48,$F395,0)+IF($A395&lt;Premissas!$B$27,INDEX('Consorcio IQ'!$O$6:$O$485,$A395),0)</x:f>
        <x:v>1328833.6486692557</x:v>
      </x:c>
      <x:c r="BA395" s="141" t="n">
        <x:f>AX395+AZ395-AY395</x:f>
        <x:v>29918099.76909083</x:v>
      </x:c>
      <x:c r="BB395" s="141" t="n">
        <x:f>IF(AW395&gt;1,"Inviavel",BA395)</x:f>
        <x:v>29918099.76909083</x:v>
      </x:c>
      <x:c r="BC395" s="141" t="str">
        <x:f>IF(AW395&gt;1,"Inviavel","OK")</x:f>
        <x:v>OK</x:v>
      </x:c>
      <x:c r="BD395" s="141" t="n">
        <x:f>IF($A395='Consorcio Direto'!$B$29,'Consorcio Direto'!$B$44,0)</x:f>
        <x:v>0</x:v>
      </x:c>
      <x:c r="BE395" s="141" t="n">
        <x:f>IF($A395&lt;='Consorcio Direto'!$B$27,INDEX('Consorcio Direto'!$E$55:$E$534,$A395),0)</x:f>
        <x:v>0</x:v>
      </x:c>
      <x:c r="BF395" s="141" t="n">
        <x:f>IF(AND(TRUE,Premissas!$B$11="Imovel",Premissas!$B$47="Moradia",$A395&lt;MAX('Consorcio Direto'!$B$29,Premissas!$B$49)),$D395,0)</x:f>
        <x:v>0</x:v>
      </x:c>
      <x:c r="BG395" s="141" t="n">
        <x:f>IF(AND(TRUE,Premissas!$B$11="Imovel",Premissas!$B$47="Investimento",$A395&gt;=MAX('Consorcio Direto'!$B$29,Premissas!$B$49)),$E395,0)</x:f>
        <x:v>4130.1674764066165</x:v>
      </x:c>
      <x:c r="BH395" s="141" t="n">
        <x:f>BD395+BE395+BF395</x:f>
        <x:v>0</x:v>
      </x:c>
      <x:c r="BI395" s="141" t="n">
        <x:f>BG395</x:f>
        <x:v>4130.1674764066165</x:v>
      </x:c>
      <x:c r="BJ395" s="141" t="n">
        <x:f>$C395+BI395-BH395</x:f>
        <x:v>11130.167476406616</x:v>
      </x:c>
      <x:c r="BK395" s="141" t="n">
        <x:f>BN394*(1+Premissas!$B$41)+BJ395</x:f>
        <x:v>27347023.773818765</x:v>
      </x:c>
      <x:c r="BL395" s="141" t="n">
        <x:f>MAX(0,-BK395)</x:f>
        <x:v>0</x:v>
      </x:c>
      <x:c r="BM395" s="141" t="n">
        <x:f>BM394*(1+Premissas!$B$41)+BL395</x:f>
        <x:v>0</x:v>
      </x:c>
      <x:c r="BN395" s="141" t="n">
        <x:f>MAX(0,BK395)</x:f>
        <x:v>27347023.773818765</x:v>
      </x:c>
      <x:c r="BO395" s="141" t="n">
        <x:f>INDEX('Consorcio Direto'!$K$55:$K$534,$A395)</x:f>
        <x:v>0</x:v>
      </x:c>
      <x:c r="BP395" s="141" t="n">
        <x:f>IF($A395&lt;'Consorcio Direto'!$B$29,INDEX('Consorcio Direto'!$L$55:$L$534,$A395),$F395)</x:f>
        <x:v>1328833.6486692557</x:v>
      </x:c>
      <x:c r="BQ395" s="141" t="n">
        <x:f>BN395+BP395-BO395</x:f>
        <x:v>28675857.42248802</x:v>
      </x:c>
      <x:c r="BR395" s="141" t="n">
        <x:f>IF(BM395&gt;1,"Inviavel",BQ395)</x:f>
        <x:v>28675857.42248802</x:v>
      </x:c>
      <x:c r="BS395" s="141" t="str">
        <x:f>IF(BM395&gt;1,"Inviavel","OK")</x:f>
        <x:v>OK</x:v>
      </x:c>
      <x:c r="BT395" s="141" t="n">
        <x:f>IF(AND('Carta Contemplada'!$B$22="Sim",$A395='Carta Contemplada'!$B$23),'Carta Contemplada'!$B$37,0)</x:f>
        <x:v>0</x:v>
      </x:c>
      <x:c r="BU395" s="141" t="n">
        <x:f>IF('Carta Contemplada'!$B$22="Sim",INDEX('Carta Contemplada'!$C$55:$C$1013,$A395),0)</x:f>
        <x:v>0</x:v>
      </x:c>
      <x:c r="BV395" s="141" t="n">
        <x:f>IF(AND('Carta Contemplada'!$B$22="Sim",Premissas!$B$11="Imovel",Premissas!$B$47="Moradia",$A395&lt;MAX('Carta Contemplada'!$B$44,Premissas!$B$49)),$D395,0)</x:f>
        <x:v>0</x:v>
      </x:c>
      <x:c r="BW395" s="141" t="n">
        <x:f>IF(AND('Carta Contemplada'!$B$22="Sim",Premissas!$B$11="Imovel",Premissas!$B$47="Investimento",$A395&gt;=MAX('Carta Contemplada'!$B$44,Premissas!$B$49)),$E395,0)</x:f>
        <x:v>4130.1674764066165</x:v>
      </x:c>
      <x:c r="BX395" s="141" t="n">
        <x:f>BT395+BU395+BV395</x:f>
        <x:v>0</x:v>
      </x:c>
      <x:c r="BY395" s="141" t="n">
        <x:f>BW395</x:f>
        <x:v>4130.1674764066165</x:v>
      </x:c>
      <x:c r="BZ395" s="141" t="n">
        <x:f>$C395+BY395-BX395</x:f>
        <x:v>11130.167476406616</x:v>
      </x:c>
      <x:c r="CA395" s="141" t="n">
        <x:f>CD394*(1+Premissas!$B$41)+BZ395</x:f>
        <x:v>29398782.938448086</x:v>
      </x:c>
      <x:c r="CB395" s="141" t="n">
        <x:f>MAX(0,-CA395)</x:f>
        <x:v>0</x:v>
      </x:c>
      <x:c r="CC395" s="141" t="n">
        <x:f>CC394*(1+Premissas!$B$41)+CB395</x:f>
        <x:v>0</x:v>
      </x:c>
      <x:c r="CD395" s="141" t="n">
        <x:f>MAX(0,CA395)</x:f>
        <x:v>29398782.938448086</x:v>
      </x:c>
      <x:c r="CE395" s="141" t="n">
        <x:f>IF(AND('Carta Contemplada'!$B$22="Sim",$A395&gt;='Carta Contemplada'!$B$23),INDEX('Carta Contemplada'!$I$55:$I$1013,$A395),0)</x:f>
        <x:v>0</x:v>
      </x:c>
      <x:c r="CF395" s="141" t="n">
        <x:f>IF(AND('Carta Contemplada'!$B$22="Sim",$A395&gt;='Carta Contemplada'!$B$44),$F395,0)</x:f>
        <x:v>1328833.6486692557</x:v>
      </x:c>
      <x:c r="CG395" s="141" t="n">
        <x:f>CD395+CF395-CE395</x:f>
        <x:v>30727616.58711734</x:v>
      </x:c>
      <x:c r="CH395" s="141" t="n">
        <x:f>IF(CC395&gt;1,"Inviavel",CG395)</x:f>
        <x:v>30727616.58711734</x:v>
      </x:c>
      <x:c r="CI395" s="145" t="str">
        <x:f>IF(CC395&gt;1,"Inviavel","OK")</x:f>
        <x:v>OK</x:v>
      </x:c>
    </x:row>
    <x:row r="396">
      <x:c r="A396" s="142" t="n">
        <x:v>392</x:v>
      </x:c>
      <x:c r="B396" s="179" t="n">
        <x:f>EDATE(Premissas!$B$4,A396-1)</x:f>
        <x:v>58441</x:v>
      </x:c>
      <x:c r="C396" s="141" t="n">
        <x:f>IF(A396&lt;=Premissas!$B$39,Premissas!$B$42,0)</x:f>
        <x:v>7000</x:v>
      </x:c>
      <x:c r="D396" s="141" t="n">
        <x:f>Premissas!$B$54*(1+Premissas!$B$57)^INT((A396-1)/12)</x:f>
        <x:v>4517.370677319737</x:v>
      </x:c>
      <x:c r="E396" s="141" t="n">
        <x:f>Premissas!$B$64*(1+Premissas!$B$57)^INT((A396-1)/12)</x:f>
        <x:v>4130.1674764066165</x:v>
      </x:c>
      <x:c r="F396" s="141" t="n">
        <x:f>MAX(0,Premissas!$B$6*(1+Premissas!$B$66)^((A396-1)/12))</x:f>
        <x:v>1335301.8136470825</x:v>
      </x:c>
      <x:c r="G396" s="141" t="n">
        <x:f>G395*(1+Premissas!$B$41)+C396</x:f>
        <x:v>32776119.939736</x:v>
      </x:c>
      <x:c r="H396" s="141" t="n">
        <x:f>IF($A396=Premissas!$B$48,Premissas!$B$8,0)</x:f>
        <x:v>0</x:v>
      </x:c>
      <x:c r="I396" s="141" t="n">
        <x:f>IF(AND($A396&gt;=Premissas!$B$48,$A396-Premissas!$B$48+1&lt;=Premissas!$B$13),INDEX(Financiamento!$J$6:$J$485,$A396-Premissas!$B$48+1),0)</x:f>
        <x:v>635.7809505153939</x:v>
      </x:c>
      <x:c r="J396" s="141" t="n">
        <x:f>IF(AND(TRUE,Premissas!$B$11="Imovel",Premissas!$B$47="Moradia",$A396&lt;MAX(Premissas!$B$48,Premissas!$B$49)),$D396,0)</x:f>
        <x:v>0</x:v>
      </x:c>
      <x:c r="K396" s="141" t="n">
        <x:f>IF(AND(TRUE,Premissas!$B$11="Imovel",Premissas!$B$47="Investimento",$A396&gt;=MAX(Premissas!$B$48,Premissas!$B$49)),$E396,0)</x:f>
        <x:v>4130.1674764066165</x:v>
      </x:c>
      <x:c r="L396" s="141" t="n">
        <x:f>H396+I396+J396</x:f>
        <x:v>635.7809505153939</x:v>
      </x:c>
      <x:c r="M396" s="141" t="n">
        <x:f>K396</x:f>
        <x:v>4130.1674764066165</x:v>
      </x:c>
      <x:c r="N396" s="141" t="n">
        <x:f>$C396+M396-L396</x:f>
        <x:v>10494.386525891221</x:v>
      </x:c>
      <x:c r="O396" s="141" t="n">
        <x:f>R395*(1+Premissas!$B$41)+N396</x:f>
        <x:v>28633677.27053965</x:v>
      </x:c>
      <x:c r="P396" s="141" t="n">
        <x:f>MAX(0,-O396)</x:f>
        <x:v>0</x:v>
      </x:c>
      <x:c r="Q396" s="141" t="n">
        <x:f>Q395*(1+Premissas!$B$41)+P396</x:f>
        <x:v>0</x:v>
      </x:c>
      <x:c r="R396" s="141" t="n">
        <x:f>MAX(0,O396)</x:f>
        <x:v>28633677.27053965</x:v>
      </x:c>
      <x:c r="S396" s="141" t="n">
        <x:f>IF(AND($A396&gt;=Premissas!$B$48,$A396-Premissas!$B$48+1&lt;=Premissas!$B$13),INDEX(Financiamento!$M$6:$M$485,$A396-Premissas!$B$48+1),0)</x:f>
        <x:v>10666.666666666672</x:v>
      </x:c>
      <x:c r="T396" s="141" t="n">
        <x:f>IF($A396&gt;=Premissas!$B$48,$F396,0)</x:f>
        <x:v>1335301.8136470825</x:v>
      </x:c>
      <x:c r="U396" s="141" t="n">
        <x:f>R396+T396-S396</x:f>
        <x:v>29958312.417520065</x:v>
      </x:c>
      <x:c r="V396" s="141" t="n">
        <x:f>IF(Q396&gt;1,"Inviavel",U396)</x:f>
        <x:v>29958312.417520065</x:v>
      </x:c>
      <x:c r="W396" s="141" t="str">
        <x:f>IF(Q396&gt;1,"Inviavel","OK")</x:f>
        <x:v>OK</x:v>
      </x:c>
      <x:c r="X396" s="141" t="n">
        <x:f>IF($A396=Premissas!$B$48,Premissas!$B$8,0)</x:f>
        <x:v>0</x:v>
      </x:c>
      <x:c r="Y396" s="141" t="n">
        <x:f>IF(AND($A396&gt;=Premissas!$B$48,$A396-Premissas!$B$48+1&lt;=Premissas!$B$13),INDEX(Amortizacao!$K$6:$K$485,$A396-Premissas!$B$48+1),0)</x:f>
        <x:v>0</x:v>
      </x:c>
      <x:c r="Z396" s="141" t="n">
        <x:f>IF(AND(TRUE,Premissas!$B$11="Imovel",Premissas!$B$47="Moradia",$A396&lt;MAX(Premissas!$B$48,Premissas!$B$49)),$D396,0)</x:f>
        <x:v>0</x:v>
      </x:c>
      <x:c r="AA396" s="141" t="n">
        <x:f>IF(AND(TRUE,Premissas!$B$11="Imovel",Premissas!$B$47="Investimento",$A396&gt;=MAX(Premissas!$B$48,Premissas!$B$49)),$E396,0)</x:f>
        <x:v>4130.1674764066165</x:v>
      </x:c>
      <x:c r="AB396" s="141" t="n">
        <x:f>X396+Y396+Z396</x:f>
        <x:v>0</x:v>
      </x:c>
      <x:c r="AC396" s="141" t="n">
        <x:f>AA396</x:f>
        <x:v>4130.1674764066165</x:v>
      </x:c>
      <x:c r="AD396" s="141" t="n">
        <x:f>$C396+AC396-AB396</x:f>
        <x:v>11130.167476406616</x:v>
      </x:c>
      <x:c r="AE396" s="141" t="n">
        <x:f>AH395*(1+Premissas!$B$41)+AD396</x:f>
        <x:v>29103713.029364366</x:v>
      </x:c>
      <x:c r="AF396" s="141" t="n">
        <x:f>MAX(0,-AE396)</x:f>
        <x:v>0</x:v>
      </x:c>
      <x:c r="AG396" s="141" t="n">
        <x:f>AG395*(1+Premissas!$B$41)+AF396</x:f>
        <x:v>0</x:v>
      </x:c>
      <x:c r="AH396" s="141" t="n">
        <x:f>MAX(0,AE396)</x:f>
        <x:v>29103713.029364366</x:v>
      </x:c>
      <x:c r="AI396" s="141" t="n">
        <x:f>IF(AND($A396&gt;=Premissas!$B$48,$A396-Premissas!$B$48+1&lt;=Premissas!$B$13),INDEX(Amortizacao!$L$6:$L$485,$A396-Premissas!$B$48+1),0)</x:f>
        <x:v>0</x:v>
      </x:c>
      <x:c r="AJ396" s="141" t="n">
        <x:f>IF($A396&gt;=Premissas!$B$48,$F396,0)</x:f>
        <x:v>1335301.8136470825</x:v>
      </x:c>
      <x:c r="AK396" s="141" t="n">
        <x:f>AH396+AJ396-AI396</x:f>
        <x:v>30439014.84301145</x:v>
      </x:c>
      <x:c r="AL396" s="141" t="n">
        <x:f>IF(AG396&gt;1,"Inviavel",AK396)</x:f>
        <x:v>30439014.84301145</x:v>
      </x:c>
      <x:c r="AM396" s="141" t="str">
        <x:f>IF(AG396&gt;1,"Inviavel","OK")</x:f>
        <x:v>OK</x:v>
      </x:c>
      <x:c r="AN396" s="141" t="n">
        <x:f>IF($A396=Premissas!$B$48,Premissas!$B$8,0)</x:f>
        <x:v>0</x:v>
      </x:c>
      <x:c r="AO396" s="141" t="n">
        <x:f>IF($A396&lt;=Premissas!$B$25,INDEX('Consorcio IQ'!$K$6:$K$485,$A396),0)</x:f>
        <x:v>0</x:v>
      </x:c>
      <x:c r="AP396" s="141" t="n">
        <x:f>IF(AND(TRUE,Premissas!$B$11="Imovel",Premissas!$B$47="Moradia",$A396&lt;MAX(Premissas!$B$48,Premissas!$B$49)),$D396,0)</x:f>
        <x:v>0</x:v>
      </x:c>
      <x:c r="AQ396" s="141" t="n">
        <x:f>IF(AND(TRUE,Premissas!$B$11="Imovel",Premissas!$B$47="Investimento",$A396&gt;=MAX(Premissas!$B$48,Premissas!$B$49)),$E396,0)</x:f>
        <x:v>4130.1674764066165</x:v>
      </x:c>
      <x:c r="AR396" s="141" t="n">
        <x:f>AN396+AO396+AP396</x:f>
        <x:v>0</x:v>
      </x:c>
      <x:c r="AS396" s="141" t="n">
        <x:f>AQ396</x:f>
        <x:v>4130.1674764066165</x:v>
      </x:c>
      <x:c r="AT396" s="141" t="n">
        <x:f>$C396+AS396-AR396</x:f>
        <x:v>11130.167476406616</x:v>
      </x:c>
      <x:c r="AU396" s="141" t="n">
        <x:f>AX395*(1+Premissas!$B$41)+AT396</x:f>
        <x:v>28871673.914266355</x:v>
      </x:c>
      <x:c r="AV396" s="141" t="n">
        <x:f>MAX(0,-AU396)</x:f>
        <x:v>0</x:v>
      </x:c>
      <x:c r="AW396" s="141" t="n">
        <x:f>AW395*(1+Premissas!$B$41)+AV396</x:f>
        <x:v>0</x:v>
      </x:c>
      <x:c r="AX396" s="141" t="n">
        <x:f>MAX(0,AU396)</x:f>
        <x:v>28871673.914266355</x:v>
      </x:c>
      <x:c r="AY396" s="141" t="n">
        <x:f>INDEX('Consorcio IQ'!$P$6:$P$485,$A396)</x:f>
        <x:v>0</x:v>
      </x:c>
      <x:c r="AZ396" s="141" t="n">
        <x:f>IF($A396&gt;=Premissas!$B$48,$F396,0)+IF($A396&lt;Premissas!$B$27,INDEX('Consorcio IQ'!$O$6:$O$485,$A396),0)</x:f>
        <x:v>1335301.8136470825</x:v>
      </x:c>
      <x:c r="BA396" s="141" t="n">
        <x:f>AX396+AZ396-AY396</x:f>
        <x:v>30206975.72791344</x:v>
      </x:c>
      <x:c r="BB396" s="141" t="n">
        <x:f>IF(AW396&gt;1,"Inviavel",BA396)</x:f>
        <x:v>30206975.72791344</x:v>
      </x:c>
      <x:c r="BC396" s="141" t="str">
        <x:f>IF(AW396&gt;1,"Inviavel","OK")</x:f>
        <x:v>OK</x:v>
      </x:c>
      <x:c r="BD396" s="141" t="n">
        <x:f>IF($A396='Consorcio Direto'!$B$29,'Consorcio Direto'!$B$44,0)</x:f>
        <x:v>0</x:v>
      </x:c>
      <x:c r="BE396" s="141" t="n">
        <x:f>IF($A396&lt;='Consorcio Direto'!$B$27,INDEX('Consorcio Direto'!$E$55:$E$534,$A396),0)</x:f>
        <x:v>0</x:v>
      </x:c>
      <x:c r="BF396" s="141" t="n">
        <x:f>IF(AND(TRUE,Premissas!$B$11="Imovel",Premissas!$B$47="Moradia",$A396&lt;MAX('Consorcio Direto'!$B$29,Premissas!$B$49)),$D396,0)</x:f>
        <x:v>0</x:v>
      </x:c>
      <x:c r="BG396" s="141" t="n">
        <x:f>IF(AND(TRUE,Premissas!$B$11="Imovel",Premissas!$B$47="Investimento",$A396&gt;=MAX('Consorcio Direto'!$B$29,Premissas!$B$49)),$E396,0)</x:f>
        <x:v>4130.1674764066165</x:v>
      </x:c>
      <x:c r="BH396" s="141" t="n">
        <x:f>BD396+BE396+BF396</x:f>
        <x:v>0</x:v>
      </x:c>
      <x:c r="BI396" s="141" t="n">
        <x:f>BG396</x:f>
        <x:v>4130.1674764066165</x:v>
      </x:c>
      <x:c r="BJ396" s="141" t="n">
        <x:f>$C396+BI396-BH396</x:f>
        <x:v>11130.167476406616</x:v>
      </x:c>
      <x:c r="BK396" s="141" t="n">
        <x:f>BN395*(1+Premissas!$B$41)+BJ396</x:f>
        <x:v>27617644.18726206</x:v>
      </x:c>
      <x:c r="BL396" s="141" t="n">
        <x:f>MAX(0,-BK396)</x:f>
        <x:v>0</x:v>
      </x:c>
      <x:c r="BM396" s="141" t="n">
        <x:f>BM395*(1+Premissas!$B$41)+BL396</x:f>
        <x:v>0</x:v>
      </x:c>
      <x:c r="BN396" s="141" t="n">
        <x:f>MAX(0,BK396)</x:f>
        <x:v>27617644.18726206</x:v>
      </x:c>
      <x:c r="BO396" s="141" t="n">
        <x:f>INDEX('Consorcio Direto'!$K$55:$K$534,$A396)</x:f>
        <x:v>0</x:v>
      </x:c>
      <x:c r="BP396" s="141" t="n">
        <x:f>IF($A396&lt;'Consorcio Direto'!$B$29,INDEX('Consorcio Direto'!$L$55:$L$534,$A396),$F396)</x:f>
        <x:v>1335301.8136470825</x:v>
      </x:c>
      <x:c r="BQ396" s="141" t="n">
        <x:f>BN396+BP396-BO396</x:f>
        <x:v>28952946.000909142</x:v>
      </x:c>
      <x:c r="BR396" s="141" t="n">
        <x:f>IF(BM396&gt;1,"Inviavel",BQ396)</x:f>
        <x:v>28952946.000909142</x:v>
      </x:c>
      <x:c r="BS396" s="141" t="str">
        <x:f>IF(BM396&gt;1,"Inviavel","OK")</x:f>
        <x:v>OK</x:v>
      </x:c>
      <x:c r="BT396" s="141" t="n">
        <x:f>IF(AND('Carta Contemplada'!$B$22="Sim",$A396='Carta Contemplada'!$B$23),'Carta Contemplada'!$B$37,0)</x:f>
        <x:v>0</x:v>
      </x:c>
      <x:c r="BU396" s="141" t="n">
        <x:f>IF('Carta Contemplada'!$B$22="Sim",INDEX('Carta Contemplada'!$C$55:$C$1013,$A396),0)</x:f>
        <x:v>0</x:v>
      </x:c>
      <x:c r="BV396" s="141" t="n">
        <x:f>IF(AND('Carta Contemplada'!$B$22="Sim",Premissas!$B$11="Imovel",Premissas!$B$47="Moradia",$A396&lt;MAX('Carta Contemplada'!$B$44,Premissas!$B$49)),$D396,0)</x:f>
        <x:v>0</x:v>
      </x:c>
      <x:c r="BW396" s="141" t="n">
        <x:f>IF(AND('Carta Contemplada'!$B$22="Sim",Premissas!$B$11="Imovel",Premissas!$B$47="Investimento",$A396&gt;=MAX('Carta Contemplada'!$B$44,Premissas!$B$49)),$E396,0)</x:f>
        <x:v>4130.1674764066165</x:v>
      </x:c>
      <x:c r="BX396" s="141" t="n">
        <x:f>BT396+BU396+BV396</x:f>
        <x:v>0</x:v>
      </x:c>
      <x:c r="BY396" s="141" t="n">
        <x:f>BW396</x:f>
        <x:v>4130.1674764066165</x:v>
      </x:c>
      <x:c r="BZ396" s="141" t="n">
        <x:f>$C396+BY396-BX396</x:f>
        <x:v>11130.167476406616</x:v>
      </x:c>
      <x:c r="CA396" s="141" t="n">
        <x:f>CD395*(1+Premissas!$B$41)+BZ396</x:f>
        <x:v>29688872.06975618</x:v>
      </x:c>
      <x:c r="CB396" s="141" t="n">
        <x:f>MAX(0,-CA396)</x:f>
        <x:v>0</x:v>
      </x:c>
      <x:c r="CC396" s="141" t="n">
        <x:f>CC395*(1+Premissas!$B$41)+CB396</x:f>
        <x:v>0</x:v>
      </x:c>
      <x:c r="CD396" s="141" t="n">
        <x:f>MAX(0,CA396)</x:f>
        <x:v>29688872.06975618</x:v>
      </x:c>
      <x:c r="CE396" s="141" t="n">
        <x:f>IF(AND('Carta Contemplada'!$B$22="Sim",$A396&gt;='Carta Contemplada'!$B$23),INDEX('Carta Contemplada'!$I$55:$I$1013,$A396),0)</x:f>
        <x:v>0</x:v>
      </x:c>
      <x:c r="CF396" s="141" t="n">
        <x:f>IF(AND('Carta Contemplada'!$B$22="Sim",$A396&gt;='Carta Contemplada'!$B$44),$F396,0)</x:f>
        <x:v>1335301.8136470825</x:v>
      </x:c>
      <x:c r="CG396" s="141" t="n">
        <x:f>CD396+CF396-CE396</x:f>
        <x:v>31024173.883403264</x:v>
      </x:c>
      <x:c r="CH396" s="141" t="n">
        <x:f>IF(CC396&gt;1,"Inviavel",CG396)</x:f>
        <x:v>31024173.883403264</x:v>
      </x:c>
      <x:c r="CI396" s="145" t="str">
        <x:f>IF(CC396&gt;1,"Inviavel","OK")</x:f>
        <x:v>OK</x:v>
      </x:c>
    </x:row>
    <x:row r="397">
      <x:c r="A397" s="142" t="n">
        <x:v>393</x:v>
      </x:c>
      <x:c r="B397" s="179" t="n">
        <x:f>EDATE(Premissas!$B$4,A397-1)</x:f>
        <x:v>58472</x:v>
      </x:c>
      <x:c r="C397" s="141" t="n">
        <x:f>IF(A397&lt;=Premissas!$B$39,Premissas!$B$42,0)</x:f>
        <x:v>7000</x:v>
      </x:c>
      <x:c r="D397" s="141" t="n">
        <x:f>Premissas!$B$54*(1+Premissas!$B$57)^INT((A397-1)/12)</x:f>
        <x:v>4517.370677319737</x:v>
      </x:c>
      <x:c r="E397" s="141" t="n">
        <x:f>Premissas!$B$64*(1+Premissas!$B$57)^INT((A397-1)/12)</x:f>
        <x:v>4130.1674764066165</x:v>
      </x:c>
      <x:c r="F397" s="141" t="n">
        <x:f>MAX(0,Premissas!$B$6*(1+Premissas!$B$66)^((A397-1)/12))</x:f>
        <x:v>1341801.4627450036</x:v>
      </x:c>
      <x:c r="G397" s="141" t="n">
        <x:f>G396*(1+Premissas!$B$41)+C397</x:f>
        <x:v>33094125.755043216</x:v>
      </x:c>
      <x:c r="H397" s="141" t="n">
        <x:f>IF($A397=Premissas!$B$48,Premissas!$B$8,0)</x:f>
        <x:v>0</x:v>
      </x:c>
      <x:c r="I397" s="141" t="n">
        <x:f>IF(AND($A397&gt;=Premissas!$B$48,$A397-Premissas!$B$48+1&lt;=Premissas!$B$13),INDEX(Financiamento!$J$6:$J$485,$A397-Premissas!$B$48+1),0)</x:f>
        <x:v>632.1661722546003</x:v>
      </x:c>
      <x:c r="J397" s="141" t="n">
        <x:f>IF(AND(TRUE,Premissas!$B$11="Imovel",Premissas!$B$47="Moradia",$A397&lt;MAX(Premissas!$B$48,Premissas!$B$49)),$D397,0)</x:f>
        <x:v>0</x:v>
      </x:c>
      <x:c r="K397" s="141" t="n">
        <x:f>IF(AND(TRUE,Premissas!$B$11="Imovel",Premissas!$B$47="Investimento",$A397&gt;=MAX(Premissas!$B$48,Premissas!$B$49)),$E397,0)</x:f>
        <x:v>4130.1674764066165</x:v>
      </x:c>
      <x:c r="L397" s="141" t="n">
        <x:f>H397+I397+J397</x:f>
        <x:v>632.1661722546003</x:v>
      </x:c>
      <x:c r="M397" s="141" t="n">
        <x:f>K397</x:f>
        <x:v>4130.1674764066165</x:v>
      </x:c>
      <x:c r="N397" s="141" t="n">
        <x:f>$C397+M397-L397</x:f>
        <x:v>10498.001304152016</x:v>
      </x:c>
      <x:c r="O397" s="141" t="n">
        <x:f>R396*(1+Premissas!$B$41)+N397</x:f>
        <x:v>28915874.30641963</x:v>
      </x:c>
      <x:c r="P397" s="141" t="n">
        <x:f>MAX(0,-O397)</x:f>
        <x:v>0</x:v>
      </x:c>
      <x:c r="Q397" s="141" t="n">
        <x:f>Q396*(1+Premissas!$B$41)+P397</x:f>
        <x:v>0</x:v>
      </x:c>
      <x:c r="R397" s="141" t="n">
        <x:f>MAX(0,O397)</x:f>
        <x:v>28915874.30641963</x:v>
      </x:c>
      <x:c r="S397" s="141" t="n">
        <x:f>IF(AND($A397&gt;=Premissas!$B$48,$A397-Premissas!$B$48+1&lt;=Premissas!$B$13),INDEX(Financiamento!$M$6:$M$485,$A397-Premissas!$B$48+1),0)</x:f>
        <x:v>10285.71428571429</x:v>
      </x:c>
      <x:c r="T397" s="141" t="n">
        <x:f>IF($A397&gt;=Premissas!$B$48,$F397,0)</x:f>
        <x:v>1341801.4627450036</x:v>
      </x:c>
      <x:c r="U397" s="141" t="n">
        <x:f>R397+T397-S397</x:f>
        <x:v>30247390.05487892</x:v>
      </x:c>
      <x:c r="V397" s="141" t="n">
        <x:f>IF(Q397&gt;1,"Inviavel",U397)</x:f>
        <x:v>30247390.05487892</x:v>
      </x:c>
      <x:c r="W397" s="141" t="str">
        <x:f>IF(Q397&gt;1,"Inviavel","OK")</x:f>
        <x:v>OK</x:v>
      </x:c>
      <x:c r="X397" s="141" t="n">
        <x:f>IF($A397=Premissas!$B$48,Premissas!$B$8,0)</x:f>
        <x:v>0</x:v>
      </x:c>
      <x:c r="Y397" s="141" t="n">
        <x:f>IF(AND($A397&gt;=Premissas!$B$48,$A397-Premissas!$B$48+1&lt;=Premissas!$B$13),INDEX(Amortizacao!$K$6:$K$485,$A397-Premissas!$B$48+1),0)</x:f>
        <x:v>0</x:v>
      </x:c>
      <x:c r="Z397" s="141" t="n">
        <x:f>IF(AND(TRUE,Premissas!$B$11="Imovel",Premissas!$B$47="Moradia",$A397&lt;MAX(Premissas!$B$48,Premissas!$B$49)),$D397,0)</x:f>
        <x:v>0</x:v>
      </x:c>
      <x:c r="AA397" s="141" t="n">
        <x:f>IF(AND(TRUE,Premissas!$B$11="Imovel",Premissas!$B$47="Investimento",$A397&gt;=MAX(Premissas!$B$48,Premissas!$B$49)),$E397,0)</x:f>
        <x:v>4130.1674764066165</x:v>
      </x:c>
      <x:c r="AB397" s="141" t="n">
        <x:f>X397+Y397+Z397</x:f>
        <x:v>0</x:v>
      </x:c>
      <x:c r="AC397" s="141" t="n">
        <x:f>AA397</x:f>
        <x:v>4130.1674764066165</x:v>
      </x:c>
      <x:c r="AD397" s="141" t="n">
        <x:f>$C397+AC397-AB397</x:f>
        <x:v>11130.167476406616</x:v>
      </x:c>
      <x:c r="AE397" s="141" t="n">
        <x:f>AH396*(1+Premissas!$B$41)+AD397</x:f>
        <x:v>29391002.30340394</x:v>
      </x:c>
      <x:c r="AF397" s="141" t="n">
        <x:f>MAX(0,-AE397)</x:f>
        <x:v>0</x:v>
      </x:c>
      <x:c r="AG397" s="141" t="n">
        <x:f>AG396*(1+Premissas!$B$41)+AF397</x:f>
        <x:v>0</x:v>
      </x:c>
      <x:c r="AH397" s="141" t="n">
        <x:f>MAX(0,AE397)</x:f>
        <x:v>29391002.30340394</x:v>
      </x:c>
      <x:c r="AI397" s="141" t="n">
        <x:f>IF(AND($A397&gt;=Premissas!$B$48,$A397-Premissas!$B$48+1&lt;=Premissas!$B$13),INDEX(Amortizacao!$L$6:$L$485,$A397-Premissas!$B$48+1),0)</x:f>
        <x:v>0</x:v>
      </x:c>
      <x:c r="AJ397" s="141" t="n">
        <x:f>IF($A397&gt;=Premissas!$B$48,$F397,0)</x:f>
        <x:v>1341801.4627450036</x:v>
      </x:c>
      <x:c r="AK397" s="141" t="n">
        <x:f>AH397+AJ397-AI397</x:f>
        <x:v>30732803.766148943</x:v>
      </x:c>
      <x:c r="AL397" s="141" t="n">
        <x:f>IF(AG397&gt;1,"Inviavel",AK397)</x:f>
        <x:v>30732803.766148943</x:v>
      </x:c>
      <x:c r="AM397" s="141" t="str">
        <x:f>IF(AG397&gt;1,"Inviavel","OK")</x:f>
        <x:v>OK</x:v>
      </x:c>
      <x:c r="AN397" s="141" t="n">
        <x:f>IF($A397=Premissas!$B$48,Premissas!$B$8,0)</x:f>
        <x:v>0</x:v>
      </x:c>
      <x:c r="AO397" s="141" t="n">
        <x:f>IF($A397&lt;=Premissas!$B$25,INDEX('Consorcio IQ'!$K$6:$K$485,$A397),0)</x:f>
        <x:v>0</x:v>
      </x:c>
      <x:c r="AP397" s="141" t="n">
        <x:f>IF(AND(TRUE,Premissas!$B$11="Imovel",Premissas!$B$47="Moradia",$A397&lt;MAX(Premissas!$B$48,Premissas!$B$49)),$D397,0)</x:f>
        <x:v>0</x:v>
      </x:c>
      <x:c r="AQ397" s="141" t="n">
        <x:f>IF(AND(TRUE,Premissas!$B$11="Imovel",Premissas!$B$47="Investimento",$A397&gt;=MAX(Premissas!$B$48,Premissas!$B$49)),$E397,0)</x:f>
        <x:v>4130.1674764066165</x:v>
      </x:c>
      <x:c r="AR397" s="141" t="n">
        <x:f>AN397+AO397+AP397</x:f>
        <x:v>0</x:v>
      </x:c>
      <x:c r="AS397" s="141" t="n">
        <x:f>AQ397</x:f>
        <x:v>4130.1674764066165</x:v>
      </x:c>
      <x:c r="AT397" s="141" t="n">
        <x:f>$C397+AS397-AR397</x:f>
        <x:v>11130.167476406616</x:v>
      </x:c>
      <x:c r="AU397" s="141" t="n">
        <x:f>AX396*(1+Premissas!$B$41)+AT397</x:f>
        <x:v>29156761.41719004</x:v>
      </x:c>
      <x:c r="AV397" s="141" t="n">
        <x:f>MAX(0,-AU397)</x:f>
        <x:v>0</x:v>
      </x:c>
      <x:c r="AW397" s="141" t="n">
        <x:f>AW396*(1+Premissas!$B$41)+AV397</x:f>
        <x:v>0</x:v>
      </x:c>
      <x:c r="AX397" s="141" t="n">
        <x:f>MAX(0,AU397)</x:f>
        <x:v>29156761.41719004</x:v>
      </x:c>
      <x:c r="AY397" s="141" t="n">
        <x:f>INDEX('Consorcio IQ'!$P$6:$P$485,$A397)</x:f>
        <x:v>0</x:v>
      </x:c>
      <x:c r="AZ397" s="141" t="n">
        <x:f>IF($A397&gt;=Premissas!$B$48,$F397,0)+IF($A397&lt;Premissas!$B$27,INDEX('Consorcio IQ'!$O$6:$O$485,$A397),0)</x:f>
        <x:v>1341801.4627450036</x:v>
      </x:c>
      <x:c r="BA397" s="141" t="n">
        <x:f>AX397+AZ397-AY397</x:f>
        <x:v>30498562.879935045</x:v>
      </x:c>
      <x:c r="BB397" s="141" t="n">
        <x:f>IF(AW397&gt;1,"Inviavel",BA397)</x:f>
        <x:v>30498562.879935045</x:v>
      </x:c>
      <x:c r="BC397" s="141" t="str">
        <x:f>IF(AW397&gt;1,"Inviavel","OK")</x:f>
        <x:v>OK</x:v>
      </x:c>
      <x:c r="BD397" s="141" t="n">
        <x:f>IF($A397='Consorcio Direto'!$B$29,'Consorcio Direto'!$B$44,0)</x:f>
        <x:v>0</x:v>
      </x:c>
      <x:c r="BE397" s="141" t="n">
        <x:f>IF($A397&lt;='Consorcio Direto'!$B$27,INDEX('Consorcio Direto'!$E$55:$E$534,$A397),0)</x:f>
        <x:v>0</x:v>
      </x:c>
      <x:c r="BF397" s="141" t="n">
        <x:f>IF(AND(TRUE,Premissas!$B$11="Imovel",Premissas!$B$47="Moradia",$A397&lt;MAX('Consorcio Direto'!$B$29,Premissas!$B$49)),$D397,0)</x:f>
        <x:v>0</x:v>
      </x:c>
      <x:c r="BG397" s="141" t="n">
        <x:f>IF(AND(TRUE,Premissas!$B$11="Imovel",Premissas!$B$47="Investimento",$A397&gt;=MAX('Consorcio Direto'!$B$29,Premissas!$B$49)),$E397,0)</x:f>
        <x:v>4130.1674764066165</x:v>
      </x:c>
      <x:c r="BH397" s="141" t="n">
        <x:f>BD397+BE397+BF397</x:f>
        <x:v>0</x:v>
      </x:c>
      <x:c r="BI397" s="141" t="n">
        <x:f>BG397</x:f>
        <x:v>4130.1674764066165</x:v>
      </x:c>
      <x:c r="BJ397" s="141" t="n">
        <x:f>$C397+BI397-BH397</x:f>
        <x:v>11130.167476406616</x:v>
      </x:c>
      <x:c r="BK397" s="141" t="n">
        <x:f>BN396*(1+Premissas!$B$41)+BJ397</x:f>
        <x:v>27890832.461772386</x:v>
      </x:c>
      <x:c r="BL397" s="141" t="n">
        <x:f>MAX(0,-BK397)</x:f>
        <x:v>0</x:v>
      </x:c>
      <x:c r="BM397" s="141" t="n">
        <x:f>BM396*(1+Premissas!$B$41)+BL397</x:f>
        <x:v>0</x:v>
      </x:c>
      <x:c r="BN397" s="141" t="n">
        <x:f>MAX(0,BK397)</x:f>
        <x:v>27890832.461772386</x:v>
      </x:c>
      <x:c r="BO397" s="141" t="n">
        <x:f>INDEX('Consorcio Direto'!$K$55:$K$534,$A397)</x:f>
        <x:v>0</x:v>
      </x:c>
      <x:c r="BP397" s="141" t="n">
        <x:f>IF($A397&lt;'Consorcio Direto'!$B$29,INDEX('Consorcio Direto'!$L$55:$L$534,$A397),$F397)</x:f>
        <x:v>1341801.4627450036</x:v>
      </x:c>
      <x:c r="BQ397" s="141" t="n">
        <x:f>BN397+BP397-BO397</x:f>
        <x:v>29232633.92451739</x:v>
      </x:c>
      <x:c r="BR397" s="141" t="n">
        <x:f>IF(BM397&gt;1,"Inviavel",BQ397)</x:f>
        <x:v>29232633.92451739</x:v>
      </x:c>
      <x:c r="BS397" s="141" t="str">
        <x:f>IF(BM397&gt;1,"Inviavel","OK")</x:f>
        <x:v>OK</x:v>
      </x:c>
      <x:c r="BT397" s="141" t="n">
        <x:f>IF(AND('Carta Contemplada'!$B$22="Sim",$A397='Carta Contemplada'!$B$23),'Carta Contemplada'!$B$37,0)</x:f>
        <x:v>0</x:v>
      </x:c>
      <x:c r="BU397" s="141" t="n">
        <x:f>IF('Carta Contemplada'!$B$22="Sim",INDEX('Carta Contemplada'!$C$55:$C$1013,$A397),0)</x:f>
        <x:v>0</x:v>
      </x:c>
      <x:c r="BV397" s="141" t="n">
        <x:f>IF(AND('Carta Contemplada'!$B$22="Sim",Premissas!$B$11="Imovel",Premissas!$B$47="Moradia",$A397&lt;MAX('Carta Contemplada'!$B$44,Premissas!$B$49)),$D397,0)</x:f>
        <x:v>0</x:v>
      </x:c>
      <x:c r="BW397" s="141" t="n">
        <x:f>IF(AND('Carta Contemplada'!$B$22="Sim",Premissas!$B$11="Imovel",Premissas!$B$47="Investimento",$A397&gt;=MAX('Carta Contemplada'!$B$44,Premissas!$B$49)),$E397,0)</x:f>
        <x:v>4130.1674764066165</x:v>
      </x:c>
      <x:c r="BX397" s="141" t="n">
        <x:f>BT397+BU397+BV397</x:f>
        <x:v>0</x:v>
      </x:c>
      <x:c r="BY397" s="141" t="n">
        <x:f>BW397</x:f>
        <x:v>4130.1674764066165</x:v>
      </x:c>
      <x:c r="BZ397" s="141" t="n">
        <x:f>$C397+BY397-BX397</x:f>
        <x:v>11130.167476406616</x:v>
      </x:c>
      <x:c r="CA397" s="141" t="n">
        <x:f>CD396*(1+Premissas!$B$41)+BZ397</x:f>
        <x:v>29981713.79676383</x:v>
      </x:c>
      <x:c r="CB397" s="141" t="n">
        <x:f>MAX(0,-CA397)</x:f>
        <x:v>0</x:v>
      </x:c>
      <x:c r="CC397" s="141" t="n">
        <x:f>CC396*(1+Premissas!$B$41)+CB397</x:f>
        <x:v>0</x:v>
      </x:c>
      <x:c r="CD397" s="141" t="n">
        <x:f>MAX(0,CA397)</x:f>
        <x:v>29981713.79676383</x:v>
      </x:c>
      <x:c r="CE397" s="141" t="n">
        <x:f>IF(AND('Carta Contemplada'!$B$22="Sim",$A397&gt;='Carta Contemplada'!$B$23),INDEX('Carta Contemplada'!$I$55:$I$1013,$A397),0)</x:f>
        <x:v>0</x:v>
      </x:c>
      <x:c r="CF397" s="141" t="n">
        <x:f>IF(AND('Carta Contemplada'!$B$22="Sim",$A397&gt;='Carta Contemplada'!$B$44),$F397,0)</x:f>
        <x:v>1341801.4627450036</x:v>
      </x:c>
      <x:c r="CG397" s="141" t="n">
        <x:f>CD397+CF397-CE397</x:f>
        <x:v>31323515.259508833</x:v>
      </x:c>
      <x:c r="CH397" s="141" t="n">
        <x:f>IF(CC397&gt;1,"Inviavel",CG397)</x:f>
        <x:v>31323515.259508833</x:v>
      </x:c>
      <x:c r="CI397" s="145" t="str">
        <x:f>IF(CC397&gt;1,"Inviavel","OK")</x:f>
        <x:v>OK</x:v>
      </x:c>
    </x:row>
    <x:row r="398">
      <x:c r="A398" s="142" t="n">
        <x:v>394</x:v>
      </x:c>
      <x:c r="B398" s="179" t="n">
        <x:f>EDATE(Premissas!$B$4,A398-1)</x:f>
        <x:v>58501</x:v>
      </x:c>
      <x:c r="C398" s="141" t="n">
        <x:f>IF(A398&lt;=Premissas!$B$39,Premissas!$B$42,0)</x:f>
        <x:v>7000</x:v>
      </x:c>
      <x:c r="D398" s="141" t="n">
        <x:f>Premissas!$B$54*(1+Premissas!$B$57)^INT((A398-1)/12)</x:f>
        <x:v>4517.370677319737</x:v>
      </x:c>
      <x:c r="E398" s="141" t="n">
        <x:f>Premissas!$B$64*(1+Premissas!$B$57)^INT((A398-1)/12)</x:f>
        <x:v>4130.1674764066165</x:v>
      </x:c>
      <x:c r="F398" s="141" t="n">
        <x:f>MAX(0,Premissas!$B$6*(1+Premissas!$B$66)^((A398-1)/12))</x:f>
        <x:v>1348332.7492135665</x:v>
      </x:c>
      <x:c r="G398" s="141" t="n">
        <x:f>G397*(1+Premissas!$B$41)+C398</x:f>
        <x:v>33415149.061683875</x:v>
      </x:c>
      <x:c r="H398" s="141" t="n">
        <x:f>IF($A398=Premissas!$B$48,Premissas!$B$8,0)</x:f>
        <x:v>0</x:v>
      </x:c>
      <x:c r="I398" s="141" t="n">
        <x:f>IF(AND($A398&gt;=Premissas!$B$48,$A398-Premissas!$B$48+1&lt;=Premissas!$B$13),INDEX(Financiamento!$J$6:$J$485,$A398-Premissas!$B$48+1),0)</x:f>
        <x:v>628.5513939938068</x:v>
      </x:c>
      <x:c r="J398" s="141" t="n">
        <x:f>IF(AND(TRUE,Premissas!$B$11="Imovel",Premissas!$B$47="Moradia",$A398&lt;MAX(Premissas!$B$48,Premissas!$B$49)),$D398,0)</x:f>
        <x:v>0</x:v>
      </x:c>
      <x:c r="K398" s="141" t="n">
        <x:f>IF(AND(TRUE,Premissas!$B$11="Imovel",Premissas!$B$47="Investimento",$A398&gt;=MAX(Premissas!$B$48,Premissas!$B$49)),$E398,0)</x:f>
        <x:v>4130.1674764066165</x:v>
      </x:c>
      <x:c r="L398" s="141" t="n">
        <x:f>H398+I398+J398</x:f>
        <x:v>628.5513939938068</x:v>
      </x:c>
      <x:c r="M398" s="141" t="n">
        <x:f>K398</x:f>
        <x:v>4130.1674764066165</x:v>
      </x:c>
      <x:c r="N398" s="141" t="n">
        <x:f>$C398+M398-L398</x:f>
        <x:v>10501.61608241281</x:v>
      </x:c>
      <x:c r="O398" s="141" t="n">
        <x:f>R397*(1+Premissas!$B$41)+N398</x:f>
        <x:v>29200752.666318085</x:v>
      </x:c>
      <x:c r="P398" s="141" t="n">
        <x:f>MAX(0,-O398)</x:f>
        <x:v>0</x:v>
      </x:c>
      <x:c r="Q398" s="141" t="n">
        <x:f>Q397*(1+Premissas!$B$41)+P398</x:f>
        <x:v>0</x:v>
      </x:c>
      <x:c r="R398" s="141" t="n">
        <x:f>MAX(0,O398)</x:f>
        <x:v>29200752.666318085</x:v>
      </x:c>
      <x:c r="S398" s="141" t="n">
        <x:f>IF(AND($A398&gt;=Premissas!$B$48,$A398-Premissas!$B$48+1&lt;=Premissas!$B$13),INDEX(Financiamento!$M$6:$M$485,$A398-Premissas!$B$48+1),0)</x:f>
        <x:v>9904.761904761908</x:v>
      </x:c>
      <x:c r="T398" s="141" t="n">
        <x:f>IF($A398&gt;=Premissas!$B$48,$F398,0)</x:f>
        <x:v>1348332.7492135665</x:v>
      </x:c>
      <x:c r="U398" s="141" t="n">
        <x:f>R398+T398-S398</x:f>
        <x:v>30539180.65362689</x:v>
      </x:c>
      <x:c r="V398" s="141" t="n">
        <x:f>IF(Q398&gt;1,"Inviavel",U398)</x:f>
        <x:v>30539180.65362689</x:v>
      </x:c>
      <x:c r="W398" s="141" t="str">
        <x:f>IF(Q398&gt;1,"Inviavel","OK")</x:f>
        <x:v>OK</x:v>
      </x:c>
      <x:c r="X398" s="141" t="n">
        <x:f>IF($A398=Premissas!$B$48,Premissas!$B$8,0)</x:f>
        <x:v>0</x:v>
      </x:c>
      <x:c r="Y398" s="141" t="n">
        <x:f>IF(AND($A398&gt;=Premissas!$B$48,$A398-Premissas!$B$48+1&lt;=Premissas!$B$13),INDEX(Amortizacao!$K$6:$K$485,$A398-Premissas!$B$48+1),0)</x:f>
        <x:v>0</x:v>
      </x:c>
      <x:c r="Z398" s="141" t="n">
        <x:f>IF(AND(TRUE,Premissas!$B$11="Imovel",Premissas!$B$47="Moradia",$A398&lt;MAX(Premissas!$B$48,Premissas!$B$49)),$D398,0)</x:f>
        <x:v>0</x:v>
      </x:c>
      <x:c r="AA398" s="141" t="n">
        <x:f>IF(AND(TRUE,Premissas!$B$11="Imovel",Premissas!$B$47="Investimento",$A398&gt;=MAX(Premissas!$B$48,Premissas!$B$49)),$E398,0)</x:f>
        <x:v>4130.1674764066165</x:v>
      </x:c>
      <x:c r="AB398" s="141" t="n">
        <x:f>X398+Y398+Z398</x:f>
        <x:v>0</x:v>
      </x:c>
      <x:c r="AC398" s="141" t="n">
        <x:f>AA398</x:f>
        <x:v>4130.1674764066165</x:v>
      </x:c>
      <x:c r="AD398" s="141" t="n">
        <x:f>$C398+AC398-AB398</x:f>
        <x:v>11130.167476406616</x:v>
      </x:c>
      <x:c r="AE398" s="141" t="n">
        <x:f>AH397*(1+Premissas!$B$41)+AD398</x:f>
        <x:v>29681017.605877202</x:v>
      </x:c>
      <x:c r="AF398" s="141" t="n">
        <x:f>MAX(0,-AE398)</x:f>
        <x:v>0</x:v>
      </x:c>
      <x:c r="AG398" s="141" t="n">
        <x:f>AG397*(1+Premissas!$B$41)+AF398</x:f>
        <x:v>0</x:v>
      </x:c>
      <x:c r="AH398" s="141" t="n">
        <x:f>MAX(0,AE398)</x:f>
        <x:v>29681017.605877202</x:v>
      </x:c>
      <x:c r="AI398" s="141" t="n">
        <x:f>IF(AND($A398&gt;=Premissas!$B$48,$A398-Premissas!$B$48+1&lt;=Premissas!$B$13),INDEX(Amortizacao!$L$6:$L$485,$A398-Premissas!$B$48+1),0)</x:f>
        <x:v>0</x:v>
      </x:c>
      <x:c r="AJ398" s="141" t="n">
        <x:f>IF($A398&gt;=Premissas!$B$48,$F398,0)</x:f>
        <x:v>1348332.7492135665</x:v>
      </x:c>
      <x:c r="AK398" s="141" t="n">
        <x:f>AH398+AJ398-AI398</x:f>
        <x:v>31029350.355090767</x:v>
      </x:c>
      <x:c r="AL398" s="141" t="n">
        <x:f>IF(AG398&gt;1,"Inviavel",AK398)</x:f>
        <x:v>31029350.355090767</x:v>
      </x:c>
      <x:c r="AM398" s="141" t="str">
        <x:f>IF(AG398&gt;1,"Inviavel","OK")</x:f>
        <x:v>OK</x:v>
      </x:c>
      <x:c r="AN398" s="141" t="n">
        <x:f>IF($A398=Premissas!$B$48,Premissas!$B$8,0)</x:f>
        <x:v>0</x:v>
      </x:c>
      <x:c r="AO398" s="141" t="n">
        <x:f>IF($A398&lt;=Premissas!$B$25,INDEX('Consorcio IQ'!$K$6:$K$485,$A398),0)</x:f>
        <x:v>0</x:v>
      </x:c>
      <x:c r="AP398" s="141" t="n">
        <x:f>IF(AND(TRUE,Premissas!$B$11="Imovel",Premissas!$B$47="Moradia",$A398&lt;MAX(Premissas!$B$48,Premissas!$B$49)),$D398,0)</x:f>
        <x:v>0</x:v>
      </x:c>
      <x:c r="AQ398" s="141" t="n">
        <x:f>IF(AND(TRUE,Premissas!$B$11="Imovel",Premissas!$B$47="Investimento",$A398&gt;=MAX(Premissas!$B$48,Premissas!$B$49)),$E398,0)</x:f>
        <x:v>4130.1674764066165</x:v>
      </x:c>
      <x:c r="AR398" s="141" t="n">
        <x:f>AN398+AO398+AP398</x:f>
        <x:v>0</x:v>
      </x:c>
      <x:c r="AS398" s="141" t="n">
        <x:f>AQ398</x:f>
        <x:v>4130.1674764066165</x:v>
      </x:c>
      <x:c r="AT398" s="141" t="n">
        <x:f>$C398+AS398-AR398</x:f>
        <x:v>11130.167476406616</x:v>
      </x:c>
      <x:c r="AU398" s="141" t="n">
        <x:f>AX397*(1+Premissas!$B$41)+AT398</x:f>
        <x:v>29444554.056397207</x:v>
      </x:c>
      <x:c r="AV398" s="141" t="n">
        <x:f>MAX(0,-AU398)</x:f>
        <x:v>0</x:v>
      </x:c>
      <x:c r="AW398" s="141" t="n">
        <x:f>AW397*(1+Premissas!$B$41)+AV398</x:f>
        <x:v>0</x:v>
      </x:c>
      <x:c r="AX398" s="141" t="n">
        <x:f>MAX(0,AU398)</x:f>
        <x:v>29444554.056397207</x:v>
      </x:c>
      <x:c r="AY398" s="141" t="n">
        <x:f>INDEX('Consorcio IQ'!$P$6:$P$485,$A398)</x:f>
        <x:v>0</x:v>
      </x:c>
      <x:c r="AZ398" s="141" t="n">
        <x:f>IF($A398&gt;=Premissas!$B$48,$F398,0)+IF($A398&lt;Premissas!$B$27,INDEX('Consorcio IQ'!$O$6:$O$485,$A398),0)</x:f>
        <x:v>1348332.7492135665</x:v>
      </x:c>
      <x:c r="BA398" s="141" t="n">
        <x:f>AX398+AZ398-AY398</x:f>
        <x:v>30792886.805610772</x:v>
      </x:c>
      <x:c r="BB398" s="141" t="n">
        <x:f>IF(AW398&gt;1,"Inviavel",BA398)</x:f>
        <x:v>30792886.805610772</x:v>
      </x:c>
      <x:c r="BC398" s="141" t="str">
        <x:f>IF(AW398&gt;1,"Inviavel","OK")</x:f>
        <x:v>OK</x:v>
      </x:c>
      <x:c r="BD398" s="141" t="n">
        <x:f>IF($A398='Consorcio Direto'!$B$29,'Consorcio Direto'!$B$44,0)</x:f>
        <x:v>0</x:v>
      </x:c>
      <x:c r="BE398" s="141" t="n">
        <x:f>IF($A398&lt;='Consorcio Direto'!$B$27,INDEX('Consorcio Direto'!$E$55:$E$534,$A398),0)</x:f>
        <x:v>0</x:v>
      </x:c>
      <x:c r="BF398" s="141" t="n">
        <x:f>IF(AND(TRUE,Premissas!$B$11="Imovel",Premissas!$B$47="Moradia",$A398&lt;MAX('Consorcio Direto'!$B$29,Premissas!$B$49)),$D398,0)</x:f>
        <x:v>0</x:v>
      </x:c>
      <x:c r="BG398" s="141" t="n">
        <x:f>IF(AND(TRUE,Premissas!$B$11="Imovel",Premissas!$B$47="Investimento",$A398&gt;=MAX('Consorcio Direto'!$B$29,Premissas!$B$49)),$E398,0)</x:f>
        <x:v>4130.1674764066165</x:v>
      </x:c>
      <x:c r="BH398" s="141" t="n">
        <x:f>BD398+BE398+BF398</x:f>
        <x:v>0</x:v>
      </x:c>
      <x:c r="BI398" s="141" t="n">
        <x:f>BG398</x:f>
        <x:v>4130.1674764066165</x:v>
      </x:c>
      <x:c r="BJ398" s="141" t="n">
        <x:f>$C398+BI398-BH398</x:f>
        <x:v>11130.167476406616</x:v>
      </x:c>
      <x:c r="BK398" s="141" t="n">
        <x:f>BN397*(1+Premissas!$B$41)+BJ398</x:f>
        <x:v>28166612.9632517</x:v>
      </x:c>
      <x:c r="BL398" s="141" t="n">
        <x:f>MAX(0,-BK398)</x:f>
        <x:v>0</x:v>
      </x:c>
      <x:c r="BM398" s="141" t="n">
        <x:f>BM397*(1+Premissas!$B$41)+BL398</x:f>
        <x:v>0</x:v>
      </x:c>
      <x:c r="BN398" s="141" t="n">
        <x:f>MAX(0,BK398)</x:f>
        <x:v>28166612.9632517</x:v>
      </x:c>
      <x:c r="BO398" s="141" t="n">
        <x:f>INDEX('Consorcio Direto'!$K$55:$K$534,$A398)</x:f>
        <x:v>0</x:v>
      </x:c>
      <x:c r="BP398" s="141" t="n">
        <x:f>IF($A398&lt;'Consorcio Direto'!$B$29,INDEX('Consorcio Direto'!$L$55:$L$534,$A398),$F398)</x:f>
        <x:v>1348332.7492135665</x:v>
      </x:c>
      <x:c r="BQ398" s="141" t="n">
        <x:f>BN398+BP398-BO398</x:f>
        <x:v>29514945.712465264</x:v>
      </x:c>
      <x:c r="BR398" s="141" t="n">
        <x:f>IF(BM398&gt;1,"Inviavel",BQ398)</x:f>
        <x:v>29514945.712465264</x:v>
      </x:c>
      <x:c r="BS398" s="141" t="str">
        <x:f>IF(BM398&gt;1,"Inviavel","OK")</x:f>
        <x:v>OK</x:v>
      </x:c>
      <x:c r="BT398" s="141" t="n">
        <x:f>IF(AND('Carta Contemplada'!$B$22="Sim",$A398='Carta Contemplada'!$B$23),'Carta Contemplada'!$B$37,0)</x:f>
        <x:v>0</x:v>
      </x:c>
      <x:c r="BU398" s="141" t="n">
        <x:f>IF('Carta Contemplada'!$B$22="Sim",INDEX('Carta Contemplada'!$C$55:$C$1013,$A398),0)</x:f>
        <x:v>0</x:v>
      </x:c>
      <x:c r="BV398" s="141" t="n">
        <x:f>IF(AND('Carta Contemplada'!$B$22="Sim",Premissas!$B$11="Imovel",Premissas!$B$47="Moradia",$A398&lt;MAX('Carta Contemplada'!$B$44,Premissas!$B$49)),$D398,0)</x:f>
        <x:v>0</x:v>
      </x:c>
      <x:c r="BW398" s="141" t="n">
        <x:f>IF(AND('Carta Contemplada'!$B$22="Sim",Premissas!$B$11="Imovel",Premissas!$B$47="Investimento",$A398&gt;=MAX('Carta Contemplada'!$B$44,Premissas!$B$49)),$E398,0)</x:f>
        <x:v>4130.1674764066165</x:v>
      </x:c>
      <x:c r="BX398" s="141" t="n">
        <x:f>BT398+BU398+BV398</x:f>
        <x:v>0</x:v>
      </x:c>
      <x:c r="BY398" s="141" t="n">
        <x:f>BW398</x:f>
        <x:v>4130.1674764066165</x:v>
      </x:c>
      <x:c r="BZ398" s="141" t="n">
        <x:f>$C398+BY398-BX398</x:f>
        <x:v>11130.167476406616</x:v>
      </x:c>
      <x:c r="CA398" s="141" t="n">
        <x:f>CD397*(1+Premissas!$B$41)+BZ398</x:f>
        <x:v>30277334.238281664</x:v>
      </x:c>
      <x:c r="CB398" s="141" t="n">
        <x:f>MAX(0,-CA398)</x:f>
        <x:v>0</x:v>
      </x:c>
      <x:c r="CC398" s="141" t="n">
        <x:f>CC397*(1+Premissas!$B$41)+CB398</x:f>
        <x:v>0</x:v>
      </x:c>
      <x:c r="CD398" s="141" t="n">
        <x:f>MAX(0,CA398)</x:f>
        <x:v>30277334.238281664</x:v>
      </x:c>
      <x:c r="CE398" s="141" t="n">
        <x:f>IF(AND('Carta Contemplada'!$B$22="Sim",$A398&gt;='Carta Contemplada'!$B$23),INDEX('Carta Contemplada'!$I$55:$I$1013,$A398),0)</x:f>
        <x:v>0</x:v>
      </x:c>
      <x:c r="CF398" s="141" t="n">
        <x:f>IF(AND('Carta Contemplada'!$B$22="Sim",$A398&gt;='Carta Contemplada'!$B$44),$F398,0)</x:f>
        <x:v>1348332.7492135665</x:v>
      </x:c>
      <x:c r="CG398" s="141" t="n">
        <x:f>CD398+CF398-CE398</x:f>
        <x:v>31625666.98749523</x:v>
      </x:c>
      <x:c r="CH398" s="141" t="n">
        <x:f>IF(CC398&gt;1,"Inviavel",CG398)</x:f>
        <x:v>31625666.98749523</x:v>
      </x:c>
      <x:c r="CI398" s="145" t="str">
        <x:f>IF(CC398&gt;1,"Inviavel","OK")</x:f>
        <x:v>OK</x:v>
      </x:c>
    </x:row>
    <x:row r="399">
      <x:c r="A399" s="142" t="n">
        <x:v>395</x:v>
      </x:c>
      <x:c r="B399" s="179" t="n">
        <x:f>EDATE(Premissas!$B$4,A399-1)</x:f>
        <x:v>58532</x:v>
      </x:c>
      <x:c r="C399" s="141" t="n">
        <x:f>IF(A399&lt;=Premissas!$B$39,Premissas!$B$42,0)</x:f>
        <x:v>7000</x:v>
      </x:c>
      <x:c r="D399" s="141" t="n">
        <x:f>Premissas!$B$54*(1+Premissas!$B$57)^INT((A399-1)/12)</x:f>
        <x:v>4517.370677319737</x:v>
      </x:c>
      <x:c r="E399" s="141" t="n">
        <x:f>Premissas!$B$64*(1+Premissas!$B$57)^INT((A399-1)/12)</x:f>
        <x:v>4130.1674764066165</x:v>
      </x:c>
      <x:c r="F399" s="141" t="n">
        <x:f>MAX(0,Premissas!$B$6*(1+Premissas!$B$66)^((A399-1)/12))</x:f>
        <x:v>1354895.8270492717</x:v>
      </x:c>
      <x:c r="G399" s="141" t="n">
        <x:f>G398*(1+Premissas!$B$41)+C399</x:f>
        <x:v>33739218.49200842</x:v>
      </x:c>
      <x:c r="H399" s="141" t="n">
        <x:f>IF($A399=Premissas!$B$48,Premissas!$B$8,0)</x:f>
        <x:v>0</x:v>
      </x:c>
      <x:c r="I399" s="141" t="n">
        <x:f>IF(AND($A399&gt;=Premissas!$B$48,$A399-Premissas!$B$48+1&lt;=Premissas!$B$13),INDEX(Financiamento!$J$6:$J$485,$A399-Premissas!$B$48+1),0)</x:f>
        <x:v>624.9366157330132</x:v>
      </x:c>
      <x:c r="J399" s="141" t="n">
        <x:f>IF(AND(TRUE,Premissas!$B$11="Imovel",Premissas!$B$47="Moradia",$A399&lt;MAX(Premissas!$B$48,Premissas!$B$49)),$D399,0)</x:f>
        <x:v>0</x:v>
      </x:c>
      <x:c r="K399" s="141" t="n">
        <x:f>IF(AND(TRUE,Premissas!$B$11="Imovel",Premissas!$B$47="Investimento",$A399&gt;=MAX(Premissas!$B$48,Premissas!$B$49)),$E399,0)</x:f>
        <x:v>4130.1674764066165</x:v>
      </x:c>
      <x:c r="L399" s="141" t="n">
        <x:f>H399+I399+J399</x:f>
        <x:v>624.9366157330132</x:v>
      </x:c>
      <x:c r="M399" s="141" t="n">
        <x:f>K399</x:f>
        <x:v>4130.1674764066165</x:v>
      </x:c>
      <x:c r="N399" s="141" t="n">
        <x:f>$C399+M399-L399</x:f>
        <x:v>10505.230860673602</x:v>
      </x:c>
      <x:c r="O399" s="141" t="n">
        <x:f>R398*(1+Premissas!$B$41)+N399</x:f>
        <x:v>29488337.792763423</x:v>
      </x:c>
      <x:c r="P399" s="141" t="n">
        <x:f>MAX(0,-O399)</x:f>
        <x:v>0</x:v>
      </x:c>
      <x:c r="Q399" s="141" t="n">
        <x:f>Q398*(1+Premissas!$B$41)+P399</x:f>
        <x:v>0</x:v>
      </x:c>
      <x:c r="R399" s="141" t="n">
        <x:f>MAX(0,O399)</x:f>
        <x:v>29488337.792763423</x:v>
      </x:c>
      <x:c r="S399" s="141" t="n">
        <x:f>IF(AND($A399&gt;=Premissas!$B$48,$A399-Premissas!$B$48+1&lt;=Premissas!$B$13),INDEX(Financiamento!$M$6:$M$485,$A399-Premissas!$B$48+1),0)</x:f>
        <x:v>9523.809523809527</x:v>
      </x:c>
      <x:c r="T399" s="141" t="n">
        <x:f>IF($A399&gt;=Premissas!$B$48,$F399,0)</x:f>
        <x:v>1354895.8270492717</x:v>
      </x:c>
      <x:c r="U399" s="141" t="n">
        <x:f>R399+T399-S399</x:f>
        <x:v>30833709.810288884</x:v>
      </x:c>
      <x:c r="V399" s="141" t="n">
        <x:f>IF(Q399&gt;1,"Inviavel",U399)</x:f>
        <x:v>30833709.810288884</x:v>
      </x:c>
      <x:c r="W399" s="141" t="str">
        <x:f>IF(Q399&gt;1,"Inviavel","OK")</x:f>
        <x:v>OK</x:v>
      </x:c>
      <x:c r="X399" s="141" t="n">
        <x:f>IF($A399=Premissas!$B$48,Premissas!$B$8,0)</x:f>
        <x:v>0</x:v>
      </x:c>
      <x:c r="Y399" s="141" t="n">
        <x:f>IF(AND($A399&gt;=Premissas!$B$48,$A399-Premissas!$B$48+1&lt;=Premissas!$B$13),INDEX(Amortizacao!$K$6:$K$485,$A399-Premissas!$B$48+1),0)</x:f>
        <x:v>0</x:v>
      </x:c>
      <x:c r="Z399" s="141" t="n">
        <x:f>IF(AND(TRUE,Premissas!$B$11="Imovel",Premissas!$B$47="Moradia",$A399&lt;MAX(Premissas!$B$48,Premissas!$B$49)),$D399,0)</x:f>
        <x:v>0</x:v>
      </x:c>
      <x:c r="AA399" s="141" t="n">
        <x:f>IF(AND(TRUE,Premissas!$B$11="Imovel",Premissas!$B$47="Investimento",$A399&gt;=MAX(Premissas!$B$48,Premissas!$B$49)),$E399,0)</x:f>
        <x:v>4130.1674764066165</x:v>
      </x:c>
      <x:c r="AB399" s="141" t="n">
        <x:f>X399+Y399+Z399</x:f>
        <x:v>0</x:v>
      </x:c>
      <x:c r="AC399" s="141" t="n">
        <x:f>AA399</x:f>
        <x:v>4130.1674764066165</x:v>
      </x:c>
      <x:c r="AD399" s="141" t="n">
        <x:f>$C399+AC399-AB399</x:f>
        <x:v>11130.167476406616</x:v>
      </x:c>
      <x:c r="AE399" s="141" t="n">
        <x:f>AH398*(1+Premissas!$B$41)+AD399</x:f>
        <x:v>29973784.80350349</x:v>
      </x:c>
      <x:c r="AF399" s="141" t="n">
        <x:f>MAX(0,-AE399)</x:f>
        <x:v>0</x:v>
      </x:c>
      <x:c r="AG399" s="141" t="n">
        <x:f>AG398*(1+Premissas!$B$41)+AF399</x:f>
        <x:v>0</x:v>
      </x:c>
      <x:c r="AH399" s="141" t="n">
        <x:f>MAX(0,AE399)</x:f>
        <x:v>29973784.80350349</x:v>
      </x:c>
      <x:c r="AI399" s="141" t="n">
        <x:f>IF(AND($A399&gt;=Premissas!$B$48,$A399-Premissas!$B$48+1&lt;=Premissas!$B$13),INDEX(Amortizacao!$L$6:$L$485,$A399-Premissas!$B$48+1),0)</x:f>
        <x:v>0</x:v>
      </x:c>
      <x:c r="AJ399" s="141" t="n">
        <x:f>IF($A399&gt;=Premissas!$B$48,$F399,0)</x:f>
        <x:v>1354895.8270492717</x:v>
      </x:c>
      <x:c r="AK399" s="141" t="n">
        <x:f>AH399+AJ399-AI399</x:f>
        <x:v>31328680.63055276</x:v>
      </x:c>
      <x:c r="AL399" s="141" t="n">
        <x:f>IF(AG399&gt;1,"Inviavel",AK399)</x:f>
        <x:v>31328680.63055276</x:v>
      </x:c>
      <x:c r="AM399" s="141" t="str">
        <x:f>IF(AG399&gt;1,"Inviavel","OK")</x:f>
        <x:v>OK</x:v>
      </x:c>
      <x:c r="AN399" s="141" t="n">
        <x:f>IF($A399=Premissas!$B$48,Premissas!$B$8,0)</x:f>
        <x:v>0</x:v>
      </x:c>
      <x:c r="AO399" s="141" t="n">
        <x:f>IF($A399&lt;=Premissas!$B$25,INDEX('Consorcio IQ'!$K$6:$K$485,$A399),0)</x:f>
        <x:v>0</x:v>
      </x:c>
      <x:c r="AP399" s="141" t="n">
        <x:f>IF(AND(TRUE,Premissas!$B$11="Imovel",Premissas!$B$47="Moradia",$A399&lt;MAX(Premissas!$B$48,Premissas!$B$49)),$D399,0)</x:f>
        <x:v>0</x:v>
      </x:c>
      <x:c r="AQ399" s="141" t="n">
        <x:f>IF(AND(TRUE,Premissas!$B$11="Imovel",Premissas!$B$47="Investimento",$A399&gt;=MAX(Premissas!$B$48,Premissas!$B$49)),$E399,0)</x:f>
        <x:v>4130.1674764066165</x:v>
      </x:c>
      <x:c r="AR399" s="141" t="n">
        <x:f>AN399+AO399+AP399</x:f>
        <x:v>0</x:v>
      </x:c>
      <x:c r="AS399" s="141" t="n">
        <x:f>AQ399</x:f>
        <x:v>4130.1674764066165</x:v>
      </x:c>
      <x:c r="AT399" s="141" t="n">
        <x:f>$C399+AS399-AR399</x:f>
        <x:v>11130.167476406616</x:v>
      </x:c>
      <x:c r="AU399" s="141" t="n">
        <x:f>AX398*(1+Premissas!$B$41)+AT399</x:f>
        <x:v>29735077.500365905</x:v>
      </x:c>
      <x:c r="AV399" s="141" t="n">
        <x:f>MAX(0,-AU399)</x:f>
        <x:v>0</x:v>
      </x:c>
      <x:c r="AW399" s="141" t="n">
        <x:f>AW398*(1+Premissas!$B$41)+AV399</x:f>
        <x:v>0</x:v>
      </x:c>
      <x:c r="AX399" s="141" t="n">
        <x:f>MAX(0,AU399)</x:f>
        <x:v>29735077.500365905</x:v>
      </x:c>
      <x:c r="AY399" s="141" t="n">
        <x:f>INDEX('Consorcio IQ'!$P$6:$P$485,$A399)</x:f>
        <x:v>0</x:v>
      </x:c>
      <x:c r="AZ399" s="141" t="n">
        <x:f>IF($A399&gt;=Premissas!$B$48,$F399,0)+IF($A399&lt;Premissas!$B$27,INDEX('Consorcio IQ'!$O$6:$O$485,$A399),0)</x:f>
        <x:v>1354895.8270492717</x:v>
      </x:c>
      <x:c r="BA399" s="141" t="n">
        <x:f>AX399+AZ399-AY399</x:f>
        <x:v>31089973.327415176</x:v>
      </x:c>
      <x:c r="BB399" s="141" t="n">
        <x:f>IF(AW399&gt;1,"Inviavel",BA399)</x:f>
        <x:v>31089973.327415176</x:v>
      </x:c>
      <x:c r="BC399" s="141" t="str">
        <x:f>IF(AW399&gt;1,"Inviavel","OK")</x:f>
        <x:v>OK</x:v>
      </x:c>
      <x:c r="BD399" s="141" t="n">
        <x:f>IF($A399='Consorcio Direto'!$B$29,'Consorcio Direto'!$B$44,0)</x:f>
        <x:v>0</x:v>
      </x:c>
      <x:c r="BE399" s="141" t="n">
        <x:f>IF($A399&lt;='Consorcio Direto'!$B$27,INDEX('Consorcio Direto'!$E$55:$E$534,$A399),0)</x:f>
        <x:v>0</x:v>
      </x:c>
      <x:c r="BF399" s="141" t="n">
        <x:f>IF(AND(TRUE,Premissas!$B$11="Imovel",Premissas!$B$47="Moradia",$A399&lt;MAX('Consorcio Direto'!$B$29,Premissas!$B$49)),$D399,0)</x:f>
        <x:v>0</x:v>
      </x:c>
      <x:c r="BG399" s="141" t="n">
        <x:f>IF(AND(TRUE,Premissas!$B$11="Imovel",Premissas!$B$47="Investimento",$A399&gt;=MAX('Consorcio Direto'!$B$29,Premissas!$B$49)),$E399,0)</x:f>
        <x:v>4130.1674764066165</x:v>
      </x:c>
      <x:c r="BH399" s="141" t="n">
        <x:f>BD399+BE399+BF399</x:f>
        <x:v>0</x:v>
      </x:c>
      <x:c r="BI399" s="141" t="n">
        <x:f>BG399</x:f>
        <x:v>4130.1674764066165</x:v>
      </x:c>
      <x:c r="BJ399" s="141" t="n">
        <x:f>$C399+BI399-BH399</x:f>
        <x:v>11130.167476406616</x:v>
      </x:c>
      <x:c r="BK399" s="141" t="n">
        <x:f>BN398*(1+Premissas!$B$41)+BJ399</x:f>
        <x:v>28445010.288804945</x:v>
      </x:c>
      <x:c r="BL399" s="141" t="n">
        <x:f>MAX(0,-BK399)</x:f>
        <x:v>0</x:v>
      </x:c>
      <x:c r="BM399" s="141" t="n">
        <x:f>BM398*(1+Premissas!$B$41)+BL399</x:f>
        <x:v>0</x:v>
      </x:c>
      <x:c r="BN399" s="141" t="n">
        <x:f>MAX(0,BK399)</x:f>
        <x:v>28445010.288804945</x:v>
      </x:c>
      <x:c r="BO399" s="141" t="n">
        <x:f>INDEX('Consorcio Direto'!$K$55:$K$534,$A399)</x:f>
        <x:v>0</x:v>
      </x:c>
      <x:c r="BP399" s="141" t="n">
        <x:f>IF($A399&lt;'Consorcio Direto'!$B$29,INDEX('Consorcio Direto'!$L$55:$L$534,$A399),$F399)</x:f>
        <x:v>1354895.8270492717</x:v>
      </x:c>
      <x:c r="BQ399" s="141" t="n">
        <x:f>BN399+BP399-BO399</x:f>
        <x:v>29799906.115854215</x:v>
      </x:c>
      <x:c r="BR399" s="141" t="n">
        <x:f>IF(BM399&gt;1,"Inviavel",BQ399)</x:f>
        <x:v>29799906.115854215</x:v>
      </x:c>
      <x:c r="BS399" s="141" t="str">
        <x:f>IF(BM399&gt;1,"Inviavel","OK")</x:f>
        <x:v>OK</x:v>
      </x:c>
      <x:c r="BT399" s="141" t="n">
        <x:f>IF(AND('Carta Contemplada'!$B$22="Sim",$A399='Carta Contemplada'!$B$23),'Carta Contemplada'!$B$37,0)</x:f>
        <x:v>0</x:v>
      </x:c>
      <x:c r="BU399" s="141" t="n">
        <x:f>IF('Carta Contemplada'!$B$22="Sim",INDEX('Carta Contemplada'!$C$55:$C$1013,$A399),0)</x:f>
        <x:v>0</x:v>
      </x:c>
      <x:c r="BV399" s="141" t="n">
        <x:f>IF(AND('Carta Contemplada'!$B$22="Sim",Premissas!$B$11="Imovel",Premissas!$B$47="Moradia",$A399&lt;MAX('Carta Contemplada'!$B$44,Premissas!$B$49)),$D399,0)</x:f>
        <x:v>0</x:v>
      </x:c>
      <x:c r="BW399" s="141" t="n">
        <x:f>IF(AND('Carta Contemplada'!$B$22="Sim",Premissas!$B$11="Imovel",Premissas!$B$47="Investimento",$A399&gt;=MAX('Carta Contemplada'!$B$44,Premissas!$B$49)),$E399,0)</x:f>
        <x:v>4130.1674764066165</x:v>
      </x:c>
      <x:c r="BX399" s="141" t="n">
        <x:f>BT399+BU399+BV399</x:f>
        <x:v>0</x:v>
      </x:c>
      <x:c r="BY399" s="141" t="n">
        <x:f>BW399</x:f>
        <x:v>4130.1674764066165</x:v>
      </x:c>
      <x:c r="BZ399" s="141" t="n">
        <x:f>$C399+BY399-BX399</x:f>
        <x:v>11130.167476406616</x:v>
      </x:c>
      <x:c r="CA399" s="141" t="n">
        <x:f>CD398*(1+Premissas!$B$41)+BZ399</x:f>
        <x:v>30575759.760956287</x:v>
      </x:c>
      <x:c r="CB399" s="141" t="n">
        <x:f>MAX(0,-CA399)</x:f>
        <x:v>0</x:v>
      </x:c>
      <x:c r="CC399" s="141" t="n">
        <x:f>CC398*(1+Premissas!$B$41)+CB399</x:f>
        <x:v>0</x:v>
      </x:c>
      <x:c r="CD399" s="141" t="n">
        <x:f>MAX(0,CA399)</x:f>
        <x:v>30575759.760956287</x:v>
      </x:c>
      <x:c r="CE399" s="141" t="n">
        <x:f>IF(AND('Carta Contemplada'!$B$22="Sim",$A399&gt;='Carta Contemplada'!$B$23),INDEX('Carta Contemplada'!$I$55:$I$1013,$A399),0)</x:f>
        <x:v>0</x:v>
      </x:c>
      <x:c r="CF399" s="141" t="n">
        <x:f>IF(AND('Carta Contemplada'!$B$22="Sim",$A399&gt;='Carta Contemplada'!$B$44),$F399,0)</x:f>
        <x:v>1354895.8270492717</x:v>
      </x:c>
      <x:c r="CG399" s="141" t="n">
        <x:f>CD399+CF399-CE399</x:f>
        <x:v>31930655.588005558</x:v>
      </x:c>
      <x:c r="CH399" s="141" t="n">
        <x:f>IF(CC399&gt;1,"Inviavel",CG399)</x:f>
        <x:v>31930655.588005558</x:v>
      </x:c>
      <x:c r="CI399" s="145" t="str">
        <x:f>IF(CC399&gt;1,"Inviavel","OK")</x:f>
        <x:v>OK</x:v>
      </x:c>
    </x:row>
    <x:row r="400">
      <x:c r="A400" s="142" t="n">
        <x:v>396</x:v>
      </x:c>
      <x:c r="B400" s="179" t="n">
        <x:f>EDATE(Premissas!$B$4,A400-1)</x:f>
        <x:v>58562</x:v>
      </x:c>
      <x:c r="C400" s="141" t="n">
        <x:f>IF(A400&lt;=Premissas!$B$39,Premissas!$B$42,0)</x:f>
        <x:v>7000</x:v>
      </x:c>
      <x:c r="D400" s="141" t="n">
        <x:f>Premissas!$B$54*(1+Premissas!$B$57)^INT((A400-1)/12)</x:f>
        <x:v>4517.370677319737</x:v>
      </x:c>
      <x:c r="E400" s="141" t="n">
        <x:f>Premissas!$B$64*(1+Premissas!$B$57)^INT((A400-1)/12)</x:f>
        <x:v>4130.1674764066165</x:v>
      </x:c>
      <x:c r="F400" s="141" t="n">
        <x:f>MAX(0,Premissas!$B$6*(1+Premissas!$B$66)^((A400-1)/12))</x:f>
        <x:v>1361490.8509982058</x:v>
      </x:c>
      <x:c r="G400" s="141" t="n">
        <x:f>G399*(1+Premissas!$B$41)+C400</x:f>
        <x:v>34066362.950053744</x:v>
      </x:c>
      <x:c r="H400" s="141" t="n">
        <x:f>IF($A400=Premissas!$B$48,Premissas!$B$8,0)</x:f>
        <x:v>0</x:v>
      </x:c>
      <x:c r="I400" s="141" t="n">
        <x:f>IF(AND($A400&gt;=Premissas!$B$48,$A400-Premissas!$B$48+1&lt;=Premissas!$B$13),INDEX(Financiamento!$J$6:$J$485,$A400-Premissas!$B$48+1),0)</x:f>
        <x:v>621.3218374722196</x:v>
      </x:c>
      <x:c r="J400" s="141" t="n">
        <x:f>IF(AND(TRUE,Premissas!$B$11="Imovel",Premissas!$B$47="Moradia",$A400&lt;MAX(Premissas!$B$48,Premissas!$B$49)),$D400,0)</x:f>
        <x:v>0</x:v>
      </x:c>
      <x:c r="K400" s="141" t="n">
        <x:f>IF(AND(TRUE,Premissas!$B$11="Imovel",Premissas!$B$47="Investimento",$A400&gt;=MAX(Premissas!$B$48,Premissas!$B$49)),$E400,0)</x:f>
        <x:v>4130.1674764066165</x:v>
      </x:c>
      <x:c r="L400" s="141" t="n">
        <x:f>H400+I400+J400</x:f>
        <x:v>621.3218374722196</x:v>
      </x:c>
      <x:c r="M400" s="141" t="n">
        <x:f>K400</x:f>
        <x:v>4130.1674764066165</x:v>
      </x:c>
      <x:c r="N400" s="141" t="n">
        <x:f>$C400+M400-L400</x:f>
        <x:v>10508.845638934396</x:v>
      </x:c>
      <x:c r="O400" s="141" t="n">
        <x:f>R399*(1+Premissas!$B$41)+N400</x:f>
        <x:v>29778655.369702928</x:v>
      </x:c>
      <x:c r="P400" s="141" t="n">
        <x:f>MAX(0,-O400)</x:f>
        <x:v>0</x:v>
      </x:c>
      <x:c r="Q400" s="141" t="n">
        <x:f>Q399*(1+Premissas!$B$41)+P400</x:f>
        <x:v>0</x:v>
      </x:c>
      <x:c r="R400" s="141" t="n">
        <x:f>MAX(0,O400)</x:f>
        <x:v>29778655.369702928</x:v>
      </x:c>
      <x:c r="S400" s="141" t="n">
        <x:f>IF(AND($A400&gt;=Premissas!$B$48,$A400-Premissas!$B$48+1&lt;=Premissas!$B$13),INDEX(Financiamento!$M$6:$M$485,$A400-Premissas!$B$48+1),0)</x:f>
        <x:v>9142.857142857145</x:v>
      </x:c>
      <x:c r="T400" s="141" t="n">
        <x:f>IF($A400&gt;=Premissas!$B$48,$F400,0)</x:f>
        <x:v>1361490.8509982058</x:v>
      </x:c>
      <x:c r="U400" s="141" t="n">
        <x:f>R400+T400-S400</x:f>
        <x:v>31131003.363558274</x:v>
      </x:c>
      <x:c r="V400" s="141" t="n">
        <x:f>IF(Q400&gt;1,"Inviavel",U400)</x:f>
        <x:v>31131003.363558274</x:v>
      </x:c>
      <x:c r="W400" s="141" t="str">
        <x:f>IF(Q400&gt;1,"Inviavel","OK")</x:f>
        <x:v>OK</x:v>
      </x:c>
      <x:c r="X400" s="141" t="n">
        <x:f>IF($A400=Premissas!$B$48,Premissas!$B$8,0)</x:f>
        <x:v>0</x:v>
      </x:c>
      <x:c r="Y400" s="141" t="n">
        <x:f>IF(AND($A400&gt;=Premissas!$B$48,$A400-Premissas!$B$48+1&lt;=Premissas!$B$13),INDEX(Amortizacao!$K$6:$K$485,$A400-Premissas!$B$48+1),0)</x:f>
        <x:v>0</x:v>
      </x:c>
      <x:c r="Z400" s="141" t="n">
        <x:f>IF(AND(TRUE,Premissas!$B$11="Imovel",Premissas!$B$47="Moradia",$A400&lt;MAX(Premissas!$B$48,Premissas!$B$49)),$D400,0)</x:f>
        <x:v>0</x:v>
      </x:c>
      <x:c r="AA400" s="141" t="n">
        <x:f>IF(AND(TRUE,Premissas!$B$11="Imovel",Premissas!$B$47="Investimento",$A400&gt;=MAX(Premissas!$B$48,Premissas!$B$49)),$E400,0)</x:f>
        <x:v>4130.1674764066165</x:v>
      </x:c>
      <x:c r="AB400" s="141" t="n">
        <x:f>X400+Y400+Z400</x:f>
        <x:v>0</x:v>
      </x:c>
      <x:c r="AC400" s="141" t="n">
        <x:f>AA400</x:f>
        <x:v>4130.1674764066165</x:v>
      </x:c>
      <x:c r="AD400" s="141" t="n">
        <x:f>$C400+AC400-AB400</x:f>
        <x:v>11130.167476406616</x:v>
      </x:c>
      <x:c r="AE400" s="141" t="n">
        <x:f>AH399*(1+Premissas!$B$41)+AD400</x:f>
        <x:v>30269330.008446097</x:v>
      </x:c>
      <x:c r="AF400" s="141" t="n">
        <x:f>MAX(0,-AE400)</x:f>
        <x:v>0</x:v>
      </x:c>
      <x:c r="AG400" s="141" t="n">
        <x:f>AG399*(1+Premissas!$B$41)+AF400</x:f>
        <x:v>0</x:v>
      </x:c>
      <x:c r="AH400" s="141" t="n">
        <x:f>MAX(0,AE400)</x:f>
        <x:v>30269330.008446097</x:v>
      </x:c>
      <x:c r="AI400" s="141" t="n">
        <x:f>IF(AND($A400&gt;=Premissas!$B$48,$A400-Premissas!$B$48+1&lt;=Premissas!$B$13),INDEX(Amortizacao!$L$6:$L$485,$A400-Premissas!$B$48+1),0)</x:f>
        <x:v>0</x:v>
      </x:c>
      <x:c r="AJ400" s="141" t="n">
        <x:f>IF($A400&gt;=Premissas!$B$48,$F400,0)</x:f>
        <x:v>1361490.8509982058</x:v>
      </x:c>
      <x:c r="AK400" s="141" t="n">
        <x:f>AH400+AJ400-AI400</x:f>
        <x:v>31630820.8594443</x:v>
      </x:c>
      <x:c r="AL400" s="141" t="n">
        <x:f>IF(AG400&gt;1,"Inviavel",AK400)</x:f>
        <x:v>31630820.8594443</x:v>
      </x:c>
      <x:c r="AM400" s="141" t="str">
        <x:f>IF(AG400&gt;1,"Inviavel","OK")</x:f>
        <x:v>OK</x:v>
      </x:c>
      <x:c r="AN400" s="141" t="n">
        <x:f>IF($A400=Premissas!$B$48,Premissas!$B$8,0)</x:f>
        <x:v>0</x:v>
      </x:c>
      <x:c r="AO400" s="141" t="n">
        <x:f>IF($A400&lt;=Premissas!$B$25,INDEX('Consorcio IQ'!$K$6:$K$485,$A400),0)</x:f>
        <x:v>0</x:v>
      </x:c>
      <x:c r="AP400" s="141" t="n">
        <x:f>IF(AND(TRUE,Premissas!$B$11="Imovel",Premissas!$B$47="Moradia",$A400&lt;MAX(Premissas!$B$48,Premissas!$B$49)),$D400,0)</x:f>
        <x:v>0</x:v>
      </x:c>
      <x:c r="AQ400" s="141" t="n">
        <x:f>IF(AND(TRUE,Premissas!$B$11="Imovel",Premissas!$B$47="Investimento",$A400&gt;=MAX(Premissas!$B$48,Premissas!$B$49)),$E400,0)</x:f>
        <x:v>4130.1674764066165</x:v>
      </x:c>
      <x:c r="AR400" s="141" t="n">
        <x:f>AN400+AO400+AP400</x:f>
        <x:v>0</x:v>
      </x:c>
      <x:c r="AS400" s="141" t="n">
        <x:f>AQ400</x:f>
        <x:v>4130.1674764066165</x:v>
      </x:c>
      <x:c r="AT400" s="141" t="n">
        <x:f>$C400+AS400-AR400</x:f>
        <x:v>11130.167476406616</x:v>
      </x:c>
      <x:c r="AU400" s="141" t="n">
        <x:f>AX399*(1+Premissas!$B$41)+AT400</x:f>
        <x:v>30028357.661137067</x:v>
      </x:c>
      <x:c r="AV400" s="141" t="n">
        <x:f>MAX(0,-AU400)</x:f>
        <x:v>0</x:v>
      </x:c>
      <x:c r="AW400" s="141" t="n">
        <x:f>AW399*(1+Premissas!$B$41)+AV400</x:f>
        <x:v>0</x:v>
      </x:c>
      <x:c r="AX400" s="141" t="n">
        <x:f>MAX(0,AU400)</x:f>
        <x:v>30028357.661137067</x:v>
      </x:c>
      <x:c r="AY400" s="141" t="n">
        <x:f>INDEX('Consorcio IQ'!$P$6:$P$485,$A400)</x:f>
        <x:v>0</x:v>
      </x:c>
      <x:c r="AZ400" s="141" t="n">
        <x:f>IF($A400&gt;=Premissas!$B$48,$F400,0)+IF($A400&lt;Premissas!$B$27,INDEX('Consorcio IQ'!$O$6:$O$485,$A400),0)</x:f>
        <x:v>1361490.8509982058</x:v>
      </x:c>
      <x:c r="BA400" s="141" t="n">
        <x:f>AX400+AZ400-AY400</x:f>
        <x:v>31389848.51213527</x:v>
      </x:c>
      <x:c r="BB400" s="141" t="n">
        <x:f>IF(AW400&gt;1,"Inviavel",BA400)</x:f>
        <x:v>31389848.51213527</x:v>
      </x:c>
      <x:c r="BC400" s="141" t="str">
        <x:f>IF(AW400&gt;1,"Inviavel","OK")</x:f>
        <x:v>OK</x:v>
      </x:c>
      <x:c r="BD400" s="141" t="n">
        <x:f>IF($A400='Consorcio Direto'!$B$29,'Consorcio Direto'!$B$44,0)</x:f>
        <x:v>0</x:v>
      </x:c>
      <x:c r="BE400" s="141" t="n">
        <x:f>IF($A400&lt;='Consorcio Direto'!$B$27,INDEX('Consorcio Direto'!$E$55:$E$534,$A400),0)</x:f>
        <x:v>0</x:v>
      </x:c>
      <x:c r="BF400" s="141" t="n">
        <x:f>IF(AND(TRUE,Premissas!$B$11="Imovel",Premissas!$B$47="Moradia",$A400&lt;MAX('Consorcio Direto'!$B$29,Premissas!$B$49)),$D400,0)</x:f>
        <x:v>0</x:v>
      </x:c>
      <x:c r="BG400" s="141" t="n">
        <x:f>IF(AND(TRUE,Premissas!$B$11="Imovel",Premissas!$B$47="Investimento",$A400&gt;=MAX('Consorcio Direto'!$B$29,Premissas!$B$49)),$E400,0)</x:f>
        <x:v>4130.1674764066165</x:v>
      </x:c>
      <x:c r="BH400" s="141" t="n">
        <x:f>BD400+BE400+BF400</x:f>
        <x:v>0</x:v>
      </x:c>
      <x:c r="BI400" s="141" t="n">
        <x:f>BG400</x:f>
        <x:v>4130.1674764066165</x:v>
      </x:c>
      <x:c r="BJ400" s="141" t="n">
        <x:f>$C400+BI400-BH400</x:f>
        <x:v>11130.167476406616</x:v>
      </x:c>
      <x:c r="BK400" s="141" t="n">
        <x:f>BN399*(1+Premissas!$B$41)+BJ400</x:f>
        <x:v>28726049.268933907</x:v>
      </x:c>
      <x:c r="BL400" s="141" t="n">
        <x:f>MAX(0,-BK400)</x:f>
        <x:v>0</x:v>
      </x:c>
      <x:c r="BM400" s="141" t="n">
        <x:f>BM399*(1+Premissas!$B$41)+BL400</x:f>
        <x:v>0</x:v>
      </x:c>
      <x:c r="BN400" s="141" t="n">
        <x:f>MAX(0,BK400)</x:f>
        <x:v>28726049.268933907</x:v>
      </x:c>
      <x:c r="BO400" s="141" t="n">
        <x:f>INDEX('Consorcio Direto'!$K$55:$K$534,$A400)</x:f>
        <x:v>0</x:v>
      </x:c>
      <x:c r="BP400" s="141" t="n">
        <x:f>IF($A400&lt;'Consorcio Direto'!$B$29,INDEX('Consorcio Direto'!$L$55:$L$534,$A400),$F400)</x:f>
        <x:v>1361490.8509982058</x:v>
      </x:c>
      <x:c r="BQ400" s="141" t="n">
        <x:f>BN400+BP400-BO400</x:f>
        <x:v>30087540.11993211</x:v>
      </x:c>
      <x:c r="BR400" s="141" t="n">
        <x:f>IF(BM400&gt;1,"Inviavel",BQ400)</x:f>
        <x:v>30087540.11993211</x:v>
      </x:c>
      <x:c r="BS400" s="141" t="str">
        <x:f>IF(BM400&gt;1,"Inviavel","OK")</x:f>
        <x:v>OK</x:v>
      </x:c>
      <x:c r="BT400" s="141" t="n">
        <x:f>IF(AND('Carta Contemplada'!$B$22="Sim",$A400='Carta Contemplada'!$B$23),'Carta Contemplada'!$B$37,0)</x:f>
        <x:v>0</x:v>
      </x:c>
      <x:c r="BU400" s="141" t="n">
        <x:f>IF('Carta Contemplada'!$B$22="Sim",INDEX('Carta Contemplada'!$C$55:$C$1013,$A400),0)</x:f>
        <x:v>0</x:v>
      </x:c>
      <x:c r="BV400" s="141" t="n">
        <x:f>IF(AND('Carta Contemplada'!$B$22="Sim",Premissas!$B$11="Imovel",Premissas!$B$47="Moradia",$A400&lt;MAX('Carta Contemplada'!$B$44,Premissas!$B$49)),$D400,0)</x:f>
        <x:v>0</x:v>
      </x:c>
      <x:c r="BW400" s="141" t="n">
        <x:f>IF(AND('Carta Contemplada'!$B$22="Sim",Premissas!$B$11="Imovel",Premissas!$B$47="Investimento",$A400&gt;=MAX('Carta Contemplada'!$B$44,Premissas!$B$49)),$E400,0)</x:f>
        <x:v>4130.1674764066165</x:v>
      </x:c>
      <x:c r="BX400" s="141" t="n">
        <x:f>BT400+BU400+BV400</x:f>
        <x:v>0</x:v>
      </x:c>
      <x:c r="BY400" s="141" t="n">
        <x:f>BW400</x:f>
        <x:v>4130.1674764066165</x:v>
      </x:c>
      <x:c r="BZ400" s="141" t="n">
        <x:f>$C400+BY400-BX400</x:f>
        <x:v>11130.167476406616</x:v>
      </x:c>
      <x:c r="CA400" s="141" t="n">
        <x:f>CD399*(1+Premissas!$B$41)+BZ400</x:f>
        <x:v>30877016.981621966</x:v>
      </x:c>
      <x:c r="CB400" s="141" t="n">
        <x:f>MAX(0,-CA400)</x:f>
        <x:v>0</x:v>
      </x:c>
      <x:c r="CC400" s="141" t="n">
        <x:f>CC399*(1+Premissas!$B$41)+CB400</x:f>
        <x:v>0</x:v>
      </x:c>
      <x:c r="CD400" s="141" t="n">
        <x:f>MAX(0,CA400)</x:f>
        <x:v>30877016.981621966</x:v>
      </x:c>
      <x:c r="CE400" s="141" t="n">
        <x:f>IF(AND('Carta Contemplada'!$B$22="Sim",$A400&gt;='Carta Contemplada'!$B$23),INDEX('Carta Contemplada'!$I$55:$I$1013,$A400),0)</x:f>
        <x:v>0</x:v>
      </x:c>
      <x:c r="CF400" s="141" t="n">
        <x:f>IF(AND('Carta Contemplada'!$B$22="Sim",$A400&gt;='Carta Contemplada'!$B$44),$F400,0)</x:f>
        <x:v>1361490.8509982058</x:v>
      </x:c>
      <x:c r="CG400" s="141" t="n">
        <x:f>CD400+CF400-CE400</x:f>
        <x:v>32238507.83262017</x:v>
      </x:c>
      <x:c r="CH400" s="141" t="n">
        <x:f>IF(CC400&gt;1,"Inviavel",CG400)</x:f>
        <x:v>32238507.83262017</x:v>
      </x:c>
      <x:c r="CI400" s="145" t="str">
        <x:f>IF(CC400&gt;1,"Inviavel","OK")</x:f>
        <x:v>OK</x:v>
      </x:c>
    </x:row>
    <x:row r="401">
      <x:c r="A401" s="142" t="n">
        <x:v>397</x:v>
      </x:c>
      <x:c r="B401" s="179" t="n">
        <x:f>EDATE(Premissas!$B$4,A401-1)</x:f>
        <x:v>58593</x:v>
      </x:c>
      <x:c r="C401" s="141" t="n">
        <x:f>IF(A401&lt;=Premissas!$B$39,Premissas!$B$42,0)</x:f>
        <x:v>7000</x:v>
      </x:c>
      <x:c r="D401" s="141" t="n">
        <x:f>Premissas!$B$54*(1+Premissas!$B$57)^INT((A401-1)/12)</x:f>
        <x:v>4788.412917958921</x:v>
      </x:c>
      <x:c r="E401" s="141" t="n">
        <x:f>Premissas!$B$64*(1+Premissas!$B$57)^INT((A401-1)/12)</x:f>
        <x:v>4377.9775249910135</x:v>
      </x:c>
      <x:c r="F401" s="141" t="n">
        <x:f>MAX(0,Premissas!$B$6*(1+Premissas!$B$66)^((A401-1)/12))</x:f>
        <x:v>1368117.9765596918</x:v>
      </x:c>
      <x:c r="G401" s="141" t="n">
        <x:f>G400*(1+Premissas!$B$41)+C401</x:f>
        <x:v>34396611.614121154</x:v>
      </x:c>
      <x:c r="H401" s="141" t="n">
        <x:f>IF($A401=Premissas!$B$48,Premissas!$B$8,0)</x:f>
        <x:v>0</x:v>
      </x:c>
      <x:c r="I401" s="141" t="n">
        <x:f>IF(AND($A401&gt;=Premissas!$B$48,$A401-Premissas!$B$48+1&lt;=Premissas!$B$13),INDEX(Financiamento!$J$6:$J$485,$A401-Premissas!$B$48+1),0)</x:f>
        <x:v>617.707059211426</x:v>
      </x:c>
      <x:c r="J401" s="141" t="n">
        <x:f>IF(AND(TRUE,Premissas!$B$11="Imovel",Premissas!$B$47="Moradia",$A401&lt;MAX(Premissas!$B$48,Premissas!$B$49)),$D401,0)</x:f>
        <x:v>0</x:v>
      </x:c>
      <x:c r="K401" s="141" t="n">
        <x:f>IF(AND(TRUE,Premissas!$B$11="Imovel",Premissas!$B$47="Investimento",$A401&gt;=MAX(Premissas!$B$48,Premissas!$B$49)),$E401,0)</x:f>
        <x:v>4377.9775249910135</x:v>
      </x:c>
      <x:c r="L401" s="141" t="n">
        <x:f>H401+I401+J401</x:f>
        <x:v>617.707059211426</x:v>
      </x:c>
      <x:c r="M401" s="141" t="n">
        <x:f>K401</x:f>
        <x:v>4377.9775249910135</x:v>
      </x:c>
      <x:c r="N401" s="141" t="n">
        <x:f>$C401+M401-L401</x:f>
        <x:v>10760.270465779588</x:v>
      </x:c>
      <x:c r="O401" s="141" t="n">
        <x:f>R400*(1+Premissas!$B$41)+N401</x:f>
        <x:v>30071979.134842128</x:v>
      </x:c>
      <x:c r="P401" s="141" t="n">
        <x:f>MAX(0,-O401)</x:f>
        <x:v>0</x:v>
      </x:c>
      <x:c r="Q401" s="141" t="n">
        <x:f>Q400*(1+Premissas!$B$41)+P401</x:f>
        <x:v>0</x:v>
      </x:c>
      <x:c r="R401" s="141" t="n">
        <x:f>MAX(0,O401)</x:f>
        <x:v>30071979.134842128</x:v>
      </x:c>
      <x:c r="S401" s="141" t="n">
        <x:f>IF(AND($A401&gt;=Premissas!$B$48,$A401-Premissas!$B$48+1&lt;=Premissas!$B$13),INDEX(Financiamento!$M$6:$M$485,$A401-Premissas!$B$48+1),0)</x:f>
        <x:v>8761.904761904763</x:v>
      </x:c>
      <x:c r="T401" s="141" t="n">
        <x:f>IF($A401&gt;=Premissas!$B$48,$F401,0)</x:f>
        <x:v>1368117.9765596918</x:v>
      </x:c>
      <x:c r="U401" s="141" t="n">
        <x:f>R401+T401-S401</x:f>
        <x:v>31431335.206639916</x:v>
      </x:c>
      <x:c r="V401" s="141" t="n">
        <x:f>IF(Q401&gt;1,"Inviavel",U401)</x:f>
        <x:v>31431335.206639916</x:v>
      </x:c>
      <x:c r="W401" s="141" t="str">
        <x:f>IF(Q401&gt;1,"Inviavel","OK")</x:f>
        <x:v>OK</x:v>
      </x:c>
      <x:c r="X401" s="141" t="n">
        <x:f>IF($A401=Premissas!$B$48,Premissas!$B$8,0)</x:f>
        <x:v>0</x:v>
      </x:c>
      <x:c r="Y401" s="141" t="n">
        <x:f>IF(AND($A401&gt;=Premissas!$B$48,$A401-Premissas!$B$48+1&lt;=Premissas!$B$13),INDEX(Amortizacao!$K$6:$K$485,$A401-Premissas!$B$48+1),0)</x:f>
        <x:v>0</x:v>
      </x:c>
      <x:c r="Z401" s="141" t="n">
        <x:f>IF(AND(TRUE,Premissas!$B$11="Imovel",Premissas!$B$47="Moradia",$A401&lt;MAX(Premissas!$B$48,Premissas!$B$49)),$D401,0)</x:f>
        <x:v>0</x:v>
      </x:c>
      <x:c r="AA401" s="141" t="n">
        <x:f>IF(AND(TRUE,Premissas!$B$11="Imovel",Premissas!$B$47="Investimento",$A401&gt;=MAX(Premissas!$B$48,Premissas!$B$49)),$E401,0)</x:f>
        <x:v>4377.9775249910135</x:v>
      </x:c>
      <x:c r="AB401" s="141" t="n">
        <x:f>X401+Y401+Z401</x:f>
        <x:v>0</x:v>
      </x:c>
      <x:c r="AC401" s="141" t="n">
        <x:f>AA401</x:f>
        <x:v>4377.9775249910135</x:v>
      </x:c>
      <x:c r="AD401" s="141" t="n">
        <x:f>$C401+AC401-AB401</x:f>
        <x:v>11377.977524991013</x:v>
      </x:c>
      <x:c r="AE401" s="141" t="n">
        <x:f>AH400*(1+Premissas!$B$41)+AD401</x:f>
        <x:v>30567927.390689794</x:v>
      </x:c>
      <x:c r="AF401" s="141" t="n">
        <x:f>MAX(0,-AE401)</x:f>
        <x:v>0</x:v>
      </x:c>
      <x:c r="AG401" s="141" t="n">
        <x:f>AG400*(1+Premissas!$B$41)+AF401</x:f>
        <x:v>0</x:v>
      </x:c>
      <x:c r="AH401" s="141" t="n">
        <x:f>MAX(0,AE401)</x:f>
        <x:v>30567927.390689794</x:v>
      </x:c>
      <x:c r="AI401" s="141" t="n">
        <x:f>IF(AND($A401&gt;=Premissas!$B$48,$A401-Premissas!$B$48+1&lt;=Premissas!$B$13),INDEX(Amortizacao!$L$6:$L$485,$A401-Premissas!$B$48+1),0)</x:f>
        <x:v>0</x:v>
      </x:c>
      <x:c r="AJ401" s="141" t="n">
        <x:f>IF($A401&gt;=Premissas!$B$48,$F401,0)</x:f>
        <x:v>1368117.9765596918</x:v>
      </x:c>
      <x:c r="AK401" s="141" t="n">
        <x:f>AH401+AJ401-AI401</x:f>
        <x:v>31936045.367249485</x:v>
      </x:c>
      <x:c r="AL401" s="141" t="n">
        <x:f>IF(AG401&gt;1,"Inviavel",AK401)</x:f>
        <x:v>31936045.367249485</x:v>
      </x:c>
      <x:c r="AM401" s="141" t="str">
        <x:f>IF(AG401&gt;1,"Inviavel","OK")</x:f>
        <x:v>OK</x:v>
      </x:c>
      <x:c r="AN401" s="141" t="n">
        <x:f>IF($A401=Premissas!$B$48,Premissas!$B$8,0)</x:f>
        <x:v>0</x:v>
      </x:c>
      <x:c r="AO401" s="141" t="n">
        <x:f>IF($A401&lt;=Premissas!$B$25,INDEX('Consorcio IQ'!$K$6:$K$485,$A401),0)</x:f>
        <x:v>0</x:v>
      </x:c>
      <x:c r="AP401" s="141" t="n">
        <x:f>IF(AND(TRUE,Premissas!$B$11="Imovel",Premissas!$B$47="Moradia",$A401&lt;MAX(Premissas!$B$48,Premissas!$B$49)),$D401,0)</x:f>
        <x:v>0</x:v>
      </x:c>
      <x:c r="AQ401" s="141" t="n">
        <x:f>IF(AND(TRUE,Premissas!$B$11="Imovel",Premissas!$B$47="Investimento",$A401&gt;=MAX(Premissas!$B$48,Premissas!$B$49)),$E401,0)</x:f>
        <x:v>4377.9775249910135</x:v>
      </x:c>
      <x:c r="AR401" s="141" t="n">
        <x:f>AN401+AO401+AP401</x:f>
        <x:v>0</x:v>
      </x:c>
      <x:c r="AS401" s="141" t="n">
        <x:f>AQ401</x:f>
        <x:v>4377.9775249910135</x:v>
      </x:c>
      <x:c r="AT401" s="141" t="n">
        <x:f>$C401+AS401-AR401</x:f>
        <x:v>11377.977524991013</x:v>
      </x:c>
      <x:c r="AU401" s="141" t="n">
        <x:f>AX400*(1+Premissas!$B$41)+AT401</x:f>
        <x:v>30324668.50667419</x:v>
      </x:c>
      <x:c r="AV401" s="141" t="n">
        <x:f>MAX(0,-AU401)</x:f>
        <x:v>0</x:v>
      </x:c>
      <x:c r="AW401" s="141" t="n">
        <x:f>AW400*(1+Premissas!$B$41)+AV401</x:f>
        <x:v>0</x:v>
      </x:c>
      <x:c r="AX401" s="141" t="n">
        <x:f>MAX(0,AU401)</x:f>
        <x:v>30324668.50667419</x:v>
      </x:c>
      <x:c r="AY401" s="141" t="n">
        <x:f>INDEX('Consorcio IQ'!$P$6:$P$485,$A401)</x:f>
        <x:v>0</x:v>
      </x:c>
      <x:c r="AZ401" s="141" t="n">
        <x:f>IF($A401&gt;=Premissas!$B$48,$F401,0)+IF($A401&lt;Premissas!$B$27,INDEX('Consorcio IQ'!$O$6:$O$485,$A401),0)</x:f>
        <x:v>1368117.9765596918</x:v>
      </x:c>
      <x:c r="BA401" s="141" t="n">
        <x:f>AX401+AZ401-AY401</x:f>
        <x:v>31692786.48323388</x:v>
      </x:c>
      <x:c r="BB401" s="141" t="n">
        <x:f>IF(AW401&gt;1,"Inviavel",BA401)</x:f>
        <x:v>31692786.48323388</x:v>
      </x:c>
      <x:c r="BC401" s="141" t="str">
        <x:f>IF(AW401&gt;1,"Inviavel","OK")</x:f>
        <x:v>OK</x:v>
      </x:c>
      <x:c r="BD401" s="141" t="n">
        <x:f>IF($A401='Consorcio Direto'!$B$29,'Consorcio Direto'!$B$44,0)</x:f>
        <x:v>0</x:v>
      </x:c>
      <x:c r="BE401" s="141" t="n">
        <x:f>IF($A401&lt;='Consorcio Direto'!$B$27,INDEX('Consorcio Direto'!$E$55:$E$534,$A401),0)</x:f>
        <x:v>0</x:v>
      </x:c>
      <x:c r="BF401" s="141" t="n">
        <x:f>IF(AND(TRUE,Premissas!$B$11="Imovel",Premissas!$B$47="Moradia",$A401&lt;MAX('Consorcio Direto'!$B$29,Premissas!$B$49)),$D401,0)</x:f>
        <x:v>0</x:v>
      </x:c>
      <x:c r="BG401" s="141" t="n">
        <x:f>IF(AND(TRUE,Premissas!$B$11="Imovel",Premissas!$B$47="Investimento",$A401&gt;=MAX('Consorcio Direto'!$B$29,Premissas!$B$49)),$E401,0)</x:f>
        <x:v>4377.9775249910135</x:v>
      </x:c>
      <x:c r="BH401" s="141" t="n">
        <x:f>BD401+BE401+BF401</x:f>
        <x:v>0</x:v>
      </x:c>
      <x:c r="BI401" s="141" t="n">
        <x:f>BG401</x:f>
        <x:v>4377.9775249910135</x:v>
      </x:c>
      <x:c r="BJ401" s="141" t="n">
        <x:f>$C401+BI401-BH401</x:f>
        <x:v>11377.977524991013</x:v>
      </x:c>
      <x:c r="BK401" s="141" t="n">
        <x:f>BN400*(1+Premissas!$B$41)+BJ401</x:f>
        <x:v>29010002.779800445</x:v>
      </x:c>
      <x:c r="BL401" s="141" t="n">
        <x:f>MAX(0,-BK401)</x:f>
        <x:v>0</x:v>
      </x:c>
      <x:c r="BM401" s="141" t="n">
        <x:f>BM400*(1+Premissas!$B$41)+BL401</x:f>
        <x:v>0</x:v>
      </x:c>
      <x:c r="BN401" s="141" t="n">
        <x:f>MAX(0,BK401)</x:f>
        <x:v>29010002.779800445</x:v>
      </x:c>
      <x:c r="BO401" s="141" t="n">
        <x:f>INDEX('Consorcio Direto'!$K$55:$K$534,$A401)</x:f>
        <x:v>0</x:v>
      </x:c>
      <x:c r="BP401" s="141" t="n">
        <x:f>IF($A401&lt;'Consorcio Direto'!$B$29,INDEX('Consorcio Direto'!$L$55:$L$534,$A401),$F401)</x:f>
        <x:v>1368117.9765596918</x:v>
      </x:c>
      <x:c r="BQ401" s="141" t="n">
        <x:f>BN401+BP401-BO401</x:f>
        <x:v>30378120.756360136</x:v>
      </x:c>
      <x:c r="BR401" s="141" t="n">
        <x:f>IF(BM401&gt;1,"Inviavel",BQ401)</x:f>
        <x:v>30378120.756360136</x:v>
      </x:c>
      <x:c r="BS401" s="141" t="str">
        <x:f>IF(BM401&gt;1,"Inviavel","OK")</x:f>
        <x:v>OK</x:v>
      </x:c>
      <x:c r="BT401" s="141" t="n">
        <x:f>IF(AND('Carta Contemplada'!$B$22="Sim",$A401='Carta Contemplada'!$B$23),'Carta Contemplada'!$B$37,0)</x:f>
        <x:v>0</x:v>
      </x:c>
      <x:c r="BU401" s="141" t="n">
        <x:f>IF('Carta Contemplada'!$B$22="Sim",INDEX('Carta Contemplada'!$C$55:$C$1013,$A401),0)</x:f>
        <x:v>0</x:v>
      </x:c>
      <x:c r="BV401" s="141" t="n">
        <x:f>IF(AND('Carta Contemplada'!$B$22="Sim",Premissas!$B$11="Imovel",Premissas!$B$47="Moradia",$A401&lt;MAX('Carta Contemplada'!$B$44,Premissas!$B$49)),$D401,0)</x:f>
        <x:v>0</x:v>
      </x:c>
      <x:c r="BW401" s="141" t="n">
        <x:f>IF(AND('Carta Contemplada'!$B$22="Sim",Premissas!$B$11="Imovel",Premissas!$B$47="Investimento",$A401&gt;=MAX('Carta Contemplada'!$B$44,Premissas!$B$49)),$E401,0)</x:f>
        <x:v>4377.9775249910135</x:v>
      </x:c>
      <x:c r="BX401" s="141" t="n">
        <x:f>BT401+BU401+BV401</x:f>
        <x:v>0</x:v>
      </x:c>
      <x:c r="BY401" s="141" t="n">
        <x:f>BW401</x:f>
        <x:v>4377.9775249910135</x:v>
      </x:c>
      <x:c r="BZ401" s="141" t="n">
        <x:f>$C401+BY401-BX401</x:f>
        <x:v>11377.977524991013</x:v>
      </x:c>
      <x:c r="CA401" s="141" t="n">
        <x:f>CD400*(1+Premissas!$B$41)+BZ401</x:f>
        <x:v>31181380.579723172</x:v>
      </x:c>
      <x:c r="CB401" s="141" t="n">
        <x:f>MAX(0,-CA401)</x:f>
        <x:v>0</x:v>
      </x:c>
      <x:c r="CC401" s="141" t="n">
        <x:f>CC400*(1+Premissas!$B$41)+CB401</x:f>
        <x:v>0</x:v>
      </x:c>
      <x:c r="CD401" s="141" t="n">
        <x:f>MAX(0,CA401)</x:f>
        <x:v>31181380.579723172</x:v>
      </x:c>
      <x:c r="CE401" s="141" t="n">
        <x:f>IF(AND('Carta Contemplada'!$B$22="Sim",$A401&gt;='Carta Contemplada'!$B$23),INDEX('Carta Contemplada'!$I$55:$I$1013,$A401),0)</x:f>
        <x:v>0</x:v>
      </x:c>
      <x:c r="CF401" s="141" t="n">
        <x:f>IF(AND('Carta Contemplada'!$B$22="Sim",$A401&gt;='Carta Contemplada'!$B$44),$F401,0)</x:f>
        <x:v>1368117.9765596918</x:v>
      </x:c>
      <x:c r="CG401" s="141" t="n">
        <x:f>CD401+CF401-CE401</x:f>
        <x:v>32549498.556282863</x:v>
      </x:c>
      <x:c r="CH401" s="141" t="n">
        <x:f>IF(CC401&gt;1,"Inviavel",CG401)</x:f>
        <x:v>32549498.556282863</x:v>
      </x:c>
      <x:c r="CI401" s="145" t="str">
        <x:f>IF(CC401&gt;1,"Inviavel","OK")</x:f>
        <x:v>OK</x:v>
      </x:c>
    </x:row>
    <x:row r="402">
      <x:c r="A402" s="142" t="n">
        <x:v>398</x:v>
      </x:c>
      <x:c r="B402" s="179" t="n">
        <x:f>EDATE(Premissas!$B$4,A402-1)</x:f>
        <x:v>58623</x:v>
      </x:c>
      <x:c r="C402" s="141" t="n">
        <x:f>IF(A402&lt;=Premissas!$B$39,Premissas!$B$42,0)</x:f>
        <x:v>7000</x:v>
      </x:c>
      <x:c r="D402" s="141" t="n">
        <x:f>Premissas!$B$54*(1+Premissas!$B$57)^INT((A402-1)/12)</x:f>
        <x:v>4788.412917958921</x:v>
      </x:c>
      <x:c r="E402" s="141" t="n">
        <x:f>Premissas!$B$64*(1+Premissas!$B$57)^INT((A402-1)/12)</x:f>
        <x:v>4377.9775249910135</x:v>
      </x:c>
      <x:c r="F402" s="141" t="n">
        <x:f>MAX(0,Premissas!$B$6*(1+Premissas!$B$66)^((A402-1)/12))</x:f>
        <x:v>1374777.359989951</x:v>
      </x:c>
      <x:c r="G402" s="141" t="n">
        <x:f>G401*(1+Premissas!$B$41)+C402</x:f>
        <x:v>34729993.93937882</x:v>
      </x:c>
      <x:c r="H402" s="141" t="n">
        <x:f>IF($A402=Premissas!$B$48,Premissas!$B$8,0)</x:f>
        <x:v>0</x:v>
      </x:c>
      <x:c r="I402" s="141" t="n">
        <x:f>IF(AND($A402&gt;=Premissas!$B$48,$A402-Premissas!$B$48+1&lt;=Premissas!$B$13),INDEX(Financiamento!$J$6:$J$485,$A402-Premissas!$B$48+1),0)</x:f>
        <x:v>614.0922809506325</x:v>
      </x:c>
      <x:c r="J402" s="141" t="n">
        <x:f>IF(AND(TRUE,Premissas!$B$11="Imovel",Premissas!$B$47="Moradia",$A402&lt;MAX(Premissas!$B$48,Premissas!$B$49)),$D402,0)</x:f>
        <x:v>0</x:v>
      </x:c>
      <x:c r="K402" s="141" t="n">
        <x:f>IF(AND(TRUE,Premissas!$B$11="Imovel",Premissas!$B$47="Investimento",$A402&gt;=MAX(Premissas!$B$48,Premissas!$B$49)),$E402,0)</x:f>
        <x:v>4377.9775249910135</x:v>
      </x:c>
      <x:c r="L402" s="141" t="n">
        <x:f>H402+I402+J402</x:f>
        <x:v>614.0922809506325</x:v>
      </x:c>
      <x:c r="M402" s="141" t="n">
        <x:f>K402</x:f>
        <x:v>4377.9775249910135</x:v>
      </x:c>
      <x:c r="N402" s="141" t="n">
        <x:f>$C402+M402-L402</x:f>
        <x:v>10763.88524404038</x:v>
      </x:c>
      <x:c r="O402" s="141" t="n">
        <x:f>R401*(1+Premissas!$B$41)+N402</x:f>
        <x:v>30368089.803229786</x:v>
      </x:c>
      <x:c r="P402" s="141" t="n">
        <x:f>MAX(0,-O402)</x:f>
        <x:v>0</x:v>
      </x:c>
      <x:c r="Q402" s="141" t="n">
        <x:f>Q401*(1+Premissas!$B$41)+P402</x:f>
        <x:v>0</x:v>
      </x:c>
      <x:c r="R402" s="141" t="n">
        <x:f>MAX(0,O402)</x:f>
        <x:v>30368089.803229786</x:v>
      </x:c>
      <x:c r="S402" s="141" t="n">
        <x:f>IF(AND($A402&gt;=Premissas!$B$48,$A402-Premissas!$B$48+1&lt;=Premissas!$B$13),INDEX(Financiamento!$M$6:$M$485,$A402-Premissas!$B$48+1),0)</x:f>
        <x:v>8380.952380952382</x:v>
      </x:c>
      <x:c r="T402" s="141" t="n">
        <x:f>IF($A402&gt;=Premissas!$B$48,$F402,0)</x:f>
        <x:v>1374777.359989951</x:v>
      </x:c>
      <x:c r="U402" s="141" t="n">
        <x:f>R402+T402-S402</x:f>
        <x:v>31734486.210838787</x:v>
      </x:c>
      <x:c r="V402" s="141" t="n">
        <x:f>IF(Q402&gt;1,"Inviavel",U402)</x:f>
        <x:v>31734486.210838787</x:v>
      </x:c>
      <x:c r="W402" s="141" t="str">
        <x:f>IF(Q402&gt;1,"Inviavel","OK")</x:f>
        <x:v>OK</x:v>
      </x:c>
      <x:c r="X402" s="141" t="n">
        <x:f>IF($A402=Premissas!$B$48,Premissas!$B$8,0)</x:f>
        <x:v>0</x:v>
      </x:c>
      <x:c r="Y402" s="141" t="n">
        <x:f>IF(AND($A402&gt;=Premissas!$B$48,$A402-Premissas!$B$48+1&lt;=Premissas!$B$13),INDEX(Amortizacao!$K$6:$K$485,$A402-Premissas!$B$48+1),0)</x:f>
        <x:v>0</x:v>
      </x:c>
      <x:c r="Z402" s="141" t="n">
        <x:f>IF(AND(TRUE,Premissas!$B$11="Imovel",Premissas!$B$47="Moradia",$A402&lt;MAX(Premissas!$B$48,Premissas!$B$49)),$D402,0)</x:f>
        <x:v>0</x:v>
      </x:c>
      <x:c r="AA402" s="141" t="n">
        <x:f>IF(AND(TRUE,Premissas!$B$11="Imovel",Premissas!$B$47="Investimento",$A402&gt;=MAX(Premissas!$B$48,Premissas!$B$49)),$E402,0)</x:f>
        <x:v>4377.9775249910135</x:v>
      </x:c>
      <x:c r="AB402" s="141" t="n">
        <x:f>X402+Y402+Z402</x:f>
        <x:v>0</x:v>
      </x:c>
      <x:c r="AC402" s="141" t="n">
        <x:f>AA402</x:f>
        <x:v>4377.9775249910135</x:v>
      </x:c>
      <x:c r="AD402" s="141" t="n">
        <x:f>$C402+AC402-AB402</x:f>
        <x:v>11377.977524991013</x:v>
      </x:c>
      <x:c r="AE402" s="141" t="n">
        <x:f>AH401*(1+Premissas!$B$41)+AD402</x:f>
        <x:v>30869358.101664413</x:v>
      </x:c>
      <x:c r="AF402" s="141" t="n">
        <x:f>MAX(0,-AE402)</x:f>
        <x:v>0</x:v>
      </x:c>
      <x:c r="AG402" s="141" t="n">
        <x:f>AG401*(1+Premissas!$B$41)+AF402</x:f>
        <x:v>0</x:v>
      </x:c>
      <x:c r="AH402" s="141" t="n">
        <x:f>MAX(0,AE402)</x:f>
        <x:v>30869358.101664413</x:v>
      </x:c>
      <x:c r="AI402" s="141" t="n">
        <x:f>IF(AND($A402&gt;=Premissas!$B$48,$A402-Premissas!$B$48+1&lt;=Premissas!$B$13),INDEX(Amortizacao!$L$6:$L$485,$A402-Premissas!$B$48+1),0)</x:f>
        <x:v>0</x:v>
      </x:c>
      <x:c r="AJ402" s="141" t="n">
        <x:f>IF($A402&gt;=Premissas!$B$48,$F402,0)</x:f>
        <x:v>1374777.359989951</x:v>
      </x:c>
      <x:c r="AK402" s="141" t="n">
        <x:f>AH402+AJ402-AI402</x:f>
        <x:v>32244135.461654365</x:v>
      </x:c>
      <x:c r="AL402" s="141" t="n">
        <x:f>IF(AG402&gt;1,"Inviavel",AK402)</x:f>
        <x:v>32244135.461654365</x:v>
      </x:c>
      <x:c r="AM402" s="141" t="str">
        <x:f>IF(AG402&gt;1,"Inviavel","OK")</x:f>
        <x:v>OK</x:v>
      </x:c>
      <x:c r="AN402" s="141" t="n">
        <x:f>IF($A402=Premissas!$B$48,Premissas!$B$8,0)</x:f>
        <x:v>0</x:v>
      </x:c>
      <x:c r="AO402" s="141" t="n">
        <x:f>IF($A402&lt;=Premissas!$B$25,INDEX('Consorcio IQ'!$K$6:$K$485,$A402),0)</x:f>
        <x:v>0</x:v>
      </x:c>
      <x:c r="AP402" s="141" t="n">
        <x:f>IF(AND(TRUE,Premissas!$B$11="Imovel",Premissas!$B$47="Moradia",$A402&lt;MAX(Premissas!$B$48,Premissas!$B$49)),$D402,0)</x:f>
        <x:v>0</x:v>
      </x:c>
      <x:c r="AQ402" s="141" t="n">
        <x:f>IF(AND(TRUE,Premissas!$B$11="Imovel",Premissas!$B$47="Investimento",$A402&gt;=MAX(Premissas!$B$48,Premissas!$B$49)),$E402,0)</x:f>
        <x:v>4377.9775249910135</x:v>
      </x:c>
      <x:c r="AR402" s="141" t="n">
        <x:f>AN402+AO402+AP402</x:f>
        <x:v>0</x:v>
      </x:c>
      <x:c r="AS402" s="141" t="n">
        <x:f>AQ402</x:f>
        <x:v>4377.9775249910135</x:v>
      </x:c>
      <x:c r="AT402" s="141" t="n">
        <x:f>$C402+AS402-AR402</x:f>
        <x:v>11377.977524991013</x:v>
      </x:c>
      <x:c r="AU402" s="141" t="n">
        <x:f>AX401*(1+Premissas!$B$41)+AT402</x:f>
        <x:v>30623790.984468885</x:v>
      </x:c>
      <x:c r="AV402" s="141" t="n">
        <x:f>MAX(0,-AU402)</x:f>
        <x:v>0</x:v>
      </x:c>
      <x:c r="AW402" s="141" t="n">
        <x:f>AW401*(1+Premissas!$B$41)+AV402</x:f>
        <x:v>0</x:v>
      </x:c>
      <x:c r="AX402" s="141" t="n">
        <x:f>MAX(0,AU402)</x:f>
        <x:v>30623790.984468885</x:v>
      </x:c>
      <x:c r="AY402" s="141" t="n">
        <x:f>INDEX('Consorcio IQ'!$P$6:$P$485,$A402)</x:f>
        <x:v>0</x:v>
      </x:c>
      <x:c r="AZ402" s="141" t="n">
        <x:f>IF($A402&gt;=Premissas!$B$48,$F402,0)+IF($A402&lt;Premissas!$B$27,INDEX('Consorcio IQ'!$O$6:$O$485,$A402),0)</x:f>
        <x:v>1374777.359989951</x:v>
      </x:c>
      <x:c r="BA402" s="141" t="n">
        <x:f>AX402+AZ402-AY402</x:f>
        <x:v>31998568.344458837</x:v>
      </x:c>
      <x:c r="BB402" s="141" t="n">
        <x:f>IF(AW402&gt;1,"Inviavel",BA402)</x:f>
        <x:v>31998568.344458837</x:v>
      </x:c>
      <x:c r="BC402" s="141" t="str">
        <x:f>IF(AW402&gt;1,"Inviavel","OK")</x:f>
        <x:v>OK</x:v>
      </x:c>
      <x:c r="BD402" s="141" t="n">
        <x:f>IF($A402='Consorcio Direto'!$B$29,'Consorcio Direto'!$B$44,0)</x:f>
        <x:v>0</x:v>
      </x:c>
      <x:c r="BE402" s="141" t="n">
        <x:f>IF($A402&lt;='Consorcio Direto'!$B$27,INDEX('Consorcio Direto'!$E$55:$E$534,$A402),0)</x:f>
        <x:v>0</x:v>
      </x:c>
      <x:c r="BF402" s="141" t="n">
        <x:f>IF(AND(TRUE,Premissas!$B$11="Imovel",Premissas!$B$47="Moradia",$A402&lt;MAX('Consorcio Direto'!$B$29,Premissas!$B$49)),$D402,0)</x:f>
        <x:v>0</x:v>
      </x:c>
      <x:c r="BG402" s="141" t="n">
        <x:f>IF(AND(TRUE,Premissas!$B$11="Imovel",Premissas!$B$47="Investimento",$A402&gt;=MAX('Consorcio Direto'!$B$29,Premissas!$B$49)),$E402,0)</x:f>
        <x:v>4377.9775249910135</x:v>
      </x:c>
      <x:c r="BH402" s="141" t="n">
        <x:f>BD402+BE402+BF402</x:f>
        <x:v>0</x:v>
      </x:c>
      <x:c r="BI402" s="141" t="n">
        <x:f>BG402</x:f>
        <x:v>4377.9775249910135</x:v>
      </x:c>
      <x:c r="BJ402" s="141" t="n">
        <x:f>$C402+BI402-BH402</x:f>
        <x:v>11377.977524991013</x:v>
      </x:c>
      <x:c r="BK402" s="141" t="n">
        <x:f>BN401*(1+Premissas!$B$41)+BJ402</x:f>
        <x:v>29296650.666734643</x:v>
      </x:c>
      <x:c r="BL402" s="141" t="n">
        <x:f>MAX(0,-BK402)</x:f>
        <x:v>0</x:v>
      </x:c>
      <x:c r="BM402" s="141" t="n">
        <x:f>BM401*(1+Premissas!$B$41)+BL402</x:f>
        <x:v>0</x:v>
      </x:c>
      <x:c r="BN402" s="141" t="n">
        <x:f>MAX(0,BK402)</x:f>
        <x:v>29296650.666734643</x:v>
      </x:c>
      <x:c r="BO402" s="141" t="n">
        <x:f>INDEX('Consorcio Direto'!$K$55:$K$534,$A402)</x:f>
        <x:v>0</x:v>
      </x:c>
      <x:c r="BP402" s="141" t="n">
        <x:f>IF($A402&lt;'Consorcio Direto'!$B$29,INDEX('Consorcio Direto'!$L$55:$L$534,$A402),$F402)</x:f>
        <x:v>1374777.359989951</x:v>
      </x:c>
      <x:c r="BQ402" s="141" t="n">
        <x:f>BN402+BP402-BO402</x:f>
        <x:v>30671428.026724596</x:v>
      </x:c>
      <x:c r="BR402" s="141" t="n">
        <x:f>IF(BM402&gt;1,"Inviavel",BQ402)</x:f>
        <x:v>30671428.026724596</x:v>
      </x:c>
      <x:c r="BS402" s="141" t="str">
        <x:f>IF(BM402&gt;1,"Inviavel","OK")</x:f>
        <x:v>OK</x:v>
      </x:c>
      <x:c r="BT402" s="141" t="n">
        <x:f>IF(AND('Carta Contemplada'!$B$22="Sim",$A402='Carta Contemplada'!$B$23),'Carta Contemplada'!$B$37,0)</x:f>
        <x:v>0</x:v>
      </x:c>
      <x:c r="BU402" s="141" t="n">
        <x:f>IF('Carta Contemplada'!$B$22="Sim",INDEX('Carta Contemplada'!$C$55:$C$1013,$A402),0)</x:f>
        <x:v>0</x:v>
      </x:c>
      <x:c r="BV402" s="141" t="n">
        <x:f>IF(AND('Carta Contemplada'!$B$22="Sim",Premissas!$B$11="Imovel",Premissas!$B$47="Moradia",$A402&lt;MAX('Carta Contemplada'!$B$44,Premissas!$B$49)),$D402,0)</x:f>
        <x:v>0</x:v>
      </x:c>
      <x:c r="BW402" s="141" t="n">
        <x:f>IF(AND('Carta Contemplada'!$B$22="Sim",Premissas!$B$11="Imovel",Premissas!$B$47="Investimento",$A402&gt;=MAX('Carta Contemplada'!$B$44,Premissas!$B$49)),$E402,0)</x:f>
        <x:v>4377.9775249910135</x:v>
      </x:c>
      <x:c r="BX402" s="141" t="n">
        <x:f>BT402+BU402+BV402</x:f>
        <x:v>0</x:v>
      </x:c>
      <x:c r="BY402" s="141" t="n">
        <x:f>BW402</x:f>
        <x:v>4377.9775249910135</x:v>
      </x:c>
      <x:c r="BZ402" s="141" t="n">
        <x:f>$C402+BY402-BX402</x:f>
        <x:v>11377.977524991013</x:v>
      </x:c>
      <x:c r="CA402" s="141" t="n">
        <x:f>CD401*(1+Premissas!$B$41)+BZ402</x:f>
        <x:v>31488632.220983587</x:v>
      </x:c>
      <x:c r="CB402" s="141" t="n">
        <x:f>MAX(0,-CA402)</x:f>
        <x:v>0</x:v>
      </x:c>
      <x:c r="CC402" s="141" t="n">
        <x:f>CC401*(1+Premissas!$B$41)+CB402</x:f>
        <x:v>0</x:v>
      </x:c>
      <x:c r="CD402" s="141" t="n">
        <x:f>MAX(0,CA402)</x:f>
        <x:v>31488632.220983587</x:v>
      </x:c>
      <x:c r="CE402" s="141" t="n">
        <x:f>IF(AND('Carta Contemplada'!$B$22="Sim",$A402&gt;='Carta Contemplada'!$B$23),INDEX('Carta Contemplada'!$I$55:$I$1013,$A402),0)</x:f>
        <x:v>0</x:v>
      </x:c>
      <x:c r="CF402" s="141" t="n">
        <x:f>IF(AND('Carta Contemplada'!$B$22="Sim",$A402&gt;='Carta Contemplada'!$B$44),$F402,0)</x:f>
        <x:v>1374777.359989951</x:v>
      </x:c>
      <x:c r="CG402" s="141" t="n">
        <x:f>CD402+CF402-CE402</x:f>
        <x:v>32863409.58097354</x:v>
      </x:c>
      <x:c r="CH402" s="141" t="n">
        <x:f>IF(CC402&gt;1,"Inviavel",CG402)</x:f>
        <x:v>32863409.58097354</x:v>
      </x:c>
      <x:c r="CI402" s="145" t="str">
        <x:f>IF(CC402&gt;1,"Inviavel","OK")</x:f>
        <x:v>OK</x:v>
      </x:c>
    </x:row>
    <x:row r="403">
      <x:c r="A403" s="142" t="n">
        <x:v>399</x:v>
      </x:c>
      <x:c r="B403" s="179" t="n">
        <x:f>EDATE(Premissas!$B$4,A403-1)</x:f>
        <x:v>58654</x:v>
      </x:c>
      <x:c r="C403" s="141" t="n">
        <x:f>IF(A403&lt;=Premissas!$B$39,Premissas!$B$42,0)</x:f>
        <x:v>7000</x:v>
      </x:c>
      <x:c r="D403" s="141" t="n">
        <x:f>Premissas!$B$54*(1+Premissas!$B$57)^INT((A403-1)/12)</x:f>
        <x:v>4788.412917958921</x:v>
      </x:c>
      <x:c r="E403" s="141" t="n">
        <x:f>Premissas!$B$64*(1+Premissas!$B$57)^INT((A403-1)/12)</x:f>
        <x:v>4377.9775249910135</x:v>
      </x:c>
      <x:c r="F403" s="141" t="n">
        <x:f>MAX(0,Premissas!$B$6*(1+Premissas!$B$66)^((A403-1)/12))</x:f>
        <x:v>1381469.1583057905</x:v>
      </x:c>
      <x:c r="G403" s="141" t="n">
        <x:f>G402*(1+Premissas!$B$41)+C403</x:f>
        <x:v>35066539.66048891</x:v>
      </x:c>
      <x:c r="H403" s="141" t="n">
        <x:f>IF($A403=Premissas!$B$48,Premissas!$B$8,0)</x:f>
        <x:v>0</x:v>
      </x:c>
      <x:c r="I403" s="141" t="n">
        <x:f>IF(AND($A403&gt;=Premissas!$B$48,$A403-Premissas!$B$48+1&lt;=Premissas!$B$13),INDEX(Financiamento!$J$6:$J$485,$A403-Premissas!$B$48+1),0)</x:f>
        <x:v>610.4775026898388</x:v>
      </x:c>
      <x:c r="J403" s="141" t="n">
        <x:f>IF(AND(TRUE,Premissas!$B$11="Imovel",Premissas!$B$47="Moradia",$A403&lt;MAX(Premissas!$B$48,Premissas!$B$49)),$D403,0)</x:f>
        <x:v>0</x:v>
      </x:c>
      <x:c r="K403" s="141" t="n">
        <x:f>IF(AND(TRUE,Premissas!$B$11="Imovel",Premissas!$B$47="Investimento",$A403&gt;=MAX(Premissas!$B$48,Premissas!$B$49)),$E403,0)</x:f>
        <x:v>4377.9775249910135</x:v>
      </x:c>
      <x:c r="L403" s="141" t="n">
        <x:f>H403+I403+J403</x:f>
        <x:v>610.4775026898388</x:v>
      </x:c>
      <x:c r="M403" s="141" t="n">
        <x:f>K403</x:f>
        <x:v>4377.9775249910135</x:v>
      </x:c>
      <x:c r="N403" s="141" t="n">
        <x:f>$C403+M403-L403</x:f>
        <x:v>10767.500022301174</x:v>
      </x:c>
      <x:c r="O403" s="141" t="n">
        <x:f>R402*(1+Premissas!$B$41)+N403</x:f>
        <x:v>30667013.819213755</x:v>
      </x:c>
      <x:c r="P403" s="141" t="n">
        <x:f>MAX(0,-O403)</x:f>
        <x:v>0</x:v>
      </x:c>
      <x:c r="Q403" s="141" t="n">
        <x:f>Q402*(1+Premissas!$B$41)+P403</x:f>
        <x:v>0</x:v>
      </x:c>
      <x:c r="R403" s="141" t="n">
        <x:f>MAX(0,O403)</x:f>
        <x:v>30667013.819213755</x:v>
      </x:c>
      <x:c r="S403" s="141" t="n">
        <x:f>IF(AND($A403&gt;=Premissas!$B$48,$A403-Premissas!$B$48+1&lt;=Premissas!$B$13),INDEX(Financiamento!$M$6:$M$485,$A403-Premissas!$B$48+1),0)</x:f>
        <x:v>8000.000000000001</x:v>
      </x:c>
      <x:c r="T403" s="141" t="n">
        <x:f>IF($A403&gt;=Premissas!$B$48,$F403,0)</x:f>
        <x:v>1381469.1583057905</x:v>
      </x:c>
      <x:c r="U403" s="141" t="n">
        <x:f>R403+T403-S403</x:f>
        <x:v>32040482.977519546</x:v>
      </x:c>
      <x:c r="V403" s="141" t="n">
        <x:f>IF(Q403&gt;1,"Inviavel",U403)</x:f>
        <x:v>32040482.977519546</x:v>
      </x:c>
      <x:c r="W403" s="141" t="str">
        <x:f>IF(Q403&gt;1,"Inviavel","OK")</x:f>
        <x:v>OK</x:v>
      </x:c>
      <x:c r="X403" s="141" t="n">
        <x:f>IF($A403=Premissas!$B$48,Premissas!$B$8,0)</x:f>
        <x:v>0</x:v>
      </x:c>
      <x:c r="Y403" s="141" t="n">
        <x:f>IF(AND($A403&gt;=Premissas!$B$48,$A403-Premissas!$B$48+1&lt;=Premissas!$B$13),INDEX(Amortizacao!$K$6:$K$485,$A403-Premissas!$B$48+1),0)</x:f>
        <x:v>0</x:v>
      </x:c>
      <x:c r="Z403" s="141" t="n">
        <x:f>IF(AND(TRUE,Premissas!$B$11="Imovel",Premissas!$B$47="Moradia",$A403&lt;MAX(Premissas!$B$48,Premissas!$B$49)),$D403,0)</x:f>
        <x:v>0</x:v>
      </x:c>
      <x:c r="AA403" s="141" t="n">
        <x:f>IF(AND(TRUE,Premissas!$B$11="Imovel",Premissas!$B$47="Investimento",$A403&gt;=MAX(Premissas!$B$48,Premissas!$B$49)),$E403,0)</x:f>
        <x:v>4377.9775249910135</x:v>
      </x:c>
      <x:c r="AB403" s="141" t="n">
        <x:f>X403+Y403+Z403</x:f>
        <x:v>0</x:v>
      </x:c>
      <x:c r="AC403" s="141" t="n">
        <x:f>AA403</x:f>
        <x:v>4377.9775249910135</x:v>
      </x:c>
      <x:c r="AD403" s="141" t="n">
        <x:f>$C403+AC403-AB403</x:f>
        <x:v>11377.977524991013</x:v>
      </x:c>
      <x:c r="AE403" s="141" t="n">
        <x:f>AH402*(1+Premissas!$B$41)+AD403</x:f>
        <x:v>31173649.026239593</x:v>
      </x:c>
      <x:c r="AF403" s="141" t="n">
        <x:f>MAX(0,-AE403)</x:f>
        <x:v>0</x:v>
      </x:c>
      <x:c r="AG403" s="141" t="n">
        <x:f>AG402*(1+Premissas!$B$41)+AF403</x:f>
        <x:v>0</x:v>
      </x:c>
      <x:c r="AH403" s="141" t="n">
        <x:f>MAX(0,AE403)</x:f>
        <x:v>31173649.026239593</x:v>
      </x:c>
      <x:c r="AI403" s="141" t="n">
        <x:f>IF(AND($A403&gt;=Premissas!$B$48,$A403-Premissas!$B$48+1&lt;=Premissas!$B$13),INDEX(Amortizacao!$L$6:$L$485,$A403-Premissas!$B$48+1),0)</x:f>
        <x:v>0</x:v>
      </x:c>
      <x:c r="AJ403" s="141" t="n">
        <x:f>IF($A403&gt;=Premissas!$B$48,$F403,0)</x:f>
        <x:v>1381469.1583057905</x:v>
      </x:c>
      <x:c r="AK403" s="141" t="n">
        <x:f>AH403+AJ403-AI403</x:f>
        <x:v>32555118.184545383</x:v>
      </x:c>
      <x:c r="AL403" s="141" t="n">
        <x:f>IF(AG403&gt;1,"Inviavel",AK403)</x:f>
        <x:v>32555118.184545383</x:v>
      </x:c>
      <x:c r="AM403" s="141" t="str">
        <x:f>IF(AG403&gt;1,"Inviavel","OK")</x:f>
        <x:v>OK</x:v>
      </x:c>
      <x:c r="AN403" s="141" t="n">
        <x:f>IF($A403=Premissas!$B$48,Premissas!$B$8,0)</x:f>
        <x:v>0</x:v>
      </x:c>
      <x:c r="AO403" s="141" t="n">
        <x:f>IF($A403&lt;=Premissas!$B$25,INDEX('Consorcio IQ'!$K$6:$K$485,$A403),0)</x:f>
        <x:v>0</x:v>
      </x:c>
      <x:c r="AP403" s="141" t="n">
        <x:f>IF(AND(TRUE,Premissas!$B$11="Imovel",Premissas!$B$47="Moradia",$A403&lt;MAX(Premissas!$B$48,Premissas!$B$49)),$D403,0)</x:f>
        <x:v>0</x:v>
      </x:c>
      <x:c r="AQ403" s="141" t="n">
        <x:f>IF(AND(TRUE,Premissas!$B$11="Imovel",Premissas!$B$47="Investimento",$A403&gt;=MAX(Premissas!$B$48,Premissas!$B$49)),$E403,0)</x:f>
        <x:v>4377.9775249910135</x:v>
      </x:c>
      <x:c r="AR403" s="141" t="n">
        <x:f>AN403+AO403+AP403</x:f>
        <x:v>0</x:v>
      </x:c>
      <x:c r="AS403" s="141" t="n">
        <x:f>AQ403</x:f>
        <x:v>4377.9775249910135</x:v>
      </x:c>
      <x:c r="AT403" s="141" t="n">
        <x:f>$C403+AS403-AR403</x:f>
        <x:v>11377.977524991013</x:v>
      </x:c>
      <x:c r="AU403" s="141" t="n">
        <x:f>AX402*(1+Premissas!$B$41)+AT403</x:f>
        <x:v>30925751.773517452</x:v>
      </x:c>
      <x:c r="AV403" s="141" t="n">
        <x:f>MAX(0,-AU403)</x:f>
        <x:v>0</x:v>
      </x:c>
      <x:c r="AW403" s="141" t="n">
        <x:f>AW402*(1+Premissas!$B$41)+AV403</x:f>
        <x:v>0</x:v>
      </x:c>
      <x:c r="AX403" s="141" t="n">
        <x:f>MAX(0,AU403)</x:f>
        <x:v>30925751.773517452</x:v>
      </x:c>
      <x:c r="AY403" s="141" t="n">
        <x:f>INDEX('Consorcio IQ'!$P$6:$P$485,$A403)</x:f>
        <x:v>0</x:v>
      </x:c>
      <x:c r="AZ403" s="141" t="n">
        <x:f>IF($A403&gt;=Premissas!$B$48,$F403,0)+IF($A403&lt;Premissas!$B$27,INDEX('Consorcio IQ'!$O$6:$O$485,$A403),0)</x:f>
        <x:v>1381469.1583057905</x:v>
      </x:c>
      <x:c r="BA403" s="141" t="n">
        <x:f>AX403+AZ403-AY403</x:f>
        <x:v>32307220.931823242</x:v>
      </x:c>
      <x:c r="BB403" s="141" t="n">
        <x:f>IF(AW403&gt;1,"Inviavel",BA403)</x:f>
        <x:v>32307220.931823242</x:v>
      </x:c>
      <x:c r="BC403" s="141" t="str">
        <x:f>IF(AW403&gt;1,"Inviavel","OK")</x:f>
        <x:v>OK</x:v>
      </x:c>
      <x:c r="BD403" s="141" t="n">
        <x:f>IF($A403='Consorcio Direto'!$B$29,'Consorcio Direto'!$B$44,0)</x:f>
        <x:v>0</x:v>
      </x:c>
      <x:c r="BE403" s="141" t="n">
        <x:f>IF($A403&lt;='Consorcio Direto'!$B$27,INDEX('Consorcio Direto'!$E$55:$E$534,$A403),0)</x:f>
        <x:v>0</x:v>
      </x:c>
      <x:c r="BF403" s="141" t="n">
        <x:f>IF(AND(TRUE,Premissas!$B$11="Imovel",Premissas!$B$47="Moradia",$A403&lt;MAX('Consorcio Direto'!$B$29,Premissas!$B$49)),$D403,0)</x:f>
        <x:v>0</x:v>
      </x:c>
      <x:c r="BG403" s="141" t="n">
        <x:f>IF(AND(TRUE,Premissas!$B$11="Imovel",Premissas!$B$47="Investimento",$A403&gt;=MAX('Consorcio Direto'!$B$29,Premissas!$B$49)),$E403,0)</x:f>
        <x:v>4377.9775249910135</x:v>
      </x:c>
      <x:c r="BH403" s="141" t="n">
        <x:f>BD403+BE403+BF403</x:f>
        <x:v>0</x:v>
      </x:c>
      <x:c r="BI403" s="141" t="n">
        <x:f>BG403</x:f>
        <x:v>4377.9775249910135</x:v>
      </x:c>
      <x:c r="BJ403" s="141" t="n">
        <x:f>$C403+BI403-BH403</x:f>
        <x:v>11377.977524991013</x:v>
      </x:c>
      <x:c r="BK403" s="141" t="n">
        <x:f>BN402*(1+Premissas!$B$41)+BJ403</x:f>
        <x:v>29586018.496113095</x:v>
      </x:c>
      <x:c r="BL403" s="141" t="n">
        <x:f>MAX(0,-BK403)</x:f>
        <x:v>0</x:v>
      </x:c>
      <x:c r="BM403" s="141" t="n">
        <x:f>BM402*(1+Premissas!$B$41)+BL403</x:f>
        <x:v>0</x:v>
      </x:c>
      <x:c r="BN403" s="141" t="n">
        <x:f>MAX(0,BK403)</x:f>
        <x:v>29586018.496113095</x:v>
      </x:c>
      <x:c r="BO403" s="141" t="n">
        <x:f>INDEX('Consorcio Direto'!$K$55:$K$534,$A403)</x:f>
        <x:v>0</x:v>
      </x:c>
      <x:c r="BP403" s="141" t="n">
        <x:f>IF($A403&lt;'Consorcio Direto'!$B$29,INDEX('Consorcio Direto'!$L$55:$L$534,$A403),$F403)</x:f>
        <x:v>1381469.1583057905</x:v>
      </x:c>
      <x:c r="BQ403" s="141" t="n">
        <x:f>BN403+BP403-BO403</x:f>
        <x:v>30967487.654418886</x:v>
      </x:c>
      <x:c r="BR403" s="141" t="n">
        <x:f>IF(BM403&gt;1,"Inviavel",BQ403)</x:f>
        <x:v>30967487.654418886</x:v>
      </x:c>
      <x:c r="BS403" s="141" t="str">
        <x:f>IF(BM403&gt;1,"Inviavel","OK")</x:f>
        <x:v>OK</x:v>
      </x:c>
      <x:c r="BT403" s="141" t="n">
        <x:f>IF(AND('Carta Contemplada'!$B$22="Sim",$A403='Carta Contemplada'!$B$23),'Carta Contemplada'!$B$37,0)</x:f>
        <x:v>0</x:v>
      </x:c>
      <x:c r="BU403" s="141" t="n">
        <x:f>IF('Carta Contemplada'!$B$22="Sim",INDEX('Carta Contemplada'!$C$55:$C$1013,$A403),0)</x:f>
        <x:v>0</x:v>
      </x:c>
      <x:c r="BV403" s="141" t="n">
        <x:f>IF(AND('Carta Contemplada'!$B$22="Sim",Premissas!$B$11="Imovel",Premissas!$B$47="Moradia",$A403&lt;MAX('Carta Contemplada'!$B$44,Premissas!$B$49)),$D403,0)</x:f>
        <x:v>0</x:v>
      </x:c>
      <x:c r="BW403" s="141" t="n">
        <x:f>IF(AND('Carta Contemplada'!$B$22="Sim",Premissas!$B$11="Imovel",Premissas!$B$47="Investimento",$A403&gt;=MAX('Carta Contemplada'!$B$44,Premissas!$B$49)),$E403,0)</x:f>
        <x:v>4377.9775249910135</x:v>
      </x:c>
      <x:c r="BX403" s="141" t="n">
        <x:f>BT403+BU403+BV403</x:f>
        <x:v>0</x:v>
      </x:c>
      <x:c r="BY403" s="141" t="n">
        <x:f>BW403</x:f>
        <x:v>4377.9775249910135</x:v>
      </x:c>
      <x:c r="BZ403" s="141" t="n">
        <x:f>$C403+BY403-BX403</x:f>
        <x:v>11377.977524991013</x:v>
      </x:c>
      <x:c r="CA403" s="141" t="n">
        <x:f>CD402*(1+Premissas!$B$41)+BZ403</x:f>
        <x:v>31798799.309446733</x:v>
      </x:c>
      <x:c r="CB403" s="141" t="n">
        <x:f>MAX(0,-CA403)</x:f>
        <x:v>0</x:v>
      </x:c>
      <x:c r="CC403" s="141" t="n">
        <x:f>CC402*(1+Premissas!$B$41)+CB403</x:f>
        <x:v>0</x:v>
      </x:c>
      <x:c r="CD403" s="141" t="n">
        <x:f>MAX(0,CA403)</x:f>
        <x:v>31798799.309446733</x:v>
      </x:c>
      <x:c r="CE403" s="141" t="n">
        <x:f>IF(AND('Carta Contemplada'!$B$22="Sim",$A403&gt;='Carta Contemplada'!$B$23),INDEX('Carta Contemplada'!$I$55:$I$1013,$A403),0)</x:f>
        <x:v>0</x:v>
      </x:c>
      <x:c r="CF403" s="141" t="n">
        <x:f>IF(AND('Carta Contemplada'!$B$22="Sim",$A403&gt;='Carta Contemplada'!$B$44),$F403,0)</x:f>
        <x:v>1381469.1583057905</x:v>
      </x:c>
      <x:c r="CG403" s="141" t="n">
        <x:f>CD403+CF403-CE403</x:f>
        <x:v>33180268.467752524</x:v>
      </x:c>
      <x:c r="CH403" s="141" t="n">
        <x:f>IF(CC403&gt;1,"Inviavel",CG403)</x:f>
        <x:v>33180268.467752524</x:v>
      </x:c>
      <x:c r="CI403" s="145" t="str">
        <x:f>IF(CC403&gt;1,"Inviavel","OK")</x:f>
        <x:v>OK</x:v>
      </x:c>
    </x:row>
    <x:row r="404">
      <x:c r="A404" s="142" t="n">
        <x:v>400</x:v>
      </x:c>
      <x:c r="B404" s="179" t="n">
        <x:f>EDATE(Premissas!$B$4,A404-1)</x:f>
        <x:v>58685</x:v>
      </x:c>
      <x:c r="C404" s="141" t="n">
        <x:f>IF(A404&lt;=Premissas!$B$39,Premissas!$B$42,0)</x:f>
        <x:v>7000</x:v>
      </x:c>
      <x:c r="D404" s="141" t="n">
        <x:f>Premissas!$B$54*(1+Premissas!$B$57)^INT((A404-1)/12)</x:f>
        <x:v>4788.412917958921</x:v>
      </x:c>
      <x:c r="E404" s="141" t="n">
        <x:f>Premissas!$B$64*(1+Premissas!$B$57)^INT((A404-1)/12)</x:f>
        <x:v>4377.9775249910135</x:v>
      </x:c>
      <x:c r="F404" s="141" t="n">
        <x:f>MAX(0,Premissas!$B$6*(1+Premissas!$B$66)^((A404-1)/12))</x:f>
        <x:v>1388193.5292883061</x:v>
      </x:c>
      <x:c r="G404" s="141" t="n">
        <x:f>G403*(1+Premissas!$B$41)+C404</x:f>
        <x:v>35406278.79425964</x:v>
      </x:c>
      <x:c r="H404" s="141" t="n">
        <x:f>IF($A404=Premissas!$B$48,Premissas!$B$8,0)</x:f>
        <x:v>0</x:v>
      </x:c>
      <x:c r="I404" s="141" t="n">
        <x:f>IF(AND($A404&gt;=Premissas!$B$48,$A404-Premissas!$B$48+1&lt;=Premissas!$B$13),INDEX(Financiamento!$J$6:$J$485,$A404-Premissas!$B$48+1),0)</x:f>
        <x:v>606.8627244290453</x:v>
      </x:c>
      <x:c r="J404" s="141" t="n">
        <x:f>IF(AND(TRUE,Premissas!$B$11="Imovel",Premissas!$B$47="Moradia",$A404&lt;MAX(Premissas!$B$48,Premissas!$B$49)),$D404,0)</x:f>
        <x:v>0</x:v>
      </x:c>
      <x:c r="K404" s="141" t="n">
        <x:f>IF(AND(TRUE,Premissas!$B$11="Imovel",Premissas!$B$47="Investimento",$A404&gt;=MAX(Premissas!$B$48,Premissas!$B$49)),$E404,0)</x:f>
        <x:v>4377.9775249910135</x:v>
      </x:c>
      <x:c r="L404" s="141" t="n">
        <x:f>H404+I404+J404</x:f>
        <x:v>606.8627244290453</x:v>
      </x:c>
      <x:c r="M404" s="141" t="n">
        <x:f>K404</x:f>
        <x:v>4377.9775249910135</x:v>
      </x:c>
      <x:c r="N404" s="141" t="n">
        <x:f>$C404+M404-L404</x:f>
        <x:v>10771.114800561967</x:v>
      </x:c>
      <x:c r="O404" s="141" t="n">
        <x:f>R403*(1+Premissas!$B$41)+N404</x:f>
        <x:v>30968777.878066834</x:v>
      </x:c>
      <x:c r="P404" s="141" t="n">
        <x:f>MAX(0,-O404)</x:f>
        <x:v>0</x:v>
      </x:c>
      <x:c r="Q404" s="141" t="n">
        <x:f>Q403*(1+Premissas!$B$41)+P404</x:f>
        <x:v>0</x:v>
      </x:c>
      <x:c r="R404" s="141" t="n">
        <x:f>MAX(0,O404)</x:f>
        <x:v>30968777.878066834</x:v>
      </x:c>
      <x:c r="S404" s="141" t="n">
        <x:f>IF(AND($A404&gt;=Premissas!$B$48,$A404-Premissas!$B$48+1&lt;=Premissas!$B$13),INDEX(Financiamento!$M$6:$M$485,$A404-Premissas!$B$48+1),0)</x:f>
        <x:v>7619.04761904762</x:v>
      </x:c>
      <x:c r="T404" s="141" t="n">
        <x:f>IF($A404&gt;=Premissas!$B$48,$F404,0)</x:f>
        <x:v>1388193.5292883061</x:v>
      </x:c>
      <x:c r="U404" s="141" t="n">
        <x:f>R404+T404-S404</x:f>
        <x:v>32349352.359736092</x:v>
      </x:c>
      <x:c r="V404" s="141" t="n">
        <x:f>IF(Q404&gt;1,"Inviavel",U404)</x:f>
        <x:v>32349352.359736092</x:v>
      </x:c>
      <x:c r="W404" s="141" t="str">
        <x:f>IF(Q404&gt;1,"Inviavel","OK")</x:f>
        <x:v>OK</x:v>
      </x:c>
      <x:c r="X404" s="141" t="n">
        <x:f>IF($A404=Premissas!$B$48,Premissas!$B$8,0)</x:f>
        <x:v>0</x:v>
      </x:c>
      <x:c r="Y404" s="141" t="n">
        <x:f>IF(AND($A404&gt;=Premissas!$B$48,$A404-Premissas!$B$48+1&lt;=Premissas!$B$13),INDEX(Amortizacao!$K$6:$K$485,$A404-Premissas!$B$48+1),0)</x:f>
        <x:v>0</x:v>
      </x:c>
      <x:c r="Z404" s="141" t="n">
        <x:f>IF(AND(TRUE,Premissas!$B$11="Imovel",Premissas!$B$47="Moradia",$A404&lt;MAX(Premissas!$B$48,Premissas!$B$49)),$D404,0)</x:f>
        <x:v>0</x:v>
      </x:c>
      <x:c r="AA404" s="141" t="n">
        <x:f>IF(AND(TRUE,Premissas!$B$11="Imovel",Premissas!$B$47="Investimento",$A404&gt;=MAX(Premissas!$B$48,Premissas!$B$49)),$E404,0)</x:f>
        <x:v>4377.9775249910135</x:v>
      </x:c>
      <x:c r="AB404" s="141" t="n">
        <x:f>X404+Y404+Z404</x:f>
        <x:v>0</x:v>
      </x:c>
      <x:c r="AC404" s="141" t="n">
        <x:f>AA404</x:f>
        <x:v>4377.9775249910135</x:v>
      </x:c>
      <x:c r="AD404" s="141" t="n">
        <x:f>$C404+AC404-AB404</x:f>
        <x:v>11377.977524991013</x:v>
      </x:c>
      <x:c r="AE404" s="141" t="n">
        <x:f>AH403*(1+Premissas!$B$41)+AD404</x:f>
        <x:v>31480827.30438994</x:v>
      </x:c>
      <x:c r="AF404" s="141" t="n">
        <x:f>MAX(0,-AE404)</x:f>
        <x:v>0</x:v>
      </x:c>
      <x:c r="AG404" s="141" t="n">
        <x:f>AG403*(1+Premissas!$B$41)+AF404</x:f>
        <x:v>0</x:v>
      </x:c>
      <x:c r="AH404" s="141" t="n">
        <x:f>MAX(0,AE404)</x:f>
        <x:v>31480827.30438994</x:v>
      </x:c>
      <x:c r="AI404" s="141" t="n">
        <x:f>IF(AND($A404&gt;=Premissas!$B$48,$A404-Premissas!$B$48+1&lt;=Premissas!$B$13),INDEX(Amortizacao!$L$6:$L$485,$A404-Premissas!$B$48+1),0)</x:f>
        <x:v>0</x:v>
      </x:c>
      <x:c r="AJ404" s="141" t="n">
        <x:f>IF($A404&gt;=Premissas!$B$48,$F404,0)</x:f>
        <x:v>1388193.5292883061</x:v>
      </x:c>
      <x:c r="AK404" s="141" t="n">
        <x:f>AH404+AJ404-AI404</x:f>
        <x:v>32869020.833678246</x:v>
      </x:c>
      <x:c r="AL404" s="141" t="n">
        <x:f>IF(AG404&gt;1,"Inviavel",AK404)</x:f>
        <x:v>32869020.833678246</x:v>
      </x:c>
      <x:c r="AM404" s="141" t="str">
        <x:f>IF(AG404&gt;1,"Inviavel","OK")</x:f>
        <x:v>OK</x:v>
      </x:c>
      <x:c r="AN404" s="141" t="n">
        <x:f>IF($A404=Premissas!$B$48,Premissas!$B$8,0)</x:f>
        <x:v>0</x:v>
      </x:c>
      <x:c r="AO404" s="141" t="n">
        <x:f>IF($A404&lt;=Premissas!$B$25,INDEX('Consorcio IQ'!$K$6:$K$485,$A404),0)</x:f>
        <x:v>0</x:v>
      </x:c>
      <x:c r="AP404" s="141" t="n">
        <x:f>IF(AND(TRUE,Premissas!$B$11="Imovel",Premissas!$B$47="Moradia",$A404&lt;MAX(Premissas!$B$48,Premissas!$B$49)),$D404,0)</x:f>
        <x:v>0</x:v>
      </x:c>
      <x:c r="AQ404" s="141" t="n">
        <x:f>IF(AND(TRUE,Premissas!$B$11="Imovel",Premissas!$B$47="Investimento",$A404&gt;=MAX(Premissas!$B$48,Premissas!$B$49)),$E404,0)</x:f>
        <x:v>4377.9775249910135</x:v>
      </x:c>
      <x:c r="AR404" s="141" t="n">
        <x:f>AN404+AO404+AP404</x:f>
        <x:v>0</x:v>
      </x:c>
      <x:c r="AS404" s="141" t="n">
        <x:f>AQ404</x:f>
        <x:v>4377.9775249910135</x:v>
      </x:c>
      <x:c r="AT404" s="141" t="n">
        <x:f>$C404+AS404-AR404</x:f>
        <x:v>11377.977524991013</x:v>
      </x:c>
      <x:c r="AU404" s="141" t="n">
        <x:f>AX403*(1+Premissas!$B$41)+AT404</x:f>
        <x:v>31230577.805967666</x:v>
      </x:c>
      <x:c r="AV404" s="141" t="n">
        <x:f>MAX(0,-AU404)</x:f>
        <x:v>0</x:v>
      </x:c>
      <x:c r="AW404" s="141" t="n">
        <x:f>AW403*(1+Premissas!$B$41)+AV404</x:f>
        <x:v>0</x:v>
      </x:c>
      <x:c r="AX404" s="141" t="n">
        <x:f>MAX(0,AU404)</x:f>
        <x:v>31230577.805967666</x:v>
      </x:c>
      <x:c r="AY404" s="141" t="n">
        <x:f>INDEX('Consorcio IQ'!$P$6:$P$485,$A404)</x:f>
        <x:v>0</x:v>
      </x:c>
      <x:c r="AZ404" s="141" t="n">
        <x:f>IF($A404&gt;=Premissas!$B$48,$F404,0)+IF($A404&lt;Premissas!$B$27,INDEX('Consorcio IQ'!$O$6:$O$485,$A404),0)</x:f>
        <x:v>1388193.5292883061</x:v>
      </x:c>
      <x:c r="BA404" s="141" t="n">
        <x:f>AX404+AZ404-AY404</x:f>
        <x:v>32618771.335255973</x:v>
      </x:c>
      <x:c r="BB404" s="141" t="n">
        <x:f>IF(AW404&gt;1,"Inviavel",BA404)</x:f>
        <x:v>32618771.335255973</x:v>
      </x:c>
      <x:c r="BC404" s="141" t="str">
        <x:f>IF(AW404&gt;1,"Inviavel","OK")</x:f>
        <x:v>OK</x:v>
      </x:c>
      <x:c r="BD404" s="141" t="n">
        <x:f>IF($A404='Consorcio Direto'!$B$29,'Consorcio Direto'!$B$44,0)</x:f>
        <x:v>0</x:v>
      </x:c>
      <x:c r="BE404" s="141" t="n">
        <x:f>IF($A404&lt;='Consorcio Direto'!$B$27,INDEX('Consorcio Direto'!$E$55:$E$534,$A404),0)</x:f>
        <x:v>0</x:v>
      </x:c>
      <x:c r="BF404" s="141" t="n">
        <x:f>IF(AND(TRUE,Premissas!$B$11="Imovel",Premissas!$B$47="Moradia",$A404&lt;MAX('Consorcio Direto'!$B$29,Premissas!$B$49)),$D404,0)</x:f>
        <x:v>0</x:v>
      </x:c>
      <x:c r="BG404" s="141" t="n">
        <x:f>IF(AND(TRUE,Premissas!$B$11="Imovel",Premissas!$B$47="Investimento",$A404&gt;=MAX('Consorcio Direto'!$B$29,Premissas!$B$49)),$E404,0)</x:f>
        <x:v>4377.9775249910135</x:v>
      </x:c>
      <x:c r="BH404" s="141" t="n">
        <x:f>BD404+BE404+BF404</x:f>
        <x:v>0</x:v>
      </x:c>
      <x:c r="BI404" s="141" t="n">
        <x:f>BG404</x:f>
        <x:v>4377.9775249910135</x:v>
      </x:c>
      <x:c r="BJ404" s="141" t="n">
        <x:f>$C404+BI404-BH404</x:f>
        <x:v>11377.977524991013</x:v>
      </x:c>
      <x:c r="BK404" s="141" t="n">
        <x:f>BN403*(1+Premissas!$B$41)+BJ404</x:f>
        <x:v>29878132.07690645</x:v>
      </x:c>
      <x:c r="BL404" s="141" t="n">
        <x:f>MAX(0,-BK404)</x:f>
        <x:v>0</x:v>
      </x:c>
      <x:c r="BM404" s="141" t="n">
        <x:f>BM403*(1+Premissas!$B$41)+BL404</x:f>
        <x:v>0</x:v>
      </x:c>
      <x:c r="BN404" s="141" t="n">
        <x:f>MAX(0,BK404)</x:f>
        <x:v>29878132.07690645</x:v>
      </x:c>
      <x:c r="BO404" s="141" t="n">
        <x:f>INDEX('Consorcio Direto'!$K$55:$K$534,$A404)</x:f>
        <x:v>0</x:v>
      </x:c>
      <x:c r="BP404" s="141" t="n">
        <x:f>IF($A404&lt;'Consorcio Direto'!$B$29,INDEX('Consorcio Direto'!$L$55:$L$534,$A404),$F404)</x:f>
        <x:v>1388193.5292883061</x:v>
      </x:c>
      <x:c r="BQ404" s="141" t="n">
        <x:f>BN404+BP404-BO404</x:f>
        <x:v>31266325.606194757</x:v>
      </x:c>
      <x:c r="BR404" s="141" t="n">
        <x:f>IF(BM404&gt;1,"Inviavel",BQ404)</x:f>
        <x:v>31266325.606194757</x:v>
      </x:c>
      <x:c r="BS404" s="141" t="str">
        <x:f>IF(BM404&gt;1,"Inviavel","OK")</x:f>
        <x:v>OK</x:v>
      </x:c>
      <x:c r="BT404" s="141" t="n">
        <x:f>IF(AND('Carta Contemplada'!$B$22="Sim",$A404='Carta Contemplada'!$B$23),'Carta Contemplada'!$B$37,0)</x:f>
        <x:v>0</x:v>
      </x:c>
      <x:c r="BU404" s="141" t="n">
        <x:f>IF('Carta Contemplada'!$B$22="Sim",INDEX('Carta Contemplada'!$C$55:$C$1013,$A404),0)</x:f>
        <x:v>0</x:v>
      </x:c>
      <x:c r="BV404" s="141" t="n">
        <x:f>IF(AND('Carta Contemplada'!$B$22="Sim",Premissas!$B$11="Imovel",Premissas!$B$47="Moradia",$A404&lt;MAX('Carta Contemplada'!$B$44,Premissas!$B$49)),$D404,0)</x:f>
        <x:v>0</x:v>
      </x:c>
      <x:c r="BW404" s="141" t="n">
        <x:f>IF(AND('Carta Contemplada'!$B$22="Sim",Premissas!$B$11="Imovel",Premissas!$B$47="Investimento",$A404&gt;=MAX('Carta Contemplada'!$B$44,Premissas!$B$49)),$E404,0)</x:f>
        <x:v>4377.9775249910135</x:v>
      </x:c>
      <x:c r="BX404" s="141" t="n">
        <x:f>BT404+BU404+BV404</x:f>
        <x:v>0</x:v>
      </x:c>
      <x:c r="BY404" s="141" t="n">
        <x:f>BW404</x:f>
        <x:v>4377.9775249910135</x:v>
      </x:c>
      <x:c r="BZ404" s="141" t="n">
        <x:f>$C404+BY404-BX404</x:f>
        <x:v>11377.977524991013</x:v>
      </x:c>
      <x:c r="CA404" s="141" t="n">
        <x:f>CD403*(1+Premissas!$B$41)+BZ404</x:f>
        <x:v>32111909.509187426</x:v>
      </x:c>
      <x:c r="CB404" s="141" t="n">
        <x:f>MAX(0,-CA404)</x:f>
        <x:v>0</x:v>
      </x:c>
      <x:c r="CC404" s="141" t="n">
        <x:f>CC403*(1+Premissas!$B$41)+CB404</x:f>
        <x:v>0</x:v>
      </x:c>
      <x:c r="CD404" s="141" t="n">
        <x:f>MAX(0,CA404)</x:f>
        <x:v>32111909.509187426</x:v>
      </x:c>
      <x:c r="CE404" s="141" t="n">
        <x:f>IF(AND('Carta Contemplada'!$B$22="Sim",$A404&gt;='Carta Contemplada'!$B$23),INDEX('Carta Contemplada'!$I$55:$I$1013,$A404),0)</x:f>
        <x:v>0</x:v>
      </x:c>
      <x:c r="CF404" s="141" t="n">
        <x:f>IF(AND('Carta Contemplada'!$B$22="Sim",$A404&gt;='Carta Contemplada'!$B$44),$F404,0)</x:f>
        <x:v>1388193.5292883061</x:v>
      </x:c>
      <x:c r="CG404" s="141" t="n">
        <x:f>CD404+CF404-CE404</x:f>
        <x:v>33500103.038475733</x:v>
      </x:c>
      <x:c r="CH404" s="141" t="n">
        <x:f>IF(CC404&gt;1,"Inviavel",CG404)</x:f>
        <x:v>33500103.038475733</x:v>
      </x:c>
      <x:c r="CI404" s="145" t="str">
        <x:f>IF(CC404&gt;1,"Inviavel","OK")</x:f>
        <x:v>OK</x:v>
      </x:c>
    </x:row>
    <x:row r="405">
      <x:c r="A405" s="142" t="n">
        <x:v>401</x:v>
      </x:c>
      <x:c r="B405" s="179" t="n">
        <x:f>EDATE(Premissas!$B$4,A405-1)</x:f>
        <x:v>58715</x:v>
      </x:c>
      <x:c r="C405" s="141" t="n">
        <x:f>IF(A405&lt;=Premissas!$B$39,Premissas!$B$42,0)</x:f>
        <x:v>7000</x:v>
      </x:c>
      <x:c r="D405" s="141" t="n">
        <x:f>Premissas!$B$54*(1+Premissas!$B$57)^INT((A405-1)/12)</x:f>
        <x:v>4788.412917958921</x:v>
      </x:c>
      <x:c r="E405" s="141" t="n">
        <x:f>Premissas!$B$64*(1+Premissas!$B$57)^INT((A405-1)/12)</x:f>
        <x:v>4377.9775249910135</x:v>
      </x:c>
      <x:c r="F405" s="141" t="n">
        <x:f>MAX(0,Premissas!$B$6*(1+Premissas!$B$66)^((A405-1)/12))</x:f>
        <x:v>1394950.631486599</x:v>
      </x:c>
      <x:c r="G405" s="141" t="n">
        <x:f>G404*(1+Premissas!$B$41)+C405</x:f>
        <x:v>35749241.64232249</x:v>
      </x:c>
      <x:c r="H405" s="141" t="n">
        <x:f>IF($A405=Premissas!$B$48,Premissas!$B$8,0)</x:f>
        <x:v>0</x:v>
      </x:c>
      <x:c r="I405" s="141" t="n">
        <x:f>IF(AND($A405&gt;=Premissas!$B$48,$A405-Premissas!$B$48+1&lt;=Premissas!$B$13),INDEX(Financiamento!$J$6:$J$485,$A405-Premissas!$B$48+1),0)</x:f>
        <x:v>603.2479461682519</x:v>
      </x:c>
      <x:c r="J405" s="141" t="n">
        <x:f>IF(AND(TRUE,Premissas!$B$11="Imovel",Premissas!$B$47="Moradia",$A405&lt;MAX(Premissas!$B$48,Premissas!$B$49)),$D405,0)</x:f>
        <x:v>0</x:v>
      </x:c>
      <x:c r="K405" s="141" t="n">
        <x:f>IF(AND(TRUE,Premissas!$B$11="Imovel",Premissas!$B$47="Investimento",$A405&gt;=MAX(Premissas!$B$48,Premissas!$B$49)),$E405,0)</x:f>
        <x:v>4377.9775249910135</x:v>
      </x:c>
      <x:c r="L405" s="141" t="n">
        <x:f>H405+I405+J405</x:f>
        <x:v>603.2479461682519</x:v>
      </x:c>
      <x:c r="M405" s="141" t="n">
        <x:f>K405</x:f>
        <x:v>4377.9775249910135</x:v>
      </x:c>
      <x:c r="N405" s="141" t="n">
        <x:f>$C405+M405-L405</x:f>
        <x:v>10774.72957882276</x:v>
      </x:c>
      <x:c r="O405" s="141" t="n">
        <x:f>R404*(1+Premissas!$B$41)+N405</x:f>
        <x:v>31273408.92836773</x:v>
      </x:c>
      <x:c r="P405" s="141" t="n">
        <x:f>MAX(0,-O405)</x:f>
        <x:v>0</x:v>
      </x:c>
      <x:c r="Q405" s="141" t="n">
        <x:f>Q404*(1+Premissas!$B$41)+P405</x:f>
        <x:v>0</x:v>
      </x:c>
      <x:c r="R405" s="141" t="n">
        <x:f>MAX(0,O405)</x:f>
        <x:v>31273408.92836773</x:v>
      </x:c>
      <x:c r="S405" s="141" t="n">
        <x:f>IF(AND($A405&gt;=Premissas!$B$48,$A405-Premissas!$B$48+1&lt;=Premissas!$B$13),INDEX(Financiamento!$M$6:$M$485,$A405-Premissas!$B$48+1),0)</x:f>
        <x:v>7238.095238095239</x:v>
      </x:c>
      <x:c r="T405" s="141" t="n">
        <x:f>IF($A405&gt;=Premissas!$B$48,$F405,0)</x:f>
        <x:v>1394950.631486599</x:v>
      </x:c>
      <x:c r="U405" s="141" t="n">
        <x:f>R405+T405-S405</x:f>
        <x:v>32661121.46461623</x:v>
      </x:c>
      <x:c r="V405" s="141" t="n">
        <x:f>IF(Q405&gt;1,"Inviavel",U405)</x:f>
        <x:v>32661121.46461623</x:v>
      </x:c>
      <x:c r="W405" s="141" t="str">
        <x:f>IF(Q405&gt;1,"Inviavel","OK")</x:f>
        <x:v>OK</x:v>
      </x:c>
      <x:c r="X405" s="141" t="n">
        <x:f>IF($A405=Premissas!$B$48,Premissas!$B$8,0)</x:f>
        <x:v>0</x:v>
      </x:c>
      <x:c r="Y405" s="141" t="n">
        <x:f>IF(AND($A405&gt;=Premissas!$B$48,$A405-Premissas!$B$48+1&lt;=Premissas!$B$13),INDEX(Amortizacao!$K$6:$K$485,$A405-Premissas!$B$48+1),0)</x:f>
        <x:v>0</x:v>
      </x:c>
      <x:c r="Z405" s="141" t="n">
        <x:f>IF(AND(TRUE,Premissas!$B$11="Imovel",Premissas!$B$47="Moradia",$A405&lt;MAX(Premissas!$B$48,Premissas!$B$49)),$D405,0)</x:f>
        <x:v>0</x:v>
      </x:c>
      <x:c r="AA405" s="141" t="n">
        <x:f>IF(AND(TRUE,Premissas!$B$11="Imovel",Premissas!$B$47="Investimento",$A405&gt;=MAX(Premissas!$B$48,Premissas!$B$49)),$E405,0)</x:f>
        <x:v>4377.9775249910135</x:v>
      </x:c>
      <x:c r="AB405" s="141" t="n">
        <x:f>X405+Y405+Z405</x:f>
        <x:v>0</x:v>
      </x:c>
      <x:c r="AC405" s="141" t="n">
        <x:f>AA405</x:f>
        <x:v>4377.9775249910135</x:v>
      </x:c>
      <x:c r="AD405" s="141" t="n">
        <x:f>$C405+AC405-AB405</x:f>
        <x:v>11377.977524991013</x:v>
      </x:c>
      <x:c r="AE405" s="141" t="n">
        <x:f>AH404*(1+Premissas!$B$41)+AD405</x:f>
        <x:v>31790920.333615653</x:v>
      </x:c>
      <x:c r="AF405" s="141" t="n">
        <x:f>MAX(0,-AE405)</x:f>
        <x:v>0</x:v>
      </x:c>
      <x:c r="AG405" s="141" t="n">
        <x:f>AG404*(1+Premissas!$B$41)+AF405</x:f>
        <x:v>0</x:v>
      </x:c>
      <x:c r="AH405" s="141" t="n">
        <x:f>MAX(0,AE405)</x:f>
        <x:v>31790920.333615653</x:v>
      </x:c>
      <x:c r="AI405" s="141" t="n">
        <x:f>IF(AND($A405&gt;=Premissas!$B$48,$A405-Premissas!$B$48+1&lt;=Premissas!$B$13),INDEX(Amortizacao!$L$6:$L$485,$A405-Premissas!$B$48+1),0)</x:f>
        <x:v>0</x:v>
      </x:c>
      <x:c r="AJ405" s="141" t="n">
        <x:f>IF($A405&gt;=Premissas!$B$48,$F405,0)</x:f>
        <x:v>1394950.631486599</x:v>
      </x:c>
      <x:c r="AK405" s="141" t="n">
        <x:f>AH405+AJ405-AI405</x:f>
        <x:v>33185870.96510225</x:v>
      </x:c>
      <x:c r="AL405" s="141" t="n">
        <x:f>IF(AG405&gt;1,"Inviavel",AK405)</x:f>
        <x:v>33185870.96510225</x:v>
      </x:c>
      <x:c r="AM405" s="141" t="str">
        <x:f>IF(AG405&gt;1,"Inviavel","OK")</x:f>
        <x:v>OK</x:v>
      </x:c>
      <x:c r="AN405" s="141" t="n">
        <x:f>IF($A405=Premissas!$B$48,Premissas!$B$8,0)</x:f>
        <x:v>0</x:v>
      </x:c>
      <x:c r="AO405" s="141" t="n">
        <x:f>IF($A405&lt;=Premissas!$B$25,INDEX('Consorcio IQ'!$K$6:$K$485,$A405),0)</x:f>
        <x:v>0</x:v>
      </x:c>
      <x:c r="AP405" s="141" t="n">
        <x:f>IF(AND(TRUE,Premissas!$B$11="Imovel",Premissas!$B$47="Moradia",$A405&lt;MAX(Premissas!$B$48,Premissas!$B$49)),$D405,0)</x:f>
        <x:v>0</x:v>
      </x:c>
      <x:c r="AQ405" s="141" t="n">
        <x:f>IF(AND(TRUE,Premissas!$B$11="Imovel",Premissas!$B$47="Investimento",$A405&gt;=MAX(Premissas!$B$48,Premissas!$B$49)),$E405,0)</x:f>
        <x:v>4377.9775249910135</x:v>
      </x:c>
      <x:c r="AR405" s="141" t="n">
        <x:f>AN405+AO405+AP405</x:f>
        <x:v>0</x:v>
      </x:c>
      <x:c r="AS405" s="141" t="n">
        <x:f>AQ405</x:f>
        <x:v>4377.9775249910135</x:v>
      </x:c>
      <x:c r="AT405" s="141" t="n">
        <x:f>$C405+AS405-AR405</x:f>
        <x:v>11377.977524991013</x:v>
      </x:c>
      <x:c r="AU405" s="141" t="n">
        <x:f>AX404*(1+Premissas!$B$41)+AT405</x:f>
        <x:v>31538296.26952087</x:v>
      </x:c>
      <x:c r="AV405" s="141" t="n">
        <x:f>MAX(0,-AU405)</x:f>
        <x:v>0</x:v>
      </x:c>
      <x:c r="AW405" s="141" t="n">
        <x:f>AW404*(1+Premissas!$B$41)+AV405</x:f>
        <x:v>0</x:v>
      </x:c>
      <x:c r="AX405" s="141" t="n">
        <x:f>MAX(0,AU405)</x:f>
        <x:v>31538296.26952087</x:v>
      </x:c>
      <x:c r="AY405" s="141" t="n">
        <x:f>INDEX('Consorcio IQ'!$P$6:$P$485,$A405)</x:f>
        <x:v>0</x:v>
      </x:c>
      <x:c r="AZ405" s="141" t="n">
        <x:f>IF($A405&gt;=Premissas!$B$48,$F405,0)+IF($A405&lt;Premissas!$B$27,INDEX('Consorcio IQ'!$O$6:$O$485,$A405),0)</x:f>
        <x:v>1394950.631486599</x:v>
      </x:c>
      <x:c r="BA405" s="141" t="n">
        <x:f>AX405+AZ405-AY405</x:f>
        <x:v>32933246.90100747</x:v>
      </x:c>
      <x:c r="BB405" s="141" t="n">
        <x:f>IF(AW405&gt;1,"Inviavel",BA405)</x:f>
        <x:v>32933246.90100747</x:v>
      </x:c>
      <x:c r="BC405" s="141" t="str">
        <x:f>IF(AW405&gt;1,"Inviavel","OK")</x:f>
        <x:v>OK</x:v>
      </x:c>
      <x:c r="BD405" s="141" t="n">
        <x:f>IF($A405='Consorcio Direto'!$B$29,'Consorcio Direto'!$B$44,0)</x:f>
        <x:v>0</x:v>
      </x:c>
      <x:c r="BE405" s="141" t="n">
        <x:f>IF($A405&lt;='Consorcio Direto'!$B$27,INDEX('Consorcio Direto'!$E$55:$E$534,$A405),0)</x:f>
        <x:v>0</x:v>
      </x:c>
      <x:c r="BF405" s="141" t="n">
        <x:f>IF(AND(TRUE,Premissas!$B$11="Imovel",Premissas!$B$47="Moradia",$A405&lt;MAX('Consorcio Direto'!$B$29,Premissas!$B$49)),$D405,0)</x:f>
        <x:v>0</x:v>
      </x:c>
      <x:c r="BG405" s="141" t="n">
        <x:f>IF(AND(TRUE,Premissas!$B$11="Imovel",Premissas!$B$47="Investimento",$A405&gt;=MAX('Consorcio Direto'!$B$29,Premissas!$B$49)),$E405,0)</x:f>
        <x:v>4377.9775249910135</x:v>
      </x:c>
      <x:c r="BH405" s="141" t="n">
        <x:f>BD405+BE405+BF405</x:f>
        <x:v>0</x:v>
      </x:c>
      <x:c r="BI405" s="141" t="n">
        <x:f>BG405</x:f>
        <x:v>4377.9775249910135</x:v>
      </x:c>
      <x:c r="BJ405" s="141" t="n">
        <x:f>$C405+BI405-BH405</x:f>
        <x:v>11377.977524991013</x:v>
      </x:c>
      <x:c r="BK405" s="141" t="n">
        <x:f>BN404*(1+Premissas!$B$41)+BJ405</x:f>
        <x:v>30173017.462981332</x:v>
      </x:c>
      <x:c r="BL405" s="141" t="n">
        <x:f>MAX(0,-BK405)</x:f>
        <x:v>0</x:v>
      </x:c>
      <x:c r="BM405" s="141" t="n">
        <x:f>BM404*(1+Premissas!$B$41)+BL405</x:f>
        <x:v>0</x:v>
      </x:c>
      <x:c r="BN405" s="141" t="n">
        <x:f>MAX(0,BK405)</x:f>
        <x:v>30173017.462981332</x:v>
      </x:c>
      <x:c r="BO405" s="141" t="n">
        <x:f>INDEX('Consorcio Direto'!$K$55:$K$534,$A405)</x:f>
        <x:v>0</x:v>
      </x:c>
      <x:c r="BP405" s="141" t="n">
        <x:f>IF($A405&lt;'Consorcio Direto'!$B$29,INDEX('Consorcio Direto'!$L$55:$L$534,$A405),$F405)</x:f>
        <x:v>1394950.631486599</x:v>
      </x:c>
      <x:c r="BQ405" s="141" t="n">
        <x:f>BN405+BP405-BO405</x:f>
        <x:v>31567968.09446793</x:v>
      </x:c>
      <x:c r="BR405" s="141" t="n">
        <x:f>IF(BM405&gt;1,"Inviavel",BQ405)</x:f>
        <x:v>31567968.09446793</x:v>
      </x:c>
      <x:c r="BS405" s="141" t="str">
        <x:f>IF(BM405&gt;1,"Inviavel","OK")</x:f>
        <x:v>OK</x:v>
      </x:c>
      <x:c r="BT405" s="141" t="n">
        <x:f>IF(AND('Carta Contemplada'!$B$22="Sim",$A405='Carta Contemplada'!$B$23),'Carta Contemplada'!$B$37,0)</x:f>
        <x:v>0</x:v>
      </x:c>
      <x:c r="BU405" s="141" t="n">
        <x:f>IF('Carta Contemplada'!$B$22="Sim",INDEX('Carta Contemplada'!$C$55:$C$1013,$A405),0)</x:f>
        <x:v>0</x:v>
      </x:c>
      <x:c r="BV405" s="141" t="n">
        <x:f>IF(AND('Carta Contemplada'!$B$22="Sim",Premissas!$B$11="Imovel",Premissas!$B$47="Moradia",$A405&lt;MAX('Carta Contemplada'!$B$44,Premissas!$B$49)),$D405,0)</x:f>
        <x:v>0</x:v>
      </x:c>
      <x:c r="BW405" s="141" t="n">
        <x:f>IF(AND('Carta Contemplada'!$B$22="Sim",Premissas!$B$11="Imovel",Premissas!$B$47="Investimento",$A405&gt;=MAX('Carta Contemplada'!$B$44,Premissas!$B$49)),$E405,0)</x:f>
        <x:v>4377.9775249910135</x:v>
      </x:c>
      <x:c r="BX405" s="141" t="n">
        <x:f>BT405+BU405+BV405</x:f>
        <x:v>0</x:v>
      </x:c>
      <x:c r="BY405" s="141" t="n">
        <x:f>BW405</x:f>
        <x:v>4377.9775249910135</x:v>
      </x:c>
      <x:c r="BZ405" s="141" t="n">
        <x:f>$C405+BY405-BX405</x:f>
        <x:v>11377.977524991013</x:v>
      </x:c>
      <x:c r="CA405" s="141" t="n">
        <x:f>CD404*(1+Premissas!$B$41)+BZ405</x:f>
        <x:v>32427990.746779166</x:v>
      </x:c>
      <x:c r="CB405" s="141" t="n">
        <x:f>MAX(0,-CA405)</x:f>
        <x:v>0</x:v>
      </x:c>
      <x:c r="CC405" s="141" t="n">
        <x:f>CC404*(1+Premissas!$B$41)+CB405</x:f>
        <x:v>0</x:v>
      </x:c>
      <x:c r="CD405" s="141" t="n">
        <x:f>MAX(0,CA405)</x:f>
        <x:v>32427990.746779166</x:v>
      </x:c>
      <x:c r="CE405" s="141" t="n">
        <x:f>IF(AND('Carta Contemplada'!$B$22="Sim",$A405&gt;='Carta Contemplada'!$B$23),INDEX('Carta Contemplada'!$I$55:$I$1013,$A405),0)</x:f>
        <x:v>0</x:v>
      </x:c>
      <x:c r="CF405" s="141" t="n">
        <x:f>IF(AND('Carta Contemplada'!$B$22="Sim",$A405&gt;='Carta Contemplada'!$B$44),$F405,0)</x:f>
        <x:v>1394950.631486599</x:v>
      </x:c>
      <x:c r="CG405" s="141" t="n">
        <x:f>CD405+CF405-CE405</x:f>
        <x:v>33822941.37826577</x:v>
      </x:c>
      <x:c r="CH405" s="141" t="n">
        <x:f>IF(CC405&gt;1,"Inviavel",CG405)</x:f>
        <x:v>33822941.37826577</x:v>
      </x:c>
      <x:c r="CI405" s="145" t="str">
        <x:f>IF(CC405&gt;1,"Inviavel","OK")</x:f>
        <x:v>OK</x:v>
      </x:c>
    </x:row>
    <x:row r="406">
      <x:c r="A406" s="142" t="n">
        <x:v>402</x:v>
      </x:c>
      <x:c r="B406" s="179" t="n">
        <x:f>EDATE(Premissas!$B$4,A406-1)</x:f>
        <x:v>58746</x:v>
      </x:c>
      <x:c r="C406" s="141" t="n">
        <x:f>IF(A406&lt;=Premissas!$B$39,Premissas!$B$42,0)</x:f>
        <x:v>7000</x:v>
      </x:c>
      <x:c r="D406" s="141" t="n">
        <x:f>Premissas!$B$54*(1+Premissas!$B$57)^INT((A406-1)/12)</x:f>
        <x:v>4788.412917958921</x:v>
      </x:c>
      <x:c r="E406" s="141" t="n">
        <x:f>Premissas!$B$64*(1+Premissas!$B$57)^INT((A406-1)/12)</x:f>
        <x:v>4377.9775249910135</x:v>
      </x:c>
      <x:c r="F406" s="141" t="n">
        <x:f>MAX(0,Premissas!$B$6*(1+Premissas!$B$66)^((A406-1)/12))</x:f>
        <x:v>1401740.624221517</x:v>
      </x:c>
      <x:c r="G406" s="141" t="n">
        <x:f>G405*(1+Premissas!$B$41)+C406</x:f>
        <x:v>36095458.79383486</x:v>
      </x:c>
      <x:c r="H406" s="141" t="n">
        <x:f>IF($A406=Premissas!$B$48,Premissas!$B$8,0)</x:f>
        <x:v>0</x:v>
      </x:c>
      <x:c r="I406" s="141" t="n">
        <x:f>IF(AND($A406&gt;=Premissas!$B$48,$A406-Premissas!$B$48+1&lt;=Premissas!$B$13),INDEX(Financiamento!$J$6:$J$485,$A406-Premissas!$B$48+1),0)</x:f>
        <x:v>599.6331679074583</x:v>
      </x:c>
      <x:c r="J406" s="141" t="n">
        <x:f>IF(AND(TRUE,Premissas!$B$11="Imovel",Premissas!$B$47="Moradia",$A406&lt;MAX(Premissas!$B$48,Premissas!$B$49)),$D406,0)</x:f>
        <x:v>0</x:v>
      </x:c>
      <x:c r="K406" s="141" t="n">
        <x:f>IF(AND(TRUE,Premissas!$B$11="Imovel",Premissas!$B$47="Investimento",$A406&gt;=MAX(Premissas!$B$48,Premissas!$B$49)),$E406,0)</x:f>
        <x:v>4377.9775249910135</x:v>
      </x:c>
      <x:c r="L406" s="141" t="n">
        <x:f>H406+I406+J406</x:f>
        <x:v>599.6331679074583</x:v>
      </x:c>
      <x:c r="M406" s="141" t="n">
        <x:f>K406</x:f>
        <x:v>4377.9775249910135</x:v>
      </x:c>
      <x:c r="N406" s="141" t="n">
        <x:f>$C406+M406-L406</x:f>
        <x:v>10778.344357083555</x:v>
      </x:c>
      <x:c r="O406" s="141" t="n">
        <x:f>R405*(1+Premissas!$B$41)+N406</x:f>
        <x:v>31580934.174404636</x:v>
      </x:c>
      <x:c r="P406" s="141" t="n">
        <x:f>MAX(0,-O406)</x:f>
        <x:v>0</x:v>
      </x:c>
      <x:c r="Q406" s="141" t="n">
        <x:f>Q405*(1+Premissas!$B$41)+P406</x:f>
        <x:v>0</x:v>
      </x:c>
      <x:c r="R406" s="141" t="n">
        <x:f>MAX(0,O406)</x:f>
        <x:v>31580934.174404636</x:v>
      </x:c>
      <x:c r="S406" s="141" t="n">
        <x:f>IF(AND($A406&gt;=Premissas!$B$48,$A406-Premissas!$B$48+1&lt;=Premissas!$B$13),INDEX(Financiamento!$M$6:$M$485,$A406-Premissas!$B$48+1),0)</x:f>
        <x:v>6857.142857142859</x:v>
      </x:c>
      <x:c r="T406" s="141" t="n">
        <x:f>IF($A406&gt;=Premissas!$B$48,$F406,0)</x:f>
        <x:v>1401740.624221517</x:v>
      </x:c>
      <x:c r="U406" s="141" t="n">
        <x:f>R406+T406-S406</x:f>
        <x:v>32975817.655769013</x:v>
      </x:c>
      <x:c r="V406" s="141" t="n">
        <x:f>IF(Q406&gt;1,"Inviavel",U406)</x:f>
        <x:v>32975817.655769013</x:v>
      </x:c>
      <x:c r="W406" s="141" t="str">
        <x:f>IF(Q406&gt;1,"Inviavel","OK")</x:f>
        <x:v>OK</x:v>
      </x:c>
      <x:c r="X406" s="141" t="n">
        <x:f>IF($A406=Premissas!$B$48,Premissas!$B$8,0)</x:f>
        <x:v>0</x:v>
      </x:c>
      <x:c r="Y406" s="141" t="n">
        <x:f>IF(AND($A406&gt;=Premissas!$B$48,$A406-Premissas!$B$48+1&lt;=Premissas!$B$13),INDEX(Amortizacao!$K$6:$K$485,$A406-Premissas!$B$48+1),0)</x:f>
        <x:v>0</x:v>
      </x:c>
      <x:c r="Z406" s="141" t="n">
        <x:f>IF(AND(TRUE,Premissas!$B$11="Imovel",Premissas!$B$47="Moradia",$A406&lt;MAX(Premissas!$B$48,Premissas!$B$49)),$D406,0)</x:f>
        <x:v>0</x:v>
      </x:c>
      <x:c r="AA406" s="141" t="n">
        <x:f>IF(AND(TRUE,Premissas!$B$11="Imovel",Premissas!$B$47="Investimento",$A406&gt;=MAX(Premissas!$B$48,Premissas!$B$49)),$E406,0)</x:f>
        <x:v>4377.9775249910135</x:v>
      </x:c>
      <x:c r="AB406" s="141" t="n">
        <x:f>X406+Y406+Z406</x:f>
        <x:v>0</x:v>
      </x:c>
      <x:c r="AC406" s="141" t="n">
        <x:f>AA406</x:f>
        <x:v>4377.9775249910135</x:v>
      </x:c>
      <x:c r="AD406" s="141" t="n">
        <x:f>$C406+AC406-AB406</x:f>
        <x:v>11377.977524991013</x:v>
      </x:c>
      <x:c r="AE406" s="141" t="n">
        <x:f>AH405*(1+Premissas!$B$41)+AD406</x:f>
        <x:v>32103955.77138615</x:v>
      </x:c>
      <x:c r="AF406" s="141" t="n">
        <x:f>MAX(0,-AE406)</x:f>
        <x:v>0</x:v>
      </x:c>
      <x:c r="AG406" s="141" t="n">
        <x:f>AG405*(1+Premissas!$B$41)+AF406</x:f>
        <x:v>0</x:v>
      </x:c>
      <x:c r="AH406" s="141" t="n">
        <x:f>MAX(0,AE406)</x:f>
        <x:v>32103955.77138615</x:v>
      </x:c>
      <x:c r="AI406" s="141" t="n">
        <x:f>IF(AND($A406&gt;=Premissas!$B$48,$A406-Premissas!$B$48+1&lt;=Premissas!$B$13),INDEX(Amortizacao!$L$6:$L$485,$A406-Premissas!$B$48+1),0)</x:f>
        <x:v>0</x:v>
      </x:c>
      <x:c r="AJ406" s="141" t="n">
        <x:f>IF($A406&gt;=Premissas!$B$48,$F406,0)</x:f>
        <x:v>1401740.624221517</x:v>
      </x:c>
      <x:c r="AK406" s="141" t="n">
        <x:f>AH406+AJ406-AI406</x:f>
        <x:v>33505696.39560767</x:v>
      </x:c>
      <x:c r="AL406" s="141" t="n">
        <x:f>IF(AG406&gt;1,"Inviavel",AK406)</x:f>
        <x:v>33505696.39560767</x:v>
      </x:c>
      <x:c r="AM406" s="141" t="str">
        <x:f>IF(AG406&gt;1,"Inviavel","OK")</x:f>
        <x:v>OK</x:v>
      </x:c>
      <x:c r="AN406" s="141" t="n">
        <x:f>IF($A406=Premissas!$B$48,Premissas!$B$8,0)</x:f>
        <x:v>0</x:v>
      </x:c>
      <x:c r="AO406" s="141" t="n">
        <x:f>IF($A406&lt;=Premissas!$B$25,INDEX('Consorcio IQ'!$K$6:$K$485,$A406),0)</x:f>
        <x:v>0</x:v>
      </x:c>
      <x:c r="AP406" s="141" t="n">
        <x:f>IF(AND(TRUE,Premissas!$B$11="Imovel",Premissas!$B$47="Moradia",$A406&lt;MAX(Premissas!$B$48,Premissas!$B$49)),$D406,0)</x:f>
        <x:v>0</x:v>
      </x:c>
      <x:c r="AQ406" s="141" t="n">
        <x:f>IF(AND(TRUE,Premissas!$B$11="Imovel",Premissas!$B$47="Investimento",$A406&gt;=MAX(Premissas!$B$48,Premissas!$B$49)),$E406,0)</x:f>
        <x:v>4377.9775249910135</x:v>
      </x:c>
      <x:c r="AR406" s="141" t="n">
        <x:f>AN406+AO406+AP406</x:f>
        <x:v>0</x:v>
      </x:c>
      <x:c r="AS406" s="141" t="n">
        <x:f>AQ406</x:f>
        <x:v>4377.9775249910135</x:v>
      </x:c>
      <x:c r="AT406" s="141" t="n">
        <x:f>$C406+AS406-AR406</x:f>
        <x:v>11377.977524991013</x:v>
      </x:c>
      <x:c r="AU406" s="141" t="n">
        <x:f>AX405*(1+Premissas!$B$41)+AT406</x:f>
        <x:v>31848934.60985688</x:v>
      </x:c>
      <x:c r="AV406" s="141" t="n">
        <x:f>MAX(0,-AU406)</x:f>
        <x:v>0</x:v>
      </x:c>
      <x:c r="AW406" s="141" t="n">
        <x:f>AW405*(1+Premissas!$B$41)+AV406</x:f>
        <x:v>0</x:v>
      </x:c>
      <x:c r="AX406" s="141" t="n">
        <x:f>MAX(0,AU406)</x:f>
        <x:v>31848934.60985688</x:v>
      </x:c>
      <x:c r="AY406" s="141" t="n">
        <x:f>INDEX('Consorcio IQ'!$P$6:$P$485,$A406)</x:f>
        <x:v>0</x:v>
      </x:c>
      <x:c r="AZ406" s="141" t="n">
        <x:f>IF($A406&gt;=Premissas!$B$48,$F406,0)+IF($A406&lt;Premissas!$B$27,INDEX('Consorcio IQ'!$O$6:$O$485,$A406),0)</x:f>
        <x:v>1401740.624221517</x:v>
      </x:c>
      <x:c r="BA406" s="141" t="n">
        <x:f>AX406+AZ406-AY406</x:f>
        <x:v>33250675.2340784</x:v>
      </x:c>
      <x:c r="BB406" s="141" t="n">
        <x:f>IF(AW406&gt;1,"Inviavel",BA406)</x:f>
        <x:v>33250675.2340784</x:v>
      </x:c>
      <x:c r="BC406" s="141" t="str">
        <x:f>IF(AW406&gt;1,"Inviavel","OK")</x:f>
        <x:v>OK</x:v>
      </x:c>
      <x:c r="BD406" s="141" t="n">
        <x:f>IF($A406='Consorcio Direto'!$B$29,'Consorcio Direto'!$B$44,0)</x:f>
        <x:v>0</x:v>
      </x:c>
      <x:c r="BE406" s="141" t="n">
        <x:f>IF($A406&lt;='Consorcio Direto'!$B$27,INDEX('Consorcio Direto'!$E$55:$E$534,$A406),0)</x:f>
        <x:v>0</x:v>
      </x:c>
      <x:c r="BF406" s="141" t="n">
        <x:f>IF(AND(TRUE,Premissas!$B$11="Imovel",Premissas!$B$47="Moradia",$A406&lt;MAX('Consorcio Direto'!$B$29,Premissas!$B$49)),$D406,0)</x:f>
        <x:v>0</x:v>
      </x:c>
      <x:c r="BG406" s="141" t="n">
        <x:f>IF(AND(TRUE,Premissas!$B$11="Imovel",Premissas!$B$47="Investimento",$A406&gt;=MAX('Consorcio Direto'!$B$29,Premissas!$B$49)),$E406,0)</x:f>
        <x:v>4377.9775249910135</x:v>
      </x:c>
      <x:c r="BH406" s="141" t="n">
        <x:f>BD406+BE406+BF406</x:f>
        <x:v>0</x:v>
      </x:c>
      <x:c r="BI406" s="141" t="n">
        <x:f>BG406</x:f>
        <x:v>4377.9775249910135</x:v>
      </x:c>
      <x:c r="BJ406" s="141" t="n">
        <x:f>$C406+BI406-BH406</x:f>
        <x:v>11377.977524991013</x:v>
      </x:c>
      <x:c r="BK406" s="141" t="n">
        <x:f>BN405*(1+Premissas!$B$41)+BJ406</x:f>
        <x:v>30470700.95542411</x:v>
      </x:c>
      <x:c r="BL406" s="141" t="n">
        <x:f>MAX(0,-BK406)</x:f>
        <x:v>0</x:v>
      </x:c>
      <x:c r="BM406" s="141" t="n">
        <x:f>BM405*(1+Premissas!$B$41)+BL406</x:f>
        <x:v>0</x:v>
      </x:c>
      <x:c r="BN406" s="141" t="n">
        <x:f>MAX(0,BK406)</x:f>
        <x:v>30470700.95542411</x:v>
      </x:c>
      <x:c r="BO406" s="141" t="n">
        <x:f>INDEX('Consorcio Direto'!$K$55:$K$534,$A406)</x:f>
        <x:v>0</x:v>
      </x:c>
      <x:c r="BP406" s="141" t="n">
        <x:f>IF($A406&lt;'Consorcio Direto'!$B$29,INDEX('Consorcio Direto'!$L$55:$L$534,$A406),$F406)</x:f>
        <x:v>1401740.624221517</x:v>
      </x:c>
      <x:c r="BQ406" s="141" t="n">
        <x:f>BN406+BP406-BO406</x:f>
        <x:v>31872441.57964563</x:v>
      </x:c>
      <x:c r="BR406" s="141" t="n">
        <x:f>IF(BM406&gt;1,"Inviavel",BQ406)</x:f>
        <x:v>31872441.57964563</x:v>
      </x:c>
      <x:c r="BS406" s="141" t="str">
        <x:f>IF(BM406&gt;1,"Inviavel","OK")</x:f>
        <x:v>OK</x:v>
      </x:c>
      <x:c r="BT406" s="141" t="n">
        <x:f>IF(AND('Carta Contemplada'!$B$22="Sim",$A406='Carta Contemplada'!$B$23),'Carta Contemplada'!$B$37,0)</x:f>
        <x:v>0</x:v>
      </x:c>
      <x:c r="BU406" s="141" t="n">
        <x:f>IF('Carta Contemplada'!$B$22="Sim",INDEX('Carta Contemplada'!$C$55:$C$1013,$A406),0)</x:f>
        <x:v>0</x:v>
      </x:c>
      <x:c r="BV406" s="141" t="n">
        <x:f>IF(AND('Carta Contemplada'!$B$22="Sim",Premissas!$B$11="Imovel",Premissas!$B$47="Moradia",$A406&lt;MAX('Carta Contemplada'!$B$44,Premissas!$B$49)),$D406,0)</x:f>
        <x:v>0</x:v>
      </x:c>
      <x:c r="BW406" s="141" t="n">
        <x:f>IF(AND('Carta Contemplada'!$B$22="Sim",Premissas!$B$11="Imovel",Premissas!$B$47="Investimento",$A406&gt;=MAX('Carta Contemplada'!$B$44,Premissas!$B$49)),$E406,0)</x:f>
        <x:v>4377.9775249910135</x:v>
      </x:c>
      <x:c r="BX406" s="141" t="n">
        <x:f>BT406+BU406+BV406</x:f>
        <x:v>0</x:v>
      </x:c>
      <x:c r="BY406" s="141" t="n">
        <x:f>BW406</x:f>
        <x:v>4377.9775249910135</x:v>
      </x:c>
      <x:c r="BZ406" s="141" t="n">
        <x:f>$C406+BY406-BX406</x:f>
        <x:v>11377.977524991013</x:v>
      </x:c>
      <x:c r="CA406" s="141" t="n">
        <x:f>CD405*(1+Premissas!$B$41)+BZ406</x:f>
        <x:v>32747071.213784922</x:v>
      </x:c>
      <x:c r="CB406" s="141" t="n">
        <x:f>MAX(0,-CA406)</x:f>
        <x:v>0</x:v>
      </x:c>
      <x:c r="CC406" s="141" t="n">
        <x:f>CC405*(1+Premissas!$B$41)+CB406</x:f>
        <x:v>0</x:v>
      </x:c>
      <x:c r="CD406" s="141" t="n">
        <x:f>MAX(0,CA406)</x:f>
        <x:v>32747071.213784922</x:v>
      </x:c>
      <x:c r="CE406" s="141" t="n">
        <x:f>IF(AND('Carta Contemplada'!$B$22="Sim",$A406&gt;='Carta Contemplada'!$B$23),INDEX('Carta Contemplada'!$I$55:$I$1013,$A406),0)</x:f>
        <x:v>0</x:v>
      </x:c>
      <x:c r="CF406" s="141" t="n">
        <x:f>IF(AND('Carta Contemplada'!$B$22="Sim",$A406&gt;='Carta Contemplada'!$B$44),$F406,0)</x:f>
        <x:v>1401740.624221517</x:v>
      </x:c>
      <x:c r="CG406" s="141" t="n">
        <x:f>CD406+CF406-CE406</x:f>
        <x:v>34148811.83800644</x:v>
      </x:c>
      <x:c r="CH406" s="141" t="n">
        <x:f>IF(CC406&gt;1,"Inviavel",CG406)</x:f>
        <x:v>34148811.83800644</x:v>
      </x:c>
      <x:c r="CI406" s="145" t="str">
        <x:f>IF(CC406&gt;1,"Inviavel","OK")</x:f>
        <x:v>OK</x:v>
      </x:c>
    </x:row>
    <x:row r="407">
      <x:c r="A407" s="142" t="n">
        <x:v>403</x:v>
      </x:c>
      <x:c r="B407" s="179" t="n">
        <x:f>EDATE(Premissas!$B$4,A407-1)</x:f>
        <x:v>58776</x:v>
      </x:c>
      <x:c r="C407" s="141" t="n">
        <x:f>IF(A407&lt;=Premissas!$B$39,Premissas!$B$42,0)</x:f>
        <x:v>7000</x:v>
      </x:c>
      <x:c r="D407" s="141" t="n">
        <x:f>Premissas!$B$54*(1+Premissas!$B$57)^INT((A407-1)/12)</x:f>
        <x:v>4788.412917958921</x:v>
      </x:c>
      <x:c r="E407" s="141" t="n">
        <x:f>Premissas!$B$64*(1+Premissas!$B$57)^INT((A407-1)/12)</x:f>
        <x:v>4377.9775249910135</x:v>
      </x:c>
      <x:c r="F407" s="141" t="n">
        <x:f>MAX(0,Premissas!$B$6*(1+Premissas!$B$66)^((A407-1)/12))</x:f>
        <x:v>1408563.667589411</x:v>
      </x:c>
      <x:c r="G407" s="141" t="n">
        <x:f>G406*(1+Premissas!$B$41)+C407</x:f>
        <x:v>36444961.12820833</x:v>
      </x:c>
      <x:c r="H407" s="141" t="n">
        <x:f>IF($A407=Premissas!$B$48,Premissas!$B$8,0)</x:f>
        <x:v>0</x:v>
      </x:c>
      <x:c r="I407" s="141" t="n">
        <x:f>IF(AND($A407&gt;=Premissas!$B$48,$A407-Premissas!$B$48+1&lt;=Premissas!$B$13),INDEX(Financiamento!$J$6:$J$485,$A407-Premissas!$B$48+1),0)</x:f>
        <x:v>596.0183896466648</x:v>
      </x:c>
      <x:c r="J407" s="141" t="n">
        <x:f>IF(AND(TRUE,Premissas!$B$11="Imovel",Premissas!$B$47="Moradia",$A407&lt;MAX(Premissas!$B$48,Premissas!$B$49)),$D407,0)</x:f>
        <x:v>0</x:v>
      </x:c>
      <x:c r="K407" s="141" t="n">
        <x:f>IF(AND(TRUE,Premissas!$B$11="Imovel",Premissas!$B$47="Investimento",$A407&gt;=MAX(Premissas!$B$48,Premissas!$B$49)),$E407,0)</x:f>
        <x:v>4377.9775249910135</x:v>
      </x:c>
      <x:c r="L407" s="141" t="n">
        <x:f>H407+I407+J407</x:f>
        <x:v>596.0183896466648</x:v>
      </x:c>
      <x:c r="M407" s="141" t="n">
        <x:f>K407</x:f>
        <x:v>4377.9775249910135</x:v>
      </x:c>
      <x:c r="N407" s="141" t="n">
        <x:f>$C407+M407-L407</x:f>
        <x:v>10781.959135344348</x:v>
      </x:c>
      <x:c r="O407" s="141" t="n">
        <x:f>R406*(1+Premissas!$B$41)+N407</x:f>
        <x:v>31891381.078601606</x:v>
      </x:c>
      <x:c r="P407" s="141" t="n">
        <x:f>MAX(0,-O407)</x:f>
        <x:v>0</x:v>
      </x:c>
      <x:c r="Q407" s="141" t="n">
        <x:f>Q406*(1+Premissas!$B$41)+P407</x:f>
        <x:v>0</x:v>
      </x:c>
      <x:c r="R407" s="141" t="n">
        <x:f>MAX(0,O407)</x:f>
        <x:v>31891381.078601606</x:v>
      </x:c>
      <x:c r="S407" s="141" t="n">
        <x:f>IF(AND($A407&gt;=Premissas!$B$48,$A407-Premissas!$B$48+1&lt;=Premissas!$B$13),INDEX(Financiamento!$M$6:$M$485,$A407-Premissas!$B$48+1),0)</x:f>
        <x:v>6476.190476190478</x:v>
      </x:c>
      <x:c r="T407" s="141" t="n">
        <x:f>IF($A407&gt;=Premissas!$B$48,$F407,0)</x:f>
        <x:v>1408563.667589411</x:v>
      </x:c>
      <x:c r="U407" s="141" t="n">
        <x:f>R407+T407-S407</x:f>
        <x:v>33293468.555714827</x:v>
      </x:c>
      <x:c r="V407" s="141" t="n">
        <x:f>IF(Q407&gt;1,"Inviavel",U407)</x:f>
        <x:v>33293468.555714827</x:v>
      </x:c>
      <x:c r="W407" s="141" t="str">
        <x:f>IF(Q407&gt;1,"Inviavel","OK")</x:f>
        <x:v>OK</x:v>
      </x:c>
      <x:c r="X407" s="141" t="n">
        <x:f>IF($A407=Premissas!$B$48,Premissas!$B$8,0)</x:f>
        <x:v>0</x:v>
      </x:c>
      <x:c r="Y407" s="141" t="n">
        <x:f>IF(AND($A407&gt;=Premissas!$B$48,$A407-Premissas!$B$48+1&lt;=Premissas!$B$13),INDEX(Amortizacao!$K$6:$K$485,$A407-Premissas!$B$48+1),0)</x:f>
        <x:v>0</x:v>
      </x:c>
      <x:c r="Z407" s="141" t="n">
        <x:f>IF(AND(TRUE,Premissas!$B$11="Imovel",Premissas!$B$47="Moradia",$A407&lt;MAX(Premissas!$B$48,Premissas!$B$49)),$D407,0)</x:f>
        <x:v>0</x:v>
      </x:c>
      <x:c r="AA407" s="141" t="n">
        <x:f>IF(AND(TRUE,Premissas!$B$11="Imovel",Premissas!$B$47="Investimento",$A407&gt;=MAX(Premissas!$B$48,Premissas!$B$49)),$E407,0)</x:f>
        <x:v>4377.9775249910135</x:v>
      </x:c>
      <x:c r="AB407" s="141" t="n">
        <x:f>X407+Y407+Z407</x:f>
        <x:v>0</x:v>
      </x:c>
      <x:c r="AC407" s="141" t="n">
        <x:f>AA407</x:f>
        <x:v>4377.9775249910135</x:v>
      </x:c>
      <x:c r="AD407" s="141" t="n">
        <x:f>$C407+AC407-AB407</x:f>
        <x:v>11377.977524991013</x:v>
      </x:c>
      <x:c r="AE407" s="141" t="n">
        <x:f>AH406*(1+Premissas!$B$41)+AD407</x:f>
        <x:v>32419961.53760684</x:v>
      </x:c>
      <x:c r="AF407" s="141" t="n">
        <x:f>MAX(0,-AE407)</x:f>
        <x:v>0</x:v>
      </x:c>
      <x:c r="AG407" s="141" t="n">
        <x:f>AG406*(1+Premissas!$B$41)+AF407</x:f>
        <x:v>0</x:v>
      </x:c>
      <x:c r="AH407" s="141" t="n">
        <x:f>MAX(0,AE407)</x:f>
        <x:v>32419961.53760684</x:v>
      </x:c>
      <x:c r="AI407" s="141" t="n">
        <x:f>IF(AND($A407&gt;=Premissas!$B$48,$A407-Premissas!$B$48+1&lt;=Premissas!$B$13),INDEX(Amortizacao!$L$6:$L$485,$A407-Premissas!$B$48+1),0)</x:f>
        <x:v>0</x:v>
      </x:c>
      <x:c r="AJ407" s="141" t="n">
        <x:f>IF($A407&gt;=Premissas!$B$48,$F407,0)</x:f>
        <x:v>1408563.667589411</x:v>
      </x:c>
      <x:c r="AK407" s="141" t="n">
        <x:f>AH407+AJ407-AI407</x:f>
        <x:v>33828525.20519625</x:v>
      </x:c>
      <x:c r="AL407" s="141" t="n">
        <x:f>IF(AG407&gt;1,"Inviavel",AK407)</x:f>
        <x:v>33828525.20519625</x:v>
      </x:c>
      <x:c r="AM407" s="141" t="str">
        <x:f>IF(AG407&gt;1,"Inviavel","OK")</x:f>
        <x:v>OK</x:v>
      </x:c>
      <x:c r="AN407" s="141" t="n">
        <x:f>IF($A407=Premissas!$B$48,Premissas!$B$8,0)</x:f>
        <x:v>0</x:v>
      </x:c>
      <x:c r="AO407" s="141" t="n">
        <x:f>IF($A407&lt;=Premissas!$B$25,INDEX('Consorcio IQ'!$K$6:$K$485,$A407),0)</x:f>
        <x:v>0</x:v>
      </x:c>
      <x:c r="AP407" s="141" t="n">
        <x:f>IF(AND(TRUE,Premissas!$B$11="Imovel",Premissas!$B$47="Moradia",$A407&lt;MAX(Premissas!$B$48,Premissas!$B$49)),$D407,0)</x:f>
        <x:v>0</x:v>
      </x:c>
      <x:c r="AQ407" s="141" t="n">
        <x:f>IF(AND(TRUE,Premissas!$B$11="Imovel",Premissas!$B$47="Investimento",$A407&gt;=MAX(Premissas!$B$48,Premissas!$B$49)),$E407,0)</x:f>
        <x:v>4377.9775249910135</x:v>
      </x:c>
      <x:c r="AR407" s="141" t="n">
        <x:f>AN407+AO407+AP407</x:f>
        <x:v>0</x:v>
      </x:c>
      <x:c r="AS407" s="141" t="n">
        <x:f>AQ407</x:f>
        <x:v>4377.9775249910135</x:v>
      </x:c>
      <x:c r="AT407" s="141" t="n">
        <x:f>$C407+AS407-AR407</x:f>
        <x:v>11377.977524991013</x:v>
      </x:c>
      <x:c r="AU407" s="141" t="n">
        <x:f>AX406*(1+Premissas!$B$41)+AT407</x:f>
        <x:v>32162520.53308188</x:v>
      </x:c>
      <x:c r="AV407" s="141" t="n">
        <x:f>MAX(0,-AU407)</x:f>
        <x:v>0</x:v>
      </x:c>
      <x:c r="AW407" s="141" t="n">
        <x:f>AW406*(1+Premissas!$B$41)+AV407</x:f>
        <x:v>0</x:v>
      </x:c>
      <x:c r="AX407" s="141" t="n">
        <x:f>MAX(0,AU407)</x:f>
        <x:v>32162520.53308188</x:v>
      </x:c>
      <x:c r="AY407" s="141" t="n">
        <x:f>INDEX('Consorcio IQ'!$P$6:$P$485,$A407)</x:f>
        <x:v>0</x:v>
      </x:c>
      <x:c r="AZ407" s="141" t="n">
        <x:f>IF($A407&gt;=Premissas!$B$48,$F407,0)+IF($A407&lt;Premissas!$B$27,INDEX('Consorcio IQ'!$O$6:$O$485,$A407),0)</x:f>
        <x:v>1408563.667589411</x:v>
      </x:c>
      <x:c r="BA407" s="141" t="n">
        <x:f>AX407+AZ407-AY407</x:f>
        <x:v>33571084.20067129</x:v>
      </x:c>
      <x:c r="BB407" s="141" t="n">
        <x:f>IF(AW407&gt;1,"Inviavel",BA407)</x:f>
        <x:v>33571084.20067129</x:v>
      </x:c>
      <x:c r="BC407" s="141" t="str">
        <x:f>IF(AW407&gt;1,"Inviavel","OK")</x:f>
        <x:v>OK</x:v>
      </x:c>
      <x:c r="BD407" s="141" t="n">
        <x:f>IF($A407='Consorcio Direto'!$B$29,'Consorcio Direto'!$B$44,0)</x:f>
        <x:v>0</x:v>
      </x:c>
      <x:c r="BE407" s="141" t="n">
        <x:f>IF($A407&lt;='Consorcio Direto'!$B$27,INDEX('Consorcio Direto'!$E$55:$E$534,$A407),0)</x:f>
        <x:v>0</x:v>
      </x:c>
      <x:c r="BF407" s="141" t="n">
        <x:f>IF(AND(TRUE,Premissas!$B$11="Imovel",Premissas!$B$47="Moradia",$A407&lt;MAX('Consorcio Direto'!$B$29,Premissas!$B$49)),$D407,0)</x:f>
        <x:v>0</x:v>
      </x:c>
      <x:c r="BG407" s="141" t="n">
        <x:f>IF(AND(TRUE,Premissas!$B$11="Imovel",Premissas!$B$47="Investimento",$A407&gt;=MAX('Consorcio Direto'!$B$29,Premissas!$B$49)),$E407,0)</x:f>
        <x:v>4377.9775249910135</x:v>
      </x:c>
      <x:c r="BH407" s="141" t="n">
        <x:f>BD407+BE407+BF407</x:f>
        <x:v>0</x:v>
      </x:c>
      <x:c r="BI407" s="141" t="n">
        <x:f>BG407</x:f>
        <x:v>4377.9775249910135</x:v>
      </x:c>
      <x:c r="BJ407" s="141" t="n">
        <x:f>$C407+BI407-BH407</x:f>
        <x:v>11377.977524991013</x:v>
      </x:c>
      <x:c r="BK407" s="141" t="n">
        <x:f>BN406*(1+Premissas!$B$41)+BJ407</x:f>
        <x:v>30771209.104886726</x:v>
      </x:c>
      <x:c r="BL407" s="141" t="n">
        <x:f>MAX(0,-BK407)</x:f>
        <x:v>0</x:v>
      </x:c>
      <x:c r="BM407" s="141" t="n">
        <x:f>BM406*(1+Premissas!$B$41)+BL407</x:f>
        <x:v>0</x:v>
      </x:c>
      <x:c r="BN407" s="141" t="n">
        <x:f>MAX(0,BK407)</x:f>
        <x:v>30771209.104886726</x:v>
      </x:c>
      <x:c r="BO407" s="141" t="n">
        <x:f>INDEX('Consorcio Direto'!$K$55:$K$534,$A407)</x:f>
        <x:v>0</x:v>
      </x:c>
      <x:c r="BP407" s="141" t="n">
        <x:f>IF($A407&lt;'Consorcio Direto'!$B$29,INDEX('Consorcio Direto'!$L$55:$L$534,$A407),$F407)</x:f>
        <x:v>1408563.667589411</x:v>
      </x:c>
      <x:c r="BQ407" s="141" t="n">
        <x:f>BN407+BP407-BO407</x:f>
        <x:v>32179772.772476137</x:v>
      </x:c>
      <x:c r="BR407" s="141" t="n">
        <x:f>IF(BM407&gt;1,"Inviavel",BQ407)</x:f>
        <x:v>32179772.772476137</x:v>
      </x:c>
      <x:c r="BS407" s="141" t="str">
        <x:f>IF(BM407&gt;1,"Inviavel","OK")</x:f>
        <x:v>OK</x:v>
      </x:c>
      <x:c r="BT407" s="141" t="n">
        <x:f>IF(AND('Carta Contemplada'!$B$22="Sim",$A407='Carta Contemplada'!$B$23),'Carta Contemplada'!$B$37,0)</x:f>
        <x:v>0</x:v>
      </x:c>
      <x:c r="BU407" s="141" t="n">
        <x:f>IF('Carta Contemplada'!$B$22="Sim",INDEX('Carta Contemplada'!$C$55:$C$1013,$A407),0)</x:f>
        <x:v>0</x:v>
      </x:c>
      <x:c r="BV407" s="141" t="n">
        <x:f>IF(AND('Carta Contemplada'!$B$22="Sim",Premissas!$B$11="Imovel",Premissas!$B$47="Moradia",$A407&lt;MAX('Carta Contemplada'!$B$44,Premissas!$B$49)),$D407,0)</x:f>
        <x:v>0</x:v>
      </x:c>
      <x:c r="BW407" s="141" t="n">
        <x:f>IF(AND('Carta Contemplada'!$B$22="Sim",Premissas!$B$11="Imovel",Premissas!$B$47="Investimento",$A407&gt;=MAX('Carta Contemplada'!$B$44,Premissas!$B$49)),$E407,0)</x:f>
        <x:v>4377.9775249910135</x:v>
      </x:c>
      <x:c r="BX407" s="141" t="n">
        <x:f>BT407+BU407+BV407</x:f>
        <x:v>0</x:v>
      </x:c>
      <x:c r="BY407" s="141" t="n">
        <x:f>BW407</x:f>
        <x:v>4377.9775249910135</x:v>
      </x:c>
      <x:c r="BZ407" s="141" t="n">
        <x:f>$C407+BY407-BX407</x:f>
        <x:v>11377.977524991013</x:v>
      </x:c>
      <x:c r="CA407" s="141" t="n">
        <x:f>CD406*(1+Premissas!$B$41)+BZ407</x:f>
        <x:v>33069179.369271565</x:v>
      </x:c>
      <x:c r="CB407" s="141" t="n">
        <x:f>MAX(0,-CA407)</x:f>
        <x:v>0</x:v>
      </x:c>
      <x:c r="CC407" s="141" t="n">
        <x:f>CC406*(1+Premissas!$B$41)+CB407</x:f>
        <x:v>0</x:v>
      </x:c>
      <x:c r="CD407" s="141" t="n">
        <x:f>MAX(0,CA407)</x:f>
        <x:v>33069179.369271565</x:v>
      </x:c>
      <x:c r="CE407" s="141" t="n">
        <x:f>IF(AND('Carta Contemplada'!$B$22="Sim",$A407&gt;='Carta Contemplada'!$B$23),INDEX('Carta Contemplada'!$I$55:$I$1013,$A407),0)</x:f>
        <x:v>0</x:v>
      </x:c>
      <x:c r="CF407" s="141" t="n">
        <x:f>IF(AND('Carta Contemplada'!$B$22="Sim",$A407&gt;='Carta Contemplada'!$B$44),$F407,0)</x:f>
        <x:v>1408563.667589411</x:v>
      </x:c>
      <x:c r="CG407" s="141" t="n">
        <x:f>CD407+CF407-CE407</x:f>
        <x:v>34477743.03686097</x:v>
      </x:c>
      <x:c r="CH407" s="141" t="n">
        <x:f>IF(CC407&gt;1,"Inviavel",CG407)</x:f>
        <x:v>34477743.03686097</x:v>
      </x:c>
      <x:c r="CI407" s="145" t="str">
        <x:f>IF(CC407&gt;1,"Inviavel","OK")</x:f>
        <x:v>OK</x:v>
      </x:c>
    </x:row>
    <x:row r="408">
      <x:c r="A408" s="142" t="n">
        <x:v>404</x:v>
      </x:c>
      <x:c r="B408" s="179" t="n">
        <x:f>EDATE(Premissas!$B$4,A408-1)</x:f>
        <x:v>58807</x:v>
      </x:c>
      <x:c r="C408" s="141" t="n">
        <x:f>IF(A408&lt;=Premissas!$B$39,Premissas!$B$42,0)</x:f>
        <x:v>7000</x:v>
      </x:c>
      <x:c r="D408" s="141" t="n">
        <x:f>Premissas!$B$54*(1+Premissas!$B$57)^INT((A408-1)/12)</x:f>
        <x:v>4788.412917958921</x:v>
      </x:c>
      <x:c r="E408" s="141" t="n">
        <x:f>Premissas!$B$64*(1+Premissas!$B$57)^INT((A408-1)/12)</x:f>
        <x:v>4377.9775249910135</x:v>
      </x:c>
      <x:c r="F408" s="141" t="n">
        <x:f>MAX(0,Premissas!$B$6*(1+Premissas!$B$66)^((A408-1)/12))</x:f>
        <x:v>1415419.9224659076</x:v>
      </x:c>
      <x:c r="G408" s="141" t="n">
        <x:f>G407*(1+Premissas!$B$41)+C408</x:f>
        <x:v>36797779.81786283</x:v>
      </x:c>
      <x:c r="H408" s="141" t="n">
        <x:f>IF($A408=Premissas!$B$48,Premissas!$B$8,0)</x:f>
        <x:v>0</x:v>
      </x:c>
      <x:c r="I408" s="141" t="n">
        <x:f>IF(AND($A408&gt;=Premissas!$B$48,$A408-Premissas!$B$48+1&lt;=Premissas!$B$13),INDEX(Financiamento!$J$6:$J$485,$A408-Premissas!$B$48+1),0)</x:f>
        <x:v>592.4036113858713</x:v>
      </x:c>
      <x:c r="J408" s="141" t="n">
        <x:f>IF(AND(TRUE,Premissas!$B$11="Imovel",Premissas!$B$47="Moradia",$A408&lt;MAX(Premissas!$B$48,Premissas!$B$49)),$D408,0)</x:f>
        <x:v>0</x:v>
      </x:c>
      <x:c r="K408" s="141" t="n">
        <x:f>IF(AND(TRUE,Premissas!$B$11="Imovel",Premissas!$B$47="Investimento",$A408&gt;=MAX(Premissas!$B$48,Premissas!$B$49)),$E408,0)</x:f>
        <x:v>4377.9775249910135</x:v>
      </x:c>
      <x:c r="L408" s="141" t="n">
        <x:f>H408+I408+J408</x:f>
        <x:v>592.4036113858713</x:v>
      </x:c>
      <x:c r="M408" s="141" t="n">
        <x:f>K408</x:f>
        <x:v>4377.9775249910135</x:v>
      </x:c>
      <x:c r="N408" s="141" t="n">
        <x:f>$C408+M408-L408</x:f>
        <x:v>10785.573913605142</x:v>
      </x:c>
      <x:c r="O408" s="141" t="n">
        <x:f>R407*(1+Premissas!$B$41)+N408</x:f>
        <x:v>32204777.36396794</x:v>
      </x:c>
      <x:c r="P408" s="141" t="n">
        <x:f>MAX(0,-O408)</x:f>
        <x:v>0</x:v>
      </x:c>
      <x:c r="Q408" s="141" t="n">
        <x:f>Q407*(1+Premissas!$B$41)+P408</x:f>
        <x:v>0</x:v>
      </x:c>
      <x:c r="R408" s="141" t="n">
        <x:f>MAX(0,O408)</x:f>
        <x:v>32204777.36396794</x:v>
      </x:c>
      <x:c r="S408" s="141" t="n">
        <x:f>IF(AND($A408&gt;=Premissas!$B$48,$A408-Premissas!$B$48+1&lt;=Premissas!$B$13),INDEX(Financiamento!$M$6:$M$485,$A408-Premissas!$B$48+1),0)</x:f>
        <x:v>6095.238095238097</x:v>
      </x:c>
      <x:c r="T408" s="141" t="n">
        <x:f>IF($A408&gt;=Premissas!$B$48,$F408,0)</x:f>
        <x:v>1415419.9224659076</x:v>
      </x:c>
      <x:c r="U408" s="141" t="n">
        <x:f>R408+T408-S408</x:f>
        <x:v>33614102.04833861</x:v>
      </x:c>
      <x:c r="V408" s="141" t="n">
        <x:f>IF(Q408&gt;1,"Inviavel",U408)</x:f>
        <x:v>33614102.04833861</x:v>
      </x:c>
      <x:c r="W408" s="141" t="str">
        <x:f>IF(Q408&gt;1,"Inviavel","OK")</x:f>
        <x:v>OK</x:v>
      </x:c>
      <x:c r="X408" s="141" t="n">
        <x:f>IF($A408=Premissas!$B$48,Premissas!$B$8,0)</x:f>
        <x:v>0</x:v>
      </x:c>
      <x:c r="Y408" s="141" t="n">
        <x:f>IF(AND($A408&gt;=Premissas!$B$48,$A408-Premissas!$B$48+1&lt;=Premissas!$B$13),INDEX(Amortizacao!$K$6:$K$485,$A408-Premissas!$B$48+1),0)</x:f>
        <x:v>0</x:v>
      </x:c>
      <x:c r="Z408" s="141" t="n">
        <x:f>IF(AND(TRUE,Premissas!$B$11="Imovel",Premissas!$B$47="Moradia",$A408&lt;MAX(Premissas!$B$48,Premissas!$B$49)),$D408,0)</x:f>
        <x:v>0</x:v>
      </x:c>
      <x:c r="AA408" s="141" t="n">
        <x:f>IF(AND(TRUE,Premissas!$B$11="Imovel",Premissas!$B$47="Investimento",$A408&gt;=MAX(Premissas!$B$48,Premissas!$B$49)),$E408,0)</x:f>
        <x:v>4377.9775249910135</x:v>
      </x:c>
      <x:c r="AB408" s="141" t="n">
        <x:f>X408+Y408+Z408</x:f>
        <x:v>0</x:v>
      </x:c>
      <x:c r="AC408" s="141" t="n">
        <x:f>AA408</x:f>
        <x:v>4377.9775249910135</x:v>
      </x:c>
      <x:c r="AD408" s="141" t="n">
        <x:f>$C408+AC408-AB408</x:f>
        <x:v>11377.977524991013</x:v>
      </x:c>
      <x:c r="AE408" s="141" t="n">
        <x:f>AH407*(1+Premissas!$B$41)+AD408</x:f>
        <x:v>32738965.817109328</x:v>
      </x:c>
      <x:c r="AF408" s="141" t="n">
        <x:f>MAX(0,-AE408)</x:f>
        <x:v>0</x:v>
      </x:c>
      <x:c r="AG408" s="141" t="n">
        <x:f>AG407*(1+Premissas!$B$41)+AF408</x:f>
        <x:v>0</x:v>
      </x:c>
      <x:c r="AH408" s="141" t="n">
        <x:f>MAX(0,AE408)</x:f>
        <x:v>32738965.817109328</x:v>
      </x:c>
      <x:c r="AI408" s="141" t="n">
        <x:f>IF(AND($A408&gt;=Premissas!$B$48,$A408-Premissas!$B$48+1&lt;=Premissas!$B$13),INDEX(Amortizacao!$L$6:$L$485,$A408-Premissas!$B$48+1),0)</x:f>
        <x:v>0</x:v>
      </x:c>
      <x:c r="AJ408" s="141" t="n">
        <x:f>IF($A408&gt;=Premissas!$B$48,$F408,0)</x:f>
        <x:v>1415419.9224659076</x:v>
      </x:c>
      <x:c r="AK408" s="141" t="n">
        <x:f>AH408+AJ408-AI408</x:f>
        <x:v>34154385.73957524</x:v>
      </x:c>
      <x:c r="AL408" s="141" t="n">
        <x:f>IF(AG408&gt;1,"Inviavel",AK408)</x:f>
        <x:v>34154385.73957524</x:v>
      </x:c>
      <x:c r="AM408" s="141" t="str">
        <x:f>IF(AG408&gt;1,"Inviavel","OK")</x:f>
        <x:v>OK</x:v>
      </x:c>
      <x:c r="AN408" s="141" t="n">
        <x:f>IF($A408=Premissas!$B$48,Premissas!$B$8,0)</x:f>
        <x:v>0</x:v>
      </x:c>
      <x:c r="AO408" s="141" t="n">
        <x:f>IF($A408&lt;=Premissas!$B$25,INDEX('Consorcio IQ'!$K$6:$K$485,$A408),0)</x:f>
        <x:v>0</x:v>
      </x:c>
      <x:c r="AP408" s="141" t="n">
        <x:f>IF(AND(TRUE,Premissas!$B$11="Imovel",Premissas!$B$47="Moradia",$A408&lt;MAX(Premissas!$B$48,Premissas!$B$49)),$D408,0)</x:f>
        <x:v>0</x:v>
      </x:c>
      <x:c r="AQ408" s="141" t="n">
        <x:f>IF(AND(TRUE,Premissas!$B$11="Imovel",Premissas!$B$47="Investimento",$A408&gt;=MAX(Premissas!$B$48,Premissas!$B$49)),$E408,0)</x:f>
        <x:v>4377.9775249910135</x:v>
      </x:c>
      <x:c r="AR408" s="141" t="n">
        <x:f>AN408+AO408+AP408</x:f>
        <x:v>0</x:v>
      </x:c>
      <x:c r="AS408" s="141" t="n">
        <x:f>AQ408</x:f>
        <x:v>4377.9775249910135</x:v>
      </x:c>
      <x:c r="AT408" s="141" t="n">
        <x:f>$C408+AS408-AR408</x:f>
        <x:v>11377.977524991013</x:v>
      </x:c>
      <x:c r="AU408" s="141" t="n">
        <x:f>AX407*(1+Premissas!$B$41)+AT408</x:f>
        <x:v>32479082.008199565</x:v>
      </x:c>
      <x:c r="AV408" s="141" t="n">
        <x:f>MAX(0,-AU408)</x:f>
        <x:v>0</x:v>
      </x:c>
      <x:c r="AW408" s="141" t="n">
        <x:f>AW407*(1+Premissas!$B$41)+AV408</x:f>
        <x:v>0</x:v>
      </x:c>
      <x:c r="AX408" s="141" t="n">
        <x:f>MAX(0,AU408)</x:f>
        <x:v>32479082.008199565</x:v>
      </x:c>
      <x:c r="AY408" s="141" t="n">
        <x:f>INDEX('Consorcio IQ'!$P$6:$P$485,$A408)</x:f>
        <x:v>0</x:v>
      </x:c>
      <x:c r="AZ408" s="141" t="n">
        <x:f>IF($A408&gt;=Premissas!$B$48,$F408,0)+IF($A408&lt;Premissas!$B$27,INDEX('Consorcio IQ'!$O$6:$O$485,$A408),0)</x:f>
        <x:v>1415419.9224659076</x:v>
      </x:c>
      <x:c r="BA408" s="141" t="n">
        <x:f>AX408+AZ408-AY408</x:f>
        <x:v>33894501.93066547</x:v>
      </x:c>
      <x:c r="BB408" s="141" t="n">
        <x:f>IF(AW408&gt;1,"Inviavel",BA408)</x:f>
        <x:v>33894501.93066547</x:v>
      </x:c>
      <x:c r="BC408" s="141" t="str">
        <x:f>IF(AW408&gt;1,"Inviavel","OK")</x:f>
        <x:v>OK</x:v>
      </x:c>
      <x:c r="BD408" s="141" t="n">
        <x:f>IF($A408='Consorcio Direto'!$B$29,'Consorcio Direto'!$B$44,0)</x:f>
        <x:v>0</x:v>
      </x:c>
      <x:c r="BE408" s="141" t="n">
        <x:f>IF($A408&lt;='Consorcio Direto'!$B$27,INDEX('Consorcio Direto'!$E$55:$E$534,$A408),0)</x:f>
        <x:v>0</x:v>
      </x:c>
      <x:c r="BF408" s="141" t="n">
        <x:f>IF(AND(TRUE,Premissas!$B$11="Imovel",Premissas!$B$47="Moradia",$A408&lt;MAX('Consorcio Direto'!$B$29,Premissas!$B$49)),$D408,0)</x:f>
        <x:v>0</x:v>
      </x:c>
      <x:c r="BG408" s="141" t="n">
        <x:f>IF(AND(TRUE,Premissas!$B$11="Imovel",Premissas!$B$47="Investimento",$A408&gt;=MAX('Consorcio Direto'!$B$29,Premissas!$B$49)),$E408,0)</x:f>
        <x:v>4377.9775249910135</x:v>
      </x:c>
      <x:c r="BH408" s="141" t="n">
        <x:f>BD408+BE408+BF408</x:f>
        <x:v>0</x:v>
      </x:c>
      <x:c r="BI408" s="141" t="n">
        <x:f>BG408</x:f>
        <x:v>4377.9775249910135</x:v>
      </x:c>
      <x:c r="BJ408" s="141" t="n">
        <x:f>$C408+BI408-BH408</x:f>
        <x:v>11377.977524991013</x:v>
      </x:c>
      <x:c r="BK408" s="141" t="n">
        <x:f>BN407*(1+Premissas!$B$41)+BJ408</x:f>
        <x:v>31074568.713954743</x:v>
      </x:c>
      <x:c r="BL408" s="141" t="n">
        <x:f>MAX(0,-BK408)</x:f>
        <x:v>0</x:v>
      </x:c>
      <x:c r="BM408" s="141" t="n">
        <x:f>BM407*(1+Premissas!$B$41)+BL408</x:f>
        <x:v>0</x:v>
      </x:c>
      <x:c r="BN408" s="141" t="n">
        <x:f>MAX(0,BK408)</x:f>
        <x:v>31074568.713954743</x:v>
      </x:c>
      <x:c r="BO408" s="141" t="n">
        <x:f>INDEX('Consorcio Direto'!$K$55:$K$534,$A408)</x:f>
        <x:v>0</x:v>
      </x:c>
      <x:c r="BP408" s="141" t="n">
        <x:f>IF($A408&lt;'Consorcio Direto'!$B$29,INDEX('Consorcio Direto'!$L$55:$L$534,$A408),$F408)</x:f>
        <x:v>1415419.9224659076</x:v>
      </x:c>
      <x:c r="BQ408" s="141" t="n">
        <x:f>BN408+BP408-BO408</x:f>
        <x:v>32489988.636420652</x:v>
      </x:c>
      <x:c r="BR408" s="141" t="n">
        <x:f>IF(BM408&gt;1,"Inviavel",BQ408)</x:f>
        <x:v>32489988.636420652</x:v>
      </x:c>
      <x:c r="BS408" s="141" t="str">
        <x:f>IF(BM408&gt;1,"Inviavel","OK")</x:f>
        <x:v>OK</x:v>
      </x:c>
      <x:c r="BT408" s="141" t="n">
        <x:f>IF(AND('Carta Contemplada'!$B$22="Sim",$A408='Carta Contemplada'!$B$23),'Carta Contemplada'!$B$37,0)</x:f>
        <x:v>0</x:v>
      </x:c>
      <x:c r="BU408" s="141" t="n">
        <x:f>IF('Carta Contemplada'!$B$22="Sim",INDEX('Carta Contemplada'!$C$55:$C$1013,$A408),0)</x:f>
        <x:v>0</x:v>
      </x:c>
      <x:c r="BV408" s="141" t="n">
        <x:f>IF(AND('Carta Contemplada'!$B$22="Sim",Premissas!$B$11="Imovel",Premissas!$B$47="Moradia",$A408&lt;MAX('Carta Contemplada'!$B$44,Premissas!$B$49)),$D408,0)</x:f>
        <x:v>0</x:v>
      </x:c>
      <x:c r="BW408" s="141" t="n">
        <x:f>IF(AND('Carta Contemplada'!$B$22="Sim",Premissas!$B$11="Imovel",Premissas!$B$47="Investimento",$A408&gt;=MAX('Carta Contemplada'!$B$44,Premissas!$B$49)),$E408,0)</x:f>
        <x:v>4377.9775249910135</x:v>
      </x:c>
      <x:c r="BX408" s="141" t="n">
        <x:f>BT408+BU408+BV408</x:f>
        <x:v>0</x:v>
      </x:c>
      <x:c r="BY408" s="141" t="n">
        <x:f>BW408</x:f>
        <x:v>4377.9775249910135</x:v>
      </x:c>
      <x:c r="BZ408" s="141" t="n">
        <x:f>$C408+BY408-BX408</x:f>
        <x:v>11377.977524991013</x:v>
      </x:c>
      <x:c r="CA408" s="141" t="n">
        <x:f>CD407*(1+Premissas!$B$41)+BZ408</x:f>
        <x:v>33394343.94234816</x:v>
      </x:c>
      <x:c r="CB408" s="141" t="n">
        <x:f>MAX(0,-CA408)</x:f>
        <x:v>0</x:v>
      </x:c>
      <x:c r="CC408" s="141" t="n">
        <x:f>CC407*(1+Premissas!$B$41)+CB408</x:f>
        <x:v>0</x:v>
      </x:c>
      <x:c r="CD408" s="141" t="n">
        <x:f>MAX(0,CA408)</x:f>
        <x:v>33394343.94234816</x:v>
      </x:c>
      <x:c r="CE408" s="141" t="n">
        <x:f>IF(AND('Carta Contemplada'!$B$22="Sim",$A408&gt;='Carta Contemplada'!$B$23),INDEX('Carta Contemplada'!$I$55:$I$1013,$A408),0)</x:f>
        <x:v>0</x:v>
      </x:c>
      <x:c r="CF408" s="141" t="n">
        <x:f>IF(AND('Carta Contemplada'!$B$22="Sim",$A408&gt;='Carta Contemplada'!$B$44),$F408,0)</x:f>
        <x:v>1415419.9224659076</x:v>
      </x:c>
      <x:c r="CG408" s="141" t="n">
        <x:f>CD408+CF408-CE408</x:f>
        <x:v>34809763.864814065</x:v>
      </x:c>
      <x:c r="CH408" s="141" t="n">
        <x:f>IF(CC408&gt;1,"Inviavel",CG408)</x:f>
        <x:v>34809763.864814065</x:v>
      </x:c>
      <x:c r="CI408" s="145" t="str">
        <x:f>IF(CC408&gt;1,"Inviavel","OK")</x:f>
        <x:v>OK</x:v>
      </x:c>
    </x:row>
    <x:row r="409">
      <x:c r="A409" s="142" t="n">
        <x:v>405</x:v>
      </x:c>
      <x:c r="B409" s="179" t="n">
        <x:f>EDATE(Premissas!$B$4,A409-1)</x:f>
        <x:v>58838</x:v>
      </x:c>
      <x:c r="C409" s="141" t="n">
        <x:f>IF(A409&lt;=Premissas!$B$39,Premissas!$B$42,0)</x:f>
        <x:v>7000</x:v>
      </x:c>
      <x:c r="D409" s="141" t="n">
        <x:f>Premissas!$B$54*(1+Premissas!$B$57)^INT((A409-1)/12)</x:f>
        <x:v>4788.412917958921</x:v>
      </x:c>
      <x:c r="E409" s="141" t="n">
        <x:f>Premissas!$B$64*(1+Premissas!$B$57)^INT((A409-1)/12)</x:f>
        <x:v>4377.9775249910135</x:v>
      </x:c>
      <x:c r="F409" s="141" t="n">
        <x:f>MAX(0,Premissas!$B$6*(1+Premissas!$B$66)^((A409-1)/12))</x:f>
        <x:v>1422309.550509704</x:v>
      </x:c>
      <x:c r="G409" s="141" t="n">
        <x:f>G408*(1+Premissas!$B$41)+C409</x:f>
        <x:v>37153946.33100691</x:v>
      </x:c>
      <x:c r="H409" s="141" t="n">
        <x:f>IF($A409=Premissas!$B$48,Premissas!$B$8,0)</x:f>
        <x:v>0</x:v>
      </x:c>
      <x:c r="I409" s="141" t="n">
        <x:f>IF(AND($A409&gt;=Premissas!$B$48,$A409-Premissas!$B$48+1&lt;=Premissas!$B$13),INDEX(Financiamento!$J$6:$J$485,$A409-Premissas!$B$48+1),0)</x:f>
        <x:v>588.7888331250778</x:v>
      </x:c>
      <x:c r="J409" s="141" t="n">
        <x:f>IF(AND(TRUE,Premissas!$B$11="Imovel",Premissas!$B$47="Moradia",$A409&lt;MAX(Premissas!$B$48,Premissas!$B$49)),$D409,0)</x:f>
        <x:v>0</x:v>
      </x:c>
      <x:c r="K409" s="141" t="n">
        <x:f>IF(AND(TRUE,Premissas!$B$11="Imovel",Premissas!$B$47="Investimento",$A409&gt;=MAX(Premissas!$B$48,Premissas!$B$49)),$E409,0)</x:f>
        <x:v>4377.9775249910135</x:v>
      </x:c>
      <x:c r="L409" s="141" t="n">
        <x:f>H409+I409+J409</x:f>
        <x:v>588.7888331250778</x:v>
      </x:c>
      <x:c r="M409" s="141" t="n">
        <x:f>K409</x:f>
        <x:v>4377.9775249910135</x:v>
      </x:c>
      <x:c r="N409" s="141" t="n">
        <x:f>$C409+M409-L409</x:f>
        <x:v>10789.188691865935</x:v>
      </x:c>
      <x:c r="O409" s="141" t="n">
        <x:f>R408*(1+Premissas!$B$41)+N409</x:f>
        <x:v>32521151.016570844</x:v>
      </x:c>
      <x:c r="P409" s="141" t="n">
        <x:f>MAX(0,-O409)</x:f>
        <x:v>0</x:v>
      </x:c>
      <x:c r="Q409" s="141" t="n">
        <x:f>Q408*(1+Premissas!$B$41)+P409</x:f>
        <x:v>0</x:v>
      </x:c>
      <x:c r="R409" s="141" t="n">
        <x:f>MAX(0,O409)</x:f>
        <x:v>32521151.016570844</x:v>
      </x:c>
      <x:c r="S409" s="141" t="n">
        <x:f>IF(AND($A409&gt;=Premissas!$B$48,$A409-Premissas!$B$48+1&lt;=Premissas!$B$13),INDEX(Financiamento!$M$6:$M$485,$A409-Premissas!$B$48+1),0)</x:f>
        <x:v>5714.2857142857165</x:v>
      </x:c>
      <x:c r="T409" s="141" t="n">
        <x:f>IF($A409&gt;=Premissas!$B$48,$F409,0)</x:f>
        <x:v>1422309.550509704</x:v>
      </x:c>
      <x:c r="U409" s="141" t="n">
        <x:f>R409+T409-S409</x:f>
        <x:v>33937746.28136627</x:v>
      </x:c>
      <x:c r="V409" s="141" t="n">
        <x:f>IF(Q409&gt;1,"Inviavel",U409)</x:f>
        <x:v>33937746.28136627</x:v>
      </x:c>
      <x:c r="W409" s="141" t="str">
        <x:f>IF(Q409&gt;1,"Inviavel","OK")</x:f>
        <x:v>OK</x:v>
      </x:c>
      <x:c r="X409" s="141" t="n">
        <x:f>IF($A409=Premissas!$B$48,Premissas!$B$8,0)</x:f>
        <x:v>0</x:v>
      </x:c>
      <x:c r="Y409" s="141" t="n">
        <x:f>IF(AND($A409&gt;=Premissas!$B$48,$A409-Premissas!$B$48+1&lt;=Premissas!$B$13),INDEX(Amortizacao!$K$6:$K$485,$A409-Premissas!$B$48+1),0)</x:f>
        <x:v>0</x:v>
      </x:c>
      <x:c r="Z409" s="141" t="n">
        <x:f>IF(AND(TRUE,Premissas!$B$11="Imovel",Premissas!$B$47="Moradia",$A409&lt;MAX(Premissas!$B$48,Premissas!$B$49)),$D409,0)</x:f>
        <x:v>0</x:v>
      </x:c>
      <x:c r="AA409" s="141" t="n">
        <x:f>IF(AND(TRUE,Premissas!$B$11="Imovel",Premissas!$B$47="Investimento",$A409&gt;=MAX(Premissas!$B$48,Premissas!$B$49)),$E409,0)</x:f>
        <x:v>4377.9775249910135</x:v>
      </x:c>
      <x:c r="AB409" s="141" t="n">
        <x:f>X409+Y409+Z409</x:f>
        <x:v>0</x:v>
      </x:c>
      <x:c r="AC409" s="141" t="n">
        <x:f>AA409</x:f>
        <x:v>4377.9775249910135</x:v>
      </x:c>
      <x:c r="AD409" s="141" t="n">
        <x:f>$C409+AC409-AB409</x:f>
        <x:v>11377.977524991013</x:v>
      </x:c>
      <x:c r="AE409" s="141" t="n">
        <x:f>AH408*(1+Premissas!$B$41)+AD409</x:f>
        <x:v>33060997.062165264</x:v>
      </x:c>
      <x:c r="AF409" s="141" t="n">
        <x:f>MAX(0,-AE409)</x:f>
        <x:v>0</x:v>
      </x:c>
      <x:c r="AG409" s="141" t="n">
        <x:f>AG408*(1+Premissas!$B$41)+AF409</x:f>
        <x:v>0</x:v>
      </x:c>
      <x:c r="AH409" s="141" t="n">
        <x:f>MAX(0,AE409)</x:f>
        <x:v>33060997.062165264</x:v>
      </x:c>
      <x:c r="AI409" s="141" t="n">
        <x:f>IF(AND($A409&gt;=Premissas!$B$48,$A409-Premissas!$B$48+1&lt;=Premissas!$B$13),INDEX(Amortizacao!$L$6:$L$485,$A409-Premissas!$B$48+1),0)</x:f>
        <x:v>0</x:v>
      </x:c>
      <x:c r="AJ409" s="141" t="n">
        <x:f>IF($A409&gt;=Premissas!$B$48,$F409,0)</x:f>
        <x:v>1422309.550509704</x:v>
      </x:c>
      <x:c r="AK409" s="141" t="n">
        <x:f>AH409+AJ409-AI409</x:f>
        <x:v>34483306.61267497</x:v>
      </x:c>
      <x:c r="AL409" s="141" t="n">
        <x:f>IF(AG409&gt;1,"Inviavel",AK409)</x:f>
        <x:v>34483306.61267497</x:v>
      </x:c>
      <x:c r="AM409" s="141" t="str">
        <x:f>IF(AG409&gt;1,"Inviavel","OK")</x:f>
        <x:v>OK</x:v>
      </x:c>
      <x:c r="AN409" s="141" t="n">
        <x:f>IF($A409=Premissas!$B$48,Premissas!$B$8,0)</x:f>
        <x:v>0</x:v>
      </x:c>
      <x:c r="AO409" s="141" t="n">
        <x:f>IF($A409&lt;=Premissas!$B$25,INDEX('Consorcio IQ'!$K$6:$K$485,$A409),0)</x:f>
        <x:v>0</x:v>
      </x:c>
      <x:c r="AP409" s="141" t="n">
        <x:f>IF(AND(TRUE,Premissas!$B$11="Imovel",Premissas!$B$47="Moradia",$A409&lt;MAX(Premissas!$B$48,Premissas!$B$49)),$D409,0)</x:f>
        <x:v>0</x:v>
      </x:c>
      <x:c r="AQ409" s="141" t="n">
        <x:f>IF(AND(TRUE,Premissas!$B$11="Imovel",Premissas!$B$47="Investimento",$A409&gt;=MAX(Premissas!$B$48,Premissas!$B$49)),$E409,0)</x:f>
        <x:v>4377.9775249910135</x:v>
      </x:c>
      <x:c r="AR409" s="141" t="n">
        <x:f>AN409+AO409+AP409</x:f>
        <x:v>0</x:v>
      </x:c>
      <x:c r="AS409" s="141" t="n">
        <x:f>AQ409</x:f>
        <x:v>4377.9775249910135</x:v>
      </x:c>
      <x:c r="AT409" s="141" t="n">
        <x:f>$C409+AS409-AR409</x:f>
        <x:v>11377.977524991013</x:v>
      </x:c>
      <x:c r="AU409" s="141" t="n">
        <x:f>AX408*(1+Premissas!$B$41)+AT409</x:f>
        <x:v>32798647.269605704</x:v>
      </x:c>
      <x:c r="AV409" s="141" t="n">
        <x:f>MAX(0,-AU409)</x:f>
        <x:v>0</x:v>
      </x:c>
      <x:c r="AW409" s="141" t="n">
        <x:f>AW408*(1+Premissas!$B$41)+AV409</x:f>
        <x:v>0</x:v>
      </x:c>
      <x:c r="AX409" s="141" t="n">
        <x:f>MAX(0,AU409)</x:f>
        <x:v>32798647.269605704</x:v>
      </x:c>
      <x:c r="AY409" s="141" t="n">
        <x:f>INDEX('Consorcio IQ'!$P$6:$P$485,$A409)</x:f>
        <x:v>0</x:v>
      </x:c>
      <x:c r="AZ409" s="141" t="n">
        <x:f>IF($A409&gt;=Premissas!$B$48,$F409,0)+IF($A409&lt;Premissas!$B$27,INDEX('Consorcio IQ'!$O$6:$O$485,$A409),0)</x:f>
        <x:v>1422309.550509704</x:v>
      </x:c>
      <x:c r="BA409" s="141" t="n">
        <x:f>AX409+AZ409-AY409</x:f>
        <x:v>34220956.82011541</x:v>
      </x:c>
      <x:c r="BB409" s="141" t="n">
        <x:f>IF(AW409&gt;1,"Inviavel",BA409)</x:f>
        <x:v>34220956.82011541</x:v>
      </x:c>
      <x:c r="BC409" s="141" t="str">
        <x:f>IF(AW409&gt;1,"Inviavel","OK")</x:f>
        <x:v>OK</x:v>
      </x:c>
      <x:c r="BD409" s="141" t="n">
        <x:f>IF($A409='Consorcio Direto'!$B$29,'Consorcio Direto'!$B$44,0)</x:f>
        <x:v>0</x:v>
      </x:c>
      <x:c r="BE409" s="141" t="n">
        <x:f>IF($A409&lt;='Consorcio Direto'!$B$27,INDEX('Consorcio Direto'!$E$55:$E$534,$A409),0)</x:f>
        <x:v>0</x:v>
      </x:c>
      <x:c r="BF409" s="141" t="n">
        <x:f>IF(AND(TRUE,Premissas!$B$11="Imovel",Premissas!$B$47="Moradia",$A409&lt;MAX('Consorcio Direto'!$B$29,Premissas!$B$49)),$D409,0)</x:f>
        <x:v>0</x:v>
      </x:c>
      <x:c r="BG409" s="141" t="n">
        <x:f>IF(AND(TRUE,Premissas!$B$11="Imovel",Premissas!$B$47="Investimento",$A409&gt;=MAX('Consorcio Direto'!$B$29,Premissas!$B$49)),$E409,0)</x:f>
        <x:v>4377.9775249910135</x:v>
      </x:c>
      <x:c r="BH409" s="141" t="n">
        <x:f>BD409+BE409+BF409</x:f>
        <x:v>0</x:v>
      </x:c>
      <x:c r="BI409" s="141" t="n">
        <x:f>BG409</x:f>
        <x:v>4377.9775249910135</x:v>
      </x:c>
      <x:c r="BJ409" s="141" t="n">
        <x:f>$C409+BI409-BH409</x:f>
        <x:v>11377.977524991013</x:v>
      </x:c>
      <x:c r="BK409" s="141" t="n">
        <x:f>BN408*(1+Premissas!$B$41)+BJ409</x:f>
        <x:v>31380806.839537926</x:v>
      </x:c>
      <x:c r="BL409" s="141" t="n">
        <x:f>MAX(0,-BK409)</x:f>
        <x:v>0</x:v>
      </x:c>
      <x:c r="BM409" s="141" t="n">
        <x:f>BM408*(1+Premissas!$B$41)+BL409</x:f>
        <x:v>0</x:v>
      </x:c>
      <x:c r="BN409" s="141" t="n">
        <x:f>MAX(0,BK409)</x:f>
        <x:v>31380806.839537926</x:v>
      </x:c>
      <x:c r="BO409" s="141" t="n">
        <x:f>INDEX('Consorcio Direto'!$K$55:$K$534,$A409)</x:f>
        <x:v>0</x:v>
      </x:c>
      <x:c r="BP409" s="141" t="n">
        <x:f>IF($A409&lt;'Consorcio Direto'!$B$29,INDEX('Consorcio Direto'!$L$55:$L$534,$A409),$F409)</x:f>
        <x:v>1422309.550509704</x:v>
      </x:c>
      <x:c r="BQ409" s="141" t="n">
        <x:f>BN409+BP409-BO409</x:f>
        <x:v>32803116.39004763</x:v>
      </x:c>
      <x:c r="BR409" s="141" t="n">
        <x:f>IF(BM409&gt;1,"Inviavel",BQ409)</x:f>
        <x:v>32803116.39004763</x:v>
      </x:c>
      <x:c r="BS409" s="141" t="str">
        <x:f>IF(BM409&gt;1,"Inviavel","OK")</x:f>
        <x:v>OK</x:v>
      </x:c>
      <x:c r="BT409" s="141" t="n">
        <x:f>IF(AND('Carta Contemplada'!$B$22="Sim",$A409='Carta Contemplada'!$B$23),'Carta Contemplada'!$B$37,0)</x:f>
        <x:v>0</x:v>
      </x:c>
      <x:c r="BU409" s="141" t="n">
        <x:f>IF('Carta Contemplada'!$B$22="Sim",INDEX('Carta Contemplada'!$C$55:$C$1013,$A409),0)</x:f>
        <x:v>0</x:v>
      </x:c>
      <x:c r="BV409" s="141" t="n">
        <x:f>IF(AND('Carta Contemplada'!$B$22="Sim",Premissas!$B$11="Imovel",Premissas!$B$47="Moradia",$A409&lt;MAX('Carta Contemplada'!$B$44,Premissas!$B$49)),$D409,0)</x:f>
        <x:v>0</x:v>
      </x:c>
      <x:c r="BW409" s="141" t="n">
        <x:f>IF(AND('Carta Contemplada'!$B$22="Sim",Premissas!$B$11="Imovel",Premissas!$B$47="Investimento",$A409&gt;=MAX('Carta Contemplada'!$B$44,Premissas!$B$49)),$E409,0)</x:f>
        <x:v>4377.9775249910135</x:v>
      </x:c>
      <x:c r="BX409" s="141" t="n">
        <x:f>BT409+BU409+BV409</x:f>
        <x:v>0</x:v>
      </x:c>
      <x:c r="BY409" s="141" t="n">
        <x:f>BW409</x:f>
        <x:v>4377.9775249910135</x:v>
      </x:c>
      <x:c r="BZ409" s="141" t="n">
        <x:f>$C409+BY409-BX409</x:f>
        <x:v>11377.977524991013</x:v>
      </x:c>
      <x:c r="CA409" s="141" t="n">
        <x:f>CD408*(1+Premissas!$B$41)+BZ409</x:f>
        <x:v>33722593.93472834</x:v>
      </x:c>
      <x:c r="CB409" s="141" t="n">
        <x:f>MAX(0,-CA409)</x:f>
        <x:v>0</x:v>
      </x:c>
      <x:c r="CC409" s="141" t="n">
        <x:f>CC408*(1+Premissas!$B$41)+CB409</x:f>
        <x:v>0</x:v>
      </x:c>
      <x:c r="CD409" s="141" t="n">
        <x:f>MAX(0,CA409)</x:f>
        <x:v>33722593.93472834</x:v>
      </x:c>
      <x:c r="CE409" s="141" t="n">
        <x:f>IF(AND('Carta Contemplada'!$B$22="Sim",$A409&gt;='Carta Contemplada'!$B$23),INDEX('Carta Contemplada'!$I$55:$I$1013,$A409),0)</x:f>
        <x:v>0</x:v>
      </x:c>
      <x:c r="CF409" s="141" t="n">
        <x:f>IF(AND('Carta Contemplada'!$B$22="Sim",$A409&gt;='Carta Contemplada'!$B$44),$F409,0)</x:f>
        <x:v>1422309.550509704</x:v>
      </x:c>
      <x:c r="CG409" s="141" t="n">
        <x:f>CD409+CF409-CE409</x:f>
        <x:v>35144903.485238045</x:v>
      </x:c>
      <x:c r="CH409" s="141" t="n">
        <x:f>IF(CC409&gt;1,"Inviavel",CG409)</x:f>
        <x:v>35144903.485238045</x:v>
      </x:c>
      <x:c r="CI409" s="145" t="str">
        <x:f>IF(CC409&gt;1,"Inviavel","OK")</x:f>
        <x:v>OK</x:v>
      </x:c>
    </x:row>
    <x:row r="410">
      <x:c r="A410" s="142" t="n">
        <x:v>406</x:v>
      </x:c>
      <x:c r="B410" s="179" t="n">
        <x:f>EDATE(Premissas!$B$4,A410-1)</x:f>
        <x:v>58866</x:v>
      </x:c>
      <x:c r="C410" s="141" t="n">
        <x:f>IF(A410&lt;=Premissas!$B$39,Premissas!$B$42,0)</x:f>
        <x:v>7000</x:v>
      </x:c>
      <x:c r="D410" s="141" t="n">
        <x:f>Premissas!$B$54*(1+Premissas!$B$57)^INT((A410-1)/12)</x:f>
        <x:v>4788.412917958921</x:v>
      </x:c>
      <x:c r="E410" s="141" t="n">
        <x:f>Premissas!$B$64*(1+Premissas!$B$57)^INT((A410-1)/12)</x:f>
        <x:v>4377.9775249910135</x:v>
      </x:c>
      <x:c r="F410" s="141" t="n">
        <x:f>MAX(0,Premissas!$B$6*(1+Premissas!$B$66)^((A410-1)/12))</x:f>
        <x:v>1429232.7141663805</x:v>
      </x:c>
      <x:c r="G410" s="141" t="n">
        <x:f>G409*(1+Premissas!$B$41)+C410</x:f>
        <x:v>37513492.43444444</x:v>
      </x:c>
      <x:c r="H410" s="141" t="n">
        <x:f>IF($A410=Premissas!$B$48,Premissas!$B$8,0)</x:f>
        <x:v>0</x:v>
      </x:c>
      <x:c r="I410" s="141" t="n">
        <x:f>IF(AND($A410&gt;=Premissas!$B$48,$A410-Premissas!$B$48+1&lt;=Premissas!$B$13),INDEX(Financiamento!$J$6:$J$485,$A410-Premissas!$B$48+1),0)</x:f>
        <x:v>585.1740548642842</x:v>
      </x:c>
      <x:c r="J410" s="141" t="n">
        <x:f>IF(AND(TRUE,Premissas!$B$11="Imovel",Premissas!$B$47="Moradia",$A410&lt;MAX(Premissas!$B$48,Premissas!$B$49)),$D410,0)</x:f>
        <x:v>0</x:v>
      </x:c>
      <x:c r="K410" s="141" t="n">
        <x:f>IF(AND(TRUE,Premissas!$B$11="Imovel",Premissas!$B$47="Investimento",$A410&gt;=MAX(Premissas!$B$48,Premissas!$B$49)),$E410,0)</x:f>
        <x:v>4377.9775249910135</x:v>
      </x:c>
      <x:c r="L410" s="141" t="n">
        <x:f>H410+I410+J410</x:f>
        <x:v>585.1740548642842</x:v>
      </x:c>
      <x:c r="M410" s="141" t="n">
        <x:f>K410</x:f>
        <x:v>4377.9775249910135</x:v>
      </x:c>
      <x:c r="N410" s="141" t="n">
        <x:f>$C410+M410-L410</x:f>
        <x:v>10792.803470126728</x:v>
      </x:c>
      <x:c r="O410" s="141" t="n">
        <x:f>R409*(1+Premissas!$B$41)+N410</x:f>
        <x:v>32840530.28803152</x:v>
      </x:c>
      <x:c r="P410" s="141" t="n">
        <x:f>MAX(0,-O410)</x:f>
        <x:v>0</x:v>
      </x:c>
      <x:c r="Q410" s="141" t="n">
        <x:f>Q409*(1+Premissas!$B$41)+P410</x:f>
        <x:v>0</x:v>
      </x:c>
      <x:c r="R410" s="141" t="n">
        <x:f>MAX(0,O410)</x:f>
        <x:v>32840530.28803152</x:v>
      </x:c>
      <x:c r="S410" s="141" t="n">
        <x:f>IF(AND($A410&gt;=Premissas!$B$48,$A410-Premissas!$B$48+1&lt;=Premissas!$B$13),INDEX(Financiamento!$M$6:$M$485,$A410-Premissas!$B$48+1),0)</x:f>
        <x:v>5333.333333333336</x:v>
      </x:c>
      <x:c r="T410" s="141" t="n">
        <x:f>IF($A410&gt;=Premissas!$B$48,$F410,0)</x:f>
        <x:v>1429232.7141663805</x:v>
      </x:c>
      <x:c r="U410" s="141" t="n">
        <x:f>R410+T410-S410</x:f>
        <x:v>34264429.66886456</x:v>
      </x:c>
      <x:c r="V410" s="141" t="n">
        <x:f>IF(Q410&gt;1,"Inviavel",U410)</x:f>
        <x:v>34264429.66886456</x:v>
      </x:c>
      <x:c r="W410" s="141" t="str">
        <x:f>IF(Q410&gt;1,"Inviavel","OK")</x:f>
        <x:v>OK</x:v>
      </x:c>
      <x:c r="X410" s="141" t="n">
        <x:f>IF($A410=Premissas!$B$48,Premissas!$B$8,0)</x:f>
        <x:v>0</x:v>
      </x:c>
      <x:c r="Y410" s="141" t="n">
        <x:f>IF(AND($A410&gt;=Premissas!$B$48,$A410-Premissas!$B$48+1&lt;=Premissas!$B$13),INDEX(Amortizacao!$K$6:$K$485,$A410-Premissas!$B$48+1),0)</x:f>
        <x:v>0</x:v>
      </x:c>
      <x:c r="Z410" s="141" t="n">
        <x:f>IF(AND(TRUE,Premissas!$B$11="Imovel",Premissas!$B$47="Moradia",$A410&lt;MAX(Premissas!$B$48,Premissas!$B$49)),$D410,0)</x:f>
        <x:v>0</x:v>
      </x:c>
      <x:c r="AA410" s="141" t="n">
        <x:f>IF(AND(TRUE,Premissas!$B$11="Imovel",Premissas!$B$47="Investimento",$A410&gt;=MAX(Premissas!$B$48,Premissas!$B$49)),$E410,0)</x:f>
        <x:v>4377.9775249910135</x:v>
      </x:c>
      <x:c r="AB410" s="141" t="n">
        <x:f>X410+Y410+Z410</x:f>
        <x:v>0</x:v>
      </x:c>
      <x:c r="AC410" s="141" t="n">
        <x:f>AA410</x:f>
        <x:v>4377.9775249910135</x:v>
      </x:c>
      <x:c r="AD410" s="141" t="n">
        <x:f>$C410+AC410-AB410</x:f>
        <x:v>11377.977524991013</x:v>
      </x:c>
      <x:c r="AE410" s="141" t="n">
        <x:f>AH409*(1+Premissas!$B$41)+AD410</x:f>
        <x:v>33386083.995024</x:v>
      </x:c>
      <x:c r="AF410" s="141" t="n">
        <x:f>MAX(0,-AE410)</x:f>
        <x:v>0</x:v>
      </x:c>
      <x:c r="AG410" s="141" t="n">
        <x:f>AG409*(1+Premissas!$B$41)+AF410</x:f>
        <x:v>0</x:v>
      </x:c>
      <x:c r="AH410" s="141" t="n">
        <x:f>MAX(0,AE410)</x:f>
        <x:v>33386083.995024</x:v>
      </x:c>
      <x:c r="AI410" s="141" t="n">
        <x:f>IF(AND($A410&gt;=Premissas!$B$48,$A410-Premissas!$B$48+1&lt;=Premissas!$B$13),INDEX(Amortizacao!$L$6:$L$485,$A410-Premissas!$B$48+1),0)</x:f>
        <x:v>0</x:v>
      </x:c>
      <x:c r="AJ410" s="141" t="n">
        <x:f>IF($A410&gt;=Premissas!$B$48,$F410,0)</x:f>
        <x:v>1429232.7141663805</x:v>
      </x:c>
      <x:c r="AK410" s="141" t="n">
        <x:f>AH410+AJ410-AI410</x:f>
        <x:v>34815316.70919038</x:v>
      </x:c>
      <x:c r="AL410" s="141" t="n">
        <x:f>IF(AG410&gt;1,"Inviavel",AK410)</x:f>
        <x:v>34815316.70919038</x:v>
      </x:c>
      <x:c r="AM410" s="141" t="str">
        <x:f>IF(AG410&gt;1,"Inviavel","OK")</x:f>
        <x:v>OK</x:v>
      </x:c>
      <x:c r="AN410" s="141" t="n">
        <x:f>IF($A410=Premissas!$B$48,Premissas!$B$8,0)</x:f>
        <x:v>0</x:v>
      </x:c>
      <x:c r="AO410" s="141" t="n">
        <x:f>IF($A410&lt;=Premissas!$B$25,INDEX('Consorcio IQ'!$K$6:$K$485,$A410),0)</x:f>
        <x:v>0</x:v>
      </x:c>
      <x:c r="AP410" s="141" t="n">
        <x:f>IF(AND(TRUE,Premissas!$B$11="Imovel",Premissas!$B$47="Moradia",$A410&lt;MAX(Premissas!$B$48,Premissas!$B$49)),$D410,0)</x:f>
        <x:v>0</x:v>
      </x:c>
      <x:c r="AQ410" s="141" t="n">
        <x:f>IF(AND(TRUE,Premissas!$B$11="Imovel",Premissas!$B$47="Investimento",$A410&gt;=MAX(Premissas!$B$48,Premissas!$B$49)),$E410,0)</x:f>
        <x:v>4377.9775249910135</x:v>
      </x:c>
      <x:c r="AR410" s="141" t="n">
        <x:f>AN410+AO410+AP410</x:f>
        <x:v>0</x:v>
      </x:c>
      <x:c r="AS410" s="141" t="n">
        <x:f>AQ410</x:f>
        <x:v>4377.9775249910135</x:v>
      </x:c>
      <x:c r="AT410" s="141" t="n">
        <x:f>$C410+AS410-AR410</x:f>
        <x:v>11377.977524991013</x:v>
      </x:c>
      <x:c r="AU410" s="141" t="n">
        <x:f>AX409*(1+Premissas!$B$41)+AT410</x:f>
        <x:v>33121244.819606412</x:v>
      </x:c>
      <x:c r="AV410" s="141" t="n">
        <x:f>MAX(0,-AU410)</x:f>
        <x:v>0</x:v>
      </x:c>
      <x:c r="AW410" s="141" t="n">
        <x:f>AW409*(1+Premissas!$B$41)+AV410</x:f>
        <x:v>0</x:v>
      </x:c>
      <x:c r="AX410" s="141" t="n">
        <x:f>MAX(0,AU410)</x:f>
        <x:v>33121244.819606412</x:v>
      </x:c>
      <x:c r="AY410" s="141" t="n">
        <x:f>INDEX('Consorcio IQ'!$P$6:$P$485,$A410)</x:f>
        <x:v>0</x:v>
      </x:c>
      <x:c r="AZ410" s="141" t="n">
        <x:f>IF($A410&gt;=Premissas!$B$48,$F410,0)+IF($A410&lt;Premissas!$B$27,INDEX('Consorcio IQ'!$O$6:$O$485,$A410),0)</x:f>
        <x:v>1429232.7141663805</x:v>
      </x:c>
      <x:c r="BA410" s="141" t="n">
        <x:f>AX410+AZ410-AY410</x:f>
        <x:v>34550477.5337728</x:v>
      </x:c>
      <x:c r="BB410" s="141" t="n">
        <x:f>IF(AW410&gt;1,"Inviavel",BA410)</x:f>
        <x:v>34550477.5337728</x:v>
      </x:c>
      <x:c r="BC410" s="141" t="str">
        <x:f>IF(AW410&gt;1,"Inviavel","OK")</x:f>
        <x:v>OK</x:v>
      </x:c>
      <x:c r="BD410" s="141" t="n">
        <x:f>IF($A410='Consorcio Direto'!$B$29,'Consorcio Direto'!$B$44,0)</x:f>
        <x:v>0</x:v>
      </x:c>
      <x:c r="BE410" s="141" t="n">
        <x:f>IF($A410&lt;='Consorcio Direto'!$B$27,INDEX('Consorcio Direto'!$E$55:$E$534,$A410),0)</x:f>
        <x:v>0</x:v>
      </x:c>
      <x:c r="BF410" s="141" t="n">
        <x:f>IF(AND(TRUE,Premissas!$B$11="Imovel",Premissas!$B$47="Moradia",$A410&lt;MAX('Consorcio Direto'!$B$29,Premissas!$B$49)),$D410,0)</x:f>
        <x:v>0</x:v>
      </x:c>
      <x:c r="BG410" s="141" t="n">
        <x:f>IF(AND(TRUE,Premissas!$B$11="Imovel",Premissas!$B$47="Investimento",$A410&gt;=MAX('Consorcio Direto'!$B$29,Premissas!$B$49)),$E410,0)</x:f>
        <x:v>4377.9775249910135</x:v>
      </x:c>
      <x:c r="BH410" s="141" t="n">
        <x:f>BD410+BE410+BF410</x:f>
        <x:v>0</x:v>
      </x:c>
      <x:c r="BI410" s="141" t="n">
        <x:f>BG410</x:f>
        <x:v>4377.9775249910135</x:v>
      </x:c>
      <x:c r="BJ410" s="141" t="n">
        <x:f>$C410+BI410-BH410</x:f>
        <x:v>11377.977524991013</x:v>
      </x:c>
      <x:c r="BK410" s="141" t="n">
        <x:f>BN409*(1+Premissas!$B$41)+BJ410</x:f>
        <x:v>31689950.79528344</x:v>
      </x:c>
      <x:c r="BL410" s="141" t="n">
        <x:f>MAX(0,-BK410)</x:f>
        <x:v>0</x:v>
      </x:c>
      <x:c r="BM410" s="141" t="n">
        <x:f>BM409*(1+Premissas!$B$41)+BL410</x:f>
        <x:v>0</x:v>
      </x:c>
      <x:c r="BN410" s="141" t="n">
        <x:f>MAX(0,BK410)</x:f>
        <x:v>31689950.79528344</x:v>
      </x:c>
      <x:c r="BO410" s="141" t="n">
        <x:f>INDEX('Consorcio Direto'!$K$55:$K$534,$A410)</x:f>
        <x:v>0</x:v>
      </x:c>
      <x:c r="BP410" s="141" t="n">
        <x:f>IF($A410&lt;'Consorcio Direto'!$B$29,INDEX('Consorcio Direto'!$L$55:$L$534,$A410),$F410)</x:f>
        <x:v>1429232.7141663805</x:v>
      </x:c>
      <x:c r="BQ410" s="141" t="n">
        <x:f>BN410+BP410-BO410</x:f>
        <x:v>33119183.50944982</x:v>
      </x:c>
      <x:c r="BR410" s="141" t="n">
        <x:f>IF(BM410&gt;1,"Inviavel",BQ410)</x:f>
        <x:v>33119183.50944982</x:v>
      </x:c>
      <x:c r="BS410" s="141" t="str">
        <x:f>IF(BM410&gt;1,"Inviavel","OK")</x:f>
        <x:v>OK</x:v>
      </x:c>
      <x:c r="BT410" s="141" t="n">
        <x:f>IF(AND('Carta Contemplada'!$B$22="Sim",$A410='Carta Contemplada'!$B$23),'Carta Contemplada'!$B$37,0)</x:f>
        <x:v>0</x:v>
      </x:c>
      <x:c r="BU410" s="141" t="n">
        <x:f>IF('Carta Contemplada'!$B$22="Sim",INDEX('Carta Contemplada'!$C$55:$C$1013,$A410),0)</x:f>
        <x:v>0</x:v>
      </x:c>
      <x:c r="BV410" s="141" t="n">
        <x:f>IF(AND('Carta Contemplada'!$B$22="Sim",Premissas!$B$11="Imovel",Premissas!$B$47="Moradia",$A410&lt;MAX('Carta Contemplada'!$B$44,Premissas!$B$49)),$D410,0)</x:f>
        <x:v>0</x:v>
      </x:c>
      <x:c r="BW410" s="141" t="n">
        <x:f>IF(AND('Carta Contemplada'!$B$22="Sim",Premissas!$B$11="Imovel",Premissas!$B$47="Investimento",$A410&gt;=MAX('Carta Contemplada'!$B$44,Premissas!$B$49)),$E410,0)</x:f>
        <x:v>4377.9775249910135</x:v>
      </x:c>
      <x:c r="BX410" s="141" t="n">
        <x:f>BT410+BU410+BV410</x:f>
        <x:v>0</x:v>
      </x:c>
      <x:c r="BY410" s="141" t="n">
        <x:f>BW410</x:f>
        <x:v>4377.9775249910135</x:v>
      </x:c>
      <x:c r="BZ410" s="141" t="n">
        <x:f>$C410+BY410-BX410</x:f>
        <x:v>11377.977524991013</x:v>
      </x:c>
      <x:c r="CA410" s="141" t="n">
        <x:f>CD409*(1+Premissas!$B$41)+BZ410</x:f>
        <x:v>34053958.62331699</x:v>
      </x:c>
      <x:c r="CB410" s="141" t="n">
        <x:f>MAX(0,-CA410)</x:f>
        <x:v>0</x:v>
      </x:c>
      <x:c r="CC410" s="141" t="n">
        <x:f>CC409*(1+Premissas!$B$41)+CB410</x:f>
        <x:v>0</x:v>
      </x:c>
      <x:c r="CD410" s="141" t="n">
        <x:f>MAX(0,CA410)</x:f>
        <x:v>34053958.62331699</x:v>
      </x:c>
      <x:c r="CE410" s="141" t="n">
        <x:f>IF(AND('Carta Contemplada'!$B$22="Sim",$A410&gt;='Carta Contemplada'!$B$23),INDEX('Carta Contemplada'!$I$55:$I$1013,$A410),0)</x:f>
        <x:v>0</x:v>
      </x:c>
      <x:c r="CF410" s="141" t="n">
        <x:f>IF(AND('Carta Contemplada'!$B$22="Sim",$A410&gt;='Carta Contemplada'!$B$44),$F410,0)</x:f>
        <x:v>1429232.7141663805</x:v>
      </x:c>
      <x:c r="CG410" s="141" t="n">
        <x:f>CD410+CF410-CE410</x:f>
        <x:v>35483191.33748337</x:v>
      </x:c>
      <x:c r="CH410" s="141" t="n">
        <x:f>IF(CC410&gt;1,"Inviavel",CG410)</x:f>
        <x:v>35483191.33748337</x:v>
      </x:c>
      <x:c r="CI410" s="145" t="str">
        <x:f>IF(CC410&gt;1,"Inviavel","OK")</x:f>
        <x:v>OK</x:v>
      </x:c>
    </x:row>
    <x:row r="411">
      <x:c r="A411" s="142" t="n">
        <x:v>407</x:v>
      </x:c>
      <x:c r="B411" s="179" t="n">
        <x:f>EDATE(Premissas!$B$4,A411-1)</x:f>
        <x:v>58897</x:v>
      </x:c>
      <x:c r="C411" s="141" t="n">
        <x:f>IF(A411&lt;=Premissas!$B$39,Premissas!$B$42,0)</x:f>
        <x:v>7000</x:v>
      </x:c>
      <x:c r="D411" s="141" t="n">
        <x:f>Premissas!$B$54*(1+Premissas!$B$57)^INT((A411-1)/12)</x:f>
        <x:v>4788.412917958921</x:v>
      </x:c>
      <x:c r="E411" s="141" t="n">
        <x:f>Premissas!$B$64*(1+Premissas!$B$57)^INT((A411-1)/12)</x:f>
        <x:v>4377.9775249910135</x:v>
      </x:c>
      <x:c r="F411" s="141" t="n">
        <x:f>MAX(0,Premissas!$B$6*(1+Premissas!$B$66)^((A411-1)/12))</x:f>
        <x:v>1436189.576672228</x:v>
      </x:c>
      <x:c r="G411" s="141" t="n">
        <x:f>G410*(1+Premissas!$B$41)+C411</x:f>
        <x:v>37876450.19640794</x:v>
      </x:c>
      <x:c r="H411" s="141" t="n">
        <x:f>IF($A411=Premissas!$B$48,Premissas!$B$8,0)</x:f>
        <x:v>0</x:v>
      </x:c>
      <x:c r="I411" s="141" t="n">
        <x:f>IF(AND($A411&gt;=Premissas!$B$48,$A411-Premissas!$B$48+1&lt;=Premissas!$B$13),INDEX(Financiamento!$J$6:$J$485,$A411-Premissas!$B$48+1),0)</x:f>
        <x:v>581.5592766034907</x:v>
      </x:c>
      <x:c r="J411" s="141" t="n">
        <x:f>IF(AND(TRUE,Premissas!$B$11="Imovel",Premissas!$B$47="Moradia",$A411&lt;MAX(Premissas!$B$48,Premissas!$B$49)),$D411,0)</x:f>
        <x:v>0</x:v>
      </x:c>
      <x:c r="K411" s="141" t="n">
        <x:f>IF(AND(TRUE,Premissas!$B$11="Imovel",Premissas!$B$47="Investimento",$A411&gt;=MAX(Premissas!$B$48,Premissas!$B$49)),$E411,0)</x:f>
        <x:v>4377.9775249910135</x:v>
      </x:c>
      <x:c r="L411" s="141" t="n">
        <x:f>H411+I411+J411</x:f>
        <x:v>581.5592766034907</x:v>
      </x:c>
      <x:c r="M411" s="141" t="n">
        <x:f>K411</x:f>
        <x:v>4377.9775249910135</x:v>
      </x:c>
      <x:c r="N411" s="141" t="n">
        <x:f>$C411+M411-L411</x:f>
        <x:v>10796.418248387521</x:v>
      </x:c>
      <x:c r="O411" s="141" t="n">
        <x:f>R410*(1+Premissas!$B$41)+N411</x:f>
        <x:v>33162943.69804494</x:v>
      </x:c>
      <x:c r="P411" s="141" t="n">
        <x:f>MAX(0,-O411)</x:f>
        <x:v>0</x:v>
      </x:c>
      <x:c r="Q411" s="141" t="n">
        <x:f>Q410*(1+Premissas!$B$41)+P411</x:f>
        <x:v>0</x:v>
      </x:c>
      <x:c r="R411" s="141" t="n">
        <x:f>MAX(0,O411)</x:f>
        <x:v>33162943.69804494</x:v>
      </x:c>
      <x:c r="S411" s="141" t="n">
        <x:f>IF(AND($A411&gt;=Premissas!$B$48,$A411-Premissas!$B$48+1&lt;=Premissas!$B$13),INDEX(Financiamento!$M$6:$M$485,$A411-Premissas!$B$48+1),0)</x:f>
        <x:v>4952.380952380955</x:v>
      </x:c>
      <x:c r="T411" s="141" t="n">
        <x:f>IF($A411&gt;=Premissas!$B$48,$F411,0)</x:f>
        <x:v>1436189.576672228</x:v>
      </x:c>
      <x:c r="U411" s="141" t="n">
        <x:f>R411+T411-S411</x:f>
        <x:v>34594180.89376479</x:v>
      </x:c>
      <x:c r="V411" s="141" t="n">
        <x:f>IF(Q411&gt;1,"Inviavel",U411)</x:f>
        <x:v>34594180.89376479</x:v>
      </x:c>
      <x:c r="W411" s="141" t="str">
        <x:f>IF(Q411&gt;1,"Inviavel","OK")</x:f>
        <x:v>OK</x:v>
      </x:c>
      <x:c r="X411" s="141" t="n">
        <x:f>IF($A411=Premissas!$B$48,Premissas!$B$8,0)</x:f>
        <x:v>0</x:v>
      </x:c>
      <x:c r="Y411" s="141" t="n">
        <x:f>IF(AND($A411&gt;=Premissas!$B$48,$A411-Premissas!$B$48+1&lt;=Premissas!$B$13),INDEX(Amortizacao!$K$6:$K$485,$A411-Premissas!$B$48+1),0)</x:f>
        <x:v>0</x:v>
      </x:c>
      <x:c r="Z411" s="141" t="n">
        <x:f>IF(AND(TRUE,Premissas!$B$11="Imovel",Premissas!$B$47="Moradia",$A411&lt;MAX(Premissas!$B$48,Premissas!$B$49)),$D411,0)</x:f>
        <x:v>0</x:v>
      </x:c>
      <x:c r="AA411" s="141" t="n">
        <x:f>IF(AND(TRUE,Premissas!$B$11="Imovel",Premissas!$B$47="Investimento",$A411&gt;=MAX(Premissas!$B$48,Premissas!$B$49)),$E411,0)</x:f>
        <x:v>4377.9775249910135</x:v>
      </x:c>
      <x:c r="AB411" s="141" t="n">
        <x:f>X411+Y411+Z411</x:f>
        <x:v>0</x:v>
      </x:c>
      <x:c r="AC411" s="141" t="n">
        <x:f>AA411</x:f>
        <x:v>4377.9775249910135</x:v>
      </x:c>
      <x:c r="AD411" s="141" t="n">
        <x:f>$C411+AC411-AB411</x:f>
        <x:v>11377.977524991013</x:v>
      </x:c>
      <x:c r="AE411" s="141" t="n">
        <x:f>AH410*(1+Premissas!$B$41)+AD411</x:f>
        <x:v>33714255.61047437</x:v>
      </x:c>
      <x:c r="AF411" s="141" t="n">
        <x:f>MAX(0,-AE411)</x:f>
        <x:v>0</x:v>
      </x:c>
      <x:c r="AG411" s="141" t="n">
        <x:f>AG410*(1+Premissas!$B$41)+AF411</x:f>
        <x:v>0</x:v>
      </x:c>
      <x:c r="AH411" s="141" t="n">
        <x:f>MAX(0,AE411)</x:f>
        <x:v>33714255.61047437</x:v>
      </x:c>
      <x:c r="AI411" s="141" t="n">
        <x:f>IF(AND($A411&gt;=Premissas!$B$48,$A411-Premissas!$B$48+1&lt;=Premissas!$B$13),INDEX(Amortizacao!$L$6:$L$485,$A411-Premissas!$B$48+1),0)</x:f>
        <x:v>0</x:v>
      </x:c>
      <x:c r="AJ411" s="141" t="n">
        <x:f>IF($A411&gt;=Premissas!$B$48,$F411,0)</x:f>
        <x:v>1436189.576672228</x:v>
      </x:c>
      <x:c r="AK411" s="141" t="n">
        <x:f>AH411+AJ411-AI411</x:f>
        <x:v>35150445.1871466</x:v>
      </x:c>
      <x:c r="AL411" s="141" t="n">
        <x:f>IF(AG411&gt;1,"Inviavel",AK411)</x:f>
        <x:v>35150445.1871466</x:v>
      </x:c>
      <x:c r="AM411" s="141" t="str">
        <x:f>IF(AG411&gt;1,"Inviavel","OK")</x:f>
        <x:v>OK</x:v>
      </x:c>
      <x:c r="AN411" s="141" t="n">
        <x:f>IF($A411=Premissas!$B$48,Premissas!$B$8,0)</x:f>
        <x:v>0</x:v>
      </x:c>
      <x:c r="AO411" s="141" t="n">
        <x:f>IF($A411&lt;=Premissas!$B$25,INDEX('Consorcio IQ'!$K$6:$K$485,$A411),0)</x:f>
        <x:v>0</x:v>
      </x:c>
      <x:c r="AP411" s="141" t="n">
        <x:f>IF(AND(TRUE,Premissas!$B$11="Imovel",Premissas!$B$47="Moradia",$A411&lt;MAX(Premissas!$B$48,Premissas!$B$49)),$D411,0)</x:f>
        <x:v>0</x:v>
      </x:c>
      <x:c r="AQ411" s="141" t="n">
        <x:f>IF(AND(TRUE,Premissas!$B$11="Imovel",Premissas!$B$47="Investimento",$A411&gt;=MAX(Premissas!$B$48,Premissas!$B$49)),$E411,0)</x:f>
        <x:v>4377.9775249910135</x:v>
      </x:c>
      <x:c r="AR411" s="141" t="n">
        <x:f>AN411+AO411+AP411</x:f>
        <x:v>0</x:v>
      </x:c>
      <x:c r="AS411" s="141" t="n">
        <x:f>AQ411</x:f>
        <x:v>4377.9775249910135</x:v>
      </x:c>
      <x:c r="AT411" s="141" t="n">
        <x:f>$C411+AS411-AR411</x:f>
        <x:v>11377.977524991013</x:v>
      </x:c>
      <x:c r="AU411" s="141" t="n">
        <x:f>AX410*(1+Premissas!$B$41)+AT411</x:f>
        <x:v>33446903.430960283</x:v>
      </x:c>
      <x:c r="AV411" s="141" t="n">
        <x:f>MAX(0,-AU411)</x:f>
        <x:v>0</x:v>
      </x:c>
      <x:c r="AW411" s="141" t="n">
        <x:f>AW410*(1+Premissas!$B$41)+AV411</x:f>
        <x:v>0</x:v>
      </x:c>
      <x:c r="AX411" s="141" t="n">
        <x:f>MAX(0,AU411)</x:f>
        <x:v>33446903.430960283</x:v>
      </x:c>
      <x:c r="AY411" s="141" t="n">
        <x:f>INDEX('Consorcio IQ'!$P$6:$P$485,$A411)</x:f>
        <x:v>0</x:v>
      </x:c>
      <x:c r="AZ411" s="141" t="n">
        <x:f>IF($A411&gt;=Premissas!$B$48,$F411,0)+IF($A411&lt;Premissas!$B$27,INDEX('Consorcio IQ'!$O$6:$O$485,$A411),0)</x:f>
        <x:v>1436189.576672228</x:v>
      </x:c>
      <x:c r="BA411" s="141" t="n">
        <x:f>AX411+AZ411-AY411</x:f>
        <x:v>34883093.00763251</x:v>
      </x:c>
      <x:c r="BB411" s="141" t="n">
        <x:f>IF(AW411&gt;1,"Inviavel",BA411)</x:f>
        <x:v>34883093.00763251</x:v>
      </x:c>
      <x:c r="BC411" s="141" t="str">
        <x:f>IF(AW411&gt;1,"Inviavel","OK")</x:f>
        <x:v>OK</x:v>
      </x:c>
      <x:c r="BD411" s="141" t="n">
        <x:f>IF($A411='Consorcio Direto'!$B$29,'Consorcio Direto'!$B$44,0)</x:f>
        <x:v>0</x:v>
      </x:c>
      <x:c r="BE411" s="141" t="n">
        <x:f>IF($A411&lt;='Consorcio Direto'!$B$27,INDEX('Consorcio Direto'!$E$55:$E$534,$A411),0)</x:f>
        <x:v>0</x:v>
      </x:c>
      <x:c r="BF411" s="141" t="n">
        <x:f>IF(AND(TRUE,Premissas!$B$11="Imovel",Premissas!$B$47="Moradia",$A411&lt;MAX('Consorcio Direto'!$B$29,Premissas!$B$49)),$D411,0)</x:f>
        <x:v>0</x:v>
      </x:c>
      <x:c r="BG411" s="141" t="n">
        <x:f>IF(AND(TRUE,Premissas!$B$11="Imovel",Premissas!$B$47="Investimento",$A411&gt;=MAX('Consorcio Direto'!$B$29,Premissas!$B$49)),$E411,0)</x:f>
        <x:v>4377.9775249910135</x:v>
      </x:c>
      <x:c r="BH411" s="141" t="n">
        <x:f>BD411+BE411+BF411</x:f>
        <x:v>0</x:v>
      </x:c>
      <x:c r="BI411" s="141" t="n">
        <x:f>BG411</x:f>
        <x:v>4377.9775249910135</x:v>
      </x:c>
      <x:c r="BJ411" s="141" t="n">
        <x:f>$C411+BI411-BH411</x:f>
        <x:v>11377.977524991013</x:v>
      </x:c>
      <x:c r="BK411" s="141" t="n">
        <x:f>BN410*(1+Premissas!$B$41)+BJ411</x:f>
        <x:v>32002028.154012002</x:v>
      </x:c>
      <x:c r="BL411" s="141" t="n">
        <x:f>MAX(0,-BK411)</x:f>
        <x:v>0</x:v>
      </x:c>
      <x:c r="BM411" s="141" t="n">
        <x:f>BM410*(1+Premissas!$B$41)+BL411</x:f>
        <x:v>0</x:v>
      </x:c>
      <x:c r="BN411" s="141" t="n">
        <x:f>MAX(0,BK411)</x:f>
        <x:v>32002028.154012002</x:v>
      </x:c>
      <x:c r="BO411" s="141" t="n">
        <x:f>INDEX('Consorcio Direto'!$K$55:$K$534,$A411)</x:f>
        <x:v>0</x:v>
      </x:c>
      <x:c r="BP411" s="141" t="n">
        <x:f>IF($A411&lt;'Consorcio Direto'!$B$29,INDEX('Consorcio Direto'!$L$55:$L$534,$A411),$F411)</x:f>
        <x:v>1436189.576672228</x:v>
      </x:c>
      <x:c r="BQ411" s="141" t="n">
        <x:f>BN411+BP411-BO411</x:f>
        <x:v>33438217.73068423</x:v>
      </x:c>
      <x:c r="BR411" s="141" t="n">
        <x:f>IF(BM411&gt;1,"Inviavel",BQ411)</x:f>
        <x:v>33438217.73068423</x:v>
      </x:c>
      <x:c r="BS411" s="141" t="str">
        <x:f>IF(BM411&gt;1,"Inviavel","OK")</x:f>
        <x:v>OK</x:v>
      </x:c>
      <x:c r="BT411" s="141" t="n">
        <x:f>IF(AND('Carta Contemplada'!$B$22="Sim",$A411='Carta Contemplada'!$B$23),'Carta Contemplada'!$B$37,0)</x:f>
        <x:v>0</x:v>
      </x:c>
      <x:c r="BU411" s="141" t="n">
        <x:f>IF('Carta Contemplada'!$B$22="Sim",INDEX('Carta Contemplada'!$C$55:$C$1013,$A411),0)</x:f>
        <x:v>0</x:v>
      </x:c>
      <x:c r="BV411" s="141" t="n">
        <x:f>IF(AND('Carta Contemplada'!$B$22="Sim",Premissas!$B$11="Imovel",Premissas!$B$47="Moradia",$A411&lt;MAX('Carta Contemplada'!$B$44,Premissas!$B$49)),$D411,0)</x:f>
        <x:v>0</x:v>
      </x:c>
      <x:c r="BW411" s="141" t="n">
        <x:f>IF(AND('Carta Contemplada'!$B$22="Sim",Premissas!$B$11="Imovel",Premissas!$B$47="Investimento",$A411&gt;=MAX('Carta Contemplada'!$B$44,Premissas!$B$49)),$E411,0)</x:f>
        <x:v>4377.9775249910135</x:v>
      </x:c>
      <x:c r="BX411" s="141" t="n">
        <x:f>BT411+BU411+BV411</x:f>
        <x:v>0</x:v>
      </x:c>
      <x:c r="BY411" s="141" t="n">
        <x:f>BW411</x:f>
        <x:v>4377.9775249910135</x:v>
      </x:c>
      <x:c r="BZ411" s="141" t="n">
        <x:f>$C411+BY411-BX411</x:f>
        <x:v>11377.977524991013</x:v>
      </x:c>
      <x:c r="CA411" s="141" t="n">
        <x:f>CD410*(1+Premissas!$B$41)+BZ411</x:f>
        <x:v>34388467.56282149</x:v>
      </x:c>
      <x:c r="CB411" s="141" t="n">
        <x:f>MAX(0,-CA411)</x:f>
        <x:v>0</x:v>
      </x:c>
      <x:c r="CC411" s="141" t="n">
        <x:f>CC410*(1+Premissas!$B$41)+CB411</x:f>
        <x:v>0</x:v>
      </x:c>
      <x:c r="CD411" s="141" t="n">
        <x:f>MAX(0,CA411)</x:f>
        <x:v>34388467.56282149</x:v>
      </x:c>
      <x:c r="CE411" s="141" t="n">
        <x:f>IF(AND('Carta Contemplada'!$B$22="Sim",$A411&gt;='Carta Contemplada'!$B$23),INDEX('Carta Contemplada'!$I$55:$I$1013,$A411),0)</x:f>
        <x:v>0</x:v>
      </x:c>
      <x:c r="CF411" s="141" t="n">
        <x:f>IF(AND('Carta Contemplada'!$B$22="Sim",$A411&gt;='Carta Contemplada'!$B$44),$F411,0)</x:f>
        <x:v>1436189.576672228</x:v>
      </x:c>
      <x:c r="CG411" s="141" t="n">
        <x:f>CD411+CF411-CE411</x:f>
        <x:v>35824657.13949372</x:v>
      </x:c>
      <x:c r="CH411" s="141" t="n">
        <x:f>IF(CC411&gt;1,"Inviavel",CG411)</x:f>
        <x:v>35824657.13949372</x:v>
      </x:c>
      <x:c r="CI411" s="145" t="str">
        <x:f>IF(CC411&gt;1,"Inviavel","OK")</x:f>
        <x:v>OK</x:v>
      </x:c>
    </x:row>
    <x:row r="412">
      <x:c r="A412" s="142" t="n">
        <x:v>408</x:v>
      </x:c>
      <x:c r="B412" s="179" t="n">
        <x:f>EDATE(Premissas!$B$4,A412-1)</x:f>
        <x:v>58927</x:v>
      </x:c>
      <x:c r="C412" s="141" t="n">
        <x:f>IF(A412&lt;=Premissas!$B$39,Premissas!$B$42,0)</x:f>
        <x:v>7000</x:v>
      </x:c>
      <x:c r="D412" s="141" t="n">
        <x:f>Premissas!$B$54*(1+Premissas!$B$57)^INT((A412-1)/12)</x:f>
        <x:v>4788.412917958921</x:v>
      </x:c>
      <x:c r="E412" s="141" t="n">
        <x:f>Premissas!$B$64*(1+Premissas!$B$57)^INT((A412-1)/12)</x:f>
        <x:v>4377.9775249910135</x:v>
      </x:c>
      <x:c r="F412" s="141" t="n">
        <x:f>MAX(0,Premissas!$B$6*(1+Premissas!$B$66)^((A412-1)/12))</x:f>
        <x:v>1443180.3020580984</x:v>
      </x:c>
      <x:c r="G412" s="141" t="n">
        <x:f>G411*(1+Premissas!$B$41)+C412</x:f>
        <x:v>38242851.9894187</x:v>
      </x:c>
      <x:c r="H412" s="141" t="n">
        <x:f>IF($A412=Premissas!$B$48,Premissas!$B$8,0)</x:f>
        <x:v>0</x:v>
      </x:c>
      <x:c r="I412" s="141" t="n">
        <x:f>IF(AND($A412&gt;=Premissas!$B$48,$A412-Premissas!$B$48+1&lt;=Premissas!$B$13),INDEX(Financiamento!$J$6:$J$485,$A412-Premissas!$B$48+1),0)</x:f>
        <x:v>577.9444983426972</x:v>
      </x:c>
      <x:c r="J412" s="141" t="n">
        <x:f>IF(AND(TRUE,Premissas!$B$11="Imovel",Premissas!$B$47="Moradia",$A412&lt;MAX(Premissas!$B$48,Premissas!$B$49)),$D412,0)</x:f>
        <x:v>0</x:v>
      </x:c>
      <x:c r="K412" s="141" t="n">
        <x:f>IF(AND(TRUE,Premissas!$B$11="Imovel",Premissas!$B$47="Investimento",$A412&gt;=MAX(Premissas!$B$48,Premissas!$B$49)),$E412,0)</x:f>
        <x:v>4377.9775249910135</x:v>
      </x:c>
      <x:c r="L412" s="141" t="n">
        <x:f>H412+I412+J412</x:f>
        <x:v>577.9444983426972</x:v>
      </x:c>
      <x:c r="M412" s="141" t="n">
        <x:f>K412</x:f>
        <x:v>4377.9775249910135</x:v>
      </x:c>
      <x:c r="N412" s="141" t="n">
        <x:f>$C412+M412-L412</x:f>
        <x:v>10800.033026648316</x:v>
      </x:c>
      <x:c r="O412" s="141" t="n">
        <x:f>R411*(1+Premissas!$B$41)+N412</x:f>
        <x:v>33488420.036923572</x:v>
      </x:c>
      <x:c r="P412" s="141" t="n">
        <x:f>MAX(0,-O412)</x:f>
        <x:v>0</x:v>
      </x:c>
      <x:c r="Q412" s="141" t="n">
        <x:f>Q411*(1+Premissas!$B$41)+P412</x:f>
        <x:v>0</x:v>
      </x:c>
      <x:c r="R412" s="141" t="n">
        <x:f>MAX(0,O412)</x:f>
        <x:v>33488420.036923572</x:v>
      </x:c>
      <x:c r="S412" s="141" t="n">
        <x:f>IF(AND($A412&gt;=Premissas!$B$48,$A412-Premissas!$B$48+1&lt;=Premissas!$B$13),INDEX(Financiamento!$M$6:$M$485,$A412-Premissas!$B$48+1),0)</x:f>
        <x:v>4571.428571428574</x:v>
      </x:c>
      <x:c r="T412" s="141" t="n">
        <x:f>IF($A412&gt;=Premissas!$B$48,$F412,0)</x:f>
        <x:v>1443180.3020580984</x:v>
      </x:c>
      <x:c r="U412" s="141" t="n">
        <x:f>R412+T412-S412</x:f>
        <x:v>34927028.91041025</x:v>
      </x:c>
      <x:c r="V412" s="141" t="n">
        <x:f>IF(Q412&gt;1,"Inviavel",U412)</x:f>
        <x:v>34927028.91041025</x:v>
      </x:c>
      <x:c r="W412" s="141" t="str">
        <x:f>IF(Q412&gt;1,"Inviavel","OK")</x:f>
        <x:v>OK</x:v>
      </x:c>
      <x:c r="X412" s="141" t="n">
        <x:f>IF($A412=Premissas!$B$48,Premissas!$B$8,0)</x:f>
        <x:v>0</x:v>
      </x:c>
      <x:c r="Y412" s="141" t="n">
        <x:f>IF(AND($A412&gt;=Premissas!$B$48,$A412-Premissas!$B$48+1&lt;=Premissas!$B$13),INDEX(Amortizacao!$K$6:$K$485,$A412-Premissas!$B$48+1),0)</x:f>
        <x:v>0</x:v>
      </x:c>
      <x:c r="Z412" s="141" t="n">
        <x:f>IF(AND(TRUE,Premissas!$B$11="Imovel",Premissas!$B$47="Moradia",$A412&lt;MAX(Premissas!$B$48,Premissas!$B$49)),$D412,0)</x:f>
        <x:v>0</x:v>
      </x:c>
      <x:c r="AA412" s="141" t="n">
        <x:f>IF(AND(TRUE,Premissas!$B$11="Imovel",Premissas!$B$47="Investimento",$A412&gt;=MAX(Premissas!$B$48,Premissas!$B$49)),$E412,0)</x:f>
        <x:v>4377.9775249910135</x:v>
      </x:c>
      <x:c r="AB412" s="141" t="n">
        <x:f>X412+Y412+Z412</x:f>
        <x:v>0</x:v>
      </x:c>
      <x:c r="AC412" s="141" t="n">
        <x:f>AA412</x:f>
        <x:v>4377.9775249910135</x:v>
      </x:c>
      <x:c r="AD412" s="141" t="n">
        <x:f>$C412+AC412-AB412</x:f>
        <x:v>11377.977524991013</x:v>
      </x:c>
      <x:c r="AE412" s="141" t="n">
        <x:f>AH411*(1+Premissas!$B$41)+AD412</x:f>
        <x:v>34045541.17843076</x:v>
      </x:c>
      <x:c r="AF412" s="141" t="n">
        <x:f>MAX(0,-AE412)</x:f>
        <x:v>0</x:v>
      </x:c>
      <x:c r="AG412" s="141" t="n">
        <x:f>AG411*(1+Premissas!$B$41)+AF412</x:f>
        <x:v>0</x:v>
      </x:c>
      <x:c r="AH412" s="141" t="n">
        <x:f>MAX(0,AE412)</x:f>
        <x:v>34045541.17843076</x:v>
      </x:c>
      <x:c r="AI412" s="141" t="n">
        <x:f>IF(AND($A412&gt;=Premissas!$B$48,$A412-Premissas!$B$48+1&lt;=Premissas!$B$13),INDEX(Amortizacao!$L$6:$L$485,$A412-Premissas!$B$48+1),0)</x:f>
        <x:v>0</x:v>
      </x:c>
      <x:c r="AJ412" s="141" t="n">
        <x:f>IF($A412&gt;=Premissas!$B$48,$F412,0)</x:f>
        <x:v>1443180.3020580984</x:v>
      </x:c>
      <x:c r="AK412" s="141" t="n">
        <x:f>AH412+AJ412-AI412</x:f>
        <x:v>35488721.48048886</x:v>
      </x:c>
      <x:c r="AL412" s="141" t="n">
        <x:f>IF(AG412&gt;1,"Inviavel",AK412)</x:f>
        <x:v>35488721.48048886</x:v>
      </x:c>
      <x:c r="AM412" s="141" t="str">
        <x:f>IF(AG412&gt;1,"Inviavel","OK")</x:f>
        <x:v>OK</x:v>
      </x:c>
      <x:c r="AN412" s="141" t="n">
        <x:f>IF($A412=Premissas!$B$48,Premissas!$B$8,0)</x:f>
        <x:v>0</x:v>
      </x:c>
      <x:c r="AO412" s="141" t="n">
        <x:f>IF($A412&lt;=Premissas!$B$25,INDEX('Consorcio IQ'!$K$6:$K$485,$A412),0)</x:f>
        <x:v>0</x:v>
      </x:c>
      <x:c r="AP412" s="141" t="n">
        <x:f>IF(AND(TRUE,Premissas!$B$11="Imovel",Premissas!$B$47="Moradia",$A412&lt;MAX(Premissas!$B$48,Premissas!$B$49)),$D412,0)</x:f>
        <x:v>0</x:v>
      </x:c>
      <x:c r="AQ412" s="141" t="n">
        <x:f>IF(AND(TRUE,Premissas!$B$11="Imovel",Premissas!$B$47="Investimento",$A412&gt;=MAX(Premissas!$B$48,Premissas!$B$49)),$E412,0)</x:f>
        <x:v>4377.9775249910135</x:v>
      </x:c>
      <x:c r="AR412" s="141" t="n">
        <x:f>AN412+AO412+AP412</x:f>
        <x:v>0</x:v>
      </x:c>
      <x:c r="AS412" s="141" t="n">
        <x:f>AQ412</x:f>
        <x:v>4377.9775249910135</x:v>
      </x:c>
      <x:c r="AT412" s="141" t="n">
        <x:f>$C412+AS412-AR412</x:f>
        <x:v>11377.977524991013</x:v>
      </x:c>
      <x:c r="AU412" s="141" t="n">
        <x:f>AX411*(1+Premissas!$B$41)+AT412</x:f>
        <x:v>33775652.14944465</x:v>
      </x:c>
      <x:c r="AV412" s="141" t="n">
        <x:f>MAX(0,-AU412)</x:f>
        <x:v>0</x:v>
      </x:c>
      <x:c r="AW412" s="141" t="n">
        <x:f>AW411*(1+Premissas!$B$41)+AV412</x:f>
        <x:v>0</x:v>
      </x:c>
      <x:c r="AX412" s="141" t="n">
        <x:f>MAX(0,AU412)</x:f>
        <x:v>33775652.14944465</x:v>
      </x:c>
      <x:c r="AY412" s="141" t="n">
        <x:f>INDEX('Consorcio IQ'!$P$6:$P$485,$A412)</x:f>
        <x:v>0</x:v>
      </x:c>
      <x:c r="AZ412" s="141" t="n">
        <x:f>IF($A412&gt;=Premissas!$B$48,$F412,0)+IF($A412&lt;Premissas!$B$27,INDEX('Consorcio IQ'!$O$6:$O$485,$A412),0)</x:f>
        <x:v>1443180.3020580984</x:v>
      </x:c>
      <x:c r="BA412" s="141" t="n">
        <x:f>AX412+AZ412-AY412</x:f>
        <x:v>35218832.45150275</x:v>
      </x:c>
      <x:c r="BB412" s="141" t="n">
        <x:f>IF(AW412&gt;1,"Inviavel",BA412)</x:f>
        <x:v>35218832.45150275</x:v>
      </x:c>
      <x:c r="BC412" s="141" t="str">
        <x:f>IF(AW412&gt;1,"Inviavel","OK")</x:f>
        <x:v>OK</x:v>
      </x:c>
      <x:c r="BD412" s="141" t="n">
        <x:f>IF($A412='Consorcio Direto'!$B$29,'Consorcio Direto'!$B$44,0)</x:f>
        <x:v>0</x:v>
      </x:c>
      <x:c r="BE412" s="141" t="n">
        <x:f>IF($A412&lt;='Consorcio Direto'!$B$27,INDEX('Consorcio Direto'!$E$55:$E$534,$A412),0)</x:f>
        <x:v>0</x:v>
      </x:c>
      <x:c r="BF412" s="141" t="n">
        <x:f>IF(AND(TRUE,Premissas!$B$11="Imovel",Premissas!$B$47="Moradia",$A412&lt;MAX('Consorcio Direto'!$B$29,Premissas!$B$49)),$D412,0)</x:f>
        <x:v>0</x:v>
      </x:c>
      <x:c r="BG412" s="141" t="n">
        <x:f>IF(AND(TRUE,Premissas!$B$11="Imovel",Premissas!$B$47="Investimento",$A412&gt;=MAX('Consorcio Direto'!$B$29,Premissas!$B$49)),$E412,0)</x:f>
        <x:v>4377.9775249910135</x:v>
      </x:c>
      <x:c r="BH412" s="141" t="n">
        <x:f>BD412+BE412+BF412</x:f>
        <x:v>0</x:v>
      </x:c>
      <x:c r="BI412" s="141" t="n">
        <x:f>BG412</x:f>
        <x:v>4377.9775249910135</x:v>
      </x:c>
      <x:c r="BJ412" s="141" t="n">
        <x:f>$C412+BI412-BH412</x:f>
        <x:v>11377.977524991013</x:v>
      </x:c>
      <x:c r="BK412" s="141" t="n">
        <x:f>BN411*(1+Premissas!$B$41)+BJ412</x:f>
        <x:v>32317066.75017711</x:v>
      </x:c>
      <x:c r="BL412" s="141" t="n">
        <x:f>MAX(0,-BK412)</x:f>
        <x:v>0</x:v>
      </x:c>
      <x:c r="BM412" s="141" t="n">
        <x:f>BM411*(1+Premissas!$B$41)+BL412</x:f>
        <x:v>0</x:v>
      </x:c>
      <x:c r="BN412" s="141" t="n">
        <x:f>MAX(0,BK412)</x:f>
        <x:v>32317066.75017711</x:v>
      </x:c>
      <x:c r="BO412" s="141" t="n">
        <x:f>INDEX('Consorcio Direto'!$K$55:$K$534,$A412)</x:f>
        <x:v>0</x:v>
      </x:c>
      <x:c r="BP412" s="141" t="n">
        <x:f>IF($A412&lt;'Consorcio Direto'!$B$29,INDEX('Consorcio Direto'!$L$55:$L$534,$A412),$F412)</x:f>
        <x:v>1443180.3020580984</x:v>
      </x:c>
      <x:c r="BQ412" s="141" t="n">
        <x:f>BN412+BP412-BO412</x:f>
        <x:v>33760247.05223521</x:v>
      </x:c>
      <x:c r="BR412" s="141" t="n">
        <x:f>IF(BM412&gt;1,"Inviavel",BQ412)</x:f>
        <x:v>33760247.05223521</x:v>
      </x:c>
      <x:c r="BS412" s="141" t="str">
        <x:f>IF(BM412&gt;1,"Inviavel","OK")</x:f>
        <x:v>OK</x:v>
      </x:c>
      <x:c r="BT412" s="141" t="n">
        <x:f>IF(AND('Carta Contemplada'!$B$22="Sim",$A412='Carta Contemplada'!$B$23),'Carta Contemplada'!$B$37,0)</x:f>
        <x:v>0</x:v>
      </x:c>
      <x:c r="BU412" s="141" t="n">
        <x:f>IF('Carta Contemplada'!$B$22="Sim",INDEX('Carta Contemplada'!$C$55:$C$1013,$A412),0)</x:f>
        <x:v>0</x:v>
      </x:c>
      <x:c r="BV412" s="141" t="n">
        <x:f>IF(AND('Carta Contemplada'!$B$22="Sim",Premissas!$B$11="Imovel",Premissas!$B$47="Moradia",$A412&lt;MAX('Carta Contemplada'!$B$44,Premissas!$B$49)),$D412,0)</x:f>
        <x:v>0</x:v>
      </x:c>
      <x:c r="BW412" s="141" t="n">
        <x:f>IF(AND('Carta Contemplada'!$B$22="Sim",Premissas!$B$11="Imovel",Premissas!$B$47="Investimento",$A412&gt;=MAX('Carta Contemplada'!$B$44,Premissas!$B$49)),$E412,0)</x:f>
        <x:v>4377.9775249910135</x:v>
      </x:c>
      <x:c r="BX412" s="141" t="n">
        <x:f>BT412+BU412+BV412</x:f>
        <x:v>0</x:v>
      </x:c>
      <x:c r="BY412" s="141" t="n">
        <x:f>BW412</x:f>
        <x:v>4377.9775249910135</x:v>
      </x:c>
      <x:c r="BZ412" s="141" t="n">
        <x:f>$C412+BY412-BX412</x:f>
        <x:v>11377.977524991013</x:v>
      </x:c>
      <x:c r="CA412" s="141" t="n">
        <x:f>CD411*(1+Premissas!$B$41)+BZ412</x:f>
        <x:v>34726150.58838772</x:v>
      </x:c>
      <x:c r="CB412" s="141" t="n">
        <x:f>MAX(0,-CA412)</x:f>
        <x:v>0</x:v>
      </x:c>
      <x:c r="CC412" s="141" t="n">
        <x:f>CC411*(1+Premissas!$B$41)+CB412</x:f>
        <x:v>0</x:v>
      </x:c>
      <x:c r="CD412" s="141" t="n">
        <x:f>MAX(0,CA412)</x:f>
        <x:v>34726150.58838772</x:v>
      </x:c>
      <x:c r="CE412" s="141" t="n">
        <x:f>IF(AND('Carta Contemplada'!$B$22="Sim",$A412&gt;='Carta Contemplada'!$B$23),INDEX('Carta Contemplada'!$I$55:$I$1013,$A412),0)</x:f>
        <x:v>0</x:v>
      </x:c>
      <x:c r="CF412" s="141" t="n">
        <x:f>IF(AND('Carta Contemplada'!$B$22="Sim",$A412&gt;='Carta Contemplada'!$B$44),$F412,0)</x:f>
        <x:v>1443180.3020580984</x:v>
      </x:c>
      <x:c r="CG412" s="141" t="n">
        <x:f>CD412+CF412-CE412</x:f>
        <x:v>36169330.89044582</x:v>
      </x:c>
      <x:c r="CH412" s="141" t="n">
        <x:f>IF(CC412&gt;1,"Inviavel",CG412)</x:f>
        <x:v>36169330.89044582</x:v>
      </x:c>
      <x:c r="CI412" s="145" t="str">
        <x:f>IF(CC412&gt;1,"Inviavel","OK")</x:f>
        <x:v>OK</x:v>
      </x:c>
    </x:row>
    <x:row r="413">
      <x:c r="A413" s="142" t="n">
        <x:v>409</x:v>
      </x:c>
      <x:c r="B413" s="179" t="n">
        <x:f>EDATE(Premissas!$B$4,A413-1)</x:f>
        <x:v>58958</x:v>
      </x:c>
      <x:c r="C413" s="141" t="n">
        <x:f>IF(A413&lt;=Premissas!$B$39,Premissas!$B$42,0)</x:f>
        <x:v>7000</x:v>
      </x:c>
      <x:c r="D413" s="141" t="n">
        <x:f>Premissas!$B$54*(1+Premissas!$B$57)^INT((A413-1)/12)</x:f>
        <x:v>5075.717693036457</x:v>
      </x:c>
      <x:c r="E413" s="141" t="n">
        <x:f>Premissas!$B$64*(1+Premissas!$B$57)^INT((A413-1)/12)</x:f>
        <x:v>4640.6561764904745</x:v>
      </x:c>
      <x:c r="F413" s="141" t="n">
        <x:f>MAX(0,Premissas!$B$6*(1+Premissas!$B$66)^((A413-1)/12))</x:f>
        <x:v>1450205.0551532733</x:v>
      </x:c>
      <x:c r="G413" s="141" t="n">
        <x:f>G412*(1+Premissas!$B$41)+C413</x:f>
        <x:v>38612730.4931742</x:v>
      </x:c>
      <x:c r="H413" s="141" t="n">
        <x:f>IF($A413=Premissas!$B$48,Premissas!$B$8,0)</x:f>
        <x:v>0</x:v>
      </x:c>
      <x:c r="I413" s="141" t="n">
        <x:f>IF(AND($A413&gt;=Premissas!$B$48,$A413-Premissas!$B$48+1&lt;=Premissas!$B$13),INDEX(Financiamento!$J$6:$J$485,$A413-Premissas!$B$48+1),0)</x:f>
        <x:v>574.3297200819037</x:v>
      </x:c>
      <x:c r="J413" s="141" t="n">
        <x:f>IF(AND(TRUE,Premissas!$B$11="Imovel",Premissas!$B$47="Moradia",$A413&lt;MAX(Premissas!$B$48,Premissas!$B$49)),$D413,0)</x:f>
        <x:v>0</x:v>
      </x:c>
      <x:c r="K413" s="141" t="n">
        <x:f>IF(AND(TRUE,Premissas!$B$11="Imovel",Premissas!$B$47="Investimento",$A413&gt;=MAX(Premissas!$B$48,Premissas!$B$49)),$E413,0)</x:f>
        <x:v>4640.6561764904745</x:v>
      </x:c>
      <x:c r="L413" s="141" t="n">
        <x:f>H413+I413+J413</x:f>
        <x:v>574.3297200819037</x:v>
      </x:c>
      <x:c r="M413" s="141" t="n">
        <x:f>K413</x:f>
        <x:v>4640.6561764904745</x:v>
      </x:c>
      <x:c r="N413" s="141" t="n">
        <x:f>$C413+M413-L413</x:f>
        <x:v>11066.326456408571</x:v>
      </x:c>
      <x:c r="O413" s="141" t="n">
        <x:f>R412*(1+Premissas!$B$41)+N413</x:f>
        <x:v>33817251.046816684</x:v>
      </x:c>
      <x:c r="P413" s="141" t="n">
        <x:f>MAX(0,-O413)</x:f>
        <x:v>0</x:v>
      </x:c>
      <x:c r="Q413" s="141" t="n">
        <x:f>Q412*(1+Premissas!$B$41)+P413</x:f>
        <x:v>0</x:v>
      </x:c>
      <x:c r="R413" s="141" t="n">
        <x:f>MAX(0,O413)</x:f>
        <x:v>33817251.046816684</x:v>
      </x:c>
      <x:c r="S413" s="141" t="n">
        <x:f>IF(AND($A413&gt;=Premissas!$B$48,$A413-Premissas!$B$48+1&lt;=Premissas!$B$13),INDEX(Financiamento!$M$6:$M$485,$A413-Premissas!$B$48+1),0)</x:f>
        <x:v>4190.476190476193</x:v>
      </x:c>
      <x:c r="T413" s="141" t="n">
        <x:f>IF($A413&gt;=Premissas!$B$48,$F413,0)</x:f>
        <x:v>1450205.0551532733</x:v>
      </x:c>
      <x:c r="U413" s="141" t="n">
        <x:f>R413+T413-S413</x:f>
        <x:v>35263265.62577948</x:v>
      </x:c>
      <x:c r="V413" s="141" t="n">
        <x:f>IF(Q413&gt;1,"Inviavel",U413)</x:f>
        <x:v>35263265.62577948</x:v>
      </x:c>
      <x:c r="W413" s="141" t="str">
        <x:f>IF(Q413&gt;1,"Inviavel","OK")</x:f>
        <x:v>OK</x:v>
      </x:c>
      <x:c r="X413" s="141" t="n">
        <x:f>IF($A413=Premissas!$B$48,Premissas!$B$8,0)</x:f>
        <x:v>0</x:v>
      </x:c>
      <x:c r="Y413" s="141" t="n">
        <x:f>IF(AND($A413&gt;=Premissas!$B$48,$A413-Premissas!$B$48+1&lt;=Premissas!$B$13),INDEX(Amortizacao!$K$6:$K$485,$A413-Premissas!$B$48+1),0)</x:f>
        <x:v>0</x:v>
      </x:c>
      <x:c r="Z413" s="141" t="n">
        <x:f>IF(AND(TRUE,Premissas!$B$11="Imovel",Premissas!$B$47="Moradia",$A413&lt;MAX(Premissas!$B$48,Premissas!$B$49)),$D413,0)</x:f>
        <x:v>0</x:v>
      </x:c>
      <x:c r="AA413" s="141" t="n">
        <x:f>IF(AND(TRUE,Premissas!$B$11="Imovel",Premissas!$B$47="Investimento",$A413&gt;=MAX(Premissas!$B$48,Premissas!$B$49)),$E413,0)</x:f>
        <x:v>4640.6561764904745</x:v>
      </x:c>
      <x:c r="AB413" s="141" t="n">
        <x:f>X413+Y413+Z413</x:f>
        <x:v>0</x:v>
      </x:c>
      <x:c r="AC413" s="141" t="n">
        <x:f>AA413</x:f>
        <x:v>4640.6561764904745</x:v>
      </x:c>
      <x:c r="AD413" s="141" t="n">
        <x:f>$C413+AC413-AB413</x:f>
        <x:v>11640.656176490475</x:v>
      </x:c>
      <x:c r="AE413" s="141" t="n">
        <x:f>AH412*(1+Premissas!$B$41)+AD413</x:f>
        <x:v>34380232.9251952</x:v>
      </x:c>
      <x:c r="AF413" s="141" t="n">
        <x:f>MAX(0,-AE413)</x:f>
        <x:v>0</x:v>
      </x:c>
      <x:c r="AG413" s="141" t="n">
        <x:f>AG412*(1+Premissas!$B$41)+AF413</x:f>
        <x:v>0</x:v>
      </x:c>
      <x:c r="AH413" s="141" t="n">
        <x:f>MAX(0,AE413)</x:f>
        <x:v>34380232.9251952</x:v>
      </x:c>
      <x:c r="AI413" s="141" t="n">
        <x:f>IF(AND($A413&gt;=Premissas!$B$48,$A413-Premissas!$B$48+1&lt;=Premissas!$B$13),INDEX(Amortizacao!$L$6:$L$485,$A413-Premissas!$B$48+1),0)</x:f>
        <x:v>0</x:v>
      </x:c>
      <x:c r="AJ413" s="141" t="n">
        <x:f>IF($A413&gt;=Premissas!$B$48,$F413,0)</x:f>
        <x:v>1450205.0551532733</x:v>
      </x:c>
      <x:c r="AK413" s="141" t="n">
        <x:f>AH413+AJ413-AI413</x:f>
        <x:v>35830437.980348475</x:v>
      </x:c>
      <x:c r="AL413" s="141" t="n">
        <x:f>IF(AG413&gt;1,"Inviavel",AK413)</x:f>
        <x:v>35830437.980348475</x:v>
      </x:c>
      <x:c r="AM413" s="141" t="str">
        <x:f>IF(AG413&gt;1,"Inviavel","OK")</x:f>
        <x:v>OK</x:v>
      </x:c>
      <x:c r="AN413" s="141" t="n">
        <x:f>IF($A413=Premissas!$B$48,Premissas!$B$8,0)</x:f>
        <x:v>0</x:v>
      </x:c>
      <x:c r="AO413" s="141" t="n">
        <x:f>IF($A413&lt;=Premissas!$B$25,INDEX('Consorcio IQ'!$K$6:$K$485,$A413),0)</x:f>
        <x:v>0</x:v>
      </x:c>
      <x:c r="AP413" s="141" t="n">
        <x:f>IF(AND(TRUE,Premissas!$B$11="Imovel",Premissas!$B$47="Moradia",$A413&lt;MAX(Premissas!$B$48,Premissas!$B$49)),$D413,0)</x:f>
        <x:v>0</x:v>
      </x:c>
      <x:c r="AQ413" s="141" t="n">
        <x:f>IF(AND(TRUE,Premissas!$B$11="Imovel",Premissas!$B$47="Investimento",$A413&gt;=MAX(Premissas!$B$48,Premissas!$B$49)),$E413,0)</x:f>
        <x:v>4640.6561764904745</x:v>
      </x:c>
      <x:c r="AR413" s="141" t="n">
        <x:f>AN413+AO413+AP413</x:f>
        <x:v>0</x:v>
      </x:c>
      <x:c r="AS413" s="141" t="n">
        <x:f>AQ413</x:f>
        <x:v>4640.6561764904745</x:v>
      </x:c>
      <x:c r="AT413" s="141" t="n">
        <x:f>$C413+AS413-AR413</x:f>
        <x:v>11640.656176490475</x:v>
      </x:c>
      <x:c r="AU413" s="141" t="n">
        <x:f>AX412*(1+Premissas!$B$41)+AT413</x:f>
        <x:v>34107782.97509772</x:v>
      </x:c>
      <x:c r="AV413" s="141" t="n">
        <x:f>MAX(0,-AU413)</x:f>
        <x:v>0</x:v>
      </x:c>
      <x:c r="AW413" s="141" t="n">
        <x:f>AW412*(1+Premissas!$B$41)+AV413</x:f>
        <x:v>0</x:v>
      </x:c>
      <x:c r="AX413" s="141" t="n">
        <x:f>MAX(0,AU413)</x:f>
        <x:v>34107782.97509772</x:v>
      </x:c>
      <x:c r="AY413" s="141" t="n">
        <x:f>INDEX('Consorcio IQ'!$P$6:$P$485,$A413)</x:f>
        <x:v>0</x:v>
      </x:c>
      <x:c r="AZ413" s="141" t="n">
        <x:f>IF($A413&gt;=Premissas!$B$48,$F413,0)+IF($A413&lt;Premissas!$B$27,INDEX('Consorcio IQ'!$O$6:$O$485,$A413),0)</x:f>
        <x:v>1450205.0551532733</x:v>
      </x:c>
      <x:c r="BA413" s="141" t="n">
        <x:f>AX413+AZ413-AY413</x:f>
        <x:v>35557988.030251</x:v>
      </x:c>
      <x:c r="BB413" s="141" t="n">
        <x:f>IF(AW413&gt;1,"Inviavel",BA413)</x:f>
        <x:v>35557988.030251</x:v>
      </x:c>
      <x:c r="BC413" s="141" t="str">
        <x:f>IF(AW413&gt;1,"Inviavel","OK")</x:f>
        <x:v>OK</x:v>
      </x:c>
      <x:c r="BD413" s="141" t="n">
        <x:f>IF($A413='Consorcio Direto'!$B$29,'Consorcio Direto'!$B$44,0)</x:f>
        <x:v>0</x:v>
      </x:c>
      <x:c r="BE413" s="141" t="n">
        <x:f>IF($A413&lt;='Consorcio Direto'!$B$27,INDEX('Consorcio Direto'!$E$55:$E$534,$A413),0)</x:f>
        <x:v>0</x:v>
      </x:c>
      <x:c r="BF413" s="141" t="n">
        <x:f>IF(AND(TRUE,Premissas!$B$11="Imovel",Premissas!$B$47="Moradia",$A413&lt;MAX('Consorcio Direto'!$B$29,Premissas!$B$49)),$D413,0)</x:f>
        <x:v>0</x:v>
      </x:c>
      <x:c r="BG413" s="141" t="n">
        <x:f>IF(AND(TRUE,Premissas!$B$11="Imovel",Premissas!$B$47="Investimento",$A413&gt;=MAX('Consorcio Direto'!$B$29,Premissas!$B$49)),$E413,0)</x:f>
        <x:v>4640.6561764904745</x:v>
      </x:c>
      <x:c r="BH413" s="141" t="n">
        <x:f>BD413+BE413+BF413</x:f>
        <x:v>0</x:v>
      </x:c>
      <x:c r="BI413" s="141" t="n">
        <x:f>BG413</x:f>
        <x:v>4640.6561764904745</x:v>
      </x:c>
      <x:c r="BJ413" s="141" t="n">
        <x:f>$C413+BI413-BH413</x:f>
        <x:v>11640.656176490475</x:v>
      </x:c>
      <x:c r="BK413" s="141" t="n">
        <x:f>BN412*(1+Premissas!$B$41)+BJ413</x:f>
        <x:v>32635357.36099913</x:v>
      </x:c>
      <x:c r="BL413" s="141" t="n">
        <x:f>MAX(0,-BK413)</x:f>
        <x:v>0</x:v>
      </x:c>
      <x:c r="BM413" s="141" t="n">
        <x:f>BM412*(1+Premissas!$B$41)+BL413</x:f>
        <x:v>0</x:v>
      </x:c>
      <x:c r="BN413" s="141" t="n">
        <x:f>MAX(0,BK413)</x:f>
        <x:v>32635357.36099913</x:v>
      </x:c>
      <x:c r="BO413" s="141" t="n">
        <x:f>INDEX('Consorcio Direto'!$K$55:$K$534,$A413)</x:f>
        <x:v>0</x:v>
      </x:c>
      <x:c r="BP413" s="141" t="n">
        <x:f>IF($A413&lt;'Consorcio Direto'!$B$29,INDEX('Consorcio Direto'!$L$55:$L$534,$A413),$F413)</x:f>
        <x:v>1450205.0551532733</x:v>
      </x:c>
      <x:c r="BQ413" s="141" t="n">
        <x:f>BN413+BP413-BO413</x:f>
        <x:v>34085562.4161524</x:v>
      </x:c>
      <x:c r="BR413" s="141" t="n">
        <x:f>IF(BM413&gt;1,"Inviavel",BQ413)</x:f>
        <x:v>34085562.4161524</x:v>
      </x:c>
      <x:c r="BS413" s="141" t="str">
        <x:f>IF(BM413&gt;1,"Inviavel","OK")</x:f>
        <x:v>OK</x:v>
      </x:c>
      <x:c r="BT413" s="141" t="n">
        <x:f>IF(AND('Carta Contemplada'!$B$22="Sim",$A413='Carta Contemplada'!$B$23),'Carta Contemplada'!$B$37,0)</x:f>
        <x:v>0</x:v>
      </x:c>
      <x:c r="BU413" s="141" t="n">
        <x:f>IF('Carta Contemplada'!$B$22="Sim",INDEX('Carta Contemplada'!$C$55:$C$1013,$A413),0)</x:f>
        <x:v>0</x:v>
      </x:c>
      <x:c r="BV413" s="141" t="n">
        <x:f>IF(AND('Carta Contemplada'!$B$22="Sim",Premissas!$B$11="Imovel",Premissas!$B$47="Moradia",$A413&lt;MAX('Carta Contemplada'!$B$44,Premissas!$B$49)),$D413,0)</x:f>
        <x:v>0</x:v>
      </x:c>
      <x:c r="BW413" s="141" t="n">
        <x:f>IF(AND('Carta Contemplada'!$B$22="Sim",Premissas!$B$11="Imovel",Premissas!$B$47="Investimento",$A413&gt;=MAX('Carta Contemplada'!$B$44,Premissas!$B$49)),$E413,0)</x:f>
        <x:v>4640.6561764904745</x:v>
      </x:c>
      <x:c r="BX413" s="141" t="n">
        <x:f>BT413+BU413+BV413</x:f>
        <x:v>0</x:v>
      </x:c>
      <x:c r="BY413" s="141" t="n">
        <x:f>BW413</x:f>
        <x:v>4640.6561764904745</x:v>
      </x:c>
      <x:c r="BZ413" s="141" t="n">
        <x:f>$C413+BY413-BX413</x:f>
        <x:v>11640.656176490475</x:v>
      </x:c>
      <x:c r="CA413" s="141" t="n">
        <x:f>CD412*(1+Premissas!$B$41)+BZ413</x:f>
        <x:v>35067300.496912576</x:v>
      </x:c>
      <x:c r="CB413" s="141" t="n">
        <x:f>MAX(0,-CA413)</x:f>
        <x:v>0</x:v>
      </x:c>
      <x:c r="CC413" s="141" t="n">
        <x:f>CC412*(1+Premissas!$B$41)+CB413</x:f>
        <x:v>0</x:v>
      </x:c>
      <x:c r="CD413" s="141" t="n">
        <x:f>MAX(0,CA413)</x:f>
        <x:v>35067300.496912576</x:v>
      </x:c>
      <x:c r="CE413" s="141" t="n">
        <x:f>IF(AND('Carta Contemplada'!$B$22="Sim",$A413&gt;='Carta Contemplada'!$B$23),INDEX('Carta Contemplada'!$I$55:$I$1013,$A413),0)</x:f>
        <x:v>0</x:v>
      </x:c>
      <x:c r="CF413" s="141" t="n">
        <x:f>IF(AND('Carta Contemplada'!$B$22="Sim",$A413&gt;='Carta Contemplada'!$B$44),$F413,0)</x:f>
        <x:v>1450205.0551532733</x:v>
      </x:c>
      <x:c r="CG413" s="141" t="n">
        <x:f>CD413+CF413-CE413</x:f>
        <x:v>36517505.55206585</x:v>
      </x:c>
      <x:c r="CH413" s="141" t="n">
        <x:f>IF(CC413&gt;1,"Inviavel",CG413)</x:f>
        <x:v>36517505.55206585</x:v>
      </x:c>
      <x:c r="CI413" s="145" t="str">
        <x:f>IF(CC413&gt;1,"Inviavel","OK")</x:f>
        <x:v>OK</x:v>
      </x:c>
    </x:row>
    <x:row r="414">
      <x:c r="A414" s="142" t="n">
        <x:v>410</x:v>
      </x:c>
      <x:c r="B414" s="179" t="n">
        <x:f>EDATE(Premissas!$B$4,A414-1)</x:f>
        <x:v>58988</x:v>
      </x:c>
      <x:c r="C414" s="141" t="n">
        <x:f>IF(A414&lt;=Premissas!$B$39,Premissas!$B$42,0)</x:f>
        <x:v>7000</x:v>
      </x:c>
      <x:c r="D414" s="141" t="n">
        <x:f>Premissas!$B$54*(1+Premissas!$B$57)^INT((A414-1)/12)</x:f>
        <x:v>5075.717693036457</x:v>
      </x:c>
      <x:c r="E414" s="141" t="n">
        <x:f>Premissas!$B$64*(1+Premissas!$B$57)^INT((A414-1)/12)</x:f>
        <x:v>4640.6561764904745</x:v>
      </x:c>
      <x:c r="F414" s="141" t="n">
        <x:f>MAX(0,Premissas!$B$6*(1+Premissas!$B$66)^((A414-1)/12))</x:f>
        <x:v>1457264.001589348</x:v>
      </x:c>
      <x:c r="G414" s="141" t="n">
        <x:f>G413*(1+Premissas!$B$41)+C414</x:f>
        <x:v>38986118.69746279</x:v>
      </x:c>
      <x:c r="H414" s="141" t="n">
        <x:f>IF($A414=Premissas!$B$48,Premissas!$B$8,0)</x:f>
        <x:v>0</x:v>
      </x:c>
      <x:c r="I414" s="141" t="n">
        <x:f>IF(AND($A414&gt;=Premissas!$B$48,$A414-Premissas!$B$48+1&lt;=Premissas!$B$13),INDEX(Financiamento!$J$6:$J$485,$A414-Premissas!$B$48+1),0)</x:f>
        <x:v>570.7149418211102</x:v>
      </x:c>
      <x:c r="J414" s="141" t="n">
        <x:f>IF(AND(TRUE,Premissas!$B$11="Imovel",Premissas!$B$47="Moradia",$A414&lt;MAX(Premissas!$B$48,Premissas!$B$49)),$D414,0)</x:f>
        <x:v>0</x:v>
      </x:c>
      <x:c r="K414" s="141" t="n">
        <x:f>IF(AND(TRUE,Premissas!$B$11="Imovel",Premissas!$B$47="Investimento",$A414&gt;=MAX(Premissas!$B$48,Premissas!$B$49)),$E414,0)</x:f>
        <x:v>4640.6561764904745</x:v>
      </x:c>
      <x:c r="L414" s="141" t="n">
        <x:f>H414+I414+J414</x:f>
        <x:v>570.7149418211102</x:v>
      </x:c>
      <x:c r="M414" s="141" t="n">
        <x:f>K414</x:f>
        <x:v>4640.6561764904745</x:v>
      </x:c>
      <x:c r="N414" s="141" t="n">
        <x:f>$C414+M414-L414</x:f>
        <x:v>11069.941234669364</x:v>
      </x:c>
      <x:c r="O414" s="141" t="n">
        <x:f>R413*(1+Premissas!$B$41)+N414</x:f>
        <x:v>34149205.88085141</x:v>
      </x:c>
      <x:c r="P414" s="141" t="n">
        <x:f>MAX(0,-O414)</x:f>
        <x:v>0</x:v>
      </x:c>
      <x:c r="Q414" s="141" t="n">
        <x:f>Q413*(1+Premissas!$B$41)+P414</x:f>
        <x:v>0</x:v>
      </x:c>
      <x:c r="R414" s="141" t="n">
        <x:f>MAX(0,O414)</x:f>
        <x:v>34149205.88085141</x:v>
      </x:c>
      <x:c r="S414" s="141" t="n">
        <x:f>IF(AND($A414&gt;=Premissas!$B$48,$A414-Premissas!$B$48+1&lt;=Premissas!$B$13),INDEX(Financiamento!$M$6:$M$485,$A414-Premissas!$B$48+1),0)</x:f>
        <x:v>3809.5238095238115</x:v>
      </x:c>
      <x:c r="T414" s="141" t="n">
        <x:f>IF($A414&gt;=Premissas!$B$48,$F414,0)</x:f>
        <x:v>1457264.001589348</x:v>
      </x:c>
      <x:c r="U414" s="141" t="n">
        <x:f>R414+T414-S414</x:f>
        <x:v>35602660.35863124</x:v>
      </x:c>
      <x:c r="V414" s="141" t="n">
        <x:f>IF(Q414&gt;1,"Inviavel",U414)</x:f>
        <x:v>35602660.35863124</x:v>
      </x:c>
      <x:c r="W414" s="141" t="str">
        <x:f>IF(Q414&gt;1,"Inviavel","OK")</x:f>
        <x:v>OK</x:v>
      </x:c>
      <x:c r="X414" s="141" t="n">
        <x:f>IF($A414=Premissas!$B$48,Premissas!$B$8,0)</x:f>
        <x:v>0</x:v>
      </x:c>
      <x:c r="Y414" s="141" t="n">
        <x:f>IF(AND($A414&gt;=Premissas!$B$48,$A414-Premissas!$B$48+1&lt;=Premissas!$B$13),INDEX(Amortizacao!$K$6:$K$485,$A414-Premissas!$B$48+1),0)</x:f>
        <x:v>0</x:v>
      </x:c>
      <x:c r="Z414" s="141" t="n">
        <x:f>IF(AND(TRUE,Premissas!$B$11="Imovel",Premissas!$B$47="Moradia",$A414&lt;MAX(Premissas!$B$48,Premissas!$B$49)),$D414,0)</x:f>
        <x:v>0</x:v>
      </x:c>
      <x:c r="AA414" s="141" t="n">
        <x:f>IF(AND(TRUE,Premissas!$B$11="Imovel",Premissas!$B$47="Investimento",$A414&gt;=MAX(Premissas!$B$48,Premissas!$B$49)),$E414,0)</x:f>
        <x:v>4640.6561764904745</x:v>
      </x:c>
      <x:c r="AB414" s="141" t="n">
        <x:f>X414+Y414+Z414</x:f>
        <x:v>0</x:v>
      </x:c>
      <x:c r="AC414" s="141" t="n">
        <x:f>AA414</x:f>
        <x:v>4640.6561764904745</x:v>
      </x:c>
      <x:c r="AD414" s="141" t="n">
        <x:f>$C414+AC414-AB414</x:f>
        <x:v>11640.656176490475</x:v>
      </x:c>
      <x:c r="AE414" s="141" t="n">
        <x:f>AH413*(1+Premissas!$B$41)+AD414</x:f>
        <x:v>34718100.492641605</x:v>
      </x:c>
      <x:c r="AF414" s="141" t="n">
        <x:f>MAX(0,-AE414)</x:f>
        <x:v>0</x:v>
      </x:c>
      <x:c r="AG414" s="141" t="n">
        <x:f>AG413*(1+Premissas!$B$41)+AF414</x:f>
        <x:v>0</x:v>
      </x:c>
      <x:c r="AH414" s="141" t="n">
        <x:f>MAX(0,AE414)</x:f>
        <x:v>34718100.492641605</x:v>
      </x:c>
      <x:c r="AI414" s="141" t="n">
        <x:f>IF(AND($A414&gt;=Premissas!$B$48,$A414-Premissas!$B$48+1&lt;=Premissas!$B$13),INDEX(Amortizacao!$L$6:$L$485,$A414-Premissas!$B$48+1),0)</x:f>
        <x:v>0</x:v>
      </x:c>
      <x:c r="AJ414" s="141" t="n">
        <x:f>IF($A414&gt;=Premissas!$B$48,$F414,0)</x:f>
        <x:v>1457264.001589348</x:v>
      </x:c>
      <x:c r="AK414" s="141" t="n">
        <x:f>AH414+AJ414-AI414</x:f>
        <x:v>36175364.494230956</x:v>
      </x:c>
      <x:c r="AL414" s="141" t="n">
        <x:f>IF(AG414&gt;1,"Inviavel",AK414)</x:f>
        <x:v>36175364.494230956</x:v>
      </x:c>
      <x:c r="AM414" s="141" t="str">
        <x:f>IF(AG414&gt;1,"Inviavel","OK")</x:f>
        <x:v>OK</x:v>
      </x:c>
      <x:c r="AN414" s="141" t="n">
        <x:f>IF($A414=Premissas!$B$48,Premissas!$B$8,0)</x:f>
        <x:v>0</x:v>
      </x:c>
      <x:c r="AO414" s="141" t="n">
        <x:f>IF($A414&lt;=Premissas!$B$25,INDEX('Consorcio IQ'!$K$6:$K$485,$A414),0)</x:f>
        <x:v>0</x:v>
      </x:c>
      <x:c r="AP414" s="141" t="n">
        <x:f>IF(AND(TRUE,Premissas!$B$11="Imovel",Premissas!$B$47="Moradia",$A414&lt;MAX(Premissas!$B$48,Premissas!$B$49)),$D414,0)</x:f>
        <x:v>0</x:v>
      </x:c>
      <x:c r="AQ414" s="141" t="n">
        <x:f>IF(AND(TRUE,Premissas!$B$11="Imovel",Premissas!$B$47="Investimento",$A414&gt;=MAX(Premissas!$B$48,Premissas!$B$49)),$E414,0)</x:f>
        <x:v>4640.6561764904745</x:v>
      </x:c>
      <x:c r="AR414" s="141" t="n">
        <x:f>AN414+AO414+AP414</x:f>
        <x:v>0</x:v>
      </x:c>
      <x:c r="AS414" s="141" t="n">
        <x:f>AQ414</x:f>
        <x:v>4640.6561764904745</x:v>
      </x:c>
      <x:c r="AT414" s="141" t="n">
        <x:f>$C414+AS414-AR414</x:f>
        <x:v>11640.656176490475</x:v>
      </x:c>
      <x:c r="AU414" s="141" t="n">
        <x:f>AX413*(1+Premissas!$B$41)+AT414</x:f>
        <x:v>34443065.32138261</x:v>
      </x:c>
      <x:c r="AV414" s="141" t="n">
        <x:f>MAX(0,-AU414)</x:f>
        <x:v>0</x:v>
      </x:c>
      <x:c r="AW414" s="141" t="n">
        <x:f>AW413*(1+Premissas!$B$41)+AV414</x:f>
        <x:v>0</x:v>
      </x:c>
      <x:c r="AX414" s="141" t="n">
        <x:f>MAX(0,AU414)</x:f>
        <x:v>34443065.32138261</x:v>
      </x:c>
      <x:c r="AY414" s="141" t="n">
        <x:f>INDEX('Consorcio IQ'!$P$6:$P$485,$A414)</x:f>
        <x:v>0</x:v>
      </x:c>
      <x:c r="AZ414" s="141" t="n">
        <x:f>IF($A414&gt;=Premissas!$B$48,$F414,0)+IF($A414&lt;Premissas!$B$27,INDEX('Consorcio IQ'!$O$6:$O$485,$A414),0)</x:f>
        <x:v>1457264.001589348</x:v>
      </x:c>
      <x:c r="BA414" s="141" t="n">
        <x:f>AX414+AZ414-AY414</x:f>
        <x:v>35900329.32297196</x:v>
      </x:c>
      <x:c r="BB414" s="141" t="n">
        <x:f>IF(AW414&gt;1,"Inviavel",BA414)</x:f>
        <x:v>35900329.32297196</x:v>
      </x:c>
      <x:c r="BC414" s="141" t="str">
        <x:f>IF(AW414&gt;1,"Inviavel","OK")</x:f>
        <x:v>OK</x:v>
      </x:c>
      <x:c r="BD414" s="141" t="n">
        <x:f>IF($A414='Consorcio Direto'!$B$29,'Consorcio Direto'!$B$44,0)</x:f>
        <x:v>0</x:v>
      </x:c>
      <x:c r="BE414" s="141" t="n">
        <x:f>IF($A414&lt;='Consorcio Direto'!$B$27,INDEX('Consorcio Direto'!$E$55:$E$534,$A414),0)</x:f>
        <x:v>0</x:v>
      </x:c>
      <x:c r="BF414" s="141" t="n">
        <x:f>IF(AND(TRUE,Premissas!$B$11="Imovel",Premissas!$B$47="Moradia",$A414&lt;MAX('Consorcio Direto'!$B$29,Premissas!$B$49)),$D414,0)</x:f>
        <x:v>0</x:v>
      </x:c>
      <x:c r="BG414" s="141" t="n">
        <x:f>IF(AND(TRUE,Premissas!$B$11="Imovel",Premissas!$B$47="Investimento",$A414&gt;=MAX('Consorcio Direto'!$B$29,Premissas!$B$49)),$E414,0)</x:f>
        <x:v>4640.6561764904745</x:v>
      </x:c>
      <x:c r="BH414" s="141" t="n">
        <x:f>BD414+BE414+BF414</x:f>
        <x:v>0</x:v>
      </x:c>
      <x:c r="BI414" s="141" t="n">
        <x:f>BG414</x:f>
        <x:v>4640.6561764904745</x:v>
      </x:c>
      <x:c r="BJ414" s="141" t="n">
        <x:f>$C414+BI414-BH414</x:f>
        <x:v>11640.656176490475</x:v>
      </x:c>
      <x:c r="BK414" s="141" t="n">
        <x:f>BN413*(1+Premissas!$B$41)+BJ414</x:f>
        <x:v>32956668.16552026</x:v>
      </x:c>
      <x:c r="BL414" s="141" t="n">
        <x:f>MAX(0,-BK414)</x:f>
        <x:v>0</x:v>
      </x:c>
      <x:c r="BM414" s="141" t="n">
        <x:f>BM413*(1+Premissas!$B$41)+BL414</x:f>
        <x:v>0</x:v>
      </x:c>
      <x:c r="BN414" s="141" t="n">
        <x:f>MAX(0,BK414)</x:f>
        <x:v>32956668.16552026</x:v>
      </x:c>
      <x:c r="BO414" s="141" t="n">
        <x:f>INDEX('Consorcio Direto'!$K$55:$K$534,$A414)</x:f>
        <x:v>0</x:v>
      </x:c>
      <x:c r="BP414" s="141" t="n">
        <x:f>IF($A414&lt;'Consorcio Direto'!$B$29,INDEX('Consorcio Direto'!$L$55:$L$534,$A414),$F414)</x:f>
        <x:v>1457264.001589348</x:v>
      </x:c>
      <x:c r="BQ414" s="141" t="n">
        <x:f>BN414+BP414-BO414</x:f>
        <x:v>34413932.16710961</x:v>
      </x:c>
      <x:c r="BR414" s="141" t="n">
        <x:f>IF(BM414&gt;1,"Inviavel",BQ414)</x:f>
        <x:v>34413932.16710961</x:v>
      </x:c>
      <x:c r="BS414" s="141" t="str">
        <x:f>IF(BM414&gt;1,"Inviavel","OK")</x:f>
        <x:v>OK</x:v>
      </x:c>
      <x:c r="BT414" s="141" t="n">
        <x:f>IF(AND('Carta Contemplada'!$B$22="Sim",$A414='Carta Contemplada'!$B$23),'Carta Contemplada'!$B$37,0)</x:f>
        <x:v>0</x:v>
      </x:c>
      <x:c r="BU414" s="141" t="n">
        <x:f>IF('Carta Contemplada'!$B$22="Sim",INDEX('Carta Contemplada'!$C$55:$C$1013,$A414),0)</x:f>
        <x:v>0</x:v>
      </x:c>
      <x:c r="BV414" s="141" t="n">
        <x:f>IF(AND('Carta Contemplada'!$B$22="Sim",Premissas!$B$11="Imovel",Premissas!$B$47="Moradia",$A414&lt;MAX('Carta Contemplada'!$B$44,Premissas!$B$49)),$D414,0)</x:f>
        <x:v>0</x:v>
      </x:c>
      <x:c r="BW414" s="141" t="n">
        <x:f>IF(AND('Carta Contemplada'!$B$22="Sim",Premissas!$B$11="Imovel",Premissas!$B$47="Investimento",$A414&gt;=MAX('Carta Contemplada'!$B$44,Premissas!$B$49)),$E414,0)</x:f>
        <x:v>4640.6561764904745</x:v>
      </x:c>
      <x:c r="BX414" s="141" t="n">
        <x:f>BT414+BU414+BV414</x:f>
        <x:v>0</x:v>
      </x:c>
      <x:c r="BY414" s="141" t="n">
        <x:f>BW414</x:f>
        <x:v>4640.6561764904745</x:v>
      </x:c>
      <x:c r="BZ414" s="141" t="n">
        <x:f>$C414+BY414-BX414</x:f>
        <x:v>11640.656176490475</x:v>
      </x:c>
      <x:c r="CA414" s="141" t="n">
        <x:f>CD413*(1+Premissas!$B$41)+BZ414</x:f>
        <x:v>35411687.50627907</x:v>
      </x:c>
      <x:c r="CB414" s="141" t="n">
        <x:f>MAX(0,-CA414)</x:f>
        <x:v>0</x:v>
      </x:c>
      <x:c r="CC414" s="141" t="n">
        <x:f>CC413*(1+Premissas!$B$41)+CB414</x:f>
        <x:v>0</x:v>
      </x:c>
      <x:c r="CD414" s="141" t="n">
        <x:f>MAX(0,CA414)</x:f>
        <x:v>35411687.50627907</x:v>
      </x:c>
      <x:c r="CE414" s="141" t="n">
        <x:f>IF(AND('Carta Contemplada'!$B$22="Sim",$A414&gt;='Carta Contemplada'!$B$23),INDEX('Carta Contemplada'!$I$55:$I$1013,$A414),0)</x:f>
        <x:v>0</x:v>
      </x:c>
      <x:c r="CF414" s="141" t="n">
        <x:f>IF(AND('Carta Contemplada'!$B$22="Sim",$A414&gt;='Carta Contemplada'!$B$44),$F414,0)</x:f>
        <x:v>1457264.001589348</x:v>
      </x:c>
      <x:c r="CG414" s="141" t="n">
        <x:f>CD414+CF414-CE414</x:f>
        <x:v>36868951.507868424</x:v>
      </x:c>
      <x:c r="CH414" s="141" t="n">
        <x:f>IF(CC414&gt;1,"Inviavel",CG414)</x:f>
        <x:v>36868951.507868424</x:v>
      </x:c>
      <x:c r="CI414" s="145" t="str">
        <x:f>IF(CC414&gt;1,"Inviavel","OK")</x:f>
        <x:v>OK</x:v>
      </x:c>
    </x:row>
    <x:row r="415">
      <x:c r="A415" s="142" t="n">
        <x:v>411</x:v>
      </x:c>
      <x:c r="B415" s="179" t="n">
        <x:f>EDATE(Premissas!$B$4,A415-1)</x:f>
        <x:v>59019</x:v>
      </x:c>
      <x:c r="C415" s="141" t="n">
        <x:f>IF(A415&lt;=Premissas!$B$39,Premissas!$B$42,0)</x:f>
        <x:v>7000</x:v>
      </x:c>
      <x:c r="D415" s="141" t="n">
        <x:f>Premissas!$B$54*(1+Premissas!$B$57)^INT((A415-1)/12)</x:f>
        <x:v>5075.717693036457</x:v>
      </x:c>
      <x:c r="E415" s="141" t="n">
        <x:f>Premissas!$B$64*(1+Premissas!$B$57)^INT((A415-1)/12)</x:f>
        <x:v>4640.6561764904745</x:v>
      </x:c>
      <x:c r="F415" s="141" t="n">
        <x:f>MAX(0,Premissas!$B$6*(1+Premissas!$B$66)^((A415-1)/12))</x:f>
        <x:v>1464357.3078041382</x:v>
      </x:c>
      <x:c r="G415" s="141" t="n">
        <x:f>G414*(1+Premissas!$B$41)+C415</x:f>
        <x:v>39363049.90510609</x:v>
      </x:c>
      <x:c r="H415" s="141" t="n">
        <x:f>IF($A415=Premissas!$B$48,Premissas!$B$8,0)</x:f>
        <x:v>0</x:v>
      </x:c>
      <x:c r="I415" s="141" t="n">
        <x:f>IF(AND($A415&gt;=Premissas!$B$48,$A415-Premissas!$B$48+1&lt;=Premissas!$B$13),INDEX(Financiamento!$J$6:$J$485,$A415-Premissas!$B$48+1),0)</x:f>
        <x:v>567.1001635603166</x:v>
      </x:c>
      <x:c r="J415" s="141" t="n">
        <x:f>IF(AND(TRUE,Premissas!$B$11="Imovel",Premissas!$B$47="Moradia",$A415&lt;MAX(Premissas!$B$48,Premissas!$B$49)),$D415,0)</x:f>
        <x:v>0</x:v>
      </x:c>
      <x:c r="K415" s="141" t="n">
        <x:f>IF(AND(TRUE,Premissas!$B$11="Imovel",Premissas!$B$47="Investimento",$A415&gt;=MAX(Premissas!$B$48,Premissas!$B$49)),$E415,0)</x:f>
        <x:v>4640.6561764904745</x:v>
      </x:c>
      <x:c r="L415" s="141" t="n">
        <x:f>H415+I415+J415</x:f>
        <x:v>567.1001635603166</x:v>
      </x:c>
      <x:c r="M415" s="141" t="n">
        <x:f>K415</x:f>
        <x:v>4640.6561764904745</x:v>
      </x:c>
      <x:c r="N415" s="141" t="n">
        <x:f>$C415+M415-L415</x:f>
        <x:v>11073.556012930158</x:v>
      </x:c>
      <x:c r="O415" s="141" t="n">
        <x:f>R414*(1+Premissas!$B$41)+N415</x:f>
        <x:v>34484314.18034818</x:v>
      </x:c>
      <x:c r="P415" s="141" t="n">
        <x:f>MAX(0,-O415)</x:f>
        <x:v>0</x:v>
      </x:c>
      <x:c r="Q415" s="141" t="n">
        <x:f>Q414*(1+Premissas!$B$41)+P415</x:f>
        <x:v>0</x:v>
      </x:c>
      <x:c r="R415" s="141" t="n">
        <x:f>MAX(0,O415)</x:f>
        <x:v>34484314.18034818</x:v>
      </x:c>
      <x:c r="S415" s="141" t="n">
        <x:f>IF(AND($A415&gt;=Premissas!$B$48,$A415-Premissas!$B$48+1&lt;=Premissas!$B$13),INDEX(Financiamento!$M$6:$M$485,$A415-Premissas!$B$48+1),0)</x:f>
        <x:v>3428.5714285714303</x:v>
      </x:c>
      <x:c r="T415" s="141" t="n">
        <x:f>IF($A415&gt;=Premissas!$B$48,$F415,0)</x:f>
        <x:v>1464357.3078041382</x:v>
      </x:c>
      <x:c r="U415" s="141" t="n">
        <x:f>R415+T415-S415</x:f>
        <x:v>35945242.91672374</x:v>
      </x:c>
      <x:c r="V415" s="141" t="n">
        <x:f>IF(Q415&gt;1,"Inviavel",U415)</x:f>
        <x:v>35945242.91672374</x:v>
      </x:c>
      <x:c r="W415" s="141" t="str">
        <x:f>IF(Q415&gt;1,"Inviavel","OK")</x:f>
        <x:v>OK</x:v>
      </x:c>
      <x:c r="X415" s="141" t="n">
        <x:f>IF($A415=Premissas!$B$48,Premissas!$B$8,0)</x:f>
        <x:v>0</x:v>
      </x:c>
      <x:c r="Y415" s="141" t="n">
        <x:f>IF(AND($A415&gt;=Premissas!$B$48,$A415-Premissas!$B$48+1&lt;=Premissas!$B$13),INDEX(Amortizacao!$K$6:$K$485,$A415-Premissas!$B$48+1),0)</x:f>
        <x:v>0</x:v>
      </x:c>
      <x:c r="Z415" s="141" t="n">
        <x:f>IF(AND(TRUE,Premissas!$B$11="Imovel",Premissas!$B$47="Moradia",$A415&lt;MAX(Premissas!$B$48,Premissas!$B$49)),$D415,0)</x:f>
        <x:v>0</x:v>
      </x:c>
      <x:c r="AA415" s="141" t="n">
        <x:f>IF(AND(TRUE,Premissas!$B$11="Imovel",Premissas!$B$47="Investimento",$A415&gt;=MAX(Premissas!$B$48,Premissas!$B$49)),$E415,0)</x:f>
        <x:v>4640.6561764904745</x:v>
      </x:c>
      <x:c r="AB415" s="141" t="n">
        <x:f>X415+Y415+Z415</x:f>
        <x:v>0</x:v>
      </x:c>
      <x:c r="AC415" s="141" t="n">
        <x:f>AA415</x:f>
        <x:v>4640.6561764904745</x:v>
      </x:c>
      <x:c r="AD415" s="141" t="n">
        <x:f>$C415+AC415-AB415</x:f>
        <x:v>11640.656176490475</x:v>
      </x:c>
      <x:c r="AE415" s="141" t="n">
        <x:f>AH414*(1+Premissas!$B$41)+AD415</x:f>
        <x:v>35059174.01547482</x:v>
      </x:c>
      <x:c r="AF415" s="141" t="n">
        <x:f>MAX(0,-AE415)</x:f>
        <x:v>0</x:v>
      </x:c>
      <x:c r="AG415" s="141" t="n">
        <x:f>AG414*(1+Premissas!$B$41)+AF415</x:f>
        <x:v>0</x:v>
      </x:c>
      <x:c r="AH415" s="141" t="n">
        <x:f>MAX(0,AE415)</x:f>
        <x:v>35059174.01547482</x:v>
      </x:c>
      <x:c r="AI415" s="141" t="n">
        <x:f>IF(AND($A415&gt;=Premissas!$B$48,$A415-Premissas!$B$48+1&lt;=Premissas!$B$13),INDEX(Amortizacao!$L$6:$L$485,$A415-Premissas!$B$48+1),0)</x:f>
        <x:v>0</x:v>
      </x:c>
      <x:c r="AJ415" s="141" t="n">
        <x:f>IF($A415&gt;=Premissas!$B$48,$F415,0)</x:f>
        <x:v>1464357.3078041382</x:v>
      </x:c>
      <x:c r="AK415" s="141" t="n">
        <x:f>AH415+AJ415-AI415</x:f>
        <x:v>36523531.323278956</x:v>
      </x:c>
      <x:c r="AL415" s="141" t="n">
        <x:f>IF(AG415&gt;1,"Inviavel",AK415)</x:f>
        <x:v>36523531.323278956</x:v>
      </x:c>
      <x:c r="AM415" s="141" t="str">
        <x:f>IF(AG415&gt;1,"Inviavel","OK")</x:f>
        <x:v>OK</x:v>
      </x:c>
      <x:c r="AN415" s="141" t="n">
        <x:f>IF($A415=Premissas!$B$48,Premissas!$B$8,0)</x:f>
        <x:v>0</x:v>
      </x:c>
      <x:c r="AO415" s="141" t="n">
        <x:f>IF($A415&lt;=Premissas!$B$25,INDEX('Consorcio IQ'!$K$6:$K$485,$A415),0)</x:f>
        <x:v>0</x:v>
      </x:c>
      <x:c r="AP415" s="141" t="n">
        <x:f>IF(AND(TRUE,Premissas!$B$11="Imovel",Premissas!$B$47="Moradia",$A415&lt;MAX(Premissas!$B$48,Premissas!$B$49)),$D415,0)</x:f>
        <x:v>0</x:v>
      </x:c>
      <x:c r="AQ415" s="141" t="n">
        <x:f>IF(AND(TRUE,Premissas!$B$11="Imovel",Premissas!$B$47="Investimento",$A415&gt;=MAX(Premissas!$B$48,Premissas!$B$49)),$E415,0)</x:f>
        <x:v>4640.6561764904745</x:v>
      </x:c>
      <x:c r="AR415" s="141" t="n">
        <x:f>AN415+AO415+AP415</x:f>
        <x:v>0</x:v>
      </x:c>
      <x:c r="AS415" s="141" t="n">
        <x:f>AQ415</x:f>
        <x:v>4640.6561764904745</x:v>
      </x:c>
      <x:c r="AT415" s="141" t="n">
        <x:f>$C415+AS415-AR415</x:f>
        <x:v>11640.656176490475</x:v>
      </x:c>
      <x:c r="AU415" s="141" t="n">
        <x:f>AX414*(1+Premissas!$B$41)+AT415</x:f>
        <x:v>34781529.092426024</x:v>
      </x:c>
      <x:c r="AV415" s="141" t="n">
        <x:f>MAX(0,-AU415)</x:f>
        <x:v>0</x:v>
      </x:c>
      <x:c r="AW415" s="141" t="n">
        <x:f>AW414*(1+Premissas!$B$41)+AV415</x:f>
        <x:v>0</x:v>
      </x:c>
      <x:c r="AX415" s="141" t="n">
        <x:f>MAX(0,AU415)</x:f>
        <x:v>34781529.092426024</x:v>
      </x:c>
      <x:c r="AY415" s="141" t="n">
        <x:f>INDEX('Consorcio IQ'!$P$6:$P$485,$A415)</x:f>
        <x:v>0</x:v>
      </x:c>
      <x:c r="AZ415" s="141" t="n">
        <x:f>IF($A415&gt;=Premissas!$B$48,$F415,0)+IF($A415&lt;Premissas!$B$27,INDEX('Consorcio IQ'!$O$6:$O$485,$A415),0)</x:f>
        <x:v>1464357.3078041382</x:v>
      </x:c>
      <x:c r="BA415" s="141" t="n">
        <x:f>AX415+AZ415-AY415</x:f>
        <x:v>36245886.40023016</x:v>
      </x:c>
      <x:c r="BB415" s="141" t="n">
        <x:f>IF(AW415&gt;1,"Inviavel",BA415)</x:f>
        <x:v>36245886.40023016</x:v>
      </x:c>
      <x:c r="BC415" s="141" t="str">
        <x:f>IF(AW415&gt;1,"Inviavel","OK")</x:f>
        <x:v>OK</x:v>
      </x:c>
      <x:c r="BD415" s="141" t="n">
        <x:f>IF($A415='Consorcio Direto'!$B$29,'Consorcio Direto'!$B$44,0)</x:f>
        <x:v>0</x:v>
      </x:c>
      <x:c r="BE415" s="141" t="n">
        <x:f>IF($A415&lt;='Consorcio Direto'!$B$27,INDEX('Consorcio Direto'!$E$55:$E$534,$A415),0)</x:f>
        <x:v>0</x:v>
      </x:c>
      <x:c r="BF415" s="141" t="n">
        <x:f>IF(AND(TRUE,Premissas!$B$11="Imovel",Premissas!$B$47="Moradia",$A415&lt;MAX('Consorcio Direto'!$B$29,Premissas!$B$49)),$D415,0)</x:f>
        <x:v>0</x:v>
      </x:c>
      <x:c r="BG415" s="141" t="n">
        <x:f>IF(AND(TRUE,Premissas!$B$11="Imovel",Premissas!$B$47="Investimento",$A415&gt;=MAX('Consorcio Direto'!$B$29,Premissas!$B$49)),$E415,0)</x:f>
        <x:v>4640.6561764904745</x:v>
      </x:c>
      <x:c r="BH415" s="141" t="n">
        <x:f>BD415+BE415+BF415</x:f>
        <x:v>0</x:v>
      </x:c>
      <x:c r="BI415" s="141" t="n">
        <x:f>BG415</x:f>
        <x:v>4640.6561764904745</x:v>
      </x:c>
      <x:c r="BJ415" s="141" t="n">
        <x:f>$C415+BI415-BH415</x:f>
        <x:v>11640.656176490475</x:v>
      </x:c>
      <x:c r="BK415" s="141" t="n">
        <x:f>BN414*(1+Premissas!$B$41)+BJ415</x:f>
        <x:v>33281027.821733132</x:v>
      </x:c>
      <x:c r="BL415" s="141" t="n">
        <x:f>MAX(0,-BK415)</x:f>
        <x:v>0</x:v>
      </x:c>
      <x:c r="BM415" s="141" t="n">
        <x:f>BM414*(1+Premissas!$B$41)+BL415</x:f>
        <x:v>0</x:v>
      </x:c>
      <x:c r="BN415" s="141" t="n">
        <x:f>MAX(0,BK415)</x:f>
        <x:v>33281027.821733132</x:v>
      </x:c>
      <x:c r="BO415" s="141" t="n">
        <x:f>INDEX('Consorcio Direto'!$K$55:$K$534,$A415)</x:f>
        <x:v>0</x:v>
      </x:c>
      <x:c r="BP415" s="141" t="n">
        <x:f>IF($A415&lt;'Consorcio Direto'!$B$29,INDEX('Consorcio Direto'!$L$55:$L$534,$A415),$F415)</x:f>
        <x:v>1464357.3078041382</x:v>
      </x:c>
      <x:c r="BQ415" s="141" t="n">
        <x:f>BN415+BP415-BO415</x:f>
        <x:v>34745385.12953727</x:v>
      </x:c>
      <x:c r="BR415" s="141" t="n">
        <x:f>IF(BM415&gt;1,"Inviavel",BQ415)</x:f>
        <x:v>34745385.12953727</x:v>
      </x:c>
      <x:c r="BS415" s="141" t="str">
        <x:f>IF(BM415&gt;1,"Inviavel","OK")</x:f>
        <x:v>OK</x:v>
      </x:c>
      <x:c r="BT415" s="141" t="n">
        <x:f>IF(AND('Carta Contemplada'!$B$22="Sim",$A415='Carta Contemplada'!$B$23),'Carta Contemplada'!$B$37,0)</x:f>
        <x:v>0</x:v>
      </x:c>
      <x:c r="BU415" s="141" t="n">
        <x:f>IF('Carta Contemplada'!$B$22="Sim",INDEX('Carta Contemplada'!$C$55:$C$1013,$A415),0)</x:f>
        <x:v>0</x:v>
      </x:c>
      <x:c r="BV415" s="141" t="n">
        <x:f>IF(AND('Carta Contemplada'!$B$22="Sim",Premissas!$B$11="Imovel",Premissas!$B$47="Moradia",$A415&lt;MAX('Carta Contemplada'!$B$44,Premissas!$B$49)),$D415,0)</x:f>
        <x:v>0</x:v>
      </x:c>
      <x:c r="BW415" s="141" t="n">
        <x:f>IF(AND('Carta Contemplada'!$B$22="Sim",Premissas!$B$11="Imovel",Premissas!$B$47="Investimento",$A415&gt;=MAX('Carta Contemplada'!$B$44,Premissas!$B$49)),$E415,0)</x:f>
        <x:v>4640.6561764904745</x:v>
      </x:c>
      <x:c r="BX415" s="141" t="n">
        <x:f>BT415+BU415+BV415</x:f>
        <x:v>0</x:v>
      </x:c>
      <x:c r="BY415" s="141" t="n">
        <x:f>BW415</x:f>
        <x:v>4640.6561764904745</x:v>
      </x:c>
      <x:c r="BZ415" s="141" t="n">
        <x:f>$C415+BY415-BX415</x:f>
        <x:v>11640.656176490475</x:v>
      </x:c>
      <x:c r="CA415" s="141" t="n">
        <x:f>CD414*(1+Premissas!$B$41)+BZ415</x:f>
        <x:v>35759342.33266681</x:v>
      </x:c>
      <x:c r="CB415" s="141" t="n">
        <x:f>MAX(0,-CA415)</x:f>
        <x:v>0</x:v>
      </x:c>
      <x:c r="CC415" s="141" t="n">
        <x:f>CC414*(1+Premissas!$B$41)+CB415</x:f>
        <x:v>0</x:v>
      </x:c>
      <x:c r="CD415" s="141" t="n">
        <x:f>MAX(0,CA415)</x:f>
        <x:v>35759342.33266681</x:v>
      </x:c>
      <x:c r="CE415" s="141" t="n">
        <x:f>IF(AND('Carta Contemplada'!$B$22="Sim",$A415&gt;='Carta Contemplada'!$B$23),INDEX('Carta Contemplada'!$I$55:$I$1013,$A415),0)</x:f>
        <x:v>0</x:v>
      </x:c>
      <x:c r="CF415" s="141" t="n">
        <x:f>IF(AND('Carta Contemplada'!$B$22="Sim",$A415&gt;='Carta Contemplada'!$B$44),$F415,0)</x:f>
        <x:v>1464357.3078041382</x:v>
      </x:c>
      <x:c r="CG415" s="141" t="n">
        <x:f>CD415+CF415-CE415</x:f>
        <x:v>37223699.640470944</x:v>
      </x:c>
      <x:c r="CH415" s="141" t="n">
        <x:f>IF(CC415&gt;1,"Inviavel",CG415)</x:f>
        <x:v>37223699.640470944</x:v>
      </x:c>
      <x:c r="CI415" s="145" t="str">
        <x:f>IF(CC415&gt;1,"Inviavel","OK")</x:f>
        <x:v>OK</x:v>
      </x:c>
    </x:row>
    <x:row r="416">
      <x:c r="A416" s="142" t="n">
        <x:v>412</x:v>
      </x:c>
      <x:c r="B416" s="179" t="n">
        <x:f>EDATE(Premissas!$B$4,A416-1)</x:f>
        <x:v>59050</x:v>
      </x:c>
      <x:c r="C416" s="141" t="n">
        <x:f>IF(A416&lt;=Premissas!$B$39,Premissas!$B$42,0)</x:f>
        <x:v>7000</x:v>
      </x:c>
      <x:c r="D416" s="141" t="n">
        <x:f>Premissas!$B$54*(1+Premissas!$B$57)^INT((A416-1)/12)</x:f>
        <x:v>5075.717693036457</x:v>
      </x:c>
      <x:c r="E416" s="141" t="n">
        <x:f>Premissas!$B$64*(1+Premissas!$B$57)^INT((A416-1)/12)</x:f>
        <x:v>4640.6561764904745</x:v>
      </x:c>
      <x:c r="F416" s="141" t="n">
        <x:f>MAX(0,Premissas!$B$6*(1+Premissas!$B$66)^((A416-1)/12))</x:f>
        <x:v>1471485.1410456046</x:v>
      </x:c>
      <x:c r="G416" s="141" t="n">
        <x:f>G415*(1+Premissas!$B$41)+C416</x:f>
        <x:v>39743557.7349293</x:v>
      </x:c>
      <x:c r="H416" s="141" t="n">
        <x:f>IF($A416=Premissas!$B$48,Premissas!$B$8,0)</x:f>
        <x:v>0</x:v>
      </x:c>
      <x:c r="I416" s="141" t="n">
        <x:f>IF(AND($A416&gt;=Premissas!$B$48,$A416-Premissas!$B$48+1&lt;=Premissas!$B$13),INDEX(Financiamento!$J$6:$J$485,$A416-Premissas!$B$48+1),0)</x:f>
        <x:v>563.485385299523</x:v>
      </x:c>
      <x:c r="J416" s="141" t="n">
        <x:f>IF(AND(TRUE,Premissas!$B$11="Imovel",Premissas!$B$47="Moradia",$A416&lt;MAX(Premissas!$B$48,Premissas!$B$49)),$D416,0)</x:f>
        <x:v>0</x:v>
      </x:c>
      <x:c r="K416" s="141" t="n">
        <x:f>IF(AND(TRUE,Premissas!$B$11="Imovel",Premissas!$B$47="Investimento",$A416&gt;=MAX(Premissas!$B$48,Premissas!$B$49)),$E416,0)</x:f>
        <x:v>4640.6561764904745</x:v>
      </x:c>
      <x:c r="L416" s="141" t="n">
        <x:f>H416+I416+J416</x:f>
        <x:v>563.485385299523</x:v>
      </x:c>
      <x:c r="M416" s="141" t="n">
        <x:f>K416</x:f>
        <x:v>4640.6561764904745</x:v>
      </x:c>
      <x:c r="N416" s="141" t="n">
        <x:f>$C416+M416-L416</x:f>
        <x:v>11077.17079119095</x:v>
      </x:c>
      <x:c r="O416" s="141" t="n">
        <x:f>R415*(1+Premissas!$B$41)+N416</x:f>
        <x:v>34822605.8678878</x:v>
      </x:c>
      <x:c r="P416" s="141" t="n">
        <x:f>MAX(0,-O416)</x:f>
        <x:v>0</x:v>
      </x:c>
      <x:c r="Q416" s="141" t="n">
        <x:f>Q415*(1+Premissas!$B$41)+P416</x:f>
        <x:v>0</x:v>
      </x:c>
      <x:c r="R416" s="141" t="n">
        <x:f>MAX(0,O416)</x:f>
        <x:v>34822605.8678878</x:v>
      </x:c>
      <x:c r="S416" s="141" t="n">
        <x:f>IF(AND($A416&gt;=Premissas!$B$48,$A416-Premissas!$B$48+1&lt;=Premissas!$B$13),INDEX(Financiamento!$M$6:$M$485,$A416-Premissas!$B$48+1),0)</x:f>
        <x:v>3047.619047619049</x:v>
      </x:c>
      <x:c r="T416" s="141" t="n">
        <x:f>IF($A416&gt;=Premissas!$B$48,$F416,0)</x:f>
        <x:v>1471485.1410456046</x:v>
      </x:c>
      <x:c r="U416" s="141" t="n">
        <x:f>R416+T416-S416</x:f>
        <x:v>36291043.38988579</x:v>
      </x:c>
      <x:c r="V416" s="141" t="n">
        <x:f>IF(Q416&gt;1,"Inviavel",U416)</x:f>
        <x:v>36291043.38988579</x:v>
      </x:c>
      <x:c r="W416" s="141" t="str">
        <x:f>IF(Q416&gt;1,"Inviavel","OK")</x:f>
        <x:v>OK</x:v>
      </x:c>
      <x:c r="X416" s="141" t="n">
        <x:f>IF($A416=Premissas!$B$48,Premissas!$B$8,0)</x:f>
        <x:v>0</x:v>
      </x:c>
      <x:c r="Y416" s="141" t="n">
        <x:f>IF(AND($A416&gt;=Premissas!$B$48,$A416-Premissas!$B$48+1&lt;=Premissas!$B$13),INDEX(Amortizacao!$K$6:$K$485,$A416-Premissas!$B$48+1),0)</x:f>
        <x:v>0</x:v>
      </x:c>
      <x:c r="Z416" s="141" t="n">
        <x:f>IF(AND(TRUE,Premissas!$B$11="Imovel",Premissas!$B$47="Moradia",$A416&lt;MAX(Premissas!$B$48,Premissas!$B$49)),$D416,0)</x:f>
        <x:v>0</x:v>
      </x:c>
      <x:c r="AA416" s="141" t="n">
        <x:f>IF(AND(TRUE,Premissas!$B$11="Imovel",Premissas!$B$47="Investimento",$A416&gt;=MAX(Premissas!$B$48,Premissas!$B$49)),$E416,0)</x:f>
        <x:v>4640.6561764904745</x:v>
      </x:c>
      <x:c r="AB416" s="141" t="n">
        <x:f>X416+Y416+Z416</x:f>
        <x:v>0</x:v>
      </x:c>
      <x:c r="AC416" s="141" t="n">
        <x:f>AA416</x:f>
        <x:v>4640.6561764904745</x:v>
      </x:c>
      <x:c r="AD416" s="141" t="n">
        <x:f>$C416+AC416-AB416</x:f>
        <x:v>11640.656176490475</x:v>
      </x:c>
      <x:c r="AE416" s="141" t="n">
        <x:f>AH415*(1+Premissas!$B$41)+AD416</x:f>
        <x:v>35403483.914341666</x:v>
      </x:c>
      <x:c r="AF416" s="141" t="n">
        <x:f>MAX(0,-AE416)</x:f>
        <x:v>0</x:v>
      </x:c>
      <x:c r="AG416" s="141" t="n">
        <x:f>AG415*(1+Premissas!$B$41)+AF416</x:f>
        <x:v>0</x:v>
      </x:c>
      <x:c r="AH416" s="141" t="n">
        <x:f>MAX(0,AE416)</x:f>
        <x:v>35403483.914341666</x:v>
      </x:c>
      <x:c r="AI416" s="141" t="n">
        <x:f>IF(AND($A416&gt;=Premissas!$B$48,$A416-Premissas!$B$48+1&lt;=Premissas!$B$13),INDEX(Amortizacao!$L$6:$L$485,$A416-Premissas!$B$48+1),0)</x:f>
        <x:v>0</x:v>
      </x:c>
      <x:c r="AJ416" s="141" t="n">
        <x:f>IF($A416&gt;=Premissas!$B$48,$F416,0)</x:f>
        <x:v>1471485.1410456046</x:v>
      </x:c>
      <x:c r="AK416" s="141" t="n">
        <x:f>AH416+AJ416-AI416</x:f>
        <x:v>36874969.05538727</x:v>
      </x:c>
      <x:c r="AL416" s="141" t="n">
        <x:f>IF(AG416&gt;1,"Inviavel",AK416)</x:f>
        <x:v>36874969.05538727</x:v>
      </x:c>
      <x:c r="AM416" s="141" t="str">
        <x:f>IF(AG416&gt;1,"Inviavel","OK")</x:f>
        <x:v>OK</x:v>
      </x:c>
      <x:c r="AN416" s="141" t="n">
        <x:f>IF($A416=Premissas!$B$48,Premissas!$B$8,0)</x:f>
        <x:v>0</x:v>
      </x:c>
      <x:c r="AO416" s="141" t="n">
        <x:f>IF($A416&lt;=Premissas!$B$25,INDEX('Consorcio IQ'!$K$6:$K$485,$A416),0)</x:f>
        <x:v>0</x:v>
      </x:c>
      <x:c r="AP416" s="141" t="n">
        <x:f>IF(AND(TRUE,Premissas!$B$11="Imovel",Premissas!$B$47="Moradia",$A416&lt;MAX(Premissas!$B$48,Premissas!$B$49)),$D416,0)</x:f>
        <x:v>0</x:v>
      </x:c>
      <x:c r="AQ416" s="141" t="n">
        <x:f>IF(AND(TRUE,Premissas!$B$11="Imovel",Premissas!$B$47="Investimento",$A416&gt;=MAX(Premissas!$B$48,Premissas!$B$49)),$E416,0)</x:f>
        <x:v>4640.6561764904745</x:v>
      </x:c>
      <x:c r="AR416" s="141" t="n">
        <x:f>AN416+AO416+AP416</x:f>
        <x:v>0</x:v>
      </x:c>
      <x:c r="AS416" s="141" t="n">
        <x:f>AQ416</x:f>
        <x:v>4640.6561764904745</x:v>
      </x:c>
      <x:c r="AT416" s="141" t="n">
        <x:f>$C416+AS416-AR416</x:f>
        <x:v>11640.656176490475</x:v>
      </x:c>
      <x:c r="AU416" s="141" t="n">
        <x:f>AX415*(1+Premissas!$B$41)+AT416</x:f>
        <x:v>35123204.47610872</x:v>
      </x:c>
      <x:c r="AV416" s="141" t="n">
        <x:f>MAX(0,-AU416)</x:f>
        <x:v>0</x:v>
      </x:c>
      <x:c r="AW416" s="141" t="n">
        <x:f>AW415*(1+Premissas!$B$41)+AV416</x:f>
        <x:v>0</x:v>
      </x:c>
      <x:c r="AX416" s="141" t="n">
        <x:f>MAX(0,AU416)</x:f>
        <x:v>35123204.47610872</x:v>
      </x:c>
      <x:c r="AY416" s="141" t="n">
        <x:f>INDEX('Consorcio IQ'!$P$6:$P$485,$A416)</x:f>
        <x:v>0</x:v>
      </x:c>
      <x:c r="AZ416" s="141" t="n">
        <x:f>IF($A416&gt;=Premissas!$B$48,$F416,0)+IF($A416&lt;Premissas!$B$27,INDEX('Consorcio IQ'!$O$6:$O$485,$A416),0)</x:f>
        <x:v>1471485.1410456046</x:v>
      </x:c>
      <x:c r="BA416" s="141" t="n">
        <x:f>AX416+AZ416-AY416</x:f>
        <x:v>36594689.61715433</x:v>
      </x:c>
      <x:c r="BB416" s="141" t="n">
        <x:f>IF(AW416&gt;1,"Inviavel",BA416)</x:f>
        <x:v>36594689.61715433</x:v>
      </x:c>
      <x:c r="BC416" s="141" t="str">
        <x:f>IF(AW416&gt;1,"Inviavel","OK")</x:f>
        <x:v>OK</x:v>
      </x:c>
      <x:c r="BD416" s="141" t="n">
        <x:f>IF($A416='Consorcio Direto'!$B$29,'Consorcio Direto'!$B$44,0)</x:f>
        <x:v>0</x:v>
      </x:c>
      <x:c r="BE416" s="141" t="n">
        <x:f>IF($A416&lt;='Consorcio Direto'!$B$27,INDEX('Consorcio Direto'!$E$55:$E$534,$A416),0)</x:f>
        <x:v>0</x:v>
      </x:c>
      <x:c r="BF416" s="141" t="n">
        <x:f>IF(AND(TRUE,Premissas!$B$11="Imovel",Premissas!$B$47="Moradia",$A416&lt;MAX('Consorcio Direto'!$B$29,Premissas!$B$49)),$D416,0)</x:f>
        <x:v>0</x:v>
      </x:c>
      <x:c r="BG416" s="141" t="n">
        <x:f>IF(AND(TRUE,Premissas!$B$11="Imovel",Premissas!$B$47="Investimento",$A416&gt;=MAX('Consorcio Direto'!$B$29,Premissas!$B$49)),$E416,0)</x:f>
        <x:v>4640.6561764904745</x:v>
      </x:c>
      <x:c r="BH416" s="141" t="n">
        <x:f>BD416+BE416+BF416</x:f>
        <x:v>0</x:v>
      </x:c>
      <x:c r="BI416" s="141" t="n">
        <x:f>BG416</x:f>
        <x:v>4640.6561764904745</x:v>
      </x:c>
      <x:c r="BJ416" s="141" t="n">
        <x:f>$C416+BI416-BH416</x:f>
        <x:v>11640.656176490475</x:v>
      </x:c>
      <x:c r="BK416" s="141" t="n">
        <x:f>BN415*(1+Premissas!$B$41)+BJ416</x:f>
        <x:v>33608465.259560145</x:v>
      </x:c>
      <x:c r="BL416" s="141" t="n">
        <x:f>MAX(0,-BK416)</x:f>
        <x:v>0</x:v>
      </x:c>
      <x:c r="BM416" s="141" t="n">
        <x:f>BM415*(1+Premissas!$B$41)+BL416</x:f>
        <x:v>0</x:v>
      </x:c>
      <x:c r="BN416" s="141" t="n">
        <x:f>MAX(0,BK416)</x:f>
        <x:v>33608465.259560145</x:v>
      </x:c>
      <x:c r="BO416" s="141" t="n">
        <x:f>INDEX('Consorcio Direto'!$K$55:$K$534,$A416)</x:f>
        <x:v>0</x:v>
      </x:c>
      <x:c r="BP416" s="141" t="n">
        <x:f>IF($A416&lt;'Consorcio Direto'!$B$29,INDEX('Consorcio Direto'!$L$55:$L$534,$A416),$F416)</x:f>
        <x:v>1471485.1410456046</x:v>
      </x:c>
      <x:c r="BQ416" s="141" t="n">
        <x:f>BN416+BP416-BO416</x:f>
        <x:v>35079950.40060575</x:v>
      </x:c>
      <x:c r="BR416" s="141" t="n">
        <x:f>IF(BM416&gt;1,"Inviavel",BQ416)</x:f>
        <x:v>35079950.40060575</x:v>
      </x:c>
      <x:c r="BS416" s="141" t="str">
        <x:f>IF(BM416&gt;1,"Inviavel","OK")</x:f>
        <x:v>OK</x:v>
      </x:c>
      <x:c r="BT416" s="141" t="n">
        <x:f>IF(AND('Carta Contemplada'!$B$22="Sim",$A416='Carta Contemplada'!$B$23),'Carta Contemplada'!$B$37,0)</x:f>
        <x:v>0</x:v>
      </x:c>
      <x:c r="BU416" s="141" t="n">
        <x:f>IF('Carta Contemplada'!$B$22="Sim",INDEX('Carta Contemplada'!$C$55:$C$1013,$A416),0)</x:f>
        <x:v>0</x:v>
      </x:c>
      <x:c r="BV416" s="141" t="n">
        <x:f>IF(AND('Carta Contemplada'!$B$22="Sim",Premissas!$B$11="Imovel",Premissas!$B$47="Moradia",$A416&lt;MAX('Carta Contemplada'!$B$44,Premissas!$B$49)),$D416,0)</x:f>
        <x:v>0</x:v>
      </x:c>
      <x:c r="BW416" s="141" t="n">
        <x:f>IF(AND('Carta Contemplada'!$B$22="Sim",Premissas!$B$11="Imovel",Premissas!$B$47="Investimento",$A416&gt;=MAX('Carta Contemplada'!$B$44,Premissas!$B$49)),$E416,0)</x:f>
        <x:v>4640.6561764904745</x:v>
      </x:c>
      <x:c r="BX416" s="141" t="n">
        <x:f>BT416+BU416+BV416</x:f>
        <x:v>0</x:v>
      </x:c>
      <x:c r="BY416" s="141" t="n">
        <x:f>BW416</x:f>
        <x:v>4640.6561764904745</x:v>
      </x:c>
      <x:c r="BZ416" s="141" t="n">
        <x:f>$C416+BY416-BX416</x:f>
        <x:v>11640.656176490475</x:v>
      </x:c>
      <x:c r="CA416" s="141" t="n">
        <x:f>CD415*(1+Premissas!$B$41)+BZ416</x:f>
        <x:v>36110295.98371484</x:v>
      </x:c>
      <x:c r="CB416" s="141" t="n">
        <x:f>MAX(0,-CA416)</x:f>
        <x:v>0</x:v>
      </x:c>
      <x:c r="CC416" s="141" t="n">
        <x:f>CC415*(1+Premissas!$B$41)+CB416</x:f>
        <x:v>0</x:v>
      </x:c>
      <x:c r="CD416" s="141" t="n">
        <x:f>MAX(0,CA416)</x:f>
        <x:v>36110295.98371484</x:v>
      </x:c>
      <x:c r="CE416" s="141" t="n">
        <x:f>IF(AND('Carta Contemplada'!$B$22="Sim",$A416&gt;='Carta Contemplada'!$B$23),INDEX('Carta Contemplada'!$I$55:$I$1013,$A416),0)</x:f>
        <x:v>0</x:v>
      </x:c>
      <x:c r="CF416" s="141" t="n">
        <x:f>IF(AND('Carta Contemplada'!$B$22="Sim",$A416&gt;='Carta Contemplada'!$B$44),$F416,0)</x:f>
        <x:v>1471485.1410456046</x:v>
      </x:c>
      <x:c r="CG416" s="141" t="n">
        <x:f>CD416+CF416-CE416</x:f>
        <x:v>37581781.12476045</x:v>
      </x:c>
      <x:c r="CH416" s="141" t="n">
        <x:f>IF(CC416&gt;1,"Inviavel",CG416)</x:f>
        <x:v>37581781.12476045</x:v>
      </x:c>
      <x:c r="CI416" s="145" t="str">
        <x:f>IF(CC416&gt;1,"Inviavel","OK")</x:f>
        <x:v>OK</x:v>
      </x:c>
    </x:row>
    <x:row r="417">
      <x:c r="A417" s="142" t="n">
        <x:v>413</x:v>
      </x:c>
      <x:c r="B417" s="179" t="n">
        <x:f>EDATE(Premissas!$B$4,A417-1)</x:f>
        <x:v>59080</x:v>
      </x:c>
      <x:c r="C417" s="141" t="n">
        <x:f>IF(A417&lt;=Premissas!$B$39,Premissas!$B$42,0)</x:f>
        <x:v>7000</x:v>
      </x:c>
      <x:c r="D417" s="141" t="n">
        <x:f>Premissas!$B$54*(1+Premissas!$B$57)^INT((A417-1)/12)</x:f>
        <x:v>5075.717693036457</x:v>
      </x:c>
      <x:c r="E417" s="141" t="n">
        <x:f>Premissas!$B$64*(1+Premissas!$B$57)^INT((A417-1)/12)</x:f>
        <x:v>4640.6561764904745</x:v>
      </x:c>
      <x:c r="F417" s="141" t="n">
        <x:f>MAX(0,Premissas!$B$6*(1+Premissas!$B$66)^((A417-1)/12))</x:f>
        <x:v>1478647.6693757952</x:v>
      </x:c>
      <x:c r="G417" s="141" t="n">
        <x:f>G416*(1+Premissas!$B$41)+C417</x:f>
        <x:v>40127676.12475969</x:v>
      </x:c>
      <x:c r="H417" s="141" t="n">
        <x:f>IF($A417=Premissas!$B$48,Premissas!$B$8,0)</x:f>
        <x:v>0</x:v>
      </x:c>
      <x:c r="I417" s="141" t="n">
        <x:f>IF(AND($A417&gt;=Premissas!$B$48,$A417-Premissas!$B$48+1&lt;=Premissas!$B$13),INDEX(Financiamento!$J$6:$J$485,$A417-Premissas!$B$48+1),0)</x:f>
        <x:v>559.8706070387295</x:v>
      </x:c>
      <x:c r="J417" s="141" t="n">
        <x:f>IF(AND(TRUE,Premissas!$B$11="Imovel",Premissas!$B$47="Moradia",$A417&lt;MAX(Premissas!$B$48,Premissas!$B$49)),$D417,0)</x:f>
        <x:v>0</x:v>
      </x:c>
      <x:c r="K417" s="141" t="n">
        <x:f>IF(AND(TRUE,Premissas!$B$11="Imovel",Premissas!$B$47="Investimento",$A417&gt;=MAX(Premissas!$B$48,Premissas!$B$49)),$E417,0)</x:f>
        <x:v>4640.6561764904745</x:v>
      </x:c>
      <x:c r="L417" s="141" t="n">
        <x:f>H417+I417+J417</x:f>
        <x:v>559.8706070387295</x:v>
      </x:c>
      <x:c r="M417" s="141" t="n">
        <x:f>K417</x:f>
        <x:v>4640.6561764904745</x:v>
      </x:c>
      <x:c r="N417" s="141" t="n">
        <x:f>$C417+M417-L417</x:f>
        <x:v>11080.785569451746</x:v>
      </x:c>
      <x:c r="O417" s="141" t="n">
        <x:f>R416*(1+Premissas!$B$41)+N417</x:f>
        <x:v>35164111.14998024</x:v>
      </x:c>
      <x:c r="P417" s="141" t="n">
        <x:f>MAX(0,-O417)</x:f>
        <x:v>0</x:v>
      </x:c>
      <x:c r="Q417" s="141" t="n">
        <x:f>Q416*(1+Premissas!$B$41)+P417</x:f>
        <x:v>0</x:v>
      </x:c>
      <x:c r="R417" s="141" t="n">
        <x:f>MAX(0,O417)</x:f>
        <x:v>35164111.14998024</x:v>
      </x:c>
      <x:c r="S417" s="141" t="n">
        <x:f>IF(AND($A417&gt;=Premissas!$B$48,$A417-Premissas!$B$48+1&lt;=Premissas!$B$13),INDEX(Financiamento!$M$6:$M$485,$A417-Premissas!$B$48+1),0)</x:f>
        <x:v>2666.666666666668</x:v>
      </x:c>
      <x:c r="T417" s="141" t="n">
        <x:f>IF($A417&gt;=Premissas!$B$48,$F417,0)</x:f>
        <x:v>1478647.6693757952</x:v>
      </x:c>
      <x:c r="U417" s="141" t="n">
        <x:f>R417+T417-S417</x:f>
        <x:v>36640092.15268937</x:v>
      </x:c>
      <x:c r="V417" s="141" t="n">
        <x:f>IF(Q417&gt;1,"Inviavel",U417)</x:f>
        <x:v>36640092.15268937</x:v>
      </x:c>
      <x:c r="W417" s="141" t="str">
        <x:f>IF(Q417&gt;1,"Inviavel","OK")</x:f>
        <x:v>OK</x:v>
      </x:c>
      <x:c r="X417" s="141" t="n">
        <x:f>IF($A417=Premissas!$B$48,Premissas!$B$8,0)</x:f>
        <x:v>0</x:v>
      </x:c>
      <x:c r="Y417" s="141" t="n">
        <x:f>IF(AND($A417&gt;=Premissas!$B$48,$A417-Premissas!$B$48+1&lt;=Premissas!$B$13),INDEX(Amortizacao!$K$6:$K$485,$A417-Premissas!$B$48+1),0)</x:f>
        <x:v>0</x:v>
      </x:c>
      <x:c r="Z417" s="141" t="n">
        <x:f>IF(AND(TRUE,Premissas!$B$11="Imovel",Premissas!$B$47="Moradia",$A417&lt;MAX(Premissas!$B$48,Premissas!$B$49)),$D417,0)</x:f>
        <x:v>0</x:v>
      </x:c>
      <x:c r="AA417" s="141" t="n">
        <x:f>IF(AND(TRUE,Premissas!$B$11="Imovel",Premissas!$B$47="Investimento",$A417&gt;=MAX(Premissas!$B$48,Premissas!$B$49)),$E417,0)</x:f>
        <x:v>4640.6561764904745</x:v>
      </x:c>
      <x:c r="AB417" s="141" t="n">
        <x:f>X417+Y417+Z417</x:f>
        <x:v>0</x:v>
      </x:c>
      <x:c r="AC417" s="141" t="n">
        <x:f>AA417</x:f>
        <x:v>4640.6561764904745</x:v>
      </x:c>
      <x:c r="AD417" s="141" t="n">
        <x:f>$C417+AC417-AB417</x:f>
        <x:v>11640.656176490475</x:v>
      </x:c>
      <x:c r="AE417" s="141" t="n">
        <x:f>AH416*(1+Premissas!$B$41)+AD417</x:f>
        <x:v>35751060.898544185</x:v>
      </x:c>
      <x:c r="AF417" s="141" t="n">
        <x:f>MAX(0,-AE417)</x:f>
        <x:v>0</x:v>
      </x:c>
      <x:c r="AG417" s="141" t="n">
        <x:f>AG416*(1+Premissas!$B$41)+AF417</x:f>
        <x:v>0</x:v>
      </x:c>
      <x:c r="AH417" s="141" t="n">
        <x:f>MAX(0,AE417)</x:f>
        <x:v>35751060.898544185</x:v>
      </x:c>
      <x:c r="AI417" s="141" t="n">
        <x:f>IF(AND($A417&gt;=Premissas!$B$48,$A417-Premissas!$B$48+1&lt;=Premissas!$B$13),INDEX(Amortizacao!$L$6:$L$485,$A417-Premissas!$B$48+1),0)</x:f>
        <x:v>0</x:v>
      </x:c>
      <x:c r="AJ417" s="141" t="n">
        <x:f>IF($A417&gt;=Premissas!$B$48,$F417,0)</x:f>
        <x:v>1478647.6693757952</x:v>
      </x:c>
      <x:c r="AK417" s="141" t="n">
        <x:f>AH417+AJ417-AI417</x:f>
        <x:v>37229708.56791998</x:v>
      </x:c>
      <x:c r="AL417" s="141" t="n">
        <x:f>IF(AG417&gt;1,"Inviavel",AK417)</x:f>
        <x:v>37229708.56791998</x:v>
      </x:c>
      <x:c r="AM417" s="141" t="str">
        <x:f>IF(AG417&gt;1,"Inviavel","OK")</x:f>
        <x:v>OK</x:v>
      </x:c>
      <x:c r="AN417" s="141" t="n">
        <x:f>IF($A417=Premissas!$B$48,Premissas!$B$8,0)</x:f>
        <x:v>0</x:v>
      </x:c>
      <x:c r="AO417" s="141" t="n">
        <x:f>IF($A417&lt;=Premissas!$B$25,INDEX('Consorcio IQ'!$K$6:$K$485,$A417),0)</x:f>
        <x:v>0</x:v>
      </x:c>
      <x:c r="AP417" s="141" t="n">
        <x:f>IF(AND(TRUE,Premissas!$B$11="Imovel",Premissas!$B$47="Moradia",$A417&lt;MAX(Premissas!$B$48,Premissas!$B$49)),$D417,0)</x:f>
        <x:v>0</x:v>
      </x:c>
      <x:c r="AQ417" s="141" t="n">
        <x:f>IF(AND(TRUE,Premissas!$B$11="Imovel",Premissas!$B$47="Investimento",$A417&gt;=MAX(Premissas!$B$48,Premissas!$B$49)),$E417,0)</x:f>
        <x:v>4640.6561764904745</x:v>
      </x:c>
      <x:c r="AR417" s="141" t="n">
        <x:f>AN417+AO417+AP417</x:f>
        <x:v>0</x:v>
      </x:c>
      <x:c r="AS417" s="141" t="n">
        <x:f>AQ417</x:f>
        <x:v>4640.6561764904745</x:v>
      </x:c>
      <x:c r="AT417" s="141" t="n">
        <x:f>$C417+AS417-AR417</x:f>
        <x:v>11640.656176490475</x:v>
      </x:c>
      <x:c r="AU417" s="141" t="n">
        <x:f>AX416*(1+Premissas!$B$41)+AT417</x:f>
        <x:v>35468121.94675803</x:v>
      </x:c>
      <x:c r="AV417" s="141" t="n">
        <x:f>MAX(0,-AU417)</x:f>
        <x:v>0</x:v>
      </x:c>
      <x:c r="AW417" s="141" t="n">
        <x:f>AW416*(1+Premissas!$B$41)+AV417</x:f>
        <x:v>0</x:v>
      </x:c>
      <x:c r="AX417" s="141" t="n">
        <x:f>MAX(0,AU417)</x:f>
        <x:v>35468121.94675803</x:v>
      </x:c>
      <x:c r="AY417" s="141" t="n">
        <x:f>INDEX('Consorcio IQ'!$P$6:$P$485,$A417)</x:f>
        <x:v>0</x:v>
      </x:c>
      <x:c r="AZ417" s="141" t="n">
        <x:f>IF($A417&gt;=Premissas!$B$48,$F417,0)+IF($A417&lt;Premissas!$B$27,INDEX('Consorcio IQ'!$O$6:$O$485,$A417),0)</x:f>
        <x:v>1478647.6693757952</x:v>
      </x:c>
      <x:c r="BA417" s="141" t="n">
        <x:f>AX417+AZ417-AY417</x:f>
        <x:v>36946769.616133824</x:v>
      </x:c>
      <x:c r="BB417" s="141" t="n">
        <x:f>IF(AW417&gt;1,"Inviavel",BA417)</x:f>
        <x:v>36946769.616133824</x:v>
      </x:c>
      <x:c r="BC417" s="141" t="str">
        <x:f>IF(AW417&gt;1,"Inviavel","OK")</x:f>
        <x:v>OK</x:v>
      </x:c>
      <x:c r="BD417" s="141" t="n">
        <x:f>IF($A417='Consorcio Direto'!$B$29,'Consorcio Direto'!$B$44,0)</x:f>
        <x:v>0</x:v>
      </x:c>
      <x:c r="BE417" s="141" t="n">
        <x:f>IF($A417&lt;='Consorcio Direto'!$B$27,INDEX('Consorcio Direto'!$E$55:$E$534,$A417),0)</x:f>
        <x:v>0</x:v>
      </x:c>
      <x:c r="BF417" s="141" t="n">
        <x:f>IF(AND(TRUE,Premissas!$B$11="Imovel",Premissas!$B$47="Moradia",$A417&lt;MAX('Consorcio Direto'!$B$29,Premissas!$B$49)),$D417,0)</x:f>
        <x:v>0</x:v>
      </x:c>
      <x:c r="BG417" s="141" t="n">
        <x:f>IF(AND(TRUE,Premissas!$B$11="Imovel",Premissas!$B$47="Investimento",$A417&gt;=MAX('Consorcio Direto'!$B$29,Premissas!$B$49)),$E417,0)</x:f>
        <x:v>4640.6561764904745</x:v>
      </x:c>
      <x:c r="BH417" s="141" t="n">
        <x:f>BD417+BE417+BF417</x:f>
        <x:v>0</x:v>
      </x:c>
      <x:c r="BI417" s="141" t="n">
        <x:f>BG417</x:f>
        <x:v>4640.6561764904745</x:v>
      </x:c>
      <x:c r="BJ417" s="141" t="n">
        <x:f>$C417+BI417-BH417</x:f>
        <x:v>11640.656176490475</x:v>
      </x:c>
      <x:c r="BK417" s="141" t="n">
        <x:f>BN416*(1+Premissas!$B$41)+BJ417</x:f>
        <x:v>33939009.683433734</x:v>
      </x:c>
      <x:c r="BL417" s="141" t="n">
        <x:f>MAX(0,-BK417)</x:f>
        <x:v>0</x:v>
      </x:c>
      <x:c r="BM417" s="141" t="n">
        <x:f>BM416*(1+Premissas!$B$41)+BL417</x:f>
        <x:v>0</x:v>
      </x:c>
      <x:c r="BN417" s="141" t="n">
        <x:f>MAX(0,BK417)</x:f>
        <x:v>33939009.683433734</x:v>
      </x:c>
      <x:c r="BO417" s="141" t="n">
        <x:f>INDEX('Consorcio Direto'!$K$55:$K$534,$A417)</x:f>
        <x:v>0</x:v>
      </x:c>
      <x:c r="BP417" s="141" t="n">
        <x:f>IF($A417&lt;'Consorcio Direto'!$B$29,INDEX('Consorcio Direto'!$L$55:$L$534,$A417),$F417)</x:f>
        <x:v>1478647.6693757952</x:v>
      </x:c>
      <x:c r="BQ417" s="141" t="n">
        <x:f>BN417+BP417-BO417</x:f>
        <x:v>35417657.352809526</x:v>
      </x:c>
      <x:c r="BR417" s="141" t="n">
        <x:f>IF(BM417&gt;1,"Inviavel",BQ417)</x:f>
        <x:v>35417657.352809526</x:v>
      </x:c>
      <x:c r="BS417" s="141" t="str">
        <x:f>IF(BM417&gt;1,"Inviavel","OK")</x:f>
        <x:v>OK</x:v>
      </x:c>
      <x:c r="BT417" s="141" t="n">
        <x:f>IF(AND('Carta Contemplada'!$B$22="Sim",$A417='Carta Contemplada'!$B$23),'Carta Contemplada'!$B$37,0)</x:f>
        <x:v>0</x:v>
      </x:c>
      <x:c r="BU417" s="141" t="n">
        <x:f>IF('Carta Contemplada'!$B$22="Sim",INDEX('Carta Contemplada'!$C$55:$C$1013,$A417),0)</x:f>
        <x:v>0</x:v>
      </x:c>
      <x:c r="BV417" s="141" t="n">
        <x:f>IF(AND('Carta Contemplada'!$B$22="Sim",Premissas!$B$11="Imovel",Premissas!$B$47="Moradia",$A417&lt;MAX('Carta Contemplada'!$B$44,Premissas!$B$49)),$D417,0)</x:f>
        <x:v>0</x:v>
      </x:c>
      <x:c r="BW417" s="141" t="n">
        <x:f>IF(AND('Carta Contemplada'!$B$22="Sim",Premissas!$B$11="Imovel",Premissas!$B$47="Investimento",$A417&gt;=MAX('Carta Contemplada'!$B$44,Premissas!$B$49)),$E417,0)</x:f>
        <x:v>4640.6561764904745</x:v>
      </x:c>
      <x:c r="BX417" s="141" t="n">
        <x:f>BT417+BU417+BV417</x:f>
        <x:v>0</x:v>
      </x:c>
      <x:c r="BY417" s="141" t="n">
        <x:f>BW417</x:f>
        <x:v>4640.6561764904745</x:v>
      </x:c>
      <x:c r="BZ417" s="141" t="n">
        <x:f>$C417+BY417-BX417</x:f>
        <x:v>11640.656176490475</x:v>
      </x:c>
      <x:c r="CA417" s="141" t="n">
        <x:f>CD416*(1+Premissas!$B$41)+BZ417</x:f>
        <x:v>36464579.76128731</x:v>
      </x:c>
      <x:c r="CB417" s="141" t="n">
        <x:f>MAX(0,-CA417)</x:f>
        <x:v>0</x:v>
      </x:c>
      <x:c r="CC417" s="141" t="n">
        <x:f>CC416*(1+Premissas!$B$41)+CB417</x:f>
        <x:v>0</x:v>
      </x:c>
      <x:c r="CD417" s="141" t="n">
        <x:f>MAX(0,CA417)</x:f>
        <x:v>36464579.76128731</x:v>
      </x:c>
      <x:c r="CE417" s="141" t="n">
        <x:f>IF(AND('Carta Contemplada'!$B$22="Sim",$A417&gt;='Carta Contemplada'!$B$23),INDEX('Carta Contemplada'!$I$55:$I$1013,$A417),0)</x:f>
        <x:v>0</x:v>
      </x:c>
      <x:c r="CF417" s="141" t="n">
        <x:f>IF(AND('Carta Contemplada'!$B$22="Sim",$A417&gt;='Carta Contemplada'!$B$44),$F417,0)</x:f>
        <x:v>1478647.6693757952</x:v>
      </x:c>
      <x:c r="CG417" s="141" t="n">
        <x:f>CD417+CF417-CE417</x:f>
        <x:v>37943227.4306631</x:v>
      </x:c>
      <x:c r="CH417" s="141" t="n">
        <x:f>IF(CC417&gt;1,"Inviavel",CG417)</x:f>
        <x:v>37943227.4306631</x:v>
      </x:c>
      <x:c r="CI417" s="145" t="str">
        <x:f>IF(CC417&gt;1,"Inviavel","OK")</x:f>
        <x:v>OK</x:v>
      </x:c>
    </x:row>
    <x:row r="418">
      <x:c r="A418" s="142" t="n">
        <x:v>414</x:v>
      </x:c>
      <x:c r="B418" s="179" t="n">
        <x:f>EDATE(Premissas!$B$4,A418-1)</x:f>
        <x:v>59111</x:v>
      </x:c>
      <x:c r="C418" s="141" t="n">
        <x:f>IF(A418&lt;=Premissas!$B$39,Premissas!$B$42,0)</x:f>
        <x:v>7000</x:v>
      </x:c>
      <x:c r="D418" s="141" t="n">
        <x:f>Premissas!$B$54*(1+Premissas!$B$57)^INT((A418-1)/12)</x:f>
        <x:v>5075.717693036457</x:v>
      </x:c>
      <x:c r="E418" s="141" t="n">
        <x:f>Premissas!$B$64*(1+Premissas!$B$57)^INT((A418-1)/12)</x:f>
        <x:v>4640.6561764904745</x:v>
      </x:c>
      <x:c r="F418" s="141" t="n">
        <x:f>MAX(0,Premissas!$B$6*(1+Premissas!$B$66)^((A418-1)/12))</x:f>
        <x:v>1485845.0616748082</x:v>
      </x:c>
      <x:c r="G418" s="141" t="n">
        <x:f>G417*(1+Premissas!$B$41)+C418</x:f>
        <x:v>40515439.334453546</x:v>
      </x:c>
      <x:c r="H418" s="141" t="n">
        <x:f>IF($A418=Premissas!$B$48,Premissas!$B$8,0)</x:f>
        <x:v>0</x:v>
      </x:c>
      <x:c r="I418" s="141" t="n">
        <x:f>IF(AND($A418&gt;=Premissas!$B$48,$A418-Premissas!$B$48+1&lt;=Premissas!$B$13),INDEX(Financiamento!$J$6:$J$485,$A418-Premissas!$B$48+1),0)</x:f>
        <x:v>556.2558287779359</x:v>
      </x:c>
      <x:c r="J418" s="141" t="n">
        <x:f>IF(AND(TRUE,Premissas!$B$11="Imovel",Premissas!$B$47="Moradia",$A418&lt;MAX(Premissas!$B$48,Premissas!$B$49)),$D418,0)</x:f>
        <x:v>0</x:v>
      </x:c>
      <x:c r="K418" s="141" t="n">
        <x:f>IF(AND(TRUE,Premissas!$B$11="Imovel",Premissas!$B$47="Investimento",$A418&gt;=MAX(Premissas!$B$48,Premissas!$B$49)),$E418,0)</x:f>
        <x:v>4640.6561764904745</x:v>
      </x:c>
      <x:c r="L418" s="141" t="n">
        <x:f>H418+I418+J418</x:f>
        <x:v>556.2558287779359</x:v>
      </x:c>
      <x:c r="M418" s="141" t="n">
        <x:f>K418</x:f>
        <x:v>4640.6561764904745</x:v>
      </x:c>
      <x:c r="N418" s="141" t="n">
        <x:f>$C418+M418-L418</x:f>
        <x:v>11084.400347712539</x:v>
      </x:c>
      <x:c r="O418" s="141" t="n">
        <x:f>R417*(1+Premissas!$B$41)+N418</x:f>
        <x:v>35508860.519758776</x:v>
      </x:c>
      <x:c r="P418" s="141" t="n">
        <x:f>MAX(0,-O418)</x:f>
        <x:v>0</x:v>
      </x:c>
      <x:c r="Q418" s="141" t="n">
        <x:f>Q417*(1+Premissas!$B$41)+P418</x:f>
        <x:v>0</x:v>
      </x:c>
      <x:c r="R418" s="141" t="n">
        <x:f>MAX(0,O418)</x:f>
        <x:v>35508860.519758776</x:v>
      </x:c>
      <x:c r="S418" s="141" t="n">
        <x:f>IF(AND($A418&gt;=Premissas!$B$48,$A418-Premissas!$B$48+1&lt;=Premissas!$B$13),INDEX(Financiamento!$M$6:$M$485,$A418-Premissas!$B$48+1),0)</x:f>
        <x:v>2285.7142857142867</x:v>
      </x:c>
      <x:c r="T418" s="141" t="n">
        <x:f>IF($A418&gt;=Premissas!$B$48,$F418,0)</x:f>
        <x:v>1485845.0616748082</x:v>
      </x:c>
      <x:c r="U418" s="141" t="n">
        <x:f>R418+T418-S418</x:f>
        <x:v>36992419.86714787</x:v>
      </x:c>
      <x:c r="V418" s="141" t="n">
        <x:f>IF(Q418&gt;1,"Inviavel",U418)</x:f>
        <x:v>36992419.86714787</x:v>
      </x:c>
      <x:c r="W418" s="141" t="str">
        <x:f>IF(Q418&gt;1,"Inviavel","OK")</x:f>
        <x:v>OK</x:v>
      </x:c>
      <x:c r="X418" s="141" t="n">
        <x:f>IF($A418=Premissas!$B$48,Premissas!$B$8,0)</x:f>
        <x:v>0</x:v>
      </x:c>
      <x:c r="Y418" s="141" t="n">
        <x:f>IF(AND($A418&gt;=Premissas!$B$48,$A418-Premissas!$B$48+1&lt;=Premissas!$B$13),INDEX(Amortizacao!$K$6:$K$485,$A418-Premissas!$B$48+1),0)</x:f>
        <x:v>0</x:v>
      </x:c>
      <x:c r="Z418" s="141" t="n">
        <x:f>IF(AND(TRUE,Premissas!$B$11="Imovel",Premissas!$B$47="Moradia",$A418&lt;MAX(Premissas!$B$48,Premissas!$B$49)),$D418,0)</x:f>
        <x:v>0</x:v>
      </x:c>
      <x:c r="AA418" s="141" t="n">
        <x:f>IF(AND(TRUE,Premissas!$B$11="Imovel",Premissas!$B$47="Investimento",$A418&gt;=MAX(Premissas!$B$48,Premissas!$B$49)),$E418,0)</x:f>
        <x:v>4640.6561764904745</x:v>
      </x:c>
      <x:c r="AB418" s="141" t="n">
        <x:f>X418+Y418+Z418</x:f>
        <x:v>0</x:v>
      </x:c>
      <x:c r="AC418" s="141" t="n">
        <x:f>AA418</x:f>
        <x:v>4640.6561764904745</x:v>
      </x:c>
      <x:c r="AD418" s="141" t="n">
        <x:f>$C418+AC418-AB418</x:f>
        <x:v>11640.656176490475</x:v>
      </x:c>
      <x:c r="AE418" s="141" t="n">
        <x:f>AH417*(1+Premissas!$B$41)+AD418</x:f>
        <x:v>36101935.96877863</x:v>
      </x:c>
      <x:c r="AF418" s="141" t="n">
        <x:f>MAX(0,-AE418)</x:f>
        <x:v>0</x:v>
      </x:c>
      <x:c r="AG418" s="141" t="n">
        <x:f>AG417*(1+Premissas!$B$41)+AF418</x:f>
        <x:v>0</x:v>
      </x:c>
      <x:c r="AH418" s="141" t="n">
        <x:f>MAX(0,AE418)</x:f>
        <x:v>36101935.96877863</x:v>
      </x:c>
      <x:c r="AI418" s="141" t="n">
        <x:f>IF(AND($A418&gt;=Premissas!$B$48,$A418-Premissas!$B$48+1&lt;=Premissas!$B$13),INDEX(Amortizacao!$L$6:$L$485,$A418-Premissas!$B$48+1),0)</x:f>
        <x:v>0</x:v>
      </x:c>
      <x:c r="AJ418" s="141" t="n">
        <x:f>IF($A418&gt;=Premissas!$B$48,$F418,0)</x:f>
        <x:v>1485845.0616748082</x:v>
      </x:c>
      <x:c r="AK418" s="141" t="n">
        <x:f>AH418+AJ418-AI418</x:f>
        <x:v>37587781.03045344</x:v>
      </x:c>
      <x:c r="AL418" s="141" t="n">
        <x:f>IF(AG418&gt;1,"Inviavel",AK418)</x:f>
        <x:v>37587781.03045344</x:v>
      </x:c>
      <x:c r="AM418" s="141" t="str">
        <x:f>IF(AG418&gt;1,"Inviavel","OK")</x:f>
        <x:v>OK</x:v>
      </x:c>
      <x:c r="AN418" s="141" t="n">
        <x:f>IF($A418=Premissas!$B$48,Premissas!$B$8,0)</x:f>
        <x:v>0</x:v>
      </x:c>
      <x:c r="AO418" s="141" t="n">
        <x:f>IF($A418&lt;=Premissas!$B$25,INDEX('Consorcio IQ'!$K$6:$K$485,$A418),0)</x:f>
        <x:v>0</x:v>
      </x:c>
      <x:c r="AP418" s="141" t="n">
        <x:f>IF(AND(TRUE,Premissas!$B$11="Imovel",Premissas!$B$47="Moradia",$A418&lt;MAX(Premissas!$B$48,Premissas!$B$49)),$D418,0)</x:f>
        <x:v>0</x:v>
      </x:c>
      <x:c r="AQ418" s="141" t="n">
        <x:f>IF(AND(TRUE,Premissas!$B$11="Imovel",Premissas!$B$47="Investimento",$A418&gt;=MAX(Premissas!$B$48,Premissas!$B$49)),$E418,0)</x:f>
        <x:v>4640.6561764904745</x:v>
      </x:c>
      <x:c r="AR418" s="141" t="n">
        <x:f>AN418+AO418+AP418</x:f>
        <x:v>0</x:v>
      </x:c>
      <x:c r="AS418" s="141" t="n">
        <x:f>AQ418</x:f>
        <x:v>4640.6561764904745</x:v>
      </x:c>
      <x:c r="AT418" s="141" t="n">
        <x:f>$C418+AS418-AR418</x:f>
        <x:v>11640.656176490475</x:v>
      </x:c>
      <x:c r="AU418" s="141" t="n">
        <x:f>AX417*(1+Premissas!$B$41)+AT418</x:f>
        <x:v>35816312.26786585</x:v>
      </x:c>
      <x:c r="AV418" s="141" t="n">
        <x:f>MAX(0,-AU418)</x:f>
        <x:v>0</x:v>
      </x:c>
      <x:c r="AW418" s="141" t="n">
        <x:f>AW417*(1+Premissas!$B$41)+AV418</x:f>
        <x:v>0</x:v>
      </x:c>
      <x:c r="AX418" s="141" t="n">
        <x:f>MAX(0,AU418)</x:f>
        <x:v>35816312.26786585</x:v>
      </x:c>
      <x:c r="AY418" s="141" t="n">
        <x:f>INDEX('Consorcio IQ'!$P$6:$P$485,$A418)</x:f>
        <x:v>0</x:v>
      </x:c>
      <x:c r="AZ418" s="141" t="n">
        <x:f>IF($A418&gt;=Premissas!$B$48,$F418,0)+IF($A418&lt;Premissas!$B$27,INDEX('Consorcio IQ'!$O$6:$O$485,$A418),0)</x:f>
        <x:v>1485845.0616748082</x:v>
      </x:c>
      <x:c r="BA418" s="141" t="n">
        <x:f>AX418+AZ418-AY418</x:f>
        <x:v>37302157.32954066</x:v>
      </x:c>
      <x:c r="BB418" s="141" t="n">
        <x:f>IF(AW418&gt;1,"Inviavel",BA418)</x:f>
        <x:v>37302157.32954066</x:v>
      </x:c>
      <x:c r="BC418" s="141" t="str">
        <x:f>IF(AW418&gt;1,"Inviavel","OK")</x:f>
        <x:v>OK</x:v>
      </x:c>
      <x:c r="BD418" s="141" t="n">
        <x:f>IF($A418='Consorcio Direto'!$B$29,'Consorcio Direto'!$B$44,0)</x:f>
        <x:v>0</x:v>
      </x:c>
      <x:c r="BE418" s="141" t="n">
        <x:f>IF($A418&lt;='Consorcio Direto'!$B$27,INDEX('Consorcio Direto'!$E$55:$E$534,$A418),0)</x:f>
        <x:v>0</x:v>
      </x:c>
      <x:c r="BF418" s="141" t="n">
        <x:f>IF(AND(TRUE,Premissas!$B$11="Imovel",Premissas!$B$47="Moradia",$A418&lt;MAX('Consorcio Direto'!$B$29,Premissas!$B$49)),$D418,0)</x:f>
        <x:v>0</x:v>
      </x:c>
      <x:c r="BG418" s="141" t="n">
        <x:f>IF(AND(TRUE,Premissas!$B$11="Imovel",Premissas!$B$47="Investimento",$A418&gt;=MAX('Consorcio Direto'!$B$29,Premissas!$B$49)),$E418,0)</x:f>
        <x:v>4640.6561764904745</x:v>
      </x:c>
      <x:c r="BH418" s="141" t="n">
        <x:f>BD418+BE418+BF418</x:f>
        <x:v>0</x:v>
      </x:c>
      <x:c r="BI418" s="141" t="n">
        <x:f>BG418</x:f>
        <x:v>4640.6561764904745</x:v>
      </x:c>
      <x:c r="BJ418" s="141" t="n">
        <x:f>$C418+BI418-BH418</x:f>
        <x:v>11640.656176490475</x:v>
      </x:c>
      <x:c r="BK418" s="141" t="n">
        <x:f>BN417*(1+Premissas!$B$41)+BJ418</x:f>
        <x:v>34272690.57490114</x:v>
      </x:c>
      <x:c r="BL418" s="141" t="n">
        <x:f>MAX(0,-BK418)</x:f>
        <x:v>0</x:v>
      </x:c>
      <x:c r="BM418" s="141" t="n">
        <x:f>BM417*(1+Premissas!$B$41)+BL418</x:f>
        <x:v>0</x:v>
      </x:c>
      <x:c r="BN418" s="141" t="n">
        <x:f>MAX(0,BK418)</x:f>
        <x:v>34272690.57490114</x:v>
      </x:c>
      <x:c r="BO418" s="141" t="n">
        <x:f>INDEX('Consorcio Direto'!$K$55:$K$534,$A418)</x:f>
        <x:v>0</x:v>
      </x:c>
      <x:c r="BP418" s="141" t="n">
        <x:f>IF($A418&lt;'Consorcio Direto'!$B$29,INDEX('Consorcio Direto'!$L$55:$L$534,$A418),$F418)</x:f>
        <x:v>1485845.0616748082</x:v>
      </x:c>
      <x:c r="BQ418" s="141" t="n">
        <x:f>BN418+BP418-BO418</x:f>
        <x:v>35758535.63657595</x:v>
      </x:c>
      <x:c r="BR418" s="141" t="n">
        <x:f>IF(BM418&gt;1,"Inviavel",BQ418)</x:f>
        <x:v>35758535.63657595</x:v>
      </x:c>
      <x:c r="BS418" s="141" t="str">
        <x:f>IF(BM418&gt;1,"Inviavel","OK")</x:f>
        <x:v>OK</x:v>
      </x:c>
      <x:c r="BT418" s="141" t="n">
        <x:f>IF(AND('Carta Contemplada'!$B$22="Sim",$A418='Carta Contemplada'!$B$23),'Carta Contemplada'!$B$37,0)</x:f>
        <x:v>0</x:v>
      </x:c>
      <x:c r="BU418" s="141" t="n">
        <x:f>IF('Carta Contemplada'!$B$22="Sim",INDEX('Carta Contemplada'!$C$55:$C$1013,$A418),0)</x:f>
        <x:v>0</x:v>
      </x:c>
      <x:c r="BV418" s="141" t="n">
        <x:f>IF(AND('Carta Contemplada'!$B$22="Sim",Premissas!$B$11="Imovel",Premissas!$B$47="Moradia",$A418&lt;MAX('Carta Contemplada'!$B$44,Premissas!$B$49)),$D418,0)</x:f>
        <x:v>0</x:v>
      </x:c>
      <x:c r="BW418" s="141" t="n">
        <x:f>IF(AND('Carta Contemplada'!$B$22="Sim",Premissas!$B$11="Imovel",Premissas!$B$47="Investimento",$A418&gt;=MAX('Carta Contemplada'!$B$44,Premissas!$B$49)),$E418,0)</x:f>
        <x:v>4640.6561764904745</x:v>
      </x:c>
      <x:c r="BX418" s="141" t="n">
        <x:f>BT418+BU418+BV418</x:f>
        <x:v>0</x:v>
      </x:c>
      <x:c r="BY418" s="141" t="n">
        <x:f>BW418</x:f>
        <x:v>4640.6561764904745</x:v>
      </x:c>
      <x:c r="BZ418" s="141" t="n">
        <x:f>$C418+BY418-BX418</x:f>
        <x:v>11640.656176490475</x:v>
      </x:c>
      <x:c r="CA418" s="141" t="n">
        <x:f>CD417*(1+Premissas!$B$41)+BZ418</x:f>
        <x:v>36822225.26426525</x:v>
      </x:c>
      <x:c r="CB418" s="141" t="n">
        <x:f>MAX(0,-CA418)</x:f>
        <x:v>0</x:v>
      </x:c>
      <x:c r="CC418" s="141" t="n">
        <x:f>CC417*(1+Premissas!$B$41)+CB418</x:f>
        <x:v>0</x:v>
      </x:c>
      <x:c r="CD418" s="141" t="n">
        <x:f>MAX(0,CA418)</x:f>
        <x:v>36822225.26426525</x:v>
      </x:c>
      <x:c r="CE418" s="141" t="n">
        <x:f>IF(AND('Carta Contemplada'!$B$22="Sim",$A418&gt;='Carta Contemplada'!$B$23),INDEX('Carta Contemplada'!$I$55:$I$1013,$A418),0)</x:f>
        <x:v>0</x:v>
      </x:c>
      <x:c r="CF418" s="141" t="n">
        <x:f>IF(AND('Carta Contemplada'!$B$22="Sim",$A418&gt;='Carta Contemplada'!$B$44),$F418,0)</x:f>
        <x:v>1485845.0616748082</x:v>
      </x:c>
      <x:c r="CG418" s="141" t="n">
        <x:f>CD418+CF418-CE418</x:f>
        <x:v>38308070.32594006</x:v>
      </x:c>
      <x:c r="CH418" s="141" t="n">
        <x:f>IF(CC418&gt;1,"Inviavel",CG418)</x:f>
        <x:v>38308070.32594006</x:v>
      </x:c>
      <x:c r="CI418" s="145" t="str">
        <x:f>IF(CC418&gt;1,"Inviavel","OK")</x:f>
        <x:v>OK</x:v>
      </x:c>
    </x:row>
    <x:row r="419">
      <x:c r="A419" s="142" t="n">
        <x:v>415</x:v>
      </x:c>
      <x:c r="B419" s="179" t="n">
        <x:f>EDATE(Premissas!$B$4,A419-1)</x:f>
        <x:v>59141</x:v>
      </x:c>
      <x:c r="C419" s="141" t="n">
        <x:f>IF(A419&lt;=Premissas!$B$39,Premissas!$B$42,0)</x:f>
        <x:v>7000</x:v>
      </x:c>
      <x:c r="D419" s="141" t="n">
        <x:f>Premissas!$B$54*(1+Premissas!$B$57)^INT((A419-1)/12)</x:f>
        <x:v>5075.717693036457</x:v>
      </x:c>
      <x:c r="E419" s="141" t="n">
        <x:f>Premissas!$B$64*(1+Premissas!$B$57)^INT((A419-1)/12)</x:f>
        <x:v>4640.6561764904745</x:v>
      </x:c>
      <x:c r="F419" s="141" t="n">
        <x:f>MAX(0,Premissas!$B$6*(1+Premissas!$B$66)^((A419-1)/12))</x:f>
        <x:v>1493077.4876447758</x:v>
      </x:c>
      <x:c r="G419" s="141" t="n">
        <x:f>G418*(1+Premissas!$B$41)+C419</x:f>
        <x:v>40906881.94895183</x:v>
      </x:c>
      <x:c r="H419" s="141" t="n">
        <x:f>IF($A419=Premissas!$B$48,Premissas!$B$8,0)</x:f>
        <x:v>0</x:v>
      </x:c>
      <x:c r="I419" s="141" t="n">
        <x:f>IF(AND($A419&gt;=Premissas!$B$48,$A419-Premissas!$B$48+1&lt;=Premissas!$B$13),INDEX(Financiamento!$J$6:$J$485,$A419-Premissas!$B$48+1),0)</x:f>
        <x:v>552.6410505171424</x:v>
      </x:c>
      <x:c r="J419" s="141" t="n">
        <x:f>IF(AND(TRUE,Premissas!$B$11="Imovel",Premissas!$B$47="Moradia",$A419&lt;MAX(Premissas!$B$48,Premissas!$B$49)),$D419,0)</x:f>
        <x:v>0</x:v>
      </x:c>
      <x:c r="K419" s="141" t="n">
        <x:f>IF(AND(TRUE,Premissas!$B$11="Imovel",Premissas!$B$47="Investimento",$A419&gt;=MAX(Premissas!$B$48,Premissas!$B$49)),$E419,0)</x:f>
        <x:v>4640.6561764904745</x:v>
      </x:c>
      <x:c r="L419" s="141" t="n">
        <x:f>H419+I419+J419</x:f>
        <x:v>552.6410505171424</x:v>
      </x:c>
      <x:c r="M419" s="141" t="n">
        <x:f>K419</x:f>
        <x:v>4640.6561764904745</x:v>
      </x:c>
      <x:c r="N419" s="141" t="n">
        <x:f>$C419+M419-L419</x:f>
        <x:v>11088.015125973332</x:v>
      </x:c>
      <x:c r="O419" s="141" t="n">
        <x:f>R418*(1+Premissas!$B$41)+N419</x:f>
        <x:v>35856884.75969973</x:v>
      </x:c>
      <x:c r="P419" s="141" t="n">
        <x:f>MAX(0,-O419)</x:f>
        <x:v>0</x:v>
      </x:c>
      <x:c r="Q419" s="141" t="n">
        <x:f>Q418*(1+Premissas!$B$41)+P419</x:f>
        <x:v>0</x:v>
      </x:c>
      <x:c r="R419" s="141" t="n">
        <x:f>MAX(0,O419)</x:f>
        <x:v>35856884.75969973</x:v>
      </x:c>
      <x:c r="S419" s="141" t="n">
        <x:f>IF(AND($A419&gt;=Premissas!$B$48,$A419-Premissas!$B$48+1&lt;=Premissas!$B$13),INDEX(Financiamento!$M$6:$M$485,$A419-Premissas!$B$48+1),0)</x:f>
        <x:v>1904.7619047619055</x:v>
      </x:c>
      <x:c r="T419" s="141" t="n">
        <x:f>IF($A419&gt;=Premissas!$B$48,$F419,0)</x:f>
        <x:v>1493077.4876447758</x:v>
      </x:c>
      <x:c r="U419" s="141" t="n">
        <x:f>R419+T419-S419</x:f>
        <x:v>37348057.48543975</x:v>
      </x:c>
      <x:c r="V419" s="141" t="n">
        <x:f>IF(Q419&gt;1,"Inviavel",U419)</x:f>
        <x:v>37348057.48543975</x:v>
      </x:c>
      <x:c r="W419" s="141" t="str">
        <x:f>IF(Q419&gt;1,"Inviavel","OK")</x:f>
        <x:v>OK</x:v>
      </x:c>
      <x:c r="X419" s="141" t="n">
        <x:f>IF($A419=Premissas!$B$48,Premissas!$B$8,0)</x:f>
        <x:v>0</x:v>
      </x:c>
      <x:c r="Y419" s="141" t="n">
        <x:f>IF(AND($A419&gt;=Premissas!$B$48,$A419-Premissas!$B$48+1&lt;=Premissas!$B$13),INDEX(Amortizacao!$K$6:$K$485,$A419-Premissas!$B$48+1),0)</x:f>
        <x:v>0</x:v>
      </x:c>
      <x:c r="Z419" s="141" t="n">
        <x:f>IF(AND(TRUE,Premissas!$B$11="Imovel",Premissas!$B$47="Moradia",$A419&lt;MAX(Premissas!$B$48,Premissas!$B$49)),$D419,0)</x:f>
        <x:v>0</x:v>
      </x:c>
      <x:c r="AA419" s="141" t="n">
        <x:f>IF(AND(TRUE,Premissas!$B$11="Imovel",Premissas!$B$47="Investimento",$A419&gt;=MAX(Premissas!$B$48,Premissas!$B$49)),$E419,0)</x:f>
        <x:v>4640.6561764904745</x:v>
      </x:c>
      <x:c r="AB419" s="141" t="n">
        <x:f>X419+Y419+Z419</x:f>
        <x:v>0</x:v>
      </x:c>
      <x:c r="AC419" s="141" t="n">
        <x:f>AA419</x:f>
        <x:v>4640.6561764904745</x:v>
      </x:c>
      <x:c r="AD419" s="141" t="n">
        <x:f>$C419+AC419-AB419</x:f>
        <x:v>11640.656176490475</x:v>
      </x:c>
      <x:c r="AE419" s="141" t="n">
        <x:f>AH418*(1+Premissas!$B$41)+AD419</x:f>
        <x:v>36456140.41990044</x:v>
      </x:c>
      <x:c r="AF419" s="141" t="n">
        <x:f>MAX(0,-AE419)</x:f>
        <x:v>0</x:v>
      </x:c>
      <x:c r="AG419" s="141" t="n">
        <x:f>AG418*(1+Premissas!$B$41)+AF419</x:f>
        <x:v>0</x:v>
      </x:c>
      <x:c r="AH419" s="141" t="n">
        <x:f>MAX(0,AE419)</x:f>
        <x:v>36456140.41990044</x:v>
      </x:c>
      <x:c r="AI419" s="141" t="n">
        <x:f>IF(AND($A419&gt;=Premissas!$B$48,$A419-Premissas!$B$48+1&lt;=Premissas!$B$13),INDEX(Amortizacao!$L$6:$L$485,$A419-Premissas!$B$48+1),0)</x:f>
        <x:v>0</x:v>
      </x:c>
      <x:c r="AJ419" s="141" t="n">
        <x:f>IF($A419&gt;=Premissas!$B$48,$F419,0)</x:f>
        <x:v>1493077.4876447758</x:v>
      </x:c>
      <x:c r="AK419" s="141" t="n">
        <x:f>AH419+AJ419-AI419</x:f>
        <x:v>37949217.90754522</x:v>
      </x:c>
      <x:c r="AL419" s="141" t="n">
        <x:f>IF(AG419&gt;1,"Inviavel",AK419)</x:f>
        <x:v>37949217.90754522</x:v>
      </x:c>
      <x:c r="AM419" s="141" t="str">
        <x:f>IF(AG419&gt;1,"Inviavel","OK")</x:f>
        <x:v>OK</x:v>
      </x:c>
      <x:c r="AN419" s="141" t="n">
        <x:f>IF($A419=Premissas!$B$48,Premissas!$B$8,0)</x:f>
        <x:v>0</x:v>
      </x:c>
      <x:c r="AO419" s="141" t="n">
        <x:f>IF($A419&lt;=Premissas!$B$25,INDEX('Consorcio IQ'!$K$6:$K$485,$A419),0)</x:f>
        <x:v>0</x:v>
      </x:c>
      <x:c r="AP419" s="141" t="n">
        <x:f>IF(AND(TRUE,Premissas!$B$11="Imovel",Premissas!$B$47="Moradia",$A419&lt;MAX(Premissas!$B$48,Premissas!$B$49)),$D419,0)</x:f>
        <x:v>0</x:v>
      </x:c>
      <x:c r="AQ419" s="141" t="n">
        <x:f>IF(AND(TRUE,Premissas!$B$11="Imovel",Premissas!$B$47="Investimento",$A419&gt;=MAX(Premissas!$B$48,Premissas!$B$49)),$E419,0)</x:f>
        <x:v>4640.6561764904745</x:v>
      </x:c>
      <x:c r="AR419" s="141" t="n">
        <x:f>AN419+AO419+AP419</x:f>
        <x:v>0</x:v>
      </x:c>
      <x:c r="AS419" s="141" t="n">
        <x:f>AQ419</x:f>
        <x:v>4640.6561764904745</x:v>
      </x:c>
      <x:c r="AT419" s="141" t="n">
        <x:f>$C419+AS419-AR419</x:f>
        <x:v>11640.656176490475</x:v>
      </x:c>
      <x:c r="AU419" s="141" t="n">
        <x:f>AX418*(1+Premissas!$B$41)+AT419</x:f>
        <x:v>36167806.49483249</x:v>
      </x:c>
      <x:c r="AV419" s="141" t="n">
        <x:f>MAX(0,-AU419)</x:f>
        <x:v>0</x:v>
      </x:c>
      <x:c r="AW419" s="141" t="n">
        <x:f>AW418*(1+Premissas!$B$41)+AV419</x:f>
        <x:v>0</x:v>
      </x:c>
      <x:c r="AX419" s="141" t="n">
        <x:f>MAX(0,AU419)</x:f>
        <x:v>36167806.49483249</x:v>
      </x:c>
      <x:c r="AY419" s="141" t="n">
        <x:f>INDEX('Consorcio IQ'!$P$6:$P$485,$A419)</x:f>
        <x:v>0</x:v>
      </x:c>
      <x:c r="AZ419" s="141" t="n">
        <x:f>IF($A419&gt;=Premissas!$B$48,$F419,0)+IF($A419&lt;Premissas!$B$27,INDEX('Consorcio IQ'!$O$6:$O$485,$A419),0)</x:f>
        <x:v>1493077.4876447758</x:v>
      </x:c>
      <x:c r="BA419" s="141" t="n">
        <x:f>AX419+AZ419-AY419</x:f>
        <x:v>37660883.98247727</x:v>
      </x:c>
      <x:c r="BB419" s="141" t="n">
        <x:f>IF(AW419&gt;1,"Inviavel",BA419)</x:f>
        <x:v>37660883.98247727</x:v>
      </x:c>
      <x:c r="BC419" s="141" t="str">
        <x:f>IF(AW419&gt;1,"Inviavel","OK")</x:f>
        <x:v>OK</x:v>
      </x:c>
      <x:c r="BD419" s="141" t="n">
        <x:f>IF($A419='Consorcio Direto'!$B$29,'Consorcio Direto'!$B$44,0)</x:f>
        <x:v>0</x:v>
      </x:c>
      <x:c r="BE419" s="141" t="n">
        <x:f>IF($A419&lt;='Consorcio Direto'!$B$27,INDEX('Consorcio Direto'!$E$55:$E$534,$A419),0)</x:f>
        <x:v>0</x:v>
      </x:c>
      <x:c r="BF419" s="141" t="n">
        <x:f>IF(AND(TRUE,Premissas!$B$11="Imovel",Premissas!$B$47="Moradia",$A419&lt;MAX('Consorcio Direto'!$B$29,Premissas!$B$49)),$D419,0)</x:f>
        <x:v>0</x:v>
      </x:c>
      <x:c r="BG419" s="141" t="n">
        <x:f>IF(AND(TRUE,Premissas!$B$11="Imovel",Premissas!$B$47="Investimento",$A419&gt;=MAX('Consorcio Direto'!$B$29,Premissas!$B$49)),$E419,0)</x:f>
        <x:v>4640.6561764904745</x:v>
      </x:c>
      <x:c r="BH419" s="141" t="n">
        <x:f>BD419+BE419+BF419</x:f>
        <x:v>0</x:v>
      </x:c>
      <x:c r="BI419" s="141" t="n">
        <x:f>BG419</x:f>
        <x:v>4640.6561764904745</x:v>
      </x:c>
      <x:c r="BJ419" s="141" t="n">
        <x:f>$C419+BI419-BH419</x:f>
        <x:v>11640.656176490475</x:v>
      </x:c>
      <x:c r="BK419" s="141" t="n">
        <x:f>BN418*(1+Premissas!$B$41)+BJ419</x:f>
        <x:v>34609537.69525391</x:v>
      </x:c>
      <x:c r="BL419" s="141" t="n">
        <x:f>MAX(0,-BK419)</x:f>
        <x:v>0</x:v>
      </x:c>
      <x:c r="BM419" s="141" t="n">
        <x:f>BM418*(1+Premissas!$B$41)+BL419</x:f>
        <x:v>0</x:v>
      </x:c>
      <x:c r="BN419" s="141" t="n">
        <x:f>MAX(0,BK419)</x:f>
        <x:v>34609537.69525391</x:v>
      </x:c>
      <x:c r="BO419" s="141" t="n">
        <x:f>INDEX('Consorcio Direto'!$K$55:$K$534,$A419)</x:f>
        <x:v>0</x:v>
      </x:c>
      <x:c r="BP419" s="141" t="n">
        <x:f>IF($A419&lt;'Consorcio Direto'!$B$29,INDEX('Consorcio Direto'!$L$55:$L$534,$A419),$F419)</x:f>
        <x:v>1493077.4876447758</x:v>
      </x:c>
      <x:c r="BQ419" s="141" t="n">
        <x:f>BN419+BP419-BO419</x:f>
        <x:v>36102615.182898685</x:v>
      </x:c>
      <x:c r="BR419" s="141" t="n">
        <x:f>IF(BM419&gt;1,"Inviavel",BQ419)</x:f>
        <x:v>36102615.182898685</x:v>
      </x:c>
      <x:c r="BS419" s="141" t="str">
        <x:f>IF(BM419&gt;1,"Inviavel","OK")</x:f>
        <x:v>OK</x:v>
      </x:c>
      <x:c r="BT419" s="141" t="n">
        <x:f>IF(AND('Carta Contemplada'!$B$22="Sim",$A419='Carta Contemplada'!$B$23),'Carta Contemplada'!$B$37,0)</x:f>
        <x:v>0</x:v>
      </x:c>
      <x:c r="BU419" s="141" t="n">
        <x:f>IF('Carta Contemplada'!$B$22="Sim",INDEX('Carta Contemplada'!$C$55:$C$1013,$A419),0)</x:f>
        <x:v>0</x:v>
      </x:c>
      <x:c r="BV419" s="141" t="n">
        <x:f>IF(AND('Carta Contemplada'!$B$22="Sim",Premissas!$B$11="Imovel",Premissas!$B$47="Moradia",$A419&lt;MAX('Carta Contemplada'!$B$44,Premissas!$B$49)),$D419,0)</x:f>
        <x:v>0</x:v>
      </x:c>
      <x:c r="BW419" s="141" t="n">
        <x:f>IF(AND('Carta Contemplada'!$B$22="Sim",Premissas!$B$11="Imovel",Premissas!$B$47="Investimento",$A419&gt;=MAX('Carta Contemplada'!$B$44,Premissas!$B$49)),$E419,0)</x:f>
        <x:v>4640.6561764904745</x:v>
      </x:c>
      <x:c r="BX419" s="141" t="n">
        <x:f>BT419+BU419+BV419</x:f>
        <x:v>0</x:v>
      </x:c>
      <x:c r="BY419" s="141" t="n">
        <x:f>BW419</x:f>
        <x:v>4640.6561764904745</x:v>
      </x:c>
      <x:c r="BZ419" s="141" t="n">
        <x:f>$C419+BY419-BX419</x:f>
        <x:v>11640.656176490475</x:v>
      </x:c>
      <x:c r="CA419" s="141" t="n">
        <x:f>CD418*(1+Premissas!$B$41)+BZ419</x:f>
        <x:v>37183264.391364925</x:v>
      </x:c>
      <x:c r="CB419" s="141" t="n">
        <x:f>MAX(0,-CA419)</x:f>
        <x:v>0</x:v>
      </x:c>
      <x:c r="CC419" s="141" t="n">
        <x:f>CC418*(1+Premissas!$B$41)+CB419</x:f>
        <x:v>0</x:v>
      </x:c>
      <x:c r="CD419" s="141" t="n">
        <x:f>MAX(0,CA419)</x:f>
        <x:v>37183264.391364925</x:v>
      </x:c>
      <x:c r="CE419" s="141" t="n">
        <x:f>IF(AND('Carta Contemplada'!$B$22="Sim",$A419&gt;='Carta Contemplada'!$B$23),INDEX('Carta Contemplada'!$I$55:$I$1013,$A419),0)</x:f>
        <x:v>0</x:v>
      </x:c>
      <x:c r="CF419" s="141" t="n">
        <x:f>IF(AND('Carta Contemplada'!$B$22="Sim",$A419&gt;='Carta Contemplada'!$B$44),$F419,0)</x:f>
        <x:v>1493077.4876447758</x:v>
      </x:c>
      <x:c r="CG419" s="141" t="n">
        <x:f>CD419+CF419-CE419</x:f>
        <x:v>38676341.8790097</x:v>
      </x:c>
      <x:c r="CH419" s="141" t="n">
        <x:f>IF(CC419&gt;1,"Inviavel",CG419)</x:f>
        <x:v>38676341.8790097</x:v>
      </x:c>
      <x:c r="CI419" s="145" t="str">
        <x:f>IF(CC419&gt;1,"Inviavel","OK")</x:f>
        <x:v>OK</x:v>
      </x:c>
    </x:row>
    <x:row r="420">
      <x:c r="A420" s="142" t="n">
        <x:v>416</x:v>
      </x:c>
      <x:c r="B420" s="179" t="n">
        <x:f>EDATE(Premissas!$B$4,A420-1)</x:f>
        <x:v>59172</x:v>
      </x:c>
      <x:c r="C420" s="141" t="n">
        <x:f>IF(A420&lt;=Premissas!$B$39,Premissas!$B$42,0)</x:f>
        <x:v>7000</x:v>
      </x:c>
      <x:c r="D420" s="141" t="n">
        <x:f>Premissas!$B$54*(1+Premissas!$B$57)^INT((A420-1)/12)</x:f>
        <x:v>5075.717693036457</x:v>
      </x:c>
      <x:c r="E420" s="141" t="n">
        <x:f>Premissas!$B$64*(1+Premissas!$B$57)^INT((A420-1)/12)</x:f>
        <x:v>4640.6561764904745</x:v>
      </x:c>
      <x:c r="F420" s="141" t="n">
        <x:f>MAX(0,Premissas!$B$6*(1+Premissas!$B$66)^((A420-1)/12))</x:f>
        <x:v>1500345.1178138622</x:v>
      </x:c>
      <x:c r="G420" s="141" t="n">
        <x:f>G419*(1+Premissas!$B$41)+C420</x:f>
        <x:v>41302038.88136487</x:v>
      </x:c>
      <x:c r="H420" s="141" t="n">
        <x:f>IF($A420=Premissas!$B$48,Premissas!$B$8,0)</x:f>
        <x:v>0</x:v>
      </x:c>
      <x:c r="I420" s="141" t="n">
        <x:f>IF(AND($A420&gt;=Premissas!$B$48,$A420-Premissas!$B$48+1&lt;=Premissas!$B$13),INDEX(Financiamento!$J$6:$J$485,$A420-Premissas!$B$48+1),0)</x:f>
        <x:v>549.0262722563488</x:v>
      </x:c>
      <x:c r="J420" s="141" t="n">
        <x:f>IF(AND(TRUE,Premissas!$B$11="Imovel",Premissas!$B$47="Moradia",$A420&lt;MAX(Premissas!$B$48,Premissas!$B$49)),$D420,0)</x:f>
        <x:v>0</x:v>
      </x:c>
      <x:c r="K420" s="141" t="n">
        <x:f>IF(AND(TRUE,Premissas!$B$11="Imovel",Premissas!$B$47="Investimento",$A420&gt;=MAX(Premissas!$B$48,Premissas!$B$49)),$E420,0)</x:f>
        <x:v>4640.6561764904745</x:v>
      </x:c>
      <x:c r="L420" s="141" t="n">
        <x:f>H420+I420+J420</x:f>
        <x:v>549.0262722563488</x:v>
      </x:c>
      <x:c r="M420" s="141" t="n">
        <x:f>K420</x:f>
        <x:v>4640.6561764904745</x:v>
      </x:c>
      <x:c r="N420" s="141" t="n">
        <x:f>$C420+M420-L420</x:f>
        <x:v>11091.629904234125</x:v>
      </x:c>
      <x:c r="O420" s="141" t="n">
        <x:f>R419*(1+Premissas!$B$41)+N420</x:f>
        <x:v>36208214.94436796</x:v>
      </x:c>
      <x:c r="P420" s="141" t="n">
        <x:f>MAX(0,-O420)</x:f>
        <x:v>0</x:v>
      </x:c>
      <x:c r="Q420" s="141" t="n">
        <x:f>Q419*(1+Premissas!$B$41)+P420</x:f>
        <x:v>0</x:v>
      </x:c>
      <x:c r="R420" s="141" t="n">
        <x:f>MAX(0,O420)</x:f>
        <x:v>36208214.94436796</x:v>
      </x:c>
      <x:c r="S420" s="141" t="n">
        <x:f>IF(AND($A420&gt;=Premissas!$B$48,$A420-Premissas!$B$48+1&lt;=Premissas!$B$13),INDEX(Financiamento!$M$6:$M$485,$A420-Premissas!$B$48+1),0)</x:f>
        <x:v>1523.8095238095243</x:v>
      </x:c>
      <x:c r="T420" s="141" t="n">
        <x:f>IF($A420&gt;=Premissas!$B$48,$F420,0)</x:f>
        <x:v>1500345.1178138622</x:v>
      </x:c>
      <x:c r="U420" s="141" t="n">
        <x:f>R420+T420-S420</x:f>
        <x:v>37707036.25265802</x:v>
      </x:c>
      <x:c r="V420" s="141" t="n">
        <x:f>IF(Q420&gt;1,"Inviavel",U420)</x:f>
        <x:v>37707036.25265802</x:v>
      </x:c>
      <x:c r="W420" s="141" t="str">
        <x:f>IF(Q420&gt;1,"Inviavel","OK")</x:f>
        <x:v>OK</x:v>
      </x:c>
      <x:c r="X420" s="141" t="n">
        <x:f>IF($A420=Premissas!$B$48,Premissas!$B$8,0)</x:f>
        <x:v>0</x:v>
      </x:c>
      <x:c r="Y420" s="141" t="n">
        <x:f>IF(AND($A420&gt;=Premissas!$B$48,$A420-Premissas!$B$48+1&lt;=Premissas!$B$13),INDEX(Amortizacao!$K$6:$K$485,$A420-Premissas!$B$48+1),0)</x:f>
        <x:v>0</x:v>
      </x:c>
      <x:c r="Z420" s="141" t="n">
        <x:f>IF(AND(TRUE,Premissas!$B$11="Imovel",Premissas!$B$47="Moradia",$A420&lt;MAX(Premissas!$B$48,Premissas!$B$49)),$D420,0)</x:f>
        <x:v>0</x:v>
      </x:c>
      <x:c r="AA420" s="141" t="n">
        <x:f>IF(AND(TRUE,Premissas!$B$11="Imovel",Premissas!$B$47="Investimento",$A420&gt;=MAX(Premissas!$B$48,Premissas!$B$49)),$E420,0)</x:f>
        <x:v>4640.6561764904745</x:v>
      </x:c>
      <x:c r="AB420" s="141" t="n">
        <x:f>X420+Y420+Z420</x:f>
        <x:v>0</x:v>
      </x:c>
      <x:c r="AC420" s="141" t="n">
        <x:f>AA420</x:f>
        <x:v>4640.6561764904745</x:v>
      </x:c>
      <x:c r="AD420" s="141" t="n">
        <x:f>$C420+AC420-AB420</x:f>
        <x:v>11640.656176490475</x:v>
      </x:c>
      <x:c r="AE420" s="141" t="n">
        <x:f>AH419*(1+Premissas!$B$41)+AD420</x:f>
        <x:v>36813705.84371545</x:v>
      </x:c>
      <x:c r="AF420" s="141" t="n">
        <x:f>MAX(0,-AE420)</x:f>
        <x:v>0</x:v>
      </x:c>
      <x:c r="AG420" s="141" t="n">
        <x:f>AG419*(1+Premissas!$B$41)+AF420</x:f>
        <x:v>0</x:v>
      </x:c>
      <x:c r="AH420" s="141" t="n">
        <x:f>MAX(0,AE420)</x:f>
        <x:v>36813705.84371545</x:v>
      </x:c>
      <x:c r="AI420" s="141" t="n">
        <x:f>IF(AND($A420&gt;=Premissas!$B$48,$A420-Premissas!$B$48+1&lt;=Premissas!$B$13),INDEX(Amortizacao!$L$6:$L$485,$A420-Premissas!$B$48+1),0)</x:f>
        <x:v>0</x:v>
      </x:c>
      <x:c r="AJ420" s="141" t="n">
        <x:f>IF($A420&gt;=Premissas!$B$48,$F420,0)</x:f>
        <x:v>1500345.1178138622</x:v>
      </x:c>
      <x:c r="AK420" s="141" t="n">
        <x:f>AH420+AJ420-AI420</x:f>
        <x:v>38314050.961529315</x:v>
      </x:c>
      <x:c r="AL420" s="141" t="n">
        <x:f>IF(AG420&gt;1,"Inviavel",AK420)</x:f>
        <x:v>38314050.961529315</x:v>
      </x:c>
      <x:c r="AM420" s="141" t="str">
        <x:f>IF(AG420&gt;1,"Inviavel","OK")</x:f>
        <x:v>OK</x:v>
      </x:c>
      <x:c r="AN420" s="141" t="n">
        <x:f>IF($A420=Premissas!$B$48,Premissas!$B$8,0)</x:f>
        <x:v>0</x:v>
      </x:c>
      <x:c r="AO420" s="141" t="n">
        <x:f>IF($A420&lt;=Premissas!$B$25,INDEX('Consorcio IQ'!$K$6:$K$485,$A420),0)</x:f>
        <x:v>0</x:v>
      </x:c>
      <x:c r="AP420" s="141" t="n">
        <x:f>IF(AND(TRUE,Premissas!$B$11="Imovel",Premissas!$B$47="Moradia",$A420&lt;MAX(Premissas!$B$48,Premissas!$B$49)),$D420,0)</x:f>
        <x:v>0</x:v>
      </x:c>
      <x:c r="AQ420" s="141" t="n">
        <x:f>IF(AND(TRUE,Premissas!$B$11="Imovel",Premissas!$B$47="Investimento",$A420&gt;=MAX(Premissas!$B$48,Premissas!$B$49)),$E420,0)</x:f>
        <x:v>4640.6561764904745</x:v>
      </x:c>
      <x:c r="AR420" s="141" t="n">
        <x:f>AN420+AO420+AP420</x:f>
        <x:v>0</x:v>
      </x:c>
      <x:c r="AS420" s="141" t="n">
        <x:f>AQ420</x:f>
        <x:v>4640.6561764904745</x:v>
      </x:c>
      <x:c r="AT420" s="141" t="n">
        <x:f>$C420+AS420-AR420</x:f>
        <x:v>11640.656176490475</x:v>
      </x:c>
      <x:c r="AU420" s="141" t="n">
        <x:f>AX419*(1+Premissas!$B$41)+AT420</x:f>
        <x:v>36522635.97773652</x:v>
      </x:c>
      <x:c r="AV420" s="141" t="n">
        <x:f>MAX(0,-AU420)</x:f>
        <x:v>0</x:v>
      </x:c>
      <x:c r="AW420" s="141" t="n">
        <x:f>AW419*(1+Premissas!$B$41)+AV420</x:f>
        <x:v>0</x:v>
      </x:c>
      <x:c r="AX420" s="141" t="n">
        <x:f>MAX(0,AU420)</x:f>
        <x:v>36522635.97773652</x:v>
      </x:c>
      <x:c r="AY420" s="141" t="n">
        <x:f>INDEX('Consorcio IQ'!$P$6:$P$485,$A420)</x:f>
        <x:v>0</x:v>
      </x:c>
      <x:c r="AZ420" s="141" t="n">
        <x:f>IF($A420&gt;=Premissas!$B$48,$F420,0)+IF($A420&lt;Premissas!$B$27,INDEX('Consorcio IQ'!$O$6:$O$485,$A420),0)</x:f>
        <x:v>1500345.1178138622</x:v>
      </x:c>
      <x:c r="BA420" s="141" t="n">
        <x:f>AX420+AZ420-AY420</x:f>
        <x:v>38022981.09555038</x:v>
      </x:c>
      <x:c r="BB420" s="141" t="n">
        <x:f>IF(AW420&gt;1,"Inviavel",BA420)</x:f>
        <x:v>38022981.09555038</x:v>
      </x:c>
      <x:c r="BC420" s="141" t="str">
        <x:f>IF(AW420&gt;1,"Inviavel","OK")</x:f>
        <x:v>OK</x:v>
      </x:c>
      <x:c r="BD420" s="141" t="n">
        <x:f>IF($A420='Consorcio Direto'!$B$29,'Consorcio Direto'!$B$44,0)</x:f>
        <x:v>0</x:v>
      </x:c>
      <x:c r="BE420" s="141" t="n">
        <x:f>IF($A420&lt;='Consorcio Direto'!$B$27,INDEX('Consorcio Direto'!$E$55:$E$534,$A420),0)</x:f>
        <x:v>0</x:v>
      </x:c>
      <x:c r="BF420" s="141" t="n">
        <x:f>IF(AND(TRUE,Premissas!$B$11="Imovel",Premissas!$B$47="Moradia",$A420&lt;MAX('Consorcio Direto'!$B$29,Premissas!$B$49)),$D420,0)</x:f>
        <x:v>0</x:v>
      </x:c>
      <x:c r="BG420" s="141" t="n">
        <x:f>IF(AND(TRUE,Premissas!$B$11="Imovel",Premissas!$B$47="Investimento",$A420&gt;=MAX('Consorcio Direto'!$B$29,Premissas!$B$49)),$E420,0)</x:f>
        <x:v>4640.6561764904745</x:v>
      </x:c>
      <x:c r="BH420" s="141" t="n">
        <x:f>BD420+BE420+BF420</x:f>
        <x:v>0</x:v>
      </x:c>
      <x:c r="BI420" s="141" t="n">
        <x:f>BG420</x:f>
        <x:v>4640.6561764904745</x:v>
      </x:c>
      <x:c r="BJ420" s="141" t="n">
        <x:f>$C420+BI420-BH420</x:f>
        <x:v>11640.656176490475</x:v>
      </x:c>
      <x:c r="BK420" s="141" t="n">
        <x:f>BN419*(1+Premissas!$B$41)+BJ420</x:f>
        <x:v>34949581.088182315</x:v>
      </x:c>
      <x:c r="BL420" s="141" t="n">
        <x:f>MAX(0,-BK420)</x:f>
        <x:v>0</x:v>
      </x:c>
      <x:c r="BM420" s="141" t="n">
        <x:f>BM419*(1+Premissas!$B$41)+BL420</x:f>
        <x:v>0</x:v>
      </x:c>
      <x:c r="BN420" s="141" t="n">
        <x:f>MAX(0,BK420)</x:f>
        <x:v>34949581.088182315</x:v>
      </x:c>
      <x:c r="BO420" s="141" t="n">
        <x:f>INDEX('Consorcio Direto'!$K$55:$K$534,$A420)</x:f>
        <x:v>0</x:v>
      </x:c>
      <x:c r="BP420" s="141" t="n">
        <x:f>IF($A420&lt;'Consorcio Direto'!$B$29,INDEX('Consorcio Direto'!$L$55:$L$534,$A420),$F420)</x:f>
        <x:v>1500345.1178138622</x:v>
      </x:c>
      <x:c r="BQ420" s="141" t="n">
        <x:f>BN420+BP420-BO420</x:f>
        <x:v>36449926.20599618</x:v>
      </x:c>
      <x:c r="BR420" s="141" t="n">
        <x:f>IF(BM420&gt;1,"Inviavel",BQ420)</x:f>
        <x:v>36449926.20599618</x:v>
      </x:c>
      <x:c r="BS420" s="141" t="str">
        <x:f>IF(BM420&gt;1,"Inviavel","OK")</x:f>
        <x:v>OK</x:v>
      </x:c>
      <x:c r="BT420" s="141" t="n">
        <x:f>IF(AND('Carta Contemplada'!$B$22="Sim",$A420='Carta Contemplada'!$B$23),'Carta Contemplada'!$B$37,0)</x:f>
        <x:v>0</x:v>
      </x:c>
      <x:c r="BU420" s="141" t="n">
        <x:f>IF('Carta Contemplada'!$B$22="Sim",INDEX('Carta Contemplada'!$C$55:$C$1013,$A420),0)</x:f>
        <x:v>0</x:v>
      </x:c>
      <x:c r="BV420" s="141" t="n">
        <x:f>IF(AND('Carta Contemplada'!$B$22="Sim",Premissas!$B$11="Imovel",Premissas!$B$47="Moradia",$A420&lt;MAX('Carta Contemplada'!$B$44,Premissas!$B$49)),$D420,0)</x:f>
        <x:v>0</x:v>
      </x:c>
      <x:c r="BW420" s="141" t="n">
        <x:f>IF(AND('Carta Contemplada'!$B$22="Sim",Premissas!$B$11="Imovel",Premissas!$B$47="Investimento",$A420&gt;=MAX('Carta Contemplada'!$B$44,Premissas!$B$49)),$E420,0)</x:f>
        <x:v>4640.6561764904745</x:v>
      </x:c>
      <x:c r="BX420" s="141" t="n">
        <x:f>BT420+BU420+BV420</x:f>
        <x:v>0</x:v>
      </x:c>
      <x:c r="BY420" s="141" t="n">
        <x:f>BW420</x:f>
        <x:v>4640.6561764904745</x:v>
      </x:c>
      <x:c r="BZ420" s="141" t="n">
        <x:f>$C420+BY420-BX420</x:f>
        <x:v>11640.656176490475</x:v>
      </x:c>
      <x:c r="CA420" s="141" t="n">
        <x:f>CD419*(1+Premissas!$B$41)+BZ420</x:f>
        <x:v>37547729.343982935</x:v>
      </x:c>
      <x:c r="CB420" s="141" t="n">
        <x:f>MAX(0,-CA420)</x:f>
        <x:v>0</x:v>
      </x:c>
      <x:c r="CC420" s="141" t="n">
        <x:f>CC419*(1+Premissas!$B$41)+CB420</x:f>
        <x:v>0</x:v>
      </x:c>
      <x:c r="CD420" s="141" t="n">
        <x:f>MAX(0,CA420)</x:f>
        <x:v>37547729.343982935</x:v>
      </x:c>
      <x:c r="CE420" s="141" t="n">
        <x:f>IF(AND('Carta Contemplada'!$B$22="Sim",$A420&gt;='Carta Contemplada'!$B$23),INDEX('Carta Contemplada'!$I$55:$I$1013,$A420),0)</x:f>
        <x:v>0</x:v>
      </x:c>
      <x:c r="CF420" s="141" t="n">
        <x:f>IF(AND('Carta Contemplada'!$B$22="Sim",$A420&gt;='Carta Contemplada'!$B$44),$F420,0)</x:f>
        <x:v>1500345.1178138622</x:v>
      </x:c>
      <x:c r="CG420" s="141" t="n">
        <x:f>CD420+CF420-CE420</x:f>
        <x:v>39048074.4617968</x:v>
      </x:c>
      <x:c r="CH420" s="141" t="n">
        <x:f>IF(CC420&gt;1,"Inviavel",CG420)</x:f>
        <x:v>39048074.4617968</x:v>
      </x:c>
      <x:c r="CI420" s="145" t="str">
        <x:f>IF(CC420&gt;1,"Inviavel","OK")</x:f>
        <x:v>OK</x:v>
      </x:c>
    </x:row>
    <x:row r="421">
      <x:c r="A421" s="142" t="n">
        <x:v>417</x:v>
      </x:c>
      <x:c r="B421" s="179" t="n">
        <x:f>EDATE(Premissas!$B$4,A421-1)</x:f>
        <x:v>59203</x:v>
      </x:c>
      <x:c r="C421" s="141" t="n">
        <x:f>IF(A421&lt;=Premissas!$B$39,Premissas!$B$42,0)</x:f>
        <x:v>7000</x:v>
      </x:c>
      <x:c r="D421" s="141" t="n">
        <x:f>Premissas!$B$54*(1+Premissas!$B$57)^INT((A421-1)/12)</x:f>
        <x:v>5075.717693036457</x:v>
      </x:c>
      <x:c r="E421" s="141" t="n">
        <x:f>Premissas!$B$64*(1+Premissas!$B$57)^INT((A421-1)/12)</x:f>
        <x:v>4640.6561764904745</x:v>
      </x:c>
      <x:c r="F421" s="141" t="n">
        <x:f>MAX(0,Premissas!$B$6*(1+Premissas!$B$66)^((A421-1)/12))</x:f>
        <x:v>1507648.1235402862</x:v>
      </x:c>
      <x:c r="G421" s="141" t="n">
        <x:f>G420*(1+Premissas!$B$41)+C421</x:f>
        <x:v>41700945.376086235</x:v>
      </x:c>
      <x:c r="H421" s="141" t="n">
        <x:f>IF($A421=Premissas!$B$48,Premissas!$B$8,0)</x:f>
        <x:v>0</x:v>
      </x:c>
      <x:c r="I421" s="141" t="n">
        <x:f>IF(AND($A421&gt;=Premissas!$B$48,$A421-Premissas!$B$48+1&lt;=Premissas!$B$13),INDEX(Financiamento!$J$6:$J$485,$A421-Premissas!$B$48+1),0)</x:f>
        <x:v>545.4114939955552</x:v>
      </x:c>
      <x:c r="J421" s="141" t="n">
        <x:f>IF(AND(TRUE,Premissas!$B$11="Imovel",Premissas!$B$47="Moradia",$A421&lt;MAX(Premissas!$B$48,Premissas!$B$49)),$D421,0)</x:f>
        <x:v>0</x:v>
      </x:c>
      <x:c r="K421" s="141" t="n">
        <x:f>IF(AND(TRUE,Premissas!$B$11="Imovel",Premissas!$B$47="Investimento",$A421&gt;=MAX(Premissas!$B$48,Premissas!$B$49)),$E421,0)</x:f>
        <x:v>4640.6561764904745</x:v>
      </x:c>
      <x:c r="L421" s="141" t="n">
        <x:f>H421+I421+J421</x:f>
        <x:v>545.4114939955552</x:v>
      </x:c>
      <x:c r="M421" s="141" t="n">
        <x:f>K421</x:f>
        <x:v>4640.6561764904745</x:v>
      </x:c>
      <x:c r="N421" s="141" t="n">
        <x:f>$C421+M421-L421</x:f>
        <x:v>11095.244682494918</x:v>
      </x:c>
      <x:c r="O421" s="141" t="n">
        <x:f>R420*(1+Premissas!$B$41)+N421</x:f>
        <x:v>36562882.443188444</x:v>
      </x:c>
      <x:c r="P421" s="141" t="n">
        <x:f>MAX(0,-O421)</x:f>
        <x:v>0</x:v>
      </x:c>
      <x:c r="Q421" s="141" t="n">
        <x:f>Q420*(1+Premissas!$B$41)+P421</x:f>
        <x:v>0</x:v>
      </x:c>
      <x:c r="R421" s="141" t="n">
        <x:f>MAX(0,O421)</x:f>
        <x:v>36562882.443188444</x:v>
      </x:c>
      <x:c r="S421" s="141" t="n">
        <x:f>IF(AND($A421&gt;=Premissas!$B$48,$A421-Premissas!$B$48+1&lt;=Premissas!$B$13),INDEX(Financiamento!$M$6:$M$485,$A421-Premissas!$B$48+1),0)</x:f>
        <x:v>1142.8571428571431</x:v>
      </x:c>
      <x:c r="T421" s="141" t="n">
        <x:f>IF($A421&gt;=Premissas!$B$48,$F421,0)</x:f>
        <x:v>1507648.1235402862</x:v>
      </x:c>
      <x:c r="U421" s="141" t="n">
        <x:f>R421+T421-S421</x:f>
        <x:v>38069387.709585875</x:v>
      </x:c>
      <x:c r="V421" s="141" t="n">
        <x:f>IF(Q421&gt;1,"Inviavel",U421)</x:f>
        <x:v>38069387.709585875</x:v>
      </x:c>
      <x:c r="W421" s="141" t="str">
        <x:f>IF(Q421&gt;1,"Inviavel","OK")</x:f>
        <x:v>OK</x:v>
      </x:c>
      <x:c r="X421" s="141" t="n">
        <x:f>IF($A421=Premissas!$B$48,Premissas!$B$8,0)</x:f>
        <x:v>0</x:v>
      </x:c>
      <x:c r="Y421" s="141" t="n">
        <x:f>IF(AND($A421&gt;=Premissas!$B$48,$A421-Premissas!$B$48+1&lt;=Premissas!$B$13),INDEX(Amortizacao!$K$6:$K$485,$A421-Premissas!$B$48+1),0)</x:f>
        <x:v>0</x:v>
      </x:c>
      <x:c r="Z421" s="141" t="n">
        <x:f>IF(AND(TRUE,Premissas!$B$11="Imovel",Premissas!$B$47="Moradia",$A421&lt;MAX(Premissas!$B$48,Premissas!$B$49)),$D421,0)</x:f>
        <x:v>0</x:v>
      </x:c>
      <x:c r="AA421" s="141" t="n">
        <x:f>IF(AND(TRUE,Premissas!$B$11="Imovel",Premissas!$B$47="Investimento",$A421&gt;=MAX(Premissas!$B$48,Premissas!$B$49)),$E421,0)</x:f>
        <x:v>4640.6561764904745</x:v>
      </x:c>
      <x:c r="AB421" s="141" t="n">
        <x:f>X421+Y421+Z421</x:f>
        <x:v>0</x:v>
      </x:c>
      <x:c r="AC421" s="141" t="n">
        <x:f>AA421</x:f>
        <x:v>4640.6561764904745</x:v>
      </x:c>
      <x:c r="AD421" s="141" t="n">
        <x:f>$C421+AC421-AB421</x:f>
        <x:v>11640.656176490475</x:v>
      </x:c>
      <x:c r="AE421" s="141" t="n">
        <x:f>AH420*(1+Premissas!$B$41)+AD421</x:f>
        <x:v>37174664.13179761</x:v>
      </x:c>
      <x:c r="AF421" s="141" t="n">
        <x:f>MAX(0,-AE421)</x:f>
        <x:v>0</x:v>
      </x:c>
      <x:c r="AG421" s="141" t="n">
        <x:f>AG420*(1+Premissas!$B$41)+AF421</x:f>
        <x:v>0</x:v>
      </x:c>
      <x:c r="AH421" s="141" t="n">
        <x:f>MAX(0,AE421)</x:f>
        <x:v>37174664.13179761</x:v>
      </x:c>
      <x:c r="AI421" s="141" t="n">
        <x:f>IF(AND($A421&gt;=Premissas!$B$48,$A421-Premissas!$B$48+1&lt;=Premissas!$B$13),INDEX(Amortizacao!$L$6:$L$485,$A421-Premissas!$B$48+1),0)</x:f>
        <x:v>0</x:v>
      </x:c>
      <x:c r="AJ421" s="141" t="n">
        <x:f>IF($A421&gt;=Premissas!$B$48,$F421,0)</x:f>
        <x:v>1507648.1235402862</x:v>
      </x:c>
      <x:c r="AK421" s="141" t="n">
        <x:f>AH421+AJ421-AI421</x:f>
        <x:v>38682312.2553379</x:v>
      </x:c>
      <x:c r="AL421" s="141" t="n">
        <x:f>IF(AG421&gt;1,"Inviavel",AK421)</x:f>
        <x:v>38682312.2553379</x:v>
      </x:c>
      <x:c r="AM421" s="141" t="str">
        <x:f>IF(AG421&gt;1,"Inviavel","OK")</x:f>
        <x:v>OK</x:v>
      </x:c>
      <x:c r="AN421" s="141" t="n">
        <x:f>IF($A421=Premissas!$B$48,Premissas!$B$8,0)</x:f>
        <x:v>0</x:v>
      </x:c>
      <x:c r="AO421" s="141" t="n">
        <x:f>IF($A421&lt;=Premissas!$B$25,INDEX('Consorcio IQ'!$K$6:$K$485,$A421),0)</x:f>
        <x:v>0</x:v>
      </x:c>
      <x:c r="AP421" s="141" t="n">
        <x:f>IF(AND(TRUE,Premissas!$B$11="Imovel",Premissas!$B$47="Moradia",$A421&lt;MAX(Premissas!$B$48,Premissas!$B$49)),$D421,0)</x:f>
        <x:v>0</x:v>
      </x:c>
      <x:c r="AQ421" s="141" t="n">
        <x:f>IF(AND(TRUE,Premissas!$B$11="Imovel",Premissas!$B$47="Investimento",$A421&gt;=MAX(Premissas!$B$48,Premissas!$B$49)),$E421,0)</x:f>
        <x:v>4640.6561764904745</x:v>
      </x:c>
      <x:c r="AR421" s="141" t="n">
        <x:f>AN421+AO421+AP421</x:f>
        <x:v>0</x:v>
      </x:c>
      <x:c r="AS421" s="141" t="n">
        <x:f>AQ421</x:f>
        <x:v>4640.6561764904745</x:v>
      </x:c>
      <x:c r="AT421" s="141" t="n">
        <x:f>$C421+AS421-AR421</x:f>
        <x:v>11640.656176490475</x:v>
      </x:c>
      <x:c r="AU421" s="141" t="n">
        <x:f>AX420*(1+Premissas!$B$41)+AT421</x:f>
        <x:v>36880832.36413091</x:v>
      </x:c>
      <x:c r="AV421" s="141" t="n">
        <x:f>MAX(0,-AU421)</x:f>
        <x:v>0</x:v>
      </x:c>
      <x:c r="AW421" s="141" t="n">
        <x:f>AW420*(1+Premissas!$B$41)+AV421</x:f>
        <x:v>0</x:v>
      </x:c>
      <x:c r="AX421" s="141" t="n">
        <x:f>MAX(0,AU421)</x:f>
        <x:v>36880832.36413091</x:v>
      </x:c>
      <x:c r="AY421" s="141" t="n">
        <x:f>INDEX('Consorcio IQ'!$P$6:$P$485,$A421)</x:f>
        <x:v>0</x:v>
      </x:c>
      <x:c r="AZ421" s="141" t="n">
        <x:f>IF($A421&gt;=Premissas!$B$48,$F421,0)+IF($A421&lt;Premissas!$B$27,INDEX('Consorcio IQ'!$O$6:$O$485,$A421),0)</x:f>
        <x:v>1507648.1235402862</x:v>
      </x:c>
      <x:c r="BA421" s="141" t="n">
        <x:f>AX421+AZ421-AY421</x:f>
        <x:v>38388480.4876712</x:v>
      </x:c>
      <x:c r="BB421" s="141" t="n">
        <x:f>IF(AW421&gt;1,"Inviavel",BA421)</x:f>
        <x:v>38388480.4876712</x:v>
      </x:c>
      <x:c r="BC421" s="141" t="str">
        <x:f>IF(AW421&gt;1,"Inviavel","OK")</x:f>
        <x:v>OK</x:v>
      </x:c>
      <x:c r="BD421" s="141" t="n">
        <x:f>IF($A421='Consorcio Direto'!$B$29,'Consorcio Direto'!$B$44,0)</x:f>
        <x:v>0</x:v>
      </x:c>
      <x:c r="BE421" s="141" t="n">
        <x:f>IF($A421&lt;='Consorcio Direto'!$B$27,INDEX('Consorcio Direto'!$E$55:$E$534,$A421),0)</x:f>
        <x:v>0</x:v>
      </x:c>
      <x:c r="BF421" s="141" t="n">
        <x:f>IF(AND(TRUE,Premissas!$B$11="Imovel",Premissas!$B$47="Moradia",$A421&lt;MAX('Consorcio Direto'!$B$29,Premissas!$B$49)),$D421,0)</x:f>
        <x:v>0</x:v>
      </x:c>
      <x:c r="BG421" s="141" t="n">
        <x:f>IF(AND(TRUE,Premissas!$B$11="Imovel",Premissas!$B$47="Investimento",$A421&gt;=MAX('Consorcio Direto'!$B$29,Premissas!$B$49)),$E421,0)</x:f>
        <x:v>4640.6561764904745</x:v>
      </x:c>
      <x:c r="BH421" s="141" t="n">
        <x:f>BD421+BE421+BF421</x:f>
        <x:v>0</x:v>
      </x:c>
      <x:c r="BI421" s="141" t="n">
        <x:f>BG421</x:f>
        <x:v>4640.6561764904745</x:v>
      </x:c>
      <x:c r="BJ421" s="141" t="n">
        <x:f>$C421+BI421-BH421</x:f>
        <x:v>11640.656176490475</x:v>
      </x:c>
      <x:c r="BK421" s="141" t="n">
        <x:f>BN420*(1+Premissas!$B$41)+BJ421</x:f>
        <x:v>35292851.08245499</x:v>
      </x:c>
      <x:c r="BL421" s="141" t="n">
        <x:f>MAX(0,-BK421)</x:f>
        <x:v>0</x:v>
      </x:c>
      <x:c r="BM421" s="141" t="n">
        <x:f>BM420*(1+Premissas!$B$41)+BL421</x:f>
        <x:v>0</x:v>
      </x:c>
      <x:c r="BN421" s="141" t="n">
        <x:f>MAX(0,BK421)</x:f>
        <x:v>35292851.08245499</x:v>
      </x:c>
      <x:c r="BO421" s="141" t="n">
        <x:f>INDEX('Consorcio Direto'!$K$55:$K$534,$A421)</x:f>
        <x:v>0</x:v>
      </x:c>
      <x:c r="BP421" s="141" t="n">
        <x:f>IF($A421&lt;'Consorcio Direto'!$B$29,INDEX('Consorcio Direto'!$L$55:$L$534,$A421),$F421)</x:f>
        <x:v>1507648.1235402862</x:v>
      </x:c>
      <x:c r="BQ421" s="141" t="n">
        <x:f>BN421+BP421-BO421</x:f>
        <x:v>36800499.20599528</x:v>
      </x:c>
      <x:c r="BR421" s="141" t="n">
        <x:f>IF(BM421&gt;1,"Inviavel",BQ421)</x:f>
        <x:v>36800499.20599528</x:v>
      </x:c>
      <x:c r="BS421" s="141" t="str">
        <x:f>IF(BM421&gt;1,"Inviavel","OK")</x:f>
        <x:v>OK</x:v>
      </x:c>
      <x:c r="BT421" s="141" t="n">
        <x:f>IF(AND('Carta Contemplada'!$B$22="Sim",$A421='Carta Contemplada'!$B$23),'Carta Contemplada'!$B$37,0)</x:f>
        <x:v>0</x:v>
      </x:c>
      <x:c r="BU421" s="141" t="n">
        <x:f>IF('Carta Contemplada'!$B$22="Sim",INDEX('Carta Contemplada'!$C$55:$C$1013,$A421),0)</x:f>
        <x:v>0</x:v>
      </x:c>
      <x:c r="BV421" s="141" t="n">
        <x:f>IF(AND('Carta Contemplada'!$B$22="Sim",Premissas!$B$11="Imovel",Premissas!$B$47="Moradia",$A421&lt;MAX('Carta Contemplada'!$B$44,Premissas!$B$49)),$D421,0)</x:f>
        <x:v>0</x:v>
      </x:c>
      <x:c r="BW421" s="141" t="n">
        <x:f>IF(AND('Carta Contemplada'!$B$22="Sim",Premissas!$B$11="Imovel",Premissas!$B$47="Investimento",$A421&gt;=MAX('Carta Contemplada'!$B$44,Premissas!$B$49)),$E421,0)</x:f>
        <x:v>4640.6561764904745</x:v>
      </x:c>
      <x:c r="BX421" s="141" t="n">
        <x:f>BT421+BU421+BV421</x:f>
        <x:v>0</x:v>
      </x:c>
      <x:c r="BY421" s="141" t="n">
        <x:f>BW421</x:f>
        <x:v>4640.6561764904745</x:v>
      </x:c>
      <x:c r="BZ421" s="141" t="n">
        <x:f>$C421+BY421-BX421</x:f>
        <x:v>11640.656176490475</x:v>
      </x:c>
      <x:c r="CA421" s="141" t="n">
        <x:f>CD420*(1+Premissas!$B$41)+BZ421</x:f>
        <x:v>37915652.62906825</x:v>
      </x:c>
      <x:c r="CB421" s="141" t="n">
        <x:f>MAX(0,-CA421)</x:f>
        <x:v>0</x:v>
      </x:c>
      <x:c r="CC421" s="141" t="n">
        <x:f>CC420*(1+Premissas!$B$41)+CB421</x:f>
        <x:v>0</x:v>
      </x:c>
      <x:c r="CD421" s="141" t="n">
        <x:f>MAX(0,CA421)</x:f>
        <x:v>37915652.62906825</x:v>
      </x:c>
      <x:c r="CE421" s="141" t="n">
        <x:f>IF(AND('Carta Contemplada'!$B$22="Sim",$A421&gt;='Carta Contemplada'!$B$23),INDEX('Carta Contemplada'!$I$55:$I$1013,$A421),0)</x:f>
        <x:v>0</x:v>
      </x:c>
      <x:c r="CF421" s="141" t="n">
        <x:f>IF(AND('Carta Contemplada'!$B$22="Sim",$A421&gt;='Carta Contemplada'!$B$44),$F421,0)</x:f>
        <x:v>1507648.1235402862</x:v>
      </x:c>
      <x:c r="CG421" s="141" t="n">
        <x:f>CD421+CF421-CE421</x:f>
        <x:v>39423300.75260854</x:v>
      </x:c>
      <x:c r="CH421" s="141" t="n">
        <x:f>IF(CC421&gt;1,"Inviavel",CG421)</x:f>
        <x:v>39423300.75260854</x:v>
      </x:c>
      <x:c r="CI421" s="145" t="str">
        <x:f>IF(CC421&gt;1,"Inviavel","OK")</x:f>
        <x:v>OK</x:v>
      </x:c>
    </x:row>
    <x:row r="422">
      <x:c r="A422" s="142" t="n">
        <x:v>418</x:v>
      </x:c>
      <x:c r="B422" s="179" t="n">
        <x:f>EDATE(Premissas!$B$4,A422-1)</x:f>
        <x:v>59231</x:v>
      </x:c>
      <x:c r="C422" s="141" t="n">
        <x:f>IF(A422&lt;=Premissas!$B$39,Premissas!$B$42,0)</x:f>
        <x:v>7000</x:v>
      </x:c>
      <x:c r="D422" s="141" t="n">
        <x:f>Premissas!$B$54*(1+Premissas!$B$57)^INT((A422-1)/12)</x:f>
        <x:v>5075.717693036457</x:v>
      </x:c>
      <x:c r="E422" s="141" t="n">
        <x:f>Premissas!$B$64*(1+Premissas!$B$57)^INT((A422-1)/12)</x:f>
        <x:v>4640.6561764904745</x:v>
      </x:c>
      <x:c r="F422" s="141" t="n">
        <x:f>MAX(0,Premissas!$B$6*(1+Premissas!$B$66)^((A422-1)/12))</x:f>
        <x:v>1514986.6770163632</x:v>
      </x:c>
      <x:c r="G422" s="141" t="n">
        <x:f>G421*(1+Premissas!$B$41)+C422</x:f>
        <x:v>42103637.01193628</x:v>
      </x:c>
      <x:c r="H422" s="141" t="n">
        <x:f>IF($A422=Premissas!$B$48,Premissas!$B$8,0)</x:f>
        <x:v>0</x:v>
      </x:c>
      <x:c r="I422" s="141" t="n">
        <x:f>IF(AND($A422&gt;=Premissas!$B$48,$A422-Premissas!$B$48+1&lt;=Premissas!$B$13),INDEX(Financiamento!$J$6:$J$485,$A422-Premissas!$B$48+1),0)</x:f>
        <x:v>541.7967157347616</x:v>
      </x:c>
      <x:c r="J422" s="141" t="n">
        <x:f>IF(AND(TRUE,Premissas!$B$11="Imovel",Premissas!$B$47="Moradia",$A422&lt;MAX(Premissas!$B$48,Premissas!$B$49)),$D422,0)</x:f>
        <x:v>0</x:v>
      </x:c>
      <x:c r="K422" s="141" t="n">
        <x:f>IF(AND(TRUE,Premissas!$B$11="Imovel",Premissas!$B$47="Investimento",$A422&gt;=MAX(Premissas!$B$48,Premissas!$B$49)),$E422,0)</x:f>
        <x:v>4640.6561764904745</x:v>
      </x:c>
      <x:c r="L422" s="141" t="n">
        <x:f>H422+I422+J422</x:f>
        <x:v>541.7967157347616</x:v>
      </x:c>
      <x:c r="M422" s="141" t="n">
        <x:f>K422</x:f>
        <x:v>4640.6561764904745</x:v>
      </x:c>
      <x:c r="N422" s="141" t="n">
        <x:f>$C422+M422-L422</x:f>
        <x:v>11098.859460755713</x:v>
      </x:c>
      <x:c r="O422" s="141" t="n">
        <x:f>R421*(1+Premissas!$B$41)+N422</x:f>
        <x:v>36920918.92324412</x:v>
      </x:c>
      <x:c r="P422" s="141" t="n">
        <x:f>MAX(0,-O422)</x:f>
        <x:v>0</x:v>
      </x:c>
      <x:c r="Q422" s="141" t="n">
        <x:f>Q421*(1+Premissas!$B$41)+P422</x:f>
        <x:v>0</x:v>
      </x:c>
      <x:c r="R422" s="141" t="n">
        <x:f>MAX(0,O422)</x:f>
        <x:v>36920918.92324412</x:v>
      </x:c>
      <x:c r="S422" s="141" t="n">
        <x:f>IF(AND($A422&gt;=Premissas!$B$48,$A422-Premissas!$B$48+1&lt;=Premissas!$B$13),INDEX(Financiamento!$M$6:$M$485,$A422-Premissas!$B$48+1),0)</x:f>
        <x:v>761.9047619047622</x:v>
      </x:c>
      <x:c r="T422" s="141" t="n">
        <x:f>IF($A422&gt;=Premissas!$B$48,$F422,0)</x:f>
        <x:v>1514986.6770163632</x:v>
      </x:c>
      <x:c r="U422" s="141" t="n">
        <x:f>R422+T422-S422</x:f>
        <x:v>38435143.69549858</x:v>
      </x:c>
      <x:c r="V422" s="141" t="n">
        <x:f>IF(Q422&gt;1,"Inviavel",U422)</x:f>
        <x:v>38435143.69549858</x:v>
      </x:c>
      <x:c r="W422" s="141" t="str">
        <x:f>IF(Q422&gt;1,"Inviavel","OK")</x:f>
        <x:v>OK</x:v>
      </x:c>
      <x:c r="X422" s="141" t="n">
        <x:f>IF($A422=Premissas!$B$48,Premissas!$B$8,0)</x:f>
        <x:v>0</x:v>
      </x:c>
      <x:c r="Y422" s="141" t="n">
        <x:f>IF(AND($A422&gt;=Premissas!$B$48,$A422-Premissas!$B$48+1&lt;=Premissas!$B$13),INDEX(Amortizacao!$K$6:$K$485,$A422-Premissas!$B$48+1),0)</x:f>
        <x:v>0</x:v>
      </x:c>
      <x:c r="Z422" s="141" t="n">
        <x:f>IF(AND(TRUE,Premissas!$B$11="Imovel",Premissas!$B$47="Moradia",$A422&lt;MAX(Premissas!$B$48,Premissas!$B$49)),$D422,0)</x:f>
        <x:v>0</x:v>
      </x:c>
      <x:c r="AA422" s="141" t="n">
        <x:f>IF(AND(TRUE,Premissas!$B$11="Imovel",Premissas!$B$47="Investimento",$A422&gt;=MAX(Premissas!$B$48,Premissas!$B$49)),$E422,0)</x:f>
        <x:v>4640.6561764904745</x:v>
      </x:c>
      <x:c r="AB422" s="141" t="n">
        <x:f>X422+Y422+Z422</x:f>
        <x:v>0</x:v>
      </x:c>
      <x:c r="AC422" s="141" t="n">
        <x:f>AA422</x:f>
        <x:v>4640.6561764904745</x:v>
      </x:c>
      <x:c r="AD422" s="141" t="n">
        <x:f>$C422+AC422-AB422</x:f>
        <x:v>11640.656176490475</x:v>
      </x:c>
      <x:c r="AE422" s="141" t="n">
        <x:f>AH421*(1+Premissas!$B$41)+AD422</x:f>
        <x:v>37539047.478333406</x:v>
      </x:c>
      <x:c r="AF422" s="141" t="n">
        <x:f>MAX(0,-AE422)</x:f>
        <x:v>0</x:v>
      </x:c>
      <x:c r="AG422" s="141" t="n">
        <x:f>AG421*(1+Premissas!$B$41)+AF422</x:f>
        <x:v>0</x:v>
      </x:c>
      <x:c r="AH422" s="141" t="n">
        <x:f>MAX(0,AE422)</x:f>
        <x:v>37539047.478333406</x:v>
      </x:c>
      <x:c r="AI422" s="141" t="n">
        <x:f>IF(AND($A422&gt;=Premissas!$B$48,$A422-Premissas!$B$48+1&lt;=Premissas!$B$13),INDEX(Amortizacao!$L$6:$L$485,$A422-Premissas!$B$48+1),0)</x:f>
        <x:v>0</x:v>
      </x:c>
      <x:c r="AJ422" s="141" t="n">
        <x:f>IF($A422&gt;=Premissas!$B$48,$F422,0)</x:f>
        <x:v>1514986.6770163632</x:v>
      </x:c>
      <x:c r="AK422" s="141" t="n">
        <x:f>AH422+AJ422-AI422</x:f>
        <x:v>39054034.15534977</x:v>
      </x:c>
      <x:c r="AL422" s="141" t="n">
        <x:f>IF(AG422&gt;1,"Inviavel",AK422)</x:f>
        <x:v>39054034.15534977</x:v>
      </x:c>
      <x:c r="AM422" s="141" t="str">
        <x:f>IF(AG422&gt;1,"Inviavel","OK")</x:f>
        <x:v>OK</x:v>
      </x:c>
      <x:c r="AN422" s="141" t="n">
        <x:f>IF($A422=Premissas!$B$48,Premissas!$B$8,0)</x:f>
        <x:v>0</x:v>
      </x:c>
      <x:c r="AO422" s="141" t="n">
        <x:f>IF($A422&lt;=Premissas!$B$25,INDEX('Consorcio IQ'!$K$6:$K$485,$A422),0)</x:f>
        <x:v>0</x:v>
      </x:c>
      <x:c r="AP422" s="141" t="n">
        <x:f>IF(AND(TRUE,Premissas!$B$11="Imovel",Premissas!$B$47="Moradia",$A422&lt;MAX(Premissas!$B$48,Premissas!$B$49)),$D422,0)</x:f>
        <x:v>0</x:v>
      </x:c>
      <x:c r="AQ422" s="141" t="n">
        <x:f>IF(AND(TRUE,Premissas!$B$11="Imovel",Premissas!$B$47="Investimento",$A422&gt;=MAX(Premissas!$B$48,Premissas!$B$49)),$E422,0)</x:f>
        <x:v>4640.6561764904745</x:v>
      </x:c>
      <x:c r="AR422" s="141" t="n">
        <x:f>AN422+AO422+AP422</x:f>
        <x:v>0</x:v>
      </x:c>
      <x:c r="AS422" s="141" t="n">
        <x:f>AQ422</x:f>
        <x:v>4640.6561764904745</x:v>
      </x:c>
      <x:c r="AT422" s="141" t="n">
        <x:f>$C422+AS422-AR422</x:f>
        <x:v>11640.656176490475</x:v>
      </x:c>
      <x:c r="AU422" s="141" t="n">
        <x:f>AX421*(1+Premissas!$B$41)+AT422</x:f>
        <x:v>37242427.60186571</x:v>
      </x:c>
      <x:c r="AV422" s="141" t="n">
        <x:f>MAX(0,-AU422)</x:f>
        <x:v>0</x:v>
      </x:c>
      <x:c r="AW422" s="141" t="n">
        <x:f>AW421*(1+Premissas!$B$41)+AV422</x:f>
        <x:v>0</x:v>
      </x:c>
      <x:c r="AX422" s="141" t="n">
        <x:f>MAX(0,AU422)</x:f>
        <x:v>37242427.60186571</x:v>
      </x:c>
      <x:c r="AY422" s="141" t="n">
        <x:f>INDEX('Consorcio IQ'!$P$6:$P$485,$A422)</x:f>
        <x:v>0</x:v>
      </x:c>
      <x:c r="AZ422" s="141" t="n">
        <x:f>IF($A422&gt;=Premissas!$B$48,$F422,0)+IF($A422&lt;Premissas!$B$27,INDEX('Consorcio IQ'!$O$6:$O$485,$A422),0)</x:f>
        <x:v>1514986.6770163632</x:v>
      </x:c>
      <x:c r="BA422" s="141" t="n">
        <x:f>AX422+AZ422-AY422</x:f>
        <x:v>38757414.27888207</x:v>
      </x:c>
      <x:c r="BB422" s="141" t="n">
        <x:f>IF(AW422&gt;1,"Inviavel",BA422)</x:f>
        <x:v>38757414.27888207</x:v>
      </x:c>
      <x:c r="BC422" s="141" t="str">
        <x:f>IF(AW422&gt;1,"Inviavel","OK")</x:f>
        <x:v>OK</x:v>
      </x:c>
      <x:c r="BD422" s="141" t="n">
        <x:f>IF($A422='Consorcio Direto'!$B$29,'Consorcio Direto'!$B$44,0)</x:f>
        <x:v>0</x:v>
      </x:c>
      <x:c r="BE422" s="141" t="n">
        <x:f>IF($A422&lt;='Consorcio Direto'!$B$27,INDEX('Consorcio Direto'!$E$55:$E$534,$A422),0)</x:f>
        <x:v>0</x:v>
      </x:c>
      <x:c r="BF422" s="141" t="n">
        <x:f>IF(AND(TRUE,Premissas!$B$11="Imovel",Premissas!$B$47="Moradia",$A422&lt;MAX('Consorcio Direto'!$B$29,Premissas!$B$49)),$D422,0)</x:f>
        <x:v>0</x:v>
      </x:c>
      <x:c r="BG422" s="141" t="n">
        <x:f>IF(AND(TRUE,Premissas!$B$11="Imovel",Premissas!$B$47="Investimento",$A422&gt;=MAX('Consorcio Direto'!$B$29,Premissas!$B$49)),$E422,0)</x:f>
        <x:v>4640.6561764904745</x:v>
      </x:c>
      <x:c r="BH422" s="141" t="n">
        <x:f>BD422+BE422+BF422</x:f>
        <x:v>0</x:v>
      </x:c>
      <x:c r="BI422" s="141" t="n">
        <x:f>BG422</x:f>
        <x:v>4640.6561764904745</x:v>
      </x:c>
      <x:c r="BJ422" s="141" t="n">
        <x:f>$C422+BI422-BH422</x:f>
        <x:v>11640.656176490475</x:v>
      </x:c>
      <x:c r="BK422" s="141" t="n">
        <x:f>BN421*(1+Premissas!$B$41)+BJ422</x:f>
        <x:v>35639378.29462397</x:v>
      </x:c>
      <x:c r="BL422" s="141" t="n">
        <x:f>MAX(0,-BK422)</x:f>
        <x:v>0</x:v>
      </x:c>
      <x:c r="BM422" s="141" t="n">
        <x:f>BM421*(1+Premissas!$B$41)+BL422</x:f>
        <x:v>0</x:v>
      </x:c>
      <x:c r="BN422" s="141" t="n">
        <x:f>MAX(0,BK422)</x:f>
        <x:v>35639378.29462397</x:v>
      </x:c>
      <x:c r="BO422" s="141" t="n">
        <x:f>INDEX('Consorcio Direto'!$K$55:$K$534,$A422)</x:f>
        <x:v>0</x:v>
      </x:c>
      <x:c r="BP422" s="141" t="n">
        <x:f>IF($A422&lt;'Consorcio Direto'!$B$29,INDEX('Consorcio Direto'!$L$55:$L$534,$A422),$F422)</x:f>
        <x:v>1514986.6770163632</x:v>
      </x:c>
      <x:c r="BQ422" s="141" t="n">
        <x:f>BN422+BP422-BO422</x:f>
        <x:v>37154364.97164033</x:v>
      </x:c>
      <x:c r="BR422" s="141" t="n">
        <x:f>IF(BM422&gt;1,"Inviavel",BQ422)</x:f>
        <x:v>37154364.97164033</x:v>
      </x:c>
      <x:c r="BS422" s="141" t="str">
        <x:f>IF(BM422&gt;1,"Inviavel","OK")</x:f>
        <x:v>OK</x:v>
      </x:c>
      <x:c r="BT422" s="141" t="n">
        <x:f>IF(AND('Carta Contemplada'!$B$22="Sim",$A422='Carta Contemplada'!$B$23),'Carta Contemplada'!$B$37,0)</x:f>
        <x:v>0</x:v>
      </x:c>
      <x:c r="BU422" s="141" t="n">
        <x:f>IF('Carta Contemplada'!$B$22="Sim",INDEX('Carta Contemplada'!$C$55:$C$1013,$A422),0)</x:f>
        <x:v>0</x:v>
      </x:c>
      <x:c r="BV422" s="141" t="n">
        <x:f>IF(AND('Carta Contemplada'!$B$22="Sim",Premissas!$B$11="Imovel",Premissas!$B$47="Moradia",$A422&lt;MAX('Carta Contemplada'!$B$44,Premissas!$B$49)),$D422,0)</x:f>
        <x:v>0</x:v>
      </x:c>
      <x:c r="BW422" s="141" t="n">
        <x:f>IF(AND('Carta Contemplada'!$B$22="Sim",Premissas!$B$11="Imovel",Premissas!$B$47="Investimento",$A422&gt;=MAX('Carta Contemplada'!$B$44,Premissas!$B$49)),$E422,0)</x:f>
        <x:v>4640.6561764904745</x:v>
      </x:c>
      <x:c r="BX422" s="141" t="n">
        <x:f>BT422+BU422+BV422</x:f>
        <x:v>0</x:v>
      </x:c>
      <x:c r="BY422" s="141" t="n">
        <x:f>BW422</x:f>
        <x:v>4640.6561764904745</x:v>
      </x:c>
      <x:c r="BZ422" s="141" t="n">
        <x:f>$C422+BY422-BX422</x:f>
        <x:v>11640.656176490475</x:v>
      </x:c>
      <x:c r="CA422" s="141" t="n">
        <x:f>CD421*(1+Premissas!$B$41)+BZ422</x:f>
        <x:v>38287067.062021546</x:v>
      </x:c>
      <x:c r="CB422" s="141" t="n">
        <x:f>MAX(0,-CA422)</x:f>
        <x:v>0</x:v>
      </x:c>
      <x:c r="CC422" s="141" t="n">
        <x:f>CC421*(1+Premissas!$B$41)+CB422</x:f>
        <x:v>0</x:v>
      </x:c>
      <x:c r="CD422" s="141" t="n">
        <x:f>MAX(0,CA422)</x:f>
        <x:v>38287067.062021546</x:v>
      </x:c>
      <x:c r="CE422" s="141" t="n">
        <x:f>IF(AND('Carta Contemplada'!$B$22="Sim",$A422&gt;='Carta Contemplada'!$B$23),INDEX('Carta Contemplada'!$I$55:$I$1013,$A422),0)</x:f>
        <x:v>0</x:v>
      </x:c>
      <x:c r="CF422" s="141" t="n">
        <x:f>IF(AND('Carta Contemplada'!$B$22="Sim",$A422&gt;='Carta Contemplada'!$B$44),$F422,0)</x:f>
        <x:v>1514986.6770163632</x:v>
      </x:c>
      <x:c r="CG422" s="141" t="n">
        <x:f>CD422+CF422-CE422</x:f>
        <x:v>39802053.73903791</x:v>
      </x:c>
      <x:c r="CH422" s="141" t="n">
        <x:f>IF(CC422&gt;1,"Inviavel",CG422)</x:f>
        <x:v>39802053.73903791</x:v>
      </x:c>
      <x:c r="CI422" s="145" t="str">
        <x:f>IF(CC422&gt;1,"Inviavel","OK")</x:f>
        <x:v>OK</x:v>
      </x:c>
    </x:row>
    <x:row r="423">
      <x:c r="A423" s="142" t="n">
        <x:v>419</x:v>
      </x:c>
      <x:c r="B423" s="179" t="n">
        <x:f>EDATE(Premissas!$B$4,A423-1)</x:f>
        <x:v>59262</x:v>
      </x:c>
      <x:c r="C423" s="141" t="n">
        <x:f>IF(A423&lt;=Premissas!$B$39,Premissas!$B$42,0)</x:f>
        <x:v>7000</x:v>
      </x:c>
      <x:c r="D423" s="141" t="n">
        <x:f>Premissas!$B$54*(1+Premissas!$B$57)^INT((A423-1)/12)</x:f>
        <x:v>5075.717693036457</x:v>
      </x:c>
      <x:c r="E423" s="141" t="n">
        <x:f>Premissas!$B$64*(1+Premissas!$B$57)^INT((A423-1)/12)</x:f>
        <x:v>4640.6561764904745</x:v>
      </x:c>
      <x:c r="F423" s="141" t="n">
        <x:f>MAX(0,Premissas!$B$6*(1+Premissas!$B$66)^((A423-1)/12))</x:f>
        <x:v>1522360.951272562</x:v>
      </x:c>
      <x:c r="G423" s="141" t="n">
        <x:f>G422*(1+Premissas!$B$41)+C423</x:f>
        <x:v>42510149.705335386</x:v>
      </x:c>
      <x:c r="H423" s="141" t="n">
        <x:f>IF($A423=Premissas!$B$48,Premissas!$B$8,0)</x:f>
        <x:v>0</x:v>
      </x:c>
      <x:c r="I423" s="141" t="n">
        <x:f>IF(AND($A423&gt;=Premissas!$B$48,$A423-Premissas!$B$48+1&lt;=Premissas!$B$13),INDEX(Financiamento!$J$6:$J$485,$A423-Premissas!$B$48+1),0)</x:f>
        <x:v>538.1819374739682</x:v>
      </x:c>
      <x:c r="J423" s="141" t="n">
        <x:f>IF(AND(TRUE,Premissas!$B$11="Imovel",Premissas!$B$47="Moradia",$A423&lt;MAX(Premissas!$B$48,Premissas!$B$49)),$D423,0)</x:f>
        <x:v>0</x:v>
      </x:c>
      <x:c r="K423" s="141" t="n">
        <x:f>IF(AND(TRUE,Premissas!$B$11="Imovel",Premissas!$B$47="Investimento",$A423&gt;=MAX(Premissas!$B$48,Premissas!$B$49)),$E423,0)</x:f>
        <x:v>4640.6561764904745</x:v>
      </x:c>
      <x:c r="L423" s="141" t="n">
        <x:f>H423+I423+J423</x:f>
        <x:v>538.1819374739682</x:v>
      </x:c>
      <x:c r="M423" s="141" t="n">
        <x:f>K423</x:f>
        <x:v>4640.6561764904745</x:v>
      </x:c>
      <x:c r="N423" s="141" t="n">
        <x:f>$C423+M423-L423</x:f>
        <x:v>11102.474239016507</x:v>
      </x:c>
      <x:c r="O423" s="141" t="n">
        <x:f>R422*(1+Premissas!$B$41)+N423</x:f>
        <x:v>37282356.35210033</x:v>
      </x:c>
      <x:c r="P423" s="141" t="n">
        <x:f>MAX(0,-O423)</x:f>
        <x:v>0</x:v>
      </x:c>
      <x:c r="Q423" s="141" t="n">
        <x:f>Q422*(1+Premissas!$B$41)+P423</x:f>
        <x:v>0</x:v>
      </x:c>
      <x:c r="R423" s="141" t="n">
        <x:f>MAX(0,O423)</x:f>
        <x:v>37282356.35210033</x:v>
      </x:c>
      <x:c r="S423" s="141" t="n">
        <x:f>IF(AND($A423&gt;=Premissas!$B$48,$A423-Premissas!$B$48+1&lt;=Premissas!$B$13),INDEX(Financiamento!$M$6:$M$485,$A423-Premissas!$B$48+1),0)</x:f>
        <x:v>380.9523809523811</x:v>
      </x:c>
      <x:c r="T423" s="141" t="n">
        <x:f>IF($A423&gt;=Premissas!$B$48,$F423,0)</x:f>
        <x:v>1522360.951272562</x:v>
      </x:c>
      <x:c r="U423" s="141" t="n">
        <x:f>R423+T423-S423</x:f>
        <x:v>38804336.350991935</x:v>
      </x:c>
      <x:c r="V423" s="141" t="n">
        <x:f>IF(Q423&gt;1,"Inviavel",U423)</x:f>
        <x:v>38804336.350991935</x:v>
      </x:c>
      <x:c r="W423" s="141" t="str">
        <x:f>IF(Q423&gt;1,"Inviavel","OK")</x:f>
        <x:v>OK</x:v>
      </x:c>
      <x:c r="X423" s="141" t="n">
        <x:f>IF($A423=Premissas!$B$48,Premissas!$B$8,0)</x:f>
        <x:v>0</x:v>
      </x:c>
      <x:c r="Y423" s="141" t="n">
        <x:f>IF(AND($A423&gt;=Premissas!$B$48,$A423-Premissas!$B$48+1&lt;=Premissas!$B$13),INDEX(Amortizacao!$K$6:$K$485,$A423-Premissas!$B$48+1),0)</x:f>
        <x:v>0</x:v>
      </x:c>
      <x:c r="Z423" s="141" t="n">
        <x:f>IF(AND(TRUE,Premissas!$B$11="Imovel",Premissas!$B$47="Moradia",$A423&lt;MAX(Premissas!$B$48,Premissas!$B$49)),$D423,0)</x:f>
        <x:v>0</x:v>
      </x:c>
      <x:c r="AA423" s="141" t="n">
        <x:f>IF(AND(TRUE,Premissas!$B$11="Imovel",Premissas!$B$47="Investimento",$A423&gt;=MAX(Premissas!$B$48,Premissas!$B$49)),$E423,0)</x:f>
        <x:v>4640.6561764904745</x:v>
      </x:c>
      <x:c r="AB423" s="141" t="n">
        <x:f>X423+Y423+Z423</x:f>
        <x:v>0</x:v>
      </x:c>
      <x:c r="AC423" s="141" t="n">
        <x:f>AA423</x:f>
        <x:v>4640.6561764904745</x:v>
      </x:c>
      <x:c r="AD423" s="141" t="n">
        <x:f>$C423+AC423-AB423</x:f>
        <x:v>11640.656176490475</x:v>
      </x:c>
      <x:c r="AE423" s="141" t="n">
        <x:f>AH422*(1+Premissas!$B$41)+AD423</x:f>
        <x:v>37906888.38299329</x:v>
      </x:c>
      <x:c r="AF423" s="141" t="n">
        <x:f>MAX(0,-AE423)</x:f>
        <x:v>0</x:v>
      </x:c>
      <x:c r="AG423" s="141" t="n">
        <x:f>AG422*(1+Premissas!$B$41)+AF423</x:f>
        <x:v>0</x:v>
      </x:c>
      <x:c r="AH423" s="141" t="n">
        <x:f>MAX(0,AE423)</x:f>
        <x:v>37906888.38299329</x:v>
      </x:c>
      <x:c r="AI423" s="141" t="n">
        <x:f>IF(AND($A423&gt;=Premissas!$B$48,$A423-Premissas!$B$48+1&lt;=Premissas!$B$13),INDEX(Amortizacao!$L$6:$L$485,$A423-Premissas!$B$48+1),0)</x:f>
        <x:v>0</x:v>
      </x:c>
      <x:c r="AJ423" s="141" t="n">
        <x:f>IF($A423&gt;=Premissas!$B$48,$F423,0)</x:f>
        <x:v>1522360.951272562</x:v>
      </x:c>
      <x:c r="AK423" s="141" t="n">
        <x:f>AH423+AJ423-AI423</x:f>
        <x:v>39429249.33426585</x:v>
      </x:c>
      <x:c r="AL423" s="141" t="n">
        <x:f>IF(AG423&gt;1,"Inviavel",AK423)</x:f>
        <x:v>39429249.33426585</x:v>
      </x:c>
      <x:c r="AM423" s="141" t="str">
        <x:f>IF(AG423&gt;1,"Inviavel","OK")</x:f>
        <x:v>OK</x:v>
      </x:c>
      <x:c r="AN423" s="141" t="n">
        <x:f>IF($A423=Premissas!$B$48,Premissas!$B$8,0)</x:f>
        <x:v>0</x:v>
      </x:c>
      <x:c r="AO423" s="141" t="n">
        <x:f>IF($A423&lt;=Premissas!$B$25,INDEX('Consorcio IQ'!$K$6:$K$485,$A423),0)</x:f>
        <x:v>0</x:v>
      </x:c>
      <x:c r="AP423" s="141" t="n">
        <x:f>IF(AND(TRUE,Premissas!$B$11="Imovel",Premissas!$B$47="Moradia",$A423&lt;MAX(Premissas!$B$48,Premissas!$B$49)),$D423,0)</x:f>
        <x:v>0</x:v>
      </x:c>
      <x:c r="AQ423" s="141" t="n">
        <x:f>IF(AND(TRUE,Premissas!$B$11="Imovel",Premissas!$B$47="Investimento",$A423&gt;=MAX(Premissas!$B$48,Premissas!$B$49)),$E423,0)</x:f>
        <x:v>4640.6561764904745</x:v>
      </x:c>
      <x:c r="AR423" s="141" t="n">
        <x:f>AN423+AO423+AP423</x:f>
        <x:v>0</x:v>
      </x:c>
      <x:c r="AS423" s="141" t="n">
        <x:f>AQ423</x:f>
        <x:v>4640.6561764904745</x:v>
      </x:c>
      <x:c r="AT423" s="141" t="n">
        <x:f>$C423+AS423-AR423</x:f>
        <x:v>11640.656176490475</x:v>
      </x:c>
      <x:c r="AU423" s="141" t="n">
        <x:f>AX422*(1+Premissas!$B$41)+AT423</x:f>
        <x:v>37607453.941937506</x:v>
      </x:c>
      <x:c r="AV423" s="141" t="n">
        <x:f>MAX(0,-AU423)</x:f>
        <x:v>0</x:v>
      </x:c>
      <x:c r="AW423" s="141" t="n">
        <x:f>AW422*(1+Premissas!$B$41)+AV423</x:f>
        <x:v>0</x:v>
      </x:c>
      <x:c r="AX423" s="141" t="n">
        <x:f>MAX(0,AU423)</x:f>
        <x:v>37607453.941937506</x:v>
      </x:c>
      <x:c r="AY423" s="141" t="n">
        <x:f>INDEX('Consorcio IQ'!$P$6:$P$485,$A423)</x:f>
        <x:v>0</x:v>
      </x:c>
      <x:c r="AZ423" s="141" t="n">
        <x:f>IF($A423&gt;=Premissas!$B$48,$F423,0)+IF($A423&lt;Premissas!$B$27,INDEX('Consorcio IQ'!$O$6:$O$485,$A423),0)</x:f>
        <x:v>1522360.951272562</x:v>
      </x:c>
      <x:c r="BA423" s="141" t="n">
        <x:f>AX423+AZ423-AY423</x:f>
        <x:v>39129814.89321007</x:v>
      </x:c>
      <x:c r="BB423" s="141" t="n">
        <x:f>IF(AW423&gt;1,"Inviavel",BA423)</x:f>
        <x:v>39129814.89321007</x:v>
      </x:c>
      <x:c r="BC423" s="141" t="str">
        <x:f>IF(AW423&gt;1,"Inviavel","OK")</x:f>
        <x:v>OK</x:v>
      </x:c>
      <x:c r="BD423" s="141" t="n">
        <x:f>IF($A423='Consorcio Direto'!$B$29,'Consorcio Direto'!$B$44,0)</x:f>
        <x:v>0</x:v>
      </x:c>
      <x:c r="BE423" s="141" t="n">
        <x:f>IF($A423&lt;='Consorcio Direto'!$B$27,INDEX('Consorcio Direto'!$E$55:$E$534,$A423),0)</x:f>
        <x:v>0</x:v>
      </x:c>
      <x:c r="BF423" s="141" t="n">
        <x:f>IF(AND(TRUE,Premissas!$B$11="Imovel",Premissas!$B$47="Moradia",$A423&lt;MAX('Consorcio Direto'!$B$29,Premissas!$B$49)),$D423,0)</x:f>
        <x:v>0</x:v>
      </x:c>
      <x:c r="BG423" s="141" t="n">
        <x:f>IF(AND(TRUE,Premissas!$B$11="Imovel",Premissas!$B$47="Investimento",$A423&gt;=MAX('Consorcio Direto'!$B$29,Premissas!$B$49)),$E423,0)</x:f>
        <x:v>4640.6561764904745</x:v>
      </x:c>
      <x:c r="BH423" s="141" t="n">
        <x:f>BD423+BE423+BF423</x:f>
        <x:v>0</x:v>
      </x:c>
      <x:c r="BI423" s="141" t="n">
        <x:f>BG423</x:f>
        <x:v>4640.6561764904745</x:v>
      </x:c>
      <x:c r="BJ423" s="141" t="n">
        <x:f>$C423+BI423-BH423</x:f>
        <x:v>11640.656176490475</x:v>
      </x:c>
      <x:c r="BK423" s="141" t="n">
        <x:f>BN422*(1+Premissas!$B$41)+BJ423</x:f>
        <x:v>35989193.63175543</x:v>
      </x:c>
      <x:c r="BL423" s="141" t="n">
        <x:f>MAX(0,-BK423)</x:f>
        <x:v>0</x:v>
      </x:c>
      <x:c r="BM423" s="141" t="n">
        <x:f>BM422*(1+Premissas!$B$41)+BL423</x:f>
        <x:v>0</x:v>
      </x:c>
      <x:c r="BN423" s="141" t="n">
        <x:f>MAX(0,BK423)</x:f>
        <x:v>35989193.63175543</x:v>
      </x:c>
      <x:c r="BO423" s="141" t="n">
        <x:f>INDEX('Consorcio Direto'!$K$55:$K$534,$A423)</x:f>
        <x:v>0</x:v>
      </x:c>
      <x:c r="BP423" s="141" t="n">
        <x:f>IF($A423&lt;'Consorcio Direto'!$B$29,INDEX('Consorcio Direto'!$L$55:$L$534,$A423),$F423)</x:f>
        <x:v>1522360.951272562</x:v>
      </x:c>
      <x:c r="BQ423" s="141" t="n">
        <x:f>BN423+BP423-BO423</x:f>
        <x:v>37511554.58302799</x:v>
      </x:c>
      <x:c r="BR423" s="141" t="n">
        <x:f>IF(BM423&gt;1,"Inviavel",BQ423)</x:f>
        <x:v>37511554.58302799</x:v>
      </x:c>
      <x:c r="BS423" s="141" t="str">
        <x:f>IF(BM423&gt;1,"Inviavel","OK")</x:f>
        <x:v>OK</x:v>
      </x:c>
      <x:c r="BT423" s="141" t="n">
        <x:f>IF(AND('Carta Contemplada'!$B$22="Sim",$A423='Carta Contemplada'!$B$23),'Carta Contemplada'!$B$37,0)</x:f>
        <x:v>0</x:v>
      </x:c>
      <x:c r="BU423" s="141" t="n">
        <x:f>IF('Carta Contemplada'!$B$22="Sim",INDEX('Carta Contemplada'!$C$55:$C$1013,$A423),0)</x:f>
        <x:v>0</x:v>
      </x:c>
      <x:c r="BV423" s="141" t="n">
        <x:f>IF(AND('Carta Contemplada'!$B$22="Sim",Premissas!$B$11="Imovel",Premissas!$B$47="Moradia",$A423&lt;MAX('Carta Contemplada'!$B$44,Premissas!$B$49)),$D423,0)</x:f>
        <x:v>0</x:v>
      </x:c>
      <x:c r="BW423" s="141" t="n">
        <x:f>IF(AND('Carta Contemplada'!$B$22="Sim",Premissas!$B$11="Imovel",Premissas!$B$47="Investimento",$A423&gt;=MAX('Carta Contemplada'!$B$44,Premissas!$B$49)),$E423,0)</x:f>
        <x:v>4640.6561764904745</x:v>
      </x:c>
      <x:c r="BX423" s="141" t="n">
        <x:f>BT423+BU423+BV423</x:f>
        <x:v>0</x:v>
      </x:c>
      <x:c r="BY423" s="141" t="n">
        <x:f>BW423</x:f>
        <x:v>4640.6561764904745</x:v>
      </x:c>
      <x:c r="BZ423" s="141" t="n">
        <x:f>$C423+BY423-BX423</x:f>
        <x:v>11640.656176490475</x:v>
      </x:c>
      <x:c r="CA423" s="141" t="n">
        <x:f>CD422*(1+Premissas!$B$41)+BZ423</x:f>
        <x:v>38662005.76962206</x:v>
      </x:c>
      <x:c r="CB423" s="141" t="n">
        <x:f>MAX(0,-CA423)</x:f>
        <x:v>0</x:v>
      </x:c>
      <x:c r="CC423" s="141" t="n">
        <x:f>CC422*(1+Premissas!$B$41)+CB423</x:f>
        <x:v>0</x:v>
      </x:c>
      <x:c r="CD423" s="141" t="n">
        <x:f>MAX(0,CA423)</x:f>
        <x:v>38662005.76962206</x:v>
      </x:c>
      <x:c r="CE423" s="141" t="n">
        <x:f>IF(AND('Carta Contemplada'!$B$22="Sim",$A423&gt;='Carta Contemplada'!$B$23),INDEX('Carta Contemplada'!$I$55:$I$1013,$A423),0)</x:f>
        <x:v>0</x:v>
      </x:c>
      <x:c r="CF423" s="141" t="n">
        <x:f>IF(AND('Carta Contemplada'!$B$22="Sim",$A423&gt;='Carta Contemplada'!$B$44),$F423,0)</x:f>
        <x:v>1522360.951272562</x:v>
      </x:c>
      <x:c r="CG423" s="141" t="n">
        <x:f>CD423+CF423-CE423</x:f>
        <x:v>40184366.72089462</x:v>
      </x:c>
      <x:c r="CH423" s="141" t="n">
        <x:f>IF(CC423&gt;1,"Inviavel",CG423)</x:f>
        <x:v>40184366.72089462</x:v>
      </x:c>
      <x:c r="CI423" s="145" t="str">
        <x:f>IF(CC423&gt;1,"Inviavel","OK")</x:f>
        <x:v>OK</x:v>
      </x:c>
    </x:row>
    <x:row r="424">
      <x:c r="A424" s="142" t="n">
        <x:v>420</x:v>
      </x:c>
      <x:c r="B424" s="179" t="n">
        <x:f>EDATE(Premissas!$B$4,A424-1)</x:f>
        <x:v>59292</x:v>
      </x:c>
      <x:c r="C424" s="141" t="n">
        <x:f>IF(A424&lt;=Premissas!$B$39,Premissas!$B$42,0)</x:f>
        <x:v>7000</x:v>
      </x:c>
      <x:c r="D424" s="141" t="n">
        <x:f>Premissas!$B$54*(1+Premissas!$B$57)^INT((A424-1)/12)</x:f>
        <x:v>5075.717693036457</x:v>
      </x:c>
      <x:c r="E424" s="141" t="n">
        <x:f>Premissas!$B$64*(1+Premissas!$B$57)^INT((A424-1)/12)</x:f>
        <x:v>4640.6561764904745</x:v>
      </x:c>
      <x:c r="F424" s="141" t="n">
        <x:f>MAX(0,Premissas!$B$6*(1+Premissas!$B$66)^((A424-1)/12))</x:f>
        <x:v>1529771.1201815843</x:v>
      </x:c>
      <x:c r="G424" s="141" t="n">
        <x:f>G423*(1+Premissas!$B$41)+C424</x:f>
        <x:v>42920519.71350744</x:v>
      </x:c>
      <x:c r="H424" s="141" t="n">
        <x:f>IF($A424=Premissas!$B$48,Premissas!$B$8,0)</x:f>
        <x:v>0</x:v>
      </x:c>
      <x:c r="I424" s="141" t="n">
        <x:f>IF(AND($A424&gt;=Premissas!$B$48,$A424-Premissas!$B$48+1&lt;=Premissas!$B$13),INDEX(Financiamento!$J$6:$J$485,$A424-Premissas!$B$48+1),0)</x:f>
        <x:v>534.5671592131746</x:v>
      </x:c>
      <x:c r="J424" s="141" t="n">
        <x:f>IF(AND(TRUE,Premissas!$B$11="Imovel",Premissas!$B$47="Moradia",$A424&lt;MAX(Premissas!$B$48,Premissas!$B$49)),$D424,0)</x:f>
        <x:v>0</x:v>
      </x:c>
      <x:c r="K424" s="141" t="n">
        <x:f>IF(AND(TRUE,Premissas!$B$11="Imovel",Premissas!$B$47="Investimento",$A424&gt;=MAX(Premissas!$B$48,Premissas!$B$49)),$E424,0)</x:f>
        <x:v>4640.6561764904745</x:v>
      </x:c>
      <x:c r="L424" s="141" t="n">
        <x:f>H424+I424+J424</x:f>
        <x:v>534.5671592131746</x:v>
      </x:c>
      <x:c r="M424" s="141" t="n">
        <x:f>K424</x:f>
        <x:v>4640.6561764904745</x:v>
      </x:c>
      <x:c r="N424" s="141" t="n">
        <x:f>$C424+M424-L424</x:f>
        <x:v>11106.0890172773</x:v>
      </x:c>
      <x:c r="O424" s="141" t="n">
        <x:f>R423*(1+Premissas!$B$41)+N424</x:f>
        <x:v>37647227.00065602</x:v>
      </x:c>
      <x:c r="P424" s="141" t="n">
        <x:f>MAX(0,-O424)</x:f>
        <x:v>0</x:v>
      </x:c>
      <x:c r="Q424" s="141" t="n">
        <x:f>Q423*(1+Premissas!$B$41)+P424</x:f>
        <x:v>0</x:v>
      </x:c>
      <x:c r="R424" s="141" t="n">
        <x:f>MAX(0,O424)</x:f>
        <x:v>37647227.00065602</x:v>
      </x:c>
      <x:c r="S424" s="141" t="n">
        <x:f>IF(AND($A424&gt;=Premissas!$B$48,$A424-Premissas!$B$48+1&lt;=Premissas!$B$13),INDEX(Financiamento!$M$6:$M$485,$A424-Premissas!$B$48+1),0)</x:f>
        <x:v>0</x:v>
      </x:c>
      <x:c r="T424" s="141" t="n">
        <x:f>IF($A424&gt;=Premissas!$B$48,$F424,0)</x:f>
        <x:v>1529771.1201815843</x:v>
      </x:c>
      <x:c r="U424" s="141" t="n">
        <x:f>R424+T424-S424</x:f>
        <x:v>39176998.12083761</x:v>
      </x:c>
      <x:c r="V424" s="141" t="n">
        <x:f>IF(Q424&gt;1,"Inviavel",U424)</x:f>
        <x:v>39176998.12083761</x:v>
      </x:c>
      <x:c r="W424" s="141" t="str">
        <x:f>IF(Q424&gt;1,"Inviavel","OK")</x:f>
        <x:v>OK</x:v>
      </x:c>
      <x:c r="X424" s="141" t="n">
        <x:f>IF($A424=Premissas!$B$48,Premissas!$B$8,0)</x:f>
        <x:v>0</x:v>
      </x:c>
      <x:c r="Y424" s="141" t="n">
        <x:f>IF(AND($A424&gt;=Premissas!$B$48,$A424-Premissas!$B$48+1&lt;=Premissas!$B$13),INDEX(Amortizacao!$K$6:$K$485,$A424-Premissas!$B$48+1),0)</x:f>
        <x:v>0</x:v>
      </x:c>
      <x:c r="Z424" s="141" t="n">
        <x:f>IF(AND(TRUE,Premissas!$B$11="Imovel",Premissas!$B$47="Moradia",$A424&lt;MAX(Premissas!$B$48,Premissas!$B$49)),$D424,0)</x:f>
        <x:v>0</x:v>
      </x:c>
      <x:c r="AA424" s="141" t="n">
        <x:f>IF(AND(TRUE,Premissas!$B$11="Imovel",Premissas!$B$47="Investimento",$A424&gt;=MAX(Premissas!$B$48,Premissas!$B$49)),$E424,0)</x:f>
        <x:v>4640.6561764904745</x:v>
      </x:c>
      <x:c r="AB424" s="141" t="n">
        <x:f>X424+Y424+Z424</x:f>
        <x:v>0</x:v>
      </x:c>
      <x:c r="AC424" s="141" t="n">
        <x:f>AA424</x:f>
        <x:v>4640.6561764904745</x:v>
      </x:c>
      <x:c r="AD424" s="141" t="n">
        <x:f>$C424+AC424-AB424</x:f>
        <x:v>11640.656176490475</x:v>
      </x:c>
      <x:c r="AE424" s="141" t="n">
        <x:f>AH423*(1+Premissas!$B$41)+AD424</x:f>
        <x:v>38278219.65383036</x:v>
      </x:c>
      <x:c r="AF424" s="141" t="n">
        <x:f>MAX(0,-AE424)</x:f>
        <x:v>0</x:v>
      </x:c>
      <x:c r="AG424" s="141" t="n">
        <x:f>AG423*(1+Premissas!$B$41)+AF424</x:f>
        <x:v>0</x:v>
      </x:c>
      <x:c r="AH424" s="141" t="n">
        <x:f>MAX(0,AE424)</x:f>
        <x:v>38278219.65383036</x:v>
      </x:c>
      <x:c r="AI424" s="141" t="n">
        <x:f>IF(AND($A424&gt;=Premissas!$B$48,$A424-Premissas!$B$48+1&lt;=Premissas!$B$13),INDEX(Amortizacao!$L$6:$L$485,$A424-Premissas!$B$48+1),0)</x:f>
        <x:v>0</x:v>
      </x:c>
      <x:c r="AJ424" s="141" t="n">
        <x:f>IF($A424&gt;=Premissas!$B$48,$F424,0)</x:f>
        <x:v>1529771.1201815843</x:v>
      </x:c>
      <x:c r="AK424" s="141" t="n">
        <x:f>AH424+AJ424-AI424</x:f>
        <x:v>39807990.77401194</x:v>
      </x:c>
      <x:c r="AL424" s="141" t="n">
        <x:f>IF(AG424&gt;1,"Inviavel",AK424)</x:f>
        <x:v>39807990.77401194</x:v>
      </x:c>
      <x:c r="AM424" s="141" t="str">
        <x:f>IF(AG424&gt;1,"Inviavel","OK")</x:f>
        <x:v>OK</x:v>
      </x:c>
      <x:c r="AN424" s="141" t="n">
        <x:f>IF($A424=Premissas!$B$48,Premissas!$B$8,0)</x:f>
        <x:v>0</x:v>
      </x:c>
      <x:c r="AO424" s="141" t="n">
        <x:f>IF($A424&lt;=Premissas!$B$25,INDEX('Consorcio IQ'!$K$6:$K$485,$A424),0)</x:f>
        <x:v>0</x:v>
      </x:c>
      <x:c r="AP424" s="141" t="n">
        <x:f>IF(AND(TRUE,Premissas!$B$11="Imovel",Premissas!$B$47="Moradia",$A424&lt;MAX(Premissas!$B$48,Premissas!$B$49)),$D424,0)</x:f>
        <x:v>0</x:v>
      </x:c>
      <x:c r="AQ424" s="141" t="n">
        <x:f>IF(AND(TRUE,Premissas!$B$11="Imovel",Premissas!$B$47="Investimento",$A424&gt;=MAX(Premissas!$B$48,Premissas!$B$49)),$E424,0)</x:f>
        <x:v>4640.6561764904745</x:v>
      </x:c>
      <x:c r="AR424" s="141" t="n">
        <x:f>AN424+AO424+AP424</x:f>
        <x:v>0</x:v>
      </x:c>
      <x:c r="AS424" s="141" t="n">
        <x:f>AQ424</x:f>
        <x:v>4640.6561764904745</x:v>
      </x:c>
      <x:c r="AT424" s="141" t="n">
        <x:f>$C424+AS424-AR424</x:f>
        <x:v>11640.656176490475</x:v>
      </x:c>
      <x:c r="AU424" s="141" t="n">
        <x:f>AX423*(1+Premissas!$B$41)+AT424</x:f>
        <x:v>37975943.94136591</x:v>
      </x:c>
      <x:c r="AV424" s="141" t="n">
        <x:f>MAX(0,-AU424)</x:f>
        <x:v>0</x:v>
      </x:c>
      <x:c r="AW424" s="141" t="n">
        <x:f>AW423*(1+Premissas!$B$41)+AV424</x:f>
        <x:v>0</x:v>
      </x:c>
      <x:c r="AX424" s="141" t="n">
        <x:f>MAX(0,AU424)</x:f>
        <x:v>37975943.94136591</x:v>
      </x:c>
      <x:c r="AY424" s="141" t="n">
        <x:f>INDEX('Consorcio IQ'!$P$6:$P$485,$A424)</x:f>
        <x:v>0</x:v>
      </x:c>
      <x:c r="AZ424" s="141" t="n">
        <x:f>IF($A424&gt;=Premissas!$B$48,$F424,0)+IF($A424&lt;Premissas!$B$27,INDEX('Consorcio IQ'!$O$6:$O$485,$A424),0)</x:f>
        <x:v>1529771.1201815843</x:v>
      </x:c>
      <x:c r="BA424" s="141" t="n">
        <x:f>AX424+AZ424-AY424</x:f>
        <x:v>39505715.061547495</x:v>
      </x:c>
      <x:c r="BB424" s="141" t="n">
        <x:f>IF(AW424&gt;1,"Inviavel",BA424)</x:f>
        <x:v>39505715.061547495</x:v>
      </x:c>
      <x:c r="BC424" s="141" t="str">
        <x:f>IF(AW424&gt;1,"Inviavel","OK")</x:f>
        <x:v>OK</x:v>
      </x:c>
      <x:c r="BD424" s="141" t="n">
        <x:f>IF($A424='Consorcio Direto'!$B$29,'Consorcio Direto'!$B$44,0)</x:f>
        <x:v>0</x:v>
      </x:c>
      <x:c r="BE424" s="141" t="n">
        <x:f>IF($A424&lt;='Consorcio Direto'!$B$27,INDEX('Consorcio Direto'!$E$55:$E$534,$A424),0)</x:f>
        <x:v>0</x:v>
      </x:c>
      <x:c r="BF424" s="141" t="n">
        <x:f>IF(AND(TRUE,Premissas!$B$11="Imovel",Premissas!$B$47="Moradia",$A424&lt;MAX('Consorcio Direto'!$B$29,Premissas!$B$49)),$D424,0)</x:f>
        <x:v>0</x:v>
      </x:c>
      <x:c r="BG424" s="141" t="n">
        <x:f>IF(AND(TRUE,Premissas!$B$11="Imovel",Premissas!$B$47="Investimento",$A424&gt;=MAX('Consorcio Direto'!$B$29,Premissas!$B$49)),$E424,0)</x:f>
        <x:v>4640.6561764904745</x:v>
      </x:c>
      <x:c r="BH424" s="141" t="n">
        <x:f>BD424+BE424+BF424</x:f>
        <x:v>0</x:v>
      </x:c>
      <x:c r="BI424" s="141" t="n">
        <x:f>BG424</x:f>
        <x:v>4640.6561764904745</x:v>
      </x:c>
      <x:c r="BJ424" s="141" t="n">
        <x:f>$C424+BI424-BH424</x:f>
        <x:v>11640.656176490475</x:v>
      </x:c>
      <x:c r="BK424" s="141" t="n">
        <x:f>BN423*(1+Premissas!$B$41)+BJ424</x:f>
        <x:v>36342328.294186264</x:v>
      </x:c>
      <x:c r="BL424" s="141" t="n">
        <x:f>MAX(0,-BK424)</x:f>
        <x:v>0</x:v>
      </x:c>
      <x:c r="BM424" s="141" t="n">
        <x:f>BM423*(1+Premissas!$B$41)+BL424</x:f>
        <x:v>0</x:v>
      </x:c>
      <x:c r="BN424" s="141" t="n">
        <x:f>MAX(0,BK424)</x:f>
        <x:v>36342328.294186264</x:v>
      </x:c>
      <x:c r="BO424" s="141" t="n">
        <x:f>INDEX('Consorcio Direto'!$K$55:$K$534,$A424)</x:f>
        <x:v>0</x:v>
      </x:c>
      <x:c r="BP424" s="141" t="n">
        <x:f>IF($A424&lt;'Consorcio Direto'!$B$29,INDEX('Consorcio Direto'!$L$55:$L$534,$A424),$F424)</x:f>
        <x:v>1529771.1201815843</x:v>
      </x:c>
      <x:c r="BQ424" s="141" t="n">
        <x:f>BN424+BP424-BO424</x:f>
        <x:v>37872099.41436785</x:v>
      </x:c>
      <x:c r="BR424" s="141" t="n">
        <x:f>IF(BM424&gt;1,"Inviavel",BQ424)</x:f>
        <x:v>37872099.41436785</x:v>
      </x:c>
      <x:c r="BS424" s="141" t="str">
        <x:f>IF(BM424&gt;1,"Inviavel","OK")</x:f>
        <x:v>OK</x:v>
      </x:c>
      <x:c r="BT424" s="141" t="n">
        <x:f>IF(AND('Carta Contemplada'!$B$22="Sim",$A424='Carta Contemplada'!$B$23),'Carta Contemplada'!$B$37,0)</x:f>
        <x:v>0</x:v>
      </x:c>
      <x:c r="BU424" s="141" t="n">
        <x:f>IF('Carta Contemplada'!$B$22="Sim",INDEX('Carta Contemplada'!$C$55:$C$1013,$A424),0)</x:f>
        <x:v>0</x:v>
      </x:c>
      <x:c r="BV424" s="141" t="n">
        <x:f>IF(AND('Carta Contemplada'!$B$22="Sim",Premissas!$B$11="Imovel",Premissas!$B$47="Moradia",$A424&lt;MAX('Carta Contemplada'!$B$44,Premissas!$B$49)),$D424,0)</x:f>
        <x:v>0</x:v>
      </x:c>
      <x:c r="BW424" s="141" t="n">
        <x:f>IF(AND('Carta Contemplada'!$B$22="Sim",Premissas!$B$11="Imovel",Premissas!$B$47="Investimento",$A424&gt;=MAX('Carta Contemplada'!$B$44,Premissas!$B$49)),$E424,0)</x:f>
        <x:v>4640.6561764904745</x:v>
      </x:c>
      <x:c r="BX424" s="141" t="n">
        <x:f>BT424+BU424+BV424</x:f>
        <x:v>0</x:v>
      </x:c>
      <x:c r="BY424" s="141" t="n">
        <x:f>BW424</x:f>
        <x:v>4640.6561764904745</x:v>
      </x:c>
      <x:c r="BZ424" s="141" t="n">
        <x:f>$C424+BY424-BX424</x:f>
        <x:v>11640.656176490475</x:v>
      </x:c>
      <x:c r="CA424" s="141" t="n">
        <x:f>CD423*(1+Premissas!$B$41)+BZ424</x:f>
        <x:v>39040502.19298215</x:v>
      </x:c>
      <x:c r="CB424" s="141" t="n">
        <x:f>MAX(0,-CA424)</x:f>
        <x:v>0</x:v>
      </x:c>
      <x:c r="CC424" s="141" t="n">
        <x:f>CC423*(1+Premissas!$B$41)+CB424</x:f>
        <x:v>0</x:v>
      </x:c>
      <x:c r="CD424" s="141" t="n">
        <x:f>MAX(0,CA424)</x:f>
        <x:v>39040502.19298215</x:v>
      </x:c>
      <x:c r="CE424" s="141" t="n">
        <x:f>IF(AND('Carta Contemplada'!$B$22="Sim",$A424&gt;='Carta Contemplada'!$B$23),INDEX('Carta Contemplada'!$I$55:$I$1013,$A424),0)</x:f>
        <x:v>0</x:v>
      </x:c>
      <x:c r="CF424" s="141" t="n">
        <x:f>IF(AND('Carta Contemplada'!$B$22="Sim",$A424&gt;='Carta Contemplada'!$B$44),$F424,0)</x:f>
        <x:v>1529771.1201815843</x:v>
      </x:c>
      <x:c r="CG424" s="141" t="n">
        <x:f>CD424+CF424-CE424</x:f>
        <x:v>40570273.313163735</x:v>
      </x:c>
      <x:c r="CH424" s="141" t="n">
        <x:f>IF(CC424&gt;1,"Inviavel",CG424)</x:f>
        <x:v>40570273.313163735</x:v>
      </x:c>
      <x:c r="CI424" s="145" t="str">
        <x:f>IF(CC424&gt;1,"Inviavel","OK")</x:f>
        <x:v>OK</x:v>
      </x:c>
    </x:row>
    <x:row r="425">
      <x:c r="A425" s="142" t="n">
        <x:v>421</x:v>
      </x:c>
      <x:c r="B425" s="179" t="n">
        <x:f>EDATE(Premissas!$B$4,A425-1)</x:f>
        <x:v>59323</x:v>
      </x:c>
      <x:c r="C425" s="141" t="n">
        <x:f>IF(A425&lt;=Premissas!$B$39,Premissas!$B$42,0)</x:f>
        <x:v>0</x:v>
      </x:c>
      <x:c r="D425" s="141" t="n">
        <x:f>Premissas!$B$54*(1+Premissas!$B$57)^INT((A425-1)/12)</x:f>
        <x:v>5380.260754618645</x:v>
      </x:c>
      <x:c r="E425" s="141" t="n">
        <x:f>Premissas!$B$64*(1+Premissas!$B$57)^INT((A425-1)/12)</x:f>
        <x:v>4919.095547079904</x:v>
      </x:c>
      <x:c r="F425" s="141" t="n">
        <x:f>MAX(0,Premissas!$B$6*(1+Premissas!$B$66)^((A425-1)/12))</x:f>
        <x:v>1537217.35846247</x:v>
      </x:c>
      <x:c r="G425" s="141" t="n">
        <x:f>G424*(1+Premissas!$B$41)+C425</x:f>
        <x:v>43327783.6377136</x:v>
      </x:c>
      <x:c r="H425" s="141" t="n">
        <x:f>IF($A425=Premissas!$B$48,Premissas!$B$8,0)</x:f>
        <x:v>0</x:v>
      </x:c>
      <x:c r="I425" s="141" t="n">
        <x:f>IF(AND($A425&gt;=Premissas!$B$48,$A425-Premissas!$B$48+1&lt;=Premissas!$B$13),INDEX(Financiamento!$J$6:$J$485,$A425-Premissas!$B$48+1),0)</x:f>
        <x:v>0</x:v>
      </x:c>
      <x:c r="J425" s="141" t="n">
        <x:f>IF(AND(TRUE,Premissas!$B$11="Imovel",Premissas!$B$47="Moradia",$A425&lt;MAX(Premissas!$B$48,Premissas!$B$49)),$D425,0)</x:f>
        <x:v>0</x:v>
      </x:c>
      <x:c r="K425" s="141" t="n">
        <x:f>IF(AND(TRUE,Premissas!$B$11="Imovel",Premissas!$B$47="Investimento",$A425&gt;=MAX(Premissas!$B$48,Premissas!$B$49)),$E425,0)</x:f>
        <x:v>4919.095547079904</x:v>
      </x:c>
      <x:c r="L425" s="141" t="n">
        <x:f>H425+I425+J425</x:f>
        <x:v>0</x:v>
      </x:c>
      <x:c r="M425" s="141" t="n">
        <x:f>K425</x:f>
        <x:v>4919.095547079904</x:v>
      </x:c>
      <x:c r="N425" s="141" t="n">
        <x:f>$C425+M425-L425</x:f>
        <x:v>4919.095547079904</x:v>
      </x:c>
      <x:c r="O425" s="141" t="n">
        <x:f>R424*(1+Premissas!$B$41)+N425</x:f>
        <x:v>38009372.83777357</x:v>
      </x:c>
      <x:c r="P425" s="141" t="n">
        <x:f>MAX(0,-O425)</x:f>
        <x:v>0</x:v>
      </x:c>
      <x:c r="Q425" s="141" t="n">
        <x:f>Q424*(1+Premissas!$B$41)+P425</x:f>
        <x:v>0</x:v>
      </x:c>
      <x:c r="R425" s="141" t="n">
        <x:f>MAX(0,O425)</x:f>
        <x:v>38009372.83777357</x:v>
      </x:c>
      <x:c r="S425" s="141" t="n">
        <x:f>IF(AND($A425&gt;=Premissas!$B$48,$A425-Premissas!$B$48+1&lt;=Premissas!$B$13),INDEX(Financiamento!$M$6:$M$485,$A425-Premissas!$B$48+1),0)</x:f>
        <x:v>0</x:v>
      </x:c>
      <x:c r="T425" s="141" t="n">
        <x:f>IF($A425&gt;=Premissas!$B$48,$F425,0)</x:f>
        <x:v>1537217.35846247</x:v>
      </x:c>
      <x:c r="U425" s="141" t="n">
        <x:f>R425+T425-S425</x:f>
        <x:v>39546590.19623604</x:v>
      </x:c>
      <x:c r="V425" s="141" t="n">
        <x:f>IF(Q425&gt;1,"Inviavel",U425)</x:f>
        <x:v>39546590.19623604</x:v>
      </x:c>
      <x:c r="W425" s="141" t="str">
        <x:f>IF(Q425&gt;1,"Inviavel","OK")</x:f>
        <x:v>OK</x:v>
      </x:c>
      <x:c r="X425" s="141" t="n">
        <x:f>IF($A425=Premissas!$B$48,Premissas!$B$8,0)</x:f>
        <x:v>0</x:v>
      </x:c>
      <x:c r="Y425" s="141" t="n">
        <x:f>IF(AND($A425&gt;=Premissas!$B$48,$A425-Premissas!$B$48+1&lt;=Premissas!$B$13),INDEX(Amortizacao!$K$6:$K$485,$A425-Premissas!$B$48+1),0)</x:f>
        <x:v>0</x:v>
      </x:c>
      <x:c r="Z425" s="141" t="n">
        <x:f>IF(AND(TRUE,Premissas!$B$11="Imovel",Premissas!$B$47="Moradia",$A425&lt;MAX(Premissas!$B$48,Premissas!$B$49)),$D425,0)</x:f>
        <x:v>0</x:v>
      </x:c>
      <x:c r="AA425" s="141" t="n">
        <x:f>IF(AND(TRUE,Premissas!$B$11="Imovel",Premissas!$B$47="Investimento",$A425&gt;=MAX(Premissas!$B$48,Premissas!$B$49)),$E425,0)</x:f>
        <x:v>4919.095547079904</x:v>
      </x:c>
      <x:c r="AB425" s="141" t="n">
        <x:f>X425+Y425+Z425</x:f>
        <x:v>0</x:v>
      </x:c>
      <x:c r="AC425" s="141" t="n">
        <x:f>AA425</x:f>
        <x:v>4919.095547079904</x:v>
      </x:c>
      <x:c r="AD425" s="141" t="n">
        <x:f>$C425+AC425-AB425</x:f>
        <x:v>4919.095547079904</x:v>
      </x:c>
      <x:c r="AE425" s="141" t="n">
        <x:f>AH424*(1+Premissas!$B$41)+AD425</x:f>
        <x:v>38646352.84957712</x:v>
      </x:c>
      <x:c r="AF425" s="141" t="n">
        <x:f>MAX(0,-AE425)</x:f>
        <x:v>0</x:v>
      </x:c>
      <x:c r="AG425" s="141" t="n">
        <x:f>AG424*(1+Premissas!$B$41)+AF425</x:f>
        <x:v>0</x:v>
      </x:c>
      <x:c r="AH425" s="141" t="n">
        <x:f>MAX(0,AE425)</x:f>
        <x:v>38646352.84957712</x:v>
      </x:c>
      <x:c r="AI425" s="141" t="n">
        <x:f>IF(AND($A425&gt;=Premissas!$B$48,$A425-Premissas!$B$48+1&lt;=Premissas!$B$13),INDEX(Amortizacao!$L$6:$L$485,$A425-Premissas!$B$48+1),0)</x:f>
        <x:v>0</x:v>
      </x:c>
      <x:c r="AJ425" s="141" t="n">
        <x:f>IF($A425&gt;=Premissas!$B$48,$F425,0)</x:f>
        <x:v>1537217.35846247</x:v>
      </x:c>
      <x:c r="AK425" s="141" t="n">
        <x:f>AH425+AJ425-AI425</x:f>
        <x:v>40183570.20803959</x:v>
      </x:c>
      <x:c r="AL425" s="141" t="n">
        <x:f>IF(AG425&gt;1,"Inviavel",AK425)</x:f>
        <x:v>40183570.20803959</x:v>
      </x:c>
      <x:c r="AM425" s="141" t="str">
        <x:f>IF(AG425&gt;1,"Inviavel","OK")</x:f>
        <x:v>OK</x:v>
      </x:c>
      <x:c r="AN425" s="141" t="n">
        <x:f>IF($A425=Premissas!$B$48,Premissas!$B$8,0)</x:f>
        <x:v>0</x:v>
      </x:c>
      <x:c r="AO425" s="141" t="n">
        <x:f>IF($A425&lt;=Premissas!$B$25,INDEX('Consorcio IQ'!$K$6:$K$485,$A425),0)</x:f>
        <x:v>0</x:v>
      </x:c>
      <x:c r="AP425" s="141" t="n">
        <x:f>IF(AND(TRUE,Premissas!$B$11="Imovel",Premissas!$B$47="Moradia",$A425&lt;MAX(Premissas!$B$48,Premissas!$B$49)),$D425,0)</x:f>
        <x:v>0</x:v>
      </x:c>
      <x:c r="AQ425" s="141" t="n">
        <x:f>IF(AND(TRUE,Premissas!$B$11="Imovel",Premissas!$B$47="Investimento",$A425&gt;=MAX(Premissas!$B$48,Premissas!$B$49)),$E425,0)</x:f>
        <x:v>4919.095547079904</x:v>
      </x:c>
      <x:c r="AR425" s="141" t="n">
        <x:f>AN425+AO425+AP425</x:f>
        <x:v>0</x:v>
      </x:c>
      <x:c r="AS425" s="141" t="n">
        <x:f>AQ425</x:f>
        <x:v>4919.095547079904</x:v>
      </x:c>
      <x:c r="AT425" s="141" t="n">
        <x:f>$C425+AS425-AR425</x:f>
        <x:v>4919.095547079904</x:v>
      </x:c>
      <x:c r="AU425" s="141" t="n">
        <x:f>AX424*(1+Premissas!$B$41)+AT425</x:f>
        <x:v>38341208.90546795</x:v>
      </x:c>
      <x:c r="AV425" s="141" t="n">
        <x:f>MAX(0,-AU425)</x:f>
        <x:v>0</x:v>
      </x:c>
      <x:c r="AW425" s="141" t="n">
        <x:f>AW424*(1+Premissas!$B$41)+AV425</x:f>
        <x:v>0</x:v>
      </x:c>
      <x:c r="AX425" s="141" t="n">
        <x:f>MAX(0,AU425)</x:f>
        <x:v>38341208.90546795</x:v>
      </x:c>
      <x:c r="AY425" s="141" t="n">
        <x:f>INDEX('Consorcio IQ'!$P$6:$P$485,$A425)</x:f>
        <x:v>0</x:v>
      </x:c>
      <x:c r="AZ425" s="141" t="n">
        <x:f>IF($A425&gt;=Premissas!$B$48,$F425,0)+IF($A425&lt;Premissas!$B$27,INDEX('Consorcio IQ'!$O$6:$O$485,$A425),0)</x:f>
        <x:v>1537217.35846247</x:v>
      </x:c>
      <x:c r="BA425" s="141" t="n">
        <x:f>AX425+AZ425-AY425</x:f>
        <x:v>39878426.26393042</x:v>
      </x:c>
      <x:c r="BB425" s="141" t="n">
        <x:f>IF(AW425&gt;1,"Inviavel",BA425)</x:f>
        <x:v>39878426.26393042</x:v>
      </x:c>
      <x:c r="BC425" s="141" t="str">
        <x:f>IF(AW425&gt;1,"Inviavel","OK")</x:f>
        <x:v>OK</x:v>
      </x:c>
      <x:c r="BD425" s="141" t="n">
        <x:f>IF($A425='Consorcio Direto'!$B$29,'Consorcio Direto'!$B$44,0)</x:f>
        <x:v>0</x:v>
      </x:c>
      <x:c r="BE425" s="141" t="n">
        <x:f>IF($A425&lt;='Consorcio Direto'!$B$27,INDEX('Consorcio Direto'!$E$55:$E$534,$A425),0)</x:f>
        <x:v>0</x:v>
      </x:c>
      <x:c r="BF425" s="141" t="n">
        <x:f>IF(AND(TRUE,Premissas!$B$11="Imovel",Premissas!$B$47="Moradia",$A425&lt;MAX('Consorcio Direto'!$B$29,Premissas!$B$49)),$D425,0)</x:f>
        <x:v>0</x:v>
      </x:c>
      <x:c r="BG425" s="141" t="n">
        <x:f>IF(AND(TRUE,Premissas!$B$11="Imovel",Premissas!$B$47="Investimento",$A425&gt;=MAX('Consorcio Direto'!$B$29,Premissas!$B$49)),$E425,0)</x:f>
        <x:v>4919.095547079904</x:v>
      </x:c>
      <x:c r="BH425" s="141" t="n">
        <x:f>BD425+BE425+BF425</x:f>
        <x:v>0</x:v>
      </x:c>
      <x:c r="BI425" s="141" t="n">
        <x:f>BG425</x:f>
        <x:v>4919.095547079904</x:v>
      </x:c>
      <x:c r="BJ425" s="141" t="n">
        <x:f>$C425+BI425-BH425</x:f>
        <x:v>4919.095547079904</x:v>
      </x:c>
      <x:c r="BK425" s="141" t="n">
        <x:f>BN424*(1+Premissas!$B$41)+BJ425</x:f>
        <x:v>36692092.21767752</x:v>
      </x:c>
      <x:c r="BL425" s="141" t="n">
        <x:f>MAX(0,-BK425)</x:f>
        <x:v>0</x:v>
      </x:c>
      <x:c r="BM425" s="141" t="n">
        <x:f>BM424*(1+Premissas!$B$41)+BL425</x:f>
        <x:v>0</x:v>
      </x:c>
      <x:c r="BN425" s="141" t="n">
        <x:f>MAX(0,BK425)</x:f>
        <x:v>36692092.21767752</x:v>
      </x:c>
      <x:c r="BO425" s="141" t="n">
        <x:f>INDEX('Consorcio Direto'!$K$55:$K$534,$A425)</x:f>
        <x:v>0</x:v>
      </x:c>
      <x:c r="BP425" s="141" t="n">
        <x:f>IF($A425&lt;'Consorcio Direto'!$B$29,INDEX('Consorcio Direto'!$L$55:$L$534,$A425),$F425)</x:f>
        <x:v>1537217.35846247</x:v>
      </x:c>
      <x:c r="BQ425" s="141" t="n">
        <x:f>BN425+BP425-BO425</x:f>
        <x:v>38229309.57613999</x:v>
      </x:c>
      <x:c r="BR425" s="141" t="n">
        <x:f>IF(BM425&gt;1,"Inviavel",BQ425)</x:f>
        <x:v>38229309.57613999</x:v>
      </x:c>
      <x:c r="BS425" s="141" t="str">
        <x:f>IF(BM425&gt;1,"Inviavel","OK")</x:f>
        <x:v>OK</x:v>
      </x:c>
      <x:c r="BT425" s="141" t="n">
        <x:f>IF(AND('Carta Contemplada'!$B$22="Sim",$A425='Carta Contemplada'!$B$23),'Carta Contemplada'!$B$37,0)</x:f>
        <x:v>0</x:v>
      </x:c>
      <x:c r="BU425" s="141" t="n">
        <x:f>IF('Carta Contemplada'!$B$22="Sim",INDEX('Carta Contemplada'!$C$55:$C$1013,$A425),0)</x:f>
        <x:v>0</x:v>
      </x:c>
      <x:c r="BV425" s="141" t="n">
        <x:f>IF(AND('Carta Contemplada'!$B$22="Sim",Premissas!$B$11="Imovel",Premissas!$B$47="Moradia",$A425&lt;MAX('Carta Contemplada'!$B$44,Premissas!$B$49)),$D425,0)</x:f>
        <x:v>0</x:v>
      </x:c>
      <x:c r="BW425" s="141" t="n">
        <x:f>IF(AND('Carta Contemplada'!$B$22="Sim",Premissas!$B$11="Imovel",Premissas!$B$47="Investimento",$A425&gt;=MAX('Carta Contemplada'!$B$44,Premissas!$B$49)),$E425,0)</x:f>
        <x:v>4919.095547079904</x:v>
      </x:c>
      <x:c r="BX425" s="141" t="n">
        <x:f>BT425+BU425+BV425</x:f>
        <x:v>0</x:v>
      </x:c>
      <x:c r="BY425" s="141" t="n">
        <x:f>BW425</x:f>
        <x:v>4919.095547079904</x:v>
      </x:c>
      <x:c r="BZ425" s="141" t="n">
        <x:f>$C425+BY425-BX425</x:f>
        <x:v>4919.095547079904</x:v>
      </x:c>
      <x:c r="CA425" s="141" t="n">
        <x:f>CD424*(1+Premissas!$B$41)+BZ425</x:f>
        <x:v>39415868.52990057</x:v>
      </x:c>
      <x:c r="CB425" s="141" t="n">
        <x:f>MAX(0,-CA425)</x:f>
        <x:v>0</x:v>
      </x:c>
      <x:c r="CC425" s="141" t="n">
        <x:f>CC424*(1+Premissas!$B$41)+CB425</x:f>
        <x:v>0</x:v>
      </x:c>
      <x:c r="CD425" s="141" t="n">
        <x:f>MAX(0,CA425)</x:f>
        <x:v>39415868.52990057</x:v>
      </x:c>
      <x:c r="CE425" s="141" t="n">
        <x:f>IF(AND('Carta Contemplada'!$B$22="Sim",$A425&gt;='Carta Contemplada'!$B$23),INDEX('Carta Contemplada'!$I$55:$I$1013,$A425),0)</x:f>
        <x:v>0</x:v>
      </x:c>
      <x:c r="CF425" s="141" t="n">
        <x:f>IF(AND('Carta Contemplada'!$B$22="Sim",$A425&gt;='Carta Contemplada'!$B$44),$F425,0)</x:f>
        <x:v>1537217.35846247</x:v>
      </x:c>
      <x:c r="CG425" s="141" t="n">
        <x:f>CD425+CF425-CE425</x:f>
        <x:v>40953085.88836304</x:v>
      </x:c>
      <x:c r="CH425" s="141" t="n">
        <x:f>IF(CC425&gt;1,"Inviavel",CG425)</x:f>
        <x:v>40953085.88836304</x:v>
      </x:c>
      <x:c r="CI425" s="145" t="str">
        <x:f>IF(CC425&gt;1,"Inviavel","OK")</x:f>
        <x:v>OK</x:v>
      </x:c>
    </x:row>
    <x:row r="426">
      <x:c r="A426" s="142" t="n">
        <x:v>422</x:v>
      </x:c>
      <x:c r="B426" s="179" t="n">
        <x:f>EDATE(Premissas!$B$4,A426-1)</x:f>
        <x:v>59353</x:v>
      </x:c>
      <x:c r="C426" s="141" t="n">
        <x:f>IF(A426&lt;=Premissas!$B$39,Premissas!$B$42,0)</x:f>
        <x:v>0</x:v>
      </x:c>
      <x:c r="D426" s="141" t="n">
        <x:f>Premissas!$B$54*(1+Premissas!$B$57)^INT((A426-1)/12)</x:f>
        <x:v>5380.260754618645</x:v>
      </x:c>
      <x:c r="E426" s="141" t="n">
        <x:f>Premissas!$B$64*(1+Premissas!$B$57)^INT((A426-1)/12)</x:f>
        <x:v>4919.095547079904</x:v>
      </x:c>
      <x:c r="F426" s="141" t="n">
        <x:f>MAX(0,Premissas!$B$6*(1+Premissas!$B$66)^((A426-1)/12))</x:f>
        <x:v>1544699.841684709</x:v>
      </x:c>
      <x:c r="G426" s="141" t="n">
        <x:f>G425*(1+Premissas!$B$41)+C426</x:f>
        <x:v>43738912.00496628</x:v>
      </x:c>
      <x:c r="H426" s="141" t="n">
        <x:f>IF($A426=Premissas!$B$48,Premissas!$B$8,0)</x:f>
        <x:v>0</x:v>
      </x:c>
      <x:c r="I426" s="141" t="n">
        <x:f>IF(AND($A426&gt;=Premissas!$B$48,$A426-Premissas!$B$48+1&lt;=Premissas!$B$13),INDEX(Financiamento!$J$6:$J$485,$A426-Premissas!$B$48+1),0)</x:f>
        <x:v>0</x:v>
      </x:c>
      <x:c r="J426" s="141" t="n">
        <x:f>IF(AND(TRUE,Premissas!$B$11="Imovel",Premissas!$B$47="Moradia",$A426&lt;MAX(Premissas!$B$48,Premissas!$B$49)),$D426,0)</x:f>
        <x:v>0</x:v>
      </x:c>
      <x:c r="K426" s="141" t="n">
        <x:f>IF(AND(TRUE,Premissas!$B$11="Imovel",Premissas!$B$47="Investimento",$A426&gt;=MAX(Premissas!$B$48,Premissas!$B$49)),$E426,0)</x:f>
        <x:v>4919.095547079904</x:v>
      </x:c>
      <x:c r="L426" s="141" t="n">
        <x:f>H426+I426+J426</x:f>
        <x:v>0</x:v>
      </x:c>
      <x:c r="M426" s="141" t="n">
        <x:f>K426</x:f>
        <x:v>4919.095547079904</x:v>
      </x:c>
      <x:c r="N426" s="141" t="n">
        <x:f>$C426+M426-L426</x:f>
        <x:v>4919.095547079904</x:v>
      </x:c>
      <x:c r="O426" s="141" t="n">
        <x:f>R425*(1+Premissas!$B$41)+N426</x:f>
        <x:v>38374955.00175165</x:v>
      </x:c>
      <x:c r="P426" s="141" t="n">
        <x:f>MAX(0,-O426)</x:f>
        <x:v>0</x:v>
      </x:c>
      <x:c r="Q426" s="141" t="n">
        <x:f>Q425*(1+Premissas!$B$41)+P426</x:f>
        <x:v>0</x:v>
      </x:c>
      <x:c r="R426" s="141" t="n">
        <x:f>MAX(0,O426)</x:f>
        <x:v>38374955.00175165</x:v>
      </x:c>
      <x:c r="S426" s="141" t="n">
        <x:f>IF(AND($A426&gt;=Premissas!$B$48,$A426-Premissas!$B$48+1&lt;=Premissas!$B$13),INDEX(Financiamento!$M$6:$M$485,$A426-Premissas!$B$48+1),0)</x:f>
        <x:v>0</x:v>
      </x:c>
      <x:c r="T426" s="141" t="n">
        <x:f>IF($A426&gt;=Premissas!$B$48,$F426,0)</x:f>
        <x:v>1544699.841684709</x:v>
      </x:c>
      <x:c r="U426" s="141" t="n">
        <x:f>R426+T426-S426</x:f>
        <x:v>39919654.84343635</x:v>
      </x:c>
      <x:c r="V426" s="141" t="n">
        <x:f>IF(Q426&gt;1,"Inviavel",U426)</x:f>
        <x:v>39919654.84343635</x:v>
      </x:c>
      <x:c r="W426" s="141" t="str">
        <x:f>IF(Q426&gt;1,"Inviavel","OK")</x:f>
        <x:v>OK</x:v>
      </x:c>
      <x:c r="X426" s="141" t="n">
        <x:f>IF($A426=Premissas!$B$48,Premissas!$B$8,0)</x:f>
        <x:v>0</x:v>
      </x:c>
      <x:c r="Y426" s="141" t="n">
        <x:f>IF(AND($A426&gt;=Premissas!$B$48,$A426-Premissas!$B$48+1&lt;=Premissas!$B$13),INDEX(Amortizacao!$K$6:$K$485,$A426-Premissas!$B$48+1),0)</x:f>
        <x:v>0</x:v>
      </x:c>
      <x:c r="Z426" s="141" t="n">
        <x:f>IF(AND(TRUE,Premissas!$B$11="Imovel",Premissas!$B$47="Moradia",$A426&lt;MAX(Premissas!$B$48,Premissas!$B$49)),$D426,0)</x:f>
        <x:v>0</x:v>
      </x:c>
      <x:c r="AA426" s="141" t="n">
        <x:f>IF(AND(TRUE,Premissas!$B$11="Imovel",Premissas!$B$47="Investimento",$A426&gt;=MAX(Premissas!$B$48,Premissas!$B$49)),$E426,0)</x:f>
        <x:v>4919.095547079904</x:v>
      </x:c>
      <x:c r="AB426" s="141" t="n">
        <x:f>X426+Y426+Z426</x:f>
        <x:v>0</x:v>
      </x:c>
      <x:c r="AC426" s="141" t="n">
        <x:f>AA426</x:f>
        <x:v>4919.095547079904</x:v>
      </x:c>
      <x:c r="AD426" s="141" t="n">
        <x:f>$C426+AC426-AB426</x:f>
        <x:v>4919.095547079904</x:v>
      </x:c>
      <x:c r="AE426" s="141" t="n">
        <x:f>AH425*(1+Premissas!$B$41)+AD426</x:f>
        <x:v>39017979.184990674</x:v>
      </x:c>
      <x:c r="AF426" s="141" t="n">
        <x:f>MAX(0,-AE426)</x:f>
        <x:v>0</x:v>
      </x:c>
      <x:c r="AG426" s="141" t="n">
        <x:f>AG425*(1+Premissas!$B$41)+AF426</x:f>
        <x:v>0</x:v>
      </x:c>
      <x:c r="AH426" s="141" t="n">
        <x:f>MAX(0,AE426)</x:f>
        <x:v>39017979.184990674</x:v>
      </x:c>
      <x:c r="AI426" s="141" t="n">
        <x:f>IF(AND($A426&gt;=Premissas!$B$48,$A426-Premissas!$B$48+1&lt;=Premissas!$B$13),INDEX(Amortizacao!$L$6:$L$485,$A426-Premissas!$B$48+1),0)</x:f>
        <x:v>0</x:v>
      </x:c>
      <x:c r="AJ426" s="141" t="n">
        <x:f>IF($A426&gt;=Premissas!$B$48,$F426,0)</x:f>
        <x:v>1544699.841684709</x:v>
      </x:c>
      <x:c r="AK426" s="141" t="n">
        <x:f>AH426+AJ426-AI426</x:f>
        <x:v>40562679.02667538</x:v>
      </x:c>
      <x:c r="AL426" s="141" t="n">
        <x:f>IF(AG426&gt;1,"Inviavel",AK426)</x:f>
        <x:v>40562679.02667538</x:v>
      </x:c>
      <x:c r="AM426" s="141" t="str">
        <x:f>IF(AG426&gt;1,"Inviavel","OK")</x:f>
        <x:v>OK</x:v>
      </x:c>
      <x:c r="AN426" s="141" t="n">
        <x:f>IF($A426=Premissas!$B$48,Premissas!$B$8,0)</x:f>
        <x:v>0</x:v>
      </x:c>
      <x:c r="AO426" s="141" t="n">
        <x:f>IF($A426&lt;=Premissas!$B$25,INDEX('Consorcio IQ'!$K$6:$K$485,$A426),0)</x:f>
        <x:v>0</x:v>
      </x:c>
      <x:c r="AP426" s="141" t="n">
        <x:f>IF(AND(TRUE,Premissas!$B$11="Imovel",Premissas!$B$47="Moradia",$A426&lt;MAX(Premissas!$B$48,Premissas!$B$49)),$D426,0)</x:f>
        <x:v>0</x:v>
      </x:c>
      <x:c r="AQ426" s="141" t="n">
        <x:f>IF(AND(TRUE,Premissas!$B$11="Imovel",Premissas!$B$47="Investimento",$A426&gt;=MAX(Premissas!$B$48,Premissas!$B$49)),$E426,0)</x:f>
        <x:v>4919.095547079904</x:v>
      </x:c>
      <x:c r="AR426" s="141" t="n">
        <x:f>AN426+AO426+AP426</x:f>
        <x:v>0</x:v>
      </x:c>
      <x:c r="AS426" s="141" t="n">
        <x:f>AQ426</x:f>
        <x:v>4919.095547079904</x:v>
      </x:c>
      <x:c r="AT426" s="141" t="n">
        <x:f>$C426+AS426-AR426</x:f>
        <x:v>4919.095547079904</x:v>
      </x:c>
      <x:c r="AU426" s="141" t="n">
        <x:f>AX425*(1+Premissas!$B$41)+AT426</x:f>
        <x:v>38709939.79318061</x:v>
      </x:c>
      <x:c r="AV426" s="141" t="n">
        <x:f>MAX(0,-AU426)</x:f>
        <x:v>0</x:v>
      </x:c>
      <x:c r="AW426" s="141" t="n">
        <x:f>AW425*(1+Premissas!$B$41)+AV426</x:f>
        <x:v>0</x:v>
      </x:c>
      <x:c r="AX426" s="141" t="n">
        <x:f>MAX(0,AU426)</x:f>
        <x:v>38709939.79318061</x:v>
      </x:c>
      <x:c r="AY426" s="141" t="n">
        <x:f>INDEX('Consorcio IQ'!$P$6:$P$485,$A426)</x:f>
        <x:v>0</x:v>
      </x:c>
      <x:c r="AZ426" s="141" t="n">
        <x:f>IF($A426&gt;=Premissas!$B$48,$F426,0)+IF($A426&lt;Premissas!$B$27,INDEX('Consorcio IQ'!$O$6:$O$485,$A426),0)</x:f>
        <x:v>1544699.841684709</x:v>
      </x:c>
      <x:c r="BA426" s="141" t="n">
        <x:f>AX426+AZ426-AY426</x:f>
        <x:v>40254639.634865314</x:v>
      </x:c>
      <x:c r="BB426" s="141" t="n">
        <x:f>IF(AW426&gt;1,"Inviavel",BA426)</x:f>
        <x:v>40254639.634865314</x:v>
      </x:c>
      <x:c r="BC426" s="141" t="str">
        <x:f>IF(AW426&gt;1,"Inviavel","OK")</x:f>
        <x:v>OK</x:v>
      </x:c>
      <x:c r="BD426" s="141" t="n">
        <x:f>IF($A426='Consorcio Direto'!$B$29,'Consorcio Direto'!$B$44,0)</x:f>
        <x:v>0</x:v>
      </x:c>
      <x:c r="BE426" s="141" t="n">
        <x:f>IF($A426&lt;='Consorcio Direto'!$B$27,INDEX('Consorcio Direto'!$E$55:$E$534,$A426),0)</x:f>
        <x:v>0</x:v>
      </x:c>
      <x:c r="BF426" s="141" t="n">
        <x:f>IF(AND(TRUE,Premissas!$B$11="Imovel",Premissas!$B$47="Moradia",$A426&lt;MAX('Consorcio Direto'!$B$29,Premissas!$B$49)),$D426,0)</x:f>
        <x:v>0</x:v>
      </x:c>
      <x:c r="BG426" s="141" t="n">
        <x:f>IF(AND(TRUE,Premissas!$B$11="Imovel",Premissas!$B$47="Investimento",$A426&gt;=MAX('Consorcio Direto'!$B$29,Premissas!$B$49)),$E426,0)</x:f>
        <x:v>4919.095547079904</x:v>
      </x:c>
      <x:c r="BH426" s="141" t="n">
        <x:f>BD426+BE426+BF426</x:f>
        <x:v>0</x:v>
      </x:c>
      <x:c r="BI426" s="141" t="n">
        <x:f>BG426</x:f>
        <x:v>4919.095547079904</x:v>
      </x:c>
      <x:c r="BJ426" s="141" t="n">
        <x:f>$C426+BI426-BH426</x:f>
        <x:v>4919.095547079904</x:v>
      </x:c>
      <x:c r="BK426" s="141" t="n">
        <x:f>BN425*(1+Premissas!$B$41)+BJ426</x:f>
        <x:v>37045174.97861477</x:v>
      </x:c>
      <x:c r="BL426" s="141" t="n">
        <x:f>MAX(0,-BK426)</x:f>
        <x:v>0</x:v>
      </x:c>
      <x:c r="BM426" s="141" t="n">
        <x:f>BM425*(1+Premissas!$B$41)+BL426</x:f>
        <x:v>0</x:v>
      </x:c>
      <x:c r="BN426" s="141" t="n">
        <x:f>MAX(0,BK426)</x:f>
        <x:v>37045174.97861477</x:v>
      </x:c>
      <x:c r="BO426" s="141" t="n">
        <x:f>INDEX('Consorcio Direto'!$K$55:$K$534,$A426)</x:f>
        <x:v>0</x:v>
      </x:c>
      <x:c r="BP426" s="141" t="n">
        <x:f>IF($A426&lt;'Consorcio Direto'!$B$29,INDEX('Consorcio Direto'!$L$55:$L$534,$A426),$F426)</x:f>
        <x:v>1544699.841684709</x:v>
      </x:c>
      <x:c r="BQ426" s="141" t="n">
        <x:f>BN426+BP426-BO426</x:f>
        <x:v>38589874.82029948</x:v>
      </x:c>
      <x:c r="BR426" s="141" t="n">
        <x:f>IF(BM426&gt;1,"Inviavel",BQ426)</x:f>
        <x:v>38589874.82029948</x:v>
      </x:c>
      <x:c r="BS426" s="141" t="str">
        <x:f>IF(BM426&gt;1,"Inviavel","OK")</x:f>
        <x:v>OK</x:v>
      </x:c>
      <x:c r="BT426" s="141" t="n">
        <x:f>IF(AND('Carta Contemplada'!$B$22="Sim",$A426='Carta Contemplada'!$B$23),'Carta Contemplada'!$B$37,0)</x:f>
        <x:v>0</x:v>
      </x:c>
      <x:c r="BU426" s="141" t="n">
        <x:f>IF('Carta Contemplada'!$B$22="Sim",INDEX('Carta Contemplada'!$C$55:$C$1013,$A426),0)</x:f>
        <x:v>0</x:v>
      </x:c>
      <x:c r="BV426" s="141" t="n">
        <x:f>IF(AND('Carta Contemplada'!$B$22="Sim",Premissas!$B$11="Imovel",Premissas!$B$47="Moradia",$A426&lt;MAX('Carta Contemplada'!$B$44,Premissas!$B$49)),$D426,0)</x:f>
        <x:v>0</x:v>
      </x:c>
      <x:c r="BW426" s="141" t="n">
        <x:f>IF(AND('Carta Contemplada'!$B$22="Sim",Premissas!$B$11="Imovel",Premissas!$B$47="Investimento",$A426&gt;=MAX('Carta Contemplada'!$B$44,Premissas!$B$49)),$E426,0)</x:f>
        <x:v>4919.095547079904</x:v>
      </x:c>
      <x:c r="BX426" s="141" t="n">
        <x:f>BT426+BU426+BV426</x:f>
        <x:v>0</x:v>
      </x:c>
      <x:c r="BY426" s="141" t="n">
        <x:f>BW426</x:f>
        <x:v>4919.095547079904</x:v>
      </x:c>
      <x:c r="BZ426" s="141" t="n">
        <x:f>$C426+BY426-BX426</x:f>
        <x:v>4919.095547079904</x:v>
      </x:c>
      <x:c r="CA426" s="141" t="n">
        <x:f>CD425*(1+Premissas!$B$41)+BZ426</x:f>
        <x:v>39794796.64026463</x:v>
      </x:c>
      <x:c r="CB426" s="141" t="n">
        <x:f>MAX(0,-CA426)</x:f>
        <x:v>0</x:v>
      </x:c>
      <x:c r="CC426" s="141" t="n">
        <x:f>CC425*(1+Premissas!$B$41)+CB426</x:f>
        <x:v>0</x:v>
      </x:c>
      <x:c r="CD426" s="141" t="n">
        <x:f>MAX(0,CA426)</x:f>
        <x:v>39794796.64026463</x:v>
      </x:c>
      <x:c r="CE426" s="141" t="n">
        <x:f>IF(AND('Carta Contemplada'!$B$22="Sim",$A426&gt;='Carta Contemplada'!$B$23),INDEX('Carta Contemplada'!$I$55:$I$1013,$A426),0)</x:f>
        <x:v>0</x:v>
      </x:c>
      <x:c r="CF426" s="141" t="n">
        <x:f>IF(AND('Carta Contemplada'!$B$22="Sim",$A426&gt;='Carta Contemplada'!$B$44),$F426,0)</x:f>
        <x:v>1544699.841684709</x:v>
      </x:c>
      <x:c r="CG426" s="141" t="n">
        <x:f>CD426+CF426-CE426</x:f>
        <x:v>41339496.48194934</x:v>
      </x:c>
      <x:c r="CH426" s="141" t="n">
        <x:f>IF(CC426&gt;1,"Inviavel",CG426)</x:f>
        <x:v>41339496.48194934</x:v>
      </x:c>
      <x:c r="CI426" s="145" t="str">
        <x:f>IF(CC426&gt;1,"Inviavel","OK")</x:f>
        <x:v>OK</x:v>
      </x:c>
    </x:row>
    <x:row r="427">
      <x:c r="A427" s="142" t="n">
        <x:v>423</x:v>
      </x:c>
      <x:c r="B427" s="179" t="n">
        <x:f>EDATE(Premissas!$B$4,A427-1)</x:f>
        <x:v>59384</x:v>
      </x:c>
      <x:c r="C427" s="141" t="n">
        <x:f>IF(A427&lt;=Premissas!$B$39,Premissas!$B$42,0)</x:f>
        <x:v>0</x:v>
      </x:c>
      <x:c r="D427" s="141" t="n">
        <x:f>Premissas!$B$54*(1+Premissas!$B$57)^INT((A427-1)/12)</x:f>
        <x:v>5380.260754618645</x:v>
      </x:c>
      <x:c r="E427" s="141" t="n">
        <x:f>Premissas!$B$64*(1+Premissas!$B$57)^INT((A427-1)/12)</x:f>
        <x:v>4919.095547079904</x:v>
      </x:c>
      <x:c r="F427" s="141" t="n">
        <x:f>MAX(0,Premissas!$B$6*(1+Premissas!$B$66)^((A427-1)/12))</x:f>
        <x:v>1552218.7462723865</x:v>
      </x:c>
      <x:c r="G427" s="141" t="n">
        <x:f>G426*(1+Premissas!$B$41)+C427</x:f>
        <x:v>44153941.484165356</x:v>
      </x:c>
      <x:c r="H427" s="141" t="n">
        <x:f>IF($A427=Premissas!$B$48,Premissas!$B$8,0)</x:f>
        <x:v>0</x:v>
      </x:c>
      <x:c r="I427" s="141" t="n">
        <x:f>IF(AND($A427&gt;=Premissas!$B$48,$A427-Premissas!$B$48+1&lt;=Premissas!$B$13),INDEX(Financiamento!$J$6:$J$485,$A427-Premissas!$B$48+1),0)</x:f>
        <x:v>0</x:v>
      </x:c>
      <x:c r="J427" s="141" t="n">
        <x:f>IF(AND(TRUE,Premissas!$B$11="Imovel",Premissas!$B$47="Moradia",$A427&lt;MAX(Premissas!$B$48,Premissas!$B$49)),$D427,0)</x:f>
        <x:v>0</x:v>
      </x:c>
      <x:c r="K427" s="141" t="n">
        <x:f>IF(AND(TRUE,Premissas!$B$11="Imovel",Premissas!$B$47="Investimento",$A427&gt;=MAX(Premissas!$B$48,Premissas!$B$49)),$E427,0)</x:f>
        <x:v>4919.095547079904</x:v>
      </x:c>
      <x:c r="L427" s="141" t="n">
        <x:f>H427+I427+J427</x:f>
        <x:v>0</x:v>
      </x:c>
      <x:c r="M427" s="141" t="n">
        <x:f>K427</x:f>
        <x:v>4919.095547079904</x:v>
      </x:c>
      <x:c r="N427" s="141" t="n">
        <x:f>$C427+M427-L427</x:f>
        <x:v>4919.095547079904</x:v>
      </x:c>
      <x:c r="O427" s="141" t="n">
        <x:f>R426*(1+Premissas!$B$41)+N427</x:f>
        <x:v>38744006.09918429</x:v>
      </x:c>
      <x:c r="P427" s="141" t="n">
        <x:f>MAX(0,-O427)</x:f>
        <x:v>0</x:v>
      </x:c>
      <x:c r="Q427" s="141" t="n">
        <x:f>Q426*(1+Premissas!$B$41)+P427</x:f>
        <x:v>0</x:v>
      </x:c>
      <x:c r="R427" s="141" t="n">
        <x:f>MAX(0,O427)</x:f>
        <x:v>38744006.09918429</x:v>
      </x:c>
      <x:c r="S427" s="141" t="n">
        <x:f>IF(AND($A427&gt;=Premissas!$B$48,$A427-Premissas!$B$48+1&lt;=Premissas!$B$13),INDEX(Financiamento!$M$6:$M$485,$A427-Premissas!$B$48+1),0)</x:f>
        <x:v>0</x:v>
      </x:c>
      <x:c r="T427" s="141" t="n">
        <x:f>IF($A427&gt;=Premissas!$B$48,$F427,0)</x:f>
        <x:v>1552218.7462723865</x:v>
      </x:c>
      <x:c r="U427" s="141" t="n">
        <x:f>R427+T427-S427</x:f>
        <x:v>40296224.845456675</x:v>
      </x:c>
      <x:c r="V427" s="141" t="n">
        <x:f>IF(Q427&gt;1,"Inviavel",U427)</x:f>
        <x:v>40296224.845456675</x:v>
      </x:c>
      <x:c r="W427" s="141" t="str">
        <x:f>IF(Q427&gt;1,"Inviavel","OK")</x:f>
        <x:v>OK</x:v>
      </x:c>
      <x:c r="X427" s="141" t="n">
        <x:f>IF($A427=Premissas!$B$48,Premissas!$B$8,0)</x:f>
        <x:v>0</x:v>
      </x:c>
      <x:c r="Y427" s="141" t="n">
        <x:f>IF(AND($A427&gt;=Premissas!$B$48,$A427-Premissas!$B$48+1&lt;=Premissas!$B$13),INDEX(Amortizacao!$K$6:$K$485,$A427-Premissas!$B$48+1),0)</x:f>
        <x:v>0</x:v>
      </x:c>
      <x:c r="Z427" s="141" t="n">
        <x:f>IF(AND(TRUE,Premissas!$B$11="Imovel",Premissas!$B$47="Moradia",$A427&lt;MAX(Premissas!$B$48,Premissas!$B$49)),$D427,0)</x:f>
        <x:v>0</x:v>
      </x:c>
      <x:c r="AA427" s="141" t="n">
        <x:f>IF(AND(TRUE,Premissas!$B$11="Imovel",Premissas!$B$47="Investimento",$A427&gt;=MAX(Premissas!$B$48,Premissas!$B$49)),$E427,0)</x:f>
        <x:v>4919.095547079904</x:v>
      </x:c>
      <x:c r="AB427" s="141" t="n">
        <x:f>X427+Y427+Z427</x:f>
        <x:v>0</x:v>
      </x:c>
      <x:c r="AC427" s="141" t="n">
        <x:f>AA427</x:f>
        <x:v>4919.095547079904</x:v>
      </x:c>
      <x:c r="AD427" s="141" t="n">
        <x:f>$C427+AC427-AB427</x:f>
        <x:v>4919.095547079904</x:v>
      </x:c>
      <x:c r="AE427" s="141" t="n">
        <x:f>AH426*(1+Premissas!$B$41)+AD427</x:f>
        <x:v>39393131.805750005</x:v>
      </x:c>
      <x:c r="AF427" s="141" t="n">
        <x:f>MAX(0,-AE427)</x:f>
        <x:v>0</x:v>
      </x:c>
      <x:c r="AG427" s="141" t="n">
        <x:f>AG426*(1+Premissas!$B$41)+AF427</x:f>
        <x:v>0</x:v>
      </x:c>
      <x:c r="AH427" s="141" t="n">
        <x:f>MAX(0,AE427)</x:f>
        <x:v>39393131.805750005</x:v>
      </x:c>
      <x:c r="AI427" s="141" t="n">
        <x:f>IF(AND($A427&gt;=Premissas!$B$48,$A427-Premissas!$B$48+1&lt;=Premissas!$B$13),INDEX(Amortizacao!$L$6:$L$485,$A427-Premissas!$B$48+1),0)</x:f>
        <x:v>0</x:v>
      </x:c>
      <x:c r="AJ427" s="141" t="n">
        <x:f>IF($A427&gt;=Premissas!$B$48,$F427,0)</x:f>
        <x:v>1552218.7462723865</x:v>
      </x:c>
      <x:c r="AK427" s="141" t="n">
        <x:f>AH427+AJ427-AI427</x:f>
        <x:v>40945350.55202239</x:v>
      </x:c>
      <x:c r="AL427" s="141" t="n">
        <x:f>IF(AG427&gt;1,"Inviavel",AK427)</x:f>
        <x:v>40945350.55202239</x:v>
      </x:c>
      <x:c r="AM427" s="141" t="str">
        <x:f>IF(AG427&gt;1,"Inviavel","OK")</x:f>
        <x:v>OK</x:v>
      </x:c>
      <x:c r="AN427" s="141" t="n">
        <x:f>IF($A427=Premissas!$B$48,Premissas!$B$8,0)</x:f>
        <x:v>0</x:v>
      </x:c>
      <x:c r="AO427" s="141" t="n">
        <x:f>IF($A427&lt;=Premissas!$B$25,INDEX('Consorcio IQ'!$K$6:$K$485,$A427),0)</x:f>
        <x:v>0</x:v>
      </x:c>
      <x:c r="AP427" s="141" t="n">
        <x:f>IF(AND(TRUE,Premissas!$B$11="Imovel",Premissas!$B$47="Moradia",$A427&lt;MAX(Premissas!$B$48,Premissas!$B$49)),$D427,0)</x:f>
        <x:v>0</x:v>
      </x:c>
      <x:c r="AQ427" s="141" t="n">
        <x:f>IF(AND(TRUE,Premissas!$B$11="Imovel",Premissas!$B$47="Investimento",$A427&gt;=MAX(Premissas!$B$48,Premissas!$B$49)),$E427,0)</x:f>
        <x:v>4919.095547079904</x:v>
      </x:c>
      <x:c r="AR427" s="141" t="n">
        <x:f>AN427+AO427+AP427</x:f>
        <x:v>0</x:v>
      </x:c>
      <x:c r="AS427" s="141" t="n">
        <x:f>AQ427</x:f>
        <x:v>4919.095547079904</x:v>
      </x:c>
      <x:c r="AT427" s="141" t="n">
        <x:f>$C427+AS427-AR427</x:f>
        <x:v>4919.095547079904</x:v>
      </x:c>
      <x:c r="AU427" s="141" t="n">
        <x:f>AX426*(1+Premissas!$B$41)+AT427</x:f>
        <x:v>39082169.49193536</x:v>
      </x:c>
      <x:c r="AV427" s="141" t="n">
        <x:f>MAX(0,-AU427)</x:f>
        <x:v>0</x:v>
      </x:c>
      <x:c r="AW427" s="141" t="n">
        <x:f>AW426*(1+Premissas!$B$41)+AV427</x:f>
        <x:v>0</x:v>
      </x:c>
      <x:c r="AX427" s="141" t="n">
        <x:f>MAX(0,AU427)</x:f>
        <x:v>39082169.49193536</x:v>
      </x:c>
      <x:c r="AY427" s="141" t="n">
        <x:f>INDEX('Consorcio IQ'!$P$6:$P$485,$A427)</x:f>
        <x:v>0</x:v>
      </x:c>
      <x:c r="AZ427" s="141" t="n">
        <x:f>IF($A427&gt;=Premissas!$B$48,$F427,0)+IF($A427&lt;Premissas!$B$27,INDEX('Consorcio IQ'!$O$6:$O$485,$A427),0)</x:f>
        <x:v>1552218.7462723865</x:v>
      </x:c>
      <x:c r="BA427" s="141" t="n">
        <x:f>AX427+AZ427-AY427</x:f>
        <x:v>40634388.23820774</x:v>
      </x:c>
      <x:c r="BB427" s="141" t="n">
        <x:f>IF(AW427&gt;1,"Inviavel",BA427)</x:f>
        <x:v>40634388.23820774</x:v>
      </x:c>
      <x:c r="BC427" s="141" t="str">
        <x:f>IF(AW427&gt;1,"Inviavel","OK")</x:f>
        <x:v>OK</x:v>
      </x:c>
      <x:c r="BD427" s="141" t="n">
        <x:f>IF($A427='Consorcio Direto'!$B$29,'Consorcio Direto'!$B$44,0)</x:f>
        <x:v>0</x:v>
      </x:c>
      <x:c r="BE427" s="141" t="n">
        <x:f>IF($A427&lt;='Consorcio Direto'!$B$27,INDEX('Consorcio Direto'!$E$55:$E$534,$A427),0)</x:f>
        <x:v>0</x:v>
      </x:c>
      <x:c r="BF427" s="141" t="n">
        <x:f>IF(AND(TRUE,Premissas!$B$11="Imovel",Premissas!$B$47="Moradia",$A427&lt;MAX('Consorcio Direto'!$B$29,Premissas!$B$49)),$D427,0)</x:f>
        <x:v>0</x:v>
      </x:c>
      <x:c r="BG427" s="141" t="n">
        <x:f>IF(AND(TRUE,Premissas!$B$11="Imovel",Premissas!$B$47="Investimento",$A427&gt;=MAX('Consorcio Direto'!$B$29,Premissas!$B$49)),$E427,0)</x:f>
        <x:v>4919.095547079904</x:v>
      </x:c>
      <x:c r="BH427" s="141" t="n">
        <x:f>BD427+BE427+BF427</x:f>
        <x:v>0</x:v>
      </x:c>
      <x:c r="BI427" s="141" t="n">
        <x:f>BG427</x:f>
        <x:v>4919.095547079904</x:v>
      </x:c>
      <x:c r="BJ427" s="141" t="n">
        <x:f>$C427+BI427-BH427</x:f>
        <x:v>4919.095547079904</x:v>
      </x:c>
      <x:c r="BK427" s="141" t="n">
        <x:f>BN426*(1+Premissas!$B$41)+BJ427</x:f>
        <x:v>37401608.06875932</x:v>
      </x:c>
      <x:c r="BL427" s="141" t="n">
        <x:f>MAX(0,-BK427)</x:f>
        <x:v>0</x:v>
      </x:c>
      <x:c r="BM427" s="141" t="n">
        <x:f>BM426*(1+Premissas!$B$41)+BL427</x:f>
        <x:v>0</x:v>
      </x:c>
      <x:c r="BN427" s="141" t="n">
        <x:f>MAX(0,BK427)</x:f>
        <x:v>37401608.06875932</x:v>
      </x:c>
      <x:c r="BO427" s="141" t="n">
        <x:f>INDEX('Consorcio Direto'!$K$55:$K$534,$A427)</x:f>
        <x:v>0</x:v>
      </x:c>
      <x:c r="BP427" s="141" t="n">
        <x:f>IF($A427&lt;'Consorcio Direto'!$B$29,INDEX('Consorcio Direto'!$L$55:$L$534,$A427),$F427)</x:f>
        <x:v>1552218.7462723865</x:v>
      </x:c>
      <x:c r="BQ427" s="141" t="n">
        <x:f>BN427+BP427-BO427</x:f>
        <x:v>38953826.81503171</x:v>
      </x:c>
      <x:c r="BR427" s="141" t="n">
        <x:f>IF(BM427&gt;1,"Inviavel",BQ427)</x:f>
        <x:v>38953826.81503171</x:v>
      </x:c>
      <x:c r="BS427" s="141" t="str">
        <x:f>IF(BM427&gt;1,"Inviavel","OK")</x:f>
        <x:v>OK</x:v>
      </x:c>
      <x:c r="BT427" s="141" t="n">
        <x:f>IF(AND('Carta Contemplada'!$B$22="Sim",$A427='Carta Contemplada'!$B$23),'Carta Contemplada'!$B$37,0)</x:f>
        <x:v>0</x:v>
      </x:c>
      <x:c r="BU427" s="141" t="n">
        <x:f>IF('Carta Contemplada'!$B$22="Sim",INDEX('Carta Contemplada'!$C$55:$C$1013,$A427),0)</x:f>
        <x:v>0</x:v>
      </x:c>
      <x:c r="BV427" s="141" t="n">
        <x:f>IF(AND('Carta Contemplada'!$B$22="Sim",Premissas!$B$11="Imovel",Premissas!$B$47="Moradia",$A427&lt;MAX('Carta Contemplada'!$B$44,Premissas!$B$49)),$D427,0)</x:f>
        <x:v>0</x:v>
      </x:c>
      <x:c r="BW427" s="141" t="n">
        <x:f>IF(AND('Carta Contemplada'!$B$22="Sim",Premissas!$B$11="Imovel",Premissas!$B$47="Investimento",$A427&gt;=MAX('Carta Contemplada'!$B$44,Premissas!$B$49)),$E427,0)</x:f>
        <x:v>4919.095547079904</x:v>
      </x:c>
      <x:c r="BX427" s="141" t="n">
        <x:f>BT427+BU427+BV427</x:f>
        <x:v>0</x:v>
      </x:c>
      <x:c r="BY427" s="141" t="n">
        <x:f>BW427</x:f>
        <x:v>4919.095547079904</x:v>
      </x:c>
      <x:c r="BZ427" s="141" t="n">
        <x:f>$C427+BY427-BX427</x:f>
        <x:v>4919.095547079904</x:v>
      </x:c>
      <x:c r="CA427" s="141" t="n">
        <x:f>CD426*(1+Premissas!$B$41)+BZ427</x:f>
        <x:v>40177320.321005024</x:v>
      </x:c>
      <x:c r="CB427" s="141" t="n">
        <x:f>MAX(0,-CA427)</x:f>
        <x:v>0</x:v>
      </x:c>
      <x:c r="CC427" s="141" t="n">
        <x:f>CC426*(1+Premissas!$B$41)+CB427</x:f>
        <x:v>0</x:v>
      </x:c>
      <x:c r="CD427" s="141" t="n">
        <x:f>MAX(0,CA427)</x:f>
        <x:v>40177320.321005024</x:v>
      </x:c>
      <x:c r="CE427" s="141" t="n">
        <x:f>IF(AND('Carta Contemplada'!$B$22="Sim",$A427&gt;='Carta Contemplada'!$B$23),INDEX('Carta Contemplada'!$I$55:$I$1013,$A427),0)</x:f>
        <x:v>0</x:v>
      </x:c>
      <x:c r="CF427" s="141" t="n">
        <x:f>IF(AND('Carta Contemplada'!$B$22="Sim",$A427&gt;='Carta Contemplada'!$B$44),$F427,0)</x:f>
        <x:v>1552218.7462723865</x:v>
      </x:c>
      <x:c r="CG427" s="141" t="n">
        <x:f>CD427+CF427-CE427</x:f>
        <x:v>41729539.06727741</x:v>
      </x:c>
      <x:c r="CH427" s="141" t="n">
        <x:f>IF(CC427&gt;1,"Inviavel",CG427)</x:f>
        <x:v>41729539.06727741</x:v>
      </x:c>
      <x:c r="CI427" s="145" t="str">
        <x:f>IF(CC427&gt;1,"Inviavel","OK")</x:f>
        <x:v>OK</x:v>
      </x:c>
    </x:row>
    <x:row r="428">
      <x:c r="A428" s="142" t="n">
        <x:v>424</x:v>
      </x:c>
      <x:c r="B428" s="179" t="n">
        <x:f>EDATE(Premissas!$B$4,A428-1)</x:f>
        <x:v>59415</x:v>
      </x:c>
      <x:c r="C428" s="141" t="n">
        <x:f>IF(A428&lt;=Premissas!$B$39,Premissas!$B$42,0)</x:f>
        <x:v>0</x:v>
      </x:c>
      <x:c r="D428" s="141" t="n">
        <x:f>Premissas!$B$54*(1+Premissas!$B$57)^INT((A428-1)/12)</x:f>
        <x:v>5380.260754618645</x:v>
      </x:c>
      <x:c r="E428" s="141" t="n">
        <x:f>Premissas!$B$64*(1+Premissas!$B$57)^INT((A428-1)/12)</x:f>
        <x:v>4919.095547079904</x:v>
      </x:c>
      <x:c r="F428" s="141" t="n">
        <x:f>MAX(0,Premissas!$B$6*(1+Premissas!$B$66)^((A428-1)/12))</x:f>
        <x:v>1559774.2495083408</x:v>
      </x:c>
      <x:c r="G428" s="141" t="n">
        <x:f>G427*(1+Premissas!$B$41)+C428</x:f>
        <x:v>44572909.092154294</x:v>
      </x:c>
      <x:c r="H428" s="141" t="n">
        <x:f>IF($A428=Premissas!$B$48,Premissas!$B$8,0)</x:f>
        <x:v>0</x:v>
      </x:c>
      <x:c r="I428" s="141" t="n">
        <x:f>IF(AND($A428&gt;=Premissas!$B$48,$A428-Premissas!$B$48+1&lt;=Premissas!$B$13),INDEX(Financiamento!$J$6:$J$485,$A428-Premissas!$B$48+1),0)</x:f>
        <x:v>0</x:v>
      </x:c>
      <x:c r="J428" s="141" t="n">
        <x:f>IF(AND(TRUE,Premissas!$B$11="Imovel",Premissas!$B$47="Moradia",$A428&lt;MAX(Premissas!$B$48,Premissas!$B$49)),$D428,0)</x:f>
        <x:v>0</x:v>
      </x:c>
      <x:c r="K428" s="141" t="n">
        <x:f>IF(AND(TRUE,Premissas!$B$11="Imovel",Premissas!$B$47="Investimento",$A428&gt;=MAX(Premissas!$B$48,Premissas!$B$49)),$E428,0)</x:f>
        <x:v>4919.095547079904</x:v>
      </x:c>
      <x:c r="L428" s="141" t="n">
        <x:f>H428+I428+J428</x:f>
        <x:v>0</x:v>
      </x:c>
      <x:c r="M428" s="141" t="n">
        <x:f>K428</x:f>
        <x:v>4919.095547079904</x:v>
      </x:c>
      <x:c r="N428" s="141" t="n">
        <x:f>$C428+M428-L428</x:f>
        <x:v>4919.095547079904</x:v>
      </x:c>
      <x:c r="O428" s="141" t="n">
        <x:f>R427*(1+Premissas!$B$41)+N428</x:f>
        <x:v>39116559.04606275</x:v>
      </x:c>
      <x:c r="P428" s="141" t="n">
        <x:f>MAX(0,-O428)</x:f>
        <x:v>0</x:v>
      </x:c>
      <x:c r="Q428" s="141" t="n">
        <x:f>Q427*(1+Premissas!$B$41)+P428</x:f>
        <x:v>0</x:v>
      </x:c>
      <x:c r="R428" s="141" t="n">
        <x:f>MAX(0,O428)</x:f>
        <x:v>39116559.04606275</x:v>
      </x:c>
      <x:c r="S428" s="141" t="n">
        <x:f>IF(AND($A428&gt;=Premissas!$B$48,$A428-Premissas!$B$48+1&lt;=Premissas!$B$13),INDEX(Financiamento!$M$6:$M$485,$A428-Premissas!$B$48+1),0)</x:f>
        <x:v>0</x:v>
      </x:c>
      <x:c r="T428" s="141" t="n">
        <x:f>IF($A428&gt;=Premissas!$B$48,$F428,0)</x:f>
        <x:v>1559774.2495083408</x:v>
      </x:c>
      <x:c r="U428" s="141" t="n">
        <x:f>R428+T428-S428</x:f>
        <x:v>40676333.295571096</x:v>
      </x:c>
      <x:c r="V428" s="141" t="n">
        <x:f>IF(Q428&gt;1,"Inviavel",U428)</x:f>
        <x:v>40676333.295571096</x:v>
      </x:c>
      <x:c r="W428" s="141" t="str">
        <x:f>IF(Q428&gt;1,"Inviavel","OK")</x:f>
        <x:v>OK</x:v>
      </x:c>
      <x:c r="X428" s="141" t="n">
        <x:f>IF($A428=Premissas!$B$48,Premissas!$B$8,0)</x:f>
        <x:v>0</x:v>
      </x:c>
      <x:c r="Y428" s="141" t="n">
        <x:f>IF(AND($A428&gt;=Premissas!$B$48,$A428-Premissas!$B$48+1&lt;=Premissas!$B$13),INDEX(Amortizacao!$K$6:$K$485,$A428-Premissas!$B$48+1),0)</x:f>
        <x:v>0</x:v>
      </x:c>
      <x:c r="Z428" s="141" t="n">
        <x:f>IF(AND(TRUE,Premissas!$B$11="Imovel",Premissas!$B$47="Moradia",$A428&lt;MAX(Premissas!$B$48,Premissas!$B$49)),$D428,0)</x:f>
        <x:v>0</x:v>
      </x:c>
      <x:c r="AA428" s="141" t="n">
        <x:f>IF(AND(TRUE,Premissas!$B$11="Imovel",Premissas!$B$47="Investimento",$A428&gt;=MAX(Premissas!$B$48,Premissas!$B$49)),$E428,0)</x:f>
        <x:v>4919.095547079904</x:v>
      </x:c>
      <x:c r="AB428" s="141" t="n">
        <x:f>X428+Y428+Z428</x:f>
        <x:v>0</x:v>
      </x:c>
      <x:c r="AC428" s="141" t="n">
        <x:f>AA428</x:f>
        <x:v>4919.095547079904</x:v>
      </x:c>
      <x:c r="AD428" s="141" t="n">
        <x:f>$C428+AC428-AB428</x:f>
        <x:v>4919.095547079904</x:v>
      </x:c>
      <x:c r="AE428" s="141" t="n">
        <x:f>AH427*(1+Premissas!$B$41)+AD428</x:f>
        <x:v>39771844.17204659</x:v>
      </x:c>
      <x:c r="AF428" s="141" t="n">
        <x:f>MAX(0,-AE428)</x:f>
        <x:v>0</x:v>
      </x:c>
      <x:c r="AG428" s="141" t="n">
        <x:f>AG427*(1+Premissas!$B$41)+AF428</x:f>
        <x:v>0</x:v>
      </x:c>
      <x:c r="AH428" s="141" t="n">
        <x:f>MAX(0,AE428)</x:f>
        <x:v>39771844.17204659</x:v>
      </x:c>
      <x:c r="AI428" s="141" t="n">
        <x:f>IF(AND($A428&gt;=Premissas!$B$48,$A428-Premissas!$B$48+1&lt;=Premissas!$B$13),INDEX(Amortizacao!$L$6:$L$485,$A428-Premissas!$B$48+1),0)</x:f>
        <x:v>0</x:v>
      </x:c>
      <x:c r="AJ428" s="141" t="n">
        <x:f>IF($A428&gt;=Premissas!$B$48,$F428,0)</x:f>
        <x:v>1559774.2495083408</x:v>
      </x:c>
      <x:c r="AK428" s="141" t="n">
        <x:f>AH428+AJ428-AI428</x:f>
        <x:v>41331618.42155493</x:v>
      </x:c>
      <x:c r="AL428" s="141" t="n">
        <x:f>IF(AG428&gt;1,"Inviavel",AK428)</x:f>
        <x:v>41331618.42155493</x:v>
      </x:c>
      <x:c r="AM428" s="141" t="str">
        <x:f>IF(AG428&gt;1,"Inviavel","OK")</x:f>
        <x:v>OK</x:v>
      </x:c>
      <x:c r="AN428" s="141" t="n">
        <x:f>IF($A428=Premissas!$B$48,Premissas!$B$8,0)</x:f>
        <x:v>0</x:v>
      </x:c>
      <x:c r="AO428" s="141" t="n">
        <x:f>IF($A428&lt;=Premissas!$B$25,INDEX('Consorcio IQ'!$K$6:$K$485,$A428),0)</x:f>
        <x:v>0</x:v>
      </x:c>
      <x:c r="AP428" s="141" t="n">
        <x:f>IF(AND(TRUE,Premissas!$B$11="Imovel",Premissas!$B$47="Moradia",$A428&lt;MAX(Premissas!$B$48,Premissas!$B$49)),$D428,0)</x:f>
        <x:v>0</x:v>
      </x:c>
      <x:c r="AQ428" s="141" t="n">
        <x:f>IF(AND(TRUE,Premissas!$B$11="Imovel",Premissas!$B$47="Investimento",$A428&gt;=MAX(Premissas!$B$48,Premissas!$B$49)),$E428,0)</x:f>
        <x:v>4919.095547079904</x:v>
      </x:c>
      <x:c r="AR428" s="141" t="n">
        <x:f>AN428+AO428+AP428</x:f>
        <x:v>0</x:v>
      </x:c>
      <x:c r="AS428" s="141" t="n">
        <x:f>AQ428</x:f>
        <x:v>4919.095547079904</x:v>
      </x:c>
      <x:c r="AT428" s="141" t="n">
        <x:f>$C428+AS428-AR428</x:f>
        <x:v>4919.095547079904</x:v>
      </x:c>
      <x:c r="AU428" s="141" t="n">
        <x:f>AX427*(1+Premissas!$B$41)+AT428</x:f>
        <x:v>39457931.20122569</x:v>
      </x:c>
      <x:c r="AV428" s="141" t="n">
        <x:f>MAX(0,-AU428)</x:f>
        <x:v>0</x:v>
      </x:c>
      <x:c r="AW428" s="141" t="n">
        <x:f>AW427*(1+Premissas!$B$41)+AV428</x:f>
        <x:v>0</x:v>
      </x:c>
      <x:c r="AX428" s="141" t="n">
        <x:f>MAX(0,AU428)</x:f>
        <x:v>39457931.20122569</x:v>
      </x:c>
      <x:c r="AY428" s="141" t="n">
        <x:f>INDEX('Consorcio IQ'!$P$6:$P$485,$A428)</x:f>
        <x:v>0</x:v>
      </x:c>
      <x:c r="AZ428" s="141" t="n">
        <x:f>IF($A428&gt;=Premissas!$B$48,$F428,0)+IF($A428&lt;Premissas!$B$27,INDEX('Consorcio IQ'!$O$6:$O$485,$A428),0)</x:f>
        <x:v>1559774.2495083408</x:v>
      </x:c>
      <x:c r="BA428" s="141" t="n">
        <x:f>AX428+AZ428-AY428</x:f>
        <x:v>41017705.450734034</x:v>
      </x:c>
      <x:c r="BB428" s="141" t="n">
        <x:f>IF(AW428&gt;1,"Inviavel",BA428)</x:f>
        <x:v>41017705.450734034</x:v>
      </x:c>
      <x:c r="BC428" s="141" t="str">
        <x:f>IF(AW428&gt;1,"Inviavel","OK")</x:f>
        <x:v>OK</x:v>
      </x:c>
      <x:c r="BD428" s="141" t="n">
        <x:f>IF($A428='Consorcio Direto'!$B$29,'Consorcio Direto'!$B$44,0)</x:f>
        <x:v>0</x:v>
      </x:c>
      <x:c r="BE428" s="141" t="n">
        <x:f>IF($A428&lt;='Consorcio Direto'!$B$27,INDEX('Consorcio Direto'!$E$55:$E$534,$A428),0)</x:f>
        <x:v>0</x:v>
      </x:c>
      <x:c r="BF428" s="141" t="n">
        <x:f>IF(AND(TRUE,Premissas!$B$11="Imovel",Premissas!$B$47="Moradia",$A428&lt;MAX('Consorcio Direto'!$B$29,Premissas!$B$49)),$D428,0)</x:f>
        <x:v>0</x:v>
      </x:c>
      <x:c r="BG428" s="141" t="n">
        <x:f>IF(AND(TRUE,Premissas!$B$11="Imovel",Premissas!$B$47="Investimento",$A428&gt;=MAX('Consorcio Direto'!$B$29,Premissas!$B$49)),$E428,0)</x:f>
        <x:v>4919.095547079904</x:v>
      </x:c>
      <x:c r="BH428" s="141" t="n">
        <x:f>BD428+BE428+BF428</x:f>
        <x:v>0</x:v>
      </x:c>
      <x:c r="BI428" s="141" t="n">
        <x:f>BG428</x:f>
        <x:v>4919.095547079904</x:v>
      </x:c>
      <x:c r="BJ428" s="141" t="n">
        <x:f>$C428+BI428-BH428</x:f>
        <x:v>4919.095547079904</x:v>
      </x:c>
      <x:c r="BK428" s="141" t="n">
        <x:f>BN427*(1+Premissas!$B$41)+BJ428</x:f>
        <x:v>37761423.27869129</x:v>
      </x:c>
      <x:c r="BL428" s="141" t="n">
        <x:f>MAX(0,-BK428)</x:f>
        <x:v>0</x:v>
      </x:c>
      <x:c r="BM428" s="141" t="n">
        <x:f>BM427*(1+Premissas!$B$41)+BL428</x:f>
        <x:v>0</x:v>
      </x:c>
      <x:c r="BN428" s="141" t="n">
        <x:f>MAX(0,BK428)</x:f>
        <x:v>37761423.27869129</x:v>
      </x:c>
      <x:c r="BO428" s="141" t="n">
        <x:f>INDEX('Consorcio Direto'!$K$55:$K$534,$A428)</x:f>
        <x:v>0</x:v>
      </x:c>
      <x:c r="BP428" s="141" t="n">
        <x:f>IF($A428&lt;'Consorcio Direto'!$B$29,INDEX('Consorcio Direto'!$L$55:$L$534,$A428),$F428)</x:f>
        <x:v>1559774.2495083408</x:v>
      </x:c>
      <x:c r="BQ428" s="141" t="n">
        <x:f>BN428+BP428-BO428</x:f>
        <x:v>39321197.528199635</x:v>
      </x:c>
      <x:c r="BR428" s="141" t="n">
        <x:f>IF(BM428&gt;1,"Inviavel",BQ428)</x:f>
        <x:v>39321197.528199635</x:v>
      </x:c>
      <x:c r="BS428" s="141" t="str">
        <x:f>IF(BM428&gt;1,"Inviavel","OK")</x:f>
        <x:v>OK</x:v>
      </x:c>
      <x:c r="BT428" s="141" t="n">
        <x:f>IF(AND('Carta Contemplada'!$B$22="Sim",$A428='Carta Contemplada'!$B$23),'Carta Contemplada'!$B$37,0)</x:f>
        <x:v>0</x:v>
      </x:c>
      <x:c r="BU428" s="141" t="n">
        <x:f>IF('Carta Contemplada'!$B$22="Sim",INDEX('Carta Contemplada'!$C$55:$C$1013,$A428),0)</x:f>
        <x:v>0</x:v>
      </x:c>
      <x:c r="BV428" s="141" t="n">
        <x:f>IF(AND('Carta Contemplada'!$B$22="Sim",Premissas!$B$11="Imovel",Premissas!$B$47="Moradia",$A428&lt;MAX('Carta Contemplada'!$B$44,Premissas!$B$49)),$D428,0)</x:f>
        <x:v>0</x:v>
      </x:c>
      <x:c r="BW428" s="141" t="n">
        <x:f>IF(AND('Carta Contemplada'!$B$22="Sim",Premissas!$B$11="Imovel",Premissas!$B$47="Investimento",$A428&gt;=MAX('Carta Contemplada'!$B$44,Premissas!$B$49)),$E428,0)</x:f>
        <x:v>4919.095547079904</x:v>
      </x:c>
      <x:c r="BX428" s="141" t="n">
        <x:f>BT428+BU428+BV428</x:f>
        <x:v>0</x:v>
      </x:c>
      <x:c r="BY428" s="141" t="n">
        <x:f>BW428</x:f>
        <x:v>4919.095547079904</x:v>
      </x:c>
      <x:c r="BZ428" s="141" t="n">
        <x:f>$C428+BY428-BX428</x:f>
        <x:v>4919.095547079904</x:v>
      </x:c>
      <x:c r="CA428" s="141" t="n">
        <x:f>CD427*(1+Premissas!$B$41)+BZ428</x:f>
        <x:v>40563473.68974454</x:v>
      </x:c>
      <x:c r="CB428" s="141" t="n">
        <x:f>MAX(0,-CA428)</x:f>
        <x:v>0</x:v>
      </x:c>
      <x:c r="CC428" s="141" t="n">
        <x:f>CC427*(1+Premissas!$B$41)+CB428</x:f>
        <x:v>0</x:v>
      </x:c>
      <x:c r="CD428" s="141" t="n">
        <x:f>MAX(0,CA428)</x:f>
        <x:v>40563473.68974454</x:v>
      </x:c>
      <x:c r="CE428" s="141" t="n">
        <x:f>IF(AND('Carta Contemplada'!$B$22="Sim",$A428&gt;='Carta Contemplada'!$B$23),INDEX('Carta Contemplada'!$I$55:$I$1013,$A428),0)</x:f>
        <x:v>0</x:v>
      </x:c>
      <x:c r="CF428" s="141" t="n">
        <x:f>IF(AND('Carta Contemplada'!$B$22="Sim",$A428&gt;='Carta Contemplada'!$B$44),$F428,0)</x:f>
        <x:v>1559774.2495083408</x:v>
      </x:c>
      <x:c r="CG428" s="141" t="n">
        <x:f>CD428+CF428-CE428</x:f>
        <x:v>42123247.93925288</x:v>
      </x:c>
      <x:c r="CH428" s="141" t="n">
        <x:f>IF(CC428&gt;1,"Inviavel",CG428)</x:f>
        <x:v>42123247.93925288</x:v>
      </x:c>
      <x:c r="CI428" s="145" t="str">
        <x:f>IF(CC428&gt;1,"Inviavel","OK")</x:f>
        <x:v>OK</x:v>
      </x:c>
    </x:row>
    <x:row r="429">
      <x:c r="A429" s="142" t="n">
        <x:v>425</x:v>
      </x:c>
      <x:c r="B429" s="179" t="n">
        <x:f>EDATE(Premissas!$B$4,A429-1)</x:f>
        <x:v>59445</x:v>
      </x:c>
      <x:c r="C429" s="141" t="n">
        <x:f>IF(A429&lt;=Premissas!$B$39,Premissas!$B$42,0)</x:f>
        <x:v>0</x:v>
      </x:c>
      <x:c r="D429" s="141" t="n">
        <x:f>Premissas!$B$54*(1+Premissas!$B$57)^INT((A429-1)/12)</x:f>
        <x:v>5380.260754618645</x:v>
      </x:c>
      <x:c r="E429" s="141" t="n">
        <x:f>Premissas!$B$64*(1+Premissas!$B$57)^INT((A429-1)/12)</x:f>
        <x:v>4919.095547079904</x:v>
      </x:c>
      <x:c r="F429" s="141" t="n">
        <x:f>MAX(0,Premissas!$B$6*(1+Premissas!$B$66)^((A429-1)/12))</x:f>
        <x:v>1567366.529538343</x:v>
      </x:c>
      <x:c r="G429" s="141" t="n">
        <x:f>G428*(1+Premissas!$B$41)+C429</x:f>
        <x:v>44995852.19702174</x:v>
      </x:c>
      <x:c r="H429" s="141" t="n">
        <x:f>IF($A429=Premissas!$B$48,Premissas!$B$8,0)</x:f>
        <x:v>0</x:v>
      </x:c>
      <x:c r="I429" s="141" t="n">
        <x:f>IF(AND($A429&gt;=Premissas!$B$48,$A429-Premissas!$B$48+1&lt;=Premissas!$B$13),INDEX(Financiamento!$J$6:$J$485,$A429-Premissas!$B$48+1),0)</x:f>
        <x:v>0</x:v>
      </x:c>
      <x:c r="J429" s="141" t="n">
        <x:f>IF(AND(TRUE,Premissas!$B$11="Imovel",Premissas!$B$47="Moradia",$A429&lt;MAX(Premissas!$B$48,Premissas!$B$49)),$D429,0)</x:f>
        <x:v>0</x:v>
      </x:c>
      <x:c r="K429" s="141" t="n">
        <x:f>IF(AND(TRUE,Premissas!$B$11="Imovel",Premissas!$B$47="Investimento",$A429&gt;=MAX(Premissas!$B$48,Premissas!$B$49)),$E429,0)</x:f>
        <x:v>4919.095547079904</x:v>
      </x:c>
      <x:c r="L429" s="141" t="n">
        <x:f>H429+I429+J429</x:f>
        <x:v>0</x:v>
      </x:c>
      <x:c r="M429" s="141" t="n">
        <x:f>K429</x:f>
        <x:v>4919.095547079904</x:v>
      </x:c>
      <x:c r="N429" s="141" t="n">
        <x:f>$C429+M429-L429</x:f>
        <x:v>4919.095547079904</x:v>
      </x:c>
      <x:c r="O429" s="141" t="n">
        <x:f>R428*(1+Premissas!$B$41)+N429</x:f>
        <x:v>39492647.070711315</x:v>
      </x:c>
      <x:c r="P429" s="141" t="n">
        <x:f>MAX(0,-O429)</x:f>
        <x:v>0</x:v>
      </x:c>
      <x:c r="Q429" s="141" t="n">
        <x:f>Q428*(1+Premissas!$B$41)+P429</x:f>
        <x:v>0</x:v>
      </x:c>
      <x:c r="R429" s="141" t="n">
        <x:f>MAX(0,O429)</x:f>
        <x:v>39492647.070711315</x:v>
      </x:c>
      <x:c r="S429" s="141" t="n">
        <x:f>IF(AND($A429&gt;=Premissas!$B$48,$A429-Premissas!$B$48+1&lt;=Premissas!$B$13),INDEX(Financiamento!$M$6:$M$485,$A429-Premissas!$B$48+1),0)</x:f>
        <x:v>0</x:v>
      </x:c>
      <x:c r="T429" s="141" t="n">
        <x:f>IF($A429&gt;=Premissas!$B$48,$F429,0)</x:f>
        <x:v>1567366.529538343</x:v>
      </x:c>
      <x:c r="U429" s="141" t="n">
        <x:f>R429+T429-S429</x:f>
        <x:v>41060013.600249656</x:v>
      </x:c>
      <x:c r="V429" s="141" t="n">
        <x:f>IF(Q429&gt;1,"Inviavel",U429)</x:f>
        <x:v>41060013.600249656</x:v>
      </x:c>
      <x:c r="W429" s="141" t="str">
        <x:f>IF(Q429&gt;1,"Inviavel","OK")</x:f>
        <x:v>OK</x:v>
      </x:c>
      <x:c r="X429" s="141" t="n">
        <x:f>IF($A429=Premissas!$B$48,Premissas!$B$8,0)</x:f>
        <x:v>0</x:v>
      </x:c>
      <x:c r="Y429" s="141" t="n">
        <x:f>IF(AND($A429&gt;=Premissas!$B$48,$A429-Premissas!$B$48+1&lt;=Premissas!$B$13),INDEX(Amortizacao!$K$6:$K$485,$A429-Premissas!$B$48+1),0)</x:f>
        <x:v>0</x:v>
      </x:c>
      <x:c r="Z429" s="141" t="n">
        <x:f>IF(AND(TRUE,Premissas!$B$11="Imovel",Premissas!$B$47="Moradia",$A429&lt;MAX(Premissas!$B$48,Premissas!$B$49)),$D429,0)</x:f>
        <x:v>0</x:v>
      </x:c>
      <x:c r="AA429" s="141" t="n">
        <x:f>IF(AND(TRUE,Premissas!$B$11="Imovel",Premissas!$B$47="Investimento",$A429&gt;=MAX(Premissas!$B$48,Premissas!$B$49)),$E429,0)</x:f>
        <x:v>4919.095547079904</x:v>
      </x:c>
      <x:c r="AB429" s="141" t="n">
        <x:f>X429+Y429+Z429</x:f>
        <x:v>0</x:v>
      </x:c>
      <x:c r="AC429" s="141" t="n">
        <x:f>AA429</x:f>
        <x:v>4919.095547079904</x:v>
      </x:c>
      <x:c r="AD429" s="141" t="n">
        <x:f>$C429+AC429-AB429</x:f>
        <x:v>4919.095547079904</x:v>
      </x:c>
      <x:c r="AE429" s="141" t="n">
        <x:f>AH428*(1+Premissas!$B$41)+AD429</x:f>
        <x:v>40154150.06156872</x:v>
      </x:c>
      <x:c r="AF429" s="141" t="n">
        <x:f>MAX(0,-AE429)</x:f>
        <x:v>0</x:v>
      </x:c>
      <x:c r="AG429" s="141" t="n">
        <x:f>AG428*(1+Premissas!$B$41)+AF429</x:f>
        <x:v>0</x:v>
      </x:c>
      <x:c r="AH429" s="141" t="n">
        <x:f>MAX(0,AE429)</x:f>
        <x:v>40154150.06156872</x:v>
      </x:c>
      <x:c r="AI429" s="141" t="n">
        <x:f>IF(AND($A429&gt;=Premissas!$B$48,$A429-Premissas!$B$48+1&lt;=Premissas!$B$13),INDEX(Amortizacao!$L$6:$L$485,$A429-Premissas!$B$48+1),0)</x:f>
        <x:v>0</x:v>
      </x:c>
      <x:c r="AJ429" s="141" t="n">
        <x:f>IF($A429&gt;=Premissas!$B$48,$F429,0)</x:f>
        <x:v>1567366.529538343</x:v>
      </x:c>
      <x:c r="AK429" s="141" t="n">
        <x:f>AH429+AJ429-AI429</x:f>
        <x:v>41721516.59110706</x:v>
      </x:c>
      <x:c r="AL429" s="141" t="n">
        <x:f>IF(AG429&gt;1,"Inviavel",AK429)</x:f>
        <x:v>41721516.59110706</x:v>
      </x:c>
      <x:c r="AM429" s="141" t="str">
        <x:f>IF(AG429&gt;1,"Inviavel","OK")</x:f>
        <x:v>OK</x:v>
      </x:c>
      <x:c r="AN429" s="141" t="n">
        <x:f>IF($A429=Premissas!$B$48,Premissas!$B$8,0)</x:f>
        <x:v>0</x:v>
      </x:c>
      <x:c r="AO429" s="141" t="n">
        <x:f>IF($A429&lt;=Premissas!$B$25,INDEX('Consorcio IQ'!$K$6:$K$485,$A429),0)</x:f>
        <x:v>0</x:v>
      </x:c>
      <x:c r="AP429" s="141" t="n">
        <x:f>IF(AND(TRUE,Premissas!$B$11="Imovel",Premissas!$B$47="Moradia",$A429&lt;MAX(Premissas!$B$48,Premissas!$B$49)),$D429,0)</x:f>
        <x:v>0</x:v>
      </x:c>
      <x:c r="AQ429" s="141" t="n">
        <x:f>IF(AND(TRUE,Premissas!$B$11="Imovel",Premissas!$B$47="Investimento",$A429&gt;=MAX(Premissas!$B$48,Premissas!$B$49)),$E429,0)</x:f>
        <x:v>4919.095547079904</x:v>
      </x:c>
      <x:c r="AR429" s="141" t="n">
        <x:f>AN429+AO429+AP429</x:f>
        <x:v>0</x:v>
      </x:c>
      <x:c r="AS429" s="141" t="n">
        <x:f>AQ429</x:f>
        <x:v>4919.095547079904</x:v>
      </x:c>
      <x:c r="AT429" s="141" t="n">
        <x:f>$C429+AS429-AR429</x:f>
        <x:v>4919.095547079904</x:v>
      </x:c>
      <x:c r="AU429" s="141" t="n">
        <x:f>AX428*(1+Premissas!$B$41)+AT429</x:f>
        <x:v>39837258.43556823</x:v>
      </x:c>
      <x:c r="AV429" s="141" t="n">
        <x:f>MAX(0,-AU429)</x:f>
        <x:v>0</x:v>
      </x:c>
      <x:c r="AW429" s="141" t="n">
        <x:f>AW428*(1+Premissas!$B$41)+AV429</x:f>
        <x:v>0</x:v>
      </x:c>
      <x:c r="AX429" s="141" t="n">
        <x:f>MAX(0,AU429)</x:f>
        <x:v>39837258.43556823</x:v>
      </x:c>
      <x:c r="AY429" s="141" t="n">
        <x:f>INDEX('Consorcio IQ'!$P$6:$P$485,$A429)</x:f>
        <x:v>0</x:v>
      </x:c>
      <x:c r="AZ429" s="141" t="n">
        <x:f>IF($A429&gt;=Premissas!$B$48,$F429,0)+IF($A429&lt;Premissas!$B$27,INDEX('Consorcio IQ'!$O$6:$O$485,$A429),0)</x:f>
        <x:v>1567366.529538343</x:v>
      </x:c>
      <x:c r="BA429" s="141" t="n">
        <x:f>AX429+AZ429-AY429</x:f>
        <x:v>41404624.96510657</x:v>
      </x:c>
      <x:c r="BB429" s="141" t="n">
        <x:f>IF(AW429&gt;1,"Inviavel",BA429)</x:f>
        <x:v>41404624.96510657</x:v>
      </x:c>
      <x:c r="BC429" s="141" t="str">
        <x:f>IF(AW429&gt;1,"Inviavel","OK")</x:f>
        <x:v>OK</x:v>
      </x:c>
      <x:c r="BD429" s="141" t="n">
        <x:f>IF($A429='Consorcio Direto'!$B$29,'Consorcio Direto'!$B$44,0)</x:f>
        <x:v>0</x:v>
      </x:c>
      <x:c r="BE429" s="141" t="n">
        <x:f>IF($A429&lt;='Consorcio Direto'!$B$27,INDEX('Consorcio Direto'!$E$55:$E$534,$A429),0)</x:f>
        <x:v>0</x:v>
      </x:c>
      <x:c r="BF429" s="141" t="n">
        <x:f>IF(AND(TRUE,Premissas!$B$11="Imovel",Premissas!$B$47="Moradia",$A429&lt;MAX('Consorcio Direto'!$B$29,Premissas!$B$49)),$D429,0)</x:f>
        <x:v>0</x:v>
      </x:c>
      <x:c r="BG429" s="141" t="n">
        <x:f>IF(AND(TRUE,Premissas!$B$11="Imovel",Premissas!$B$47="Investimento",$A429&gt;=MAX('Consorcio Direto'!$B$29,Premissas!$B$49)),$E429,0)</x:f>
        <x:v>4919.095547079904</x:v>
      </x:c>
      <x:c r="BH429" s="141" t="n">
        <x:f>BD429+BE429+BF429</x:f>
        <x:v>0</x:v>
      </x:c>
      <x:c r="BI429" s="141" t="n">
        <x:f>BG429</x:f>
        <x:v>4919.095547079904</x:v>
      </x:c>
      <x:c r="BJ429" s="141" t="n">
        <x:f>$C429+BI429-BH429</x:f>
        <x:v>4919.095547079904</x:v>
      </x:c>
      <x:c r="BK429" s="141" t="n">
        <x:f>BN428*(1+Premissas!$B$41)+BJ429</x:f>
        <x:v>38124652.700645015</x:v>
      </x:c>
      <x:c r="BL429" s="141" t="n">
        <x:f>MAX(0,-BK429)</x:f>
        <x:v>0</x:v>
      </x:c>
      <x:c r="BM429" s="141" t="n">
        <x:f>BM428*(1+Premissas!$B$41)+BL429</x:f>
        <x:v>0</x:v>
      </x:c>
      <x:c r="BN429" s="141" t="n">
        <x:f>MAX(0,BK429)</x:f>
        <x:v>38124652.700645015</x:v>
      </x:c>
      <x:c r="BO429" s="141" t="n">
        <x:f>INDEX('Consorcio Direto'!$K$55:$K$534,$A429)</x:f>
        <x:v>0</x:v>
      </x:c>
      <x:c r="BP429" s="141" t="n">
        <x:f>IF($A429&lt;'Consorcio Direto'!$B$29,INDEX('Consorcio Direto'!$L$55:$L$534,$A429),$F429)</x:f>
        <x:v>1567366.529538343</x:v>
      </x:c>
      <x:c r="BQ429" s="141" t="n">
        <x:f>BN429+BP429-BO429</x:f>
        <x:v>39692019.230183356</x:v>
      </x:c>
      <x:c r="BR429" s="141" t="n">
        <x:f>IF(BM429&gt;1,"Inviavel",BQ429)</x:f>
        <x:v>39692019.230183356</x:v>
      </x:c>
      <x:c r="BS429" s="141" t="str">
        <x:f>IF(BM429&gt;1,"Inviavel","OK")</x:f>
        <x:v>OK</x:v>
      </x:c>
      <x:c r="BT429" s="141" t="n">
        <x:f>IF(AND('Carta Contemplada'!$B$22="Sim",$A429='Carta Contemplada'!$B$23),'Carta Contemplada'!$B$37,0)</x:f>
        <x:v>0</x:v>
      </x:c>
      <x:c r="BU429" s="141" t="n">
        <x:f>IF('Carta Contemplada'!$B$22="Sim",INDEX('Carta Contemplada'!$C$55:$C$1013,$A429),0)</x:f>
        <x:v>0</x:v>
      </x:c>
      <x:c r="BV429" s="141" t="n">
        <x:f>IF(AND('Carta Contemplada'!$B$22="Sim",Premissas!$B$11="Imovel",Premissas!$B$47="Moradia",$A429&lt;MAX('Carta Contemplada'!$B$44,Premissas!$B$49)),$D429,0)</x:f>
        <x:v>0</x:v>
      </x:c>
      <x:c r="BW429" s="141" t="n">
        <x:f>IF(AND('Carta Contemplada'!$B$22="Sim",Premissas!$B$11="Imovel",Premissas!$B$47="Investimento",$A429&gt;=MAX('Carta Contemplada'!$B$44,Premissas!$B$49)),$E429,0)</x:f>
        <x:v>4919.095547079904</x:v>
      </x:c>
      <x:c r="BX429" s="141" t="n">
        <x:f>BT429+BU429+BV429</x:f>
        <x:v>0</x:v>
      </x:c>
      <x:c r="BY429" s="141" t="n">
        <x:f>BW429</x:f>
        <x:v>4919.095547079904</x:v>
      </x:c>
      <x:c r="BZ429" s="141" t="n">
        <x:f>$C429+BY429-BX429</x:f>
        <x:v>4919.095547079904</x:v>
      </x:c>
      <x:c r="CA429" s="141" t="n">
        <x:f>CD428*(1+Premissas!$B$41)+BZ429</x:f>
        <x:v>40953291.18784101</x:v>
      </x:c>
      <x:c r="CB429" s="141" t="n">
        <x:f>MAX(0,-CA429)</x:f>
        <x:v>0</x:v>
      </x:c>
      <x:c r="CC429" s="141" t="n">
        <x:f>CC428*(1+Premissas!$B$41)+CB429</x:f>
        <x:v>0</x:v>
      </x:c>
      <x:c r="CD429" s="141" t="n">
        <x:f>MAX(0,CA429)</x:f>
        <x:v>40953291.18784101</x:v>
      </x:c>
      <x:c r="CE429" s="141" t="n">
        <x:f>IF(AND('Carta Contemplada'!$B$22="Sim",$A429&gt;='Carta Contemplada'!$B$23),INDEX('Carta Contemplada'!$I$55:$I$1013,$A429),0)</x:f>
        <x:v>0</x:v>
      </x:c>
      <x:c r="CF429" s="141" t="n">
        <x:f>IF(AND('Carta Contemplada'!$B$22="Sim",$A429&gt;='Carta Contemplada'!$B$44),$F429,0)</x:f>
        <x:v>1567366.529538343</x:v>
      </x:c>
      <x:c r="CG429" s="141" t="n">
        <x:f>CD429+CF429-CE429</x:f>
        <x:v>42520657.717379354</x:v>
      </x:c>
      <x:c r="CH429" s="141" t="n">
        <x:f>IF(CC429&gt;1,"Inviavel",CG429)</x:f>
        <x:v>42520657.717379354</x:v>
      </x:c>
      <x:c r="CI429" s="145" t="str">
        <x:f>IF(CC429&gt;1,"Inviavel","OK")</x:f>
        <x:v>OK</x:v>
      </x:c>
    </x:row>
    <x:row r="430">
      <x:c r="A430" s="142" t="n">
        <x:v>426</x:v>
      </x:c>
      <x:c r="B430" s="179" t="n">
        <x:f>EDATE(Premissas!$B$4,A430-1)</x:f>
        <x:v>59476</x:v>
      </x:c>
      <x:c r="C430" s="141" t="n">
        <x:f>IF(A430&lt;=Premissas!$B$39,Premissas!$B$42,0)</x:f>
        <x:v>0</x:v>
      </x:c>
      <x:c r="D430" s="141" t="n">
        <x:f>Premissas!$B$54*(1+Premissas!$B$57)^INT((A430-1)/12)</x:f>
        <x:v>5380.260754618645</x:v>
      </x:c>
      <x:c r="E430" s="141" t="n">
        <x:f>Premissas!$B$64*(1+Premissas!$B$57)^INT((A430-1)/12)</x:f>
        <x:v>4919.095547079904</x:v>
      </x:c>
      <x:c r="F430" s="141" t="n">
        <x:f>MAX(0,Premissas!$B$6*(1+Premissas!$B$66)^((A430-1)/12))</x:f>
        <x:v>1574995.7653752966</x:v>
      </x:c>
      <x:c r="G430" s="141" t="n">
        <x:f>G429*(1+Premissas!$B$41)+C430</x:f>
        <x:v>45422808.52143438</x:v>
      </x:c>
      <x:c r="H430" s="141" t="n">
        <x:f>IF($A430=Premissas!$B$48,Premissas!$B$8,0)</x:f>
        <x:v>0</x:v>
      </x:c>
      <x:c r="I430" s="141" t="n">
        <x:f>IF(AND($A430&gt;=Premissas!$B$48,$A430-Premissas!$B$48+1&lt;=Premissas!$B$13),INDEX(Financiamento!$J$6:$J$485,$A430-Premissas!$B$48+1),0)</x:f>
        <x:v>0</x:v>
      </x:c>
      <x:c r="J430" s="141" t="n">
        <x:f>IF(AND(TRUE,Premissas!$B$11="Imovel",Premissas!$B$47="Moradia",$A430&lt;MAX(Premissas!$B$48,Premissas!$B$49)),$D430,0)</x:f>
        <x:v>0</x:v>
      </x:c>
      <x:c r="K430" s="141" t="n">
        <x:f>IF(AND(TRUE,Premissas!$B$11="Imovel",Premissas!$B$47="Investimento",$A430&gt;=MAX(Premissas!$B$48,Premissas!$B$49)),$E430,0)</x:f>
        <x:v>4919.095547079904</x:v>
      </x:c>
      <x:c r="L430" s="141" t="n">
        <x:f>H430+I430+J430</x:f>
        <x:v>0</x:v>
      </x:c>
      <x:c r="M430" s="141" t="n">
        <x:f>K430</x:f>
        <x:v>4919.095547079904</x:v>
      </x:c>
      <x:c r="N430" s="141" t="n">
        <x:f>$C430+M430-L430</x:f>
        <x:v>4919.095547079904</x:v>
      </x:c>
      <x:c r="O430" s="141" t="n">
        <x:f>R429*(1+Premissas!$B$41)+N430</x:f>
        <x:v>39872303.71675094</x:v>
      </x:c>
      <x:c r="P430" s="141" t="n">
        <x:f>MAX(0,-O430)</x:f>
        <x:v>0</x:v>
      </x:c>
      <x:c r="Q430" s="141" t="n">
        <x:f>Q429*(1+Premissas!$B$41)+P430</x:f>
        <x:v>0</x:v>
      </x:c>
      <x:c r="R430" s="141" t="n">
        <x:f>MAX(0,O430)</x:f>
        <x:v>39872303.71675094</x:v>
      </x:c>
      <x:c r="S430" s="141" t="n">
        <x:f>IF(AND($A430&gt;=Premissas!$B$48,$A430-Premissas!$B$48+1&lt;=Premissas!$B$13),INDEX(Financiamento!$M$6:$M$485,$A430-Premissas!$B$48+1),0)</x:f>
        <x:v>0</x:v>
      </x:c>
      <x:c r="T430" s="141" t="n">
        <x:f>IF($A430&gt;=Premissas!$B$48,$F430,0)</x:f>
        <x:v>1574995.7653752966</x:v>
      </x:c>
      <x:c r="U430" s="141" t="n">
        <x:f>R430+T430-S430</x:f>
        <x:v>41447299.482126236</x:v>
      </x:c>
      <x:c r="V430" s="141" t="n">
        <x:f>IF(Q430&gt;1,"Inviavel",U430)</x:f>
        <x:v>41447299.482126236</x:v>
      </x:c>
      <x:c r="W430" s="141" t="str">
        <x:f>IF(Q430&gt;1,"Inviavel","OK")</x:f>
        <x:v>OK</x:v>
      </x:c>
      <x:c r="X430" s="141" t="n">
        <x:f>IF($A430=Premissas!$B$48,Premissas!$B$8,0)</x:f>
        <x:v>0</x:v>
      </x:c>
      <x:c r="Y430" s="141" t="n">
        <x:f>IF(AND($A430&gt;=Premissas!$B$48,$A430-Premissas!$B$48+1&lt;=Premissas!$B$13),INDEX(Amortizacao!$K$6:$K$485,$A430-Premissas!$B$48+1),0)</x:f>
        <x:v>0</x:v>
      </x:c>
      <x:c r="Z430" s="141" t="n">
        <x:f>IF(AND(TRUE,Premissas!$B$11="Imovel",Premissas!$B$47="Moradia",$A430&lt;MAX(Premissas!$B$48,Premissas!$B$49)),$D430,0)</x:f>
        <x:v>0</x:v>
      </x:c>
      <x:c r="AA430" s="141" t="n">
        <x:f>IF(AND(TRUE,Premissas!$B$11="Imovel",Premissas!$B$47="Investimento",$A430&gt;=MAX(Premissas!$B$48,Premissas!$B$49)),$E430,0)</x:f>
        <x:v>4919.095547079904</x:v>
      </x:c>
      <x:c r="AB430" s="141" t="n">
        <x:f>X430+Y430+Z430</x:f>
        <x:v>0</x:v>
      </x:c>
      <x:c r="AC430" s="141" t="n">
        <x:f>AA430</x:f>
        <x:v>4919.095547079904</x:v>
      </x:c>
      <x:c r="AD430" s="141" t="n">
        <x:f>$C430+AC430-AB430</x:f>
        <x:v>4919.095547079904</x:v>
      </x:c>
      <x:c r="AE430" s="141" t="n">
        <x:f>AH429*(1+Premissas!$B$41)+AD430</x:f>
        <x:v>40540083.572514206</x:v>
      </x:c>
      <x:c r="AF430" s="141" t="n">
        <x:f>MAX(0,-AE430)</x:f>
        <x:v>0</x:v>
      </x:c>
      <x:c r="AG430" s="141" t="n">
        <x:f>AG429*(1+Premissas!$B$41)+AF430</x:f>
        <x:v>0</x:v>
      </x:c>
      <x:c r="AH430" s="141" t="n">
        <x:f>MAX(0,AE430)</x:f>
        <x:v>40540083.572514206</x:v>
      </x:c>
      <x:c r="AI430" s="141" t="n">
        <x:f>IF(AND($A430&gt;=Premissas!$B$48,$A430-Premissas!$B$48+1&lt;=Premissas!$B$13),INDEX(Amortizacao!$L$6:$L$485,$A430-Premissas!$B$48+1),0)</x:f>
        <x:v>0</x:v>
      </x:c>
      <x:c r="AJ430" s="141" t="n">
        <x:f>IF($A430&gt;=Premissas!$B$48,$F430,0)</x:f>
        <x:v>1574995.7653752966</x:v>
      </x:c>
      <x:c r="AK430" s="141" t="n">
        <x:f>AH430+AJ430-AI430</x:f>
        <x:v>42115079.3378895</x:v>
      </x:c>
      <x:c r="AL430" s="141" t="n">
        <x:f>IF(AG430&gt;1,"Inviavel",AK430)</x:f>
        <x:v>42115079.3378895</x:v>
      </x:c>
      <x:c r="AM430" s="141" t="str">
        <x:f>IF(AG430&gt;1,"Inviavel","OK")</x:f>
        <x:v>OK</x:v>
      </x:c>
      <x:c r="AN430" s="141" t="n">
        <x:f>IF($A430=Premissas!$B$48,Premissas!$B$8,0)</x:f>
        <x:v>0</x:v>
      </x:c>
      <x:c r="AO430" s="141" t="n">
        <x:f>IF($A430&lt;=Premissas!$B$25,INDEX('Consorcio IQ'!$K$6:$K$485,$A430),0)</x:f>
        <x:v>0</x:v>
      </x:c>
      <x:c r="AP430" s="141" t="n">
        <x:f>IF(AND(TRUE,Premissas!$B$11="Imovel",Premissas!$B$47="Moradia",$A430&lt;MAX(Premissas!$B$48,Premissas!$B$49)),$D430,0)</x:f>
        <x:v>0</x:v>
      </x:c>
      <x:c r="AQ430" s="141" t="n">
        <x:f>IF(AND(TRUE,Premissas!$B$11="Imovel",Premissas!$B$47="Investimento",$A430&gt;=MAX(Premissas!$B$48,Premissas!$B$49)),$E430,0)</x:f>
        <x:v>4919.095547079904</x:v>
      </x:c>
      <x:c r="AR430" s="141" t="n">
        <x:f>AN430+AO430+AP430</x:f>
        <x:v>0</x:v>
      </x:c>
      <x:c r="AS430" s="141" t="n">
        <x:f>AQ430</x:f>
        <x:v>4919.095547079904</x:v>
      </x:c>
      <x:c r="AT430" s="141" t="n">
        <x:f>$C430+AS430-AR430</x:f>
        <x:v>4919.095547079904</x:v>
      </x:c>
      <x:c r="AU430" s="141" t="n">
        <x:f>AX429*(1+Premissas!$B$41)+AT430</x:f>
        <x:v>40220185.02749189</x:v>
      </x:c>
      <x:c r="AV430" s="141" t="n">
        <x:f>MAX(0,-AU430)</x:f>
        <x:v>0</x:v>
      </x:c>
      <x:c r="AW430" s="141" t="n">
        <x:f>AW429*(1+Premissas!$B$41)+AV430</x:f>
        <x:v>0</x:v>
      </x:c>
      <x:c r="AX430" s="141" t="n">
        <x:f>MAX(0,AU430)</x:f>
        <x:v>40220185.02749189</x:v>
      </x:c>
      <x:c r="AY430" s="141" t="n">
        <x:f>INDEX('Consorcio IQ'!$P$6:$P$485,$A430)</x:f>
        <x:v>0</x:v>
      </x:c>
      <x:c r="AZ430" s="141" t="n">
        <x:f>IF($A430&gt;=Premissas!$B$48,$F430,0)+IF($A430&lt;Premissas!$B$27,INDEX('Consorcio IQ'!$O$6:$O$485,$A430),0)</x:f>
        <x:v>1574995.7653752966</x:v>
      </x:c>
      <x:c r="BA430" s="141" t="n">
        <x:f>AX430+AZ430-AY430</x:f>
        <x:v>41795180.79286718</x:v>
      </x:c>
      <x:c r="BB430" s="141" t="n">
        <x:f>IF(AW430&gt;1,"Inviavel",BA430)</x:f>
        <x:v>41795180.79286718</x:v>
      </x:c>
      <x:c r="BC430" s="141" t="str">
        <x:f>IF(AW430&gt;1,"Inviavel","OK")</x:f>
        <x:v>OK</x:v>
      </x:c>
      <x:c r="BD430" s="141" t="n">
        <x:f>IF($A430='Consorcio Direto'!$B$29,'Consorcio Direto'!$B$44,0)</x:f>
        <x:v>0</x:v>
      </x:c>
      <x:c r="BE430" s="141" t="n">
        <x:f>IF($A430&lt;='Consorcio Direto'!$B$27,INDEX('Consorcio Direto'!$E$55:$E$534,$A430),0)</x:f>
        <x:v>0</x:v>
      </x:c>
      <x:c r="BF430" s="141" t="n">
        <x:f>IF(AND(TRUE,Premissas!$B$11="Imovel",Premissas!$B$47="Moradia",$A430&lt;MAX('Consorcio Direto'!$B$29,Premissas!$B$49)),$D430,0)</x:f>
        <x:v>0</x:v>
      </x:c>
      <x:c r="BG430" s="141" t="n">
        <x:f>IF(AND(TRUE,Premissas!$B$11="Imovel",Premissas!$B$47="Investimento",$A430&gt;=MAX('Consorcio Direto'!$B$29,Premissas!$B$49)),$E430,0)</x:f>
        <x:v>4919.095547079904</x:v>
      </x:c>
      <x:c r="BH430" s="141" t="n">
        <x:f>BD430+BE430+BF430</x:f>
        <x:v>0</x:v>
      </x:c>
      <x:c r="BI430" s="141" t="n">
        <x:f>BG430</x:f>
        <x:v>4919.095547079904</x:v>
      </x:c>
      <x:c r="BJ430" s="141" t="n">
        <x:f>$C430+BI430-BH430</x:f>
        <x:v>4919.095547079904</x:v>
      </x:c>
      <x:c r="BK430" s="141" t="n">
        <x:f>BN429*(1+Premissas!$B$41)+BJ430</x:f>
        <x:v>38491328.73137141</x:v>
      </x:c>
      <x:c r="BL430" s="141" t="n">
        <x:f>MAX(0,-BK430)</x:f>
        <x:v>0</x:v>
      </x:c>
      <x:c r="BM430" s="141" t="n">
        <x:f>BM429*(1+Premissas!$B$41)+BL430</x:f>
        <x:v>0</x:v>
      </x:c>
      <x:c r="BN430" s="141" t="n">
        <x:f>MAX(0,BK430)</x:f>
        <x:v>38491328.73137141</x:v>
      </x:c>
      <x:c r="BO430" s="141" t="n">
        <x:f>INDEX('Consorcio Direto'!$K$55:$K$534,$A430)</x:f>
        <x:v>0</x:v>
      </x:c>
      <x:c r="BP430" s="141" t="n">
        <x:f>IF($A430&lt;'Consorcio Direto'!$B$29,INDEX('Consorcio Direto'!$L$55:$L$534,$A430),$F430)</x:f>
        <x:v>1574995.7653752966</x:v>
      </x:c>
      <x:c r="BQ430" s="141" t="n">
        <x:f>BN430+BP430-BO430</x:f>
        <x:v>40066324.496746704</x:v>
      </x:c>
      <x:c r="BR430" s="141" t="n">
        <x:f>IF(BM430&gt;1,"Inviavel",BQ430)</x:f>
        <x:v>40066324.496746704</x:v>
      </x:c>
      <x:c r="BS430" s="141" t="str">
        <x:f>IF(BM430&gt;1,"Inviavel","OK")</x:f>
        <x:v>OK</x:v>
      </x:c>
      <x:c r="BT430" s="141" t="n">
        <x:f>IF(AND('Carta Contemplada'!$B$22="Sim",$A430='Carta Contemplada'!$B$23),'Carta Contemplada'!$B$37,0)</x:f>
        <x:v>0</x:v>
      </x:c>
      <x:c r="BU430" s="141" t="n">
        <x:f>IF('Carta Contemplada'!$B$22="Sim",INDEX('Carta Contemplada'!$C$55:$C$1013,$A430),0)</x:f>
        <x:v>0</x:v>
      </x:c>
      <x:c r="BV430" s="141" t="n">
        <x:f>IF(AND('Carta Contemplada'!$B$22="Sim",Premissas!$B$11="Imovel",Premissas!$B$47="Moradia",$A430&lt;MAX('Carta Contemplada'!$B$44,Premissas!$B$49)),$D430,0)</x:f>
        <x:v>0</x:v>
      </x:c>
      <x:c r="BW430" s="141" t="n">
        <x:f>IF(AND('Carta Contemplada'!$B$22="Sim",Premissas!$B$11="Imovel",Premissas!$B$47="Investimento",$A430&gt;=MAX('Carta Contemplada'!$B$44,Premissas!$B$49)),$E430,0)</x:f>
        <x:v>4919.095547079904</x:v>
      </x:c>
      <x:c r="BX430" s="141" t="n">
        <x:f>BT430+BU430+BV430</x:f>
        <x:v>0</x:v>
      </x:c>
      <x:c r="BY430" s="141" t="n">
        <x:f>BW430</x:f>
        <x:v>4919.095547079904</x:v>
      </x:c>
      <x:c r="BZ430" s="141" t="n">
        <x:f>$C430+BY430-BX430</x:f>
        <x:v>4919.095547079904</x:v>
      </x:c>
      <x:c r="CA430" s="141" t="n">
        <x:f>CD429*(1+Premissas!$B$41)+BZ430</x:f>
        <x:v>41346807.5834592</x:v>
      </x:c>
      <x:c r="CB430" s="141" t="n">
        <x:f>MAX(0,-CA430)</x:f>
        <x:v>0</x:v>
      </x:c>
      <x:c r="CC430" s="141" t="n">
        <x:f>CC429*(1+Premissas!$B$41)+CB430</x:f>
        <x:v>0</x:v>
      </x:c>
      <x:c r="CD430" s="141" t="n">
        <x:f>MAX(0,CA430)</x:f>
        <x:v>41346807.5834592</x:v>
      </x:c>
      <x:c r="CE430" s="141" t="n">
        <x:f>IF(AND('Carta Contemplada'!$B$22="Sim",$A430&gt;='Carta Contemplada'!$B$23),INDEX('Carta Contemplada'!$I$55:$I$1013,$A430),0)</x:f>
        <x:v>0</x:v>
      </x:c>
      <x:c r="CF430" s="141" t="n">
        <x:f>IF(AND('Carta Contemplada'!$B$22="Sim",$A430&gt;='Carta Contemplada'!$B$44),$F430,0)</x:f>
        <x:v>1574995.7653752966</x:v>
      </x:c>
      <x:c r="CG430" s="141" t="n">
        <x:f>CD430+CF430-CE430</x:f>
        <x:v>42921803.34883449</x:v>
      </x:c>
      <x:c r="CH430" s="141" t="n">
        <x:f>IF(CC430&gt;1,"Inviavel",CG430)</x:f>
        <x:v>42921803.34883449</x:v>
      </x:c>
      <x:c r="CI430" s="145" t="str">
        <x:f>IF(CC430&gt;1,"Inviavel","OK")</x:f>
        <x:v>OK</x:v>
      </x:c>
    </x:row>
    <x:row r="431">
      <x:c r="A431" s="142" t="n">
        <x:v>427</x:v>
      </x:c>
      <x:c r="B431" s="179" t="n">
        <x:f>EDATE(Premissas!$B$4,A431-1)</x:f>
        <x:v>59506</x:v>
      </x:c>
      <x:c r="C431" s="141" t="n">
        <x:f>IF(A431&lt;=Premissas!$B$39,Premissas!$B$42,0)</x:f>
        <x:v>0</x:v>
      </x:c>
      <x:c r="D431" s="141" t="n">
        <x:f>Premissas!$B$54*(1+Premissas!$B$57)^INT((A431-1)/12)</x:f>
        <x:v>5380.260754618645</x:v>
      </x:c>
      <x:c r="E431" s="141" t="n">
        <x:f>Premissas!$B$64*(1+Premissas!$B$57)^INT((A431-1)/12)</x:f>
        <x:v>4919.095547079904</x:v>
      </x:c>
      <x:c r="F431" s="141" t="n">
        <x:f>MAX(0,Premissas!$B$6*(1+Premissas!$B$66)^((A431-1)/12))</x:f>
        <x:v>1582662.1369034622</x:v>
      </x:c>
      <x:c r="G431" s="141" t="n">
        <x:f>G430*(1+Premissas!$B$41)+C431</x:f>
        <x:v>45853816.14600149</x:v>
      </x:c>
      <x:c r="H431" s="141" t="n">
        <x:f>IF($A431=Premissas!$B$48,Premissas!$B$8,0)</x:f>
        <x:v>0</x:v>
      </x:c>
      <x:c r="I431" s="141" t="n">
        <x:f>IF(AND($A431&gt;=Premissas!$B$48,$A431-Premissas!$B$48+1&lt;=Premissas!$B$13),INDEX(Financiamento!$J$6:$J$485,$A431-Premissas!$B$48+1),0)</x:f>
        <x:v>0</x:v>
      </x:c>
      <x:c r="J431" s="141" t="n">
        <x:f>IF(AND(TRUE,Premissas!$B$11="Imovel",Premissas!$B$47="Moradia",$A431&lt;MAX(Premissas!$B$48,Premissas!$B$49)),$D431,0)</x:f>
        <x:v>0</x:v>
      </x:c>
      <x:c r="K431" s="141" t="n">
        <x:f>IF(AND(TRUE,Premissas!$B$11="Imovel",Premissas!$B$47="Investimento",$A431&gt;=MAX(Premissas!$B$48,Premissas!$B$49)),$E431,0)</x:f>
        <x:v>4919.095547079904</x:v>
      </x:c>
      <x:c r="L431" s="141" t="n">
        <x:f>H431+I431+J431</x:f>
        <x:v>0</x:v>
      </x:c>
      <x:c r="M431" s="141" t="n">
        <x:f>K431</x:f>
        <x:v>4919.095547079904</x:v>
      </x:c>
      <x:c r="N431" s="141" t="n">
        <x:f>$C431+M431-L431</x:f>
        <x:v>4919.095547079904</x:v>
      </x:c>
      <x:c r="O431" s="141" t="n">
        <x:f>R430*(1+Premissas!$B$41)+N431</x:f>
        <x:v>40255562.84609108</x:v>
      </x:c>
      <x:c r="P431" s="141" t="n">
        <x:f>MAX(0,-O431)</x:f>
        <x:v>0</x:v>
      </x:c>
      <x:c r="Q431" s="141" t="n">
        <x:f>Q430*(1+Premissas!$B$41)+P431</x:f>
        <x:v>0</x:v>
      </x:c>
      <x:c r="R431" s="141" t="n">
        <x:f>MAX(0,O431)</x:f>
        <x:v>40255562.84609108</x:v>
      </x:c>
      <x:c r="S431" s="141" t="n">
        <x:f>IF(AND($A431&gt;=Premissas!$B$48,$A431-Premissas!$B$48+1&lt;=Premissas!$B$13),INDEX(Financiamento!$M$6:$M$485,$A431-Premissas!$B$48+1),0)</x:f>
        <x:v>0</x:v>
      </x:c>
      <x:c r="T431" s="141" t="n">
        <x:f>IF($A431&gt;=Premissas!$B$48,$F431,0)</x:f>
        <x:v>1582662.1369034622</x:v>
      </x:c>
      <x:c r="U431" s="141" t="n">
        <x:f>R431+T431-S431</x:f>
        <x:v>41838224.98299454</x:v>
      </x:c>
      <x:c r="V431" s="141" t="n">
        <x:f>IF(Q431&gt;1,"Inviavel",U431)</x:f>
        <x:v>41838224.98299454</x:v>
      </x:c>
      <x:c r="W431" s="141" t="str">
        <x:f>IF(Q431&gt;1,"Inviavel","OK")</x:f>
        <x:v>OK</x:v>
      </x:c>
      <x:c r="X431" s="141" t="n">
        <x:f>IF($A431=Premissas!$B$48,Premissas!$B$8,0)</x:f>
        <x:v>0</x:v>
      </x:c>
      <x:c r="Y431" s="141" t="n">
        <x:f>IF(AND($A431&gt;=Premissas!$B$48,$A431-Premissas!$B$48+1&lt;=Premissas!$B$13),INDEX(Amortizacao!$K$6:$K$485,$A431-Premissas!$B$48+1),0)</x:f>
        <x:v>0</x:v>
      </x:c>
      <x:c r="Z431" s="141" t="n">
        <x:f>IF(AND(TRUE,Premissas!$B$11="Imovel",Premissas!$B$47="Moradia",$A431&lt;MAX(Premissas!$B$48,Premissas!$B$49)),$D431,0)</x:f>
        <x:v>0</x:v>
      </x:c>
      <x:c r="AA431" s="141" t="n">
        <x:f>IF(AND(TRUE,Premissas!$B$11="Imovel",Premissas!$B$47="Investimento",$A431&gt;=MAX(Premissas!$B$48,Premissas!$B$49)),$E431,0)</x:f>
        <x:v>4919.095547079904</x:v>
      </x:c>
      <x:c r="AB431" s="141" t="n">
        <x:f>X431+Y431+Z431</x:f>
        <x:v>0</x:v>
      </x:c>
      <x:c r="AC431" s="141" t="n">
        <x:f>AA431</x:f>
        <x:v>4919.095547079904</x:v>
      </x:c>
      <x:c r="AD431" s="141" t="n">
        <x:f>$C431+AC431-AB431</x:f>
        <x:v>4919.095547079904</x:v>
      </x:c>
      <x:c r="AE431" s="141" t="n">
        <x:f>AH430*(1+Premissas!$B$41)+AD431</x:f>
        <x:v>40929679.126631565</x:v>
      </x:c>
      <x:c r="AF431" s="141" t="n">
        <x:f>MAX(0,-AE431)</x:f>
        <x:v>0</x:v>
      </x:c>
      <x:c r="AG431" s="141" t="n">
        <x:f>AG430*(1+Premissas!$B$41)+AF431</x:f>
        <x:v>0</x:v>
      </x:c>
      <x:c r="AH431" s="141" t="n">
        <x:f>MAX(0,AE431)</x:f>
        <x:v>40929679.126631565</x:v>
      </x:c>
      <x:c r="AI431" s="141" t="n">
        <x:f>IF(AND($A431&gt;=Premissas!$B$48,$A431-Premissas!$B$48+1&lt;=Premissas!$B$13),INDEX(Amortizacao!$L$6:$L$485,$A431-Premissas!$B$48+1),0)</x:f>
        <x:v>0</x:v>
      </x:c>
      <x:c r="AJ431" s="141" t="n">
        <x:f>IF($A431&gt;=Premissas!$B$48,$F431,0)</x:f>
        <x:v>1582662.1369034622</x:v>
      </x:c>
      <x:c r="AK431" s="141" t="n">
        <x:f>AH431+AJ431-AI431</x:f>
        <x:v>42512341.26353503</x:v>
      </x:c>
      <x:c r="AL431" s="141" t="n">
        <x:f>IF(AG431&gt;1,"Inviavel",AK431)</x:f>
        <x:v>42512341.26353503</x:v>
      </x:c>
      <x:c r="AM431" s="141" t="str">
        <x:f>IF(AG431&gt;1,"Inviavel","OK")</x:f>
        <x:v>OK</x:v>
      </x:c>
      <x:c r="AN431" s="141" t="n">
        <x:f>IF($A431=Premissas!$B$48,Premissas!$B$8,0)</x:f>
        <x:v>0</x:v>
      </x:c>
      <x:c r="AO431" s="141" t="n">
        <x:f>IF($A431&lt;=Premissas!$B$25,INDEX('Consorcio IQ'!$K$6:$K$485,$A431),0)</x:f>
        <x:v>0</x:v>
      </x:c>
      <x:c r="AP431" s="141" t="n">
        <x:f>IF(AND(TRUE,Premissas!$B$11="Imovel",Premissas!$B$47="Moradia",$A431&lt;MAX(Premissas!$B$48,Premissas!$B$49)),$D431,0)</x:f>
        <x:v>0</x:v>
      </x:c>
      <x:c r="AQ431" s="141" t="n">
        <x:f>IF(AND(TRUE,Premissas!$B$11="Imovel",Premissas!$B$47="Investimento",$A431&gt;=MAX(Premissas!$B$48,Premissas!$B$49)),$E431,0)</x:f>
        <x:v>4919.095547079904</x:v>
      </x:c>
      <x:c r="AR431" s="141" t="n">
        <x:f>AN431+AO431+AP431</x:f>
        <x:v>0</x:v>
      </x:c>
      <x:c r="AS431" s="141" t="n">
        <x:f>AQ431</x:f>
        <x:v>4919.095547079904</x:v>
      </x:c>
      <x:c r="AT431" s="141" t="n">
        <x:f>$C431+AS431-AR431</x:f>
        <x:v>4919.095547079904</x:v>
      </x:c>
      <x:c r="AU431" s="141" t="n">
        <x:f>AX430*(1+Premissas!$B$41)+AT431</x:f>
        <x:v>40606745.13055546</x:v>
      </x:c>
      <x:c r="AV431" s="141" t="n">
        <x:f>MAX(0,-AU431)</x:f>
        <x:v>0</x:v>
      </x:c>
      <x:c r="AW431" s="141" t="n">
        <x:f>AW430*(1+Premissas!$B$41)+AV431</x:f>
        <x:v>0</x:v>
      </x:c>
      <x:c r="AX431" s="141" t="n">
        <x:f>MAX(0,AU431)</x:f>
        <x:v>40606745.13055546</x:v>
      </x:c>
      <x:c r="AY431" s="141" t="n">
        <x:f>INDEX('Consorcio IQ'!$P$6:$P$485,$A431)</x:f>
        <x:v>0</x:v>
      </x:c>
      <x:c r="AZ431" s="141" t="n">
        <x:f>IF($A431&gt;=Premissas!$B$48,$F431,0)+IF($A431&lt;Premissas!$B$27,INDEX('Consorcio IQ'!$O$6:$O$485,$A431),0)</x:f>
        <x:v>1582662.1369034622</x:v>
      </x:c>
      <x:c r="BA431" s="141" t="n">
        <x:f>AX431+AZ431-AY431</x:f>
        <x:v>42189407.26745892</x:v>
      </x:c>
      <x:c r="BB431" s="141" t="n">
        <x:f>IF(AW431&gt;1,"Inviavel",BA431)</x:f>
        <x:v>42189407.26745892</x:v>
      </x:c>
      <x:c r="BC431" s="141" t="str">
        <x:f>IF(AW431&gt;1,"Inviavel","OK")</x:f>
        <x:v>OK</x:v>
      </x:c>
      <x:c r="BD431" s="141" t="n">
        <x:f>IF($A431='Consorcio Direto'!$B$29,'Consorcio Direto'!$B$44,0)</x:f>
        <x:v>0</x:v>
      </x:c>
      <x:c r="BE431" s="141" t="n">
        <x:f>IF($A431&lt;='Consorcio Direto'!$B$27,INDEX('Consorcio Direto'!$E$55:$E$534,$A431),0)</x:f>
        <x:v>0</x:v>
      </x:c>
      <x:c r="BF431" s="141" t="n">
        <x:f>IF(AND(TRUE,Premissas!$B$11="Imovel",Premissas!$B$47="Moradia",$A431&lt;MAX('Consorcio Direto'!$B$29,Premissas!$B$49)),$D431,0)</x:f>
        <x:v>0</x:v>
      </x:c>
      <x:c r="BG431" s="141" t="n">
        <x:f>IF(AND(TRUE,Premissas!$B$11="Imovel",Premissas!$B$47="Investimento",$A431&gt;=MAX('Consorcio Direto'!$B$29,Premissas!$B$49)),$E431,0)</x:f>
        <x:v>4919.095547079904</x:v>
      </x:c>
      <x:c r="BH431" s="141" t="n">
        <x:f>BD431+BE431+BF431</x:f>
        <x:v>0</x:v>
      </x:c>
      <x:c r="BI431" s="141" t="n">
        <x:f>BG431</x:f>
        <x:v>4919.095547079904</x:v>
      </x:c>
      <x:c r="BJ431" s="141" t="n">
        <x:f>$C431+BI431-BH431</x:f>
        <x:v>4919.095547079904</x:v>
      </x:c>
      <x:c r="BK431" s="141" t="n">
        <x:f>BN430*(1+Premissas!$B$41)+BJ431</x:f>
        <x:v>38861484.07502744</x:v>
      </x:c>
      <x:c r="BL431" s="141" t="n">
        <x:f>MAX(0,-BK431)</x:f>
        <x:v>0</x:v>
      </x:c>
      <x:c r="BM431" s="141" t="n">
        <x:f>BM430*(1+Premissas!$B$41)+BL431</x:f>
        <x:v>0</x:v>
      </x:c>
      <x:c r="BN431" s="141" t="n">
        <x:f>MAX(0,BK431)</x:f>
        <x:v>38861484.07502744</x:v>
      </x:c>
      <x:c r="BO431" s="141" t="n">
        <x:f>INDEX('Consorcio Direto'!$K$55:$K$534,$A431)</x:f>
        <x:v>0</x:v>
      </x:c>
      <x:c r="BP431" s="141" t="n">
        <x:f>IF($A431&lt;'Consorcio Direto'!$B$29,INDEX('Consorcio Direto'!$L$55:$L$534,$A431),$F431)</x:f>
        <x:v>1582662.1369034622</x:v>
      </x:c>
      <x:c r="BQ431" s="141" t="n">
        <x:f>BN431+BP431-BO431</x:f>
        <x:v>40444146.21193091</x:v>
      </x:c>
      <x:c r="BR431" s="141" t="n">
        <x:f>IF(BM431&gt;1,"Inviavel",BQ431)</x:f>
        <x:v>40444146.21193091</x:v>
      </x:c>
      <x:c r="BS431" s="141" t="str">
        <x:f>IF(BM431&gt;1,"Inviavel","OK")</x:f>
        <x:v>OK</x:v>
      </x:c>
      <x:c r="BT431" s="141" t="n">
        <x:f>IF(AND('Carta Contemplada'!$B$22="Sim",$A431='Carta Contemplada'!$B$23),'Carta Contemplada'!$B$37,0)</x:f>
        <x:v>0</x:v>
      </x:c>
      <x:c r="BU431" s="141" t="n">
        <x:f>IF('Carta Contemplada'!$B$22="Sim",INDEX('Carta Contemplada'!$C$55:$C$1013,$A431),0)</x:f>
        <x:v>0</x:v>
      </x:c>
      <x:c r="BV431" s="141" t="n">
        <x:f>IF(AND('Carta Contemplada'!$B$22="Sim",Premissas!$B$11="Imovel",Premissas!$B$47="Moradia",$A431&lt;MAX('Carta Contemplada'!$B$44,Premissas!$B$49)),$D431,0)</x:f>
        <x:v>0</x:v>
      </x:c>
      <x:c r="BW431" s="141" t="n">
        <x:f>IF(AND('Carta Contemplada'!$B$22="Sim",Premissas!$B$11="Imovel",Premissas!$B$47="Investimento",$A431&gt;=MAX('Carta Contemplada'!$B$44,Premissas!$B$49)),$E431,0)</x:f>
        <x:v>4919.095547079904</x:v>
      </x:c>
      <x:c r="BX431" s="141" t="n">
        <x:f>BT431+BU431+BV431</x:f>
        <x:v>0</x:v>
      </x:c>
      <x:c r="BY431" s="141" t="n">
        <x:f>BW431</x:f>
        <x:v>4919.095547079904</x:v>
      </x:c>
      <x:c r="BZ431" s="141" t="n">
        <x:f>$C431+BY431-BX431</x:f>
        <x:v>4919.095547079904</x:v>
      </x:c>
      <x:c r="CA431" s="141" t="n">
        <x:f>CD430*(1+Premissas!$B$41)+BZ431</x:f>
        <x:v>41744057.97467177</x:v>
      </x:c>
      <x:c r="CB431" s="141" t="n">
        <x:f>MAX(0,-CA431)</x:f>
        <x:v>0</x:v>
      </x:c>
      <x:c r="CC431" s="141" t="n">
        <x:f>CC430*(1+Premissas!$B$41)+CB431</x:f>
        <x:v>0</x:v>
      </x:c>
      <x:c r="CD431" s="141" t="n">
        <x:f>MAX(0,CA431)</x:f>
        <x:v>41744057.97467177</x:v>
      </x:c>
      <x:c r="CE431" s="141" t="n">
        <x:f>IF(AND('Carta Contemplada'!$B$22="Sim",$A431&gt;='Carta Contemplada'!$B$23),INDEX('Carta Contemplada'!$I$55:$I$1013,$A431),0)</x:f>
        <x:v>0</x:v>
      </x:c>
      <x:c r="CF431" s="141" t="n">
        <x:f>IF(AND('Carta Contemplada'!$B$22="Sim",$A431&gt;='Carta Contemplada'!$B$44),$F431,0)</x:f>
        <x:v>1582662.1369034622</x:v>
      </x:c>
      <x:c r="CG431" s="141" t="n">
        <x:f>CD431+CF431-CE431</x:f>
        <x:v>43326720.11157524</x:v>
      </x:c>
      <x:c r="CH431" s="141" t="n">
        <x:f>IF(CC431&gt;1,"Inviavel",CG431)</x:f>
        <x:v>43326720.11157524</x:v>
      </x:c>
      <x:c r="CI431" s="145" t="str">
        <x:f>IF(CC431&gt;1,"Inviavel","OK")</x:f>
        <x:v>OK</x:v>
      </x:c>
    </x:row>
    <x:row r="432">
      <x:c r="A432" s="142" t="n">
        <x:v>428</x:v>
      </x:c>
      <x:c r="B432" s="179" t="n">
        <x:f>EDATE(Premissas!$B$4,A432-1)</x:f>
        <x:v>59537</x:v>
      </x:c>
      <x:c r="C432" s="141" t="n">
        <x:f>IF(A432&lt;=Premissas!$B$39,Premissas!$B$42,0)</x:f>
        <x:v>0</x:v>
      </x:c>
      <x:c r="D432" s="141" t="n">
        <x:f>Premissas!$B$54*(1+Premissas!$B$57)^INT((A432-1)/12)</x:f>
        <x:v>5380.260754618645</x:v>
      </x:c>
      <x:c r="E432" s="141" t="n">
        <x:f>Premissas!$B$64*(1+Premissas!$B$57)^INT((A432-1)/12)</x:f>
        <x:v>4919.095547079904</x:v>
      </x:c>
      <x:c r="F432" s="141" t="n">
        <x:f>MAX(0,Premissas!$B$6*(1+Premissas!$B$66)^((A432-1)/12))</x:f>
        <x:v>1590365.824882694</x:v>
      </x:c>
      <x:c r="G432" s="141" t="n">
        <x:f>G431*(1+Premissas!$B$41)+C432</x:f>
        <x:v>46288913.51267134</x:v>
      </x:c>
      <x:c r="H432" s="141" t="n">
        <x:f>IF($A432=Premissas!$B$48,Premissas!$B$8,0)</x:f>
        <x:v>0</x:v>
      </x:c>
      <x:c r="I432" s="141" t="n">
        <x:f>IF(AND($A432&gt;=Premissas!$B$48,$A432-Premissas!$B$48+1&lt;=Premissas!$B$13),INDEX(Financiamento!$J$6:$J$485,$A432-Premissas!$B$48+1),0)</x:f>
        <x:v>0</x:v>
      </x:c>
      <x:c r="J432" s="141" t="n">
        <x:f>IF(AND(TRUE,Premissas!$B$11="Imovel",Premissas!$B$47="Moradia",$A432&lt;MAX(Premissas!$B$48,Premissas!$B$49)),$D432,0)</x:f>
        <x:v>0</x:v>
      </x:c>
      <x:c r="K432" s="141" t="n">
        <x:f>IF(AND(TRUE,Premissas!$B$11="Imovel",Premissas!$B$47="Investimento",$A432&gt;=MAX(Premissas!$B$48,Premissas!$B$49)),$E432,0)</x:f>
        <x:v>4919.095547079904</x:v>
      </x:c>
      <x:c r="L432" s="141" t="n">
        <x:f>H432+I432+J432</x:f>
        <x:v>0</x:v>
      </x:c>
      <x:c r="M432" s="141" t="n">
        <x:f>K432</x:f>
        <x:v>4919.095547079904</x:v>
      </x:c>
      <x:c r="N432" s="141" t="n">
        <x:f>$C432+M432-L432</x:f>
        <x:v>4919.095547079904</x:v>
      </x:c>
      <x:c r="O432" s="141" t="n">
        <x:f>R431*(1+Premissas!$B$41)+N432</x:f>
        <x:v>40642458.64194981</x:v>
      </x:c>
      <x:c r="P432" s="141" t="n">
        <x:f>MAX(0,-O432)</x:f>
        <x:v>0</x:v>
      </x:c>
      <x:c r="Q432" s="141" t="n">
        <x:f>Q431*(1+Premissas!$B$41)+P432</x:f>
        <x:v>0</x:v>
      </x:c>
      <x:c r="R432" s="141" t="n">
        <x:f>MAX(0,O432)</x:f>
        <x:v>40642458.64194981</x:v>
      </x:c>
      <x:c r="S432" s="141" t="n">
        <x:f>IF(AND($A432&gt;=Premissas!$B$48,$A432-Premissas!$B$48+1&lt;=Premissas!$B$13),INDEX(Financiamento!$M$6:$M$485,$A432-Premissas!$B$48+1),0)</x:f>
        <x:v>0</x:v>
      </x:c>
      <x:c r="T432" s="141" t="n">
        <x:f>IF($A432&gt;=Premissas!$B$48,$F432,0)</x:f>
        <x:v>1590365.824882694</x:v>
      </x:c>
      <x:c r="U432" s="141" t="n">
        <x:f>R432+T432-S432</x:f>
        <x:v>42232824.4668325</x:v>
      </x:c>
      <x:c r="V432" s="141" t="n">
        <x:f>IF(Q432&gt;1,"Inviavel",U432)</x:f>
        <x:v>42232824.4668325</x:v>
      </x:c>
      <x:c r="W432" s="141" t="str">
        <x:f>IF(Q432&gt;1,"Inviavel","OK")</x:f>
        <x:v>OK</x:v>
      </x:c>
      <x:c r="X432" s="141" t="n">
        <x:f>IF($A432=Premissas!$B$48,Premissas!$B$8,0)</x:f>
        <x:v>0</x:v>
      </x:c>
      <x:c r="Y432" s="141" t="n">
        <x:f>IF(AND($A432&gt;=Premissas!$B$48,$A432-Premissas!$B$48+1&lt;=Premissas!$B$13),INDEX(Amortizacao!$K$6:$K$485,$A432-Premissas!$B$48+1),0)</x:f>
        <x:v>0</x:v>
      </x:c>
      <x:c r="Z432" s="141" t="n">
        <x:f>IF(AND(TRUE,Premissas!$B$11="Imovel",Premissas!$B$47="Moradia",$A432&lt;MAX(Premissas!$B$48,Premissas!$B$49)),$D432,0)</x:f>
        <x:v>0</x:v>
      </x:c>
      <x:c r="AA432" s="141" t="n">
        <x:f>IF(AND(TRUE,Premissas!$B$11="Imovel",Premissas!$B$47="Investimento",$A432&gt;=MAX(Premissas!$B$48,Premissas!$B$49)),$E432,0)</x:f>
        <x:v>4919.095547079904</x:v>
      </x:c>
      <x:c r="AB432" s="141" t="n">
        <x:f>X432+Y432+Z432</x:f>
        <x:v>0</x:v>
      </x:c>
      <x:c r="AC432" s="141" t="n">
        <x:f>AA432</x:f>
        <x:v>4919.095547079904</x:v>
      </x:c>
      <x:c r="AD432" s="141" t="n">
        <x:f>$C432+AC432-AB432</x:f>
        <x:v>4919.095547079904</x:v>
      </x:c>
      <x:c r="AE432" s="141" t="n">
        <x:f>AH431*(1+Premissas!$B$41)+AD432</x:f>
        <x:v>41322971.47229018</x:v>
      </x:c>
      <x:c r="AF432" s="141" t="n">
        <x:f>MAX(0,-AE432)</x:f>
        <x:v>0</x:v>
      </x:c>
      <x:c r="AG432" s="141" t="n">
        <x:f>AG431*(1+Premissas!$B$41)+AF432</x:f>
        <x:v>0</x:v>
      </x:c>
      <x:c r="AH432" s="141" t="n">
        <x:f>MAX(0,AE432)</x:f>
        <x:v>41322971.47229018</x:v>
      </x:c>
      <x:c r="AI432" s="141" t="n">
        <x:f>IF(AND($A432&gt;=Premissas!$B$48,$A432-Premissas!$B$48+1&lt;=Premissas!$B$13),INDEX(Amortizacao!$L$6:$L$485,$A432-Premissas!$B$48+1),0)</x:f>
        <x:v>0</x:v>
      </x:c>
      <x:c r="AJ432" s="141" t="n">
        <x:f>IF($A432&gt;=Premissas!$B$48,$F432,0)</x:f>
        <x:v>1590365.824882694</x:v>
      </x:c>
      <x:c r="AK432" s="141" t="n">
        <x:f>AH432+AJ432-AI432</x:f>
        <x:v>42913337.297172874</x:v>
      </x:c>
      <x:c r="AL432" s="141" t="n">
        <x:f>IF(AG432&gt;1,"Inviavel",AK432)</x:f>
        <x:v>42913337.297172874</x:v>
      </x:c>
      <x:c r="AM432" s="141" t="str">
        <x:f>IF(AG432&gt;1,"Inviavel","OK")</x:f>
        <x:v>OK</x:v>
      </x:c>
      <x:c r="AN432" s="141" t="n">
        <x:f>IF($A432=Premissas!$B$48,Premissas!$B$8,0)</x:f>
        <x:v>0</x:v>
      </x:c>
      <x:c r="AO432" s="141" t="n">
        <x:f>IF($A432&lt;=Premissas!$B$25,INDEX('Consorcio IQ'!$K$6:$K$485,$A432),0)</x:f>
        <x:v>0</x:v>
      </x:c>
      <x:c r="AP432" s="141" t="n">
        <x:f>IF(AND(TRUE,Premissas!$B$11="Imovel",Premissas!$B$47="Moradia",$A432&lt;MAX(Premissas!$B$48,Premissas!$B$49)),$D432,0)</x:f>
        <x:v>0</x:v>
      </x:c>
      <x:c r="AQ432" s="141" t="n">
        <x:f>IF(AND(TRUE,Premissas!$B$11="Imovel",Premissas!$B$47="Investimento",$A432&gt;=MAX(Premissas!$B$48,Premissas!$B$49)),$E432,0)</x:f>
        <x:v>4919.095547079904</x:v>
      </x:c>
      <x:c r="AR432" s="141" t="n">
        <x:f>AN432+AO432+AP432</x:f>
        <x:v>0</x:v>
      </x:c>
      <x:c r="AS432" s="141" t="n">
        <x:f>AQ432</x:f>
        <x:v>4919.095547079904</x:v>
      </x:c>
      <x:c r="AT432" s="141" t="n">
        <x:f>$C432+AS432-AR432</x:f>
        <x:v>4919.095547079904</x:v>
      </x:c>
      <x:c r="AU432" s="141" t="n">
        <x:f>AX431*(1+Premissas!$B$41)+AT432</x:f>
        <x:v>40996973.222393766</x:v>
      </x:c>
      <x:c r="AV432" s="141" t="n">
        <x:f>MAX(0,-AU432)</x:f>
        <x:v>0</x:v>
      </x:c>
      <x:c r="AW432" s="141" t="n">
        <x:f>AW431*(1+Premissas!$B$41)+AV432</x:f>
        <x:v>0</x:v>
      </x:c>
      <x:c r="AX432" s="141" t="n">
        <x:f>MAX(0,AU432)</x:f>
        <x:v>40996973.222393766</x:v>
      </x:c>
      <x:c r="AY432" s="141" t="n">
        <x:f>INDEX('Consorcio IQ'!$P$6:$P$485,$A432)</x:f>
        <x:v>0</x:v>
      </x:c>
      <x:c r="AZ432" s="141" t="n">
        <x:f>IF($A432&gt;=Premissas!$B$48,$F432,0)+IF($A432&lt;Premissas!$B$27,INDEX('Consorcio IQ'!$O$6:$O$485,$A432),0)</x:f>
        <x:v>1590365.824882694</x:v>
      </x:c>
      <x:c r="BA432" s="141" t="n">
        <x:f>AX432+AZ432-AY432</x:f>
        <x:v>42587339.04727646</x:v>
      </x:c>
      <x:c r="BB432" s="141" t="n">
        <x:f>IF(AW432&gt;1,"Inviavel",BA432)</x:f>
        <x:v>42587339.04727646</x:v>
      </x:c>
      <x:c r="BC432" s="141" t="str">
        <x:f>IF(AW432&gt;1,"Inviavel","OK")</x:f>
        <x:v>OK</x:v>
      </x:c>
      <x:c r="BD432" s="141" t="n">
        <x:f>IF($A432='Consorcio Direto'!$B$29,'Consorcio Direto'!$B$44,0)</x:f>
        <x:v>0</x:v>
      </x:c>
      <x:c r="BE432" s="141" t="n">
        <x:f>IF($A432&lt;='Consorcio Direto'!$B$27,INDEX('Consorcio Direto'!$E$55:$E$534,$A432),0)</x:f>
        <x:v>0</x:v>
      </x:c>
      <x:c r="BF432" s="141" t="n">
        <x:f>IF(AND(TRUE,Premissas!$B$11="Imovel",Premissas!$B$47="Moradia",$A432&lt;MAX('Consorcio Direto'!$B$29,Premissas!$B$49)),$D432,0)</x:f>
        <x:v>0</x:v>
      </x:c>
      <x:c r="BG432" s="141" t="n">
        <x:f>IF(AND(TRUE,Premissas!$B$11="Imovel",Premissas!$B$47="Investimento",$A432&gt;=MAX('Consorcio Direto'!$B$29,Premissas!$B$49)),$E432,0)</x:f>
        <x:v>4919.095547079904</x:v>
      </x:c>
      <x:c r="BH432" s="141" t="n">
        <x:f>BD432+BE432+BF432</x:f>
        <x:v>0</x:v>
      </x:c>
      <x:c r="BI432" s="141" t="n">
        <x:f>BG432</x:f>
        <x:v>4919.095547079904</x:v>
      </x:c>
      <x:c r="BJ432" s="141" t="n">
        <x:f>$C432+BI432-BH432</x:f>
        <x:v>4919.095547079904</x:v>
      </x:c>
      <x:c r="BK432" s="141" t="n">
        <x:f>BN431*(1+Premissas!$B$41)+BJ432</x:f>
        <x:v>39235151.74609306</x:v>
      </x:c>
      <x:c r="BL432" s="141" t="n">
        <x:f>MAX(0,-BK432)</x:f>
        <x:v>0</x:v>
      </x:c>
      <x:c r="BM432" s="141" t="n">
        <x:f>BM431*(1+Premissas!$B$41)+BL432</x:f>
        <x:v>0</x:v>
      </x:c>
      <x:c r="BN432" s="141" t="n">
        <x:f>MAX(0,BK432)</x:f>
        <x:v>39235151.74609306</x:v>
      </x:c>
      <x:c r="BO432" s="141" t="n">
        <x:f>INDEX('Consorcio Direto'!$K$55:$K$534,$A432)</x:f>
        <x:v>0</x:v>
      </x:c>
      <x:c r="BP432" s="141" t="n">
        <x:f>IF($A432&lt;'Consorcio Direto'!$B$29,INDEX('Consorcio Direto'!$L$55:$L$534,$A432),$F432)</x:f>
        <x:v>1590365.824882694</x:v>
      </x:c>
      <x:c r="BQ432" s="141" t="n">
        <x:f>BN432+BP432-BO432</x:f>
        <x:v>40825517.57097575</x:v>
      </x:c>
      <x:c r="BR432" s="141" t="n">
        <x:f>IF(BM432&gt;1,"Inviavel",BQ432)</x:f>
        <x:v>40825517.57097575</x:v>
      </x:c>
      <x:c r="BS432" s="141" t="str">
        <x:f>IF(BM432&gt;1,"Inviavel","OK")</x:f>
        <x:v>OK</x:v>
      </x:c>
      <x:c r="BT432" s="141" t="n">
        <x:f>IF(AND('Carta Contemplada'!$B$22="Sim",$A432='Carta Contemplada'!$B$23),'Carta Contemplada'!$B$37,0)</x:f>
        <x:v>0</x:v>
      </x:c>
      <x:c r="BU432" s="141" t="n">
        <x:f>IF('Carta Contemplada'!$B$22="Sim",INDEX('Carta Contemplada'!$C$55:$C$1013,$A432),0)</x:f>
        <x:v>0</x:v>
      </x:c>
      <x:c r="BV432" s="141" t="n">
        <x:f>IF(AND('Carta Contemplada'!$B$22="Sim",Premissas!$B$11="Imovel",Premissas!$B$47="Moradia",$A432&lt;MAX('Carta Contemplada'!$B$44,Premissas!$B$49)),$D432,0)</x:f>
        <x:v>0</x:v>
      </x:c>
      <x:c r="BW432" s="141" t="n">
        <x:f>IF(AND('Carta Contemplada'!$B$22="Sim",Premissas!$B$11="Imovel",Premissas!$B$47="Investimento",$A432&gt;=MAX('Carta Contemplada'!$B$44,Premissas!$B$49)),$E432,0)</x:f>
        <x:v>4919.095547079904</x:v>
      </x:c>
      <x:c r="BX432" s="141" t="n">
        <x:f>BT432+BU432+BV432</x:f>
        <x:v>0</x:v>
      </x:c>
      <x:c r="BY432" s="141" t="n">
        <x:f>BW432</x:f>
        <x:v>4919.095547079904</x:v>
      </x:c>
      <x:c r="BZ432" s="141" t="n">
        <x:f>$C432+BY432-BX432</x:f>
        <x:v>4919.095547079904</x:v>
      </x:c>
      <x:c r="CA432" s="141" t="n">
        <x:f>CD431*(1+Premissas!$B$41)+BZ432</x:f>
        <x:v>42145077.79258975</x:v>
      </x:c>
      <x:c r="CB432" s="141" t="n">
        <x:f>MAX(0,-CA432)</x:f>
        <x:v>0</x:v>
      </x:c>
      <x:c r="CC432" s="141" t="n">
        <x:f>CC431*(1+Premissas!$B$41)+CB432</x:f>
        <x:v>0</x:v>
      </x:c>
      <x:c r="CD432" s="141" t="n">
        <x:f>MAX(0,CA432)</x:f>
        <x:v>42145077.79258975</x:v>
      </x:c>
      <x:c r="CE432" s="141" t="n">
        <x:f>IF(AND('Carta Contemplada'!$B$22="Sim",$A432&gt;='Carta Contemplada'!$B$23),INDEX('Carta Contemplada'!$I$55:$I$1013,$A432),0)</x:f>
        <x:v>0</x:v>
      </x:c>
      <x:c r="CF432" s="141" t="n">
        <x:f>IF(AND('Carta Contemplada'!$B$22="Sim",$A432&gt;='Carta Contemplada'!$B$44),$F432,0)</x:f>
        <x:v>1590365.824882694</x:v>
      </x:c>
      <x:c r="CG432" s="141" t="n">
        <x:f>CD432+CF432-CE432</x:f>
        <x:v>43735443.61747244</x:v>
      </x:c>
      <x:c r="CH432" s="141" t="n">
        <x:f>IF(CC432&gt;1,"Inviavel",CG432)</x:f>
        <x:v>43735443.61747244</x:v>
      </x:c>
      <x:c r="CI432" s="145" t="str">
        <x:f>IF(CC432&gt;1,"Inviavel","OK")</x:f>
        <x:v>OK</x:v>
      </x:c>
    </x:row>
    <x:row r="433">
      <x:c r="A433" s="142" t="n">
        <x:v>429</x:v>
      </x:c>
      <x:c r="B433" s="179" t="n">
        <x:f>EDATE(Premissas!$B$4,A433-1)</x:f>
        <x:v>59568</x:v>
      </x:c>
      <x:c r="C433" s="141" t="n">
        <x:f>IF(A433&lt;=Premissas!$B$39,Premissas!$B$42,0)</x:f>
        <x:v>0</x:v>
      </x:c>
      <x:c r="D433" s="141" t="n">
        <x:f>Premissas!$B$54*(1+Premissas!$B$57)^INT((A433-1)/12)</x:f>
        <x:v>5380.260754618645</x:v>
      </x:c>
      <x:c r="E433" s="141" t="n">
        <x:f>Premissas!$B$64*(1+Premissas!$B$57)^INT((A433-1)/12)</x:f>
        <x:v>4919.095547079904</x:v>
      </x:c>
      <x:c r="F433" s="141" t="n">
        <x:f>MAX(0,Premissas!$B$6*(1+Premissas!$B$66)^((A433-1)/12))</x:f>
        <x:v>1598107.0109527034</x:v>
      </x:c>
      <x:c r="G433" s="141" t="n">
        <x:f>G432*(1+Premissas!$B$41)+C433</x:f>
        <x:v>46728139.4281599</x:v>
      </x:c>
      <x:c r="H433" s="141" t="n">
        <x:f>IF($A433=Premissas!$B$48,Premissas!$B$8,0)</x:f>
        <x:v>0</x:v>
      </x:c>
      <x:c r="I433" s="141" t="n">
        <x:f>IF(AND($A433&gt;=Premissas!$B$48,$A433-Premissas!$B$48+1&lt;=Premissas!$B$13),INDEX(Financiamento!$J$6:$J$485,$A433-Premissas!$B$48+1),0)</x:f>
        <x:v>0</x:v>
      </x:c>
      <x:c r="J433" s="141" t="n">
        <x:f>IF(AND(TRUE,Premissas!$B$11="Imovel",Premissas!$B$47="Moradia",$A433&lt;MAX(Premissas!$B$48,Premissas!$B$49)),$D433,0)</x:f>
        <x:v>0</x:v>
      </x:c>
      <x:c r="K433" s="141" t="n">
        <x:f>IF(AND(TRUE,Premissas!$B$11="Imovel",Premissas!$B$47="Investimento",$A433&gt;=MAX(Premissas!$B$48,Premissas!$B$49)),$E433,0)</x:f>
        <x:v>4919.095547079904</x:v>
      </x:c>
      <x:c r="L433" s="141" t="n">
        <x:f>H433+I433+J433</x:f>
        <x:v>0</x:v>
      </x:c>
      <x:c r="M433" s="141" t="n">
        <x:f>K433</x:f>
        <x:v>4919.095547079904</x:v>
      </x:c>
      <x:c r="N433" s="141" t="n">
        <x:f>$C433+M433-L433</x:f>
        <x:v>4919.095547079904</x:v>
      </x:c>
      <x:c r="O433" s="141" t="n">
        <x:f>R432*(1+Premissas!$B$41)+N433</x:f>
        <x:v>41033025.61190271</x:v>
      </x:c>
      <x:c r="P433" s="141" t="n">
        <x:f>MAX(0,-O433)</x:f>
        <x:v>0</x:v>
      </x:c>
      <x:c r="Q433" s="141" t="n">
        <x:f>Q432*(1+Premissas!$B$41)+P433</x:f>
        <x:v>0</x:v>
      </x:c>
      <x:c r="R433" s="141" t="n">
        <x:f>MAX(0,O433)</x:f>
        <x:v>41033025.61190271</x:v>
      </x:c>
      <x:c r="S433" s="141" t="n">
        <x:f>IF(AND($A433&gt;=Premissas!$B$48,$A433-Premissas!$B$48+1&lt;=Premissas!$B$13),INDEX(Financiamento!$M$6:$M$485,$A433-Premissas!$B$48+1),0)</x:f>
        <x:v>0</x:v>
      </x:c>
      <x:c r="T433" s="141" t="n">
        <x:f>IF($A433&gt;=Premissas!$B$48,$F433,0)</x:f>
        <x:v>1598107.0109527034</x:v>
      </x:c>
      <x:c r="U433" s="141" t="n">
        <x:f>R433+T433-S433</x:f>
        <x:v>42631132.62285541</x:v>
      </x:c>
      <x:c r="V433" s="141" t="n">
        <x:f>IF(Q433&gt;1,"Inviavel",U433)</x:f>
        <x:v>42631132.62285541</x:v>
      </x:c>
      <x:c r="W433" s="141" t="str">
        <x:f>IF(Q433&gt;1,"Inviavel","OK")</x:f>
        <x:v>OK</x:v>
      </x:c>
      <x:c r="X433" s="141" t="n">
        <x:f>IF($A433=Premissas!$B$48,Premissas!$B$8,0)</x:f>
        <x:v>0</x:v>
      </x:c>
      <x:c r="Y433" s="141" t="n">
        <x:f>IF(AND($A433&gt;=Premissas!$B$48,$A433-Premissas!$B$48+1&lt;=Premissas!$B$13),INDEX(Amortizacao!$K$6:$K$485,$A433-Premissas!$B$48+1),0)</x:f>
        <x:v>0</x:v>
      </x:c>
      <x:c r="Z433" s="141" t="n">
        <x:f>IF(AND(TRUE,Premissas!$B$11="Imovel",Premissas!$B$47="Moradia",$A433&lt;MAX(Premissas!$B$48,Premissas!$B$49)),$D433,0)</x:f>
        <x:v>0</x:v>
      </x:c>
      <x:c r="AA433" s="141" t="n">
        <x:f>IF(AND(TRUE,Premissas!$B$11="Imovel",Premissas!$B$47="Investimento",$A433&gt;=MAX(Premissas!$B$48,Premissas!$B$49)),$E433,0)</x:f>
        <x:v>4919.095547079904</x:v>
      </x:c>
      <x:c r="AB433" s="141" t="n">
        <x:f>X433+Y433+Z433</x:f>
        <x:v>0</x:v>
      </x:c>
      <x:c r="AC433" s="141" t="n">
        <x:f>AA433</x:f>
        <x:v>4919.095547079904</x:v>
      </x:c>
      <x:c r="AD433" s="141" t="n">
        <x:f>$C433+AC433-AB433</x:f>
        <x:v>4919.095547079904</x:v>
      </x:c>
      <x:c r="AE433" s="141" t="n">
        <x:f>AH432*(1+Premissas!$B$41)+AD433</x:f>
        <x:v>41719995.687579505</x:v>
      </x:c>
      <x:c r="AF433" s="141" t="n">
        <x:f>MAX(0,-AE433)</x:f>
        <x:v>0</x:v>
      </x:c>
      <x:c r="AG433" s="141" t="n">
        <x:f>AG432*(1+Premissas!$B$41)+AF433</x:f>
        <x:v>0</x:v>
      </x:c>
      <x:c r="AH433" s="141" t="n">
        <x:f>MAX(0,AE433)</x:f>
        <x:v>41719995.687579505</x:v>
      </x:c>
      <x:c r="AI433" s="141" t="n">
        <x:f>IF(AND($A433&gt;=Premissas!$B$48,$A433-Premissas!$B$48+1&lt;=Premissas!$B$13),INDEX(Amortizacao!$L$6:$L$485,$A433-Premissas!$B$48+1),0)</x:f>
        <x:v>0</x:v>
      </x:c>
      <x:c r="AJ433" s="141" t="n">
        <x:f>IF($A433&gt;=Premissas!$B$48,$F433,0)</x:f>
        <x:v>1598107.0109527034</x:v>
      </x:c>
      <x:c r="AK433" s="141" t="n">
        <x:f>AH433+AJ433-AI433</x:f>
        <x:v>43318102.69853221</x:v>
      </x:c>
      <x:c r="AL433" s="141" t="n">
        <x:f>IF(AG433&gt;1,"Inviavel",AK433)</x:f>
        <x:v>43318102.69853221</x:v>
      </x:c>
      <x:c r="AM433" s="141" t="str">
        <x:f>IF(AG433&gt;1,"Inviavel","OK")</x:f>
        <x:v>OK</x:v>
      </x:c>
      <x:c r="AN433" s="141" t="n">
        <x:f>IF($A433=Premissas!$B$48,Premissas!$B$8,0)</x:f>
        <x:v>0</x:v>
      </x:c>
      <x:c r="AO433" s="141" t="n">
        <x:f>IF($A433&lt;=Premissas!$B$25,INDEX('Consorcio IQ'!$K$6:$K$485,$A433),0)</x:f>
        <x:v>0</x:v>
      </x:c>
      <x:c r="AP433" s="141" t="n">
        <x:f>IF(AND(TRUE,Premissas!$B$11="Imovel",Premissas!$B$47="Moradia",$A433&lt;MAX(Premissas!$B$48,Premissas!$B$49)),$D433,0)</x:f>
        <x:v>0</x:v>
      </x:c>
      <x:c r="AQ433" s="141" t="n">
        <x:f>IF(AND(TRUE,Premissas!$B$11="Imovel",Premissas!$B$47="Investimento",$A433&gt;=MAX(Premissas!$B$48,Premissas!$B$49)),$E433,0)</x:f>
        <x:v>4919.095547079904</x:v>
      </x:c>
      <x:c r="AR433" s="141" t="n">
        <x:f>AN433+AO433+AP433</x:f>
        <x:v>0</x:v>
      </x:c>
      <x:c r="AS433" s="141" t="n">
        <x:f>AQ433</x:f>
        <x:v>4919.095547079904</x:v>
      </x:c>
      <x:c r="AT433" s="141" t="n">
        <x:f>$C433+AS433-AR433</x:f>
        <x:v>4919.095547079904</x:v>
      </x:c>
      <x:c r="AU433" s="141" t="n">
        <x:f>AX432*(1+Premissas!$B$41)+AT433</x:f>
        <x:v>41390904.10779279</x:v>
      </x:c>
      <x:c r="AV433" s="141" t="n">
        <x:f>MAX(0,-AU433)</x:f>
        <x:v>0</x:v>
      </x:c>
      <x:c r="AW433" s="141" t="n">
        <x:f>AW432*(1+Premissas!$B$41)+AV433</x:f>
        <x:v>0</x:v>
      </x:c>
      <x:c r="AX433" s="141" t="n">
        <x:f>MAX(0,AU433)</x:f>
        <x:v>41390904.10779279</x:v>
      </x:c>
      <x:c r="AY433" s="141" t="n">
        <x:f>INDEX('Consorcio IQ'!$P$6:$P$485,$A433)</x:f>
        <x:v>0</x:v>
      </x:c>
      <x:c r="AZ433" s="141" t="n">
        <x:f>IF($A433&gt;=Premissas!$B$48,$F433,0)+IF($A433&lt;Premissas!$B$27,INDEX('Consorcio IQ'!$O$6:$O$485,$A433),0)</x:f>
        <x:v>1598107.0109527034</x:v>
      </x:c>
      <x:c r="BA433" s="141" t="n">
        <x:f>AX433+AZ433-AY433</x:f>
        <x:v>42989011.11874549</x:v>
      </x:c>
      <x:c r="BB433" s="141" t="n">
        <x:f>IF(AW433&gt;1,"Inviavel",BA433)</x:f>
        <x:v>42989011.11874549</x:v>
      </x:c>
      <x:c r="BC433" s="141" t="str">
        <x:f>IF(AW433&gt;1,"Inviavel","OK")</x:f>
        <x:v>OK</x:v>
      </x:c>
      <x:c r="BD433" s="141" t="n">
        <x:f>IF($A433='Consorcio Direto'!$B$29,'Consorcio Direto'!$B$44,0)</x:f>
        <x:v>0</x:v>
      </x:c>
      <x:c r="BE433" s="141" t="n">
        <x:f>IF($A433&lt;='Consorcio Direto'!$B$27,INDEX('Consorcio Direto'!$E$55:$E$534,$A433),0)</x:f>
        <x:v>0</x:v>
      </x:c>
      <x:c r="BF433" s="141" t="n">
        <x:f>IF(AND(TRUE,Premissas!$B$11="Imovel",Premissas!$B$47="Moradia",$A433&lt;MAX('Consorcio Direto'!$B$29,Premissas!$B$49)),$D433,0)</x:f>
        <x:v>0</x:v>
      </x:c>
      <x:c r="BG433" s="141" t="n">
        <x:f>IF(AND(TRUE,Premissas!$B$11="Imovel",Premissas!$B$47="Investimento",$A433&gt;=MAX('Consorcio Direto'!$B$29,Premissas!$B$49)),$E433,0)</x:f>
        <x:v>4919.095547079904</x:v>
      </x:c>
      <x:c r="BH433" s="141" t="n">
        <x:f>BD433+BE433+BF433</x:f>
        <x:v>0</x:v>
      </x:c>
      <x:c r="BI433" s="141" t="n">
        <x:f>BG433</x:f>
        <x:v>4919.095547079904</x:v>
      </x:c>
      <x:c r="BJ433" s="141" t="n">
        <x:f>$C433+BI433-BH433</x:f>
        <x:v>4919.095547079904</x:v>
      </x:c>
      <x:c r="BK433" s="141" t="n">
        <x:f>BN432*(1+Premissas!$B$41)+BJ433</x:f>
        <x:v>39612365.07231576</x:v>
      </x:c>
      <x:c r="BL433" s="141" t="n">
        <x:f>MAX(0,-BK433)</x:f>
        <x:v>0</x:v>
      </x:c>
      <x:c r="BM433" s="141" t="n">
        <x:f>BM432*(1+Premissas!$B$41)+BL433</x:f>
        <x:v>0</x:v>
      </x:c>
      <x:c r="BN433" s="141" t="n">
        <x:f>MAX(0,BK433)</x:f>
        <x:v>39612365.07231576</x:v>
      </x:c>
      <x:c r="BO433" s="141" t="n">
        <x:f>INDEX('Consorcio Direto'!$K$55:$K$534,$A433)</x:f>
        <x:v>0</x:v>
      </x:c>
      <x:c r="BP433" s="141" t="n">
        <x:f>IF($A433&lt;'Consorcio Direto'!$B$29,INDEX('Consorcio Direto'!$L$55:$L$534,$A433),$F433)</x:f>
        <x:v>1598107.0109527034</x:v>
      </x:c>
      <x:c r="BQ433" s="141" t="n">
        <x:f>BN433+BP433-BO433</x:f>
        <x:v>41210472.08326846</x:v>
      </x:c>
      <x:c r="BR433" s="141" t="n">
        <x:f>IF(BM433&gt;1,"Inviavel",BQ433)</x:f>
        <x:v>41210472.08326846</x:v>
      </x:c>
      <x:c r="BS433" s="141" t="str">
        <x:f>IF(BM433&gt;1,"Inviavel","OK")</x:f>
        <x:v>OK</x:v>
      </x:c>
      <x:c r="BT433" s="141" t="n">
        <x:f>IF(AND('Carta Contemplada'!$B$22="Sim",$A433='Carta Contemplada'!$B$23),'Carta Contemplada'!$B$37,0)</x:f>
        <x:v>0</x:v>
      </x:c>
      <x:c r="BU433" s="141" t="n">
        <x:f>IF('Carta Contemplada'!$B$22="Sim",INDEX('Carta Contemplada'!$C$55:$C$1013,$A433),0)</x:f>
        <x:v>0</x:v>
      </x:c>
      <x:c r="BV433" s="141" t="n">
        <x:f>IF(AND('Carta Contemplada'!$B$22="Sim",Premissas!$B$11="Imovel",Premissas!$B$47="Moradia",$A433&lt;MAX('Carta Contemplada'!$B$44,Premissas!$B$49)),$D433,0)</x:f>
        <x:v>0</x:v>
      </x:c>
      <x:c r="BW433" s="141" t="n">
        <x:f>IF(AND('Carta Contemplada'!$B$22="Sim",Premissas!$B$11="Imovel",Premissas!$B$47="Investimento",$A433&gt;=MAX('Carta Contemplada'!$B$44,Premissas!$B$49)),$E433,0)</x:f>
        <x:v>4919.095547079904</x:v>
      </x:c>
      <x:c r="BX433" s="141" t="n">
        <x:f>BT433+BU433+BV433</x:f>
        <x:v>0</x:v>
      </x:c>
      <x:c r="BY433" s="141" t="n">
        <x:f>BW433</x:f>
        <x:v>4919.095547079904</x:v>
      </x:c>
      <x:c r="BZ433" s="141" t="n">
        <x:f>$C433+BY433-BX433</x:f>
        <x:v>4919.095547079904</x:v>
      </x:c>
      <x:c r="CA433" s="141" t="n">
        <x:f>CD432*(1+Premissas!$B$41)+BZ433</x:f>
        <x:v>42549902.804522604</x:v>
      </x:c>
      <x:c r="CB433" s="141" t="n">
        <x:f>MAX(0,-CA433)</x:f>
        <x:v>0</x:v>
      </x:c>
      <x:c r="CC433" s="141" t="n">
        <x:f>CC432*(1+Premissas!$B$41)+CB433</x:f>
        <x:v>0</x:v>
      </x:c>
      <x:c r="CD433" s="141" t="n">
        <x:f>MAX(0,CA433)</x:f>
        <x:v>42549902.804522604</x:v>
      </x:c>
      <x:c r="CE433" s="141" t="n">
        <x:f>IF(AND('Carta Contemplada'!$B$22="Sim",$A433&gt;='Carta Contemplada'!$B$23),INDEX('Carta Contemplada'!$I$55:$I$1013,$A433),0)</x:f>
        <x:v>0</x:v>
      </x:c>
      <x:c r="CF433" s="141" t="n">
        <x:f>IF(AND('Carta Contemplada'!$B$22="Sim",$A433&gt;='Carta Contemplada'!$B$44),$F433,0)</x:f>
        <x:v>1598107.0109527034</x:v>
      </x:c>
      <x:c r="CG433" s="141" t="n">
        <x:f>CD433+CF433-CE433</x:f>
        <x:v>44148009.81547531</x:v>
      </x:c>
      <x:c r="CH433" s="141" t="n">
        <x:f>IF(CC433&gt;1,"Inviavel",CG433)</x:f>
        <x:v>44148009.81547531</x:v>
      </x:c>
      <x:c r="CI433" s="145" t="str">
        <x:f>IF(CC433&gt;1,"Inviavel","OK")</x:f>
        <x:v>OK</x:v>
      </x:c>
    </x:row>
    <x:row r="434">
      <x:c r="A434" s="142" t="n">
        <x:v>430</x:v>
      </x:c>
      <x:c r="B434" s="179" t="n">
        <x:f>EDATE(Premissas!$B$4,A434-1)</x:f>
        <x:v>59596</x:v>
      </x:c>
      <x:c r="C434" s="141" t="n">
        <x:f>IF(A434&lt;=Premissas!$B$39,Premissas!$B$42,0)</x:f>
        <x:v>0</x:v>
      </x:c>
      <x:c r="D434" s="141" t="n">
        <x:f>Premissas!$B$54*(1+Premissas!$B$57)^INT((A434-1)/12)</x:f>
        <x:v>5380.260754618645</x:v>
      </x:c>
      <x:c r="E434" s="141" t="n">
        <x:f>Premissas!$B$64*(1+Premissas!$B$57)^INT((A434-1)/12)</x:f>
        <x:v>4919.095547079904</x:v>
      </x:c>
      <x:c r="F434" s="141" t="n">
        <x:f>MAX(0,Premissas!$B$6*(1+Premissas!$B$66)^((A434-1)/12))</x:f>
        <x:v>1605885.877637345</x:v>
      </x:c>
      <x:c r="G434" s="141" t="n">
        <x:f>G433*(1+Premissas!$B$41)+C434</x:f>
        <x:v>47171533.06741203</x:v>
      </x:c>
      <x:c r="H434" s="141" t="n">
        <x:f>IF($A434=Premissas!$B$48,Premissas!$B$8,0)</x:f>
        <x:v>0</x:v>
      </x:c>
      <x:c r="I434" s="141" t="n">
        <x:f>IF(AND($A434&gt;=Premissas!$B$48,$A434-Premissas!$B$48+1&lt;=Premissas!$B$13),INDEX(Financiamento!$J$6:$J$485,$A434-Premissas!$B$48+1),0)</x:f>
        <x:v>0</x:v>
      </x:c>
      <x:c r="J434" s="141" t="n">
        <x:f>IF(AND(TRUE,Premissas!$B$11="Imovel",Premissas!$B$47="Moradia",$A434&lt;MAX(Premissas!$B$48,Premissas!$B$49)),$D434,0)</x:f>
        <x:v>0</x:v>
      </x:c>
      <x:c r="K434" s="141" t="n">
        <x:f>IF(AND(TRUE,Premissas!$B$11="Imovel",Premissas!$B$47="Investimento",$A434&gt;=MAX(Premissas!$B$48,Premissas!$B$49)),$E434,0)</x:f>
        <x:v>4919.095547079904</x:v>
      </x:c>
      <x:c r="L434" s="141" t="n">
        <x:f>H434+I434+J434</x:f>
        <x:v>0</x:v>
      </x:c>
      <x:c r="M434" s="141" t="n">
        <x:f>K434</x:f>
        <x:v>4919.095547079904</x:v>
      </x:c>
      <x:c r="N434" s="141" t="n">
        <x:f>$C434+M434-L434</x:f>
        <x:v>4919.095547079904</x:v>
      </x:c>
      <x:c r="O434" s="141" t="n">
        <x:f>R433*(1+Premissas!$B$41)+N434</x:f>
        <x:v>41427298.59096058</x:v>
      </x:c>
      <x:c r="P434" s="141" t="n">
        <x:f>MAX(0,-O434)</x:f>
        <x:v>0</x:v>
      </x:c>
      <x:c r="Q434" s="141" t="n">
        <x:f>Q433*(1+Premissas!$B$41)+P434</x:f>
        <x:v>0</x:v>
      </x:c>
      <x:c r="R434" s="141" t="n">
        <x:f>MAX(0,O434)</x:f>
        <x:v>41427298.59096058</x:v>
      </x:c>
      <x:c r="S434" s="141" t="n">
        <x:f>IF(AND($A434&gt;=Premissas!$B$48,$A434-Premissas!$B$48+1&lt;=Premissas!$B$13),INDEX(Financiamento!$M$6:$M$485,$A434-Premissas!$B$48+1),0)</x:f>
        <x:v>0</x:v>
      </x:c>
      <x:c r="T434" s="141" t="n">
        <x:f>IF($A434&gt;=Premissas!$B$48,$F434,0)</x:f>
        <x:v>1605885.877637345</x:v>
      </x:c>
      <x:c r="U434" s="141" t="n">
        <x:f>R434+T434-S434</x:f>
        <x:v>43033184.46859792</x:v>
      </x:c>
      <x:c r="V434" s="141" t="n">
        <x:f>IF(Q434&gt;1,"Inviavel",U434)</x:f>
        <x:v>43033184.46859792</x:v>
      </x:c>
      <x:c r="W434" s="141" t="str">
        <x:f>IF(Q434&gt;1,"Inviavel","OK")</x:f>
        <x:v>OK</x:v>
      </x:c>
      <x:c r="X434" s="141" t="n">
        <x:f>IF($A434=Premissas!$B$48,Premissas!$B$8,0)</x:f>
        <x:v>0</x:v>
      </x:c>
      <x:c r="Y434" s="141" t="n">
        <x:f>IF(AND($A434&gt;=Premissas!$B$48,$A434-Premissas!$B$48+1&lt;=Premissas!$B$13),INDEX(Amortizacao!$K$6:$K$485,$A434-Premissas!$B$48+1),0)</x:f>
        <x:v>0</x:v>
      </x:c>
      <x:c r="Z434" s="141" t="n">
        <x:f>IF(AND(TRUE,Premissas!$B$11="Imovel",Premissas!$B$47="Moradia",$A434&lt;MAX(Premissas!$B$48,Premissas!$B$49)),$D434,0)</x:f>
        <x:v>0</x:v>
      </x:c>
      <x:c r="AA434" s="141" t="n">
        <x:f>IF(AND(TRUE,Premissas!$B$11="Imovel",Premissas!$B$47="Investimento",$A434&gt;=MAX(Premissas!$B$48,Premissas!$B$49)),$E434,0)</x:f>
        <x:v>4919.095547079904</x:v>
      </x:c>
      <x:c r="AB434" s="141" t="n">
        <x:f>X434+Y434+Z434</x:f>
        <x:v>0</x:v>
      </x:c>
      <x:c r="AC434" s="141" t="n">
        <x:f>AA434</x:f>
        <x:v>4919.095547079904</x:v>
      </x:c>
      <x:c r="AD434" s="141" t="n">
        <x:f>$C434+AC434-AB434</x:f>
        <x:v>4919.095547079904</x:v>
      </x:c>
      <x:c r="AE434" s="141" t="n">
        <x:f>AH433*(1+Premissas!$B$41)+AD434</x:f>
        <x:v>42120787.18343773</x:v>
      </x:c>
      <x:c r="AF434" s="141" t="n">
        <x:f>MAX(0,-AE434)</x:f>
        <x:v>0</x:v>
      </x:c>
      <x:c r="AG434" s="141" t="n">
        <x:f>AG433*(1+Premissas!$B$41)+AF434</x:f>
        <x:v>0</x:v>
      </x:c>
      <x:c r="AH434" s="141" t="n">
        <x:f>MAX(0,AE434)</x:f>
        <x:v>42120787.18343773</x:v>
      </x:c>
      <x:c r="AI434" s="141" t="n">
        <x:f>IF(AND($A434&gt;=Premissas!$B$48,$A434-Premissas!$B$48+1&lt;=Premissas!$B$13),INDEX(Amortizacao!$L$6:$L$485,$A434-Premissas!$B$48+1),0)</x:f>
        <x:v>0</x:v>
      </x:c>
      <x:c r="AJ434" s="141" t="n">
        <x:f>IF($A434&gt;=Premissas!$B$48,$F434,0)</x:f>
        <x:v>1605885.877637345</x:v>
      </x:c>
      <x:c r="AK434" s="141" t="n">
        <x:f>AH434+AJ434-AI434</x:f>
        <x:v>43726673.06107507</x:v>
      </x:c>
      <x:c r="AL434" s="141" t="n">
        <x:f>IF(AG434&gt;1,"Inviavel",AK434)</x:f>
        <x:v>43726673.06107507</x:v>
      </x:c>
      <x:c r="AM434" s="141" t="str">
        <x:f>IF(AG434&gt;1,"Inviavel","OK")</x:f>
        <x:v>OK</x:v>
      </x:c>
      <x:c r="AN434" s="141" t="n">
        <x:f>IF($A434=Premissas!$B$48,Premissas!$B$8,0)</x:f>
        <x:v>0</x:v>
      </x:c>
      <x:c r="AO434" s="141" t="n">
        <x:f>IF($A434&lt;=Premissas!$B$25,INDEX('Consorcio IQ'!$K$6:$K$485,$A434),0)</x:f>
        <x:v>0</x:v>
      </x:c>
      <x:c r="AP434" s="141" t="n">
        <x:f>IF(AND(TRUE,Premissas!$B$11="Imovel",Premissas!$B$47="Moradia",$A434&lt;MAX(Premissas!$B$48,Premissas!$B$49)),$D434,0)</x:f>
        <x:v>0</x:v>
      </x:c>
      <x:c r="AQ434" s="141" t="n">
        <x:f>IF(AND(TRUE,Premissas!$B$11="Imovel",Premissas!$B$47="Investimento",$A434&gt;=MAX(Premissas!$B$48,Premissas!$B$49)),$E434,0)</x:f>
        <x:v>4919.095547079904</x:v>
      </x:c>
      <x:c r="AR434" s="141" t="n">
        <x:f>AN434+AO434+AP434</x:f>
        <x:v>0</x:v>
      </x:c>
      <x:c r="AS434" s="141" t="n">
        <x:f>AQ434</x:f>
        <x:v>4919.095547079904</x:v>
      </x:c>
      <x:c r="AT434" s="141" t="n">
        <x:f>$C434+AS434-AR434</x:f>
        <x:v>4919.095547079904</x:v>
      </x:c>
      <x:c r="AU434" s="141" t="n">
        <x:f>AX433*(1+Premissas!$B$41)+AT434</x:f>
        <x:v>41788572.92179389</x:v>
      </x:c>
      <x:c r="AV434" s="141" t="n">
        <x:f>MAX(0,-AU434)</x:f>
        <x:v>0</x:v>
      </x:c>
      <x:c r="AW434" s="141" t="n">
        <x:f>AW433*(1+Premissas!$B$41)+AV434</x:f>
        <x:v>0</x:v>
      </x:c>
      <x:c r="AX434" s="141" t="n">
        <x:f>MAX(0,AU434)</x:f>
        <x:v>41788572.92179389</x:v>
      </x:c>
      <x:c r="AY434" s="141" t="n">
        <x:f>INDEX('Consorcio IQ'!$P$6:$P$485,$A434)</x:f>
        <x:v>0</x:v>
      </x:c>
      <x:c r="AZ434" s="141" t="n">
        <x:f>IF($A434&gt;=Premissas!$B$48,$F434,0)+IF($A434&lt;Premissas!$B$27,INDEX('Consorcio IQ'!$O$6:$O$485,$A434),0)</x:f>
        <x:v>1605885.877637345</x:v>
      </x:c>
      <x:c r="BA434" s="141" t="n">
        <x:f>AX434+AZ434-AY434</x:f>
        <x:v>43394458.799431235</x:v>
      </x:c>
      <x:c r="BB434" s="141" t="n">
        <x:f>IF(AW434&gt;1,"Inviavel",BA434)</x:f>
        <x:v>43394458.799431235</x:v>
      </x:c>
      <x:c r="BC434" s="141" t="str">
        <x:f>IF(AW434&gt;1,"Inviavel","OK")</x:f>
        <x:v>OK</x:v>
      </x:c>
      <x:c r="BD434" s="141" t="n">
        <x:f>IF($A434='Consorcio Direto'!$B$29,'Consorcio Direto'!$B$44,0)</x:f>
        <x:v>0</x:v>
      </x:c>
      <x:c r="BE434" s="141" t="n">
        <x:f>IF($A434&lt;='Consorcio Direto'!$B$27,INDEX('Consorcio Direto'!$E$55:$E$534,$A434),0)</x:f>
        <x:v>0</x:v>
      </x:c>
      <x:c r="BF434" s="141" t="n">
        <x:f>IF(AND(TRUE,Premissas!$B$11="Imovel",Premissas!$B$47="Moradia",$A434&lt;MAX('Consorcio Direto'!$B$29,Premissas!$B$49)),$D434,0)</x:f>
        <x:v>0</x:v>
      </x:c>
      <x:c r="BG434" s="141" t="n">
        <x:f>IF(AND(TRUE,Premissas!$B$11="Imovel",Premissas!$B$47="Investimento",$A434&gt;=MAX('Consorcio Direto'!$B$29,Premissas!$B$49)),$E434,0)</x:f>
        <x:v>4919.095547079904</x:v>
      </x:c>
      <x:c r="BH434" s="141" t="n">
        <x:f>BD434+BE434+BF434</x:f>
        <x:v>0</x:v>
      </x:c>
      <x:c r="BI434" s="141" t="n">
        <x:f>BG434</x:f>
        <x:v>4919.095547079904</x:v>
      </x:c>
      <x:c r="BJ434" s="141" t="n">
        <x:f>$C434+BI434-BH434</x:f>
        <x:v>4919.095547079904</x:v>
      </x:c>
      <x:c r="BK434" s="141" t="n">
        <x:f>BN433*(1+Premissas!$B$41)+BJ434</x:f>
        <x:v>39993157.697683156</x:v>
      </x:c>
      <x:c r="BL434" s="141" t="n">
        <x:f>MAX(0,-BK434)</x:f>
        <x:v>0</x:v>
      </x:c>
      <x:c r="BM434" s="141" t="n">
        <x:f>BM433*(1+Premissas!$B$41)+BL434</x:f>
        <x:v>0</x:v>
      </x:c>
      <x:c r="BN434" s="141" t="n">
        <x:f>MAX(0,BK434)</x:f>
        <x:v>39993157.697683156</x:v>
      </x:c>
      <x:c r="BO434" s="141" t="n">
        <x:f>INDEX('Consorcio Direto'!$K$55:$K$534,$A434)</x:f>
        <x:v>0</x:v>
      </x:c>
      <x:c r="BP434" s="141" t="n">
        <x:f>IF($A434&lt;'Consorcio Direto'!$B$29,INDEX('Consorcio Direto'!$L$55:$L$534,$A434),$F434)</x:f>
        <x:v>1605885.877637345</x:v>
      </x:c>
      <x:c r="BQ434" s="141" t="n">
        <x:f>BN434+BP434-BO434</x:f>
        <x:v>41599043.5753205</x:v>
      </x:c>
      <x:c r="BR434" s="141" t="n">
        <x:f>IF(BM434&gt;1,"Inviavel",BQ434)</x:f>
        <x:v>41599043.5753205</x:v>
      </x:c>
      <x:c r="BS434" s="141" t="str">
        <x:f>IF(BM434&gt;1,"Inviavel","OK")</x:f>
        <x:v>OK</x:v>
      </x:c>
      <x:c r="BT434" s="141" t="n">
        <x:f>IF(AND('Carta Contemplada'!$B$22="Sim",$A434='Carta Contemplada'!$B$23),'Carta Contemplada'!$B$37,0)</x:f>
        <x:v>0</x:v>
      </x:c>
      <x:c r="BU434" s="141" t="n">
        <x:f>IF('Carta Contemplada'!$B$22="Sim",INDEX('Carta Contemplada'!$C$55:$C$1013,$A434),0)</x:f>
        <x:v>0</x:v>
      </x:c>
      <x:c r="BV434" s="141" t="n">
        <x:f>IF(AND('Carta Contemplada'!$B$22="Sim",Premissas!$B$11="Imovel",Premissas!$B$47="Moradia",$A434&lt;MAX('Carta Contemplada'!$B$44,Premissas!$B$49)),$D434,0)</x:f>
        <x:v>0</x:v>
      </x:c>
      <x:c r="BW434" s="141" t="n">
        <x:f>IF(AND('Carta Contemplada'!$B$22="Sim",Premissas!$B$11="Imovel",Premissas!$B$47="Investimento",$A434&gt;=MAX('Carta Contemplada'!$B$44,Premissas!$B$49)),$E434,0)</x:f>
        <x:v>4919.095547079904</x:v>
      </x:c>
      <x:c r="BX434" s="141" t="n">
        <x:f>BT434+BU434+BV434</x:f>
        <x:v>0</x:v>
      </x:c>
      <x:c r="BY434" s="141" t="n">
        <x:f>BW434</x:f>
        <x:v>4919.095547079904</x:v>
      </x:c>
      <x:c r="BZ434" s="141" t="n">
        <x:f>$C434+BY434-BX434</x:f>
        <x:v>4919.095547079904</x:v>
      </x:c>
      <x:c r="CA434" s="141" t="n">
        <x:f>CD433*(1+Premissas!$B$41)+BZ434</x:f>
        <x:v>42958569.117168434</x:v>
      </x:c>
      <x:c r="CB434" s="141" t="n">
        <x:f>MAX(0,-CA434)</x:f>
        <x:v>0</x:v>
      </x:c>
      <x:c r="CC434" s="141" t="n">
        <x:f>CC433*(1+Premissas!$B$41)+CB434</x:f>
        <x:v>0</x:v>
      </x:c>
      <x:c r="CD434" s="141" t="n">
        <x:f>MAX(0,CA434)</x:f>
        <x:v>42958569.117168434</x:v>
      </x:c>
      <x:c r="CE434" s="141" t="n">
        <x:f>IF(AND('Carta Contemplada'!$B$22="Sim",$A434&gt;='Carta Contemplada'!$B$23),INDEX('Carta Contemplada'!$I$55:$I$1013,$A434),0)</x:f>
        <x:v>0</x:v>
      </x:c>
      <x:c r="CF434" s="141" t="n">
        <x:f>IF(AND('Carta Contemplada'!$B$22="Sim",$A434&gt;='Carta Contemplada'!$B$44),$F434,0)</x:f>
        <x:v>1605885.877637345</x:v>
      </x:c>
      <x:c r="CG434" s="141" t="n">
        <x:f>CD434+CF434-CE434</x:f>
        <x:v>44564454.994805776</x:v>
      </x:c>
      <x:c r="CH434" s="141" t="n">
        <x:f>IF(CC434&gt;1,"Inviavel",CG434)</x:f>
        <x:v>44564454.994805776</x:v>
      </x:c>
      <x:c r="CI434" s="145" t="str">
        <x:f>IF(CC434&gt;1,"Inviavel","OK")</x:f>
        <x:v>OK</x:v>
      </x:c>
    </x:row>
    <x:row r="435">
      <x:c r="A435" s="142" t="n">
        <x:v>431</x:v>
      </x:c>
      <x:c r="B435" s="179" t="n">
        <x:f>EDATE(Premissas!$B$4,A435-1)</x:f>
        <x:v>59627</x:v>
      </x:c>
      <x:c r="C435" s="141" t="n">
        <x:f>IF(A435&lt;=Premissas!$B$39,Premissas!$B$42,0)</x:f>
        <x:v>0</x:v>
      </x:c>
      <x:c r="D435" s="141" t="n">
        <x:f>Premissas!$B$54*(1+Premissas!$B$57)^INT((A435-1)/12)</x:f>
        <x:v>5380.260754618645</x:v>
      </x:c>
      <x:c r="E435" s="141" t="n">
        <x:f>Premissas!$B$64*(1+Premissas!$B$57)^INT((A435-1)/12)</x:f>
        <x:v>4919.095547079904</x:v>
      </x:c>
      <x:c r="F435" s="141" t="n">
        <x:f>MAX(0,Premissas!$B$6*(1+Premissas!$B$66)^((A435-1)/12))</x:f>
        <x:v>1613702.6083489154</x:v>
      </x:c>
      <x:c r="G435" s="141" t="n">
        <x:f>G434*(1+Premissas!$B$41)+C435</x:f>
        <x:v>47619133.977095544</x:v>
      </x:c>
      <x:c r="H435" s="141" t="n">
        <x:f>IF($A435=Premissas!$B$48,Premissas!$B$8,0)</x:f>
        <x:v>0</x:v>
      </x:c>
      <x:c r="I435" s="141" t="n">
        <x:f>IF(AND($A435&gt;=Premissas!$B$48,$A435-Premissas!$B$48+1&lt;=Premissas!$B$13),INDEX(Financiamento!$J$6:$J$485,$A435-Premissas!$B$48+1),0)</x:f>
        <x:v>0</x:v>
      </x:c>
      <x:c r="J435" s="141" t="n">
        <x:f>IF(AND(TRUE,Premissas!$B$11="Imovel",Premissas!$B$47="Moradia",$A435&lt;MAX(Premissas!$B$48,Premissas!$B$49)),$D435,0)</x:f>
        <x:v>0</x:v>
      </x:c>
      <x:c r="K435" s="141" t="n">
        <x:f>IF(AND(TRUE,Premissas!$B$11="Imovel",Premissas!$B$47="Investimento",$A435&gt;=MAX(Premissas!$B$48,Premissas!$B$49)),$E435,0)</x:f>
        <x:v>4919.095547079904</x:v>
      </x:c>
      <x:c r="L435" s="141" t="n">
        <x:f>H435+I435+J435</x:f>
        <x:v>0</x:v>
      </x:c>
      <x:c r="M435" s="141" t="n">
        <x:f>K435</x:f>
        <x:v>4919.095547079904</x:v>
      </x:c>
      <x:c r="N435" s="141" t="n">
        <x:f>$C435+M435-L435</x:f>
        <x:v>4919.095547079904</x:v>
      </x:c>
      <x:c r="O435" s="141" t="n">
        <x:f>R434*(1+Premissas!$B$41)+N435</x:f>
        <x:v>41825312.744676426</x:v>
      </x:c>
      <x:c r="P435" s="141" t="n">
        <x:f>MAX(0,-O435)</x:f>
        <x:v>0</x:v>
      </x:c>
      <x:c r="Q435" s="141" t="n">
        <x:f>Q434*(1+Premissas!$B$41)+P435</x:f>
        <x:v>0</x:v>
      </x:c>
      <x:c r="R435" s="141" t="n">
        <x:f>MAX(0,O435)</x:f>
        <x:v>41825312.744676426</x:v>
      </x:c>
      <x:c r="S435" s="141" t="n">
        <x:f>IF(AND($A435&gt;=Premissas!$B$48,$A435-Premissas!$B$48+1&lt;=Premissas!$B$13),INDEX(Financiamento!$M$6:$M$485,$A435-Premissas!$B$48+1),0)</x:f>
        <x:v>0</x:v>
      </x:c>
      <x:c r="T435" s="141" t="n">
        <x:f>IF($A435&gt;=Premissas!$B$48,$F435,0)</x:f>
        <x:v>1613702.6083489154</x:v>
      </x:c>
      <x:c r="U435" s="141" t="n">
        <x:f>R435+T435-S435</x:f>
        <x:v>43439015.35302534</x:v>
      </x:c>
      <x:c r="V435" s="141" t="n">
        <x:f>IF(Q435&gt;1,"Inviavel",U435)</x:f>
        <x:v>43439015.35302534</x:v>
      </x:c>
      <x:c r="W435" s="141" t="str">
        <x:f>IF(Q435&gt;1,"Inviavel","OK")</x:f>
        <x:v>OK</x:v>
      </x:c>
      <x:c r="X435" s="141" t="n">
        <x:f>IF($A435=Premissas!$B$48,Premissas!$B$8,0)</x:f>
        <x:v>0</x:v>
      </x:c>
      <x:c r="Y435" s="141" t="n">
        <x:f>IF(AND($A435&gt;=Premissas!$B$48,$A435-Premissas!$B$48+1&lt;=Premissas!$B$13),INDEX(Amortizacao!$K$6:$K$485,$A435-Premissas!$B$48+1),0)</x:f>
        <x:v>0</x:v>
      </x:c>
      <x:c r="Z435" s="141" t="n">
        <x:f>IF(AND(TRUE,Premissas!$B$11="Imovel",Premissas!$B$47="Moradia",$A435&lt;MAX(Premissas!$B$48,Premissas!$B$49)),$D435,0)</x:f>
        <x:v>0</x:v>
      </x:c>
      <x:c r="AA435" s="141" t="n">
        <x:f>IF(AND(TRUE,Premissas!$B$11="Imovel",Premissas!$B$47="Investimento",$A435&gt;=MAX(Premissas!$B$48,Premissas!$B$49)),$E435,0)</x:f>
        <x:v>4919.095547079904</x:v>
      </x:c>
      <x:c r="AB435" s="141" t="n">
        <x:f>X435+Y435+Z435</x:f>
        <x:v>0</x:v>
      </x:c>
      <x:c r="AC435" s="141" t="n">
        <x:f>AA435</x:f>
        <x:v>4919.095547079904</x:v>
      </x:c>
      <x:c r="AD435" s="141" t="n">
        <x:f>$C435+AC435-AB435</x:f>
        <x:v>4919.095547079904</x:v>
      </x:c>
      <x:c r="AE435" s="141" t="n">
        <x:f>AH434*(1+Premissas!$B$41)+AD435</x:f>
        <x:v>42525381.70681009</x:v>
      </x:c>
      <x:c r="AF435" s="141" t="n">
        <x:f>MAX(0,-AE435)</x:f>
        <x:v>0</x:v>
      </x:c>
      <x:c r="AG435" s="141" t="n">
        <x:f>AG434*(1+Premissas!$B$41)+AF435</x:f>
        <x:v>0</x:v>
      </x:c>
      <x:c r="AH435" s="141" t="n">
        <x:f>MAX(0,AE435)</x:f>
        <x:v>42525381.70681009</x:v>
      </x:c>
      <x:c r="AI435" s="141" t="n">
        <x:f>IF(AND($A435&gt;=Premissas!$B$48,$A435-Premissas!$B$48+1&lt;=Premissas!$B$13),INDEX(Amortizacao!$L$6:$L$485,$A435-Premissas!$B$48+1),0)</x:f>
        <x:v>0</x:v>
      </x:c>
      <x:c r="AJ435" s="141" t="n">
        <x:f>IF($A435&gt;=Premissas!$B$48,$F435,0)</x:f>
        <x:v>1613702.6083489154</x:v>
      </x:c>
      <x:c r="AK435" s="141" t="n">
        <x:f>AH435+AJ435-AI435</x:f>
        <x:v>44139084.315159</x:v>
      </x:c>
      <x:c r="AL435" s="141" t="n">
        <x:f>IF(AG435&gt;1,"Inviavel",AK435)</x:f>
        <x:v>44139084.315159</x:v>
      </x:c>
      <x:c r="AM435" s="141" t="str">
        <x:f>IF(AG435&gt;1,"Inviavel","OK")</x:f>
        <x:v>OK</x:v>
      </x:c>
      <x:c r="AN435" s="141" t="n">
        <x:f>IF($A435=Premissas!$B$48,Premissas!$B$8,0)</x:f>
        <x:v>0</x:v>
      </x:c>
      <x:c r="AO435" s="141" t="n">
        <x:f>IF($A435&lt;=Premissas!$B$25,INDEX('Consorcio IQ'!$K$6:$K$485,$A435),0)</x:f>
        <x:v>0</x:v>
      </x:c>
      <x:c r="AP435" s="141" t="n">
        <x:f>IF(AND(TRUE,Premissas!$B$11="Imovel",Premissas!$B$47="Moradia",$A435&lt;MAX(Premissas!$B$48,Premissas!$B$49)),$D435,0)</x:f>
        <x:v>0</x:v>
      </x:c>
      <x:c r="AQ435" s="141" t="n">
        <x:f>IF(AND(TRUE,Premissas!$B$11="Imovel",Premissas!$B$47="Investimento",$A435&gt;=MAX(Premissas!$B$48,Premissas!$B$49)),$E435,0)</x:f>
        <x:v>4919.095547079904</x:v>
      </x:c>
      <x:c r="AR435" s="141" t="n">
        <x:f>AN435+AO435+AP435</x:f>
        <x:v>0</x:v>
      </x:c>
      <x:c r="AS435" s="141" t="n">
        <x:f>AQ435</x:f>
        <x:v>4919.095547079904</x:v>
      </x:c>
      <x:c r="AT435" s="141" t="n">
        <x:f>$C435+AS435-AR435</x:f>
        <x:v>4919.095547079904</x:v>
      </x:c>
      <x:c r="AU435" s="141" t="n">
        <x:f>AX434*(1+Premissas!$B$41)+AT435</x:f>
        <x:v>42190015.1328276</x:v>
      </x:c>
      <x:c r="AV435" s="141" t="n">
        <x:f>MAX(0,-AU435)</x:f>
        <x:v>0</x:v>
      </x:c>
      <x:c r="AW435" s="141" t="n">
        <x:f>AW434*(1+Premissas!$B$41)+AV435</x:f>
        <x:v>0</x:v>
      </x:c>
      <x:c r="AX435" s="141" t="n">
        <x:f>MAX(0,AU435)</x:f>
        <x:v>42190015.1328276</x:v>
      </x:c>
      <x:c r="AY435" s="141" t="n">
        <x:f>INDEX('Consorcio IQ'!$P$6:$P$485,$A435)</x:f>
        <x:v>0</x:v>
      </x:c>
      <x:c r="AZ435" s="141" t="n">
        <x:f>IF($A435&gt;=Premissas!$B$48,$F435,0)+IF($A435&lt;Premissas!$B$27,INDEX('Consorcio IQ'!$O$6:$O$485,$A435),0)</x:f>
        <x:v>1613702.6083489154</x:v>
      </x:c>
      <x:c r="BA435" s="141" t="n">
        <x:f>AX435+AZ435-AY435</x:f>
        <x:v>43803717.741176516</x:v>
      </x:c>
      <x:c r="BB435" s="141" t="n">
        <x:f>IF(AW435&gt;1,"Inviavel",BA435)</x:f>
        <x:v>43803717.741176516</x:v>
      </x:c>
      <x:c r="BC435" s="141" t="str">
        <x:f>IF(AW435&gt;1,"Inviavel","OK")</x:f>
        <x:v>OK</x:v>
      </x:c>
      <x:c r="BD435" s="141" t="n">
        <x:f>IF($A435='Consorcio Direto'!$B$29,'Consorcio Direto'!$B$44,0)</x:f>
        <x:v>0</x:v>
      </x:c>
      <x:c r="BE435" s="141" t="n">
        <x:f>IF($A435&lt;='Consorcio Direto'!$B$27,INDEX('Consorcio Direto'!$E$55:$E$534,$A435),0)</x:f>
        <x:v>0</x:v>
      </x:c>
      <x:c r="BF435" s="141" t="n">
        <x:f>IF(AND(TRUE,Premissas!$B$11="Imovel",Premissas!$B$47="Moradia",$A435&lt;MAX('Consorcio Direto'!$B$29,Premissas!$B$49)),$D435,0)</x:f>
        <x:v>0</x:v>
      </x:c>
      <x:c r="BG435" s="141" t="n">
        <x:f>IF(AND(TRUE,Premissas!$B$11="Imovel",Premissas!$B$47="Investimento",$A435&gt;=MAX('Consorcio Direto'!$B$29,Premissas!$B$49)),$E435,0)</x:f>
        <x:v>4919.095547079904</x:v>
      </x:c>
      <x:c r="BH435" s="141" t="n">
        <x:f>BD435+BE435+BF435</x:f>
        <x:v>0</x:v>
      </x:c>
      <x:c r="BI435" s="141" t="n">
        <x:f>BG435</x:f>
        <x:v>4919.095547079904</x:v>
      </x:c>
      <x:c r="BJ435" s="141" t="n">
        <x:f>$C435+BI435-BH435</x:f>
        <x:v>4919.095547079904</x:v>
      </x:c>
      <x:c r="BK435" s="141" t="n">
        <x:f>BN434*(1+Premissas!$B$41)+BJ435</x:f>
        <x:v>40377563.58542368</x:v>
      </x:c>
      <x:c r="BL435" s="141" t="n">
        <x:f>MAX(0,-BK435)</x:f>
        <x:v>0</x:v>
      </x:c>
      <x:c r="BM435" s="141" t="n">
        <x:f>BM434*(1+Premissas!$B$41)+BL435</x:f>
        <x:v>0</x:v>
      </x:c>
      <x:c r="BN435" s="141" t="n">
        <x:f>MAX(0,BK435)</x:f>
        <x:v>40377563.58542368</x:v>
      </x:c>
      <x:c r="BO435" s="141" t="n">
        <x:f>INDEX('Consorcio Direto'!$K$55:$K$534,$A435)</x:f>
        <x:v>0</x:v>
      </x:c>
      <x:c r="BP435" s="141" t="n">
        <x:f>IF($A435&lt;'Consorcio Direto'!$B$29,INDEX('Consorcio Direto'!$L$55:$L$534,$A435),$F435)</x:f>
        <x:v>1613702.6083489154</x:v>
      </x:c>
      <x:c r="BQ435" s="141" t="n">
        <x:f>BN435+BP435-BO435</x:f>
        <x:v>41991266.19377259</x:v>
      </x:c>
      <x:c r="BR435" s="141" t="n">
        <x:f>IF(BM435&gt;1,"Inviavel",BQ435)</x:f>
        <x:v>41991266.19377259</x:v>
      </x:c>
      <x:c r="BS435" s="141" t="str">
        <x:f>IF(BM435&gt;1,"Inviavel","OK")</x:f>
        <x:v>OK</x:v>
      </x:c>
      <x:c r="BT435" s="141" t="n">
        <x:f>IF(AND('Carta Contemplada'!$B$22="Sim",$A435='Carta Contemplada'!$B$23),'Carta Contemplada'!$B$37,0)</x:f>
        <x:v>0</x:v>
      </x:c>
      <x:c r="BU435" s="141" t="n">
        <x:f>IF('Carta Contemplada'!$B$22="Sim",INDEX('Carta Contemplada'!$C$55:$C$1013,$A435),0)</x:f>
        <x:v>0</x:v>
      </x:c>
      <x:c r="BV435" s="141" t="n">
        <x:f>IF(AND('Carta Contemplada'!$B$22="Sim",Premissas!$B$11="Imovel",Premissas!$B$47="Moradia",$A435&lt;MAX('Carta Contemplada'!$B$44,Premissas!$B$49)),$D435,0)</x:f>
        <x:v>0</x:v>
      </x:c>
      <x:c r="BW435" s="141" t="n">
        <x:f>IF(AND('Carta Contemplada'!$B$22="Sim",Premissas!$B$11="Imovel",Premissas!$B$47="Investimento",$A435&gt;=MAX('Carta Contemplada'!$B$44,Premissas!$B$49)),$E435,0)</x:f>
        <x:v>4919.095547079904</x:v>
      </x:c>
      <x:c r="BX435" s="141" t="n">
        <x:f>BT435+BU435+BV435</x:f>
        <x:v>0</x:v>
      </x:c>
      <x:c r="BY435" s="141" t="n">
        <x:f>BW435</x:f>
        <x:v>4919.095547079904</x:v>
      </x:c>
      <x:c r="BZ435" s="141" t="n">
        <x:f>$C435+BY435-BX435</x:f>
        <x:v>4919.095547079904</x:v>
      </x:c>
      <x:c r="CA435" s="141" t="n">
        <x:f>CD434*(1+Premissas!$B$41)+BZ435</x:f>
        <x:v>43371113.1798343</x:v>
      </x:c>
      <x:c r="CB435" s="141" t="n">
        <x:f>MAX(0,-CA435)</x:f>
        <x:v>0</x:v>
      </x:c>
      <x:c r="CC435" s="141" t="n">
        <x:f>CC434*(1+Premissas!$B$41)+CB435</x:f>
        <x:v>0</x:v>
      </x:c>
      <x:c r="CD435" s="141" t="n">
        <x:f>MAX(0,CA435)</x:f>
        <x:v>43371113.1798343</x:v>
      </x:c>
      <x:c r="CE435" s="141" t="n">
        <x:f>IF(AND('Carta Contemplada'!$B$22="Sim",$A435&gt;='Carta Contemplada'!$B$23),INDEX('Carta Contemplada'!$I$55:$I$1013,$A435),0)</x:f>
        <x:v>0</x:v>
      </x:c>
      <x:c r="CF435" s="141" t="n">
        <x:f>IF(AND('Carta Contemplada'!$B$22="Sim",$A435&gt;='Carta Contemplada'!$B$44),$F435,0)</x:f>
        <x:v>1613702.6083489154</x:v>
      </x:c>
      <x:c r="CG435" s="141" t="n">
        <x:f>CD435+CF435-CE435</x:f>
        <x:v>44984815.78818321</x:v>
      </x:c>
      <x:c r="CH435" s="141" t="n">
        <x:f>IF(CC435&gt;1,"Inviavel",CG435)</x:f>
        <x:v>44984815.78818321</x:v>
      </x:c>
      <x:c r="CI435" s="145" t="str">
        <x:f>IF(CC435&gt;1,"Inviavel","OK")</x:f>
        <x:v>OK</x:v>
      </x:c>
    </x:row>
    <x:row r="436">
      <x:c r="A436" s="142" t="n">
        <x:v>432</x:v>
      </x:c>
      <x:c r="B436" s="179" t="n">
        <x:f>EDATE(Premissas!$B$4,A436-1)</x:f>
        <x:v>59657</x:v>
      </x:c>
      <x:c r="C436" s="141" t="n">
        <x:f>IF(A436&lt;=Premissas!$B$39,Premissas!$B$42,0)</x:f>
        <x:v>0</x:v>
      </x:c>
      <x:c r="D436" s="141" t="n">
        <x:f>Premissas!$B$54*(1+Premissas!$B$57)^INT((A436-1)/12)</x:f>
        <x:v>5380.260754618645</x:v>
      </x:c>
      <x:c r="E436" s="141" t="n">
        <x:f>Premissas!$B$64*(1+Premissas!$B$57)^INT((A436-1)/12)</x:f>
        <x:v>4919.095547079904</x:v>
      </x:c>
      <x:c r="F436" s="141" t="n">
        <x:f>MAX(0,Premissas!$B$6*(1+Premissas!$B$66)^((A436-1)/12))</x:f>
        <x:v>1621557.3873924792</x:v>
      </x:c>
      <x:c r="G436" s="141" t="n">
        <x:f>G435*(1+Premissas!$B$41)+C436</x:f>
        <x:v>48070982.07912837</x:v>
      </x:c>
      <x:c r="H436" s="141" t="n">
        <x:f>IF($A436=Premissas!$B$48,Premissas!$B$8,0)</x:f>
        <x:v>0</x:v>
      </x:c>
      <x:c r="I436" s="141" t="n">
        <x:f>IF(AND($A436&gt;=Premissas!$B$48,$A436-Premissas!$B$48+1&lt;=Premissas!$B$13),INDEX(Financiamento!$J$6:$J$485,$A436-Premissas!$B$48+1),0)</x:f>
        <x:v>0</x:v>
      </x:c>
      <x:c r="J436" s="141" t="n">
        <x:f>IF(AND(TRUE,Premissas!$B$11="Imovel",Premissas!$B$47="Moradia",$A436&lt;MAX(Premissas!$B$48,Premissas!$B$49)),$D436,0)</x:f>
        <x:v>0</x:v>
      </x:c>
      <x:c r="K436" s="141" t="n">
        <x:f>IF(AND(TRUE,Premissas!$B$11="Imovel",Premissas!$B$47="Investimento",$A436&gt;=MAX(Premissas!$B$48,Premissas!$B$49)),$E436,0)</x:f>
        <x:v>4919.095547079904</x:v>
      </x:c>
      <x:c r="L436" s="141" t="n">
        <x:f>H436+I436+J436</x:f>
        <x:v>0</x:v>
      </x:c>
      <x:c r="M436" s="141" t="n">
        <x:f>K436</x:f>
        <x:v>4919.095547079904</x:v>
      </x:c>
      <x:c r="N436" s="141" t="n">
        <x:f>$C436+M436-L436</x:f>
        <x:v>4919.095547079904</x:v>
      </x:c>
      <x:c r="O436" s="141" t="n">
        <x:f>R435*(1+Premissas!$B$41)+N436</x:f>
        <x:v>42227103.57228192</x:v>
      </x:c>
      <x:c r="P436" s="141" t="n">
        <x:f>MAX(0,-O436)</x:f>
        <x:v>0</x:v>
      </x:c>
      <x:c r="Q436" s="141" t="n">
        <x:f>Q435*(1+Premissas!$B$41)+P436</x:f>
        <x:v>0</x:v>
      </x:c>
      <x:c r="R436" s="141" t="n">
        <x:f>MAX(0,O436)</x:f>
        <x:v>42227103.57228192</x:v>
      </x:c>
      <x:c r="S436" s="141" t="n">
        <x:f>IF(AND($A436&gt;=Premissas!$B$48,$A436-Premissas!$B$48+1&lt;=Premissas!$B$13),INDEX(Financiamento!$M$6:$M$485,$A436-Premissas!$B$48+1),0)</x:f>
        <x:v>0</x:v>
      </x:c>
      <x:c r="T436" s="141" t="n">
        <x:f>IF($A436&gt;=Premissas!$B$48,$F436,0)</x:f>
        <x:v>1621557.3873924792</x:v>
      </x:c>
      <x:c r="U436" s="141" t="n">
        <x:f>R436+T436-S436</x:f>
        <x:v>43848660.959674396</x:v>
      </x:c>
      <x:c r="V436" s="141" t="n">
        <x:f>IF(Q436&gt;1,"Inviavel",U436)</x:f>
        <x:v>43848660.959674396</x:v>
      </x:c>
      <x:c r="W436" s="141" t="str">
        <x:f>IF(Q436&gt;1,"Inviavel","OK")</x:f>
        <x:v>OK</x:v>
      </x:c>
      <x:c r="X436" s="141" t="n">
        <x:f>IF($A436=Premissas!$B$48,Premissas!$B$8,0)</x:f>
        <x:v>0</x:v>
      </x:c>
      <x:c r="Y436" s="141" t="n">
        <x:f>IF(AND($A436&gt;=Premissas!$B$48,$A436-Premissas!$B$48+1&lt;=Premissas!$B$13),INDEX(Amortizacao!$K$6:$K$485,$A436-Premissas!$B$48+1),0)</x:f>
        <x:v>0</x:v>
      </x:c>
      <x:c r="Z436" s="141" t="n">
        <x:f>IF(AND(TRUE,Premissas!$B$11="Imovel",Premissas!$B$47="Moradia",$A436&lt;MAX(Premissas!$B$48,Premissas!$B$49)),$D436,0)</x:f>
        <x:v>0</x:v>
      </x:c>
      <x:c r="AA436" s="141" t="n">
        <x:f>IF(AND(TRUE,Premissas!$B$11="Imovel",Premissas!$B$47="Investimento",$A436&gt;=MAX(Premissas!$B$48,Premissas!$B$49)),$E436,0)</x:f>
        <x:v>4919.095547079904</x:v>
      </x:c>
      <x:c r="AB436" s="141" t="n">
        <x:f>X436+Y436+Z436</x:f>
        <x:v>0</x:v>
      </x:c>
      <x:c r="AC436" s="141" t="n">
        <x:f>AA436</x:f>
        <x:v>4919.095547079904</x:v>
      </x:c>
      <x:c r="AD436" s="141" t="n">
        <x:f>$C436+AC436-AB436</x:f>
        <x:v>4919.095547079904</x:v>
      </x:c>
      <x:c r="AE436" s="141" t="n">
        <x:f>AH435*(1+Premissas!$B$41)+AD436</x:f>
        <x:v>42933815.343837194</x:v>
      </x:c>
      <x:c r="AF436" s="141" t="n">
        <x:f>MAX(0,-AE436)</x:f>
        <x:v>0</x:v>
      </x:c>
      <x:c r="AG436" s="141" t="n">
        <x:f>AG435*(1+Premissas!$B$41)+AF436</x:f>
        <x:v>0</x:v>
      </x:c>
      <x:c r="AH436" s="141" t="n">
        <x:f>MAX(0,AE436)</x:f>
        <x:v>42933815.343837194</x:v>
      </x:c>
      <x:c r="AI436" s="141" t="n">
        <x:f>IF(AND($A436&gt;=Premissas!$B$48,$A436-Premissas!$B$48+1&lt;=Premissas!$B$13),INDEX(Amortizacao!$L$6:$L$485,$A436-Premissas!$B$48+1),0)</x:f>
        <x:v>0</x:v>
      </x:c>
      <x:c r="AJ436" s="141" t="n">
        <x:f>IF($A436&gt;=Premissas!$B$48,$F436,0)</x:f>
        <x:v>1621557.3873924792</x:v>
      </x:c>
      <x:c r="AK436" s="141" t="n">
        <x:f>AH436+AJ436-AI436</x:f>
        <x:v>44555372.73122967</x:v>
      </x:c>
      <x:c r="AL436" s="141" t="n">
        <x:f>IF(AG436&gt;1,"Inviavel",AK436)</x:f>
        <x:v>44555372.73122967</x:v>
      </x:c>
      <x:c r="AM436" s="141" t="str">
        <x:f>IF(AG436&gt;1,"Inviavel","OK")</x:f>
        <x:v>OK</x:v>
      </x:c>
      <x:c r="AN436" s="141" t="n">
        <x:f>IF($A436=Premissas!$B$48,Premissas!$B$8,0)</x:f>
        <x:v>0</x:v>
      </x:c>
      <x:c r="AO436" s="141" t="n">
        <x:f>IF($A436&lt;=Premissas!$B$25,INDEX('Consorcio IQ'!$K$6:$K$485,$A436),0)</x:f>
        <x:v>0</x:v>
      </x:c>
      <x:c r="AP436" s="141" t="n">
        <x:f>IF(AND(TRUE,Premissas!$B$11="Imovel",Premissas!$B$47="Moradia",$A436&lt;MAX(Premissas!$B$48,Premissas!$B$49)),$D436,0)</x:f>
        <x:v>0</x:v>
      </x:c>
      <x:c r="AQ436" s="141" t="n">
        <x:f>IF(AND(TRUE,Premissas!$B$11="Imovel",Premissas!$B$47="Investimento",$A436&gt;=MAX(Premissas!$B$48,Premissas!$B$49)),$E436,0)</x:f>
        <x:v>4919.095547079904</x:v>
      </x:c>
      <x:c r="AR436" s="141" t="n">
        <x:f>AN436+AO436+AP436</x:f>
        <x:v>0</x:v>
      </x:c>
      <x:c r="AS436" s="141" t="n">
        <x:f>AQ436</x:f>
        <x:v>4919.095547079904</x:v>
      </x:c>
      <x:c r="AT436" s="141" t="n">
        <x:f>$C436+AS436-AR436</x:f>
        <x:v>4919.095547079904</x:v>
      </x:c>
      <x:c r="AU436" s="141" t="n">
        <x:f>AX435*(1+Premissas!$B$41)+AT436</x:f>
        <x:v>42595266.54587701</x:v>
      </x:c>
      <x:c r="AV436" s="141" t="n">
        <x:f>MAX(0,-AU436)</x:f>
        <x:v>0</x:v>
      </x:c>
      <x:c r="AW436" s="141" t="n">
        <x:f>AW435*(1+Premissas!$B$41)+AV436</x:f>
        <x:v>0</x:v>
      </x:c>
      <x:c r="AX436" s="141" t="n">
        <x:f>MAX(0,AU436)</x:f>
        <x:v>42595266.54587701</x:v>
      </x:c>
      <x:c r="AY436" s="141" t="n">
        <x:f>INDEX('Consorcio IQ'!$P$6:$P$485,$A436)</x:f>
        <x:v>0</x:v>
      </x:c>
      <x:c r="AZ436" s="141" t="n">
        <x:f>IF($A436&gt;=Premissas!$B$48,$F436,0)+IF($A436&lt;Premissas!$B$27,INDEX('Consorcio IQ'!$O$6:$O$485,$A436),0)</x:f>
        <x:v>1621557.3873924792</x:v>
      </x:c>
      <x:c r="BA436" s="141" t="n">
        <x:f>AX436+AZ436-AY436</x:f>
        <x:v>44216823.933269486</x:v>
      </x:c>
      <x:c r="BB436" s="141" t="n">
        <x:f>IF(AW436&gt;1,"Inviavel",BA436)</x:f>
        <x:v>44216823.933269486</x:v>
      </x:c>
      <x:c r="BC436" s="141" t="str">
        <x:f>IF(AW436&gt;1,"Inviavel","OK")</x:f>
        <x:v>OK</x:v>
      </x:c>
      <x:c r="BD436" s="141" t="n">
        <x:f>IF($A436='Consorcio Direto'!$B$29,'Consorcio Direto'!$B$44,0)</x:f>
        <x:v>0</x:v>
      </x:c>
      <x:c r="BE436" s="141" t="n">
        <x:f>IF($A436&lt;='Consorcio Direto'!$B$27,INDEX('Consorcio Direto'!$E$55:$E$534,$A436),0)</x:f>
        <x:v>0</x:v>
      </x:c>
      <x:c r="BF436" s="141" t="n">
        <x:f>IF(AND(TRUE,Premissas!$B$11="Imovel",Premissas!$B$47="Moradia",$A436&lt;MAX('Consorcio Direto'!$B$29,Premissas!$B$49)),$D436,0)</x:f>
        <x:v>0</x:v>
      </x:c>
      <x:c r="BG436" s="141" t="n">
        <x:f>IF(AND(TRUE,Premissas!$B$11="Imovel",Premissas!$B$47="Investimento",$A436&gt;=MAX('Consorcio Direto'!$B$29,Premissas!$B$49)),$E436,0)</x:f>
        <x:v>4919.095547079904</x:v>
      </x:c>
      <x:c r="BH436" s="141" t="n">
        <x:f>BD436+BE436+BF436</x:f>
        <x:v>0</x:v>
      </x:c>
      <x:c r="BI436" s="141" t="n">
        <x:f>BG436</x:f>
        <x:v>4919.095547079904</x:v>
      </x:c>
      <x:c r="BJ436" s="141" t="n">
        <x:f>$C436+BI436-BH436</x:f>
        <x:v>4919.095547079904</x:v>
      </x:c>
      <x:c r="BK436" s="141" t="n">
        <x:f>BN435*(1+Premissas!$B$41)+BJ436</x:f>
        <x:v>40765617.021035805</x:v>
      </x:c>
      <x:c r="BL436" s="141" t="n">
        <x:f>MAX(0,-BK436)</x:f>
        <x:v>0</x:v>
      </x:c>
      <x:c r="BM436" s="141" t="n">
        <x:f>BM435*(1+Premissas!$B$41)+BL436</x:f>
        <x:v>0</x:v>
      </x:c>
      <x:c r="BN436" s="141" t="n">
        <x:f>MAX(0,BK436)</x:f>
        <x:v>40765617.021035805</x:v>
      </x:c>
      <x:c r="BO436" s="141" t="n">
        <x:f>INDEX('Consorcio Direto'!$K$55:$K$534,$A436)</x:f>
        <x:v>0</x:v>
      </x:c>
      <x:c r="BP436" s="141" t="n">
        <x:f>IF($A436&lt;'Consorcio Direto'!$B$29,INDEX('Consorcio Direto'!$L$55:$L$534,$A436),$F436)</x:f>
        <x:v>1621557.3873924792</x:v>
      </x:c>
      <x:c r="BQ436" s="141" t="n">
        <x:f>BN436+BP436-BO436</x:f>
        <x:v>42387174.40842828</x:v>
      </x:c>
      <x:c r="BR436" s="141" t="n">
        <x:f>IF(BM436&gt;1,"Inviavel",BQ436)</x:f>
        <x:v>42387174.40842828</x:v>
      </x:c>
      <x:c r="BS436" s="141" t="str">
        <x:f>IF(BM436&gt;1,"Inviavel","OK")</x:f>
        <x:v>OK</x:v>
      </x:c>
      <x:c r="BT436" s="141" t="n">
        <x:f>IF(AND('Carta Contemplada'!$B$22="Sim",$A436='Carta Contemplada'!$B$23),'Carta Contemplada'!$B$37,0)</x:f>
        <x:v>0</x:v>
      </x:c>
      <x:c r="BU436" s="141" t="n">
        <x:f>IF('Carta Contemplada'!$B$22="Sim",INDEX('Carta Contemplada'!$C$55:$C$1013,$A436),0)</x:f>
        <x:v>0</x:v>
      </x:c>
      <x:c r="BV436" s="141" t="n">
        <x:f>IF(AND('Carta Contemplada'!$B$22="Sim",Premissas!$B$11="Imovel",Premissas!$B$47="Moradia",$A436&lt;MAX('Carta Contemplada'!$B$44,Premissas!$B$49)),$D436,0)</x:f>
        <x:v>0</x:v>
      </x:c>
      <x:c r="BW436" s="141" t="n">
        <x:f>IF(AND('Carta Contemplada'!$B$22="Sim",Premissas!$B$11="Imovel",Premissas!$B$47="Investimento",$A436&gt;=MAX('Carta Contemplada'!$B$44,Premissas!$B$49)),$E436,0)</x:f>
        <x:v>4919.095547079904</x:v>
      </x:c>
      <x:c r="BX436" s="141" t="n">
        <x:f>BT436+BU436+BV436</x:f>
        <x:v>0</x:v>
      </x:c>
      <x:c r="BY436" s="141" t="n">
        <x:f>BW436</x:f>
        <x:v>4919.095547079904</x:v>
      </x:c>
      <x:c r="BZ436" s="141" t="n">
        <x:f>$C436+BY436-BX436</x:f>
        <x:v>4919.095547079904</x:v>
      </x:c>
      <x:c r="CA436" s="141" t="n">
        <x:f>CD435*(1+Premissas!$B$41)+BZ436</x:f>
        <x:v>43787571.78768719</x:v>
      </x:c>
      <x:c r="CB436" s="141" t="n">
        <x:f>MAX(0,-CA436)</x:f>
        <x:v>0</x:v>
      </x:c>
      <x:c r="CC436" s="141" t="n">
        <x:f>CC435*(1+Premissas!$B$41)+CB436</x:f>
        <x:v>0</x:v>
      </x:c>
      <x:c r="CD436" s="141" t="n">
        <x:f>MAX(0,CA436)</x:f>
        <x:v>43787571.78768719</x:v>
      </x:c>
      <x:c r="CE436" s="141" t="n">
        <x:f>IF(AND('Carta Contemplada'!$B$22="Sim",$A436&gt;='Carta Contemplada'!$B$23),INDEX('Carta Contemplada'!$I$55:$I$1013,$A436),0)</x:f>
        <x:v>0</x:v>
      </x:c>
      <x:c r="CF436" s="141" t="n">
        <x:f>IF(AND('Carta Contemplada'!$B$22="Sim",$A436&gt;='Carta Contemplada'!$B$44),$F436,0)</x:f>
        <x:v>1621557.3873924792</x:v>
      </x:c>
      <x:c r="CG436" s="141" t="n">
        <x:f>CD436+CF436-CE436</x:f>
        <x:v>45409129.175079666</x:v>
      </x:c>
      <x:c r="CH436" s="141" t="n">
        <x:f>IF(CC436&gt;1,"Inviavel",CG436)</x:f>
        <x:v>45409129.175079666</x:v>
      </x:c>
      <x:c r="CI436" s="145" t="str">
        <x:f>IF(CC436&gt;1,"Inviavel","OK")</x:f>
        <x:v>OK</x:v>
      </x:c>
    </x:row>
    <x:row r="437">
      <x:c r="A437" s="142" t="n">
        <x:v>433</x:v>
      </x:c>
      <x:c r="B437" s="179" t="n">
        <x:f>EDATE(Premissas!$B$4,A437-1)</x:f>
        <x:v>59688</x:v>
      </x:c>
      <x:c r="C437" s="141" t="n">
        <x:f>IF(A437&lt;=Premissas!$B$39,Premissas!$B$42,0)</x:f>
        <x:v>0</x:v>
      </x:c>
      <x:c r="D437" s="141" t="n">
        <x:f>Premissas!$B$54*(1+Premissas!$B$57)^INT((A437-1)/12)</x:f>
        <x:v>5703.076399895763</x:v>
      </x:c>
      <x:c r="E437" s="141" t="n">
        <x:f>Premissas!$B$64*(1+Premissas!$B$57)^INT((A437-1)/12)</x:f>
        <x:v>5214.241279904698</x:v>
      </x:c>
      <x:c r="F437" s="141" t="n">
        <x:f>MAX(0,Premissas!$B$6*(1+Premissas!$B$66)^((A437-1)/12))</x:f>
        <x:v>1629450.3999702178</x:v>
      </x:c>
      <x:c r="G437" s="141" t="n">
        <x:f>G436*(1+Premissas!$B$41)+C437</x:f>
        <x:v>48527117.67423927</x:v>
      </x:c>
      <x:c r="H437" s="141" t="n">
        <x:f>IF($A437=Premissas!$B$48,Premissas!$B$8,0)</x:f>
        <x:v>0</x:v>
      </x:c>
      <x:c r="I437" s="141" t="n">
        <x:f>IF(AND($A437&gt;=Premissas!$B$48,$A437-Premissas!$B$48+1&lt;=Premissas!$B$13),INDEX(Financiamento!$J$6:$J$485,$A437-Premissas!$B$48+1),0)</x:f>
        <x:v>0</x:v>
      </x:c>
      <x:c r="J437" s="141" t="n">
        <x:f>IF(AND(TRUE,Premissas!$B$11="Imovel",Premissas!$B$47="Moradia",$A437&lt;MAX(Premissas!$B$48,Premissas!$B$49)),$D437,0)</x:f>
        <x:v>0</x:v>
      </x:c>
      <x:c r="K437" s="141" t="n">
        <x:f>IF(AND(TRUE,Premissas!$B$11="Imovel",Premissas!$B$47="Investimento",$A437&gt;=MAX(Premissas!$B$48,Premissas!$B$49)),$E437,0)</x:f>
        <x:v>5214.241279904698</x:v>
      </x:c>
      <x:c r="L437" s="141" t="n">
        <x:f>H437+I437+J437</x:f>
        <x:v>0</x:v>
      </x:c>
      <x:c r="M437" s="141" t="n">
        <x:f>K437</x:f>
        <x:v>5214.241279904698</x:v>
      </x:c>
      <x:c r="N437" s="141" t="n">
        <x:f>$C437+M437-L437</x:f>
        <x:v>5214.241279904698</x:v>
      </x:c>
      <x:c r="O437" s="141" t="n">
        <x:f>R436*(1+Premissas!$B$41)+N437</x:f>
        <x:v>42633002.055586405</x:v>
      </x:c>
      <x:c r="P437" s="141" t="n">
        <x:f>MAX(0,-O437)</x:f>
        <x:v>0</x:v>
      </x:c>
      <x:c r="Q437" s="141" t="n">
        <x:f>Q436*(1+Premissas!$B$41)+P437</x:f>
        <x:v>0</x:v>
      </x:c>
      <x:c r="R437" s="141" t="n">
        <x:f>MAX(0,O437)</x:f>
        <x:v>42633002.055586405</x:v>
      </x:c>
      <x:c r="S437" s="141" t="n">
        <x:f>IF(AND($A437&gt;=Premissas!$B$48,$A437-Premissas!$B$48+1&lt;=Premissas!$B$13),INDEX(Financiamento!$M$6:$M$485,$A437-Premissas!$B$48+1),0)</x:f>
        <x:v>0</x:v>
      </x:c>
      <x:c r="T437" s="141" t="n">
        <x:f>IF($A437&gt;=Premissas!$B$48,$F437,0)</x:f>
        <x:v>1629450.3999702178</x:v>
      </x:c>
      <x:c r="U437" s="141" t="n">
        <x:f>R437+T437-S437</x:f>
        <x:v>44262452.45555662</x:v>
      </x:c>
      <x:c r="V437" s="141" t="n">
        <x:f>IF(Q437&gt;1,"Inviavel",U437)</x:f>
        <x:v>44262452.45555662</x:v>
      </x:c>
      <x:c r="W437" s="141" t="str">
        <x:f>IF(Q437&gt;1,"Inviavel","OK")</x:f>
        <x:v>OK</x:v>
      </x:c>
      <x:c r="X437" s="141" t="n">
        <x:f>IF($A437=Premissas!$B$48,Premissas!$B$8,0)</x:f>
        <x:v>0</x:v>
      </x:c>
      <x:c r="Y437" s="141" t="n">
        <x:f>IF(AND($A437&gt;=Premissas!$B$48,$A437-Premissas!$B$48+1&lt;=Premissas!$B$13),INDEX(Amortizacao!$K$6:$K$485,$A437-Premissas!$B$48+1),0)</x:f>
        <x:v>0</x:v>
      </x:c>
      <x:c r="Z437" s="141" t="n">
        <x:f>IF(AND(TRUE,Premissas!$B$11="Imovel",Premissas!$B$47="Moradia",$A437&lt;MAX(Premissas!$B$48,Premissas!$B$49)),$D437,0)</x:f>
        <x:v>0</x:v>
      </x:c>
      <x:c r="AA437" s="141" t="n">
        <x:f>IF(AND(TRUE,Premissas!$B$11="Imovel",Premissas!$B$47="Investimento",$A437&gt;=MAX(Premissas!$B$48,Premissas!$B$49)),$E437,0)</x:f>
        <x:v>5214.241279904698</x:v>
      </x:c>
      <x:c r="AB437" s="141" t="n">
        <x:f>X437+Y437+Z437</x:f>
        <x:v>0</x:v>
      </x:c>
      <x:c r="AC437" s="141" t="n">
        <x:f>AA437</x:f>
        <x:v>5214.241279904698</x:v>
      </x:c>
      <x:c r="AD437" s="141" t="n">
        <x:f>$C437+AC437-AB437</x:f>
        <x:v>5214.241279904698</x:v>
      </x:c>
      <x:c r="AE437" s="141" t="n">
        <x:f>AH436*(1+Premissas!$B$41)+AD437</x:f>
        <x:v>43346419.6688064</x:v>
      </x:c>
      <x:c r="AF437" s="141" t="n">
        <x:f>MAX(0,-AE437)</x:f>
        <x:v>0</x:v>
      </x:c>
      <x:c r="AG437" s="141" t="n">
        <x:f>AG436*(1+Premissas!$B$41)+AF437</x:f>
        <x:v>0</x:v>
      </x:c>
      <x:c r="AH437" s="141" t="n">
        <x:f>MAX(0,AE437)</x:f>
        <x:v>43346419.6688064</x:v>
      </x:c>
      <x:c r="AI437" s="141" t="n">
        <x:f>IF(AND($A437&gt;=Premissas!$B$48,$A437-Premissas!$B$48+1&lt;=Premissas!$B$13),INDEX(Amortizacao!$L$6:$L$485,$A437-Premissas!$B$48+1),0)</x:f>
        <x:v>0</x:v>
      </x:c>
      <x:c r="AJ437" s="141" t="n">
        <x:f>IF($A437&gt;=Premissas!$B$48,$F437,0)</x:f>
        <x:v>1629450.3999702178</x:v>
      </x:c>
      <x:c r="AK437" s="141" t="n">
        <x:f>AH437+AJ437-AI437</x:f>
        <x:v>44975870.068776615</x:v>
      </x:c>
      <x:c r="AL437" s="141" t="n">
        <x:f>IF(AG437&gt;1,"Inviavel",AK437)</x:f>
        <x:v>44975870.068776615</x:v>
      </x:c>
      <x:c r="AM437" s="141" t="str">
        <x:f>IF(AG437&gt;1,"Inviavel","OK")</x:f>
        <x:v>OK</x:v>
      </x:c>
      <x:c r="AN437" s="141" t="n">
        <x:f>IF($A437=Premissas!$B$48,Premissas!$B$8,0)</x:f>
        <x:v>0</x:v>
      </x:c>
      <x:c r="AO437" s="141" t="n">
        <x:f>IF($A437&lt;=Premissas!$B$25,INDEX('Consorcio IQ'!$K$6:$K$485,$A437),0)</x:f>
        <x:v>0</x:v>
      </x:c>
      <x:c r="AP437" s="141" t="n">
        <x:f>IF(AND(TRUE,Premissas!$B$11="Imovel",Premissas!$B$47="Moradia",$A437&lt;MAX(Premissas!$B$48,Premissas!$B$49)),$D437,0)</x:f>
        <x:v>0</x:v>
      </x:c>
      <x:c r="AQ437" s="141" t="n">
        <x:f>IF(AND(TRUE,Premissas!$B$11="Imovel",Premissas!$B$47="Investimento",$A437&gt;=MAX(Premissas!$B$48,Premissas!$B$49)),$E437,0)</x:f>
        <x:v>5214.241279904698</x:v>
      </x:c>
      <x:c r="AR437" s="141" t="n">
        <x:f>AN437+AO437+AP437</x:f>
        <x:v>0</x:v>
      </x:c>
      <x:c r="AS437" s="141" t="n">
        <x:f>AQ437</x:f>
        <x:v>5214.241279904698</x:v>
      </x:c>
      <x:c r="AT437" s="141" t="n">
        <x:f>$C437+AS437-AR437</x:f>
        <x:v>5214.241279904698</x:v>
      </x:c>
      <x:c r="AU437" s="141" t="n">
        <x:f>AX436*(1+Premissas!$B$41)+AT437</x:f>
        <x:v>43004658.45140412</x:v>
      </x:c>
      <x:c r="AV437" s="141" t="n">
        <x:f>MAX(0,-AU437)</x:f>
        <x:v>0</x:v>
      </x:c>
      <x:c r="AW437" s="141" t="n">
        <x:f>AW436*(1+Premissas!$B$41)+AV437</x:f>
        <x:v>0</x:v>
      </x:c>
      <x:c r="AX437" s="141" t="n">
        <x:f>MAX(0,AU437)</x:f>
        <x:v>43004658.45140412</x:v>
      </x:c>
      <x:c r="AY437" s="141" t="n">
        <x:f>INDEX('Consorcio IQ'!$P$6:$P$485,$A437)</x:f>
        <x:v>0</x:v>
      </x:c>
      <x:c r="AZ437" s="141" t="n">
        <x:f>IF($A437&gt;=Premissas!$B$48,$F437,0)+IF($A437&lt;Premissas!$B$27,INDEX('Consorcio IQ'!$O$6:$O$485,$A437),0)</x:f>
        <x:v>1629450.3999702178</x:v>
      </x:c>
      <x:c r="BA437" s="141" t="n">
        <x:f>AX437+AZ437-AY437</x:f>
        <x:v>44634108.851374336</x:v>
      </x:c>
      <x:c r="BB437" s="141" t="n">
        <x:f>IF(AW437&gt;1,"Inviavel",BA437)</x:f>
        <x:v>44634108.851374336</x:v>
      </x:c>
      <x:c r="BC437" s="141" t="str">
        <x:f>IF(AW437&gt;1,"Inviavel","OK")</x:f>
        <x:v>OK</x:v>
      </x:c>
      <x:c r="BD437" s="141" t="n">
        <x:f>IF($A437='Consorcio Direto'!$B$29,'Consorcio Direto'!$B$44,0)</x:f>
        <x:v>0</x:v>
      </x:c>
      <x:c r="BE437" s="141" t="n">
        <x:f>IF($A437&lt;='Consorcio Direto'!$B$27,INDEX('Consorcio Direto'!$E$55:$E$534,$A437),0)</x:f>
        <x:v>0</x:v>
      </x:c>
      <x:c r="BF437" s="141" t="n">
        <x:f>IF(AND(TRUE,Premissas!$B$11="Imovel",Premissas!$B$47="Moradia",$A437&lt;MAX('Consorcio Direto'!$B$29,Premissas!$B$49)),$D437,0)</x:f>
        <x:v>0</x:v>
      </x:c>
      <x:c r="BG437" s="141" t="n">
        <x:f>IF(AND(TRUE,Premissas!$B$11="Imovel",Premissas!$B$47="Investimento",$A437&gt;=MAX('Consorcio Direto'!$B$29,Premissas!$B$49)),$E437,0)</x:f>
        <x:v>5214.241279904698</x:v>
      </x:c>
      <x:c r="BH437" s="141" t="n">
        <x:f>BD437+BE437+BF437</x:f>
        <x:v>0</x:v>
      </x:c>
      <x:c r="BI437" s="141" t="n">
        <x:f>BG437</x:f>
        <x:v>5214.241279904698</x:v>
      </x:c>
      <x:c r="BJ437" s="141" t="n">
        <x:f>$C437+BI437-BH437</x:f>
        <x:v>5214.241279904698</x:v>
      </x:c>
      <x:c r="BK437" s="141" t="n">
        <x:f>BN436*(1+Premissas!$B$41)+BJ437</x:f>
        <x:v>41157647.761078835</x:v>
      </x:c>
      <x:c r="BL437" s="141" t="n">
        <x:f>MAX(0,-BK437)</x:f>
        <x:v>0</x:v>
      </x:c>
      <x:c r="BM437" s="141" t="n">
        <x:f>BM436*(1+Premissas!$B$41)+BL437</x:f>
        <x:v>0</x:v>
      </x:c>
      <x:c r="BN437" s="141" t="n">
        <x:f>MAX(0,BK437)</x:f>
        <x:v>41157647.761078835</x:v>
      </x:c>
      <x:c r="BO437" s="141" t="n">
        <x:f>INDEX('Consorcio Direto'!$K$55:$K$534,$A437)</x:f>
        <x:v>0</x:v>
      </x:c>
      <x:c r="BP437" s="141" t="n">
        <x:f>IF($A437&lt;'Consorcio Direto'!$B$29,INDEX('Consorcio Direto'!$L$55:$L$534,$A437),$F437)</x:f>
        <x:v>1629450.3999702178</x:v>
      </x:c>
      <x:c r="BQ437" s="141" t="n">
        <x:f>BN437+BP437-BO437</x:f>
        <x:v>42787098.16104905</x:v>
      </x:c>
      <x:c r="BR437" s="141" t="n">
        <x:f>IF(BM437&gt;1,"Inviavel",BQ437)</x:f>
        <x:v>42787098.16104905</x:v>
      </x:c>
      <x:c r="BS437" s="141" t="str">
        <x:f>IF(BM437&gt;1,"Inviavel","OK")</x:f>
        <x:v>OK</x:v>
      </x:c>
      <x:c r="BT437" s="141" t="n">
        <x:f>IF(AND('Carta Contemplada'!$B$22="Sim",$A437='Carta Contemplada'!$B$23),'Carta Contemplada'!$B$37,0)</x:f>
        <x:v>0</x:v>
      </x:c>
      <x:c r="BU437" s="141" t="n">
        <x:f>IF('Carta Contemplada'!$B$22="Sim",INDEX('Carta Contemplada'!$C$55:$C$1013,$A437),0)</x:f>
        <x:v>0</x:v>
      </x:c>
      <x:c r="BV437" s="141" t="n">
        <x:f>IF(AND('Carta Contemplada'!$B$22="Sim",Premissas!$B$11="Imovel",Premissas!$B$47="Moradia",$A437&lt;MAX('Carta Contemplada'!$B$44,Premissas!$B$49)),$D437,0)</x:f>
        <x:v>0</x:v>
      </x:c>
      <x:c r="BW437" s="141" t="n">
        <x:f>IF(AND('Carta Contemplada'!$B$22="Sim",Premissas!$B$11="Imovel",Premissas!$B$47="Investimento",$A437&gt;=MAX('Carta Contemplada'!$B$44,Premissas!$B$49)),$E437,0)</x:f>
        <x:v>5214.241279904698</x:v>
      </x:c>
      <x:c r="BX437" s="141" t="n">
        <x:f>BT437+BU437+BV437</x:f>
        <x:v>0</x:v>
      </x:c>
      <x:c r="BY437" s="141" t="n">
        <x:f>BW437</x:f>
        <x:v>5214.241279904698</x:v>
      </x:c>
      <x:c r="BZ437" s="141" t="n">
        <x:f>$C437+BY437-BX437</x:f>
        <x:v>5214.241279904698</x:v>
      </x:c>
      <x:c r="CA437" s="141" t="n">
        <x:f>CD436*(1+Premissas!$B$41)+BZ437</x:f>
        <x:v>44208277.23076865</x:v>
      </x:c>
      <x:c r="CB437" s="141" t="n">
        <x:f>MAX(0,-CA437)</x:f>
        <x:v>0</x:v>
      </x:c>
      <x:c r="CC437" s="141" t="n">
        <x:f>CC436*(1+Premissas!$B$41)+CB437</x:f>
        <x:v>0</x:v>
      </x:c>
      <x:c r="CD437" s="141" t="n">
        <x:f>MAX(0,CA437)</x:f>
        <x:v>44208277.23076865</x:v>
      </x:c>
      <x:c r="CE437" s="141" t="n">
        <x:f>IF(AND('Carta Contemplada'!$B$22="Sim",$A437&gt;='Carta Contemplada'!$B$23),INDEX('Carta Contemplada'!$I$55:$I$1013,$A437),0)</x:f>
        <x:v>0</x:v>
      </x:c>
      <x:c r="CF437" s="141" t="n">
        <x:f>IF(AND('Carta Contemplada'!$B$22="Sim",$A437&gt;='Carta Contemplada'!$B$44),$F437,0)</x:f>
        <x:v>1629450.3999702178</x:v>
      </x:c>
      <x:c r="CG437" s="141" t="n">
        <x:f>CD437+CF437-CE437</x:f>
        <x:v>45837727.63073887</x:v>
      </x:c>
      <x:c r="CH437" s="141" t="n">
        <x:f>IF(CC437&gt;1,"Inviavel",CG437)</x:f>
        <x:v>45837727.63073887</x:v>
      </x:c>
      <x:c r="CI437" s="145" t="str">
        <x:f>IF(CC437&gt;1,"Inviavel","OK")</x:f>
        <x:v>OK</x:v>
      </x:c>
    </x:row>
    <x:row r="438">
      <x:c r="A438" s="142" t="n">
        <x:v>434</x:v>
      </x:c>
      <x:c r="B438" s="179" t="n">
        <x:f>EDATE(Premissas!$B$4,A438-1)</x:f>
        <x:v>59718</x:v>
      </x:c>
      <x:c r="C438" s="141" t="n">
        <x:f>IF(A438&lt;=Premissas!$B$39,Premissas!$B$42,0)</x:f>
        <x:v>0</x:v>
      </x:c>
      <x:c r="D438" s="141" t="n">
        <x:f>Premissas!$B$54*(1+Premissas!$B$57)^INT((A438-1)/12)</x:f>
        <x:v>5703.076399895763</x:v>
      </x:c>
      <x:c r="E438" s="141" t="n">
        <x:f>Premissas!$B$64*(1+Premissas!$B$57)^INT((A438-1)/12)</x:f>
        <x:v>5214.241279904698</x:v>
      </x:c>
      <x:c r="F438" s="141" t="n">
        <x:f>MAX(0,Premissas!$B$6*(1+Premissas!$B$66)^((A438-1)/12))</x:f>
        <x:v>1637381.8321857918</x:v>
      </x:c>
      <x:c r="G438" s="141" t="n">
        <x:f>G437*(1+Premissas!$B$41)+C438</x:f>
        <x:v>48987581.44556227</x:v>
      </x:c>
      <x:c r="H438" s="141" t="n">
        <x:f>IF($A438=Premissas!$B$48,Premissas!$B$8,0)</x:f>
        <x:v>0</x:v>
      </x:c>
      <x:c r="I438" s="141" t="n">
        <x:f>IF(AND($A438&gt;=Premissas!$B$48,$A438-Premissas!$B$48+1&lt;=Premissas!$B$13),INDEX(Financiamento!$J$6:$J$485,$A438-Premissas!$B$48+1),0)</x:f>
        <x:v>0</x:v>
      </x:c>
      <x:c r="J438" s="141" t="n">
        <x:f>IF(AND(TRUE,Premissas!$B$11="Imovel",Premissas!$B$47="Moradia",$A438&lt;MAX(Premissas!$B$48,Premissas!$B$49)),$D438,0)</x:f>
        <x:v>0</x:v>
      </x:c>
      <x:c r="K438" s="141" t="n">
        <x:f>IF(AND(TRUE,Premissas!$B$11="Imovel",Premissas!$B$47="Investimento",$A438&gt;=MAX(Premissas!$B$48,Premissas!$B$49)),$E438,0)</x:f>
        <x:v>5214.241279904698</x:v>
      </x:c>
      <x:c r="L438" s="141" t="n">
        <x:f>H438+I438+J438</x:f>
        <x:v>0</x:v>
      </x:c>
      <x:c r="M438" s="141" t="n">
        <x:f>K438</x:f>
        <x:v>5214.241279904698</x:v>
      </x:c>
      <x:c r="N438" s="141" t="n">
        <x:f>$C438+M438-L438</x:f>
        <x:v>5214.241279904698</x:v>
      </x:c>
      <x:c r="O438" s="141" t="n">
        <x:f>R437*(1+Premissas!$B$41)+N438</x:f>
        <x:v>43042752.02555142</x:v>
      </x:c>
      <x:c r="P438" s="141" t="n">
        <x:f>MAX(0,-O438)</x:f>
        <x:v>0</x:v>
      </x:c>
      <x:c r="Q438" s="141" t="n">
        <x:f>Q437*(1+Premissas!$B$41)+P438</x:f>
        <x:v>0</x:v>
      </x:c>
      <x:c r="R438" s="141" t="n">
        <x:f>MAX(0,O438)</x:f>
        <x:v>43042752.02555142</x:v>
      </x:c>
      <x:c r="S438" s="141" t="n">
        <x:f>IF(AND($A438&gt;=Premissas!$B$48,$A438-Premissas!$B$48+1&lt;=Premissas!$B$13),INDEX(Financiamento!$M$6:$M$485,$A438-Premissas!$B$48+1),0)</x:f>
        <x:v>0</x:v>
      </x:c>
      <x:c r="T438" s="141" t="n">
        <x:f>IF($A438&gt;=Premissas!$B$48,$F438,0)</x:f>
        <x:v>1637381.8321857918</x:v>
      </x:c>
      <x:c r="U438" s="141" t="n">
        <x:f>R438+T438-S438</x:f>
        <x:v>44680133.85773721</x:v>
      </x:c>
      <x:c r="V438" s="141" t="n">
        <x:f>IF(Q438&gt;1,"Inviavel",U438)</x:f>
        <x:v>44680133.85773721</x:v>
      </x:c>
      <x:c r="W438" s="141" t="str">
        <x:f>IF(Q438&gt;1,"Inviavel","OK")</x:f>
        <x:v>OK</x:v>
      </x:c>
      <x:c r="X438" s="141" t="n">
        <x:f>IF($A438=Premissas!$B$48,Premissas!$B$8,0)</x:f>
        <x:v>0</x:v>
      </x:c>
      <x:c r="Y438" s="141" t="n">
        <x:f>IF(AND($A438&gt;=Premissas!$B$48,$A438-Premissas!$B$48+1&lt;=Premissas!$B$13),INDEX(Amortizacao!$K$6:$K$485,$A438-Premissas!$B$48+1),0)</x:f>
        <x:v>0</x:v>
      </x:c>
      <x:c r="Z438" s="141" t="n">
        <x:f>IF(AND(TRUE,Premissas!$B$11="Imovel",Premissas!$B$47="Moradia",$A438&lt;MAX(Premissas!$B$48,Premissas!$B$49)),$D438,0)</x:f>
        <x:v>0</x:v>
      </x:c>
      <x:c r="AA438" s="141" t="n">
        <x:f>IF(AND(TRUE,Premissas!$B$11="Imovel",Premissas!$B$47="Investimento",$A438&gt;=MAX(Premissas!$B$48,Premissas!$B$49)),$E438,0)</x:f>
        <x:v>5214.241279904698</x:v>
      </x:c>
      <x:c r="AB438" s="141" t="n">
        <x:f>X438+Y438+Z438</x:f>
        <x:v>0</x:v>
      </x:c>
      <x:c r="AC438" s="141" t="n">
        <x:f>AA438</x:f>
        <x:v>5214.241279904698</x:v>
      </x:c>
      <x:c r="AD438" s="141" t="n">
        <x:f>$C438+AC438-AB438</x:f>
        <x:v>5214.241279904698</x:v>
      </x:c>
      <x:c r="AE438" s="141" t="n">
        <x:f>AH437*(1+Premissas!$B$41)+AD438</x:f>
        <x:v>43762939.110779144</x:v>
      </x:c>
      <x:c r="AF438" s="141" t="n">
        <x:f>MAX(0,-AE438)</x:f>
        <x:v>0</x:v>
      </x:c>
      <x:c r="AG438" s="141" t="n">
        <x:f>AG437*(1+Premissas!$B$41)+AF438</x:f>
        <x:v>0</x:v>
      </x:c>
      <x:c r="AH438" s="141" t="n">
        <x:f>MAX(0,AE438)</x:f>
        <x:v>43762939.110779144</x:v>
      </x:c>
      <x:c r="AI438" s="141" t="n">
        <x:f>IF(AND($A438&gt;=Premissas!$B$48,$A438-Premissas!$B$48+1&lt;=Premissas!$B$13),INDEX(Amortizacao!$L$6:$L$485,$A438-Premissas!$B$48+1),0)</x:f>
        <x:v>0</x:v>
      </x:c>
      <x:c r="AJ438" s="141" t="n">
        <x:f>IF($A438&gt;=Premissas!$B$48,$F438,0)</x:f>
        <x:v>1637381.8321857918</x:v>
      </x:c>
      <x:c r="AK438" s="141" t="n">
        <x:f>AH438+AJ438-AI438</x:f>
        <x:v>45400320.942964934</x:v>
      </x:c>
      <x:c r="AL438" s="141" t="n">
        <x:f>IF(AG438&gt;1,"Inviavel",AK438)</x:f>
        <x:v>45400320.942964934</x:v>
      </x:c>
      <x:c r="AM438" s="141" t="str">
        <x:f>IF(AG438&gt;1,"Inviavel","OK")</x:f>
        <x:v>OK</x:v>
      </x:c>
      <x:c r="AN438" s="141" t="n">
        <x:f>IF($A438=Premissas!$B$48,Premissas!$B$8,0)</x:f>
        <x:v>0</x:v>
      </x:c>
      <x:c r="AO438" s="141" t="n">
        <x:f>IF($A438&lt;=Premissas!$B$25,INDEX('Consorcio IQ'!$K$6:$K$485,$A438),0)</x:f>
        <x:v>0</x:v>
      </x:c>
      <x:c r="AP438" s="141" t="n">
        <x:f>IF(AND(TRUE,Premissas!$B$11="Imovel",Premissas!$B$47="Moradia",$A438&lt;MAX(Premissas!$B$48,Premissas!$B$49)),$D438,0)</x:f>
        <x:v>0</x:v>
      </x:c>
      <x:c r="AQ438" s="141" t="n">
        <x:f>IF(AND(TRUE,Premissas!$B$11="Imovel",Premissas!$B$47="Investimento",$A438&gt;=MAX(Premissas!$B$48,Premissas!$B$49)),$E438,0)</x:f>
        <x:v>5214.241279904698</x:v>
      </x:c>
      <x:c r="AR438" s="141" t="n">
        <x:f>AN438+AO438+AP438</x:f>
        <x:v>0</x:v>
      </x:c>
      <x:c r="AS438" s="141" t="n">
        <x:f>AQ438</x:f>
        <x:v>5214.241279904698</x:v>
      </x:c>
      <x:c r="AT438" s="141" t="n">
        <x:f>$C438+AS438-AR438</x:f>
        <x:v>5214.241279904698</x:v>
      </x:c>
      <x:c r="AU438" s="141" t="n">
        <x:f>AX437*(1+Premissas!$B$41)+AT438</x:f>
        <x:v>43417934.99195187</x:v>
      </x:c>
      <x:c r="AV438" s="141" t="n">
        <x:f>MAX(0,-AU438)</x:f>
        <x:v>0</x:v>
      </x:c>
      <x:c r="AW438" s="141" t="n">
        <x:f>AW437*(1+Premissas!$B$41)+AV438</x:f>
        <x:v>0</x:v>
      </x:c>
      <x:c r="AX438" s="141" t="n">
        <x:f>MAX(0,AU438)</x:f>
        <x:v>43417934.99195187</x:v>
      </x:c>
      <x:c r="AY438" s="141" t="n">
        <x:f>INDEX('Consorcio IQ'!$P$6:$P$485,$A438)</x:f>
        <x:v>0</x:v>
      </x:c>
      <x:c r="AZ438" s="141" t="n">
        <x:f>IF($A438&gt;=Premissas!$B$48,$F438,0)+IF($A438&lt;Premissas!$B$27,INDEX('Consorcio IQ'!$O$6:$O$485,$A438),0)</x:f>
        <x:v>1637381.8321857918</x:v>
      </x:c>
      <x:c r="BA438" s="141" t="n">
        <x:f>AX438+AZ438-AY438</x:f>
        <x:v>45055316.82413766</x:v>
      </x:c>
      <x:c r="BB438" s="141" t="n">
        <x:f>IF(AW438&gt;1,"Inviavel",BA438)</x:f>
        <x:v>45055316.82413766</x:v>
      </x:c>
      <x:c r="BC438" s="141" t="str">
        <x:f>IF(AW438&gt;1,"Inviavel","OK")</x:f>
        <x:v>OK</x:v>
      </x:c>
      <x:c r="BD438" s="141" t="n">
        <x:f>IF($A438='Consorcio Direto'!$B$29,'Consorcio Direto'!$B$44,0)</x:f>
        <x:v>0</x:v>
      </x:c>
      <x:c r="BE438" s="141" t="n">
        <x:f>IF($A438&lt;='Consorcio Direto'!$B$27,INDEX('Consorcio Direto'!$E$55:$E$534,$A438),0)</x:f>
        <x:v>0</x:v>
      </x:c>
      <x:c r="BF438" s="141" t="n">
        <x:f>IF(AND(TRUE,Premissas!$B$11="Imovel",Premissas!$B$47="Moradia",$A438&lt;MAX('Consorcio Direto'!$B$29,Premissas!$B$49)),$D438,0)</x:f>
        <x:v>0</x:v>
      </x:c>
      <x:c r="BG438" s="141" t="n">
        <x:f>IF(AND(TRUE,Premissas!$B$11="Imovel",Premissas!$B$47="Investimento",$A438&gt;=MAX('Consorcio Direto'!$B$29,Premissas!$B$49)),$E438,0)</x:f>
        <x:v>5214.241279904698</x:v>
      </x:c>
      <x:c r="BH438" s="141" t="n">
        <x:f>BD438+BE438+BF438</x:f>
        <x:v>0</x:v>
      </x:c>
      <x:c r="BI438" s="141" t="n">
        <x:f>BG438</x:f>
        <x:v>5214.241279904698</x:v>
      </x:c>
      <x:c r="BJ438" s="141" t="n">
        <x:f>$C438+BI438-BH438</x:f>
        <x:v>5214.241279904698</x:v>
      </x:c>
      <x:c r="BK438" s="141" t="n">
        <x:f>BN437*(1+Premissas!$B$41)+BJ438</x:f>
        <x:v>41553398.399638124</x:v>
      </x:c>
      <x:c r="BL438" s="141" t="n">
        <x:f>MAX(0,-BK438)</x:f>
        <x:v>0</x:v>
      </x:c>
      <x:c r="BM438" s="141" t="n">
        <x:f>BM437*(1+Premissas!$B$41)+BL438</x:f>
        <x:v>0</x:v>
      </x:c>
      <x:c r="BN438" s="141" t="n">
        <x:f>MAX(0,BK438)</x:f>
        <x:v>41553398.399638124</x:v>
      </x:c>
      <x:c r="BO438" s="141" t="n">
        <x:f>INDEX('Consorcio Direto'!$K$55:$K$534,$A438)</x:f>
        <x:v>0</x:v>
      </x:c>
      <x:c r="BP438" s="141" t="n">
        <x:f>IF($A438&lt;'Consorcio Direto'!$B$29,INDEX('Consorcio Direto'!$L$55:$L$534,$A438),$F438)</x:f>
        <x:v>1637381.8321857918</x:v>
      </x:c>
      <x:c r="BQ438" s="141" t="n">
        <x:f>BN438+BP438-BO438</x:f>
        <x:v>43190780.231823914</x:v>
      </x:c>
      <x:c r="BR438" s="141" t="n">
        <x:f>IF(BM438&gt;1,"Inviavel",BQ438)</x:f>
        <x:v>43190780.231823914</x:v>
      </x:c>
      <x:c r="BS438" s="141" t="str">
        <x:f>IF(BM438&gt;1,"Inviavel","OK")</x:f>
        <x:v>OK</x:v>
      </x:c>
      <x:c r="BT438" s="141" t="n">
        <x:f>IF(AND('Carta Contemplada'!$B$22="Sim",$A438='Carta Contemplada'!$B$23),'Carta Contemplada'!$B$37,0)</x:f>
        <x:v>0</x:v>
      </x:c>
      <x:c r="BU438" s="141" t="n">
        <x:f>IF('Carta Contemplada'!$B$22="Sim",INDEX('Carta Contemplada'!$C$55:$C$1013,$A438),0)</x:f>
        <x:v>0</x:v>
      </x:c>
      <x:c r="BV438" s="141" t="n">
        <x:f>IF(AND('Carta Contemplada'!$B$22="Sim",Premissas!$B$11="Imovel",Premissas!$B$47="Moradia",$A438&lt;MAX('Carta Contemplada'!$B$44,Premissas!$B$49)),$D438,0)</x:f>
        <x:v>0</x:v>
      </x:c>
      <x:c r="BW438" s="141" t="n">
        <x:f>IF(AND('Carta Contemplada'!$B$22="Sim",Premissas!$B$11="Imovel",Premissas!$B$47="Investimento",$A438&gt;=MAX('Carta Contemplada'!$B$44,Premissas!$B$49)),$E438,0)</x:f>
        <x:v>5214.241279904698</x:v>
      </x:c>
      <x:c r="BX438" s="141" t="n">
        <x:f>BT438+BU438+BV438</x:f>
        <x:v>0</x:v>
      </x:c>
      <x:c r="BY438" s="141" t="n">
        <x:f>BW438</x:f>
        <x:v>5214.241279904698</x:v>
      </x:c>
      <x:c r="BZ438" s="141" t="n">
        <x:f>$C438+BY438-BX438</x:f>
        <x:v>5214.241279904698</x:v>
      </x:c>
      <x:c r="CA438" s="141" t="n">
        <x:f>CD437*(1+Premissas!$B$41)+BZ438</x:f>
        <x:v>44632974.660685964</x:v>
      </x:c>
      <x:c r="CB438" s="141" t="n">
        <x:f>MAX(0,-CA438)</x:f>
        <x:v>0</x:v>
      </x:c>
      <x:c r="CC438" s="141" t="n">
        <x:f>CC437*(1+Premissas!$B$41)+CB438</x:f>
        <x:v>0</x:v>
      </x:c>
      <x:c r="CD438" s="141" t="n">
        <x:f>MAX(0,CA438)</x:f>
        <x:v>44632974.660685964</x:v>
      </x:c>
      <x:c r="CE438" s="141" t="n">
        <x:f>IF(AND('Carta Contemplada'!$B$22="Sim",$A438&gt;='Carta Contemplada'!$B$23),INDEX('Carta Contemplada'!$I$55:$I$1013,$A438),0)</x:f>
        <x:v>0</x:v>
      </x:c>
      <x:c r="CF438" s="141" t="n">
        <x:f>IF(AND('Carta Contemplada'!$B$22="Sim",$A438&gt;='Carta Contemplada'!$B$44),$F438,0)</x:f>
        <x:v>1637381.8321857918</x:v>
      </x:c>
      <x:c r="CG438" s="141" t="n">
        <x:f>CD438+CF438-CE438</x:f>
        <x:v>46270356.492871754</x:v>
      </x:c>
      <x:c r="CH438" s="141" t="n">
        <x:f>IF(CC438&gt;1,"Inviavel",CG438)</x:f>
        <x:v>46270356.492871754</x:v>
      </x:c>
      <x:c r="CI438" s="145" t="str">
        <x:f>IF(CC438&gt;1,"Inviavel","OK")</x:f>
        <x:v>OK</x:v>
      </x:c>
    </x:row>
    <x:row r="439">
      <x:c r="A439" s="142" t="n">
        <x:v>435</x:v>
      </x:c>
      <x:c r="B439" s="179" t="n">
        <x:f>EDATE(Premissas!$B$4,A439-1)</x:f>
        <x:v>59749</x:v>
      </x:c>
      <x:c r="C439" s="141" t="n">
        <x:f>IF(A439&lt;=Premissas!$B$39,Premissas!$B$42,0)</x:f>
        <x:v>0</x:v>
      </x:c>
      <x:c r="D439" s="141" t="n">
        <x:f>Premissas!$B$54*(1+Premissas!$B$57)^INT((A439-1)/12)</x:f>
        <x:v>5703.076399895763</x:v>
      </x:c>
      <x:c r="E439" s="141" t="n">
        <x:f>Premissas!$B$64*(1+Premissas!$B$57)^INT((A439-1)/12)</x:f>
        <x:v>5214.241279904698</x:v>
      </x:c>
      <x:c r="F439" s="141" t="n">
        <x:f>MAX(0,Premissas!$B$6*(1+Premissas!$B$66)^((A439-1)/12))</x:f>
        <x:v>1645351.8710487299</x:v>
      </x:c>
      <x:c r="G439" s="141" t="n">
        <x:f>G438*(1+Premissas!$B$41)+C439</x:f>
        <x:v>49452414.46226524</x:v>
      </x:c>
      <x:c r="H439" s="141" t="n">
        <x:f>IF($A439=Premissas!$B$48,Premissas!$B$8,0)</x:f>
        <x:v>0</x:v>
      </x:c>
      <x:c r="I439" s="141" t="n">
        <x:f>IF(AND($A439&gt;=Premissas!$B$48,$A439-Premissas!$B$48+1&lt;=Premissas!$B$13),INDEX(Financiamento!$J$6:$J$485,$A439-Premissas!$B$48+1),0)</x:f>
        <x:v>0</x:v>
      </x:c>
      <x:c r="J439" s="141" t="n">
        <x:f>IF(AND(TRUE,Premissas!$B$11="Imovel",Premissas!$B$47="Moradia",$A439&lt;MAX(Premissas!$B$48,Premissas!$B$49)),$D439,0)</x:f>
        <x:v>0</x:v>
      </x:c>
      <x:c r="K439" s="141" t="n">
        <x:f>IF(AND(TRUE,Premissas!$B$11="Imovel",Premissas!$B$47="Investimento",$A439&gt;=MAX(Premissas!$B$48,Premissas!$B$49)),$E439,0)</x:f>
        <x:v>5214.241279904698</x:v>
      </x:c>
      <x:c r="L439" s="141" t="n">
        <x:f>H439+I439+J439</x:f>
        <x:v>0</x:v>
      </x:c>
      <x:c r="M439" s="141" t="n">
        <x:f>K439</x:f>
        <x:v>5214.241279904698</x:v>
      </x:c>
      <x:c r="N439" s="141" t="n">
        <x:f>$C439+M439-L439</x:f>
        <x:v>5214.241279904698</x:v>
      </x:c>
      <x:c r="O439" s="141" t="n">
        <x:f>R438*(1+Premissas!$B$41)+N439</x:f>
        <x:v>43456390.028136395</x:v>
      </x:c>
      <x:c r="P439" s="141" t="n">
        <x:f>MAX(0,-O439)</x:f>
        <x:v>0</x:v>
      </x:c>
      <x:c r="Q439" s="141" t="n">
        <x:f>Q438*(1+Premissas!$B$41)+P439</x:f>
        <x:v>0</x:v>
      </x:c>
      <x:c r="R439" s="141" t="n">
        <x:f>MAX(0,O439)</x:f>
        <x:v>43456390.028136395</x:v>
      </x:c>
      <x:c r="S439" s="141" t="n">
        <x:f>IF(AND($A439&gt;=Premissas!$B$48,$A439-Premissas!$B$48+1&lt;=Premissas!$B$13),INDEX(Financiamento!$M$6:$M$485,$A439-Premissas!$B$48+1),0)</x:f>
        <x:v>0</x:v>
      </x:c>
      <x:c r="T439" s="141" t="n">
        <x:f>IF($A439&gt;=Premissas!$B$48,$F439,0)</x:f>
        <x:v>1645351.8710487299</x:v>
      </x:c>
      <x:c r="U439" s="141" t="n">
        <x:f>R439+T439-S439</x:f>
        <x:v>45101741.89918512</x:v>
      </x:c>
      <x:c r="V439" s="141" t="n">
        <x:f>IF(Q439&gt;1,"Inviavel",U439)</x:f>
        <x:v>45101741.89918512</x:v>
      </x:c>
      <x:c r="W439" s="141" t="str">
        <x:f>IF(Q439&gt;1,"Inviavel","OK")</x:f>
        <x:v>OK</x:v>
      </x:c>
      <x:c r="X439" s="141" t="n">
        <x:f>IF($A439=Premissas!$B$48,Premissas!$B$8,0)</x:f>
        <x:v>0</x:v>
      </x:c>
      <x:c r="Y439" s="141" t="n">
        <x:f>IF(AND($A439&gt;=Premissas!$B$48,$A439-Premissas!$B$48+1&lt;=Premissas!$B$13),INDEX(Amortizacao!$K$6:$K$485,$A439-Premissas!$B$48+1),0)</x:f>
        <x:v>0</x:v>
      </x:c>
      <x:c r="Z439" s="141" t="n">
        <x:f>IF(AND(TRUE,Premissas!$B$11="Imovel",Premissas!$B$47="Moradia",$A439&lt;MAX(Premissas!$B$48,Premissas!$B$49)),$D439,0)</x:f>
        <x:v>0</x:v>
      </x:c>
      <x:c r="AA439" s="141" t="n">
        <x:f>IF(AND(TRUE,Premissas!$B$11="Imovel",Premissas!$B$47="Investimento",$A439&gt;=MAX(Premissas!$B$48,Premissas!$B$49)),$E439,0)</x:f>
        <x:v>5214.241279904698</x:v>
      </x:c>
      <x:c r="AB439" s="141" t="n">
        <x:f>X439+Y439+Z439</x:f>
        <x:v>0</x:v>
      </x:c>
      <x:c r="AC439" s="141" t="n">
        <x:f>AA439</x:f>
        <x:v>5214.241279904698</x:v>
      </x:c>
      <x:c r="AD439" s="141" t="n">
        <x:f>$C439+AC439-AB439</x:f>
        <x:v>5214.241279904698</x:v>
      </x:c>
      <x:c r="AE439" s="141" t="n">
        <x:f>AH438*(1+Premissas!$B$41)+AD439</x:f>
        <x:v>44183410.81949</x:v>
      </x:c>
      <x:c r="AF439" s="141" t="n">
        <x:f>MAX(0,-AE439)</x:f>
        <x:v>0</x:v>
      </x:c>
      <x:c r="AG439" s="141" t="n">
        <x:f>AG438*(1+Premissas!$B$41)+AF439</x:f>
        <x:v>0</x:v>
      </x:c>
      <x:c r="AH439" s="141" t="n">
        <x:f>MAX(0,AE439)</x:f>
        <x:v>44183410.81949</x:v>
      </x:c>
      <x:c r="AI439" s="141" t="n">
        <x:f>IF(AND($A439&gt;=Premissas!$B$48,$A439-Premissas!$B$48+1&lt;=Premissas!$B$13),INDEX(Amortizacao!$L$6:$L$485,$A439-Premissas!$B$48+1),0)</x:f>
        <x:v>0</x:v>
      </x:c>
      <x:c r="AJ439" s="141" t="n">
        <x:f>IF($A439&gt;=Premissas!$B$48,$F439,0)</x:f>
        <x:v>1645351.8710487299</x:v>
      </x:c>
      <x:c r="AK439" s="141" t="n">
        <x:f>AH439+AJ439-AI439</x:f>
        <x:v>45828762.690538734</x:v>
      </x:c>
      <x:c r="AL439" s="141" t="n">
        <x:f>IF(AG439&gt;1,"Inviavel",AK439)</x:f>
        <x:v>45828762.690538734</x:v>
      </x:c>
      <x:c r="AM439" s="141" t="str">
        <x:f>IF(AG439&gt;1,"Inviavel","OK")</x:f>
        <x:v>OK</x:v>
      </x:c>
      <x:c r="AN439" s="141" t="n">
        <x:f>IF($A439=Premissas!$B$48,Premissas!$B$8,0)</x:f>
        <x:v>0</x:v>
      </x:c>
      <x:c r="AO439" s="141" t="n">
        <x:f>IF($A439&lt;=Premissas!$B$25,INDEX('Consorcio IQ'!$K$6:$K$485,$A439),0)</x:f>
        <x:v>0</x:v>
      </x:c>
      <x:c r="AP439" s="141" t="n">
        <x:f>IF(AND(TRUE,Premissas!$B$11="Imovel",Premissas!$B$47="Moradia",$A439&lt;MAX(Premissas!$B$48,Premissas!$B$49)),$D439,0)</x:f>
        <x:v>0</x:v>
      </x:c>
      <x:c r="AQ439" s="141" t="n">
        <x:f>IF(AND(TRUE,Premissas!$B$11="Imovel",Premissas!$B$47="Investimento",$A439&gt;=MAX(Premissas!$B$48,Premissas!$B$49)),$E439,0)</x:f>
        <x:v>5214.241279904698</x:v>
      </x:c>
      <x:c r="AR439" s="141" t="n">
        <x:f>AN439+AO439+AP439</x:f>
        <x:v>0</x:v>
      </x:c>
      <x:c r="AS439" s="141" t="n">
        <x:f>AQ439</x:f>
        <x:v>5214.241279904698</x:v>
      </x:c>
      <x:c r="AT439" s="141" t="n">
        <x:f>$C439+AS439-AR439</x:f>
        <x:v>5214.241279904698</x:v>
      </x:c>
      <x:c r="AU439" s="141" t="n">
        <x:f>AX438*(1+Premissas!$B$41)+AT439</x:f>
        <x:v>43835133.028017595</x:v>
      </x:c>
      <x:c r="AV439" s="141" t="n">
        <x:f>MAX(0,-AU439)</x:f>
        <x:v>0</x:v>
      </x:c>
      <x:c r="AW439" s="141" t="n">
        <x:f>AW438*(1+Premissas!$B$41)+AV439</x:f>
        <x:v>0</x:v>
      </x:c>
      <x:c r="AX439" s="141" t="n">
        <x:f>MAX(0,AU439)</x:f>
        <x:v>43835133.028017595</x:v>
      </x:c>
      <x:c r="AY439" s="141" t="n">
        <x:f>INDEX('Consorcio IQ'!$P$6:$P$485,$A439)</x:f>
        <x:v>0</x:v>
      </x:c>
      <x:c r="AZ439" s="141" t="n">
        <x:f>IF($A439&gt;=Premissas!$B$48,$F439,0)+IF($A439&lt;Premissas!$B$27,INDEX('Consorcio IQ'!$O$6:$O$485,$A439),0)</x:f>
        <x:v>1645351.8710487299</x:v>
      </x:c>
      <x:c r="BA439" s="141" t="n">
        <x:f>AX439+AZ439-AY439</x:f>
        <x:v>45480484.89906633</x:v>
      </x:c>
      <x:c r="BB439" s="141" t="n">
        <x:f>IF(AW439&gt;1,"Inviavel",BA439)</x:f>
        <x:v>45480484.89906633</x:v>
      </x:c>
      <x:c r="BC439" s="141" t="str">
        <x:f>IF(AW439&gt;1,"Inviavel","OK")</x:f>
        <x:v>OK</x:v>
      </x:c>
      <x:c r="BD439" s="141" t="n">
        <x:f>IF($A439='Consorcio Direto'!$B$29,'Consorcio Direto'!$B$44,0)</x:f>
        <x:v>0</x:v>
      </x:c>
      <x:c r="BE439" s="141" t="n">
        <x:f>IF($A439&lt;='Consorcio Direto'!$B$27,INDEX('Consorcio Direto'!$E$55:$E$534,$A439),0)</x:f>
        <x:v>0</x:v>
      </x:c>
      <x:c r="BF439" s="141" t="n">
        <x:f>IF(AND(TRUE,Premissas!$B$11="Imovel",Premissas!$B$47="Moradia",$A439&lt;MAX('Consorcio Direto'!$B$29,Premissas!$B$49)),$D439,0)</x:f>
        <x:v>0</x:v>
      </x:c>
      <x:c r="BG439" s="141" t="n">
        <x:f>IF(AND(TRUE,Premissas!$B$11="Imovel",Premissas!$B$47="Investimento",$A439&gt;=MAX('Consorcio Direto'!$B$29,Premissas!$B$49)),$E439,0)</x:f>
        <x:v>5214.241279904698</x:v>
      </x:c>
      <x:c r="BH439" s="141" t="n">
        <x:f>BD439+BE439+BF439</x:f>
        <x:v>0</x:v>
      </x:c>
      <x:c r="BI439" s="141" t="n">
        <x:f>BG439</x:f>
        <x:v>5214.241279904698</x:v>
      </x:c>
      <x:c r="BJ439" s="141" t="n">
        <x:f>$C439+BI439-BH439</x:f>
        <x:v>5214.241279904698</x:v>
      </x:c>
      <x:c r="BK439" s="141" t="n">
        <x:f>BN438*(1+Premissas!$B$41)+BJ439</x:f>
        <x:v>41952904.23406043</x:v>
      </x:c>
      <x:c r="BL439" s="141" t="n">
        <x:f>MAX(0,-BK439)</x:f>
        <x:v>0</x:v>
      </x:c>
      <x:c r="BM439" s="141" t="n">
        <x:f>BM438*(1+Premissas!$B$41)+BL439</x:f>
        <x:v>0</x:v>
      </x:c>
      <x:c r="BN439" s="141" t="n">
        <x:f>MAX(0,BK439)</x:f>
        <x:v>41952904.23406043</x:v>
      </x:c>
      <x:c r="BO439" s="141" t="n">
        <x:f>INDEX('Consorcio Direto'!$K$55:$K$534,$A439)</x:f>
        <x:v>0</x:v>
      </x:c>
      <x:c r="BP439" s="141" t="n">
        <x:f>IF($A439&lt;'Consorcio Direto'!$B$29,INDEX('Consorcio Direto'!$L$55:$L$534,$A439),$F439)</x:f>
        <x:v>1645351.8710487299</x:v>
      </x:c>
      <x:c r="BQ439" s="141" t="n">
        <x:f>BN439+BP439-BO439</x:f>
        <x:v>43598256.105109155</x:v>
      </x:c>
      <x:c r="BR439" s="141" t="n">
        <x:f>IF(BM439&gt;1,"Inviavel",BQ439)</x:f>
        <x:v>43598256.105109155</x:v>
      </x:c>
      <x:c r="BS439" s="141" t="str">
        <x:f>IF(BM439&gt;1,"Inviavel","OK")</x:f>
        <x:v>OK</x:v>
      </x:c>
      <x:c r="BT439" s="141" t="n">
        <x:f>IF(AND('Carta Contemplada'!$B$22="Sim",$A439='Carta Contemplada'!$B$23),'Carta Contemplada'!$B$37,0)</x:f>
        <x:v>0</x:v>
      </x:c>
      <x:c r="BU439" s="141" t="n">
        <x:f>IF('Carta Contemplada'!$B$22="Sim",INDEX('Carta Contemplada'!$C$55:$C$1013,$A439),0)</x:f>
        <x:v>0</x:v>
      </x:c>
      <x:c r="BV439" s="141" t="n">
        <x:f>IF(AND('Carta Contemplada'!$B$22="Sim",Premissas!$B$11="Imovel",Premissas!$B$47="Moradia",$A439&lt;MAX('Carta Contemplada'!$B$44,Premissas!$B$49)),$D439,0)</x:f>
        <x:v>0</x:v>
      </x:c>
      <x:c r="BW439" s="141" t="n">
        <x:f>IF(AND('Carta Contemplada'!$B$22="Sim",Premissas!$B$11="Imovel",Premissas!$B$47="Investimento",$A439&gt;=MAX('Carta Contemplada'!$B$44,Premissas!$B$49)),$E439,0)</x:f>
        <x:v>5214.241279904698</x:v>
      </x:c>
      <x:c r="BX439" s="141" t="n">
        <x:f>BT439+BU439+BV439</x:f>
        <x:v>0</x:v>
      </x:c>
      <x:c r="BY439" s="141" t="n">
        <x:f>BW439</x:f>
        <x:v>5214.241279904698</x:v>
      </x:c>
      <x:c r="BZ439" s="141" t="n">
        <x:f>$C439+BY439-BX439</x:f>
        <x:v>5214.241279904698</x:v>
      </x:c>
      <x:c r="CA439" s="141" t="n">
        <x:f>CD438*(1+Premissas!$B$41)+BZ439</x:f>
        <x:v>45061701.95657561</x:v>
      </x:c>
      <x:c r="CB439" s="141" t="n">
        <x:f>MAX(0,-CA439)</x:f>
        <x:v>0</x:v>
      </x:c>
      <x:c r="CC439" s="141" t="n">
        <x:f>CC438*(1+Premissas!$B$41)+CB439</x:f>
        <x:v>0</x:v>
      </x:c>
      <x:c r="CD439" s="141" t="n">
        <x:f>MAX(0,CA439)</x:f>
        <x:v>45061701.95657561</x:v>
      </x:c>
      <x:c r="CE439" s="141" t="n">
        <x:f>IF(AND('Carta Contemplada'!$B$22="Sim",$A439&gt;='Carta Contemplada'!$B$23),INDEX('Carta Contemplada'!$I$55:$I$1013,$A439),0)</x:f>
        <x:v>0</x:v>
      </x:c>
      <x:c r="CF439" s="141" t="n">
        <x:f>IF(AND('Carta Contemplada'!$B$22="Sim",$A439&gt;='Carta Contemplada'!$B$44),$F439,0)</x:f>
        <x:v>1645351.8710487299</x:v>
      </x:c>
      <x:c r="CG439" s="141" t="n">
        <x:f>CD439+CF439-CE439</x:f>
        <x:v>46707053.827624336</x:v>
      </x:c>
      <x:c r="CH439" s="141" t="n">
        <x:f>IF(CC439&gt;1,"Inviavel",CG439)</x:f>
        <x:v>46707053.827624336</x:v>
      </x:c>
      <x:c r="CI439" s="145" t="str">
        <x:f>IF(CC439&gt;1,"Inviavel","OK")</x:f>
        <x:v>OK</x:v>
      </x:c>
    </x:row>
    <x:row r="440">
      <x:c r="A440" s="142" t="n">
        <x:v>436</x:v>
      </x:c>
      <x:c r="B440" s="179" t="n">
        <x:f>EDATE(Premissas!$B$4,A440-1)</x:f>
        <x:v>59780</x:v>
      </x:c>
      <x:c r="C440" s="141" t="n">
        <x:f>IF(A440&lt;=Premissas!$B$39,Premissas!$B$42,0)</x:f>
        <x:v>0</x:v>
      </x:c>
      <x:c r="D440" s="141" t="n">
        <x:f>Premissas!$B$54*(1+Premissas!$B$57)^INT((A440-1)/12)</x:f>
        <x:v>5703.076399895763</x:v>
      </x:c>
      <x:c r="E440" s="141" t="n">
        <x:f>Premissas!$B$64*(1+Premissas!$B$57)^INT((A440-1)/12)</x:f>
        <x:v>5214.241279904698</x:v>
      </x:c>
      <x:c r="F440" s="141" t="n">
        <x:f>MAX(0,Premissas!$B$6*(1+Premissas!$B$66)^((A440-1)/12))</x:f>
        <x:v>1653360.7044788415</x:v>
      </x:c>
      <x:c r="G440" s="141" t="n">
        <x:f>G439*(1+Premissas!$B$41)+C440</x:f>
        <x:v>49921658.183212854</x:v>
      </x:c>
      <x:c r="H440" s="141" t="n">
        <x:f>IF($A440=Premissas!$B$48,Premissas!$B$8,0)</x:f>
        <x:v>0</x:v>
      </x:c>
      <x:c r="I440" s="141" t="n">
        <x:f>IF(AND($A440&gt;=Premissas!$B$48,$A440-Premissas!$B$48+1&lt;=Premissas!$B$13),INDEX(Financiamento!$J$6:$J$485,$A440-Premissas!$B$48+1),0)</x:f>
        <x:v>0</x:v>
      </x:c>
      <x:c r="J440" s="141" t="n">
        <x:f>IF(AND(TRUE,Premissas!$B$11="Imovel",Premissas!$B$47="Moradia",$A440&lt;MAX(Premissas!$B$48,Premissas!$B$49)),$D440,0)</x:f>
        <x:v>0</x:v>
      </x:c>
      <x:c r="K440" s="141" t="n">
        <x:f>IF(AND(TRUE,Premissas!$B$11="Imovel",Premissas!$B$47="Investimento",$A440&gt;=MAX(Premissas!$B$48,Premissas!$B$49)),$E440,0)</x:f>
        <x:v>5214.241279904698</x:v>
      </x:c>
      <x:c r="L440" s="141" t="n">
        <x:f>H440+I440+J440</x:f>
        <x:v>0</x:v>
      </x:c>
      <x:c r="M440" s="141" t="n">
        <x:f>K440</x:f>
        <x:v>5214.241279904698</x:v>
      </x:c>
      <x:c r="N440" s="141" t="n">
        <x:f>$C440+M440-L440</x:f>
        <x:v>5214.241279904698</x:v>
      </x:c>
      <x:c r="O440" s="141" t="n">
        <x:f>R439*(1+Premissas!$B$41)+N440</x:f>
        <x:v>43873952.95607777</x:v>
      </x:c>
      <x:c r="P440" s="141" t="n">
        <x:f>MAX(0,-O440)</x:f>
        <x:v>0</x:v>
      </x:c>
      <x:c r="Q440" s="141" t="n">
        <x:f>Q439*(1+Premissas!$B$41)+P440</x:f>
        <x:v>0</x:v>
      </x:c>
      <x:c r="R440" s="141" t="n">
        <x:f>MAX(0,O440)</x:f>
        <x:v>43873952.95607777</x:v>
      </x:c>
      <x:c r="S440" s="141" t="n">
        <x:f>IF(AND($A440&gt;=Premissas!$B$48,$A440-Premissas!$B$48+1&lt;=Premissas!$B$13),INDEX(Financiamento!$M$6:$M$485,$A440-Premissas!$B$48+1),0)</x:f>
        <x:v>0</x:v>
      </x:c>
      <x:c r="T440" s="141" t="n">
        <x:f>IF($A440&gt;=Premissas!$B$48,$F440,0)</x:f>
        <x:v>1653360.7044788415</x:v>
      </x:c>
      <x:c r="U440" s="141" t="n">
        <x:f>R440+T440-S440</x:f>
        <x:v>45527313.660556614</x:v>
      </x:c>
      <x:c r="V440" s="141" t="n">
        <x:f>IF(Q440&gt;1,"Inviavel",U440)</x:f>
        <x:v>45527313.660556614</x:v>
      </x:c>
      <x:c r="W440" s="141" t="str">
        <x:f>IF(Q440&gt;1,"Inviavel","OK")</x:f>
        <x:v>OK</x:v>
      </x:c>
      <x:c r="X440" s="141" t="n">
        <x:f>IF($A440=Premissas!$B$48,Premissas!$B$8,0)</x:f>
        <x:v>0</x:v>
      </x:c>
      <x:c r="Y440" s="141" t="n">
        <x:f>IF(AND($A440&gt;=Premissas!$B$48,$A440-Premissas!$B$48+1&lt;=Premissas!$B$13),INDEX(Amortizacao!$K$6:$K$485,$A440-Premissas!$B$48+1),0)</x:f>
        <x:v>0</x:v>
      </x:c>
      <x:c r="Z440" s="141" t="n">
        <x:f>IF(AND(TRUE,Premissas!$B$11="Imovel",Premissas!$B$47="Moradia",$A440&lt;MAX(Premissas!$B$48,Premissas!$B$49)),$D440,0)</x:f>
        <x:v>0</x:v>
      </x:c>
      <x:c r="AA440" s="141" t="n">
        <x:f>IF(AND(TRUE,Premissas!$B$11="Imovel",Premissas!$B$47="Investimento",$A440&gt;=MAX(Premissas!$B$48,Premissas!$B$49)),$E440,0)</x:f>
        <x:v>5214.241279904698</x:v>
      </x:c>
      <x:c r="AB440" s="141" t="n">
        <x:f>X440+Y440+Z440</x:f>
        <x:v>0</x:v>
      </x:c>
      <x:c r="AC440" s="141" t="n">
        <x:f>AA440</x:f>
        <x:v>5214.241279904698</x:v>
      </x:c>
      <x:c r="AD440" s="141" t="n">
        <x:f>$C440+AC440-AB440</x:f>
        <x:v>5214.241279904698</x:v>
      </x:c>
      <x:c r="AE440" s="141" t="n">
        <x:f>AH439*(1+Premissas!$B$41)+AD440</x:f>
        <x:v>44607872.29717966</x:v>
      </x:c>
      <x:c r="AF440" s="141" t="n">
        <x:f>MAX(0,-AE440)</x:f>
        <x:v>0</x:v>
      </x:c>
      <x:c r="AG440" s="141" t="n">
        <x:f>AG439*(1+Premissas!$B$41)+AF440</x:f>
        <x:v>0</x:v>
      </x:c>
      <x:c r="AH440" s="141" t="n">
        <x:f>MAX(0,AE440)</x:f>
        <x:v>44607872.29717966</x:v>
      </x:c>
      <x:c r="AI440" s="141" t="n">
        <x:f>IF(AND($A440&gt;=Premissas!$B$48,$A440-Premissas!$B$48+1&lt;=Premissas!$B$13),INDEX(Amortizacao!$L$6:$L$485,$A440-Premissas!$B$48+1),0)</x:f>
        <x:v>0</x:v>
      </x:c>
      <x:c r="AJ440" s="141" t="n">
        <x:f>IF($A440&gt;=Premissas!$B$48,$F440,0)</x:f>
        <x:v>1653360.7044788415</x:v>
      </x:c>
      <x:c r="AK440" s="141" t="n">
        <x:f>AH440+AJ440-AI440</x:f>
        <x:v>46261233.00165851</x:v>
      </x:c>
      <x:c r="AL440" s="141" t="n">
        <x:f>IF(AG440&gt;1,"Inviavel",AK440)</x:f>
        <x:v>46261233.00165851</x:v>
      </x:c>
      <x:c r="AM440" s="141" t="str">
        <x:f>IF(AG440&gt;1,"Inviavel","OK")</x:f>
        <x:v>OK</x:v>
      </x:c>
      <x:c r="AN440" s="141" t="n">
        <x:f>IF($A440=Premissas!$B$48,Premissas!$B$8,0)</x:f>
        <x:v>0</x:v>
      </x:c>
      <x:c r="AO440" s="141" t="n">
        <x:f>IF($A440&lt;=Premissas!$B$25,INDEX('Consorcio IQ'!$K$6:$K$485,$A440),0)</x:f>
        <x:v>0</x:v>
      </x:c>
      <x:c r="AP440" s="141" t="n">
        <x:f>IF(AND(TRUE,Premissas!$B$11="Imovel",Premissas!$B$47="Moradia",$A440&lt;MAX(Premissas!$B$48,Premissas!$B$49)),$D440,0)</x:f>
        <x:v>0</x:v>
      </x:c>
      <x:c r="AQ440" s="141" t="n">
        <x:f>IF(AND(TRUE,Premissas!$B$11="Imovel",Premissas!$B$47="Investimento",$A440&gt;=MAX(Premissas!$B$48,Premissas!$B$49)),$E440,0)</x:f>
        <x:v>5214.241279904698</x:v>
      </x:c>
      <x:c r="AR440" s="141" t="n">
        <x:f>AN440+AO440+AP440</x:f>
        <x:v>0</x:v>
      </x:c>
      <x:c r="AS440" s="141" t="n">
        <x:f>AQ440</x:f>
        <x:v>5214.241279904698</x:v>
      </x:c>
      <x:c r="AT440" s="141" t="n">
        <x:f>$C440+AS440-AR440</x:f>
        <x:v>5214.241279904698</x:v>
      </x:c>
      <x:c r="AU440" s="141" t="n">
        <x:f>AX439*(1+Premissas!$B$41)+AT440</x:f>
        <x:v>44256289.76986027</x:v>
      </x:c>
      <x:c r="AV440" s="141" t="n">
        <x:f>MAX(0,-AU440)</x:f>
        <x:v>0</x:v>
      </x:c>
      <x:c r="AW440" s="141" t="n">
        <x:f>AW439*(1+Premissas!$B$41)+AV440</x:f>
        <x:v>0</x:v>
      </x:c>
      <x:c r="AX440" s="141" t="n">
        <x:f>MAX(0,AU440)</x:f>
        <x:v>44256289.76986027</x:v>
      </x:c>
      <x:c r="AY440" s="141" t="n">
        <x:f>INDEX('Consorcio IQ'!$P$6:$P$485,$A440)</x:f>
        <x:v>0</x:v>
      </x:c>
      <x:c r="AZ440" s="141" t="n">
        <x:f>IF($A440&gt;=Premissas!$B$48,$F440,0)+IF($A440&lt;Premissas!$B$27,INDEX('Consorcio IQ'!$O$6:$O$485,$A440),0)</x:f>
        <x:v>1653360.7044788415</x:v>
      </x:c>
      <x:c r="BA440" s="141" t="n">
        <x:f>AX440+AZ440-AY440</x:f>
        <x:v>45909650.47433911</x:v>
      </x:c>
      <x:c r="BB440" s="141" t="n">
        <x:f>IF(AW440&gt;1,"Inviavel",BA440)</x:f>
        <x:v>45909650.47433911</x:v>
      </x:c>
      <x:c r="BC440" s="141" t="str">
        <x:f>IF(AW440&gt;1,"Inviavel","OK")</x:f>
        <x:v>OK</x:v>
      </x:c>
      <x:c r="BD440" s="141" t="n">
        <x:f>IF($A440='Consorcio Direto'!$B$29,'Consorcio Direto'!$B$44,0)</x:f>
        <x:v>0</x:v>
      </x:c>
      <x:c r="BE440" s="141" t="n">
        <x:f>IF($A440&lt;='Consorcio Direto'!$B$27,INDEX('Consorcio Direto'!$E$55:$E$534,$A440),0)</x:f>
        <x:v>0</x:v>
      </x:c>
      <x:c r="BF440" s="141" t="n">
        <x:f>IF(AND(TRUE,Premissas!$B$11="Imovel",Premissas!$B$47="Moradia",$A440&lt;MAX('Consorcio Direto'!$B$29,Premissas!$B$49)),$D440,0)</x:f>
        <x:v>0</x:v>
      </x:c>
      <x:c r="BG440" s="141" t="n">
        <x:f>IF(AND(TRUE,Premissas!$B$11="Imovel",Premissas!$B$47="Investimento",$A440&gt;=MAX('Consorcio Direto'!$B$29,Premissas!$B$49)),$E440,0)</x:f>
        <x:v>5214.241279904698</x:v>
      </x:c>
      <x:c r="BH440" s="141" t="n">
        <x:f>BD440+BE440+BF440</x:f>
        <x:v>0</x:v>
      </x:c>
      <x:c r="BI440" s="141" t="n">
        <x:f>BG440</x:f>
        <x:v>5214.241279904698</x:v>
      </x:c>
      <x:c r="BJ440" s="141" t="n">
        <x:f>$C440+BI440-BH440</x:f>
        <x:v>5214.241279904698</x:v>
      </x:c>
      <x:c r="BK440" s="141" t="n">
        <x:f>BN439*(1+Premissas!$B$41)+BJ440</x:f>
        <x:v>42356200.89662173</x:v>
      </x:c>
      <x:c r="BL440" s="141" t="n">
        <x:f>MAX(0,-BK440)</x:f>
        <x:v>0</x:v>
      </x:c>
      <x:c r="BM440" s="141" t="n">
        <x:f>BM439*(1+Premissas!$B$41)+BL440</x:f>
        <x:v>0</x:v>
      </x:c>
      <x:c r="BN440" s="141" t="n">
        <x:f>MAX(0,BK440)</x:f>
        <x:v>42356200.89662173</x:v>
      </x:c>
      <x:c r="BO440" s="141" t="n">
        <x:f>INDEX('Consorcio Direto'!$K$55:$K$534,$A440)</x:f>
        <x:v>0</x:v>
      </x:c>
      <x:c r="BP440" s="141" t="n">
        <x:f>IF($A440&lt;'Consorcio Direto'!$B$29,INDEX('Consorcio Direto'!$L$55:$L$534,$A440),$F440)</x:f>
        <x:v>1653360.7044788415</x:v>
      </x:c>
      <x:c r="BQ440" s="141" t="n">
        <x:f>BN440+BP440-BO440</x:f>
        <x:v>44009561.60110057</x:v>
      </x:c>
      <x:c r="BR440" s="141" t="n">
        <x:f>IF(BM440&gt;1,"Inviavel",BQ440)</x:f>
        <x:v>44009561.60110057</x:v>
      </x:c>
      <x:c r="BS440" s="141" t="str">
        <x:f>IF(BM440&gt;1,"Inviavel","OK")</x:f>
        <x:v>OK</x:v>
      </x:c>
      <x:c r="BT440" s="141" t="n">
        <x:f>IF(AND('Carta Contemplada'!$B$22="Sim",$A440='Carta Contemplada'!$B$23),'Carta Contemplada'!$B$37,0)</x:f>
        <x:v>0</x:v>
      </x:c>
      <x:c r="BU440" s="141" t="n">
        <x:f>IF('Carta Contemplada'!$B$22="Sim",INDEX('Carta Contemplada'!$C$55:$C$1013,$A440),0)</x:f>
        <x:v>0</x:v>
      </x:c>
      <x:c r="BV440" s="141" t="n">
        <x:f>IF(AND('Carta Contemplada'!$B$22="Sim",Premissas!$B$11="Imovel",Premissas!$B$47="Moradia",$A440&lt;MAX('Carta Contemplada'!$B$44,Premissas!$B$49)),$D440,0)</x:f>
        <x:v>0</x:v>
      </x:c>
      <x:c r="BW440" s="141" t="n">
        <x:f>IF(AND('Carta Contemplada'!$B$22="Sim",Premissas!$B$11="Imovel",Premissas!$B$47="Investimento",$A440&gt;=MAX('Carta Contemplada'!$B$44,Premissas!$B$49)),$E440,0)</x:f>
        <x:v>5214.241279904698</x:v>
      </x:c>
      <x:c r="BX440" s="141" t="n">
        <x:f>BT440+BU440+BV440</x:f>
        <x:v>0</x:v>
      </x:c>
      <x:c r="BY440" s="141" t="n">
        <x:f>BW440</x:f>
        <x:v>5214.241279904698</x:v>
      </x:c>
      <x:c r="BZ440" s="141" t="n">
        <x:f>$C440+BY440-BX440</x:f>
        <x:v>5214.241279904698</x:v>
      </x:c>
      <x:c r="CA440" s="141" t="n">
        <x:f>CD439*(1+Premissas!$B$41)+BZ440</x:f>
        <x:v>45494497.35700136</x:v>
      </x:c>
      <x:c r="CB440" s="141" t="n">
        <x:f>MAX(0,-CA440)</x:f>
        <x:v>0</x:v>
      </x:c>
      <x:c r="CC440" s="141" t="n">
        <x:f>CC439*(1+Premissas!$B$41)+CB440</x:f>
        <x:v>0</x:v>
      </x:c>
      <x:c r="CD440" s="141" t="n">
        <x:f>MAX(0,CA440)</x:f>
        <x:v>45494497.35700136</x:v>
      </x:c>
      <x:c r="CE440" s="141" t="n">
        <x:f>IF(AND('Carta Contemplada'!$B$22="Sim",$A440&gt;='Carta Contemplada'!$B$23),INDEX('Carta Contemplada'!$I$55:$I$1013,$A440),0)</x:f>
        <x:v>0</x:v>
      </x:c>
      <x:c r="CF440" s="141" t="n">
        <x:f>IF(AND('Carta Contemplada'!$B$22="Sim",$A440&gt;='Carta Contemplada'!$B$44),$F440,0)</x:f>
        <x:v>1653360.7044788415</x:v>
      </x:c>
      <x:c r="CG440" s="141" t="n">
        <x:f>CD440+CF440-CE440</x:f>
        <x:v>47147858.0614802</x:v>
      </x:c>
      <x:c r="CH440" s="141" t="n">
        <x:f>IF(CC440&gt;1,"Inviavel",CG440)</x:f>
        <x:v>47147858.0614802</x:v>
      </x:c>
      <x:c r="CI440" s="145" t="str">
        <x:f>IF(CC440&gt;1,"Inviavel","OK")</x:f>
        <x:v>OK</x:v>
      </x:c>
    </x:row>
    <x:row r="441">
      <x:c r="A441" s="142" t="n">
        <x:v>437</x:v>
      </x:c>
      <x:c r="B441" s="179" t="n">
        <x:f>EDATE(Premissas!$B$4,A441-1)</x:f>
        <x:v>59810</x:v>
      </x:c>
      <x:c r="C441" s="141" t="n">
        <x:f>IF(A441&lt;=Premissas!$B$39,Premissas!$B$42,0)</x:f>
        <x:v>0</x:v>
      </x:c>
      <x:c r="D441" s="141" t="n">
        <x:f>Premissas!$B$54*(1+Premissas!$B$57)^INT((A441-1)/12)</x:f>
        <x:v>5703.076399895763</x:v>
      </x:c>
      <x:c r="E441" s="141" t="n">
        <x:f>Premissas!$B$64*(1+Premissas!$B$57)^INT((A441-1)/12)</x:f>
        <x:v>5214.241279904698</x:v>
      </x:c>
      <x:c r="F441" s="141" t="n">
        <x:f>MAX(0,Premissas!$B$6*(1+Premissas!$B$66)^((A441-1)/12))</x:f>
        <x:v>1661408.5213106435</x:v>
      </x:c>
      <x:c r="G441" s="141" t="n">
        <x:f>G440*(1+Premissas!$B$41)+C441</x:f>
        <x:v>50395354.46066439</x:v>
      </x:c>
      <x:c r="H441" s="141" t="n">
        <x:f>IF($A441=Premissas!$B$48,Premissas!$B$8,0)</x:f>
        <x:v>0</x:v>
      </x:c>
      <x:c r="I441" s="141" t="n">
        <x:f>IF(AND($A441&gt;=Premissas!$B$48,$A441-Premissas!$B$48+1&lt;=Premissas!$B$13),INDEX(Financiamento!$J$6:$J$485,$A441-Premissas!$B$48+1),0)</x:f>
        <x:v>0</x:v>
      </x:c>
      <x:c r="J441" s="141" t="n">
        <x:f>IF(AND(TRUE,Premissas!$B$11="Imovel",Premissas!$B$47="Moradia",$A441&lt;MAX(Premissas!$B$48,Premissas!$B$49)),$D441,0)</x:f>
        <x:v>0</x:v>
      </x:c>
      <x:c r="K441" s="141" t="n">
        <x:f>IF(AND(TRUE,Premissas!$B$11="Imovel",Premissas!$B$47="Investimento",$A441&gt;=MAX(Premissas!$B$48,Premissas!$B$49)),$E441,0)</x:f>
        <x:v>5214.241279904698</x:v>
      </x:c>
      <x:c r="L441" s="141" t="n">
        <x:f>H441+I441+J441</x:f>
        <x:v>0</x:v>
      </x:c>
      <x:c r="M441" s="141" t="n">
        <x:f>K441</x:f>
        <x:v>5214.241279904698</x:v>
      </x:c>
      <x:c r="N441" s="141" t="n">
        <x:f>$C441+M441-L441</x:f>
        <x:v>5214.241279904698</x:v>
      </x:c>
      <x:c r="O441" s="141" t="n">
        <x:f>R440*(1+Premissas!$B$41)+N441</x:f>
        <x:v>44295478.05217954</x:v>
      </x:c>
      <x:c r="P441" s="141" t="n">
        <x:f>MAX(0,-O441)</x:f>
        <x:v>0</x:v>
      </x:c>
      <x:c r="Q441" s="141" t="n">
        <x:f>Q440*(1+Premissas!$B$41)+P441</x:f>
        <x:v>0</x:v>
      </x:c>
      <x:c r="R441" s="141" t="n">
        <x:f>MAX(0,O441)</x:f>
        <x:v>44295478.05217954</x:v>
      </x:c>
      <x:c r="S441" s="141" t="n">
        <x:f>IF(AND($A441&gt;=Premissas!$B$48,$A441-Premissas!$B$48+1&lt;=Premissas!$B$13),INDEX(Financiamento!$M$6:$M$485,$A441-Premissas!$B$48+1),0)</x:f>
        <x:v>0</x:v>
      </x:c>
      <x:c r="T441" s="141" t="n">
        <x:f>IF($A441&gt;=Premissas!$B$48,$F441,0)</x:f>
        <x:v>1661408.5213106435</x:v>
      </x:c>
      <x:c r="U441" s="141" t="n">
        <x:f>R441+T441-S441</x:f>
        <x:v>45956886.57349018</x:v>
      </x:c>
      <x:c r="V441" s="141" t="n">
        <x:f>IF(Q441&gt;1,"Inviavel",U441)</x:f>
        <x:v>45956886.57349018</x:v>
      </x:c>
      <x:c r="W441" s="141" t="str">
        <x:f>IF(Q441&gt;1,"Inviavel","OK")</x:f>
        <x:v>OK</x:v>
      </x:c>
      <x:c r="X441" s="141" t="n">
        <x:f>IF($A441=Premissas!$B$48,Premissas!$B$8,0)</x:f>
        <x:v>0</x:v>
      </x:c>
      <x:c r="Y441" s="141" t="n">
        <x:f>IF(AND($A441&gt;=Premissas!$B$48,$A441-Premissas!$B$48+1&lt;=Premissas!$B$13),INDEX(Amortizacao!$K$6:$K$485,$A441-Premissas!$B$48+1),0)</x:f>
        <x:v>0</x:v>
      </x:c>
      <x:c r="Z441" s="141" t="n">
        <x:f>IF(AND(TRUE,Premissas!$B$11="Imovel",Premissas!$B$47="Moradia",$A441&lt;MAX(Premissas!$B$48,Premissas!$B$49)),$D441,0)</x:f>
        <x:v>0</x:v>
      </x:c>
      <x:c r="AA441" s="141" t="n">
        <x:f>IF(AND(TRUE,Premissas!$B$11="Imovel",Premissas!$B$47="Investimento",$A441&gt;=MAX(Premissas!$B$48,Premissas!$B$49)),$E441,0)</x:f>
        <x:v>5214.241279904698</x:v>
      </x:c>
      <x:c r="AB441" s="141" t="n">
        <x:f>X441+Y441+Z441</x:f>
        <x:v>0</x:v>
      </x:c>
      <x:c r="AC441" s="141" t="n">
        <x:f>AA441</x:f>
        <x:v>5214.241279904698</x:v>
      </x:c>
      <x:c r="AD441" s="141" t="n">
        <x:f>$C441+AC441-AB441</x:f>
        <x:v>5214.241279904698</x:v>
      </x:c>
      <x:c r="AE441" s="141" t="n">
        <x:f>AH440*(1+Premissas!$B$41)+AD441</x:f>
        <x:v>45036361.40193983</x:v>
      </x:c>
      <x:c r="AF441" s="141" t="n">
        <x:f>MAX(0,-AE441)</x:f>
        <x:v>0</x:v>
      </x:c>
      <x:c r="AG441" s="141" t="n">
        <x:f>AG440*(1+Premissas!$B$41)+AF441</x:f>
        <x:v>0</x:v>
      </x:c>
      <x:c r="AH441" s="141" t="n">
        <x:f>MAX(0,AE441)</x:f>
        <x:v>45036361.40193983</x:v>
      </x:c>
      <x:c r="AI441" s="141" t="n">
        <x:f>IF(AND($A441&gt;=Premissas!$B$48,$A441-Premissas!$B$48+1&lt;=Premissas!$B$13),INDEX(Amortizacao!$L$6:$L$485,$A441-Premissas!$B$48+1),0)</x:f>
        <x:v>0</x:v>
      </x:c>
      <x:c r="AJ441" s="141" t="n">
        <x:f>IF($A441&gt;=Premissas!$B$48,$F441,0)</x:f>
        <x:v>1661408.5213106435</x:v>
      </x:c>
      <x:c r="AK441" s="141" t="n">
        <x:f>AH441+AJ441-AI441</x:f>
        <x:v>46697769.923250474</x:v>
      </x:c>
      <x:c r="AL441" s="141" t="n">
        <x:f>IF(AG441&gt;1,"Inviavel",AK441)</x:f>
        <x:v>46697769.923250474</x:v>
      </x:c>
      <x:c r="AM441" s="141" t="str">
        <x:f>IF(AG441&gt;1,"Inviavel","OK")</x:f>
        <x:v>OK</x:v>
      </x:c>
      <x:c r="AN441" s="141" t="n">
        <x:f>IF($A441=Premissas!$B$48,Premissas!$B$8,0)</x:f>
        <x:v>0</x:v>
      </x:c>
      <x:c r="AO441" s="141" t="n">
        <x:f>IF($A441&lt;=Premissas!$B$25,INDEX('Consorcio IQ'!$K$6:$K$485,$A441),0)</x:f>
        <x:v>0</x:v>
      </x:c>
      <x:c r="AP441" s="141" t="n">
        <x:f>IF(AND(TRUE,Premissas!$B$11="Imovel",Premissas!$B$47="Moradia",$A441&lt;MAX(Premissas!$B$48,Premissas!$B$49)),$D441,0)</x:f>
        <x:v>0</x:v>
      </x:c>
      <x:c r="AQ441" s="141" t="n">
        <x:f>IF(AND(TRUE,Premissas!$B$11="Imovel",Premissas!$B$47="Investimento",$A441&gt;=MAX(Premissas!$B$48,Premissas!$B$49)),$E441,0)</x:f>
        <x:v>5214.241279904698</x:v>
      </x:c>
      <x:c r="AR441" s="141" t="n">
        <x:f>AN441+AO441+AP441</x:f>
        <x:v>0</x:v>
      </x:c>
      <x:c r="AS441" s="141" t="n">
        <x:f>AQ441</x:f>
        <x:v>5214.241279904698</x:v>
      </x:c>
      <x:c r="AT441" s="141" t="n">
        <x:f>$C441+AS441-AR441</x:f>
        <x:v>5214.241279904698</x:v>
      </x:c>
      <x:c r="AU441" s="141" t="n">
        <x:f>AX440*(1+Premissas!$B$41)+AT441</x:f>
        <x:v>44681442.78081928</x:v>
      </x:c>
      <x:c r="AV441" s="141" t="n">
        <x:f>MAX(0,-AU441)</x:f>
        <x:v>0</x:v>
      </x:c>
      <x:c r="AW441" s="141" t="n">
        <x:f>AW440*(1+Premissas!$B$41)+AV441</x:f>
        <x:v>0</x:v>
      </x:c>
      <x:c r="AX441" s="141" t="n">
        <x:f>MAX(0,AU441)</x:f>
        <x:v>44681442.78081928</x:v>
      </x:c>
      <x:c r="AY441" s="141" t="n">
        <x:f>INDEX('Consorcio IQ'!$P$6:$P$485,$A441)</x:f>
        <x:v>0</x:v>
      </x:c>
      <x:c r="AZ441" s="141" t="n">
        <x:f>IF($A441&gt;=Premissas!$B$48,$F441,0)+IF($A441&lt;Premissas!$B$27,INDEX('Consorcio IQ'!$O$6:$O$485,$A441),0)</x:f>
        <x:v>1661408.5213106435</x:v>
      </x:c>
      <x:c r="BA441" s="141" t="n">
        <x:f>AX441+AZ441-AY441</x:f>
        <x:v>46342851.302129924</x:v>
      </x:c>
      <x:c r="BB441" s="141" t="n">
        <x:f>IF(AW441&gt;1,"Inviavel",BA441)</x:f>
        <x:v>46342851.302129924</x:v>
      </x:c>
      <x:c r="BC441" s="141" t="str">
        <x:f>IF(AW441&gt;1,"Inviavel","OK")</x:f>
        <x:v>OK</x:v>
      </x:c>
      <x:c r="BD441" s="141" t="n">
        <x:f>IF($A441='Consorcio Direto'!$B$29,'Consorcio Direto'!$B$44,0)</x:f>
        <x:v>0</x:v>
      </x:c>
      <x:c r="BE441" s="141" t="n">
        <x:f>IF($A441&lt;='Consorcio Direto'!$B$27,INDEX('Consorcio Direto'!$E$55:$E$534,$A441),0)</x:f>
        <x:v>0</x:v>
      </x:c>
      <x:c r="BF441" s="141" t="n">
        <x:f>IF(AND(TRUE,Premissas!$B$11="Imovel",Premissas!$B$47="Moradia",$A441&lt;MAX('Consorcio Direto'!$B$29,Premissas!$B$49)),$D441,0)</x:f>
        <x:v>0</x:v>
      </x:c>
      <x:c r="BG441" s="141" t="n">
        <x:f>IF(AND(TRUE,Premissas!$B$11="Imovel",Premissas!$B$47="Investimento",$A441&gt;=MAX('Consorcio Direto'!$B$29,Premissas!$B$49)),$E441,0)</x:f>
        <x:v>5214.241279904698</x:v>
      </x:c>
      <x:c r="BH441" s="141" t="n">
        <x:f>BD441+BE441+BF441</x:f>
        <x:v>0</x:v>
      </x:c>
      <x:c r="BI441" s="141" t="n">
        <x:f>BG441</x:f>
        <x:v>5214.241279904698</x:v>
      </x:c>
      <x:c r="BJ441" s="141" t="n">
        <x:f>$C441+BI441-BH441</x:f>
        <x:v>5214.241279904698</x:v>
      </x:c>
      <x:c r="BK441" s="141" t="n">
        <x:f>BN440*(1+Premissas!$B$41)+BJ441</x:f>
        <x:v>42763324.35770528</x:v>
      </x:c>
      <x:c r="BL441" s="141" t="n">
        <x:f>MAX(0,-BK441)</x:f>
        <x:v>0</x:v>
      </x:c>
      <x:c r="BM441" s="141" t="n">
        <x:f>BM440*(1+Premissas!$B$41)+BL441</x:f>
        <x:v>0</x:v>
      </x:c>
      <x:c r="BN441" s="141" t="n">
        <x:f>MAX(0,BK441)</x:f>
        <x:v>42763324.35770528</x:v>
      </x:c>
      <x:c r="BO441" s="141" t="n">
        <x:f>INDEX('Consorcio Direto'!$K$55:$K$534,$A441)</x:f>
        <x:v>0</x:v>
      </x:c>
      <x:c r="BP441" s="141" t="n">
        <x:f>IF($A441&lt;'Consorcio Direto'!$B$29,INDEX('Consorcio Direto'!$L$55:$L$534,$A441),$F441)</x:f>
        <x:v>1661408.5213106435</x:v>
      </x:c>
      <x:c r="BQ441" s="141" t="n">
        <x:f>BN441+BP441-BO441</x:f>
        <x:v>44424732.87901592</x:v>
      </x:c>
      <x:c r="BR441" s="141" t="n">
        <x:f>IF(BM441&gt;1,"Inviavel",BQ441)</x:f>
        <x:v>44424732.87901592</x:v>
      </x:c>
      <x:c r="BS441" s="141" t="str">
        <x:f>IF(BM441&gt;1,"Inviavel","OK")</x:f>
        <x:v>OK</x:v>
      </x:c>
      <x:c r="BT441" s="141" t="n">
        <x:f>IF(AND('Carta Contemplada'!$B$22="Sim",$A441='Carta Contemplada'!$B$23),'Carta Contemplada'!$B$37,0)</x:f>
        <x:v>0</x:v>
      </x:c>
      <x:c r="BU441" s="141" t="n">
        <x:f>IF('Carta Contemplada'!$B$22="Sim",INDEX('Carta Contemplada'!$C$55:$C$1013,$A441),0)</x:f>
        <x:v>0</x:v>
      </x:c>
      <x:c r="BV441" s="141" t="n">
        <x:f>IF(AND('Carta Contemplada'!$B$22="Sim",Premissas!$B$11="Imovel",Premissas!$B$47="Moradia",$A441&lt;MAX('Carta Contemplada'!$B$44,Premissas!$B$49)),$D441,0)</x:f>
        <x:v>0</x:v>
      </x:c>
      <x:c r="BW441" s="141" t="n">
        <x:f>IF(AND('Carta Contemplada'!$B$22="Sim",Premissas!$B$11="Imovel",Premissas!$B$47="Investimento",$A441&gt;=MAX('Carta Contemplada'!$B$44,Premissas!$B$49)),$E441,0)</x:f>
        <x:v>5214.241279904698</x:v>
      </x:c>
      <x:c r="BX441" s="141" t="n">
        <x:f>BT441+BU441+BV441</x:f>
        <x:v>0</x:v>
      </x:c>
      <x:c r="BY441" s="141" t="n">
        <x:f>BW441</x:f>
        <x:v>5214.241279904698</x:v>
      </x:c>
      <x:c r="BZ441" s="141" t="n">
        <x:f>$C441+BY441-BX441</x:f>
        <x:v>5214.241279904698</x:v>
      </x:c>
      <x:c r="CA441" s="141" t="n">
        <x:f>CD440*(1+Premissas!$B$41)+BZ441</x:f>
        <x:v>45931399.46336479</x:v>
      </x:c>
      <x:c r="CB441" s="141" t="n">
        <x:f>MAX(0,-CA441)</x:f>
        <x:v>0</x:v>
      </x:c>
      <x:c r="CC441" s="141" t="n">
        <x:f>CC440*(1+Premissas!$B$41)+CB441</x:f>
        <x:v>0</x:v>
      </x:c>
      <x:c r="CD441" s="141" t="n">
        <x:f>MAX(0,CA441)</x:f>
        <x:v>45931399.46336479</x:v>
      </x:c>
      <x:c r="CE441" s="141" t="n">
        <x:f>IF(AND('Carta Contemplada'!$B$22="Sim",$A441&gt;='Carta Contemplada'!$B$23),INDEX('Carta Contemplada'!$I$55:$I$1013,$A441),0)</x:f>
        <x:v>0</x:v>
      </x:c>
      <x:c r="CF441" s="141" t="n">
        <x:f>IF(AND('Carta Contemplada'!$B$22="Sim",$A441&gt;='Carta Contemplada'!$B$44),$F441,0)</x:f>
        <x:v>1661408.5213106435</x:v>
      </x:c>
      <x:c r="CG441" s="141" t="n">
        <x:f>CD441+CF441-CE441</x:f>
        <x:v>47592807.98467543</x:v>
      </x:c>
      <x:c r="CH441" s="141" t="n">
        <x:f>IF(CC441&gt;1,"Inviavel",CG441)</x:f>
        <x:v>47592807.98467543</x:v>
      </x:c>
      <x:c r="CI441" s="145" t="str">
        <x:f>IF(CC441&gt;1,"Inviavel","OK")</x:f>
        <x:v>OK</x:v>
      </x:c>
    </x:row>
    <x:row r="442">
      <x:c r="A442" s="142" t="n">
        <x:v>438</x:v>
      </x:c>
      <x:c r="B442" s="179" t="n">
        <x:f>EDATE(Premissas!$B$4,A442-1)</x:f>
        <x:v>59841</x:v>
      </x:c>
      <x:c r="C442" s="141" t="n">
        <x:f>IF(A442&lt;=Premissas!$B$39,Premissas!$B$42,0)</x:f>
        <x:v>0</x:v>
      </x:c>
      <x:c r="D442" s="141" t="n">
        <x:f>Premissas!$B$54*(1+Premissas!$B$57)^INT((A442-1)/12)</x:f>
        <x:v>5703.076399895763</x:v>
      </x:c>
      <x:c r="E442" s="141" t="n">
        <x:f>Premissas!$B$64*(1+Premissas!$B$57)^INT((A442-1)/12)</x:f>
        <x:v>5214.241279904698</x:v>
      </x:c>
      <x:c r="F442" s="141" t="n">
        <x:f>MAX(0,Premissas!$B$6*(1+Premissas!$B$66)^((A442-1)/12))</x:f>
        <x:v>1669495.5112978145</x:v>
      </x:c>
      <x:c r="G442" s="141" t="n">
        <x:f>G441*(1+Premissas!$B$41)+C442</x:f>
        <x:v>50873545.54400655</x:v>
      </x:c>
      <x:c r="H442" s="141" t="n">
        <x:f>IF($A442=Premissas!$B$48,Premissas!$B$8,0)</x:f>
        <x:v>0</x:v>
      </x:c>
      <x:c r="I442" s="141" t="n">
        <x:f>IF(AND($A442&gt;=Premissas!$B$48,$A442-Premissas!$B$48+1&lt;=Premissas!$B$13),INDEX(Financiamento!$J$6:$J$485,$A442-Premissas!$B$48+1),0)</x:f>
        <x:v>0</x:v>
      </x:c>
      <x:c r="J442" s="141" t="n">
        <x:f>IF(AND(TRUE,Premissas!$B$11="Imovel",Premissas!$B$47="Moradia",$A442&lt;MAX(Premissas!$B$48,Premissas!$B$49)),$D442,0)</x:f>
        <x:v>0</x:v>
      </x:c>
      <x:c r="K442" s="141" t="n">
        <x:f>IF(AND(TRUE,Premissas!$B$11="Imovel",Premissas!$B$47="Investimento",$A442&gt;=MAX(Premissas!$B$48,Premissas!$B$49)),$E442,0)</x:f>
        <x:v>5214.241279904698</x:v>
      </x:c>
      <x:c r="L442" s="141" t="n">
        <x:f>H442+I442+J442</x:f>
        <x:v>0</x:v>
      </x:c>
      <x:c r="M442" s="141" t="n">
        <x:f>K442</x:f>
        <x:v>5214.241279904698</x:v>
      </x:c>
      <x:c r="N442" s="141" t="n">
        <x:f>$C442+M442-L442</x:f>
        <x:v>5214.241279904698</x:v>
      </x:c>
      <x:c r="O442" s="141" t="n">
        <x:f>R441*(1+Premissas!$B$41)+N442</x:f>
        <x:v>44721002.91263495</x:v>
      </x:c>
      <x:c r="P442" s="141" t="n">
        <x:f>MAX(0,-O442)</x:f>
        <x:v>0</x:v>
      </x:c>
      <x:c r="Q442" s="141" t="n">
        <x:f>Q441*(1+Premissas!$B$41)+P442</x:f>
        <x:v>0</x:v>
      </x:c>
      <x:c r="R442" s="141" t="n">
        <x:f>MAX(0,O442)</x:f>
        <x:v>44721002.91263495</x:v>
      </x:c>
      <x:c r="S442" s="141" t="n">
        <x:f>IF(AND($A442&gt;=Premissas!$B$48,$A442-Premissas!$B$48+1&lt;=Premissas!$B$13),INDEX(Financiamento!$M$6:$M$485,$A442-Premissas!$B$48+1),0)</x:f>
        <x:v>0</x:v>
      </x:c>
      <x:c r="T442" s="141" t="n">
        <x:f>IF($A442&gt;=Premissas!$B$48,$F442,0)</x:f>
        <x:v>1669495.5112978145</x:v>
      </x:c>
      <x:c r="U442" s="141" t="n">
        <x:f>R442+T442-S442</x:f>
        <x:v>46390498.42393276</x:v>
      </x:c>
      <x:c r="V442" s="141" t="n">
        <x:f>IF(Q442&gt;1,"Inviavel",U442)</x:f>
        <x:v>46390498.42393276</x:v>
      </x:c>
      <x:c r="W442" s="141" t="str">
        <x:f>IF(Q442&gt;1,"Inviavel","OK")</x:f>
        <x:v>OK</x:v>
      </x:c>
      <x:c r="X442" s="141" t="n">
        <x:f>IF($A442=Premissas!$B$48,Premissas!$B$8,0)</x:f>
        <x:v>0</x:v>
      </x:c>
      <x:c r="Y442" s="141" t="n">
        <x:f>IF(AND($A442&gt;=Premissas!$B$48,$A442-Premissas!$B$48+1&lt;=Premissas!$B$13),INDEX(Amortizacao!$K$6:$K$485,$A442-Premissas!$B$48+1),0)</x:f>
        <x:v>0</x:v>
      </x:c>
      <x:c r="Z442" s="141" t="n">
        <x:f>IF(AND(TRUE,Premissas!$B$11="Imovel",Premissas!$B$47="Moradia",$A442&lt;MAX(Premissas!$B$48,Premissas!$B$49)),$D442,0)</x:f>
        <x:v>0</x:v>
      </x:c>
      <x:c r="AA442" s="141" t="n">
        <x:f>IF(AND(TRUE,Premissas!$B$11="Imovel",Premissas!$B$47="Investimento",$A442&gt;=MAX(Premissas!$B$48,Premissas!$B$49)),$E442,0)</x:f>
        <x:v>5214.241279904698</x:v>
      </x:c>
      <x:c r="AB442" s="141" t="n">
        <x:f>X442+Y442+Z442</x:f>
        <x:v>0</x:v>
      </x:c>
      <x:c r="AC442" s="141" t="n">
        <x:f>AA442</x:f>
        <x:v>5214.241279904698</x:v>
      </x:c>
      <x:c r="AD442" s="141" t="n">
        <x:f>$C442+AC442-AB442</x:f>
        <x:v>5214.241279904698</x:v>
      </x:c>
      <x:c r="AE442" s="141" t="n">
        <x:f>AH441*(1+Premissas!$B$41)+AD442</x:f>
        <x:v>45468916.3510898</x:v>
      </x:c>
      <x:c r="AF442" s="141" t="n">
        <x:f>MAX(0,-AE442)</x:f>
        <x:v>0</x:v>
      </x:c>
      <x:c r="AG442" s="141" t="n">
        <x:f>AG441*(1+Premissas!$B$41)+AF442</x:f>
        <x:v>0</x:v>
      </x:c>
      <x:c r="AH442" s="141" t="n">
        <x:f>MAX(0,AE442)</x:f>
        <x:v>45468916.3510898</x:v>
      </x:c>
      <x:c r="AI442" s="141" t="n">
        <x:f>IF(AND($A442&gt;=Premissas!$B$48,$A442-Premissas!$B$48+1&lt;=Premissas!$B$13),INDEX(Amortizacao!$L$6:$L$485,$A442-Premissas!$B$48+1),0)</x:f>
        <x:v>0</x:v>
      </x:c>
      <x:c r="AJ442" s="141" t="n">
        <x:f>IF($A442&gt;=Premissas!$B$48,$F442,0)</x:f>
        <x:v>1669495.5112978145</x:v>
      </x:c>
      <x:c r="AK442" s="141" t="n">
        <x:f>AH442+AJ442-AI442</x:f>
        <x:v>47138411.86238761</x:v>
      </x:c>
      <x:c r="AL442" s="141" t="n">
        <x:f>IF(AG442&gt;1,"Inviavel",AK442)</x:f>
        <x:v>47138411.86238761</x:v>
      </x:c>
      <x:c r="AM442" s="141" t="str">
        <x:f>IF(AG442&gt;1,"Inviavel","OK")</x:f>
        <x:v>OK</x:v>
      </x:c>
      <x:c r="AN442" s="141" t="n">
        <x:f>IF($A442=Premissas!$B$48,Premissas!$B$8,0)</x:f>
        <x:v>0</x:v>
      </x:c>
      <x:c r="AO442" s="141" t="n">
        <x:f>IF($A442&lt;=Premissas!$B$25,INDEX('Consorcio IQ'!$K$6:$K$485,$A442),0)</x:f>
        <x:v>0</x:v>
      </x:c>
      <x:c r="AP442" s="141" t="n">
        <x:f>IF(AND(TRUE,Premissas!$B$11="Imovel",Premissas!$B$47="Moradia",$A442&lt;MAX(Premissas!$B$48,Premissas!$B$49)),$D442,0)</x:f>
        <x:v>0</x:v>
      </x:c>
      <x:c r="AQ442" s="141" t="n">
        <x:f>IF(AND(TRUE,Premissas!$B$11="Imovel",Premissas!$B$47="Investimento",$A442&gt;=MAX(Premissas!$B$48,Premissas!$B$49)),$E442,0)</x:f>
        <x:v>5214.241279904698</x:v>
      </x:c>
      <x:c r="AR442" s="141" t="n">
        <x:f>AN442+AO442+AP442</x:f>
        <x:v>0</x:v>
      </x:c>
      <x:c r="AS442" s="141" t="n">
        <x:f>AQ442</x:f>
        <x:v>5214.241279904698</x:v>
      </x:c>
      <x:c r="AT442" s="141" t="n">
        <x:f>$C442+AS442-AR442</x:f>
        <x:v>5214.241279904698</x:v>
      </x:c>
      <x:c r="AU442" s="141" t="n">
        <x:f>AX441*(1+Premissas!$B$41)+AT442</x:f>
        <x:v>45110629.980664805</x:v>
      </x:c>
      <x:c r="AV442" s="141" t="n">
        <x:f>MAX(0,-AU442)</x:f>
        <x:v>0</x:v>
      </x:c>
      <x:c r="AW442" s="141" t="n">
        <x:f>AW441*(1+Premissas!$B$41)+AV442</x:f>
        <x:v>0</x:v>
      </x:c>
      <x:c r="AX442" s="141" t="n">
        <x:f>MAX(0,AU442)</x:f>
        <x:v>45110629.980664805</x:v>
      </x:c>
      <x:c r="AY442" s="141" t="n">
        <x:f>INDEX('Consorcio IQ'!$P$6:$P$485,$A442)</x:f>
        <x:v>0</x:v>
      </x:c>
      <x:c r="AZ442" s="141" t="n">
        <x:f>IF($A442&gt;=Premissas!$B$48,$F442,0)+IF($A442&lt;Premissas!$B$27,INDEX('Consorcio IQ'!$O$6:$O$485,$A442),0)</x:f>
        <x:v>1669495.5112978145</x:v>
      </x:c>
      <x:c r="BA442" s="141" t="n">
        <x:f>AX442+AZ442-AY442</x:f>
        <x:v>46780125.49196262</x:v>
      </x:c>
      <x:c r="BB442" s="141" t="n">
        <x:f>IF(AW442&gt;1,"Inviavel",BA442)</x:f>
        <x:v>46780125.49196262</x:v>
      </x:c>
      <x:c r="BC442" s="141" t="str">
        <x:f>IF(AW442&gt;1,"Inviavel","OK")</x:f>
        <x:v>OK</x:v>
      </x:c>
      <x:c r="BD442" s="141" t="n">
        <x:f>IF($A442='Consorcio Direto'!$B$29,'Consorcio Direto'!$B$44,0)</x:f>
        <x:v>0</x:v>
      </x:c>
      <x:c r="BE442" s="141" t="n">
        <x:f>IF($A442&lt;='Consorcio Direto'!$B$27,INDEX('Consorcio Direto'!$E$55:$E$534,$A442),0)</x:f>
        <x:v>0</x:v>
      </x:c>
      <x:c r="BF442" s="141" t="n">
        <x:f>IF(AND(TRUE,Premissas!$B$11="Imovel",Premissas!$B$47="Moradia",$A442&lt;MAX('Consorcio Direto'!$B$29,Premissas!$B$49)),$D442,0)</x:f>
        <x:v>0</x:v>
      </x:c>
      <x:c r="BG442" s="141" t="n">
        <x:f>IF(AND(TRUE,Premissas!$B$11="Imovel",Premissas!$B$47="Investimento",$A442&gt;=MAX('Consorcio Direto'!$B$29,Premissas!$B$49)),$E442,0)</x:f>
        <x:v>5214.241279904698</x:v>
      </x:c>
      <x:c r="BH442" s="141" t="n">
        <x:f>BD442+BE442+BF442</x:f>
        <x:v>0</x:v>
      </x:c>
      <x:c r="BI442" s="141" t="n">
        <x:f>BG442</x:f>
        <x:v>5214.241279904698</x:v>
      </x:c>
      <x:c r="BJ442" s="141" t="n">
        <x:f>$C442+BI442-BH442</x:f>
        <x:v>5214.241279904698</x:v>
      </x:c>
      <x:c r="BK442" s="141" t="n">
        <x:f>BN441*(1+Premissas!$B$41)+BJ442</x:f>
        <x:v>43174310.92900986</x:v>
      </x:c>
      <x:c r="BL442" s="141" t="n">
        <x:f>MAX(0,-BK442)</x:f>
        <x:v>0</x:v>
      </x:c>
      <x:c r="BM442" s="141" t="n">
        <x:f>BM441*(1+Premissas!$B$41)+BL442</x:f>
        <x:v>0</x:v>
      </x:c>
      <x:c r="BN442" s="141" t="n">
        <x:f>MAX(0,BK442)</x:f>
        <x:v>43174310.92900986</x:v>
      </x:c>
      <x:c r="BO442" s="141" t="n">
        <x:f>INDEX('Consorcio Direto'!$K$55:$K$534,$A442)</x:f>
        <x:v>0</x:v>
      </x:c>
      <x:c r="BP442" s="141" t="n">
        <x:f>IF($A442&lt;'Consorcio Direto'!$B$29,INDEX('Consorcio Direto'!$L$55:$L$534,$A442),$F442)</x:f>
        <x:v>1669495.5112978145</x:v>
      </x:c>
      <x:c r="BQ442" s="141" t="n">
        <x:f>BN442+BP442-BO442</x:f>
        <x:v>44843806.44030768</x:v>
      </x:c>
      <x:c r="BR442" s="141" t="n">
        <x:f>IF(BM442&gt;1,"Inviavel",BQ442)</x:f>
        <x:v>44843806.44030768</x:v>
      </x:c>
      <x:c r="BS442" s="141" t="str">
        <x:f>IF(BM442&gt;1,"Inviavel","OK")</x:f>
        <x:v>OK</x:v>
      </x:c>
      <x:c r="BT442" s="141" t="n">
        <x:f>IF(AND('Carta Contemplada'!$B$22="Sim",$A442='Carta Contemplada'!$B$23),'Carta Contemplada'!$B$37,0)</x:f>
        <x:v>0</x:v>
      </x:c>
      <x:c r="BU442" s="141" t="n">
        <x:f>IF('Carta Contemplada'!$B$22="Sim",INDEX('Carta Contemplada'!$C$55:$C$1013,$A442),0)</x:f>
        <x:v>0</x:v>
      </x:c>
      <x:c r="BV442" s="141" t="n">
        <x:f>IF(AND('Carta Contemplada'!$B$22="Sim",Premissas!$B$11="Imovel",Premissas!$B$47="Moradia",$A442&lt;MAX('Carta Contemplada'!$B$44,Premissas!$B$49)),$D442,0)</x:f>
        <x:v>0</x:v>
      </x:c>
      <x:c r="BW442" s="141" t="n">
        <x:f>IF(AND('Carta Contemplada'!$B$22="Sim",Premissas!$B$11="Imovel",Premissas!$B$47="Investimento",$A442&gt;=MAX('Carta Contemplada'!$B$44,Premissas!$B$49)),$E442,0)</x:f>
        <x:v>5214.241279904698</x:v>
      </x:c>
      <x:c r="BX442" s="141" t="n">
        <x:f>BT442+BU442+BV442</x:f>
        <x:v>0</x:v>
      </x:c>
      <x:c r="BY442" s="141" t="n">
        <x:f>BW442</x:f>
        <x:v>5214.241279904698</x:v>
      </x:c>
      <x:c r="BZ442" s="141" t="n">
        <x:f>$C442+BY442-BX442</x:f>
        <x:v>5214.241279904698</x:v>
      </x:c>
      <x:c r="CA442" s="141" t="n">
        <x:f>CD441*(1+Premissas!$B$41)+BZ442</x:f>
        <x:v>46372447.24334818</x:v>
      </x:c>
      <x:c r="CB442" s="141" t="n">
        <x:f>MAX(0,-CA442)</x:f>
        <x:v>0</x:v>
      </x:c>
      <x:c r="CC442" s="141" t="n">
        <x:f>CC441*(1+Premissas!$B$41)+CB442</x:f>
        <x:v>0</x:v>
      </x:c>
      <x:c r="CD442" s="141" t="n">
        <x:f>MAX(0,CA442)</x:f>
        <x:v>46372447.24334818</x:v>
      </x:c>
      <x:c r="CE442" s="141" t="n">
        <x:f>IF(AND('Carta Contemplada'!$B$22="Sim",$A442&gt;='Carta Contemplada'!$B$23),INDEX('Carta Contemplada'!$I$55:$I$1013,$A442),0)</x:f>
        <x:v>0</x:v>
      </x:c>
      <x:c r="CF442" s="141" t="n">
        <x:f>IF(AND('Carta Contemplada'!$B$22="Sim",$A442&gt;='Carta Contemplada'!$B$44),$F442,0)</x:f>
        <x:v>1669495.5112978145</x:v>
      </x:c>
      <x:c r="CG442" s="141" t="n">
        <x:f>CD442+CF442-CE442</x:f>
        <x:v>48041942.754645996</x:v>
      </x:c>
      <x:c r="CH442" s="141" t="n">
        <x:f>IF(CC442&gt;1,"Inviavel",CG442)</x:f>
        <x:v>48041942.754645996</x:v>
      </x:c>
      <x:c r="CI442" s="145" t="str">
        <x:f>IF(CC442&gt;1,"Inviavel","OK")</x:f>
        <x:v>OK</x:v>
      </x:c>
    </x:row>
    <x:row r="443">
      <x:c r="A443" s="142" t="n">
        <x:v>439</x:v>
      </x:c>
      <x:c r="B443" s="179" t="n">
        <x:f>EDATE(Premissas!$B$4,A443-1)</x:f>
        <x:v>59871</x:v>
      </x:c>
      <x:c r="C443" s="141" t="n">
        <x:f>IF(A443&lt;=Premissas!$B$39,Premissas!$B$42,0)</x:f>
        <x:v>0</x:v>
      </x:c>
      <x:c r="D443" s="141" t="n">
        <x:f>Premissas!$B$54*(1+Premissas!$B$57)^INT((A443-1)/12)</x:f>
        <x:v>5703.076399895763</x:v>
      </x:c>
      <x:c r="E443" s="141" t="n">
        <x:f>Premissas!$B$64*(1+Premissas!$B$57)^INT((A443-1)/12)</x:f>
        <x:v>5214.241279904698</x:v>
      </x:c>
      <x:c r="F443" s="141" t="n">
        <x:f>MAX(0,Premissas!$B$6*(1+Premissas!$B$66)^((A443-1)/12))</x:f>
        <x:v>1677621.8651176703</x:v>
      </x:c>
      <x:c r="G443" s="141" t="n">
        <x:f>G442*(1+Premissas!$B$41)+C443</x:f>
        <x:v>51356274.08352171</x:v>
      </x:c>
      <x:c r="H443" s="141" t="n">
        <x:f>IF($A443=Premissas!$B$48,Premissas!$B$8,0)</x:f>
        <x:v>0</x:v>
      </x:c>
      <x:c r="I443" s="141" t="n">
        <x:f>IF(AND($A443&gt;=Premissas!$B$48,$A443-Premissas!$B$48+1&lt;=Premissas!$B$13),INDEX(Financiamento!$J$6:$J$485,$A443-Premissas!$B$48+1),0)</x:f>
        <x:v>0</x:v>
      </x:c>
      <x:c r="J443" s="141" t="n">
        <x:f>IF(AND(TRUE,Premissas!$B$11="Imovel",Premissas!$B$47="Moradia",$A443&lt;MAX(Premissas!$B$48,Premissas!$B$49)),$D443,0)</x:f>
        <x:v>0</x:v>
      </x:c>
      <x:c r="K443" s="141" t="n">
        <x:f>IF(AND(TRUE,Premissas!$B$11="Imovel",Premissas!$B$47="Investimento",$A443&gt;=MAX(Premissas!$B$48,Premissas!$B$49)),$E443,0)</x:f>
        <x:v>5214.241279904698</x:v>
      </x:c>
      <x:c r="L443" s="141" t="n">
        <x:f>H443+I443+J443</x:f>
        <x:v>0</x:v>
      </x:c>
      <x:c r="M443" s="141" t="n">
        <x:f>K443</x:f>
        <x:v>5214.241279904698</x:v>
      </x:c>
      <x:c r="N443" s="141" t="n">
        <x:f>$C443+M443-L443</x:f>
        <x:v>5214.241279904698</x:v>
      </x:c>
      <x:c r="O443" s="141" t="n">
        <x:f>R442*(1+Premissas!$B$41)+N443</x:f>
        <x:v>45150565.490379736</x:v>
      </x:c>
      <x:c r="P443" s="141" t="n">
        <x:f>MAX(0,-O443)</x:f>
        <x:v>0</x:v>
      </x:c>
      <x:c r="Q443" s="141" t="n">
        <x:f>Q442*(1+Premissas!$B$41)+P443</x:f>
        <x:v>0</x:v>
      </x:c>
      <x:c r="R443" s="141" t="n">
        <x:f>MAX(0,O443)</x:f>
        <x:v>45150565.490379736</x:v>
      </x:c>
      <x:c r="S443" s="141" t="n">
        <x:f>IF(AND($A443&gt;=Premissas!$B$48,$A443-Premissas!$B$48+1&lt;=Premissas!$B$13),INDEX(Financiamento!$M$6:$M$485,$A443-Premissas!$B$48+1),0)</x:f>
        <x:v>0</x:v>
      </x:c>
      <x:c r="T443" s="141" t="n">
        <x:f>IF($A443&gt;=Premissas!$B$48,$F443,0)</x:f>
        <x:v>1677621.8651176703</x:v>
      </x:c>
      <x:c r="U443" s="141" t="n">
        <x:f>R443+T443-S443</x:f>
        <x:v>46828187.355497405</x:v>
      </x:c>
      <x:c r="V443" s="141" t="n">
        <x:f>IF(Q443&gt;1,"Inviavel",U443)</x:f>
        <x:v>46828187.355497405</x:v>
      </x:c>
      <x:c r="W443" s="141" t="str">
        <x:f>IF(Q443&gt;1,"Inviavel","OK")</x:f>
        <x:v>OK</x:v>
      </x:c>
      <x:c r="X443" s="141" t="n">
        <x:f>IF($A443=Premissas!$B$48,Premissas!$B$8,0)</x:f>
        <x:v>0</x:v>
      </x:c>
      <x:c r="Y443" s="141" t="n">
        <x:f>IF(AND($A443&gt;=Premissas!$B$48,$A443-Premissas!$B$48+1&lt;=Premissas!$B$13),INDEX(Amortizacao!$K$6:$K$485,$A443-Premissas!$B$48+1),0)</x:f>
        <x:v>0</x:v>
      </x:c>
      <x:c r="Z443" s="141" t="n">
        <x:f>IF(AND(TRUE,Premissas!$B$11="Imovel",Premissas!$B$47="Moradia",$A443&lt;MAX(Premissas!$B$48,Premissas!$B$49)),$D443,0)</x:f>
        <x:v>0</x:v>
      </x:c>
      <x:c r="AA443" s="141" t="n">
        <x:f>IF(AND(TRUE,Premissas!$B$11="Imovel",Premissas!$B$47="Investimento",$A443&gt;=MAX(Premissas!$B$48,Premissas!$B$49)),$E443,0)</x:f>
        <x:v>5214.241279904698</x:v>
      </x:c>
      <x:c r="AB443" s="141" t="n">
        <x:f>X443+Y443+Z443</x:f>
        <x:v>0</x:v>
      </x:c>
      <x:c r="AC443" s="141" t="n">
        <x:f>AA443</x:f>
        <x:v>5214.241279904698</x:v>
      </x:c>
      <x:c r="AD443" s="141" t="n">
        <x:f>$C443+AC443-AB443</x:f>
        <x:v>5214.241279904698</x:v>
      </x:c>
      <x:c r="AE443" s="141" t="n">
        <x:f>AH442*(1+Premissas!$B$41)+AD443</x:f>
        <x:v>45905575.72458507</x:v>
      </x:c>
      <x:c r="AF443" s="141" t="n">
        <x:f>MAX(0,-AE443)</x:f>
        <x:v>0</x:v>
      </x:c>
      <x:c r="AG443" s="141" t="n">
        <x:f>AG442*(1+Premissas!$B$41)+AF443</x:f>
        <x:v>0</x:v>
      </x:c>
      <x:c r="AH443" s="141" t="n">
        <x:f>MAX(0,AE443)</x:f>
        <x:v>45905575.72458507</x:v>
      </x:c>
      <x:c r="AI443" s="141" t="n">
        <x:f>IF(AND($A443&gt;=Premissas!$B$48,$A443-Premissas!$B$48+1&lt;=Premissas!$B$13),INDEX(Amortizacao!$L$6:$L$485,$A443-Premissas!$B$48+1),0)</x:f>
        <x:v>0</x:v>
      </x:c>
      <x:c r="AJ443" s="141" t="n">
        <x:f>IF($A443&gt;=Premissas!$B$48,$F443,0)</x:f>
        <x:v>1677621.8651176703</x:v>
      </x:c>
      <x:c r="AK443" s="141" t="n">
        <x:f>AH443+AJ443-AI443</x:f>
        <x:v>47583197.58970274</x:v>
      </x:c>
      <x:c r="AL443" s="141" t="n">
        <x:f>IF(AG443&gt;1,"Inviavel",AK443)</x:f>
        <x:v>47583197.58970274</x:v>
      </x:c>
      <x:c r="AM443" s="141" t="str">
        <x:f>IF(AG443&gt;1,"Inviavel","OK")</x:f>
        <x:v>OK</x:v>
      </x:c>
      <x:c r="AN443" s="141" t="n">
        <x:f>IF($A443=Premissas!$B$48,Premissas!$B$8,0)</x:f>
        <x:v>0</x:v>
      </x:c>
      <x:c r="AO443" s="141" t="n">
        <x:f>IF($A443&lt;=Premissas!$B$25,INDEX('Consorcio IQ'!$K$6:$K$485,$A443),0)</x:f>
        <x:v>0</x:v>
      </x:c>
      <x:c r="AP443" s="141" t="n">
        <x:f>IF(AND(TRUE,Premissas!$B$11="Imovel",Premissas!$B$47="Moradia",$A443&lt;MAX(Premissas!$B$48,Premissas!$B$49)),$D443,0)</x:f>
        <x:v>0</x:v>
      </x:c>
      <x:c r="AQ443" s="141" t="n">
        <x:f>IF(AND(TRUE,Premissas!$B$11="Imovel",Premissas!$B$47="Investimento",$A443&gt;=MAX(Premissas!$B$48,Premissas!$B$49)),$E443,0)</x:f>
        <x:v>5214.241279904698</x:v>
      </x:c>
      <x:c r="AR443" s="141" t="n">
        <x:f>AN443+AO443+AP443</x:f>
        <x:v>0</x:v>
      </x:c>
      <x:c r="AS443" s="141" t="n">
        <x:f>AQ443</x:f>
        <x:v>5214.241279904698</x:v>
      </x:c>
      <x:c r="AT443" s="141" t="n">
        <x:f>$C443+AS443-AR443</x:f>
        <x:v>5214.241279904698</x:v>
      </x:c>
      <x:c r="AU443" s="141" t="n">
        <x:f>AX442*(1+Premissas!$B$41)+AT443</x:f>
        <x:v>45543889.648979835</x:v>
      </x:c>
      <x:c r="AV443" s="141" t="n">
        <x:f>MAX(0,-AU443)</x:f>
        <x:v>0</x:v>
      </x:c>
      <x:c r="AW443" s="141" t="n">
        <x:f>AW442*(1+Premissas!$B$41)+AV443</x:f>
        <x:v>0</x:v>
      </x:c>
      <x:c r="AX443" s="141" t="n">
        <x:f>MAX(0,AU443)</x:f>
        <x:v>45543889.648979835</x:v>
      </x:c>
      <x:c r="AY443" s="141" t="n">
        <x:f>INDEX('Consorcio IQ'!$P$6:$P$485,$A443)</x:f>
        <x:v>0</x:v>
      </x:c>
      <x:c r="AZ443" s="141" t="n">
        <x:f>IF($A443&gt;=Premissas!$B$48,$F443,0)+IF($A443&lt;Premissas!$B$27,INDEX('Consorcio IQ'!$O$6:$O$485,$A443),0)</x:f>
        <x:v>1677621.8651176703</x:v>
      </x:c>
      <x:c r="BA443" s="141" t="n">
        <x:f>AX443+AZ443-AY443</x:f>
        <x:v>47221511.514097504</x:v>
      </x:c>
      <x:c r="BB443" s="141" t="n">
        <x:f>IF(AW443&gt;1,"Inviavel",BA443)</x:f>
        <x:v>47221511.514097504</x:v>
      </x:c>
      <x:c r="BC443" s="141" t="str">
        <x:f>IF(AW443&gt;1,"Inviavel","OK")</x:f>
        <x:v>OK</x:v>
      </x:c>
      <x:c r="BD443" s="141" t="n">
        <x:f>IF($A443='Consorcio Direto'!$B$29,'Consorcio Direto'!$B$44,0)</x:f>
        <x:v>0</x:v>
      </x:c>
      <x:c r="BE443" s="141" t="n">
        <x:f>IF($A443&lt;='Consorcio Direto'!$B$27,INDEX('Consorcio Direto'!$E$55:$E$534,$A443),0)</x:f>
        <x:v>0</x:v>
      </x:c>
      <x:c r="BF443" s="141" t="n">
        <x:f>IF(AND(TRUE,Premissas!$B$11="Imovel",Premissas!$B$47="Moradia",$A443&lt;MAX('Consorcio Direto'!$B$29,Premissas!$B$49)),$D443,0)</x:f>
        <x:v>0</x:v>
      </x:c>
      <x:c r="BG443" s="141" t="n">
        <x:f>IF(AND(TRUE,Premissas!$B$11="Imovel",Premissas!$B$47="Investimento",$A443&gt;=MAX('Consorcio Direto'!$B$29,Premissas!$B$49)),$E443,0)</x:f>
        <x:v>5214.241279904698</x:v>
      </x:c>
      <x:c r="BH443" s="141" t="n">
        <x:f>BD443+BE443+BF443</x:f>
        <x:v>0</x:v>
      </x:c>
      <x:c r="BI443" s="141" t="n">
        <x:f>BG443</x:f>
        <x:v>5214.241279904698</x:v>
      </x:c>
      <x:c r="BJ443" s="141" t="n">
        <x:f>$C443+BI443-BH443</x:f>
        <x:v>5214.241279904698</x:v>
      </x:c>
      <x:c r="BK443" s="141" t="n">
        <x:f>BN442*(1+Premissas!$B$41)+BJ443</x:f>
        <x:v>43589197.26678845</x:v>
      </x:c>
      <x:c r="BL443" s="141" t="n">
        <x:f>MAX(0,-BK443)</x:f>
        <x:v>0</x:v>
      </x:c>
      <x:c r="BM443" s="141" t="n">
        <x:f>BM442*(1+Premissas!$B$41)+BL443</x:f>
        <x:v>0</x:v>
      </x:c>
      <x:c r="BN443" s="141" t="n">
        <x:f>MAX(0,BK443)</x:f>
        <x:v>43589197.26678845</x:v>
      </x:c>
      <x:c r="BO443" s="141" t="n">
        <x:f>INDEX('Consorcio Direto'!$K$55:$K$534,$A443)</x:f>
        <x:v>0</x:v>
      </x:c>
      <x:c r="BP443" s="141" t="n">
        <x:f>IF($A443&lt;'Consorcio Direto'!$B$29,INDEX('Consorcio Direto'!$L$55:$L$534,$A443),$F443)</x:f>
        <x:v>1677621.8651176703</x:v>
      </x:c>
      <x:c r="BQ443" s="141" t="n">
        <x:f>BN443+BP443-BO443</x:f>
        <x:v>45266819.13190612</x:v>
      </x:c>
      <x:c r="BR443" s="141" t="n">
        <x:f>IF(BM443&gt;1,"Inviavel",BQ443)</x:f>
        <x:v>45266819.13190612</x:v>
      </x:c>
      <x:c r="BS443" s="141" t="str">
        <x:f>IF(BM443&gt;1,"Inviavel","OK")</x:f>
        <x:v>OK</x:v>
      </x:c>
      <x:c r="BT443" s="141" t="n">
        <x:f>IF(AND('Carta Contemplada'!$B$22="Sim",$A443='Carta Contemplada'!$B$23),'Carta Contemplada'!$B$37,0)</x:f>
        <x:v>0</x:v>
      </x:c>
      <x:c r="BU443" s="141" t="n">
        <x:f>IF('Carta Contemplada'!$B$22="Sim",INDEX('Carta Contemplada'!$C$55:$C$1013,$A443),0)</x:f>
        <x:v>0</x:v>
      </x:c>
      <x:c r="BV443" s="141" t="n">
        <x:f>IF(AND('Carta Contemplada'!$B$22="Sim",Premissas!$B$11="Imovel",Premissas!$B$47="Moradia",$A443&lt;MAX('Carta Contemplada'!$B$44,Premissas!$B$49)),$D443,0)</x:f>
        <x:v>0</x:v>
      </x:c>
      <x:c r="BW443" s="141" t="n">
        <x:f>IF(AND('Carta Contemplada'!$B$22="Sim",Premissas!$B$11="Imovel",Premissas!$B$47="Investimento",$A443&gt;=MAX('Carta Contemplada'!$B$44,Premissas!$B$49)),$E443,0)</x:f>
        <x:v>5214.241279904698</x:v>
      </x:c>
      <x:c r="BX443" s="141" t="n">
        <x:f>BT443+BU443+BV443</x:f>
        <x:v>0</x:v>
      </x:c>
      <x:c r="BY443" s="141" t="n">
        <x:f>BW443</x:f>
        <x:v>5214.241279904698</x:v>
      </x:c>
      <x:c r="BZ443" s="141" t="n">
        <x:f>$C443+BY443-BX443</x:f>
        <x:v>5214.241279904698</x:v>
      </x:c>
      <x:c r="CA443" s="141" t="n">
        <x:f>CD442*(1+Premissas!$B$41)+BZ443</x:f>
        <x:v>46817680.0343901</x:v>
      </x:c>
      <x:c r="CB443" s="141" t="n">
        <x:f>MAX(0,-CA443)</x:f>
        <x:v>0</x:v>
      </x:c>
      <x:c r="CC443" s="141" t="n">
        <x:f>CC442*(1+Premissas!$B$41)+CB443</x:f>
        <x:v>0</x:v>
      </x:c>
      <x:c r="CD443" s="141" t="n">
        <x:f>MAX(0,CA443)</x:f>
        <x:v>46817680.0343901</x:v>
      </x:c>
      <x:c r="CE443" s="141" t="n">
        <x:f>IF(AND('Carta Contemplada'!$B$22="Sim",$A443&gt;='Carta Contemplada'!$B$23),INDEX('Carta Contemplada'!$I$55:$I$1013,$A443),0)</x:f>
        <x:v>0</x:v>
      </x:c>
      <x:c r="CF443" s="141" t="n">
        <x:f>IF(AND('Carta Contemplada'!$B$22="Sim",$A443&gt;='Carta Contemplada'!$B$44),$F443,0)</x:f>
        <x:v>1677621.8651176703</x:v>
      </x:c>
      <x:c r="CG443" s="141" t="n">
        <x:f>CD443+CF443-CE443</x:f>
        <x:v>48495301.89950777</x:v>
      </x:c>
      <x:c r="CH443" s="141" t="n">
        <x:f>IF(CC443&gt;1,"Inviavel",CG443)</x:f>
        <x:v>48495301.89950777</x:v>
      </x:c>
      <x:c r="CI443" s="145" t="str">
        <x:f>IF(CC443&gt;1,"Inviavel","OK")</x:f>
        <x:v>OK</x:v>
      </x:c>
    </x:row>
    <x:row r="444">
      <x:c r="A444" s="142" t="n">
        <x:v>440</x:v>
      </x:c>
      <x:c r="B444" s="179" t="n">
        <x:f>EDATE(Premissas!$B$4,A444-1)</x:f>
        <x:v>59902</x:v>
      </x:c>
      <x:c r="C444" s="141" t="n">
        <x:f>IF(A444&lt;=Premissas!$B$39,Premissas!$B$42,0)</x:f>
        <x:v>0</x:v>
      </x:c>
      <x:c r="D444" s="141" t="n">
        <x:f>Premissas!$B$54*(1+Premissas!$B$57)^INT((A444-1)/12)</x:f>
        <x:v>5703.076399895763</x:v>
      </x:c>
      <x:c r="E444" s="141" t="n">
        <x:f>Premissas!$B$64*(1+Premissas!$B$57)^INT((A444-1)/12)</x:f>
        <x:v>5214.241279904698</x:v>
      </x:c>
      <x:c r="F444" s="141" t="n">
        <x:f>MAX(0,Premissas!$B$6*(1+Premissas!$B$66)^((A444-1)/12))</x:f>
        <x:v>1685787.7743756557</x:v>
      </x:c>
      <x:c r="G444" s="141" t="n">
        <x:f>G443*(1+Premissas!$B$41)+C444</x:f>
        <x:v>51843583.13419194</x:v>
      </x:c>
      <x:c r="H444" s="141" t="n">
        <x:f>IF($A444=Premissas!$B$48,Premissas!$B$8,0)</x:f>
        <x:v>0</x:v>
      </x:c>
      <x:c r="I444" s="141" t="n">
        <x:f>IF(AND($A444&gt;=Premissas!$B$48,$A444-Premissas!$B$48+1&lt;=Premissas!$B$13),INDEX(Financiamento!$J$6:$J$485,$A444-Premissas!$B$48+1),0)</x:f>
        <x:v>0</x:v>
      </x:c>
      <x:c r="J444" s="141" t="n">
        <x:f>IF(AND(TRUE,Premissas!$B$11="Imovel",Premissas!$B$47="Moradia",$A444&lt;MAX(Premissas!$B$48,Premissas!$B$49)),$D444,0)</x:f>
        <x:v>0</x:v>
      </x:c>
      <x:c r="K444" s="141" t="n">
        <x:f>IF(AND(TRUE,Premissas!$B$11="Imovel",Premissas!$B$47="Investimento",$A444&gt;=MAX(Premissas!$B$48,Premissas!$B$49)),$E444,0)</x:f>
        <x:v>5214.241279904698</x:v>
      </x:c>
      <x:c r="L444" s="141" t="n">
        <x:f>H444+I444+J444</x:f>
        <x:v>0</x:v>
      </x:c>
      <x:c r="M444" s="141" t="n">
        <x:f>K444</x:f>
        <x:v>5214.241279904698</x:v>
      </x:c>
      <x:c r="N444" s="141" t="n">
        <x:f>$C444+M444-L444</x:f>
        <x:v>5214.241279904698</x:v>
      </x:c>
      <x:c r="O444" s="141" t="n">
        <x:f>R443*(1+Premissas!$B$41)+N444</x:f>
        <x:v>45584204.098477185</x:v>
      </x:c>
      <x:c r="P444" s="141" t="n">
        <x:f>MAX(0,-O444)</x:f>
        <x:v>0</x:v>
      </x:c>
      <x:c r="Q444" s="141" t="n">
        <x:f>Q443*(1+Premissas!$B$41)+P444</x:f>
        <x:v>0</x:v>
      </x:c>
      <x:c r="R444" s="141" t="n">
        <x:f>MAX(0,O444)</x:f>
        <x:v>45584204.098477185</x:v>
      </x:c>
      <x:c r="S444" s="141" t="n">
        <x:f>IF(AND($A444&gt;=Premissas!$B$48,$A444-Premissas!$B$48+1&lt;=Premissas!$B$13),INDEX(Financiamento!$M$6:$M$485,$A444-Premissas!$B$48+1),0)</x:f>
        <x:v>0</x:v>
      </x:c>
      <x:c r="T444" s="141" t="n">
        <x:f>IF($A444&gt;=Premissas!$B$48,$F444,0)</x:f>
        <x:v>1685787.7743756557</x:v>
      </x:c>
      <x:c r="U444" s="141" t="n">
        <x:f>R444+T444-S444</x:f>
        <x:v>47269991.87285284</x:v>
      </x:c>
      <x:c r="V444" s="141" t="n">
        <x:f>IF(Q444&gt;1,"Inviavel",U444)</x:f>
        <x:v>47269991.87285284</x:v>
      </x:c>
      <x:c r="W444" s="141" t="str">
        <x:f>IF(Q444&gt;1,"Inviavel","OK")</x:f>
        <x:v>OK</x:v>
      </x:c>
      <x:c r="X444" s="141" t="n">
        <x:f>IF($A444=Premissas!$B$48,Premissas!$B$8,0)</x:f>
        <x:v>0</x:v>
      </x:c>
      <x:c r="Y444" s="141" t="n">
        <x:f>IF(AND($A444&gt;=Premissas!$B$48,$A444-Premissas!$B$48+1&lt;=Premissas!$B$13),INDEX(Amortizacao!$K$6:$K$485,$A444-Premissas!$B$48+1),0)</x:f>
        <x:v>0</x:v>
      </x:c>
      <x:c r="Z444" s="141" t="n">
        <x:f>IF(AND(TRUE,Premissas!$B$11="Imovel",Premissas!$B$47="Moradia",$A444&lt;MAX(Premissas!$B$48,Premissas!$B$49)),$D444,0)</x:f>
        <x:v>0</x:v>
      </x:c>
      <x:c r="AA444" s="141" t="n">
        <x:f>IF(AND(TRUE,Premissas!$B$11="Imovel",Premissas!$B$47="Investimento",$A444&gt;=MAX(Premissas!$B$48,Premissas!$B$49)),$E444,0)</x:f>
        <x:v>5214.241279904698</x:v>
      </x:c>
      <x:c r="AB444" s="141" t="n">
        <x:f>X444+Y444+Z444</x:f>
        <x:v>0</x:v>
      </x:c>
      <x:c r="AC444" s="141" t="n">
        <x:f>AA444</x:f>
        <x:v>5214.241279904698</x:v>
      </x:c>
      <x:c r="AD444" s="141" t="n">
        <x:f>$C444+AC444-AB444</x:f>
        <x:v>5214.241279904698</x:v>
      </x:c>
      <x:c r="AE444" s="141" t="n">
        <x:f>AH443*(1+Premissas!$B$41)+AD444</x:f>
        <x:v>46346378.46845839</x:v>
      </x:c>
      <x:c r="AF444" s="141" t="n">
        <x:f>MAX(0,-AE444)</x:f>
        <x:v>0</x:v>
      </x:c>
      <x:c r="AG444" s="141" t="n">
        <x:f>AG443*(1+Premissas!$B$41)+AF444</x:f>
        <x:v>0</x:v>
      </x:c>
      <x:c r="AH444" s="141" t="n">
        <x:f>MAX(0,AE444)</x:f>
        <x:v>46346378.46845839</x:v>
      </x:c>
      <x:c r="AI444" s="141" t="n">
        <x:f>IF(AND($A444&gt;=Premissas!$B$48,$A444-Premissas!$B$48+1&lt;=Premissas!$B$13),INDEX(Amortizacao!$L$6:$L$485,$A444-Premissas!$B$48+1),0)</x:f>
        <x:v>0</x:v>
      </x:c>
      <x:c r="AJ444" s="141" t="n">
        <x:f>IF($A444&gt;=Premissas!$B$48,$F444,0)</x:f>
        <x:v>1685787.7743756557</x:v>
      </x:c>
      <x:c r="AK444" s="141" t="n">
        <x:f>AH444+AJ444-AI444</x:f>
        <x:v>48032166.24283405</x:v>
      </x:c>
      <x:c r="AL444" s="141" t="n">
        <x:f>IF(AG444&gt;1,"Inviavel",AK444)</x:f>
        <x:v>48032166.24283405</x:v>
      </x:c>
      <x:c r="AM444" s="141" t="str">
        <x:f>IF(AG444&gt;1,"Inviavel","OK")</x:f>
        <x:v>OK</x:v>
      </x:c>
      <x:c r="AN444" s="141" t="n">
        <x:f>IF($A444=Premissas!$B$48,Premissas!$B$8,0)</x:f>
        <x:v>0</x:v>
      </x:c>
      <x:c r="AO444" s="141" t="n">
        <x:f>IF($A444&lt;=Premissas!$B$25,INDEX('Consorcio IQ'!$K$6:$K$485,$A444),0)</x:f>
        <x:v>0</x:v>
      </x:c>
      <x:c r="AP444" s="141" t="n">
        <x:f>IF(AND(TRUE,Premissas!$B$11="Imovel",Premissas!$B$47="Moradia",$A444&lt;MAX(Premissas!$B$48,Premissas!$B$49)),$D444,0)</x:f>
        <x:v>0</x:v>
      </x:c>
      <x:c r="AQ444" s="141" t="n">
        <x:f>IF(AND(TRUE,Premissas!$B$11="Imovel",Premissas!$B$47="Investimento",$A444&gt;=MAX(Premissas!$B$48,Premissas!$B$49)),$E444,0)</x:f>
        <x:v>5214.241279904698</x:v>
      </x:c>
      <x:c r="AR444" s="141" t="n">
        <x:f>AN444+AO444+AP444</x:f>
        <x:v>0</x:v>
      </x:c>
      <x:c r="AS444" s="141" t="n">
        <x:f>AQ444</x:f>
        <x:v>5214.241279904698</x:v>
      </x:c>
      <x:c r="AT444" s="141" t="n">
        <x:f>$C444+AS444-AR444</x:f>
        <x:v>5214.241279904698</x:v>
      </x:c>
      <x:c r="AU444" s="141" t="n">
        <x:f>AX443*(1+Premissas!$B$41)+AT444</x:f>
        <x:v>45981260.42857441</x:v>
      </x:c>
      <x:c r="AV444" s="141" t="n">
        <x:f>MAX(0,-AU444)</x:f>
        <x:v>0</x:v>
      </x:c>
      <x:c r="AW444" s="141" t="n">
        <x:f>AW443*(1+Premissas!$B$41)+AV444</x:f>
        <x:v>0</x:v>
      </x:c>
      <x:c r="AX444" s="141" t="n">
        <x:f>MAX(0,AU444)</x:f>
        <x:v>45981260.42857441</x:v>
      </x:c>
      <x:c r="AY444" s="141" t="n">
        <x:f>INDEX('Consorcio IQ'!$P$6:$P$485,$A444)</x:f>
        <x:v>0</x:v>
      </x:c>
      <x:c r="AZ444" s="141" t="n">
        <x:f>IF($A444&gt;=Premissas!$B$48,$F444,0)+IF($A444&lt;Premissas!$B$27,INDEX('Consorcio IQ'!$O$6:$O$485,$A444),0)</x:f>
        <x:v>1685787.7743756557</x:v>
      </x:c>
      <x:c r="BA444" s="141" t="n">
        <x:f>AX444+AZ444-AY444</x:f>
        <x:v>47667048.20295007</x:v>
      </x:c>
      <x:c r="BB444" s="141" t="n">
        <x:f>IF(AW444&gt;1,"Inviavel",BA444)</x:f>
        <x:v>47667048.20295007</x:v>
      </x:c>
      <x:c r="BC444" s="141" t="str">
        <x:f>IF(AW444&gt;1,"Inviavel","OK")</x:f>
        <x:v>OK</x:v>
      </x:c>
      <x:c r="BD444" s="141" t="n">
        <x:f>IF($A444='Consorcio Direto'!$B$29,'Consorcio Direto'!$B$44,0)</x:f>
        <x:v>0</x:v>
      </x:c>
      <x:c r="BE444" s="141" t="n">
        <x:f>IF($A444&lt;='Consorcio Direto'!$B$27,INDEX('Consorcio Direto'!$E$55:$E$534,$A444),0)</x:f>
        <x:v>0</x:v>
      </x:c>
      <x:c r="BF444" s="141" t="n">
        <x:f>IF(AND(TRUE,Premissas!$B$11="Imovel",Premissas!$B$47="Moradia",$A444&lt;MAX('Consorcio Direto'!$B$29,Premissas!$B$49)),$D444,0)</x:f>
        <x:v>0</x:v>
      </x:c>
      <x:c r="BG444" s="141" t="n">
        <x:f>IF(AND(TRUE,Premissas!$B$11="Imovel",Premissas!$B$47="Investimento",$A444&gt;=MAX('Consorcio Direto'!$B$29,Premissas!$B$49)),$E444,0)</x:f>
        <x:v>5214.241279904698</x:v>
      </x:c>
      <x:c r="BH444" s="141" t="n">
        <x:f>BD444+BE444+BF444</x:f>
        <x:v>0</x:v>
      </x:c>
      <x:c r="BI444" s="141" t="n">
        <x:f>BG444</x:f>
        <x:v>5214.241279904698</x:v>
      </x:c>
      <x:c r="BJ444" s="141" t="n">
        <x:f>$C444+BI444-BH444</x:f>
        <x:v>5214.241279904698</x:v>
      </x:c>
      <x:c r="BK444" s="141" t="n">
        <x:f>BN443*(1+Premissas!$B$41)+BJ444</x:f>
        <x:v>44008020.37511761</x:v>
      </x:c>
      <x:c r="BL444" s="141" t="n">
        <x:f>MAX(0,-BK444)</x:f>
        <x:v>0</x:v>
      </x:c>
      <x:c r="BM444" s="141" t="n">
        <x:f>BM443*(1+Premissas!$B$41)+BL444</x:f>
        <x:v>0</x:v>
      </x:c>
      <x:c r="BN444" s="141" t="n">
        <x:f>MAX(0,BK444)</x:f>
        <x:v>44008020.37511761</x:v>
      </x:c>
      <x:c r="BO444" s="141" t="n">
        <x:f>INDEX('Consorcio Direto'!$K$55:$K$534,$A444)</x:f>
        <x:v>0</x:v>
      </x:c>
      <x:c r="BP444" s="141" t="n">
        <x:f>IF($A444&lt;'Consorcio Direto'!$B$29,INDEX('Consorcio Direto'!$L$55:$L$534,$A444),$F444)</x:f>
        <x:v>1685787.7743756557</x:v>
      </x:c>
      <x:c r="BQ444" s="141" t="n">
        <x:f>BN444+BP444-BO444</x:f>
        <x:v>45693808.14949326</x:v>
      </x:c>
      <x:c r="BR444" s="141" t="n">
        <x:f>IF(BM444&gt;1,"Inviavel",BQ444)</x:f>
        <x:v>45693808.14949326</x:v>
      </x:c>
      <x:c r="BS444" s="141" t="str">
        <x:f>IF(BM444&gt;1,"Inviavel","OK")</x:f>
        <x:v>OK</x:v>
      </x:c>
      <x:c r="BT444" s="141" t="n">
        <x:f>IF(AND('Carta Contemplada'!$B$22="Sim",$A444='Carta Contemplada'!$B$23),'Carta Contemplada'!$B$37,0)</x:f>
        <x:v>0</x:v>
      </x:c>
      <x:c r="BU444" s="141" t="n">
        <x:f>IF('Carta Contemplada'!$B$22="Sim",INDEX('Carta Contemplada'!$C$55:$C$1013,$A444),0)</x:f>
        <x:v>0</x:v>
      </x:c>
      <x:c r="BV444" s="141" t="n">
        <x:f>IF(AND('Carta Contemplada'!$B$22="Sim",Premissas!$B$11="Imovel",Premissas!$B$47="Moradia",$A444&lt;MAX('Carta Contemplada'!$B$44,Premissas!$B$49)),$D444,0)</x:f>
        <x:v>0</x:v>
      </x:c>
      <x:c r="BW444" s="141" t="n">
        <x:f>IF(AND('Carta Contemplada'!$B$22="Sim",Premissas!$B$11="Imovel",Premissas!$B$47="Investimento",$A444&gt;=MAX('Carta Contemplada'!$B$44,Premissas!$B$49)),$E444,0)</x:f>
        <x:v>5214.241279904698</x:v>
      </x:c>
      <x:c r="BX444" s="141" t="n">
        <x:f>BT444+BU444+BV444</x:f>
        <x:v>0</x:v>
      </x:c>
      <x:c r="BY444" s="141" t="n">
        <x:f>BW444</x:f>
        <x:v>5214.241279904698</x:v>
      </x:c>
      <x:c r="BZ444" s="141" t="n">
        <x:f>$C444+BY444-BX444</x:f>
        <x:v>5214.241279904698</x:v>
      </x:c>
      <x:c r="CA444" s="141" t="n">
        <x:f>CD443*(1+Premissas!$B$41)+BZ444</x:f>
        <x:v>47267137.5471939</x:v>
      </x:c>
      <x:c r="CB444" s="141" t="n">
        <x:f>MAX(0,-CA444)</x:f>
        <x:v>0</x:v>
      </x:c>
      <x:c r="CC444" s="141" t="n">
        <x:f>CC443*(1+Premissas!$B$41)+CB444</x:f>
        <x:v>0</x:v>
      </x:c>
      <x:c r="CD444" s="141" t="n">
        <x:f>MAX(0,CA444)</x:f>
        <x:v>47267137.5471939</x:v>
      </x:c>
      <x:c r="CE444" s="141" t="n">
        <x:f>IF(AND('Carta Contemplada'!$B$22="Sim",$A444&gt;='Carta Contemplada'!$B$23),INDEX('Carta Contemplada'!$I$55:$I$1013,$A444),0)</x:f>
        <x:v>0</x:v>
      </x:c>
      <x:c r="CF444" s="141" t="n">
        <x:f>IF(AND('Carta Contemplada'!$B$22="Sim",$A444&gt;='Carta Contemplada'!$B$44),$F444,0)</x:f>
        <x:v>1685787.7743756557</x:v>
      </x:c>
      <x:c r="CG444" s="141" t="n">
        <x:f>CD444+CF444-CE444</x:f>
        <x:v>48952925.321569555</x:v>
      </x:c>
      <x:c r="CH444" s="141" t="n">
        <x:f>IF(CC444&gt;1,"Inviavel",CG444)</x:f>
        <x:v>48952925.321569555</x:v>
      </x:c>
      <x:c r="CI444" s="145" t="str">
        <x:f>IF(CC444&gt;1,"Inviavel","OK")</x:f>
        <x:v>OK</x:v>
      </x:c>
    </x:row>
    <x:row r="445">
      <x:c r="A445" s="142" t="n">
        <x:v>441</x:v>
      </x:c>
      <x:c r="B445" s="179" t="n">
        <x:f>EDATE(Premissas!$B$4,A445-1)</x:f>
        <x:v>59933</x:v>
      </x:c>
      <x:c r="C445" s="141" t="n">
        <x:f>IF(A445&lt;=Premissas!$B$39,Premissas!$B$42,0)</x:f>
        <x:v>0</x:v>
      </x:c>
      <x:c r="D445" s="141" t="n">
        <x:f>Premissas!$B$54*(1+Premissas!$B$57)^INT((A445-1)/12)</x:f>
        <x:v>5703.076399895763</x:v>
      </x:c>
      <x:c r="E445" s="141" t="n">
        <x:f>Premissas!$B$64*(1+Premissas!$B$57)^INT((A445-1)/12)</x:f>
        <x:v>5214.241279904698</x:v>
      </x:c>
      <x:c r="F445" s="141" t="n">
        <x:f>MAX(0,Premissas!$B$6*(1+Premissas!$B$66)^((A445-1)/12))</x:f>
        <x:v>1693993.4316098657</x:v>
      </x:c>
      <x:c r="G445" s="141" t="n">
        <x:f>G444*(1+Premissas!$B$41)+C445</x:f>
        <x:v>52335516.159539126</x:v>
      </x:c>
      <x:c r="H445" s="141" t="n">
        <x:f>IF($A445=Premissas!$B$48,Premissas!$B$8,0)</x:f>
        <x:v>0</x:v>
      </x:c>
      <x:c r="I445" s="141" t="n">
        <x:f>IF(AND($A445&gt;=Premissas!$B$48,$A445-Premissas!$B$48+1&lt;=Premissas!$B$13),INDEX(Financiamento!$J$6:$J$485,$A445-Premissas!$B$48+1),0)</x:f>
        <x:v>0</x:v>
      </x:c>
      <x:c r="J445" s="141" t="n">
        <x:f>IF(AND(TRUE,Premissas!$B$11="Imovel",Premissas!$B$47="Moradia",$A445&lt;MAX(Premissas!$B$48,Premissas!$B$49)),$D445,0)</x:f>
        <x:v>0</x:v>
      </x:c>
      <x:c r="K445" s="141" t="n">
        <x:f>IF(AND(TRUE,Premissas!$B$11="Imovel",Premissas!$B$47="Investimento",$A445&gt;=MAX(Premissas!$B$48,Premissas!$B$49)),$E445,0)</x:f>
        <x:v>5214.241279904698</x:v>
      </x:c>
      <x:c r="L445" s="141" t="n">
        <x:f>H445+I445+J445</x:f>
        <x:v>0</x:v>
      </x:c>
      <x:c r="M445" s="141" t="n">
        <x:f>K445</x:f>
        <x:v>5214.241279904698</x:v>
      </x:c>
      <x:c r="N445" s="141" t="n">
        <x:f>$C445+M445-L445</x:f>
        <x:v>5214.241279904698</x:v>
      </x:c>
      <x:c r="O445" s="141" t="n">
        <x:f>R444*(1+Premissas!$B$41)+N445</x:f>
        <x:v>46021957.41353531</x:v>
      </x:c>
      <x:c r="P445" s="141" t="n">
        <x:f>MAX(0,-O445)</x:f>
        <x:v>0</x:v>
      </x:c>
      <x:c r="Q445" s="141" t="n">
        <x:f>Q444*(1+Premissas!$B$41)+P445</x:f>
        <x:v>0</x:v>
      </x:c>
      <x:c r="R445" s="141" t="n">
        <x:f>MAX(0,O445)</x:f>
        <x:v>46021957.41353531</x:v>
      </x:c>
      <x:c r="S445" s="141" t="n">
        <x:f>IF(AND($A445&gt;=Premissas!$B$48,$A445-Premissas!$B$48+1&lt;=Premissas!$B$13),INDEX(Financiamento!$M$6:$M$485,$A445-Premissas!$B$48+1),0)</x:f>
        <x:v>0</x:v>
      </x:c>
      <x:c r="T445" s="141" t="n">
        <x:f>IF($A445&gt;=Premissas!$B$48,$F445,0)</x:f>
        <x:v>1693993.4316098657</x:v>
      </x:c>
      <x:c r="U445" s="141" t="n">
        <x:f>R445+T445-S445</x:f>
        <x:v>47715950.84514518</x:v>
      </x:c>
      <x:c r="V445" s="141" t="n">
        <x:f>IF(Q445&gt;1,"Inviavel",U445)</x:f>
        <x:v>47715950.84514518</x:v>
      </x:c>
      <x:c r="W445" s="141" t="str">
        <x:f>IF(Q445&gt;1,"Inviavel","OK")</x:f>
        <x:v>OK</x:v>
      </x:c>
      <x:c r="X445" s="141" t="n">
        <x:f>IF($A445=Premissas!$B$48,Premissas!$B$8,0)</x:f>
        <x:v>0</x:v>
      </x:c>
      <x:c r="Y445" s="141" t="n">
        <x:f>IF(AND($A445&gt;=Premissas!$B$48,$A445-Premissas!$B$48+1&lt;=Premissas!$B$13),INDEX(Amortizacao!$K$6:$K$485,$A445-Premissas!$B$48+1),0)</x:f>
        <x:v>0</x:v>
      </x:c>
      <x:c r="Z445" s="141" t="n">
        <x:f>IF(AND(TRUE,Premissas!$B$11="Imovel",Premissas!$B$47="Moradia",$A445&lt;MAX(Premissas!$B$48,Premissas!$B$49)),$D445,0)</x:f>
        <x:v>0</x:v>
      </x:c>
      <x:c r="AA445" s="141" t="n">
        <x:f>IF(AND(TRUE,Premissas!$B$11="Imovel",Premissas!$B$47="Investimento",$A445&gt;=MAX(Premissas!$B$48,Premissas!$B$49)),$E445,0)</x:f>
        <x:v>5214.241279904698</x:v>
      </x:c>
      <x:c r="AB445" s="141" t="n">
        <x:f>X445+Y445+Z445</x:f>
        <x:v>0</x:v>
      </x:c>
      <x:c r="AC445" s="141" t="n">
        <x:f>AA445</x:f>
        <x:v>5214.241279904698</x:v>
      </x:c>
      <x:c r="AD445" s="141" t="n">
        <x:f>$C445+AC445-AB445</x:f>
        <x:v>5214.241279904698</x:v>
      </x:c>
      <x:c r="AE445" s="141" t="n">
        <x:f>AH444*(1+Premissas!$B$41)+AD445</x:f>
        <x:v>46791363.89829332</x:v>
      </x:c>
      <x:c r="AF445" s="141" t="n">
        <x:f>MAX(0,-AE445)</x:f>
        <x:v>0</x:v>
      </x:c>
      <x:c r="AG445" s="141" t="n">
        <x:f>AG444*(1+Premissas!$B$41)+AF445</x:f>
        <x:v>0</x:v>
      </x:c>
      <x:c r="AH445" s="141" t="n">
        <x:f>MAX(0,AE445)</x:f>
        <x:v>46791363.89829332</x:v>
      </x:c>
      <x:c r="AI445" s="141" t="n">
        <x:f>IF(AND($A445&gt;=Premissas!$B$48,$A445-Premissas!$B$48+1&lt;=Premissas!$B$13),INDEX(Amortizacao!$L$6:$L$485,$A445-Premissas!$B$48+1),0)</x:f>
        <x:v>0</x:v>
      </x:c>
      <x:c r="AJ445" s="141" t="n">
        <x:f>IF($A445&gt;=Premissas!$B$48,$F445,0)</x:f>
        <x:v>1693993.4316098657</x:v>
      </x:c>
      <x:c r="AK445" s="141" t="n">
        <x:f>AH445+AJ445-AI445</x:f>
        <x:v>48485357.329903185</x:v>
      </x:c>
      <x:c r="AL445" s="141" t="n">
        <x:f>IF(AG445&gt;1,"Inviavel",AK445)</x:f>
        <x:v>48485357.329903185</x:v>
      </x:c>
      <x:c r="AM445" s="141" t="str">
        <x:f>IF(AG445&gt;1,"Inviavel","OK")</x:f>
        <x:v>OK</x:v>
      </x:c>
      <x:c r="AN445" s="141" t="n">
        <x:f>IF($A445=Premissas!$B$48,Premissas!$B$8,0)</x:f>
        <x:v>0</x:v>
      </x:c>
      <x:c r="AO445" s="141" t="n">
        <x:f>IF($A445&lt;=Premissas!$B$25,INDEX('Consorcio IQ'!$K$6:$K$485,$A445),0)</x:f>
        <x:v>0</x:v>
      </x:c>
      <x:c r="AP445" s="141" t="n">
        <x:f>IF(AND(TRUE,Premissas!$B$11="Imovel",Premissas!$B$47="Moradia",$A445&lt;MAX(Premissas!$B$48,Premissas!$B$49)),$D445,0)</x:f>
        <x:v>0</x:v>
      </x:c>
      <x:c r="AQ445" s="141" t="n">
        <x:f>IF(AND(TRUE,Premissas!$B$11="Imovel",Premissas!$B$47="Investimento",$A445&gt;=MAX(Premissas!$B$48,Premissas!$B$49)),$E445,0)</x:f>
        <x:v>5214.241279904698</x:v>
      </x:c>
      <x:c r="AR445" s="141" t="n">
        <x:f>AN445+AO445+AP445</x:f>
        <x:v>0</x:v>
      </x:c>
      <x:c r="AS445" s="141" t="n">
        <x:f>AQ445</x:f>
        <x:v>5214.241279904698</x:v>
      </x:c>
      <x:c r="AT445" s="141" t="n">
        <x:f>$C445+AS445-AR445</x:f>
        <x:v>5214.241279904698</x:v>
      </x:c>
      <x:c r="AU445" s="141" t="n">
        <x:f>AX444*(1+Premissas!$B$41)+AT445</x:f>
        <x:v>46422781.3289322</x:v>
      </x:c>
      <x:c r="AV445" s="141" t="n">
        <x:f>MAX(0,-AU445)</x:f>
        <x:v>0</x:v>
      </x:c>
      <x:c r="AW445" s="141" t="n">
        <x:f>AW444*(1+Premissas!$B$41)+AV445</x:f>
        <x:v>0</x:v>
      </x:c>
      <x:c r="AX445" s="141" t="n">
        <x:f>MAX(0,AU445)</x:f>
        <x:v>46422781.3289322</x:v>
      </x:c>
      <x:c r="AY445" s="141" t="n">
        <x:f>INDEX('Consorcio IQ'!$P$6:$P$485,$A445)</x:f>
        <x:v>0</x:v>
      </x:c>
      <x:c r="AZ445" s="141" t="n">
        <x:f>IF($A445&gt;=Premissas!$B$48,$F445,0)+IF($A445&lt;Premissas!$B$27,INDEX('Consorcio IQ'!$O$6:$O$485,$A445),0)</x:f>
        <x:v>1693993.4316098657</x:v>
      </x:c>
      <x:c r="BA445" s="141" t="n">
        <x:f>AX445+AZ445-AY445</x:f>
        <x:v>48116774.76054207</x:v>
      </x:c>
      <x:c r="BB445" s="141" t="n">
        <x:f>IF(AW445&gt;1,"Inviavel",BA445)</x:f>
        <x:v>48116774.76054207</x:v>
      </x:c>
      <x:c r="BC445" s="141" t="str">
        <x:f>IF(AW445&gt;1,"Inviavel","OK")</x:f>
        <x:v>OK</x:v>
      </x:c>
      <x:c r="BD445" s="141" t="n">
        <x:f>IF($A445='Consorcio Direto'!$B$29,'Consorcio Direto'!$B$44,0)</x:f>
        <x:v>0</x:v>
      </x:c>
      <x:c r="BE445" s="141" t="n">
        <x:f>IF($A445&lt;='Consorcio Direto'!$B$27,INDEX('Consorcio Direto'!$E$55:$E$534,$A445),0)</x:f>
        <x:v>0</x:v>
      </x:c>
      <x:c r="BF445" s="141" t="n">
        <x:f>IF(AND(TRUE,Premissas!$B$11="Imovel",Premissas!$B$47="Moradia",$A445&lt;MAX('Consorcio Direto'!$B$29,Premissas!$B$49)),$D445,0)</x:f>
        <x:v>0</x:v>
      </x:c>
      <x:c r="BG445" s="141" t="n">
        <x:f>IF(AND(TRUE,Premissas!$B$11="Imovel",Premissas!$B$47="Investimento",$A445&gt;=MAX('Consorcio Direto'!$B$29,Premissas!$B$49)),$E445,0)</x:f>
        <x:v>5214.241279904698</x:v>
      </x:c>
      <x:c r="BH445" s="141" t="n">
        <x:f>BD445+BE445+BF445</x:f>
        <x:v>0</x:v>
      </x:c>
      <x:c r="BI445" s="141" t="n">
        <x:f>BG445</x:f>
        <x:v>5214.241279904698</x:v>
      </x:c>
      <x:c r="BJ445" s="141" t="n">
        <x:f>$C445+BI445-BH445</x:f>
        <x:v>5214.241279904698</x:v>
      </x:c>
      <x:c r="BK445" s="141" t="n">
        <x:f>BN444*(1+Premissas!$B$41)+BJ445</x:f>
        <x:v>44430817.609197915</x:v>
      </x:c>
      <x:c r="BL445" s="141" t="n">
        <x:f>MAX(0,-BK445)</x:f>
        <x:v>0</x:v>
      </x:c>
      <x:c r="BM445" s="141" t="n">
        <x:f>BM444*(1+Premissas!$B$41)+BL445</x:f>
        <x:v>0</x:v>
      </x:c>
      <x:c r="BN445" s="141" t="n">
        <x:f>MAX(0,BK445)</x:f>
        <x:v>44430817.609197915</x:v>
      </x:c>
      <x:c r="BO445" s="141" t="n">
        <x:f>INDEX('Consorcio Direto'!$K$55:$K$534,$A445)</x:f>
        <x:v>0</x:v>
      </x:c>
      <x:c r="BP445" s="141" t="n">
        <x:f>IF($A445&lt;'Consorcio Direto'!$B$29,INDEX('Consorcio Direto'!$L$55:$L$534,$A445),$F445)</x:f>
        <x:v>1693993.4316098657</x:v>
      </x:c>
      <x:c r="BQ445" s="141" t="n">
        <x:f>BN445+BP445-BO445</x:f>
        <x:v>46124811.04080778</x:v>
      </x:c>
      <x:c r="BR445" s="141" t="n">
        <x:f>IF(BM445&gt;1,"Inviavel",BQ445)</x:f>
        <x:v>46124811.04080778</x:v>
      </x:c>
      <x:c r="BS445" s="141" t="str">
        <x:f>IF(BM445&gt;1,"Inviavel","OK")</x:f>
        <x:v>OK</x:v>
      </x:c>
      <x:c r="BT445" s="141" t="n">
        <x:f>IF(AND('Carta Contemplada'!$B$22="Sim",$A445='Carta Contemplada'!$B$23),'Carta Contemplada'!$B$37,0)</x:f>
        <x:v>0</x:v>
      </x:c>
      <x:c r="BU445" s="141" t="n">
        <x:f>IF('Carta Contemplada'!$B$22="Sim",INDEX('Carta Contemplada'!$C$55:$C$1013,$A445),0)</x:f>
        <x:v>0</x:v>
      </x:c>
      <x:c r="BV445" s="141" t="n">
        <x:f>IF(AND('Carta Contemplada'!$B$22="Sim",Premissas!$B$11="Imovel",Premissas!$B$47="Moradia",$A445&lt;MAX('Carta Contemplada'!$B$44,Premissas!$B$49)),$D445,0)</x:f>
        <x:v>0</x:v>
      </x:c>
      <x:c r="BW445" s="141" t="n">
        <x:f>IF(AND('Carta Contemplada'!$B$22="Sim",Premissas!$B$11="Imovel",Premissas!$B$47="Investimento",$A445&gt;=MAX('Carta Contemplada'!$B$44,Premissas!$B$49)),$E445,0)</x:f>
        <x:v>5214.241279904698</x:v>
      </x:c>
      <x:c r="BX445" s="141" t="n">
        <x:f>BT445+BU445+BV445</x:f>
        <x:v>0</x:v>
      </x:c>
      <x:c r="BY445" s="141" t="n">
        <x:f>BW445</x:f>
        <x:v>5214.241279904698</x:v>
      </x:c>
      <x:c r="BZ445" s="141" t="n">
        <x:f>$C445+BY445-BX445</x:f>
        <x:v>5214.241279904698</x:v>
      </x:c>
      <x:c r="CA445" s="141" t="n">
        <x:f>CD444*(1+Premissas!$B$41)+BZ445</x:f>
        <x:v>47720859.86926959</x:v>
      </x:c>
      <x:c r="CB445" s="141" t="n">
        <x:f>MAX(0,-CA445)</x:f>
        <x:v>0</x:v>
      </x:c>
      <x:c r="CC445" s="141" t="n">
        <x:f>CC444*(1+Premissas!$B$41)+CB445</x:f>
        <x:v>0</x:v>
      </x:c>
      <x:c r="CD445" s="141" t="n">
        <x:f>MAX(0,CA445)</x:f>
        <x:v>47720859.86926959</x:v>
      </x:c>
      <x:c r="CE445" s="141" t="n">
        <x:f>IF(AND('Carta Contemplada'!$B$22="Sim",$A445&gt;='Carta Contemplada'!$B$23),INDEX('Carta Contemplada'!$I$55:$I$1013,$A445),0)</x:f>
        <x:v>0</x:v>
      </x:c>
      <x:c r="CF445" s="141" t="n">
        <x:f>IF(AND('Carta Contemplada'!$B$22="Sim",$A445&gt;='Carta Contemplada'!$B$44),$F445,0)</x:f>
        <x:v>1693993.4316098657</x:v>
      </x:c>
      <x:c r="CG445" s="141" t="n">
        <x:f>CD445+CF445-CE445</x:f>
        <x:v>49414853.300879456</x:v>
      </x:c>
      <x:c r="CH445" s="141" t="n">
        <x:f>IF(CC445&gt;1,"Inviavel",CG445)</x:f>
        <x:v>49414853.300879456</x:v>
      </x:c>
      <x:c r="CI445" s="145" t="str">
        <x:f>IF(CC445&gt;1,"Inviavel","OK")</x:f>
        <x:v>OK</x:v>
      </x:c>
    </x:row>
    <x:row r="446">
      <x:c r="A446" s="142" t="n">
        <x:v>442</x:v>
      </x:c>
      <x:c r="B446" s="179" t="n">
        <x:f>EDATE(Premissas!$B$4,A446-1)</x:f>
        <x:v>59962</x:v>
      </x:c>
      <x:c r="C446" s="141" t="n">
        <x:f>IF(A446&lt;=Premissas!$B$39,Premissas!$B$42,0)</x:f>
        <x:v>0</x:v>
      </x:c>
      <x:c r="D446" s="141" t="n">
        <x:f>Premissas!$B$54*(1+Premissas!$B$57)^INT((A446-1)/12)</x:f>
        <x:v>5703.076399895763</x:v>
      </x:c>
      <x:c r="E446" s="141" t="n">
        <x:f>Premissas!$B$64*(1+Premissas!$B$57)^INT((A446-1)/12)</x:f>
        <x:v>5214.241279904698</x:v>
      </x:c>
      <x:c r="F446" s="141" t="n">
        <x:f>MAX(0,Premissas!$B$6*(1+Premissas!$B$66)^((A446-1)/12))</x:f>
        <x:v>1702239.030295586</x:v>
      </x:c>
      <x:c r="G446" s="141" t="n">
        <x:f>G445*(1+Premissas!$B$41)+C446</x:f>
        <x:v>52832117.03550152</x:v>
      </x:c>
      <x:c r="H446" s="141" t="n">
        <x:f>IF($A446=Premissas!$B$48,Premissas!$B$8,0)</x:f>
        <x:v>0</x:v>
      </x:c>
      <x:c r="I446" s="141" t="n">
        <x:f>IF(AND($A446&gt;=Premissas!$B$48,$A446-Premissas!$B$48+1&lt;=Premissas!$B$13),INDEX(Financiamento!$J$6:$J$485,$A446-Premissas!$B$48+1),0)</x:f>
        <x:v>0</x:v>
      </x:c>
      <x:c r="J446" s="141" t="n">
        <x:f>IF(AND(TRUE,Premissas!$B$11="Imovel",Premissas!$B$47="Moradia",$A446&lt;MAX(Premissas!$B$48,Premissas!$B$49)),$D446,0)</x:f>
        <x:v>0</x:v>
      </x:c>
      <x:c r="K446" s="141" t="n">
        <x:f>IF(AND(TRUE,Premissas!$B$11="Imovel",Premissas!$B$47="Investimento",$A446&gt;=MAX(Premissas!$B$48,Premissas!$B$49)),$E446,0)</x:f>
        <x:v>5214.241279904698</x:v>
      </x:c>
      <x:c r="L446" s="141" t="n">
        <x:f>H446+I446+J446</x:f>
        <x:v>0</x:v>
      </x:c>
      <x:c r="M446" s="141" t="n">
        <x:f>K446</x:f>
        <x:v>5214.241279904698</x:v>
      </x:c>
      <x:c r="N446" s="141" t="n">
        <x:f>$C446+M446-L446</x:f>
        <x:v>5214.241279904698</x:v>
      </x:c>
      <x:c r="O446" s="141" t="n">
        <x:f>R445*(1+Premissas!$B$41)+N446</x:f>
        <x:v>46463864.47915646</x:v>
      </x:c>
      <x:c r="P446" s="141" t="n">
        <x:f>MAX(0,-O446)</x:f>
        <x:v>0</x:v>
      </x:c>
      <x:c r="Q446" s="141" t="n">
        <x:f>Q445*(1+Premissas!$B$41)+P446</x:f>
        <x:v>0</x:v>
      </x:c>
      <x:c r="R446" s="141" t="n">
        <x:f>MAX(0,O446)</x:f>
        <x:v>46463864.47915646</x:v>
      </x:c>
      <x:c r="S446" s="141" t="n">
        <x:f>IF(AND($A446&gt;=Premissas!$B$48,$A446-Premissas!$B$48+1&lt;=Premissas!$B$13),INDEX(Financiamento!$M$6:$M$485,$A446-Premissas!$B$48+1),0)</x:f>
        <x:v>0</x:v>
      </x:c>
      <x:c r="T446" s="141" t="n">
        <x:f>IF($A446&gt;=Premissas!$B$48,$F446,0)</x:f>
        <x:v>1702239.030295586</x:v>
      </x:c>
      <x:c r="U446" s="141" t="n">
        <x:f>R446+T446-S446</x:f>
        <x:v>48166103.509452045</x:v>
      </x:c>
      <x:c r="V446" s="141" t="n">
        <x:f>IF(Q446&gt;1,"Inviavel",U446)</x:f>
        <x:v>48166103.509452045</x:v>
      </x:c>
      <x:c r="W446" s="141" t="str">
        <x:f>IF(Q446&gt;1,"Inviavel","OK")</x:f>
        <x:v>OK</x:v>
      </x:c>
      <x:c r="X446" s="141" t="n">
        <x:f>IF($A446=Premissas!$B$48,Premissas!$B$8,0)</x:f>
        <x:v>0</x:v>
      </x:c>
      <x:c r="Y446" s="141" t="n">
        <x:f>IF(AND($A446&gt;=Premissas!$B$48,$A446-Premissas!$B$48+1&lt;=Premissas!$B$13),INDEX(Amortizacao!$K$6:$K$485,$A446-Premissas!$B$48+1),0)</x:f>
        <x:v>0</x:v>
      </x:c>
      <x:c r="Z446" s="141" t="n">
        <x:f>IF(AND(TRUE,Premissas!$B$11="Imovel",Premissas!$B$47="Moradia",$A446&lt;MAX(Premissas!$B$48,Premissas!$B$49)),$D446,0)</x:f>
        <x:v>0</x:v>
      </x:c>
      <x:c r="AA446" s="141" t="n">
        <x:f>IF(AND(TRUE,Premissas!$B$11="Imovel",Premissas!$B$47="Investimento",$A446&gt;=MAX(Premissas!$B$48,Premissas!$B$49)),$E446,0)</x:f>
        <x:v>5214.241279904698</x:v>
      </x:c>
      <x:c r="AB446" s="141" t="n">
        <x:f>X446+Y446+Z446</x:f>
        <x:v>0</x:v>
      </x:c>
      <x:c r="AC446" s="141" t="n">
        <x:f>AA446</x:f>
        <x:v>5214.241279904698</x:v>
      </x:c>
      <x:c r="AD446" s="141" t="n">
        <x:f>$C446+AC446-AB446</x:f>
        <x:v>5214.241279904698</x:v>
      </x:c>
      <x:c r="AE446" s="141" t="n">
        <x:f>AH445*(1+Premissas!$B$41)+AD446</x:f>
        <x:v>47240571.70273086</x:v>
      </x:c>
      <x:c r="AF446" s="141" t="n">
        <x:f>MAX(0,-AE446)</x:f>
        <x:v>0</x:v>
      </x:c>
      <x:c r="AG446" s="141" t="n">
        <x:f>AG445*(1+Premissas!$B$41)+AF446</x:f>
        <x:v>0</x:v>
      </x:c>
      <x:c r="AH446" s="141" t="n">
        <x:f>MAX(0,AE446)</x:f>
        <x:v>47240571.70273086</x:v>
      </x:c>
      <x:c r="AI446" s="141" t="n">
        <x:f>IF(AND($A446&gt;=Premissas!$B$48,$A446-Premissas!$B$48+1&lt;=Premissas!$B$13),INDEX(Amortizacao!$L$6:$L$485,$A446-Premissas!$B$48+1),0)</x:f>
        <x:v>0</x:v>
      </x:c>
      <x:c r="AJ446" s="141" t="n">
        <x:f>IF($A446&gt;=Premissas!$B$48,$F446,0)</x:f>
        <x:v>1702239.030295586</x:v>
      </x:c>
      <x:c r="AK446" s="141" t="n">
        <x:f>AH446+AJ446-AI446</x:f>
        <x:v>48942810.733026445</x:v>
      </x:c>
      <x:c r="AL446" s="141" t="n">
        <x:f>IF(AG446&gt;1,"Inviavel",AK446)</x:f>
        <x:v>48942810.733026445</x:v>
      </x:c>
      <x:c r="AM446" s="141" t="str">
        <x:f>IF(AG446&gt;1,"Inviavel","OK")</x:f>
        <x:v>OK</x:v>
      </x:c>
      <x:c r="AN446" s="141" t="n">
        <x:f>IF($A446=Premissas!$B$48,Premissas!$B$8,0)</x:f>
        <x:v>0</x:v>
      </x:c>
      <x:c r="AO446" s="141" t="n">
        <x:f>IF($A446&lt;=Premissas!$B$25,INDEX('Consorcio IQ'!$K$6:$K$485,$A446),0)</x:f>
        <x:v>0</x:v>
      </x:c>
      <x:c r="AP446" s="141" t="n">
        <x:f>IF(AND(TRUE,Premissas!$B$11="Imovel",Premissas!$B$47="Moradia",$A446&lt;MAX(Premissas!$B$48,Premissas!$B$49)),$D446,0)</x:f>
        <x:v>0</x:v>
      </x:c>
      <x:c r="AQ446" s="141" t="n">
        <x:f>IF(AND(TRUE,Premissas!$B$11="Imovel",Premissas!$B$47="Investimento",$A446&gt;=MAX(Premissas!$B$48,Premissas!$B$49)),$E446,0)</x:f>
        <x:v>5214.241279904698</x:v>
      </x:c>
      <x:c r="AR446" s="141" t="n">
        <x:f>AN446+AO446+AP446</x:f>
        <x:v>0</x:v>
      </x:c>
      <x:c r="AS446" s="141" t="n">
        <x:f>AQ446</x:f>
        <x:v>5214.241279904698</x:v>
      </x:c>
      <x:c r="AT446" s="141" t="n">
        <x:f>$C446+AS446-AR446</x:f>
        <x:v>5214.241279904698</x:v>
      </x:c>
      <x:c r="AU446" s="141" t="n">
        <x:f>AX445*(1+Premissas!$B$41)+AT446</x:f>
        <x:v>46868491.72968978</x:v>
      </x:c>
      <x:c r="AV446" s="141" t="n">
        <x:f>MAX(0,-AU446)</x:f>
        <x:v>0</x:v>
      </x:c>
      <x:c r="AW446" s="141" t="n">
        <x:f>AW445*(1+Premissas!$B$41)+AV446</x:f>
        <x:v>0</x:v>
      </x:c>
      <x:c r="AX446" s="141" t="n">
        <x:f>MAX(0,AU446)</x:f>
        <x:v>46868491.72968978</x:v>
      </x:c>
      <x:c r="AY446" s="141" t="n">
        <x:f>INDEX('Consorcio IQ'!$P$6:$P$485,$A446)</x:f>
        <x:v>0</x:v>
      </x:c>
      <x:c r="AZ446" s="141" t="n">
        <x:f>IF($A446&gt;=Premissas!$B$48,$F446,0)+IF($A446&lt;Premissas!$B$27,INDEX('Consorcio IQ'!$O$6:$O$485,$A446),0)</x:f>
        <x:v>1702239.030295586</x:v>
      </x:c>
      <x:c r="BA446" s="141" t="n">
        <x:f>AX446+AZ446-AY446</x:f>
        <x:v>48570730.759985365</x:v>
      </x:c>
      <x:c r="BB446" s="141" t="n">
        <x:f>IF(AW446&gt;1,"Inviavel",BA446)</x:f>
        <x:v>48570730.759985365</x:v>
      </x:c>
      <x:c r="BC446" s="141" t="str">
        <x:f>IF(AW446&gt;1,"Inviavel","OK")</x:f>
        <x:v>OK</x:v>
      </x:c>
      <x:c r="BD446" s="141" t="n">
        <x:f>IF($A446='Consorcio Direto'!$B$29,'Consorcio Direto'!$B$44,0)</x:f>
        <x:v>0</x:v>
      </x:c>
      <x:c r="BE446" s="141" t="n">
        <x:f>IF($A446&lt;='Consorcio Direto'!$B$27,INDEX('Consorcio Direto'!$E$55:$E$534,$A446),0)</x:f>
        <x:v>0</x:v>
      </x:c>
      <x:c r="BF446" s="141" t="n">
        <x:f>IF(AND(TRUE,Premissas!$B$11="Imovel",Premissas!$B$47="Moradia",$A446&lt;MAX('Consorcio Direto'!$B$29,Premissas!$B$49)),$D446,0)</x:f>
        <x:v>0</x:v>
      </x:c>
      <x:c r="BG446" s="141" t="n">
        <x:f>IF(AND(TRUE,Premissas!$B$11="Imovel",Premissas!$B$47="Investimento",$A446&gt;=MAX('Consorcio Direto'!$B$29,Premissas!$B$49)),$E446,0)</x:f>
        <x:v>5214.241279904698</x:v>
      </x:c>
      <x:c r="BH446" s="141" t="n">
        <x:f>BD446+BE446+BF446</x:f>
        <x:v>0</x:v>
      </x:c>
      <x:c r="BI446" s="141" t="n">
        <x:f>BG446</x:f>
        <x:v>5214.241279904698</x:v>
      </x:c>
      <x:c r="BJ446" s="141" t="n">
        <x:f>$C446+BI446-BH446</x:f>
        <x:v>5214.241279904698</x:v>
      </x:c>
      <x:c r="BK446" s="141" t="n">
        <x:f>BN445*(1+Premissas!$B$41)+BJ446</x:f>
        <x:v>44857626.678685725</x:v>
      </x:c>
      <x:c r="BL446" s="141" t="n">
        <x:f>MAX(0,-BK446)</x:f>
        <x:v>0</x:v>
      </x:c>
      <x:c r="BM446" s="141" t="n">
        <x:f>BM445*(1+Premissas!$B$41)+BL446</x:f>
        <x:v>0</x:v>
      </x:c>
      <x:c r="BN446" s="141" t="n">
        <x:f>MAX(0,BK446)</x:f>
        <x:v>44857626.678685725</x:v>
      </x:c>
      <x:c r="BO446" s="141" t="n">
        <x:f>INDEX('Consorcio Direto'!$K$55:$K$534,$A446)</x:f>
        <x:v>0</x:v>
      </x:c>
      <x:c r="BP446" s="141" t="n">
        <x:f>IF($A446&lt;'Consorcio Direto'!$B$29,INDEX('Consorcio Direto'!$L$55:$L$534,$A446),$F446)</x:f>
        <x:v>1702239.030295586</x:v>
      </x:c>
      <x:c r="BQ446" s="141" t="n">
        <x:f>BN446+BP446-BO446</x:f>
        <x:v>46559865.70898131</x:v>
      </x:c>
      <x:c r="BR446" s="141" t="n">
        <x:f>IF(BM446&gt;1,"Inviavel",BQ446)</x:f>
        <x:v>46559865.70898131</x:v>
      </x:c>
      <x:c r="BS446" s="141" t="str">
        <x:f>IF(BM446&gt;1,"Inviavel","OK")</x:f>
        <x:v>OK</x:v>
      </x:c>
      <x:c r="BT446" s="141" t="n">
        <x:f>IF(AND('Carta Contemplada'!$B$22="Sim",$A446='Carta Contemplada'!$B$23),'Carta Contemplada'!$B$37,0)</x:f>
        <x:v>0</x:v>
      </x:c>
      <x:c r="BU446" s="141" t="n">
        <x:f>IF('Carta Contemplada'!$B$22="Sim",INDEX('Carta Contemplada'!$C$55:$C$1013,$A446),0)</x:f>
        <x:v>0</x:v>
      </x:c>
      <x:c r="BV446" s="141" t="n">
        <x:f>IF(AND('Carta Contemplada'!$B$22="Sim",Premissas!$B$11="Imovel",Premissas!$B$47="Moradia",$A446&lt;MAX('Carta Contemplada'!$B$44,Premissas!$B$49)),$D446,0)</x:f>
        <x:v>0</x:v>
      </x:c>
      <x:c r="BW446" s="141" t="n">
        <x:f>IF(AND('Carta Contemplada'!$B$22="Sim",Premissas!$B$11="Imovel",Premissas!$B$47="Investimento",$A446&gt;=MAX('Carta Contemplada'!$B$44,Premissas!$B$49)),$E446,0)</x:f>
        <x:v>5214.241279904698</x:v>
      </x:c>
      <x:c r="BX446" s="141" t="n">
        <x:f>BT446+BU446+BV446</x:f>
        <x:v>0</x:v>
      </x:c>
      <x:c r="BY446" s="141" t="n">
        <x:f>BW446</x:f>
        <x:v>5214.241279904698</x:v>
      </x:c>
      <x:c r="BZ446" s="141" t="n">
        <x:f>$C446+BY446-BX446</x:f>
        <x:v>5214.241279904698</x:v>
      </x:c>
      <x:c r="CA446" s="141" t="n">
        <x:f>CD445*(1+Premissas!$B$41)+BZ446</x:f>
        <x:v>48178887.46850925</x:v>
      </x:c>
      <x:c r="CB446" s="141" t="n">
        <x:f>MAX(0,-CA446)</x:f>
        <x:v>0</x:v>
      </x:c>
      <x:c r="CC446" s="141" t="n">
        <x:f>CC445*(1+Premissas!$B$41)+CB446</x:f>
        <x:v>0</x:v>
      </x:c>
      <x:c r="CD446" s="141" t="n">
        <x:f>MAX(0,CA446)</x:f>
        <x:v>48178887.46850925</x:v>
      </x:c>
      <x:c r="CE446" s="141" t="n">
        <x:f>IF(AND('Carta Contemplada'!$B$22="Sim",$A446&gt;='Carta Contemplada'!$B$23),INDEX('Carta Contemplada'!$I$55:$I$1013,$A446),0)</x:f>
        <x:v>0</x:v>
      </x:c>
      <x:c r="CF446" s="141" t="n">
        <x:f>IF(AND('Carta Contemplada'!$B$22="Sim",$A446&gt;='Carta Contemplada'!$B$44),$F446,0)</x:f>
        <x:v>1702239.030295586</x:v>
      </x:c>
      <x:c r="CG446" s="141" t="n">
        <x:f>CD446+CF446-CE446</x:f>
        <x:v>49881126.49880484</x:v>
      </x:c>
      <x:c r="CH446" s="141" t="n">
        <x:f>IF(CC446&gt;1,"Inviavel",CG446)</x:f>
        <x:v>49881126.49880484</x:v>
      </x:c>
      <x:c r="CI446" s="145" t="str">
        <x:f>IF(CC446&gt;1,"Inviavel","OK")</x:f>
        <x:v>OK</x:v>
      </x:c>
    </x:row>
    <x:row r="447">
      <x:c r="A447" s="142" t="n">
        <x:v>443</x:v>
      </x:c>
      <x:c r="B447" s="179" t="n">
        <x:f>EDATE(Premissas!$B$4,A447-1)</x:f>
        <x:v>59993</x:v>
      </x:c>
      <x:c r="C447" s="141" t="n">
        <x:f>IF(A447&lt;=Premissas!$B$39,Premissas!$B$42,0)</x:f>
        <x:v>0</x:v>
      </x:c>
      <x:c r="D447" s="141" t="n">
        <x:f>Premissas!$B$54*(1+Premissas!$B$57)^INT((A447-1)/12)</x:f>
        <x:v>5703.076399895763</x:v>
      </x:c>
      <x:c r="E447" s="141" t="n">
        <x:f>Premissas!$B$64*(1+Premissas!$B$57)^INT((A447-1)/12)</x:f>
        <x:v>5214.241279904698</x:v>
      </x:c>
      <x:c r="F447" s="141" t="n">
        <x:f>MAX(0,Premissas!$B$6*(1+Premissas!$B$66)^((A447-1)/12))</x:f>
        <x:v>1710524.7648498504</x:v>
      </x:c>
      <x:c r="G447" s="141" t="n">
        <x:f>G446*(1+Premissas!$B$41)+C447</x:f>
        <x:v>53333430.054347046</x:v>
      </x:c>
      <x:c r="H447" s="141" t="n">
        <x:f>IF($A447=Premissas!$B$48,Premissas!$B$8,0)</x:f>
        <x:v>0</x:v>
      </x:c>
      <x:c r="I447" s="141" t="n">
        <x:f>IF(AND($A447&gt;=Premissas!$B$48,$A447-Premissas!$B$48+1&lt;=Premissas!$B$13),INDEX(Financiamento!$J$6:$J$485,$A447-Premissas!$B$48+1),0)</x:f>
        <x:v>0</x:v>
      </x:c>
      <x:c r="J447" s="141" t="n">
        <x:f>IF(AND(TRUE,Premissas!$B$11="Imovel",Premissas!$B$47="Moradia",$A447&lt;MAX(Premissas!$B$48,Premissas!$B$49)),$D447,0)</x:f>
        <x:v>0</x:v>
      </x:c>
      <x:c r="K447" s="141" t="n">
        <x:f>IF(AND(TRUE,Premissas!$B$11="Imovel",Premissas!$B$47="Investimento",$A447&gt;=MAX(Premissas!$B$48,Premissas!$B$49)),$E447,0)</x:f>
        <x:v>5214.241279904698</x:v>
      </x:c>
      <x:c r="L447" s="141" t="n">
        <x:f>H447+I447+J447</x:f>
        <x:v>0</x:v>
      </x:c>
      <x:c r="M447" s="141" t="n">
        <x:f>K447</x:f>
        <x:v>5214.241279904698</x:v>
      </x:c>
      <x:c r="N447" s="141" t="n">
        <x:f>$C447+M447-L447</x:f>
        <x:v>5214.241279904698</x:v>
      </x:c>
      <x:c r="O447" s="141" t="n">
        <x:f>R446*(1+Premissas!$B$41)+N447</x:f>
        <x:v>46909964.70941961</x:v>
      </x:c>
      <x:c r="P447" s="141" t="n">
        <x:f>MAX(0,-O447)</x:f>
        <x:v>0</x:v>
      </x:c>
      <x:c r="Q447" s="141" t="n">
        <x:f>Q446*(1+Premissas!$B$41)+P447</x:f>
        <x:v>0</x:v>
      </x:c>
      <x:c r="R447" s="141" t="n">
        <x:f>MAX(0,O447)</x:f>
        <x:v>46909964.70941961</x:v>
      </x:c>
      <x:c r="S447" s="141" t="n">
        <x:f>IF(AND($A447&gt;=Premissas!$B$48,$A447-Premissas!$B$48+1&lt;=Premissas!$B$13),INDEX(Financiamento!$M$6:$M$485,$A447-Premissas!$B$48+1),0)</x:f>
        <x:v>0</x:v>
      </x:c>
      <x:c r="T447" s="141" t="n">
        <x:f>IF($A447&gt;=Premissas!$B$48,$F447,0)</x:f>
        <x:v>1710524.7648498504</x:v>
      </x:c>
      <x:c r="U447" s="141" t="n">
        <x:f>R447+T447-S447</x:f>
        <x:v>48620489.47426946</x:v>
      </x:c>
      <x:c r="V447" s="141" t="n">
        <x:f>IF(Q447&gt;1,"Inviavel",U447)</x:f>
        <x:v>48620489.47426946</x:v>
      </x:c>
      <x:c r="W447" s="141" t="str">
        <x:f>IF(Q447&gt;1,"Inviavel","OK")</x:f>
        <x:v>OK</x:v>
      </x:c>
      <x:c r="X447" s="141" t="n">
        <x:f>IF($A447=Premissas!$B$48,Premissas!$B$8,0)</x:f>
        <x:v>0</x:v>
      </x:c>
      <x:c r="Y447" s="141" t="n">
        <x:f>IF(AND($A447&gt;=Premissas!$B$48,$A447-Premissas!$B$48+1&lt;=Premissas!$B$13),INDEX(Amortizacao!$K$6:$K$485,$A447-Premissas!$B$48+1),0)</x:f>
        <x:v>0</x:v>
      </x:c>
      <x:c r="Z447" s="141" t="n">
        <x:f>IF(AND(TRUE,Premissas!$B$11="Imovel",Premissas!$B$47="Moradia",$A447&lt;MAX(Premissas!$B$48,Premissas!$B$49)),$D447,0)</x:f>
        <x:v>0</x:v>
      </x:c>
      <x:c r="AA447" s="141" t="n">
        <x:f>IF(AND(TRUE,Premissas!$B$11="Imovel",Premissas!$B$47="Investimento",$A447&gt;=MAX(Premissas!$B$48,Premissas!$B$49)),$E447,0)</x:f>
        <x:v>5214.241279904698</x:v>
      </x:c>
      <x:c r="AB447" s="141" t="n">
        <x:f>X447+Y447+Z447</x:f>
        <x:v>0</x:v>
      </x:c>
      <x:c r="AC447" s="141" t="n">
        <x:f>AA447</x:f>
        <x:v>5214.241279904698</x:v>
      </x:c>
      <x:c r="AD447" s="141" t="n">
        <x:f>$C447+AC447-AB447</x:f>
        <x:v>5214.241279904698</x:v>
      </x:c>
      <x:c r="AE447" s="141" t="n">
        <x:f>AH446*(1+Premissas!$B$41)+AD447</x:f>
        <x:v>47694041.9470093</x:v>
      </x:c>
      <x:c r="AF447" s="141" t="n">
        <x:f>MAX(0,-AE447)</x:f>
        <x:v>0</x:v>
      </x:c>
      <x:c r="AG447" s="141" t="n">
        <x:f>AG446*(1+Premissas!$B$41)+AF447</x:f>
        <x:v>0</x:v>
      </x:c>
      <x:c r="AH447" s="141" t="n">
        <x:f>MAX(0,AE447)</x:f>
        <x:v>47694041.9470093</x:v>
      </x:c>
      <x:c r="AI447" s="141" t="n">
        <x:f>IF(AND($A447&gt;=Premissas!$B$48,$A447-Premissas!$B$48+1&lt;=Premissas!$B$13),INDEX(Amortizacao!$L$6:$L$485,$A447-Premissas!$B$48+1),0)</x:f>
        <x:v>0</x:v>
      </x:c>
      <x:c r="AJ447" s="141" t="n">
        <x:f>IF($A447&gt;=Premissas!$B$48,$F447,0)</x:f>
        <x:v>1710524.7648498504</x:v>
      </x:c>
      <x:c r="AK447" s="141" t="n">
        <x:f>AH447+AJ447-AI447</x:f>
        <x:v>49404566.71185915</x:v>
      </x:c>
      <x:c r="AL447" s="141" t="n">
        <x:f>IF(AG447&gt;1,"Inviavel",AK447)</x:f>
        <x:v>49404566.71185915</x:v>
      </x:c>
      <x:c r="AM447" s="141" t="str">
        <x:f>IF(AG447&gt;1,"Inviavel","OK")</x:f>
        <x:v>OK</x:v>
      </x:c>
      <x:c r="AN447" s="141" t="n">
        <x:f>IF($A447=Premissas!$B$48,Premissas!$B$8,0)</x:f>
        <x:v>0</x:v>
      </x:c>
      <x:c r="AO447" s="141" t="n">
        <x:f>IF($A447&lt;=Premissas!$B$25,INDEX('Consorcio IQ'!$K$6:$K$485,$A447),0)</x:f>
        <x:v>0</x:v>
      </x:c>
      <x:c r="AP447" s="141" t="n">
        <x:f>IF(AND(TRUE,Premissas!$B$11="Imovel",Premissas!$B$47="Moradia",$A447&lt;MAX(Premissas!$B$48,Premissas!$B$49)),$D447,0)</x:f>
        <x:v>0</x:v>
      </x:c>
      <x:c r="AQ447" s="141" t="n">
        <x:f>IF(AND(TRUE,Premissas!$B$11="Imovel",Premissas!$B$47="Investimento",$A447&gt;=MAX(Premissas!$B$48,Premissas!$B$49)),$E447,0)</x:f>
        <x:v>5214.241279904698</x:v>
      </x:c>
      <x:c r="AR447" s="141" t="n">
        <x:f>AN447+AO447+AP447</x:f>
        <x:v>0</x:v>
      </x:c>
      <x:c r="AS447" s="141" t="n">
        <x:f>AQ447</x:f>
        <x:v>5214.241279904698</x:v>
      </x:c>
      <x:c r="AT447" s="141" t="n">
        <x:f>$C447+AS447-AR447</x:f>
        <x:v>5214.241279904698</x:v>
      </x:c>
      <x:c r="AU447" s="141" t="n">
        <x:f>AX446*(1+Premissas!$B$41)+AT447</x:f>
        <x:v>47318431.384148926</x:v>
      </x:c>
      <x:c r="AV447" s="141" t="n">
        <x:f>MAX(0,-AU447)</x:f>
        <x:v>0</x:v>
      </x:c>
      <x:c r="AW447" s="141" t="n">
        <x:f>AW446*(1+Premissas!$B$41)+AV447</x:f>
        <x:v>0</x:v>
      </x:c>
      <x:c r="AX447" s="141" t="n">
        <x:f>MAX(0,AU447)</x:f>
        <x:v>47318431.384148926</x:v>
      </x:c>
      <x:c r="AY447" s="141" t="n">
        <x:f>INDEX('Consorcio IQ'!$P$6:$P$485,$A447)</x:f>
        <x:v>0</x:v>
      </x:c>
      <x:c r="AZ447" s="141" t="n">
        <x:f>IF($A447&gt;=Premissas!$B$48,$F447,0)+IF($A447&lt;Premissas!$B$27,INDEX('Consorcio IQ'!$O$6:$O$485,$A447),0)</x:f>
        <x:v>1710524.7648498504</x:v>
      </x:c>
      <x:c r="BA447" s="141" t="n">
        <x:f>AX447+AZ447-AY447</x:f>
        <x:v>49028956.148998775</x:v>
      </x:c>
      <x:c r="BB447" s="141" t="n">
        <x:f>IF(AW447&gt;1,"Inviavel",BA447)</x:f>
        <x:v>49028956.148998775</x:v>
      </x:c>
      <x:c r="BC447" s="141" t="str">
        <x:f>IF(AW447&gt;1,"Inviavel","OK")</x:f>
        <x:v>OK</x:v>
      </x:c>
      <x:c r="BD447" s="141" t="n">
        <x:f>IF($A447='Consorcio Direto'!$B$29,'Consorcio Direto'!$B$44,0)</x:f>
        <x:v>0</x:v>
      </x:c>
      <x:c r="BE447" s="141" t="n">
        <x:f>IF($A447&lt;='Consorcio Direto'!$B$27,INDEX('Consorcio Direto'!$E$55:$E$534,$A447),0)</x:f>
        <x:v>0</x:v>
      </x:c>
      <x:c r="BF447" s="141" t="n">
        <x:f>IF(AND(TRUE,Premissas!$B$11="Imovel",Premissas!$B$47="Moradia",$A447&lt;MAX('Consorcio Direto'!$B$29,Premissas!$B$49)),$D447,0)</x:f>
        <x:v>0</x:v>
      </x:c>
      <x:c r="BG447" s="141" t="n">
        <x:f>IF(AND(TRUE,Premissas!$B$11="Imovel",Premissas!$B$47="Investimento",$A447&gt;=MAX('Consorcio Direto'!$B$29,Premissas!$B$49)),$E447,0)</x:f>
        <x:v>5214.241279904698</x:v>
      </x:c>
      <x:c r="BH447" s="141" t="n">
        <x:f>BD447+BE447+BF447</x:f>
        <x:v>0</x:v>
      </x:c>
      <x:c r="BI447" s="141" t="n">
        <x:f>BG447</x:f>
        <x:v>5214.241279904698</x:v>
      </x:c>
      <x:c r="BJ447" s="141" t="n">
        <x:f>$C447+BI447-BH447</x:f>
        <x:v>5214.241279904698</x:v>
      </x:c>
      <x:c r="BK447" s="141" t="n">
        <x:f>BN446*(1+Premissas!$B$41)+BJ447</x:f>
        <x:v>45288485.651056506</x:v>
      </x:c>
      <x:c r="BL447" s="141" t="n">
        <x:f>MAX(0,-BK447)</x:f>
        <x:v>0</x:v>
      </x:c>
      <x:c r="BM447" s="141" t="n">
        <x:f>BM446*(1+Premissas!$B$41)+BL447</x:f>
        <x:v>0</x:v>
      </x:c>
      <x:c r="BN447" s="141" t="n">
        <x:f>MAX(0,BK447)</x:f>
        <x:v>45288485.651056506</x:v>
      </x:c>
      <x:c r="BO447" s="141" t="n">
        <x:f>INDEX('Consorcio Direto'!$K$55:$K$534,$A447)</x:f>
        <x:v>0</x:v>
      </x:c>
      <x:c r="BP447" s="141" t="n">
        <x:f>IF($A447&lt;'Consorcio Direto'!$B$29,INDEX('Consorcio Direto'!$L$55:$L$534,$A447),$F447)</x:f>
        <x:v>1710524.7648498504</x:v>
      </x:c>
      <x:c r="BQ447" s="141" t="n">
        <x:f>BN447+BP447-BO447</x:f>
        <x:v>46999010.415906355</x:v>
      </x:c>
      <x:c r="BR447" s="141" t="n">
        <x:f>IF(BM447&gt;1,"Inviavel",BQ447)</x:f>
        <x:v>46999010.415906355</x:v>
      </x:c>
      <x:c r="BS447" s="141" t="str">
        <x:f>IF(BM447&gt;1,"Inviavel","OK")</x:f>
        <x:v>OK</x:v>
      </x:c>
      <x:c r="BT447" s="141" t="n">
        <x:f>IF(AND('Carta Contemplada'!$B$22="Sim",$A447='Carta Contemplada'!$B$23),'Carta Contemplada'!$B$37,0)</x:f>
        <x:v>0</x:v>
      </x:c>
      <x:c r="BU447" s="141" t="n">
        <x:f>IF('Carta Contemplada'!$B$22="Sim",INDEX('Carta Contemplada'!$C$55:$C$1013,$A447),0)</x:f>
        <x:v>0</x:v>
      </x:c>
      <x:c r="BV447" s="141" t="n">
        <x:f>IF(AND('Carta Contemplada'!$B$22="Sim",Premissas!$B$11="Imovel",Premissas!$B$47="Moradia",$A447&lt;MAX('Carta Contemplada'!$B$44,Premissas!$B$49)),$D447,0)</x:f>
        <x:v>0</x:v>
      </x:c>
      <x:c r="BW447" s="141" t="n">
        <x:f>IF(AND('Carta Contemplada'!$B$22="Sim",Premissas!$B$11="Imovel",Premissas!$B$47="Investimento",$A447&gt;=MAX('Carta Contemplada'!$B$44,Premissas!$B$49)),$E447,0)</x:f>
        <x:v>5214.241279904698</x:v>
      </x:c>
      <x:c r="BX447" s="141" t="n">
        <x:f>BT447+BU447+BV447</x:f>
        <x:v>0</x:v>
      </x:c>
      <x:c r="BY447" s="141" t="n">
        <x:f>BW447</x:f>
        <x:v>5214.241279904698</x:v>
      </x:c>
      <x:c r="BZ447" s="141" t="n">
        <x:f>$C447+BY447-BX447</x:f>
        <x:v>5214.241279904698</x:v>
      </x:c>
      <x:c r="CA447" s="141" t="n">
        <x:f>CD446*(1+Premissas!$B$41)+BZ447</x:f>
        <x:v>48641261.19679642</x:v>
      </x:c>
      <x:c r="CB447" s="141" t="n">
        <x:f>MAX(0,-CA447)</x:f>
        <x:v>0</x:v>
      </x:c>
      <x:c r="CC447" s="141" t="n">
        <x:f>CC446*(1+Premissas!$B$41)+CB447</x:f>
        <x:v>0</x:v>
      </x:c>
      <x:c r="CD447" s="141" t="n">
        <x:f>MAX(0,CA447)</x:f>
        <x:v>48641261.19679642</x:v>
      </x:c>
      <x:c r="CE447" s="141" t="n">
        <x:f>IF(AND('Carta Contemplada'!$B$22="Sim",$A447&gt;='Carta Contemplada'!$B$23),INDEX('Carta Contemplada'!$I$55:$I$1013,$A447),0)</x:f>
        <x:v>0</x:v>
      </x:c>
      <x:c r="CF447" s="141" t="n">
        <x:f>IF(AND('Carta Contemplada'!$B$22="Sim",$A447&gt;='Carta Contemplada'!$B$44),$F447,0)</x:f>
        <x:v>1710524.7648498504</x:v>
      </x:c>
      <x:c r="CG447" s="141" t="n">
        <x:f>CD447+CF447-CE447</x:f>
        <x:v>50351785.96164627</x:v>
      </x:c>
      <x:c r="CH447" s="141" t="n">
        <x:f>IF(CC447&gt;1,"Inviavel",CG447)</x:f>
        <x:v>50351785.96164627</x:v>
      </x:c>
      <x:c r="CI447" s="145" t="str">
        <x:f>IF(CC447&gt;1,"Inviavel","OK")</x:f>
        <x:v>OK</x:v>
      </x:c>
    </x:row>
    <x:row r="448">
      <x:c r="A448" s="142" t="n">
        <x:v>444</x:v>
      </x:c>
      <x:c r="B448" s="179" t="n">
        <x:f>EDATE(Premissas!$B$4,A448-1)</x:f>
        <x:v>60023</x:v>
      </x:c>
      <x:c r="C448" s="141" t="n">
        <x:f>IF(A448&lt;=Premissas!$B$39,Premissas!$B$42,0)</x:f>
        <x:v>0</x:v>
      </x:c>
      <x:c r="D448" s="141" t="n">
        <x:f>Premissas!$B$54*(1+Premissas!$B$57)^INT((A448-1)/12)</x:f>
        <x:v>5703.076399895763</x:v>
      </x:c>
      <x:c r="E448" s="141" t="n">
        <x:f>Premissas!$B$64*(1+Premissas!$B$57)^INT((A448-1)/12)</x:f>
        <x:v>5214.241279904698</x:v>
      </x:c>
      <x:c r="F448" s="141" t="n">
        <x:f>MAX(0,Premissas!$B$6*(1+Premissas!$B$66)^((A448-1)/12))</x:f>
        <x:v>1718850.8306360284</x:v>
      </x:c>
      <x:c r="G448" s="141" t="n">
        <x:f>G447*(1+Premissas!$B$41)+C448</x:f>
        <x:v>53839499.92862381</x:v>
      </x:c>
      <x:c r="H448" s="141" t="n">
        <x:f>IF($A448=Premissas!$B$48,Premissas!$B$8,0)</x:f>
        <x:v>0</x:v>
      </x:c>
      <x:c r="I448" s="141" t="n">
        <x:f>IF(AND($A448&gt;=Premissas!$B$48,$A448-Premissas!$B$48+1&lt;=Premissas!$B$13),INDEX(Financiamento!$J$6:$J$485,$A448-Premissas!$B$48+1),0)</x:f>
        <x:v>0</x:v>
      </x:c>
      <x:c r="J448" s="141" t="n">
        <x:f>IF(AND(TRUE,Premissas!$B$11="Imovel",Premissas!$B$47="Moradia",$A448&lt;MAX(Premissas!$B$48,Premissas!$B$49)),$D448,0)</x:f>
        <x:v>0</x:v>
      </x:c>
      <x:c r="K448" s="141" t="n">
        <x:f>IF(AND(TRUE,Premissas!$B$11="Imovel",Premissas!$B$47="Investimento",$A448&gt;=MAX(Premissas!$B$48,Premissas!$B$49)),$E448,0)</x:f>
        <x:v>5214.241279904698</x:v>
      </x:c>
      <x:c r="L448" s="141" t="n">
        <x:f>H448+I448+J448</x:f>
        <x:v>0</x:v>
      </x:c>
      <x:c r="M448" s="141" t="n">
        <x:f>K448</x:f>
        <x:v>5214.241279904698</x:v>
      </x:c>
      <x:c r="N448" s="141" t="n">
        <x:f>$C448+M448-L448</x:f>
        <x:v>5214.241279904698</x:v>
      </x:c>
      <x:c r="O448" s="141" t="n">
        <x:f>R447*(1+Premissas!$B$41)+N448</x:f>
        <x:v>47360297.892395794</x:v>
      </x:c>
      <x:c r="P448" s="141" t="n">
        <x:f>MAX(0,-O448)</x:f>
        <x:v>0</x:v>
      </x:c>
      <x:c r="Q448" s="141" t="n">
        <x:f>Q447*(1+Premissas!$B$41)+P448</x:f>
        <x:v>0</x:v>
      </x:c>
      <x:c r="R448" s="141" t="n">
        <x:f>MAX(0,O448)</x:f>
        <x:v>47360297.892395794</x:v>
      </x:c>
      <x:c r="S448" s="141" t="n">
        <x:f>IF(AND($A448&gt;=Premissas!$B$48,$A448-Premissas!$B$48+1&lt;=Premissas!$B$13),INDEX(Financiamento!$M$6:$M$485,$A448-Premissas!$B$48+1),0)</x:f>
        <x:v>0</x:v>
      </x:c>
      <x:c r="T448" s="141" t="n">
        <x:f>IF($A448&gt;=Premissas!$B$48,$F448,0)</x:f>
        <x:v>1718850.8306360284</x:v>
      </x:c>
      <x:c r="U448" s="141" t="n">
        <x:f>R448+T448-S448</x:f>
        <x:v>49079148.72303183</x:v>
      </x:c>
      <x:c r="V448" s="141" t="n">
        <x:f>IF(Q448&gt;1,"Inviavel",U448)</x:f>
        <x:v>49079148.72303183</x:v>
      </x:c>
      <x:c r="W448" s="141" t="str">
        <x:f>IF(Q448&gt;1,"Inviavel","OK")</x:f>
        <x:v>OK</x:v>
      </x:c>
      <x:c r="X448" s="141" t="n">
        <x:f>IF($A448=Premissas!$B$48,Premissas!$B$8,0)</x:f>
        <x:v>0</x:v>
      </x:c>
      <x:c r="Y448" s="141" t="n">
        <x:f>IF(AND($A448&gt;=Premissas!$B$48,$A448-Premissas!$B$48+1&lt;=Premissas!$B$13),INDEX(Amortizacao!$K$6:$K$485,$A448-Premissas!$B$48+1),0)</x:f>
        <x:v>0</x:v>
      </x:c>
      <x:c r="Z448" s="141" t="n">
        <x:f>IF(AND(TRUE,Premissas!$B$11="Imovel",Premissas!$B$47="Moradia",$A448&lt;MAX(Premissas!$B$48,Premissas!$B$49)),$D448,0)</x:f>
        <x:v>0</x:v>
      </x:c>
      <x:c r="AA448" s="141" t="n">
        <x:f>IF(AND(TRUE,Premissas!$B$11="Imovel",Premissas!$B$47="Investimento",$A448&gt;=MAX(Premissas!$B$48,Premissas!$B$49)),$E448,0)</x:f>
        <x:v>5214.241279904698</x:v>
      </x:c>
      <x:c r="AB448" s="141" t="n">
        <x:f>X448+Y448+Z448</x:f>
        <x:v>0</x:v>
      </x:c>
      <x:c r="AC448" s="141" t="n">
        <x:f>AA448</x:f>
        <x:v>5214.241279904698</x:v>
      </x:c>
      <x:c r="AD448" s="141" t="n">
        <x:f>$C448+AC448-AB448</x:f>
        <x:v>5214.241279904698</x:v>
      </x:c>
      <x:c r="AE448" s="141" t="n">
        <x:f>AH447*(1+Premissas!$B$41)+AD448</x:f>
        <x:v>48151815.0765377</x:v>
      </x:c>
      <x:c r="AF448" s="141" t="n">
        <x:f>MAX(0,-AE448)</x:f>
        <x:v>0</x:v>
      </x:c>
      <x:c r="AG448" s="141" t="n">
        <x:f>AG447*(1+Premissas!$B$41)+AF448</x:f>
        <x:v>0</x:v>
      </x:c>
      <x:c r="AH448" s="141" t="n">
        <x:f>MAX(0,AE448)</x:f>
        <x:v>48151815.0765377</x:v>
      </x:c>
      <x:c r="AI448" s="141" t="n">
        <x:f>IF(AND($A448&gt;=Premissas!$B$48,$A448-Premissas!$B$48+1&lt;=Premissas!$B$13),INDEX(Amortizacao!$L$6:$L$485,$A448-Premissas!$B$48+1),0)</x:f>
        <x:v>0</x:v>
      </x:c>
      <x:c r="AJ448" s="141" t="n">
        <x:f>IF($A448&gt;=Premissas!$B$48,$F448,0)</x:f>
        <x:v>1718850.8306360284</x:v>
      </x:c>
      <x:c r="AK448" s="141" t="n">
        <x:f>AH448+AJ448-AI448</x:f>
        <x:v>49870665.90717373</x:v>
      </x:c>
      <x:c r="AL448" s="141" t="n">
        <x:f>IF(AG448&gt;1,"Inviavel",AK448)</x:f>
        <x:v>49870665.90717373</x:v>
      </x:c>
      <x:c r="AM448" s="141" t="str">
        <x:f>IF(AG448&gt;1,"Inviavel","OK")</x:f>
        <x:v>OK</x:v>
      </x:c>
      <x:c r="AN448" s="141" t="n">
        <x:f>IF($A448=Premissas!$B$48,Premissas!$B$8,0)</x:f>
        <x:v>0</x:v>
      </x:c>
      <x:c r="AO448" s="141" t="n">
        <x:f>IF($A448&lt;=Premissas!$B$25,INDEX('Consorcio IQ'!$K$6:$K$485,$A448),0)</x:f>
        <x:v>0</x:v>
      </x:c>
      <x:c r="AP448" s="141" t="n">
        <x:f>IF(AND(TRUE,Premissas!$B$11="Imovel",Premissas!$B$47="Moradia",$A448&lt;MAX(Premissas!$B$48,Premissas!$B$49)),$D448,0)</x:f>
        <x:v>0</x:v>
      </x:c>
      <x:c r="AQ448" s="141" t="n">
        <x:f>IF(AND(TRUE,Premissas!$B$11="Imovel",Premissas!$B$47="Investimento",$A448&gt;=MAX(Premissas!$B$48,Premissas!$B$49)),$E448,0)</x:f>
        <x:v>5214.241279904698</x:v>
      </x:c>
      <x:c r="AR448" s="141" t="n">
        <x:f>AN448+AO448+AP448</x:f>
        <x:v>0</x:v>
      </x:c>
      <x:c r="AS448" s="141" t="n">
        <x:f>AQ448</x:f>
        <x:v>5214.241279904698</x:v>
      </x:c>
      <x:c r="AT448" s="141" t="n">
        <x:f>$C448+AS448-AR448</x:f>
        <x:v>5214.241279904698</x:v>
      </x:c>
      <x:c r="AU448" s="141" t="n">
        <x:f>AX447*(1+Premissas!$B$41)+AT448</x:f>
        <x:v>47772640.4228223</x:v>
      </x:c>
      <x:c r="AV448" s="141" t="n">
        <x:f>MAX(0,-AU448)</x:f>
        <x:v>0</x:v>
      </x:c>
      <x:c r="AW448" s="141" t="n">
        <x:f>AW447*(1+Premissas!$B$41)+AV448</x:f>
        <x:v>0</x:v>
      </x:c>
      <x:c r="AX448" s="141" t="n">
        <x:f>MAX(0,AU448)</x:f>
        <x:v>47772640.4228223</x:v>
      </x:c>
      <x:c r="AY448" s="141" t="n">
        <x:f>INDEX('Consorcio IQ'!$P$6:$P$485,$A448)</x:f>
        <x:v>0</x:v>
      </x:c>
      <x:c r="AZ448" s="141" t="n">
        <x:f>IF($A448&gt;=Premissas!$B$48,$F448,0)+IF($A448&lt;Premissas!$B$27,INDEX('Consorcio IQ'!$O$6:$O$485,$A448),0)</x:f>
        <x:v>1718850.8306360284</x:v>
      </x:c>
      <x:c r="BA448" s="141" t="n">
        <x:f>AX448+AZ448-AY448</x:f>
        <x:v>49491491.25345833</x:v>
      </x:c>
      <x:c r="BB448" s="141" t="n">
        <x:f>IF(AW448&gt;1,"Inviavel",BA448)</x:f>
        <x:v>49491491.25345833</x:v>
      </x:c>
      <x:c r="BC448" s="141" t="str">
        <x:f>IF(AW448&gt;1,"Inviavel","OK")</x:f>
        <x:v>OK</x:v>
      </x:c>
      <x:c r="BD448" s="141" t="n">
        <x:f>IF($A448='Consorcio Direto'!$B$29,'Consorcio Direto'!$B$44,0)</x:f>
        <x:v>0</x:v>
      </x:c>
      <x:c r="BE448" s="141" t="n">
        <x:f>IF($A448&lt;='Consorcio Direto'!$B$27,INDEX('Consorcio Direto'!$E$55:$E$534,$A448),0)</x:f>
        <x:v>0</x:v>
      </x:c>
      <x:c r="BF448" s="141" t="n">
        <x:f>IF(AND(TRUE,Premissas!$B$11="Imovel",Premissas!$B$47="Moradia",$A448&lt;MAX('Consorcio Direto'!$B$29,Premissas!$B$49)),$D448,0)</x:f>
        <x:v>0</x:v>
      </x:c>
      <x:c r="BG448" s="141" t="n">
        <x:f>IF(AND(TRUE,Premissas!$B$11="Imovel",Premissas!$B$47="Investimento",$A448&gt;=MAX('Consorcio Direto'!$B$29,Premissas!$B$49)),$E448,0)</x:f>
        <x:v>5214.241279904698</x:v>
      </x:c>
      <x:c r="BH448" s="141" t="n">
        <x:f>BD448+BE448+BF448</x:f>
        <x:v>0</x:v>
      </x:c>
      <x:c r="BI448" s="141" t="n">
        <x:f>BG448</x:f>
        <x:v>5214.241279904698</x:v>
      </x:c>
      <x:c r="BJ448" s="141" t="n">
        <x:f>$C448+BI448-BH448</x:f>
        <x:v>5214.241279904698</x:v>
      </x:c>
      <x:c r="BK448" s="141" t="n">
        <x:f>BN447*(1+Premissas!$B$41)+BJ448</x:f>
        <x:v>45723432.955000125</x:v>
      </x:c>
      <x:c r="BL448" s="141" t="n">
        <x:f>MAX(0,-BK448)</x:f>
        <x:v>0</x:v>
      </x:c>
      <x:c r="BM448" s="141" t="n">
        <x:f>BM447*(1+Premissas!$B$41)+BL448</x:f>
        <x:v>0</x:v>
      </x:c>
      <x:c r="BN448" s="141" t="n">
        <x:f>MAX(0,BK448)</x:f>
        <x:v>45723432.955000125</x:v>
      </x:c>
      <x:c r="BO448" s="141" t="n">
        <x:f>INDEX('Consorcio Direto'!$K$55:$K$534,$A448)</x:f>
        <x:v>0</x:v>
      </x:c>
      <x:c r="BP448" s="141" t="n">
        <x:f>IF($A448&lt;'Consorcio Direto'!$B$29,INDEX('Consorcio Direto'!$L$55:$L$534,$A448),$F448)</x:f>
        <x:v>1718850.8306360284</x:v>
      </x:c>
      <x:c r="BQ448" s="141" t="n">
        <x:f>BN448+BP448-BO448</x:f>
        <x:v>47442283.78563616</x:v>
      </x:c>
      <x:c r="BR448" s="141" t="n">
        <x:f>IF(BM448&gt;1,"Inviavel",BQ448)</x:f>
        <x:v>47442283.78563616</x:v>
      </x:c>
      <x:c r="BS448" s="141" t="str">
        <x:f>IF(BM448&gt;1,"Inviavel","OK")</x:f>
        <x:v>OK</x:v>
      </x:c>
      <x:c r="BT448" s="141" t="n">
        <x:f>IF(AND('Carta Contemplada'!$B$22="Sim",$A448='Carta Contemplada'!$B$23),'Carta Contemplada'!$B$37,0)</x:f>
        <x:v>0</x:v>
      </x:c>
      <x:c r="BU448" s="141" t="n">
        <x:f>IF('Carta Contemplada'!$B$22="Sim",INDEX('Carta Contemplada'!$C$55:$C$1013,$A448),0)</x:f>
        <x:v>0</x:v>
      </x:c>
      <x:c r="BV448" s="141" t="n">
        <x:f>IF(AND('Carta Contemplada'!$B$22="Sim",Premissas!$B$11="Imovel",Premissas!$B$47="Moradia",$A448&lt;MAX('Carta Contemplada'!$B$44,Premissas!$B$49)),$D448,0)</x:f>
        <x:v>0</x:v>
      </x:c>
      <x:c r="BW448" s="141" t="n">
        <x:f>IF(AND('Carta Contemplada'!$B$22="Sim",Premissas!$B$11="Imovel",Premissas!$B$47="Investimento",$A448&gt;=MAX('Carta Contemplada'!$B$44,Premissas!$B$49)),$E448,0)</x:f>
        <x:v>5214.241279904698</x:v>
      </x:c>
      <x:c r="BX448" s="141" t="n">
        <x:f>BT448+BU448+BV448</x:f>
        <x:v>0</x:v>
      </x:c>
      <x:c r="BY448" s="141" t="n">
        <x:f>BW448</x:f>
        <x:v>5214.241279904698</x:v>
      </x:c>
      <x:c r="BZ448" s="141" t="n">
        <x:f>$C448+BY448-BX448</x:f>
        <x:v>5214.241279904698</x:v>
      </x:c>
      <x:c r="CA448" s="141" t="n">
        <x:f>CD447*(1+Premissas!$B$41)+BZ448</x:f>
        <x:v>49108022.293649696</x:v>
      </x:c>
      <x:c r="CB448" s="141" t="n">
        <x:f>MAX(0,-CA448)</x:f>
        <x:v>0</x:v>
      </x:c>
      <x:c r="CC448" s="141" t="n">
        <x:f>CC447*(1+Premissas!$B$41)+CB448</x:f>
        <x:v>0</x:v>
      </x:c>
      <x:c r="CD448" s="141" t="n">
        <x:f>MAX(0,CA448)</x:f>
        <x:v>49108022.293649696</x:v>
      </x:c>
      <x:c r="CE448" s="141" t="n">
        <x:f>IF(AND('Carta Contemplada'!$B$22="Sim",$A448&gt;='Carta Contemplada'!$B$23),INDEX('Carta Contemplada'!$I$55:$I$1013,$A448),0)</x:f>
        <x:v>0</x:v>
      </x:c>
      <x:c r="CF448" s="141" t="n">
        <x:f>IF(AND('Carta Contemplada'!$B$22="Sim",$A448&gt;='Carta Contemplada'!$B$44),$F448,0)</x:f>
        <x:v>1718850.8306360284</x:v>
      </x:c>
      <x:c r="CG448" s="141" t="n">
        <x:f>CD448+CF448-CE448</x:f>
        <x:v>50826873.12428573</x:v>
      </x:c>
      <x:c r="CH448" s="141" t="n">
        <x:f>IF(CC448&gt;1,"Inviavel",CG448)</x:f>
        <x:v>50826873.12428573</x:v>
      </x:c>
      <x:c r="CI448" s="145" t="str">
        <x:f>IF(CC448&gt;1,"Inviavel","OK")</x:f>
        <x:v>OK</x:v>
      </x:c>
    </x:row>
    <x:row r="449">
      <x:c r="A449" s="142" t="n">
        <x:v>445</x:v>
      </x:c>
      <x:c r="B449" s="179" t="n">
        <x:f>EDATE(Premissas!$B$4,A449-1)</x:f>
        <x:v>60054</x:v>
      </x:c>
      <x:c r="C449" s="141" t="n">
        <x:f>IF(A449&lt;=Premissas!$B$39,Premissas!$B$42,0)</x:f>
        <x:v>0</x:v>
      </x:c>
      <x:c r="D449" s="141" t="n">
        <x:f>Premissas!$B$54*(1+Premissas!$B$57)^INT((A449-1)/12)</x:f>
        <x:v>6045.260983889509</x:v>
      </x:c>
      <x:c r="E449" s="141" t="n">
        <x:f>Premissas!$B$64*(1+Premissas!$B$57)^INT((A449-1)/12)</x:f>
        <x:v>5527.09575669898</x:v>
      </x:c>
      <x:c r="F449" s="141" t="n">
        <x:f>MAX(0,Premissas!$B$6*(1+Premissas!$B$66)^((A449-1)/12))</x:f>
        <x:v>1727217.423968431</x:v>
      </x:c>
      <x:c r="G449" s="141" t="n">
        <x:f>G448*(1+Premissas!$B$41)+C449</x:f>
        <x:v>54350371.79514802</x:v>
      </x:c>
      <x:c r="H449" s="141" t="n">
        <x:f>IF($A449=Premissas!$B$48,Premissas!$B$8,0)</x:f>
        <x:v>0</x:v>
      </x:c>
      <x:c r="I449" s="141" t="n">
        <x:f>IF(AND($A449&gt;=Premissas!$B$48,$A449-Premissas!$B$48+1&lt;=Premissas!$B$13),INDEX(Financiamento!$J$6:$J$485,$A449-Premissas!$B$48+1),0)</x:f>
        <x:v>0</x:v>
      </x:c>
      <x:c r="J449" s="141" t="n">
        <x:f>IF(AND(TRUE,Premissas!$B$11="Imovel",Premissas!$B$47="Moradia",$A449&lt;MAX(Premissas!$B$48,Premissas!$B$49)),$D449,0)</x:f>
        <x:v>0</x:v>
      </x:c>
      <x:c r="K449" s="141" t="n">
        <x:f>IF(AND(TRUE,Premissas!$B$11="Imovel",Premissas!$B$47="Investimento",$A449&gt;=MAX(Premissas!$B$48,Premissas!$B$49)),$E449,0)</x:f>
        <x:v>5527.09575669898</x:v>
      </x:c>
      <x:c r="L449" s="141" t="n">
        <x:f>H449+I449+J449</x:f>
        <x:v>0</x:v>
      </x:c>
      <x:c r="M449" s="141" t="n">
        <x:f>K449</x:f>
        <x:v>5527.09575669898</x:v>
      </x:c>
      <x:c r="N449" s="141" t="n">
        <x:f>$C449+M449-L449</x:f>
        <x:v>5527.09575669898</x:v>
      </x:c>
      <x:c r="O449" s="141" t="n">
        <x:f>R448*(1+Premissas!$B$41)+N449</x:f>
        <x:v>47815217.04817361</x:v>
      </x:c>
      <x:c r="P449" s="141" t="n">
        <x:f>MAX(0,-O449)</x:f>
        <x:v>0</x:v>
      </x:c>
      <x:c r="Q449" s="141" t="n">
        <x:f>Q448*(1+Premissas!$B$41)+P449</x:f>
        <x:v>0</x:v>
      </x:c>
      <x:c r="R449" s="141" t="n">
        <x:f>MAX(0,O449)</x:f>
        <x:v>47815217.04817361</x:v>
      </x:c>
      <x:c r="S449" s="141" t="n">
        <x:f>IF(AND($A449&gt;=Premissas!$B$48,$A449-Premissas!$B$48+1&lt;=Premissas!$B$13),INDEX(Financiamento!$M$6:$M$485,$A449-Premissas!$B$48+1),0)</x:f>
        <x:v>0</x:v>
      </x:c>
      <x:c r="T449" s="141" t="n">
        <x:f>IF($A449&gt;=Premissas!$B$48,$F449,0)</x:f>
        <x:v>1727217.423968431</x:v>
      </x:c>
      <x:c r="U449" s="141" t="n">
        <x:f>R449+T449-S449</x:f>
        <x:v>49542434.47214204</x:v>
      </x:c>
      <x:c r="V449" s="141" t="n">
        <x:f>IF(Q449&gt;1,"Inviavel",U449)</x:f>
        <x:v>49542434.47214204</x:v>
      </x:c>
      <x:c r="W449" s="141" t="str">
        <x:f>IF(Q449&gt;1,"Inviavel","OK")</x:f>
        <x:v>OK</x:v>
      </x:c>
      <x:c r="X449" s="141" t="n">
        <x:f>IF($A449=Premissas!$B$48,Premissas!$B$8,0)</x:f>
        <x:v>0</x:v>
      </x:c>
      <x:c r="Y449" s="141" t="n">
        <x:f>IF(AND($A449&gt;=Premissas!$B$48,$A449-Premissas!$B$48+1&lt;=Premissas!$B$13),INDEX(Amortizacao!$K$6:$K$485,$A449-Premissas!$B$48+1),0)</x:f>
        <x:v>0</x:v>
      </x:c>
      <x:c r="Z449" s="141" t="n">
        <x:f>IF(AND(TRUE,Premissas!$B$11="Imovel",Premissas!$B$47="Moradia",$A449&lt;MAX(Premissas!$B$48,Premissas!$B$49)),$D449,0)</x:f>
        <x:v>0</x:v>
      </x:c>
      <x:c r="AA449" s="141" t="n">
        <x:f>IF(AND(TRUE,Premissas!$B$11="Imovel",Premissas!$B$47="Investimento",$A449&gt;=MAX(Premissas!$B$48,Premissas!$B$49)),$E449,0)</x:f>
        <x:v>5527.09575669898</x:v>
      </x:c>
      <x:c r="AB449" s="141" t="n">
        <x:f>X449+Y449+Z449</x:f>
        <x:v>0</x:v>
      </x:c>
      <x:c r="AC449" s="141" t="n">
        <x:f>AA449</x:f>
        <x:v>5527.09575669898</x:v>
      </x:c>
      <x:c r="AD449" s="141" t="n">
        <x:f>$C449+AC449-AB449</x:f>
        <x:v>5527.09575669898</x:v>
      </x:c>
      <x:c r="AE449" s="141" t="n">
        <x:f>AH448*(1+Premissas!$B$41)+AD449</x:f>
        <x:v>48614244.77498</x:v>
      </x:c>
      <x:c r="AF449" s="141" t="n">
        <x:f>MAX(0,-AE449)</x:f>
        <x:v>0</x:v>
      </x:c>
      <x:c r="AG449" s="141" t="n">
        <x:f>AG448*(1+Premissas!$B$41)+AF449</x:f>
        <x:v>0</x:v>
      </x:c>
      <x:c r="AH449" s="141" t="n">
        <x:f>MAX(0,AE449)</x:f>
        <x:v>48614244.77498</x:v>
      </x:c>
      <x:c r="AI449" s="141" t="n">
        <x:f>IF(AND($A449&gt;=Premissas!$B$48,$A449-Premissas!$B$48+1&lt;=Premissas!$B$13),INDEX(Amortizacao!$L$6:$L$485,$A449-Premissas!$B$48+1),0)</x:f>
        <x:v>0</x:v>
      </x:c>
      <x:c r="AJ449" s="141" t="n">
        <x:f>IF($A449&gt;=Premissas!$B$48,$F449,0)</x:f>
        <x:v>1727217.423968431</x:v>
      </x:c>
      <x:c r="AK449" s="141" t="n">
        <x:f>AH449+AJ449-AI449</x:f>
        <x:v>50341462.198948435</x:v>
      </x:c>
      <x:c r="AL449" s="141" t="n">
        <x:f>IF(AG449&gt;1,"Inviavel",AK449)</x:f>
        <x:v>50341462.198948435</x:v>
      </x:c>
      <x:c r="AM449" s="141" t="str">
        <x:f>IF(AG449&gt;1,"Inviavel","OK")</x:f>
        <x:v>OK</x:v>
      </x:c>
      <x:c r="AN449" s="141" t="n">
        <x:f>IF($A449=Premissas!$B$48,Premissas!$B$8,0)</x:f>
        <x:v>0</x:v>
      </x:c>
      <x:c r="AO449" s="141" t="n">
        <x:f>IF($A449&lt;=Premissas!$B$25,INDEX('Consorcio IQ'!$K$6:$K$485,$A449),0)</x:f>
        <x:v>0</x:v>
      </x:c>
      <x:c r="AP449" s="141" t="n">
        <x:f>IF(AND(TRUE,Premissas!$B$11="Imovel",Premissas!$B$47="Moradia",$A449&lt;MAX(Premissas!$B$48,Premissas!$B$49)),$D449,0)</x:f>
        <x:v>0</x:v>
      </x:c>
      <x:c r="AQ449" s="141" t="n">
        <x:f>IF(AND(TRUE,Premissas!$B$11="Imovel",Premissas!$B$47="Investimento",$A449&gt;=MAX(Premissas!$B$48,Premissas!$B$49)),$E449,0)</x:f>
        <x:v>5527.09575669898</x:v>
      </x:c>
      <x:c r="AR449" s="141" t="n">
        <x:f>AN449+AO449+AP449</x:f>
        <x:v>0</x:v>
      </x:c>
      <x:c r="AS449" s="141" t="n">
        <x:f>AQ449</x:f>
        <x:v>5527.09575669898</x:v>
      </x:c>
      <x:c r="AT449" s="141" t="n">
        <x:f>$C449+AS449-AR449</x:f>
        <x:v>5527.09575669898</x:v>
      </x:c>
      <x:c r="AU449" s="141" t="n">
        <x:f>AX448*(1+Premissas!$B$41)+AT449</x:f>
        <x:v>48231472.211489454</x:v>
      </x:c>
      <x:c r="AV449" s="141" t="n">
        <x:f>MAX(0,-AU449)</x:f>
        <x:v>0</x:v>
      </x:c>
      <x:c r="AW449" s="141" t="n">
        <x:f>AW448*(1+Premissas!$B$41)+AV449</x:f>
        <x:v>0</x:v>
      </x:c>
      <x:c r="AX449" s="141" t="n">
        <x:f>MAX(0,AU449)</x:f>
        <x:v>48231472.211489454</x:v>
      </x:c>
      <x:c r="AY449" s="141" t="n">
        <x:f>INDEX('Consorcio IQ'!$P$6:$P$485,$A449)</x:f>
        <x:v>0</x:v>
      </x:c>
      <x:c r="AZ449" s="141" t="n">
        <x:f>IF($A449&gt;=Premissas!$B$48,$F449,0)+IF($A449&lt;Premissas!$B$27,INDEX('Consorcio IQ'!$O$6:$O$485,$A449),0)</x:f>
        <x:v>1727217.423968431</x:v>
      </x:c>
      <x:c r="BA449" s="141" t="n">
        <x:f>AX449+AZ449-AY449</x:f>
        <x:v>49958689.63545789</x:v>
      </x:c>
      <x:c r="BB449" s="141" t="n">
        <x:f>IF(AW449&gt;1,"Inviavel",BA449)</x:f>
        <x:v>49958689.63545789</x:v>
      </x:c>
      <x:c r="BC449" s="141" t="str">
        <x:f>IF(AW449&gt;1,"Inviavel","OK")</x:f>
        <x:v>OK</x:v>
      </x:c>
      <x:c r="BD449" s="141" t="n">
        <x:f>IF($A449='Consorcio Direto'!$B$29,'Consorcio Direto'!$B$44,0)</x:f>
        <x:v>0</x:v>
      </x:c>
      <x:c r="BE449" s="141" t="n">
        <x:f>IF($A449&lt;='Consorcio Direto'!$B$27,INDEX('Consorcio Direto'!$E$55:$E$534,$A449),0)</x:f>
        <x:v>0</x:v>
      </x:c>
      <x:c r="BF449" s="141" t="n">
        <x:f>IF(AND(TRUE,Premissas!$B$11="Imovel",Premissas!$B$47="Moradia",$A449&lt;MAX('Consorcio Direto'!$B$29,Premissas!$B$49)),$D449,0)</x:f>
        <x:v>0</x:v>
      </x:c>
      <x:c r="BG449" s="141" t="n">
        <x:f>IF(AND(TRUE,Premissas!$B$11="Imovel",Premissas!$B$47="Investimento",$A449&gt;=MAX('Consorcio Direto'!$B$29,Premissas!$B$49)),$E449,0)</x:f>
        <x:v>5527.09575669898</x:v>
      </x:c>
      <x:c r="BH449" s="141" t="n">
        <x:f>BD449+BE449+BF449</x:f>
        <x:v>0</x:v>
      </x:c>
      <x:c r="BI449" s="141" t="n">
        <x:f>BG449</x:f>
        <x:v>5527.09575669898</x:v>
      </x:c>
      <x:c r="BJ449" s="141" t="n">
        <x:f>$C449+BI449-BH449</x:f>
        <x:v>5527.09575669898</x:v>
      </x:c>
      <x:c r="BK449" s="141" t="n">
        <x:f>BN448*(1+Premissas!$B$41)+BJ449</x:f>
        <x:v>46162820.23832511</x:v>
      </x:c>
      <x:c r="BL449" s="141" t="n">
        <x:f>MAX(0,-BK449)</x:f>
        <x:v>0</x:v>
      </x:c>
      <x:c r="BM449" s="141" t="n">
        <x:f>BM448*(1+Premissas!$B$41)+BL449</x:f>
        <x:v>0</x:v>
      </x:c>
      <x:c r="BN449" s="141" t="n">
        <x:f>MAX(0,BK449)</x:f>
        <x:v>46162820.23832511</x:v>
      </x:c>
      <x:c r="BO449" s="141" t="n">
        <x:f>INDEX('Consorcio Direto'!$K$55:$K$534,$A449)</x:f>
        <x:v>0</x:v>
      </x:c>
      <x:c r="BP449" s="141" t="n">
        <x:f>IF($A449&lt;'Consorcio Direto'!$B$29,INDEX('Consorcio Direto'!$L$55:$L$534,$A449),$F449)</x:f>
        <x:v>1727217.423968431</x:v>
      </x:c>
      <x:c r="BQ449" s="141" t="n">
        <x:f>BN449+BP449-BO449</x:f>
        <x:v>47890037.662293546</x:v>
      </x:c>
      <x:c r="BR449" s="141" t="n">
        <x:f>IF(BM449&gt;1,"Inviavel",BQ449)</x:f>
        <x:v>47890037.662293546</x:v>
      </x:c>
      <x:c r="BS449" s="141" t="str">
        <x:f>IF(BM449&gt;1,"Inviavel","OK")</x:f>
        <x:v>OK</x:v>
      </x:c>
      <x:c r="BT449" s="141" t="n">
        <x:f>IF(AND('Carta Contemplada'!$B$22="Sim",$A449='Carta Contemplada'!$B$23),'Carta Contemplada'!$B$37,0)</x:f>
        <x:v>0</x:v>
      </x:c>
      <x:c r="BU449" s="141" t="n">
        <x:f>IF('Carta Contemplada'!$B$22="Sim",INDEX('Carta Contemplada'!$C$55:$C$1013,$A449),0)</x:f>
        <x:v>0</x:v>
      </x:c>
      <x:c r="BV449" s="141" t="n">
        <x:f>IF(AND('Carta Contemplada'!$B$22="Sim",Premissas!$B$11="Imovel",Premissas!$B$47="Moradia",$A449&lt;MAX('Carta Contemplada'!$B$44,Premissas!$B$49)),$D449,0)</x:f>
        <x:v>0</x:v>
      </x:c>
      <x:c r="BW449" s="141" t="n">
        <x:f>IF(AND('Carta Contemplada'!$B$22="Sim",Premissas!$B$11="Imovel",Premissas!$B$47="Investimento",$A449&gt;=MAX('Carta Contemplada'!$B$44,Premissas!$B$49)),$E449,0)</x:f>
        <x:v>5527.09575669898</x:v>
      </x:c>
      <x:c r="BX449" s="141" t="n">
        <x:f>BT449+BU449+BV449</x:f>
        <x:v>0</x:v>
      </x:c>
      <x:c r="BY449" s="141" t="n">
        <x:f>BW449</x:f>
        <x:v>5527.09575669898</x:v>
      </x:c>
      <x:c r="BZ449" s="141" t="n">
        <x:f>$C449+BY449-BX449</x:f>
        <x:v>5527.09575669898</x:v>
      </x:c>
      <x:c r="CA449" s="141" t="n">
        <x:f>CD448*(1+Premissas!$B$41)+BZ449</x:f>
        <x:v>49579525.244377725</x:v>
      </x:c>
      <x:c r="CB449" s="141" t="n">
        <x:f>MAX(0,-CA449)</x:f>
        <x:v>0</x:v>
      </x:c>
      <x:c r="CC449" s="141" t="n">
        <x:f>CC448*(1+Premissas!$B$41)+CB449</x:f>
        <x:v>0</x:v>
      </x:c>
      <x:c r="CD449" s="141" t="n">
        <x:f>MAX(0,CA449)</x:f>
        <x:v>49579525.244377725</x:v>
      </x:c>
      <x:c r="CE449" s="141" t="n">
        <x:f>IF(AND('Carta Contemplada'!$B$22="Sim",$A449&gt;='Carta Contemplada'!$B$23),INDEX('Carta Contemplada'!$I$55:$I$1013,$A449),0)</x:f>
        <x:v>0</x:v>
      </x:c>
      <x:c r="CF449" s="141" t="n">
        <x:f>IF(AND('Carta Contemplada'!$B$22="Sim",$A449&gt;='Carta Contemplada'!$B$44),$F449,0)</x:f>
        <x:v>1727217.423968431</x:v>
      </x:c>
      <x:c r="CG449" s="141" t="n">
        <x:f>CD449+CF449-CE449</x:f>
        <x:v>51306742.66834616</x:v>
      </x:c>
      <x:c r="CH449" s="141" t="n">
        <x:f>IF(CC449&gt;1,"Inviavel",CG449)</x:f>
        <x:v>51306742.66834616</x:v>
      </x:c>
      <x:c r="CI449" s="145" t="str">
        <x:f>IF(CC449&gt;1,"Inviavel","OK")</x:f>
        <x:v>OK</x:v>
      </x:c>
    </x:row>
    <x:row r="450">
      <x:c r="A450" s="142" t="n">
        <x:v>446</x:v>
      </x:c>
      <x:c r="B450" s="179" t="n">
        <x:f>EDATE(Premissas!$B$4,A450-1)</x:f>
        <x:v>60084</x:v>
      </x:c>
      <x:c r="C450" s="141" t="n">
        <x:f>IF(A450&lt;=Premissas!$B$39,Premissas!$B$42,0)</x:f>
        <x:v>0</x:v>
      </x:c>
      <x:c r="D450" s="141" t="n">
        <x:f>Premissas!$B$54*(1+Premissas!$B$57)^INT((A450-1)/12)</x:f>
        <x:v>6045.260983889509</x:v>
      </x:c>
      <x:c r="E450" s="141" t="n">
        <x:f>Premissas!$B$64*(1+Premissas!$B$57)^INT((A450-1)/12)</x:f>
        <x:v>5527.09575669898</x:v>
      </x:c>
      <x:c r="F450" s="141" t="n">
        <x:f>MAX(0,Premissas!$B$6*(1+Premissas!$B$66)^((A450-1)/12))</x:f>
        <x:v>1735624.7421169393</x:v>
      </x:c>
      <x:c r="G450" s="141" t="n">
        <x:f>G449*(1+Premissas!$B$41)+C450</x:f>
        <x:v>54866091.219029784</x:v>
      </x:c>
      <x:c r="H450" s="141" t="n">
        <x:f>IF($A450=Premissas!$B$48,Premissas!$B$8,0)</x:f>
        <x:v>0</x:v>
      </x:c>
      <x:c r="I450" s="141" t="n">
        <x:f>IF(AND($A450&gt;=Premissas!$B$48,$A450-Premissas!$B$48+1&lt;=Premissas!$B$13),INDEX(Financiamento!$J$6:$J$485,$A450-Premissas!$B$48+1),0)</x:f>
        <x:v>0</x:v>
      </x:c>
      <x:c r="J450" s="141" t="n">
        <x:f>IF(AND(TRUE,Premissas!$B$11="Imovel",Premissas!$B$47="Moradia",$A450&lt;MAX(Premissas!$B$48,Premissas!$B$49)),$D450,0)</x:f>
        <x:v>0</x:v>
      </x:c>
      <x:c r="K450" s="141" t="n">
        <x:f>IF(AND(TRUE,Premissas!$B$11="Imovel",Premissas!$B$47="Investimento",$A450&gt;=MAX(Premissas!$B$48,Premissas!$B$49)),$E450,0)</x:f>
        <x:v>5527.09575669898</x:v>
      </x:c>
      <x:c r="L450" s="141" t="n">
        <x:f>H450+I450+J450</x:f>
        <x:v>0</x:v>
      </x:c>
      <x:c r="M450" s="141" t="n">
        <x:f>K450</x:f>
        <x:v>5527.09575669898</x:v>
      </x:c>
      <x:c r="N450" s="141" t="n">
        <x:f>$C450+M450-L450</x:f>
        <x:v>5527.09575669898</x:v>
      </x:c>
      <x:c r="O450" s="141" t="n">
        <x:f>R449*(1+Premissas!$B$41)+N450</x:f>
        <x:v>48274452.837622575</x:v>
      </x:c>
      <x:c r="P450" s="141" t="n">
        <x:f>MAX(0,-O450)</x:f>
        <x:v>0</x:v>
      </x:c>
      <x:c r="Q450" s="141" t="n">
        <x:f>Q449*(1+Premissas!$B$41)+P450</x:f>
        <x:v>0</x:v>
      </x:c>
      <x:c r="R450" s="141" t="n">
        <x:f>MAX(0,O450)</x:f>
        <x:v>48274452.837622575</x:v>
      </x:c>
      <x:c r="S450" s="141" t="n">
        <x:f>IF(AND($A450&gt;=Premissas!$B$48,$A450-Premissas!$B$48+1&lt;=Premissas!$B$13),INDEX(Financiamento!$M$6:$M$485,$A450-Premissas!$B$48+1),0)</x:f>
        <x:v>0</x:v>
      </x:c>
      <x:c r="T450" s="141" t="n">
        <x:f>IF($A450&gt;=Premissas!$B$48,$F450,0)</x:f>
        <x:v>1735624.7421169393</x:v>
      </x:c>
      <x:c r="U450" s="141" t="n">
        <x:f>R450+T450-S450</x:f>
        <x:v>50010077.57973951</x:v>
      </x:c>
      <x:c r="V450" s="141" t="n">
        <x:f>IF(Q450&gt;1,"Inviavel",U450)</x:f>
        <x:v>50010077.57973951</x:v>
      </x:c>
      <x:c r="W450" s="141" t="str">
        <x:f>IF(Q450&gt;1,"Inviavel","OK")</x:f>
        <x:v>OK</x:v>
      </x:c>
      <x:c r="X450" s="141" t="n">
        <x:f>IF($A450=Premissas!$B$48,Premissas!$B$8,0)</x:f>
        <x:v>0</x:v>
      </x:c>
      <x:c r="Y450" s="141" t="n">
        <x:f>IF(AND($A450&gt;=Premissas!$B$48,$A450-Premissas!$B$48+1&lt;=Premissas!$B$13),INDEX(Amortizacao!$K$6:$K$485,$A450-Premissas!$B$48+1),0)</x:f>
        <x:v>0</x:v>
      </x:c>
      <x:c r="Z450" s="141" t="n">
        <x:f>IF(AND(TRUE,Premissas!$B$11="Imovel",Premissas!$B$47="Moradia",$A450&lt;MAX(Premissas!$B$48,Premissas!$B$49)),$D450,0)</x:f>
        <x:v>0</x:v>
      </x:c>
      <x:c r="AA450" s="141" t="n">
        <x:f>IF(AND(TRUE,Premissas!$B$11="Imovel",Premissas!$B$47="Investimento",$A450&gt;=MAX(Premissas!$B$48,Premissas!$B$49)),$E450,0)</x:f>
        <x:v>5527.09575669898</x:v>
      </x:c>
      <x:c r="AB450" s="141" t="n">
        <x:f>X450+Y450+Z450</x:f>
        <x:v>0</x:v>
      </x:c>
      <x:c r="AC450" s="141" t="n">
        <x:f>AA450</x:f>
        <x:v>5527.09575669898</x:v>
      </x:c>
      <x:c r="AD450" s="141" t="n">
        <x:f>$C450+AC450-AB450</x:f>
        <x:v>5527.09575669898</x:v>
      </x:c>
      <x:c r="AE450" s="141" t="n">
        <x:f>AH449*(1+Premissas!$B$41)+AD450</x:f>
        <x:v>49081062.37307762</x:v>
      </x:c>
      <x:c r="AF450" s="141" t="n">
        <x:f>MAX(0,-AE450)</x:f>
        <x:v>0</x:v>
      </x:c>
      <x:c r="AG450" s="141" t="n">
        <x:f>AG449*(1+Premissas!$B$41)+AF450</x:f>
        <x:v>0</x:v>
      </x:c>
      <x:c r="AH450" s="141" t="n">
        <x:f>MAX(0,AE450)</x:f>
        <x:v>49081062.37307762</x:v>
      </x:c>
      <x:c r="AI450" s="141" t="n">
        <x:f>IF(AND($A450&gt;=Premissas!$B$48,$A450-Premissas!$B$48+1&lt;=Premissas!$B$13),INDEX(Amortizacao!$L$6:$L$485,$A450-Premissas!$B$48+1),0)</x:f>
        <x:v>0</x:v>
      </x:c>
      <x:c r="AJ450" s="141" t="n">
        <x:f>IF($A450&gt;=Premissas!$B$48,$F450,0)</x:f>
        <x:v>1735624.7421169393</x:v>
      </x:c>
      <x:c r="AK450" s="141" t="n">
        <x:f>AH450+AJ450-AI450</x:f>
        <x:v>50816687.11519456</x:v>
      </x:c>
      <x:c r="AL450" s="141" t="n">
        <x:f>IF(AG450&gt;1,"Inviavel",AK450)</x:f>
        <x:v>50816687.11519456</x:v>
      </x:c>
      <x:c r="AM450" s="141" t="str">
        <x:f>IF(AG450&gt;1,"Inviavel","OK")</x:f>
        <x:v>OK</x:v>
      </x:c>
      <x:c r="AN450" s="141" t="n">
        <x:f>IF($A450=Premissas!$B$48,Premissas!$B$8,0)</x:f>
        <x:v>0</x:v>
      </x:c>
      <x:c r="AO450" s="141" t="n">
        <x:f>IF($A450&lt;=Premissas!$B$25,INDEX('Consorcio IQ'!$K$6:$K$485,$A450),0)</x:f>
        <x:v>0</x:v>
      </x:c>
      <x:c r="AP450" s="141" t="n">
        <x:f>IF(AND(TRUE,Premissas!$B$11="Imovel",Premissas!$B$47="Moradia",$A450&lt;MAX(Premissas!$B$48,Premissas!$B$49)),$D450,0)</x:f>
        <x:v>0</x:v>
      </x:c>
      <x:c r="AQ450" s="141" t="n">
        <x:f>IF(AND(TRUE,Premissas!$B$11="Imovel",Premissas!$B$47="Investimento",$A450&gt;=MAX(Premissas!$B$48,Premissas!$B$49)),$E450,0)</x:f>
        <x:v>5527.09575669898</x:v>
      </x:c>
      <x:c r="AR450" s="141" t="n">
        <x:f>AN450+AO450+AP450</x:f>
        <x:v>0</x:v>
      </x:c>
      <x:c r="AS450" s="141" t="n">
        <x:f>AQ450</x:f>
        <x:v>5527.09575669898</x:v>
      </x:c>
      <x:c r="AT450" s="141" t="n">
        <x:f>$C450+AS450-AR450</x:f>
        <x:v>5527.09575669898</x:v>
      </x:c>
      <x:c r="AU450" s="141" t="n">
        <x:f>AX449*(1+Premissas!$B$41)+AT450</x:f>
        <x:v>48694657.75999107</x:v>
      </x:c>
      <x:c r="AV450" s="141" t="n">
        <x:f>MAX(0,-AU450)</x:f>
        <x:v>0</x:v>
      </x:c>
      <x:c r="AW450" s="141" t="n">
        <x:f>AW449*(1+Premissas!$B$41)+AV450</x:f>
        <x:v>0</x:v>
      </x:c>
      <x:c r="AX450" s="141" t="n">
        <x:f>MAX(0,AU450)</x:f>
        <x:v>48694657.75999107</x:v>
      </x:c>
      <x:c r="AY450" s="141" t="n">
        <x:f>INDEX('Consorcio IQ'!$P$6:$P$485,$A450)</x:f>
        <x:v>0</x:v>
      </x:c>
      <x:c r="AZ450" s="141" t="n">
        <x:f>IF($A450&gt;=Premissas!$B$48,$F450,0)+IF($A450&lt;Premissas!$B$27,INDEX('Consorcio IQ'!$O$6:$O$485,$A450),0)</x:f>
        <x:v>1735624.7421169393</x:v>
      </x:c>
      <x:c r="BA450" s="141" t="n">
        <x:f>AX450+AZ450-AY450</x:f>
        <x:v>50430282.50210801</x:v>
      </x:c>
      <x:c r="BB450" s="141" t="n">
        <x:f>IF(AW450&gt;1,"Inviavel",BA450)</x:f>
        <x:v>50430282.50210801</x:v>
      </x:c>
      <x:c r="BC450" s="141" t="str">
        <x:f>IF(AW450&gt;1,"Inviavel","OK")</x:f>
        <x:v>OK</x:v>
      </x:c>
      <x:c r="BD450" s="141" t="n">
        <x:f>IF($A450='Consorcio Direto'!$B$29,'Consorcio Direto'!$B$44,0)</x:f>
        <x:v>0</x:v>
      </x:c>
      <x:c r="BE450" s="141" t="n">
        <x:f>IF($A450&lt;='Consorcio Direto'!$B$27,INDEX('Consorcio Direto'!$E$55:$E$534,$A450),0)</x:f>
        <x:v>0</x:v>
      </x:c>
      <x:c r="BF450" s="141" t="n">
        <x:f>IF(AND(TRUE,Premissas!$B$11="Imovel",Premissas!$B$47="Moradia",$A450&lt;MAX('Consorcio Direto'!$B$29,Premissas!$B$49)),$D450,0)</x:f>
        <x:v>0</x:v>
      </x:c>
      <x:c r="BG450" s="141" t="n">
        <x:f>IF(AND(TRUE,Premissas!$B$11="Imovel",Premissas!$B$47="Investimento",$A450&gt;=MAX('Consorcio Direto'!$B$29,Premissas!$B$49)),$E450,0)</x:f>
        <x:v>5527.09575669898</x:v>
      </x:c>
      <x:c r="BH450" s="141" t="n">
        <x:f>BD450+BE450+BF450</x:f>
        <x:v>0</x:v>
      </x:c>
      <x:c r="BI450" s="141" t="n">
        <x:f>BG450</x:f>
        <x:v>5527.09575669898</x:v>
      </x:c>
      <x:c r="BJ450" s="141" t="n">
        <x:f>$C450+BI450-BH450</x:f>
        <x:v>5527.09575669898</x:v>
      </x:c>
      <x:c r="BK450" s="141" t="n">
        <x:f>BN449*(1+Premissas!$B$41)+BJ450</x:f>
        <x:v>46606376.77659966</x:v>
      </x:c>
      <x:c r="BL450" s="141" t="n">
        <x:f>MAX(0,-BK450)</x:f>
        <x:v>0</x:v>
      </x:c>
      <x:c r="BM450" s="141" t="n">
        <x:f>BM449*(1+Premissas!$B$41)+BL450</x:f>
        <x:v>0</x:v>
      </x:c>
      <x:c r="BN450" s="141" t="n">
        <x:f>MAX(0,BK450)</x:f>
        <x:v>46606376.77659966</x:v>
      </x:c>
      <x:c r="BO450" s="141" t="n">
        <x:f>INDEX('Consorcio Direto'!$K$55:$K$534,$A450)</x:f>
        <x:v>0</x:v>
      </x:c>
      <x:c r="BP450" s="141" t="n">
        <x:f>IF($A450&lt;'Consorcio Direto'!$B$29,INDEX('Consorcio Direto'!$L$55:$L$534,$A450),$F450)</x:f>
        <x:v>1735624.7421169393</x:v>
      </x:c>
      <x:c r="BQ450" s="141" t="n">
        <x:f>BN450+BP450-BO450</x:f>
        <x:v>48342001.5187166</x:v>
      </x:c>
      <x:c r="BR450" s="141" t="n">
        <x:f>IF(BM450&gt;1,"Inviavel",BQ450)</x:f>
        <x:v>48342001.5187166</x:v>
      </x:c>
      <x:c r="BS450" s="141" t="str">
        <x:f>IF(BM450&gt;1,"Inviavel","OK")</x:f>
        <x:v>OK</x:v>
      </x:c>
      <x:c r="BT450" s="141" t="n">
        <x:f>IF(AND('Carta Contemplada'!$B$22="Sim",$A450='Carta Contemplada'!$B$23),'Carta Contemplada'!$B$37,0)</x:f>
        <x:v>0</x:v>
      </x:c>
      <x:c r="BU450" s="141" t="n">
        <x:f>IF('Carta Contemplada'!$B$22="Sim",INDEX('Carta Contemplada'!$C$55:$C$1013,$A450),0)</x:f>
        <x:v>0</x:v>
      </x:c>
      <x:c r="BV450" s="141" t="n">
        <x:f>IF(AND('Carta Contemplada'!$B$22="Sim",Premissas!$B$11="Imovel",Premissas!$B$47="Moradia",$A450&lt;MAX('Carta Contemplada'!$B$44,Premissas!$B$49)),$D450,0)</x:f>
        <x:v>0</x:v>
      </x:c>
      <x:c r="BW450" s="141" t="n">
        <x:f>IF(AND('Carta Contemplada'!$B$22="Sim",Premissas!$B$11="Imovel",Premissas!$B$47="Investimento",$A450&gt;=MAX('Carta Contemplada'!$B$44,Premissas!$B$49)),$E450,0)</x:f>
        <x:v>5527.09575669898</x:v>
      </x:c>
      <x:c r="BX450" s="141" t="n">
        <x:f>BT450+BU450+BV450</x:f>
        <x:v>0</x:v>
      </x:c>
      <x:c r="BY450" s="141" t="n">
        <x:f>BW450</x:f>
        <x:v>5527.09575669898</x:v>
      </x:c>
      <x:c r="BZ450" s="141" t="n">
        <x:f>$C450+BY450-BX450</x:f>
        <x:v>5527.09575669898</x:v>
      </x:c>
      <x:c r="CA450" s="141" t="n">
        <x:f>CD449*(1+Premissas!$B$41)+BZ450</x:f>
        <x:v>50055502.18897326</x:v>
      </x:c>
      <x:c r="CB450" s="141" t="n">
        <x:f>MAX(0,-CA450)</x:f>
        <x:v>0</x:v>
      </x:c>
      <x:c r="CC450" s="141" t="n">
        <x:f>CC449*(1+Premissas!$B$41)+CB450</x:f>
        <x:v>0</x:v>
      </x:c>
      <x:c r="CD450" s="141" t="n">
        <x:f>MAX(0,CA450)</x:f>
        <x:v>50055502.18897326</x:v>
      </x:c>
      <x:c r="CE450" s="141" t="n">
        <x:f>IF(AND('Carta Contemplada'!$B$22="Sim",$A450&gt;='Carta Contemplada'!$B$23),INDEX('Carta Contemplada'!$I$55:$I$1013,$A450),0)</x:f>
        <x:v>0</x:v>
      </x:c>
      <x:c r="CF450" s="141" t="n">
        <x:f>IF(AND('Carta Contemplada'!$B$22="Sim",$A450&gt;='Carta Contemplada'!$B$44),$F450,0)</x:f>
        <x:v>1735624.7421169393</x:v>
      </x:c>
      <x:c r="CG450" s="141" t="n">
        <x:f>CD450+CF450-CE450</x:f>
        <x:v>51791126.931090206</x:v>
      </x:c>
      <x:c r="CH450" s="141" t="n">
        <x:f>IF(CC450&gt;1,"Inviavel",CG450)</x:f>
        <x:v>51791126.931090206</x:v>
      </x:c>
      <x:c r="CI450" s="145" t="str">
        <x:f>IF(CC450&gt;1,"Inviavel","OK")</x:f>
        <x:v>OK</x:v>
      </x:c>
    </x:row>
    <x:row r="451">
      <x:c r="A451" s="142" t="n">
        <x:v>447</x:v>
      </x:c>
      <x:c r="B451" s="179" t="n">
        <x:f>EDATE(Premissas!$B$4,A451-1)</x:f>
        <x:v>60115</x:v>
      </x:c>
      <x:c r="C451" s="141" t="n">
        <x:f>IF(A451&lt;=Premissas!$B$39,Premissas!$B$42,0)</x:f>
        <x:v>0</x:v>
      </x:c>
      <x:c r="D451" s="141" t="n">
        <x:f>Premissas!$B$54*(1+Premissas!$B$57)^INT((A451-1)/12)</x:f>
        <x:v>6045.260983889509</x:v>
      </x:c>
      <x:c r="E451" s="141" t="n">
        <x:f>Premissas!$B$64*(1+Premissas!$B$57)^INT((A451-1)/12)</x:f>
        <x:v>5527.09575669898</x:v>
      </x:c>
      <x:c r="F451" s="141" t="n">
        <x:f>MAX(0,Premissas!$B$6*(1+Premissas!$B$66)^((A451-1)/12))</x:f>
        <x:v>1744072.9833116536</x:v>
      </x:c>
      <x:c r="G451" s="141" t="n">
        <x:f>G450*(1+Premissas!$B$41)+C451</x:f>
        <x:v>55386704.197737105</x:v>
      </x:c>
      <x:c r="H451" s="141" t="n">
        <x:f>IF($A451=Premissas!$B$48,Premissas!$B$8,0)</x:f>
        <x:v>0</x:v>
      </x:c>
      <x:c r="I451" s="141" t="n">
        <x:f>IF(AND($A451&gt;=Premissas!$B$48,$A451-Premissas!$B$48+1&lt;=Premissas!$B$13),INDEX(Financiamento!$J$6:$J$485,$A451-Premissas!$B$48+1),0)</x:f>
        <x:v>0</x:v>
      </x:c>
      <x:c r="J451" s="141" t="n">
        <x:f>IF(AND(TRUE,Premissas!$B$11="Imovel",Premissas!$B$47="Moradia",$A451&lt;MAX(Premissas!$B$48,Premissas!$B$49)),$D451,0)</x:f>
        <x:v>0</x:v>
      </x:c>
      <x:c r="K451" s="141" t="n">
        <x:f>IF(AND(TRUE,Premissas!$B$11="Imovel",Premissas!$B$47="Investimento",$A451&gt;=MAX(Premissas!$B$48,Premissas!$B$49)),$E451,0)</x:f>
        <x:v>5527.09575669898</x:v>
      </x:c>
      <x:c r="L451" s="141" t="n">
        <x:f>H451+I451+J451</x:f>
        <x:v>0</x:v>
      </x:c>
      <x:c r="M451" s="141" t="n">
        <x:f>K451</x:f>
        <x:v>5527.09575669898</x:v>
      </x:c>
      <x:c r="N451" s="141" t="n">
        <x:f>$C451+M451-L451</x:f>
        <x:v>5527.09575669898</x:v>
      </x:c>
      <x:c r="O451" s="141" t="n">
        <x:f>R450*(1+Premissas!$B$41)+N451</x:f>
        <x:v>48738046.220385775</x:v>
      </x:c>
      <x:c r="P451" s="141" t="n">
        <x:f>MAX(0,-O451)</x:f>
        <x:v>0</x:v>
      </x:c>
      <x:c r="Q451" s="141" t="n">
        <x:f>Q450*(1+Premissas!$B$41)+P451</x:f>
        <x:v>0</x:v>
      </x:c>
      <x:c r="R451" s="141" t="n">
        <x:f>MAX(0,O451)</x:f>
        <x:v>48738046.220385775</x:v>
      </x:c>
      <x:c r="S451" s="141" t="n">
        <x:f>IF(AND($A451&gt;=Premissas!$B$48,$A451-Premissas!$B$48+1&lt;=Premissas!$B$13),INDEX(Financiamento!$M$6:$M$485,$A451-Premissas!$B$48+1),0)</x:f>
        <x:v>0</x:v>
      </x:c>
      <x:c r="T451" s="141" t="n">
        <x:f>IF($A451&gt;=Premissas!$B$48,$F451,0)</x:f>
        <x:v>1744072.9833116536</x:v>
      </x:c>
      <x:c r="U451" s="141" t="n">
        <x:f>R451+T451-S451</x:f>
        <x:v>50482119.20369743</x:v>
      </x:c>
      <x:c r="V451" s="141" t="n">
        <x:f>IF(Q451&gt;1,"Inviavel",U451)</x:f>
        <x:v>50482119.20369743</x:v>
      </x:c>
      <x:c r="W451" s="141" t="str">
        <x:f>IF(Q451&gt;1,"Inviavel","OK")</x:f>
        <x:v>OK</x:v>
      </x:c>
      <x:c r="X451" s="141" t="n">
        <x:f>IF($A451=Premissas!$B$48,Premissas!$B$8,0)</x:f>
        <x:v>0</x:v>
      </x:c>
      <x:c r="Y451" s="141" t="n">
        <x:f>IF(AND($A451&gt;=Premissas!$B$48,$A451-Premissas!$B$48+1&lt;=Premissas!$B$13),INDEX(Amortizacao!$K$6:$K$485,$A451-Premissas!$B$48+1),0)</x:f>
        <x:v>0</x:v>
      </x:c>
      <x:c r="Z451" s="141" t="n">
        <x:f>IF(AND(TRUE,Premissas!$B$11="Imovel",Premissas!$B$47="Moradia",$A451&lt;MAX(Premissas!$B$48,Premissas!$B$49)),$D451,0)</x:f>
        <x:v>0</x:v>
      </x:c>
      <x:c r="AA451" s="141" t="n">
        <x:f>IF(AND(TRUE,Premissas!$B$11="Imovel",Premissas!$B$47="Investimento",$A451&gt;=MAX(Premissas!$B$48,Premissas!$B$49)),$E451,0)</x:f>
        <x:v>5527.09575669898</x:v>
      </x:c>
      <x:c r="AB451" s="141" t="n">
        <x:f>X451+Y451+Z451</x:f>
        <x:v>0</x:v>
      </x:c>
      <x:c r="AC451" s="141" t="n">
        <x:f>AA451</x:f>
        <x:v>5527.09575669898</x:v>
      </x:c>
      <x:c r="AD451" s="141" t="n">
        <x:f>$C451+AC451-AB451</x:f>
        <x:v>5527.09575669898</x:v>
      </x:c>
      <x:c r="AE451" s="141" t="n">
        <x:f>AH450*(1+Premissas!$B$41)+AD451</x:f>
        <x:v>49552309.50670181</x:v>
      </x:c>
      <x:c r="AF451" s="141" t="n">
        <x:f>MAX(0,-AE451)</x:f>
        <x:v>0</x:v>
      </x:c>
      <x:c r="AG451" s="141" t="n">
        <x:f>AG450*(1+Premissas!$B$41)+AF451</x:f>
        <x:v>0</x:v>
      </x:c>
      <x:c r="AH451" s="141" t="n">
        <x:f>MAX(0,AE451)</x:f>
        <x:v>49552309.50670181</x:v>
      </x:c>
      <x:c r="AI451" s="141" t="n">
        <x:f>IF(AND($A451&gt;=Premissas!$B$48,$A451-Premissas!$B$48+1&lt;=Premissas!$B$13),INDEX(Amortizacao!$L$6:$L$485,$A451-Premissas!$B$48+1),0)</x:f>
        <x:v>0</x:v>
      </x:c>
      <x:c r="AJ451" s="141" t="n">
        <x:f>IF($A451&gt;=Premissas!$B$48,$F451,0)</x:f>
        <x:v>1744072.9833116536</x:v>
      </x:c>
      <x:c r="AK451" s="141" t="n">
        <x:f>AH451+AJ451-AI451</x:f>
        <x:v>51296382.490013465</x:v>
      </x:c>
      <x:c r="AL451" s="141" t="n">
        <x:f>IF(AG451&gt;1,"Inviavel",AK451)</x:f>
        <x:v>51296382.490013465</x:v>
      </x:c>
      <x:c r="AM451" s="141" t="str">
        <x:f>IF(AG451&gt;1,"Inviavel","OK")</x:f>
        <x:v>OK</x:v>
      </x:c>
      <x:c r="AN451" s="141" t="n">
        <x:f>IF($A451=Premissas!$B$48,Premissas!$B$8,0)</x:f>
        <x:v>0</x:v>
      </x:c>
      <x:c r="AO451" s="141" t="n">
        <x:f>IF($A451&lt;=Premissas!$B$25,INDEX('Consorcio IQ'!$K$6:$K$485,$A451),0)</x:f>
        <x:v>0</x:v>
      </x:c>
      <x:c r="AP451" s="141" t="n">
        <x:f>IF(AND(TRUE,Premissas!$B$11="Imovel",Premissas!$B$47="Moradia",$A451&lt;MAX(Premissas!$B$48,Premissas!$B$49)),$D451,0)</x:f>
        <x:v>0</x:v>
      </x:c>
      <x:c r="AQ451" s="141" t="n">
        <x:f>IF(AND(TRUE,Premissas!$B$11="Imovel",Premissas!$B$47="Investimento",$A451&gt;=MAX(Premissas!$B$48,Premissas!$B$49)),$E451,0)</x:f>
        <x:v>5527.09575669898</x:v>
      </x:c>
      <x:c r="AR451" s="141" t="n">
        <x:f>AN451+AO451+AP451</x:f>
        <x:v>0</x:v>
      </x:c>
      <x:c r="AS451" s="141" t="n">
        <x:f>AQ451</x:f>
        <x:v>5527.09575669898</x:v>
      </x:c>
      <x:c r="AT451" s="141" t="n">
        <x:f>$C451+AS451-AR451</x:f>
        <x:v>5527.09575669898</x:v>
      </x:c>
      <x:c r="AU451" s="141" t="n">
        <x:f>AX450*(1+Premissas!$B$41)+AT451</x:f>
        <x:v>49162238.38025272</x:v>
      </x:c>
      <x:c r="AV451" s="141" t="n">
        <x:f>MAX(0,-AU451)</x:f>
        <x:v>0</x:v>
      </x:c>
      <x:c r="AW451" s="141" t="n">
        <x:f>AW450*(1+Premissas!$B$41)+AV451</x:f>
        <x:v>0</x:v>
      </x:c>
      <x:c r="AX451" s="141" t="n">
        <x:f>MAX(0,AU451)</x:f>
        <x:v>49162238.38025272</x:v>
      </x:c>
      <x:c r="AY451" s="141" t="n">
        <x:f>INDEX('Consorcio IQ'!$P$6:$P$485,$A451)</x:f>
        <x:v>0</x:v>
      </x:c>
      <x:c r="AZ451" s="141" t="n">
        <x:f>IF($A451&gt;=Premissas!$B$48,$F451,0)+IF($A451&lt;Premissas!$B$27,INDEX('Consorcio IQ'!$O$6:$O$485,$A451),0)</x:f>
        <x:v>1744072.9833116536</x:v>
      </x:c>
      <x:c r="BA451" s="141" t="n">
        <x:f>AX451+AZ451-AY451</x:f>
        <x:v>50906311.36356437</x:v>
      </x:c>
      <x:c r="BB451" s="141" t="n">
        <x:f>IF(AW451&gt;1,"Inviavel",BA451)</x:f>
        <x:v>50906311.36356437</x:v>
      </x:c>
      <x:c r="BC451" s="141" t="str">
        <x:f>IF(AW451&gt;1,"Inviavel","OK")</x:f>
        <x:v>OK</x:v>
      </x:c>
      <x:c r="BD451" s="141" t="n">
        <x:f>IF($A451='Consorcio Direto'!$B$29,'Consorcio Direto'!$B$44,0)</x:f>
        <x:v>0</x:v>
      </x:c>
      <x:c r="BE451" s="141" t="n">
        <x:f>IF($A451&lt;='Consorcio Direto'!$B$27,INDEX('Consorcio Direto'!$E$55:$E$534,$A451),0)</x:f>
        <x:v>0</x:v>
      </x:c>
      <x:c r="BF451" s="141" t="n">
        <x:f>IF(AND(TRUE,Premissas!$B$11="Imovel",Premissas!$B$47="Moradia",$A451&lt;MAX('Consorcio Direto'!$B$29,Premissas!$B$49)),$D451,0)</x:f>
        <x:v>0</x:v>
      </x:c>
      <x:c r="BG451" s="141" t="n">
        <x:f>IF(AND(TRUE,Premissas!$B$11="Imovel",Premissas!$B$47="Investimento",$A451&gt;=MAX('Consorcio Direto'!$B$29,Premissas!$B$49)),$E451,0)</x:f>
        <x:v>5527.09575669898</x:v>
      </x:c>
      <x:c r="BH451" s="141" t="n">
        <x:f>BD451+BE451+BF451</x:f>
        <x:v>0</x:v>
      </x:c>
      <x:c r="BI451" s="141" t="n">
        <x:f>BG451</x:f>
        <x:v>5527.09575669898</x:v>
      </x:c>
      <x:c r="BJ451" s="141" t="n">
        <x:f>$C451+BI451-BH451</x:f>
        <x:v>5527.09575669898</x:v>
      </x:c>
      <x:c r="BK451" s="141" t="n">
        <x:f>BN450*(1+Premissas!$B$41)+BJ451</x:f>
        <x:v>47054142.13102068</x:v>
      </x:c>
      <x:c r="BL451" s="141" t="n">
        <x:f>MAX(0,-BK451)</x:f>
        <x:v>0</x:v>
      </x:c>
      <x:c r="BM451" s="141" t="n">
        <x:f>BM450*(1+Premissas!$B$41)+BL451</x:f>
        <x:v>0</x:v>
      </x:c>
      <x:c r="BN451" s="141" t="n">
        <x:f>MAX(0,BK451)</x:f>
        <x:v>47054142.13102068</x:v>
      </x:c>
      <x:c r="BO451" s="141" t="n">
        <x:f>INDEX('Consorcio Direto'!$K$55:$K$534,$A451)</x:f>
        <x:v>0</x:v>
      </x:c>
      <x:c r="BP451" s="141" t="n">
        <x:f>IF($A451&lt;'Consorcio Direto'!$B$29,INDEX('Consorcio Direto'!$L$55:$L$534,$A451),$F451)</x:f>
        <x:v>1744072.9833116536</x:v>
      </x:c>
      <x:c r="BQ451" s="141" t="n">
        <x:f>BN451+BP451-BO451</x:f>
        <x:v>48798215.11433233</x:v>
      </x:c>
      <x:c r="BR451" s="141" t="n">
        <x:f>IF(BM451&gt;1,"Inviavel",BQ451)</x:f>
        <x:v>48798215.11433233</x:v>
      </x:c>
      <x:c r="BS451" s="141" t="str">
        <x:f>IF(BM451&gt;1,"Inviavel","OK")</x:f>
        <x:v>OK</x:v>
      </x:c>
      <x:c r="BT451" s="141" t="n">
        <x:f>IF(AND('Carta Contemplada'!$B$22="Sim",$A451='Carta Contemplada'!$B$23),'Carta Contemplada'!$B$37,0)</x:f>
        <x:v>0</x:v>
      </x:c>
      <x:c r="BU451" s="141" t="n">
        <x:f>IF('Carta Contemplada'!$B$22="Sim",INDEX('Carta Contemplada'!$C$55:$C$1013,$A451),0)</x:f>
        <x:v>0</x:v>
      </x:c>
      <x:c r="BV451" s="141" t="n">
        <x:f>IF(AND('Carta Contemplada'!$B$22="Sim",Premissas!$B$11="Imovel",Premissas!$B$47="Moradia",$A451&lt;MAX('Carta Contemplada'!$B$44,Premissas!$B$49)),$D451,0)</x:f>
        <x:v>0</x:v>
      </x:c>
      <x:c r="BW451" s="141" t="n">
        <x:f>IF(AND('Carta Contemplada'!$B$22="Sim",Premissas!$B$11="Imovel",Premissas!$B$47="Investimento",$A451&gt;=MAX('Carta Contemplada'!$B$44,Premissas!$B$49)),$E451,0)</x:f>
        <x:v>5527.09575669898</x:v>
      </x:c>
      <x:c r="BX451" s="141" t="n">
        <x:f>BT451+BU451+BV451</x:f>
        <x:v>0</x:v>
      </x:c>
      <x:c r="BY451" s="141" t="n">
        <x:f>BW451</x:f>
        <x:v>5527.09575669898</x:v>
      </x:c>
      <x:c r="BZ451" s="141" t="n">
        <x:f>$C451+BY451-BX451</x:f>
        <x:v>5527.09575669898</x:v>
      </x:c>
      <x:c r="CA451" s="141" t="n">
        <x:f>CD450*(1+Premissas!$B$41)+BZ451</x:f>
        <x:v>50535995.5802377</x:v>
      </x:c>
      <x:c r="CB451" s="141" t="n">
        <x:f>MAX(0,-CA451)</x:f>
        <x:v>0</x:v>
      </x:c>
      <x:c r="CC451" s="141" t="n">
        <x:f>CC450*(1+Premissas!$B$41)+CB451</x:f>
        <x:v>0</x:v>
      </x:c>
      <x:c r="CD451" s="141" t="n">
        <x:f>MAX(0,CA451)</x:f>
        <x:v>50535995.5802377</x:v>
      </x:c>
      <x:c r="CE451" s="141" t="n">
        <x:f>IF(AND('Carta Contemplada'!$B$22="Sim",$A451&gt;='Carta Contemplada'!$B$23),INDEX('Carta Contemplada'!$I$55:$I$1013,$A451),0)</x:f>
        <x:v>0</x:v>
      </x:c>
      <x:c r="CF451" s="141" t="n">
        <x:f>IF(AND('Carta Contemplada'!$B$22="Sim",$A451&gt;='Carta Contemplada'!$B$44),$F451,0)</x:f>
        <x:v>1744072.9833116536</x:v>
      </x:c>
      <x:c r="CG451" s="141" t="n">
        <x:f>CD451+CF451-CE451</x:f>
        <x:v>52280068.563549355</x:v>
      </x:c>
      <x:c r="CH451" s="141" t="n">
        <x:f>IF(CC451&gt;1,"Inviavel",CG451)</x:f>
        <x:v>52280068.563549355</x:v>
      </x:c>
      <x:c r="CI451" s="145" t="str">
        <x:f>IF(CC451&gt;1,"Inviavel","OK")</x:f>
        <x:v>OK</x:v>
      </x:c>
    </x:row>
    <x:row r="452">
      <x:c r="A452" s="142" t="n">
        <x:v>448</x:v>
      </x:c>
      <x:c r="B452" s="179" t="n">
        <x:f>EDATE(Premissas!$B$4,A452-1)</x:f>
        <x:v>60146</x:v>
      </x:c>
      <x:c r="C452" s="141" t="n">
        <x:f>IF(A452&lt;=Premissas!$B$39,Premissas!$B$42,0)</x:f>
        <x:v>0</x:v>
      </x:c>
      <x:c r="D452" s="141" t="n">
        <x:f>Premissas!$B$54*(1+Premissas!$B$57)^INT((A452-1)/12)</x:f>
        <x:v>6045.260983889509</x:v>
      </x:c>
      <x:c r="E452" s="141" t="n">
        <x:f>Premissas!$B$64*(1+Premissas!$B$57)^INT((A452-1)/12)</x:f>
        <x:v>5527.09575669898</x:v>
      </x:c>
      <x:c r="F452" s="141" t="n">
        <x:f>MAX(0,Premissas!$B$6*(1+Premissas!$B$66)^((A452-1)/12))</x:f>
        <x:v>1752562.346747572</x:v>
      </x:c>
      <x:c r="G452" s="141" t="n">
        <x:f>G451*(1+Premissas!$B$41)+C452</x:f>
        <x:v>55912257.16519844</x:v>
      </x:c>
      <x:c r="H452" s="141" t="n">
        <x:f>IF($A452=Premissas!$B$48,Premissas!$B$8,0)</x:f>
        <x:v>0</x:v>
      </x:c>
      <x:c r="I452" s="141" t="n">
        <x:f>IF(AND($A452&gt;=Premissas!$B$48,$A452-Premissas!$B$48+1&lt;=Premissas!$B$13),INDEX(Financiamento!$J$6:$J$485,$A452-Premissas!$B$48+1),0)</x:f>
        <x:v>0</x:v>
      </x:c>
      <x:c r="J452" s="141" t="n">
        <x:f>IF(AND(TRUE,Premissas!$B$11="Imovel",Premissas!$B$47="Moradia",$A452&lt;MAX(Premissas!$B$48,Premissas!$B$49)),$D452,0)</x:f>
        <x:v>0</x:v>
      </x:c>
      <x:c r="K452" s="141" t="n">
        <x:f>IF(AND(TRUE,Premissas!$B$11="Imovel",Premissas!$B$47="Investimento",$A452&gt;=MAX(Premissas!$B$48,Premissas!$B$49)),$E452,0)</x:f>
        <x:v>5527.09575669898</x:v>
      </x:c>
      <x:c r="L452" s="141" t="n">
        <x:f>H452+I452+J452</x:f>
        <x:v>0</x:v>
      </x:c>
      <x:c r="M452" s="141" t="n">
        <x:f>K452</x:f>
        <x:v>5527.09575669898</x:v>
      </x:c>
      <x:c r="N452" s="141" t="n">
        <x:f>$C452+M452-L452</x:f>
        <x:v>5527.09575669898</x:v>
      </x:c>
      <x:c r="O452" s="141" t="n">
        <x:f>R451*(1+Premissas!$B$41)+N452</x:f>
        <x:v>49206038.544763856</x:v>
      </x:c>
      <x:c r="P452" s="141" t="n">
        <x:f>MAX(0,-O452)</x:f>
        <x:v>0</x:v>
      </x:c>
      <x:c r="Q452" s="141" t="n">
        <x:f>Q451*(1+Premissas!$B$41)+P452</x:f>
        <x:v>0</x:v>
      </x:c>
      <x:c r="R452" s="141" t="n">
        <x:f>MAX(0,O452)</x:f>
        <x:v>49206038.544763856</x:v>
      </x:c>
      <x:c r="S452" s="141" t="n">
        <x:f>IF(AND($A452&gt;=Premissas!$B$48,$A452-Premissas!$B$48+1&lt;=Premissas!$B$13),INDEX(Financiamento!$M$6:$M$485,$A452-Premissas!$B$48+1),0)</x:f>
        <x:v>0</x:v>
      </x:c>
      <x:c r="T452" s="141" t="n">
        <x:f>IF($A452&gt;=Premissas!$B$48,$F452,0)</x:f>
        <x:v>1752562.346747572</x:v>
      </x:c>
      <x:c r="U452" s="141" t="n">
        <x:f>R452+T452-S452</x:f>
        <x:v>50958600.891511425</x:v>
      </x:c>
      <x:c r="V452" s="141" t="n">
        <x:f>IF(Q452&gt;1,"Inviavel",U452)</x:f>
        <x:v>50958600.891511425</x:v>
      </x:c>
      <x:c r="W452" s="141" t="str">
        <x:f>IF(Q452&gt;1,"Inviavel","OK")</x:f>
        <x:v>OK</x:v>
      </x:c>
      <x:c r="X452" s="141" t="n">
        <x:f>IF($A452=Premissas!$B$48,Premissas!$B$8,0)</x:f>
        <x:v>0</x:v>
      </x:c>
      <x:c r="Y452" s="141" t="n">
        <x:f>IF(AND($A452&gt;=Premissas!$B$48,$A452-Premissas!$B$48+1&lt;=Premissas!$B$13),INDEX(Amortizacao!$K$6:$K$485,$A452-Premissas!$B$48+1),0)</x:f>
        <x:v>0</x:v>
      </x:c>
      <x:c r="Z452" s="141" t="n">
        <x:f>IF(AND(TRUE,Premissas!$B$11="Imovel",Premissas!$B$47="Moradia",$A452&lt;MAX(Premissas!$B$48,Premissas!$B$49)),$D452,0)</x:f>
        <x:v>0</x:v>
      </x:c>
      <x:c r="AA452" s="141" t="n">
        <x:f>IF(AND(TRUE,Premissas!$B$11="Imovel",Premissas!$B$47="Investimento",$A452&gt;=MAX(Premissas!$B$48,Premissas!$B$49)),$E452,0)</x:f>
        <x:v>5527.09575669898</x:v>
      </x:c>
      <x:c r="AB452" s="141" t="n">
        <x:f>X452+Y452+Z452</x:f>
        <x:v>0</x:v>
      </x:c>
      <x:c r="AC452" s="141" t="n">
        <x:f>AA452</x:f>
        <x:v>5527.09575669898</x:v>
      </x:c>
      <x:c r="AD452" s="141" t="n">
        <x:f>$C452+AC452-AB452</x:f>
        <x:v>5527.09575669898</x:v>
      </x:c>
      <x:c r="AE452" s="141" t="n">
        <x:f>AH451*(1+Premissas!$B$41)+AD452</x:f>
        <x:v>50028028.20679798</x:v>
      </x:c>
      <x:c r="AF452" s="141" t="n">
        <x:f>MAX(0,-AE452)</x:f>
        <x:v>0</x:v>
      </x:c>
      <x:c r="AG452" s="141" t="n">
        <x:f>AG451*(1+Premissas!$B$41)+AF452</x:f>
        <x:v>0</x:v>
      </x:c>
      <x:c r="AH452" s="141" t="n">
        <x:f>MAX(0,AE452)</x:f>
        <x:v>50028028.20679798</x:v>
      </x:c>
      <x:c r="AI452" s="141" t="n">
        <x:f>IF(AND($A452&gt;=Premissas!$B$48,$A452-Premissas!$B$48+1&lt;=Premissas!$B$13),INDEX(Amortizacao!$L$6:$L$485,$A452-Premissas!$B$48+1),0)</x:f>
        <x:v>0</x:v>
      </x:c>
      <x:c r="AJ452" s="141" t="n">
        <x:f>IF($A452&gt;=Premissas!$B$48,$F452,0)</x:f>
        <x:v>1752562.346747572</x:v>
      </x:c>
      <x:c r="AK452" s="141" t="n">
        <x:f>AH452+AJ452-AI452</x:f>
        <x:v>51780590.55354555</x:v>
      </x:c>
      <x:c r="AL452" s="141" t="n">
        <x:f>IF(AG452&gt;1,"Inviavel",AK452)</x:f>
        <x:v>51780590.55354555</x:v>
      </x:c>
      <x:c r="AM452" s="141" t="str">
        <x:f>IF(AG452&gt;1,"Inviavel","OK")</x:f>
        <x:v>OK</x:v>
      </x:c>
      <x:c r="AN452" s="141" t="n">
        <x:f>IF($A452=Premissas!$B$48,Premissas!$B$8,0)</x:f>
        <x:v>0</x:v>
      </x:c>
      <x:c r="AO452" s="141" t="n">
        <x:f>IF($A452&lt;=Premissas!$B$25,INDEX('Consorcio IQ'!$K$6:$K$485,$A452),0)</x:f>
        <x:v>0</x:v>
      </x:c>
      <x:c r="AP452" s="141" t="n">
        <x:f>IF(AND(TRUE,Premissas!$B$11="Imovel",Premissas!$B$47="Moradia",$A452&lt;MAX(Premissas!$B$48,Premissas!$B$49)),$D452,0)</x:f>
        <x:v>0</x:v>
      </x:c>
      <x:c r="AQ452" s="141" t="n">
        <x:f>IF(AND(TRUE,Premissas!$B$11="Imovel",Premissas!$B$47="Investimento",$A452&gt;=MAX(Premissas!$B$48,Premissas!$B$49)),$E452,0)</x:f>
        <x:v>5527.09575669898</x:v>
      </x:c>
      <x:c r="AR452" s="141" t="n">
        <x:f>AN452+AO452+AP452</x:f>
        <x:v>0</x:v>
      </x:c>
      <x:c r="AS452" s="141" t="n">
        <x:f>AQ452</x:f>
        <x:v>5527.09575669898</x:v>
      </x:c>
      <x:c r="AT452" s="141" t="n">
        <x:f>$C452+AS452-AR452</x:f>
        <x:v>5527.09575669898</x:v>
      </x:c>
      <x:c r="AU452" s="141" t="n">
        <x:f>AX451*(1+Premissas!$B$41)+AT452</x:f>
        <x:v>49634255.77620025</x:v>
      </x:c>
      <x:c r="AV452" s="141" t="n">
        <x:f>MAX(0,-AU452)</x:f>
        <x:v>0</x:v>
      </x:c>
      <x:c r="AW452" s="141" t="n">
        <x:f>AW451*(1+Premissas!$B$41)+AV452</x:f>
        <x:v>0</x:v>
      </x:c>
      <x:c r="AX452" s="141" t="n">
        <x:f>MAX(0,AU452)</x:f>
        <x:v>49634255.77620025</x:v>
      </x:c>
      <x:c r="AY452" s="141" t="n">
        <x:f>INDEX('Consorcio IQ'!$P$6:$P$485,$A452)</x:f>
        <x:v>0</x:v>
      </x:c>
      <x:c r="AZ452" s="141" t="n">
        <x:f>IF($A452&gt;=Premissas!$B$48,$F452,0)+IF($A452&lt;Premissas!$B$27,INDEX('Consorcio IQ'!$O$6:$O$485,$A452),0)</x:f>
        <x:v>1752562.346747572</x:v>
      </x:c>
      <x:c r="BA452" s="141" t="n">
        <x:f>AX452+AZ452-AY452</x:f>
        <x:v>51386818.12294782</x:v>
      </x:c>
      <x:c r="BB452" s="141" t="n">
        <x:f>IF(AW452&gt;1,"Inviavel",BA452)</x:f>
        <x:v>51386818.12294782</x:v>
      </x:c>
      <x:c r="BC452" s="141" t="str">
        <x:f>IF(AW452&gt;1,"Inviavel","OK")</x:f>
        <x:v>OK</x:v>
      </x:c>
      <x:c r="BD452" s="141" t="n">
        <x:f>IF($A452='Consorcio Direto'!$B$29,'Consorcio Direto'!$B$44,0)</x:f>
        <x:v>0</x:v>
      </x:c>
      <x:c r="BE452" s="141" t="n">
        <x:f>IF($A452&lt;='Consorcio Direto'!$B$27,INDEX('Consorcio Direto'!$E$55:$E$534,$A452),0)</x:f>
        <x:v>0</x:v>
      </x:c>
      <x:c r="BF452" s="141" t="n">
        <x:f>IF(AND(TRUE,Premissas!$B$11="Imovel",Premissas!$B$47="Moradia",$A452&lt;MAX('Consorcio Direto'!$B$29,Premissas!$B$49)),$D452,0)</x:f>
        <x:v>0</x:v>
      </x:c>
      <x:c r="BG452" s="141" t="n">
        <x:f>IF(AND(TRUE,Premissas!$B$11="Imovel",Premissas!$B$47="Investimento",$A452&gt;=MAX('Consorcio Direto'!$B$29,Premissas!$B$49)),$E452,0)</x:f>
        <x:v>5527.09575669898</x:v>
      </x:c>
      <x:c r="BH452" s="141" t="n">
        <x:f>BD452+BE452+BF452</x:f>
        <x:v>0</x:v>
      </x:c>
      <x:c r="BI452" s="141" t="n">
        <x:f>BG452</x:f>
        <x:v>5527.09575669898</x:v>
      </x:c>
      <x:c r="BJ452" s="141" t="n">
        <x:f>$C452+BI452-BH452</x:f>
        <x:v>5527.09575669898</x:v>
      </x:c>
      <x:c r="BK452" s="141" t="n">
        <x:f>BN451*(1+Premissas!$B$41)+BJ452</x:f>
        <x:v>47506156.238173075</x:v>
      </x:c>
      <x:c r="BL452" s="141" t="n">
        <x:f>MAX(0,-BK452)</x:f>
        <x:v>0</x:v>
      </x:c>
      <x:c r="BM452" s="141" t="n">
        <x:f>BM451*(1+Premissas!$B$41)+BL452</x:f>
        <x:v>0</x:v>
      </x:c>
      <x:c r="BN452" s="141" t="n">
        <x:f>MAX(0,BK452)</x:f>
        <x:v>47506156.238173075</x:v>
      </x:c>
      <x:c r="BO452" s="141" t="n">
        <x:f>INDEX('Consorcio Direto'!$K$55:$K$534,$A452)</x:f>
        <x:v>0</x:v>
      </x:c>
      <x:c r="BP452" s="141" t="n">
        <x:f>IF($A452&lt;'Consorcio Direto'!$B$29,INDEX('Consorcio Direto'!$L$55:$L$534,$A452),$F452)</x:f>
        <x:v>1752562.346747572</x:v>
      </x:c>
      <x:c r="BQ452" s="141" t="n">
        <x:f>BN452+BP452-BO452</x:f>
        <x:v>49258718.584920645</x:v>
      </x:c>
      <x:c r="BR452" s="141" t="n">
        <x:f>IF(BM452&gt;1,"Inviavel",BQ452)</x:f>
        <x:v>49258718.584920645</x:v>
      </x:c>
      <x:c r="BS452" s="141" t="str">
        <x:f>IF(BM452&gt;1,"Inviavel","OK")</x:f>
        <x:v>OK</x:v>
      </x:c>
      <x:c r="BT452" s="141" t="n">
        <x:f>IF(AND('Carta Contemplada'!$B$22="Sim",$A452='Carta Contemplada'!$B$23),'Carta Contemplada'!$B$37,0)</x:f>
        <x:v>0</x:v>
      </x:c>
      <x:c r="BU452" s="141" t="n">
        <x:f>IF('Carta Contemplada'!$B$22="Sim",INDEX('Carta Contemplada'!$C$55:$C$1013,$A452),0)</x:f>
        <x:v>0</x:v>
      </x:c>
      <x:c r="BV452" s="141" t="n">
        <x:f>IF(AND('Carta Contemplada'!$B$22="Sim",Premissas!$B$11="Imovel",Premissas!$B$47="Moradia",$A452&lt;MAX('Carta Contemplada'!$B$44,Premissas!$B$49)),$D452,0)</x:f>
        <x:v>0</x:v>
      </x:c>
      <x:c r="BW452" s="141" t="n">
        <x:f>IF(AND('Carta Contemplada'!$B$22="Sim",Premissas!$B$11="Imovel",Premissas!$B$47="Investimento",$A452&gt;=MAX('Carta Contemplada'!$B$44,Premissas!$B$49)),$E452,0)</x:f>
        <x:v>5527.09575669898</x:v>
      </x:c>
      <x:c r="BX452" s="141" t="n">
        <x:f>BT452+BU452+BV452</x:f>
        <x:v>0</x:v>
      </x:c>
      <x:c r="BY452" s="141" t="n">
        <x:f>BW452</x:f>
        <x:v>5527.09575669898</x:v>
      </x:c>
      <x:c r="BZ452" s="141" t="n">
        <x:f>$C452+BY452-BX452</x:f>
        <x:v>5527.09575669898</x:v>
      </x:c>
      <x:c r="CA452" s="141" t="n">
        <x:f>CD451*(1+Premissas!$B$41)+BZ452</x:f>
        <x:v>51021048.27379828</x:v>
      </x:c>
      <x:c r="CB452" s="141" t="n">
        <x:f>MAX(0,-CA452)</x:f>
        <x:v>0</x:v>
      </x:c>
      <x:c r="CC452" s="141" t="n">
        <x:f>CC451*(1+Premissas!$B$41)+CB452</x:f>
        <x:v>0</x:v>
      </x:c>
      <x:c r="CD452" s="141" t="n">
        <x:f>MAX(0,CA452)</x:f>
        <x:v>51021048.27379828</x:v>
      </x:c>
      <x:c r="CE452" s="141" t="n">
        <x:f>IF(AND('Carta Contemplada'!$B$22="Sim",$A452&gt;='Carta Contemplada'!$B$23),INDEX('Carta Contemplada'!$I$55:$I$1013,$A452),0)</x:f>
        <x:v>0</x:v>
      </x:c>
      <x:c r="CF452" s="141" t="n">
        <x:f>IF(AND('Carta Contemplada'!$B$22="Sim",$A452&gt;='Carta Contemplada'!$B$44),$F452,0)</x:f>
        <x:v>1752562.346747572</x:v>
      </x:c>
      <x:c r="CG452" s="141" t="n">
        <x:f>CD452+CF452-CE452</x:f>
        <x:v>52773610.62054585</x:v>
      </x:c>
      <x:c r="CH452" s="141" t="n">
        <x:f>IF(CC452&gt;1,"Inviavel",CG452)</x:f>
        <x:v>52773610.62054585</x:v>
      </x:c>
      <x:c r="CI452" s="145" t="str">
        <x:f>IF(CC452&gt;1,"Inviavel","OK")</x:f>
        <x:v>OK</x:v>
      </x:c>
    </x:row>
    <x:row r="453">
      <x:c r="A453" s="142" t="n">
        <x:v>449</x:v>
      </x:c>
      <x:c r="B453" s="179" t="n">
        <x:f>EDATE(Premissas!$B$4,A453-1)</x:f>
        <x:v>60176</x:v>
      </x:c>
      <x:c r="C453" s="141" t="n">
        <x:f>IF(A453&lt;=Premissas!$B$39,Premissas!$B$42,0)</x:f>
        <x:v>0</x:v>
      </x:c>
      <x:c r="D453" s="141" t="n">
        <x:f>Premissas!$B$54*(1+Premissas!$B$57)^INT((A453-1)/12)</x:f>
        <x:v>6045.260983889509</x:v>
      </x:c>
      <x:c r="E453" s="141" t="n">
        <x:f>Premissas!$B$64*(1+Premissas!$B$57)^INT((A453-1)/12)</x:f>
        <x:v>5527.09575669898</x:v>
      </x:c>
      <x:c r="F453" s="141" t="n">
        <x:f>MAX(0,Premissas!$B$6*(1+Premissas!$B$66)^((A453-1)/12))</x:f>
        <x:v>1761093.0325892824</x:v>
      </x:c>
      <x:c r="G453" s="141" t="n">
        <x:f>G452*(1+Premissas!$B$41)+C453</x:f>
        <x:v>56442796.995944165</x:v>
      </x:c>
      <x:c r="H453" s="141" t="n">
        <x:f>IF($A453=Premissas!$B$48,Premissas!$B$8,0)</x:f>
        <x:v>0</x:v>
      </x:c>
      <x:c r="I453" s="141" t="n">
        <x:f>IF(AND($A453&gt;=Premissas!$B$48,$A453-Premissas!$B$48+1&lt;=Premissas!$B$13),INDEX(Financiamento!$J$6:$J$485,$A453-Premissas!$B$48+1),0)</x:f>
        <x:v>0</x:v>
      </x:c>
      <x:c r="J453" s="141" t="n">
        <x:f>IF(AND(TRUE,Premissas!$B$11="Imovel",Premissas!$B$47="Moradia",$A453&lt;MAX(Premissas!$B$48,Premissas!$B$49)),$D453,0)</x:f>
        <x:v>0</x:v>
      </x:c>
      <x:c r="K453" s="141" t="n">
        <x:f>IF(AND(TRUE,Premissas!$B$11="Imovel",Premissas!$B$47="Investimento",$A453&gt;=MAX(Premissas!$B$48,Premissas!$B$49)),$E453,0)</x:f>
        <x:v>5527.09575669898</x:v>
      </x:c>
      <x:c r="L453" s="141" t="n">
        <x:f>H453+I453+J453</x:f>
        <x:v>0</x:v>
      </x:c>
      <x:c r="M453" s="141" t="n">
        <x:f>K453</x:f>
        <x:v>5527.09575669898</x:v>
      </x:c>
      <x:c r="N453" s="141" t="n">
        <x:f>$C453+M453-L453</x:f>
        <x:v>5527.09575669898</x:v>
      </x:c>
      <x:c r="O453" s="141" t="n">
        <x:f>R452*(1+Premissas!$B$41)+N453</x:f>
        <x:v>49678471.551402934</x:v>
      </x:c>
      <x:c r="P453" s="141" t="n">
        <x:f>MAX(0,-O453)</x:f>
        <x:v>0</x:v>
      </x:c>
      <x:c r="Q453" s="141" t="n">
        <x:f>Q452*(1+Premissas!$B$41)+P453</x:f>
        <x:v>0</x:v>
      </x:c>
      <x:c r="R453" s="141" t="n">
        <x:f>MAX(0,O453)</x:f>
        <x:v>49678471.551402934</x:v>
      </x:c>
      <x:c r="S453" s="141" t="n">
        <x:f>IF(AND($A453&gt;=Premissas!$B$48,$A453-Premissas!$B$48+1&lt;=Premissas!$B$13),INDEX(Financiamento!$M$6:$M$485,$A453-Premissas!$B$48+1),0)</x:f>
        <x:v>0</x:v>
      </x:c>
      <x:c r="T453" s="141" t="n">
        <x:f>IF($A453&gt;=Premissas!$B$48,$F453,0)</x:f>
        <x:v>1761093.0325892824</x:v>
      </x:c>
      <x:c r="U453" s="141" t="n">
        <x:f>R453+T453-S453</x:f>
        <x:v>51439564.58399221</x:v>
      </x:c>
      <x:c r="V453" s="141" t="n">
        <x:f>IF(Q453&gt;1,"Inviavel",U453)</x:f>
        <x:v>51439564.58399221</x:v>
      </x:c>
      <x:c r="W453" s="141" t="str">
        <x:f>IF(Q453&gt;1,"Inviavel","OK")</x:f>
        <x:v>OK</x:v>
      </x:c>
      <x:c r="X453" s="141" t="n">
        <x:f>IF($A453=Premissas!$B$48,Premissas!$B$8,0)</x:f>
        <x:v>0</x:v>
      </x:c>
      <x:c r="Y453" s="141" t="n">
        <x:f>IF(AND($A453&gt;=Premissas!$B$48,$A453-Premissas!$B$48+1&lt;=Premissas!$B$13),INDEX(Amortizacao!$K$6:$K$485,$A453-Premissas!$B$48+1),0)</x:f>
        <x:v>0</x:v>
      </x:c>
      <x:c r="Z453" s="141" t="n">
        <x:f>IF(AND(TRUE,Premissas!$B$11="Imovel",Premissas!$B$47="Moradia",$A453&lt;MAX(Premissas!$B$48,Premissas!$B$49)),$D453,0)</x:f>
        <x:v>0</x:v>
      </x:c>
      <x:c r="AA453" s="141" t="n">
        <x:f>IF(AND(TRUE,Premissas!$B$11="Imovel",Premissas!$B$47="Investimento",$A453&gt;=MAX(Premissas!$B$48,Premissas!$B$49)),$E453,0)</x:f>
        <x:v>5527.09575669898</x:v>
      </x:c>
      <x:c r="AB453" s="141" t="n">
        <x:f>X453+Y453+Z453</x:f>
        <x:v>0</x:v>
      </x:c>
      <x:c r="AC453" s="141" t="n">
        <x:f>AA453</x:f>
        <x:v>5527.09575669898</x:v>
      </x:c>
      <x:c r="AD453" s="141" t="n">
        <x:f>$C453+AC453-AB453</x:f>
        <x:v>5527.09575669898</x:v>
      </x:c>
      <x:c r="AE453" s="141" t="n">
        <x:f>AH452*(1+Premissas!$B$41)+AD453</x:f>
        <x:v>50508260.903134465</x:v>
      </x:c>
      <x:c r="AF453" s="141" t="n">
        <x:f>MAX(0,-AE453)</x:f>
        <x:v>0</x:v>
      </x:c>
      <x:c r="AG453" s="141" t="n">
        <x:f>AG452*(1+Premissas!$B$41)+AF453</x:f>
        <x:v>0</x:v>
      </x:c>
      <x:c r="AH453" s="141" t="n">
        <x:f>MAX(0,AE453)</x:f>
        <x:v>50508260.903134465</x:v>
      </x:c>
      <x:c r="AI453" s="141" t="n">
        <x:f>IF(AND($A453&gt;=Premissas!$B$48,$A453-Premissas!$B$48+1&lt;=Premissas!$B$13),INDEX(Amortizacao!$L$6:$L$485,$A453-Premissas!$B$48+1),0)</x:f>
        <x:v>0</x:v>
      </x:c>
      <x:c r="AJ453" s="141" t="n">
        <x:f>IF($A453&gt;=Premissas!$B$48,$F453,0)</x:f>
        <x:v>1761093.0325892824</x:v>
      </x:c>
      <x:c r="AK453" s="141" t="n">
        <x:f>AH453+AJ453-AI453</x:f>
        <x:v>52269353.935723744</x:v>
      </x:c>
      <x:c r="AL453" s="141" t="n">
        <x:f>IF(AG453&gt;1,"Inviavel",AK453)</x:f>
        <x:v>52269353.935723744</x:v>
      </x:c>
      <x:c r="AM453" s="141" t="str">
        <x:f>IF(AG453&gt;1,"Inviavel","OK")</x:f>
        <x:v>OK</x:v>
      </x:c>
      <x:c r="AN453" s="141" t="n">
        <x:f>IF($A453=Premissas!$B$48,Premissas!$B$8,0)</x:f>
        <x:v>0</x:v>
      </x:c>
      <x:c r="AO453" s="141" t="n">
        <x:f>IF($A453&lt;=Premissas!$B$25,INDEX('Consorcio IQ'!$K$6:$K$485,$A453),0)</x:f>
        <x:v>0</x:v>
      </x:c>
      <x:c r="AP453" s="141" t="n">
        <x:f>IF(AND(TRUE,Premissas!$B$11="Imovel",Premissas!$B$47="Moradia",$A453&lt;MAX(Premissas!$B$48,Premissas!$B$49)),$D453,0)</x:f>
        <x:v>0</x:v>
      </x:c>
      <x:c r="AQ453" s="141" t="n">
        <x:f>IF(AND(TRUE,Premissas!$B$11="Imovel",Premissas!$B$47="Investimento",$A453&gt;=MAX(Premissas!$B$48,Premissas!$B$49)),$E453,0)</x:f>
        <x:v>5527.09575669898</x:v>
      </x:c>
      <x:c r="AR453" s="141" t="n">
        <x:f>AN453+AO453+AP453</x:f>
        <x:v>0</x:v>
      </x:c>
      <x:c r="AS453" s="141" t="n">
        <x:f>AQ453</x:f>
        <x:v>5527.09575669898</x:v>
      </x:c>
      <x:c r="AT453" s="141" t="n">
        <x:f>$C453+AS453-AR453</x:f>
        <x:v>5527.09575669898</x:v>
      </x:c>
      <x:c r="AU453" s="141" t="n">
        <x:f>AX452*(1+Premissas!$B$41)+AT453</x:f>
        <x:v>50110752.04747945</x:v>
      </x:c>
      <x:c r="AV453" s="141" t="n">
        <x:f>MAX(0,-AU453)</x:f>
        <x:v>0</x:v>
      </x:c>
      <x:c r="AW453" s="141" t="n">
        <x:f>AW452*(1+Premissas!$B$41)+AV453</x:f>
        <x:v>0</x:v>
      </x:c>
      <x:c r="AX453" s="141" t="n">
        <x:f>MAX(0,AU453)</x:f>
        <x:v>50110752.04747945</x:v>
      </x:c>
      <x:c r="AY453" s="141" t="n">
        <x:f>INDEX('Consorcio IQ'!$P$6:$P$485,$A453)</x:f>
        <x:v>0</x:v>
      </x:c>
      <x:c r="AZ453" s="141" t="n">
        <x:f>IF($A453&gt;=Premissas!$B$48,$F453,0)+IF($A453&lt;Premissas!$B$27,INDEX('Consorcio IQ'!$O$6:$O$485,$A453),0)</x:f>
        <x:v>1761093.0325892824</x:v>
      </x:c>
      <x:c r="BA453" s="141" t="n">
        <x:f>AX453+AZ453-AY453</x:f>
        <x:v>51871845.08006873</x:v>
      </x:c>
      <x:c r="BB453" s="141" t="n">
        <x:f>IF(AW453&gt;1,"Inviavel",BA453)</x:f>
        <x:v>51871845.08006873</x:v>
      </x:c>
      <x:c r="BC453" s="141" t="str">
        <x:f>IF(AW453&gt;1,"Inviavel","OK")</x:f>
        <x:v>OK</x:v>
      </x:c>
      <x:c r="BD453" s="141" t="n">
        <x:f>IF($A453='Consorcio Direto'!$B$29,'Consorcio Direto'!$B$44,0)</x:f>
        <x:v>0</x:v>
      </x:c>
      <x:c r="BE453" s="141" t="n">
        <x:f>IF($A453&lt;='Consorcio Direto'!$B$27,INDEX('Consorcio Direto'!$E$55:$E$534,$A453),0)</x:f>
        <x:v>0</x:v>
      </x:c>
      <x:c r="BF453" s="141" t="n">
        <x:f>IF(AND(TRUE,Premissas!$B$11="Imovel",Premissas!$B$47="Moradia",$A453&lt;MAX('Consorcio Direto'!$B$29,Premissas!$B$49)),$D453,0)</x:f>
        <x:v>0</x:v>
      </x:c>
      <x:c r="BG453" s="141" t="n">
        <x:f>IF(AND(TRUE,Premissas!$B$11="Imovel",Premissas!$B$47="Investimento",$A453&gt;=MAX('Consorcio Direto'!$B$29,Premissas!$B$49)),$E453,0)</x:f>
        <x:v>5527.09575669898</x:v>
      </x:c>
      <x:c r="BH453" s="141" t="n">
        <x:f>BD453+BE453+BF453</x:f>
        <x:v>0</x:v>
      </x:c>
      <x:c r="BI453" s="141" t="n">
        <x:f>BG453</x:f>
        <x:v>5527.09575669898</x:v>
      </x:c>
      <x:c r="BJ453" s="141" t="n">
        <x:f>$C453+BI453-BH453</x:f>
        <x:v>5527.09575669898</x:v>
      </x:c>
      <x:c r="BK453" s="141" t="n">
        <x:f>BN452*(1+Premissas!$B$41)+BJ453</x:f>
        <x:v>47962459.41359175</x:v>
      </x:c>
      <x:c r="BL453" s="141" t="n">
        <x:f>MAX(0,-BK453)</x:f>
        <x:v>0</x:v>
      </x:c>
      <x:c r="BM453" s="141" t="n">
        <x:f>BM452*(1+Premissas!$B$41)+BL453</x:f>
        <x:v>0</x:v>
      </x:c>
      <x:c r="BN453" s="141" t="n">
        <x:f>MAX(0,BK453)</x:f>
        <x:v>47962459.41359175</x:v>
      </x:c>
      <x:c r="BO453" s="141" t="n">
        <x:f>INDEX('Consorcio Direto'!$K$55:$K$534,$A453)</x:f>
        <x:v>0</x:v>
      </x:c>
      <x:c r="BP453" s="141" t="n">
        <x:f>IF($A453&lt;'Consorcio Direto'!$B$29,INDEX('Consorcio Direto'!$L$55:$L$534,$A453),$F453)</x:f>
        <x:v>1761093.0325892824</x:v>
      </x:c>
      <x:c r="BQ453" s="141" t="n">
        <x:f>BN453+BP453-BO453</x:f>
        <x:v>49723552.44618103</x:v>
      </x:c>
      <x:c r="BR453" s="141" t="n">
        <x:f>IF(BM453&gt;1,"Inviavel",BQ453)</x:f>
        <x:v>49723552.44618103</x:v>
      </x:c>
      <x:c r="BS453" s="141" t="str">
        <x:f>IF(BM453&gt;1,"Inviavel","OK")</x:f>
        <x:v>OK</x:v>
      </x:c>
      <x:c r="BT453" s="141" t="n">
        <x:f>IF(AND('Carta Contemplada'!$B$22="Sim",$A453='Carta Contemplada'!$B$23),'Carta Contemplada'!$B$37,0)</x:f>
        <x:v>0</x:v>
      </x:c>
      <x:c r="BU453" s="141" t="n">
        <x:f>IF('Carta Contemplada'!$B$22="Sim",INDEX('Carta Contemplada'!$C$55:$C$1013,$A453),0)</x:f>
        <x:v>0</x:v>
      </x:c>
      <x:c r="BV453" s="141" t="n">
        <x:f>IF(AND('Carta Contemplada'!$B$22="Sim",Premissas!$B$11="Imovel",Premissas!$B$47="Moradia",$A453&lt;MAX('Carta Contemplada'!$B$44,Premissas!$B$49)),$D453,0)</x:f>
        <x:v>0</x:v>
      </x:c>
      <x:c r="BW453" s="141" t="n">
        <x:f>IF(AND('Carta Contemplada'!$B$22="Sim",Premissas!$B$11="Imovel",Premissas!$B$47="Investimento",$A453&gt;=MAX('Carta Contemplada'!$B$44,Premissas!$B$49)),$E453,0)</x:f>
        <x:v>5527.09575669898</x:v>
      </x:c>
      <x:c r="BX453" s="141" t="n">
        <x:f>BT453+BU453+BV453</x:f>
        <x:v>0</x:v>
      </x:c>
      <x:c r="BY453" s="141" t="n">
        <x:f>BW453</x:f>
        <x:v>5527.09575669898</x:v>
      </x:c>
      <x:c r="BZ453" s="141" t="n">
        <x:f>$C453+BY453-BX453</x:f>
        <x:v>5527.09575669898</x:v>
      </x:c>
      <x:c r="CA453" s="141" t="n">
        <x:f>CD452*(1+Premissas!$B$41)+BZ453</x:f>
        <x:v>51510703.53193042</x:v>
      </x:c>
      <x:c r="CB453" s="141" t="n">
        <x:f>MAX(0,-CA453)</x:f>
        <x:v>0</x:v>
      </x:c>
      <x:c r="CC453" s="141" t="n">
        <x:f>CC452*(1+Premissas!$B$41)+CB453</x:f>
        <x:v>0</x:v>
      </x:c>
      <x:c r="CD453" s="141" t="n">
        <x:f>MAX(0,CA453)</x:f>
        <x:v>51510703.53193042</x:v>
      </x:c>
      <x:c r="CE453" s="141" t="n">
        <x:f>IF(AND('Carta Contemplada'!$B$22="Sim",$A453&gt;='Carta Contemplada'!$B$23),INDEX('Carta Contemplada'!$I$55:$I$1013,$A453),0)</x:f>
        <x:v>0</x:v>
      </x:c>
      <x:c r="CF453" s="141" t="n">
        <x:f>IF(AND('Carta Contemplada'!$B$22="Sim",$A453&gt;='Carta Contemplada'!$B$44),$F453,0)</x:f>
        <x:v>1761093.0325892824</x:v>
      </x:c>
      <x:c r="CG453" s="141" t="n">
        <x:f>CD453+CF453-CE453</x:f>
        <x:v>53271796.564519696</x:v>
      </x:c>
      <x:c r="CH453" s="141" t="n">
        <x:f>IF(CC453&gt;1,"Inviavel",CG453)</x:f>
        <x:v>53271796.564519696</x:v>
      </x:c>
      <x:c r="CI453" s="145" t="str">
        <x:f>IF(CC453&gt;1,"Inviavel","OK")</x:f>
        <x:v>OK</x:v>
      </x:c>
    </x:row>
    <x:row r="454">
      <x:c r="A454" s="142" t="n">
        <x:v>450</x:v>
      </x:c>
      <x:c r="B454" s="179" t="n">
        <x:f>EDATE(Premissas!$B$4,A454-1)</x:f>
        <x:v>60207</x:v>
      </x:c>
      <x:c r="C454" s="141" t="n">
        <x:f>IF(A454&lt;=Premissas!$B$39,Premissas!$B$42,0)</x:f>
        <x:v>0</x:v>
      </x:c>
      <x:c r="D454" s="141" t="n">
        <x:f>Premissas!$B$54*(1+Premissas!$B$57)^INT((A454-1)/12)</x:f>
        <x:v>6045.260983889509</x:v>
      </x:c>
      <x:c r="E454" s="141" t="n">
        <x:f>Premissas!$B$64*(1+Premissas!$B$57)^INT((A454-1)/12)</x:f>
        <x:v>5527.09575669898</x:v>
      </x:c>
      <x:c r="F454" s="141" t="n">
        <x:f>MAX(0,Premissas!$B$6*(1+Premissas!$B$66)^((A454-1)/12))</x:f>
        <x:v>1769665.2419756835</x:v>
      </x:c>
      <x:c r="G454" s="141" t="n">
        <x:f>G453*(1+Premissas!$B$41)+C454</x:f>
        <x:v>56978371.00928739</x:v>
      </x:c>
      <x:c r="H454" s="141" t="n">
        <x:f>IF($A454=Premissas!$B$48,Premissas!$B$8,0)</x:f>
        <x:v>0</x:v>
      </x:c>
      <x:c r="I454" s="141" t="n">
        <x:f>IF(AND($A454&gt;=Premissas!$B$48,$A454-Premissas!$B$48+1&lt;=Premissas!$B$13),INDEX(Financiamento!$J$6:$J$485,$A454-Premissas!$B$48+1),0)</x:f>
        <x:v>0</x:v>
      </x:c>
      <x:c r="J454" s="141" t="n">
        <x:f>IF(AND(TRUE,Premissas!$B$11="Imovel",Premissas!$B$47="Moradia",$A454&lt;MAX(Premissas!$B$48,Premissas!$B$49)),$D454,0)</x:f>
        <x:v>0</x:v>
      </x:c>
      <x:c r="K454" s="141" t="n">
        <x:f>IF(AND(TRUE,Premissas!$B$11="Imovel",Premissas!$B$47="Investimento",$A454&gt;=MAX(Premissas!$B$48,Premissas!$B$49)),$E454,0)</x:f>
        <x:v>5527.09575669898</x:v>
      </x:c>
      <x:c r="L454" s="141" t="n">
        <x:f>H454+I454+J454</x:f>
        <x:v>0</x:v>
      </x:c>
      <x:c r="M454" s="141" t="n">
        <x:f>K454</x:f>
        <x:v>5527.09575669898</x:v>
      </x:c>
      <x:c r="N454" s="141" t="n">
        <x:f>$C454+M454-L454</x:f>
        <x:v>5527.09575669898</x:v>
      </x:c>
      <x:c r="O454" s="141" t="n">
        <x:f>R453*(1+Premissas!$B$41)+N454</x:f>
        <x:v>50155387.377017476</x:v>
      </x:c>
      <x:c r="P454" s="141" t="n">
        <x:f>MAX(0,-O454)</x:f>
        <x:v>0</x:v>
      </x:c>
      <x:c r="Q454" s="141" t="n">
        <x:f>Q453*(1+Premissas!$B$41)+P454</x:f>
        <x:v>0</x:v>
      </x:c>
      <x:c r="R454" s="141" t="n">
        <x:f>MAX(0,O454)</x:f>
        <x:v>50155387.377017476</x:v>
      </x:c>
      <x:c r="S454" s="141" t="n">
        <x:f>IF(AND($A454&gt;=Premissas!$B$48,$A454-Premissas!$B$48+1&lt;=Premissas!$B$13),INDEX(Financiamento!$M$6:$M$485,$A454-Premissas!$B$48+1),0)</x:f>
        <x:v>0</x:v>
      </x:c>
      <x:c r="T454" s="141" t="n">
        <x:f>IF($A454&gt;=Premissas!$B$48,$F454,0)</x:f>
        <x:v>1769665.2419756835</x:v>
      </x:c>
      <x:c r="U454" s="141" t="n">
        <x:f>R454+T454-S454</x:f>
        <x:v>51925052.618993156</x:v>
      </x:c>
      <x:c r="V454" s="141" t="n">
        <x:f>IF(Q454&gt;1,"Inviavel",U454)</x:f>
        <x:v>51925052.618993156</x:v>
      </x:c>
      <x:c r="W454" s="141" t="str">
        <x:f>IF(Q454&gt;1,"Inviavel","OK")</x:f>
        <x:v>OK</x:v>
      </x:c>
      <x:c r="X454" s="141" t="n">
        <x:f>IF($A454=Premissas!$B$48,Premissas!$B$8,0)</x:f>
        <x:v>0</x:v>
      </x:c>
      <x:c r="Y454" s="141" t="n">
        <x:f>IF(AND($A454&gt;=Premissas!$B$48,$A454-Premissas!$B$48+1&lt;=Premissas!$B$13),INDEX(Amortizacao!$K$6:$K$485,$A454-Premissas!$B$48+1),0)</x:f>
        <x:v>0</x:v>
      </x:c>
      <x:c r="Z454" s="141" t="n">
        <x:f>IF(AND(TRUE,Premissas!$B$11="Imovel",Premissas!$B$47="Moradia",$A454&lt;MAX(Premissas!$B$48,Premissas!$B$49)),$D454,0)</x:f>
        <x:v>0</x:v>
      </x:c>
      <x:c r="AA454" s="141" t="n">
        <x:f>IF(AND(TRUE,Premissas!$B$11="Imovel",Premissas!$B$47="Investimento",$A454&gt;=MAX(Premissas!$B$48,Premissas!$B$49)),$E454,0)</x:f>
        <x:v>5527.09575669898</x:v>
      </x:c>
      <x:c r="AB454" s="141" t="n">
        <x:f>X454+Y454+Z454</x:f>
        <x:v>0</x:v>
      </x:c>
      <x:c r="AC454" s="141" t="n">
        <x:f>AA454</x:f>
        <x:v>5527.09575669898</x:v>
      </x:c>
      <x:c r="AD454" s="141" t="n">
        <x:f>$C454+AC454-AB454</x:f>
        <x:v>5527.09575669898</x:v>
      </x:c>
      <x:c r="AE454" s="141" t="n">
        <x:f>AH453*(1+Premissas!$B$41)+AD454</x:f>
        <x:v>50993050.42808691</x:v>
      </x:c>
      <x:c r="AF454" s="141" t="n">
        <x:f>MAX(0,-AE454)</x:f>
        <x:v>0</x:v>
      </x:c>
      <x:c r="AG454" s="141" t="n">
        <x:f>AG453*(1+Premissas!$B$41)+AF454</x:f>
        <x:v>0</x:v>
      </x:c>
      <x:c r="AH454" s="141" t="n">
        <x:f>MAX(0,AE454)</x:f>
        <x:v>50993050.42808691</x:v>
      </x:c>
      <x:c r="AI454" s="141" t="n">
        <x:f>IF(AND($A454&gt;=Premissas!$B$48,$A454-Premissas!$B$48+1&lt;=Premissas!$B$13),INDEX(Amortizacao!$L$6:$L$485,$A454-Premissas!$B$48+1),0)</x:f>
        <x:v>0</x:v>
      </x:c>
      <x:c r="AJ454" s="141" t="n">
        <x:f>IF($A454&gt;=Premissas!$B$48,$F454,0)</x:f>
        <x:v>1769665.2419756835</x:v>
      </x:c>
      <x:c r="AK454" s="141" t="n">
        <x:f>AH454+AJ454-AI454</x:f>
        <x:v>52762715.67006259</x:v>
      </x:c>
      <x:c r="AL454" s="141" t="n">
        <x:f>IF(AG454&gt;1,"Inviavel",AK454)</x:f>
        <x:v>52762715.67006259</x:v>
      </x:c>
      <x:c r="AM454" s="141" t="str">
        <x:f>IF(AG454&gt;1,"Inviavel","OK")</x:f>
        <x:v>OK</x:v>
      </x:c>
      <x:c r="AN454" s="141" t="n">
        <x:f>IF($A454=Premissas!$B$48,Premissas!$B$8,0)</x:f>
        <x:v>0</x:v>
      </x:c>
      <x:c r="AO454" s="141" t="n">
        <x:f>IF($A454&lt;=Premissas!$B$25,INDEX('Consorcio IQ'!$K$6:$K$485,$A454),0)</x:f>
        <x:v>0</x:v>
      </x:c>
      <x:c r="AP454" s="141" t="n">
        <x:f>IF(AND(TRUE,Premissas!$B$11="Imovel",Premissas!$B$47="Moradia",$A454&lt;MAX(Premissas!$B$48,Premissas!$B$49)),$D454,0)</x:f>
        <x:v>0</x:v>
      </x:c>
      <x:c r="AQ454" s="141" t="n">
        <x:f>IF(AND(TRUE,Premissas!$B$11="Imovel",Premissas!$B$47="Investimento",$A454&gt;=MAX(Premissas!$B$48,Premissas!$B$49)),$E454,0)</x:f>
        <x:v>5527.09575669898</x:v>
      </x:c>
      <x:c r="AR454" s="141" t="n">
        <x:f>AN454+AO454+AP454</x:f>
        <x:v>0</x:v>
      </x:c>
      <x:c r="AS454" s="141" t="n">
        <x:f>AQ454</x:f>
        <x:v>5527.09575669898</x:v>
      </x:c>
      <x:c r="AT454" s="141" t="n">
        <x:f>$C454+AS454-AR454</x:f>
        <x:v>5527.09575669898</x:v>
      </x:c>
      <x:c r="AU454" s="141" t="n">
        <x:f>AX453*(1+Premissas!$B$41)+AT454</x:f>
        <x:v>50591769.69321092</x:v>
      </x:c>
      <x:c r="AV454" s="141" t="n">
        <x:f>MAX(0,-AU454)</x:f>
        <x:v>0</x:v>
      </x:c>
      <x:c r="AW454" s="141" t="n">
        <x:f>AW453*(1+Premissas!$B$41)+AV454</x:f>
        <x:v>0</x:v>
      </x:c>
      <x:c r="AX454" s="141" t="n">
        <x:f>MAX(0,AU454)</x:f>
        <x:v>50591769.69321092</x:v>
      </x:c>
      <x:c r="AY454" s="141" t="n">
        <x:f>INDEX('Consorcio IQ'!$P$6:$P$485,$A454)</x:f>
        <x:v>0</x:v>
      </x:c>
      <x:c r="AZ454" s="141" t="n">
        <x:f>IF($A454&gt;=Premissas!$B$48,$F454,0)+IF($A454&lt;Premissas!$B$27,INDEX('Consorcio IQ'!$O$6:$O$485,$A454),0)</x:f>
        <x:v>1769665.2419756835</x:v>
      </x:c>
      <x:c r="BA454" s="141" t="n">
        <x:f>AX454+AZ454-AY454</x:f>
        <x:v>52361434.9351866</x:v>
      </x:c>
      <x:c r="BB454" s="141" t="n">
        <x:f>IF(AW454&gt;1,"Inviavel",BA454)</x:f>
        <x:v>52361434.9351866</x:v>
      </x:c>
      <x:c r="BC454" s="141" t="str">
        <x:f>IF(AW454&gt;1,"Inviavel","OK")</x:f>
        <x:v>OK</x:v>
      </x:c>
      <x:c r="BD454" s="141" t="n">
        <x:f>IF($A454='Consorcio Direto'!$B$29,'Consorcio Direto'!$B$44,0)</x:f>
        <x:v>0</x:v>
      </x:c>
      <x:c r="BE454" s="141" t="n">
        <x:f>IF($A454&lt;='Consorcio Direto'!$B$27,INDEX('Consorcio Direto'!$E$55:$E$534,$A454),0)</x:f>
        <x:v>0</x:v>
      </x:c>
      <x:c r="BF454" s="141" t="n">
        <x:f>IF(AND(TRUE,Premissas!$B$11="Imovel",Premissas!$B$47="Moradia",$A454&lt;MAX('Consorcio Direto'!$B$29,Premissas!$B$49)),$D454,0)</x:f>
        <x:v>0</x:v>
      </x:c>
      <x:c r="BG454" s="141" t="n">
        <x:f>IF(AND(TRUE,Premissas!$B$11="Imovel",Premissas!$B$47="Investimento",$A454&gt;=MAX('Consorcio Direto'!$B$29,Premissas!$B$49)),$E454,0)</x:f>
        <x:v>5527.09575669898</x:v>
      </x:c>
      <x:c r="BH454" s="141" t="n">
        <x:f>BD454+BE454+BF454</x:f>
        <x:v>0</x:v>
      </x:c>
      <x:c r="BI454" s="141" t="n">
        <x:f>BG454</x:f>
        <x:v>5527.09575669898</x:v>
      </x:c>
      <x:c r="BJ454" s="141" t="n">
        <x:f>$C454+BI454-BH454</x:f>
        <x:v>5527.09575669898</x:v>
      </x:c>
      <x:c r="BK454" s="141" t="n">
        <x:f>BN453*(1+Premissas!$B$41)+BJ454</x:f>
        <x:v>48423092.35535737</x:v>
      </x:c>
      <x:c r="BL454" s="141" t="n">
        <x:f>MAX(0,-BK454)</x:f>
        <x:v>0</x:v>
      </x:c>
      <x:c r="BM454" s="141" t="n">
        <x:f>BM453*(1+Premissas!$B$41)+BL454</x:f>
        <x:v>0</x:v>
      </x:c>
      <x:c r="BN454" s="141" t="n">
        <x:f>MAX(0,BK454)</x:f>
        <x:v>48423092.35535737</x:v>
      </x:c>
      <x:c r="BO454" s="141" t="n">
        <x:f>INDEX('Consorcio Direto'!$K$55:$K$534,$A454)</x:f>
        <x:v>0</x:v>
      </x:c>
      <x:c r="BP454" s="141" t="n">
        <x:f>IF($A454&lt;'Consorcio Direto'!$B$29,INDEX('Consorcio Direto'!$L$55:$L$534,$A454),$F454)</x:f>
        <x:v>1769665.2419756835</x:v>
      </x:c>
      <x:c r="BQ454" s="141" t="n">
        <x:f>BN454+BP454-BO454</x:f>
        <x:v>50192757.59733305</x:v>
      </x:c>
      <x:c r="BR454" s="141" t="n">
        <x:f>IF(BM454&gt;1,"Inviavel",BQ454)</x:f>
        <x:v>50192757.59733305</x:v>
      </x:c>
      <x:c r="BS454" s="141" t="str">
        <x:f>IF(BM454&gt;1,"Inviavel","OK")</x:f>
        <x:v>OK</x:v>
      </x:c>
      <x:c r="BT454" s="141" t="n">
        <x:f>IF(AND('Carta Contemplada'!$B$22="Sim",$A454='Carta Contemplada'!$B$23),'Carta Contemplada'!$B$37,0)</x:f>
        <x:v>0</x:v>
      </x:c>
      <x:c r="BU454" s="141" t="n">
        <x:f>IF('Carta Contemplada'!$B$22="Sim",INDEX('Carta Contemplada'!$C$55:$C$1013,$A454),0)</x:f>
        <x:v>0</x:v>
      </x:c>
      <x:c r="BV454" s="141" t="n">
        <x:f>IF(AND('Carta Contemplada'!$B$22="Sim",Premissas!$B$11="Imovel",Premissas!$B$47="Moradia",$A454&lt;MAX('Carta Contemplada'!$B$44,Premissas!$B$49)),$D454,0)</x:f>
        <x:v>0</x:v>
      </x:c>
      <x:c r="BW454" s="141" t="n">
        <x:f>IF(AND('Carta Contemplada'!$B$22="Sim",Premissas!$B$11="Imovel",Premissas!$B$47="Investimento",$A454&gt;=MAX('Carta Contemplada'!$B$44,Premissas!$B$49)),$E454,0)</x:f>
        <x:v>5527.09575669898</x:v>
      </x:c>
      <x:c r="BX454" s="141" t="n">
        <x:f>BT454+BU454+BV454</x:f>
        <x:v>0</x:v>
      </x:c>
      <x:c r="BY454" s="141" t="n">
        <x:f>BW454</x:f>
        <x:v>5527.09575669898</x:v>
      </x:c>
      <x:c r="BZ454" s="141" t="n">
        <x:f>$C454+BY454-BX454</x:f>
        <x:v>5527.09575669898</x:v>
      </x:c>
      <x:c r="CA454" s="141" t="n">
        <x:f>CD453*(1+Premissas!$B$41)+BZ454</x:f>
        <x:v>52005005.027416304</x:v>
      </x:c>
      <x:c r="CB454" s="141" t="n">
        <x:f>MAX(0,-CA454)</x:f>
        <x:v>0</x:v>
      </x:c>
      <x:c r="CC454" s="141" t="n">
        <x:f>CC453*(1+Premissas!$B$41)+CB454</x:f>
        <x:v>0</x:v>
      </x:c>
      <x:c r="CD454" s="141" t="n">
        <x:f>MAX(0,CA454)</x:f>
        <x:v>52005005.027416304</x:v>
      </x:c>
      <x:c r="CE454" s="141" t="n">
        <x:f>IF(AND('Carta Contemplada'!$B$22="Sim",$A454&gt;='Carta Contemplada'!$B$23),INDEX('Carta Contemplada'!$I$55:$I$1013,$A454),0)</x:f>
        <x:v>0</x:v>
      </x:c>
      <x:c r="CF454" s="141" t="n">
        <x:f>IF(AND('Carta Contemplada'!$B$22="Sim",$A454&gt;='Carta Contemplada'!$B$44),$F454,0)</x:f>
        <x:v>1769665.2419756835</x:v>
      </x:c>
      <x:c r="CG454" s="141" t="n">
        <x:f>CD454+CF454-CE454</x:f>
        <x:v>53774670.269391984</x:v>
      </x:c>
      <x:c r="CH454" s="141" t="n">
        <x:f>IF(CC454&gt;1,"Inviavel",CG454)</x:f>
        <x:v>53774670.269391984</x:v>
      </x:c>
      <x:c r="CI454" s="145" t="str">
        <x:f>IF(CC454&gt;1,"Inviavel","OK")</x:f>
        <x:v>OK</x:v>
      </x:c>
    </x:row>
    <x:row r="455">
      <x:c r="A455" s="142" t="n">
        <x:v>451</x:v>
      </x:c>
      <x:c r="B455" s="179" t="n">
        <x:f>EDATE(Premissas!$B$4,A455-1)</x:f>
        <x:v>60237</x:v>
      </x:c>
      <x:c r="C455" s="141" t="n">
        <x:f>IF(A455&lt;=Premissas!$B$39,Premissas!$B$42,0)</x:f>
        <x:v>0</x:v>
      </x:c>
      <x:c r="D455" s="141" t="n">
        <x:f>Premissas!$B$54*(1+Premissas!$B$57)^INT((A455-1)/12)</x:f>
        <x:v>6045.260983889509</x:v>
      </x:c>
      <x:c r="E455" s="141" t="n">
        <x:f>Premissas!$B$64*(1+Premissas!$B$57)^INT((A455-1)/12)</x:f>
        <x:v>5527.09575669898</x:v>
      </x:c>
      <x:c r="F455" s="141" t="n">
        <x:f>MAX(0,Premissas!$B$6*(1+Premissas!$B$66)^((A455-1)/12))</x:f>
        <x:v>1778279.1770247305</x:v>
      </x:c>
      <x:c r="G455" s="141" t="n">
        <x:f>G454*(1+Premissas!$B$41)+C455</x:f>
        <x:v>57519026.97354437</x:v>
      </x:c>
      <x:c r="H455" s="141" t="n">
        <x:f>IF($A455=Premissas!$B$48,Premissas!$B$8,0)</x:f>
        <x:v>0</x:v>
      </x:c>
      <x:c r="I455" s="141" t="n">
        <x:f>IF(AND($A455&gt;=Premissas!$B$48,$A455-Premissas!$B$48+1&lt;=Premissas!$B$13),INDEX(Financiamento!$J$6:$J$485,$A455-Premissas!$B$48+1),0)</x:f>
        <x:v>0</x:v>
      </x:c>
      <x:c r="J455" s="141" t="n">
        <x:f>IF(AND(TRUE,Premissas!$B$11="Imovel",Premissas!$B$47="Moradia",$A455&lt;MAX(Premissas!$B$48,Premissas!$B$49)),$D455,0)</x:f>
        <x:v>0</x:v>
      </x:c>
      <x:c r="K455" s="141" t="n">
        <x:f>IF(AND(TRUE,Premissas!$B$11="Imovel",Premissas!$B$47="Investimento",$A455&gt;=MAX(Premissas!$B$48,Premissas!$B$49)),$E455,0)</x:f>
        <x:v>5527.09575669898</x:v>
      </x:c>
      <x:c r="L455" s="141" t="n">
        <x:f>H455+I455+J455</x:f>
        <x:v>0</x:v>
      </x:c>
      <x:c r="M455" s="141" t="n">
        <x:f>K455</x:f>
        <x:v>5527.09575669898</x:v>
      </x:c>
      <x:c r="N455" s="141" t="n">
        <x:f>$C455+M455-L455</x:f>
        <x:v>5527.09575669898</x:v>
      </x:c>
      <x:c r="O455" s="141" t="n">
        <x:f>R454*(1+Premissas!$B$41)+N455</x:f>
        <x:v>50636828.558148496</x:v>
      </x:c>
      <x:c r="P455" s="141" t="n">
        <x:f>MAX(0,-O455)</x:f>
        <x:v>0</x:v>
      </x:c>
      <x:c r="Q455" s="141" t="n">
        <x:f>Q454*(1+Premissas!$B$41)+P455</x:f>
        <x:v>0</x:v>
      </x:c>
      <x:c r="R455" s="141" t="n">
        <x:f>MAX(0,O455)</x:f>
        <x:v>50636828.558148496</x:v>
      </x:c>
      <x:c r="S455" s="141" t="n">
        <x:f>IF(AND($A455&gt;=Premissas!$B$48,$A455-Premissas!$B$48+1&lt;=Premissas!$B$13),INDEX(Financiamento!$M$6:$M$485,$A455-Premissas!$B$48+1),0)</x:f>
        <x:v>0</x:v>
      </x:c>
      <x:c r="T455" s="141" t="n">
        <x:f>IF($A455&gt;=Premissas!$B$48,$F455,0)</x:f>
        <x:v>1778279.1770247305</x:v>
      </x:c>
      <x:c r="U455" s="141" t="n">
        <x:f>R455+T455-S455</x:f>
        <x:v>52415107.735173225</x:v>
      </x:c>
      <x:c r="V455" s="141" t="n">
        <x:f>IF(Q455&gt;1,"Inviavel",U455)</x:f>
        <x:v>52415107.735173225</x:v>
      </x:c>
      <x:c r="W455" s="141" t="str">
        <x:f>IF(Q455&gt;1,"Inviavel","OK")</x:f>
        <x:v>OK</x:v>
      </x:c>
      <x:c r="X455" s="141" t="n">
        <x:f>IF($A455=Premissas!$B$48,Premissas!$B$8,0)</x:f>
        <x:v>0</x:v>
      </x:c>
      <x:c r="Y455" s="141" t="n">
        <x:f>IF(AND($A455&gt;=Premissas!$B$48,$A455-Premissas!$B$48+1&lt;=Premissas!$B$13),INDEX(Amortizacao!$K$6:$K$485,$A455-Premissas!$B$48+1),0)</x:f>
        <x:v>0</x:v>
      </x:c>
      <x:c r="Z455" s="141" t="n">
        <x:f>IF(AND(TRUE,Premissas!$B$11="Imovel",Premissas!$B$47="Moradia",$A455&lt;MAX(Premissas!$B$48,Premissas!$B$49)),$D455,0)</x:f>
        <x:v>0</x:v>
      </x:c>
      <x:c r="AA455" s="141" t="n">
        <x:f>IF(AND(TRUE,Premissas!$B$11="Imovel",Premissas!$B$47="Investimento",$A455&gt;=MAX(Premissas!$B$48,Premissas!$B$49)),$E455,0)</x:f>
        <x:v>5527.09575669898</x:v>
      </x:c>
      <x:c r="AB455" s="141" t="n">
        <x:f>X455+Y455+Z455</x:f>
        <x:v>0</x:v>
      </x:c>
      <x:c r="AC455" s="141" t="n">
        <x:f>AA455</x:f>
        <x:v>5527.09575669898</x:v>
      </x:c>
      <x:c r="AD455" s="141" t="n">
        <x:f>$C455+AC455-AB455</x:f>
        <x:v>5527.09575669898</x:v>
      </x:c>
      <x:c r="AE455" s="141" t="n">
        <x:f>AH454*(1+Premissas!$B$41)+AD455</x:f>
        <x:v>51482440.020458475</x:v>
      </x:c>
      <x:c r="AF455" s="141" t="n">
        <x:f>MAX(0,-AE455)</x:f>
        <x:v>0</x:v>
      </x:c>
      <x:c r="AG455" s="141" t="n">
        <x:f>AG454*(1+Premissas!$B$41)+AF455</x:f>
        <x:v>0</x:v>
      </x:c>
      <x:c r="AH455" s="141" t="n">
        <x:f>MAX(0,AE455)</x:f>
        <x:v>51482440.020458475</x:v>
      </x:c>
      <x:c r="AI455" s="141" t="n">
        <x:f>IF(AND($A455&gt;=Premissas!$B$48,$A455-Premissas!$B$48+1&lt;=Premissas!$B$13),INDEX(Amortizacao!$L$6:$L$485,$A455-Premissas!$B$48+1),0)</x:f>
        <x:v>0</x:v>
      </x:c>
      <x:c r="AJ455" s="141" t="n">
        <x:f>IF($A455&gt;=Premissas!$B$48,$F455,0)</x:f>
        <x:v>1778279.1770247305</x:v>
      </x:c>
      <x:c r="AK455" s="141" t="n">
        <x:f>AH455+AJ455-AI455</x:f>
        <x:v>53260719.197483204</x:v>
      </x:c>
      <x:c r="AL455" s="141" t="n">
        <x:f>IF(AG455&gt;1,"Inviavel",AK455)</x:f>
        <x:v>53260719.197483204</x:v>
      </x:c>
      <x:c r="AM455" s="141" t="str">
        <x:f>IF(AG455&gt;1,"Inviavel","OK")</x:f>
        <x:v>OK</x:v>
      </x:c>
      <x:c r="AN455" s="141" t="n">
        <x:f>IF($A455=Premissas!$B$48,Premissas!$B$8,0)</x:f>
        <x:v>0</x:v>
      </x:c>
      <x:c r="AO455" s="141" t="n">
        <x:f>IF($A455&lt;=Premissas!$B$25,INDEX('Consorcio IQ'!$K$6:$K$485,$A455),0)</x:f>
        <x:v>0</x:v>
      </x:c>
      <x:c r="AP455" s="141" t="n">
        <x:f>IF(AND(TRUE,Premissas!$B$11="Imovel",Premissas!$B$47="Moradia",$A455&lt;MAX(Premissas!$B$48,Premissas!$B$49)),$D455,0)</x:f>
        <x:v>0</x:v>
      </x:c>
      <x:c r="AQ455" s="141" t="n">
        <x:f>IF(AND(TRUE,Premissas!$B$11="Imovel",Premissas!$B$47="Investimento",$A455&gt;=MAX(Premissas!$B$48,Premissas!$B$49)),$E455,0)</x:f>
        <x:v>5527.09575669898</x:v>
      </x:c>
      <x:c r="AR455" s="141" t="n">
        <x:f>AN455+AO455+AP455</x:f>
        <x:v>0</x:v>
      </x:c>
      <x:c r="AS455" s="141" t="n">
        <x:f>AQ455</x:f>
        <x:v>5527.09575669898</x:v>
      </x:c>
      <x:c r="AT455" s="141" t="n">
        <x:f>$C455+AS455-AR455</x:f>
        <x:v>5527.09575669898</x:v>
      </x:c>
      <x:c r="AU455" s="141" t="n">
        <x:f>AX454*(1+Premissas!$B$41)+AT455</x:f>
        <x:v>51077351.615780614</x:v>
      </x:c>
      <x:c r="AV455" s="141" t="n">
        <x:f>MAX(0,-AU455)</x:f>
        <x:v>0</x:v>
      </x:c>
      <x:c r="AW455" s="141" t="n">
        <x:f>AW454*(1+Premissas!$B$41)+AV455</x:f>
        <x:v>0</x:v>
      </x:c>
      <x:c r="AX455" s="141" t="n">
        <x:f>MAX(0,AU455)</x:f>
        <x:v>51077351.615780614</x:v>
      </x:c>
      <x:c r="AY455" s="141" t="n">
        <x:f>INDEX('Consorcio IQ'!$P$6:$P$485,$A455)</x:f>
        <x:v>0</x:v>
      </x:c>
      <x:c r="AZ455" s="141" t="n">
        <x:f>IF($A455&gt;=Premissas!$B$48,$F455,0)+IF($A455&lt;Premissas!$B$27,INDEX('Consorcio IQ'!$O$6:$O$485,$A455),0)</x:f>
        <x:v>1778279.1770247305</x:v>
      </x:c>
      <x:c r="BA455" s="141" t="n">
        <x:f>AX455+AZ455-AY455</x:f>
        <x:v>52855630.792805344</x:v>
      </x:c>
      <x:c r="BB455" s="141" t="n">
        <x:f>IF(AW455&gt;1,"Inviavel",BA455)</x:f>
        <x:v>52855630.792805344</x:v>
      </x:c>
      <x:c r="BC455" s="141" t="str">
        <x:f>IF(AW455&gt;1,"Inviavel","OK")</x:f>
        <x:v>OK</x:v>
      </x:c>
      <x:c r="BD455" s="141" t="n">
        <x:f>IF($A455='Consorcio Direto'!$B$29,'Consorcio Direto'!$B$44,0)</x:f>
        <x:v>0</x:v>
      </x:c>
      <x:c r="BE455" s="141" t="n">
        <x:f>IF($A455&lt;='Consorcio Direto'!$B$27,INDEX('Consorcio Direto'!$E$55:$E$534,$A455),0)</x:f>
        <x:v>0</x:v>
      </x:c>
      <x:c r="BF455" s="141" t="n">
        <x:f>IF(AND(TRUE,Premissas!$B$11="Imovel",Premissas!$B$47="Moradia",$A455&lt;MAX('Consorcio Direto'!$B$29,Premissas!$B$49)),$D455,0)</x:f>
        <x:v>0</x:v>
      </x:c>
      <x:c r="BG455" s="141" t="n">
        <x:f>IF(AND(TRUE,Premissas!$B$11="Imovel",Premissas!$B$47="Investimento",$A455&gt;=MAX('Consorcio Direto'!$B$29,Premissas!$B$49)),$E455,0)</x:f>
        <x:v>5527.09575669898</x:v>
      </x:c>
      <x:c r="BH455" s="141" t="n">
        <x:f>BD455+BE455+BF455</x:f>
        <x:v>0</x:v>
      </x:c>
      <x:c r="BI455" s="141" t="n">
        <x:f>BG455</x:f>
        <x:v>5527.09575669898</x:v>
      </x:c>
      <x:c r="BJ455" s="141" t="n">
        <x:f>$C455+BI455-BH455</x:f>
        <x:v>5527.09575669898</x:v>
      </x:c>
      <x:c r="BK455" s="141" t="n">
        <x:f>BN454*(1+Premissas!$B$41)+BJ455</x:f>
        <x:v>48888096.14772625</x:v>
      </x:c>
      <x:c r="BL455" s="141" t="n">
        <x:f>MAX(0,-BK455)</x:f>
        <x:v>0</x:v>
      </x:c>
      <x:c r="BM455" s="141" t="n">
        <x:f>BM454*(1+Premissas!$B$41)+BL455</x:f>
        <x:v>0</x:v>
      </x:c>
      <x:c r="BN455" s="141" t="n">
        <x:f>MAX(0,BK455)</x:f>
        <x:v>48888096.14772625</x:v>
      </x:c>
      <x:c r="BO455" s="141" t="n">
        <x:f>INDEX('Consorcio Direto'!$K$55:$K$534,$A455)</x:f>
        <x:v>0</x:v>
      </x:c>
      <x:c r="BP455" s="141" t="n">
        <x:f>IF($A455&lt;'Consorcio Direto'!$B$29,INDEX('Consorcio Direto'!$L$55:$L$534,$A455),$F455)</x:f>
        <x:v>1778279.1770247305</x:v>
      </x:c>
      <x:c r="BQ455" s="141" t="n">
        <x:f>BN455+BP455-BO455</x:f>
        <x:v>50666375.32475098</x:v>
      </x:c>
      <x:c r="BR455" s="141" t="n">
        <x:f>IF(BM455&gt;1,"Inviavel",BQ455)</x:f>
        <x:v>50666375.32475098</x:v>
      </x:c>
      <x:c r="BS455" s="141" t="str">
        <x:f>IF(BM455&gt;1,"Inviavel","OK")</x:f>
        <x:v>OK</x:v>
      </x:c>
      <x:c r="BT455" s="141" t="n">
        <x:f>IF(AND('Carta Contemplada'!$B$22="Sim",$A455='Carta Contemplada'!$B$23),'Carta Contemplada'!$B$37,0)</x:f>
        <x:v>0</x:v>
      </x:c>
      <x:c r="BU455" s="141" t="n">
        <x:f>IF('Carta Contemplada'!$B$22="Sim",INDEX('Carta Contemplada'!$C$55:$C$1013,$A455),0)</x:f>
        <x:v>0</x:v>
      </x:c>
      <x:c r="BV455" s="141" t="n">
        <x:f>IF(AND('Carta Contemplada'!$B$22="Sim",Premissas!$B$11="Imovel",Premissas!$B$47="Moradia",$A455&lt;MAX('Carta Contemplada'!$B$44,Premissas!$B$49)),$D455,0)</x:f>
        <x:v>0</x:v>
      </x:c>
      <x:c r="BW455" s="141" t="n">
        <x:f>IF(AND('Carta Contemplada'!$B$22="Sim",Premissas!$B$11="Imovel",Premissas!$B$47="Investimento",$A455&gt;=MAX('Carta Contemplada'!$B$44,Premissas!$B$49)),$E455,0)</x:f>
        <x:v>5527.09575669898</x:v>
      </x:c>
      <x:c r="BX455" s="141" t="n">
        <x:f>BT455+BU455+BV455</x:f>
        <x:v>0</x:v>
      </x:c>
      <x:c r="BY455" s="141" t="n">
        <x:f>BW455</x:f>
        <x:v>5527.09575669898</x:v>
      </x:c>
      <x:c r="BZ455" s="141" t="n">
        <x:f>$C455+BY455-BX455</x:f>
        <x:v>5527.09575669898</x:v>
      </x:c>
      <x:c r="CA455" s="141" t="n">
        <x:f>CD454*(1+Premissas!$B$41)+BZ455</x:f>
        <x:v>52503996.84744011</x:v>
      </x:c>
      <x:c r="CB455" s="141" t="n">
        <x:f>MAX(0,-CA455)</x:f>
        <x:v>0</x:v>
      </x:c>
      <x:c r="CC455" s="141" t="n">
        <x:f>CC454*(1+Premissas!$B$41)+CB455</x:f>
        <x:v>0</x:v>
      </x:c>
      <x:c r="CD455" s="141" t="n">
        <x:f>MAX(0,CA455)</x:f>
        <x:v>52503996.84744011</x:v>
      </x:c>
      <x:c r="CE455" s="141" t="n">
        <x:f>IF(AND('Carta Contemplada'!$B$22="Sim",$A455&gt;='Carta Contemplada'!$B$23),INDEX('Carta Contemplada'!$I$55:$I$1013,$A455),0)</x:f>
        <x:v>0</x:v>
      </x:c>
      <x:c r="CF455" s="141" t="n">
        <x:f>IF(AND('Carta Contemplada'!$B$22="Sim",$A455&gt;='Carta Contemplada'!$B$44),$F455,0)</x:f>
        <x:v>1778279.1770247305</x:v>
      </x:c>
      <x:c r="CG455" s="141" t="n">
        <x:f>CD455+CF455-CE455</x:f>
        <x:v>54282276.02446484</x:v>
      </x:c>
      <x:c r="CH455" s="141" t="n">
        <x:f>IF(CC455&gt;1,"Inviavel",CG455)</x:f>
        <x:v>54282276.02446484</x:v>
      </x:c>
      <x:c r="CI455" s="145" t="str">
        <x:f>IF(CC455&gt;1,"Inviavel","OK")</x:f>
        <x:v>OK</x:v>
      </x:c>
    </x:row>
    <x:row r="456">
      <x:c r="A456" s="142" t="n">
        <x:v>452</x:v>
      </x:c>
      <x:c r="B456" s="179" t="n">
        <x:f>EDATE(Premissas!$B$4,A456-1)</x:f>
        <x:v>60268</x:v>
      </x:c>
      <x:c r="C456" s="141" t="n">
        <x:f>IF(A456&lt;=Premissas!$B$39,Premissas!$B$42,0)</x:f>
        <x:v>0</x:v>
      </x:c>
      <x:c r="D456" s="141" t="n">
        <x:f>Premissas!$B$54*(1+Premissas!$B$57)^INT((A456-1)/12)</x:f>
        <x:v>6045.260983889509</x:v>
      </x:c>
      <x:c r="E456" s="141" t="n">
        <x:f>Premissas!$B$64*(1+Premissas!$B$57)^INT((A456-1)/12)</x:f>
        <x:v>5527.09575669898</x:v>
      </x:c>
      <x:c r="F456" s="141" t="n">
        <x:f>MAX(0,Premissas!$B$6*(1+Premissas!$B$66)^((A456-1)/12))</x:f>
        <x:v>1786935.040838195</x:v>
      </x:c>
      <x:c r="G456" s="141" t="n">
        <x:f>G455*(1+Premissas!$B$41)+C456</x:f>
        <x:v>58064813.11029503</x:v>
      </x:c>
      <x:c r="H456" s="141" t="n">
        <x:f>IF($A456=Premissas!$B$48,Premissas!$B$8,0)</x:f>
        <x:v>0</x:v>
      </x:c>
      <x:c r="I456" s="141" t="n">
        <x:f>IF(AND($A456&gt;=Premissas!$B$48,$A456-Premissas!$B$48+1&lt;=Premissas!$B$13),INDEX(Financiamento!$J$6:$J$485,$A456-Premissas!$B$48+1),0)</x:f>
        <x:v>0</x:v>
      </x:c>
      <x:c r="J456" s="141" t="n">
        <x:f>IF(AND(TRUE,Premissas!$B$11="Imovel",Premissas!$B$47="Moradia",$A456&lt;MAX(Premissas!$B$48,Premissas!$B$49)),$D456,0)</x:f>
        <x:v>0</x:v>
      </x:c>
      <x:c r="K456" s="141" t="n">
        <x:f>IF(AND(TRUE,Premissas!$B$11="Imovel",Premissas!$B$47="Investimento",$A456&gt;=MAX(Premissas!$B$48,Premissas!$B$49)),$E456,0)</x:f>
        <x:v>5527.09575669898</x:v>
      </x:c>
      <x:c r="L456" s="141" t="n">
        <x:f>H456+I456+J456</x:f>
        <x:v>0</x:v>
      </x:c>
      <x:c r="M456" s="141" t="n">
        <x:f>K456</x:f>
        <x:v>5527.09575669898</x:v>
      </x:c>
      <x:c r="N456" s="141" t="n">
        <x:f>$C456+M456-L456</x:f>
        <x:v>5527.09575669898</x:v>
      </x:c>
      <x:c r="O456" s="141" t="n">
        <x:f>R455*(1+Premissas!$B$41)+N456</x:f>
        <x:v>51122838.03495745</x:v>
      </x:c>
      <x:c r="P456" s="141" t="n">
        <x:f>MAX(0,-O456)</x:f>
        <x:v>0</x:v>
      </x:c>
      <x:c r="Q456" s="141" t="n">
        <x:f>Q455*(1+Premissas!$B$41)+P456</x:f>
        <x:v>0</x:v>
      </x:c>
      <x:c r="R456" s="141" t="n">
        <x:f>MAX(0,O456)</x:f>
        <x:v>51122838.03495745</x:v>
      </x:c>
      <x:c r="S456" s="141" t="n">
        <x:f>IF(AND($A456&gt;=Premissas!$B$48,$A456-Premissas!$B$48+1&lt;=Premissas!$B$13),INDEX(Financiamento!$M$6:$M$485,$A456-Premissas!$B$48+1),0)</x:f>
        <x:v>0</x:v>
      </x:c>
      <x:c r="T456" s="141" t="n">
        <x:f>IF($A456&gt;=Premissas!$B$48,$F456,0)</x:f>
        <x:v>1786935.040838195</x:v>
      </x:c>
      <x:c r="U456" s="141" t="n">
        <x:f>R456+T456-S456</x:f>
        <x:v>52909773.07579565</x:v>
      </x:c>
      <x:c r="V456" s="141" t="n">
        <x:f>IF(Q456&gt;1,"Inviavel",U456)</x:f>
        <x:v>52909773.07579565</x:v>
      </x:c>
      <x:c r="W456" s="141" t="str">
        <x:f>IF(Q456&gt;1,"Inviavel","OK")</x:f>
        <x:v>OK</x:v>
      </x:c>
      <x:c r="X456" s="141" t="n">
        <x:f>IF($A456=Premissas!$B$48,Premissas!$B$8,0)</x:f>
        <x:v>0</x:v>
      </x:c>
      <x:c r="Y456" s="141" t="n">
        <x:f>IF(AND($A456&gt;=Premissas!$B$48,$A456-Premissas!$B$48+1&lt;=Premissas!$B$13),INDEX(Amortizacao!$K$6:$K$485,$A456-Premissas!$B$48+1),0)</x:f>
        <x:v>0</x:v>
      </x:c>
      <x:c r="Z456" s="141" t="n">
        <x:f>IF(AND(TRUE,Premissas!$B$11="Imovel",Premissas!$B$47="Moradia",$A456&lt;MAX(Premissas!$B$48,Premissas!$B$49)),$D456,0)</x:f>
        <x:v>0</x:v>
      </x:c>
      <x:c r="AA456" s="141" t="n">
        <x:f>IF(AND(TRUE,Premissas!$B$11="Imovel",Premissas!$B$47="Investimento",$A456&gt;=MAX(Premissas!$B$48,Premissas!$B$49)),$E456,0)</x:f>
        <x:v>5527.09575669898</x:v>
      </x:c>
      <x:c r="AB456" s="141" t="n">
        <x:f>X456+Y456+Z456</x:f>
        <x:v>0</x:v>
      </x:c>
      <x:c r="AC456" s="141" t="n">
        <x:f>AA456</x:f>
        <x:v>5527.09575669898</x:v>
      </x:c>
      <x:c r="AD456" s="141" t="n">
        <x:f>$C456+AC456-AB456</x:f>
        <x:v>5527.09575669898</x:v>
      </x:c>
      <x:c r="AE456" s="141" t="n">
        <x:f>AH455*(1+Premissas!$B$41)+AD456</x:f>
        <x:v>51976473.3293364</x:v>
      </x:c>
      <x:c r="AF456" s="141" t="n">
        <x:f>MAX(0,-AE456)</x:f>
        <x:v>0</x:v>
      </x:c>
      <x:c r="AG456" s="141" t="n">
        <x:f>AG455*(1+Premissas!$B$41)+AF456</x:f>
        <x:v>0</x:v>
      </x:c>
      <x:c r="AH456" s="141" t="n">
        <x:f>MAX(0,AE456)</x:f>
        <x:v>51976473.3293364</x:v>
      </x:c>
      <x:c r="AI456" s="141" t="n">
        <x:f>IF(AND($A456&gt;=Premissas!$B$48,$A456-Premissas!$B$48+1&lt;=Premissas!$B$13),INDEX(Amortizacao!$L$6:$L$485,$A456-Premissas!$B$48+1),0)</x:f>
        <x:v>0</x:v>
      </x:c>
      <x:c r="AJ456" s="141" t="n">
        <x:f>IF($A456&gt;=Premissas!$B$48,$F456,0)</x:f>
        <x:v>1786935.040838195</x:v>
      </x:c>
      <x:c r="AK456" s="141" t="n">
        <x:f>AH456+AJ456-AI456</x:f>
        <x:v>53763408.370174594</x:v>
      </x:c>
      <x:c r="AL456" s="141" t="n">
        <x:f>IF(AG456&gt;1,"Inviavel",AK456)</x:f>
        <x:v>53763408.370174594</x:v>
      </x:c>
      <x:c r="AM456" s="141" t="str">
        <x:f>IF(AG456&gt;1,"Inviavel","OK")</x:f>
        <x:v>OK</x:v>
      </x:c>
      <x:c r="AN456" s="141" t="n">
        <x:f>IF($A456=Premissas!$B$48,Premissas!$B$8,0)</x:f>
        <x:v>0</x:v>
      </x:c>
      <x:c r="AO456" s="141" t="n">
        <x:f>IF($A456&lt;=Premissas!$B$25,INDEX('Consorcio IQ'!$K$6:$K$485,$A456),0)</x:f>
        <x:v>0</x:v>
      </x:c>
      <x:c r="AP456" s="141" t="n">
        <x:f>IF(AND(TRUE,Premissas!$B$11="Imovel",Premissas!$B$47="Moradia",$A456&lt;MAX(Premissas!$B$48,Premissas!$B$49)),$D456,0)</x:f>
        <x:v>0</x:v>
      </x:c>
      <x:c r="AQ456" s="141" t="n">
        <x:f>IF(AND(TRUE,Premissas!$B$11="Imovel",Premissas!$B$47="Investimento",$A456&gt;=MAX(Premissas!$B$48,Premissas!$B$49)),$E456,0)</x:f>
        <x:v>5527.09575669898</x:v>
      </x:c>
      <x:c r="AR456" s="141" t="n">
        <x:f>AN456+AO456+AP456</x:f>
        <x:v>0</x:v>
      </x:c>
      <x:c r="AS456" s="141" t="n">
        <x:f>AQ456</x:f>
        <x:v>5527.09575669898</x:v>
      </x:c>
      <x:c r="AT456" s="141" t="n">
        <x:f>$C456+AS456-AR456</x:f>
        <x:v>5527.09575669898</x:v>
      </x:c>
      <x:c r="AU456" s="141" t="n">
        <x:f>AX455*(1+Premissas!$B$41)+AT456</x:f>
        <x:v>51567541.12466635</x:v>
      </x:c>
      <x:c r="AV456" s="141" t="n">
        <x:f>MAX(0,-AU456)</x:f>
        <x:v>0</x:v>
      </x:c>
      <x:c r="AW456" s="141" t="n">
        <x:f>AW455*(1+Premissas!$B$41)+AV456</x:f>
        <x:v>0</x:v>
      </x:c>
      <x:c r="AX456" s="141" t="n">
        <x:f>MAX(0,AU456)</x:f>
        <x:v>51567541.12466635</x:v>
      </x:c>
      <x:c r="AY456" s="141" t="n">
        <x:f>INDEX('Consorcio IQ'!$P$6:$P$485,$A456)</x:f>
        <x:v>0</x:v>
      </x:c>
      <x:c r="AZ456" s="141" t="n">
        <x:f>IF($A456&gt;=Premissas!$B$48,$F456,0)+IF($A456&lt;Premissas!$B$27,INDEX('Consorcio IQ'!$O$6:$O$485,$A456),0)</x:f>
        <x:v>1786935.040838195</x:v>
      </x:c>
      <x:c r="BA456" s="141" t="n">
        <x:f>AX456+AZ456-AY456</x:f>
        <x:v>53354476.165504545</x:v>
      </x:c>
      <x:c r="BB456" s="141" t="n">
        <x:f>IF(AW456&gt;1,"Inviavel",BA456)</x:f>
        <x:v>53354476.165504545</x:v>
      </x:c>
      <x:c r="BC456" s="141" t="str">
        <x:f>IF(AW456&gt;1,"Inviavel","OK")</x:f>
        <x:v>OK</x:v>
      </x:c>
      <x:c r="BD456" s="141" t="n">
        <x:f>IF($A456='Consorcio Direto'!$B$29,'Consorcio Direto'!$B$44,0)</x:f>
        <x:v>0</x:v>
      </x:c>
      <x:c r="BE456" s="141" t="n">
        <x:f>IF($A456&lt;='Consorcio Direto'!$B$27,INDEX('Consorcio Direto'!$E$55:$E$534,$A456),0)</x:f>
        <x:v>0</x:v>
      </x:c>
      <x:c r="BF456" s="141" t="n">
        <x:f>IF(AND(TRUE,Premissas!$B$11="Imovel",Premissas!$B$47="Moradia",$A456&lt;MAX('Consorcio Direto'!$B$29,Premissas!$B$49)),$D456,0)</x:f>
        <x:v>0</x:v>
      </x:c>
      <x:c r="BG456" s="141" t="n">
        <x:f>IF(AND(TRUE,Premissas!$B$11="Imovel",Premissas!$B$47="Investimento",$A456&gt;=MAX('Consorcio Direto'!$B$29,Premissas!$B$49)),$E456,0)</x:f>
        <x:v>5527.09575669898</x:v>
      </x:c>
      <x:c r="BH456" s="141" t="n">
        <x:f>BD456+BE456+BF456</x:f>
        <x:v>0</x:v>
      </x:c>
      <x:c r="BI456" s="141" t="n">
        <x:f>BG456</x:f>
        <x:v>5527.09575669898</x:v>
      </x:c>
      <x:c r="BJ456" s="141" t="n">
        <x:f>$C456+BI456-BH456</x:f>
        <x:v>5527.09575669898</x:v>
      </x:c>
      <x:c r="BK456" s="141" t="n">
        <x:f>BN455*(1+Premissas!$B$41)+BJ456</x:f>
        <x:v>49357512.264794715</x:v>
      </x:c>
      <x:c r="BL456" s="141" t="n">
        <x:f>MAX(0,-BK456)</x:f>
        <x:v>0</x:v>
      </x:c>
      <x:c r="BM456" s="141" t="n">
        <x:f>BM455*(1+Premissas!$B$41)+BL456</x:f>
        <x:v>0</x:v>
      </x:c>
      <x:c r="BN456" s="141" t="n">
        <x:f>MAX(0,BK456)</x:f>
        <x:v>49357512.264794715</x:v>
      </x:c>
      <x:c r="BO456" s="141" t="n">
        <x:f>INDEX('Consorcio Direto'!$K$55:$K$534,$A456)</x:f>
        <x:v>0</x:v>
      </x:c>
      <x:c r="BP456" s="141" t="n">
        <x:f>IF($A456&lt;'Consorcio Direto'!$B$29,INDEX('Consorcio Direto'!$L$55:$L$534,$A456),$F456)</x:f>
        <x:v>1786935.040838195</x:v>
      </x:c>
      <x:c r="BQ456" s="141" t="n">
        <x:f>BN456+BP456-BO456</x:f>
        <x:v>51144447.30563291</x:v>
      </x:c>
      <x:c r="BR456" s="141" t="n">
        <x:f>IF(BM456&gt;1,"Inviavel",BQ456)</x:f>
        <x:v>51144447.30563291</x:v>
      </x:c>
      <x:c r="BS456" s="141" t="str">
        <x:f>IF(BM456&gt;1,"Inviavel","OK")</x:f>
        <x:v>OK</x:v>
      </x:c>
      <x:c r="BT456" s="141" t="n">
        <x:f>IF(AND('Carta Contemplada'!$B$22="Sim",$A456='Carta Contemplada'!$B$23),'Carta Contemplada'!$B$37,0)</x:f>
        <x:v>0</x:v>
      </x:c>
      <x:c r="BU456" s="141" t="n">
        <x:f>IF('Carta Contemplada'!$B$22="Sim",INDEX('Carta Contemplada'!$C$55:$C$1013,$A456),0)</x:f>
        <x:v>0</x:v>
      </x:c>
      <x:c r="BV456" s="141" t="n">
        <x:f>IF(AND('Carta Contemplada'!$B$22="Sim",Premissas!$B$11="Imovel",Premissas!$B$47="Moradia",$A456&lt;MAX('Carta Contemplada'!$B$44,Premissas!$B$49)),$D456,0)</x:f>
        <x:v>0</x:v>
      </x:c>
      <x:c r="BW456" s="141" t="n">
        <x:f>IF(AND('Carta Contemplada'!$B$22="Sim",Premissas!$B$11="Imovel",Premissas!$B$47="Investimento",$A456&gt;=MAX('Carta Contemplada'!$B$44,Premissas!$B$49)),$E456,0)</x:f>
        <x:v>5527.09575669898</x:v>
      </x:c>
      <x:c r="BX456" s="141" t="n">
        <x:f>BT456+BU456+BV456</x:f>
        <x:v>0</x:v>
      </x:c>
      <x:c r="BY456" s="141" t="n">
        <x:f>BW456</x:f>
        <x:v>5527.09575669898</x:v>
      </x:c>
      <x:c r="BZ456" s="141" t="n">
        <x:f>$C456+BY456-BX456</x:f>
        <x:v>5527.09575669898</x:v>
      </x:c>
      <x:c r="CA456" s="141" t="n">
        <x:f>CD455*(1+Premissas!$B$41)+BZ456</x:f>
        <x:v>53007723.49752017</x:v>
      </x:c>
      <x:c r="CB456" s="141" t="n">
        <x:f>MAX(0,-CA456)</x:f>
        <x:v>0</x:v>
      </x:c>
      <x:c r="CC456" s="141" t="n">
        <x:f>CC455*(1+Premissas!$B$41)+CB456</x:f>
        <x:v>0</x:v>
      </x:c>
      <x:c r="CD456" s="141" t="n">
        <x:f>MAX(0,CA456)</x:f>
        <x:v>53007723.49752017</x:v>
      </x:c>
      <x:c r="CE456" s="141" t="n">
        <x:f>IF(AND('Carta Contemplada'!$B$22="Sim",$A456&gt;='Carta Contemplada'!$B$23),INDEX('Carta Contemplada'!$I$55:$I$1013,$A456),0)</x:f>
        <x:v>0</x:v>
      </x:c>
      <x:c r="CF456" s="141" t="n">
        <x:f>IF(AND('Carta Contemplada'!$B$22="Sim",$A456&gt;='Carta Contemplada'!$B$44),$F456,0)</x:f>
        <x:v>1786935.040838195</x:v>
      </x:c>
      <x:c r="CG456" s="141" t="n">
        <x:f>CD456+CF456-CE456</x:f>
        <x:v>54794658.53835837</x:v>
      </x:c>
      <x:c r="CH456" s="141" t="n">
        <x:f>IF(CC456&gt;1,"Inviavel",CG456)</x:f>
        <x:v>54794658.53835837</x:v>
      </x:c>
      <x:c r="CI456" s="145" t="str">
        <x:f>IF(CC456&gt;1,"Inviavel","OK")</x:f>
        <x:v>OK</x:v>
      </x:c>
    </x:row>
    <x:row r="457">
      <x:c r="A457" s="142" t="n">
        <x:v>453</x:v>
      </x:c>
      <x:c r="B457" s="179" t="n">
        <x:f>EDATE(Premissas!$B$4,A457-1)</x:f>
        <x:v>60299</x:v>
      </x:c>
      <x:c r="C457" s="141" t="n">
        <x:f>IF(A457&lt;=Premissas!$B$39,Premissas!$B$42,0)</x:f>
        <x:v>0</x:v>
      </x:c>
      <x:c r="D457" s="141" t="n">
        <x:f>Premissas!$B$54*(1+Premissas!$B$57)^INT((A457-1)/12)</x:f>
        <x:v>6045.260983889509</x:v>
      </x:c>
      <x:c r="E457" s="141" t="n">
        <x:f>Premissas!$B$64*(1+Premissas!$B$57)^INT((A457-1)/12)</x:f>
        <x:v>5527.09575669898</x:v>
      </x:c>
      <x:c r="F457" s="141" t="n">
        <x:f>MAX(0,Premissas!$B$6*(1+Premissas!$B$66)^((A457-1)/12))</x:f>
        <x:v>1795633.037506458</x:v>
      </x:c>
      <x:c r="G457" s="141" t="n">
        <x:f>G456*(1+Premissas!$B$41)+C457</x:f>
        <x:v>58615778.09868388</x:v>
      </x:c>
      <x:c r="H457" s="141" t="n">
        <x:f>IF($A457=Premissas!$B$48,Premissas!$B$8,0)</x:f>
        <x:v>0</x:v>
      </x:c>
      <x:c r="I457" s="141" t="n">
        <x:f>IF(AND($A457&gt;=Premissas!$B$48,$A457-Premissas!$B$48+1&lt;=Premissas!$B$13),INDEX(Financiamento!$J$6:$J$485,$A457-Premissas!$B$48+1),0)</x:f>
        <x:v>0</x:v>
      </x:c>
      <x:c r="J457" s="141" t="n">
        <x:f>IF(AND(TRUE,Premissas!$B$11="Imovel",Premissas!$B$47="Moradia",$A457&lt;MAX(Premissas!$B$48,Premissas!$B$49)),$D457,0)</x:f>
        <x:v>0</x:v>
      </x:c>
      <x:c r="K457" s="141" t="n">
        <x:f>IF(AND(TRUE,Premissas!$B$11="Imovel",Premissas!$B$47="Investimento",$A457&gt;=MAX(Premissas!$B$48,Premissas!$B$49)),$E457,0)</x:f>
        <x:v>5527.09575669898</x:v>
      </x:c>
      <x:c r="L457" s="141" t="n">
        <x:f>H457+I457+J457</x:f>
        <x:v>0</x:v>
      </x:c>
      <x:c r="M457" s="141" t="n">
        <x:f>K457</x:f>
        <x:v>5527.09575669898</x:v>
      </x:c>
      <x:c r="N457" s="141" t="n">
        <x:f>$C457+M457-L457</x:f>
        <x:v>5527.09575669898</x:v>
      </x:c>
      <x:c r="O457" s="141" t="n">
        <x:f>R456*(1+Premissas!$B$41)+N457</x:f>
        <x:v>51613459.1550561</x:v>
      </x:c>
      <x:c r="P457" s="141" t="n">
        <x:f>MAX(0,-O457)</x:f>
        <x:v>0</x:v>
      </x:c>
      <x:c r="Q457" s="141" t="n">
        <x:f>Q456*(1+Premissas!$B$41)+P457</x:f>
        <x:v>0</x:v>
      </x:c>
      <x:c r="R457" s="141" t="n">
        <x:f>MAX(0,O457)</x:f>
        <x:v>51613459.1550561</x:v>
      </x:c>
      <x:c r="S457" s="141" t="n">
        <x:f>IF(AND($A457&gt;=Premissas!$B$48,$A457-Premissas!$B$48+1&lt;=Premissas!$B$13),INDEX(Financiamento!$M$6:$M$485,$A457-Premissas!$B$48+1),0)</x:f>
        <x:v>0</x:v>
      </x:c>
      <x:c r="T457" s="141" t="n">
        <x:f>IF($A457&gt;=Premissas!$B$48,$F457,0)</x:f>
        <x:v>1795633.037506458</x:v>
      </x:c>
      <x:c r="U457" s="141" t="n">
        <x:f>R457+T457-S457</x:f>
        <x:v>53409092.19256256</x:v>
      </x:c>
      <x:c r="V457" s="141" t="n">
        <x:f>IF(Q457&gt;1,"Inviavel",U457)</x:f>
        <x:v>53409092.19256256</x:v>
      </x:c>
      <x:c r="W457" s="141" t="str">
        <x:f>IF(Q457&gt;1,"Inviavel","OK")</x:f>
        <x:v>OK</x:v>
      </x:c>
      <x:c r="X457" s="141" t="n">
        <x:f>IF($A457=Premissas!$B$48,Premissas!$B$8,0)</x:f>
        <x:v>0</x:v>
      </x:c>
      <x:c r="Y457" s="141" t="n">
        <x:f>IF(AND($A457&gt;=Premissas!$B$48,$A457-Premissas!$B$48+1&lt;=Premissas!$B$13),INDEX(Amortizacao!$K$6:$K$485,$A457-Premissas!$B$48+1),0)</x:f>
        <x:v>0</x:v>
      </x:c>
      <x:c r="Z457" s="141" t="n">
        <x:f>IF(AND(TRUE,Premissas!$B$11="Imovel",Premissas!$B$47="Moradia",$A457&lt;MAX(Premissas!$B$48,Premissas!$B$49)),$D457,0)</x:f>
        <x:v>0</x:v>
      </x:c>
      <x:c r="AA457" s="141" t="n">
        <x:f>IF(AND(TRUE,Premissas!$B$11="Imovel",Premissas!$B$47="Investimento",$A457&gt;=MAX(Premissas!$B$48,Premissas!$B$49)),$E457,0)</x:f>
        <x:v>5527.09575669898</x:v>
      </x:c>
      <x:c r="AB457" s="141" t="n">
        <x:f>X457+Y457+Z457</x:f>
        <x:v>0</x:v>
      </x:c>
      <x:c r="AC457" s="141" t="n">
        <x:f>AA457</x:f>
        <x:v>5527.09575669898</x:v>
      </x:c>
      <x:c r="AD457" s="141" t="n">
        <x:f>$C457+AC457-AB457</x:f>
        <x:v>5527.09575669898</x:v>
      </x:c>
      <x:c r="AE457" s="141" t="n">
        <x:f>AH456*(1+Premissas!$B$41)+AD457</x:f>
        <x:v>52475194.41798505</x:v>
      </x:c>
      <x:c r="AF457" s="141" t="n">
        <x:f>MAX(0,-AE457)</x:f>
        <x:v>0</x:v>
      </x:c>
      <x:c r="AG457" s="141" t="n">
        <x:f>AG456*(1+Premissas!$B$41)+AF457</x:f>
        <x:v>0</x:v>
      </x:c>
      <x:c r="AH457" s="141" t="n">
        <x:f>MAX(0,AE457)</x:f>
        <x:v>52475194.41798505</x:v>
      </x:c>
      <x:c r="AI457" s="141" t="n">
        <x:f>IF(AND($A457&gt;=Premissas!$B$48,$A457-Premissas!$B$48+1&lt;=Premissas!$B$13),INDEX(Amortizacao!$L$6:$L$485,$A457-Premissas!$B$48+1),0)</x:f>
        <x:v>0</x:v>
      </x:c>
      <x:c r="AJ457" s="141" t="n">
        <x:f>IF($A457&gt;=Premissas!$B$48,$F457,0)</x:f>
        <x:v>1795633.037506458</x:v>
      </x:c>
      <x:c r="AK457" s="141" t="n">
        <x:f>AH457+AJ457-AI457</x:f>
        <x:v>54270827.45549151</x:v>
      </x:c>
      <x:c r="AL457" s="141" t="n">
        <x:f>IF(AG457&gt;1,"Inviavel",AK457)</x:f>
        <x:v>54270827.45549151</x:v>
      </x:c>
      <x:c r="AM457" s="141" t="str">
        <x:f>IF(AG457&gt;1,"Inviavel","OK")</x:f>
        <x:v>OK</x:v>
      </x:c>
      <x:c r="AN457" s="141" t="n">
        <x:f>IF($A457=Premissas!$B$48,Premissas!$B$8,0)</x:f>
        <x:v>0</x:v>
      </x:c>
      <x:c r="AO457" s="141" t="n">
        <x:f>IF($A457&lt;=Premissas!$B$25,INDEX('Consorcio IQ'!$K$6:$K$485,$A457),0)</x:f>
        <x:v>0</x:v>
      </x:c>
      <x:c r="AP457" s="141" t="n">
        <x:f>IF(AND(TRUE,Premissas!$B$11="Imovel",Premissas!$B$47="Moradia",$A457&lt;MAX(Premissas!$B$48,Premissas!$B$49)),$D457,0)</x:f>
        <x:v>0</x:v>
      </x:c>
      <x:c r="AQ457" s="141" t="n">
        <x:f>IF(AND(TRUE,Premissas!$B$11="Imovel",Premissas!$B$47="Investimento",$A457&gt;=MAX(Premissas!$B$48,Premissas!$B$49)),$E457,0)</x:f>
        <x:v>5527.09575669898</x:v>
      </x:c>
      <x:c r="AR457" s="141" t="n">
        <x:f>AN457+AO457+AP457</x:f>
        <x:v>0</x:v>
      </x:c>
      <x:c r="AS457" s="141" t="n">
        <x:f>AQ457</x:f>
        <x:v>5527.09575669898</x:v>
      </x:c>
      <x:c r="AT457" s="141" t="n">
        <x:f>$C457+AS457-AR457</x:f>
        <x:v>5527.09575669898</x:v>
      </x:c>
      <x:c r="AU457" s="141" t="n">
        <x:f>AX456*(1+Premissas!$B$41)+AT457</x:f>
        <x:v>52062381.940300606</x:v>
      </x:c>
      <x:c r="AV457" s="141" t="n">
        <x:f>MAX(0,-AU457)</x:f>
        <x:v>0</x:v>
      </x:c>
      <x:c r="AW457" s="141" t="n">
        <x:f>AW456*(1+Premissas!$B$41)+AV457</x:f>
        <x:v>0</x:v>
      </x:c>
      <x:c r="AX457" s="141" t="n">
        <x:f>MAX(0,AU457)</x:f>
        <x:v>52062381.940300606</x:v>
      </x:c>
      <x:c r="AY457" s="141" t="n">
        <x:f>INDEX('Consorcio IQ'!$P$6:$P$485,$A457)</x:f>
        <x:v>0</x:v>
      </x:c>
      <x:c r="AZ457" s="141" t="n">
        <x:f>IF($A457&gt;=Premissas!$B$48,$F457,0)+IF($A457&lt;Premissas!$B$27,INDEX('Consorcio IQ'!$O$6:$O$485,$A457),0)</x:f>
        <x:v>1795633.037506458</x:v>
      </x:c>
      <x:c r="BA457" s="141" t="n">
        <x:f>AX457+AZ457-AY457</x:f>
        <x:v>53858014.97780707</x:v>
      </x:c>
      <x:c r="BB457" s="141" t="n">
        <x:f>IF(AW457&gt;1,"Inviavel",BA457)</x:f>
        <x:v>53858014.97780707</x:v>
      </x:c>
      <x:c r="BC457" s="141" t="str">
        <x:f>IF(AW457&gt;1,"Inviavel","OK")</x:f>
        <x:v>OK</x:v>
      </x:c>
      <x:c r="BD457" s="141" t="n">
        <x:f>IF($A457='Consorcio Direto'!$B$29,'Consorcio Direto'!$B$44,0)</x:f>
        <x:v>0</x:v>
      </x:c>
      <x:c r="BE457" s="141" t="n">
        <x:f>IF($A457&lt;='Consorcio Direto'!$B$27,INDEX('Consorcio Direto'!$E$55:$E$534,$A457),0)</x:f>
        <x:v>0</x:v>
      </x:c>
      <x:c r="BF457" s="141" t="n">
        <x:f>IF(AND(TRUE,Premissas!$B$11="Imovel",Premissas!$B$47="Moradia",$A457&lt;MAX('Consorcio Direto'!$B$29,Premissas!$B$49)),$D457,0)</x:f>
        <x:v>0</x:v>
      </x:c>
      <x:c r="BG457" s="141" t="n">
        <x:f>IF(AND(TRUE,Premissas!$B$11="Imovel",Premissas!$B$47="Investimento",$A457&gt;=MAX('Consorcio Direto'!$B$29,Premissas!$B$49)),$E457,0)</x:f>
        <x:v>5527.09575669898</x:v>
      </x:c>
      <x:c r="BH457" s="141" t="n">
        <x:f>BD457+BE457+BF457</x:f>
        <x:v>0</x:v>
      </x:c>
      <x:c r="BI457" s="141" t="n">
        <x:f>BG457</x:f>
        <x:v>5527.09575669898</x:v>
      </x:c>
      <x:c r="BJ457" s="141" t="n">
        <x:f>$C457+BI457-BH457</x:f>
        <x:v>5527.09575669898</x:v>
      </x:c>
      <x:c r="BK457" s="141" t="n">
        <x:f>BN456*(1+Premissas!$B$41)+BJ457</x:f>
        <x:v>49831382.574198194</x:v>
      </x:c>
      <x:c r="BL457" s="141" t="n">
        <x:f>MAX(0,-BK457)</x:f>
        <x:v>0</x:v>
      </x:c>
      <x:c r="BM457" s="141" t="n">
        <x:f>BM456*(1+Premissas!$B$41)+BL457</x:f>
        <x:v>0</x:v>
      </x:c>
      <x:c r="BN457" s="141" t="n">
        <x:f>MAX(0,BK457)</x:f>
        <x:v>49831382.574198194</x:v>
      </x:c>
      <x:c r="BO457" s="141" t="n">
        <x:f>INDEX('Consorcio Direto'!$K$55:$K$534,$A457)</x:f>
        <x:v>0</x:v>
      </x:c>
      <x:c r="BP457" s="141" t="n">
        <x:f>IF($A457&lt;'Consorcio Direto'!$B$29,INDEX('Consorcio Direto'!$L$55:$L$534,$A457),$F457)</x:f>
        <x:v>1795633.037506458</x:v>
      </x:c>
      <x:c r="BQ457" s="141" t="n">
        <x:f>BN457+BP457-BO457</x:f>
        <x:v>51627015.611704655</x:v>
      </x:c>
      <x:c r="BR457" s="141" t="n">
        <x:f>IF(BM457&gt;1,"Inviavel",BQ457)</x:f>
        <x:v>51627015.611704655</x:v>
      </x:c>
      <x:c r="BS457" s="141" t="str">
        <x:f>IF(BM457&gt;1,"Inviavel","OK")</x:f>
        <x:v>OK</x:v>
      </x:c>
      <x:c r="BT457" s="141" t="n">
        <x:f>IF(AND('Carta Contemplada'!$B$22="Sim",$A457='Carta Contemplada'!$B$23),'Carta Contemplada'!$B$37,0)</x:f>
        <x:v>0</x:v>
      </x:c>
      <x:c r="BU457" s="141" t="n">
        <x:f>IF('Carta Contemplada'!$B$22="Sim",INDEX('Carta Contemplada'!$C$55:$C$1013,$A457),0)</x:f>
        <x:v>0</x:v>
      </x:c>
      <x:c r="BV457" s="141" t="n">
        <x:f>IF(AND('Carta Contemplada'!$B$22="Sim",Premissas!$B$11="Imovel",Premissas!$B$47="Moradia",$A457&lt;MAX('Carta Contemplada'!$B$44,Premissas!$B$49)),$D457,0)</x:f>
        <x:v>0</x:v>
      </x:c>
      <x:c r="BW457" s="141" t="n">
        <x:f>IF(AND('Carta Contemplada'!$B$22="Sim",Premissas!$B$11="Imovel",Premissas!$B$47="Investimento",$A457&gt;=MAX('Carta Contemplada'!$B$44,Premissas!$B$49)),$E457,0)</x:f>
        <x:v>5527.09575669898</x:v>
      </x:c>
      <x:c r="BX457" s="141" t="n">
        <x:f>BT457+BU457+BV457</x:f>
        <x:v>0</x:v>
      </x:c>
      <x:c r="BY457" s="141" t="n">
        <x:f>BW457</x:f>
        <x:v>5527.09575669898</x:v>
      </x:c>
      <x:c r="BZ457" s="141" t="n">
        <x:f>$C457+BY457-BX457</x:f>
        <x:v>5527.09575669898</x:v>
      </x:c>
      <x:c r="CA457" s="141" t="n">
        <x:f>CD456*(1+Premissas!$B$41)+BZ457</x:f>
        <x:v>53516229.90547848</x:v>
      </x:c>
      <x:c r="CB457" s="141" t="n">
        <x:f>MAX(0,-CA457)</x:f>
        <x:v>0</x:v>
      </x:c>
      <x:c r="CC457" s="141" t="n">
        <x:f>CC456*(1+Premissas!$B$41)+CB457</x:f>
        <x:v>0</x:v>
      </x:c>
      <x:c r="CD457" s="141" t="n">
        <x:f>MAX(0,CA457)</x:f>
        <x:v>53516229.90547848</x:v>
      </x:c>
      <x:c r="CE457" s="141" t="n">
        <x:f>IF(AND('Carta Contemplada'!$B$22="Sim",$A457&gt;='Carta Contemplada'!$B$23),INDEX('Carta Contemplada'!$I$55:$I$1013,$A457),0)</x:f>
        <x:v>0</x:v>
      </x:c>
      <x:c r="CF457" s="141" t="n">
        <x:f>IF(AND('Carta Contemplada'!$B$22="Sim",$A457&gt;='Carta Contemplada'!$B$44),$F457,0)</x:f>
        <x:v>1795633.037506458</x:v>
      </x:c>
      <x:c r="CG457" s="141" t="n">
        <x:f>CD457+CF457-CE457</x:f>
        <x:v>55311862.94298494</x:v>
      </x:c>
      <x:c r="CH457" s="141" t="n">
        <x:f>IF(CC457&gt;1,"Inviavel",CG457)</x:f>
        <x:v>55311862.94298494</x:v>
      </x:c>
      <x:c r="CI457" s="145" t="str">
        <x:f>IF(CC457&gt;1,"Inviavel","OK")</x:f>
        <x:v>OK</x:v>
      </x:c>
    </x:row>
    <x:row r="458">
      <x:c r="A458" s="142" t="n">
        <x:v>454</x:v>
      </x:c>
      <x:c r="B458" s="179" t="n">
        <x:f>EDATE(Premissas!$B$4,A458-1)</x:f>
        <x:v>60327</x:v>
      </x:c>
      <x:c r="C458" s="141" t="n">
        <x:f>IF(A458&lt;=Premissas!$B$39,Premissas!$B$42,0)</x:f>
        <x:v>0</x:v>
      </x:c>
      <x:c r="D458" s="141" t="n">
        <x:f>Premissas!$B$54*(1+Premissas!$B$57)^INT((A458-1)/12)</x:f>
        <x:v>6045.260983889509</x:v>
      </x:c>
      <x:c r="E458" s="141" t="n">
        <x:f>Premissas!$B$64*(1+Premissas!$B$57)^INT((A458-1)/12)</x:f>
        <x:v>5527.09575669898</x:v>
      </x:c>
      <x:c r="F458" s="141" t="n">
        <x:f>MAX(0,Premissas!$B$6*(1+Premissas!$B$66)^((A458-1)/12))</x:f>
        <x:v>1804373.3721133214</x:v>
      </x:c>
      <x:c r="G458" s="141" t="n">
        <x:f>G457*(1+Premissas!$B$41)+C458</x:f>
        <x:v>59171971.07976176</x:v>
      </x:c>
      <x:c r="H458" s="141" t="n">
        <x:f>IF($A458=Premissas!$B$48,Premissas!$B$8,0)</x:f>
        <x:v>0</x:v>
      </x:c>
      <x:c r="I458" s="141" t="n">
        <x:f>IF(AND($A458&gt;=Premissas!$B$48,$A458-Premissas!$B$48+1&lt;=Premissas!$B$13),INDEX(Financiamento!$J$6:$J$485,$A458-Premissas!$B$48+1),0)</x:f>
        <x:v>0</x:v>
      </x:c>
      <x:c r="J458" s="141" t="n">
        <x:f>IF(AND(TRUE,Premissas!$B$11="Imovel",Premissas!$B$47="Moradia",$A458&lt;MAX(Premissas!$B$48,Premissas!$B$49)),$D458,0)</x:f>
        <x:v>0</x:v>
      </x:c>
      <x:c r="K458" s="141" t="n">
        <x:f>IF(AND(TRUE,Premissas!$B$11="Imovel",Premissas!$B$47="Investimento",$A458&gt;=MAX(Premissas!$B$48,Premissas!$B$49)),$E458,0)</x:f>
        <x:v>5527.09575669898</x:v>
      </x:c>
      <x:c r="L458" s="141" t="n">
        <x:f>H458+I458+J458</x:f>
        <x:v>0</x:v>
      </x:c>
      <x:c r="M458" s="141" t="n">
        <x:f>K458</x:f>
        <x:v>5527.09575669898</x:v>
      </x:c>
      <x:c r="N458" s="141" t="n">
        <x:f>$C458+M458-L458</x:f>
        <x:v>5527.09575669898</x:v>
      </x:c>
      <x:c r="O458" s="141" t="n">
        <x:f>R457*(1+Premissas!$B$41)+N458</x:f>
        <x:v>52108735.67737269</x:v>
      </x:c>
      <x:c r="P458" s="141" t="n">
        <x:f>MAX(0,-O458)</x:f>
        <x:v>0</x:v>
      </x:c>
      <x:c r="Q458" s="141" t="n">
        <x:f>Q457*(1+Premissas!$B$41)+P458</x:f>
        <x:v>0</x:v>
      </x:c>
      <x:c r="R458" s="141" t="n">
        <x:f>MAX(0,O458)</x:f>
        <x:v>52108735.67737269</x:v>
      </x:c>
      <x:c r="S458" s="141" t="n">
        <x:f>IF(AND($A458&gt;=Premissas!$B$48,$A458-Premissas!$B$48+1&lt;=Premissas!$B$13),INDEX(Financiamento!$M$6:$M$485,$A458-Premissas!$B$48+1),0)</x:f>
        <x:v>0</x:v>
      </x:c>
      <x:c r="T458" s="141" t="n">
        <x:f>IF($A458&gt;=Premissas!$B$48,$F458,0)</x:f>
        <x:v>1804373.3721133214</x:v>
      </x:c>
      <x:c r="U458" s="141" t="n">
        <x:f>R458+T458-S458</x:f>
        <x:v>53913109.04948601</x:v>
      </x:c>
      <x:c r="V458" s="141" t="n">
        <x:f>IF(Q458&gt;1,"Inviavel",U458)</x:f>
        <x:v>53913109.04948601</x:v>
      </x:c>
      <x:c r="W458" s="141" t="str">
        <x:f>IF(Q458&gt;1,"Inviavel","OK")</x:f>
        <x:v>OK</x:v>
      </x:c>
      <x:c r="X458" s="141" t="n">
        <x:f>IF($A458=Premissas!$B$48,Premissas!$B$8,0)</x:f>
        <x:v>0</x:v>
      </x:c>
      <x:c r="Y458" s="141" t="n">
        <x:f>IF(AND($A458&gt;=Premissas!$B$48,$A458-Premissas!$B$48+1&lt;=Premissas!$B$13),INDEX(Amortizacao!$K$6:$K$485,$A458-Premissas!$B$48+1),0)</x:f>
        <x:v>0</x:v>
      </x:c>
      <x:c r="Z458" s="141" t="n">
        <x:f>IF(AND(TRUE,Premissas!$B$11="Imovel",Premissas!$B$47="Moradia",$A458&lt;MAX(Premissas!$B$48,Premissas!$B$49)),$D458,0)</x:f>
        <x:v>0</x:v>
      </x:c>
      <x:c r="AA458" s="141" t="n">
        <x:f>IF(AND(TRUE,Premissas!$B$11="Imovel",Premissas!$B$47="Investimento",$A458&gt;=MAX(Premissas!$B$48,Premissas!$B$49)),$E458,0)</x:f>
        <x:v>5527.09575669898</x:v>
      </x:c>
      <x:c r="AB458" s="141" t="n">
        <x:f>X458+Y458+Z458</x:f>
        <x:v>0</x:v>
      </x:c>
      <x:c r="AC458" s="141" t="n">
        <x:f>AA458</x:f>
        <x:v>5527.09575669898</x:v>
      </x:c>
      <x:c r="AD458" s="141" t="n">
        <x:f>$C458+AC458-AB458</x:f>
        <x:v>5527.09575669898</x:v>
      </x:c>
      <x:c r="AE458" s="141" t="n">
        <x:f>AH457*(1+Premissas!$B$41)+AD458</x:f>
        <x:v>52978647.767776005</x:v>
      </x:c>
      <x:c r="AF458" s="141" t="n">
        <x:f>MAX(0,-AE458)</x:f>
        <x:v>0</x:v>
      </x:c>
      <x:c r="AG458" s="141" t="n">
        <x:f>AG457*(1+Premissas!$B$41)+AF458</x:f>
        <x:v>0</x:v>
      </x:c>
      <x:c r="AH458" s="141" t="n">
        <x:f>MAX(0,AE458)</x:f>
        <x:v>52978647.767776005</x:v>
      </x:c>
      <x:c r="AI458" s="141" t="n">
        <x:f>IF(AND($A458&gt;=Premissas!$B$48,$A458-Premissas!$B$48+1&lt;=Premissas!$B$13),INDEX(Amortizacao!$L$6:$L$485,$A458-Premissas!$B$48+1),0)</x:f>
        <x:v>0</x:v>
      </x:c>
      <x:c r="AJ458" s="141" t="n">
        <x:f>IF($A458&gt;=Premissas!$B$48,$F458,0)</x:f>
        <x:v>1804373.3721133214</x:v>
      </x:c>
      <x:c r="AK458" s="141" t="n">
        <x:f>AH458+AJ458-AI458</x:f>
        <x:v>54783021.13988933</x:v>
      </x:c>
      <x:c r="AL458" s="141" t="n">
        <x:f>IF(AG458&gt;1,"Inviavel",AK458)</x:f>
        <x:v>54783021.13988933</x:v>
      </x:c>
      <x:c r="AM458" s="141" t="str">
        <x:f>IF(AG458&gt;1,"Inviavel","OK")</x:f>
        <x:v>OK</x:v>
      </x:c>
      <x:c r="AN458" s="141" t="n">
        <x:f>IF($A458=Premissas!$B$48,Premissas!$B$8,0)</x:f>
        <x:v>0</x:v>
      </x:c>
      <x:c r="AO458" s="141" t="n">
        <x:f>IF($A458&lt;=Premissas!$B$25,INDEX('Consorcio IQ'!$K$6:$K$485,$A458),0)</x:f>
        <x:v>0</x:v>
      </x:c>
      <x:c r="AP458" s="141" t="n">
        <x:f>IF(AND(TRUE,Premissas!$B$11="Imovel",Premissas!$B$47="Moradia",$A458&lt;MAX(Premissas!$B$48,Premissas!$B$49)),$D458,0)</x:f>
        <x:v>0</x:v>
      </x:c>
      <x:c r="AQ458" s="141" t="n">
        <x:f>IF(AND(TRUE,Premissas!$B$11="Imovel",Premissas!$B$47="Investimento",$A458&gt;=MAX(Premissas!$B$48,Premissas!$B$49)),$E458,0)</x:f>
        <x:v>5527.09575669898</x:v>
      </x:c>
      <x:c r="AR458" s="141" t="n">
        <x:f>AN458+AO458+AP458</x:f>
        <x:v>0</x:v>
      </x:c>
      <x:c r="AS458" s="141" t="n">
        <x:f>AQ458</x:f>
        <x:v>5527.09575669898</x:v>
      </x:c>
      <x:c r="AT458" s="141" t="n">
        <x:f>$C458+AS458-AR458</x:f>
        <x:v>5527.09575669898</x:v>
      </x:c>
      <x:c r="AU458" s="141" t="n">
        <x:f>AX457*(1+Premissas!$B$41)+AT458</x:f>
        <x:v>52561918.197969995</x:v>
      </x:c>
      <x:c r="AV458" s="141" t="n">
        <x:f>MAX(0,-AU458)</x:f>
        <x:v>0</x:v>
      </x:c>
      <x:c r="AW458" s="141" t="n">
        <x:f>AW457*(1+Premissas!$B$41)+AV458</x:f>
        <x:v>0</x:v>
      </x:c>
      <x:c r="AX458" s="141" t="n">
        <x:f>MAX(0,AU458)</x:f>
        <x:v>52561918.197969995</x:v>
      </x:c>
      <x:c r="AY458" s="141" t="n">
        <x:f>INDEX('Consorcio IQ'!$P$6:$P$485,$A458)</x:f>
        <x:v>0</x:v>
      </x:c>
      <x:c r="AZ458" s="141" t="n">
        <x:f>IF($A458&gt;=Premissas!$B$48,$F458,0)+IF($A458&lt;Premissas!$B$27,INDEX('Consorcio IQ'!$O$6:$O$485,$A458),0)</x:f>
        <x:v>1804373.3721133214</x:v>
      </x:c>
      <x:c r="BA458" s="141" t="n">
        <x:f>AX458+AZ458-AY458</x:f>
        <x:v>54366291.57008332</x:v>
      </x:c>
      <x:c r="BB458" s="141" t="n">
        <x:f>IF(AW458&gt;1,"Inviavel",BA458)</x:f>
        <x:v>54366291.57008332</x:v>
      </x:c>
      <x:c r="BC458" s="141" t="str">
        <x:f>IF(AW458&gt;1,"Inviavel","OK")</x:f>
        <x:v>OK</x:v>
      </x:c>
      <x:c r="BD458" s="141" t="n">
        <x:f>IF($A458='Consorcio Direto'!$B$29,'Consorcio Direto'!$B$44,0)</x:f>
        <x:v>0</x:v>
      </x:c>
      <x:c r="BE458" s="141" t="n">
        <x:f>IF($A458&lt;='Consorcio Direto'!$B$27,INDEX('Consorcio Direto'!$E$55:$E$534,$A458),0)</x:f>
        <x:v>0</x:v>
      </x:c>
      <x:c r="BF458" s="141" t="n">
        <x:f>IF(AND(TRUE,Premissas!$B$11="Imovel",Premissas!$B$47="Moradia",$A458&lt;MAX('Consorcio Direto'!$B$29,Premissas!$B$49)),$D458,0)</x:f>
        <x:v>0</x:v>
      </x:c>
      <x:c r="BG458" s="141" t="n">
        <x:f>IF(AND(TRUE,Premissas!$B$11="Imovel",Premissas!$B$47="Investimento",$A458&gt;=MAX('Consorcio Direto'!$B$29,Premissas!$B$49)),$E458,0)</x:f>
        <x:v>5527.09575669898</x:v>
      </x:c>
      <x:c r="BH458" s="141" t="n">
        <x:f>BD458+BE458+BF458</x:f>
        <x:v>0</x:v>
      </x:c>
      <x:c r="BI458" s="141" t="n">
        <x:f>BG458</x:f>
        <x:v>5527.09575669898</x:v>
      </x:c>
      <x:c r="BJ458" s="141" t="n">
        <x:f>$C458+BI458-BH458</x:f>
        <x:v>5527.09575669898</x:v>
      </x:c>
      <x:c r="BK458" s="141" t="n">
        <x:f>BN457*(1+Premissas!$B$41)+BJ458</x:f>
        <x:v>50309749.34084545</x:v>
      </x:c>
      <x:c r="BL458" s="141" t="n">
        <x:f>MAX(0,-BK458)</x:f>
        <x:v>0</x:v>
      </x:c>
      <x:c r="BM458" s="141" t="n">
        <x:f>BM457*(1+Premissas!$B$41)+BL458</x:f>
        <x:v>0</x:v>
      </x:c>
      <x:c r="BN458" s="141" t="n">
        <x:f>MAX(0,BK458)</x:f>
        <x:v>50309749.34084545</x:v>
      </x:c>
      <x:c r="BO458" s="141" t="n">
        <x:f>INDEX('Consorcio Direto'!$K$55:$K$534,$A458)</x:f>
        <x:v>0</x:v>
      </x:c>
      <x:c r="BP458" s="141" t="n">
        <x:f>IF($A458&lt;'Consorcio Direto'!$B$29,INDEX('Consorcio Direto'!$L$55:$L$534,$A458),$F458)</x:f>
        <x:v>1804373.3721133214</x:v>
      </x:c>
      <x:c r="BQ458" s="141" t="n">
        <x:f>BN458+BP458-BO458</x:f>
        <x:v>52114122.712958775</x:v>
      </x:c>
      <x:c r="BR458" s="141" t="n">
        <x:f>IF(BM458&gt;1,"Inviavel",BQ458)</x:f>
        <x:v>52114122.712958775</x:v>
      </x:c>
      <x:c r="BS458" s="141" t="str">
        <x:f>IF(BM458&gt;1,"Inviavel","OK")</x:f>
        <x:v>OK</x:v>
      </x:c>
      <x:c r="BT458" s="141" t="n">
        <x:f>IF(AND('Carta Contemplada'!$B$22="Sim",$A458='Carta Contemplada'!$B$23),'Carta Contemplada'!$B$37,0)</x:f>
        <x:v>0</x:v>
      </x:c>
      <x:c r="BU458" s="141" t="n">
        <x:f>IF('Carta Contemplada'!$B$22="Sim",INDEX('Carta Contemplada'!$C$55:$C$1013,$A458),0)</x:f>
        <x:v>0</x:v>
      </x:c>
      <x:c r="BV458" s="141" t="n">
        <x:f>IF(AND('Carta Contemplada'!$B$22="Sim",Premissas!$B$11="Imovel",Premissas!$B$47="Moradia",$A458&lt;MAX('Carta Contemplada'!$B$44,Premissas!$B$49)),$D458,0)</x:f>
        <x:v>0</x:v>
      </x:c>
      <x:c r="BW458" s="141" t="n">
        <x:f>IF(AND('Carta Contemplada'!$B$22="Sim",Premissas!$B$11="Imovel",Premissas!$B$47="Investimento",$A458&gt;=MAX('Carta Contemplada'!$B$44,Premissas!$B$49)),$E458,0)</x:f>
        <x:v>5527.09575669898</x:v>
      </x:c>
      <x:c r="BX458" s="141" t="n">
        <x:f>BT458+BU458+BV458</x:f>
        <x:v>0</x:v>
      </x:c>
      <x:c r="BY458" s="141" t="n">
        <x:f>BW458</x:f>
        <x:v>5527.09575669898</x:v>
      </x:c>
      <x:c r="BZ458" s="141" t="n">
        <x:f>$C458+BY458-BX458</x:f>
        <x:v>5527.09575669898</x:v>
      </x:c>
      <x:c r="CA458" s="141" t="n">
        <x:f>CD457*(1+Premissas!$B$41)+BZ458</x:f>
        <x:v>54029561.42544781</x:v>
      </x:c>
      <x:c r="CB458" s="141" t="n">
        <x:f>MAX(0,-CA458)</x:f>
        <x:v>0</x:v>
      </x:c>
      <x:c r="CC458" s="141" t="n">
        <x:f>CC457*(1+Premissas!$B$41)+CB458</x:f>
        <x:v>0</x:v>
      </x:c>
      <x:c r="CD458" s="141" t="n">
        <x:f>MAX(0,CA458)</x:f>
        <x:v>54029561.42544781</x:v>
      </x:c>
      <x:c r="CE458" s="141" t="n">
        <x:f>IF(AND('Carta Contemplada'!$B$22="Sim",$A458&gt;='Carta Contemplada'!$B$23),INDEX('Carta Contemplada'!$I$55:$I$1013,$A458),0)</x:f>
        <x:v>0</x:v>
      </x:c>
      <x:c r="CF458" s="141" t="n">
        <x:f>IF(AND('Carta Contemplada'!$B$22="Sim",$A458&gt;='Carta Contemplada'!$B$44),$F458,0)</x:f>
        <x:v>1804373.3721133214</x:v>
      </x:c>
      <x:c r="CG458" s="141" t="n">
        <x:f>CD458+CF458-CE458</x:f>
        <x:v>55833934.79756113</x:v>
      </x:c>
      <x:c r="CH458" s="141" t="n">
        <x:f>IF(CC458&gt;1,"Inviavel",CG458)</x:f>
        <x:v>55833934.79756113</x:v>
      </x:c>
      <x:c r="CI458" s="145" t="str">
        <x:f>IF(CC458&gt;1,"Inviavel","OK")</x:f>
        <x:v>OK</x:v>
      </x:c>
    </x:row>
    <x:row r="459">
      <x:c r="A459" s="142" t="n">
        <x:v>455</x:v>
      </x:c>
      <x:c r="B459" s="179" t="n">
        <x:f>EDATE(Premissas!$B$4,A459-1)</x:f>
        <x:v>60358</x:v>
      </x:c>
      <x:c r="C459" s="141" t="n">
        <x:f>IF(A459&lt;=Premissas!$B$39,Premissas!$B$42,0)</x:f>
        <x:v>0</x:v>
      </x:c>
      <x:c r="D459" s="141" t="n">
        <x:f>Premissas!$B$54*(1+Premissas!$B$57)^INT((A459-1)/12)</x:f>
        <x:v>6045.260983889509</x:v>
      </x:c>
      <x:c r="E459" s="141" t="n">
        <x:f>Premissas!$B$64*(1+Premissas!$B$57)^INT((A459-1)/12)</x:f>
        <x:v>5527.09575669898</x:v>
      </x:c>
      <x:c r="F459" s="141" t="n">
        <x:f>MAX(0,Premissas!$B$6*(1+Premissas!$B$66)^((A459-1)/12))</x:f>
        <x:v>1813156.2507408417</x:v>
      </x:c>
      <x:c r="G459" s="141" t="n">
        <x:f>G458*(1+Premissas!$B$41)+C459</x:f>
        <x:v>59733441.66086876</x:v>
      </x:c>
      <x:c r="H459" s="141" t="n">
        <x:f>IF($A459=Premissas!$B$48,Premissas!$B$8,0)</x:f>
        <x:v>0</x:v>
      </x:c>
      <x:c r="I459" s="141" t="n">
        <x:f>IF(AND($A459&gt;=Premissas!$B$48,$A459-Premissas!$B$48+1&lt;=Premissas!$B$13),INDEX(Financiamento!$J$6:$J$485,$A459-Premissas!$B$48+1),0)</x:f>
        <x:v>0</x:v>
      </x:c>
      <x:c r="J459" s="141" t="n">
        <x:f>IF(AND(TRUE,Premissas!$B$11="Imovel",Premissas!$B$47="Moradia",$A459&lt;MAX(Premissas!$B$48,Premissas!$B$49)),$D459,0)</x:f>
        <x:v>0</x:v>
      </x:c>
      <x:c r="K459" s="141" t="n">
        <x:f>IF(AND(TRUE,Premissas!$B$11="Imovel",Premissas!$B$47="Investimento",$A459&gt;=MAX(Premissas!$B$48,Premissas!$B$49)),$E459,0)</x:f>
        <x:v>5527.09575669898</x:v>
      </x:c>
      <x:c r="L459" s="141" t="n">
        <x:f>H459+I459+J459</x:f>
        <x:v>0</x:v>
      </x:c>
      <x:c r="M459" s="141" t="n">
        <x:f>K459</x:f>
        <x:v>5527.09575669898</x:v>
      </x:c>
      <x:c r="N459" s="141" t="n">
        <x:f>$C459+M459-L459</x:f>
        <x:v>5527.09575669898</x:v>
      </x:c>
      <x:c r="O459" s="141" t="n">
        <x:f>R458*(1+Premissas!$B$41)+N459</x:f>
        <x:v>52608711.7760549</x:v>
      </x:c>
      <x:c r="P459" s="141" t="n">
        <x:f>MAX(0,-O459)</x:f>
        <x:v>0</x:v>
      </x:c>
      <x:c r="Q459" s="141" t="n">
        <x:f>Q458*(1+Premissas!$B$41)+P459</x:f>
        <x:v>0</x:v>
      </x:c>
      <x:c r="R459" s="141" t="n">
        <x:f>MAX(0,O459)</x:f>
        <x:v>52608711.7760549</x:v>
      </x:c>
      <x:c r="S459" s="141" t="n">
        <x:f>IF(AND($A459&gt;=Premissas!$B$48,$A459-Premissas!$B$48+1&lt;=Premissas!$B$13),INDEX(Financiamento!$M$6:$M$485,$A459-Premissas!$B$48+1),0)</x:f>
        <x:v>0</x:v>
      </x:c>
      <x:c r="T459" s="141" t="n">
        <x:f>IF($A459&gt;=Premissas!$B$48,$F459,0)</x:f>
        <x:v>1813156.2507408417</x:v>
      </x:c>
      <x:c r="U459" s="141" t="n">
        <x:f>R459+T459-S459</x:f>
        <x:v>54421868.02679574</x:v>
      </x:c>
      <x:c r="V459" s="141" t="n">
        <x:f>IF(Q459&gt;1,"Inviavel",U459)</x:f>
        <x:v>54421868.02679574</x:v>
      </x:c>
      <x:c r="W459" s="141" t="str">
        <x:f>IF(Q459&gt;1,"Inviavel","OK")</x:f>
        <x:v>OK</x:v>
      </x:c>
      <x:c r="X459" s="141" t="n">
        <x:f>IF($A459=Premissas!$B$48,Premissas!$B$8,0)</x:f>
        <x:v>0</x:v>
      </x:c>
      <x:c r="Y459" s="141" t="n">
        <x:f>IF(AND($A459&gt;=Premissas!$B$48,$A459-Premissas!$B$48+1&lt;=Premissas!$B$13),INDEX(Amortizacao!$K$6:$K$485,$A459-Premissas!$B$48+1),0)</x:f>
        <x:v>0</x:v>
      </x:c>
      <x:c r="Z459" s="141" t="n">
        <x:f>IF(AND(TRUE,Premissas!$B$11="Imovel",Premissas!$B$47="Moradia",$A459&lt;MAX(Premissas!$B$48,Premissas!$B$49)),$D459,0)</x:f>
        <x:v>0</x:v>
      </x:c>
      <x:c r="AA459" s="141" t="n">
        <x:f>IF(AND(TRUE,Premissas!$B$11="Imovel",Premissas!$B$47="Investimento",$A459&gt;=MAX(Premissas!$B$48,Premissas!$B$49)),$E459,0)</x:f>
        <x:v>5527.09575669898</x:v>
      </x:c>
      <x:c r="AB459" s="141" t="n">
        <x:f>X459+Y459+Z459</x:f>
        <x:v>0</x:v>
      </x:c>
      <x:c r="AC459" s="141" t="n">
        <x:f>AA459</x:f>
        <x:v>5527.09575669898</x:v>
      </x:c>
      <x:c r="AD459" s="141" t="n">
        <x:f>$C459+AC459-AB459</x:f>
        <x:v>5527.09575669898</x:v>
      </x:c>
      <x:c r="AE459" s="141" t="n">
        <x:f>AH458*(1+Premissas!$B$41)+AD459</x:f>
        <x:v>53486878.28215534</x:v>
      </x:c>
      <x:c r="AF459" s="141" t="n">
        <x:f>MAX(0,-AE459)</x:f>
        <x:v>0</x:v>
      </x:c>
      <x:c r="AG459" s="141" t="n">
        <x:f>AG458*(1+Premissas!$B$41)+AF459</x:f>
        <x:v>0</x:v>
      </x:c>
      <x:c r="AH459" s="141" t="n">
        <x:f>MAX(0,AE459)</x:f>
        <x:v>53486878.28215534</x:v>
      </x:c>
      <x:c r="AI459" s="141" t="n">
        <x:f>IF(AND($A459&gt;=Premissas!$B$48,$A459-Premissas!$B$48+1&lt;=Premissas!$B$13),INDEX(Amortizacao!$L$6:$L$485,$A459-Premissas!$B$48+1),0)</x:f>
        <x:v>0</x:v>
      </x:c>
      <x:c r="AJ459" s="141" t="n">
        <x:f>IF($A459&gt;=Premissas!$B$48,$F459,0)</x:f>
        <x:v>1813156.2507408417</x:v>
      </x:c>
      <x:c r="AK459" s="141" t="n">
        <x:f>AH459+AJ459-AI459</x:f>
        <x:v>55300034.53289618</x:v>
      </x:c>
      <x:c r="AL459" s="141" t="n">
        <x:f>IF(AG459&gt;1,"Inviavel",AK459)</x:f>
        <x:v>55300034.53289618</x:v>
      </x:c>
      <x:c r="AM459" s="141" t="str">
        <x:f>IF(AG459&gt;1,"Inviavel","OK")</x:f>
        <x:v>OK</x:v>
      </x:c>
      <x:c r="AN459" s="141" t="n">
        <x:f>IF($A459=Premissas!$B$48,Premissas!$B$8,0)</x:f>
        <x:v>0</x:v>
      </x:c>
      <x:c r="AO459" s="141" t="n">
        <x:f>IF($A459&lt;=Premissas!$B$25,INDEX('Consorcio IQ'!$K$6:$K$485,$A459),0)</x:f>
        <x:v>0</x:v>
      </x:c>
      <x:c r="AP459" s="141" t="n">
        <x:f>IF(AND(TRUE,Premissas!$B$11="Imovel",Premissas!$B$47="Moradia",$A459&lt;MAX(Premissas!$B$48,Premissas!$B$49)),$D459,0)</x:f>
        <x:v>0</x:v>
      </x:c>
      <x:c r="AQ459" s="141" t="n">
        <x:f>IF(AND(TRUE,Premissas!$B$11="Imovel",Premissas!$B$47="Investimento",$A459&gt;=MAX(Premissas!$B$48,Premissas!$B$49)),$E459,0)</x:f>
        <x:v>5527.09575669898</x:v>
      </x:c>
      <x:c r="AR459" s="141" t="n">
        <x:f>AN459+AO459+AP459</x:f>
        <x:v>0</x:v>
      </x:c>
      <x:c r="AS459" s="141" t="n">
        <x:f>AQ459</x:f>
        <x:v>5527.09575669898</x:v>
      </x:c>
      <x:c r="AT459" s="141" t="n">
        <x:f>$C459+AS459-AR459</x:f>
        <x:v>5527.09575669898</x:v>
      </x:c>
      <x:c r="AU459" s="141" t="n">
        <x:f>AX458*(1+Premissas!$B$41)+AT459</x:f>
        <x:v>53066194.451751724</x:v>
      </x:c>
      <x:c r="AV459" s="141" t="n">
        <x:f>MAX(0,-AU459)</x:f>
        <x:v>0</x:v>
      </x:c>
      <x:c r="AW459" s="141" t="n">
        <x:f>AW458*(1+Premissas!$B$41)+AV459</x:f>
        <x:v>0</x:v>
      </x:c>
      <x:c r="AX459" s="141" t="n">
        <x:f>MAX(0,AU459)</x:f>
        <x:v>53066194.451751724</x:v>
      </x:c>
      <x:c r="AY459" s="141" t="n">
        <x:f>INDEX('Consorcio IQ'!$P$6:$P$485,$A459)</x:f>
        <x:v>0</x:v>
      </x:c>
      <x:c r="AZ459" s="141" t="n">
        <x:f>IF($A459&gt;=Premissas!$B$48,$F459,0)+IF($A459&lt;Premissas!$B$27,INDEX('Consorcio IQ'!$O$6:$O$485,$A459),0)</x:f>
        <x:v>1813156.2507408417</x:v>
      </x:c>
      <x:c r="BA459" s="141" t="n">
        <x:f>AX459+AZ459-AY459</x:f>
        <x:v>54879350.702492565</x:v>
      </x:c>
      <x:c r="BB459" s="141" t="n">
        <x:f>IF(AW459&gt;1,"Inviavel",BA459)</x:f>
        <x:v>54879350.702492565</x:v>
      </x:c>
      <x:c r="BC459" s="141" t="str">
        <x:f>IF(AW459&gt;1,"Inviavel","OK")</x:f>
        <x:v>OK</x:v>
      </x:c>
      <x:c r="BD459" s="141" t="n">
        <x:f>IF($A459='Consorcio Direto'!$B$29,'Consorcio Direto'!$B$44,0)</x:f>
        <x:v>0</x:v>
      </x:c>
      <x:c r="BE459" s="141" t="n">
        <x:f>IF($A459&lt;='Consorcio Direto'!$B$27,INDEX('Consorcio Direto'!$E$55:$E$534,$A459),0)</x:f>
        <x:v>0</x:v>
      </x:c>
      <x:c r="BF459" s="141" t="n">
        <x:f>IF(AND(TRUE,Premissas!$B$11="Imovel",Premissas!$B$47="Moradia",$A459&lt;MAX('Consorcio Direto'!$B$29,Premissas!$B$49)),$D459,0)</x:f>
        <x:v>0</x:v>
      </x:c>
      <x:c r="BG459" s="141" t="n">
        <x:f>IF(AND(TRUE,Premissas!$B$11="Imovel",Premissas!$B$47="Investimento",$A459&gt;=MAX('Consorcio Direto'!$B$29,Premissas!$B$49)),$E459,0)</x:f>
        <x:v>5527.09575669898</x:v>
      </x:c>
      <x:c r="BH459" s="141" t="n">
        <x:f>BD459+BE459+BF459</x:f>
        <x:v>0</x:v>
      </x:c>
      <x:c r="BI459" s="141" t="n">
        <x:f>BG459</x:f>
        <x:v>5527.09575669898</x:v>
      </x:c>
      <x:c r="BJ459" s="141" t="n">
        <x:f>$C459+BI459-BH459</x:f>
        <x:v>5527.09575669898</x:v>
      </x:c>
      <x:c r="BK459" s="141" t="n">
        <x:f>BN458*(1+Premissas!$B$41)+BJ459</x:f>
        <x:v>50792655.230688214</x:v>
      </x:c>
      <x:c r="BL459" s="141" t="n">
        <x:f>MAX(0,-BK459)</x:f>
        <x:v>0</x:v>
      </x:c>
      <x:c r="BM459" s="141" t="n">
        <x:f>BM458*(1+Premissas!$B$41)+BL459</x:f>
        <x:v>0</x:v>
      </x:c>
      <x:c r="BN459" s="141" t="n">
        <x:f>MAX(0,BK459)</x:f>
        <x:v>50792655.230688214</x:v>
      </x:c>
      <x:c r="BO459" s="141" t="n">
        <x:f>INDEX('Consorcio Direto'!$K$55:$K$534,$A459)</x:f>
        <x:v>0</x:v>
      </x:c>
      <x:c r="BP459" s="141" t="n">
        <x:f>IF($A459&lt;'Consorcio Direto'!$B$29,INDEX('Consorcio Direto'!$L$55:$L$534,$A459),$F459)</x:f>
        <x:v>1813156.2507408417</x:v>
      </x:c>
      <x:c r="BQ459" s="141" t="n">
        <x:f>BN459+BP459-BO459</x:f>
        <x:v>52605811.481429055</x:v>
      </x:c>
      <x:c r="BR459" s="141" t="n">
        <x:f>IF(BM459&gt;1,"Inviavel",BQ459)</x:f>
        <x:v>52605811.481429055</x:v>
      </x:c>
      <x:c r="BS459" s="141" t="str">
        <x:f>IF(BM459&gt;1,"Inviavel","OK")</x:f>
        <x:v>OK</x:v>
      </x:c>
      <x:c r="BT459" s="141" t="n">
        <x:f>IF(AND('Carta Contemplada'!$B$22="Sim",$A459='Carta Contemplada'!$B$23),'Carta Contemplada'!$B$37,0)</x:f>
        <x:v>0</x:v>
      </x:c>
      <x:c r="BU459" s="141" t="n">
        <x:f>IF('Carta Contemplada'!$B$22="Sim",INDEX('Carta Contemplada'!$C$55:$C$1013,$A459),0)</x:f>
        <x:v>0</x:v>
      </x:c>
      <x:c r="BV459" s="141" t="n">
        <x:f>IF(AND('Carta Contemplada'!$B$22="Sim",Premissas!$B$11="Imovel",Premissas!$B$47="Moradia",$A459&lt;MAX('Carta Contemplada'!$B$44,Premissas!$B$49)),$D459,0)</x:f>
        <x:v>0</x:v>
      </x:c>
      <x:c r="BW459" s="141" t="n">
        <x:f>IF(AND('Carta Contemplada'!$B$22="Sim",Premissas!$B$11="Imovel",Premissas!$B$47="Investimento",$A459&gt;=MAX('Carta Contemplada'!$B$44,Premissas!$B$49)),$E459,0)</x:f>
        <x:v>5527.09575669898</x:v>
      </x:c>
      <x:c r="BX459" s="141" t="n">
        <x:f>BT459+BU459+BV459</x:f>
        <x:v>0</x:v>
      </x:c>
      <x:c r="BY459" s="141" t="n">
        <x:f>BW459</x:f>
        <x:v>5527.09575669898</x:v>
      </x:c>
      <x:c r="BZ459" s="141" t="n">
        <x:f>$C459+BY459-BX459</x:f>
        <x:v>5527.09575669898</x:v>
      </x:c>
      <x:c r="CA459" s="141" t="n">
        <x:f>CD458*(1+Premissas!$B$41)+BZ459</x:f>
        <x:v>54547763.84191692</x:v>
      </x:c>
      <x:c r="CB459" s="141" t="n">
        <x:f>MAX(0,-CA459)</x:f>
        <x:v>0</x:v>
      </x:c>
      <x:c r="CC459" s="141" t="n">
        <x:f>CC458*(1+Premissas!$B$41)+CB459</x:f>
        <x:v>0</x:v>
      </x:c>
      <x:c r="CD459" s="141" t="n">
        <x:f>MAX(0,CA459)</x:f>
        <x:v>54547763.84191692</x:v>
      </x:c>
      <x:c r="CE459" s="141" t="n">
        <x:f>IF(AND('Carta Contemplada'!$B$22="Sim",$A459&gt;='Carta Contemplada'!$B$23),INDEX('Carta Contemplada'!$I$55:$I$1013,$A459),0)</x:f>
        <x:v>0</x:v>
      </x:c>
      <x:c r="CF459" s="141" t="n">
        <x:f>IF(AND('Carta Contemplada'!$B$22="Sim",$A459&gt;='Carta Contemplada'!$B$44),$F459,0)</x:f>
        <x:v>1813156.2507408417</x:v>
      </x:c>
      <x:c r="CG459" s="141" t="n">
        <x:f>CD459+CF459-CE459</x:f>
        <x:v>56360920.09265776</x:v>
      </x:c>
      <x:c r="CH459" s="141" t="n">
        <x:f>IF(CC459&gt;1,"Inviavel",CG459)</x:f>
        <x:v>56360920.09265776</x:v>
      </x:c>
      <x:c r="CI459" s="145" t="str">
        <x:f>IF(CC459&gt;1,"Inviavel","OK")</x:f>
        <x:v>OK</x:v>
      </x:c>
    </x:row>
    <x:row r="460">
      <x:c r="A460" s="142" t="n">
        <x:v>456</x:v>
      </x:c>
      <x:c r="B460" s="179" t="n">
        <x:f>EDATE(Premissas!$B$4,A460-1)</x:f>
        <x:v>60388</x:v>
      </x:c>
      <x:c r="C460" s="141" t="n">
        <x:f>IF(A460&lt;=Premissas!$B$39,Premissas!$B$42,0)</x:f>
        <x:v>0</x:v>
      </x:c>
      <x:c r="D460" s="141" t="n">
        <x:f>Premissas!$B$54*(1+Premissas!$B$57)^INT((A460-1)/12)</x:f>
        <x:v>6045.260983889509</x:v>
      </x:c>
      <x:c r="E460" s="141" t="n">
        <x:f>Premissas!$B$64*(1+Premissas!$B$57)^INT((A460-1)/12)</x:f>
        <x:v>5527.09575669898</x:v>
      </x:c>
      <x:c r="F460" s="141" t="n">
        <x:f>MAX(0,Premissas!$B$6*(1+Premissas!$B$66)^((A460-1)/12))</x:f>
        <x:v>1821981.8804741902</x:v>
      </x:c>
      <x:c r="G460" s="141" t="n">
        <x:f>G459*(1+Premissas!$B$41)+C460</x:f>
        <x:v>60300239.920058735</x:v>
      </x:c>
      <x:c r="H460" s="141" t="n">
        <x:f>IF($A460=Premissas!$B$48,Premissas!$B$8,0)</x:f>
        <x:v>0</x:v>
      </x:c>
      <x:c r="I460" s="141" t="n">
        <x:f>IF(AND($A460&gt;=Premissas!$B$48,$A460-Premissas!$B$48+1&lt;=Premissas!$B$13),INDEX(Financiamento!$J$6:$J$485,$A460-Premissas!$B$48+1),0)</x:f>
        <x:v>0</x:v>
      </x:c>
      <x:c r="J460" s="141" t="n">
        <x:f>IF(AND(TRUE,Premissas!$B$11="Imovel",Premissas!$B$47="Moradia",$A460&lt;MAX(Premissas!$B$48,Premissas!$B$49)),$D460,0)</x:f>
        <x:v>0</x:v>
      </x:c>
      <x:c r="K460" s="141" t="n">
        <x:f>IF(AND(TRUE,Premissas!$B$11="Imovel",Premissas!$B$47="Investimento",$A460&gt;=MAX(Premissas!$B$48,Premissas!$B$49)),$E460,0)</x:f>
        <x:v>5527.09575669898</x:v>
      </x:c>
      <x:c r="L460" s="141" t="n">
        <x:f>H460+I460+J460</x:f>
        <x:v>0</x:v>
      </x:c>
      <x:c r="M460" s="141" t="n">
        <x:f>K460</x:f>
        <x:v>5527.09575669898</x:v>
      </x:c>
      <x:c r="N460" s="141" t="n">
        <x:f>$C460+M460-L460</x:f>
        <x:v>5527.09575669898</x:v>
      </x:c>
      <x:c r="O460" s="141" t="n">
        <x:f>R459*(1+Premissas!$B$41)+N460</x:f>
        <x:v>53113432.044409744</x:v>
      </x:c>
      <x:c r="P460" s="141" t="n">
        <x:f>MAX(0,-O460)</x:f>
        <x:v>0</x:v>
      </x:c>
      <x:c r="Q460" s="141" t="n">
        <x:f>Q459*(1+Premissas!$B$41)+P460</x:f>
        <x:v>0</x:v>
      </x:c>
      <x:c r="R460" s="141" t="n">
        <x:f>MAX(0,O460)</x:f>
        <x:v>53113432.044409744</x:v>
      </x:c>
      <x:c r="S460" s="141" t="n">
        <x:f>IF(AND($A460&gt;=Premissas!$B$48,$A460-Premissas!$B$48+1&lt;=Premissas!$B$13),INDEX(Financiamento!$M$6:$M$485,$A460-Premissas!$B$48+1),0)</x:f>
        <x:v>0</x:v>
      </x:c>
      <x:c r="T460" s="141" t="n">
        <x:f>IF($A460&gt;=Premissas!$B$48,$F460,0)</x:f>
        <x:v>1821981.8804741902</x:v>
      </x:c>
      <x:c r="U460" s="141" t="n">
        <x:f>R460+T460-S460</x:f>
        <x:v>54935413.92488393</x:v>
      </x:c>
      <x:c r="V460" s="141" t="n">
        <x:f>IF(Q460&gt;1,"Inviavel",U460)</x:f>
        <x:v>54935413.92488393</x:v>
      </x:c>
      <x:c r="W460" s="141" t="str">
        <x:f>IF(Q460&gt;1,"Inviavel","OK")</x:f>
        <x:v>OK</x:v>
      </x:c>
      <x:c r="X460" s="141" t="n">
        <x:f>IF($A460=Premissas!$B$48,Premissas!$B$8,0)</x:f>
        <x:v>0</x:v>
      </x:c>
      <x:c r="Y460" s="141" t="n">
        <x:f>IF(AND($A460&gt;=Premissas!$B$48,$A460-Premissas!$B$48+1&lt;=Premissas!$B$13),INDEX(Amortizacao!$K$6:$K$485,$A460-Premissas!$B$48+1),0)</x:f>
        <x:v>0</x:v>
      </x:c>
      <x:c r="Z460" s="141" t="n">
        <x:f>IF(AND(TRUE,Premissas!$B$11="Imovel",Premissas!$B$47="Moradia",$A460&lt;MAX(Premissas!$B$48,Premissas!$B$49)),$D460,0)</x:f>
        <x:v>0</x:v>
      </x:c>
      <x:c r="AA460" s="141" t="n">
        <x:f>IF(AND(TRUE,Premissas!$B$11="Imovel",Premissas!$B$47="Investimento",$A460&gt;=MAX(Premissas!$B$48,Premissas!$B$49)),$E460,0)</x:f>
        <x:v>5527.09575669898</x:v>
      </x:c>
      <x:c r="AB460" s="141" t="n">
        <x:f>X460+Y460+Z460</x:f>
        <x:v>0</x:v>
      </x:c>
      <x:c r="AC460" s="141" t="n">
        <x:f>AA460</x:f>
        <x:v>5527.09575669898</x:v>
      </x:c>
      <x:c r="AD460" s="141" t="n">
        <x:f>$C460+AC460-AB460</x:f>
        <x:v>5527.09575669898</x:v>
      </x:c>
      <x:c r="AE460" s="141" t="n">
        <x:f>AH459*(1+Premissas!$B$41)+AD460</x:f>
        <x:v>53999931.29064866</x:v>
      </x:c>
      <x:c r="AF460" s="141" t="n">
        <x:f>MAX(0,-AE460)</x:f>
        <x:v>0</x:v>
      </x:c>
      <x:c r="AG460" s="141" t="n">
        <x:f>AG459*(1+Premissas!$B$41)+AF460</x:f>
        <x:v>0</x:v>
      </x:c>
      <x:c r="AH460" s="141" t="n">
        <x:f>MAX(0,AE460)</x:f>
        <x:v>53999931.29064866</x:v>
      </x:c>
      <x:c r="AI460" s="141" t="n">
        <x:f>IF(AND($A460&gt;=Premissas!$B$48,$A460-Premissas!$B$48+1&lt;=Premissas!$B$13),INDEX(Amortizacao!$L$6:$L$485,$A460-Premissas!$B$48+1),0)</x:f>
        <x:v>0</x:v>
      </x:c>
      <x:c r="AJ460" s="141" t="n">
        <x:f>IF($A460&gt;=Premissas!$B$48,$F460,0)</x:f>
        <x:v>1821981.8804741902</x:v>
      </x:c>
      <x:c r="AK460" s="141" t="n">
        <x:f>AH460+AJ460-AI460</x:f>
        <x:v>55821913.17112285</x:v>
      </x:c>
      <x:c r="AL460" s="141" t="n">
        <x:f>IF(AG460&gt;1,"Inviavel",AK460)</x:f>
        <x:v>55821913.17112285</x:v>
      </x:c>
      <x:c r="AM460" s="141" t="str">
        <x:f>IF(AG460&gt;1,"Inviavel","OK")</x:f>
        <x:v>OK</x:v>
      </x:c>
      <x:c r="AN460" s="141" t="n">
        <x:f>IF($A460=Premissas!$B$48,Premissas!$B$8,0)</x:f>
        <x:v>0</x:v>
      </x:c>
      <x:c r="AO460" s="141" t="n">
        <x:f>IF($A460&lt;=Premissas!$B$25,INDEX('Consorcio IQ'!$K$6:$K$485,$A460),0)</x:f>
        <x:v>0</x:v>
      </x:c>
      <x:c r="AP460" s="141" t="n">
        <x:f>IF(AND(TRUE,Premissas!$B$11="Imovel",Premissas!$B$47="Moradia",$A460&lt;MAX(Premissas!$B$48,Premissas!$B$49)),$D460,0)</x:f>
        <x:v>0</x:v>
      </x:c>
      <x:c r="AQ460" s="141" t="n">
        <x:f>IF(AND(TRUE,Premissas!$B$11="Imovel",Premissas!$B$47="Investimento",$A460&gt;=MAX(Premissas!$B$48,Premissas!$B$49)),$E460,0)</x:f>
        <x:v>5527.09575669898</x:v>
      </x:c>
      <x:c r="AR460" s="141" t="n">
        <x:f>AN460+AO460+AP460</x:f>
        <x:v>0</x:v>
      </x:c>
      <x:c r="AS460" s="141" t="n">
        <x:f>AQ460</x:f>
        <x:v>5527.09575669898</x:v>
      </x:c>
      <x:c r="AT460" s="141" t="n">
        <x:f>$C460+AS460-AR460</x:f>
        <x:v>5527.09575669898</x:v>
      </x:c>
      <x:c r="AU460" s="141" t="n">
        <x:f>AX459*(1+Premissas!$B$41)+AT460</x:f>
        <x:v>53575255.67848742</x:v>
      </x:c>
      <x:c r="AV460" s="141" t="n">
        <x:f>MAX(0,-AU460)</x:f>
        <x:v>0</x:v>
      </x:c>
      <x:c r="AW460" s="141" t="n">
        <x:f>AW459*(1+Premissas!$B$41)+AV460</x:f>
        <x:v>0</x:v>
      </x:c>
      <x:c r="AX460" s="141" t="n">
        <x:f>MAX(0,AU460)</x:f>
        <x:v>53575255.67848742</x:v>
      </x:c>
      <x:c r="AY460" s="141" t="n">
        <x:f>INDEX('Consorcio IQ'!$P$6:$P$485,$A460)</x:f>
        <x:v>0</x:v>
      </x:c>
      <x:c r="AZ460" s="141" t="n">
        <x:f>IF($A460&gt;=Premissas!$B$48,$F460,0)+IF($A460&lt;Premissas!$B$27,INDEX('Consorcio IQ'!$O$6:$O$485,$A460),0)</x:f>
        <x:v>1821981.8804741902</x:v>
      </x:c>
      <x:c r="BA460" s="141" t="n">
        <x:f>AX460+AZ460-AY460</x:f>
        <x:v>55397237.55896161</x:v>
      </x:c>
      <x:c r="BB460" s="141" t="n">
        <x:f>IF(AW460&gt;1,"Inviavel",BA460)</x:f>
        <x:v>55397237.55896161</x:v>
      </x:c>
      <x:c r="BC460" s="141" t="str">
        <x:f>IF(AW460&gt;1,"Inviavel","OK")</x:f>
        <x:v>OK</x:v>
      </x:c>
      <x:c r="BD460" s="141" t="n">
        <x:f>IF($A460='Consorcio Direto'!$B$29,'Consorcio Direto'!$B$44,0)</x:f>
        <x:v>0</x:v>
      </x:c>
      <x:c r="BE460" s="141" t="n">
        <x:f>IF($A460&lt;='Consorcio Direto'!$B$27,INDEX('Consorcio Direto'!$E$55:$E$534,$A460),0)</x:f>
        <x:v>0</x:v>
      </x:c>
      <x:c r="BF460" s="141" t="n">
        <x:f>IF(AND(TRUE,Premissas!$B$11="Imovel",Premissas!$B$47="Moradia",$A460&lt;MAX('Consorcio Direto'!$B$29,Premissas!$B$49)),$D460,0)</x:f>
        <x:v>0</x:v>
      </x:c>
      <x:c r="BG460" s="141" t="n">
        <x:f>IF(AND(TRUE,Premissas!$B$11="Imovel",Premissas!$B$47="Investimento",$A460&gt;=MAX('Consorcio Direto'!$B$29,Premissas!$B$49)),$E460,0)</x:f>
        <x:v>5527.09575669898</x:v>
      </x:c>
      <x:c r="BH460" s="141" t="n">
        <x:f>BD460+BE460+BF460</x:f>
        <x:v>0</x:v>
      </x:c>
      <x:c r="BI460" s="141" t="n">
        <x:f>BG460</x:f>
        <x:v>5527.09575669898</x:v>
      </x:c>
      <x:c r="BJ460" s="141" t="n">
        <x:f>$C460+BI460-BH460</x:f>
        <x:v>5527.09575669898</x:v>
      </x:c>
      <x:c r="BK460" s="141" t="n">
        <x:f>BN459*(1+Premissas!$B$41)+BJ460</x:f>
        <x:v>51280143.31452658</x:v>
      </x:c>
      <x:c r="BL460" s="141" t="n">
        <x:f>MAX(0,-BK460)</x:f>
        <x:v>0</x:v>
      </x:c>
      <x:c r="BM460" s="141" t="n">
        <x:f>BM459*(1+Premissas!$B$41)+BL460</x:f>
        <x:v>0</x:v>
      </x:c>
      <x:c r="BN460" s="141" t="n">
        <x:f>MAX(0,BK460)</x:f>
        <x:v>51280143.31452658</x:v>
      </x:c>
      <x:c r="BO460" s="141" t="n">
        <x:f>INDEX('Consorcio Direto'!$K$55:$K$534,$A460)</x:f>
        <x:v>0</x:v>
      </x:c>
      <x:c r="BP460" s="141" t="n">
        <x:f>IF($A460&lt;'Consorcio Direto'!$B$29,INDEX('Consorcio Direto'!$L$55:$L$534,$A460),$F460)</x:f>
        <x:v>1821981.8804741902</x:v>
      </x:c>
      <x:c r="BQ460" s="141" t="n">
        <x:f>BN460+BP460-BO460</x:f>
        <x:v>53102125.19500077</x:v>
      </x:c>
      <x:c r="BR460" s="141" t="n">
        <x:f>IF(BM460&gt;1,"Inviavel",BQ460)</x:f>
        <x:v>53102125.19500077</x:v>
      </x:c>
      <x:c r="BS460" s="141" t="str">
        <x:f>IF(BM460&gt;1,"Inviavel","OK")</x:f>
        <x:v>OK</x:v>
      </x:c>
      <x:c r="BT460" s="141" t="n">
        <x:f>IF(AND('Carta Contemplada'!$B$22="Sim",$A460='Carta Contemplada'!$B$23),'Carta Contemplada'!$B$37,0)</x:f>
        <x:v>0</x:v>
      </x:c>
      <x:c r="BU460" s="141" t="n">
        <x:f>IF('Carta Contemplada'!$B$22="Sim",INDEX('Carta Contemplada'!$C$55:$C$1013,$A460),0)</x:f>
        <x:v>0</x:v>
      </x:c>
      <x:c r="BV460" s="141" t="n">
        <x:f>IF(AND('Carta Contemplada'!$B$22="Sim",Premissas!$B$11="Imovel",Premissas!$B$47="Moradia",$A460&lt;MAX('Carta Contemplada'!$B$44,Premissas!$B$49)),$D460,0)</x:f>
        <x:v>0</x:v>
      </x:c>
      <x:c r="BW460" s="141" t="n">
        <x:f>IF(AND('Carta Contemplada'!$B$22="Sim",Premissas!$B$11="Imovel",Premissas!$B$47="Investimento",$A460&gt;=MAX('Carta Contemplada'!$B$44,Premissas!$B$49)),$E460,0)</x:f>
        <x:v>5527.09575669898</x:v>
      </x:c>
      <x:c r="BX460" s="141" t="n">
        <x:f>BT460+BU460+BV460</x:f>
        <x:v>0</x:v>
      </x:c>
      <x:c r="BY460" s="141" t="n">
        <x:f>BW460</x:f>
        <x:v>5527.09575669898</x:v>
      </x:c>
      <x:c r="BZ460" s="141" t="n">
        <x:f>$C460+BY460-BX460</x:f>
        <x:v>5527.09575669898</x:v>
      </x:c>
      <x:c r="CA460" s="141" t="n">
        <x:f>CD459*(1+Premissas!$B$41)+BZ460</x:f>
        <x:v>55070883.373814106</x:v>
      </x:c>
      <x:c r="CB460" s="141" t="n">
        <x:f>MAX(0,-CA460)</x:f>
        <x:v>0</x:v>
      </x:c>
      <x:c r="CC460" s="141" t="n">
        <x:f>CC459*(1+Premissas!$B$41)+CB460</x:f>
        <x:v>0</x:v>
      </x:c>
      <x:c r="CD460" s="141" t="n">
        <x:f>MAX(0,CA460)</x:f>
        <x:v>55070883.373814106</x:v>
      </x:c>
      <x:c r="CE460" s="141" t="n">
        <x:f>IF(AND('Carta Contemplada'!$B$22="Sim",$A460&gt;='Carta Contemplada'!$B$23),INDEX('Carta Contemplada'!$I$55:$I$1013,$A460),0)</x:f>
        <x:v>0</x:v>
      </x:c>
      <x:c r="CF460" s="141" t="n">
        <x:f>IF(AND('Carta Contemplada'!$B$22="Sim",$A460&gt;='Carta Contemplada'!$B$44),$F460,0)</x:f>
        <x:v>1821981.8804741902</x:v>
      </x:c>
      <x:c r="CG460" s="141" t="n">
        <x:f>CD460+CF460-CE460</x:f>
        <x:v>56892865.25428829</x:v>
      </x:c>
      <x:c r="CH460" s="141" t="n">
        <x:f>IF(CC460&gt;1,"Inviavel",CG460)</x:f>
        <x:v>56892865.25428829</x:v>
      </x:c>
      <x:c r="CI460" s="145" t="str">
        <x:f>IF(CC460&gt;1,"Inviavel","OK")</x:f>
        <x:v>OK</x:v>
      </x:c>
    </x:row>
    <x:row r="461">
      <x:c r="A461" s="142" t="n">
        <x:v>457</x:v>
      </x:c>
      <x:c r="B461" s="179" t="n">
        <x:f>EDATE(Premissas!$B$4,A461-1)</x:f>
        <x:v>60419</x:v>
      </x:c>
      <x:c r="C461" s="141" t="n">
        <x:f>IF(A461&lt;=Premissas!$B$39,Premissas!$B$42,0)</x:f>
        <x:v>0</x:v>
      </x:c>
      <x:c r="D461" s="141" t="n">
        <x:f>Premissas!$B$54*(1+Premissas!$B$57)^INT((A461-1)/12)</x:f>
        <x:v>6407.97664292288</x:v>
      </x:c>
      <x:c r="E461" s="141" t="n">
        <x:f>Premissas!$B$64*(1+Premissas!$B$57)^INT((A461-1)/12)</x:f>
        <x:v>5858.72150210092</x:v>
      </x:c>
      <x:c r="F461" s="141" t="n">
        <x:f>MAX(0,Premissas!$B$6*(1+Premissas!$B$66)^((A461-1)/12))</x:f>
        <x:v>1830850.4694065372</x:v>
      </x:c>
      <x:c r="G461" s="141" t="n">
        <x:f>G460*(1+Premissas!$B$41)+C461</x:f>
        <x:v>60872416.41056585</x:v>
      </x:c>
      <x:c r="H461" s="141" t="n">
        <x:f>IF($A461=Premissas!$B$48,Premissas!$B$8,0)</x:f>
        <x:v>0</x:v>
      </x:c>
      <x:c r="I461" s="141" t="n">
        <x:f>IF(AND($A461&gt;=Premissas!$B$48,$A461-Premissas!$B$48+1&lt;=Premissas!$B$13),INDEX(Financiamento!$J$6:$J$485,$A461-Premissas!$B$48+1),0)</x:f>
        <x:v>0</x:v>
      </x:c>
      <x:c r="J461" s="141" t="n">
        <x:f>IF(AND(TRUE,Premissas!$B$11="Imovel",Premissas!$B$47="Moradia",$A461&lt;MAX(Premissas!$B$48,Premissas!$B$49)),$D461,0)</x:f>
        <x:v>0</x:v>
      </x:c>
      <x:c r="K461" s="141" t="n">
        <x:f>IF(AND(TRUE,Premissas!$B$11="Imovel",Premissas!$B$47="Investimento",$A461&gt;=MAX(Premissas!$B$48,Premissas!$B$49)),$E461,0)</x:f>
        <x:v>5858.72150210092</x:v>
      </x:c>
      <x:c r="L461" s="141" t="n">
        <x:f>H461+I461+J461</x:f>
        <x:v>0</x:v>
      </x:c>
      <x:c r="M461" s="141" t="n">
        <x:f>K461</x:f>
        <x:v>5858.72150210092</x:v>
      </x:c>
      <x:c r="N461" s="141" t="n">
        <x:f>$C461+M461-L461</x:f>
        <x:v>5858.72150210092</x:v>
      </x:c>
      <x:c r="O461" s="141" t="n">
        <x:f>R460*(1+Premissas!$B$41)+N461</x:f>
        <x:v>53623273.1246263</x:v>
      </x:c>
      <x:c r="P461" s="141" t="n">
        <x:f>MAX(0,-O461)</x:f>
        <x:v>0</x:v>
      </x:c>
      <x:c r="Q461" s="141" t="n">
        <x:f>Q460*(1+Premissas!$B$41)+P461</x:f>
        <x:v>0</x:v>
      </x:c>
      <x:c r="R461" s="141" t="n">
        <x:f>MAX(0,O461)</x:f>
        <x:v>53623273.1246263</x:v>
      </x:c>
      <x:c r="S461" s="141" t="n">
        <x:f>IF(AND($A461&gt;=Premissas!$B$48,$A461-Premissas!$B$48+1&lt;=Premissas!$B$13),INDEX(Financiamento!$M$6:$M$485,$A461-Premissas!$B$48+1),0)</x:f>
        <x:v>0</x:v>
      </x:c>
      <x:c r="T461" s="141" t="n">
        <x:f>IF($A461&gt;=Premissas!$B$48,$F461,0)</x:f>
        <x:v>1830850.4694065372</x:v>
      </x:c>
      <x:c r="U461" s="141" t="n">
        <x:f>R461+T461-S461</x:f>
        <x:v>55454123.59403284</x:v>
      </x:c>
      <x:c r="V461" s="141" t="n">
        <x:f>IF(Q461&gt;1,"Inviavel",U461)</x:f>
        <x:v>55454123.59403284</x:v>
      </x:c>
      <x:c r="W461" s="141" t="str">
        <x:f>IF(Q461&gt;1,"Inviavel","OK")</x:f>
        <x:v>OK</x:v>
      </x:c>
      <x:c r="X461" s="141" t="n">
        <x:f>IF($A461=Premissas!$B$48,Premissas!$B$8,0)</x:f>
        <x:v>0</x:v>
      </x:c>
      <x:c r="Y461" s="141" t="n">
        <x:f>IF(AND($A461&gt;=Premissas!$B$48,$A461-Premissas!$B$48+1&lt;=Premissas!$B$13),INDEX(Amortizacao!$K$6:$K$485,$A461-Premissas!$B$48+1),0)</x:f>
        <x:v>0</x:v>
      </x:c>
      <x:c r="Z461" s="141" t="n">
        <x:f>IF(AND(TRUE,Premissas!$B$11="Imovel",Premissas!$B$47="Moradia",$A461&lt;MAX(Premissas!$B$48,Premissas!$B$49)),$D461,0)</x:f>
        <x:v>0</x:v>
      </x:c>
      <x:c r="AA461" s="141" t="n">
        <x:f>IF(AND(TRUE,Premissas!$B$11="Imovel",Premissas!$B$47="Investimento",$A461&gt;=MAX(Premissas!$B$48,Premissas!$B$49)),$E461,0)</x:f>
        <x:v>5858.72150210092</x:v>
      </x:c>
      <x:c r="AB461" s="141" t="n">
        <x:f>X461+Y461+Z461</x:f>
        <x:v>0</x:v>
      </x:c>
      <x:c r="AC461" s="141" t="n">
        <x:f>AA461</x:f>
        <x:v>5858.72150210092</x:v>
      </x:c>
      <x:c r="AD461" s="141" t="n">
        <x:f>$C461+AC461-AB461</x:f>
        <x:v>5858.72150210092</x:v>
      </x:c>
      <x:c r="AE461" s="141" t="n">
        <x:f>AH460*(1+Premissas!$B$41)+AD461</x:f>
        <x:v>54518184.17864944</x:v>
      </x:c>
      <x:c r="AF461" s="141" t="n">
        <x:f>MAX(0,-AE461)</x:f>
        <x:v>0</x:v>
      </x:c>
      <x:c r="AG461" s="141" t="n">
        <x:f>AG460*(1+Premissas!$B$41)+AF461</x:f>
        <x:v>0</x:v>
      </x:c>
      <x:c r="AH461" s="141" t="n">
        <x:f>MAX(0,AE461)</x:f>
        <x:v>54518184.17864944</x:v>
      </x:c>
      <x:c r="AI461" s="141" t="n">
        <x:f>IF(AND($A461&gt;=Premissas!$B$48,$A461-Premissas!$B$48+1&lt;=Premissas!$B$13),INDEX(Amortizacao!$L$6:$L$485,$A461-Premissas!$B$48+1),0)</x:f>
        <x:v>0</x:v>
      </x:c>
      <x:c r="AJ461" s="141" t="n">
        <x:f>IF($A461&gt;=Premissas!$B$48,$F461,0)</x:f>
        <x:v>1830850.4694065372</x:v>
      </x:c>
      <x:c r="AK461" s="141" t="n">
        <x:f>AH461+AJ461-AI461</x:f>
        <x:v>56349034.64805598</x:v>
      </x:c>
      <x:c r="AL461" s="141" t="n">
        <x:f>IF(AG461&gt;1,"Inviavel",AK461)</x:f>
        <x:v>56349034.64805598</x:v>
      </x:c>
      <x:c r="AM461" s="141" t="str">
        <x:f>IF(AG461&gt;1,"Inviavel","OK")</x:f>
        <x:v>OK</x:v>
      </x:c>
      <x:c r="AN461" s="141" t="n">
        <x:f>IF($A461=Premissas!$B$48,Premissas!$B$8,0)</x:f>
        <x:v>0</x:v>
      </x:c>
      <x:c r="AO461" s="141" t="n">
        <x:f>IF($A461&lt;=Premissas!$B$25,INDEX('Consorcio IQ'!$K$6:$K$485,$A461),0)</x:f>
        <x:v>0</x:v>
      </x:c>
      <x:c r="AP461" s="141" t="n">
        <x:f>IF(AND(TRUE,Premissas!$B$11="Imovel",Premissas!$B$47="Moradia",$A461&lt;MAX(Premissas!$B$48,Premissas!$B$49)),$D461,0)</x:f>
        <x:v>0</x:v>
      </x:c>
      <x:c r="AQ461" s="141" t="n">
        <x:f>IF(AND(TRUE,Premissas!$B$11="Imovel",Premissas!$B$47="Investimento",$A461&gt;=MAX(Premissas!$B$48,Premissas!$B$49)),$E461,0)</x:f>
        <x:v>5858.72150210092</x:v>
      </x:c>
      <x:c r="AR461" s="141" t="n">
        <x:f>AN461+AO461+AP461</x:f>
        <x:v>0</x:v>
      </x:c>
      <x:c r="AS461" s="141" t="n">
        <x:f>AQ461</x:f>
        <x:v>5858.72150210092</x:v>
      </x:c>
      <x:c r="AT461" s="141" t="n">
        <x:f>$C461+AS461-AR461</x:f>
        <x:v>5858.72150210092</x:v>
      </x:c>
      <x:c r="AU461" s="141" t="n">
        <x:f>AX460*(1+Premissas!$B$41)+AT461</x:f>
        <x:v>54089478.90754004</x:v>
      </x:c>
      <x:c r="AV461" s="141" t="n">
        <x:f>MAX(0,-AU461)</x:f>
        <x:v>0</x:v>
      </x:c>
      <x:c r="AW461" s="141" t="n">
        <x:f>AW460*(1+Premissas!$B$41)+AV461</x:f>
        <x:v>0</x:v>
      </x:c>
      <x:c r="AX461" s="141" t="n">
        <x:f>MAX(0,AU461)</x:f>
        <x:v>54089478.90754004</x:v>
      </x:c>
      <x:c r="AY461" s="141" t="n">
        <x:f>INDEX('Consorcio IQ'!$P$6:$P$485,$A461)</x:f>
        <x:v>0</x:v>
      </x:c>
      <x:c r="AZ461" s="141" t="n">
        <x:f>IF($A461&gt;=Premissas!$B$48,$F461,0)+IF($A461&lt;Premissas!$B$27,INDEX('Consorcio IQ'!$O$6:$O$485,$A461),0)</x:f>
        <x:v>1830850.4694065372</x:v>
      </x:c>
      <x:c r="BA461" s="141" t="n">
        <x:f>AX461+AZ461-AY461</x:f>
        <x:v>55920329.376946576</x:v>
      </x:c>
      <x:c r="BB461" s="141" t="n">
        <x:f>IF(AW461&gt;1,"Inviavel",BA461)</x:f>
        <x:v>55920329.376946576</x:v>
      </x:c>
      <x:c r="BC461" s="141" t="str">
        <x:f>IF(AW461&gt;1,"Inviavel","OK")</x:f>
        <x:v>OK</x:v>
      </x:c>
      <x:c r="BD461" s="141" t="n">
        <x:f>IF($A461='Consorcio Direto'!$B$29,'Consorcio Direto'!$B$44,0)</x:f>
        <x:v>0</x:v>
      </x:c>
      <x:c r="BE461" s="141" t="n">
        <x:f>IF($A461&lt;='Consorcio Direto'!$B$27,INDEX('Consorcio Direto'!$E$55:$E$534,$A461),0)</x:f>
        <x:v>0</x:v>
      </x:c>
      <x:c r="BF461" s="141" t="n">
        <x:f>IF(AND(TRUE,Premissas!$B$11="Imovel",Premissas!$B$47="Moradia",$A461&lt;MAX('Consorcio Direto'!$B$29,Premissas!$B$49)),$D461,0)</x:f>
        <x:v>0</x:v>
      </x:c>
      <x:c r="BG461" s="141" t="n">
        <x:f>IF(AND(TRUE,Premissas!$B$11="Imovel",Premissas!$B$47="Investimento",$A461&gt;=MAX('Consorcio Direto'!$B$29,Premissas!$B$49)),$E461,0)</x:f>
        <x:v>5858.72150210092</x:v>
      </x:c>
      <x:c r="BH461" s="141" t="n">
        <x:f>BD461+BE461+BF461</x:f>
        <x:v>0</x:v>
      </x:c>
      <x:c r="BI461" s="141" t="n">
        <x:f>BG461</x:f>
        <x:v>5858.72150210092</x:v>
      </x:c>
      <x:c r="BJ461" s="141" t="n">
        <x:f>$C461+BI461-BH461</x:f>
        <x:v>5858.72150210092</x:v>
      </x:c>
      <x:c r="BK461" s="141" t="n">
        <x:f>BN460*(1+Premissas!$B$41)+BJ461</x:f>
        <x:v>51772588.69759597</x:v>
      </x:c>
      <x:c r="BL461" s="141" t="n">
        <x:f>MAX(0,-BK461)</x:f>
        <x:v>0</x:v>
      </x:c>
      <x:c r="BM461" s="141" t="n">
        <x:f>BM460*(1+Premissas!$B$41)+BL461</x:f>
        <x:v>0</x:v>
      </x:c>
      <x:c r="BN461" s="141" t="n">
        <x:f>MAX(0,BK461)</x:f>
        <x:v>51772588.69759597</x:v>
      </x:c>
      <x:c r="BO461" s="141" t="n">
        <x:f>INDEX('Consorcio Direto'!$K$55:$K$534,$A461)</x:f>
        <x:v>0</x:v>
      </x:c>
      <x:c r="BP461" s="141" t="n">
        <x:f>IF($A461&lt;'Consorcio Direto'!$B$29,INDEX('Consorcio Direto'!$L$55:$L$534,$A461),$F461)</x:f>
        <x:v>1830850.4694065372</x:v>
      </x:c>
      <x:c r="BQ461" s="141" t="n">
        <x:f>BN461+BP461-BO461</x:f>
        <x:v>53603439.16700251</x:v>
      </x:c>
      <x:c r="BR461" s="141" t="n">
        <x:f>IF(BM461&gt;1,"Inviavel",BQ461)</x:f>
        <x:v>53603439.16700251</x:v>
      </x:c>
      <x:c r="BS461" s="141" t="str">
        <x:f>IF(BM461&gt;1,"Inviavel","OK")</x:f>
        <x:v>OK</x:v>
      </x:c>
      <x:c r="BT461" s="141" t="n">
        <x:f>IF(AND('Carta Contemplada'!$B$22="Sim",$A461='Carta Contemplada'!$B$23),'Carta Contemplada'!$B$37,0)</x:f>
        <x:v>0</x:v>
      </x:c>
      <x:c r="BU461" s="141" t="n">
        <x:f>IF('Carta Contemplada'!$B$22="Sim",INDEX('Carta Contemplada'!$C$55:$C$1013,$A461),0)</x:f>
        <x:v>0</x:v>
      </x:c>
      <x:c r="BV461" s="141" t="n">
        <x:f>IF(AND('Carta Contemplada'!$B$22="Sim",Premissas!$B$11="Imovel",Premissas!$B$47="Moradia",$A461&lt;MAX('Carta Contemplada'!$B$44,Premissas!$B$49)),$D461,0)</x:f>
        <x:v>0</x:v>
      </x:c>
      <x:c r="BW461" s="141" t="n">
        <x:f>IF(AND('Carta Contemplada'!$B$22="Sim",Premissas!$B$11="Imovel",Premissas!$B$47="Investimento",$A461&gt;=MAX('Carta Contemplada'!$B$44,Premissas!$B$49)),$E461,0)</x:f>
        <x:v>5858.72150210092</x:v>
      </x:c>
      <x:c r="BX461" s="141" t="n">
        <x:f>BT461+BU461+BV461</x:f>
        <x:v>0</x:v>
      </x:c>
      <x:c r="BY461" s="141" t="n">
        <x:f>BW461</x:f>
        <x:v>5858.72150210092</x:v>
      </x:c>
      <x:c r="BZ461" s="141" t="n">
        <x:f>$C461+BY461-BX461</x:f>
        <x:v>5858.72150210092</x:v>
      </x:c>
      <x:c r="CA461" s="141" t="n">
        <x:f>CD460*(1+Premissas!$B$41)+BZ461</x:f>
        <x:v>55599298.3043749</x:v>
      </x:c>
      <x:c r="CB461" s="141" t="n">
        <x:f>MAX(0,-CA461)</x:f>
        <x:v>0</x:v>
      </x:c>
      <x:c r="CC461" s="141" t="n">
        <x:f>CC460*(1+Premissas!$B$41)+CB461</x:f>
        <x:v>0</x:v>
      </x:c>
      <x:c r="CD461" s="141" t="n">
        <x:f>MAX(0,CA461)</x:f>
        <x:v>55599298.3043749</x:v>
      </x:c>
      <x:c r="CE461" s="141" t="n">
        <x:f>IF(AND('Carta Contemplada'!$B$22="Sim",$A461&gt;='Carta Contemplada'!$B$23),INDEX('Carta Contemplada'!$I$55:$I$1013,$A461),0)</x:f>
        <x:v>0</x:v>
      </x:c>
      <x:c r="CF461" s="141" t="n">
        <x:f>IF(AND('Carta Contemplada'!$B$22="Sim",$A461&gt;='Carta Contemplada'!$B$44),$F461,0)</x:f>
        <x:v>1830850.4694065372</x:v>
      </x:c>
      <x:c r="CG461" s="141" t="n">
        <x:f>CD461+CF461-CE461</x:f>
        <x:v>57430148.77378144</x:v>
      </x:c>
      <x:c r="CH461" s="141" t="n">
        <x:f>IF(CC461&gt;1,"Inviavel",CG461)</x:f>
        <x:v>57430148.77378144</x:v>
      </x:c>
      <x:c r="CI461" s="145" t="str">
        <x:f>IF(CC461&gt;1,"Inviavel","OK")</x:f>
        <x:v>OK</x:v>
      </x:c>
    </x:row>
    <x:row r="462">
      <x:c r="A462" s="142" t="n">
        <x:v>458</x:v>
      </x:c>
      <x:c r="B462" s="179" t="n">
        <x:f>EDATE(Premissas!$B$4,A462-1)</x:f>
        <x:v>60449</x:v>
      </x:c>
      <x:c r="C462" s="141" t="n">
        <x:f>IF(A462&lt;=Premissas!$B$39,Premissas!$B$42,0)</x:f>
        <x:v>0</x:v>
      </x:c>
      <x:c r="D462" s="141" t="n">
        <x:f>Premissas!$B$54*(1+Premissas!$B$57)^INT((A462-1)/12)</x:f>
        <x:v>6407.97664292288</x:v>
      </x:c>
      <x:c r="E462" s="141" t="n">
        <x:f>Premissas!$B$64*(1+Premissas!$B$57)^INT((A462-1)/12)</x:f>
        <x:v>5858.72150210092</x:v>
      </x:c>
      <x:c r="F462" s="141" t="n">
        <x:f>MAX(0,Premissas!$B$6*(1+Premissas!$B$66)^((A462-1)/12))</x:f>
        <x:v>1839762.2266439558</x:v>
      </x:c>
      <x:c r="G462" s="141" t="n">
        <x:f>G461*(1+Premissas!$B$41)+C462</x:f>
        <x:v>61450022.16531343</x:v>
      </x:c>
      <x:c r="H462" s="141" t="n">
        <x:f>IF($A462=Premissas!$B$48,Premissas!$B$8,0)</x:f>
        <x:v>0</x:v>
      </x:c>
      <x:c r="I462" s="141" t="n">
        <x:f>IF(AND($A462&gt;=Premissas!$B$48,$A462-Premissas!$B$48+1&lt;=Premissas!$B$13),INDEX(Financiamento!$J$6:$J$485,$A462-Premissas!$B$48+1),0)</x:f>
        <x:v>0</x:v>
      </x:c>
      <x:c r="J462" s="141" t="n">
        <x:f>IF(AND(TRUE,Premissas!$B$11="Imovel",Premissas!$B$47="Moradia",$A462&lt;MAX(Premissas!$B$48,Premissas!$B$49)),$D462,0)</x:f>
        <x:v>0</x:v>
      </x:c>
      <x:c r="K462" s="141" t="n">
        <x:f>IF(AND(TRUE,Premissas!$B$11="Imovel",Premissas!$B$47="Investimento",$A462&gt;=MAX(Premissas!$B$48,Premissas!$B$49)),$E462,0)</x:f>
        <x:v>5858.72150210092</x:v>
      </x:c>
      <x:c r="L462" s="141" t="n">
        <x:f>H462+I462+J462</x:f>
        <x:v>0</x:v>
      </x:c>
      <x:c r="M462" s="141" t="n">
        <x:f>K462</x:f>
        <x:v>5858.72150210092</x:v>
      </x:c>
      <x:c r="N462" s="141" t="n">
        <x:f>$C462+M462-L462</x:f>
        <x:v>5858.72150210092</x:v>
      </x:c>
      <x:c r="O462" s="141" t="n">
        <x:f>R461*(1+Premissas!$B$41)+N462</x:f>
        <x:v>54137951.98128258</x:v>
      </x:c>
      <x:c r="P462" s="141" t="n">
        <x:f>MAX(0,-O462)</x:f>
        <x:v>0</x:v>
      </x:c>
      <x:c r="Q462" s="141" t="n">
        <x:f>Q461*(1+Premissas!$B$41)+P462</x:f>
        <x:v>0</x:v>
      </x:c>
      <x:c r="R462" s="141" t="n">
        <x:f>MAX(0,O462)</x:f>
        <x:v>54137951.98128258</x:v>
      </x:c>
      <x:c r="S462" s="141" t="n">
        <x:f>IF(AND($A462&gt;=Premissas!$B$48,$A462-Premissas!$B$48+1&lt;=Premissas!$B$13),INDEX(Financiamento!$M$6:$M$485,$A462-Premissas!$B$48+1),0)</x:f>
        <x:v>0</x:v>
      </x:c>
      <x:c r="T462" s="141" t="n">
        <x:f>IF($A462&gt;=Premissas!$B$48,$F462,0)</x:f>
        <x:v>1839762.2266439558</x:v>
      </x:c>
      <x:c r="U462" s="141" t="n">
        <x:f>R462+T462-S462</x:f>
        <x:v>55977714.207926534</x:v>
      </x:c>
      <x:c r="V462" s="141" t="n">
        <x:f>IF(Q462&gt;1,"Inviavel",U462)</x:f>
        <x:v>55977714.207926534</x:v>
      </x:c>
      <x:c r="W462" s="141" t="str">
        <x:f>IF(Q462&gt;1,"Inviavel","OK")</x:f>
        <x:v>OK</x:v>
      </x:c>
      <x:c r="X462" s="141" t="n">
        <x:f>IF($A462=Premissas!$B$48,Premissas!$B$8,0)</x:f>
        <x:v>0</x:v>
      </x:c>
      <x:c r="Y462" s="141" t="n">
        <x:f>IF(AND($A462&gt;=Premissas!$B$48,$A462-Premissas!$B$48+1&lt;=Premissas!$B$13),INDEX(Amortizacao!$K$6:$K$485,$A462-Premissas!$B$48+1),0)</x:f>
        <x:v>0</x:v>
      </x:c>
      <x:c r="Z462" s="141" t="n">
        <x:f>IF(AND(TRUE,Premissas!$B$11="Imovel",Premissas!$B$47="Moradia",$A462&lt;MAX(Premissas!$B$48,Premissas!$B$49)),$D462,0)</x:f>
        <x:v>0</x:v>
      </x:c>
      <x:c r="AA462" s="141" t="n">
        <x:f>IF(AND(TRUE,Premissas!$B$11="Imovel",Premissas!$B$47="Investimento",$A462&gt;=MAX(Premissas!$B$48,Premissas!$B$49)),$E462,0)</x:f>
        <x:v>5858.72150210092</x:v>
      </x:c>
      <x:c r="AB462" s="141" t="n">
        <x:f>X462+Y462+Z462</x:f>
        <x:v>0</x:v>
      </x:c>
      <x:c r="AC462" s="141" t="n">
        <x:f>AA462</x:f>
        <x:v>5858.72150210092</x:v>
      </x:c>
      <x:c r="AD462" s="141" t="n">
        <x:f>$C462+AC462-AB462</x:f>
        <x:v>5858.72150210092</x:v>
      </x:c>
      <x:c r="AE462" s="141" t="n">
        <x:f>AH461*(1+Premissas!$B$41)+AD462</x:f>
        <x:v>55041354.66099221</x:v>
      </x:c>
      <x:c r="AF462" s="141" t="n">
        <x:f>MAX(0,-AE462)</x:f>
        <x:v>0</x:v>
      </x:c>
      <x:c r="AG462" s="141" t="n">
        <x:f>AG461*(1+Premissas!$B$41)+AF462</x:f>
        <x:v>0</x:v>
      </x:c>
      <x:c r="AH462" s="141" t="n">
        <x:f>MAX(0,AE462)</x:f>
        <x:v>55041354.66099221</x:v>
      </x:c>
      <x:c r="AI462" s="141" t="n">
        <x:f>IF(AND($A462&gt;=Premissas!$B$48,$A462-Premissas!$B$48+1&lt;=Premissas!$B$13),INDEX(Amortizacao!$L$6:$L$485,$A462-Premissas!$B$48+1),0)</x:f>
        <x:v>0</x:v>
      </x:c>
      <x:c r="AJ462" s="141" t="n">
        <x:f>IF($A462&gt;=Premissas!$B$48,$F462,0)</x:f>
        <x:v>1839762.2266439558</x:v>
      </x:c>
      <x:c r="AK462" s="141" t="n">
        <x:f>AH462+AJ462-AI462</x:f>
        <x:v>56881116.88763617</x:v>
      </x:c>
      <x:c r="AL462" s="141" t="n">
        <x:f>IF(AG462&gt;1,"Inviavel",AK462)</x:f>
        <x:v>56881116.88763617</x:v>
      </x:c>
      <x:c r="AM462" s="141" t="str">
        <x:f>IF(AG462&gt;1,"Inviavel","OK")</x:f>
        <x:v>OK</x:v>
      </x:c>
      <x:c r="AN462" s="141" t="n">
        <x:f>IF($A462=Premissas!$B$48,Premissas!$B$8,0)</x:f>
        <x:v>0</x:v>
      </x:c>
      <x:c r="AO462" s="141" t="n">
        <x:f>IF($A462&lt;=Premissas!$B$25,INDEX('Consorcio IQ'!$K$6:$K$485,$A462),0)</x:f>
        <x:v>0</x:v>
      </x:c>
      <x:c r="AP462" s="141" t="n">
        <x:f>IF(AND(TRUE,Premissas!$B$11="Imovel",Premissas!$B$47="Moradia",$A462&lt;MAX(Premissas!$B$48,Premissas!$B$49)),$D462,0)</x:f>
        <x:v>0</x:v>
      </x:c>
      <x:c r="AQ462" s="141" t="n">
        <x:f>IF(AND(TRUE,Premissas!$B$11="Imovel",Premissas!$B$47="Investimento",$A462&gt;=MAX(Premissas!$B$48,Premissas!$B$49)),$E462,0)</x:f>
        <x:v>5858.72150210092</x:v>
      </x:c>
      <x:c r="AR462" s="141" t="n">
        <x:f>AN462+AO462+AP462</x:f>
        <x:v>0</x:v>
      </x:c>
      <x:c r="AS462" s="141" t="n">
        <x:f>AQ462</x:f>
        <x:v>5858.72150210092</x:v>
      </x:c>
      <x:c r="AT462" s="141" t="n">
        <x:f>$C462+AS462-AR462</x:f>
        <x:v>5858.72150210092</x:v>
      </x:c>
      <x:c r="AU462" s="141" t="n">
        <x:f>AX461*(1+Premissas!$B$41)+AT462</x:f>
        <x:v>54608581.49433529</x:v>
      </x:c>
      <x:c r="AV462" s="141" t="n">
        <x:f>MAX(0,-AU462)</x:f>
        <x:v>0</x:v>
      </x:c>
      <x:c r="AW462" s="141" t="n">
        <x:f>AW461*(1+Premissas!$B$41)+AV462</x:f>
        <x:v>0</x:v>
      </x:c>
      <x:c r="AX462" s="141" t="n">
        <x:f>MAX(0,AU462)</x:f>
        <x:v>54608581.49433529</x:v>
      </x:c>
      <x:c r="AY462" s="141" t="n">
        <x:f>INDEX('Consorcio IQ'!$P$6:$P$485,$A462)</x:f>
        <x:v>0</x:v>
      </x:c>
      <x:c r="AZ462" s="141" t="n">
        <x:f>IF($A462&gt;=Premissas!$B$48,$F462,0)+IF($A462&lt;Premissas!$B$27,INDEX('Consorcio IQ'!$O$6:$O$485,$A462),0)</x:f>
        <x:v>1839762.2266439558</x:v>
      </x:c>
      <x:c r="BA462" s="141" t="n">
        <x:f>AX462+AZ462-AY462</x:f>
        <x:v>56448343.72097924</x:v>
      </x:c>
      <x:c r="BB462" s="141" t="n">
        <x:f>IF(AW462&gt;1,"Inviavel",BA462)</x:f>
        <x:v>56448343.72097924</x:v>
      </x:c>
      <x:c r="BC462" s="141" t="str">
        <x:f>IF(AW462&gt;1,"Inviavel","OK")</x:f>
        <x:v>OK</x:v>
      </x:c>
      <x:c r="BD462" s="141" t="n">
        <x:f>IF($A462='Consorcio Direto'!$B$29,'Consorcio Direto'!$B$44,0)</x:f>
        <x:v>0</x:v>
      </x:c>
      <x:c r="BE462" s="141" t="n">
        <x:f>IF($A462&lt;='Consorcio Direto'!$B$27,INDEX('Consorcio Direto'!$E$55:$E$534,$A462),0)</x:f>
        <x:v>0</x:v>
      </x:c>
      <x:c r="BF462" s="141" t="n">
        <x:f>IF(AND(TRUE,Premissas!$B$11="Imovel",Premissas!$B$47="Moradia",$A462&lt;MAX('Consorcio Direto'!$B$29,Premissas!$B$49)),$D462,0)</x:f>
        <x:v>0</x:v>
      </x:c>
      <x:c r="BG462" s="141" t="n">
        <x:f>IF(AND(TRUE,Premissas!$B$11="Imovel",Premissas!$B$47="Investimento",$A462&gt;=MAX('Consorcio Direto'!$B$29,Premissas!$B$49)),$E462,0)</x:f>
        <x:v>5858.72150210092</x:v>
      </x:c>
      <x:c r="BH462" s="141" t="n">
        <x:f>BD462+BE462+BF462</x:f>
        <x:v>0</x:v>
      </x:c>
      <x:c r="BI462" s="141" t="n">
        <x:f>BG462</x:f>
        <x:v>5858.72150210092</x:v>
      </x:c>
      <x:c r="BJ462" s="141" t="n">
        <x:f>$C462+BI462-BH462</x:f>
        <x:v>5858.72150210092</x:v>
      </x:c>
      <x:c r="BK462" s="141" t="n">
        <x:f>BN461*(1+Premissas!$B$41)+BJ462</x:f>
        <x:v>52269706.79293689</x:v>
      </x:c>
      <x:c r="BL462" s="141" t="n">
        <x:f>MAX(0,-BK462)</x:f>
        <x:v>0</x:v>
      </x:c>
      <x:c r="BM462" s="141" t="n">
        <x:f>BM461*(1+Premissas!$B$41)+BL462</x:f>
        <x:v>0</x:v>
      </x:c>
      <x:c r="BN462" s="141" t="n">
        <x:f>MAX(0,BK462)</x:f>
        <x:v>52269706.79293689</x:v>
      </x:c>
      <x:c r="BO462" s="141" t="n">
        <x:f>INDEX('Consorcio Direto'!$K$55:$K$534,$A462)</x:f>
        <x:v>0</x:v>
      </x:c>
      <x:c r="BP462" s="141" t="n">
        <x:f>IF($A462&lt;'Consorcio Direto'!$B$29,INDEX('Consorcio Direto'!$L$55:$L$534,$A462),$F462)</x:f>
        <x:v>1839762.2266439558</x:v>
      </x:c>
      <x:c r="BQ462" s="141" t="n">
        <x:f>BN462+BP462-BO462</x:f>
        <x:v>54109469.01958085</x:v>
      </x:c>
      <x:c r="BR462" s="141" t="n">
        <x:f>IF(BM462&gt;1,"Inviavel",BQ462)</x:f>
        <x:v>54109469.01958085</x:v>
      </x:c>
      <x:c r="BS462" s="141" t="str">
        <x:f>IF(BM462&gt;1,"Inviavel","OK")</x:f>
        <x:v>OK</x:v>
      </x:c>
      <x:c r="BT462" s="141" t="n">
        <x:f>IF(AND('Carta Contemplada'!$B$22="Sim",$A462='Carta Contemplada'!$B$23),'Carta Contemplada'!$B$37,0)</x:f>
        <x:v>0</x:v>
      </x:c>
      <x:c r="BU462" s="141" t="n">
        <x:f>IF('Carta Contemplada'!$B$22="Sim",INDEX('Carta Contemplada'!$C$55:$C$1013,$A462),0)</x:f>
        <x:v>0</x:v>
      </x:c>
      <x:c r="BV462" s="141" t="n">
        <x:f>IF(AND('Carta Contemplada'!$B$22="Sim",Premissas!$B$11="Imovel",Premissas!$B$47="Moradia",$A462&lt;MAX('Carta Contemplada'!$B$44,Premissas!$B$49)),$D462,0)</x:f>
        <x:v>0</x:v>
      </x:c>
      <x:c r="BW462" s="141" t="n">
        <x:f>IF(AND('Carta Contemplada'!$B$22="Sim",Premissas!$B$11="Imovel",Premissas!$B$47="Investimento",$A462&gt;=MAX('Carta Contemplada'!$B$44,Premissas!$B$49)),$E462,0)</x:f>
        <x:v>5858.72150210092</x:v>
      </x:c>
      <x:c r="BX462" s="141" t="n">
        <x:f>BT462+BU462+BV462</x:f>
        <x:v>0</x:v>
      </x:c>
      <x:c r="BY462" s="141" t="n">
        <x:f>BW462</x:f>
        <x:v>5858.72150210092</x:v>
      </x:c>
      <x:c r="BZ462" s="141" t="n">
        <x:f>$C462+BY462-BX462</x:f>
        <x:v>5858.72150210092</x:v>
      </x:c>
      <x:c r="CA462" s="141" t="n">
        <x:f>CD461*(1+Premissas!$B$41)+BZ462</x:f>
        <x:v>56132727.254795335</x:v>
      </x:c>
      <x:c r="CB462" s="141" t="n">
        <x:f>MAX(0,-CA462)</x:f>
        <x:v>0</x:v>
      </x:c>
      <x:c r="CC462" s="141" t="n">
        <x:f>CC461*(1+Premissas!$B$41)+CB462</x:f>
        <x:v>0</x:v>
      </x:c>
      <x:c r="CD462" s="141" t="n">
        <x:f>MAX(0,CA462)</x:f>
        <x:v>56132727.254795335</x:v>
      </x:c>
      <x:c r="CE462" s="141" t="n">
        <x:f>IF(AND('Carta Contemplada'!$B$22="Sim",$A462&gt;='Carta Contemplada'!$B$23),INDEX('Carta Contemplada'!$I$55:$I$1013,$A462),0)</x:f>
        <x:v>0</x:v>
      </x:c>
      <x:c r="CF462" s="141" t="n">
        <x:f>IF(AND('Carta Contemplada'!$B$22="Sim",$A462&gt;='Carta Contemplada'!$B$44),$F462,0)</x:f>
        <x:v>1839762.2266439558</x:v>
      </x:c>
      <x:c r="CG462" s="141" t="n">
        <x:f>CD462+CF462-CE462</x:f>
        <x:v>57972489.48143929</x:v>
      </x:c>
      <x:c r="CH462" s="141" t="n">
        <x:f>IF(CC462&gt;1,"Inviavel",CG462)</x:f>
        <x:v>57972489.48143929</x:v>
      </x:c>
      <x:c r="CI462" s="145" t="str">
        <x:f>IF(CC462&gt;1,"Inviavel","OK")</x:f>
        <x:v>OK</x:v>
      </x:c>
    </x:row>
    <x:row r="463">
      <x:c r="A463" s="142" t="n">
        <x:v>459</x:v>
      </x:c>
      <x:c r="B463" s="179" t="n">
        <x:f>EDATE(Premissas!$B$4,A463-1)</x:f>
        <x:v>60480</x:v>
      </x:c>
      <x:c r="C463" s="141" t="n">
        <x:f>IF(A463&lt;=Premissas!$B$39,Premissas!$B$42,0)</x:f>
        <x:v>0</x:v>
      </x:c>
      <x:c r="D463" s="141" t="n">
        <x:f>Premissas!$B$54*(1+Premissas!$B$57)^INT((A463-1)/12)</x:f>
        <x:v>6407.97664292288</x:v>
      </x:c>
      <x:c r="E463" s="141" t="n">
        <x:f>Premissas!$B$64*(1+Premissas!$B$57)^INT((A463-1)/12)</x:f>
        <x:v>5858.72150210092</x:v>
      </x:c>
      <x:c r="F463" s="141" t="n">
        <x:f>MAX(0,Premissas!$B$6*(1+Premissas!$B$66)^((A463-1)/12))</x:f>
        <x:v>1848717.362310353</x:v>
      </x:c>
      <x:c r="G463" s="141" t="n">
        <x:f>G462*(1+Premissas!$B$41)+C463</x:f>
        <x:v>62033108.70146563</x:v>
      </x:c>
      <x:c r="H463" s="141" t="n">
        <x:f>IF($A463=Premissas!$B$48,Premissas!$B$8,0)</x:f>
        <x:v>0</x:v>
      </x:c>
      <x:c r="I463" s="141" t="n">
        <x:f>IF(AND($A463&gt;=Premissas!$B$48,$A463-Premissas!$B$48+1&lt;=Premissas!$B$13),INDEX(Financiamento!$J$6:$J$485,$A463-Premissas!$B$48+1),0)</x:f>
        <x:v>0</x:v>
      </x:c>
      <x:c r="J463" s="141" t="n">
        <x:f>IF(AND(TRUE,Premissas!$B$11="Imovel",Premissas!$B$47="Moradia",$A463&lt;MAX(Premissas!$B$48,Premissas!$B$49)),$D463,0)</x:f>
        <x:v>0</x:v>
      </x:c>
      <x:c r="K463" s="141" t="n">
        <x:f>IF(AND(TRUE,Premissas!$B$11="Imovel",Premissas!$B$47="Investimento",$A463&gt;=MAX(Premissas!$B$48,Premissas!$B$49)),$E463,0)</x:f>
        <x:v>5858.72150210092</x:v>
      </x:c>
      <x:c r="L463" s="141" t="n">
        <x:f>H463+I463+J463</x:f>
        <x:v>0</x:v>
      </x:c>
      <x:c r="M463" s="141" t="n">
        <x:f>K463</x:f>
        <x:v>5858.72150210092</x:v>
      </x:c>
      <x:c r="N463" s="141" t="n">
        <x:f>$C463+M463-L463</x:f>
        <x:v>5858.72150210092</x:v>
      </x:c>
      <x:c r="O463" s="141" t="n">
        <x:f>R462*(1+Premissas!$B$41)+N463</x:f>
        <x:v>54657514.51903747</x:v>
      </x:c>
      <x:c r="P463" s="141" t="n">
        <x:f>MAX(0,-O463)</x:f>
        <x:v>0</x:v>
      </x:c>
      <x:c r="Q463" s="141" t="n">
        <x:f>Q462*(1+Premissas!$B$41)+P463</x:f>
        <x:v>0</x:v>
      </x:c>
      <x:c r="R463" s="141" t="n">
        <x:f>MAX(0,O463)</x:f>
        <x:v>54657514.51903747</x:v>
      </x:c>
      <x:c r="S463" s="141" t="n">
        <x:f>IF(AND($A463&gt;=Premissas!$B$48,$A463-Premissas!$B$48+1&lt;=Premissas!$B$13),INDEX(Financiamento!$M$6:$M$485,$A463-Premissas!$B$48+1),0)</x:f>
        <x:v>0</x:v>
      </x:c>
      <x:c r="T463" s="141" t="n">
        <x:f>IF($A463&gt;=Premissas!$B$48,$F463,0)</x:f>
        <x:v>1848717.362310353</x:v>
      </x:c>
      <x:c r="U463" s="141" t="n">
        <x:f>R463+T463-S463</x:f>
        <x:v>56506231.88134782</x:v>
      </x:c>
      <x:c r="V463" s="141" t="n">
        <x:f>IF(Q463&gt;1,"Inviavel",U463)</x:f>
        <x:v>56506231.88134782</x:v>
      </x:c>
      <x:c r="W463" s="141" t="str">
        <x:f>IF(Q463&gt;1,"Inviavel","OK")</x:f>
        <x:v>OK</x:v>
      </x:c>
      <x:c r="X463" s="141" t="n">
        <x:f>IF($A463=Premissas!$B$48,Premissas!$B$8,0)</x:f>
        <x:v>0</x:v>
      </x:c>
      <x:c r="Y463" s="141" t="n">
        <x:f>IF(AND($A463&gt;=Premissas!$B$48,$A463-Premissas!$B$48+1&lt;=Premissas!$B$13),INDEX(Amortizacao!$K$6:$K$485,$A463-Premissas!$B$48+1),0)</x:f>
        <x:v>0</x:v>
      </x:c>
      <x:c r="Z463" s="141" t="n">
        <x:f>IF(AND(TRUE,Premissas!$B$11="Imovel",Premissas!$B$47="Moradia",$A463&lt;MAX(Premissas!$B$48,Premissas!$B$49)),$D463,0)</x:f>
        <x:v>0</x:v>
      </x:c>
      <x:c r="AA463" s="141" t="n">
        <x:f>IF(AND(TRUE,Premissas!$B$11="Imovel",Premissas!$B$47="Investimento",$A463&gt;=MAX(Premissas!$B$48,Premissas!$B$49)),$E463,0)</x:f>
        <x:v>5858.72150210092</x:v>
      </x:c>
      <x:c r="AB463" s="141" t="n">
        <x:f>X463+Y463+Z463</x:f>
        <x:v>0</x:v>
      </x:c>
      <x:c r="AC463" s="141" t="n">
        <x:f>AA463</x:f>
        <x:v>5858.72150210092</x:v>
      </x:c>
      <x:c r="AD463" s="141" t="n">
        <x:f>$C463+AC463-AB463</x:f>
        <x:v>5858.72150210092</x:v>
      </x:c>
      <x:c r="AE463" s="141" t="n">
        <x:f>AH462*(1+Premissas!$B$41)+AD463</x:f>
        <x:v>55569489.399711415</x:v>
      </x:c>
      <x:c r="AF463" s="141" t="n">
        <x:f>MAX(0,-AE463)</x:f>
        <x:v>0</x:v>
      </x:c>
      <x:c r="AG463" s="141" t="n">
        <x:f>AG462*(1+Premissas!$B$41)+AF463</x:f>
        <x:v>0</x:v>
      </x:c>
      <x:c r="AH463" s="141" t="n">
        <x:f>MAX(0,AE463)</x:f>
        <x:v>55569489.399711415</x:v>
      </x:c>
      <x:c r="AI463" s="141" t="n">
        <x:f>IF(AND($A463&gt;=Premissas!$B$48,$A463-Premissas!$B$48+1&lt;=Premissas!$B$13),INDEX(Amortizacao!$L$6:$L$485,$A463-Premissas!$B$48+1),0)</x:f>
        <x:v>0</x:v>
      </x:c>
      <x:c r="AJ463" s="141" t="n">
        <x:f>IF($A463&gt;=Premissas!$B$48,$F463,0)</x:f>
        <x:v>1848717.362310353</x:v>
      </x:c>
      <x:c r="AK463" s="141" t="n">
        <x:f>AH463+AJ463-AI463</x:f>
        <x:v>57418206.762021765</x:v>
      </x:c>
      <x:c r="AL463" s="141" t="n">
        <x:f>IF(AG463&gt;1,"Inviavel",AK463)</x:f>
        <x:v>57418206.762021765</x:v>
      </x:c>
      <x:c r="AM463" s="141" t="str">
        <x:f>IF(AG463&gt;1,"Inviavel","OK")</x:f>
        <x:v>OK</x:v>
      </x:c>
      <x:c r="AN463" s="141" t="n">
        <x:f>IF($A463=Premissas!$B$48,Premissas!$B$8,0)</x:f>
        <x:v>0</x:v>
      </x:c>
      <x:c r="AO463" s="141" t="n">
        <x:f>IF($A463&lt;=Premissas!$B$25,INDEX('Consorcio IQ'!$K$6:$K$485,$A463),0)</x:f>
        <x:v>0</x:v>
      </x:c>
      <x:c r="AP463" s="141" t="n">
        <x:f>IF(AND(TRUE,Premissas!$B$11="Imovel",Premissas!$B$47="Moradia",$A463&lt;MAX(Premissas!$B$48,Premissas!$B$49)),$D463,0)</x:f>
        <x:v>0</x:v>
      </x:c>
      <x:c r="AQ463" s="141" t="n">
        <x:f>IF(AND(TRUE,Premissas!$B$11="Imovel",Premissas!$B$47="Investimento",$A463&gt;=MAX(Premissas!$B$48,Premissas!$B$49)),$E463,0)</x:f>
        <x:v>5858.72150210092</x:v>
      </x:c>
      <x:c r="AR463" s="141" t="n">
        <x:f>AN463+AO463+AP463</x:f>
        <x:v>0</x:v>
      </x:c>
      <x:c r="AS463" s="141" t="n">
        <x:f>AQ463</x:f>
        <x:v>5858.72150210092</x:v>
      </x:c>
      <x:c r="AT463" s="141" t="n">
        <x:f>$C463+AS463-AR463</x:f>
        <x:v>5858.72150210092</x:v>
      </x:c>
      <x:c r="AU463" s="141" t="n">
        <x:f>AX462*(1+Premissas!$B$41)+AT463</x:f>
        <x:v>55132609.738088444</x:v>
      </x:c>
      <x:c r="AV463" s="141" t="n">
        <x:f>MAX(0,-AU463)</x:f>
        <x:v>0</x:v>
      </x:c>
      <x:c r="AW463" s="141" t="n">
        <x:f>AW462*(1+Premissas!$B$41)+AV463</x:f>
        <x:v>0</x:v>
      </x:c>
      <x:c r="AX463" s="141" t="n">
        <x:f>MAX(0,AU463)</x:f>
        <x:v>55132609.738088444</x:v>
      </x:c>
      <x:c r="AY463" s="141" t="n">
        <x:f>INDEX('Consorcio IQ'!$P$6:$P$485,$A463)</x:f>
        <x:v>0</x:v>
      </x:c>
      <x:c r="AZ463" s="141" t="n">
        <x:f>IF($A463&gt;=Premissas!$B$48,$F463,0)+IF($A463&lt;Premissas!$B$27,INDEX('Consorcio IQ'!$O$6:$O$485,$A463),0)</x:f>
        <x:v>1848717.362310353</x:v>
      </x:c>
      <x:c r="BA463" s="141" t="n">
        <x:f>AX463+AZ463-AY463</x:f>
        <x:v>56981327.100398794</x:v>
      </x:c>
      <x:c r="BB463" s="141" t="n">
        <x:f>IF(AW463&gt;1,"Inviavel",BA463)</x:f>
        <x:v>56981327.100398794</x:v>
      </x:c>
      <x:c r="BC463" s="141" t="str">
        <x:f>IF(AW463&gt;1,"Inviavel","OK")</x:f>
        <x:v>OK</x:v>
      </x:c>
      <x:c r="BD463" s="141" t="n">
        <x:f>IF($A463='Consorcio Direto'!$B$29,'Consorcio Direto'!$B$44,0)</x:f>
        <x:v>0</x:v>
      </x:c>
      <x:c r="BE463" s="141" t="n">
        <x:f>IF($A463&lt;='Consorcio Direto'!$B$27,INDEX('Consorcio Direto'!$E$55:$E$534,$A463),0)</x:f>
        <x:v>0</x:v>
      </x:c>
      <x:c r="BF463" s="141" t="n">
        <x:f>IF(AND(TRUE,Premissas!$B$11="Imovel",Premissas!$B$47="Moradia",$A463&lt;MAX('Consorcio Direto'!$B$29,Premissas!$B$49)),$D463,0)</x:f>
        <x:v>0</x:v>
      </x:c>
      <x:c r="BG463" s="141" t="n">
        <x:f>IF(AND(TRUE,Premissas!$B$11="Imovel",Premissas!$B$47="Investimento",$A463&gt;=MAX('Consorcio Direto'!$B$29,Premissas!$B$49)),$E463,0)</x:f>
        <x:v>5858.72150210092</x:v>
      </x:c>
      <x:c r="BH463" s="141" t="n">
        <x:f>BD463+BE463+BF463</x:f>
        <x:v>0</x:v>
      </x:c>
      <x:c r="BI463" s="141" t="n">
        <x:f>BG463</x:f>
        <x:v>5858.72150210092</x:v>
      </x:c>
      <x:c r="BJ463" s="141" t="n">
        <x:f>$C463+BI463-BH463</x:f>
        <x:v>5858.72150210092</x:v>
      </x:c>
      <x:c r="BK463" s="141" t="n">
        <x:f>BN462*(1+Premissas!$B$41)+BJ463</x:f>
        <x:v>52771541.93894854</x:v>
      </x:c>
      <x:c r="BL463" s="141" t="n">
        <x:f>MAX(0,-BK463)</x:f>
        <x:v>0</x:v>
      </x:c>
      <x:c r="BM463" s="141" t="n">
        <x:f>BM462*(1+Premissas!$B$41)+BL463</x:f>
        <x:v>0</x:v>
      </x:c>
      <x:c r="BN463" s="141" t="n">
        <x:f>MAX(0,BK463)</x:f>
        <x:v>52771541.93894854</x:v>
      </x:c>
      <x:c r="BO463" s="141" t="n">
        <x:f>INDEX('Consorcio Direto'!$K$55:$K$534,$A463)</x:f>
        <x:v>0</x:v>
      </x:c>
      <x:c r="BP463" s="141" t="n">
        <x:f>IF($A463&lt;'Consorcio Direto'!$B$29,INDEX('Consorcio Direto'!$L$55:$L$534,$A463),$F463)</x:f>
        <x:v>1848717.362310353</x:v>
      </x:c>
      <x:c r="BQ463" s="141" t="n">
        <x:f>BN463+BP463-BO463</x:f>
        <x:v>54620259.30125889</x:v>
      </x:c>
      <x:c r="BR463" s="141" t="n">
        <x:f>IF(BM463&gt;1,"Inviavel",BQ463)</x:f>
        <x:v>54620259.30125889</x:v>
      </x:c>
      <x:c r="BS463" s="141" t="str">
        <x:f>IF(BM463&gt;1,"Inviavel","OK")</x:f>
        <x:v>OK</x:v>
      </x:c>
      <x:c r="BT463" s="141" t="n">
        <x:f>IF(AND('Carta Contemplada'!$B$22="Sim",$A463='Carta Contemplada'!$B$23),'Carta Contemplada'!$B$37,0)</x:f>
        <x:v>0</x:v>
      </x:c>
      <x:c r="BU463" s="141" t="n">
        <x:f>IF('Carta Contemplada'!$B$22="Sim",INDEX('Carta Contemplada'!$C$55:$C$1013,$A463),0)</x:f>
        <x:v>0</x:v>
      </x:c>
      <x:c r="BV463" s="141" t="n">
        <x:f>IF(AND('Carta Contemplada'!$B$22="Sim",Premissas!$B$11="Imovel",Premissas!$B$47="Moradia",$A463&lt;MAX('Carta Contemplada'!$B$44,Premissas!$B$49)),$D463,0)</x:f>
        <x:v>0</x:v>
      </x:c>
      <x:c r="BW463" s="141" t="n">
        <x:f>IF(AND('Carta Contemplada'!$B$22="Sim",Premissas!$B$11="Imovel",Premissas!$B$47="Investimento",$A463&gt;=MAX('Carta Contemplada'!$B$44,Premissas!$B$49)),$E463,0)</x:f>
        <x:v>5858.72150210092</x:v>
      </x:c>
      <x:c r="BX463" s="141" t="n">
        <x:f>BT463+BU463+BV463</x:f>
        <x:v>0</x:v>
      </x:c>
      <x:c r="BY463" s="141" t="n">
        <x:f>BW463</x:f>
        <x:v>5858.72150210092</x:v>
      </x:c>
      <x:c r="BZ463" s="141" t="n">
        <x:f>$C463+BY463-BX463</x:f>
        <x:v>5858.72150210092</x:v>
      </x:c>
      <x:c r="CA463" s="141" t="n">
        <x:f>CD462*(1+Premissas!$B$41)+BZ463</x:f>
        <x:v>56671217.802071616</x:v>
      </x:c>
      <x:c r="CB463" s="141" t="n">
        <x:f>MAX(0,-CA463)</x:f>
        <x:v>0</x:v>
      </x:c>
      <x:c r="CC463" s="141" t="n">
        <x:f>CC462*(1+Premissas!$B$41)+CB463</x:f>
        <x:v>0</x:v>
      </x:c>
      <x:c r="CD463" s="141" t="n">
        <x:f>MAX(0,CA463)</x:f>
        <x:v>56671217.802071616</x:v>
      </x:c>
      <x:c r="CE463" s="141" t="n">
        <x:f>IF(AND('Carta Contemplada'!$B$22="Sim",$A463&gt;='Carta Contemplada'!$B$23),INDEX('Carta Contemplada'!$I$55:$I$1013,$A463),0)</x:f>
        <x:v>0</x:v>
      </x:c>
      <x:c r="CF463" s="141" t="n">
        <x:f>IF(AND('Carta Contemplada'!$B$22="Sim",$A463&gt;='Carta Contemplada'!$B$44),$F463,0)</x:f>
        <x:v>1848717.362310353</x:v>
      </x:c>
      <x:c r="CG463" s="141" t="n">
        <x:f>CD463+CF463-CE463</x:f>
        <x:v>58519935.164381966</x:v>
      </x:c>
      <x:c r="CH463" s="141" t="n">
        <x:f>IF(CC463&gt;1,"Inviavel",CG463)</x:f>
        <x:v>58519935.164381966</x:v>
      </x:c>
      <x:c r="CI463" s="145" t="str">
        <x:f>IF(CC463&gt;1,"Inviavel","OK")</x:f>
        <x:v>OK</x:v>
      </x:c>
    </x:row>
    <x:row r="464">
      <x:c r="A464" s="142" t="n">
        <x:v>460</x:v>
      </x:c>
      <x:c r="B464" s="179" t="n">
        <x:f>EDATE(Premissas!$B$4,A464-1)</x:f>
        <x:v>60511</x:v>
      </x:c>
      <x:c r="C464" s="141" t="n">
        <x:f>IF(A464&lt;=Premissas!$B$39,Premissas!$B$42,0)</x:f>
        <x:v>0</x:v>
      </x:c>
      <x:c r="D464" s="141" t="n">
        <x:f>Premissas!$B$54*(1+Premissas!$B$57)^INT((A464-1)/12)</x:f>
        <x:v>6407.97664292288</x:v>
      </x:c>
      <x:c r="E464" s="141" t="n">
        <x:f>Premissas!$B$64*(1+Premissas!$B$57)^INT((A464-1)/12)</x:f>
        <x:v>5858.72150210092</x:v>
      </x:c>
      <x:c r="F464" s="141" t="n">
        <x:f>MAX(0,Premissas!$B$6*(1+Premissas!$B$66)^((A464-1)/12))</x:f>
        <x:v>1857716.0875524264</x:v>
      </x:c>
      <x:c r="G464" s="141" t="n">
        <x:f>G463*(1+Premissas!$B$41)+C464</x:f>
        <x:v>62621728.02502232</x:v>
      </x:c>
      <x:c r="H464" s="141" t="n">
        <x:f>IF($A464=Premissas!$B$48,Premissas!$B$8,0)</x:f>
        <x:v>0</x:v>
      </x:c>
      <x:c r="I464" s="141" t="n">
        <x:f>IF(AND($A464&gt;=Premissas!$B$48,$A464-Premissas!$B$48+1&lt;=Premissas!$B$13),INDEX(Financiamento!$J$6:$J$485,$A464-Premissas!$B$48+1),0)</x:f>
        <x:v>0</x:v>
      </x:c>
      <x:c r="J464" s="141" t="n">
        <x:f>IF(AND(TRUE,Premissas!$B$11="Imovel",Premissas!$B$47="Moradia",$A464&lt;MAX(Premissas!$B$48,Premissas!$B$49)),$D464,0)</x:f>
        <x:v>0</x:v>
      </x:c>
      <x:c r="K464" s="141" t="n">
        <x:f>IF(AND(TRUE,Premissas!$B$11="Imovel",Premissas!$B$47="Investimento",$A464&gt;=MAX(Premissas!$B$48,Premissas!$B$49)),$E464,0)</x:f>
        <x:v>5858.72150210092</x:v>
      </x:c>
      <x:c r="L464" s="141" t="n">
        <x:f>H464+I464+J464</x:f>
        <x:v>0</x:v>
      </x:c>
      <x:c r="M464" s="141" t="n">
        <x:f>K464</x:f>
        <x:v>5858.72150210092</x:v>
      </x:c>
      <x:c r="N464" s="141" t="n">
        <x:f>$C464+M464-L464</x:f>
        <x:v>5858.72150210092</x:v>
      </x:c>
      <x:c r="O464" s="141" t="n">
        <x:f>R463*(1+Premissas!$B$41)+N464</x:f>
        <x:v>55182007.07812969</x:v>
      </x:c>
      <x:c r="P464" s="141" t="n">
        <x:f>MAX(0,-O464)</x:f>
        <x:v>0</x:v>
      </x:c>
      <x:c r="Q464" s="141" t="n">
        <x:f>Q463*(1+Premissas!$B$41)+P464</x:f>
        <x:v>0</x:v>
      </x:c>
      <x:c r="R464" s="141" t="n">
        <x:f>MAX(0,O464)</x:f>
        <x:v>55182007.07812969</x:v>
      </x:c>
      <x:c r="S464" s="141" t="n">
        <x:f>IF(AND($A464&gt;=Premissas!$B$48,$A464-Premissas!$B$48+1&lt;=Premissas!$B$13),INDEX(Financiamento!$M$6:$M$485,$A464-Premissas!$B$48+1),0)</x:f>
        <x:v>0</x:v>
      </x:c>
      <x:c r="T464" s="141" t="n">
        <x:f>IF($A464&gt;=Premissas!$B$48,$F464,0)</x:f>
        <x:v>1857716.0875524264</x:v>
      </x:c>
      <x:c r="U464" s="141" t="n">
        <x:f>R464+T464-S464</x:f>
        <x:v>57039723.165682115</x:v>
      </x:c>
      <x:c r="V464" s="141" t="n">
        <x:f>IF(Q464&gt;1,"Inviavel",U464)</x:f>
        <x:v>57039723.165682115</x:v>
      </x:c>
      <x:c r="W464" s="141" t="str">
        <x:f>IF(Q464&gt;1,"Inviavel","OK")</x:f>
        <x:v>OK</x:v>
      </x:c>
      <x:c r="X464" s="141" t="n">
        <x:f>IF($A464=Premissas!$B$48,Premissas!$B$8,0)</x:f>
        <x:v>0</x:v>
      </x:c>
      <x:c r="Y464" s="141" t="n">
        <x:f>IF(AND($A464&gt;=Premissas!$B$48,$A464-Premissas!$B$48+1&lt;=Premissas!$B$13),INDEX(Amortizacao!$K$6:$K$485,$A464-Premissas!$B$48+1),0)</x:f>
        <x:v>0</x:v>
      </x:c>
      <x:c r="Z464" s="141" t="n">
        <x:f>IF(AND(TRUE,Premissas!$B$11="Imovel",Premissas!$B$47="Moradia",$A464&lt;MAX(Premissas!$B$48,Premissas!$B$49)),$D464,0)</x:f>
        <x:v>0</x:v>
      </x:c>
      <x:c r="AA464" s="141" t="n">
        <x:f>IF(AND(TRUE,Premissas!$B$11="Imovel",Premissas!$B$47="Investimento",$A464&gt;=MAX(Premissas!$B$48,Premissas!$B$49)),$E464,0)</x:f>
        <x:v>5858.72150210092</x:v>
      </x:c>
      <x:c r="AB464" s="141" t="n">
        <x:f>X464+Y464+Z464</x:f>
        <x:v>0</x:v>
      </x:c>
      <x:c r="AC464" s="141" t="n">
        <x:f>AA464</x:f>
        <x:v>5858.72150210092</x:v>
      </x:c>
      <x:c r="AD464" s="141" t="n">
        <x:f>$C464+AC464-AB464</x:f>
        <x:v>5858.72150210092</x:v>
      </x:c>
      <x:c r="AE464" s="141" t="n">
        <x:f>AH463*(1+Premissas!$B$41)+AD464</x:f>
        <x:v>56102635.49960789</x:v>
      </x:c>
      <x:c r="AF464" s="141" t="n">
        <x:f>MAX(0,-AE464)</x:f>
        <x:v>0</x:v>
      </x:c>
      <x:c r="AG464" s="141" t="n">
        <x:f>AG463*(1+Premissas!$B$41)+AF464</x:f>
        <x:v>0</x:v>
      </x:c>
      <x:c r="AH464" s="141" t="n">
        <x:f>MAX(0,AE464)</x:f>
        <x:v>56102635.49960789</x:v>
      </x:c>
      <x:c r="AI464" s="141" t="n">
        <x:f>IF(AND($A464&gt;=Premissas!$B$48,$A464-Premissas!$B$48+1&lt;=Premissas!$B$13),INDEX(Amortizacao!$L$6:$L$485,$A464-Premissas!$B$48+1),0)</x:f>
        <x:v>0</x:v>
      </x:c>
      <x:c r="AJ464" s="141" t="n">
        <x:f>IF($A464&gt;=Premissas!$B$48,$F464,0)</x:f>
        <x:v>1857716.0875524264</x:v>
      </x:c>
      <x:c r="AK464" s="141" t="n">
        <x:f>AH464+AJ464-AI464</x:f>
        <x:v>57960351.58716032</x:v>
      </x:c>
      <x:c r="AL464" s="141" t="n">
        <x:f>IF(AG464&gt;1,"Inviavel",AK464)</x:f>
        <x:v>57960351.58716032</x:v>
      </x:c>
      <x:c r="AM464" s="141" t="str">
        <x:f>IF(AG464&gt;1,"Inviavel","OK")</x:f>
        <x:v>OK</x:v>
      </x:c>
      <x:c r="AN464" s="141" t="n">
        <x:f>IF($A464=Premissas!$B$48,Premissas!$B$8,0)</x:f>
        <x:v>0</x:v>
      </x:c>
      <x:c r="AO464" s="141" t="n">
        <x:f>IF($A464&lt;=Premissas!$B$25,INDEX('Consorcio IQ'!$K$6:$K$485,$A464),0)</x:f>
        <x:v>0</x:v>
      </x:c>
      <x:c r="AP464" s="141" t="n">
        <x:f>IF(AND(TRUE,Premissas!$B$11="Imovel",Premissas!$B$47="Moradia",$A464&lt;MAX(Premissas!$B$48,Premissas!$B$49)),$D464,0)</x:f>
        <x:v>0</x:v>
      </x:c>
      <x:c r="AQ464" s="141" t="n">
        <x:f>IF(AND(TRUE,Premissas!$B$11="Imovel",Premissas!$B$47="Investimento",$A464&gt;=MAX(Premissas!$B$48,Premissas!$B$49)),$E464,0)</x:f>
        <x:v>5858.72150210092</x:v>
      </x:c>
      <x:c r="AR464" s="141" t="n">
        <x:f>AN464+AO464+AP464</x:f>
        <x:v>0</x:v>
      </x:c>
      <x:c r="AS464" s="141" t="n">
        <x:f>AQ464</x:f>
        <x:v>5858.72150210092</x:v>
      </x:c>
      <x:c r="AT464" s="141" t="n">
        <x:f>$C464+AS464-AR464</x:f>
        <x:v>5858.72150210092</x:v>
      </x:c>
      <x:c r="AU464" s="141" t="n">
        <x:f>AX463*(1+Premissas!$B$41)+AT464</x:f>
        <x:v>55661610.37733845</x:v>
      </x:c>
      <x:c r="AV464" s="141" t="n">
        <x:f>MAX(0,-AU464)</x:f>
        <x:v>0</x:v>
      </x:c>
      <x:c r="AW464" s="141" t="n">
        <x:f>AW463*(1+Premissas!$B$41)+AV464</x:f>
        <x:v>0</x:v>
      </x:c>
      <x:c r="AX464" s="141" t="n">
        <x:f>MAX(0,AU464)</x:f>
        <x:v>55661610.37733845</x:v>
      </x:c>
      <x:c r="AY464" s="141" t="n">
        <x:f>INDEX('Consorcio IQ'!$P$6:$P$485,$A464)</x:f>
        <x:v>0</x:v>
      </x:c>
      <x:c r="AZ464" s="141" t="n">
        <x:f>IF($A464&gt;=Premissas!$B$48,$F464,0)+IF($A464&lt;Premissas!$B$27,INDEX('Consorcio IQ'!$O$6:$O$485,$A464),0)</x:f>
        <x:v>1857716.0875524264</x:v>
      </x:c>
      <x:c r="BA464" s="141" t="n">
        <x:f>AX464+AZ464-AY464</x:f>
        <x:v>57519326.464890875</x:v>
      </x:c>
      <x:c r="BB464" s="141" t="n">
        <x:f>IF(AW464&gt;1,"Inviavel",BA464)</x:f>
        <x:v>57519326.464890875</x:v>
      </x:c>
      <x:c r="BC464" s="141" t="str">
        <x:f>IF(AW464&gt;1,"Inviavel","OK")</x:f>
        <x:v>OK</x:v>
      </x:c>
      <x:c r="BD464" s="141" t="n">
        <x:f>IF($A464='Consorcio Direto'!$B$29,'Consorcio Direto'!$B$44,0)</x:f>
        <x:v>0</x:v>
      </x:c>
      <x:c r="BE464" s="141" t="n">
        <x:f>IF($A464&lt;='Consorcio Direto'!$B$27,INDEX('Consorcio Direto'!$E$55:$E$534,$A464),0)</x:f>
        <x:v>0</x:v>
      </x:c>
      <x:c r="BF464" s="141" t="n">
        <x:f>IF(AND(TRUE,Premissas!$B$11="Imovel",Premissas!$B$47="Moradia",$A464&lt;MAX('Consorcio Direto'!$B$29,Premissas!$B$49)),$D464,0)</x:f>
        <x:v>0</x:v>
      </x:c>
      <x:c r="BG464" s="141" t="n">
        <x:f>IF(AND(TRUE,Premissas!$B$11="Imovel",Premissas!$B$47="Investimento",$A464&gt;=MAX('Consorcio Direto'!$B$29,Premissas!$B$49)),$E464,0)</x:f>
        <x:v>5858.72150210092</x:v>
      </x:c>
      <x:c r="BH464" s="141" t="n">
        <x:f>BD464+BE464+BF464</x:f>
        <x:v>0</x:v>
      </x:c>
      <x:c r="BI464" s="141" t="n">
        <x:f>BG464</x:f>
        <x:v>5858.72150210092</x:v>
      </x:c>
      <x:c r="BJ464" s="141" t="n">
        <x:f>$C464+BI464-BH464</x:f>
        <x:v>5858.72150210092</x:v>
      </x:c>
      <x:c r="BK464" s="141" t="n">
        <x:f>BN463*(1+Premissas!$B$41)+BJ464</x:f>
        <x:v>53278138.894747995</x:v>
      </x:c>
      <x:c r="BL464" s="141" t="n">
        <x:f>MAX(0,-BK464)</x:f>
        <x:v>0</x:v>
      </x:c>
      <x:c r="BM464" s="141" t="n">
        <x:f>BM463*(1+Premissas!$B$41)+BL464</x:f>
        <x:v>0</x:v>
      </x:c>
      <x:c r="BN464" s="141" t="n">
        <x:f>MAX(0,BK464)</x:f>
        <x:v>53278138.894747995</x:v>
      </x:c>
      <x:c r="BO464" s="141" t="n">
        <x:f>INDEX('Consorcio Direto'!$K$55:$K$534,$A464)</x:f>
        <x:v>0</x:v>
      </x:c>
      <x:c r="BP464" s="141" t="n">
        <x:f>IF($A464&lt;'Consorcio Direto'!$B$29,INDEX('Consorcio Direto'!$L$55:$L$534,$A464),$F464)</x:f>
        <x:v>1857716.0875524264</x:v>
      </x:c>
      <x:c r="BQ464" s="141" t="n">
        <x:f>BN464+BP464-BO464</x:f>
        <x:v>55135854.98230042</x:v>
      </x:c>
      <x:c r="BR464" s="141" t="n">
        <x:f>IF(BM464&gt;1,"Inviavel",BQ464)</x:f>
        <x:v>55135854.98230042</x:v>
      </x:c>
      <x:c r="BS464" s="141" t="str">
        <x:f>IF(BM464&gt;1,"Inviavel","OK")</x:f>
        <x:v>OK</x:v>
      </x:c>
      <x:c r="BT464" s="141" t="n">
        <x:f>IF(AND('Carta Contemplada'!$B$22="Sim",$A464='Carta Contemplada'!$B$23),'Carta Contemplada'!$B$37,0)</x:f>
        <x:v>0</x:v>
      </x:c>
      <x:c r="BU464" s="141" t="n">
        <x:f>IF('Carta Contemplada'!$B$22="Sim",INDEX('Carta Contemplada'!$C$55:$C$1013,$A464),0)</x:f>
        <x:v>0</x:v>
      </x:c>
      <x:c r="BV464" s="141" t="n">
        <x:f>IF(AND('Carta Contemplada'!$B$22="Sim",Premissas!$B$11="Imovel",Premissas!$B$47="Moradia",$A464&lt;MAX('Carta Contemplada'!$B$44,Premissas!$B$49)),$D464,0)</x:f>
        <x:v>0</x:v>
      </x:c>
      <x:c r="BW464" s="141" t="n">
        <x:f>IF(AND('Carta Contemplada'!$B$22="Sim",Premissas!$B$11="Imovel",Premissas!$B$47="Investimento",$A464&gt;=MAX('Carta Contemplada'!$B$44,Premissas!$B$49)),$E464,0)</x:f>
        <x:v>5858.72150210092</x:v>
      </x:c>
      <x:c r="BX464" s="141" t="n">
        <x:f>BT464+BU464+BV464</x:f>
        <x:v>0</x:v>
      </x:c>
      <x:c r="BY464" s="141" t="n">
        <x:f>BW464</x:f>
        <x:v>5858.72150210092</x:v>
      </x:c>
      <x:c r="BZ464" s="141" t="n">
        <x:f>$C464+BY464-BX464</x:f>
        <x:v>5858.72150210092</x:v>
      </x:c>
      <x:c r="CA464" s="141" t="n">
        <x:f>CD463*(1+Premissas!$B$41)+BZ464</x:f>
        <x:v>57214817.97464823</x:v>
      </x:c>
      <x:c r="CB464" s="141" t="n">
        <x:f>MAX(0,-CA464)</x:f>
        <x:v>0</x:v>
      </x:c>
      <x:c r="CC464" s="141" t="n">
        <x:f>CC463*(1+Premissas!$B$41)+CB464</x:f>
        <x:v>0</x:v>
      </x:c>
      <x:c r="CD464" s="141" t="n">
        <x:f>MAX(0,CA464)</x:f>
        <x:v>57214817.97464823</x:v>
      </x:c>
      <x:c r="CE464" s="141" t="n">
        <x:f>IF(AND('Carta Contemplada'!$B$22="Sim",$A464&gt;='Carta Contemplada'!$B$23),INDEX('Carta Contemplada'!$I$55:$I$1013,$A464),0)</x:f>
        <x:v>0</x:v>
      </x:c>
      <x:c r="CF464" s="141" t="n">
        <x:f>IF(AND('Carta Contemplada'!$B$22="Sim",$A464&gt;='Carta Contemplada'!$B$44),$F464,0)</x:f>
        <x:v>1857716.0875524264</x:v>
      </x:c>
      <x:c r="CG464" s="141" t="n">
        <x:f>CD464+CF464-CE464</x:f>
        <x:v>59072534.06220066</x:v>
      </x:c>
      <x:c r="CH464" s="141" t="n">
        <x:f>IF(CC464&gt;1,"Inviavel",CG464)</x:f>
        <x:v>59072534.06220066</x:v>
      </x:c>
      <x:c r="CI464" s="145" t="str">
        <x:f>IF(CC464&gt;1,"Inviavel","OK")</x:f>
        <x:v>OK</x:v>
      </x:c>
    </x:row>
    <x:row r="465">
      <x:c r="A465" s="142" t="n">
        <x:v>461</x:v>
      </x:c>
      <x:c r="B465" s="179" t="n">
        <x:f>EDATE(Premissas!$B$4,A465-1)</x:f>
        <x:v>60541</x:v>
      </x:c>
      <x:c r="C465" s="141" t="n">
        <x:f>IF(A465&lt;=Premissas!$B$39,Premissas!$B$42,0)</x:f>
        <x:v>0</x:v>
      </x:c>
      <x:c r="D465" s="141" t="n">
        <x:f>Premissas!$B$54*(1+Premissas!$B$57)^INT((A465-1)/12)</x:f>
        <x:v>6407.97664292288</x:v>
      </x:c>
      <x:c r="E465" s="141" t="n">
        <x:f>Premissas!$B$64*(1+Premissas!$B$57)^INT((A465-1)/12)</x:f>
        <x:v>5858.72150210092</x:v>
      </x:c>
      <x:c r="F465" s="141" t="n">
        <x:f>MAX(0,Premissas!$B$6*(1+Premissas!$B$66)^((A465-1)/12))</x:f>
        <x:v>1866758.6145446394</x:v>
      </x:c>
      <x:c r="G465" s="141" t="n">
        <x:f>G464*(1+Premissas!$B$41)+C465</x:f>
        <x:v>63215932.63545753</x:v>
      </x:c>
      <x:c r="H465" s="141" t="n">
        <x:f>IF($A465=Premissas!$B$48,Premissas!$B$8,0)</x:f>
        <x:v>0</x:v>
      </x:c>
      <x:c r="I465" s="141" t="n">
        <x:f>IF(AND($A465&gt;=Premissas!$B$48,$A465-Premissas!$B$48+1&lt;=Premissas!$B$13),INDEX(Financiamento!$J$6:$J$485,$A465-Premissas!$B$48+1),0)</x:f>
        <x:v>0</x:v>
      </x:c>
      <x:c r="J465" s="141" t="n">
        <x:f>IF(AND(TRUE,Premissas!$B$11="Imovel",Premissas!$B$47="Moradia",$A465&lt;MAX(Premissas!$B$48,Premissas!$B$49)),$D465,0)</x:f>
        <x:v>0</x:v>
      </x:c>
      <x:c r="K465" s="141" t="n">
        <x:f>IF(AND(TRUE,Premissas!$B$11="Imovel",Premissas!$B$47="Investimento",$A465&gt;=MAX(Premissas!$B$48,Premissas!$B$49)),$E465,0)</x:f>
        <x:v>5858.72150210092</x:v>
      </x:c>
      <x:c r="L465" s="141" t="n">
        <x:f>H465+I465+J465</x:f>
        <x:v>0</x:v>
      </x:c>
      <x:c r="M465" s="141" t="n">
        <x:f>K465</x:f>
        <x:v>5858.72150210092</x:v>
      </x:c>
      <x:c r="N465" s="141" t="n">
        <x:f>$C465+M465-L465</x:f>
        <x:v>5858.72150210092</x:v>
      </x:c>
      <x:c r="O465" s="141" t="n">
        <x:f>R464*(1+Premissas!$B$41)+N465</x:f>
        <x:v>55711476.43851086</x:v>
      </x:c>
      <x:c r="P465" s="141" t="n">
        <x:f>MAX(0,-O465)</x:f>
        <x:v>0</x:v>
      </x:c>
      <x:c r="Q465" s="141" t="n">
        <x:f>Q464*(1+Premissas!$B$41)+P465</x:f>
        <x:v>0</x:v>
      </x:c>
      <x:c r="R465" s="141" t="n">
        <x:f>MAX(0,O465)</x:f>
        <x:v>55711476.43851086</x:v>
      </x:c>
      <x:c r="S465" s="141" t="n">
        <x:f>IF(AND($A465&gt;=Premissas!$B$48,$A465-Premissas!$B$48+1&lt;=Premissas!$B$13),INDEX(Financiamento!$M$6:$M$485,$A465-Premissas!$B$48+1),0)</x:f>
        <x:v>0</x:v>
      </x:c>
      <x:c r="T465" s="141" t="n">
        <x:f>IF($A465&gt;=Premissas!$B$48,$F465,0)</x:f>
        <x:v>1866758.6145446394</x:v>
      </x:c>
      <x:c r="U465" s="141" t="n">
        <x:f>R465+T465-S465</x:f>
        <x:v>57578235.053055495</x:v>
      </x:c>
      <x:c r="V465" s="141" t="n">
        <x:f>IF(Q465&gt;1,"Inviavel",U465)</x:f>
        <x:v>57578235.053055495</x:v>
      </x:c>
      <x:c r="W465" s="141" t="str">
        <x:f>IF(Q465&gt;1,"Inviavel","OK")</x:f>
        <x:v>OK</x:v>
      </x:c>
      <x:c r="X465" s="141" t="n">
        <x:f>IF($A465=Premissas!$B$48,Premissas!$B$8,0)</x:f>
        <x:v>0</x:v>
      </x:c>
      <x:c r="Y465" s="141" t="n">
        <x:f>IF(AND($A465&gt;=Premissas!$B$48,$A465-Premissas!$B$48+1&lt;=Premissas!$B$13),INDEX(Amortizacao!$K$6:$K$485,$A465-Premissas!$B$48+1),0)</x:f>
        <x:v>0</x:v>
      </x:c>
      <x:c r="Z465" s="141" t="n">
        <x:f>IF(AND(TRUE,Premissas!$B$11="Imovel",Premissas!$B$47="Moradia",$A465&lt;MAX(Premissas!$B$48,Premissas!$B$49)),$D465,0)</x:f>
        <x:v>0</x:v>
      </x:c>
      <x:c r="AA465" s="141" t="n">
        <x:f>IF(AND(TRUE,Premissas!$B$11="Imovel",Premissas!$B$47="Investimento",$A465&gt;=MAX(Premissas!$B$48,Premissas!$B$49)),$E465,0)</x:f>
        <x:v>5858.72150210092</x:v>
      </x:c>
      <x:c r="AB465" s="141" t="n">
        <x:f>X465+Y465+Z465</x:f>
        <x:v>0</x:v>
      </x:c>
      <x:c r="AC465" s="141" t="n">
        <x:f>AA465</x:f>
        <x:v>5858.72150210092</x:v>
      </x:c>
      <x:c r="AD465" s="141" t="n">
        <x:f>$C465+AC465-AB465</x:f>
        <x:v>5858.72150210092</x:v>
      </x:c>
      <x:c r="AE465" s="141" t="n">
        <x:f>AH464*(1+Premissas!$B$41)+AD465</x:f>
        <x:v>56640840.51245016</x:v>
      </x:c>
      <x:c r="AF465" s="141" t="n">
        <x:f>MAX(0,-AE465)</x:f>
        <x:v>0</x:v>
      </x:c>
      <x:c r="AG465" s="141" t="n">
        <x:f>AG464*(1+Premissas!$B$41)+AF465</x:f>
        <x:v>0</x:v>
      </x:c>
      <x:c r="AH465" s="141" t="n">
        <x:f>MAX(0,AE465)</x:f>
        <x:v>56640840.51245016</x:v>
      </x:c>
      <x:c r="AI465" s="141" t="n">
        <x:f>IF(AND($A465&gt;=Premissas!$B$48,$A465-Premissas!$B$48+1&lt;=Premissas!$B$13),INDEX(Amortizacao!$L$6:$L$485,$A465-Premissas!$B$48+1),0)</x:f>
        <x:v>0</x:v>
      </x:c>
      <x:c r="AJ465" s="141" t="n">
        <x:f>IF($A465&gt;=Premissas!$B$48,$F465,0)</x:f>
        <x:v>1866758.6145446394</x:v>
      </x:c>
      <x:c r="AK465" s="141" t="n">
        <x:f>AH465+AJ465-AI465</x:f>
        <x:v>58507599.126994796</x:v>
      </x:c>
      <x:c r="AL465" s="141" t="n">
        <x:f>IF(AG465&gt;1,"Inviavel",AK465)</x:f>
        <x:v>58507599.126994796</x:v>
      </x:c>
      <x:c r="AM465" s="141" t="str">
        <x:f>IF(AG465&gt;1,"Inviavel","OK")</x:f>
        <x:v>OK</x:v>
      </x:c>
      <x:c r="AN465" s="141" t="n">
        <x:f>IF($A465=Premissas!$B$48,Premissas!$B$8,0)</x:f>
        <x:v>0</x:v>
      </x:c>
      <x:c r="AO465" s="141" t="n">
        <x:f>IF($A465&lt;=Premissas!$B$25,INDEX('Consorcio IQ'!$K$6:$K$485,$A465),0)</x:f>
        <x:v>0</x:v>
      </x:c>
      <x:c r="AP465" s="141" t="n">
        <x:f>IF(AND(TRUE,Premissas!$B$11="Imovel",Premissas!$B$47="Moradia",$A465&lt;MAX(Premissas!$B$48,Premissas!$B$49)),$D465,0)</x:f>
        <x:v>0</x:v>
      </x:c>
      <x:c r="AQ465" s="141" t="n">
        <x:f>IF(AND(TRUE,Premissas!$B$11="Imovel",Premissas!$B$47="Investimento",$A465&gt;=MAX(Premissas!$B$48,Premissas!$B$49)),$E465,0)</x:f>
        <x:v>5858.72150210092</x:v>
      </x:c>
      <x:c r="AR465" s="141" t="n">
        <x:f>AN465+AO465+AP465</x:f>
        <x:v>0</x:v>
      </x:c>
      <x:c r="AS465" s="141" t="n">
        <x:f>AQ465</x:f>
        <x:v>5858.72150210092</x:v>
      </x:c>
      <x:c r="AT465" s="141" t="n">
        <x:f>$C465+AS465-AR465</x:f>
        <x:v>5858.72150210092</x:v>
      </x:c>
      <x:c r="AU465" s="141" t="n">
        <x:f>AX464*(1+Premissas!$B$41)+AT465</x:f>
        <x:v>56195630.59411655</x:v>
      </x:c>
      <x:c r="AV465" s="141" t="n">
        <x:f>MAX(0,-AU465)</x:f>
        <x:v>0</x:v>
      </x:c>
      <x:c r="AW465" s="141" t="n">
        <x:f>AW464*(1+Premissas!$B$41)+AV465</x:f>
        <x:v>0</x:v>
      </x:c>
      <x:c r="AX465" s="141" t="n">
        <x:f>MAX(0,AU465)</x:f>
        <x:v>56195630.59411655</x:v>
      </x:c>
      <x:c r="AY465" s="141" t="n">
        <x:f>INDEX('Consorcio IQ'!$P$6:$P$485,$A465)</x:f>
        <x:v>0</x:v>
      </x:c>
      <x:c r="AZ465" s="141" t="n">
        <x:f>IF($A465&gt;=Premissas!$B$48,$F465,0)+IF($A465&lt;Premissas!$B$27,INDEX('Consorcio IQ'!$O$6:$O$485,$A465),0)</x:f>
        <x:v>1866758.6145446394</x:v>
      </x:c>
      <x:c r="BA465" s="141" t="n">
        <x:f>AX465+AZ465-AY465</x:f>
        <x:v>58062389.20866119</x:v>
      </x:c>
      <x:c r="BB465" s="141" t="n">
        <x:f>IF(AW465&gt;1,"Inviavel",BA465)</x:f>
        <x:v>58062389.20866119</x:v>
      </x:c>
      <x:c r="BC465" s="141" t="str">
        <x:f>IF(AW465&gt;1,"Inviavel","OK")</x:f>
        <x:v>OK</x:v>
      </x:c>
      <x:c r="BD465" s="141" t="n">
        <x:f>IF($A465='Consorcio Direto'!$B$29,'Consorcio Direto'!$B$44,0)</x:f>
        <x:v>0</x:v>
      </x:c>
      <x:c r="BE465" s="141" t="n">
        <x:f>IF($A465&lt;='Consorcio Direto'!$B$27,INDEX('Consorcio Direto'!$E$55:$E$534,$A465),0)</x:f>
        <x:v>0</x:v>
      </x:c>
      <x:c r="BF465" s="141" t="n">
        <x:f>IF(AND(TRUE,Premissas!$B$11="Imovel",Premissas!$B$47="Moradia",$A465&lt;MAX('Consorcio Direto'!$B$29,Premissas!$B$49)),$D465,0)</x:f>
        <x:v>0</x:v>
      </x:c>
      <x:c r="BG465" s="141" t="n">
        <x:f>IF(AND(TRUE,Premissas!$B$11="Imovel",Premissas!$B$47="Investimento",$A465&gt;=MAX('Consorcio Direto'!$B$29,Premissas!$B$49)),$E465,0)</x:f>
        <x:v>5858.72150210092</x:v>
      </x:c>
      <x:c r="BH465" s="141" t="n">
        <x:f>BD465+BE465+BF465</x:f>
        <x:v>0</x:v>
      </x:c>
      <x:c r="BI465" s="141" t="n">
        <x:f>BG465</x:f>
        <x:v>5858.72150210092</x:v>
      </x:c>
      <x:c r="BJ465" s="141" t="n">
        <x:f>$C465+BI465-BH465</x:f>
        <x:v>5858.72150210092</x:v>
      </x:c>
      <x:c r="BK465" s="141" t="n">
        <x:f>BN464*(1+Premissas!$B$41)+BJ465</x:f>
        <x:v>53789542.844162315</x:v>
      </x:c>
      <x:c r="BL465" s="141" t="n">
        <x:f>MAX(0,-BK465)</x:f>
        <x:v>0</x:v>
      </x:c>
      <x:c r="BM465" s="141" t="n">
        <x:f>BM464*(1+Premissas!$B$41)+BL465</x:f>
        <x:v>0</x:v>
      </x:c>
      <x:c r="BN465" s="141" t="n">
        <x:f>MAX(0,BK465)</x:f>
        <x:v>53789542.844162315</x:v>
      </x:c>
      <x:c r="BO465" s="141" t="n">
        <x:f>INDEX('Consorcio Direto'!$K$55:$K$534,$A465)</x:f>
        <x:v>0</x:v>
      </x:c>
      <x:c r="BP465" s="141" t="n">
        <x:f>IF($A465&lt;'Consorcio Direto'!$B$29,INDEX('Consorcio Direto'!$L$55:$L$534,$A465),$F465)</x:f>
        <x:v>1866758.6145446394</x:v>
      </x:c>
      <x:c r="BQ465" s="141" t="n">
        <x:f>BN465+BP465-BO465</x:f>
        <x:v>55656301.45870695</x:v>
      </x:c>
      <x:c r="BR465" s="141" t="n">
        <x:f>IF(BM465&gt;1,"Inviavel",BQ465)</x:f>
        <x:v>55656301.45870695</x:v>
      </x:c>
      <x:c r="BS465" s="141" t="str">
        <x:f>IF(BM465&gt;1,"Inviavel","OK")</x:f>
        <x:v>OK</x:v>
      </x:c>
      <x:c r="BT465" s="141" t="n">
        <x:f>IF(AND('Carta Contemplada'!$B$22="Sim",$A465='Carta Contemplada'!$B$23),'Carta Contemplada'!$B$37,0)</x:f>
        <x:v>0</x:v>
      </x:c>
      <x:c r="BU465" s="141" t="n">
        <x:f>IF('Carta Contemplada'!$B$22="Sim",INDEX('Carta Contemplada'!$C$55:$C$1013,$A465),0)</x:f>
        <x:v>0</x:v>
      </x:c>
      <x:c r="BV465" s="141" t="n">
        <x:f>IF(AND('Carta Contemplada'!$B$22="Sim",Premissas!$B$11="Imovel",Premissas!$B$47="Moradia",$A465&lt;MAX('Carta Contemplada'!$B$44,Premissas!$B$49)),$D465,0)</x:f>
        <x:v>0</x:v>
      </x:c>
      <x:c r="BW465" s="141" t="n">
        <x:f>IF(AND('Carta Contemplada'!$B$22="Sim",Premissas!$B$11="Imovel",Premissas!$B$47="Investimento",$A465&gt;=MAX('Carta Contemplada'!$B$44,Premissas!$B$49)),$E465,0)</x:f>
        <x:v>5858.72150210092</x:v>
      </x:c>
      <x:c r="BX465" s="141" t="n">
        <x:f>BT465+BU465+BV465</x:f>
        <x:v>0</x:v>
      </x:c>
      <x:c r="BY465" s="141" t="n">
        <x:f>BW465</x:f>
        <x:v>5858.72150210092</x:v>
      </x:c>
      <x:c r="BZ465" s="141" t="n">
        <x:f>$C465+BY465-BX465</x:f>
        <x:v>5858.72150210092</x:v>
      </x:c>
      <x:c r="CA465" s="141" t="n">
        <x:f>CD464*(1+Premissas!$B$41)+BZ465</x:f>
        <x:v>57763576.25670163</x:v>
      </x:c>
      <x:c r="CB465" s="141" t="n">
        <x:f>MAX(0,-CA465)</x:f>
        <x:v>0</x:v>
      </x:c>
      <x:c r="CC465" s="141" t="n">
        <x:f>CC464*(1+Premissas!$B$41)+CB465</x:f>
        <x:v>0</x:v>
      </x:c>
      <x:c r="CD465" s="141" t="n">
        <x:f>MAX(0,CA465)</x:f>
        <x:v>57763576.25670163</x:v>
      </x:c>
      <x:c r="CE465" s="141" t="n">
        <x:f>IF(AND('Carta Contemplada'!$B$22="Sim",$A465&gt;='Carta Contemplada'!$B$23),INDEX('Carta Contemplada'!$I$55:$I$1013,$A465),0)</x:f>
        <x:v>0</x:v>
      </x:c>
      <x:c r="CF465" s="141" t="n">
        <x:f>IF(AND('Carta Contemplada'!$B$22="Sim",$A465&gt;='Carta Contemplada'!$B$44),$F465,0)</x:f>
        <x:v>1866758.6145446394</x:v>
      </x:c>
      <x:c r="CG465" s="141" t="n">
        <x:f>CD465+CF465-CE465</x:f>
        <x:v>59630334.87124627</x:v>
      </x:c>
      <x:c r="CH465" s="141" t="n">
        <x:f>IF(CC465&gt;1,"Inviavel",CG465)</x:f>
        <x:v>59630334.87124627</x:v>
      </x:c>
      <x:c r="CI465" s="145" t="str">
        <x:f>IF(CC465&gt;1,"Inviavel","OK")</x:f>
        <x:v>OK</x:v>
      </x:c>
    </x:row>
    <x:row r="466">
      <x:c r="A466" s="142" t="n">
        <x:v>462</x:v>
      </x:c>
      <x:c r="B466" s="179" t="n">
        <x:f>EDATE(Premissas!$B$4,A466-1)</x:f>
        <x:v>60572</x:v>
      </x:c>
      <x:c r="C466" s="141" t="n">
        <x:f>IF(A466&lt;=Premissas!$B$39,Premissas!$B$42,0)</x:f>
        <x:v>0</x:v>
      </x:c>
      <x:c r="D466" s="141" t="n">
        <x:f>Premissas!$B$54*(1+Premissas!$B$57)^INT((A466-1)/12)</x:f>
        <x:v>6407.97664292288</x:v>
      </x:c>
      <x:c r="E466" s="141" t="n">
        <x:f>Premissas!$B$64*(1+Premissas!$B$57)^INT((A466-1)/12)</x:f>
        <x:v>5858.72150210092</x:v>
      </x:c>
      <x:c r="F466" s="141" t="n">
        <x:f>MAX(0,Premissas!$B$6*(1+Premissas!$B$66)^((A466-1)/12))</x:f>
        <x:v>1875845.1564942244</x:v>
      </x:c>
      <x:c r="G466" s="141" t="n">
        <x:f>G465*(1+Premissas!$B$41)+C466</x:f>
        <x:v>63815775.53040194</x:v>
      </x:c>
      <x:c r="H466" s="141" t="n">
        <x:f>IF($A466=Premissas!$B$48,Premissas!$B$8,0)</x:f>
        <x:v>0</x:v>
      </x:c>
      <x:c r="I466" s="141" t="n">
        <x:f>IF(AND($A466&gt;=Premissas!$B$48,$A466-Premissas!$B$48+1&lt;=Premissas!$B$13),INDEX(Financiamento!$J$6:$J$485,$A466-Premissas!$B$48+1),0)</x:f>
        <x:v>0</x:v>
      </x:c>
      <x:c r="J466" s="141" t="n">
        <x:f>IF(AND(TRUE,Premissas!$B$11="Imovel",Premissas!$B$47="Moradia",$A466&lt;MAX(Premissas!$B$48,Premissas!$B$49)),$D466,0)</x:f>
        <x:v>0</x:v>
      </x:c>
      <x:c r="K466" s="141" t="n">
        <x:f>IF(AND(TRUE,Premissas!$B$11="Imovel",Premissas!$B$47="Investimento",$A466&gt;=MAX(Premissas!$B$48,Premissas!$B$49)),$E466,0)</x:f>
        <x:v>5858.72150210092</x:v>
      </x:c>
      <x:c r="L466" s="141" t="n">
        <x:f>H466+I466+J466</x:f>
        <x:v>0</x:v>
      </x:c>
      <x:c r="M466" s="141" t="n">
        <x:f>K466</x:f>
        <x:v>5858.72150210092</x:v>
      </x:c>
      <x:c r="N466" s="141" t="n">
        <x:f>$C466+M466-L466</x:f>
        <x:v>5858.72150210092</x:v>
      </x:c>
      <x:c r="O466" s="141" t="n">
        <x:f>R465*(1+Premissas!$B$41)+N466</x:f>
        <x:v>56245969.82401789</x:v>
      </x:c>
      <x:c r="P466" s="141" t="n">
        <x:f>MAX(0,-O466)</x:f>
        <x:v>0</x:v>
      </x:c>
      <x:c r="Q466" s="141" t="n">
        <x:f>Q465*(1+Premissas!$B$41)+P466</x:f>
        <x:v>0</x:v>
      </x:c>
      <x:c r="R466" s="141" t="n">
        <x:f>MAX(0,O466)</x:f>
        <x:v>56245969.82401789</x:v>
      </x:c>
      <x:c r="S466" s="141" t="n">
        <x:f>IF(AND($A466&gt;=Premissas!$B$48,$A466-Premissas!$B$48+1&lt;=Premissas!$B$13),INDEX(Financiamento!$M$6:$M$485,$A466-Premissas!$B$48+1),0)</x:f>
        <x:v>0</x:v>
      </x:c>
      <x:c r="T466" s="141" t="n">
        <x:f>IF($A466&gt;=Premissas!$B$48,$F466,0)</x:f>
        <x:v>1875845.1564942244</x:v>
      </x:c>
      <x:c r="U466" s="141" t="n">
        <x:f>R466+T466-S466</x:f>
        <x:v>58121814.98051211</x:v>
      </x:c>
      <x:c r="V466" s="141" t="n">
        <x:f>IF(Q466&gt;1,"Inviavel",U466)</x:f>
        <x:v>58121814.98051211</x:v>
      </x:c>
      <x:c r="W466" s="141" t="str">
        <x:f>IF(Q466&gt;1,"Inviavel","OK")</x:f>
        <x:v>OK</x:v>
      </x:c>
      <x:c r="X466" s="141" t="n">
        <x:f>IF($A466=Premissas!$B$48,Premissas!$B$8,0)</x:f>
        <x:v>0</x:v>
      </x:c>
      <x:c r="Y466" s="141" t="n">
        <x:f>IF(AND($A466&gt;=Premissas!$B$48,$A466-Premissas!$B$48+1&lt;=Premissas!$B$13),INDEX(Amortizacao!$K$6:$K$485,$A466-Premissas!$B$48+1),0)</x:f>
        <x:v>0</x:v>
      </x:c>
      <x:c r="Z466" s="141" t="n">
        <x:f>IF(AND(TRUE,Premissas!$B$11="Imovel",Premissas!$B$47="Moradia",$A466&lt;MAX(Premissas!$B$48,Premissas!$B$49)),$D466,0)</x:f>
        <x:v>0</x:v>
      </x:c>
      <x:c r="AA466" s="141" t="n">
        <x:f>IF(AND(TRUE,Premissas!$B$11="Imovel",Premissas!$B$47="Investimento",$A466&gt;=MAX(Premissas!$B$48,Premissas!$B$49)),$E466,0)</x:f>
        <x:v>5858.72150210092</x:v>
      </x:c>
      <x:c r="AB466" s="141" t="n">
        <x:f>X466+Y466+Z466</x:f>
        <x:v>0</x:v>
      </x:c>
      <x:c r="AC466" s="141" t="n">
        <x:f>AA466</x:f>
        <x:v>5858.72150210092</x:v>
      </x:c>
      <x:c r="AD466" s="141" t="n">
        <x:f>$C466+AC466-AB466</x:f>
        <x:v>5858.72150210092</x:v>
      </x:c>
      <x:c r="AE466" s="141" t="n">
        <x:f>AH465*(1+Premissas!$B$41)+AD466</x:f>
        <x:v>57184152.44121564</x:v>
      </x:c>
      <x:c r="AF466" s="141" t="n">
        <x:f>MAX(0,-AE466)</x:f>
        <x:v>0</x:v>
      </x:c>
      <x:c r="AG466" s="141" t="n">
        <x:f>AG465*(1+Premissas!$B$41)+AF466</x:f>
        <x:v>0</x:v>
      </x:c>
      <x:c r="AH466" s="141" t="n">
        <x:f>MAX(0,AE466)</x:f>
        <x:v>57184152.44121564</x:v>
      </x:c>
      <x:c r="AI466" s="141" t="n">
        <x:f>IF(AND($A466&gt;=Premissas!$B$48,$A466-Premissas!$B$48+1&lt;=Premissas!$B$13),INDEX(Amortizacao!$L$6:$L$485,$A466-Premissas!$B$48+1),0)</x:f>
        <x:v>0</x:v>
      </x:c>
      <x:c r="AJ466" s="141" t="n">
        <x:f>IF($A466&gt;=Premissas!$B$48,$F466,0)</x:f>
        <x:v>1875845.1564942244</x:v>
      </x:c>
      <x:c r="AK466" s="141" t="n">
        <x:f>AH466+AJ466-AI466</x:f>
        <x:v>59059997.597709864</x:v>
      </x:c>
      <x:c r="AL466" s="141" t="n">
        <x:f>IF(AG466&gt;1,"Inviavel",AK466)</x:f>
        <x:v>59059997.597709864</x:v>
      </x:c>
      <x:c r="AM466" s="141" t="str">
        <x:f>IF(AG466&gt;1,"Inviavel","OK")</x:f>
        <x:v>OK</x:v>
      </x:c>
      <x:c r="AN466" s="141" t="n">
        <x:f>IF($A466=Premissas!$B$48,Premissas!$B$8,0)</x:f>
        <x:v>0</x:v>
      </x:c>
      <x:c r="AO466" s="141" t="n">
        <x:f>IF($A466&lt;=Premissas!$B$25,INDEX('Consorcio IQ'!$K$6:$K$485,$A466),0)</x:f>
        <x:v>0</x:v>
      </x:c>
      <x:c r="AP466" s="141" t="n">
        <x:f>IF(AND(TRUE,Premissas!$B$11="Imovel",Premissas!$B$47="Moradia",$A466&lt;MAX(Premissas!$B$48,Premissas!$B$49)),$D466,0)</x:f>
        <x:v>0</x:v>
      </x:c>
      <x:c r="AQ466" s="141" t="n">
        <x:f>IF(AND(TRUE,Premissas!$B$11="Imovel",Premissas!$B$47="Investimento",$A466&gt;=MAX(Premissas!$B$48,Premissas!$B$49)),$E466,0)</x:f>
        <x:v>5858.72150210092</x:v>
      </x:c>
      <x:c r="AR466" s="141" t="n">
        <x:f>AN466+AO466+AP466</x:f>
        <x:v>0</x:v>
      </x:c>
      <x:c r="AS466" s="141" t="n">
        <x:f>AQ466</x:f>
        <x:v>5858.72150210092</x:v>
      </x:c>
      <x:c r="AT466" s="141" t="n">
        <x:f>$C466+AS466-AR466</x:f>
        <x:v>5858.72150210092</x:v>
      </x:c>
      <x:c r="AU466" s="141" t="n">
        <x:f>AX465*(1+Premissas!$B$41)+AT466</x:f>
        <x:v>56734718.01815455</x:v>
      </x:c>
      <x:c r="AV466" s="141" t="n">
        <x:f>MAX(0,-AU466)</x:f>
        <x:v>0</x:v>
      </x:c>
      <x:c r="AW466" s="141" t="n">
        <x:f>AW465*(1+Premissas!$B$41)+AV466</x:f>
        <x:v>0</x:v>
      </x:c>
      <x:c r="AX466" s="141" t="n">
        <x:f>MAX(0,AU466)</x:f>
        <x:v>56734718.01815455</x:v>
      </x:c>
      <x:c r="AY466" s="141" t="n">
        <x:f>INDEX('Consorcio IQ'!$P$6:$P$485,$A466)</x:f>
        <x:v>0</x:v>
      </x:c>
      <x:c r="AZ466" s="141" t="n">
        <x:f>IF($A466&gt;=Premissas!$B$48,$F466,0)+IF($A466&lt;Premissas!$B$27,INDEX('Consorcio IQ'!$O$6:$O$485,$A466),0)</x:f>
        <x:v>1875845.1564942244</x:v>
      </x:c>
      <x:c r="BA466" s="141" t="n">
        <x:f>AX466+AZ466-AY466</x:f>
        <x:v>58610563.17464877</x:v>
      </x:c>
      <x:c r="BB466" s="141" t="n">
        <x:f>IF(AW466&gt;1,"Inviavel",BA466)</x:f>
        <x:v>58610563.17464877</x:v>
      </x:c>
      <x:c r="BC466" s="141" t="str">
        <x:f>IF(AW466&gt;1,"Inviavel","OK")</x:f>
        <x:v>OK</x:v>
      </x:c>
      <x:c r="BD466" s="141" t="n">
        <x:f>IF($A466='Consorcio Direto'!$B$29,'Consorcio Direto'!$B$44,0)</x:f>
        <x:v>0</x:v>
      </x:c>
      <x:c r="BE466" s="141" t="n">
        <x:f>IF($A466&lt;='Consorcio Direto'!$B$27,INDEX('Consorcio Direto'!$E$55:$E$534,$A466),0)</x:f>
        <x:v>0</x:v>
      </x:c>
      <x:c r="BF466" s="141" t="n">
        <x:f>IF(AND(TRUE,Premissas!$B$11="Imovel",Premissas!$B$47="Moradia",$A466&lt;MAX('Consorcio Direto'!$B$29,Premissas!$B$49)),$D466,0)</x:f>
        <x:v>0</x:v>
      </x:c>
      <x:c r="BG466" s="141" t="n">
        <x:f>IF(AND(TRUE,Premissas!$B$11="Imovel",Premissas!$B$47="Investimento",$A466&gt;=MAX('Consorcio Direto'!$B$29,Premissas!$B$49)),$E466,0)</x:f>
        <x:v>5858.72150210092</x:v>
      </x:c>
      <x:c r="BH466" s="141" t="n">
        <x:f>BD466+BE466+BF466</x:f>
        <x:v>0</x:v>
      </x:c>
      <x:c r="BI466" s="141" t="n">
        <x:f>BG466</x:f>
        <x:v>5858.72150210092</x:v>
      </x:c>
      <x:c r="BJ466" s="141" t="n">
        <x:f>$C466+BI466-BH466</x:f>
        <x:v>5858.72150210092</x:v>
      </x:c>
      <x:c r="BK466" s="141" t="n">
        <x:f>BN465*(1+Premissas!$B$41)+BJ466</x:f>
        <x:v>54305799.399758555</x:v>
      </x:c>
      <x:c r="BL466" s="141" t="n">
        <x:f>MAX(0,-BK466)</x:f>
        <x:v>0</x:v>
      </x:c>
      <x:c r="BM466" s="141" t="n">
        <x:f>BM465*(1+Premissas!$B$41)+BL466</x:f>
        <x:v>0</x:v>
      </x:c>
      <x:c r="BN466" s="141" t="n">
        <x:f>MAX(0,BK466)</x:f>
        <x:v>54305799.399758555</x:v>
      </x:c>
      <x:c r="BO466" s="141" t="n">
        <x:f>INDEX('Consorcio Direto'!$K$55:$K$534,$A466)</x:f>
        <x:v>0</x:v>
      </x:c>
      <x:c r="BP466" s="141" t="n">
        <x:f>IF($A466&lt;'Consorcio Direto'!$B$29,INDEX('Consorcio Direto'!$L$55:$L$534,$A466),$F466)</x:f>
        <x:v>1875845.1564942244</x:v>
      </x:c>
      <x:c r="BQ466" s="141" t="n">
        <x:f>BN466+BP466-BO466</x:f>
        <x:v>56181644.55625278</x:v>
      </x:c>
      <x:c r="BR466" s="141" t="n">
        <x:f>IF(BM466&gt;1,"Inviavel",BQ466)</x:f>
        <x:v>56181644.55625278</x:v>
      </x:c>
      <x:c r="BS466" s="141" t="str">
        <x:f>IF(BM466&gt;1,"Inviavel","OK")</x:f>
        <x:v>OK</x:v>
      </x:c>
      <x:c r="BT466" s="141" t="n">
        <x:f>IF(AND('Carta Contemplada'!$B$22="Sim",$A466='Carta Contemplada'!$B$23),'Carta Contemplada'!$B$37,0)</x:f>
        <x:v>0</x:v>
      </x:c>
      <x:c r="BU466" s="141" t="n">
        <x:f>IF('Carta Contemplada'!$B$22="Sim",INDEX('Carta Contemplada'!$C$55:$C$1013,$A466),0)</x:f>
        <x:v>0</x:v>
      </x:c>
      <x:c r="BV466" s="141" t="n">
        <x:f>IF(AND('Carta Contemplada'!$B$22="Sim",Premissas!$B$11="Imovel",Premissas!$B$47="Moradia",$A466&lt;MAX('Carta Contemplada'!$B$44,Premissas!$B$49)),$D466,0)</x:f>
        <x:v>0</x:v>
      </x:c>
      <x:c r="BW466" s="141" t="n">
        <x:f>IF(AND('Carta Contemplada'!$B$22="Sim",Premissas!$B$11="Imovel",Premissas!$B$47="Investimento",$A466&gt;=MAX('Carta Contemplada'!$B$44,Premissas!$B$49)),$E466,0)</x:f>
        <x:v>5858.72150210092</x:v>
      </x:c>
      <x:c r="BX466" s="141" t="n">
        <x:f>BT466+BU466+BV466</x:f>
        <x:v>0</x:v>
      </x:c>
      <x:c r="BY466" s="141" t="n">
        <x:f>BW466</x:f>
        <x:v>5858.72150210092</x:v>
      </x:c>
      <x:c r="BZ466" s="141" t="n">
        <x:f>$C466+BY466-BX466</x:f>
        <x:v>5858.72150210092</x:v>
      </x:c>
      <x:c r="CA466" s="141" t="n">
        <x:f>CD465*(1+Premissas!$B$41)+BZ466</x:f>
        <x:v>58317541.59246457</x:v>
      </x:c>
      <x:c r="CB466" s="141" t="n">
        <x:f>MAX(0,-CA466)</x:f>
        <x:v>0</x:v>
      </x:c>
      <x:c r="CC466" s="141" t="n">
        <x:f>CC465*(1+Premissas!$B$41)+CB466</x:f>
        <x:v>0</x:v>
      </x:c>
      <x:c r="CD466" s="141" t="n">
        <x:f>MAX(0,CA466)</x:f>
        <x:v>58317541.59246457</x:v>
      </x:c>
      <x:c r="CE466" s="141" t="n">
        <x:f>IF(AND('Carta Contemplada'!$B$22="Sim",$A466&gt;='Carta Contemplada'!$B$23),INDEX('Carta Contemplada'!$I$55:$I$1013,$A466),0)</x:f>
        <x:v>0</x:v>
      </x:c>
      <x:c r="CF466" s="141" t="n">
        <x:f>IF(AND('Carta Contemplada'!$B$22="Sim",$A466&gt;='Carta Contemplada'!$B$44),$F466,0)</x:f>
        <x:v>1875845.1564942244</x:v>
      </x:c>
      <x:c r="CG466" s="141" t="n">
        <x:f>CD466+CF466-CE466</x:f>
        <x:v>60193386.748958796</x:v>
      </x:c>
      <x:c r="CH466" s="141" t="n">
        <x:f>IF(CC466&gt;1,"Inviavel",CG466)</x:f>
        <x:v>60193386.748958796</x:v>
      </x:c>
      <x:c r="CI466" s="145" t="str">
        <x:f>IF(CC466&gt;1,"Inviavel","OK")</x:f>
        <x:v>OK</x:v>
      </x:c>
    </x:row>
    <x:row r="467">
      <x:c r="A467" s="142" t="n">
        <x:v>463</x:v>
      </x:c>
      <x:c r="B467" s="179" t="n">
        <x:f>EDATE(Premissas!$B$4,A467-1)</x:f>
        <x:v>60602</x:v>
      </x:c>
      <x:c r="C467" s="141" t="n">
        <x:f>IF(A467&lt;=Premissas!$B$39,Premissas!$B$42,0)</x:f>
        <x:v>0</x:v>
      </x:c>
      <x:c r="D467" s="141" t="n">
        <x:f>Premissas!$B$54*(1+Premissas!$B$57)^INT((A467-1)/12)</x:f>
        <x:v>6407.97664292288</x:v>
      </x:c>
      <x:c r="E467" s="141" t="n">
        <x:f>Premissas!$B$64*(1+Premissas!$B$57)^INT((A467-1)/12)</x:f>
        <x:v>5858.72150210092</x:v>
      </x:c>
      <x:c r="F467" s="141" t="n">
        <x:f>MAX(0,Premissas!$B$6*(1+Premissas!$B$66)^((A467-1)/12))</x:f>
        <x:v>1884975.9276462144</x:v>
      </x:c>
      <x:c r="G467" s="141" t="n">
        <x:f>G466*(1+Premissas!$B$41)+C467</x:f>
        <x:v>64421310.21036975</x:v>
      </x:c>
      <x:c r="H467" s="141" t="n">
        <x:f>IF($A467=Premissas!$B$48,Premissas!$B$8,0)</x:f>
        <x:v>0</x:v>
      </x:c>
      <x:c r="I467" s="141" t="n">
        <x:f>IF(AND($A467&gt;=Premissas!$B$48,$A467-Premissas!$B$48+1&lt;=Premissas!$B$13),INDEX(Financiamento!$J$6:$J$485,$A467-Premissas!$B$48+1),0)</x:f>
        <x:v>0</x:v>
      </x:c>
      <x:c r="J467" s="141" t="n">
        <x:f>IF(AND(TRUE,Premissas!$B$11="Imovel",Premissas!$B$47="Moradia",$A467&lt;MAX(Premissas!$B$48,Premissas!$B$49)),$D467,0)</x:f>
        <x:v>0</x:v>
      </x:c>
      <x:c r="K467" s="141" t="n">
        <x:f>IF(AND(TRUE,Premissas!$B$11="Imovel",Premissas!$B$47="Investimento",$A467&gt;=MAX(Premissas!$B$48,Premissas!$B$49)),$E467,0)</x:f>
        <x:v>5858.72150210092</x:v>
      </x:c>
      <x:c r="L467" s="141" t="n">
        <x:f>H467+I467+J467</x:f>
        <x:v>0</x:v>
      </x:c>
      <x:c r="M467" s="141" t="n">
        <x:f>K467</x:f>
        <x:v>5858.72150210092</x:v>
      </x:c>
      <x:c r="N467" s="141" t="n">
        <x:f>$C467+M467-L467</x:f>
        <x:v>5858.72150210092</x:v>
      </x:c>
      <x:c r="O467" s="141" t="n">
        <x:f>R466*(1+Premissas!$B$41)+N467</x:f>
        <x:v>56785534.9065849</x:v>
      </x:c>
      <x:c r="P467" s="141" t="n">
        <x:f>MAX(0,-O467)</x:f>
        <x:v>0</x:v>
      </x:c>
      <x:c r="Q467" s="141" t="n">
        <x:f>Q466*(1+Premissas!$B$41)+P467</x:f>
        <x:v>0</x:v>
      </x:c>
      <x:c r="R467" s="141" t="n">
        <x:f>MAX(0,O467)</x:f>
        <x:v>56785534.9065849</x:v>
      </x:c>
      <x:c r="S467" s="141" t="n">
        <x:f>IF(AND($A467&gt;=Premissas!$B$48,$A467-Premissas!$B$48+1&lt;=Premissas!$B$13),INDEX(Financiamento!$M$6:$M$485,$A467-Premissas!$B$48+1),0)</x:f>
        <x:v>0</x:v>
      </x:c>
      <x:c r="T467" s="141" t="n">
        <x:f>IF($A467&gt;=Premissas!$B$48,$F467,0)</x:f>
        <x:v>1884975.9276462144</x:v>
      </x:c>
      <x:c r="U467" s="141" t="n">
        <x:f>R467+T467-S467</x:f>
        <x:v>58670510.834231116</x:v>
      </x:c>
      <x:c r="V467" s="141" t="n">
        <x:f>IF(Q467&gt;1,"Inviavel",U467)</x:f>
        <x:v>58670510.834231116</x:v>
      </x:c>
      <x:c r="W467" s="141" t="str">
        <x:f>IF(Q467&gt;1,"Inviavel","OK")</x:f>
        <x:v>OK</x:v>
      </x:c>
      <x:c r="X467" s="141" t="n">
        <x:f>IF($A467=Premissas!$B$48,Premissas!$B$8,0)</x:f>
        <x:v>0</x:v>
      </x:c>
      <x:c r="Y467" s="141" t="n">
        <x:f>IF(AND($A467&gt;=Premissas!$B$48,$A467-Premissas!$B$48+1&lt;=Premissas!$B$13),INDEX(Amortizacao!$K$6:$K$485,$A467-Premissas!$B$48+1),0)</x:f>
        <x:v>0</x:v>
      </x:c>
      <x:c r="Z467" s="141" t="n">
        <x:f>IF(AND(TRUE,Premissas!$B$11="Imovel",Premissas!$B$47="Moradia",$A467&lt;MAX(Premissas!$B$48,Premissas!$B$49)),$D467,0)</x:f>
        <x:v>0</x:v>
      </x:c>
      <x:c r="AA467" s="141" t="n">
        <x:f>IF(AND(TRUE,Premissas!$B$11="Imovel",Premissas!$B$47="Investimento",$A467&gt;=MAX(Premissas!$B$48,Premissas!$B$49)),$E467,0)</x:f>
        <x:v>5858.72150210092</x:v>
      </x:c>
      <x:c r="AB467" s="141" t="n">
        <x:f>X467+Y467+Z467</x:f>
        <x:v>0</x:v>
      </x:c>
      <x:c r="AC467" s="141" t="n">
        <x:f>AA467</x:f>
        <x:v>5858.72150210092</x:v>
      </x:c>
      <x:c r="AD467" s="141" t="n">
        <x:f>$C467+AC467-AB467</x:f>
        <x:v>5858.72150210092</x:v>
      </x:c>
      <x:c r="AE467" s="141" t="n">
        <x:f>AH466*(1+Premissas!$B$41)+AD467</x:f>
        <x:v>57732619.74437207</x:v>
      </x:c>
      <x:c r="AF467" s="141" t="n">
        <x:f>MAX(0,-AE467)</x:f>
        <x:v>0</x:v>
      </x:c>
      <x:c r="AG467" s="141" t="n">
        <x:f>AG466*(1+Premissas!$B$41)+AF467</x:f>
        <x:v>0</x:v>
      </x:c>
      <x:c r="AH467" s="141" t="n">
        <x:f>MAX(0,AE467)</x:f>
        <x:v>57732619.74437207</x:v>
      </x:c>
      <x:c r="AI467" s="141" t="n">
        <x:f>IF(AND($A467&gt;=Premissas!$B$48,$A467-Premissas!$B$48+1&lt;=Premissas!$B$13),INDEX(Amortizacao!$L$6:$L$485,$A467-Premissas!$B$48+1),0)</x:f>
        <x:v>0</x:v>
      </x:c>
      <x:c r="AJ467" s="141" t="n">
        <x:f>IF($A467&gt;=Premissas!$B$48,$F467,0)</x:f>
        <x:v>1884975.9276462144</x:v>
      </x:c>
      <x:c r="AK467" s="141" t="n">
        <x:f>AH467+AJ467-AI467</x:f>
        <x:v>59617595.67201828</x:v>
      </x:c>
      <x:c r="AL467" s="141" t="n">
        <x:f>IF(AG467&gt;1,"Inviavel",AK467)</x:f>
        <x:v>59617595.67201828</x:v>
      </x:c>
      <x:c r="AM467" s="141" t="str">
        <x:f>IF(AG467&gt;1,"Inviavel","OK")</x:f>
        <x:v>OK</x:v>
      </x:c>
      <x:c r="AN467" s="141" t="n">
        <x:f>IF($A467=Premissas!$B$48,Premissas!$B$8,0)</x:f>
        <x:v>0</x:v>
      </x:c>
      <x:c r="AO467" s="141" t="n">
        <x:f>IF($A467&lt;=Premissas!$B$25,INDEX('Consorcio IQ'!$K$6:$K$485,$A467),0)</x:f>
        <x:v>0</x:v>
      </x:c>
      <x:c r="AP467" s="141" t="n">
        <x:f>IF(AND(TRUE,Premissas!$B$11="Imovel",Premissas!$B$47="Moradia",$A467&lt;MAX(Premissas!$B$48,Premissas!$B$49)),$D467,0)</x:f>
        <x:v>0</x:v>
      </x:c>
      <x:c r="AQ467" s="141" t="n">
        <x:f>IF(AND(TRUE,Premissas!$B$11="Imovel",Premissas!$B$47="Investimento",$A467&gt;=MAX(Premissas!$B$48,Premissas!$B$49)),$E467,0)</x:f>
        <x:v>5858.72150210092</x:v>
      </x:c>
      <x:c r="AR467" s="141" t="n">
        <x:f>AN467+AO467+AP467</x:f>
        <x:v>0</x:v>
      </x:c>
      <x:c r="AS467" s="141" t="n">
        <x:f>AQ467</x:f>
        <x:v>5858.72150210092</x:v>
      </x:c>
      <x:c r="AT467" s="141" t="n">
        <x:f>$C467+AS467-AR467</x:f>
        <x:v>5858.72150210092</x:v>
      </x:c>
      <x:c r="AU467" s="141" t="n">
        <x:f>AX466*(1+Premissas!$B$41)+AT467</x:f>
        <x:v>57278920.73113287</x:v>
      </x:c>
      <x:c r="AV467" s="141" t="n">
        <x:f>MAX(0,-AU467)</x:f>
        <x:v>0</x:v>
      </x:c>
      <x:c r="AW467" s="141" t="n">
        <x:f>AW466*(1+Premissas!$B$41)+AV467</x:f>
        <x:v>0</x:v>
      </x:c>
      <x:c r="AX467" s="141" t="n">
        <x:f>MAX(0,AU467)</x:f>
        <x:v>57278920.73113287</x:v>
      </x:c>
      <x:c r="AY467" s="141" t="n">
        <x:f>INDEX('Consorcio IQ'!$P$6:$P$485,$A467)</x:f>
        <x:v>0</x:v>
      </x:c>
      <x:c r="AZ467" s="141" t="n">
        <x:f>IF($A467&gt;=Premissas!$B$48,$F467,0)+IF($A467&lt;Premissas!$B$27,INDEX('Consorcio IQ'!$O$6:$O$485,$A467),0)</x:f>
        <x:v>1884975.9276462144</x:v>
      </x:c>
      <x:c r="BA467" s="141" t="n">
        <x:f>AX467+AZ467-AY467</x:f>
        <x:v>59163896.658779085</x:v>
      </x:c>
      <x:c r="BB467" s="141" t="n">
        <x:f>IF(AW467&gt;1,"Inviavel",BA467)</x:f>
        <x:v>59163896.658779085</x:v>
      </x:c>
      <x:c r="BC467" s="141" t="str">
        <x:f>IF(AW467&gt;1,"Inviavel","OK")</x:f>
        <x:v>OK</x:v>
      </x:c>
      <x:c r="BD467" s="141" t="n">
        <x:f>IF($A467='Consorcio Direto'!$B$29,'Consorcio Direto'!$B$44,0)</x:f>
        <x:v>0</x:v>
      </x:c>
      <x:c r="BE467" s="141" t="n">
        <x:f>IF($A467&lt;='Consorcio Direto'!$B$27,INDEX('Consorcio Direto'!$E$55:$E$534,$A467),0)</x:f>
        <x:v>0</x:v>
      </x:c>
      <x:c r="BF467" s="141" t="n">
        <x:f>IF(AND(TRUE,Premissas!$B$11="Imovel",Premissas!$B$47="Moradia",$A467&lt;MAX('Consorcio Direto'!$B$29,Premissas!$B$49)),$D467,0)</x:f>
        <x:v>0</x:v>
      </x:c>
      <x:c r="BG467" s="141" t="n">
        <x:f>IF(AND(TRUE,Premissas!$B$11="Imovel",Premissas!$B$47="Investimento",$A467&gt;=MAX('Consorcio Direto'!$B$29,Premissas!$B$49)),$E467,0)</x:f>
        <x:v>5858.72150210092</x:v>
      </x:c>
      <x:c r="BH467" s="141" t="n">
        <x:f>BD467+BE467+BF467</x:f>
        <x:v>0</x:v>
      </x:c>
      <x:c r="BI467" s="141" t="n">
        <x:f>BG467</x:f>
        <x:v>5858.72150210092</x:v>
      </x:c>
      <x:c r="BJ467" s="141" t="n">
        <x:f>$C467+BI467-BH467</x:f>
        <x:v>5858.72150210092</x:v>
      </x:c>
      <x:c r="BK467" s="141" t="n">
        <x:f>BN466*(1+Premissas!$B$41)+BJ467</x:f>
        <x:v>54826954.60691197</x:v>
      </x:c>
      <x:c r="BL467" s="141" t="n">
        <x:f>MAX(0,-BK467)</x:f>
        <x:v>0</x:v>
      </x:c>
      <x:c r="BM467" s="141" t="n">
        <x:f>BM466*(1+Premissas!$B$41)+BL467</x:f>
        <x:v>0</x:v>
      </x:c>
      <x:c r="BN467" s="141" t="n">
        <x:f>MAX(0,BK467)</x:f>
        <x:v>54826954.60691197</x:v>
      </x:c>
      <x:c r="BO467" s="141" t="n">
        <x:f>INDEX('Consorcio Direto'!$K$55:$K$534,$A467)</x:f>
        <x:v>0</x:v>
      </x:c>
      <x:c r="BP467" s="141" t="n">
        <x:f>IF($A467&lt;'Consorcio Direto'!$B$29,INDEX('Consorcio Direto'!$L$55:$L$534,$A467),$F467)</x:f>
        <x:v>1884975.9276462144</x:v>
      </x:c>
      <x:c r="BQ467" s="141" t="n">
        <x:f>BN467+BP467-BO467</x:f>
        <x:v>56711930.534558184</x:v>
      </x:c>
      <x:c r="BR467" s="141" t="n">
        <x:f>IF(BM467&gt;1,"Inviavel",BQ467)</x:f>
        <x:v>56711930.534558184</x:v>
      </x:c>
      <x:c r="BS467" s="141" t="str">
        <x:f>IF(BM467&gt;1,"Inviavel","OK")</x:f>
        <x:v>OK</x:v>
      </x:c>
      <x:c r="BT467" s="141" t="n">
        <x:f>IF(AND('Carta Contemplada'!$B$22="Sim",$A467='Carta Contemplada'!$B$23),'Carta Contemplada'!$B$37,0)</x:f>
        <x:v>0</x:v>
      </x:c>
      <x:c r="BU467" s="141" t="n">
        <x:f>IF('Carta Contemplada'!$B$22="Sim",INDEX('Carta Contemplada'!$C$55:$C$1013,$A467),0)</x:f>
        <x:v>0</x:v>
      </x:c>
      <x:c r="BV467" s="141" t="n">
        <x:f>IF(AND('Carta Contemplada'!$B$22="Sim",Premissas!$B$11="Imovel",Premissas!$B$47="Moradia",$A467&lt;MAX('Carta Contemplada'!$B$44,Premissas!$B$49)),$D467,0)</x:f>
        <x:v>0</x:v>
      </x:c>
      <x:c r="BW467" s="141" t="n">
        <x:f>IF(AND('Carta Contemplada'!$B$22="Sim",Premissas!$B$11="Imovel",Premissas!$B$47="Investimento",$A467&gt;=MAX('Carta Contemplada'!$B$44,Premissas!$B$49)),$E467,0)</x:f>
        <x:v>5858.72150210092</x:v>
      </x:c>
      <x:c r="BX467" s="141" t="n">
        <x:f>BT467+BU467+BV467</x:f>
        <x:v>0</x:v>
      </x:c>
      <x:c r="BY467" s="141" t="n">
        <x:f>BW467</x:f>
        <x:v>5858.72150210092</x:v>
      </x:c>
      <x:c r="BZ467" s="141" t="n">
        <x:f>$C467+BY467-BX467</x:f>
        <x:v>5858.72150210092</x:v>
      </x:c>
      <x:c r="CA467" s="141" t="n">
        <x:f>CD466*(1+Premissas!$B$41)+BZ467</x:f>
        <x:v>58876763.39059151</x:v>
      </x:c>
      <x:c r="CB467" s="141" t="n">
        <x:f>MAX(0,-CA467)</x:f>
        <x:v>0</x:v>
      </x:c>
      <x:c r="CC467" s="141" t="n">
        <x:f>CC466*(1+Premissas!$B$41)+CB467</x:f>
        <x:v>0</x:v>
      </x:c>
      <x:c r="CD467" s="141" t="n">
        <x:f>MAX(0,CA467)</x:f>
        <x:v>58876763.39059151</x:v>
      </x:c>
      <x:c r="CE467" s="141" t="n">
        <x:f>IF(AND('Carta Contemplada'!$B$22="Sim",$A467&gt;='Carta Contemplada'!$B$23),INDEX('Carta Contemplada'!$I$55:$I$1013,$A467),0)</x:f>
        <x:v>0</x:v>
      </x:c>
      <x:c r="CF467" s="141" t="n">
        <x:f>IF(AND('Carta Contemplada'!$B$22="Sim",$A467&gt;='Carta Contemplada'!$B$44),$F467,0)</x:f>
        <x:v>1884975.9276462144</x:v>
      </x:c>
      <x:c r="CG467" s="141" t="n">
        <x:f>CD467+CF467-CE467</x:f>
        <x:v>60761739.31823772</x:v>
      </x:c>
      <x:c r="CH467" s="141" t="n">
        <x:f>IF(CC467&gt;1,"Inviavel",CG467)</x:f>
        <x:v>60761739.31823772</x:v>
      </x:c>
      <x:c r="CI467" s="145" t="str">
        <x:f>IF(CC467&gt;1,"Inviavel","OK")</x:f>
        <x:v>OK</x:v>
      </x:c>
    </x:row>
    <x:row r="468">
      <x:c r="A468" s="142" t="n">
        <x:v>464</x:v>
      </x:c>
      <x:c r="B468" s="179" t="n">
        <x:f>EDATE(Premissas!$B$4,A468-1)</x:f>
        <x:v>60633</x:v>
      </x:c>
      <x:c r="C468" s="141" t="n">
        <x:f>IF(A468&lt;=Premissas!$B$39,Premissas!$B$42,0)</x:f>
        <x:v>0</x:v>
      </x:c>
      <x:c r="D468" s="141" t="n">
        <x:f>Premissas!$B$54*(1+Premissas!$B$57)^INT((A468-1)/12)</x:f>
        <x:v>6407.97664292288</x:v>
      </x:c>
      <x:c r="E468" s="141" t="n">
        <x:f>Premissas!$B$64*(1+Premissas!$B$57)^INT((A468-1)/12)</x:f>
        <x:v>5858.72150210092</x:v>
      </x:c>
      <x:c r="F468" s="141" t="n">
        <x:f>MAX(0,Premissas!$B$6*(1+Premissas!$B$66)^((A468-1)/12))</x:f>
        <x:v>1894151.1432884869</x:v>
      </x:c>
      <x:c r="G468" s="141" t="n">
        <x:f>G467*(1+Premissas!$B$41)+C468</x:f>
        <x:v>65032590.68353049</x:v>
      </x:c>
      <x:c r="H468" s="141" t="n">
        <x:f>IF($A468=Premissas!$B$48,Premissas!$B$8,0)</x:f>
        <x:v>0</x:v>
      </x:c>
      <x:c r="I468" s="141" t="n">
        <x:f>IF(AND($A468&gt;=Premissas!$B$48,$A468-Premissas!$B$48+1&lt;=Premissas!$B$13),INDEX(Financiamento!$J$6:$J$485,$A468-Premissas!$B$48+1),0)</x:f>
        <x:v>0</x:v>
      </x:c>
      <x:c r="J468" s="141" t="n">
        <x:f>IF(AND(TRUE,Premissas!$B$11="Imovel",Premissas!$B$47="Moradia",$A468&lt;MAX(Premissas!$B$48,Premissas!$B$49)),$D468,0)</x:f>
        <x:v>0</x:v>
      </x:c>
      <x:c r="K468" s="141" t="n">
        <x:f>IF(AND(TRUE,Premissas!$B$11="Imovel",Premissas!$B$47="Investimento",$A468&gt;=MAX(Premissas!$B$48,Premissas!$B$49)),$E468,0)</x:f>
        <x:v>5858.72150210092</x:v>
      </x:c>
      <x:c r="L468" s="141" t="n">
        <x:f>H468+I468+J468</x:f>
        <x:v>0</x:v>
      </x:c>
      <x:c r="M468" s="141" t="n">
        <x:f>K468</x:f>
        <x:v>5858.72150210092</x:v>
      </x:c>
      <x:c r="N468" s="141" t="n">
        <x:f>$C468+M468-L468</x:f>
        <x:v>5858.72150210092</x:v>
      </x:c>
      <x:c r="O468" s="141" t="n">
        <x:f>R467*(1+Premissas!$B$41)+N468</x:f>
        <x:v>57330219.81049513</x:v>
      </x:c>
      <x:c r="P468" s="141" t="n">
        <x:f>MAX(0,-O468)</x:f>
        <x:v>0</x:v>
      </x:c>
      <x:c r="Q468" s="141" t="n">
        <x:f>Q467*(1+Premissas!$B$41)+P468</x:f>
        <x:v>0</x:v>
      </x:c>
      <x:c r="R468" s="141" t="n">
        <x:f>MAX(0,O468)</x:f>
        <x:v>57330219.81049513</x:v>
      </x:c>
      <x:c r="S468" s="141" t="n">
        <x:f>IF(AND($A468&gt;=Premissas!$B$48,$A468-Premissas!$B$48+1&lt;=Premissas!$B$13),INDEX(Financiamento!$M$6:$M$485,$A468-Premissas!$B$48+1),0)</x:f>
        <x:v>0</x:v>
      </x:c>
      <x:c r="T468" s="141" t="n">
        <x:f>IF($A468&gt;=Premissas!$B$48,$F468,0)</x:f>
        <x:v>1894151.1432884869</x:v>
      </x:c>
      <x:c r="U468" s="141" t="n">
        <x:f>R468+T468-S468</x:f>
        <x:v>59224370.95378362</x:v>
      </x:c>
      <x:c r="V468" s="141" t="n">
        <x:f>IF(Q468&gt;1,"Inviavel",U468)</x:f>
        <x:v>59224370.95378362</x:v>
      </x:c>
      <x:c r="W468" s="141" t="str">
        <x:f>IF(Q468&gt;1,"Inviavel","OK")</x:f>
        <x:v>OK</x:v>
      </x:c>
      <x:c r="X468" s="141" t="n">
        <x:f>IF($A468=Premissas!$B$48,Premissas!$B$8,0)</x:f>
        <x:v>0</x:v>
      </x:c>
      <x:c r="Y468" s="141" t="n">
        <x:f>IF(AND($A468&gt;=Premissas!$B$48,$A468-Premissas!$B$48+1&lt;=Premissas!$B$13),INDEX(Amortizacao!$K$6:$K$485,$A468-Premissas!$B$48+1),0)</x:f>
        <x:v>0</x:v>
      </x:c>
      <x:c r="Z468" s="141" t="n">
        <x:f>IF(AND(TRUE,Premissas!$B$11="Imovel",Premissas!$B$47="Moradia",$A468&lt;MAX(Premissas!$B$48,Premissas!$B$49)),$D468,0)</x:f>
        <x:v>0</x:v>
      </x:c>
      <x:c r="AA468" s="141" t="n">
        <x:f>IF(AND(TRUE,Premissas!$B$11="Imovel",Premissas!$B$47="Investimento",$A468&gt;=MAX(Premissas!$B$48,Premissas!$B$49)),$E468,0)</x:f>
        <x:v>5858.72150210092</x:v>
      </x:c>
      <x:c r="AB468" s="141" t="n">
        <x:f>X468+Y468+Z468</x:f>
        <x:v>0</x:v>
      </x:c>
      <x:c r="AC468" s="141" t="n">
        <x:f>AA468</x:f>
        <x:v>5858.72150210092</x:v>
      </x:c>
      <x:c r="AD468" s="141" t="n">
        <x:f>$C468+AC468-AB468</x:f>
        <x:v>5858.72150210092</x:v>
      </x:c>
      <x:c r="AE468" s="141" t="n">
        <x:f>AH467*(1+Premissas!$B$41)+AD468</x:f>
        <x:v>58286291.34019954</x:v>
      </x:c>
      <x:c r="AF468" s="141" t="n">
        <x:f>MAX(0,-AE468)</x:f>
        <x:v>0</x:v>
      </x:c>
      <x:c r="AG468" s="141" t="n">
        <x:f>AG467*(1+Premissas!$B$41)+AF468</x:f>
        <x:v>0</x:v>
      </x:c>
      <x:c r="AH468" s="141" t="n">
        <x:f>MAX(0,AE468)</x:f>
        <x:v>58286291.34019954</x:v>
      </x:c>
      <x:c r="AI468" s="141" t="n">
        <x:f>IF(AND($A468&gt;=Premissas!$B$48,$A468-Premissas!$B$48+1&lt;=Premissas!$B$13),INDEX(Amortizacao!$L$6:$L$485,$A468-Premissas!$B$48+1),0)</x:f>
        <x:v>0</x:v>
      </x:c>
      <x:c r="AJ468" s="141" t="n">
        <x:f>IF($A468&gt;=Premissas!$B$48,$F468,0)</x:f>
        <x:v>1894151.1432884869</x:v>
      </x:c>
      <x:c r="AK468" s="141" t="n">
        <x:f>AH468+AJ468-AI468</x:f>
        <x:v>60180442.48348802</x:v>
      </x:c>
      <x:c r="AL468" s="141" t="n">
        <x:f>IF(AG468&gt;1,"Inviavel",AK468)</x:f>
        <x:v>60180442.48348802</x:v>
      </x:c>
      <x:c r="AM468" s="141" t="str">
        <x:f>IF(AG468&gt;1,"Inviavel","OK")</x:f>
        <x:v>OK</x:v>
      </x:c>
      <x:c r="AN468" s="141" t="n">
        <x:f>IF($A468=Premissas!$B$48,Premissas!$B$8,0)</x:f>
        <x:v>0</x:v>
      </x:c>
      <x:c r="AO468" s="141" t="n">
        <x:f>IF($A468&lt;=Premissas!$B$25,INDEX('Consorcio IQ'!$K$6:$K$485,$A468),0)</x:f>
        <x:v>0</x:v>
      </x:c>
      <x:c r="AP468" s="141" t="n">
        <x:f>IF(AND(TRUE,Premissas!$B$11="Imovel",Premissas!$B$47="Moradia",$A468&lt;MAX(Premissas!$B$48,Premissas!$B$49)),$D468,0)</x:f>
        <x:v>0</x:v>
      </x:c>
      <x:c r="AQ468" s="141" t="n">
        <x:f>IF(AND(TRUE,Premissas!$B$11="Imovel",Premissas!$B$47="Investimento",$A468&gt;=MAX(Premissas!$B$48,Premissas!$B$49)),$E468,0)</x:f>
        <x:v>5858.72150210092</x:v>
      </x:c>
      <x:c r="AR468" s="141" t="n">
        <x:f>AN468+AO468+AP468</x:f>
        <x:v>0</x:v>
      </x:c>
      <x:c r="AS468" s="141" t="n">
        <x:f>AQ468</x:f>
        <x:v>5858.72150210092</x:v>
      </x:c>
      <x:c r="AT468" s="141" t="n">
        <x:f>$C468+AS468-AR468</x:f>
        <x:v>5858.72150210092</x:v>
      </x:c>
      <x:c r="AU468" s="141" t="n">
        <x:f>AX467*(1+Premissas!$B$41)+AT468</x:f>
        <x:v>57828287.27096909</x:v>
      </x:c>
      <x:c r="AV468" s="141" t="n">
        <x:f>MAX(0,-AU468)</x:f>
        <x:v>0</x:v>
      </x:c>
      <x:c r="AW468" s="141" t="n">
        <x:f>AW467*(1+Premissas!$B$41)+AV468</x:f>
        <x:v>0</x:v>
      </x:c>
      <x:c r="AX468" s="141" t="n">
        <x:f>MAX(0,AU468)</x:f>
        <x:v>57828287.27096909</x:v>
      </x:c>
      <x:c r="AY468" s="141" t="n">
        <x:f>INDEX('Consorcio IQ'!$P$6:$P$485,$A468)</x:f>
        <x:v>0</x:v>
      </x:c>
      <x:c r="AZ468" s="141" t="n">
        <x:f>IF($A468&gt;=Premissas!$B$48,$F468,0)+IF($A468&lt;Premissas!$B$27,INDEX('Consorcio IQ'!$O$6:$O$485,$A468),0)</x:f>
        <x:v>1894151.1432884869</x:v>
      </x:c>
      <x:c r="BA468" s="141" t="n">
        <x:f>AX468+AZ468-AY468</x:f>
        <x:v>59722438.41425758</x:v>
      </x:c>
      <x:c r="BB468" s="141" t="n">
        <x:f>IF(AW468&gt;1,"Inviavel",BA468)</x:f>
        <x:v>59722438.41425758</x:v>
      </x:c>
      <x:c r="BC468" s="141" t="str">
        <x:f>IF(AW468&gt;1,"Inviavel","OK")</x:f>
        <x:v>OK</x:v>
      </x:c>
      <x:c r="BD468" s="141" t="n">
        <x:f>IF($A468='Consorcio Direto'!$B$29,'Consorcio Direto'!$B$44,0)</x:f>
        <x:v>0</x:v>
      </x:c>
      <x:c r="BE468" s="141" t="n">
        <x:f>IF($A468&lt;='Consorcio Direto'!$B$27,INDEX('Consorcio Direto'!$E$55:$E$534,$A468),0)</x:f>
        <x:v>0</x:v>
      </x:c>
      <x:c r="BF468" s="141" t="n">
        <x:f>IF(AND(TRUE,Premissas!$B$11="Imovel",Premissas!$B$47="Moradia",$A468&lt;MAX('Consorcio Direto'!$B$29,Premissas!$B$49)),$D468,0)</x:f>
        <x:v>0</x:v>
      </x:c>
      <x:c r="BG468" s="141" t="n">
        <x:f>IF(AND(TRUE,Premissas!$B$11="Imovel",Premissas!$B$47="Investimento",$A468&gt;=MAX('Consorcio Direto'!$B$29,Premissas!$B$49)),$E468,0)</x:f>
        <x:v>5858.72150210092</x:v>
      </x:c>
      <x:c r="BH468" s="141" t="n">
        <x:f>BD468+BE468+BF468</x:f>
        <x:v>0</x:v>
      </x:c>
      <x:c r="BI468" s="141" t="n">
        <x:f>BG468</x:f>
        <x:v>5858.72150210092</x:v>
      </x:c>
      <x:c r="BJ468" s="141" t="n">
        <x:f>$C468+BI468-BH468</x:f>
        <x:v>5858.72150210092</x:v>
      </x:c>
      <x:c r="BK468" s="141" t="n">
        <x:f>BN467*(1+Premissas!$B$41)+BJ468</x:f>
        <x:v>55353054.94791285</x:v>
      </x:c>
      <x:c r="BL468" s="141" t="n">
        <x:f>MAX(0,-BK468)</x:f>
        <x:v>0</x:v>
      </x:c>
      <x:c r="BM468" s="141" t="n">
        <x:f>BM467*(1+Premissas!$B$41)+BL468</x:f>
        <x:v>0</x:v>
      </x:c>
      <x:c r="BN468" s="141" t="n">
        <x:f>MAX(0,BK468)</x:f>
        <x:v>55353054.94791285</x:v>
      </x:c>
      <x:c r="BO468" s="141" t="n">
        <x:f>INDEX('Consorcio Direto'!$K$55:$K$534,$A468)</x:f>
        <x:v>0</x:v>
      </x:c>
      <x:c r="BP468" s="141" t="n">
        <x:f>IF($A468&lt;'Consorcio Direto'!$B$29,INDEX('Consorcio Direto'!$L$55:$L$534,$A468),$F468)</x:f>
        <x:v>1894151.1432884869</x:v>
      </x:c>
      <x:c r="BQ468" s="141" t="n">
        <x:f>BN468+BP468-BO468</x:f>
        <x:v>57247206.091201335</x:v>
      </x:c>
      <x:c r="BR468" s="141" t="n">
        <x:f>IF(BM468&gt;1,"Inviavel",BQ468)</x:f>
        <x:v>57247206.091201335</x:v>
      </x:c>
      <x:c r="BS468" s="141" t="str">
        <x:f>IF(BM468&gt;1,"Inviavel","OK")</x:f>
        <x:v>OK</x:v>
      </x:c>
      <x:c r="BT468" s="141" t="n">
        <x:f>IF(AND('Carta Contemplada'!$B$22="Sim",$A468='Carta Contemplada'!$B$23),'Carta Contemplada'!$B$37,0)</x:f>
        <x:v>0</x:v>
      </x:c>
      <x:c r="BU468" s="141" t="n">
        <x:f>IF('Carta Contemplada'!$B$22="Sim",INDEX('Carta Contemplada'!$C$55:$C$1013,$A468),0)</x:f>
        <x:v>0</x:v>
      </x:c>
      <x:c r="BV468" s="141" t="n">
        <x:f>IF(AND('Carta Contemplada'!$B$22="Sim",Premissas!$B$11="Imovel",Premissas!$B$47="Moradia",$A468&lt;MAX('Carta Contemplada'!$B$44,Premissas!$B$49)),$D468,0)</x:f>
        <x:v>0</x:v>
      </x:c>
      <x:c r="BW468" s="141" t="n">
        <x:f>IF(AND('Carta Contemplada'!$B$22="Sim",Premissas!$B$11="Imovel",Premissas!$B$47="Investimento",$A468&gt;=MAX('Carta Contemplada'!$B$44,Premissas!$B$49)),$E468,0)</x:f>
        <x:v>5858.72150210092</x:v>
      </x:c>
      <x:c r="BX468" s="141" t="n">
        <x:f>BT468+BU468+BV468</x:f>
        <x:v>0</x:v>
      </x:c>
      <x:c r="BY468" s="141" t="n">
        <x:f>BW468</x:f>
        <x:v>5858.72150210092</x:v>
      </x:c>
      <x:c r="BZ468" s="141" t="n">
        <x:f>$C468+BY468-BX468</x:f>
        <x:v>5858.72150210092</x:v>
      </x:c>
      <x:c r="CA468" s="141" t="n">
        <x:f>CD467*(1+Premissas!$B$41)+BZ468</x:f>
        <x:v>59441291.52856538</x:v>
      </x:c>
      <x:c r="CB468" s="141" t="n">
        <x:f>MAX(0,-CA468)</x:f>
        <x:v>0</x:v>
      </x:c>
      <x:c r="CC468" s="141" t="n">
        <x:f>CC467*(1+Premissas!$B$41)+CB468</x:f>
        <x:v>0</x:v>
      </x:c>
      <x:c r="CD468" s="141" t="n">
        <x:f>MAX(0,CA468)</x:f>
        <x:v>59441291.52856538</x:v>
      </x:c>
      <x:c r="CE468" s="141" t="n">
        <x:f>IF(AND('Carta Contemplada'!$B$22="Sim",$A468&gt;='Carta Contemplada'!$B$23),INDEX('Carta Contemplada'!$I$55:$I$1013,$A468),0)</x:f>
        <x:v>0</x:v>
      </x:c>
      <x:c r="CF468" s="141" t="n">
        <x:f>IF(AND('Carta Contemplada'!$B$22="Sim",$A468&gt;='Carta Contemplada'!$B$44),$F468,0)</x:f>
        <x:v>1894151.1432884869</x:v>
      </x:c>
      <x:c r="CG468" s="141" t="n">
        <x:f>CD468+CF468-CE468</x:f>
        <x:v>61335442.67185386</x:v>
      </x:c>
      <x:c r="CH468" s="141" t="n">
        <x:f>IF(CC468&gt;1,"Inviavel",CG468)</x:f>
        <x:v>61335442.67185386</x:v>
      </x:c>
      <x:c r="CI468" s="145" t="str">
        <x:f>IF(CC468&gt;1,"Inviavel","OK")</x:f>
        <x:v>OK</x:v>
      </x:c>
    </x:row>
    <x:row r="469">
      <x:c r="A469" s="142" t="n">
        <x:v>465</x:v>
      </x:c>
      <x:c r="B469" s="179" t="n">
        <x:f>EDATE(Premissas!$B$4,A469-1)</x:f>
        <x:v>60664</x:v>
      </x:c>
      <x:c r="C469" s="141" t="n">
        <x:f>IF(A469&lt;=Premissas!$B$39,Premissas!$B$42,0)</x:f>
        <x:v>0</x:v>
      </x:c>
      <x:c r="D469" s="141" t="n">
        <x:f>Premissas!$B$54*(1+Premissas!$B$57)^INT((A469-1)/12)</x:f>
        <x:v>6407.97664292288</x:v>
      </x:c>
      <x:c r="E469" s="141" t="n">
        <x:f>Premissas!$B$64*(1+Premissas!$B$57)^INT((A469-1)/12)</x:f>
        <x:v>5858.72150210092</x:v>
      </x:c>
      <x:c r="F469" s="141" t="n">
        <x:f>MAX(0,Premissas!$B$6*(1+Premissas!$B$66)^((A469-1)/12))</x:f>
        <x:v>1903371.0197568454</x:v>
      </x:c>
      <x:c r="G469" s="141" t="n">
        <x:f>G468*(1+Premissas!$B$41)+C469</x:f>
        <x:v>65649671.470526</x:v>
      </x:c>
      <x:c r="H469" s="141" t="n">
        <x:f>IF($A469=Premissas!$B$48,Premissas!$B$8,0)</x:f>
        <x:v>0</x:v>
      </x:c>
      <x:c r="I469" s="141" t="n">
        <x:f>IF(AND($A469&gt;=Premissas!$B$48,$A469-Premissas!$B$48+1&lt;=Premissas!$B$13),INDEX(Financiamento!$J$6:$J$485,$A469-Premissas!$B$48+1),0)</x:f>
        <x:v>0</x:v>
      </x:c>
      <x:c r="J469" s="141" t="n">
        <x:f>IF(AND(TRUE,Premissas!$B$11="Imovel",Premissas!$B$47="Moradia",$A469&lt;MAX(Premissas!$B$48,Premissas!$B$49)),$D469,0)</x:f>
        <x:v>0</x:v>
      </x:c>
      <x:c r="K469" s="141" t="n">
        <x:f>IF(AND(TRUE,Premissas!$B$11="Imovel",Premissas!$B$47="Investimento",$A469&gt;=MAX(Premissas!$B$48,Premissas!$B$49)),$E469,0)</x:f>
        <x:v>5858.72150210092</x:v>
      </x:c>
      <x:c r="L469" s="141" t="n">
        <x:f>H469+I469+J469</x:f>
        <x:v>0</x:v>
      </x:c>
      <x:c r="M469" s="141" t="n">
        <x:f>K469</x:f>
        <x:v>5858.72150210092</x:v>
      </x:c>
      <x:c r="N469" s="141" t="n">
        <x:f>$C469+M469-L469</x:f>
        <x:v>5858.72150210092</x:v>
      </x:c>
      <x:c r="O469" s="141" t="n">
        <x:f>R468*(1+Premissas!$B$41)+N469</x:f>
        <x:v>57880073.11667315</x:v>
      </x:c>
      <x:c r="P469" s="141" t="n">
        <x:f>MAX(0,-O469)</x:f>
        <x:v>0</x:v>
      </x:c>
      <x:c r="Q469" s="141" t="n">
        <x:f>Q468*(1+Premissas!$B$41)+P469</x:f>
        <x:v>0</x:v>
      </x:c>
      <x:c r="R469" s="141" t="n">
        <x:f>MAX(0,O469)</x:f>
        <x:v>57880073.11667315</x:v>
      </x:c>
      <x:c r="S469" s="141" t="n">
        <x:f>IF(AND($A469&gt;=Premissas!$B$48,$A469-Premissas!$B$48+1&lt;=Premissas!$B$13),INDEX(Financiamento!$M$6:$M$485,$A469-Premissas!$B$48+1),0)</x:f>
        <x:v>0</x:v>
      </x:c>
      <x:c r="T469" s="141" t="n">
        <x:f>IF($A469&gt;=Premissas!$B$48,$F469,0)</x:f>
        <x:v>1903371.0197568454</x:v>
      </x:c>
      <x:c r="U469" s="141" t="n">
        <x:f>R469+T469-S469</x:f>
        <x:v>59783444.136429995</x:v>
      </x:c>
      <x:c r="V469" s="141" t="n">
        <x:f>IF(Q469&gt;1,"Inviavel",U469)</x:f>
        <x:v>59783444.136429995</x:v>
      </x:c>
      <x:c r="W469" s="141" t="str">
        <x:f>IF(Q469&gt;1,"Inviavel","OK")</x:f>
        <x:v>OK</x:v>
      </x:c>
      <x:c r="X469" s="141" t="n">
        <x:f>IF($A469=Premissas!$B$48,Premissas!$B$8,0)</x:f>
        <x:v>0</x:v>
      </x:c>
      <x:c r="Y469" s="141" t="n">
        <x:f>IF(AND($A469&gt;=Premissas!$B$48,$A469-Premissas!$B$48+1&lt;=Premissas!$B$13),INDEX(Amortizacao!$K$6:$K$485,$A469-Premissas!$B$48+1),0)</x:f>
        <x:v>0</x:v>
      </x:c>
      <x:c r="Z469" s="141" t="n">
        <x:f>IF(AND(TRUE,Premissas!$B$11="Imovel",Premissas!$B$47="Moradia",$A469&lt;MAX(Premissas!$B$48,Premissas!$B$49)),$D469,0)</x:f>
        <x:v>0</x:v>
      </x:c>
      <x:c r="AA469" s="141" t="n">
        <x:f>IF(AND(TRUE,Premissas!$B$11="Imovel",Premissas!$B$47="Investimento",$A469&gt;=MAX(Premissas!$B$48,Premissas!$B$49)),$E469,0)</x:f>
        <x:v>5858.72150210092</x:v>
      </x:c>
      <x:c r="AB469" s="141" t="n">
        <x:f>X469+Y469+Z469</x:f>
        <x:v>0</x:v>
      </x:c>
      <x:c r="AC469" s="141" t="n">
        <x:f>AA469</x:f>
        <x:v>5858.72150210092</x:v>
      </x:c>
      <x:c r="AD469" s="141" t="n">
        <x:f>$C469+AC469-AB469</x:f>
        <x:v>5858.72150210092</x:v>
      </x:c>
      <x:c r="AE469" s="141" t="n">
        <x:f>AH468*(1+Premissas!$B$41)+AD469</x:f>
        <x:v>58845216.61115357</x:v>
      </x:c>
      <x:c r="AF469" s="141" t="n">
        <x:f>MAX(0,-AE469)</x:f>
        <x:v>0</x:v>
      </x:c>
      <x:c r="AG469" s="141" t="n">
        <x:f>AG468*(1+Premissas!$B$41)+AF469</x:f>
        <x:v>0</x:v>
      </x:c>
      <x:c r="AH469" s="141" t="n">
        <x:f>MAX(0,AE469)</x:f>
        <x:v>58845216.61115357</x:v>
      </x:c>
      <x:c r="AI469" s="141" t="n">
        <x:f>IF(AND($A469&gt;=Premissas!$B$48,$A469-Premissas!$B$48+1&lt;=Premissas!$B$13),INDEX(Amortizacao!$L$6:$L$485,$A469-Premissas!$B$48+1),0)</x:f>
        <x:v>0</x:v>
      </x:c>
      <x:c r="AJ469" s="141" t="n">
        <x:f>IF($A469&gt;=Premissas!$B$48,$F469,0)</x:f>
        <x:v>1903371.0197568454</x:v>
      </x:c>
      <x:c r="AK469" s="141" t="n">
        <x:f>AH469+AJ469-AI469</x:f>
        <x:v>60748587.63091042</x:v>
      </x:c>
      <x:c r="AL469" s="141" t="n">
        <x:f>IF(AG469&gt;1,"Inviavel",AK469)</x:f>
        <x:v>60748587.63091042</x:v>
      </x:c>
      <x:c r="AM469" s="141" t="str">
        <x:f>IF(AG469&gt;1,"Inviavel","OK")</x:f>
        <x:v>OK</x:v>
      </x:c>
      <x:c r="AN469" s="141" t="n">
        <x:f>IF($A469=Premissas!$B$48,Premissas!$B$8,0)</x:f>
        <x:v>0</x:v>
      </x:c>
      <x:c r="AO469" s="141" t="n">
        <x:f>IF($A469&lt;=Premissas!$B$25,INDEX('Consorcio IQ'!$K$6:$K$485,$A469),0)</x:f>
        <x:v>0</x:v>
      </x:c>
      <x:c r="AP469" s="141" t="n">
        <x:f>IF(AND(TRUE,Premissas!$B$11="Imovel",Premissas!$B$47="Moradia",$A469&lt;MAX(Premissas!$B$48,Premissas!$B$49)),$D469,0)</x:f>
        <x:v>0</x:v>
      </x:c>
      <x:c r="AQ469" s="141" t="n">
        <x:f>IF(AND(TRUE,Premissas!$B$11="Imovel",Premissas!$B$47="Investimento",$A469&gt;=MAX(Premissas!$B$48,Premissas!$B$49)),$E469,0)</x:f>
        <x:v>5858.72150210092</x:v>
      </x:c>
      <x:c r="AR469" s="141" t="n">
        <x:f>AN469+AO469+AP469</x:f>
        <x:v>0</x:v>
      </x:c>
      <x:c r="AS469" s="141" t="n">
        <x:f>AQ469</x:f>
        <x:v>5858.72150210092</x:v>
      </x:c>
      <x:c r="AT469" s="141" t="n">
        <x:f>$C469+AS469-AR469</x:f>
        <x:v>5858.72150210092</x:v>
      </x:c>
      <x:c r="AU469" s="141" t="n">
        <x:f>AX468*(1+Premissas!$B$41)+AT469</x:f>
        <x:v>58382866.63614701</x:v>
      </x:c>
      <x:c r="AV469" s="141" t="n">
        <x:f>MAX(0,-AU469)</x:f>
        <x:v>0</x:v>
      </x:c>
      <x:c r="AW469" s="141" t="n">
        <x:f>AW468*(1+Premissas!$B$41)+AV469</x:f>
        <x:v>0</x:v>
      </x:c>
      <x:c r="AX469" s="141" t="n">
        <x:f>MAX(0,AU469)</x:f>
        <x:v>58382866.63614701</x:v>
      </x:c>
      <x:c r="AY469" s="141" t="n">
        <x:f>INDEX('Consorcio IQ'!$P$6:$P$485,$A469)</x:f>
        <x:v>0</x:v>
      </x:c>
      <x:c r="AZ469" s="141" t="n">
        <x:f>IF($A469&gt;=Premissas!$B$48,$F469,0)+IF($A469&lt;Premissas!$B$27,INDEX('Consorcio IQ'!$O$6:$O$485,$A469),0)</x:f>
        <x:v>1903371.0197568454</x:v>
      </x:c>
      <x:c r="BA469" s="141" t="n">
        <x:f>AX469+AZ469-AY469</x:f>
        <x:v>60286237.65590385</x:v>
      </x:c>
      <x:c r="BB469" s="141" t="n">
        <x:f>IF(AW469&gt;1,"Inviavel",BA469)</x:f>
        <x:v>60286237.65590385</x:v>
      </x:c>
      <x:c r="BC469" s="141" t="str">
        <x:f>IF(AW469&gt;1,"Inviavel","OK")</x:f>
        <x:v>OK</x:v>
      </x:c>
      <x:c r="BD469" s="141" t="n">
        <x:f>IF($A469='Consorcio Direto'!$B$29,'Consorcio Direto'!$B$44,0)</x:f>
        <x:v>0</x:v>
      </x:c>
      <x:c r="BE469" s="141" t="n">
        <x:f>IF($A469&lt;='Consorcio Direto'!$B$27,INDEX('Consorcio Direto'!$E$55:$E$534,$A469),0)</x:f>
        <x:v>0</x:v>
      </x:c>
      <x:c r="BF469" s="141" t="n">
        <x:f>IF(AND(TRUE,Premissas!$B$11="Imovel",Premissas!$B$47="Moradia",$A469&lt;MAX('Consorcio Direto'!$B$29,Premissas!$B$49)),$D469,0)</x:f>
        <x:v>0</x:v>
      </x:c>
      <x:c r="BG469" s="141" t="n">
        <x:f>IF(AND(TRUE,Premissas!$B$11="Imovel",Premissas!$B$47="Investimento",$A469&gt;=MAX('Consorcio Direto'!$B$29,Premissas!$B$49)),$E469,0)</x:f>
        <x:v>5858.72150210092</x:v>
      </x:c>
      <x:c r="BH469" s="141" t="n">
        <x:f>BD469+BE469+BF469</x:f>
        <x:v>0</x:v>
      </x:c>
      <x:c r="BI469" s="141" t="n">
        <x:f>BG469</x:f>
        <x:v>5858.72150210092</x:v>
      </x:c>
      <x:c r="BJ469" s="141" t="n">
        <x:f>$C469+BI469-BH469</x:f>
        <x:v>5858.72150210092</x:v>
      </x:c>
      <x:c r="BK469" s="141" t="n">
        <x:f>BN468*(1+Premissas!$B$41)+BJ469</x:f>
        <x:v>55884147.346112296</x:v>
      </x:c>
      <x:c r="BL469" s="141" t="n">
        <x:f>MAX(0,-BK469)</x:f>
        <x:v>0</x:v>
      </x:c>
      <x:c r="BM469" s="141" t="n">
        <x:f>BM468*(1+Premissas!$B$41)+BL469</x:f>
        <x:v>0</x:v>
      </x:c>
      <x:c r="BN469" s="141" t="n">
        <x:f>MAX(0,BK469)</x:f>
        <x:v>55884147.346112296</x:v>
      </x:c>
      <x:c r="BO469" s="141" t="n">
        <x:f>INDEX('Consorcio Direto'!$K$55:$K$534,$A469)</x:f>
        <x:v>0</x:v>
      </x:c>
      <x:c r="BP469" s="141" t="n">
        <x:f>IF($A469&lt;'Consorcio Direto'!$B$29,INDEX('Consorcio Direto'!$L$55:$L$534,$A469),$F469)</x:f>
        <x:v>1903371.0197568454</x:v>
      </x:c>
      <x:c r="BQ469" s="141" t="n">
        <x:f>BN469+BP469-BO469</x:f>
        <x:v>57787518.36586914</x:v>
      </x:c>
      <x:c r="BR469" s="141" t="n">
        <x:f>IF(BM469&gt;1,"Inviavel",BQ469)</x:f>
        <x:v>57787518.36586914</x:v>
      </x:c>
      <x:c r="BS469" s="141" t="str">
        <x:f>IF(BM469&gt;1,"Inviavel","OK")</x:f>
        <x:v>OK</x:v>
      </x:c>
      <x:c r="BT469" s="141" t="n">
        <x:f>IF(AND('Carta Contemplada'!$B$22="Sim",$A469='Carta Contemplada'!$B$23),'Carta Contemplada'!$B$37,0)</x:f>
        <x:v>0</x:v>
      </x:c>
      <x:c r="BU469" s="141" t="n">
        <x:f>IF('Carta Contemplada'!$B$22="Sim",INDEX('Carta Contemplada'!$C$55:$C$1013,$A469),0)</x:f>
        <x:v>0</x:v>
      </x:c>
      <x:c r="BV469" s="141" t="n">
        <x:f>IF(AND('Carta Contemplada'!$B$22="Sim",Premissas!$B$11="Imovel",Premissas!$B$47="Moradia",$A469&lt;MAX('Carta Contemplada'!$B$44,Premissas!$B$49)),$D469,0)</x:f>
        <x:v>0</x:v>
      </x:c>
      <x:c r="BW469" s="141" t="n">
        <x:f>IF(AND('Carta Contemplada'!$B$22="Sim",Premissas!$B$11="Imovel",Premissas!$B$47="Investimento",$A469&gt;=MAX('Carta Contemplada'!$B$44,Premissas!$B$49)),$E469,0)</x:f>
        <x:v>5858.72150210092</x:v>
      </x:c>
      <x:c r="BX469" s="141" t="n">
        <x:f>BT469+BU469+BV469</x:f>
        <x:v>0</x:v>
      </x:c>
      <x:c r="BY469" s="141" t="n">
        <x:f>BW469</x:f>
        <x:v>5858.72150210092</x:v>
      </x:c>
      <x:c r="BZ469" s="141" t="n">
        <x:f>$C469+BY469-BX469</x:f>
        <x:v>5858.72150210092</x:v>
      </x:c>
      <x:c r="CA469" s="141" t="n">
        <x:f>CD468*(1+Premissas!$B$41)+BZ469</x:f>
        <x:v>60011176.35714622</x:v>
      </x:c>
      <x:c r="CB469" s="141" t="n">
        <x:f>MAX(0,-CA469)</x:f>
        <x:v>0</x:v>
      </x:c>
      <x:c r="CC469" s="141" t="n">
        <x:f>CC468*(1+Premissas!$B$41)+CB469</x:f>
        <x:v>0</x:v>
      </x:c>
      <x:c r="CD469" s="141" t="n">
        <x:f>MAX(0,CA469)</x:f>
        <x:v>60011176.35714622</x:v>
      </x:c>
      <x:c r="CE469" s="141" t="n">
        <x:f>IF(AND('Carta Contemplada'!$B$22="Sim",$A469&gt;='Carta Contemplada'!$B$23),INDEX('Carta Contemplada'!$I$55:$I$1013,$A469),0)</x:f>
        <x:v>0</x:v>
      </x:c>
      <x:c r="CF469" s="141" t="n">
        <x:f>IF(AND('Carta Contemplada'!$B$22="Sim",$A469&gt;='Carta Contemplada'!$B$44),$F469,0)</x:f>
        <x:v>1903371.0197568454</x:v>
      </x:c>
      <x:c r="CG469" s="141" t="n">
        <x:f>CD469+CF469-CE469</x:f>
        <x:v>61914547.376903065</x:v>
      </x:c>
      <x:c r="CH469" s="141" t="n">
        <x:f>IF(CC469&gt;1,"Inviavel",CG469)</x:f>
        <x:v>61914547.376903065</x:v>
      </x:c>
      <x:c r="CI469" s="145" t="str">
        <x:f>IF(CC469&gt;1,"Inviavel","OK")</x:f>
        <x:v>OK</x:v>
      </x:c>
    </x:row>
    <x:row r="470">
      <x:c r="A470" s="142" t="n">
        <x:v>466</x:v>
      </x:c>
      <x:c r="B470" s="179" t="n">
        <x:f>EDATE(Premissas!$B$4,A470-1)</x:f>
        <x:v>60692</x:v>
      </x:c>
      <x:c r="C470" s="141" t="n">
        <x:f>IF(A470&lt;=Premissas!$B$39,Premissas!$B$42,0)</x:f>
        <x:v>0</x:v>
      </x:c>
      <x:c r="D470" s="141" t="n">
        <x:f>Premissas!$B$54*(1+Premissas!$B$57)^INT((A470-1)/12)</x:f>
        <x:v>6407.97664292288</x:v>
      </x:c>
      <x:c r="E470" s="141" t="n">
        <x:f>Premissas!$B$64*(1+Premissas!$B$57)^INT((A470-1)/12)</x:f>
        <x:v>5858.72150210092</x:v>
      </x:c>
      <x:c r="F470" s="141" t="n">
        <x:f>MAX(0,Premissas!$B$6*(1+Premissas!$B$66)^((A470-1)/12))</x:f>
        <x:v>1912635.7744401207</x:v>
      </x:c>
      <x:c r="G470" s="141" t="n">
        <x:f>G469*(1+Premissas!$B$41)+C470</x:f>
        <x:v>66272607.609333225</x:v>
      </x:c>
      <x:c r="H470" s="141" t="n">
        <x:f>IF($A470=Premissas!$B$48,Premissas!$B$8,0)</x:f>
        <x:v>0</x:v>
      </x:c>
      <x:c r="I470" s="141" t="n">
        <x:f>IF(AND($A470&gt;=Premissas!$B$48,$A470-Premissas!$B$48+1&lt;=Premissas!$B$13),INDEX(Financiamento!$J$6:$J$485,$A470-Premissas!$B$48+1),0)</x:f>
        <x:v>0</x:v>
      </x:c>
      <x:c r="J470" s="141" t="n">
        <x:f>IF(AND(TRUE,Premissas!$B$11="Imovel",Premissas!$B$47="Moradia",$A470&lt;MAX(Premissas!$B$48,Premissas!$B$49)),$D470,0)</x:f>
        <x:v>0</x:v>
      </x:c>
      <x:c r="K470" s="141" t="n">
        <x:f>IF(AND(TRUE,Premissas!$B$11="Imovel",Premissas!$B$47="Investimento",$A470&gt;=MAX(Premissas!$B$48,Premissas!$B$49)),$E470,0)</x:f>
        <x:v>5858.72150210092</x:v>
      </x:c>
      <x:c r="L470" s="141" t="n">
        <x:f>H470+I470+J470</x:f>
        <x:v>0</x:v>
      </x:c>
      <x:c r="M470" s="141" t="n">
        <x:f>K470</x:f>
        <x:v>5858.72150210092</x:v>
      </x:c>
      <x:c r="N470" s="141" t="n">
        <x:f>$C470+M470-L470</x:f>
        <x:v>5858.72150210092</x:v>
      </x:c>
      <x:c r="O470" s="141" t="n">
        <x:f>R469*(1+Premissas!$B$41)+N470</x:f>
        <x:v>58435143.86701789</x:v>
      </x:c>
      <x:c r="P470" s="141" t="n">
        <x:f>MAX(0,-O470)</x:f>
        <x:v>0</x:v>
      </x:c>
      <x:c r="Q470" s="141" t="n">
        <x:f>Q469*(1+Premissas!$B$41)+P470</x:f>
        <x:v>0</x:v>
      </x:c>
      <x:c r="R470" s="141" t="n">
        <x:f>MAX(0,O470)</x:f>
        <x:v>58435143.86701789</x:v>
      </x:c>
      <x:c r="S470" s="141" t="n">
        <x:f>IF(AND($A470&gt;=Premissas!$B$48,$A470-Premissas!$B$48+1&lt;=Premissas!$B$13),INDEX(Financiamento!$M$6:$M$485,$A470-Premissas!$B$48+1),0)</x:f>
        <x:v>0</x:v>
      </x:c>
      <x:c r="T470" s="141" t="n">
        <x:f>IF($A470&gt;=Premissas!$B$48,$F470,0)</x:f>
        <x:v>1912635.7744401207</x:v>
      </x:c>
      <x:c r="U470" s="141" t="n">
        <x:f>R470+T470-S470</x:f>
        <x:v>60347779.641458005</x:v>
      </x:c>
      <x:c r="V470" s="141" t="n">
        <x:f>IF(Q470&gt;1,"Inviavel",U470)</x:f>
        <x:v>60347779.641458005</x:v>
      </x:c>
      <x:c r="W470" s="141" t="str">
        <x:f>IF(Q470&gt;1,"Inviavel","OK")</x:f>
        <x:v>OK</x:v>
      </x:c>
      <x:c r="X470" s="141" t="n">
        <x:f>IF($A470=Premissas!$B$48,Premissas!$B$8,0)</x:f>
        <x:v>0</x:v>
      </x:c>
      <x:c r="Y470" s="141" t="n">
        <x:f>IF(AND($A470&gt;=Premissas!$B$48,$A470-Premissas!$B$48+1&lt;=Premissas!$B$13),INDEX(Amortizacao!$K$6:$K$485,$A470-Premissas!$B$48+1),0)</x:f>
        <x:v>0</x:v>
      </x:c>
      <x:c r="Z470" s="141" t="n">
        <x:f>IF(AND(TRUE,Premissas!$B$11="Imovel",Premissas!$B$47="Moradia",$A470&lt;MAX(Premissas!$B$48,Premissas!$B$49)),$D470,0)</x:f>
        <x:v>0</x:v>
      </x:c>
      <x:c r="AA470" s="141" t="n">
        <x:f>IF(AND(TRUE,Premissas!$B$11="Imovel",Premissas!$B$47="Investimento",$A470&gt;=MAX(Premissas!$B$48,Premissas!$B$49)),$E470,0)</x:f>
        <x:v>5858.72150210092</x:v>
      </x:c>
      <x:c r="AB470" s="141" t="n">
        <x:f>X470+Y470+Z470</x:f>
        <x:v>0</x:v>
      </x:c>
      <x:c r="AC470" s="141" t="n">
        <x:f>AA470</x:f>
        <x:v>5858.72150210092</x:v>
      </x:c>
      <x:c r="AD470" s="141" t="n">
        <x:f>$C470+AC470-AB470</x:f>
        <x:v>5858.72150210092</x:v>
      </x:c>
      <x:c r="AE470" s="141" t="n">
        <x:f>AH469*(1+Premissas!$B$41)+AD470</x:f>
        <x:v>59409445.4082696</x:v>
      </x:c>
      <x:c r="AF470" s="141" t="n">
        <x:f>MAX(0,-AE470)</x:f>
        <x:v>0</x:v>
      </x:c>
      <x:c r="AG470" s="141" t="n">
        <x:f>AG469*(1+Premissas!$B$41)+AF470</x:f>
        <x:v>0</x:v>
      </x:c>
      <x:c r="AH470" s="141" t="n">
        <x:f>MAX(0,AE470)</x:f>
        <x:v>59409445.4082696</x:v>
      </x:c>
      <x:c r="AI470" s="141" t="n">
        <x:f>IF(AND($A470&gt;=Premissas!$B$48,$A470-Premissas!$B$48+1&lt;=Premissas!$B$13),INDEX(Amortizacao!$L$6:$L$485,$A470-Premissas!$B$48+1),0)</x:f>
        <x:v>0</x:v>
      </x:c>
      <x:c r="AJ470" s="141" t="n">
        <x:f>IF($A470&gt;=Premissas!$B$48,$F470,0)</x:f>
        <x:v>1912635.7744401207</x:v>
      </x:c>
      <x:c r="AK470" s="141" t="n">
        <x:f>AH470+AJ470-AI470</x:f>
        <x:v>61322081.182709716</x:v>
      </x:c>
      <x:c r="AL470" s="141" t="n">
        <x:f>IF(AG470&gt;1,"Inviavel",AK470)</x:f>
        <x:v>61322081.182709716</x:v>
      </x:c>
      <x:c r="AM470" s="141" t="str">
        <x:f>IF(AG470&gt;1,"Inviavel","OK")</x:f>
        <x:v>OK</x:v>
      </x:c>
      <x:c r="AN470" s="141" t="n">
        <x:f>IF($A470=Premissas!$B$48,Premissas!$B$8,0)</x:f>
        <x:v>0</x:v>
      </x:c>
      <x:c r="AO470" s="141" t="n">
        <x:f>IF($A470&lt;=Premissas!$B$25,INDEX('Consorcio IQ'!$K$6:$K$485,$A470),0)</x:f>
        <x:v>0</x:v>
      </x:c>
      <x:c r="AP470" s="141" t="n">
        <x:f>IF(AND(TRUE,Premissas!$B$11="Imovel",Premissas!$B$47="Moradia",$A470&lt;MAX(Premissas!$B$48,Premissas!$B$49)),$D470,0)</x:f>
        <x:v>0</x:v>
      </x:c>
      <x:c r="AQ470" s="141" t="n">
        <x:f>IF(AND(TRUE,Premissas!$B$11="Imovel",Premissas!$B$47="Investimento",$A470&gt;=MAX(Premissas!$B$48,Premissas!$B$49)),$E470,0)</x:f>
        <x:v>5858.72150210092</x:v>
      </x:c>
      <x:c r="AR470" s="141" t="n">
        <x:f>AN470+AO470+AP470</x:f>
        <x:v>0</x:v>
      </x:c>
      <x:c r="AS470" s="141" t="n">
        <x:f>AQ470</x:f>
        <x:v>5858.72150210092</x:v>
      </x:c>
      <x:c r="AT470" s="141" t="n">
        <x:f>$C470+AS470-AR470</x:f>
        <x:v>5858.72150210092</x:v>
      </x:c>
      <x:c r="AU470" s="141" t="n">
        <x:f>AX469*(1+Premissas!$B$41)+AT470</x:f>
        <x:v>58942708.29008689</x:v>
      </x:c>
      <x:c r="AV470" s="141" t="n">
        <x:f>MAX(0,-AU470)</x:f>
        <x:v>0</x:v>
      </x:c>
      <x:c r="AW470" s="141" t="n">
        <x:f>AW469*(1+Premissas!$B$41)+AV470</x:f>
        <x:v>0</x:v>
      </x:c>
      <x:c r="AX470" s="141" t="n">
        <x:f>MAX(0,AU470)</x:f>
        <x:v>58942708.29008689</x:v>
      </x:c>
      <x:c r="AY470" s="141" t="n">
        <x:f>INDEX('Consorcio IQ'!$P$6:$P$485,$A470)</x:f>
        <x:v>0</x:v>
      </x:c>
      <x:c r="AZ470" s="141" t="n">
        <x:f>IF($A470&gt;=Premissas!$B$48,$F470,0)+IF($A470&lt;Premissas!$B$27,INDEX('Consorcio IQ'!$O$6:$O$485,$A470),0)</x:f>
        <x:v>1912635.7744401207</x:v>
      </x:c>
      <x:c r="BA470" s="141" t="n">
        <x:f>AX470+AZ470-AY470</x:f>
        <x:v>60855344.064527005</x:v>
      </x:c>
      <x:c r="BB470" s="141" t="n">
        <x:f>IF(AW470&gt;1,"Inviavel",BA470)</x:f>
        <x:v>60855344.064527005</x:v>
      </x:c>
      <x:c r="BC470" s="141" t="str">
        <x:f>IF(AW470&gt;1,"Inviavel","OK")</x:f>
        <x:v>OK</x:v>
      </x:c>
      <x:c r="BD470" s="141" t="n">
        <x:f>IF($A470='Consorcio Direto'!$B$29,'Consorcio Direto'!$B$44,0)</x:f>
        <x:v>0</x:v>
      </x:c>
      <x:c r="BE470" s="141" t="n">
        <x:f>IF($A470&lt;='Consorcio Direto'!$B$27,INDEX('Consorcio Direto'!$E$55:$E$534,$A470),0)</x:f>
        <x:v>0</x:v>
      </x:c>
      <x:c r="BF470" s="141" t="n">
        <x:f>IF(AND(TRUE,Premissas!$B$11="Imovel",Premissas!$B$47="Moradia",$A470&lt;MAX('Consorcio Direto'!$B$29,Premissas!$B$49)),$D470,0)</x:f>
        <x:v>0</x:v>
      </x:c>
      <x:c r="BG470" s="141" t="n">
        <x:f>IF(AND(TRUE,Premissas!$B$11="Imovel",Premissas!$B$47="Investimento",$A470&gt;=MAX('Consorcio Direto'!$B$29,Premissas!$B$49)),$E470,0)</x:f>
        <x:v>5858.72150210092</x:v>
      </x:c>
      <x:c r="BH470" s="141" t="n">
        <x:f>BD470+BE470+BF470</x:f>
        <x:v>0</x:v>
      </x:c>
      <x:c r="BI470" s="141" t="n">
        <x:f>BG470</x:f>
        <x:v>5858.72150210092</x:v>
      </x:c>
      <x:c r="BJ470" s="141" t="n">
        <x:f>$C470+BI470-BH470</x:f>
        <x:v>5858.72150210092</x:v>
      </x:c>
      <x:c r="BK470" s="141" t="n">
        <x:f>BN469*(1+Premissas!$B$41)+BJ470</x:f>
        <x:v>56420279.17010739</x:v>
      </x:c>
      <x:c r="BL470" s="141" t="n">
        <x:f>MAX(0,-BK470)</x:f>
        <x:v>0</x:v>
      </x:c>
      <x:c r="BM470" s="141" t="n">
        <x:f>BM469*(1+Premissas!$B$41)+BL470</x:f>
        <x:v>0</x:v>
      </x:c>
      <x:c r="BN470" s="141" t="n">
        <x:f>MAX(0,BK470)</x:f>
        <x:v>56420279.17010739</x:v>
      </x:c>
      <x:c r="BO470" s="141" t="n">
        <x:f>INDEX('Consorcio Direto'!$K$55:$K$534,$A470)</x:f>
        <x:v>0</x:v>
      </x:c>
      <x:c r="BP470" s="141" t="n">
        <x:f>IF($A470&lt;'Consorcio Direto'!$B$29,INDEX('Consorcio Direto'!$L$55:$L$534,$A470),$F470)</x:f>
        <x:v>1912635.7744401207</x:v>
      </x:c>
      <x:c r="BQ470" s="141" t="n">
        <x:f>BN470+BP470-BO470</x:f>
        <x:v>58332914.944547504</x:v>
      </x:c>
      <x:c r="BR470" s="141" t="n">
        <x:f>IF(BM470&gt;1,"Inviavel",BQ470)</x:f>
        <x:v>58332914.944547504</x:v>
      </x:c>
      <x:c r="BS470" s="141" t="str">
        <x:f>IF(BM470&gt;1,"Inviavel","OK")</x:f>
        <x:v>OK</x:v>
      </x:c>
      <x:c r="BT470" s="141" t="n">
        <x:f>IF(AND('Carta Contemplada'!$B$22="Sim",$A470='Carta Contemplada'!$B$23),'Carta Contemplada'!$B$37,0)</x:f>
        <x:v>0</x:v>
      </x:c>
      <x:c r="BU470" s="141" t="n">
        <x:f>IF('Carta Contemplada'!$B$22="Sim",INDEX('Carta Contemplada'!$C$55:$C$1013,$A470),0)</x:f>
        <x:v>0</x:v>
      </x:c>
      <x:c r="BV470" s="141" t="n">
        <x:f>IF(AND('Carta Contemplada'!$B$22="Sim",Premissas!$B$11="Imovel",Premissas!$B$47="Moradia",$A470&lt;MAX('Carta Contemplada'!$B$44,Premissas!$B$49)),$D470,0)</x:f>
        <x:v>0</x:v>
      </x:c>
      <x:c r="BW470" s="141" t="n">
        <x:f>IF(AND('Carta Contemplada'!$B$22="Sim",Premissas!$B$11="Imovel",Premissas!$B$47="Investimento",$A470&gt;=MAX('Carta Contemplada'!$B$44,Premissas!$B$49)),$E470,0)</x:f>
        <x:v>5858.72150210092</x:v>
      </x:c>
      <x:c r="BX470" s="141" t="n">
        <x:f>BT470+BU470+BV470</x:f>
        <x:v>0</x:v>
      </x:c>
      <x:c r="BY470" s="141" t="n">
        <x:f>BW470</x:f>
        <x:v>5858.72150210092</x:v>
      </x:c>
      <x:c r="BZ470" s="141" t="n">
        <x:f>$C470+BY470-BX470</x:f>
        <x:v>5858.72150210092</x:v>
      </x:c>
      <x:c r="CA470" s="141" t="n">
        <x:f>CD469*(1+Premissas!$B$41)+BZ470</x:f>
        <x:v>60586468.70486203</x:v>
      </x:c>
      <x:c r="CB470" s="141" t="n">
        <x:f>MAX(0,-CA470)</x:f>
        <x:v>0</x:v>
      </x:c>
      <x:c r="CC470" s="141" t="n">
        <x:f>CC469*(1+Premissas!$B$41)+CB470</x:f>
        <x:v>0</x:v>
      </x:c>
      <x:c r="CD470" s="141" t="n">
        <x:f>MAX(0,CA470)</x:f>
        <x:v>60586468.70486203</x:v>
      </x:c>
      <x:c r="CE470" s="141" t="n">
        <x:f>IF(AND('Carta Contemplada'!$B$22="Sim",$A470&gt;='Carta Contemplada'!$B$23),INDEX('Carta Contemplada'!$I$55:$I$1013,$A470),0)</x:f>
        <x:v>0</x:v>
      </x:c>
      <x:c r="CF470" s="141" t="n">
        <x:f>IF(AND('Carta Contemplada'!$B$22="Sim",$A470&gt;='Carta Contemplada'!$B$44),$F470,0)</x:f>
        <x:v>1912635.7744401207</x:v>
      </x:c>
      <x:c r="CG470" s="141" t="n">
        <x:f>CD470+CF470-CE470</x:f>
        <x:v>62499104.479302146</x:v>
      </x:c>
      <x:c r="CH470" s="141" t="n">
        <x:f>IF(CC470&gt;1,"Inviavel",CG470)</x:f>
        <x:v>62499104.479302146</x:v>
      </x:c>
      <x:c r="CI470" s="145" t="str">
        <x:f>IF(CC470&gt;1,"Inviavel","OK")</x:f>
        <x:v>OK</x:v>
      </x:c>
    </x:row>
    <x:row r="471">
      <x:c r="A471" s="142" t="n">
        <x:v>467</x:v>
      </x:c>
      <x:c r="B471" s="179" t="n">
        <x:f>EDATE(Premissas!$B$4,A471-1)</x:f>
        <x:v>60723</x:v>
      </x:c>
      <x:c r="C471" s="141" t="n">
        <x:f>IF(A471&lt;=Premissas!$B$39,Premissas!$B$42,0)</x:f>
        <x:v>0</x:v>
      </x:c>
      <x:c r="D471" s="141" t="n">
        <x:f>Premissas!$B$54*(1+Premissas!$B$57)^INT((A471-1)/12)</x:f>
        <x:v>6407.97664292288</x:v>
      </x:c>
      <x:c r="E471" s="141" t="n">
        <x:f>Premissas!$B$64*(1+Premissas!$B$57)^INT((A471-1)/12)</x:f>
        <x:v>5858.72150210092</x:v>
      </x:c>
      <x:c r="F471" s="141" t="n">
        <x:f>MAX(0,Premissas!$B$6*(1+Premissas!$B$66)^((A471-1)/12))</x:f>
        <x:v>1921945.6257852921</x:v>
      </x:c>
      <x:c r="G471" s="141" t="n">
        <x:f>G470*(1+Premissas!$B$41)+C471</x:f>
        <x:v>66901454.66017306</x:v>
      </x:c>
      <x:c r="H471" s="141" t="n">
        <x:f>IF($A471=Premissas!$B$48,Premissas!$B$8,0)</x:f>
        <x:v>0</x:v>
      </x:c>
      <x:c r="I471" s="141" t="n">
        <x:f>IF(AND($A471&gt;=Premissas!$B$48,$A471-Premissas!$B$48+1&lt;=Premissas!$B$13),INDEX(Financiamento!$J$6:$J$485,$A471-Premissas!$B$48+1),0)</x:f>
        <x:v>0</x:v>
      </x:c>
      <x:c r="J471" s="141" t="n">
        <x:f>IF(AND(TRUE,Premissas!$B$11="Imovel",Premissas!$B$47="Moradia",$A471&lt;MAX(Premissas!$B$48,Premissas!$B$49)),$D471,0)</x:f>
        <x:v>0</x:v>
      </x:c>
      <x:c r="K471" s="141" t="n">
        <x:f>IF(AND(TRUE,Premissas!$B$11="Imovel",Premissas!$B$47="Investimento",$A471&gt;=MAX(Premissas!$B$48,Premissas!$B$49)),$E471,0)</x:f>
        <x:v>5858.72150210092</x:v>
      </x:c>
      <x:c r="L471" s="141" t="n">
        <x:f>H471+I471+J471</x:f>
        <x:v>0</x:v>
      </x:c>
      <x:c r="M471" s="141" t="n">
        <x:f>K471</x:f>
        <x:v>5858.72150210092</x:v>
      </x:c>
      <x:c r="N471" s="141" t="n">
        <x:f>$C471+M471-L471</x:f>
        <x:v>5858.72150210092</x:v>
      </x:c>
      <x:c r="O471" s="141" t="n">
        <x:f>R470*(1+Premissas!$B$41)+N471</x:f>
        <x:v>58995481.5687767</x:v>
      </x:c>
      <x:c r="P471" s="141" t="n">
        <x:f>MAX(0,-O471)</x:f>
        <x:v>0</x:v>
      </x:c>
      <x:c r="Q471" s="141" t="n">
        <x:f>Q470*(1+Premissas!$B$41)+P471</x:f>
        <x:v>0</x:v>
      </x:c>
      <x:c r="R471" s="141" t="n">
        <x:f>MAX(0,O471)</x:f>
        <x:v>58995481.5687767</x:v>
      </x:c>
      <x:c r="S471" s="141" t="n">
        <x:f>IF(AND($A471&gt;=Premissas!$B$48,$A471-Premissas!$B$48+1&lt;=Premissas!$B$13),INDEX(Financiamento!$M$6:$M$485,$A471-Premissas!$B$48+1),0)</x:f>
        <x:v>0</x:v>
      </x:c>
      <x:c r="T471" s="141" t="n">
        <x:f>IF($A471&gt;=Premissas!$B$48,$F471,0)</x:f>
        <x:v>1921945.6257852921</x:v>
      </x:c>
      <x:c r="U471" s="141" t="n">
        <x:f>R471+T471-S471</x:f>
        <x:v>60917427.19456199</x:v>
      </x:c>
      <x:c r="V471" s="141" t="n">
        <x:f>IF(Q471&gt;1,"Inviavel",U471)</x:f>
        <x:v>60917427.19456199</x:v>
      </x:c>
      <x:c r="W471" s="141" t="str">
        <x:f>IF(Q471&gt;1,"Inviavel","OK")</x:f>
        <x:v>OK</x:v>
      </x:c>
      <x:c r="X471" s="141" t="n">
        <x:f>IF($A471=Premissas!$B$48,Premissas!$B$8,0)</x:f>
        <x:v>0</x:v>
      </x:c>
      <x:c r="Y471" s="141" t="n">
        <x:f>IF(AND($A471&gt;=Premissas!$B$48,$A471-Premissas!$B$48+1&lt;=Premissas!$B$13),INDEX(Amortizacao!$K$6:$K$485,$A471-Premissas!$B$48+1),0)</x:f>
        <x:v>0</x:v>
      </x:c>
      <x:c r="Z471" s="141" t="n">
        <x:f>IF(AND(TRUE,Premissas!$B$11="Imovel",Premissas!$B$47="Moradia",$A471&lt;MAX(Premissas!$B$48,Premissas!$B$49)),$D471,0)</x:f>
        <x:v>0</x:v>
      </x:c>
      <x:c r="AA471" s="141" t="n">
        <x:f>IF(AND(TRUE,Premissas!$B$11="Imovel",Premissas!$B$47="Investimento",$A471&gt;=MAX(Premissas!$B$48,Premissas!$B$49)),$E471,0)</x:f>
        <x:v>5858.72150210092</x:v>
      </x:c>
      <x:c r="AB471" s="141" t="n">
        <x:f>X471+Y471+Z471</x:f>
        <x:v>0</x:v>
      </x:c>
      <x:c r="AC471" s="141" t="n">
        <x:f>AA471</x:f>
        <x:v>5858.72150210092</x:v>
      </x:c>
      <x:c r="AD471" s="141" t="n">
        <x:f>$C471+AC471-AB471</x:f>
        <x:v>5858.72150210092</x:v>
      </x:c>
      <x:c r="AE471" s="141" t="n">
        <x:f>AH470*(1+Premissas!$B$41)+AD471</x:f>
        <x:v>59979028.05560919</x:v>
      </x:c>
      <x:c r="AF471" s="141" t="n">
        <x:f>MAX(0,-AE471)</x:f>
        <x:v>0</x:v>
      </x:c>
      <x:c r="AG471" s="141" t="n">
        <x:f>AG470*(1+Premissas!$B$41)+AF471</x:f>
        <x:v>0</x:v>
      </x:c>
      <x:c r="AH471" s="141" t="n">
        <x:f>MAX(0,AE471)</x:f>
        <x:v>59979028.05560919</x:v>
      </x:c>
      <x:c r="AI471" s="141" t="n">
        <x:f>IF(AND($A471&gt;=Premissas!$B$48,$A471-Premissas!$B$48+1&lt;=Premissas!$B$13),INDEX(Amortizacao!$L$6:$L$485,$A471-Premissas!$B$48+1),0)</x:f>
        <x:v>0</x:v>
      </x:c>
      <x:c r="AJ471" s="141" t="n">
        <x:f>IF($A471&gt;=Premissas!$B$48,$F471,0)</x:f>
        <x:v>1921945.6257852921</x:v>
      </x:c>
      <x:c r="AK471" s="141" t="n">
        <x:f>AH471+AJ471-AI471</x:f>
        <x:v>61900973.68139448</x:v>
      </x:c>
      <x:c r="AL471" s="141" t="n">
        <x:f>IF(AG471&gt;1,"Inviavel",AK471)</x:f>
        <x:v>61900973.68139448</x:v>
      </x:c>
      <x:c r="AM471" s="141" t="str">
        <x:f>IF(AG471&gt;1,"Inviavel","OK")</x:f>
        <x:v>OK</x:v>
      </x:c>
      <x:c r="AN471" s="141" t="n">
        <x:f>IF($A471=Premissas!$B$48,Premissas!$B$8,0)</x:f>
        <x:v>0</x:v>
      </x:c>
      <x:c r="AO471" s="141" t="n">
        <x:f>IF($A471&lt;=Premissas!$B$25,INDEX('Consorcio IQ'!$K$6:$K$485,$A471),0)</x:f>
        <x:v>0</x:v>
      </x:c>
      <x:c r="AP471" s="141" t="n">
        <x:f>IF(AND(TRUE,Premissas!$B$11="Imovel",Premissas!$B$47="Moradia",$A471&lt;MAX(Premissas!$B$48,Premissas!$B$49)),$D471,0)</x:f>
        <x:v>0</x:v>
      </x:c>
      <x:c r="AQ471" s="141" t="n">
        <x:f>IF(AND(TRUE,Premissas!$B$11="Imovel",Premissas!$B$47="Investimento",$A471&gt;=MAX(Premissas!$B$48,Premissas!$B$49)),$E471,0)</x:f>
        <x:v>5858.72150210092</x:v>
      </x:c>
      <x:c r="AR471" s="141" t="n">
        <x:f>AN471+AO471+AP471</x:f>
        <x:v>0</x:v>
      </x:c>
      <x:c r="AS471" s="141" t="n">
        <x:f>AQ471</x:f>
        <x:v>5858.72150210092</x:v>
      </x:c>
      <x:c r="AT471" s="141" t="n">
        <x:f>$C471+AS471-AR471</x:f>
        <x:v>5858.72150210092</x:v>
      </x:c>
      <x:c r="AU471" s="141" t="n">
        <x:f>AX470*(1+Premissas!$B$41)+AT471</x:f>
        <x:v>59507862.16555715</x:v>
      </x:c>
      <x:c r="AV471" s="141" t="n">
        <x:f>MAX(0,-AU471)</x:f>
        <x:v>0</x:v>
      </x:c>
      <x:c r="AW471" s="141" t="n">
        <x:f>AW470*(1+Premissas!$B$41)+AV471</x:f>
        <x:v>0</x:v>
      </x:c>
      <x:c r="AX471" s="141" t="n">
        <x:f>MAX(0,AU471)</x:f>
        <x:v>59507862.16555715</x:v>
      </x:c>
      <x:c r="AY471" s="141" t="n">
        <x:f>INDEX('Consorcio IQ'!$P$6:$P$485,$A471)</x:f>
        <x:v>0</x:v>
      </x:c>
      <x:c r="AZ471" s="141" t="n">
        <x:f>IF($A471&gt;=Premissas!$B$48,$F471,0)+IF($A471&lt;Premissas!$B$27,INDEX('Consorcio IQ'!$O$6:$O$485,$A471),0)</x:f>
        <x:v>1921945.6257852921</x:v>
      </x:c>
      <x:c r="BA471" s="141" t="n">
        <x:f>AX471+AZ471-AY471</x:f>
        <x:v>61429807.791342445</x:v>
      </x:c>
      <x:c r="BB471" s="141" t="n">
        <x:f>IF(AW471&gt;1,"Inviavel",BA471)</x:f>
        <x:v>61429807.791342445</x:v>
      </x:c>
      <x:c r="BC471" s="141" t="str">
        <x:f>IF(AW471&gt;1,"Inviavel","OK")</x:f>
        <x:v>OK</x:v>
      </x:c>
      <x:c r="BD471" s="141" t="n">
        <x:f>IF($A471='Consorcio Direto'!$B$29,'Consorcio Direto'!$B$44,0)</x:f>
        <x:v>0</x:v>
      </x:c>
      <x:c r="BE471" s="141" t="n">
        <x:f>IF($A471&lt;='Consorcio Direto'!$B$27,INDEX('Consorcio Direto'!$E$55:$E$534,$A471),0)</x:f>
        <x:v>0</x:v>
      </x:c>
      <x:c r="BF471" s="141" t="n">
        <x:f>IF(AND(TRUE,Premissas!$B$11="Imovel",Premissas!$B$47="Moradia",$A471&lt;MAX('Consorcio Direto'!$B$29,Premissas!$B$49)),$D471,0)</x:f>
        <x:v>0</x:v>
      </x:c>
      <x:c r="BG471" s="141" t="n">
        <x:f>IF(AND(TRUE,Premissas!$B$11="Imovel",Premissas!$B$47="Investimento",$A471&gt;=MAX('Consorcio Direto'!$B$29,Premissas!$B$49)),$E471,0)</x:f>
        <x:v>5858.72150210092</x:v>
      </x:c>
      <x:c r="BH471" s="141" t="n">
        <x:f>BD471+BE471+BF471</x:f>
        <x:v>0</x:v>
      </x:c>
      <x:c r="BI471" s="141" t="n">
        <x:f>BG471</x:f>
        <x:v>5858.72150210092</x:v>
      </x:c>
      <x:c r="BJ471" s="141" t="n">
        <x:f>$C471+BI471-BH471</x:f>
        <x:v>5858.72150210092</x:v>
      </x:c>
      <x:c r="BK471" s="141" t="n">
        <x:f>BN470*(1+Premissas!$B$41)+BJ471</x:f>
        <x:v>56961498.23796601</x:v>
      </x:c>
      <x:c r="BL471" s="141" t="n">
        <x:f>MAX(0,-BK471)</x:f>
        <x:v>0</x:v>
      </x:c>
      <x:c r="BM471" s="141" t="n">
        <x:f>BM470*(1+Premissas!$B$41)+BL471</x:f>
        <x:v>0</x:v>
      </x:c>
      <x:c r="BN471" s="141" t="n">
        <x:f>MAX(0,BK471)</x:f>
        <x:v>56961498.23796601</x:v>
      </x:c>
      <x:c r="BO471" s="141" t="n">
        <x:f>INDEX('Consorcio Direto'!$K$55:$K$534,$A471)</x:f>
        <x:v>0</x:v>
      </x:c>
      <x:c r="BP471" s="141" t="n">
        <x:f>IF($A471&lt;'Consorcio Direto'!$B$29,INDEX('Consorcio Direto'!$L$55:$L$534,$A471),$F471)</x:f>
        <x:v>1921945.6257852921</x:v>
      </x:c>
      <x:c r="BQ471" s="141" t="n">
        <x:f>BN471+BP471-BO471</x:f>
        <x:v>58883443.8637513</x:v>
      </x:c>
      <x:c r="BR471" s="141" t="n">
        <x:f>IF(BM471&gt;1,"Inviavel",BQ471)</x:f>
        <x:v>58883443.8637513</x:v>
      </x:c>
      <x:c r="BS471" s="141" t="str">
        <x:f>IF(BM471&gt;1,"Inviavel","OK")</x:f>
        <x:v>OK</x:v>
      </x:c>
      <x:c r="BT471" s="141" t="n">
        <x:f>IF(AND('Carta Contemplada'!$B$22="Sim",$A471='Carta Contemplada'!$B$23),'Carta Contemplada'!$B$37,0)</x:f>
        <x:v>0</x:v>
      </x:c>
      <x:c r="BU471" s="141" t="n">
        <x:f>IF('Carta Contemplada'!$B$22="Sim",INDEX('Carta Contemplada'!$C$55:$C$1013,$A471),0)</x:f>
        <x:v>0</x:v>
      </x:c>
      <x:c r="BV471" s="141" t="n">
        <x:f>IF(AND('Carta Contemplada'!$B$22="Sim",Premissas!$B$11="Imovel",Premissas!$B$47="Moradia",$A471&lt;MAX('Carta Contemplada'!$B$44,Premissas!$B$49)),$D471,0)</x:f>
        <x:v>0</x:v>
      </x:c>
      <x:c r="BW471" s="141" t="n">
        <x:f>IF(AND('Carta Contemplada'!$B$22="Sim",Premissas!$B$11="Imovel",Premissas!$B$47="Investimento",$A471&gt;=MAX('Carta Contemplada'!$B$44,Premissas!$B$49)),$E471,0)</x:f>
        <x:v>5858.72150210092</x:v>
      </x:c>
      <x:c r="BX471" s="141" t="n">
        <x:f>BT471+BU471+BV471</x:f>
        <x:v>0</x:v>
      </x:c>
      <x:c r="BY471" s="141" t="n">
        <x:f>BW471</x:f>
        <x:v>5858.72150210092</x:v>
      </x:c>
      <x:c r="BZ471" s="141" t="n">
        <x:f>$C471+BY471-BX471</x:f>
        <x:v>5858.72150210092</x:v>
      </x:c>
      <x:c r="CA471" s="141" t="n">
        <x:f>CD470*(1+Premissas!$B$41)+BZ471</x:f>
        <x:v>61167219.88254216</x:v>
      </x:c>
      <x:c r="CB471" s="141" t="n">
        <x:f>MAX(0,-CA471)</x:f>
        <x:v>0</x:v>
      </x:c>
      <x:c r="CC471" s="141" t="n">
        <x:f>CC470*(1+Premissas!$B$41)+CB471</x:f>
        <x:v>0</x:v>
      </x:c>
      <x:c r="CD471" s="141" t="n">
        <x:f>MAX(0,CA471)</x:f>
        <x:v>61167219.88254216</x:v>
      </x:c>
      <x:c r="CE471" s="141" t="n">
        <x:f>IF(AND('Carta Contemplada'!$B$22="Sim",$A471&gt;='Carta Contemplada'!$B$23),INDEX('Carta Contemplada'!$I$55:$I$1013,$A471),0)</x:f>
        <x:v>0</x:v>
      </x:c>
      <x:c r="CF471" s="141" t="n">
        <x:f>IF(AND('Carta Contemplada'!$B$22="Sim",$A471&gt;='Carta Contemplada'!$B$44),$F471,0)</x:f>
        <x:v>1921945.6257852921</x:v>
      </x:c>
      <x:c r="CG471" s="141" t="n">
        <x:f>CD471+CF471-CE471</x:f>
        <x:v>63089165.508327454</x:v>
      </x:c>
      <x:c r="CH471" s="141" t="n">
        <x:f>IF(CC471&gt;1,"Inviavel",CG471)</x:f>
        <x:v>63089165.508327454</x:v>
      </x:c>
      <x:c r="CI471" s="145" t="str">
        <x:f>IF(CC471&gt;1,"Inviavel","OK")</x:f>
        <x:v>OK</x:v>
      </x:c>
    </x:row>
    <x:row r="472">
      <x:c r="A472" s="142" t="n">
        <x:v>468</x:v>
      </x:c>
      <x:c r="B472" s="179" t="n">
        <x:f>EDATE(Premissas!$B$4,A472-1)</x:f>
        <x:v>60753</x:v>
      </x:c>
      <x:c r="C472" s="141" t="n">
        <x:f>IF(A472&lt;=Premissas!$B$39,Premissas!$B$42,0)</x:f>
        <x:v>0</x:v>
      </x:c>
      <x:c r="D472" s="141" t="n">
        <x:f>Premissas!$B$54*(1+Premissas!$B$57)^INT((A472-1)/12)</x:f>
        <x:v>6407.97664292288</x:v>
      </x:c>
      <x:c r="E472" s="141" t="n">
        <x:f>Premissas!$B$64*(1+Premissas!$B$57)^INT((A472-1)/12)</x:f>
        <x:v>5858.72150210092</x:v>
      </x:c>
      <x:c r="F472" s="141" t="n">
        <x:f>MAX(0,Premissas!$B$6*(1+Premissas!$B$66)^((A472-1)/12))</x:f>
        <x:v>1931300.7933026415</x:v>
      </x:c>
      <x:c r="G472" s="141" t="n">
        <x:f>G471*(1+Premissas!$B$41)+C472</x:f>
        <x:v>67536268.71046583</x:v>
      </x:c>
      <x:c r="H472" s="141" t="n">
        <x:f>IF($A472=Premissas!$B$48,Premissas!$B$8,0)</x:f>
        <x:v>0</x:v>
      </x:c>
      <x:c r="I472" s="141" t="n">
        <x:f>IF(AND($A472&gt;=Premissas!$B$48,$A472-Premissas!$B$48+1&lt;=Premissas!$B$13),INDEX(Financiamento!$J$6:$J$485,$A472-Premissas!$B$48+1),0)</x:f>
        <x:v>0</x:v>
      </x:c>
      <x:c r="J472" s="141" t="n">
        <x:f>IF(AND(TRUE,Premissas!$B$11="Imovel",Premissas!$B$47="Moradia",$A472&lt;MAX(Premissas!$B$48,Premissas!$B$49)),$D472,0)</x:f>
        <x:v>0</x:v>
      </x:c>
      <x:c r="K472" s="141" t="n">
        <x:f>IF(AND(TRUE,Premissas!$B$11="Imovel",Premissas!$B$47="Investimento",$A472&gt;=MAX(Premissas!$B$48,Premissas!$B$49)),$E472,0)</x:f>
        <x:v>5858.72150210092</x:v>
      </x:c>
      <x:c r="L472" s="141" t="n">
        <x:f>H472+I472+J472</x:f>
        <x:v>0</x:v>
      </x:c>
      <x:c r="M472" s="141" t="n">
        <x:f>K472</x:f>
        <x:v>5858.72150210092</x:v>
      </x:c>
      <x:c r="N472" s="141" t="n">
        <x:f>$C472+M472-L472</x:f>
        <x:v>5858.72150210092</x:v>
      </x:c>
      <x:c r="O472" s="141" t="n">
        <x:f>R471*(1+Premissas!$B$41)+N472</x:f>
        <x:v>59561136.19896093</x:v>
      </x:c>
      <x:c r="P472" s="141" t="n">
        <x:f>MAX(0,-O472)</x:f>
        <x:v>0</x:v>
      </x:c>
      <x:c r="Q472" s="141" t="n">
        <x:f>Q471*(1+Premissas!$B$41)+P472</x:f>
        <x:v>0</x:v>
      </x:c>
      <x:c r="R472" s="141" t="n">
        <x:f>MAX(0,O472)</x:f>
        <x:v>59561136.19896093</x:v>
      </x:c>
      <x:c r="S472" s="141" t="n">
        <x:f>IF(AND($A472&gt;=Premissas!$B$48,$A472-Premissas!$B$48+1&lt;=Premissas!$B$13),INDEX(Financiamento!$M$6:$M$485,$A472-Premissas!$B$48+1),0)</x:f>
        <x:v>0</x:v>
      </x:c>
      <x:c r="T472" s="141" t="n">
        <x:f>IF($A472&gt;=Premissas!$B$48,$F472,0)</x:f>
        <x:v>1931300.7933026415</x:v>
      </x:c>
      <x:c r="U472" s="141" t="n">
        <x:f>R472+T472-S472</x:f>
        <x:v>61492436.99226357</x:v>
      </x:c>
      <x:c r="V472" s="141" t="n">
        <x:f>IF(Q472&gt;1,"Inviavel",U472)</x:f>
        <x:v>61492436.99226357</x:v>
      </x:c>
      <x:c r="W472" s="141" t="str">
        <x:f>IF(Q472&gt;1,"Inviavel","OK")</x:f>
        <x:v>OK</x:v>
      </x:c>
      <x:c r="X472" s="141" t="n">
        <x:f>IF($A472=Premissas!$B$48,Premissas!$B$8,0)</x:f>
        <x:v>0</x:v>
      </x:c>
      <x:c r="Y472" s="141" t="n">
        <x:f>IF(AND($A472&gt;=Premissas!$B$48,$A472-Premissas!$B$48+1&lt;=Premissas!$B$13),INDEX(Amortizacao!$K$6:$K$485,$A472-Premissas!$B$48+1),0)</x:f>
        <x:v>0</x:v>
      </x:c>
      <x:c r="Z472" s="141" t="n">
        <x:f>IF(AND(TRUE,Premissas!$B$11="Imovel",Premissas!$B$47="Moradia",$A472&lt;MAX(Premissas!$B$48,Premissas!$B$49)),$D472,0)</x:f>
        <x:v>0</x:v>
      </x:c>
      <x:c r="AA472" s="141" t="n">
        <x:f>IF(AND(TRUE,Premissas!$B$11="Imovel",Premissas!$B$47="Investimento",$A472&gt;=MAX(Premissas!$B$48,Premissas!$B$49)),$E472,0)</x:f>
        <x:v>5858.72150210092</x:v>
      </x:c>
      <x:c r="AB472" s="141" t="n">
        <x:f>X472+Y472+Z472</x:f>
        <x:v>0</x:v>
      </x:c>
      <x:c r="AC472" s="141" t="n">
        <x:f>AA472</x:f>
        <x:v>5858.72150210092</x:v>
      </x:c>
      <x:c r="AD472" s="141" t="n">
        <x:f>$C472+AC472-AB472</x:f>
        <x:v>5858.72150210092</x:v>
      </x:c>
      <x:c r="AE472" s="141" t="n">
        <x:f>AH471*(1+Premissas!$B$41)+AD472</x:f>
        <x:v>60554015.35474852</x:v>
      </x:c>
      <x:c r="AF472" s="141" t="n">
        <x:f>MAX(0,-AE472)</x:f>
        <x:v>0</x:v>
      </x:c>
      <x:c r="AG472" s="141" t="n">
        <x:f>AG471*(1+Premissas!$B$41)+AF472</x:f>
        <x:v>0</x:v>
      </x:c>
      <x:c r="AH472" s="141" t="n">
        <x:f>MAX(0,AE472)</x:f>
        <x:v>60554015.35474852</x:v>
      </x:c>
      <x:c r="AI472" s="141" t="n">
        <x:f>IF(AND($A472&gt;=Premissas!$B$48,$A472-Premissas!$B$48+1&lt;=Premissas!$B$13),INDEX(Amortizacao!$L$6:$L$485,$A472-Premissas!$B$48+1),0)</x:f>
        <x:v>0</x:v>
      </x:c>
      <x:c r="AJ472" s="141" t="n">
        <x:f>IF($A472&gt;=Premissas!$B$48,$F472,0)</x:f>
        <x:v>1931300.7933026415</x:v>
      </x:c>
      <x:c r="AK472" s="141" t="n">
        <x:f>AH472+AJ472-AI472</x:f>
        <x:v>62485316.14805116</x:v>
      </x:c>
      <x:c r="AL472" s="141" t="n">
        <x:f>IF(AG472&gt;1,"Inviavel",AK472)</x:f>
        <x:v>62485316.14805116</x:v>
      </x:c>
      <x:c r="AM472" s="141" t="str">
        <x:f>IF(AG472&gt;1,"Inviavel","OK")</x:f>
        <x:v>OK</x:v>
      </x:c>
      <x:c r="AN472" s="141" t="n">
        <x:f>IF($A472=Premissas!$B$48,Premissas!$B$8,0)</x:f>
        <x:v>0</x:v>
      </x:c>
      <x:c r="AO472" s="141" t="n">
        <x:f>IF($A472&lt;=Premissas!$B$25,INDEX('Consorcio IQ'!$K$6:$K$485,$A472),0)</x:f>
        <x:v>0</x:v>
      </x:c>
      <x:c r="AP472" s="141" t="n">
        <x:f>IF(AND(TRUE,Premissas!$B$11="Imovel",Premissas!$B$47="Moradia",$A472&lt;MAX(Premissas!$B$48,Premissas!$B$49)),$D472,0)</x:f>
        <x:v>0</x:v>
      </x:c>
      <x:c r="AQ472" s="141" t="n">
        <x:f>IF(AND(TRUE,Premissas!$B$11="Imovel",Premissas!$B$47="Investimento",$A472&gt;=MAX(Premissas!$B$48,Premissas!$B$49)),$E472,0)</x:f>
        <x:v>5858.72150210092</x:v>
      </x:c>
      <x:c r="AR472" s="141" t="n">
        <x:f>AN472+AO472+AP472</x:f>
        <x:v>0</x:v>
      </x:c>
      <x:c r="AS472" s="141" t="n">
        <x:f>AQ472</x:f>
        <x:v>5858.72150210092</x:v>
      </x:c>
      <x:c r="AT472" s="141" t="n">
        <x:f>$C472+AS472-AR472</x:f>
        <x:v>5858.72150210092</x:v>
      </x:c>
      <x:c r="AU472" s="141" t="n">
        <x:f>AX471*(1+Premissas!$B$41)+AT472</x:f>
        <x:v>60078378.66912793</x:v>
      </x:c>
      <x:c r="AV472" s="141" t="n">
        <x:f>MAX(0,-AU472)</x:f>
        <x:v>0</x:v>
      </x:c>
      <x:c r="AW472" s="141" t="n">
        <x:f>AW471*(1+Premissas!$B$41)+AV472</x:f>
        <x:v>0</x:v>
      </x:c>
      <x:c r="AX472" s="141" t="n">
        <x:f>MAX(0,AU472)</x:f>
        <x:v>60078378.66912793</x:v>
      </x:c>
      <x:c r="AY472" s="141" t="n">
        <x:f>INDEX('Consorcio IQ'!$P$6:$P$485,$A472)</x:f>
        <x:v>0</x:v>
      </x:c>
      <x:c r="AZ472" s="141" t="n">
        <x:f>IF($A472&gt;=Premissas!$B$48,$F472,0)+IF($A472&lt;Premissas!$B$27,INDEX('Consorcio IQ'!$O$6:$O$485,$A472),0)</x:f>
        <x:v>1931300.7933026415</x:v>
      </x:c>
      <x:c r="BA472" s="141" t="n">
        <x:f>AX472+AZ472-AY472</x:f>
        <x:v>62009679.462430574</x:v>
      </x:c>
      <x:c r="BB472" s="141" t="n">
        <x:f>IF(AW472&gt;1,"Inviavel",BA472)</x:f>
        <x:v>62009679.462430574</x:v>
      </x:c>
      <x:c r="BC472" s="141" t="str">
        <x:f>IF(AW472&gt;1,"Inviavel","OK")</x:f>
        <x:v>OK</x:v>
      </x:c>
      <x:c r="BD472" s="141" t="n">
        <x:f>IF($A472='Consorcio Direto'!$B$29,'Consorcio Direto'!$B$44,0)</x:f>
        <x:v>0</x:v>
      </x:c>
      <x:c r="BE472" s="141" t="n">
        <x:f>IF($A472&lt;='Consorcio Direto'!$B$27,INDEX('Consorcio Direto'!$E$55:$E$534,$A472),0)</x:f>
        <x:v>0</x:v>
      </x:c>
      <x:c r="BF472" s="141" t="n">
        <x:f>IF(AND(TRUE,Premissas!$B$11="Imovel",Premissas!$B$47="Moradia",$A472&lt;MAX('Consorcio Direto'!$B$29,Premissas!$B$49)),$D472,0)</x:f>
        <x:v>0</x:v>
      </x:c>
      <x:c r="BG472" s="141" t="n">
        <x:f>IF(AND(TRUE,Premissas!$B$11="Imovel",Premissas!$B$47="Investimento",$A472&gt;=MAX('Consorcio Direto'!$B$29,Premissas!$B$49)),$E472,0)</x:f>
        <x:v>5858.72150210092</x:v>
      </x:c>
      <x:c r="BH472" s="141" t="n">
        <x:f>BD472+BE472+BF472</x:f>
        <x:v>0</x:v>
      </x:c>
      <x:c r="BI472" s="141" t="n">
        <x:f>BG472</x:f>
        <x:v>5858.72150210092</x:v>
      </x:c>
      <x:c r="BJ472" s="141" t="n">
        <x:f>$C472+BI472-BH472</x:f>
        <x:v>5858.72150210092</x:v>
      </x:c>
      <x:c r="BK472" s="141" t="n">
        <x:f>BN471*(1+Premissas!$B$41)+BJ472</x:f>
        <x:v>57507852.821491785</x:v>
      </x:c>
      <x:c r="BL472" s="141" t="n">
        <x:f>MAX(0,-BK472)</x:f>
        <x:v>0</x:v>
      </x:c>
      <x:c r="BM472" s="141" t="n">
        <x:f>BM471*(1+Premissas!$B$41)+BL472</x:f>
        <x:v>0</x:v>
      </x:c>
      <x:c r="BN472" s="141" t="n">
        <x:f>MAX(0,BK472)</x:f>
        <x:v>57507852.821491785</x:v>
      </x:c>
      <x:c r="BO472" s="141" t="n">
        <x:f>INDEX('Consorcio Direto'!$K$55:$K$534,$A472)</x:f>
        <x:v>0</x:v>
      </x:c>
      <x:c r="BP472" s="141" t="n">
        <x:f>IF($A472&lt;'Consorcio Direto'!$B$29,INDEX('Consorcio Direto'!$L$55:$L$534,$A472),$F472)</x:f>
        <x:v>1931300.7933026415</x:v>
      </x:c>
      <x:c r="BQ472" s="141" t="n">
        <x:f>BN472+BP472-BO472</x:f>
        <x:v>59439153.614794426</x:v>
      </x:c>
      <x:c r="BR472" s="141" t="n">
        <x:f>IF(BM472&gt;1,"Inviavel",BQ472)</x:f>
        <x:v>59439153.614794426</x:v>
      </x:c>
      <x:c r="BS472" s="141" t="str">
        <x:f>IF(BM472&gt;1,"Inviavel","OK")</x:f>
        <x:v>OK</x:v>
      </x:c>
      <x:c r="BT472" s="141" t="n">
        <x:f>IF(AND('Carta Contemplada'!$B$22="Sim",$A472='Carta Contemplada'!$B$23),'Carta Contemplada'!$B$37,0)</x:f>
        <x:v>0</x:v>
      </x:c>
      <x:c r="BU472" s="141" t="n">
        <x:f>IF('Carta Contemplada'!$B$22="Sim",INDEX('Carta Contemplada'!$C$55:$C$1013,$A472),0)</x:f>
        <x:v>0</x:v>
      </x:c>
      <x:c r="BV472" s="141" t="n">
        <x:f>IF(AND('Carta Contemplada'!$B$22="Sim",Premissas!$B$11="Imovel",Premissas!$B$47="Moradia",$A472&lt;MAX('Carta Contemplada'!$B$44,Premissas!$B$49)),$D472,0)</x:f>
        <x:v>0</x:v>
      </x:c>
      <x:c r="BW472" s="141" t="n">
        <x:f>IF(AND('Carta Contemplada'!$B$22="Sim",Premissas!$B$11="Imovel",Premissas!$B$47="Investimento",$A472&gt;=MAX('Carta Contemplada'!$B$44,Premissas!$B$49)),$E472,0)</x:f>
        <x:v>5858.72150210092</x:v>
      </x:c>
      <x:c r="BX472" s="141" t="n">
        <x:f>BT472+BU472+BV472</x:f>
        <x:v>0</x:v>
      </x:c>
      <x:c r="BY472" s="141" t="n">
        <x:f>BW472</x:f>
        <x:v>5858.72150210092</x:v>
      </x:c>
      <x:c r="BZ472" s="141" t="n">
        <x:f>$C472+BY472-BX472</x:f>
        <x:v>5858.72150210092</x:v>
      </x:c>
      <x:c r="CA472" s="141" t="n">
        <x:f>CD471*(1+Premissas!$B$41)+BZ472</x:f>
        <x:v>61753481.68789382</x:v>
      </x:c>
      <x:c r="CB472" s="141" t="n">
        <x:f>MAX(0,-CA472)</x:f>
        <x:v>0</x:v>
      </x:c>
      <x:c r="CC472" s="141" t="n">
        <x:f>CC471*(1+Premissas!$B$41)+CB472</x:f>
        <x:v>0</x:v>
      </x:c>
      <x:c r="CD472" s="141" t="n">
        <x:f>MAX(0,CA472)</x:f>
        <x:v>61753481.68789382</x:v>
      </x:c>
      <x:c r="CE472" s="141" t="n">
        <x:f>IF(AND('Carta Contemplada'!$B$22="Sim",$A472&gt;='Carta Contemplada'!$B$23),INDEX('Carta Contemplada'!$I$55:$I$1013,$A472),0)</x:f>
        <x:v>0</x:v>
      </x:c>
      <x:c r="CF472" s="141" t="n">
        <x:f>IF(AND('Carta Contemplada'!$B$22="Sim",$A472&gt;='Carta Contemplada'!$B$44),$F472,0)</x:f>
        <x:v>1931300.7933026415</x:v>
      </x:c>
      <x:c r="CG472" s="141" t="n">
        <x:f>CD472+CF472-CE472</x:f>
        <x:v>63684782.48119646</x:v>
      </x:c>
      <x:c r="CH472" s="141" t="n">
        <x:f>IF(CC472&gt;1,"Inviavel",CG472)</x:f>
        <x:v>63684782.48119646</x:v>
      </x:c>
      <x:c r="CI472" s="145" t="str">
        <x:f>IF(CC472&gt;1,"Inviavel","OK")</x:f>
        <x:v>OK</x:v>
      </x:c>
    </x:row>
    <x:row r="473">
      <x:c r="A473" s="142" t="n">
        <x:v>469</x:v>
      </x:c>
      <x:c r="B473" s="179" t="n">
        <x:f>EDATE(Premissas!$B$4,A473-1)</x:f>
        <x:v>60784</x:v>
      </x:c>
      <x:c r="C473" s="141" t="n">
        <x:f>IF(A473&lt;=Premissas!$B$39,Premissas!$B$42,0)</x:f>
        <x:v>0</x:v>
      </x:c>
      <x:c r="D473" s="141" t="n">
        <x:f>Premissas!$B$54*(1+Premissas!$B$57)^INT((A473-1)/12)</x:f>
        <x:v>6792.455241498254</x:v>
      </x:c>
      <x:c r="E473" s="141" t="n">
        <x:f>Premissas!$B$64*(1+Premissas!$B$57)^INT((A473-1)/12)</x:f>
        <x:v>6210.244792226975</x:v>
      </x:c>
      <x:c r="F473" s="141" t="n">
        <x:f>MAX(0,Premissas!$B$6*(1+Premissas!$B$66)^((A473-1)/12))</x:f>
        <x:v>1940701.4975709296</x:v>
      </x:c>
      <x:c r="G473" s="141" t="n">
        <x:f>G472*(1+Premissas!$B$41)+C473</x:f>
        <x:v>68177106.3798338</x:v>
      </x:c>
      <x:c r="H473" s="141" t="n">
        <x:f>IF($A473=Premissas!$B$48,Premissas!$B$8,0)</x:f>
        <x:v>0</x:v>
      </x:c>
      <x:c r="I473" s="141" t="n">
        <x:f>IF(AND($A473&gt;=Premissas!$B$48,$A473-Premissas!$B$48+1&lt;=Premissas!$B$13),INDEX(Financiamento!$J$6:$J$485,$A473-Premissas!$B$48+1),0)</x:f>
        <x:v>0</x:v>
      </x:c>
      <x:c r="J473" s="141" t="n">
        <x:f>IF(AND(TRUE,Premissas!$B$11="Imovel",Premissas!$B$47="Moradia",$A473&lt;MAX(Premissas!$B$48,Premissas!$B$49)),$D473,0)</x:f>
        <x:v>0</x:v>
      </x:c>
      <x:c r="K473" s="141" t="n">
        <x:f>IF(AND(TRUE,Premissas!$B$11="Imovel",Premissas!$B$47="Investimento",$A473&gt;=MAX(Premissas!$B$48,Premissas!$B$49)),$E473,0)</x:f>
        <x:v>6210.244792226975</x:v>
      </x:c>
      <x:c r="L473" s="141" t="n">
        <x:f>H473+I473+J473</x:f>
        <x:v>0</x:v>
      </x:c>
      <x:c r="M473" s="141" t="n">
        <x:f>K473</x:f>
        <x:v>6210.244792226975</x:v>
      </x:c>
      <x:c r="N473" s="141" t="n">
        <x:f>$C473+M473-L473</x:f>
        <x:v>6210.244792226975</x:v>
      </x:c>
      <x:c r="O473" s="141" t="n">
        <x:f>R472*(1+Premissas!$B$41)+N473</x:f>
        <x:v>60132509.7320936</x:v>
      </x:c>
      <x:c r="P473" s="141" t="n">
        <x:f>MAX(0,-O473)</x:f>
        <x:v>0</x:v>
      </x:c>
      <x:c r="Q473" s="141" t="n">
        <x:f>Q472*(1+Premissas!$B$41)+P473</x:f>
        <x:v>0</x:v>
      </x:c>
      <x:c r="R473" s="141" t="n">
        <x:f>MAX(0,O473)</x:f>
        <x:v>60132509.7320936</x:v>
      </x:c>
      <x:c r="S473" s="141" t="n">
        <x:f>IF(AND($A473&gt;=Premissas!$B$48,$A473-Premissas!$B$48+1&lt;=Premissas!$B$13),INDEX(Financiamento!$M$6:$M$485,$A473-Premissas!$B$48+1),0)</x:f>
        <x:v>0</x:v>
      </x:c>
      <x:c r="T473" s="141" t="n">
        <x:f>IF($A473&gt;=Premissas!$B$48,$F473,0)</x:f>
        <x:v>1940701.4975709296</x:v>
      </x:c>
      <x:c r="U473" s="141" t="n">
        <x:f>R473+T473-S473</x:f>
        <x:v>62073211.229664534</x:v>
      </x:c>
      <x:c r="V473" s="141" t="n">
        <x:f>IF(Q473&gt;1,"Inviavel",U473)</x:f>
        <x:v>62073211.229664534</x:v>
      </x:c>
      <x:c r="W473" s="141" t="str">
        <x:f>IF(Q473&gt;1,"Inviavel","OK")</x:f>
        <x:v>OK</x:v>
      </x:c>
      <x:c r="X473" s="141" t="n">
        <x:f>IF($A473=Premissas!$B$48,Premissas!$B$8,0)</x:f>
        <x:v>0</x:v>
      </x:c>
      <x:c r="Y473" s="141" t="n">
        <x:f>IF(AND($A473&gt;=Premissas!$B$48,$A473-Premissas!$B$48+1&lt;=Premissas!$B$13),INDEX(Amortizacao!$K$6:$K$485,$A473-Premissas!$B$48+1),0)</x:f>
        <x:v>0</x:v>
      </x:c>
      <x:c r="Z473" s="141" t="n">
        <x:f>IF(AND(TRUE,Premissas!$B$11="Imovel",Premissas!$B$47="Moradia",$A473&lt;MAX(Premissas!$B$48,Premissas!$B$49)),$D473,0)</x:f>
        <x:v>0</x:v>
      </x:c>
      <x:c r="AA473" s="141" t="n">
        <x:f>IF(AND(TRUE,Premissas!$B$11="Imovel",Premissas!$B$47="Investimento",$A473&gt;=MAX(Premissas!$B$48,Premissas!$B$49)),$E473,0)</x:f>
        <x:v>6210.244792226975</x:v>
      </x:c>
      <x:c r="AB473" s="141" t="n">
        <x:f>X473+Y473+Z473</x:f>
        <x:v>0</x:v>
      </x:c>
      <x:c r="AC473" s="141" t="n">
        <x:f>AA473</x:f>
        <x:v>6210.244792226975</x:v>
      </x:c>
      <x:c r="AD473" s="141" t="n">
        <x:f>$C473+AC473-AB473</x:f>
        <x:v>6210.244792226975</x:v>
      </x:c>
      <x:c r="AE473" s="141" t="n">
        <x:f>AH472*(1+Premissas!$B$41)+AD473</x:f>
        <x:v>61134810.11259952</x:v>
      </x:c>
      <x:c r="AF473" s="141" t="n">
        <x:f>MAX(0,-AE473)</x:f>
        <x:v>0</x:v>
      </x:c>
      <x:c r="AG473" s="141" t="n">
        <x:f>AG472*(1+Premissas!$B$41)+AF473</x:f>
        <x:v>0</x:v>
      </x:c>
      <x:c r="AH473" s="141" t="n">
        <x:f>MAX(0,AE473)</x:f>
        <x:v>61134810.11259952</x:v>
      </x:c>
      <x:c r="AI473" s="141" t="n">
        <x:f>IF(AND($A473&gt;=Premissas!$B$48,$A473-Premissas!$B$48+1&lt;=Premissas!$B$13),INDEX(Amortizacao!$L$6:$L$485,$A473-Premissas!$B$48+1),0)</x:f>
        <x:v>0</x:v>
      </x:c>
      <x:c r="AJ473" s="141" t="n">
        <x:f>IF($A473&gt;=Premissas!$B$48,$F473,0)</x:f>
        <x:v>1940701.4975709296</x:v>
      </x:c>
      <x:c r="AK473" s="141" t="n">
        <x:f>AH473+AJ473-AI473</x:f>
        <x:v>63075511.610170454</x:v>
      </x:c>
      <x:c r="AL473" s="141" t="n">
        <x:f>IF(AG473&gt;1,"Inviavel",AK473)</x:f>
        <x:v>63075511.610170454</x:v>
      </x:c>
      <x:c r="AM473" s="141" t="str">
        <x:f>IF(AG473&gt;1,"Inviavel","OK")</x:f>
        <x:v>OK</x:v>
      </x:c>
      <x:c r="AN473" s="141" t="n">
        <x:f>IF($A473=Premissas!$B$48,Premissas!$B$8,0)</x:f>
        <x:v>0</x:v>
      </x:c>
      <x:c r="AO473" s="141" t="n">
        <x:f>IF($A473&lt;=Premissas!$B$25,INDEX('Consorcio IQ'!$K$6:$K$485,$A473),0)</x:f>
        <x:v>0</x:v>
      </x:c>
      <x:c r="AP473" s="141" t="n">
        <x:f>IF(AND(TRUE,Premissas!$B$11="Imovel",Premissas!$B$47="Moradia",$A473&lt;MAX(Premissas!$B$48,Premissas!$B$49)),$D473,0)</x:f>
        <x:v>0</x:v>
      </x:c>
      <x:c r="AQ473" s="141" t="n">
        <x:f>IF(AND(TRUE,Premissas!$B$11="Imovel",Premissas!$B$47="Investimento",$A473&gt;=MAX(Premissas!$B$48,Premissas!$B$49)),$E473,0)</x:f>
        <x:v>6210.244792226975</x:v>
      </x:c>
      <x:c r="AR473" s="141" t="n">
        <x:f>AN473+AO473+AP473</x:f>
        <x:v>0</x:v>
      </x:c>
      <x:c r="AS473" s="141" t="n">
        <x:f>AQ473</x:f>
        <x:v>6210.244792226975</x:v>
      </x:c>
      <x:c r="AT473" s="141" t="n">
        <x:f>$C473+AS473-AR473</x:f>
        <x:v>6210.244792226975</x:v>
      </x:c>
      <x:c r="AU473" s="141" t="n">
        <x:f>AX472*(1+Premissas!$B$41)+AT473</x:f>
        <x:v>60654660.20895699</x:v>
      </x:c>
      <x:c r="AV473" s="141" t="n">
        <x:f>MAX(0,-AU473)</x:f>
        <x:v>0</x:v>
      </x:c>
      <x:c r="AW473" s="141" t="n">
        <x:f>AW472*(1+Premissas!$B$41)+AV473</x:f>
        <x:v>0</x:v>
      </x:c>
      <x:c r="AX473" s="141" t="n">
        <x:f>MAX(0,AU473)</x:f>
        <x:v>60654660.20895699</x:v>
      </x:c>
      <x:c r="AY473" s="141" t="n">
        <x:f>INDEX('Consorcio IQ'!$P$6:$P$485,$A473)</x:f>
        <x:v>0</x:v>
      </x:c>
      <x:c r="AZ473" s="141" t="n">
        <x:f>IF($A473&gt;=Premissas!$B$48,$F473,0)+IF($A473&lt;Premissas!$B$27,INDEX('Consorcio IQ'!$O$6:$O$485,$A473),0)</x:f>
        <x:v>1940701.4975709296</x:v>
      </x:c>
      <x:c r="BA473" s="141" t="n">
        <x:f>AX473+AZ473-AY473</x:f>
        <x:v>62595361.70652792</x:v>
      </x:c>
      <x:c r="BB473" s="141" t="n">
        <x:f>IF(AW473&gt;1,"Inviavel",BA473)</x:f>
        <x:v>62595361.70652792</x:v>
      </x:c>
      <x:c r="BC473" s="141" t="str">
        <x:f>IF(AW473&gt;1,"Inviavel","OK")</x:f>
        <x:v>OK</x:v>
      </x:c>
      <x:c r="BD473" s="141" t="n">
        <x:f>IF($A473='Consorcio Direto'!$B$29,'Consorcio Direto'!$B$44,0)</x:f>
        <x:v>0</x:v>
      </x:c>
      <x:c r="BE473" s="141" t="n">
        <x:f>IF($A473&lt;='Consorcio Direto'!$B$27,INDEX('Consorcio Direto'!$E$55:$E$534,$A473),0)</x:f>
        <x:v>0</x:v>
      </x:c>
      <x:c r="BF473" s="141" t="n">
        <x:f>IF(AND(TRUE,Premissas!$B$11="Imovel",Premissas!$B$47="Moradia",$A473&lt;MAX('Consorcio Direto'!$B$29,Premissas!$B$49)),$D473,0)</x:f>
        <x:v>0</x:v>
      </x:c>
      <x:c r="BG473" s="141" t="n">
        <x:f>IF(AND(TRUE,Premissas!$B$11="Imovel",Premissas!$B$47="Investimento",$A473&gt;=MAX('Consorcio Direto'!$B$29,Premissas!$B$49)),$E473,0)</x:f>
        <x:v>6210.244792226975</x:v>
      </x:c>
      <x:c r="BH473" s="141" t="n">
        <x:f>BD473+BE473+BF473</x:f>
        <x:v>0</x:v>
      </x:c>
      <x:c r="BI473" s="141" t="n">
        <x:f>BG473</x:f>
        <x:v>6210.244792226975</x:v>
      </x:c>
      <x:c r="BJ473" s="141" t="n">
        <x:f>$C473+BI473-BH473</x:f>
        <x:v>6210.244792226975</x:v>
      </x:c>
      <x:c r="BK473" s="141" t="n">
        <x:f>BN472*(1+Premissas!$B$41)+BJ473</x:f>
        <x:v>58059743.17381963</x:v>
      </x:c>
      <x:c r="BL473" s="141" t="n">
        <x:f>MAX(0,-BK473)</x:f>
        <x:v>0</x:v>
      </x:c>
      <x:c r="BM473" s="141" t="n">
        <x:f>BM472*(1+Premissas!$B$41)+BL473</x:f>
        <x:v>0</x:v>
      </x:c>
      <x:c r="BN473" s="141" t="n">
        <x:f>MAX(0,BK473)</x:f>
        <x:v>58059743.17381963</x:v>
      </x:c>
      <x:c r="BO473" s="141" t="n">
        <x:f>INDEX('Consorcio Direto'!$K$55:$K$534,$A473)</x:f>
        <x:v>0</x:v>
      </x:c>
      <x:c r="BP473" s="141" t="n">
        <x:f>IF($A473&lt;'Consorcio Direto'!$B$29,INDEX('Consorcio Direto'!$L$55:$L$534,$A473),$F473)</x:f>
        <x:v>1940701.4975709296</x:v>
      </x:c>
      <x:c r="BQ473" s="141" t="n">
        <x:f>BN473+BP473-BO473</x:f>
        <x:v>60000444.67139056</x:v>
      </x:c>
      <x:c r="BR473" s="141" t="n">
        <x:f>IF(BM473&gt;1,"Inviavel",BQ473)</x:f>
        <x:v>60000444.67139056</x:v>
      </x:c>
      <x:c r="BS473" s="141" t="str">
        <x:f>IF(BM473&gt;1,"Inviavel","OK")</x:f>
        <x:v>OK</x:v>
      </x:c>
      <x:c r="BT473" s="141" t="n">
        <x:f>IF(AND('Carta Contemplada'!$B$22="Sim",$A473='Carta Contemplada'!$B$23),'Carta Contemplada'!$B$37,0)</x:f>
        <x:v>0</x:v>
      </x:c>
      <x:c r="BU473" s="141" t="n">
        <x:f>IF('Carta Contemplada'!$B$22="Sim",INDEX('Carta Contemplada'!$C$55:$C$1013,$A473),0)</x:f>
        <x:v>0</x:v>
      </x:c>
      <x:c r="BV473" s="141" t="n">
        <x:f>IF(AND('Carta Contemplada'!$B$22="Sim",Premissas!$B$11="Imovel",Premissas!$B$47="Moradia",$A473&lt;MAX('Carta Contemplada'!$B$44,Premissas!$B$49)),$D473,0)</x:f>
        <x:v>0</x:v>
      </x:c>
      <x:c r="BW473" s="141" t="n">
        <x:f>IF(AND('Carta Contemplada'!$B$22="Sim",Premissas!$B$11="Imovel",Premissas!$B$47="Investimento",$A473&gt;=MAX('Carta Contemplada'!$B$44,Premissas!$B$49)),$E473,0)</x:f>
        <x:v>6210.244792226975</x:v>
      </x:c>
      <x:c r="BX473" s="141" t="n">
        <x:f>BT473+BU473+BV473</x:f>
        <x:v>0</x:v>
      </x:c>
      <x:c r="BY473" s="141" t="n">
        <x:f>BW473</x:f>
        <x:v>6210.244792226975</x:v>
      </x:c>
      <x:c r="BZ473" s="141" t="n">
        <x:f>$C473+BY473-BX473</x:f>
        <x:v>6210.244792226975</x:v>
      </x:c>
      <x:c r="CA473" s="141" t="n">
        <x:f>CD472*(1+Premissas!$B$41)+BZ473</x:f>
        <x:v>62345657.933412045</x:v>
      </x:c>
      <x:c r="CB473" s="141" t="n">
        <x:f>MAX(0,-CA473)</x:f>
        <x:v>0</x:v>
      </x:c>
      <x:c r="CC473" s="141" t="n">
        <x:f>CC472*(1+Premissas!$B$41)+CB473</x:f>
        <x:v>0</x:v>
      </x:c>
      <x:c r="CD473" s="141" t="n">
        <x:f>MAX(0,CA473)</x:f>
        <x:v>62345657.933412045</x:v>
      </x:c>
      <x:c r="CE473" s="141" t="n">
        <x:f>IF(AND('Carta Contemplada'!$B$22="Sim",$A473&gt;='Carta Contemplada'!$B$23),INDEX('Carta Contemplada'!$I$55:$I$1013,$A473),0)</x:f>
        <x:v>0</x:v>
      </x:c>
      <x:c r="CF473" s="141" t="n">
        <x:f>IF(AND('Carta Contemplada'!$B$22="Sim",$A473&gt;='Carta Contemplada'!$B$44),$F473,0)</x:f>
        <x:v>1940701.4975709296</x:v>
      </x:c>
      <x:c r="CG473" s="141" t="n">
        <x:f>CD473+CF473-CE473</x:f>
        <x:v>64286359.43098298</x:v>
      </x:c>
      <x:c r="CH473" s="141" t="n">
        <x:f>IF(CC473&gt;1,"Inviavel",CG473)</x:f>
        <x:v>64286359.43098298</x:v>
      </x:c>
      <x:c r="CI473" s="145" t="str">
        <x:f>IF(CC473&gt;1,"Inviavel","OK")</x:f>
        <x:v>OK</x:v>
      </x:c>
    </x:row>
    <x:row r="474">
      <x:c r="A474" s="142" t="n">
        <x:v>470</x:v>
      </x:c>
      <x:c r="B474" s="179" t="n">
        <x:f>EDATE(Premissas!$B$4,A474-1)</x:f>
        <x:v>60814</x:v>
      </x:c>
      <x:c r="C474" s="141" t="n">
        <x:f>IF(A474&lt;=Premissas!$B$39,Premissas!$B$42,0)</x:f>
        <x:v>0</x:v>
      </x:c>
      <x:c r="D474" s="141" t="n">
        <x:f>Premissas!$B$54*(1+Premissas!$B$57)^INT((A474-1)/12)</x:f>
        <x:v>6792.455241498254</x:v>
      </x:c>
      <x:c r="E474" s="141" t="n">
        <x:f>Premissas!$B$64*(1+Premissas!$B$57)^INT((A474-1)/12)</x:f>
        <x:v>6210.244792226975</x:v>
      </x:c>
      <x:c r="F474" s="141" t="n">
        <x:f>MAX(0,Premissas!$B$6*(1+Premissas!$B$66)^((A474-1)/12))</x:f>
        <x:v>1950147.9602425934</x:v>
      </x:c>
      <x:c r="G474" s="141" t="n">
        <x:f>G473*(1+Premissas!$B$41)+C474</x:f>
        <x:v>68824024.82515109</x:v>
      </x:c>
      <x:c r="H474" s="141" t="n">
        <x:f>IF($A474=Premissas!$B$48,Premissas!$B$8,0)</x:f>
        <x:v>0</x:v>
      </x:c>
      <x:c r="I474" s="141" t="n">
        <x:f>IF(AND($A474&gt;=Premissas!$B$48,$A474-Premissas!$B$48+1&lt;=Premissas!$B$13),INDEX(Financiamento!$J$6:$J$485,$A474-Premissas!$B$48+1),0)</x:f>
        <x:v>0</x:v>
      </x:c>
      <x:c r="J474" s="141" t="n">
        <x:f>IF(AND(TRUE,Premissas!$B$11="Imovel",Premissas!$B$47="Moradia",$A474&lt;MAX(Premissas!$B$48,Premissas!$B$49)),$D474,0)</x:f>
        <x:v>0</x:v>
      </x:c>
      <x:c r="K474" s="141" t="n">
        <x:f>IF(AND(TRUE,Premissas!$B$11="Imovel",Premissas!$B$47="Investimento",$A474&gt;=MAX(Premissas!$B$48,Premissas!$B$49)),$E474,0)</x:f>
        <x:v>6210.244792226975</x:v>
      </x:c>
      <x:c r="L474" s="141" t="n">
        <x:f>H474+I474+J474</x:f>
        <x:v>0</x:v>
      </x:c>
      <x:c r="M474" s="141" t="n">
        <x:f>K474</x:f>
        <x:v>6210.244792226975</x:v>
      </x:c>
      <x:c r="N474" s="141" t="n">
        <x:f>$C474+M474-L474</x:f>
        <x:v>6210.244792226975</x:v>
      </x:c>
      <x:c r="O474" s="141" t="n">
        <x:f>R473*(1+Premissas!$B$41)+N474</x:f>
        <x:v>60709304.91037047</x:v>
      </x:c>
      <x:c r="P474" s="141" t="n">
        <x:f>MAX(0,-O474)</x:f>
        <x:v>0</x:v>
      </x:c>
      <x:c r="Q474" s="141" t="n">
        <x:f>Q473*(1+Premissas!$B$41)+P474</x:f>
        <x:v>0</x:v>
      </x:c>
      <x:c r="R474" s="141" t="n">
        <x:f>MAX(0,O474)</x:f>
        <x:v>60709304.91037047</x:v>
      </x:c>
      <x:c r="S474" s="141" t="n">
        <x:f>IF(AND($A474&gt;=Premissas!$B$48,$A474-Premissas!$B$48+1&lt;=Premissas!$B$13),INDEX(Financiamento!$M$6:$M$485,$A474-Premissas!$B$48+1),0)</x:f>
        <x:v>0</x:v>
      </x:c>
      <x:c r="T474" s="141" t="n">
        <x:f>IF($A474&gt;=Premissas!$B$48,$F474,0)</x:f>
        <x:v>1950147.9602425934</x:v>
      </x:c>
      <x:c r="U474" s="141" t="n">
        <x:f>R474+T474-S474</x:f>
        <x:v>62659452.87061306</x:v>
      </x:c>
      <x:c r="V474" s="141" t="n">
        <x:f>IF(Q474&gt;1,"Inviavel",U474)</x:f>
        <x:v>62659452.87061306</x:v>
      </x:c>
      <x:c r="W474" s="141" t="str">
        <x:f>IF(Q474&gt;1,"Inviavel","OK")</x:f>
        <x:v>OK</x:v>
      </x:c>
      <x:c r="X474" s="141" t="n">
        <x:f>IF($A474=Premissas!$B$48,Premissas!$B$8,0)</x:f>
        <x:v>0</x:v>
      </x:c>
      <x:c r="Y474" s="141" t="n">
        <x:f>IF(AND($A474&gt;=Premissas!$B$48,$A474-Premissas!$B$48+1&lt;=Premissas!$B$13),INDEX(Amortizacao!$K$6:$K$485,$A474-Premissas!$B$48+1),0)</x:f>
        <x:v>0</x:v>
      </x:c>
      <x:c r="Z474" s="141" t="n">
        <x:f>IF(AND(TRUE,Premissas!$B$11="Imovel",Premissas!$B$47="Moradia",$A474&lt;MAX(Premissas!$B$48,Premissas!$B$49)),$D474,0)</x:f>
        <x:v>0</x:v>
      </x:c>
      <x:c r="AA474" s="141" t="n">
        <x:f>IF(AND(TRUE,Premissas!$B$11="Imovel",Premissas!$B$47="Investimento",$A474&gt;=MAX(Premissas!$B$48,Premissas!$B$49)),$E474,0)</x:f>
        <x:v>6210.244792226975</x:v>
      </x:c>
      <x:c r="AB474" s="141" t="n">
        <x:f>X474+Y474+Z474</x:f>
        <x:v>0</x:v>
      </x:c>
      <x:c r="AC474" s="141" t="n">
        <x:f>AA474</x:f>
        <x:v>6210.244792226975</x:v>
      </x:c>
      <x:c r="AD474" s="141" t="n">
        <x:f>$C474+AC474-AB474</x:f>
        <x:v>6210.244792226975</x:v>
      </x:c>
      <x:c r="AE474" s="141" t="n">
        <x:f>AH473*(1+Premissas!$B$41)+AD474</x:f>
        <x:v>61721115.91164526</x:v>
      </x:c>
      <x:c r="AF474" s="141" t="n">
        <x:f>MAX(0,-AE474)</x:f>
        <x:v>0</x:v>
      </x:c>
      <x:c r="AG474" s="141" t="n">
        <x:f>AG473*(1+Premissas!$B$41)+AF474</x:f>
        <x:v>0</x:v>
      </x:c>
      <x:c r="AH474" s="141" t="n">
        <x:f>MAX(0,AE474)</x:f>
        <x:v>61721115.91164526</x:v>
      </x:c>
      <x:c r="AI474" s="141" t="n">
        <x:f>IF(AND($A474&gt;=Premissas!$B$48,$A474-Premissas!$B$48+1&lt;=Premissas!$B$13),INDEX(Amortizacao!$L$6:$L$485,$A474-Premissas!$B$48+1),0)</x:f>
        <x:v>0</x:v>
      </x:c>
      <x:c r="AJ474" s="141" t="n">
        <x:f>IF($A474&gt;=Premissas!$B$48,$F474,0)</x:f>
        <x:v>1950147.9602425934</x:v>
      </x:c>
      <x:c r="AK474" s="141" t="n">
        <x:f>AH474+AJ474-AI474</x:f>
        <x:v>63671263.871887855</x:v>
      </x:c>
      <x:c r="AL474" s="141" t="n">
        <x:f>IF(AG474&gt;1,"Inviavel",AK474)</x:f>
        <x:v>63671263.871887855</x:v>
      </x:c>
      <x:c r="AM474" s="141" t="str">
        <x:f>IF(AG474&gt;1,"Inviavel","OK")</x:f>
        <x:v>OK</x:v>
      </x:c>
      <x:c r="AN474" s="141" t="n">
        <x:f>IF($A474=Premissas!$B$48,Premissas!$B$8,0)</x:f>
        <x:v>0</x:v>
      </x:c>
      <x:c r="AO474" s="141" t="n">
        <x:f>IF($A474&lt;=Premissas!$B$25,INDEX('Consorcio IQ'!$K$6:$K$485,$A474),0)</x:f>
        <x:v>0</x:v>
      </x:c>
      <x:c r="AP474" s="141" t="n">
        <x:f>IF(AND(TRUE,Premissas!$B$11="Imovel",Premissas!$B$47="Moradia",$A474&lt;MAX(Premissas!$B$48,Premissas!$B$49)),$D474,0)</x:f>
        <x:v>0</x:v>
      </x:c>
      <x:c r="AQ474" s="141" t="n">
        <x:f>IF(AND(TRUE,Premissas!$B$11="Imovel",Premissas!$B$47="Investimento",$A474&gt;=MAX(Premissas!$B$48,Premissas!$B$49)),$E474,0)</x:f>
        <x:v>6210.244792226975</x:v>
      </x:c>
      <x:c r="AR474" s="141" t="n">
        <x:f>AN474+AO474+AP474</x:f>
        <x:v>0</x:v>
      </x:c>
      <x:c r="AS474" s="141" t="n">
        <x:f>AQ474</x:f>
        <x:v>6210.244792226975</x:v>
      </x:c>
      <x:c r="AT474" s="141" t="n">
        <x:f>$C474+AS474-AR474</x:f>
        <x:v>6210.244792226975</x:v>
      </x:c>
      <x:c r="AU474" s="141" t="n">
        <x:f>AX473*(1+Premissas!$B$41)+AT474</x:f>
        <x:v>61236409.964989506</x:v>
      </x:c>
      <x:c r="AV474" s="141" t="n">
        <x:f>MAX(0,-AU474)</x:f>
        <x:v>0</x:v>
      </x:c>
      <x:c r="AW474" s="141" t="n">
        <x:f>AW473*(1+Premissas!$B$41)+AV474</x:f>
        <x:v>0</x:v>
      </x:c>
      <x:c r="AX474" s="141" t="n">
        <x:f>MAX(0,AU474)</x:f>
        <x:v>61236409.964989506</x:v>
      </x:c>
      <x:c r="AY474" s="141" t="n">
        <x:f>INDEX('Consorcio IQ'!$P$6:$P$485,$A474)</x:f>
        <x:v>0</x:v>
      </x:c>
      <x:c r="AZ474" s="141" t="n">
        <x:f>IF($A474&gt;=Premissas!$B$48,$F474,0)+IF($A474&lt;Premissas!$B$27,INDEX('Consorcio IQ'!$O$6:$O$485,$A474),0)</x:f>
        <x:v>1950147.9602425934</x:v>
      </x:c>
      <x:c r="BA474" s="141" t="n">
        <x:f>AX474+AZ474-AY474</x:f>
        <x:v>63186557.9252321</x:v>
      </x:c>
      <x:c r="BB474" s="141" t="n">
        <x:f>IF(AW474&gt;1,"Inviavel",BA474)</x:f>
        <x:v>63186557.9252321</x:v>
      </x:c>
      <x:c r="BC474" s="141" t="str">
        <x:f>IF(AW474&gt;1,"Inviavel","OK")</x:f>
        <x:v>OK</x:v>
      </x:c>
      <x:c r="BD474" s="141" t="n">
        <x:f>IF($A474='Consorcio Direto'!$B$29,'Consorcio Direto'!$B$44,0)</x:f>
        <x:v>0</x:v>
      </x:c>
      <x:c r="BE474" s="141" t="n">
        <x:f>IF($A474&lt;='Consorcio Direto'!$B$27,INDEX('Consorcio Direto'!$E$55:$E$534,$A474),0)</x:f>
        <x:v>0</x:v>
      </x:c>
      <x:c r="BF474" s="141" t="n">
        <x:f>IF(AND(TRUE,Premissas!$B$11="Imovel",Premissas!$B$47="Moradia",$A474&lt;MAX('Consorcio Direto'!$B$29,Premissas!$B$49)),$D474,0)</x:f>
        <x:v>0</x:v>
      </x:c>
      <x:c r="BG474" s="141" t="n">
        <x:f>IF(AND(TRUE,Premissas!$B$11="Imovel",Premissas!$B$47="Investimento",$A474&gt;=MAX('Consorcio Direto'!$B$29,Premissas!$B$49)),$E474,0)</x:f>
        <x:v>6210.244792226975</x:v>
      </x:c>
      <x:c r="BH474" s="141" t="n">
        <x:f>BD474+BE474+BF474</x:f>
        <x:v>0</x:v>
      </x:c>
      <x:c r="BI474" s="141" t="n">
        <x:f>BG474</x:f>
        <x:v>6210.244792226975</x:v>
      </x:c>
      <x:c r="BJ474" s="141" t="n">
        <x:f>$C474+BI474-BH474</x:f>
        <x:v>6210.244792226975</x:v>
      </x:c>
      <x:c r="BK474" s="141" t="n">
        <x:f>BN473*(1+Premissas!$B$41)+BJ474</x:f>
        <x:v>58616870.29942331</x:v>
      </x:c>
      <x:c r="BL474" s="141" t="n">
        <x:f>MAX(0,-BK474)</x:f>
        <x:v>0</x:v>
      </x:c>
      <x:c r="BM474" s="141" t="n">
        <x:f>BM473*(1+Premissas!$B$41)+BL474</x:f>
        <x:v>0</x:v>
      </x:c>
      <x:c r="BN474" s="141" t="n">
        <x:f>MAX(0,BK474)</x:f>
        <x:v>58616870.29942331</x:v>
      </x:c>
      <x:c r="BO474" s="141" t="n">
        <x:f>INDEX('Consorcio Direto'!$K$55:$K$534,$A474)</x:f>
        <x:v>0</x:v>
      </x:c>
      <x:c r="BP474" s="141" t="n">
        <x:f>IF($A474&lt;'Consorcio Direto'!$B$29,INDEX('Consorcio Direto'!$L$55:$L$534,$A474),$F474)</x:f>
        <x:v>1950147.9602425934</x:v>
      </x:c>
      <x:c r="BQ474" s="141" t="n">
        <x:f>BN474+BP474-BO474</x:f>
        <x:v>60567018.2596659</x:v>
      </x:c>
      <x:c r="BR474" s="141" t="n">
        <x:f>IF(BM474&gt;1,"Inviavel",BQ474)</x:f>
        <x:v>60567018.2596659</x:v>
      </x:c>
      <x:c r="BS474" s="141" t="str">
        <x:f>IF(BM474&gt;1,"Inviavel","OK")</x:f>
        <x:v>OK</x:v>
      </x:c>
      <x:c r="BT474" s="141" t="n">
        <x:f>IF(AND('Carta Contemplada'!$B$22="Sim",$A474='Carta Contemplada'!$B$23),'Carta Contemplada'!$B$37,0)</x:f>
        <x:v>0</x:v>
      </x:c>
      <x:c r="BU474" s="141" t="n">
        <x:f>IF('Carta Contemplada'!$B$22="Sim",INDEX('Carta Contemplada'!$C$55:$C$1013,$A474),0)</x:f>
        <x:v>0</x:v>
      </x:c>
      <x:c r="BV474" s="141" t="n">
        <x:f>IF(AND('Carta Contemplada'!$B$22="Sim",Premissas!$B$11="Imovel",Premissas!$B$47="Moradia",$A474&lt;MAX('Carta Contemplada'!$B$44,Premissas!$B$49)),$D474,0)</x:f>
        <x:v>0</x:v>
      </x:c>
      <x:c r="BW474" s="141" t="n">
        <x:f>IF(AND('Carta Contemplada'!$B$22="Sim",Premissas!$B$11="Imovel",Premissas!$B$47="Investimento",$A474&gt;=MAX('Carta Contemplada'!$B$44,Premissas!$B$49)),$E474,0)</x:f>
        <x:v>6210.244792226975</x:v>
      </x:c>
      <x:c r="BX474" s="141" t="n">
        <x:f>BT474+BU474+BV474</x:f>
        <x:v>0</x:v>
      </x:c>
      <x:c r="BY474" s="141" t="n">
        <x:f>BW474</x:f>
        <x:v>6210.244792226975</x:v>
      </x:c>
      <x:c r="BZ474" s="141" t="n">
        <x:f>$C474+BY474-BX474</x:f>
        <x:v>6210.244792226975</x:v>
      </x:c>
      <x:c r="CA474" s="141" t="n">
        <x:f>CD473*(1+Premissas!$B$41)+BZ474</x:f>
        <x:v>62943453.21670477</x:v>
      </x:c>
      <x:c r="CB474" s="141" t="n">
        <x:f>MAX(0,-CA474)</x:f>
        <x:v>0</x:v>
      </x:c>
      <x:c r="CC474" s="141" t="n">
        <x:f>CC473*(1+Premissas!$B$41)+CB474</x:f>
        <x:v>0</x:v>
      </x:c>
      <x:c r="CD474" s="141" t="n">
        <x:f>MAX(0,CA474)</x:f>
        <x:v>62943453.21670477</x:v>
      </x:c>
      <x:c r="CE474" s="141" t="n">
        <x:f>IF(AND('Carta Contemplada'!$B$22="Sim",$A474&gt;='Carta Contemplada'!$B$23),INDEX('Carta Contemplada'!$I$55:$I$1013,$A474),0)</x:f>
        <x:v>0</x:v>
      </x:c>
      <x:c r="CF474" s="141" t="n">
        <x:f>IF(AND('Carta Contemplada'!$B$22="Sim",$A474&gt;='Carta Contemplada'!$B$44),$F474,0)</x:f>
        <x:v>1950147.9602425934</x:v>
      </x:c>
      <x:c r="CG474" s="141" t="n">
        <x:f>CD474+CF474-CE474</x:f>
        <x:v>64893601.17694736</x:v>
      </x:c>
      <x:c r="CH474" s="141" t="n">
        <x:f>IF(CC474&gt;1,"Inviavel",CG474)</x:f>
        <x:v>64893601.17694736</x:v>
      </x:c>
      <x:c r="CI474" s="145" t="str">
        <x:f>IF(CC474&gt;1,"Inviavel","OK")</x:f>
        <x:v>OK</x:v>
      </x:c>
    </x:row>
    <x:row r="475">
      <x:c r="A475" s="142" t="n">
        <x:v>471</x:v>
      </x:c>
      <x:c r="B475" s="179" t="n">
        <x:f>EDATE(Premissas!$B$4,A475-1)</x:f>
        <x:v>60845</x:v>
      </x:c>
      <x:c r="C475" s="141" t="n">
        <x:f>IF(A475&lt;=Premissas!$B$39,Premissas!$B$42,0)</x:f>
        <x:v>0</x:v>
      </x:c>
      <x:c r="D475" s="141" t="n">
        <x:f>Premissas!$B$54*(1+Premissas!$B$57)^INT((A475-1)/12)</x:f>
        <x:v>6792.455241498254</x:v>
      </x:c>
      <x:c r="E475" s="141" t="n">
        <x:f>Premissas!$B$64*(1+Premissas!$B$57)^INT((A475-1)/12)</x:f>
        <x:v>6210.244792226975</x:v>
      </x:c>
      <x:c r="F475" s="141" t="n">
        <x:f>MAX(0,Premissas!$B$6*(1+Premissas!$B$66)^((A475-1)/12))</x:f>
        <x:v>1959640.4040489742</x:v>
      </x:c>
      <x:c r="G475" s="141" t="n">
        <x:f>G474*(1+Premissas!$B$41)+C475</x:f>
        <x:v>69477081.74564154</x:v>
      </x:c>
      <x:c r="H475" s="141" t="n">
        <x:f>IF($A475=Premissas!$B$48,Premissas!$B$8,0)</x:f>
        <x:v>0</x:v>
      </x:c>
      <x:c r="I475" s="141" t="n">
        <x:f>IF(AND($A475&gt;=Premissas!$B$48,$A475-Premissas!$B$48+1&lt;=Premissas!$B$13),INDEX(Financiamento!$J$6:$J$485,$A475-Premissas!$B$48+1),0)</x:f>
        <x:v>0</x:v>
      </x:c>
      <x:c r="J475" s="141" t="n">
        <x:f>IF(AND(TRUE,Premissas!$B$11="Imovel",Premissas!$B$47="Moradia",$A475&lt;MAX(Premissas!$B$48,Premissas!$B$49)),$D475,0)</x:f>
        <x:v>0</x:v>
      </x:c>
      <x:c r="K475" s="141" t="n">
        <x:f>IF(AND(TRUE,Premissas!$B$11="Imovel",Premissas!$B$47="Investimento",$A475&gt;=MAX(Premissas!$B$48,Premissas!$B$49)),$E475,0)</x:f>
        <x:v>6210.244792226975</x:v>
      </x:c>
      <x:c r="L475" s="141" t="n">
        <x:f>H475+I475+J475</x:f>
        <x:v>0</x:v>
      </x:c>
      <x:c r="M475" s="141" t="n">
        <x:f>K475</x:f>
        <x:v>6210.244792226975</x:v>
      </x:c>
      <x:c r="N475" s="141" t="n">
        <x:f>$C475+M475-L475</x:f>
        <x:v>6210.244792226975</x:v>
      </x:c>
      <x:c r="O475" s="141" t="n">
        <x:f>R474*(1+Premissas!$B$41)+N475</x:f>
        <x:v>61291573.17865967</x:v>
      </x:c>
      <x:c r="P475" s="141" t="n">
        <x:f>MAX(0,-O475)</x:f>
        <x:v>0</x:v>
      </x:c>
      <x:c r="Q475" s="141" t="n">
        <x:f>Q474*(1+Premissas!$B$41)+P475</x:f>
        <x:v>0</x:v>
      </x:c>
      <x:c r="R475" s="141" t="n">
        <x:f>MAX(0,O475)</x:f>
        <x:v>61291573.17865967</x:v>
      </x:c>
      <x:c r="S475" s="141" t="n">
        <x:f>IF(AND($A475&gt;=Premissas!$B$48,$A475-Premissas!$B$48+1&lt;=Premissas!$B$13),INDEX(Financiamento!$M$6:$M$485,$A475-Premissas!$B$48+1),0)</x:f>
        <x:v>0</x:v>
      </x:c>
      <x:c r="T475" s="141" t="n">
        <x:f>IF($A475&gt;=Premissas!$B$48,$F475,0)</x:f>
        <x:v>1959640.4040489742</x:v>
      </x:c>
      <x:c r="U475" s="141" t="n">
        <x:f>R475+T475-S475</x:f>
        <x:v>63251213.58270864</x:v>
      </x:c>
      <x:c r="V475" s="141" t="n">
        <x:f>IF(Q475&gt;1,"Inviavel",U475)</x:f>
        <x:v>63251213.58270864</x:v>
      </x:c>
      <x:c r="W475" s="141" t="str">
        <x:f>IF(Q475&gt;1,"Inviavel","OK")</x:f>
        <x:v>OK</x:v>
      </x:c>
      <x:c r="X475" s="141" t="n">
        <x:f>IF($A475=Premissas!$B$48,Premissas!$B$8,0)</x:f>
        <x:v>0</x:v>
      </x:c>
      <x:c r="Y475" s="141" t="n">
        <x:f>IF(AND($A475&gt;=Premissas!$B$48,$A475-Premissas!$B$48+1&lt;=Premissas!$B$13),INDEX(Amortizacao!$K$6:$K$485,$A475-Premissas!$B$48+1),0)</x:f>
        <x:v>0</x:v>
      </x:c>
      <x:c r="Z475" s="141" t="n">
        <x:f>IF(AND(TRUE,Premissas!$B$11="Imovel",Premissas!$B$47="Moradia",$A475&lt;MAX(Premissas!$B$48,Premissas!$B$49)),$D475,0)</x:f>
        <x:v>0</x:v>
      </x:c>
      <x:c r="AA475" s="141" t="n">
        <x:f>IF(AND(TRUE,Premissas!$B$11="Imovel",Premissas!$B$47="Investimento",$A475&gt;=MAX(Premissas!$B$48,Premissas!$B$49)),$E475,0)</x:f>
        <x:v>6210.244792226975</x:v>
      </x:c>
      <x:c r="AB475" s="141" t="n">
        <x:f>X475+Y475+Z475</x:f>
        <x:v>0</x:v>
      </x:c>
      <x:c r="AC475" s="141" t="n">
        <x:f>AA475</x:f>
        <x:v>6210.244792226975</x:v>
      </x:c>
      <x:c r="AD475" s="141" t="n">
        <x:f>$C475+AC475-AB475</x:f>
        <x:v>6210.244792226975</x:v>
      </x:c>
      <x:c r="AE475" s="141" t="n">
        <x:f>AH474*(1+Premissas!$B$41)+AD475</x:f>
        <x:v>62312985.04501449</x:v>
      </x:c>
      <x:c r="AF475" s="141" t="n">
        <x:f>MAX(0,-AE475)</x:f>
        <x:v>0</x:v>
      </x:c>
      <x:c r="AG475" s="141" t="n">
        <x:f>AG474*(1+Premissas!$B$41)+AF475</x:f>
        <x:v>0</x:v>
      </x:c>
      <x:c r="AH475" s="141" t="n">
        <x:f>MAX(0,AE475)</x:f>
        <x:v>62312985.04501449</x:v>
      </x:c>
      <x:c r="AI475" s="141" t="n">
        <x:f>IF(AND($A475&gt;=Premissas!$B$48,$A475-Premissas!$B$48+1&lt;=Premissas!$B$13),INDEX(Amortizacao!$L$6:$L$485,$A475-Premissas!$B$48+1),0)</x:f>
        <x:v>0</x:v>
      </x:c>
      <x:c r="AJ475" s="141" t="n">
        <x:f>IF($A475&gt;=Premissas!$B$48,$F475,0)</x:f>
        <x:v>1959640.4040489742</x:v>
      </x:c>
      <x:c r="AK475" s="141" t="n">
        <x:f>AH475+AJ475-AI475</x:f>
        <x:v>64272625.449063465</x:v>
      </x:c>
      <x:c r="AL475" s="141" t="n">
        <x:f>IF(AG475&gt;1,"Inviavel",AK475)</x:f>
        <x:v>64272625.449063465</x:v>
      </x:c>
      <x:c r="AM475" s="141" t="str">
        <x:f>IF(AG475&gt;1,"Inviavel","OK")</x:f>
        <x:v>OK</x:v>
      </x:c>
      <x:c r="AN475" s="141" t="n">
        <x:f>IF($A475=Premissas!$B$48,Premissas!$B$8,0)</x:f>
        <x:v>0</x:v>
      </x:c>
      <x:c r="AO475" s="141" t="n">
        <x:f>IF($A475&lt;=Premissas!$B$25,INDEX('Consorcio IQ'!$K$6:$K$485,$A475),0)</x:f>
        <x:v>0</x:v>
      </x:c>
      <x:c r="AP475" s="141" t="n">
        <x:f>IF(AND(TRUE,Premissas!$B$11="Imovel",Premissas!$B$47="Moradia",$A475&lt;MAX(Premissas!$B$48,Premissas!$B$49)),$D475,0)</x:f>
        <x:v>0</x:v>
      </x:c>
      <x:c r="AQ475" s="141" t="n">
        <x:f>IF(AND(TRUE,Premissas!$B$11="Imovel",Premissas!$B$47="Investimento",$A475&gt;=MAX(Premissas!$B$48,Premissas!$B$49)),$E475,0)</x:f>
        <x:v>6210.244792226975</x:v>
      </x:c>
      <x:c r="AR475" s="141" t="n">
        <x:f>AN475+AO475+AP475</x:f>
        <x:v>0</x:v>
      </x:c>
      <x:c r="AS475" s="141" t="n">
        <x:f>AQ475</x:f>
        <x:v>6210.244792226975</x:v>
      </x:c>
      <x:c r="AT475" s="141" t="n">
        <x:f>$C475+AS475-AR475</x:f>
        <x:v>6210.244792226975</x:v>
      </x:c>
      <x:c r="AU475" s="141" t="n">
        <x:f>AX474*(1+Premissas!$B$41)+AT475</x:f>
        <x:v>61823679.82399676</x:v>
      </x:c>
      <x:c r="AV475" s="141" t="n">
        <x:f>MAX(0,-AU475)</x:f>
        <x:v>0</x:v>
      </x:c>
      <x:c r="AW475" s="141" t="n">
        <x:f>AW474*(1+Premissas!$B$41)+AV475</x:f>
        <x:v>0</x:v>
      </x:c>
      <x:c r="AX475" s="141" t="n">
        <x:f>MAX(0,AU475)</x:f>
        <x:v>61823679.82399676</x:v>
      </x:c>
      <x:c r="AY475" s="141" t="n">
        <x:f>INDEX('Consorcio IQ'!$P$6:$P$485,$A475)</x:f>
        <x:v>0</x:v>
      </x:c>
      <x:c r="AZ475" s="141" t="n">
        <x:f>IF($A475&gt;=Premissas!$B$48,$F475,0)+IF($A475&lt;Premissas!$B$27,INDEX('Consorcio IQ'!$O$6:$O$485,$A475),0)</x:f>
        <x:v>1959640.4040489742</x:v>
      </x:c>
      <x:c r="BA475" s="141" t="n">
        <x:f>AX475+AZ475-AY475</x:f>
        <x:v>63783320.22804573</x:v>
      </x:c>
      <x:c r="BB475" s="141" t="n">
        <x:f>IF(AW475&gt;1,"Inviavel",BA475)</x:f>
        <x:v>63783320.22804573</x:v>
      </x:c>
      <x:c r="BC475" s="141" t="str">
        <x:f>IF(AW475&gt;1,"Inviavel","OK")</x:f>
        <x:v>OK</x:v>
      </x:c>
      <x:c r="BD475" s="141" t="n">
        <x:f>IF($A475='Consorcio Direto'!$B$29,'Consorcio Direto'!$B$44,0)</x:f>
        <x:v>0</x:v>
      </x:c>
      <x:c r="BE475" s="141" t="n">
        <x:f>IF($A475&lt;='Consorcio Direto'!$B$27,INDEX('Consorcio Direto'!$E$55:$E$534,$A475),0)</x:f>
        <x:v>0</x:v>
      </x:c>
      <x:c r="BF475" s="141" t="n">
        <x:f>IF(AND(TRUE,Premissas!$B$11="Imovel",Premissas!$B$47="Moradia",$A475&lt;MAX('Consorcio Direto'!$B$29,Premissas!$B$49)),$D475,0)</x:f>
        <x:v>0</x:v>
      </x:c>
      <x:c r="BG475" s="141" t="n">
        <x:f>IF(AND(TRUE,Premissas!$B$11="Imovel",Premissas!$B$47="Investimento",$A475&gt;=MAX('Consorcio Direto'!$B$29,Premissas!$B$49)),$E475,0)</x:f>
        <x:v>6210.244792226975</x:v>
      </x:c>
      <x:c r="BH475" s="141" t="n">
        <x:f>BD475+BE475+BF475</x:f>
        <x:v>0</x:v>
      </x:c>
      <x:c r="BI475" s="141" t="n">
        <x:f>BG475</x:f>
        <x:v>6210.244792226975</x:v>
      </x:c>
      <x:c r="BJ475" s="141" t="n">
        <x:f>$C475+BI475-BH475</x:f>
        <x:v>6210.244792226975</x:v>
      </x:c>
      <x:c r="BK475" s="141" t="n">
        <x:f>BN474*(1+Premissas!$B$41)+BJ475</x:f>
        <x:v>59179283.88896008</x:v>
      </x:c>
      <x:c r="BL475" s="141" t="n">
        <x:f>MAX(0,-BK475)</x:f>
        <x:v>0</x:v>
      </x:c>
      <x:c r="BM475" s="141" t="n">
        <x:f>BM474*(1+Premissas!$B$41)+BL475</x:f>
        <x:v>0</x:v>
      </x:c>
      <x:c r="BN475" s="141" t="n">
        <x:f>MAX(0,BK475)</x:f>
        <x:v>59179283.88896008</x:v>
      </x:c>
      <x:c r="BO475" s="141" t="n">
        <x:f>INDEX('Consorcio Direto'!$K$55:$K$534,$A475)</x:f>
        <x:v>0</x:v>
      </x:c>
      <x:c r="BP475" s="141" t="n">
        <x:f>IF($A475&lt;'Consorcio Direto'!$B$29,INDEX('Consorcio Direto'!$L$55:$L$534,$A475),$F475)</x:f>
        <x:v>1959640.4040489742</x:v>
      </x:c>
      <x:c r="BQ475" s="141" t="n">
        <x:f>BN475+BP475-BO475</x:f>
        <x:v>61138924.29300905</x:v>
      </x:c>
      <x:c r="BR475" s="141" t="n">
        <x:f>IF(BM475&gt;1,"Inviavel",BQ475)</x:f>
        <x:v>61138924.29300905</x:v>
      </x:c>
      <x:c r="BS475" s="141" t="str">
        <x:f>IF(BM475&gt;1,"Inviavel","OK")</x:f>
        <x:v>OK</x:v>
      </x:c>
      <x:c r="BT475" s="141" t="n">
        <x:f>IF(AND('Carta Contemplada'!$B$22="Sim",$A475='Carta Contemplada'!$B$23),'Carta Contemplada'!$B$37,0)</x:f>
        <x:v>0</x:v>
      </x:c>
      <x:c r="BU475" s="141" t="n">
        <x:f>IF('Carta Contemplada'!$B$22="Sim",INDEX('Carta Contemplada'!$C$55:$C$1013,$A475),0)</x:f>
        <x:v>0</x:v>
      </x:c>
      <x:c r="BV475" s="141" t="n">
        <x:f>IF(AND('Carta Contemplada'!$B$22="Sim",Premissas!$B$11="Imovel",Premissas!$B$47="Moradia",$A475&lt;MAX('Carta Contemplada'!$B$44,Premissas!$B$49)),$D475,0)</x:f>
        <x:v>0</x:v>
      </x:c>
      <x:c r="BW475" s="141" t="n">
        <x:f>IF(AND('Carta Contemplada'!$B$22="Sim",Premissas!$B$11="Imovel",Premissas!$B$47="Investimento",$A475&gt;=MAX('Carta Contemplada'!$B$44,Premissas!$B$49)),$E475,0)</x:f>
        <x:v>6210.244792226975</x:v>
      </x:c>
      <x:c r="BX475" s="141" t="n">
        <x:f>BT475+BU475+BV475</x:f>
        <x:v>0</x:v>
      </x:c>
      <x:c r="BY475" s="141" t="n">
        <x:f>BW475</x:f>
        <x:v>6210.244792226975</x:v>
      </x:c>
      <x:c r="BZ475" s="141" t="n">
        <x:f>$C475+BY475-BX475</x:f>
        <x:v>6210.244792226975</x:v>
      </x:c>
      <x:c r="CA475" s="141" t="n">
        <x:f>CD474*(1+Premissas!$B$41)+BZ475</x:f>
        <x:v>63546920.85565793</x:v>
      </x:c>
      <x:c r="CB475" s="141" t="n">
        <x:f>MAX(0,-CA475)</x:f>
        <x:v>0</x:v>
      </x:c>
      <x:c r="CC475" s="141" t="n">
        <x:f>CC474*(1+Premissas!$B$41)+CB475</x:f>
        <x:v>0</x:v>
      </x:c>
      <x:c r="CD475" s="141" t="n">
        <x:f>MAX(0,CA475)</x:f>
        <x:v>63546920.85565793</x:v>
      </x:c>
      <x:c r="CE475" s="141" t="n">
        <x:f>IF(AND('Carta Contemplada'!$B$22="Sim",$A475&gt;='Carta Contemplada'!$B$23),INDEX('Carta Contemplada'!$I$55:$I$1013,$A475),0)</x:f>
        <x:v>0</x:v>
      </x:c>
      <x:c r="CF475" s="141" t="n">
        <x:f>IF(AND('Carta Contemplada'!$B$22="Sim",$A475&gt;='Carta Contemplada'!$B$44),$F475,0)</x:f>
        <x:v>1959640.4040489742</x:v>
      </x:c>
      <x:c r="CG475" s="141" t="n">
        <x:f>CD475+CF475-CE475</x:f>
        <x:v>65506561.2597069</x:v>
      </x:c>
      <x:c r="CH475" s="141" t="n">
        <x:f>IF(CC475&gt;1,"Inviavel",CG475)</x:f>
        <x:v>65506561.2597069</x:v>
      </x:c>
      <x:c r="CI475" s="145" t="str">
        <x:f>IF(CC475&gt;1,"Inviavel","OK")</x:f>
        <x:v>OK</x:v>
      </x:c>
    </x:row>
    <x:row r="476">
      <x:c r="A476" s="142" t="n">
        <x:v>472</x:v>
      </x:c>
      <x:c r="B476" s="179" t="n">
        <x:f>EDATE(Premissas!$B$4,A476-1)</x:f>
        <x:v>60876</x:v>
      </x:c>
      <x:c r="C476" s="141" t="n">
        <x:f>IF(A476&lt;=Premissas!$B$39,Premissas!$B$42,0)</x:f>
        <x:v>0</x:v>
      </x:c>
      <x:c r="D476" s="141" t="n">
        <x:f>Premissas!$B$54*(1+Premissas!$B$57)^INT((A476-1)/12)</x:f>
        <x:v>6792.455241498254</x:v>
      </x:c>
      <x:c r="E476" s="141" t="n">
        <x:f>Premissas!$B$64*(1+Premissas!$B$57)^INT((A476-1)/12)</x:f>
        <x:v>6210.244792226975</x:v>
      </x:c>
      <x:c r="F476" s="141" t="n">
        <x:f>MAX(0,Premissas!$B$6*(1+Premissas!$B$66)^((A476-1)/12))</x:f>
        <x:v>1969179.0528055718</x:v>
      </x:c>
      <x:c r="G476" s="141" t="n">
        <x:f>G475*(1+Premissas!$B$41)+C476</x:f>
        <x:v>70136335.38802503</x:v>
      </x:c>
      <x:c r="H476" s="141" t="n">
        <x:f>IF($A476=Premissas!$B$48,Premissas!$B$8,0)</x:f>
        <x:v>0</x:v>
      </x:c>
      <x:c r="I476" s="141" t="n">
        <x:f>IF(AND($A476&gt;=Premissas!$B$48,$A476-Premissas!$B$48+1&lt;=Premissas!$B$13),INDEX(Financiamento!$J$6:$J$485,$A476-Premissas!$B$48+1),0)</x:f>
        <x:v>0</x:v>
      </x:c>
      <x:c r="J476" s="141" t="n">
        <x:f>IF(AND(TRUE,Premissas!$B$11="Imovel",Premissas!$B$47="Moradia",$A476&lt;MAX(Premissas!$B$48,Premissas!$B$49)),$D476,0)</x:f>
        <x:v>0</x:v>
      </x:c>
      <x:c r="K476" s="141" t="n">
        <x:f>IF(AND(TRUE,Premissas!$B$11="Imovel",Premissas!$B$47="Investimento",$A476&gt;=MAX(Premissas!$B$48,Premissas!$B$49)),$E476,0)</x:f>
        <x:v>6210.244792226975</x:v>
      </x:c>
      <x:c r="L476" s="141" t="n">
        <x:f>H476+I476+J476</x:f>
        <x:v>0</x:v>
      </x:c>
      <x:c r="M476" s="141" t="n">
        <x:f>K476</x:f>
        <x:v>6210.244792226975</x:v>
      </x:c>
      <x:c r="N476" s="141" t="n">
        <x:f>$C476+M476-L476</x:f>
        <x:v>6210.244792226975</x:v>
      </x:c>
      <x:c r="O476" s="141" t="n">
        <x:f>R475*(1+Premissas!$B$41)+N476</x:f>
        <x:v>61879366.46997905</x:v>
      </x:c>
      <x:c r="P476" s="141" t="n">
        <x:f>MAX(0,-O476)</x:f>
        <x:v>0</x:v>
      </x:c>
      <x:c r="Q476" s="141" t="n">
        <x:f>Q475*(1+Premissas!$B$41)+P476</x:f>
        <x:v>0</x:v>
      </x:c>
      <x:c r="R476" s="141" t="n">
        <x:f>MAX(0,O476)</x:f>
        <x:v>61879366.46997905</x:v>
      </x:c>
      <x:c r="S476" s="141" t="n">
        <x:f>IF(AND($A476&gt;=Premissas!$B$48,$A476-Premissas!$B$48+1&lt;=Premissas!$B$13),INDEX(Financiamento!$M$6:$M$485,$A476-Premissas!$B$48+1),0)</x:f>
        <x:v>0</x:v>
      </x:c>
      <x:c r="T476" s="141" t="n">
        <x:f>IF($A476&gt;=Premissas!$B$48,$F476,0)</x:f>
        <x:v>1969179.0528055718</x:v>
      </x:c>
      <x:c r="U476" s="141" t="n">
        <x:f>R476+T476-S476</x:f>
        <x:v>63848545.52278462</x:v>
      </x:c>
      <x:c r="V476" s="141" t="n">
        <x:f>IF(Q476&gt;1,"Inviavel",U476)</x:f>
        <x:v>63848545.52278462</x:v>
      </x:c>
      <x:c r="W476" s="141" t="str">
        <x:f>IF(Q476&gt;1,"Inviavel","OK")</x:f>
        <x:v>OK</x:v>
      </x:c>
      <x:c r="X476" s="141" t="n">
        <x:f>IF($A476=Premissas!$B$48,Premissas!$B$8,0)</x:f>
        <x:v>0</x:v>
      </x:c>
      <x:c r="Y476" s="141" t="n">
        <x:f>IF(AND($A476&gt;=Premissas!$B$48,$A476-Premissas!$B$48+1&lt;=Premissas!$B$13),INDEX(Amortizacao!$K$6:$K$485,$A476-Premissas!$B$48+1),0)</x:f>
        <x:v>0</x:v>
      </x:c>
      <x:c r="Z476" s="141" t="n">
        <x:f>IF(AND(TRUE,Premissas!$B$11="Imovel",Premissas!$B$47="Moradia",$A476&lt;MAX(Premissas!$B$48,Premissas!$B$49)),$D476,0)</x:f>
        <x:v>0</x:v>
      </x:c>
      <x:c r="AA476" s="141" t="n">
        <x:f>IF(AND(TRUE,Premissas!$B$11="Imovel",Premissas!$B$47="Investimento",$A476&gt;=MAX(Premissas!$B$48,Premissas!$B$49)),$E476,0)</x:f>
        <x:v>6210.244792226975</x:v>
      </x:c>
      <x:c r="AB476" s="141" t="n">
        <x:f>X476+Y476+Z476</x:f>
        <x:v>0</x:v>
      </x:c>
      <x:c r="AC476" s="141" t="n">
        <x:f>AA476</x:f>
        <x:v>6210.244792226975</x:v>
      </x:c>
      <x:c r="AD476" s="141" t="n">
        <x:f>$C476+AC476-AB476</x:f>
        <x:v>6210.244792226975</x:v>
      </x:c>
      <x:c r="AE476" s="141" t="n">
        <x:f>AH475*(1+Premissas!$B$41)+AD476</x:f>
        <x:v>62910470.30203464</x:v>
      </x:c>
      <x:c r="AF476" s="141" t="n">
        <x:f>MAX(0,-AE476)</x:f>
        <x:v>0</x:v>
      </x:c>
      <x:c r="AG476" s="141" t="n">
        <x:f>AG475*(1+Premissas!$B$41)+AF476</x:f>
        <x:v>0</x:v>
      </x:c>
      <x:c r="AH476" s="141" t="n">
        <x:f>MAX(0,AE476)</x:f>
        <x:v>62910470.30203464</x:v>
      </x:c>
      <x:c r="AI476" s="141" t="n">
        <x:f>IF(AND($A476&gt;=Premissas!$B$48,$A476-Premissas!$B$48+1&lt;=Premissas!$B$13),INDEX(Amortizacao!$L$6:$L$485,$A476-Premissas!$B$48+1),0)</x:f>
        <x:v>0</x:v>
      </x:c>
      <x:c r="AJ476" s="141" t="n">
        <x:f>IF($A476&gt;=Premissas!$B$48,$F476,0)</x:f>
        <x:v>1969179.0528055718</x:v>
      </x:c>
      <x:c r="AK476" s="141" t="n">
        <x:f>AH476+AJ476-AI476</x:f>
        <x:v>64879649.35484021</x:v>
      </x:c>
      <x:c r="AL476" s="141" t="n">
        <x:f>IF(AG476&gt;1,"Inviavel",AK476)</x:f>
        <x:v>64879649.35484021</x:v>
      </x:c>
      <x:c r="AM476" s="141" t="str">
        <x:f>IF(AG476&gt;1,"Inviavel","OK")</x:f>
        <x:v>OK</x:v>
      </x:c>
      <x:c r="AN476" s="141" t="n">
        <x:f>IF($A476=Premissas!$B$48,Premissas!$B$8,0)</x:f>
        <x:v>0</x:v>
      </x:c>
      <x:c r="AO476" s="141" t="n">
        <x:f>IF($A476&lt;=Premissas!$B$25,INDEX('Consorcio IQ'!$K$6:$K$485,$A476),0)</x:f>
        <x:v>0</x:v>
      </x:c>
      <x:c r="AP476" s="141" t="n">
        <x:f>IF(AND(TRUE,Premissas!$B$11="Imovel",Premissas!$B$47="Moradia",$A476&lt;MAX(Premissas!$B$48,Premissas!$B$49)),$D476,0)</x:f>
        <x:v>0</x:v>
      </x:c>
      <x:c r="AQ476" s="141" t="n">
        <x:f>IF(AND(TRUE,Premissas!$B$11="Imovel",Premissas!$B$47="Investimento",$A476&gt;=MAX(Premissas!$B$48,Premissas!$B$49)),$E476,0)</x:f>
        <x:v>6210.244792226975</x:v>
      </x:c>
      <x:c r="AR476" s="141" t="n">
        <x:f>AN476+AO476+AP476</x:f>
        <x:v>0</x:v>
      </x:c>
      <x:c r="AS476" s="141" t="n">
        <x:f>AQ476</x:f>
        <x:v>6210.244792226975</x:v>
      </x:c>
      <x:c r="AT476" s="141" t="n">
        <x:f>$C476+AS476-AR476</x:f>
        <x:v>6210.244792226975</x:v>
      </x:c>
      <x:c r="AU476" s="141" t="n">
        <x:f>AX475*(1+Premissas!$B$41)+AT476</x:f>
        <x:v>62416522.165092856</x:v>
      </x:c>
      <x:c r="AV476" s="141" t="n">
        <x:f>MAX(0,-AU476)</x:f>
        <x:v>0</x:v>
      </x:c>
      <x:c r="AW476" s="141" t="n">
        <x:f>AW475*(1+Premissas!$B$41)+AV476</x:f>
        <x:v>0</x:v>
      </x:c>
      <x:c r="AX476" s="141" t="n">
        <x:f>MAX(0,AU476)</x:f>
        <x:v>62416522.165092856</x:v>
      </x:c>
      <x:c r="AY476" s="141" t="n">
        <x:f>INDEX('Consorcio IQ'!$P$6:$P$485,$A476)</x:f>
        <x:v>0</x:v>
      </x:c>
      <x:c r="AZ476" s="141" t="n">
        <x:f>IF($A476&gt;=Premissas!$B$48,$F476,0)+IF($A476&lt;Premissas!$B$27,INDEX('Consorcio IQ'!$O$6:$O$485,$A476),0)</x:f>
        <x:v>1969179.0528055718</x:v>
      </x:c>
      <x:c r="BA476" s="141" t="n">
        <x:f>AX476+AZ476-AY476</x:f>
        <x:v>64385701.21789843</x:v>
      </x:c>
      <x:c r="BB476" s="141" t="n">
        <x:f>IF(AW476&gt;1,"Inviavel",BA476)</x:f>
        <x:v>64385701.21789843</x:v>
      </x:c>
      <x:c r="BC476" s="141" t="str">
        <x:f>IF(AW476&gt;1,"Inviavel","OK")</x:f>
        <x:v>OK</x:v>
      </x:c>
      <x:c r="BD476" s="141" t="n">
        <x:f>IF($A476='Consorcio Direto'!$B$29,'Consorcio Direto'!$B$44,0)</x:f>
        <x:v>0</x:v>
      </x:c>
      <x:c r="BE476" s="141" t="n">
        <x:f>IF($A476&lt;='Consorcio Direto'!$B$27,INDEX('Consorcio Direto'!$E$55:$E$534,$A476),0)</x:f>
        <x:v>0</x:v>
      </x:c>
      <x:c r="BF476" s="141" t="n">
        <x:f>IF(AND(TRUE,Premissas!$B$11="Imovel",Premissas!$B$47="Moradia",$A476&lt;MAX('Consorcio Direto'!$B$29,Premissas!$B$49)),$D476,0)</x:f>
        <x:v>0</x:v>
      </x:c>
      <x:c r="BG476" s="141" t="n">
        <x:f>IF(AND(TRUE,Premissas!$B$11="Imovel",Premissas!$B$47="Investimento",$A476&gt;=MAX('Consorcio Direto'!$B$29,Premissas!$B$49)),$E476,0)</x:f>
        <x:v>6210.244792226975</x:v>
      </x:c>
      <x:c r="BH476" s="141" t="n">
        <x:f>BD476+BE476+BF476</x:f>
        <x:v>0</x:v>
      </x:c>
      <x:c r="BI476" s="141" t="n">
        <x:f>BG476</x:f>
        <x:v>6210.244792226975</x:v>
      </x:c>
      <x:c r="BJ476" s="141" t="n">
        <x:f>$C476+BI476-BH476</x:f>
        <x:v>6210.244792226975</x:v>
      </x:c>
      <x:c r="BK476" s="141" t="n">
        <x:f>BN475*(1+Premissas!$B$41)+BJ476</x:f>
        <x:v>59747034.104591556</x:v>
      </x:c>
      <x:c r="BL476" s="141" t="n">
        <x:f>MAX(0,-BK476)</x:f>
        <x:v>0</x:v>
      </x:c>
      <x:c r="BM476" s="141" t="n">
        <x:f>BM475*(1+Premissas!$B$41)+BL476</x:f>
        <x:v>0</x:v>
      </x:c>
      <x:c r="BN476" s="141" t="n">
        <x:f>MAX(0,BK476)</x:f>
        <x:v>59747034.104591556</x:v>
      </x:c>
      <x:c r="BO476" s="141" t="n">
        <x:f>INDEX('Consorcio Direto'!$K$55:$K$534,$A476)</x:f>
        <x:v>0</x:v>
      </x:c>
      <x:c r="BP476" s="141" t="n">
        <x:f>IF($A476&lt;'Consorcio Direto'!$B$29,INDEX('Consorcio Direto'!$L$55:$L$534,$A476),$F476)</x:f>
        <x:v>1969179.0528055718</x:v>
      </x:c>
      <x:c r="BQ476" s="141" t="n">
        <x:f>BN476+BP476-BO476</x:f>
        <x:v>61716213.15739713</x:v>
      </x:c>
      <x:c r="BR476" s="141" t="n">
        <x:f>IF(BM476&gt;1,"Inviavel",BQ476)</x:f>
        <x:v>61716213.15739713</x:v>
      </x:c>
      <x:c r="BS476" s="141" t="str">
        <x:f>IF(BM476&gt;1,"Inviavel","OK")</x:f>
        <x:v>OK</x:v>
      </x:c>
      <x:c r="BT476" s="141" t="n">
        <x:f>IF(AND('Carta Contemplada'!$B$22="Sim",$A476='Carta Contemplada'!$B$23),'Carta Contemplada'!$B$37,0)</x:f>
        <x:v>0</x:v>
      </x:c>
      <x:c r="BU476" s="141" t="n">
        <x:f>IF('Carta Contemplada'!$B$22="Sim",INDEX('Carta Contemplada'!$C$55:$C$1013,$A476),0)</x:f>
        <x:v>0</x:v>
      </x:c>
      <x:c r="BV476" s="141" t="n">
        <x:f>IF(AND('Carta Contemplada'!$B$22="Sim",Premissas!$B$11="Imovel",Premissas!$B$47="Moradia",$A476&lt;MAX('Carta Contemplada'!$B$44,Premissas!$B$49)),$D476,0)</x:f>
        <x:v>0</x:v>
      </x:c>
      <x:c r="BW476" s="141" t="n">
        <x:f>IF(AND('Carta Contemplada'!$B$22="Sim",Premissas!$B$11="Imovel",Premissas!$B$47="Investimento",$A476&gt;=MAX('Carta Contemplada'!$B$44,Premissas!$B$49)),$E476,0)</x:f>
        <x:v>6210.244792226975</x:v>
      </x:c>
      <x:c r="BX476" s="141" t="n">
        <x:f>BT476+BU476+BV476</x:f>
        <x:v>0</x:v>
      </x:c>
      <x:c r="BY476" s="141" t="n">
        <x:f>BW476</x:f>
        <x:v>6210.244792226975</x:v>
      </x:c>
      <x:c r="BZ476" s="141" t="n">
        <x:f>$C476+BY476-BX476</x:f>
        <x:v>6210.244792226975</x:v>
      </x:c>
      <x:c r="CA476" s="141" t="n">
        <x:f>CD475*(1+Premissas!$B$41)+BZ476</x:f>
        <x:v>64156114.674079835</x:v>
      </x:c>
      <x:c r="CB476" s="141" t="n">
        <x:f>MAX(0,-CA476)</x:f>
        <x:v>0</x:v>
      </x:c>
      <x:c r="CC476" s="141" t="n">
        <x:f>CC475*(1+Premissas!$B$41)+CB476</x:f>
        <x:v>0</x:v>
      </x:c>
      <x:c r="CD476" s="141" t="n">
        <x:f>MAX(0,CA476)</x:f>
        <x:v>64156114.674079835</x:v>
      </x:c>
      <x:c r="CE476" s="141" t="n">
        <x:f>IF(AND('Carta Contemplada'!$B$22="Sim",$A476&gt;='Carta Contemplada'!$B$23),INDEX('Carta Contemplada'!$I$55:$I$1013,$A476),0)</x:f>
        <x:v>0</x:v>
      </x:c>
      <x:c r="CF476" s="141" t="n">
        <x:f>IF(AND('Carta Contemplada'!$B$22="Sim",$A476&gt;='Carta Contemplada'!$B$44),$F476,0)</x:f>
        <x:v>1969179.0528055718</x:v>
      </x:c>
      <x:c r="CG476" s="141" t="n">
        <x:f>CD476+CF476-CE476</x:f>
        <x:v>66125293.72688541</x:v>
      </x:c>
      <x:c r="CH476" s="141" t="n">
        <x:f>IF(CC476&gt;1,"Inviavel",CG476)</x:f>
        <x:v>66125293.72688541</x:v>
      </x:c>
      <x:c r="CI476" s="145" t="str">
        <x:f>IF(CC476&gt;1,"Inviavel","OK")</x:f>
        <x:v>OK</x:v>
      </x:c>
    </x:row>
    <x:row r="477">
      <x:c r="A477" s="142" t="n">
        <x:v>473</x:v>
      </x:c>
      <x:c r="B477" s="179" t="n">
        <x:f>EDATE(Premissas!$B$4,A477-1)</x:f>
        <x:v>60906</x:v>
      </x:c>
      <x:c r="C477" s="141" t="n">
        <x:f>IF(A477&lt;=Premissas!$B$39,Premissas!$B$42,0)</x:f>
        <x:v>0</x:v>
      </x:c>
      <x:c r="D477" s="141" t="n">
        <x:f>Premissas!$B$54*(1+Premissas!$B$57)^INT((A477-1)/12)</x:f>
        <x:v>6792.455241498254</x:v>
      </x:c>
      <x:c r="E477" s="141" t="n">
        <x:f>Premissas!$B$64*(1+Premissas!$B$57)^INT((A477-1)/12)</x:f>
        <x:v>6210.244792226975</x:v>
      </x:c>
      <x:c r="F477" s="141" t="n">
        <x:f>MAX(0,Premissas!$B$6*(1+Premissas!$B$66)^((A477-1)/12))</x:f>
        <x:v>1978764.1314173178</x:v>
      </x:c>
      <x:c r="G477" s="141" t="n">
        <x:f>G476*(1+Premissas!$B$41)+C477</x:f>
        <x:v>70801844.55171247</x:v>
      </x:c>
      <x:c r="H477" s="141" t="n">
        <x:f>IF($A477=Premissas!$B$48,Premissas!$B$8,0)</x:f>
        <x:v>0</x:v>
      </x:c>
      <x:c r="I477" s="141" t="n">
        <x:f>IF(AND($A477&gt;=Premissas!$B$48,$A477-Premissas!$B$48+1&lt;=Premissas!$B$13),INDEX(Financiamento!$J$6:$J$485,$A477-Premissas!$B$48+1),0)</x:f>
        <x:v>0</x:v>
      </x:c>
      <x:c r="J477" s="141" t="n">
        <x:f>IF(AND(TRUE,Premissas!$B$11="Imovel",Premissas!$B$47="Moradia",$A477&lt;MAX(Premissas!$B$48,Premissas!$B$49)),$D477,0)</x:f>
        <x:v>0</x:v>
      </x:c>
      <x:c r="K477" s="141" t="n">
        <x:f>IF(AND(TRUE,Premissas!$B$11="Imovel",Premissas!$B$47="Investimento",$A477&gt;=MAX(Premissas!$B$48,Premissas!$B$49)),$E477,0)</x:f>
        <x:v>6210.244792226975</x:v>
      </x:c>
      <x:c r="L477" s="141" t="n">
        <x:f>H477+I477+J477</x:f>
        <x:v>0</x:v>
      </x:c>
      <x:c r="M477" s="141" t="n">
        <x:f>K477</x:f>
        <x:v>6210.244792226975</x:v>
      </x:c>
      <x:c r="N477" s="141" t="n">
        <x:f>$C477+M477-L477</x:f>
        <x:v>6210.244792226975</x:v>
      </x:c>
      <x:c r="O477" s="141" t="n">
        <x:f>R476*(1+Premissas!$B$41)+N477</x:f>
        <x:v>62472737.21012809</x:v>
      </x:c>
      <x:c r="P477" s="141" t="n">
        <x:f>MAX(0,-O477)</x:f>
        <x:v>0</x:v>
      </x:c>
      <x:c r="Q477" s="141" t="n">
        <x:f>Q476*(1+Premissas!$B$41)+P477</x:f>
        <x:v>0</x:v>
      </x:c>
      <x:c r="R477" s="141" t="n">
        <x:f>MAX(0,O477)</x:f>
        <x:v>62472737.21012809</x:v>
      </x:c>
      <x:c r="S477" s="141" t="n">
        <x:f>IF(AND($A477&gt;=Premissas!$B$48,$A477-Premissas!$B$48+1&lt;=Premissas!$B$13),INDEX(Financiamento!$M$6:$M$485,$A477-Premissas!$B$48+1),0)</x:f>
        <x:v>0</x:v>
      </x:c>
      <x:c r="T477" s="141" t="n">
        <x:f>IF($A477&gt;=Premissas!$B$48,$F477,0)</x:f>
        <x:v>1978764.1314173178</x:v>
      </x:c>
      <x:c r="U477" s="141" t="n">
        <x:f>R477+T477-S477</x:f>
        <x:v>64451501.34154541</x:v>
      </x:c>
      <x:c r="V477" s="141" t="n">
        <x:f>IF(Q477&gt;1,"Inviavel",U477)</x:f>
        <x:v>64451501.34154541</x:v>
      </x:c>
      <x:c r="W477" s="141" t="str">
        <x:f>IF(Q477&gt;1,"Inviavel","OK")</x:f>
        <x:v>OK</x:v>
      </x:c>
      <x:c r="X477" s="141" t="n">
        <x:f>IF($A477=Premissas!$B$48,Premissas!$B$8,0)</x:f>
        <x:v>0</x:v>
      </x:c>
      <x:c r="Y477" s="141" t="n">
        <x:f>IF(AND($A477&gt;=Premissas!$B$48,$A477-Premissas!$B$48+1&lt;=Premissas!$B$13),INDEX(Amortizacao!$K$6:$K$485,$A477-Premissas!$B$48+1),0)</x:f>
        <x:v>0</x:v>
      </x:c>
      <x:c r="Z477" s="141" t="n">
        <x:f>IF(AND(TRUE,Premissas!$B$11="Imovel",Premissas!$B$47="Moradia",$A477&lt;MAX(Premissas!$B$48,Premissas!$B$49)),$D477,0)</x:f>
        <x:v>0</x:v>
      </x:c>
      <x:c r="AA477" s="141" t="n">
        <x:f>IF(AND(TRUE,Premissas!$B$11="Imovel",Premissas!$B$47="Investimento",$A477&gt;=MAX(Premissas!$B$48,Premissas!$B$49)),$E477,0)</x:f>
        <x:v>6210.244792226975</x:v>
      </x:c>
      <x:c r="AB477" s="141" t="n">
        <x:f>X477+Y477+Z477</x:f>
        <x:v>0</x:v>
      </x:c>
      <x:c r="AC477" s="141" t="n">
        <x:f>AA477</x:f>
        <x:v>6210.244792226975</x:v>
      </x:c>
      <x:c r="AD477" s="141" t="n">
        <x:f>$C477+AC477-AB477</x:f>
        <x:v>6210.244792226975</x:v>
      </x:c>
      <x:c r="AE477" s="141" t="n">
        <x:f>AH476*(1+Premissas!$B$41)+AD477</x:f>
        <x:v>63513624.97294011</x:v>
      </x:c>
      <x:c r="AF477" s="141" t="n">
        <x:f>MAX(0,-AE477)</x:f>
        <x:v>0</x:v>
      </x:c>
      <x:c r="AG477" s="141" t="n">
        <x:f>AG476*(1+Premissas!$B$41)+AF477</x:f>
        <x:v>0</x:v>
      </x:c>
      <x:c r="AH477" s="141" t="n">
        <x:f>MAX(0,AE477)</x:f>
        <x:v>63513624.97294011</x:v>
      </x:c>
      <x:c r="AI477" s="141" t="n">
        <x:f>IF(AND($A477&gt;=Premissas!$B$48,$A477-Premissas!$B$48+1&lt;=Premissas!$B$13),INDEX(Amortizacao!$L$6:$L$485,$A477-Premissas!$B$48+1),0)</x:f>
        <x:v>0</x:v>
      </x:c>
      <x:c r="AJ477" s="141" t="n">
        <x:f>IF($A477&gt;=Premissas!$B$48,$F477,0)</x:f>
        <x:v>1978764.1314173178</x:v>
      </x:c>
      <x:c r="AK477" s="141" t="n">
        <x:f>AH477+AJ477-AI477</x:f>
        <x:v>65492389.10435743</x:v>
      </x:c>
      <x:c r="AL477" s="141" t="n">
        <x:f>IF(AG477&gt;1,"Inviavel",AK477)</x:f>
        <x:v>65492389.10435743</x:v>
      </x:c>
      <x:c r="AM477" s="141" t="str">
        <x:f>IF(AG477&gt;1,"Inviavel","OK")</x:f>
        <x:v>OK</x:v>
      </x:c>
      <x:c r="AN477" s="141" t="n">
        <x:f>IF($A477=Premissas!$B$48,Premissas!$B$8,0)</x:f>
        <x:v>0</x:v>
      </x:c>
      <x:c r="AO477" s="141" t="n">
        <x:f>IF($A477&lt;=Premissas!$B$25,INDEX('Consorcio IQ'!$K$6:$K$485,$A477),0)</x:f>
        <x:v>0</x:v>
      </x:c>
      <x:c r="AP477" s="141" t="n">
        <x:f>IF(AND(TRUE,Premissas!$B$11="Imovel",Premissas!$B$47="Moradia",$A477&lt;MAX(Premissas!$B$48,Premissas!$B$49)),$D477,0)</x:f>
        <x:v>0</x:v>
      </x:c>
      <x:c r="AQ477" s="141" t="n">
        <x:f>IF(AND(TRUE,Premissas!$B$11="Imovel",Premissas!$B$47="Investimento",$A477&gt;=MAX(Premissas!$B$48,Premissas!$B$49)),$E477,0)</x:f>
        <x:v>6210.244792226975</x:v>
      </x:c>
      <x:c r="AR477" s="141" t="n">
        <x:f>AN477+AO477+AP477</x:f>
        <x:v>0</x:v>
      </x:c>
      <x:c r="AS477" s="141" t="n">
        <x:f>AQ477</x:f>
        <x:v>6210.244792226975</x:v>
      </x:c>
      <x:c r="AT477" s="141" t="n">
        <x:f>$C477+AS477-AR477</x:f>
        <x:v>6210.244792226975</x:v>
      </x:c>
      <x:c r="AU477" s="141" t="n">
        <x:f>AX476*(1+Premissas!$B$41)+AT477</x:f>
        <x:v>63014989.86440647</x:v>
      </x:c>
      <x:c r="AV477" s="141" t="n">
        <x:f>MAX(0,-AU477)</x:f>
        <x:v>0</x:v>
      </x:c>
      <x:c r="AW477" s="141" t="n">
        <x:f>AW476*(1+Premissas!$B$41)+AV477</x:f>
        <x:v>0</x:v>
      </x:c>
      <x:c r="AX477" s="141" t="n">
        <x:f>MAX(0,AU477)</x:f>
        <x:v>63014989.86440647</x:v>
      </x:c>
      <x:c r="AY477" s="141" t="n">
        <x:f>INDEX('Consorcio IQ'!$P$6:$P$485,$A477)</x:f>
        <x:v>0</x:v>
      </x:c>
      <x:c r="AZ477" s="141" t="n">
        <x:f>IF($A477&gt;=Premissas!$B$48,$F477,0)+IF($A477&lt;Premissas!$B$27,INDEX('Consorcio IQ'!$O$6:$O$485,$A477),0)</x:f>
        <x:v>1978764.1314173178</x:v>
      </x:c>
      <x:c r="BA477" s="141" t="n">
        <x:f>AX477+AZ477-AY477</x:f>
        <x:v>64993753.995823786</x:v>
      </x:c>
      <x:c r="BB477" s="141" t="n">
        <x:f>IF(AW477&gt;1,"Inviavel",BA477)</x:f>
        <x:v>64993753.995823786</x:v>
      </x:c>
      <x:c r="BC477" s="141" t="str">
        <x:f>IF(AW477&gt;1,"Inviavel","OK")</x:f>
        <x:v>OK</x:v>
      </x:c>
      <x:c r="BD477" s="141" t="n">
        <x:f>IF($A477='Consorcio Direto'!$B$29,'Consorcio Direto'!$B$44,0)</x:f>
        <x:v>0</x:v>
      </x:c>
      <x:c r="BE477" s="141" t="n">
        <x:f>IF($A477&lt;='Consorcio Direto'!$B$27,INDEX('Consorcio Direto'!$E$55:$E$534,$A477),0)</x:f>
        <x:v>0</x:v>
      </x:c>
      <x:c r="BF477" s="141" t="n">
        <x:f>IF(AND(TRUE,Premissas!$B$11="Imovel",Premissas!$B$47="Moradia",$A477&lt;MAX('Consorcio Direto'!$B$29,Premissas!$B$49)),$D477,0)</x:f>
        <x:v>0</x:v>
      </x:c>
      <x:c r="BG477" s="141" t="n">
        <x:f>IF(AND(TRUE,Premissas!$B$11="Imovel",Premissas!$B$47="Investimento",$A477&gt;=MAX('Consorcio Direto'!$B$29,Premissas!$B$49)),$E477,0)</x:f>
        <x:v>6210.244792226975</x:v>
      </x:c>
      <x:c r="BH477" s="141" t="n">
        <x:f>BD477+BE477+BF477</x:f>
        <x:v>0</x:v>
      </x:c>
      <x:c r="BI477" s="141" t="n">
        <x:f>BG477</x:f>
        <x:v>6210.244792226975</x:v>
      </x:c>
      <x:c r="BJ477" s="141" t="n">
        <x:f>$C477+BI477-BH477</x:f>
        <x:v>6210.244792226975</x:v>
      </x:c>
      <x:c r="BK477" s="141" t="n">
        <x:f>BN476*(1+Premissas!$B$41)+BJ477</x:f>
        <x:v>60320171.584457725</x:v>
      </x:c>
      <x:c r="BL477" s="141" t="n">
        <x:f>MAX(0,-BK477)</x:f>
        <x:v>0</x:v>
      </x:c>
      <x:c r="BM477" s="141" t="n">
        <x:f>BM476*(1+Premissas!$B$41)+BL477</x:f>
        <x:v>0</x:v>
      </x:c>
      <x:c r="BN477" s="141" t="n">
        <x:f>MAX(0,BK477)</x:f>
        <x:v>60320171.584457725</x:v>
      </x:c>
      <x:c r="BO477" s="141" t="n">
        <x:f>INDEX('Consorcio Direto'!$K$55:$K$534,$A477)</x:f>
        <x:v>0</x:v>
      </x:c>
      <x:c r="BP477" s="141" t="n">
        <x:f>IF($A477&lt;'Consorcio Direto'!$B$29,INDEX('Consorcio Direto'!$L$55:$L$534,$A477),$F477)</x:f>
        <x:v>1978764.1314173178</x:v>
      </x:c>
      <x:c r="BQ477" s="141" t="n">
        <x:f>BN477+BP477-BO477</x:f>
        <x:v>62298935.715875044</x:v>
      </x:c>
      <x:c r="BR477" s="141" t="n">
        <x:f>IF(BM477&gt;1,"Inviavel",BQ477)</x:f>
        <x:v>62298935.715875044</x:v>
      </x:c>
      <x:c r="BS477" s="141" t="str">
        <x:f>IF(BM477&gt;1,"Inviavel","OK")</x:f>
        <x:v>OK</x:v>
      </x:c>
      <x:c r="BT477" s="141" t="n">
        <x:f>IF(AND('Carta Contemplada'!$B$22="Sim",$A477='Carta Contemplada'!$B$23),'Carta Contemplada'!$B$37,0)</x:f>
        <x:v>0</x:v>
      </x:c>
      <x:c r="BU477" s="141" t="n">
        <x:f>IF('Carta Contemplada'!$B$22="Sim",INDEX('Carta Contemplada'!$C$55:$C$1013,$A477),0)</x:f>
        <x:v>0</x:v>
      </x:c>
      <x:c r="BV477" s="141" t="n">
        <x:f>IF(AND('Carta Contemplada'!$B$22="Sim",Premissas!$B$11="Imovel",Premissas!$B$47="Moradia",$A477&lt;MAX('Carta Contemplada'!$B$44,Premissas!$B$49)),$D477,0)</x:f>
        <x:v>0</x:v>
      </x:c>
      <x:c r="BW477" s="141" t="n">
        <x:f>IF(AND('Carta Contemplada'!$B$22="Sim",Premissas!$B$11="Imovel",Premissas!$B$47="Investimento",$A477&gt;=MAX('Carta Contemplada'!$B$44,Premissas!$B$49)),$E477,0)</x:f>
        <x:v>6210.244792226975</x:v>
      </x:c>
      <x:c r="BX477" s="141" t="n">
        <x:f>BT477+BU477+BV477</x:f>
        <x:v>0</x:v>
      </x:c>
      <x:c r="BY477" s="141" t="n">
        <x:f>BW477</x:f>
        <x:v>6210.244792226975</x:v>
      </x:c>
      <x:c r="BZ477" s="141" t="n">
        <x:f>$C477+BY477-BX477</x:f>
        <x:v>6210.244792226975</x:v>
      </x:c>
      <x:c r="CA477" s="141" t="n">
        <x:f>CD476*(1+Premissas!$B$41)+BZ477</x:f>
        <x:v>64771089.00650177</x:v>
      </x:c>
      <x:c r="CB477" s="141" t="n">
        <x:f>MAX(0,-CA477)</x:f>
        <x:v>0</x:v>
      </x:c>
      <x:c r="CC477" s="141" t="n">
        <x:f>CC476*(1+Premissas!$B$41)+CB477</x:f>
        <x:v>0</x:v>
      </x:c>
      <x:c r="CD477" s="141" t="n">
        <x:f>MAX(0,CA477)</x:f>
        <x:v>64771089.00650177</x:v>
      </x:c>
      <x:c r="CE477" s="141" t="n">
        <x:f>IF(AND('Carta Contemplada'!$B$22="Sim",$A477&gt;='Carta Contemplada'!$B$23),INDEX('Carta Contemplada'!$I$55:$I$1013,$A477),0)</x:f>
        <x:v>0</x:v>
      </x:c>
      <x:c r="CF477" s="141" t="n">
        <x:f>IF(AND('Carta Contemplada'!$B$22="Sim",$A477&gt;='Carta Contemplada'!$B$44),$F477,0)</x:f>
        <x:v>1978764.1314173178</x:v>
      </x:c>
      <x:c r="CG477" s="141" t="n">
        <x:f>CD477+CF477-CE477</x:f>
        <x:v>66749853.13791909</x:v>
      </x:c>
      <x:c r="CH477" s="141" t="n">
        <x:f>IF(CC477&gt;1,"Inviavel",CG477)</x:f>
        <x:v>66749853.13791909</x:v>
      </x:c>
      <x:c r="CI477" s="145" t="str">
        <x:f>IF(CC477&gt;1,"Inviavel","OK")</x:f>
        <x:v>OK</x:v>
      </x:c>
    </x:row>
    <x:row r="478">
      <x:c r="A478" s="142" t="n">
        <x:v>474</x:v>
      </x:c>
      <x:c r="B478" s="179" t="n">
        <x:f>EDATE(Premissas!$B$4,A478-1)</x:f>
        <x:v>60937</x:v>
      </x:c>
      <x:c r="C478" s="141" t="n">
        <x:f>IF(A478&lt;=Premissas!$B$39,Premissas!$B$42,0)</x:f>
        <x:v>0</x:v>
      </x:c>
      <x:c r="D478" s="141" t="n">
        <x:f>Premissas!$B$54*(1+Premissas!$B$57)^INT((A478-1)/12)</x:f>
        <x:v>6792.455241498254</x:v>
      </x:c>
      <x:c r="E478" s="141" t="n">
        <x:f>Premissas!$B$64*(1+Premissas!$B$57)^INT((A478-1)/12)</x:f>
        <x:v>6210.244792226975</x:v>
      </x:c>
      <x:c r="F478" s="141" t="n">
        <x:f>MAX(0,Premissas!$B$6*(1+Premissas!$B$66)^((A478-1)/12))</x:f>
        <x:v>1988395.8658838782</x:v>
      </x:c>
      <x:c r="G478" s="141" t="n">
        <x:f>G477*(1+Premissas!$B$41)+C478</x:f>
        <x:v>71473668.5940502</x:v>
      </x:c>
      <x:c r="H478" s="141" t="n">
        <x:f>IF($A478=Premissas!$B$48,Premissas!$B$8,0)</x:f>
        <x:v>0</x:v>
      </x:c>
      <x:c r="I478" s="141" t="n">
        <x:f>IF(AND($A478&gt;=Premissas!$B$48,$A478-Premissas!$B$48+1&lt;=Premissas!$B$13),INDEX(Financiamento!$J$6:$J$485,$A478-Premissas!$B$48+1),0)</x:f>
        <x:v>0</x:v>
      </x:c>
      <x:c r="J478" s="141" t="n">
        <x:f>IF(AND(TRUE,Premissas!$B$11="Imovel",Premissas!$B$47="Moradia",$A478&lt;MAX(Premissas!$B$48,Premissas!$B$49)),$D478,0)</x:f>
        <x:v>0</x:v>
      </x:c>
      <x:c r="K478" s="141" t="n">
        <x:f>IF(AND(TRUE,Premissas!$B$11="Imovel",Premissas!$B$47="Investimento",$A478&gt;=MAX(Premissas!$B$48,Premissas!$B$49)),$E478,0)</x:f>
        <x:v>6210.244792226975</x:v>
      </x:c>
      <x:c r="L478" s="141" t="n">
        <x:f>H478+I478+J478</x:f>
        <x:v>0</x:v>
      </x:c>
      <x:c r="M478" s="141" t="n">
        <x:f>K478</x:f>
        <x:v>6210.244792226975</x:v>
      </x:c>
      <x:c r="N478" s="141" t="n">
        <x:f>$C478+M478-L478</x:f>
        <x:v>6210.244792226975</x:v>
      </x:c>
      <x:c r="O478" s="141" t="n">
        <x:f>R477*(1+Premissas!$B$41)+N478</x:f>
        <x:v>63071738.322363846</x:v>
      </x:c>
      <x:c r="P478" s="141" t="n">
        <x:f>MAX(0,-O478)</x:f>
        <x:v>0</x:v>
      </x:c>
      <x:c r="Q478" s="141" t="n">
        <x:f>Q477*(1+Premissas!$B$41)+P478</x:f>
        <x:v>0</x:v>
      </x:c>
      <x:c r="R478" s="141" t="n">
        <x:f>MAX(0,O478)</x:f>
        <x:v>63071738.322363846</x:v>
      </x:c>
      <x:c r="S478" s="141" t="n">
        <x:f>IF(AND($A478&gt;=Premissas!$B$48,$A478-Premissas!$B$48+1&lt;=Premissas!$B$13),INDEX(Financiamento!$M$6:$M$485,$A478-Premissas!$B$48+1),0)</x:f>
        <x:v>0</x:v>
      </x:c>
      <x:c r="T478" s="141" t="n">
        <x:f>IF($A478&gt;=Premissas!$B$48,$F478,0)</x:f>
        <x:v>1988395.8658838782</x:v>
      </x:c>
      <x:c r="U478" s="141" t="n">
        <x:f>R478+T478-S478</x:f>
        <x:v>65060134.188247725</x:v>
      </x:c>
      <x:c r="V478" s="141" t="n">
        <x:f>IF(Q478&gt;1,"Inviavel",U478)</x:f>
        <x:v>65060134.188247725</x:v>
      </x:c>
      <x:c r="W478" s="141" t="str">
        <x:f>IF(Q478&gt;1,"Inviavel","OK")</x:f>
        <x:v>OK</x:v>
      </x:c>
      <x:c r="X478" s="141" t="n">
        <x:f>IF($A478=Premissas!$B$48,Premissas!$B$8,0)</x:f>
        <x:v>0</x:v>
      </x:c>
      <x:c r="Y478" s="141" t="n">
        <x:f>IF(AND($A478&gt;=Premissas!$B$48,$A478-Premissas!$B$48+1&lt;=Premissas!$B$13),INDEX(Amortizacao!$K$6:$K$485,$A478-Premissas!$B$48+1),0)</x:f>
        <x:v>0</x:v>
      </x:c>
      <x:c r="Z478" s="141" t="n">
        <x:f>IF(AND(TRUE,Premissas!$B$11="Imovel",Premissas!$B$47="Moradia",$A478&lt;MAX(Premissas!$B$48,Premissas!$B$49)),$D478,0)</x:f>
        <x:v>0</x:v>
      </x:c>
      <x:c r="AA478" s="141" t="n">
        <x:f>IF(AND(TRUE,Premissas!$B$11="Imovel",Premissas!$B$47="Investimento",$A478&gt;=MAX(Premissas!$B$48,Premissas!$B$49)),$E478,0)</x:f>
        <x:v>6210.244792226975</x:v>
      </x:c>
      <x:c r="AB478" s="141" t="n">
        <x:f>X478+Y478+Z478</x:f>
        <x:v>0</x:v>
      </x:c>
      <x:c r="AC478" s="141" t="n">
        <x:f>AA478</x:f>
        <x:v>6210.244792226975</x:v>
      </x:c>
      <x:c r="AD478" s="141" t="n">
        <x:f>$C478+AC478-AB478</x:f>
        <x:v>6210.244792226975</x:v>
      </x:c>
      <x:c r="AE478" s="141" t="n">
        <x:f>AH477*(1+Premissas!$B$41)+AD478</x:f>
        <x:v>64122502.853625335</x:v>
      </x:c>
      <x:c r="AF478" s="141" t="n">
        <x:f>MAX(0,-AE478)</x:f>
        <x:v>0</x:v>
      </x:c>
      <x:c r="AG478" s="141" t="n">
        <x:f>AG477*(1+Premissas!$B$41)+AF478</x:f>
        <x:v>0</x:v>
      </x:c>
      <x:c r="AH478" s="141" t="n">
        <x:f>MAX(0,AE478)</x:f>
        <x:v>64122502.853625335</x:v>
      </x:c>
      <x:c r="AI478" s="141" t="n">
        <x:f>IF(AND($A478&gt;=Premissas!$B$48,$A478-Premissas!$B$48+1&lt;=Premissas!$B$13),INDEX(Amortizacao!$L$6:$L$485,$A478-Premissas!$B$48+1),0)</x:f>
        <x:v>0</x:v>
      </x:c>
      <x:c r="AJ478" s="141" t="n">
        <x:f>IF($A478&gt;=Premissas!$B$48,$F478,0)</x:f>
        <x:v>1988395.8658838782</x:v>
      </x:c>
      <x:c r="AK478" s="141" t="n">
        <x:f>AH478+AJ478-AI478</x:f>
        <x:v>66110898.719509214</x:v>
      </x:c>
      <x:c r="AL478" s="141" t="n">
        <x:f>IF(AG478&gt;1,"Inviavel",AK478)</x:f>
        <x:v>66110898.719509214</x:v>
      </x:c>
      <x:c r="AM478" s="141" t="str">
        <x:f>IF(AG478&gt;1,"Inviavel","OK")</x:f>
        <x:v>OK</x:v>
      </x:c>
      <x:c r="AN478" s="141" t="n">
        <x:f>IF($A478=Premissas!$B$48,Premissas!$B$8,0)</x:f>
        <x:v>0</x:v>
      </x:c>
      <x:c r="AO478" s="141" t="n">
        <x:f>IF($A478&lt;=Premissas!$B$25,INDEX('Consorcio IQ'!$K$6:$K$485,$A478),0)</x:f>
        <x:v>0</x:v>
      </x:c>
      <x:c r="AP478" s="141" t="n">
        <x:f>IF(AND(TRUE,Premissas!$B$11="Imovel",Premissas!$B$47="Moradia",$A478&lt;MAX(Premissas!$B$48,Premissas!$B$49)),$D478,0)</x:f>
        <x:v>0</x:v>
      </x:c>
      <x:c r="AQ478" s="141" t="n">
        <x:f>IF(AND(TRUE,Premissas!$B$11="Imovel",Premissas!$B$47="Investimento",$A478&gt;=MAX(Premissas!$B$48,Premissas!$B$49)),$E478,0)</x:f>
        <x:v>6210.244792226975</x:v>
      </x:c>
      <x:c r="AR478" s="141" t="n">
        <x:f>AN478+AO478+AP478</x:f>
        <x:v>0</x:v>
      </x:c>
      <x:c r="AS478" s="141" t="n">
        <x:f>AQ478</x:f>
        <x:v>6210.244792226975</x:v>
      </x:c>
      <x:c r="AT478" s="141" t="n">
        <x:f>$C478+AS478-AR478</x:f>
        <x:v>6210.244792226975</x:v>
      </x:c>
      <x:c r="AU478" s="141" t="n">
        <x:f>AX477*(1+Premissas!$B$41)+AT478</x:f>
        <x:v>63619136.2997969</x:v>
      </x:c>
      <x:c r="AV478" s="141" t="n">
        <x:f>MAX(0,-AU478)</x:f>
        <x:v>0</x:v>
      </x:c>
      <x:c r="AW478" s="141" t="n">
        <x:f>AW477*(1+Premissas!$B$41)+AV478</x:f>
        <x:v>0</x:v>
      </x:c>
      <x:c r="AX478" s="141" t="n">
        <x:f>MAX(0,AU478)</x:f>
        <x:v>63619136.2997969</x:v>
      </x:c>
      <x:c r="AY478" s="141" t="n">
        <x:f>INDEX('Consorcio IQ'!$P$6:$P$485,$A478)</x:f>
        <x:v>0</x:v>
      </x:c>
      <x:c r="AZ478" s="141" t="n">
        <x:f>IF($A478&gt;=Premissas!$B$48,$F478,0)+IF($A478&lt;Premissas!$B$27,INDEX('Consorcio IQ'!$O$6:$O$485,$A478),0)</x:f>
        <x:v>1988395.8658838782</x:v>
      </x:c>
      <x:c r="BA478" s="141" t="n">
        <x:f>AX478+AZ478-AY478</x:f>
        <x:v>65607532.16568078</x:v>
      </x:c>
      <x:c r="BB478" s="141" t="n">
        <x:f>IF(AW478&gt;1,"Inviavel",BA478)</x:f>
        <x:v>65607532.16568078</x:v>
      </x:c>
      <x:c r="BC478" s="141" t="str">
        <x:f>IF(AW478&gt;1,"Inviavel","OK")</x:f>
        <x:v>OK</x:v>
      </x:c>
      <x:c r="BD478" s="141" t="n">
        <x:f>IF($A478='Consorcio Direto'!$B$29,'Consorcio Direto'!$B$44,0)</x:f>
        <x:v>0</x:v>
      </x:c>
      <x:c r="BE478" s="141" t="n">
        <x:f>IF($A478&lt;='Consorcio Direto'!$B$27,INDEX('Consorcio Direto'!$E$55:$E$534,$A478),0)</x:f>
        <x:v>0</x:v>
      </x:c>
      <x:c r="BF478" s="141" t="n">
        <x:f>IF(AND(TRUE,Premissas!$B$11="Imovel",Premissas!$B$47="Moradia",$A478&lt;MAX('Consorcio Direto'!$B$29,Premissas!$B$49)),$D478,0)</x:f>
        <x:v>0</x:v>
      </x:c>
      <x:c r="BG478" s="141" t="n">
        <x:f>IF(AND(TRUE,Premissas!$B$11="Imovel",Premissas!$B$47="Investimento",$A478&gt;=MAX('Consorcio Direto'!$B$29,Premissas!$B$49)),$E478,0)</x:f>
        <x:v>6210.244792226975</x:v>
      </x:c>
      <x:c r="BH478" s="141" t="n">
        <x:f>BD478+BE478+BF478</x:f>
        <x:v>0</x:v>
      </x:c>
      <x:c r="BI478" s="141" t="n">
        <x:f>BG478</x:f>
        <x:v>6210.244792226975</x:v>
      </x:c>
      <x:c r="BJ478" s="141" t="n">
        <x:f>$C478+BI478-BH478</x:f>
        <x:v>6210.244792226975</x:v>
      </x:c>
      <x:c r="BK478" s="141" t="n">
        <x:f>BN477*(1+Premissas!$B$41)+BJ478</x:f>
        <x:v>60898747.44719339</x:v>
      </x:c>
      <x:c r="BL478" s="141" t="n">
        <x:f>MAX(0,-BK478)</x:f>
        <x:v>0</x:v>
      </x:c>
      <x:c r="BM478" s="141" t="n">
        <x:f>BM477*(1+Premissas!$B$41)+BL478</x:f>
        <x:v>0</x:v>
      </x:c>
      <x:c r="BN478" s="141" t="n">
        <x:f>MAX(0,BK478)</x:f>
        <x:v>60898747.44719339</x:v>
      </x:c>
      <x:c r="BO478" s="141" t="n">
        <x:f>INDEX('Consorcio Direto'!$K$55:$K$534,$A478)</x:f>
        <x:v>0</x:v>
      </x:c>
      <x:c r="BP478" s="141" t="n">
        <x:f>IF($A478&lt;'Consorcio Direto'!$B$29,INDEX('Consorcio Direto'!$L$55:$L$534,$A478),$F478)</x:f>
        <x:v>1988395.8658838782</x:v>
      </x:c>
      <x:c r="BQ478" s="141" t="n">
        <x:f>BN478+BP478-BO478</x:f>
        <x:v>62887143.31307727</x:v>
      </x:c>
      <x:c r="BR478" s="141" t="n">
        <x:f>IF(BM478&gt;1,"Inviavel",BQ478)</x:f>
        <x:v>62887143.31307727</x:v>
      </x:c>
      <x:c r="BS478" s="141" t="str">
        <x:f>IF(BM478&gt;1,"Inviavel","OK")</x:f>
        <x:v>OK</x:v>
      </x:c>
      <x:c r="BT478" s="141" t="n">
        <x:f>IF(AND('Carta Contemplada'!$B$22="Sim",$A478='Carta Contemplada'!$B$23),'Carta Contemplada'!$B$37,0)</x:f>
        <x:v>0</x:v>
      </x:c>
      <x:c r="BU478" s="141" t="n">
        <x:f>IF('Carta Contemplada'!$B$22="Sim",INDEX('Carta Contemplada'!$C$55:$C$1013,$A478),0)</x:f>
        <x:v>0</x:v>
      </x:c>
      <x:c r="BV478" s="141" t="n">
        <x:f>IF(AND('Carta Contemplada'!$B$22="Sim",Premissas!$B$11="Imovel",Premissas!$B$47="Moradia",$A478&lt;MAX('Carta Contemplada'!$B$44,Premissas!$B$49)),$D478,0)</x:f>
        <x:v>0</x:v>
      </x:c>
      <x:c r="BW478" s="141" t="n">
        <x:f>IF(AND('Carta Contemplada'!$B$22="Sim",Premissas!$B$11="Imovel",Premissas!$B$47="Investimento",$A478&gt;=MAX('Carta Contemplada'!$B$44,Premissas!$B$49)),$E478,0)</x:f>
        <x:v>6210.244792226975</x:v>
      </x:c>
      <x:c r="BX478" s="141" t="n">
        <x:f>BT478+BU478+BV478</x:f>
        <x:v>0</x:v>
      </x:c>
      <x:c r="BY478" s="141" t="n">
        <x:f>BW478</x:f>
        <x:v>6210.244792226975</x:v>
      </x:c>
      <x:c r="BZ478" s="141" t="n">
        <x:f>$C478+BY478-BX478</x:f>
        <x:v>6210.244792226975</x:v>
      </x:c>
      <x:c r="CA478" s="141" t="n">
        <x:f>CD477*(1+Premissas!$B$41)+BZ478</x:f>
        <x:v>65391898.70302415</x:v>
      </x:c>
      <x:c r="CB478" s="141" t="n">
        <x:f>MAX(0,-CA478)</x:f>
        <x:v>0</x:v>
      </x:c>
      <x:c r="CC478" s="141" t="n">
        <x:f>CC477*(1+Premissas!$B$41)+CB478</x:f>
        <x:v>0</x:v>
      </x:c>
      <x:c r="CD478" s="141" t="n">
        <x:f>MAX(0,CA478)</x:f>
        <x:v>65391898.70302415</x:v>
      </x:c>
      <x:c r="CE478" s="141" t="n">
        <x:f>IF(AND('Carta Contemplada'!$B$22="Sim",$A478&gt;='Carta Contemplada'!$B$23),INDEX('Carta Contemplada'!$I$55:$I$1013,$A478),0)</x:f>
        <x:v>0</x:v>
      </x:c>
      <x:c r="CF478" s="141" t="n">
        <x:f>IF(AND('Carta Contemplada'!$B$22="Sim",$A478&gt;='Carta Contemplada'!$B$44),$F478,0)</x:f>
        <x:v>1988395.8658838782</x:v>
      </x:c>
      <x:c r="CG478" s="141" t="n">
        <x:f>CD478+CF478-CE478</x:f>
        <x:v>67380294.56890802</x:v>
      </x:c>
      <x:c r="CH478" s="141" t="n">
        <x:f>IF(CC478&gt;1,"Inviavel",CG478)</x:f>
        <x:v>67380294.56890802</x:v>
      </x:c>
      <x:c r="CI478" s="145" t="str">
        <x:f>IF(CC478&gt;1,"Inviavel","OK")</x:f>
        <x:v>OK</x:v>
      </x:c>
    </x:row>
    <x:row r="479">
      <x:c r="A479" s="142" t="n">
        <x:v>475</x:v>
      </x:c>
      <x:c r="B479" s="179" t="n">
        <x:f>EDATE(Premissas!$B$4,A479-1)</x:f>
        <x:v>60967</x:v>
      </x:c>
      <x:c r="C479" s="141" t="n">
        <x:f>IF(A479&lt;=Premissas!$B$39,Premissas!$B$42,0)</x:f>
        <x:v>0</x:v>
      </x:c>
      <x:c r="D479" s="141" t="n">
        <x:f>Premissas!$B$54*(1+Premissas!$B$57)^INT((A479-1)/12)</x:f>
        <x:v>6792.455241498254</x:v>
      </x:c>
      <x:c r="E479" s="141" t="n">
        <x:f>Premissas!$B$64*(1+Premissas!$B$57)^INT((A479-1)/12)</x:f>
        <x:v>6210.244792226975</x:v>
      </x:c>
      <x:c r="F479" s="141" t="n">
        <x:f>MAX(0,Premissas!$B$6*(1+Premissas!$B$66)^((A479-1)/12))</x:f>
        <x:v>1998074.4833049872</x:v>
      </x:c>
      <x:c r="G479" s="141" t="n">
        <x:f>G478*(1+Premissas!$B$41)+C479</x:f>
        <x:v>72151867.43561415</x:v>
      </x:c>
      <x:c r="H479" s="141" t="n">
        <x:f>IF($A479=Premissas!$B$48,Premissas!$B$8,0)</x:f>
        <x:v>0</x:v>
      </x:c>
      <x:c r="I479" s="141" t="n">
        <x:f>IF(AND($A479&gt;=Premissas!$B$48,$A479-Premissas!$B$48+1&lt;=Premissas!$B$13),INDEX(Financiamento!$J$6:$J$485,$A479-Premissas!$B$48+1),0)</x:f>
        <x:v>0</x:v>
      </x:c>
      <x:c r="J479" s="141" t="n">
        <x:f>IF(AND(TRUE,Premissas!$B$11="Imovel",Premissas!$B$47="Moradia",$A479&lt;MAX(Premissas!$B$48,Premissas!$B$49)),$D479,0)</x:f>
        <x:v>0</x:v>
      </x:c>
      <x:c r="K479" s="141" t="n">
        <x:f>IF(AND(TRUE,Premissas!$B$11="Imovel",Premissas!$B$47="Investimento",$A479&gt;=MAX(Premissas!$B$48,Premissas!$B$49)),$E479,0)</x:f>
        <x:v>6210.244792226975</x:v>
      </x:c>
      <x:c r="L479" s="141" t="n">
        <x:f>H479+I479+J479</x:f>
        <x:v>0</x:v>
      </x:c>
      <x:c r="M479" s="141" t="n">
        <x:f>K479</x:f>
        <x:v>6210.244792226975</x:v>
      </x:c>
      <x:c r="N479" s="141" t="n">
        <x:f>$C479+M479-L479</x:f>
        <x:v>6210.244792226975</x:v>
      </x:c>
      <x:c r="O479" s="141" t="n">
        <x:f>R478*(1+Premissas!$B$41)+N479</x:f>
        <x:v>63676423.23212119</x:v>
      </x:c>
      <x:c r="P479" s="141" t="n">
        <x:f>MAX(0,-O479)</x:f>
        <x:v>0</x:v>
      </x:c>
      <x:c r="Q479" s="141" t="n">
        <x:f>Q478*(1+Premissas!$B$41)+P479</x:f>
        <x:v>0</x:v>
      </x:c>
      <x:c r="R479" s="141" t="n">
        <x:f>MAX(0,O479)</x:f>
        <x:v>63676423.23212119</x:v>
      </x:c>
      <x:c r="S479" s="141" t="n">
        <x:f>IF(AND($A479&gt;=Premissas!$B$48,$A479-Premissas!$B$48+1&lt;=Premissas!$B$13),INDEX(Financiamento!$M$6:$M$485,$A479-Premissas!$B$48+1),0)</x:f>
        <x:v>0</x:v>
      </x:c>
      <x:c r="T479" s="141" t="n">
        <x:f>IF($A479&gt;=Premissas!$B$48,$F479,0)</x:f>
        <x:v>1998074.4833049872</x:v>
      </x:c>
      <x:c r="U479" s="141" t="n">
        <x:f>R479+T479-S479</x:f>
        <x:v>65674497.71542618</x:v>
      </x:c>
      <x:c r="V479" s="141" t="n">
        <x:f>IF(Q479&gt;1,"Inviavel",U479)</x:f>
        <x:v>65674497.71542618</x:v>
      </x:c>
      <x:c r="W479" s="141" t="str">
        <x:f>IF(Q479&gt;1,"Inviavel","OK")</x:f>
        <x:v>OK</x:v>
      </x:c>
      <x:c r="X479" s="141" t="n">
        <x:f>IF($A479=Premissas!$B$48,Premissas!$B$8,0)</x:f>
        <x:v>0</x:v>
      </x:c>
      <x:c r="Y479" s="141" t="n">
        <x:f>IF(AND($A479&gt;=Premissas!$B$48,$A479-Premissas!$B$48+1&lt;=Premissas!$B$13),INDEX(Amortizacao!$K$6:$K$485,$A479-Premissas!$B$48+1),0)</x:f>
        <x:v>0</x:v>
      </x:c>
      <x:c r="Z479" s="141" t="n">
        <x:f>IF(AND(TRUE,Premissas!$B$11="Imovel",Premissas!$B$47="Moradia",$A479&lt;MAX(Premissas!$B$48,Premissas!$B$49)),$D479,0)</x:f>
        <x:v>0</x:v>
      </x:c>
      <x:c r="AA479" s="141" t="n">
        <x:f>IF(AND(TRUE,Premissas!$B$11="Imovel",Premissas!$B$47="Investimento",$A479&gt;=MAX(Premissas!$B$48,Premissas!$B$49)),$E479,0)</x:f>
        <x:v>6210.244792226975</x:v>
      </x:c>
      <x:c r="AB479" s="141" t="n">
        <x:f>X479+Y479+Z479</x:f>
        <x:v>0</x:v>
      </x:c>
      <x:c r="AC479" s="141" t="n">
        <x:f>AA479</x:f>
        <x:v>6210.244792226975</x:v>
      </x:c>
      <x:c r="AD479" s="141" t="n">
        <x:f>$C479+AC479-AB479</x:f>
        <x:v>6210.244792226975</x:v>
      </x:c>
      <x:c r="AE479" s="141" t="n">
        <x:f>AH478*(1+Premissas!$B$41)+AD479</x:f>
        <x:v>64737158.250442825</x:v>
      </x:c>
      <x:c r="AF479" s="141" t="n">
        <x:f>MAX(0,-AE479)</x:f>
        <x:v>0</x:v>
      </x:c>
      <x:c r="AG479" s="141" t="n">
        <x:f>AG478*(1+Premissas!$B$41)+AF479</x:f>
        <x:v>0</x:v>
      </x:c>
      <x:c r="AH479" s="141" t="n">
        <x:f>MAX(0,AE479)</x:f>
        <x:v>64737158.250442825</x:v>
      </x:c>
      <x:c r="AI479" s="141" t="n">
        <x:f>IF(AND($A479&gt;=Premissas!$B$48,$A479-Premissas!$B$48+1&lt;=Premissas!$B$13),INDEX(Amortizacao!$L$6:$L$485,$A479-Premissas!$B$48+1),0)</x:f>
        <x:v>0</x:v>
      </x:c>
      <x:c r="AJ479" s="141" t="n">
        <x:f>IF($A479&gt;=Premissas!$B$48,$F479,0)</x:f>
        <x:v>1998074.4833049872</x:v>
      </x:c>
      <x:c r="AK479" s="141" t="n">
        <x:f>AH479+AJ479-AI479</x:f>
        <x:v>66735232.73374781</x:v>
      </x:c>
      <x:c r="AL479" s="141" t="n">
        <x:f>IF(AG479&gt;1,"Inviavel",AK479)</x:f>
        <x:v>66735232.73374781</x:v>
      </x:c>
      <x:c r="AM479" s="141" t="str">
        <x:f>IF(AG479&gt;1,"Inviavel","OK")</x:f>
        <x:v>OK</x:v>
      </x:c>
      <x:c r="AN479" s="141" t="n">
        <x:f>IF($A479=Premissas!$B$48,Premissas!$B$8,0)</x:f>
        <x:v>0</x:v>
      </x:c>
      <x:c r="AO479" s="141" t="n">
        <x:f>IF($A479&lt;=Premissas!$B$25,INDEX('Consorcio IQ'!$K$6:$K$485,$A479),0)</x:f>
        <x:v>0</x:v>
      </x:c>
      <x:c r="AP479" s="141" t="n">
        <x:f>IF(AND(TRUE,Premissas!$B$11="Imovel",Premissas!$B$47="Moradia",$A479&lt;MAX(Premissas!$B$48,Premissas!$B$49)),$D479,0)</x:f>
        <x:v>0</x:v>
      </x:c>
      <x:c r="AQ479" s="141" t="n">
        <x:f>IF(AND(TRUE,Premissas!$B$11="Imovel",Premissas!$B$47="Investimento",$A479&gt;=MAX(Premissas!$B$48,Premissas!$B$49)),$E479,0)</x:f>
        <x:v>6210.244792226975</x:v>
      </x:c>
      <x:c r="AR479" s="141" t="n">
        <x:f>AN479+AO479+AP479</x:f>
        <x:v>0</x:v>
      </x:c>
      <x:c r="AS479" s="141" t="n">
        <x:f>AQ479</x:f>
        <x:v>6210.244792226975</x:v>
      </x:c>
      <x:c r="AT479" s="141" t="n">
        <x:f>$C479+AS479-AR479</x:f>
        <x:v>6210.244792226975</x:v>
      </x:c>
      <x:c r="AU479" s="141" t="n">
        <x:f>AX478*(1+Premissas!$B$41)+AT479</x:f>
        <x:v>64229015.35561492</x:v>
      </x:c>
      <x:c r="AV479" s="141" t="n">
        <x:f>MAX(0,-AU479)</x:f>
        <x:v>0</x:v>
      </x:c>
      <x:c r="AW479" s="141" t="n">
        <x:f>AW478*(1+Premissas!$B$41)+AV479</x:f>
        <x:v>0</x:v>
      </x:c>
      <x:c r="AX479" s="141" t="n">
        <x:f>MAX(0,AU479)</x:f>
        <x:v>64229015.35561492</x:v>
      </x:c>
      <x:c r="AY479" s="141" t="n">
        <x:f>INDEX('Consorcio IQ'!$P$6:$P$485,$A479)</x:f>
        <x:v>0</x:v>
      </x:c>
      <x:c r="AZ479" s="141" t="n">
        <x:f>IF($A479&gt;=Premissas!$B$48,$F479,0)+IF($A479&lt;Premissas!$B$27,INDEX('Consorcio IQ'!$O$6:$O$485,$A479),0)</x:f>
        <x:v>1998074.4833049872</x:v>
      </x:c>
      <x:c r="BA479" s="141" t="n">
        <x:f>AX479+AZ479-AY479</x:f>
        <x:v>66227089.83891991</x:v>
      </x:c>
      <x:c r="BB479" s="141" t="n">
        <x:f>IF(AW479&gt;1,"Inviavel",BA479)</x:f>
        <x:v>66227089.83891991</x:v>
      </x:c>
      <x:c r="BC479" s="141" t="str">
        <x:f>IF(AW479&gt;1,"Inviavel","OK")</x:f>
        <x:v>OK</x:v>
      </x:c>
      <x:c r="BD479" s="141" t="n">
        <x:f>IF($A479='Consorcio Direto'!$B$29,'Consorcio Direto'!$B$44,0)</x:f>
        <x:v>0</x:v>
      </x:c>
      <x:c r="BE479" s="141" t="n">
        <x:f>IF($A479&lt;='Consorcio Direto'!$B$27,INDEX('Consorcio Direto'!$E$55:$E$534,$A479),0)</x:f>
        <x:v>0</x:v>
      </x:c>
      <x:c r="BF479" s="141" t="n">
        <x:f>IF(AND(TRUE,Premissas!$B$11="Imovel",Premissas!$B$47="Moradia",$A479&lt;MAX('Consorcio Direto'!$B$29,Premissas!$B$49)),$D479,0)</x:f>
        <x:v>0</x:v>
      </x:c>
      <x:c r="BG479" s="141" t="n">
        <x:f>IF(AND(TRUE,Premissas!$B$11="Imovel",Premissas!$B$47="Investimento",$A479&gt;=MAX('Consorcio Direto'!$B$29,Premissas!$B$49)),$E479,0)</x:f>
        <x:v>6210.244792226975</x:v>
      </x:c>
      <x:c r="BH479" s="141" t="n">
        <x:f>BD479+BE479+BF479</x:f>
        <x:v>0</x:v>
      </x:c>
      <x:c r="BI479" s="141" t="n">
        <x:f>BG479</x:f>
        <x:v>6210.244792226975</x:v>
      </x:c>
      <x:c r="BJ479" s="141" t="n">
        <x:f>$C479+BI479-BH479</x:f>
        <x:v>6210.244792226975</x:v>
      </x:c>
      <x:c r="BK479" s="141" t="n">
        <x:f>BN478*(1+Premissas!$B$41)+BJ479</x:f>
        <x:v>61482813.29648751</x:v>
      </x:c>
      <x:c r="BL479" s="141" t="n">
        <x:f>MAX(0,-BK479)</x:f>
        <x:v>0</x:v>
      </x:c>
      <x:c r="BM479" s="141" t="n">
        <x:f>BM478*(1+Premissas!$B$41)+BL479</x:f>
        <x:v>0</x:v>
      </x:c>
      <x:c r="BN479" s="141" t="n">
        <x:f>MAX(0,BK479)</x:f>
        <x:v>61482813.29648751</x:v>
      </x:c>
      <x:c r="BO479" s="141" t="n">
        <x:f>INDEX('Consorcio Direto'!$K$55:$K$534,$A479)</x:f>
        <x:v>0</x:v>
      </x:c>
      <x:c r="BP479" s="141" t="n">
        <x:f>IF($A479&lt;'Consorcio Direto'!$B$29,INDEX('Consorcio Direto'!$L$55:$L$534,$A479),$F479)</x:f>
        <x:v>1998074.4833049872</x:v>
      </x:c>
      <x:c r="BQ479" s="141" t="n">
        <x:f>BN479+BP479-BO479</x:f>
        <x:v>63480887.779792495</x:v>
      </x:c>
      <x:c r="BR479" s="141" t="n">
        <x:f>IF(BM479&gt;1,"Inviavel",BQ479)</x:f>
        <x:v>63480887.779792495</x:v>
      </x:c>
      <x:c r="BS479" s="141" t="str">
        <x:f>IF(BM479&gt;1,"Inviavel","OK")</x:f>
        <x:v>OK</x:v>
      </x:c>
      <x:c r="BT479" s="141" t="n">
        <x:f>IF(AND('Carta Contemplada'!$B$22="Sim",$A479='Carta Contemplada'!$B$23),'Carta Contemplada'!$B$37,0)</x:f>
        <x:v>0</x:v>
      </x:c>
      <x:c r="BU479" s="141" t="n">
        <x:f>IF('Carta Contemplada'!$B$22="Sim",INDEX('Carta Contemplada'!$C$55:$C$1013,$A479),0)</x:f>
        <x:v>0</x:v>
      </x:c>
      <x:c r="BV479" s="141" t="n">
        <x:f>IF(AND('Carta Contemplada'!$B$22="Sim",Premissas!$B$11="Imovel",Premissas!$B$47="Moradia",$A479&lt;MAX('Carta Contemplada'!$B$44,Premissas!$B$49)),$D479,0)</x:f>
        <x:v>0</x:v>
      </x:c>
      <x:c r="BW479" s="141" t="n">
        <x:f>IF(AND('Carta Contemplada'!$B$22="Sim",Premissas!$B$11="Imovel",Premissas!$B$47="Investimento",$A479&gt;=MAX('Carta Contemplada'!$B$44,Premissas!$B$49)),$E479,0)</x:f>
        <x:v>6210.244792226975</x:v>
      </x:c>
      <x:c r="BX479" s="141" t="n">
        <x:f>BT479+BU479+BV479</x:f>
        <x:v>0</x:v>
      </x:c>
      <x:c r="BY479" s="141" t="n">
        <x:f>BW479</x:f>
        <x:v>6210.244792226975</x:v>
      </x:c>
      <x:c r="BZ479" s="141" t="n">
        <x:f>$C479+BY479-BX479</x:f>
        <x:v>6210.244792226975</x:v>
      </x:c>
      <x:c r="CA479" s="141" t="n">
        <x:f>CD478*(1+Premissas!$B$41)+BZ479</x:f>
        <x:v>66018599.134208605</x:v>
      </x:c>
      <x:c r="CB479" s="141" t="n">
        <x:f>MAX(0,-CA479)</x:f>
        <x:v>0</x:v>
      </x:c>
      <x:c r="CC479" s="141" t="n">
        <x:f>CC478*(1+Premissas!$B$41)+CB479</x:f>
        <x:v>0</x:v>
      </x:c>
      <x:c r="CD479" s="141" t="n">
        <x:f>MAX(0,CA479)</x:f>
        <x:v>66018599.134208605</x:v>
      </x:c>
      <x:c r="CE479" s="141" t="n">
        <x:f>IF(AND('Carta Contemplada'!$B$22="Sim",$A479&gt;='Carta Contemplada'!$B$23),INDEX('Carta Contemplada'!$I$55:$I$1013,$A479),0)</x:f>
        <x:v>0</x:v>
      </x:c>
      <x:c r="CF479" s="141" t="n">
        <x:f>IF(AND('Carta Contemplada'!$B$22="Sim",$A479&gt;='Carta Contemplada'!$B$44),$F479,0)</x:f>
        <x:v>1998074.4833049872</x:v>
      </x:c>
      <x:c r="CG479" s="141" t="n">
        <x:f>CD479+CF479-CE479</x:f>
        <x:v>68016673.6175136</x:v>
      </x:c>
      <x:c r="CH479" s="141" t="n">
        <x:f>IF(CC479&gt;1,"Inviavel",CG479)</x:f>
        <x:v>68016673.6175136</x:v>
      </x:c>
      <x:c r="CI479" s="145" t="str">
        <x:f>IF(CC479&gt;1,"Inviavel","OK")</x:f>
        <x:v>OK</x:v>
      </x:c>
    </x:row>
    <x:row r="480">
      <x:c r="A480" s="142" t="n">
        <x:v>476</x:v>
      </x:c>
      <x:c r="B480" s="179" t="n">
        <x:f>EDATE(Premissas!$B$4,A480-1)</x:f>
        <x:v>60998</x:v>
      </x:c>
      <x:c r="C480" s="141" t="n">
        <x:f>IF(A480&lt;=Premissas!$B$39,Premissas!$B$42,0)</x:f>
        <x:v>0</x:v>
      </x:c>
      <x:c r="D480" s="141" t="n">
        <x:f>Premissas!$B$54*(1+Premissas!$B$57)^INT((A480-1)/12)</x:f>
        <x:v>6792.455241498254</x:v>
      </x:c>
      <x:c r="E480" s="141" t="n">
        <x:f>Premissas!$B$64*(1+Premissas!$B$57)^INT((A480-1)/12)</x:f>
        <x:v>6210.244792226975</x:v>
      </x:c>
      <x:c r="F480" s="141" t="n">
        <x:f>MAX(0,Premissas!$B$6*(1+Premissas!$B$66)^((A480-1)/12))</x:f>
        <x:v>2007800.2118857964</x:v>
      </x:c>
      <x:c r="G480" s="141" t="n">
        <x:f>G479*(1+Premissas!$B$41)+C480</x:f>
        <x:v>72836501.56555419</x:v>
      </x:c>
      <x:c r="H480" s="141" t="n">
        <x:f>IF($A480=Premissas!$B$48,Premissas!$B$8,0)</x:f>
        <x:v>0</x:v>
      </x:c>
      <x:c r="I480" s="141" t="n">
        <x:f>IF(AND($A480&gt;=Premissas!$B$48,$A480-Premissas!$B$48+1&lt;=Premissas!$B$13),INDEX(Financiamento!$J$6:$J$485,$A480-Premissas!$B$48+1),0)</x:f>
        <x:v>0</x:v>
      </x:c>
      <x:c r="J480" s="141" t="n">
        <x:f>IF(AND(TRUE,Premissas!$B$11="Imovel",Premissas!$B$47="Moradia",$A480&lt;MAX(Premissas!$B$48,Premissas!$B$49)),$D480,0)</x:f>
        <x:v>0</x:v>
      </x:c>
      <x:c r="K480" s="141" t="n">
        <x:f>IF(AND(TRUE,Premissas!$B$11="Imovel",Premissas!$B$47="Investimento",$A480&gt;=MAX(Premissas!$B$48,Premissas!$B$49)),$E480,0)</x:f>
        <x:v>6210.244792226975</x:v>
      </x:c>
      <x:c r="L480" s="141" t="n">
        <x:f>H480+I480+J480</x:f>
        <x:v>0</x:v>
      </x:c>
      <x:c r="M480" s="141" t="n">
        <x:f>K480</x:f>
        <x:v>6210.244792226975</x:v>
      </x:c>
      <x:c r="N480" s="141" t="n">
        <x:f>$C480+M480-L480</x:f>
        <x:v>6210.244792226975</x:v>
      </x:c>
      <x:c r="O480" s="141" t="n">
        <x:f>R479*(1+Premissas!$B$41)+N480</x:f>
        <x:v>64286845.87177789</x:v>
      </x:c>
      <x:c r="P480" s="141" t="n">
        <x:f>MAX(0,-O480)</x:f>
        <x:v>0</x:v>
      </x:c>
      <x:c r="Q480" s="141" t="n">
        <x:f>Q479*(1+Premissas!$B$41)+P480</x:f>
        <x:v>0</x:v>
      </x:c>
      <x:c r="R480" s="141" t="n">
        <x:f>MAX(0,O480)</x:f>
        <x:v>64286845.87177789</x:v>
      </x:c>
      <x:c r="S480" s="141" t="n">
        <x:f>IF(AND($A480&gt;=Premissas!$B$48,$A480-Premissas!$B$48+1&lt;=Premissas!$B$13),INDEX(Financiamento!$M$6:$M$485,$A480-Premissas!$B$48+1),0)</x:f>
        <x:v>0</x:v>
      </x:c>
      <x:c r="T480" s="141" t="n">
        <x:f>IF($A480&gt;=Premissas!$B$48,$F480,0)</x:f>
        <x:v>2007800.2118857964</x:v>
      </x:c>
      <x:c r="U480" s="141" t="n">
        <x:f>R480+T480-S480</x:f>
        <x:v>66294646.08366369</x:v>
      </x:c>
      <x:c r="V480" s="141" t="n">
        <x:f>IF(Q480&gt;1,"Inviavel",U480)</x:f>
        <x:v>66294646.08366369</x:v>
      </x:c>
      <x:c r="W480" s="141" t="str">
        <x:f>IF(Q480&gt;1,"Inviavel","OK")</x:f>
        <x:v>OK</x:v>
      </x:c>
      <x:c r="X480" s="141" t="n">
        <x:f>IF($A480=Premissas!$B$48,Premissas!$B$8,0)</x:f>
        <x:v>0</x:v>
      </x:c>
      <x:c r="Y480" s="141" t="n">
        <x:f>IF(AND($A480&gt;=Premissas!$B$48,$A480-Premissas!$B$48+1&lt;=Premissas!$B$13),INDEX(Amortizacao!$K$6:$K$485,$A480-Premissas!$B$48+1),0)</x:f>
        <x:v>0</x:v>
      </x:c>
      <x:c r="Z480" s="141" t="n">
        <x:f>IF(AND(TRUE,Premissas!$B$11="Imovel",Premissas!$B$47="Moradia",$A480&lt;MAX(Premissas!$B$48,Premissas!$B$49)),$D480,0)</x:f>
        <x:v>0</x:v>
      </x:c>
      <x:c r="AA480" s="141" t="n">
        <x:f>IF(AND(TRUE,Premissas!$B$11="Imovel",Premissas!$B$47="Investimento",$A480&gt;=MAX(Premissas!$B$48,Premissas!$B$49)),$E480,0)</x:f>
        <x:v>6210.244792226975</x:v>
      </x:c>
      <x:c r="AB480" s="141" t="n">
        <x:f>X480+Y480+Z480</x:f>
        <x:v>0</x:v>
      </x:c>
      <x:c r="AC480" s="141" t="n">
        <x:f>AA480</x:f>
        <x:v>6210.244792226975</x:v>
      </x:c>
      <x:c r="AD480" s="141" t="n">
        <x:f>$C480+AC480-AB480</x:f>
        <x:v>6210.244792226975</x:v>
      </x:c>
      <x:c r="AE480" s="141" t="n">
        <x:f>AH479*(1+Premissas!$B$41)+AD480</x:f>
        <x:v>65357645.98504684</x:v>
      </x:c>
      <x:c r="AF480" s="141" t="n">
        <x:f>MAX(0,-AE480)</x:f>
        <x:v>0</x:v>
      </x:c>
      <x:c r="AG480" s="141" t="n">
        <x:f>AG479*(1+Premissas!$B$41)+AF480</x:f>
        <x:v>0</x:v>
      </x:c>
      <x:c r="AH480" s="141" t="n">
        <x:f>MAX(0,AE480)</x:f>
        <x:v>65357645.98504684</x:v>
      </x:c>
      <x:c r="AI480" s="141" t="n">
        <x:f>IF(AND($A480&gt;=Premissas!$B$48,$A480-Premissas!$B$48+1&lt;=Premissas!$B$13),INDEX(Amortizacao!$L$6:$L$485,$A480-Premissas!$B$48+1),0)</x:f>
        <x:v>0</x:v>
      </x:c>
      <x:c r="AJ480" s="141" t="n">
        <x:f>IF($A480&gt;=Premissas!$B$48,$F480,0)</x:f>
        <x:v>2007800.2118857964</x:v>
      </x:c>
      <x:c r="AK480" s="141" t="n">
        <x:f>AH480+AJ480-AI480</x:f>
        <x:v>67365446.19693264</x:v>
      </x:c>
      <x:c r="AL480" s="141" t="n">
        <x:f>IF(AG480&gt;1,"Inviavel",AK480)</x:f>
        <x:v>67365446.19693264</x:v>
      </x:c>
      <x:c r="AM480" s="141" t="str">
        <x:f>IF(AG480&gt;1,"Inviavel","OK")</x:f>
        <x:v>OK</x:v>
      </x:c>
      <x:c r="AN480" s="141" t="n">
        <x:f>IF($A480=Premissas!$B$48,Premissas!$B$8,0)</x:f>
        <x:v>0</x:v>
      </x:c>
      <x:c r="AO480" s="141" t="n">
        <x:f>IF($A480&lt;=Premissas!$B$25,INDEX('Consorcio IQ'!$K$6:$K$485,$A480),0)</x:f>
        <x:v>0</x:v>
      </x:c>
      <x:c r="AP480" s="141" t="n">
        <x:f>IF(AND(TRUE,Premissas!$B$11="Imovel",Premissas!$B$47="Moradia",$A480&lt;MAX(Premissas!$B$48,Premissas!$B$49)),$D480,0)</x:f>
        <x:v>0</x:v>
      </x:c>
      <x:c r="AQ480" s="141" t="n">
        <x:f>IF(AND(TRUE,Premissas!$B$11="Imovel",Premissas!$B$47="Investimento",$A480&gt;=MAX(Premissas!$B$48,Premissas!$B$49)),$E480,0)</x:f>
        <x:v>6210.244792226975</x:v>
      </x:c>
      <x:c r="AR480" s="141" t="n">
        <x:f>AN480+AO480+AP480</x:f>
        <x:v>0</x:v>
      </x:c>
      <x:c r="AS480" s="141" t="n">
        <x:f>AQ480</x:f>
        <x:v>6210.244792226975</x:v>
      </x:c>
      <x:c r="AT480" s="141" t="n">
        <x:f>$C480+AS480-AR480</x:f>
        <x:v>6210.244792226975</x:v>
      </x:c>
      <x:c r="AU480" s="141" t="n">
        <x:f>AX479*(1+Premissas!$B$41)+AT480</x:f>
        <x:v>64844681.42750874</x:v>
      </x:c>
      <x:c r="AV480" s="141" t="n">
        <x:f>MAX(0,-AU480)</x:f>
        <x:v>0</x:v>
      </x:c>
      <x:c r="AW480" s="141" t="n">
        <x:f>AW479*(1+Premissas!$B$41)+AV480</x:f>
        <x:v>0</x:v>
      </x:c>
      <x:c r="AX480" s="141" t="n">
        <x:f>MAX(0,AU480)</x:f>
        <x:v>64844681.42750874</x:v>
      </x:c>
      <x:c r="AY480" s="141" t="n">
        <x:f>INDEX('Consorcio IQ'!$P$6:$P$485,$A480)</x:f>
        <x:v>0</x:v>
      </x:c>
      <x:c r="AZ480" s="141" t="n">
        <x:f>IF($A480&gt;=Premissas!$B$48,$F480,0)+IF($A480&lt;Premissas!$B$27,INDEX('Consorcio IQ'!$O$6:$O$485,$A480),0)</x:f>
        <x:v>2007800.2118857964</x:v>
      </x:c>
      <x:c r="BA480" s="141" t="n">
        <x:f>AX480+AZ480-AY480</x:f>
        <x:v>66852481.63939454</x:v>
      </x:c>
      <x:c r="BB480" s="141" t="n">
        <x:f>IF(AW480&gt;1,"Inviavel",BA480)</x:f>
        <x:v>66852481.63939454</x:v>
      </x:c>
      <x:c r="BC480" s="141" t="str">
        <x:f>IF(AW480&gt;1,"Inviavel","OK")</x:f>
        <x:v>OK</x:v>
      </x:c>
      <x:c r="BD480" s="141" t="n">
        <x:f>IF($A480='Consorcio Direto'!$B$29,'Consorcio Direto'!$B$44,0)</x:f>
        <x:v>0</x:v>
      </x:c>
      <x:c r="BE480" s="141" t="n">
        <x:f>IF($A480&lt;='Consorcio Direto'!$B$27,INDEX('Consorcio Direto'!$E$55:$E$534,$A480),0)</x:f>
        <x:v>0</x:v>
      </x:c>
      <x:c r="BF480" s="141" t="n">
        <x:f>IF(AND(TRUE,Premissas!$B$11="Imovel",Premissas!$B$47="Moradia",$A480&lt;MAX('Consorcio Direto'!$B$29,Premissas!$B$49)),$D480,0)</x:f>
        <x:v>0</x:v>
      </x:c>
      <x:c r="BG480" s="141" t="n">
        <x:f>IF(AND(TRUE,Premissas!$B$11="Imovel",Premissas!$B$47="Investimento",$A480&gt;=MAX('Consorcio Direto'!$B$29,Premissas!$B$49)),$E480,0)</x:f>
        <x:v>6210.244792226975</x:v>
      </x:c>
      <x:c r="BH480" s="141" t="n">
        <x:f>BD480+BE480+BF480</x:f>
        <x:v>0</x:v>
      </x:c>
      <x:c r="BI480" s="141" t="n">
        <x:f>BG480</x:f>
        <x:v>6210.244792226975</x:v>
      </x:c>
      <x:c r="BJ480" s="141" t="n">
        <x:f>$C480+BI480-BH480</x:f>
        <x:v>6210.244792226975</x:v>
      </x:c>
      <x:c r="BK480" s="141" t="n">
        <x:f>BN479*(1+Premissas!$B$41)+BJ480</x:f>
        <x:v>62072421.22568574</x:v>
      </x:c>
      <x:c r="BL480" s="141" t="n">
        <x:f>MAX(0,-BK480)</x:f>
        <x:v>0</x:v>
      </x:c>
      <x:c r="BM480" s="141" t="n">
        <x:f>BM479*(1+Premissas!$B$41)+BL480</x:f>
        <x:v>0</x:v>
      </x:c>
      <x:c r="BN480" s="141" t="n">
        <x:f>MAX(0,BK480)</x:f>
        <x:v>62072421.22568574</x:v>
      </x:c>
      <x:c r="BO480" s="141" t="n">
        <x:f>INDEX('Consorcio Direto'!$K$55:$K$534,$A480)</x:f>
        <x:v>0</x:v>
      </x:c>
      <x:c r="BP480" s="141" t="n">
        <x:f>IF($A480&lt;'Consorcio Direto'!$B$29,INDEX('Consorcio Direto'!$L$55:$L$534,$A480),$F480)</x:f>
        <x:v>2007800.2118857964</x:v>
      </x:c>
      <x:c r="BQ480" s="141" t="n">
        <x:f>BN480+BP480-BO480</x:f>
        <x:v>64080221.43757153</x:v>
      </x:c>
      <x:c r="BR480" s="141" t="n">
        <x:f>IF(BM480&gt;1,"Inviavel",BQ480)</x:f>
        <x:v>64080221.43757153</x:v>
      </x:c>
      <x:c r="BS480" s="141" t="str">
        <x:f>IF(BM480&gt;1,"Inviavel","OK")</x:f>
        <x:v>OK</x:v>
      </x:c>
      <x:c r="BT480" s="141" t="n">
        <x:f>IF(AND('Carta Contemplada'!$B$22="Sim",$A480='Carta Contemplada'!$B$23),'Carta Contemplada'!$B$37,0)</x:f>
        <x:v>0</x:v>
      </x:c>
      <x:c r="BU480" s="141" t="n">
        <x:f>IF('Carta Contemplada'!$B$22="Sim",INDEX('Carta Contemplada'!$C$55:$C$1013,$A480),0)</x:f>
        <x:v>0</x:v>
      </x:c>
      <x:c r="BV480" s="141" t="n">
        <x:f>IF(AND('Carta Contemplada'!$B$22="Sim",Premissas!$B$11="Imovel",Premissas!$B$47="Moradia",$A480&lt;MAX('Carta Contemplada'!$B$44,Premissas!$B$49)),$D480,0)</x:f>
        <x:v>0</x:v>
      </x:c>
      <x:c r="BW480" s="141" t="n">
        <x:f>IF(AND('Carta Contemplada'!$B$22="Sim",Premissas!$B$11="Imovel",Premissas!$B$47="Investimento",$A480&gt;=MAX('Carta Contemplada'!$B$44,Premissas!$B$49)),$E480,0)</x:f>
        <x:v>6210.244792226975</x:v>
      </x:c>
      <x:c r="BX480" s="141" t="n">
        <x:f>BT480+BU480+BV480</x:f>
        <x:v>0</x:v>
      </x:c>
      <x:c r="BY480" s="141" t="n">
        <x:f>BW480</x:f>
        <x:v>6210.244792226975</x:v>
      </x:c>
      <x:c r="BZ480" s="141" t="n">
        <x:f>$C480+BY480-BX480</x:f>
        <x:v>6210.244792226975</x:v>
      </x:c>
      <x:c r="CA480" s="141" t="n">
        <x:f>CD479*(1+Premissas!$B$41)+BZ480</x:f>
        <x:v>66651246.19601659</x:v>
      </x:c>
      <x:c r="CB480" s="141" t="n">
        <x:f>MAX(0,-CA480)</x:f>
        <x:v>0</x:v>
      </x:c>
      <x:c r="CC480" s="141" t="n">
        <x:f>CC479*(1+Premissas!$B$41)+CB480</x:f>
        <x:v>0</x:v>
      </x:c>
      <x:c r="CD480" s="141" t="n">
        <x:f>MAX(0,CA480)</x:f>
        <x:v>66651246.19601659</x:v>
      </x:c>
      <x:c r="CE480" s="141" t="n">
        <x:f>IF(AND('Carta Contemplada'!$B$22="Sim",$A480&gt;='Carta Contemplada'!$B$23),INDEX('Carta Contemplada'!$I$55:$I$1013,$A480),0)</x:f>
        <x:v>0</x:v>
      </x:c>
      <x:c r="CF480" s="141" t="n">
        <x:f>IF(AND('Carta Contemplada'!$B$22="Sim",$A480&gt;='Carta Contemplada'!$B$44),$F480,0)</x:f>
        <x:v>2007800.2118857964</x:v>
      </x:c>
      <x:c r="CG480" s="141" t="n">
        <x:f>CD480+CF480-CE480</x:f>
        <x:v>68659046.40790239</x:v>
      </x:c>
      <x:c r="CH480" s="141" t="n">
        <x:f>IF(CC480&gt;1,"Inviavel",CG480)</x:f>
        <x:v>68659046.40790239</x:v>
      </x:c>
      <x:c r="CI480" s="145" t="str">
        <x:f>IF(CC480&gt;1,"Inviavel","OK")</x:f>
        <x:v>OK</x:v>
      </x:c>
    </x:row>
    <x:row r="481">
      <x:c r="A481" s="142" t="n">
        <x:v>477</x:v>
      </x:c>
      <x:c r="B481" s="179" t="n">
        <x:f>EDATE(Premissas!$B$4,A481-1)</x:f>
        <x:v>61029</x:v>
      </x:c>
      <x:c r="C481" s="141" t="n">
        <x:f>IF(A481&lt;=Premissas!$B$39,Premissas!$B$42,0)</x:f>
        <x:v>0</x:v>
      </x:c>
      <x:c r="D481" s="141" t="n">
        <x:f>Premissas!$B$54*(1+Premissas!$B$57)^INT((A481-1)/12)</x:f>
        <x:v>6792.455241498254</x:v>
      </x:c>
      <x:c r="E481" s="141" t="n">
        <x:f>Premissas!$B$64*(1+Premissas!$B$57)^INT((A481-1)/12)</x:f>
        <x:v>6210.244792226975</x:v>
      </x:c>
      <x:c r="F481" s="141" t="n">
        <x:f>MAX(0,Premissas!$B$6*(1+Premissas!$B$66)^((A481-1)/12))</x:f>
        <x:v>2017573.2809422563</x:v>
      </x:c>
      <x:c r="G481" s="141" t="n">
        <x:f>G480*(1+Premissas!$B$41)+C481</x:f>
        <x:v>73527632.04698916</x:v>
      </x:c>
      <x:c r="H481" s="141" t="n">
        <x:f>IF($A481=Premissas!$B$48,Premissas!$B$8,0)</x:f>
        <x:v>0</x:v>
      </x:c>
      <x:c r="I481" s="141" t="n">
        <x:f>IF(AND($A481&gt;=Premissas!$B$48,$A481-Premissas!$B$48+1&lt;=Premissas!$B$13),INDEX(Financiamento!$J$6:$J$485,$A481-Premissas!$B$48+1),0)</x:f>
        <x:v>0</x:v>
      </x:c>
      <x:c r="J481" s="141" t="n">
        <x:f>IF(AND(TRUE,Premissas!$B$11="Imovel",Premissas!$B$47="Moradia",$A481&lt;MAX(Premissas!$B$48,Premissas!$B$49)),$D481,0)</x:f>
        <x:v>0</x:v>
      </x:c>
      <x:c r="K481" s="141" t="n">
        <x:f>IF(AND(TRUE,Premissas!$B$11="Imovel",Premissas!$B$47="Investimento",$A481&gt;=MAX(Premissas!$B$48,Premissas!$B$49)),$E481,0)</x:f>
        <x:v>6210.244792226975</x:v>
      </x:c>
      <x:c r="L481" s="141" t="n">
        <x:f>H481+I481+J481</x:f>
        <x:v>0</x:v>
      </x:c>
      <x:c r="M481" s="141" t="n">
        <x:f>K481</x:f>
        <x:v>6210.244792226975</x:v>
      </x:c>
      <x:c r="N481" s="141" t="n">
        <x:f>$C481+M481-L481</x:f>
        <x:v>6210.244792226975</x:v>
      </x:c>
      <x:c r="O481" s="141" t="n">
        <x:f>R480*(1+Premissas!$B$41)+N481</x:f>
        <x:v>64903060.68546488</x:v>
      </x:c>
      <x:c r="P481" s="141" t="n">
        <x:f>MAX(0,-O481)</x:f>
        <x:v>0</x:v>
      </x:c>
      <x:c r="Q481" s="141" t="n">
        <x:f>Q480*(1+Premissas!$B$41)+P481</x:f>
        <x:v>0</x:v>
      </x:c>
      <x:c r="R481" s="141" t="n">
        <x:f>MAX(0,O481)</x:f>
        <x:v>64903060.68546488</x:v>
      </x:c>
      <x:c r="S481" s="141" t="n">
        <x:f>IF(AND($A481&gt;=Premissas!$B$48,$A481-Premissas!$B$48+1&lt;=Premissas!$B$13),INDEX(Financiamento!$M$6:$M$485,$A481-Premissas!$B$48+1),0)</x:f>
        <x:v>0</x:v>
      </x:c>
      <x:c r="T481" s="141" t="n">
        <x:f>IF($A481&gt;=Premissas!$B$48,$F481,0)</x:f>
        <x:v>2017573.2809422563</x:v>
      </x:c>
      <x:c r="U481" s="141" t="n">
        <x:f>R481+T481-S481</x:f>
        <x:v>66920633.966407135</x:v>
      </x:c>
      <x:c r="V481" s="141" t="n">
        <x:f>IF(Q481&gt;1,"Inviavel",U481)</x:f>
        <x:v>66920633.966407135</x:v>
      </x:c>
      <x:c r="W481" s="141" t="str">
        <x:f>IF(Q481&gt;1,"Inviavel","OK")</x:f>
        <x:v>OK</x:v>
      </x:c>
      <x:c r="X481" s="141" t="n">
        <x:f>IF($A481=Premissas!$B$48,Premissas!$B$8,0)</x:f>
        <x:v>0</x:v>
      </x:c>
      <x:c r="Y481" s="141" t="n">
        <x:f>IF(AND($A481&gt;=Premissas!$B$48,$A481-Premissas!$B$48+1&lt;=Premissas!$B$13),INDEX(Amortizacao!$K$6:$K$485,$A481-Premissas!$B$48+1),0)</x:f>
        <x:v>0</x:v>
      </x:c>
      <x:c r="Z481" s="141" t="n">
        <x:f>IF(AND(TRUE,Premissas!$B$11="Imovel",Premissas!$B$47="Moradia",$A481&lt;MAX(Premissas!$B$48,Premissas!$B$49)),$D481,0)</x:f>
        <x:v>0</x:v>
      </x:c>
      <x:c r="AA481" s="141" t="n">
        <x:f>IF(AND(TRUE,Premissas!$B$11="Imovel",Premissas!$B$47="Investimento",$A481&gt;=MAX(Premissas!$B$48,Premissas!$B$49)),$E481,0)</x:f>
        <x:v>6210.244792226975</x:v>
      </x:c>
      <x:c r="AB481" s="141" t="n">
        <x:f>X481+Y481+Z481</x:f>
        <x:v>0</x:v>
      </x:c>
      <x:c r="AC481" s="141" t="n">
        <x:f>AA481</x:f>
        <x:v>6210.244792226975</x:v>
      </x:c>
      <x:c r="AD481" s="141" t="n">
        <x:f>$C481+AC481-AB481</x:f>
        <x:v>6210.244792226975</x:v>
      </x:c>
      <x:c r="AE481" s="141" t="n">
        <x:f>AH480*(1+Premissas!$B$41)+AD481</x:f>
        <x:v>65984021.39928296</x:v>
      </x:c>
      <x:c r="AF481" s="141" t="n">
        <x:f>MAX(0,-AE481)</x:f>
        <x:v>0</x:v>
      </x:c>
      <x:c r="AG481" s="141" t="n">
        <x:f>AG480*(1+Premissas!$B$41)+AF481</x:f>
        <x:v>0</x:v>
      </x:c>
      <x:c r="AH481" s="141" t="n">
        <x:f>MAX(0,AE481)</x:f>
        <x:v>65984021.39928296</x:v>
      </x:c>
      <x:c r="AI481" s="141" t="n">
        <x:f>IF(AND($A481&gt;=Premissas!$B$48,$A481-Premissas!$B$48+1&lt;=Premissas!$B$13),INDEX(Amortizacao!$L$6:$L$485,$A481-Premissas!$B$48+1),0)</x:f>
        <x:v>0</x:v>
      </x:c>
      <x:c r="AJ481" s="141" t="n">
        <x:f>IF($A481&gt;=Premissas!$B$48,$F481,0)</x:f>
        <x:v>2017573.2809422563</x:v>
      </x:c>
      <x:c r="AK481" s="141" t="n">
        <x:f>AH481+AJ481-AI481</x:f>
        <x:v>68001594.68022522</x:v>
      </x:c>
      <x:c r="AL481" s="141" t="n">
        <x:f>IF(AG481&gt;1,"Inviavel",AK481)</x:f>
        <x:v>68001594.68022522</x:v>
      </x:c>
      <x:c r="AM481" s="141" t="str">
        <x:f>IF(AG481&gt;1,"Inviavel","OK")</x:f>
        <x:v>OK</x:v>
      </x:c>
      <x:c r="AN481" s="141" t="n">
        <x:f>IF($A481=Premissas!$B$48,Premissas!$B$8,0)</x:f>
        <x:v>0</x:v>
      </x:c>
      <x:c r="AO481" s="141" t="n">
        <x:f>IF($A481&lt;=Premissas!$B$25,INDEX('Consorcio IQ'!$K$6:$K$485,$A481),0)</x:f>
        <x:v>0</x:v>
      </x:c>
      <x:c r="AP481" s="141" t="n">
        <x:f>IF(AND(TRUE,Premissas!$B$11="Imovel",Premissas!$B$47="Moradia",$A481&lt;MAX(Premissas!$B$48,Premissas!$B$49)),$D481,0)</x:f>
        <x:v>0</x:v>
      </x:c>
      <x:c r="AQ481" s="141" t="n">
        <x:f>IF(AND(TRUE,Premissas!$B$11="Imovel",Premissas!$B$47="Investimento",$A481&gt;=MAX(Premissas!$B$48,Premissas!$B$49)),$E481,0)</x:f>
        <x:v>6210.244792226975</x:v>
      </x:c>
      <x:c r="AR481" s="141" t="n">
        <x:f>AN481+AO481+AP481</x:f>
        <x:v>0</x:v>
      </x:c>
      <x:c r="AS481" s="141" t="n">
        <x:f>AQ481</x:f>
        <x:v>6210.244792226975</x:v>
      </x:c>
      <x:c r="AT481" s="141" t="n">
        <x:f>$C481+AS481-AR481</x:f>
        <x:v>6210.244792226975</x:v>
      </x:c>
      <x:c r="AU481" s="141" t="n">
        <x:f>AX480*(1+Premissas!$B$41)+AT481</x:f>
        <x:v>65466189.427275605</x:v>
      </x:c>
      <x:c r="AV481" s="141" t="n">
        <x:f>MAX(0,-AU481)</x:f>
        <x:v>0</x:v>
      </x:c>
      <x:c r="AW481" s="141" t="n">
        <x:f>AW480*(1+Premissas!$B$41)+AV481</x:f>
        <x:v>0</x:v>
      </x:c>
      <x:c r="AX481" s="141" t="n">
        <x:f>MAX(0,AU481)</x:f>
        <x:v>65466189.427275605</x:v>
      </x:c>
      <x:c r="AY481" s="141" t="n">
        <x:f>INDEX('Consorcio IQ'!$P$6:$P$485,$A481)</x:f>
        <x:v>0</x:v>
      </x:c>
      <x:c r="AZ481" s="141" t="n">
        <x:f>IF($A481&gt;=Premissas!$B$48,$F481,0)+IF($A481&lt;Premissas!$B$27,INDEX('Consorcio IQ'!$O$6:$O$485,$A481),0)</x:f>
        <x:v>2017573.2809422563</x:v>
      </x:c>
      <x:c r="BA481" s="141" t="n">
        <x:f>AX481+AZ481-AY481</x:f>
        <x:v>67483762.70821786</x:v>
      </x:c>
      <x:c r="BB481" s="141" t="n">
        <x:f>IF(AW481&gt;1,"Inviavel",BA481)</x:f>
        <x:v>67483762.70821786</x:v>
      </x:c>
      <x:c r="BC481" s="141" t="str">
        <x:f>IF(AW481&gt;1,"Inviavel","OK")</x:f>
        <x:v>OK</x:v>
      </x:c>
      <x:c r="BD481" s="141" t="n">
        <x:f>IF($A481='Consorcio Direto'!$B$29,'Consorcio Direto'!$B$44,0)</x:f>
        <x:v>0</x:v>
      </x:c>
      <x:c r="BE481" s="141" t="n">
        <x:f>IF($A481&lt;='Consorcio Direto'!$B$27,INDEX('Consorcio Direto'!$E$55:$E$534,$A481),0)</x:f>
        <x:v>0</x:v>
      </x:c>
      <x:c r="BF481" s="141" t="n">
        <x:f>IF(AND(TRUE,Premissas!$B$11="Imovel",Premissas!$B$47="Moradia",$A481&lt;MAX('Consorcio Direto'!$B$29,Premissas!$B$49)),$D481,0)</x:f>
        <x:v>0</x:v>
      </x:c>
      <x:c r="BG481" s="141" t="n">
        <x:f>IF(AND(TRUE,Premissas!$B$11="Imovel",Premissas!$B$47="Investimento",$A481&gt;=MAX('Consorcio Direto'!$B$29,Premissas!$B$49)),$E481,0)</x:f>
        <x:v>6210.244792226975</x:v>
      </x:c>
      <x:c r="BH481" s="141" t="n">
        <x:f>BD481+BE481+BF481</x:f>
        <x:v>0</x:v>
      </x:c>
      <x:c r="BI481" s="141" t="n">
        <x:f>BG481</x:f>
        <x:v>6210.244792226975</x:v>
      </x:c>
      <x:c r="BJ481" s="141" t="n">
        <x:f>$C481+BI481-BH481</x:f>
        <x:v>6210.244792226975</x:v>
      </x:c>
      <x:c r="BK481" s="141" t="n">
        <x:f>BN480*(1+Premissas!$B$41)+BJ481</x:f>
        <x:v>62667623.82243672</x:v>
      </x:c>
      <x:c r="BL481" s="141" t="n">
        <x:f>MAX(0,-BK481)</x:f>
        <x:v>0</x:v>
      </x:c>
      <x:c r="BM481" s="141" t="n">
        <x:f>BM480*(1+Premissas!$B$41)+BL481</x:f>
        <x:v>0</x:v>
      </x:c>
      <x:c r="BN481" s="141" t="n">
        <x:f>MAX(0,BK481)</x:f>
        <x:v>62667623.82243672</x:v>
      </x:c>
      <x:c r="BO481" s="141" t="n">
        <x:f>INDEX('Consorcio Direto'!$K$55:$K$534,$A481)</x:f>
        <x:v>0</x:v>
      </x:c>
      <x:c r="BP481" s="141" t="n">
        <x:f>IF($A481&lt;'Consorcio Direto'!$B$29,INDEX('Consorcio Direto'!$L$55:$L$534,$A481),$F481)</x:f>
        <x:v>2017573.2809422563</x:v>
      </x:c>
      <x:c r="BQ481" s="141" t="n">
        <x:f>BN481+BP481-BO481</x:f>
        <x:v>64685197.103378974</x:v>
      </x:c>
      <x:c r="BR481" s="141" t="n">
        <x:f>IF(BM481&gt;1,"Inviavel",BQ481)</x:f>
        <x:v>64685197.103378974</x:v>
      </x:c>
      <x:c r="BS481" s="141" t="str">
        <x:f>IF(BM481&gt;1,"Inviavel","OK")</x:f>
        <x:v>OK</x:v>
      </x:c>
      <x:c r="BT481" s="141" t="n">
        <x:f>IF(AND('Carta Contemplada'!$B$22="Sim",$A481='Carta Contemplada'!$B$23),'Carta Contemplada'!$B$37,0)</x:f>
        <x:v>0</x:v>
      </x:c>
      <x:c r="BU481" s="141" t="n">
        <x:f>IF('Carta Contemplada'!$B$22="Sim",INDEX('Carta Contemplada'!$C$55:$C$1013,$A481),0)</x:f>
        <x:v>0</x:v>
      </x:c>
      <x:c r="BV481" s="141" t="n">
        <x:f>IF(AND('Carta Contemplada'!$B$22="Sim",Premissas!$B$11="Imovel",Premissas!$B$47="Moradia",$A481&lt;MAX('Carta Contemplada'!$B$44,Premissas!$B$49)),$D481,0)</x:f>
        <x:v>0</x:v>
      </x:c>
      <x:c r="BW481" s="141" t="n">
        <x:f>IF(AND('Carta Contemplada'!$B$22="Sim",Premissas!$B$11="Imovel",Premissas!$B$47="Investimento",$A481&gt;=MAX('Carta Contemplada'!$B$44,Premissas!$B$49)),$E481,0)</x:f>
        <x:v>6210.244792226975</x:v>
      </x:c>
      <x:c r="BX481" s="141" t="n">
        <x:f>BT481+BU481+BV481</x:f>
        <x:v>0</x:v>
      </x:c>
      <x:c r="BY481" s="141" t="n">
        <x:f>BW481</x:f>
        <x:v>6210.244792226975</x:v>
      </x:c>
      <x:c r="BZ481" s="141" t="n">
        <x:f>$C481+BY481-BX481</x:f>
        <x:v>6210.244792226975</x:v>
      </x:c>
      <x:c r="CA481" s="141" t="n">
        <x:f>CD480*(1+Premissas!$B$41)+BZ481</x:f>
        <x:v>67289896.31479473</x:v>
      </x:c>
      <x:c r="CB481" s="141" t="n">
        <x:f>MAX(0,-CA481)</x:f>
        <x:v>0</x:v>
      </x:c>
      <x:c r="CC481" s="141" t="n">
        <x:f>CC480*(1+Premissas!$B$41)+CB481</x:f>
        <x:v>0</x:v>
      </x:c>
      <x:c r="CD481" s="141" t="n">
        <x:f>MAX(0,CA481)</x:f>
        <x:v>67289896.31479473</x:v>
      </x:c>
      <x:c r="CE481" s="141" t="n">
        <x:f>IF(AND('Carta Contemplada'!$B$22="Sim",$A481&gt;='Carta Contemplada'!$B$23),INDEX('Carta Contemplada'!$I$55:$I$1013,$A481),0)</x:f>
        <x:v>0</x:v>
      </x:c>
      <x:c r="CF481" s="141" t="n">
        <x:f>IF(AND('Carta Contemplada'!$B$22="Sim",$A481&gt;='Carta Contemplada'!$B$44),$F481,0)</x:f>
        <x:v>2017573.2809422563</x:v>
      </x:c>
      <x:c r="CG481" s="141" t="n">
        <x:f>CD481+CF481-CE481</x:f>
        <x:v>69307469.595737</x:v>
      </x:c>
      <x:c r="CH481" s="141" t="n">
        <x:f>IF(CC481&gt;1,"Inviavel",CG481)</x:f>
        <x:v>69307469.595737</x:v>
      </x:c>
      <x:c r="CI481" s="145" t="str">
        <x:f>IF(CC481&gt;1,"Inviavel","OK")</x:f>
        <x:v>OK</x:v>
      </x:c>
    </x:row>
    <x:row r="482">
      <x:c r="A482" s="142" t="n">
        <x:v>478</x:v>
      </x:c>
      <x:c r="B482" s="179" t="n">
        <x:f>EDATE(Premissas!$B$4,A482-1)</x:f>
        <x:v>61057</x:v>
      </x:c>
      <x:c r="C482" s="141" t="n">
        <x:f>IF(A482&lt;=Premissas!$B$39,Premissas!$B$42,0)</x:f>
        <x:v>0</x:v>
      </x:c>
      <x:c r="D482" s="141" t="n">
        <x:f>Premissas!$B$54*(1+Premissas!$B$57)^INT((A482-1)/12)</x:f>
        <x:v>6792.455241498254</x:v>
      </x:c>
      <x:c r="E482" s="141" t="n">
        <x:f>Premissas!$B$64*(1+Premissas!$B$57)^INT((A482-1)/12)</x:f>
        <x:v>6210.244792226975</x:v>
      </x:c>
      <x:c r="F482" s="141" t="n">
        <x:f>MAX(0,Premissas!$B$6*(1+Premissas!$B$66)^((A482-1)/12))</x:f>
        <x:v>2027393.920906528</x:v>
      </x:c>
      <x:c r="G482" s="141" t="n">
        <x:f>G481*(1+Premissas!$B$41)+C482</x:f>
        <x:v>74225320.52245325</x:v>
      </x:c>
      <x:c r="H482" s="141" t="n">
        <x:f>IF($A482=Premissas!$B$48,Premissas!$B$8,0)</x:f>
        <x:v>0</x:v>
      </x:c>
      <x:c r="I482" s="141" t="n">
        <x:f>IF(AND($A482&gt;=Premissas!$B$48,$A482-Premissas!$B$48+1&lt;=Premissas!$B$13),INDEX(Financiamento!$J$6:$J$485,$A482-Premissas!$B$48+1),0)</x:f>
        <x:v>0</x:v>
      </x:c>
      <x:c r="J482" s="141" t="n">
        <x:f>IF(AND(TRUE,Premissas!$B$11="Imovel",Premissas!$B$47="Moradia",$A482&lt;MAX(Premissas!$B$48,Premissas!$B$49)),$D482,0)</x:f>
        <x:v>0</x:v>
      </x:c>
      <x:c r="K482" s="141" t="n">
        <x:f>IF(AND(TRUE,Premissas!$B$11="Imovel",Premissas!$B$47="Investimento",$A482&gt;=MAX(Premissas!$B$48,Premissas!$B$49)),$E482,0)</x:f>
        <x:v>6210.244792226975</x:v>
      </x:c>
      <x:c r="L482" s="141" t="n">
        <x:f>H482+I482+J482</x:f>
        <x:v>0</x:v>
      </x:c>
      <x:c r="M482" s="141" t="n">
        <x:f>K482</x:f>
        <x:v>6210.244792226975</x:v>
      </x:c>
      <x:c r="N482" s="141" t="n">
        <x:f>$C482+M482-L482</x:f>
        <x:v>6210.244792226975</x:v>
      </x:c>
      <x:c r="O482" s="141" t="n">
        <x:f>R481*(1+Premissas!$B$41)+N482</x:f>
        <x:v>65525122.63392217</x:v>
      </x:c>
      <x:c r="P482" s="141" t="n">
        <x:f>MAX(0,-O482)</x:f>
        <x:v>0</x:v>
      </x:c>
      <x:c r="Q482" s="141" t="n">
        <x:f>Q481*(1+Premissas!$B$41)+P482</x:f>
        <x:v>0</x:v>
      </x:c>
      <x:c r="R482" s="141" t="n">
        <x:f>MAX(0,O482)</x:f>
        <x:v>65525122.63392217</x:v>
      </x:c>
      <x:c r="S482" s="141" t="n">
        <x:f>IF(AND($A482&gt;=Premissas!$B$48,$A482-Premissas!$B$48+1&lt;=Premissas!$B$13),INDEX(Financiamento!$M$6:$M$485,$A482-Premissas!$B$48+1),0)</x:f>
        <x:v>0</x:v>
      </x:c>
      <x:c r="T482" s="141" t="n">
        <x:f>IF($A482&gt;=Premissas!$B$48,$F482,0)</x:f>
        <x:v>2027393.920906528</x:v>
      </x:c>
      <x:c r="U482" s="141" t="n">
        <x:f>R482+T482-S482</x:f>
        <x:v>67552516.55482869</x:v>
      </x:c>
      <x:c r="V482" s="141" t="n">
        <x:f>IF(Q482&gt;1,"Inviavel",U482)</x:f>
        <x:v>67552516.55482869</x:v>
      </x:c>
      <x:c r="W482" s="141" t="str">
        <x:f>IF(Q482&gt;1,"Inviavel","OK")</x:f>
        <x:v>OK</x:v>
      </x:c>
      <x:c r="X482" s="141" t="n">
        <x:f>IF($A482=Premissas!$B$48,Premissas!$B$8,0)</x:f>
        <x:v>0</x:v>
      </x:c>
      <x:c r="Y482" s="141" t="n">
        <x:f>IF(AND($A482&gt;=Premissas!$B$48,$A482-Premissas!$B$48+1&lt;=Premissas!$B$13),INDEX(Amortizacao!$K$6:$K$485,$A482-Premissas!$B$48+1),0)</x:f>
        <x:v>0</x:v>
      </x:c>
      <x:c r="Z482" s="141" t="n">
        <x:f>IF(AND(TRUE,Premissas!$B$11="Imovel",Premissas!$B$47="Moradia",$A482&lt;MAX(Premissas!$B$48,Premissas!$B$49)),$D482,0)</x:f>
        <x:v>0</x:v>
      </x:c>
      <x:c r="AA482" s="141" t="n">
        <x:f>IF(AND(TRUE,Premissas!$B$11="Imovel",Premissas!$B$47="Investimento",$A482&gt;=MAX(Premissas!$B$48,Premissas!$B$49)),$E482,0)</x:f>
        <x:v>6210.244792226975</x:v>
      </x:c>
      <x:c r="AB482" s="141" t="n">
        <x:f>X482+Y482+Z482</x:f>
        <x:v>0</x:v>
      </x:c>
      <x:c r="AC482" s="141" t="n">
        <x:f>AA482</x:f>
        <x:v>6210.244792226975</x:v>
      </x:c>
      <x:c r="AD482" s="141" t="n">
        <x:f>$C482+AC482-AB482</x:f>
        <x:v>6210.244792226975</x:v>
      </x:c>
      <x:c r="AE482" s="141" t="n">
        <x:f>AH481*(1+Premissas!$B$41)+AD482</x:f>
        <x:v>66616340.36012409</x:v>
      </x:c>
      <x:c r="AF482" s="141" t="n">
        <x:f>MAX(0,-AE482)</x:f>
        <x:v>0</x:v>
      </x:c>
      <x:c r="AG482" s="141" t="n">
        <x:f>AG481*(1+Premissas!$B$41)+AF482</x:f>
        <x:v>0</x:v>
      </x:c>
      <x:c r="AH482" s="141" t="n">
        <x:f>MAX(0,AE482)</x:f>
        <x:v>66616340.36012409</x:v>
      </x:c>
      <x:c r="AI482" s="141" t="n">
        <x:f>IF(AND($A482&gt;=Premissas!$B$48,$A482-Premissas!$B$48+1&lt;=Premissas!$B$13),INDEX(Amortizacao!$L$6:$L$485,$A482-Premissas!$B$48+1),0)</x:f>
        <x:v>0</x:v>
      </x:c>
      <x:c r="AJ482" s="141" t="n">
        <x:f>IF($A482&gt;=Premissas!$B$48,$F482,0)</x:f>
        <x:v>2027393.920906528</x:v>
      </x:c>
      <x:c r="AK482" s="141" t="n">
        <x:f>AH482+AJ482-AI482</x:f>
        <x:v>68643734.28103061</x:v>
      </x:c>
      <x:c r="AL482" s="141" t="n">
        <x:f>IF(AG482&gt;1,"Inviavel",AK482)</x:f>
        <x:v>68643734.28103061</x:v>
      </x:c>
      <x:c r="AM482" s="141" t="str">
        <x:f>IF(AG482&gt;1,"Inviavel","OK")</x:f>
        <x:v>OK</x:v>
      </x:c>
      <x:c r="AN482" s="141" t="n">
        <x:f>IF($A482=Premissas!$B$48,Premissas!$B$8,0)</x:f>
        <x:v>0</x:v>
      </x:c>
      <x:c r="AO482" s="141" t="n">
        <x:f>IF($A482&lt;=Premissas!$B$25,INDEX('Consorcio IQ'!$K$6:$K$485,$A482),0)</x:f>
        <x:v>0</x:v>
      </x:c>
      <x:c r="AP482" s="141" t="n">
        <x:f>IF(AND(TRUE,Premissas!$B$11="Imovel",Premissas!$B$47="Moradia",$A482&lt;MAX(Premissas!$B$48,Premissas!$B$49)),$D482,0)</x:f>
        <x:v>0</x:v>
      </x:c>
      <x:c r="AQ482" s="141" t="n">
        <x:f>IF(AND(TRUE,Premissas!$B$11="Imovel",Premissas!$B$47="Investimento",$A482&gt;=MAX(Premissas!$B$48,Premissas!$B$49)),$E482,0)</x:f>
        <x:v>6210.244792226975</x:v>
      </x:c>
      <x:c r="AR482" s="141" t="n">
        <x:f>AN482+AO482+AP482</x:f>
        <x:v>0</x:v>
      </x:c>
      <x:c r="AS482" s="141" t="n">
        <x:f>AQ482</x:f>
        <x:v>6210.244792226975</x:v>
      </x:c>
      <x:c r="AT482" s="141" t="n">
        <x:f>$C482+AS482-AR482</x:f>
        <x:v>6210.244792226975</x:v>
      </x:c>
      <x:c r="AU482" s="141" t="n">
        <x:f>AX481*(1+Premissas!$B$41)+AT482</x:f>
        <x:v>66093594.787759446</x:v>
      </x:c>
      <x:c r="AV482" s="141" t="n">
        <x:f>MAX(0,-AU482)</x:f>
        <x:v>0</x:v>
      </x:c>
      <x:c r="AW482" s="141" t="n">
        <x:f>AW481*(1+Premissas!$B$41)+AV482</x:f>
        <x:v>0</x:v>
      </x:c>
      <x:c r="AX482" s="141" t="n">
        <x:f>MAX(0,AU482)</x:f>
        <x:v>66093594.787759446</x:v>
      </x:c>
      <x:c r="AY482" s="141" t="n">
        <x:f>INDEX('Consorcio IQ'!$P$6:$P$485,$A482)</x:f>
        <x:v>0</x:v>
      </x:c>
      <x:c r="AZ482" s="141" t="n">
        <x:f>IF($A482&gt;=Premissas!$B$48,$F482,0)+IF($A482&lt;Premissas!$B$27,INDEX('Consorcio IQ'!$O$6:$O$485,$A482),0)</x:f>
        <x:v>2027393.920906528</x:v>
      </x:c>
      <x:c r="BA482" s="141" t="n">
        <x:f>AX482+AZ482-AY482</x:f>
        <x:v>68120988.70866597</x:v>
      </x:c>
      <x:c r="BB482" s="141" t="n">
        <x:f>IF(AW482&gt;1,"Inviavel",BA482)</x:f>
        <x:v>68120988.70866597</x:v>
      </x:c>
      <x:c r="BC482" s="141" t="str">
        <x:f>IF(AW482&gt;1,"Inviavel","OK")</x:f>
        <x:v>OK</x:v>
      </x:c>
      <x:c r="BD482" s="141" t="n">
        <x:f>IF($A482='Consorcio Direto'!$B$29,'Consorcio Direto'!$B$44,0)</x:f>
        <x:v>0</x:v>
      </x:c>
      <x:c r="BE482" s="141" t="n">
        <x:f>IF($A482&lt;='Consorcio Direto'!$B$27,INDEX('Consorcio Direto'!$E$55:$E$534,$A482),0)</x:f>
        <x:v>0</x:v>
      </x:c>
      <x:c r="BF482" s="141" t="n">
        <x:f>IF(AND(TRUE,Premissas!$B$11="Imovel",Premissas!$B$47="Moradia",$A482&lt;MAX('Consorcio Direto'!$B$29,Premissas!$B$49)),$D482,0)</x:f>
        <x:v>0</x:v>
      </x:c>
      <x:c r="BG482" s="141" t="n">
        <x:f>IF(AND(TRUE,Premissas!$B$11="Imovel",Premissas!$B$47="Investimento",$A482&gt;=MAX('Consorcio Direto'!$B$29,Premissas!$B$49)),$E482,0)</x:f>
        <x:v>6210.244792226975</x:v>
      </x:c>
      <x:c r="BH482" s="141" t="n">
        <x:f>BD482+BE482+BF482</x:f>
        <x:v>0</x:v>
      </x:c>
      <x:c r="BI482" s="141" t="n">
        <x:f>BG482</x:f>
        <x:v>6210.244792226975</x:v>
      </x:c>
      <x:c r="BJ482" s="141" t="n">
        <x:f>$C482+BI482-BH482</x:f>
        <x:v>6210.244792226975</x:v>
      </x:c>
      <x:c r="BK482" s="141" t="n">
        <x:f>BN481*(1+Premissas!$B$41)+BJ482</x:f>
        <x:v>63268474.173382394</x:v>
      </x:c>
      <x:c r="BL482" s="141" t="n">
        <x:f>MAX(0,-BK482)</x:f>
        <x:v>0</x:v>
      </x:c>
      <x:c r="BM482" s="141" t="n">
        <x:f>BM481*(1+Premissas!$B$41)+BL482</x:f>
        <x:v>0</x:v>
      </x:c>
      <x:c r="BN482" s="141" t="n">
        <x:f>MAX(0,BK482)</x:f>
        <x:v>63268474.173382394</x:v>
      </x:c>
      <x:c r="BO482" s="141" t="n">
        <x:f>INDEX('Consorcio Direto'!$K$55:$K$534,$A482)</x:f>
        <x:v>0</x:v>
      </x:c>
      <x:c r="BP482" s="141" t="n">
        <x:f>IF($A482&lt;'Consorcio Direto'!$B$29,INDEX('Consorcio Direto'!$L$55:$L$534,$A482),$F482)</x:f>
        <x:v>2027393.920906528</x:v>
      </x:c>
      <x:c r="BQ482" s="141" t="n">
        <x:f>BN482+BP482-BO482</x:f>
        <x:v>65295868.09428892</x:v>
      </x:c>
      <x:c r="BR482" s="141" t="n">
        <x:f>IF(BM482&gt;1,"Inviavel",BQ482)</x:f>
        <x:v>65295868.09428892</x:v>
      </x:c>
      <x:c r="BS482" s="141" t="str">
        <x:f>IF(BM482&gt;1,"Inviavel","OK")</x:f>
        <x:v>OK</x:v>
      </x:c>
      <x:c r="BT482" s="141" t="n">
        <x:f>IF(AND('Carta Contemplada'!$B$22="Sim",$A482='Carta Contemplada'!$B$23),'Carta Contemplada'!$B$37,0)</x:f>
        <x:v>0</x:v>
      </x:c>
      <x:c r="BU482" s="141" t="n">
        <x:f>IF('Carta Contemplada'!$B$22="Sim",INDEX('Carta Contemplada'!$C$55:$C$1013,$A482),0)</x:f>
        <x:v>0</x:v>
      </x:c>
      <x:c r="BV482" s="141" t="n">
        <x:f>IF(AND('Carta Contemplada'!$B$22="Sim",Premissas!$B$11="Imovel",Premissas!$B$47="Moradia",$A482&lt;MAX('Carta Contemplada'!$B$44,Premissas!$B$49)),$D482,0)</x:f>
        <x:v>0</x:v>
      </x:c>
      <x:c r="BW482" s="141" t="n">
        <x:f>IF(AND('Carta Contemplada'!$B$22="Sim",Premissas!$B$11="Imovel",Premissas!$B$47="Investimento",$A482&gt;=MAX('Carta Contemplada'!$B$44,Premissas!$B$49)),$E482,0)</x:f>
        <x:v>6210.244792226975</x:v>
      </x:c>
      <x:c r="BX482" s="141" t="n">
        <x:f>BT482+BU482+BV482</x:f>
        <x:v>0</x:v>
      </x:c>
      <x:c r="BY482" s="141" t="n">
        <x:f>BW482</x:f>
        <x:v>6210.244792226975</x:v>
      </x:c>
      <x:c r="BZ482" s="141" t="n">
        <x:f>$C482+BY482-BX482</x:f>
        <x:v>6210.244792226975</x:v>
      </x:c>
      <x:c r="CA482" s="141" t="n">
        <x:f>CD481*(1+Premissas!$B$41)+BZ482</x:f>
        <x:v>67934606.45230761</x:v>
      </x:c>
      <x:c r="CB482" s="141" t="n">
        <x:f>MAX(0,-CA482)</x:f>
        <x:v>0</x:v>
      </x:c>
      <x:c r="CC482" s="141" t="n">
        <x:f>CC481*(1+Premissas!$B$41)+CB482</x:f>
        <x:v>0</x:v>
      </x:c>
      <x:c r="CD482" s="141" t="n">
        <x:f>MAX(0,CA482)</x:f>
        <x:v>67934606.45230761</x:v>
      </x:c>
      <x:c r="CE482" s="141" t="n">
        <x:f>IF(AND('Carta Contemplada'!$B$22="Sim",$A482&gt;='Carta Contemplada'!$B$23),INDEX('Carta Contemplada'!$I$55:$I$1013,$A482),0)</x:f>
        <x:v>0</x:v>
      </x:c>
      <x:c r="CF482" s="141" t="n">
        <x:f>IF(AND('Carta Contemplada'!$B$22="Sim",$A482&gt;='Carta Contemplada'!$B$44),$F482,0)</x:f>
        <x:v>2027393.920906528</x:v>
      </x:c>
      <x:c r="CG482" s="141" t="n">
        <x:f>CD482+CF482-CE482</x:f>
        <x:v>69962000.37321414</x:v>
      </x:c>
      <x:c r="CH482" s="141" t="n">
        <x:f>IF(CC482&gt;1,"Inviavel",CG482)</x:f>
        <x:v>69962000.37321414</x:v>
      </x:c>
      <x:c r="CI482" s="145" t="str">
        <x:f>IF(CC482&gt;1,"Inviavel","OK")</x:f>
        <x:v>OK</x:v>
      </x:c>
    </x:row>
    <x:row r="483">
      <x:c r="A483" s="142" t="n">
        <x:v>479</x:v>
      </x:c>
      <x:c r="B483" s="179" t="n">
        <x:f>EDATE(Premissas!$B$4,A483-1)</x:f>
        <x:v>61088</x:v>
      </x:c>
      <x:c r="C483" s="141" t="n">
        <x:f>IF(A483&lt;=Premissas!$B$39,Premissas!$B$42,0)</x:f>
        <x:v>0</x:v>
      </x:c>
      <x:c r="D483" s="141" t="n">
        <x:f>Premissas!$B$54*(1+Premissas!$B$57)^INT((A483-1)/12)</x:f>
        <x:v>6792.455241498254</x:v>
      </x:c>
      <x:c r="E483" s="141" t="n">
        <x:f>Premissas!$B$64*(1+Premissas!$B$57)^INT((A483-1)/12)</x:f>
        <x:v>6210.244792226975</x:v>
      </x:c>
      <x:c r="F483" s="141" t="n">
        <x:f>MAX(0,Premissas!$B$6*(1+Premissas!$B$66)^((A483-1)/12))</x:f>
        <x:v>2037262.3633324099</x:v>
      </x:c>
      <x:c r="G483" s="141" t="n">
        <x:f>G482*(1+Premissas!$B$41)+C483</x:f>
        <x:v>74929629.21939386</x:v>
      </x:c>
      <x:c r="H483" s="141" t="n">
        <x:f>IF($A483=Premissas!$B$48,Premissas!$B$8,0)</x:f>
        <x:v>0</x:v>
      </x:c>
      <x:c r="I483" s="141" t="n">
        <x:f>IF(AND($A483&gt;=Premissas!$B$48,$A483-Premissas!$B$48+1&lt;=Premissas!$B$13),INDEX(Financiamento!$J$6:$J$485,$A483-Premissas!$B$48+1),0)</x:f>
        <x:v>0</x:v>
      </x:c>
      <x:c r="J483" s="141" t="n">
        <x:f>IF(AND(TRUE,Premissas!$B$11="Imovel",Premissas!$B$47="Moradia",$A483&lt;MAX(Premissas!$B$48,Premissas!$B$49)),$D483,0)</x:f>
        <x:v>0</x:v>
      </x:c>
      <x:c r="K483" s="141" t="n">
        <x:f>IF(AND(TRUE,Premissas!$B$11="Imovel",Premissas!$B$47="Investimento",$A483&gt;=MAX(Premissas!$B$48,Premissas!$B$49)),$E483,0)</x:f>
        <x:v>6210.244792226975</x:v>
      </x:c>
      <x:c r="L483" s="141" t="n">
        <x:f>H483+I483+J483</x:f>
        <x:v>0</x:v>
      </x:c>
      <x:c r="M483" s="141" t="n">
        <x:f>K483</x:f>
        <x:v>6210.244792226975</x:v>
      </x:c>
      <x:c r="N483" s="141" t="n">
        <x:f>$C483+M483-L483</x:f>
        <x:v>6210.244792226975</x:v>
      </x:c>
      <x:c r="O483" s="141" t="n">
        <x:f>R482*(1+Premissas!$B$41)+N483</x:f>
        <x:v>66153087.19940084</x:v>
      </x:c>
      <x:c r="P483" s="141" t="n">
        <x:f>MAX(0,-O483)</x:f>
        <x:v>0</x:v>
      </x:c>
      <x:c r="Q483" s="141" t="n">
        <x:f>Q482*(1+Premissas!$B$41)+P483</x:f>
        <x:v>0</x:v>
      </x:c>
      <x:c r="R483" s="141" t="n">
        <x:f>MAX(0,O483)</x:f>
        <x:v>66153087.19940084</x:v>
      </x:c>
      <x:c r="S483" s="141" t="n">
        <x:f>IF(AND($A483&gt;=Premissas!$B$48,$A483-Premissas!$B$48+1&lt;=Premissas!$B$13),INDEX(Financiamento!$M$6:$M$485,$A483-Premissas!$B$48+1),0)</x:f>
        <x:v>0</x:v>
      </x:c>
      <x:c r="T483" s="141" t="n">
        <x:f>IF($A483&gt;=Premissas!$B$48,$F483,0)</x:f>
        <x:v>2037262.3633324099</x:v>
      </x:c>
      <x:c r="U483" s="141" t="n">
        <x:f>R483+T483-S483</x:f>
        <x:v>68190349.56273325</x:v>
      </x:c>
      <x:c r="V483" s="141" t="n">
        <x:f>IF(Q483&gt;1,"Inviavel",U483)</x:f>
        <x:v>68190349.56273325</x:v>
      </x:c>
      <x:c r="W483" s="141" t="str">
        <x:f>IF(Q483&gt;1,"Inviavel","OK")</x:f>
        <x:v>OK</x:v>
      </x:c>
      <x:c r="X483" s="141" t="n">
        <x:f>IF($A483=Premissas!$B$48,Premissas!$B$8,0)</x:f>
        <x:v>0</x:v>
      </x:c>
      <x:c r="Y483" s="141" t="n">
        <x:f>IF(AND($A483&gt;=Premissas!$B$48,$A483-Premissas!$B$48+1&lt;=Premissas!$B$13),INDEX(Amortizacao!$K$6:$K$485,$A483-Premissas!$B$48+1),0)</x:f>
        <x:v>0</x:v>
      </x:c>
      <x:c r="Z483" s="141" t="n">
        <x:f>IF(AND(TRUE,Premissas!$B$11="Imovel",Premissas!$B$47="Moradia",$A483&lt;MAX(Premissas!$B$48,Premissas!$B$49)),$D483,0)</x:f>
        <x:v>0</x:v>
      </x:c>
      <x:c r="AA483" s="141" t="n">
        <x:f>IF(AND(TRUE,Premissas!$B$11="Imovel",Premissas!$B$47="Investimento",$A483&gt;=MAX(Premissas!$B$48,Premissas!$B$49)),$E483,0)</x:f>
        <x:v>6210.244792226975</x:v>
      </x:c>
      <x:c r="AB483" s="141" t="n">
        <x:f>X483+Y483+Z483</x:f>
        <x:v>0</x:v>
      </x:c>
      <x:c r="AC483" s="141" t="n">
        <x:f>AA483</x:f>
        <x:v>6210.244792226975</x:v>
      </x:c>
      <x:c r="AD483" s="141" t="n">
        <x:f>$C483+AC483-AB483</x:f>
        <x:v>6210.244792226975</x:v>
      </x:c>
      <x:c r="AE483" s="141" t="n">
        <x:f>AH482*(1+Premissas!$B$41)+AD483</x:f>
        <x:v>67254659.26465324</x:v>
      </x:c>
      <x:c r="AF483" s="141" t="n">
        <x:f>MAX(0,-AE483)</x:f>
        <x:v>0</x:v>
      </x:c>
      <x:c r="AG483" s="141" t="n">
        <x:f>AG482*(1+Premissas!$B$41)+AF483</x:f>
        <x:v>0</x:v>
      </x:c>
      <x:c r="AH483" s="141" t="n">
        <x:f>MAX(0,AE483)</x:f>
        <x:v>67254659.26465324</x:v>
      </x:c>
      <x:c r="AI483" s="141" t="n">
        <x:f>IF(AND($A483&gt;=Premissas!$B$48,$A483-Premissas!$B$48+1&lt;=Premissas!$B$13),INDEX(Amortizacao!$L$6:$L$485,$A483-Premissas!$B$48+1),0)</x:f>
        <x:v>0</x:v>
      </x:c>
      <x:c r="AJ483" s="141" t="n">
        <x:f>IF($A483&gt;=Premissas!$B$48,$F483,0)</x:f>
        <x:v>2037262.3633324099</x:v>
      </x:c>
      <x:c r="AK483" s="141" t="n">
        <x:f>AH483+AJ483-AI483</x:f>
        <x:v>69291921.62798564</x:v>
      </x:c>
      <x:c r="AL483" s="141" t="n">
        <x:f>IF(AG483&gt;1,"Inviavel",AK483)</x:f>
        <x:v>69291921.62798564</x:v>
      </x:c>
      <x:c r="AM483" s="141" t="str">
        <x:f>IF(AG483&gt;1,"Inviavel","OK")</x:f>
        <x:v>OK</x:v>
      </x:c>
      <x:c r="AN483" s="141" t="n">
        <x:f>IF($A483=Premissas!$B$48,Premissas!$B$8,0)</x:f>
        <x:v>0</x:v>
      </x:c>
      <x:c r="AO483" s="141" t="n">
        <x:f>IF($A483&lt;=Premissas!$B$25,INDEX('Consorcio IQ'!$K$6:$K$485,$A483),0)</x:f>
        <x:v>0</x:v>
      </x:c>
      <x:c r="AP483" s="141" t="n">
        <x:f>IF(AND(TRUE,Premissas!$B$11="Imovel",Premissas!$B$47="Moradia",$A483&lt;MAX(Premissas!$B$48,Premissas!$B$49)),$D483,0)</x:f>
        <x:v>0</x:v>
      </x:c>
      <x:c r="AQ483" s="141" t="n">
        <x:f>IF(AND(TRUE,Premissas!$B$11="Imovel",Premissas!$B$47="Investimento",$A483&gt;=MAX(Premissas!$B$48,Premissas!$B$49)),$E483,0)</x:f>
        <x:v>6210.244792226975</x:v>
      </x:c>
      <x:c r="AR483" s="141" t="n">
        <x:f>AN483+AO483+AP483</x:f>
        <x:v>0</x:v>
      </x:c>
      <x:c r="AS483" s="141" t="n">
        <x:f>AQ483</x:f>
        <x:v>6210.244792226975</x:v>
      </x:c>
      <x:c r="AT483" s="141" t="n">
        <x:f>$C483+AS483-AR483</x:f>
        <x:v>6210.244792226975</x:v>
      </x:c>
      <x:c r="AU483" s="141" t="n">
        <x:f>AX482*(1+Premissas!$B$41)+AT483</x:f>
        <x:v>66726953.46779496</x:v>
      </x:c>
      <x:c r="AV483" s="141" t="n">
        <x:f>MAX(0,-AU483)</x:f>
        <x:v>0</x:v>
      </x:c>
      <x:c r="AW483" s="141" t="n">
        <x:f>AW482*(1+Premissas!$B$41)+AV483</x:f>
        <x:v>0</x:v>
      </x:c>
      <x:c r="AX483" s="141" t="n">
        <x:f>MAX(0,AU483)</x:f>
        <x:v>66726953.46779496</x:v>
      </x:c>
      <x:c r="AY483" s="141" t="n">
        <x:f>INDEX('Consorcio IQ'!$P$6:$P$485,$A483)</x:f>
        <x:v>0</x:v>
      </x:c>
      <x:c r="AZ483" s="141" t="n">
        <x:f>IF($A483&gt;=Premissas!$B$48,$F483,0)+IF($A483&lt;Premissas!$B$27,INDEX('Consorcio IQ'!$O$6:$O$485,$A483),0)</x:f>
        <x:v>2037262.3633324099</x:v>
      </x:c>
      <x:c r="BA483" s="141" t="n">
        <x:f>AX483+AZ483-AY483</x:f>
        <x:v>68764215.83112738</x:v>
      </x:c>
      <x:c r="BB483" s="141" t="n">
        <x:f>IF(AW483&gt;1,"Inviavel",BA483)</x:f>
        <x:v>68764215.83112738</x:v>
      </x:c>
      <x:c r="BC483" s="141" t="str">
        <x:f>IF(AW483&gt;1,"Inviavel","OK")</x:f>
        <x:v>OK</x:v>
      </x:c>
      <x:c r="BD483" s="141" t="n">
        <x:f>IF($A483='Consorcio Direto'!$B$29,'Consorcio Direto'!$B$44,0)</x:f>
        <x:v>0</x:v>
      </x:c>
      <x:c r="BE483" s="141" t="n">
        <x:f>IF($A483&lt;='Consorcio Direto'!$B$27,INDEX('Consorcio Direto'!$E$55:$E$534,$A483),0)</x:f>
        <x:v>0</x:v>
      </x:c>
      <x:c r="BF483" s="141" t="n">
        <x:f>IF(AND(TRUE,Premissas!$B$11="Imovel",Premissas!$B$47="Moradia",$A483&lt;MAX('Consorcio Direto'!$B$29,Premissas!$B$49)),$D483,0)</x:f>
        <x:v>0</x:v>
      </x:c>
      <x:c r="BG483" s="141" t="n">
        <x:f>IF(AND(TRUE,Premissas!$B$11="Imovel",Premissas!$B$47="Investimento",$A483&gt;=MAX('Consorcio Direto'!$B$29,Premissas!$B$49)),$E483,0)</x:f>
        <x:v>6210.244792226975</x:v>
      </x:c>
      <x:c r="BH483" s="141" t="n">
        <x:f>BD483+BE483+BF483</x:f>
        <x:v>0</x:v>
      </x:c>
      <x:c r="BI483" s="141" t="n">
        <x:f>BG483</x:f>
        <x:v>6210.244792226975</x:v>
      </x:c>
      <x:c r="BJ483" s="141" t="n">
        <x:f>$C483+BI483-BH483</x:f>
        <x:v>6210.244792226975</x:v>
      </x:c>
      <x:c r="BK483" s="141" t="n">
        <x:f>BN482*(1+Premissas!$B$41)+BJ483</x:f>
        <x:v>63875025.86889286</x:v>
      </x:c>
      <x:c r="BL483" s="141" t="n">
        <x:f>MAX(0,-BK483)</x:f>
        <x:v>0</x:v>
      </x:c>
      <x:c r="BM483" s="141" t="n">
        <x:f>BM482*(1+Premissas!$B$41)+BL483</x:f>
        <x:v>0</x:v>
      </x:c>
      <x:c r="BN483" s="141" t="n">
        <x:f>MAX(0,BK483)</x:f>
        <x:v>63875025.86889286</x:v>
      </x:c>
      <x:c r="BO483" s="141" t="n">
        <x:f>INDEX('Consorcio Direto'!$K$55:$K$534,$A483)</x:f>
        <x:v>0</x:v>
      </x:c>
      <x:c r="BP483" s="141" t="n">
        <x:f>IF($A483&lt;'Consorcio Direto'!$B$29,INDEX('Consorcio Direto'!$L$55:$L$534,$A483),$F483)</x:f>
        <x:v>2037262.3633324099</x:v>
      </x:c>
      <x:c r="BQ483" s="141" t="n">
        <x:f>BN483+BP483-BO483</x:f>
        <x:v>65912288.23222528</x:v>
      </x:c>
      <x:c r="BR483" s="141" t="n">
        <x:f>IF(BM483&gt;1,"Inviavel",BQ483)</x:f>
        <x:v>65912288.23222528</x:v>
      </x:c>
      <x:c r="BS483" s="141" t="str">
        <x:f>IF(BM483&gt;1,"Inviavel","OK")</x:f>
        <x:v>OK</x:v>
      </x:c>
      <x:c r="BT483" s="141" t="n">
        <x:f>IF(AND('Carta Contemplada'!$B$22="Sim",$A483='Carta Contemplada'!$B$23),'Carta Contemplada'!$B$37,0)</x:f>
        <x:v>0</x:v>
      </x:c>
      <x:c r="BU483" s="141" t="n">
        <x:f>IF('Carta Contemplada'!$B$22="Sim",INDEX('Carta Contemplada'!$C$55:$C$1013,$A483),0)</x:f>
        <x:v>0</x:v>
      </x:c>
      <x:c r="BV483" s="141" t="n">
        <x:f>IF(AND('Carta Contemplada'!$B$22="Sim",Premissas!$B$11="Imovel",Premissas!$B$47="Moradia",$A483&lt;MAX('Carta Contemplada'!$B$44,Premissas!$B$49)),$D483,0)</x:f>
        <x:v>0</x:v>
      </x:c>
      <x:c r="BW483" s="141" t="n">
        <x:f>IF(AND('Carta Contemplada'!$B$22="Sim",Premissas!$B$11="Imovel",Premissas!$B$47="Investimento",$A483&gt;=MAX('Carta Contemplada'!$B$44,Premissas!$B$49)),$E483,0)</x:f>
        <x:v>6210.244792226975</x:v>
      </x:c>
      <x:c r="BX483" s="141" t="n">
        <x:f>BT483+BU483+BV483</x:f>
        <x:v>0</x:v>
      </x:c>
      <x:c r="BY483" s="141" t="n">
        <x:f>BW483</x:f>
        <x:v>6210.244792226975</x:v>
      </x:c>
      <x:c r="BZ483" s="141" t="n">
        <x:f>$C483+BY483-BX483</x:f>
        <x:v>6210.244792226975</x:v>
      </x:c>
      <x:c r="CA483" s="141" t="n">
        <x:f>CD482*(1+Premissas!$B$41)+BZ483</x:f>
        <x:v>68585434.11081818</x:v>
      </x:c>
      <x:c r="CB483" s="141" t="n">
        <x:f>MAX(0,-CA483)</x:f>
        <x:v>0</x:v>
      </x:c>
      <x:c r="CC483" s="141" t="n">
        <x:f>CC482*(1+Premissas!$B$41)+CB483</x:f>
        <x:v>0</x:v>
      </x:c>
      <x:c r="CD483" s="141" t="n">
        <x:f>MAX(0,CA483)</x:f>
        <x:v>68585434.11081818</x:v>
      </x:c>
      <x:c r="CE483" s="141" t="n">
        <x:f>IF(AND('Carta Contemplada'!$B$22="Sim",$A483&gt;='Carta Contemplada'!$B$23),INDEX('Carta Contemplada'!$I$55:$I$1013,$A483),0)</x:f>
        <x:v>0</x:v>
      </x:c>
      <x:c r="CF483" s="141" t="n">
        <x:f>IF(AND('Carta Contemplada'!$B$22="Sim",$A483&gt;='Carta Contemplada'!$B$44),$F483,0)</x:f>
        <x:v>2037262.3633324099</x:v>
      </x:c>
      <x:c r="CG483" s="141" t="n">
        <x:f>CD483+CF483-CE483</x:f>
        <x:v>70622696.47415058</x:v>
      </x:c>
      <x:c r="CH483" s="141" t="n">
        <x:f>IF(CC483&gt;1,"Inviavel",CG483)</x:f>
        <x:v>70622696.47415058</x:v>
      </x:c>
      <x:c r="CI483" s="145" t="str">
        <x:f>IF(CC483&gt;1,"Inviavel","OK")</x:f>
        <x:v>OK</x:v>
      </x:c>
    </x:row>
    <x:row r="484">
      <x:c r="A484" s="142" t="n">
        <x:v>480</x:v>
      </x:c>
      <x:c r="B484" s="179" t="n">
        <x:f>EDATE(Premissas!$B$4,A484-1)</x:f>
        <x:v>61118</x:v>
      </x:c>
      <x:c r="C484" s="141" t="n">
        <x:f>IF(A484&lt;=Premissas!$B$39,Premissas!$B$42,0)</x:f>
        <x:v>0</x:v>
      </x:c>
      <x:c r="D484" s="141" t="n">
        <x:f>Premissas!$B$54*(1+Premissas!$B$57)^INT((A484-1)/12)</x:f>
        <x:v>6792.455241498254</x:v>
      </x:c>
      <x:c r="E484" s="141" t="n">
        <x:f>Premissas!$B$64*(1+Premissas!$B$57)^INT((A484-1)/12)</x:f>
        <x:v>6210.244792226975</x:v>
      </x:c>
      <x:c r="F484" s="141" t="n">
        <x:f>MAX(0,Premissas!$B$6*(1+Premissas!$B$66)^((A484-1)/12))</x:f>
        <x:v>2047178.8409008002</x:v>
      </x:c>
      <x:c r="G484" s="141" t="n">
        <x:f>G483*(1+Premissas!$B$41)+C484</x:f>
        <x:v>75640620.95572178</x:v>
      </x:c>
      <x:c r="H484" s="141" t="n">
        <x:f>IF($A484=Premissas!$B$48,Premissas!$B$8,0)</x:f>
        <x:v>0</x:v>
      </x:c>
      <x:c r="I484" s="141" t="n">
        <x:f>IF(AND($A484&gt;=Premissas!$B$48,$A484-Premissas!$B$48+1&lt;=Premissas!$B$13),INDEX(Financiamento!$J$6:$J$485,$A484-Premissas!$B$48+1),0)</x:f>
        <x:v>0</x:v>
      </x:c>
      <x:c r="J484" s="141" t="n">
        <x:f>IF(AND(TRUE,Premissas!$B$11="Imovel",Premissas!$B$47="Moradia",$A484&lt;MAX(Premissas!$B$48,Premissas!$B$49)),$D484,0)</x:f>
        <x:v>0</x:v>
      </x:c>
      <x:c r="K484" s="141" t="n">
        <x:f>IF(AND(TRUE,Premissas!$B$11="Imovel",Premissas!$B$47="Investimento",$A484&gt;=MAX(Premissas!$B$48,Premissas!$B$49)),$E484,0)</x:f>
        <x:v>6210.244792226975</x:v>
      </x:c>
      <x:c r="L484" s="141" t="n">
        <x:f>H484+I484+J484</x:f>
        <x:v>0</x:v>
      </x:c>
      <x:c r="M484" s="141" t="n">
        <x:f>K484</x:f>
        <x:v>6210.244792226975</x:v>
      </x:c>
      <x:c r="N484" s="141" t="n">
        <x:f>$C484+M484-L484</x:f>
        <x:v>6210.244792226975</x:v>
      </x:c>
      <x:c r="O484" s="141" t="n">
        <x:f>R483*(1+Premissas!$B$41)+N484</x:f>
        <x:v>66787010.390611604</x:v>
      </x:c>
      <x:c r="P484" s="141" t="n">
        <x:f>MAX(0,-O484)</x:f>
        <x:v>0</x:v>
      </x:c>
      <x:c r="Q484" s="141" t="n">
        <x:f>Q483*(1+Premissas!$B$41)+P484</x:f>
        <x:v>0</x:v>
      </x:c>
      <x:c r="R484" s="141" t="n">
        <x:f>MAX(0,O484)</x:f>
        <x:v>66787010.390611604</x:v>
      </x:c>
      <x:c r="S484" s="141" t="n">
        <x:f>IF(AND($A484&gt;=Premissas!$B$48,$A484-Premissas!$B$48+1&lt;=Premissas!$B$13),INDEX(Financiamento!$M$6:$M$485,$A484-Premissas!$B$48+1),0)</x:f>
        <x:v>0</x:v>
      </x:c>
      <x:c r="T484" s="141" t="n">
        <x:f>IF($A484&gt;=Premissas!$B$48,$F484,0)</x:f>
        <x:v>2047178.8409008002</x:v>
      </x:c>
      <x:c r="U484" s="141" t="n">
        <x:f>R484+T484-S484</x:f>
        <x:v>68834189.2315124</x:v>
      </x:c>
      <x:c r="V484" s="141" t="n">
        <x:f>IF(Q484&gt;1,"Inviavel",U484)</x:f>
        <x:v>68834189.2315124</x:v>
      </x:c>
      <x:c r="W484" s="141" t="str">
        <x:f>IF(Q484&gt;1,"Inviavel","OK")</x:f>
        <x:v>OK</x:v>
      </x:c>
      <x:c r="X484" s="141" t="n">
        <x:f>IF($A484=Premissas!$B$48,Premissas!$B$8,0)</x:f>
        <x:v>0</x:v>
      </x:c>
      <x:c r="Y484" s="141" t="n">
        <x:f>IF(AND($A484&gt;=Premissas!$B$48,$A484-Premissas!$B$48+1&lt;=Premissas!$B$13),INDEX(Amortizacao!$K$6:$K$485,$A484-Premissas!$B$48+1),0)</x:f>
        <x:v>0</x:v>
      </x:c>
      <x:c r="Z484" s="141" t="n">
        <x:f>IF(AND(TRUE,Premissas!$B$11="Imovel",Premissas!$B$47="Moradia",$A484&lt;MAX(Premissas!$B$48,Premissas!$B$49)),$D484,0)</x:f>
        <x:v>0</x:v>
      </x:c>
      <x:c r="AA484" s="141" t="n">
        <x:f>IF(AND(TRUE,Premissas!$B$11="Imovel",Premissas!$B$47="Investimento",$A484&gt;=MAX(Premissas!$B$48,Premissas!$B$49)),$E484,0)</x:f>
        <x:v>6210.244792226975</x:v>
      </x:c>
      <x:c r="AB484" s="141" t="n">
        <x:f>X484+Y484+Z484</x:f>
        <x:v>0</x:v>
      </x:c>
      <x:c r="AC484" s="141" t="n">
        <x:f>AA484</x:f>
        <x:v>6210.244792226975</x:v>
      </x:c>
      <x:c r="AD484" s="141" t="n">
        <x:f>$C484+AC484-AB484</x:f>
        <x:v>6210.244792226975</x:v>
      </x:c>
      <x:c r="AE484" s="141" t="n">
        <x:f>AH483*(1+Premissas!$B$41)+AD484</x:f>
        <x:v>67899035.04509369</x:v>
      </x:c>
      <x:c r="AF484" s="141" t="n">
        <x:f>MAX(0,-AE484)</x:f>
        <x:v>0</x:v>
      </x:c>
      <x:c r="AG484" s="141" t="n">
        <x:f>AG483*(1+Premissas!$B$41)+AF484</x:f>
        <x:v>0</x:v>
      </x:c>
      <x:c r="AH484" s="141" t="n">
        <x:f>MAX(0,AE484)</x:f>
        <x:v>67899035.04509369</x:v>
      </x:c>
      <x:c r="AI484" s="141" t="n">
        <x:f>IF(AND($A484&gt;=Premissas!$B$48,$A484-Premissas!$B$48+1&lt;=Premissas!$B$13),INDEX(Amortizacao!$L$6:$L$485,$A484-Premissas!$B$48+1),0)</x:f>
        <x:v>0</x:v>
      </x:c>
      <x:c r="AJ484" s="141" t="n">
        <x:f>IF($A484&gt;=Premissas!$B$48,$F484,0)</x:f>
        <x:v>2047178.8409008002</x:v>
      </x:c>
      <x:c r="AK484" s="141" t="n">
        <x:f>AH484+AJ484-AI484</x:f>
        <x:v>69946213.88599448</x:v>
      </x:c>
      <x:c r="AL484" s="141" t="n">
        <x:f>IF(AG484&gt;1,"Inviavel",AK484)</x:f>
        <x:v>69946213.88599448</x:v>
      </x:c>
      <x:c r="AM484" s="141" t="str">
        <x:f>IF(AG484&gt;1,"Inviavel","OK")</x:f>
        <x:v>OK</x:v>
      </x:c>
      <x:c r="AN484" s="141" t="n">
        <x:f>IF($A484=Premissas!$B$48,Premissas!$B$8,0)</x:f>
        <x:v>0</x:v>
      </x:c>
      <x:c r="AO484" s="141" t="n">
        <x:f>IF($A484&lt;=Premissas!$B$25,INDEX('Consorcio IQ'!$K$6:$K$485,$A484),0)</x:f>
        <x:v>0</x:v>
      </x:c>
      <x:c r="AP484" s="141" t="n">
        <x:f>IF(AND(TRUE,Premissas!$B$11="Imovel",Premissas!$B$47="Moradia",$A484&lt;MAX(Premissas!$B$48,Premissas!$B$49)),$D484,0)</x:f>
        <x:v>0</x:v>
      </x:c>
      <x:c r="AQ484" s="141" t="n">
        <x:f>IF(AND(TRUE,Premissas!$B$11="Imovel",Premissas!$B$47="Investimento",$A484&gt;=MAX(Premissas!$B$48,Premissas!$B$49)),$E484,0)</x:f>
        <x:v>6210.244792226975</x:v>
      </x:c>
      <x:c r="AR484" s="141" t="n">
        <x:f>AN484+AO484+AP484</x:f>
        <x:v>0</x:v>
      </x:c>
      <x:c r="AS484" s="141" t="n">
        <x:f>AQ484</x:f>
        <x:v>6210.244792226975</x:v>
      </x:c>
      <x:c r="AT484" s="141" t="n">
        <x:f>$C484+AS484-AR484</x:f>
        <x:v>6210.244792226975</x:v>
      </x:c>
      <x:c r="AU484" s="141" t="n">
        <x:f>AX483*(1+Premissas!$B$41)+AT484</x:f>
        <x:v>67366321.95719865</x:v>
      </x:c>
      <x:c r="AV484" s="141" t="n">
        <x:f>MAX(0,-AU484)</x:f>
        <x:v>0</x:v>
      </x:c>
      <x:c r="AW484" s="141" t="n">
        <x:f>AW483*(1+Premissas!$B$41)+AV484</x:f>
        <x:v>0</x:v>
      </x:c>
      <x:c r="AX484" s="141" t="n">
        <x:f>MAX(0,AU484)</x:f>
        <x:v>67366321.95719865</x:v>
      </x:c>
      <x:c r="AY484" s="141" t="n">
        <x:f>INDEX('Consorcio IQ'!$P$6:$P$485,$A484)</x:f>
        <x:v>0</x:v>
      </x:c>
      <x:c r="AZ484" s="141" t="n">
        <x:f>IF($A484&gt;=Premissas!$B$48,$F484,0)+IF($A484&lt;Premissas!$B$27,INDEX('Consorcio IQ'!$O$6:$O$485,$A484),0)</x:f>
        <x:v>2047178.8409008002</x:v>
      </x:c>
      <x:c r="BA484" s="141" t="n">
        <x:f>AX484+AZ484-AY484</x:f>
        <x:v>69413500.79809944</x:v>
      </x:c>
      <x:c r="BB484" s="141" t="n">
        <x:f>IF(AW484&gt;1,"Inviavel",BA484)</x:f>
        <x:v>69413500.79809944</x:v>
      </x:c>
      <x:c r="BC484" s="141" t="str">
        <x:f>IF(AW484&gt;1,"Inviavel","OK")</x:f>
        <x:v>OK</x:v>
      </x:c>
      <x:c r="BD484" s="141" t="n">
        <x:f>IF($A484='Consorcio Direto'!$B$29,'Consorcio Direto'!$B$44,0)</x:f>
        <x:v>0</x:v>
      </x:c>
      <x:c r="BE484" s="141" t="n">
        <x:f>IF($A484&lt;='Consorcio Direto'!$B$27,INDEX('Consorcio Direto'!$E$55:$E$534,$A484),0)</x:f>
        <x:v>0</x:v>
      </x:c>
      <x:c r="BF484" s="141" t="n">
        <x:f>IF(AND(TRUE,Premissas!$B$11="Imovel",Premissas!$B$47="Moradia",$A484&lt;MAX('Consorcio Direto'!$B$29,Premissas!$B$49)),$D484,0)</x:f>
        <x:v>0</x:v>
      </x:c>
      <x:c r="BG484" s="141" t="n">
        <x:f>IF(AND(TRUE,Premissas!$B$11="Imovel",Premissas!$B$47="Investimento",$A484&gt;=MAX('Consorcio Direto'!$B$29,Premissas!$B$49)),$E484,0)</x:f>
        <x:v>6210.244792226975</x:v>
      </x:c>
      <x:c r="BH484" s="141" t="n">
        <x:f>BD484+BE484+BF484</x:f>
        <x:v>0</x:v>
      </x:c>
      <x:c r="BI484" s="141" t="n">
        <x:f>BG484</x:f>
        <x:v>6210.244792226975</x:v>
      </x:c>
      <x:c r="BJ484" s="141" t="n">
        <x:f>$C484+BI484-BH484</x:f>
        <x:v>6210.244792226975</x:v>
      </x:c>
      <x:c r="BK484" s="141" t="n">
        <x:f>BN483*(1+Premissas!$B$41)+BJ484</x:f>
        <x:v>64487333.007846154</x:v>
      </x:c>
      <x:c r="BL484" s="141" t="n">
        <x:f>MAX(0,-BK484)</x:f>
        <x:v>0</x:v>
      </x:c>
      <x:c r="BM484" s="141" t="n">
        <x:f>BM483*(1+Premissas!$B$41)+BL484</x:f>
        <x:v>0</x:v>
      </x:c>
      <x:c r="BN484" s="141" t="n">
        <x:f>MAX(0,BK484)</x:f>
        <x:v>64487333.007846154</x:v>
      </x:c>
      <x:c r="BO484" s="141" t="n">
        <x:f>INDEX('Consorcio Direto'!$K$55:$K$534,$A484)</x:f>
        <x:v>0</x:v>
      </x:c>
      <x:c r="BP484" s="141" t="n">
        <x:f>IF($A484&lt;'Consorcio Direto'!$B$29,INDEX('Consorcio Direto'!$L$55:$L$534,$A484),$F484)</x:f>
        <x:v>2047178.8409008002</x:v>
      </x:c>
      <x:c r="BQ484" s="141" t="n">
        <x:f>BN484+BP484-BO484</x:f>
        <x:v>66534511.848746955</x:v>
      </x:c>
      <x:c r="BR484" s="141" t="n">
        <x:f>IF(BM484&gt;1,"Inviavel",BQ484)</x:f>
        <x:v>66534511.848746955</x:v>
      </x:c>
      <x:c r="BS484" s="141" t="str">
        <x:f>IF(BM484&gt;1,"Inviavel","OK")</x:f>
        <x:v>OK</x:v>
      </x:c>
      <x:c r="BT484" s="141" t="n">
        <x:f>IF(AND('Carta Contemplada'!$B$22="Sim",$A484='Carta Contemplada'!$B$23),'Carta Contemplada'!$B$37,0)</x:f>
        <x:v>0</x:v>
      </x:c>
      <x:c r="BU484" s="141" t="n">
        <x:f>IF('Carta Contemplada'!$B$22="Sim",INDEX('Carta Contemplada'!$C$55:$C$1013,$A484),0)</x:f>
        <x:v>0</x:v>
      </x:c>
      <x:c r="BV484" s="141" t="n">
        <x:f>IF(AND('Carta Contemplada'!$B$22="Sim",Premissas!$B$11="Imovel",Premissas!$B$47="Moradia",$A484&lt;MAX('Carta Contemplada'!$B$44,Premissas!$B$49)),$D484,0)</x:f>
        <x:v>0</x:v>
      </x:c>
      <x:c r="BW484" s="141" t="n">
        <x:f>IF(AND('Carta Contemplada'!$B$22="Sim",Premissas!$B$11="Imovel",Premissas!$B$47="Investimento",$A484&gt;=MAX('Carta Contemplada'!$B$44,Premissas!$B$49)),$E484,0)</x:f>
        <x:v>6210.244792226975</x:v>
      </x:c>
      <x:c r="BX484" s="141" t="n">
        <x:f>BT484+BU484+BV484</x:f>
        <x:v>0</x:v>
      </x:c>
      <x:c r="BY484" s="141" t="n">
        <x:f>BW484</x:f>
        <x:v>6210.244792226975</x:v>
      </x:c>
      <x:c r="BZ484" s="141" t="n">
        <x:f>$C484+BY484-BX484</x:f>
        <x:v>6210.244792226975</x:v>
      </x:c>
      <x:c r="CA484" s="141" t="n">
        <x:f>CD483*(1+Premissas!$B$41)+BZ484</x:f>
        <x:v>69242437.33821644</x:v>
      </x:c>
      <x:c r="CB484" s="141" t="n">
        <x:f>MAX(0,-CA484)</x:f>
        <x:v>0</x:v>
      </x:c>
      <x:c r="CC484" s="141" t="n">
        <x:f>CC483*(1+Premissas!$B$41)+CB484</x:f>
        <x:v>0</x:v>
      </x:c>
      <x:c r="CD484" s="141" t="n">
        <x:f>MAX(0,CA484)</x:f>
        <x:v>69242437.33821644</x:v>
      </x:c>
      <x:c r="CE484" s="141" t="n">
        <x:f>IF(AND('Carta Contemplada'!$B$22="Sim",$A484&gt;='Carta Contemplada'!$B$23),INDEX('Carta Contemplada'!$I$55:$I$1013,$A484),0)</x:f>
        <x:v>0</x:v>
      </x:c>
      <x:c r="CF484" s="141" t="n">
        <x:f>IF(AND('Carta Contemplada'!$B$22="Sim",$A484&gt;='Carta Contemplada'!$B$44),$F484,0)</x:f>
        <x:v>2047178.8409008002</x:v>
      </x:c>
      <x:c r="CG484" s="141" t="n">
        <x:f>CD484+CF484-CE484</x:f>
        <x:v>71289616.17911723</x:v>
      </x:c>
      <x:c r="CH484" s="141" t="n">
        <x:f>IF(CC484&gt;1,"Inviavel",CG484)</x:f>
        <x:v>71289616.17911723</x:v>
      </x:c>
      <x:c r="CI484" s="145" t="str">
        <x:f>IF(CC484&gt;1,"Inviavel","OK")</x:f>
        <x:v>OK</x:v>
      </x:c>
    </x:row>
  </x:sheetData>
  <x:mergeCells>
    <x:mergeCell ref="A1:CI1"/>
    <x:mergeCell ref="B3:CI3"/>
    <x:mergeCell ref="H2:W2"/>
    <x:mergeCell ref="X2:AM2"/>
    <x:mergeCell ref="AN2:BC2"/>
    <x:mergeCell ref="BD2:BS2"/>
    <x:mergeCell ref="BT2:C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3.75" hidden="0" customWidth="1"/>
    <x:col min="3" max="3" width="18.1299991607666" hidden="0" customWidth="1"/>
    <x:col min="4" max="4" width="16.25" hidden="0" customWidth="1"/>
    <x:col min="5" max="5" width="17.25" hidden="0" customWidth="1"/>
    <x:col min="6" max="6" width="17.25" hidden="0" customWidth="1"/>
    <x:col min="7" max="7" width="17.25" hidden="0" customWidth="1"/>
    <x:col min="8" max="8" width="17.25" hidden="0" customWidth="1"/>
    <x:col min="9" max="9" width="17.25" hidden="0" customWidth="1"/>
    <x:col min="10" max="10" width="21.25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</x:cols>
  <x:sheetData>
    <x:row r="1" ht="25.5" customHeight="1">
      <x:c r="A1" s="189" t="str">
        <x:v>Consorcio Direto - parametros e cronograma</x:v>
      </x:c>
      <x:c r="B1" s="190" t="str">
        <x:v>Consorcio Direto - parametros e cronograma</x:v>
      </x:c>
      <x:c r="C1" s="190" t="str">
        <x:v>Consorcio Direto - parametros e cronograma</x:v>
      </x:c>
      <x:c r="D1" s="190" t="str">
        <x:v>Consorcio Direto - parametros e cronograma</x:v>
      </x:c>
      <x:c r="E1" s="190" t="str">
        <x:v>Consorcio Direto - parametros e cronograma</x:v>
      </x:c>
      <x:c r="F1" s="190" t="str">
        <x:v>Consorcio Direto - parametros e cronograma</x:v>
      </x:c>
      <x:c r="G1" s="190" t="str">
        <x:v>Consorcio Direto - parametros e cronograma</x:v>
      </x:c>
      <x:c r="H1" s="190" t="str">
        <x:v>Consorcio Direto - parametros e cronograma</x:v>
      </x:c>
      <x:c r="I1" s="190" t="str">
        <x:v>Consorcio Direto - parametros e cronograma</x:v>
      </x:c>
      <x:c r="J1" s="190" t="str">
        <x:v>Consorcio Direto - parametros e cronograma</x:v>
      </x:c>
      <x:c r="K1" s="190" t="str">
        <x:v>Consorcio Direto - parametros e cronograma</x:v>
      </x:c>
      <x:c r="L1" s="190" t="str">
        <x:v>Consorcio Direto - parametros e cronograma</x:v>
      </x:c>
      <x:c r="M1" s="191" t="str">
        <x:v>Consorcio Direto - parametros e cronograma</x:v>
      </x:c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</x:row>
    <x:row r="3" ht="18" customHeight="1">
      <x:c r="A3" s="136" t="str">
        <x:v>Inputs e parametros</x:v>
      </x:c>
      <x:c r="B3" s="137" t="str">
        <x:v>Inputs e parametros</x:v>
      </x:c>
      <x:c r="C3" s="137" t="str">
        <x:v>Inputs e parametros</x:v>
      </x:c>
      <x:c r="D3" s="137" t="str">
        <x:v>Inputs e parametros</x:v>
      </x:c>
      <x:c r="E3" s="138" t="str">
        <x:v>Inputs e parametros</x:v>
      </x:c>
      <x:c r="F3" s="130"/>
      <x:c r="G3" s="136" t="str">
        <x:v>Checks auxiliares</x:v>
      </x:c>
      <x:c r="H3" s="137" t="str">
        <x:v>Checks auxiliares</x:v>
      </x:c>
      <x:c r="I3" s="137" t="str">
        <x:v>Checks auxiliares</x:v>
      </x:c>
      <x:c r="J3" s="138" t="str">
        <x:v>Checks auxiliares</x:v>
      </x:c>
      <x:c r="K3" s="130"/>
      <x:c r="L3" s="130"/>
      <x:c r="M3" s="130"/>
    </x:row>
    <x:row r="4" ht="25.5" customHeight="1">
      <x:c r="A4" s="132" t="str">
        <x:v>Preco futuro do bem na aquisicao</x:v>
      </x:c>
      <x:c r="B4" s="133" t="n">
        <x:f>MAX(0,Premissas!$B$6*(1+Premissas!$B$66)^((B29-1)/12))</x:f>
        <x:v>266348.64999812335</x:v>
      </x:c>
      <x:c r="C4" s="132"/>
      <x:c r="D4" s="150" t="str">
        <x:v>Valor do bem atualizado ate o mes de contemplacao pela taxa do tipo selecionado.</x:v>
      </x:c>
      <x:c r="E4" s="150"/>
      <x:c r="F4" s="130"/>
      <x:c r="G4" s="192" t="str">
        <x:v>Check</x:v>
      </x:c>
      <x:c r="H4" s="192" t="str">
        <x:v>Atual</x:v>
      </x:c>
      <x:c r="I4" s="192" t="str">
        <x:v>Esperado</x:v>
      </x:c>
      <x:c r="J4" s="192" t="str">
        <x:v>Status</x:v>
      </x:c>
      <x:c r="K4" s="130"/>
      <x:c r="L4" s="130"/>
      <x:c r="M4" s="130"/>
    </x:row>
    <x:row r="5">
      <x:c r="A5" s="132" t="str">
        <x:v>Data de inicio</x:v>
      </x:c>
      <x:c r="B5" s="169" t="n">
        <x:f>Premissas!$B$4</x:f>
        <x:v>46539</x:v>
      </x:c>
      <x:c r="C5" s="132"/>
      <x:c r="D5" s="150" t="str">
        <x:v>Inicio dos fluxos mensais.</x:v>
      </x:c>
      <x:c r="E5" s="150"/>
      <x:c r="F5" s="130"/>
      <x:c r="G5" s="140" t="str">
        <x:v>Credito liquido cobre bem futuro</x:v>
      </x:c>
      <x:c r="H5" s="141" t="n">
        <x:f>$B$43</x:f>
        <x:v>266348.64999812335</x:v>
      </x:c>
      <x:c r="I5" s="141" t="n">
        <x:f>$B$4</x:f>
        <x:v>266348.64999812335</x:v>
      </x:c>
      <x:c r="J5" s="140" t="str">
        <x:f>IF(H5&gt;=I5,"OK","Revisar")</x:f>
        <x:v>OK</x:v>
      </x:c>
      <x:c r="K5" s="130"/>
      <x:c r="L5" s="130"/>
      <x:c r="M5" s="130"/>
    </x:row>
    <x:row r="6">
      <x:c r="A6" s="132" t="str">
        <x:v>Caixa livre mensal antes dos fluxos do bem</x:v>
      </x:c>
      <x:c r="B6" s="133" t="n">
        <x:f>Premissas!$B$42</x:f>
        <x:v>7000</x:v>
      </x:c>
      <x:c r="C6" s="132"/>
      <x:c r="D6" s="150" t="str">
        <x:v>Caixa mensal antes de parcelas, renda, aluguel de espera e lances.</x:v>
      </x:c>
      <x:c r="E6" s="150"/>
      <x:c r="F6" s="130"/>
      <x:c r="G6" s="140" t="str">
        <x:v>Mes de aquisicao/contemplacao</x:v>
      </x:c>
      <x:c r="H6" s="142" t="n">
        <x:f>$B$29</x:f>
        <x:v>60</x:v>
      </x:c>
      <x:c r="I6" s="142" t="n">
        <x:f>$B$29</x:f>
        <x:v>60</x:v>
      </x:c>
      <x:c r="J6" s="140" t="str">
        <x:f>IF(H6=I6,"OK","Revisar")</x:f>
        <x:v>OK</x:v>
      </x:c>
      <x:c r="K6" s="130"/>
      <x:c r="L6" s="130"/>
      <x:c r="M6" s="130"/>
    </x:row>
    <x:row r="7">
      <x:c r="A7" s="132" t="str">
        <x:v>Horizonte de comparacao (meses)</x:v>
      </x:c>
      <x:c r="B7" s="135" t="n">
        <x:f>Premissas!$B$39</x:f>
        <x:v>420</x:v>
      </x:c>
      <x:c r="C7" s="132"/>
      <x:c r="D7" s="150" t="str">
        <x:v>Puxa o horizonte das Premissas.</x:v>
      </x:c>
      <x:c r="E7" s="150"/>
      <x:c r="F7" s="130"/>
      <x:c r="G7" s="140" t="str">
        <x:v>Prazo dentro do limite</x:v>
      </x:c>
      <x:c r="H7" s="142" t="n">
        <x:f>$B$27</x:f>
        <x:v>240</x:v>
      </x:c>
      <x:c r="I7" s="142" t="n">
        <x:f>480</x:f>
        <x:v>480</x:v>
      </x:c>
      <x:c r="J7" s="140" t="str">
        <x:f>IF(H7&lt;=I7,"OK","Revisar")</x:f>
        <x:v>OK</x:v>
      </x:c>
      <x:c r="K7" s="130"/>
      <x:c r="L7" s="130"/>
      <x:c r="M7" s="130"/>
    </x:row>
    <x:row r="8">
      <x:c r="A8" s="132" t="str">
        <x:v>Rentabilidade liquida a.a.</x:v>
      </x:c>
      <x:c r="B8" s="134" t="n">
        <x:f>Premissas!$B$40</x:f>
        <x:v>0.12</x:v>
      </x:c>
      <x:c r="C8" s="132"/>
      <x:c r="D8" s="150" t="str">
        <x:v>Puxa a rentabilidade das Premissas.</x:v>
      </x:c>
      <x:c r="E8" s="150"/>
      <x:c r="F8" s="130"/>
      <x:c r="G8" s="140" t="str">
        <x:v>Lance cliente no mes correto</x:v>
      </x:c>
      <x:c r="H8" s="141" t="n">
        <x:f>INDEX($F$55:$F$534,$B$29)</x:f>
        <x:v>0</x:v>
      </x:c>
      <x:c r="I8" s="141" t="n">
        <x:f>$B$44</x:f>
        <x:v>0</x:v>
      </x:c>
      <x:c r="J8" s="140" t="str">
        <x:f>IF(ABS(H8-I8)&lt;=1,"OK","Revisar")</x:f>
        <x:v>OK</x:v>
      </x:c>
      <x:c r="K8" s="130"/>
      <x:c r="L8" s="130"/>
      <x:c r="M8" s="130"/>
    </x:row>
    <x:row r="9">
      <x:c r="A9" s="132" t="str">
        <x:v>Rentabilidade liquida mensal</x:v>
      </x:c>
      <x:c r="B9" s="170" t="n">
        <x:f>(1+B8)^(1/12)-1</x:f>
        <x:v>0.009488792934583046</x:v>
      </x:c>
      <x:c r="C9" s="132"/>
      <x:c r="D9" s="150" t="str">
        <x:v>Taxa mensal equivalente composta.</x:v>
      </x:c>
      <x:c r="E9" s="150"/>
      <x:c r="F9" s="130"/>
      <x:c r="G9" s="140" t="str">
        <x:v>Lance fixo/livre exclusivo</x:v>
      </x:c>
      <x:c r="H9" s="140" t="n">
        <x:f>IF(AND($B$33="Sim",$B$35="Sim"),1,0)</x:f>
        <x:v>0</x:v>
      </x:c>
      <x:c r="I9" s="140" t="n">
        <x:f>0</x:f>
        <x:v>0</x:v>
      </x:c>
      <x:c r="J9" s="140" t="str">
        <x:f>IF(H9=I9,"OK","Revisar")</x:f>
        <x:v>OK</x:v>
      </x:c>
      <x:c r="K9" s="130"/>
      <x:c r="L9" s="130"/>
      <x:c r="M9" s="130"/>
    </x:row>
    <x:row r="10">
      <x:c r="A10" s="130"/>
      <x:c r="B10" s="130"/>
      <x:c r="C10" s="130"/>
      <x:c r="D10" s="171"/>
      <x:c r="E10" s="171"/>
      <x:c r="F10" s="130"/>
      <x:c r="G10" s="140" t="str">
        <x:v>Embutido exige lance total</x:v>
      </x:c>
      <x:c r="H10" s="140" t="n">
        <x:f>IF(AND($B$31="Sim",$B$38=0),1,0)</x:f>
        <x:v>0</x:v>
      </x:c>
      <x:c r="I10" s="140" t="n">
        <x:f>0</x:f>
        <x:v>0</x:v>
      </x:c>
      <x:c r="J10" s="140" t="str">
        <x:f>IF(H10=I10,"OK","Revisar")</x:f>
        <x:v>OK</x:v>
      </x:c>
      <x:c r="K10" s="130"/>
      <x:c r="L10" s="130"/>
      <x:c r="M10" s="130"/>
    </x:row>
    <x:row r="11">
      <x:c r="A11" s="130"/>
      <x:c r="B11" s="130"/>
      <x:c r="C11" s="130"/>
      <x:c r="D11" s="171"/>
      <x:c r="E11" s="171"/>
      <x:c r="F11" s="130"/>
      <x:c r="G11" s="140" t="str">
        <x:v>Embutido nao supera total</x:v>
      </x:c>
      <x:c r="H11" s="183" t="n">
        <x:f>MAX(0,$B$37-$B$38)</x:f>
        <x:v>0</x:v>
      </x:c>
      <x:c r="I11" s="183" t="n">
        <x:f>0</x:f>
        <x:v>0</x:v>
      </x:c>
      <x:c r="J11" s="140" t="str">
        <x:f>IF(ABS(H11-I11)&lt;=0.000001,"OK","Revisar")</x:f>
        <x:v>OK</x:v>
      </x:c>
      <x:c r="K11" s="130"/>
      <x:c r="L11" s="130"/>
      <x:c r="M11" s="130"/>
    </x:row>
    <x:row r="12">
      <x:c r="A12" s="130"/>
      <x:c r="B12" s="130"/>
      <x:c r="C12" s="130"/>
      <x:c r="D12" s="171"/>
      <x:c r="E12" s="171"/>
      <x:c r="F12" s="130"/>
      <x:c r="G12" s="140" t="str">
        <x:v>Caixa cliente = total - embutido</x:v>
      </x:c>
      <x:c r="H12" s="141" t="n">
        <x:f>$B$44</x:f>
        <x:v>0</x:v>
      </x:c>
      <x:c r="I12" s="141" t="n">
        <x:f>$B$42*MAX(0,$B$38-$B$37)</x:f>
        <x:v>0</x:v>
      </x:c>
      <x:c r="J12" s="140" t="str">
        <x:f>IF(ABS(H12-I12)&lt;=1,"OK","Revisar")</x:f>
        <x:v>OK</x:v>
      </x:c>
      <x:c r="K12" s="130"/>
      <x:c r="L12" s="130"/>
      <x:c r="M12" s="130"/>
    </x:row>
    <x:row r="13">
      <x:c r="A13" s="130"/>
      <x:c r="B13" s="130"/>
      <x:c r="C13" s="130"/>
      <x:c r="D13" s="171"/>
      <x:c r="E13" s="171"/>
      <x:c r="F13" s="130"/>
      <x:c r="G13" s="130"/>
      <x:c r="H13" s="130"/>
      <x:c r="I13" s="130"/>
      <x:c r="J13" s="130"/>
      <x:c r="K13" s="130"/>
      <x:c r="L13" s="130"/>
      <x:c r="M13" s="130"/>
    </x:row>
    <x:row r="14">
      <x:c r="A14" s="130"/>
      <x:c r="B14" s="130"/>
      <x:c r="C14" s="130"/>
      <x:c r="D14" s="171"/>
      <x:c r="E14" s="171"/>
      <x:c r="F14" s="130"/>
      <x:c r="G14" s="130"/>
      <x:c r="H14" s="130"/>
      <x:c r="I14" s="130"/>
      <x:c r="J14" s="130"/>
      <x:c r="K14" s="130"/>
      <x:c r="L14" s="130"/>
      <x:c r="M14" s="130"/>
    </x:row>
    <x:row r="15">
      <x:c r="A15" s="130"/>
      <x:c r="B15" s="130"/>
      <x:c r="C15" s="130"/>
      <x:c r="D15" s="171"/>
      <x:c r="E15" s="171"/>
      <x:c r="F15" s="130"/>
      <x:c r="G15" s="130"/>
      <x:c r="H15" s="130"/>
      <x:c r="I15" s="130"/>
      <x:c r="J15" s="130"/>
      <x:c r="K15" s="130"/>
      <x:c r="L15" s="130"/>
      <x:c r="M15" s="130"/>
    </x:row>
    <x:row r="16">
      <x:c r="A16" s="130"/>
      <x:c r="B16" s="130"/>
      <x:c r="C16" s="130"/>
      <x:c r="D16" s="171"/>
      <x:c r="E16" s="171"/>
      <x:c r="F16" s="130"/>
      <x:c r="G16" s="130"/>
      <x:c r="H16" s="130"/>
      <x:c r="I16" s="130"/>
      <x:c r="J16" s="130"/>
      <x:c r="K16" s="130"/>
      <x:c r="L16" s="130"/>
      <x:c r="M16" s="130"/>
    </x:row>
    <x:row r="17">
      <x:c r="A17" s="130"/>
      <x:c r="B17" s="130"/>
      <x:c r="C17" s="130"/>
      <x:c r="D17" s="171"/>
      <x:c r="E17" s="171"/>
      <x:c r="F17" s="130"/>
      <x:c r="G17" s="130"/>
      <x:c r="H17" s="130"/>
      <x:c r="I17" s="130"/>
      <x:c r="J17" s="130"/>
      <x:c r="K17" s="130"/>
      <x:c r="L17" s="130"/>
      <x:c r="M17" s="130"/>
    </x:row>
    <x:row r="18">
      <x:c r="A18" s="130"/>
      <x:c r="B18" s="130"/>
      <x:c r="C18" s="130"/>
      <x:c r="D18" s="171"/>
      <x:c r="E18" s="171"/>
      <x:c r="F18" s="130"/>
      <x:c r="G18" s="130"/>
      <x:c r="H18" s="130"/>
      <x:c r="I18" s="130"/>
      <x:c r="J18" s="130"/>
      <x:c r="K18" s="130"/>
      <x:c r="L18" s="130"/>
      <x:c r="M18" s="130"/>
    </x:row>
    <x:row r="19">
      <x:c r="A19" s="130"/>
      <x:c r="B19" s="130"/>
      <x:c r="C19" s="130"/>
      <x:c r="D19" s="171"/>
      <x:c r="E19" s="171"/>
      <x:c r="F19" s="130"/>
      <x:c r="G19" s="130"/>
      <x:c r="H19" s="130"/>
      <x:c r="I19" s="130"/>
      <x:c r="J19" s="130"/>
      <x:c r="K19" s="130"/>
      <x:c r="L19" s="130"/>
      <x:c r="M19" s="130"/>
    </x:row>
    <x:row r="20">
      <x:c r="A20" s="130"/>
      <x:c r="B20" s="130"/>
      <x:c r="C20" s="130"/>
      <x:c r="D20" s="171"/>
      <x:c r="E20" s="171"/>
      <x:c r="F20" s="130"/>
      <x:c r="G20" s="130"/>
      <x:c r="H20" s="130"/>
      <x:c r="I20" s="130"/>
      <x:c r="J20" s="130"/>
      <x:c r="K20" s="130"/>
      <x:c r="L20" s="130"/>
      <x:c r="M20" s="130"/>
    </x:row>
    <x:row r="21">
      <x:c r="A21" s="130"/>
      <x:c r="B21" s="130"/>
      <x:c r="C21" s="130"/>
      <x:c r="D21" s="171"/>
      <x:c r="E21" s="171"/>
      <x:c r="F21" s="130"/>
      <x:c r="G21" s="130"/>
      <x:c r="H21" s="130"/>
      <x:c r="I21" s="130"/>
      <x:c r="J21" s="130"/>
      <x:c r="K21" s="130"/>
      <x:c r="L21" s="130"/>
      <x:c r="M21" s="130"/>
    </x:row>
    <x:row r="22" ht="18" customHeight="1">
      <x:c r="A22" s="136" t="str">
        <x:v>Consorcio e lances</x:v>
      </x:c>
      <x:c r="B22" s="137" t="str">
        <x:v>Consorcio e lances</x:v>
      </x:c>
      <x:c r="C22" s="137" t="str">
        <x:v>Consorcio e lances</x:v>
      </x:c>
      <x:c r="D22" s="173" t="str">
        <x:v>Consorcio e lances</x:v>
      </x:c>
      <x:c r="E22" s="174" t="str">
        <x:v>Consorcio e lances</x:v>
      </x:c>
      <x:c r="F22" s="130"/>
      <x:c r="G22" s="130"/>
      <x:c r="H22" s="130"/>
      <x:c r="I22" s="130"/>
      <x:c r="J22" s="130"/>
      <x:c r="K22" s="130"/>
      <x:c r="L22" s="130"/>
      <x:c r="M22" s="130"/>
    </x:row>
    <x:row r="23">
      <x:c r="A23" s="132" t="str">
        <x:v>Taxa de administracao</x:v>
      </x:c>
      <x:c r="B23" s="134" t="n">
        <x:f>Premissas!$B$21</x:f>
        <x:v>0.24</x:v>
      </x:c>
      <x:c r="C23" s="132"/>
      <x:c r="D23" s="150" t="str">
        <x:v>Componente de administracao do consorcio.</x:v>
      </x:c>
      <x:c r="E23" s="150"/>
      <x:c r="F23" s="130"/>
      <x:c r="G23" s="130"/>
      <x:c r="H23" s="130"/>
      <x:c r="I23" s="130"/>
      <x:c r="J23" s="130"/>
      <x:c r="K23" s="130"/>
      <x:c r="L23" s="130"/>
      <x:c r="M23" s="130"/>
    </x:row>
    <x:row r="24">
      <x:c r="A24" s="132" t="str">
        <x:v>Taxa do fundo reserva</x:v>
      </x:c>
      <x:c r="B24" s="134" t="n">
        <x:f>Premissas!$B$22</x:f>
        <x:v>0.02</x:v>
      </x:c>
      <x:c r="C24" s="132"/>
      <x:c r="D24" s="150" t="str">
        <x:v>Componente de fundo reserva do consorcio.</x:v>
      </x:c>
      <x:c r="E24" s="150"/>
      <x:c r="F24" s="130"/>
      <x:c r="G24" s="130"/>
      <x:c r="H24" s="130"/>
      <x:c r="I24" s="130"/>
      <x:c r="J24" s="130"/>
      <x:c r="K24" s="130"/>
      <x:c r="L24" s="130"/>
      <x:c r="M24" s="130"/>
    </x:row>
    <x:row r="25">
      <x:c r="A25" s="132" t="str">
        <x:v>Seguro prestamista (% do credito)</x:v>
      </x:c>
      <x:c r="B25" s="134" t="n">
        <x:f>Premissas!$B$23</x:f>
        <x:v>0.00035</x:v>
      </x:c>
      <x:c r="C25" s="132"/>
      <x:c r="D25" s="150" t="str">
        <x:v>Seguro prestamista como percentual total sobre o credito.</x:v>
      </x:c>
      <x:c r="E25" s="150"/>
      <x:c r="F25" s="130"/>
      <x:c r="G25" s="130"/>
      <x:c r="H25" s="130"/>
      <x:c r="I25" s="130"/>
      <x:c r="J25" s="130"/>
      <x:c r="K25" s="130"/>
      <x:c r="L25" s="130"/>
      <x:c r="M25" s="130"/>
    </x:row>
    <x:row r="26">
      <x:c r="A26" s="132" t="str">
        <x:v>Taxas totais sobre credito</x:v>
      </x:c>
      <x:c r="B26" s="134" t="n">
        <x:f>SUM(B23:B25)</x:f>
        <x:v>0.26035</x:v>
      </x:c>
      <x:c r="C26" s="132"/>
      <x:c r="D26" s="150" t="str">
        <x:v>Soma de administracao, fundo reserva e seguro prestamista.</x:v>
      </x:c>
      <x:c r="E26" s="150"/>
      <x:c r="F26" s="130"/>
      <x:c r="G26" s="130"/>
      <x:c r="H26" s="130"/>
      <x:c r="I26" s="130"/>
      <x:c r="J26" s="130"/>
      <x:c r="K26" s="130"/>
      <x:c r="L26" s="130"/>
      <x:c r="M26" s="130"/>
    </x:row>
    <x:row r="27">
      <x:c r="A27" s="132" t="str">
        <x:v>Prazo consorcio (meses)</x:v>
      </x:c>
      <x:c r="B27" s="135" t="n">
        <x:f>Premissas!$B$25</x:f>
        <x:v>240</x:v>
      </x:c>
      <x:c r="C27" s="132"/>
      <x:c r="D27" s="150" t="str">
        <x:v>Prazo de pagamento do consorcio direto.</x:v>
      </x:c>
      <x:c r="E27" s="150"/>
      <x:c r="F27" s="130"/>
      <x:c r="G27" s="130"/>
      <x:c r="H27" s="130"/>
      <x:c r="I27" s="130"/>
      <x:c r="J27" s="130"/>
      <x:c r="K27" s="130"/>
      <x:c r="L27" s="130"/>
      <x:c r="M27" s="130"/>
    </x:row>
    <x:row r="28">
      <x:c r="A28" s="132" t="str">
        <x:v>Reajuste anual credito/parcela</x:v>
      </x:c>
      <x:c r="B28" s="134" t="n">
        <x:f>Premissas!$B$26</x:f>
        <x:v>0.06</x:v>
      </x:c>
      <x:c r="C28" s="132"/>
      <x:c r="D28" s="150" t="str">
        <x:v>Reajuste anual por degrau.</x:v>
      </x:c>
      <x:c r="E28" s="150"/>
      <x:c r="F28" s="130"/>
      <x:c r="G28" s="130"/>
      <x:c r="H28" s="130"/>
      <x:c r="I28" s="130"/>
      <x:c r="J28" s="130"/>
      <x:c r="K28" s="130"/>
      <x:c r="L28" s="130"/>
      <x:c r="M28" s="130"/>
    </x:row>
    <x:row r="29">
      <x:c r="A29" s="132" t="str">
        <x:v>Mes de contemplacao</x:v>
      </x:c>
      <x:c r="B29" s="198" t="n">
        <x:v>60</x:v>
      </x:c>
      <x:c r="C29" s="132"/>
      <x:c r="D29" s="150" t="str">
        <x:v>Mes preset em que o credito do consorcio direto fica disponivel para compra.</x:v>
      </x:c>
      <x:c r="E29" s="150"/>
      <x:c r="F29" s="130"/>
      <x:c r="G29" s="130"/>
      <x:c r="H29" s="130"/>
      <x:c r="I29" s="130"/>
      <x:c r="J29" s="130"/>
      <x:c r="K29" s="130"/>
      <x:c r="L29" s="130"/>
      <x:c r="M29" s="130"/>
    </x:row>
    <x:row r="30">
      <x:c r="A30" s="132"/>
      <x:c r="B30" s="132"/>
      <x:c r="C30" s="132"/>
      <x:c r="D30" s="150"/>
      <x:c r="E30" s="150"/>
      <x:c r="F30" s="130"/>
      <x:c r="G30" s="130"/>
      <x:c r="H30" s="130"/>
      <x:c r="I30" s="130"/>
      <x:c r="J30" s="130"/>
      <x:c r="K30" s="130"/>
      <x:c r="L30" s="130"/>
      <x:c r="M30" s="130"/>
    </x:row>
    <x:row r="31">
      <x:c r="A31" s="132" t="str">
        <x:v>Usar lance embutido?</x:v>
      </x:c>
      <x:c r="B31" s="197" t="str">
        <x:v>Sim</x:v>
      </x:c>
      <x:c r="C31" s="132"/>
      <x:c r="D31" s="150" t="str">
        <x:v>Se Sim, parte do lance sai do proprio credito e reduz o credito liquido.</x:v>
      </x:c>
      <x:c r="E31" s="150"/>
      <x:c r="F31" s="130"/>
      <x:c r="G31" s="130"/>
      <x:c r="H31" s="130"/>
      <x:c r="I31" s="130"/>
      <x:c r="J31" s="130"/>
      <x:c r="K31" s="130"/>
      <x:c r="L31" s="130"/>
      <x:c r="M31" s="130"/>
    </x:row>
    <x:row r="32">
      <x:c r="A32" s="132" t="str">
        <x:v>Lance embutido (% credito)</x:v>
      </x:c>
      <x:c r="B32" s="196" t="n">
        <x:v>0.25</x:v>
      </x:c>
      <x:c r="C32" s="132"/>
      <x:c r="D32" s="150" t="str">
        <x:v>Percentual sobre o credito bruto atualizado, limitado ao lance total.</x:v>
      </x:c>
      <x:c r="E32" s="150"/>
      <x:c r="F32" s="130"/>
      <x:c r="G32" s="130"/>
      <x:c r="H32" s="130"/>
      <x:c r="I32" s="130"/>
      <x:c r="J32" s="130"/>
      <x:c r="K32" s="130"/>
      <x:c r="L32" s="130"/>
      <x:c r="M32" s="130"/>
    </x:row>
    <x:row r="33">
      <x:c r="A33" s="132" t="str">
        <x:v>Usar lance livre?</x:v>
      </x:c>
      <x:c r="B33" s="197" t="str">
        <x:v>Nao</x:v>
      </x:c>
      <x:c r="C33" s="132"/>
      <x:c r="D33" s="150" t="str">
        <x:v>Se Sim, percentual compoe lance com recursos do cliente.</x:v>
      </x:c>
      <x:c r="E33" s="150"/>
      <x:c r="F33" s="130"/>
      <x:c r="G33" s="130"/>
      <x:c r="H33" s="130"/>
      <x:c r="I33" s="130"/>
      <x:c r="J33" s="130"/>
      <x:c r="K33" s="130"/>
      <x:c r="L33" s="130"/>
      <x:c r="M33" s="130"/>
    </x:row>
    <x:row r="34">
      <x:c r="A34" s="132" t="str">
        <x:v>Lance livre (% credito)</x:v>
      </x:c>
      <x:c r="B34" s="196" t="n">
        <x:v>0</x:v>
      </x:c>
      <x:c r="C34" s="132"/>
      <x:c r="D34" s="150" t="str">
        <x:v>Percentual sobre o credito bruto atualizado.</x:v>
      </x:c>
      <x:c r="E34" s="150"/>
      <x:c r="F34" s="130"/>
      <x:c r="G34" s="130"/>
      <x:c r="H34" s="130"/>
      <x:c r="I34" s="130"/>
      <x:c r="J34" s="130"/>
      <x:c r="K34" s="130"/>
      <x:c r="L34" s="130"/>
      <x:c r="M34" s="130"/>
    </x:row>
    <x:row r="35">
      <x:c r="A35" s="132" t="str">
        <x:v>Usar lance fixo?</x:v>
      </x:c>
      <x:c r="B35" s="197" t="str">
        <x:v>Sim</x:v>
      </x:c>
      <x:c r="C35" s="132"/>
      <x:c r="D35" s="150" t="str">
        <x:v>Se Sim, percentual compoe lance com recursos do cliente.</x:v>
      </x:c>
      <x:c r="E35" s="150"/>
      <x:c r="F35" s="130"/>
      <x:c r="G35" s="130"/>
      <x:c r="H35" s="130"/>
      <x:c r="I35" s="130"/>
      <x:c r="J35" s="130"/>
      <x:c r="K35" s="130"/>
      <x:c r="L35" s="130"/>
      <x:c r="M35" s="130"/>
    </x:row>
    <x:row r="36">
      <x:c r="A36" s="132" t="str">
        <x:v>Lance fixo (% credito)</x:v>
      </x:c>
      <x:c r="B36" s="196" t="n">
        <x:v>0.25</x:v>
      </x:c>
      <x:c r="C36" s="132"/>
      <x:c r="D36" s="150" t="str">
        <x:v>Percentual do lance total fixo sobre o credito bruto atualizado.</x:v>
      </x:c>
      <x:c r="E36" s="150"/>
      <x:c r="F36" s="130"/>
      <x:c r="G36" s="130"/>
      <x:c r="H36" s="130"/>
      <x:c r="I36" s="130"/>
      <x:c r="J36" s="130"/>
      <x:c r="K36" s="130"/>
      <x:c r="L36" s="130"/>
      <x:c r="M36" s="130"/>
    </x:row>
    <x:row r="37">
      <x:c r="A37" s="132" t="str">
        <x:v>Lance embutido efetivo</x:v>
      </x:c>
      <x:c r="B37" s="134" t="n">
        <x:f>IF(AND(B31="Sim",OR(B33="Sim",B35="Sim")),MIN(B32,B38),0)</x:f>
        <x:v>0.25</x:v>
      </x:c>
      <x:c r="C37" s="132"/>
      <x:c r="D37" s="150" t="str">
        <x:v>Percentual embutido efetivo, nunca maior que o lance total.</x:v>
      </x:c>
      <x:c r="E37" s="150"/>
      <x:c r="F37" s="130"/>
      <x:c r="G37" s="130"/>
      <x:c r="H37" s="130"/>
      <x:c r="I37" s="130"/>
      <x:c r="J37" s="130"/>
      <x:c r="K37" s="130"/>
      <x:c r="L37" s="130"/>
      <x:c r="M37" s="130"/>
    </x:row>
    <x:row r="38">
      <x:c r="A38" s="132" t="str">
        <x:v>Lance total efetivo</x:v>
      </x:c>
      <x:c r="B38" s="134" t="n">
        <x:f>IF(B35="Sim",B36,IF(B33="Sim",B34,0))</x:f>
        <x:v>0.25</x:v>
      </x:c>
      <x:c r="C38" s="132"/>
      <x:c r="D38" s="150" t="str">
        <x:v>Lance fixo ou livre; as duas modalidades sao mutuamente exclusivas.</x:v>
      </x:c>
      <x:c r="E38" s="150"/>
      <x:c r="F38" s="130"/>
      <x:c r="G38" s="130"/>
      <x:c r="H38" s="130"/>
      <x:c r="I38" s="130"/>
      <x:c r="J38" s="130"/>
      <x:c r="K38" s="130"/>
      <x:c r="L38" s="130"/>
      <x:c r="M38" s="130"/>
    </x:row>
    <x:row r="39">
      <x:c r="A39" s="132" t="str">
        <x:v>Descapitalizacao do cliente</x:v>
      </x:c>
      <x:c r="B39" s="134" t="n">
        <x:f>MAX(0,B38-B37)</x:f>
        <x:v>0</x:v>
      </x:c>
      <x:c r="C39" s="132"/>
      <x:c r="D39" s="150" t="str">
        <x:v>Lance total em R$ menos a parcela embutida.</x:v>
      </x:c>
      <x:c r="E39" s="150"/>
      <x:c r="F39" s="130"/>
      <x:c r="G39" s="130"/>
      <x:c r="H39" s="130"/>
      <x:c r="I39" s="130"/>
      <x:c r="J39" s="130"/>
      <x:c r="K39" s="130"/>
      <x:c r="L39" s="130"/>
      <x:c r="M39" s="130"/>
    </x:row>
    <x:row r="40">
      <x:c r="A40" s="132" t="str">
        <x:v>Fator reajuste na contemplacao</x:v>
      </x:c>
      <x:c r="B40" s="184" t="n">
        <x:f>(1+B28)^INT((B29-1)/12)</x:f>
        <x:v>1.2624769600000003</x:v>
      </x:c>
      <x:c r="C40" s="132"/>
      <x:c r="D40" s="150" t="str">
        <x:v>Fator acumulado ate o mes de contemplacao.</x:v>
      </x:c>
      <x:c r="E40" s="150"/>
      <x:c r="F40" s="130"/>
      <x:c r="G40" s="130"/>
      <x:c r="H40" s="130"/>
      <x:c r="I40" s="130"/>
      <x:c r="J40" s="130"/>
      <x:c r="K40" s="130"/>
      <x:c r="L40" s="130"/>
      <x:c r="M40" s="130"/>
    </x:row>
    <x:row r="41">
      <x:c r="A41" s="132" t="str">
        <x:v>Carta inicial contratada</x:v>
      </x:c>
      <x:c r="B41" s="133" t="n">
        <x:f>B4/MAX(0.01,B40*(1-B37))</x:f>
        <x:v>281297.4371673532</x:v>
      </x:c>
      <x:c r="C41" s="132"/>
      <x:c r="D41" s="150" t="str">
        <x:v>Dimensionada para que o credito liquido na contemplacao cubra o preco futuro do bem.</x:v>
      </x:c>
      <x:c r="E41" s="150"/>
      <x:c r="F41" s="130"/>
      <x:c r="G41" s="130"/>
      <x:c r="H41" s="130"/>
      <x:c r="I41" s="130"/>
      <x:c r="J41" s="130"/>
      <x:c r="K41" s="130"/>
      <x:c r="L41" s="130"/>
      <x:c r="M41" s="130"/>
    </x:row>
    <x:row r="42">
      <x:c r="A42" s="132" t="str">
        <x:v>Credito bruto na contemplacao</x:v>
      </x:c>
      <x:c r="B42" s="133" t="n">
        <x:f>B41*B40</x:f>
        <x:v>355131.53333083115</x:v>
      </x:c>
      <x:c r="C42" s="132"/>
      <x:c r="D42" s="150" t="str">
        <x:v>Credito antes do lance embutido.</x:v>
      </x:c>
      <x:c r="E42" s="150"/>
      <x:c r="F42" s="130"/>
      <x:c r="G42" s="130"/>
      <x:c r="H42" s="130"/>
      <x:c r="I42" s="130"/>
      <x:c r="J42" s="130"/>
      <x:c r="K42" s="130"/>
      <x:c r="L42" s="130"/>
      <x:c r="M42" s="130"/>
    </x:row>
    <x:row r="43">
      <x:c r="A43" s="132" t="str">
        <x:v>Credito liquido para compra</x:v>
      </x:c>
      <x:c r="B43" s="133" t="n">
        <x:f>B42*(1-B37)</x:f>
        <x:v>266348.64999812335</x:v>
      </x:c>
      <x:c r="C43" s="132"/>
      <x:c r="D43" s="150" t="str">
        <x:v>Credito disponivel para pagar o bem depois do lance embutido.</x:v>
      </x:c>
      <x:c r="E43" s="150"/>
      <x:c r="F43" s="130"/>
      <x:c r="G43" s="130"/>
      <x:c r="H43" s="130"/>
      <x:c r="I43" s="130"/>
      <x:c r="J43" s="130"/>
      <x:c r="K43" s="130"/>
      <x:c r="L43" s="130"/>
      <x:c r="M43" s="130"/>
    </x:row>
    <x:row r="44">
      <x:c r="A44" s="132" t="str">
        <x:v>Lance com recursos do cliente</x:v>
      </x:c>
      <x:c r="B44" s="133" t="n">
        <x:f>B42*B39</x:f>
        <x:v>0</x:v>
      </x:c>
      <x:c r="C44" s="132"/>
      <x:c r="D44" s="150" t="str">
        <x:v>Valor que sai do caixa do cliente no mes da contemplacao.</x:v>
      </x:c>
      <x:c r="E44" s="150"/>
      <x:c r="F44" s="130"/>
      <x:c r="G44" s="130"/>
      <x:c r="H44" s="130"/>
      <x:c r="I44" s="130"/>
      <x:c r="J44" s="130"/>
      <x:c r="K44" s="130"/>
      <x:c r="L44" s="130"/>
      <x:c r="M44" s="130"/>
    </x:row>
    <x:row r="45">
      <x:c r="A45" s="132" t="str">
        <x:v>Parcela inicial consorcio</x:v>
      </x:c>
      <x:c r="B45" s="133" t="n">
        <x:f>B41*(1+B26)/B27</x:f>
        <x:v>1477.2217705578066</x:v>
      </x:c>
      <x:c r="C45" s="132"/>
      <x:c r="D45" s="150" t="str">
        <x:v>Credito contratado acrescido das taxas, dividido pelo prazo.</x:v>
      </x:c>
      <x:c r="E45" s="150"/>
      <x:c r="F45" s="130"/>
      <x:c r="G45" s="130"/>
      <x:c r="H45" s="130"/>
      <x:c r="I45" s="130"/>
      <x:c r="J45" s="130"/>
      <x:c r="K45" s="130"/>
      <x:c r="L45" s="130"/>
      <x:c r="M45" s="130"/>
    </x:row>
    <x:row r="46">
      <x:c r="A46" s="130"/>
      <x:c r="B46" s="130"/>
      <x:c r="C46" s="130"/>
      <x:c r="D46" s="130"/>
      <x:c r="E46" s="130"/>
      <x:c r="F46" s="130"/>
      <x:c r="G46" s="130"/>
      <x:c r="H46" s="130"/>
      <x:c r="I46" s="130"/>
      <x:c r="J46" s="130"/>
      <x:c r="K46" s="130"/>
      <x:c r="L46" s="130"/>
      <x:c r="M46" s="130"/>
    </x:row>
    <x:row r="47">
      <x:c r="A47" s="130"/>
      <x:c r="B47" s="130"/>
      <x:c r="C47" s="130"/>
      <x:c r="D47" s="130"/>
      <x:c r="E47" s="130"/>
      <x:c r="F47" s="130"/>
      <x:c r="G47" s="130"/>
      <x:c r="H47" s="130"/>
      <x:c r="I47" s="130"/>
      <x:c r="J47" s="130"/>
      <x:c r="K47" s="130"/>
      <x:c r="L47" s="130"/>
      <x:c r="M47" s="130"/>
    </x:row>
    <x:row r="48">
      <x:c r="A48" s="130"/>
      <x:c r="B48" s="130"/>
      <x:c r="C48" s="130"/>
      <x:c r="D48" s="130"/>
      <x:c r="E48" s="130"/>
      <x:c r="F48" s="130"/>
      <x:c r="G48" s="130"/>
      <x:c r="H48" s="130"/>
      <x:c r="I48" s="130"/>
      <x:c r="J48" s="130"/>
      <x:c r="K48" s="130"/>
      <x:c r="L48" s="130"/>
      <x:c r="M48" s="130"/>
    </x:row>
    <x:row r="49">
      <x:c r="A49" s="130"/>
      <x:c r="B49" s="130"/>
      <x:c r="C49" s="130"/>
      <x:c r="D49" s="130"/>
      <x:c r="E49" s="130"/>
      <x:c r="F49" s="130"/>
      <x:c r="G49" s="130"/>
      <x:c r="H49" s="130"/>
      <x:c r="I49" s="130"/>
      <x:c r="J49" s="130"/>
      <x:c r="K49" s="130"/>
      <x:c r="L49" s="130"/>
      <x:c r="M49" s="130"/>
    </x:row>
    <x:row r="50">
      <x:c r="A50" s="130"/>
      <x:c r="B50" s="130"/>
      <x:c r="C50" s="130"/>
      <x:c r="D50" s="130"/>
      <x:c r="E50" s="130"/>
      <x:c r="F50" s="130"/>
      <x:c r="G50" s="130"/>
      <x:c r="H50" s="130"/>
      <x:c r="I50" s="130"/>
      <x:c r="J50" s="130"/>
      <x:c r="K50" s="130"/>
      <x:c r="L50" s="130"/>
      <x:c r="M50" s="130"/>
    </x:row>
    <x:row r="51">
      <x:c r="A51" s="130"/>
      <x:c r="B51" s="130"/>
      <x:c r="C51" s="130"/>
      <x:c r="D51" s="130"/>
      <x:c r="E51" s="130"/>
      <x:c r="F51" s="130"/>
      <x:c r="G51" s="130"/>
      <x:c r="H51" s="130"/>
      <x:c r="I51" s="130"/>
      <x:c r="J51" s="130"/>
      <x:c r="K51" s="130"/>
      <x:c r="L51" s="130"/>
      <x:c r="M51" s="130"/>
    </x:row>
    <x:row r="52">
      <x:c r="A52" s="130"/>
      <x:c r="B52" s="130"/>
      <x:c r="C52" s="130"/>
      <x:c r="D52" s="130"/>
      <x:c r="E52" s="130"/>
      <x:c r="F52" s="130"/>
      <x:c r="G52" s="130"/>
      <x:c r="H52" s="130"/>
      <x:c r="I52" s="130"/>
      <x:c r="J52" s="130"/>
      <x:c r="K52" s="130"/>
      <x:c r="L52" s="130"/>
      <x:c r="M52" s="130"/>
    </x:row>
    <x:row r="53">
      <x:c r="A53" s="130"/>
      <x:c r="B53" s="130"/>
      <x:c r="C53" s="130"/>
      <x:c r="D53" s="130"/>
      <x:c r="E53" s="130"/>
      <x:c r="F53" s="130"/>
      <x:c r="G53" s="130"/>
      <x:c r="H53" s="130"/>
      <x:c r="I53" s="130"/>
      <x:c r="J53" s="130"/>
      <x:c r="K53" s="130"/>
      <x:c r="L53" s="130"/>
      <x:c r="M53" s="130"/>
    </x:row>
    <x:row r="54" ht="25.5" customHeight="1">
      <x:c r="A54" s="192" t="str">
        <x:v>Mes</x:v>
      </x:c>
      <x:c r="B54" s="192" t="str">
        <x:v>Data</x:v>
      </x:c>
      <x:c r="C54" s="192" t="str">
        <x:v>Caixa livre mensal</x:v>
      </x:c>
      <x:c r="D54" s="192" t="str">
        <x:v>Fator reajuste</x:v>
      </x:c>
      <x:c r="E54" s="192" t="str">
        <x:v>Parcela consorcio</x:v>
      </x:c>
      <x:c r="F54" s="192" t="str">
        <x:v>Lance cliente</x:v>
      </x:c>
      <x:c r="G54" s="192" t="str">
        <x:v>Desembolso total</x:v>
      </x:c>
      <x:c r="H54" s="192" t="str">
        <x:v>Credito bruto</x:v>
      </x:c>
      <x:c r="I54" s="192" t="str">
        <x:v>Credito liquido</x:v>
      </x:c>
      <x:c r="J54" s="192" t="str">
        <x:v>Status</x:v>
      </x:c>
      <x:c r="K54" s="192" t="str">
        <x:v>VP parcelas futuras</x:v>
      </x:c>
      <x:c r="L54" s="192" t="str">
        <x:v>Direito economico cota</x:v>
      </x:c>
      <x:c r="M54" s="192" t="str">
        <x:v>Posicao liquida cota</x:v>
      </x:c>
    </x:row>
    <x:row r="55">
      <x:c r="A55" s="175" t="n">
        <x:v>1</x:v>
      </x:c>
      <x:c r="B55" s="176" t="n">
        <x:f>EDATE($B$5,A55-1)</x:f>
        <x:v>46539</x:v>
      </x:c>
      <x:c r="C55" s="143" t="n">
        <x:f>$B$6</x:f>
        <x:v>7000</x:v>
      </x:c>
      <x:c r="D55" s="177" t="n">
        <x:f>(1+$B$28)^INT((A55-1)/12)</x:f>
        <x:v>1</x:v>
      </x:c>
      <x:c r="E55" s="143" t="n">
        <x:f>IF(A55&lt;=$B$27,$B$45*D55,0)</x:f>
        <x:v>1477.2217705578066</x:v>
      </x:c>
      <x:c r="F55" s="143" t="n">
        <x:f>IF(A55=$B$29,$B$44,0)</x:f>
        <x:v>0</x:v>
      </x:c>
      <x:c r="G55" s="143" t="n">
        <x:f>E55+F55</x:f>
        <x:v>1477.2217705578066</x:v>
      </x:c>
      <x:c r="H55" s="143" t="n">
        <x:f>IF(A55=$B$29,$B$42,0)</x:f>
        <x:v>0</x:v>
      </x:c>
      <x:c r="I55" s="143" t="n">
        <x:f>IF(A55=$B$29,$B$43,0)</x:f>
        <x:v>0</x:v>
      </x:c>
      <x:c r="J55" s="178" t="str">
        <x:f>IF(A55&lt;$B$29,"Aguardando",IF(A55=$B$29,"Contemplado","Pos-contemplacao"))</x:f>
        <x:v>Aguardando</x:v>
      </x:c>
      <x:c r="K55" s="143" t="n">
        <x:f>IF(A55&gt;=$B$27,0,(K56+E56)/(1+$B$9))</x:f>
        <x:v>208336.9553992045</x:v>
      </x:c>
      <x:c r="L55" s="143" t="n">
        <x:f>IF(A55&lt;$B$29,$B$43/(1+$B$9)^($B$29-A55),0)</x:f>
        <x:v>152567.4503131222</x:v>
      </x:c>
      <x:c r="M55" s="143" t="n">
        <x:f>L55-K55</x:f>
        <x:v>-55769.505086082325</x:v>
      </x:c>
    </x:row>
    <x:row r="56">
      <x:c r="A56" s="142" t="n">
        <x:v>2</x:v>
      </x:c>
      <x:c r="B56" s="179" t="n">
        <x:f>EDATE($B$5,A56-1)</x:f>
        <x:v>46569</x:v>
      </x:c>
      <x:c r="C56" s="141" t="n">
        <x:f>$B$6</x:f>
        <x:v>7000</x:v>
      </x:c>
      <x:c r="D56" s="180" t="n">
        <x:f>(1+$B$28)^INT((A56-1)/12)</x:f>
        <x:v>1</x:v>
      </x:c>
      <x:c r="E56" s="141" t="n">
        <x:f>IF(A56&lt;=$B$27,$B$45*D56,0)</x:f>
        <x:v>1477.2217705578066</x:v>
      </x:c>
      <x:c r="F56" s="141" t="n">
        <x:f>IF(A56=$B$29,$B$44,0)</x:f>
        <x:v>0</x:v>
      </x:c>
      <x:c r="G56" s="141" t="n">
        <x:f>E56+F56</x:f>
        <x:v>1477.2217705578066</x:v>
      </x:c>
      <x:c r="H56" s="141" t="n">
        <x:f>IF(A56=$B$29,$B$42,0)</x:f>
        <x:v>0</x:v>
      </x:c>
      <x:c r="I56" s="141" t="n">
        <x:f>IF(A56=$B$29,$B$43,0)</x:f>
        <x:v>0</x:v>
      </x:c>
      <x:c r="J56" s="140" t="str">
        <x:f>IF(A56&lt;$B$29,"Aguardando",IF(A56=$B$29,"Contemplado","Pos-contemplacao"))</x:f>
        <x:v>Aguardando</x:v>
      </x:c>
      <x:c r="K56" s="141" t="n">
        <x:f>IF(A56&gt;=$B$27,0,(K57+E57)/(1+$B$9))</x:f>
        <x:v>208836.59985905123</x:v>
      </x:c>
      <x:c r="L56" s="141" t="n">
        <x:f>IF(A56&lt;$B$29,$B$43/(1+$B$9)^($B$29-A56),0)</x:f>
        <x:v>154015.1312577007</x:v>
      </x:c>
      <x:c r="M56" s="141" t="n">
        <x:f>L56-K56</x:f>
        <x:v>-54821.46860135053</x:v>
      </x:c>
    </x:row>
    <x:row r="57">
      <x:c r="A57" s="142" t="n">
        <x:v>3</x:v>
      </x:c>
      <x:c r="B57" s="179" t="n">
        <x:f>EDATE($B$5,A57-1)</x:f>
        <x:v>46600</x:v>
      </x:c>
      <x:c r="C57" s="141" t="n">
        <x:f>$B$6</x:f>
        <x:v>7000</x:v>
      </x:c>
      <x:c r="D57" s="180" t="n">
        <x:f>(1+$B$28)^INT((A57-1)/12)</x:f>
        <x:v>1</x:v>
      </x:c>
      <x:c r="E57" s="141" t="n">
        <x:f>IF(A57&lt;=$B$27,$B$45*D57,0)</x:f>
        <x:v>1477.2217705578066</x:v>
      </x:c>
      <x:c r="F57" s="141" t="n">
        <x:f>IF(A57=$B$29,$B$44,0)</x:f>
        <x:v>0</x:v>
      </x:c>
      <x:c r="G57" s="141" t="n">
        <x:f>E57+F57</x:f>
        <x:v>1477.2217705578066</x:v>
      </x:c>
      <x:c r="H57" s="141" t="n">
        <x:f>IF(A57=$B$29,$B$42,0)</x:f>
        <x:v>0</x:v>
      </x:c>
      <x:c r="I57" s="141" t="n">
        <x:f>IF(A57=$B$29,$B$43,0)</x:f>
        <x:v>0</x:v>
      </x:c>
      <x:c r="J57" s="140" t="str">
        <x:f>IF(A57&lt;$B$29,"Aguardando",IF(A57=$B$29,"Contemplado","Pos-contemplacao"))</x:f>
        <x:v>Aguardando</x:v>
      </x:c>
      <x:c r="K57" s="141" t="n">
        <x:f>IF(A57&gt;=$B$27,0,(K58+E58)/(1+$B$9))</x:f>
        <x:v>209340.98534171833</x:v>
      </x:c>
      <x:c r="L57" s="141" t="n">
        <x:f>IF(A57&lt;$B$29,$B$43/(1+$B$9)^($B$29-A57),0)</x:f>
        <x:v>155476.54894699765</x:v>
      </x:c>
      <x:c r="M57" s="141" t="n">
        <x:f>L57-K57</x:f>
        <x:v>-53864.43639472069</x:v>
      </x:c>
    </x:row>
    <x:row r="58">
      <x:c r="A58" s="142" t="n">
        <x:v>4</x:v>
      </x:c>
      <x:c r="B58" s="179" t="n">
        <x:f>EDATE($B$5,A58-1)</x:f>
        <x:v>46631</x:v>
      </x:c>
      <x:c r="C58" s="141" t="n">
        <x:f>$B$6</x:f>
        <x:v>7000</x:v>
      </x:c>
      <x:c r="D58" s="180" t="n">
        <x:f>(1+$B$28)^INT((A58-1)/12)</x:f>
        <x:v>1</x:v>
      </x:c>
      <x:c r="E58" s="141" t="n">
        <x:f>IF(A58&lt;=$B$27,$B$45*D58,0)</x:f>
        <x:v>1477.2217705578066</x:v>
      </x:c>
      <x:c r="F58" s="141" t="n">
        <x:f>IF(A58=$B$29,$B$44,0)</x:f>
        <x:v>0</x:v>
      </x:c>
      <x:c r="G58" s="141" t="n">
        <x:f>E58+F58</x:f>
        <x:v>1477.2217705578066</x:v>
      </x:c>
      <x:c r="H58" s="141" t="n">
        <x:f>IF(A58=$B$29,$B$42,0)</x:f>
        <x:v>0</x:v>
      </x:c>
      <x:c r="I58" s="141" t="n">
        <x:f>IF(A58=$B$29,$B$43,0)</x:f>
        <x:v>0</x:v>
      </x:c>
      <x:c r="J58" s="140" t="str">
        <x:f>IF(A58&lt;$B$29,"Aguardando",IF(A58=$B$29,"Contemplado","Pos-contemplacao"))</x:f>
        <x:v>Aguardando</x:v>
      </x:c>
      <x:c r="K58" s="141" t="n">
        <x:f>IF(A58&gt;=$B$27,0,(K59+E59)/(1+$B$9))</x:f>
        <x:v>209850.1568337897</x:v>
      </x:c>
      <x:c r="L58" s="141" t="n">
        <x:f>IF(A58&lt;$B$29,$B$43/(1+$B$9)^($B$29-A58),0)</x:f>
        <x:v>156951.83372613927</x:v>
      </x:c>
      <x:c r="M58" s="141" t="n">
        <x:f>L58-K58</x:f>
        <x:v>-52898.323107650416</x:v>
      </x:c>
    </x:row>
    <x:row r="59">
      <x:c r="A59" s="142" t="n">
        <x:v>5</x:v>
      </x:c>
      <x:c r="B59" s="179" t="n">
        <x:f>EDATE($B$5,A59-1)</x:f>
        <x:v>46661</x:v>
      </x:c>
      <x:c r="C59" s="141" t="n">
        <x:f>$B$6</x:f>
        <x:v>7000</x:v>
      </x:c>
      <x:c r="D59" s="180" t="n">
        <x:f>(1+$B$28)^INT((A59-1)/12)</x:f>
        <x:v>1</x:v>
      </x:c>
      <x:c r="E59" s="141" t="n">
        <x:f>IF(A59&lt;=$B$27,$B$45*D59,0)</x:f>
        <x:v>1477.2217705578066</x:v>
      </x:c>
      <x:c r="F59" s="141" t="n">
        <x:f>IF(A59=$B$29,$B$44,0)</x:f>
        <x:v>0</x:v>
      </x:c>
      <x:c r="G59" s="141" t="n">
        <x:f>E59+F59</x:f>
        <x:v>1477.2217705578066</x:v>
      </x:c>
      <x:c r="H59" s="141" t="n">
        <x:f>IF(A59=$B$29,$B$42,0)</x:f>
        <x:v>0</x:v>
      </x:c>
      <x:c r="I59" s="141" t="n">
        <x:f>IF(A59=$B$29,$B$43,0)</x:f>
        <x:v>0</x:v>
      </x:c>
      <x:c r="J59" s="140" t="str">
        <x:f>IF(A59&lt;$B$29,"Aguardando",IF(A59=$B$29,"Contemplado","Pos-contemplacao"))</x:f>
        <x:v>Aguardando</x:v>
      </x:c>
      <x:c r="K59" s="141" t="n">
        <x:f>IF(A59&gt;=$B$27,0,(K60+E60)/(1+$B$9))</x:f>
        <x:v>210364.1597487175</x:v>
      </x:c>
      <x:c r="L59" s="141" t="n">
        <x:f>IF(A59&lt;$B$29,$B$43/(1+$B$9)^($B$29-A59),0)</x:f>
        <x:v>158441.1171770697</x:v>
      </x:c>
      <x:c r="M59" s="141" t="n">
        <x:f>L59-K59</x:f>
        <x:v>-51923.04257164779</x:v>
      </x:c>
    </x:row>
    <x:row r="60">
      <x:c r="A60" s="142" t="n">
        <x:v>6</x:v>
      </x:c>
      <x:c r="B60" s="179" t="n">
        <x:f>EDATE($B$5,A60-1)</x:f>
        <x:v>46692</x:v>
      </x:c>
      <x:c r="C60" s="141" t="n">
        <x:f>$B$6</x:f>
        <x:v>7000</x:v>
      </x:c>
      <x:c r="D60" s="180" t="n">
        <x:f>(1+$B$28)^INT((A60-1)/12)</x:f>
        <x:v>1</x:v>
      </x:c>
      <x:c r="E60" s="141" t="n">
        <x:f>IF(A60&lt;=$B$27,$B$45*D60,0)</x:f>
        <x:v>1477.2217705578066</x:v>
      </x:c>
      <x:c r="F60" s="141" t="n">
        <x:f>IF(A60=$B$29,$B$44,0)</x:f>
        <x:v>0</x:v>
      </x:c>
      <x:c r="G60" s="141" t="n">
        <x:f>E60+F60</x:f>
        <x:v>1477.2217705578066</x:v>
      </x:c>
      <x:c r="H60" s="141" t="n">
        <x:f>IF(A60=$B$29,$B$42,0)</x:f>
        <x:v>0</x:v>
      </x:c>
      <x:c r="I60" s="141" t="n">
        <x:f>IF(A60=$B$29,$B$43,0)</x:f>
        <x:v>0</x:v>
      </x:c>
      <x:c r="J60" s="140" t="str">
        <x:f>IF(A60&lt;$B$29,"Aguardando",IF(A60=$B$29,"Contemplado","Pos-contemplacao"))</x:f>
        <x:v>Aguardando</x:v>
      </x:c>
      <x:c r="K60" s="141" t="n">
        <x:f>IF(A60&gt;=$B$27,0,(K61+E61)/(1+$B$9))</x:f>
        <x:v>210883.03993087282</x:v>
      </x:c>
      <x:c r="L60" s="141" t="n">
        <x:f>IF(A60&lt;$B$29,$B$43/(1+$B$9)^($B$29-A60),0)</x:f>
        <x:v>159944.53213028694</x:v>
      </x:c>
      <x:c r="M60" s="141" t="n">
        <x:f>L60-K60</x:f>
        <x:v>-50938.50780058588</x:v>
      </x:c>
    </x:row>
    <x:row r="61">
      <x:c r="A61" s="142" t="n">
        <x:v>7</x:v>
      </x:c>
      <x:c r="B61" s="179" t="n">
        <x:f>EDATE($B$5,A61-1)</x:f>
        <x:v>46722</x:v>
      </x:c>
      <x:c r="C61" s="141" t="n">
        <x:f>$B$6</x:f>
        <x:v>7000</x:v>
      </x:c>
      <x:c r="D61" s="180" t="n">
        <x:f>(1+$B$28)^INT((A61-1)/12)</x:f>
        <x:v>1</x:v>
      </x:c>
      <x:c r="E61" s="141" t="n">
        <x:f>IF(A61&lt;=$B$27,$B$45*D61,0)</x:f>
        <x:v>1477.2217705578066</x:v>
      </x:c>
      <x:c r="F61" s="141" t="n">
        <x:f>IF(A61=$B$29,$B$44,0)</x:f>
        <x:v>0</x:v>
      </x:c>
      <x:c r="G61" s="141" t="n">
        <x:f>E61+F61</x:f>
        <x:v>1477.2217705578066</x:v>
      </x:c>
      <x:c r="H61" s="141" t="n">
        <x:f>IF(A61=$B$29,$B$42,0)</x:f>
        <x:v>0</x:v>
      </x:c>
      <x:c r="I61" s="141" t="n">
        <x:f>IF(A61=$B$29,$B$43,0)</x:f>
        <x:v>0</x:v>
      </x:c>
      <x:c r="J61" s="140" t="str">
        <x:f>IF(A61&lt;$B$29,"Aguardando",IF(A61=$B$29,"Contemplado","Pos-contemplacao"))</x:f>
        <x:v>Aguardando</x:v>
      </x:c>
      <x:c r="K61" s="141" t="n">
        <x:f>IF(A61&gt;=$B$27,0,(K62+E62)/(1+$B$9))</x:f>
        <x:v>211406.84365963447</x:v>
      </x:c>
      <x:c r="L61" s="141" t="n">
        <x:f>IF(A61&lt;$B$29,$B$43/(1+$B$9)^($B$29-A61),0)</x:f>
        <x:v>161462.21267669002</x:v>
      </x:c>
      <x:c r="M61" s="141" t="n">
        <x:f>L61-K61</x:f>
        <x:v>-49944.63098294445</x:v>
      </x:c>
    </x:row>
    <x:row r="62">
      <x:c r="A62" s="142" t="n">
        <x:v>8</x:v>
      </x:c>
      <x:c r="B62" s="179" t="n">
        <x:f>EDATE($B$5,A62-1)</x:f>
        <x:v>46753</x:v>
      </x:c>
      <x:c r="C62" s="141" t="n">
        <x:f>$B$6</x:f>
        <x:v>7000</x:v>
      </x:c>
      <x:c r="D62" s="180" t="n">
        <x:f>(1+$B$28)^INT((A62-1)/12)</x:f>
        <x:v>1</x:v>
      </x:c>
      <x:c r="E62" s="141" t="n">
        <x:f>IF(A62&lt;=$B$27,$B$45*D62,0)</x:f>
        <x:v>1477.2217705578066</x:v>
      </x:c>
      <x:c r="F62" s="141" t="n">
        <x:f>IF(A62=$B$29,$B$44,0)</x:f>
        <x:v>0</x:v>
      </x:c>
      <x:c r="G62" s="141" t="n">
        <x:f>E62+F62</x:f>
        <x:v>1477.2217705578066</x:v>
      </x:c>
      <x:c r="H62" s="141" t="n">
        <x:f>IF(A62=$B$29,$B$42,0)</x:f>
        <x:v>0</x:v>
      </x:c>
      <x:c r="I62" s="141" t="n">
        <x:f>IF(A62=$B$29,$B$43,0)</x:f>
        <x:v>0</x:v>
      </x:c>
      <x:c r="J62" s="140" t="str">
        <x:f>IF(A62&lt;$B$29,"Aguardando",IF(A62=$B$29,"Contemplado","Pos-contemplacao"))</x:f>
        <x:v>Aguardando</x:v>
      </x:c>
      <x:c r="K62" s="141" t="n">
        <x:f>IF(A62&gt;=$B$27,0,(K63+E63)/(1+$B$9))</x:f>
        <x:v>211935.6176535167</x:v>
      </x:c>
      <x:c r="L62" s="141" t="n">
        <x:f>IF(A62&lt;$B$29,$B$43/(1+$B$9)^($B$29-A62),0)</x:f>
        <x:v>162994.2941795387</x:v>
      </x:c>
      <x:c r="M62" s="141" t="n">
        <x:f>L62-K62</x:f>
        <x:v>-48941.323473978</x:v>
      </x:c>
    </x:row>
    <x:row r="63">
      <x:c r="A63" s="142" t="n">
        <x:v>9</x:v>
      </x:c>
      <x:c r="B63" s="179" t="n">
        <x:f>EDATE($B$5,A63-1)</x:f>
        <x:v>46784</x:v>
      </x:c>
      <x:c r="C63" s="141" t="n">
        <x:f>$B$6</x:f>
        <x:v>7000</x:v>
      </x:c>
      <x:c r="D63" s="180" t="n">
        <x:f>(1+$B$28)^INT((A63-1)/12)</x:f>
        <x:v>1</x:v>
      </x:c>
      <x:c r="E63" s="141" t="n">
        <x:f>IF(A63&lt;=$B$27,$B$45*D63,0)</x:f>
        <x:v>1477.2217705578066</x:v>
      </x:c>
      <x:c r="F63" s="141" t="n">
        <x:f>IF(A63=$B$29,$B$44,0)</x:f>
        <x:v>0</x:v>
      </x:c>
      <x:c r="G63" s="141" t="n">
        <x:f>E63+F63</x:f>
        <x:v>1477.2217705578066</x:v>
      </x:c>
      <x:c r="H63" s="141" t="n">
        <x:f>IF(A63=$B$29,$B$42,0)</x:f>
        <x:v>0</x:v>
      </x:c>
      <x:c r="I63" s="141" t="n">
        <x:f>IF(A63=$B$29,$B$43,0)</x:f>
        <x:v>0</x:v>
      </x:c>
      <x:c r="J63" s="140" t="str">
        <x:f>IF(A63&lt;$B$29,"Aguardando",IF(A63=$B$29,"Contemplado","Pos-contemplacao"))</x:f>
        <x:v>Aguardando</x:v>
      </x:c>
      <x:c r="K63" s="141" t="n">
        <x:f>IF(A63&gt;=$B$27,0,(K64+E64)/(1+$B$9))</x:f>
        <x:v>212469.4090743361</x:v>
      </x:c>
      <x:c r="L63" s="141" t="n">
        <x:f>IF(A63&lt;$B$29,$B$43/(1+$B$9)^($B$29-A63),0)</x:f>
        <x:v>164540.9132865269</x:v>
      </x:c>
      <x:c r="M63" s="141" t="n">
        <x:f>L63-K63</x:f>
        <x:v>-47928.495787809195</x:v>
      </x:c>
    </x:row>
    <x:row r="64">
      <x:c r="A64" s="142" t="n">
        <x:v>10</x:v>
      </x:c>
      <x:c r="B64" s="179" t="n">
        <x:f>EDATE($B$5,A64-1)</x:f>
        <x:v>46813</x:v>
      </x:c>
      <x:c r="C64" s="141" t="n">
        <x:f>$B$6</x:f>
        <x:v>7000</x:v>
      </x:c>
      <x:c r="D64" s="180" t="n">
        <x:f>(1+$B$28)^INT((A64-1)/12)</x:f>
        <x:v>1</x:v>
      </x:c>
      <x:c r="E64" s="141" t="n">
        <x:f>IF(A64&lt;=$B$27,$B$45*D64,0)</x:f>
        <x:v>1477.2217705578066</x:v>
      </x:c>
      <x:c r="F64" s="141" t="n">
        <x:f>IF(A64=$B$29,$B$44,0)</x:f>
        <x:v>0</x:v>
      </x:c>
      <x:c r="G64" s="141" t="n">
        <x:f>E64+F64</x:f>
        <x:v>1477.2217705578066</x:v>
      </x:c>
      <x:c r="H64" s="141" t="n">
        <x:f>IF(A64=$B$29,$B$42,0)</x:f>
        <x:v>0</x:v>
      </x:c>
      <x:c r="I64" s="141" t="n">
        <x:f>IF(A64=$B$29,$B$43,0)</x:f>
        <x:v>0</x:v>
      </x:c>
      <x:c r="J64" s="140" t="str">
        <x:f>IF(A64&lt;$B$29,"Aguardando",IF(A64=$B$29,"Contemplado","Pos-contemplacao"))</x:f>
        <x:v>Aguardando</x:v>
      </x:c>
      <x:c r="K64" s="141" t="n">
        <x:f>IF(A64&gt;=$B$27,0,(K65+E65)/(1+$B$9))</x:f>
        <x:v>213008.26553141788</x:v>
      </x:c>
      <x:c r="L64" s="141" t="n">
        <x:f>IF(A64&lt;$B$29,$B$43/(1+$B$9)^($B$29-A64),0)</x:f>
        <x:v>166102.20794196991</x:v>
      </x:c>
      <x:c r="M64" s="141" t="n">
        <x:f>L64-K64</x:f>
        <x:v>-46906.05758944797</x:v>
      </x:c>
    </x:row>
    <x:row r="65">
      <x:c r="A65" s="142" t="n">
        <x:v>11</x:v>
      </x:c>
      <x:c r="B65" s="179" t="n">
        <x:f>EDATE($B$5,A65-1)</x:f>
        <x:v>46844</x:v>
      </x:c>
      <x:c r="C65" s="141" t="n">
        <x:f>$B$6</x:f>
        <x:v>7000</x:v>
      </x:c>
      <x:c r="D65" s="180" t="n">
        <x:f>(1+$B$28)^INT((A65-1)/12)</x:f>
        <x:v>1</x:v>
      </x:c>
      <x:c r="E65" s="141" t="n">
        <x:f>IF(A65&lt;=$B$27,$B$45*D65,0)</x:f>
        <x:v>1477.2217705578066</x:v>
      </x:c>
      <x:c r="F65" s="141" t="n">
        <x:f>IF(A65=$B$29,$B$44,0)</x:f>
        <x:v>0</x:v>
      </x:c>
      <x:c r="G65" s="141" t="n">
        <x:f>E65+F65</x:f>
        <x:v>1477.2217705578066</x:v>
      </x:c>
      <x:c r="H65" s="141" t="n">
        <x:f>IF(A65=$B$29,$B$42,0)</x:f>
        <x:v>0</x:v>
      </x:c>
      <x:c r="I65" s="141" t="n">
        <x:f>IF(A65=$B$29,$B$43,0)</x:f>
        <x:v>0</x:v>
      </x:c>
      <x:c r="J65" s="140" t="str">
        <x:f>IF(A65&lt;$B$29,"Aguardando",IF(A65=$B$29,"Contemplado","Pos-contemplacao"))</x:f>
        <x:v>Aguardando</x:v>
      </x:c>
      <x:c r="K65" s="141" t="n">
        <x:f>IF(A65&gt;=$B$27,0,(K66+E66)/(1+$B$9))</x:f>
        <x:v>213552.23508584237</x:v>
      </x:c>
      <x:c r="L65" s="141" t="n">
        <x:f>IF(A65&lt;$B$29,$B$43/(1+$B$9)^($B$29-A65),0)</x:f>
        <x:v>167678.31739910832</x:v>
      </x:c>
      <x:c r="M65" s="141" t="n">
        <x:f>L65-K65</x:f>
        <x:v>-45873.91768673406</x:v>
      </x:c>
    </x:row>
    <x:row r="66">
      <x:c r="A66" s="142" t="n">
        <x:v>12</x:v>
      </x:c>
      <x:c r="B66" s="179" t="n">
        <x:f>EDATE($B$5,A66-1)</x:f>
        <x:v>46874</x:v>
      </x:c>
      <x:c r="C66" s="141" t="n">
        <x:f>$B$6</x:f>
        <x:v>7000</x:v>
      </x:c>
      <x:c r="D66" s="180" t="n">
        <x:f>(1+$B$28)^INT((A66-1)/12)</x:f>
        <x:v>1</x:v>
      </x:c>
      <x:c r="E66" s="141" t="n">
        <x:f>IF(A66&lt;=$B$27,$B$45*D66,0)</x:f>
        <x:v>1477.2217705578066</x:v>
      </x:c>
      <x:c r="F66" s="141" t="n">
        <x:f>IF(A66=$B$29,$B$44,0)</x:f>
        <x:v>0</x:v>
      </x:c>
      <x:c r="G66" s="141" t="n">
        <x:f>E66+F66</x:f>
        <x:v>1477.2217705578066</x:v>
      </x:c>
      <x:c r="H66" s="141" t="n">
        <x:f>IF(A66=$B$29,$B$42,0)</x:f>
        <x:v>0</x:v>
      </x:c>
      <x:c r="I66" s="141" t="n">
        <x:f>IF(A66=$B$29,$B$43,0)</x:f>
        <x:v>0</x:v>
      </x:c>
      <x:c r="J66" s="140" t="str">
        <x:f>IF(A66&lt;$B$29,"Aguardando",IF(A66=$B$29,"Contemplado","Pos-contemplacao"))</x:f>
        <x:v>Aguardando</x:v>
      </x:c>
      <x:c r="K66" s="141" t="n">
        <x:f>IF(A66&gt;=$B$27,0,(K67+E67)/(1+$B$9))</x:f>
        <x:v>214101.36625473152</x:v>
      </x:c>
      <x:c r="L66" s="141" t="n">
        <x:f>IF(A66&lt;$B$29,$B$43/(1+$B$9)^($B$29-A66),0)</x:f>
        <x:v>169269.38223252777</x:v>
      </x:c>
      <x:c r="M66" s="141" t="n">
        <x:f>L66-K66</x:f>
        <x:v>-44831.984022203746</x:v>
      </x:c>
    </x:row>
    <x:row r="67">
      <x:c r="A67" s="142" t="n">
        <x:v>13</x:v>
      </x:c>
      <x:c r="B67" s="179" t="n">
        <x:f>EDATE($B$5,A67-1)</x:f>
        <x:v>46905</x:v>
      </x:c>
      <x:c r="C67" s="141" t="n">
        <x:f>$B$6</x:f>
        <x:v>7000</x:v>
      </x:c>
      <x:c r="D67" s="180" t="n">
        <x:f>(1+$B$28)^INT((A67-1)/12)</x:f>
        <x:v>1.06</x:v>
      </x:c>
      <x:c r="E67" s="141" t="n">
        <x:f>IF(A67&lt;=$B$27,$B$45*D67,0)</x:f>
        <x:v>1565.855076791275</x:v>
      </x:c>
      <x:c r="F67" s="141" t="n">
        <x:f>IF(A67=$B$29,$B$44,0)</x:f>
        <x:v>0</x:v>
      </x:c>
      <x:c r="G67" s="141" t="n">
        <x:f>E67+F67</x:f>
        <x:v>1565.855076791275</x:v>
      </x:c>
      <x:c r="H67" s="141" t="n">
        <x:f>IF(A67=$B$29,$B$42,0)</x:f>
        <x:v>0</x:v>
      </x:c>
      <x:c r="I67" s="141" t="n">
        <x:f>IF(A67=$B$29,$B$43,0)</x:f>
        <x:v>0</x:v>
      </x:c>
      <x:c r="J67" s="140" t="str">
        <x:f>IF(A67&lt;$B$29,"Aguardando",IF(A67=$B$29,"Contemplado","Pos-contemplacao"))</x:f>
        <x:v>Aguardando</x:v>
      </x:c>
      <x:c r="K67" s="141" t="n">
        <x:f>IF(A67&gt;=$B$27,0,(K68+E68)/(1+$B$9))</x:f>
        <x:v>214567.0747093427</x:v>
      </x:c>
      <x:c r="L67" s="141" t="n">
        <x:f>IF(A67&lt;$B$29,$B$43/(1+$B$9)^($B$29-A67),0)</x:f>
        <x:v>170875.544350697</x:v>
      </x:c>
      <x:c r="M67" s="141" t="n">
        <x:f>L67-K67</x:f>
        <x:v>-43691.530358645716</x:v>
      </x:c>
    </x:row>
    <x:row r="68">
      <x:c r="A68" s="142" t="n">
        <x:v>14</x:v>
      </x:c>
      <x:c r="B68" s="179" t="n">
        <x:f>EDATE($B$5,A68-1)</x:f>
        <x:v>46935</x:v>
      </x:c>
      <x:c r="C68" s="141" t="n">
        <x:f>$B$6</x:f>
        <x:v>7000</x:v>
      </x:c>
      <x:c r="D68" s="180" t="n">
        <x:f>(1+$B$28)^INT((A68-1)/12)</x:f>
        <x:v>1.06</x:v>
      </x:c>
      <x:c r="E68" s="141" t="n">
        <x:f>IF(A68&lt;=$B$27,$B$45*D68,0)</x:f>
        <x:v>1565.855076791275</x:v>
      </x:c>
      <x:c r="F68" s="141" t="n">
        <x:f>IF(A68=$B$29,$B$44,0)</x:f>
        <x:v>0</x:v>
      </x:c>
      <x:c r="G68" s="141" t="n">
        <x:f>E68+F68</x:f>
        <x:v>1565.855076791275</x:v>
      </x:c>
      <x:c r="H68" s="141" t="n">
        <x:f>IF(A68=$B$29,$B$42,0)</x:f>
        <x:v>0</x:v>
      </x:c>
      <x:c r="I68" s="141" t="n">
        <x:f>IF(A68=$B$29,$B$43,0)</x:f>
        <x:v>0</x:v>
      </x:c>
      <x:c r="J68" s="140" t="str">
        <x:f>IF(A68&lt;$B$29,"Aguardando",IF(A68=$B$29,"Contemplado","Pos-contemplacao"))</x:f>
        <x:v>Aguardando</x:v>
      </x:c>
      <x:c r="K68" s="141" t="n">
        <x:f>IF(A68&gt;=$B$27,0,(K69+E69)/(1+$B$9))</x:f>
        <x:v>215037.2021750476</x:v>
      </x:c>
      <x:c r="L68" s="141" t="n">
        <x:f>IF(A68&lt;$B$29,$B$43/(1+$B$9)^($B$29-A68),0)</x:f>
        <x:v>172496.94700862493</x:v>
      </x:c>
      <x:c r="M68" s="141" t="n">
        <x:f>L68-K68</x:f>
        <x:v>-42540.25516642266</x:v>
      </x:c>
    </x:row>
    <x:row r="69">
      <x:c r="A69" s="142" t="n">
        <x:v>15</x:v>
      </x:c>
      <x:c r="B69" s="179" t="n">
        <x:f>EDATE($B$5,A69-1)</x:f>
        <x:v>46966</x:v>
      </x:c>
      <x:c r="C69" s="141" t="n">
        <x:f>$B$6</x:f>
        <x:v>7000</x:v>
      </x:c>
      <x:c r="D69" s="180" t="n">
        <x:f>(1+$B$28)^INT((A69-1)/12)</x:f>
        <x:v>1.06</x:v>
      </x:c>
      <x:c r="E69" s="141" t="n">
        <x:f>IF(A69&lt;=$B$27,$B$45*D69,0)</x:f>
        <x:v>1565.855076791275</x:v>
      </x:c>
      <x:c r="F69" s="141" t="n">
        <x:f>IF(A69=$B$29,$B$44,0)</x:f>
        <x:v>0</x:v>
      </x:c>
      <x:c r="G69" s="141" t="n">
        <x:f>E69+F69</x:f>
        <x:v>1565.855076791275</x:v>
      </x:c>
      <x:c r="H69" s="141" t="n">
        <x:f>IF(A69=$B$29,$B$42,0)</x:f>
        <x:v>0</x:v>
      </x:c>
      <x:c r="I69" s="141" t="n">
        <x:f>IF(A69=$B$29,$B$43,0)</x:f>
        <x:v>0</x:v>
      </x:c>
      <x:c r="J69" s="140" t="str">
        <x:f>IF(A69&lt;$B$29,"Aguardando",IF(A69=$B$29,"Contemplado","Pos-contemplacao"))</x:f>
        <x:v>Aguardando</x:v>
      </x:c>
      <x:c r="K69" s="141" t="n">
        <x:f>IF(A69&gt;=$B$27,0,(K70+E70)/(1+$B$9))</x:f>
        <x:v>215511.7905829274</x:v>
      </x:c>
      <x:c r="L69" s="141" t="n">
        <x:f>IF(A69&lt;$B$29,$B$43/(1+$B$9)^($B$29-A69),0)</x:f>
        <x:v>174133.7348206375</x:v>
      </x:c>
      <x:c r="M69" s="141" t="n">
        <x:f>L69-K69</x:f>
        <x:v>-41378.05576228991</x:v>
      </x:c>
    </x:row>
    <x:row r="70">
      <x:c r="A70" s="142" t="n">
        <x:v>16</x:v>
      </x:c>
      <x:c r="B70" s="179" t="n">
        <x:f>EDATE($B$5,A70-1)</x:f>
        <x:v>46997</x:v>
      </x:c>
      <x:c r="C70" s="141" t="n">
        <x:f>$B$6</x:f>
        <x:v>7000</x:v>
      </x:c>
      <x:c r="D70" s="180" t="n">
        <x:f>(1+$B$28)^INT((A70-1)/12)</x:f>
        <x:v>1.06</x:v>
      </x:c>
      <x:c r="E70" s="141" t="n">
        <x:f>IF(A70&lt;=$B$27,$B$45*D70,0)</x:f>
        <x:v>1565.855076791275</x:v>
      </x:c>
      <x:c r="F70" s="141" t="n">
        <x:f>IF(A70=$B$29,$B$44,0)</x:f>
        <x:v>0</x:v>
      </x:c>
      <x:c r="G70" s="141" t="n">
        <x:f>E70+F70</x:f>
        <x:v>1565.855076791275</x:v>
      </x:c>
      <x:c r="H70" s="141" t="n">
        <x:f>IF(A70=$B$29,$B$42,0)</x:f>
        <x:v>0</x:v>
      </x:c>
      <x:c r="I70" s="141" t="n">
        <x:f>IF(A70=$B$29,$B$43,0)</x:f>
        <x:v>0</x:v>
      </x:c>
      <x:c r="J70" s="140" t="str">
        <x:f>IF(A70&lt;$B$29,"Aguardando",IF(A70=$B$29,"Contemplado","Pos-contemplacao"))</x:f>
        <x:v>Aguardando</x:v>
      </x:c>
      <x:c r="K70" s="141" t="n">
        <x:f>IF(A70&gt;=$B$27,0,(K71+E71)/(1+$B$9))</x:f>
        <x:v>215990.88226193876</x:v>
      </x:c>
      <x:c r="L70" s="141" t="n">
        <x:f>IF(A70&lt;$B$29,$B$43/(1+$B$9)^($B$29-A70),0)</x:f>
        <x:v>175786.05377327613</x:v>
      </x:c>
      <x:c r="M70" s="141" t="n">
        <x:f>L70-K70</x:f>
        <x:v>-40204.828488662635</x:v>
      </x:c>
    </x:row>
    <x:row r="71">
      <x:c r="A71" s="142" t="n">
        <x:v>17</x:v>
      </x:c>
      <x:c r="B71" s="179" t="n">
        <x:f>EDATE($B$5,A71-1)</x:f>
        <x:v>47027</x:v>
      </x:c>
      <x:c r="C71" s="141" t="n">
        <x:f>$B$6</x:f>
        <x:v>7000</x:v>
      </x:c>
      <x:c r="D71" s="180" t="n">
        <x:f>(1+$B$28)^INT((A71-1)/12)</x:f>
        <x:v>1.06</x:v>
      </x:c>
      <x:c r="E71" s="141" t="n">
        <x:f>IF(A71&lt;=$B$27,$B$45*D71,0)</x:f>
        <x:v>1565.855076791275</x:v>
      </x:c>
      <x:c r="F71" s="141" t="n">
        <x:f>IF(A71=$B$29,$B$44,0)</x:f>
        <x:v>0</x:v>
      </x:c>
      <x:c r="G71" s="141" t="n">
        <x:f>E71+F71</x:f>
        <x:v>1565.855076791275</x:v>
      </x:c>
      <x:c r="H71" s="141" t="n">
        <x:f>IF(A71=$B$29,$B$42,0)</x:f>
        <x:v>0</x:v>
      </x:c>
      <x:c r="I71" s="141" t="n">
        <x:f>IF(A71=$B$29,$B$43,0)</x:f>
        <x:v>0</x:v>
      </x:c>
      <x:c r="J71" s="140" t="str">
        <x:f>IF(A71&lt;$B$29,"Aguardando",IF(A71=$B$29,"Contemplado","Pos-contemplacao"))</x:f>
        <x:v>Aguardando</x:v>
      </x:c>
      <x:c r="K71" s="141" t="n">
        <x:f>IF(A71&gt;=$B$27,0,(K72+E72)/(1+$B$9))</x:f>
        <x:v>216474.51994268893</x:v>
      </x:c>
      <x:c r="L71" s="141" t="n">
        <x:f>IF(A71&lt;$B$29,$B$43/(1+$B$9)^($B$29-A71),0)</x:f>
        <x:v>177454.05123831824</x:v>
      </x:c>
      <x:c r="M71" s="141" t="n">
        <x:f>L71-K71</x:f>
        <x:v>-39020.468704370694</x:v>
      </x:c>
    </x:row>
    <x:row r="72">
      <x:c r="A72" s="142" t="n">
        <x:v>18</x:v>
      </x:c>
      <x:c r="B72" s="179" t="n">
        <x:f>EDATE($B$5,A72-1)</x:f>
        <x:v>47058</x:v>
      </x:c>
      <x:c r="C72" s="141" t="n">
        <x:f>$B$6</x:f>
        <x:v>7000</x:v>
      </x:c>
      <x:c r="D72" s="180" t="n">
        <x:f>(1+$B$28)^INT((A72-1)/12)</x:f>
        <x:v>1.06</x:v>
      </x:c>
      <x:c r="E72" s="141" t="n">
        <x:f>IF(A72&lt;=$B$27,$B$45*D72,0)</x:f>
        <x:v>1565.855076791275</x:v>
      </x:c>
      <x:c r="F72" s="141" t="n">
        <x:f>IF(A72=$B$29,$B$44,0)</x:f>
        <x:v>0</x:v>
      </x:c>
      <x:c r="G72" s="141" t="n">
        <x:f>E72+F72</x:f>
        <x:v>1565.855076791275</x:v>
      </x:c>
      <x:c r="H72" s="141" t="n">
        <x:f>IF(A72=$B$29,$B$42,0)</x:f>
        <x:v>0</x:v>
      </x:c>
      <x:c r="I72" s="141" t="n">
        <x:f>IF(A72=$B$29,$B$43,0)</x:f>
        <x:v>0</x:v>
      </x:c>
      <x:c r="J72" s="140" t="str">
        <x:f>IF(A72&lt;$B$29,"Aguardando",IF(A72=$B$29,"Contemplado","Pos-contemplacao"))</x:f>
        <x:v>Aguardando</x:v>
      </x:c>
      <x:c r="K72" s="141" t="n">
        <x:f>IF(A72&gt;=$B$27,0,(K73+E73)/(1+$B$9))</x:f>
        <x:v>216962.74676124708</x:v>
      </x:c>
      <x:c r="L72" s="141" t="n">
        <x:f>IF(A72&lt;$B$29,$B$43/(1+$B$9)^($B$29-A72),0)</x:f>
        <x:v>179137.8759859215</x:v>
      </x:c>
      <x:c r="M72" s="141" t="n">
        <x:f>L72-K72</x:f>
        <x:v>-37824.87077532557</x:v>
      </x:c>
    </x:row>
    <x:row r="73">
      <x:c r="A73" s="142" t="n">
        <x:v>19</x:v>
      </x:c>
      <x:c r="B73" s="179" t="n">
        <x:f>EDATE($B$5,A73-1)</x:f>
        <x:v>47088</x:v>
      </x:c>
      <x:c r="C73" s="141" t="n">
        <x:f>$B$6</x:f>
        <x:v>7000</x:v>
      </x:c>
      <x:c r="D73" s="180" t="n">
        <x:f>(1+$B$28)^INT((A73-1)/12)</x:f>
        <x:v>1.06</x:v>
      </x:c>
      <x:c r="E73" s="141" t="n">
        <x:f>IF(A73&lt;=$B$27,$B$45*D73,0)</x:f>
        <x:v>1565.855076791275</x:v>
      </x:c>
      <x:c r="F73" s="141" t="n">
        <x:f>IF(A73=$B$29,$B$44,0)</x:f>
        <x:v>0</x:v>
      </x:c>
      <x:c r="G73" s="141" t="n">
        <x:f>E73+F73</x:f>
        <x:v>1565.855076791275</x:v>
      </x:c>
      <x:c r="H73" s="141" t="n">
        <x:f>IF(A73=$B$29,$B$42,0)</x:f>
        <x:v>0</x:v>
      </x:c>
      <x:c r="I73" s="141" t="n">
        <x:f>IF(A73=$B$29,$B$43,0)</x:f>
        <x:v>0</x:v>
      </x:c>
      <x:c r="J73" s="140" t="str">
        <x:f>IF(A73&lt;$B$29,"Aguardando",IF(A73=$B$29,"Contemplado","Pos-contemplacao"))</x:f>
        <x:v>Aguardando</x:v>
      </x:c>
      <x:c r="K73" s="141" t="n">
        <x:f>IF(A73&gt;=$B$27,0,(K74+E74)/(1+$B$9))</x:f>
        <x:v>217455.60626299164</x:v>
      </x:c>
      <x:c r="L73" s="141" t="n">
        <x:f>IF(A73&lt;$B$29,$B$43/(1+$B$9)^($B$29-A73),0)</x:f>
        <x:v>180837.67819789294</x:v>
      </x:c>
      <x:c r="M73" s="141" t="n">
        <x:f>L73-K73</x:f>
        <x:v>-36617.928065098706</x:v>
      </x:c>
    </x:row>
    <x:row r="74">
      <x:c r="A74" s="142" t="n">
        <x:v>20</x:v>
      </x:c>
      <x:c r="B74" s="179" t="n">
        <x:f>EDATE($B$5,A74-1)</x:f>
        <x:v>47119</x:v>
      </x:c>
      <x:c r="C74" s="141" t="n">
        <x:f>$B$6</x:f>
        <x:v>7000</x:v>
      </x:c>
      <x:c r="D74" s="180" t="n">
        <x:f>(1+$B$28)^INT((A74-1)/12)</x:f>
        <x:v>1.06</x:v>
      </x:c>
      <x:c r="E74" s="141" t="n">
        <x:f>IF(A74&lt;=$B$27,$B$45*D74,0)</x:f>
        <x:v>1565.855076791275</x:v>
      </x:c>
      <x:c r="F74" s="141" t="n">
        <x:f>IF(A74=$B$29,$B$44,0)</x:f>
        <x:v>0</x:v>
      </x:c>
      <x:c r="G74" s="141" t="n">
        <x:f>E74+F74</x:f>
        <x:v>1565.855076791275</x:v>
      </x:c>
      <x:c r="H74" s="141" t="n">
        <x:f>IF(A74=$B$29,$B$42,0)</x:f>
        <x:v>0</x:v>
      </x:c>
      <x:c r="I74" s="141" t="n">
        <x:f>IF(A74=$B$29,$B$43,0)</x:f>
        <x:v>0</x:v>
      </x:c>
      <x:c r="J74" s="140" t="str">
        <x:f>IF(A74&lt;$B$29,"Aguardando",IF(A74=$B$29,"Contemplado","Pos-contemplacao"))</x:f>
        <x:v>Aguardando</x:v>
      </x:c>
      <x:c r="K74" s="141" t="n">
        <x:f>IF(A74&gt;=$B$27,0,(K75+E75)/(1+$B$9))</x:f>
        <x:v>217953.1424064941</x:v>
      </x:c>
      <x:c r="L74" s="141" t="n">
        <x:f>IF(A74&lt;$B$29,$B$43/(1+$B$9)^($B$29-A74),0)</x:f>
        <x:v>182553.60948108352</x:v>
      </x:c>
      <x:c r="M74" s="141" t="n">
        <x:f>L74-K74</x:f>
        <x:v>-35399.532925410575</x:v>
      </x:c>
    </x:row>
    <x:row r="75">
      <x:c r="A75" s="142" t="n">
        <x:v>21</x:v>
      </x:c>
      <x:c r="B75" s="179" t="n">
        <x:f>EDATE($B$5,A75-1)</x:f>
        <x:v>47150</x:v>
      </x:c>
      <x:c r="C75" s="141" t="n">
        <x:f>$B$6</x:f>
        <x:v>7000</x:v>
      </x:c>
      <x:c r="D75" s="180" t="n">
        <x:f>(1+$B$28)^INT((A75-1)/12)</x:f>
        <x:v>1.06</x:v>
      </x:c>
      <x:c r="E75" s="141" t="n">
        <x:f>IF(A75&lt;=$B$27,$B$45*D75,0)</x:f>
        <x:v>1565.855076791275</x:v>
      </x:c>
      <x:c r="F75" s="141" t="n">
        <x:f>IF(A75=$B$29,$B$44,0)</x:f>
        <x:v>0</x:v>
      </x:c>
      <x:c r="G75" s="141" t="n">
        <x:f>E75+F75</x:f>
        <x:v>1565.855076791275</x:v>
      </x:c>
      <x:c r="H75" s="141" t="n">
        <x:f>IF(A75=$B$29,$B$42,0)</x:f>
        <x:v>0</x:v>
      </x:c>
      <x:c r="I75" s="141" t="n">
        <x:f>IF(A75=$B$29,$B$43,0)</x:f>
        <x:v>0</x:v>
      </x:c>
      <x:c r="J75" s="140" t="str">
        <x:f>IF(A75&lt;$B$29,"Aguardando",IF(A75=$B$29,"Contemplado","Pos-contemplacao"))</x:f>
        <x:v>Aguardando</x:v>
      </x:c>
      <x:c r="K75" s="141" t="n">
        <x:f>IF(A75&gt;=$B$27,0,(K76+E76)/(1+$B$9))</x:f>
        <x:v>218455.39956743972</x:v>
      </x:c>
      <x:c r="L75" s="141" t="n">
        <x:f>IF(A75&lt;$B$29,$B$43/(1+$B$9)^($B$29-A75),0)</x:f>
        <x:v>184285.82288091024</x:v>
      </x:c>
      <x:c r="M75" s="141" t="n">
        <x:f>L75-K75</x:f>
        <x:v>-34169.57668652947</x:v>
      </x:c>
    </x:row>
    <x:row r="76">
      <x:c r="A76" s="142" t="n">
        <x:v>22</x:v>
      </x:c>
      <x:c r="B76" s="179" t="n">
        <x:f>EDATE($B$5,A76-1)</x:f>
        <x:v>47178</x:v>
      </x:c>
      <x:c r="C76" s="141" t="n">
        <x:f>$B$6</x:f>
        <x:v>7000</x:v>
      </x:c>
      <x:c r="D76" s="180" t="n">
        <x:f>(1+$B$28)^INT((A76-1)/12)</x:f>
        <x:v>1.06</x:v>
      </x:c>
      <x:c r="E76" s="141" t="n">
        <x:f>IF(A76&lt;=$B$27,$B$45*D76,0)</x:f>
        <x:v>1565.855076791275</x:v>
      </x:c>
      <x:c r="F76" s="141" t="n">
        <x:f>IF(A76=$B$29,$B$44,0)</x:f>
        <x:v>0</x:v>
      </x:c>
      <x:c r="G76" s="141" t="n">
        <x:f>E76+F76</x:f>
        <x:v>1565.855076791275</x:v>
      </x:c>
      <x:c r="H76" s="141" t="n">
        <x:f>IF(A76=$B$29,$B$42,0)</x:f>
        <x:v>0</x:v>
      </x:c>
      <x:c r="I76" s="141" t="n">
        <x:f>IF(A76=$B$29,$B$43,0)</x:f>
        <x:v>0</x:v>
      </x:c>
      <x:c r="J76" s="140" t="str">
        <x:f>IF(A76&lt;$B$29,"Aguardando",IF(A76=$B$29,"Contemplado","Pos-contemplacao"))</x:f>
        <x:v>Aguardando</x:v>
      </x:c>
      <x:c r="K76" s="141" t="n">
        <x:f>IF(A76&gt;=$B$27,0,(K77+E77)/(1+$B$9))</x:f>
        <x:v>218962.42254258547</x:v>
      </x:c>
      <x:c r="L76" s="141" t="n">
        <x:f>IF(A76&lt;$B$29,$B$43/(1+$B$9)^($B$29-A76),0)</x:f>
        <x:v>186034.47289500645</x:v>
      </x:c>
      <x:c r="M76" s="141" t="n">
        <x:f>L76-K76</x:f>
        <x:v>-32927.94964757902</x:v>
      </x:c>
    </x:row>
    <x:row r="77">
      <x:c r="A77" s="142" t="n">
        <x:v>23</x:v>
      </x:c>
      <x:c r="B77" s="179" t="n">
        <x:f>EDATE($B$5,A77-1)</x:f>
        <x:v>47209</x:v>
      </x:c>
      <x:c r="C77" s="141" t="n">
        <x:f>$B$6</x:f>
        <x:v>7000</x:v>
      </x:c>
      <x:c r="D77" s="180" t="n">
        <x:f>(1+$B$28)^INT((A77-1)/12)</x:f>
        <x:v>1.06</x:v>
      </x:c>
      <x:c r="E77" s="141" t="n">
        <x:f>IF(A77&lt;=$B$27,$B$45*D77,0)</x:f>
        <x:v>1565.855076791275</x:v>
      </x:c>
      <x:c r="F77" s="141" t="n">
        <x:f>IF(A77=$B$29,$B$44,0)</x:f>
        <x:v>0</x:v>
      </x:c>
      <x:c r="G77" s="141" t="n">
        <x:f>E77+F77</x:f>
        <x:v>1565.855076791275</x:v>
      </x:c>
      <x:c r="H77" s="141" t="n">
        <x:f>IF(A77=$B$29,$B$42,0)</x:f>
        <x:v>0</x:v>
      </x:c>
      <x:c r="I77" s="141" t="n">
        <x:f>IF(A77=$B$29,$B$43,0)</x:f>
        <x:v>0</x:v>
      </x:c>
      <x:c r="J77" s="140" t="str">
        <x:f>IF(A77&lt;$B$29,"Aguardando",IF(A77=$B$29,"Contemplado","Pos-contemplacao"))</x:f>
        <x:v>Aguardando</x:v>
      </x:c>
      <x:c r="K77" s="141" t="n">
        <x:f>IF(A77&gt;=$B$27,0,(K78+E78)/(1+$B$9))</x:f>
        <x:v>219474.25655375546</x:v>
      </x:c>
      <x:c r="L77" s="141" t="n">
        <x:f>IF(A77&lt;$B$29,$B$43/(1+$B$9)^($B$29-A77),0)</x:f>
        <x:v>187799.71548700146</x:v>
      </x:c>
      <x:c r="M77" s="141" t="n">
        <x:f>L77-K77</x:f>
        <x:v>-31674.541066753998</x:v>
      </x:c>
    </x:row>
    <x:row r="78">
      <x:c r="A78" s="142" t="n">
        <x:v>24</x:v>
      </x:c>
      <x:c r="B78" s="179" t="n">
        <x:f>EDATE($B$5,A78-1)</x:f>
        <x:v>47239</x:v>
      </x:c>
      <x:c r="C78" s="141" t="n">
        <x:f>$B$6</x:f>
        <x:v>7000</x:v>
      </x:c>
      <x:c r="D78" s="180" t="n">
        <x:f>(1+$B$28)^INT((A78-1)/12)</x:f>
        <x:v>1.06</x:v>
      </x:c>
      <x:c r="E78" s="141" t="n">
        <x:f>IF(A78&lt;=$B$27,$B$45*D78,0)</x:f>
        <x:v>1565.855076791275</x:v>
      </x:c>
      <x:c r="F78" s="141" t="n">
        <x:f>IF(A78=$B$29,$B$44,0)</x:f>
        <x:v>0</x:v>
      </x:c>
      <x:c r="G78" s="141" t="n">
        <x:f>E78+F78</x:f>
        <x:v>1565.855076791275</x:v>
      </x:c>
      <x:c r="H78" s="141" t="n">
        <x:f>IF(A78=$B$29,$B$42,0)</x:f>
        <x:v>0</x:v>
      </x:c>
      <x:c r="I78" s="141" t="n">
        <x:f>IF(A78=$B$29,$B$43,0)</x:f>
        <x:v>0</x:v>
      </x:c>
      <x:c r="J78" s="140" t="str">
        <x:f>IF(A78&lt;$B$29,"Aguardando",IF(A78=$B$29,"Contemplado","Pos-contemplacao"))</x:f>
        <x:v>Aguardando</x:v>
      </x:c>
      <x:c r="K78" s="141" t="n">
        <x:f>IF(A78&gt;=$B$27,0,(K79+E79)/(1+$B$9))</x:f>
        <x:v>219990.9472518743</x:v>
      </x:c>
      <x:c r="L78" s="141" t="n">
        <x:f>IF(A78&lt;$B$29,$B$43/(1+$B$9)^($B$29-A78),0)</x:f>
        <x:v>189581.70810043125</x:v>
      </x:c>
      <x:c r="M78" s="141" t="n">
        <x:f>L78-K78</x:f>
        <x:v>-30409.239151443064</x:v>
      </x:c>
    </x:row>
    <x:row r="79">
      <x:c r="A79" s="142" t="n">
        <x:v>25</x:v>
      </x:c>
      <x:c r="B79" s="179" t="n">
        <x:f>EDATE($B$5,A79-1)</x:f>
        <x:v>47270</x:v>
      </x:c>
      <x:c r="C79" s="141" t="n">
        <x:f>$B$6</x:f>
        <x:v>7000</x:v>
      </x:c>
      <x:c r="D79" s="180" t="n">
        <x:f>(1+$B$28)^INT((A79-1)/12)</x:f>
        <x:v>1.1236000000000002</x:v>
      </x:c>
      <x:c r="E79" s="141" t="n">
        <x:f>IF(A79&lt;=$B$27,$B$45*D79,0)</x:f>
        <x:v>1659.8063813987517</x:v>
      </x:c>
      <x:c r="F79" s="141" t="n">
        <x:f>IF(A79=$B$29,$B$44,0)</x:f>
        <x:v>0</x:v>
      </x:c>
      <x:c r="G79" s="141" t="n">
        <x:f>E79+F79</x:f>
        <x:v>1659.8063813987517</x:v>
      </x:c>
      <x:c r="H79" s="141" t="n">
        <x:f>IF(A79=$B$29,$B$42,0)</x:f>
        <x:v>0</x:v>
      </x:c>
      <x:c r="I79" s="141" t="n">
        <x:f>IF(A79=$B$29,$B$43,0)</x:f>
        <x:v>0</x:v>
      </x:c>
      <x:c r="J79" s="140" t="str">
        <x:f>IF(A79&lt;$B$29,"Aguardando",IF(A79=$B$29,"Contemplado","Pos-contemplacao"))</x:f>
        <x:v>Aguardando</x:v>
      </x:c>
      <x:c r="K79" s="141" t="n">
        <x:f>IF(A79&gt;=$B$27,0,(K80+E80)/(1+$B$9))</x:f>
        <x:v>220418.58941643138</x:v>
      </x:c>
      <x:c r="L79" s="141" t="n">
        <x:f>IF(A79&lt;$B$29,$B$43/(1+$B$9)^($B$29-A79),0)</x:f>
        <x:v>191380.6096727808</x:v>
      </x:c>
      <x:c r="M79" s="141" t="n">
        <x:f>L79-K79</x:f>
        <x:v>-29037.97974365059</x:v>
      </x:c>
    </x:row>
    <x:row r="80">
      <x:c r="A80" s="142" t="n">
        <x:v>26</x:v>
      </x:c>
      <x:c r="B80" s="179" t="n">
        <x:f>EDATE($B$5,A80-1)</x:f>
        <x:v>47300</x:v>
      </x:c>
      <x:c r="C80" s="141" t="n">
        <x:f>$B$6</x:f>
        <x:v>7000</x:v>
      </x:c>
      <x:c r="D80" s="180" t="n">
        <x:f>(1+$B$28)^INT((A80-1)/12)</x:f>
        <x:v>1.1236000000000002</x:v>
      </x:c>
      <x:c r="E80" s="141" t="n">
        <x:f>IF(A80&lt;=$B$27,$B$45*D80,0)</x:f>
        <x:v>1659.8063813987517</x:v>
      </x:c>
      <x:c r="F80" s="141" t="n">
        <x:f>IF(A80=$B$29,$B$44,0)</x:f>
        <x:v>0</x:v>
      </x:c>
      <x:c r="G80" s="141" t="n">
        <x:f>E80+F80</x:f>
        <x:v>1659.8063813987517</x:v>
      </x:c>
      <x:c r="H80" s="141" t="n">
        <x:f>IF(A80=$B$29,$B$42,0)</x:f>
        <x:v>0</x:v>
      </x:c>
      <x:c r="I80" s="141" t="n">
        <x:f>IF(A80=$B$29,$B$43,0)</x:f>
        <x:v>0</x:v>
      </x:c>
      <x:c r="J80" s="140" t="str">
        <x:f>IF(A80&lt;$B$29,"Aguardando",IF(A80=$B$29,"Contemplado","Pos-contemplacao"))</x:f>
        <x:v>Aguardando</x:v>
      </x:c>
      <x:c r="K80" s="141" t="n">
        <x:f>IF(A80&gt;=$B$27,0,(K81+E81)/(1+$B$9))</x:f>
        <x:v>220850.28938893802</x:v>
      </x:c>
      <x:c r="L80" s="141" t="n">
        <x:f>IF(A80&lt;$B$29,$B$43/(1+$B$9)^($B$29-A80),0)</x:f>
        <x:v>193196.58064966009</x:v>
      </x:c>
      <x:c r="M80" s="141" t="n">
        <x:f>L80-K80</x:f>
        <x:v>-27653.708739277936</x:v>
      </x:c>
    </x:row>
    <x:row r="81">
      <x:c r="A81" s="142" t="n">
        <x:v>27</x:v>
      </x:c>
      <x:c r="B81" s="179" t="n">
        <x:f>EDATE($B$5,A81-1)</x:f>
        <x:v>47331</x:v>
      </x:c>
      <x:c r="C81" s="141" t="n">
        <x:f>$B$6</x:f>
        <x:v>7000</x:v>
      </x:c>
      <x:c r="D81" s="180" t="n">
        <x:f>(1+$B$28)^INT((A81-1)/12)</x:f>
        <x:v>1.1236000000000002</x:v>
      </x:c>
      <x:c r="E81" s="141" t="n">
        <x:f>IF(A81&lt;=$B$27,$B$45*D81,0)</x:f>
        <x:v>1659.8063813987517</x:v>
      </x:c>
      <x:c r="F81" s="141" t="n">
        <x:f>IF(A81=$B$29,$B$44,0)</x:f>
        <x:v>0</x:v>
      </x:c>
      <x:c r="G81" s="141" t="n">
        <x:f>E81+F81</x:f>
        <x:v>1659.8063813987517</x:v>
      </x:c>
      <x:c r="H81" s="141" t="n">
        <x:f>IF(A81=$B$29,$B$42,0)</x:f>
        <x:v>0</x:v>
      </x:c>
      <x:c r="I81" s="141" t="n">
        <x:f>IF(A81=$B$29,$B$43,0)</x:f>
        <x:v>0</x:v>
      </x:c>
      <x:c r="J81" s="140" t="str">
        <x:f>IF(A81&lt;$B$29,"Aguardando",IF(A81=$B$29,"Contemplado","Pos-contemplacao"))</x:f>
        <x:v>Aguardando</x:v>
      </x:c>
      <x:c r="K81" s="141" t="n">
        <x:f>IF(A81&gt;=$B$27,0,(K82+E82)/(1+$B$9))</x:f>
        <x:v>221286.08567309365</x:v>
      </x:c>
      <x:c r="L81" s="141" t="n">
        <x:f>IF(A81&lt;$B$29,$B$43/(1+$B$9)^($B$29-A81),0)</x:f>
        <x:v>195029.7829991142</x:v>
      </x:c>
      <x:c r="M81" s="141" t="n">
        <x:f>L81-K81</x:f>
        <x:v>-26256.30267397946</x:v>
      </x:c>
    </x:row>
    <x:row r="82">
      <x:c r="A82" s="142" t="n">
        <x:v>28</x:v>
      </x:c>
      <x:c r="B82" s="179" t="n">
        <x:f>EDATE($B$5,A82-1)</x:f>
        <x:v>47362</x:v>
      </x:c>
      <x:c r="C82" s="141" t="n">
        <x:f>$B$6</x:f>
        <x:v>7000</x:v>
      </x:c>
      <x:c r="D82" s="180" t="n">
        <x:f>(1+$B$28)^INT((A82-1)/12)</x:f>
        <x:v>1.1236000000000002</x:v>
      </x:c>
      <x:c r="E82" s="141" t="n">
        <x:f>IF(A82&lt;=$B$27,$B$45*D82,0)</x:f>
        <x:v>1659.8063813987517</x:v>
      </x:c>
      <x:c r="F82" s="141" t="n">
        <x:f>IF(A82=$B$29,$B$44,0)</x:f>
        <x:v>0</x:v>
      </x:c>
      <x:c r="G82" s="141" t="n">
        <x:f>E82+F82</x:f>
        <x:v>1659.8063813987517</x:v>
      </x:c>
      <x:c r="H82" s="141" t="n">
        <x:f>IF(A82=$B$29,$B$42,0)</x:f>
        <x:v>0</x:v>
      </x:c>
      <x:c r="I82" s="141" t="n">
        <x:f>IF(A82=$B$29,$B$43,0)</x:f>
        <x:v>0</x:v>
      </x:c>
      <x:c r="J82" s="140" t="str">
        <x:f>IF(A82&lt;$B$29,"Aguardando",IF(A82=$B$29,"Contemplado","Pos-contemplacao"))</x:f>
        <x:v>Aguardando</x:v>
      </x:c>
      <x:c r="K82" s="141" t="n">
        <x:f>IF(A82&gt;=$B$27,0,(K83+E83)/(1+$B$9))</x:f>
        <x:v>221726.01713795128</x:v>
      </x:c>
      <x:c r="L82" s="141" t="n">
        <x:f>IF(A82&lt;$B$29,$B$43/(1+$B$9)^($B$29-A82),0)</x:f>
        <x:v>196880.38022606942</x:v>
      </x:c>
      <x:c r="M82" s="141" t="n">
        <x:f>L82-K82</x:f>
        <x:v>-24845.636911881855</x:v>
      </x:c>
    </x:row>
    <x:row r="83">
      <x:c r="A83" s="142" t="n">
        <x:v>29</x:v>
      </x:c>
      <x:c r="B83" s="179" t="n">
        <x:f>EDATE($B$5,A83-1)</x:f>
        <x:v>47392</x:v>
      </x:c>
      <x:c r="C83" s="141" t="n">
        <x:f>$B$6</x:f>
        <x:v>7000</x:v>
      </x:c>
      <x:c r="D83" s="180" t="n">
        <x:f>(1+$B$28)^INT((A83-1)/12)</x:f>
        <x:v>1.1236000000000002</x:v>
      </x:c>
      <x:c r="E83" s="141" t="n">
        <x:f>IF(A83&lt;=$B$27,$B$45*D83,0)</x:f>
        <x:v>1659.8063813987517</x:v>
      </x:c>
      <x:c r="F83" s="141" t="n">
        <x:f>IF(A83=$B$29,$B$44,0)</x:f>
        <x:v>0</x:v>
      </x:c>
      <x:c r="G83" s="141" t="n">
        <x:f>E83+F83</x:f>
        <x:v>1659.8063813987517</x:v>
      </x:c>
      <x:c r="H83" s="141" t="n">
        <x:f>IF(A83=$B$29,$B$42,0)</x:f>
        <x:v>0</x:v>
      </x:c>
      <x:c r="I83" s="141" t="n">
        <x:f>IF(A83=$B$29,$B$43,0)</x:f>
        <x:v>0</x:v>
      </x:c>
      <x:c r="J83" s="140" t="str">
        <x:f>IF(A83&lt;$B$29,"Aguardando",IF(A83=$B$29,"Contemplado","Pos-contemplacao"))</x:f>
        <x:v>Aguardando</x:v>
      </x:c>
      <x:c r="K83" s="141" t="n">
        <x:f>IF(A83&gt;=$B$27,0,(K84+E84)/(1+$B$9))</x:f>
        <x:v>222170.12302138435</x:v>
      </x:c>
      <x:c r="L83" s="141" t="n">
        <x:f>IF(A83&lt;$B$29,$B$43/(1+$B$9)^($B$29-A83),0)</x:f>
        <x:v>198748.5373869166</x:v>
      </x:c>
      <x:c r="M83" s="141" t="n">
        <x:f>L83-K83</x:f>
        <x:v>-23421.585634467745</x:v>
      </x:c>
    </x:row>
    <x:row r="84">
      <x:c r="A84" s="142" t="n">
        <x:v>30</x:v>
      </x:c>
      <x:c r="B84" s="179" t="n">
        <x:f>EDATE($B$5,A84-1)</x:f>
        <x:v>47423</x:v>
      </x:c>
      <x:c r="C84" s="141" t="n">
        <x:f>$B$6</x:f>
        <x:v>7000</x:v>
      </x:c>
      <x:c r="D84" s="180" t="n">
        <x:f>(1+$B$28)^INT((A84-1)/12)</x:f>
        <x:v>1.1236000000000002</x:v>
      </x:c>
      <x:c r="E84" s="141" t="n">
        <x:f>IF(A84&lt;=$B$27,$B$45*D84,0)</x:f>
        <x:v>1659.8063813987517</x:v>
      </x:c>
      <x:c r="F84" s="141" t="n">
        <x:f>IF(A84=$B$29,$B$44,0)</x:f>
        <x:v>0</x:v>
      </x:c>
      <x:c r="G84" s="141" t="n">
        <x:f>E84+F84</x:f>
        <x:v>1659.8063813987517</x:v>
      </x:c>
      <x:c r="H84" s="141" t="n">
        <x:f>IF(A84=$B$29,$B$42,0)</x:f>
        <x:v>0</x:v>
      </x:c>
      <x:c r="I84" s="141" t="n">
        <x:f>IF(A84=$B$29,$B$43,0)</x:f>
        <x:v>0</x:v>
      </x:c>
      <x:c r="J84" s="140" t="str">
        <x:f>IF(A84&lt;$B$29,"Aguardando",IF(A84=$B$29,"Contemplado","Pos-contemplacao"))</x:f>
        <x:v>Aguardando</x:v>
      </x:c>
      <x:c r="K84" s="141" t="n">
        <x:f>IF(A84&gt;=$B$27,0,(K85+E85)/(1+$B$9))</x:f>
        <x:v>222618.44293358637</x:v>
      </x:c>
      <x:c r="L84" s="141" t="n">
        <x:f>IF(A84&lt;$B$29,$B$43/(1+$B$9)^($B$29-A84),0)</x:f>
        <x:v>200634.4211042323</x:v>
      </x:c>
      <x:c r="M84" s="141" t="n">
        <x:f>L84-K84</x:f>
        <x:v>-21984.021829354082</x:v>
      </x:c>
    </x:row>
    <x:row r="85">
      <x:c r="A85" s="142" t="n">
        <x:v>31</x:v>
      </x:c>
      <x:c r="B85" s="179" t="n">
        <x:f>EDATE($B$5,A85-1)</x:f>
        <x:v>47453</x:v>
      </x:c>
      <x:c r="C85" s="141" t="n">
        <x:f>$B$6</x:f>
        <x:v>7000</x:v>
      </x:c>
      <x:c r="D85" s="180" t="n">
        <x:f>(1+$B$28)^INT((A85-1)/12)</x:f>
        <x:v>1.1236000000000002</x:v>
      </x:c>
      <x:c r="E85" s="141" t="n">
        <x:f>IF(A85&lt;=$B$27,$B$45*D85,0)</x:f>
        <x:v>1659.8063813987517</x:v>
      </x:c>
      <x:c r="F85" s="141" t="n">
        <x:f>IF(A85=$B$29,$B$44,0)</x:f>
        <x:v>0</x:v>
      </x:c>
      <x:c r="G85" s="141" t="n">
        <x:f>E85+F85</x:f>
        <x:v>1659.8063813987517</x:v>
      </x:c>
      <x:c r="H85" s="141" t="n">
        <x:f>IF(A85=$B$29,$B$42,0)</x:f>
        <x:v>0</x:v>
      </x:c>
      <x:c r="I85" s="141" t="n">
        <x:f>IF(A85=$B$29,$B$43,0)</x:f>
        <x:v>0</x:v>
      </x:c>
      <x:c r="J85" s="140" t="str">
        <x:f>IF(A85&lt;$B$29,"Aguardando",IF(A85=$B$29,"Contemplado","Pos-contemplacao"))</x:f>
        <x:v>Aguardando</x:v>
      </x:c>
      <x:c r="K85" s="141" t="n">
        <x:f>IF(A85&gt;=$B$27,0,(K86+E86)/(1+$B$9))</x:f>
        <x:v>223071.0168606037</x:v>
      </x:c>
      <x:c r="L85" s="141" t="n">
        <x:f>IF(A85&lt;$B$29,$B$43/(1+$B$9)^($B$29-A85),0)</x:f>
        <x:v>202538.19958164028</x:v>
      </x:c>
      <x:c r="M85" s="141" t="n">
        <x:f>L85-K85</x:f>
        <x:v>-20532.817278963426</x:v>
      </x:c>
    </x:row>
    <x:row r="86">
      <x:c r="A86" s="142" t="n">
        <x:v>32</x:v>
      </x:c>
      <x:c r="B86" s="179" t="n">
        <x:f>EDATE($B$5,A86-1)</x:f>
        <x:v>47484</x:v>
      </x:c>
      <x:c r="C86" s="141" t="n">
        <x:f>$B$6</x:f>
        <x:v>7000</x:v>
      </x:c>
      <x:c r="D86" s="180" t="n">
        <x:f>(1+$B$28)^INT((A86-1)/12)</x:f>
        <x:v>1.1236000000000002</x:v>
      </x:c>
      <x:c r="E86" s="141" t="n">
        <x:f>IF(A86&lt;=$B$27,$B$45*D86,0)</x:f>
        <x:v>1659.8063813987517</x:v>
      </x:c>
      <x:c r="F86" s="141" t="n">
        <x:f>IF(A86=$B$29,$B$44,0)</x:f>
        <x:v>0</x:v>
      </x:c>
      <x:c r="G86" s="141" t="n">
        <x:f>E86+F86</x:f>
        <x:v>1659.8063813987517</x:v>
      </x:c>
      <x:c r="H86" s="141" t="n">
        <x:f>IF(A86=$B$29,$B$42,0)</x:f>
        <x:v>0</x:v>
      </x:c>
      <x:c r="I86" s="141" t="n">
        <x:f>IF(A86=$B$29,$B$43,0)</x:f>
        <x:v>0</x:v>
      </x:c>
      <x:c r="J86" s="140" t="str">
        <x:f>IF(A86&lt;$B$29,"Aguardando",IF(A86=$B$29,"Contemplado","Pos-contemplacao"))</x:f>
        <x:v>Aguardando</x:v>
      </x:c>
      <x:c r="K86" s="141" t="n">
        <x:f>IF(A86&gt;=$B$27,0,(K87+E87)/(1+$B$9))</x:f>
        <x:v>223527.8851679021</x:v>
      </x:c>
      <x:c r="L86" s="141" t="n">
        <x:f>IF(A86&lt;$B$29,$B$43/(1+$B$9)^($B$29-A86),0)</x:f>
        <x:v>204460.04261881372</x:v>
      </x:c>
      <x:c r="M86" s="141" t="n">
        <x:f>L86-K86</x:f>
        <x:v>-19067.842549088382</x:v>
      </x:c>
    </x:row>
    <x:row r="87">
      <x:c r="A87" s="142" t="n">
        <x:v>33</x:v>
      </x:c>
      <x:c r="B87" s="179" t="n">
        <x:f>EDATE($B$5,A87-1)</x:f>
        <x:v>47515</x:v>
      </x:c>
      <x:c r="C87" s="141" t="n">
        <x:f>$B$6</x:f>
        <x:v>7000</x:v>
      </x:c>
      <x:c r="D87" s="180" t="n">
        <x:f>(1+$B$28)^INT((A87-1)/12)</x:f>
        <x:v>1.1236000000000002</x:v>
      </x:c>
      <x:c r="E87" s="141" t="n">
        <x:f>IF(A87&lt;=$B$27,$B$45*D87,0)</x:f>
        <x:v>1659.8063813987517</x:v>
      </x:c>
      <x:c r="F87" s="141" t="n">
        <x:f>IF(A87=$B$29,$B$44,0)</x:f>
        <x:v>0</x:v>
      </x:c>
      <x:c r="G87" s="141" t="n">
        <x:f>E87+F87</x:f>
        <x:v>1659.8063813987517</x:v>
      </x:c>
      <x:c r="H87" s="141" t="n">
        <x:f>IF(A87=$B$29,$B$42,0)</x:f>
        <x:v>0</x:v>
      </x:c>
      <x:c r="I87" s="141" t="n">
        <x:f>IF(A87=$B$29,$B$43,0)</x:f>
        <x:v>0</x:v>
      </x:c>
      <x:c r="J87" s="140" t="str">
        <x:f>IF(A87&lt;$B$29,"Aguardando",IF(A87=$B$29,"Contemplado","Pos-contemplacao"))</x:f>
        <x:v>Aguardando</x:v>
      </x:c>
      <x:c r="K87" s="141" t="n">
        <x:f>IF(A87&gt;=$B$27,0,(K88+E88)/(1+$B$9))</x:f>
        <x:v>223989.08860396684</x:v>
      </x:c>
      <x:c r="L87" s="141" t="n">
        <x:f>IF(A87&lt;$B$29,$B$43/(1+$B$9)^($B$29-A87),0)</x:f>
        <x:v>206400.12162661966</x:v>
      </x:c>
      <x:c r="M87" s="141" t="n">
        <x:f>L87-K87</x:f>
        <x:v>-17588.966977347183</x:v>
      </x:c>
    </x:row>
    <x:row r="88">
      <x:c r="A88" s="142" t="n">
        <x:v>34</x:v>
      </x:c>
      <x:c r="B88" s="179" t="n">
        <x:f>EDATE($B$5,A88-1)</x:f>
        <x:v>47543</x:v>
      </x:c>
      <x:c r="C88" s="141" t="n">
        <x:f>$B$6</x:f>
        <x:v>7000</x:v>
      </x:c>
      <x:c r="D88" s="180" t="n">
        <x:f>(1+$B$28)^INT((A88-1)/12)</x:f>
        <x:v>1.1236000000000002</x:v>
      </x:c>
      <x:c r="E88" s="141" t="n">
        <x:f>IF(A88&lt;=$B$27,$B$45*D88,0)</x:f>
        <x:v>1659.8063813987517</x:v>
      </x:c>
      <x:c r="F88" s="141" t="n">
        <x:f>IF(A88=$B$29,$B$44,0)</x:f>
        <x:v>0</x:v>
      </x:c>
      <x:c r="G88" s="141" t="n">
        <x:f>E88+F88</x:f>
        <x:v>1659.8063813987517</x:v>
      </x:c>
      <x:c r="H88" s="141" t="n">
        <x:f>IF(A88=$B$29,$B$42,0)</x:f>
        <x:v>0</x:v>
      </x:c>
      <x:c r="I88" s="141" t="n">
        <x:f>IF(A88=$B$29,$B$43,0)</x:f>
        <x:v>0</x:v>
      </x:c>
      <x:c r="J88" s="140" t="str">
        <x:f>IF(A88&lt;$B$29,"Aguardando",IF(A88=$B$29,"Contemplado","Pos-contemplacao"))</x:f>
        <x:v>Aguardando</x:v>
      </x:c>
      <x:c r="K88" s="141" t="n">
        <x:f>IF(A88&gt;=$B$27,0,(K89+E89)/(1+$B$9))</x:f>
        <x:v>224454.6683039371</x:v>
      </x:c>
      <x:c r="L88" s="141" t="n">
        <x:f>IF(A88&lt;$B$29,$B$43/(1+$B$9)^($B$29-A88),0)</x:f>
        <x:v>208358.60964240742</x:v>
      </x:c>
      <x:c r="M88" s="141" t="n">
        <x:f>L88-K88</x:f>
        <x:v>-16096.058661529678</x:v>
      </x:c>
    </x:row>
    <x:row r="89">
      <x:c r="A89" s="142" t="n">
        <x:v>35</x:v>
      </x:c>
      <x:c r="B89" s="179" t="n">
        <x:f>EDATE($B$5,A89-1)</x:f>
        <x:v>47574</x:v>
      </x:c>
      <x:c r="C89" s="141" t="n">
        <x:f>$B$6</x:f>
        <x:v>7000</x:v>
      </x:c>
      <x:c r="D89" s="180" t="n">
        <x:f>(1+$B$28)^INT((A89-1)/12)</x:f>
        <x:v>1.1236000000000002</x:v>
      </x:c>
      <x:c r="E89" s="141" t="n">
        <x:f>IF(A89&lt;=$B$27,$B$45*D89,0)</x:f>
        <x:v>1659.8063813987517</x:v>
      </x:c>
      <x:c r="F89" s="141" t="n">
        <x:f>IF(A89=$B$29,$B$44,0)</x:f>
        <x:v>0</x:v>
      </x:c>
      <x:c r="G89" s="141" t="n">
        <x:f>E89+F89</x:f>
        <x:v>1659.8063813987517</x:v>
      </x:c>
      <x:c r="H89" s="141" t="n">
        <x:f>IF(A89=$B$29,$B$42,0)</x:f>
        <x:v>0</x:v>
      </x:c>
      <x:c r="I89" s="141" t="n">
        <x:f>IF(A89=$B$29,$B$43,0)</x:f>
        <x:v>0</x:v>
      </x:c>
      <x:c r="J89" s="140" t="str">
        <x:f>IF(A89&lt;$B$29,"Aguardando",IF(A89=$B$29,"Contemplado","Pos-contemplacao"))</x:f>
        <x:v>Aguardando</x:v>
      </x:c>
      <x:c r="K89" s="141" t="n">
        <x:f>IF(A89&gt;=$B$27,0,(K90+E90)/(1+$B$9))</x:f>
        <x:v>224924.66579327494</x:v>
      </x:c>
      <x:c r="L89" s="141" t="n">
        <x:f>IF(A89&lt;$B$29,$B$43/(1+$B$9)^($B$29-A89),0)</x:f>
        <x:v>210335.68134544184</x:v>
      </x:c>
      <x:c r="M89" s="141" t="n">
        <x:f>L89-K89</x:f>
        <x:v>-14588.984447833092</x:v>
      </x:c>
    </x:row>
    <x:row r="90">
      <x:c r="A90" s="142" t="n">
        <x:v>36</x:v>
      </x:c>
      <x:c r="B90" s="179" t="n">
        <x:f>EDATE($B$5,A90-1)</x:f>
        <x:v>47604</x:v>
      </x:c>
      <x:c r="C90" s="141" t="n">
        <x:f>$B$6</x:f>
        <x:v>7000</x:v>
      </x:c>
      <x:c r="D90" s="180" t="n">
        <x:f>(1+$B$28)^INT((A90-1)/12)</x:f>
        <x:v>1.1236000000000002</x:v>
      </x:c>
      <x:c r="E90" s="141" t="n">
        <x:f>IF(A90&lt;=$B$27,$B$45*D90,0)</x:f>
        <x:v>1659.8063813987517</x:v>
      </x:c>
      <x:c r="F90" s="141" t="n">
        <x:f>IF(A90=$B$29,$B$44,0)</x:f>
        <x:v>0</x:v>
      </x:c>
      <x:c r="G90" s="141" t="n">
        <x:f>E90+F90</x:f>
        <x:v>1659.8063813987517</x:v>
      </x:c>
      <x:c r="H90" s="141" t="n">
        <x:f>IF(A90=$B$29,$B$42,0)</x:f>
        <x:v>0</x:v>
      </x:c>
      <x:c r="I90" s="141" t="n">
        <x:f>IF(A90=$B$29,$B$43,0)</x:f>
        <x:v>0</x:v>
      </x:c>
      <x:c r="J90" s="140" t="str">
        <x:f>IF(A90&lt;$B$29,"Aguardando",IF(A90=$B$29,"Contemplado","Pos-contemplacao"))</x:f>
        <x:v>Aguardando</x:v>
      </x:c>
      <x:c r="K90" s="141" t="n">
        <x:f>IF(A90&gt;=$B$27,0,(K91+E91)/(1+$B$9))</x:f>
        <x:v>225399.12299146887</x:v>
      </x:c>
      <x:c r="L90" s="141" t="n">
        <x:f>IF(A90&lt;$B$29,$B$43/(1+$B$9)^($B$29-A90),0)</x:f>
        <x:v>212331.51307248318</x:v>
      </x:c>
      <x:c r="M90" s="141" t="n">
        <x:f>L90-K90</x:f>
        <x:v>-13067.60991898569</x:v>
      </x:c>
    </x:row>
    <x:row r="91">
      <x:c r="A91" s="142" t="n">
        <x:v>37</x:v>
      </x:c>
      <x:c r="B91" s="179" t="n">
        <x:f>EDATE($B$5,A91-1)</x:f>
        <x:v>47635</x:v>
      </x:c>
      <x:c r="C91" s="141" t="n">
        <x:f>$B$6</x:f>
        <x:v>7000</x:v>
      </x:c>
      <x:c r="D91" s="180" t="n">
        <x:f>(1+$B$28)^INT((A91-1)/12)</x:f>
        <x:v>1.191016</x:v>
      </x:c>
      <x:c r="E91" s="141" t="n">
        <x:f>IF(A91&lt;=$B$27,$B$45*D91,0)</x:f>
        <x:v>1759.3947642826768</x:v>
      </x:c>
      <x:c r="F91" s="141" t="n">
        <x:f>IF(A91=$B$29,$B$44,0)</x:f>
        <x:v>0</x:v>
      </x:c>
      <x:c r="G91" s="141" t="n">
        <x:f>E91+F91</x:f>
        <x:v>1759.3947642826768</x:v>
      </x:c>
      <x:c r="H91" s="141" t="n">
        <x:f>IF(A91=$B$29,$B$42,0)</x:f>
        <x:v>0</x:v>
      </x:c>
      <x:c r="I91" s="141" t="n">
        <x:f>IF(A91=$B$29,$B$43,0)</x:f>
        <x:v>0</x:v>
      </x:c>
      <x:c r="J91" s="140" t="str">
        <x:f>IF(A91&lt;$B$29,"Aguardando",IF(A91=$B$29,"Contemplado","Pos-contemplacao"))</x:f>
        <x:v>Aguardando</x:v>
      </x:c>
      <x:c r="K91" s="141" t="n">
        <x:f>IF(A91&gt;=$B$27,0,(K92+E92)/(1+$B$9))</x:f>
        <x:v>225778.49383288887</x:v>
      </x:c>
      <x:c r="L91" s="141" t="n">
        <x:f>IF(A91&lt;$B$29,$B$43/(1+$B$9)^($B$29-A91),0)</x:f>
        <x:v>214346.28283351468</x:v>
      </x:c>
      <x:c r="M91" s="141" t="n">
        <x:f>L91-K91</x:f>
        <x:v>-11432.21099937419</x:v>
      </x:c>
    </x:row>
    <x:row r="92">
      <x:c r="A92" s="142" t="n">
        <x:v>38</x:v>
      </x:c>
      <x:c r="B92" s="179" t="n">
        <x:f>EDATE($B$5,A92-1)</x:f>
        <x:v>47665</x:v>
      </x:c>
      <x:c r="C92" s="141" t="n">
        <x:f>$B$6</x:f>
        <x:v>7000</x:v>
      </x:c>
      <x:c r="D92" s="180" t="n">
        <x:f>(1+$B$28)^INT((A92-1)/12)</x:f>
        <x:v>1.191016</x:v>
      </x:c>
      <x:c r="E92" s="141" t="n">
        <x:f>IF(A92&lt;=$B$27,$B$45*D92,0)</x:f>
        <x:v>1759.3947642826768</x:v>
      </x:c>
      <x:c r="F92" s="141" t="n">
        <x:f>IF(A92=$B$29,$B$44,0)</x:f>
        <x:v>0</x:v>
      </x:c>
      <x:c r="G92" s="141" t="n">
        <x:f>E92+F92</x:f>
        <x:v>1759.3947642826768</x:v>
      </x:c>
      <x:c r="H92" s="141" t="n">
        <x:f>IF(A92=$B$29,$B$42,0)</x:f>
        <x:v>0</x:v>
      </x:c>
      <x:c r="I92" s="141" t="n">
        <x:f>IF(A92=$B$29,$B$43,0)</x:f>
        <x:v>0</x:v>
      </x:c>
      <x:c r="J92" s="140" t="str">
        <x:f>IF(A92&lt;$B$29,"Aguardando",IF(A92=$B$29,"Contemplado","Pos-contemplacao"))</x:f>
        <x:v>Aguardando</x:v>
      </x:c>
      <x:c r="K92" s="141" t="n">
        <x:f>IF(A92&gt;=$B$27,0,(K93+E93)/(1+$B$9))</x:f>
        <x:v>226161.4644456685</x:v>
      </x:c>
      <x:c r="L92" s="141" t="n">
        <x:f>IF(A92&lt;$B$29,$B$43/(1+$B$9)^($B$29-A92),0)</x:f>
        <x:v>216380.17032761947</x:v>
      </x:c>
      <x:c r="M92" s="141" t="n">
        <x:f>L92-K92</x:f>
        <x:v>-9781.29411804903</x:v>
      </x:c>
    </x:row>
    <x:row r="93">
      <x:c r="A93" s="142" t="n">
        <x:v>39</x:v>
      </x:c>
      <x:c r="B93" s="179" t="n">
        <x:f>EDATE($B$5,A93-1)</x:f>
        <x:v>47696</x:v>
      </x:c>
      <x:c r="C93" s="141" t="n">
        <x:f>$B$6</x:f>
        <x:v>7000</x:v>
      </x:c>
      <x:c r="D93" s="180" t="n">
        <x:f>(1+$B$28)^INT((A93-1)/12)</x:f>
        <x:v>1.191016</x:v>
      </x:c>
      <x:c r="E93" s="141" t="n">
        <x:f>IF(A93&lt;=$B$27,$B$45*D93,0)</x:f>
        <x:v>1759.3947642826768</x:v>
      </x:c>
      <x:c r="F93" s="141" t="n">
        <x:f>IF(A93=$B$29,$B$44,0)</x:f>
        <x:v>0</x:v>
      </x:c>
      <x:c r="G93" s="141" t="n">
        <x:f>E93+F93</x:f>
        <x:v>1759.3947642826768</x:v>
      </x:c>
      <x:c r="H93" s="141" t="n">
        <x:f>IF(A93=$B$29,$B$42,0)</x:f>
        <x:v>0</x:v>
      </x:c>
      <x:c r="I93" s="141" t="n">
        <x:f>IF(A93=$B$29,$B$43,0)</x:f>
        <x:v>0</x:v>
      </x:c>
      <x:c r="J93" s="140" t="str">
        <x:f>IF(A93&lt;$B$29,"Aguardando",IF(A93=$B$29,"Contemplado","Pos-contemplacao"))</x:f>
        <x:v>Aguardando</x:v>
      </x:c>
      <x:c r="K93" s="141" t="n">
        <x:f>IF(A93&gt;=$B$27,0,(K94+E94)/(1+$B$9))</x:f>
        <x:v>226548.06898729285</x:v>
      </x:c>
      <x:c r="L93" s="141" t="n">
        <x:f>IF(A93&lt;$B$29,$B$43/(1+$B$9)^($B$29-A93),0)</x:f>
        <x:v>218433.35695900806</x:v>
      </x:c>
      <x:c r="M93" s="141" t="n">
        <x:f>L93-K93</x:f>
        <x:v>-8114.71202828479</x:v>
      </x:c>
    </x:row>
    <x:row r="94">
      <x:c r="A94" s="142" t="n">
        <x:v>40</x:v>
      </x:c>
      <x:c r="B94" s="179" t="n">
        <x:f>EDATE($B$5,A94-1)</x:f>
        <x:v>47727</x:v>
      </x:c>
      <x:c r="C94" s="141" t="n">
        <x:f>$B$6</x:f>
        <x:v>7000</x:v>
      </x:c>
      <x:c r="D94" s="180" t="n">
        <x:f>(1+$B$28)^INT((A94-1)/12)</x:f>
        <x:v>1.191016</x:v>
      </x:c>
      <x:c r="E94" s="141" t="n">
        <x:f>IF(A94&lt;=$B$27,$B$45*D94,0)</x:f>
        <x:v>1759.3947642826768</x:v>
      </x:c>
      <x:c r="F94" s="141" t="n">
        <x:f>IF(A94=$B$29,$B$44,0)</x:f>
        <x:v>0</x:v>
      </x:c>
      <x:c r="G94" s="141" t="n">
        <x:f>E94+F94</x:f>
        <x:v>1759.3947642826768</x:v>
      </x:c>
      <x:c r="H94" s="141" t="n">
        <x:f>IF(A94=$B$29,$B$42,0)</x:f>
        <x:v>0</x:v>
      </x:c>
      <x:c r="I94" s="141" t="n">
        <x:f>IF(A94=$B$29,$B$43,0)</x:f>
        <x:v>0</x:v>
      </x:c>
      <x:c r="J94" s="140" t="str">
        <x:f>IF(A94&lt;$B$29,"Aguardando",IF(A94=$B$29,"Contemplado","Pos-contemplacao"))</x:f>
        <x:v>Aguardando</x:v>
      </x:c>
      <x:c r="K94" s="141" t="n">
        <x:f>IF(A94&gt;=$B$27,0,(K95+E95)/(1+$B$9))</x:f>
        <x:v>226938.34193936022</x:v>
      </x:c>
      <x:c r="L94" s="141" t="n">
        <x:f>IF(A94&lt;$B$29,$B$43/(1+$B$9)^($B$29-A94),0)</x:f>
        <x:v>220506.02585319796</x:v>
      </x:c>
      <x:c r="M94" s="141" t="n">
        <x:f>L94-K94</x:f>
        <x:v>-6432.31608616226</x:v>
      </x:c>
    </x:row>
    <x:row r="95">
      <x:c r="A95" s="142" t="n">
        <x:v>41</x:v>
      </x:c>
      <x:c r="B95" s="179" t="n">
        <x:f>EDATE($B$5,A95-1)</x:f>
        <x:v>47757</x:v>
      </x:c>
      <x:c r="C95" s="141" t="n">
        <x:f>$B$6</x:f>
        <x:v>7000</x:v>
      </x:c>
      <x:c r="D95" s="180" t="n">
        <x:f>(1+$B$28)^INT((A95-1)/12)</x:f>
        <x:v>1.191016</x:v>
      </x:c>
      <x:c r="E95" s="141" t="n">
        <x:f>IF(A95&lt;=$B$27,$B$45*D95,0)</x:f>
        <x:v>1759.3947642826768</x:v>
      </x:c>
      <x:c r="F95" s="141" t="n">
        <x:f>IF(A95=$B$29,$B$44,0)</x:f>
        <x:v>0</x:v>
      </x:c>
      <x:c r="G95" s="141" t="n">
        <x:f>E95+F95</x:f>
        <x:v>1759.3947642826768</x:v>
      </x:c>
      <x:c r="H95" s="141" t="n">
        <x:f>IF(A95=$B$29,$B$42,0)</x:f>
        <x:v>0</x:v>
      </x:c>
      <x:c r="I95" s="141" t="n">
        <x:f>IF(A95=$B$29,$B$43,0)</x:f>
        <x:v>0</x:v>
      </x:c>
      <x:c r="J95" s="140" t="str">
        <x:f>IF(A95&lt;$B$29,"Aguardando",IF(A95=$B$29,"Contemplado","Pos-contemplacao"))</x:f>
        <x:v>Aguardando</x:v>
      </x:c>
      <x:c r="K95" s="141" t="n">
        <x:f>IF(A95&gt;=$B$27,0,(K96+E96)/(1+$B$9))</x:f>
        <x:v>227332.31811065774</x:v>
      </x:c>
      <x:c r="L95" s="141" t="n">
        <x:f>IF(A95&lt;$B$29,$B$43/(1+$B$9)^($B$29-A95),0)</x:f>
        <x:v>222598.36187334676</x:v>
      </x:c>
      <x:c r="M95" s="141" t="n">
        <x:f>L95-K95</x:f>
        <x:v>-4733.95623731098</x:v>
      </x:c>
    </x:row>
    <x:row r="96">
      <x:c r="A96" s="142" t="n">
        <x:v>42</x:v>
      </x:c>
      <x:c r="B96" s="179" t="n">
        <x:f>EDATE($B$5,A96-1)</x:f>
        <x:v>47788</x:v>
      </x:c>
      <x:c r="C96" s="141" t="n">
        <x:f>$B$6</x:f>
        <x:v>7000</x:v>
      </x:c>
      <x:c r="D96" s="180" t="n">
        <x:f>(1+$B$28)^INT((A96-1)/12)</x:f>
        <x:v>1.191016</x:v>
      </x:c>
      <x:c r="E96" s="141" t="n">
        <x:f>IF(A96&lt;=$B$27,$B$45*D96,0)</x:f>
        <x:v>1759.3947642826768</x:v>
      </x:c>
      <x:c r="F96" s="141" t="n">
        <x:f>IF(A96=$B$29,$B$44,0)</x:f>
        <x:v>0</x:v>
      </x:c>
      <x:c r="G96" s="141" t="n">
        <x:f>E96+F96</x:f>
        <x:v>1759.3947642826768</x:v>
      </x:c>
      <x:c r="H96" s="141" t="n">
        <x:f>IF(A96=$B$29,$B$42,0)</x:f>
        <x:v>0</x:v>
      </x:c>
      <x:c r="I96" s="141" t="n">
        <x:f>IF(A96=$B$29,$B$43,0)</x:f>
        <x:v>0</x:v>
      </x:c>
      <x:c r="J96" s="140" t="str">
        <x:f>IF(A96&lt;$B$29,"Aguardando",IF(A96=$B$29,"Contemplado","Pos-contemplacao"))</x:f>
        <x:v>Aguardando</x:v>
      </x:c>
      <x:c r="K96" s="141" t="n">
        <x:f>IF(A96&gt;=$B$27,0,(K97+E97)/(1+$B$9))</x:f>
        <x:v>227730.03264026585</x:v>
      </x:c>
      <x:c r="L96" s="141" t="n">
        <x:f>IF(A96&lt;$B$29,$B$43/(1+$B$9)^($B$29-A96),0)</x:f>
        <x:v>224710.55163674033</x:v>
      </x:c>
      <x:c r="M96" s="141" t="n">
        <x:f>L96-K96</x:f>
        <x:v>-3019.4810035255214</x:v>
      </x:c>
    </x:row>
    <x:row r="97">
      <x:c r="A97" s="142" t="n">
        <x:v>43</x:v>
      </x:c>
      <x:c r="B97" s="179" t="n">
        <x:f>EDATE($B$5,A97-1)</x:f>
        <x:v>47818</x:v>
      </x:c>
      <x:c r="C97" s="141" t="n">
        <x:f>$B$6</x:f>
        <x:v>7000</x:v>
      </x:c>
      <x:c r="D97" s="180" t="n">
        <x:f>(1+$B$28)^INT((A97-1)/12)</x:f>
        <x:v>1.191016</x:v>
      </x:c>
      <x:c r="E97" s="141" t="n">
        <x:f>IF(A97&lt;=$B$27,$B$45*D97,0)</x:f>
        <x:v>1759.3947642826768</x:v>
      </x:c>
      <x:c r="F97" s="141" t="n">
        <x:f>IF(A97=$B$29,$B$44,0)</x:f>
        <x:v>0</x:v>
      </x:c>
      <x:c r="G97" s="141" t="n">
        <x:f>E97+F97</x:f>
        <x:v>1759.3947642826768</x:v>
      </x:c>
      <x:c r="H97" s="141" t="n">
        <x:f>IF(A97=$B$29,$B$42,0)</x:f>
        <x:v>0</x:v>
      </x:c>
      <x:c r="I97" s="141" t="n">
        <x:f>IF(A97=$B$29,$B$43,0)</x:f>
        <x:v>0</x:v>
      </x:c>
      <x:c r="J97" s="140" t="str">
        <x:f>IF(A97&lt;$B$29,"Aguardando",IF(A97=$B$29,"Contemplado","Pos-contemplacao"))</x:f>
        <x:v>Aguardando</x:v>
      </x:c>
      <x:c r="K97" s="141" t="n">
        <x:f>IF(A97&gt;=$B$27,0,(K98+E98)/(1+$B$9))</x:f>
        <x:v>228131.5210006925</x:v>
      </x:c>
      <x:c r="L97" s="141" t="n">
        <x:f>IF(A97&lt;$B$29,$B$43/(1+$B$9)^($B$29-A97),0)</x:f>
        <x:v>226842.7835314373</x:v>
      </x:c>
      <x:c r="M97" s="141" t="n">
        <x:f>L97-K97</x:f>
        <x:v>-1288.7374692551966</x:v>
      </x:c>
    </x:row>
    <x:row r="98">
      <x:c r="A98" s="142" t="n">
        <x:v>44</x:v>
      </x:c>
      <x:c r="B98" s="179" t="n">
        <x:f>EDATE($B$5,A98-1)</x:f>
        <x:v>47849</x:v>
      </x:c>
      <x:c r="C98" s="141" t="n">
        <x:f>$B$6</x:f>
        <x:v>7000</x:v>
      </x:c>
      <x:c r="D98" s="180" t="n">
        <x:f>(1+$B$28)^INT((A98-1)/12)</x:f>
        <x:v>1.191016</x:v>
      </x:c>
      <x:c r="E98" s="141" t="n">
        <x:f>IF(A98&lt;=$B$27,$B$45*D98,0)</x:f>
        <x:v>1759.3947642826768</x:v>
      </x:c>
      <x:c r="F98" s="141" t="n">
        <x:f>IF(A98=$B$29,$B$44,0)</x:f>
        <x:v>0</x:v>
      </x:c>
      <x:c r="G98" s="141" t="n">
        <x:f>E98+F98</x:f>
        <x:v>1759.3947642826768</x:v>
      </x:c>
      <x:c r="H98" s="141" t="n">
        <x:f>IF(A98=$B$29,$B$42,0)</x:f>
        <x:v>0</x:v>
      </x:c>
      <x:c r="I98" s="141" t="n">
        <x:f>IF(A98=$B$29,$B$43,0)</x:f>
        <x:v>0</x:v>
      </x:c>
      <x:c r="J98" s="140" t="str">
        <x:f>IF(A98&lt;$B$29,"Aguardando",IF(A98=$B$29,"Contemplado","Pos-contemplacao"))</x:f>
        <x:v>Aguardando</x:v>
      </x:c>
      <x:c r="K98" s="141" t="n">
        <x:f>IF(A98&gt;=$B$27,0,(K99+E99)/(1+$B$9))</x:f>
        <x:v>228536.81900103687</x:v>
      </x:c>
      <x:c r="L98" s="141" t="n">
        <x:f>IF(A98&lt;$B$29,$B$43/(1+$B$9)^($B$29-A98),0)</x:f>
        <x:v>228995.24773307156</x:v>
      </x:c>
      <x:c r="M98" s="141" t="n">
        <x:f>L98-K98</x:f>
        <x:v>458.4287320346921</x:v>
      </x:c>
    </x:row>
    <x:row r="99">
      <x:c r="A99" s="142" t="n">
        <x:v>45</x:v>
      </x:c>
      <x:c r="B99" s="179" t="n">
        <x:f>EDATE($B$5,A99-1)</x:f>
        <x:v>47880</x:v>
      </x:c>
      <x:c r="C99" s="141" t="n">
        <x:f>$B$6</x:f>
        <x:v>7000</x:v>
      </x:c>
      <x:c r="D99" s="180" t="n">
        <x:f>(1+$B$28)^INT((A99-1)/12)</x:f>
        <x:v>1.191016</x:v>
      </x:c>
      <x:c r="E99" s="141" t="n">
        <x:f>IF(A99&lt;=$B$27,$B$45*D99,0)</x:f>
        <x:v>1759.3947642826768</x:v>
      </x:c>
      <x:c r="F99" s="141" t="n">
        <x:f>IF(A99=$B$29,$B$44,0)</x:f>
        <x:v>0</x:v>
      </x:c>
      <x:c r="G99" s="141" t="n">
        <x:f>E99+F99</x:f>
        <x:v>1759.3947642826768</x:v>
      </x:c>
      <x:c r="H99" s="141" t="n">
        <x:f>IF(A99=$B$29,$B$42,0)</x:f>
        <x:v>0</x:v>
      </x:c>
      <x:c r="I99" s="141" t="n">
        <x:f>IF(A99=$B$29,$B$43,0)</x:f>
        <x:v>0</x:v>
      </x:c>
      <x:c r="J99" s="140" t="str">
        <x:f>IF(A99&lt;$B$29,"Aguardando",IF(A99=$B$29,"Contemplado","Pos-contemplacao"))</x:f>
        <x:v>Aguardando</x:v>
      </x:c>
      <x:c r="K99" s="141" t="n">
        <x:f>IF(A99&gt;=$B$27,0,(K100+E100)/(1+$B$9))</x:f>
        <x:v>228945.96279018332</x:v>
      </x:c>
      <x:c r="L99" s="141" t="n">
        <x:f>IF(A99&lt;$B$29,$B$43/(1+$B$9)^($B$29-A99),0)</x:f>
        <x:v>231168.1362218142</x:v>
      </x:c>
      <x:c r="M99" s="141" t="n">
        <x:f>L99-K99</x:f>
        <x:v>2222.1734316308866</x:v>
      </x:c>
    </x:row>
    <x:row r="100">
      <x:c r="A100" s="142" t="n">
        <x:v>46</x:v>
      </x:c>
      <x:c r="B100" s="179" t="n">
        <x:f>EDATE($B$5,A100-1)</x:f>
        <x:v>47908</x:v>
      </x:c>
      <x:c r="C100" s="141" t="n">
        <x:f>$B$6</x:f>
        <x:v>7000</x:v>
      </x:c>
      <x:c r="D100" s="180" t="n">
        <x:f>(1+$B$28)^INT((A100-1)/12)</x:f>
        <x:v>1.191016</x:v>
      </x:c>
      <x:c r="E100" s="141" t="n">
        <x:f>IF(A100&lt;=$B$27,$B$45*D100,0)</x:f>
        <x:v>1759.3947642826768</x:v>
      </x:c>
      <x:c r="F100" s="141" t="n">
        <x:f>IF(A100=$B$29,$B$44,0)</x:f>
        <x:v>0</x:v>
      </x:c>
      <x:c r="G100" s="141" t="n">
        <x:f>E100+F100</x:f>
        <x:v>1759.3947642826768</x:v>
      </x:c>
      <x:c r="H100" s="141" t="n">
        <x:f>IF(A100=$B$29,$B$42,0)</x:f>
        <x:v>0</x:v>
      </x:c>
      <x:c r="I100" s="141" t="n">
        <x:f>IF(A100=$B$29,$B$43,0)</x:f>
        <x:v>0</x:v>
      </x:c>
      <x:c r="J100" s="140" t="str">
        <x:f>IF(A100&lt;$B$29,"Aguardando",IF(A100=$B$29,"Contemplado","Pos-contemplacao"))</x:f>
        <x:v>Aguardando</x:v>
      </x:c>
      <x:c r="K100" s="141" t="n">
        <x:f>IF(A100&gt;=$B$27,0,(K101+E101)/(1+$B$9))</x:f>
        <x:v>229358.98886002545</x:v>
      </x:c>
      <x:c r="L100" s="141" t="n">
        <x:f>IF(A100&lt;$B$29,$B$43/(1+$B$9)^($B$29-A100),0)</x:f>
        <x:v>233361.6427994965</x:v>
      </x:c>
      <x:c r="M100" s="141" t="n">
        <x:f>L100-K100</x:f>
        <x:v>4002.653939471056</x:v>
      </x:c>
    </x:row>
    <x:row r="101">
      <x:c r="A101" s="142" t="n">
        <x:v>47</x:v>
      </x:c>
      <x:c r="B101" s="179" t="n">
        <x:f>EDATE($B$5,A101-1)</x:f>
        <x:v>47939</x:v>
      </x:c>
      <x:c r="C101" s="141" t="n">
        <x:f>$B$6</x:f>
        <x:v>7000</x:v>
      </x:c>
      <x:c r="D101" s="180" t="n">
        <x:f>(1+$B$28)^INT((A101-1)/12)</x:f>
        <x:v>1.191016</x:v>
      </x:c>
      <x:c r="E101" s="141" t="n">
        <x:f>IF(A101&lt;=$B$27,$B$45*D101,0)</x:f>
        <x:v>1759.3947642826768</x:v>
      </x:c>
      <x:c r="F101" s="141" t="n">
        <x:f>IF(A101=$B$29,$B$44,0)</x:f>
        <x:v>0</x:v>
      </x:c>
      <x:c r="G101" s="141" t="n">
        <x:f>E101+F101</x:f>
        <x:v>1759.3947642826768</x:v>
      </x:c>
      <x:c r="H101" s="141" t="n">
        <x:f>IF(A101=$B$29,$B$42,0)</x:f>
        <x:v>0</x:v>
      </x:c>
      <x:c r="I101" s="141" t="n">
        <x:f>IF(A101=$B$29,$B$43,0)</x:f>
        <x:v>0</x:v>
      </x:c>
      <x:c r="J101" s="140" t="str">
        <x:f>IF(A101&lt;$B$29,"Aguardando",IF(A101=$B$29,"Contemplado","Pos-contemplacao"))</x:f>
        <x:v>Aguardando</x:v>
      </x:c>
      <x:c r="K101" s="141" t="n">
        <x:f>IF(A101&gt;=$B$27,0,(K102+E102)/(1+$B$9))</x:f>
        <x:v>229775.9340487209</x:v>
      </x:c>
      <x:c r="L101" s="141" t="n">
        <x:f>IF(A101&lt;$B$29,$B$43/(1+$B$9)^($B$29-A101),0)</x:f>
        <x:v>235575.96310689507</x:v>
      </x:c>
      <x:c r="M101" s="141" t="n">
        <x:f>L101-K101</x:f>
        <x:v>5800.029058174172</x:v>
      </x:c>
    </x:row>
    <x:row r="102">
      <x:c r="A102" s="142" t="n">
        <x:v>48</x:v>
      </x:c>
      <x:c r="B102" s="179" t="n">
        <x:f>EDATE($B$5,A102-1)</x:f>
        <x:v>47969</x:v>
      </x:c>
      <x:c r="C102" s="141" t="n">
        <x:f>$B$6</x:f>
        <x:v>7000</x:v>
      </x:c>
      <x:c r="D102" s="180" t="n">
        <x:f>(1+$B$28)^INT((A102-1)/12)</x:f>
        <x:v>1.191016</x:v>
      </x:c>
      <x:c r="E102" s="141" t="n">
        <x:f>IF(A102&lt;=$B$27,$B$45*D102,0)</x:f>
        <x:v>1759.3947642826768</x:v>
      </x:c>
      <x:c r="F102" s="141" t="n">
        <x:f>IF(A102=$B$29,$B$44,0)</x:f>
        <x:v>0</x:v>
      </x:c>
      <x:c r="G102" s="141" t="n">
        <x:f>E102+F102</x:f>
        <x:v>1759.3947642826768</x:v>
      </x:c>
      <x:c r="H102" s="141" t="n">
        <x:f>IF(A102=$B$29,$B$42,0)</x:f>
        <x:v>0</x:v>
      </x:c>
      <x:c r="I102" s="141" t="n">
        <x:f>IF(A102=$B$29,$B$43,0)</x:f>
        <x:v>0</x:v>
      </x:c>
      <x:c r="J102" s="140" t="str">
        <x:f>IF(A102&lt;$B$29,"Aguardando",IF(A102=$B$29,"Contemplado","Pos-contemplacao"))</x:f>
        <x:v>Aguardando</x:v>
      </x:c>
      <x:c r="K102" s="141" t="n">
        <x:f>IF(A102&gt;=$B$27,0,(K103+E103)/(1+$B$9))</x:f>
        <x:v>230196.83554397695</x:v>
      </x:c>
      <x:c r="L102" s="141" t="n">
        <x:f>IF(A102&lt;$B$29,$B$43/(1+$B$9)^($B$29-A102),0)</x:f>
        <x:v>237811.29464118136</x:v>
      </x:c>
      <x:c r="M102" s="141" t="n">
        <x:f>L102-K102</x:f>
        <x:v>7614.45909720441</x:v>
      </x:c>
    </x:row>
    <x:row r="103">
      <x:c r="A103" s="142" t="n">
        <x:v>49</x:v>
      </x:c>
      <x:c r="B103" s="179" t="n">
        <x:f>EDATE($B$5,A103-1)</x:f>
        <x:v>48000</x:v>
      </x:c>
      <x:c r="C103" s="141" t="n">
        <x:f>$B$6</x:f>
        <x:v>7000</x:v>
      </x:c>
      <x:c r="D103" s="180" t="n">
        <x:f>(1+$B$28)^INT((A103-1)/12)</x:f>
        <x:v>1.2624769600000003</x:v>
      </x:c>
      <x:c r="E103" s="141" t="n">
        <x:f>IF(A103&lt;=$B$27,$B$45*D103,0)</x:f>
        <x:v>1864.9584501396378</x:v>
      </x:c>
      <x:c r="F103" s="141" t="n">
        <x:f>IF(A103=$B$29,$B$44,0)</x:f>
        <x:v>0</x:v>
      </x:c>
      <x:c r="G103" s="141" t="n">
        <x:f>E103+F103</x:f>
        <x:v>1864.9584501396378</x:v>
      </x:c>
      <x:c r="H103" s="141" t="n">
        <x:f>IF(A103=$B$29,$B$42,0)</x:f>
        <x:v>0</x:v>
      </x:c>
      <x:c r="I103" s="141" t="n">
        <x:f>IF(A103=$B$29,$B$43,0)</x:f>
        <x:v>0</x:v>
      </x:c>
      <x:c r="J103" s="140" t="str">
        <x:f>IF(A103&lt;$B$29,"Aguardando",IF(A103=$B$29,"Contemplado","Pos-contemplacao"))</x:f>
        <x:v>Aguardando</x:v>
      </x:c>
      <x:c r="K103" s="141" t="n">
        <x:f>IF(A103&gt;=$B$27,0,(K104+E104)/(1+$B$9))</x:f>
        <x:v>230516.16720051036</x:v>
      </x:c>
      <x:c r="L103" s="141" t="n">
        <x:f>IF(A103&lt;$B$29,$B$43/(1+$B$9)^($B$29-A103),0)</x:f>
        <x:v>240067.83677353663</x:v>
      </x:c>
      <x:c r="M103" s="141" t="n">
        <x:f>L103-K103</x:f>
        <x:v>9551.669573026273</x:v>
      </x:c>
    </x:row>
    <x:row r="104">
      <x:c r="A104" s="142" t="n">
        <x:v>50</x:v>
      </x:c>
      <x:c r="B104" s="179" t="n">
        <x:f>EDATE($B$5,A104-1)</x:f>
        <x:v>48030</x:v>
      </x:c>
      <x:c r="C104" s="141" t="n">
        <x:f>$B$6</x:f>
        <x:v>7000</x:v>
      </x:c>
      <x:c r="D104" s="180" t="n">
        <x:f>(1+$B$28)^INT((A104-1)/12)</x:f>
        <x:v>1.2624769600000003</x:v>
      </x:c>
      <x:c r="E104" s="141" t="n">
        <x:f>IF(A104&lt;=$B$27,$B$45*D104,0)</x:f>
        <x:v>1864.9584501396378</x:v>
      </x:c>
      <x:c r="F104" s="141" t="n">
        <x:f>IF(A104=$B$29,$B$44,0)</x:f>
        <x:v>0</x:v>
      </x:c>
      <x:c r="G104" s="141" t="n">
        <x:f>E104+F104</x:f>
        <x:v>1864.9584501396378</x:v>
      </x:c>
      <x:c r="H104" s="141" t="n">
        <x:f>IF(A104=$B$29,$B$42,0)</x:f>
        <x:v>0</x:v>
      </x:c>
      <x:c r="I104" s="141" t="n">
        <x:f>IF(A104=$B$29,$B$43,0)</x:f>
        <x:v>0</x:v>
      </x:c>
      <x:c r="J104" s="140" t="str">
        <x:f>IF(A104&lt;$B$29,"Aguardando",IF(A104=$B$29,"Contemplado","Pos-contemplacao"))</x:f>
        <x:v>Aguardando</x:v>
      </x:c>
      <x:c r="K104" s="141" t="n">
        <x:f>IF(A104&gt;=$B$27,0,(K105+E105)/(1+$B$9))</x:f>
        <x:v>230838.5289290101</x:v>
      </x:c>
      <x:c r="L104" s="141" t="n">
        <x:f>IF(A104&lt;$B$29,$B$43/(1+$B$9)^($B$29-A104),0)</x:f>
        <x:v>242345.79076693402</x:v>
      </x:c>
      <x:c r="M104" s="141" t="n">
        <x:f>L104-K104</x:f>
        <x:v>11507.261837923928</x:v>
      </x:c>
    </x:row>
    <x:row r="105">
      <x:c r="A105" s="142" t="n">
        <x:v>51</x:v>
      </x:c>
      <x:c r="B105" s="179" t="n">
        <x:f>EDATE($B$5,A105-1)</x:f>
        <x:v>48061</x:v>
      </x:c>
      <x:c r="C105" s="141" t="n">
        <x:f>$B$6</x:f>
        <x:v>7000</x:v>
      </x:c>
      <x:c r="D105" s="180" t="n">
        <x:f>(1+$B$28)^INT((A105-1)/12)</x:f>
        <x:v>1.2624769600000003</x:v>
      </x:c>
      <x:c r="E105" s="141" t="n">
        <x:f>IF(A105&lt;=$B$27,$B$45*D105,0)</x:f>
        <x:v>1864.9584501396378</x:v>
      </x:c>
      <x:c r="F105" s="141" t="n">
        <x:f>IF(A105=$B$29,$B$44,0)</x:f>
        <x:v>0</x:v>
      </x:c>
      <x:c r="G105" s="141" t="n">
        <x:f>E105+F105</x:f>
        <x:v>1864.9584501396378</x:v>
      </x:c>
      <x:c r="H105" s="141" t="n">
        <x:f>IF(A105=$B$29,$B$42,0)</x:f>
        <x:v>0</x:v>
      </x:c>
      <x:c r="I105" s="141" t="n">
        <x:f>IF(A105=$B$29,$B$43,0)</x:f>
        <x:v>0</x:v>
      </x:c>
      <x:c r="J105" s="140" t="str">
        <x:f>IF(A105&lt;$B$29,"Aguardando",IF(A105=$B$29,"Contemplado","Pos-contemplacao"))</x:f>
        <x:v>Aguardando</x:v>
      </x:c>
      <x:c r="K105" s="141" t="n">
        <x:f>IF(A105&gt;=$B$27,0,(K106+E106)/(1+$B$9))</x:f>
        <x:v>231163.9494812016</x:v>
      </x:c>
      <x:c r="L105" s="141" t="n">
        <x:f>IF(A105&lt;$B$29,$B$43/(1+$B$9)^($B$29-A105),0)</x:f>
        <x:v>244645.35979408925</x:v>
      </x:c>
      <x:c r="M105" s="141" t="n">
        <x:f>L105-K105</x:f>
        <x:v>13481.41031288766</x:v>
      </x:c>
    </x:row>
    <x:row r="106">
      <x:c r="A106" s="142" t="n">
        <x:v>52</x:v>
      </x:c>
      <x:c r="B106" s="179" t="n">
        <x:f>EDATE($B$5,A106-1)</x:f>
        <x:v>48092</x:v>
      </x:c>
      <x:c r="C106" s="141" t="n">
        <x:f>$B$6</x:f>
        <x:v>7000</x:v>
      </x:c>
      <x:c r="D106" s="180" t="n">
        <x:f>(1+$B$28)^INT((A106-1)/12)</x:f>
        <x:v>1.2624769600000003</x:v>
      </x:c>
      <x:c r="E106" s="141" t="n">
        <x:f>IF(A106&lt;=$B$27,$B$45*D106,0)</x:f>
        <x:v>1864.9584501396378</x:v>
      </x:c>
      <x:c r="F106" s="141" t="n">
        <x:f>IF(A106=$B$29,$B$44,0)</x:f>
        <x:v>0</x:v>
      </x:c>
      <x:c r="G106" s="141" t="n">
        <x:f>E106+F106</x:f>
        <x:v>1864.9584501396378</x:v>
      </x:c>
      <x:c r="H106" s="141" t="n">
        <x:f>IF(A106=$B$29,$B$42,0)</x:f>
        <x:v>0</x:v>
      </x:c>
      <x:c r="I106" s="141" t="n">
        <x:f>IF(A106=$B$29,$B$43,0)</x:f>
        <x:v>0</x:v>
      </x:c>
      <x:c r="J106" s="140" t="str">
        <x:f>IF(A106&lt;$B$29,"Aguardando",IF(A106=$B$29,"Contemplado","Pos-contemplacao"))</x:f>
        <x:v>Aguardando</x:v>
      </x:c>
      <x:c r="K106" s="141" t="n">
        <x:f>IF(A106&gt;=$B$27,0,(K107+E107)/(1+$B$9))</x:f>
        <x:v>231492.4578816295</x:v>
      </x:c>
      <x:c r="L106" s="141" t="n">
        <x:f>IF(A106&lt;$B$29,$B$43/(1+$B$9)^($B$29-A106),0)</x:f>
        <x:v>246966.74895558192</x:v>
      </x:c>
      <x:c r="M106" s="141" t="n">
        <x:f>L106-K106</x:f>
        <x:v>15474.291073952423</x:v>
      </x:c>
    </x:row>
    <x:row r="107">
      <x:c r="A107" s="142" t="n">
        <x:v>53</x:v>
      </x:c>
      <x:c r="B107" s="179" t="n">
        <x:f>EDATE($B$5,A107-1)</x:f>
        <x:v>48122</x:v>
      </x:c>
      <x:c r="C107" s="141" t="n">
        <x:f>$B$6</x:f>
        <x:v>7000</x:v>
      </x:c>
      <x:c r="D107" s="180" t="n">
        <x:f>(1+$B$28)^INT((A107-1)/12)</x:f>
        <x:v>1.2624769600000003</x:v>
      </x:c>
      <x:c r="E107" s="141" t="n">
        <x:f>IF(A107&lt;=$B$27,$B$45*D107,0)</x:f>
        <x:v>1864.9584501396378</x:v>
      </x:c>
      <x:c r="F107" s="141" t="n">
        <x:f>IF(A107=$B$29,$B$44,0)</x:f>
        <x:v>0</x:v>
      </x:c>
      <x:c r="G107" s="141" t="n">
        <x:f>E107+F107</x:f>
        <x:v>1864.9584501396378</x:v>
      </x:c>
      <x:c r="H107" s="141" t="n">
        <x:f>IF(A107=$B$29,$B$42,0)</x:f>
        <x:v>0</x:v>
      </x:c>
      <x:c r="I107" s="141" t="n">
        <x:f>IF(A107=$B$29,$B$43,0)</x:f>
        <x:v>0</x:v>
      </x:c>
      <x:c r="J107" s="140" t="str">
        <x:f>IF(A107&lt;$B$29,"Aguardando",IF(A107=$B$29,"Contemplado","Pos-contemplacao"))</x:f>
        <x:v>Aguardando</x:v>
      </x:c>
      <x:c r="K107" s="141" t="n">
        <x:f>IF(A107&gt;=$B$27,0,(K108+E108)/(1+$B$9))</x:f>
        <x:v>231824.08343024633</x:v>
      </x:c>
      <x:c r="L107" s="141" t="n">
        <x:f>IF(A107&lt;$B$29,$B$43/(1+$B$9)^($B$29-A107),0)</x:f>
        <x:v>249310.1652981486</x:v>
      </x:c>
      <x:c r="M107" s="141" t="n">
        <x:f>L107-K107</x:f>
        <x:v>17486.081867902278</x:v>
      </x:c>
    </x:row>
    <x:row r="108">
      <x:c r="A108" s="142" t="n">
        <x:v>54</x:v>
      </x:c>
      <x:c r="B108" s="179" t="n">
        <x:f>EDATE($B$5,A108-1)</x:f>
        <x:v>48153</x:v>
      </x:c>
      <x:c r="C108" s="141" t="n">
        <x:f>$B$6</x:f>
        <x:v>7000</x:v>
      </x:c>
      <x:c r="D108" s="180" t="n">
        <x:f>(1+$B$28)^INT((A108-1)/12)</x:f>
        <x:v>1.2624769600000003</x:v>
      </x:c>
      <x:c r="E108" s="141" t="n">
        <x:f>IF(A108&lt;=$B$27,$B$45*D108,0)</x:f>
        <x:v>1864.9584501396378</x:v>
      </x:c>
      <x:c r="F108" s="141" t="n">
        <x:f>IF(A108=$B$29,$B$44,0)</x:f>
        <x:v>0</x:v>
      </x:c>
      <x:c r="G108" s="141" t="n">
        <x:f>E108+F108</x:f>
        <x:v>1864.9584501396378</x:v>
      </x:c>
      <x:c r="H108" s="141" t="n">
        <x:f>IF(A108=$B$29,$B$42,0)</x:f>
        <x:v>0</x:v>
      </x:c>
      <x:c r="I108" s="141" t="n">
        <x:f>IF(A108=$B$29,$B$43,0)</x:f>
        <x:v>0</x:v>
      </x:c>
      <x:c r="J108" s="140" t="str">
        <x:f>IF(A108&lt;$B$29,"Aguardando",IF(A108=$B$29,"Contemplado","Pos-contemplacao"))</x:f>
        <x:v>Aguardando</x:v>
      </x:c>
      <x:c r="K108" s="141" t="n">
        <x:f>IF(A108&gt;=$B$27,0,(K109+E109)/(1+$B$9))</x:f>
        <x:v>232158.8557050258</x:v>
      </x:c>
      <x:c r="L108" s="141" t="n">
        <x:f>IF(A108&lt;$B$29,$B$43/(1+$B$9)^($B$29-A108),0)</x:f>
        <x:v>251675.81783314937</x:v>
      </x:c>
      <x:c r="M108" s="141" t="n">
        <x:f>L108-K108</x:f>
        <x:v>19516.96212812356</x:v>
      </x:c>
    </x:row>
    <x:row r="109">
      <x:c r="A109" s="142" t="n">
        <x:v>55</x:v>
      </x:c>
      <x:c r="B109" s="179" t="n">
        <x:f>EDATE($B$5,A109-1)</x:f>
        <x:v>48183</x:v>
      </x:c>
      <x:c r="C109" s="141" t="n">
        <x:f>$B$6</x:f>
        <x:v>7000</x:v>
      </x:c>
      <x:c r="D109" s="180" t="n">
        <x:f>(1+$B$28)^INT((A109-1)/12)</x:f>
        <x:v>1.2624769600000003</x:v>
      </x:c>
      <x:c r="E109" s="141" t="n">
        <x:f>IF(A109&lt;=$B$27,$B$45*D109,0)</x:f>
        <x:v>1864.9584501396378</x:v>
      </x:c>
      <x:c r="F109" s="141" t="n">
        <x:f>IF(A109=$B$29,$B$44,0)</x:f>
        <x:v>0</x:v>
      </x:c>
      <x:c r="G109" s="141" t="n">
        <x:f>E109+F109</x:f>
        <x:v>1864.9584501396378</x:v>
      </x:c>
      <x:c r="H109" s="141" t="n">
        <x:f>IF(A109=$B$29,$B$42,0)</x:f>
        <x:v>0</x:v>
      </x:c>
      <x:c r="I109" s="141" t="n">
        <x:f>IF(A109=$B$29,$B$43,0)</x:f>
        <x:v>0</x:v>
      </x:c>
      <x:c r="J109" s="140" t="str">
        <x:f>IF(A109&lt;$B$29,"Aguardando",IF(A109=$B$29,"Contemplado","Pos-contemplacao"))</x:f>
        <x:v>Aguardando</x:v>
      </x:c>
      <x:c r="K109" s="141" t="n">
        <x:f>IF(A109&gt;=$B$27,0,(K110+E110)/(1+$B$9))</x:f>
        <x:v>232496.8045646009</x:v>
      </x:c>
      <x:c r="L109" s="141" t="n">
        <x:f>IF(A109&lt;$B$29,$B$43/(1+$B$9)^($B$29-A109),0)</x:f>
        <x:v>254063.91755521</x:v>
      </x:c>
      <x:c r="M109" s="141" t="n">
        <x:f>L109-K109</x:f>
        <x:v>21567.11299060911</x:v>
      </x:c>
    </x:row>
    <x:row r="110">
      <x:c r="A110" s="142" t="n">
        <x:v>56</x:v>
      </x:c>
      <x:c r="B110" s="179" t="n">
        <x:f>EDATE($B$5,A110-1)</x:f>
        <x:v>48214</x:v>
      </x:c>
      <x:c r="C110" s="141" t="n">
        <x:f>$B$6</x:f>
        <x:v>7000</x:v>
      </x:c>
      <x:c r="D110" s="180" t="n">
        <x:f>(1+$B$28)^INT((A110-1)/12)</x:f>
        <x:v>1.2624769600000003</x:v>
      </x:c>
      <x:c r="E110" s="141" t="n">
        <x:f>IF(A110&lt;=$B$27,$B$45*D110,0)</x:f>
        <x:v>1864.9584501396378</x:v>
      </x:c>
      <x:c r="F110" s="141" t="n">
        <x:f>IF(A110=$B$29,$B$44,0)</x:f>
        <x:v>0</x:v>
      </x:c>
      <x:c r="G110" s="141" t="n">
        <x:f>E110+F110</x:f>
        <x:v>1864.9584501396378</x:v>
      </x:c>
      <x:c r="H110" s="141" t="n">
        <x:f>IF(A110=$B$29,$B$42,0)</x:f>
        <x:v>0</x:v>
      </x:c>
      <x:c r="I110" s="141" t="n">
        <x:f>IF(A110=$B$29,$B$43,0)</x:f>
        <x:v>0</x:v>
      </x:c>
      <x:c r="J110" s="140" t="str">
        <x:f>IF(A110&lt;$B$29,"Aguardando",IF(A110=$B$29,"Contemplado","Pos-contemplacao"))</x:f>
        <x:v>Aguardando</x:v>
      </x:c>
      <x:c r="K110" s="141" t="n">
        <x:f>IF(A110&gt;=$B$27,0,(K111+E111)/(1+$B$9))</x:f>
        <x:v>232837.96015092699</x:v>
      </x:c>
      <x:c r="L110" s="141" t="n">
        <x:f>IF(A110&lt;$B$29,$B$43/(1+$B$9)^($B$29-A110),0)</x:f>
        <x:v>256474.67746104038</x:v>
      </x:c>
      <x:c r="M110" s="141" t="n">
        <x:f>L110-K110</x:f>
        <x:v>23636.717310113396</x:v>
      </x:c>
    </x:row>
    <x:row r="111">
      <x:c r="A111" s="142" t="n">
        <x:v>57</x:v>
      </x:c>
      <x:c r="B111" s="179" t="n">
        <x:f>EDATE($B$5,A111-1)</x:f>
        <x:v>48245</x:v>
      </x:c>
      <x:c r="C111" s="141" t="n">
        <x:f>$B$6</x:f>
        <x:v>7000</x:v>
      </x:c>
      <x:c r="D111" s="180" t="n">
        <x:f>(1+$B$28)^INT((A111-1)/12)</x:f>
        <x:v>1.2624769600000003</x:v>
      </x:c>
      <x:c r="E111" s="141" t="n">
        <x:f>IF(A111&lt;=$B$27,$B$45*D111,0)</x:f>
        <x:v>1864.9584501396378</x:v>
      </x:c>
      <x:c r="F111" s="141" t="n">
        <x:f>IF(A111=$B$29,$B$44,0)</x:f>
        <x:v>0</x:v>
      </x:c>
      <x:c r="G111" s="141" t="n">
        <x:f>E111+F111</x:f>
        <x:v>1864.9584501396378</x:v>
      </x:c>
      <x:c r="H111" s="141" t="n">
        <x:f>IF(A111=$B$29,$B$42,0)</x:f>
        <x:v>0</x:v>
      </x:c>
      <x:c r="I111" s="141" t="n">
        <x:f>IF(A111=$B$29,$B$43,0)</x:f>
        <x:v>0</x:v>
      </x:c>
      <x:c r="J111" s="140" t="str">
        <x:f>IF(A111&lt;$B$29,"Aguardando",IF(A111=$B$29,"Contemplado","Pos-contemplacao"))</x:f>
        <x:v>Aguardando</x:v>
      </x:c>
      <x:c r="K111" s="141" t="n">
        <x:f>IF(A111&gt;=$B$27,0,(K112+E112)/(1+$B$9))</x:f>
        <x:v>233182.3528919702</x:v>
      </x:c>
      <x:c r="L111" s="141" t="n">
        <x:f>IF(A111&lt;$B$29,$B$43/(1+$B$9)^($B$29-A111),0)</x:f>
        <x:v>258908.31256843216</x:v>
      </x:c>
      <x:c r="M111" s="141" t="n">
        <x:f>L111-K111</x:f>
        <x:v>25725.959676461964</x:v>
      </x:c>
    </x:row>
    <x:row r="112">
      <x:c r="A112" s="142" t="n">
        <x:v>58</x:v>
      </x:c>
      <x:c r="B112" s="179" t="n">
        <x:f>EDATE($B$5,A112-1)</x:f>
        <x:v>48274</x:v>
      </x:c>
      <x:c r="C112" s="141" t="n">
        <x:f>$B$6</x:f>
        <x:v>7000</x:v>
      </x:c>
      <x:c r="D112" s="180" t="n">
        <x:f>(1+$B$28)^INT((A112-1)/12)</x:f>
        <x:v>1.2624769600000003</x:v>
      </x:c>
      <x:c r="E112" s="141" t="n">
        <x:f>IF(A112&lt;=$B$27,$B$45*D112,0)</x:f>
        <x:v>1864.9584501396378</x:v>
      </x:c>
      <x:c r="F112" s="141" t="n">
        <x:f>IF(A112=$B$29,$B$44,0)</x:f>
        <x:v>0</x:v>
      </x:c>
      <x:c r="G112" s="141" t="n">
        <x:f>E112+F112</x:f>
        <x:v>1864.9584501396378</x:v>
      </x:c>
      <x:c r="H112" s="141" t="n">
        <x:f>IF(A112=$B$29,$B$42,0)</x:f>
        <x:v>0</x:v>
      </x:c>
      <x:c r="I112" s="141" t="n">
        <x:f>IF(A112=$B$29,$B$43,0)</x:f>
        <x:v>0</x:v>
      </x:c>
      <x:c r="J112" s="140" t="str">
        <x:f>IF(A112&lt;$B$29,"Aguardando",IF(A112=$B$29,"Contemplado","Pos-contemplacao"))</x:f>
        <x:v>Aguardando</x:v>
      </x:c>
      <x:c r="K112" s="141" t="n">
        <x:f>IF(A112&gt;=$B$27,0,(K113+E113)/(1+$B$9))</x:f>
        <x:v>233530.01350442134</x:v>
      </x:c>
      <x:c r="L112" s="141" t="n">
        <x:f>IF(A112&lt;$B$29,$B$43/(1+$B$9)^($B$29-A112),0)</x:f>
        <x:v>261365.03993543627</x:v>
      </x:c>
      <x:c r="M112" s="141" t="n">
        <x:f>L112-K112</x:f>
        <x:v>27835.026431014936</x:v>
      </x:c>
    </x:row>
    <x:row r="113">
      <x:c r="A113" s="142" t="n">
        <x:v>59</x:v>
      </x:c>
      <x:c r="B113" s="179" t="n">
        <x:f>EDATE($B$5,A113-1)</x:f>
        <x:v>48305</x:v>
      </x:c>
      <x:c r="C113" s="141" t="n">
        <x:f>$B$6</x:f>
        <x:v>7000</x:v>
      </x:c>
      <x:c r="D113" s="180" t="n">
        <x:f>(1+$B$28)^INT((A113-1)/12)</x:f>
        <x:v>1.2624769600000003</x:v>
      </x:c>
      <x:c r="E113" s="141" t="n">
        <x:f>IF(A113&lt;=$B$27,$B$45*D113,0)</x:f>
        <x:v>1864.9584501396378</x:v>
      </x:c>
      <x:c r="F113" s="141" t="n">
        <x:f>IF(A113=$B$29,$B$44,0)</x:f>
        <x:v>0</x:v>
      </x:c>
      <x:c r="G113" s="141" t="n">
        <x:f>E113+F113</x:f>
        <x:v>1864.9584501396378</x:v>
      </x:c>
      <x:c r="H113" s="141" t="n">
        <x:f>IF(A113=$B$29,$B$42,0)</x:f>
        <x:v>0</x:v>
      </x:c>
      <x:c r="I113" s="141" t="n">
        <x:f>IF(A113=$B$29,$B$43,0)</x:f>
        <x:v>0</x:v>
      </x:c>
      <x:c r="J113" s="140" t="str">
        <x:f>IF(A113&lt;$B$29,"Aguardando",IF(A113=$B$29,"Contemplado","Pos-contemplacao"))</x:f>
        <x:v>Aguardando</x:v>
      </x:c>
      <x:c r="K113" s="141" t="n">
        <x:f>IF(A113&gt;=$B$27,0,(K114+E114)/(1+$B$9))</x:f>
        <x:v>233880.97299643554</x:v>
      </x:c>
      <x:c r="L113" s="141" t="n">
        <x:f>IF(A113&lt;$B$29,$B$43/(1+$B$9)^($B$29-A113),0)</x:f>
        <x:v>263845.0786797227</x:v>
      </x:c>
      <x:c r="M113" s="141" t="n">
        <x:f>L113-K113</x:f>
        <x:v>29964.10568328714</x:v>
      </x:c>
    </x:row>
    <x:row r="114">
      <x:c r="A114" s="142" t="n">
        <x:v>60</x:v>
      </x:c>
      <x:c r="B114" s="179" t="n">
        <x:f>EDATE($B$5,A114-1)</x:f>
        <x:v>48335</x:v>
      </x:c>
      <x:c r="C114" s="141" t="n">
        <x:f>$B$6</x:f>
        <x:v>7000</x:v>
      </x:c>
      <x:c r="D114" s="180" t="n">
        <x:f>(1+$B$28)^INT((A114-1)/12)</x:f>
        <x:v>1.2624769600000003</x:v>
      </x:c>
      <x:c r="E114" s="141" t="n">
        <x:f>IF(A114&lt;=$B$27,$B$45*D114,0)</x:f>
        <x:v>1864.9584501396378</x:v>
      </x:c>
      <x:c r="F114" s="141" t="n">
        <x:f>IF(A114=$B$29,$B$44,0)</x:f>
        <x:v>0</x:v>
      </x:c>
      <x:c r="G114" s="141" t="n">
        <x:f>E114+F114</x:f>
        <x:v>1864.9584501396378</x:v>
      </x:c>
      <x:c r="H114" s="141" t="n">
        <x:f>IF(A114=$B$29,$B$42,0)</x:f>
        <x:v>355131.53333083115</x:v>
      </x:c>
      <x:c r="I114" s="141" t="n">
        <x:f>IF(A114=$B$29,$B$43,0)</x:f>
        <x:v>266348.64999812335</x:v>
      </x:c>
      <x:c r="J114" s="140" t="str">
        <x:f>IF(A114&lt;$B$29,"Aguardando",IF(A114=$B$29,"Contemplado","Pos-contemplacao"))</x:f>
        <x:v>Contemplado</x:v>
      </x:c>
      <x:c r="K114" s="141" t="n">
        <x:f>IF(A114&gt;=$B$27,0,(K115+E115)/(1+$B$9))</x:f>
        <x:v>234235.26267039787</x:v>
      </x:c>
      <x:c r="L114" s="141" t="n">
        <x:f>IF(A114&lt;$B$29,$B$43/(1+$B$9)^($B$29-A114),0)</x:f>
        <x:v>0</x:v>
      </x:c>
      <x:c r="M114" s="141" t="n">
        <x:f>L114-K114</x:f>
        <x:v>-234235.26267039787</x:v>
      </x:c>
    </x:row>
    <x:row r="115">
      <x:c r="A115" s="142" t="n">
        <x:v>61</x:v>
      </x:c>
      <x:c r="B115" s="179" t="n">
        <x:f>EDATE($B$5,A115-1)</x:f>
        <x:v>48366</x:v>
      </x:c>
      <x:c r="C115" s="141" t="n">
        <x:f>$B$6</x:f>
        <x:v>7000</x:v>
      </x:c>
      <x:c r="D115" s="180" t="n">
        <x:f>(1+$B$28)^INT((A115-1)/12)</x:f>
        <x:v>1.3382255776000003</x:v>
      </x:c>
      <x:c r="E115" s="141" t="n">
        <x:f>IF(A115&lt;=$B$27,$B$45*D115,0)</x:f>
        <x:v>1976.855957148016</x:v>
      </x:c>
      <x:c r="F115" s="141" t="n">
        <x:f>IF(A115=$B$29,$B$44,0)</x:f>
        <x:v>0</x:v>
      </x:c>
      <x:c r="G115" s="141" t="n">
        <x:f>E115+F115</x:f>
        <x:v>1976.855957148016</x:v>
      </x:c>
      <x:c r="H115" s="141" t="n">
        <x:f>IF(A115=$B$29,$B$42,0)</x:f>
        <x:v>0</x:v>
      </x:c>
      <x:c r="I115" s="141" t="n">
        <x:f>IF(A115=$B$29,$B$43,0)</x:f>
        <x:v>0</x:v>
      </x:c>
      <x:c r="J115" s="140" t="str">
        <x:f>IF(A115&lt;$B$29,"Aguardando",IF(A115=$B$29,"Contemplado","Pos-contemplacao"))</x:f>
        <x:v>Pos-contemplacao</x:v>
      </x:c>
      <x:c r="K115" s="141" t="n">
        <x:f>IF(A115&gt;=$B$27,0,(K116+E116)/(1+$B$9))</x:f>
        <x:v>234481.01661870693</x:v>
      </x:c>
      <x:c r="L115" s="141" t="n">
        <x:f>IF(A115&lt;$B$29,$B$43/(1+$B$9)^($B$29-A115),0)</x:f>
        <x:v>0</x:v>
      </x:c>
      <x:c r="M115" s="141" t="n">
        <x:f>L115-K115</x:f>
        <x:v>-234481.01661870693</x:v>
      </x:c>
    </x:row>
    <x:row r="116">
      <x:c r="A116" s="142" t="n">
        <x:v>62</x:v>
      </x:c>
      <x:c r="B116" s="179" t="n">
        <x:f>EDATE($B$5,A116-1)</x:f>
        <x:v>48396</x:v>
      </x:c>
      <x:c r="C116" s="141" t="n">
        <x:f>$B$6</x:f>
        <x:v>7000</x:v>
      </x:c>
      <x:c r="D116" s="180" t="n">
        <x:f>(1+$B$28)^INT((A116-1)/12)</x:f>
        <x:v>1.3382255776000003</x:v>
      </x:c>
      <x:c r="E116" s="141" t="n">
        <x:f>IF(A116&lt;=$B$27,$B$45*D116,0)</x:f>
        <x:v>1976.855957148016</x:v>
      </x:c>
      <x:c r="F116" s="141" t="n">
        <x:f>IF(A116=$B$29,$B$44,0)</x:f>
        <x:v>0</x:v>
      </x:c>
      <x:c r="G116" s="141" t="n">
        <x:f>E116+F116</x:f>
        <x:v>1976.855957148016</x:v>
      </x:c>
      <x:c r="H116" s="141" t="n">
        <x:f>IF(A116=$B$29,$B$42,0)</x:f>
        <x:v>0</x:v>
      </x:c>
      <x:c r="I116" s="141" t="n">
        <x:f>IF(A116=$B$29,$B$43,0)</x:f>
        <x:v>0</x:v>
      </x:c>
      <x:c r="J116" s="140" t="str">
        <x:f>IF(A116&lt;$B$29,"Aguardando",IF(A116=$B$29,"Contemplado","Pos-contemplacao"))</x:f>
        <x:v>Pos-contemplacao</x:v>
      </x:c>
      <x:c r="K116" s="141" t="n">
        <x:f>IF(A116&gt;=$B$27,0,(K117+E117)/(1+$B$9))</x:f>
        <x:v>234729.10247534435</x:v>
      </x:c>
      <x:c r="L116" s="141" t="n">
        <x:f>IF(A116&lt;$B$29,$B$43/(1+$B$9)^($B$29-A116),0)</x:f>
        <x:v>0</x:v>
      </x:c>
      <x:c r="M116" s="141" t="n">
        <x:f>L116-K116</x:f>
        <x:v>-234729.10247534435</x:v>
      </x:c>
    </x:row>
    <x:row r="117">
      <x:c r="A117" s="142" t="n">
        <x:v>63</x:v>
      </x:c>
      <x:c r="B117" s="179" t="n">
        <x:f>EDATE($B$5,A117-1)</x:f>
        <x:v>48427</x:v>
      </x:c>
      <x:c r="C117" s="141" t="n">
        <x:f>$B$6</x:f>
        <x:v>7000</x:v>
      </x:c>
      <x:c r="D117" s="180" t="n">
        <x:f>(1+$B$28)^INT((A117-1)/12)</x:f>
        <x:v>1.3382255776000003</x:v>
      </x:c>
      <x:c r="E117" s="141" t="n">
        <x:f>IF(A117&lt;=$B$27,$B$45*D117,0)</x:f>
        <x:v>1976.855957148016</x:v>
      </x:c>
      <x:c r="F117" s="141" t="n">
        <x:f>IF(A117=$B$29,$B$44,0)</x:f>
        <x:v>0</x:v>
      </x:c>
      <x:c r="G117" s="141" t="n">
        <x:f>E117+F117</x:f>
        <x:v>1976.855957148016</x:v>
      </x:c>
      <x:c r="H117" s="141" t="n">
        <x:f>IF(A117=$B$29,$B$42,0)</x:f>
        <x:v>0</x:v>
      </x:c>
      <x:c r="I117" s="141" t="n">
        <x:f>IF(A117=$B$29,$B$43,0)</x:f>
        <x:v>0</x:v>
      </x:c>
      <x:c r="J117" s="140" t="str">
        <x:f>IF(A117&lt;$B$29,"Aguardando",IF(A117=$B$29,"Contemplado","Pos-contemplacao"))</x:f>
        <x:v>Pos-contemplacao</x:v>
      </x:c>
      <x:c r="K117" s="141" t="n">
        <x:f>IF(A117&gt;=$B$27,0,(K118+E118)/(1+$B$9))</x:f>
        <x:v>234979.5423673054</x:v>
      </x:c>
      <x:c r="L117" s="141" t="n">
        <x:f>IF(A117&lt;$B$29,$B$43/(1+$B$9)^($B$29-A117),0)</x:f>
        <x:v>0</x:v>
      </x:c>
      <x:c r="M117" s="141" t="n">
        <x:f>L117-K117</x:f>
        <x:v>-234979.5423673054</x:v>
      </x:c>
    </x:row>
    <x:row r="118">
      <x:c r="A118" s="142" t="n">
        <x:v>64</x:v>
      </x:c>
      <x:c r="B118" s="179" t="n">
        <x:f>EDATE($B$5,A118-1)</x:f>
        <x:v>48458</x:v>
      </x:c>
      <x:c r="C118" s="141" t="n">
        <x:f>$B$6</x:f>
        <x:v>7000</x:v>
      </x:c>
      <x:c r="D118" s="180" t="n">
        <x:f>(1+$B$28)^INT((A118-1)/12)</x:f>
        <x:v>1.3382255776000003</x:v>
      </x:c>
      <x:c r="E118" s="141" t="n">
        <x:f>IF(A118&lt;=$B$27,$B$45*D118,0)</x:f>
        <x:v>1976.855957148016</x:v>
      </x:c>
      <x:c r="F118" s="141" t="n">
        <x:f>IF(A118=$B$29,$B$44,0)</x:f>
        <x:v>0</x:v>
      </x:c>
      <x:c r="G118" s="141" t="n">
        <x:f>E118+F118</x:f>
        <x:v>1976.855957148016</x:v>
      </x:c>
      <x:c r="H118" s="141" t="n">
        <x:f>IF(A118=$B$29,$B$42,0)</x:f>
        <x:v>0</x:v>
      </x:c>
      <x:c r="I118" s="141" t="n">
        <x:f>IF(A118=$B$29,$B$43,0)</x:f>
        <x:v>0</x:v>
      </x:c>
      <x:c r="J118" s="140" t="str">
        <x:f>IF(A118&lt;$B$29,"Aguardando",IF(A118=$B$29,"Contemplado","Pos-contemplacao"))</x:f>
        <x:v>Pos-contemplacao</x:v>
      </x:c>
      <x:c r="K118" s="141" t="n">
        <x:f>IF(A118&gt;=$B$27,0,(K119+E119)/(1+$B$9))</x:f>
        <x:v>235232.35863154384</x:v>
      </x:c>
      <x:c r="L118" s="141" t="n">
        <x:f>IF(A118&lt;$B$29,$B$43/(1+$B$9)^($B$29-A118),0)</x:f>
        <x:v>0</x:v>
      </x:c>
      <x:c r="M118" s="141" t="n">
        <x:f>L118-K118</x:f>
        <x:v>-235232.35863154384</x:v>
      </x:c>
    </x:row>
    <x:row r="119">
      <x:c r="A119" s="142" t="n">
        <x:v>65</x:v>
      </x:c>
      <x:c r="B119" s="179" t="n">
        <x:f>EDATE($B$5,A119-1)</x:f>
        <x:v>48488</x:v>
      </x:c>
      <x:c r="C119" s="141" t="n">
        <x:f>$B$6</x:f>
        <x:v>7000</x:v>
      </x:c>
      <x:c r="D119" s="180" t="n">
        <x:f>(1+$B$28)^INT((A119-1)/12)</x:f>
        <x:v>1.3382255776000003</x:v>
      </x:c>
      <x:c r="E119" s="141" t="n">
        <x:f>IF(A119&lt;=$B$27,$B$45*D119,0)</x:f>
        <x:v>1976.855957148016</x:v>
      </x:c>
      <x:c r="F119" s="141" t="n">
        <x:f>IF(A119=$B$29,$B$44,0)</x:f>
        <x:v>0</x:v>
      </x:c>
      <x:c r="G119" s="141" t="n">
        <x:f>E119+F119</x:f>
        <x:v>1976.855957148016</x:v>
      </x:c>
      <x:c r="H119" s="141" t="n">
        <x:f>IF(A119=$B$29,$B$42,0)</x:f>
        <x:v>0</x:v>
      </x:c>
      <x:c r="I119" s="141" t="n">
        <x:f>IF(A119=$B$29,$B$43,0)</x:f>
        <x:v>0</x:v>
      </x:c>
      <x:c r="J119" s="140" t="str">
        <x:f>IF(A119&lt;$B$29,"Aguardando",IF(A119=$B$29,"Contemplado","Pos-contemplacao"))</x:f>
        <x:v>Pos-contemplacao</x:v>
      </x:c>
      <x:c r="K119" s="141" t="n">
        <x:f>IF(A119&gt;=$B$27,0,(K120+E120)/(1+$B$9))</x:f>
        <x:v>235487.57381696414</x:v>
      </x:c>
      <x:c r="L119" s="141" t="n">
        <x:f>IF(A119&lt;$B$29,$B$43/(1+$B$9)^($B$29-A119),0)</x:f>
        <x:v>0</x:v>
      </x:c>
      <x:c r="M119" s="141" t="n">
        <x:f>L119-K119</x:f>
        <x:v>-235487.57381696414</x:v>
      </x:c>
    </x:row>
    <x:row r="120">
      <x:c r="A120" s="142" t="n">
        <x:v>66</x:v>
      </x:c>
      <x:c r="B120" s="179" t="n">
        <x:f>EDATE($B$5,A120-1)</x:f>
        <x:v>48519</x:v>
      </x:c>
      <x:c r="C120" s="141" t="n">
        <x:f>$B$6</x:f>
        <x:v>7000</x:v>
      </x:c>
      <x:c r="D120" s="180" t="n">
        <x:f>(1+$B$28)^INT((A120-1)/12)</x:f>
        <x:v>1.3382255776000003</x:v>
      </x:c>
      <x:c r="E120" s="141" t="n">
        <x:f>IF(A120&lt;=$B$27,$B$45*D120,0)</x:f>
        <x:v>1976.855957148016</x:v>
      </x:c>
      <x:c r="F120" s="141" t="n">
        <x:f>IF(A120=$B$29,$B$44,0)</x:f>
        <x:v>0</x:v>
      </x:c>
      <x:c r="G120" s="141" t="n">
        <x:f>E120+F120</x:f>
        <x:v>1976.855957148016</x:v>
      </x:c>
      <x:c r="H120" s="141" t="n">
        <x:f>IF(A120=$B$29,$B$42,0)</x:f>
        <x:v>0</x:v>
      </x:c>
      <x:c r="I120" s="141" t="n">
        <x:f>IF(A120=$B$29,$B$43,0)</x:f>
        <x:v>0</x:v>
      </x:c>
      <x:c r="J120" s="140" t="str">
        <x:f>IF(A120&lt;$B$29,"Aguardando",IF(A120=$B$29,"Contemplado","Pos-contemplacao"))</x:f>
        <x:v>Pos-contemplacao</x:v>
      </x:c>
      <x:c r="K120" s="141" t="n">
        <x:f>IF(A120&gt;=$B$27,0,(K121+E121)/(1+$B$9))</x:f>
        <x:v>235745.21068643263</x:v>
      </x:c>
      <x:c r="L120" s="141" t="n">
        <x:f>IF(A120&lt;$B$29,$B$43/(1+$B$9)^($B$29-A120),0)</x:f>
        <x:v>0</x:v>
      </x:c>
      <x:c r="M120" s="141" t="n">
        <x:f>L120-K120</x:f>
        <x:v>-235745.21068643263</x:v>
      </x:c>
    </x:row>
    <x:row r="121">
      <x:c r="A121" s="142" t="n">
        <x:v>67</x:v>
      </x:c>
      <x:c r="B121" s="179" t="n">
        <x:f>EDATE($B$5,A121-1)</x:f>
        <x:v>48549</x:v>
      </x:c>
      <x:c r="C121" s="141" t="n">
        <x:f>$B$6</x:f>
        <x:v>7000</x:v>
      </x:c>
      <x:c r="D121" s="180" t="n">
        <x:f>(1+$B$28)^INT((A121-1)/12)</x:f>
        <x:v>1.3382255776000003</x:v>
      </x:c>
      <x:c r="E121" s="141" t="n">
        <x:f>IF(A121&lt;=$B$27,$B$45*D121,0)</x:f>
        <x:v>1976.855957148016</x:v>
      </x:c>
      <x:c r="F121" s="141" t="n">
        <x:f>IF(A121=$B$29,$B$44,0)</x:f>
        <x:v>0</x:v>
      </x:c>
      <x:c r="G121" s="141" t="n">
        <x:f>E121+F121</x:f>
        <x:v>1976.855957148016</x:v>
      </x:c>
      <x:c r="H121" s="141" t="n">
        <x:f>IF(A121=$B$29,$B$42,0)</x:f>
        <x:v>0</x:v>
      </x:c>
      <x:c r="I121" s="141" t="n">
        <x:f>IF(A121=$B$29,$B$43,0)</x:f>
        <x:v>0</x:v>
      </x:c>
      <x:c r="J121" s="140" t="str">
        <x:f>IF(A121&lt;$B$29,"Aguardando",IF(A121=$B$29,"Contemplado","Pos-contemplacao"))</x:f>
        <x:v>Pos-contemplacao</x:v>
      </x:c>
      <x:c r="K121" s="141" t="n">
        <x:f>IF(A121&gt;=$B$27,0,(K122+E122)/(1+$B$9))</x:f>
        <x:v>236005.29221880782</x:v>
      </x:c>
      <x:c r="L121" s="141" t="n">
        <x:f>IF(A121&lt;$B$29,$B$43/(1+$B$9)^($B$29-A121),0)</x:f>
        <x:v>0</x:v>
      </x:c>
      <x:c r="M121" s="141" t="n">
        <x:f>L121-K121</x:f>
        <x:v>-236005.29221880782</x:v>
      </x:c>
    </x:row>
    <x:row r="122">
      <x:c r="A122" s="142" t="n">
        <x:v>68</x:v>
      </x:c>
      <x:c r="B122" s="179" t="n">
        <x:f>EDATE($B$5,A122-1)</x:f>
        <x:v>48580</x:v>
      </x:c>
      <x:c r="C122" s="141" t="n">
        <x:f>$B$6</x:f>
        <x:v>7000</x:v>
      </x:c>
      <x:c r="D122" s="180" t="n">
        <x:f>(1+$B$28)^INT((A122-1)/12)</x:f>
        <x:v>1.3382255776000003</x:v>
      </x:c>
      <x:c r="E122" s="141" t="n">
        <x:f>IF(A122&lt;=$B$27,$B$45*D122,0)</x:f>
        <x:v>1976.855957148016</x:v>
      </x:c>
      <x:c r="F122" s="141" t="n">
        <x:f>IF(A122=$B$29,$B$44,0)</x:f>
        <x:v>0</x:v>
      </x:c>
      <x:c r="G122" s="141" t="n">
        <x:f>E122+F122</x:f>
        <x:v>1976.855957148016</x:v>
      </x:c>
      <x:c r="H122" s="141" t="n">
        <x:f>IF(A122=$B$29,$B$42,0)</x:f>
        <x:v>0</x:v>
      </x:c>
      <x:c r="I122" s="141" t="n">
        <x:f>IF(A122=$B$29,$B$43,0)</x:f>
        <x:v>0</x:v>
      </x:c>
      <x:c r="J122" s="140" t="str">
        <x:f>IF(A122&lt;$B$29,"Aguardando",IF(A122=$B$29,"Contemplado","Pos-contemplacao"))</x:f>
        <x:v>Pos-contemplacao</x:v>
      </x:c>
      <x:c r="K122" s="141" t="n">
        <x:f>IF(A122&gt;=$B$27,0,(K123+E123)/(1+$B$9))</x:f>
        <x:v>236267.84161098982</x:v>
      </x:c>
      <x:c r="L122" s="141" t="n">
        <x:f>IF(A122&lt;$B$29,$B$43/(1+$B$9)^($B$29-A122),0)</x:f>
        <x:v>0</x:v>
      </x:c>
      <x:c r="M122" s="141" t="n">
        <x:f>L122-K122</x:f>
        <x:v>-236267.84161098982</x:v>
      </x:c>
    </x:row>
    <x:row r="123">
      <x:c r="A123" s="142" t="n">
        <x:v>69</x:v>
      </x:c>
      <x:c r="B123" s="179" t="n">
        <x:f>EDATE($B$5,A123-1)</x:f>
        <x:v>48611</x:v>
      </x:c>
      <x:c r="C123" s="141" t="n">
        <x:f>$B$6</x:f>
        <x:v>7000</x:v>
      </x:c>
      <x:c r="D123" s="180" t="n">
        <x:f>(1+$B$28)^INT((A123-1)/12)</x:f>
        <x:v>1.3382255776000003</x:v>
      </x:c>
      <x:c r="E123" s="141" t="n">
        <x:f>IF(A123&lt;=$B$27,$B$45*D123,0)</x:f>
        <x:v>1976.855957148016</x:v>
      </x:c>
      <x:c r="F123" s="141" t="n">
        <x:f>IF(A123=$B$29,$B$44,0)</x:f>
        <x:v>0</x:v>
      </x:c>
      <x:c r="G123" s="141" t="n">
        <x:f>E123+F123</x:f>
        <x:v>1976.855957148016</x:v>
      </x:c>
      <x:c r="H123" s="141" t="n">
        <x:f>IF(A123=$B$29,$B$42,0)</x:f>
        <x:v>0</x:v>
      </x:c>
      <x:c r="I123" s="141" t="n">
        <x:f>IF(A123=$B$29,$B$43,0)</x:f>
        <x:v>0</x:v>
      </x:c>
      <x:c r="J123" s="140" t="str">
        <x:f>IF(A123&lt;$B$29,"Aguardando",IF(A123=$B$29,"Contemplado","Pos-contemplacao"))</x:f>
        <x:v>Pos-contemplacao</x:v>
      </x:c>
      <x:c r="K123" s="141" t="n">
        <x:f>IF(A123&gt;=$B$27,0,(K124+E124)/(1+$B$9))</x:f>
        <x:v>236532.88227998937</x:v>
      </x:c>
      <x:c r="L123" s="141" t="n">
        <x:f>IF(A123&lt;$B$29,$B$43/(1+$B$9)^($B$29-A123),0)</x:f>
        <x:v>0</x:v>
      </x:c>
      <x:c r="M123" s="141" t="n">
        <x:f>L123-K123</x:f>
        <x:v>-236532.88227998937</x:v>
      </x:c>
    </x:row>
    <x:row r="124">
      <x:c r="A124" s="142" t="n">
        <x:v>70</x:v>
      </x:c>
      <x:c r="B124" s="179" t="n">
        <x:f>EDATE($B$5,A124-1)</x:f>
        <x:v>48639</x:v>
      </x:c>
      <x:c r="C124" s="141" t="n">
        <x:f>$B$6</x:f>
        <x:v>7000</x:v>
      </x:c>
      <x:c r="D124" s="180" t="n">
        <x:f>(1+$B$28)^INT((A124-1)/12)</x:f>
        <x:v>1.3382255776000003</x:v>
      </x:c>
      <x:c r="E124" s="141" t="n">
        <x:f>IF(A124&lt;=$B$27,$B$45*D124,0)</x:f>
        <x:v>1976.855957148016</x:v>
      </x:c>
      <x:c r="F124" s="141" t="n">
        <x:f>IF(A124=$B$29,$B$44,0)</x:f>
        <x:v>0</x:v>
      </x:c>
      <x:c r="G124" s="141" t="n">
        <x:f>E124+F124</x:f>
        <x:v>1976.855957148016</x:v>
      </x:c>
      <x:c r="H124" s="141" t="n">
        <x:f>IF(A124=$B$29,$B$42,0)</x:f>
        <x:v>0</x:v>
      </x:c>
      <x:c r="I124" s="141" t="n">
        <x:f>IF(A124=$B$29,$B$43,0)</x:f>
        <x:v>0</x:v>
      </x:c>
      <x:c r="J124" s="140" t="str">
        <x:f>IF(A124&lt;$B$29,"Aguardando",IF(A124=$B$29,"Contemplado","Pos-contemplacao"))</x:f>
        <x:v>Pos-contemplacao</x:v>
      </x:c>
      <x:c r="K124" s="141" t="n">
        <x:f>IF(A124&gt;=$B$27,0,(K125+E125)/(1+$B$9))</x:f>
        <x:v>236800.43786501628</x:v>
      </x:c>
      <x:c r="L124" s="141" t="n">
        <x:f>IF(A124&lt;$B$29,$B$43/(1+$B$9)^($B$29-A124),0)</x:f>
        <x:v>0</x:v>
      </x:c>
      <x:c r="M124" s="141" t="n">
        <x:f>L124-K124</x:f>
        <x:v>-236800.43786501628</x:v>
      </x:c>
    </x:row>
    <x:row r="125">
      <x:c r="A125" s="142" t="n">
        <x:v>71</x:v>
      </x:c>
      <x:c r="B125" s="179" t="n">
        <x:f>EDATE($B$5,A125-1)</x:f>
        <x:v>48670</x:v>
      </x:c>
      <x:c r="C125" s="141" t="n">
        <x:f>$B$6</x:f>
        <x:v>7000</x:v>
      </x:c>
      <x:c r="D125" s="180" t="n">
        <x:f>(1+$B$28)^INT((A125-1)/12)</x:f>
        <x:v>1.3382255776000003</x:v>
      </x:c>
      <x:c r="E125" s="141" t="n">
        <x:f>IF(A125&lt;=$B$27,$B$45*D125,0)</x:f>
        <x:v>1976.855957148016</x:v>
      </x:c>
      <x:c r="F125" s="141" t="n">
        <x:f>IF(A125=$B$29,$B$44,0)</x:f>
        <x:v>0</x:v>
      </x:c>
      <x:c r="G125" s="141" t="n">
        <x:f>E125+F125</x:f>
        <x:v>1976.855957148016</x:v>
      </x:c>
      <x:c r="H125" s="141" t="n">
        <x:f>IF(A125=$B$29,$B$42,0)</x:f>
        <x:v>0</x:v>
      </x:c>
      <x:c r="I125" s="141" t="n">
        <x:f>IF(A125=$B$29,$B$43,0)</x:f>
        <x:v>0</x:v>
      </x:c>
      <x:c r="J125" s="140" t="str">
        <x:f>IF(A125&lt;$B$29,"Aguardando",IF(A125=$B$29,"Contemplado","Pos-contemplacao"))</x:f>
        <x:v>Pos-contemplacao</x:v>
      </x:c>
      <x:c r="K125" s="141" t="n">
        <x:f>IF(A125&gt;=$B$27,0,(K126+E126)/(1+$B$9))</x:f>
        <x:v>237070.53222958802</x:v>
      </x:c>
      <x:c r="L125" s="141" t="n">
        <x:f>IF(A125&lt;$B$29,$B$43/(1+$B$9)^($B$29-A125),0)</x:f>
        <x:v>0</x:v>
      </x:c>
      <x:c r="M125" s="141" t="n">
        <x:f>L125-K125</x:f>
        <x:v>-237070.53222958802</x:v>
      </x:c>
    </x:row>
    <x:row r="126">
      <x:c r="A126" s="142" t="n">
        <x:v>72</x:v>
      </x:c>
      <x:c r="B126" s="179" t="n">
        <x:f>EDATE($B$5,A126-1)</x:f>
        <x:v>48700</x:v>
      </x:c>
      <x:c r="C126" s="141" t="n">
        <x:f>$B$6</x:f>
        <x:v>7000</x:v>
      </x:c>
      <x:c r="D126" s="180" t="n">
        <x:f>(1+$B$28)^INT((A126-1)/12)</x:f>
        <x:v>1.3382255776000003</x:v>
      </x:c>
      <x:c r="E126" s="141" t="n">
        <x:f>IF(A126&lt;=$B$27,$B$45*D126,0)</x:f>
        <x:v>1976.855957148016</x:v>
      </x:c>
      <x:c r="F126" s="141" t="n">
        <x:f>IF(A126=$B$29,$B$44,0)</x:f>
        <x:v>0</x:v>
      </x:c>
      <x:c r="G126" s="141" t="n">
        <x:f>E126+F126</x:f>
        <x:v>1976.855957148016</x:v>
      </x:c>
      <x:c r="H126" s="141" t="n">
        <x:f>IF(A126=$B$29,$B$42,0)</x:f>
        <x:v>0</x:v>
      </x:c>
      <x:c r="I126" s="141" t="n">
        <x:f>IF(A126=$B$29,$B$43,0)</x:f>
        <x:v>0</x:v>
      </x:c>
      <x:c r="J126" s="140" t="str">
        <x:f>IF(A126&lt;$B$29,"Aguardando",IF(A126=$B$29,"Contemplado","Pos-contemplacao"))</x:f>
        <x:v>Pos-contemplacao</x:v>
      </x:c>
      <x:c r="K126" s="141" t="n">
        <x:f>IF(A126&gt;=$B$27,0,(K127+E127)/(1+$B$9))</x:f>
        <x:v>237343.18946365797</x:v>
      </x:c>
      <x:c r="L126" s="141" t="n">
        <x:f>IF(A126&lt;$B$29,$B$43/(1+$B$9)^($B$29-A126),0)</x:f>
        <x:v>0</x:v>
      </x:c>
      <x:c r="M126" s="141" t="n">
        <x:f>L126-K126</x:f>
        <x:v>-237343.18946365797</x:v>
      </x:c>
    </x:row>
    <x:row r="127">
      <x:c r="A127" s="142" t="n">
        <x:v>73</x:v>
      </x:c>
      <x:c r="B127" s="179" t="n">
        <x:f>EDATE($B$5,A127-1)</x:f>
        <x:v>48731</x:v>
      </x:c>
      <x:c r="C127" s="141" t="n">
        <x:f>$B$6</x:f>
        <x:v>7000</x:v>
      </x:c>
      <x:c r="D127" s="180" t="n">
        <x:f>(1+$B$28)^INT((A127-1)/12)</x:f>
        <x:v>1.4185191122560004</x:v>
      </x:c>
      <x:c r="E127" s="141" t="n">
        <x:f>IF(A127&lt;=$B$27,$B$45*D127,0)</x:f>
        <x:v>2095.467314576897</x:v>
      </x:c>
      <x:c r="F127" s="141" t="n">
        <x:f>IF(A127=$B$29,$B$44,0)</x:f>
        <x:v>0</x:v>
      </x:c>
      <x:c r="G127" s="141" t="n">
        <x:f>E127+F127</x:f>
        <x:v>2095.467314576897</x:v>
      </x:c>
      <x:c r="H127" s="141" t="n">
        <x:f>IF(A127=$B$29,$B$42,0)</x:f>
        <x:v>0</x:v>
      </x:c>
      <x:c r="I127" s="141" t="n">
        <x:f>IF(A127=$B$29,$B$43,0)</x:f>
        <x:v>0</x:v>
      </x:c>
      <x:c r="J127" s="140" t="str">
        <x:f>IF(A127&lt;$B$29,"Aguardando",IF(A127=$B$29,"Contemplado","Pos-contemplacao"))</x:f>
        <x:v>Pos-contemplacao</x:v>
      </x:c>
      <x:c r="K127" s="141" t="n">
        <x:f>IF(A127&gt;=$B$27,0,(K128+E128)/(1+$B$9))</x:f>
        <x:v>237499.82252833524</x:v>
      </x:c>
      <x:c r="L127" s="141" t="n">
        <x:f>IF(A127&lt;$B$29,$B$43/(1+$B$9)^($B$29-A127),0)</x:f>
        <x:v>0</x:v>
      </x:c>
      <x:c r="M127" s="141" t="n">
        <x:f>L127-K127</x:f>
        <x:v>-237499.82252833524</x:v>
      </x:c>
    </x:row>
    <x:row r="128">
      <x:c r="A128" s="142" t="n">
        <x:v>74</x:v>
      </x:c>
      <x:c r="B128" s="179" t="n">
        <x:f>EDATE($B$5,A128-1)</x:f>
        <x:v>48761</x:v>
      </x:c>
      <x:c r="C128" s="141" t="n">
        <x:f>$B$6</x:f>
        <x:v>7000</x:v>
      </x:c>
      <x:c r="D128" s="180" t="n">
        <x:f>(1+$B$28)^INT((A128-1)/12)</x:f>
        <x:v>1.4185191122560004</x:v>
      </x:c>
      <x:c r="E128" s="141" t="n">
        <x:f>IF(A128&lt;=$B$27,$B$45*D128,0)</x:f>
        <x:v>2095.467314576897</x:v>
      </x:c>
      <x:c r="F128" s="141" t="n">
        <x:f>IF(A128=$B$29,$B$44,0)</x:f>
        <x:v>0</x:v>
      </x:c>
      <x:c r="G128" s="141" t="n">
        <x:f>E128+F128</x:f>
        <x:v>2095.467314576897</x:v>
      </x:c>
      <x:c r="H128" s="141" t="n">
        <x:f>IF(A128=$B$29,$B$42,0)</x:f>
        <x:v>0</x:v>
      </x:c>
      <x:c r="I128" s="141" t="n">
        <x:f>IF(A128=$B$29,$B$43,0)</x:f>
        <x:v>0</x:v>
      </x:c>
      <x:c r="J128" s="140" t="str">
        <x:f>IF(A128&lt;$B$29,"Aguardando",IF(A128=$B$29,"Contemplado","Pos-contemplacao"))</x:f>
        <x:v>Pos-contemplacao</x:v>
      </x:c>
      <x:c r="K128" s="141" t="n">
        <x:f>IF(A128&gt;=$B$27,0,(K129+E129)/(1+$B$9))</x:f>
        <x:v>237657.94185172993</x:v>
      </x:c>
      <x:c r="L128" s="141" t="n">
        <x:f>IF(A128&lt;$B$29,$B$43/(1+$B$9)^($B$29-A128),0)</x:f>
        <x:v>0</x:v>
      </x:c>
      <x:c r="M128" s="141" t="n">
        <x:f>L128-K128</x:f>
        <x:v>-237657.94185172993</x:v>
      </x:c>
    </x:row>
    <x:row r="129">
      <x:c r="A129" s="142" t="n">
        <x:v>75</x:v>
      </x:c>
      <x:c r="B129" s="179" t="n">
        <x:f>EDATE($B$5,A129-1)</x:f>
        <x:v>48792</x:v>
      </x:c>
      <x:c r="C129" s="141" t="n">
        <x:f>$B$6</x:f>
        <x:v>7000</x:v>
      </x:c>
      <x:c r="D129" s="180" t="n">
        <x:f>(1+$B$28)^INT((A129-1)/12)</x:f>
        <x:v>1.4185191122560004</x:v>
      </x:c>
      <x:c r="E129" s="141" t="n">
        <x:f>IF(A129&lt;=$B$27,$B$45*D129,0)</x:f>
        <x:v>2095.467314576897</x:v>
      </x:c>
      <x:c r="F129" s="141" t="n">
        <x:f>IF(A129=$B$29,$B$44,0)</x:f>
        <x:v>0</x:v>
      </x:c>
      <x:c r="G129" s="141" t="n">
        <x:f>E129+F129</x:f>
        <x:v>2095.467314576897</x:v>
      </x:c>
      <x:c r="H129" s="141" t="n">
        <x:f>IF(A129=$B$29,$B$42,0)</x:f>
        <x:v>0</x:v>
      </x:c>
      <x:c r="I129" s="141" t="n">
        <x:f>IF(A129=$B$29,$B$43,0)</x:f>
        <x:v>0</x:v>
      </x:c>
      <x:c r="J129" s="140" t="str">
        <x:f>IF(A129&lt;$B$29,"Aguardando",IF(A129=$B$29,"Contemplado","Pos-contemplacao"))</x:f>
        <x:v>Pos-contemplacao</x:v>
      </x:c>
      <x:c r="K129" s="141" t="n">
        <x:f>IF(A129&gt;=$B$27,0,(K130+E130)/(1+$B$9))</x:f>
        <x:v>237817.56153664328</x:v>
      </x:c>
      <x:c r="L129" s="141" t="n">
        <x:f>IF(A129&lt;$B$29,$B$43/(1+$B$9)^($B$29-A129),0)</x:f>
        <x:v>0</x:v>
      </x:c>
      <x:c r="M129" s="141" t="n">
        <x:f>L129-K129</x:f>
        <x:v>-237817.56153664328</x:v>
      </x:c>
    </x:row>
    <x:row r="130">
      <x:c r="A130" s="142" t="n">
        <x:v>76</x:v>
      </x:c>
      <x:c r="B130" s="179" t="n">
        <x:f>EDATE($B$5,A130-1)</x:f>
        <x:v>48823</x:v>
      </x:c>
      <x:c r="C130" s="141" t="n">
        <x:f>$B$6</x:f>
        <x:v>7000</x:v>
      </x:c>
      <x:c r="D130" s="180" t="n">
        <x:f>(1+$B$28)^INT((A130-1)/12)</x:f>
        <x:v>1.4185191122560004</x:v>
      </x:c>
      <x:c r="E130" s="141" t="n">
        <x:f>IF(A130&lt;=$B$27,$B$45*D130,0)</x:f>
        <x:v>2095.467314576897</x:v>
      </x:c>
      <x:c r="F130" s="141" t="n">
        <x:f>IF(A130=$B$29,$B$44,0)</x:f>
        <x:v>0</x:v>
      </x:c>
      <x:c r="G130" s="141" t="n">
        <x:f>E130+F130</x:f>
        <x:v>2095.467314576897</x:v>
      </x:c>
      <x:c r="H130" s="141" t="n">
        <x:f>IF(A130=$B$29,$B$42,0)</x:f>
        <x:v>0</x:v>
      </x:c>
      <x:c r="I130" s="141" t="n">
        <x:f>IF(A130=$B$29,$B$43,0)</x:f>
        <x:v>0</x:v>
      </x:c>
      <x:c r="J130" s="140" t="str">
        <x:f>IF(A130&lt;$B$29,"Aguardando",IF(A130=$B$29,"Contemplado","Pos-contemplacao"))</x:f>
        <x:v>Pos-contemplacao</x:v>
      </x:c>
      <x:c r="K130" s="141" t="n">
        <x:f>IF(A130&gt;=$B$27,0,(K131+E131)/(1+$B$9))</x:f>
        <x:v>237978.69581969504</x:v>
      </x:c>
      <x:c r="L130" s="141" t="n">
        <x:f>IF(A130&lt;$B$29,$B$43/(1+$B$9)^($B$29-A130),0)</x:f>
        <x:v>0</x:v>
      </x:c>
      <x:c r="M130" s="141" t="n">
        <x:f>L130-K130</x:f>
        <x:v>-237978.69581969504</x:v>
      </x:c>
    </x:row>
    <x:row r="131">
      <x:c r="A131" s="142" t="n">
        <x:v>77</x:v>
      </x:c>
      <x:c r="B131" s="179" t="n">
        <x:f>EDATE($B$5,A131-1)</x:f>
        <x:v>48853</x:v>
      </x:c>
      <x:c r="C131" s="141" t="n">
        <x:f>$B$6</x:f>
        <x:v>7000</x:v>
      </x:c>
      <x:c r="D131" s="180" t="n">
        <x:f>(1+$B$28)^INT((A131-1)/12)</x:f>
        <x:v>1.4185191122560004</x:v>
      </x:c>
      <x:c r="E131" s="141" t="n">
        <x:f>IF(A131&lt;=$B$27,$B$45*D131,0)</x:f>
        <x:v>2095.467314576897</x:v>
      </x:c>
      <x:c r="F131" s="141" t="n">
        <x:f>IF(A131=$B$29,$B$44,0)</x:f>
        <x:v>0</x:v>
      </x:c>
      <x:c r="G131" s="141" t="n">
        <x:f>E131+F131</x:f>
        <x:v>2095.467314576897</x:v>
      </x:c>
      <x:c r="H131" s="141" t="n">
        <x:f>IF(A131=$B$29,$B$42,0)</x:f>
        <x:v>0</x:v>
      </x:c>
      <x:c r="I131" s="141" t="n">
        <x:f>IF(A131=$B$29,$B$43,0)</x:f>
        <x:v>0</x:v>
      </x:c>
      <x:c r="J131" s="140" t="str">
        <x:f>IF(A131&lt;$B$29,"Aguardando",IF(A131=$B$29,"Contemplado","Pos-contemplacao"))</x:f>
        <x:v>Pos-contemplacao</x:v>
      </x:c>
      <x:c r="K131" s="141" t="n">
        <x:f>IF(A131&gt;=$B$27,0,(K132+E132)/(1+$B$9))</x:f>
        <x:v>238141.35907259336</x:v>
      </x:c>
      <x:c r="L131" s="141" t="n">
        <x:f>IF(A131&lt;$B$29,$B$43/(1+$B$9)^($B$29-A131),0)</x:f>
        <x:v>0</x:v>
      </x:c>
      <x:c r="M131" s="141" t="n">
        <x:f>L131-K131</x:f>
        <x:v>-238141.35907259336</x:v>
      </x:c>
    </x:row>
    <x:row r="132">
      <x:c r="A132" s="142" t="n">
        <x:v>78</x:v>
      </x:c>
      <x:c r="B132" s="179" t="n">
        <x:f>EDATE($B$5,A132-1)</x:f>
        <x:v>48884</x:v>
      </x:c>
      <x:c r="C132" s="141" t="n">
        <x:f>$B$6</x:f>
        <x:v>7000</x:v>
      </x:c>
      <x:c r="D132" s="180" t="n">
        <x:f>(1+$B$28)^INT((A132-1)/12)</x:f>
        <x:v>1.4185191122560004</x:v>
      </x:c>
      <x:c r="E132" s="141" t="n">
        <x:f>IF(A132&lt;=$B$27,$B$45*D132,0)</x:f>
        <x:v>2095.467314576897</x:v>
      </x:c>
      <x:c r="F132" s="141" t="n">
        <x:f>IF(A132=$B$29,$B$44,0)</x:f>
        <x:v>0</x:v>
      </x:c>
      <x:c r="G132" s="141" t="n">
        <x:f>E132+F132</x:f>
        <x:v>2095.467314576897</x:v>
      </x:c>
      <x:c r="H132" s="141" t="n">
        <x:f>IF(A132=$B$29,$B$42,0)</x:f>
        <x:v>0</x:v>
      </x:c>
      <x:c r="I132" s="141" t="n">
        <x:f>IF(A132=$B$29,$B$43,0)</x:f>
        <x:v>0</x:v>
      </x:c>
      <x:c r="J132" s="140" t="str">
        <x:f>IF(A132&lt;$B$29,"Aguardando",IF(A132=$B$29,"Contemplado","Pos-contemplacao"))</x:f>
        <x:v>Pos-contemplacao</x:v>
      </x:c>
      <x:c r="K132" s="141" t="n">
        <x:f>IF(A132&gt;=$B$27,0,(K133+E133)/(1+$B$9))</x:f>
        <x:v>238305.56580341648</x:v>
      </x:c>
      <x:c r="L132" s="141" t="n">
        <x:f>IF(A132&lt;$B$29,$B$43/(1+$B$9)^($B$29-A132),0)</x:f>
        <x:v>0</x:v>
      </x:c>
      <x:c r="M132" s="141" t="n">
        <x:f>L132-K132</x:f>
        <x:v>-238305.56580341648</x:v>
      </x:c>
    </x:row>
    <x:row r="133">
      <x:c r="A133" s="142" t="n">
        <x:v>79</x:v>
      </x:c>
      <x:c r="B133" s="179" t="n">
        <x:f>EDATE($B$5,A133-1)</x:f>
        <x:v>48914</x:v>
      </x:c>
      <x:c r="C133" s="141" t="n">
        <x:f>$B$6</x:f>
        <x:v>7000</x:v>
      </x:c>
      <x:c r="D133" s="180" t="n">
        <x:f>(1+$B$28)^INT((A133-1)/12)</x:f>
        <x:v>1.4185191122560004</x:v>
      </x:c>
      <x:c r="E133" s="141" t="n">
        <x:f>IF(A133&lt;=$B$27,$B$45*D133,0)</x:f>
        <x:v>2095.467314576897</x:v>
      </x:c>
      <x:c r="F133" s="141" t="n">
        <x:f>IF(A133=$B$29,$B$44,0)</x:f>
        <x:v>0</x:v>
      </x:c>
      <x:c r="G133" s="141" t="n">
        <x:f>E133+F133</x:f>
        <x:v>2095.467314576897</x:v>
      </x:c>
      <x:c r="H133" s="141" t="n">
        <x:f>IF(A133=$B$29,$B$42,0)</x:f>
        <x:v>0</x:v>
      </x:c>
      <x:c r="I133" s="141" t="n">
        <x:f>IF(A133=$B$29,$B$43,0)</x:f>
        <x:v>0</x:v>
      </x:c>
      <x:c r="J133" s="140" t="str">
        <x:f>IF(A133&lt;$B$29,"Aguardando",IF(A133=$B$29,"Contemplado","Pos-contemplacao"))</x:f>
        <x:v>Pos-contemplacao</x:v>
      </x:c>
      <x:c r="K133" s="141" t="n">
        <x:f>IF(A133&gt;=$B$27,0,(K134+E134)/(1+$B$9))</x:f>
        <x:v>238471.33065790686</x:v>
      </x:c>
      <x:c r="L133" s="141" t="n">
        <x:f>IF(A133&lt;$B$29,$B$43/(1+$B$9)^($B$29-A133),0)</x:f>
        <x:v>0</x:v>
      </x:c>
      <x:c r="M133" s="141" t="n">
        <x:f>L133-K133</x:f>
        <x:v>-238471.33065790686</x:v>
      </x:c>
    </x:row>
    <x:row r="134">
      <x:c r="A134" s="142" t="n">
        <x:v>80</x:v>
      </x:c>
      <x:c r="B134" s="179" t="n">
        <x:f>EDATE($B$5,A134-1)</x:f>
        <x:v>48945</x:v>
      </x:c>
      <x:c r="C134" s="141" t="n">
        <x:f>$B$6</x:f>
        <x:v>7000</x:v>
      </x:c>
      <x:c r="D134" s="180" t="n">
        <x:f>(1+$B$28)^INT((A134-1)/12)</x:f>
        <x:v>1.4185191122560004</x:v>
      </x:c>
      <x:c r="E134" s="141" t="n">
        <x:f>IF(A134&lt;=$B$27,$B$45*D134,0)</x:f>
        <x:v>2095.467314576897</x:v>
      </x:c>
      <x:c r="F134" s="141" t="n">
        <x:f>IF(A134=$B$29,$B$44,0)</x:f>
        <x:v>0</x:v>
      </x:c>
      <x:c r="G134" s="141" t="n">
        <x:f>E134+F134</x:f>
        <x:v>2095.467314576897</x:v>
      </x:c>
      <x:c r="H134" s="141" t="n">
        <x:f>IF(A134=$B$29,$B$42,0)</x:f>
        <x:v>0</x:v>
      </x:c>
      <x:c r="I134" s="141" t="n">
        <x:f>IF(A134=$B$29,$B$43,0)</x:f>
        <x:v>0</x:v>
      </x:c>
      <x:c r="J134" s="140" t="str">
        <x:f>IF(A134&lt;$B$29,"Aguardando",IF(A134=$B$29,"Contemplado","Pos-contemplacao"))</x:f>
        <x:v>Pos-contemplacao</x:v>
      </x:c>
      <x:c r="K134" s="141" t="n">
        <x:f>IF(A134&gt;=$B$27,0,(K135+E135)/(1+$B$9))</x:f>
        <x:v>238638.6684207773</x:v>
      </x:c>
      <x:c r="L134" s="141" t="n">
        <x:f>IF(A134&lt;$B$29,$B$43/(1+$B$9)^($B$29-A134),0)</x:f>
        <x:v>0</x:v>
      </x:c>
      <x:c r="M134" s="141" t="n">
        <x:f>L134-K134</x:f>
        <x:v>-238638.6684207773</x:v>
      </x:c>
    </x:row>
    <x:row r="135">
      <x:c r="A135" s="142" t="n">
        <x:v>81</x:v>
      </x:c>
      <x:c r="B135" s="179" t="n">
        <x:f>EDATE($B$5,A135-1)</x:f>
        <x:v>48976</x:v>
      </x:c>
      <x:c r="C135" s="141" t="n">
        <x:f>$B$6</x:f>
        <x:v>7000</x:v>
      </x:c>
      <x:c r="D135" s="180" t="n">
        <x:f>(1+$B$28)^INT((A135-1)/12)</x:f>
        <x:v>1.4185191122560004</x:v>
      </x:c>
      <x:c r="E135" s="141" t="n">
        <x:f>IF(A135&lt;=$B$27,$B$45*D135,0)</x:f>
        <x:v>2095.467314576897</x:v>
      </x:c>
      <x:c r="F135" s="141" t="n">
        <x:f>IF(A135=$B$29,$B$44,0)</x:f>
        <x:v>0</x:v>
      </x:c>
      <x:c r="G135" s="141" t="n">
        <x:f>E135+F135</x:f>
        <x:v>2095.467314576897</x:v>
      </x:c>
      <x:c r="H135" s="141" t="n">
        <x:f>IF(A135=$B$29,$B$42,0)</x:f>
        <x:v>0</x:v>
      </x:c>
      <x:c r="I135" s="141" t="n">
        <x:f>IF(A135=$B$29,$B$43,0)</x:f>
        <x:v>0</x:v>
      </x:c>
      <x:c r="J135" s="140" t="str">
        <x:f>IF(A135&lt;$B$29,"Aguardando",IF(A135=$B$29,"Contemplado","Pos-contemplacao"))</x:f>
        <x:v>Pos-contemplacao</x:v>
      </x:c>
      <x:c r="K135" s="141" t="n">
        <x:f>IF(A135&gt;=$B$27,0,(K136+E136)/(1+$B$9))</x:f>
        <x:v>238807.59401702977</x:v>
      </x:c>
      <x:c r="L135" s="141" t="n">
        <x:f>IF(A135&lt;$B$29,$B$43/(1+$B$9)^($B$29-A135),0)</x:f>
        <x:v>0</x:v>
      </x:c>
      <x:c r="M135" s="141" t="n">
        <x:f>L135-K135</x:f>
        <x:v>-238807.59401702977</x:v>
      </x:c>
    </x:row>
    <x:row r="136">
      <x:c r="A136" s="142" t="n">
        <x:v>82</x:v>
      </x:c>
      <x:c r="B136" s="179" t="n">
        <x:f>EDATE($B$5,A136-1)</x:f>
        <x:v>49004</x:v>
      </x:c>
      <x:c r="C136" s="141" t="n">
        <x:f>$B$6</x:f>
        <x:v>7000</x:v>
      </x:c>
      <x:c r="D136" s="180" t="n">
        <x:f>(1+$B$28)^INT((A136-1)/12)</x:f>
        <x:v>1.4185191122560004</x:v>
      </x:c>
      <x:c r="E136" s="141" t="n">
        <x:f>IF(A136&lt;=$B$27,$B$45*D136,0)</x:f>
        <x:v>2095.467314576897</x:v>
      </x:c>
      <x:c r="F136" s="141" t="n">
        <x:f>IF(A136=$B$29,$B$44,0)</x:f>
        <x:v>0</x:v>
      </x:c>
      <x:c r="G136" s="141" t="n">
        <x:f>E136+F136</x:f>
        <x:v>2095.467314576897</x:v>
      </x:c>
      <x:c r="H136" s="141" t="n">
        <x:f>IF(A136=$B$29,$B$42,0)</x:f>
        <x:v>0</x:v>
      </x:c>
      <x:c r="I136" s="141" t="n">
        <x:f>IF(A136=$B$29,$B$43,0)</x:f>
        <x:v>0</x:v>
      </x:c>
      <x:c r="J136" s="140" t="str">
        <x:f>IF(A136&lt;$B$29,"Aguardando",IF(A136=$B$29,"Contemplado","Pos-contemplacao"))</x:f>
        <x:v>Pos-contemplacao</x:v>
      </x:c>
      <x:c r="K136" s="141" t="n">
        <x:f>IF(A136&gt;=$B$27,0,(K137+E137)/(1+$B$9))</x:f>
        <x:v>238978.12251328642</x:v>
      </x:c>
      <x:c r="L136" s="141" t="n">
        <x:f>IF(A136&lt;$B$29,$B$43/(1+$B$9)^($B$29-A136),0)</x:f>
        <x:v>0</x:v>
      </x:c>
      <x:c r="M136" s="141" t="n">
        <x:f>L136-K136</x:f>
        <x:v>-238978.12251328642</x:v>
      </x:c>
    </x:row>
    <x:row r="137">
      <x:c r="A137" s="142" t="n">
        <x:v>83</x:v>
      </x:c>
      <x:c r="B137" s="179" t="n">
        <x:f>EDATE($B$5,A137-1)</x:f>
        <x:v>49035</x:v>
      </x:c>
      <x:c r="C137" s="141" t="n">
        <x:f>$B$6</x:f>
        <x:v>7000</x:v>
      </x:c>
      <x:c r="D137" s="180" t="n">
        <x:f>(1+$B$28)^INT((A137-1)/12)</x:f>
        <x:v>1.4185191122560004</x:v>
      </x:c>
      <x:c r="E137" s="141" t="n">
        <x:f>IF(A137&lt;=$B$27,$B$45*D137,0)</x:f>
        <x:v>2095.467314576897</x:v>
      </x:c>
      <x:c r="F137" s="141" t="n">
        <x:f>IF(A137=$B$29,$B$44,0)</x:f>
        <x:v>0</x:v>
      </x:c>
      <x:c r="G137" s="141" t="n">
        <x:f>E137+F137</x:f>
        <x:v>2095.467314576897</x:v>
      </x:c>
      <x:c r="H137" s="141" t="n">
        <x:f>IF(A137=$B$29,$B$42,0)</x:f>
        <x:v>0</x:v>
      </x:c>
      <x:c r="I137" s="141" t="n">
        <x:f>IF(A137=$B$29,$B$43,0)</x:f>
        <x:v>0</x:v>
      </x:c>
      <x:c r="J137" s="140" t="str">
        <x:f>IF(A137&lt;$B$29,"Aguardando",IF(A137=$B$29,"Contemplado","Pos-contemplacao"))</x:f>
        <x:v>Pos-contemplacao</x:v>
      </x:c>
      <x:c r="K137" s="141" t="n">
        <x:f>IF(A137&gt;=$B$27,0,(K138+E138)/(1+$B$9))</x:f>
        <x:v>239150.2691191335</x:v>
      </x:c>
      <x:c r="L137" s="141" t="n">
        <x:f>IF(A137&lt;$B$29,$B$43/(1+$B$9)^($B$29-A137),0)</x:f>
        <x:v>0</x:v>
      </x:c>
      <x:c r="M137" s="141" t="n">
        <x:f>L137-K137</x:f>
        <x:v>-239150.2691191335</x:v>
      </x:c>
    </x:row>
    <x:row r="138">
      <x:c r="A138" s="142" t="n">
        <x:v>84</x:v>
      </x:c>
      <x:c r="B138" s="179" t="n">
        <x:f>EDATE($B$5,A138-1)</x:f>
        <x:v>49065</x:v>
      </x:c>
      <x:c r="C138" s="141" t="n">
        <x:f>$B$6</x:f>
        <x:v>7000</x:v>
      </x:c>
      <x:c r="D138" s="180" t="n">
        <x:f>(1+$B$28)^INT((A138-1)/12)</x:f>
        <x:v>1.4185191122560004</x:v>
      </x:c>
      <x:c r="E138" s="141" t="n">
        <x:f>IF(A138&lt;=$B$27,$B$45*D138,0)</x:f>
        <x:v>2095.467314576897</x:v>
      </x:c>
      <x:c r="F138" s="141" t="n">
        <x:f>IF(A138=$B$29,$B$44,0)</x:f>
        <x:v>0</x:v>
      </x:c>
      <x:c r="G138" s="141" t="n">
        <x:f>E138+F138</x:f>
        <x:v>2095.467314576897</x:v>
      </x:c>
      <x:c r="H138" s="141" t="n">
        <x:f>IF(A138=$B$29,$B$42,0)</x:f>
        <x:v>0</x:v>
      </x:c>
      <x:c r="I138" s="141" t="n">
        <x:f>IF(A138=$B$29,$B$43,0)</x:f>
        <x:v>0</x:v>
      </x:c>
      <x:c r="J138" s="140" t="str">
        <x:f>IF(A138&lt;$B$29,"Aguardando",IF(A138=$B$29,"Contemplado","Pos-contemplacao"))</x:f>
        <x:v>Pos-contemplacao</x:v>
      </x:c>
      <x:c r="K138" s="141" t="n">
        <x:f>IF(A138&gt;=$B$27,0,(K139+E139)/(1+$B$9))</x:f>
        <x:v>239324.04918847786</x:v>
      </x:c>
      <x:c r="L138" s="141" t="n">
        <x:f>IF(A138&lt;$B$29,$B$43/(1+$B$9)^($B$29-A138),0)</x:f>
        <x:v>0</x:v>
      </x:c>
      <x:c r="M138" s="141" t="n">
        <x:f>L138-K138</x:f>
        <x:v>-239324.04918847786</x:v>
      </x:c>
    </x:row>
    <x:row r="139">
      <x:c r="A139" s="142" t="n">
        <x:v>85</x:v>
      </x:c>
      <x:c r="B139" s="179" t="n">
        <x:f>EDATE($B$5,A139-1)</x:f>
        <x:v>49096</x:v>
      </x:c>
      <x:c r="C139" s="141" t="n">
        <x:f>$B$6</x:f>
        <x:v>7000</x:v>
      </x:c>
      <x:c r="D139" s="180" t="n">
        <x:f>(1+$B$28)^INT((A139-1)/12)</x:f>
        <x:v>1.5036302589913606</x:v>
      </x:c>
      <x:c r="E139" s="141" t="n">
        <x:f>IF(A139&lt;=$B$27,$B$45*D139,0)</x:f>
        <x:v>2221.195353451511</x:v>
      </x:c>
      <x:c r="F139" s="141" t="n">
        <x:f>IF(A139=$B$29,$B$44,0)</x:f>
        <x:v>0</x:v>
      </x:c>
      <x:c r="G139" s="141" t="n">
        <x:f>E139+F139</x:f>
        <x:v>2221.195353451511</x:v>
      </x:c>
      <x:c r="H139" s="141" t="n">
        <x:f>IF(A139=$B$29,$B$42,0)</x:f>
        <x:v>0</x:v>
      </x:c>
      <x:c r="I139" s="141" t="n">
        <x:f>IF(A139=$B$29,$B$43,0)</x:f>
        <x:v>0</x:v>
      </x:c>
      <x:c r="J139" s="140" t="str">
        <x:f>IF(A139&lt;$B$29,"Aguardando",IF(A139=$B$29,"Contemplado","Pos-contemplacao"))</x:f>
        <x:v>Pos-contemplacao</x:v>
      </x:c>
      <x:c r="K139" s="141" t="n">
        <x:f>IF(A139&gt;=$B$27,0,(K140+E140)/(1+$B$9))</x:f>
        <x:v>239373.75018204178</x:v>
      </x:c>
      <x:c r="L139" s="141" t="n">
        <x:f>IF(A139&lt;$B$29,$B$43/(1+$B$9)^($B$29-A139),0)</x:f>
        <x:v>0</x:v>
      </x:c>
      <x:c r="M139" s="141" t="n">
        <x:f>L139-K139</x:f>
        <x:v>-239373.75018204178</x:v>
      </x:c>
    </x:row>
    <x:row r="140">
      <x:c r="A140" s="142" t="n">
        <x:v>86</x:v>
      </x:c>
      <x:c r="B140" s="179" t="n">
        <x:f>EDATE($B$5,A140-1)</x:f>
        <x:v>49126</x:v>
      </x:c>
      <x:c r="C140" s="141" t="n">
        <x:f>$B$6</x:f>
        <x:v>7000</x:v>
      </x:c>
      <x:c r="D140" s="180" t="n">
        <x:f>(1+$B$28)^INT((A140-1)/12)</x:f>
        <x:v>1.5036302589913606</x:v>
      </x:c>
      <x:c r="E140" s="141" t="n">
        <x:f>IF(A140&lt;=$B$27,$B$45*D140,0)</x:f>
        <x:v>2221.195353451511</x:v>
      </x:c>
      <x:c r="F140" s="141" t="n">
        <x:f>IF(A140=$B$29,$B$44,0)</x:f>
        <x:v>0</x:v>
      </x:c>
      <x:c r="G140" s="141" t="n">
        <x:f>E140+F140</x:f>
        <x:v>2221.195353451511</x:v>
      </x:c>
      <x:c r="H140" s="141" t="n">
        <x:f>IF(A140=$B$29,$B$42,0)</x:f>
        <x:v>0</x:v>
      </x:c>
      <x:c r="I140" s="141" t="n">
        <x:f>IF(A140=$B$29,$B$43,0)</x:f>
        <x:v>0</x:v>
      </x:c>
      <x:c r="J140" s="140" t="str">
        <x:f>IF(A140&lt;$B$29,"Aguardando",IF(A140=$B$29,"Contemplado","Pos-contemplacao"))</x:f>
        <x:v>Pos-contemplacao</x:v>
      </x:c>
      <x:c r="K140" s="141" t="n">
        <x:f>IF(A140&gt;=$B$27,0,(K141+E141)/(1+$B$9))</x:f>
        <x:v>239423.9227780423</x:v>
      </x:c>
      <x:c r="L140" s="141" t="n">
        <x:f>IF(A140&lt;$B$29,$B$43/(1+$B$9)^($B$29-A140),0)</x:f>
        <x:v>0</x:v>
      </x:c>
      <x:c r="M140" s="141" t="n">
        <x:f>L140-K140</x:f>
        <x:v>-239423.9227780423</x:v>
      </x:c>
    </x:row>
    <x:row r="141">
      <x:c r="A141" s="142" t="n">
        <x:v>87</x:v>
      </x:c>
      <x:c r="B141" s="179" t="n">
        <x:f>EDATE($B$5,A141-1)</x:f>
        <x:v>49157</x:v>
      </x:c>
      <x:c r="C141" s="141" t="n">
        <x:f>$B$6</x:f>
        <x:v>7000</x:v>
      </x:c>
      <x:c r="D141" s="180" t="n">
        <x:f>(1+$B$28)^INT((A141-1)/12)</x:f>
        <x:v>1.5036302589913606</x:v>
      </x:c>
      <x:c r="E141" s="141" t="n">
        <x:f>IF(A141&lt;=$B$27,$B$45*D141,0)</x:f>
        <x:v>2221.195353451511</x:v>
      </x:c>
      <x:c r="F141" s="141" t="n">
        <x:f>IF(A141=$B$29,$B$44,0)</x:f>
        <x:v>0</x:v>
      </x:c>
      <x:c r="G141" s="141" t="n">
        <x:f>E141+F141</x:f>
        <x:v>2221.195353451511</x:v>
      </x:c>
      <x:c r="H141" s="141" t="n">
        <x:f>IF(A141=$B$29,$B$42,0)</x:f>
        <x:v>0</x:v>
      </x:c>
      <x:c r="I141" s="141" t="n">
        <x:f>IF(A141=$B$29,$B$43,0)</x:f>
        <x:v>0</x:v>
      </x:c>
      <x:c r="J141" s="140" t="str">
        <x:f>IF(A141&lt;$B$29,"Aguardando",IF(A141=$B$29,"Contemplado","Pos-contemplacao"))</x:f>
        <x:v>Pos-contemplacao</x:v>
      </x:c>
      <x:c r="K141" s="141" t="n">
        <x:f>IF(A141&gt;=$B$27,0,(K142+E142)/(1+$B$9))</x:f>
        <x:v>239474.57145141723</x:v>
      </x:c>
      <x:c r="L141" s="141" t="n">
        <x:f>IF(A141&lt;$B$29,$B$43/(1+$B$9)^($B$29-A141),0)</x:f>
        <x:v>0</x:v>
      </x:c>
      <x:c r="M141" s="141" t="n">
        <x:f>L141-K141</x:f>
        <x:v>-239474.57145141723</x:v>
      </x:c>
    </x:row>
    <x:row r="142">
      <x:c r="A142" s="142" t="n">
        <x:v>88</x:v>
      </x:c>
      <x:c r="B142" s="179" t="n">
        <x:f>EDATE($B$5,A142-1)</x:f>
        <x:v>49188</x:v>
      </x:c>
      <x:c r="C142" s="141" t="n">
        <x:f>$B$6</x:f>
        <x:v>7000</x:v>
      </x:c>
      <x:c r="D142" s="180" t="n">
        <x:f>(1+$B$28)^INT((A142-1)/12)</x:f>
        <x:v>1.5036302589913606</x:v>
      </x:c>
      <x:c r="E142" s="141" t="n">
        <x:f>IF(A142&lt;=$B$27,$B$45*D142,0)</x:f>
        <x:v>2221.195353451511</x:v>
      </x:c>
      <x:c r="F142" s="141" t="n">
        <x:f>IF(A142=$B$29,$B$44,0)</x:f>
        <x:v>0</x:v>
      </x:c>
      <x:c r="G142" s="141" t="n">
        <x:f>E142+F142</x:f>
        <x:v>2221.195353451511</x:v>
      </x:c>
      <x:c r="H142" s="141" t="n">
        <x:f>IF(A142=$B$29,$B$42,0)</x:f>
        <x:v>0</x:v>
      </x:c>
      <x:c r="I142" s="141" t="n">
        <x:f>IF(A142=$B$29,$B$43,0)</x:f>
        <x:v>0</x:v>
      </x:c>
      <x:c r="J142" s="140" t="str">
        <x:f>IF(A142&lt;$B$29,"Aguardando",IF(A142=$B$29,"Contemplado","Pos-contemplacao"))</x:f>
        <x:v>Pos-contemplacao</x:v>
      </x:c>
      <x:c r="K142" s="141" t="n">
        <x:f>IF(A142&gt;=$B$27,0,(K143+E143)/(1+$B$9))</x:f>
        <x:v>239525.70071956623</x:v>
      </x:c>
      <x:c r="L142" s="141" t="n">
        <x:f>IF(A142&lt;$B$29,$B$43/(1+$B$9)^($B$29-A142),0)</x:f>
        <x:v>0</x:v>
      </x:c>
      <x:c r="M142" s="141" t="n">
        <x:f>L142-K142</x:f>
        <x:v>-239525.70071956623</x:v>
      </x:c>
    </x:row>
    <x:row r="143">
      <x:c r="A143" s="142" t="n">
        <x:v>89</x:v>
      </x:c>
      <x:c r="B143" s="179" t="n">
        <x:f>EDATE($B$5,A143-1)</x:f>
        <x:v>49218</x:v>
      </x:c>
      <x:c r="C143" s="141" t="n">
        <x:f>$B$6</x:f>
        <x:v>7000</x:v>
      </x:c>
      <x:c r="D143" s="180" t="n">
        <x:f>(1+$B$28)^INT((A143-1)/12)</x:f>
        <x:v>1.5036302589913606</x:v>
      </x:c>
      <x:c r="E143" s="141" t="n">
        <x:f>IF(A143&lt;=$B$27,$B$45*D143,0)</x:f>
        <x:v>2221.195353451511</x:v>
      </x:c>
      <x:c r="F143" s="141" t="n">
        <x:f>IF(A143=$B$29,$B$44,0)</x:f>
        <x:v>0</x:v>
      </x:c>
      <x:c r="G143" s="141" t="n">
        <x:f>E143+F143</x:f>
        <x:v>2221.195353451511</x:v>
      </x:c>
      <x:c r="H143" s="141" t="n">
        <x:f>IF(A143=$B$29,$B$42,0)</x:f>
        <x:v>0</x:v>
      </x:c>
      <x:c r="I143" s="141" t="n">
        <x:f>IF(A143=$B$29,$B$43,0)</x:f>
        <x:v>0</x:v>
      </x:c>
      <x:c r="J143" s="140" t="str">
        <x:f>IF(A143&lt;$B$29,"Aguardando",IF(A143=$B$29,"Contemplado","Pos-contemplacao"))</x:f>
        <x:v>Pos-contemplacao</x:v>
      </x:c>
      <x:c r="K143" s="141" t="n">
        <x:f>IF(A143&gt;=$B$27,0,(K144+E144)/(1+$B$9))</x:f>
        <x:v>239577.3151427536</x:v>
      </x:c>
      <x:c r="L143" s="141" t="n">
        <x:f>IF(A143&lt;$B$29,$B$43/(1+$B$9)^($B$29-A143),0)</x:f>
        <x:v>0</x:v>
      </x:c>
      <x:c r="M143" s="141" t="n">
        <x:f>L143-K143</x:f>
        <x:v>-239577.3151427536</x:v>
      </x:c>
    </x:row>
    <x:row r="144">
      <x:c r="A144" s="142" t="n">
        <x:v>90</x:v>
      </x:c>
      <x:c r="B144" s="179" t="n">
        <x:f>EDATE($B$5,A144-1)</x:f>
        <x:v>49249</x:v>
      </x:c>
      <x:c r="C144" s="141" t="n">
        <x:f>$B$6</x:f>
        <x:v>7000</x:v>
      </x:c>
      <x:c r="D144" s="180" t="n">
        <x:f>(1+$B$28)^INT((A144-1)/12)</x:f>
        <x:v>1.5036302589913606</x:v>
      </x:c>
      <x:c r="E144" s="141" t="n">
        <x:f>IF(A144&lt;=$B$27,$B$45*D144,0)</x:f>
        <x:v>2221.195353451511</x:v>
      </x:c>
      <x:c r="F144" s="141" t="n">
        <x:f>IF(A144=$B$29,$B$44,0)</x:f>
        <x:v>0</x:v>
      </x:c>
      <x:c r="G144" s="141" t="n">
        <x:f>E144+F144</x:f>
        <x:v>2221.195353451511</x:v>
      </x:c>
      <x:c r="H144" s="141" t="n">
        <x:f>IF(A144=$B$29,$B$42,0)</x:f>
        <x:v>0</x:v>
      </x:c>
      <x:c r="I144" s="141" t="n">
        <x:f>IF(A144=$B$29,$B$43,0)</x:f>
        <x:v>0</x:v>
      </x:c>
      <x:c r="J144" s="140" t="str">
        <x:f>IF(A144&lt;$B$29,"Aguardando",IF(A144=$B$29,"Contemplado","Pos-contemplacao"))</x:f>
        <x:v>Pos-contemplacao</x:v>
      </x:c>
      <x:c r="K144" s="141" t="n">
        <x:f>IF(A144&gt;=$B$27,0,(K145+E145)/(1+$B$9))</x:f>
        <x:v>239629.419324515</x:v>
      </x:c>
      <x:c r="L144" s="141" t="n">
        <x:f>IF(A144&lt;$B$29,$B$43/(1+$B$9)^($B$29-A144),0)</x:f>
        <x:v>0</x:v>
      </x:c>
      <x:c r="M144" s="141" t="n">
        <x:f>L144-K144</x:f>
        <x:v>-239629.419324515</x:v>
      </x:c>
    </x:row>
    <x:row r="145">
      <x:c r="A145" s="142" t="n">
        <x:v>91</x:v>
      </x:c>
      <x:c r="B145" s="179" t="n">
        <x:f>EDATE($B$5,A145-1)</x:f>
        <x:v>49279</x:v>
      </x:c>
      <x:c r="C145" s="141" t="n">
        <x:f>$B$6</x:f>
        <x:v>7000</x:v>
      </x:c>
      <x:c r="D145" s="180" t="n">
        <x:f>(1+$B$28)^INT((A145-1)/12)</x:f>
        <x:v>1.5036302589913606</x:v>
      </x:c>
      <x:c r="E145" s="141" t="n">
        <x:f>IF(A145&lt;=$B$27,$B$45*D145,0)</x:f>
        <x:v>2221.195353451511</x:v>
      </x:c>
      <x:c r="F145" s="141" t="n">
        <x:f>IF(A145=$B$29,$B$44,0)</x:f>
        <x:v>0</x:v>
      </x:c>
      <x:c r="G145" s="141" t="n">
        <x:f>E145+F145</x:f>
        <x:v>2221.195353451511</x:v>
      </x:c>
      <x:c r="H145" s="141" t="n">
        <x:f>IF(A145=$B$29,$B$42,0)</x:f>
        <x:v>0</x:v>
      </x:c>
      <x:c r="I145" s="141" t="n">
        <x:f>IF(A145=$B$29,$B$43,0)</x:f>
        <x:v>0</x:v>
      </x:c>
      <x:c r="J145" s="140" t="str">
        <x:f>IF(A145&lt;$B$29,"Aguardando",IF(A145=$B$29,"Contemplado","Pos-contemplacao"))</x:f>
        <x:v>Pos-contemplacao</x:v>
      </x:c>
      <x:c r="K145" s="141" t="n">
        <x:f>IF(A145&gt;=$B$27,0,(K146+E146)/(1+$B$9))</x:f>
        <x:v>239682.0179120682</x:v>
      </x:c>
      <x:c r="L145" s="141" t="n">
        <x:f>IF(A145&lt;$B$29,$B$43/(1+$B$9)^($B$29-A145),0)</x:f>
        <x:v>0</x:v>
      </x:c>
      <x:c r="M145" s="141" t="n">
        <x:f>L145-K145</x:f>
        <x:v>-239682.0179120682</x:v>
      </x:c>
    </x:row>
    <x:row r="146">
      <x:c r="A146" s="142" t="n">
        <x:v>92</x:v>
      </x:c>
      <x:c r="B146" s="179" t="n">
        <x:f>EDATE($B$5,A146-1)</x:f>
        <x:v>49310</x:v>
      </x:c>
      <x:c r="C146" s="141" t="n">
        <x:f>$B$6</x:f>
        <x:v>7000</x:v>
      </x:c>
      <x:c r="D146" s="180" t="n">
        <x:f>(1+$B$28)^INT((A146-1)/12)</x:f>
        <x:v>1.5036302589913606</x:v>
      </x:c>
      <x:c r="E146" s="141" t="n">
        <x:f>IF(A146&lt;=$B$27,$B$45*D146,0)</x:f>
        <x:v>2221.195353451511</x:v>
      </x:c>
      <x:c r="F146" s="141" t="n">
        <x:f>IF(A146=$B$29,$B$44,0)</x:f>
        <x:v>0</x:v>
      </x:c>
      <x:c r="G146" s="141" t="n">
        <x:f>E146+F146</x:f>
        <x:v>2221.195353451511</x:v>
      </x:c>
      <x:c r="H146" s="141" t="n">
        <x:f>IF(A146=$B$29,$B$42,0)</x:f>
        <x:v>0</x:v>
      </x:c>
      <x:c r="I146" s="141" t="n">
        <x:f>IF(A146=$B$29,$B$43,0)</x:f>
        <x:v>0</x:v>
      </x:c>
      <x:c r="J146" s="140" t="str">
        <x:f>IF(A146&lt;$B$29,"Aguardando",IF(A146=$B$29,"Contemplado","Pos-contemplacao"))</x:f>
        <x:v>Pos-contemplacao</x:v>
      </x:c>
      <x:c r="K146" s="141" t="n">
        <x:f>IF(A146&gt;=$B$27,0,(K147+E147)/(1+$B$9))</x:f>
        <x:v>239735.11559672732</x:v>
      </x:c>
      <x:c r="L146" s="141" t="n">
        <x:f>IF(A146&lt;$B$29,$B$43/(1+$B$9)^($B$29-A146),0)</x:f>
        <x:v>0</x:v>
      </x:c>
      <x:c r="M146" s="141" t="n">
        <x:f>L146-K146</x:f>
        <x:v>-239735.11559672732</x:v>
      </x:c>
    </x:row>
    <x:row r="147">
      <x:c r="A147" s="142" t="n">
        <x:v>93</x:v>
      </x:c>
      <x:c r="B147" s="179" t="n">
        <x:f>EDATE($B$5,A147-1)</x:f>
        <x:v>49341</x:v>
      </x:c>
      <x:c r="C147" s="141" t="n">
        <x:f>$B$6</x:f>
        <x:v>7000</x:v>
      </x:c>
      <x:c r="D147" s="180" t="n">
        <x:f>(1+$B$28)^INT((A147-1)/12)</x:f>
        <x:v>1.5036302589913606</x:v>
      </x:c>
      <x:c r="E147" s="141" t="n">
        <x:f>IF(A147&lt;=$B$27,$B$45*D147,0)</x:f>
        <x:v>2221.195353451511</x:v>
      </x:c>
      <x:c r="F147" s="141" t="n">
        <x:f>IF(A147=$B$29,$B$44,0)</x:f>
        <x:v>0</x:v>
      </x:c>
      <x:c r="G147" s="141" t="n">
        <x:f>E147+F147</x:f>
        <x:v>2221.195353451511</x:v>
      </x:c>
      <x:c r="H147" s="141" t="n">
        <x:f>IF(A147=$B$29,$B$42,0)</x:f>
        <x:v>0</x:v>
      </x:c>
      <x:c r="I147" s="141" t="n">
        <x:f>IF(A147=$B$29,$B$43,0)</x:f>
        <x:v>0</x:v>
      </x:c>
      <x:c r="J147" s="140" t="str">
        <x:f>IF(A147&lt;$B$29,"Aguardando",IF(A147=$B$29,"Contemplado","Pos-contemplacao"))</x:f>
        <x:v>Pos-contemplacao</x:v>
      </x:c>
      <x:c r="K147" s="141" t="n">
        <x:f>IF(A147&gt;=$B$27,0,(K148+E148)/(1+$B$9))</x:f>
        <x:v>239788.71711432148</x:v>
      </x:c>
      <x:c r="L147" s="141" t="n">
        <x:f>IF(A147&lt;$B$29,$B$43/(1+$B$9)^($B$29-A147),0)</x:f>
        <x:v>0</x:v>
      </x:c>
      <x:c r="M147" s="141" t="n">
        <x:f>L147-K147</x:f>
        <x:v>-239788.71711432148</x:v>
      </x:c>
    </x:row>
    <x:row r="148">
      <x:c r="A148" s="142" t="n">
        <x:v>94</x:v>
      </x:c>
      <x:c r="B148" s="179" t="n">
        <x:f>EDATE($B$5,A148-1)</x:f>
        <x:v>49369</x:v>
      </x:c>
      <x:c r="C148" s="141" t="n">
        <x:f>$B$6</x:f>
        <x:v>7000</x:v>
      </x:c>
      <x:c r="D148" s="180" t="n">
        <x:f>(1+$B$28)^INT((A148-1)/12)</x:f>
        <x:v>1.5036302589913606</x:v>
      </x:c>
      <x:c r="E148" s="141" t="n">
        <x:f>IF(A148&lt;=$B$27,$B$45*D148,0)</x:f>
        <x:v>2221.195353451511</x:v>
      </x:c>
      <x:c r="F148" s="141" t="n">
        <x:f>IF(A148=$B$29,$B$44,0)</x:f>
        <x:v>0</x:v>
      </x:c>
      <x:c r="G148" s="141" t="n">
        <x:f>E148+F148</x:f>
        <x:v>2221.195353451511</x:v>
      </x:c>
      <x:c r="H148" s="141" t="n">
        <x:f>IF(A148=$B$29,$B$42,0)</x:f>
        <x:v>0</x:v>
      </x:c>
      <x:c r="I148" s="141" t="n">
        <x:f>IF(A148=$B$29,$B$43,0)</x:f>
        <x:v>0</x:v>
      </x:c>
      <x:c r="J148" s="140" t="str">
        <x:f>IF(A148&lt;$B$29,"Aguardando",IF(A148=$B$29,"Contemplado","Pos-contemplacao"))</x:f>
        <x:v>Pos-contemplacao</x:v>
      </x:c>
      <x:c r="K148" s="141" t="n">
        <x:f>IF(A148&gt;=$B$27,0,(K149+E149)/(1+$B$9))</x:f>
        <x:v>239842.82724561708</x:v>
      </x:c>
      <x:c r="L148" s="141" t="n">
        <x:f>IF(A148&lt;$B$29,$B$43/(1+$B$9)^($B$29-A148),0)</x:f>
        <x:v>0</x:v>
      </x:c>
      <x:c r="M148" s="141" t="n">
        <x:f>L148-K148</x:f>
        <x:v>-239842.82724561708</x:v>
      </x:c>
    </x:row>
    <x:row r="149">
      <x:c r="A149" s="142" t="n">
        <x:v>95</x:v>
      </x:c>
      <x:c r="B149" s="179" t="n">
        <x:f>EDATE($B$5,A149-1)</x:f>
        <x:v>49400</x:v>
      </x:c>
      <x:c r="C149" s="141" t="n">
        <x:f>$B$6</x:f>
        <x:v>7000</x:v>
      </x:c>
      <x:c r="D149" s="180" t="n">
        <x:f>(1+$B$28)^INT((A149-1)/12)</x:f>
        <x:v>1.5036302589913606</x:v>
      </x:c>
      <x:c r="E149" s="141" t="n">
        <x:f>IF(A149&lt;=$B$27,$B$45*D149,0)</x:f>
        <x:v>2221.195353451511</x:v>
      </x:c>
      <x:c r="F149" s="141" t="n">
        <x:f>IF(A149=$B$29,$B$44,0)</x:f>
        <x:v>0</x:v>
      </x:c>
      <x:c r="G149" s="141" t="n">
        <x:f>E149+F149</x:f>
        <x:v>2221.195353451511</x:v>
      </x:c>
      <x:c r="H149" s="141" t="n">
        <x:f>IF(A149=$B$29,$B$42,0)</x:f>
        <x:v>0</x:v>
      </x:c>
      <x:c r="I149" s="141" t="n">
        <x:f>IF(A149=$B$29,$B$43,0)</x:f>
        <x:v>0</x:v>
      </x:c>
      <x:c r="J149" s="140" t="str">
        <x:f>IF(A149&lt;$B$29,"Aguardando",IF(A149=$B$29,"Contemplado","Pos-contemplacao"))</x:f>
        <x:v>Pos-contemplacao</x:v>
      </x:c>
      <x:c r="K149" s="141" t="n">
        <x:f>IF(A149&gt;=$B$27,0,(K150+E150)/(1+$B$9))</x:f>
        <x:v>239897.4508167442</x:v>
      </x:c>
      <x:c r="L149" s="141" t="n">
        <x:f>IF(A149&lt;$B$29,$B$43/(1+$B$9)^($B$29-A149),0)</x:f>
        <x:v>0</x:v>
      </x:c>
      <x:c r="M149" s="141" t="n">
        <x:f>L149-K149</x:f>
        <x:v>-239897.4508167442</x:v>
      </x:c>
    </x:row>
    <x:row r="150">
      <x:c r="A150" s="142" t="n">
        <x:v>96</x:v>
      </x:c>
      <x:c r="B150" s="179" t="n">
        <x:f>EDATE($B$5,A150-1)</x:f>
        <x:v>49430</x:v>
      </x:c>
      <x:c r="C150" s="141" t="n">
        <x:f>$B$6</x:f>
        <x:v>7000</x:v>
      </x:c>
      <x:c r="D150" s="180" t="n">
        <x:f>(1+$B$28)^INT((A150-1)/12)</x:f>
        <x:v>1.5036302589913606</x:v>
      </x:c>
      <x:c r="E150" s="141" t="n">
        <x:f>IF(A150&lt;=$B$27,$B$45*D150,0)</x:f>
        <x:v>2221.195353451511</x:v>
      </x:c>
      <x:c r="F150" s="141" t="n">
        <x:f>IF(A150=$B$29,$B$44,0)</x:f>
        <x:v>0</x:v>
      </x:c>
      <x:c r="G150" s="141" t="n">
        <x:f>E150+F150</x:f>
        <x:v>2221.195353451511</x:v>
      </x:c>
      <x:c r="H150" s="141" t="n">
        <x:f>IF(A150=$B$29,$B$42,0)</x:f>
        <x:v>0</x:v>
      </x:c>
      <x:c r="I150" s="141" t="n">
        <x:f>IF(A150=$B$29,$B$43,0)</x:f>
        <x:v>0</x:v>
      </x:c>
      <x:c r="J150" s="140" t="str">
        <x:f>IF(A150&lt;$B$29,"Aguardando",IF(A150=$B$29,"Contemplado","Pos-contemplacao"))</x:f>
        <x:v>Pos-contemplacao</x:v>
      </x:c>
      <x:c r="K150" s="141" t="n">
        <x:f>IF(A150&gt;=$B$27,0,(K151+E151)/(1+$B$9))</x:f>
        <x:v>239952.5926996271</x:v>
      </x:c>
      <x:c r="L150" s="141" t="n">
        <x:f>IF(A150&lt;$B$29,$B$43/(1+$B$9)^($B$29-A150),0)</x:f>
        <x:v>0</x:v>
      </x:c>
      <x:c r="M150" s="141" t="n">
        <x:f>L150-K150</x:f>
        <x:v>-239952.5926996271</x:v>
      </x:c>
    </x:row>
    <x:row r="151">
      <x:c r="A151" s="142" t="n">
        <x:v>97</x:v>
      </x:c>
      <x:c r="B151" s="179" t="n">
        <x:f>EDATE($B$5,A151-1)</x:f>
        <x:v>49461</x:v>
      </x:c>
      <x:c r="C151" s="141" t="n">
        <x:f>$B$6</x:f>
        <x:v>7000</x:v>
      </x:c>
      <x:c r="D151" s="180" t="n">
        <x:f>(1+$B$28)^INT((A151-1)/12)</x:f>
        <x:v>1.5938480745308423</x:v>
      </x:c>
      <x:c r="E151" s="141" t="n">
        <x:f>IF(A151&lt;=$B$27,$B$45*D151,0)</x:f>
        <x:v>2354.4670746586016</x:v>
      </x:c>
      <x:c r="F151" s="141" t="n">
        <x:f>IF(A151=$B$29,$B$44,0)</x:f>
        <x:v>0</x:v>
      </x:c>
      <x:c r="G151" s="141" t="n">
        <x:f>E151+F151</x:f>
        <x:v>2354.4670746586016</x:v>
      </x:c>
      <x:c r="H151" s="141" t="n">
        <x:f>IF(A151=$B$29,$B$42,0)</x:f>
        <x:v>0</x:v>
      </x:c>
      <x:c r="I151" s="141" t="n">
        <x:f>IF(A151=$B$29,$B$43,0)</x:f>
        <x:v>0</x:v>
      </x:c>
      <x:c r="J151" s="140" t="str">
        <x:f>IF(A151&lt;$B$29,"Aguardando",IF(A151=$B$29,"Contemplado","Pos-contemplacao"))</x:f>
        <x:v>Pos-contemplacao</x:v>
      </x:c>
      <x:c r="K151" s="141" t="n">
        <x:f>IF(A151&gt;=$B$27,0,(K152+E152)/(1+$B$9))</x:f>
        <x:v>239874.9860912116</x:v>
      </x:c>
      <x:c r="L151" s="141" t="n">
        <x:f>IF(A151&lt;$B$29,$B$43/(1+$B$9)^($B$29-A151),0)</x:f>
        <x:v>0</x:v>
      </x:c>
      <x:c r="M151" s="141" t="n">
        <x:f>L151-K151</x:f>
        <x:v>-239874.9860912116</x:v>
      </x:c>
    </x:row>
    <x:row r="152">
      <x:c r="A152" s="142" t="n">
        <x:v>98</x:v>
      </x:c>
      <x:c r="B152" s="179" t="n">
        <x:f>EDATE($B$5,A152-1)</x:f>
        <x:v>49491</x:v>
      </x:c>
      <x:c r="C152" s="141" t="n">
        <x:f>$B$6</x:f>
        <x:v>7000</x:v>
      </x:c>
      <x:c r="D152" s="180" t="n">
        <x:f>(1+$B$28)^INT((A152-1)/12)</x:f>
        <x:v>1.5938480745308423</x:v>
      </x:c>
      <x:c r="E152" s="141" t="n">
        <x:f>IF(A152&lt;=$B$27,$B$45*D152,0)</x:f>
        <x:v>2354.4670746586016</x:v>
      </x:c>
      <x:c r="F152" s="141" t="n">
        <x:f>IF(A152=$B$29,$B$44,0)</x:f>
        <x:v>0</x:v>
      </x:c>
      <x:c r="G152" s="141" t="n">
        <x:f>E152+F152</x:f>
        <x:v>2354.4670746586016</x:v>
      </x:c>
      <x:c r="H152" s="141" t="n">
        <x:f>IF(A152=$B$29,$B$42,0)</x:f>
        <x:v>0</x:v>
      </x:c>
      <x:c r="I152" s="141" t="n">
        <x:f>IF(A152=$B$29,$B$43,0)</x:f>
        <x:v>0</x:v>
      </x:c>
      <x:c r="J152" s="140" t="str">
        <x:f>IF(A152&lt;$B$29,"Aguardando",IF(A152=$B$29,"Contemplado","Pos-contemplacao"))</x:f>
        <x:v>Pos-contemplacao</x:v>
      </x:c>
      <x:c r="K152" s="141" t="n">
        <x:f>IF(A152&gt;=$B$27,0,(K153+E153)/(1+$B$9))</x:f>
        <x:v>239796.6430897585</x:v>
      </x:c>
      <x:c r="L152" s="141" t="n">
        <x:f>IF(A152&lt;$B$29,$B$43/(1+$B$9)^($B$29-A152),0)</x:f>
        <x:v>0</x:v>
      </x:c>
      <x:c r="M152" s="141" t="n">
        <x:f>L152-K152</x:f>
        <x:v>-239796.6430897585</x:v>
      </x:c>
    </x:row>
    <x:row r="153">
      <x:c r="A153" s="142" t="n">
        <x:v>99</x:v>
      </x:c>
      <x:c r="B153" s="179" t="n">
        <x:f>EDATE($B$5,A153-1)</x:f>
        <x:v>49522</x:v>
      </x:c>
      <x:c r="C153" s="141" t="n">
        <x:f>$B$6</x:f>
        <x:v>7000</x:v>
      </x:c>
      <x:c r="D153" s="180" t="n">
        <x:f>(1+$B$28)^INT((A153-1)/12)</x:f>
        <x:v>1.5938480745308423</x:v>
      </x:c>
      <x:c r="E153" s="141" t="n">
        <x:f>IF(A153&lt;=$B$27,$B$45*D153,0)</x:f>
        <x:v>2354.4670746586016</x:v>
      </x:c>
      <x:c r="F153" s="141" t="n">
        <x:f>IF(A153=$B$29,$B$44,0)</x:f>
        <x:v>0</x:v>
      </x:c>
      <x:c r="G153" s="141" t="n">
        <x:f>E153+F153</x:f>
        <x:v>2354.4670746586016</x:v>
      </x:c>
      <x:c r="H153" s="141" t="n">
        <x:f>IF(A153=$B$29,$B$42,0)</x:f>
        <x:v>0</x:v>
      </x:c>
      <x:c r="I153" s="141" t="n">
        <x:f>IF(A153=$B$29,$B$43,0)</x:f>
        <x:v>0</x:v>
      </x:c>
      <x:c r="J153" s="140" t="str">
        <x:f>IF(A153&lt;$B$29,"Aguardando",IF(A153=$B$29,"Contemplado","Pos-contemplacao"))</x:f>
        <x:v>Pos-contemplacao</x:v>
      </x:c>
      <x:c r="K153" s="141" t="n">
        <x:f>IF(A153&gt;=$B$27,0,(K154+E154)/(1+$B$9))</x:f>
        <x:v>239717.55670778672</x:v>
      </x:c>
      <x:c r="L153" s="141" t="n">
        <x:f>IF(A153&lt;$B$29,$B$43/(1+$B$9)^($B$29-A153),0)</x:f>
        <x:v>0</x:v>
      </x:c>
      <x:c r="M153" s="141" t="n">
        <x:f>L153-K153</x:f>
        <x:v>-239717.55670778672</x:v>
      </x:c>
    </x:row>
    <x:row r="154">
      <x:c r="A154" s="142" t="n">
        <x:v>100</x:v>
      </x:c>
      <x:c r="B154" s="179" t="n">
        <x:f>EDATE($B$5,A154-1)</x:f>
        <x:v>49553</x:v>
      </x:c>
      <x:c r="C154" s="141" t="n">
        <x:f>$B$6</x:f>
        <x:v>7000</x:v>
      </x:c>
      <x:c r="D154" s="180" t="n">
        <x:f>(1+$B$28)^INT((A154-1)/12)</x:f>
        <x:v>1.5938480745308423</x:v>
      </x:c>
      <x:c r="E154" s="141" t="n">
        <x:f>IF(A154&lt;=$B$27,$B$45*D154,0)</x:f>
        <x:v>2354.4670746586016</x:v>
      </x:c>
      <x:c r="F154" s="141" t="n">
        <x:f>IF(A154=$B$29,$B$44,0)</x:f>
        <x:v>0</x:v>
      </x:c>
      <x:c r="G154" s="141" t="n">
        <x:f>E154+F154</x:f>
        <x:v>2354.4670746586016</x:v>
      </x:c>
      <x:c r="H154" s="141" t="n">
        <x:f>IF(A154=$B$29,$B$42,0)</x:f>
        <x:v>0</x:v>
      </x:c>
      <x:c r="I154" s="141" t="n">
        <x:f>IF(A154=$B$29,$B$43,0)</x:f>
        <x:v>0</x:v>
      </x:c>
      <x:c r="J154" s="140" t="str">
        <x:f>IF(A154&lt;$B$29,"Aguardando",IF(A154=$B$29,"Contemplado","Pos-contemplacao"))</x:f>
        <x:v>Pos-contemplacao</x:v>
      </x:c>
      <x:c r="K154" s="141" t="n">
        <x:f>IF(A154&gt;=$B$27,0,(K155+E155)/(1+$B$9))</x:f>
        <x:v>239637.71989151248</x:v>
      </x:c>
      <x:c r="L154" s="141" t="n">
        <x:f>IF(A154&lt;$B$29,$B$43/(1+$B$9)^($B$29-A154),0)</x:f>
        <x:v>0</x:v>
      </x:c>
      <x:c r="M154" s="141" t="n">
        <x:f>L154-K154</x:f>
        <x:v>-239637.71989151248</x:v>
      </x:c>
    </x:row>
    <x:row r="155">
      <x:c r="A155" s="142" t="n">
        <x:v>101</x:v>
      </x:c>
      <x:c r="B155" s="179" t="n">
        <x:f>EDATE($B$5,A155-1)</x:f>
        <x:v>49583</x:v>
      </x:c>
      <x:c r="C155" s="141" t="n">
        <x:f>$B$6</x:f>
        <x:v>7000</x:v>
      </x:c>
      <x:c r="D155" s="180" t="n">
        <x:f>(1+$B$28)^INT((A155-1)/12)</x:f>
        <x:v>1.5938480745308423</x:v>
      </x:c>
      <x:c r="E155" s="141" t="n">
        <x:f>IF(A155&lt;=$B$27,$B$45*D155,0)</x:f>
        <x:v>2354.4670746586016</x:v>
      </x:c>
      <x:c r="F155" s="141" t="n">
        <x:f>IF(A155=$B$29,$B$44,0)</x:f>
        <x:v>0</x:v>
      </x:c>
      <x:c r="G155" s="141" t="n">
        <x:f>E155+F155</x:f>
        <x:v>2354.4670746586016</x:v>
      </x:c>
      <x:c r="H155" s="141" t="n">
        <x:f>IF(A155=$B$29,$B$42,0)</x:f>
        <x:v>0</x:v>
      </x:c>
      <x:c r="I155" s="141" t="n">
        <x:f>IF(A155=$B$29,$B$43,0)</x:f>
        <x:v>0</x:v>
      </x:c>
      <x:c r="J155" s="140" t="str">
        <x:f>IF(A155&lt;$B$29,"Aguardando",IF(A155=$B$29,"Contemplado","Pos-contemplacao"))</x:f>
        <x:v>Pos-contemplacao</x:v>
      </x:c>
      <x:c r="K155" s="141" t="n">
        <x:f>IF(A155&gt;=$B$27,0,(K156+E156)/(1+$B$9))</x:f>
        <x:v>239557.12552022006</x:v>
      </x:c>
      <x:c r="L155" s="141" t="n">
        <x:f>IF(A155&lt;$B$29,$B$43/(1+$B$9)^($B$29-A155),0)</x:f>
        <x:v>0</x:v>
      </x:c>
      <x:c r="M155" s="141" t="n">
        <x:f>L155-K155</x:f>
        <x:v>-239557.12552022006</x:v>
      </x:c>
    </x:row>
    <x:row r="156">
      <x:c r="A156" s="142" t="n">
        <x:v>102</x:v>
      </x:c>
      <x:c r="B156" s="179" t="n">
        <x:f>EDATE($B$5,A156-1)</x:f>
        <x:v>49614</x:v>
      </x:c>
      <x:c r="C156" s="141" t="n">
        <x:f>$B$6</x:f>
        <x:v>7000</x:v>
      </x:c>
      <x:c r="D156" s="180" t="n">
        <x:f>(1+$B$28)^INT((A156-1)/12)</x:f>
        <x:v>1.5938480745308423</x:v>
      </x:c>
      <x:c r="E156" s="141" t="n">
        <x:f>IF(A156&lt;=$B$27,$B$45*D156,0)</x:f>
        <x:v>2354.4670746586016</x:v>
      </x:c>
      <x:c r="F156" s="141" t="n">
        <x:f>IF(A156=$B$29,$B$44,0)</x:f>
        <x:v>0</x:v>
      </x:c>
      <x:c r="G156" s="141" t="n">
        <x:f>E156+F156</x:f>
        <x:v>2354.4670746586016</x:v>
      </x:c>
      <x:c r="H156" s="141" t="n">
        <x:f>IF(A156=$B$29,$B$42,0)</x:f>
        <x:v>0</x:v>
      </x:c>
      <x:c r="I156" s="141" t="n">
        <x:f>IF(A156=$B$29,$B$43,0)</x:f>
        <x:v>0</x:v>
      </x:c>
      <x:c r="J156" s="140" t="str">
        <x:f>IF(A156&lt;$B$29,"Aguardando",IF(A156=$B$29,"Contemplado","Pos-contemplacao"))</x:f>
        <x:v>Pos-contemplacao</x:v>
      </x:c>
      <x:c r="K156" s="141" t="n">
        <x:f>IF(A156&gt;=$B$27,0,(K157+E157)/(1+$B$9))</x:f>
        <x:v>239475.76640562672</x:v>
      </x:c>
      <x:c r="L156" s="141" t="n">
        <x:f>IF(A156&lt;$B$29,$B$43/(1+$B$9)^($B$29-A156),0)</x:f>
        <x:v>0</x:v>
      </x:c>
      <x:c r="M156" s="141" t="n">
        <x:f>L156-K156</x:f>
        <x:v>-239475.76640562672</x:v>
      </x:c>
    </x:row>
    <x:row r="157">
      <x:c r="A157" s="142" t="n">
        <x:v>103</x:v>
      </x:c>
      <x:c r="B157" s="179" t="n">
        <x:f>EDATE($B$5,A157-1)</x:f>
        <x:v>49644</x:v>
      </x:c>
      <x:c r="C157" s="141" t="n">
        <x:f>$B$6</x:f>
        <x:v>7000</x:v>
      </x:c>
      <x:c r="D157" s="180" t="n">
        <x:f>(1+$B$28)^INT((A157-1)/12)</x:f>
        <x:v>1.5938480745308423</x:v>
      </x:c>
      <x:c r="E157" s="141" t="n">
        <x:f>IF(A157&lt;=$B$27,$B$45*D157,0)</x:f>
        <x:v>2354.4670746586016</x:v>
      </x:c>
      <x:c r="F157" s="141" t="n">
        <x:f>IF(A157=$B$29,$B$44,0)</x:f>
        <x:v>0</x:v>
      </x:c>
      <x:c r="G157" s="141" t="n">
        <x:f>E157+F157</x:f>
        <x:v>2354.4670746586016</x:v>
      </x:c>
      <x:c r="H157" s="141" t="n">
        <x:f>IF(A157=$B$29,$B$42,0)</x:f>
        <x:v>0</x:v>
      </x:c>
      <x:c r="I157" s="141" t="n">
        <x:f>IF(A157=$B$29,$B$43,0)</x:f>
        <x:v>0</x:v>
      </x:c>
      <x:c r="J157" s="140" t="str">
        <x:f>IF(A157&lt;$B$29,"Aguardando",IF(A157=$B$29,"Contemplado","Pos-contemplacao"))</x:f>
        <x:v>Pos-contemplacao</x:v>
      </x:c>
      <x:c r="K157" s="141" t="n">
        <x:f>IF(A157&gt;=$B$27,0,(K158+E158)/(1+$B$9))</x:f>
        <x:v>239393.6352912417</x:v>
      </x:c>
      <x:c r="L157" s="141" t="n">
        <x:f>IF(A157&lt;$B$29,$B$43/(1+$B$9)^($B$29-A157),0)</x:f>
        <x:v>0</x:v>
      </x:c>
      <x:c r="M157" s="141" t="n">
        <x:f>L157-K157</x:f>
        <x:v>-239393.6352912417</x:v>
      </x:c>
    </x:row>
    <x:row r="158">
      <x:c r="A158" s="142" t="n">
        <x:v>104</x:v>
      </x:c>
      <x:c r="B158" s="179" t="n">
        <x:f>EDATE($B$5,A158-1)</x:f>
        <x:v>49675</x:v>
      </x:c>
      <x:c r="C158" s="141" t="n">
        <x:f>$B$6</x:f>
        <x:v>7000</x:v>
      </x:c>
      <x:c r="D158" s="180" t="n">
        <x:f>(1+$B$28)^INT((A158-1)/12)</x:f>
        <x:v>1.5938480745308423</x:v>
      </x:c>
      <x:c r="E158" s="141" t="n">
        <x:f>IF(A158&lt;=$B$27,$B$45*D158,0)</x:f>
        <x:v>2354.4670746586016</x:v>
      </x:c>
      <x:c r="F158" s="141" t="n">
        <x:f>IF(A158=$B$29,$B$44,0)</x:f>
        <x:v>0</x:v>
      </x:c>
      <x:c r="G158" s="141" t="n">
        <x:f>E158+F158</x:f>
        <x:v>2354.4670746586016</x:v>
      </x:c>
      <x:c r="H158" s="141" t="n">
        <x:f>IF(A158=$B$29,$B$42,0)</x:f>
        <x:v>0</x:v>
      </x:c>
      <x:c r="I158" s="141" t="n">
        <x:f>IF(A158=$B$29,$B$43,0)</x:f>
        <x:v>0</x:v>
      </x:c>
      <x:c r="J158" s="140" t="str">
        <x:f>IF(A158&lt;$B$29,"Aguardando",IF(A158=$B$29,"Contemplado","Pos-contemplacao"))</x:f>
        <x:v>Pos-contemplacao</x:v>
      </x:c>
      <x:c r="K158" s="141" t="n">
        <x:f>IF(A158&gt;=$B$27,0,(K159+E159)/(1+$B$9))</x:f>
        <x:v>239310.72485171878</x:v>
      </x:c>
      <x:c r="L158" s="141" t="n">
        <x:f>IF(A158&lt;$B$29,$B$43/(1+$B$9)^($B$29-A158),0)</x:f>
        <x:v>0</x:v>
      </x:c>
      <x:c r="M158" s="141" t="n">
        <x:f>L158-K158</x:f>
        <x:v>-239310.72485171878</x:v>
      </x:c>
    </x:row>
    <x:row r="159">
      <x:c r="A159" s="142" t="n">
        <x:v>105</x:v>
      </x:c>
      <x:c r="B159" s="179" t="n">
        <x:f>EDATE($B$5,A159-1)</x:f>
        <x:v>49706</x:v>
      </x:c>
      <x:c r="C159" s="141" t="n">
        <x:f>$B$6</x:f>
        <x:v>7000</x:v>
      </x:c>
      <x:c r="D159" s="180" t="n">
        <x:f>(1+$B$28)^INT((A159-1)/12)</x:f>
        <x:v>1.5938480745308423</x:v>
      </x:c>
      <x:c r="E159" s="141" t="n">
        <x:f>IF(A159&lt;=$B$27,$B$45*D159,0)</x:f>
        <x:v>2354.4670746586016</x:v>
      </x:c>
      <x:c r="F159" s="141" t="n">
        <x:f>IF(A159=$B$29,$B$44,0)</x:f>
        <x:v>0</x:v>
      </x:c>
      <x:c r="G159" s="141" t="n">
        <x:f>E159+F159</x:f>
        <x:v>2354.4670746586016</x:v>
      </x:c>
      <x:c r="H159" s="141" t="n">
        <x:f>IF(A159=$B$29,$B$42,0)</x:f>
        <x:v>0</x:v>
      </x:c>
      <x:c r="I159" s="141" t="n">
        <x:f>IF(A159=$B$29,$B$43,0)</x:f>
        <x:v>0</x:v>
      </x:c>
      <x:c r="J159" s="140" t="str">
        <x:f>IF(A159&lt;$B$29,"Aguardando",IF(A159=$B$29,"Contemplado","Pos-contemplacao"))</x:f>
        <x:v>Pos-contemplacao</x:v>
      </x:c>
      <x:c r="K159" s="141" t="n">
        <x:f>IF(A159&gt;=$B$27,0,(K160+E160)/(1+$B$9))</x:f>
        <x:v>239227.02769220312</x:v>
      </x:c>
      <x:c r="L159" s="141" t="n">
        <x:f>IF(A159&lt;$B$29,$B$43/(1+$B$9)^($B$29-A159),0)</x:f>
        <x:v>0</x:v>
      </x:c>
      <x:c r="M159" s="141" t="n">
        <x:f>L159-K159</x:f>
        <x:v>-239227.02769220312</x:v>
      </x:c>
    </x:row>
    <x:row r="160">
      <x:c r="A160" s="142" t="n">
        <x:v>106</x:v>
      </x:c>
      <x:c r="B160" s="179" t="n">
        <x:f>EDATE($B$5,A160-1)</x:f>
        <x:v>49735</x:v>
      </x:c>
      <x:c r="C160" s="141" t="n">
        <x:f>$B$6</x:f>
        <x:v>7000</x:v>
      </x:c>
      <x:c r="D160" s="180" t="n">
        <x:f>(1+$B$28)^INT((A160-1)/12)</x:f>
        <x:v>1.5938480745308423</x:v>
      </x:c>
      <x:c r="E160" s="141" t="n">
        <x:f>IF(A160&lt;=$B$27,$B$45*D160,0)</x:f>
        <x:v>2354.4670746586016</x:v>
      </x:c>
      <x:c r="F160" s="141" t="n">
        <x:f>IF(A160=$B$29,$B$44,0)</x:f>
        <x:v>0</x:v>
      </x:c>
      <x:c r="G160" s="141" t="n">
        <x:f>E160+F160</x:f>
        <x:v>2354.4670746586016</x:v>
      </x:c>
      <x:c r="H160" s="141" t="n">
        <x:f>IF(A160=$B$29,$B$42,0)</x:f>
        <x:v>0</x:v>
      </x:c>
      <x:c r="I160" s="141" t="n">
        <x:f>IF(A160=$B$29,$B$43,0)</x:f>
        <x:v>0</x:v>
      </x:c>
      <x:c r="J160" s="140" t="str">
        <x:f>IF(A160&lt;$B$29,"Aguardando",IF(A160=$B$29,"Contemplado","Pos-contemplacao"))</x:f>
        <x:v>Pos-contemplacao</x:v>
      </x:c>
      <x:c r="K160" s="141" t="n">
        <x:f>IF(A160&gt;=$B$27,0,(K161+E161)/(1+$B$9))</x:f>
        <x:v>239142.5363476716</x:v>
      </x:c>
      <x:c r="L160" s="141" t="n">
        <x:f>IF(A160&lt;$B$29,$B$43/(1+$B$9)^($B$29-A160),0)</x:f>
        <x:v>0</x:v>
      </x:c>
      <x:c r="M160" s="141" t="n">
        <x:f>L160-K160</x:f>
        <x:v>-239142.5363476716</x:v>
      </x:c>
    </x:row>
    <x:row r="161">
      <x:c r="A161" s="142" t="n">
        <x:v>107</x:v>
      </x:c>
      <x:c r="B161" s="179" t="n">
        <x:f>EDATE($B$5,A161-1)</x:f>
        <x:v>49766</x:v>
      </x:c>
      <x:c r="C161" s="141" t="n">
        <x:f>$B$6</x:f>
        <x:v>7000</x:v>
      </x:c>
      <x:c r="D161" s="180" t="n">
        <x:f>(1+$B$28)^INT((A161-1)/12)</x:f>
        <x:v>1.5938480745308423</x:v>
      </x:c>
      <x:c r="E161" s="141" t="n">
        <x:f>IF(A161&lt;=$B$27,$B$45*D161,0)</x:f>
        <x:v>2354.4670746586016</x:v>
      </x:c>
      <x:c r="F161" s="141" t="n">
        <x:f>IF(A161=$B$29,$B$44,0)</x:f>
        <x:v>0</x:v>
      </x:c>
      <x:c r="G161" s="141" t="n">
        <x:f>E161+F161</x:f>
        <x:v>2354.4670746586016</x:v>
      </x:c>
      <x:c r="H161" s="141" t="n">
        <x:f>IF(A161=$B$29,$B$42,0)</x:f>
        <x:v>0</x:v>
      </x:c>
      <x:c r="I161" s="141" t="n">
        <x:f>IF(A161=$B$29,$B$43,0)</x:f>
        <x:v>0</x:v>
      </x:c>
      <x:c r="J161" s="140" t="str">
        <x:f>IF(A161&lt;$B$29,"Aguardando",IF(A161=$B$29,"Contemplado","Pos-contemplacao"))</x:f>
        <x:v>Pos-contemplacao</x:v>
      </x:c>
      <x:c r="K161" s="141" t="n">
        <x:f>IF(A161&gt;=$B$27,0,(K162+E162)/(1+$B$9))</x:f>
        <x:v>239057.24328226704</x:v>
      </x:c>
      <x:c r="L161" s="141" t="n">
        <x:f>IF(A161&lt;$B$29,$B$43/(1+$B$9)^($B$29-A161),0)</x:f>
        <x:v>0</x:v>
      </x:c>
      <x:c r="M161" s="141" t="n">
        <x:f>L161-K161</x:f>
        <x:v>-239057.24328226704</x:v>
      </x:c>
    </x:row>
    <x:row r="162">
      <x:c r="A162" s="142" t="n">
        <x:v>108</x:v>
      </x:c>
      <x:c r="B162" s="179" t="n">
        <x:f>EDATE($B$5,A162-1)</x:f>
        <x:v>49796</x:v>
      </x:c>
      <x:c r="C162" s="141" t="n">
        <x:f>$B$6</x:f>
        <x:v>7000</x:v>
      </x:c>
      <x:c r="D162" s="180" t="n">
        <x:f>(1+$B$28)^INT((A162-1)/12)</x:f>
        <x:v>1.5938480745308423</x:v>
      </x:c>
      <x:c r="E162" s="141" t="n">
        <x:f>IF(A162&lt;=$B$27,$B$45*D162,0)</x:f>
        <x:v>2354.4670746586016</x:v>
      </x:c>
      <x:c r="F162" s="141" t="n">
        <x:f>IF(A162=$B$29,$B$44,0)</x:f>
        <x:v>0</x:v>
      </x:c>
      <x:c r="G162" s="141" t="n">
        <x:f>E162+F162</x:f>
        <x:v>2354.4670746586016</x:v>
      </x:c>
      <x:c r="H162" s="141" t="n">
        <x:f>IF(A162=$B$29,$B$42,0)</x:f>
        <x:v>0</x:v>
      </x:c>
      <x:c r="I162" s="141" t="n">
        <x:f>IF(A162=$B$29,$B$43,0)</x:f>
        <x:v>0</x:v>
      </x:c>
      <x:c r="J162" s="140" t="str">
        <x:f>IF(A162&lt;$B$29,"Aguardando",IF(A162=$B$29,"Contemplado","Pos-contemplacao"))</x:f>
        <x:v>Pos-contemplacao</x:v>
      </x:c>
      <x:c r="K162" s="141" t="n">
        <x:f>IF(A162&gt;=$B$27,0,(K163+E163)/(1+$B$9))</x:f>
        <x:v>238971.1408886261</x:v>
      </x:c>
      <x:c r="L162" s="141" t="n">
        <x:f>IF(A162&lt;$B$29,$B$43/(1+$B$9)^($B$29-A162),0)</x:f>
        <x:v>0</x:v>
      </x:c>
      <x:c r="M162" s="141" t="n">
        <x:f>L162-K162</x:f>
        <x:v>-238971.1408886261</x:v>
      </x:c>
    </x:row>
    <x:row r="163">
      <x:c r="A163" s="142" t="n">
        <x:v>109</x:v>
      </x:c>
      <x:c r="B163" s="179" t="n">
        <x:f>EDATE($B$5,A163-1)</x:f>
        <x:v>49827</x:v>
      </x:c>
      <x:c r="C163" s="141" t="n">
        <x:f>$B$6</x:f>
        <x:v>7000</x:v>
      </x:c>
      <x:c r="D163" s="180" t="n">
        <x:f>(1+$B$28)^INT((A163-1)/12)</x:f>
        <x:v>1.6894789590026928</x:v>
      </x:c>
      <x:c r="E163" s="141" t="n">
        <x:f>IF(A163&lt;=$B$27,$B$45*D163,0)</x:f>
        <x:v>2495.735099138118</x:v>
      </x:c>
      <x:c r="F163" s="141" t="n">
        <x:f>IF(A163=$B$29,$B$44,0)</x:f>
        <x:v>0</x:v>
      </x:c>
      <x:c r="G163" s="141" t="n">
        <x:f>E163+F163</x:f>
        <x:v>2495.735099138118</x:v>
      </x:c>
      <x:c r="H163" s="141" t="n">
        <x:f>IF(A163=$B$29,$B$42,0)</x:f>
        <x:v>0</x:v>
      </x:c>
      <x:c r="I163" s="141" t="n">
        <x:f>IF(A163=$B$29,$B$43,0)</x:f>
        <x:v>0</x:v>
      </x:c>
      <x:c r="J163" s="140" t="str">
        <x:f>IF(A163&lt;$B$29,"Aguardando",IF(A163=$B$29,"Contemplado","Pos-contemplacao"))</x:f>
        <x:v>Pos-contemplacao</x:v>
      </x:c>
      <x:c r="K163" s="141" t="n">
        <x:f>IF(A163&gt;=$B$27,0,(K164+E164)/(1+$B$9))</x:f>
        <x:v>238742.95346272123</x:v>
      </x:c>
      <x:c r="L163" s="141" t="n">
        <x:f>IF(A163&lt;$B$29,$B$43/(1+$B$9)^($B$29-A163),0)</x:f>
        <x:v>0</x:v>
      </x:c>
      <x:c r="M163" s="141" t="n">
        <x:f>L163-K163</x:f>
        <x:v>-238742.95346272123</x:v>
      </x:c>
    </x:row>
    <x:row r="164">
      <x:c r="A164" s="142" t="n">
        <x:v>110</x:v>
      </x:c>
      <x:c r="B164" s="179" t="n">
        <x:f>EDATE($B$5,A164-1)</x:f>
        <x:v>49857</x:v>
      </x:c>
      <x:c r="C164" s="141" t="n">
        <x:f>$B$6</x:f>
        <x:v>7000</x:v>
      </x:c>
      <x:c r="D164" s="180" t="n">
        <x:f>(1+$B$28)^INT((A164-1)/12)</x:f>
        <x:v>1.6894789590026928</x:v>
      </x:c>
      <x:c r="E164" s="141" t="n">
        <x:f>IF(A164&lt;=$B$27,$B$45*D164,0)</x:f>
        <x:v>2495.735099138118</x:v>
      </x:c>
      <x:c r="F164" s="141" t="n">
        <x:f>IF(A164=$B$29,$B$44,0)</x:f>
        <x:v>0</x:v>
      </x:c>
      <x:c r="G164" s="141" t="n">
        <x:f>E164+F164</x:f>
        <x:v>2495.735099138118</x:v>
      </x:c>
      <x:c r="H164" s="141" t="n">
        <x:f>IF(A164=$B$29,$B$42,0)</x:f>
        <x:v>0</x:v>
      </x:c>
      <x:c r="I164" s="141" t="n">
        <x:f>IF(A164=$B$29,$B$43,0)</x:f>
        <x:v>0</x:v>
      </x:c>
      <x:c r="J164" s="140" t="str">
        <x:f>IF(A164&lt;$B$29,"Aguardando",IF(A164=$B$29,"Contemplado","Pos-contemplacao"))</x:f>
        <x:v>Pos-contemplacao</x:v>
      </x:c>
      <x:c r="K164" s="141" t="n">
        <x:f>IF(A164&gt;=$B$27,0,(K165+E165)/(1+$B$9))</x:f>
        <x:v>238512.60081358167</x:v>
      </x:c>
      <x:c r="L164" s="141" t="n">
        <x:f>IF(A164&lt;$B$29,$B$43/(1+$B$9)^($B$29-A164),0)</x:f>
        <x:v>0</x:v>
      </x:c>
      <x:c r="M164" s="141" t="n">
        <x:f>L164-K164</x:f>
        <x:v>-238512.60081358167</x:v>
      </x:c>
    </x:row>
    <x:row r="165">
      <x:c r="A165" s="142" t="n">
        <x:v>111</x:v>
      </x:c>
      <x:c r="B165" s="179" t="n">
        <x:f>EDATE($B$5,A165-1)</x:f>
        <x:v>49888</x:v>
      </x:c>
      <x:c r="C165" s="141" t="n">
        <x:f>$B$6</x:f>
        <x:v>7000</x:v>
      </x:c>
      <x:c r="D165" s="180" t="n">
        <x:f>(1+$B$28)^INT((A165-1)/12)</x:f>
        <x:v>1.6894789590026928</x:v>
      </x:c>
      <x:c r="E165" s="141" t="n">
        <x:f>IF(A165&lt;=$B$27,$B$45*D165,0)</x:f>
        <x:v>2495.735099138118</x:v>
      </x:c>
      <x:c r="F165" s="141" t="n">
        <x:f>IF(A165=$B$29,$B$44,0)</x:f>
        <x:v>0</x:v>
      </x:c>
      <x:c r="G165" s="141" t="n">
        <x:f>E165+F165</x:f>
        <x:v>2495.735099138118</x:v>
      </x:c>
      <x:c r="H165" s="141" t="n">
        <x:f>IF(A165=$B$29,$B$42,0)</x:f>
        <x:v>0</x:v>
      </x:c>
      <x:c r="I165" s="141" t="n">
        <x:f>IF(A165=$B$29,$B$43,0)</x:f>
        <x:v>0</x:v>
      </x:c>
      <x:c r="J165" s="140" t="str">
        <x:f>IF(A165&lt;$B$29,"Aguardando",IF(A165=$B$29,"Contemplado","Pos-contemplacao"))</x:f>
        <x:v>Pos-contemplacao</x:v>
      </x:c>
      <x:c r="K165" s="141" t="n">
        <x:f>IF(A165&gt;=$B$27,0,(K166+E166)/(1+$B$9))</x:f>
        <x:v>238280.0623958525</x:v>
      </x:c>
      <x:c r="L165" s="141" t="n">
        <x:f>IF(A165&lt;$B$29,$B$43/(1+$B$9)^($B$29-A165),0)</x:f>
        <x:v>0</x:v>
      </x:c>
      <x:c r="M165" s="141" t="n">
        <x:f>L165-K165</x:f>
        <x:v>-238280.0623958525</x:v>
      </x:c>
    </x:row>
    <x:row r="166">
      <x:c r="A166" s="142" t="n">
        <x:v>112</x:v>
      </x:c>
      <x:c r="B166" s="179" t="n">
        <x:f>EDATE($B$5,A166-1)</x:f>
        <x:v>49919</x:v>
      </x:c>
      <x:c r="C166" s="141" t="n">
        <x:f>$B$6</x:f>
        <x:v>7000</x:v>
      </x:c>
      <x:c r="D166" s="180" t="n">
        <x:f>(1+$B$28)^INT((A166-1)/12)</x:f>
        <x:v>1.6894789590026928</x:v>
      </x:c>
      <x:c r="E166" s="141" t="n">
        <x:f>IF(A166&lt;=$B$27,$B$45*D166,0)</x:f>
        <x:v>2495.735099138118</x:v>
      </x:c>
      <x:c r="F166" s="141" t="n">
        <x:f>IF(A166=$B$29,$B$44,0)</x:f>
        <x:v>0</x:v>
      </x:c>
      <x:c r="G166" s="141" t="n">
        <x:f>E166+F166</x:f>
        <x:v>2495.735099138118</x:v>
      </x:c>
      <x:c r="H166" s="141" t="n">
        <x:f>IF(A166=$B$29,$B$42,0)</x:f>
        <x:v>0</x:v>
      </x:c>
      <x:c r="I166" s="141" t="n">
        <x:f>IF(A166=$B$29,$B$43,0)</x:f>
        <x:v>0</x:v>
      </x:c>
      <x:c r="J166" s="140" t="str">
        <x:f>IF(A166&lt;$B$29,"Aguardando",IF(A166=$B$29,"Contemplado","Pos-contemplacao"))</x:f>
        <x:v>Pos-contemplacao</x:v>
      </x:c>
      <x:c r="K166" s="141" t="n">
        <x:f>IF(A166&gt;=$B$27,0,(K167+E167)/(1+$B$9))</x:f>
        <x:v>238045.31746922815</x:v>
      </x:c>
      <x:c r="L166" s="141" t="n">
        <x:f>IF(A166&lt;$B$29,$B$43/(1+$B$9)^($B$29-A166),0)</x:f>
        <x:v>0</x:v>
      </x:c>
      <x:c r="M166" s="141" t="n">
        <x:f>L166-K166</x:f>
        <x:v>-238045.31746922815</x:v>
      </x:c>
    </x:row>
    <x:row r="167">
      <x:c r="A167" s="142" t="n">
        <x:v>113</x:v>
      </x:c>
      <x:c r="B167" s="179" t="n">
        <x:f>EDATE($B$5,A167-1)</x:f>
        <x:v>49949</x:v>
      </x:c>
      <x:c r="C167" s="141" t="n">
        <x:f>$B$6</x:f>
        <x:v>7000</x:v>
      </x:c>
      <x:c r="D167" s="180" t="n">
        <x:f>(1+$B$28)^INT((A167-1)/12)</x:f>
        <x:v>1.6894789590026928</x:v>
      </x:c>
      <x:c r="E167" s="141" t="n">
        <x:f>IF(A167&lt;=$B$27,$B$45*D167,0)</x:f>
        <x:v>2495.735099138118</x:v>
      </x:c>
      <x:c r="F167" s="141" t="n">
        <x:f>IF(A167=$B$29,$B$44,0)</x:f>
        <x:v>0</x:v>
      </x:c>
      <x:c r="G167" s="141" t="n">
        <x:f>E167+F167</x:f>
        <x:v>2495.735099138118</x:v>
      </x:c>
      <x:c r="H167" s="141" t="n">
        <x:f>IF(A167=$B$29,$B$42,0)</x:f>
        <x:v>0</x:v>
      </x:c>
      <x:c r="I167" s="141" t="n">
        <x:f>IF(A167=$B$29,$B$43,0)</x:f>
        <x:v>0</x:v>
      </x:c>
      <x:c r="J167" s="140" t="str">
        <x:f>IF(A167&lt;$B$29,"Aguardando",IF(A167=$B$29,"Contemplado","Pos-contemplacao"))</x:f>
        <x:v>Pos-contemplacao</x:v>
      </x:c>
      <x:c r="K167" s="141" t="n">
        <x:f>IF(A167&gt;=$B$27,0,(K168+E168)/(1+$B$9))</x:f>
        <x:v>237808.34509660263</x:v>
      </x:c>
      <x:c r="L167" s="141" t="n">
        <x:f>IF(A167&lt;$B$29,$B$43/(1+$B$9)^($B$29-A167),0)</x:f>
        <x:v>0</x:v>
      </x:c>
      <x:c r="M167" s="141" t="n">
        <x:f>L167-K167</x:f>
        <x:v>-237808.34509660263</x:v>
      </x:c>
    </x:row>
    <x:row r="168">
      <x:c r="A168" s="142" t="n">
        <x:v>114</x:v>
      </x:c>
      <x:c r="B168" s="179" t="n">
        <x:f>EDATE($B$5,A168-1)</x:f>
        <x:v>49980</x:v>
      </x:c>
      <x:c r="C168" s="141" t="n">
        <x:f>$B$6</x:f>
        <x:v>7000</x:v>
      </x:c>
      <x:c r="D168" s="180" t="n">
        <x:f>(1+$B$28)^INT((A168-1)/12)</x:f>
        <x:v>1.6894789590026928</x:v>
      </x:c>
      <x:c r="E168" s="141" t="n">
        <x:f>IF(A168&lt;=$B$27,$B$45*D168,0)</x:f>
        <x:v>2495.735099138118</x:v>
      </x:c>
      <x:c r="F168" s="141" t="n">
        <x:f>IF(A168=$B$29,$B$44,0)</x:f>
        <x:v>0</x:v>
      </x:c>
      <x:c r="G168" s="141" t="n">
        <x:f>E168+F168</x:f>
        <x:v>2495.735099138118</x:v>
      </x:c>
      <x:c r="H168" s="141" t="n">
        <x:f>IF(A168=$B$29,$B$42,0)</x:f>
        <x:v>0</x:v>
      </x:c>
      <x:c r="I168" s="141" t="n">
        <x:f>IF(A168=$B$29,$B$43,0)</x:f>
        <x:v>0</x:v>
      </x:c>
      <x:c r="J168" s="140" t="str">
        <x:f>IF(A168&lt;$B$29,"Aguardando",IF(A168=$B$29,"Contemplado","Pos-contemplacao"))</x:f>
        <x:v>Pos-contemplacao</x:v>
      </x:c>
      <x:c r="K168" s="141" t="n">
        <x:f>IF(A168&gt;=$B$27,0,(K169+E169)/(1+$B$9))</x:f>
        <x:v>237569.12414220205</x:v>
      </x:c>
      <x:c r="L168" s="141" t="n">
        <x:f>IF(A168&lt;$B$29,$B$43/(1+$B$9)^($B$29-A168),0)</x:f>
        <x:v>0</x:v>
      </x:c>
      <x:c r="M168" s="141" t="n">
        <x:f>L168-K168</x:f>
        <x:v>-237569.12414220205</x:v>
      </x:c>
    </x:row>
    <x:row r="169">
      <x:c r="A169" s="142" t="n">
        <x:v>115</x:v>
      </x:c>
      <x:c r="B169" s="179" t="n">
        <x:f>EDATE($B$5,A169-1)</x:f>
        <x:v>50010</x:v>
      </x:c>
      <x:c r="C169" s="141" t="n">
        <x:f>$B$6</x:f>
        <x:v>7000</x:v>
      </x:c>
      <x:c r="D169" s="180" t="n">
        <x:f>(1+$B$28)^INT((A169-1)/12)</x:f>
        <x:v>1.6894789590026928</x:v>
      </x:c>
      <x:c r="E169" s="141" t="n">
        <x:f>IF(A169&lt;=$B$27,$B$45*D169,0)</x:f>
        <x:v>2495.735099138118</x:v>
      </x:c>
      <x:c r="F169" s="141" t="n">
        <x:f>IF(A169=$B$29,$B$44,0)</x:f>
        <x:v>0</x:v>
      </x:c>
      <x:c r="G169" s="141" t="n">
        <x:f>E169+F169</x:f>
        <x:v>2495.735099138118</x:v>
      </x:c>
      <x:c r="H169" s="141" t="n">
        <x:f>IF(A169=$B$29,$B$42,0)</x:f>
        <x:v>0</x:v>
      </x:c>
      <x:c r="I169" s="141" t="n">
        <x:f>IF(A169=$B$29,$B$43,0)</x:f>
        <x:v>0</x:v>
      </x:c>
      <x:c r="J169" s="140" t="str">
        <x:f>IF(A169&lt;$B$29,"Aguardando",IF(A169=$B$29,"Contemplado","Pos-contemplacao"))</x:f>
        <x:v>Pos-contemplacao</x:v>
      </x:c>
      <x:c r="K169" s="141" t="n">
        <x:f>IF(A169&gt;=$B$27,0,(K170+E170)/(1+$B$9))</x:f>
        <x:v>237327.63326969955</x:v>
      </x:c>
      <x:c r="L169" s="141" t="n">
        <x:f>IF(A169&lt;$B$29,$B$43/(1+$B$9)^($B$29-A169),0)</x:f>
        <x:v>0</x:v>
      </x:c>
      <x:c r="M169" s="141" t="n">
        <x:f>L169-K169</x:f>
        <x:v>-237327.63326969955</x:v>
      </x:c>
    </x:row>
    <x:row r="170">
      <x:c r="A170" s="142" t="n">
        <x:v>116</x:v>
      </x:c>
      <x:c r="B170" s="179" t="n">
        <x:f>EDATE($B$5,A170-1)</x:f>
        <x:v>50041</x:v>
      </x:c>
      <x:c r="C170" s="141" t="n">
        <x:f>$B$6</x:f>
        <x:v>7000</x:v>
      </x:c>
      <x:c r="D170" s="180" t="n">
        <x:f>(1+$B$28)^INT((A170-1)/12)</x:f>
        <x:v>1.6894789590026928</x:v>
      </x:c>
      <x:c r="E170" s="141" t="n">
        <x:f>IF(A170&lt;=$B$27,$B$45*D170,0)</x:f>
        <x:v>2495.735099138118</x:v>
      </x:c>
      <x:c r="F170" s="141" t="n">
        <x:f>IF(A170=$B$29,$B$44,0)</x:f>
        <x:v>0</x:v>
      </x:c>
      <x:c r="G170" s="141" t="n">
        <x:f>E170+F170</x:f>
        <x:v>2495.735099138118</x:v>
      </x:c>
      <x:c r="H170" s="141" t="n">
        <x:f>IF(A170=$B$29,$B$42,0)</x:f>
        <x:v>0</x:v>
      </x:c>
      <x:c r="I170" s="141" t="n">
        <x:f>IF(A170=$B$29,$B$43,0)</x:f>
        <x:v>0</x:v>
      </x:c>
      <x:c r="J170" s="140" t="str">
        <x:f>IF(A170&lt;$B$29,"Aguardando",IF(A170=$B$29,"Contemplado","Pos-contemplacao"))</x:f>
        <x:v>Pos-contemplacao</x:v>
      </x:c>
      <x:c r="K170" s="141" t="n">
        <x:f>IF(A170&gt;=$B$27,0,(K171+E171)/(1+$B$9))</x:f>
        <x:v>237083.8509403123</x:v>
      </x:c>
      <x:c r="L170" s="141" t="n">
        <x:f>IF(A170&lt;$B$29,$B$43/(1+$B$9)^($B$29-A170),0)</x:f>
        <x:v>0</x:v>
      </x:c>
      <x:c r="M170" s="141" t="n">
        <x:f>L170-K170</x:f>
        <x:v>-237083.8509403123</x:v>
      </x:c>
    </x:row>
    <x:row r="171">
      <x:c r="A171" s="142" t="n">
        <x:v>117</x:v>
      </x:c>
      <x:c r="B171" s="179" t="n">
        <x:f>EDATE($B$5,A171-1)</x:f>
        <x:v>50072</x:v>
      </x:c>
      <x:c r="C171" s="141" t="n">
        <x:f>$B$6</x:f>
        <x:v>7000</x:v>
      </x:c>
      <x:c r="D171" s="180" t="n">
        <x:f>(1+$B$28)^INT((A171-1)/12)</x:f>
        <x:v>1.6894789590026928</x:v>
      </x:c>
      <x:c r="E171" s="141" t="n">
        <x:f>IF(A171&lt;=$B$27,$B$45*D171,0)</x:f>
        <x:v>2495.735099138118</x:v>
      </x:c>
      <x:c r="F171" s="141" t="n">
        <x:f>IF(A171=$B$29,$B$44,0)</x:f>
        <x:v>0</x:v>
      </x:c>
      <x:c r="G171" s="141" t="n">
        <x:f>E171+F171</x:f>
        <x:v>2495.735099138118</x:v>
      </x:c>
      <x:c r="H171" s="141" t="n">
        <x:f>IF(A171=$B$29,$B$42,0)</x:f>
        <x:v>0</x:v>
      </x:c>
      <x:c r="I171" s="141" t="n">
        <x:f>IF(A171=$B$29,$B$43,0)</x:f>
        <x:v>0</x:v>
      </x:c>
      <x:c r="J171" s="140" t="str">
        <x:f>IF(A171&lt;$B$29,"Aguardando",IF(A171=$B$29,"Contemplado","Pos-contemplacao"))</x:f>
        <x:v>Pos-contemplacao</x:v>
      </x:c>
      <x:c r="K171" s="141" t="n">
        <x:f>IF(A171&gt;=$B$27,0,(K172+E172)/(1+$B$9))</x:f>
        <x:v>236837.75541088035</x:v>
      </x:c>
      <x:c r="L171" s="141" t="n">
        <x:f>IF(A171&lt;$B$29,$B$43/(1+$B$9)^($B$29-A171),0)</x:f>
        <x:v>0</x:v>
      </x:c>
      <x:c r="M171" s="141" t="n">
        <x:f>L171-K171</x:f>
        <x:v>-236837.75541088035</x:v>
      </x:c>
    </x:row>
    <x:row r="172">
      <x:c r="A172" s="142" t="n">
        <x:v>118</x:v>
      </x:c>
      <x:c r="B172" s="179" t="n">
        <x:f>EDATE($B$5,A172-1)</x:f>
        <x:v>50100</x:v>
      </x:c>
      <x:c r="C172" s="141" t="n">
        <x:f>$B$6</x:f>
        <x:v>7000</x:v>
      </x:c>
      <x:c r="D172" s="180" t="n">
        <x:f>(1+$B$28)^INT((A172-1)/12)</x:f>
        <x:v>1.6894789590026928</x:v>
      </x:c>
      <x:c r="E172" s="141" t="n">
        <x:f>IF(A172&lt;=$B$27,$B$45*D172,0)</x:f>
        <x:v>2495.735099138118</x:v>
      </x:c>
      <x:c r="F172" s="141" t="n">
        <x:f>IF(A172=$B$29,$B$44,0)</x:f>
        <x:v>0</x:v>
      </x:c>
      <x:c r="G172" s="141" t="n">
        <x:f>E172+F172</x:f>
        <x:v>2495.735099138118</x:v>
      </x:c>
      <x:c r="H172" s="141" t="n">
        <x:f>IF(A172=$B$29,$B$42,0)</x:f>
        <x:v>0</x:v>
      </x:c>
      <x:c r="I172" s="141" t="n">
        <x:f>IF(A172=$B$29,$B$43,0)</x:f>
        <x:v>0</x:v>
      </x:c>
      <x:c r="J172" s="140" t="str">
        <x:f>IF(A172&lt;$B$29,"Aguardando",IF(A172=$B$29,"Contemplado","Pos-contemplacao"))</x:f>
        <x:v>Pos-contemplacao</x:v>
      </x:c>
      <x:c r="K172" s="141" t="n">
        <x:f>IF(A172&gt;=$B$27,0,(K173+E173)/(1+$B$9))</x:f>
        <x:v>236589.3247319275</x:v>
      </x:c>
      <x:c r="L172" s="141" t="n">
        <x:f>IF(A172&lt;$B$29,$B$43/(1+$B$9)^($B$29-A172),0)</x:f>
        <x:v>0</x:v>
      </x:c>
      <x:c r="M172" s="141" t="n">
        <x:f>L172-K172</x:f>
        <x:v>-236589.3247319275</x:v>
      </x:c>
    </x:row>
    <x:row r="173">
      <x:c r="A173" s="142" t="n">
        <x:v>119</x:v>
      </x:c>
      <x:c r="B173" s="179" t="n">
        <x:f>EDATE($B$5,A173-1)</x:f>
        <x:v>50131</x:v>
      </x:c>
      <x:c r="C173" s="141" t="n">
        <x:f>$B$6</x:f>
        <x:v>7000</x:v>
      </x:c>
      <x:c r="D173" s="180" t="n">
        <x:f>(1+$B$28)^INT((A173-1)/12)</x:f>
        <x:v>1.6894789590026928</x:v>
      </x:c>
      <x:c r="E173" s="141" t="n">
        <x:f>IF(A173&lt;=$B$27,$B$45*D173,0)</x:f>
        <x:v>2495.735099138118</x:v>
      </x:c>
      <x:c r="F173" s="141" t="n">
        <x:f>IF(A173=$B$29,$B$44,0)</x:f>
        <x:v>0</x:v>
      </x:c>
      <x:c r="G173" s="141" t="n">
        <x:f>E173+F173</x:f>
        <x:v>2495.735099138118</x:v>
      </x:c>
      <x:c r="H173" s="141" t="n">
        <x:f>IF(A173=$B$29,$B$42,0)</x:f>
        <x:v>0</x:v>
      </x:c>
      <x:c r="I173" s="141" t="n">
        <x:f>IF(A173=$B$29,$B$43,0)</x:f>
        <x:v>0</x:v>
      </x:c>
      <x:c r="J173" s="140" t="str">
        <x:f>IF(A173&lt;$B$29,"Aguardando",IF(A173=$B$29,"Contemplado","Pos-contemplacao"))</x:f>
        <x:v>Pos-contemplacao</x:v>
      </x:c>
      <x:c r="K173" s="141" t="n">
        <x:f>IF(A173&gt;=$B$27,0,(K174+E174)/(1+$B$9))</x:f>
        <x:v>236338.5367457035</x:v>
      </x:c>
      <x:c r="L173" s="141" t="n">
        <x:f>IF(A173&lt;$B$29,$B$43/(1+$B$9)^($B$29-A173),0)</x:f>
        <x:v>0</x:v>
      </x:c>
      <x:c r="M173" s="141" t="n">
        <x:f>L173-K173</x:f>
        <x:v>-236338.5367457035</x:v>
      </x:c>
    </x:row>
    <x:row r="174">
      <x:c r="A174" s="142" t="n">
        <x:v>120</x:v>
      </x:c>
      <x:c r="B174" s="179" t="n">
        <x:f>EDATE($B$5,A174-1)</x:f>
        <x:v>50161</x:v>
      </x:c>
      <x:c r="C174" s="141" t="n">
        <x:f>$B$6</x:f>
        <x:v>7000</x:v>
      </x:c>
      <x:c r="D174" s="180" t="n">
        <x:f>(1+$B$28)^INT((A174-1)/12)</x:f>
        <x:v>1.6894789590026928</x:v>
      </x:c>
      <x:c r="E174" s="141" t="n">
        <x:f>IF(A174&lt;=$B$27,$B$45*D174,0)</x:f>
        <x:v>2495.735099138118</x:v>
      </x:c>
      <x:c r="F174" s="141" t="n">
        <x:f>IF(A174=$B$29,$B$44,0)</x:f>
        <x:v>0</x:v>
      </x:c>
      <x:c r="G174" s="141" t="n">
        <x:f>E174+F174</x:f>
        <x:v>2495.735099138118</x:v>
      </x:c>
      <x:c r="H174" s="141" t="n">
        <x:f>IF(A174=$B$29,$B$42,0)</x:f>
        <x:v>0</x:v>
      </x:c>
      <x:c r="I174" s="141" t="n">
        <x:f>IF(A174=$B$29,$B$43,0)</x:f>
        <x:v>0</x:v>
      </x:c>
      <x:c r="J174" s="140" t="str">
        <x:f>IF(A174&lt;$B$29,"Aguardando",IF(A174=$B$29,"Contemplado","Pos-contemplacao"))</x:f>
        <x:v>Pos-contemplacao</x:v>
      </x:c>
      <x:c r="K174" s="141" t="n">
        <x:f>IF(A174&gt;=$B$27,0,(K175+E175)/(1+$B$9))</x:f>
        <x:v>236085.3690842077</x:v>
      </x:c>
      <x:c r="L174" s="141" t="n">
        <x:f>IF(A174&lt;$B$29,$B$43/(1+$B$9)^($B$29-A174),0)</x:f>
        <x:v>0</x:v>
      </x:c>
      <x:c r="M174" s="141" t="n">
        <x:f>L174-K174</x:f>
        <x:v>-236085.3690842077</x:v>
      </x:c>
    </x:row>
    <x:row r="175">
      <x:c r="A175" s="142" t="n">
        <x:v>121</x:v>
      </x:c>
      <x:c r="B175" s="179" t="n">
        <x:f>EDATE($B$5,A175-1)</x:f>
        <x:v>50192</x:v>
      </x:c>
      <x:c r="C175" s="141" t="n">
        <x:f>$B$6</x:f>
        <x:v>7000</x:v>
      </x:c>
      <x:c r="D175" s="180" t="n">
        <x:f>(1+$B$28)^INT((A175-1)/12)</x:f>
        <x:v>1.7908476965428546</x:v>
      </x:c>
      <x:c r="E175" s="141" t="n">
        <x:f>IF(A175&lt;=$B$27,$B$45*D175,0)</x:f>
        <x:v>2645.4792050864053</x:v>
      </x:c>
      <x:c r="F175" s="141" t="n">
        <x:f>IF(A175=$B$29,$B$44,0)</x:f>
        <x:v>0</x:v>
      </x:c>
      <x:c r="G175" s="141" t="n">
        <x:f>E175+F175</x:f>
        <x:v>2645.4792050864053</x:v>
      </x:c>
      <x:c r="H175" s="141" t="n">
        <x:f>IF(A175=$B$29,$B$42,0)</x:f>
        <x:v>0</x:v>
      </x:c>
      <x:c r="I175" s="141" t="n">
        <x:f>IF(A175=$B$29,$B$43,0)</x:f>
        <x:v>0</x:v>
      </x:c>
      <x:c r="J175" s="140" t="str">
        <x:f>IF(A175&lt;$B$29,"Aguardando",IF(A175=$B$29,"Contemplado","Pos-contemplacao"))</x:f>
        <x:v>Pos-contemplacao</x:v>
      </x:c>
      <x:c r="K175" s="141" t="n">
        <x:f>IF(A175&gt;=$B$27,0,(K176+E176)/(1+$B$9))</x:f>
        <x:v>235680.05506124592</x:v>
      </x:c>
      <x:c r="L175" s="141" t="n">
        <x:f>IF(A175&lt;$B$29,$B$43/(1+$B$9)^($B$29-A175),0)</x:f>
        <x:v>0</x:v>
      </x:c>
      <x:c r="M175" s="141" t="n">
        <x:f>L175-K175</x:f>
        <x:v>-235680.05506124592</x:v>
      </x:c>
    </x:row>
    <x:row r="176">
      <x:c r="A176" s="142" t="n">
        <x:v>122</x:v>
      </x:c>
      <x:c r="B176" s="179" t="n">
        <x:f>EDATE($B$5,A176-1)</x:f>
        <x:v>50222</x:v>
      </x:c>
      <x:c r="C176" s="141" t="n">
        <x:f>$B$6</x:f>
        <x:v>7000</x:v>
      </x:c>
      <x:c r="D176" s="180" t="n">
        <x:f>(1+$B$28)^INT((A176-1)/12)</x:f>
        <x:v>1.7908476965428546</x:v>
      </x:c>
      <x:c r="E176" s="141" t="n">
        <x:f>IF(A176&lt;=$B$27,$B$45*D176,0)</x:f>
        <x:v>2645.4792050864053</x:v>
      </x:c>
      <x:c r="F176" s="141" t="n">
        <x:f>IF(A176=$B$29,$B$44,0)</x:f>
        <x:v>0</x:v>
      </x:c>
      <x:c r="G176" s="141" t="n">
        <x:f>E176+F176</x:f>
        <x:v>2645.4792050864053</x:v>
      </x:c>
      <x:c r="H176" s="141" t="n">
        <x:f>IF(A176=$B$29,$B$42,0)</x:f>
        <x:v>0</x:v>
      </x:c>
      <x:c r="I176" s="141" t="n">
        <x:f>IF(A176=$B$29,$B$43,0)</x:f>
        <x:v>0</x:v>
      </x:c>
      <x:c r="J176" s="140" t="str">
        <x:f>IF(A176&lt;$B$29,"Aguardando",IF(A176=$B$29,"Contemplado","Pos-contemplacao"))</x:f>
        <x:v>Pos-contemplacao</x:v>
      </x:c>
      <x:c r="K176" s="141" t="n">
        <x:f>IF(A176&gt;=$B$27,0,(K177+E177)/(1+$B$9))</x:f>
        <x:v>235270.89509744683</x:v>
      </x:c>
      <x:c r="L176" s="141" t="n">
        <x:f>IF(A176&lt;$B$29,$B$43/(1+$B$9)^($B$29-A176),0)</x:f>
        <x:v>0</x:v>
      </x:c>
      <x:c r="M176" s="141" t="n">
        <x:f>L176-K176</x:f>
        <x:v>-235270.89509744683</x:v>
      </x:c>
    </x:row>
    <x:row r="177">
      <x:c r="A177" s="142" t="n">
        <x:v>123</x:v>
      </x:c>
      <x:c r="B177" s="179" t="n">
        <x:f>EDATE($B$5,A177-1)</x:f>
        <x:v>50253</x:v>
      </x:c>
      <x:c r="C177" s="141" t="n">
        <x:f>$B$6</x:f>
        <x:v>7000</x:v>
      </x:c>
      <x:c r="D177" s="180" t="n">
        <x:f>(1+$B$28)^INT((A177-1)/12)</x:f>
        <x:v>1.7908476965428546</x:v>
      </x:c>
      <x:c r="E177" s="141" t="n">
        <x:f>IF(A177&lt;=$B$27,$B$45*D177,0)</x:f>
        <x:v>2645.4792050864053</x:v>
      </x:c>
      <x:c r="F177" s="141" t="n">
        <x:f>IF(A177=$B$29,$B$44,0)</x:f>
        <x:v>0</x:v>
      </x:c>
      <x:c r="G177" s="141" t="n">
        <x:f>E177+F177</x:f>
        <x:v>2645.4792050864053</x:v>
      </x:c>
      <x:c r="H177" s="141" t="n">
        <x:f>IF(A177=$B$29,$B$42,0)</x:f>
        <x:v>0</x:v>
      </x:c>
      <x:c r="I177" s="141" t="n">
        <x:f>IF(A177=$B$29,$B$43,0)</x:f>
        <x:v>0</x:v>
      </x:c>
      <x:c r="J177" s="140" t="str">
        <x:f>IF(A177&lt;$B$29,"Aguardando",IF(A177=$B$29,"Contemplado","Pos-contemplacao"))</x:f>
        <x:v>Pos-contemplacao</x:v>
      </x:c>
      <x:c r="K177" s="141" t="n">
        <x:f>IF(A177&gt;=$B$27,0,(K178+E178)/(1+$B$9))</x:f>
        <x:v>234857.85269947408</x:v>
      </x:c>
      <x:c r="L177" s="141" t="n">
        <x:f>IF(A177&lt;$B$29,$B$43/(1+$B$9)^($B$29-A177),0)</x:f>
        <x:v>0</x:v>
      </x:c>
      <x:c r="M177" s="141" t="n">
        <x:f>L177-K177</x:f>
        <x:v>-234857.85269947408</x:v>
      </x:c>
    </x:row>
    <x:row r="178">
      <x:c r="A178" s="142" t="n">
        <x:v>124</x:v>
      </x:c>
      <x:c r="B178" s="179" t="n">
        <x:f>EDATE($B$5,A178-1)</x:f>
        <x:v>50284</x:v>
      </x:c>
      <x:c r="C178" s="141" t="n">
        <x:f>$B$6</x:f>
        <x:v>7000</x:v>
      </x:c>
      <x:c r="D178" s="180" t="n">
        <x:f>(1+$B$28)^INT((A178-1)/12)</x:f>
        <x:v>1.7908476965428546</x:v>
      </x:c>
      <x:c r="E178" s="141" t="n">
        <x:f>IF(A178&lt;=$B$27,$B$45*D178,0)</x:f>
        <x:v>2645.4792050864053</x:v>
      </x:c>
      <x:c r="F178" s="141" t="n">
        <x:f>IF(A178=$B$29,$B$44,0)</x:f>
        <x:v>0</x:v>
      </x:c>
      <x:c r="G178" s="141" t="n">
        <x:f>E178+F178</x:f>
        <x:v>2645.4792050864053</x:v>
      </x:c>
      <x:c r="H178" s="141" t="n">
        <x:f>IF(A178=$B$29,$B$42,0)</x:f>
        <x:v>0</x:v>
      </x:c>
      <x:c r="I178" s="141" t="n">
        <x:f>IF(A178=$B$29,$B$43,0)</x:f>
        <x:v>0</x:v>
      </x:c>
      <x:c r="J178" s="140" t="str">
        <x:f>IF(A178&lt;$B$29,"Aguardando",IF(A178=$B$29,"Contemplado","Pos-contemplacao"))</x:f>
        <x:v>Pos-contemplacao</x:v>
      </x:c>
      <x:c r="K178" s="141" t="n">
        <x:f>IF(A178&gt;=$B$27,0,(K179+E179)/(1+$B$9))</x:f>
        <x:v>234440.89102771378</x:v>
      </x:c>
      <x:c r="L178" s="141" t="n">
        <x:f>IF(A178&lt;$B$29,$B$43/(1+$B$9)^($B$29-A178),0)</x:f>
        <x:v>0</x:v>
      </x:c>
      <x:c r="M178" s="141" t="n">
        <x:f>L178-K178</x:f>
        <x:v>-234440.89102771378</x:v>
      </x:c>
    </x:row>
    <x:row r="179">
      <x:c r="A179" s="142" t="n">
        <x:v>125</x:v>
      </x:c>
      <x:c r="B179" s="179" t="n">
        <x:f>EDATE($B$5,A179-1)</x:f>
        <x:v>50314</x:v>
      </x:c>
      <x:c r="C179" s="141" t="n">
        <x:f>$B$6</x:f>
        <x:v>7000</x:v>
      </x:c>
      <x:c r="D179" s="180" t="n">
        <x:f>(1+$B$28)^INT((A179-1)/12)</x:f>
        <x:v>1.7908476965428546</x:v>
      </x:c>
      <x:c r="E179" s="141" t="n">
        <x:f>IF(A179&lt;=$B$27,$B$45*D179,0)</x:f>
        <x:v>2645.4792050864053</x:v>
      </x:c>
      <x:c r="F179" s="141" t="n">
        <x:f>IF(A179=$B$29,$B$44,0)</x:f>
        <x:v>0</x:v>
      </x:c>
      <x:c r="G179" s="141" t="n">
        <x:f>E179+F179</x:f>
        <x:v>2645.4792050864053</x:v>
      </x:c>
      <x:c r="H179" s="141" t="n">
        <x:f>IF(A179=$B$29,$B$42,0)</x:f>
        <x:v>0</x:v>
      </x:c>
      <x:c r="I179" s="141" t="n">
        <x:f>IF(A179=$B$29,$B$43,0)</x:f>
        <x:v>0</x:v>
      </x:c>
      <x:c r="J179" s="140" t="str">
        <x:f>IF(A179&lt;$B$29,"Aguardando",IF(A179=$B$29,"Contemplado","Pos-contemplacao"))</x:f>
        <x:v>Pos-contemplacao</x:v>
      </x:c>
      <x:c r="K179" s="141" t="n">
        <x:f>IF(A179&gt;=$B$27,0,(K180+E180)/(1+$B$9))</x:f>
        <x:v>234019.97289298847</x:v>
      </x:c>
      <x:c r="L179" s="141" t="n">
        <x:f>IF(A179&lt;$B$29,$B$43/(1+$B$9)^($B$29-A179),0)</x:f>
        <x:v>0</x:v>
      </x:c>
      <x:c r="M179" s="141" t="n">
        <x:f>L179-K179</x:f>
        <x:v>-234019.97289298847</x:v>
      </x:c>
    </x:row>
    <x:row r="180">
      <x:c r="A180" s="142" t="n">
        <x:v>126</x:v>
      </x:c>
      <x:c r="B180" s="179" t="n">
        <x:f>EDATE($B$5,A180-1)</x:f>
        <x:v>50345</x:v>
      </x:c>
      <x:c r="C180" s="141" t="n">
        <x:f>$B$6</x:f>
        <x:v>7000</x:v>
      </x:c>
      <x:c r="D180" s="180" t="n">
        <x:f>(1+$B$28)^INT((A180-1)/12)</x:f>
        <x:v>1.7908476965428546</x:v>
      </x:c>
      <x:c r="E180" s="141" t="n">
        <x:f>IF(A180&lt;=$B$27,$B$45*D180,0)</x:f>
        <x:v>2645.4792050864053</x:v>
      </x:c>
      <x:c r="F180" s="141" t="n">
        <x:f>IF(A180=$B$29,$B$44,0)</x:f>
        <x:v>0</x:v>
      </x:c>
      <x:c r="G180" s="141" t="n">
        <x:f>E180+F180</x:f>
        <x:v>2645.4792050864053</x:v>
      </x:c>
      <x:c r="H180" s="141" t="n">
        <x:f>IF(A180=$B$29,$B$42,0)</x:f>
        <x:v>0</x:v>
      </x:c>
      <x:c r="I180" s="141" t="n">
        <x:f>IF(A180=$B$29,$B$43,0)</x:f>
        <x:v>0</x:v>
      </x:c>
      <x:c r="J180" s="140" t="str">
        <x:f>IF(A180&lt;$B$29,"Aguardando",IF(A180=$B$29,"Contemplado","Pos-contemplacao"))</x:f>
        <x:v>Pos-contemplacao</x:v>
      </x:c>
      <x:c r="K180" s="141" t="n">
        <x:f>IF(A180&gt;=$B$27,0,(K181+E181)/(1+$B$9))</x:f>
        <x:v>233595.06075324037</x:v>
      </x:c>
      <x:c r="L180" s="141" t="n">
        <x:f>IF(A180&lt;$B$29,$B$43/(1+$B$9)^($B$29-A180),0)</x:f>
        <x:v>0</x:v>
      </x:c>
      <x:c r="M180" s="141" t="n">
        <x:f>L180-K180</x:f>
        <x:v>-233595.06075324037</x:v>
      </x:c>
    </x:row>
    <x:row r="181">
      <x:c r="A181" s="142" t="n">
        <x:v>127</x:v>
      </x:c>
      <x:c r="B181" s="179" t="n">
        <x:f>EDATE($B$5,A181-1)</x:f>
        <x:v>50375</x:v>
      </x:c>
      <x:c r="C181" s="141" t="n">
        <x:f>$B$6</x:f>
        <x:v>7000</x:v>
      </x:c>
      <x:c r="D181" s="180" t="n">
        <x:f>(1+$B$28)^INT((A181-1)/12)</x:f>
        <x:v>1.7908476965428546</x:v>
      </x:c>
      <x:c r="E181" s="141" t="n">
        <x:f>IF(A181&lt;=$B$27,$B$45*D181,0)</x:f>
        <x:v>2645.4792050864053</x:v>
      </x:c>
      <x:c r="F181" s="141" t="n">
        <x:f>IF(A181=$B$29,$B$44,0)</x:f>
        <x:v>0</x:v>
      </x:c>
      <x:c r="G181" s="141" t="n">
        <x:f>E181+F181</x:f>
        <x:v>2645.4792050864053</x:v>
      </x:c>
      <x:c r="H181" s="141" t="n">
        <x:f>IF(A181=$B$29,$B$42,0)</x:f>
        <x:v>0</x:v>
      </x:c>
      <x:c r="I181" s="141" t="n">
        <x:f>IF(A181=$B$29,$B$43,0)</x:f>
        <x:v>0</x:v>
      </x:c>
      <x:c r="J181" s="140" t="str">
        <x:f>IF(A181&lt;$B$29,"Aguardando",IF(A181=$B$29,"Contemplado","Pos-contemplacao"))</x:f>
        <x:v>Pos-contemplacao</x:v>
      </x:c>
      <x:c r="K181" s="141" t="n">
        <x:f>IF(A181&gt;=$B$27,0,(K182+E182)/(1+$B$9))</x:f>
        <x:v>233166.11671018283</x:v>
      </x:c>
      <x:c r="L181" s="141" t="n">
        <x:f>IF(A181&lt;$B$29,$B$43/(1+$B$9)^($B$29-A181),0)</x:f>
        <x:v>0</x:v>
      </x:c>
      <x:c r="M181" s="141" t="n">
        <x:f>L181-K181</x:f>
        <x:v>-233166.11671018283</x:v>
      </x:c>
    </x:row>
    <x:row r="182">
      <x:c r="A182" s="142" t="n">
        <x:v>128</x:v>
      </x:c>
      <x:c r="B182" s="179" t="n">
        <x:f>EDATE($B$5,A182-1)</x:f>
        <x:v>50406</x:v>
      </x:c>
      <x:c r="C182" s="141" t="n">
        <x:f>$B$6</x:f>
        <x:v>7000</x:v>
      </x:c>
      <x:c r="D182" s="180" t="n">
        <x:f>(1+$B$28)^INT((A182-1)/12)</x:f>
        <x:v>1.7908476965428546</x:v>
      </x:c>
      <x:c r="E182" s="141" t="n">
        <x:f>IF(A182&lt;=$B$27,$B$45*D182,0)</x:f>
        <x:v>2645.4792050864053</x:v>
      </x:c>
      <x:c r="F182" s="141" t="n">
        <x:f>IF(A182=$B$29,$B$44,0)</x:f>
        <x:v>0</x:v>
      </x:c>
      <x:c r="G182" s="141" t="n">
        <x:f>E182+F182</x:f>
        <x:v>2645.4792050864053</x:v>
      </x:c>
      <x:c r="H182" s="141" t="n">
        <x:f>IF(A182=$B$29,$B$42,0)</x:f>
        <x:v>0</x:v>
      </x:c>
      <x:c r="I182" s="141" t="n">
        <x:f>IF(A182=$B$29,$B$43,0)</x:f>
        <x:v>0</x:v>
      </x:c>
      <x:c r="J182" s="140" t="str">
        <x:f>IF(A182&lt;$B$29,"Aguardando",IF(A182=$B$29,"Contemplado","Pos-contemplacao"))</x:f>
        <x:v>Pos-contemplacao</x:v>
      </x:c>
      <x:c r="K182" s="141" t="n">
        <x:f>IF(A182&gt;=$B$27,0,(K183+E183)/(1+$B$9))</x:f>
        <x:v>232733.1025059202</x:v>
      </x:c>
      <x:c r="L182" s="141" t="n">
        <x:f>IF(A182&lt;$B$29,$B$43/(1+$B$9)^($B$29-A182),0)</x:f>
        <x:v>0</x:v>
      </x:c>
      <x:c r="M182" s="141" t="n">
        <x:f>L182-K182</x:f>
        <x:v>-232733.1025059202</x:v>
      </x:c>
    </x:row>
    <x:row r="183">
      <x:c r="A183" s="142" t="n">
        <x:v>129</x:v>
      </x:c>
      <x:c r="B183" s="179" t="n">
        <x:f>EDATE($B$5,A183-1)</x:f>
        <x:v>50437</x:v>
      </x:c>
      <x:c r="C183" s="141" t="n">
        <x:f>$B$6</x:f>
        <x:v>7000</x:v>
      </x:c>
      <x:c r="D183" s="180" t="n">
        <x:f>(1+$B$28)^INT((A183-1)/12)</x:f>
        <x:v>1.7908476965428546</x:v>
      </x:c>
      <x:c r="E183" s="141" t="n">
        <x:f>IF(A183&lt;=$B$27,$B$45*D183,0)</x:f>
        <x:v>2645.4792050864053</x:v>
      </x:c>
      <x:c r="F183" s="141" t="n">
        <x:f>IF(A183=$B$29,$B$44,0)</x:f>
        <x:v>0</x:v>
      </x:c>
      <x:c r="G183" s="141" t="n">
        <x:f>E183+F183</x:f>
        <x:v>2645.4792050864053</x:v>
      </x:c>
      <x:c r="H183" s="141" t="n">
        <x:f>IF(A183=$B$29,$B$42,0)</x:f>
        <x:v>0</x:v>
      </x:c>
      <x:c r="I183" s="141" t="n">
        <x:f>IF(A183=$B$29,$B$43,0)</x:f>
        <x:v>0</x:v>
      </x:c>
      <x:c r="J183" s="140" t="str">
        <x:f>IF(A183&lt;$B$29,"Aguardando",IF(A183=$B$29,"Contemplado","Pos-contemplacao"))</x:f>
        <x:v>Pos-contemplacao</x:v>
      </x:c>
      <x:c r="K183" s="141" t="n">
        <x:f>IF(A183&gt;=$B$27,0,(K184+E184)/(1+$B$9))</x:f>
        <x:v>232295.97951953558</x:v>
      </x:c>
      <x:c r="L183" s="141" t="n">
        <x:f>IF(A183&lt;$B$29,$B$43/(1+$B$9)^($B$29-A183),0)</x:f>
        <x:v>0</x:v>
      </x:c>
      <x:c r="M183" s="141" t="n">
        <x:f>L183-K183</x:f>
        <x:v>-232295.97951953558</x:v>
      </x:c>
    </x:row>
    <x:row r="184">
      <x:c r="A184" s="142" t="n">
        <x:v>130</x:v>
      </x:c>
      <x:c r="B184" s="179" t="n">
        <x:f>EDATE($B$5,A184-1)</x:f>
        <x:v>50465</x:v>
      </x:c>
      <x:c r="C184" s="141" t="n">
        <x:f>$B$6</x:f>
        <x:v>7000</x:v>
      </x:c>
      <x:c r="D184" s="180" t="n">
        <x:f>(1+$B$28)^INT((A184-1)/12)</x:f>
        <x:v>1.7908476965428546</x:v>
      </x:c>
      <x:c r="E184" s="141" t="n">
        <x:f>IF(A184&lt;=$B$27,$B$45*D184,0)</x:f>
        <x:v>2645.4792050864053</x:v>
      </x:c>
      <x:c r="F184" s="141" t="n">
        <x:f>IF(A184=$B$29,$B$44,0)</x:f>
        <x:v>0</x:v>
      </x:c>
      <x:c r="G184" s="141" t="n">
        <x:f>E184+F184</x:f>
        <x:v>2645.4792050864053</x:v>
      </x:c>
      <x:c r="H184" s="141" t="n">
        <x:f>IF(A184=$B$29,$B$42,0)</x:f>
        <x:v>0</x:v>
      </x:c>
      <x:c r="I184" s="141" t="n">
        <x:f>IF(A184=$B$29,$B$43,0)</x:f>
        <x:v>0</x:v>
      </x:c>
      <x:c r="J184" s="140" t="str">
        <x:f>IF(A184&lt;$B$29,"Aguardando",IF(A184=$B$29,"Contemplado","Pos-contemplacao"))</x:f>
        <x:v>Pos-contemplacao</x:v>
      </x:c>
      <x:c r="K184" s="141" t="n">
        <x:f>IF(A184&gt;=$B$27,0,(K185+E185)/(1+$B$9))</x:f>
        <x:v>231854.70876364622</x:v>
      </x:c>
      <x:c r="L184" s="141" t="n">
        <x:f>IF(A184&lt;$B$29,$B$43/(1+$B$9)^($B$29-A184),0)</x:f>
        <x:v>0</x:v>
      </x:c>
      <x:c r="M184" s="141" t="n">
        <x:f>L184-K184</x:f>
        <x:v>-231854.70876364622</x:v>
      </x:c>
    </x:row>
    <x:row r="185">
      <x:c r="A185" s="142" t="n">
        <x:v>131</x:v>
      </x:c>
      <x:c r="B185" s="179" t="n">
        <x:f>EDATE($B$5,A185-1)</x:f>
        <x:v>50496</x:v>
      </x:c>
      <x:c r="C185" s="141" t="n">
        <x:f>$B$6</x:f>
        <x:v>7000</x:v>
      </x:c>
      <x:c r="D185" s="180" t="n">
        <x:f>(1+$B$28)^INT((A185-1)/12)</x:f>
        <x:v>1.7908476965428546</x:v>
      </x:c>
      <x:c r="E185" s="141" t="n">
        <x:f>IF(A185&lt;=$B$27,$B$45*D185,0)</x:f>
        <x:v>2645.4792050864053</x:v>
      </x:c>
      <x:c r="F185" s="141" t="n">
        <x:f>IF(A185=$B$29,$B$44,0)</x:f>
        <x:v>0</x:v>
      </x:c>
      <x:c r="G185" s="141" t="n">
        <x:f>E185+F185</x:f>
        <x:v>2645.4792050864053</x:v>
      </x:c>
      <x:c r="H185" s="141" t="n">
        <x:f>IF(A185=$B$29,$B$42,0)</x:f>
        <x:v>0</x:v>
      </x:c>
      <x:c r="I185" s="141" t="n">
        <x:f>IF(A185=$B$29,$B$43,0)</x:f>
        <x:v>0</x:v>
      </x:c>
      <x:c r="J185" s="140" t="str">
        <x:f>IF(A185&lt;$B$29,"Aguardando",IF(A185=$B$29,"Contemplado","Pos-contemplacao"))</x:f>
        <x:v>Pos-contemplacao</x:v>
      </x:c>
      <x:c r="K185" s="141" t="n">
        <x:f>IF(A185&gt;=$B$27,0,(K186+E186)/(1+$B$9))</x:f>
        <x:v>231409.2508809261</x:v>
      </x:c>
      <x:c r="L185" s="141" t="n">
        <x:f>IF(A185&lt;$B$29,$B$43/(1+$B$9)^($B$29-A185),0)</x:f>
        <x:v>0</x:v>
      </x:c>
      <x:c r="M185" s="141" t="n">
        <x:f>L185-K185</x:f>
        <x:v>-231409.2508809261</x:v>
      </x:c>
    </x:row>
    <x:row r="186">
      <x:c r="A186" s="142" t="n">
        <x:v>132</x:v>
      </x:c>
      <x:c r="B186" s="179" t="n">
        <x:f>EDATE($B$5,A186-1)</x:f>
        <x:v>50526</x:v>
      </x:c>
      <x:c r="C186" s="141" t="n">
        <x:f>$B$6</x:f>
        <x:v>7000</x:v>
      </x:c>
      <x:c r="D186" s="180" t="n">
        <x:f>(1+$B$28)^INT((A186-1)/12)</x:f>
        <x:v>1.7908476965428546</x:v>
      </x:c>
      <x:c r="E186" s="141" t="n">
        <x:f>IF(A186&lt;=$B$27,$B$45*D186,0)</x:f>
        <x:v>2645.4792050864053</x:v>
      </x:c>
      <x:c r="F186" s="141" t="n">
        <x:f>IF(A186=$B$29,$B$44,0)</x:f>
        <x:v>0</x:v>
      </x:c>
      <x:c r="G186" s="141" t="n">
        <x:f>E186+F186</x:f>
        <x:v>2645.4792050864053</x:v>
      </x:c>
      <x:c r="H186" s="141" t="n">
        <x:f>IF(A186=$B$29,$B$42,0)</x:f>
        <x:v>0</x:v>
      </x:c>
      <x:c r="I186" s="141" t="n">
        <x:f>IF(A186=$B$29,$B$43,0)</x:f>
        <x:v>0</x:v>
      </x:c>
      <x:c r="J186" s="140" t="str">
        <x:f>IF(A186&lt;$B$29,"Aguardando",IF(A186=$B$29,"Contemplado","Pos-contemplacao"))</x:f>
        <x:v>Pos-contemplacao</x:v>
      </x:c>
      <x:c r="K186" s="141" t="n">
        <x:f>IF(A186&gt;=$B$27,0,(K187+E187)/(1+$B$9))</x:f>
        <x:v>230959.5661405958</x:v>
      </x:c>
      <x:c r="L186" s="141" t="n">
        <x:f>IF(A186&lt;$B$29,$B$43/(1+$B$9)^($B$29-A186),0)</x:f>
        <x:v>0</x:v>
      </x:c>
      <x:c r="M186" s="141" t="n">
        <x:f>L186-K186</x:f>
        <x:v>-230959.5661405958</x:v>
      </x:c>
    </x:row>
    <x:row r="187">
      <x:c r="A187" s="142" t="n">
        <x:v>133</x:v>
      </x:c>
      <x:c r="B187" s="179" t="n">
        <x:f>EDATE($B$5,A187-1)</x:f>
        <x:v>50557</x:v>
      </x:c>
      <x:c r="C187" s="141" t="n">
        <x:f>$B$6</x:f>
        <x:v>7000</x:v>
      </x:c>
      <x:c r="D187" s="180" t="n">
        <x:f>(1+$B$28)^INT((A187-1)/12)</x:f>
        <x:v>1.898298558335426</x:v>
      </x:c>
      <x:c r="E187" s="141" t="n">
        <x:f>IF(A187&lt;=$B$27,$B$45*D187,0)</x:f>
        <x:v>2804.20795739159</x:v>
      </x:c>
      <x:c r="F187" s="141" t="n">
        <x:f>IF(A187=$B$29,$B$44,0)</x:f>
        <x:v>0</x:v>
      </x:c>
      <x:c r="G187" s="141" t="n">
        <x:f>E187+F187</x:f>
        <x:v>2804.20795739159</x:v>
      </x:c>
      <x:c r="H187" s="141" t="n">
        <x:f>IF(A187=$B$29,$B$42,0)</x:f>
        <x:v>0</x:v>
      </x:c>
      <x:c r="I187" s="141" t="n">
        <x:f>IF(A187=$B$29,$B$43,0)</x:f>
        <x:v>0</x:v>
      </x:c>
      <x:c r="J187" s="140" t="str">
        <x:f>IF(A187&lt;$B$29,"Aguardando",IF(A187=$B$29,"Contemplado","Pos-contemplacao"))</x:f>
        <x:v>Pos-contemplacao</x:v>
      </x:c>
      <x:c r="K187" s="141" t="n">
        <x:f>IF(A187&gt;=$B$27,0,(K188+E188)/(1+$B$9))</x:f>
        <x:v>230346.88568257345</x:v>
      </x:c>
      <x:c r="L187" s="141" t="n">
        <x:f>IF(A187&lt;$B$29,$B$43/(1+$B$9)^($B$29-A187),0)</x:f>
        <x:v>0</x:v>
      </x:c>
      <x:c r="M187" s="141" t="n">
        <x:f>L187-K187</x:f>
        <x:v>-230346.88568257345</x:v>
      </x:c>
    </x:row>
    <x:row r="188">
      <x:c r="A188" s="142" t="n">
        <x:v>134</x:v>
      </x:c>
      <x:c r="B188" s="179" t="n">
        <x:f>EDATE($B$5,A188-1)</x:f>
        <x:v>50587</x:v>
      </x:c>
      <x:c r="C188" s="141" t="n">
        <x:f>$B$6</x:f>
        <x:v>7000</x:v>
      </x:c>
      <x:c r="D188" s="180" t="n">
        <x:f>(1+$B$28)^INT((A188-1)/12)</x:f>
        <x:v>1.898298558335426</x:v>
      </x:c>
      <x:c r="E188" s="141" t="n">
        <x:f>IF(A188&lt;=$B$27,$B$45*D188,0)</x:f>
        <x:v>2804.20795739159</x:v>
      </x:c>
      <x:c r="F188" s="141" t="n">
        <x:f>IF(A188=$B$29,$B$44,0)</x:f>
        <x:v>0</x:v>
      </x:c>
      <x:c r="G188" s="141" t="n">
        <x:f>E188+F188</x:f>
        <x:v>2804.20795739159</x:v>
      </x:c>
      <x:c r="H188" s="141" t="n">
        <x:f>IF(A188=$B$29,$B$42,0)</x:f>
        <x:v>0</x:v>
      </x:c>
      <x:c r="I188" s="141" t="n">
        <x:f>IF(A188=$B$29,$B$43,0)</x:f>
        <x:v>0</x:v>
      </x:c>
      <x:c r="J188" s="140" t="str">
        <x:f>IF(A188&lt;$B$29,"Aguardando",IF(A188=$B$29,"Contemplado","Pos-contemplacao"))</x:f>
        <x:v>Pos-contemplacao</x:v>
      </x:c>
      <x:c r="K188" s="141" t="n">
        <x:f>IF(A188&gt;=$B$27,0,(K189+E189)/(1+$B$9))</x:f>
        <x:v>229728.39162654986</x:v>
      </x:c>
      <x:c r="L188" s="141" t="n">
        <x:f>IF(A188&lt;$B$29,$B$43/(1+$B$9)^($B$29-A188),0)</x:f>
        <x:v>0</x:v>
      </x:c>
      <x:c r="M188" s="141" t="n">
        <x:f>L188-K188</x:f>
        <x:v>-229728.39162654986</x:v>
      </x:c>
    </x:row>
    <x:row r="189">
      <x:c r="A189" s="142" t="n">
        <x:v>135</x:v>
      </x:c>
      <x:c r="B189" s="179" t="n">
        <x:f>EDATE($B$5,A189-1)</x:f>
        <x:v>50618</x:v>
      </x:c>
      <x:c r="C189" s="141" t="n">
        <x:f>$B$6</x:f>
        <x:v>7000</x:v>
      </x:c>
      <x:c r="D189" s="180" t="n">
        <x:f>(1+$B$28)^INT((A189-1)/12)</x:f>
        <x:v>1.898298558335426</x:v>
      </x:c>
      <x:c r="E189" s="141" t="n">
        <x:f>IF(A189&lt;=$B$27,$B$45*D189,0)</x:f>
        <x:v>2804.20795739159</x:v>
      </x:c>
      <x:c r="F189" s="141" t="n">
        <x:f>IF(A189=$B$29,$B$44,0)</x:f>
        <x:v>0</x:v>
      </x:c>
      <x:c r="G189" s="141" t="n">
        <x:f>E189+F189</x:f>
        <x:v>2804.20795739159</x:v>
      </x:c>
      <x:c r="H189" s="141" t="n">
        <x:f>IF(A189=$B$29,$B$42,0)</x:f>
        <x:v>0</x:v>
      </x:c>
      <x:c r="I189" s="141" t="n">
        <x:f>IF(A189=$B$29,$B$43,0)</x:f>
        <x:v>0</x:v>
      </x:c>
      <x:c r="J189" s="140" t="str">
        <x:f>IF(A189&lt;$B$29,"Aguardando",IF(A189=$B$29,"Contemplado","Pos-contemplacao"))</x:f>
        <x:v>Pos-contemplacao</x:v>
      </x:c>
      <x:c r="K189" s="141" t="n">
        <x:f>IF(A189&gt;=$B$27,0,(K190+E190)/(1+$B$9))</x:f>
        <x:v>229104.0288084974</x:v>
      </x:c>
      <x:c r="L189" s="141" t="n">
        <x:f>IF(A189&lt;$B$29,$B$43/(1+$B$9)^($B$29-A189),0)</x:f>
        <x:v>0</x:v>
      </x:c>
      <x:c r="M189" s="141" t="n">
        <x:f>L189-K189</x:f>
        <x:v>-229104.0288084974</x:v>
      </x:c>
    </x:row>
    <x:row r="190">
      <x:c r="A190" s="142" t="n">
        <x:v>136</x:v>
      </x:c>
      <x:c r="B190" s="179" t="n">
        <x:f>EDATE($B$5,A190-1)</x:f>
        <x:v>50649</x:v>
      </x:c>
      <x:c r="C190" s="141" t="n">
        <x:f>$B$6</x:f>
        <x:v>7000</x:v>
      </x:c>
      <x:c r="D190" s="180" t="n">
        <x:f>(1+$B$28)^INT((A190-1)/12)</x:f>
        <x:v>1.898298558335426</x:v>
      </x:c>
      <x:c r="E190" s="141" t="n">
        <x:f>IF(A190&lt;=$B$27,$B$45*D190,0)</x:f>
        <x:v>2804.20795739159</x:v>
      </x:c>
      <x:c r="F190" s="141" t="n">
        <x:f>IF(A190=$B$29,$B$44,0)</x:f>
        <x:v>0</x:v>
      </x:c>
      <x:c r="G190" s="141" t="n">
        <x:f>E190+F190</x:f>
        <x:v>2804.20795739159</x:v>
      </x:c>
      <x:c r="H190" s="141" t="n">
        <x:f>IF(A190=$B$29,$B$42,0)</x:f>
        <x:v>0</x:v>
      </x:c>
      <x:c r="I190" s="141" t="n">
        <x:f>IF(A190=$B$29,$B$43,0)</x:f>
        <x:v>0</x:v>
      </x:c>
      <x:c r="J190" s="140" t="str">
        <x:f>IF(A190&lt;$B$29,"Aguardando",IF(A190=$B$29,"Contemplado","Pos-contemplacao"))</x:f>
        <x:v>Pos-contemplacao</x:v>
      </x:c>
      <x:c r="K190" s="141" t="n">
        <x:f>IF(A190&gt;=$B$27,0,(K191+E191)/(1+$B$9))</x:f>
        <x:v>228473.74154094837</x:v>
      </x:c>
      <x:c r="L190" s="141" t="n">
        <x:f>IF(A190&lt;$B$29,$B$43/(1+$B$9)^($B$29-A190),0)</x:f>
        <x:v>0</x:v>
      </x:c>
      <x:c r="M190" s="141" t="n">
        <x:f>L190-K190</x:f>
        <x:v>-228473.74154094837</x:v>
      </x:c>
    </x:row>
    <x:row r="191">
      <x:c r="A191" s="142" t="n">
        <x:v>137</x:v>
      </x:c>
      <x:c r="B191" s="179" t="n">
        <x:f>EDATE($B$5,A191-1)</x:f>
        <x:v>50679</x:v>
      </x:c>
      <x:c r="C191" s="141" t="n">
        <x:f>$B$6</x:f>
        <x:v>7000</x:v>
      </x:c>
      <x:c r="D191" s="180" t="n">
        <x:f>(1+$B$28)^INT((A191-1)/12)</x:f>
        <x:v>1.898298558335426</x:v>
      </x:c>
      <x:c r="E191" s="141" t="n">
        <x:f>IF(A191&lt;=$B$27,$B$45*D191,0)</x:f>
        <x:v>2804.20795739159</x:v>
      </x:c>
      <x:c r="F191" s="141" t="n">
        <x:f>IF(A191=$B$29,$B$44,0)</x:f>
        <x:v>0</x:v>
      </x:c>
      <x:c r="G191" s="141" t="n">
        <x:f>E191+F191</x:f>
        <x:v>2804.20795739159</x:v>
      </x:c>
      <x:c r="H191" s="141" t="n">
        <x:f>IF(A191=$B$29,$B$42,0)</x:f>
        <x:v>0</x:v>
      </x:c>
      <x:c r="I191" s="141" t="n">
        <x:f>IF(A191=$B$29,$B$43,0)</x:f>
        <x:v>0</x:v>
      </x:c>
      <x:c r="J191" s="140" t="str">
        <x:f>IF(A191&lt;$B$29,"Aguardando",IF(A191=$B$29,"Contemplado","Pos-contemplacao"))</x:f>
        <x:v>Pos-contemplacao</x:v>
      </x:c>
      <x:c r="K191" s="141" t="n">
        <x:f>IF(A191&gt;=$B$27,0,(K192+E192)/(1+$B$9))</x:f>
        <x:v>227837.47360802826</x:v>
      </x:c>
      <x:c r="L191" s="141" t="n">
        <x:f>IF(A191&lt;$B$29,$B$43/(1+$B$9)^($B$29-A191),0)</x:f>
        <x:v>0</x:v>
      </x:c>
      <x:c r="M191" s="141" t="n">
        <x:f>L191-K191</x:f>
        <x:v>-227837.47360802826</x:v>
      </x:c>
    </x:row>
    <x:row r="192">
      <x:c r="A192" s="142" t="n">
        <x:v>138</x:v>
      </x:c>
      <x:c r="B192" s="179" t="n">
        <x:f>EDATE($B$5,A192-1)</x:f>
        <x:v>50710</x:v>
      </x:c>
      <x:c r="C192" s="141" t="n">
        <x:f>$B$6</x:f>
        <x:v>7000</x:v>
      </x:c>
      <x:c r="D192" s="180" t="n">
        <x:f>(1+$B$28)^INT((A192-1)/12)</x:f>
        <x:v>1.898298558335426</x:v>
      </x:c>
      <x:c r="E192" s="141" t="n">
        <x:f>IF(A192&lt;=$B$27,$B$45*D192,0)</x:f>
        <x:v>2804.20795739159</x:v>
      </x:c>
      <x:c r="F192" s="141" t="n">
        <x:f>IF(A192=$B$29,$B$44,0)</x:f>
        <x:v>0</x:v>
      </x:c>
      <x:c r="G192" s="141" t="n">
        <x:f>E192+F192</x:f>
        <x:v>2804.20795739159</x:v>
      </x:c>
      <x:c r="H192" s="141" t="n">
        <x:f>IF(A192=$B$29,$B$42,0)</x:f>
        <x:v>0</x:v>
      </x:c>
      <x:c r="I192" s="141" t="n">
        <x:f>IF(A192=$B$29,$B$43,0)</x:f>
        <x:v>0</x:v>
      </x:c>
      <x:c r="J192" s="140" t="str">
        <x:f>IF(A192&lt;$B$29,"Aguardando",IF(A192=$B$29,"Contemplado","Pos-contemplacao"))</x:f>
        <x:v>Pos-contemplacao</x:v>
      </x:c>
      <x:c r="K192" s="141" t="n">
        <x:f>IF(A192&gt;=$B$27,0,(K193+E193)/(1+$B$9))</x:f>
        <x:v>227195.16826044177</x:v>
      </x:c>
      <x:c r="L192" s="141" t="n">
        <x:f>IF(A192&lt;$B$29,$B$43/(1+$B$9)^($B$29-A192),0)</x:f>
        <x:v>0</x:v>
      </x:c>
      <x:c r="M192" s="141" t="n">
        <x:f>L192-K192</x:f>
        <x:v>-227195.16826044177</x:v>
      </x:c>
    </x:row>
    <x:row r="193">
      <x:c r="A193" s="142" t="n">
        <x:v>139</x:v>
      </x:c>
      <x:c r="B193" s="179" t="n">
        <x:f>EDATE($B$5,A193-1)</x:f>
        <x:v>50740</x:v>
      </x:c>
      <x:c r="C193" s="141" t="n">
        <x:f>$B$6</x:f>
        <x:v>7000</x:v>
      </x:c>
      <x:c r="D193" s="180" t="n">
        <x:f>(1+$B$28)^INT((A193-1)/12)</x:f>
        <x:v>1.898298558335426</x:v>
      </x:c>
      <x:c r="E193" s="141" t="n">
        <x:f>IF(A193&lt;=$B$27,$B$45*D193,0)</x:f>
        <x:v>2804.20795739159</x:v>
      </x:c>
      <x:c r="F193" s="141" t="n">
        <x:f>IF(A193=$B$29,$B$44,0)</x:f>
        <x:v>0</x:v>
      </x:c>
      <x:c r="G193" s="141" t="n">
        <x:f>E193+F193</x:f>
        <x:v>2804.20795739159</x:v>
      </x:c>
      <x:c r="H193" s="141" t="n">
        <x:f>IF(A193=$B$29,$B$42,0)</x:f>
        <x:v>0</x:v>
      </x:c>
      <x:c r="I193" s="141" t="n">
        <x:f>IF(A193=$B$29,$B$43,0)</x:f>
        <x:v>0</x:v>
      </x:c>
      <x:c r="J193" s="140" t="str">
        <x:f>IF(A193&lt;$B$29,"Aguardando",IF(A193=$B$29,"Contemplado","Pos-contemplacao"))</x:f>
        <x:v>Pos-contemplacao</x:v>
      </x:c>
      <x:c r="K193" s="141" t="n">
        <x:f>IF(A193&gt;=$B$27,0,(K194+E194)/(1+$B$9))</x:f>
        <x:v>226546.76821041128</x:v>
      </x:c>
      <x:c r="L193" s="141" t="n">
        <x:f>IF(A193&lt;$B$29,$B$43/(1+$B$9)^($B$29-A193),0)</x:f>
        <x:v>0</x:v>
      </x:c>
      <x:c r="M193" s="141" t="n">
        <x:f>L193-K193</x:f>
        <x:v>-226546.76821041128</x:v>
      </x:c>
    </x:row>
    <x:row r="194">
      <x:c r="A194" s="142" t="n">
        <x:v>140</x:v>
      </x:c>
      <x:c r="B194" s="179" t="n">
        <x:f>EDATE($B$5,A194-1)</x:f>
        <x:v>50771</x:v>
      </x:c>
      <x:c r="C194" s="141" t="n">
        <x:f>$B$6</x:f>
        <x:v>7000</x:v>
      </x:c>
      <x:c r="D194" s="180" t="n">
        <x:f>(1+$B$28)^INT((A194-1)/12)</x:f>
        <x:v>1.898298558335426</x:v>
      </x:c>
      <x:c r="E194" s="141" t="n">
        <x:f>IF(A194&lt;=$B$27,$B$45*D194,0)</x:f>
        <x:v>2804.20795739159</x:v>
      </x:c>
      <x:c r="F194" s="141" t="n">
        <x:f>IF(A194=$B$29,$B$44,0)</x:f>
        <x:v>0</x:v>
      </x:c>
      <x:c r="G194" s="141" t="n">
        <x:f>E194+F194</x:f>
        <x:v>2804.20795739159</x:v>
      </x:c>
      <x:c r="H194" s="141" t="n">
        <x:f>IF(A194=$B$29,$B$42,0)</x:f>
        <x:v>0</x:v>
      </x:c>
      <x:c r="I194" s="141" t="n">
        <x:f>IF(A194=$B$29,$B$43,0)</x:f>
        <x:v>0</x:v>
      </x:c>
      <x:c r="J194" s="140" t="str">
        <x:f>IF(A194&lt;$B$29,"Aguardando",IF(A194=$B$29,"Contemplado","Pos-contemplacao"))</x:f>
        <x:v>Pos-contemplacao</x:v>
      </x:c>
      <x:c r="K194" s="141" t="n">
        <x:f>IF(A194&gt;=$B$27,0,(K195+E195)/(1+$B$9))</x:f>
        <x:v>225892.21562656725</x:v>
      </x:c>
      <x:c r="L194" s="141" t="n">
        <x:f>IF(A194&lt;$B$29,$B$43/(1+$B$9)^($B$29-A194),0)</x:f>
        <x:v>0</x:v>
      </x:c>
      <x:c r="M194" s="141" t="n">
        <x:f>L194-K194</x:f>
        <x:v>-225892.21562656725</x:v>
      </x:c>
    </x:row>
    <x:row r="195">
      <x:c r="A195" s="142" t="n">
        <x:v>141</x:v>
      </x:c>
      <x:c r="B195" s="179" t="n">
        <x:f>EDATE($B$5,A195-1)</x:f>
        <x:v>50802</x:v>
      </x:c>
      <x:c r="C195" s="141" t="n">
        <x:f>$B$6</x:f>
        <x:v>7000</x:v>
      </x:c>
      <x:c r="D195" s="180" t="n">
        <x:f>(1+$B$28)^INT((A195-1)/12)</x:f>
        <x:v>1.898298558335426</x:v>
      </x:c>
      <x:c r="E195" s="141" t="n">
        <x:f>IF(A195&lt;=$B$27,$B$45*D195,0)</x:f>
        <x:v>2804.20795739159</x:v>
      </x:c>
      <x:c r="F195" s="141" t="n">
        <x:f>IF(A195=$B$29,$B$44,0)</x:f>
        <x:v>0</x:v>
      </x:c>
      <x:c r="G195" s="141" t="n">
        <x:f>E195+F195</x:f>
        <x:v>2804.20795739159</x:v>
      </x:c>
      <x:c r="H195" s="141" t="n">
        <x:f>IF(A195=$B$29,$B$42,0)</x:f>
        <x:v>0</x:v>
      </x:c>
      <x:c r="I195" s="141" t="n">
        <x:f>IF(A195=$B$29,$B$43,0)</x:f>
        <x:v>0</x:v>
      </x:c>
      <x:c r="J195" s="140" t="str">
        <x:f>IF(A195&lt;$B$29,"Aguardando",IF(A195=$B$29,"Contemplado","Pos-contemplacao"))</x:f>
        <x:v>Pos-contemplacao</x:v>
      </x:c>
      <x:c r="K195" s="141" t="n">
        <x:f>IF(A195&gt;=$B$27,0,(K196+E196)/(1+$B$9))</x:f>
        <x:v>225231.45212879035</x:v>
      </x:c>
      <x:c r="L195" s="141" t="n">
        <x:f>IF(A195&lt;$B$29,$B$43/(1+$B$9)^($B$29-A195),0)</x:f>
        <x:v>0</x:v>
      </x:c>
      <x:c r="M195" s="141" t="n">
        <x:f>L195-K195</x:f>
        <x:v>-225231.45212879035</x:v>
      </x:c>
    </x:row>
    <x:row r="196">
      <x:c r="A196" s="142" t="n">
        <x:v>142</x:v>
      </x:c>
      <x:c r="B196" s="179" t="n">
        <x:f>EDATE($B$5,A196-1)</x:f>
        <x:v>50830</x:v>
      </x:c>
      <x:c r="C196" s="141" t="n">
        <x:f>$B$6</x:f>
        <x:v>7000</x:v>
      </x:c>
      <x:c r="D196" s="180" t="n">
        <x:f>(1+$B$28)^INT((A196-1)/12)</x:f>
        <x:v>1.898298558335426</x:v>
      </x:c>
      <x:c r="E196" s="141" t="n">
        <x:f>IF(A196&lt;=$B$27,$B$45*D196,0)</x:f>
        <x:v>2804.20795739159</x:v>
      </x:c>
      <x:c r="F196" s="141" t="n">
        <x:f>IF(A196=$B$29,$B$44,0)</x:f>
        <x:v>0</x:v>
      </x:c>
      <x:c r="G196" s="141" t="n">
        <x:f>E196+F196</x:f>
        <x:v>2804.20795739159</x:v>
      </x:c>
      <x:c r="H196" s="141" t="n">
        <x:f>IF(A196=$B$29,$B$42,0)</x:f>
        <x:v>0</x:v>
      </x:c>
      <x:c r="I196" s="141" t="n">
        <x:f>IF(A196=$B$29,$B$43,0)</x:f>
        <x:v>0</x:v>
      </x:c>
      <x:c r="J196" s="140" t="str">
        <x:f>IF(A196&lt;$B$29,"Aguardando",IF(A196=$B$29,"Contemplado","Pos-contemplacao"))</x:f>
        <x:v>Pos-contemplacao</x:v>
      </x:c>
      <x:c r="K196" s="141" t="n">
        <x:f>IF(A196&gt;=$B$27,0,(K197+E197)/(1+$B$9))</x:f>
        <x:v>224564.4187830043</x:v>
      </x:c>
      <x:c r="L196" s="141" t="n">
        <x:f>IF(A196&lt;$B$29,$B$43/(1+$B$9)^($B$29-A196),0)</x:f>
        <x:v>0</x:v>
      </x:c>
      <x:c r="M196" s="141" t="n">
        <x:f>L196-K196</x:f>
        <x:v>-224564.4187830043</x:v>
      </x:c>
    </x:row>
    <x:row r="197">
      <x:c r="A197" s="142" t="n">
        <x:v>143</x:v>
      </x:c>
      <x:c r="B197" s="179" t="n">
        <x:f>EDATE($B$5,A197-1)</x:f>
        <x:v>50861</x:v>
      </x:c>
      <x:c r="C197" s="141" t="n">
        <x:f>$B$6</x:f>
        <x:v>7000</x:v>
      </x:c>
      <x:c r="D197" s="180" t="n">
        <x:f>(1+$B$28)^INT((A197-1)/12)</x:f>
        <x:v>1.898298558335426</x:v>
      </x:c>
      <x:c r="E197" s="141" t="n">
        <x:f>IF(A197&lt;=$B$27,$B$45*D197,0)</x:f>
        <x:v>2804.20795739159</x:v>
      </x:c>
      <x:c r="F197" s="141" t="n">
        <x:f>IF(A197=$B$29,$B$44,0)</x:f>
        <x:v>0</x:v>
      </x:c>
      <x:c r="G197" s="141" t="n">
        <x:f>E197+F197</x:f>
        <x:v>2804.20795739159</x:v>
      </x:c>
      <x:c r="H197" s="141" t="n">
        <x:f>IF(A197=$B$29,$B$42,0)</x:f>
        <x:v>0</x:v>
      </x:c>
      <x:c r="I197" s="141" t="n">
        <x:f>IF(A197=$B$29,$B$43,0)</x:f>
        <x:v>0</x:v>
      </x:c>
      <x:c r="J197" s="140" t="str">
        <x:f>IF(A197&lt;$B$29,"Aguardando",IF(A197=$B$29,"Contemplado","Pos-contemplacao"))</x:f>
        <x:v>Pos-contemplacao</x:v>
      </x:c>
      <x:c r="K197" s="141" t="n">
        <x:f>IF(A197&gt;=$B$27,0,(K198+E198)/(1+$B$9))</x:f>
        <x:v>223891.05609591963</x:v>
      </x:c>
      <x:c r="L197" s="141" t="n">
        <x:f>IF(A197&lt;$B$29,$B$43/(1+$B$9)^($B$29-A197),0)</x:f>
        <x:v>0</x:v>
      </x:c>
      <x:c r="M197" s="141" t="n">
        <x:f>L197-K197</x:f>
        <x:v>-223891.05609591963</x:v>
      </x:c>
    </x:row>
    <x:row r="198">
      <x:c r="A198" s="142" t="n">
        <x:v>144</x:v>
      </x:c>
      <x:c r="B198" s="179" t="n">
        <x:f>EDATE($B$5,A198-1)</x:f>
        <x:v>50891</x:v>
      </x:c>
      <x:c r="C198" s="141" t="n">
        <x:f>$B$6</x:f>
        <x:v>7000</x:v>
      </x:c>
      <x:c r="D198" s="180" t="n">
        <x:f>(1+$B$28)^INT((A198-1)/12)</x:f>
        <x:v>1.898298558335426</x:v>
      </x:c>
      <x:c r="E198" s="141" t="n">
        <x:f>IF(A198&lt;=$B$27,$B$45*D198,0)</x:f>
        <x:v>2804.20795739159</x:v>
      </x:c>
      <x:c r="F198" s="141" t="n">
        <x:f>IF(A198=$B$29,$B$44,0)</x:f>
        <x:v>0</x:v>
      </x:c>
      <x:c r="G198" s="141" t="n">
        <x:f>E198+F198</x:f>
        <x:v>2804.20795739159</x:v>
      </x:c>
      <x:c r="H198" s="141" t="n">
        <x:f>IF(A198=$B$29,$B$42,0)</x:f>
        <x:v>0</x:v>
      </x:c>
      <x:c r="I198" s="141" t="n">
        <x:f>IF(A198=$B$29,$B$43,0)</x:f>
        <x:v>0</x:v>
      </x:c>
      <x:c r="J198" s="140" t="str">
        <x:f>IF(A198&lt;$B$29,"Aguardando",IF(A198=$B$29,"Contemplado","Pos-contemplacao"))</x:f>
        <x:v>Pos-contemplacao</x:v>
      </x:c>
      <x:c r="K198" s="141" t="n">
        <x:f>IF(A198&gt;=$B$27,0,(K199+E199)/(1+$B$9))</x:f>
        <x:v>223211.30400972732</x:v>
      </x:c>
      <x:c r="L198" s="141" t="n">
        <x:f>IF(A198&lt;$B$29,$B$43/(1+$B$9)^($B$29-A198),0)</x:f>
        <x:v>0</x:v>
      </x:c>
      <x:c r="M198" s="141" t="n">
        <x:f>L198-K198</x:f>
        <x:v>-223211.30400972732</x:v>
      </x:c>
    </x:row>
    <x:row r="199">
      <x:c r="A199" s="142" t="n">
        <x:v>145</x:v>
      </x:c>
      <x:c r="B199" s="179" t="n">
        <x:f>EDATE($B$5,A199-1)</x:f>
        <x:v>50922</x:v>
      </x:c>
      <x:c r="C199" s="141" t="n">
        <x:f>$B$6</x:f>
        <x:v>7000</x:v>
      </x:c>
      <x:c r="D199" s="180" t="n">
        <x:f>(1+$B$28)^INT((A199-1)/12)</x:f>
        <x:v>2.0121964718355514</x:v>
      </x:c>
      <x:c r="E199" s="141" t="n">
        <x:f>IF(A199&lt;=$B$27,$B$45*D199,0)</x:f>
        <x:v>2972.460434835085</x:v>
      </x:c>
      <x:c r="F199" s="141" t="n">
        <x:f>IF(A199=$B$29,$B$44,0)</x:f>
        <x:v>0</x:v>
      </x:c>
      <x:c r="G199" s="141" t="n">
        <x:f>E199+F199</x:f>
        <x:v>2972.460434835085</x:v>
      </x:c>
      <x:c r="H199" s="141" t="n">
        <x:f>IF(A199=$B$29,$B$42,0)</x:f>
        <x:v>0</x:v>
      </x:c>
      <x:c r="I199" s="141" t="n">
        <x:f>IF(A199=$B$29,$B$43,0)</x:f>
        <x:v>0</x:v>
      </x:c>
      <x:c r="J199" s="140" t="str">
        <x:f>IF(A199&lt;$B$29,"Aguardando",IF(A199=$B$29,"Contemplado","Pos-contemplacao"))</x:f>
        <x:v>Pos-contemplacao</x:v>
      </x:c>
      <x:c r="K199" s="141" t="n">
        <x:f>IF(A199&gt;=$B$27,0,(K200+E200)/(1+$B$9))</x:f>
        <x:v>222356.84941929881</x:v>
      </x:c>
      <x:c r="L199" s="141" t="n">
        <x:f>IF(A199&lt;$B$29,$B$43/(1+$B$9)^($B$29-A199),0)</x:f>
        <x:v>0</x:v>
      </x:c>
      <x:c r="M199" s="141" t="n">
        <x:f>L199-K199</x:f>
        <x:v>-222356.84941929881</x:v>
      </x:c>
    </x:row>
    <x:row r="200">
      <x:c r="A200" s="142" t="n">
        <x:v>146</x:v>
      </x:c>
      <x:c r="B200" s="179" t="n">
        <x:f>EDATE($B$5,A200-1)</x:f>
        <x:v>50952</x:v>
      </x:c>
      <x:c r="C200" s="141" t="n">
        <x:f>$B$6</x:f>
        <x:v>7000</x:v>
      </x:c>
      <x:c r="D200" s="180" t="n">
        <x:f>(1+$B$28)^INT((A200-1)/12)</x:f>
        <x:v>2.0121964718355514</x:v>
      </x:c>
      <x:c r="E200" s="141" t="n">
        <x:f>IF(A200&lt;=$B$27,$B$45*D200,0)</x:f>
        <x:v>2972.460434835085</x:v>
      </x:c>
      <x:c r="F200" s="141" t="n">
        <x:f>IF(A200=$B$29,$B$44,0)</x:f>
        <x:v>0</x:v>
      </x:c>
      <x:c r="G200" s="141" t="n">
        <x:f>E200+F200</x:f>
        <x:v>2972.460434835085</x:v>
      </x:c>
      <x:c r="H200" s="141" t="n">
        <x:f>IF(A200=$B$29,$B$42,0)</x:f>
        <x:v>0</x:v>
      </x:c>
      <x:c r="I200" s="141" t="n">
        <x:f>IF(A200=$B$29,$B$43,0)</x:f>
        <x:v>0</x:v>
      </x:c>
      <x:c r="J200" s="140" t="str">
        <x:f>IF(A200&lt;$B$29,"Aguardando",IF(A200=$B$29,"Contemplado","Pos-contemplacao"))</x:f>
        <x:v>Pos-contemplacao</x:v>
      </x:c>
      <x:c r="K200" s="141" t="n">
        <x:f>IF(A200&gt;=$B$27,0,(K201+E201)/(1+$B$9))</x:f>
        <x:v>221494.28708618972</x:v>
      </x:c>
      <x:c r="L200" s="141" t="n">
        <x:f>IF(A200&lt;$B$29,$B$43/(1+$B$9)^($B$29-A200),0)</x:f>
        <x:v>0</x:v>
      </x:c>
      <x:c r="M200" s="141" t="n">
        <x:f>L200-K200</x:f>
        <x:v>-221494.28708618972</x:v>
      </x:c>
    </x:row>
    <x:row r="201">
      <x:c r="A201" s="142" t="n">
        <x:v>147</x:v>
      </x:c>
      <x:c r="B201" s="179" t="n">
        <x:f>EDATE($B$5,A201-1)</x:f>
        <x:v>50983</x:v>
      </x:c>
      <x:c r="C201" s="141" t="n">
        <x:f>$B$6</x:f>
        <x:v>7000</x:v>
      </x:c>
      <x:c r="D201" s="180" t="n">
        <x:f>(1+$B$28)^INT((A201-1)/12)</x:f>
        <x:v>2.0121964718355514</x:v>
      </x:c>
      <x:c r="E201" s="141" t="n">
        <x:f>IF(A201&lt;=$B$27,$B$45*D201,0)</x:f>
        <x:v>2972.460434835085</x:v>
      </x:c>
      <x:c r="F201" s="141" t="n">
        <x:f>IF(A201=$B$29,$B$44,0)</x:f>
        <x:v>0</x:v>
      </x:c>
      <x:c r="G201" s="141" t="n">
        <x:f>E201+F201</x:f>
        <x:v>2972.460434835085</x:v>
      </x:c>
      <x:c r="H201" s="141" t="n">
        <x:f>IF(A201=$B$29,$B$42,0)</x:f>
        <x:v>0</x:v>
      </x:c>
      <x:c r="I201" s="141" t="n">
        <x:f>IF(A201=$B$29,$B$43,0)</x:f>
        <x:v>0</x:v>
      </x:c>
      <x:c r="J201" s="140" t="str">
        <x:f>IF(A201&lt;$B$29,"Aguardando",IF(A201=$B$29,"Contemplado","Pos-contemplacao"))</x:f>
        <x:v>Pos-contemplacao</x:v>
      </x:c>
      <x:c r="K201" s="141" t="n">
        <x:f>IF(A201&gt;=$B$27,0,(K202+E202)/(1+$B$9))</x:f>
        <x:v>220623.54007770857</x:v>
      </x:c>
      <x:c r="L201" s="141" t="n">
        <x:f>IF(A201&lt;$B$29,$B$43/(1+$B$9)^($B$29-A201),0)</x:f>
        <x:v>0</x:v>
      </x:c>
      <x:c r="M201" s="141" t="n">
        <x:f>L201-K201</x:f>
        <x:v>-220623.54007770857</x:v>
      </x:c>
    </x:row>
    <x:row r="202">
      <x:c r="A202" s="142" t="n">
        <x:v>148</x:v>
      </x:c>
      <x:c r="B202" s="179" t="n">
        <x:f>EDATE($B$5,A202-1)</x:f>
        <x:v>51014</x:v>
      </x:c>
      <x:c r="C202" s="141" t="n">
        <x:f>$B$6</x:f>
        <x:v>7000</x:v>
      </x:c>
      <x:c r="D202" s="180" t="n">
        <x:f>(1+$B$28)^INT((A202-1)/12)</x:f>
        <x:v>2.0121964718355514</x:v>
      </x:c>
      <x:c r="E202" s="141" t="n">
        <x:f>IF(A202&lt;=$B$27,$B$45*D202,0)</x:f>
        <x:v>2972.460434835085</x:v>
      </x:c>
      <x:c r="F202" s="141" t="n">
        <x:f>IF(A202=$B$29,$B$44,0)</x:f>
        <x:v>0</x:v>
      </x:c>
      <x:c r="G202" s="141" t="n">
        <x:f>E202+F202</x:f>
        <x:v>2972.460434835085</x:v>
      </x:c>
      <x:c r="H202" s="141" t="n">
        <x:f>IF(A202=$B$29,$B$42,0)</x:f>
        <x:v>0</x:v>
      </x:c>
      <x:c r="I202" s="141" t="n">
        <x:f>IF(A202=$B$29,$B$43,0)</x:f>
        <x:v>0</x:v>
      </x:c>
      <x:c r="J202" s="140" t="str">
        <x:f>IF(A202&lt;$B$29,"Aguardando",IF(A202=$B$29,"Contemplado","Pos-contemplacao"))</x:f>
        <x:v>Pos-contemplacao</x:v>
      </x:c>
      <x:c r="K202" s="141" t="n">
        <x:f>IF(A202&gt;=$B$27,0,(K203+E203)/(1+$B$9))</x:f>
        <x:v>219744.53073116555</x:v>
      </x:c>
      <x:c r="L202" s="141" t="n">
        <x:f>IF(A202&lt;$B$29,$B$43/(1+$B$9)^($B$29-A202),0)</x:f>
        <x:v>0</x:v>
      </x:c>
      <x:c r="M202" s="141" t="n">
        <x:f>L202-K202</x:f>
        <x:v>-219744.53073116555</x:v>
      </x:c>
    </x:row>
    <x:row r="203">
      <x:c r="A203" s="142" t="n">
        <x:v>149</x:v>
      </x:c>
      <x:c r="B203" s="179" t="n">
        <x:f>EDATE($B$5,A203-1)</x:f>
        <x:v>51044</x:v>
      </x:c>
      <x:c r="C203" s="141" t="n">
        <x:f>$B$6</x:f>
        <x:v>7000</x:v>
      </x:c>
      <x:c r="D203" s="180" t="n">
        <x:f>(1+$B$28)^INT((A203-1)/12)</x:f>
        <x:v>2.0121964718355514</x:v>
      </x:c>
      <x:c r="E203" s="141" t="n">
        <x:f>IF(A203&lt;=$B$27,$B$45*D203,0)</x:f>
        <x:v>2972.460434835085</x:v>
      </x:c>
      <x:c r="F203" s="141" t="n">
        <x:f>IF(A203=$B$29,$B$44,0)</x:f>
        <x:v>0</x:v>
      </x:c>
      <x:c r="G203" s="141" t="n">
        <x:f>E203+F203</x:f>
        <x:v>2972.460434835085</x:v>
      </x:c>
      <x:c r="H203" s="141" t="n">
        <x:f>IF(A203=$B$29,$B$42,0)</x:f>
        <x:v>0</x:v>
      </x:c>
      <x:c r="I203" s="141" t="n">
        <x:f>IF(A203=$B$29,$B$43,0)</x:f>
        <x:v>0</x:v>
      </x:c>
      <x:c r="J203" s="140" t="str">
        <x:f>IF(A203&lt;$B$29,"Aguardando",IF(A203=$B$29,"Contemplado","Pos-contemplacao"))</x:f>
        <x:v>Pos-contemplacao</x:v>
      </x:c>
      <x:c r="K203" s="141" t="n">
        <x:f>IF(A203&gt;=$B$27,0,(K204+E204)/(1+$B$9))</x:f>
        <x:v>218857.1806469456</x:v>
      </x:c>
      <x:c r="L203" s="141" t="n">
        <x:f>IF(A203&lt;$B$29,$B$43/(1+$B$9)^($B$29-A203),0)</x:f>
        <x:v>0</x:v>
      </x:c>
      <x:c r="M203" s="141" t="n">
        <x:f>L203-K203</x:f>
        <x:v>-218857.1806469456</x:v>
      </x:c>
    </x:row>
    <x:row r="204">
      <x:c r="A204" s="142" t="n">
        <x:v>150</x:v>
      </x:c>
      <x:c r="B204" s="179" t="n">
        <x:f>EDATE($B$5,A204-1)</x:f>
        <x:v>51075</x:v>
      </x:c>
      <x:c r="C204" s="141" t="n">
        <x:f>$B$6</x:f>
        <x:v>7000</x:v>
      </x:c>
      <x:c r="D204" s="180" t="n">
        <x:f>(1+$B$28)^INT((A204-1)/12)</x:f>
        <x:v>2.0121964718355514</x:v>
      </x:c>
      <x:c r="E204" s="141" t="n">
        <x:f>IF(A204&lt;=$B$27,$B$45*D204,0)</x:f>
        <x:v>2972.460434835085</x:v>
      </x:c>
      <x:c r="F204" s="141" t="n">
        <x:f>IF(A204=$B$29,$B$44,0)</x:f>
        <x:v>0</x:v>
      </x:c>
      <x:c r="G204" s="141" t="n">
        <x:f>E204+F204</x:f>
        <x:v>2972.460434835085</x:v>
      </x:c>
      <x:c r="H204" s="141" t="n">
        <x:f>IF(A204=$B$29,$B$42,0)</x:f>
        <x:v>0</x:v>
      </x:c>
      <x:c r="I204" s="141" t="n">
        <x:f>IF(A204=$B$29,$B$43,0)</x:f>
        <x:v>0</x:v>
      </x:c>
      <x:c r="J204" s="140" t="str">
        <x:f>IF(A204&lt;$B$29,"Aguardando",IF(A204=$B$29,"Contemplado","Pos-contemplacao"))</x:f>
        <x:v>Pos-contemplacao</x:v>
      </x:c>
      <x:c r="K204" s="141" t="n">
        <x:f>IF(A204&gt;=$B$27,0,(K205+E205)/(1+$B$9))</x:f>
        <x:v>217961.41068151602</x:v>
      </x:c>
      <x:c r="L204" s="141" t="n">
        <x:f>IF(A204&lt;$B$29,$B$43/(1+$B$9)^($B$29-A204),0)</x:f>
        <x:v>0</x:v>
      </x:c>
      <x:c r="M204" s="141" t="n">
        <x:f>L204-K204</x:f>
        <x:v>-217961.41068151602</x:v>
      </x:c>
    </x:row>
    <x:row r="205">
      <x:c r="A205" s="142" t="n">
        <x:v>151</x:v>
      </x:c>
      <x:c r="B205" s="179" t="n">
        <x:f>EDATE($B$5,A205-1)</x:f>
        <x:v>51105</x:v>
      </x:c>
      <x:c r="C205" s="141" t="n">
        <x:f>$B$6</x:f>
        <x:v>7000</x:v>
      </x:c>
      <x:c r="D205" s="180" t="n">
        <x:f>(1+$B$28)^INT((A205-1)/12)</x:f>
        <x:v>2.0121964718355514</x:v>
      </x:c>
      <x:c r="E205" s="141" t="n">
        <x:f>IF(A205&lt;=$B$27,$B$45*D205,0)</x:f>
        <x:v>2972.460434835085</x:v>
      </x:c>
      <x:c r="F205" s="141" t="n">
        <x:f>IF(A205=$B$29,$B$44,0)</x:f>
        <x:v>0</x:v>
      </x:c>
      <x:c r="G205" s="141" t="n">
        <x:f>E205+F205</x:f>
        <x:v>2972.460434835085</x:v>
      </x:c>
      <x:c r="H205" s="141" t="n">
        <x:f>IF(A205=$B$29,$B$42,0)</x:f>
        <x:v>0</x:v>
      </x:c>
      <x:c r="I205" s="141" t="n">
        <x:f>IF(A205=$B$29,$B$43,0)</x:f>
        <x:v>0</x:v>
      </x:c>
      <x:c r="J205" s="140" t="str">
        <x:f>IF(A205&lt;$B$29,"Aguardando",IF(A205=$B$29,"Contemplado","Pos-contemplacao"))</x:f>
        <x:v>Pos-contemplacao</x:v>
      </x:c>
      <x:c r="K205" s="141" t="n">
        <x:f>IF(A205&gt;=$B$27,0,(K206+E206)/(1+$B$9))</x:f>
        <x:v>217057.14094036745</x:v>
      </x:c>
      <x:c r="L205" s="141" t="n">
        <x:f>IF(A205&lt;$B$29,$B$43/(1+$B$9)^($B$29-A205),0)</x:f>
        <x:v>0</x:v>
      </x:c>
      <x:c r="M205" s="141" t="n">
        <x:f>L205-K205</x:f>
        <x:v>-217057.14094036745</x:v>
      </x:c>
    </x:row>
    <x:row r="206">
      <x:c r="A206" s="142" t="n">
        <x:v>152</x:v>
      </x:c>
      <x:c r="B206" s="179" t="n">
        <x:f>EDATE($B$5,A206-1)</x:f>
        <x:v>51136</x:v>
      </x:c>
      <x:c r="C206" s="141" t="n">
        <x:f>$B$6</x:f>
        <x:v>7000</x:v>
      </x:c>
      <x:c r="D206" s="180" t="n">
        <x:f>(1+$B$28)^INT((A206-1)/12)</x:f>
        <x:v>2.0121964718355514</x:v>
      </x:c>
      <x:c r="E206" s="141" t="n">
        <x:f>IF(A206&lt;=$B$27,$B$45*D206,0)</x:f>
        <x:v>2972.460434835085</x:v>
      </x:c>
      <x:c r="F206" s="141" t="n">
        <x:f>IF(A206=$B$29,$B$44,0)</x:f>
        <x:v>0</x:v>
      </x:c>
      <x:c r="G206" s="141" t="n">
        <x:f>E206+F206</x:f>
        <x:v>2972.460434835085</x:v>
      </x:c>
      <x:c r="H206" s="141" t="n">
        <x:f>IF(A206=$B$29,$B$42,0)</x:f>
        <x:v>0</x:v>
      </x:c>
      <x:c r="I206" s="141" t="n">
        <x:f>IF(A206=$B$29,$B$43,0)</x:f>
        <x:v>0</x:v>
      </x:c>
      <x:c r="J206" s="140" t="str">
        <x:f>IF(A206&lt;$B$29,"Aguardando",IF(A206=$B$29,"Contemplado","Pos-contemplacao"))</x:f>
        <x:v>Pos-contemplacao</x:v>
      </x:c>
      <x:c r="K206" s="141" t="n">
        <x:f>IF(A206&gt;=$B$27,0,(K207+E207)/(1+$B$9))</x:f>
        <x:v>216144.29077088812</x:v>
      </x:c>
      <x:c r="L206" s="141" t="n">
        <x:f>IF(A206&lt;$B$29,$B$43/(1+$B$9)^($B$29-A206),0)</x:f>
        <x:v>0</x:v>
      </x:c>
      <x:c r="M206" s="141" t="n">
        <x:f>L206-K206</x:f>
        <x:v>-216144.29077088812</x:v>
      </x:c>
    </x:row>
    <x:row r="207">
      <x:c r="A207" s="142" t="n">
        <x:v>153</x:v>
      </x:c>
      <x:c r="B207" s="179" t="n">
        <x:f>EDATE($B$5,A207-1)</x:f>
        <x:v>51167</x:v>
      </x:c>
      <x:c r="C207" s="141" t="n">
        <x:f>$B$6</x:f>
        <x:v>7000</x:v>
      </x:c>
      <x:c r="D207" s="180" t="n">
        <x:f>(1+$B$28)^INT((A207-1)/12)</x:f>
        <x:v>2.0121964718355514</x:v>
      </x:c>
      <x:c r="E207" s="141" t="n">
        <x:f>IF(A207&lt;=$B$27,$B$45*D207,0)</x:f>
        <x:v>2972.460434835085</x:v>
      </x:c>
      <x:c r="F207" s="141" t="n">
        <x:f>IF(A207=$B$29,$B$44,0)</x:f>
        <x:v>0</x:v>
      </x:c>
      <x:c r="G207" s="141" t="n">
        <x:f>E207+F207</x:f>
        <x:v>2972.460434835085</x:v>
      </x:c>
      <x:c r="H207" s="141" t="n">
        <x:f>IF(A207=$B$29,$B$42,0)</x:f>
        <x:v>0</x:v>
      </x:c>
      <x:c r="I207" s="141" t="n">
        <x:f>IF(A207=$B$29,$B$43,0)</x:f>
        <x:v>0</x:v>
      </x:c>
      <x:c r="J207" s="140" t="str">
        <x:f>IF(A207&lt;$B$29,"Aguardando",IF(A207=$B$29,"Contemplado","Pos-contemplacao"))</x:f>
        <x:v>Pos-contemplacao</x:v>
      </x:c>
      <x:c r="K207" s="141" t="n">
        <x:f>IF(A207&gt;=$B$27,0,(K208+E208)/(1+$B$9))</x:f>
        <x:v>215222.7787551703</x:v>
      </x:c>
      <x:c r="L207" s="141" t="n">
        <x:f>IF(A207&lt;$B$29,$B$43/(1+$B$9)^($B$29-A207),0)</x:f>
        <x:v>0</x:v>
      </x:c>
      <x:c r="M207" s="141" t="n">
        <x:f>L207-K207</x:f>
        <x:v>-215222.7787551703</x:v>
      </x:c>
    </x:row>
    <x:row r="208">
      <x:c r="A208" s="142" t="n">
        <x:v>154</x:v>
      </x:c>
      <x:c r="B208" s="179" t="n">
        <x:f>EDATE($B$5,A208-1)</x:f>
        <x:v>51196</x:v>
      </x:c>
      <x:c r="C208" s="141" t="n">
        <x:f>$B$6</x:f>
        <x:v>7000</x:v>
      </x:c>
      <x:c r="D208" s="180" t="n">
        <x:f>(1+$B$28)^INT((A208-1)/12)</x:f>
        <x:v>2.0121964718355514</x:v>
      </x:c>
      <x:c r="E208" s="141" t="n">
        <x:f>IF(A208&lt;=$B$27,$B$45*D208,0)</x:f>
        <x:v>2972.460434835085</x:v>
      </x:c>
      <x:c r="F208" s="141" t="n">
        <x:f>IF(A208=$B$29,$B$44,0)</x:f>
        <x:v>0</x:v>
      </x:c>
      <x:c r="G208" s="141" t="n">
        <x:f>E208+F208</x:f>
        <x:v>2972.460434835085</x:v>
      </x:c>
      <x:c r="H208" s="141" t="n">
        <x:f>IF(A208=$B$29,$B$42,0)</x:f>
        <x:v>0</x:v>
      </x:c>
      <x:c r="I208" s="141" t="n">
        <x:f>IF(A208=$B$29,$B$43,0)</x:f>
        <x:v>0</x:v>
      </x:c>
      <x:c r="J208" s="140" t="str">
        <x:f>IF(A208&lt;$B$29,"Aguardando",IF(A208=$B$29,"Contemplado","Pos-contemplacao"))</x:f>
        <x:v>Pos-contemplacao</x:v>
      </x:c>
      <x:c r="K208" s="141" t="n">
        <x:f>IF(A208&gt;=$B$27,0,(K209+E209)/(1+$B$9))</x:f>
        <x:v>214292.5227027486</x:v>
      </x:c>
      <x:c r="L208" s="141" t="n">
        <x:f>IF(A208&lt;$B$29,$B$43/(1+$B$9)^($B$29-A208),0)</x:f>
        <x:v>0</x:v>
      </x:c>
      <x:c r="M208" s="141" t="n">
        <x:f>L208-K208</x:f>
        <x:v>-214292.5227027486</x:v>
      </x:c>
    </x:row>
    <x:row r="209">
      <x:c r="A209" s="142" t="n">
        <x:v>155</x:v>
      </x:c>
      <x:c r="B209" s="179" t="n">
        <x:f>EDATE($B$5,A209-1)</x:f>
        <x:v>51227</x:v>
      </x:c>
      <x:c r="C209" s="141" t="n">
        <x:f>$B$6</x:f>
        <x:v>7000</x:v>
      </x:c>
      <x:c r="D209" s="180" t="n">
        <x:f>(1+$B$28)^INT((A209-1)/12)</x:f>
        <x:v>2.0121964718355514</x:v>
      </x:c>
      <x:c r="E209" s="141" t="n">
        <x:f>IF(A209&lt;=$B$27,$B$45*D209,0)</x:f>
        <x:v>2972.460434835085</x:v>
      </x:c>
      <x:c r="F209" s="141" t="n">
        <x:f>IF(A209=$B$29,$B$44,0)</x:f>
        <x:v>0</x:v>
      </x:c>
      <x:c r="G209" s="141" t="n">
        <x:f>E209+F209</x:f>
        <x:v>2972.460434835085</x:v>
      </x:c>
      <x:c r="H209" s="141" t="n">
        <x:f>IF(A209=$B$29,$B$42,0)</x:f>
        <x:v>0</x:v>
      </x:c>
      <x:c r="I209" s="141" t="n">
        <x:f>IF(A209=$B$29,$B$43,0)</x:f>
        <x:v>0</x:v>
      </x:c>
      <x:c r="J209" s="140" t="str">
        <x:f>IF(A209&lt;$B$29,"Aguardando",IF(A209=$B$29,"Contemplado","Pos-contemplacao"))</x:f>
        <x:v>Pos-contemplacao</x:v>
      </x:c>
      <x:c r="K209" s="141" t="n">
        <x:f>IF(A209&gt;=$B$27,0,(K210+E210)/(1+$B$9))</x:f>
        <x:v>213353.43964326932</x:v>
      </x:c>
      <x:c r="L209" s="141" t="n">
        <x:f>IF(A209&lt;$B$29,$B$43/(1+$B$9)^($B$29-A209),0)</x:f>
        <x:v>0</x:v>
      </x:c>
      <x:c r="M209" s="141" t="n">
        <x:f>L209-K209</x:f>
        <x:v>-213353.43964326932</x:v>
      </x:c>
    </x:row>
    <x:row r="210">
      <x:c r="A210" s="142" t="n">
        <x:v>156</x:v>
      </x:c>
      <x:c r="B210" s="179" t="n">
        <x:f>EDATE($B$5,A210-1)</x:f>
        <x:v>51257</x:v>
      </x:c>
      <x:c r="C210" s="141" t="n">
        <x:f>$B$6</x:f>
        <x:v>7000</x:v>
      </x:c>
      <x:c r="D210" s="180" t="n">
        <x:f>(1+$B$28)^INT((A210-1)/12)</x:f>
        <x:v>2.0121964718355514</x:v>
      </x:c>
      <x:c r="E210" s="141" t="n">
        <x:f>IF(A210&lt;=$B$27,$B$45*D210,0)</x:f>
        <x:v>2972.460434835085</x:v>
      </x:c>
      <x:c r="F210" s="141" t="n">
        <x:f>IF(A210=$B$29,$B$44,0)</x:f>
        <x:v>0</x:v>
      </x:c>
      <x:c r="G210" s="141" t="n">
        <x:f>E210+F210</x:f>
        <x:v>2972.460434835085</x:v>
      </x:c>
      <x:c r="H210" s="141" t="n">
        <x:f>IF(A210=$B$29,$B$42,0)</x:f>
        <x:v>0</x:v>
      </x:c>
      <x:c r="I210" s="141" t="n">
        <x:f>IF(A210=$B$29,$B$43,0)</x:f>
        <x:v>0</x:v>
      </x:c>
      <x:c r="J210" s="140" t="str">
        <x:f>IF(A210&lt;$B$29,"Aguardando",IF(A210=$B$29,"Contemplado","Pos-contemplacao"))</x:f>
        <x:v>Pos-contemplacao</x:v>
      </x:c>
      <x:c r="K210" s="141" t="n">
        <x:f>IF(A210&gt;=$B$27,0,(K211+E211)/(1+$B$9))</x:f>
        <x:v>212405.44581909027</x:v>
      </x:c>
      <x:c r="L210" s="141" t="n">
        <x:f>IF(A210&lt;$B$29,$B$43/(1+$B$9)^($B$29-A210),0)</x:f>
        <x:v>0</x:v>
      </x:c>
      <x:c r="M210" s="141" t="n">
        <x:f>L210-K210</x:f>
        <x:v>-212405.44581909027</x:v>
      </x:c>
    </x:row>
    <x:row r="211">
      <x:c r="A211" s="142" t="n">
        <x:v>157</x:v>
      </x:c>
      <x:c r="B211" s="179" t="n">
        <x:f>EDATE($B$5,A211-1)</x:f>
        <x:v>51288</x:v>
      </x:c>
      <x:c r="C211" s="141" t="n">
        <x:f>$B$6</x:f>
        <x:v>7000</x:v>
      </x:c>
      <x:c r="D211" s="180" t="n">
        <x:f>(1+$B$28)^INT((A211-1)/12)</x:f>
        <x:v>2.1329282601456847</x:v>
      </x:c>
      <x:c r="E211" s="141" t="n">
        <x:f>IF(A211&lt;=$B$27,$B$45*D211,0)</x:f>
        <x:v>3150.80806092519</x:v>
      </x:c>
      <x:c r="F211" s="141" t="n">
        <x:f>IF(A211=$B$29,$B$44,0)</x:f>
        <x:v>0</x:v>
      </x:c>
      <x:c r="G211" s="141" t="n">
        <x:f>E211+F211</x:f>
        <x:v>3150.80806092519</x:v>
      </x:c>
      <x:c r="H211" s="141" t="n">
        <x:f>IF(A211=$B$29,$B$42,0)</x:f>
        <x:v>0</x:v>
      </x:c>
      <x:c r="I211" s="141" t="n">
        <x:f>IF(A211=$B$29,$B$43,0)</x:f>
        <x:v>0</x:v>
      </x:c>
      <x:c r="J211" s="140" t="str">
        <x:f>IF(A211&lt;$B$29,"Aguardando",IF(A211=$B$29,"Contemplado","Pos-contemplacao"))</x:f>
        <x:v>Pos-contemplacao</x:v>
      </x:c>
      <x:c r="K211" s="141" t="n">
        <x:f>IF(A211&gt;=$B$27,0,(K212+E212)/(1+$B$9))</x:f>
        <x:v>211270.1090517202</x:v>
      </x:c>
      <x:c r="L211" s="141" t="n">
        <x:f>IF(A211&lt;$B$29,$B$43/(1+$B$9)^($B$29-A211),0)</x:f>
        <x:v>0</x:v>
      </x:c>
      <x:c r="M211" s="141" t="n">
        <x:f>L211-K211</x:f>
        <x:v>-211270.1090517202</x:v>
      </x:c>
    </x:row>
    <x:row r="212">
      <x:c r="A212" s="142" t="n">
        <x:v>158</x:v>
      </x:c>
      <x:c r="B212" s="179" t="n">
        <x:f>EDATE($B$5,A212-1)</x:f>
        <x:v>51318</x:v>
      </x:c>
      <x:c r="C212" s="141" t="n">
        <x:f>$B$6</x:f>
        <x:v>7000</x:v>
      </x:c>
      <x:c r="D212" s="180" t="n">
        <x:f>(1+$B$28)^INT((A212-1)/12)</x:f>
        <x:v>2.1329282601456847</x:v>
      </x:c>
      <x:c r="E212" s="141" t="n">
        <x:f>IF(A212&lt;=$B$27,$B$45*D212,0)</x:f>
        <x:v>3150.80806092519</x:v>
      </x:c>
      <x:c r="F212" s="141" t="n">
        <x:f>IF(A212=$B$29,$B$44,0)</x:f>
        <x:v>0</x:v>
      </x:c>
      <x:c r="G212" s="141" t="n">
        <x:f>E212+F212</x:f>
        <x:v>3150.80806092519</x:v>
      </x:c>
      <x:c r="H212" s="141" t="n">
        <x:f>IF(A212=$B$29,$B$42,0)</x:f>
        <x:v>0</x:v>
      </x:c>
      <x:c r="I212" s="141" t="n">
        <x:f>IF(A212=$B$29,$B$43,0)</x:f>
        <x:v>0</x:v>
      </x:c>
      <x:c r="J212" s="140" t="str">
        <x:f>IF(A212&lt;$B$29,"Aguardando",IF(A212=$B$29,"Contemplado","Pos-contemplacao"))</x:f>
        <x:v>Pos-contemplacao</x:v>
      </x:c>
      <x:c r="K212" s="141" t="n">
        <x:f>IF(A212&gt;=$B$27,0,(K213+E213)/(1+$B$9))</x:f>
        <x:v>210123.99930885358</x:v>
      </x:c>
      <x:c r="L212" s="141" t="n">
        <x:f>IF(A212&lt;$B$29,$B$43/(1+$B$9)^($B$29-A212),0)</x:f>
        <x:v>0</x:v>
      </x:c>
      <x:c r="M212" s="141" t="n">
        <x:f>L212-K212</x:f>
        <x:v>-210123.99930885358</x:v>
      </x:c>
    </x:row>
    <x:row r="213">
      <x:c r="A213" s="142" t="n">
        <x:v>159</x:v>
      </x:c>
      <x:c r="B213" s="179" t="n">
        <x:f>EDATE($B$5,A213-1)</x:f>
        <x:v>51349</x:v>
      </x:c>
      <x:c r="C213" s="141" t="n">
        <x:f>$B$6</x:f>
        <x:v>7000</x:v>
      </x:c>
      <x:c r="D213" s="180" t="n">
        <x:f>(1+$B$28)^INT((A213-1)/12)</x:f>
        <x:v>2.1329282601456847</x:v>
      </x:c>
      <x:c r="E213" s="141" t="n">
        <x:f>IF(A213&lt;=$B$27,$B$45*D213,0)</x:f>
        <x:v>3150.80806092519</x:v>
      </x:c>
      <x:c r="F213" s="141" t="n">
        <x:f>IF(A213=$B$29,$B$44,0)</x:f>
        <x:v>0</x:v>
      </x:c>
      <x:c r="G213" s="141" t="n">
        <x:f>E213+F213</x:f>
        <x:v>3150.80806092519</x:v>
      </x:c>
      <x:c r="H213" s="141" t="n">
        <x:f>IF(A213=$B$29,$B$42,0)</x:f>
        <x:v>0</x:v>
      </x:c>
      <x:c r="I213" s="141" t="n">
        <x:f>IF(A213=$B$29,$B$43,0)</x:f>
        <x:v>0</x:v>
      </x:c>
      <x:c r="J213" s="140" t="str">
        <x:f>IF(A213&lt;$B$29,"Aguardando",IF(A213=$B$29,"Contemplado","Pos-contemplacao"))</x:f>
        <x:v>Pos-contemplacao</x:v>
      </x:c>
      <x:c r="K213" s="141" t="n">
        <x:f>IF(A213&gt;=$B$27,0,(K214+E214)/(1+$B$9))</x:f>
        <x:v>208967.01436795658</x:v>
      </x:c>
      <x:c r="L213" s="141" t="n">
        <x:f>IF(A213&lt;$B$29,$B$43/(1+$B$9)^($B$29-A213),0)</x:f>
        <x:v>0</x:v>
      </x:c>
      <x:c r="M213" s="141" t="n">
        <x:f>L213-K213</x:f>
        <x:v>-208967.01436795658</x:v>
      </x:c>
    </x:row>
    <x:row r="214">
      <x:c r="A214" s="142" t="n">
        <x:v>160</x:v>
      </x:c>
      <x:c r="B214" s="179" t="n">
        <x:f>EDATE($B$5,A214-1)</x:f>
        <x:v>51380</x:v>
      </x:c>
      <x:c r="C214" s="141" t="n">
        <x:f>$B$6</x:f>
        <x:v>7000</x:v>
      </x:c>
      <x:c r="D214" s="180" t="n">
        <x:f>(1+$B$28)^INT((A214-1)/12)</x:f>
        <x:v>2.1329282601456847</x:v>
      </x:c>
      <x:c r="E214" s="141" t="n">
        <x:f>IF(A214&lt;=$B$27,$B$45*D214,0)</x:f>
        <x:v>3150.80806092519</x:v>
      </x:c>
      <x:c r="F214" s="141" t="n">
        <x:f>IF(A214=$B$29,$B$44,0)</x:f>
        <x:v>0</x:v>
      </x:c>
      <x:c r="G214" s="141" t="n">
        <x:f>E214+F214</x:f>
        <x:v>3150.80806092519</x:v>
      </x:c>
      <x:c r="H214" s="141" t="n">
        <x:f>IF(A214=$B$29,$B$42,0)</x:f>
        <x:v>0</x:v>
      </x:c>
      <x:c r="I214" s="141" t="n">
        <x:f>IF(A214=$B$29,$B$43,0)</x:f>
        <x:v>0</x:v>
      </x:c>
      <x:c r="J214" s="140" t="str">
        <x:f>IF(A214&lt;$B$29,"Aguardando",IF(A214=$B$29,"Contemplado","Pos-contemplacao"))</x:f>
        <x:v>Pos-contemplacao</x:v>
      </x:c>
      <x:c r="K214" s="141" t="n">
        <x:f>IF(A214&gt;=$B$27,0,(K215+E215)/(1+$B$9))</x:f>
        <x:v>207799.05103652697</x:v>
      </x:c>
      <x:c r="L214" s="141" t="n">
        <x:f>IF(A214&lt;$B$29,$B$43/(1+$B$9)^($B$29-A214),0)</x:f>
        <x:v>0</x:v>
      </x:c>
      <x:c r="M214" s="141" t="n">
        <x:f>L214-K214</x:f>
        <x:v>-207799.05103652697</x:v>
      </x:c>
    </x:row>
    <x:row r="215">
      <x:c r="A215" s="142" t="n">
        <x:v>161</x:v>
      </x:c>
      <x:c r="B215" s="179" t="n">
        <x:f>EDATE($B$5,A215-1)</x:f>
        <x:v>51410</x:v>
      </x:c>
      <x:c r="C215" s="141" t="n">
        <x:f>$B$6</x:f>
        <x:v>7000</x:v>
      </x:c>
      <x:c r="D215" s="180" t="n">
        <x:f>(1+$B$28)^INT((A215-1)/12)</x:f>
        <x:v>2.1329282601456847</x:v>
      </x:c>
      <x:c r="E215" s="141" t="n">
        <x:f>IF(A215&lt;=$B$27,$B$45*D215,0)</x:f>
        <x:v>3150.80806092519</x:v>
      </x:c>
      <x:c r="F215" s="141" t="n">
        <x:f>IF(A215=$B$29,$B$44,0)</x:f>
        <x:v>0</x:v>
      </x:c>
      <x:c r="G215" s="141" t="n">
        <x:f>E215+F215</x:f>
        <x:v>3150.80806092519</x:v>
      </x:c>
      <x:c r="H215" s="141" t="n">
        <x:f>IF(A215=$B$29,$B$42,0)</x:f>
        <x:v>0</x:v>
      </x:c>
      <x:c r="I215" s="141" t="n">
        <x:f>IF(A215=$B$29,$B$43,0)</x:f>
        <x:v>0</x:v>
      </x:c>
      <x:c r="J215" s="140" t="str">
        <x:f>IF(A215&lt;$B$29,"Aguardando",IF(A215=$B$29,"Contemplado","Pos-contemplacao"))</x:f>
        <x:v>Pos-contemplacao</x:v>
      </x:c>
      <x:c r="K215" s="141" t="n">
        <x:f>IF(A215&gt;=$B$27,0,(K216+E216)/(1+$B$9))</x:f>
        <x:v>206620.00514289024</x:v>
      </x:c>
      <x:c r="L215" s="141" t="n">
        <x:f>IF(A215&lt;$B$29,$B$43/(1+$B$9)^($B$29-A215),0)</x:f>
        <x:v>0</x:v>
      </x:c>
      <x:c r="M215" s="141" t="n">
        <x:f>L215-K215</x:f>
        <x:v>-206620.00514289024</x:v>
      </x:c>
    </x:row>
    <x:row r="216">
      <x:c r="A216" s="142" t="n">
        <x:v>162</x:v>
      </x:c>
      <x:c r="B216" s="179" t="n">
        <x:f>EDATE($B$5,A216-1)</x:f>
        <x:v>51441</x:v>
      </x:c>
      <x:c r="C216" s="141" t="n">
        <x:f>$B$6</x:f>
        <x:v>7000</x:v>
      </x:c>
      <x:c r="D216" s="180" t="n">
        <x:f>(1+$B$28)^INT((A216-1)/12)</x:f>
        <x:v>2.1329282601456847</x:v>
      </x:c>
      <x:c r="E216" s="141" t="n">
        <x:f>IF(A216&lt;=$B$27,$B$45*D216,0)</x:f>
        <x:v>3150.80806092519</x:v>
      </x:c>
      <x:c r="F216" s="141" t="n">
        <x:f>IF(A216=$B$29,$B$44,0)</x:f>
        <x:v>0</x:v>
      </x:c>
      <x:c r="G216" s="141" t="n">
        <x:f>E216+F216</x:f>
        <x:v>3150.80806092519</x:v>
      </x:c>
      <x:c r="H216" s="141" t="n">
        <x:f>IF(A216=$B$29,$B$42,0)</x:f>
        <x:v>0</x:v>
      </x:c>
      <x:c r="I216" s="141" t="n">
        <x:f>IF(A216=$B$29,$B$43,0)</x:f>
        <x:v>0</x:v>
      </x:c>
      <x:c r="J216" s="140" t="str">
        <x:f>IF(A216&lt;$B$29,"Aguardando",IF(A216=$B$29,"Contemplado","Pos-contemplacao"))</x:f>
        <x:v>Pos-contemplacao</x:v>
      </x:c>
      <x:c r="K216" s="141" t="n">
        <x:f>IF(A216&gt;=$B$27,0,(K217+E217)/(1+$B$9))</x:f>
        <x:v>205429.77152690841</x:v>
      </x:c>
      <x:c r="L216" s="141" t="n">
        <x:f>IF(A216&lt;$B$29,$B$43/(1+$B$9)^($B$29-A216),0)</x:f>
        <x:v>0</x:v>
      </x:c>
      <x:c r="M216" s="141" t="n">
        <x:f>L216-K216</x:f>
        <x:v>-205429.77152690841</x:v>
      </x:c>
    </x:row>
    <x:row r="217">
      <x:c r="A217" s="142" t="n">
        <x:v>163</x:v>
      </x:c>
      <x:c r="B217" s="179" t="n">
        <x:f>EDATE($B$5,A217-1)</x:f>
        <x:v>51471</x:v>
      </x:c>
      <x:c r="C217" s="141" t="n">
        <x:f>$B$6</x:f>
        <x:v>7000</x:v>
      </x:c>
      <x:c r="D217" s="180" t="n">
        <x:f>(1+$B$28)^INT((A217-1)/12)</x:f>
        <x:v>2.1329282601456847</x:v>
      </x:c>
      <x:c r="E217" s="141" t="n">
        <x:f>IF(A217&lt;=$B$27,$B$45*D217,0)</x:f>
        <x:v>3150.80806092519</x:v>
      </x:c>
      <x:c r="F217" s="141" t="n">
        <x:f>IF(A217=$B$29,$B$44,0)</x:f>
        <x:v>0</x:v>
      </x:c>
      <x:c r="G217" s="141" t="n">
        <x:f>E217+F217</x:f>
        <x:v>3150.80806092519</x:v>
      </x:c>
      <x:c r="H217" s="141" t="n">
        <x:f>IF(A217=$B$29,$B$42,0)</x:f>
        <x:v>0</x:v>
      </x:c>
      <x:c r="I217" s="141" t="n">
        <x:f>IF(A217=$B$29,$B$43,0)</x:f>
        <x:v>0</x:v>
      </x:c>
      <x:c r="J217" s="140" t="str">
        <x:f>IF(A217&lt;$B$29,"Aguardando",IF(A217=$B$29,"Contemplado","Pos-contemplacao"))</x:f>
        <x:v>Pos-contemplacao</x:v>
      </x:c>
      <x:c r="K217" s="141" t="n">
        <x:f>IF(A217&gt;=$B$27,0,(K218+E218)/(1+$B$9))</x:f>
        <x:v>204228.24403060076</x:v>
      </x:c>
      <x:c r="L217" s="141" t="n">
        <x:f>IF(A217&lt;$B$29,$B$43/(1+$B$9)^($B$29-A217),0)</x:f>
        <x:v>0</x:v>
      </x:c>
      <x:c r="M217" s="141" t="n">
        <x:f>L217-K217</x:f>
        <x:v>-204228.24403060076</x:v>
      </x:c>
    </x:row>
    <x:row r="218">
      <x:c r="A218" s="142" t="n">
        <x:v>164</x:v>
      </x:c>
      <x:c r="B218" s="179" t="n">
        <x:f>EDATE($B$5,A218-1)</x:f>
        <x:v>51502</x:v>
      </x:c>
      <x:c r="C218" s="141" t="n">
        <x:f>$B$6</x:f>
        <x:v>7000</x:v>
      </x:c>
      <x:c r="D218" s="180" t="n">
        <x:f>(1+$B$28)^INT((A218-1)/12)</x:f>
        <x:v>2.1329282601456847</x:v>
      </x:c>
      <x:c r="E218" s="141" t="n">
        <x:f>IF(A218&lt;=$B$27,$B$45*D218,0)</x:f>
        <x:v>3150.80806092519</x:v>
      </x:c>
      <x:c r="F218" s="141" t="n">
        <x:f>IF(A218=$B$29,$B$44,0)</x:f>
        <x:v>0</x:v>
      </x:c>
      <x:c r="G218" s="141" t="n">
        <x:f>E218+F218</x:f>
        <x:v>3150.80806092519</x:v>
      </x:c>
      <x:c r="H218" s="141" t="n">
        <x:f>IF(A218=$B$29,$B$42,0)</x:f>
        <x:v>0</x:v>
      </x:c>
      <x:c r="I218" s="141" t="n">
        <x:f>IF(A218=$B$29,$B$43,0)</x:f>
        <x:v>0</x:v>
      </x:c>
      <x:c r="J218" s="140" t="str">
        <x:f>IF(A218&lt;$B$29,"Aguardando",IF(A218=$B$29,"Contemplado","Pos-contemplacao"))</x:f>
        <x:v>Pos-contemplacao</x:v>
      </x:c>
      <x:c r="K218" s="141" t="n">
        <x:f>IF(A218&gt;=$B$27,0,(K219+E219)/(1+$B$9))</x:f>
        <x:v>203015.31548867543</x:v>
      </x:c>
      <x:c r="L218" s="141" t="n">
        <x:f>IF(A218&lt;$B$29,$B$43/(1+$B$9)^($B$29-A218),0)</x:f>
        <x:v>0</x:v>
      </x:c>
      <x:c r="M218" s="141" t="n">
        <x:f>L218-K218</x:f>
        <x:v>-203015.31548867543</x:v>
      </x:c>
    </x:row>
    <x:row r="219">
      <x:c r="A219" s="142" t="n">
        <x:v>165</x:v>
      </x:c>
      <x:c r="B219" s="179" t="n">
        <x:f>EDATE($B$5,A219-1)</x:f>
        <x:v>51533</x:v>
      </x:c>
      <x:c r="C219" s="141" t="n">
        <x:f>$B$6</x:f>
        <x:v>7000</x:v>
      </x:c>
      <x:c r="D219" s="180" t="n">
        <x:f>(1+$B$28)^INT((A219-1)/12)</x:f>
        <x:v>2.1329282601456847</x:v>
      </x:c>
      <x:c r="E219" s="141" t="n">
        <x:f>IF(A219&lt;=$B$27,$B$45*D219,0)</x:f>
        <x:v>3150.80806092519</x:v>
      </x:c>
      <x:c r="F219" s="141" t="n">
        <x:f>IF(A219=$B$29,$B$44,0)</x:f>
        <x:v>0</x:v>
      </x:c>
      <x:c r="G219" s="141" t="n">
        <x:f>E219+F219</x:f>
        <x:v>3150.80806092519</x:v>
      </x:c>
      <x:c r="H219" s="141" t="n">
        <x:f>IF(A219=$B$29,$B$42,0)</x:f>
        <x:v>0</x:v>
      </x:c>
      <x:c r="I219" s="141" t="n">
        <x:f>IF(A219=$B$29,$B$43,0)</x:f>
        <x:v>0</x:v>
      </x:c>
      <x:c r="J219" s="140" t="str">
        <x:f>IF(A219&lt;$B$29,"Aguardando",IF(A219=$B$29,"Contemplado","Pos-contemplacao"))</x:f>
        <x:v>Pos-contemplacao</x:v>
      </x:c>
      <x:c r="K219" s="141" t="n">
        <x:f>IF(A219&gt;=$B$27,0,(K220+E220)/(1+$B$9))</x:f>
        <x:v>201790.87771897134</x:v>
      </x:c>
      <x:c r="L219" s="141" t="n">
        <x:f>IF(A219&lt;$B$29,$B$43/(1+$B$9)^($B$29-A219),0)</x:f>
        <x:v>0</x:v>
      </x:c>
      <x:c r="M219" s="141" t="n">
        <x:f>L219-K219</x:f>
        <x:v>-201790.87771897134</x:v>
      </x:c>
    </x:row>
    <x:row r="220">
      <x:c r="A220" s="142" t="n">
        <x:v>166</x:v>
      </x:c>
      <x:c r="B220" s="179" t="n">
        <x:f>EDATE($B$5,A220-1)</x:f>
        <x:v>51561</x:v>
      </x:c>
      <x:c r="C220" s="141" t="n">
        <x:f>$B$6</x:f>
        <x:v>7000</x:v>
      </x:c>
      <x:c r="D220" s="180" t="n">
        <x:f>(1+$B$28)^INT((A220-1)/12)</x:f>
        <x:v>2.1329282601456847</x:v>
      </x:c>
      <x:c r="E220" s="141" t="n">
        <x:f>IF(A220&lt;=$B$27,$B$45*D220,0)</x:f>
        <x:v>3150.80806092519</x:v>
      </x:c>
      <x:c r="F220" s="141" t="n">
        <x:f>IF(A220=$B$29,$B$44,0)</x:f>
        <x:v>0</x:v>
      </x:c>
      <x:c r="G220" s="141" t="n">
        <x:f>E220+F220</x:f>
        <x:v>3150.80806092519</x:v>
      </x:c>
      <x:c r="H220" s="141" t="n">
        <x:f>IF(A220=$B$29,$B$42,0)</x:f>
        <x:v>0</x:v>
      </x:c>
      <x:c r="I220" s="141" t="n">
        <x:f>IF(A220=$B$29,$B$43,0)</x:f>
        <x:v>0</x:v>
      </x:c>
      <x:c r="J220" s="140" t="str">
        <x:f>IF(A220&lt;$B$29,"Aguardando",IF(A220=$B$29,"Contemplado","Pos-contemplacao"))</x:f>
        <x:v>Pos-contemplacao</x:v>
      </x:c>
      <x:c r="K220" s="141" t="n">
        <x:f>IF(A220&gt;=$B$27,0,(K221+E221)/(1+$B$9))</x:f>
        <x:v>200554.82151280923</x:v>
      </x:c>
      <x:c r="L220" s="141" t="n">
        <x:f>IF(A220&lt;$B$29,$B$43/(1+$B$9)^($B$29-A220),0)</x:f>
        <x:v>0</x:v>
      </x:c>
      <x:c r="M220" s="141" t="n">
        <x:f>L220-K220</x:f>
        <x:v>-200554.82151280923</x:v>
      </x:c>
    </x:row>
    <x:row r="221">
      <x:c r="A221" s="142" t="n">
        <x:v>167</x:v>
      </x:c>
      <x:c r="B221" s="179" t="n">
        <x:f>EDATE($B$5,A221-1)</x:f>
        <x:v>51592</x:v>
      </x:c>
      <x:c r="C221" s="141" t="n">
        <x:f>$B$6</x:f>
        <x:v>7000</x:v>
      </x:c>
      <x:c r="D221" s="180" t="n">
        <x:f>(1+$B$28)^INT((A221-1)/12)</x:f>
        <x:v>2.1329282601456847</x:v>
      </x:c>
      <x:c r="E221" s="141" t="n">
        <x:f>IF(A221&lt;=$B$27,$B$45*D221,0)</x:f>
        <x:v>3150.80806092519</x:v>
      </x:c>
      <x:c r="F221" s="141" t="n">
        <x:f>IF(A221=$B$29,$B$44,0)</x:f>
        <x:v>0</x:v>
      </x:c>
      <x:c r="G221" s="141" t="n">
        <x:f>E221+F221</x:f>
        <x:v>3150.80806092519</x:v>
      </x:c>
      <x:c r="H221" s="141" t="n">
        <x:f>IF(A221=$B$29,$B$42,0)</x:f>
        <x:v>0</x:v>
      </x:c>
      <x:c r="I221" s="141" t="n">
        <x:f>IF(A221=$B$29,$B$43,0)</x:f>
        <x:v>0</x:v>
      </x:c>
      <x:c r="J221" s="140" t="str">
        <x:f>IF(A221&lt;$B$29,"Aguardando",IF(A221=$B$29,"Contemplado","Pos-contemplacao"))</x:f>
        <x:v>Pos-contemplacao</x:v>
      </x:c>
      <x:c r="K221" s="141" t="n">
        <x:f>IF(A221&gt;=$B$27,0,(K222+E222)/(1+$B$9))</x:f>
        <x:v>199307.03662525135</x:v>
      </x:c>
      <x:c r="L221" s="141" t="n">
        <x:f>IF(A221&lt;$B$29,$B$43/(1+$B$9)^($B$29-A221),0)</x:f>
        <x:v>0</x:v>
      </x:c>
      <x:c r="M221" s="141" t="n">
        <x:f>L221-K221</x:f>
        <x:v>-199307.03662525135</x:v>
      </x:c>
    </x:row>
    <x:row r="222">
      <x:c r="A222" s="142" t="n">
        <x:v>168</x:v>
      </x:c>
      <x:c r="B222" s="179" t="n">
        <x:f>EDATE($B$5,A222-1)</x:f>
        <x:v>51622</x:v>
      </x:c>
      <x:c r="C222" s="141" t="n">
        <x:f>$B$6</x:f>
        <x:v>7000</x:v>
      </x:c>
      <x:c r="D222" s="180" t="n">
        <x:f>(1+$B$28)^INT((A222-1)/12)</x:f>
        <x:v>2.1329282601456847</x:v>
      </x:c>
      <x:c r="E222" s="141" t="n">
        <x:f>IF(A222&lt;=$B$27,$B$45*D222,0)</x:f>
        <x:v>3150.80806092519</x:v>
      </x:c>
      <x:c r="F222" s="141" t="n">
        <x:f>IF(A222=$B$29,$B$44,0)</x:f>
        <x:v>0</x:v>
      </x:c>
      <x:c r="G222" s="141" t="n">
        <x:f>E222+F222</x:f>
        <x:v>3150.80806092519</x:v>
      </x:c>
      <x:c r="H222" s="141" t="n">
        <x:f>IF(A222=$B$29,$B$42,0)</x:f>
        <x:v>0</x:v>
      </x:c>
      <x:c r="I222" s="141" t="n">
        <x:f>IF(A222=$B$29,$B$43,0)</x:f>
        <x:v>0</x:v>
      </x:c>
      <x:c r="J222" s="140" t="str">
        <x:f>IF(A222&lt;$B$29,"Aguardando",IF(A222=$B$29,"Contemplado","Pos-contemplacao"))</x:f>
        <x:v>Pos-contemplacao</x:v>
      </x:c>
      <x:c r="K222" s="141" t="n">
        <x:f>IF(A222&gt;=$B$27,0,(K223+E223)/(1+$B$9))</x:f>
        <x:v>198047.41176526854</x:v>
      </x:c>
      <x:c r="L222" s="141" t="n">
        <x:f>IF(A222&lt;$B$29,$B$43/(1+$B$9)^($B$29-A222),0)</x:f>
        <x:v>0</x:v>
      </x:c>
      <x:c r="M222" s="141" t="n">
        <x:f>L222-K222</x:f>
        <x:v>-198047.41176526854</x:v>
      </x:c>
    </x:row>
    <x:row r="223">
      <x:c r="A223" s="142" t="n">
        <x:v>169</x:v>
      </x:c>
      <x:c r="B223" s="179" t="n">
        <x:f>EDATE($B$5,A223-1)</x:f>
        <x:v>51653</x:v>
      </x:c>
      <x:c r="C223" s="141" t="n">
        <x:f>$B$6</x:f>
        <x:v>7000</x:v>
      </x:c>
      <x:c r="D223" s="180" t="n">
        <x:f>(1+$B$28)^INT((A223-1)/12)</x:f>
        <x:v>2.260903955754426</x:v>
      </x:c>
      <x:c r="E223" s="141" t="n">
        <x:f>IF(A223&lt;=$B$27,$B$45*D223,0)</x:f>
        <x:v>3339.856544580702</x:v>
      </x:c>
      <x:c r="F223" s="141" t="n">
        <x:f>IF(A223=$B$29,$B$44,0)</x:f>
        <x:v>0</x:v>
      </x:c>
      <x:c r="G223" s="141" t="n">
        <x:f>E223+F223</x:f>
        <x:v>3339.856544580702</x:v>
      </x:c>
      <x:c r="H223" s="141" t="n">
        <x:f>IF(A223=$B$29,$B$42,0)</x:f>
        <x:v>0</x:v>
      </x:c>
      <x:c r="I223" s="141" t="n">
        <x:f>IF(A223=$B$29,$B$43,0)</x:f>
        <x:v>0</x:v>
      </x:c>
      <x:c r="J223" s="140" t="str">
        <x:f>IF(A223&lt;$B$29,"Aguardando",IF(A223=$B$29,"Contemplado","Pos-contemplacao"))</x:f>
        <x:v>Pos-contemplacao</x:v>
      </x:c>
      <x:c r="K223" s="141" t="n">
        <x:f>IF(A223&gt;=$B$27,0,(K224+E224)/(1+$B$9))</x:f>
        <x:v>196586.7861021586</x:v>
      </x:c>
      <x:c r="L223" s="141" t="n">
        <x:f>IF(A223&lt;$B$29,$B$43/(1+$B$9)^($B$29-A223),0)</x:f>
        <x:v>0</x:v>
      </x:c>
      <x:c r="M223" s="141" t="n">
        <x:f>L223-K223</x:f>
        <x:v>-196586.7861021586</x:v>
      </x:c>
    </x:row>
    <x:row r="224">
      <x:c r="A224" s="142" t="n">
        <x:v>170</x:v>
      </x:c>
      <x:c r="B224" s="179" t="n">
        <x:f>EDATE($B$5,A224-1)</x:f>
        <x:v>51683</x:v>
      </x:c>
      <x:c r="C224" s="141" t="n">
        <x:f>$B$6</x:f>
        <x:v>7000</x:v>
      </x:c>
      <x:c r="D224" s="180" t="n">
        <x:f>(1+$B$28)^INT((A224-1)/12)</x:f>
        <x:v>2.260903955754426</x:v>
      </x:c>
      <x:c r="E224" s="141" t="n">
        <x:f>IF(A224&lt;=$B$27,$B$45*D224,0)</x:f>
        <x:v>3339.856544580702</x:v>
      </x:c>
      <x:c r="F224" s="141" t="n">
        <x:f>IF(A224=$B$29,$B$44,0)</x:f>
        <x:v>0</x:v>
      </x:c>
      <x:c r="G224" s="141" t="n">
        <x:f>E224+F224</x:f>
        <x:v>3339.856544580702</x:v>
      </x:c>
      <x:c r="H224" s="141" t="n">
        <x:f>IF(A224=$B$29,$B$42,0)</x:f>
        <x:v>0</x:v>
      </x:c>
      <x:c r="I224" s="141" t="n">
        <x:f>IF(A224=$B$29,$B$43,0)</x:f>
        <x:v>0</x:v>
      </x:c>
      <x:c r="J224" s="140" t="str">
        <x:f>IF(A224&lt;$B$29,"Aguardando",IF(A224=$B$29,"Contemplado","Pos-contemplacao"))</x:f>
        <x:v>Pos-contemplacao</x:v>
      </x:c>
      <x:c r="K224" s="141" t="n">
        <x:f>IF(A224&gt;=$B$27,0,(K225+E225)/(1+$B$9))</x:f>
        <x:v>195112.30086457645</x:v>
      </x:c>
      <x:c r="L224" s="141" t="n">
        <x:f>IF(A224&lt;$B$29,$B$43/(1+$B$9)^($B$29-A224),0)</x:f>
        <x:v>0</x:v>
      </x:c>
      <x:c r="M224" s="141" t="n">
        <x:f>L224-K224</x:f>
        <x:v>-195112.30086457645</x:v>
      </x:c>
    </x:row>
    <x:row r="225">
      <x:c r="A225" s="142" t="n">
        <x:v>171</x:v>
      </x:c>
      <x:c r="B225" s="179" t="n">
        <x:f>EDATE($B$5,A225-1)</x:f>
        <x:v>51714</x:v>
      </x:c>
      <x:c r="C225" s="141" t="n">
        <x:f>$B$6</x:f>
        <x:v>7000</x:v>
      </x:c>
      <x:c r="D225" s="180" t="n">
        <x:f>(1+$B$28)^INT((A225-1)/12)</x:f>
        <x:v>2.260903955754426</x:v>
      </x:c>
      <x:c r="E225" s="141" t="n">
        <x:f>IF(A225&lt;=$B$27,$B$45*D225,0)</x:f>
        <x:v>3339.856544580702</x:v>
      </x:c>
      <x:c r="F225" s="141" t="n">
        <x:f>IF(A225=$B$29,$B$44,0)</x:f>
        <x:v>0</x:v>
      </x:c>
      <x:c r="G225" s="141" t="n">
        <x:f>E225+F225</x:f>
        <x:v>3339.856544580702</x:v>
      </x:c>
      <x:c r="H225" s="141" t="n">
        <x:f>IF(A225=$B$29,$B$42,0)</x:f>
        <x:v>0</x:v>
      </x:c>
      <x:c r="I225" s="141" t="n">
        <x:f>IF(A225=$B$29,$B$43,0)</x:f>
        <x:v>0</x:v>
      </x:c>
      <x:c r="J225" s="140" t="str">
        <x:f>IF(A225&lt;$B$29,"Aguardando",IF(A225=$B$29,"Contemplado","Pos-contemplacao"))</x:f>
        <x:v>Pos-contemplacao</x:v>
      </x:c>
      <x:c r="K225" s="141" t="n">
        <x:f>IF(A225&gt;=$B$27,0,(K226+E226)/(1+$B$9))</x:f>
        <x:v>193623.8245418898</x:v>
      </x:c>
      <x:c r="L225" s="141" t="n">
        <x:f>IF(A225&lt;$B$29,$B$43/(1+$B$9)^($B$29-A225),0)</x:f>
        <x:v>0</x:v>
      </x:c>
      <x:c r="M225" s="141" t="n">
        <x:f>L225-K225</x:f>
        <x:v>-193623.8245418898</x:v>
      </x:c>
    </x:row>
    <x:row r="226">
      <x:c r="A226" s="142" t="n">
        <x:v>172</x:v>
      </x:c>
      <x:c r="B226" s="179" t="n">
        <x:f>EDATE($B$5,A226-1)</x:f>
        <x:v>51745</x:v>
      </x:c>
      <x:c r="C226" s="141" t="n">
        <x:f>$B$6</x:f>
        <x:v>7000</x:v>
      </x:c>
      <x:c r="D226" s="180" t="n">
        <x:f>(1+$B$28)^INT((A226-1)/12)</x:f>
        <x:v>2.260903955754426</x:v>
      </x:c>
      <x:c r="E226" s="141" t="n">
        <x:f>IF(A226&lt;=$B$27,$B$45*D226,0)</x:f>
        <x:v>3339.856544580702</x:v>
      </x:c>
      <x:c r="F226" s="141" t="n">
        <x:f>IF(A226=$B$29,$B$44,0)</x:f>
        <x:v>0</x:v>
      </x:c>
      <x:c r="G226" s="141" t="n">
        <x:f>E226+F226</x:f>
        <x:v>3339.856544580702</x:v>
      </x:c>
      <x:c r="H226" s="141" t="n">
        <x:f>IF(A226=$B$29,$B$42,0)</x:f>
        <x:v>0</x:v>
      </x:c>
      <x:c r="I226" s="141" t="n">
        <x:f>IF(A226=$B$29,$B$43,0)</x:f>
        <x:v>0</x:v>
      </x:c>
      <x:c r="J226" s="140" t="str">
        <x:f>IF(A226&lt;$B$29,"Aguardando",IF(A226=$B$29,"Contemplado","Pos-contemplacao"))</x:f>
        <x:v>Pos-contemplacao</x:v>
      </x:c>
      <x:c r="K226" s="141" t="n">
        <x:f>IF(A226&gt;=$B$27,0,(K227+E227)/(1+$B$9))</x:f>
        <x:v>192121.22437558914</x:v>
      </x:c>
      <x:c r="L226" s="141" t="n">
        <x:f>IF(A226&lt;$B$29,$B$43/(1+$B$9)^($B$29-A226),0)</x:f>
        <x:v>0</x:v>
      </x:c>
      <x:c r="M226" s="141" t="n">
        <x:f>L226-K226</x:f>
        <x:v>-192121.22437558914</x:v>
      </x:c>
    </x:row>
    <x:row r="227">
      <x:c r="A227" s="142" t="n">
        <x:v>173</x:v>
      </x:c>
      <x:c r="B227" s="179" t="n">
        <x:f>EDATE($B$5,A227-1)</x:f>
        <x:v>51775</x:v>
      </x:c>
      <x:c r="C227" s="141" t="n">
        <x:f>$B$6</x:f>
        <x:v>7000</x:v>
      </x:c>
      <x:c r="D227" s="180" t="n">
        <x:f>(1+$B$28)^INT((A227-1)/12)</x:f>
        <x:v>2.260903955754426</x:v>
      </x:c>
      <x:c r="E227" s="141" t="n">
        <x:f>IF(A227&lt;=$B$27,$B$45*D227,0)</x:f>
        <x:v>3339.856544580702</x:v>
      </x:c>
      <x:c r="F227" s="141" t="n">
        <x:f>IF(A227=$B$29,$B$44,0)</x:f>
        <x:v>0</x:v>
      </x:c>
      <x:c r="G227" s="141" t="n">
        <x:f>E227+F227</x:f>
        <x:v>3339.856544580702</x:v>
      </x:c>
      <x:c r="H227" s="141" t="n">
        <x:f>IF(A227=$B$29,$B$42,0)</x:f>
        <x:v>0</x:v>
      </x:c>
      <x:c r="I227" s="141" t="n">
        <x:f>IF(A227=$B$29,$B$43,0)</x:f>
        <x:v>0</x:v>
      </x:c>
      <x:c r="J227" s="140" t="str">
        <x:f>IF(A227&lt;$B$29,"Aguardando",IF(A227=$B$29,"Contemplado","Pos-contemplacao"))</x:f>
        <x:v>Pos-contemplacao</x:v>
      </x:c>
      <x:c r="K227" s="141" t="n">
        <x:f>IF(A227&gt;=$B$27,0,(K228+E228)/(1+$B$9))</x:f>
        <x:v>190604.36634744698</x:v>
      </x:c>
      <x:c r="L227" s="141" t="n">
        <x:f>IF(A227&lt;$B$29,$B$43/(1+$B$9)^($B$29-A227),0)</x:f>
        <x:v>0</x:v>
      </x:c>
      <x:c r="M227" s="141" t="n">
        <x:f>L227-K227</x:f>
        <x:v>-190604.36634744698</x:v>
      </x:c>
    </x:row>
    <x:row r="228">
      <x:c r="A228" s="142" t="n">
        <x:v>174</x:v>
      </x:c>
      <x:c r="B228" s="179" t="n">
        <x:f>EDATE($B$5,A228-1)</x:f>
        <x:v>51806</x:v>
      </x:c>
      <x:c r="C228" s="141" t="n">
        <x:f>$B$6</x:f>
        <x:v>7000</x:v>
      </x:c>
      <x:c r="D228" s="180" t="n">
        <x:f>(1+$B$28)^INT((A228-1)/12)</x:f>
        <x:v>2.260903955754426</x:v>
      </x:c>
      <x:c r="E228" s="141" t="n">
        <x:f>IF(A228&lt;=$B$27,$B$45*D228,0)</x:f>
        <x:v>3339.856544580702</x:v>
      </x:c>
      <x:c r="F228" s="141" t="n">
        <x:f>IF(A228=$B$29,$B$44,0)</x:f>
        <x:v>0</x:v>
      </x:c>
      <x:c r="G228" s="141" t="n">
        <x:f>E228+F228</x:f>
        <x:v>3339.856544580702</x:v>
      </x:c>
      <x:c r="H228" s="141" t="n">
        <x:f>IF(A228=$B$29,$B$42,0)</x:f>
        <x:v>0</x:v>
      </x:c>
      <x:c r="I228" s="141" t="n">
        <x:f>IF(A228=$B$29,$B$43,0)</x:f>
        <x:v>0</x:v>
      </x:c>
      <x:c r="J228" s="140" t="str">
        <x:f>IF(A228&lt;$B$29,"Aguardando",IF(A228=$B$29,"Contemplado","Pos-contemplacao"))</x:f>
        <x:v>Pos-contemplacao</x:v>
      </x:c>
      <x:c r="K228" s="141" t="n">
        <x:f>IF(A228&gt;=$B$27,0,(K229+E229)/(1+$B$9))</x:f>
        <x:v>189073.11516756463</x:v>
      </x:c>
      <x:c r="L228" s="141" t="n">
        <x:f>IF(A228&lt;$B$29,$B$43/(1+$B$9)^($B$29-A228),0)</x:f>
        <x:v>0</x:v>
      </x:c>
      <x:c r="M228" s="141" t="n">
        <x:f>L228-K228</x:f>
        <x:v>-189073.11516756463</x:v>
      </x:c>
    </x:row>
    <x:row r="229">
      <x:c r="A229" s="142" t="n">
        <x:v>175</x:v>
      </x:c>
      <x:c r="B229" s="179" t="n">
        <x:f>EDATE($B$5,A229-1)</x:f>
        <x:v>51836</x:v>
      </x:c>
      <x:c r="C229" s="141" t="n">
        <x:f>$B$6</x:f>
        <x:v>7000</x:v>
      </x:c>
      <x:c r="D229" s="180" t="n">
        <x:f>(1+$B$28)^INT((A229-1)/12)</x:f>
        <x:v>2.260903955754426</x:v>
      </x:c>
      <x:c r="E229" s="141" t="n">
        <x:f>IF(A229&lt;=$B$27,$B$45*D229,0)</x:f>
        <x:v>3339.856544580702</x:v>
      </x:c>
      <x:c r="F229" s="141" t="n">
        <x:f>IF(A229=$B$29,$B$44,0)</x:f>
        <x:v>0</x:v>
      </x:c>
      <x:c r="G229" s="141" t="n">
        <x:f>E229+F229</x:f>
        <x:v>3339.856544580702</x:v>
      </x:c>
      <x:c r="H229" s="141" t="n">
        <x:f>IF(A229=$B$29,$B$42,0)</x:f>
        <x:v>0</x:v>
      </x:c>
      <x:c r="I229" s="141" t="n">
        <x:f>IF(A229=$B$29,$B$43,0)</x:f>
        <x:v>0</x:v>
      </x:c>
      <x:c r="J229" s="140" t="str">
        <x:f>IF(A229&lt;$B$29,"Aguardando",IF(A229=$B$29,"Contemplado","Pos-contemplacao"))</x:f>
        <x:v>Pos-contemplacao</x:v>
      </x:c>
      <x:c r="K229" s="141" t="n">
        <x:f>IF(A229&gt;=$B$27,0,(K230+E230)/(1+$B$9))</x:f>
        <x:v>187527.33426230552</x:v>
      </x:c>
      <x:c r="L229" s="141" t="n">
        <x:f>IF(A229&lt;$B$29,$B$43/(1+$B$9)^($B$29-A229),0)</x:f>
        <x:v>0</x:v>
      </x:c>
      <x:c r="M229" s="141" t="n">
        <x:f>L229-K229</x:f>
        <x:v>-187527.33426230552</x:v>
      </x:c>
    </x:row>
    <x:row r="230">
      <x:c r="A230" s="142" t="n">
        <x:v>176</x:v>
      </x:c>
      <x:c r="B230" s="179" t="n">
        <x:f>EDATE($B$5,A230-1)</x:f>
        <x:v>51867</x:v>
      </x:c>
      <x:c r="C230" s="141" t="n">
        <x:f>$B$6</x:f>
        <x:v>7000</x:v>
      </x:c>
      <x:c r="D230" s="180" t="n">
        <x:f>(1+$B$28)^INT((A230-1)/12)</x:f>
        <x:v>2.260903955754426</x:v>
      </x:c>
      <x:c r="E230" s="141" t="n">
        <x:f>IF(A230&lt;=$B$27,$B$45*D230,0)</x:f>
        <x:v>3339.856544580702</x:v>
      </x:c>
      <x:c r="F230" s="141" t="n">
        <x:f>IF(A230=$B$29,$B$44,0)</x:f>
        <x:v>0</x:v>
      </x:c>
      <x:c r="G230" s="141" t="n">
        <x:f>E230+F230</x:f>
        <x:v>3339.856544580702</x:v>
      </x:c>
      <x:c r="H230" s="141" t="n">
        <x:f>IF(A230=$B$29,$B$42,0)</x:f>
        <x:v>0</x:v>
      </x:c>
      <x:c r="I230" s="141" t="n">
        <x:f>IF(A230=$B$29,$B$43,0)</x:f>
        <x:v>0</x:v>
      </x:c>
      <x:c r="J230" s="140" t="str">
        <x:f>IF(A230&lt;$B$29,"Aguardando",IF(A230=$B$29,"Contemplado","Pos-contemplacao"))</x:f>
        <x:v>Pos-contemplacao</x:v>
      </x:c>
      <x:c r="K230" s="141" t="n">
        <x:f>IF(A230&gt;=$B$27,0,(K231+E231)/(1+$B$9))</x:f>
        <x:v>185966.8857621142</x:v>
      </x:c>
      <x:c r="L230" s="141" t="n">
        <x:f>IF(A230&lt;$B$29,$B$43/(1+$B$9)^($B$29-A230),0)</x:f>
        <x:v>0</x:v>
      </x:c>
      <x:c r="M230" s="141" t="n">
        <x:f>L230-K230</x:f>
        <x:v>-185966.8857621142</x:v>
      </x:c>
    </x:row>
    <x:row r="231">
      <x:c r="A231" s="142" t="n">
        <x:v>177</x:v>
      </x:c>
      <x:c r="B231" s="179" t="n">
        <x:f>EDATE($B$5,A231-1)</x:f>
        <x:v>51898</x:v>
      </x:c>
      <x:c r="C231" s="141" t="n">
        <x:f>$B$6</x:f>
        <x:v>7000</x:v>
      </x:c>
      <x:c r="D231" s="180" t="n">
        <x:f>(1+$B$28)^INT((A231-1)/12)</x:f>
        <x:v>2.260903955754426</x:v>
      </x:c>
      <x:c r="E231" s="141" t="n">
        <x:f>IF(A231&lt;=$B$27,$B$45*D231,0)</x:f>
        <x:v>3339.856544580702</x:v>
      </x:c>
      <x:c r="F231" s="141" t="n">
        <x:f>IF(A231=$B$29,$B$44,0)</x:f>
        <x:v>0</x:v>
      </x:c>
      <x:c r="G231" s="141" t="n">
        <x:f>E231+F231</x:f>
        <x:v>3339.856544580702</x:v>
      </x:c>
      <x:c r="H231" s="141" t="n">
        <x:f>IF(A231=$B$29,$B$42,0)</x:f>
        <x:v>0</x:v>
      </x:c>
      <x:c r="I231" s="141" t="n">
        <x:f>IF(A231=$B$29,$B$43,0)</x:f>
        <x:v>0</x:v>
      </x:c>
      <x:c r="J231" s="140" t="str">
        <x:f>IF(A231&lt;$B$29,"Aguardando",IF(A231=$B$29,"Contemplado","Pos-contemplacao"))</x:f>
        <x:v>Pos-contemplacao</x:v>
      </x:c>
      <x:c r="K231" s="141" t="n">
        <x:f>IF(A231&gt;=$B$27,0,(K232+E232)/(1+$B$9))</x:f>
        <x:v>184391.63048921947</x:v>
      </x:c>
      <x:c r="L231" s="141" t="n">
        <x:f>IF(A231&lt;$B$29,$B$43/(1+$B$9)^($B$29-A231),0)</x:f>
        <x:v>0</x:v>
      </x:c>
      <x:c r="M231" s="141" t="n">
        <x:f>L231-K231</x:f>
        <x:v>-184391.63048921947</x:v>
      </x:c>
    </x:row>
    <x:row r="232">
      <x:c r="A232" s="142" t="n">
        <x:v>178</x:v>
      </x:c>
      <x:c r="B232" s="179" t="n">
        <x:f>EDATE($B$5,A232-1)</x:f>
        <x:v>51926</x:v>
      </x:c>
      <x:c r="C232" s="141" t="n">
        <x:f>$B$6</x:f>
        <x:v>7000</x:v>
      </x:c>
      <x:c r="D232" s="180" t="n">
        <x:f>(1+$B$28)^INT((A232-1)/12)</x:f>
        <x:v>2.260903955754426</x:v>
      </x:c>
      <x:c r="E232" s="141" t="n">
        <x:f>IF(A232&lt;=$B$27,$B$45*D232,0)</x:f>
        <x:v>3339.856544580702</x:v>
      </x:c>
      <x:c r="F232" s="141" t="n">
        <x:f>IF(A232=$B$29,$B$44,0)</x:f>
        <x:v>0</x:v>
      </x:c>
      <x:c r="G232" s="141" t="n">
        <x:f>E232+F232</x:f>
        <x:v>3339.856544580702</x:v>
      </x:c>
      <x:c r="H232" s="141" t="n">
        <x:f>IF(A232=$B$29,$B$42,0)</x:f>
        <x:v>0</x:v>
      </x:c>
      <x:c r="I232" s="141" t="n">
        <x:f>IF(A232=$B$29,$B$43,0)</x:f>
        <x:v>0</x:v>
      </x:c>
      <x:c r="J232" s="140" t="str">
        <x:f>IF(A232&lt;$B$29,"Aguardando",IF(A232=$B$29,"Contemplado","Pos-contemplacao"))</x:f>
        <x:v>Pos-contemplacao</x:v>
      </x:c>
      <x:c r="K232" s="141" t="n">
        <x:f>IF(A232&gt;=$B$27,0,(K233+E233)/(1+$B$9))</x:f>
        <x:v>182801.42794522113</x:v>
      </x:c>
      <x:c r="L232" s="141" t="n">
        <x:f>IF(A232&lt;$B$29,$B$43/(1+$B$9)^($B$29-A232),0)</x:f>
        <x:v>0</x:v>
      </x:c>
      <x:c r="M232" s="141" t="n">
        <x:f>L232-K232</x:f>
        <x:v>-182801.42794522113</x:v>
      </x:c>
    </x:row>
    <x:row r="233">
      <x:c r="A233" s="142" t="n">
        <x:v>179</x:v>
      </x:c>
      <x:c r="B233" s="179" t="n">
        <x:f>EDATE($B$5,A233-1)</x:f>
        <x:v>51957</x:v>
      </x:c>
      <x:c r="C233" s="141" t="n">
        <x:f>$B$6</x:f>
        <x:v>7000</x:v>
      </x:c>
      <x:c r="D233" s="180" t="n">
        <x:f>(1+$B$28)^INT((A233-1)/12)</x:f>
        <x:v>2.260903955754426</x:v>
      </x:c>
      <x:c r="E233" s="141" t="n">
        <x:f>IF(A233&lt;=$B$27,$B$45*D233,0)</x:f>
        <x:v>3339.856544580702</x:v>
      </x:c>
      <x:c r="F233" s="141" t="n">
        <x:f>IF(A233=$B$29,$B$44,0)</x:f>
        <x:v>0</x:v>
      </x:c>
      <x:c r="G233" s="141" t="n">
        <x:f>E233+F233</x:f>
        <x:v>3339.856544580702</x:v>
      </x:c>
      <x:c r="H233" s="141" t="n">
        <x:f>IF(A233=$B$29,$B$42,0)</x:f>
        <x:v>0</x:v>
      </x:c>
      <x:c r="I233" s="141" t="n">
        <x:f>IF(A233=$B$29,$B$43,0)</x:f>
        <x:v>0</x:v>
      </x:c>
      <x:c r="J233" s="140" t="str">
        <x:f>IF(A233&lt;$B$29,"Aguardando",IF(A233=$B$29,"Contemplado","Pos-contemplacao"))</x:f>
        <x:v>Pos-contemplacao</x:v>
      </x:c>
      <x:c r="K233" s="141" t="n">
        <x:f>IF(A233&gt;=$B$27,0,(K234+E234)/(1+$B$9))</x:f>
        <x:v>181196.13629855876</x:v>
      </x:c>
      <x:c r="L233" s="141" t="n">
        <x:f>IF(A233&lt;$B$29,$B$43/(1+$B$9)^($B$29-A233),0)</x:f>
        <x:v>0</x:v>
      </x:c>
      <x:c r="M233" s="141" t="n">
        <x:f>L233-K233</x:f>
        <x:v>-181196.13629855876</x:v>
      </x:c>
    </x:row>
    <x:row r="234">
      <x:c r="A234" s="142" t="n">
        <x:v>180</x:v>
      </x:c>
      <x:c r="B234" s="179" t="n">
        <x:f>EDATE($B$5,A234-1)</x:f>
        <x:v>51987</x:v>
      </x:c>
      <x:c r="C234" s="141" t="n">
        <x:f>$B$6</x:f>
        <x:v>7000</x:v>
      </x:c>
      <x:c r="D234" s="180" t="n">
        <x:f>(1+$B$28)^INT((A234-1)/12)</x:f>
        <x:v>2.260903955754426</x:v>
      </x:c>
      <x:c r="E234" s="141" t="n">
        <x:f>IF(A234&lt;=$B$27,$B$45*D234,0)</x:f>
        <x:v>3339.856544580702</x:v>
      </x:c>
      <x:c r="F234" s="141" t="n">
        <x:f>IF(A234=$B$29,$B$44,0)</x:f>
        <x:v>0</x:v>
      </x:c>
      <x:c r="G234" s="141" t="n">
        <x:f>E234+F234</x:f>
        <x:v>3339.856544580702</x:v>
      </x:c>
      <x:c r="H234" s="141" t="n">
        <x:f>IF(A234=$B$29,$B$42,0)</x:f>
        <x:v>0</x:v>
      </x:c>
      <x:c r="I234" s="141" t="n">
        <x:f>IF(A234=$B$29,$B$43,0)</x:f>
        <x:v>0</x:v>
      </x:c>
      <x:c r="J234" s="140" t="str">
        <x:f>IF(A234&lt;$B$29,"Aguardando",IF(A234=$B$29,"Contemplado","Pos-contemplacao"))</x:f>
        <x:v>Pos-contemplacao</x:v>
      </x:c>
      <x:c r="K234" s="141" t="n">
        <x:f>IF(A234&gt;=$B$27,0,(K235+E235)/(1+$B$9))</x:f>
        <x:v>179575.61237186159</x:v>
      </x:c>
      <x:c r="L234" s="141" t="n">
        <x:f>IF(A234&lt;$B$29,$B$43/(1+$B$9)^($B$29-A234),0)</x:f>
        <x:v>0</x:v>
      </x:c>
      <x:c r="M234" s="141" t="n">
        <x:f>L234-K234</x:f>
        <x:v>-179575.61237186159</x:v>
      </x:c>
    </x:row>
    <x:row r="235">
      <x:c r="A235" s="142" t="n">
        <x:v>181</x:v>
      </x:c>
      <x:c r="B235" s="179" t="n">
        <x:f>EDATE($B$5,A235-1)</x:f>
        <x:v>52018</x:v>
      </x:c>
      <x:c r="C235" s="141" t="n">
        <x:f>$B$6</x:f>
        <x:v>7000</x:v>
      </x:c>
      <x:c r="D235" s="180" t="n">
        <x:f>(1+$B$28)^INT((A235-1)/12)</x:f>
        <x:v>2.3965581930996915</x:v>
      </x:c>
      <x:c r="E235" s="141" t="n">
        <x:f>IF(A235&lt;=$B$27,$B$45*D235,0)</x:f>
        <x:v>3540.247937255544</x:v>
      </x:c>
      <x:c r="F235" s="141" t="n">
        <x:f>IF(A235=$B$29,$B$44,0)</x:f>
        <x:v>0</x:v>
      </x:c>
      <x:c r="G235" s="141" t="n">
        <x:f>E235+F235</x:f>
        <x:v>3540.247937255544</x:v>
      </x:c>
      <x:c r="H235" s="141" t="n">
        <x:f>IF(A235=$B$29,$B$42,0)</x:f>
        <x:v>0</x:v>
      </x:c>
      <x:c r="I235" s="141" t="n">
        <x:f>IF(A235=$B$29,$B$43,0)</x:f>
        <x:v>0</x:v>
      </x:c>
      <x:c r="J235" s="140" t="str">
        <x:f>IF(A235&lt;$B$29,"Aguardando",IF(A235=$B$29,"Contemplado","Pos-contemplacao"))</x:f>
        <x:v>Pos-contemplacao</x:v>
      </x:c>
      <x:c r="K235" s="141" t="n">
        <x:f>IF(A235&gt;=$B$27,0,(K236+E236)/(1+$B$9))</x:f>
        <x:v>177739.32023650358</x:v>
      </x:c>
      <x:c r="L235" s="141" t="n">
        <x:f>IF(A235&lt;$B$29,$B$43/(1+$B$9)^($B$29-A235),0)</x:f>
        <x:v>0</x:v>
      </x:c>
      <x:c r="M235" s="141" t="n">
        <x:f>L235-K235</x:f>
        <x:v>-177739.32023650358</x:v>
      </x:c>
    </x:row>
    <x:row r="236">
      <x:c r="A236" s="142" t="n">
        <x:v>182</x:v>
      </x:c>
      <x:c r="B236" s="179" t="n">
        <x:f>EDATE($B$5,A236-1)</x:f>
        <x:v>52048</x:v>
      </x:c>
      <x:c r="C236" s="141" t="n">
        <x:f>$B$6</x:f>
        <x:v>7000</x:v>
      </x:c>
      <x:c r="D236" s="180" t="n">
        <x:f>(1+$B$28)^INT((A236-1)/12)</x:f>
        <x:v>2.3965581930996915</x:v>
      </x:c>
      <x:c r="E236" s="141" t="n">
        <x:f>IF(A236&lt;=$B$27,$B$45*D236,0)</x:f>
        <x:v>3540.247937255544</x:v>
      </x:c>
      <x:c r="F236" s="141" t="n">
        <x:f>IF(A236=$B$29,$B$44,0)</x:f>
        <x:v>0</x:v>
      </x:c>
      <x:c r="G236" s="141" t="n">
        <x:f>E236+F236</x:f>
        <x:v>3540.247937255544</x:v>
      </x:c>
      <x:c r="H236" s="141" t="n">
        <x:f>IF(A236=$B$29,$B$42,0)</x:f>
        <x:v>0</x:v>
      </x:c>
      <x:c r="I236" s="141" t="n">
        <x:f>IF(A236=$B$29,$B$43,0)</x:f>
        <x:v>0</x:v>
      </x:c>
      <x:c r="J236" s="140" t="str">
        <x:f>IF(A236&lt;$B$29,"Aguardando",IF(A236=$B$29,"Contemplado","Pos-contemplacao"))</x:f>
        <x:v>Pos-contemplacao</x:v>
      </x:c>
      <x:c r="K236" s="141" t="n">
        <x:f>IF(A236&gt;=$B$27,0,(K237+E237)/(1+$B$9))</x:f>
        <x:v>175885.60390530576</x:v>
      </x:c>
      <x:c r="L236" s="141" t="n">
        <x:f>IF(A236&lt;$B$29,$B$43/(1+$B$9)^($B$29-A236),0)</x:f>
        <x:v>0</x:v>
      </x:c>
      <x:c r="M236" s="141" t="n">
        <x:f>L236-K236</x:f>
        <x:v>-175885.60390530576</x:v>
      </x:c>
    </x:row>
    <x:row r="237">
      <x:c r="A237" s="142" t="n">
        <x:v>183</x:v>
      </x:c>
      <x:c r="B237" s="179" t="n">
        <x:f>EDATE($B$5,A237-1)</x:f>
        <x:v>52079</x:v>
      </x:c>
      <x:c r="C237" s="141" t="n">
        <x:f>$B$6</x:f>
        <x:v>7000</x:v>
      </x:c>
      <x:c r="D237" s="180" t="n">
        <x:f>(1+$B$28)^INT((A237-1)/12)</x:f>
        <x:v>2.3965581930996915</x:v>
      </x:c>
      <x:c r="E237" s="141" t="n">
        <x:f>IF(A237&lt;=$B$27,$B$45*D237,0)</x:f>
        <x:v>3540.247937255544</x:v>
      </x:c>
      <x:c r="F237" s="141" t="n">
        <x:f>IF(A237=$B$29,$B$44,0)</x:f>
        <x:v>0</x:v>
      </x:c>
      <x:c r="G237" s="141" t="n">
        <x:f>E237+F237</x:f>
        <x:v>3540.247937255544</x:v>
      </x:c>
      <x:c r="H237" s="141" t="n">
        <x:f>IF(A237=$B$29,$B$42,0)</x:f>
        <x:v>0</x:v>
      </x:c>
      <x:c r="I237" s="141" t="n">
        <x:f>IF(A237=$B$29,$B$43,0)</x:f>
        <x:v>0</x:v>
      </x:c>
      <x:c r="J237" s="140" t="str">
        <x:f>IF(A237&lt;$B$29,"Aguardando",IF(A237=$B$29,"Contemplado","Pos-contemplacao"))</x:f>
        <x:v>Pos-contemplacao</x:v>
      </x:c>
      <x:c r="K237" s="141" t="n">
        <x:f>IF(A237&gt;=$B$27,0,(K238+E238)/(1+$B$9))</x:f>
        <x:v>174014.29804368177</x:v>
      </x:c>
      <x:c r="L237" s="141" t="n">
        <x:f>IF(A237&lt;$B$29,$B$43/(1+$B$9)^($B$29-A237),0)</x:f>
        <x:v>0</x:v>
      </x:c>
      <x:c r="M237" s="141" t="n">
        <x:f>L237-K237</x:f>
        <x:v>-174014.29804368177</x:v>
      </x:c>
    </x:row>
    <x:row r="238">
      <x:c r="A238" s="142" t="n">
        <x:v>184</x:v>
      </x:c>
      <x:c r="B238" s="179" t="n">
        <x:f>EDATE($B$5,A238-1)</x:f>
        <x:v>52110</x:v>
      </x:c>
      <x:c r="C238" s="141" t="n">
        <x:f>$B$6</x:f>
        <x:v>7000</x:v>
      </x:c>
      <x:c r="D238" s="180" t="n">
        <x:f>(1+$B$28)^INT((A238-1)/12)</x:f>
        <x:v>2.3965581930996915</x:v>
      </x:c>
      <x:c r="E238" s="141" t="n">
        <x:f>IF(A238&lt;=$B$27,$B$45*D238,0)</x:f>
        <x:v>3540.247937255544</x:v>
      </x:c>
      <x:c r="F238" s="141" t="n">
        <x:f>IF(A238=$B$29,$B$44,0)</x:f>
        <x:v>0</x:v>
      </x:c>
      <x:c r="G238" s="141" t="n">
        <x:f>E238+F238</x:f>
        <x:v>3540.247937255544</x:v>
      </x:c>
      <x:c r="H238" s="141" t="n">
        <x:f>IF(A238=$B$29,$B$42,0)</x:f>
        <x:v>0</x:v>
      </x:c>
      <x:c r="I238" s="141" t="n">
        <x:f>IF(A238=$B$29,$B$43,0)</x:f>
        <x:v>0</x:v>
      </x:c>
      <x:c r="J238" s="140" t="str">
        <x:f>IF(A238&lt;$B$29,"Aguardando",IF(A238=$B$29,"Contemplado","Pos-contemplacao"))</x:f>
        <x:v>Pos-contemplacao</x:v>
      </x:c>
      <x:c r="K238" s="141" t="n">
        <x:f>IF(A238&gt;=$B$27,0,(K239+E239)/(1+$B$9))</x:f>
        <x:v>172125.23574821957</x:v>
      </x:c>
      <x:c r="L238" s="141" t="n">
        <x:f>IF(A238&lt;$B$29,$B$43/(1+$B$9)^($B$29-A238),0)</x:f>
        <x:v>0</x:v>
      </x:c>
      <x:c r="M238" s="141" t="n">
        <x:f>L238-K238</x:f>
        <x:v>-172125.23574821957</x:v>
      </x:c>
    </x:row>
    <x:row r="239">
      <x:c r="A239" s="142" t="n">
        <x:v>185</x:v>
      </x:c>
      <x:c r="B239" s="179" t="n">
        <x:f>EDATE($B$5,A239-1)</x:f>
        <x:v>52140</x:v>
      </x:c>
      <x:c r="C239" s="141" t="n">
        <x:f>$B$6</x:f>
        <x:v>7000</x:v>
      </x:c>
      <x:c r="D239" s="180" t="n">
        <x:f>(1+$B$28)^INT((A239-1)/12)</x:f>
        <x:v>2.3965581930996915</x:v>
      </x:c>
      <x:c r="E239" s="141" t="n">
        <x:f>IF(A239&lt;=$B$27,$B$45*D239,0)</x:f>
        <x:v>3540.247937255544</x:v>
      </x:c>
      <x:c r="F239" s="141" t="n">
        <x:f>IF(A239=$B$29,$B$44,0)</x:f>
        <x:v>0</x:v>
      </x:c>
      <x:c r="G239" s="141" t="n">
        <x:f>E239+F239</x:f>
        <x:v>3540.247937255544</x:v>
      </x:c>
      <x:c r="H239" s="141" t="n">
        <x:f>IF(A239=$B$29,$B$42,0)</x:f>
        <x:v>0</x:v>
      </x:c>
      <x:c r="I239" s="141" t="n">
        <x:f>IF(A239=$B$29,$B$43,0)</x:f>
        <x:v>0</x:v>
      </x:c>
      <x:c r="J239" s="140" t="str">
        <x:f>IF(A239&lt;$B$29,"Aguardando",IF(A239=$B$29,"Contemplado","Pos-contemplacao"))</x:f>
        <x:v>Pos-contemplacao</x:v>
      </x:c>
      <x:c r="K239" s="141" t="n">
        <x:f>IF(A239&gt;=$B$27,0,(K240+E240)/(1+$B$9))</x:f>
        <x:v>170218.24853179517</x:v>
      </x:c>
      <x:c r="L239" s="141" t="n">
        <x:f>IF(A239&lt;$B$29,$B$43/(1+$B$9)^($B$29-A239),0)</x:f>
        <x:v>0</x:v>
      </x:c>
      <x:c r="M239" s="141" t="n">
        <x:f>L239-K239</x:f>
        <x:v>-170218.24853179517</x:v>
      </x:c>
    </x:row>
    <x:row r="240">
      <x:c r="A240" s="142" t="n">
        <x:v>186</x:v>
      </x:c>
      <x:c r="B240" s="179" t="n">
        <x:f>EDATE($B$5,A240-1)</x:f>
        <x:v>52171</x:v>
      </x:c>
      <x:c r="C240" s="141" t="n">
        <x:f>$B$6</x:f>
        <x:v>7000</x:v>
      </x:c>
      <x:c r="D240" s="180" t="n">
        <x:f>(1+$B$28)^INT((A240-1)/12)</x:f>
        <x:v>2.3965581930996915</x:v>
      </x:c>
      <x:c r="E240" s="141" t="n">
        <x:f>IF(A240&lt;=$B$27,$B$45*D240,0)</x:f>
        <x:v>3540.247937255544</x:v>
      </x:c>
      <x:c r="F240" s="141" t="n">
        <x:f>IF(A240=$B$29,$B$44,0)</x:f>
        <x:v>0</x:v>
      </x:c>
      <x:c r="G240" s="141" t="n">
        <x:f>E240+F240</x:f>
        <x:v>3540.247937255544</x:v>
      </x:c>
      <x:c r="H240" s="141" t="n">
        <x:f>IF(A240=$B$29,$B$42,0)</x:f>
        <x:v>0</x:v>
      </x:c>
      <x:c r="I240" s="141" t="n">
        <x:f>IF(A240=$B$29,$B$43,0)</x:f>
        <x:v>0</x:v>
      </x:c>
      <x:c r="J240" s="140" t="str">
        <x:f>IF(A240&lt;$B$29,"Aguardando",IF(A240=$B$29,"Contemplado","Pos-contemplacao"))</x:f>
        <x:v>Pos-contemplacao</x:v>
      </x:c>
      <x:c r="K240" s="141" t="n">
        <x:f>IF(A240&gt;=$B$27,0,(K241+E241)/(1+$B$9))</x:f>
        <x:v>168293.16630854522</x:v>
      </x:c>
      <x:c r="L240" s="141" t="n">
        <x:f>IF(A240&lt;$B$29,$B$43/(1+$B$9)^($B$29-A240),0)</x:f>
        <x:v>0</x:v>
      </x:c>
      <x:c r="M240" s="141" t="n">
        <x:f>L240-K240</x:f>
        <x:v>-168293.16630854522</x:v>
      </x:c>
    </x:row>
    <x:row r="241">
      <x:c r="A241" s="142" t="n">
        <x:v>187</x:v>
      </x:c>
      <x:c r="B241" s="179" t="n">
        <x:f>EDATE($B$5,A241-1)</x:f>
        <x:v>52201</x:v>
      </x:c>
      <x:c r="C241" s="141" t="n">
        <x:f>$B$6</x:f>
        <x:v>7000</x:v>
      </x:c>
      <x:c r="D241" s="180" t="n">
        <x:f>(1+$B$28)^INT((A241-1)/12)</x:f>
        <x:v>2.3965581930996915</x:v>
      </x:c>
      <x:c r="E241" s="141" t="n">
        <x:f>IF(A241&lt;=$B$27,$B$45*D241,0)</x:f>
        <x:v>3540.247937255544</x:v>
      </x:c>
      <x:c r="F241" s="141" t="n">
        <x:f>IF(A241=$B$29,$B$44,0)</x:f>
        <x:v>0</x:v>
      </x:c>
      <x:c r="G241" s="141" t="n">
        <x:f>E241+F241</x:f>
        <x:v>3540.247937255544</x:v>
      </x:c>
      <x:c r="H241" s="141" t="n">
        <x:f>IF(A241=$B$29,$B$42,0)</x:f>
        <x:v>0</x:v>
      </x:c>
      <x:c r="I241" s="141" t="n">
        <x:f>IF(A241=$B$29,$B$43,0)</x:f>
        <x:v>0</x:v>
      </x:c>
      <x:c r="J241" s="140" t="str">
        <x:f>IF(A241&lt;$B$29,"Aguardando",IF(A241=$B$29,"Contemplado","Pos-contemplacao"))</x:f>
        <x:v>Pos-contemplacao</x:v>
      </x:c>
      <x:c r="K241" s="141" t="n">
        <x:f>IF(A241&gt;=$B$27,0,(K242+E242)/(1+$B$9))</x:f>
        <x:v>166349.8173786968</x:v>
      </x:c>
      <x:c r="L241" s="141" t="n">
        <x:f>IF(A241&lt;$B$29,$B$43/(1+$B$9)^($B$29-A241),0)</x:f>
        <x:v>0</x:v>
      </x:c>
      <x:c r="M241" s="141" t="n">
        <x:f>L241-K241</x:f>
        <x:v>-166349.8173786968</x:v>
      </x:c>
    </x:row>
    <x:row r="242">
      <x:c r="A242" s="142" t="n">
        <x:v>188</x:v>
      </x:c>
      <x:c r="B242" s="179" t="n">
        <x:f>EDATE($B$5,A242-1)</x:f>
        <x:v>52232</x:v>
      </x:c>
      <x:c r="C242" s="141" t="n">
        <x:f>$B$6</x:f>
        <x:v>7000</x:v>
      </x:c>
      <x:c r="D242" s="180" t="n">
        <x:f>(1+$B$28)^INT((A242-1)/12)</x:f>
        <x:v>2.3965581930996915</x:v>
      </x:c>
      <x:c r="E242" s="141" t="n">
        <x:f>IF(A242&lt;=$B$27,$B$45*D242,0)</x:f>
        <x:v>3540.247937255544</x:v>
      </x:c>
      <x:c r="F242" s="141" t="n">
        <x:f>IF(A242=$B$29,$B$44,0)</x:f>
        <x:v>0</x:v>
      </x:c>
      <x:c r="G242" s="141" t="n">
        <x:f>E242+F242</x:f>
        <x:v>3540.247937255544</x:v>
      </x:c>
      <x:c r="H242" s="141" t="n">
        <x:f>IF(A242=$B$29,$B$42,0)</x:f>
        <x:v>0</x:v>
      </x:c>
      <x:c r="I242" s="141" t="n">
        <x:f>IF(A242=$B$29,$B$43,0)</x:f>
        <x:v>0</x:v>
      </x:c>
      <x:c r="J242" s="140" t="str">
        <x:f>IF(A242&lt;$B$29,"Aguardando",IF(A242=$B$29,"Contemplado","Pos-contemplacao"))</x:f>
        <x:v>Pos-contemplacao</x:v>
      </x:c>
      <x:c r="K242" s="141" t="n">
        <x:f>IF(A242&gt;=$B$27,0,(K243+E243)/(1+$B$9))</x:f>
        <x:v>164388.02841325343</x:v>
      </x:c>
      <x:c r="L242" s="141" t="n">
        <x:f>IF(A242&lt;$B$29,$B$43/(1+$B$9)^($B$29-A242),0)</x:f>
        <x:v>0</x:v>
      </x:c>
      <x:c r="M242" s="141" t="n">
        <x:f>L242-K242</x:f>
        <x:v>-164388.02841325343</x:v>
      </x:c>
    </x:row>
    <x:row r="243">
      <x:c r="A243" s="142" t="n">
        <x:v>189</x:v>
      </x:c>
      <x:c r="B243" s="179" t="n">
        <x:f>EDATE($B$5,A243-1)</x:f>
        <x:v>52263</x:v>
      </x:c>
      <x:c r="C243" s="141" t="n">
        <x:f>$B$6</x:f>
        <x:v>7000</x:v>
      </x:c>
      <x:c r="D243" s="180" t="n">
        <x:f>(1+$B$28)^INT((A243-1)/12)</x:f>
        <x:v>2.3965581930996915</x:v>
      </x:c>
      <x:c r="E243" s="141" t="n">
        <x:f>IF(A243&lt;=$B$27,$B$45*D243,0)</x:f>
        <x:v>3540.247937255544</x:v>
      </x:c>
      <x:c r="F243" s="141" t="n">
        <x:f>IF(A243=$B$29,$B$44,0)</x:f>
        <x:v>0</x:v>
      </x:c>
      <x:c r="G243" s="141" t="n">
        <x:f>E243+F243</x:f>
        <x:v>3540.247937255544</x:v>
      </x:c>
      <x:c r="H243" s="141" t="n">
        <x:f>IF(A243=$B$29,$B$42,0)</x:f>
        <x:v>0</x:v>
      </x:c>
      <x:c r="I243" s="141" t="n">
        <x:f>IF(A243=$B$29,$B$43,0)</x:f>
        <x:v>0</x:v>
      </x:c>
      <x:c r="J243" s="140" t="str">
        <x:f>IF(A243&lt;$B$29,"Aguardando",IF(A243=$B$29,"Contemplado","Pos-contemplacao"))</x:f>
        <x:v>Pos-contemplacao</x:v>
      </x:c>
      <x:c r="K243" s="141" t="n">
        <x:f>IF(A243&gt;=$B$27,0,(K244+E244)/(1+$B$9))</x:f>
        <x:v>162407.6244385356</x:v>
      </x:c>
      <x:c r="L243" s="141" t="n">
        <x:f>IF(A243&lt;$B$29,$B$43/(1+$B$9)^($B$29-A243),0)</x:f>
        <x:v>0</x:v>
      </x:c>
      <x:c r="M243" s="141" t="n">
        <x:f>L243-K243</x:f>
        <x:v>-162407.6244385356</x:v>
      </x:c>
    </x:row>
    <x:row r="244">
      <x:c r="A244" s="142" t="n">
        <x:v>190</x:v>
      </x:c>
      <x:c r="B244" s="179" t="n">
        <x:f>EDATE($B$5,A244-1)</x:f>
        <x:v>52291</x:v>
      </x:c>
      <x:c r="C244" s="141" t="n">
        <x:f>$B$6</x:f>
        <x:v>7000</x:v>
      </x:c>
      <x:c r="D244" s="180" t="n">
        <x:f>(1+$B$28)^INT((A244-1)/12)</x:f>
        <x:v>2.3965581930996915</x:v>
      </x:c>
      <x:c r="E244" s="141" t="n">
        <x:f>IF(A244&lt;=$B$27,$B$45*D244,0)</x:f>
        <x:v>3540.247937255544</x:v>
      </x:c>
      <x:c r="F244" s="141" t="n">
        <x:f>IF(A244=$B$29,$B$44,0)</x:f>
        <x:v>0</x:v>
      </x:c>
      <x:c r="G244" s="141" t="n">
        <x:f>E244+F244</x:f>
        <x:v>3540.247937255544</x:v>
      </x:c>
      <x:c r="H244" s="141" t="n">
        <x:f>IF(A244=$B$29,$B$42,0)</x:f>
        <x:v>0</x:v>
      </x:c>
      <x:c r="I244" s="141" t="n">
        <x:f>IF(A244=$B$29,$B$43,0)</x:f>
        <x:v>0</x:v>
      </x:c>
      <x:c r="J244" s="140" t="str">
        <x:f>IF(A244&lt;$B$29,"Aguardando",IF(A244=$B$29,"Contemplado","Pos-contemplacao"))</x:f>
        <x:v>Pos-contemplacao</x:v>
      </x:c>
      <x:c r="K244" s="141" t="n">
        <x:f>IF(A244&gt;=$B$27,0,(K245+E245)/(1+$B$9))</x:f>
        <x:v>160408.42882057486</x:v>
      </x:c>
      <x:c r="L244" s="141" t="n">
        <x:f>IF(A244&lt;$B$29,$B$43/(1+$B$9)^($B$29-A244),0)</x:f>
        <x:v>0</x:v>
      </x:c>
      <x:c r="M244" s="141" t="n">
        <x:f>L244-K244</x:f>
        <x:v>-160408.42882057486</x:v>
      </x:c>
    </x:row>
    <x:row r="245">
      <x:c r="A245" s="142" t="n">
        <x:v>191</x:v>
      </x:c>
      <x:c r="B245" s="179" t="n">
        <x:f>EDATE($B$5,A245-1)</x:f>
        <x:v>52322</x:v>
      </x:c>
      <x:c r="C245" s="141" t="n">
        <x:f>$B$6</x:f>
        <x:v>7000</x:v>
      </x:c>
      <x:c r="D245" s="180" t="n">
        <x:f>(1+$B$28)^INT((A245-1)/12)</x:f>
        <x:v>2.3965581930996915</x:v>
      </x:c>
      <x:c r="E245" s="141" t="n">
        <x:f>IF(A245&lt;=$B$27,$B$45*D245,0)</x:f>
        <x:v>3540.247937255544</x:v>
      </x:c>
      <x:c r="F245" s="141" t="n">
        <x:f>IF(A245=$B$29,$B$44,0)</x:f>
        <x:v>0</x:v>
      </x:c>
      <x:c r="G245" s="141" t="n">
        <x:f>E245+F245</x:f>
        <x:v>3540.247937255544</x:v>
      </x:c>
      <x:c r="H245" s="141" t="n">
        <x:f>IF(A245=$B$29,$B$42,0)</x:f>
        <x:v>0</x:v>
      </x:c>
      <x:c r="I245" s="141" t="n">
        <x:f>IF(A245=$B$29,$B$43,0)</x:f>
        <x:v>0</x:v>
      </x:c>
      <x:c r="J245" s="140" t="str">
        <x:f>IF(A245&lt;$B$29,"Aguardando",IF(A245=$B$29,"Contemplado","Pos-contemplacao"))</x:f>
        <x:v>Pos-contemplacao</x:v>
      </x:c>
      <x:c r="K245" s="141" t="n">
        <x:f>IF(A245&gt;=$B$27,0,(K246+E246)/(1+$B$9))</x:f>
        <x:v>158390.26324935956</x:v>
      </x:c>
      <x:c r="L245" s="141" t="n">
        <x:f>IF(A245&lt;$B$29,$B$43/(1+$B$9)^($B$29-A245),0)</x:f>
        <x:v>0</x:v>
      </x:c>
      <x:c r="M245" s="141" t="n">
        <x:f>L245-K245</x:f>
        <x:v>-158390.26324935956</x:v>
      </x:c>
    </x:row>
    <x:row r="246">
      <x:c r="A246" s="142" t="n">
        <x:v>192</x:v>
      </x:c>
      <x:c r="B246" s="179" t="n">
        <x:f>EDATE($B$5,A246-1)</x:f>
        <x:v>52352</x:v>
      </x:c>
      <x:c r="C246" s="141" t="n">
        <x:f>$B$6</x:f>
        <x:v>7000</x:v>
      </x:c>
      <x:c r="D246" s="180" t="n">
        <x:f>(1+$B$28)^INT((A246-1)/12)</x:f>
        <x:v>2.3965581930996915</x:v>
      </x:c>
      <x:c r="E246" s="141" t="n">
        <x:f>IF(A246&lt;=$B$27,$B$45*D246,0)</x:f>
        <x:v>3540.247937255544</x:v>
      </x:c>
      <x:c r="F246" s="141" t="n">
        <x:f>IF(A246=$B$29,$B$44,0)</x:f>
        <x:v>0</x:v>
      </x:c>
      <x:c r="G246" s="141" t="n">
        <x:f>E246+F246</x:f>
        <x:v>3540.247937255544</x:v>
      </x:c>
      <x:c r="H246" s="141" t="n">
        <x:f>IF(A246=$B$29,$B$42,0)</x:f>
        <x:v>0</x:v>
      </x:c>
      <x:c r="I246" s="141" t="n">
        <x:f>IF(A246=$B$29,$B$43,0)</x:f>
        <x:v>0</x:v>
      </x:c>
      <x:c r="J246" s="140" t="str">
        <x:f>IF(A246&lt;$B$29,"Aguardando",IF(A246=$B$29,"Contemplado","Pos-contemplacao"))</x:f>
        <x:v>Pos-contemplacao</x:v>
      </x:c>
      <x:c r="K246" s="141" t="n">
        <x:f>IF(A246&gt;=$B$27,0,(K247+E247)/(1+$B$9))</x:f>
        <x:v>156352.9477229313</x:v>
      </x:c>
      <x:c r="L246" s="141" t="n">
        <x:f>IF(A246&lt;$B$29,$B$43/(1+$B$9)^($B$29-A246),0)</x:f>
        <x:v>0</x:v>
      </x:c>
      <x:c r="M246" s="141" t="n">
        <x:f>L246-K246</x:f>
        <x:v>-156352.9477229313</x:v>
      </x:c>
    </x:row>
    <x:row r="247">
      <x:c r="A247" s="142" t="n">
        <x:v>193</x:v>
      </x:c>
      <x:c r="B247" s="179" t="n">
        <x:f>EDATE($B$5,A247-1)</x:f>
        <x:v>52383</x:v>
      </x:c>
      <x:c r="C247" s="141" t="n">
        <x:f>$B$6</x:f>
        <x:v>7000</x:v>
      </x:c>
      <x:c r="D247" s="180" t="n">
        <x:f>(1+$B$28)^INT((A247-1)/12)</x:f>
        <x:v>2.5403516846856733</x:v>
      </x:c>
      <x:c r="E247" s="141" t="n">
        <x:f>IF(A247&lt;=$B$27,$B$45*D247,0)</x:f>
        <x:v>3752.6628134908774</x:v>
      </x:c>
      <x:c r="F247" s="141" t="n">
        <x:f>IF(A247=$B$29,$B$44,0)</x:f>
        <x:v>0</x:v>
      </x:c>
      <x:c r="G247" s="141" t="n">
        <x:f>E247+F247</x:f>
        <x:v>3752.6628134908774</x:v>
      </x:c>
      <x:c r="H247" s="141" t="n">
        <x:f>IF(A247=$B$29,$B$42,0)</x:f>
        <x:v>0</x:v>
      </x:c>
      <x:c r="I247" s="141" t="n">
        <x:f>IF(A247=$B$29,$B$43,0)</x:f>
        <x:v>0</x:v>
      </x:c>
      <x:c r="J247" s="140" t="str">
        <x:f>IF(A247&lt;$B$29,"Aguardando",IF(A247=$B$29,"Contemplado","Pos-contemplacao"))</x:f>
        <x:v>Pos-contemplacao</x:v>
      </x:c>
      <x:c r="K247" s="141" t="n">
        <x:f>IF(A247&gt;=$B$27,0,(K248+E248)/(1+$B$9))</x:f>
        <x:v>154083.88565509501</x:v>
      </x:c>
      <x:c r="L247" s="141" t="n">
        <x:f>IF(A247&lt;$B$29,$B$43/(1+$B$9)^($B$29-A247),0)</x:f>
        <x:v>0</x:v>
      </x:c>
      <x:c r="M247" s="141" t="n">
        <x:f>L247-K247</x:f>
        <x:v>-154083.88565509501</x:v>
      </x:c>
    </x:row>
    <x:row r="248">
      <x:c r="A248" s="142" t="n">
        <x:v>194</x:v>
      </x:c>
      <x:c r="B248" s="179" t="n">
        <x:f>EDATE($B$5,A248-1)</x:f>
        <x:v>52413</x:v>
      </x:c>
      <x:c r="C248" s="141" t="n">
        <x:f>$B$6</x:f>
        <x:v>7000</x:v>
      </x:c>
      <x:c r="D248" s="180" t="n">
        <x:f>(1+$B$28)^INT((A248-1)/12)</x:f>
        <x:v>2.5403516846856733</x:v>
      </x:c>
      <x:c r="E248" s="141" t="n">
        <x:f>IF(A248&lt;=$B$27,$B$45*D248,0)</x:f>
        <x:v>3752.6628134908774</x:v>
      </x:c>
      <x:c r="F248" s="141" t="n">
        <x:f>IF(A248=$B$29,$B$44,0)</x:f>
        <x:v>0</x:v>
      </x:c>
      <x:c r="G248" s="141" t="n">
        <x:f>E248+F248</x:f>
        <x:v>3752.6628134908774</x:v>
      </x:c>
      <x:c r="H248" s="141" t="n">
        <x:f>IF(A248=$B$29,$B$42,0)</x:f>
        <x:v>0</x:v>
      </x:c>
      <x:c r="I248" s="141" t="n">
        <x:f>IF(A248=$B$29,$B$43,0)</x:f>
        <x:v>0</x:v>
      </x:c>
      <x:c r="J248" s="140" t="str">
        <x:f>IF(A248&lt;$B$29,"Aguardando",IF(A248=$B$29,"Contemplado","Pos-contemplacao"))</x:f>
        <x:v>Pos-contemplacao</x:v>
      </x:c>
      <x:c r="K248" s="141" t="n">
        <x:f>IF(A248&gt;=$B$27,0,(K249+E249)/(1+$B$9))</x:f>
        <x:v>151793.2929271413</x:v>
      </x:c>
      <x:c r="L248" s="141" t="n">
        <x:f>IF(A248&lt;$B$29,$B$43/(1+$B$9)^($B$29-A248),0)</x:f>
        <x:v>0</x:v>
      </x:c>
      <x:c r="M248" s="141" t="n">
        <x:f>L248-K248</x:f>
        <x:v>-151793.2929271413</x:v>
      </x:c>
    </x:row>
    <x:row r="249">
      <x:c r="A249" s="142" t="n">
        <x:v>195</x:v>
      </x:c>
      <x:c r="B249" s="179" t="n">
        <x:f>EDATE($B$5,A249-1)</x:f>
        <x:v>52444</x:v>
      </x:c>
      <x:c r="C249" s="141" t="n">
        <x:f>$B$6</x:f>
        <x:v>7000</x:v>
      </x:c>
      <x:c r="D249" s="180" t="n">
        <x:f>(1+$B$28)^INT((A249-1)/12)</x:f>
        <x:v>2.5403516846856733</x:v>
      </x:c>
      <x:c r="E249" s="141" t="n">
        <x:f>IF(A249&lt;=$B$27,$B$45*D249,0)</x:f>
        <x:v>3752.6628134908774</x:v>
      </x:c>
      <x:c r="F249" s="141" t="n">
        <x:f>IF(A249=$B$29,$B$44,0)</x:f>
        <x:v>0</x:v>
      </x:c>
      <x:c r="G249" s="141" t="n">
        <x:f>E249+F249</x:f>
        <x:v>3752.6628134908774</x:v>
      </x:c>
      <x:c r="H249" s="141" t="n">
        <x:f>IF(A249=$B$29,$B$42,0)</x:f>
        <x:v>0</x:v>
      </x:c>
      <x:c r="I249" s="141" t="n">
        <x:f>IF(A249=$B$29,$B$43,0)</x:f>
        <x:v>0</x:v>
      </x:c>
      <x:c r="J249" s="140" t="str">
        <x:f>IF(A249&lt;$B$29,"Aguardando",IF(A249=$B$29,"Contemplado","Pos-contemplacao"))</x:f>
        <x:v>Pos-contemplacao</x:v>
      </x:c>
      <x:c r="K249" s="141" t="n">
        <x:f>IF(A249&gt;=$B$27,0,(K250+E250)/(1+$B$9))</x:f>
        <x:v>149480.9652390946</x:v>
      </x:c>
      <x:c r="L249" s="141" t="n">
        <x:f>IF(A249&lt;$B$29,$B$43/(1+$B$9)^($B$29-A249),0)</x:f>
        <x:v>0</x:v>
      </x:c>
      <x:c r="M249" s="141" t="n">
        <x:f>L249-K249</x:f>
        <x:v>-149480.9652390946</x:v>
      </x:c>
    </x:row>
    <x:row r="250">
      <x:c r="A250" s="142" t="n">
        <x:v>196</x:v>
      </x:c>
      <x:c r="B250" s="179" t="n">
        <x:f>EDATE($B$5,A250-1)</x:f>
        <x:v>52475</x:v>
      </x:c>
      <x:c r="C250" s="141" t="n">
        <x:f>$B$6</x:f>
        <x:v>7000</x:v>
      </x:c>
      <x:c r="D250" s="180" t="n">
        <x:f>(1+$B$28)^INT((A250-1)/12)</x:f>
        <x:v>2.5403516846856733</x:v>
      </x:c>
      <x:c r="E250" s="141" t="n">
        <x:f>IF(A250&lt;=$B$27,$B$45*D250,0)</x:f>
        <x:v>3752.6628134908774</x:v>
      </x:c>
      <x:c r="F250" s="141" t="n">
        <x:f>IF(A250=$B$29,$B$44,0)</x:f>
        <x:v>0</x:v>
      </x:c>
      <x:c r="G250" s="141" t="n">
        <x:f>E250+F250</x:f>
        <x:v>3752.6628134908774</x:v>
      </x:c>
      <x:c r="H250" s="141" t="n">
        <x:f>IF(A250=$B$29,$B$42,0)</x:f>
        <x:v>0</x:v>
      </x:c>
      <x:c r="I250" s="141" t="n">
        <x:f>IF(A250=$B$29,$B$43,0)</x:f>
        <x:v>0</x:v>
      </x:c>
      <x:c r="J250" s="140" t="str">
        <x:f>IF(A250&lt;$B$29,"Aguardando",IF(A250=$B$29,"Contemplado","Pos-contemplacao"))</x:f>
        <x:v>Pos-contemplacao</x:v>
      </x:c>
      <x:c r="K250" s="141" t="n">
        <x:f>IF(A250&gt;=$B$27,0,(K251+E251)/(1+$B$9))</x:f>
        <x:v>147146.6963524191</x:v>
      </x:c>
      <x:c r="L250" s="141" t="n">
        <x:f>IF(A250&lt;$B$29,$B$43/(1+$B$9)^($B$29-A250),0)</x:f>
        <x:v>0</x:v>
      </x:c>
      <x:c r="M250" s="141" t="n">
        <x:f>L250-K250</x:f>
        <x:v>-147146.6963524191</x:v>
      </x:c>
    </x:row>
    <x:row r="251">
      <x:c r="A251" s="142" t="n">
        <x:v>197</x:v>
      </x:c>
      <x:c r="B251" s="179" t="n">
        <x:f>EDATE($B$5,A251-1)</x:f>
        <x:v>52505</x:v>
      </x:c>
      <x:c r="C251" s="141" t="n">
        <x:f>$B$6</x:f>
        <x:v>7000</x:v>
      </x:c>
      <x:c r="D251" s="180" t="n">
        <x:f>(1+$B$28)^INT((A251-1)/12)</x:f>
        <x:v>2.5403516846856733</x:v>
      </x:c>
      <x:c r="E251" s="141" t="n">
        <x:f>IF(A251&lt;=$B$27,$B$45*D251,0)</x:f>
        <x:v>3752.6628134908774</x:v>
      </x:c>
      <x:c r="F251" s="141" t="n">
        <x:f>IF(A251=$B$29,$B$44,0)</x:f>
        <x:v>0</x:v>
      </x:c>
      <x:c r="G251" s="141" t="n">
        <x:f>E251+F251</x:f>
        <x:v>3752.6628134908774</x:v>
      </x:c>
      <x:c r="H251" s="141" t="n">
        <x:f>IF(A251=$B$29,$B$42,0)</x:f>
        <x:v>0</x:v>
      </x:c>
      <x:c r="I251" s="141" t="n">
        <x:f>IF(A251=$B$29,$B$43,0)</x:f>
        <x:v>0</x:v>
      </x:c>
      <x:c r="J251" s="140" t="str">
        <x:f>IF(A251&lt;$B$29,"Aguardando",IF(A251=$B$29,"Contemplado","Pos-contemplacao"))</x:f>
        <x:v>Pos-contemplacao</x:v>
      </x:c>
      <x:c r="K251" s="141" t="n">
        <x:f>IF(A251&gt;=$B$27,0,(K252+E252)/(1+$B$9))</x:f>
        <x:v>144790.27807162429</x:v>
      </x:c>
      <x:c r="L251" s="141" t="n">
        <x:f>IF(A251&lt;$B$29,$B$43/(1+$B$9)^($B$29-A251),0)</x:f>
        <x:v>0</x:v>
      </x:c>
      <x:c r="M251" s="141" t="n">
        <x:f>L251-K251</x:f>
        <x:v>-144790.27807162429</x:v>
      </x:c>
    </x:row>
    <x:row r="252">
      <x:c r="A252" s="142" t="n">
        <x:v>198</x:v>
      </x:c>
      <x:c r="B252" s="179" t="n">
        <x:f>EDATE($B$5,A252-1)</x:f>
        <x:v>52536</x:v>
      </x:c>
      <x:c r="C252" s="141" t="n">
        <x:f>$B$6</x:f>
        <x:v>7000</x:v>
      </x:c>
      <x:c r="D252" s="180" t="n">
        <x:f>(1+$B$28)^INT((A252-1)/12)</x:f>
        <x:v>2.5403516846856733</x:v>
      </x:c>
      <x:c r="E252" s="141" t="n">
        <x:f>IF(A252&lt;=$B$27,$B$45*D252,0)</x:f>
        <x:v>3752.6628134908774</x:v>
      </x:c>
      <x:c r="F252" s="141" t="n">
        <x:f>IF(A252=$B$29,$B$44,0)</x:f>
        <x:v>0</x:v>
      </x:c>
      <x:c r="G252" s="141" t="n">
        <x:f>E252+F252</x:f>
        <x:v>3752.6628134908774</x:v>
      </x:c>
      <x:c r="H252" s="141" t="n">
        <x:f>IF(A252=$B$29,$B$42,0)</x:f>
        <x:v>0</x:v>
      </x:c>
      <x:c r="I252" s="141" t="n">
        <x:f>IF(A252=$B$29,$B$43,0)</x:f>
        <x:v>0</x:v>
      </x:c>
      <x:c r="J252" s="140" t="str">
        <x:f>IF(A252&lt;$B$29,"Aguardando",IF(A252=$B$29,"Contemplado","Pos-contemplacao"))</x:f>
        <x:v>Pos-contemplacao</x:v>
      </x:c>
      <x:c r="K252" s="141" t="n">
        <x:f>IF(A252&gt;=$B$27,0,(K253+E253)/(1+$B$9))</x:f>
        <x:v>142411.50022569575</x:v>
      </x:c>
      <x:c r="L252" s="141" t="n">
        <x:f>IF(A252&lt;$B$29,$B$43/(1+$B$9)^($B$29-A252),0)</x:f>
        <x:v>0</x:v>
      </x:c>
      <x:c r="M252" s="141" t="n">
        <x:f>L252-K252</x:f>
        <x:v>-142411.50022569575</x:v>
      </x:c>
    </x:row>
    <x:row r="253">
      <x:c r="A253" s="142" t="n">
        <x:v>199</x:v>
      </x:c>
      <x:c r="B253" s="179" t="n">
        <x:f>EDATE($B$5,A253-1)</x:f>
        <x:v>52566</x:v>
      </x:c>
      <x:c r="C253" s="141" t="n">
        <x:f>$B$6</x:f>
        <x:v>7000</x:v>
      </x:c>
      <x:c r="D253" s="180" t="n">
        <x:f>(1+$B$28)^INT((A253-1)/12)</x:f>
        <x:v>2.5403516846856733</x:v>
      </x:c>
      <x:c r="E253" s="141" t="n">
        <x:f>IF(A253&lt;=$B$27,$B$45*D253,0)</x:f>
        <x:v>3752.6628134908774</x:v>
      </x:c>
      <x:c r="F253" s="141" t="n">
        <x:f>IF(A253=$B$29,$B$44,0)</x:f>
        <x:v>0</x:v>
      </x:c>
      <x:c r="G253" s="141" t="n">
        <x:f>E253+F253</x:f>
        <x:v>3752.6628134908774</x:v>
      </x:c>
      <x:c r="H253" s="141" t="n">
        <x:f>IF(A253=$B$29,$B$42,0)</x:f>
        <x:v>0</x:v>
      </x:c>
      <x:c r="I253" s="141" t="n">
        <x:f>IF(A253=$B$29,$B$43,0)</x:f>
        <x:v>0</x:v>
      </x:c>
      <x:c r="J253" s="140" t="str">
        <x:f>IF(A253&lt;$B$29,"Aguardando",IF(A253=$B$29,"Contemplado","Pos-contemplacao"))</x:f>
        <x:v>Pos-contemplacao</x:v>
      </x:c>
      <x:c r="K253" s="141" t="n">
        <x:f>IF(A253&gt;=$B$27,0,(K254+E254)/(1+$B$9))</x:f>
        <x:v>140010.15064934985</x:v>
      </x:c>
      <x:c r="L253" s="141" t="n">
        <x:f>IF(A253&lt;$B$29,$B$43/(1+$B$9)^($B$29-A253),0)</x:f>
        <x:v>0</x:v>
      </x:c>
      <x:c r="M253" s="141" t="n">
        <x:f>L253-K253</x:f>
        <x:v>-140010.15064934985</x:v>
      </x:c>
    </x:row>
    <x:row r="254">
      <x:c r="A254" s="142" t="n">
        <x:v>200</x:v>
      </x:c>
      <x:c r="B254" s="179" t="n">
        <x:f>EDATE($B$5,A254-1)</x:f>
        <x:v>52597</x:v>
      </x:c>
      <x:c r="C254" s="141" t="n">
        <x:f>$B$6</x:f>
        <x:v>7000</x:v>
      </x:c>
      <x:c r="D254" s="180" t="n">
        <x:f>(1+$B$28)^INT((A254-1)/12)</x:f>
        <x:v>2.5403516846856733</x:v>
      </x:c>
      <x:c r="E254" s="141" t="n">
        <x:f>IF(A254&lt;=$B$27,$B$45*D254,0)</x:f>
        <x:v>3752.6628134908774</x:v>
      </x:c>
      <x:c r="F254" s="141" t="n">
        <x:f>IF(A254=$B$29,$B$44,0)</x:f>
        <x:v>0</x:v>
      </x:c>
      <x:c r="G254" s="141" t="n">
        <x:f>E254+F254</x:f>
        <x:v>3752.6628134908774</x:v>
      </x:c>
      <x:c r="H254" s="141" t="n">
        <x:f>IF(A254=$B$29,$B$42,0)</x:f>
        <x:v>0</x:v>
      </x:c>
      <x:c r="I254" s="141" t="n">
        <x:f>IF(A254=$B$29,$B$43,0)</x:f>
        <x:v>0</x:v>
      </x:c>
      <x:c r="J254" s="140" t="str">
        <x:f>IF(A254&lt;$B$29,"Aguardando",IF(A254=$B$29,"Contemplado","Pos-contemplacao"))</x:f>
        <x:v>Pos-contemplacao</x:v>
      </x:c>
      <x:c r="K254" s="141" t="n">
        <x:f>IF(A254&gt;=$B$27,0,(K255+E255)/(1+$B$9))</x:f>
        <x:v>137586.01516411043</x:v>
      </x:c>
      <x:c r="L254" s="141" t="n">
        <x:f>IF(A254&lt;$B$29,$B$43/(1+$B$9)^($B$29-A254),0)</x:f>
        <x:v>0</x:v>
      </x:c>
      <x:c r="M254" s="141" t="n">
        <x:f>L254-K254</x:f>
        <x:v>-137586.01516411043</x:v>
      </x:c>
    </x:row>
    <x:row r="255">
      <x:c r="A255" s="142" t="n">
        <x:v>201</x:v>
      </x:c>
      <x:c r="B255" s="179" t="n">
        <x:f>EDATE($B$5,A255-1)</x:f>
        <x:v>52628</x:v>
      </x:c>
      <x:c r="C255" s="141" t="n">
        <x:f>$B$6</x:f>
        <x:v>7000</x:v>
      </x:c>
      <x:c r="D255" s="180" t="n">
        <x:f>(1+$B$28)^INT((A255-1)/12)</x:f>
        <x:v>2.5403516846856733</x:v>
      </x:c>
      <x:c r="E255" s="141" t="n">
        <x:f>IF(A255&lt;=$B$27,$B$45*D255,0)</x:f>
        <x:v>3752.6628134908774</x:v>
      </x:c>
      <x:c r="F255" s="141" t="n">
        <x:f>IF(A255=$B$29,$B$44,0)</x:f>
        <x:v>0</x:v>
      </x:c>
      <x:c r="G255" s="141" t="n">
        <x:f>E255+F255</x:f>
        <x:v>3752.6628134908774</x:v>
      </x:c>
      <x:c r="H255" s="141" t="n">
        <x:f>IF(A255=$B$29,$B$42,0)</x:f>
        <x:v>0</x:v>
      </x:c>
      <x:c r="I255" s="141" t="n">
        <x:f>IF(A255=$B$29,$B$43,0)</x:f>
        <x:v>0</x:v>
      </x:c>
      <x:c r="J255" s="140" t="str">
        <x:f>IF(A255&lt;$B$29,"Aguardando",IF(A255=$B$29,"Contemplado","Pos-contemplacao"))</x:f>
        <x:v>Pos-contemplacao</x:v>
      </x:c>
      <x:c r="K255" s="141" t="n">
        <x:f>IF(A255&gt;=$B$27,0,(K256+E256)/(1+$B$9))</x:f>
        <x:v>135138.87755920622</x:v>
      </x:c>
      <x:c r="L255" s="141" t="n">
        <x:f>IF(A255&lt;$B$29,$B$43/(1+$B$9)^($B$29-A255),0)</x:f>
        <x:v>0</x:v>
      </x:c>
      <x:c r="M255" s="141" t="n">
        <x:f>L255-K255</x:f>
        <x:v>-135138.87755920622</x:v>
      </x:c>
    </x:row>
    <x:row r="256">
      <x:c r="A256" s="142" t="n">
        <x:v>202</x:v>
      </x:c>
      <x:c r="B256" s="179" t="n">
        <x:f>EDATE($B$5,A256-1)</x:f>
        <x:v>52657</x:v>
      </x:c>
      <x:c r="C256" s="141" t="n">
        <x:f>$B$6</x:f>
        <x:v>7000</x:v>
      </x:c>
      <x:c r="D256" s="180" t="n">
        <x:f>(1+$B$28)^INT((A256-1)/12)</x:f>
        <x:v>2.5403516846856733</x:v>
      </x:c>
      <x:c r="E256" s="141" t="n">
        <x:f>IF(A256&lt;=$B$27,$B$45*D256,0)</x:f>
        <x:v>3752.6628134908774</x:v>
      </x:c>
      <x:c r="F256" s="141" t="n">
        <x:f>IF(A256=$B$29,$B$44,0)</x:f>
        <x:v>0</x:v>
      </x:c>
      <x:c r="G256" s="141" t="n">
        <x:f>E256+F256</x:f>
        <x:v>3752.6628134908774</x:v>
      </x:c>
      <x:c r="H256" s="141" t="n">
        <x:f>IF(A256=$B$29,$B$42,0)</x:f>
        <x:v>0</x:v>
      </x:c>
      <x:c r="I256" s="141" t="n">
        <x:f>IF(A256=$B$29,$B$43,0)</x:f>
        <x:v>0</x:v>
      </x:c>
      <x:c r="J256" s="140" t="str">
        <x:f>IF(A256&lt;$B$29,"Aguardando",IF(A256=$B$29,"Contemplado","Pos-contemplacao"))</x:f>
        <x:v>Pos-contemplacao</x:v>
      </x:c>
      <x:c r="K256" s="141" t="n">
        <x:f>IF(A256&gt;=$B$27,0,(K257+E257)/(1+$B$9))</x:f>
        <x:v>132668.51957228663</x:v>
      </x:c>
      <x:c r="L256" s="141" t="n">
        <x:f>IF(A256&lt;$B$29,$B$43/(1+$B$9)^($B$29-A256),0)</x:f>
        <x:v>0</x:v>
      </x:c>
      <x:c r="M256" s="141" t="n">
        <x:f>L256-K256</x:f>
        <x:v>-132668.51957228663</x:v>
      </x:c>
    </x:row>
    <x:row r="257">
      <x:c r="A257" s="142" t="n">
        <x:v>203</x:v>
      </x:c>
      <x:c r="B257" s="179" t="n">
        <x:f>EDATE($B$5,A257-1)</x:f>
        <x:v>52688</x:v>
      </x:c>
      <x:c r="C257" s="141" t="n">
        <x:f>$B$6</x:f>
        <x:v>7000</x:v>
      </x:c>
      <x:c r="D257" s="180" t="n">
        <x:f>(1+$B$28)^INT((A257-1)/12)</x:f>
        <x:v>2.5403516846856733</x:v>
      </x:c>
      <x:c r="E257" s="141" t="n">
        <x:f>IF(A257&lt;=$B$27,$B$45*D257,0)</x:f>
        <x:v>3752.6628134908774</x:v>
      </x:c>
      <x:c r="F257" s="141" t="n">
        <x:f>IF(A257=$B$29,$B$44,0)</x:f>
        <x:v>0</x:v>
      </x:c>
      <x:c r="G257" s="141" t="n">
        <x:f>E257+F257</x:f>
        <x:v>3752.6628134908774</x:v>
      </x:c>
      <x:c r="H257" s="141" t="n">
        <x:f>IF(A257=$B$29,$B$42,0)</x:f>
        <x:v>0</x:v>
      </x:c>
      <x:c r="I257" s="141" t="n">
        <x:f>IF(A257=$B$29,$B$43,0)</x:f>
        <x:v>0</x:v>
      </x:c>
      <x:c r="J257" s="140" t="str">
        <x:f>IF(A257&lt;$B$29,"Aguardando",IF(A257=$B$29,"Contemplado","Pos-contemplacao"))</x:f>
        <x:v>Pos-contemplacao</x:v>
      </x:c>
      <x:c r="K257" s="141" t="n">
        <x:f>IF(A257&gt;=$B$27,0,(K258+E258)/(1+$B$9))</x:f>
        <x:v>130174.72086995488</x:v>
      </x:c>
      <x:c r="L257" s="141" t="n">
        <x:f>IF(A257&lt;$B$29,$B$43/(1+$B$9)^($B$29-A257),0)</x:f>
        <x:v>0</x:v>
      </x:c>
      <x:c r="M257" s="141" t="n">
        <x:f>L257-K257</x:f>
        <x:v>-130174.72086995488</x:v>
      </x:c>
    </x:row>
    <x:row r="258">
      <x:c r="A258" s="142" t="n">
        <x:v>204</x:v>
      </x:c>
      <x:c r="B258" s="179" t="n">
        <x:f>EDATE($B$5,A258-1)</x:f>
        <x:v>52718</x:v>
      </x:c>
      <x:c r="C258" s="141" t="n">
        <x:f>$B$6</x:f>
        <x:v>7000</x:v>
      </x:c>
      <x:c r="D258" s="180" t="n">
        <x:f>(1+$B$28)^INT((A258-1)/12)</x:f>
        <x:v>2.5403516846856733</x:v>
      </x:c>
      <x:c r="E258" s="141" t="n">
        <x:f>IF(A258&lt;=$B$27,$B$45*D258,0)</x:f>
        <x:v>3752.6628134908774</x:v>
      </x:c>
      <x:c r="F258" s="141" t="n">
        <x:f>IF(A258=$B$29,$B$44,0)</x:f>
        <x:v>0</x:v>
      </x:c>
      <x:c r="G258" s="141" t="n">
        <x:f>E258+F258</x:f>
        <x:v>3752.6628134908774</x:v>
      </x:c>
      <x:c r="H258" s="141" t="n">
        <x:f>IF(A258=$B$29,$B$42,0)</x:f>
        <x:v>0</x:v>
      </x:c>
      <x:c r="I258" s="141" t="n">
        <x:f>IF(A258=$B$29,$B$43,0)</x:f>
        <x:v>0</x:v>
      </x:c>
      <x:c r="J258" s="140" t="str">
        <x:f>IF(A258&lt;$B$29,"Aguardando",IF(A258=$B$29,"Contemplado","Pos-contemplacao"))</x:f>
        <x:v>Pos-contemplacao</x:v>
      </x:c>
      <x:c r="K258" s="141" t="n">
        <x:f>IF(A258&gt;=$B$27,0,(K259+E259)/(1+$B$9))</x:f>
        <x:v>127657.25902811615</x:v>
      </x:c>
      <x:c r="L258" s="141" t="n">
        <x:f>IF(A258&lt;$B$29,$B$43/(1+$B$9)^($B$29-A258),0)</x:f>
        <x:v>0</x:v>
      </x:c>
      <x:c r="M258" s="141" t="n">
        <x:f>L258-K258</x:f>
        <x:v>-127657.25902811615</x:v>
      </x:c>
    </x:row>
    <x:row r="259">
      <x:c r="A259" s="142" t="n">
        <x:v>205</x:v>
      </x:c>
      <x:c r="B259" s="179" t="n">
        <x:f>EDATE($B$5,A259-1)</x:f>
        <x:v>52749</x:v>
      </x:c>
      <x:c r="C259" s="141" t="n">
        <x:f>$B$6</x:f>
        <x:v>7000</x:v>
      </x:c>
      <x:c r="D259" s="180" t="n">
        <x:f>(1+$B$28)^INT((A259-1)/12)</x:f>
        <x:v>2.6927727857668136</x:v>
      </x:c>
      <x:c r="E259" s="141" t="n">
        <x:f>IF(A259&lt;=$B$27,$B$45*D259,0)</x:f>
        <x:v>3977.8225823003295</x:v>
      </x:c>
      <x:c r="F259" s="141" t="n">
        <x:f>IF(A259=$B$29,$B$44,0)</x:f>
        <x:v>0</x:v>
      </x:c>
      <x:c r="G259" s="141" t="n">
        <x:f>E259+F259</x:f>
        <x:v>3977.8225823003295</x:v>
      </x:c>
      <x:c r="H259" s="141" t="n">
        <x:f>IF(A259=$B$29,$B$42,0)</x:f>
        <x:v>0</x:v>
      </x:c>
      <x:c r="I259" s="141" t="n">
        <x:f>IF(A259=$B$29,$B$43,0)</x:f>
        <x:v>0</x:v>
      </x:c>
      <x:c r="J259" s="140" t="str">
        <x:f>IF(A259&lt;$B$29,"Aguardando",IF(A259=$B$29,"Contemplado","Pos-contemplacao"))</x:f>
        <x:v>Pos-contemplacao</x:v>
      </x:c>
      <x:c r="K259" s="141" t="n">
        <x:f>IF(A259&gt;=$B$27,0,(K260+E260)/(1+$B$9))</x:f>
        <x:v>124890.74974333005</x:v>
      </x:c>
      <x:c r="L259" s="141" t="n">
        <x:f>IF(A259&lt;$B$29,$B$43/(1+$B$9)^($B$29-A259),0)</x:f>
        <x:v>0</x:v>
      </x:c>
      <x:c r="M259" s="141" t="n">
        <x:f>L259-K259</x:f>
        <x:v>-124890.74974333005</x:v>
      </x:c>
    </x:row>
    <x:row r="260">
      <x:c r="A260" s="142" t="n">
        <x:v>206</x:v>
      </x:c>
      <x:c r="B260" s="179" t="n">
        <x:f>EDATE($B$5,A260-1)</x:f>
        <x:v>52779</x:v>
      </x:c>
      <x:c r="C260" s="141" t="n">
        <x:f>$B$6</x:f>
        <x:v>7000</x:v>
      </x:c>
      <x:c r="D260" s="180" t="n">
        <x:f>(1+$B$28)^INT((A260-1)/12)</x:f>
        <x:v>2.6927727857668136</x:v>
      </x:c>
      <x:c r="E260" s="141" t="n">
        <x:f>IF(A260&lt;=$B$27,$B$45*D260,0)</x:f>
        <x:v>3977.8225823003295</x:v>
      </x:c>
      <x:c r="F260" s="141" t="n">
        <x:f>IF(A260=$B$29,$B$44,0)</x:f>
        <x:v>0</x:v>
      </x:c>
      <x:c r="G260" s="141" t="n">
        <x:f>E260+F260</x:f>
        <x:v>3977.8225823003295</x:v>
      </x:c>
      <x:c r="H260" s="141" t="n">
        <x:f>IF(A260=$B$29,$B$42,0)</x:f>
        <x:v>0</x:v>
      </x:c>
      <x:c r="I260" s="141" t="n">
        <x:f>IF(A260=$B$29,$B$43,0)</x:f>
        <x:v>0</x:v>
      </x:c>
      <x:c r="J260" s="140" t="str">
        <x:f>IF(A260&lt;$B$29,"Aguardando",IF(A260=$B$29,"Contemplado","Pos-contemplacao"))</x:f>
        <x:v>Pos-contemplacao</x:v>
      </x:c>
      <x:c r="K260" s="141" t="n">
        <x:f>IF(A260&gt;=$B$27,0,(K261+E261)/(1+$B$9))</x:f>
        <x:v>122097.989624789</x:v>
      </x:c>
      <x:c r="L260" s="141" t="n">
        <x:f>IF(A260&lt;$B$29,$B$43/(1+$B$9)^($B$29-A260),0)</x:f>
        <x:v>0</x:v>
      </x:c>
      <x:c r="M260" s="141" t="n">
        <x:f>L260-K260</x:f>
        <x:v>-122097.989624789</x:v>
      </x:c>
    </x:row>
    <x:row r="261">
      <x:c r="A261" s="142" t="n">
        <x:v>207</x:v>
      </x:c>
      <x:c r="B261" s="179" t="n">
        <x:f>EDATE($B$5,A261-1)</x:f>
        <x:v>52810</x:v>
      </x:c>
      <x:c r="C261" s="141" t="n">
        <x:f>$B$6</x:f>
        <x:v>7000</x:v>
      </x:c>
      <x:c r="D261" s="180" t="n">
        <x:f>(1+$B$28)^INT((A261-1)/12)</x:f>
        <x:v>2.6927727857668136</x:v>
      </x:c>
      <x:c r="E261" s="141" t="n">
        <x:f>IF(A261&lt;=$B$27,$B$45*D261,0)</x:f>
        <x:v>3977.8225823003295</x:v>
      </x:c>
      <x:c r="F261" s="141" t="n">
        <x:f>IF(A261=$B$29,$B$44,0)</x:f>
        <x:v>0</x:v>
      </x:c>
      <x:c r="G261" s="141" t="n">
        <x:f>E261+F261</x:f>
        <x:v>3977.8225823003295</x:v>
      </x:c>
      <x:c r="H261" s="141" t="n">
        <x:f>IF(A261=$B$29,$B$42,0)</x:f>
        <x:v>0</x:v>
      </x:c>
      <x:c r="I261" s="141" t="n">
        <x:f>IF(A261=$B$29,$B$43,0)</x:f>
        <x:v>0</x:v>
      </x:c>
      <x:c r="J261" s="140" t="str">
        <x:f>IF(A261&lt;$B$29,"Aguardando",IF(A261=$B$29,"Contemplado","Pos-contemplacao"))</x:f>
        <x:v>Pos-contemplacao</x:v>
      </x:c>
      <x:c r="K261" s="141" t="n">
        <x:f>IF(A261&gt;=$B$27,0,(K262+E262)/(1+$B$9))</x:f>
        <x:v>119278.72958376716</x:v>
      </x:c>
      <x:c r="L261" s="141" t="n">
        <x:f>IF(A261&lt;$B$29,$B$43/(1+$B$9)^($B$29-A261),0)</x:f>
        <x:v>0</x:v>
      </x:c>
      <x:c r="M261" s="141" t="n">
        <x:f>L261-K261</x:f>
        <x:v>-119278.72958376716</x:v>
      </x:c>
    </x:row>
    <x:row r="262">
      <x:c r="A262" s="142" t="n">
        <x:v>208</x:v>
      </x:c>
      <x:c r="B262" s="179" t="n">
        <x:f>EDATE($B$5,A262-1)</x:f>
        <x:v>52841</x:v>
      </x:c>
      <x:c r="C262" s="141" t="n">
        <x:f>$B$6</x:f>
        <x:v>7000</x:v>
      </x:c>
      <x:c r="D262" s="180" t="n">
        <x:f>(1+$B$28)^INT((A262-1)/12)</x:f>
        <x:v>2.6927727857668136</x:v>
      </x:c>
      <x:c r="E262" s="141" t="n">
        <x:f>IF(A262&lt;=$B$27,$B$45*D262,0)</x:f>
        <x:v>3977.8225823003295</x:v>
      </x:c>
      <x:c r="F262" s="141" t="n">
        <x:f>IF(A262=$B$29,$B$44,0)</x:f>
        <x:v>0</x:v>
      </x:c>
      <x:c r="G262" s="141" t="n">
        <x:f>E262+F262</x:f>
        <x:v>3977.8225823003295</x:v>
      </x:c>
      <x:c r="H262" s="141" t="n">
        <x:f>IF(A262=$B$29,$B$42,0)</x:f>
        <x:v>0</x:v>
      </x:c>
      <x:c r="I262" s="141" t="n">
        <x:f>IF(A262=$B$29,$B$43,0)</x:f>
        <x:v>0</x:v>
      </x:c>
      <x:c r="J262" s="140" t="str">
        <x:f>IF(A262&lt;$B$29,"Aguardando",IF(A262=$B$29,"Contemplado","Pos-contemplacao"))</x:f>
        <x:v>Pos-contemplacao</x:v>
      </x:c>
      <x:c r="K262" s="141" t="n">
        <x:f>IF(A262&gt;=$B$27,0,(K263+E263)/(1+$B$9))</x:f>
        <x:v>116432.71816798732</x:v>
      </x:c>
      <x:c r="L262" s="141" t="n">
        <x:f>IF(A262&lt;$B$29,$B$43/(1+$B$9)^($B$29-A262),0)</x:f>
        <x:v>0</x:v>
      </x:c>
      <x:c r="M262" s="141" t="n">
        <x:f>L262-K262</x:f>
        <x:v>-116432.71816798732</x:v>
      </x:c>
    </x:row>
    <x:row r="263">
      <x:c r="A263" s="142" t="n">
        <x:v>209</x:v>
      </x:c>
      <x:c r="B263" s="179" t="n">
        <x:f>EDATE($B$5,A263-1)</x:f>
        <x:v>52871</x:v>
      </x:c>
      <x:c r="C263" s="141" t="n">
        <x:f>$B$6</x:f>
        <x:v>7000</x:v>
      </x:c>
      <x:c r="D263" s="180" t="n">
        <x:f>(1+$B$28)^INT((A263-1)/12)</x:f>
        <x:v>2.6927727857668136</x:v>
      </x:c>
      <x:c r="E263" s="141" t="n">
        <x:f>IF(A263&lt;=$B$27,$B$45*D263,0)</x:f>
        <x:v>3977.8225823003295</x:v>
      </x:c>
      <x:c r="F263" s="141" t="n">
        <x:f>IF(A263=$B$29,$B$44,0)</x:f>
        <x:v>0</x:v>
      </x:c>
      <x:c r="G263" s="141" t="n">
        <x:f>E263+F263</x:f>
        <x:v>3977.8225823003295</x:v>
      </x:c>
      <x:c r="H263" s="141" t="n">
        <x:f>IF(A263=$B$29,$B$42,0)</x:f>
        <x:v>0</x:v>
      </x:c>
      <x:c r="I263" s="141" t="n">
        <x:f>IF(A263=$B$29,$B$43,0)</x:f>
        <x:v>0</x:v>
      </x:c>
      <x:c r="J263" s="140" t="str">
        <x:f>IF(A263&lt;$B$29,"Aguardando",IF(A263=$B$29,"Contemplado","Pos-contemplacao"))</x:f>
        <x:v>Pos-contemplacao</x:v>
      </x:c>
      <x:c r="K263" s="141" t="n">
        <x:f>IF(A263&gt;=$B$27,0,(K264+E264)/(1+$B$9))</x:f>
        <x:v>113559.70153919369</x:v>
      </x:c>
      <x:c r="L263" s="141" t="n">
        <x:f>IF(A263&lt;$B$29,$B$43/(1+$B$9)^($B$29-A263),0)</x:f>
        <x:v>0</x:v>
      </x:c>
      <x:c r="M263" s="141" t="n">
        <x:f>L263-K263</x:f>
        <x:v>-113559.70153919369</x:v>
      </x:c>
    </x:row>
    <x:row r="264">
      <x:c r="A264" s="142" t="n">
        <x:v>210</x:v>
      </x:c>
      <x:c r="B264" s="179" t="n">
        <x:f>EDATE($B$5,A264-1)</x:f>
        <x:v>52902</x:v>
      </x:c>
      <x:c r="C264" s="141" t="n">
        <x:f>$B$6</x:f>
        <x:v>7000</x:v>
      </x:c>
      <x:c r="D264" s="180" t="n">
        <x:f>(1+$B$28)^INT((A264-1)/12)</x:f>
        <x:v>2.6927727857668136</x:v>
      </x:c>
      <x:c r="E264" s="141" t="n">
        <x:f>IF(A264&lt;=$B$27,$B$45*D264,0)</x:f>
        <x:v>3977.8225823003295</x:v>
      </x:c>
      <x:c r="F264" s="141" t="n">
        <x:f>IF(A264=$B$29,$B$44,0)</x:f>
        <x:v>0</x:v>
      </x:c>
      <x:c r="G264" s="141" t="n">
        <x:f>E264+F264</x:f>
        <x:v>3977.8225823003295</x:v>
      </x:c>
      <x:c r="H264" s="141" t="n">
        <x:f>IF(A264=$B$29,$B$42,0)</x:f>
        <x:v>0</x:v>
      </x:c>
      <x:c r="I264" s="141" t="n">
        <x:f>IF(A264=$B$29,$B$43,0)</x:f>
        <x:v>0</x:v>
      </x:c>
      <x:c r="J264" s="140" t="str">
        <x:f>IF(A264&lt;$B$29,"Aguardando",IF(A264=$B$29,"Contemplado","Pos-contemplacao"))</x:f>
        <x:v>Pos-contemplacao</x:v>
      </x:c>
      <x:c r="K264" s="141" t="n">
        <x:f>IF(A264&gt;=$B$27,0,(K265+E265)/(1+$B$9))</x:f>
        <x:v>110659.42345051182</x:v>
      </x:c>
      <x:c r="L264" s="141" t="n">
        <x:f>IF(A264&lt;$B$29,$B$43/(1+$B$9)^($B$29-A264),0)</x:f>
        <x:v>0</x:v>
      </x:c>
      <x:c r="M264" s="141" t="n">
        <x:f>L264-K264</x:f>
        <x:v>-110659.42345051182</x:v>
      </x:c>
    </x:row>
    <x:row r="265">
      <x:c r="A265" s="142" t="n">
        <x:v>211</x:v>
      </x:c>
      <x:c r="B265" s="179" t="n">
        <x:f>EDATE($B$5,A265-1)</x:f>
        <x:v>52932</x:v>
      </x:c>
      <x:c r="C265" s="141" t="n">
        <x:f>$B$6</x:f>
        <x:v>7000</x:v>
      </x:c>
      <x:c r="D265" s="180" t="n">
        <x:f>(1+$B$28)^INT((A265-1)/12)</x:f>
        <x:v>2.6927727857668136</x:v>
      </x:c>
      <x:c r="E265" s="141" t="n">
        <x:f>IF(A265&lt;=$B$27,$B$45*D265,0)</x:f>
        <x:v>3977.8225823003295</x:v>
      </x:c>
      <x:c r="F265" s="141" t="n">
        <x:f>IF(A265=$B$29,$B$44,0)</x:f>
        <x:v>0</x:v>
      </x:c>
      <x:c r="G265" s="141" t="n">
        <x:f>E265+F265</x:f>
        <x:v>3977.8225823003295</x:v>
      </x:c>
      <x:c r="H265" s="141" t="n">
        <x:f>IF(A265=$B$29,$B$42,0)</x:f>
        <x:v>0</x:v>
      </x:c>
      <x:c r="I265" s="141" t="n">
        <x:f>IF(A265=$B$29,$B$43,0)</x:f>
        <x:v>0</x:v>
      </x:c>
      <x:c r="J265" s="140" t="str">
        <x:f>IF(A265&lt;$B$29,"Aguardando",IF(A265=$B$29,"Contemplado","Pos-contemplacao"))</x:f>
        <x:v>Pos-contemplacao</x:v>
      </x:c>
      <x:c r="K265" s="141" t="n">
        <x:f>IF(A265&gt;=$B$27,0,(K266+E266)/(1+$B$9))</x:f>
        <x:v>107731.62522359374</x:v>
      </x:c>
      <x:c r="L265" s="141" t="n">
        <x:f>IF(A265&lt;$B$29,$B$43/(1+$B$9)^($B$29-A265),0)</x:f>
        <x:v>0</x:v>
      </x:c>
      <x:c r="M265" s="141" t="n">
        <x:f>L265-K265</x:f>
        <x:v>-107731.62522359374</x:v>
      </x:c>
    </x:row>
    <x:row r="266">
      <x:c r="A266" s="142" t="n">
        <x:v>212</x:v>
      </x:c>
      <x:c r="B266" s="179" t="n">
        <x:f>EDATE($B$5,A266-1)</x:f>
        <x:v>52963</x:v>
      </x:c>
      <x:c r="C266" s="141" t="n">
        <x:f>$B$6</x:f>
        <x:v>7000</x:v>
      </x:c>
      <x:c r="D266" s="180" t="n">
        <x:f>(1+$B$28)^INT((A266-1)/12)</x:f>
        <x:v>2.6927727857668136</x:v>
      </x:c>
      <x:c r="E266" s="141" t="n">
        <x:f>IF(A266&lt;=$B$27,$B$45*D266,0)</x:f>
        <x:v>3977.8225823003295</x:v>
      </x:c>
      <x:c r="F266" s="141" t="n">
        <x:f>IF(A266=$B$29,$B$44,0)</x:f>
        <x:v>0</x:v>
      </x:c>
      <x:c r="G266" s="141" t="n">
        <x:f>E266+F266</x:f>
        <x:v>3977.8225823003295</x:v>
      </x:c>
      <x:c r="H266" s="141" t="n">
        <x:f>IF(A266=$B$29,$B$42,0)</x:f>
        <x:v>0</x:v>
      </x:c>
      <x:c r="I266" s="141" t="n">
        <x:f>IF(A266=$B$29,$B$43,0)</x:f>
        <x:v>0</x:v>
      </x:c>
      <x:c r="J266" s="140" t="str">
        <x:f>IF(A266&lt;$B$29,"Aguardando",IF(A266=$B$29,"Contemplado","Pos-contemplacao"))</x:f>
        <x:v>Pos-contemplacao</x:v>
      </x:c>
      <x:c r="K266" s="141" t="n">
        <x:f>IF(A266&gt;=$B$27,0,(K267+E267)/(1+$B$9))</x:f>
        <x:v>104776.0457255462</x:v>
      </x:c>
      <x:c r="L266" s="141" t="n">
        <x:f>IF(A266&lt;$B$29,$B$43/(1+$B$9)^($B$29-A266),0)</x:f>
        <x:v>0</x:v>
      </x:c>
      <x:c r="M266" s="141" t="n">
        <x:f>L266-K266</x:f>
        <x:v>-104776.0457255462</x:v>
      </x:c>
    </x:row>
    <x:row r="267">
      <x:c r="A267" s="142" t="n">
        <x:v>213</x:v>
      </x:c>
      <x:c r="B267" s="179" t="n">
        <x:f>EDATE($B$5,A267-1)</x:f>
        <x:v>52994</x:v>
      </x:c>
      <x:c r="C267" s="141" t="n">
        <x:f>$B$6</x:f>
        <x:v>7000</x:v>
      </x:c>
      <x:c r="D267" s="180" t="n">
        <x:f>(1+$B$28)^INT((A267-1)/12)</x:f>
        <x:v>2.6927727857668136</x:v>
      </x:c>
      <x:c r="E267" s="141" t="n">
        <x:f>IF(A267&lt;=$B$27,$B$45*D267,0)</x:f>
        <x:v>3977.8225823003295</x:v>
      </x:c>
      <x:c r="F267" s="141" t="n">
        <x:f>IF(A267=$B$29,$B$44,0)</x:f>
        <x:v>0</x:v>
      </x:c>
      <x:c r="G267" s="141" t="n">
        <x:f>E267+F267</x:f>
        <x:v>3977.8225823003295</x:v>
      </x:c>
      <x:c r="H267" s="141" t="n">
        <x:f>IF(A267=$B$29,$B$42,0)</x:f>
        <x:v>0</x:v>
      </x:c>
      <x:c r="I267" s="141" t="n">
        <x:f>IF(A267=$B$29,$B$43,0)</x:f>
        <x:v>0</x:v>
      </x:c>
      <x:c r="J267" s="140" t="str">
        <x:f>IF(A267&lt;$B$29,"Aguardando",IF(A267=$B$29,"Contemplado","Pos-contemplacao"))</x:f>
        <x:v>Pos-contemplacao</x:v>
      </x:c>
      <x:c r="K267" s="141" t="n">
        <x:f>IF(A267&gt;=$B$27,0,(K268+E268)/(1+$B$9))</x:f>
        <x:v>101792.42134563997</x:v>
      </x:c>
      <x:c r="L267" s="141" t="n">
        <x:f>IF(A267&lt;$B$29,$B$43/(1+$B$9)^($B$29-A267),0)</x:f>
        <x:v>0</x:v>
      </x:c>
      <x:c r="M267" s="141" t="n">
        <x:f>L267-K267</x:f>
        <x:v>-101792.42134563997</x:v>
      </x:c>
    </x:row>
    <x:row r="268">
      <x:c r="A268" s="142" t="n">
        <x:v>214</x:v>
      </x:c>
      <x:c r="B268" s="179" t="n">
        <x:f>EDATE($B$5,A268-1)</x:f>
        <x:v>53022</x:v>
      </x:c>
      <x:c r="C268" s="141" t="n">
        <x:f>$B$6</x:f>
        <x:v>7000</x:v>
      </x:c>
      <x:c r="D268" s="180" t="n">
        <x:f>(1+$B$28)^INT((A268-1)/12)</x:f>
        <x:v>2.6927727857668136</x:v>
      </x:c>
      <x:c r="E268" s="141" t="n">
        <x:f>IF(A268&lt;=$B$27,$B$45*D268,0)</x:f>
        <x:v>3977.8225823003295</x:v>
      </x:c>
      <x:c r="F268" s="141" t="n">
        <x:f>IF(A268=$B$29,$B$44,0)</x:f>
        <x:v>0</x:v>
      </x:c>
      <x:c r="G268" s="141" t="n">
        <x:f>E268+F268</x:f>
        <x:v>3977.8225823003295</x:v>
      </x:c>
      <x:c r="H268" s="141" t="n">
        <x:f>IF(A268=$B$29,$B$42,0)</x:f>
        <x:v>0</x:v>
      </x:c>
      <x:c r="I268" s="141" t="n">
        <x:f>IF(A268=$B$29,$B$43,0)</x:f>
        <x:v>0</x:v>
      </x:c>
      <x:c r="J268" s="140" t="str">
        <x:f>IF(A268&lt;$B$29,"Aguardando",IF(A268=$B$29,"Contemplado","Pos-contemplacao"))</x:f>
        <x:v>Pos-contemplacao</x:v>
      </x:c>
      <x:c r="K268" s="141" t="n">
        <x:f>IF(A268&gt;=$B$27,0,(K269+E269)/(1+$B$9))</x:f>
        <x:v>98780.48597179825</x:v>
      </x:c>
      <x:c r="L268" s="141" t="n">
        <x:f>IF(A268&lt;$B$29,$B$43/(1+$B$9)^($B$29-A268),0)</x:f>
        <x:v>0</x:v>
      </x:c>
      <x:c r="M268" s="141" t="n">
        <x:f>L268-K268</x:f>
        <x:v>-98780.48597179825</x:v>
      </x:c>
    </x:row>
    <x:row r="269">
      <x:c r="A269" s="142" t="n">
        <x:v>215</x:v>
      </x:c>
      <x:c r="B269" s="179" t="n">
        <x:f>EDATE($B$5,A269-1)</x:f>
        <x:v>53053</x:v>
      </x:c>
      <x:c r="C269" s="141" t="n">
        <x:f>$B$6</x:f>
        <x:v>7000</x:v>
      </x:c>
      <x:c r="D269" s="180" t="n">
        <x:f>(1+$B$28)^INT((A269-1)/12)</x:f>
        <x:v>2.6927727857668136</x:v>
      </x:c>
      <x:c r="E269" s="141" t="n">
        <x:f>IF(A269&lt;=$B$27,$B$45*D269,0)</x:f>
        <x:v>3977.8225823003295</x:v>
      </x:c>
      <x:c r="F269" s="141" t="n">
        <x:f>IF(A269=$B$29,$B$44,0)</x:f>
        <x:v>0</x:v>
      </x:c>
      <x:c r="G269" s="141" t="n">
        <x:f>E269+F269</x:f>
        <x:v>3977.8225823003295</x:v>
      </x:c>
      <x:c r="H269" s="141" t="n">
        <x:f>IF(A269=$B$29,$B$42,0)</x:f>
        <x:v>0</x:v>
      </x:c>
      <x:c r="I269" s="141" t="n">
        <x:f>IF(A269=$B$29,$B$43,0)</x:f>
        <x:v>0</x:v>
      </x:c>
      <x:c r="J269" s="140" t="str">
        <x:f>IF(A269&lt;$B$29,"Aguardando",IF(A269=$B$29,"Contemplado","Pos-contemplacao"))</x:f>
        <x:v>Pos-contemplacao</x:v>
      </x:c>
      <x:c r="K269" s="141" t="n">
        <x:f>IF(A269&gt;=$B$27,0,(K270+E270)/(1+$B$9))</x:f>
        <x:v>95739.9709668618</x:v>
      </x:c>
      <x:c r="L269" s="141" t="n">
        <x:f>IF(A269&lt;$B$29,$B$43/(1+$B$9)^($B$29-A269),0)</x:f>
        <x:v>0</x:v>
      </x:c>
      <x:c r="M269" s="141" t="n">
        <x:f>L269-K269</x:f>
        <x:v>-95739.9709668618</x:v>
      </x:c>
    </x:row>
    <x:row r="270">
      <x:c r="A270" s="142" t="n">
        <x:v>216</x:v>
      </x:c>
      <x:c r="B270" s="179" t="n">
        <x:f>EDATE($B$5,A270-1)</x:f>
        <x:v>53083</x:v>
      </x:c>
      <x:c r="C270" s="141" t="n">
        <x:f>$B$6</x:f>
        <x:v>7000</x:v>
      </x:c>
      <x:c r="D270" s="180" t="n">
        <x:f>(1+$B$28)^INT((A270-1)/12)</x:f>
        <x:v>2.6927727857668136</x:v>
      </x:c>
      <x:c r="E270" s="141" t="n">
        <x:f>IF(A270&lt;=$B$27,$B$45*D270,0)</x:f>
        <x:v>3977.8225823003295</x:v>
      </x:c>
      <x:c r="F270" s="141" t="n">
        <x:f>IF(A270=$B$29,$B$44,0)</x:f>
        <x:v>0</x:v>
      </x:c>
      <x:c r="G270" s="141" t="n">
        <x:f>E270+F270</x:f>
        <x:v>3977.8225823003295</x:v>
      </x:c>
      <x:c r="H270" s="141" t="n">
        <x:f>IF(A270=$B$29,$B$42,0)</x:f>
        <x:v>0</x:v>
      </x:c>
      <x:c r="I270" s="141" t="n">
        <x:f>IF(A270=$B$29,$B$43,0)</x:f>
        <x:v>0</x:v>
      </x:c>
      <x:c r="J270" s="140" t="str">
        <x:f>IF(A270&lt;$B$29,"Aguardando",IF(A270=$B$29,"Contemplado","Pos-contemplacao"))</x:f>
        <x:v>Pos-contemplacao</x:v>
      </x:c>
      <x:c r="K270" s="141" t="n">
        <x:f>IF(A270&gt;=$B$27,0,(K271+E271)/(1+$B$9))</x:f>
        <x:v>92670.60514462902</x:v>
      </x:c>
      <x:c r="L270" s="141" t="n">
        <x:f>IF(A270&lt;$B$29,$B$43/(1+$B$9)^($B$29-A270),0)</x:f>
        <x:v>0</x:v>
      </x:c>
      <x:c r="M270" s="141" t="n">
        <x:f>L270-K270</x:f>
        <x:v>-92670.60514462902</x:v>
      </x:c>
    </x:row>
    <x:row r="271">
      <x:c r="A271" s="142" t="n">
        <x:v>217</x:v>
      </x:c>
      <x:c r="B271" s="179" t="n">
        <x:f>EDATE($B$5,A271-1)</x:f>
        <x:v>53114</x:v>
      </x:c>
      <x:c r="C271" s="141" t="n">
        <x:f>$B$6</x:f>
        <x:v>7000</x:v>
      </x:c>
      <x:c r="D271" s="180" t="n">
        <x:f>(1+$B$28)^INT((A271-1)/12)</x:f>
        <x:v>2.854339152912823</x:v>
      </x:c>
      <x:c r="E271" s="141" t="n">
        <x:f>IF(A271&lt;=$B$27,$B$45*D271,0)</x:f>
        <x:v>4216.49193723835</x:v>
      </x:c>
      <x:c r="F271" s="141" t="n">
        <x:f>IF(A271=$B$29,$B$44,0)</x:f>
        <x:v>0</x:v>
      </x:c>
      <x:c r="G271" s="141" t="n">
        <x:f>E271+F271</x:f>
        <x:v>4216.49193723835</x:v>
      </x:c>
      <x:c r="H271" s="141" t="n">
        <x:f>IF(A271=$B$29,$B$42,0)</x:f>
        <x:v>0</x:v>
      </x:c>
      <x:c r="I271" s="141" t="n">
        <x:f>IF(A271=$B$29,$B$43,0)</x:f>
        <x:v>0</x:v>
      </x:c>
      <x:c r="J271" s="140" t="str">
        <x:f>IF(A271&lt;$B$29,"Aguardando",IF(A271=$B$29,"Contemplado","Pos-contemplacao"))</x:f>
        <x:v>Pos-contemplacao</x:v>
      </x:c>
      <x:c r="K271" s="141" t="n">
        <x:f>IF(A271&gt;=$B$27,0,(K272+E272)/(1+$B$9))</x:f>
        <x:v>89333.44539073057</x:v>
      </x:c>
      <x:c r="L271" s="141" t="n">
        <x:f>IF(A271&lt;$B$29,$B$43/(1+$B$9)^($B$29-A271),0)</x:f>
        <x:v>0</x:v>
      </x:c>
      <x:c r="M271" s="141" t="n">
        <x:f>L271-K271</x:f>
        <x:v>-89333.44539073057</x:v>
      </x:c>
    </x:row>
    <x:row r="272">
      <x:c r="A272" s="142" t="n">
        <x:v>218</x:v>
      </x:c>
      <x:c r="B272" s="179" t="n">
        <x:f>EDATE($B$5,A272-1)</x:f>
        <x:v>53144</x:v>
      </x:c>
      <x:c r="C272" s="141" t="n">
        <x:f>$B$6</x:f>
        <x:v>7000</x:v>
      </x:c>
      <x:c r="D272" s="180" t="n">
        <x:f>(1+$B$28)^INT((A272-1)/12)</x:f>
        <x:v>2.854339152912823</x:v>
      </x:c>
      <x:c r="E272" s="141" t="n">
        <x:f>IF(A272&lt;=$B$27,$B$45*D272,0)</x:f>
        <x:v>4216.49193723835</x:v>
      </x:c>
      <x:c r="F272" s="141" t="n">
        <x:f>IF(A272=$B$29,$B$44,0)</x:f>
        <x:v>0</x:v>
      </x:c>
      <x:c r="G272" s="141" t="n">
        <x:f>E272+F272</x:f>
        <x:v>4216.49193723835</x:v>
      </x:c>
      <x:c r="H272" s="141" t="n">
        <x:f>IF(A272=$B$29,$B$42,0)</x:f>
        <x:v>0</x:v>
      </x:c>
      <x:c r="I272" s="141" t="n">
        <x:f>IF(A272=$B$29,$B$43,0)</x:f>
        <x:v>0</x:v>
      </x:c>
      <x:c r="J272" s="140" t="str">
        <x:f>IF(A272&lt;$B$29,"Aguardando",IF(A272=$B$29,"Contemplado","Pos-contemplacao"))</x:f>
        <x:v>Pos-contemplacao</x:v>
      </x:c>
      <x:c r="K272" s="141" t="n">
        <x:f>IF(A272&gt;=$B$27,0,(K273+E273)/(1+$B$9))</x:f>
        <x:v>85964.62001893776</x:v>
      </x:c>
      <x:c r="L272" s="141" t="n">
        <x:f>IF(A272&lt;$B$29,$B$43/(1+$B$9)^($B$29-A272),0)</x:f>
        <x:v>0</x:v>
      </x:c>
      <x:c r="M272" s="141" t="n">
        <x:f>L272-K272</x:f>
        <x:v>-85964.62001893776</x:v>
      </x:c>
    </x:row>
    <x:row r="273">
      <x:c r="A273" s="142" t="n">
        <x:v>219</x:v>
      </x:c>
      <x:c r="B273" s="179" t="n">
        <x:f>EDATE($B$5,A273-1)</x:f>
        <x:v>53175</x:v>
      </x:c>
      <x:c r="C273" s="141" t="n">
        <x:f>$B$6</x:f>
        <x:v>7000</x:v>
      </x:c>
      <x:c r="D273" s="180" t="n">
        <x:f>(1+$B$28)^INT((A273-1)/12)</x:f>
        <x:v>2.854339152912823</x:v>
      </x:c>
      <x:c r="E273" s="141" t="n">
        <x:f>IF(A273&lt;=$B$27,$B$45*D273,0)</x:f>
        <x:v>4216.49193723835</x:v>
      </x:c>
      <x:c r="F273" s="141" t="n">
        <x:f>IF(A273=$B$29,$B$44,0)</x:f>
        <x:v>0</x:v>
      </x:c>
      <x:c r="G273" s="141" t="n">
        <x:f>E273+F273</x:f>
        <x:v>4216.49193723835</x:v>
      </x:c>
      <x:c r="H273" s="141" t="n">
        <x:f>IF(A273=$B$29,$B$42,0)</x:f>
        <x:v>0</x:v>
      </x:c>
      <x:c r="I273" s="141" t="n">
        <x:f>IF(A273=$B$29,$B$43,0)</x:f>
        <x:v>0</x:v>
      </x:c>
      <x:c r="J273" s="140" t="str">
        <x:f>IF(A273&lt;$B$29,"Aguardando",IF(A273=$B$29,"Contemplado","Pos-contemplacao"))</x:f>
        <x:v>Pos-contemplacao</x:v>
      </x:c>
      <x:c r="K273" s="141" t="n">
        <x:f>IF(A273&gt;=$B$27,0,(K274+E274)/(1+$B$9))</x:f>
        <x:v>82563.82856075923</x:v>
      </x:c>
      <x:c r="L273" s="141" t="n">
        <x:f>IF(A273&lt;$B$29,$B$43/(1+$B$9)^($B$29-A273),0)</x:f>
        <x:v>0</x:v>
      </x:c>
      <x:c r="M273" s="141" t="n">
        <x:f>L273-K273</x:f>
        <x:v>-82563.82856075923</x:v>
      </x:c>
    </x:row>
    <x:row r="274">
      <x:c r="A274" s="142" t="n">
        <x:v>220</x:v>
      </x:c>
      <x:c r="B274" s="179" t="n">
        <x:f>EDATE($B$5,A274-1)</x:f>
        <x:v>53206</x:v>
      </x:c>
      <x:c r="C274" s="141" t="n">
        <x:f>$B$6</x:f>
        <x:v>7000</x:v>
      </x:c>
      <x:c r="D274" s="180" t="n">
        <x:f>(1+$B$28)^INT((A274-1)/12)</x:f>
        <x:v>2.854339152912823</x:v>
      </x:c>
      <x:c r="E274" s="141" t="n">
        <x:f>IF(A274&lt;=$B$27,$B$45*D274,0)</x:f>
        <x:v>4216.49193723835</x:v>
      </x:c>
      <x:c r="F274" s="141" t="n">
        <x:f>IF(A274=$B$29,$B$44,0)</x:f>
        <x:v>0</x:v>
      </x:c>
      <x:c r="G274" s="141" t="n">
        <x:f>E274+F274</x:f>
        <x:v>4216.49193723835</x:v>
      </x:c>
      <x:c r="H274" s="141" t="n">
        <x:f>IF(A274=$B$29,$B$42,0)</x:f>
        <x:v>0</x:v>
      </x:c>
      <x:c r="I274" s="141" t="n">
        <x:f>IF(A274=$B$29,$B$43,0)</x:f>
        <x:v>0</x:v>
      </x:c>
      <x:c r="J274" s="140" t="str">
        <x:f>IF(A274&lt;$B$29,"Aguardando",IF(A274=$B$29,"Contemplado","Pos-contemplacao"))</x:f>
        <x:v>Pos-contemplacao</x:v>
      </x:c>
      <x:c r="K274" s="141" t="n">
        <x:f>IF(A274&gt;=$B$27,0,(K275+E275)/(1+$B$9))</x:f>
        <x:v>79130.76769662034</x:v>
      </x:c>
      <x:c r="L274" s="141" t="n">
        <x:f>IF(A274&lt;$B$29,$B$43/(1+$B$9)^($B$29-A274),0)</x:f>
        <x:v>0</x:v>
      </x:c>
      <x:c r="M274" s="141" t="n">
        <x:f>L274-K274</x:f>
        <x:v>-79130.76769662034</x:v>
      </x:c>
    </x:row>
    <x:row r="275">
      <x:c r="A275" s="142" t="n">
        <x:v>221</x:v>
      </x:c>
      <x:c r="B275" s="179" t="n">
        <x:f>EDATE($B$5,A275-1)</x:f>
        <x:v>53236</x:v>
      </x:c>
      <x:c r="C275" s="141" t="n">
        <x:f>$B$6</x:f>
        <x:v>7000</x:v>
      </x:c>
      <x:c r="D275" s="180" t="n">
        <x:f>(1+$B$28)^INT((A275-1)/12)</x:f>
        <x:v>2.854339152912823</x:v>
      </x:c>
      <x:c r="E275" s="141" t="n">
        <x:f>IF(A275&lt;=$B$27,$B$45*D275,0)</x:f>
        <x:v>4216.49193723835</x:v>
      </x:c>
      <x:c r="F275" s="141" t="n">
        <x:f>IF(A275=$B$29,$B$44,0)</x:f>
        <x:v>0</x:v>
      </x:c>
      <x:c r="G275" s="141" t="n">
        <x:f>E275+F275</x:f>
        <x:v>4216.49193723835</x:v>
      </x:c>
      <x:c r="H275" s="141" t="n">
        <x:f>IF(A275=$B$29,$B$42,0)</x:f>
        <x:v>0</x:v>
      </x:c>
      <x:c r="I275" s="141" t="n">
        <x:f>IF(A275=$B$29,$B$43,0)</x:f>
        <x:v>0</x:v>
      </x:c>
      <x:c r="J275" s="140" t="str">
        <x:f>IF(A275&lt;$B$29,"Aguardando",IF(A275=$B$29,"Contemplado","Pos-contemplacao"))</x:f>
        <x:v>Pos-contemplacao</x:v>
      </x:c>
      <x:c r="K275" s="141" t="n">
        <x:f>IF(A275&gt;=$B$27,0,(K276+E276)/(1+$B$9))</x:f>
        <x:v>75665.13122880983</x:v>
      </x:c>
      <x:c r="L275" s="141" t="n">
        <x:f>IF(A275&lt;$B$29,$B$43/(1+$B$9)^($B$29-A275),0)</x:f>
        <x:v>0</x:v>
      </x:c>
      <x:c r="M275" s="141" t="n">
        <x:f>L275-K275</x:f>
        <x:v>-75665.13122880983</x:v>
      </x:c>
    </x:row>
    <x:row r="276">
      <x:c r="A276" s="142" t="n">
        <x:v>222</x:v>
      </x:c>
      <x:c r="B276" s="179" t="n">
        <x:f>EDATE($B$5,A276-1)</x:f>
        <x:v>53267</x:v>
      </x:c>
      <x:c r="C276" s="141" t="n">
        <x:f>$B$6</x:f>
        <x:v>7000</x:v>
      </x:c>
      <x:c r="D276" s="180" t="n">
        <x:f>(1+$B$28)^INT((A276-1)/12)</x:f>
        <x:v>2.854339152912823</x:v>
      </x:c>
      <x:c r="E276" s="141" t="n">
        <x:f>IF(A276&lt;=$B$27,$B$45*D276,0)</x:f>
        <x:v>4216.49193723835</x:v>
      </x:c>
      <x:c r="F276" s="141" t="n">
        <x:f>IF(A276=$B$29,$B$44,0)</x:f>
        <x:v>0</x:v>
      </x:c>
      <x:c r="G276" s="141" t="n">
        <x:f>E276+F276</x:f>
        <x:v>4216.49193723835</x:v>
      </x:c>
      <x:c r="H276" s="141" t="n">
        <x:f>IF(A276=$B$29,$B$42,0)</x:f>
        <x:v>0</x:v>
      </x:c>
      <x:c r="I276" s="141" t="n">
        <x:f>IF(A276=$B$29,$B$43,0)</x:f>
        <x:v>0</x:v>
      </x:c>
      <x:c r="J276" s="140" t="str">
        <x:f>IF(A276&lt;$B$29,"Aguardando",IF(A276=$B$29,"Contemplado","Pos-contemplacao"))</x:f>
        <x:v>Pos-contemplacao</x:v>
      </x:c>
      <x:c r="K276" s="141" t="n">
        <x:f>IF(A276&gt;=$B$27,0,(K277+E277)/(1+$B$9))</x:f>
        <x:v>72166.61005416971</x:v>
      </x:c>
      <x:c r="L276" s="141" t="n">
        <x:f>IF(A276&lt;$B$29,$B$43/(1+$B$9)^($B$29-A276),0)</x:f>
        <x:v>0</x:v>
      </x:c>
      <x:c r="M276" s="141" t="n">
        <x:f>L276-K276</x:f>
        <x:v>-72166.61005416971</x:v>
      </x:c>
    </x:row>
    <x:row r="277">
      <x:c r="A277" s="142" t="n">
        <x:v>223</x:v>
      </x:c>
      <x:c r="B277" s="179" t="n">
        <x:f>EDATE($B$5,A277-1)</x:f>
        <x:v>53297</x:v>
      </x:c>
      <x:c r="C277" s="141" t="n">
        <x:f>$B$6</x:f>
        <x:v>7000</x:v>
      </x:c>
      <x:c r="D277" s="180" t="n">
        <x:f>(1+$B$28)^INT((A277-1)/12)</x:f>
        <x:v>2.854339152912823</x:v>
      </x:c>
      <x:c r="E277" s="141" t="n">
        <x:f>IF(A277&lt;=$B$27,$B$45*D277,0)</x:f>
        <x:v>4216.49193723835</x:v>
      </x:c>
      <x:c r="F277" s="141" t="n">
        <x:f>IF(A277=$B$29,$B$44,0)</x:f>
        <x:v>0</x:v>
      </x:c>
      <x:c r="G277" s="141" t="n">
        <x:f>E277+F277</x:f>
        <x:v>4216.49193723835</x:v>
      </x:c>
      <x:c r="H277" s="141" t="n">
        <x:f>IF(A277=$B$29,$B$42,0)</x:f>
        <x:v>0</x:v>
      </x:c>
      <x:c r="I277" s="141" t="n">
        <x:f>IF(A277=$B$29,$B$43,0)</x:f>
        <x:v>0</x:v>
      </x:c>
      <x:c r="J277" s="140" t="str">
        <x:f>IF(A277&lt;$B$29,"Aguardando",IF(A277=$B$29,"Contemplado","Pos-contemplacao"))</x:f>
        <x:v>Pos-contemplacao</x:v>
      </x:c>
      <x:c r="K277" s="141" t="n">
        <x:f>IF(A277&gt;=$B$27,0,(K278+E278)/(1+$B$9))</x:f>
        <x:v>68634.89213652618</x:v>
      </x:c>
      <x:c r="L277" s="141" t="n">
        <x:f>IF(A277&lt;$B$29,$B$43/(1+$B$9)^($B$29-A277),0)</x:f>
        <x:v>0</x:v>
      </x:c>
      <x:c r="M277" s="141" t="n">
        <x:f>L277-K277</x:f>
        <x:v>-68634.89213652618</x:v>
      </x:c>
    </x:row>
    <x:row r="278">
      <x:c r="A278" s="142" t="n">
        <x:v>224</x:v>
      </x:c>
      <x:c r="B278" s="179" t="n">
        <x:f>EDATE($B$5,A278-1)</x:f>
        <x:v>53328</x:v>
      </x:c>
      <x:c r="C278" s="141" t="n">
        <x:f>$B$6</x:f>
        <x:v>7000</x:v>
      </x:c>
      <x:c r="D278" s="180" t="n">
        <x:f>(1+$B$28)^INT((A278-1)/12)</x:f>
        <x:v>2.854339152912823</x:v>
      </x:c>
      <x:c r="E278" s="141" t="n">
        <x:f>IF(A278&lt;=$B$27,$B$45*D278,0)</x:f>
        <x:v>4216.49193723835</x:v>
      </x:c>
      <x:c r="F278" s="141" t="n">
        <x:f>IF(A278=$B$29,$B$44,0)</x:f>
        <x:v>0</x:v>
      </x:c>
      <x:c r="G278" s="141" t="n">
        <x:f>E278+F278</x:f>
        <x:v>4216.49193723835</x:v>
      </x:c>
      <x:c r="H278" s="141" t="n">
        <x:f>IF(A278=$B$29,$B$42,0)</x:f>
        <x:v>0</x:v>
      </x:c>
      <x:c r="I278" s="141" t="n">
        <x:f>IF(A278=$B$29,$B$43,0)</x:f>
        <x:v>0</x:v>
      </x:c>
      <x:c r="J278" s="140" t="str">
        <x:f>IF(A278&lt;$B$29,"Aguardando",IF(A278=$B$29,"Contemplado","Pos-contemplacao"))</x:f>
        <x:v>Pos-contemplacao</x:v>
      </x:c>
      <x:c r="K278" s="141" t="n">
        <x:f>IF(A278&gt;=$B$27,0,(K279+E279)/(1+$B$9))</x:f>
        <x:v>65069.66247885876</x:v>
      </x:c>
      <x:c r="L278" s="141" t="n">
        <x:f>IF(A278&lt;$B$29,$B$43/(1+$B$9)^($B$29-A278),0)</x:f>
        <x:v>0</x:v>
      </x:c>
      <x:c r="M278" s="141" t="n">
        <x:f>L278-K278</x:f>
        <x:v>-65069.66247885876</x:v>
      </x:c>
    </x:row>
    <x:row r="279">
      <x:c r="A279" s="142" t="n">
        <x:v>225</x:v>
      </x:c>
      <x:c r="B279" s="179" t="n">
        <x:f>EDATE($B$5,A279-1)</x:f>
        <x:v>53359</x:v>
      </x:c>
      <x:c r="C279" s="141" t="n">
        <x:f>$B$6</x:f>
        <x:v>7000</x:v>
      </x:c>
      <x:c r="D279" s="180" t="n">
        <x:f>(1+$B$28)^INT((A279-1)/12)</x:f>
        <x:v>2.854339152912823</x:v>
      </x:c>
      <x:c r="E279" s="141" t="n">
        <x:f>IF(A279&lt;=$B$27,$B$45*D279,0)</x:f>
        <x:v>4216.49193723835</x:v>
      </x:c>
      <x:c r="F279" s="141" t="n">
        <x:f>IF(A279=$B$29,$B$44,0)</x:f>
        <x:v>0</x:v>
      </x:c>
      <x:c r="G279" s="141" t="n">
        <x:f>E279+F279</x:f>
        <x:v>4216.49193723835</x:v>
      </x:c>
      <x:c r="H279" s="141" t="n">
        <x:f>IF(A279=$B$29,$B$42,0)</x:f>
        <x:v>0</x:v>
      </x:c>
      <x:c r="I279" s="141" t="n">
        <x:f>IF(A279=$B$29,$B$43,0)</x:f>
        <x:v>0</x:v>
      </x:c>
      <x:c r="J279" s="140" t="str">
        <x:f>IF(A279&lt;$B$29,"Aguardando",IF(A279=$B$29,"Contemplado","Pos-contemplacao"))</x:f>
        <x:v>Pos-contemplacao</x:v>
      </x:c>
      <x:c r="K279" s="141" t="n">
        <x:f>IF(A279&gt;=$B$27,0,(K280+E280)/(1+$B$9))</x:f>
        <x:v>61470.603095205515</x:v>
      </x:c>
      <x:c r="L279" s="141" t="n">
        <x:f>IF(A279&lt;$B$29,$B$43/(1+$B$9)^($B$29-A279),0)</x:f>
        <x:v>0</x:v>
      </x:c>
      <x:c r="M279" s="141" t="n">
        <x:f>L279-K279</x:f>
        <x:v>-61470.603095205515</x:v>
      </x:c>
    </x:row>
    <x:row r="280">
      <x:c r="A280" s="142" t="n">
        <x:v>226</x:v>
      </x:c>
      <x:c r="B280" s="179" t="n">
        <x:f>EDATE($B$5,A280-1)</x:f>
        <x:v>53387</x:v>
      </x:c>
      <x:c r="C280" s="141" t="n">
        <x:f>$B$6</x:f>
        <x:v>7000</x:v>
      </x:c>
      <x:c r="D280" s="180" t="n">
        <x:f>(1+$B$28)^INT((A280-1)/12)</x:f>
        <x:v>2.854339152912823</x:v>
      </x:c>
      <x:c r="E280" s="141" t="n">
        <x:f>IF(A280&lt;=$B$27,$B$45*D280,0)</x:f>
        <x:v>4216.49193723835</x:v>
      </x:c>
      <x:c r="F280" s="141" t="n">
        <x:f>IF(A280=$B$29,$B$44,0)</x:f>
        <x:v>0</x:v>
      </x:c>
      <x:c r="G280" s="141" t="n">
        <x:f>E280+F280</x:f>
        <x:v>4216.49193723835</x:v>
      </x:c>
      <x:c r="H280" s="141" t="n">
        <x:f>IF(A280=$B$29,$B$42,0)</x:f>
        <x:v>0</x:v>
      </x:c>
      <x:c r="I280" s="141" t="n">
        <x:f>IF(A280=$B$29,$B$43,0)</x:f>
        <x:v>0</x:v>
      </x:c>
      <x:c r="J280" s="140" t="str">
        <x:f>IF(A280&lt;$B$29,"Aguardando",IF(A280=$B$29,"Contemplado","Pos-contemplacao"))</x:f>
        <x:v>Pos-contemplacao</x:v>
      </x:c>
      <x:c r="K280" s="141" t="n">
        <x:f>IF(A280&gt;=$B$27,0,(K281+E281)/(1+$B$9))</x:f>
        <x:v>57837.392982301506</x:v>
      </x:c>
      <x:c r="L280" s="141" t="n">
        <x:f>IF(A280&lt;$B$29,$B$43/(1+$B$9)^($B$29-A280),0)</x:f>
        <x:v>0</x:v>
      </x:c>
      <x:c r="M280" s="141" t="n">
        <x:f>L280-K280</x:f>
        <x:v>-57837.392982301506</x:v>
      </x:c>
    </x:row>
    <x:row r="281">
      <x:c r="A281" s="142" t="n">
        <x:v>227</x:v>
      </x:c>
      <x:c r="B281" s="179" t="n">
        <x:f>EDATE($B$5,A281-1)</x:f>
        <x:v>53418</x:v>
      </x:c>
      <x:c r="C281" s="141" t="n">
        <x:f>$B$6</x:f>
        <x:v>7000</x:v>
      </x:c>
      <x:c r="D281" s="180" t="n">
        <x:f>(1+$B$28)^INT((A281-1)/12)</x:f>
        <x:v>2.854339152912823</x:v>
      </x:c>
      <x:c r="E281" s="141" t="n">
        <x:f>IF(A281&lt;=$B$27,$B$45*D281,0)</x:f>
        <x:v>4216.49193723835</x:v>
      </x:c>
      <x:c r="F281" s="141" t="n">
        <x:f>IF(A281=$B$29,$B$44,0)</x:f>
        <x:v>0</x:v>
      </x:c>
      <x:c r="G281" s="141" t="n">
        <x:f>E281+F281</x:f>
        <x:v>4216.49193723835</x:v>
      </x:c>
      <x:c r="H281" s="141" t="n">
        <x:f>IF(A281=$B$29,$B$42,0)</x:f>
        <x:v>0</x:v>
      </x:c>
      <x:c r="I281" s="141" t="n">
        <x:f>IF(A281=$B$29,$B$43,0)</x:f>
        <x:v>0</x:v>
      </x:c>
      <x:c r="J281" s="140" t="str">
        <x:f>IF(A281&lt;$B$29,"Aguardando",IF(A281=$B$29,"Contemplado","Pos-contemplacao"))</x:f>
        <x:v>Pos-contemplacao</x:v>
      </x:c>
      <x:c r="K281" s="141" t="n">
        <x:f>IF(A281&gt;=$B$27,0,(K282+E282)/(1+$B$9))</x:f>
        <x:v>54169.70809094832</x:v>
      </x:c>
      <x:c r="L281" s="141" t="n">
        <x:f>IF(A281&lt;$B$29,$B$43/(1+$B$9)^($B$29-A281),0)</x:f>
        <x:v>0</x:v>
      </x:c>
      <x:c r="M281" s="141" t="n">
        <x:f>L281-K281</x:f>
        <x:v>-54169.70809094832</x:v>
      </x:c>
    </x:row>
    <x:row r="282">
      <x:c r="A282" s="142" t="n">
        <x:v>228</x:v>
      </x:c>
      <x:c r="B282" s="179" t="n">
        <x:f>EDATE($B$5,A282-1)</x:f>
        <x:v>53448</x:v>
      </x:c>
      <x:c r="C282" s="141" t="n">
        <x:f>$B$6</x:f>
        <x:v>7000</x:v>
      </x:c>
      <x:c r="D282" s="180" t="n">
        <x:f>(1+$B$28)^INT((A282-1)/12)</x:f>
        <x:v>2.854339152912823</x:v>
      </x:c>
      <x:c r="E282" s="141" t="n">
        <x:f>IF(A282&lt;=$B$27,$B$45*D282,0)</x:f>
        <x:v>4216.49193723835</x:v>
      </x:c>
      <x:c r="F282" s="141" t="n">
        <x:f>IF(A282=$B$29,$B$44,0)</x:f>
        <x:v>0</x:v>
      </x:c>
      <x:c r="G282" s="141" t="n">
        <x:f>E282+F282</x:f>
        <x:v>4216.49193723835</x:v>
      </x:c>
      <x:c r="H282" s="141" t="n">
        <x:f>IF(A282=$B$29,$B$42,0)</x:f>
        <x:v>0</x:v>
      </x:c>
      <x:c r="I282" s="141" t="n">
        <x:f>IF(A282=$B$29,$B$43,0)</x:f>
        <x:v>0</x:v>
      </x:c>
      <x:c r="J282" s="140" t="str">
        <x:f>IF(A282&lt;$B$29,"Aguardando",IF(A282=$B$29,"Contemplado","Pos-contemplacao"))</x:f>
        <x:v>Pos-contemplacao</x:v>
      </x:c>
      <x:c r="K282" s="141" t="n">
        <x:f>IF(A282&gt;=$B$27,0,(K283+E283)/(1+$B$9))</x:f>
        <x:v>50467.221297111784</x:v>
      </x:c>
      <x:c r="L282" s="141" t="n">
        <x:f>IF(A282&lt;$B$29,$B$43/(1+$B$9)^($B$29-A282),0)</x:f>
        <x:v>0</x:v>
      </x:c>
      <x:c r="M282" s="141" t="n">
        <x:f>L282-K282</x:f>
        <x:v>-50467.221297111784</x:v>
      </x:c>
    </x:row>
    <x:row r="283">
      <x:c r="A283" s="142" t="n">
        <x:v>229</x:v>
      </x:c>
      <x:c r="B283" s="179" t="n">
        <x:f>EDATE($B$5,A283-1)</x:f>
        <x:v>53479</x:v>
      </x:c>
      <x:c r="C283" s="141" t="n">
        <x:f>$B$6</x:f>
        <x:v>7000</x:v>
      </x:c>
      <x:c r="D283" s="180" t="n">
        <x:f>(1+$B$28)^INT((A283-1)/12)</x:f>
        <x:v>3.025599502087592</x:v>
      </x:c>
      <x:c r="E283" s="141" t="n">
        <x:f>IF(A283&lt;=$B$27,$B$45*D283,0)</x:f>
        <x:v>4469.481453472651</x:v>
      </x:c>
      <x:c r="F283" s="141" t="n">
        <x:f>IF(A283=$B$29,$B$44,0)</x:f>
        <x:v>0</x:v>
      </x:c>
      <x:c r="G283" s="141" t="n">
        <x:f>E283+F283</x:f>
        <x:v>4469.481453472651</x:v>
      </x:c>
      <x:c r="H283" s="141" t="n">
        <x:f>IF(A283=$B$29,$B$42,0)</x:f>
        <x:v>0</x:v>
      </x:c>
      <x:c r="I283" s="141" t="n">
        <x:f>IF(A283=$B$29,$B$43,0)</x:f>
        <x:v>0</x:v>
      </x:c>
      <x:c r="J283" s="140" t="str">
        <x:f>IF(A283&lt;$B$29,"Aguardando",IF(A283=$B$29,"Contemplado","Pos-contemplacao"))</x:f>
        <x:v>Pos-contemplacao</x:v>
      </x:c>
      <x:c r="K283" s="141" t="n">
        <x:f>IF(A283&gt;=$B$27,0,(K284+E284)/(1+$B$9))</x:f>
        <x:v>46476.6128565112</x:v>
      </x:c>
      <x:c r="L283" s="141" t="n">
        <x:f>IF(A283&lt;$B$29,$B$43/(1+$B$9)^($B$29-A283),0)</x:f>
        <x:v>0</x:v>
      </x:c>
      <x:c r="M283" s="141" t="n">
        <x:f>L283-K283</x:f>
        <x:v>-46476.6128565112</x:v>
      </x:c>
    </x:row>
    <x:row r="284">
      <x:c r="A284" s="142" t="n">
        <x:v>230</x:v>
      </x:c>
      <x:c r="B284" s="179" t="n">
        <x:f>EDATE($B$5,A284-1)</x:f>
        <x:v>53509</x:v>
      </x:c>
      <x:c r="C284" s="141" t="n">
        <x:f>$B$6</x:f>
        <x:v>7000</x:v>
      </x:c>
      <x:c r="D284" s="180" t="n">
        <x:f>(1+$B$28)^INT((A284-1)/12)</x:f>
        <x:v>3.025599502087592</x:v>
      </x:c>
      <x:c r="E284" s="141" t="n">
        <x:f>IF(A284&lt;=$B$27,$B$45*D284,0)</x:f>
        <x:v>4469.481453472651</x:v>
      </x:c>
      <x:c r="F284" s="141" t="n">
        <x:f>IF(A284=$B$29,$B$44,0)</x:f>
        <x:v>0</x:v>
      </x:c>
      <x:c r="G284" s="141" t="n">
        <x:f>E284+F284</x:f>
        <x:v>4469.481453472651</x:v>
      </x:c>
      <x:c r="H284" s="141" t="n">
        <x:f>IF(A284=$B$29,$B$42,0)</x:f>
        <x:v>0</x:v>
      </x:c>
      <x:c r="I284" s="141" t="n">
        <x:f>IF(A284=$B$29,$B$43,0)</x:f>
        <x:v>0</x:v>
      </x:c>
      <x:c r="J284" s="140" t="str">
        <x:f>IF(A284&lt;$B$29,"Aguardando",IF(A284=$B$29,"Contemplado","Pos-contemplacao"))</x:f>
        <x:v>Pos-contemplacao</x:v>
      </x:c>
      <x:c r="K284" s="141" t="n">
        <x:f>IF(A284&gt;=$B$27,0,(K285+E285)/(1+$B$9))</x:f>
        <x:v>42448.13835873476</x:v>
      </x:c>
      <x:c r="L284" s="141" t="n">
        <x:f>IF(A284&lt;$B$29,$B$43/(1+$B$9)^($B$29-A284),0)</x:f>
        <x:v>0</x:v>
      </x:c>
      <x:c r="M284" s="141" t="n">
        <x:f>L284-K284</x:f>
        <x:v>-42448.13835873476</x:v>
      </x:c>
    </x:row>
    <x:row r="285">
      <x:c r="A285" s="142" t="n">
        <x:v>231</x:v>
      </x:c>
      <x:c r="B285" s="179" t="n">
        <x:f>EDATE($B$5,A285-1)</x:f>
        <x:v>53540</x:v>
      </x:c>
      <x:c r="C285" s="141" t="n">
        <x:f>$B$6</x:f>
        <x:v>7000</x:v>
      </x:c>
      <x:c r="D285" s="180" t="n">
        <x:f>(1+$B$28)^INT((A285-1)/12)</x:f>
        <x:v>3.025599502087592</x:v>
      </x:c>
      <x:c r="E285" s="141" t="n">
        <x:f>IF(A285&lt;=$B$27,$B$45*D285,0)</x:f>
        <x:v>4469.481453472651</x:v>
      </x:c>
      <x:c r="F285" s="141" t="n">
        <x:f>IF(A285=$B$29,$B$44,0)</x:f>
        <x:v>0</x:v>
      </x:c>
      <x:c r="G285" s="141" t="n">
        <x:f>E285+F285</x:f>
        <x:v>4469.481453472651</x:v>
      </x:c>
      <x:c r="H285" s="141" t="n">
        <x:f>IF(A285=$B$29,$B$42,0)</x:f>
        <x:v>0</x:v>
      </x:c>
      <x:c r="I285" s="141" t="n">
        <x:f>IF(A285=$B$29,$B$43,0)</x:f>
        <x:v>0</x:v>
      </x:c>
      <x:c r="J285" s="140" t="str">
        <x:f>IF(A285&lt;$B$29,"Aguardando",IF(A285=$B$29,"Contemplado","Pos-contemplacao"))</x:f>
        <x:v>Pos-contemplacao</x:v>
      </x:c>
      <x:c r="K285" s="141" t="n">
        <x:f>IF(A285&gt;=$B$27,0,(K286+E286)/(1+$B$9))</x:f>
        <x:v>38381.43850060667</x:v>
      </x:c>
      <x:c r="L285" s="141" t="n">
        <x:f>IF(A285&lt;$B$29,$B$43/(1+$B$9)^($B$29-A285),0)</x:f>
        <x:v>0</x:v>
      </x:c>
      <x:c r="M285" s="141" t="n">
        <x:f>L285-K285</x:f>
        <x:v>-38381.43850060667</x:v>
      </x:c>
    </x:row>
    <x:row r="286">
      <x:c r="A286" s="142" t="n">
        <x:v>232</x:v>
      </x:c>
      <x:c r="B286" s="179" t="n">
        <x:f>EDATE($B$5,A286-1)</x:f>
        <x:v>53571</x:v>
      </x:c>
      <x:c r="C286" s="141" t="n">
        <x:f>$B$6</x:f>
        <x:v>7000</x:v>
      </x:c>
      <x:c r="D286" s="180" t="n">
        <x:f>(1+$B$28)^INT((A286-1)/12)</x:f>
        <x:v>3.025599502087592</x:v>
      </x:c>
      <x:c r="E286" s="141" t="n">
        <x:f>IF(A286&lt;=$B$27,$B$45*D286,0)</x:f>
        <x:v>4469.481453472651</x:v>
      </x:c>
      <x:c r="F286" s="141" t="n">
        <x:f>IF(A286=$B$29,$B$44,0)</x:f>
        <x:v>0</x:v>
      </x:c>
      <x:c r="G286" s="141" t="n">
        <x:f>E286+F286</x:f>
        <x:v>4469.481453472651</x:v>
      </x:c>
      <x:c r="H286" s="141" t="n">
        <x:f>IF(A286=$B$29,$B$42,0)</x:f>
        <x:v>0</x:v>
      </x:c>
      <x:c r="I286" s="141" t="n">
        <x:f>IF(A286=$B$29,$B$43,0)</x:f>
        <x:v>0</x:v>
      </x:c>
      <x:c r="J286" s="140" t="str">
        <x:f>IF(A286&lt;$B$29,"Aguardando",IF(A286=$B$29,"Contemplado","Pos-contemplacao"))</x:f>
        <x:v>Pos-contemplacao</x:v>
      </x:c>
      <x:c r="K286" s="141" t="n">
        <x:f>IF(A286&gt;=$B$27,0,(K287+E287)/(1+$B$9))</x:f>
        <x:v>34276.15056959771</x:v>
      </x:c>
      <x:c r="L286" s="141" t="n">
        <x:f>IF(A286&lt;$B$29,$B$43/(1+$B$9)^($B$29-A286),0)</x:f>
        <x:v>0</x:v>
      </x:c>
      <x:c r="M286" s="141" t="n">
        <x:f>L286-K286</x:f>
        <x:v>-34276.15056959771</x:v>
      </x:c>
    </x:row>
    <x:row r="287">
      <x:c r="A287" s="142" t="n">
        <x:v>233</x:v>
      </x:c>
      <x:c r="B287" s="179" t="n">
        <x:f>EDATE($B$5,A287-1)</x:f>
        <x:v>53601</x:v>
      </x:c>
      <x:c r="C287" s="141" t="n">
        <x:f>$B$6</x:f>
        <x:v>7000</x:v>
      </x:c>
      <x:c r="D287" s="180" t="n">
        <x:f>(1+$B$28)^INT((A287-1)/12)</x:f>
        <x:v>3.025599502087592</x:v>
      </x:c>
      <x:c r="E287" s="141" t="n">
        <x:f>IF(A287&lt;=$B$27,$B$45*D287,0)</x:f>
        <x:v>4469.481453472651</x:v>
      </x:c>
      <x:c r="F287" s="141" t="n">
        <x:f>IF(A287=$B$29,$B$44,0)</x:f>
        <x:v>0</x:v>
      </x:c>
      <x:c r="G287" s="141" t="n">
        <x:f>E287+F287</x:f>
        <x:v>4469.481453472651</x:v>
      </x:c>
      <x:c r="H287" s="141" t="n">
        <x:f>IF(A287=$B$29,$B$42,0)</x:f>
        <x:v>0</x:v>
      </x:c>
      <x:c r="I287" s="141" t="n">
        <x:f>IF(A287=$B$29,$B$43,0)</x:f>
        <x:v>0</x:v>
      </x:c>
      <x:c r="J287" s="140" t="str">
        <x:f>IF(A287&lt;$B$29,"Aguardando",IF(A287=$B$29,"Contemplado","Pos-contemplacao"))</x:f>
        <x:v>Pos-contemplacao</x:v>
      </x:c>
      <x:c r="K287" s="141" t="n">
        <x:f>IF(A287&gt;=$B$27,0,(K288+E288)/(1+$B$9))</x:f>
        <x:v>30131.908411474556</x:v>
      </x:c>
      <x:c r="L287" s="141" t="n">
        <x:f>IF(A287&lt;$B$29,$B$43/(1+$B$9)^($B$29-A287),0)</x:f>
        <x:v>0</x:v>
      </x:c>
      <x:c r="M287" s="141" t="n">
        <x:f>L287-K287</x:f>
        <x:v>-30131.908411474556</x:v>
      </x:c>
    </x:row>
    <x:row r="288">
      <x:c r="A288" s="142" t="n">
        <x:v>234</x:v>
      </x:c>
      <x:c r="B288" s="179" t="n">
        <x:f>EDATE($B$5,A288-1)</x:f>
        <x:v>53632</x:v>
      </x:c>
      <x:c r="C288" s="141" t="n">
        <x:f>$B$6</x:f>
        <x:v>7000</x:v>
      </x:c>
      <x:c r="D288" s="180" t="n">
        <x:f>(1+$B$28)^INT((A288-1)/12)</x:f>
        <x:v>3.025599502087592</x:v>
      </x:c>
      <x:c r="E288" s="141" t="n">
        <x:f>IF(A288&lt;=$B$27,$B$45*D288,0)</x:f>
        <x:v>4469.481453472651</x:v>
      </x:c>
      <x:c r="F288" s="141" t="n">
        <x:f>IF(A288=$B$29,$B$44,0)</x:f>
        <x:v>0</x:v>
      </x:c>
      <x:c r="G288" s="141" t="n">
        <x:f>E288+F288</x:f>
        <x:v>4469.481453472651</x:v>
      </x:c>
      <x:c r="H288" s="141" t="n">
        <x:f>IF(A288=$B$29,$B$42,0)</x:f>
        <x:v>0</x:v>
      </x:c>
      <x:c r="I288" s="141" t="n">
        <x:f>IF(A288=$B$29,$B$43,0)</x:f>
        <x:v>0</x:v>
      </x:c>
      <x:c r="J288" s="140" t="str">
        <x:f>IF(A288&lt;$B$29,"Aguardando",IF(A288=$B$29,"Contemplado","Pos-contemplacao"))</x:f>
        <x:v>Pos-contemplacao</x:v>
      </x:c>
      <x:c r="K288" s="141" t="n">
        <x:f>IF(A288&gt;=$B$27,0,(K289+E289)/(1+$B$9))</x:f>
        <x:v>25948.34239764221</x:v>
      </x:c>
      <x:c r="L288" s="141" t="n">
        <x:f>IF(A288&lt;$B$29,$B$43/(1+$B$9)^($B$29-A288),0)</x:f>
        <x:v>0</x:v>
      </x:c>
      <x:c r="M288" s="141" t="n">
        <x:f>L288-K288</x:f>
        <x:v>-25948.34239764221</x:v>
      </x:c>
    </x:row>
    <x:row r="289">
      <x:c r="A289" s="142" t="n">
        <x:v>235</x:v>
      </x:c>
      <x:c r="B289" s="179" t="n">
        <x:f>EDATE($B$5,A289-1)</x:f>
        <x:v>53662</x:v>
      </x:c>
      <x:c r="C289" s="141" t="n">
        <x:f>$B$6</x:f>
        <x:v>7000</x:v>
      </x:c>
      <x:c r="D289" s="180" t="n">
        <x:f>(1+$B$28)^INT((A289-1)/12)</x:f>
        <x:v>3.025599502087592</x:v>
      </x:c>
      <x:c r="E289" s="141" t="n">
        <x:f>IF(A289&lt;=$B$27,$B$45*D289,0)</x:f>
        <x:v>4469.481453472651</x:v>
      </x:c>
      <x:c r="F289" s="141" t="n">
        <x:f>IF(A289=$B$29,$B$44,0)</x:f>
        <x:v>0</x:v>
      </x:c>
      <x:c r="G289" s="141" t="n">
        <x:f>E289+F289</x:f>
        <x:v>4469.481453472651</x:v>
      </x:c>
      <x:c r="H289" s="141" t="n">
        <x:f>IF(A289=$B$29,$B$42,0)</x:f>
        <x:v>0</x:v>
      </x:c>
      <x:c r="I289" s="141" t="n">
        <x:f>IF(A289=$B$29,$B$43,0)</x:f>
        <x:v>0</x:v>
      </x:c>
      <x:c r="J289" s="140" t="str">
        <x:f>IF(A289&lt;$B$29,"Aguardando",IF(A289=$B$29,"Contemplado","Pos-contemplacao"))</x:f>
        <x:v>Pos-contemplacao</x:v>
      </x:c>
      <x:c r="K289" s="141" t="n">
        <x:f>IF(A289&gt;=$B$27,0,(K290+E290)/(1+$B$9))</x:f>
        <x:v>21725.07939217645</x:v>
      </x:c>
      <x:c r="L289" s="141" t="n">
        <x:f>IF(A289&lt;$B$29,$B$43/(1+$B$9)^($B$29-A289),0)</x:f>
        <x:v>0</x:v>
      </x:c>
      <x:c r="M289" s="141" t="n">
        <x:f>L289-K289</x:f>
        <x:v>-21725.07939217645</x:v>
      </x:c>
    </x:row>
    <x:row r="290">
      <x:c r="A290" s="142" t="n">
        <x:v>236</x:v>
      </x:c>
      <x:c r="B290" s="179" t="n">
        <x:f>EDATE($B$5,A290-1)</x:f>
        <x:v>53693</x:v>
      </x:c>
      <x:c r="C290" s="141" t="n">
        <x:f>$B$6</x:f>
        <x:v>7000</x:v>
      </x:c>
      <x:c r="D290" s="180" t="n">
        <x:f>(1+$B$28)^INT((A290-1)/12)</x:f>
        <x:v>3.025599502087592</x:v>
      </x:c>
      <x:c r="E290" s="141" t="n">
        <x:f>IF(A290&lt;=$B$27,$B$45*D290,0)</x:f>
        <x:v>4469.481453472651</x:v>
      </x:c>
      <x:c r="F290" s="141" t="n">
        <x:f>IF(A290=$B$29,$B$44,0)</x:f>
        <x:v>0</x:v>
      </x:c>
      <x:c r="G290" s="141" t="n">
        <x:f>E290+F290</x:f>
        <x:v>4469.481453472651</x:v>
      </x:c>
      <x:c r="H290" s="141" t="n">
        <x:f>IF(A290=$B$29,$B$42,0)</x:f>
        <x:v>0</x:v>
      </x:c>
      <x:c r="I290" s="141" t="n">
        <x:f>IF(A290=$B$29,$B$43,0)</x:f>
        <x:v>0</x:v>
      </x:c>
      <x:c r="J290" s="140" t="str">
        <x:f>IF(A290&lt;$B$29,"Aguardando",IF(A290=$B$29,"Contemplado","Pos-contemplacao"))</x:f>
        <x:v>Pos-contemplacao</x:v>
      </x:c>
      <x:c r="K290" s="141" t="n">
        <x:f>IF(A290&gt;=$B$27,0,(K291+E291)/(1+$B$9))</x:f>
        <x:v>17461.742718543537</x:v>
      </x:c>
      <x:c r="L290" s="141" t="n">
        <x:f>IF(A290&lt;$B$29,$B$43/(1+$B$9)^($B$29-A290),0)</x:f>
        <x:v>0</x:v>
      </x:c>
      <x:c r="M290" s="141" t="n">
        <x:f>L290-K290</x:f>
        <x:v>-17461.742718543537</x:v>
      </x:c>
    </x:row>
    <x:row r="291">
      <x:c r="A291" s="142" t="n">
        <x:v>237</x:v>
      </x:c>
      <x:c r="B291" s="179" t="n">
        <x:f>EDATE($B$5,A291-1)</x:f>
        <x:v>53724</x:v>
      </x:c>
      <x:c r="C291" s="141" t="n">
        <x:f>$B$6</x:f>
        <x:v>7000</x:v>
      </x:c>
      <x:c r="D291" s="180" t="n">
        <x:f>(1+$B$28)^INT((A291-1)/12)</x:f>
        <x:v>3.025599502087592</x:v>
      </x:c>
      <x:c r="E291" s="141" t="n">
        <x:f>IF(A291&lt;=$B$27,$B$45*D291,0)</x:f>
        <x:v>4469.481453472651</x:v>
      </x:c>
      <x:c r="F291" s="141" t="n">
        <x:f>IF(A291=$B$29,$B$44,0)</x:f>
        <x:v>0</x:v>
      </x:c>
      <x:c r="G291" s="141" t="n">
        <x:f>E291+F291</x:f>
        <x:v>4469.481453472651</x:v>
      </x:c>
      <x:c r="H291" s="141" t="n">
        <x:f>IF(A291=$B$29,$B$42,0)</x:f>
        <x:v>0</x:v>
      </x:c>
      <x:c r="I291" s="141" t="n">
        <x:f>IF(A291=$B$29,$B$43,0)</x:f>
        <x:v>0</x:v>
      </x:c>
      <x:c r="J291" s="140" t="str">
        <x:f>IF(A291&lt;$B$29,"Aguardando",IF(A291=$B$29,"Contemplado","Pos-contemplacao"))</x:f>
        <x:v>Pos-contemplacao</x:v>
      </x:c>
      <x:c r="K291" s="141" t="n">
        <x:f>IF(A291&gt;=$B$27,0,(K292+E292)/(1+$B$9))</x:f>
        <x:v>13157.952126004111</x:v>
      </x:c>
      <x:c r="L291" s="141" t="n">
        <x:f>IF(A291&lt;$B$29,$B$43/(1+$B$9)^($B$29-A291),0)</x:f>
        <x:v>0</x:v>
      </x:c>
      <x:c r="M291" s="141" t="n">
        <x:f>L291-K291</x:f>
        <x:v>-13157.952126004111</x:v>
      </x:c>
    </x:row>
    <x:row r="292">
      <x:c r="A292" s="142" t="n">
        <x:v>238</x:v>
      </x:c>
      <x:c r="B292" s="179" t="n">
        <x:f>EDATE($B$5,A292-1)</x:f>
        <x:v>53752</x:v>
      </x:c>
      <x:c r="C292" s="141" t="n">
        <x:f>$B$6</x:f>
        <x:v>7000</x:v>
      </x:c>
      <x:c r="D292" s="180" t="n">
        <x:f>(1+$B$28)^INT((A292-1)/12)</x:f>
        <x:v>3.025599502087592</x:v>
      </x:c>
      <x:c r="E292" s="141" t="n">
        <x:f>IF(A292&lt;=$B$27,$B$45*D292,0)</x:f>
        <x:v>4469.481453472651</x:v>
      </x:c>
      <x:c r="F292" s="141" t="n">
        <x:f>IF(A292=$B$29,$B$44,0)</x:f>
        <x:v>0</x:v>
      </x:c>
      <x:c r="G292" s="141" t="n">
        <x:f>E292+F292</x:f>
        <x:v>4469.481453472651</x:v>
      </x:c>
      <x:c r="H292" s="141" t="n">
        <x:f>IF(A292=$B$29,$B$42,0)</x:f>
        <x:v>0</x:v>
      </x:c>
      <x:c r="I292" s="141" t="n">
        <x:f>IF(A292=$B$29,$B$43,0)</x:f>
        <x:v>0</x:v>
      </x:c>
      <x:c r="J292" s="140" t="str">
        <x:f>IF(A292&lt;$B$29,"Aguardando",IF(A292=$B$29,"Contemplado","Pos-contemplacao"))</x:f>
        <x:v>Pos-contemplacao</x:v>
      </x:c>
      <x:c r="K292" s="141" t="n">
        <x:f>IF(A292&gt;=$B$27,0,(K293+E293)/(1+$B$9))</x:f>
        <x:v>8813.32375569827</x:v>
      </x:c>
      <x:c r="L292" s="141" t="n">
        <x:f>IF(A292&lt;$B$29,$B$43/(1+$B$9)^($B$29-A292),0)</x:f>
        <x:v>0</x:v>
      </x:c>
      <x:c r="M292" s="141" t="n">
        <x:f>L292-K292</x:f>
        <x:v>-8813.32375569827</x:v>
      </x:c>
    </x:row>
    <x:row r="293">
      <x:c r="A293" s="142" t="n">
        <x:v>239</x:v>
      </x:c>
      <x:c r="B293" s="179" t="n">
        <x:f>EDATE($B$5,A293-1)</x:f>
        <x:v>53783</x:v>
      </x:c>
      <x:c r="C293" s="141" t="n">
        <x:f>$B$6</x:f>
        <x:v>7000</x:v>
      </x:c>
      <x:c r="D293" s="180" t="n">
        <x:f>(1+$B$28)^INT((A293-1)/12)</x:f>
        <x:v>3.025599502087592</x:v>
      </x:c>
      <x:c r="E293" s="141" t="n">
        <x:f>IF(A293&lt;=$B$27,$B$45*D293,0)</x:f>
        <x:v>4469.481453472651</x:v>
      </x:c>
      <x:c r="F293" s="141" t="n">
        <x:f>IF(A293=$B$29,$B$44,0)</x:f>
        <x:v>0</x:v>
      </x:c>
      <x:c r="G293" s="141" t="n">
        <x:f>E293+F293</x:f>
        <x:v>4469.481453472651</x:v>
      </x:c>
      <x:c r="H293" s="141" t="n">
        <x:f>IF(A293=$B$29,$B$42,0)</x:f>
        <x:v>0</x:v>
      </x:c>
      <x:c r="I293" s="141" t="n">
        <x:f>IF(A293=$B$29,$B$43,0)</x:f>
        <x:v>0</x:v>
      </x:c>
      <x:c r="J293" s="140" t="str">
        <x:f>IF(A293&lt;$B$29,"Aguardando",IF(A293=$B$29,"Contemplado","Pos-contemplacao"))</x:f>
        <x:v>Pos-contemplacao</x:v>
      </x:c>
      <x:c r="K293" s="141" t="n">
        <x:f>IF(A293&gt;=$B$27,0,(K294+E294)/(1+$B$9))</x:f>
        <x:v>4427.470106408881</x:v>
      </x:c>
      <x:c r="L293" s="141" t="n">
        <x:f>IF(A293&lt;$B$29,$B$43/(1+$B$9)^($B$29-A293),0)</x:f>
        <x:v>0</x:v>
      </x:c>
      <x:c r="M293" s="141" t="n">
        <x:f>L293-K293</x:f>
        <x:v>-4427.470106408881</x:v>
      </x:c>
    </x:row>
    <x:row r="294">
      <x:c r="A294" s="142" t="n">
        <x:v>240</x:v>
      </x:c>
      <x:c r="B294" s="179" t="n">
        <x:f>EDATE($B$5,A294-1)</x:f>
        <x:v>53813</x:v>
      </x:c>
      <x:c r="C294" s="141" t="n">
        <x:f>$B$6</x:f>
        <x:v>7000</x:v>
      </x:c>
      <x:c r="D294" s="180" t="n">
        <x:f>(1+$B$28)^INT((A294-1)/12)</x:f>
        <x:v>3.025599502087592</x:v>
      </x:c>
      <x:c r="E294" s="141" t="n">
        <x:f>IF(A294&lt;=$B$27,$B$45*D294,0)</x:f>
        <x:v>4469.481453472651</x:v>
      </x:c>
      <x:c r="F294" s="141" t="n">
        <x:f>IF(A294=$B$29,$B$44,0)</x:f>
        <x:v>0</x:v>
      </x:c>
      <x:c r="G294" s="141" t="n">
        <x:f>E294+F294</x:f>
        <x:v>4469.481453472651</x:v>
      </x:c>
      <x:c r="H294" s="141" t="n">
        <x:f>IF(A294=$B$29,$B$42,0)</x:f>
        <x:v>0</x:v>
      </x:c>
      <x:c r="I294" s="141" t="n">
        <x:f>IF(A294=$B$29,$B$43,0)</x:f>
        <x:v>0</x:v>
      </x:c>
      <x:c r="J294" s="140" t="str">
        <x:f>IF(A294&lt;$B$29,"Aguardando",IF(A294=$B$29,"Contemplado","Pos-contemplacao"))</x:f>
        <x:v>Pos-contemplacao</x:v>
      </x:c>
      <x:c r="K294" s="141" t="n">
        <x:f>IF(A294&gt;=$B$27,0,(K295+E295)/(1+$B$9))</x:f>
        <x:v>0</x:v>
      </x:c>
      <x:c r="L294" s="141" t="n">
        <x:f>IF(A294&lt;$B$29,$B$43/(1+$B$9)^($B$29-A294),0)</x:f>
        <x:v>0</x:v>
      </x:c>
      <x:c r="M294" s="141" t="n">
        <x:f>L294-K294</x:f>
        <x:v>0</x:v>
      </x:c>
    </x:row>
    <x:row r="295">
      <x:c r="A295" s="142" t="n">
        <x:v>241</x:v>
      </x:c>
      <x:c r="B295" s="179" t="n">
        <x:f>EDATE($B$5,A295-1)</x:f>
        <x:v>53844</x:v>
      </x:c>
      <x:c r="C295" s="141" t="n">
        <x:f>$B$6</x:f>
        <x:v>7000</x:v>
      </x:c>
      <x:c r="D295" s="180" t="n">
        <x:f>(1+$B$28)^INT((A295-1)/12)</x:f>
        <x:v>3.207135472212848</x:v>
      </x:c>
      <x:c r="E295" s="141" t="n">
        <x:f>IF(A295&lt;=$B$27,$B$45*D295,0)</x:f>
        <x:v>0</x:v>
      </x:c>
      <x:c r="F295" s="141" t="n">
        <x:f>IF(A295=$B$29,$B$44,0)</x:f>
        <x:v>0</x:v>
      </x:c>
      <x:c r="G295" s="141" t="n">
        <x:f>E295+F295</x:f>
        <x:v>0</x:v>
      </x:c>
      <x:c r="H295" s="141" t="n">
        <x:f>IF(A295=$B$29,$B$42,0)</x:f>
        <x:v>0</x:v>
      </x:c>
      <x:c r="I295" s="141" t="n">
        <x:f>IF(A295=$B$29,$B$43,0)</x:f>
        <x:v>0</x:v>
      </x:c>
      <x:c r="J295" s="140" t="str">
        <x:f>IF(A295&lt;$B$29,"Aguardando",IF(A295=$B$29,"Contemplado","Pos-contemplacao"))</x:f>
        <x:v>Pos-contemplacao</x:v>
      </x:c>
      <x:c r="K295" s="141" t="n">
        <x:f>IF(A295&gt;=$B$27,0,(K296+E296)/(1+$B$9))</x:f>
        <x:v>0</x:v>
      </x:c>
      <x:c r="L295" s="141" t="n">
        <x:f>IF(A295&lt;$B$29,$B$43/(1+$B$9)^($B$29-A295),0)</x:f>
        <x:v>0</x:v>
      </x:c>
      <x:c r="M295" s="141" t="n">
        <x:f>L295-K295</x:f>
        <x:v>0</x:v>
      </x:c>
    </x:row>
    <x:row r="296">
      <x:c r="A296" s="142" t="n">
        <x:v>242</x:v>
      </x:c>
      <x:c r="B296" s="179" t="n">
        <x:f>EDATE($B$5,A296-1)</x:f>
        <x:v>53874</x:v>
      </x:c>
      <x:c r="C296" s="141" t="n">
        <x:f>$B$6</x:f>
        <x:v>7000</x:v>
      </x:c>
      <x:c r="D296" s="180" t="n">
        <x:f>(1+$B$28)^INT((A296-1)/12)</x:f>
        <x:v>3.207135472212848</x:v>
      </x:c>
      <x:c r="E296" s="141" t="n">
        <x:f>IF(A296&lt;=$B$27,$B$45*D296,0)</x:f>
        <x:v>0</x:v>
      </x:c>
      <x:c r="F296" s="141" t="n">
        <x:f>IF(A296=$B$29,$B$44,0)</x:f>
        <x:v>0</x:v>
      </x:c>
      <x:c r="G296" s="141" t="n">
        <x:f>E296+F296</x:f>
        <x:v>0</x:v>
      </x:c>
      <x:c r="H296" s="141" t="n">
        <x:f>IF(A296=$B$29,$B$42,0)</x:f>
        <x:v>0</x:v>
      </x:c>
      <x:c r="I296" s="141" t="n">
        <x:f>IF(A296=$B$29,$B$43,0)</x:f>
        <x:v>0</x:v>
      </x:c>
      <x:c r="J296" s="140" t="str">
        <x:f>IF(A296&lt;$B$29,"Aguardando",IF(A296=$B$29,"Contemplado","Pos-contemplacao"))</x:f>
        <x:v>Pos-contemplacao</x:v>
      </x:c>
      <x:c r="K296" s="141" t="n">
        <x:f>IF(A296&gt;=$B$27,0,(K297+E297)/(1+$B$9))</x:f>
        <x:v>0</x:v>
      </x:c>
      <x:c r="L296" s="141" t="n">
        <x:f>IF(A296&lt;$B$29,$B$43/(1+$B$9)^($B$29-A296),0)</x:f>
        <x:v>0</x:v>
      </x:c>
      <x:c r="M296" s="141" t="n">
        <x:f>L296-K296</x:f>
        <x:v>0</x:v>
      </x:c>
    </x:row>
    <x:row r="297">
      <x:c r="A297" s="142" t="n">
        <x:v>243</x:v>
      </x:c>
      <x:c r="B297" s="179" t="n">
        <x:f>EDATE($B$5,A297-1)</x:f>
        <x:v>53905</x:v>
      </x:c>
      <x:c r="C297" s="141" t="n">
        <x:f>$B$6</x:f>
        <x:v>7000</x:v>
      </x:c>
      <x:c r="D297" s="180" t="n">
        <x:f>(1+$B$28)^INT((A297-1)/12)</x:f>
        <x:v>3.207135472212848</x:v>
      </x:c>
      <x:c r="E297" s="141" t="n">
        <x:f>IF(A297&lt;=$B$27,$B$45*D297,0)</x:f>
        <x:v>0</x:v>
      </x:c>
      <x:c r="F297" s="141" t="n">
        <x:f>IF(A297=$B$29,$B$44,0)</x:f>
        <x:v>0</x:v>
      </x:c>
      <x:c r="G297" s="141" t="n">
        <x:f>E297+F297</x:f>
        <x:v>0</x:v>
      </x:c>
      <x:c r="H297" s="141" t="n">
        <x:f>IF(A297=$B$29,$B$42,0)</x:f>
        <x:v>0</x:v>
      </x:c>
      <x:c r="I297" s="141" t="n">
        <x:f>IF(A297=$B$29,$B$43,0)</x:f>
        <x:v>0</x:v>
      </x:c>
      <x:c r="J297" s="140" t="str">
        <x:f>IF(A297&lt;$B$29,"Aguardando",IF(A297=$B$29,"Contemplado","Pos-contemplacao"))</x:f>
        <x:v>Pos-contemplacao</x:v>
      </x:c>
      <x:c r="K297" s="141" t="n">
        <x:f>IF(A297&gt;=$B$27,0,(K298+E298)/(1+$B$9))</x:f>
        <x:v>0</x:v>
      </x:c>
      <x:c r="L297" s="141" t="n">
        <x:f>IF(A297&lt;$B$29,$B$43/(1+$B$9)^($B$29-A297),0)</x:f>
        <x:v>0</x:v>
      </x:c>
      <x:c r="M297" s="141" t="n">
        <x:f>L297-K297</x:f>
        <x:v>0</x:v>
      </x:c>
    </x:row>
    <x:row r="298">
      <x:c r="A298" s="142" t="n">
        <x:v>244</x:v>
      </x:c>
      <x:c r="B298" s="179" t="n">
        <x:f>EDATE($B$5,A298-1)</x:f>
        <x:v>53936</x:v>
      </x:c>
      <x:c r="C298" s="141" t="n">
        <x:f>$B$6</x:f>
        <x:v>7000</x:v>
      </x:c>
      <x:c r="D298" s="180" t="n">
        <x:f>(1+$B$28)^INT((A298-1)/12)</x:f>
        <x:v>3.207135472212848</x:v>
      </x:c>
      <x:c r="E298" s="141" t="n">
        <x:f>IF(A298&lt;=$B$27,$B$45*D298,0)</x:f>
        <x:v>0</x:v>
      </x:c>
      <x:c r="F298" s="141" t="n">
        <x:f>IF(A298=$B$29,$B$44,0)</x:f>
        <x:v>0</x:v>
      </x:c>
      <x:c r="G298" s="141" t="n">
        <x:f>E298+F298</x:f>
        <x:v>0</x:v>
      </x:c>
      <x:c r="H298" s="141" t="n">
        <x:f>IF(A298=$B$29,$B$42,0)</x:f>
        <x:v>0</x:v>
      </x:c>
      <x:c r="I298" s="141" t="n">
        <x:f>IF(A298=$B$29,$B$43,0)</x:f>
        <x:v>0</x:v>
      </x:c>
      <x:c r="J298" s="140" t="str">
        <x:f>IF(A298&lt;$B$29,"Aguardando",IF(A298=$B$29,"Contemplado","Pos-contemplacao"))</x:f>
        <x:v>Pos-contemplacao</x:v>
      </x:c>
      <x:c r="K298" s="141" t="n">
        <x:f>IF(A298&gt;=$B$27,0,(K299+E299)/(1+$B$9))</x:f>
        <x:v>0</x:v>
      </x:c>
      <x:c r="L298" s="141" t="n">
        <x:f>IF(A298&lt;$B$29,$B$43/(1+$B$9)^($B$29-A298),0)</x:f>
        <x:v>0</x:v>
      </x:c>
      <x:c r="M298" s="141" t="n">
        <x:f>L298-K298</x:f>
        <x:v>0</x:v>
      </x:c>
    </x:row>
    <x:row r="299">
      <x:c r="A299" s="142" t="n">
        <x:v>245</x:v>
      </x:c>
      <x:c r="B299" s="179" t="n">
        <x:f>EDATE($B$5,A299-1)</x:f>
        <x:v>53966</x:v>
      </x:c>
      <x:c r="C299" s="141" t="n">
        <x:f>$B$6</x:f>
        <x:v>7000</x:v>
      </x:c>
      <x:c r="D299" s="180" t="n">
        <x:f>(1+$B$28)^INT((A299-1)/12)</x:f>
        <x:v>3.207135472212848</x:v>
      </x:c>
      <x:c r="E299" s="141" t="n">
        <x:f>IF(A299&lt;=$B$27,$B$45*D299,0)</x:f>
        <x:v>0</x:v>
      </x:c>
      <x:c r="F299" s="141" t="n">
        <x:f>IF(A299=$B$29,$B$44,0)</x:f>
        <x:v>0</x:v>
      </x:c>
      <x:c r="G299" s="141" t="n">
        <x:f>E299+F299</x:f>
        <x:v>0</x:v>
      </x:c>
      <x:c r="H299" s="141" t="n">
        <x:f>IF(A299=$B$29,$B$42,0)</x:f>
        <x:v>0</x:v>
      </x:c>
      <x:c r="I299" s="141" t="n">
        <x:f>IF(A299=$B$29,$B$43,0)</x:f>
        <x:v>0</x:v>
      </x:c>
      <x:c r="J299" s="140" t="str">
        <x:f>IF(A299&lt;$B$29,"Aguardando",IF(A299=$B$29,"Contemplado","Pos-contemplacao"))</x:f>
        <x:v>Pos-contemplacao</x:v>
      </x:c>
      <x:c r="K299" s="141" t="n">
        <x:f>IF(A299&gt;=$B$27,0,(K300+E300)/(1+$B$9))</x:f>
        <x:v>0</x:v>
      </x:c>
      <x:c r="L299" s="141" t="n">
        <x:f>IF(A299&lt;$B$29,$B$43/(1+$B$9)^($B$29-A299),0)</x:f>
        <x:v>0</x:v>
      </x:c>
      <x:c r="M299" s="141" t="n">
        <x:f>L299-K299</x:f>
        <x:v>0</x:v>
      </x:c>
    </x:row>
    <x:row r="300">
      <x:c r="A300" s="142" t="n">
        <x:v>246</x:v>
      </x:c>
      <x:c r="B300" s="179" t="n">
        <x:f>EDATE($B$5,A300-1)</x:f>
        <x:v>53997</x:v>
      </x:c>
      <x:c r="C300" s="141" t="n">
        <x:f>$B$6</x:f>
        <x:v>7000</x:v>
      </x:c>
      <x:c r="D300" s="180" t="n">
        <x:f>(1+$B$28)^INT((A300-1)/12)</x:f>
        <x:v>3.207135472212848</x:v>
      </x:c>
      <x:c r="E300" s="141" t="n">
        <x:f>IF(A300&lt;=$B$27,$B$45*D300,0)</x:f>
        <x:v>0</x:v>
      </x:c>
      <x:c r="F300" s="141" t="n">
        <x:f>IF(A300=$B$29,$B$44,0)</x:f>
        <x:v>0</x:v>
      </x:c>
      <x:c r="G300" s="141" t="n">
        <x:f>E300+F300</x:f>
        <x:v>0</x:v>
      </x:c>
      <x:c r="H300" s="141" t="n">
        <x:f>IF(A300=$B$29,$B$42,0)</x:f>
        <x:v>0</x:v>
      </x:c>
      <x:c r="I300" s="141" t="n">
        <x:f>IF(A300=$B$29,$B$43,0)</x:f>
        <x:v>0</x:v>
      </x:c>
      <x:c r="J300" s="140" t="str">
        <x:f>IF(A300&lt;$B$29,"Aguardando",IF(A300=$B$29,"Contemplado","Pos-contemplacao"))</x:f>
        <x:v>Pos-contemplacao</x:v>
      </x:c>
      <x:c r="K300" s="141" t="n">
        <x:f>IF(A300&gt;=$B$27,0,(K301+E301)/(1+$B$9))</x:f>
        <x:v>0</x:v>
      </x:c>
      <x:c r="L300" s="141" t="n">
        <x:f>IF(A300&lt;$B$29,$B$43/(1+$B$9)^($B$29-A300),0)</x:f>
        <x:v>0</x:v>
      </x:c>
      <x:c r="M300" s="141" t="n">
        <x:f>L300-K300</x:f>
        <x:v>0</x:v>
      </x:c>
    </x:row>
    <x:row r="301">
      <x:c r="A301" s="142" t="n">
        <x:v>247</x:v>
      </x:c>
      <x:c r="B301" s="179" t="n">
        <x:f>EDATE($B$5,A301-1)</x:f>
        <x:v>54027</x:v>
      </x:c>
      <x:c r="C301" s="141" t="n">
        <x:f>$B$6</x:f>
        <x:v>7000</x:v>
      </x:c>
      <x:c r="D301" s="180" t="n">
        <x:f>(1+$B$28)^INT((A301-1)/12)</x:f>
        <x:v>3.207135472212848</x:v>
      </x:c>
      <x:c r="E301" s="141" t="n">
        <x:f>IF(A301&lt;=$B$27,$B$45*D301,0)</x:f>
        <x:v>0</x:v>
      </x:c>
      <x:c r="F301" s="141" t="n">
        <x:f>IF(A301=$B$29,$B$44,0)</x:f>
        <x:v>0</x:v>
      </x:c>
      <x:c r="G301" s="141" t="n">
        <x:f>E301+F301</x:f>
        <x:v>0</x:v>
      </x:c>
      <x:c r="H301" s="141" t="n">
        <x:f>IF(A301=$B$29,$B$42,0)</x:f>
        <x:v>0</x:v>
      </x:c>
      <x:c r="I301" s="141" t="n">
        <x:f>IF(A301=$B$29,$B$43,0)</x:f>
        <x:v>0</x:v>
      </x:c>
      <x:c r="J301" s="140" t="str">
        <x:f>IF(A301&lt;$B$29,"Aguardando",IF(A301=$B$29,"Contemplado","Pos-contemplacao"))</x:f>
        <x:v>Pos-contemplacao</x:v>
      </x:c>
      <x:c r="K301" s="141" t="n">
        <x:f>IF(A301&gt;=$B$27,0,(K302+E302)/(1+$B$9))</x:f>
        <x:v>0</x:v>
      </x:c>
      <x:c r="L301" s="141" t="n">
        <x:f>IF(A301&lt;$B$29,$B$43/(1+$B$9)^($B$29-A301),0)</x:f>
        <x:v>0</x:v>
      </x:c>
      <x:c r="M301" s="141" t="n">
        <x:f>L301-K301</x:f>
        <x:v>0</x:v>
      </x:c>
    </x:row>
    <x:row r="302">
      <x:c r="A302" s="142" t="n">
        <x:v>248</x:v>
      </x:c>
      <x:c r="B302" s="179" t="n">
        <x:f>EDATE($B$5,A302-1)</x:f>
        <x:v>54058</x:v>
      </x:c>
      <x:c r="C302" s="141" t="n">
        <x:f>$B$6</x:f>
        <x:v>7000</x:v>
      </x:c>
      <x:c r="D302" s="180" t="n">
        <x:f>(1+$B$28)^INT((A302-1)/12)</x:f>
        <x:v>3.207135472212848</x:v>
      </x:c>
      <x:c r="E302" s="141" t="n">
        <x:f>IF(A302&lt;=$B$27,$B$45*D302,0)</x:f>
        <x:v>0</x:v>
      </x:c>
      <x:c r="F302" s="141" t="n">
        <x:f>IF(A302=$B$29,$B$44,0)</x:f>
        <x:v>0</x:v>
      </x:c>
      <x:c r="G302" s="141" t="n">
        <x:f>E302+F302</x:f>
        <x:v>0</x:v>
      </x:c>
      <x:c r="H302" s="141" t="n">
        <x:f>IF(A302=$B$29,$B$42,0)</x:f>
        <x:v>0</x:v>
      </x:c>
      <x:c r="I302" s="141" t="n">
        <x:f>IF(A302=$B$29,$B$43,0)</x:f>
        <x:v>0</x:v>
      </x:c>
      <x:c r="J302" s="140" t="str">
        <x:f>IF(A302&lt;$B$29,"Aguardando",IF(A302=$B$29,"Contemplado","Pos-contemplacao"))</x:f>
        <x:v>Pos-contemplacao</x:v>
      </x:c>
      <x:c r="K302" s="141" t="n">
        <x:f>IF(A302&gt;=$B$27,0,(K303+E303)/(1+$B$9))</x:f>
        <x:v>0</x:v>
      </x:c>
      <x:c r="L302" s="141" t="n">
        <x:f>IF(A302&lt;$B$29,$B$43/(1+$B$9)^($B$29-A302),0)</x:f>
        <x:v>0</x:v>
      </x:c>
      <x:c r="M302" s="141" t="n">
        <x:f>L302-K302</x:f>
        <x:v>0</x:v>
      </x:c>
    </x:row>
    <x:row r="303">
      <x:c r="A303" s="142" t="n">
        <x:v>249</x:v>
      </x:c>
      <x:c r="B303" s="179" t="n">
        <x:f>EDATE($B$5,A303-1)</x:f>
        <x:v>54089</x:v>
      </x:c>
      <x:c r="C303" s="141" t="n">
        <x:f>$B$6</x:f>
        <x:v>7000</x:v>
      </x:c>
      <x:c r="D303" s="180" t="n">
        <x:f>(1+$B$28)^INT((A303-1)/12)</x:f>
        <x:v>3.207135472212848</x:v>
      </x:c>
      <x:c r="E303" s="141" t="n">
        <x:f>IF(A303&lt;=$B$27,$B$45*D303,0)</x:f>
        <x:v>0</x:v>
      </x:c>
      <x:c r="F303" s="141" t="n">
        <x:f>IF(A303=$B$29,$B$44,0)</x:f>
        <x:v>0</x:v>
      </x:c>
      <x:c r="G303" s="141" t="n">
        <x:f>E303+F303</x:f>
        <x:v>0</x:v>
      </x:c>
      <x:c r="H303" s="141" t="n">
        <x:f>IF(A303=$B$29,$B$42,0)</x:f>
        <x:v>0</x:v>
      </x:c>
      <x:c r="I303" s="141" t="n">
        <x:f>IF(A303=$B$29,$B$43,0)</x:f>
        <x:v>0</x:v>
      </x:c>
      <x:c r="J303" s="140" t="str">
        <x:f>IF(A303&lt;$B$29,"Aguardando",IF(A303=$B$29,"Contemplado","Pos-contemplacao"))</x:f>
        <x:v>Pos-contemplacao</x:v>
      </x:c>
      <x:c r="K303" s="141" t="n">
        <x:f>IF(A303&gt;=$B$27,0,(K304+E304)/(1+$B$9))</x:f>
        <x:v>0</x:v>
      </x:c>
      <x:c r="L303" s="141" t="n">
        <x:f>IF(A303&lt;$B$29,$B$43/(1+$B$9)^($B$29-A303),0)</x:f>
        <x:v>0</x:v>
      </x:c>
      <x:c r="M303" s="141" t="n">
        <x:f>L303-K303</x:f>
        <x:v>0</x:v>
      </x:c>
    </x:row>
    <x:row r="304">
      <x:c r="A304" s="142" t="n">
        <x:v>250</x:v>
      </x:c>
      <x:c r="B304" s="179" t="n">
        <x:f>EDATE($B$5,A304-1)</x:f>
        <x:v>54118</x:v>
      </x:c>
      <x:c r="C304" s="141" t="n">
        <x:f>$B$6</x:f>
        <x:v>7000</x:v>
      </x:c>
      <x:c r="D304" s="180" t="n">
        <x:f>(1+$B$28)^INT((A304-1)/12)</x:f>
        <x:v>3.207135472212848</x:v>
      </x:c>
      <x:c r="E304" s="141" t="n">
        <x:f>IF(A304&lt;=$B$27,$B$45*D304,0)</x:f>
        <x:v>0</x:v>
      </x:c>
      <x:c r="F304" s="141" t="n">
        <x:f>IF(A304=$B$29,$B$44,0)</x:f>
        <x:v>0</x:v>
      </x:c>
      <x:c r="G304" s="141" t="n">
        <x:f>E304+F304</x:f>
        <x:v>0</x:v>
      </x:c>
      <x:c r="H304" s="141" t="n">
        <x:f>IF(A304=$B$29,$B$42,0)</x:f>
        <x:v>0</x:v>
      </x:c>
      <x:c r="I304" s="141" t="n">
        <x:f>IF(A304=$B$29,$B$43,0)</x:f>
        <x:v>0</x:v>
      </x:c>
      <x:c r="J304" s="140" t="str">
        <x:f>IF(A304&lt;$B$29,"Aguardando",IF(A304=$B$29,"Contemplado","Pos-contemplacao"))</x:f>
        <x:v>Pos-contemplacao</x:v>
      </x:c>
      <x:c r="K304" s="141" t="n">
        <x:f>IF(A304&gt;=$B$27,0,(K305+E305)/(1+$B$9))</x:f>
        <x:v>0</x:v>
      </x:c>
      <x:c r="L304" s="141" t="n">
        <x:f>IF(A304&lt;$B$29,$B$43/(1+$B$9)^($B$29-A304),0)</x:f>
        <x:v>0</x:v>
      </x:c>
      <x:c r="M304" s="141" t="n">
        <x:f>L304-K304</x:f>
        <x:v>0</x:v>
      </x:c>
    </x:row>
    <x:row r="305">
      <x:c r="A305" s="142" t="n">
        <x:v>251</x:v>
      </x:c>
      <x:c r="B305" s="179" t="n">
        <x:f>EDATE($B$5,A305-1)</x:f>
        <x:v>54149</x:v>
      </x:c>
      <x:c r="C305" s="141" t="n">
        <x:f>$B$6</x:f>
        <x:v>7000</x:v>
      </x:c>
      <x:c r="D305" s="180" t="n">
        <x:f>(1+$B$28)^INT((A305-1)/12)</x:f>
        <x:v>3.207135472212848</x:v>
      </x:c>
      <x:c r="E305" s="141" t="n">
        <x:f>IF(A305&lt;=$B$27,$B$45*D305,0)</x:f>
        <x:v>0</x:v>
      </x:c>
      <x:c r="F305" s="141" t="n">
        <x:f>IF(A305=$B$29,$B$44,0)</x:f>
        <x:v>0</x:v>
      </x:c>
      <x:c r="G305" s="141" t="n">
        <x:f>E305+F305</x:f>
        <x:v>0</x:v>
      </x:c>
      <x:c r="H305" s="141" t="n">
        <x:f>IF(A305=$B$29,$B$42,0)</x:f>
        <x:v>0</x:v>
      </x:c>
      <x:c r="I305" s="141" t="n">
        <x:f>IF(A305=$B$29,$B$43,0)</x:f>
        <x:v>0</x:v>
      </x:c>
      <x:c r="J305" s="140" t="str">
        <x:f>IF(A305&lt;$B$29,"Aguardando",IF(A305=$B$29,"Contemplado","Pos-contemplacao"))</x:f>
        <x:v>Pos-contemplacao</x:v>
      </x:c>
      <x:c r="K305" s="141" t="n">
        <x:f>IF(A305&gt;=$B$27,0,(K306+E306)/(1+$B$9))</x:f>
        <x:v>0</x:v>
      </x:c>
      <x:c r="L305" s="141" t="n">
        <x:f>IF(A305&lt;$B$29,$B$43/(1+$B$9)^($B$29-A305),0)</x:f>
        <x:v>0</x:v>
      </x:c>
      <x:c r="M305" s="141" t="n">
        <x:f>L305-K305</x:f>
        <x:v>0</x:v>
      </x:c>
    </x:row>
    <x:row r="306">
      <x:c r="A306" s="142" t="n">
        <x:v>252</x:v>
      </x:c>
      <x:c r="B306" s="179" t="n">
        <x:f>EDATE($B$5,A306-1)</x:f>
        <x:v>54179</x:v>
      </x:c>
      <x:c r="C306" s="141" t="n">
        <x:f>$B$6</x:f>
        <x:v>7000</x:v>
      </x:c>
      <x:c r="D306" s="180" t="n">
        <x:f>(1+$B$28)^INT((A306-1)/12)</x:f>
        <x:v>3.207135472212848</x:v>
      </x:c>
      <x:c r="E306" s="141" t="n">
        <x:f>IF(A306&lt;=$B$27,$B$45*D306,0)</x:f>
        <x:v>0</x:v>
      </x:c>
      <x:c r="F306" s="141" t="n">
        <x:f>IF(A306=$B$29,$B$44,0)</x:f>
        <x:v>0</x:v>
      </x:c>
      <x:c r="G306" s="141" t="n">
        <x:f>E306+F306</x:f>
        <x:v>0</x:v>
      </x:c>
      <x:c r="H306" s="141" t="n">
        <x:f>IF(A306=$B$29,$B$42,0)</x:f>
        <x:v>0</x:v>
      </x:c>
      <x:c r="I306" s="141" t="n">
        <x:f>IF(A306=$B$29,$B$43,0)</x:f>
        <x:v>0</x:v>
      </x:c>
      <x:c r="J306" s="140" t="str">
        <x:f>IF(A306&lt;$B$29,"Aguardando",IF(A306=$B$29,"Contemplado","Pos-contemplacao"))</x:f>
        <x:v>Pos-contemplacao</x:v>
      </x:c>
      <x:c r="K306" s="141" t="n">
        <x:f>IF(A306&gt;=$B$27,0,(K307+E307)/(1+$B$9))</x:f>
        <x:v>0</x:v>
      </x:c>
      <x:c r="L306" s="141" t="n">
        <x:f>IF(A306&lt;$B$29,$B$43/(1+$B$9)^($B$29-A306),0)</x:f>
        <x:v>0</x:v>
      </x:c>
      <x:c r="M306" s="141" t="n">
        <x:f>L306-K306</x:f>
        <x:v>0</x:v>
      </x:c>
    </x:row>
    <x:row r="307">
      <x:c r="A307" s="142" t="n">
        <x:v>253</x:v>
      </x:c>
      <x:c r="B307" s="179" t="n">
        <x:f>EDATE($B$5,A307-1)</x:f>
        <x:v>54210</x:v>
      </x:c>
      <x:c r="C307" s="141" t="n">
        <x:f>$B$6</x:f>
        <x:v>7000</x:v>
      </x:c>
      <x:c r="D307" s="180" t="n">
        <x:f>(1+$B$28)^INT((A307-1)/12)</x:f>
        <x:v>3.399563600545619</x:v>
      </x:c>
      <x:c r="E307" s="141" t="n">
        <x:f>IF(A307&lt;=$B$27,$B$45*D307,0)</x:f>
        <x:v>0</x:v>
      </x:c>
      <x:c r="F307" s="141" t="n">
        <x:f>IF(A307=$B$29,$B$44,0)</x:f>
        <x:v>0</x:v>
      </x:c>
      <x:c r="G307" s="141" t="n">
        <x:f>E307+F307</x:f>
        <x:v>0</x:v>
      </x:c>
      <x:c r="H307" s="141" t="n">
        <x:f>IF(A307=$B$29,$B$42,0)</x:f>
        <x:v>0</x:v>
      </x:c>
      <x:c r="I307" s="141" t="n">
        <x:f>IF(A307=$B$29,$B$43,0)</x:f>
        <x:v>0</x:v>
      </x:c>
      <x:c r="J307" s="140" t="str">
        <x:f>IF(A307&lt;$B$29,"Aguardando",IF(A307=$B$29,"Contemplado","Pos-contemplacao"))</x:f>
        <x:v>Pos-contemplacao</x:v>
      </x:c>
      <x:c r="K307" s="141" t="n">
        <x:f>IF(A307&gt;=$B$27,0,(K308+E308)/(1+$B$9))</x:f>
        <x:v>0</x:v>
      </x:c>
      <x:c r="L307" s="141" t="n">
        <x:f>IF(A307&lt;$B$29,$B$43/(1+$B$9)^($B$29-A307),0)</x:f>
        <x:v>0</x:v>
      </x:c>
      <x:c r="M307" s="141" t="n">
        <x:f>L307-K307</x:f>
        <x:v>0</x:v>
      </x:c>
    </x:row>
    <x:row r="308">
      <x:c r="A308" s="142" t="n">
        <x:v>254</x:v>
      </x:c>
      <x:c r="B308" s="179" t="n">
        <x:f>EDATE($B$5,A308-1)</x:f>
        <x:v>54240</x:v>
      </x:c>
      <x:c r="C308" s="141" t="n">
        <x:f>$B$6</x:f>
        <x:v>7000</x:v>
      </x:c>
      <x:c r="D308" s="180" t="n">
        <x:f>(1+$B$28)^INT((A308-1)/12)</x:f>
        <x:v>3.399563600545619</x:v>
      </x:c>
      <x:c r="E308" s="141" t="n">
        <x:f>IF(A308&lt;=$B$27,$B$45*D308,0)</x:f>
        <x:v>0</x:v>
      </x:c>
      <x:c r="F308" s="141" t="n">
        <x:f>IF(A308=$B$29,$B$44,0)</x:f>
        <x:v>0</x:v>
      </x:c>
      <x:c r="G308" s="141" t="n">
        <x:f>E308+F308</x:f>
        <x:v>0</x:v>
      </x:c>
      <x:c r="H308" s="141" t="n">
        <x:f>IF(A308=$B$29,$B$42,0)</x:f>
        <x:v>0</x:v>
      </x:c>
      <x:c r="I308" s="141" t="n">
        <x:f>IF(A308=$B$29,$B$43,0)</x:f>
        <x:v>0</x:v>
      </x:c>
      <x:c r="J308" s="140" t="str">
        <x:f>IF(A308&lt;$B$29,"Aguardando",IF(A308=$B$29,"Contemplado","Pos-contemplacao"))</x:f>
        <x:v>Pos-contemplacao</x:v>
      </x:c>
      <x:c r="K308" s="141" t="n">
        <x:f>IF(A308&gt;=$B$27,0,(K309+E309)/(1+$B$9))</x:f>
        <x:v>0</x:v>
      </x:c>
      <x:c r="L308" s="141" t="n">
        <x:f>IF(A308&lt;$B$29,$B$43/(1+$B$9)^($B$29-A308),0)</x:f>
        <x:v>0</x:v>
      </x:c>
      <x:c r="M308" s="141" t="n">
        <x:f>L308-K308</x:f>
        <x:v>0</x:v>
      </x:c>
    </x:row>
    <x:row r="309">
      <x:c r="A309" s="142" t="n">
        <x:v>255</x:v>
      </x:c>
      <x:c r="B309" s="179" t="n">
        <x:f>EDATE($B$5,A309-1)</x:f>
        <x:v>54271</x:v>
      </x:c>
      <x:c r="C309" s="141" t="n">
        <x:f>$B$6</x:f>
        <x:v>7000</x:v>
      </x:c>
      <x:c r="D309" s="180" t="n">
        <x:f>(1+$B$28)^INT((A309-1)/12)</x:f>
        <x:v>3.399563600545619</x:v>
      </x:c>
      <x:c r="E309" s="141" t="n">
        <x:f>IF(A309&lt;=$B$27,$B$45*D309,0)</x:f>
        <x:v>0</x:v>
      </x:c>
      <x:c r="F309" s="141" t="n">
        <x:f>IF(A309=$B$29,$B$44,0)</x:f>
        <x:v>0</x:v>
      </x:c>
      <x:c r="G309" s="141" t="n">
        <x:f>E309+F309</x:f>
        <x:v>0</x:v>
      </x:c>
      <x:c r="H309" s="141" t="n">
        <x:f>IF(A309=$B$29,$B$42,0)</x:f>
        <x:v>0</x:v>
      </x:c>
      <x:c r="I309" s="141" t="n">
        <x:f>IF(A309=$B$29,$B$43,0)</x:f>
        <x:v>0</x:v>
      </x:c>
      <x:c r="J309" s="140" t="str">
        <x:f>IF(A309&lt;$B$29,"Aguardando",IF(A309=$B$29,"Contemplado","Pos-contemplacao"))</x:f>
        <x:v>Pos-contemplacao</x:v>
      </x:c>
      <x:c r="K309" s="141" t="n">
        <x:f>IF(A309&gt;=$B$27,0,(K310+E310)/(1+$B$9))</x:f>
        <x:v>0</x:v>
      </x:c>
      <x:c r="L309" s="141" t="n">
        <x:f>IF(A309&lt;$B$29,$B$43/(1+$B$9)^($B$29-A309),0)</x:f>
        <x:v>0</x:v>
      </x:c>
      <x:c r="M309" s="141" t="n">
        <x:f>L309-K309</x:f>
        <x:v>0</x:v>
      </x:c>
    </x:row>
    <x:row r="310">
      <x:c r="A310" s="142" t="n">
        <x:v>256</x:v>
      </x:c>
      <x:c r="B310" s="179" t="n">
        <x:f>EDATE($B$5,A310-1)</x:f>
        <x:v>54302</x:v>
      </x:c>
      <x:c r="C310" s="141" t="n">
        <x:f>$B$6</x:f>
        <x:v>7000</x:v>
      </x:c>
      <x:c r="D310" s="180" t="n">
        <x:f>(1+$B$28)^INT((A310-1)/12)</x:f>
        <x:v>3.399563600545619</x:v>
      </x:c>
      <x:c r="E310" s="141" t="n">
        <x:f>IF(A310&lt;=$B$27,$B$45*D310,0)</x:f>
        <x:v>0</x:v>
      </x:c>
      <x:c r="F310" s="141" t="n">
        <x:f>IF(A310=$B$29,$B$44,0)</x:f>
        <x:v>0</x:v>
      </x:c>
      <x:c r="G310" s="141" t="n">
        <x:f>E310+F310</x:f>
        <x:v>0</x:v>
      </x:c>
      <x:c r="H310" s="141" t="n">
        <x:f>IF(A310=$B$29,$B$42,0)</x:f>
        <x:v>0</x:v>
      </x:c>
      <x:c r="I310" s="141" t="n">
        <x:f>IF(A310=$B$29,$B$43,0)</x:f>
        <x:v>0</x:v>
      </x:c>
      <x:c r="J310" s="140" t="str">
        <x:f>IF(A310&lt;$B$29,"Aguardando",IF(A310=$B$29,"Contemplado","Pos-contemplacao"))</x:f>
        <x:v>Pos-contemplacao</x:v>
      </x:c>
      <x:c r="K310" s="141" t="n">
        <x:f>IF(A310&gt;=$B$27,0,(K311+E311)/(1+$B$9))</x:f>
        <x:v>0</x:v>
      </x:c>
      <x:c r="L310" s="141" t="n">
        <x:f>IF(A310&lt;$B$29,$B$43/(1+$B$9)^($B$29-A310),0)</x:f>
        <x:v>0</x:v>
      </x:c>
      <x:c r="M310" s="141" t="n">
        <x:f>L310-K310</x:f>
        <x:v>0</x:v>
      </x:c>
    </x:row>
    <x:row r="311">
      <x:c r="A311" s="142" t="n">
        <x:v>257</x:v>
      </x:c>
      <x:c r="B311" s="179" t="n">
        <x:f>EDATE($B$5,A311-1)</x:f>
        <x:v>54332</x:v>
      </x:c>
      <x:c r="C311" s="141" t="n">
        <x:f>$B$6</x:f>
        <x:v>7000</x:v>
      </x:c>
      <x:c r="D311" s="180" t="n">
        <x:f>(1+$B$28)^INT((A311-1)/12)</x:f>
        <x:v>3.399563600545619</x:v>
      </x:c>
      <x:c r="E311" s="141" t="n">
        <x:f>IF(A311&lt;=$B$27,$B$45*D311,0)</x:f>
        <x:v>0</x:v>
      </x:c>
      <x:c r="F311" s="141" t="n">
        <x:f>IF(A311=$B$29,$B$44,0)</x:f>
        <x:v>0</x:v>
      </x:c>
      <x:c r="G311" s="141" t="n">
        <x:f>E311+F311</x:f>
        <x:v>0</x:v>
      </x:c>
      <x:c r="H311" s="141" t="n">
        <x:f>IF(A311=$B$29,$B$42,0)</x:f>
        <x:v>0</x:v>
      </x:c>
      <x:c r="I311" s="141" t="n">
        <x:f>IF(A311=$B$29,$B$43,0)</x:f>
        <x:v>0</x:v>
      </x:c>
      <x:c r="J311" s="140" t="str">
        <x:f>IF(A311&lt;$B$29,"Aguardando",IF(A311=$B$29,"Contemplado","Pos-contemplacao"))</x:f>
        <x:v>Pos-contemplacao</x:v>
      </x:c>
      <x:c r="K311" s="141" t="n">
        <x:f>IF(A311&gt;=$B$27,0,(K312+E312)/(1+$B$9))</x:f>
        <x:v>0</x:v>
      </x:c>
      <x:c r="L311" s="141" t="n">
        <x:f>IF(A311&lt;$B$29,$B$43/(1+$B$9)^($B$29-A311),0)</x:f>
        <x:v>0</x:v>
      </x:c>
      <x:c r="M311" s="141" t="n">
        <x:f>L311-K311</x:f>
        <x:v>0</x:v>
      </x:c>
    </x:row>
    <x:row r="312">
      <x:c r="A312" s="142" t="n">
        <x:v>258</x:v>
      </x:c>
      <x:c r="B312" s="179" t="n">
        <x:f>EDATE($B$5,A312-1)</x:f>
        <x:v>54363</x:v>
      </x:c>
      <x:c r="C312" s="141" t="n">
        <x:f>$B$6</x:f>
        <x:v>7000</x:v>
      </x:c>
      <x:c r="D312" s="180" t="n">
        <x:f>(1+$B$28)^INT((A312-1)/12)</x:f>
        <x:v>3.399563600545619</x:v>
      </x:c>
      <x:c r="E312" s="141" t="n">
        <x:f>IF(A312&lt;=$B$27,$B$45*D312,0)</x:f>
        <x:v>0</x:v>
      </x:c>
      <x:c r="F312" s="141" t="n">
        <x:f>IF(A312=$B$29,$B$44,0)</x:f>
        <x:v>0</x:v>
      </x:c>
      <x:c r="G312" s="141" t="n">
        <x:f>E312+F312</x:f>
        <x:v>0</x:v>
      </x:c>
      <x:c r="H312" s="141" t="n">
        <x:f>IF(A312=$B$29,$B$42,0)</x:f>
        <x:v>0</x:v>
      </x:c>
      <x:c r="I312" s="141" t="n">
        <x:f>IF(A312=$B$29,$B$43,0)</x:f>
        <x:v>0</x:v>
      </x:c>
      <x:c r="J312" s="140" t="str">
        <x:f>IF(A312&lt;$B$29,"Aguardando",IF(A312=$B$29,"Contemplado","Pos-contemplacao"))</x:f>
        <x:v>Pos-contemplacao</x:v>
      </x:c>
      <x:c r="K312" s="141" t="n">
        <x:f>IF(A312&gt;=$B$27,0,(K313+E313)/(1+$B$9))</x:f>
        <x:v>0</x:v>
      </x:c>
      <x:c r="L312" s="141" t="n">
        <x:f>IF(A312&lt;$B$29,$B$43/(1+$B$9)^($B$29-A312),0)</x:f>
        <x:v>0</x:v>
      </x:c>
      <x:c r="M312" s="141" t="n">
        <x:f>L312-K312</x:f>
        <x:v>0</x:v>
      </x:c>
    </x:row>
    <x:row r="313">
      <x:c r="A313" s="142" t="n">
        <x:v>259</x:v>
      </x:c>
      <x:c r="B313" s="179" t="n">
        <x:f>EDATE($B$5,A313-1)</x:f>
        <x:v>54393</x:v>
      </x:c>
      <x:c r="C313" s="141" t="n">
        <x:f>$B$6</x:f>
        <x:v>7000</x:v>
      </x:c>
      <x:c r="D313" s="180" t="n">
        <x:f>(1+$B$28)^INT((A313-1)/12)</x:f>
        <x:v>3.399563600545619</x:v>
      </x:c>
      <x:c r="E313" s="141" t="n">
        <x:f>IF(A313&lt;=$B$27,$B$45*D313,0)</x:f>
        <x:v>0</x:v>
      </x:c>
      <x:c r="F313" s="141" t="n">
        <x:f>IF(A313=$B$29,$B$44,0)</x:f>
        <x:v>0</x:v>
      </x:c>
      <x:c r="G313" s="141" t="n">
        <x:f>E313+F313</x:f>
        <x:v>0</x:v>
      </x:c>
      <x:c r="H313" s="141" t="n">
        <x:f>IF(A313=$B$29,$B$42,0)</x:f>
        <x:v>0</x:v>
      </x:c>
      <x:c r="I313" s="141" t="n">
        <x:f>IF(A313=$B$29,$B$43,0)</x:f>
        <x:v>0</x:v>
      </x:c>
      <x:c r="J313" s="140" t="str">
        <x:f>IF(A313&lt;$B$29,"Aguardando",IF(A313=$B$29,"Contemplado","Pos-contemplacao"))</x:f>
        <x:v>Pos-contemplacao</x:v>
      </x:c>
      <x:c r="K313" s="141" t="n">
        <x:f>IF(A313&gt;=$B$27,0,(K314+E314)/(1+$B$9))</x:f>
        <x:v>0</x:v>
      </x:c>
      <x:c r="L313" s="141" t="n">
        <x:f>IF(A313&lt;$B$29,$B$43/(1+$B$9)^($B$29-A313),0)</x:f>
        <x:v>0</x:v>
      </x:c>
      <x:c r="M313" s="141" t="n">
        <x:f>L313-K313</x:f>
        <x:v>0</x:v>
      </x:c>
    </x:row>
    <x:row r="314">
      <x:c r="A314" s="142" t="n">
        <x:v>260</x:v>
      </x:c>
      <x:c r="B314" s="179" t="n">
        <x:f>EDATE($B$5,A314-1)</x:f>
        <x:v>54424</x:v>
      </x:c>
      <x:c r="C314" s="141" t="n">
        <x:f>$B$6</x:f>
        <x:v>7000</x:v>
      </x:c>
      <x:c r="D314" s="180" t="n">
        <x:f>(1+$B$28)^INT((A314-1)/12)</x:f>
        <x:v>3.399563600545619</x:v>
      </x:c>
      <x:c r="E314" s="141" t="n">
        <x:f>IF(A314&lt;=$B$27,$B$45*D314,0)</x:f>
        <x:v>0</x:v>
      </x:c>
      <x:c r="F314" s="141" t="n">
        <x:f>IF(A314=$B$29,$B$44,0)</x:f>
        <x:v>0</x:v>
      </x:c>
      <x:c r="G314" s="141" t="n">
        <x:f>E314+F314</x:f>
        <x:v>0</x:v>
      </x:c>
      <x:c r="H314" s="141" t="n">
        <x:f>IF(A314=$B$29,$B$42,0)</x:f>
        <x:v>0</x:v>
      </x:c>
      <x:c r="I314" s="141" t="n">
        <x:f>IF(A314=$B$29,$B$43,0)</x:f>
        <x:v>0</x:v>
      </x:c>
      <x:c r="J314" s="140" t="str">
        <x:f>IF(A314&lt;$B$29,"Aguardando",IF(A314=$B$29,"Contemplado","Pos-contemplacao"))</x:f>
        <x:v>Pos-contemplacao</x:v>
      </x:c>
      <x:c r="K314" s="141" t="n">
        <x:f>IF(A314&gt;=$B$27,0,(K315+E315)/(1+$B$9))</x:f>
        <x:v>0</x:v>
      </x:c>
      <x:c r="L314" s="141" t="n">
        <x:f>IF(A314&lt;$B$29,$B$43/(1+$B$9)^($B$29-A314),0)</x:f>
        <x:v>0</x:v>
      </x:c>
      <x:c r="M314" s="141" t="n">
        <x:f>L314-K314</x:f>
        <x:v>0</x:v>
      </x:c>
    </x:row>
    <x:row r="315">
      <x:c r="A315" s="142" t="n">
        <x:v>261</x:v>
      </x:c>
      <x:c r="B315" s="179" t="n">
        <x:f>EDATE($B$5,A315-1)</x:f>
        <x:v>54455</x:v>
      </x:c>
      <x:c r="C315" s="141" t="n">
        <x:f>$B$6</x:f>
        <x:v>7000</x:v>
      </x:c>
      <x:c r="D315" s="180" t="n">
        <x:f>(1+$B$28)^INT((A315-1)/12)</x:f>
        <x:v>3.399563600545619</x:v>
      </x:c>
      <x:c r="E315" s="141" t="n">
        <x:f>IF(A315&lt;=$B$27,$B$45*D315,0)</x:f>
        <x:v>0</x:v>
      </x:c>
      <x:c r="F315" s="141" t="n">
        <x:f>IF(A315=$B$29,$B$44,0)</x:f>
        <x:v>0</x:v>
      </x:c>
      <x:c r="G315" s="141" t="n">
        <x:f>E315+F315</x:f>
        <x:v>0</x:v>
      </x:c>
      <x:c r="H315" s="141" t="n">
        <x:f>IF(A315=$B$29,$B$42,0)</x:f>
        <x:v>0</x:v>
      </x:c>
      <x:c r="I315" s="141" t="n">
        <x:f>IF(A315=$B$29,$B$43,0)</x:f>
        <x:v>0</x:v>
      </x:c>
      <x:c r="J315" s="140" t="str">
        <x:f>IF(A315&lt;$B$29,"Aguardando",IF(A315=$B$29,"Contemplado","Pos-contemplacao"))</x:f>
        <x:v>Pos-contemplacao</x:v>
      </x:c>
      <x:c r="K315" s="141" t="n">
        <x:f>IF(A315&gt;=$B$27,0,(K316+E316)/(1+$B$9))</x:f>
        <x:v>0</x:v>
      </x:c>
      <x:c r="L315" s="141" t="n">
        <x:f>IF(A315&lt;$B$29,$B$43/(1+$B$9)^($B$29-A315),0)</x:f>
        <x:v>0</x:v>
      </x:c>
      <x:c r="M315" s="141" t="n">
        <x:f>L315-K315</x:f>
        <x:v>0</x:v>
      </x:c>
    </x:row>
    <x:row r="316">
      <x:c r="A316" s="142" t="n">
        <x:v>262</x:v>
      </x:c>
      <x:c r="B316" s="179" t="n">
        <x:f>EDATE($B$5,A316-1)</x:f>
        <x:v>54483</x:v>
      </x:c>
      <x:c r="C316" s="141" t="n">
        <x:f>$B$6</x:f>
        <x:v>7000</x:v>
      </x:c>
      <x:c r="D316" s="180" t="n">
        <x:f>(1+$B$28)^INT((A316-1)/12)</x:f>
        <x:v>3.399563600545619</x:v>
      </x:c>
      <x:c r="E316" s="141" t="n">
        <x:f>IF(A316&lt;=$B$27,$B$45*D316,0)</x:f>
        <x:v>0</x:v>
      </x:c>
      <x:c r="F316" s="141" t="n">
        <x:f>IF(A316=$B$29,$B$44,0)</x:f>
        <x:v>0</x:v>
      </x:c>
      <x:c r="G316" s="141" t="n">
        <x:f>E316+F316</x:f>
        <x:v>0</x:v>
      </x:c>
      <x:c r="H316" s="141" t="n">
        <x:f>IF(A316=$B$29,$B$42,0)</x:f>
        <x:v>0</x:v>
      </x:c>
      <x:c r="I316" s="141" t="n">
        <x:f>IF(A316=$B$29,$B$43,0)</x:f>
        <x:v>0</x:v>
      </x:c>
      <x:c r="J316" s="140" t="str">
        <x:f>IF(A316&lt;$B$29,"Aguardando",IF(A316=$B$29,"Contemplado","Pos-contemplacao"))</x:f>
        <x:v>Pos-contemplacao</x:v>
      </x:c>
      <x:c r="K316" s="141" t="n">
        <x:f>IF(A316&gt;=$B$27,0,(K317+E317)/(1+$B$9))</x:f>
        <x:v>0</x:v>
      </x:c>
      <x:c r="L316" s="141" t="n">
        <x:f>IF(A316&lt;$B$29,$B$43/(1+$B$9)^($B$29-A316),0)</x:f>
        <x:v>0</x:v>
      </x:c>
      <x:c r="M316" s="141" t="n">
        <x:f>L316-K316</x:f>
        <x:v>0</x:v>
      </x:c>
    </x:row>
    <x:row r="317">
      <x:c r="A317" s="142" t="n">
        <x:v>263</x:v>
      </x:c>
      <x:c r="B317" s="179" t="n">
        <x:f>EDATE($B$5,A317-1)</x:f>
        <x:v>54514</x:v>
      </x:c>
      <x:c r="C317" s="141" t="n">
        <x:f>$B$6</x:f>
        <x:v>7000</x:v>
      </x:c>
      <x:c r="D317" s="180" t="n">
        <x:f>(1+$B$28)^INT((A317-1)/12)</x:f>
        <x:v>3.399563600545619</x:v>
      </x:c>
      <x:c r="E317" s="141" t="n">
        <x:f>IF(A317&lt;=$B$27,$B$45*D317,0)</x:f>
        <x:v>0</x:v>
      </x:c>
      <x:c r="F317" s="141" t="n">
        <x:f>IF(A317=$B$29,$B$44,0)</x:f>
        <x:v>0</x:v>
      </x:c>
      <x:c r="G317" s="141" t="n">
        <x:f>E317+F317</x:f>
        <x:v>0</x:v>
      </x:c>
      <x:c r="H317" s="141" t="n">
        <x:f>IF(A317=$B$29,$B$42,0)</x:f>
        <x:v>0</x:v>
      </x:c>
      <x:c r="I317" s="141" t="n">
        <x:f>IF(A317=$B$29,$B$43,0)</x:f>
        <x:v>0</x:v>
      </x:c>
      <x:c r="J317" s="140" t="str">
        <x:f>IF(A317&lt;$B$29,"Aguardando",IF(A317=$B$29,"Contemplado","Pos-contemplacao"))</x:f>
        <x:v>Pos-contemplacao</x:v>
      </x:c>
      <x:c r="K317" s="141" t="n">
        <x:f>IF(A317&gt;=$B$27,0,(K318+E318)/(1+$B$9))</x:f>
        <x:v>0</x:v>
      </x:c>
      <x:c r="L317" s="141" t="n">
        <x:f>IF(A317&lt;$B$29,$B$43/(1+$B$9)^($B$29-A317),0)</x:f>
        <x:v>0</x:v>
      </x:c>
      <x:c r="M317" s="141" t="n">
        <x:f>L317-K317</x:f>
        <x:v>0</x:v>
      </x:c>
    </x:row>
    <x:row r="318">
      <x:c r="A318" s="142" t="n">
        <x:v>264</x:v>
      </x:c>
      <x:c r="B318" s="179" t="n">
        <x:f>EDATE($B$5,A318-1)</x:f>
        <x:v>54544</x:v>
      </x:c>
      <x:c r="C318" s="141" t="n">
        <x:f>$B$6</x:f>
        <x:v>7000</x:v>
      </x:c>
      <x:c r="D318" s="180" t="n">
        <x:f>(1+$B$28)^INT((A318-1)/12)</x:f>
        <x:v>3.399563600545619</x:v>
      </x:c>
      <x:c r="E318" s="141" t="n">
        <x:f>IF(A318&lt;=$B$27,$B$45*D318,0)</x:f>
        <x:v>0</x:v>
      </x:c>
      <x:c r="F318" s="141" t="n">
        <x:f>IF(A318=$B$29,$B$44,0)</x:f>
        <x:v>0</x:v>
      </x:c>
      <x:c r="G318" s="141" t="n">
        <x:f>E318+F318</x:f>
        <x:v>0</x:v>
      </x:c>
      <x:c r="H318" s="141" t="n">
        <x:f>IF(A318=$B$29,$B$42,0)</x:f>
        <x:v>0</x:v>
      </x:c>
      <x:c r="I318" s="141" t="n">
        <x:f>IF(A318=$B$29,$B$43,0)</x:f>
        <x:v>0</x:v>
      </x:c>
      <x:c r="J318" s="140" t="str">
        <x:f>IF(A318&lt;$B$29,"Aguardando",IF(A318=$B$29,"Contemplado","Pos-contemplacao"))</x:f>
        <x:v>Pos-contemplacao</x:v>
      </x:c>
      <x:c r="K318" s="141" t="n">
        <x:f>IF(A318&gt;=$B$27,0,(K319+E319)/(1+$B$9))</x:f>
        <x:v>0</x:v>
      </x:c>
      <x:c r="L318" s="141" t="n">
        <x:f>IF(A318&lt;$B$29,$B$43/(1+$B$9)^($B$29-A318),0)</x:f>
        <x:v>0</x:v>
      </x:c>
      <x:c r="M318" s="141" t="n">
        <x:f>L318-K318</x:f>
        <x:v>0</x:v>
      </x:c>
    </x:row>
    <x:row r="319">
      <x:c r="A319" s="142" t="n">
        <x:v>265</x:v>
      </x:c>
      <x:c r="B319" s="179" t="n">
        <x:f>EDATE($B$5,A319-1)</x:f>
        <x:v>54575</x:v>
      </x:c>
      <x:c r="C319" s="141" t="n">
        <x:f>$B$6</x:f>
        <x:v>7000</x:v>
      </x:c>
      <x:c r="D319" s="180" t="n">
        <x:f>(1+$B$28)^INT((A319-1)/12)</x:f>
        <x:v>3.6035374165783565</x:v>
      </x:c>
      <x:c r="E319" s="141" t="n">
        <x:f>IF(A319&lt;=$B$27,$B$45*D319,0)</x:f>
        <x:v>0</x:v>
      </x:c>
      <x:c r="F319" s="141" t="n">
        <x:f>IF(A319=$B$29,$B$44,0)</x:f>
        <x:v>0</x:v>
      </x:c>
      <x:c r="G319" s="141" t="n">
        <x:f>E319+F319</x:f>
        <x:v>0</x:v>
      </x:c>
      <x:c r="H319" s="141" t="n">
        <x:f>IF(A319=$B$29,$B$42,0)</x:f>
        <x:v>0</x:v>
      </x:c>
      <x:c r="I319" s="141" t="n">
        <x:f>IF(A319=$B$29,$B$43,0)</x:f>
        <x:v>0</x:v>
      </x:c>
      <x:c r="J319" s="140" t="str">
        <x:f>IF(A319&lt;$B$29,"Aguardando",IF(A319=$B$29,"Contemplado","Pos-contemplacao"))</x:f>
        <x:v>Pos-contemplacao</x:v>
      </x:c>
      <x:c r="K319" s="141" t="n">
        <x:f>IF(A319&gt;=$B$27,0,(K320+E320)/(1+$B$9))</x:f>
        <x:v>0</x:v>
      </x:c>
      <x:c r="L319" s="141" t="n">
        <x:f>IF(A319&lt;$B$29,$B$43/(1+$B$9)^($B$29-A319),0)</x:f>
        <x:v>0</x:v>
      </x:c>
      <x:c r="M319" s="141" t="n">
        <x:f>L319-K319</x:f>
        <x:v>0</x:v>
      </x:c>
    </x:row>
    <x:row r="320">
      <x:c r="A320" s="142" t="n">
        <x:v>266</x:v>
      </x:c>
      <x:c r="B320" s="179" t="n">
        <x:f>EDATE($B$5,A320-1)</x:f>
        <x:v>54605</x:v>
      </x:c>
      <x:c r="C320" s="141" t="n">
        <x:f>$B$6</x:f>
        <x:v>7000</x:v>
      </x:c>
      <x:c r="D320" s="180" t="n">
        <x:f>(1+$B$28)^INT((A320-1)/12)</x:f>
        <x:v>3.6035374165783565</x:v>
      </x:c>
      <x:c r="E320" s="141" t="n">
        <x:f>IF(A320&lt;=$B$27,$B$45*D320,0)</x:f>
        <x:v>0</x:v>
      </x:c>
      <x:c r="F320" s="141" t="n">
        <x:f>IF(A320=$B$29,$B$44,0)</x:f>
        <x:v>0</x:v>
      </x:c>
      <x:c r="G320" s="141" t="n">
        <x:f>E320+F320</x:f>
        <x:v>0</x:v>
      </x:c>
      <x:c r="H320" s="141" t="n">
        <x:f>IF(A320=$B$29,$B$42,0)</x:f>
        <x:v>0</x:v>
      </x:c>
      <x:c r="I320" s="141" t="n">
        <x:f>IF(A320=$B$29,$B$43,0)</x:f>
        <x:v>0</x:v>
      </x:c>
      <x:c r="J320" s="140" t="str">
        <x:f>IF(A320&lt;$B$29,"Aguardando",IF(A320=$B$29,"Contemplado","Pos-contemplacao"))</x:f>
        <x:v>Pos-contemplacao</x:v>
      </x:c>
      <x:c r="K320" s="141" t="n">
        <x:f>IF(A320&gt;=$B$27,0,(K321+E321)/(1+$B$9))</x:f>
        <x:v>0</x:v>
      </x:c>
      <x:c r="L320" s="141" t="n">
        <x:f>IF(A320&lt;$B$29,$B$43/(1+$B$9)^($B$29-A320),0)</x:f>
        <x:v>0</x:v>
      </x:c>
      <x:c r="M320" s="141" t="n">
        <x:f>L320-K320</x:f>
        <x:v>0</x:v>
      </x:c>
    </x:row>
    <x:row r="321">
      <x:c r="A321" s="142" t="n">
        <x:v>267</x:v>
      </x:c>
      <x:c r="B321" s="179" t="n">
        <x:f>EDATE($B$5,A321-1)</x:f>
        <x:v>54636</x:v>
      </x:c>
      <x:c r="C321" s="141" t="n">
        <x:f>$B$6</x:f>
        <x:v>7000</x:v>
      </x:c>
      <x:c r="D321" s="180" t="n">
        <x:f>(1+$B$28)^INT((A321-1)/12)</x:f>
        <x:v>3.6035374165783565</x:v>
      </x:c>
      <x:c r="E321" s="141" t="n">
        <x:f>IF(A321&lt;=$B$27,$B$45*D321,0)</x:f>
        <x:v>0</x:v>
      </x:c>
      <x:c r="F321" s="141" t="n">
        <x:f>IF(A321=$B$29,$B$44,0)</x:f>
        <x:v>0</x:v>
      </x:c>
      <x:c r="G321" s="141" t="n">
        <x:f>E321+F321</x:f>
        <x:v>0</x:v>
      </x:c>
      <x:c r="H321" s="141" t="n">
        <x:f>IF(A321=$B$29,$B$42,0)</x:f>
        <x:v>0</x:v>
      </x:c>
      <x:c r="I321" s="141" t="n">
        <x:f>IF(A321=$B$29,$B$43,0)</x:f>
        <x:v>0</x:v>
      </x:c>
      <x:c r="J321" s="140" t="str">
        <x:f>IF(A321&lt;$B$29,"Aguardando",IF(A321=$B$29,"Contemplado","Pos-contemplacao"))</x:f>
        <x:v>Pos-contemplacao</x:v>
      </x:c>
      <x:c r="K321" s="141" t="n">
        <x:f>IF(A321&gt;=$B$27,0,(K322+E322)/(1+$B$9))</x:f>
        <x:v>0</x:v>
      </x:c>
      <x:c r="L321" s="141" t="n">
        <x:f>IF(A321&lt;$B$29,$B$43/(1+$B$9)^($B$29-A321),0)</x:f>
        <x:v>0</x:v>
      </x:c>
      <x:c r="M321" s="141" t="n">
        <x:f>L321-K321</x:f>
        <x:v>0</x:v>
      </x:c>
    </x:row>
    <x:row r="322">
      <x:c r="A322" s="142" t="n">
        <x:v>268</x:v>
      </x:c>
      <x:c r="B322" s="179" t="n">
        <x:f>EDATE($B$5,A322-1)</x:f>
        <x:v>54667</x:v>
      </x:c>
      <x:c r="C322" s="141" t="n">
        <x:f>$B$6</x:f>
        <x:v>7000</x:v>
      </x:c>
      <x:c r="D322" s="180" t="n">
        <x:f>(1+$B$28)^INT((A322-1)/12)</x:f>
        <x:v>3.6035374165783565</x:v>
      </x:c>
      <x:c r="E322" s="141" t="n">
        <x:f>IF(A322&lt;=$B$27,$B$45*D322,0)</x:f>
        <x:v>0</x:v>
      </x:c>
      <x:c r="F322" s="141" t="n">
        <x:f>IF(A322=$B$29,$B$44,0)</x:f>
        <x:v>0</x:v>
      </x:c>
      <x:c r="G322" s="141" t="n">
        <x:f>E322+F322</x:f>
        <x:v>0</x:v>
      </x:c>
      <x:c r="H322" s="141" t="n">
        <x:f>IF(A322=$B$29,$B$42,0)</x:f>
        <x:v>0</x:v>
      </x:c>
      <x:c r="I322" s="141" t="n">
        <x:f>IF(A322=$B$29,$B$43,0)</x:f>
        <x:v>0</x:v>
      </x:c>
      <x:c r="J322" s="140" t="str">
        <x:f>IF(A322&lt;$B$29,"Aguardando",IF(A322=$B$29,"Contemplado","Pos-contemplacao"))</x:f>
        <x:v>Pos-contemplacao</x:v>
      </x:c>
      <x:c r="K322" s="141" t="n">
        <x:f>IF(A322&gt;=$B$27,0,(K323+E323)/(1+$B$9))</x:f>
        <x:v>0</x:v>
      </x:c>
      <x:c r="L322" s="141" t="n">
        <x:f>IF(A322&lt;$B$29,$B$43/(1+$B$9)^($B$29-A322),0)</x:f>
        <x:v>0</x:v>
      </x:c>
      <x:c r="M322" s="141" t="n">
        <x:f>L322-K322</x:f>
        <x:v>0</x:v>
      </x:c>
    </x:row>
    <x:row r="323">
      <x:c r="A323" s="142" t="n">
        <x:v>269</x:v>
      </x:c>
      <x:c r="B323" s="179" t="n">
        <x:f>EDATE($B$5,A323-1)</x:f>
        <x:v>54697</x:v>
      </x:c>
      <x:c r="C323" s="141" t="n">
        <x:f>$B$6</x:f>
        <x:v>7000</x:v>
      </x:c>
      <x:c r="D323" s="180" t="n">
        <x:f>(1+$B$28)^INT((A323-1)/12)</x:f>
        <x:v>3.6035374165783565</x:v>
      </x:c>
      <x:c r="E323" s="141" t="n">
        <x:f>IF(A323&lt;=$B$27,$B$45*D323,0)</x:f>
        <x:v>0</x:v>
      </x:c>
      <x:c r="F323" s="141" t="n">
        <x:f>IF(A323=$B$29,$B$44,0)</x:f>
        <x:v>0</x:v>
      </x:c>
      <x:c r="G323" s="141" t="n">
        <x:f>E323+F323</x:f>
        <x:v>0</x:v>
      </x:c>
      <x:c r="H323" s="141" t="n">
        <x:f>IF(A323=$B$29,$B$42,0)</x:f>
        <x:v>0</x:v>
      </x:c>
      <x:c r="I323" s="141" t="n">
        <x:f>IF(A323=$B$29,$B$43,0)</x:f>
        <x:v>0</x:v>
      </x:c>
      <x:c r="J323" s="140" t="str">
        <x:f>IF(A323&lt;$B$29,"Aguardando",IF(A323=$B$29,"Contemplado","Pos-contemplacao"))</x:f>
        <x:v>Pos-contemplacao</x:v>
      </x:c>
      <x:c r="K323" s="141" t="n">
        <x:f>IF(A323&gt;=$B$27,0,(K324+E324)/(1+$B$9))</x:f>
        <x:v>0</x:v>
      </x:c>
      <x:c r="L323" s="141" t="n">
        <x:f>IF(A323&lt;$B$29,$B$43/(1+$B$9)^($B$29-A323),0)</x:f>
        <x:v>0</x:v>
      </x:c>
      <x:c r="M323" s="141" t="n">
        <x:f>L323-K323</x:f>
        <x:v>0</x:v>
      </x:c>
    </x:row>
    <x:row r="324">
      <x:c r="A324" s="142" t="n">
        <x:v>270</x:v>
      </x:c>
      <x:c r="B324" s="179" t="n">
        <x:f>EDATE($B$5,A324-1)</x:f>
        <x:v>54728</x:v>
      </x:c>
      <x:c r="C324" s="141" t="n">
        <x:f>$B$6</x:f>
        <x:v>7000</x:v>
      </x:c>
      <x:c r="D324" s="180" t="n">
        <x:f>(1+$B$28)^INT((A324-1)/12)</x:f>
        <x:v>3.6035374165783565</x:v>
      </x:c>
      <x:c r="E324" s="141" t="n">
        <x:f>IF(A324&lt;=$B$27,$B$45*D324,0)</x:f>
        <x:v>0</x:v>
      </x:c>
      <x:c r="F324" s="141" t="n">
        <x:f>IF(A324=$B$29,$B$44,0)</x:f>
        <x:v>0</x:v>
      </x:c>
      <x:c r="G324" s="141" t="n">
        <x:f>E324+F324</x:f>
        <x:v>0</x:v>
      </x:c>
      <x:c r="H324" s="141" t="n">
        <x:f>IF(A324=$B$29,$B$42,0)</x:f>
        <x:v>0</x:v>
      </x:c>
      <x:c r="I324" s="141" t="n">
        <x:f>IF(A324=$B$29,$B$43,0)</x:f>
        <x:v>0</x:v>
      </x:c>
      <x:c r="J324" s="140" t="str">
        <x:f>IF(A324&lt;$B$29,"Aguardando",IF(A324=$B$29,"Contemplado","Pos-contemplacao"))</x:f>
        <x:v>Pos-contemplacao</x:v>
      </x:c>
      <x:c r="K324" s="141" t="n">
        <x:f>IF(A324&gt;=$B$27,0,(K325+E325)/(1+$B$9))</x:f>
        <x:v>0</x:v>
      </x:c>
      <x:c r="L324" s="141" t="n">
        <x:f>IF(A324&lt;$B$29,$B$43/(1+$B$9)^($B$29-A324),0)</x:f>
        <x:v>0</x:v>
      </x:c>
      <x:c r="M324" s="141" t="n">
        <x:f>L324-K324</x:f>
        <x:v>0</x:v>
      </x:c>
    </x:row>
    <x:row r="325">
      <x:c r="A325" s="142" t="n">
        <x:v>271</x:v>
      </x:c>
      <x:c r="B325" s="179" t="n">
        <x:f>EDATE($B$5,A325-1)</x:f>
        <x:v>54758</x:v>
      </x:c>
      <x:c r="C325" s="141" t="n">
        <x:f>$B$6</x:f>
        <x:v>7000</x:v>
      </x:c>
      <x:c r="D325" s="180" t="n">
        <x:f>(1+$B$28)^INT((A325-1)/12)</x:f>
        <x:v>3.6035374165783565</x:v>
      </x:c>
      <x:c r="E325" s="141" t="n">
        <x:f>IF(A325&lt;=$B$27,$B$45*D325,0)</x:f>
        <x:v>0</x:v>
      </x:c>
      <x:c r="F325" s="141" t="n">
        <x:f>IF(A325=$B$29,$B$44,0)</x:f>
        <x:v>0</x:v>
      </x:c>
      <x:c r="G325" s="141" t="n">
        <x:f>E325+F325</x:f>
        <x:v>0</x:v>
      </x:c>
      <x:c r="H325" s="141" t="n">
        <x:f>IF(A325=$B$29,$B$42,0)</x:f>
        <x:v>0</x:v>
      </x:c>
      <x:c r="I325" s="141" t="n">
        <x:f>IF(A325=$B$29,$B$43,0)</x:f>
        <x:v>0</x:v>
      </x:c>
      <x:c r="J325" s="140" t="str">
        <x:f>IF(A325&lt;$B$29,"Aguardando",IF(A325=$B$29,"Contemplado","Pos-contemplacao"))</x:f>
        <x:v>Pos-contemplacao</x:v>
      </x:c>
      <x:c r="K325" s="141" t="n">
        <x:f>IF(A325&gt;=$B$27,0,(K326+E326)/(1+$B$9))</x:f>
        <x:v>0</x:v>
      </x:c>
      <x:c r="L325" s="141" t="n">
        <x:f>IF(A325&lt;$B$29,$B$43/(1+$B$9)^($B$29-A325),0)</x:f>
        <x:v>0</x:v>
      </x:c>
      <x:c r="M325" s="141" t="n">
        <x:f>L325-K325</x:f>
        <x:v>0</x:v>
      </x:c>
    </x:row>
    <x:row r="326">
      <x:c r="A326" s="142" t="n">
        <x:v>272</x:v>
      </x:c>
      <x:c r="B326" s="179" t="n">
        <x:f>EDATE($B$5,A326-1)</x:f>
        <x:v>54789</x:v>
      </x:c>
      <x:c r="C326" s="141" t="n">
        <x:f>$B$6</x:f>
        <x:v>7000</x:v>
      </x:c>
      <x:c r="D326" s="180" t="n">
        <x:f>(1+$B$28)^INT((A326-1)/12)</x:f>
        <x:v>3.6035374165783565</x:v>
      </x:c>
      <x:c r="E326" s="141" t="n">
        <x:f>IF(A326&lt;=$B$27,$B$45*D326,0)</x:f>
        <x:v>0</x:v>
      </x:c>
      <x:c r="F326" s="141" t="n">
        <x:f>IF(A326=$B$29,$B$44,0)</x:f>
        <x:v>0</x:v>
      </x:c>
      <x:c r="G326" s="141" t="n">
        <x:f>E326+F326</x:f>
        <x:v>0</x:v>
      </x:c>
      <x:c r="H326" s="141" t="n">
        <x:f>IF(A326=$B$29,$B$42,0)</x:f>
        <x:v>0</x:v>
      </x:c>
      <x:c r="I326" s="141" t="n">
        <x:f>IF(A326=$B$29,$B$43,0)</x:f>
        <x:v>0</x:v>
      </x:c>
      <x:c r="J326" s="140" t="str">
        <x:f>IF(A326&lt;$B$29,"Aguardando",IF(A326=$B$29,"Contemplado","Pos-contemplacao"))</x:f>
        <x:v>Pos-contemplacao</x:v>
      </x:c>
      <x:c r="K326" s="141" t="n">
        <x:f>IF(A326&gt;=$B$27,0,(K327+E327)/(1+$B$9))</x:f>
        <x:v>0</x:v>
      </x:c>
      <x:c r="L326" s="141" t="n">
        <x:f>IF(A326&lt;$B$29,$B$43/(1+$B$9)^($B$29-A326),0)</x:f>
        <x:v>0</x:v>
      </x:c>
      <x:c r="M326" s="141" t="n">
        <x:f>L326-K326</x:f>
        <x:v>0</x:v>
      </x:c>
    </x:row>
    <x:row r="327">
      <x:c r="A327" s="142" t="n">
        <x:v>273</x:v>
      </x:c>
      <x:c r="B327" s="179" t="n">
        <x:f>EDATE($B$5,A327-1)</x:f>
        <x:v>54820</x:v>
      </x:c>
      <x:c r="C327" s="141" t="n">
        <x:f>$B$6</x:f>
        <x:v>7000</x:v>
      </x:c>
      <x:c r="D327" s="180" t="n">
        <x:f>(1+$B$28)^INT((A327-1)/12)</x:f>
        <x:v>3.6035374165783565</x:v>
      </x:c>
      <x:c r="E327" s="141" t="n">
        <x:f>IF(A327&lt;=$B$27,$B$45*D327,0)</x:f>
        <x:v>0</x:v>
      </x:c>
      <x:c r="F327" s="141" t="n">
        <x:f>IF(A327=$B$29,$B$44,0)</x:f>
        <x:v>0</x:v>
      </x:c>
      <x:c r="G327" s="141" t="n">
        <x:f>E327+F327</x:f>
        <x:v>0</x:v>
      </x:c>
      <x:c r="H327" s="141" t="n">
        <x:f>IF(A327=$B$29,$B$42,0)</x:f>
        <x:v>0</x:v>
      </x:c>
      <x:c r="I327" s="141" t="n">
        <x:f>IF(A327=$B$29,$B$43,0)</x:f>
        <x:v>0</x:v>
      </x:c>
      <x:c r="J327" s="140" t="str">
        <x:f>IF(A327&lt;$B$29,"Aguardando",IF(A327=$B$29,"Contemplado","Pos-contemplacao"))</x:f>
        <x:v>Pos-contemplacao</x:v>
      </x:c>
      <x:c r="K327" s="141" t="n">
        <x:f>IF(A327&gt;=$B$27,0,(K328+E328)/(1+$B$9))</x:f>
        <x:v>0</x:v>
      </x:c>
      <x:c r="L327" s="141" t="n">
        <x:f>IF(A327&lt;$B$29,$B$43/(1+$B$9)^($B$29-A327),0)</x:f>
        <x:v>0</x:v>
      </x:c>
      <x:c r="M327" s="141" t="n">
        <x:f>L327-K327</x:f>
        <x:v>0</x:v>
      </x:c>
    </x:row>
    <x:row r="328">
      <x:c r="A328" s="142" t="n">
        <x:v>274</x:v>
      </x:c>
      <x:c r="B328" s="179" t="n">
        <x:f>EDATE($B$5,A328-1)</x:f>
        <x:v>54848</x:v>
      </x:c>
      <x:c r="C328" s="141" t="n">
        <x:f>$B$6</x:f>
        <x:v>7000</x:v>
      </x:c>
      <x:c r="D328" s="180" t="n">
        <x:f>(1+$B$28)^INT((A328-1)/12)</x:f>
        <x:v>3.6035374165783565</x:v>
      </x:c>
      <x:c r="E328" s="141" t="n">
        <x:f>IF(A328&lt;=$B$27,$B$45*D328,0)</x:f>
        <x:v>0</x:v>
      </x:c>
      <x:c r="F328" s="141" t="n">
        <x:f>IF(A328=$B$29,$B$44,0)</x:f>
        <x:v>0</x:v>
      </x:c>
      <x:c r="G328" s="141" t="n">
        <x:f>E328+F328</x:f>
        <x:v>0</x:v>
      </x:c>
      <x:c r="H328" s="141" t="n">
        <x:f>IF(A328=$B$29,$B$42,0)</x:f>
        <x:v>0</x:v>
      </x:c>
      <x:c r="I328" s="141" t="n">
        <x:f>IF(A328=$B$29,$B$43,0)</x:f>
        <x:v>0</x:v>
      </x:c>
      <x:c r="J328" s="140" t="str">
        <x:f>IF(A328&lt;$B$29,"Aguardando",IF(A328=$B$29,"Contemplado","Pos-contemplacao"))</x:f>
        <x:v>Pos-contemplacao</x:v>
      </x:c>
      <x:c r="K328" s="141" t="n">
        <x:f>IF(A328&gt;=$B$27,0,(K329+E329)/(1+$B$9))</x:f>
        <x:v>0</x:v>
      </x:c>
      <x:c r="L328" s="141" t="n">
        <x:f>IF(A328&lt;$B$29,$B$43/(1+$B$9)^($B$29-A328),0)</x:f>
        <x:v>0</x:v>
      </x:c>
      <x:c r="M328" s="141" t="n">
        <x:f>L328-K328</x:f>
        <x:v>0</x:v>
      </x:c>
    </x:row>
    <x:row r="329">
      <x:c r="A329" s="142" t="n">
        <x:v>275</x:v>
      </x:c>
      <x:c r="B329" s="179" t="n">
        <x:f>EDATE($B$5,A329-1)</x:f>
        <x:v>54879</x:v>
      </x:c>
      <x:c r="C329" s="141" t="n">
        <x:f>$B$6</x:f>
        <x:v>7000</x:v>
      </x:c>
      <x:c r="D329" s="180" t="n">
        <x:f>(1+$B$28)^INT((A329-1)/12)</x:f>
        <x:v>3.6035374165783565</x:v>
      </x:c>
      <x:c r="E329" s="141" t="n">
        <x:f>IF(A329&lt;=$B$27,$B$45*D329,0)</x:f>
        <x:v>0</x:v>
      </x:c>
      <x:c r="F329" s="141" t="n">
        <x:f>IF(A329=$B$29,$B$44,0)</x:f>
        <x:v>0</x:v>
      </x:c>
      <x:c r="G329" s="141" t="n">
        <x:f>E329+F329</x:f>
        <x:v>0</x:v>
      </x:c>
      <x:c r="H329" s="141" t="n">
        <x:f>IF(A329=$B$29,$B$42,0)</x:f>
        <x:v>0</x:v>
      </x:c>
      <x:c r="I329" s="141" t="n">
        <x:f>IF(A329=$B$29,$B$43,0)</x:f>
        <x:v>0</x:v>
      </x:c>
      <x:c r="J329" s="140" t="str">
        <x:f>IF(A329&lt;$B$29,"Aguardando",IF(A329=$B$29,"Contemplado","Pos-contemplacao"))</x:f>
        <x:v>Pos-contemplacao</x:v>
      </x:c>
      <x:c r="K329" s="141" t="n">
        <x:f>IF(A329&gt;=$B$27,0,(K330+E330)/(1+$B$9))</x:f>
        <x:v>0</x:v>
      </x:c>
      <x:c r="L329" s="141" t="n">
        <x:f>IF(A329&lt;$B$29,$B$43/(1+$B$9)^($B$29-A329),0)</x:f>
        <x:v>0</x:v>
      </x:c>
      <x:c r="M329" s="141" t="n">
        <x:f>L329-K329</x:f>
        <x:v>0</x:v>
      </x:c>
    </x:row>
    <x:row r="330">
      <x:c r="A330" s="142" t="n">
        <x:v>276</x:v>
      </x:c>
      <x:c r="B330" s="179" t="n">
        <x:f>EDATE($B$5,A330-1)</x:f>
        <x:v>54909</x:v>
      </x:c>
      <x:c r="C330" s="141" t="n">
        <x:f>$B$6</x:f>
        <x:v>7000</x:v>
      </x:c>
      <x:c r="D330" s="180" t="n">
        <x:f>(1+$B$28)^INT((A330-1)/12)</x:f>
        <x:v>3.6035374165783565</x:v>
      </x:c>
      <x:c r="E330" s="141" t="n">
        <x:f>IF(A330&lt;=$B$27,$B$45*D330,0)</x:f>
        <x:v>0</x:v>
      </x:c>
      <x:c r="F330" s="141" t="n">
        <x:f>IF(A330=$B$29,$B$44,0)</x:f>
        <x:v>0</x:v>
      </x:c>
      <x:c r="G330" s="141" t="n">
        <x:f>E330+F330</x:f>
        <x:v>0</x:v>
      </x:c>
      <x:c r="H330" s="141" t="n">
        <x:f>IF(A330=$B$29,$B$42,0)</x:f>
        <x:v>0</x:v>
      </x:c>
      <x:c r="I330" s="141" t="n">
        <x:f>IF(A330=$B$29,$B$43,0)</x:f>
        <x:v>0</x:v>
      </x:c>
      <x:c r="J330" s="140" t="str">
        <x:f>IF(A330&lt;$B$29,"Aguardando",IF(A330=$B$29,"Contemplado","Pos-contemplacao"))</x:f>
        <x:v>Pos-contemplacao</x:v>
      </x:c>
      <x:c r="K330" s="141" t="n">
        <x:f>IF(A330&gt;=$B$27,0,(K331+E331)/(1+$B$9))</x:f>
        <x:v>0</x:v>
      </x:c>
      <x:c r="L330" s="141" t="n">
        <x:f>IF(A330&lt;$B$29,$B$43/(1+$B$9)^($B$29-A330),0)</x:f>
        <x:v>0</x:v>
      </x:c>
      <x:c r="M330" s="141" t="n">
        <x:f>L330-K330</x:f>
        <x:v>0</x:v>
      </x:c>
    </x:row>
    <x:row r="331">
      <x:c r="A331" s="142" t="n">
        <x:v>277</x:v>
      </x:c>
      <x:c r="B331" s="179" t="n">
        <x:f>EDATE($B$5,A331-1)</x:f>
        <x:v>54940</x:v>
      </x:c>
      <x:c r="C331" s="141" t="n">
        <x:f>$B$6</x:f>
        <x:v>7000</x:v>
      </x:c>
      <x:c r="D331" s="180" t="n">
        <x:f>(1+$B$28)^INT((A331-1)/12)</x:f>
        <x:v>3.819749661573058</x:v>
      </x:c>
      <x:c r="E331" s="141" t="n">
        <x:f>IF(A331&lt;=$B$27,$B$45*D331,0)</x:f>
        <x:v>0</x:v>
      </x:c>
      <x:c r="F331" s="141" t="n">
        <x:f>IF(A331=$B$29,$B$44,0)</x:f>
        <x:v>0</x:v>
      </x:c>
      <x:c r="G331" s="141" t="n">
        <x:f>E331+F331</x:f>
        <x:v>0</x:v>
      </x:c>
      <x:c r="H331" s="141" t="n">
        <x:f>IF(A331=$B$29,$B$42,0)</x:f>
        <x:v>0</x:v>
      </x:c>
      <x:c r="I331" s="141" t="n">
        <x:f>IF(A331=$B$29,$B$43,0)</x:f>
        <x:v>0</x:v>
      </x:c>
      <x:c r="J331" s="140" t="str">
        <x:f>IF(A331&lt;$B$29,"Aguardando",IF(A331=$B$29,"Contemplado","Pos-contemplacao"))</x:f>
        <x:v>Pos-contemplacao</x:v>
      </x:c>
      <x:c r="K331" s="141" t="n">
        <x:f>IF(A331&gt;=$B$27,0,(K332+E332)/(1+$B$9))</x:f>
        <x:v>0</x:v>
      </x:c>
      <x:c r="L331" s="141" t="n">
        <x:f>IF(A331&lt;$B$29,$B$43/(1+$B$9)^($B$29-A331),0)</x:f>
        <x:v>0</x:v>
      </x:c>
      <x:c r="M331" s="141" t="n">
        <x:f>L331-K331</x:f>
        <x:v>0</x:v>
      </x:c>
    </x:row>
    <x:row r="332">
      <x:c r="A332" s="142" t="n">
        <x:v>278</x:v>
      </x:c>
      <x:c r="B332" s="179" t="n">
        <x:f>EDATE($B$5,A332-1)</x:f>
        <x:v>54970</x:v>
      </x:c>
      <x:c r="C332" s="141" t="n">
        <x:f>$B$6</x:f>
        <x:v>7000</x:v>
      </x:c>
      <x:c r="D332" s="180" t="n">
        <x:f>(1+$B$28)^INT((A332-1)/12)</x:f>
        <x:v>3.819749661573058</x:v>
      </x:c>
      <x:c r="E332" s="141" t="n">
        <x:f>IF(A332&lt;=$B$27,$B$45*D332,0)</x:f>
        <x:v>0</x:v>
      </x:c>
      <x:c r="F332" s="141" t="n">
        <x:f>IF(A332=$B$29,$B$44,0)</x:f>
        <x:v>0</x:v>
      </x:c>
      <x:c r="G332" s="141" t="n">
        <x:f>E332+F332</x:f>
        <x:v>0</x:v>
      </x:c>
      <x:c r="H332" s="141" t="n">
        <x:f>IF(A332=$B$29,$B$42,0)</x:f>
        <x:v>0</x:v>
      </x:c>
      <x:c r="I332" s="141" t="n">
        <x:f>IF(A332=$B$29,$B$43,0)</x:f>
        <x:v>0</x:v>
      </x:c>
      <x:c r="J332" s="140" t="str">
        <x:f>IF(A332&lt;$B$29,"Aguardando",IF(A332=$B$29,"Contemplado","Pos-contemplacao"))</x:f>
        <x:v>Pos-contemplacao</x:v>
      </x:c>
      <x:c r="K332" s="141" t="n">
        <x:f>IF(A332&gt;=$B$27,0,(K333+E333)/(1+$B$9))</x:f>
        <x:v>0</x:v>
      </x:c>
      <x:c r="L332" s="141" t="n">
        <x:f>IF(A332&lt;$B$29,$B$43/(1+$B$9)^($B$29-A332),0)</x:f>
        <x:v>0</x:v>
      </x:c>
      <x:c r="M332" s="141" t="n">
        <x:f>L332-K332</x:f>
        <x:v>0</x:v>
      </x:c>
    </x:row>
    <x:row r="333">
      <x:c r="A333" s="142" t="n">
        <x:v>279</x:v>
      </x:c>
      <x:c r="B333" s="179" t="n">
        <x:f>EDATE($B$5,A333-1)</x:f>
        <x:v>55001</x:v>
      </x:c>
      <x:c r="C333" s="141" t="n">
        <x:f>$B$6</x:f>
        <x:v>7000</x:v>
      </x:c>
      <x:c r="D333" s="180" t="n">
        <x:f>(1+$B$28)^INT((A333-1)/12)</x:f>
        <x:v>3.819749661573058</x:v>
      </x:c>
      <x:c r="E333" s="141" t="n">
        <x:f>IF(A333&lt;=$B$27,$B$45*D333,0)</x:f>
        <x:v>0</x:v>
      </x:c>
      <x:c r="F333" s="141" t="n">
        <x:f>IF(A333=$B$29,$B$44,0)</x:f>
        <x:v>0</x:v>
      </x:c>
      <x:c r="G333" s="141" t="n">
        <x:f>E333+F333</x:f>
        <x:v>0</x:v>
      </x:c>
      <x:c r="H333" s="141" t="n">
        <x:f>IF(A333=$B$29,$B$42,0)</x:f>
        <x:v>0</x:v>
      </x:c>
      <x:c r="I333" s="141" t="n">
        <x:f>IF(A333=$B$29,$B$43,0)</x:f>
        <x:v>0</x:v>
      </x:c>
      <x:c r="J333" s="140" t="str">
        <x:f>IF(A333&lt;$B$29,"Aguardando",IF(A333=$B$29,"Contemplado","Pos-contemplacao"))</x:f>
        <x:v>Pos-contemplacao</x:v>
      </x:c>
      <x:c r="K333" s="141" t="n">
        <x:f>IF(A333&gt;=$B$27,0,(K334+E334)/(1+$B$9))</x:f>
        <x:v>0</x:v>
      </x:c>
      <x:c r="L333" s="141" t="n">
        <x:f>IF(A333&lt;$B$29,$B$43/(1+$B$9)^($B$29-A333),0)</x:f>
        <x:v>0</x:v>
      </x:c>
      <x:c r="M333" s="141" t="n">
        <x:f>L333-K333</x:f>
        <x:v>0</x:v>
      </x:c>
    </x:row>
    <x:row r="334">
      <x:c r="A334" s="142" t="n">
        <x:v>280</x:v>
      </x:c>
      <x:c r="B334" s="179" t="n">
        <x:f>EDATE($B$5,A334-1)</x:f>
        <x:v>55032</x:v>
      </x:c>
      <x:c r="C334" s="141" t="n">
        <x:f>$B$6</x:f>
        <x:v>7000</x:v>
      </x:c>
      <x:c r="D334" s="180" t="n">
        <x:f>(1+$B$28)^INT((A334-1)/12)</x:f>
        <x:v>3.819749661573058</x:v>
      </x:c>
      <x:c r="E334" s="141" t="n">
        <x:f>IF(A334&lt;=$B$27,$B$45*D334,0)</x:f>
        <x:v>0</x:v>
      </x:c>
      <x:c r="F334" s="141" t="n">
        <x:f>IF(A334=$B$29,$B$44,0)</x:f>
        <x:v>0</x:v>
      </x:c>
      <x:c r="G334" s="141" t="n">
        <x:f>E334+F334</x:f>
        <x:v>0</x:v>
      </x:c>
      <x:c r="H334" s="141" t="n">
        <x:f>IF(A334=$B$29,$B$42,0)</x:f>
        <x:v>0</x:v>
      </x:c>
      <x:c r="I334" s="141" t="n">
        <x:f>IF(A334=$B$29,$B$43,0)</x:f>
        <x:v>0</x:v>
      </x:c>
      <x:c r="J334" s="140" t="str">
        <x:f>IF(A334&lt;$B$29,"Aguardando",IF(A334=$B$29,"Contemplado","Pos-contemplacao"))</x:f>
        <x:v>Pos-contemplacao</x:v>
      </x:c>
      <x:c r="K334" s="141" t="n">
        <x:f>IF(A334&gt;=$B$27,0,(K335+E335)/(1+$B$9))</x:f>
        <x:v>0</x:v>
      </x:c>
      <x:c r="L334" s="141" t="n">
        <x:f>IF(A334&lt;$B$29,$B$43/(1+$B$9)^($B$29-A334),0)</x:f>
        <x:v>0</x:v>
      </x:c>
      <x:c r="M334" s="141" t="n">
        <x:f>L334-K334</x:f>
        <x:v>0</x:v>
      </x:c>
    </x:row>
    <x:row r="335">
      <x:c r="A335" s="142" t="n">
        <x:v>281</x:v>
      </x:c>
      <x:c r="B335" s="179" t="n">
        <x:f>EDATE($B$5,A335-1)</x:f>
        <x:v>55062</x:v>
      </x:c>
      <x:c r="C335" s="141" t="n">
        <x:f>$B$6</x:f>
        <x:v>7000</x:v>
      </x:c>
      <x:c r="D335" s="180" t="n">
        <x:f>(1+$B$28)^INT((A335-1)/12)</x:f>
        <x:v>3.819749661573058</x:v>
      </x:c>
      <x:c r="E335" s="141" t="n">
        <x:f>IF(A335&lt;=$B$27,$B$45*D335,0)</x:f>
        <x:v>0</x:v>
      </x:c>
      <x:c r="F335" s="141" t="n">
        <x:f>IF(A335=$B$29,$B$44,0)</x:f>
        <x:v>0</x:v>
      </x:c>
      <x:c r="G335" s="141" t="n">
        <x:f>E335+F335</x:f>
        <x:v>0</x:v>
      </x:c>
      <x:c r="H335" s="141" t="n">
        <x:f>IF(A335=$B$29,$B$42,0)</x:f>
        <x:v>0</x:v>
      </x:c>
      <x:c r="I335" s="141" t="n">
        <x:f>IF(A335=$B$29,$B$43,0)</x:f>
        <x:v>0</x:v>
      </x:c>
      <x:c r="J335" s="140" t="str">
        <x:f>IF(A335&lt;$B$29,"Aguardando",IF(A335=$B$29,"Contemplado","Pos-contemplacao"))</x:f>
        <x:v>Pos-contemplacao</x:v>
      </x:c>
      <x:c r="K335" s="141" t="n">
        <x:f>IF(A335&gt;=$B$27,0,(K336+E336)/(1+$B$9))</x:f>
        <x:v>0</x:v>
      </x:c>
      <x:c r="L335" s="141" t="n">
        <x:f>IF(A335&lt;$B$29,$B$43/(1+$B$9)^($B$29-A335),0)</x:f>
        <x:v>0</x:v>
      </x:c>
      <x:c r="M335" s="141" t="n">
        <x:f>L335-K335</x:f>
        <x:v>0</x:v>
      </x:c>
    </x:row>
    <x:row r="336">
      <x:c r="A336" s="142" t="n">
        <x:v>282</x:v>
      </x:c>
      <x:c r="B336" s="179" t="n">
        <x:f>EDATE($B$5,A336-1)</x:f>
        <x:v>55093</x:v>
      </x:c>
      <x:c r="C336" s="141" t="n">
        <x:f>$B$6</x:f>
        <x:v>7000</x:v>
      </x:c>
      <x:c r="D336" s="180" t="n">
        <x:f>(1+$B$28)^INT((A336-1)/12)</x:f>
        <x:v>3.819749661573058</x:v>
      </x:c>
      <x:c r="E336" s="141" t="n">
        <x:f>IF(A336&lt;=$B$27,$B$45*D336,0)</x:f>
        <x:v>0</x:v>
      </x:c>
      <x:c r="F336" s="141" t="n">
        <x:f>IF(A336=$B$29,$B$44,0)</x:f>
        <x:v>0</x:v>
      </x:c>
      <x:c r="G336" s="141" t="n">
        <x:f>E336+F336</x:f>
        <x:v>0</x:v>
      </x:c>
      <x:c r="H336" s="141" t="n">
        <x:f>IF(A336=$B$29,$B$42,0)</x:f>
        <x:v>0</x:v>
      </x:c>
      <x:c r="I336" s="141" t="n">
        <x:f>IF(A336=$B$29,$B$43,0)</x:f>
        <x:v>0</x:v>
      </x:c>
      <x:c r="J336" s="140" t="str">
        <x:f>IF(A336&lt;$B$29,"Aguardando",IF(A336=$B$29,"Contemplado","Pos-contemplacao"))</x:f>
        <x:v>Pos-contemplacao</x:v>
      </x:c>
      <x:c r="K336" s="141" t="n">
        <x:f>IF(A336&gt;=$B$27,0,(K337+E337)/(1+$B$9))</x:f>
        <x:v>0</x:v>
      </x:c>
      <x:c r="L336" s="141" t="n">
        <x:f>IF(A336&lt;$B$29,$B$43/(1+$B$9)^($B$29-A336),0)</x:f>
        <x:v>0</x:v>
      </x:c>
      <x:c r="M336" s="141" t="n">
        <x:f>L336-K336</x:f>
        <x:v>0</x:v>
      </x:c>
    </x:row>
    <x:row r="337">
      <x:c r="A337" s="142" t="n">
        <x:v>283</x:v>
      </x:c>
      <x:c r="B337" s="179" t="n">
        <x:f>EDATE($B$5,A337-1)</x:f>
        <x:v>55123</x:v>
      </x:c>
      <x:c r="C337" s="141" t="n">
        <x:f>$B$6</x:f>
        <x:v>7000</x:v>
      </x:c>
      <x:c r="D337" s="180" t="n">
        <x:f>(1+$B$28)^INT((A337-1)/12)</x:f>
        <x:v>3.819749661573058</x:v>
      </x:c>
      <x:c r="E337" s="141" t="n">
        <x:f>IF(A337&lt;=$B$27,$B$45*D337,0)</x:f>
        <x:v>0</x:v>
      </x:c>
      <x:c r="F337" s="141" t="n">
        <x:f>IF(A337=$B$29,$B$44,0)</x:f>
        <x:v>0</x:v>
      </x:c>
      <x:c r="G337" s="141" t="n">
        <x:f>E337+F337</x:f>
        <x:v>0</x:v>
      </x:c>
      <x:c r="H337" s="141" t="n">
        <x:f>IF(A337=$B$29,$B$42,0)</x:f>
        <x:v>0</x:v>
      </x:c>
      <x:c r="I337" s="141" t="n">
        <x:f>IF(A337=$B$29,$B$43,0)</x:f>
        <x:v>0</x:v>
      </x:c>
      <x:c r="J337" s="140" t="str">
        <x:f>IF(A337&lt;$B$29,"Aguardando",IF(A337=$B$29,"Contemplado","Pos-contemplacao"))</x:f>
        <x:v>Pos-contemplacao</x:v>
      </x:c>
      <x:c r="K337" s="141" t="n">
        <x:f>IF(A337&gt;=$B$27,0,(K338+E338)/(1+$B$9))</x:f>
        <x:v>0</x:v>
      </x:c>
      <x:c r="L337" s="141" t="n">
        <x:f>IF(A337&lt;$B$29,$B$43/(1+$B$9)^($B$29-A337),0)</x:f>
        <x:v>0</x:v>
      </x:c>
      <x:c r="M337" s="141" t="n">
        <x:f>L337-K337</x:f>
        <x:v>0</x:v>
      </x:c>
    </x:row>
    <x:row r="338">
      <x:c r="A338" s="142" t="n">
        <x:v>284</x:v>
      </x:c>
      <x:c r="B338" s="179" t="n">
        <x:f>EDATE($B$5,A338-1)</x:f>
        <x:v>55154</x:v>
      </x:c>
      <x:c r="C338" s="141" t="n">
        <x:f>$B$6</x:f>
        <x:v>7000</x:v>
      </x:c>
      <x:c r="D338" s="180" t="n">
        <x:f>(1+$B$28)^INT((A338-1)/12)</x:f>
        <x:v>3.819749661573058</x:v>
      </x:c>
      <x:c r="E338" s="141" t="n">
        <x:f>IF(A338&lt;=$B$27,$B$45*D338,0)</x:f>
        <x:v>0</x:v>
      </x:c>
      <x:c r="F338" s="141" t="n">
        <x:f>IF(A338=$B$29,$B$44,0)</x:f>
        <x:v>0</x:v>
      </x:c>
      <x:c r="G338" s="141" t="n">
        <x:f>E338+F338</x:f>
        <x:v>0</x:v>
      </x:c>
      <x:c r="H338" s="141" t="n">
        <x:f>IF(A338=$B$29,$B$42,0)</x:f>
        <x:v>0</x:v>
      </x:c>
      <x:c r="I338" s="141" t="n">
        <x:f>IF(A338=$B$29,$B$43,0)</x:f>
        <x:v>0</x:v>
      </x:c>
      <x:c r="J338" s="140" t="str">
        <x:f>IF(A338&lt;$B$29,"Aguardando",IF(A338=$B$29,"Contemplado","Pos-contemplacao"))</x:f>
        <x:v>Pos-contemplacao</x:v>
      </x:c>
      <x:c r="K338" s="141" t="n">
        <x:f>IF(A338&gt;=$B$27,0,(K339+E339)/(1+$B$9))</x:f>
        <x:v>0</x:v>
      </x:c>
      <x:c r="L338" s="141" t="n">
        <x:f>IF(A338&lt;$B$29,$B$43/(1+$B$9)^($B$29-A338),0)</x:f>
        <x:v>0</x:v>
      </x:c>
      <x:c r="M338" s="141" t="n">
        <x:f>L338-K338</x:f>
        <x:v>0</x:v>
      </x:c>
    </x:row>
    <x:row r="339">
      <x:c r="A339" s="142" t="n">
        <x:v>285</x:v>
      </x:c>
      <x:c r="B339" s="179" t="n">
        <x:f>EDATE($B$5,A339-1)</x:f>
        <x:v>55185</x:v>
      </x:c>
      <x:c r="C339" s="141" t="n">
        <x:f>$B$6</x:f>
        <x:v>7000</x:v>
      </x:c>
      <x:c r="D339" s="180" t="n">
        <x:f>(1+$B$28)^INT((A339-1)/12)</x:f>
        <x:v>3.819749661573058</x:v>
      </x:c>
      <x:c r="E339" s="141" t="n">
        <x:f>IF(A339&lt;=$B$27,$B$45*D339,0)</x:f>
        <x:v>0</x:v>
      </x:c>
      <x:c r="F339" s="141" t="n">
        <x:f>IF(A339=$B$29,$B$44,0)</x:f>
        <x:v>0</x:v>
      </x:c>
      <x:c r="G339" s="141" t="n">
        <x:f>E339+F339</x:f>
        <x:v>0</x:v>
      </x:c>
      <x:c r="H339" s="141" t="n">
        <x:f>IF(A339=$B$29,$B$42,0)</x:f>
        <x:v>0</x:v>
      </x:c>
      <x:c r="I339" s="141" t="n">
        <x:f>IF(A339=$B$29,$B$43,0)</x:f>
        <x:v>0</x:v>
      </x:c>
      <x:c r="J339" s="140" t="str">
        <x:f>IF(A339&lt;$B$29,"Aguardando",IF(A339=$B$29,"Contemplado","Pos-contemplacao"))</x:f>
        <x:v>Pos-contemplacao</x:v>
      </x:c>
      <x:c r="K339" s="141" t="n">
        <x:f>IF(A339&gt;=$B$27,0,(K340+E340)/(1+$B$9))</x:f>
        <x:v>0</x:v>
      </x:c>
      <x:c r="L339" s="141" t="n">
        <x:f>IF(A339&lt;$B$29,$B$43/(1+$B$9)^($B$29-A339),0)</x:f>
        <x:v>0</x:v>
      </x:c>
      <x:c r="M339" s="141" t="n">
        <x:f>L339-K339</x:f>
        <x:v>0</x:v>
      </x:c>
    </x:row>
    <x:row r="340">
      <x:c r="A340" s="142" t="n">
        <x:v>286</x:v>
      </x:c>
      <x:c r="B340" s="179" t="n">
        <x:f>EDATE($B$5,A340-1)</x:f>
        <x:v>55213</x:v>
      </x:c>
      <x:c r="C340" s="141" t="n">
        <x:f>$B$6</x:f>
        <x:v>7000</x:v>
      </x:c>
      <x:c r="D340" s="180" t="n">
        <x:f>(1+$B$28)^INT((A340-1)/12)</x:f>
        <x:v>3.819749661573058</x:v>
      </x:c>
      <x:c r="E340" s="141" t="n">
        <x:f>IF(A340&lt;=$B$27,$B$45*D340,0)</x:f>
        <x:v>0</x:v>
      </x:c>
      <x:c r="F340" s="141" t="n">
        <x:f>IF(A340=$B$29,$B$44,0)</x:f>
        <x:v>0</x:v>
      </x:c>
      <x:c r="G340" s="141" t="n">
        <x:f>E340+F340</x:f>
        <x:v>0</x:v>
      </x:c>
      <x:c r="H340" s="141" t="n">
        <x:f>IF(A340=$B$29,$B$42,0)</x:f>
        <x:v>0</x:v>
      </x:c>
      <x:c r="I340" s="141" t="n">
        <x:f>IF(A340=$B$29,$B$43,0)</x:f>
        <x:v>0</x:v>
      </x:c>
      <x:c r="J340" s="140" t="str">
        <x:f>IF(A340&lt;$B$29,"Aguardando",IF(A340=$B$29,"Contemplado","Pos-contemplacao"))</x:f>
        <x:v>Pos-contemplacao</x:v>
      </x:c>
      <x:c r="K340" s="141" t="n">
        <x:f>IF(A340&gt;=$B$27,0,(K341+E341)/(1+$B$9))</x:f>
        <x:v>0</x:v>
      </x:c>
      <x:c r="L340" s="141" t="n">
        <x:f>IF(A340&lt;$B$29,$B$43/(1+$B$9)^($B$29-A340),0)</x:f>
        <x:v>0</x:v>
      </x:c>
      <x:c r="M340" s="141" t="n">
        <x:f>L340-K340</x:f>
        <x:v>0</x:v>
      </x:c>
    </x:row>
    <x:row r="341">
      <x:c r="A341" s="142" t="n">
        <x:v>287</x:v>
      </x:c>
      <x:c r="B341" s="179" t="n">
        <x:f>EDATE($B$5,A341-1)</x:f>
        <x:v>55244</x:v>
      </x:c>
      <x:c r="C341" s="141" t="n">
        <x:f>$B$6</x:f>
        <x:v>7000</x:v>
      </x:c>
      <x:c r="D341" s="180" t="n">
        <x:f>(1+$B$28)^INT((A341-1)/12)</x:f>
        <x:v>3.819749661573058</x:v>
      </x:c>
      <x:c r="E341" s="141" t="n">
        <x:f>IF(A341&lt;=$B$27,$B$45*D341,0)</x:f>
        <x:v>0</x:v>
      </x:c>
      <x:c r="F341" s="141" t="n">
        <x:f>IF(A341=$B$29,$B$44,0)</x:f>
        <x:v>0</x:v>
      </x:c>
      <x:c r="G341" s="141" t="n">
        <x:f>E341+F341</x:f>
        <x:v>0</x:v>
      </x:c>
      <x:c r="H341" s="141" t="n">
        <x:f>IF(A341=$B$29,$B$42,0)</x:f>
        <x:v>0</x:v>
      </x:c>
      <x:c r="I341" s="141" t="n">
        <x:f>IF(A341=$B$29,$B$43,0)</x:f>
        <x:v>0</x:v>
      </x:c>
      <x:c r="J341" s="140" t="str">
        <x:f>IF(A341&lt;$B$29,"Aguardando",IF(A341=$B$29,"Contemplado","Pos-contemplacao"))</x:f>
        <x:v>Pos-contemplacao</x:v>
      </x:c>
      <x:c r="K341" s="141" t="n">
        <x:f>IF(A341&gt;=$B$27,0,(K342+E342)/(1+$B$9))</x:f>
        <x:v>0</x:v>
      </x:c>
      <x:c r="L341" s="141" t="n">
        <x:f>IF(A341&lt;$B$29,$B$43/(1+$B$9)^($B$29-A341),0)</x:f>
        <x:v>0</x:v>
      </x:c>
      <x:c r="M341" s="141" t="n">
        <x:f>L341-K341</x:f>
        <x:v>0</x:v>
      </x:c>
    </x:row>
    <x:row r="342">
      <x:c r="A342" s="142" t="n">
        <x:v>288</x:v>
      </x:c>
      <x:c r="B342" s="179" t="n">
        <x:f>EDATE($B$5,A342-1)</x:f>
        <x:v>55274</x:v>
      </x:c>
      <x:c r="C342" s="141" t="n">
        <x:f>$B$6</x:f>
        <x:v>7000</x:v>
      </x:c>
      <x:c r="D342" s="180" t="n">
        <x:f>(1+$B$28)^INT((A342-1)/12)</x:f>
        <x:v>3.819749661573058</x:v>
      </x:c>
      <x:c r="E342" s="141" t="n">
        <x:f>IF(A342&lt;=$B$27,$B$45*D342,0)</x:f>
        <x:v>0</x:v>
      </x:c>
      <x:c r="F342" s="141" t="n">
        <x:f>IF(A342=$B$29,$B$44,0)</x:f>
        <x:v>0</x:v>
      </x:c>
      <x:c r="G342" s="141" t="n">
        <x:f>E342+F342</x:f>
        <x:v>0</x:v>
      </x:c>
      <x:c r="H342" s="141" t="n">
        <x:f>IF(A342=$B$29,$B$42,0)</x:f>
        <x:v>0</x:v>
      </x:c>
      <x:c r="I342" s="141" t="n">
        <x:f>IF(A342=$B$29,$B$43,0)</x:f>
        <x:v>0</x:v>
      </x:c>
      <x:c r="J342" s="140" t="str">
        <x:f>IF(A342&lt;$B$29,"Aguardando",IF(A342=$B$29,"Contemplado","Pos-contemplacao"))</x:f>
        <x:v>Pos-contemplacao</x:v>
      </x:c>
      <x:c r="K342" s="141" t="n">
        <x:f>IF(A342&gt;=$B$27,0,(K343+E343)/(1+$B$9))</x:f>
        <x:v>0</x:v>
      </x:c>
      <x:c r="L342" s="141" t="n">
        <x:f>IF(A342&lt;$B$29,$B$43/(1+$B$9)^($B$29-A342),0)</x:f>
        <x:v>0</x:v>
      </x:c>
      <x:c r="M342" s="141" t="n">
        <x:f>L342-K342</x:f>
        <x:v>0</x:v>
      </x:c>
    </x:row>
    <x:row r="343">
      <x:c r="A343" s="142" t="n">
        <x:v>289</x:v>
      </x:c>
      <x:c r="B343" s="179" t="n">
        <x:f>EDATE($B$5,A343-1)</x:f>
        <x:v>55305</x:v>
      </x:c>
      <x:c r="C343" s="141" t="n">
        <x:f>$B$6</x:f>
        <x:v>7000</x:v>
      </x:c>
      <x:c r="D343" s="180" t="n">
        <x:f>(1+$B$28)^INT((A343-1)/12)</x:f>
        <x:v>4.048934641267442</x:v>
      </x:c>
      <x:c r="E343" s="141" t="n">
        <x:f>IF(A343&lt;=$B$27,$B$45*D343,0)</x:f>
        <x:v>0</x:v>
      </x:c>
      <x:c r="F343" s="141" t="n">
        <x:f>IF(A343=$B$29,$B$44,0)</x:f>
        <x:v>0</x:v>
      </x:c>
      <x:c r="G343" s="141" t="n">
        <x:f>E343+F343</x:f>
        <x:v>0</x:v>
      </x:c>
      <x:c r="H343" s="141" t="n">
        <x:f>IF(A343=$B$29,$B$42,0)</x:f>
        <x:v>0</x:v>
      </x:c>
      <x:c r="I343" s="141" t="n">
        <x:f>IF(A343=$B$29,$B$43,0)</x:f>
        <x:v>0</x:v>
      </x:c>
      <x:c r="J343" s="140" t="str">
        <x:f>IF(A343&lt;$B$29,"Aguardando",IF(A343=$B$29,"Contemplado","Pos-contemplacao"))</x:f>
        <x:v>Pos-contemplacao</x:v>
      </x:c>
      <x:c r="K343" s="141" t="n">
        <x:f>IF(A343&gt;=$B$27,0,(K344+E344)/(1+$B$9))</x:f>
        <x:v>0</x:v>
      </x:c>
      <x:c r="L343" s="141" t="n">
        <x:f>IF(A343&lt;$B$29,$B$43/(1+$B$9)^($B$29-A343),0)</x:f>
        <x:v>0</x:v>
      </x:c>
      <x:c r="M343" s="141" t="n">
        <x:f>L343-K343</x:f>
        <x:v>0</x:v>
      </x:c>
    </x:row>
    <x:row r="344">
      <x:c r="A344" s="142" t="n">
        <x:v>290</x:v>
      </x:c>
      <x:c r="B344" s="179" t="n">
        <x:f>EDATE($B$5,A344-1)</x:f>
        <x:v>55335</x:v>
      </x:c>
      <x:c r="C344" s="141" t="n">
        <x:f>$B$6</x:f>
        <x:v>7000</x:v>
      </x:c>
      <x:c r="D344" s="180" t="n">
        <x:f>(1+$B$28)^INT((A344-1)/12)</x:f>
        <x:v>4.048934641267442</x:v>
      </x:c>
      <x:c r="E344" s="141" t="n">
        <x:f>IF(A344&lt;=$B$27,$B$45*D344,0)</x:f>
        <x:v>0</x:v>
      </x:c>
      <x:c r="F344" s="141" t="n">
        <x:f>IF(A344=$B$29,$B$44,0)</x:f>
        <x:v>0</x:v>
      </x:c>
      <x:c r="G344" s="141" t="n">
        <x:f>E344+F344</x:f>
        <x:v>0</x:v>
      </x:c>
      <x:c r="H344" s="141" t="n">
        <x:f>IF(A344=$B$29,$B$42,0)</x:f>
        <x:v>0</x:v>
      </x:c>
      <x:c r="I344" s="141" t="n">
        <x:f>IF(A344=$B$29,$B$43,0)</x:f>
        <x:v>0</x:v>
      </x:c>
      <x:c r="J344" s="140" t="str">
        <x:f>IF(A344&lt;$B$29,"Aguardando",IF(A344=$B$29,"Contemplado","Pos-contemplacao"))</x:f>
        <x:v>Pos-contemplacao</x:v>
      </x:c>
      <x:c r="K344" s="141" t="n">
        <x:f>IF(A344&gt;=$B$27,0,(K345+E345)/(1+$B$9))</x:f>
        <x:v>0</x:v>
      </x:c>
      <x:c r="L344" s="141" t="n">
        <x:f>IF(A344&lt;$B$29,$B$43/(1+$B$9)^($B$29-A344),0)</x:f>
        <x:v>0</x:v>
      </x:c>
      <x:c r="M344" s="141" t="n">
        <x:f>L344-K344</x:f>
        <x:v>0</x:v>
      </x:c>
    </x:row>
    <x:row r="345">
      <x:c r="A345" s="142" t="n">
        <x:v>291</x:v>
      </x:c>
      <x:c r="B345" s="179" t="n">
        <x:f>EDATE($B$5,A345-1)</x:f>
        <x:v>55366</x:v>
      </x:c>
      <x:c r="C345" s="141" t="n">
        <x:f>$B$6</x:f>
        <x:v>7000</x:v>
      </x:c>
      <x:c r="D345" s="180" t="n">
        <x:f>(1+$B$28)^INT((A345-1)/12)</x:f>
        <x:v>4.048934641267442</x:v>
      </x:c>
      <x:c r="E345" s="141" t="n">
        <x:f>IF(A345&lt;=$B$27,$B$45*D345,0)</x:f>
        <x:v>0</x:v>
      </x:c>
      <x:c r="F345" s="141" t="n">
        <x:f>IF(A345=$B$29,$B$44,0)</x:f>
        <x:v>0</x:v>
      </x:c>
      <x:c r="G345" s="141" t="n">
        <x:f>E345+F345</x:f>
        <x:v>0</x:v>
      </x:c>
      <x:c r="H345" s="141" t="n">
        <x:f>IF(A345=$B$29,$B$42,0)</x:f>
        <x:v>0</x:v>
      </x:c>
      <x:c r="I345" s="141" t="n">
        <x:f>IF(A345=$B$29,$B$43,0)</x:f>
        <x:v>0</x:v>
      </x:c>
      <x:c r="J345" s="140" t="str">
        <x:f>IF(A345&lt;$B$29,"Aguardando",IF(A345=$B$29,"Contemplado","Pos-contemplacao"))</x:f>
        <x:v>Pos-contemplacao</x:v>
      </x:c>
      <x:c r="K345" s="141" t="n">
        <x:f>IF(A345&gt;=$B$27,0,(K346+E346)/(1+$B$9))</x:f>
        <x:v>0</x:v>
      </x:c>
      <x:c r="L345" s="141" t="n">
        <x:f>IF(A345&lt;$B$29,$B$43/(1+$B$9)^($B$29-A345),0)</x:f>
        <x:v>0</x:v>
      </x:c>
      <x:c r="M345" s="141" t="n">
        <x:f>L345-K345</x:f>
        <x:v>0</x:v>
      </x:c>
    </x:row>
    <x:row r="346">
      <x:c r="A346" s="142" t="n">
        <x:v>292</x:v>
      </x:c>
      <x:c r="B346" s="179" t="n">
        <x:f>EDATE($B$5,A346-1)</x:f>
        <x:v>55397</x:v>
      </x:c>
      <x:c r="C346" s="141" t="n">
        <x:f>$B$6</x:f>
        <x:v>7000</x:v>
      </x:c>
      <x:c r="D346" s="180" t="n">
        <x:f>(1+$B$28)^INT((A346-1)/12)</x:f>
        <x:v>4.048934641267442</x:v>
      </x:c>
      <x:c r="E346" s="141" t="n">
        <x:f>IF(A346&lt;=$B$27,$B$45*D346,0)</x:f>
        <x:v>0</x:v>
      </x:c>
      <x:c r="F346" s="141" t="n">
        <x:f>IF(A346=$B$29,$B$44,0)</x:f>
        <x:v>0</x:v>
      </x:c>
      <x:c r="G346" s="141" t="n">
        <x:f>E346+F346</x:f>
        <x:v>0</x:v>
      </x:c>
      <x:c r="H346" s="141" t="n">
        <x:f>IF(A346=$B$29,$B$42,0)</x:f>
        <x:v>0</x:v>
      </x:c>
      <x:c r="I346" s="141" t="n">
        <x:f>IF(A346=$B$29,$B$43,0)</x:f>
        <x:v>0</x:v>
      </x:c>
      <x:c r="J346" s="140" t="str">
        <x:f>IF(A346&lt;$B$29,"Aguardando",IF(A346=$B$29,"Contemplado","Pos-contemplacao"))</x:f>
        <x:v>Pos-contemplacao</x:v>
      </x:c>
      <x:c r="K346" s="141" t="n">
        <x:f>IF(A346&gt;=$B$27,0,(K347+E347)/(1+$B$9))</x:f>
        <x:v>0</x:v>
      </x:c>
      <x:c r="L346" s="141" t="n">
        <x:f>IF(A346&lt;$B$29,$B$43/(1+$B$9)^($B$29-A346),0)</x:f>
        <x:v>0</x:v>
      </x:c>
      <x:c r="M346" s="141" t="n">
        <x:f>L346-K346</x:f>
        <x:v>0</x:v>
      </x:c>
    </x:row>
    <x:row r="347">
      <x:c r="A347" s="142" t="n">
        <x:v>293</x:v>
      </x:c>
      <x:c r="B347" s="179" t="n">
        <x:f>EDATE($B$5,A347-1)</x:f>
        <x:v>55427</x:v>
      </x:c>
      <x:c r="C347" s="141" t="n">
        <x:f>$B$6</x:f>
        <x:v>7000</x:v>
      </x:c>
      <x:c r="D347" s="180" t="n">
        <x:f>(1+$B$28)^INT((A347-1)/12)</x:f>
        <x:v>4.048934641267442</x:v>
      </x:c>
      <x:c r="E347" s="141" t="n">
        <x:f>IF(A347&lt;=$B$27,$B$45*D347,0)</x:f>
        <x:v>0</x:v>
      </x:c>
      <x:c r="F347" s="141" t="n">
        <x:f>IF(A347=$B$29,$B$44,0)</x:f>
        <x:v>0</x:v>
      </x:c>
      <x:c r="G347" s="141" t="n">
        <x:f>E347+F347</x:f>
        <x:v>0</x:v>
      </x:c>
      <x:c r="H347" s="141" t="n">
        <x:f>IF(A347=$B$29,$B$42,0)</x:f>
        <x:v>0</x:v>
      </x:c>
      <x:c r="I347" s="141" t="n">
        <x:f>IF(A347=$B$29,$B$43,0)</x:f>
        <x:v>0</x:v>
      </x:c>
      <x:c r="J347" s="140" t="str">
        <x:f>IF(A347&lt;$B$29,"Aguardando",IF(A347=$B$29,"Contemplado","Pos-contemplacao"))</x:f>
        <x:v>Pos-contemplacao</x:v>
      </x:c>
      <x:c r="K347" s="141" t="n">
        <x:f>IF(A347&gt;=$B$27,0,(K348+E348)/(1+$B$9))</x:f>
        <x:v>0</x:v>
      </x:c>
      <x:c r="L347" s="141" t="n">
        <x:f>IF(A347&lt;$B$29,$B$43/(1+$B$9)^($B$29-A347),0)</x:f>
        <x:v>0</x:v>
      </x:c>
      <x:c r="M347" s="141" t="n">
        <x:f>L347-K347</x:f>
        <x:v>0</x:v>
      </x:c>
    </x:row>
    <x:row r="348">
      <x:c r="A348" s="142" t="n">
        <x:v>294</x:v>
      </x:c>
      <x:c r="B348" s="179" t="n">
        <x:f>EDATE($B$5,A348-1)</x:f>
        <x:v>55458</x:v>
      </x:c>
      <x:c r="C348" s="141" t="n">
        <x:f>$B$6</x:f>
        <x:v>7000</x:v>
      </x:c>
      <x:c r="D348" s="180" t="n">
        <x:f>(1+$B$28)^INT((A348-1)/12)</x:f>
        <x:v>4.048934641267442</x:v>
      </x:c>
      <x:c r="E348" s="141" t="n">
        <x:f>IF(A348&lt;=$B$27,$B$45*D348,0)</x:f>
        <x:v>0</x:v>
      </x:c>
      <x:c r="F348" s="141" t="n">
        <x:f>IF(A348=$B$29,$B$44,0)</x:f>
        <x:v>0</x:v>
      </x:c>
      <x:c r="G348" s="141" t="n">
        <x:f>E348+F348</x:f>
        <x:v>0</x:v>
      </x:c>
      <x:c r="H348" s="141" t="n">
        <x:f>IF(A348=$B$29,$B$42,0)</x:f>
        <x:v>0</x:v>
      </x:c>
      <x:c r="I348" s="141" t="n">
        <x:f>IF(A348=$B$29,$B$43,0)</x:f>
        <x:v>0</x:v>
      </x:c>
      <x:c r="J348" s="140" t="str">
        <x:f>IF(A348&lt;$B$29,"Aguardando",IF(A348=$B$29,"Contemplado","Pos-contemplacao"))</x:f>
        <x:v>Pos-contemplacao</x:v>
      </x:c>
      <x:c r="K348" s="141" t="n">
        <x:f>IF(A348&gt;=$B$27,0,(K349+E349)/(1+$B$9))</x:f>
        <x:v>0</x:v>
      </x:c>
      <x:c r="L348" s="141" t="n">
        <x:f>IF(A348&lt;$B$29,$B$43/(1+$B$9)^($B$29-A348),0)</x:f>
        <x:v>0</x:v>
      </x:c>
      <x:c r="M348" s="141" t="n">
        <x:f>L348-K348</x:f>
        <x:v>0</x:v>
      </x:c>
    </x:row>
    <x:row r="349">
      <x:c r="A349" s="142" t="n">
        <x:v>295</x:v>
      </x:c>
      <x:c r="B349" s="179" t="n">
        <x:f>EDATE($B$5,A349-1)</x:f>
        <x:v>55488</x:v>
      </x:c>
      <x:c r="C349" s="141" t="n">
        <x:f>$B$6</x:f>
        <x:v>7000</x:v>
      </x:c>
      <x:c r="D349" s="180" t="n">
        <x:f>(1+$B$28)^INT((A349-1)/12)</x:f>
        <x:v>4.048934641267442</x:v>
      </x:c>
      <x:c r="E349" s="141" t="n">
        <x:f>IF(A349&lt;=$B$27,$B$45*D349,0)</x:f>
        <x:v>0</x:v>
      </x:c>
      <x:c r="F349" s="141" t="n">
        <x:f>IF(A349=$B$29,$B$44,0)</x:f>
        <x:v>0</x:v>
      </x:c>
      <x:c r="G349" s="141" t="n">
        <x:f>E349+F349</x:f>
        <x:v>0</x:v>
      </x:c>
      <x:c r="H349" s="141" t="n">
        <x:f>IF(A349=$B$29,$B$42,0)</x:f>
        <x:v>0</x:v>
      </x:c>
      <x:c r="I349" s="141" t="n">
        <x:f>IF(A349=$B$29,$B$43,0)</x:f>
        <x:v>0</x:v>
      </x:c>
      <x:c r="J349" s="140" t="str">
        <x:f>IF(A349&lt;$B$29,"Aguardando",IF(A349=$B$29,"Contemplado","Pos-contemplacao"))</x:f>
        <x:v>Pos-contemplacao</x:v>
      </x:c>
      <x:c r="K349" s="141" t="n">
        <x:f>IF(A349&gt;=$B$27,0,(K350+E350)/(1+$B$9))</x:f>
        <x:v>0</x:v>
      </x:c>
      <x:c r="L349" s="141" t="n">
        <x:f>IF(A349&lt;$B$29,$B$43/(1+$B$9)^($B$29-A349),0)</x:f>
        <x:v>0</x:v>
      </x:c>
      <x:c r="M349" s="141" t="n">
        <x:f>L349-K349</x:f>
        <x:v>0</x:v>
      </x:c>
    </x:row>
    <x:row r="350">
      <x:c r="A350" s="142" t="n">
        <x:v>296</x:v>
      </x:c>
      <x:c r="B350" s="179" t="n">
        <x:f>EDATE($B$5,A350-1)</x:f>
        <x:v>55519</x:v>
      </x:c>
      <x:c r="C350" s="141" t="n">
        <x:f>$B$6</x:f>
        <x:v>7000</x:v>
      </x:c>
      <x:c r="D350" s="180" t="n">
        <x:f>(1+$B$28)^INT((A350-1)/12)</x:f>
        <x:v>4.048934641267442</x:v>
      </x:c>
      <x:c r="E350" s="141" t="n">
        <x:f>IF(A350&lt;=$B$27,$B$45*D350,0)</x:f>
        <x:v>0</x:v>
      </x:c>
      <x:c r="F350" s="141" t="n">
        <x:f>IF(A350=$B$29,$B$44,0)</x:f>
        <x:v>0</x:v>
      </x:c>
      <x:c r="G350" s="141" t="n">
        <x:f>E350+F350</x:f>
        <x:v>0</x:v>
      </x:c>
      <x:c r="H350" s="141" t="n">
        <x:f>IF(A350=$B$29,$B$42,0)</x:f>
        <x:v>0</x:v>
      </x:c>
      <x:c r="I350" s="141" t="n">
        <x:f>IF(A350=$B$29,$B$43,0)</x:f>
        <x:v>0</x:v>
      </x:c>
      <x:c r="J350" s="140" t="str">
        <x:f>IF(A350&lt;$B$29,"Aguardando",IF(A350=$B$29,"Contemplado","Pos-contemplacao"))</x:f>
        <x:v>Pos-contemplacao</x:v>
      </x:c>
      <x:c r="K350" s="141" t="n">
        <x:f>IF(A350&gt;=$B$27,0,(K351+E351)/(1+$B$9))</x:f>
        <x:v>0</x:v>
      </x:c>
      <x:c r="L350" s="141" t="n">
        <x:f>IF(A350&lt;$B$29,$B$43/(1+$B$9)^($B$29-A350),0)</x:f>
        <x:v>0</x:v>
      </x:c>
      <x:c r="M350" s="141" t="n">
        <x:f>L350-K350</x:f>
        <x:v>0</x:v>
      </x:c>
    </x:row>
    <x:row r="351">
      <x:c r="A351" s="142" t="n">
        <x:v>297</x:v>
      </x:c>
      <x:c r="B351" s="179" t="n">
        <x:f>EDATE($B$5,A351-1)</x:f>
        <x:v>55550</x:v>
      </x:c>
      <x:c r="C351" s="141" t="n">
        <x:f>$B$6</x:f>
        <x:v>7000</x:v>
      </x:c>
      <x:c r="D351" s="180" t="n">
        <x:f>(1+$B$28)^INT((A351-1)/12)</x:f>
        <x:v>4.048934641267442</x:v>
      </x:c>
      <x:c r="E351" s="141" t="n">
        <x:f>IF(A351&lt;=$B$27,$B$45*D351,0)</x:f>
        <x:v>0</x:v>
      </x:c>
      <x:c r="F351" s="141" t="n">
        <x:f>IF(A351=$B$29,$B$44,0)</x:f>
        <x:v>0</x:v>
      </x:c>
      <x:c r="G351" s="141" t="n">
        <x:f>E351+F351</x:f>
        <x:v>0</x:v>
      </x:c>
      <x:c r="H351" s="141" t="n">
        <x:f>IF(A351=$B$29,$B$42,0)</x:f>
        <x:v>0</x:v>
      </x:c>
      <x:c r="I351" s="141" t="n">
        <x:f>IF(A351=$B$29,$B$43,0)</x:f>
        <x:v>0</x:v>
      </x:c>
      <x:c r="J351" s="140" t="str">
        <x:f>IF(A351&lt;$B$29,"Aguardando",IF(A351=$B$29,"Contemplado","Pos-contemplacao"))</x:f>
        <x:v>Pos-contemplacao</x:v>
      </x:c>
      <x:c r="K351" s="141" t="n">
        <x:f>IF(A351&gt;=$B$27,0,(K352+E352)/(1+$B$9))</x:f>
        <x:v>0</x:v>
      </x:c>
      <x:c r="L351" s="141" t="n">
        <x:f>IF(A351&lt;$B$29,$B$43/(1+$B$9)^($B$29-A351),0)</x:f>
        <x:v>0</x:v>
      </x:c>
      <x:c r="M351" s="141" t="n">
        <x:f>L351-K351</x:f>
        <x:v>0</x:v>
      </x:c>
    </x:row>
    <x:row r="352">
      <x:c r="A352" s="142" t="n">
        <x:v>298</x:v>
      </x:c>
      <x:c r="B352" s="179" t="n">
        <x:f>EDATE($B$5,A352-1)</x:f>
        <x:v>55579</x:v>
      </x:c>
      <x:c r="C352" s="141" t="n">
        <x:f>$B$6</x:f>
        <x:v>7000</x:v>
      </x:c>
      <x:c r="D352" s="180" t="n">
        <x:f>(1+$B$28)^INT((A352-1)/12)</x:f>
        <x:v>4.048934641267442</x:v>
      </x:c>
      <x:c r="E352" s="141" t="n">
        <x:f>IF(A352&lt;=$B$27,$B$45*D352,0)</x:f>
        <x:v>0</x:v>
      </x:c>
      <x:c r="F352" s="141" t="n">
        <x:f>IF(A352=$B$29,$B$44,0)</x:f>
        <x:v>0</x:v>
      </x:c>
      <x:c r="G352" s="141" t="n">
        <x:f>E352+F352</x:f>
        <x:v>0</x:v>
      </x:c>
      <x:c r="H352" s="141" t="n">
        <x:f>IF(A352=$B$29,$B$42,0)</x:f>
        <x:v>0</x:v>
      </x:c>
      <x:c r="I352" s="141" t="n">
        <x:f>IF(A352=$B$29,$B$43,0)</x:f>
        <x:v>0</x:v>
      </x:c>
      <x:c r="J352" s="140" t="str">
        <x:f>IF(A352&lt;$B$29,"Aguardando",IF(A352=$B$29,"Contemplado","Pos-contemplacao"))</x:f>
        <x:v>Pos-contemplacao</x:v>
      </x:c>
      <x:c r="K352" s="141" t="n">
        <x:f>IF(A352&gt;=$B$27,0,(K353+E353)/(1+$B$9))</x:f>
        <x:v>0</x:v>
      </x:c>
      <x:c r="L352" s="141" t="n">
        <x:f>IF(A352&lt;$B$29,$B$43/(1+$B$9)^($B$29-A352),0)</x:f>
        <x:v>0</x:v>
      </x:c>
      <x:c r="M352" s="141" t="n">
        <x:f>L352-K352</x:f>
        <x:v>0</x:v>
      </x:c>
    </x:row>
    <x:row r="353">
      <x:c r="A353" s="142" t="n">
        <x:v>299</x:v>
      </x:c>
      <x:c r="B353" s="179" t="n">
        <x:f>EDATE($B$5,A353-1)</x:f>
        <x:v>55610</x:v>
      </x:c>
      <x:c r="C353" s="141" t="n">
        <x:f>$B$6</x:f>
        <x:v>7000</x:v>
      </x:c>
      <x:c r="D353" s="180" t="n">
        <x:f>(1+$B$28)^INT((A353-1)/12)</x:f>
        <x:v>4.048934641267442</x:v>
      </x:c>
      <x:c r="E353" s="141" t="n">
        <x:f>IF(A353&lt;=$B$27,$B$45*D353,0)</x:f>
        <x:v>0</x:v>
      </x:c>
      <x:c r="F353" s="141" t="n">
        <x:f>IF(A353=$B$29,$B$44,0)</x:f>
        <x:v>0</x:v>
      </x:c>
      <x:c r="G353" s="141" t="n">
        <x:f>E353+F353</x:f>
        <x:v>0</x:v>
      </x:c>
      <x:c r="H353" s="141" t="n">
        <x:f>IF(A353=$B$29,$B$42,0)</x:f>
        <x:v>0</x:v>
      </x:c>
      <x:c r="I353" s="141" t="n">
        <x:f>IF(A353=$B$29,$B$43,0)</x:f>
        <x:v>0</x:v>
      </x:c>
      <x:c r="J353" s="140" t="str">
        <x:f>IF(A353&lt;$B$29,"Aguardando",IF(A353=$B$29,"Contemplado","Pos-contemplacao"))</x:f>
        <x:v>Pos-contemplacao</x:v>
      </x:c>
      <x:c r="K353" s="141" t="n">
        <x:f>IF(A353&gt;=$B$27,0,(K354+E354)/(1+$B$9))</x:f>
        <x:v>0</x:v>
      </x:c>
      <x:c r="L353" s="141" t="n">
        <x:f>IF(A353&lt;$B$29,$B$43/(1+$B$9)^($B$29-A353),0)</x:f>
        <x:v>0</x:v>
      </x:c>
      <x:c r="M353" s="141" t="n">
        <x:f>L353-K353</x:f>
        <x:v>0</x:v>
      </x:c>
    </x:row>
    <x:row r="354">
      <x:c r="A354" s="142" t="n">
        <x:v>300</x:v>
      </x:c>
      <x:c r="B354" s="179" t="n">
        <x:f>EDATE($B$5,A354-1)</x:f>
        <x:v>55640</x:v>
      </x:c>
      <x:c r="C354" s="141" t="n">
        <x:f>$B$6</x:f>
        <x:v>7000</x:v>
      </x:c>
      <x:c r="D354" s="180" t="n">
        <x:f>(1+$B$28)^INT((A354-1)/12)</x:f>
        <x:v>4.048934641267442</x:v>
      </x:c>
      <x:c r="E354" s="141" t="n">
        <x:f>IF(A354&lt;=$B$27,$B$45*D354,0)</x:f>
        <x:v>0</x:v>
      </x:c>
      <x:c r="F354" s="141" t="n">
        <x:f>IF(A354=$B$29,$B$44,0)</x:f>
        <x:v>0</x:v>
      </x:c>
      <x:c r="G354" s="141" t="n">
        <x:f>E354+F354</x:f>
        <x:v>0</x:v>
      </x:c>
      <x:c r="H354" s="141" t="n">
        <x:f>IF(A354=$B$29,$B$42,0)</x:f>
        <x:v>0</x:v>
      </x:c>
      <x:c r="I354" s="141" t="n">
        <x:f>IF(A354=$B$29,$B$43,0)</x:f>
        <x:v>0</x:v>
      </x:c>
      <x:c r="J354" s="140" t="str">
        <x:f>IF(A354&lt;$B$29,"Aguardando",IF(A354=$B$29,"Contemplado","Pos-contemplacao"))</x:f>
        <x:v>Pos-contemplacao</x:v>
      </x:c>
      <x:c r="K354" s="141" t="n">
        <x:f>IF(A354&gt;=$B$27,0,(K355+E355)/(1+$B$9))</x:f>
        <x:v>0</x:v>
      </x:c>
      <x:c r="L354" s="141" t="n">
        <x:f>IF(A354&lt;$B$29,$B$43/(1+$B$9)^($B$29-A354),0)</x:f>
        <x:v>0</x:v>
      </x:c>
      <x:c r="M354" s="141" t="n">
        <x:f>L354-K354</x:f>
        <x:v>0</x:v>
      </x:c>
    </x:row>
    <x:row r="355">
      <x:c r="A355" s="142" t="n">
        <x:v>301</x:v>
      </x:c>
      <x:c r="B355" s="179" t="n">
        <x:f>EDATE($B$5,A355-1)</x:f>
        <x:v>55671</x:v>
      </x:c>
      <x:c r="C355" s="141" t="n">
        <x:f>$B$6</x:f>
        <x:v>7000</x:v>
      </x:c>
      <x:c r="D355" s="180" t="n">
        <x:f>(1+$B$28)^INT((A355-1)/12)</x:f>
        <x:v>4.291870719743488</x:v>
      </x:c>
      <x:c r="E355" s="141" t="n">
        <x:f>IF(A355&lt;=$B$27,$B$45*D355,0)</x:f>
        <x:v>0</x:v>
      </x:c>
      <x:c r="F355" s="141" t="n">
        <x:f>IF(A355=$B$29,$B$44,0)</x:f>
        <x:v>0</x:v>
      </x:c>
      <x:c r="G355" s="141" t="n">
        <x:f>E355+F355</x:f>
        <x:v>0</x:v>
      </x:c>
      <x:c r="H355" s="141" t="n">
        <x:f>IF(A355=$B$29,$B$42,0)</x:f>
        <x:v>0</x:v>
      </x:c>
      <x:c r="I355" s="141" t="n">
        <x:f>IF(A355=$B$29,$B$43,0)</x:f>
        <x:v>0</x:v>
      </x:c>
      <x:c r="J355" s="140" t="str">
        <x:f>IF(A355&lt;$B$29,"Aguardando",IF(A355=$B$29,"Contemplado","Pos-contemplacao"))</x:f>
        <x:v>Pos-contemplacao</x:v>
      </x:c>
      <x:c r="K355" s="141" t="n">
        <x:f>IF(A355&gt;=$B$27,0,(K356+E356)/(1+$B$9))</x:f>
        <x:v>0</x:v>
      </x:c>
      <x:c r="L355" s="141" t="n">
        <x:f>IF(A355&lt;$B$29,$B$43/(1+$B$9)^($B$29-A355),0)</x:f>
        <x:v>0</x:v>
      </x:c>
      <x:c r="M355" s="141" t="n">
        <x:f>L355-K355</x:f>
        <x:v>0</x:v>
      </x:c>
    </x:row>
    <x:row r="356">
      <x:c r="A356" s="142" t="n">
        <x:v>302</x:v>
      </x:c>
      <x:c r="B356" s="179" t="n">
        <x:f>EDATE($B$5,A356-1)</x:f>
        <x:v>55701</x:v>
      </x:c>
      <x:c r="C356" s="141" t="n">
        <x:f>$B$6</x:f>
        <x:v>7000</x:v>
      </x:c>
      <x:c r="D356" s="180" t="n">
        <x:f>(1+$B$28)^INT((A356-1)/12)</x:f>
        <x:v>4.291870719743488</x:v>
      </x:c>
      <x:c r="E356" s="141" t="n">
        <x:f>IF(A356&lt;=$B$27,$B$45*D356,0)</x:f>
        <x:v>0</x:v>
      </x:c>
      <x:c r="F356" s="141" t="n">
        <x:f>IF(A356=$B$29,$B$44,0)</x:f>
        <x:v>0</x:v>
      </x:c>
      <x:c r="G356" s="141" t="n">
        <x:f>E356+F356</x:f>
        <x:v>0</x:v>
      </x:c>
      <x:c r="H356" s="141" t="n">
        <x:f>IF(A356=$B$29,$B$42,0)</x:f>
        <x:v>0</x:v>
      </x:c>
      <x:c r="I356" s="141" t="n">
        <x:f>IF(A356=$B$29,$B$43,0)</x:f>
        <x:v>0</x:v>
      </x:c>
      <x:c r="J356" s="140" t="str">
        <x:f>IF(A356&lt;$B$29,"Aguardando",IF(A356=$B$29,"Contemplado","Pos-contemplacao"))</x:f>
        <x:v>Pos-contemplacao</x:v>
      </x:c>
      <x:c r="K356" s="141" t="n">
        <x:f>IF(A356&gt;=$B$27,0,(K357+E357)/(1+$B$9))</x:f>
        <x:v>0</x:v>
      </x:c>
      <x:c r="L356" s="141" t="n">
        <x:f>IF(A356&lt;$B$29,$B$43/(1+$B$9)^($B$29-A356),0)</x:f>
        <x:v>0</x:v>
      </x:c>
      <x:c r="M356" s="141" t="n">
        <x:f>L356-K356</x:f>
        <x:v>0</x:v>
      </x:c>
    </x:row>
    <x:row r="357">
      <x:c r="A357" s="142" t="n">
        <x:v>303</x:v>
      </x:c>
      <x:c r="B357" s="179" t="n">
        <x:f>EDATE($B$5,A357-1)</x:f>
        <x:v>55732</x:v>
      </x:c>
      <x:c r="C357" s="141" t="n">
        <x:f>$B$6</x:f>
        <x:v>7000</x:v>
      </x:c>
      <x:c r="D357" s="180" t="n">
        <x:f>(1+$B$28)^INT((A357-1)/12)</x:f>
        <x:v>4.291870719743488</x:v>
      </x:c>
      <x:c r="E357" s="141" t="n">
        <x:f>IF(A357&lt;=$B$27,$B$45*D357,0)</x:f>
        <x:v>0</x:v>
      </x:c>
      <x:c r="F357" s="141" t="n">
        <x:f>IF(A357=$B$29,$B$44,0)</x:f>
        <x:v>0</x:v>
      </x:c>
      <x:c r="G357" s="141" t="n">
        <x:f>E357+F357</x:f>
        <x:v>0</x:v>
      </x:c>
      <x:c r="H357" s="141" t="n">
        <x:f>IF(A357=$B$29,$B$42,0)</x:f>
        <x:v>0</x:v>
      </x:c>
      <x:c r="I357" s="141" t="n">
        <x:f>IF(A357=$B$29,$B$43,0)</x:f>
        <x:v>0</x:v>
      </x:c>
      <x:c r="J357" s="140" t="str">
        <x:f>IF(A357&lt;$B$29,"Aguardando",IF(A357=$B$29,"Contemplado","Pos-contemplacao"))</x:f>
        <x:v>Pos-contemplacao</x:v>
      </x:c>
      <x:c r="K357" s="141" t="n">
        <x:f>IF(A357&gt;=$B$27,0,(K358+E358)/(1+$B$9))</x:f>
        <x:v>0</x:v>
      </x:c>
      <x:c r="L357" s="141" t="n">
        <x:f>IF(A357&lt;$B$29,$B$43/(1+$B$9)^($B$29-A357),0)</x:f>
        <x:v>0</x:v>
      </x:c>
      <x:c r="M357" s="141" t="n">
        <x:f>L357-K357</x:f>
        <x:v>0</x:v>
      </x:c>
    </x:row>
    <x:row r="358">
      <x:c r="A358" s="142" t="n">
        <x:v>304</x:v>
      </x:c>
      <x:c r="B358" s="179" t="n">
        <x:f>EDATE($B$5,A358-1)</x:f>
        <x:v>55763</x:v>
      </x:c>
      <x:c r="C358" s="141" t="n">
        <x:f>$B$6</x:f>
        <x:v>7000</x:v>
      </x:c>
      <x:c r="D358" s="180" t="n">
        <x:f>(1+$B$28)^INT((A358-1)/12)</x:f>
        <x:v>4.291870719743488</x:v>
      </x:c>
      <x:c r="E358" s="141" t="n">
        <x:f>IF(A358&lt;=$B$27,$B$45*D358,0)</x:f>
        <x:v>0</x:v>
      </x:c>
      <x:c r="F358" s="141" t="n">
        <x:f>IF(A358=$B$29,$B$44,0)</x:f>
        <x:v>0</x:v>
      </x:c>
      <x:c r="G358" s="141" t="n">
        <x:f>E358+F358</x:f>
        <x:v>0</x:v>
      </x:c>
      <x:c r="H358" s="141" t="n">
        <x:f>IF(A358=$B$29,$B$42,0)</x:f>
        <x:v>0</x:v>
      </x:c>
      <x:c r="I358" s="141" t="n">
        <x:f>IF(A358=$B$29,$B$43,0)</x:f>
        <x:v>0</x:v>
      </x:c>
      <x:c r="J358" s="140" t="str">
        <x:f>IF(A358&lt;$B$29,"Aguardando",IF(A358=$B$29,"Contemplado","Pos-contemplacao"))</x:f>
        <x:v>Pos-contemplacao</x:v>
      </x:c>
      <x:c r="K358" s="141" t="n">
        <x:f>IF(A358&gt;=$B$27,0,(K359+E359)/(1+$B$9))</x:f>
        <x:v>0</x:v>
      </x:c>
      <x:c r="L358" s="141" t="n">
        <x:f>IF(A358&lt;$B$29,$B$43/(1+$B$9)^($B$29-A358),0)</x:f>
        <x:v>0</x:v>
      </x:c>
      <x:c r="M358" s="141" t="n">
        <x:f>L358-K358</x:f>
        <x:v>0</x:v>
      </x:c>
    </x:row>
    <x:row r="359">
      <x:c r="A359" s="142" t="n">
        <x:v>305</x:v>
      </x:c>
      <x:c r="B359" s="179" t="n">
        <x:f>EDATE($B$5,A359-1)</x:f>
        <x:v>55793</x:v>
      </x:c>
      <x:c r="C359" s="141" t="n">
        <x:f>$B$6</x:f>
        <x:v>7000</x:v>
      </x:c>
      <x:c r="D359" s="180" t="n">
        <x:f>(1+$B$28)^INT((A359-1)/12)</x:f>
        <x:v>4.291870719743488</x:v>
      </x:c>
      <x:c r="E359" s="141" t="n">
        <x:f>IF(A359&lt;=$B$27,$B$45*D359,0)</x:f>
        <x:v>0</x:v>
      </x:c>
      <x:c r="F359" s="141" t="n">
        <x:f>IF(A359=$B$29,$B$44,0)</x:f>
        <x:v>0</x:v>
      </x:c>
      <x:c r="G359" s="141" t="n">
        <x:f>E359+F359</x:f>
        <x:v>0</x:v>
      </x:c>
      <x:c r="H359" s="141" t="n">
        <x:f>IF(A359=$B$29,$B$42,0)</x:f>
        <x:v>0</x:v>
      </x:c>
      <x:c r="I359" s="141" t="n">
        <x:f>IF(A359=$B$29,$B$43,0)</x:f>
        <x:v>0</x:v>
      </x:c>
      <x:c r="J359" s="140" t="str">
        <x:f>IF(A359&lt;$B$29,"Aguardando",IF(A359=$B$29,"Contemplado","Pos-contemplacao"))</x:f>
        <x:v>Pos-contemplacao</x:v>
      </x:c>
      <x:c r="K359" s="141" t="n">
        <x:f>IF(A359&gt;=$B$27,0,(K360+E360)/(1+$B$9))</x:f>
        <x:v>0</x:v>
      </x:c>
      <x:c r="L359" s="141" t="n">
        <x:f>IF(A359&lt;$B$29,$B$43/(1+$B$9)^($B$29-A359),0)</x:f>
        <x:v>0</x:v>
      </x:c>
      <x:c r="M359" s="141" t="n">
        <x:f>L359-K359</x:f>
        <x:v>0</x:v>
      </x:c>
    </x:row>
    <x:row r="360">
      <x:c r="A360" s="142" t="n">
        <x:v>306</x:v>
      </x:c>
      <x:c r="B360" s="179" t="n">
        <x:f>EDATE($B$5,A360-1)</x:f>
        <x:v>55824</x:v>
      </x:c>
      <x:c r="C360" s="141" t="n">
        <x:f>$B$6</x:f>
        <x:v>7000</x:v>
      </x:c>
      <x:c r="D360" s="180" t="n">
        <x:f>(1+$B$28)^INT((A360-1)/12)</x:f>
        <x:v>4.291870719743488</x:v>
      </x:c>
      <x:c r="E360" s="141" t="n">
        <x:f>IF(A360&lt;=$B$27,$B$45*D360,0)</x:f>
        <x:v>0</x:v>
      </x:c>
      <x:c r="F360" s="141" t="n">
        <x:f>IF(A360=$B$29,$B$44,0)</x:f>
        <x:v>0</x:v>
      </x:c>
      <x:c r="G360" s="141" t="n">
        <x:f>E360+F360</x:f>
        <x:v>0</x:v>
      </x:c>
      <x:c r="H360" s="141" t="n">
        <x:f>IF(A360=$B$29,$B$42,0)</x:f>
        <x:v>0</x:v>
      </x:c>
      <x:c r="I360" s="141" t="n">
        <x:f>IF(A360=$B$29,$B$43,0)</x:f>
        <x:v>0</x:v>
      </x:c>
      <x:c r="J360" s="140" t="str">
        <x:f>IF(A360&lt;$B$29,"Aguardando",IF(A360=$B$29,"Contemplado","Pos-contemplacao"))</x:f>
        <x:v>Pos-contemplacao</x:v>
      </x:c>
      <x:c r="K360" s="141" t="n">
        <x:f>IF(A360&gt;=$B$27,0,(K361+E361)/(1+$B$9))</x:f>
        <x:v>0</x:v>
      </x:c>
      <x:c r="L360" s="141" t="n">
        <x:f>IF(A360&lt;$B$29,$B$43/(1+$B$9)^($B$29-A360),0)</x:f>
        <x:v>0</x:v>
      </x:c>
      <x:c r="M360" s="141" t="n">
        <x:f>L360-K360</x:f>
        <x:v>0</x:v>
      </x:c>
    </x:row>
    <x:row r="361">
      <x:c r="A361" s="142" t="n">
        <x:v>307</x:v>
      </x:c>
      <x:c r="B361" s="179" t="n">
        <x:f>EDATE($B$5,A361-1)</x:f>
        <x:v>55854</x:v>
      </x:c>
      <x:c r="C361" s="141" t="n">
        <x:f>$B$6</x:f>
        <x:v>7000</x:v>
      </x:c>
      <x:c r="D361" s="180" t="n">
        <x:f>(1+$B$28)^INT((A361-1)/12)</x:f>
        <x:v>4.291870719743488</x:v>
      </x:c>
      <x:c r="E361" s="141" t="n">
        <x:f>IF(A361&lt;=$B$27,$B$45*D361,0)</x:f>
        <x:v>0</x:v>
      </x:c>
      <x:c r="F361" s="141" t="n">
        <x:f>IF(A361=$B$29,$B$44,0)</x:f>
        <x:v>0</x:v>
      </x:c>
      <x:c r="G361" s="141" t="n">
        <x:f>E361+F361</x:f>
        <x:v>0</x:v>
      </x:c>
      <x:c r="H361" s="141" t="n">
        <x:f>IF(A361=$B$29,$B$42,0)</x:f>
        <x:v>0</x:v>
      </x:c>
      <x:c r="I361" s="141" t="n">
        <x:f>IF(A361=$B$29,$B$43,0)</x:f>
        <x:v>0</x:v>
      </x:c>
      <x:c r="J361" s="140" t="str">
        <x:f>IF(A361&lt;$B$29,"Aguardando",IF(A361=$B$29,"Contemplado","Pos-contemplacao"))</x:f>
        <x:v>Pos-contemplacao</x:v>
      </x:c>
      <x:c r="K361" s="141" t="n">
        <x:f>IF(A361&gt;=$B$27,0,(K362+E362)/(1+$B$9))</x:f>
        <x:v>0</x:v>
      </x:c>
      <x:c r="L361" s="141" t="n">
        <x:f>IF(A361&lt;$B$29,$B$43/(1+$B$9)^($B$29-A361),0)</x:f>
        <x:v>0</x:v>
      </x:c>
      <x:c r="M361" s="141" t="n">
        <x:f>L361-K361</x:f>
        <x:v>0</x:v>
      </x:c>
    </x:row>
    <x:row r="362">
      <x:c r="A362" s="142" t="n">
        <x:v>308</x:v>
      </x:c>
      <x:c r="B362" s="179" t="n">
        <x:f>EDATE($B$5,A362-1)</x:f>
        <x:v>55885</x:v>
      </x:c>
      <x:c r="C362" s="141" t="n">
        <x:f>$B$6</x:f>
        <x:v>7000</x:v>
      </x:c>
      <x:c r="D362" s="180" t="n">
        <x:f>(1+$B$28)^INT((A362-1)/12)</x:f>
        <x:v>4.291870719743488</x:v>
      </x:c>
      <x:c r="E362" s="141" t="n">
        <x:f>IF(A362&lt;=$B$27,$B$45*D362,0)</x:f>
        <x:v>0</x:v>
      </x:c>
      <x:c r="F362" s="141" t="n">
        <x:f>IF(A362=$B$29,$B$44,0)</x:f>
        <x:v>0</x:v>
      </x:c>
      <x:c r="G362" s="141" t="n">
        <x:f>E362+F362</x:f>
        <x:v>0</x:v>
      </x:c>
      <x:c r="H362" s="141" t="n">
        <x:f>IF(A362=$B$29,$B$42,0)</x:f>
        <x:v>0</x:v>
      </x:c>
      <x:c r="I362" s="141" t="n">
        <x:f>IF(A362=$B$29,$B$43,0)</x:f>
        <x:v>0</x:v>
      </x:c>
      <x:c r="J362" s="140" t="str">
        <x:f>IF(A362&lt;$B$29,"Aguardando",IF(A362=$B$29,"Contemplado","Pos-contemplacao"))</x:f>
        <x:v>Pos-contemplacao</x:v>
      </x:c>
      <x:c r="K362" s="141" t="n">
        <x:f>IF(A362&gt;=$B$27,0,(K363+E363)/(1+$B$9))</x:f>
        <x:v>0</x:v>
      </x:c>
      <x:c r="L362" s="141" t="n">
        <x:f>IF(A362&lt;$B$29,$B$43/(1+$B$9)^($B$29-A362),0)</x:f>
        <x:v>0</x:v>
      </x:c>
      <x:c r="M362" s="141" t="n">
        <x:f>L362-K362</x:f>
        <x:v>0</x:v>
      </x:c>
    </x:row>
    <x:row r="363">
      <x:c r="A363" s="142" t="n">
        <x:v>309</x:v>
      </x:c>
      <x:c r="B363" s="179" t="n">
        <x:f>EDATE($B$5,A363-1)</x:f>
        <x:v>55916</x:v>
      </x:c>
      <x:c r="C363" s="141" t="n">
        <x:f>$B$6</x:f>
        <x:v>7000</x:v>
      </x:c>
      <x:c r="D363" s="180" t="n">
        <x:f>(1+$B$28)^INT((A363-1)/12)</x:f>
        <x:v>4.291870719743488</x:v>
      </x:c>
      <x:c r="E363" s="141" t="n">
        <x:f>IF(A363&lt;=$B$27,$B$45*D363,0)</x:f>
        <x:v>0</x:v>
      </x:c>
      <x:c r="F363" s="141" t="n">
        <x:f>IF(A363=$B$29,$B$44,0)</x:f>
        <x:v>0</x:v>
      </x:c>
      <x:c r="G363" s="141" t="n">
        <x:f>E363+F363</x:f>
        <x:v>0</x:v>
      </x:c>
      <x:c r="H363" s="141" t="n">
        <x:f>IF(A363=$B$29,$B$42,0)</x:f>
        <x:v>0</x:v>
      </x:c>
      <x:c r="I363" s="141" t="n">
        <x:f>IF(A363=$B$29,$B$43,0)</x:f>
        <x:v>0</x:v>
      </x:c>
      <x:c r="J363" s="140" t="str">
        <x:f>IF(A363&lt;$B$29,"Aguardando",IF(A363=$B$29,"Contemplado","Pos-contemplacao"))</x:f>
        <x:v>Pos-contemplacao</x:v>
      </x:c>
      <x:c r="K363" s="141" t="n">
        <x:f>IF(A363&gt;=$B$27,0,(K364+E364)/(1+$B$9))</x:f>
        <x:v>0</x:v>
      </x:c>
      <x:c r="L363" s="141" t="n">
        <x:f>IF(A363&lt;$B$29,$B$43/(1+$B$9)^($B$29-A363),0)</x:f>
        <x:v>0</x:v>
      </x:c>
      <x:c r="M363" s="141" t="n">
        <x:f>L363-K363</x:f>
        <x:v>0</x:v>
      </x:c>
    </x:row>
    <x:row r="364">
      <x:c r="A364" s="142" t="n">
        <x:v>310</x:v>
      </x:c>
      <x:c r="B364" s="179" t="n">
        <x:f>EDATE($B$5,A364-1)</x:f>
        <x:v>55944</x:v>
      </x:c>
      <x:c r="C364" s="141" t="n">
        <x:f>$B$6</x:f>
        <x:v>7000</x:v>
      </x:c>
      <x:c r="D364" s="180" t="n">
        <x:f>(1+$B$28)^INT((A364-1)/12)</x:f>
        <x:v>4.291870719743488</x:v>
      </x:c>
      <x:c r="E364" s="141" t="n">
        <x:f>IF(A364&lt;=$B$27,$B$45*D364,0)</x:f>
        <x:v>0</x:v>
      </x:c>
      <x:c r="F364" s="141" t="n">
        <x:f>IF(A364=$B$29,$B$44,0)</x:f>
        <x:v>0</x:v>
      </x:c>
      <x:c r="G364" s="141" t="n">
        <x:f>E364+F364</x:f>
        <x:v>0</x:v>
      </x:c>
      <x:c r="H364" s="141" t="n">
        <x:f>IF(A364=$B$29,$B$42,0)</x:f>
        <x:v>0</x:v>
      </x:c>
      <x:c r="I364" s="141" t="n">
        <x:f>IF(A364=$B$29,$B$43,0)</x:f>
        <x:v>0</x:v>
      </x:c>
      <x:c r="J364" s="140" t="str">
        <x:f>IF(A364&lt;$B$29,"Aguardando",IF(A364=$B$29,"Contemplado","Pos-contemplacao"))</x:f>
        <x:v>Pos-contemplacao</x:v>
      </x:c>
      <x:c r="K364" s="141" t="n">
        <x:f>IF(A364&gt;=$B$27,0,(K365+E365)/(1+$B$9))</x:f>
        <x:v>0</x:v>
      </x:c>
      <x:c r="L364" s="141" t="n">
        <x:f>IF(A364&lt;$B$29,$B$43/(1+$B$9)^($B$29-A364),0)</x:f>
        <x:v>0</x:v>
      </x:c>
      <x:c r="M364" s="141" t="n">
        <x:f>L364-K364</x:f>
        <x:v>0</x:v>
      </x:c>
    </x:row>
    <x:row r="365">
      <x:c r="A365" s="142" t="n">
        <x:v>311</x:v>
      </x:c>
      <x:c r="B365" s="179" t="n">
        <x:f>EDATE($B$5,A365-1)</x:f>
        <x:v>55975</x:v>
      </x:c>
      <x:c r="C365" s="141" t="n">
        <x:f>$B$6</x:f>
        <x:v>7000</x:v>
      </x:c>
      <x:c r="D365" s="180" t="n">
        <x:f>(1+$B$28)^INT((A365-1)/12)</x:f>
        <x:v>4.291870719743488</x:v>
      </x:c>
      <x:c r="E365" s="141" t="n">
        <x:f>IF(A365&lt;=$B$27,$B$45*D365,0)</x:f>
        <x:v>0</x:v>
      </x:c>
      <x:c r="F365" s="141" t="n">
        <x:f>IF(A365=$B$29,$B$44,0)</x:f>
        <x:v>0</x:v>
      </x:c>
      <x:c r="G365" s="141" t="n">
        <x:f>E365+F365</x:f>
        <x:v>0</x:v>
      </x:c>
      <x:c r="H365" s="141" t="n">
        <x:f>IF(A365=$B$29,$B$42,0)</x:f>
        <x:v>0</x:v>
      </x:c>
      <x:c r="I365" s="141" t="n">
        <x:f>IF(A365=$B$29,$B$43,0)</x:f>
        <x:v>0</x:v>
      </x:c>
      <x:c r="J365" s="140" t="str">
        <x:f>IF(A365&lt;$B$29,"Aguardando",IF(A365=$B$29,"Contemplado","Pos-contemplacao"))</x:f>
        <x:v>Pos-contemplacao</x:v>
      </x:c>
      <x:c r="K365" s="141" t="n">
        <x:f>IF(A365&gt;=$B$27,0,(K366+E366)/(1+$B$9))</x:f>
        <x:v>0</x:v>
      </x:c>
      <x:c r="L365" s="141" t="n">
        <x:f>IF(A365&lt;$B$29,$B$43/(1+$B$9)^($B$29-A365),0)</x:f>
        <x:v>0</x:v>
      </x:c>
      <x:c r="M365" s="141" t="n">
        <x:f>L365-K365</x:f>
        <x:v>0</x:v>
      </x:c>
    </x:row>
    <x:row r="366">
      <x:c r="A366" s="142" t="n">
        <x:v>312</x:v>
      </x:c>
      <x:c r="B366" s="179" t="n">
        <x:f>EDATE($B$5,A366-1)</x:f>
        <x:v>56005</x:v>
      </x:c>
      <x:c r="C366" s="141" t="n">
        <x:f>$B$6</x:f>
        <x:v>7000</x:v>
      </x:c>
      <x:c r="D366" s="180" t="n">
        <x:f>(1+$B$28)^INT((A366-1)/12)</x:f>
        <x:v>4.291870719743488</x:v>
      </x:c>
      <x:c r="E366" s="141" t="n">
        <x:f>IF(A366&lt;=$B$27,$B$45*D366,0)</x:f>
        <x:v>0</x:v>
      </x:c>
      <x:c r="F366" s="141" t="n">
        <x:f>IF(A366=$B$29,$B$44,0)</x:f>
        <x:v>0</x:v>
      </x:c>
      <x:c r="G366" s="141" t="n">
        <x:f>E366+F366</x:f>
        <x:v>0</x:v>
      </x:c>
      <x:c r="H366" s="141" t="n">
        <x:f>IF(A366=$B$29,$B$42,0)</x:f>
        <x:v>0</x:v>
      </x:c>
      <x:c r="I366" s="141" t="n">
        <x:f>IF(A366=$B$29,$B$43,0)</x:f>
        <x:v>0</x:v>
      </x:c>
      <x:c r="J366" s="140" t="str">
        <x:f>IF(A366&lt;$B$29,"Aguardando",IF(A366=$B$29,"Contemplado","Pos-contemplacao"))</x:f>
        <x:v>Pos-contemplacao</x:v>
      </x:c>
      <x:c r="K366" s="141" t="n">
        <x:f>IF(A366&gt;=$B$27,0,(K367+E367)/(1+$B$9))</x:f>
        <x:v>0</x:v>
      </x:c>
      <x:c r="L366" s="141" t="n">
        <x:f>IF(A366&lt;$B$29,$B$43/(1+$B$9)^($B$29-A366),0)</x:f>
        <x:v>0</x:v>
      </x:c>
      <x:c r="M366" s="141" t="n">
        <x:f>L366-K366</x:f>
        <x:v>0</x:v>
      </x:c>
    </x:row>
    <x:row r="367">
      <x:c r="A367" s="142" t="n">
        <x:v>313</x:v>
      </x:c>
      <x:c r="B367" s="179" t="n">
        <x:f>EDATE($B$5,A367-1)</x:f>
        <x:v>56036</x:v>
      </x:c>
      <x:c r="C367" s="141" t="n">
        <x:f>$B$6</x:f>
        <x:v>7000</x:v>
      </x:c>
      <x:c r="D367" s="180" t="n">
        <x:f>(1+$B$28)^INT((A367-1)/12)</x:f>
        <x:v>4.549382962928098</x:v>
      </x:c>
      <x:c r="E367" s="141" t="n">
        <x:f>IF(A367&lt;=$B$27,$B$45*D367,0)</x:f>
        <x:v>0</x:v>
      </x:c>
      <x:c r="F367" s="141" t="n">
        <x:f>IF(A367=$B$29,$B$44,0)</x:f>
        <x:v>0</x:v>
      </x:c>
      <x:c r="G367" s="141" t="n">
        <x:f>E367+F367</x:f>
        <x:v>0</x:v>
      </x:c>
      <x:c r="H367" s="141" t="n">
        <x:f>IF(A367=$B$29,$B$42,0)</x:f>
        <x:v>0</x:v>
      </x:c>
      <x:c r="I367" s="141" t="n">
        <x:f>IF(A367=$B$29,$B$43,0)</x:f>
        <x:v>0</x:v>
      </x:c>
      <x:c r="J367" s="140" t="str">
        <x:f>IF(A367&lt;$B$29,"Aguardando",IF(A367=$B$29,"Contemplado","Pos-contemplacao"))</x:f>
        <x:v>Pos-contemplacao</x:v>
      </x:c>
      <x:c r="K367" s="141" t="n">
        <x:f>IF(A367&gt;=$B$27,0,(K368+E368)/(1+$B$9))</x:f>
        <x:v>0</x:v>
      </x:c>
      <x:c r="L367" s="141" t="n">
        <x:f>IF(A367&lt;$B$29,$B$43/(1+$B$9)^($B$29-A367),0)</x:f>
        <x:v>0</x:v>
      </x:c>
      <x:c r="M367" s="141" t="n">
        <x:f>L367-K367</x:f>
        <x:v>0</x:v>
      </x:c>
    </x:row>
    <x:row r="368">
      <x:c r="A368" s="142" t="n">
        <x:v>314</x:v>
      </x:c>
      <x:c r="B368" s="179" t="n">
        <x:f>EDATE($B$5,A368-1)</x:f>
        <x:v>56066</x:v>
      </x:c>
      <x:c r="C368" s="141" t="n">
        <x:f>$B$6</x:f>
        <x:v>7000</x:v>
      </x:c>
      <x:c r="D368" s="180" t="n">
        <x:f>(1+$B$28)^INT((A368-1)/12)</x:f>
        <x:v>4.549382962928098</x:v>
      </x:c>
      <x:c r="E368" s="141" t="n">
        <x:f>IF(A368&lt;=$B$27,$B$45*D368,0)</x:f>
        <x:v>0</x:v>
      </x:c>
      <x:c r="F368" s="141" t="n">
        <x:f>IF(A368=$B$29,$B$44,0)</x:f>
        <x:v>0</x:v>
      </x:c>
      <x:c r="G368" s="141" t="n">
        <x:f>E368+F368</x:f>
        <x:v>0</x:v>
      </x:c>
      <x:c r="H368" s="141" t="n">
        <x:f>IF(A368=$B$29,$B$42,0)</x:f>
        <x:v>0</x:v>
      </x:c>
      <x:c r="I368" s="141" t="n">
        <x:f>IF(A368=$B$29,$B$43,0)</x:f>
        <x:v>0</x:v>
      </x:c>
      <x:c r="J368" s="140" t="str">
        <x:f>IF(A368&lt;$B$29,"Aguardando",IF(A368=$B$29,"Contemplado","Pos-contemplacao"))</x:f>
        <x:v>Pos-contemplacao</x:v>
      </x:c>
      <x:c r="K368" s="141" t="n">
        <x:f>IF(A368&gt;=$B$27,0,(K369+E369)/(1+$B$9))</x:f>
        <x:v>0</x:v>
      </x:c>
      <x:c r="L368" s="141" t="n">
        <x:f>IF(A368&lt;$B$29,$B$43/(1+$B$9)^($B$29-A368),0)</x:f>
        <x:v>0</x:v>
      </x:c>
      <x:c r="M368" s="141" t="n">
        <x:f>L368-K368</x:f>
        <x:v>0</x:v>
      </x:c>
    </x:row>
    <x:row r="369">
      <x:c r="A369" s="142" t="n">
        <x:v>315</x:v>
      </x:c>
      <x:c r="B369" s="179" t="n">
        <x:f>EDATE($B$5,A369-1)</x:f>
        <x:v>56097</x:v>
      </x:c>
      <x:c r="C369" s="141" t="n">
        <x:f>$B$6</x:f>
        <x:v>7000</x:v>
      </x:c>
      <x:c r="D369" s="180" t="n">
        <x:f>(1+$B$28)^INT((A369-1)/12)</x:f>
        <x:v>4.549382962928098</x:v>
      </x:c>
      <x:c r="E369" s="141" t="n">
        <x:f>IF(A369&lt;=$B$27,$B$45*D369,0)</x:f>
        <x:v>0</x:v>
      </x:c>
      <x:c r="F369" s="141" t="n">
        <x:f>IF(A369=$B$29,$B$44,0)</x:f>
        <x:v>0</x:v>
      </x:c>
      <x:c r="G369" s="141" t="n">
        <x:f>E369+F369</x:f>
        <x:v>0</x:v>
      </x:c>
      <x:c r="H369" s="141" t="n">
        <x:f>IF(A369=$B$29,$B$42,0)</x:f>
        <x:v>0</x:v>
      </x:c>
      <x:c r="I369" s="141" t="n">
        <x:f>IF(A369=$B$29,$B$43,0)</x:f>
        <x:v>0</x:v>
      </x:c>
      <x:c r="J369" s="140" t="str">
        <x:f>IF(A369&lt;$B$29,"Aguardando",IF(A369=$B$29,"Contemplado","Pos-contemplacao"))</x:f>
        <x:v>Pos-contemplacao</x:v>
      </x:c>
      <x:c r="K369" s="141" t="n">
        <x:f>IF(A369&gt;=$B$27,0,(K370+E370)/(1+$B$9))</x:f>
        <x:v>0</x:v>
      </x:c>
      <x:c r="L369" s="141" t="n">
        <x:f>IF(A369&lt;$B$29,$B$43/(1+$B$9)^($B$29-A369),0)</x:f>
        <x:v>0</x:v>
      </x:c>
      <x:c r="M369" s="141" t="n">
        <x:f>L369-K369</x:f>
        <x:v>0</x:v>
      </x:c>
    </x:row>
    <x:row r="370">
      <x:c r="A370" s="142" t="n">
        <x:v>316</x:v>
      </x:c>
      <x:c r="B370" s="179" t="n">
        <x:f>EDATE($B$5,A370-1)</x:f>
        <x:v>56128</x:v>
      </x:c>
      <x:c r="C370" s="141" t="n">
        <x:f>$B$6</x:f>
        <x:v>7000</x:v>
      </x:c>
      <x:c r="D370" s="180" t="n">
        <x:f>(1+$B$28)^INT((A370-1)/12)</x:f>
        <x:v>4.549382962928098</x:v>
      </x:c>
      <x:c r="E370" s="141" t="n">
        <x:f>IF(A370&lt;=$B$27,$B$45*D370,0)</x:f>
        <x:v>0</x:v>
      </x:c>
      <x:c r="F370" s="141" t="n">
        <x:f>IF(A370=$B$29,$B$44,0)</x:f>
        <x:v>0</x:v>
      </x:c>
      <x:c r="G370" s="141" t="n">
        <x:f>E370+F370</x:f>
        <x:v>0</x:v>
      </x:c>
      <x:c r="H370" s="141" t="n">
        <x:f>IF(A370=$B$29,$B$42,0)</x:f>
        <x:v>0</x:v>
      </x:c>
      <x:c r="I370" s="141" t="n">
        <x:f>IF(A370=$B$29,$B$43,0)</x:f>
        <x:v>0</x:v>
      </x:c>
      <x:c r="J370" s="140" t="str">
        <x:f>IF(A370&lt;$B$29,"Aguardando",IF(A370=$B$29,"Contemplado","Pos-contemplacao"))</x:f>
        <x:v>Pos-contemplacao</x:v>
      </x:c>
      <x:c r="K370" s="141" t="n">
        <x:f>IF(A370&gt;=$B$27,0,(K371+E371)/(1+$B$9))</x:f>
        <x:v>0</x:v>
      </x:c>
      <x:c r="L370" s="141" t="n">
        <x:f>IF(A370&lt;$B$29,$B$43/(1+$B$9)^($B$29-A370),0)</x:f>
        <x:v>0</x:v>
      </x:c>
      <x:c r="M370" s="141" t="n">
        <x:f>L370-K370</x:f>
        <x:v>0</x:v>
      </x:c>
    </x:row>
    <x:row r="371">
      <x:c r="A371" s="142" t="n">
        <x:v>317</x:v>
      </x:c>
      <x:c r="B371" s="179" t="n">
        <x:f>EDATE($B$5,A371-1)</x:f>
        <x:v>56158</x:v>
      </x:c>
      <x:c r="C371" s="141" t="n">
        <x:f>$B$6</x:f>
        <x:v>7000</x:v>
      </x:c>
      <x:c r="D371" s="180" t="n">
        <x:f>(1+$B$28)^INT((A371-1)/12)</x:f>
        <x:v>4.549382962928098</x:v>
      </x:c>
      <x:c r="E371" s="141" t="n">
        <x:f>IF(A371&lt;=$B$27,$B$45*D371,0)</x:f>
        <x:v>0</x:v>
      </x:c>
      <x:c r="F371" s="141" t="n">
        <x:f>IF(A371=$B$29,$B$44,0)</x:f>
        <x:v>0</x:v>
      </x:c>
      <x:c r="G371" s="141" t="n">
        <x:f>E371+F371</x:f>
        <x:v>0</x:v>
      </x:c>
      <x:c r="H371" s="141" t="n">
        <x:f>IF(A371=$B$29,$B$42,0)</x:f>
        <x:v>0</x:v>
      </x:c>
      <x:c r="I371" s="141" t="n">
        <x:f>IF(A371=$B$29,$B$43,0)</x:f>
        <x:v>0</x:v>
      </x:c>
      <x:c r="J371" s="140" t="str">
        <x:f>IF(A371&lt;$B$29,"Aguardando",IF(A371=$B$29,"Contemplado","Pos-contemplacao"))</x:f>
        <x:v>Pos-contemplacao</x:v>
      </x:c>
      <x:c r="K371" s="141" t="n">
        <x:f>IF(A371&gt;=$B$27,0,(K372+E372)/(1+$B$9))</x:f>
        <x:v>0</x:v>
      </x:c>
      <x:c r="L371" s="141" t="n">
        <x:f>IF(A371&lt;$B$29,$B$43/(1+$B$9)^($B$29-A371),0)</x:f>
        <x:v>0</x:v>
      </x:c>
      <x:c r="M371" s="141" t="n">
        <x:f>L371-K371</x:f>
        <x:v>0</x:v>
      </x:c>
    </x:row>
    <x:row r="372">
      <x:c r="A372" s="142" t="n">
        <x:v>318</x:v>
      </x:c>
      <x:c r="B372" s="179" t="n">
        <x:f>EDATE($B$5,A372-1)</x:f>
        <x:v>56189</x:v>
      </x:c>
      <x:c r="C372" s="141" t="n">
        <x:f>$B$6</x:f>
        <x:v>7000</x:v>
      </x:c>
      <x:c r="D372" s="180" t="n">
        <x:f>(1+$B$28)^INT((A372-1)/12)</x:f>
        <x:v>4.549382962928098</x:v>
      </x:c>
      <x:c r="E372" s="141" t="n">
        <x:f>IF(A372&lt;=$B$27,$B$45*D372,0)</x:f>
        <x:v>0</x:v>
      </x:c>
      <x:c r="F372" s="141" t="n">
        <x:f>IF(A372=$B$29,$B$44,0)</x:f>
        <x:v>0</x:v>
      </x:c>
      <x:c r="G372" s="141" t="n">
        <x:f>E372+F372</x:f>
        <x:v>0</x:v>
      </x:c>
      <x:c r="H372" s="141" t="n">
        <x:f>IF(A372=$B$29,$B$42,0)</x:f>
        <x:v>0</x:v>
      </x:c>
      <x:c r="I372" s="141" t="n">
        <x:f>IF(A372=$B$29,$B$43,0)</x:f>
        <x:v>0</x:v>
      </x:c>
      <x:c r="J372" s="140" t="str">
        <x:f>IF(A372&lt;$B$29,"Aguardando",IF(A372=$B$29,"Contemplado","Pos-contemplacao"))</x:f>
        <x:v>Pos-contemplacao</x:v>
      </x:c>
      <x:c r="K372" s="141" t="n">
        <x:f>IF(A372&gt;=$B$27,0,(K373+E373)/(1+$B$9))</x:f>
        <x:v>0</x:v>
      </x:c>
      <x:c r="L372" s="141" t="n">
        <x:f>IF(A372&lt;$B$29,$B$43/(1+$B$9)^($B$29-A372),0)</x:f>
        <x:v>0</x:v>
      </x:c>
      <x:c r="M372" s="141" t="n">
        <x:f>L372-K372</x:f>
        <x:v>0</x:v>
      </x:c>
    </x:row>
    <x:row r="373">
      <x:c r="A373" s="142" t="n">
        <x:v>319</x:v>
      </x:c>
      <x:c r="B373" s="179" t="n">
        <x:f>EDATE($B$5,A373-1)</x:f>
        <x:v>56219</x:v>
      </x:c>
      <x:c r="C373" s="141" t="n">
        <x:f>$B$6</x:f>
        <x:v>7000</x:v>
      </x:c>
      <x:c r="D373" s="180" t="n">
        <x:f>(1+$B$28)^INT((A373-1)/12)</x:f>
        <x:v>4.549382962928098</x:v>
      </x:c>
      <x:c r="E373" s="141" t="n">
        <x:f>IF(A373&lt;=$B$27,$B$45*D373,0)</x:f>
        <x:v>0</x:v>
      </x:c>
      <x:c r="F373" s="141" t="n">
        <x:f>IF(A373=$B$29,$B$44,0)</x:f>
        <x:v>0</x:v>
      </x:c>
      <x:c r="G373" s="141" t="n">
        <x:f>E373+F373</x:f>
        <x:v>0</x:v>
      </x:c>
      <x:c r="H373" s="141" t="n">
        <x:f>IF(A373=$B$29,$B$42,0)</x:f>
        <x:v>0</x:v>
      </x:c>
      <x:c r="I373" s="141" t="n">
        <x:f>IF(A373=$B$29,$B$43,0)</x:f>
        <x:v>0</x:v>
      </x:c>
      <x:c r="J373" s="140" t="str">
        <x:f>IF(A373&lt;$B$29,"Aguardando",IF(A373=$B$29,"Contemplado","Pos-contemplacao"))</x:f>
        <x:v>Pos-contemplacao</x:v>
      </x:c>
      <x:c r="K373" s="141" t="n">
        <x:f>IF(A373&gt;=$B$27,0,(K374+E374)/(1+$B$9))</x:f>
        <x:v>0</x:v>
      </x:c>
      <x:c r="L373" s="141" t="n">
        <x:f>IF(A373&lt;$B$29,$B$43/(1+$B$9)^($B$29-A373),0)</x:f>
        <x:v>0</x:v>
      </x:c>
      <x:c r="M373" s="141" t="n">
        <x:f>L373-K373</x:f>
        <x:v>0</x:v>
      </x:c>
    </x:row>
    <x:row r="374">
      <x:c r="A374" s="142" t="n">
        <x:v>320</x:v>
      </x:c>
      <x:c r="B374" s="179" t="n">
        <x:f>EDATE($B$5,A374-1)</x:f>
        <x:v>56250</x:v>
      </x:c>
      <x:c r="C374" s="141" t="n">
        <x:f>$B$6</x:f>
        <x:v>7000</x:v>
      </x:c>
      <x:c r="D374" s="180" t="n">
        <x:f>(1+$B$28)^INT((A374-1)/12)</x:f>
        <x:v>4.549382962928098</x:v>
      </x:c>
      <x:c r="E374" s="141" t="n">
        <x:f>IF(A374&lt;=$B$27,$B$45*D374,0)</x:f>
        <x:v>0</x:v>
      </x:c>
      <x:c r="F374" s="141" t="n">
        <x:f>IF(A374=$B$29,$B$44,0)</x:f>
        <x:v>0</x:v>
      </x:c>
      <x:c r="G374" s="141" t="n">
        <x:f>E374+F374</x:f>
        <x:v>0</x:v>
      </x:c>
      <x:c r="H374" s="141" t="n">
        <x:f>IF(A374=$B$29,$B$42,0)</x:f>
        <x:v>0</x:v>
      </x:c>
      <x:c r="I374" s="141" t="n">
        <x:f>IF(A374=$B$29,$B$43,0)</x:f>
        <x:v>0</x:v>
      </x:c>
      <x:c r="J374" s="140" t="str">
        <x:f>IF(A374&lt;$B$29,"Aguardando",IF(A374=$B$29,"Contemplado","Pos-contemplacao"))</x:f>
        <x:v>Pos-contemplacao</x:v>
      </x:c>
      <x:c r="K374" s="141" t="n">
        <x:f>IF(A374&gt;=$B$27,0,(K375+E375)/(1+$B$9))</x:f>
        <x:v>0</x:v>
      </x:c>
      <x:c r="L374" s="141" t="n">
        <x:f>IF(A374&lt;$B$29,$B$43/(1+$B$9)^($B$29-A374),0)</x:f>
        <x:v>0</x:v>
      </x:c>
      <x:c r="M374" s="141" t="n">
        <x:f>L374-K374</x:f>
        <x:v>0</x:v>
      </x:c>
    </x:row>
    <x:row r="375">
      <x:c r="A375" s="142" t="n">
        <x:v>321</x:v>
      </x:c>
      <x:c r="B375" s="179" t="n">
        <x:f>EDATE($B$5,A375-1)</x:f>
        <x:v>56281</x:v>
      </x:c>
      <x:c r="C375" s="141" t="n">
        <x:f>$B$6</x:f>
        <x:v>7000</x:v>
      </x:c>
      <x:c r="D375" s="180" t="n">
        <x:f>(1+$B$28)^INT((A375-1)/12)</x:f>
        <x:v>4.549382962928098</x:v>
      </x:c>
      <x:c r="E375" s="141" t="n">
        <x:f>IF(A375&lt;=$B$27,$B$45*D375,0)</x:f>
        <x:v>0</x:v>
      </x:c>
      <x:c r="F375" s="141" t="n">
        <x:f>IF(A375=$B$29,$B$44,0)</x:f>
        <x:v>0</x:v>
      </x:c>
      <x:c r="G375" s="141" t="n">
        <x:f>E375+F375</x:f>
        <x:v>0</x:v>
      </x:c>
      <x:c r="H375" s="141" t="n">
        <x:f>IF(A375=$B$29,$B$42,0)</x:f>
        <x:v>0</x:v>
      </x:c>
      <x:c r="I375" s="141" t="n">
        <x:f>IF(A375=$B$29,$B$43,0)</x:f>
        <x:v>0</x:v>
      </x:c>
      <x:c r="J375" s="140" t="str">
        <x:f>IF(A375&lt;$B$29,"Aguardando",IF(A375=$B$29,"Contemplado","Pos-contemplacao"))</x:f>
        <x:v>Pos-contemplacao</x:v>
      </x:c>
      <x:c r="K375" s="141" t="n">
        <x:f>IF(A375&gt;=$B$27,0,(K376+E376)/(1+$B$9))</x:f>
        <x:v>0</x:v>
      </x:c>
      <x:c r="L375" s="141" t="n">
        <x:f>IF(A375&lt;$B$29,$B$43/(1+$B$9)^($B$29-A375),0)</x:f>
        <x:v>0</x:v>
      </x:c>
      <x:c r="M375" s="141" t="n">
        <x:f>L375-K375</x:f>
        <x:v>0</x:v>
      </x:c>
    </x:row>
    <x:row r="376">
      <x:c r="A376" s="142" t="n">
        <x:v>322</x:v>
      </x:c>
      <x:c r="B376" s="179" t="n">
        <x:f>EDATE($B$5,A376-1)</x:f>
        <x:v>56309</x:v>
      </x:c>
      <x:c r="C376" s="141" t="n">
        <x:f>$B$6</x:f>
        <x:v>7000</x:v>
      </x:c>
      <x:c r="D376" s="180" t="n">
        <x:f>(1+$B$28)^INT((A376-1)/12)</x:f>
        <x:v>4.549382962928098</x:v>
      </x:c>
      <x:c r="E376" s="141" t="n">
        <x:f>IF(A376&lt;=$B$27,$B$45*D376,0)</x:f>
        <x:v>0</x:v>
      </x:c>
      <x:c r="F376" s="141" t="n">
        <x:f>IF(A376=$B$29,$B$44,0)</x:f>
        <x:v>0</x:v>
      </x:c>
      <x:c r="G376" s="141" t="n">
        <x:f>E376+F376</x:f>
        <x:v>0</x:v>
      </x:c>
      <x:c r="H376" s="141" t="n">
        <x:f>IF(A376=$B$29,$B$42,0)</x:f>
        <x:v>0</x:v>
      </x:c>
      <x:c r="I376" s="141" t="n">
        <x:f>IF(A376=$B$29,$B$43,0)</x:f>
        <x:v>0</x:v>
      </x:c>
      <x:c r="J376" s="140" t="str">
        <x:f>IF(A376&lt;$B$29,"Aguardando",IF(A376=$B$29,"Contemplado","Pos-contemplacao"))</x:f>
        <x:v>Pos-contemplacao</x:v>
      </x:c>
      <x:c r="K376" s="141" t="n">
        <x:f>IF(A376&gt;=$B$27,0,(K377+E377)/(1+$B$9))</x:f>
        <x:v>0</x:v>
      </x:c>
      <x:c r="L376" s="141" t="n">
        <x:f>IF(A376&lt;$B$29,$B$43/(1+$B$9)^($B$29-A376),0)</x:f>
        <x:v>0</x:v>
      </x:c>
      <x:c r="M376" s="141" t="n">
        <x:f>L376-K376</x:f>
        <x:v>0</x:v>
      </x:c>
    </x:row>
    <x:row r="377">
      <x:c r="A377" s="142" t="n">
        <x:v>323</x:v>
      </x:c>
      <x:c r="B377" s="179" t="n">
        <x:f>EDATE($B$5,A377-1)</x:f>
        <x:v>56340</x:v>
      </x:c>
      <x:c r="C377" s="141" t="n">
        <x:f>$B$6</x:f>
        <x:v>7000</x:v>
      </x:c>
      <x:c r="D377" s="180" t="n">
        <x:f>(1+$B$28)^INT((A377-1)/12)</x:f>
        <x:v>4.549382962928098</x:v>
      </x:c>
      <x:c r="E377" s="141" t="n">
        <x:f>IF(A377&lt;=$B$27,$B$45*D377,0)</x:f>
        <x:v>0</x:v>
      </x:c>
      <x:c r="F377" s="141" t="n">
        <x:f>IF(A377=$B$29,$B$44,0)</x:f>
        <x:v>0</x:v>
      </x:c>
      <x:c r="G377" s="141" t="n">
        <x:f>E377+F377</x:f>
        <x:v>0</x:v>
      </x:c>
      <x:c r="H377" s="141" t="n">
        <x:f>IF(A377=$B$29,$B$42,0)</x:f>
        <x:v>0</x:v>
      </x:c>
      <x:c r="I377" s="141" t="n">
        <x:f>IF(A377=$B$29,$B$43,0)</x:f>
        <x:v>0</x:v>
      </x:c>
      <x:c r="J377" s="140" t="str">
        <x:f>IF(A377&lt;$B$29,"Aguardando",IF(A377=$B$29,"Contemplado","Pos-contemplacao"))</x:f>
        <x:v>Pos-contemplacao</x:v>
      </x:c>
      <x:c r="K377" s="141" t="n">
        <x:f>IF(A377&gt;=$B$27,0,(K378+E378)/(1+$B$9))</x:f>
        <x:v>0</x:v>
      </x:c>
      <x:c r="L377" s="141" t="n">
        <x:f>IF(A377&lt;$B$29,$B$43/(1+$B$9)^($B$29-A377),0)</x:f>
        <x:v>0</x:v>
      </x:c>
      <x:c r="M377" s="141" t="n">
        <x:f>L377-K377</x:f>
        <x:v>0</x:v>
      </x:c>
    </x:row>
    <x:row r="378">
      <x:c r="A378" s="142" t="n">
        <x:v>324</x:v>
      </x:c>
      <x:c r="B378" s="179" t="n">
        <x:f>EDATE($B$5,A378-1)</x:f>
        <x:v>56370</x:v>
      </x:c>
      <x:c r="C378" s="141" t="n">
        <x:f>$B$6</x:f>
        <x:v>7000</x:v>
      </x:c>
      <x:c r="D378" s="180" t="n">
        <x:f>(1+$B$28)^INT((A378-1)/12)</x:f>
        <x:v>4.549382962928098</x:v>
      </x:c>
      <x:c r="E378" s="141" t="n">
        <x:f>IF(A378&lt;=$B$27,$B$45*D378,0)</x:f>
        <x:v>0</x:v>
      </x:c>
      <x:c r="F378" s="141" t="n">
        <x:f>IF(A378=$B$29,$B$44,0)</x:f>
        <x:v>0</x:v>
      </x:c>
      <x:c r="G378" s="141" t="n">
        <x:f>E378+F378</x:f>
        <x:v>0</x:v>
      </x:c>
      <x:c r="H378" s="141" t="n">
        <x:f>IF(A378=$B$29,$B$42,0)</x:f>
        <x:v>0</x:v>
      </x:c>
      <x:c r="I378" s="141" t="n">
        <x:f>IF(A378=$B$29,$B$43,0)</x:f>
        <x:v>0</x:v>
      </x:c>
      <x:c r="J378" s="140" t="str">
        <x:f>IF(A378&lt;$B$29,"Aguardando",IF(A378=$B$29,"Contemplado","Pos-contemplacao"))</x:f>
        <x:v>Pos-contemplacao</x:v>
      </x:c>
      <x:c r="K378" s="141" t="n">
        <x:f>IF(A378&gt;=$B$27,0,(K379+E379)/(1+$B$9))</x:f>
        <x:v>0</x:v>
      </x:c>
      <x:c r="L378" s="141" t="n">
        <x:f>IF(A378&lt;$B$29,$B$43/(1+$B$9)^($B$29-A378),0)</x:f>
        <x:v>0</x:v>
      </x:c>
      <x:c r="M378" s="141" t="n">
        <x:f>L378-K378</x:f>
        <x:v>0</x:v>
      </x:c>
    </x:row>
    <x:row r="379">
      <x:c r="A379" s="142" t="n">
        <x:v>325</x:v>
      </x:c>
      <x:c r="B379" s="179" t="n">
        <x:f>EDATE($B$5,A379-1)</x:f>
        <x:v>56401</x:v>
      </x:c>
      <x:c r="C379" s="141" t="n">
        <x:f>$B$6</x:f>
        <x:v>7000</x:v>
      </x:c>
      <x:c r="D379" s="180" t="n">
        <x:f>(1+$B$28)^INT((A379-1)/12)</x:f>
        <x:v>4.822345940703784</x:v>
      </x:c>
      <x:c r="E379" s="141" t="n">
        <x:f>IF(A379&lt;=$B$27,$B$45*D379,0)</x:f>
        <x:v>0</x:v>
      </x:c>
      <x:c r="F379" s="141" t="n">
        <x:f>IF(A379=$B$29,$B$44,0)</x:f>
        <x:v>0</x:v>
      </x:c>
      <x:c r="G379" s="141" t="n">
        <x:f>E379+F379</x:f>
        <x:v>0</x:v>
      </x:c>
      <x:c r="H379" s="141" t="n">
        <x:f>IF(A379=$B$29,$B$42,0)</x:f>
        <x:v>0</x:v>
      </x:c>
      <x:c r="I379" s="141" t="n">
        <x:f>IF(A379=$B$29,$B$43,0)</x:f>
        <x:v>0</x:v>
      </x:c>
      <x:c r="J379" s="140" t="str">
        <x:f>IF(A379&lt;$B$29,"Aguardando",IF(A379=$B$29,"Contemplado","Pos-contemplacao"))</x:f>
        <x:v>Pos-contemplacao</x:v>
      </x:c>
      <x:c r="K379" s="141" t="n">
        <x:f>IF(A379&gt;=$B$27,0,(K380+E380)/(1+$B$9))</x:f>
        <x:v>0</x:v>
      </x:c>
      <x:c r="L379" s="141" t="n">
        <x:f>IF(A379&lt;$B$29,$B$43/(1+$B$9)^($B$29-A379),0)</x:f>
        <x:v>0</x:v>
      </x:c>
      <x:c r="M379" s="141" t="n">
        <x:f>L379-K379</x:f>
        <x:v>0</x:v>
      </x:c>
    </x:row>
    <x:row r="380">
      <x:c r="A380" s="142" t="n">
        <x:v>326</x:v>
      </x:c>
      <x:c r="B380" s="179" t="n">
        <x:f>EDATE($B$5,A380-1)</x:f>
        <x:v>56431</x:v>
      </x:c>
      <x:c r="C380" s="141" t="n">
        <x:f>$B$6</x:f>
        <x:v>7000</x:v>
      </x:c>
      <x:c r="D380" s="180" t="n">
        <x:f>(1+$B$28)^INT((A380-1)/12)</x:f>
        <x:v>4.822345940703784</x:v>
      </x:c>
      <x:c r="E380" s="141" t="n">
        <x:f>IF(A380&lt;=$B$27,$B$45*D380,0)</x:f>
        <x:v>0</x:v>
      </x:c>
      <x:c r="F380" s="141" t="n">
        <x:f>IF(A380=$B$29,$B$44,0)</x:f>
        <x:v>0</x:v>
      </x:c>
      <x:c r="G380" s="141" t="n">
        <x:f>E380+F380</x:f>
        <x:v>0</x:v>
      </x:c>
      <x:c r="H380" s="141" t="n">
        <x:f>IF(A380=$B$29,$B$42,0)</x:f>
        <x:v>0</x:v>
      </x:c>
      <x:c r="I380" s="141" t="n">
        <x:f>IF(A380=$B$29,$B$43,0)</x:f>
        <x:v>0</x:v>
      </x:c>
      <x:c r="J380" s="140" t="str">
        <x:f>IF(A380&lt;$B$29,"Aguardando",IF(A380=$B$29,"Contemplado","Pos-contemplacao"))</x:f>
        <x:v>Pos-contemplacao</x:v>
      </x:c>
      <x:c r="K380" s="141" t="n">
        <x:f>IF(A380&gt;=$B$27,0,(K381+E381)/(1+$B$9))</x:f>
        <x:v>0</x:v>
      </x:c>
      <x:c r="L380" s="141" t="n">
        <x:f>IF(A380&lt;$B$29,$B$43/(1+$B$9)^($B$29-A380),0)</x:f>
        <x:v>0</x:v>
      </x:c>
      <x:c r="M380" s="141" t="n">
        <x:f>L380-K380</x:f>
        <x:v>0</x:v>
      </x:c>
    </x:row>
    <x:row r="381">
      <x:c r="A381" s="142" t="n">
        <x:v>327</x:v>
      </x:c>
      <x:c r="B381" s="179" t="n">
        <x:f>EDATE($B$5,A381-1)</x:f>
        <x:v>56462</x:v>
      </x:c>
      <x:c r="C381" s="141" t="n">
        <x:f>$B$6</x:f>
        <x:v>7000</x:v>
      </x:c>
      <x:c r="D381" s="180" t="n">
        <x:f>(1+$B$28)^INT((A381-1)/12)</x:f>
        <x:v>4.822345940703784</x:v>
      </x:c>
      <x:c r="E381" s="141" t="n">
        <x:f>IF(A381&lt;=$B$27,$B$45*D381,0)</x:f>
        <x:v>0</x:v>
      </x:c>
      <x:c r="F381" s="141" t="n">
        <x:f>IF(A381=$B$29,$B$44,0)</x:f>
        <x:v>0</x:v>
      </x:c>
      <x:c r="G381" s="141" t="n">
        <x:f>E381+F381</x:f>
        <x:v>0</x:v>
      </x:c>
      <x:c r="H381" s="141" t="n">
        <x:f>IF(A381=$B$29,$B$42,0)</x:f>
        <x:v>0</x:v>
      </x:c>
      <x:c r="I381" s="141" t="n">
        <x:f>IF(A381=$B$29,$B$43,0)</x:f>
        <x:v>0</x:v>
      </x:c>
      <x:c r="J381" s="140" t="str">
        <x:f>IF(A381&lt;$B$29,"Aguardando",IF(A381=$B$29,"Contemplado","Pos-contemplacao"))</x:f>
        <x:v>Pos-contemplacao</x:v>
      </x:c>
      <x:c r="K381" s="141" t="n">
        <x:f>IF(A381&gt;=$B$27,0,(K382+E382)/(1+$B$9))</x:f>
        <x:v>0</x:v>
      </x:c>
      <x:c r="L381" s="141" t="n">
        <x:f>IF(A381&lt;$B$29,$B$43/(1+$B$9)^($B$29-A381),0)</x:f>
        <x:v>0</x:v>
      </x:c>
      <x:c r="M381" s="141" t="n">
        <x:f>L381-K381</x:f>
        <x:v>0</x:v>
      </x:c>
    </x:row>
    <x:row r="382">
      <x:c r="A382" s="142" t="n">
        <x:v>328</x:v>
      </x:c>
      <x:c r="B382" s="179" t="n">
        <x:f>EDATE($B$5,A382-1)</x:f>
        <x:v>56493</x:v>
      </x:c>
      <x:c r="C382" s="141" t="n">
        <x:f>$B$6</x:f>
        <x:v>7000</x:v>
      </x:c>
      <x:c r="D382" s="180" t="n">
        <x:f>(1+$B$28)^INT((A382-1)/12)</x:f>
        <x:v>4.822345940703784</x:v>
      </x:c>
      <x:c r="E382" s="141" t="n">
        <x:f>IF(A382&lt;=$B$27,$B$45*D382,0)</x:f>
        <x:v>0</x:v>
      </x:c>
      <x:c r="F382" s="141" t="n">
        <x:f>IF(A382=$B$29,$B$44,0)</x:f>
        <x:v>0</x:v>
      </x:c>
      <x:c r="G382" s="141" t="n">
        <x:f>E382+F382</x:f>
        <x:v>0</x:v>
      </x:c>
      <x:c r="H382" s="141" t="n">
        <x:f>IF(A382=$B$29,$B$42,0)</x:f>
        <x:v>0</x:v>
      </x:c>
      <x:c r="I382" s="141" t="n">
        <x:f>IF(A382=$B$29,$B$43,0)</x:f>
        <x:v>0</x:v>
      </x:c>
      <x:c r="J382" s="140" t="str">
        <x:f>IF(A382&lt;$B$29,"Aguardando",IF(A382=$B$29,"Contemplado","Pos-contemplacao"))</x:f>
        <x:v>Pos-contemplacao</x:v>
      </x:c>
      <x:c r="K382" s="141" t="n">
        <x:f>IF(A382&gt;=$B$27,0,(K383+E383)/(1+$B$9))</x:f>
        <x:v>0</x:v>
      </x:c>
      <x:c r="L382" s="141" t="n">
        <x:f>IF(A382&lt;$B$29,$B$43/(1+$B$9)^($B$29-A382),0)</x:f>
        <x:v>0</x:v>
      </x:c>
      <x:c r="M382" s="141" t="n">
        <x:f>L382-K382</x:f>
        <x:v>0</x:v>
      </x:c>
    </x:row>
    <x:row r="383">
      <x:c r="A383" s="142" t="n">
        <x:v>329</x:v>
      </x:c>
      <x:c r="B383" s="179" t="n">
        <x:f>EDATE($B$5,A383-1)</x:f>
        <x:v>56523</x:v>
      </x:c>
      <x:c r="C383" s="141" t="n">
        <x:f>$B$6</x:f>
        <x:v>7000</x:v>
      </x:c>
      <x:c r="D383" s="180" t="n">
        <x:f>(1+$B$28)^INT((A383-1)/12)</x:f>
        <x:v>4.822345940703784</x:v>
      </x:c>
      <x:c r="E383" s="141" t="n">
        <x:f>IF(A383&lt;=$B$27,$B$45*D383,0)</x:f>
        <x:v>0</x:v>
      </x:c>
      <x:c r="F383" s="141" t="n">
        <x:f>IF(A383=$B$29,$B$44,0)</x:f>
        <x:v>0</x:v>
      </x:c>
      <x:c r="G383" s="141" t="n">
        <x:f>E383+F383</x:f>
        <x:v>0</x:v>
      </x:c>
      <x:c r="H383" s="141" t="n">
        <x:f>IF(A383=$B$29,$B$42,0)</x:f>
        <x:v>0</x:v>
      </x:c>
      <x:c r="I383" s="141" t="n">
        <x:f>IF(A383=$B$29,$B$43,0)</x:f>
        <x:v>0</x:v>
      </x:c>
      <x:c r="J383" s="140" t="str">
        <x:f>IF(A383&lt;$B$29,"Aguardando",IF(A383=$B$29,"Contemplado","Pos-contemplacao"))</x:f>
        <x:v>Pos-contemplacao</x:v>
      </x:c>
      <x:c r="K383" s="141" t="n">
        <x:f>IF(A383&gt;=$B$27,0,(K384+E384)/(1+$B$9))</x:f>
        <x:v>0</x:v>
      </x:c>
      <x:c r="L383" s="141" t="n">
        <x:f>IF(A383&lt;$B$29,$B$43/(1+$B$9)^($B$29-A383),0)</x:f>
        <x:v>0</x:v>
      </x:c>
      <x:c r="M383" s="141" t="n">
        <x:f>L383-K383</x:f>
        <x:v>0</x:v>
      </x:c>
    </x:row>
    <x:row r="384">
      <x:c r="A384" s="142" t="n">
        <x:v>330</x:v>
      </x:c>
      <x:c r="B384" s="179" t="n">
        <x:f>EDATE($B$5,A384-1)</x:f>
        <x:v>56554</x:v>
      </x:c>
      <x:c r="C384" s="141" t="n">
        <x:f>$B$6</x:f>
        <x:v>7000</x:v>
      </x:c>
      <x:c r="D384" s="180" t="n">
        <x:f>(1+$B$28)^INT((A384-1)/12)</x:f>
        <x:v>4.822345940703784</x:v>
      </x:c>
      <x:c r="E384" s="141" t="n">
        <x:f>IF(A384&lt;=$B$27,$B$45*D384,0)</x:f>
        <x:v>0</x:v>
      </x:c>
      <x:c r="F384" s="141" t="n">
        <x:f>IF(A384=$B$29,$B$44,0)</x:f>
        <x:v>0</x:v>
      </x:c>
      <x:c r="G384" s="141" t="n">
        <x:f>E384+F384</x:f>
        <x:v>0</x:v>
      </x:c>
      <x:c r="H384" s="141" t="n">
        <x:f>IF(A384=$B$29,$B$42,0)</x:f>
        <x:v>0</x:v>
      </x:c>
      <x:c r="I384" s="141" t="n">
        <x:f>IF(A384=$B$29,$B$43,0)</x:f>
        <x:v>0</x:v>
      </x:c>
      <x:c r="J384" s="140" t="str">
        <x:f>IF(A384&lt;$B$29,"Aguardando",IF(A384=$B$29,"Contemplado","Pos-contemplacao"))</x:f>
        <x:v>Pos-contemplacao</x:v>
      </x:c>
      <x:c r="K384" s="141" t="n">
        <x:f>IF(A384&gt;=$B$27,0,(K385+E385)/(1+$B$9))</x:f>
        <x:v>0</x:v>
      </x:c>
      <x:c r="L384" s="141" t="n">
        <x:f>IF(A384&lt;$B$29,$B$43/(1+$B$9)^($B$29-A384),0)</x:f>
        <x:v>0</x:v>
      </x:c>
      <x:c r="M384" s="141" t="n">
        <x:f>L384-K384</x:f>
        <x:v>0</x:v>
      </x:c>
    </x:row>
    <x:row r="385">
      <x:c r="A385" s="142" t="n">
        <x:v>331</x:v>
      </x:c>
      <x:c r="B385" s="179" t="n">
        <x:f>EDATE($B$5,A385-1)</x:f>
        <x:v>56584</x:v>
      </x:c>
      <x:c r="C385" s="141" t="n">
        <x:f>$B$6</x:f>
        <x:v>7000</x:v>
      </x:c>
      <x:c r="D385" s="180" t="n">
        <x:f>(1+$B$28)^INT((A385-1)/12)</x:f>
        <x:v>4.822345940703784</x:v>
      </x:c>
      <x:c r="E385" s="141" t="n">
        <x:f>IF(A385&lt;=$B$27,$B$45*D385,0)</x:f>
        <x:v>0</x:v>
      </x:c>
      <x:c r="F385" s="141" t="n">
        <x:f>IF(A385=$B$29,$B$44,0)</x:f>
        <x:v>0</x:v>
      </x:c>
      <x:c r="G385" s="141" t="n">
        <x:f>E385+F385</x:f>
        <x:v>0</x:v>
      </x:c>
      <x:c r="H385" s="141" t="n">
        <x:f>IF(A385=$B$29,$B$42,0)</x:f>
        <x:v>0</x:v>
      </x:c>
      <x:c r="I385" s="141" t="n">
        <x:f>IF(A385=$B$29,$B$43,0)</x:f>
        <x:v>0</x:v>
      </x:c>
      <x:c r="J385" s="140" t="str">
        <x:f>IF(A385&lt;$B$29,"Aguardando",IF(A385=$B$29,"Contemplado","Pos-contemplacao"))</x:f>
        <x:v>Pos-contemplacao</x:v>
      </x:c>
      <x:c r="K385" s="141" t="n">
        <x:f>IF(A385&gt;=$B$27,0,(K386+E386)/(1+$B$9))</x:f>
        <x:v>0</x:v>
      </x:c>
      <x:c r="L385" s="141" t="n">
        <x:f>IF(A385&lt;$B$29,$B$43/(1+$B$9)^($B$29-A385),0)</x:f>
        <x:v>0</x:v>
      </x:c>
      <x:c r="M385" s="141" t="n">
        <x:f>L385-K385</x:f>
        <x:v>0</x:v>
      </x:c>
    </x:row>
    <x:row r="386">
      <x:c r="A386" s="142" t="n">
        <x:v>332</x:v>
      </x:c>
      <x:c r="B386" s="179" t="n">
        <x:f>EDATE($B$5,A386-1)</x:f>
        <x:v>56615</x:v>
      </x:c>
      <x:c r="C386" s="141" t="n">
        <x:f>$B$6</x:f>
        <x:v>7000</x:v>
      </x:c>
      <x:c r="D386" s="180" t="n">
        <x:f>(1+$B$28)^INT((A386-1)/12)</x:f>
        <x:v>4.822345940703784</x:v>
      </x:c>
      <x:c r="E386" s="141" t="n">
        <x:f>IF(A386&lt;=$B$27,$B$45*D386,0)</x:f>
        <x:v>0</x:v>
      </x:c>
      <x:c r="F386" s="141" t="n">
        <x:f>IF(A386=$B$29,$B$44,0)</x:f>
        <x:v>0</x:v>
      </x:c>
      <x:c r="G386" s="141" t="n">
        <x:f>E386+F386</x:f>
        <x:v>0</x:v>
      </x:c>
      <x:c r="H386" s="141" t="n">
        <x:f>IF(A386=$B$29,$B$42,0)</x:f>
        <x:v>0</x:v>
      </x:c>
      <x:c r="I386" s="141" t="n">
        <x:f>IF(A386=$B$29,$B$43,0)</x:f>
        <x:v>0</x:v>
      </x:c>
      <x:c r="J386" s="140" t="str">
        <x:f>IF(A386&lt;$B$29,"Aguardando",IF(A386=$B$29,"Contemplado","Pos-contemplacao"))</x:f>
        <x:v>Pos-contemplacao</x:v>
      </x:c>
      <x:c r="K386" s="141" t="n">
        <x:f>IF(A386&gt;=$B$27,0,(K387+E387)/(1+$B$9))</x:f>
        <x:v>0</x:v>
      </x:c>
      <x:c r="L386" s="141" t="n">
        <x:f>IF(A386&lt;$B$29,$B$43/(1+$B$9)^($B$29-A386),0)</x:f>
        <x:v>0</x:v>
      </x:c>
      <x:c r="M386" s="141" t="n">
        <x:f>L386-K386</x:f>
        <x:v>0</x:v>
      </x:c>
    </x:row>
    <x:row r="387">
      <x:c r="A387" s="142" t="n">
        <x:v>333</x:v>
      </x:c>
      <x:c r="B387" s="179" t="n">
        <x:f>EDATE($B$5,A387-1)</x:f>
        <x:v>56646</x:v>
      </x:c>
      <x:c r="C387" s="141" t="n">
        <x:f>$B$6</x:f>
        <x:v>7000</x:v>
      </x:c>
      <x:c r="D387" s="180" t="n">
        <x:f>(1+$B$28)^INT((A387-1)/12)</x:f>
        <x:v>4.822345940703784</x:v>
      </x:c>
      <x:c r="E387" s="141" t="n">
        <x:f>IF(A387&lt;=$B$27,$B$45*D387,0)</x:f>
        <x:v>0</x:v>
      </x:c>
      <x:c r="F387" s="141" t="n">
        <x:f>IF(A387=$B$29,$B$44,0)</x:f>
        <x:v>0</x:v>
      </x:c>
      <x:c r="G387" s="141" t="n">
        <x:f>E387+F387</x:f>
        <x:v>0</x:v>
      </x:c>
      <x:c r="H387" s="141" t="n">
        <x:f>IF(A387=$B$29,$B$42,0)</x:f>
        <x:v>0</x:v>
      </x:c>
      <x:c r="I387" s="141" t="n">
        <x:f>IF(A387=$B$29,$B$43,0)</x:f>
        <x:v>0</x:v>
      </x:c>
      <x:c r="J387" s="140" t="str">
        <x:f>IF(A387&lt;$B$29,"Aguardando",IF(A387=$B$29,"Contemplado","Pos-contemplacao"))</x:f>
        <x:v>Pos-contemplacao</x:v>
      </x:c>
      <x:c r="K387" s="141" t="n">
        <x:f>IF(A387&gt;=$B$27,0,(K388+E388)/(1+$B$9))</x:f>
        <x:v>0</x:v>
      </x:c>
      <x:c r="L387" s="141" t="n">
        <x:f>IF(A387&lt;$B$29,$B$43/(1+$B$9)^($B$29-A387),0)</x:f>
        <x:v>0</x:v>
      </x:c>
      <x:c r="M387" s="141" t="n">
        <x:f>L387-K387</x:f>
        <x:v>0</x:v>
      </x:c>
    </x:row>
    <x:row r="388">
      <x:c r="A388" s="142" t="n">
        <x:v>334</x:v>
      </x:c>
      <x:c r="B388" s="179" t="n">
        <x:f>EDATE($B$5,A388-1)</x:f>
        <x:v>56674</x:v>
      </x:c>
      <x:c r="C388" s="141" t="n">
        <x:f>$B$6</x:f>
        <x:v>7000</x:v>
      </x:c>
      <x:c r="D388" s="180" t="n">
        <x:f>(1+$B$28)^INT((A388-1)/12)</x:f>
        <x:v>4.822345940703784</x:v>
      </x:c>
      <x:c r="E388" s="141" t="n">
        <x:f>IF(A388&lt;=$B$27,$B$45*D388,0)</x:f>
        <x:v>0</x:v>
      </x:c>
      <x:c r="F388" s="141" t="n">
        <x:f>IF(A388=$B$29,$B$44,0)</x:f>
        <x:v>0</x:v>
      </x:c>
      <x:c r="G388" s="141" t="n">
        <x:f>E388+F388</x:f>
        <x:v>0</x:v>
      </x:c>
      <x:c r="H388" s="141" t="n">
        <x:f>IF(A388=$B$29,$B$42,0)</x:f>
        <x:v>0</x:v>
      </x:c>
      <x:c r="I388" s="141" t="n">
        <x:f>IF(A388=$B$29,$B$43,0)</x:f>
        <x:v>0</x:v>
      </x:c>
      <x:c r="J388" s="140" t="str">
        <x:f>IF(A388&lt;$B$29,"Aguardando",IF(A388=$B$29,"Contemplado","Pos-contemplacao"))</x:f>
        <x:v>Pos-contemplacao</x:v>
      </x:c>
      <x:c r="K388" s="141" t="n">
        <x:f>IF(A388&gt;=$B$27,0,(K389+E389)/(1+$B$9))</x:f>
        <x:v>0</x:v>
      </x:c>
      <x:c r="L388" s="141" t="n">
        <x:f>IF(A388&lt;$B$29,$B$43/(1+$B$9)^($B$29-A388),0)</x:f>
        <x:v>0</x:v>
      </x:c>
      <x:c r="M388" s="141" t="n">
        <x:f>L388-K388</x:f>
        <x:v>0</x:v>
      </x:c>
    </x:row>
    <x:row r="389">
      <x:c r="A389" s="142" t="n">
        <x:v>335</x:v>
      </x:c>
      <x:c r="B389" s="179" t="n">
        <x:f>EDATE($B$5,A389-1)</x:f>
        <x:v>56705</x:v>
      </x:c>
      <x:c r="C389" s="141" t="n">
        <x:f>$B$6</x:f>
        <x:v>7000</x:v>
      </x:c>
      <x:c r="D389" s="180" t="n">
        <x:f>(1+$B$28)^INT((A389-1)/12)</x:f>
        <x:v>4.822345940703784</x:v>
      </x:c>
      <x:c r="E389" s="141" t="n">
        <x:f>IF(A389&lt;=$B$27,$B$45*D389,0)</x:f>
        <x:v>0</x:v>
      </x:c>
      <x:c r="F389" s="141" t="n">
        <x:f>IF(A389=$B$29,$B$44,0)</x:f>
        <x:v>0</x:v>
      </x:c>
      <x:c r="G389" s="141" t="n">
        <x:f>E389+F389</x:f>
        <x:v>0</x:v>
      </x:c>
      <x:c r="H389" s="141" t="n">
        <x:f>IF(A389=$B$29,$B$42,0)</x:f>
        <x:v>0</x:v>
      </x:c>
      <x:c r="I389" s="141" t="n">
        <x:f>IF(A389=$B$29,$B$43,0)</x:f>
        <x:v>0</x:v>
      </x:c>
      <x:c r="J389" s="140" t="str">
        <x:f>IF(A389&lt;$B$29,"Aguardando",IF(A389=$B$29,"Contemplado","Pos-contemplacao"))</x:f>
        <x:v>Pos-contemplacao</x:v>
      </x:c>
      <x:c r="K389" s="141" t="n">
        <x:f>IF(A389&gt;=$B$27,0,(K390+E390)/(1+$B$9))</x:f>
        <x:v>0</x:v>
      </x:c>
      <x:c r="L389" s="141" t="n">
        <x:f>IF(A389&lt;$B$29,$B$43/(1+$B$9)^($B$29-A389),0)</x:f>
        <x:v>0</x:v>
      </x:c>
      <x:c r="M389" s="141" t="n">
        <x:f>L389-K389</x:f>
        <x:v>0</x:v>
      </x:c>
    </x:row>
    <x:row r="390">
      <x:c r="A390" s="142" t="n">
        <x:v>336</x:v>
      </x:c>
      <x:c r="B390" s="179" t="n">
        <x:f>EDATE($B$5,A390-1)</x:f>
        <x:v>56735</x:v>
      </x:c>
      <x:c r="C390" s="141" t="n">
        <x:f>$B$6</x:f>
        <x:v>7000</x:v>
      </x:c>
      <x:c r="D390" s="180" t="n">
        <x:f>(1+$B$28)^INT((A390-1)/12)</x:f>
        <x:v>4.822345940703784</x:v>
      </x:c>
      <x:c r="E390" s="141" t="n">
        <x:f>IF(A390&lt;=$B$27,$B$45*D390,0)</x:f>
        <x:v>0</x:v>
      </x:c>
      <x:c r="F390" s="141" t="n">
        <x:f>IF(A390=$B$29,$B$44,0)</x:f>
        <x:v>0</x:v>
      </x:c>
      <x:c r="G390" s="141" t="n">
        <x:f>E390+F390</x:f>
        <x:v>0</x:v>
      </x:c>
      <x:c r="H390" s="141" t="n">
        <x:f>IF(A390=$B$29,$B$42,0)</x:f>
        <x:v>0</x:v>
      </x:c>
      <x:c r="I390" s="141" t="n">
        <x:f>IF(A390=$B$29,$B$43,0)</x:f>
        <x:v>0</x:v>
      </x:c>
      <x:c r="J390" s="140" t="str">
        <x:f>IF(A390&lt;$B$29,"Aguardando",IF(A390=$B$29,"Contemplado","Pos-contemplacao"))</x:f>
        <x:v>Pos-contemplacao</x:v>
      </x:c>
      <x:c r="K390" s="141" t="n">
        <x:f>IF(A390&gt;=$B$27,0,(K391+E391)/(1+$B$9))</x:f>
        <x:v>0</x:v>
      </x:c>
      <x:c r="L390" s="141" t="n">
        <x:f>IF(A390&lt;$B$29,$B$43/(1+$B$9)^($B$29-A390),0)</x:f>
        <x:v>0</x:v>
      </x:c>
      <x:c r="M390" s="141" t="n">
        <x:f>L390-K390</x:f>
        <x:v>0</x:v>
      </x:c>
    </x:row>
    <x:row r="391">
      <x:c r="A391" s="142" t="n">
        <x:v>337</x:v>
      </x:c>
      <x:c r="B391" s="179" t="n">
        <x:f>EDATE($B$5,A391-1)</x:f>
        <x:v>56766</x:v>
      </x:c>
      <x:c r="C391" s="141" t="n">
        <x:f>$B$6</x:f>
        <x:v>7000</x:v>
      </x:c>
      <x:c r="D391" s="180" t="n">
        <x:f>(1+$B$28)^INT((A391-1)/12)</x:f>
        <x:v>5.111686697146011</x:v>
      </x:c>
      <x:c r="E391" s="141" t="n">
        <x:f>IF(A391&lt;=$B$27,$B$45*D391,0)</x:f>
        <x:v>0</x:v>
      </x:c>
      <x:c r="F391" s="141" t="n">
        <x:f>IF(A391=$B$29,$B$44,0)</x:f>
        <x:v>0</x:v>
      </x:c>
      <x:c r="G391" s="141" t="n">
        <x:f>E391+F391</x:f>
        <x:v>0</x:v>
      </x:c>
      <x:c r="H391" s="141" t="n">
        <x:f>IF(A391=$B$29,$B$42,0)</x:f>
        <x:v>0</x:v>
      </x:c>
      <x:c r="I391" s="141" t="n">
        <x:f>IF(A391=$B$29,$B$43,0)</x:f>
        <x:v>0</x:v>
      </x:c>
      <x:c r="J391" s="140" t="str">
        <x:f>IF(A391&lt;$B$29,"Aguardando",IF(A391=$B$29,"Contemplado","Pos-contemplacao"))</x:f>
        <x:v>Pos-contemplacao</x:v>
      </x:c>
      <x:c r="K391" s="141" t="n">
        <x:f>IF(A391&gt;=$B$27,0,(K392+E392)/(1+$B$9))</x:f>
        <x:v>0</x:v>
      </x:c>
      <x:c r="L391" s="141" t="n">
        <x:f>IF(A391&lt;$B$29,$B$43/(1+$B$9)^($B$29-A391),0)</x:f>
        <x:v>0</x:v>
      </x:c>
      <x:c r="M391" s="141" t="n">
        <x:f>L391-K391</x:f>
        <x:v>0</x:v>
      </x:c>
    </x:row>
    <x:row r="392">
      <x:c r="A392" s="142" t="n">
        <x:v>338</x:v>
      </x:c>
      <x:c r="B392" s="179" t="n">
        <x:f>EDATE($B$5,A392-1)</x:f>
        <x:v>56796</x:v>
      </x:c>
      <x:c r="C392" s="141" t="n">
        <x:f>$B$6</x:f>
        <x:v>7000</x:v>
      </x:c>
      <x:c r="D392" s="180" t="n">
        <x:f>(1+$B$28)^INT((A392-1)/12)</x:f>
        <x:v>5.111686697146011</x:v>
      </x:c>
      <x:c r="E392" s="141" t="n">
        <x:f>IF(A392&lt;=$B$27,$B$45*D392,0)</x:f>
        <x:v>0</x:v>
      </x:c>
      <x:c r="F392" s="141" t="n">
        <x:f>IF(A392=$B$29,$B$44,0)</x:f>
        <x:v>0</x:v>
      </x:c>
      <x:c r="G392" s="141" t="n">
        <x:f>E392+F392</x:f>
        <x:v>0</x:v>
      </x:c>
      <x:c r="H392" s="141" t="n">
        <x:f>IF(A392=$B$29,$B$42,0)</x:f>
        <x:v>0</x:v>
      </x:c>
      <x:c r="I392" s="141" t="n">
        <x:f>IF(A392=$B$29,$B$43,0)</x:f>
        <x:v>0</x:v>
      </x:c>
      <x:c r="J392" s="140" t="str">
        <x:f>IF(A392&lt;$B$29,"Aguardando",IF(A392=$B$29,"Contemplado","Pos-contemplacao"))</x:f>
        <x:v>Pos-contemplacao</x:v>
      </x:c>
      <x:c r="K392" s="141" t="n">
        <x:f>IF(A392&gt;=$B$27,0,(K393+E393)/(1+$B$9))</x:f>
        <x:v>0</x:v>
      </x:c>
      <x:c r="L392" s="141" t="n">
        <x:f>IF(A392&lt;$B$29,$B$43/(1+$B$9)^($B$29-A392),0)</x:f>
        <x:v>0</x:v>
      </x:c>
      <x:c r="M392" s="141" t="n">
        <x:f>L392-K392</x:f>
        <x:v>0</x:v>
      </x:c>
    </x:row>
    <x:row r="393">
      <x:c r="A393" s="142" t="n">
        <x:v>339</x:v>
      </x:c>
      <x:c r="B393" s="179" t="n">
        <x:f>EDATE($B$5,A393-1)</x:f>
        <x:v>56827</x:v>
      </x:c>
      <x:c r="C393" s="141" t="n">
        <x:f>$B$6</x:f>
        <x:v>7000</x:v>
      </x:c>
      <x:c r="D393" s="180" t="n">
        <x:f>(1+$B$28)^INT((A393-1)/12)</x:f>
        <x:v>5.111686697146011</x:v>
      </x:c>
      <x:c r="E393" s="141" t="n">
        <x:f>IF(A393&lt;=$B$27,$B$45*D393,0)</x:f>
        <x:v>0</x:v>
      </x:c>
      <x:c r="F393" s="141" t="n">
        <x:f>IF(A393=$B$29,$B$44,0)</x:f>
        <x:v>0</x:v>
      </x:c>
      <x:c r="G393" s="141" t="n">
        <x:f>E393+F393</x:f>
        <x:v>0</x:v>
      </x:c>
      <x:c r="H393" s="141" t="n">
        <x:f>IF(A393=$B$29,$B$42,0)</x:f>
        <x:v>0</x:v>
      </x:c>
      <x:c r="I393" s="141" t="n">
        <x:f>IF(A393=$B$29,$B$43,0)</x:f>
        <x:v>0</x:v>
      </x:c>
      <x:c r="J393" s="140" t="str">
        <x:f>IF(A393&lt;$B$29,"Aguardando",IF(A393=$B$29,"Contemplado","Pos-contemplacao"))</x:f>
        <x:v>Pos-contemplacao</x:v>
      </x:c>
      <x:c r="K393" s="141" t="n">
        <x:f>IF(A393&gt;=$B$27,0,(K394+E394)/(1+$B$9))</x:f>
        <x:v>0</x:v>
      </x:c>
      <x:c r="L393" s="141" t="n">
        <x:f>IF(A393&lt;$B$29,$B$43/(1+$B$9)^($B$29-A393),0)</x:f>
        <x:v>0</x:v>
      </x:c>
      <x:c r="M393" s="141" t="n">
        <x:f>L393-K393</x:f>
        <x:v>0</x:v>
      </x:c>
    </x:row>
    <x:row r="394">
      <x:c r="A394" s="142" t="n">
        <x:v>340</x:v>
      </x:c>
      <x:c r="B394" s="179" t="n">
        <x:f>EDATE($B$5,A394-1)</x:f>
        <x:v>56858</x:v>
      </x:c>
      <x:c r="C394" s="141" t="n">
        <x:f>$B$6</x:f>
        <x:v>7000</x:v>
      </x:c>
      <x:c r="D394" s="180" t="n">
        <x:f>(1+$B$28)^INT((A394-1)/12)</x:f>
        <x:v>5.111686697146011</x:v>
      </x:c>
      <x:c r="E394" s="141" t="n">
        <x:f>IF(A394&lt;=$B$27,$B$45*D394,0)</x:f>
        <x:v>0</x:v>
      </x:c>
      <x:c r="F394" s="141" t="n">
        <x:f>IF(A394=$B$29,$B$44,0)</x:f>
        <x:v>0</x:v>
      </x:c>
      <x:c r="G394" s="141" t="n">
        <x:f>E394+F394</x:f>
        <x:v>0</x:v>
      </x:c>
      <x:c r="H394" s="141" t="n">
        <x:f>IF(A394=$B$29,$B$42,0)</x:f>
        <x:v>0</x:v>
      </x:c>
      <x:c r="I394" s="141" t="n">
        <x:f>IF(A394=$B$29,$B$43,0)</x:f>
        <x:v>0</x:v>
      </x:c>
      <x:c r="J394" s="140" t="str">
        <x:f>IF(A394&lt;$B$29,"Aguardando",IF(A394=$B$29,"Contemplado","Pos-contemplacao"))</x:f>
        <x:v>Pos-contemplacao</x:v>
      </x:c>
      <x:c r="K394" s="141" t="n">
        <x:f>IF(A394&gt;=$B$27,0,(K395+E395)/(1+$B$9))</x:f>
        <x:v>0</x:v>
      </x:c>
      <x:c r="L394" s="141" t="n">
        <x:f>IF(A394&lt;$B$29,$B$43/(1+$B$9)^($B$29-A394),0)</x:f>
        <x:v>0</x:v>
      </x:c>
      <x:c r="M394" s="141" t="n">
        <x:f>L394-K394</x:f>
        <x:v>0</x:v>
      </x:c>
    </x:row>
    <x:row r="395">
      <x:c r="A395" s="142" t="n">
        <x:v>341</x:v>
      </x:c>
      <x:c r="B395" s="179" t="n">
        <x:f>EDATE($B$5,A395-1)</x:f>
        <x:v>56888</x:v>
      </x:c>
      <x:c r="C395" s="141" t="n">
        <x:f>$B$6</x:f>
        <x:v>7000</x:v>
      </x:c>
      <x:c r="D395" s="180" t="n">
        <x:f>(1+$B$28)^INT((A395-1)/12)</x:f>
        <x:v>5.111686697146011</x:v>
      </x:c>
      <x:c r="E395" s="141" t="n">
        <x:f>IF(A395&lt;=$B$27,$B$45*D395,0)</x:f>
        <x:v>0</x:v>
      </x:c>
      <x:c r="F395" s="141" t="n">
        <x:f>IF(A395=$B$29,$B$44,0)</x:f>
        <x:v>0</x:v>
      </x:c>
      <x:c r="G395" s="141" t="n">
        <x:f>E395+F395</x:f>
        <x:v>0</x:v>
      </x:c>
      <x:c r="H395" s="141" t="n">
        <x:f>IF(A395=$B$29,$B$42,0)</x:f>
        <x:v>0</x:v>
      </x:c>
      <x:c r="I395" s="141" t="n">
        <x:f>IF(A395=$B$29,$B$43,0)</x:f>
        <x:v>0</x:v>
      </x:c>
      <x:c r="J395" s="140" t="str">
        <x:f>IF(A395&lt;$B$29,"Aguardando",IF(A395=$B$29,"Contemplado","Pos-contemplacao"))</x:f>
        <x:v>Pos-contemplacao</x:v>
      </x:c>
      <x:c r="K395" s="141" t="n">
        <x:f>IF(A395&gt;=$B$27,0,(K396+E396)/(1+$B$9))</x:f>
        <x:v>0</x:v>
      </x:c>
      <x:c r="L395" s="141" t="n">
        <x:f>IF(A395&lt;$B$29,$B$43/(1+$B$9)^($B$29-A395),0)</x:f>
        <x:v>0</x:v>
      </x:c>
      <x:c r="M395" s="141" t="n">
        <x:f>L395-K395</x:f>
        <x:v>0</x:v>
      </x:c>
    </x:row>
    <x:row r="396">
      <x:c r="A396" s="142" t="n">
        <x:v>342</x:v>
      </x:c>
      <x:c r="B396" s="179" t="n">
        <x:f>EDATE($B$5,A396-1)</x:f>
        <x:v>56919</x:v>
      </x:c>
      <x:c r="C396" s="141" t="n">
        <x:f>$B$6</x:f>
        <x:v>7000</x:v>
      </x:c>
      <x:c r="D396" s="180" t="n">
        <x:f>(1+$B$28)^INT((A396-1)/12)</x:f>
        <x:v>5.111686697146011</x:v>
      </x:c>
      <x:c r="E396" s="141" t="n">
        <x:f>IF(A396&lt;=$B$27,$B$45*D396,0)</x:f>
        <x:v>0</x:v>
      </x:c>
      <x:c r="F396" s="141" t="n">
        <x:f>IF(A396=$B$29,$B$44,0)</x:f>
        <x:v>0</x:v>
      </x:c>
      <x:c r="G396" s="141" t="n">
        <x:f>E396+F396</x:f>
        <x:v>0</x:v>
      </x:c>
      <x:c r="H396" s="141" t="n">
        <x:f>IF(A396=$B$29,$B$42,0)</x:f>
        <x:v>0</x:v>
      </x:c>
      <x:c r="I396" s="141" t="n">
        <x:f>IF(A396=$B$29,$B$43,0)</x:f>
        <x:v>0</x:v>
      </x:c>
      <x:c r="J396" s="140" t="str">
        <x:f>IF(A396&lt;$B$29,"Aguardando",IF(A396=$B$29,"Contemplado","Pos-contemplacao"))</x:f>
        <x:v>Pos-contemplacao</x:v>
      </x:c>
      <x:c r="K396" s="141" t="n">
        <x:f>IF(A396&gt;=$B$27,0,(K397+E397)/(1+$B$9))</x:f>
        <x:v>0</x:v>
      </x:c>
      <x:c r="L396" s="141" t="n">
        <x:f>IF(A396&lt;$B$29,$B$43/(1+$B$9)^($B$29-A396),0)</x:f>
        <x:v>0</x:v>
      </x:c>
      <x:c r="M396" s="141" t="n">
        <x:f>L396-K396</x:f>
        <x:v>0</x:v>
      </x:c>
    </x:row>
    <x:row r="397">
      <x:c r="A397" s="142" t="n">
        <x:v>343</x:v>
      </x:c>
      <x:c r="B397" s="179" t="n">
        <x:f>EDATE($B$5,A397-1)</x:f>
        <x:v>56949</x:v>
      </x:c>
      <x:c r="C397" s="141" t="n">
        <x:f>$B$6</x:f>
        <x:v>7000</x:v>
      </x:c>
      <x:c r="D397" s="180" t="n">
        <x:f>(1+$B$28)^INT((A397-1)/12)</x:f>
        <x:v>5.111686697146011</x:v>
      </x:c>
      <x:c r="E397" s="141" t="n">
        <x:f>IF(A397&lt;=$B$27,$B$45*D397,0)</x:f>
        <x:v>0</x:v>
      </x:c>
      <x:c r="F397" s="141" t="n">
        <x:f>IF(A397=$B$29,$B$44,0)</x:f>
        <x:v>0</x:v>
      </x:c>
      <x:c r="G397" s="141" t="n">
        <x:f>E397+F397</x:f>
        <x:v>0</x:v>
      </x:c>
      <x:c r="H397" s="141" t="n">
        <x:f>IF(A397=$B$29,$B$42,0)</x:f>
        <x:v>0</x:v>
      </x:c>
      <x:c r="I397" s="141" t="n">
        <x:f>IF(A397=$B$29,$B$43,0)</x:f>
        <x:v>0</x:v>
      </x:c>
      <x:c r="J397" s="140" t="str">
        <x:f>IF(A397&lt;$B$29,"Aguardando",IF(A397=$B$29,"Contemplado","Pos-contemplacao"))</x:f>
        <x:v>Pos-contemplacao</x:v>
      </x:c>
      <x:c r="K397" s="141" t="n">
        <x:f>IF(A397&gt;=$B$27,0,(K398+E398)/(1+$B$9))</x:f>
        <x:v>0</x:v>
      </x:c>
      <x:c r="L397" s="141" t="n">
        <x:f>IF(A397&lt;$B$29,$B$43/(1+$B$9)^($B$29-A397),0)</x:f>
        <x:v>0</x:v>
      </x:c>
      <x:c r="M397" s="141" t="n">
        <x:f>L397-K397</x:f>
        <x:v>0</x:v>
      </x:c>
    </x:row>
    <x:row r="398">
      <x:c r="A398" s="142" t="n">
        <x:v>344</x:v>
      </x:c>
      <x:c r="B398" s="179" t="n">
        <x:f>EDATE($B$5,A398-1)</x:f>
        <x:v>56980</x:v>
      </x:c>
      <x:c r="C398" s="141" t="n">
        <x:f>$B$6</x:f>
        <x:v>7000</x:v>
      </x:c>
      <x:c r="D398" s="180" t="n">
        <x:f>(1+$B$28)^INT((A398-1)/12)</x:f>
        <x:v>5.111686697146011</x:v>
      </x:c>
      <x:c r="E398" s="141" t="n">
        <x:f>IF(A398&lt;=$B$27,$B$45*D398,0)</x:f>
        <x:v>0</x:v>
      </x:c>
      <x:c r="F398" s="141" t="n">
        <x:f>IF(A398=$B$29,$B$44,0)</x:f>
        <x:v>0</x:v>
      </x:c>
      <x:c r="G398" s="141" t="n">
        <x:f>E398+F398</x:f>
        <x:v>0</x:v>
      </x:c>
      <x:c r="H398" s="141" t="n">
        <x:f>IF(A398=$B$29,$B$42,0)</x:f>
        <x:v>0</x:v>
      </x:c>
      <x:c r="I398" s="141" t="n">
        <x:f>IF(A398=$B$29,$B$43,0)</x:f>
        <x:v>0</x:v>
      </x:c>
      <x:c r="J398" s="140" t="str">
        <x:f>IF(A398&lt;$B$29,"Aguardando",IF(A398=$B$29,"Contemplado","Pos-contemplacao"))</x:f>
        <x:v>Pos-contemplacao</x:v>
      </x:c>
      <x:c r="K398" s="141" t="n">
        <x:f>IF(A398&gt;=$B$27,0,(K399+E399)/(1+$B$9))</x:f>
        <x:v>0</x:v>
      </x:c>
      <x:c r="L398" s="141" t="n">
        <x:f>IF(A398&lt;$B$29,$B$43/(1+$B$9)^($B$29-A398),0)</x:f>
        <x:v>0</x:v>
      </x:c>
      <x:c r="M398" s="141" t="n">
        <x:f>L398-K398</x:f>
        <x:v>0</x:v>
      </x:c>
    </x:row>
    <x:row r="399">
      <x:c r="A399" s="142" t="n">
        <x:v>345</x:v>
      </x:c>
      <x:c r="B399" s="179" t="n">
        <x:f>EDATE($B$5,A399-1)</x:f>
        <x:v>57011</x:v>
      </x:c>
      <x:c r="C399" s="141" t="n">
        <x:f>$B$6</x:f>
        <x:v>7000</x:v>
      </x:c>
      <x:c r="D399" s="180" t="n">
        <x:f>(1+$B$28)^INT((A399-1)/12)</x:f>
        <x:v>5.111686697146011</x:v>
      </x:c>
      <x:c r="E399" s="141" t="n">
        <x:f>IF(A399&lt;=$B$27,$B$45*D399,0)</x:f>
        <x:v>0</x:v>
      </x:c>
      <x:c r="F399" s="141" t="n">
        <x:f>IF(A399=$B$29,$B$44,0)</x:f>
        <x:v>0</x:v>
      </x:c>
      <x:c r="G399" s="141" t="n">
        <x:f>E399+F399</x:f>
        <x:v>0</x:v>
      </x:c>
      <x:c r="H399" s="141" t="n">
        <x:f>IF(A399=$B$29,$B$42,0)</x:f>
        <x:v>0</x:v>
      </x:c>
      <x:c r="I399" s="141" t="n">
        <x:f>IF(A399=$B$29,$B$43,0)</x:f>
        <x:v>0</x:v>
      </x:c>
      <x:c r="J399" s="140" t="str">
        <x:f>IF(A399&lt;$B$29,"Aguardando",IF(A399=$B$29,"Contemplado","Pos-contemplacao"))</x:f>
        <x:v>Pos-contemplacao</x:v>
      </x:c>
      <x:c r="K399" s="141" t="n">
        <x:f>IF(A399&gt;=$B$27,0,(K400+E400)/(1+$B$9))</x:f>
        <x:v>0</x:v>
      </x:c>
      <x:c r="L399" s="141" t="n">
        <x:f>IF(A399&lt;$B$29,$B$43/(1+$B$9)^($B$29-A399),0)</x:f>
        <x:v>0</x:v>
      </x:c>
      <x:c r="M399" s="141" t="n">
        <x:f>L399-K399</x:f>
        <x:v>0</x:v>
      </x:c>
    </x:row>
    <x:row r="400">
      <x:c r="A400" s="142" t="n">
        <x:v>346</x:v>
      </x:c>
      <x:c r="B400" s="179" t="n">
        <x:f>EDATE($B$5,A400-1)</x:f>
        <x:v>57040</x:v>
      </x:c>
      <x:c r="C400" s="141" t="n">
        <x:f>$B$6</x:f>
        <x:v>7000</x:v>
      </x:c>
      <x:c r="D400" s="180" t="n">
        <x:f>(1+$B$28)^INT((A400-1)/12)</x:f>
        <x:v>5.111686697146011</x:v>
      </x:c>
      <x:c r="E400" s="141" t="n">
        <x:f>IF(A400&lt;=$B$27,$B$45*D400,0)</x:f>
        <x:v>0</x:v>
      </x:c>
      <x:c r="F400" s="141" t="n">
        <x:f>IF(A400=$B$29,$B$44,0)</x:f>
        <x:v>0</x:v>
      </x:c>
      <x:c r="G400" s="141" t="n">
        <x:f>E400+F400</x:f>
        <x:v>0</x:v>
      </x:c>
      <x:c r="H400" s="141" t="n">
        <x:f>IF(A400=$B$29,$B$42,0)</x:f>
        <x:v>0</x:v>
      </x:c>
      <x:c r="I400" s="141" t="n">
        <x:f>IF(A400=$B$29,$B$43,0)</x:f>
        <x:v>0</x:v>
      </x:c>
      <x:c r="J400" s="140" t="str">
        <x:f>IF(A400&lt;$B$29,"Aguardando",IF(A400=$B$29,"Contemplado","Pos-contemplacao"))</x:f>
        <x:v>Pos-contemplacao</x:v>
      </x:c>
      <x:c r="K400" s="141" t="n">
        <x:f>IF(A400&gt;=$B$27,0,(K401+E401)/(1+$B$9))</x:f>
        <x:v>0</x:v>
      </x:c>
      <x:c r="L400" s="141" t="n">
        <x:f>IF(A400&lt;$B$29,$B$43/(1+$B$9)^($B$29-A400),0)</x:f>
        <x:v>0</x:v>
      </x:c>
      <x:c r="M400" s="141" t="n">
        <x:f>L400-K400</x:f>
        <x:v>0</x:v>
      </x:c>
    </x:row>
    <x:row r="401">
      <x:c r="A401" s="142" t="n">
        <x:v>347</x:v>
      </x:c>
      <x:c r="B401" s="179" t="n">
        <x:f>EDATE($B$5,A401-1)</x:f>
        <x:v>57071</x:v>
      </x:c>
      <x:c r="C401" s="141" t="n">
        <x:f>$B$6</x:f>
        <x:v>7000</x:v>
      </x:c>
      <x:c r="D401" s="180" t="n">
        <x:f>(1+$B$28)^INT((A401-1)/12)</x:f>
        <x:v>5.111686697146011</x:v>
      </x:c>
      <x:c r="E401" s="141" t="n">
        <x:f>IF(A401&lt;=$B$27,$B$45*D401,0)</x:f>
        <x:v>0</x:v>
      </x:c>
      <x:c r="F401" s="141" t="n">
        <x:f>IF(A401=$B$29,$B$44,0)</x:f>
        <x:v>0</x:v>
      </x:c>
      <x:c r="G401" s="141" t="n">
        <x:f>E401+F401</x:f>
        <x:v>0</x:v>
      </x:c>
      <x:c r="H401" s="141" t="n">
        <x:f>IF(A401=$B$29,$B$42,0)</x:f>
        <x:v>0</x:v>
      </x:c>
      <x:c r="I401" s="141" t="n">
        <x:f>IF(A401=$B$29,$B$43,0)</x:f>
        <x:v>0</x:v>
      </x:c>
      <x:c r="J401" s="140" t="str">
        <x:f>IF(A401&lt;$B$29,"Aguardando",IF(A401=$B$29,"Contemplado","Pos-contemplacao"))</x:f>
        <x:v>Pos-contemplacao</x:v>
      </x:c>
      <x:c r="K401" s="141" t="n">
        <x:f>IF(A401&gt;=$B$27,0,(K402+E402)/(1+$B$9))</x:f>
        <x:v>0</x:v>
      </x:c>
      <x:c r="L401" s="141" t="n">
        <x:f>IF(A401&lt;$B$29,$B$43/(1+$B$9)^($B$29-A401),0)</x:f>
        <x:v>0</x:v>
      </x:c>
      <x:c r="M401" s="141" t="n">
        <x:f>L401-K401</x:f>
        <x:v>0</x:v>
      </x:c>
    </x:row>
    <x:row r="402">
      <x:c r="A402" s="142" t="n">
        <x:v>348</x:v>
      </x:c>
      <x:c r="B402" s="179" t="n">
        <x:f>EDATE($B$5,A402-1)</x:f>
        <x:v>57101</x:v>
      </x:c>
      <x:c r="C402" s="141" t="n">
        <x:f>$B$6</x:f>
        <x:v>7000</x:v>
      </x:c>
      <x:c r="D402" s="180" t="n">
        <x:f>(1+$B$28)^INT((A402-1)/12)</x:f>
        <x:v>5.111686697146011</x:v>
      </x:c>
      <x:c r="E402" s="141" t="n">
        <x:f>IF(A402&lt;=$B$27,$B$45*D402,0)</x:f>
        <x:v>0</x:v>
      </x:c>
      <x:c r="F402" s="141" t="n">
        <x:f>IF(A402=$B$29,$B$44,0)</x:f>
        <x:v>0</x:v>
      </x:c>
      <x:c r="G402" s="141" t="n">
        <x:f>E402+F402</x:f>
        <x:v>0</x:v>
      </x:c>
      <x:c r="H402" s="141" t="n">
        <x:f>IF(A402=$B$29,$B$42,0)</x:f>
        <x:v>0</x:v>
      </x:c>
      <x:c r="I402" s="141" t="n">
        <x:f>IF(A402=$B$29,$B$43,0)</x:f>
        <x:v>0</x:v>
      </x:c>
      <x:c r="J402" s="140" t="str">
        <x:f>IF(A402&lt;$B$29,"Aguardando",IF(A402=$B$29,"Contemplado","Pos-contemplacao"))</x:f>
        <x:v>Pos-contemplacao</x:v>
      </x:c>
      <x:c r="K402" s="141" t="n">
        <x:f>IF(A402&gt;=$B$27,0,(K403+E403)/(1+$B$9))</x:f>
        <x:v>0</x:v>
      </x:c>
      <x:c r="L402" s="141" t="n">
        <x:f>IF(A402&lt;$B$29,$B$43/(1+$B$9)^($B$29-A402),0)</x:f>
        <x:v>0</x:v>
      </x:c>
      <x:c r="M402" s="141" t="n">
        <x:f>L402-K402</x:f>
        <x:v>0</x:v>
      </x:c>
    </x:row>
    <x:row r="403">
      <x:c r="A403" s="142" t="n">
        <x:v>349</x:v>
      </x:c>
      <x:c r="B403" s="179" t="n">
        <x:f>EDATE($B$5,A403-1)</x:f>
        <x:v>57132</x:v>
      </x:c>
      <x:c r="C403" s="141" t="n">
        <x:f>$B$6</x:f>
        <x:v>7000</x:v>
      </x:c>
      <x:c r="D403" s="180" t="n">
        <x:f>(1+$B$28)^INT((A403-1)/12)</x:f>
        <x:v>5.418387898974772</x:v>
      </x:c>
      <x:c r="E403" s="141" t="n">
        <x:f>IF(A403&lt;=$B$27,$B$45*D403,0)</x:f>
        <x:v>0</x:v>
      </x:c>
      <x:c r="F403" s="141" t="n">
        <x:f>IF(A403=$B$29,$B$44,0)</x:f>
        <x:v>0</x:v>
      </x:c>
      <x:c r="G403" s="141" t="n">
        <x:f>E403+F403</x:f>
        <x:v>0</x:v>
      </x:c>
      <x:c r="H403" s="141" t="n">
        <x:f>IF(A403=$B$29,$B$42,0)</x:f>
        <x:v>0</x:v>
      </x:c>
      <x:c r="I403" s="141" t="n">
        <x:f>IF(A403=$B$29,$B$43,0)</x:f>
        <x:v>0</x:v>
      </x:c>
      <x:c r="J403" s="140" t="str">
        <x:f>IF(A403&lt;$B$29,"Aguardando",IF(A403=$B$29,"Contemplado","Pos-contemplacao"))</x:f>
        <x:v>Pos-contemplacao</x:v>
      </x:c>
      <x:c r="K403" s="141" t="n">
        <x:f>IF(A403&gt;=$B$27,0,(K404+E404)/(1+$B$9))</x:f>
        <x:v>0</x:v>
      </x:c>
      <x:c r="L403" s="141" t="n">
        <x:f>IF(A403&lt;$B$29,$B$43/(1+$B$9)^($B$29-A403),0)</x:f>
        <x:v>0</x:v>
      </x:c>
      <x:c r="M403" s="141" t="n">
        <x:f>L403-K403</x:f>
        <x:v>0</x:v>
      </x:c>
    </x:row>
    <x:row r="404">
      <x:c r="A404" s="142" t="n">
        <x:v>350</x:v>
      </x:c>
      <x:c r="B404" s="179" t="n">
        <x:f>EDATE($B$5,A404-1)</x:f>
        <x:v>57162</x:v>
      </x:c>
      <x:c r="C404" s="141" t="n">
        <x:f>$B$6</x:f>
        <x:v>7000</x:v>
      </x:c>
      <x:c r="D404" s="180" t="n">
        <x:f>(1+$B$28)^INT((A404-1)/12)</x:f>
        <x:v>5.418387898974772</x:v>
      </x:c>
      <x:c r="E404" s="141" t="n">
        <x:f>IF(A404&lt;=$B$27,$B$45*D404,0)</x:f>
        <x:v>0</x:v>
      </x:c>
      <x:c r="F404" s="141" t="n">
        <x:f>IF(A404=$B$29,$B$44,0)</x:f>
        <x:v>0</x:v>
      </x:c>
      <x:c r="G404" s="141" t="n">
        <x:f>E404+F404</x:f>
        <x:v>0</x:v>
      </x:c>
      <x:c r="H404" s="141" t="n">
        <x:f>IF(A404=$B$29,$B$42,0)</x:f>
        <x:v>0</x:v>
      </x:c>
      <x:c r="I404" s="141" t="n">
        <x:f>IF(A404=$B$29,$B$43,0)</x:f>
        <x:v>0</x:v>
      </x:c>
      <x:c r="J404" s="140" t="str">
        <x:f>IF(A404&lt;$B$29,"Aguardando",IF(A404=$B$29,"Contemplado","Pos-contemplacao"))</x:f>
        <x:v>Pos-contemplacao</x:v>
      </x:c>
      <x:c r="K404" s="141" t="n">
        <x:f>IF(A404&gt;=$B$27,0,(K405+E405)/(1+$B$9))</x:f>
        <x:v>0</x:v>
      </x:c>
      <x:c r="L404" s="141" t="n">
        <x:f>IF(A404&lt;$B$29,$B$43/(1+$B$9)^($B$29-A404),0)</x:f>
        <x:v>0</x:v>
      </x:c>
      <x:c r="M404" s="141" t="n">
        <x:f>L404-K404</x:f>
        <x:v>0</x:v>
      </x:c>
    </x:row>
    <x:row r="405">
      <x:c r="A405" s="142" t="n">
        <x:v>351</x:v>
      </x:c>
      <x:c r="B405" s="179" t="n">
        <x:f>EDATE($B$5,A405-1)</x:f>
        <x:v>57193</x:v>
      </x:c>
      <x:c r="C405" s="141" t="n">
        <x:f>$B$6</x:f>
        <x:v>7000</x:v>
      </x:c>
      <x:c r="D405" s="180" t="n">
        <x:f>(1+$B$28)^INT((A405-1)/12)</x:f>
        <x:v>5.418387898974772</x:v>
      </x:c>
      <x:c r="E405" s="141" t="n">
        <x:f>IF(A405&lt;=$B$27,$B$45*D405,0)</x:f>
        <x:v>0</x:v>
      </x:c>
      <x:c r="F405" s="141" t="n">
        <x:f>IF(A405=$B$29,$B$44,0)</x:f>
        <x:v>0</x:v>
      </x:c>
      <x:c r="G405" s="141" t="n">
        <x:f>E405+F405</x:f>
        <x:v>0</x:v>
      </x:c>
      <x:c r="H405" s="141" t="n">
        <x:f>IF(A405=$B$29,$B$42,0)</x:f>
        <x:v>0</x:v>
      </x:c>
      <x:c r="I405" s="141" t="n">
        <x:f>IF(A405=$B$29,$B$43,0)</x:f>
        <x:v>0</x:v>
      </x:c>
      <x:c r="J405" s="140" t="str">
        <x:f>IF(A405&lt;$B$29,"Aguardando",IF(A405=$B$29,"Contemplado","Pos-contemplacao"))</x:f>
        <x:v>Pos-contemplacao</x:v>
      </x:c>
      <x:c r="K405" s="141" t="n">
        <x:f>IF(A405&gt;=$B$27,0,(K406+E406)/(1+$B$9))</x:f>
        <x:v>0</x:v>
      </x:c>
      <x:c r="L405" s="141" t="n">
        <x:f>IF(A405&lt;$B$29,$B$43/(1+$B$9)^($B$29-A405),0)</x:f>
        <x:v>0</x:v>
      </x:c>
      <x:c r="M405" s="141" t="n">
        <x:f>L405-K405</x:f>
        <x:v>0</x:v>
      </x:c>
    </x:row>
    <x:row r="406">
      <x:c r="A406" s="142" t="n">
        <x:v>352</x:v>
      </x:c>
      <x:c r="B406" s="179" t="n">
        <x:f>EDATE($B$5,A406-1)</x:f>
        <x:v>57224</x:v>
      </x:c>
      <x:c r="C406" s="141" t="n">
        <x:f>$B$6</x:f>
        <x:v>7000</x:v>
      </x:c>
      <x:c r="D406" s="180" t="n">
        <x:f>(1+$B$28)^INT((A406-1)/12)</x:f>
        <x:v>5.418387898974772</x:v>
      </x:c>
      <x:c r="E406" s="141" t="n">
        <x:f>IF(A406&lt;=$B$27,$B$45*D406,0)</x:f>
        <x:v>0</x:v>
      </x:c>
      <x:c r="F406" s="141" t="n">
        <x:f>IF(A406=$B$29,$B$44,0)</x:f>
        <x:v>0</x:v>
      </x:c>
      <x:c r="G406" s="141" t="n">
        <x:f>E406+F406</x:f>
        <x:v>0</x:v>
      </x:c>
      <x:c r="H406" s="141" t="n">
        <x:f>IF(A406=$B$29,$B$42,0)</x:f>
        <x:v>0</x:v>
      </x:c>
      <x:c r="I406" s="141" t="n">
        <x:f>IF(A406=$B$29,$B$43,0)</x:f>
        <x:v>0</x:v>
      </x:c>
      <x:c r="J406" s="140" t="str">
        <x:f>IF(A406&lt;$B$29,"Aguardando",IF(A406=$B$29,"Contemplado","Pos-contemplacao"))</x:f>
        <x:v>Pos-contemplacao</x:v>
      </x:c>
      <x:c r="K406" s="141" t="n">
        <x:f>IF(A406&gt;=$B$27,0,(K407+E407)/(1+$B$9))</x:f>
        <x:v>0</x:v>
      </x:c>
      <x:c r="L406" s="141" t="n">
        <x:f>IF(A406&lt;$B$29,$B$43/(1+$B$9)^($B$29-A406),0)</x:f>
        <x:v>0</x:v>
      </x:c>
      <x:c r="M406" s="141" t="n">
        <x:f>L406-K406</x:f>
        <x:v>0</x:v>
      </x:c>
    </x:row>
    <x:row r="407">
      <x:c r="A407" s="142" t="n">
        <x:v>353</x:v>
      </x:c>
      <x:c r="B407" s="179" t="n">
        <x:f>EDATE($B$5,A407-1)</x:f>
        <x:v>57254</x:v>
      </x:c>
      <x:c r="C407" s="141" t="n">
        <x:f>$B$6</x:f>
        <x:v>7000</x:v>
      </x:c>
      <x:c r="D407" s="180" t="n">
        <x:f>(1+$B$28)^INT((A407-1)/12)</x:f>
        <x:v>5.418387898974772</x:v>
      </x:c>
      <x:c r="E407" s="141" t="n">
        <x:f>IF(A407&lt;=$B$27,$B$45*D407,0)</x:f>
        <x:v>0</x:v>
      </x:c>
      <x:c r="F407" s="141" t="n">
        <x:f>IF(A407=$B$29,$B$44,0)</x:f>
        <x:v>0</x:v>
      </x:c>
      <x:c r="G407" s="141" t="n">
        <x:f>E407+F407</x:f>
        <x:v>0</x:v>
      </x:c>
      <x:c r="H407" s="141" t="n">
        <x:f>IF(A407=$B$29,$B$42,0)</x:f>
        <x:v>0</x:v>
      </x:c>
      <x:c r="I407" s="141" t="n">
        <x:f>IF(A407=$B$29,$B$43,0)</x:f>
        <x:v>0</x:v>
      </x:c>
      <x:c r="J407" s="140" t="str">
        <x:f>IF(A407&lt;$B$29,"Aguardando",IF(A407=$B$29,"Contemplado","Pos-contemplacao"))</x:f>
        <x:v>Pos-contemplacao</x:v>
      </x:c>
      <x:c r="K407" s="141" t="n">
        <x:f>IF(A407&gt;=$B$27,0,(K408+E408)/(1+$B$9))</x:f>
        <x:v>0</x:v>
      </x:c>
      <x:c r="L407" s="141" t="n">
        <x:f>IF(A407&lt;$B$29,$B$43/(1+$B$9)^($B$29-A407),0)</x:f>
        <x:v>0</x:v>
      </x:c>
      <x:c r="M407" s="141" t="n">
        <x:f>L407-K407</x:f>
        <x:v>0</x:v>
      </x:c>
    </x:row>
    <x:row r="408">
      <x:c r="A408" s="142" t="n">
        <x:v>354</x:v>
      </x:c>
      <x:c r="B408" s="179" t="n">
        <x:f>EDATE($B$5,A408-1)</x:f>
        <x:v>57285</x:v>
      </x:c>
      <x:c r="C408" s="141" t="n">
        <x:f>$B$6</x:f>
        <x:v>7000</x:v>
      </x:c>
      <x:c r="D408" s="180" t="n">
        <x:f>(1+$B$28)^INT((A408-1)/12)</x:f>
        <x:v>5.418387898974772</x:v>
      </x:c>
      <x:c r="E408" s="141" t="n">
        <x:f>IF(A408&lt;=$B$27,$B$45*D408,0)</x:f>
        <x:v>0</x:v>
      </x:c>
      <x:c r="F408" s="141" t="n">
        <x:f>IF(A408=$B$29,$B$44,0)</x:f>
        <x:v>0</x:v>
      </x:c>
      <x:c r="G408" s="141" t="n">
        <x:f>E408+F408</x:f>
        <x:v>0</x:v>
      </x:c>
      <x:c r="H408" s="141" t="n">
        <x:f>IF(A408=$B$29,$B$42,0)</x:f>
        <x:v>0</x:v>
      </x:c>
      <x:c r="I408" s="141" t="n">
        <x:f>IF(A408=$B$29,$B$43,0)</x:f>
        <x:v>0</x:v>
      </x:c>
      <x:c r="J408" s="140" t="str">
        <x:f>IF(A408&lt;$B$29,"Aguardando",IF(A408=$B$29,"Contemplado","Pos-contemplacao"))</x:f>
        <x:v>Pos-contemplacao</x:v>
      </x:c>
      <x:c r="K408" s="141" t="n">
        <x:f>IF(A408&gt;=$B$27,0,(K409+E409)/(1+$B$9))</x:f>
        <x:v>0</x:v>
      </x:c>
      <x:c r="L408" s="141" t="n">
        <x:f>IF(A408&lt;$B$29,$B$43/(1+$B$9)^($B$29-A408),0)</x:f>
        <x:v>0</x:v>
      </x:c>
      <x:c r="M408" s="141" t="n">
        <x:f>L408-K408</x:f>
        <x:v>0</x:v>
      </x:c>
    </x:row>
    <x:row r="409">
      <x:c r="A409" s="142" t="n">
        <x:v>355</x:v>
      </x:c>
      <x:c r="B409" s="179" t="n">
        <x:f>EDATE($B$5,A409-1)</x:f>
        <x:v>57315</x:v>
      </x:c>
      <x:c r="C409" s="141" t="n">
        <x:f>$B$6</x:f>
        <x:v>7000</x:v>
      </x:c>
      <x:c r="D409" s="180" t="n">
        <x:f>(1+$B$28)^INT((A409-1)/12)</x:f>
        <x:v>5.418387898974772</x:v>
      </x:c>
      <x:c r="E409" s="141" t="n">
        <x:f>IF(A409&lt;=$B$27,$B$45*D409,0)</x:f>
        <x:v>0</x:v>
      </x:c>
      <x:c r="F409" s="141" t="n">
        <x:f>IF(A409=$B$29,$B$44,0)</x:f>
        <x:v>0</x:v>
      </x:c>
      <x:c r="G409" s="141" t="n">
        <x:f>E409+F409</x:f>
        <x:v>0</x:v>
      </x:c>
      <x:c r="H409" s="141" t="n">
        <x:f>IF(A409=$B$29,$B$42,0)</x:f>
        <x:v>0</x:v>
      </x:c>
      <x:c r="I409" s="141" t="n">
        <x:f>IF(A409=$B$29,$B$43,0)</x:f>
        <x:v>0</x:v>
      </x:c>
      <x:c r="J409" s="140" t="str">
        <x:f>IF(A409&lt;$B$29,"Aguardando",IF(A409=$B$29,"Contemplado","Pos-contemplacao"))</x:f>
        <x:v>Pos-contemplacao</x:v>
      </x:c>
      <x:c r="K409" s="141" t="n">
        <x:f>IF(A409&gt;=$B$27,0,(K410+E410)/(1+$B$9))</x:f>
        <x:v>0</x:v>
      </x:c>
      <x:c r="L409" s="141" t="n">
        <x:f>IF(A409&lt;$B$29,$B$43/(1+$B$9)^($B$29-A409),0)</x:f>
        <x:v>0</x:v>
      </x:c>
      <x:c r="M409" s="141" t="n">
        <x:f>L409-K409</x:f>
        <x:v>0</x:v>
      </x:c>
    </x:row>
    <x:row r="410">
      <x:c r="A410" s="142" t="n">
        <x:v>356</x:v>
      </x:c>
      <x:c r="B410" s="179" t="n">
        <x:f>EDATE($B$5,A410-1)</x:f>
        <x:v>57346</x:v>
      </x:c>
      <x:c r="C410" s="141" t="n">
        <x:f>$B$6</x:f>
        <x:v>7000</x:v>
      </x:c>
      <x:c r="D410" s="180" t="n">
        <x:f>(1+$B$28)^INT((A410-1)/12)</x:f>
        <x:v>5.418387898974772</x:v>
      </x:c>
      <x:c r="E410" s="141" t="n">
        <x:f>IF(A410&lt;=$B$27,$B$45*D410,0)</x:f>
        <x:v>0</x:v>
      </x:c>
      <x:c r="F410" s="141" t="n">
        <x:f>IF(A410=$B$29,$B$44,0)</x:f>
        <x:v>0</x:v>
      </x:c>
      <x:c r="G410" s="141" t="n">
        <x:f>E410+F410</x:f>
        <x:v>0</x:v>
      </x:c>
      <x:c r="H410" s="141" t="n">
        <x:f>IF(A410=$B$29,$B$42,0)</x:f>
        <x:v>0</x:v>
      </x:c>
      <x:c r="I410" s="141" t="n">
        <x:f>IF(A410=$B$29,$B$43,0)</x:f>
        <x:v>0</x:v>
      </x:c>
      <x:c r="J410" s="140" t="str">
        <x:f>IF(A410&lt;$B$29,"Aguardando",IF(A410=$B$29,"Contemplado","Pos-contemplacao"))</x:f>
        <x:v>Pos-contemplacao</x:v>
      </x:c>
      <x:c r="K410" s="141" t="n">
        <x:f>IF(A410&gt;=$B$27,0,(K411+E411)/(1+$B$9))</x:f>
        <x:v>0</x:v>
      </x:c>
      <x:c r="L410" s="141" t="n">
        <x:f>IF(A410&lt;$B$29,$B$43/(1+$B$9)^($B$29-A410),0)</x:f>
        <x:v>0</x:v>
      </x:c>
      <x:c r="M410" s="141" t="n">
        <x:f>L410-K410</x:f>
        <x:v>0</x:v>
      </x:c>
    </x:row>
    <x:row r="411">
      <x:c r="A411" s="142" t="n">
        <x:v>357</x:v>
      </x:c>
      <x:c r="B411" s="179" t="n">
        <x:f>EDATE($B$5,A411-1)</x:f>
        <x:v>57377</x:v>
      </x:c>
      <x:c r="C411" s="141" t="n">
        <x:f>$B$6</x:f>
        <x:v>7000</x:v>
      </x:c>
      <x:c r="D411" s="180" t="n">
        <x:f>(1+$B$28)^INT((A411-1)/12)</x:f>
        <x:v>5.418387898974772</x:v>
      </x:c>
      <x:c r="E411" s="141" t="n">
        <x:f>IF(A411&lt;=$B$27,$B$45*D411,0)</x:f>
        <x:v>0</x:v>
      </x:c>
      <x:c r="F411" s="141" t="n">
        <x:f>IF(A411=$B$29,$B$44,0)</x:f>
        <x:v>0</x:v>
      </x:c>
      <x:c r="G411" s="141" t="n">
        <x:f>E411+F411</x:f>
        <x:v>0</x:v>
      </x:c>
      <x:c r="H411" s="141" t="n">
        <x:f>IF(A411=$B$29,$B$42,0)</x:f>
        <x:v>0</x:v>
      </x:c>
      <x:c r="I411" s="141" t="n">
        <x:f>IF(A411=$B$29,$B$43,0)</x:f>
        <x:v>0</x:v>
      </x:c>
      <x:c r="J411" s="140" t="str">
        <x:f>IF(A411&lt;$B$29,"Aguardando",IF(A411=$B$29,"Contemplado","Pos-contemplacao"))</x:f>
        <x:v>Pos-contemplacao</x:v>
      </x:c>
      <x:c r="K411" s="141" t="n">
        <x:f>IF(A411&gt;=$B$27,0,(K412+E412)/(1+$B$9))</x:f>
        <x:v>0</x:v>
      </x:c>
      <x:c r="L411" s="141" t="n">
        <x:f>IF(A411&lt;$B$29,$B$43/(1+$B$9)^($B$29-A411),0)</x:f>
        <x:v>0</x:v>
      </x:c>
      <x:c r="M411" s="141" t="n">
        <x:f>L411-K411</x:f>
        <x:v>0</x:v>
      </x:c>
    </x:row>
    <x:row r="412">
      <x:c r="A412" s="142" t="n">
        <x:v>358</x:v>
      </x:c>
      <x:c r="B412" s="179" t="n">
        <x:f>EDATE($B$5,A412-1)</x:f>
        <x:v>57405</x:v>
      </x:c>
      <x:c r="C412" s="141" t="n">
        <x:f>$B$6</x:f>
        <x:v>7000</x:v>
      </x:c>
      <x:c r="D412" s="180" t="n">
        <x:f>(1+$B$28)^INT((A412-1)/12)</x:f>
        <x:v>5.418387898974772</x:v>
      </x:c>
      <x:c r="E412" s="141" t="n">
        <x:f>IF(A412&lt;=$B$27,$B$45*D412,0)</x:f>
        <x:v>0</x:v>
      </x:c>
      <x:c r="F412" s="141" t="n">
        <x:f>IF(A412=$B$29,$B$44,0)</x:f>
        <x:v>0</x:v>
      </x:c>
      <x:c r="G412" s="141" t="n">
        <x:f>E412+F412</x:f>
        <x:v>0</x:v>
      </x:c>
      <x:c r="H412" s="141" t="n">
        <x:f>IF(A412=$B$29,$B$42,0)</x:f>
        <x:v>0</x:v>
      </x:c>
      <x:c r="I412" s="141" t="n">
        <x:f>IF(A412=$B$29,$B$43,0)</x:f>
        <x:v>0</x:v>
      </x:c>
      <x:c r="J412" s="140" t="str">
        <x:f>IF(A412&lt;$B$29,"Aguardando",IF(A412=$B$29,"Contemplado","Pos-contemplacao"))</x:f>
        <x:v>Pos-contemplacao</x:v>
      </x:c>
      <x:c r="K412" s="141" t="n">
        <x:f>IF(A412&gt;=$B$27,0,(K413+E413)/(1+$B$9))</x:f>
        <x:v>0</x:v>
      </x:c>
      <x:c r="L412" s="141" t="n">
        <x:f>IF(A412&lt;$B$29,$B$43/(1+$B$9)^($B$29-A412),0)</x:f>
        <x:v>0</x:v>
      </x:c>
      <x:c r="M412" s="141" t="n">
        <x:f>L412-K412</x:f>
        <x:v>0</x:v>
      </x:c>
    </x:row>
    <x:row r="413">
      <x:c r="A413" s="142" t="n">
        <x:v>359</x:v>
      </x:c>
      <x:c r="B413" s="179" t="n">
        <x:f>EDATE($B$5,A413-1)</x:f>
        <x:v>57436</x:v>
      </x:c>
      <x:c r="C413" s="141" t="n">
        <x:f>$B$6</x:f>
        <x:v>7000</x:v>
      </x:c>
      <x:c r="D413" s="180" t="n">
        <x:f>(1+$B$28)^INT((A413-1)/12)</x:f>
        <x:v>5.418387898974772</x:v>
      </x:c>
      <x:c r="E413" s="141" t="n">
        <x:f>IF(A413&lt;=$B$27,$B$45*D413,0)</x:f>
        <x:v>0</x:v>
      </x:c>
      <x:c r="F413" s="141" t="n">
        <x:f>IF(A413=$B$29,$B$44,0)</x:f>
        <x:v>0</x:v>
      </x:c>
      <x:c r="G413" s="141" t="n">
        <x:f>E413+F413</x:f>
        <x:v>0</x:v>
      </x:c>
      <x:c r="H413" s="141" t="n">
        <x:f>IF(A413=$B$29,$B$42,0)</x:f>
        <x:v>0</x:v>
      </x:c>
      <x:c r="I413" s="141" t="n">
        <x:f>IF(A413=$B$29,$B$43,0)</x:f>
        <x:v>0</x:v>
      </x:c>
      <x:c r="J413" s="140" t="str">
        <x:f>IF(A413&lt;$B$29,"Aguardando",IF(A413=$B$29,"Contemplado","Pos-contemplacao"))</x:f>
        <x:v>Pos-contemplacao</x:v>
      </x:c>
      <x:c r="K413" s="141" t="n">
        <x:f>IF(A413&gt;=$B$27,0,(K414+E414)/(1+$B$9))</x:f>
        <x:v>0</x:v>
      </x:c>
      <x:c r="L413" s="141" t="n">
        <x:f>IF(A413&lt;$B$29,$B$43/(1+$B$9)^($B$29-A413),0)</x:f>
        <x:v>0</x:v>
      </x:c>
      <x:c r="M413" s="141" t="n">
        <x:f>L413-K413</x:f>
        <x:v>0</x:v>
      </x:c>
    </x:row>
    <x:row r="414">
      <x:c r="A414" s="142" t="n">
        <x:v>360</x:v>
      </x:c>
      <x:c r="B414" s="179" t="n">
        <x:f>EDATE($B$5,A414-1)</x:f>
        <x:v>57466</x:v>
      </x:c>
      <x:c r="C414" s="141" t="n">
        <x:f>$B$6</x:f>
        <x:v>7000</x:v>
      </x:c>
      <x:c r="D414" s="180" t="n">
        <x:f>(1+$B$28)^INT((A414-1)/12)</x:f>
        <x:v>5.418387898974772</x:v>
      </x:c>
      <x:c r="E414" s="141" t="n">
        <x:f>IF(A414&lt;=$B$27,$B$45*D414,0)</x:f>
        <x:v>0</x:v>
      </x:c>
      <x:c r="F414" s="141" t="n">
        <x:f>IF(A414=$B$29,$B$44,0)</x:f>
        <x:v>0</x:v>
      </x:c>
      <x:c r="G414" s="141" t="n">
        <x:f>E414+F414</x:f>
        <x:v>0</x:v>
      </x:c>
      <x:c r="H414" s="141" t="n">
        <x:f>IF(A414=$B$29,$B$42,0)</x:f>
        <x:v>0</x:v>
      </x:c>
      <x:c r="I414" s="141" t="n">
        <x:f>IF(A414=$B$29,$B$43,0)</x:f>
        <x:v>0</x:v>
      </x:c>
      <x:c r="J414" s="140" t="str">
        <x:f>IF(A414&lt;$B$29,"Aguardando",IF(A414=$B$29,"Contemplado","Pos-contemplacao"))</x:f>
        <x:v>Pos-contemplacao</x:v>
      </x:c>
      <x:c r="K414" s="141" t="n">
        <x:f>IF(A414&gt;=$B$27,0,(K415+E415)/(1+$B$9))</x:f>
        <x:v>0</x:v>
      </x:c>
      <x:c r="L414" s="141" t="n">
        <x:f>IF(A414&lt;$B$29,$B$43/(1+$B$9)^($B$29-A414),0)</x:f>
        <x:v>0</x:v>
      </x:c>
      <x:c r="M414" s="141" t="n">
        <x:f>L414-K414</x:f>
        <x:v>0</x:v>
      </x:c>
    </x:row>
    <x:row r="415">
      <x:c r="A415" s="142" t="n">
        <x:v>361</x:v>
      </x:c>
      <x:c r="B415" s="179" t="n">
        <x:f>EDATE($B$5,A415-1)</x:f>
        <x:v>57497</x:v>
      </x:c>
      <x:c r="C415" s="141" t="n">
        <x:f>$B$6</x:f>
        <x:v>7000</x:v>
      </x:c>
      <x:c r="D415" s="180" t="n">
        <x:f>(1+$B$28)^INT((A415-1)/12)</x:f>
        <x:v>5.7434911729132585</x:v>
      </x:c>
      <x:c r="E415" s="141" t="n">
        <x:f>IF(A415&lt;=$B$27,$B$45*D415,0)</x:f>
        <x:v>0</x:v>
      </x:c>
      <x:c r="F415" s="141" t="n">
        <x:f>IF(A415=$B$29,$B$44,0)</x:f>
        <x:v>0</x:v>
      </x:c>
      <x:c r="G415" s="141" t="n">
        <x:f>E415+F415</x:f>
        <x:v>0</x:v>
      </x:c>
      <x:c r="H415" s="141" t="n">
        <x:f>IF(A415=$B$29,$B$42,0)</x:f>
        <x:v>0</x:v>
      </x:c>
      <x:c r="I415" s="141" t="n">
        <x:f>IF(A415=$B$29,$B$43,0)</x:f>
        <x:v>0</x:v>
      </x:c>
      <x:c r="J415" s="140" t="str">
        <x:f>IF(A415&lt;$B$29,"Aguardando",IF(A415=$B$29,"Contemplado","Pos-contemplacao"))</x:f>
        <x:v>Pos-contemplacao</x:v>
      </x:c>
      <x:c r="K415" s="141" t="n">
        <x:f>IF(A415&gt;=$B$27,0,(K416+E416)/(1+$B$9))</x:f>
        <x:v>0</x:v>
      </x:c>
      <x:c r="L415" s="141" t="n">
        <x:f>IF(A415&lt;$B$29,$B$43/(1+$B$9)^($B$29-A415),0)</x:f>
        <x:v>0</x:v>
      </x:c>
      <x:c r="M415" s="141" t="n">
        <x:f>L415-K415</x:f>
        <x:v>0</x:v>
      </x:c>
    </x:row>
    <x:row r="416">
      <x:c r="A416" s="142" t="n">
        <x:v>362</x:v>
      </x:c>
      <x:c r="B416" s="179" t="n">
        <x:f>EDATE($B$5,A416-1)</x:f>
        <x:v>57527</x:v>
      </x:c>
      <x:c r="C416" s="141" t="n">
        <x:f>$B$6</x:f>
        <x:v>7000</x:v>
      </x:c>
      <x:c r="D416" s="180" t="n">
        <x:f>(1+$B$28)^INT((A416-1)/12)</x:f>
        <x:v>5.7434911729132585</x:v>
      </x:c>
      <x:c r="E416" s="141" t="n">
        <x:f>IF(A416&lt;=$B$27,$B$45*D416,0)</x:f>
        <x:v>0</x:v>
      </x:c>
      <x:c r="F416" s="141" t="n">
        <x:f>IF(A416=$B$29,$B$44,0)</x:f>
        <x:v>0</x:v>
      </x:c>
      <x:c r="G416" s="141" t="n">
        <x:f>E416+F416</x:f>
        <x:v>0</x:v>
      </x:c>
      <x:c r="H416" s="141" t="n">
        <x:f>IF(A416=$B$29,$B$42,0)</x:f>
        <x:v>0</x:v>
      </x:c>
      <x:c r="I416" s="141" t="n">
        <x:f>IF(A416=$B$29,$B$43,0)</x:f>
        <x:v>0</x:v>
      </x:c>
      <x:c r="J416" s="140" t="str">
        <x:f>IF(A416&lt;$B$29,"Aguardando",IF(A416=$B$29,"Contemplado","Pos-contemplacao"))</x:f>
        <x:v>Pos-contemplacao</x:v>
      </x:c>
      <x:c r="K416" s="141" t="n">
        <x:f>IF(A416&gt;=$B$27,0,(K417+E417)/(1+$B$9))</x:f>
        <x:v>0</x:v>
      </x:c>
      <x:c r="L416" s="141" t="n">
        <x:f>IF(A416&lt;$B$29,$B$43/(1+$B$9)^($B$29-A416),0)</x:f>
        <x:v>0</x:v>
      </x:c>
      <x:c r="M416" s="141" t="n">
        <x:f>L416-K416</x:f>
        <x:v>0</x:v>
      </x:c>
    </x:row>
    <x:row r="417">
      <x:c r="A417" s="142" t="n">
        <x:v>363</x:v>
      </x:c>
      <x:c r="B417" s="179" t="n">
        <x:f>EDATE($B$5,A417-1)</x:f>
        <x:v>57558</x:v>
      </x:c>
      <x:c r="C417" s="141" t="n">
        <x:f>$B$6</x:f>
        <x:v>7000</x:v>
      </x:c>
      <x:c r="D417" s="180" t="n">
        <x:f>(1+$B$28)^INT((A417-1)/12)</x:f>
        <x:v>5.7434911729132585</x:v>
      </x:c>
      <x:c r="E417" s="141" t="n">
        <x:f>IF(A417&lt;=$B$27,$B$45*D417,0)</x:f>
        <x:v>0</x:v>
      </x:c>
      <x:c r="F417" s="141" t="n">
        <x:f>IF(A417=$B$29,$B$44,0)</x:f>
        <x:v>0</x:v>
      </x:c>
      <x:c r="G417" s="141" t="n">
        <x:f>E417+F417</x:f>
        <x:v>0</x:v>
      </x:c>
      <x:c r="H417" s="141" t="n">
        <x:f>IF(A417=$B$29,$B$42,0)</x:f>
        <x:v>0</x:v>
      </x:c>
      <x:c r="I417" s="141" t="n">
        <x:f>IF(A417=$B$29,$B$43,0)</x:f>
        <x:v>0</x:v>
      </x:c>
      <x:c r="J417" s="140" t="str">
        <x:f>IF(A417&lt;$B$29,"Aguardando",IF(A417=$B$29,"Contemplado","Pos-contemplacao"))</x:f>
        <x:v>Pos-contemplacao</x:v>
      </x:c>
      <x:c r="K417" s="141" t="n">
        <x:f>IF(A417&gt;=$B$27,0,(K418+E418)/(1+$B$9))</x:f>
        <x:v>0</x:v>
      </x:c>
      <x:c r="L417" s="141" t="n">
        <x:f>IF(A417&lt;$B$29,$B$43/(1+$B$9)^($B$29-A417),0)</x:f>
        <x:v>0</x:v>
      </x:c>
      <x:c r="M417" s="141" t="n">
        <x:f>L417-K417</x:f>
        <x:v>0</x:v>
      </x:c>
    </x:row>
    <x:row r="418">
      <x:c r="A418" s="142" t="n">
        <x:v>364</x:v>
      </x:c>
      <x:c r="B418" s="179" t="n">
        <x:f>EDATE($B$5,A418-1)</x:f>
        <x:v>57589</x:v>
      </x:c>
      <x:c r="C418" s="141" t="n">
        <x:f>$B$6</x:f>
        <x:v>7000</x:v>
      </x:c>
      <x:c r="D418" s="180" t="n">
        <x:f>(1+$B$28)^INT((A418-1)/12)</x:f>
        <x:v>5.7434911729132585</x:v>
      </x:c>
      <x:c r="E418" s="141" t="n">
        <x:f>IF(A418&lt;=$B$27,$B$45*D418,0)</x:f>
        <x:v>0</x:v>
      </x:c>
      <x:c r="F418" s="141" t="n">
        <x:f>IF(A418=$B$29,$B$44,0)</x:f>
        <x:v>0</x:v>
      </x:c>
      <x:c r="G418" s="141" t="n">
        <x:f>E418+F418</x:f>
        <x:v>0</x:v>
      </x:c>
      <x:c r="H418" s="141" t="n">
        <x:f>IF(A418=$B$29,$B$42,0)</x:f>
        <x:v>0</x:v>
      </x:c>
      <x:c r="I418" s="141" t="n">
        <x:f>IF(A418=$B$29,$B$43,0)</x:f>
        <x:v>0</x:v>
      </x:c>
      <x:c r="J418" s="140" t="str">
        <x:f>IF(A418&lt;$B$29,"Aguardando",IF(A418=$B$29,"Contemplado","Pos-contemplacao"))</x:f>
        <x:v>Pos-contemplacao</x:v>
      </x:c>
      <x:c r="K418" s="141" t="n">
        <x:f>IF(A418&gt;=$B$27,0,(K419+E419)/(1+$B$9))</x:f>
        <x:v>0</x:v>
      </x:c>
      <x:c r="L418" s="141" t="n">
        <x:f>IF(A418&lt;$B$29,$B$43/(1+$B$9)^($B$29-A418),0)</x:f>
        <x:v>0</x:v>
      </x:c>
      <x:c r="M418" s="141" t="n">
        <x:f>L418-K418</x:f>
        <x:v>0</x:v>
      </x:c>
    </x:row>
    <x:row r="419">
      <x:c r="A419" s="142" t="n">
        <x:v>365</x:v>
      </x:c>
      <x:c r="B419" s="179" t="n">
        <x:f>EDATE($B$5,A419-1)</x:f>
        <x:v>57619</x:v>
      </x:c>
      <x:c r="C419" s="141" t="n">
        <x:f>$B$6</x:f>
        <x:v>7000</x:v>
      </x:c>
      <x:c r="D419" s="180" t="n">
        <x:f>(1+$B$28)^INT((A419-1)/12)</x:f>
        <x:v>5.7434911729132585</x:v>
      </x:c>
      <x:c r="E419" s="141" t="n">
        <x:f>IF(A419&lt;=$B$27,$B$45*D419,0)</x:f>
        <x:v>0</x:v>
      </x:c>
      <x:c r="F419" s="141" t="n">
        <x:f>IF(A419=$B$29,$B$44,0)</x:f>
        <x:v>0</x:v>
      </x:c>
      <x:c r="G419" s="141" t="n">
        <x:f>E419+F419</x:f>
        <x:v>0</x:v>
      </x:c>
      <x:c r="H419" s="141" t="n">
        <x:f>IF(A419=$B$29,$B$42,0)</x:f>
        <x:v>0</x:v>
      </x:c>
      <x:c r="I419" s="141" t="n">
        <x:f>IF(A419=$B$29,$B$43,0)</x:f>
        <x:v>0</x:v>
      </x:c>
      <x:c r="J419" s="140" t="str">
        <x:f>IF(A419&lt;$B$29,"Aguardando",IF(A419=$B$29,"Contemplado","Pos-contemplacao"))</x:f>
        <x:v>Pos-contemplacao</x:v>
      </x:c>
      <x:c r="K419" s="141" t="n">
        <x:f>IF(A419&gt;=$B$27,0,(K420+E420)/(1+$B$9))</x:f>
        <x:v>0</x:v>
      </x:c>
      <x:c r="L419" s="141" t="n">
        <x:f>IF(A419&lt;$B$29,$B$43/(1+$B$9)^($B$29-A419),0)</x:f>
        <x:v>0</x:v>
      </x:c>
      <x:c r="M419" s="141" t="n">
        <x:f>L419-K419</x:f>
        <x:v>0</x:v>
      </x:c>
    </x:row>
    <x:row r="420">
      <x:c r="A420" s="142" t="n">
        <x:v>366</x:v>
      </x:c>
      <x:c r="B420" s="179" t="n">
        <x:f>EDATE($B$5,A420-1)</x:f>
        <x:v>57650</x:v>
      </x:c>
      <x:c r="C420" s="141" t="n">
        <x:f>$B$6</x:f>
        <x:v>7000</x:v>
      </x:c>
      <x:c r="D420" s="180" t="n">
        <x:f>(1+$B$28)^INT((A420-1)/12)</x:f>
        <x:v>5.7434911729132585</x:v>
      </x:c>
      <x:c r="E420" s="141" t="n">
        <x:f>IF(A420&lt;=$B$27,$B$45*D420,0)</x:f>
        <x:v>0</x:v>
      </x:c>
      <x:c r="F420" s="141" t="n">
        <x:f>IF(A420=$B$29,$B$44,0)</x:f>
        <x:v>0</x:v>
      </x:c>
      <x:c r="G420" s="141" t="n">
        <x:f>E420+F420</x:f>
        <x:v>0</x:v>
      </x:c>
      <x:c r="H420" s="141" t="n">
        <x:f>IF(A420=$B$29,$B$42,0)</x:f>
        <x:v>0</x:v>
      </x:c>
      <x:c r="I420" s="141" t="n">
        <x:f>IF(A420=$B$29,$B$43,0)</x:f>
        <x:v>0</x:v>
      </x:c>
      <x:c r="J420" s="140" t="str">
        <x:f>IF(A420&lt;$B$29,"Aguardando",IF(A420=$B$29,"Contemplado","Pos-contemplacao"))</x:f>
        <x:v>Pos-contemplacao</x:v>
      </x:c>
      <x:c r="K420" s="141" t="n">
        <x:f>IF(A420&gt;=$B$27,0,(K421+E421)/(1+$B$9))</x:f>
        <x:v>0</x:v>
      </x:c>
      <x:c r="L420" s="141" t="n">
        <x:f>IF(A420&lt;$B$29,$B$43/(1+$B$9)^($B$29-A420),0)</x:f>
        <x:v>0</x:v>
      </x:c>
      <x:c r="M420" s="141" t="n">
        <x:f>L420-K420</x:f>
        <x:v>0</x:v>
      </x:c>
    </x:row>
    <x:row r="421">
      <x:c r="A421" s="142" t="n">
        <x:v>367</x:v>
      </x:c>
      <x:c r="B421" s="179" t="n">
        <x:f>EDATE($B$5,A421-1)</x:f>
        <x:v>57680</x:v>
      </x:c>
      <x:c r="C421" s="141" t="n">
        <x:f>$B$6</x:f>
        <x:v>7000</x:v>
      </x:c>
      <x:c r="D421" s="180" t="n">
        <x:f>(1+$B$28)^INT((A421-1)/12)</x:f>
        <x:v>5.7434911729132585</x:v>
      </x:c>
      <x:c r="E421" s="141" t="n">
        <x:f>IF(A421&lt;=$B$27,$B$45*D421,0)</x:f>
        <x:v>0</x:v>
      </x:c>
      <x:c r="F421" s="141" t="n">
        <x:f>IF(A421=$B$29,$B$44,0)</x:f>
        <x:v>0</x:v>
      </x:c>
      <x:c r="G421" s="141" t="n">
        <x:f>E421+F421</x:f>
        <x:v>0</x:v>
      </x:c>
      <x:c r="H421" s="141" t="n">
        <x:f>IF(A421=$B$29,$B$42,0)</x:f>
        <x:v>0</x:v>
      </x:c>
      <x:c r="I421" s="141" t="n">
        <x:f>IF(A421=$B$29,$B$43,0)</x:f>
        <x:v>0</x:v>
      </x:c>
      <x:c r="J421" s="140" t="str">
        <x:f>IF(A421&lt;$B$29,"Aguardando",IF(A421=$B$29,"Contemplado","Pos-contemplacao"))</x:f>
        <x:v>Pos-contemplacao</x:v>
      </x:c>
      <x:c r="K421" s="141" t="n">
        <x:f>IF(A421&gt;=$B$27,0,(K422+E422)/(1+$B$9))</x:f>
        <x:v>0</x:v>
      </x:c>
      <x:c r="L421" s="141" t="n">
        <x:f>IF(A421&lt;$B$29,$B$43/(1+$B$9)^($B$29-A421),0)</x:f>
        <x:v>0</x:v>
      </x:c>
      <x:c r="M421" s="141" t="n">
        <x:f>L421-K421</x:f>
        <x:v>0</x:v>
      </x:c>
    </x:row>
    <x:row r="422">
      <x:c r="A422" s="142" t="n">
        <x:v>368</x:v>
      </x:c>
      <x:c r="B422" s="179" t="n">
        <x:f>EDATE($B$5,A422-1)</x:f>
        <x:v>57711</x:v>
      </x:c>
      <x:c r="C422" s="141" t="n">
        <x:f>$B$6</x:f>
        <x:v>7000</x:v>
      </x:c>
      <x:c r="D422" s="180" t="n">
        <x:f>(1+$B$28)^INT((A422-1)/12)</x:f>
        <x:v>5.7434911729132585</x:v>
      </x:c>
      <x:c r="E422" s="141" t="n">
        <x:f>IF(A422&lt;=$B$27,$B$45*D422,0)</x:f>
        <x:v>0</x:v>
      </x:c>
      <x:c r="F422" s="141" t="n">
        <x:f>IF(A422=$B$29,$B$44,0)</x:f>
        <x:v>0</x:v>
      </x:c>
      <x:c r="G422" s="141" t="n">
        <x:f>E422+F422</x:f>
        <x:v>0</x:v>
      </x:c>
      <x:c r="H422" s="141" t="n">
        <x:f>IF(A422=$B$29,$B$42,0)</x:f>
        <x:v>0</x:v>
      </x:c>
      <x:c r="I422" s="141" t="n">
        <x:f>IF(A422=$B$29,$B$43,0)</x:f>
        <x:v>0</x:v>
      </x:c>
      <x:c r="J422" s="140" t="str">
        <x:f>IF(A422&lt;$B$29,"Aguardando",IF(A422=$B$29,"Contemplado","Pos-contemplacao"))</x:f>
        <x:v>Pos-contemplacao</x:v>
      </x:c>
      <x:c r="K422" s="141" t="n">
        <x:f>IF(A422&gt;=$B$27,0,(K423+E423)/(1+$B$9))</x:f>
        <x:v>0</x:v>
      </x:c>
      <x:c r="L422" s="141" t="n">
        <x:f>IF(A422&lt;$B$29,$B$43/(1+$B$9)^($B$29-A422),0)</x:f>
        <x:v>0</x:v>
      </x:c>
      <x:c r="M422" s="141" t="n">
        <x:f>L422-K422</x:f>
        <x:v>0</x:v>
      </x:c>
    </x:row>
    <x:row r="423">
      <x:c r="A423" s="142" t="n">
        <x:v>369</x:v>
      </x:c>
      <x:c r="B423" s="179" t="n">
        <x:f>EDATE($B$5,A423-1)</x:f>
        <x:v>57742</x:v>
      </x:c>
      <x:c r="C423" s="141" t="n">
        <x:f>$B$6</x:f>
        <x:v>7000</x:v>
      </x:c>
      <x:c r="D423" s="180" t="n">
        <x:f>(1+$B$28)^INT((A423-1)/12)</x:f>
        <x:v>5.7434911729132585</x:v>
      </x:c>
      <x:c r="E423" s="141" t="n">
        <x:f>IF(A423&lt;=$B$27,$B$45*D423,0)</x:f>
        <x:v>0</x:v>
      </x:c>
      <x:c r="F423" s="141" t="n">
        <x:f>IF(A423=$B$29,$B$44,0)</x:f>
        <x:v>0</x:v>
      </x:c>
      <x:c r="G423" s="141" t="n">
        <x:f>E423+F423</x:f>
        <x:v>0</x:v>
      </x:c>
      <x:c r="H423" s="141" t="n">
        <x:f>IF(A423=$B$29,$B$42,0)</x:f>
        <x:v>0</x:v>
      </x:c>
      <x:c r="I423" s="141" t="n">
        <x:f>IF(A423=$B$29,$B$43,0)</x:f>
        <x:v>0</x:v>
      </x:c>
      <x:c r="J423" s="140" t="str">
        <x:f>IF(A423&lt;$B$29,"Aguardando",IF(A423=$B$29,"Contemplado","Pos-contemplacao"))</x:f>
        <x:v>Pos-contemplacao</x:v>
      </x:c>
      <x:c r="K423" s="141" t="n">
        <x:f>IF(A423&gt;=$B$27,0,(K424+E424)/(1+$B$9))</x:f>
        <x:v>0</x:v>
      </x:c>
      <x:c r="L423" s="141" t="n">
        <x:f>IF(A423&lt;$B$29,$B$43/(1+$B$9)^($B$29-A423),0)</x:f>
        <x:v>0</x:v>
      </x:c>
      <x:c r="M423" s="141" t="n">
        <x:f>L423-K423</x:f>
        <x:v>0</x:v>
      </x:c>
    </x:row>
    <x:row r="424">
      <x:c r="A424" s="142" t="n">
        <x:v>370</x:v>
      </x:c>
      <x:c r="B424" s="179" t="n">
        <x:f>EDATE($B$5,A424-1)</x:f>
        <x:v>57770</x:v>
      </x:c>
      <x:c r="C424" s="141" t="n">
        <x:f>$B$6</x:f>
        <x:v>7000</x:v>
      </x:c>
      <x:c r="D424" s="180" t="n">
        <x:f>(1+$B$28)^INT((A424-1)/12)</x:f>
        <x:v>5.7434911729132585</x:v>
      </x:c>
      <x:c r="E424" s="141" t="n">
        <x:f>IF(A424&lt;=$B$27,$B$45*D424,0)</x:f>
        <x:v>0</x:v>
      </x:c>
      <x:c r="F424" s="141" t="n">
        <x:f>IF(A424=$B$29,$B$44,0)</x:f>
        <x:v>0</x:v>
      </x:c>
      <x:c r="G424" s="141" t="n">
        <x:f>E424+F424</x:f>
        <x:v>0</x:v>
      </x:c>
      <x:c r="H424" s="141" t="n">
        <x:f>IF(A424=$B$29,$B$42,0)</x:f>
        <x:v>0</x:v>
      </x:c>
      <x:c r="I424" s="141" t="n">
        <x:f>IF(A424=$B$29,$B$43,0)</x:f>
        <x:v>0</x:v>
      </x:c>
      <x:c r="J424" s="140" t="str">
        <x:f>IF(A424&lt;$B$29,"Aguardando",IF(A424=$B$29,"Contemplado","Pos-contemplacao"))</x:f>
        <x:v>Pos-contemplacao</x:v>
      </x:c>
      <x:c r="K424" s="141" t="n">
        <x:f>IF(A424&gt;=$B$27,0,(K425+E425)/(1+$B$9))</x:f>
        <x:v>0</x:v>
      </x:c>
      <x:c r="L424" s="141" t="n">
        <x:f>IF(A424&lt;$B$29,$B$43/(1+$B$9)^($B$29-A424),0)</x:f>
        <x:v>0</x:v>
      </x:c>
      <x:c r="M424" s="141" t="n">
        <x:f>L424-K424</x:f>
        <x:v>0</x:v>
      </x:c>
    </x:row>
    <x:row r="425">
      <x:c r="A425" s="142" t="n">
        <x:v>371</x:v>
      </x:c>
      <x:c r="B425" s="179" t="n">
        <x:f>EDATE($B$5,A425-1)</x:f>
        <x:v>57801</x:v>
      </x:c>
      <x:c r="C425" s="141" t="n">
        <x:f>$B$6</x:f>
        <x:v>7000</x:v>
      </x:c>
      <x:c r="D425" s="180" t="n">
        <x:f>(1+$B$28)^INT((A425-1)/12)</x:f>
        <x:v>5.7434911729132585</x:v>
      </x:c>
      <x:c r="E425" s="141" t="n">
        <x:f>IF(A425&lt;=$B$27,$B$45*D425,0)</x:f>
        <x:v>0</x:v>
      </x:c>
      <x:c r="F425" s="141" t="n">
        <x:f>IF(A425=$B$29,$B$44,0)</x:f>
        <x:v>0</x:v>
      </x:c>
      <x:c r="G425" s="141" t="n">
        <x:f>E425+F425</x:f>
        <x:v>0</x:v>
      </x:c>
      <x:c r="H425" s="141" t="n">
        <x:f>IF(A425=$B$29,$B$42,0)</x:f>
        <x:v>0</x:v>
      </x:c>
      <x:c r="I425" s="141" t="n">
        <x:f>IF(A425=$B$29,$B$43,0)</x:f>
        <x:v>0</x:v>
      </x:c>
      <x:c r="J425" s="140" t="str">
        <x:f>IF(A425&lt;$B$29,"Aguardando",IF(A425=$B$29,"Contemplado","Pos-contemplacao"))</x:f>
        <x:v>Pos-contemplacao</x:v>
      </x:c>
      <x:c r="K425" s="141" t="n">
        <x:f>IF(A425&gt;=$B$27,0,(K426+E426)/(1+$B$9))</x:f>
        <x:v>0</x:v>
      </x:c>
      <x:c r="L425" s="141" t="n">
        <x:f>IF(A425&lt;$B$29,$B$43/(1+$B$9)^($B$29-A425),0)</x:f>
        <x:v>0</x:v>
      </x:c>
      <x:c r="M425" s="141" t="n">
        <x:f>L425-K425</x:f>
        <x:v>0</x:v>
      </x:c>
    </x:row>
    <x:row r="426">
      <x:c r="A426" s="142" t="n">
        <x:v>372</x:v>
      </x:c>
      <x:c r="B426" s="179" t="n">
        <x:f>EDATE($B$5,A426-1)</x:f>
        <x:v>57831</x:v>
      </x:c>
      <x:c r="C426" s="141" t="n">
        <x:f>$B$6</x:f>
        <x:v>7000</x:v>
      </x:c>
      <x:c r="D426" s="180" t="n">
        <x:f>(1+$B$28)^INT((A426-1)/12)</x:f>
        <x:v>5.7434911729132585</x:v>
      </x:c>
      <x:c r="E426" s="141" t="n">
        <x:f>IF(A426&lt;=$B$27,$B$45*D426,0)</x:f>
        <x:v>0</x:v>
      </x:c>
      <x:c r="F426" s="141" t="n">
        <x:f>IF(A426=$B$29,$B$44,0)</x:f>
        <x:v>0</x:v>
      </x:c>
      <x:c r="G426" s="141" t="n">
        <x:f>E426+F426</x:f>
        <x:v>0</x:v>
      </x:c>
      <x:c r="H426" s="141" t="n">
        <x:f>IF(A426=$B$29,$B$42,0)</x:f>
        <x:v>0</x:v>
      </x:c>
      <x:c r="I426" s="141" t="n">
        <x:f>IF(A426=$B$29,$B$43,0)</x:f>
        <x:v>0</x:v>
      </x:c>
      <x:c r="J426" s="140" t="str">
        <x:f>IF(A426&lt;$B$29,"Aguardando",IF(A426=$B$29,"Contemplado","Pos-contemplacao"))</x:f>
        <x:v>Pos-contemplacao</x:v>
      </x:c>
      <x:c r="K426" s="141" t="n">
        <x:f>IF(A426&gt;=$B$27,0,(K427+E427)/(1+$B$9))</x:f>
        <x:v>0</x:v>
      </x:c>
      <x:c r="L426" s="141" t="n">
        <x:f>IF(A426&lt;$B$29,$B$43/(1+$B$9)^($B$29-A426),0)</x:f>
        <x:v>0</x:v>
      </x:c>
      <x:c r="M426" s="141" t="n">
        <x:f>L426-K426</x:f>
        <x:v>0</x:v>
      </x:c>
    </x:row>
    <x:row r="427">
      <x:c r="A427" s="142" t="n">
        <x:v>373</x:v>
      </x:c>
      <x:c r="B427" s="179" t="n">
        <x:f>EDATE($B$5,A427-1)</x:f>
        <x:v>57862</x:v>
      </x:c>
      <x:c r="C427" s="141" t="n">
        <x:f>$B$6</x:f>
        <x:v>7000</x:v>
      </x:c>
      <x:c r="D427" s="180" t="n">
        <x:f>(1+$B$28)^INT((A427-1)/12)</x:f>
        <x:v>6.088100643288055</x:v>
      </x:c>
      <x:c r="E427" s="141" t="n">
        <x:f>IF(A427&lt;=$B$27,$B$45*D427,0)</x:f>
        <x:v>0</x:v>
      </x:c>
      <x:c r="F427" s="141" t="n">
        <x:f>IF(A427=$B$29,$B$44,0)</x:f>
        <x:v>0</x:v>
      </x:c>
      <x:c r="G427" s="141" t="n">
        <x:f>E427+F427</x:f>
        <x:v>0</x:v>
      </x:c>
      <x:c r="H427" s="141" t="n">
        <x:f>IF(A427=$B$29,$B$42,0)</x:f>
        <x:v>0</x:v>
      </x:c>
      <x:c r="I427" s="141" t="n">
        <x:f>IF(A427=$B$29,$B$43,0)</x:f>
        <x:v>0</x:v>
      </x:c>
      <x:c r="J427" s="140" t="str">
        <x:f>IF(A427&lt;$B$29,"Aguardando",IF(A427=$B$29,"Contemplado","Pos-contemplacao"))</x:f>
        <x:v>Pos-contemplacao</x:v>
      </x:c>
      <x:c r="K427" s="141" t="n">
        <x:f>IF(A427&gt;=$B$27,0,(K428+E428)/(1+$B$9))</x:f>
        <x:v>0</x:v>
      </x:c>
      <x:c r="L427" s="141" t="n">
        <x:f>IF(A427&lt;$B$29,$B$43/(1+$B$9)^($B$29-A427),0)</x:f>
        <x:v>0</x:v>
      </x:c>
      <x:c r="M427" s="141" t="n">
        <x:f>L427-K427</x:f>
        <x:v>0</x:v>
      </x:c>
    </x:row>
    <x:row r="428">
      <x:c r="A428" s="142" t="n">
        <x:v>374</x:v>
      </x:c>
      <x:c r="B428" s="179" t="n">
        <x:f>EDATE($B$5,A428-1)</x:f>
        <x:v>57892</x:v>
      </x:c>
      <x:c r="C428" s="141" t="n">
        <x:f>$B$6</x:f>
        <x:v>7000</x:v>
      </x:c>
      <x:c r="D428" s="180" t="n">
        <x:f>(1+$B$28)^INT((A428-1)/12)</x:f>
        <x:v>6.088100643288055</x:v>
      </x:c>
      <x:c r="E428" s="141" t="n">
        <x:f>IF(A428&lt;=$B$27,$B$45*D428,0)</x:f>
        <x:v>0</x:v>
      </x:c>
      <x:c r="F428" s="141" t="n">
        <x:f>IF(A428=$B$29,$B$44,0)</x:f>
        <x:v>0</x:v>
      </x:c>
      <x:c r="G428" s="141" t="n">
        <x:f>E428+F428</x:f>
        <x:v>0</x:v>
      </x:c>
      <x:c r="H428" s="141" t="n">
        <x:f>IF(A428=$B$29,$B$42,0)</x:f>
        <x:v>0</x:v>
      </x:c>
      <x:c r="I428" s="141" t="n">
        <x:f>IF(A428=$B$29,$B$43,0)</x:f>
        <x:v>0</x:v>
      </x:c>
      <x:c r="J428" s="140" t="str">
        <x:f>IF(A428&lt;$B$29,"Aguardando",IF(A428=$B$29,"Contemplado","Pos-contemplacao"))</x:f>
        <x:v>Pos-contemplacao</x:v>
      </x:c>
      <x:c r="K428" s="141" t="n">
        <x:f>IF(A428&gt;=$B$27,0,(K429+E429)/(1+$B$9))</x:f>
        <x:v>0</x:v>
      </x:c>
      <x:c r="L428" s="141" t="n">
        <x:f>IF(A428&lt;$B$29,$B$43/(1+$B$9)^($B$29-A428),0)</x:f>
        <x:v>0</x:v>
      </x:c>
      <x:c r="M428" s="141" t="n">
        <x:f>L428-K428</x:f>
        <x:v>0</x:v>
      </x:c>
    </x:row>
    <x:row r="429">
      <x:c r="A429" s="142" t="n">
        <x:v>375</x:v>
      </x:c>
      <x:c r="B429" s="179" t="n">
        <x:f>EDATE($B$5,A429-1)</x:f>
        <x:v>57923</x:v>
      </x:c>
      <x:c r="C429" s="141" t="n">
        <x:f>$B$6</x:f>
        <x:v>7000</x:v>
      </x:c>
      <x:c r="D429" s="180" t="n">
        <x:f>(1+$B$28)^INT((A429-1)/12)</x:f>
        <x:v>6.088100643288055</x:v>
      </x:c>
      <x:c r="E429" s="141" t="n">
        <x:f>IF(A429&lt;=$B$27,$B$45*D429,0)</x:f>
        <x:v>0</x:v>
      </x:c>
      <x:c r="F429" s="141" t="n">
        <x:f>IF(A429=$B$29,$B$44,0)</x:f>
        <x:v>0</x:v>
      </x:c>
      <x:c r="G429" s="141" t="n">
        <x:f>E429+F429</x:f>
        <x:v>0</x:v>
      </x:c>
      <x:c r="H429" s="141" t="n">
        <x:f>IF(A429=$B$29,$B$42,0)</x:f>
        <x:v>0</x:v>
      </x:c>
      <x:c r="I429" s="141" t="n">
        <x:f>IF(A429=$B$29,$B$43,0)</x:f>
        <x:v>0</x:v>
      </x:c>
      <x:c r="J429" s="140" t="str">
        <x:f>IF(A429&lt;$B$29,"Aguardando",IF(A429=$B$29,"Contemplado","Pos-contemplacao"))</x:f>
        <x:v>Pos-contemplacao</x:v>
      </x:c>
      <x:c r="K429" s="141" t="n">
        <x:f>IF(A429&gt;=$B$27,0,(K430+E430)/(1+$B$9))</x:f>
        <x:v>0</x:v>
      </x:c>
      <x:c r="L429" s="141" t="n">
        <x:f>IF(A429&lt;$B$29,$B$43/(1+$B$9)^($B$29-A429),0)</x:f>
        <x:v>0</x:v>
      </x:c>
      <x:c r="M429" s="141" t="n">
        <x:f>L429-K429</x:f>
        <x:v>0</x:v>
      </x:c>
    </x:row>
    <x:row r="430">
      <x:c r="A430" s="142" t="n">
        <x:v>376</x:v>
      </x:c>
      <x:c r="B430" s="179" t="n">
        <x:f>EDATE($B$5,A430-1)</x:f>
        <x:v>57954</x:v>
      </x:c>
      <x:c r="C430" s="141" t="n">
        <x:f>$B$6</x:f>
        <x:v>7000</x:v>
      </x:c>
      <x:c r="D430" s="180" t="n">
        <x:f>(1+$B$28)^INT((A430-1)/12)</x:f>
        <x:v>6.088100643288055</x:v>
      </x:c>
      <x:c r="E430" s="141" t="n">
        <x:f>IF(A430&lt;=$B$27,$B$45*D430,0)</x:f>
        <x:v>0</x:v>
      </x:c>
      <x:c r="F430" s="141" t="n">
        <x:f>IF(A430=$B$29,$B$44,0)</x:f>
        <x:v>0</x:v>
      </x:c>
      <x:c r="G430" s="141" t="n">
        <x:f>E430+F430</x:f>
        <x:v>0</x:v>
      </x:c>
      <x:c r="H430" s="141" t="n">
        <x:f>IF(A430=$B$29,$B$42,0)</x:f>
        <x:v>0</x:v>
      </x:c>
      <x:c r="I430" s="141" t="n">
        <x:f>IF(A430=$B$29,$B$43,0)</x:f>
        <x:v>0</x:v>
      </x:c>
      <x:c r="J430" s="140" t="str">
        <x:f>IF(A430&lt;$B$29,"Aguardando",IF(A430=$B$29,"Contemplado","Pos-contemplacao"))</x:f>
        <x:v>Pos-contemplacao</x:v>
      </x:c>
      <x:c r="K430" s="141" t="n">
        <x:f>IF(A430&gt;=$B$27,0,(K431+E431)/(1+$B$9))</x:f>
        <x:v>0</x:v>
      </x:c>
      <x:c r="L430" s="141" t="n">
        <x:f>IF(A430&lt;$B$29,$B$43/(1+$B$9)^($B$29-A430),0)</x:f>
        <x:v>0</x:v>
      </x:c>
      <x:c r="M430" s="141" t="n">
        <x:f>L430-K430</x:f>
        <x:v>0</x:v>
      </x:c>
    </x:row>
    <x:row r="431">
      <x:c r="A431" s="142" t="n">
        <x:v>377</x:v>
      </x:c>
      <x:c r="B431" s="179" t="n">
        <x:f>EDATE($B$5,A431-1)</x:f>
        <x:v>57984</x:v>
      </x:c>
      <x:c r="C431" s="141" t="n">
        <x:f>$B$6</x:f>
        <x:v>7000</x:v>
      </x:c>
      <x:c r="D431" s="180" t="n">
        <x:f>(1+$B$28)^INT((A431-1)/12)</x:f>
        <x:v>6.088100643288055</x:v>
      </x:c>
      <x:c r="E431" s="141" t="n">
        <x:f>IF(A431&lt;=$B$27,$B$45*D431,0)</x:f>
        <x:v>0</x:v>
      </x:c>
      <x:c r="F431" s="141" t="n">
        <x:f>IF(A431=$B$29,$B$44,0)</x:f>
        <x:v>0</x:v>
      </x:c>
      <x:c r="G431" s="141" t="n">
        <x:f>E431+F431</x:f>
        <x:v>0</x:v>
      </x:c>
      <x:c r="H431" s="141" t="n">
        <x:f>IF(A431=$B$29,$B$42,0)</x:f>
        <x:v>0</x:v>
      </x:c>
      <x:c r="I431" s="141" t="n">
        <x:f>IF(A431=$B$29,$B$43,0)</x:f>
        <x:v>0</x:v>
      </x:c>
      <x:c r="J431" s="140" t="str">
        <x:f>IF(A431&lt;$B$29,"Aguardando",IF(A431=$B$29,"Contemplado","Pos-contemplacao"))</x:f>
        <x:v>Pos-contemplacao</x:v>
      </x:c>
      <x:c r="K431" s="141" t="n">
        <x:f>IF(A431&gt;=$B$27,0,(K432+E432)/(1+$B$9))</x:f>
        <x:v>0</x:v>
      </x:c>
      <x:c r="L431" s="141" t="n">
        <x:f>IF(A431&lt;$B$29,$B$43/(1+$B$9)^($B$29-A431),0)</x:f>
        <x:v>0</x:v>
      </x:c>
      <x:c r="M431" s="141" t="n">
        <x:f>L431-K431</x:f>
        <x:v>0</x:v>
      </x:c>
    </x:row>
    <x:row r="432">
      <x:c r="A432" s="142" t="n">
        <x:v>378</x:v>
      </x:c>
      <x:c r="B432" s="179" t="n">
        <x:f>EDATE($B$5,A432-1)</x:f>
        <x:v>58015</x:v>
      </x:c>
      <x:c r="C432" s="141" t="n">
        <x:f>$B$6</x:f>
        <x:v>7000</x:v>
      </x:c>
      <x:c r="D432" s="180" t="n">
        <x:f>(1+$B$28)^INT((A432-1)/12)</x:f>
        <x:v>6.088100643288055</x:v>
      </x:c>
      <x:c r="E432" s="141" t="n">
        <x:f>IF(A432&lt;=$B$27,$B$45*D432,0)</x:f>
        <x:v>0</x:v>
      </x:c>
      <x:c r="F432" s="141" t="n">
        <x:f>IF(A432=$B$29,$B$44,0)</x:f>
        <x:v>0</x:v>
      </x:c>
      <x:c r="G432" s="141" t="n">
        <x:f>E432+F432</x:f>
        <x:v>0</x:v>
      </x:c>
      <x:c r="H432" s="141" t="n">
        <x:f>IF(A432=$B$29,$B$42,0)</x:f>
        <x:v>0</x:v>
      </x:c>
      <x:c r="I432" s="141" t="n">
        <x:f>IF(A432=$B$29,$B$43,0)</x:f>
        <x:v>0</x:v>
      </x:c>
      <x:c r="J432" s="140" t="str">
        <x:f>IF(A432&lt;$B$29,"Aguardando",IF(A432=$B$29,"Contemplado","Pos-contemplacao"))</x:f>
        <x:v>Pos-contemplacao</x:v>
      </x:c>
      <x:c r="K432" s="141" t="n">
        <x:f>IF(A432&gt;=$B$27,0,(K433+E433)/(1+$B$9))</x:f>
        <x:v>0</x:v>
      </x:c>
      <x:c r="L432" s="141" t="n">
        <x:f>IF(A432&lt;$B$29,$B$43/(1+$B$9)^($B$29-A432),0)</x:f>
        <x:v>0</x:v>
      </x:c>
      <x:c r="M432" s="141" t="n">
        <x:f>L432-K432</x:f>
        <x:v>0</x:v>
      </x:c>
    </x:row>
    <x:row r="433">
      <x:c r="A433" s="142" t="n">
        <x:v>379</x:v>
      </x:c>
      <x:c r="B433" s="179" t="n">
        <x:f>EDATE($B$5,A433-1)</x:f>
        <x:v>58045</x:v>
      </x:c>
      <x:c r="C433" s="141" t="n">
        <x:f>$B$6</x:f>
        <x:v>7000</x:v>
      </x:c>
      <x:c r="D433" s="180" t="n">
        <x:f>(1+$B$28)^INT((A433-1)/12)</x:f>
        <x:v>6.088100643288055</x:v>
      </x:c>
      <x:c r="E433" s="141" t="n">
        <x:f>IF(A433&lt;=$B$27,$B$45*D433,0)</x:f>
        <x:v>0</x:v>
      </x:c>
      <x:c r="F433" s="141" t="n">
        <x:f>IF(A433=$B$29,$B$44,0)</x:f>
        <x:v>0</x:v>
      </x:c>
      <x:c r="G433" s="141" t="n">
        <x:f>E433+F433</x:f>
        <x:v>0</x:v>
      </x:c>
      <x:c r="H433" s="141" t="n">
        <x:f>IF(A433=$B$29,$B$42,0)</x:f>
        <x:v>0</x:v>
      </x:c>
      <x:c r="I433" s="141" t="n">
        <x:f>IF(A433=$B$29,$B$43,0)</x:f>
        <x:v>0</x:v>
      </x:c>
      <x:c r="J433" s="140" t="str">
        <x:f>IF(A433&lt;$B$29,"Aguardando",IF(A433=$B$29,"Contemplado","Pos-contemplacao"))</x:f>
        <x:v>Pos-contemplacao</x:v>
      </x:c>
      <x:c r="K433" s="141" t="n">
        <x:f>IF(A433&gt;=$B$27,0,(K434+E434)/(1+$B$9))</x:f>
        <x:v>0</x:v>
      </x:c>
      <x:c r="L433" s="141" t="n">
        <x:f>IF(A433&lt;$B$29,$B$43/(1+$B$9)^($B$29-A433),0)</x:f>
        <x:v>0</x:v>
      </x:c>
      <x:c r="M433" s="141" t="n">
        <x:f>L433-K433</x:f>
        <x:v>0</x:v>
      </x:c>
    </x:row>
    <x:row r="434">
      <x:c r="A434" s="142" t="n">
        <x:v>380</x:v>
      </x:c>
      <x:c r="B434" s="179" t="n">
        <x:f>EDATE($B$5,A434-1)</x:f>
        <x:v>58076</x:v>
      </x:c>
      <x:c r="C434" s="141" t="n">
        <x:f>$B$6</x:f>
        <x:v>7000</x:v>
      </x:c>
      <x:c r="D434" s="180" t="n">
        <x:f>(1+$B$28)^INT((A434-1)/12)</x:f>
        <x:v>6.088100643288055</x:v>
      </x:c>
      <x:c r="E434" s="141" t="n">
        <x:f>IF(A434&lt;=$B$27,$B$45*D434,0)</x:f>
        <x:v>0</x:v>
      </x:c>
      <x:c r="F434" s="141" t="n">
        <x:f>IF(A434=$B$29,$B$44,0)</x:f>
        <x:v>0</x:v>
      </x:c>
      <x:c r="G434" s="141" t="n">
        <x:f>E434+F434</x:f>
        <x:v>0</x:v>
      </x:c>
      <x:c r="H434" s="141" t="n">
        <x:f>IF(A434=$B$29,$B$42,0)</x:f>
        <x:v>0</x:v>
      </x:c>
      <x:c r="I434" s="141" t="n">
        <x:f>IF(A434=$B$29,$B$43,0)</x:f>
        <x:v>0</x:v>
      </x:c>
      <x:c r="J434" s="140" t="str">
        <x:f>IF(A434&lt;$B$29,"Aguardando",IF(A434=$B$29,"Contemplado","Pos-contemplacao"))</x:f>
        <x:v>Pos-contemplacao</x:v>
      </x:c>
      <x:c r="K434" s="141" t="n">
        <x:f>IF(A434&gt;=$B$27,0,(K435+E435)/(1+$B$9))</x:f>
        <x:v>0</x:v>
      </x:c>
      <x:c r="L434" s="141" t="n">
        <x:f>IF(A434&lt;$B$29,$B$43/(1+$B$9)^($B$29-A434),0)</x:f>
        <x:v>0</x:v>
      </x:c>
      <x:c r="M434" s="141" t="n">
        <x:f>L434-K434</x:f>
        <x:v>0</x:v>
      </x:c>
    </x:row>
    <x:row r="435">
      <x:c r="A435" s="142" t="n">
        <x:v>381</x:v>
      </x:c>
      <x:c r="B435" s="179" t="n">
        <x:f>EDATE($B$5,A435-1)</x:f>
        <x:v>58107</x:v>
      </x:c>
      <x:c r="C435" s="141" t="n">
        <x:f>$B$6</x:f>
        <x:v>7000</x:v>
      </x:c>
      <x:c r="D435" s="180" t="n">
        <x:f>(1+$B$28)^INT((A435-1)/12)</x:f>
        <x:v>6.088100643288055</x:v>
      </x:c>
      <x:c r="E435" s="141" t="n">
        <x:f>IF(A435&lt;=$B$27,$B$45*D435,0)</x:f>
        <x:v>0</x:v>
      </x:c>
      <x:c r="F435" s="141" t="n">
        <x:f>IF(A435=$B$29,$B$44,0)</x:f>
        <x:v>0</x:v>
      </x:c>
      <x:c r="G435" s="141" t="n">
        <x:f>E435+F435</x:f>
        <x:v>0</x:v>
      </x:c>
      <x:c r="H435" s="141" t="n">
        <x:f>IF(A435=$B$29,$B$42,0)</x:f>
        <x:v>0</x:v>
      </x:c>
      <x:c r="I435" s="141" t="n">
        <x:f>IF(A435=$B$29,$B$43,0)</x:f>
        <x:v>0</x:v>
      </x:c>
      <x:c r="J435" s="140" t="str">
        <x:f>IF(A435&lt;$B$29,"Aguardando",IF(A435=$B$29,"Contemplado","Pos-contemplacao"))</x:f>
        <x:v>Pos-contemplacao</x:v>
      </x:c>
      <x:c r="K435" s="141" t="n">
        <x:f>IF(A435&gt;=$B$27,0,(K436+E436)/(1+$B$9))</x:f>
        <x:v>0</x:v>
      </x:c>
      <x:c r="L435" s="141" t="n">
        <x:f>IF(A435&lt;$B$29,$B$43/(1+$B$9)^($B$29-A435),0)</x:f>
        <x:v>0</x:v>
      </x:c>
      <x:c r="M435" s="141" t="n">
        <x:f>L435-K435</x:f>
        <x:v>0</x:v>
      </x:c>
    </x:row>
    <x:row r="436">
      <x:c r="A436" s="142" t="n">
        <x:v>382</x:v>
      </x:c>
      <x:c r="B436" s="179" t="n">
        <x:f>EDATE($B$5,A436-1)</x:f>
        <x:v>58135</x:v>
      </x:c>
      <x:c r="C436" s="141" t="n">
        <x:f>$B$6</x:f>
        <x:v>7000</x:v>
      </x:c>
      <x:c r="D436" s="180" t="n">
        <x:f>(1+$B$28)^INT((A436-1)/12)</x:f>
        <x:v>6.088100643288055</x:v>
      </x:c>
      <x:c r="E436" s="141" t="n">
        <x:f>IF(A436&lt;=$B$27,$B$45*D436,0)</x:f>
        <x:v>0</x:v>
      </x:c>
      <x:c r="F436" s="141" t="n">
        <x:f>IF(A436=$B$29,$B$44,0)</x:f>
        <x:v>0</x:v>
      </x:c>
      <x:c r="G436" s="141" t="n">
        <x:f>E436+F436</x:f>
        <x:v>0</x:v>
      </x:c>
      <x:c r="H436" s="141" t="n">
        <x:f>IF(A436=$B$29,$B$42,0)</x:f>
        <x:v>0</x:v>
      </x:c>
      <x:c r="I436" s="141" t="n">
        <x:f>IF(A436=$B$29,$B$43,0)</x:f>
        <x:v>0</x:v>
      </x:c>
      <x:c r="J436" s="140" t="str">
        <x:f>IF(A436&lt;$B$29,"Aguardando",IF(A436=$B$29,"Contemplado","Pos-contemplacao"))</x:f>
        <x:v>Pos-contemplacao</x:v>
      </x:c>
      <x:c r="K436" s="141" t="n">
        <x:f>IF(A436&gt;=$B$27,0,(K437+E437)/(1+$B$9))</x:f>
        <x:v>0</x:v>
      </x:c>
      <x:c r="L436" s="141" t="n">
        <x:f>IF(A436&lt;$B$29,$B$43/(1+$B$9)^($B$29-A436),0)</x:f>
        <x:v>0</x:v>
      </x:c>
      <x:c r="M436" s="141" t="n">
        <x:f>L436-K436</x:f>
        <x:v>0</x:v>
      </x:c>
    </x:row>
    <x:row r="437">
      <x:c r="A437" s="142" t="n">
        <x:v>383</x:v>
      </x:c>
      <x:c r="B437" s="179" t="n">
        <x:f>EDATE($B$5,A437-1)</x:f>
        <x:v>58166</x:v>
      </x:c>
      <x:c r="C437" s="141" t="n">
        <x:f>$B$6</x:f>
        <x:v>7000</x:v>
      </x:c>
      <x:c r="D437" s="180" t="n">
        <x:f>(1+$B$28)^INT((A437-1)/12)</x:f>
        <x:v>6.088100643288055</x:v>
      </x:c>
      <x:c r="E437" s="141" t="n">
        <x:f>IF(A437&lt;=$B$27,$B$45*D437,0)</x:f>
        <x:v>0</x:v>
      </x:c>
      <x:c r="F437" s="141" t="n">
        <x:f>IF(A437=$B$29,$B$44,0)</x:f>
        <x:v>0</x:v>
      </x:c>
      <x:c r="G437" s="141" t="n">
        <x:f>E437+F437</x:f>
        <x:v>0</x:v>
      </x:c>
      <x:c r="H437" s="141" t="n">
        <x:f>IF(A437=$B$29,$B$42,0)</x:f>
        <x:v>0</x:v>
      </x:c>
      <x:c r="I437" s="141" t="n">
        <x:f>IF(A437=$B$29,$B$43,0)</x:f>
        <x:v>0</x:v>
      </x:c>
      <x:c r="J437" s="140" t="str">
        <x:f>IF(A437&lt;$B$29,"Aguardando",IF(A437=$B$29,"Contemplado","Pos-contemplacao"))</x:f>
        <x:v>Pos-contemplacao</x:v>
      </x:c>
      <x:c r="K437" s="141" t="n">
        <x:f>IF(A437&gt;=$B$27,0,(K438+E438)/(1+$B$9))</x:f>
        <x:v>0</x:v>
      </x:c>
      <x:c r="L437" s="141" t="n">
        <x:f>IF(A437&lt;$B$29,$B$43/(1+$B$9)^($B$29-A437),0)</x:f>
        <x:v>0</x:v>
      </x:c>
      <x:c r="M437" s="141" t="n">
        <x:f>L437-K437</x:f>
        <x:v>0</x:v>
      </x:c>
    </x:row>
    <x:row r="438">
      <x:c r="A438" s="142" t="n">
        <x:v>384</x:v>
      </x:c>
      <x:c r="B438" s="179" t="n">
        <x:f>EDATE($B$5,A438-1)</x:f>
        <x:v>58196</x:v>
      </x:c>
      <x:c r="C438" s="141" t="n">
        <x:f>$B$6</x:f>
        <x:v>7000</x:v>
      </x:c>
      <x:c r="D438" s="180" t="n">
        <x:f>(1+$B$28)^INT((A438-1)/12)</x:f>
        <x:v>6.088100643288055</x:v>
      </x:c>
      <x:c r="E438" s="141" t="n">
        <x:f>IF(A438&lt;=$B$27,$B$45*D438,0)</x:f>
        <x:v>0</x:v>
      </x:c>
      <x:c r="F438" s="141" t="n">
        <x:f>IF(A438=$B$29,$B$44,0)</x:f>
        <x:v>0</x:v>
      </x:c>
      <x:c r="G438" s="141" t="n">
        <x:f>E438+F438</x:f>
        <x:v>0</x:v>
      </x:c>
      <x:c r="H438" s="141" t="n">
        <x:f>IF(A438=$B$29,$B$42,0)</x:f>
        <x:v>0</x:v>
      </x:c>
      <x:c r="I438" s="141" t="n">
        <x:f>IF(A438=$B$29,$B$43,0)</x:f>
        <x:v>0</x:v>
      </x:c>
      <x:c r="J438" s="140" t="str">
        <x:f>IF(A438&lt;$B$29,"Aguardando",IF(A438=$B$29,"Contemplado","Pos-contemplacao"))</x:f>
        <x:v>Pos-contemplacao</x:v>
      </x:c>
      <x:c r="K438" s="141" t="n">
        <x:f>IF(A438&gt;=$B$27,0,(K439+E439)/(1+$B$9))</x:f>
        <x:v>0</x:v>
      </x:c>
      <x:c r="L438" s="141" t="n">
        <x:f>IF(A438&lt;$B$29,$B$43/(1+$B$9)^($B$29-A438),0)</x:f>
        <x:v>0</x:v>
      </x:c>
      <x:c r="M438" s="141" t="n">
        <x:f>L438-K438</x:f>
        <x:v>0</x:v>
      </x:c>
    </x:row>
    <x:row r="439">
      <x:c r="A439" s="142" t="n">
        <x:v>385</x:v>
      </x:c>
      <x:c r="B439" s="179" t="n">
        <x:f>EDATE($B$5,A439-1)</x:f>
        <x:v>58227</x:v>
      </x:c>
      <x:c r="C439" s="141" t="n">
        <x:f>$B$6</x:f>
        <x:v>7000</x:v>
      </x:c>
      <x:c r="D439" s="180" t="n">
        <x:f>(1+$B$28)^INT((A439-1)/12)</x:f>
        <x:v>6.4533866818853385</x:v>
      </x:c>
      <x:c r="E439" s="141" t="n">
        <x:f>IF(A439&lt;=$B$27,$B$45*D439,0)</x:f>
        <x:v>0</x:v>
      </x:c>
      <x:c r="F439" s="141" t="n">
        <x:f>IF(A439=$B$29,$B$44,0)</x:f>
        <x:v>0</x:v>
      </x:c>
      <x:c r="G439" s="141" t="n">
        <x:f>E439+F439</x:f>
        <x:v>0</x:v>
      </x:c>
      <x:c r="H439" s="141" t="n">
        <x:f>IF(A439=$B$29,$B$42,0)</x:f>
        <x:v>0</x:v>
      </x:c>
      <x:c r="I439" s="141" t="n">
        <x:f>IF(A439=$B$29,$B$43,0)</x:f>
        <x:v>0</x:v>
      </x:c>
      <x:c r="J439" s="140" t="str">
        <x:f>IF(A439&lt;$B$29,"Aguardando",IF(A439=$B$29,"Contemplado","Pos-contemplacao"))</x:f>
        <x:v>Pos-contemplacao</x:v>
      </x:c>
      <x:c r="K439" s="141" t="n">
        <x:f>IF(A439&gt;=$B$27,0,(K440+E440)/(1+$B$9))</x:f>
        <x:v>0</x:v>
      </x:c>
      <x:c r="L439" s="141" t="n">
        <x:f>IF(A439&lt;$B$29,$B$43/(1+$B$9)^($B$29-A439),0)</x:f>
        <x:v>0</x:v>
      </x:c>
      <x:c r="M439" s="141" t="n">
        <x:f>L439-K439</x:f>
        <x:v>0</x:v>
      </x:c>
    </x:row>
    <x:row r="440">
      <x:c r="A440" s="142" t="n">
        <x:v>386</x:v>
      </x:c>
      <x:c r="B440" s="179" t="n">
        <x:f>EDATE($B$5,A440-1)</x:f>
        <x:v>58257</x:v>
      </x:c>
      <x:c r="C440" s="141" t="n">
        <x:f>$B$6</x:f>
        <x:v>7000</x:v>
      </x:c>
      <x:c r="D440" s="180" t="n">
        <x:f>(1+$B$28)^INT((A440-1)/12)</x:f>
        <x:v>6.4533866818853385</x:v>
      </x:c>
      <x:c r="E440" s="141" t="n">
        <x:f>IF(A440&lt;=$B$27,$B$45*D440,0)</x:f>
        <x:v>0</x:v>
      </x:c>
      <x:c r="F440" s="141" t="n">
        <x:f>IF(A440=$B$29,$B$44,0)</x:f>
        <x:v>0</x:v>
      </x:c>
      <x:c r="G440" s="141" t="n">
        <x:f>E440+F440</x:f>
        <x:v>0</x:v>
      </x:c>
      <x:c r="H440" s="141" t="n">
        <x:f>IF(A440=$B$29,$B$42,0)</x:f>
        <x:v>0</x:v>
      </x:c>
      <x:c r="I440" s="141" t="n">
        <x:f>IF(A440=$B$29,$B$43,0)</x:f>
        <x:v>0</x:v>
      </x:c>
      <x:c r="J440" s="140" t="str">
        <x:f>IF(A440&lt;$B$29,"Aguardando",IF(A440=$B$29,"Contemplado","Pos-contemplacao"))</x:f>
        <x:v>Pos-contemplacao</x:v>
      </x:c>
      <x:c r="K440" s="141" t="n">
        <x:f>IF(A440&gt;=$B$27,0,(K441+E441)/(1+$B$9))</x:f>
        <x:v>0</x:v>
      </x:c>
      <x:c r="L440" s="141" t="n">
        <x:f>IF(A440&lt;$B$29,$B$43/(1+$B$9)^($B$29-A440),0)</x:f>
        <x:v>0</x:v>
      </x:c>
      <x:c r="M440" s="141" t="n">
        <x:f>L440-K440</x:f>
        <x:v>0</x:v>
      </x:c>
    </x:row>
    <x:row r="441">
      <x:c r="A441" s="142" t="n">
        <x:v>387</x:v>
      </x:c>
      <x:c r="B441" s="179" t="n">
        <x:f>EDATE($B$5,A441-1)</x:f>
        <x:v>58288</x:v>
      </x:c>
      <x:c r="C441" s="141" t="n">
        <x:f>$B$6</x:f>
        <x:v>7000</x:v>
      </x:c>
      <x:c r="D441" s="180" t="n">
        <x:f>(1+$B$28)^INT((A441-1)/12)</x:f>
        <x:v>6.4533866818853385</x:v>
      </x:c>
      <x:c r="E441" s="141" t="n">
        <x:f>IF(A441&lt;=$B$27,$B$45*D441,0)</x:f>
        <x:v>0</x:v>
      </x:c>
      <x:c r="F441" s="141" t="n">
        <x:f>IF(A441=$B$29,$B$44,0)</x:f>
        <x:v>0</x:v>
      </x:c>
      <x:c r="G441" s="141" t="n">
        <x:f>E441+F441</x:f>
        <x:v>0</x:v>
      </x:c>
      <x:c r="H441" s="141" t="n">
        <x:f>IF(A441=$B$29,$B$42,0)</x:f>
        <x:v>0</x:v>
      </x:c>
      <x:c r="I441" s="141" t="n">
        <x:f>IF(A441=$B$29,$B$43,0)</x:f>
        <x:v>0</x:v>
      </x:c>
      <x:c r="J441" s="140" t="str">
        <x:f>IF(A441&lt;$B$29,"Aguardando",IF(A441=$B$29,"Contemplado","Pos-contemplacao"))</x:f>
        <x:v>Pos-contemplacao</x:v>
      </x:c>
      <x:c r="K441" s="141" t="n">
        <x:f>IF(A441&gt;=$B$27,0,(K442+E442)/(1+$B$9))</x:f>
        <x:v>0</x:v>
      </x:c>
      <x:c r="L441" s="141" t="n">
        <x:f>IF(A441&lt;$B$29,$B$43/(1+$B$9)^($B$29-A441),0)</x:f>
        <x:v>0</x:v>
      </x:c>
      <x:c r="M441" s="141" t="n">
        <x:f>L441-K441</x:f>
        <x:v>0</x:v>
      </x:c>
    </x:row>
    <x:row r="442">
      <x:c r="A442" s="142" t="n">
        <x:v>388</x:v>
      </x:c>
      <x:c r="B442" s="179" t="n">
        <x:f>EDATE($B$5,A442-1)</x:f>
        <x:v>58319</x:v>
      </x:c>
      <x:c r="C442" s="141" t="n">
        <x:f>$B$6</x:f>
        <x:v>7000</x:v>
      </x:c>
      <x:c r="D442" s="180" t="n">
        <x:f>(1+$B$28)^INT((A442-1)/12)</x:f>
        <x:v>6.4533866818853385</x:v>
      </x:c>
      <x:c r="E442" s="141" t="n">
        <x:f>IF(A442&lt;=$B$27,$B$45*D442,0)</x:f>
        <x:v>0</x:v>
      </x:c>
      <x:c r="F442" s="141" t="n">
        <x:f>IF(A442=$B$29,$B$44,0)</x:f>
        <x:v>0</x:v>
      </x:c>
      <x:c r="G442" s="141" t="n">
        <x:f>E442+F442</x:f>
        <x:v>0</x:v>
      </x:c>
      <x:c r="H442" s="141" t="n">
        <x:f>IF(A442=$B$29,$B$42,0)</x:f>
        <x:v>0</x:v>
      </x:c>
      <x:c r="I442" s="141" t="n">
        <x:f>IF(A442=$B$29,$B$43,0)</x:f>
        <x:v>0</x:v>
      </x:c>
      <x:c r="J442" s="140" t="str">
        <x:f>IF(A442&lt;$B$29,"Aguardando",IF(A442=$B$29,"Contemplado","Pos-contemplacao"))</x:f>
        <x:v>Pos-contemplacao</x:v>
      </x:c>
      <x:c r="K442" s="141" t="n">
        <x:f>IF(A442&gt;=$B$27,0,(K443+E443)/(1+$B$9))</x:f>
        <x:v>0</x:v>
      </x:c>
      <x:c r="L442" s="141" t="n">
        <x:f>IF(A442&lt;$B$29,$B$43/(1+$B$9)^($B$29-A442),0)</x:f>
        <x:v>0</x:v>
      </x:c>
      <x:c r="M442" s="141" t="n">
        <x:f>L442-K442</x:f>
        <x:v>0</x:v>
      </x:c>
    </x:row>
    <x:row r="443">
      <x:c r="A443" s="142" t="n">
        <x:v>389</x:v>
      </x:c>
      <x:c r="B443" s="179" t="n">
        <x:f>EDATE($B$5,A443-1)</x:f>
        <x:v>58349</x:v>
      </x:c>
      <x:c r="C443" s="141" t="n">
        <x:f>$B$6</x:f>
        <x:v>7000</x:v>
      </x:c>
      <x:c r="D443" s="180" t="n">
        <x:f>(1+$B$28)^INT((A443-1)/12)</x:f>
        <x:v>6.4533866818853385</x:v>
      </x:c>
      <x:c r="E443" s="141" t="n">
        <x:f>IF(A443&lt;=$B$27,$B$45*D443,0)</x:f>
        <x:v>0</x:v>
      </x:c>
      <x:c r="F443" s="141" t="n">
        <x:f>IF(A443=$B$29,$B$44,0)</x:f>
        <x:v>0</x:v>
      </x:c>
      <x:c r="G443" s="141" t="n">
        <x:f>E443+F443</x:f>
        <x:v>0</x:v>
      </x:c>
      <x:c r="H443" s="141" t="n">
        <x:f>IF(A443=$B$29,$B$42,0)</x:f>
        <x:v>0</x:v>
      </x:c>
      <x:c r="I443" s="141" t="n">
        <x:f>IF(A443=$B$29,$B$43,0)</x:f>
        <x:v>0</x:v>
      </x:c>
      <x:c r="J443" s="140" t="str">
        <x:f>IF(A443&lt;$B$29,"Aguardando",IF(A443=$B$29,"Contemplado","Pos-contemplacao"))</x:f>
        <x:v>Pos-contemplacao</x:v>
      </x:c>
      <x:c r="K443" s="141" t="n">
        <x:f>IF(A443&gt;=$B$27,0,(K444+E444)/(1+$B$9))</x:f>
        <x:v>0</x:v>
      </x:c>
      <x:c r="L443" s="141" t="n">
        <x:f>IF(A443&lt;$B$29,$B$43/(1+$B$9)^($B$29-A443),0)</x:f>
        <x:v>0</x:v>
      </x:c>
      <x:c r="M443" s="141" t="n">
        <x:f>L443-K443</x:f>
        <x:v>0</x:v>
      </x:c>
    </x:row>
    <x:row r="444">
      <x:c r="A444" s="142" t="n">
        <x:v>390</x:v>
      </x:c>
      <x:c r="B444" s="179" t="n">
        <x:f>EDATE($B$5,A444-1)</x:f>
        <x:v>58380</x:v>
      </x:c>
      <x:c r="C444" s="141" t="n">
        <x:f>$B$6</x:f>
        <x:v>7000</x:v>
      </x:c>
      <x:c r="D444" s="180" t="n">
        <x:f>(1+$B$28)^INT((A444-1)/12)</x:f>
        <x:v>6.4533866818853385</x:v>
      </x:c>
      <x:c r="E444" s="141" t="n">
        <x:f>IF(A444&lt;=$B$27,$B$45*D444,0)</x:f>
        <x:v>0</x:v>
      </x:c>
      <x:c r="F444" s="141" t="n">
        <x:f>IF(A444=$B$29,$B$44,0)</x:f>
        <x:v>0</x:v>
      </x:c>
      <x:c r="G444" s="141" t="n">
        <x:f>E444+F444</x:f>
        <x:v>0</x:v>
      </x:c>
      <x:c r="H444" s="141" t="n">
        <x:f>IF(A444=$B$29,$B$42,0)</x:f>
        <x:v>0</x:v>
      </x:c>
      <x:c r="I444" s="141" t="n">
        <x:f>IF(A444=$B$29,$B$43,0)</x:f>
        <x:v>0</x:v>
      </x:c>
      <x:c r="J444" s="140" t="str">
        <x:f>IF(A444&lt;$B$29,"Aguardando",IF(A444=$B$29,"Contemplado","Pos-contemplacao"))</x:f>
        <x:v>Pos-contemplacao</x:v>
      </x:c>
      <x:c r="K444" s="141" t="n">
        <x:f>IF(A444&gt;=$B$27,0,(K445+E445)/(1+$B$9))</x:f>
        <x:v>0</x:v>
      </x:c>
      <x:c r="L444" s="141" t="n">
        <x:f>IF(A444&lt;$B$29,$B$43/(1+$B$9)^($B$29-A444),0)</x:f>
        <x:v>0</x:v>
      </x:c>
      <x:c r="M444" s="141" t="n">
        <x:f>L444-K444</x:f>
        <x:v>0</x:v>
      </x:c>
    </x:row>
    <x:row r="445">
      <x:c r="A445" s="142" t="n">
        <x:v>391</x:v>
      </x:c>
      <x:c r="B445" s="179" t="n">
        <x:f>EDATE($B$5,A445-1)</x:f>
        <x:v>58410</x:v>
      </x:c>
      <x:c r="C445" s="141" t="n">
        <x:f>$B$6</x:f>
        <x:v>7000</x:v>
      </x:c>
      <x:c r="D445" s="180" t="n">
        <x:f>(1+$B$28)^INT((A445-1)/12)</x:f>
        <x:v>6.4533866818853385</x:v>
      </x:c>
      <x:c r="E445" s="141" t="n">
        <x:f>IF(A445&lt;=$B$27,$B$45*D445,0)</x:f>
        <x:v>0</x:v>
      </x:c>
      <x:c r="F445" s="141" t="n">
        <x:f>IF(A445=$B$29,$B$44,0)</x:f>
        <x:v>0</x:v>
      </x:c>
      <x:c r="G445" s="141" t="n">
        <x:f>E445+F445</x:f>
        <x:v>0</x:v>
      </x:c>
      <x:c r="H445" s="141" t="n">
        <x:f>IF(A445=$B$29,$B$42,0)</x:f>
        <x:v>0</x:v>
      </x:c>
      <x:c r="I445" s="141" t="n">
        <x:f>IF(A445=$B$29,$B$43,0)</x:f>
        <x:v>0</x:v>
      </x:c>
      <x:c r="J445" s="140" t="str">
        <x:f>IF(A445&lt;$B$29,"Aguardando",IF(A445=$B$29,"Contemplado","Pos-contemplacao"))</x:f>
        <x:v>Pos-contemplacao</x:v>
      </x:c>
      <x:c r="K445" s="141" t="n">
        <x:f>IF(A445&gt;=$B$27,0,(K446+E446)/(1+$B$9))</x:f>
        <x:v>0</x:v>
      </x:c>
      <x:c r="L445" s="141" t="n">
        <x:f>IF(A445&lt;$B$29,$B$43/(1+$B$9)^($B$29-A445),0)</x:f>
        <x:v>0</x:v>
      </x:c>
      <x:c r="M445" s="141" t="n">
        <x:f>L445-K445</x:f>
        <x:v>0</x:v>
      </x:c>
    </x:row>
    <x:row r="446">
      <x:c r="A446" s="142" t="n">
        <x:v>392</x:v>
      </x:c>
      <x:c r="B446" s="179" t="n">
        <x:f>EDATE($B$5,A446-1)</x:f>
        <x:v>58441</x:v>
      </x:c>
      <x:c r="C446" s="141" t="n">
        <x:f>$B$6</x:f>
        <x:v>7000</x:v>
      </x:c>
      <x:c r="D446" s="180" t="n">
        <x:f>(1+$B$28)^INT((A446-1)/12)</x:f>
        <x:v>6.4533866818853385</x:v>
      </x:c>
      <x:c r="E446" s="141" t="n">
        <x:f>IF(A446&lt;=$B$27,$B$45*D446,0)</x:f>
        <x:v>0</x:v>
      </x:c>
      <x:c r="F446" s="141" t="n">
        <x:f>IF(A446=$B$29,$B$44,0)</x:f>
        <x:v>0</x:v>
      </x:c>
      <x:c r="G446" s="141" t="n">
        <x:f>E446+F446</x:f>
        <x:v>0</x:v>
      </x:c>
      <x:c r="H446" s="141" t="n">
        <x:f>IF(A446=$B$29,$B$42,0)</x:f>
        <x:v>0</x:v>
      </x:c>
      <x:c r="I446" s="141" t="n">
        <x:f>IF(A446=$B$29,$B$43,0)</x:f>
        <x:v>0</x:v>
      </x:c>
      <x:c r="J446" s="140" t="str">
        <x:f>IF(A446&lt;$B$29,"Aguardando",IF(A446=$B$29,"Contemplado","Pos-contemplacao"))</x:f>
        <x:v>Pos-contemplacao</x:v>
      </x:c>
      <x:c r="K446" s="141" t="n">
        <x:f>IF(A446&gt;=$B$27,0,(K447+E447)/(1+$B$9))</x:f>
        <x:v>0</x:v>
      </x:c>
      <x:c r="L446" s="141" t="n">
        <x:f>IF(A446&lt;$B$29,$B$43/(1+$B$9)^($B$29-A446),0)</x:f>
        <x:v>0</x:v>
      </x:c>
      <x:c r="M446" s="141" t="n">
        <x:f>L446-K446</x:f>
        <x:v>0</x:v>
      </x:c>
    </x:row>
    <x:row r="447">
      <x:c r="A447" s="142" t="n">
        <x:v>393</x:v>
      </x:c>
      <x:c r="B447" s="179" t="n">
        <x:f>EDATE($B$5,A447-1)</x:f>
        <x:v>58472</x:v>
      </x:c>
      <x:c r="C447" s="141" t="n">
        <x:f>$B$6</x:f>
        <x:v>7000</x:v>
      </x:c>
      <x:c r="D447" s="180" t="n">
        <x:f>(1+$B$28)^INT((A447-1)/12)</x:f>
        <x:v>6.4533866818853385</x:v>
      </x:c>
      <x:c r="E447" s="141" t="n">
        <x:f>IF(A447&lt;=$B$27,$B$45*D447,0)</x:f>
        <x:v>0</x:v>
      </x:c>
      <x:c r="F447" s="141" t="n">
        <x:f>IF(A447=$B$29,$B$44,0)</x:f>
        <x:v>0</x:v>
      </x:c>
      <x:c r="G447" s="141" t="n">
        <x:f>E447+F447</x:f>
        <x:v>0</x:v>
      </x:c>
      <x:c r="H447" s="141" t="n">
        <x:f>IF(A447=$B$29,$B$42,0)</x:f>
        <x:v>0</x:v>
      </x:c>
      <x:c r="I447" s="141" t="n">
        <x:f>IF(A447=$B$29,$B$43,0)</x:f>
        <x:v>0</x:v>
      </x:c>
      <x:c r="J447" s="140" t="str">
        <x:f>IF(A447&lt;$B$29,"Aguardando",IF(A447=$B$29,"Contemplado","Pos-contemplacao"))</x:f>
        <x:v>Pos-contemplacao</x:v>
      </x:c>
      <x:c r="K447" s="141" t="n">
        <x:f>IF(A447&gt;=$B$27,0,(K448+E448)/(1+$B$9))</x:f>
        <x:v>0</x:v>
      </x:c>
      <x:c r="L447" s="141" t="n">
        <x:f>IF(A447&lt;$B$29,$B$43/(1+$B$9)^($B$29-A447),0)</x:f>
        <x:v>0</x:v>
      </x:c>
      <x:c r="M447" s="141" t="n">
        <x:f>L447-K447</x:f>
        <x:v>0</x:v>
      </x:c>
    </x:row>
    <x:row r="448">
      <x:c r="A448" s="142" t="n">
        <x:v>394</x:v>
      </x:c>
      <x:c r="B448" s="179" t="n">
        <x:f>EDATE($B$5,A448-1)</x:f>
        <x:v>58501</x:v>
      </x:c>
      <x:c r="C448" s="141" t="n">
        <x:f>$B$6</x:f>
        <x:v>7000</x:v>
      </x:c>
      <x:c r="D448" s="180" t="n">
        <x:f>(1+$B$28)^INT((A448-1)/12)</x:f>
        <x:v>6.4533866818853385</x:v>
      </x:c>
      <x:c r="E448" s="141" t="n">
        <x:f>IF(A448&lt;=$B$27,$B$45*D448,0)</x:f>
        <x:v>0</x:v>
      </x:c>
      <x:c r="F448" s="141" t="n">
        <x:f>IF(A448=$B$29,$B$44,0)</x:f>
        <x:v>0</x:v>
      </x:c>
      <x:c r="G448" s="141" t="n">
        <x:f>E448+F448</x:f>
        <x:v>0</x:v>
      </x:c>
      <x:c r="H448" s="141" t="n">
        <x:f>IF(A448=$B$29,$B$42,0)</x:f>
        <x:v>0</x:v>
      </x:c>
      <x:c r="I448" s="141" t="n">
        <x:f>IF(A448=$B$29,$B$43,0)</x:f>
        <x:v>0</x:v>
      </x:c>
      <x:c r="J448" s="140" t="str">
        <x:f>IF(A448&lt;$B$29,"Aguardando",IF(A448=$B$29,"Contemplado","Pos-contemplacao"))</x:f>
        <x:v>Pos-contemplacao</x:v>
      </x:c>
      <x:c r="K448" s="141" t="n">
        <x:f>IF(A448&gt;=$B$27,0,(K449+E449)/(1+$B$9))</x:f>
        <x:v>0</x:v>
      </x:c>
      <x:c r="L448" s="141" t="n">
        <x:f>IF(A448&lt;$B$29,$B$43/(1+$B$9)^($B$29-A448),0)</x:f>
        <x:v>0</x:v>
      </x:c>
      <x:c r="M448" s="141" t="n">
        <x:f>L448-K448</x:f>
        <x:v>0</x:v>
      </x:c>
    </x:row>
    <x:row r="449">
      <x:c r="A449" s="142" t="n">
        <x:v>395</x:v>
      </x:c>
      <x:c r="B449" s="179" t="n">
        <x:f>EDATE($B$5,A449-1)</x:f>
        <x:v>58532</x:v>
      </x:c>
      <x:c r="C449" s="141" t="n">
        <x:f>$B$6</x:f>
        <x:v>7000</x:v>
      </x:c>
      <x:c r="D449" s="180" t="n">
        <x:f>(1+$B$28)^INT((A449-1)/12)</x:f>
        <x:v>6.4533866818853385</x:v>
      </x:c>
      <x:c r="E449" s="141" t="n">
        <x:f>IF(A449&lt;=$B$27,$B$45*D449,0)</x:f>
        <x:v>0</x:v>
      </x:c>
      <x:c r="F449" s="141" t="n">
        <x:f>IF(A449=$B$29,$B$44,0)</x:f>
        <x:v>0</x:v>
      </x:c>
      <x:c r="G449" s="141" t="n">
        <x:f>E449+F449</x:f>
        <x:v>0</x:v>
      </x:c>
      <x:c r="H449" s="141" t="n">
        <x:f>IF(A449=$B$29,$B$42,0)</x:f>
        <x:v>0</x:v>
      </x:c>
      <x:c r="I449" s="141" t="n">
        <x:f>IF(A449=$B$29,$B$43,0)</x:f>
        <x:v>0</x:v>
      </x:c>
      <x:c r="J449" s="140" t="str">
        <x:f>IF(A449&lt;$B$29,"Aguardando",IF(A449=$B$29,"Contemplado","Pos-contemplacao"))</x:f>
        <x:v>Pos-contemplacao</x:v>
      </x:c>
      <x:c r="K449" s="141" t="n">
        <x:f>IF(A449&gt;=$B$27,0,(K450+E450)/(1+$B$9))</x:f>
        <x:v>0</x:v>
      </x:c>
      <x:c r="L449" s="141" t="n">
        <x:f>IF(A449&lt;$B$29,$B$43/(1+$B$9)^($B$29-A449),0)</x:f>
        <x:v>0</x:v>
      </x:c>
      <x:c r="M449" s="141" t="n">
        <x:f>L449-K449</x:f>
        <x:v>0</x:v>
      </x:c>
    </x:row>
    <x:row r="450">
      <x:c r="A450" s="142" t="n">
        <x:v>396</x:v>
      </x:c>
      <x:c r="B450" s="179" t="n">
        <x:f>EDATE($B$5,A450-1)</x:f>
        <x:v>58562</x:v>
      </x:c>
      <x:c r="C450" s="141" t="n">
        <x:f>$B$6</x:f>
        <x:v>7000</x:v>
      </x:c>
      <x:c r="D450" s="180" t="n">
        <x:f>(1+$B$28)^INT((A450-1)/12)</x:f>
        <x:v>6.4533866818853385</x:v>
      </x:c>
      <x:c r="E450" s="141" t="n">
        <x:f>IF(A450&lt;=$B$27,$B$45*D450,0)</x:f>
        <x:v>0</x:v>
      </x:c>
      <x:c r="F450" s="141" t="n">
        <x:f>IF(A450=$B$29,$B$44,0)</x:f>
        <x:v>0</x:v>
      </x:c>
      <x:c r="G450" s="141" t="n">
        <x:f>E450+F450</x:f>
        <x:v>0</x:v>
      </x:c>
      <x:c r="H450" s="141" t="n">
        <x:f>IF(A450=$B$29,$B$42,0)</x:f>
        <x:v>0</x:v>
      </x:c>
      <x:c r="I450" s="141" t="n">
        <x:f>IF(A450=$B$29,$B$43,0)</x:f>
        <x:v>0</x:v>
      </x:c>
      <x:c r="J450" s="140" t="str">
        <x:f>IF(A450&lt;$B$29,"Aguardando",IF(A450=$B$29,"Contemplado","Pos-contemplacao"))</x:f>
        <x:v>Pos-contemplacao</x:v>
      </x:c>
      <x:c r="K450" s="141" t="n">
        <x:f>IF(A450&gt;=$B$27,0,(K451+E451)/(1+$B$9))</x:f>
        <x:v>0</x:v>
      </x:c>
      <x:c r="L450" s="141" t="n">
        <x:f>IF(A450&lt;$B$29,$B$43/(1+$B$9)^($B$29-A450),0)</x:f>
        <x:v>0</x:v>
      </x:c>
      <x:c r="M450" s="141" t="n">
        <x:f>L450-K450</x:f>
        <x:v>0</x:v>
      </x:c>
    </x:row>
    <x:row r="451">
      <x:c r="A451" s="142" t="n">
        <x:v>397</x:v>
      </x:c>
      <x:c r="B451" s="179" t="n">
        <x:f>EDATE($B$5,A451-1)</x:f>
        <x:v>58593</x:v>
      </x:c>
      <x:c r="C451" s="141" t="n">
        <x:f>$B$6</x:f>
        <x:v>7000</x:v>
      </x:c>
      <x:c r="D451" s="180" t="n">
        <x:f>(1+$B$28)^INT((A451-1)/12)</x:f>
        <x:v>6.840589882798459</x:v>
      </x:c>
      <x:c r="E451" s="141" t="n">
        <x:f>IF(A451&lt;=$B$27,$B$45*D451,0)</x:f>
        <x:v>0</x:v>
      </x:c>
      <x:c r="F451" s="141" t="n">
        <x:f>IF(A451=$B$29,$B$44,0)</x:f>
        <x:v>0</x:v>
      </x:c>
      <x:c r="G451" s="141" t="n">
        <x:f>E451+F451</x:f>
        <x:v>0</x:v>
      </x:c>
      <x:c r="H451" s="141" t="n">
        <x:f>IF(A451=$B$29,$B$42,0)</x:f>
        <x:v>0</x:v>
      </x:c>
      <x:c r="I451" s="141" t="n">
        <x:f>IF(A451=$B$29,$B$43,0)</x:f>
        <x:v>0</x:v>
      </x:c>
      <x:c r="J451" s="140" t="str">
        <x:f>IF(A451&lt;$B$29,"Aguardando",IF(A451=$B$29,"Contemplado","Pos-contemplacao"))</x:f>
        <x:v>Pos-contemplacao</x:v>
      </x:c>
      <x:c r="K451" s="141" t="n">
        <x:f>IF(A451&gt;=$B$27,0,(K452+E452)/(1+$B$9))</x:f>
        <x:v>0</x:v>
      </x:c>
      <x:c r="L451" s="141" t="n">
        <x:f>IF(A451&lt;$B$29,$B$43/(1+$B$9)^($B$29-A451),0)</x:f>
        <x:v>0</x:v>
      </x:c>
      <x:c r="M451" s="141" t="n">
        <x:f>L451-K451</x:f>
        <x:v>0</x:v>
      </x:c>
    </x:row>
    <x:row r="452">
      <x:c r="A452" s="142" t="n">
        <x:v>398</x:v>
      </x:c>
      <x:c r="B452" s="179" t="n">
        <x:f>EDATE($B$5,A452-1)</x:f>
        <x:v>58623</x:v>
      </x:c>
      <x:c r="C452" s="141" t="n">
        <x:f>$B$6</x:f>
        <x:v>7000</x:v>
      </x:c>
      <x:c r="D452" s="180" t="n">
        <x:f>(1+$B$28)^INT((A452-1)/12)</x:f>
        <x:v>6.840589882798459</x:v>
      </x:c>
      <x:c r="E452" s="141" t="n">
        <x:f>IF(A452&lt;=$B$27,$B$45*D452,0)</x:f>
        <x:v>0</x:v>
      </x:c>
      <x:c r="F452" s="141" t="n">
        <x:f>IF(A452=$B$29,$B$44,0)</x:f>
        <x:v>0</x:v>
      </x:c>
      <x:c r="G452" s="141" t="n">
        <x:f>E452+F452</x:f>
        <x:v>0</x:v>
      </x:c>
      <x:c r="H452" s="141" t="n">
        <x:f>IF(A452=$B$29,$B$42,0)</x:f>
        <x:v>0</x:v>
      </x:c>
      <x:c r="I452" s="141" t="n">
        <x:f>IF(A452=$B$29,$B$43,0)</x:f>
        <x:v>0</x:v>
      </x:c>
      <x:c r="J452" s="140" t="str">
        <x:f>IF(A452&lt;$B$29,"Aguardando",IF(A452=$B$29,"Contemplado","Pos-contemplacao"))</x:f>
        <x:v>Pos-contemplacao</x:v>
      </x:c>
      <x:c r="K452" s="141" t="n">
        <x:f>IF(A452&gt;=$B$27,0,(K453+E453)/(1+$B$9))</x:f>
        <x:v>0</x:v>
      </x:c>
      <x:c r="L452" s="141" t="n">
        <x:f>IF(A452&lt;$B$29,$B$43/(1+$B$9)^($B$29-A452),0)</x:f>
        <x:v>0</x:v>
      </x:c>
      <x:c r="M452" s="141" t="n">
        <x:f>L452-K452</x:f>
        <x:v>0</x:v>
      </x:c>
    </x:row>
    <x:row r="453">
      <x:c r="A453" s="142" t="n">
        <x:v>399</x:v>
      </x:c>
      <x:c r="B453" s="179" t="n">
        <x:f>EDATE($B$5,A453-1)</x:f>
        <x:v>58654</x:v>
      </x:c>
      <x:c r="C453" s="141" t="n">
        <x:f>$B$6</x:f>
        <x:v>7000</x:v>
      </x:c>
      <x:c r="D453" s="180" t="n">
        <x:f>(1+$B$28)^INT((A453-1)/12)</x:f>
        <x:v>6.840589882798459</x:v>
      </x:c>
      <x:c r="E453" s="141" t="n">
        <x:f>IF(A453&lt;=$B$27,$B$45*D453,0)</x:f>
        <x:v>0</x:v>
      </x:c>
      <x:c r="F453" s="141" t="n">
        <x:f>IF(A453=$B$29,$B$44,0)</x:f>
        <x:v>0</x:v>
      </x:c>
      <x:c r="G453" s="141" t="n">
        <x:f>E453+F453</x:f>
        <x:v>0</x:v>
      </x:c>
      <x:c r="H453" s="141" t="n">
        <x:f>IF(A453=$B$29,$B$42,0)</x:f>
        <x:v>0</x:v>
      </x:c>
      <x:c r="I453" s="141" t="n">
        <x:f>IF(A453=$B$29,$B$43,0)</x:f>
        <x:v>0</x:v>
      </x:c>
      <x:c r="J453" s="140" t="str">
        <x:f>IF(A453&lt;$B$29,"Aguardando",IF(A453=$B$29,"Contemplado","Pos-contemplacao"))</x:f>
        <x:v>Pos-contemplacao</x:v>
      </x:c>
      <x:c r="K453" s="141" t="n">
        <x:f>IF(A453&gt;=$B$27,0,(K454+E454)/(1+$B$9))</x:f>
        <x:v>0</x:v>
      </x:c>
      <x:c r="L453" s="141" t="n">
        <x:f>IF(A453&lt;$B$29,$B$43/(1+$B$9)^($B$29-A453),0)</x:f>
        <x:v>0</x:v>
      </x:c>
      <x:c r="M453" s="141" t="n">
        <x:f>L453-K453</x:f>
        <x:v>0</x:v>
      </x:c>
    </x:row>
    <x:row r="454">
      <x:c r="A454" s="142" t="n">
        <x:v>400</x:v>
      </x:c>
      <x:c r="B454" s="179" t="n">
        <x:f>EDATE($B$5,A454-1)</x:f>
        <x:v>58685</x:v>
      </x:c>
      <x:c r="C454" s="141" t="n">
        <x:f>$B$6</x:f>
        <x:v>7000</x:v>
      </x:c>
      <x:c r="D454" s="180" t="n">
        <x:f>(1+$B$28)^INT((A454-1)/12)</x:f>
        <x:v>6.840589882798459</x:v>
      </x:c>
      <x:c r="E454" s="141" t="n">
        <x:f>IF(A454&lt;=$B$27,$B$45*D454,0)</x:f>
        <x:v>0</x:v>
      </x:c>
      <x:c r="F454" s="141" t="n">
        <x:f>IF(A454=$B$29,$B$44,0)</x:f>
        <x:v>0</x:v>
      </x:c>
      <x:c r="G454" s="141" t="n">
        <x:f>E454+F454</x:f>
        <x:v>0</x:v>
      </x:c>
      <x:c r="H454" s="141" t="n">
        <x:f>IF(A454=$B$29,$B$42,0)</x:f>
        <x:v>0</x:v>
      </x:c>
      <x:c r="I454" s="141" t="n">
        <x:f>IF(A454=$B$29,$B$43,0)</x:f>
        <x:v>0</x:v>
      </x:c>
      <x:c r="J454" s="140" t="str">
        <x:f>IF(A454&lt;$B$29,"Aguardando",IF(A454=$B$29,"Contemplado","Pos-contemplacao"))</x:f>
        <x:v>Pos-contemplacao</x:v>
      </x:c>
      <x:c r="K454" s="141" t="n">
        <x:f>IF(A454&gt;=$B$27,0,(K455+E455)/(1+$B$9))</x:f>
        <x:v>0</x:v>
      </x:c>
      <x:c r="L454" s="141" t="n">
        <x:f>IF(A454&lt;$B$29,$B$43/(1+$B$9)^($B$29-A454),0)</x:f>
        <x:v>0</x:v>
      </x:c>
      <x:c r="M454" s="141" t="n">
        <x:f>L454-K454</x:f>
        <x:v>0</x:v>
      </x:c>
    </x:row>
    <x:row r="455">
      <x:c r="A455" s="142" t="n">
        <x:v>401</x:v>
      </x:c>
      <x:c r="B455" s="179" t="n">
        <x:f>EDATE($B$5,A455-1)</x:f>
        <x:v>58715</x:v>
      </x:c>
      <x:c r="C455" s="141" t="n">
        <x:f>$B$6</x:f>
        <x:v>7000</x:v>
      </x:c>
      <x:c r="D455" s="180" t="n">
        <x:f>(1+$B$28)^INT((A455-1)/12)</x:f>
        <x:v>6.840589882798459</x:v>
      </x:c>
      <x:c r="E455" s="141" t="n">
        <x:f>IF(A455&lt;=$B$27,$B$45*D455,0)</x:f>
        <x:v>0</x:v>
      </x:c>
      <x:c r="F455" s="141" t="n">
        <x:f>IF(A455=$B$29,$B$44,0)</x:f>
        <x:v>0</x:v>
      </x:c>
      <x:c r="G455" s="141" t="n">
        <x:f>E455+F455</x:f>
        <x:v>0</x:v>
      </x:c>
      <x:c r="H455" s="141" t="n">
        <x:f>IF(A455=$B$29,$B$42,0)</x:f>
        <x:v>0</x:v>
      </x:c>
      <x:c r="I455" s="141" t="n">
        <x:f>IF(A455=$B$29,$B$43,0)</x:f>
        <x:v>0</x:v>
      </x:c>
      <x:c r="J455" s="140" t="str">
        <x:f>IF(A455&lt;$B$29,"Aguardando",IF(A455=$B$29,"Contemplado","Pos-contemplacao"))</x:f>
        <x:v>Pos-contemplacao</x:v>
      </x:c>
      <x:c r="K455" s="141" t="n">
        <x:f>IF(A455&gt;=$B$27,0,(K456+E456)/(1+$B$9))</x:f>
        <x:v>0</x:v>
      </x:c>
      <x:c r="L455" s="141" t="n">
        <x:f>IF(A455&lt;$B$29,$B$43/(1+$B$9)^($B$29-A455),0)</x:f>
        <x:v>0</x:v>
      </x:c>
      <x:c r="M455" s="141" t="n">
        <x:f>L455-K455</x:f>
        <x:v>0</x:v>
      </x:c>
    </x:row>
    <x:row r="456">
      <x:c r="A456" s="142" t="n">
        <x:v>402</x:v>
      </x:c>
      <x:c r="B456" s="179" t="n">
        <x:f>EDATE($B$5,A456-1)</x:f>
        <x:v>58746</x:v>
      </x:c>
      <x:c r="C456" s="141" t="n">
        <x:f>$B$6</x:f>
        <x:v>7000</x:v>
      </x:c>
      <x:c r="D456" s="180" t="n">
        <x:f>(1+$B$28)^INT((A456-1)/12)</x:f>
        <x:v>6.840589882798459</x:v>
      </x:c>
      <x:c r="E456" s="141" t="n">
        <x:f>IF(A456&lt;=$B$27,$B$45*D456,0)</x:f>
        <x:v>0</x:v>
      </x:c>
      <x:c r="F456" s="141" t="n">
        <x:f>IF(A456=$B$29,$B$44,0)</x:f>
        <x:v>0</x:v>
      </x:c>
      <x:c r="G456" s="141" t="n">
        <x:f>E456+F456</x:f>
        <x:v>0</x:v>
      </x:c>
      <x:c r="H456" s="141" t="n">
        <x:f>IF(A456=$B$29,$B$42,0)</x:f>
        <x:v>0</x:v>
      </x:c>
      <x:c r="I456" s="141" t="n">
        <x:f>IF(A456=$B$29,$B$43,0)</x:f>
        <x:v>0</x:v>
      </x:c>
      <x:c r="J456" s="140" t="str">
        <x:f>IF(A456&lt;$B$29,"Aguardando",IF(A456=$B$29,"Contemplado","Pos-contemplacao"))</x:f>
        <x:v>Pos-contemplacao</x:v>
      </x:c>
      <x:c r="K456" s="141" t="n">
        <x:f>IF(A456&gt;=$B$27,0,(K457+E457)/(1+$B$9))</x:f>
        <x:v>0</x:v>
      </x:c>
      <x:c r="L456" s="141" t="n">
        <x:f>IF(A456&lt;$B$29,$B$43/(1+$B$9)^($B$29-A456),0)</x:f>
        <x:v>0</x:v>
      </x:c>
      <x:c r="M456" s="141" t="n">
        <x:f>L456-K456</x:f>
        <x:v>0</x:v>
      </x:c>
    </x:row>
    <x:row r="457">
      <x:c r="A457" s="142" t="n">
        <x:v>403</x:v>
      </x:c>
      <x:c r="B457" s="179" t="n">
        <x:f>EDATE($B$5,A457-1)</x:f>
        <x:v>58776</x:v>
      </x:c>
      <x:c r="C457" s="141" t="n">
        <x:f>$B$6</x:f>
        <x:v>7000</x:v>
      </x:c>
      <x:c r="D457" s="180" t="n">
        <x:f>(1+$B$28)^INT((A457-1)/12)</x:f>
        <x:v>6.840589882798459</x:v>
      </x:c>
      <x:c r="E457" s="141" t="n">
        <x:f>IF(A457&lt;=$B$27,$B$45*D457,0)</x:f>
        <x:v>0</x:v>
      </x:c>
      <x:c r="F457" s="141" t="n">
        <x:f>IF(A457=$B$29,$B$44,0)</x:f>
        <x:v>0</x:v>
      </x:c>
      <x:c r="G457" s="141" t="n">
        <x:f>E457+F457</x:f>
        <x:v>0</x:v>
      </x:c>
      <x:c r="H457" s="141" t="n">
        <x:f>IF(A457=$B$29,$B$42,0)</x:f>
        <x:v>0</x:v>
      </x:c>
      <x:c r="I457" s="141" t="n">
        <x:f>IF(A457=$B$29,$B$43,0)</x:f>
        <x:v>0</x:v>
      </x:c>
      <x:c r="J457" s="140" t="str">
        <x:f>IF(A457&lt;$B$29,"Aguardando",IF(A457=$B$29,"Contemplado","Pos-contemplacao"))</x:f>
        <x:v>Pos-contemplacao</x:v>
      </x:c>
      <x:c r="K457" s="141" t="n">
        <x:f>IF(A457&gt;=$B$27,0,(K458+E458)/(1+$B$9))</x:f>
        <x:v>0</x:v>
      </x:c>
      <x:c r="L457" s="141" t="n">
        <x:f>IF(A457&lt;$B$29,$B$43/(1+$B$9)^($B$29-A457),0)</x:f>
        <x:v>0</x:v>
      </x:c>
      <x:c r="M457" s="141" t="n">
        <x:f>L457-K457</x:f>
        <x:v>0</x:v>
      </x:c>
    </x:row>
    <x:row r="458">
      <x:c r="A458" s="142" t="n">
        <x:v>404</x:v>
      </x:c>
      <x:c r="B458" s="179" t="n">
        <x:f>EDATE($B$5,A458-1)</x:f>
        <x:v>58807</x:v>
      </x:c>
      <x:c r="C458" s="141" t="n">
        <x:f>$B$6</x:f>
        <x:v>7000</x:v>
      </x:c>
      <x:c r="D458" s="180" t="n">
        <x:f>(1+$B$28)^INT((A458-1)/12)</x:f>
        <x:v>6.840589882798459</x:v>
      </x:c>
      <x:c r="E458" s="141" t="n">
        <x:f>IF(A458&lt;=$B$27,$B$45*D458,0)</x:f>
        <x:v>0</x:v>
      </x:c>
      <x:c r="F458" s="141" t="n">
        <x:f>IF(A458=$B$29,$B$44,0)</x:f>
        <x:v>0</x:v>
      </x:c>
      <x:c r="G458" s="141" t="n">
        <x:f>E458+F458</x:f>
        <x:v>0</x:v>
      </x:c>
      <x:c r="H458" s="141" t="n">
        <x:f>IF(A458=$B$29,$B$42,0)</x:f>
        <x:v>0</x:v>
      </x:c>
      <x:c r="I458" s="141" t="n">
        <x:f>IF(A458=$B$29,$B$43,0)</x:f>
        <x:v>0</x:v>
      </x:c>
      <x:c r="J458" s="140" t="str">
        <x:f>IF(A458&lt;$B$29,"Aguardando",IF(A458=$B$29,"Contemplado","Pos-contemplacao"))</x:f>
        <x:v>Pos-contemplacao</x:v>
      </x:c>
      <x:c r="K458" s="141" t="n">
        <x:f>IF(A458&gt;=$B$27,0,(K459+E459)/(1+$B$9))</x:f>
        <x:v>0</x:v>
      </x:c>
      <x:c r="L458" s="141" t="n">
        <x:f>IF(A458&lt;$B$29,$B$43/(1+$B$9)^($B$29-A458),0)</x:f>
        <x:v>0</x:v>
      </x:c>
      <x:c r="M458" s="141" t="n">
        <x:f>L458-K458</x:f>
        <x:v>0</x:v>
      </x:c>
    </x:row>
    <x:row r="459">
      <x:c r="A459" s="142" t="n">
        <x:v>405</x:v>
      </x:c>
      <x:c r="B459" s="179" t="n">
        <x:f>EDATE($B$5,A459-1)</x:f>
        <x:v>58838</x:v>
      </x:c>
      <x:c r="C459" s="141" t="n">
        <x:f>$B$6</x:f>
        <x:v>7000</x:v>
      </x:c>
      <x:c r="D459" s="180" t="n">
        <x:f>(1+$B$28)^INT((A459-1)/12)</x:f>
        <x:v>6.840589882798459</x:v>
      </x:c>
      <x:c r="E459" s="141" t="n">
        <x:f>IF(A459&lt;=$B$27,$B$45*D459,0)</x:f>
        <x:v>0</x:v>
      </x:c>
      <x:c r="F459" s="141" t="n">
        <x:f>IF(A459=$B$29,$B$44,0)</x:f>
        <x:v>0</x:v>
      </x:c>
      <x:c r="G459" s="141" t="n">
        <x:f>E459+F459</x:f>
        <x:v>0</x:v>
      </x:c>
      <x:c r="H459" s="141" t="n">
        <x:f>IF(A459=$B$29,$B$42,0)</x:f>
        <x:v>0</x:v>
      </x:c>
      <x:c r="I459" s="141" t="n">
        <x:f>IF(A459=$B$29,$B$43,0)</x:f>
        <x:v>0</x:v>
      </x:c>
      <x:c r="J459" s="140" t="str">
        <x:f>IF(A459&lt;$B$29,"Aguardando",IF(A459=$B$29,"Contemplado","Pos-contemplacao"))</x:f>
        <x:v>Pos-contemplacao</x:v>
      </x:c>
      <x:c r="K459" s="141" t="n">
        <x:f>IF(A459&gt;=$B$27,0,(K460+E460)/(1+$B$9))</x:f>
        <x:v>0</x:v>
      </x:c>
      <x:c r="L459" s="141" t="n">
        <x:f>IF(A459&lt;$B$29,$B$43/(1+$B$9)^($B$29-A459),0)</x:f>
        <x:v>0</x:v>
      </x:c>
      <x:c r="M459" s="141" t="n">
        <x:f>L459-K459</x:f>
        <x:v>0</x:v>
      </x:c>
    </x:row>
    <x:row r="460">
      <x:c r="A460" s="142" t="n">
        <x:v>406</x:v>
      </x:c>
      <x:c r="B460" s="179" t="n">
        <x:f>EDATE($B$5,A460-1)</x:f>
        <x:v>58866</x:v>
      </x:c>
      <x:c r="C460" s="141" t="n">
        <x:f>$B$6</x:f>
        <x:v>7000</x:v>
      </x:c>
      <x:c r="D460" s="180" t="n">
        <x:f>(1+$B$28)^INT((A460-1)/12)</x:f>
        <x:v>6.840589882798459</x:v>
      </x:c>
      <x:c r="E460" s="141" t="n">
        <x:f>IF(A460&lt;=$B$27,$B$45*D460,0)</x:f>
        <x:v>0</x:v>
      </x:c>
      <x:c r="F460" s="141" t="n">
        <x:f>IF(A460=$B$29,$B$44,0)</x:f>
        <x:v>0</x:v>
      </x:c>
      <x:c r="G460" s="141" t="n">
        <x:f>E460+F460</x:f>
        <x:v>0</x:v>
      </x:c>
      <x:c r="H460" s="141" t="n">
        <x:f>IF(A460=$B$29,$B$42,0)</x:f>
        <x:v>0</x:v>
      </x:c>
      <x:c r="I460" s="141" t="n">
        <x:f>IF(A460=$B$29,$B$43,0)</x:f>
        <x:v>0</x:v>
      </x:c>
      <x:c r="J460" s="140" t="str">
        <x:f>IF(A460&lt;$B$29,"Aguardando",IF(A460=$B$29,"Contemplado","Pos-contemplacao"))</x:f>
        <x:v>Pos-contemplacao</x:v>
      </x:c>
      <x:c r="K460" s="141" t="n">
        <x:f>IF(A460&gt;=$B$27,0,(K461+E461)/(1+$B$9))</x:f>
        <x:v>0</x:v>
      </x:c>
      <x:c r="L460" s="141" t="n">
        <x:f>IF(A460&lt;$B$29,$B$43/(1+$B$9)^($B$29-A460),0)</x:f>
        <x:v>0</x:v>
      </x:c>
      <x:c r="M460" s="141" t="n">
        <x:f>L460-K460</x:f>
        <x:v>0</x:v>
      </x:c>
    </x:row>
    <x:row r="461">
      <x:c r="A461" s="142" t="n">
        <x:v>407</x:v>
      </x:c>
      <x:c r="B461" s="179" t="n">
        <x:f>EDATE($B$5,A461-1)</x:f>
        <x:v>58897</x:v>
      </x:c>
      <x:c r="C461" s="141" t="n">
        <x:f>$B$6</x:f>
        <x:v>7000</x:v>
      </x:c>
      <x:c r="D461" s="180" t="n">
        <x:f>(1+$B$28)^INT((A461-1)/12)</x:f>
        <x:v>6.840589882798459</x:v>
      </x:c>
      <x:c r="E461" s="141" t="n">
        <x:f>IF(A461&lt;=$B$27,$B$45*D461,0)</x:f>
        <x:v>0</x:v>
      </x:c>
      <x:c r="F461" s="141" t="n">
        <x:f>IF(A461=$B$29,$B$44,0)</x:f>
        <x:v>0</x:v>
      </x:c>
      <x:c r="G461" s="141" t="n">
        <x:f>E461+F461</x:f>
        <x:v>0</x:v>
      </x:c>
      <x:c r="H461" s="141" t="n">
        <x:f>IF(A461=$B$29,$B$42,0)</x:f>
        <x:v>0</x:v>
      </x:c>
      <x:c r="I461" s="141" t="n">
        <x:f>IF(A461=$B$29,$B$43,0)</x:f>
        <x:v>0</x:v>
      </x:c>
      <x:c r="J461" s="140" t="str">
        <x:f>IF(A461&lt;$B$29,"Aguardando",IF(A461=$B$29,"Contemplado","Pos-contemplacao"))</x:f>
        <x:v>Pos-contemplacao</x:v>
      </x:c>
      <x:c r="K461" s="141" t="n">
        <x:f>IF(A461&gt;=$B$27,0,(K462+E462)/(1+$B$9))</x:f>
        <x:v>0</x:v>
      </x:c>
      <x:c r="L461" s="141" t="n">
        <x:f>IF(A461&lt;$B$29,$B$43/(1+$B$9)^($B$29-A461),0)</x:f>
        <x:v>0</x:v>
      </x:c>
      <x:c r="M461" s="141" t="n">
        <x:f>L461-K461</x:f>
        <x:v>0</x:v>
      </x:c>
    </x:row>
    <x:row r="462">
      <x:c r="A462" s="142" t="n">
        <x:v>408</x:v>
      </x:c>
      <x:c r="B462" s="179" t="n">
        <x:f>EDATE($B$5,A462-1)</x:f>
        <x:v>58927</x:v>
      </x:c>
      <x:c r="C462" s="141" t="n">
        <x:f>$B$6</x:f>
        <x:v>7000</x:v>
      </x:c>
      <x:c r="D462" s="180" t="n">
        <x:f>(1+$B$28)^INT((A462-1)/12)</x:f>
        <x:v>6.840589882798459</x:v>
      </x:c>
      <x:c r="E462" s="141" t="n">
        <x:f>IF(A462&lt;=$B$27,$B$45*D462,0)</x:f>
        <x:v>0</x:v>
      </x:c>
      <x:c r="F462" s="141" t="n">
        <x:f>IF(A462=$B$29,$B$44,0)</x:f>
        <x:v>0</x:v>
      </x:c>
      <x:c r="G462" s="141" t="n">
        <x:f>E462+F462</x:f>
        <x:v>0</x:v>
      </x:c>
      <x:c r="H462" s="141" t="n">
        <x:f>IF(A462=$B$29,$B$42,0)</x:f>
        <x:v>0</x:v>
      </x:c>
      <x:c r="I462" s="141" t="n">
        <x:f>IF(A462=$B$29,$B$43,0)</x:f>
        <x:v>0</x:v>
      </x:c>
      <x:c r="J462" s="140" t="str">
        <x:f>IF(A462&lt;$B$29,"Aguardando",IF(A462=$B$29,"Contemplado","Pos-contemplacao"))</x:f>
        <x:v>Pos-contemplacao</x:v>
      </x:c>
      <x:c r="K462" s="141" t="n">
        <x:f>IF(A462&gt;=$B$27,0,(K463+E463)/(1+$B$9))</x:f>
        <x:v>0</x:v>
      </x:c>
      <x:c r="L462" s="141" t="n">
        <x:f>IF(A462&lt;$B$29,$B$43/(1+$B$9)^($B$29-A462),0)</x:f>
        <x:v>0</x:v>
      </x:c>
      <x:c r="M462" s="141" t="n">
        <x:f>L462-K462</x:f>
        <x:v>0</x:v>
      </x:c>
    </x:row>
    <x:row r="463">
      <x:c r="A463" s="142" t="n">
        <x:v>409</x:v>
      </x:c>
      <x:c r="B463" s="179" t="n">
        <x:f>EDATE($B$5,A463-1)</x:f>
        <x:v>58958</x:v>
      </x:c>
      <x:c r="C463" s="141" t="n">
        <x:f>$B$6</x:f>
        <x:v>7000</x:v>
      </x:c>
      <x:c r="D463" s="180" t="n">
        <x:f>(1+$B$28)^INT((A463-1)/12)</x:f>
        <x:v>7.2510252757663665</x:v>
      </x:c>
      <x:c r="E463" s="141" t="n">
        <x:f>IF(A463&lt;=$B$27,$B$45*D463,0)</x:f>
        <x:v>0</x:v>
      </x:c>
      <x:c r="F463" s="141" t="n">
        <x:f>IF(A463=$B$29,$B$44,0)</x:f>
        <x:v>0</x:v>
      </x:c>
      <x:c r="G463" s="141" t="n">
        <x:f>E463+F463</x:f>
        <x:v>0</x:v>
      </x:c>
      <x:c r="H463" s="141" t="n">
        <x:f>IF(A463=$B$29,$B$42,0)</x:f>
        <x:v>0</x:v>
      </x:c>
      <x:c r="I463" s="141" t="n">
        <x:f>IF(A463=$B$29,$B$43,0)</x:f>
        <x:v>0</x:v>
      </x:c>
      <x:c r="J463" s="140" t="str">
        <x:f>IF(A463&lt;$B$29,"Aguardando",IF(A463=$B$29,"Contemplado","Pos-contemplacao"))</x:f>
        <x:v>Pos-contemplacao</x:v>
      </x:c>
      <x:c r="K463" s="141" t="n">
        <x:f>IF(A463&gt;=$B$27,0,(K464+E464)/(1+$B$9))</x:f>
        <x:v>0</x:v>
      </x:c>
      <x:c r="L463" s="141" t="n">
        <x:f>IF(A463&lt;$B$29,$B$43/(1+$B$9)^($B$29-A463),0)</x:f>
        <x:v>0</x:v>
      </x:c>
      <x:c r="M463" s="141" t="n">
        <x:f>L463-K463</x:f>
        <x:v>0</x:v>
      </x:c>
    </x:row>
    <x:row r="464">
      <x:c r="A464" s="142" t="n">
        <x:v>410</x:v>
      </x:c>
      <x:c r="B464" s="179" t="n">
        <x:f>EDATE($B$5,A464-1)</x:f>
        <x:v>58988</x:v>
      </x:c>
      <x:c r="C464" s="141" t="n">
        <x:f>$B$6</x:f>
        <x:v>7000</x:v>
      </x:c>
      <x:c r="D464" s="180" t="n">
        <x:f>(1+$B$28)^INT((A464-1)/12)</x:f>
        <x:v>7.2510252757663665</x:v>
      </x:c>
      <x:c r="E464" s="141" t="n">
        <x:f>IF(A464&lt;=$B$27,$B$45*D464,0)</x:f>
        <x:v>0</x:v>
      </x:c>
      <x:c r="F464" s="141" t="n">
        <x:f>IF(A464=$B$29,$B$44,0)</x:f>
        <x:v>0</x:v>
      </x:c>
      <x:c r="G464" s="141" t="n">
        <x:f>E464+F464</x:f>
        <x:v>0</x:v>
      </x:c>
      <x:c r="H464" s="141" t="n">
        <x:f>IF(A464=$B$29,$B$42,0)</x:f>
        <x:v>0</x:v>
      </x:c>
      <x:c r="I464" s="141" t="n">
        <x:f>IF(A464=$B$29,$B$43,0)</x:f>
        <x:v>0</x:v>
      </x:c>
      <x:c r="J464" s="140" t="str">
        <x:f>IF(A464&lt;$B$29,"Aguardando",IF(A464=$B$29,"Contemplado","Pos-contemplacao"))</x:f>
        <x:v>Pos-contemplacao</x:v>
      </x:c>
      <x:c r="K464" s="141" t="n">
        <x:f>IF(A464&gt;=$B$27,0,(K465+E465)/(1+$B$9))</x:f>
        <x:v>0</x:v>
      </x:c>
      <x:c r="L464" s="141" t="n">
        <x:f>IF(A464&lt;$B$29,$B$43/(1+$B$9)^($B$29-A464),0)</x:f>
        <x:v>0</x:v>
      </x:c>
      <x:c r="M464" s="141" t="n">
        <x:f>L464-K464</x:f>
        <x:v>0</x:v>
      </x:c>
    </x:row>
    <x:row r="465">
      <x:c r="A465" s="142" t="n">
        <x:v>411</x:v>
      </x:c>
      <x:c r="B465" s="179" t="n">
        <x:f>EDATE($B$5,A465-1)</x:f>
        <x:v>59019</x:v>
      </x:c>
      <x:c r="C465" s="141" t="n">
        <x:f>$B$6</x:f>
        <x:v>7000</x:v>
      </x:c>
      <x:c r="D465" s="180" t="n">
        <x:f>(1+$B$28)^INT((A465-1)/12)</x:f>
        <x:v>7.2510252757663665</x:v>
      </x:c>
      <x:c r="E465" s="141" t="n">
        <x:f>IF(A465&lt;=$B$27,$B$45*D465,0)</x:f>
        <x:v>0</x:v>
      </x:c>
      <x:c r="F465" s="141" t="n">
        <x:f>IF(A465=$B$29,$B$44,0)</x:f>
        <x:v>0</x:v>
      </x:c>
      <x:c r="G465" s="141" t="n">
        <x:f>E465+F465</x:f>
        <x:v>0</x:v>
      </x:c>
      <x:c r="H465" s="141" t="n">
        <x:f>IF(A465=$B$29,$B$42,0)</x:f>
        <x:v>0</x:v>
      </x:c>
      <x:c r="I465" s="141" t="n">
        <x:f>IF(A465=$B$29,$B$43,0)</x:f>
        <x:v>0</x:v>
      </x:c>
      <x:c r="J465" s="140" t="str">
        <x:f>IF(A465&lt;$B$29,"Aguardando",IF(A465=$B$29,"Contemplado","Pos-contemplacao"))</x:f>
        <x:v>Pos-contemplacao</x:v>
      </x:c>
      <x:c r="K465" s="141" t="n">
        <x:f>IF(A465&gt;=$B$27,0,(K466+E466)/(1+$B$9))</x:f>
        <x:v>0</x:v>
      </x:c>
      <x:c r="L465" s="141" t="n">
        <x:f>IF(A465&lt;$B$29,$B$43/(1+$B$9)^($B$29-A465),0)</x:f>
        <x:v>0</x:v>
      </x:c>
      <x:c r="M465" s="141" t="n">
        <x:f>L465-K465</x:f>
        <x:v>0</x:v>
      </x:c>
    </x:row>
    <x:row r="466">
      <x:c r="A466" s="142" t="n">
        <x:v>412</x:v>
      </x:c>
      <x:c r="B466" s="179" t="n">
        <x:f>EDATE($B$5,A466-1)</x:f>
        <x:v>59050</x:v>
      </x:c>
      <x:c r="C466" s="141" t="n">
        <x:f>$B$6</x:f>
        <x:v>7000</x:v>
      </x:c>
      <x:c r="D466" s="180" t="n">
        <x:f>(1+$B$28)^INT((A466-1)/12)</x:f>
        <x:v>7.2510252757663665</x:v>
      </x:c>
      <x:c r="E466" s="141" t="n">
        <x:f>IF(A466&lt;=$B$27,$B$45*D466,0)</x:f>
        <x:v>0</x:v>
      </x:c>
      <x:c r="F466" s="141" t="n">
        <x:f>IF(A466=$B$29,$B$44,0)</x:f>
        <x:v>0</x:v>
      </x:c>
      <x:c r="G466" s="141" t="n">
        <x:f>E466+F466</x:f>
        <x:v>0</x:v>
      </x:c>
      <x:c r="H466" s="141" t="n">
        <x:f>IF(A466=$B$29,$B$42,0)</x:f>
        <x:v>0</x:v>
      </x:c>
      <x:c r="I466" s="141" t="n">
        <x:f>IF(A466=$B$29,$B$43,0)</x:f>
        <x:v>0</x:v>
      </x:c>
      <x:c r="J466" s="140" t="str">
        <x:f>IF(A466&lt;$B$29,"Aguardando",IF(A466=$B$29,"Contemplado","Pos-contemplacao"))</x:f>
        <x:v>Pos-contemplacao</x:v>
      </x:c>
      <x:c r="K466" s="141" t="n">
        <x:f>IF(A466&gt;=$B$27,0,(K467+E467)/(1+$B$9))</x:f>
        <x:v>0</x:v>
      </x:c>
      <x:c r="L466" s="141" t="n">
        <x:f>IF(A466&lt;$B$29,$B$43/(1+$B$9)^($B$29-A466),0)</x:f>
        <x:v>0</x:v>
      </x:c>
      <x:c r="M466" s="141" t="n">
        <x:f>L466-K466</x:f>
        <x:v>0</x:v>
      </x:c>
    </x:row>
    <x:row r="467">
      <x:c r="A467" s="142" t="n">
        <x:v>413</x:v>
      </x:c>
      <x:c r="B467" s="179" t="n">
        <x:f>EDATE($B$5,A467-1)</x:f>
        <x:v>59080</x:v>
      </x:c>
      <x:c r="C467" s="141" t="n">
        <x:f>$B$6</x:f>
        <x:v>7000</x:v>
      </x:c>
      <x:c r="D467" s="180" t="n">
        <x:f>(1+$B$28)^INT((A467-1)/12)</x:f>
        <x:v>7.2510252757663665</x:v>
      </x:c>
      <x:c r="E467" s="141" t="n">
        <x:f>IF(A467&lt;=$B$27,$B$45*D467,0)</x:f>
        <x:v>0</x:v>
      </x:c>
      <x:c r="F467" s="141" t="n">
        <x:f>IF(A467=$B$29,$B$44,0)</x:f>
        <x:v>0</x:v>
      </x:c>
      <x:c r="G467" s="141" t="n">
        <x:f>E467+F467</x:f>
        <x:v>0</x:v>
      </x:c>
      <x:c r="H467" s="141" t="n">
        <x:f>IF(A467=$B$29,$B$42,0)</x:f>
        <x:v>0</x:v>
      </x:c>
      <x:c r="I467" s="141" t="n">
        <x:f>IF(A467=$B$29,$B$43,0)</x:f>
        <x:v>0</x:v>
      </x:c>
      <x:c r="J467" s="140" t="str">
        <x:f>IF(A467&lt;$B$29,"Aguardando",IF(A467=$B$29,"Contemplado","Pos-contemplacao"))</x:f>
        <x:v>Pos-contemplacao</x:v>
      </x:c>
      <x:c r="K467" s="141" t="n">
        <x:f>IF(A467&gt;=$B$27,0,(K468+E468)/(1+$B$9))</x:f>
        <x:v>0</x:v>
      </x:c>
      <x:c r="L467" s="141" t="n">
        <x:f>IF(A467&lt;$B$29,$B$43/(1+$B$9)^($B$29-A467),0)</x:f>
        <x:v>0</x:v>
      </x:c>
      <x:c r="M467" s="141" t="n">
        <x:f>L467-K467</x:f>
        <x:v>0</x:v>
      </x:c>
    </x:row>
    <x:row r="468">
      <x:c r="A468" s="142" t="n">
        <x:v>414</x:v>
      </x:c>
      <x:c r="B468" s="179" t="n">
        <x:f>EDATE($B$5,A468-1)</x:f>
        <x:v>59111</x:v>
      </x:c>
      <x:c r="C468" s="141" t="n">
        <x:f>$B$6</x:f>
        <x:v>7000</x:v>
      </x:c>
      <x:c r="D468" s="180" t="n">
        <x:f>(1+$B$28)^INT((A468-1)/12)</x:f>
        <x:v>7.2510252757663665</x:v>
      </x:c>
      <x:c r="E468" s="141" t="n">
        <x:f>IF(A468&lt;=$B$27,$B$45*D468,0)</x:f>
        <x:v>0</x:v>
      </x:c>
      <x:c r="F468" s="141" t="n">
        <x:f>IF(A468=$B$29,$B$44,0)</x:f>
        <x:v>0</x:v>
      </x:c>
      <x:c r="G468" s="141" t="n">
        <x:f>E468+F468</x:f>
        <x:v>0</x:v>
      </x:c>
      <x:c r="H468" s="141" t="n">
        <x:f>IF(A468=$B$29,$B$42,0)</x:f>
        <x:v>0</x:v>
      </x:c>
      <x:c r="I468" s="141" t="n">
        <x:f>IF(A468=$B$29,$B$43,0)</x:f>
        <x:v>0</x:v>
      </x:c>
      <x:c r="J468" s="140" t="str">
        <x:f>IF(A468&lt;$B$29,"Aguardando",IF(A468=$B$29,"Contemplado","Pos-contemplacao"))</x:f>
        <x:v>Pos-contemplacao</x:v>
      </x:c>
      <x:c r="K468" s="141" t="n">
        <x:f>IF(A468&gt;=$B$27,0,(K469+E469)/(1+$B$9))</x:f>
        <x:v>0</x:v>
      </x:c>
      <x:c r="L468" s="141" t="n">
        <x:f>IF(A468&lt;$B$29,$B$43/(1+$B$9)^($B$29-A468),0)</x:f>
        <x:v>0</x:v>
      </x:c>
      <x:c r="M468" s="141" t="n">
        <x:f>L468-K468</x:f>
        <x:v>0</x:v>
      </x:c>
    </x:row>
    <x:row r="469">
      <x:c r="A469" s="142" t="n">
        <x:v>415</x:v>
      </x:c>
      <x:c r="B469" s="179" t="n">
        <x:f>EDATE($B$5,A469-1)</x:f>
        <x:v>59141</x:v>
      </x:c>
      <x:c r="C469" s="141" t="n">
        <x:f>$B$6</x:f>
        <x:v>7000</x:v>
      </x:c>
      <x:c r="D469" s="180" t="n">
        <x:f>(1+$B$28)^INT((A469-1)/12)</x:f>
        <x:v>7.2510252757663665</x:v>
      </x:c>
      <x:c r="E469" s="141" t="n">
        <x:f>IF(A469&lt;=$B$27,$B$45*D469,0)</x:f>
        <x:v>0</x:v>
      </x:c>
      <x:c r="F469" s="141" t="n">
        <x:f>IF(A469=$B$29,$B$44,0)</x:f>
        <x:v>0</x:v>
      </x:c>
      <x:c r="G469" s="141" t="n">
        <x:f>E469+F469</x:f>
        <x:v>0</x:v>
      </x:c>
      <x:c r="H469" s="141" t="n">
        <x:f>IF(A469=$B$29,$B$42,0)</x:f>
        <x:v>0</x:v>
      </x:c>
      <x:c r="I469" s="141" t="n">
        <x:f>IF(A469=$B$29,$B$43,0)</x:f>
        <x:v>0</x:v>
      </x:c>
      <x:c r="J469" s="140" t="str">
        <x:f>IF(A469&lt;$B$29,"Aguardando",IF(A469=$B$29,"Contemplado","Pos-contemplacao"))</x:f>
        <x:v>Pos-contemplacao</x:v>
      </x:c>
      <x:c r="K469" s="141" t="n">
        <x:f>IF(A469&gt;=$B$27,0,(K470+E470)/(1+$B$9))</x:f>
        <x:v>0</x:v>
      </x:c>
      <x:c r="L469" s="141" t="n">
        <x:f>IF(A469&lt;$B$29,$B$43/(1+$B$9)^($B$29-A469),0)</x:f>
        <x:v>0</x:v>
      </x:c>
      <x:c r="M469" s="141" t="n">
        <x:f>L469-K469</x:f>
        <x:v>0</x:v>
      </x:c>
    </x:row>
    <x:row r="470">
      <x:c r="A470" s="142" t="n">
        <x:v>416</x:v>
      </x:c>
      <x:c r="B470" s="179" t="n">
        <x:f>EDATE($B$5,A470-1)</x:f>
        <x:v>59172</x:v>
      </x:c>
      <x:c r="C470" s="141" t="n">
        <x:f>$B$6</x:f>
        <x:v>7000</x:v>
      </x:c>
      <x:c r="D470" s="180" t="n">
        <x:f>(1+$B$28)^INT((A470-1)/12)</x:f>
        <x:v>7.2510252757663665</x:v>
      </x:c>
      <x:c r="E470" s="141" t="n">
        <x:f>IF(A470&lt;=$B$27,$B$45*D470,0)</x:f>
        <x:v>0</x:v>
      </x:c>
      <x:c r="F470" s="141" t="n">
        <x:f>IF(A470=$B$29,$B$44,0)</x:f>
        <x:v>0</x:v>
      </x:c>
      <x:c r="G470" s="141" t="n">
        <x:f>E470+F470</x:f>
        <x:v>0</x:v>
      </x:c>
      <x:c r="H470" s="141" t="n">
        <x:f>IF(A470=$B$29,$B$42,0)</x:f>
        <x:v>0</x:v>
      </x:c>
      <x:c r="I470" s="141" t="n">
        <x:f>IF(A470=$B$29,$B$43,0)</x:f>
        <x:v>0</x:v>
      </x:c>
      <x:c r="J470" s="140" t="str">
        <x:f>IF(A470&lt;$B$29,"Aguardando",IF(A470=$B$29,"Contemplado","Pos-contemplacao"))</x:f>
        <x:v>Pos-contemplacao</x:v>
      </x:c>
      <x:c r="K470" s="141" t="n">
        <x:f>IF(A470&gt;=$B$27,0,(K471+E471)/(1+$B$9))</x:f>
        <x:v>0</x:v>
      </x:c>
      <x:c r="L470" s="141" t="n">
        <x:f>IF(A470&lt;$B$29,$B$43/(1+$B$9)^($B$29-A470),0)</x:f>
        <x:v>0</x:v>
      </x:c>
      <x:c r="M470" s="141" t="n">
        <x:f>L470-K470</x:f>
        <x:v>0</x:v>
      </x:c>
    </x:row>
    <x:row r="471">
      <x:c r="A471" s="142" t="n">
        <x:v>417</x:v>
      </x:c>
      <x:c r="B471" s="179" t="n">
        <x:f>EDATE($B$5,A471-1)</x:f>
        <x:v>59203</x:v>
      </x:c>
      <x:c r="C471" s="141" t="n">
        <x:f>$B$6</x:f>
        <x:v>7000</x:v>
      </x:c>
      <x:c r="D471" s="180" t="n">
        <x:f>(1+$B$28)^INT((A471-1)/12)</x:f>
        <x:v>7.2510252757663665</x:v>
      </x:c>
      <x:c r="E471" s="141" t="n">
        <x:f>IF(A471&lt;=$B$27,$B$45*D471,0)</x:f>
        <x:v>0</x:v>
      </x:c>
      <x:c r="F471" s="141" t="n">
        <x:f>IF(A471=$B$29,$B$44,0)</x:f>
        <x:v>0</x:v>
      </x:c>
      <x:c r="G471" s="141" t="n">
        <x:f>E471+F471</x:f>
        <x:v>0</x:v>
      </x:c>
      <x:c r="H471" s="141" t="n">
        <x:f>IF(A471=$B$29,$B$42,0)</x:f>
        <x:v>0</x:v>
      </x:c>
      <x:c r="I471" s="141" t="n">
        <x:f>IF(A471=$B$29,$B$43,0)</x:f>
        <x:v>0</x:v>
      </x:c>
      <x:c r="J471" s="140" t="str">
        <x:f>IF(A471&lt;$B$29,"Aguardando",IF(A471=$B$29,"Contemplado","Pos-contemplacao"))</x:f>
        <x:v>Pos-contemplacao</x:v>
      </x:c>
      <x:c r="K471" s="141" t="n">
        <x:f>IF(A471&gt;=$B$27,0,(K472+E472)/(1+$B$9))</x:f>
        <x:v>0</x:v>
      </x:c>
      <x:c r="L471" s="141" t="n">
        <x:f>IF(A471&lt;$B$29,$B$43/(1+$B$9)^($B$29-A471),0)</x:f>
        <x:v>0</x:v>
      </x:c>
      <x:c r="M471" s="141" t="n">
        <x:f>L471-K471</x:f>
        <x:v>0</x:v>
      </x:c>
    </x:row>
    <x:row r="472">
      <x:c r="A472" s="142" t="n">
        <x:v>418</x:v>
      </x:c>
      <x:c r="B472" s="179" t="n">
        <x:f>EDATE($B$5,A472-1)</x:f>
        <x:v>59231</x:v>
      </x:c>
      <x:c r="C472" s="141" t="n">
        <x:f>$B$6</x:f>
        <x:v>7000</x:v>
      </x:c>
      <x:c r="D472" s="180" t="n">
        <x:f>(1+$B$28)^INT((A472-1)/12)</x:f>
        <x:v>7.2510252757663665</x:v>
      </x:c>
      <x:c r="E472" s="141" t="n">
        <x:f>IF(A472&lt;=$B$27,$B$45*D472,0)</x:f>
        <x:v>0</x:v>
      </x:c>
      <x:c r="F472" s="141" t="n">
        <x:f>IF(A472=$B$29,$B$44,0)</x:f>
        <x:v>0</x:v>
      </x:c>
      <x:c r="G472" s="141" t="n">
        <x:f>E472+F472</x:f>
        <x:v>0</x:v>
      </x:c>
      <x:c r="H472" s="141" t="n">
        <x:f>IF(A472=$B$29,$B$42,0)</x:f>
        <x:v>0</x:v>
      </x:c>
      <x:c r="I472" s="141" t="n">
        <x:f>IF(A472=$B$29,$B$43,0)</x:f>
        <x:v>0</x:v>
      </x:c>
      <x:c r="J472" s="140" t="str">
        <x:f>IF(A472&lt;$B$29,"Aguardando",IF(A472=$B$29,"Contemplado","Pos-contemplacao"))</x:f>
        <x:v>Pos-contemplacao</x:v>
      </x:c>
      <x:c r="K472" s="141" t="n">
        <x:f>IF(A472&gt;=$B$27,0,(K473+E473)/(1+$B$9))</x:f>
        <x:v>0</x:v>
      </x:c>
      <x:c r="L472" s="141" t="n">
        <x:f>IF(A472&lt;$B$29,$B$43/(1+$B$9)^($B$29-A472),0)</x:f>
        <x:v>0</x:v>
      </x:c>
      <x:c r="M472" s="141" t="n">
        <x:f>L472-K472</x:f>
        <x:v>0</x:v>
      </x:c>
    </x:row>
    <x:row r="473">
      <x:c r="A473" s="142" t="n">
        <x:v>419</x:v>
      </x:c>
      <x:c r="B473" s="179" t="n">
        <x:f>EDATE($B$5,A473-1)</x:f>
        <x:v>59262</x:v>
      </x:c>
      <x:c r="C473" s="141" t="n">
        <x:f>$B$6</x:f>
        <x:v>7000</x:v>
      </x:c>
      <x:c r="D473" s="180" t="n">
        <x:f>(1+$B$28)^INT((A473-1)/12)</x:f>
        <x:v>7.2510252757663665</x:v>
      </x:c>
      <x:c r="E473" s="141" t="n">
        <x:f>IF(A473&lt;=$B$27,$B$45*D473,0)</x:f>
        <x:v>0</x:v>
      </x:c>
      <x:c r="F473" s="141" t="n">
        <x:f>IF(A473=$B$29,$B$44,0)</x:f>
        <x:v>0</x:v>
      </x:c>
      <x:c r="G473" s="141" t="n">
        <x:f>E473+F473</x:f>
        <x:v>0</x:v>
      </x:c>
      <x:c r="H473" s="141" t="n">
        <x:f>IF(A473=$B$29,$B$42,0)</x:f>
        <x:v>0</x:v>
      </x:c>
      <x:c r="I473" s="141" t="n">
        <x:f>IF(A473=$B$29,$B$43,0)</x:f>
        <x:v>0</x:v>
      </x:c>
      <x:c r="J473" s="140" t="str">
        <x:f>IF(A473&lt;$B$29,"Aguardando",IF(A473=$B$29,"Contemplado","Pos-contemplacao"))</x:f>
        <x:v>Pos-contemplacao</x:v>
      </x:c>
      <x:c r="K473" s="141" t="n">
        <x:f>IF(A473&gt;=$B$27,0,(K474+E474)/(1+$B$9))</x:f>
        <x:v>0</x:v>
      </x:c>
      <x:c r="L473" s="141" t="n">
        <x:f>IF(A473&lt;$B$29,$B$43/(1+$B$9)^($B$29-A473),0)</x:f>
        <x:v>0</x:v>
      </x:c>
      <x:c r="M473" s="141" t="n">
        <x:f>L473-K473</x:f>
        <x:v>0</x:v>
      </x:c>
    </x:row>
    <x:row r="474">
      <x:c r="A474" s="142" t="n">
        <x:v>420</x:v>
      </x:c>
      <x:c r="B474" s="179" t="n">
        <x:f>EDATE($B$5,A474-1)</x:f>
        <x:v>59292</x:v>
      </x:c>
      <x:c r="C474" s="141" t="n">
        <x:f>$B$6</x:f>
        <x:v>7000</x:v>
      </x:c>
      <x:c r="D474" s="180" t="n">
        <x:f>(1+$B$28)^INT((A474-1)/12)</x:f>
        <x:v>7.2510252757663665</x:v>
      </x:c>
      <x:c r="E474" s="141" t="n">
        <x:f>IF(A474&lt;=$B$27,$B$45*D474,0)</x:f>
        <x:v>0</x:v>
      </x:c>
      <x:c r="F474" s="141" t="n">
        <x:f>IF(A474=$B$29,$B$44,0)</x:f>
        <x:v>0</x:v>
      </x:c>
      <x:c r="G474" s="141" t="n">
        <x:f>E474+F474</x:f>
        <x:v>0</x:v>
      </x:c>
      <x:c r="H474" s="141" t="n">
        <x:f>IF(A474=$B$29,$B$42,0)</x:f>
        <x:v>0</x:v>
      </x:c>
      <x:c r="I474" s="141" t="n">
        <x:f>IF(A474=$B$29,$B$43,0)</x:f>
        <x:v>0</x:v>
      </x:c>
      <x:c r="J474" s="140" t="str">
        <x:f>IF(A474&lt;$B$29,"Aguardando",IF(A474=$B$29,"Contemplado","Pos-contemplacao"))</x:f>
        <x:v>Pos-contemplacao</x:v>
      </x:c>
      <x:c r="K474" s="141" t="n">
        <x:f>IF(A474&gt;=$B$27,0,(K475+E475)/(1+$B$9))</x:f>
        <x:v>0</x:v>
      </x:c>
      <x:c r="L474" s="141" t="n">
        <x:f>IF(A474&lt;$B$29,$B$43/(1+$B$9)^($B$29-A474),0)</x:f>
        <x:v>0</x:v>
      </x:c>
      <x:c r="M474" s="141" t="n">
        <x:f>L474-K474</x:f>
        <x:v>0</x:v>
      </x:c>
    </x:row>
    <x:row r="475">
      <x:c r="A475" s="142" t="n">
        <x:v>421</x:v>
      </x:c>
      <x:c r="B475" s="179" t="n">
        <x:f>EDATE($B$5,A475-1)</x:f>
        <x:v>59323</x:v>
      </x:c>
      <x:c r="C475" s="141" t="n">
        <x:f>$B$6</x:f>
        <x:v>7000</x:v>
      </x:c>
      <x:c r="D475" s="180" t="n">
        <x:f>(1+$B$28)^INT((A475-1)/12)</x:f>
        <x:v>7.6860867923123495</x:v>
      </x:c>
      <x:c r="E475" s="141" t="n">
        <x:f>IF(A475&lt;=$B$27,$B$45*D475,0)</x:f>
        <x:v>0</x:v>
      </x:c>
      <x:c r="F475" s="141" t="n">
        <x:f>IF(A475=$B$29,$B$44,0)</x:f>
        <x:v>0</x:v>
      </x:c>
      <x:c r="G475" s="141" t="n">
        <x:f>E475+F475</x:f>
        <x:v>0</x:v>
      </x:c>
      <x:c r="H475" s="141" t="n">
        <x:f>IF(A475=$B$29,$B$42,0)</x:f>
        <x:v>0</x:v>
      </x:c>
      <x:c r="I475" s="141" t="n">
        <x:f>IF(A475=$B$29,$B$43,0)</x:f>
        <x:v>0</x:v>
      </x:c>
      <x:c r="J475" s="140" t="str">
        <x:f>IF(A475&lt;$B$29,"Aguardando",IF(A475=$B$29,"Contemplado","Pos-contemplacao"))</x:f>
        <x:v>Pos-contemplacao</x:v>
      </x:c>
      <x:c r="K475" s="141" t="n">
        <x:f>IF(A475&gt;=$B$27,0,(K476+E476)/(1+$B$9))</x:f>
        <x:v>0</x:v>
      </x:c>
      <x:c r="L475" s="141" t="n">
        <x:f>IF(A475&lt;$B$29,$B$43/(1+$B$9)^($B$29-A475),0)</x:f>
        <x:v>0</x:v>
      </x:c>
      <x:c r="M475" s="141" t="n">
        <x:f>L475-K475</x:f>
        <x:v>0</x:v>
      </x:c>
    </x:row>
    <x:row r="476">
      <x:c r="A476" s="142" t="n">
        <x:v>422</x:v>
      </x:c>
      <x:c r="B476" s="179" t="n">
        <x:f>EDATE($B$5,A476-1)</x:f>
        <x:v>59353</x:v>
      </x:c>
      <x:c r="C476" s="141" t="n">
        <x:f>$B$6</x:f>
        <x:v>7000</x:v>
      </x:c>
      <x:c r="D476" s="180" t="n">
        <x:f>(1+$B$28)^INT((A476-1)/12)</x:f>
        <x:v>7.6860867923123495</x:v>
      </x:c>
      <x:c r="E476" s="141" t="n">
        <x:f>IF(A476&lt;=$B$27,$B$45*D476,0)</x:f>
        <x:v>0</x:v>
      </x:c>
      <x:c r="F476" s="141" t="n">
        <x:f>IF(A476=$B$29,$B$44,0)</x:f>
        <x:v>0</x:v>
      </x:c>
      <x:c r="G476" s="141" t="n">
        <x:f>E476+F476</x:f>
        <x:v>0</x:v>
      </x:c>
      <x:c r="H476" s="141" t="n">
        <x:f>IF(A476=$B$29,$B$42,0)</x:f>
        <x:v>0</x:v>
      </x:c>
      <x:c r="I476" s="141" t="n">
        <x:f>IF(A476=$B$29,$B$43,0)</x:f>
        <x:v>0</x:v>
      </x:c>
      <x:c r="J476" s="140" t="str">
        <x:f>IF(A476&lt;$B$29,"Aguardando",IF(A476=$B$29,"Contemplado","Pos-contemplacao"))</x:f>
        <x:v>Pos-contemplacao</x:v>
      </x:c>
      <x:c r="K476" s="141" t="n">
        <x:f>IF(A476&gt;=$B$27,0,(K477+E477)/(1+$B$9))</x:f>
        <x:v>0</x:v>
      </x:c>
      <x:c r="L476" s="141" t="n">
        <x:f>IF(A476&lt;$B$29,$B$43/(1+$B$9)^($B$29-A476),0)</x:f>
        <x:v>0</x:v>
      </x:c>
      <x:c r="M476" s="141" t="n">
        <x:f>L476-K476</x:f>
        <x:v>0</x:v>
      </x:c>
    </x:row>
    <x:row r="477">
      <x:c r="A477" s="142" t="n">
        <x:v>423</x:v>
      </x:c>
      <x:c r="B477" s="179" t="n">
        <x:f>EDATE($B$5,A477-1)</x:f>
        <x:v>59384</x:v>
      </x:c>
      <x:c r="C477" s="141" t="n">
        <x:f>$B$6</x:f>
        <x:v>7000</x:v>
      </x:c>
      <x:c r="D477" s="180" t="n">
        <x:f>(1+$B$28)^INT((A477-1)/12)</x:f>
        <x:v>7.6860867923123495</x:v>
      </x:c>
      <x:c r="E477" s="141" t="n">
        <x:f>IF(A477&lt;=$B$27,$B$45*D477,0)</x:f>
        <x:v>0</x:v>
      </x:c>
      <x:c r="F477" s="141" t="n">
        <x:f>IF(A477=$B$29,$B$44,0)</x:f>
        <x:v>0</x:v>
      </x:c>
      <x:c r="G477" s="141" t="n">
        <x:f>E477+F477</x:f>
        <x:v>0</x:v>
      </x:c>
      <x:c r="H477" s="141" t="n">
        <x:f>IF(A477=$B$29,$B$42,0)</x:f>
        <x:v>0</x:v>
      </x:c>
      <x:c r="I477" s="141" t="n">
        <x:f>IF(A477=$B$29,$B$43,0)</x:f>
        <x:v>0</x:v>
      </x:c>
      <x:c r="J477" s="140" t="str">
        <x:f>IF(A477&lt;$B$29,"Aguardando",IF(A477=$B$29,"Contemplado","Pos-contemplacao"))</x:f>
        <x:v>Pos-contemplacao</x:v>
      </x:c>
      <x:c r="K477" s="141" t="n">
        <x:f>IF(A477&gt;=$B$27,0,(K478+E478)/(1+$B$9))</x:f>
        <x:v>0</x:v>
      </x:c>
      <x:c r="L477" s="141" t="n">
        <x:f>IF(A477&lt;$B$29,$B$43/(1+$B$9)^($B$29-A477),0)</x:f>
        <x:v>0</x:v>
      </x:c>
      <x:c r="M477" s="141" t="n">
        <x:f>L477-K477</x:f>
        <x:v>0</x:v>
      </x:c>
    </x:row>
    <x:row r="478">
      <x:c r="A478" s="142" t="n">
        <x:v>424</x:v>
      </x:c>
      <x:c r="B478" s="179" t="n">
        <x:f>EDATE($B$5,A478-1)</x:f>
        <x:v>59415</x:v>
      </x:c>
      <x:c r="C478" s="141" t="n">
        <x:f>$B$6</x:f>
        <x:v>7000</x:v>
      </x:c>
      <x:c r="D478" s="180" t="n">
        <x:f>(1+$B$28)^INT((A478-1)/12)</x:f>
        <x:v>7.6860867923123495</x:v>
      </x:c>
      <x:c r="E478" s="141" t="n">
        <x:f>IF(A478&lt;=$B$27,$B$45*D478,0)</x:f>
        <x:v>0</x:v>
      </x:c>
      <x:c r="F478" s="141" t="n">
        <x:f>IF(A478=$B$29,$B$44,0)</x:f>
        <x:v>0</x:v>
      </x:c>
      <x:c r="G478" s="141" t="n">
        <x:f>E478+F478</x:f>
        <x:v>0</x:v>
      </x:c>
      <x:c r="H478" s="141" t="n">
        <x:f>IF(A478=$B$29,$B$42,0)</x:f>
        <x:v>0</x:v>
      </x:c>
      <x:c r="I478" s="141" t="n">
        <x:f>IF(A478=$B$29,$B$43,0)</x:f>
        <x:v>0</x:v>
      </x:c>
      <x:c r="J478" s="140" t="str">
        <x:f>IF(A478&lt;$B$29,"Aguardando",IF(A478=$B$29,"Contemplado","Pos-contemplacao"))</x:f>
        <x:v>Pos-contemplacao</x:v>
      </x:c>
      <x:c r="K478" s="141" t="n">
        <x:f>IF(A478&gt;=$B$27,0,(K479+E479)/(1+$B$9))</x:f>
        <x:v>0</x:v>
      </x:c>
      <x:c r="L478" s="141" t="n">
        <x:f>IF(A478&lt;$B$29,$B$43/(1+$B$9)^($B$29-A478),0)</x:f>
        <x:v>0</x:v>
      </x:c>
      <x:c r="M478" s="141" t="n">
        <x:f>L478-K478</x:f>
        <x:v>0</x:v>
      </x:c>
    </x:row>
    <x:row r="479">
      <x:c r="A479" s="142" t="n">
        <x:v>425</x:v>
      </x:c>
      <x:c r="B479" s="179" t="n">
        <x:f>EDATE($B$5,A479-1)</x:f>
        <x:v>59445</x:v>
      </x:c>
      <x:c r="C479" s="141" t="n">
        <x:f>$B$6</x:f>
        <x:v>7000</x:v>
      </x:c>
      <x:c r="D479" s="180" t="n">
        <x:f>(1+$B$28)^INT((A479-1)/12)</x:f>
        <x:v>7.6860867923123495</x:v>
      </x:c>
      <x:c r="E479" s="141" t="n">
        <x:f>IF(A479&lt;=$B$27,$B$45*D479,0)</x:f>
        <x:v>0</x:v>
      </x:c>
      <x:c r="F479" s="141" t="n">
        <x:f>IF(A479=$B$29,$B$44,0)</x:f>
        <x:v>0</x:v>
      </x:c>
      <x:c r="G479" s="141" t="n">
        <x:f>E479+F479</x:f>
        <x:v>0</x:v>
      </x:c>
      <x:c r="H479" s="141" t="n">
        <x:f>IF(A479=$B$29,$B$42,0)</x:f>
        <x:v>0</x:v>
      </x:c>
      <x:c r="I479" s="141" t="n">
        <x:f>IF(A479=$B$29,$B$43,0)</x:f>
        <x:v>0</x:v>
      </x:c>
      <x:c r="J479" s="140" t="str">
        <x:f>IF(A479&lt;$B$29,"Aguardando",IF(A479=$B$29,"Contemplado","Pos-contemplacao"))</x:f>
        <x:v>Pos-contemplacao</x:v>
      </x:c>
      <x:c r="K479" s="141" t="n">
        <x:f>IF(A479&gt;=$B$27,0,(K480+E480)/(1+$B$9))</x:f>
        <x:v>0</x:v>
      </x:c>
      <x:c r="L479" s="141" t="n">
        <x:f>IF(A479&lt;$B$29,$B$43/(1+$B$9)^($B$29-A479),0)</x:f>
        <x:v>0</x:v>
      </x:c>
      <x:c r="M479" s="141" t="n">
        <x:f>L479-K479</x:f>
        <x:v>0</x:v>
      </x:c>
    </x:row>
    <x:row r="480">
      <x:c r="A480" s="142" t="n">
        <x:v>426</x:v>
      </x:c>
      <x:c r="B480" s="179" t="n">
        <x:f>EDATE($B$5,A480-1)</x:f>
        <x:v>59476</x:v>
      </x:c>
      <x:c r="C480" s="141" t="n">
        <x:f>$B$6</x:f>
        <x:v>7000</x:v>
      </x:c>
      <x:c r="D480" s="180" t="n">
        <x:f>(1+$B$28)^INT((A480-1)/12)</x:f>
        <x:v>7.6860867923123495</x:v>
      </x:c>
      <x:c r="E480" s="141" t="n">
        <x:f>IF(A480&lt;=$B$27,$B$45*D480,0)</x:f>
        <x:v>0</x:v>
      </x:c>
      <x:c r="F480" s="141" t="n">
        <x:f>IF(A480=$B$29,$B$44,0)</x:f>
        <x:v>0</x:v>
      </x:c>
      <x:c r="G480" s="141" t="n">
        <x:f>E480+F480</x:f>
        <x:v>0</x:v>
      </x:c>
      <x:c r="H480" s="141" t="n">
        <x:f>IF(A480=$B$29,$B$42,0)</x:f>
        <x:v>0</x:v>
      </x:c>
      <x:c r="I480" s="141" t="n">
        <x:f>IF(A480=$B$29,$B$43,0)</x:f>
        <x:v>0</x:v>
      </x:c>
      <x:c r="J480" s="140" t="str">
        <x:f>IF(A480&lt;$B$29,"Aguardando",IF(A480=$B$29,"Contemplado","Pos-contemplacao"))</x:f>
        <x:v>Pos-contemplacao</x:v>
      </x:c>
      <x:c r="K480" s="141" t="n">
        <x:f>IF(A480&gt;=$B$27,0,(K481+E481)/(1+$B$9))</x:f>
        <x:v>0</x:v>
      </x:c>
      <x:c r="L480" s="141" t="n">
        <x:f>IF(A480&lt;$B$29,$B$43/(1+$B$9)^($B$29-A480),0)</x:f>
        <x:v>0</x:v>
      </x:c>
      <x:c r="M480" s="141" t="n">
        <x:f>L480-K480</x:f>
        <x:v>0</x:v>
      </x:c>
    </x:row>
    <x:row r="481">
      <x:c r="A481" s="142" t="n">
        <x:v>427</x:v>
      </x:c>
      <x:c r="B481" s="179" t="n">
        <x:f>EDATE($B$5,A481-1)</x:f>
        <x:v>59506</x:v>
      </x:c>
      <x:c r="C481" s="141" t="n">
        <x:f>$B$6</x:f>
        <x:v>7000</x:v>
      </x:c>
      <x:c r="D481" s="180" t="n">
        <x:f>(1+$B$28)^INT((A481-1)/12)</x:f>
        <x:v>7.6860867923123495</x:v>
      </x:c>
      <x:c r="E481" s="141" t="n">
        <x:f>IF(A481&lt;=$B$27,$B$45*D481,0)</x:f>
        <x:v>0</x:v>
      </x:c>
      <x:c r="F481" s="141" t="n">
        <x:f>IF(A481=$B$29,$B$44,0)</x:f>
        <x:v>0</x:v>
      </x:c>
      <x:c r="G481" s="141" t="n">
        <x:f>E481+F481</x:f>
        <x:v>0</x:v>
      </x:c>
      <x:c r="H481" s="141" t="n">
        <x:f>IF(A481=$B$29,$B$42,0)</x:f>
        <x:v>0</x:v>
      </x:c>
      <x:c r="I481" s="141" t="n">
        <x:f>IF(A481=$B$29,$B$43,0)</x:f>
        <x:v>0</x:v>
      </x:c>
      <x:c r="J481" s="140" t="str">
        <x:f>IF(A481&lt;$B$29,"Aguardando",IF(A481=$B$29,"Contemplado","Pos-contemplacao"))</x:f>
        <x:v>Pos-contemplacao</x:v>
      </x:c>
      <x:c r="K481" s="141" t="n">
        <x:f>IF(A481&gt;=$B$27,0,(K482+E482)/(1+$B$9))</x:f>
        <x:v>0</x:v>
      </x:c>
      <x:c r="L481" s="141" t="n">
        <x:f>IF(A481&lt;$B$29,$B$43/(1+$B$9)^($B$29-A481),0)</x:f>
        <x:v>0</x:v>
      </x:c>
      <x:c r="M481" s="141" t="n">
        <x:f>L481-K481</x:f>
        <x:v>0</x:v>
      </x:c>
    </x:row>
    <x:row r="482">
      <x:c r="A482" s="142" t="n">
        <x:v>428</x:v>
      </x:c>
      <x:c r="B482" s="179" t="n">
        <x:f>EDATE($B$5,A482-1)</x:f>
        <x:v>59537</x:v>
      </x:c>
      <x:c r="C482" s="141" t="n">
        <x:f>$B$6</x:f>
        <x:v>7000</x:v>
      </x:c>
      <x:c r="D482" s="180" t="n">
        <x:f>(1+$B$28)^INT((A482-1)/12)</x:f>
        <x:v>7.6860867923123495</x:v>
      </x:c>
      <x:c r="E482" s="141" t="n">
        <x:f>IF(A482&lt;=$B$27,$B$45*D482,0)</x:f>
        <x:v>0</x:v>
      </x:c>
      <x:c r="F482" s="141" t="n">
        <x:f>IF(A482=$B$29,$B$44,0)</x:f>
        <x:v>0</x:v>
      </x:c>
      <x:c r="G482" s="141" t="n">
        <x:f>E482+F482</x:f>
        <x:v>0</x:v>
      </x:c>
      <x:c r="H482" s="141" t="n">
        <x:f>IF(A482=$B$29,$B$42,0)</x:f>
        <x:v>0</x:v>
      </x:c>
      <x:c r="I482" s="141" t="n">
        <x:f>IF(A482=$B$29,$B$43,0)</x:f>
        <x:v>0</x:v>
      </x:c>
      <x:c r="J482" s="140" t="str">
        <x:f>IF(A482&lt;$B$29,"Aguardando",IF(A482=$B$29,"Contemplado","Pos-contemplacao"))</x:f>
        <x:v>Pos-contemplacao</x:v>
      </x:c>
      <x:c r="K482" s="141" t="n">
        <x:f>IF(A482&gt;=$B$27,0,(K483+E483)/(1+$B$9))</x:f>
        <x:v>0</x:v>
      </x:c>
      <x:c r="L482" s="141" t="n">
        <x:f>IF(A482&lt;$B$29,$B$43/(1+$B$9)^($B$29-A482),0)</x:f>
        <x:v>0</x:v>
      </x:c>
      <x:c r="M482" s="141" t="n">
        <x:f>L482-K482</x:f>
        <x:v>0</x:v>
      </x:c>
    </x:row>
    <x:row r="483">
      <x:c r="A483" s="142" t="n">
        <x:v>429</x:v>
      </x:c>
      <x:c r="B483" s="179" t="n">
        <x:f>EDATE($B$5,A483-1)</x:f>
        <x:v>59568</x:v>
      </x:c>
      <x:c r="C483" s="141" t="n">
        <x:f>$B$6</x:f>
        <x:v>7000</x:v>
      </x:c>
      <x:c r="D483" s="180" t="n">
        <x:f>(1+$B$28)^INT((A483-1)/12)</x:f>
        <x:v>7.6860867923123495</x:v>
      </x:c>
      <x:c r="E483" s="141" t="n">
        <x:f>IF(A483&lt;=$B$27,$B$45*D483,0)</x:f>
        <x:v>0</x:v>
      </x:c>
      <x:c r="F483" s="141" t="n">
        <x:f>IF(A483=$B$29,$B$44,0)</x:f>
        <x:v>0</x:v>
      </x:c>
      <x:c r="G483" s="141" t="n">
        <x:f>E483+F483</x:f>
        <x:v>0</x:v>
      </x:c>
      <x:c r="H483" s="141" t="n">
        <x:f>IF(A483=$B$29,$B$42,0)</x:f>
        <x:v>0</x:v>
      </x:c>
      <x:c r="I483" s="141" t="n">
        <x:f>IF(A483=$B$29,$B$43,0)</x:f>
        <x:v>0</x:v>
      </x:c>
      <x:c r="J483" s="140" t="str">
        <x:f>IF(A483&lt;$B$29,"Aguardando",IF(A483=$B$29,"Contemplado","Pos-contemplacao"))</x:f>
        <x:v>Pos-contemplacao</x:v>
      </x:c>
      <x:c r="K483" s="141" t="n">
        <x:f>IF(A483&gt;=$B$27,0,(K484+E484)/(1+$B$9))</x:f>
        <x:v>0</x:v>
      </x:c>
      <x:c r="L483" s="141" t="n">
        <x:f>IF(A483&lt;$B$29,$B$43/(1+$B$9)^($B$29-A483),0)</x:f>
        <x:v>0</x:v>
      </x:c>
      <x:c r="M483" s="141" t="n">
        <x:f>L483-K483</x:f>
        <x:v>0</x:v>
      </x:c>
    </x:row>
    <x:row r="484">
      <x:c r="A484" s="142" t="n">
        <x:v>430</x:v>
      </x:c>
      <x:c r="B484" s="179" t="n">
        <x:f>EDATE($B$5,A484-1)</x:f>
        <x:v>59596</x:v>
      </x:c>
      <x:c r="C484" s="141" t="n">
        <x:f>$B$6</x:f>
        <x:v>7000</x:v>
      </x:c>
      <x:c r="D484" s="180" t="n">
        <x:f>(1+$B$28)^INT((A484-1)/12)</x:f>
        <x:v>7.6860867923123495</x:v>
      </x:c>
      <x:c r="E484" s="141" t="n">
        <x:f>IF(A484&lt;=$B$27,$B$45*D484,0)</x:f>
        <x:v>0</x:v>
      </x:c>
      <x:c r="F484" s="141" t="n">
        <x:f>IF(A484=$B$29,$B$44,0)</x:f>
        <x:v>0</x:v>
      </x:c>
      <x:c r="G484" s="141" t="n">
        <x:f>E484+F484</x:f>
        <x:v>0</x:v>
      </x:c>
      <x:c r="H484" s="141" t="n">
        <x:f>IF(A484=$B$29,$B$42,0)</x:f>
        <x:v>0</x:v>
      </x:c>
      <x:c r="I484" s="141" t="n">
        <x:f>IF(A484=$B$29,$B$43,0)</x:f>
        <x:v>0</x:v>
      </x:c>
      <x:c r="J484" s="140" t="str">
        <x:f>IF(A484&lt;$B$29,"Aguardando",IF(A484=$B$29,"Contemplado","Pos-contemplacao"))</x:f>
        <x:v>Pos-contemplacao</x:v>
      </x:c>
      <x:c r="K484" s="141" t="n">
        <x:f>IF(A484&gt;=$B$27,0,(K485+E485)/(1+$B$9))</x:f>
        <x:v>0</x:v>
      </x:c>
      <x:c r="L484" s="141" t="n">
        <x:f>IF(A484&lt;$B$29,$B$43/(1+$B$9)^($B$29-A484),0)</x:f>
        <x:v>0</x:v>
      </x:c>
      <x:c r="M484" s="141" t="n">
        <x:f>L484-K484</x:f>
        <x:v>0</x:v>
      </x:c>
    </x:row>
    <x:row r="485">
      <x:c r="A485" s="142" t="n">
        <x:v>431</x:v>
      </x:c>
      <x:c r="B485" s="179" t="n">
        <x:f>EDATE($B$5,A485-1)</x:f>
        <x:v>59627</x:v>
      </x:c>
      <x:c r="C485" s="141" t="n">
        <x:f>$B$6</x:f>
        <x:v>7000</x:v>
      </x:c>
      <x:c r="D485" s="180" t="n">
        <x:f>(1+$B$28)^INT((A485-1)/12)</x:f>
        <x:v>7.6860867923123495</x:v>
      </x:c>
      <x:c r="E485" s="141" t="n">
        <x:f>IF(A485&lt;=$B$27,$B$45*D485,0)</x:f>
        <x:v>0</x:v>
      </x:c>
      <x:c r="F485" s="141" t="n">
        <x:f>IF(A485=$B$29,$B$44,0)</x:f>
        <x:v>0</x:v>
      </x:c>
      <x:c r="G485" s="141" t="n">
        <x:f>E485+F485</x:f>
        <x:v>0</x:v>
      </x:c>
      <x:c r="H485" s="141" t="n">
        <x:f>IF(A485=$B$29,$B$42,0)</x:f>
        <x:v>0</x:v>
      </x:c>
      <x:c r="I485" s="141" t="n">
        <x:f>IF(A485=$B$29,$B$43,0)</x:f>
        <x:v>0</x:v>
      </x:c>
      <x:c r="J485" s="140" t="str">
        <x:f>IF(A485&lt;$B$29,"Aguardando",IF(A485=$B$29,"Contemplado","Pos-contemplacao"))</x:f>
        <x:v>Pos-contemplacao</x:v>
      </x:c>
      <x:c r="K485" s="141" t="n">
        <x:f>IF(A485&gt;=$B$27,0,(K486+E486)/(1+$B$9))</x:f>
        <x:v>0</x:v>
      </x:c>
      <x:c r="L485" s="141" t="n">
        <x:f>IF(A485&lt;$B$29,$B$43/(1+$B$9)^($B$29-A485),0)</x:f>
        <x:v>0</x:v>
      </x:c>
      <x:c r="M485" s="141" t="n">
        <x:f>L485-K485</x:f>
        <x:v>0</x:v>
      </x:c>
    </x:row>
    <x:row r="486">
      <x:c r="A486" s="142" t="n">
        <x:v>432</x:v>
      </x:c>
      <x:c r="B486" s="179" t="n">
        <x:f>EDATE($B$5,A486-1)</x:f>
        <x:v>59657</x:v>
      </x:c>
      <x:c r="C486" s="141" t="n">
        <x:f>$B$6</x:f>
        <x:v>7000</x:v>
      </x:c>
      <x:c r="D486" s="180" t="n">
        <x:f>(1+$B$28)^INT((A486-1)/12)</x:f>
        <x:v>7.6860867923123495</x:v>
      </x:c>
      <x:c r="E486" s="141" t="n">
        <x:f>IF(A486&lt;=$B$27,$B$45*D486,0)</x:f>
        <x:v>0</x:v>
      </x:c>
      <x:c r="F486" s="141" t="n">
        <x:f>IF(A486=$B$29,$B$44,0)</x:f>
        <x:v>0</x:v>
      </x:c>
      <x:c r="G486" s="141" t="n">
        <x:f>E486+F486</x:f>
        <x:v>0</x:v>
      </x:c>
      <x:c r="H486" s="141" t="n">
        <x:f>IF(A486=$B$29,$B$42,0)</x:f>
        <x:v>0</x:v>
      </x:c>
      <x:c r="I486" s="141" t="n">
        <x:f>IF(A486=$B$29,$B$43,0)</x:f>
        <x:v>0</x:v>
      </x:c>
      <x:c r="J486" s="140" t="str">
        <x:f>IF(A486&lt;$B$29,"Aguardando",IF(A486=$B$29,"Contemplado","Pos-contemplacao"))</x:f>
        <x:v>Pos-contemplacao</x:v>
      </x:c>
      <x:c r="K486" s="141" t="n">
        <x:f>IF(A486&gt;=$B$27,0,(K487+E487)/(1+$B$9))</x:f>
        <x:v>0</x:v>
      </x:c>
      <x:c r="L486" s="141" t="n">
        <x:f>IF(A486&lt;$B$29,$B$43/(1+$B$9)^($B$29-A486),0)</x:f>
        <x:v>0</x:v>
      </x:c>
      <x:c r="M486" s="141" t="n">
        <x:f>L486-K486</x:f>
        <x:v>0</x:v>
      </x:c>
    </x:row>
    <x:row r="487">
      <x:c r="A487" s="142" t="n">
        <x:v>433</x:v>
      </x:c>
      <x:c r="B487" s="179" t="n">
        <x:f>EDATE($B$5,A487-1)</x:f>
        <x:v>59688</x:v>
      </x:c>
      <x:c r="C487" s="141" t="n">
        <x:f>$B$6</x:f>
        <x:v>7000</x:v>
      </x:c>
      <x:c r="D487" s="180" t="n">
        <x:f>(1+$B$28)^INT((A487-1)/12)</x:f>
        <x:v>8.14725199985109</x:v>
      </x:c>
      <x:c r="E487" s="141" t="n">
        <x:f>IF(A487&lt;=$B$27,$B$45*D487,0)</x:f>
        <x:v>0</x:v>
      </x:c>
      <x:c r="F487" s="141" t="n">
        <x:f>IF(A487=$B$29,$B$44,0)</x:f>
        <x:v>0</x:v>
      </x:c>
      <x:c r="G487" s="141" t="n">
        <x:f>E487+F487</x:f>
        <x:v>0</x:v>
      </x:c>
      <x:c r="H487" s="141" t="n">
        <x:f>IF(A487=$B$29,$B$42,0)</x:f>
        <x:v>0</x:v>
      </x:c>
      <x:c r="I487" s="141" t="n">
        <x:f>IF(A487=$B$29,$B$43,0)</x:f>
        <x:v>0</x:v>
      </x:c>
      <x:c r="J487" s="140" t="str">
        <x:f>IF(A487&lt;$B$29,"Aguardando",IF(A487=$B$29,"Contemplado","Pos-contemplacao"))</x:f>
        <x:v>Pos-contemplacao</x:v>
      </x:c>
      <x:c r="K487" s="141" t="n">
        <x:f>IF(A487&gt;=$B$27,0,(K488+E488)/(1+$B$9))</x:f>
        <x:v>0</x:v>
      </x:c>
      <x:c r="L487" s="141" t="n">
        <x:f>IF(A487&lt;$B$29,$B$43/(1+$B$9)^($B$29-A487),0)</x:f>
        <x:v>0</x:v>
      </x:c>
      <x:c r="M487" s="141" t="n">
        <x:f>L487-K487</x:f>
        <x:v>0</x:v>
      </x:c>
    </x:row>
    <x:row r="488">
      <x:c r="A488" s="142" t="n">
        <x:v>434</x:v>
      </x:c>
      <x:c r="B488" s="179" t="n">
        <x:f>EDATE($B$5,A488-1)</x:f>
        <x:v>59718</x:v>
      </x:c>
      <x:c r="C488" s="141" t="n">
        <x:f>$B$6</x:f>
        <x:v>7000</x:v>
      </x:c>
      <x:c r="D488" s="180" t="n">
        <x:f>(1+$B$28)^INT((A488-1)/12)</x:f>
        <x:v>8.14725199985109</x:v>
      </x:c>
      <x:c r="E488" s="141" t="n">
        <x:f>IF(A488&lt;=$B$27,$B$45*D488,0)</x:f>
        <x:v>0</x:v>
      </x:c>
      <x:c r="F488" s="141" t="n">
        <x:f>IF(A488=$B$29,$B$44,0)</x:f>
        <x:v>0</x:v>
      </x:c>
      <x:c r="G488" s="141" t="n">
        <x:f>E488+F488</x:f>
        <x:v>0</x:v>
      </x:c>
      <x:c r="H488" s="141" t="n">
        <x:f>IF(A488=$B$29,$B$42,0)</x:f>
        <x:v>0</x:v>
      </x:c>
      <x:c r="I488" s="141" t="n">
        <x:f>IF(A488=$B$29,$B$43,0)</x:f>
        <x:v>0</x:v>
      </x:c>
      <x:c r="J488" s="140" t="str">
        <x:f>IF(A488&lt;$B$29,"Aguardando",IF(A488=$B$29,"Contemplado","Pos-contemplacao"))</x:f>
        <x:v>Pos-contemplacao</x:v>
      </x:c>
      <x:c r="K488" s="141" t="n">
        <x:f>IF(A488&gt;=$B$27,0,(K489+E489)/(1+$B$9))</x:f>
        <x:v>0</x:v>
      </x:c>
      <x:c r="L488" s="141" t="n">
        <x:f>IF(A488&lt;$B$29,$B$43/(1+$B$9)^($B$29-A488),0)</x:f>
        <x:v>0</x:v>
      </x:c>
      <x:c r="M488" s="141" t="n">
        <x:f>L488-K488</x:f>
        <x:v>0</x:v>
      </x:c>
    </x:row>
    <x:row r="489">
      <x:c r="A489" s="142" t="n">
        <x:v>435</x:v>
      </x:c>
      <x:c r="B489" s="179" t="n">
        <x:f>EDATE($B$5,A489-1)</x:f>
        <x:v>59749</x:v>
      </x:c>
      <x:c r="C489" s="141" t="n">
        <x:f>$B$6</x:f>
        <x:v>7000</x:v>
      </x:c>
      <x:c r="D489" s="180" t="n">
        <x:f>(1+$B$28)^INT((A489-1)/12)</x:f>
        <x:v>8.14725199985109</x:v>
      </x:c>
      <x:c r="E489" s="141" t="n">
        <x:f>IF(A489&lt;=$B$27,$B$45*D489,0)</x:f>
        <x:v>0</x:v>
      </x:c>
      <x:c r="F489" s="141" t="n">
        <x:f>IF(A489=$B$29,$B$44,0)</x:f>
        <x:v>0</x:v>
      </x:c>
      <x:c r="G489" s="141" t="n">
        <x:f>E489+F489</x:f>
        <x:v>0</x:v>
      </x:c>
      <x:c r="H489" s="141" t="n">
        <x:f>IF(A489=$B$29,$B$42,0)</x:f>
        <x:v>0</x:v>
      </x:c>
      <x:c r="I489" s="141" t="n">
        <x:f>IF(A489=$B$29,$B$43,0)</x:f>
        <x:v>0</x:v>
      </x:c>
      <x:c r="J489" s="140" t="str">
        <x:f>IF(A489&lt;$B$29,"Aguardando",IF(A489=$B$29,"Contemplado","Pos-contemplacao"))</x:f>
        <x:v>Pos-contemplacao</x:v>
      </x:c>
      <x:c r="K489" s="141" t="n">
        <x:f>IF(A489&gt;=$B$27,0,(K490+E490)/(1+$B$9))</x:f>
        <x:v>0</x:v>
      </x:c>
      <x:c r="L489" s="141" t="n">
        <x:f>IF(A489&lt;$B$29,$B$43/(1+$B$9)^($B$29-A489),0)</x:f>
        <x:v>0</x:v>
      </x:c>
      <x:c r="M489" s="141" t="n">
        <x:f>L489-K489</x:f>
        <x:v>0</x:v>
      </x:c>
    </x:row>
    <x:row r="490">
      <x:c r="A490" s="142" t="n">
        <x:v>436</x:v>
      </x:c>
      <x:c r="B490" s="179" t="n">
        <x:f>EDATE($B$5,A490-1)</x:f>
        <x:v>59780</x:v>
      </x:c>
      <x:c r="C490" s="141" t="n">
        <x:f>$B$6</x:f>
        <x:v>7000</x:v>
      </x:c>
      <x:c r="D490" s="180" t="n">
        <x:f>(1+$B$28)^INT((A490-1)/12)</x:f>
        <x:v>8.14725199985109</x:v>
      </x:c>
      <x:c r="E490" s="141" t="n">
        <x:f>IF(A490&lt;=$B$27,$B$45*D490,0)</x:f>
        <x:v>0</x:v>
      </x:c>
      <x:c r="F490" s="141" t="n">
        <x:f>IF(A490=$B$29,$B$44,0)</x:f>
        <x:v>0</x:v>
      </x:c>
      <x:c r="G490" s="141" t="n">
        <x:f>E490+F490</x:f>
        <x:v>0</x:v>
      </x:c>
      <x:c r="H490" s="141" t="n">
        <x:f>IF(A490=$B$29,$B$42,0)</x:f>
        <x:v>0</x:v>
      </x:c>
      <x:c r="I490" s="141" t="n">
        <x:f>IF(A490=$B$29,$B$43,0)</x:f>
        <x:v>0</x:v>
      </x:c>
      <x:c r="J490" s="140" t="str">
        <x:f>IF(A490&lt;$B$29,"Aguardando",IF(A490=$B$29,"Contemplado","Pos-contemplacao"))</x:f>
        <x:v>Pos-contemplacao</x:v>
      </x:c>
      <x:c r="K490" s="141" t="n">
        <x:f>IF(A490&gt;=$B$27,0,(K491+E491)/(1+$B$9))</x:f>
        <x:v>0</x:v>
      </x:c>
      <x:c r="L490" s="141" t="n">
        <x:f>IF(A490&lt;$B$29,$B$43/(1+$B$9)^($B$29-A490),0)</x:f>
        <x:v>0</x:v>
      </x:c>
      <x:c r="M490" s="141" t="n">
        <x:f>L490-K490</x:f>
        <x:v>0</x:v>
      </x:c>
    </x:row>
    <x:row r="491">
      <x:c r="A491" s="142" t="n">
        <x:v>437</x:v>
      </x:c>
      <x:c r="B491" s="179" t="n">
        <x:f>EDATE($B$5,A491-1)</x:f>
        <x:v>59810</x:v>
      </x:c>
      <x:c r="C491" s="141" t="n">
        <x:f>$B$6</x:f>
        <x:v>7000</x:v>
      </x:c>
      <x:c r="D491" s="180" t="n">
        <x:f>(1+$B$28)^INT((A491-1)/12)</x:f>
        <x:v>8.14725199985109</x:v>
      </x:c>
      <x:c r="E491" s="141" t="n">
        <x:f>IF(A491&lt;=$B$27,$B$45*D491,0)</x:f>
        <x:v>0</x:v>
      </x:c>
      <x:c r="F491" s="141" t="n">
        <x:f>IF(A491=$B$29,$B$44,0)</x:f>
        <x:v>0</x:v>
      </x:c>
      <x:c r="G491" s="141" t="n">
        <x:f>E491+F491</x:f>
        <x:v>0</x:v>
      </x:c>
      <x:c r="H491" s="141" t="n">
        <x:f>IF(A491=$B$29,$B$42,0)</x:f>
        <x:v>0</x:v>
      </x:c>
      <x:c r="I491" s="141" t="n">
        <x:f>IF(A491=$B$29,$B$43,0)</x:f>
        <x:v>0</x:v>
      </x:c>
      <x:c r="J491" s="140" t="str">
        <x:f>IF(A491&lt;$B$29,"Aguardando",IF(A491=$B$29,"Contemplado","Pos-contemplacao"))</x:f>
        <x:v>Pos-contemplacao</x:v>
      </x:c>
      <x:c r="K491" s="141" t="n">
        <x:f>IF(A491&gt;=$B$27,0,(K492+E492)/(1+$B$9))</x:f>
        <x:v>0</x:v>
      </x:c>
      <x:c r="L491" s="141" t="n">
        <x:f>IF(A491&lt;$B$29,$B$43/(1+$B$9)^($B$29-A491),0)</x:f>
        <x:v>0</x:v>
      </x:c>
      <x:c r="M491" s="141" t="n">
        <x:f>L491-K491</x:f>
        <x:v>0</x:v>
      </x:c>
    </x:row>
    <x:row r="492">
      <x:c r="A492" s="142" t="n">
        <x:v>438</x:v>
      </x:c>
      <x:c r="B492" s="179" t="n">
        <x:f>EDATE($B$5,A492-1)</x:f>
        <x:v>59841</x:v>
      </x:c>
      <x:c r="C492" s="141" t="n">
        <x:f>$B$6</x:f>
        <x:v>7000</x:v>
      </x:c>
      <x:c r="D492" s="180" t="n">
        <x:f>(1+$B$28)^INT((A492-1)/12)</x:f>
        <x:v>8.14725199985109</x:v>
      </x:c>
      <x:c r="E492" s="141" t="n">
        <x:f>IF(A492&lt;=$B$27,$B$45*D492,0)</x:f>
        <x:v>0</x:v>
      </x:c>
      <x:c r="F492" s="141" t="n">
        <x:f>IF(A492=$B$29,$B$44,0)</x:f>
        <x:v>0</x:v>
      </x:c>
      <x:c r="G492" s="141" t="n">
        <x:f>E492+F492</x:f>
        <x:v>0</x:v>
      </x:c>
      <x:c r="H492" s="141" t="n">
        <x:f>IF(A492=$B$29,$B$42,0)</x:f>
        <x:v>0</x:v>
      </x:c>
      <x:c r="I492" s="141" t="n">
        <x:f>IF(A492=$B$29,$B$43,0)</x:f>
        <x:v>0</x:v>
      </x:c>
      <x:c r="J492" s="140" t="str">
        <x:f>IF(A492&lt;$B$29,"Aguardando",IF(A492=$B$29,"Contemplado","Pos-contemplacao"))</x:f>
        <x:v>Pos-contemplacao</x:v>
      </x:c>
      <x:c r="K492" s="141" t="n">
        <x:f>IF(A492&gt;=$B$27,0,(K493+E493)/(1+$B$9))</x:f>
        <x:v>0</x:v>
      </x:c>
      <x:c r="L492" s="141" t="n">
        <x:f>IF(A492&lt;$B$29,$B$43/(1+$B$9)^($B$29-A492),0)</x:f>
        <x:v>0</x:v>
      </x:c>
      <x:c r="M492" s="141" t="n">
        <x:f>L492-K492</x:f>
        <x:v>0</x:v>
      </x:c>
    </x:row>
    <x:row r="493">
      <x:c r="A493" s="142" t="n">
        <x:v>439</x:v>
      </x:c>
      <x:c r="B493" s="179" t="n">
        <x:f>EDATE($B$5,A493-1)</x:f>
        <x:v>59871</x:v>
      </x:c>
      <x:c r="C493" s="141" t="n">
        <x:f>$B$6</x:f>
        <x:v>7000</x:v>
      </x:c>
      <x:c r="D493" s="180" t="n">
        <x:f>(1+$B$28)^INT((A493-1)/12)</x:f>
        <x:v>8.14725199985109</x:v>
      </x:c>
      <x:c r="E493" s="141" t="n">
        <x:f>IF(A493&lt;=$B$27,$B$45*D493,0)</x:f>
        <x:v>0</x:v>
      </x:c>
      <x:c r="F493" s="141" t="n">
        <x:f>IF(A493=$B$29,$B$44,0)</x:f>
        <x:v>0</x:v>
      </x:c>
      <x:c r="G493" s="141" t="n">
        <x:f>E493+F493</x:f>
        <x:v>0</x:v>
      </x:c>
      <x:c r="H493" s="141" t="n">
        <x:f>IF(A493=$B$29,$B$42,0)</x:f>
        <x:v>0</x:v>
      </x:c>
      <x:c r="I493" s="141" t="n">
        <x:f>IF(A493=$B$29,$B$43,0)</x:f>
        <x:v>0</x:v>
      </x:c>
      <x:c r="J493" s="140" t="str">
        <x:f>IF(A493&lt;$B$29,"Aguardando",IF(A493=$B$29,"Contemplado","Pos-contemplacao"))</x:f>
        <x:v>Pos-contemplacao</x:v>
      </x:c>
      <x:c r="K493" s="141" t="n">
        <x:f>IF(A493&gt;=$B$27,0,(K494+E494)/(1+$B$9))</x:f>
        <x:v>0</x:v>
      </x:c>
      <x:c r="L493" s="141" t="n">
        <x:f>IF(A493&lt;$B$29,$B$43/(1+$B$9)^($B$29-A493),0)</x:f>
        <x:v>0</x:v>
      </x:c>
      <x:c r="M493" s="141" t="n">
        <x:f>L493-K493</x:f>
        <x:v>0</x:v>
      </x:c>
    </x:row>
    <x:row r="494">
      <x:c r="A494" s="142" t="n">
        <x:v>440</x:v>
      </x:c>
      <x:c r="B494" s="179" t="n">
        <x:f>EDATE($B$5,A494-1)</x:f>
        <x:v>59902</x:v>
      </x:c>
      <x:c r="C494" s="141" t="n">
        <x:f>$B$6</x:f>
        <x:v>7000</x:v>
      </x:c>
      <x:c r="D494" s="180" t="n">
        <x:f>(1+$B$28)^INT((A494-1)/12)</x:f>
        <x:v>8.14725199985109</x:v>
      </x:c>
      <x:c r="E494" s="141" t="n">
        <x:f>IF(A494&lt;=$B$27,$B$45*D494,0)</x:f>
        <x:v>0</x:v>
      </x:c>
      <x:c r="F494" s="141" t="n">
        <x:f>IF(A494=$B$29,$B$44,0)</x:f>
        <x:v>0</x:v>
      </x:c>
      <x:c r="G494" s="141" t="n">
        <x:f>E494+F494</x:f>
        <x:v>0</x:v>
      </x:c>
      <x:c r="H494" s="141" t="n">
        <x:f>IF(A494=$B$29,$B$42,0)</x:f>
        <x:v>0</x:v>
      </x:c>
      <x:c r="I494" s="141" t="n">
        <x:f>IF(A494=$B$29,$B$43,0)</x:f>
        <x:v>0</x:v>
      </x:c>
      <x:c r="J494" s="140" t="str">
        <x:f>IF(A494&lt;$B$29,"Aguardando",IF(A494=$B$29,"Contemplado","Pos-contemplacao"))</x:f>
        <x:v>Pos-contemplacao</x:v>
      </x:c>
      <x:c r="K494" s="141" t="n">
        <x:f>IF(A494&gt;=$B$27,0,(K495+E495)/(1+$B$9))</x:f>
        <x:v>0</x:v>
      </x:c>
      <x:c r="L494" s="141" t="n">
        <x:f>IF(A494&lt;$B$29,$B$43/(1+$B$9)^($B$29-A494),0)</x:f>
        <x:v>0</x:v>
      </x:c>
      <x:c r="M494" s="141" t="n">
        <x:f>L494-K494</x:f>
        <x:v>0</x:v>
      </x:c>
    </x:row>
    <x:row r="495">
      <x:c r="A495" s="142" t="n">
        <x:v>441</x:v>
      </x:c>
      <x:c r="B495" s="179" t="n">
        <x:f>EDATE($B$5,A495-1)</x:f>
        <x:v>59933</x:v>
      </x:c>
      <x:c r="C495" s="141" t="n">
        <x:f>$B$6</x:f>
        <x:v>7000</x:v>
      </x:c>
      <x:c r="D495" s="180" t="n">
        <x:f>(1+$B$28)^INT((A495-1)/12)</x:f>
        <x:v>8.14725199985109</x:v>
      </x:c>
      <x:c r="E495" s="141" t="n">
        <x:f>IF(A495&lt;=$B$27,$B$45*D495,0)</x:f>
        <x:v>0</x:v>
      </x:c>
      <x:c r="F495" s="141" t="n">
        <x:f>IF(A495=$B$29,$B$44,0)</x:f>
        <x:v>0</x:v>
      </x:c>
      <x:c r="G495" s="141" t="n">
        <x:f>E495+F495</x:f>
        <x:v>0</x:v>
      </x:c>
      <x:c r="H495" s="141" t="n">
        <x:f>IF(A495=$B$29,$B$42,0)</x:f>
        <x:v>0</x:v>
      </x:c>
      <x:c r="I495" s="141" t="n">
        <x:f>IF(A495=$B$29,$B$43,0)</x:f>
        <x:v>0</x:v>
      </x:c>
      <x:c r="J495" s="140" t="str">
        <x:f>IF(A495&lt;$B$29,"Aguardando",IF(A495=$B$29,"Contemplado","Pos-contemplacao"))</x:f>
        <x:v>Pos-contemplacao</x:v>
      </x:c>
      <x:c r="K495" s="141" t="n">
        <x:f>IF(A495&gt;=$B$27,0,(K496+E496)/(1+$B$9))</x:f>
        <x:v>0</x:v>
      </x:c>
      <x:c r="L495" s="141" t="n">
        <x:f>IF(A495&lt;$B$29,$B$43/(1+$B$9)^($B$29-A495),0)</x:f>
        <x:v>0</x:v>
      </x:c>
      <x:c r="M495" s="141" t="n">
        <x:f>L495-K495</x:f>
        <x:v>0</x:v>
      </x:c>
    </x:row>
    <x:row r="496">
      <x:c r="A496" s="142" t="n">
        <x:v>442</x:v>
      </x:c>
      <x:c r="B496" s="179" t="n">
        <x:f>EDATE($B$5,A496-1)</x:f>
        <x:v>59962</x:v>
      </x:c>
      <x:c r="C496" s="141" t="n">
        <x:f>$B$6</x:f>
        <x:v>7000</x:v>
      </x:c>
      <x:c r="D496" s="180" t="n">
        <x:f>(1+$B$28)^INT((A496-1)/12)</x:f>
        <x:v>8.14725199985109</x:v>
      </x:c>
      <x:c r="E496" s="141" t="n">
        <x:f>IF(A496&lt;=$B$27,$B$45*D496,0)</x:f>
        <x:v>0</x:v>
      </x:c>
      <x:c r="F496" s="141" t="n">
        <x:f>IF(A496=$B$29,$B$44,0)</x:f>
        <x:v>0</x:v>
      </x:c>
      <x:c r="G496" s="141" t="n">
        <x:f>E496+F496</x:f>
        <x:v>0</x:v>
      </x:c>
      <x:c r="H496" s="141" t="n">
        <x:f>IF(A496=$B$29,$B$42,0)</x:f>
        <x:v>0</x:v>
      </x:c>
      <x:c r="I496" s="141" t="n">
        <x:f>IF(A496=$B$29,$B$43,0)</x:f>
        <x:v>0</x:v>
      </x:c>
      <x:c r="J496" s="140" t="str">
        <x:f>IF(A496&lt;$B$29,"Aguardando",IF(A496=$B$29,"Contemplado","Pos-contemplacao"))</x:f>
        <x:v>Pos-contemplacao</x:v>
      </x:c>
      <x:c r="K496" s="141" t="n">
        <x:f>IF(A496&gt;=$B$27,0,(K497+E497)/(1+$B$9))</x:f>
        <x:v>0</x:v>
      </x:c>
      <x:c r="L496" s="141" t="n">
        <x:f>IF(A496&lt;$B$29,$B$43/(1+$B$9)^($B$29-A496),0)</x:f>
        <x:v>0</x:v>
      </x:c>
      <x:c r="M496" s="141" t="n">
        <x:f>L496-K496</x:f>
        <x:v>0</x:v>
      </x:c>
    </x:row>
    <x:row r="497">
      <x:c r="A497" s="142" t="n">
        <x:v>443</x:v>
      </x:c>
      <x:c r="B497" s="179" t="n">
        <x:f>EDATE($B$5,A497-1)</x:f>
        <x:v>59993</x:v>
      </x:c>
      <x:c r="C497" s="141" t="n">
        <x:f>$B$6</x:f>
        <x:v>7000</x:v>
      </x:c>
      <x:c r="D497" s="180" t="n">
        <x:f>(1+$B$28)^INT((A497-1)/12)</x:f>
        <x:v>8.14725199985109</x:v>
      </x:c>
      <x:c r="E497" s="141" t="n">
        <x:f>IF(A497&lt;=$B$27,$B$45*D497,0)</x:f>
        <x:v>0</x:v>
      </x:c>
      <x:c r="F497" s="141" t="n">
        <x:f>IF(A497=$B$29,$B$44,0)</x:f>
        <x:v>0</x:v>
      </x:c>
      <x:c r="G497" s="141" t="n">
        <x:f>E497+F497</x:f>
        <x:v>0</x:v>
      </x:c>
      <x:c r="H497" s="141" t="n">
        <x:f>IF(A497=$B$29,$B$42,0)</x:f>
        <x:v>0</x:v>
      </x:c>
      <x:c r="I497" s="141" t="n">
        <x:f>IF(A497=$B$29,$B$43,0)</x:f>
        <x:v>0</x:v>
      </x:c>
      <x:c r="J497" s="140" t="str">
        <x:f>IF(A497&lt;$B$29,"Aguardando",IF(A497=$B$29,"Contemplado","Pos-contemplacao"))</x:f>
        <x:v>Pos-contemplacao</x:v>
      </x:c>
      <x:c r="K497" s="141" t="n">
        <x:f>IF(A497&gt;=$B$27,0,(K498+E498)/(1+$B$9))</x:f>
        <x:v>0</x:v>
      </x:c>
      <x:c r="L497" s="141" t="n">
        <x:f>IF(A497&lt;$B$29,$B$43/(1+$B$9)^($B$29-A497),0)</x:f>
        <x:v>0</x:v>
      </x:c>
      <x:c r="M497" s="141" t="n">
        <x:f>L497-K497</x:f>
        <x:v>0</x:v>
      </x:c>
    </x:row>
    <x:row r="498">
      <x:c r="A498" s="142" t="n">
        <x:v>444</x:v>
      </x:c>
      <x:c r="B498" s="179" t="n">
        <x:f>EDATE($B$5,A498-1)</x:f>
        <x:v>60023</x:v>
      </x:c>
      <x:c r="C498" s="141" t="n">
        <x:f>$B$6</x:f>
        <x:v>7000</x:v>
      </x:c>
      <x:c r="D498" s="180" t="n">
        <x:f>(1+$B$28)^INT((A498-1)/12)</x:f>
        <x:v>8.14725199985109</x:v>
      </x:c>
      <x:c r="E498" s="141" t="n">
        <x:f>IF(A498&lt;=$B$27,$B$45*D498,0)</x:f>
        <x:v>0</x:v>
      </x:c>
      <x:c r="F498" s="141" t="n">
        <x:f>IF(A498=$B$29,$B$44,0)</x:f>
        <x:v>0</x:v>
      </x:c>
      <x:c r="G498" s="141" t="n">
        <x:f>E498+F498</x:f>
        <x:v>0</x:v>
      </x:c>
      <x:c r="H498" s="141" t="n">
        <x:f>IF(A498=$B$29,$B$42,0)</x:f>
        <x:v>0</x:v>
      </x:c>
      <x:c r="I498" s="141" t="n">
        <x:f>IF(A498=$B$29,$B$43,0)</x:f>
        <x:v>0</x:v>
      </x:c>
      <x:c r="J498" s="140" t="str">
        <x:f>IF(A498&lt;$B$29,"Aguardando",IF(A498=$B$29,"Contemplado","Pos-contemplacao"))</x:f>
        <x:v>Pos-contemplacao</x:v>
      </x:c>
      <x:c r="K498" s="141" t="n">
        <x:f>IF(A498&gt;=$B$27,0,(K499+E499)/(1+$B$9))</x:f>
        <x:v>0</x:v>
      </x:c>
      <x:c r="L498" s="141" t="n">
        <x:f>IF(A498&lt;$B$29,$B$43/(1+$B$9)^($B$29-A498),0)</x:f>
        <x:v>0</x:v>
      </x:c>
      <x:c r="M498" s="141" t="n">
        <x:f>L498-K498</x:f>
        <x:v>0</x:v>
      </x:c>
    </x:row>
    <x:row r="499">
      <x:c r="A499" s="142" t="n">
        <x:v>445</x:v>
      </x:c>
      <x:c r="B499" s="179" t="n">
        <x:f>EDATE($B$5,A499-1)</x:f>
        <x:v>60054</x:v>
      </x:c>
      <x:c r="C499" s="141" t="n">
        <x:f>$B$6</x:f>
        <x:v>7000</x:v>
      </x:c>
      <x:c r="D499" s="180" t="n">
        <x:f>(1+$B$28)^INT((A499-1)/12)</x:f>
        <x:v>8.636087119842156</x:v>
      </x:c>
      <x:c r="E499" s="141" t="n">
        <x:f>IF(A499&lt;=$B$27,$B$45*D499,0)</x:f>
        <x:v>0</x:v>
      </x:c>
      <x:c r="F499" s="141" t="n">
        <x:f>IF(A499=$B$29,$B$44,0)</x:f>
        <x:v>0</x:v>
      </x:c>
      <x:c r="G499" s="141" t="n">
        <x:f>E499+F499</x:f>
        <x:v>0</x:v>
      </x:c>
      <x:c r="H499" s="141" t="n">
        <x:f>IF(A499=$B$29,$B$42,0)</x:f>
        <x:v>0</x:v>
      </x:c>
      <x:c r="I499" s="141" t="n">
        <x:f>IF(A499=$B$29,$B$43,0)</x:f>
        <x:v>0</x:v>
      </x:c>
      <x:c r="J499" s="140" t="str">
        <x:f>IF(A499&lt;$B$29,"Aguardando",IF(A499=$B$29,"Contemplado","Pos-contemplacao"))</x:f>
        <x:v>Pos-contemplacao</x:v>
      </x:c>
      <x:c r="K499" s="141" t="n">
        <x:f>IF(A499&gt;=$B$27,0,(K500+E500)/(1+$B$9))</x:f>
        <x:v>0</x:v>
      </x:c>
      <x:c r="L499" s="141" t="n">
        <x:f>IF(A499&lt;$B$29,$B$43/(1+$B$9)^($B$29-A499),0)</x:f>
        <x:v>0</x:v>
      </x:c>
      <x:c r="M499" s="141" t="n">
        <x:f>L499-K499</x:f>
        <x:v>0</x:v>
      </x:c>
    </x:row>
    <x:row r="500">
      <x:c r="A500" s="142" t="n">
        <x:v>446</x:v>
      </x:c>
      <x:c r="B500" s="179" t="n">
        <x:f>EDATE($B$5,A500-1)</x:f>
        <x:v>60084</x:v>
      </x:c>
      <x:c r="C500" s="141" t="n">
        <x:f>$B$6</x:f>
        <x:v>7000</x:v>
      </x:c>
      <x:c r="D500" s="180" t="n">
        <x:f>(1+$B$28)^INT((A500-1)/12)</x:f>
        <x:v>8.636087119842156</x:v>
      </x:c>
      <x:c r="E500" s="141" t="n">
        <x:f>IF(A500&lt;=$B$27,$B$45*D500,0)</x:f>
        <x:v>0</x:v>
      </x:c>
      <x:c r="F500" s="141" t="n">
        <x:f>IF(A500=$B$29,$B$44,0)</x:f>
        <x:v>0</x:v>
      </x:c>
      <x:c r="G500" s="141" t="n">
        <x:f>E500+F500</x:f>
        <x:v>0</x:v>
      </x:c>
      <x:c r="H500" s="141" t="n">
        <x:f>IF(A500=$B$29,$B$42,0)</x:f>
        <x:v>0</x:v>
      </x:c>
      <x:c r="I500" s="141" t="n">
        <x:f>IF(A500=$B$29,$B$43,0)</x:f>
        <x:v>0</x:v>
      </x:c>
      <x:c r="J500" s="140" t="str">
        <x:f>IF(A500&lt;$B$29,"Aguardando",IF(A500=$B$29,"Contemplado","Pos-contemplacao"))</x:f>
        <x:v>Pos-contemplacao</x:v>
      </x:c>
      <x:c r="K500" s="141" t="n">
        <x:f>IF(A500&gt;=$B$27,0,(K501+E501)/(1+$B$9))</x:f>
        <x:v>0</x:v>
      </x:c>
      <x:c r="L500" s="141" t="n">
        <x:f>IF(A500&lt;$B$29,$B$43/(1+$B$9)^($B$29-A500),0)</x:f>
        <x:v>0</x:v>
      </x:c>
      <x:c r="M500" s="141" t="n">
        <x:f>L500-K500</x:f>
        <x:v>0</x:v>
      </x:c>
    </x:row>
    <x:row r="501">
      <x:c r="A501" s="142" t="n">
        <x:v>447</x:v>
      </x:c>
      <x:c r="B501" s="179" t="n">
        <x:f>EDATE($B$5,A501-1)</x:f>
        <x:v>60115</x:v>
      </x:c>
      <x:c r="C501" s="141" t="n">
        <x:f>$B$6</x:f>
        <x:v>7000</x:v>
      </x:c>
      <x:c r="D501" s="180" t="n">
        <x:f>(1+$B$28)^INT((A501-1)/12)</x:f>
        <x:v>8.636087119842156</x:v>
      </x:c>
      <x:c r="E501" s="141" t="n">
        <x:f>IF(A501&lt;=$B$27,$B$45*D501,0)</x:f>
        <x:v>0</x:v>
      </x:c>
      <x:c r="F501" s="141" t="n">
        <x:f>IF(A501=$B$29,$B$44,0)</x:f>
        <x:v>0</x:v>
      </x:c>
      <x:c r="G501" s="141" t="n">
        <x:f>E501+F501</x:f>
        <x:v>0</x:v>
      </x:c>
      <x:c r="H501" s="141" t="n">
        <x:f>IF(A501=$B$29,$B$42,0)</x:f>
        <x:v>0</x:v>
      </x:c>
      <x:c r="I501" s="141" t="n">
        <x:f>IF(A501=$B$29,$B$43,0)</x:f>
        <x:v>0</x:v>
      </x:c>
      <x:c r="J501" s="140" t="str">
        <x:f>IF(A501&lt;$B$29,"Aguardando",IF(A501=$B$29,"Contemplado","Pos-contemplacao"))</x:f>
        <x:v>Pos-contemplacao</x:v>
      </x:c>
      <x:c r="K501" s="141" t="n">
        <x:f>IF(A501&gt;=$B$27,0,(K502+E502)/(1+$B$9))</x:f>
        <x:v>0</x:v>
      </x:c>
      <x:c r="L501" s="141" t="n">
        <x:f>IF(A501&lt;$B$29,$B$43/(1+$B$9)^($B$29-A501),0)</x:f>
        <x:v>0</x:v>
      </x:c>
      <x:c r="M501" s="141" t="n">
        <x:f>L501-K501</x:f>
        <x:v>0</x:v>
      </x:c>
    </x:row>
    <x:row r="502">
      <x:c r="A502" s="142" t="n">
        <x:v>448</x:v>
      </x:c>
      <x:c r="B502" s="179" t="n">
        <x:f>EDATE($B$5,A502-1)</x:f>
        <x:v>60146</x:v>
      </x:c>
      <x:c r="C502" s="141" t="n">
        <x:f>$B$6</x:f>
        <x:v>7000</x:v>
      </x:c>
      <x:c r="D502" s="180" t="n">
        <x:f>(1+$B$28)^INT((A502-1)/12)</x:f>
        <x:v>8.636087119842156</x:v>
      </x:c>
      <x:c r="E502" s="141" t="n">
        <x:f>IF(A502&lt;=$B$27,$B$45*D502,0)</x:f>
        <x:v>0</x:v>
      </x:c>
      <x:c r="F502" s="141" t="n">
        <x:f>IF(A502=$B$29,$B$44,0)</x:f>
        <x:v>0</x:v>
      </x:c>
      <x:c r="G502" s="141" t="n">
        <x:f>E502+F502</x:f>
        <x:v>0</x:v>
      </x:c>
      <x:c r="H502" s="141" t="n">
        <x:f>IF(A502=$B$29,$B$42,0)</x:f>
        <x:v>0</x:v>
      </x:c>
      <x:c r="I502" s="141" t="n">
        <x:f>IF(A502=$B$29,$B$43,0)</x:f>
        <x:v>0</x:v>
      </x:c>
      <x:c r="J502" s="140" t="str">
        <x:f>IF(A502&lt;$B$29,"Aguardando",IF(A502=$B$29,"Contemplado","Pos-contemplacao"))</x:f>
        <x:v>Pos-contemplacao</x:v>
      </x:c>
      <x:c r="K502" s="141" t="n">
        <x:f>IF(A502&gt;=$B$27,0,(K503+E503)/(1+$B$9))</x:f>
        <x:v>0</x:v>
      </x:c>
      <x:c r="L502" s="141" t="n">
        <x:f>IF(A502&lt;$B$29,$B$43/(1+$B$9)^($B$29-A502),0)</x:f>
        <x:v>0</x:v>
      </x:c>
      <x:c r="M502" s="141" t="n">
        <x:f>L502-K502</x:f>
        <x:v>0</x:v>
      </x:c>
    </x:row>
    <x:row r="503">
      <x:c r="A503" s="142" t="n">
        <x:v>449</x:v>
      </x:c>
      <x:c r="B503" s="179" t="n">
        <x:f>EDATE($B$5,A503-1)</x:f>
        <x:v>60176</x:v>
      </x:c>
      <x:c r="C503" s="141" t="n">
        <x:f>$B$6</x:f>
        <x:v>7000</x:v>
      </x:c>
      <x:c r="D503" s="180" t="n">
        <x:f>(1+$B$28)^INT((A503-1)/12)</x:f>
        <x:v>8.636087119842156</x:v>
      </x:c>
      <x:c r="E503" s="141" t="n">
        <x:f>IF(A503&lt;=$B$27,$B$45*D503,0)</x:f>
        <x:v>0</x:v>
      </x:c>
      <x:c r="F503" s="141" t="n">
        <x:f>IF(A503=$B$29,$B$44,0)</x:f>
        <x:v>0</x:v>
      </x:c>
      <x:c r="G503" s="141" t="n">
        <x:f>E503+F503</x:f>
        <x:v>0</x:v>
      </x:c>
      <x:c r="H503" s="141" t="n">
        <x:f>IF(A503=$B$29,$B$42,0)</x:f>
        <x:v>0</x:v>
      </x:c>
      <x:c r="I503" s="141" t="n">
        <x:f>IF(A503=$B$29,$B$43,0)</x:f>
        <x:v>0</x:v>
      </x:c>
      <x:c r="J503" s="140" t="str">
        <x:f>IF(A503&lt;$B$29,"Aguardando",IF(A503=$B$29,"Contemplado","Pos-contemplacao"))</x:f>
        <x:v>Pos-contemplacao</x:v>
      </x:c>
      <x:c r="K503" s="141" t="n">
        <x:f>IF(A503&gt;=$B$27,0,(K504+E504)/(1+$B$9))</x:f>
        <x:v>0</x:v>
      </x:c>
      <x:c r="L503" s="141" t="n">
        <x:f>IF(A503&lt;$B$29,$B$43/(1+$B$9)^($B$29-A503),0)</x:f>
        <x:v>0</x:v>
      </x:c>
      <x:c r="M503" s="141" t="n">
        <x:f>L503-K503</x:f>
        <x:v>0</x:v>
      </x:c>
    </x:row>
    <x:row r="504">
      <x:c r="A504" s="142" t="n">
        <x:v>450</x:v>
      </x:c>
      <x:c r="B504" s="179" t="n">
        <x:f>EDATE($B$5,A504-1)</x:f>
        <x:v>60207</x:v>
      </x:c>
      <x:c r="C504" s="141" t="n">
        <x:f>$B$6</x:f>
        <x:v>7000</x:v>
      </x:c>
      <x:c r="D504" s="180" t="n">
        <x:f>(1+$B$28)^INT((A504-1)/12)</x:f>
        <x:v>8.636087119842156</x:v>
      </x:c>
      <x:c r="E504" s="141" t="n">
        <x:f>IF(A504&lt;=$B$27,$B$45*D504,0)</x:f>
        <x:v>0</x:v>
      </x:c>
      <x:c r="F504" s="141" t="n">
        <x:f>IF(A504=$B$29,$B$44,0)</x:f>
        <x:v>0</x:v>
      </x:c>
      <x:c r="G504" s="141" t="n">
        <x:f>E504+F504</x:f>
        <x:v>0</x:v>
      </x:c>
      <x:c r="H504" s="141" t="n">
        <x:f>IF(A504=$B$29,$B$42,0)</x:f>
        <x:v>0</x:v>
      </x:c>
      <x:c r="I504" s="141" t="n">
        <x:f>IF(A504=$B$29,$B$43,0)</x:f>
        <x:v>0</x:v>
      </x:c>
      <x:c r="J504" s="140" t="str">
        <x:f>IF(A504&lt;$B$29,"Aguardando",IF(A504=$B$29,"Contemplado","Pos-contemplacao"))</x:f>
        <x:v>Pos-contemplacao</x:v>
      </x:c>
      <x:c r="K504" s="141" t="n">
        <x:f>IF(A504&gt;=$B$27,0,(K505+E505)/(1+$B$9))</x:f>
        <x:v>0</x:v>
      </x:c>
      <x:c r="L504" s="141" t="n">
        <x:f>IF(A504&lt;$B$29,$B$43/(1+$B$9)^($B$29-A504),0)</x:f>
        <x:v>0</x:v>
      </x:c>
      <x:c r="M504" s="141" t="n">
        <x:f>L504-K504</x:f>
        <x:v>0</x:v>
      </x:c>
    </x:row>
    <x:row r="505">
      <x:c r="A505" s="142" t="n">
        <x:v>451</x:v>
      </x:c>
      <x:c r="B505" s="179" t="n">
        <x:f>EDATE($B$5,A505-1)</x:f>
        <x:v>60237</x:v>
      </x:c>
      <x:c r="C505" s="141" t="n">
        <x:f>$B$6</x:f>
        <x:v>7000</x:v>
      </x:c>
      <x:c r="D505" s="180" t="n">
        <x:f>(1+$B$28)^INT((A505-1)/12)</x:f>
        <x:v>8.636087119842156</x:v>
      </x:c>
      <x:c r="E505" s="141" t="n">
        <x:f>IF(A505&lt;=$B$27,$B$45*D505,0)</x:f>
        <x:v>0</x:v>
      </x:c>
      <x:c r="F505" s="141" t="n">
        <x:f>IF(A505=$B$29,$B$44,0)</x:f>
        <x:v>0</x:v>
      </x:c>
      <x:c r="G505" s="141" t="n">
        <x:f>E505+F505</x:f>
        <x:v>0</x:v>
      </x:c>
      <x:c r="H505" s="141" t="n">
        <x:f>IF(A505=$B$29,$B$42,0)</x:f>
        <x:v>0</x:v>
      </x:c>
      <x:c r="I505" s="141" t="n">
        <x:f>IF(A505=$B$29,$B$43,0)</x:f>
        <x:v>0</x:v>
      </x:c>
      <x:c r="J505" s="140" t="str">
        <x:f>IF(A505&lt;$B$29,"Aguardando",IF(A505=$B$29,"Contemplado","Pos-contemplacao"))</x:f>
        <x:v>Pos-contemplacao</x:v>
      </x:c>
      <x:c r="K505" s="141" t="n">
        <x:f>IF(A505&gt;=$B$27,0,(K506+E506)/(1+$B$9))</x:f>
        <x:v>0</x:v>
      </x:c>
      <x:c r="L505" s="141" t="n">
        <x:f>IF(A505&lt;$B$29,$B$43/(1+$B$9)^($B$29-A505),0)</x:f>
        <x:v>0</x:v>
      </x:c>
      <x:c r="M505" s="141" t="n">
        <x:f>L505-K505</x:f>
        <x:v>0</x:v>
      </x:c>
    </x:row>
    <x:row r="506">
      <x:c r="A506" s="142" t="n">
        <x:v>452</x:v>
      </x:c>
      <x:c r="B506" s="179" t="n">
        <x:f>EDATE($B$5,A506-1)</x:f>
        <x:v>60268</x:v>
      </x:c>
      <x:c r="C506" s="141" t="n">
        <x:f>$B$6</x:f>
        <x:v>7000</x:v>
      </x:c>
      <x:c r="D506" s="180" t="n">
        <x:f>(1+$B$28)^INT((A506-1)/12)</x:f>
        <x:v>8.636087119842156</x:v>
      </x:c>
      <x:c r="E506" s="141" t="n">
        <x:f>IF(A506&lt;=$B$27,$B$45*D506,0)</x:f>
        <x:v>0</x:v>
      </x:c>
      <x:c r="F506" s="141" t="n">
        <x:f>IF(A506=$B$29,$B$44,0)</x:f>
        <x:v>0</x:v>
      </x:c>
      <x:c r="G506" s="141" t="n">
        <x:f>E506+F506</x:f>
        <x:v>0</x:v>
      </x:c>
      <x:c r="H506" s="141" t="n">
        <x:f>IF(A506=$B$29,$B$42,0)</x:f>
        <x:v>0</x:v>
      </x:c>
      <x:c r="I506" s="141" t="n">
        <x:f>IF(A506=$B$29,$B$43,0)</x:f>
        <x:v>0</x:v>
      </x:c>
      <x:c r="J506" s="140" t="str">
        <x:f>IF(A506&lt;$B$29,"Aguardando",IF(A506=$B$29,"Contemplado","Pos-contemplacao"))</x:f>
        <x:v>Pos-contemplacao</x:v>
      </x:c>
      <x:c r="K506" s="141" t="n">
        <x:f>IF(A506&gt;=$B$27,0,(K507+E507)/(1+$B$9))</x:f>
        <x:v>0</x:v>
      </x:c>
      <x:c r="L506" s="141" t="n">
        <x:f>IF(A506&lt;$B$29,$B$43/(1+$B$9)^($B$29-A506),0)</x:f>
        <x:v>0</x:v>
      </x:c>
      <x:c r="M506" s="141" t="n">
        <x:f>L506-K506</x:f>
        <x:v>0</x:v>
      </x:c>
    </x:row>
    <x:row r="507">
      <x:c r="A507" s="142" t="n">
        <x:v>453</x:v>
      </x:c>
      <x:c r="B507" s="179" t="n">
        <x:f>EDATE($B$5,A507-1)</x:f>
        <x:v>60299</x:v>
      </x:c>
      <x:c r="C507" s="141" t="n">
        <x:f>$B$6</x:f>
        <x:v>7000</x:v>
      </x:c>
      <x:c r="D507" s="180" t="n">
        <x:f>(1+$B$28)^INT((A507-1)/12)</x:f>
        <x:v>8.636087119842156</x:v>
      </x:c>
      <x:c r="E507" s="141" t="n">
        <x:f>IF(A507&lt;=$B$27,$B$45*D507,0)</x:f>
        <x:v>0</x:v>
      </x:c>
      <x:c r="F507" s="141" t="n">
        <x:f>IF(A507=$B$29,$B$44,0)</x:f>
        <x:v>0</x:v>
      </x:c>
      <x:c r="G507" s="141" t="n">
        <x:f>E507+F507</x:f>
        <x:v>0</x:v>
      </x:c>
      <x:c r="H507" s="141" t="n">
        <x:f>IF(A507=$B$29,$B$42,0)</x:f>
        <x:v>0</x:v>
      </x:c>
      <x:c r="I507" s="141" t="n">
        <x:f>IF(A507=$B$29,$B$43,0)</x:f>
        <x:v>0</x:v>
      </x:c>
      <x:c r="J507" s="140" t="str">
        <x:f>IF(A507&lt;$B$29,"Aguardando",IF(A507=$B$29,"Contemplado","Pos-contemplacao"))</x:f>
        <x:v>Pos-contemplacao</x:v>
      </x:c>
      <x:c r="K507" s="141" t="n">
        <x:f>IF(A507&gt;=$B$27,0,(K508+E508)/(1+$B$9))</x:f>
        <x:v>0</x:v>
      </x:c>
      <x:c r="L507" s="141" t="n">
        <x:f>IF(A507&lt;$B$29,$B$43/(1+$B$9)^($B$29-A507),0)</x:f>
        <x:v>0</x:v>
      </x:c>
      <x:c r="M507" s="141" t="n">
        <x:f>L507-K507</x:f>
        <x:v>0</x:v>
      </x:c>
    </x:row>
    <x:row r="508">
      <x:c r="A508" s="142" t="n">
        <x:v>454</x:v>
      </x:c>
      <x:c r="B508" s="179" t="n">
        <x:f>EDATE($B$5,A508-1)</x:f>
        <x:v>60327</x:v>
      </x:c>
      <x:c r="C508" s="141" t="n">
        <x:f>$B$6</x:f>
        <x:v>7000</x:v>
      </x:c>
      <x:c r="D508" s="180" t="n">
        <x:f>(1+$B$28)^INT((A508-1)/12)</x:f>
        <x:v>8.636087119842156</x:v>
      </x:c>
      <x:c r="E508" s="141" t="n">
        <x:f>IF(A508&lt;=$B$27,$B$45*D508,0)</x:f>
        <x:v>0</x:v>
      </x:c>
      <x:c r="F508" s="141" t="n">
        <x:f>IF(A508=$B$29,$B$44,0)</x:f>
        <x:v>0</x:v>
      </x:c>
      <x:c r="G508" s="141" t="n">
        <x:f>E508+F508</x:f>
        <x:v>0</x:v>
      </x:c>
      <x:c r="H508" s="141" t="n">
        <x:f>IF(A508=$B$29,$B$42,0)</x:f>
        <x:v>0</x:v>
      </x:c>
      <x:c r="I508" s="141" t="n">
        <x:f>IF(A508=$B$29,$B$43,0)</x:f>
        <x:v>0</x:v>
      </x:c>
      <x:c r="J508" s="140" t="str">
        <x:f>IF(A508&lt;$B$29,"Aguardando",IF(A508=$B$29,"Contemplado","Pos-contemplacao"))</x:f>
        <x:v>Pos-contemplacao</x:v>
      </x:c>
      <x:c r="K508" s="141" t="n">
        <x:f>IF(A508&gt;=$B$27,0,(K509+E509)/(1+$B$9))</x:f>
        <x:v>0</x:v>
      </x:c>
      <x:c r="L508" s="141" t="n">
        <x:f>IF(A508&lt;$B$29,$B$43/(1+$B$9)^($B$29-A508),0)</x:f>
        <x:v>0</x:v>
      </x:c>
      <x:c r="M508" s="141" t="n">
        <x:f>L508-K508</x:f>
        <x:v>0</x:v>
      </x:c>
    </x:row>
    <x:row r="509">
      <x:c r="A509" s="142" t="n">
        <x:v>455</x:v>
      </x:c>
      <x:c r="B509" s="179" t="n">
        <x:f>EDATE($B$5,A509-1)</x:f>
        <x:v>60358</x:v>
      </x:c>
      <x:c r="C509" s="141" t="n">
        <x:f>$B$6</x:f>
        <x:v>7000</x:v>
      </x:c>
      <x:c r="D509" s="180" t="n">
        <x:f>(1+$B$28)^INT((A509-1)/12)</x:f>
        <x:v>8.636087119842156</x:v>
      </x:c>
      <x:c r="E509" s="141" t="n">
        <x:f>IF(A509&lt;=$B$27,$B$45*D509,0)</x:f>
        <x:v>0</x:v>
      </x:c>
      <x:c r="F509" s="141" t="n">
        <x:f>IF(A509=$B$29,$B$44,0)</x:f>
        <x:v>0</x:v>
      </x:c>
      <x:c r="G509" s="141" t="n">
        <x:f>E509+F509</x:f>
        <x:v>0</x:v>
      </x:c>
      <x:c r="H509" s="141" t="n">
        <x:f>IF(A509=$B$29,$B$42,0)</x:f>
        <x:v>0</x:v>
      </x:c>
      <x:c r="I509" s="141" t="n">
        <x:f>IF(A509=$B$29,$B$43,0)</x:f>
        <x:v>0</x:v>
      </x:c>
      <x:c r="J509" s="140" t="str">
        <x:f>IF(A509&lt;$B$29,"Aguardando",IF(A509=$B$29,"Contemplado","Pos-contemplacao"))</x:f>
        <x:v>Pos-contemplacao</x:v>
      </x:c>
      <x:c r="K509" s="141" t="n">
        <x:f>IF(A509&gt;=$B$27,0,(K510+E510)/(1+$B$9))</x:f>
        <x:v>0</x:v>
      </x:c>
      <x:c r="L509" s="141" t="n">
        <x:f>IF(A509&lt;$B$29,$B$43/(1+$B$9)^($B$29-A509),0)</x:f>
        <x:v>0</x:v>
      </x:c>
      <x:c r="M509" s="141" t="n">
        <x:f>L509-K509</x:f>
        <x:v>0</x:v>
      </x:c>
    </x:row>
    <x:row r="510">
      <x:c r="A510" s="142" t="n">
        <x:v>456</x:v>
      </x:c>
      <x:c r="B510" s="179" t="n">
        <x:f>EDATE($B$5,A510-1)</x:f>
        <x:v>60388</x:v>
      </x:c>
      <x:c r="C510" s="141" t="n">
        <x:f>$B$6</x:f>
        <x:v>7000</x:v>
      </x:c>
      <x:c r="D510" s="180" t="n">
        <x:f>(1+$B$28)^INT((A510-1)/12)</x:f>
        <x:v>8.636087119842156</x:v>
      </x:c>
      <x:c r="E510" s="141" t="n">
        <x:f>IF(A510&lt;=$B$27,$B$45*D510,0)</x:f>
        <x:v>0</x:v>
      </x:c>
      <x:c r="F510" s="141" t="n">
        <x:f>IF(A510=$B$29,$B$44,0)</x:f>
        <x:v>0</x:v>
      </x:c>
      <x:c r="G510" s="141" t="n">
        <x:f>E510+F510</x:f>
        <x:v>0</x:v>
      </x:c>
      <x:c r="H510" s="141" t="n">
        <x:f>IF(A510=$B$29,$B$42,0)</x:f>
        <x:v>0</x:v>
      </x:c>
      <x:c r="I510" s="141" t="n">
        <x:f>IF(A510=$B$29,$B$43,0)</x:f>
        <x:v>0</x:v>
      </x:c>
      <x:c r="J510" s="140" t="str">
        <x:f>IF(A510&lt;$B$29,"Aguardando",IF(A510=$B$29,"Contemplado","Pos-contemplacao"))</x:f>
        <x:v>Pos-contemplacao</x:v>
      </x:c>
      <x:c r="K510" s="141" t="n">
        <x:f>IF(A510&gt;=$B$27,0,(K511+E511)/(1+$B$9))</x:f>
        <x:v>0</x:v>
      </x:c>
      <x:c r="L510" s="141" t="n">
        <x:f>IF(A510&lt;$B$29,$B$43/(1+$B$9)^($B$29-A510),0)</x:f>
        <x:v>0</x:v>
      </x:c>
      <x:c r="M510" s="141" t="n">
        <x:f>L510-K510</x:f>
        <x:v>0</x:v>
      </x:c>
    </x:row>
    <x:row r="511">
      <x:c r="A511" s="142" t="n">
        <x:v>457</x:v>
      </x:c>
      <x:c r="B511" s="179" t="n">
        <x:f>EDATE($B$5,A511-1)</x:f>
        <x:v>60419</x:v>
      </x:c>
      <x:c r="C511" s="141" t="n">
        <x:f>$B$6</x:f>
        <x:v>7000</x:v>
      </x:c>
      <x:c r="D511" s="180" t="n">
        <x:f>(1+$B$28)^INT((A511-1)/12)</x:f>
        <x:v>9.154252347032687</x:v>
      </x:c>
      <x:c r="E511" s="141" t="n">
        <x:f>IF(A511&lt;=$B$27,$B$45*D511,0)</x:f>
        <x:v>0</x:v>
      </x:c>
      <x:c r="F511" s="141" t="n">
        <x:f>IF(A511=$B$29,$B$44,0)</x:f>
        <x:v>0</x:v>
      </x:c>
      <x:c r="G511" s="141" t="n">
        <x:f>E511+F511</x:f>
        <x:v>0</x:v>
      </x:c>
      <x:c r="H511" s="141" t="n">
        <x:f>IF(A511=$B$29,$B$42,0)</x:f>
        <x:v>0</x:v>
      </x:c>
      <x:c r="I511" s="141" t="n">
        <x:f>IF(A511=$B$29,$B$43,0)</x:f>
        <x:v>0</x:v>
      </x:c>
      <x:c r="J511" s="140" t="str">
        <x:f>IF(A511&lt;$B$29,"Aguardando",IF(A511=$B$29,"Contemplado","Pos-contemplacao"))</x:f>
        <x:v>Pos-contemplacao</x:v>
      </x:c>
      <x:c r="K511" s="141" t="n">
        <x:f>IF(A511&gt;=$B$27,0,(K512+E512)/(1+$B$9))</x:f>
        <x:v>0</x:v>
      </x:c>
      <x:c r="L511" s="141" t="n">
        <x:f>IF(A511&lt;$B$29,$B$43/(1+$B$9)^($B$29-A511),0)</x:f>
        <x:v>0</x:v>
      </x:c>
      <x:c r="M511" s="141" t="n">
        <x:f>L511-K511</x:f>
        <x:v>0</x:v>
      </x:c>
    </x:row>
    <x:row r="512">
      <x:c r="A512" s="142" t="n">
        <x:v>458</x:v>
      </x:c>
      <x:c r="B512" s="179" t="n">
        <x:f>EDATE($B$5,A512-1)</x:f>
        <x:v>60449</x:v>
      </x:c>
      <x:c r="C512" s="141" t="n">
        <x:f>$B$6</x:f>
        <x:v>7000</x:v>
      </x:c>
      <x:c r="D512" s="180" t="n">
        <x:f>(1+$B$28)^INT((A512-1)/12)</x:f>
        <x:v>9.154252347032687</x:v>
      </x:c>
      <x:c r="E512" s="141" t="n">
        <x:f>IF(A512&lt;=$B$27,$B$45*D512,0)</x:f>
        <x:v>0</x:v>
      </x:c>
      <x:c r="F512" s="141" t="n">
        <x:f>IF(A512=$B$29,$B$44,0)</x:f>
        <x:v>0</x:v>
      </x:c>
      <x:c r="G512" s="141" t="n">
        <x:f>E512+F512</x:f>
        <x:v>0</x:v>
      </x:c>
      <x:c r="H512" s="141" t="n">
        <x:f>IF(A512=$B$29,$B$42,0)</x:f>
        <x:v>0</x:v>
      </x:c>
      <x:c r="I512" s="141" t="n">
        <x:f>IF(A512=$B$29,$B$43,0)</x:f>
        <x:v>0</x:v>
      </x:c>
      <x:c r="J512" s="140" t="str">
        <x:f>IF(A512&lt;$B$29,"Aguardando",IF(A512=$B$29,"Contemplado","Pos-contemplacao"))</x:f>
        <x:v>Pos-contemplacao</x:v>
      </x:c>
      <x:c r="K512" s="141" t="n">
        <x:f>IF(A512&gt;=$B$27,0,(K513+E513)/(1+$B$9))</x:f>
        <x:v>0</x:v>
      </x:c>
      <x:c r="L512" s="141" t="n">
        <x:f>IF(A512&lt;$B$29,$B$43/(1+$B$9)^($B$29-A512),0)</x:f>
        <x:v>0</x:v>
      </x:c>
      <x:c r="M512" s="141" t="n">
        <x:f>L512-K512</x:f>
        <x:v>0</x:v>
      </x:c>
    </x:row>
    <x:row r="513">
      <x:c r="A513" s="142" t="n">
        <x:v>459</x:v>
      </x:c>
      <x:c r="B513" s="179" t="n">
        <x:f>EDATE($B$5,A513-1)</x:f>
        <x:v>60480</x:v>
      </x:c>
      <x:c r="C513" s="141" t="n">
        <x:f>$B$6</x:f>
        <x:v>7000</x:v>
      </x:c>
      <x:c r="D513" s="180" t="n">
        <x:f>(1+$B$28)^INT((A513-1)/12)</x:f>
        <x:v>9.154252347032687</x:v>
      </x:c>
      <x:c r="E513" s="141" t="n">
        <x:f>IF(A513&lt;=$B$27,$B$45*D513,0)</x:f>
        <x:v>0</x:v>
      </x:c>
      <x:c r="F513" s="141" t="n">
        <x:f>IF(A513=$B$29,$B$44,0)</x:f>
        <x:v>0</x:v>
      </x:c>
      <x:c r="G513" s="141" t="n">
        <x:f>E513+F513</x:f>
        <x:v>0</x:v>
      </x:c>
      <x:c r="H513" s="141" t="n">
        <x:f>IF(A513=$B$29,$B$42,0)</x:f>
        <x:v>0</x:v>
      </x:c>
      <x:c r="I513" s="141" t="n">
        <x:f>IF(A513=$B$29,$B$43,0)</x:f>
        <x:v>0</x:v>
      </x:c>
      <x:c r="J513" s="140" t="str">
        <x:f>IF(A513&lt;$B$29,"Aguardando",IF(A513=$B$29,"Contemplado","Pos-contemplacao"))</x:f>
        <x:v>Pos-contemplacao</x:v>
      </x:c>
      <x:c r="K513" s="141" t="n">
        <x:f>IF(A513&gt;=$B$27,0,(K514+E514)/(1+$B$9))</x:f>
        <x:v>0</x:v>
      </x:c>
      <x:c r="L513" s="141" t="n">
        <x:f>IF(A513&lt;$B$29,$B$43/(1+$B$9)^($B$29-A513),0)</x:f>
        <x:v>0</x:v>
      </x:c>
      <x:c r="M513" s="141" t="n">
        <x:f>L513-K513</x:f>
        <x:v>0</x:v>
      </x:c>
    </x:row>
    <x:row r="514">
      <x:c r="A514" s="142" t="n">
        <x:v>460</x:v>
      </x:c>
      <x:c r="B514" s="179" t="n">
        <x:f>EDATE($B$5,A514-1)</x:f>
        <x:v>60511</x:v>
      </x:c>
      <x:c r="C514" s="141" t="n">
        <x:f>$B$6</x:f>
        <x:v>7000</x:v>
      </x:c>
      <x:c r="D514" s="180" t="n">
        <x:f>(1+$B$28)^INT((A514-1)/12)</x:f>
        <x:v>9.154252347032687</x:v>
      </x:c>
      <x:c r="E514" s="141" t="n">
        <x:f>IF(A514&lt;=$B$27,$B$45*D514,0)</x:f>
        <x:v>0</x:v>
      </x:c>
      <x:c r="F514" s="141" t="n">
        <x:f>IF(A514=$B$29,$B$44,0)</x:f>
        <x:v>0</x:v>
      </x:c>
      <x:c r="G514" s="141" t="n">
        <x:f>E514+F514</x:f>
        <x:v>0</x:v>
      </x:c>
      <x:c r="H514" s="141" t="n">
        <x:f>IF(A514=$B$29,$B$42,0)</x:f>
        <x:v>0</x:v>
      </x:c>
      <x:c r="I514" s="141" t="n">
        <x:f>IF(A514=$B$29,$B$43,0)</x:f>
        <x:v>0</x:v>
      </x:c>
      <x:c r="J514" s="140" t="str">
        <x:f>IF(A514&lt;$B$29,"Aguardando",IF(A514=$B$29,"Contemplado","Pos-contemplacao"))</x:f>
        <x:v>Pos-contemplacao</x:v>
      </x:c>
      <x:c r="K514" s="141" t="n">
        <x:f>IF(A514&gt;=$B$27,0,(K515+E515)/(1+$B$9))</x:f>
        <x:v>0</x:v>
      </x:c>
      <x:c r="L514" s="141" t="n">
        <x:f>IF(A514&lt;$B$29,$B$43/(1+$B$9)^($B$29-A514),0)</x:f>
        <x:v>0</x:v>
      </x:c>
      <x:c r="M514" s="141" t="n">
        <x:f>L514-K514</x:f>
        <x:v>0</x:v>
      </x:c>
    </x:row>
    <x:row r="515">
      <x:c r="A515" s="142" t="n">
        <x:v>461</x:v>
      </x:c>
      <x:c r="B515" s="179" t="n">
        <x:f>EDATE($B$5,A515-1)</x:f>
        <x:v>60541</x:v>
      </x:c>
      <x:c r="C515" s="141" t="n">
        <x:f>$B$6</x:f>
        <x:v>7000</x:v>
      </x:c>
      <x:c r="D515" s="180" t="n">
        <x:f>(1+$B$28)^INT((A515-1)/12)</x:f>
        <x:v>9.154252347032687</x:v>
      </x:c>
      <x:c r="E515" s="141" t="n">
        <x:f>IF(A515&lt;=$B$27,$B$45*D515,0)</x:f>
        <x:v>0</x:v>
      </x:c>
      <x:c r="F515" s="141" t="n">
        <x:f>IF(A515=$B$29,$B$44,0)</x:f>
        <x:v>0</x:v>
      </x:c>
      <x:c r="G515" s="141" t="n">
        <x:f>E515+F515</x:f>
        <x:v>0</x:v>
      </x:c>
      <x:c r="H515" s="141" t="n">
        <x:f>IF(A515=$B$29,$B$42,0)</x:f>
        <x:v>0</x:v>
      </x:c>
      <x:c r="I515" s="141" t="n">
        <x:f>IF(A515=$B$29,$B$43,0)</x:f>
        <x:v>0</x:v>
      </x:c>
      <x:c r="J515" s="140" t="str">
        <x:f>IF(A515&lt;$B$29,"Aguardando",IF(A515=$B$29,"Contemplado","Pos-contemplacao"))</x:f>
        <x:v>Pos-contemplacao</x:v>
      </x:c>
      <x:c r="K515" s="141" t="n">
        <x:f>IF(A515&gt;=$B$27,0,(K516+E516)/(1+$B$9))</x:f>
        <x:v>0</x:v>
      </x:c>
      <x:c r="L515" s="141" t="n">
        <x:f>IF(A515&lt;$B$29,$B$43/(1+$B$9)^($B$29-A515),0)</x:f>
        <x:v>0</x:v>
      </x:c>
      <x:c r="M515" s="141" t="n">
        <x:f>L515-K515</x:f>
        <x:v>0</x:v>
      </x:c>
    </x:row>
    <x:row r="516">
      <x:c r="A516" s="142" t="n">
        <x:v>462</x:v>
      </x:c>
      <x:c r="B516" s="179" t="n">
        <x:f>EDATE($B$5,A516-1)</x:f>
        <x:v>60572</x:v>
      </x:c>
      <x:c r="C516" s="141" t="n">
        <x:f>$B$6</x:f>
        <x:v>7000</x:v>
      </x:c>
      <x:c r="D516" s="180" t="n">
        <x:f>(1+$B$28)^INT((A516-1)/12)</x:f>
        <x:v>9.154252347032687</x:v>
      </x:c>
      <x:c r="E516" s="141" t="n">
        <x:f>IF(A516&lt;=$B$27,$B$45*D516,0)</x:f>
        <x:v>0</x:v>
      </x:c>
      <x:c r="F516" s="141" t="n">
        <x:f>IF(A516=$B$29,$B$44,0)</x:f>
        <x:v>0</x:v>
      </x:c>
      <x:c r="G516" s="141" t="n">
        <x:f>E516+F516</x:f>
        <x:v>0</x:v>
      </x:c>
      <x:c r="H516" s="141" t="n">
        <x:f>IF(A516=$B$29,$B$42,0)</x:f>
        <x:v>0</x:v>
      </x:c>
      <x:c r="I516" s="141" t="n">
        <x:f>IF(A516=$B$29,$B$43,0)</x:f>
        <x:v>0</x:v>
      </x:c>
      <x:c r="J516" s="140" t="str">
        <x:f>IF(A516&lt;$B$29,"Aguardando",IF(A516=$B$29,"Contemplado","Pos-contemplacao"))</x:f>
        <x:v>Pos-contemplacao</x:v>
      </x:c>
      <x:c r="K516" s="141" t="n">
        <x:f>IF(A516&gt;=$B$27,0,(K517+E517)/(1+$B$9))</x:f>
        <x:v>0</x:v>
      </x:c>
      <x:c r="L516" s="141" t="n">
        <x:f>IF(A516&lt;$B$29,$B$43/(1+$B$9)^($B$29-A516),0)</x:f>
        <x:v>0</x:v>
      </x:c>
      <x:c r="M516" s="141" t="n">
        <x:f>L516-K516</x:f>
        <x:v>0</x:v>
      </x:c>
    </x:row>
    <x:row r="517">
      <x:c r="A517" s="142" t="n">
        <x:v>463</x:v>
      </x:c>
      <x:c r="B517" s="179" t="n">
        <x:f>EDATE($B$5,A517-1)</x:f>
        <x:v>60602</x:v>
      </x:c>
      <x:c r="C517" s="141" t="n">
        <x:f>$B$6</x:f>
        <x:v>7000</x:v>
      </x:c>
      <x:c r="D517" s="180" t="n">
        <x:f>(1+$B$28)^INT((A517-1)/12)</x:f>
        <x:v>9.154252347032687</x:v>
      </x:c>
      <x:c r="E517" s="141" t="n">
        <x:f>IF(A517&lt;=$B$27,$B$45*D517,0)</x:f>
        <x:v>0</x:v>
      </x:c>
      <x:c r="F517" s="141" t="n">
        <x:f>IF(A517=$B$29,$B$44,0)</x:f>
        <x:v>0</x:v>
      </x:c>
      <x:c r="G517" s="141" t="n">
        <x:f>E517+F517</x:f>
        <x:v>0</x:v>
      </x:c>
      <x:c r="H517" s="141" t="n">
        <x:f>IF(A517=$B$29,$B$42,0)</x:f>
        <x:v>0</x:v>
      </x:c>
      <x:c r="I517" s="141" t="n">
        <x:f>IF(A517=$B$29,$B$43,0)</x:f>
        <x:v>0</x:v>
      </x:c>
      <x:c r="J517" s="140" t="str">
        <x:f>IF(A517&lt;$B$29,"Aguardando",IF(A517=$B$29,"Contemplado","Pos-contemplacao"))</x:f>
        <x:v>Pos-contemplacao</x:v>
      </x:c>
      <x:c r="K517" s="141" t="n">
        <x:f>IF(A517&gt;=$B$27,0,(K518+E518)/(1+$B$9))</x:f>
        <x:v>0</x:v>
      </x:c>
      <x:c r="L517" s="141" t="n">
        <x:f>IF(A517&lt;$B$29,$B$43/(1+$B$9)^($B$29-A517),0)</x:f>
        <x:v>0</x:v>
      </x:c>
      <x:c r="M517" s="141" t="n">
        <x:f>L517-K517</x:f>
        <x:v>0</x:v>
      </x:c>
    </x:row>
    <x:row r="518">
      <x:c r="A518" s="142" t="n">
        <x:v>464</x:v>
      </x:c>
      <x:c r="B518" s="179" t="n">
        <x:f>EDATE($B$5,A518-1)</x:f>
        <x:v>60633</x:v>
      </x:c>
      <x:c r="C518" s="141" t="n">
        <x:f>$B$6</x:f>
        <x:v>7000</x:v>
      </x:c>
      <x:c r="D518" s="180" t="n">
        <x:f>(1+$B$28)^INT((A518-1)/12)</x:f>
        <x:v>9.154252347032687</x:v>
      </x:c>
      <x:c r="E518" s="141" t="n">
        <x:f>IF(A518&lt;=$B$27,$B$45*D518,0)</x:f>
        <x:v>0</x:v>
      </x:c>
      <x:c r="F518" s="141" t="n">
        <x:f>IF(A518=$B$29,$B$44,0)</x:f>
        <x:v>0</x:v>
      </x:c>
      <x:c r="G518" s="141" t="n">
        <x:f>E518+F518</x:f>
        <x:v>0</x:v>
      </x:c>
      <x:c r="H518" s="141" t="n">
        <x:f>IF(A518=$B$29,$B$42,0)</x:f>
        <x:v>0</x:v>
      </x:c>
      <x:c r="I518" s="141" t="n">
        <x:f>IF(A518=$B$29,$B$43,0)</x:f>
        <x:v>0</x:v>
      </x:c>
      <x:c r="J518" s="140" t="str">
        <x:f>IF(A518&lt;$B$29,"Aguardando",IF(A518=$B$29,"Contemplado","Pos-contemplacao"))</x:f>
        <x:v>Pos-contemplacao</x:v>
      </x:c>
      <x:c r="K518" s="141" t="n">
        <x:f>IF(A518&gt;=$B$27,0,(K519+E519)/(1+$B$9))</x:f>
        <x:v>0</x:v>
      </x:c>
      <x:c r="L518" s="141" t="n">
        <x:f>IF(A518&lt;$B$29,$B$43/(1+$B$9)^($B$29-A518),0)</x:f>
        <x:v>0</x:v>
      </x:c>
      <x:c r="M518" s="141" t="n">
        <x:f>L518-K518</x:f>
        <x:v>0</x:v>
      </x:c>
    </x:row>
    <x:row r="519">
      <x:c r="A519" s="142" t="n">
        <x:v>465</x:v>
      </x:c>
      <x:c r="B519" s="179" t="n">
        <x:f>EDATE($B$5,A519-1)</x:f>
        <x:v>60664</x:v>
      </x:c>
      <x:c r="C519" s="141" t="n">
        <x:f>$B$6</x:f>
        <x:v>7000</x:v>
      </x:c>
      <x:c r="D519" s="180" t="n">
        <x:f>(1+$B$28)^INT((A519-1)/12)</x:f>
        <x:v>9.154252347032687</x:v>
      </x:c>
      <x:c r="E519" s="141" t="n">
        <x:f>IF(A519&lt;=$B$27,$B$45*D519,0)</x:f>
        <x:v>0</x:v>
      </x:c>
      <x:c r="F519" s="141" t="n">
        <x:f>IF(A519=$B$29,$B$44,0)</x:f>
        <x:v>0</x:v>
      </x:c>
      <x:c r="G519" s="141" t="n">
        <x:f>E519+F519</x:f>
        <x:v>0</x:v>
      </x:c>
      <x:c r="H519" s="141" t="n">
        <x:f>IF(A519=$B$29,$B$42,0)</x:f>
        <x:v>0</x:v>
      </x:c>
      <x:c r="I519" s="141" t="n">
        <x:f>IF(A519=$B$29,$B$43,0)</x:f>
        <x:v>0</x:v>
      </x:c>
      <x:c r="J519" s="140" t="str">
        <x:f>IF(A519&lt;$B$29,"Aguardando",IF(A519=$B$29,"Contemplado","Pos-contemplacao"))</x:f>
        <x:v>Pos-contemplacao</x:v>
      </x:c>
      <x:c r="K519" s="141" t="n">
        <x:f>IF(A519&gt;=$B$27,0,(K520+E520)/(1+$B$9))</x:f>
        <x:v>0</x:v>
      </x:c>
      <x:c r="L519" s="141" t="n">
        <x:f>IF(A519&lt;$B$29,$B$43/(1+$B$9)^($B$29-A519),0)</x:f>
        <x:v>0</x:v>
      </x:c>
      <x:c r="M519" s="141" t="n">
        <x:f>L519-K519</x:f>
        <x:v>0</x:v>
      </x:c>
    </x:row>
    <x:row r="520">
      <x:c r="A520" s="142" t="n">
        <x:v>466</x:v>
      </x:c>
      <x:c r="B520" s="179" t="n">
        <x:f>EDATE($B$5,A520-1)</x:f>
        <x:v>60692</x:v>
      </x:c>
      <x:c r="C520" s="141" t="n">
        <x:f>$B$6</x:f>
        <x:v>7000</x:v>
      </x:c>
      <x:c r="D520" s="180" t="n">
        <x:f>(1+$B$28)^INT((A520-1)/12)</x:f>
        <x:v>9.154252347032687</x:v>
      </x:c>
      <x:c r="E520" s="141" t="n">
        <x:f>IF(A520&lt;=$B$27,$B$45*D520,0)</x:f>
        <x:v>0</x:v>
      </x:c>
      <x:c r="F520" s="141" t="n">
        <x:f>IF(A520=$B$29,$B$44,0)</x:f>
        <x:v>0</x:v>
      </x:c>
      <x:c r="G520" s="141" t="n">
        <x:f>E520+F520</x:f>
        <x:v>0</x:v>
      </x:c>
      <x:c r="H520" s="141" t="n">
        <x:f>IF(A520=$B$29,$B$42,0)</x:f>
        <x:v>0</x:v>
      </x:c>
      <x:c r="I520" s="141" t="n">
        <x:f>IF(A520=$B$29,$B$43,0)</x:f>
        <x:v>0</x:v>
      </x:c>
      <x:c r="J520" s="140" t="str">
        <x:f>IF(A520&lt;$B$29,"Aguardando",IF(A520=$B$29,"Contemplado","Pos-contemplacao"))</x:f>
        <x:v>Pos-contemplacao</x:v>
      </x:c>
      <x:c r="K520" s="141" t="n">
        <x:f>IF(A520&gt;=$B$27,0,(K521+E521)/(1+$B$9))</x:f>
        <x:v>0</x:v>
      </x:c>
      <x:c r="L520" s="141" t="n">
        <x:f>IF(A520&lt;$B$29,$B$43/(1+$B$9)^($B$29-A520),0)</x:f>
        <x:v>0</x:v>
      </x:c>
      <x:c r="M520" s="141" t="n">
        <x:f>L520-K520</x:f>
        <x:v>0</x:v>
      </x:c>
    </x:row>
    <x:row r="521">
      <x:c r="A521" s="142" t="n">
        <x:v>467</x:v>
      </x:c>
      <x:c r="B521" s="179" t="n">
        <x:f>EDATE($B$5,A521-1)</x:f>
        <x:v>60723</x:v>
      </x:c>
      <x:c r="C521" s="141" t="n">
        <x:f>$B$6</x:f>
        <x:v>7000</x:v>
      </x:c>
      <x:c r="D521" s="180" t="n">
        <x:f>(1+$B$28)^INT((A521-1)/12)</x:f>
        <x:v>9.154252347032687</x:v>
      </x:c>
      <x:c r="E521" s="141" t="n">
        <x:f>IF(A521&lt;=$B$27,$B$45*D521,0)</x:f>
        <x:v>0</x:v>
      </x:c>
      <x:c r="F521" s="141" t="n">
        <x:f>IF(A521=$B$29,$B$44,0)</x:f>
        <x:v>0</x:v>
      </x:c>
      <x:c r="G521" s="141" t="n">
        <x:f>E521+F521</x:f>
        <x:v>0</x:v>
      </x:c>
      <x:c r="H521" s="141" t="n">
        <x:f>IF(A521=$B$29,$B$42,0)</x:f>
        <x:v>0</x:v>
      </x:c>
      <x:c r="I521" s="141" t="n">
        <x:f>IF(A521=$B$29,$B$43,0)</x:f>
        <x:v>0</x:v>
      </x:c>
      <x:c r="J521" s="140" t="str">
        <x:f>IF(A521&lt;$B$29,"Aguardando",IF(A521=$B$29,"Contemplado","Pos-contemplacao"))</x:f>
        <x:v>Pos-contemplacao</x:v>
      </x:c>
      <x:c r="K521" s="141" t="n">
        <x:f>IF(A521&gt;=$B$27,0,(K522+E522)/(1+$B$9))</x:f>
        <x:v>0</x:v>
      </x:c>
      <x:c r="L521" s="141" t="n">
        <x:f>IF(A521&lt;$B$29,$B$43/(1+$B$9)^($B$29-A521),0)</x:f>
        <x:v>0</x:v>
      </x:c>
      <x:c r="M521" s="141" t="n">
        <x:f>L521-K521</x:f>
        <x:v>0</x:v>
      </x:c>
    </x:row>
    <x:row r="522">
      <x:c r="A522" s="142" t="n">
        <x:v>468</x:v>
      </x:c>
      <x:c r="B522" s="179" t="n">
        <x:f>EDATE($B$5,A522-1)</x:f>
        <x:v>60753</x:v>
      </x:c>
      <x:c r="C522" s="141" t="n">
        <x:f>$B$6</x:f>
        <x:v>7000</x:v>
      </x:c>
      <x:c r="D522" s="180" t="n">
        <x:f>(1+$B$28)^INT((A522-1)/12)</x:f>
        <x:v>9.154252347032687</x:v>
      </x:c>
      <x:c r="E522" s="141" t="n">
        <x:f>IF(A522&lt;=$B$27,$B$45*D522,0)</x:f>
        <x:v>0</x:v>
      </x:c>
      <x:c r="F522" s="141" t="n">
        <x:f>IF(A522=$B$29,$B$44,0)</x:f>
        <x:v>0</x:v>
      </x:c>
      <x:c r="G522" s="141" t="n">
        <x:f>E522+F522</x:f>
        <x:v>0</x:v>
      </x:c>
      <x:c r="H522" s="141" t="n">
        <x:f>IF(A522=$B$29,$B$42,0)</x:f>
        <x:v>0</x:v>
      </x:c>
      <x:c r="I522" s="141" t="n">
        <x:f>IF(A522=$B$29,$B$43,0)</x:f>
        <x:v>0</x:v>
      </x:c>
      <x:c r="J522" s="140" t="str">
        <x:f>IF(A522&lt;$B$29,"Aguardando",IF(A522=$B$29,"Contemplado","Pos-contemplacao"))</x:f>
        <x:v>Pos-contemplacao</x:v>
      </x:c>
      <x:c r="K522" s="141" t="n">
        <x:f>IF(A522&gt;=$B$27,0,(K523+E523)/(1+$B$9))</x:f>
        <x:v>0</x:v>
      </x:c>
      <x:c r="L522" s="141" t="n">
        <x:f>IF(A522&lt;$B$29,$B$43/(1+$B$9)^($B$29-A522),0)</x:f>
        <x:v>0</x:v>
      </x:c>
      <x:c r="M522" s="141" t="n">
        <x:f>L522-K522</x:f>
        <x:v>0</x:v>
      </x:c>
    </x:row>
    <x:row r="523">
      <x:c r="A523" s="142" t="n">
        <x:v>469</x:v>
      </x:c>
      <x:c r="B523" s="179" t="n">
        <x:f>EDATE($B$5,A523-1)</x:f>
        <x:v>60784</x:v>
      </x:c>
      <x:c r="C523" s="141" t="n">
        <x:f>$B$6</x:f>
        <x:v>7000</x:v>
      </x:c>
      <x:c r="D523" s="180" t="n">
        <x:f>(1+$B$28)^INT((A523-1)/12)</x:f>
        <x:v>9.703507487854647</x:v>
      </x:c>
      <x:c r="E523" s="141" t="n">
        <x:f>IF(A523&lt;=$B$27,$B$45*D523,0)</x:f>
        <x:v>0</x:v>
      </x:c>
      <x:c r="F523" s="141" t="n">
        <x:f>IF(A523=$B$29,$B$44,0)</x:f>
        <x:v>0</x:v>
      </x:c>
      <x:c r="G523" s="141" t="n">
        <x:f>E523+F523</x:f>
        <x:v>0</x:v>
      </x:c>
      <x:c r="H523" s="141" t="n">
        <x:f>IF(A523=$B$29,$B$42,0)</x:f>
        <x:v>0</x:v>
      </x:c>
      <x:c r="I523" s="141" t="n">
        <x:f>IF(A523=$B$29,$B$43,0)</x:f>
        <x:v>0</x:v>
      </x:c>
      <x:c r="J523" s="140" t="str">
        <x:f>IF(A523&lt;$B$29,"Aguardando",IF(A523=$B$29,"Contemplado","Pos-contemplacao"))</x:f>
        <x:v>Pos-contemplacao</x:v>
      </x:c>
      <x:c r="K523" s="141" t="n">
        <x:f>IF(A523&gt;=$B$27,0,(K524+E524)/(1+$B$9))</x:f>
        <x:v>0</x:v>
      </x:c>
      <x:c r="L523" s="141" t="n">
        <x:f>IF(A523&lt;$B$29,$B$43/(1+$B$9)^($B$29-A523),0)</x:f>
        <x:v>0</x:v>
      </x:c>
      <x:c r="M523" s="141" t="n">
        <x:f>L523-K523</x:f>
        <x:v>0</x:v>
      </x:c>
    </x:row>
    <x:row r="524">
      <x:c r="A524" s="142" t="n">
        <x:v>470</x:v>
      </x:c>
      <x:c r="B524" s="179" t="n">
        <x:f>EDATE($B$5,A524-1)</x:f>
        <x:v>60814</x:v>
      </x:c>
      <x:c r="C524" s="141" t="n">
        <x:f>$B$6</x:f>
        <x:v>7000</x:v>
      </x:c>
      <x:c r="D524" s="180" t="n">
        <x:f>(1+$B$28)^INT((A524-1)/12)</x:f>
        <x:v>9.703507487854647</x:v>
      </x:c>
      <x:c r="E524" s="141" t="n">
        <x:f>IF(A524&lt;=$B$27,$B$45*D524,0)</x:f>
        <x:v>0</x:v>
      </x:c>
      <x:c r="F524" s="141" t="n">
        <x:f>IF(A524=$B$29,$B$44,0)</x:f>
        <x:v>0</x:v>
      </x:c>
      <x:c r="G524" s="141" t="n">
        <x:f>E524+F524</x:f>
        <x:v>0</x:v>
      </x:c>
      <x:c r="H524" s="141" t="n">
        <x:f>IF(A524=$B$29,$B$42,0)</x:f>
        <x:v>0</x:v>
      </x:c>
      <x:c r="I524" s="141" t="n">
        <x:f>IF(A524=$B$29,$B$43,0)</x:f>
        <x:v>0</x:v>
      </x:c>
      <x:c r="J524" s="140" t="str">
        <x:f>IF(A524&lt;$B$29,"Aguardando",IF(A524=$B$29,"Contemplado","Pos-contemplacao"))</x:f>
        <x:v>Pos-contemplacao</x:v>
      </x:c>
      <x:c r="K524" s="141" t="n">
        <x:f>IF(A524&gt;=$B$27,0,(K525+E525)/(1+$B$9))</x:f>
        <x:v>0</x:v>
      </x:c>
      <x:c r="L524" s="141" t="n">
        <x:f>IF(A524&lt;$B$29,$B$43/(1+$B$9)^($B$29-A524),0)</x:f>
        <x:v>0</x:v>
      </x:c>
      <x:c r="M524" s="141" t="n">
        <x:f>L524-K524</x:f>
        <x:v>0</x:v>
      </x:c>
    </x:row>
    <x:row r="525">
      <x:c r="A525" s="142" t="n">
        <x:v>471</x:v>
      </x:c>
      <x:c r="B525" s="179" t="n">
        <x:f>EDATE($B$5,A525-1)</x:f>
        <x:v>60845</x:v>
      </x:c>
      <x:c r="C525" s="141" t="n">
        <x:f>$B$6</x:f>
        <x:v>7000</x:v>
      </x:c>
      <x:c r="D525" s="180" t="n">
        <x:f>(1+$B$28)^INT((A525-1)/12)</x:f>
        <x:v>9.703507487854647</x:v>
      </x:c>
      <x:c r="E525" s="141" t="n">
        <x:f>IF(A525&lt;=$B$27,$B$45*D525,0)</x:f>
        <x:v>0</x:v>
      </x:c>
      <x:c r="F525" s="141" t="n">
        <x:f>IF(A525=$B$29,$B$44,0)</x:f>
        <x:v>0</x:v>
      </x:c>
      <x:c r="G525" s="141" t="n">
        <x:f>E525+F525</x:f>
        <x:v>0</x:v>
      </x:c>
      <x:c r="H525" s="141" t="n">
        <x:f>IF(A525=$B$29,$B$42,0)</x:f>
        <x:v>0</x:v>
      </x:c>
      <x:c r="I525" s="141" t="n">
        <x:f>IF(A525=$B$29,$B$43,0)</x:f>
        <x:v>0</x:v>
      </x:c>
      <x:c r="J525" s="140" t="str">
        <x:f>IF(A525&lt;$B$29,"Aguardando",IF(A525=$B$29,"Contemplado","Pos-contemplacao"))</x:f>
        <x:v>Pos-contemplacao</x:v>
      </x:c>
      <x:c r="K525" s="141" t="n">
        <x:f>IF(A525&gt;=$B$27,0,(K526+E526)/(1+$B$9))</x:f>
        <x:v>0</x:v>
      </x:c>
      <x:c r="L525" s="141" t="n">
        <x:f>IF(A525&lt;$B$29,$B$43/(1+$B$9)^($B$29-A525),0)</x:f>
        <x:v>0</x:v>
      </x:c>
      <x:c r="M525" s="141" t="n">
        <x:f>L525-K525</x:f>
        <x:v>0</x:v>
      </x:c>
    </x:row>
    <x:row r="526">
      <x:c r="A526" s="142" t="n">
        <x:v>472</x:v>
      </x:c>
      <x:c r="B526" s="179" t="n">
        <x:f>EDATE($B$5,A526-1)</x:f>
        <x:v>60876</x:v>
      </x:c>
      <x:c r="C526" s="141" t="n">
        <x:f>$B$6</x:f>
        <x:v>7000</x:v>
      </x:c>
      <x:c r="D526" s="180" t="n">
        <x:f>(1+$B$28)^INT((A526-1)/12)</x:f>
        <x:v>9.703507487854647</x:v>
      </x:c>
      <x:c r="E526" s="141" t="n">
        <x:f>IF(A526&lt;=$B$27,$B$45*D526,0)</x:f>
        <x:v>0</x:v>
      </x:c>
      <x:c r="F526" s="141" t="n">
        <x:f>IF(A526=$B$29,$B$44,0)</x:f>
        <x:v>0</x:v>
      </x:c>
      <x:c r="G526" s="141" t="n">
        <x:f>E526+F526</x:f>
        <x:v>0</x:v>
      </x:c>
      <x:c r="H526" s="141" t="n">
        <x:f>IF(A526=$B$29,$B$42,0)</x:f>
        <x:v>0</x:v>
      </x:c>
      <x:c r="I526" s="141" t="n">
        <x:f>IF(A526=$B$29,$B$43,0)</x:f>
        <x:v>0</x:v>
      </x:c>
      <x:c r="J526" s="140" t="str">
        <x:f>IF(A526&lt;$B$29,"Aguardando",IF(A526=$B$29,"Contemplado","Pos-contemplacao"))</x:f>
        <x:v>Pos-contemplacao</x:v>
      </x:c>
      <x:c r="K526" s="141" t="n">
        <x:f>IF(A526&gt;=$B$27,0,(K527+E527)/(1+$B$9))</x:f>
        <x:v>0</x:v>
      </x:c>
      <x:c r="L526" s="141" t="n">
        <x:f>IF(A526&lt;$B$29,$B$43/(1+$B$9)^($B$29-A526),0)</x:f>
        <x:v>0</x:v>
      </x:c>
      <x:c r="M526" s="141" t="n">
        <x:f>L526-K526</x:f>
        <x:v>0</x:v>
      </x:c>
    </x:row>
    <x:row r="527">
      <x:c r="A527" s="142" t="n">
        <x:v>473</x:v>
      </x:c>
      <x:c r="B527" s="179" t="n">
        <x:f>EDATE($B$5,A527-1)</x:f>
        <x:v>60906</x:v>
      </x:c>
      <x:c r="C527" s="141" t="n">
        <x:f>$B$6</x:f>
        <x:v>7000</x:v>
      </x:c>
      <x:c r="D527" s="180" t="n">
        <x:f>(1+$B$28)^INT((A527-1)/12)</x:f>
        <x:v>9.703507487854647</x:v>
      </x:c>
      <x:c r="E527" s="141" t="n">
        <x:f>IF(A527&lt;=$B$27,$B$45*D527,0)</x:f>
        <x:v>0</x:v>
      </x:c>
      <x:c r="F527" s="141" t="n">
        <x:f>IF(A527=$B$29,$B$44,0)</x:f>
        <x:v>0</x:v>
      </x:c>
      <x:c r="G527" s="141" t="n">
        <x:f>E527+F527</x:f>
        <x:v>0</x:v>
      </x:c>
      <x:c r="H527" s="141" t="n">
        <x:f>IF(A527=$B$29,$B$42,0)</x:f>
        <x:v>0</x:v>
      </x:c>
      <x:c r="I527" s="141" t="n">
        <x:f>IF(A527=$B$29,$B$43,0)</x:f>
        <x:v>0</x:v>
      </x:c>
      <x:c r="J527" s="140" t="str">
        <x:f>IF(A527&lt;$B$29,"Aguardando",IF(A527=$B$29,"Contemplado","Pos-contemplacao"))</x:f>
        <x:v>Pos-contemplacao</x:v>
      </x:c>
      <x:c r="K527" s="141" t="n">
        <x:f>IF(A527&gt;=$B$27,0,(K528+E528)/(1+$B$9))</x:f>
        <x:v>0</x:v>
      </x:c>
      <x:c r="L527" s="141" t="n">
        <x:f>IF(A527&lt;$B$29,$B$43/(1+$B$9)^($B$29-A527),0)</x:f>
        <x:v>0</x:v>
      </x:c>
      <x:c r="M527" s="141" t="n">
        <x:f>L527-K527</x:f>
        <x:v>0</x:v>
      </x:c>
    </x:row>
    <x:row r="528">
      <x:c r="A528" s="142" t="n">
        <x:v>474</x:v>
      </x:c>
      <x:c r="B528" s="179" t="n">
        <x:f>EDATE($B$5,A528-1)</x:f>
        <x:v>60937</x:v>
      </x:c>
      <x:c r="C528" s="141" t="n">
        <x:f>$B$6</x:f>
        <x:v>7000</x:v>
      </x:c>
      <x:c r="D528" s="180" t="n">
        <x:f>(1+$B$28)^INT((A528-1)/12)</x:f>
        <x:v>9.703507487854647</x:v>
      </x:c>
      <x:c r="E528" s="141" t="n">
        <x:f>IF(A528&lt;=$B$27,$B$45*D528,0)</x:f>
        <x:v>0</x:v>
      </x:c>
      <x:c r="F528" s="141" t="n">
        <x:f>IF(A528=$B$29,$B$44,0)</x:f>
        <x:v>0</x:v>
      </x:c>
      <x:c r="G528" s="141" t="n">
        <x:f>E528+F528</x:f>
        <x:v>0</x:v>
      </x:c>
      <x:c r="H528" s="141" t="n">
        <x:f>IF(A528=$B$29,$B$42,0)</x:f>
        <x:v>0</x:v>
      </x:c>
      <x:c r="I528" s="141" t="n">
        <x:f>IF(A528=$B$29,$B$43,0)</x:f>
        <x:v>0</x:v>
      </x:c>
      <x:c r="J528" s="140" t="str">
        <x:f>IF(A528&lt;$B$29,"Aguardando",IF(A528=$B$29,"Contemplado","Pos-contemplacao"))</x:f>
        <x:v>Pos-contemplacao</x:v>
      </x:c>
      <x:c r="K528" s="141" t="n">
        <x:f>IF(A528&gt;=$B$27,0,(K529+E529)/(1+$B$9))</x:f>
        <x:v>0</x:v>
      </x:c>
      <x:c r="L528" s="141" t="n">
        <x:f>IF(A528&lt;$B$29,$B$43/(1+$B$9)^($B$29-A528),0)</x:f>
        <x:v>0</x:v>
      </x:c>
      <x:c r="M528" s="141" t="n">
        <x:f>L528-K528</x:f>
        <x:v>0</x:v>
      </x:c>
    </x:row>
    <x:row r="529">
      <x:c r="A529" s="142" t="n">
        <x:v>475</x:v>
      </x:c>
      <x:c r="B529" s="179" t="n">
        <x:f>EDATE($B$5,A529-1)</x:f>
        <x:v>60967</x:v>
      </x:c>
      <x:c r="C529" s="141" t="n">
        <x:f>$B$6</x:f>
        <x:v>7000</x:v>
      </x:c>
      <x:c r="D529" s="180" t="n">
        <x:f>(1+$B$28)^INT((A529-1)/12)</x:f>
        <x:v>9.703507487854647</x:v>
      </x:c>
      <x:c r="E529" s="141" t="n">
        <x:f>IF(A529&lt;=$B$27,$B$45*D529,0)</x:f>
        <x:v>0</x:v>
      </x:c>
      <x:c r="F529" s="141" t="n">
        <x:f>IF(A529=$B$29,$B$44,0)</x:f>
        <x:v>0</x:v>
      </x:c>
      <x:c r="G529" s="141" t="n">
        <x:f>E529+F529</x:f>
        <x:v>0</x:v>
      </x:c>
      <x:c r="H529" s="141" t="n">
        <x:f>IF(A529=$B$29,$B$42,0)</x:f>
        <x:v>0</x:v>
      </x:c>
      <x:c r="I529" s="141" t="n">
        <x:f>IF(A529=$B$29,$B$43,0)</x:f>
        <x:v>0</x:v>
      </x:c>
      <x:c r="J529" s="140" t="str">
        <x:f>IF(A529&lt;$B$29,"Aguardando",IF(A529=$B$29,"Contemplado","Pos-contemplacao"))</x:f>
        <x:v>Pos-contemplacao</x:v>
      </x:c>
      <x:c r="K529" s="141" t="n">
        <x:f>IF(A529&gt;=$B$27,0,(K530+E530)/(1+$B$9))</x:f>
        <x:v>0</x:v>
      </x:c>
      <x:c r="L529" s="141" t="n">
        <x:f>IF(A529&lt;$B$29,$B$43/(1+$B$9)^($B$29-A529),0)</x:f>
        <x:v>0</x:v>
      </x:c>
      <x:c r="M529" s="141" t="n">
        <x:f>L529-K529</x:f>
        <x:v>0</x:v>
      </x:c>
    </x:row>
    <x:row r="530">
      <x:c r="A530" s="142" t="n">
        <x:v>476</x:v>
      </x:c>
      <x:c r="B530" s="179" t="n">
        <x:f>EDATE($B$5,A530-1)</x:f>
        <x:v>60998</x:v>
      </x:c>
      <x:c r="C530" s="141" t="n">
        <x:f>$B$6</x:f>
        <x:v>7000</x:v>
      </x:c>
      <x:c r="D530" s="180" t="n">
        <x:f>(1+$B$28)^INT((A530-1)/12)</x:f>
        <x:v>9.703507487854647</x:v>
      </x:c>
      <x:c r="E530" s="141" t="n">
        <x:f>IF(A530&lt;=$B$27,$B$45*D530,0)</x:f>
        <x:v>0</x:v>
      </x:c>
      <x:c r="F530" s="141" t="n">
        <x:f>IF(A530=$B$29,$B$44,0)</x:f>
        <x:v>0</x:v>
      </x:c>
      <x:c r="G530" s="141" t="n">
        <x:f>E530+F530</x:f>
        <x:v>0</x:v>
      </x:c>
      <x:c r="H530" s="141" t="n">
        <x:f>IF(A530=$B$29,$B$42,0)</x:f>
        <x:v>0</x:v>
      </x:c>
      <x:c r="I530" s="141" t="n">
        <x:f>IF(A530=$B$29,$B$43,0)</x:f>
        <x:v>0</x:v>
      </x:c>
      <x:c r="J530" s="140" t="str">
        <x:f>IF(A530&lt;$B$29,"Aguardando",IF(A530=$B$29,"Contemplado","Pos-contemplacao"))</x:f>
        <x:v>Pos-contemplacao</x:v>
      </x:c>
      <x:c r="K530" s="141" t="n">
        <x:f>IF(A530&gt;=$B$27,0,(K531+E531)/(1+$B$9))</x:f>
        <x:v>0</x:v>
      </x:c>
      <x:c r="L530" s="141" t="n">
        <x:f>IF(A530&lt;$B$29,$B$43/(1+$B$9)^($B$29-A530),0)</x:f>
        <x:v>0</x:v>
      </x:c>
      <x:c r="M530" s="141" t="n">
        <x:f>L530-K530</x:f>
        <x:v>0</x:v>
      </x:c>
    </x:row>
    <x:row r="531">
      <x:c r="A531" s="142" t="n">
        <x:v>477</x:v>
      </x:c>
      <x:c r="B531" s="179" t="n">
        <x:f>EDATE($B$5,A531-1)</x:f>
        <x:v>61029</x:v>
      </x:c>
      <x:c r="C531" s="141" t="n">
        <x:f>$B$6</x:f>
        <x:v>7000</x:v>
      </x:c>
      <x:c r="D531" s="180" t="n">
        <x:f>(1+$B$28)^INT((A531-1)/12)</x:f>
        <x:v>9.703507487854647</x:v>
      </x:c>
      <x:c r="E531" s="141" t="n">
        <x:f>IF(A531&lt;=$B$27,$B$45*D531,0)</x:f>
        <x:v>0</x:v>
      </x:c>
      <x:c r="F531" s="141" t="n">
        <x:f>IF(A531=$B$29,$B$44,0)</x:f>
        <x:v>0</x:v>
      </x:c>
      <x:c r="G531" s="141" t="n">
        <x:f>E531+F531</x:f>
        <x:v>0</x:v>
      </x:c>
      <x:c r="H531" s="141" t="n">
        <x:f>IF(A531=$B$29,$B$42,0)</x:f>
        <x:v>0</x:v>
      </x:c>
      <x:c r="I531" s="141" t="n">
        <x:f>IF(A531=$B$29,$B$43,0)</x:f>
        <x:v>0</x:v>
      </x:c>
      <x:c r="J531" s="140" t="str">
        <x:f>IF(A531&lt;$B$29,"Aguardando",IF(A531=$B$29,"Contemplado","Pos-contemplacao"))</x:f>
        <x:v>Pos-contemplacao</x:v>
      </x:c>
      <x:c r="K531" s="141" t="n">
        <x:f>IF(A531&gt;=$B$27,0,(K532+E532)/(1+$B$9))</x:f>
        <x:v>0</x:v>
      </x:c>
      <x:c r="L531" s="141" t="n">
        <x:f>IF(A531&lt;$B$29,$B$43/(1+$B$9)^($B$29-A531),0)</x:f>
        <x:v>0</x:v>
      </x:c>
      <x:c r="M531" s="141" t="n">
        <x:f>L531-K531</x:f>
        <x:v>0</x:v>
      </x:c>
    </x:row>
    <x:row r="532">
      <x:c r="A532" s="142" t="n">
        <x:v>478</x:v>
      </x:c>
      <x:c r="B532" s="179" t="n">
        <x:f>EDATE($B$5,A532-1)</x:f>
        <x:v>61057</x:v>
      </x:c>
      <x:c r="C532" s="141" t="n">
        <x:f>$B$6</x:f>
        <x:v>7000</x:v>
      </x:c>
      <x:c r="D532" s="180" t="n">
        <x:f>(1+$B$28)^INT((A532-1)/12)</x:f>
        <x:v>9.703507487854647</x:v>
      </x:c>
      <x:c r="E532" s="141" t="n">
        <x:f>IF(A532&lt;=$B$27,$B$45*D532,0)</x:f>
        <x:v>0</x:v>
      </x:c>
      <x:c r="F532" s="141" t="n">
        <x:f>IF(A532=$B$29,$B$44,0)</x:f>
        <x:v>0</x:v>
      </x:c>
      <x:c r="G532" s="141" t="n">
        <x:f>E532+F532</x:f>
        <x:v>0</x:v>
      </x:c>
      <x:c r="H532" s="141" t="n">
        <x:f>IF(A532=$B$29,$B$42,0)</x:f>
        <x:v>0</x:v>
      </x:c>
      <x:c r="I532" s="141" t="n">
        <x:f>IF(A532=$B$29,$B$43,0)</x:f>
        <x:v>0</x:v>
      </x:c>
      <x:c r="J532" s="140" t="str">
        <x:f>IF(A532&lt;$B$29,"Aguardando",IF(A532=$B$29,"Contemplado","Pos-contemplacao"))</x:f>
        <x:v>Pos-contemplacao</x:v>
      </x:c>
      <x:c r="K532" s="141" t="n">
        <x:f>IF(A532&gt;=$B$27,0,(K533+E533)/(1+$B$9))</x:f>
        <x:v>0</x:v>
      </x:c>
      <x:c r="L532" s="141" t="n">
        <x:f>IF(A532&lt;$B$29,$B$43/(1+$B$9)^($B$29-A532),0)</x:f>
        <x:v>0</x:v>
      </x:c>
      <x:c r="M532" s="141" t="n">
        <x:f>L532-K532</x:f>
        <x:v>0</x:v>
      </x:c>
    </x:row>
    <x:row r="533">
      <x:c r="A533" s="142" t="n">
        <x:v>479</x:v>
      </x:c>
      <x:c r="B533" s="179" t="n">
        <x:f>EDATE($B$5,A533-1)</x:f>
        <x:v>61088</x:v>
      </x:c>
      <x:c r="C533" s="141" t="n">
        <x:f>$B$6</x:f>
        <x:v>7000</x:v>
      </x:c>
      <x:c r="D533" s="180" t="n">
        <x:f>(1+$B$28)^INT((A533-1)/12)</x:f>
        <x:v>9.703507487854647</x:v>
      </x:c>
      <x:c r="E533" s="141" t="n">
        <x:f>IF(A533&lt;=$B$27,$B$45*D533,0)</x:f>
        <x:v>0</x:v>
      </x:c>
      <x:c r="F533" s="141" t="n">
        <x:f>IF(A533=$B$29,$B$44,0)</x:f>
        <x:v>0</x:v>
      </x:c>
      <x:c r="G533" s="141" t="n">
        <x:f>E533+F533</x:f>
        <x:v>0</x:v>
      </x:c>
      <x:c r="H533" s="141" t="n">
        <x:f>IF(A533=$B$29,$B$42,0)</x:f>
        <x:v>0</x:v>
      </x:c>
      <x:c r="I533" s="141" t="n">
        <x:f>IF(A533=$B$29,$B$43,0)</x:f>
        <x:v>0</x:v>
      </x:c>
      <x:c r="J533" s="140" t="str">
        <x:f>IF(A533&lt;$B$29,"Aguardando",IF(A533=$B$29,"Contemplado","Pos-contemplacao"))</x:f>
        <x:v>Pos-contemplacao</x:v>
      </x:c>
      <x:c r="K533" s="141" t="n">
        <x:f>IF(A533&gt;=$B$27,0,(K534+E534)/(1+$B$9))</x:f>
        <x:v>0</x:v>
      </x:c>
      <x:c r="L533" s="141" t="n">
        <x:f>IF(A533&lt;$B$29,$B$43/(1+$B$9)^($B$29-A533),0)</x:f>
        <x:v>0</x:v>
      </x:c>
      <x:c r="M533" s="141" t="n">
        <x:f>L533-K533</x:f>
        <x:v>0</x:v>
      </x:c>
    </x:row>
    <x:row r="534">
      <x:c r="A534" s="142" t="n">
        <x:v>480</x:v>
      </x:c>
      <x:c r="B534" s="179" t="n">
        <x:f>EDATE($B$5,A534-1)</x:f>
        <x:v>61118</x:v>
      </x:c>
      <x:c r="C534" s="141" t="n">
        <x:f>$B$6</x:f>
        <x:v>7000</x:v>
      </x:c>
      <x:c r="D534" s="180" t="n">
        <x:f>(1+$B$28)^INT((A534-1)/12)</x:f>
        <x:v>9.703507487854647</x:v>
      </x:c>
      <x:c r="E534" s="141" t="n">
        <x:f>IF(A534&lt;=$B$27,$B$45*D534,0)</x:f>
        <x:v>0</x:v>
      </x:c>
      <x:c r="F534" s="141" t="n">
        <x:f>IF(A534=$B$29,$B$44,0)</x:f>
        <x:v>0</x:v>
      </x:c>
      <x:c r="G534" s="141" t="n">
        <x:f>E534+F534</x:f>
        <x:v>0</x:v>
      </x:c>
      <x:c r="H534" s="141" t="n">
        <x:f>IF(A534=$B$29,$B$42,0)</x:f>
        <x:v>0</x:v>
      </x:c>
      <x:c r="I534" s="141" t="n">
        <x:f>IF(A534=$B$29,$B$43,0)</x:f>
        <x:v>0</x:v>
      </x:c>
      <x:c r="J534" s="140" t="str">
        <x:f>IF(A534&lt;$B$29,"Aguardando",IF(A534=$B$29,"Contemplado","Pos-contemplacao"))</x:f>
        <x:v>Pos-contemplacao</x:v>
      </x:c>
      <x:c r="K534" s="141" t="n">
        <x:f>0</x:f>
        <x:v>0</x:v>
      </x:c>
      <x:c r="L534" s="141" t="n">
        <x:f>IF(A534&lt;$B$29,$B$43/(1+$B$9)^($B$29-A534),0)</x:f>
        <x:v>0</x:v>
      </x:c>
      <x:c r="M534" s="141" t="n">
        <x:f>L534-K534</x:f>
        <x:v>0</x:v>
      </x:c>
    </x:row>
  </x:sheetData>
  <x:mergeCells>
    <x:mergeCell ref="A1:M1"/>
    <x:mergeCell ref="A3:E3"/>
    <x:mergeCell ref="A22:E22"/>
    <x:mergeCell ref="G3:J3"/>
    <x:mergeCell ref="D4:E4"/>
    <x:mergeCell ref="D5:E5"/>
    <x:mergeCell ref="D6:E6"/>
    <x:mergeCell ref="D7:E7"/>
    <x:mergeCell ref="D8:E8"/>
    <x:mergeCell ref="D9:E9"/>
    <x:mergeCell ref="D23:E23"/>
    <x:mergeCell ref="D24:E24"/>
    <x:mergeCell ref="D25:E25"/>
    <x:mergeCell ref="D26:E26"/>
    <x:mergeCell ref="D27:E27"/>
    <x:mergeCell ref="D28:E28"/>
    <x:mergeCell ref="D29:E29"/>
    <x:mergeCell ref="D31:E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D41:E41"/>
    <x:mergeCell ref="D42:E42"/>
    <x:mergeCell ref="D43:E43"/>
    <x:mergeCell ref="D44:E44"/>
    <x:mergeCell ref="D45:E45"/>
  </x:mergeCells>
  <x:dataValidations count="3">
    <x:dataValidation type="list" sqref="B31">
      <x:formula1>"Sim,Nao"</x:formula1>
    </x:dataValidation>
    <x:dataValidation type="list" sqref="B33">
      <x:formula1>"Sim,Nao"</x:formula1>
    </x:dataValidation>
    <x:dataValidation type="list" sqref="B35">
      <x:formula1>"Sim,Nao"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1.5" hidden="0" customWidth="1"/>
    <x:col min="3" max="3" width="14.75" hidden="0" customWidth="1"/>
    <x:col min="4" max="4" width="13.75" hidden="0" customWidth="1"/>
    <x:col min="5" max="5" width="14.75" hidden="0" customWidth="1"/>
    <x:col min="6" max="6" width="9.75" hidden="0" customWidth="1"/>
    <x:col min="7" max="7" width="14" hidden="0" customWidth="1"/>
    <x:col min="8" max="8" width="13.130000114440918" hidden="0" customWidth="1"/>
    <x:col min="9" max="9" width="11" hidden="0" customWidth="1"/>
    <x:col min="10" max="10" width="14.75" hidden="0" customWidth="1"/>
    <x:col min="11" max="11" width="13.75" hidden="0" customWidth="1"/>
    <x:col min="12" max="12" width="15.25" hidden="0" customWidth="1"/>
    <x:col min="13" max="13" width="14.75" hidden="0" customWidth="1"/>
  </x:cols>
  <x:sheetData>
    <x:row r="1" ht="25.5" customHeight="1">
      <x:c r="A1" s="189" t="str">
        <x:v>Cronograma do financiamento SAC/PRICE</x:v>
      </x:c>
      <x:c r="B1" s="190" t="str">
        <x:v>Cronograma do financiamento SAC/PRICE</x:v>
      </x:c>
      <x:c r="C1" s="190" t="str">
        <x:v>Cronograma do financiamento SAC/PRICE</x:v>
      </x:c>
      <x:c r="D1" s="190" t="str">
        <x:v>Cronograma do financiamento SAC/PRICE</x:v>
      </x:c>
      <x:c r="E1" s="190" t="str">
        <x:v>Cronograma do financiamento SAC/PRICE</x:v>
      </x:c>
      <x:c r="F1" s="190" t="str">
        <x:v>Cronograma do financiamento SAC/PRICE</x:v>
      </x:c>
      <x:c r="G1" s="190" t="str">
        <x:v>Cronograma do financiamento SAC/PRICE</x:v>
      </x:c>
      <x:c r="H1" s="190" t="str">
        <x:v>Cronograma do financiamento SAC/PRICE</x:v>
      </x:c>
      <x:c r="I1" s="190" t="str">
        <x:v>Cronograma do financiamento SAC/PRICE</x:v>
      </x:c>
      <x:c r="J1" s="190" t="str">
        <x:v>Cronograma do financiamento SAC/PRICE</x:v>
      </x:c>
      <x:c r="K1" s="190" t="str">
        <x:v>Cronograma do financiamento SAC/PRICE</x:v>
      </x:c>
      <x:c r="L1" s="190" t="str">
        <x:v>Cronograma do financiamento SAC/PRICE</x:v>
      </x:c>
      <x:c r="M1" s="191" t="str">
        <x:v>Cronograma do financiamento SAC/PRICE</x:v>
      </x:c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</x:row>
    <x:row r="3">
      <x:c r="A3" s="130"/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  <x:c r="M3" s="130"/>
    </x:row>
    <x:row r="4">
      <x:c r="A4" s="130"/>
      <x:c r="B4" s="130"/>
      <x:c r="C4" s="130"/>
      <x:c r="D4" s="130"/>
      <x:c r="E4" s="130"/>
      <x:c r="F4" s="130"/>
      <x:c r="G4" s="130"/>
      <x:c r="H4" s="130"/>
      <x:c r="I4" s="130"/>
      <x:c r="J4" s="130"/>
      <x:c r="K4" s="130"/>
      <x:c r="L4" s="130"/>
      <x:c r="M4" s="130"/>
    </x:row>
    <x:row r="5" ht="25.5" customHeight="1">
      <x:c r="A5" s="193" t="str">
        <x:v>Mes</x:v>
      </x:c>
      <x:c r="B5" s="193" t="str">
        <x:v>Data</x:v>
      </x:c>
      <x:c r="C5" s="193" t="str">
        <x:v>Saldo inicial</x:v>
      </x:c>
      <x:c r="D5" s="193" t="str">
        <x:v>Correcao/indexador</x:v>
      </x:c>
      <x:c r="E5" s="193" t="str">
        <x:v>Saldo corrigido</x:v>
      </x:c>
      <x:c r="F5" s="193" t="str">
        <x:v>Meses restantes</x:v>
      </x:c>
      <x:c r="G5" s="193" t="str">
        <x:v>Amortizacao</x:v>
      </x:c>
      <x:c r="H5" s="193" t="str">
        <x:v>Juros</x:v>
      </x:c>
      <x:c r="I5" s="193" t="str">
        <x:v>Seguro</x:v>
      </x:c>
      <x:c r="J5" s="193" t="str">
        <x:v>Prestacao total</x:v>
      </x:c>
      <x:c r="K5" s="193" t="str">
        <x:v>Juros + seguro</x:v>
      </x:c>
      <x:c r="L5" s="193" t="str">
        <x:v>Pago acumulado</x:v>
      </x:c>
      <x:c r="M5" s="193" t="str">
        <x:v>Saldo final</x:v>
      </x:c>
    </x:row>
    <x:row r="6">
      <x:c r="A6" s="185" t="n">
        <x:v>1</x:v>
      </x:c>
      <x:c r="B6" s="186" t="n">
        <x:f>EDATE(Premissas!$B$4,0)</x:f>
        <x:v>46539</x:v>
      </x:c>
      <x:c r="C6" s="144" t="n">
        <x:f>Premissas!$B$10</x:f>
        <x:v>160000</x:v>
      </x:c>
      <x:c r="D6" s="144" t="n">
        <x:f>IF(C6&gt;0,C6*Premissas!$B$17,0)</x:f>
        <x:v>0</x:v>
      </x:c>
      <x:c r="E6" s="144" t="n">
        <x:f>C6+D6</x:f>
        <x:v>160000</x:v>
      </x:c>
      <x:c r="F6" s="185" t="n">
        <x:f>MAX(0,Premissas!$B$13-A6+1)</x:f>
        <x:v>420</x:v>
      </x:c>
      <x:c r="G6" s="144" t="n">
        <x:f>IF(AND(E6&gt;0,F6&gt;0),IF(Premissas!$B$19="PRICE",MAX(0,MIN(E6,IF(Premissas!$B$15=0,E6/F6,E6*Premissas!$B$15/(1-(1+Premissas!$B$15)^(-F6)))-H6)),MIN(E6,E6/F6)),0)</x:f>
        <x:v>380.95238095238096</x:v>
      </x:c>
      <x:c r="H6" s="144" t="n">
        <x:f>IF(AND(E6&gt;0,F6&gt;0),E6*Premissas!$B$15,0)</x:f>
        <x:v>1518.2068695332873</x:v>
      </x:c>
      <x:c r="I6" s="144" t="n">
        <x:f>IF(AND(E6&gt;0,F6&gt;0),Premissas!$B$18,0)</x:f>
        <x:v>150</x:v>
      </x:c>
      <x:c r="J6" s="144" t="n">
        <x:f>IF(AND(E6&gt;0,F6&gt;0),IF(Premissas!$B$19="PRICE",IF(Premissas!$B$15=0,E6/F6,E6*Premissas!$B$15/(1-(1+Premissas!$B$15)^(-F6)))+I6,G6+H6+I6),0)</x:f>
        <x:v>2049.159250485668</x:v>
      </x:c>
      <x:c r="K6" s="144" t="n">
        <x:f>H6+I6</x:f>
        <x:v>1668.2068695332873</x:v>
      </x:c>
      <x:c r="L6" s="144" t="n">
        <x:f>SUM($J$6:J6)</x:f>
        <x:v>2049.159250485668</x:v>
      </x:c>
      <x:c r="M6" s="144" t="n">
        <x:f>MAX(0,E6-G6)</x:f>
        <x:v>159619.04761904763</x:v>
      </x:c>
    </x:row>
    <x:row r="7">
      <x:c r="A7" s="142" t="n">
        <x:v>2</x:v>
      </x:c>
      <x:c r="B7" s="179" t="n">
        <x:f>EDATE(Premissas!$B$4,1)</x:f>
        <x:v>46569</x:v>
      </x:c>
      <x:c r="C7" s="141" t="n">
        <x:f>M6</x:f>
        <x:v>159619.04761904763</x:v>
      </x:c>
      <x:c r="D7" s="141" t="n">
        <x:f>IF(C7&gt;0,C7*Premissas!$B$17,0)</x:f>
        <x:v>0</x:v>
      </x:c>
      <x:c r="E7" s="141" t="n">
        <x:f>C7+D7</x:f>
        <x:v>159619.04761904763</x:v>
      </x:c>
      <x:c r="F7" s="142" t="n">
        <x:f>MAX(0,Premissas!$B$13-A7+1)</x:f>
        <x:v>419</x:v>
      </x:c>
      <x:c r="G7" s="141" t="n">
        <x:f>IF(AND(E7&gt;0,F7&gt;0),IF(Premissas!$B$19="PRICE",MAX(0,MIN(E7,IF(Premissas!$B$15=0,E7/F7,E7*Premissas!$B$15/(1-(1+Premissas!$B$15)^(-F7)))-H7)),MIN(E7,E7/F7)),0)</x:f>
        <x:v>380.95238095238096</x:v>
      </x:c>
      <x:c r="H7" s="141" t="n">
        <x:f>IF(AND(E7&gt;0,F7&gt;0),E7*Premissas!$B$15,0)</x:f>
        <x:v>1514.592091272494</x:v>
      </x:c>
      <x:c r="I7" s="141" t="n">
        <x:f>IF(AND(E7&gt;0,F7&gt;0),Premissas!$B$18,0)</x:f>
        <x:v>150</x:v>
      </x:c>
      <x:c r="J7" s="141" t="n">
        <x:f>IF(AND(E7&gt;0,F7&gt;0),IF(Premissas!$B$19="PRICE",IF(Premissas!$B$15=0,E7/F7,E7*Premissas!$B$15/(1-(1+Premissas!$B$15)^(-F7)))+I7,G7+H7+I7),0)</x:f>
        <x:v>2045.5444722248749</x:v>
      </x:c>
      <x:c r="K7" s="141" t="n">
        <x:f>H7+I7</x:f>
        <x:v>1664.592091272494</x:v>
      </x:c>
      <x:c r="L7" s="141" t="n">
        <x:f>SUM($J$6:J7)</x:f>
        <x:v>4094.703722710543</x:v>
      </x:c>
      <x:c r="M7" s="141" t="n">
        <x:f>MAX(0,E7-G7)</x:f>
        <x:v>159238.09523809527</x:v>
      </x:c>
    </x:row>
    <x:row r="8">
      <x:c r="A8" s="142" t="n">
        <x:v>3</x:v>
      </x:c>
      <x:c r="B8" s="179" t="n">
        <x:f>EDATE(Premissas!$B$4,2)</x:f>
        <x:v>46600</x:v>
      </x:c>
      <x:c r="C8" s="141" t="n">
        <x:f>M7</x:f>
        <x:v>159238.09523809527</x:v>
      </x:c>
      <x:c r="D8" s="141" t="n">
        <x:f>IF(C8&gt;0,C8*Premissas!$B$17,0)</x:f>
        <x:v>0</x:v>
      </x:c>
      <x:c r="E8" s="141" t="n">
        <x:f>C8+D8</x:f>
        <x:v>159238.09523809527</x:v>
      </x:c>
      <x:c r="F8" s="142" t="n">
        <x:f>MAX(0,Premissas!$B$13-A8+1)</x:f>
        <x:v>418</x:v>
      </x:c>
      <x:c r="G8" s="141" t="n">
        <x:f>IF(AND(E8&gt;0,F8&gt;0),IF(Premissas!$B$19="PRICE",MAX(0,MIN(E8,IF(Premissas!$B$15=0,E8/F8,E8*Premissas!$B$15/(1-(1+Premissas!$B$15)^(-F8)))-H8)),MIN(E8,E8/F8)),0)</x:f>
        <x:v>380.952380952381</x:v>
      </x:c>
      <x:c r="H8" s="141" t="n">
        <x:f>IF(AND(E8&gt;0,F8&gt;0),E8*Premissas!$B$15,0)</x:f>
        <x:v>1510.9773130117005</x:v>
      </x:c>
      <x:c r="I8" s="141" t="n">
        <x:f>IF(AND(E8&gt;0,F8&gt;0),Premissas!$B$18,0)</x:f>
        <x:v>150</x:v>
      </x:c>
      <x:c r="J8" s="141" t="n">
        <x:f>IF(AND(E8&gt;0,F8&gt;0),IF(Premissas!$B$19="PRICE",IF(Premissas!$B$15=0,E8/F8,E8*Premissas!$B$15/(1-(1+Premissas!$B$15)^(-F8)))+I8,G8+H8+I8),0)</x:f>
        <x:v>2041.9296939640815</x:v>
      </x:c>
      <x:c r="K8" s="141" t="n">
        <x:f>H8+I8</x:f>
        <x:v>1660.9773130117005</x:v>
      </x:c>
      <x:c r="L8" s="141" t="n">
        <x:f>SUM($J$6:J8)</x:f>
        <x:v>6136.633416674625</x:v>
      </x:c>
      <x:c r="M8" s="141" t="n">
        <x:f>MAX(0,E8-G8)</x:f>
        <x:v>158857.1428571429</x:v>
      </x:c>
    </x:row>
    <x:row r="9">
      <x:c r="A9" s="142" t="n">
        <x:v>4</x:v>
      </x:c>
      <x:c r="B9" s="179" t="n">
        <x:f>EDATE(Premissas!$B$4,3)</x:f>
        <x:v>46631</x:v>
      </x:c>
      <x:c r="C9" s="141" t="n">
        <x:f>M8</x:f>
        <x:v>158857.1428571429</x:v>
      </x:c>
      <x:c r="D9" s="141" t="n">
        <x:f>IF(C9&gt;0,C9*Premissas!$B$17,0)</x:f>
        <x:v>0</x:v>
      </x:c>
      <x:c r="E9" s="141" t="n">
        <x:f>C9+D9</x:f>
        <x:v>158857.1428571429</x:v>
      </x:c>
      <x:c r="F9" s="142" t="n">
        <x:f>MAX(0,Premissas!$B$13-A9+1)</x:f>
        <x:v>417</x:v>
      </x:c>
      <x:c r="G9" s="141" t="n">
        <x:f>IF(AND(E9&gt;0,F9&gt;0),IF(Premissas!$B$19="PRICE",MAX(0,MIN(E9,IF(Premissas!$B$15=0,E9/F9,E9*Premissas!$B$15/(1-(1+Premissas!$B$15)^(-F9)))-H9)),MIN(E9,E9/F9)),0)</x:f>
        <x:v>380.9523809523811</x:v>
      </x:c>
      <x:c r="H9" s="141" t="n">
        <x:f>IF(AND(E9&gt;0,F9&gt;0),E9*Premissas!$B$15,0)</x:f>
        <x:v>1507.3625347509071</x:v>
      </x:c>
      <x:c r="I9" s="141" t="n">
        <x:f>IF(AND(E9&gt;0,F9&gt;0),Premissas!$B$18,0)</x:f>
        <x:v>150</x:v>
      </x:c>
      <x:c r="J9" s="141" t="n">
        <x:f>IF(AND(E9&gt;0,F9&gt;0),IF(Premissas!$B$19="PRICE",IF(Premissas!$B$15=0,E9/F9,E9*Premissas!$B$15/(1-(1+Premissas!$B$15)^(-F9)))+I9,G9+H9+I9),0)</x:f>
        <x:v>2038.314915703288</x:v>
      </x:c>
      <x:c r="K9" s="141" t="n">
        <x:f>H9+I9</x:f>
        <x:v>1657.3625347509071</x:v>
      </x:c>
      <x:c r="L9" s="141" t="n">
        <x:f>SUM($J$6:J9)</x:f>
        <x:v>8174.948332377913</x:v>
      </x:c>
      <x:c r="M9" s="141" t="n">
        <x:f>MAX(0,E9-G9)</x:f>
        <x:v>158476.19047619053</x:v>
      </x:c>
    </x:row>
    <x:row r="10">
      <x:c r="A10" s="142" t="n">
        <x:v>5</x:v>
      </x:c>
      <x:c r="B10" s="179" t="n">
        <x:f>EDATE(Premissas!$B$4,4)</x:f>
        <x:v>46661</x:v>
      </x:c>
      <x:c r="C10" s="141" t="n">
        <x:f>M9</x:f>
        <x:v>158476.19047619053</x:v>
      </x:c>
      <x:c r="D10" s="141" t="n">
        <x:f>IF(C10&gt;0,C10*Premissas!$B$17,0)</x:f>
        <x:v>0</x:v>
      </x:c>
      <x:c r="E10" s="141" t="n">
        <x:f>C10+D10</x:f>
        <x:v>158476.19047619053</x:v>
      </x:c>
      <x:c r="F10" s="142" t="n">
        <x:f>MAX(0,Premissas!$B$13-A10+1)</x:f>
        <x:v>416</x:v>
      </x:c>
      <x:c r="G10" s="141" t="n">
        <x:f>IF(AND(E10&gt;0,F10&gt;0),IF(Premissas!$B$19="PRICE",MAX(0,MIN(E10,IF(Premissas!$B$15=0,E10/F10,E10*Premissas!$B$15/(1-(1+Premissas!$B$15)^(-F10)))-H10)),MIN(E10,E10/F10)),0)</x:f>
        <x:v>380.9523809523811</x:v>
      </x:c>
      <x:c r="H10" s="141" t="n">
        <x:f>IF(AND(E10&gt;0,F10&gt;0),E10*Premissas!$B$15,0)</x:f>
        <x:v>1503.7477564901137</x:v>
      </x:c>
      <x:c r="I10" s="141" t="n">
        <x:f>IF(AND(E10&gt;0,F10&gt;0),Premissas!$B$18,0)</x:f>
        <x:v>150</x:v>
      </x:c>
      <x:c r="J10" s="141" t="n">
        <x:f>IF(AND(E10&gt;0,F10&gt;0),IF(Premissas!$B$19="PRICE",IF(Premissas!$B$15=0,E10/F10,E10*Premissas!$B$15/(1-(1+Premissas!$B$15)^(-F10)))+I10,G10+H10+I10),0)</x:f>
        <x:v>2034.700137442495</x:v>
      </x:c>
      <x:c r="K10" s="141" t="n">
        <x:f>H10+I10</x:f>
        <x:v>1653.7477564901137</x:v>
      </x:c>
      <x:c r="L10" s="141" t="n">
        <x:f>SUM($J$6:J10)</x:f>
        <x:v>10209.648469820408</x:v>
      </x:c>
      <x:c r="M10" s="141" t="n">
        <x:f>MAX(0,E10-G10)</x:f>
        <x:v>158095.23809523816</x:v>
      </x:c>
    </x:row>
    <x:row r="11">
      <x:c r="A11" s="142" t="n">
        <x:v>6</x:v>
      </x:c>
      <x:c r="B11" s="179" t="n">
        <x:f>EDATE(Premissas!$B$4,5)</x:f>
        <x:v>46692</x:v>
      </x:c>
      <x:c r="C11" s="141" t="n">
        <x:f>M10</x:f>
        <x:v>158095.23809523816</x:v>
      </x:c>
      <x:c r="D11" s="141" t="n">
        <x:f>IF(C11&gt;0,C11*Premissas!$B$17,0)</x:f>
        <x:v>0</x:v>
      </x:c>
      <x:c r="E11" s="141" t="n">
        <x:f>C11+D11</x:f>
        <x:v>158095.23809523816</x:v>
      </x:c>
      <x:c r="F11" s="142" t="n">
        <x:f>MAX(0,Premissas!$B$13-A11+1)</x:f>
        <x:v>415</x:v>
      </x:c>
      <x:c r="G11" s="141" t="n">
        <x:f>IF(AND(E11&gt;0,F11&gt;0),IF(Premissas!$B$19="PRICE",MAX(0,MIN(E11,IF(Premissas!$B$15=0,E11/F11,E11*Premissas!$B$15/(1-(1+Premissas!$B$15)^(-F11)))-H11)),MIN(E11,E11/F11)),0)</x:f>
        <x:v>380.95238095238113</x:v>
      </x:c>
      <x:c r="H11" s="141" t="n">
        <x:f>IF(AND(E11&gt;0,F11&gt;0),E11*Premissas!$B$15,0)</x:f>
        <x:v>1500.1329782293203</x:v>
      </x:c>
      <x:c r="I11" s="141" t="n">
        <x:f>IF(AND(E11&gt;0,F11&gt;0),Premissas!$B$18,0)</x:f>
        <x:v>150</x:v>
      </x:c>
      <x:c r="J11" s="141" t="n">
        <x:f>IF(AND(E11&gt;0,F11&gt;0),IF(Premissas!$B$19="PRICE",IF(Premissas!$B$15=0,E11/F11,E11*Premissas!$B$15/(1-(1+Premissas!$B$15)^(-F11)))+I11,G11+H11+I11),0)</x:f>
        <x:v>2031.0853591817015</x:v>
      </x:c>
      <x:c r="K11" s="141" t="n">
        <x:f>H11+I11</x:f>
        <x:v>1650.1329782293203</x:v>
      </x:c>
      <x:c r="L11" s="141" t="n">
        <x:f>SUM($J$6:J11)</x:f>
        <x:v>12240.733829002109</x:v>
      </x:c>
      <x:c r="M11" s="141" t="n">
        <x:f>MAX(0,E11-G11)</x:f>
        <x:v>157714.2857142858</x:v>
      </x:c>
    </x:row>
    <x:row r="12">
      <x:c r="A12" s="142" t="n">
        <x:v>7</x:v>
      </x:c>
      <x:c r="B12" s="179" t="n">
        <x:f>EDATE(Premissas!$B$4,6)</x:f>
        <x:v>46722</x:v>
      </x:c>
      <x:c r="C12" s="141" t="n">
        <x:f>M11</x:f>
        <x:v>157714.2857142858</x:v>
      </x:c>
      <x:c r="D12" s="141" t="n">
        <x:f>IF(C12&gt;0,C12*Premissas!$B$17,0)</x:f>
        <x:v>0</x:v>
      </x:c>
      <x:c r="E12" s="141" t="n">
        <x:f>C12+D12</x:f>
        <x:v>157714.2857142858</x:v>
      </x:c>
      <x:c r="F12" s="142" t="n">
        <x:f>MAX(0,Premissas!$B$13-A12+1)</x:f>
        <x:v>414</x:v>
      </x:c>
      <x:c r="G12" s="141" t="n">
        <x:f>IF(AND(E12&gt;0,F12&gt;0),IF(Premissas!$B$19="PRICE",MAX(0,MIN(E12,IF(Premissas!$B$15=0,E12/F12,E12*Premissas!$B$15/(1-(1+Premissas!$B$15)^(-F12)))-H12)),MIN(E12,E12/F12)),0)</x:f>
        <x:v>380.95238095238113</x:v>
      </x:c>
      <x:c r="H12" s="141" t="n">
        <x:f>IF(AND(E12&gt;0,F12&gt;0),E12*Premissas!$B$15,0)</x:f>
        <x:v>1496.518199968527</x:v>
      </x:c>
      <x:c r="I12" s="141" t="n">
        <x:f>IF(AND(E12&gt;0,F12&gt;0),Premissas!$B$18,0)</x:f>
        <x:v>150</x:v>
      </x:c>
      <x:c r="J12" s="141" t="n">
        <x:f>IF(AND(E12&gt;0,F12&gt;0),IF(Premissas!$B$19="PRICE",IF(Premissas!$B$15=0,E12/F12,E12*Premissas!$B$15/(1-(1+Premissas!$B$15)^(-F12)))+I12,G12+H12+I12),0)</x:f>
        <x:v>2027.470580920908</x:v>
      </x:c>
      <x:c r="K12" s="141" t="n">
        <x:f>H12+I12</x:f>
        <x:v>1646.518199968527</x:v>
      </x:c>
      <x:c r="L12" s="141" t="n">
        <x:f>SUM($J$6:J12)</x:f>
        <x:v>14268.204409923017</x:v>
      </x:c>
      <x:c r="M12" s="141" t="n">
        <x:f>MAX(0,E12-G12)</x:f>
        <x:v>157333.33333333343</x:v>
      </x:c>
    </x:row>
    <x:row r="13">
      <x:c r="A13" s="142" t="n">
        <x:v>8</x:v>
      </x:c>
      <x:c r="B13" s="179" t="n">
        <x:f>EDATE(Premissas!$B$4,7)</x:f>
        <x:v>46753</x:v>
      </x:c>
      <x:c r="C13" s="141" t="n">
        <x:f>M12</x:f>
        <x:v>157333.33333333343</x:v>
      </x:c>
      <x:c r="D13" s="141" t="n">
        <x:f>IF(C13&gt;0,C13*Premissas!$B$17,0)</x:f>
        <x:v>0</x:v>
      </x:c>
      <x:c r="E13" s="141" t="n">
        <x:f>C13+D13</x:f>
        <x:v>157333.33333333343</x:v>
      </x:c>
      <x:c r="F13" s="142" t="n">
        <x:f>MAX(0,Premissas!$B$13-A13+1)</x:f>
        <x:v>413</x:v>
      </x:c>
      <x:c r="G13" s="141" t="n">
        <x:f>IF(AND(E13&gt;0,F13&gt;0),IF(Premissas!$B$19="PRICE",MAX(0,MIN(E13,IF(Premissas!$B$15=0,E13/F13,E13*Premissas!$B$15/(1-(1+Premissas!$B$15)^(-F13)))-H13)),MIN(E13,E13/F13)),0)</x:f>
        <x:v>380.9523809523812</x:v>
      </x:c>
      <x:c r="H13" s="141" t="n">
        <x:f>IF(AND(E13&gt;0,F13&gt;0),E13*Premissas!$B$15,0)</x:f>
        <x:v>1492.9034217077335</x:v>
      </x:c>
      <x:c r="I13" s="141" t="n">
        <x:f>IF(AND(E13&gt;0,F13&gt;0),Premissas!$B$18,0)</x:f>
        <x:v>150</x:v>
      </x:c>
      <x:c r="J13" s="141" t="n">
        <x:f>IF(AND(E13&gt;0,F13&gt;0),IF(Premissas!$B$19="PRICE",IF(Premissas!$B$15=0,E13/F13,E13*Premissas!$B$15/(1-(1+Premissas!$B$15)^(-F13)))+I13,G13+H13+I13),0)</x:f>
        <x:v>2023.8558026601147</x:v>
      </x:c>
      <x:c r="K13" s="141" t="n">
        <x:f>H13+I13</x:f>
        <x:v>1642.9034217077335</x:v>
      </x:c>
      <x:c r="L13" s="141" t="n">
        <x:f>SUM($J$6:J13)</x:f>
        <x:v>16292.060212583132</x:v>
      </x:c>
      <x:c r="M13" s="141" t="n">
        <x:f>MAX(0,E13-G13)</x:f>
        <x:v>156952.38095238106</x:v>
      </x:c>
    </x:row>
    <x:row r="14">
      <x:c r="A14" s="142" t="n">
        <x:v>9</x:v>
      </x:c>
      <x:c r="B14" s="179" t="n">
        <x:f>EDATE(Premissas!$B$4,8)</x:f>
        <x:v>46784</x:v>
      </x:c>
      <x:c r="C14" s="141" t="n">
        <x:f>M13</x:f>
        <x:v>156952.38095238106</x:v>
      </x:c>
      <x:c r="D14" s="141" t="n">
        <x:f>IF(C14&gt;0,C14*Premissas!$B$17,0)</x:f>
        <x:v>0</x:v>
      </x:c>
      <x:c r="E14" s="141" t="n">
        <x:f>C14+D14</x:f>
        <x:v>156952.38095238106</x:v>
      </x:c>
      <x:c r="F14" s="142" t="n">
        <x:f>MAX(0,Premissas!$B$13-A14+1)</x:f>
        <x:v>412</x:v>
      </x:c>
      <x:c r="G14" s="141" t="n">
        <x:f>IF(AND(E14&gt;0,F14&gt;0),IF(Premissas!$B$19="PRICE",MAX(0,MIN(E14,IF(Premissas!$B$15=0,E14/F14,E14*Premissas!$B$15/(1-(1+Premissas!$B$15)^(-F14)))-H14)),MIN(E14,E14/F14)),0)</x:f>
        <x:v>380.95238095238125</x:v>
      </x:c>
      <x:c r="H14" s="141" t="n">
        <x:f>IF(AND(E14&gt;0,F14&gt;0),E14*Premissas!$B$15,0)</x:f>
        <x:v>1489.2886434469401</x:v>
      </x:c>
      <x:c r="I14" s="141" t="n">
        <x:f>IF(AND(E14&gt;0,F14&gt;0),Premissas!$B$18,0)</x:f>
        <x:v>150</x:v>
      </x:c>
      <x:c r="J14" s="141" t="n">
        <x:f>IF(AND(E14&gt;0,F14&gt;0),IF(Premissas!$B$19="PRICE",IF(Premissas!$B$15=0,E14/F14,E14*Premissas!$B$15/(1-(1+Premissas!$B$15)^(-F14)))+I14,G14+H14+I14),0)</x:f>
        <x:v>2020.2410243993213</x:v>
      </x:c>
      <x:c r="K14" s="141" t="n">
        <x:f>H14+I14</x:f>
        <x:v>1639.2886434469401</x:v>
      </x:c>
      <x:c r="L14" s="141" t="n">
        <x:f>SUM($J$6:J14)</x:f>
        <x:v>18312.301236982454</x:v>
      </x:c>
      <x:c r="M14" s="141" t="n">
        <x:f>MAX(0,E14-G14)</x:f>
        <x:v>156571.4285714287</x:v>
      </x:c>
    </x:row>
    <x:row r="15">
      <x:c r="A15" s="142" t="n">
        <x:v>10</x:v>
      </x:c>
      <x:c r="B15" s="179" t="n">
        <x:f>EDATE(Premissas!$B$4,9)</x:f>
        <x:v>46813</x:v>
      </x:c>
      <x:c r="C15" s="141" t="n">
        <x:f>M14</x:f>
        <x:v>156571.4285714287</x:v>
      </x:c>
      <x:c r="D15" s="141" t="n">
        <x:f>IF(C15&gt;0,C15*Premissas!$B$17,0)</x:f>
        <x:v>0</x:v>
      </x:c>
      <x:c r="E15" s="141" t="n">
        <x:f>C15+D15</x:f>
        <x:v>156571.4285714287</x:v>
      </x:c>
      <x:c r="F15" s="142" t="n">
        <x:f>MAX(0,Premissas!$B$13-A15+1)</x:f>
        <x:v>411</x:v>
      </x:c>
      <x:c r="G15" s="141" t="n">
        <x:f>IF(AND(E15&gt;0,F15&gt;0),IF(Premissas!$B$19="PRICE",MAX(0,MIN(E15,IF(Premissas!$B$15=0,E15/F15,E15*Premissas!$B$15/(1-(1+Premissas!$B$15)^(-F15)))-H15)),MIN(E15,E15/F15)),0)</x:f>
        <x:v>380.95238095238125</x:v>
      </x:c>
      <x:c r="H15" s="141" t="n">
        <x:f>IF(AND(E15&gt;0,F15&gt;0),E15*Premissas!$B$15,0)</x:f>
        <x:v>1485.6738651861467</x:v>
      </x:c>
      <x:c r="I15" s="141" t="n">
        <x:f>IF(AND(E15&gt;0,F15&gt;0),Premissas!$B$18,0)</x:f>
        <x:v>150</x:v>
      </x:c>
      <x:c r="J15" s="141" t="n">
        <x:f>IF(AND(E15&gt;0,F15&gt;0),IF(Premissas!$B$19="PRICE",IF(Premissas!$B$15=0,E15/F15,E15*Premissas!$B$15/(1-(1+Premissas!$B$15)^(-F15)))+I15,G15+H15+I15),0)</x:f>
        <x:v>2016.626246138528</x:v>
      </x:c>
      <x:c r="K15" s="141" t="n">
        <x:f>H15+I15</x:f>
        <x:v>1635.6738651861467</x:v>
      </x:c>
      <x:c r="L15" s="141" t="n">
        <x:f>SUM($J$6:J15)</x:f>
        <x:v>20328.92748312098</x:v>
      </x:c>
      <x:c r="M15" s="141" t="n">
        <x:f>MAX(0,E15-G15)</x:f>
        <x:v>156190.47619047633</x:v>
      </x:c>
    </x:row>
    <x:row r="16">
      <x:c r="A16" s="142" t="n">
        <x:v>11</x:v>
      </x:c>
      <x:c r="B16" s="179" t="n">
        <x:f>EDATE(Premissas!$B$4,10)</x:f>
        <x:v>46844</x:v>
      </x:c>
      <x:c r="C16" s="141" t="n">
        <x:f>M15</x:f>
        <x:v>156190.47619047633</x:v>
      </x:c>
      <x:c r="D16" s="141" t="n">
        <x:f>IF(C16&gt;0,C16*Premissas!$B$17,0)</x:f>
        <x:v>0</x:v>
      </x:c>
      <x:c r="E16" s="141" t="n">
        <x:f>C16+D16</x:f>
        <x:v>156190.47619047633</x:v>
      </x:c>
      <x:c r="F16" s="142" t="n">
        <x:f>MAX(0,Premissas!$B$13-A16+1)</x:f>
        <x:v>410</x:v>
      </x:c>
      <x:c r="G16" s="141" t="n">
        <x:f>IF(AND(E16&gt;0,F16&gt;0),IF(Premissas!$B$19="PRICE",MAX(0,MIN(E16,IF(Premissas!$B$15=0,E16/F16,E16*Premissas!$B$15/(1-(1+Premissas!$B$15)^(-F16)))-H16)),MIN(E16,E16/F16)),0)</x:f>
        <x:v>380.9523809523813</x:v>
      </x:c>
      <x:c r="H16" s="141" t="n">
        <x:f>IF(AND(E16&gt;0,F16&gt;0),E16*Premissas!$B$15,0)</x:f>
        <x:v>1482.0590869253533</x:v>
      </x:c>
      <x:c r="I16" s="141" t="n">
        <x:f>IF(AND(E16&gt;0,F16&gt;0),Premissas!$B$18,0)</x:f>
        <x:v>150</x:v>
      </x:c>
      <x:c r="J16" s="141" t="n">
        <x:f>IF(AND(E16&gt;0,F16&gt;0),IF(Premissas!$B$19="PRICE",IF(Premissas!$B$15=0,E16/F16,E16*Premissas!$B$15/(1-(1+Premissas!$B$15)^(-F16)))+I16,G16+H16+I16),0)</x:f>
        <x:v>2013.0114678777345</x:v>
      </x:c>
      <x:c r="K16" s="141" t="n">
        <x:f>H16+I16</x:f>
        <x:v>1632.0590869253533</x:v>
      </x:c>
      <x:c r="L16" s="141" t="n">
        <x:f>SUM($J$6:J16)</x:f>
        <x:v>22341.938950998716</x:v>
      </x:c>
      <x:c r="M16" s="141" t="n">
        <x:f>MAX(0,E16-G16)</x:f>
        <x:v>155809.52380952396</x:v>
      </x:c>
    </x:row>
    <x:row r="17">
      <x:c r="A17" s="142" t="n">
        <x:v>12</x:v>
      </x:c>
      <x:c r="B17" s="179" t="n">
        <x:f>EDATE(Premissas!$B$4,11)</x:f>
        <x:v>46874</x:v>
      </x:c>
      <x:c r="C17" s="141" t="n">
        <x:f>M16</x:f>
        <x:v>155809.52380952396</x:v>
      </x:c>
      <x:c r="D17" s="141" t="n">
        <x:f>IF(C17&gt;0,C17*Premissas!$B$17,0)</x:f>
        <x:v>0</x:v>
      </x:c>
      <x:c r="E17" s="141" t="n">
        <x:f>C17+D17</x:f>
        <x:v>155809.52380952396</x:v>
      </x:c>
      <x:c r="F17" s="142" t="n">
        <x:f>MAX(0,Premissas!$B$13-A17+1)</x:f>
        <x:v>409</x:v>
      </x:c>
      <x:c r="G17" s="141" t="n">
        <x:f>IF(AND(E17&gt;0,F17&gt;0),IF(Premissas!$B$19="PRICE",MAX(0,MIN(E17,IF(Premissas!$B$15=0,E17/F17,E17*Premissas!$B$15/(1-(1+Premissas!$B$15)^(-F17)))-H17)),MIN(E17,E17/F17)),0)</x:f>
        <x:v>380.9523809523813</x:v>
      </x:c>
      <x:c r="H17" s="141" t="n">
        <x:f>IF(AND(E17&gt;0,F17&gt;0),E17*Premissas!$B$15,0)</x:f>
        <x:v>1478.44430866456</x:v>
      </x:c>
      <x:c r="I17" s="141" t="n">
        <x:f>IF(AND(E17&gt;0,F17&gt;0),Premissas!$B$18,0)</x:f>
        <x:v>150</x:v>
      </x:c>
      <x:c r="J17" s="141" t="n">
        <x:f>IF(AND(E17&gt;0,F17&gt;0),IF(Premissas!$B$19="PRICE",IF(Premissas!$B$15=0,E17/F17,E17*Premissas!$B$15/(1-(1+Premissas!$B$15)^(-F17)))+I17,G17+H17+I17),0)</x:f>
        <x:v>2009.3966896169413</x:v>
      </x:c>
      <x:c r="K17" s="141" t="n">
        <x:f>H17+I17</x:f>
        <x:v>1628.44430866456</x:v>
      </x:c>
      <x:c r="L17" s="141" t="n">
        <x:f>SUM($J$6:J17)</x:f>
        <x:v>24351.335640615656</x:v>
      </x:c>
      <x:c r="M17" s="141" t="n">
        <x:f>MAX(0,E17-G17)</x:f>
        <x:v>155428.5714285716</x:v>
      </x:c>
    </x:row>
    <x:row r="18">
      <x:c r="A18" s="142" t="n">
        <x:v>13</x:v>
      </x:c>
      <x:c r="B18" s="179" t="n">
        <x:f>EDATE(Premissas!$B$4,12)</x:f>
        <x:v>46905</x:v>
      </x:c>
      <x:c r="C18" s="141" t="n">
        <x:f>M17</x:f>
        <x:v>155428.5714285716</x:v>
      </x:c>
      <x:c r="D18" s="141" t="n">
        <x:f>IF(C18&gt;0,C18*Premissas!$B$17,0)</x:f>
        <x:v>0</x:v>
      </x:c>
      <x:c r="E18" s="141" t="n">
        <x:f>C18+D18</x:f>
        <x:v>155428.5714285716</x:v>
      </x:c>
      <x:c r="F18" s="142" t="n">
        <x:f>MAX(0,Premissas!$B$13-A18+1)</x:f>
        <x:v>408</x:v>
      </x:c>
      <x:c r="G18" s="141" t="n">
        <x:f>IF(AND(E18&gt;0,F18&gt;0),IF(Premissas!$B$19="PRICE",MAX(0,MIN(E18,IF(Premissas!$B$15=0,E18/F18,E18*Premissas!$B$15/(1-(1+Premissas!$B$15)^(-F18)))-H18)),MIN(E18,E18/F18)),0)</x:f>
        <x:v>380.95238095238136</x:v>
      </x:c>
      <x:c r="H18" s="141" t="n">
        <x:f>IF(AND(E18&gt;0,F18&gt;0),E18*Premissas!$B$15,0)</x:f>
        <x:v>1474.8295304037665</x:v>
      </x:c>
      <x:c r="I18" s="141" t="n">
        <x:f>IF(AND(E18&gt;0,F18&gt;0),Premissas!$B$18,0)</x:f>
        <x:v>150</x:v>
      </x:c>
      <x:c r="J18" s="141" t="n">
        <x:f>IF(AND(E18&gt;0,F18&gt;0),IF(Premissas!$B$19="PRICE",IF(Premissas!$B$15=0,E18/F18,E18*Premissas!$B$15/(1-(1+Premissas!$B$15)^(-F18)))+I18,G18+H18+I18),0)</x:f>
        <x:v>2005.781911356148</x:v>
      </x:c>
      <x:c r="K18" s="141" t="n">
        <x:f>H18+I18</x:f>
        <x:v>1624.8295304037665</x:v>
      </x:c>
      <x:c r="L18" s="141" t="n">
        <x:f>SUM($J$6:J18)</x:f>
        <x:v>26357.117551971805</x:v>
      </x:c>
      <x:c r="M18" s="141" t="n">
        <x:f>MAX(0,E18-G18)</x:f>
        <x:v>155047.61904761923</x:v>
      </x:c>
    </x:row>
    <x:row r="19">
      <x:c r="A19" s="142" t="n">
        <x:v>14</x:v>
      </x:c>
      <x:c r="B19" s="179" t="n">
        <x:f>EDATE(Premissas!$B$4,13)</x:f>
        <x:v>46935</x:v>
      </x:c>
      <x:c r="C19" s="141" t="n">
        <x:f>M18</x:f>
        <x:v>155047.61904761923</x:v>
      </x:c>
      <x:c r="D19" s="141" t="n">
        <x:f>IF(C19&gt;0,C19*Premissas!$B$17,0)</x:f>
        <x:v>0</x:v>
      </x:c>
      <x:c r="E19" s="141" t="n">
        <x:f>C19+D19</x:f>
        <x:v>155047.61904761923</x:v>
      </x:c>
      <x:c r="F19" s="142" t="n">
        <x:f>MAX(0,Premissas!$B$13-A19+1)</x:f>
        <x:v>407</x:v>
      </x:c>
      <x:c r="G19" s="141" t="n">
        <x:f>IF(AND(E19&gt;0,F19&gt;0),IF(Premissas!$B$19="PRICE",MAX(0,MIN(E19,IF(Premissas!$B$15=0,E19/F19,E19*Premissas!$B$15/(1-(1+Premissas!$B$15)^(-F19)))-H19)),MIN(E19,E19/F19)),0)</x:f>
        <x:v>380.9523809523814</x:v>
      </x:c>
      <x:c r="H19" s="141" t="n">
        <x:f>IF(AND(E19&gt;0,F19&gt;0),E19*Premissas!$B$15,0)</x:f>
        <x:v>1471.2147521429729</x:v>
      </x:c>
      <x:c r="I19" s="141" t="n">
        <x:f>IF(AND(E19&gt;0,F19&gt;0),Premissas!$B$18,0)</x:f>
        <x:v>150</x:v>
      </x:c>
      <x:c r="J19" s="141" t="n">
        <x:f>IF(AND(E19&gt;0,F19&gt;0),IF(Premissas!$B$19="PRICE",IF(Premissas!$B$15=0,E19/F19,E19*Premissas!$B$15/(1-(1+Premissas!$B$15)^(-F19)))+I19,G19+H19+I19),0)</x:f>
        <x:v>2002.1671330953543</x:v>
      </x:c>
      <x:c r="K19" s="141" t="n">
        <x:f>H19+I19</x:f>
        <x:v>1621.2147521429729</x:v>
      </x:c>
      <x:c r="L19" s="141" t="n">
        <x:f>SUM($J$6:J19)</x:f>
        <x:v>28359.28468506716</x:v>
      </x:c>
      <x:c r="M19" s="141" t="n">
        <x:f>MAX(0,E19-G19)</x:f>
        <x:v>154666.66666666686</x:v>
      </x:c>
    </x:row>
    <x:row r="20">
      <x:c r="A20" s="142" t="n">
        <x:v>15</x:v>
      </x:c>
      <x:c r="B20" s="179" t="n">
        <x:f>EDATE(Premissas!$B$4,14)</x:f>
        <x:v>46966</x:v>
      </x:c>
      <x:c r="C20" s="141" t="n">
        <x:f>M19</x:f>
        <x:v>154666.66666666686</x:v>
      </x:c>
      <x:c r="D20" s="141" t="n">
        <x:f>IF(C20&gt;0,C20*Premissas!$B$17,0)</x:f>
        <x:v>0</x:v>
      </x:c>
      <x:c r="E20" s="141" t="n">
        <x:f>C20+D20</x:f>
        <x:v>154666.66666666686</x:v>
      </x:c>
      <x:c r="F20" s="142" t="n">
        <x:f>MAX(0,Premissas!$B$13-A20+1)</x:f>
        <x:v>406</x:v>
      </x:c>
      <x:c r="G20" s="141" t="n">
        <x:f>IF(AND(E20&gt;0,F20&gt;0),IF(Premissas!$B$19="PRICE",MAX(0,MIN(E20,IF(Premissas!$B$15=0,E20/F20,E20*Premissas!$B$15/(1-(1+Premissas!$B$15)^(-F20)))-H20)),MIN(E20,E20/F20)),0)</x:f>
        <x:v>380.9523809523814</x:v>
      </x:c>
      <x:c r="H20" s="141" t="n">
        <x:f>IF(AND(E20&gt;0,F20&gt;0),E20*Premissas!$B$15,0)</x:f>
        <x:v>1467.5999738821795</x:v>
      </x:c>
      <x:c r="I20" s="141" t="n">
        <x:f>IF(AND(E20&gt;0,F20&gt;0),Premissas!$B$18,0)</x:f>
        <x:v>150</x:v>
      </x:c>
      <x:c r="J20" s="141" t="n">
        <x:f>IF(AND(E20&gt;0,F20&gt;0),IF(Premissas!$B$19="PRICE",IF(Premissas!$B$15=0,E20/F20,E20*Premissas!$B$15/(1-(1+Premissas!$B$15)^(-F20)))+I20,G20+H20+I20),0)</x:f>
        <x:v>1998.552354834561</x:v>
      </x:c>
      <x:c r="K20" s="141" t="n">
        <x:f>H20+I20</x:f>
        <x:v>1617.5999738821795</x:v>
      </x:c>
      <x:c r="L20" s="141" t="n">
        <x:f>SUM($J$6:J20)</x:f>
        <x:v>30357.837039901722</x:v>
      </x:c>
      <x:c r="M20" s="141" t="n">
        <x:f>MAX(0,E20-G20)</x:f>
        <x:v>154285.7142857145</x:v>
      </x:c>
    </x:row>
    <x:row r="21">
      <x:c r="A21" s="142" t="n">
        <x:v>16</x:v>
      </x:c>
      <x:c r="B21" s="179" t="n">
        <x:f>EDATE(Premissas!$B$4,15)</x:f>
        <x:v>46997</x:v>
      </x:c>
      <x:c r="C21" s="141" t="n">
        <x:f>M20</x:f>
        <x:v>154285.7142857145</x:v>
      </x:c>
      <x:c r="D21" s="141" t="n">
        <x:f>IF(C21&gt;0,C21*Premissas!$B$17,0)</x:f>
        <x:v>0</x:v>
      </x:c>
      <x:c r="E21" s="141" t="n">
        <x:f>C21+D21</x:f>
        <x:v>154285.7142857145</x:v>
      </x:c>
      <x:c r="F21" s="142" t="n">
        <x:f>MAX(0,Premissas!$B$13-A21+1)</x:f>
        <x:v>405</x:v>
      </x:c>
      <x:c r="G21" s="141" t="n">
        <x:f>IF(AND(E21&gt;0,F21&gt;0),IF(Premissas!$B$19="PRICE",MAX(0,MIN(E21,IF(Premissas!$B$15=0,E21/F21,E21*Premissas!$B$15/(1-(1+Premissas!$B$15)^(-F21)))-H21)),MIN(E21,E21/F21)),0)</x:f>
        <x:v>380.9523809523815</x:v>
      </x:c>
      <x:c r="H21" s="141" t="n">
        <x:f>IF(AND(E21&gt;0,F21&gt;0),E21*Premissas!$B$15,0)</x:f>
        <x:v>1463.985195621386</x:v>
      </x:c>
      <x:c r="I21" s="141" t="n">
        <x:f>IF(AND(E21&gt;0,F21&gt;0),Premissas!$B$18,0)</x:f>
        <x:v>150</x:v>
      </x:c>
      <x:c r="J21" s="141" t="n">
        <x:f>IF(AND(E21&gt;0,F21&gt;0),IF(Premissas!$B$19="PRICE",IF(Premissas!$B$15=0,E21/F21,E21*Premissas!$B$15/(1-(1+Premissas!$B$15)^(-F21)))+I21,G21+H21+I21),0)</x:f>
        <x:v>1994.9375765737675</x:v>
      </x:c>
      <x:c r="K21" s="141" t="n">
        <x:f>H21+I21</x:f>
        <x:v>1613.985195621386</x:v>
      </x:c>
      <x:c r="L21" s="141" t="n">
        <x:f>SUM($J$6:J21)</x:f>
        <x:v>32352.77461647549</x:v>
      </x:c>
      <x:c r="M21" s="141" t="n">
        <x:f>MAX(0,E21-G21)</x:f>
        <x:v>153904.76190476213</x:v>
      </x:c>
    </x:row>
    <x:row r="22">
      <x:c r="A22" s="142" t="n">
        <x:v>17</x:v>
      </x:c>
      <x:c r="B22" s="179" t="n">
        <x:f>EDATE(Premissas!$B$4,16)</x:f>
        <x:v>47027</x:v>
      </x:c>
      <x:c r="C22" s="141" t="n">
        <x:f>M21</x:f>
        <x:v>153904.76190476213</x:v>
      </x:c>
      <x:c r="D22" s="141" t="n">
        <x:f>IF(C22&gt;0,C22*Premissas!$B$17,0)</x:f>
        <x:v>0</x:v>
      </x:c>
      <x:c r="E22" s="141" t="n">
        <x:f>C22+D22</x:f>
        <x:v>153904.76190476213</x:v>
      </x:c>
      <x:c r="F22" s="142" t="n">
        <x:f>MAX(0,Premissas!$B$13-A22+1)</x:f>
        <x:v>404</x:v>
      </x:c>
      <x:c r="G22" s="141" t="n">
        <x:f>IF(AND(E22&gt;0,F22&gt;0),IF(Premissas!$B$19="PRICE",MAX(0,MIN(E22,IF(Premissas!$B$15=0,E22/F22,E22*Premissas!$B$15/(1-(1+Premissas!$B$15)^(-F22)))-H22)),MIN(E22,E22/F22)),0)</x:f>
        <x:v>380.9523809523815</x:v>
      </x:c>
      <x:c r="H22" s="141" t="n">
        <x:f>IF(AND(E22&gt;0,F22&gt;0),E22*Premissas!$B$15,0)</x:f>
        <x:v>1460.3704173605927</x:v>
      </x:c>
      <x:c r="I22" s="141" t="n">
        <x:f>IF(AND(E22&gt;0,F22&gt;0),Premissas!$B$18,0)</x:f>
        <x:v>150</x:v>
      </x:c>
      <x:c r="J22" s="141" t="n">
        <x:f>IF(AND(E22&gt;0,F22&gt;0),IF(Premissas!$B$19="PRICE",IF(Premissas!$B$15=0,E22/F22,E22*Premissas!$B$15/(1-(1+Premissas!$B$15)^(-F22)))+I22,G22+H22+I22),0)</x:f>
        <x:v>1991.322798312974</x:v>
      </x:c>
      <x:c r="K22" s="141" t="n">
        <x:f>H22+I22</x:f>
        <x:v>1610.3704173605927</x:v>
      </x:c>
      <x:c r="L22" s="141" t="n">
        <x:f>SUM($J$6:J22)</x:f>
        <x:v>34344.09741478846</x:v>
      </x:c>
      <x:c r="M22" s="141" t="n">
        <x:f>MAX(0,E22-G22)</x:f>
        <x:v>153523.80952380976</x:v>
      </x:c>
    </x:row>
    <x:row r="23">
      <x:c r="A23" s="142" t="n">
        <x:v>18</x:v>
      </x:c>
      <x:c r="B23" s="179" t="n">
        <x:f>EDATE(Premissas!$B$4,17)</x:f>
        <x:v>47058</x:v>
      </x:c>
      <x:c r="C23" s="141" t="n">
        <x:f>M22</x:f>
        <x:v>153523.80952380976</x:v>
      </x:c>
      <x:c r="D23" s="141" t="n">
        <x:f>IF(C23&gt;0,C23*Premissas!$B$17,0)</x:f>
        <x:v>0</x:v>
      </x:c>
      <x:c r="E23" s="141" t="n">
        <x:f>C23+D23</x:f>
        <x:v>153523.80952380976</x:v>
      </x:c>
      <x:c r="F23" s="142" t="n">
        <x:f>MAX(0,Premissas!$B$13-A23+1)</x:f>
        <x:v>403</x:v>
      </x:c>
      <x:c r="G23" s="141" t="n">
        <x:f>IF(AND(E23&gt;0,F23&gt;0),IF(Premissas!$B$19="PRICE",MAX(0,MIN(E23,IF(Premissas!$B$15=0,E23/F23,E23*Premissas!$B$15/(1-(1+Premissas!$B$15)^(-F23)))-H23)),MIN(E23,E23/F23)),0)</x:f>
        <x:v>380.95238095238153</x:v>
      </x:c>
      <x:c r="H23" s="141" t="n">
        <x:f>IF(AND(E23&gt;0,F23&gt;0),E23*Premissas!$B$15,0)</x:f>
        <x:v>1456.7556390997993</x:v>
      </x:c>
      <x:c r="I23" s="141" t="n">
        <x:f>IF(AND(E23&gt;0,F23&gt;0),Premissas!$B$18,0)</x:f>
        <x:v>150</x:v>
      </x:c>
      <x:c r="J23" s="141" t="n">
        <x:f>IF(AND(E23&gt;0,F23&gt;0),IF(Premissas!$B$19="PRICE",IF(Premissas!$B$15=0,E23/F23,E23*Premissas!$B$15/(1-(1+Premissas!$B$15)^(-F23)))+I23,G23+H23+I23),0)</x:f>
        <x:v>1987.708020052181</x:v>
      </x:c>
      <x:c r="K23" s="141" t="n">
        <x:f>H23+I23</x:f>
        <x:v>1606.7556390997993</x:v>
      </x:c>
      <x:c r="L23" s="141" t="n">
        <x:f>SUM($J$6:J23)</x:f>
        <x:v>36331.805434840644</x:v>
      </x:c>
      <x:c r="M23" s="141" t="n">
        <x:f>MAX(0,E23-G23)</x:f>
        <x:v>153142.8571428574</x:v>
      </x:c>
    </x:row>
    <x:row r="24">
      <x:c r="A24" s="142" t="n">
        <x:v>19</x:v>
      </x:c>
      <x:c r="B24" s="179" t="n">
        <x:f>EDATE(Premissas!$B$4,18)</x:f>
        <x:v>47088</x:v>
      </x:c>
      <x:c r="C24" s="141" t="n">
        <x:f>M23</x:f>
        <x:v>153142.8571428574</x:v>
      </x:c>
      <x:c r="D24" s="141" t="n">
        <x:f>IF(C24&gt;0,C24*Premissas!$B$17,0)</x:f>
        <x:v>0</x:v>
      </x:c>
      <x:c r="E24" s="141" t="n">
        <x:f>C24+D24</x:f>
        <x:v>153142.8571428574</x:v>
      </x:c>
      <x:c r="F24" s="142" t="n">
        <x:f>MAX(0,Premissas!$B$13-A24+1)</x:f>
        <x:v>402</x:v>
      </x:c>
      <x:c r="G24" s="141" t="n">
        <x:f>IF(AND(E24&gt;0,F24&gt;0),IF(Premissas!$B$19="PRICE",MAX(0,MIN(E24,IF(Premissas!$B$15=0,E24/F24,E24*Premissas!$B$15/(1-(1+Premissas!$B$15)^(-F24)))-H24)),MIN(E24,E24/F24)),0)</x:f>
        <x:v>380.9523809523816</x:v>
      </x:c>
      <x:c r="H24" s="141" t="n">
        <x:f>IF(AND(E24&gt;0,F24&gt;0),E24*Premissas!$B$15,0)</x:f>
        <x:v>1453.1408608390059</x:v>
      </x:c>
      <x:c r="I24" s="141" t="n">
        <x:f>IF(AND(E24&gt;0,F24&gt;0),Premissas!$B$18,0)</x:f>
        <x:v>150</x:v>
      </x:c>
      <x:c r="J24" s="141" t="n">
        <x:f>IF(AND(E24&gt;0,F24&gt;0),IF(Premissas!$B$19="PRICE",IF(Premissas!$B$15=0,E24/F24,E24*Premissas!$B$15/(1-(1+Premissas!$B$15)^(-F24)))+I24,G24+H24+I24),0)</x:f>
        <x:v>1984.0932417913875</x:v>
      </x:c>
      <x:c r="K24" s="141" t="n">
        <x:f>H24+I24</x:f>
        <x:v>1603.1408608390059</x:v>
      </x:c>
      <x:c r="L24" s="141" t="n">
        <x:f>SUM($J$6:J24)</x:f>
        <x:v>38315.89867663203</x:v>
      </x:c>
      <x:c r="M24" s="141" t="n">
        <x:f>MAX(0,E24-G24)</x:f>
        <x:v>152761.90476190503</x:v>
      </x:c>
    </x:row>
    <x:row r="25">
      <x:c r="A25" s="142" t="n">
        <x:v>20</x:v>
      </x:c>
      <x:c r="B25" s="179" t="n">
        <x:f>EDATE(Premissas!$B$4,19)</x:f>
        <x:v>47119</x:v>
      </x:c>
      <x:c r="C25" s="141" t="n">
        <x:f>M24</x:f>
        <x:v>152761.90476190503</x:v>
      </x:c>
      <x:c r="D25" s="141" t="n">
        <x:f>IF(C25&gt;0,C25*Premissas!$B$17,0)</x:f>
        <x:v>0</x:v>
      </x:c>
      <x:c r="E25" s="141" t="n">
        <x:f>C25+D25</x:f>
        <x:v>152761.90476190503</x:v>
      </x:c>
      <x:c r="F25" s="142" t="n">
        <x:f>MAX(0,Premissas!$B$13-A25+1)</x:f>
        <x:v>401</x:v>
      </x:c>
      <x:c r="G25" s="141" t="n">
        <x:f>IF(AND(E25&gt;0,F25&gt;0),IF(Premissas!$B$19="PRICE",MAX(0,MIN(E25,IF(Premissas!$B$15=0,E25/F25,E25*Premissas!$B$15/(1-(1+Premissas!$B$15)^(-F25)))-H25)),MIN(E25,E25/F25)),0)</x:f>
        <x:v>380.9523809523816</x:v>
      </x:c>
      <x:c r="H25" s="141" t="n">
        <x:f>IF(AND(E25&gt;0,F25&gt;0),E25*Premissas!$B$15,0)</x:f>
        <x:v>1449.5260825782125</x:v>
      </x:c>
      <x:c r="I25" s="141" t="n">
        <x:f>IF(AND(E25&gt;0,F25&gt;0),Premissas!$B$18,0)</x:f>
        <x:v>150</x:v>
      </x:c>
      <x:c r="J25" s="141" t="n">
        <x:f>IF(AND(E25&gt;0,F25&gt;0),IF(Premissas!$B$19="PRICE",IF(Premissas!$B$15=0,E25/F25,E25*Premissas!$B$15/(1-(1+Premissas!$B$15)^(-F25)))+I25,G25+H25+I25),0)</x:f>
        <x:v>1980.4784635305941</x:v>
      </x:c>
      <x:c r="K25" s="141" t="n">
        <x:f>H25+I25</x:f>
        <x:v>1599.5260825782125</x:v>
      </x:c>
      <x:c r="L25" s="141" t="n">
        <x:f>SUM($J$6:J25)</x:f>
        <x:v>40296.37714016262</x:v>
      </x:c>
      <x:c r="M25" s="141" t="n">
        <x:f>MAX(0,E25-G25)</x:f>
        <x:v>152380.95238095266</x:v>
      </x:c>
    </x:row>
    <x:row r="26">
      <x:c r="A26" s="142" t="n">
        <x:v>21</x:v>
      </x:c>
      <x:c r="B26" s="179" t="n">
        <x:f>EDATE(Premissas!$B$4,20)</x:f>
        <x:v>47150</x:v>
      </x:c>
      <x:c r="C26" s="141" t="n">
        <x:f>M25</x:f>
        <x:v>152380.95238095266</x:v>
      </x:c>
      <x:c r="D26" s="141" t="n">
        <x:f>IF(C26&gt;0,C26*Premissas!$B$17,0)</x:f>
        <x:v>0</x:v>
      </x:c>
      <x:c r="E26" s="141" t="n">
        <x:f>C26+D26</x:f>
        <x:v>152380.95238095266</x:v>
      </x:c>
      <x:c r="F26" s="142" t="n">
        <x:f>MAX(0,Premissas!$B$13-A26+1)</x:f>
        <x:v>400</x:v>
      </x:c>
      <x:c r="G26" s="141" t="n">
        <x:f>IF(AND(E26&gt;0,F26&gt;0),IF(Premissas!$B$19="PRICE",MAX(0,MIN(E26,IF(Premissas!$B$15=0,E26/F26,E26*Premissas!$B$15/(1-(1+Premissas!$B$15)^(-F26)))-H26)),MIN(E26,E26/F26)),0)</x:f>
        <x:v>380.95238095238165</x:v>
      </x:c>
      <x:c r="H26" s="141" t="n">
        <x:f>IF(AND(E26&gt;0,F26&gt;0),E26*Premissas!$B$15,0)</x:f>
        <x:v>1445.911304317419</x:v>
      </x:c>
      <x:c r="I26" s="141" t="n">
        <x:f>IF(AND(E26&gt;0,F26&gt;0),Premissas!$B$18,0)</x:f>
        <x:v>150</x:v>
      </x:c>
      <x:c r="J26" s="141" t="n">
        <x:f>IF(AND(E26&gt;0,F26&gt;0),IF(Premissas!$B$19="PRICE",IF(Premissas!$B$15=0,E26/F26,E26*Premissas!$B$15/(1-(1+Premissas!$B$15)^(-F26)))+I26,G26+H26+I26),0)</x:f>
        <x:v>1976.8636852698007</x:v>
      </x:c>
      <x:c r="K26" s="141" t="n">
        <x:f>H26+I26</x:f>
        <x:v>1595.911304317419</x:v>
      </x:c>
      <x:c r="L26" s="141" t="n">
        <x:f>SUM($J$6:J26)</x:f>
        <x:v>42273.240825432425</x:v>
      </x:c>
      <x:c r="M26" s="141" t="n">
        <x:f>MAX(0,E26-G26)</x:f>
        <x:v>152000.0000000003</x:v>
      </x:c>
    </x:row>
    <x:row r="27">
      <x:c r="A27" s="142" t="n">
        <x:v>22</x:v>
      </x:c>
      <x:c r="B27" s="179" t="n">
        <x:f>EDATE(Premissas!$B$4,21)</x:f>
        <x:v>47178</x:v>
      </x:c>
      <x:c r="C27" s="141" t="n">
        <x:f>M26</x:f>
        <x:v>152000.0000000003</x:v>
      </x:c>
      <x:c r="D27" s="141" t="n">
        <x:f>IF(C27&gt;0,C27*Premissas!$B$17,0)</x:f>
        <x:v>0</x:v>
      </x:c>
      <x:c r="E27" s="141" t="n">
        <x:f>C27+D27</x:f>
        <x:v>152000.0000000003</x:v>
      </x:c>
      <x:c r="F27" s="142" t="n">
        <x:f>MAX(0,Premissas!$B$13-A27+1)</x:f>
        <x:v>399</x:v>
      </x:c>
      <x:c r="G27" s="141" t="n">
        <x:f>IF(AND(E27&gt;0,F27&gt;0),IF(Premissas!$B$19="PRICE",MAX(0,MIN(E27,IF(Premissas!$B$15=0,E27/F27,E27*Premissas!$B$15/(1-(1+Premissas!$B$15)^(-F27)))-H27)),MIN(E27,E27/F27)),0)</x:f>
        <x:v>380.9523809523817</x:v>
      </x:c>
      <x:c r="H27" s="141" t="n">
        <x:f>IF(AND(E27&gt;0,F27&gt;0),E27*Premissas!$B$15,0)</x:f>
        <x:v>1442.2965260566257</x:v>
      </x:c>
      <x:c r="I27" s="141" t="n">
        <x:f>IF(AND(E27&gt;0,F27&gt;0),Premissas!$B$18,0)</x:f>
        <x:v>150</x:v>
      </x:c>
      <x:c r="J27" s="141" t="n">
        <x:f>IF(AND(E27&gt;0,F27&gt;0),IF(Premissas!$B$19="PRICE",IF(Premissas!$B$15=0,E27/F27,E27*Premissas!$B$15/(1-(1+Premissas!$B$15)^(-F27)))+I27,G27+H27+I27),0)</x:f>
        <x:v>1973.2489070090073</x:v>
      </x:c>
      <x:c r="K27" s="141" t="n">
        <x:f>H27+I27</x:f>
        <x:v>1592.2965260566257</x:v>
      </x:c>
      <x:c r="L27" s="141" t="n">
        <x:f>SUM($J$6:J27)</x:f>
        <x:v>44246.489732441434</x:v>
      </x:c>
      <x:c r="M27" s="141" t="n">
        <x:f>MAX(0,E27-G27)</x:f>
        <x:v>151619.0476190479</x:v>
      </x:c>
    </x:row>
    <x:row r="28">
      <x:c r="A28" s="142" t="n">
        <x:v>23</x:v>
      </x:c>
      <x:c r="B28" s="179" t="n">
        <x:f>EDATE(Premissas!$B$4,22)</x:f>
        <x:v>47209</x:v>
      </x:c>
      <x:c r="C28" s="141" t="n">
        <x:f>M27</x:f>
        <x:v>151619.0476190479</x:v>
      </x:c>
      <x:c r="D28" s="141" t="n">
        <x:f>IF(C28&gt;0,C28*Premissas!$B$17,0)</x:f>
        <x:v>0</x:v>
      </x:c>
      <x:c r="E28" s="141" t="n">
        <x:f>C28+D28</x:f>
        <x:v>151619.0476190479</x:v>
      </x:c>
      <x:c r="F28" s="142" t="n">
        <x:f>MAX(0,Premissas!$B$13-A28+1)</x:f>
        <x:v>398</x:v>
      </x:c>
      <x:c r="G28" s="141" t="n">
        <x:f>IF(AND(E28&gt;0,F28&gt;0),IF(Premissas!$B$19="PRICE",MAX(0,MIN(E28,IF(Premissas!$B$15=0,E28/F28,E28*Premissas!$B$15/(1-(1+Premissas!$B$15)^(-F28)))-H28)),MIN(E28,E28/F28)),0)</x:f>
        <x:v>380.95238095238165</x:v>
      </x:c>
      <x:c r="H28" s="141" t="n">
        <x:f>IF(AND(E28&gt;0,F28&gt;0),E28*Premissas!$B$15,0)</x:f>
        <x:v>1438.681747795832</x:v>
      </x:c>
      <x:c r="I28" s="141" t="n">
        <x:f>IF(AND(E28&gt;0,F28&gt;0),Premissas!$B$18,0)</x:f>
        <x:v>150</x:v>
      </x:c>
      <x:c r="J28" s="141" t="n">
        <x:f>IF(AND(E28&gt;0,F28&gt;0),IF(Premissas!$B$19="PRICE",IF(Premissas!$B$15=0,E28/F28,E28*Premissas!$B$15/(1-(1+Premissas!$B$15)^(-F28)))+I28,G28+H28+I28),0)</x:f>
        <x:v>1969.6341287482137</x:v>
      </x:c>
      <x:c r="K28" s="141" t="n">
        <x:f>H28+I28</x:f>
        <x:v>1588.681747795832</x:v>
      </x:c>
      <x:c r="L28" s="141" t="n">
        <x:f>SUM($J$6:J28)</x:f>
        <x:v>46216.12386118965</x:v>
      </x:c>
      <x:c r="M28" s="141" t="n">
        <x:f>MAX(0,E28-G28)</x:f>
        <x:v>151238.0952380955</x:v>
      </x:c>
    </x:row>
    <x:row r="29">
      <x:c r="A29" s="142" t="n">
        <x:v>24</x:v>
      </x:c>
      <x:c r="B29" s="179" t="n">
        <x:f>EDATE(Premissas!$B$4,23)</x:f>
        <x:v>47239</x:v>
      </x:c>
      <x:c r="C29" s="141" t="n">
        <x:f>M28</x:f>
        <x:v>151238.0952380955</x:v>
      </x:c>
      <x:c r="D29" s="141" t="n">
        <x:f>IF(C29&gt;0,C29*Premissas!$B$17,0)</x:f>
        <x:v>0</x:v>
      </x:c>
      <x:c r="E29" s="141" t="n">
        <x:f>C29+D29</x:f>
        <x:v>151238.0952380955</x:v>
      </x:c>
      <x:c r="F29" s="142" t="n">
        <x:f>MAX(0,Premissas!$B$13-A29+1)</x:f>
        <x:v>397</x:v>
      </x:c>
      <x:c r="G29" s="141" t="n">
        <x:f>IF(AND(E29&gt;0,F29&gt;0),IF(Premissas!$B$19="PRICE",MAX(0,MIN(E29,IF(Premissas!$B$15=0,E29/F29,E29*Premissas!$B$15/(1-(1+Premissas!$B$15)^(-F29)))-H29)),MIN(E29,E29/F29)),0)</x:f>
        <x:v>380.9523809523816</x:v>
      </x:c>
      <x:c r="H29" s="141" t="n">
        <x:f>IF(AND(E29&gt;0,F29&gt;0),E29*Premissas!$B$15,0)</x:f>
        <x:v>1435.0669695350384</x:v>
      </x:c>
      <x:c r="I29" s="141" t="n">
        <x:f>IF(AND(E29&gt;0,F29&gt;0),Premissas!$B$18,0)</x:f>
        <x:v>150</x:v>
      </x:c>
      <x:c r="J29" s="141" t="n">
        <x:f>IF(AND(E29&gt;0,F29&gt;0),IF(Premissas!$B$19="PRICE",IF(Premissas!$B$15=0,E29/F29,E29*Premissas!$B$15/(1-(1+Premissas!$B$15)^(-F29)))+I29,G29+H29+I29),0)</x:f>
        <x:v>1966.01935048742</x:v>
      </x:c>
      <x:c r="K29" s="141" t="n">
        <x:f>H29+I29</x:f>
        <x:v>1585.0669695350384</x:v>
      </x:c>
      <x:c r="L29" s="141" t="n">
        <x:f>SUM($J$6:J29)</x:f>
        <x:v>48182.14321167707</x:v>
      </x:c>
      <x:c r="M29" s="141" t="n">
        <x:f>MAX(0,E29-G29)</x:f>
        <x:v>150857.14285714313</x:v>
      </x:c>
    </x:row>
    <x:row r="30">
      <x:c r="A30" s="142" t="n">
        <x:v>25</x:v>
      </x:c>
      <x:c r="B30" s="179" t="n">
        <x:f>EDATE(Premissas!$B$4,24)</x:f>
        <x:v>47270</x:v>
      </x:c>
      <x:c r="C30" s="141" t="n">
        <x:f>M29</x:f>
        <x:v>150857.14285714313</x:v>
      </x:c>
      <x:c r="D30" s="141" t="n">
        <x:f>IF(C30&gt;0,C30*Premissas!$B$17,0)</x:f>
        <x:v>0</x:v>
      </x:c>
      <x:c r="E30" s="141" t="n">
        <x:f>C30+D30</x:f>
        <x:v>150857.14285714313</x:v>
      </x:c>
      <x:c r="F30" s="142" t="n">
        <x:f>MAX(0,Premissas!$B$13-A30+1)</x:f>
        <x:v>396</x:v>
      </x:c>
      <x:c r="G30" s="141" t="n">
        <x:f>IF(AND(E30&gt;0,F30&gt;0),IF(Premissas!$B$19="PRICE",MAX(0,MIN(E30,IF(Premissas!$B$15=0,E30/F30,E30*Premissas!$B$15/(1-(1+Premissas!$B$15)^(-F30)))-H30)),MIN(E30,E30/F30)),0)</x:f>
        <x:v>380.95238095238165</x:v>
      </x:c>
      <x:c r="H30" s="141" t="n">
        <x:f>IF(AND(E30&gt;0,F30&gt;0),E30*Premissas!$B$15,0)</x:f>
        <x:v>1431.452191274245</x:v>
      </x:c>
      <x:c r="I30" s="141" t="n">
        <x:f>IF(AND(E30&gt;0,F30&gt;0),Premissas!$B$18,0)</x:f>
        <x:v>150</x:v>
      </x:c>
      <x:c r="J30" s="141" t="n">
        <x:f>IF(AND(E30&gt;0,F30&gt;0),IF(Premissas!$B$19="PRICE",IF(Premissas!$B$15=0,E30/F30,E30*Premissas!$B$15/(1-(1+Premissas!$B$15)^(-F30)))+I30,G30+H30+I30),0)</x:f>
        <x:v>1962.4045722266267</x:v>
      </x:c>
      <x:c r="K30" s="141" t="n">
        <x:f>H30+I30</x:f>
        <x:v>1581.452191274245</x:v>
      </x:c>
      <x:c r="L30" s="141" t="n">
        <x:f>SUM($J$6:J30)</x:f>
        <x:v>50144.54778390369</x:v>
      </x:c>
      <x:c r="M30" s="141" t="n">
        <x:f>MAX(0,E30-G30)</x:f>
        <x:v>150476.19047619076</x:v>
      </x:c>
    </x:row>
    <x:row r="31">
      <x:c r="A31" s="142" t="n">
        <x:v>26</x:v>
      </x:c>
      <x:c r="B31" s="179" t="n">
        <x:f>EDATE(Premissas!$B$4,25)</x:f>
        <x:v>47300</x:v>
      </x:c>
      <x:c r="C31" s="141" t="n">
        <x:f>M30</x:f>
        <x:v>150476.19047619076</x:v>
      </x:c>
      <x:c r="D31" s="141" t="n">
        <x:f>IF(C31&gt;0,C31*Premissas!$B$17,0)</x:f>
        <x:v>0</x:v>
      </x:c>
      <x:c r="E31" s="141" t="n">
        <x:f>C31+D31</x:f>
        <x:v>150476.19047619076</x:v>
      </x:c>
      <x:c r="F31" s="142" t="n">
        <x:f>MAX(0,Premissas!$B$13-A31+1)</x:f>
        <x:v>395</x:v>
      </x:c>
      <x:c r="G31" s="141" t="n">
        <x:f>IF(AND(E31&gt;0,F31&gt;0),IF(Premissas!$B$19="PRICE",MAX(0,MIN(E31,IF(Premissas!$B$15=0,E31/F31,E31*Premissas!$B$15/(1-(1+Premissas!$B$15)^(-F31)))-H31)),MIN(E31,E31/F31)),0)</x:f>
        <x:v>380.9523809523817</x:v>
      </x:c>
      <x:c r="H31" s="141" t="n">
        <x:f>IF(AND(E31&gt;0,F31&gt;0),E31*Premissas!$B$15,0)</x:f>
        <x:v>1427.8374130134516</x:v>
      </x:c>
      <x:c r="I31" s="141" t="n">
        <x:f>IF(AND(E31&gt;0,F31&gt;0),Premissas!$B$18,0)</x:f>
        <x:v>150</x:v>
      </x:c>
      <x:c r="J31" s="141" t="n">
        <x:f>IF(AND(E31&gt;0,F31&gt;0),IF(Premissas!$B$19="PRICE",IF(Premissas!$B$15=0,E31/F31,E31*Premissas!$B$15/(1-(1+Premissas!$B$15)^(-F31)))+I31,G31+H31+I31),0)</x:f>
        <x:v>1958.7897939658333</x:v>
      </x:c>
      <x:c r="K31" s="141" t="n">
        <x:f>H31+I31</x:f>
        <x:v>1577.8374130134516</x:v>
      </x:c>
      <x:c r="L31" s="141" t="n">
        <x:f>SUM($J$6:J31)</x:f>
        <x:v>52103.337577869526</x:v>
      </x:c>
      <x:c r="M31" s="141" t="n">
        <x:f>MAX(0,E31-G31)</x:f>
        <x:v>150095.23809523837</x:v>
      </x:c>
    </x:row>
    <x:row r="32">
      <x:c r="A32" s="142" t="n">
        <x:v>27</x:v>
      </x:c>
      <x:c r="B32" s="179" t="n">
        <x:f>EDATE(Premissas!$B$4,26)</x:f>
        <x:v>47331</x:v>
      </x:c>
      <x:c r="C32" s="141" t="n">
        <x:f>M31</x:f>
        <x:v>150095.23809523837</x:v>
      </x:c>
      <x:c r="D32" s="141" t="n">
        <x:f>IF(C32&gt;0,C32*Premissas!$B$17,0)</x:f>
        <x:v>0</x:v>
      </x:c>
      <x:c r="E32" s="141" t="n">
        <x:f>C32+D32</x:f>
        <x:v>150095.23809523837</x:v>
      </x:c>
      <x:c r="F32" s="142" t="n">
        <x:f>MAX(0,Premissas!$B$13-A32+1)</x:f>
        <x:v>394</x:v>
      </x:c>
      <x:c r="G32" s="141" t="n">
        <x:f>IF(AND(E32&gt;0,F32&gt;0),IF(Premissas!$B$19="PRICE",MAX(0,MIN(E32,IF(Premissas!$B$15=0,E32/F32,E32*Premissas!$B$15/(1-(1+Premissas!$B$15)^(-F32)))-H32)),MIN(E32,E32/F32)),0)</x:f>
        <x:v>380.95238095238165</x:v>
      </x:c>
      <x:c r="H32" s="141" t="n">
        <x:f>IF(AND(E32&gt;0,F32&gt;0),E32*Premissas!$B$15,0)</x:f>
        <x:v>1424.2226347526578</x:v>
      </x:c>
      <x:c r="I32" s="141" t="n">
        <x:f>IF(AND(E32&gt;0,F32&gt;0),Premissas!$B$18,0)</x:f>
        <x:v>150</x:v>
      </x:c>
      <x:c r="J32" s="141" t="n">
        <x:f>IF(AND(E32&gt;0,F32&gt;0),IF(Premissas!$B$19="PRICE",IF(Premissas!$B$15=0,E32/F32,E32*Premissas!$B$15/(1-(1+Premissas!$B$15)^(-F32)))+I32,G32+H32+I32),0)</x:f>
        <x:v>1955.1750157050394</x:v>
      </x:c>
      <x:c r="K32" s="141" t="n">
        <x:f>H32+I32</x:f>
        <x:v>1574.2226347526578</x:v>
      </x:c>
      <x:c r="L32" s="141" t="n">
        <x:f>SUM($J$6:J32)</x:f>
        <x:v>54058.51259357457</x:v>
      </x:c>
      <x:c r="M32" s="141" t="n">
        <x:f>MAX(0,E32-G32)</x:f>
        <x:v>149714.28571428597</x:v>
      </x:c>
    </x:row>
    <x:row r="33">
      <x:c r="A33" s="142" t="n">
        <x:v>28</x:v>
      </x:c>
      <x:c r="B33" s="179" t="n">
        <x:f>EDATE(Premissas!$B$4,27)</x:f>
        <x:v>47362</x:v>
      </x:c>
      <x:c r="C33" s="141" t="n">
        <x:f>M32</x:f>
        <x:v>149714.28571428597</x:v>
      </x:c>
      <x:c r="D33" s="141" t="n">
        <x:f>IF(C33&gt;0,C33*Premissas!$B$17,0)</x:f>
        <x:v>0</x:v>
      </x:c>
      <x:c r="E33" s="141" t="n">
        <x:f>C33+D33</x:f>
        <x:v>149714.28571428597</x:v>
      </x:c>
      <x:c r="F33" s="142" t="n">
        <x:f>MAX(0,Premissas!$B$13-A33+1)</x:f>
        <x:v>393</x:v>
      </x:c>
      <x:c r="G33" s="141" t="n">
        <x:f>IF(AND(E33&gt;0,F33&gt;0),IF(Premissas!$B$19="PRICE",MAX(0,MIN(E33,IF(Premissas!$B$15=0,E33/F33,E33*Premissas!$B$15/(1-(1+Premissas!$B$15)^(-F33)))-H33)),MIN(E33,E33/F33)),0)</x:f>
        <x:v>380.9523809523816</x:v>
      </x:c>
      <x:c r="H33" s="141" t="n">
        <x:f>IF(AND(E33&gt;0,F33&gt;0),E33*Premissas!$B$15,0)</x:f>
        <x:v>1420.6078564918641</x:v>
      </x:c>
      <x:c r="I33" s="141" t="n">
        <x:f>IF(AND(E33&gt;0,F33&gt;0),Premissas!$B$18,0)</x:f>
        <x:v>150</x:v>
      </x:c>
      <x:c r="J33" s="141" t="n">
        <x:f>IF(AND(E33&gt;0,F33&gt;0),IF(Premissas!$B$19="PRICE",IF(Premissas!$B$15=0,E33/F33,E33*Premissas!$B$15/(1-(1+Premissas!$B$15)^(-F33)))+I33,G33+H33+I33),0)</x:f>
        <x:v>1951.5602374442458</x:v>
      </x:c>
      <x:c r="K33" s="141" t="n">
        <x:f>H33+I33</x:f>
        <x:v>1570.6078564918641</x:v>
      </x:c>
      <x:c r="L33" s="141" t="n">
        <x:f>SUM($J$6:J33)</x:f>
        <x:v>56010.07283101881</x:v>
      </x:c>
      <x:c r="M33" s="141" t="n">
        <x:f>MAX(0,E33-G33)</x:f>
        <x:v>149333.3333333336</x:v>
      </x:c>
    </x:row>
    <x:row r="34">
      <x:c r="A34" s="142" t="n">
        <x:v>29</x:v>
      </x:c>
      <x:c r="B34" s="179" t="n">
        <x:f>EDATE(Premissas!$B$4,28)</x:f>
        <x:v>47392</x:v>
      </x:c>
      <x:c r="C34" s="141" t="n">
        <x:f>M33</x:f>
        <x:v>149333.3333333336</x:v>
      </x:c>
      <x:c r="D34" s="141" t="n">
        <x:f>IF(C34&gt;0,C34*Premissas!$B$17,0)</x:f>
        <x:v>0</x:v>
      </x:c>
      <x:c r="E34" s="141" t="n">
        <x:f>C34+D34</x:f>
        <x:v>149333.3333333336</x:v>
      </x:c>
      <x:c r="F34" s="142" t="n">
        <x:f>MAX(0,Premissas!$B$13-A34+1)</x:f>
        <x:v>392</x:v>
      </x:c>
      <x:c r="G34" s="141" t="n">
        <x:f>IF(AND(E34&gt;0,F34&gt;0),IF(Premissas!$B$19="PRICE",MAX(0,MIN(E34,IF(Premissas!$B$15=0,E34/F34,E34*Premissas!$B$15/(1-(1+Premissas!$B$15)^(-F34)))-H34)),MIN(E34,E34/F34)),0)</x:f>
        <x:v>380.95238095238165</x:v>
      </x:c>
      <x:c r="H34" s="141" t="n">
        <x:f>IF(AND(E34&gt;0,F34&gt;0),E34*Premissas!$B$15,0)</x:f>
        <x:v>1416.9930782310707</x:v>
      </x:c>
      <x:c r="I34" s="141" t="n">
        <x:f>IF(AND(E34&gt;0,F34&gt;0),Premissas!$B$18,0)</x:f>
        <x:v>150</x:v>
      </x:c>
      <x:c r="J34" s="141" t="n">
        <x:f>IF(AND(E34&gt;0,F34&gt;0),IF(Premissas!$B$19="PRICE",IF(Premissas!$B$15=0,E34/F34,E34*Premissas!$B$15/(1-(1+Premissas!$B$15)^(-F34)))+I34,G34+H34+I34),0)</x:f>
        <x:v>1947.9454591834524</x:v>
      </x:c>
      <x:c r="K34" s="141" t="n">
        <x:f>H34+I34</x:f>
        <x:v>1566.9930782310707</x:v>
      </x:c>
      <x:c r="L34" s="141" t="n">
        <x:f>SUM($J$6:J34)</x:f>
        <x:v>57958.018290202264</x:v>
      </x:c>
      <x:c r="M34" s="141" t="n">
        <x:f>MAX(0,E34-G34)</x:f>
        <x:v>148952.38095238124</x:v>
      </x:c>
    </x:row>
    <x:row r="35">
      <x:c r="A35" s="142" t="n">
        <x:v>30</x:v>
      </x:c>
      <x:c r="B35" s="179" t="n">
        <x:f>EDATE(Premissas!$B$4,29)</x:f>
        <x:v>47423</x:v>
      </x:c>
      <x:c r="C35" s="141" t="n">
        <x:f>M34</x:f>
        <x:v>148952.38095238124</x:v>
      </x:c>
      <x:c r="D35" s="141" t="n">
        <x:f>IF(C35&gt;0,C35*Premissas!$B$17,0)</x:f>
        <x:v>0</x:v>
      </x:c>
      <x:c r="E35" s="141" t="n">
        <x:f>C35+D35</x:f>
        <x:v>148952.38095238124</x:v>
      </x:c>
      <x:c r="F35" s="142" t="n">
        <x:f>MAX(0,Premissas!$B$13-A35+1)</x:f>
        <x:v>391</x:v>
      </x:c>
      <x:c r="G35" s="141" t="n">
        <x:f>IF(AND(E35&gt;0,F35&gt;0),IF(Premissas!$B$19="PRICE",MAX(0,MIN(E35,IF(Premissas!$B$15=0,E35/F35,E35*Premissas!$B$15/(1-(1+Premissas!$B$15)^(-F35)))-H35)),MIN(E35,E35/F35)),0)</x:f>
        <x:v>380.9523809523817</x:v>
      </x:c>
      <x:c r="H35" s="141" t="n">
        <x:f>IF(AND(E35&gt;0,F35&gt;0),E35*Premissas!$B$15,0)</x:f>
        <x:v>1413.3782999702773</x:v>
      </x:c>
      <x:c r="I35" s="141" t="n">
        <x:f>IF(AND(E35&gt;0,F35&gt;0),Premissas!$B$18,0)</x:f>
        <x:v>150</x:v>
      </x:c>
      <x:c r="J35" s="141" t="n">
        <x:f>IF(AND(E35&gt;0,F35&gt;0),IF(Premissas!$B$19="PRICE",IF(Premissas!$B$15=0,E35/F35,E35*Premissas!$B$15/(1-(1+Premissas!$B$15)^(-F35)))+I35,G35+H35+I35),0)</x:f>
        <x:v>1944.330680922659</x:v>
      </x:c>
      <x:c r="K35" s="141" t="n">
        <x:f>H35+I35</x:f>
        <x:v>1563.3782999702773</x:v>
      </x:c>
      <x:c r="L35" s="141" t="n">
        <x:f>SUM($J$6:J35)</x:f>
        <x:v>59902.34897112492</x:v>
      </x:c>
      <x:c r="M35" s="141" t="n">
        <x:f>MAX(0,E35-G35)</x:f>
        <x:v>148571.42857142884</x:v>
      </x:c>
    </x:row>
    <x:row r="36">
      <x:c r="A36" s="142" t="n">
        <x:v>31</x:v>
      </x:c>
      <x:c r="B36" s="179" t="n">
        <x:f>EDATE(Premissas!$B$4,30)</x:f>
        <x:v>47453</x:v>
      </x:c>
      <x:c r="C36" s="141" t="n">
        <x:f>M35</x:f>
        <x:v>148571.42857142884</x:v>
      </x:c>
      <x:c r="D36" s="141" t="n">
        <x:f>IF(C36&gt;0,C36*Premissas!$B$17,0)</x:f>
        <x:v>0</x:v>
      </x:c>
      <x:c r="E36" s="141" t="n">
        <x:f>C36+D36</x:f>
        <x:v>148571.42857142884</x:v>
      </x:c>
      <x:c r="F36" s="142" t="n">
        <x:f>MAX(0,Premissas!$B$13-A36+1)</x:f>
        <x:v>390</x:v>
      </x:c>
      <x:c r="G36" s="141" t="n">
        <x:f>IF(AND(E36&gt;0,F36&gt;0),IF(Premissas!$B$19="PRICE",MAX(0,MIN(E36,IF(Premissas!$B$15=0,E36/F36,E36*Premissas!$B$15/(1-(1+Premissas!$B$15)^(-F36)))-H36)),MIN(E36,E36/F36)),0)</x:f>
        <x:v>380.95238095238165</x:v>
      </x:c>
      <x:c r="H36" s="141" t="n">
        <x:f>IF(AND(E36&gt;0,F36&gt;0),E36*Premissas!$B$15,0)</x:f>
        <x:v>1409.7635217094837</x:v>
      </x:c>
      <x:c r="I36" s="141" t="n">
        <x:f>IF(AND(E36&gt;0,F36&gt;0),Premissas!$B$18,0)</x:f>
        <x:v>150</x:v>
      </x:c>
      <x:c r="J36" s="141" t="n">
        <x:f>IF(AND(E36&gt;0,F36&gt;0),IF(Premissas!$B$19="PRICE",IF(Premissas!$B$15=0,E36/F36,E36*Premissas!$B$15/(1-(1+Premissas!$B$15)^(-F36)))+I36,G36+H36+I36),0)</x:f>
        <x:v>1940.7159026618654</x:v>
      </x:c>
      <x:c r="K36" s="141" t="n">
        <x:f>H36+I36</x:f>
        <x:v>1559.7635217094837</x:v>
      </x:c>
      <x:c r="L36" s="141" t="n">
        <x:f>SUM($J$6:J36)</x:f>
        <x:v>61843.06487378679</x:v>
      </x:c>
      <x:c r="M36" s="141" t="n">
        <x:f>MAX(0,E36-G36)</x:f>
        <x:v>148190.47619047645</x:v>
      </x:c>
    </x:row>
    <x:row r="37">
      <x:c r="A37" s="142" t="n">
        <x:v>32</x:v>
      </x:c>
      <x:c r="B37" s="179" t="n">
        <x:f>EDATE(Premissas!$B$4,31)</x:f>
        <x:v>47484</x:v>
      </x:c>
      <x:c r="C37" s="141" t="n">
        <x:f>M36</x:f>
        <x:v>148190.47619047645</x:v>
      </x:c>
      <x:c r="D37" s="141" t="n">
        <x:f>IF(C37&gt;0,C37*Premissas!$B$17,0)</x:f>
        <x:v>0</x:v>
      </x:c>
      <x:c r="E37" s="141" t="n">
        <x:f>C37+D37</x:f>
        <x:v>148190.47619047645</x:v>
      </x:c>
      <x:c r="F37" s="142" t="n">
        <x:f>MAX(0,Premissas!$B$13-A37+1)</x:f>
        <x:v>389</x:v>
      </x:c>
      <x:c r="G37" s="141" t="n">
        <x:f>IF(AND(E37&gt;0,F37&gt;0),IF(Premissas!$B$19="PRICE",MAX(0,MIN(E37,IF(Premissas!$B$15=0,E37/F37,E37*Premissas!$B$15/(1-(1+Premissas!$B$15)^(-F37)))-H37)),MIN(E37,E37/F37)),0)</x:f>
        <x:v>380.9523809523816</x:v>
      </x:c>
      <x:c r="H37" s="141" t="n">
        <x:f>IF(AND(E37&gt;0,F37&gt;0),E37*Premissas!$B$15,0)</x:f>
        <x:v>1406.1487434486899</x:v>
      </x:c>
      <x:c r="I37" s="141" t="n">
        <x:f>IF(AND(E37&gt;0,F37&gt;0),Premissas!$B$18,0)</x:f>
        <x:v>150</x:v>
      </x:c>
      <x:c r="J37" s="141" t="n">
        <x:f>IF(AND(E37&gt;0,F37&gt;0),IF(Premissas!$B$19="PRICE",IF(Premissas!$B$15=0,E37/F37,E37*Premissas!$B$15/(1-(1+Premissas!$B$15)^(-F37)))+I37,G37+H37+I37),0)</x:f>
        <x:v>1937.1011244010715</x:v>
      </x:c>
      <x:c r="K37" s="141" t="n">
        <x:f>H37+I37</x:f>
        <x:v>1556.1487434486899</x:v>
      </x:c>
      <x:c r="L37" s="141" t="n">
        <x:f>SUM($J$6:J37)</x:f>
        <x:v>63780.16599818786</x:v>
      </x:c>
      <x:c r="M37" s="141" t="n">
        <x:f>MAX(0,E37-G37)</x:f>
        <x:v>147809.52380952408</x:v>
      </x:c>
    </x:row>
    <x:row r="38">
      <x:c r="A38" s="142" t="n">
        <x:v>33</x:v>
      </x:c>
      <x:c r="B38" s="179" t="n">
        <x:f>EDATE(Premissas!$B$4,32)</x:f>
        <x:v>47515</x:v>
      </x:c>
      <x:c r="C38" s="141" t="n">
        <x:f>M37</x:f>
        <x:v>147809.52380952408</x:v>
      </x:c>
      <x:c r="D38" s="141" t="n">
        <x:f>IF(C38&gt;0,C38*Premissas!$B$17,0)</x:f>
        <x:v>0</x:v>
      </x:c>
      <x:c r="E38" s="141" t="n">
        <x:f>C38+D38</x:f>
        <x:v>147809.52380952408</x:v>
      </x:c>
      <x:c r="F38" s="142" t="n">
        <x:f>MAX(0,Premissas!$B$13-A38+1)</x:f>
        <x:v>388</x:v>
      </x:c>
      <x:c r="G38" s="141" t="n">
        <x:f>IF(AND(E38&gt;0,F38&gt;0),IF(Premissas!$B$19="PRICE",MAX(0,MIN(E38,IF(Premissas!$B$15=0,E38/F38,E38*Premissas!$B$15/(1-(1+Premissas!$B$15)^(-F38)))-H38)),MIN(E38,E38/F38)),0)</x:f>
        <x:v>380.95238095238165</x:v>
      </x:c>
      <x:c r="H38" s="141" t="n">
        <x:f>IF(AND(E38&gt;0,F38&gt;0),E38*Premissas!$B$15,0)</x:f>
        <x:v>1402.5339651878965</x:v>
      </x:c>
      <x:c r="I38" s="141" t="n">
        <x:f>IF(AND(E38&gt;0,F38&gt;0),Premissas!$B$18,0)</x:f>
        <x:v>150</x:v>
      </x:c>
      <x:c r="J38" s="141" t="n">
        <x:f>IF(AND(E38&gt;0,F38&gt;0),IF(Premissas!$B$19="PRICE",IF(Premissas!$B$15=0,E38/F38,E38*Premissas!$B$15/(1-(1+Premissas!$B$15)^(-F38)))+I38,G38+H38+I38),0)</x:f>
        <x:v>1933.486346140278</x:v>
      </x:c>
      <x:c r="K38" s="141" t="n">
        <x:f>H38+I38</x:f>
        <x:v>1552.5339651878965</x:v>
      </x:c>
      <x:c r="L38" s="141" t="n">
        <x:f>SUM($J$6:J38)</x:f>
        <x:v>65713.65234432813</x:v>
      </x:c>
      <x:c r="M38" s="141" t="n">
        <x:f>MAX(0,E38-G38)</x:f>
        <x:v>147428.5714285717</x:v>
      </x:c>
    </x:row>
    <x:row r="39">
      <x:c r="A39" s="142" t="n">
        <x:v>34</x:v>
      </x:c>
      <x:c r="B39" s="179" t="n">
        <x:f>EDATE(Premissas!$B$4,33)</x:f>
        <x:v>47543</x:v>
      </x:c>
      <x:c r="C39" s="141" t="n">
        <x:f>M38</x:f>
        <x:v>147428.5714285717</x:v>
      </x:c>
      <x:c r="D39" s="141" t="n">
        <x:f>IF(C39&gt;0,C39*Premissas!$B$17,0)</x:f>
        <x:v>0</x:v>
      </x:c>
      <x:c r="E39" s="141" t="n">
        <x:f>C39+D39</x:f>
        <x:v>147428.5714285717</x:v>
      </x:c>
      <x:c r="F39" s="142" t="n">
        <x:f>MAX(0,Premissas!$B$13-A39+1)</x:f>
        <x:v>387</x:v>
      </x:c>
      <x:c r="G39" s="141" t="n">
        <x:f>IF(AND(E39&gt;0,F39&gt;0),IF(Premissas!$B$19="PRICE",MAX(0,MIN(E39,IF(Premissas!$B$15=0,E39/F39,E39*Premissas!$B$15/(1-(1+Premissas!$B$15)^(-F39)))-H39)),MIN(E39,E39/F39)),0)</x:f>
        <x:v>380.9523809523817</x:v>
      </x:c>
      <x:c r="H39" s="141" t="n">
        <x:f>IF(AND(E39&gt;0,F39&gt;0),E39*Premissas!$B$15,0)</x:f>
        <x:v>1398.919186927103</x:v>
      </x:c>
      <x:c r="I39" s="141" t="n">
        <x:f>IF(AND(E39&gt;0,F39&gt;0),Premissas!$B$18,0)</x:f>
        <x:v>150</x:v>
      </x:c>
      <x:c r="J39" s="141" t="n">
        <x:f>IF(AND(E39&gt;0,F39&gt;0),IF(Premissas!$B$19="PRICE",IF(Premissas!$B$15=0,E39/F39,E39*Premissas!$B$15/(1-(1+Premissas!$B$15)^(-F39)))+I39,G39+H39+I39),0)</x:f>
        <x:v>1929.8715678794847</x:v>
      </x:c>
      <x:c r="K39" s="141" t="n">
        <x:f>H39+I39</x:f>
        <x:v>1548.919186927103</x:v>
      </x:c>
      <x:c r="L39" s="141" t="n">
        <x:f>SUM($J$6:J39)</x:f>
        <x:v>67643.52391220762</x:v>
      </x:c>
      <x:c r="M39" s="141" t="n">
        <x:f>MAX(0,E39-G39)</x:f>
        <x:v>147047.61904761932</x:v>
      </x:c>
    </x:row>
    <x:row r="40">
      <x:c r="A40" s="142" t="n">
        <x:v>35</x:v>
      </x:c>
      <x:c r="B40" s="179" t="n">
        <x:f>EDATE(Premissas!$B$4,34)</x:f>
        <x:v>47574</x:v>
      </x:c>
      <x:c r="C40" s="141" t="n">
        <x:f>M39</x:f>
        <x:v>147047.61904761932</x:v>
      </x:c>
      <x:c r="D40" s="141" t="n">
        <x:f>IF(C40&gt;0,C40*Premissas!$B$17,0)</x:f>
        <x:v>0</x:v>
      </x:c>
      <x:c r="E40" s="141" t="n">
        <x:f>C40+D40</x:f>
        <x:v>147047.61904761932</x:v>
      </x:c>
      <x:c r="F40" s="142" t="n">
        <x:f>MAX(0,Premissas!$B$13-A40+1)</x:f>
        <x:v>386</x:v>
      </x:c>
      <x:c r="G40" s="141" t="n">
        <x:f>IF(AND(E40&gt;0,F40&gt;0),IF(Premissas!$B$19="PRICE",MAX(0,MIN(E40,IF(Premissas!$B$15=0,E40/F40,E40*Premissas!$B$15/(1-(1+Premissas!$B$15)^(-F40)))-H40)),MIN(E40,E40/F40)),0)</x:f>
        <x:v>380.95238095238165</x:v>
      </x:c>
      <x:c r="H40" s="141" t="n">
        <x:f>IF(AND(E40&gt;0,F40&gt;0),E40*Premissas!$B$15,0)</x:f>
        <x:v>1395.3044086663094</x:v>
      </x:c>
      <x:c r="I40" s="141" t="n">
        <x:f>IF(AND(E40&gt;0,F40&gt;0),Premissas!$B$18,0)</x:f>
        <x:v>150</x:v>
      </x:c>
      <x:c r="J40" s="141" t="n">
        <x:f>IF(AND(E40&gt;0,F40&gt;0),IF(Premissas!$B$19="PRICE",IF(Premissas!$B$15=0,E40/F40,E40*Premissas!$B$15/(1-(1+Premissas!$B$15)^(-F40)))+I40,G40+H40+I40),0)</x:f>
        <x:v>1926.256789618691</x:v>
      </x:c>
      <x:c r="K40" s="141" t="n">
        <x:f>H40+I40</x:f>
        <x:v>1545.3044086663094</x:v>
      </x:c>
      <x:c r="L40" s="141" t="n">
        <x:f>SUM($J$6:J40)</x:f>
        <x:v>69569.78070182631</x:v>
      </x:c>
      <x:c r="M40" s="141" t="n">
        <x:f>MAX(0,E40-G40)</x:f>
        <x:v>146666.66666666692</x:v>
      </x:c>
    </x:row>
    <x:row r="41">
      <x:c r="A41" s="142" t="n">
        <x:v>36</x:v>
      </x:c>
      <x:c r="B41" s="179" t="n">
        <x:f>EDATE(Premissas!$B$4,35)</x:f>
        <x:v>47604</x:v>
      </x:c>
      <x:c r="C41" s="141" t="n">
        <x:f>M40</x:f>
        <x:v>146666.66666666692</x:v>
      </x:c>
      <x:c r="D41" s="141" t="n">
        <x:f>IF(C41&gt;0,C41*Premissas!$B$17,0)</x:f>
        <x:v>0</x:v>
      </x:c>
      <x:c r="E41" s="141" t="n">
        <x:f>C41+D41</x:f>
        <x:v>146666.66666666692</x:v>
      </x:c>
      <x:c r="F41" s="142" t="n">
        <x:f>MAX(0,Premissas!$B$13-A41+1)</x:f>
        <x:v>385</x:v>
      </x:c>
      <x:c r="G41" s="141" t="n">
        <x:f>IF(AND(E41&gt;0,F41&gt;0),IF(Premissas!$B$19="PRICE",MAX(0,MIN(E41,IF(Premissas!$B$15=0,E41/F41,E41*Premissas!$B$15/(1-(1+Premissas!$B$15)^(-F41)))-H41)),MIN(E41,E41/F41)),0)</x:f>
        <x:v>380.9523809523816</x:v>
      </x:c>
      <x:c r="H41" s="141" t="n">
        <x:f>IF(AND(E41&gt;0,F41&gt;0),E41*Premissas!$B$15,0)</x:f>
        <x:v>1391.6896304055158</x:v>
      </x:c>
      <x:c r="I41" s="141" t="n">
        <x:f>IF(AND(E41&gt;0,F41&gt;0),Premissas!$B$18,0)</x:f>
        <x:v>150</x:v>
      </x:c>
      <x:c r="J41" s="141" t="n">
        <x:f>IF(AND(E41&gt;0,F41&gt;0),IF(Premissas!$B$19="PRICE",IF(Premissas!$B$15=0,E41/F41,E41*Premissas!$B$15/(1-(1+Premissas!$B$15)^(-F41)))+I41,G41+H41+I41),0)</x:f>
        <x:v>1922.6420113578974</x:v>
      </x:c>
      <x:c r="K41" s="141" t="n">
        <x:f>H41+I41</x:f>
        <x:v>1541.6896304055158</x:v>
      </x:c>
      <x:c r="L41" s="141" t="n">
        <x:f>SUM($J$6:J41)</x:f>
        <x:v>71492.4227131842</x:v>
      </x:c>
      <x:c r="M41" s="141" t="n">
        <x:f>MAX(0,E41-G41)</x:f>
        <x:v>146285.71428571455</x:v>
      </x:c>
    </x:row>
    <x:row r="42">
      <x:c r="A42" s="142" t="n">
        <x:v>37</x:v>
      </x:c>
      <x:c r="B42" s="179" t="n">
        <x:f>EDATE(Premissas!$B$4,36)</x:f>
        <x:v>47635</x:v>
      </x:c>
      <x:c r="C42" s="141" t="n">
        <x:f>M41</x:f>
        <x:v>146285.71428571455</x:v>
      </x:c>
      <x:c r="D42" s="141" t="n">
        <x:f>IF(C42&gt;0,C42*Premissas!$B$17,0)</x:f>
        <x:v>0</x:v>
      </x:c>
      <x:c r="E42" s="141" t="n">
        <x:f>C42+D42</x:f>
        <x:v>146285.71428571455</x:v>
      </x:c>
      <x:c r="F42" s="142" t="n">
        <x:f>MAX(0,Premissas!$B$13-A42+1)</x:f>
        <x:v>384</x:v>
      </x:c>
      <x:c r="G42" s="141" t="n">
        <x:f>IF(AND(E42&gt;0,F42&gt;0),IF(Premissas!$B$19="PRICE",MAX(0,MIN(E42,IF(Premissas!$B$15=0,E42/F42,E42*Premissas!$B$15/(1-(1+Premissas!$B$15)^(-F42)))-H42)),MIN(E42,E42/F42)),0)</x:f>
        <x:v>380.95238095238165</x:v>
      </x:c>
      <x:c r="H42" s="141" t="n">
        <x:f>IF(AND(E42&gt;0,F42&gt;0),E42*Premissas!$B$15,0)</x:f>
        <x:v>1388.0748521447224</x:v>
      </x:c>
      <x:c r="I42" s="141" t="n">
        <x:f>IF(AND(E42&gt;0,F42&gt;0),Premissas!$B$18,0)</x:f>
        <x:v>150</x:v>
      </x:c>
      <x:c r="J42" s="141" t="n">
        <x:f>IF(AND(E42&gt;0,F42&gt;0),IF(Premissas!$B$19="PRICE",IF(Premissas!$B$15=0,E42/F42,E42*Premissas!$B$15/(1-(1+Premissas!$B$15)^(-F42)))+I42,G42+H42+I42),0)</x:f>
        <x:v>1919.027233097104</x:v>
      </x:c>
      <x:c r="K42" s="141" t="n">
        <x:f>H42+I42</x:f>
        <x:v>1538.0748521447224</x:v>
      </x:c>
      <x:c r="L42" s="141" t="n">
        <x:f>SUM($J$6:J42)</x:f>
        <x:v>73411.44994628131</x:v>
      </x:c>
      <x:c r="M42" s="141" t="n">
        <x:f>MAX(0,E42-G42)</x:f>
        <x:v>145904.76190476218</x:v>
      </x:c>
    </x:row>
    <x:row r="43">
      <x:c r="A43" s="142" t="n">
        <x:v>38</x:v>
      </x:c>
      <x:c r="B43" s="179" t="n">
        <x:f>EDATE(Premissas!$B$4,37)</x:f>
        <x:v>47665</x:v>
      </x:c>
      <x:c r="C43" s="141" t="n">
        <x:f>M42</x:f>
        <x:v>145904.76190476218</x:v>
      </x:c>
      <x:c r="D43" s="141" t="n">
        <x:f>IF(C43&gt;0,C43*Premissas!$B$17,0)</x:f>
        <x:v>0</x:v>
      </x:c>
      <x:c r="E43" s="141" t="n">
        <x:f>C43+D43</x:f>
        <x:v>145904.76190476218</x:v>
      </x:c>
      <x:c r="F43" s="142" t="n">
        <x:f>MAX(0,Premissas!$B$13-A43+1)</x:f>
        <x:v>383</x:v>
      </x:c>
      <x:c r="G43" s="141" t="n">
        <x:f>IF(AND(E43&gt;0,F43&gt;0),IF(Premissas!$B$19="PRICE",MAX(0,MIN(E43,IF(Premissas!$B$15=0,E43/F43,E43*Premissas!$B$15/(1-(1+Premissas!$B$15)^(-F43)))-H43)),MIN(E43,E43/F43)),0)</x:f>
        <x:v>380.9523809523817</x:v>
      </x:c>
      <x:c r="H43" s="141" t="n">
        <x:f>IF(AND(E43&gt;0,F43&gt;0),E43*Premissas!$B$15,0)</x:f>
        <x:v>1384.460073883929</x:v>
      </x:c>
      <x:c r="I43" s="141" t="n">
        <x:f>IF(AND(E43&gt;0,F43&gt;0),Premissas!$B$18,0)</x:f>
        <x:v>150</x:v>
      </x:c>
      <x:c r="J43" s="141" t="n">
        <x:f>IF(AND(E43&gt;0,F43&gt;0),IF(Premissas!$B$19="PRICE",IF(Premissas!$B$15=0,E43/F43,E43*Premissas!$B$15/(1-(1+Premissas!$B$15)^(-F43)))+I43,G43+H43+I43),0)</x:f>
        <x:v>1915.4124548363106</x:v>
      </x:c>
      <x:c r="K43" s="141" t="n">
        <x:f>H43+I43</x:f>
        <x:v>1534.460073883929</x:v>
      </x:c>
      <x:c r="L43" s="141" t="n">
        <x:f>SUM($J$6:J43)</x:f>
        <x:v>75326.86240111763</x:v>
      </x:c>
      <x:c r="M43" s="141" t="n">
        <x:f>MAX(0,E43-G43)</x:f>
        <x:v>145523.8095238098</x:v>
      </x:c>
    </x:row>
    <x:row r="44">
      <x:c r="A44" s="142" t="n">
        <x:v>39</x:v>
      </x:c>
      <x:c r="B44" s="179" t="n">
        <x:f>EDATE(Premissas!$B$4,38)</x:f>
        <x:v>47696</x:v>
      </x:c>
      <x:c r="C44" s="141" t="n">
        <x:f>M43</x:f>
        <x:v>145523.8095238098</x:v>
      </x:c>
      <x:c r="D44" s="141" t="n">
        <x:f>IF(C44&gt;0,C44*Premissas!$B$17,0)</x:f>
        <x:v>0</x:v>
      </x:c>
      <x:c r="E44" s="141" t="n">
        <x:f>C44+D44</x:f>
        <x:v>145523.8095238098</x:v>
      </x:c>
      <x:c r="F44" s="142" t="n">
        <x:f>MAX(0,Premissas!$B$13-A44+1)</x:f>
        <x:v>382</x:v>
      </x:c>
      <x:c r="G44" s="141" t="n">
        <x:f>IF(AND(E44&gt;0,F44&gt;0),IF(Premissas!$B$19="PRICE",MAX(0,MIN(E44,IF(Premissas!$B$15=0,E44/F44,E44*Premissas!$B$15/(1-(1+Premissas!$B$15)^(-F44)))-H44)),MIN(E44,E44/F44)),0)</x:f>
        <x:v>380.95238095238165</x:v>
      </x:c>
      <x:c r="H44" s="141" t="n">
        <x:f>IF(AND(E44&gt;0,F44&gt;0),E44*Premissas!$B$15,0)</x:f>
        <x:v>1380.8452956231354</x:v>
      </x:c>
      <x:c r="I44" s="141" t="n">
        <x:f>IF(AND(E44&gt;0,F44&gt;0),Premissas!$B$18,0)</x:f>
        <x:v>150</x:v>
      </x:c>
      <x:c r="J44" s="141" t="n">
        <x:f>IF(AND(E44&gt;0,F44&gt;0),IF(Premissas!$B$19="PRICE",IF(Premissas!$B$15=0,E44/F44,E44*Premissas!$B$15/(1-(1+Premissas!$B$15)^(-F44)))+I44,G44+H44+I44),0)</x:f>
        <x:v>1911.797676575517</x:v>
      </x:c>
      <x:c r="K44" s="141" t="n">
        <x:f>H44+I44</x:f>
        <x:v>1530.8452956231354</x:v>
      </x:c>
      <x:c r="L44" s="141" t="n">
        <x:f>SUM($J$6:J44)</x:f>
        <x:v>77238.66007769314</x:v>
      </x:c>
      <x:c r="M44" s="141" t="n">
        <x:f>MAX(0,E44-G44)</x:f>
        <x:v>145142.8571428574</x:v>
      </x:c>
    </x:row>
    <x:row r="45">
      <x:c r="A45" s="142" t="n">
        <x:v>40</x:v>
      </x:c>
      <x:c r="B45" s="179" t="n">
        <x:f>EDATE(Premissas!$B$4,39)</x:f>
        <x:v>47727</x:v>
      </x:c>
      <x:c r="C45" s="141" t="n">
        <x:f>M44</x:f>
        <x:v>145142.8571428574</x:v>
      </x:c>
      <x:c r="D45" s="141" t="n">
        <x:f>IF(C45&gt;0,C45*Premissas!$B$17,0)</x:f>
        <x:v>0</x:v>
      </x:c>
      <x:c r="E45" s="141" t="n">
        <x:f>C45+D45</x:f>
        <x:v>145142.8571428574</x:v>
      </x:c>
      <x:c r="F45" s="142" t="n">
        <x:f>MAX(0,Premissas!$B$13-A45+1)</x:f>
        <x:v>381</x:v>
      </x:c>
      <x:c r="G45" s="141" t="n">
        <x:f>IF(AND(E45&gt;0,F45&gt;0),IF(Premissas!$B$19="PRICE",MAX(0,MIN(E45,IF(Premissas!$B$15=0,E45/F45,E45*Premissas!$B$15/(1-(1+Premissas!$B$15)^(-F45)))-H45)),MIN(E45,E45/F45)),0)</x:f>
        <x:v>380.9523809523816</x:v>
      </x:c>
      <x:c r="H45" s="141" t="n">
        <x:f>IF(AND(E45&gt;0,F45&gt;0),E45*Premissas!$B$15,0)</x:f>
        <x:v>1377.2305173623415</x:v>
      </x:c>
      <x:c r="I45" s="141" t="n">
        <x:f>IF(AND(E45&gt;0,F45&gt;0),Premissas!$B$18,0)</x:f>
        <x:v>150</x:v>
      </x:c>
      <x:c r="J45" s="141" t="n">
        <x:f>IF(AND(E45&gt;0,F45&gt;0),IF(Premissas!$B$19="PRICE",IF(Premissas!$B$15=0,E45/F45,E45*Premissas!$B$15/(1-(1+Premissas!$B$15)^(-F45)))+I45,G45+H45+I45),0)</x:f>
        <x:v>1908.1828983147232</x:v>
      </x:c>
      <x:c r="K45" s="141" t="n">
        <x:f>H45+I45</x:f>
        <x:v>1527.2305173623415</x:v>
      </x:c>
      <x:c r="L45" s="141" t="n">
        <x:f>SUM($J$6:J45)</x:f>
        <x:v>79146.84297600787</x:v>
      </x:c>
      <x:c r="M45" s="141" t="n">
        <x:f>MAX(0,E45-G45)</x:f>
        <x:v>144761.90476190503</x:v>
      </x:c>
    </x:row>
    <x:row r="46">
      <x:c r="A46" s="142" t="n">
        <x:v>41</x:v>
      </x:c>
      <x:c r="B46" s="179" t="n">
        <x:f>EDATE(Premissas!$B$4,40)</x:f>
        <x:v>47757</x:v>
      </x:c>
      <x:c r="C46" s="141" t="n">
        <x:f>M45</x:f>
        <x:v>144761.90476190503</x:v>
      </x:c>
      <x:c r="D46" s="141" t="n">
        <x:f>IF(C46&gt;0,C46*Premissas!$B$17,0)</x:f>
        <x:v>0</x:v>
      </x:c>
      <x:c r="E46" s="141" t="n">
        <x:f>C46+D46</x:f>
        <x:v>144761.90476190503</x:v>
      </x:c>
      <x:c r="F46" s="142" t="n">
        <x:f>MAX(0,Premissas!$B$13-A46+1)</x:f>
        <x:v>380</x:v>
      </x:c>
      <x:c r="G46" s="141" t="n">
        <x:f>IF(AND(E46&gt;0,F46&gt;0),IF(Premissas!$B$19="PRICE",MAX(0,MIN(E46,IF(Premissas!$B$15=0,E46/F46,E46*Premissas!$B$15/(1-(1+Premissas!$B$15)^(-F46)))-H46)),MIN(E46,E46/F46)),0)</x:f>
        <x:v>380.95238095238165</x:v>
      </x:c>
      <x:c r="H46" s="141" t="n">
        <x:f>IF(AND(E46&gt;0,F46&gt;0),E46*Premissas!$B$15,0)</x:f>
        <x:v>1373.6157391015481</x:v>
      </x:c>
      <x:c r="I46" s="141" t="n">
        <x:f>IF(AND(E46&gt;0,F46&gt;0),Premissas!$B$18,0)</x:f>
        <x:v>150</x:v>
      </x:c>
      <x:c r="J46" s="141" t="n">
        <x:f>IF(AND(E46&gt;0,F46&gt;0),IF(Premissas!$B$19="PRICE",IF(Premissas!$B$15=0,E46/F46,E46*Premissas!$B$15/(1-(1+Premissas!$B$15)^(-F46)))+I46,G46+H46+I46),0)</x:f>
        <x:v>1904.5681200539298</x:v>
      </x:c>
      <x:c r="K46" s="141" t="n">
        <x:f>H46+I46</x:f>
        <x:v>1523.6157391015481</x:v>
      </x:c>
      <x:c r="L46" s="141" t="n">
        <x:f>SUM($J$6:J46)</x:f>
        <x:v>81051.4110960618</x:v>
      </x:c>
      <x:c r="M46" s="141" t="n">
        <x:f>MAX(0,E46-G46)</x:f>
        <x:v>144380.95238095266</x:v>
      </x:c>
    </x:row>
    <x:row r="47">
      <x:c r="A47" s="142" t="n">
        <x:v>42</x:v>
      </x:c>
      <x:c r="B47" s="179" t="n">
        <x:f>EDATE(Premissas!$B$4,41)</x:f>
        <x:v>47788</x:v>
      </x:c>
      <x:c r="C47" s="141" t="n">
        <x:f>M46</x:f>
        <x:v>144380.95238095266</x:v>
      </x:c>
      <x:c r="D47" s="141" t="n">
        <x:f>IF(C47&gt;0,C47*Premissas!$B$17,0)</x:f>
        <x:v>0</x:v>
      </x:c>
      <x:c r="E47" s="141" t="n">
        <x:f>C47+D47</x:f>
        <x:v>144380.95238095266</x:v>
      </x:c>
      <x:c r="F47" s="142" t="n">
        <x:f>MAX(0,Premissas!$B$13-A47+1)</x:f>
        <x:v>379</x:v>
      </x:c>
      <x:c r="G47" s="141" t="n">
        <x:f>IF(AND(E47&gt;0,F47&gt;0),IF(Premissas!$B$19="PRICE",MAX(0,MIN(E47,IF(Premissas!$B$15=0,E47/F47,E47*Premissas!$B$15/(1-(1+Premissas!$B$15)^(-F47)))-H47)),MIN(E47,E47/F47)),0)</x:f>
        <x:v>380.9523809523817</x:v>
      </x:c>
      <x:c r="H47" s="141" t="n">
        <x:f>IF(AND(E47&gt;0,F47&gt;0),E47*Premissas!$B$15,0)</x:f>
        <x:v>1370.0009608407547</x:v>
      </x:c>
      <x:c r="I47" s="141" t="n">
        <x:f>IF(AND(E47&gt;0,F47&gt;0),Premissas!$B$18,0)</x:f>
        <x:v>150</x:v>
      </x:c>
      <x:c r="J47" s="141" t="n">
        <x:f>IF(AND(E47&gt;0,F47&gt;0),IF(Premissas!$B$19="PRICE",IF(Premissas!$B$15=0,E47/F47,E47*Premissas!$B$15/(1-(1+Premissas!$B$15)^(-F47)))+I47,G47+H47+I47),0)</x:f>
        <x:v>1900.9533417931364</x:v>
      </x:c>
      <x:c r="K47" s="141" t="n">
        <x:f>H47+I47</x:f>
        <x:v>1520.0009608407547</x:v>
      </x:c>
      <x:c r="L47" s="141" t="n">
        <x:f>SUM($J$6:J47)</x:f>
        <x:v>82952.36443785494</x:v>
      </x:c>
      <x:c r="M47" s="141" t="n">
        <x:f>MAX(0,E47-G47)</x:f>
        <x:v>144000.00000000026</x:v>
      </x:c>
    </x:row>
    <x:row r="48">
      <x:c r="A48" s="142" t="n">
        <x:v>43</x:v>
      </x:c>
      <x:c r="B48" s="179" t="n">
        <x:f>EDATE(Premissas!$B$4,42)</x:f>
        <x:v>47818</x:v>
      </x:c>
      <x:c r="C48" s="141" t="n">
        <x:f>M47</x:f>
        <x:v>144000.00000000026</x:v>
      </x:c>
      <x:c r="D48" s="141" t="n">
        <x:f>IF(C48&gt;0,C48*Premissas!$B$17,0)</x:f>
        <x:v>0</x:v>
      </x:c>
      <x:c r="E48" s="141" t="n">
        <x:f>C48+D48</x:f>
        <x:v>144000.00000000026</x:v>
      </x:c>
      <x:c r="F48" s="142" t="n">
        <x:f>MAX(0,Premissas!$B$13-A48+1)</x:f>
        <x:v>378</x:v>
      </x:c>
      <x:c r="G48" s="141" t="n">
        <x:f>IF(AND(E48&gt;0,F48&gt;0),IF(Premissas!$B$19="PRICE",MAX(0,MIN(E48,IF(Premissas!$B$15=0,E48/F48,E48*Premissas!$B$15/(1-(1+Premissas!$B$15)^(-F48)))-H48)),MIN(E48,E48/F48)),0)</x:f>
        <x:v>380.95238095238165</x:v>
      </x:c>
      <x:c r="H48" s="141" t="n">
        <x:f>IF(AND(E48&gt;0,F48&gt;0),E48*Premissas!$B$15,0)</x:f>
        <x:v>1366.386182579961</x:v>
      </x:c>
      <x:c r="I48" s="141" t="n">
        <x:f>IF(AND(E48&gt;0,F48&gt;0),Premissas!$B$18,0)</x:f>
        <x:v>150</x:v>
      </x:c>
      <x:c r="J48" s="141" t="n">
        <x:f>IF(AND(E48&gt;0,F48&gt;0),IF(Premissas!$B$19="PRICE",IF(Premissas!$B$15=0,E48/F48,E48*Premissas!$B$15/(1-(1+Premissas!$B$15)^(-F48)))+I48,G48+H48+I48),0)</x:f>
        <x:v>1897.3385635323427</x:v>
      </x:c>
      <x:c r="K48" s="141" t="n">
        <x:f>H48+I48</x:f>
        <x:v>1516.386182579961</x:v>
      </x:c>
      <x:c r="L48" s="141" t="n">
        <x:f>SUM($J$6:J48)</x:f>
        <x:v>84849.70300138727</x:v>
      </x:c>
      <x:c r="M48" s="141" t="n">
        <x:f>MAX(0,E48-G48)</x:f>
        <x:v>143619.04761904787</x:v>
      </x:c>
    </x:row>
    <x:row r="49">
      <x:c r="A49" s="142" t="n">
        <x:v>44</x:v>
      </x:c>
      <x:c r="B49" s="179" t="n">
        <x:f>EDATE(Premissas!$B$4,43)</x:f>
        <x:v>47849</x:v>
      </x:c>
      <x:c r="C49" s="141" t="n">
        <x:f>M48</x:f>
        <x:v>143619.04761904787</x:v>
      </x:c>
      <x:c r="D49" s="141" t="n">
        <x:f>IF(C49&gt;0,C49*Premissas!$B$17,0)</x:f>
        <x:v>0</x:v>
      </x:c>
      <x:c r="E49" s="141" t="n">
        <x:f>C49+D49</x:f>
        <x:v>143619.04761904787</x:v>
      </x:c>
      <x:c r="F49" s="142" t="n">
        <x:f>MAX(0,Premissas!$B$13-A49+1)</x:f>
        <x:v>377</x:v>
      </x:c>
      <x:c r="G49" s="141" t="n">
        <x:f>IF(AND(E49&gt;0,F49&gt;0),IF(Premissas!$B$19="PRICE",MAX(0,MIN(E49,IF(Premissas!$B$15=0,E49/F49,E49*Premissas!$B$15/(1-(1+Premissas!$B$15)^(-F49)))-H49)),MIN(E49,E49/F49)),0)</x:f>
        <x:v>380.9523809523816</x:v>
      </x:c>
      <x:c r="H49" s="141" t="n">
        <x:f>IF(AND(E49&gt;0,F49&gt;0),E49*Premissas!$B$15,0)</x:f>
        <x:v>1362.7714043191675</x:v>
      </x:c>
      <x:c r="I49" s="141" t="n">
        <x:f>IF(AND(E49&gt;0,F49&gt;0),Premissas!$B$18,0)</x:f>
        <x:v>150</x:v>
      </x:c>
      <x:c r="J49" s="141" t="n">
        <x:f>IF(AND(E49&gt;0,F49&gt;0),IF(Premissas!$B$19="PRICE",IF(Premissas!$B$15=0,E49/F49,E49*Premissas!$B$15/(1-(1+Premissas!$B$15)^(-F49)))+I49,G49+H49+I49),0)</x:f>
        <x:v>1893.723785271549</x:v>
      </x:c>
      <x:c r="K49" s="141" t="n">
        <x:f>H49+I49</x:f>
        <x:v>1512.7714043191675</x:v>
      </x:c>
      <x:c r="L49" s="141" t="n">
        <x:f>SUM($J$6:J49)</x:f>
        <x:v>86743.42678665882</x:v>
      </x:c>
      <x:c r="M49" s="141" t="n">
        <x:f>MAX(0,E49-G49)</x:f>
        <x:v>143238.0952380955</x:v>
      </x:c>
    </x:row>
    <x:row r="50">
      <x:c r="A50" s="142" t="n">
        <x:v>45</x:v>
      </x:c>
      <x:c r="B50" s="179" t="n">
        <x:f>EDATE(Premissas!$B$4,44)</x:f>
        <x:v>47880</x:v>
      </x:c>
      <x:c r="C50" s="141" t="n">
        <x:f>M49</x:f>
        <x:v>143238.0952380955</x:v>
      </x:c>
      <x:c r="D50" s="141" t="n">
        <x:f>IF(C50&gt;0,C50*Premissas!$B$17,0)</x:f>
        <x:v>0</x:v>
      </x:c>
      <x:c r="E50" s="141" t="n">
        <x:f>C50+D50</x:f>
        <x:v>143238.0952380955</x:v>
      </x:c>
      <x:c r="F50" s="142" t="n">
        <x:f>MAX(0,Premissas!$B$13-A50+1)</x:f>
        <x:v>376</x:v>
      </x:c>
      <x:c r="G50" s="141" t="n">
        <x:f>IF(AND(E50&gt;0,F50&gt;0),IF(Premissas!$B$19="PRICE",MAX(0,MIN(E50,IF(Premissas!$B$15=0,E50/F50,E50*Premissas!$B$15/(1-(1+Premissas!$B$15)^(-F50)))-H50)),MIN(E50,E50/F50)),0)</x:f>
        <x:v>380.95238095238165</x:v>
      </x:c>
      <x:c r="H50" s="141" t="n">
        <x:f>IF(AND(E50&gt;0,F50&gt;0),E50*Premissas!$B$15,0)</x:f>
        <x:v>1359.156626058374</x:v>
      </x:c>
      <x:c r="I50" s="141" t="n">
        <x:f>IF(AND(E50&gt;0,F50&gt;0),Premissas!$B$18,0)</x:f>
        <x:v>150</x:v>
      </x:c>
      <x:c r="J50" s="141" t="n">
        <x:f>IF(AND(E50&gt;0,F50&gt;0),IF(Premissas!$B$19="PRICE",IF(Premissas!$B$15=0,E50/F50,E50*Premissas!$B$15/(1-(1+Premissas!$B$15)^(-F50)))+I50,G50+H50+I50),0)</x:f>
        <x:v>1890.1090070107557</x:v>
      </x:c>
      <x:c r="K50" s="141" t="n">
        <x:f>H50+I50</x:f>
        <x:v>1509.156626058374</x:v>
      </x:c>
      <x:c r="L50" s="141" t="n">
        <x:f>SUM($J$6:J50)</x:f>
        <x:v>88633.53579366958</x:v>
      </x:c>
      <x:c r="M50" s="141" t="n">
        <x:f>MAX(0,E50-G50)</x:f>
        <x:v>142857.14285714313</x:v>
      </x:c>
    </x:row>
    <x:row r="51">
      <x:c r="A51" s="142" t="n">
        <x:v>46</x:v>
      </x:c>
      <x:c r="B51" s="179" t="n">
        <x:f>EDATE(Premissas!$B$4,45)</x:f>
        <x:v>47908</x:v>
      </x:c>
      <x:c r="C51" s="141" t="n">
        <x:f>M50</x:f>
        <x:v>142857.14285714313</x:v>
      </x:c>
      <x:c r="D51" s="141" t="n">
        <x:f>IF(C51&gt;0,C51*Premissas!$B$17,0)</x:f>
        <x:v>0</x:v>
      </x:c>
      <x:c r="E51" s="141" t="n">
        <x:f>C51+D51</x:f>
        <x:v>142857.14285714313</x:v>
      </x:c>
      <x:c r="F51" s="142" t="n">
        <x:f>MAX(0,Premissas!$B$13-A51+1)</x:f>
        <x:v>375</x:v>
      </x:c>
      <x:c r="G51" s="141" t="n">
        <x:f>IF(AND(E51&gt;0,F51&gt;0),IF(Premissas!$B$19="PRICE",MAX(0,MIN(E51,IF(Premissas!$B$15=0,E51/F51,E51*Premissas!$B$15/(1-(1+Premissas!$B$15)^(-F51)))-H51)),MIN(E51,E51/F51)),0)</x:f>
        <x:v>380.9523809523817</x:v>
      </x:c>
      <x:c r="H51" s="141" t="n">
        <x:f>IF(AND(E51&gt;0,F51&gt;0),E51*Premissas!$B$15,0)</x:f>
        <x:v>1355.5418477975807</x:v>
      </x:c>
      <x:c r="I51" s="141" t="n">
        <x:f>IF(AND(E51&gt;0,F51&gt;0),Premissas!$B$18,0)</x:f>
        <x:v>150</x:v>
      </x:c>
      <x:c r="J51" s="141" t="n">
        <x:f>IF(AND(E51&gt;0,F51&gt;0),IF(Premissas!$B$19="PRICE",IF(Premissas!$B$15=0,E51/F51,E51*Premissas!$B$15/(1-(1+Premissas!$B$15)^(-F51)))+I51,G51+H51+I51),0)</x:f>
        <x:v>1886.4942287499623</x:v>
      </x:c>
      <x:c r="K51" s="141" t="n">
        <x:f>H51+I51</x:f>
        <x:v>1505.5418477975807</x:v>
      </x:c>
      <x:c r="L51" s="141" t="n">
        <x:f>SUM($J$6:J51)</x:f>
        <x:v>90520.03002241954</x:v>
      </x:c>
      <x:c r="M51" s="141" t="n">
        <x:f>MAX(0,E51-G51)</x:f>
        <x:v>142476.19047619074</x:v>
      </x:c>
    </x:row>
    <x:row r="52">
      <x:c r="A52" s="142" t="n">
        <x:v>47</x:v>
      </x:c>
      <x:c r="B52" s="179" t="n">
        <x:f>EDATE(Premissas!$B$4,46)</x:f>
        <x:v>47939</x:v>
      </x:c>
      <x:c r="C52" s="141" t="n">
        <x:f>M51</x:f>
        <x:v>142476.19047619074</x:v>
      </x:c>
      <x:c r="D52" s="141" t="n">
        <x:f>IF(C52&gt;0,C52*Premissas!$B$17,0)</x:f>
        <x:v>0</x:v>
      </x:c>
      <x:c r="E52" s="141" t="n">
        <x:f>C52+D52</x:f>
        <x:v>142476.19047619074</x:v>
      </x:c>
      <x:c r="F52" s="142" t="n">
        <x:f>MAX(0,Premissas!$B$13-A52+1)</x:f>
        <x:v>374</x:v>
      </x:c>
      <x:c r="G52" s="141" t="n">
        <x:f>IF(AND(E52&gt;0,F52&gt;0),IF(Premissas!$B$19="PRICE",MAX(0,MIN(E52,IF(Premissas!$B$15=0,E52/F52,E52*Premissas!$B$15/(1-(1+Premissas!$B$15)^(-F52)))-H52)),MIN(E52,E52/F52)),0)</x:f>
        <x:v>380.95238095238165</x:v>
      </x:c>
      <x:c r="H52" s="141" t="n">
        <x:f>IF(AND(E52&gt;0,F52&gt;0),E52*Premissas!$B$15,0)</x:f>
        <x:v>1351.9270695367868</x:v>
      </x:c>
      <x:c r="I52" s="141" t="n">
        <x:f>IF(AND(E52&gt;0,F52&gt;0),Premissas!$B$18,0)</x:f>
        <x:v>150</x:v>
      </x:c>
      <x:c r="J52" s="141" t="n">
        <x:f>IF(AND(E52&gt;0,F52&gt;0),IF(Premissas!$B$19="PRICE",IF(Premissas!$B$15=0,E52/F52,E52*Premissas!$B$15/(1-(1+Premissas!$B$15)^(-F52)))+I52,G52+H52+I52),0)</x:f>
        <x:v>1882.8794504891684</x:v>
      </x:c>
      <x:c r="K52" s="141" t="n">
        <x:f>H52+I52</x:f>
        <x:v>1501.9270695367868</x:v>
      </x:c>
      <x:c r="L52" s="141" t="n">
        <x:f>SUM($J$6:J52)</x:f>
        <x:v>92402.90947290871</x:v>
      </x:c>
      <x:c r="M52" s="141" t="n">
        <x:f>MAX(0,E52-G52)</x:f>
        <x:v>142095.23809523834</x:v>
      </x:c>
    </x:row>
    <x:row r="53">
      <x:c r="A53" s="142" t="n">
        <x:v>48</x:v>
      </x:c>
      <x:c r="B53" s="179" t="n">
        <x:f>EDATE(Premissas!$B$4,47)</x:f>
        <x:v>47969</x:v>
      </x:c>
      <x:c r="C53" s="141" t="n">
        <x:f>M52</x:f>
        <x:v>142095.23809523834</x:v>
      </x:c>
      <x:c r="D53" s="141" t="n">
        <x:f>IF(C53&gt;0,C53*Premissas!$B$17,0)</x:f>
        <x:v>0</x:v>
      </x:c>
      <x:c r="E53" s="141" t="n">
        <x:f>C53+D53</x:f>
        <x:v>142095.23809523834</x:v>
      </x:c>
      <x:c r="F53" s="142" t="n">
        <x:f>MAX(0,Premissas!$B$13-A53+1)</x:f>
        <x:v>373</x:v>
      </x:c>
      <x:c r="G53" s="141" t="n">
        <x:f>IF(AND(E53&gt;0,F53&gt;0),IF(Premissas!$B$19="PRICE",MAX(0,MIN(E53,IF(Premissas!$B$15=0,E53/F53,E53*Premissas!$B$15/(1-(1+Premissas!$B$15)^(-F53)))-H53)),MIN(E53,E53/F53)),0)</x:f>
        <x:v>380.9523809523816</x:v>
      </x:c>
      <x:c r="H53" s="141" t="n">
        <x:f>IF(AND(E53&gt;0,F53&gt;0),E53*Premissas!$B$15,0)</x:f>
        <x:v>1348.3122912759932</x:v>
      </x:c>
      <x:c r="I53" s="141" t="n">
        <x:f>IF(AND(E53&gt;0,F53&gt;0),Premissas!$B$18,0)</x:f>
        <x:v>150</x:v>
      </x:c>
      <x:c r="J53" s="141" t="n">
        <x:f>IF(AND(E53&gt;0,F53&gt;0),IF(Premissas!$B$19="PRICE",IF(Premissas!$B$15=0,E53/F53,E53*Premissas!$B$15/(1-(1+Premissas!$B$15)^(-F53)))+I53,G53+H53+I53),0)</x:f>
        <x:v>1879.2646722283748</x:v>
      </x:c>
      <x:c r="K53" s="141" t="n">
        <x:f>H53+I53</x:f>
        <x:v>1498.3122912759932</x:v>
      </x:c>
      <x:c r="L53" s="141" t="n">
        <x:f>SUM($J$6:J53)</x:f>
        <x:v>94282.17414513708</x:v>
      </x:c>
      <x:c r="M53" s="141" t="n">
        <x:f>MAX(0,E53-G53)</x:f>
        <x:v>141714.28571428597</x:v>
      </x:c>
    </x:row>
    <x:row r="54">
      <x:c r="A54" s="142" t="n">
        <x:v>49</x:v>
      </x:c>
      <x:c r="B54" s="179" t="n">
        <x:f>EDATE(Premissas!$B$4,48)</x:f>
        <x:v>48000</x:v>
      </x:c>
      <x:c r="C54" s="141" t="n">
        <x:f>M53</x:f>
        <x:v>141714.28571428597</x:v>
      </x:c>
      <x:c r="D54" s="141" t="n">
        <x:f>IF(C54&gt;0,C54*Premissas!$B$17,0)</x:f>
        <x:v>0</x:v>
      </x:c>
      <x:c r="E54" s="141" t="n">
        <x:f>C54+D54</x:f>
        <x:v>141714.28571428597</x:v>
      </x:c>
      <x:c r="F54" s="142" t="n">
        <x:f>MAX(0,Premissas!$B$13-A54+1)</x:f>
        <x:v>372</x:v>
      </x:c>
      <x:c r="G54" s="141" t="n">
        <x:f>IF(AND(E54&gt;0,F54&gt;0),IF(Premissas!$B$19="PRICE",MAX(0,MIN(E54,IF(Premissas!$B$15=0,E54/F54,E54*Premissas!$B$15/(1-(1+Premissas!$B$15)^(-F54)))-H54)),MIN(E54,E54/F54)),0)</x:f>
        <x:v>380.95238095238165</x:v>
      </x:c>
      <x:c r="H54" s="141" t="n">
        <x:f>IF(AND(E54&gt;0,F54&gt;0),E54*Premissas!$B$15,0)</x:f>
        <x:v>1344.6975130151998</x:v>
      </x:c>
      <x:c r="I54" s="141" t="n">
        <x:f>IF(AND(E54&gt;0,F54&gt;0),Premissas!$B$18,0)</x:f>
        <x:v>150</x:v>
      </x:c>
      <x:c r="J54" s="141" t="n">
        <x:f>IF(AND(E54&gt;0,F54&gt;0),IF(Premissas!$B$19="PRICE",IF(Premissas!$B$15=0,E54/F54,E54*Premissas!$B$15/(1-(1+Premissas!$B$15)^(-F54)))+I54,G54+H54+I54),0)</x:f>
        <x:v>1875.6498939675814</x:v>
      </x:c>
      <x:c r="K54" s="141" t="n">
        <x:f>H54+I54</x:f>
        <x:v>1494.6975130151998</x:v>
      </x:c>
      <x:c r="L54" s="141" t="n">
        <x:f>SUM($J$6:J54)</x:f>
        <x:v>96157.82403910466</x:v>
      </x:c>
      <x:c r="M54" s="141" t="n">
        <x:f>MAX(0,E54-G54)</x:f>
        <x:v>141333.3333333336</x:v>
      </x:c>
    </x:row>
    <x:row r="55">
      <x:c r="A55" s="142" t="n">
        <x:v>50</x:v>
      </x:c>
      <x:c r="B55" s="179" t="n">
        <x:f>EDATE(Premissas!$B$4,49)</x:f>
        <x:v>48030</x:v>
      </x:c>
      <x:c r="C55" s="141" t="n">
        <x:f>M54</x:f>
        <x:v>141333.3333333336</x:v>
      </x:c>
      <x:c r="D55" s="141" t="n">
        <x:f>IF(C55&gt;0,C55*Premissas!$B$17,0)</x:f>
        <x:v>0</x:v>
      </x:c>
      <x:c r="E55" s="141" t="n">
        <x:f>C55+D55</x:f>
        <x:v>141333.3333333336</x:v>
      </x:c>
      <x:c r="F55" s="142" t="n">
        <x:f>MAX(0,Premissas!$B$13-A55+1)</x:f>
        <x:v>371</x:v>
      </x:c>
      <x:c r="G55" s="141" t="n">
        <x:f>IF(AND(E55&gt;0,F55&gt;0),IF(Premissas!$B$19="PRICE",MAX(0,MIN(E55,IF(Premissas!$B$15=0,E55/F55,E55*Premissas!$B$15/(1-(1+Premissas!$B$15)^(-F55)))-H55)),MIN(E55,E55/F55)),0)</x:f>
        <x:v>380.9523809523817</x:v>
      </x:c>
      <x:c r="H55" s="141" t="n">
        <x:f>IF(AND(E55&gt;0,F55&gt;0),E55*Premissas!$B$15,0)</x:f>
        <x:v>1341.0827347544064</x:v>
      </x:c>
      <x:c r="I55" s="141" t="n">
        <x:f>IF(AND(E55&gt;0,F55&gt;0),Premissas!$B$18,0)</x:f>
        <x:v>150</x:v>
      </x:c>
      <x:c r="J55" s="141" t="n">
        <x:f>IF(AND(E55&gt;0,F55&gt;0),IF(Premissas!$B$19="PRICE",IF(Premissas!$B$15=0,E55/F55,E55*Premissas!$B$15/(1-(1+Premissas!$B$15)^(-F55)))+I55,G55+H55+I55),0)</x:f>
        <x:v>1872.035115706788</x:v>
      </x:c>
      <x:c r="K55" s="141" t="n">
        <x:f>H55+I55</x:f>
        <x:v>1491.0827347544064</x:v>
      </x:c>
      <x:c r="L55" s="141" t="n">
        <x:f>SUM($J$6:J55)</x:f>
        <x:v>98029.85915481145</x:v>
      </x:c>
      <x:c r="M55" s="141" t="n">
        <x:f>MAX(0,E55-G55)</x:f>
        <x:v>140952.3809523812</x:v>
      </x:c>
    </x:row>
    <x:row r="56">
      <x:c r="A56" s="142" t="n">
        <x:v>51</x:v>
      </x:c>
      <x:c r="B56" s="179" t="n">
        <x:f>EDATE(Premissas!$B$4,50)</x:f>
        <x:v>48061</x:v>
      </x:c>
      <x:c r="C56" s="141" t="n">
        <x:f>M55</x:f>
        <x:v>140952.3809523812</x:v>
      </x:c>
      <x:c r="D56" s="141" t="n">
        <x:f>IF(C56&gt;0,C56*Premissas!$B$17,0)</x:f>
        <x:v>0</x:v>
      </x:c>
      <x:c r="E56" s="141" t="n">
        <x:f>C56+D56</x:f>
        <x:v>140952.3809523812</x:v>
      </x:c>
      <x:c r="F56" s="142" t="n">
        <x:f>MAX(0,Premissas!$B$13-A56+1)</x:f>
        <x:v>370</x:v>
      </x:c>
      <x:c r="G56" s="141" t="n">
        <x:f>IF(AND(E56&gt;0,F56&gt;0),IF(Premissas!$B$19="PRICE",MAX(0,MIN(E56,IF(Premissas!$B$15=0,E56/F56,E56*Premissas!$B$15/(1-(1+Premissas!$B$15)^(-F56)))-H56)),MIN(E56,E56/F56)),0)</x:f>
        <x:v>380.95238095238165</x:v>
      </x:c>
      <x:c r="H56" s="141" t="n">
        <x:f>IF(AND(E56&gt;0,F56&gt;0),E56*Premissas!$B$15,0)</x:f>
        <x:v>1337.4679564936127</x:v>
      </x:c>
      <x:c r="I56" s="141" t="n">
        <x:f>IF(AND(E56&gt;0,F56&gt;0),Premissas!$B$18,0)</x:f>
        <x:v>150</x:v>
      </x:c>
      <x:c r="J56" s="141" t="n">
        <x:f>IF(AND(E56&gt;0,F56&gt;0),IF(Premissas!$B$19="PRICE",IF(Premissas!$B$15=0,E56/F56,E56*Premissas!$B$15/(1-(1+Premissas!$B$15)^(-F56)))+I56,G56+H56+I56),0)</x:f>
        <x:v>1868.4203374459944</x:v>
      </x:c>
      <x:c r="K56" s="141" t="n">
        <x:f>H56+I56</x:f>
        <x:v>1487.4679564936127</x:v>
      </x:c>
      <x:c r="L56" s="141" t="n">
        <x:f>SUM($J$6:J56)</x:f>
        <x:v>99898.27949225744</x:v>
      </x:c>
      <x:c r="M56" s="141" t="n">
        <x:f>MAX(0,E56-G56)</x:f>
        <x:v>140571.4285714288</x:v>
      </x:c>
    </x:row>
    <x:row r="57">
      <x:c r="A57" s="142" t="n">
        <x:v>52</x:v>
      </x:c>
      <x:c r="B57" s="179" t="n">
        <x:f>EDATE(Premissas!$B$4,51)</x:f>
        <x:v>48092</x:v>
      </x:c>
      <x:c r="C57" s="141" t="n">
        <x:f>M56</x:f>
        <x:v>140571.4285714288</x:v>
      </x:c>
      <x:c r="D57" s="141" t="n">
        <x:f>IF(C57&gt;0,C57*Premissas!$B$17,0)</x:f>
        <x:v>0</x:v>
      </x:c>
      <x:c r="E57" s="141" t="n">
        <x:f>C57+D57</x:f>
        <x:v>140571.4285714288</x:v>
      </x:c>
      <x:c r="F57" s="142" t="n">
        <x:f>MAX(0,Premissas!$B$13-A57+1)</x:f>
        <x:v>369</x:v>
      </x:c>
      <x:c r="G57" s="141" t="n">
        <x:f>IF(AND(E57&gt;0,F57&gt;0),IF(Premissas!$B$19="PRICE",MAX(0,MIN(E57,IF(Premissas!$B$15=0,E57/F57,E57*Premissas!$B$15/(1-(1+Premissas!$B$15)^(-F57)))-H57)),MIN(E57,E57/F57)),0)</x:f>
        <x:v>380.9523809523816</x:v>
      </x:c>
      <x:c r="H57" s="141" t="n">
        <x:f>IF(AND(E57&gt;0,F57&gt;0),E57*Premissas!$B$15,0)</x:f>
        <x:v>1333.853178232819</x:v>
      </x:c>
      <x:c r="I57" s="141" t="n">
        <x:f>IF(AND(E57&gt;0,F57&gt;0),Premissas!$B$18,0)</x:f>
        <x:v>150</x:v>
      </x:c>
      <x:c r="J57" s="141" t="n">
        <x:f>IF(AND(E57&gt;0,F57&gt;0),IF(Premissas!$B$19="PRICE",IF(Premissas!$B$15=0,E57/F57,E57*Premissas!$B$15/(1-(1+Premissas!$B$15)^(-F57)))+I57,G57+H57+I57),0)</x:f>
        <x:v>1864.8055591852005</x:v>
      </x:c>
      <x:c r="K57" s="141" t="n">
        <x:f>H57+I57</x:f>
        <x:v>1483.853178232819</x:v>
      </x:c>
      <x:c r="L57" s="141" t="n">
        <x:f>SUM($J$6:J57)</x:f>
        <x:v>101763.08505144264</x:v>
      </x:c>
      <x:c r="M57" s="141" t="n">
        <x:f>MAX(0,E57-G57)</x:f>
        <x:v>140190.47619047645</x:v>
      </x:c>
    </x:row>
    <x:row r="58">
      <x:c r="A58" s="142" t="n">
        <x:v>53</x:v>
      </x:c>
      <x:c r="B58" s="179" t="n">
        <x:f>EDATE(Premissas!$B$4,52)</x:f>
        <x:v>48122</x:v>
      </x:c>
      <x:c r="C58" s="141" t="n">
        <x:f>M57</x:f>
        <x:v>140190.47619047645</x:v>
      </x:c>
      <x:c r="D58" s="141" t="n">
        <x:f>IF(C58&gt;0,C58*Premissas!$B$17,0)</x:f>
        <x:v>0</x:v>
      </x:c>
      <x:c r="E58" s="141" t="n">
        <x:f>C58+D58</x:f>
        <x:v>140190.47619047645</x:v>
      </x:c>
      <x:c r="F58" s="142" t="n">
        <x:f>MAX(0,Premissas!$B$13-A58+1)</x:f>
        <x:v>368</x:v>
      </x:c>
      <x:c r="G58" s="141" t="n">
        <x:f>IF(AND(E58&gt;0,F58&gt;0),IF(Premissas!$B$19="PRICE",MAX(0,MIN(E58,IF(Premissas!$B$15=0,E58/F58,E58*Premissas!$B$15/(1-(1+Premissas!$B$15)^(-F58)))-H58)),MIN(E58,E58/F58)),0)</x:f>
        <x:v>380.95238095238165</x:v>
      </x:c>
      <x:c r="H58" s="141" t="n">
        <x:f>IF(AND(E58&gt;0,F58&gt;0),E58*Premissas!$B$15,0)</x:f>
        <x:v>1330.2383999720255</x:v>
      </x:c>
      <x:c r="I58" s="141" t="n">
        <x:f>IF(AND(E58&gt;0,F58&gt;0),Premissas!$B$18,0)</x:f>
        <x:v>150</x:v>
      </x:c>
      <x:c r="J58" s="141" t="n">
        <x:f>IF(AND(E58&gt;0,F58&gt;0),IF(Premissas!$B$19="PRICE",IF(Premissas!$B$15=0,E58/F58,E58*Premissas!$B$15/(1-(1+Premissas!$B$15)^(-F58)))+I58,G58+H58+I58),0)</x:f>
        <x:v>1861.1907809244071</x:v>
      </x:c>
      <x:c r="K58" s="141" t="n">
        <x:f>H58+I58</x:f>
        <x:v>1480.2383999720255</x:v>
      </x:c>
      <x:c r="L58" s="141" t="n">
        <x:f>SUM($J$6:J58)</x:f>
        <x:v>103624.27583236704</x:v>
      </x:c>
      <x:c r="M58" s="141" t="n">
        <x:f>MAX(0,E58-G58)</x:f>
        <x:v>139809.52380952408</x:v>
      </x:c>
    </x:row>
    <x:row r="59">
      <x:c r="A59" s="142" t="n">
        <x:v>54</x:v>
      </x:c>
      <x:c r="B59" s="179" t="n">
        <x:f>EDATE(Premissas!$B$4,53)</x:f>
        <x:v>48153</x:v>
      </x:c>
      <x:c r="C59" s="141" t="n">
        <x:f>M58</x:f>
        <x:v>139809.52380952408</x:v>
      </x:c>
      <x:c r="D59" s="141" t="n">
        <x:f>IF(C59&gt;0,C59*Premissas!$B$17,0)</x:f>
        <x:v>0</x:v>
      </x:c>
      <x:c r="E59" s="141" t="n">
        <x:f>C59+D59</x:f>
        <x:v>139809.52380952408</x:v>
      </x:c>
      <x:c r="F59" s="142" t="n">
        <x:f>MAX(0,Premissas!$B$13-A59+1)</x:f>
        <x:v>367</x:v>
      </x:c>
      <x:c r="G59" s="141" t="n">
        <x:f>IF(AND(E59&gt;0,F59&gt;0),IF(Premissas!$B$19="PRICE",MAX(0,MIN(E59,IF(Premissas!$B$15=0,E59/F59,E59*Premissas!$B$15/(1-(1+Premissas!$B$15)^(-F59)))-H59)),MIN(E59,E59/F59)),0)</x:f>
        <x:v>380.9523809523817</x:v>
      </x:c>
      <x:c r="H59" s="141" t="n">
        <x:f>IF(AND(E59&gt;0,F59&gt;0),E59*Premissas!$B$15,0)</x:f>
        <x:v>1326.623621711232</x:v>
      </x:c>
      <x:c r="I59" s="141" t="n">
        <x:f>IF(AND(E59&gt;0,F59&gt;0),Premissas!$B$18,0)</x:f>
        <x:v>150</x:v>
      </x:c>
      <x:c r="J59" s="141" t="n">
        <x:f>IF(AND(E59&gt;0,F59&gt;0),IF(Premissas!$B$19="PRICE",IF(Premissas!$B$15=0,E59/F59,E59*Premissas!$B$15/(1-(1+Premissas!$B$15)^(-F59)))+I59,G59+H59+I59),0)</x:f>
        <x:v>1857.5760026636137</x:v>
      </x:c>
      <x:c r="K59" s="141" t="n">
        <x:f>H59+I59</x:f>
        <x:v>1476.623621711232</x:v>
      </x:c>
      <x:c r="L59" s="141" t="n">
        <x:f>SUM($J$6:J59)</x:f>
        <x:v>105481.85183503065</x:v>
      </x:c>
      <x:c r="M59" s="141" t="n">
        <x:f>MAX(0,E59-G59)</x:f>
        <x:v>139428.57142857168</x:v>
      </x:c>
    </x:row>
    <x:row r="60">
      <x:c r="A60" s="142" t="n">
        <x:v>55</x:v>
      </x:c>
      <x:c r="B60" s="179" t="n">
        <x:f>EDATE(Premissas!$B$4,54)</x:f>
        <x:v>48183</x:v>
      </x:c>
      <x:c r="C60" s="141" t="n">
        <x:f>M59</x:f>
        <x:v>139428.57142857168</x:v>
      </x:c>
      <x:c r="D60" s="141" t="n">
        <x:f>IF(C60&gt;0,C60*Premissas!$B$17,0)</x:f>
        <x:v>0</x:v>
      </x:c>
      <x:c r="E60" s="141" t="n">
        <x:f>C60+D60</x:f>
        <x:v>139428.57142857168</x:v>
      </x:c>
      <x:c r="F60" s="142" t="n">
        <x:f>MAX(0,Premissas!$B$13-A60+1)</x:f>
        <x:v>366</x:v>
      </x:c>
      <x:c r="G60" s="141" t="n">
        <x:f>IF(AND(E60&gt;0,F60&gt;0),IF(Premissas!$B$19="PRICE",MAX(0,MIN(E60,IF(Premissas!$B$15=0,E60/F60,E60*Premissas!$B$15/(1-(1+Premissas!$B$15)^(-F60)))-H60)),MIN(E60,E60/F60)),0)</x:f>
        <x:v>380.95238095238165</x:v>
      </x:c>
      <x:c r="H60" s="141" t="n">
        <x:f>IF(AND(E60&gt;0,F60&gt;0),E60*Premissas!$B$15,0)</x:f>
        <x:v>1323.0088434504385</x:v>
      </x:c>
      <x:c r="I60" s="141" t="n">
        <x:f>IF(AND(E60&gt;0,F60&gt;0),Premissas!$B$18,0)</x:f>
        <x:v>150</x:v>
      </x:c>
      <x:c r="J60" s="141" t="n">
        <x:f>IF(AND(E60&gt;0,F60&gt;0),IF(Premissas!$B$19="PRICE",IF(Premissas!$B$15=0,E60/F60,E60*Premissas!$B$15/(1-(1+Premissas!$B$15)^(-F60)))+I60,G60+H60+I60),0)</x:f>
        <x:v>1853.96122440282</x:v>
      </x:c>
      <x:c r="K60" s="141" t="n">
        <x:f>H60+I60</x:f>
        <x:v>1473.0088434504385</x:v>
      </x:c>
      <x:c r="L60" s="141" t="n">
        <x:f>SUM($J$6:J60)</x:f>
        <x:v>107335.81305943348</x:v>
      </x:c>
      <x:c r="M60" s="141" t="n">
        <x:f>MAX(0,E60-G60)</x:f>
        <x:v>139047.6190476193</x:v>
      </x:c>
    </x:row>
    <x:row r="61">
      <x:c r="A61" s="142" t="n">
        <x:v>56</x:v>
      </x:c>
      <x:c r="B61" s="179" t="n">
        <x:f>EDATE(Premissas!$B$4,55)</x:f>
        <x:v>48214</x:v>
      </x:c>
      <x:c r="C61" s="141" t="n">
        <x:f>M60</x:f>
        <x:v>139047.6190476193</x:v>
      </x:c>
      <x:c r="D61" s="141" t="n">
        <x:f>IF(C61&gt;0,C61*Premissas!$B$17,0)</x:f>
        <x:v>0</x:v>
      </x:c>
      <x:c r="E61" s="141" t="n">
        <x:f>C61+D61</x:f>
        <x:v>139047.6190476193</x:v>
      </x:c>
      <x:c r="F61" s="142" t="n">
        <x:f>MAX(0,Premissas!$B$13-A61+1)</x:f>
        <x:v>365</x:v>
      </x:c>
      <x:c r="G61" s="141" t="n">
        <x:f>IF(AND(E61&gt;0,F61&gt;0),IF(Premissas!$B$19="PRICE",MAX(0,MIN(E61,IF(Premissas!$B$15=0,E61/F61,E61*Premissas!$B$15/(1-(1+Premissas!$B$15)^(-F61)))-H61)),MIN(E61,E61/F61)),0)</x:f>
        <x:v>380.9523809523816</x:v>
      </x:c>
      <x:c r="H61" s="141" t="n">
        <x:f>IF(AND(E61&gt;0,F61&gt;0),E61*Premissas!$B$15,0)</x:f>
        <x:v>1319.3940651896448</x:v>
      </x:c>
      <x:c r="I61" s="141" t="n">
        <x:f>IF(AND(E61&gt;0,F61&gt;0),Premissas!$B$18,0)</x:f>
        <x:v>150</x:v>
      </x:c>
      <x:c r="J61" s="141" t="n">
        <x:f>IF(AND(E61&gt;0,F61&gt;0),IF(Premissas!$B$19="PRICE",IF(Premissas!$B$15=0,E61/F61,E61*Premissas!$B$15/(1-(1+Premissas!$B$15)^(-F61)))+I61,G61+H61+I61),0)</x:f>
        <x:v>1850.3464461420265</x:v>
      </x:c>
      <x:c r="K61" s="141" t="n">
        <x:f>H61+I61</x:f>
        <x:v>1469.3940651896448</x:v>
      </x:c>
      <x:c r="L61" s="141" t="n">
        <x:f>SUM($J$6:J61)</x:f>
        <x:v>109186.1595055755</x:v>
      </x:c>
      <x:c r="M61" s="141" t="n">
        <x:f>MAX(0,E61-G61)</x:f>
        <x:v>138666.66666666692</x:v>
      </x:c>
    </x:row>
    <x:row r="62">
      <x:c r="A62" s="142" t="n">
        <x:v>57</x:v>
      </x:c>
      <x:c r="B62" s="179" t="n">
        <x:f>EDATE(Premissas!$B$4,56)</x:f>
        <x:v>48245</x:v>
      </x:c>
      <x:c r="C62" s="141" t="n">
        <x:f>M61</x:f>
        <x:v>138666.66666666692</x:v>
      </x:c>
      <x:c r="D62" s="141" t="n">
        <x:f>IF(C62&gt;0,C62*Premissas!$B$17,0)</x:f>
        <x:v>0</x:v>
      </x:c>
      <x:c r="E62" s="141" t="n">
        <x:f>C62+D62</x:f>
        <x:v>138666.66666666692</x:v>
      </x:c>
      <x:c r="F62" s="142" t="n">
        <x:f>MAX(0,Premissas!$B$13-A62+1)</x:f>
        <x:v>364</x:v>
      </x:c>
      <x:c r="G62" s="141" t="n">
        <x:f>IF(AND(E62&gt;0,F62&gt;0),IF(Premissas!$B$19="PRICE",MAX(0,MIN(E62,IF(Premissas!$B$15=0,E62/F62,E62*Premissas!$B$15/(1-(1+Premissas!$B$15)^(-F62)))-H62)),MIN(E62,E62/F62)),0)</x:f>
        <x:v>380.95238095238165</x:v>
      </x:c>
      <x:c r="H62" s="141" t="n">
        <x:f>IF(AND(E62&gt;0,F62&gt;0),E62*Premissas!$B$15,0)</x:f>
        <x:v>1315.7792869288514</x:v>
      </x:c>
      <x:c r="I62" s="141" t="n">
        <x:f>IF(AND(E62&gt;0,F62&gt;0),Premissas!$B$18,0)</x:f>
        <x:v>150</x:v>
      </x:c>
      <x:c r="J62" s="141" t="n">
        <x:f>IF(AND(E62&gt;0,F62&gt;0),IF(Premissas!$B$19="PRICE",IF(Premissas!$B$15=0,E62/F62,E62*Premissas!$B$15/(1-(1+Premissas!$B$15)^(-F62)))+I62,G62+H62+I62),0)</x:f>
        <x:v>1846.731667881233</x:v>
      </x:c>
      <x:c r="K62" s="141" t="n">
        <x:f>H62+I62</x:f>
        <x:v>1465.7792869288514</x:v>
      </x:c>
      <x:c r="L62" s="141" t="n">
        <x:f>SUM($J$6:J62)</x:f>
        <x:v>111032.89117345674</x:v>
      </x:c>
      <x:c r="M62" s="141" t="n">
        <x:f>MAX(0,E62-G62)</x:f>
        <x:v>138285.71428571455</x:v>
      </x:c>
    </x:row>
    <x:row r="63">
      <x:c r="A63" s="142" t="n">
        <x:v>58</x:v>
      </x:c>
      <x:c r="B63" s="179" t="n">
        <x:f>EDATE(Premissas!$B$4,57)</x:f>
        <x:v>48274</x:v>
      </x:c>
      <x:c r="C63" s="141" t="n">
        <x:f>M62</x:f>
        <x:v>138285.71428571455</x:v>
      </x:c>
      <x:c r="D63" s="141" t="n">
        <x:f>IF(C63&gt;0,C63*Premissas!$B$17,0)</x:f>
        <x:v>0</x:v>
      </x:c>
      <x:c r="E63" s="141" t="n">
        <x:f>C63+D63</x:f>
        <x:v>138285.71428571455</x:v>
      </x:c>
      <x:c r="F63" s="142" t="n">
        <x:f>MAX(0,Premissas!$B$13-A63+1)</x:f>
        <x:v>363</x:v>
      </x:c>
      <x:c r="G63" s="141" t="n">
        <x:f>IF(AND(E63&gt;0,F63&gt;0),IF(Premissas!$B$19="PRICE",MAX(0,MIN(E63,IF(Premissas!$B$15=0,E63/F63,E63*Premissas!$B$15/(1-(1+Premissas!$B$15)^(-F63)))-H63)),MIN(E63,E63/F63)),0)</x:f>
        <x:v>380.9523809523817</x:v>
      </x:c>
      <x:c r="H63" s="141" t="n">
        <x:f>IF(AND(E63&gt;0,F63&gt;0),E63*Premissas!$B$15,0)</x:f>
        <x:v>1312.164508668058</x:v>
      </x:c>
      <x:c r="I63" s="141" t="n">
        <x:f>IF(AND(E63&gt;0,F63&gt;0),Premissas!$B$18,0)</x:f>
        <x:v>150</x:v>
      </x:c>
      <x:c r="J63" s="141" t="n">
        <x:f>IF(AND(E63&gt;0,F63&gt;0),IF(Premissas!$B$19="PRICE",IF(Premissas!$B$15=0,E63/F63,E63*Premissas!$B$15/(1-(1+Premissas!$B$15)^(-F63)))+I63,G63+H63+I63),0)</x:f>
        <x:v>1843.1168896204397</x:v>
      </x:c>
      <x:c r="K63" s="141" t="n">
        <x:f>H63+I63</x:f>
        <x:v>1462.164508668058</x:v>
      </x:c>
      <x:c r="L63" s="141" t="n">
        <x:f>SUM($J$6:J63)</x:f>
        <x:v>112876.00806307717</x:v>
      </x:c>
      <x:c r="M63" s="141" t="n">
        <x:f>MAX(0,E63-G63)</x:f>
        <x:v>137904.76190476216</x:v>
      </x:c>
    </x:row>
    <x:row r="64">
      <x:c r="A64" s="142" t="n">
        <x:v>59</x:v>
      </x:c>
      <x:c r="B64" s="179" t="n">
        <x:f>EDATE(Premissas!$B$4,58)</x:f>
        <x:v>48305</x:v>
      </x:c>
      <x:c r="C64" s="141" t="n">
        <x:f>M63</x:f>
        <x:v>137904.76190476216</x:v>
      </x:c>
      <x:c r="D64" s="141" t="n">
        <x:f>IF(C64&gt;0,C64*Premissas!$B$17,0)</x:f>
        <x:v>0</x:v>
      </x:c>
      <x:c r="E64" s="141" t="n">
        <x:f>C64+D64</x:f>
        <x:v>137904.76190476216</x:v>
      </x:c>
      <x:c r="F64" s="142" t="n">
        <x:f>MAX(0,Premissas!$B$13-A64+1)</x:f>
        <x:v>362</x:v>
      </x:c>
      <x:c r="G64" s="141" t="n">
        <x:f>IF(AND(E64&gt;0,F64&gt;0),IF(Premissas!$B$19="PRICE",MAX(0,MIN(E64,IF(Premissas!$B$15=0,E64/F64,E64*Premissas!$B$15/(1-(1+Premissas!$B$15)^(-F64)))-H64)),MIN(E64,E64/F64)),0)</x:f>
        <x:v>380.95238095238165</x:v>
      </x:c>
      <x:c r="H64" s="141" t="n">
        <x:f>IF(AND(E64&gt;0,F64&gt;0),E64*Premissas!$B$15,0)</x:f>
        <x:v>1308.5497304072644</x:v>
      </x:c>
      <x:c r="I64" s="141" t="n">
        <x:f>IF(AND(E64&gt;0,F64&gt;0),Premissas!$B$18,0)</x:f>
        <x:v>150</x:v>
      </x:c>
      <x:c r="J64" s="141" t="n">
        <x:f>IF(AND(E64&gt;0,F64&gt;0),IF(Premissas!$B$19="PRICE",IF(Premissas!$B$15=0,E64/F64,E64*Premissas!$B$15/(1-(1+Premissas!$B$15)^(-F64)))+I64,G64+H64+I64),0)</x:f>
        <x:v>1839.502111359646</x:v>
      </x:c>
      <x:c r="K64" s="141" t="n">
        <x:f>H64+I64</x:f>
        <x:v>1458.5497304072644</x:v>
      </x:c>
      <x:c r="L64" s="141" t="n">
        <x:f>SUM($J$6:J64)</x:f>
        <x:v>114715.51017443681</x:v>
      </x:c>
      <x:c r="M64" s="141" t="n">
        <x:f>MAX(0,E64-G64)</x:f>
        <x:v>137523.80952380976</x:v>
      </x:c>
    </x:row>
    <x:row r="65">
      <x:c r="A65" s="142" t="n">
        <x:v>60</x:v>
      </x:c>
      <x:c r="B65" s="179" t="n">
        <x:f>EDATE(Premissas!$B$4,59)</x:f>
        <x:v>48335</x:v>
      </x:c>
      <x:c r="C65" s="141" t="n">
        <x:f>M64</x:f>
        <x:v>137523.80952380976</x:v>
      </x:c>
      <x:c r="D65" s="141" t="n">
        <x:f>IF(C65&gt;0,C65*Premissas!$B$17,0)</x:f>
        <x:v>0</x:v>
      </x:c>
      <x:c r="E65" s="141" t="n">
        <x:f>C65+D65</x:f>
        <x:v>137523.80952380976</x:v>
      </x:c>
      <x:c r="F65" s="142" t="n">
        <x:f>MAX(0,Premissas!$B$13-A65+1)</x:f>
        <x:v>361</x:v>
      </x:c>
      <x:c r="G65" s="141" t="n">
        <x:f>IF(AND(E65&gt;0,F65&gt;0),IF(Premissas!$B$19="PRICE",MAX(0,MIN(E65,IF(Premissas!$B$15=0,E65/F65,E65*Premissas!$B$15/(1-(1+Premissas!$B$15)^(-F65)))-H65)),MIN(E65,E65/F65)),0)</x:f>
        <x:v>380.9523809523816</x:v>
      </x:c>
      <x:c r="H65" s="141" t="n">
        <x:f>IF(AND(E65&gt;0,F65&gt;0),E65*Premissas!$B$15,0)</x:f>
        <x:v>1304.9349521464706</x:v>
      </x:c>
      <x:c r="I65" s="141" t="n">
        <x:f>IF(AND(E65&gt;0,F65&gt;0),Premissas!$B$18,0)</x:f>
        <x:v>150</x:v>
      </x:c>
      <x:c r="J65" s="141" t="n">
        <x:f>IF(AND(E65&gt;0,F65&gt;0),IF(Premissas!$B$19="PRICE",IF(Premissas!$B$15=0,E65/F65,E65*Premissas!$B$15/(1-(1+Premissas!$B$15)^(-F65)))+I65,G65+H65+I65),0)</x:f>
        <x:v>1835.8873330988522</x:v>
      </x:c>
      <x:c r="K65" s="141" t="n">
        <x:f>H65+I65</x:f>
        <x:v>1454.9349521464706</x:v>
      </x:c>
      <x:c r="L65" s="141" t="n">
        <x:f>SUM($J$6:J65)</x:f>
        <x:v>116551.39750753567</x:v>
      </x:c>
      <x:c r="M65" s="141" t="n">
        <x:f>MAX(0,E65-G65)</x:f>
        <x:v>137142.8571428574</x:v>
      </x:c>
    </x:row>
    <x:row r="66">
      <x:c r="A66" s="142" t="n">
        <x:v>61</x:v>
      </x:c>
      <x:c r="B66" s="179" t="n">
        <x:f>EDATE(Premissas!$B$4,60)</x:f>
        <x:v>48366</x:v>
      </x:c>
      <x:c r="C66" s="141" t="n">
        <x:f>M65</x:f>
        <x:v>137142.8571428574</x:v>
      </x:c>
      <x:c r="D66" s="141" t="n">
        <x:f>IF(C66&gt;0,C66*Premissas!$B$17,0)</x:f>
        <x:v>0</x:v>
      </x:c>
      <x:c r="E66" s="141" t="n">
        <x:f>C66+D66</x:f>
        <x:v>137142.8571428574</x:v>
      </x:c>
      <x:c r="F66" s="142" t="n">
        <x:f>MAX(0,Premissas!$B$13-A66+1)</x:f>
        <x:v>360</x:v>
      </x:c>
      <x:c r="G66" s="141" t="n">
        <x:f>IF(AND(E66&gt;0,F66&gt;0),IF(Premissas!$B$19="PRICE",MAX(0,MIN(E66,IF(Premissas!$B$15=0,E66/F66,E66*Premissas!$B$15/(1-(1+Premissas!$B$15)^(-F66)))-H66)),MIN(E66,E66/F66)),0)</x:f>
        <x:v>380.95238095238165</x:v>
      </x:c>
      <x:c r="H66" s="141" t="n">
        <x:f>IF(AND(E66&gt;0,F66&gt;0),E66*Premissas!$B$15,0)</x:f>
        <x:v>1301.3201738856771</x:v>
      </x:c>
      <x:c r="I66" s="141" t="n">
        <x:f>IF(AND(E66&gt;0,F66&gt;0),Premissas!$B$18,0)</x:f>
        <x:v>150</x:v>
      </x:c>
      <x:c r="J66" s="141" t="n">
        <x:f>IF(AND(E66&gt;0,F66&gt;0),IF(Premissas!$B$19="PRICE",IF(Premissas!$B$15=0,E66/F66,E66*Premissas!$B$15/(1-(1+Premissas!$B$15)^(-F66)))+I66,G66+H66+I66),0)</x:f>
        <x:v>1832.2725548380588</x:v>
      </x:c>
      <x:c r="K66" s="141" t="n">
        <x:f>H66+I66</x:f>
        <x:v>1451.3201738856771</x:v>
      </x:c>
      <x:c r="L66" s="141" t="n">
        <x:f>SUM($J$6:J66)</x:f>
        <x:v>118383.67006237373</x:v>
      </x:c>
      <x:c r="M66" s="141" t="n">
        <x:f>MAX(0,E66-G66)</x:f>
        <x:v>136761.90476190503</x:v>
      </x:c>
    </x:row>
    <x:row r="67">
      <x:c r="A67" s="142" t="n">
        <x:v>62</x:v>
      </x:c>
      <x:c r="B67" s="179" t="n">
        <x:f>EDATE(Premissas!$B$4,61)</x:f>
        <x:v>48396</x:v>
      </x:c>
      <x:c r="C67" s="141" t="n">
        <x:f>M66</x:f>
        <x:v>136761.90476190503</x:v>
      </x:c>
      <x:c r="D67" s="141" t="n">
        <x:f>IF(C67&gt;0,C67*Premissas!$B$17,0)</x:f>
        <x:v>0</x:v>
      </x:c>
      <x:c r="E67" s="141" t="n">
        <x:f>C67+D67</x:f>
        <x:v>136761.90476190503</x:v>
      </x:c>
      <x:c r="F67" s="142" t="n">
        <x:f>MAX(0,Premissas!$B$13-A67+1)</x:f>
        <x:v>359</x:v>
      </x:c>
      <x:c r="G67" s="141" t="n">
        <x:f>IF(AND(E67&gt;0,F67&gt;0),IF(Premissas!$B$19="PRICE",MAX(0,MIN(E67,IF(Premissas!$B$15=0,E67/F67,E67*Premissas!$B$15/(1-(1+Premissas!$B$15)^(-F67)))-H67)),MIN(E67,E67/F67)),0)</x:f>
        <x:v>380.9523809523817</x:v>
      </x:c>
      <x:c r="H67" s="141" t="n">
        <x:f>IF(AND(E67&gt;0,F67&gt;0),E67*Premissas!$B$15,0)</x:f>
        <x:v>1297.7053956248837</x:v>
      </x:c>
      <x:c r="I67" s="141" t="n">
        <x:f>IF(AND(E67&gt;0,F67&gt;0),Premissas!$B$18,0)</x:f>
        <x:v>150</x:v>
      </x:c>
      <x:c r="J67" s="141" t="n">
        <x:f>IF(AND(E67&gt;0,F67&gt;0),IF(Premissas!$B$19="PRICE",IF(Premissas!$B$15=0,E67/F67,E67*Premissas!$B$15/(1-(1+Premissas!$B$15)^(-F67)))+I67,G67+H67+I67),0)</x:f>
        <x:v>1828.6577765772654</x:v>
      </x:c>
      <x:c r="K67" s="141" t="n">
        <x:f>H67+I67</x:f>
        <x:v>1447.7053956248837</x:v>
      </x:c>
      <x:c r="L67" s="141" t="n">
        <x:f>SUM($J$6:J67)</x:f>
        <x:v>120212.327838951</x:v>
      </x:c>
      <x:c r="M67" s="141" t="n">
        <x:f>MAX(0,E67-G67)</x:f>
        <x:v>136380.95238095263</x:v>
      </x:c>
    </x:row>
    <x:row r="68">
      <x:c r="A68" s="142" t="n">
        <x:v>63</x:v>
      </x:c>
      <x:c r="B68" s="179" t="n">
        <x:f>EDATE(Premissas!$B$4,62)</x:f>
        <x:v>48427</x:v>
      </x:c>
      <x:c r="C68" s="141" t="n">
        <x:f>M67</x:f>
        <x:v>136380.95238095263</x:v>
      </x:c>
      <x:c r="D68" s="141" t="n">
        <x:f>IF(C68&gt;0,C68*Premissas!$B$17,0)</x:f>
        <x:v>0</x:v>
      </x:c>
      <x:c r="E68" s="141" t="n">
        <x:f>C68+D68</x:f>
        <x:v>136380.95238095263</x:v>
      </x:c>
      <x:c r="F68" s="142" t="n">
        <x:f>MAX(0,Premissas!$B$13-A68+1)</x:f>
        <x:v>358</x:v>
      </x:c>
      <x:c r="G68" s="141" t="n">
        <x:f>IF(AND(E68&gt;0,F68&gt;0),IF(Premissas!$B$19="PRICE",MAX(0,MIN(E68,IF(Premissas!$B$15=0,E68/F68,E68*Premissas!$B$15/(1-(1+Premissas!$B$15)^(-F68)))-H68)),MIN(E68,E68/F68)),0)</x:f>
        <x:v>380.95238095238165</x:v>
      </x:c>
      <x:c r="H68" s="141" t="n">
        <x:f>IF(AND(E68&gt;0,F68&gt;0),E68*Premissas!$B$15,0)</x:f>
        <x:v>1294.0906173640901</x:v>
      </x:c>
      <x:c r="I68" s="141" t="n">
        <x:f>IF(AND(E68&gt;0,F68&gt;0),Premissas!$B$18,0)</x:f>
        <x:v>150</x:v>
      </x:c>
      <x:c r="J68" s="141" t="n">
        <x:f>IF(AND(E68&gt;0,F68&gt;0),IF(Premissas!$B$19="PRICE",IF(Premissas!$B$15=0,E68/F68,E68*Premissas!$B$15/(1-(1+Premissas!$B$15)^(-F68)))+I68,G68+H68+I68),0)</x:f>
        <x:v>1825.0429983164718</x:v>
      </x:c>
      <x:c r="K68" s="141" t="n">
        <x:f>H68+I68</x:f>
        <x:v>1444.0906173640901</x:v>
      </x:c>
      <x:c r="L68" s="141" t="n">
        <x:f>SUM($J$6:J68)</x:f>
        <x:v>122037.37083726746</x:v>
      </x:c>
      <x:c r="M68" s="141" t="n">
        <x:f>MAX(0,E68-G68)</x:f>
        <x:v>136000.00000000023</x:v>
      </x:c>
    </x:row>
    <x:row r="69">
      <x:c r="A69" s="142" t="n">
        <x:v>64</x:v>
      </x:c>
      <x:c r="B69" s="179" t="n">
        <x:f>EDATE(Premissas!$B$4,63)</x:f>
        <x:v>48458</x:v>
      </x:c>
      <x:c r="C69" s="141" t="n">
        <x:f>M68</x:f>
        <x:v>136000.00000000023</x:v>
      </x:c>
      <x:c r="D69" s="141" t="n">
        <x:f>IF(C69&gt;0,C69*Premissas!$B$17,0)</x:f>
        <x:v>0</x:v>
      </x:c>
      <x:c r="E69" s="141" t="n">
        <x:f>C69+D69</x:f>
        <x:v>136000.00000000023</x:v>
      </x:c>
      <x:c r="F69" s="142" t="n">
        <x:f>MAX(0,Premissas!$B$13-A69+1)</x:f>
        <x:v>357</x:v>
      </x:c>
      <x:c r="G69" s="141" t="n">
        <x:f>IF(AND(E69&gt;0,F69&gt;0),IF(Premissas!$B$19="PRICE",MAX(0,MIN(E69,IF(Premissas!$B$15=0,E69/F69,E69*Premissas!$B$15/(1-(1+Premissas!$B$15)^(-F69)))-H69)),MIN(E69,E69/F69)),0)</x:f>
        <x:v>380.9523809523816</x:v>
      </x:c>
      <x:c r="H69" s="141" t="n">
        <x:f>IF(AND(E69&gt;0,F69&gt;0),E69*Premissas!$B$15,0)</x:f>
        <x:v>1290.4758391032965</x:v>
      </x:c>
      <x:c r="I69" s="141" t="n">
        <x:f>IF(AND(E69&gt;0,F69&gt;0),Premissas!$B$18,0)</x:f>
        <x:v>150</x:v>
      </x:c>
      <x:c r="J69" s="141" t="n">
        <x:f>IF(AND(E69&gt;0,F69&gt;0),IF(Premissas!$B$19="PRICE",IF(Premissas!$B$15=0,E69/F69,E69*Premissas!$B$15/(1-(1+Premissas!$B$15)^(-F69)))+I69,G69+H69+I69),0)</x:f>
        <x:v>1821.4282200556781</x:v>
      </x:c>
      <x:c r="K69" s="141" t="n">
        <x:f>H69+I69</x:f>
        <x:v>1440.4758391032965</x:v>
      </x:c>
      <x:c r="L69" s="141" t="n">
        <x:f>SUM($J$6:J69)</x:f>
        <x:v>123858.79905732314</x:v>
      </x:c>
      <x:c r="M69" s="141" t="n">
        <x:f>MAX(0,E69-G69)</x:f>
        <x:v>135619.04761904787</x:v>
      </x:c>
    </x:row>
    <x:row r="70">
      <x:c r="A70" s="142" t="n">
        <x:v>65</x:v>
      </x:c>
      <x:c r="B70" s="179" t="n">
        <x:f>EDATE(Premissas!$B$4,64)</x:f>
        <x:v>48488</x:v>
      </x:c>
      <x:c r="C70" s="141" t="n">
        <x:f>M69</x:f>
        <x:v>135619.04761904787</x:v>
      </x:c>
      <x:c r="D70" s="141" t="n">
        <x:f>IF(C70&gt;0,C70*Premissas!$B$17,0)</x:f>
        <x:v>0</x:v>
      </x:c>
      <x:c r="E70" s="141" t="n">
        <x:f>C70+D70</x:f>
        <x:v>135619.04761904787</x:v>
      </x:c>
      <x:c r="F70" s="142" t="n">
        <x:f>MAX(0,Premissas!$B$13-A70+1)</x:f>
        <x:v>356</x:v>
      </x:c>
      <x:c r="G70" s="141" t="n">
        <x:f>IF(AND(E70&gt;0,F70&gt;0),IF(Premissas!$B$19="PRICE",MAX(0,MIN(E70,IF(Premissas!$B$15=0,E70/F70,E70*Premissas!$B$15/(1-(1+Premissas!$B$15)^(-F70)))-H70)),MIN(E70,E70/F70)),0)</x:f>
        <x:v>380.95238095238165</x:v>
      </x:c>
      <x:c r="H70" s="141" t="n">
        <x:f>IF(AND(E70&gt;0,F70&gt;0),E70*Premissas!$B$15,0)</x:f>
        <x:v>1286.861060842503</x:v>
      </x:c>
      <x:c r="I70" s="141" t="n">
        <x:f>IF(AND(E70&gt;0,F70&gt;0),Premissas!$B$18,0)</x:f>
        <x:v>150</x:v>
      </x:c>
      <x:c r="J70" s="141" t="n">
        <x:f>IF(AND(E70&gt;0,F70&gt;0),IF(Premissas!$B$19="PRICE",IF(Premissas!$B$15=0,E70/F70,E70*Premissas!$B$15/(1-(1+Premissas!$B$15)^(-F70)))+I70,G70+H70+I70),0)</x:f>
        <x:v>1817.8134417948847</x:v>
      </x:c>
      <x:c r="K70" s="141" t="n">
        <x:f>H70+I70</x:f>
        <x:v>1436.861060842503</x:v>
      </x:c>
      <x:c r="L70" s="141" t="n">
        <x:f>SUM($J$6:J70)</x:f>
        <x:v>125676.61249911803</x:v>
      </x:c>
      <x:c r="M70" s="141" t="n">
        <x:f>MAX(0,E70-G70)</x:f>
        <x:v>135238.0952380955</x:v>
      </x:c>
    </x:row>
    <x:row r="71">
      <x:c r="A71" s="142" t="n">
        <x:v>66</x:v>
      </x:c>
      <x:c r="B71" s="179" t="n">
        <x:f>EDATE(Premissas!$B$4,65)</x:f>
        <x:v>48519</x:v>
      </x:c>
      <x:c r="C71" s="141" t="n">
        <x:f>M70</x:f>
        <x:v>135238.0952380955</x:v>
      </x:c>
      <x:c r="D71" s="141" t="n">
        <x:f>IF(C71&gt;0,C71*Premissas!$B$17,0)</x:f>
        <x:v>0</x:v>
      </x:c>
      <x:c r="E71" s="141" t="n">
        <x:f>C71+D71</x:f>
        <x:v>135238.0952380955</x:v>
      </x:c>
      <x:c r="F71" s="142" t="n">
        <x:f>MAX(0,Premissas!$B$13-A71+1)</x:f>
        <x:v>355</x:v>
      </x:c>
      <x:c r="G71" s="141" t="n">
        <x:f>IF(AND(E71&gt;0,F71&gt;0),IF(Premissas!$B$19="PRICE",MAX(0,MIN(E71,IF(Premissas!$B$15=0,E71/F71,E71*Premissas!$B$15/(1-(1+Premissas!$B$15)^(-F71)))-H71)),MIN(E71,E71/F71)),0)</x:f>
        <x:v>380.9523809523817</x:v>
      </x:c>
      <x:c r="H71" s="141" t="n">
        <x:f>IF(AND(E71&gt;0,F71&gt;0),E71*Premissas!$B$15,0)</x:f>
        <x:v>1283.2462825817097</x:v>
      </x:c>
      <x:c r="I71" s="141" t="n">
        <x:f>IF(AND(E71&gt;0,F71&gt;0),Premissas!$B$18,0)</x:f>
        <x:v>150</x:v>
      </x:c>
      <x:c r="J71" s="141" t="n">
        <x:f>IF(AND(E71&gt;0,F71&gt;0),IF(Premissas!$B$19="PRICE",IF(Premissas!$B$15=0,E71/F71,E71*Premissas!$B$15/(1-(1+Premissas!$B$15)^(-F71)))+I71,G71+H71+I71),0)</x:f>
        <x:v>1814.1986635340913</x:v>
      </x:c>
      <x:c r="K71" s="141" t="n">
        <x:f>H71+I71</x:f>
        <x:v>1433.2462825817097</x:v>
      </x:c>
      <x:c r="L71" s="141" t="n">
        <x:f>SUM($J$6:J71)</x:f>
        <x:v>127490.81116265211</x:v>
      </x:c>
      <x:c r="M71" s="141" t="n">
        <x:f>MAX(0,E71-G71)</x:f>
        <x:v>134857.1428571431</x:v>
      </x:c>
    </x:row>
    <x:row r="72">
      <x:c r="A72" s="142" t="n">
        <x:v>67</x:v>
      </x:c>
      <x:c r="B72" s="179" t="n">
        <x:f>EDATE(Premissas!$B$4,66)</x:f>
        <x:v>48549</x:v>
      </x:c>
      <x:c r="C72" s="141" t="n">
        <x:f>M71</x:f>
        <x:v>134857.1428571431</x:v>
      </x:c>
      <x:c r="D72" s="141" t="n">
        <x:f>IF(C72&gt;0,C72*Premissas!$B$17,0)</x:f>
        <x:v>0</x:v>
      </x:c>
      <x:c r="E72" s="141" t="n">
        <x:f>C72+D72</x:f>
        <x:v>134857.1428571431</x:v>
      </x:c>
      <x:c r="F72" s="142" t="n">
        <x:f>MAX(0,Premissas!$B$13-A72+1)</x:f>
        <x:v>354</x:v>
      </x:c>
      <x:c r="G72" s="141" t="n">
        <x:f>IF(AND(E72&gt;0,F72&gt;0),IF(Premissas!$B$19="PRICE",MAX(0,MIN(E72,IF(Premissas!$B$15=0,E72/F72,E72*Premissas!$B$15/(1-(1+Premissas!$B$15)^(-F72)))-H72)),MIN(E72,E72/F72)),0)</x:f>
        <x:v>380.95238095238165</x:v>
      </x:c>
      <x:c r="H72" s="141" t="n">
        <x:f>IF(AND(E72&gt;0,F72&gt;0),E72*Premissas!$B$15,0)</x:f>
        <x:v>1279.6315043209158</x:v>
      </x:c>
      <x:c r="I72" s="141" t="n">
        <x:f>IF(AND(E72&gt;0,F72&gt;0),Premissas!$B$18,0)</x:f>
        <x:v>150</x:v>
      </x:c>
      <x:c r="J72" s="141" t="n">
        <x:f>IF(AND(E72&gt;0,F72&gt;0),IF(Premissas!$B$19="PRICE",IF(Premissas!$B$15=0,E72/F72,E72*Premissas!$B$15/(1-(1+Premissas!$B$15)^(-F72)))+I72,G72+H72+I72),0)</x:f>
        <x:v>1810.5838852732975</x:v>
      </x:c>
      <x:c r="K72" s="141" t="n">
        <x:f>H72+I72</x:f>
        <x:v>1429.6315043209158</x:v>
      </x:c>
      <x:c r="L72" s="141" t="n">
        <x:f>SUM($J$6:J72)</x:f>
        <x:v>129301.39504792541</x:v>
      </x:c>
      <x:c r="M72" s="141" t="n">
        <x:f>MAX(0,E72-G72)</x:f>
        <x:v>134476.1904761907</x:v>
      </x:c>
    </x:row>
    <x:row r="73">
      <x:c r="A73" s="142" t="n">
        <x:v>68</x:v>
      </x:c>
      <x:c r="B73" s="179" t="n">
        <x:f>EDATE(Premissas!$B$4,67)</x:f>
        <x:v>48580</x:v>
      </x:c>
      <x:c r="C73" s="141" t="n">
        <x:f>M72</x:f>
        <x:v>134476.1904761907</x:v>
      </x:c>
      <x:c r="D73" s="141" t="n">
        <x:f>IF(C73&gt;0,C73*Premissas!$B$17,0)</x:f>
        <x:v>0</x:v>
      </x:c>
      <x:c r="E73" s="141" t="n">
        <x:f>C73+D73</x:f>
        <x:v>134476.1904761907</x:v>
      </x:c>
      <x:c r="F73" s="142" t="n">
        <x:f>MAX(0,Premissas!$B$13-A73+1)</x:f>
        <x:v>353</x:v>
      </x:c>
      <x:c r="G73" s="141" t="n">
        <x:f>IF(AND(E73&gt;0,F73&gt;0),IF(Premissas!$B$19="PRICE",MAX(0,MIN(E73,IF(Premissas!$B$15=0,E73/F73,E73*Premissas!$B$15/(1-(1+Premissas!$B$15)^(-F73)))-H73)),MIN(E73,E73/F73)),0)</x:f>
        <x:v>380.9523809523816</x:v>
      </x:c>
      <x:c r="H73" s="141" t="n">
        <x:f>IF(AND(E73&gt;0,F73&gt;0),E73*Premissas!$B$15,0)</x:f>
        <x:v>1276.0167260601222</x:v>
      </x:c>
      <x:c r="I73" s="141" t="n">
        <x:f>IF(AND(E73&gt;0,F73&gt;0),Premissas!$B$18,0)</x:f>
        <x:v>150</x:v>
      </x:c>
      <x:c r="J73" s="141" t="n">
        <x:f>IF(AND(E73&gt;0,F73&gt;0),IF(Premissas!$B$19="PRICE",IF(Premissas!$B$15=0,E73/F73,E73*Premissas!$B$15/(1-(1+Premissas!$B$15)^(-F73)))+I73,G73+H73+I73),0)</x:f>
        <x:v>1806.9691070125039</x:v>
      </x:c>
      <x:c r="K73" s="141" t="n">
        <x:f>H73+I73</x:f>
        <x:v>1426.0167260601222</x:v>
      </x:c>
      <x:c r="L73" s="141" t="n">
        <x:f>SUM($J$6:J73)</x:f>
        <x:v>131108.3641549379</x:v>
      </x:c>
      <x:c r="M73" s="141" t="n">
        <x:f>MAX(0,E73-G73)</x:f>
        <x:v>134095.23809523834</x:v>
      </x:c>
    </x:row>
    <x:row r="74">
      <x:c r="A74" s="142" t="n">
        <x:v>69</x:v>
      </x:c>
      <x:c r="B74" s="179" t="n">
        <x:f>EDATE(Premissas!$B$4,68)</x:f>
        <x:v>48611</x:v>
      </x:c>
      <x:c r="C74" s="141" t="n">
        <x:f>M73</x:f>
        <x:v>134095.23809523834</x:v>
      </x:c>
      <x:c r="D74" s="141" t="n">
        <x:f>IF(C74&gt;0,C74*Premissas!$B$17,0)</x:f>
        <x:v>0</x:v>
      </x:c>
      <x:c r="E74" s="141" t="n">
        <x:f>C74+D74</x:f>
        <x:v>134095.23809523834</x:v>
      </x:c>
      <x:c r="F74" s="142" t="n">
        <x:f>MAX(0,Premissas!$B$13-A74+1)</x:f>
        <x:v>352</x:v>
      </x:c>
      <x:c r="G74" s="141" t="n">
        <x:f>IF(AND(E74&gt;0,F74&gt;0),IF(Premissas!$B$19="PRICE",MAX(0,MIN(E74,IF(Premissas!$B$15=0,E74/F74,E74*Premissas!$B$15/(1-(1+Premissas!$B$15)^(-F74)))-H74)),MIN(E74,E74/F74)),0)</x:f>
        <x:v>380.95238095238165</x:v>
      </x:c>
      <x:c r="H74" s="141" t="n">
        <x:f>IF(AND(E74&gt;0,F74&gt;0),E74*Premissas!$B$15,0)</x:f>
        <x:v>1272.4019477993288</x:v>
      </x:c>
      <x:c r="I74" s="141" t="n">
        <x:f>IF(AND(E74&gt;0,F74&gt;0),Premissas!$B$18,0)</x:f>
        <x:v>150</x:v>
      </x:c>
      <x:c r="J74" s="141" t="n">
        <x:f>IF(AND(E74&gt;0,F74&gt;0),IF(Premissas!$B$19="PRICE",IF(Premissas!$B$15=0,E74/F74,E74*Premissas!$B$15/(1-(1+Premissas!$B$15)^(-F74)))+I74,G74+H74+I74),0)</x:f>
        <x:v>1803.3543287517105</x:v>
      </x:c>
      <x:c r="K74" s="141" t="n">
        <x:f>H74+I74</x:f>
        <x:v>1422.4019477993288</x:v>
      </x:c>
      <x:c r="L74" s="141" t="n">
        <x:f>SUM($J$6:J74)</x:f>
        <x:v>132911.71848368962</x:v>
      </x:c>
      <x:c r="M74" s="141" t="n">
        <x:f>MAX(0,E74-G74)</x:f>
        <x:v>133714.28571428597</x:v>
      </x:c>
    </x:row>
    <x:row r="75">
      <x:c r="A75" s="142" t="n">
        <x:v>70</x:v>
      </x:c>
      <x:c r="B75" s="179" t="n">
        <x:f>EDATE(Premissas!$B$4,69)</x:f>
        <x:v>48639</x:v>
      </x:c>
      <x:c r="C75" s="141" t="n">
        <x:f>M74</x:f>
        <x:v>133714.28571428597</x:v>
      </x:c>
      <x:c r="D75" s="141" t="n">
        <x:f>IF(C75&gt;0,C75*Premissas!$B$17,0)</x:f>
        <x:v>0</x:v>
      </x:c>
      <x:c r="E75" s="141" t="n">
        <x:f>C75+D75</x:f>
        <x:v>133714.28571428597</x:v>
      </x:c>
      <x:c r="F75" s="142" t="n">
        <x:f>MAX(0,Premissas!$B$13-A75+1)</x:f>
        <x:v>351</x:v>
      </x:c>
      <x:c r="G75" s="141" t="n">
        <x:f>IF(AND(E75&gt;0,F75&gt;0),IF(Premissas!$B$19="PRICE",MAX(0,MIN(E75,IF(Premissas!$B$15=0,E75/F75,E75*Premissas!$B$15/(1-(1+Premissas!$B$15)^(-F75)))-H75)),MIN(E75,E75/F75)),0)</x:f>
        <x:v>380.9523809523817</x:v>
      </x:c>
      <x:c r="H75" s="141" t="n">
        <x:f>IF(AND(E75&gt;0,F75&gt;0),E75*Premissas!$B$15,0)</x:f>
        <x:v>1268.7871695385354</x:v>
      </x:c>
      <x:c r="I75" s="141" t="n">
        <x:f>IF(AND(E75&gt;0,F75&gt;0),Premissas!$B$18,0)</x:f>
        <x:v>150</x:v>
      </x:c>
      <x:c r="J75" s="141" t="n">
        <x:f>IF(AND(E75&gt;0,F75&gt;0),IF(Premissas!$B$19="PRICE",IF(Premissas!$B$15=0,E75/F75,E75*Premissas!$B$15/(1-(1+Premissas!$B$15)^(-F75)))+I75,G75+H75+I75),0)</x:f>
        <x:v>1799.739550490917</x:v>
      </x:c>
      <x:c r="K75" s="141" t="n">
        <x:f>H75+I75</x:f>
        <x:v>1418.7871695385354</x:v>
      </x:c>
      <x:c r="L75" s="141" t="n">
        <x:f>SUM($J$6:J75)</x:f>
        <x:v>134711.45803418054</x:v>
      </x:c>
      <x:c r="M75" s="141" t="n">
        <x:f>MAX(0,E75-G75)</x:f>
        <x:v>133333.33333333358</x:v>
      </x:c>
    </x:row>
    <x:row r="76">
      <x:c r="A76" s="142" t="n">
        <x:v>71</x:v>
      </x:c>
      <x:c r="B76" s="179" t="n">
        <x:f>EDATE(Premissas!$B$4,70)</x:f>
        <x:v>48670</x:v>
      </x:c>
      <x:c r="C76" s="141" t="n">
        <x:f>M75</x:f>
        <x:v>133333.33333333358</x:v>
      </x:c>
      <x:c r="D76" s="141" t="n">
        <x:f>IF(C76&gt;0,C76*Premissas!$B$17,0)</x:f>
        <x:v>0</x:v>
      </x:c>
      <x:c r="E76" s="141" t="n">
        <x:f>C76+D76</x:f>
        <x:v>133333.33333333358</x:v>
      </x:c>
      <x:c r="F76" s="142" t="n">
        <x:f>MAX(0,Premissas!$B$13-A76+1)</x:f>
        <x:v>350</x:v>
      </x:c>
      <x:c r="G76" s="141" t="n">
        <x:f>IF(AND(E76&gt;0,F76&gt;0),IF(Premissas!$B$19="PRICE",MAX(0,MIN(E76,IF(Premissas!$B$15=0,E76/F76,E76*Premissas!$B$15/(1-(1+Premissas!$B$15)^(-F76)))-H76)),MIN(E76,E76/F76)),0)</x:f>
        <x:v>380.95238095238165</x:v>
      </x:c>
      <x:c r="H76" s="141" t="n">
        <x:f>IF(AND(E76&gt;0,F76&gt;0),E76*Premissas!$B$15,0)</x:f>
        <x:v>1265.1723912777418</x:v>
      </x:c>
      <x:c r="I76" s="141" t="n">
        <x:f>IF(AND(E76&gt;0,F76&gt;0),Premissas!$B$18,0)</x:f>
        <x:v>150</x:v>
      </x:c>
      <x:c r="J76" s="141" t="n">
        <x:f>IF(AND(E76&gt;0,F76&gt;0),IF(Premissas!$B$19="PRICE",IF(Premissas!$B$15=0,E76/F76,E76*Premissas!$B$15/(1-(1+Premissas!$B$15)^(-F76)))+I76,G76+H76+I76),0)</x:f>
        <x:v>1796.1247722301234</x:v>
      </x:c>
      <x:c r="K76" s="141" t="n">
        <x:f>H76+I76</x:f>
        <x:v>1415.1723912777418</x:v>
      </x:c>
      <x:c r="L76" s="141" t="n">
        <x:f>SUM($J$6:J76)</x:f>
        <x:v>136507.58280641068</x:v>
      </x:c>
      <x:c r="M76" s="141" t="n">
        <x:f>MAX(0,E76-G76)</x:f>
        <x:v>132952.38095238118</x:v>
      </x:c>
    </x:row>
    <x:row r="77">
      <x:c r="A77" s="142" t="n">
        <x:v>72</x:v>
      </x:c>
      <x:c r="B77" s="179" t="n">
        <x:f>EDATE(Premissas!$B$4,71)</x:f>
        <x:v>48700</x:v>
      </x:c>
      <x:c r="C77" s="141" t="n">
        <x:f>M76</x:f>
        <x:v>132952.38095238118</x:v>
      </x:c>
      <x:c r="D77" s="141" t="n">
        <x:f>IF(C77&gt;0,C77*Premissas!$B$17,0)</x:f>
        <x:v>0</x:v>
      </x:c>
      <x:c r="E77" s="141" t="n">
        <x:f>C77+D77</x:f>
        <x:v>132952.38095238118</x:v>
      </x:c>
      <x:c r="F77" s="142" t="n">
        <x:f>MAX(0,Premissas!$B$13-A77+1)</x:f>
        <x:v>349</x:v>
      </x:c>
      <x:c r="G77" s="141" t="n">
        <x:f>IF(AND(E77&gt;0,F77&gt;0),IF(Premissas!$B$19="PRICE",MAX(0,MIN(E77,IF(Premissas!$B$15=0,E77/F77,E77*Premissas!$B$15/(1-(1+Premissas!$B$15)^(-F77)))-H77)),MIN(E77,E77/F77)),0)</x:f>
        <x:v>380.9523809523816</x:v>
      </x:c>
      <x:c r="H77" s="141" t="n">
        <x:f>IF(AND(E77&gt;0,F77&gt;0),E77*Premissas!$B$15,0)</x:f>
        <x:v>1261.5576130169482</x:v>
      </x:c>
      <x:c r="I77" s="141" t="n">
        <x:f>IF(AND(E77&gt;0,F77&gt;0),Premissas!$B$18,0)</x:f>
        <x:v>150</x:v>
      </x:c>
      <x:c r="J77" s="141" t="n">
        <x:f>IF(AND(E77&gt;0,F77&gt;0),IF(Premissas!$B$19="PRICE",IF(Premissas!$B$15=0,E77/F77,E77*Premissas!$B$15/(1-(1+Premissas!$B$15)^(-F77)))+I77,G77+H77+I77),0)</x:f>
        <x:v>1792.5099939693298</x:v>
      </x:c>
      <x:c r="K77" s="141" t="n">
        <x:f>H77+I77</x:f>
        <x:v>1411.5576130169482</x:v>
      </x:c>
      <x:c r="L77" s="141" t="n">
        <x:f>SUM($J$6:J77)</x:f>
        <x:v>138300.09280038</x:v>
      </x:c>
      <x:c r="M77" s="141" t="n">
        <x:f>MAX(0,E77-G77)</x:f>
        <x:v>132571.4285714288</x:v>
      </x:c>
    </x:row>
    <x:row r="78">
      <x:c r="A78" s="142" t="n">
        <x:v>73</x:v>
      </x:c>
      <x:c r="B78" s="179" t="n">
        <x:f>EDATE(Premissas!$B$4,72)</x:f>
        <x:v>48731</x:v>
      </x:c>
      <x:c r="C78" s="141" t="n">
        <x:f>M77</x:f>
        <x:v>132571.4285714288</x:v>
      </x:c>
      <x:c r="D78" s="141" t="n">
        <x:f>IF(C78&gt;0,C78*Premissas!$B$17,0)</x:f>
        <x:v>0</x:v>
      </x:c>
      <x:c r="E78" s="141" t="n">
        <x:f>C78+D78</x:f>
        <x:v>132571.4285714288</x:v>
      </x:c>
      <x:c r="F78" s="142" t="n">
        <x:f>MAX(0,Premissas!$B$13-A78+1)</x:f>
        <x:v>348</x:v>
      </x:c>
      <x:c r="G78" s="141" t="n">
        <x:f>IF(AND(E78&gt;0,F78&gt;0),IF(Premissas!$B$19="PRICE",MAX(0,MIN(E78,IF(Premissas!$B$15=0,E78/F78,E78*Premissas!$B$15/(1-(1+Premissas!$B$15)^(-F78)))-H78)),MIN(E78,E78/F78)),0)</x:f>
        <x:v>380.95238095238165</x:v>
      </x:c>
      <x:c r="H78" s="141" t="n">
        <x:f>IF(AND(E78&gt;0,F78&gt;0),E78*Premissas!$B$15,0)</x:f>
        <x:v>1257.9428347561545</x:v>
      </x:c>
      <x:c r="I78" s="141" t="n">
        <x:f>IF(AND(E78&gt;0,F78&gt;0),Premissas!$B$18,0)</x:f>
        <x:v>150</x:v>
      </x:c>
      <x:c r="J78" s="141" t="n">
        <x:f>IF(AND(E78&gt;0,F78&gt;0),IF(Premissas!$B$19="PRICE",IF(Premissas!$B$15=0,E78/F78,E78*Premissas!$B$15/(1-(1+Premissas!$B$15)^(-F78)))+I78,G78+H78+I78),0)</x:f>
        <x:v>1788.8952157085362</x:v>
      </x:c>
      <x:c r="K78" s="141" t="n">
        <x:f>H78+I78</x:f>
        <x:v>1407.9428347561545</x:v>
      </x:c>
      <x:c r="L78" s="141" t="n">
        <x:f>SUM($J$6:J78)</x:f>
        <x:v>140088.98801608852</x:v>
      </x:c>
      <x:c r="M78" s="141" t="n">
        <x:f>MAX(0,E78-G78)</x:f>
        <x:v>132190.47619047645</x:v>
      </x:c>
    </x:row>
    <x:row r="79">
      <x:c r="A79" s="142" t="n">
        <x:v>74</x:v>
      </x:c>
      <x:c r="B79" s="179" t="n">
        <x:f>EDATE(Premissas!$B$4,73)</x:f>
        <x:v>48761</x:v>
      </x:c>
      <x:c r="C79" s="141" t="n">
        <x:f>M78</x:f>
        <x:v>132190.47619047645</x:v>
      </x:c>
      <x:c r="D79" s="141" t="n">
        <x:f>IF(C79&gt;0,C79*Premissas!$B$17,0)</x:f>
        <x:v>0</x:v>
      </x:c>
      <x:c r="E79" s="141" t="n">
        <x:f>C79+D79</x:f>
        <x:v>132190.47619047645</x:v>
      </x:c>
      <x:c r="F79" s="142" t="n">
        <x:f>MAX(0,Premissas!$B$13-A79+1)</x:f>
        <x:v>347</x:v>
      </x:c>
      <x:c r="G79" s="141" t="n">
        <x:f>IF(AND(E79&gt;0,F79&gt;0),IF(Premissas!$B$19="PRICE",MAX(0,MIN(E79,IF(Premissas!$B$15=0,E79/F79,E79*Premissas!$B$15/(1-(1+Premissas!$B$15)^(-F79)))-H79)),MIN(E79,E79/F79)),0)</x:f>
        <x:v>380.9523809523817</x:v>
      </x:c>
      <x:c r="H79" s="141" t="n">
        <x:f>IF(AND(E79&gt;0,F79&gt;0),E79*Premissas!$B$15,0)</x:f>
        <x:v>1254.3280564953611</x:v>
      </x:c>
      <x:c r="I79" s="141" t="n">
        <x:f>IF(AND(E79&gt;0,F79&gt;0),Premissas!$B$18,0)</x:f>
        <x:v>150</x:v>
      </x:c>
      <x:c r="J79" s="141" t="n">
        <x:f>IF(AND(E79&gt;0,F79&gt;0),IF(Premissas!$B$19="PRICE",IF(Premissas!$B$15=0,E79/F79,E79*Premissas!$B$15/(1-(1+Premissas!$B$15)^(-F79)))+I79,G79+H79+I79),0)</x:f>
        <x:v>1785.2804374477428</x:v>
      </x:c>
      <x:c r="K79" s="141" t="n">
        <x:f>H79+I79</x:f>
        <x:v>1404.3280564953611</x:v>
      </x:c>
      <x:c r="L79" s="141" t="n">
        <x:f>SUM($J$6:J79)</x:f>
        <x:v>141874.26845353626</x:v>
      </x:c>
      <x:c r="M79" s="141" t="n">
        <x:f>MAX(0,E79-G79)</x:f>
        <x:v>131809.52380952405</x:v>
      </x:c>
    </x:row>
    <x:row r="80">
      <x:c r="A80" s="142" t="n">
        <x:v>75</x:v>
      </x:c>
      <x:c r="B80" s="179" t="n">
        <x:f>EDATE(Premissas!$B$4,74)</x:f>
        <x:v>48792</x:v>
      </x:c>
      <x:c r="C80" s="141" t="n">
        <x:f>M79</x:f>
        <x:v>131809.52380952405</x:v>
      </x:c>
      <x:c r="D80" s="141" t="n">
        <x:f>IF(C80&gt;0,C80*Premissas!$B$17,0)</x:f>
        <x:v>0</x:v>
      </x:c>
      <x:c r="E80" s="141" t="n">
        <x:f>C80+D80</x:f>
        <x:v>131809.52380952405</x:v>
      </x:c>
      <x:c r="F80" s="142" t="n">
        <x:f>MAX(0,Premissas!$B$13-A80+1)</x:f>
        <x:v>346</x:v>
      </x:c>
      <x:c r="G80" s="141" t="n">
        <x:f>IF(AND(E80&gt;0,F80&gt;0),IF(Premissas!$B$19="PRICE",MAX(0,MIN(E80,IF(Premissas!$B$15=0,E80/F80,E80*Premissas!$B$15/(1-(1+Premissas!$B$15)^(-F80)))-H80)),MIN(E80,E80/F80)),0)</x:f>
        <x:v>380.95238095238165</x:v>
      </x:c>
      <x:c r="H80" s="141" t="n">
        <x:f>IF(AND(E80&gt;0,F80&gt;0),E80*Premissas!$B$15,0)</x:f>
        <x:v>1250.7132782345675</x:v>
      </x:c>
      <x:c r="I80" s="141" t="n">
        <x:f>IF(AND(E80&gt;0,F80&gt;0),Premissas!$B$18,0)</x:f>
        <x:v>150</x:v>
      </x:c>
      <x:c r="J80" s="141" t="n">
        <x:f>IF(AND(E80&gt;0,F80&gt;0),IF(Premissas!$B$19="PRICE",IF(Premissas!$B$15=0,E80/F80,E80*Premissas!$B$15/(1-(1+Premissas!$B$15)^(-F80)))+I80,G80+H80+I80),0)</x:f>
        <x:v>1781.6656591869491</x:v>
      </x:c>
      <x:c r="K80" s="141" t="n">
        <x:f>H80+I80</x:f>
        <x:v>1400.7132782345675</x:v>
      </x:c>
      <x:c r="L80" s="141" t="n">
        <x:f>SUM($J$6:J80)</x:f>
        <x:v>143655.93411272322</x:v>
      </x:c>
      <x:c r="M80" s="141" t="n">
        <x:f>MAX(0,E80-G80)</x:f>
        <x:v>131428.57142857165</x:v>
      </x:c>
    </x:row>
    <x:row r="81">
      <x:c r="A81" s="142" t="n">
        <x:v>76</x:v>
      </x:c>
      <x:c r="B81" s="179" t="n">
        <x:f>EDATE(Premissas!$B$4,75)</x:f>
        <x:v>48823</x:v>
      </x:c>
      <x:c r="C81" s="141" t="n">
        <x:f>M80</x:f>
        <x:v>131428.57142857165</x:v>
      </x:c>
      <x:c r="D81" s="141" t="n">
        <x:f>IF(C81&gt;0,C81*Premissas!$B$17,0)</x:f>
        <x:v>0</x:v>
      </x:c>
      <x:c r="E81" s="141" t="n">
        <x:f>C81+D81</x:f>
        <x:v>131428.57142857165</x:v>
      </x:c>
      <x:c r="F81" s="142" t="n">
        <x:f>MAX(0,Premissas!$B$13-A81+1)</x:f>
        <x:v>345</x:v>
      </x:c>
      <x:c r="G81" s="141" t="n">
        <x:f>IF(AND(E81&gt;0,F81&gt;0),IF(Premissas!$B$19="PRICE",MAX(0,MIN(E81,IF(Premissas!$B$15=0,E81/F81,E81*Premissas!$B$15/(1-(1+Premissas!$B$15)^(-F81)))-H81)),MIN(E81,E81/F81)),0)</x:f>
        <x:v>380.9523809523816</x:v>
      </x:c>
      <x:c r="H81" s="141" t="n">
        <x:f>IF(AND(E81&gt;0,F81&gt;0),E81*Premissas!$B$15,0)</x:f>
        <x:v>1247.0984999737739</x:v>
      </x:c>
      <x:c r="I81" s="141" t="n">
        <x:f>IF(AND(E81&gt;0,F81&gt;0),Premissas!$B$18,0)</x:f>
        <x:v>150</x:v>
      </x:c>
      <x:c r="J81" s="141" t="n">
        <x:f>IF(AND(E81&gt;0,F81&gt;0),IF(Premissas!$B$19="PRICE",IF(Premissas!$B$15=0,E81/F81,E81*Premissas!$B$15/(1-(1+Premissas!$B$15)^(-F81)))+I81,G81+H81+I81),0)</x:f>
        <x:v>1778.0508809261555</x:v>
      </x:c>
      <x:c r="K81" s="141" t="n">
        <x:f>H81+I81</x:f>
        <x:v>1397.0984999737739</x:v>
      </x:c>
      <x:c r="L81" s="141" t="n">
        <x:f>SUM($J$6:J81)</x:f>
        <x:v>145433.98499364938</x:v>
      </x:c>
      <x:c r="M81" s="141" t="n">
        <x:f>MAX(0,E81-G81)</x:f>
        <x:v>131047.61904761927</x:v>
      </x:c>
    </x:row>
    <x:row r="82">
      <x:c r="A82" s="142" t="n">
        <x:v>77</x:v>
      </x:c>
      <x:c r="B82" s="179" t="n">
        <x:f>EDATE(Premissas!$B$4,76)</x:f>
        <x:v>48853</x:v>
      </x:c>
      <x:c r="C82" s="141" t="n">
        <x:f>M81</x:f>
        <x:v>131047.61904761927</x:v>
      </x:c>
      <x:c r="D82" s="141" t="n">
        <x:f>IF(C82&gt;0,C82*Premissas!$B$17,0)</x:f>
        <x:v>0</x:v>
      </x:c>
      <x:c r="E82" s="141" t="n">
        <x:f>C82+D82</x:f>
        <x:v>131047.61904761927</x:v>
      </x:c>
      <x:c r="F82" s="142" t="n">
        <x:f>MAX(0,Premissas!$B$13-A82+1)</x:f>
        <x:v>344</x:v>
      </x:c>
      <x:c r="G82" s="141" t="n">
        <x:f>IF(AND(E82&gt;0,F82&gt;0),IF(Premissas!$B$19="PRICE",MAX(0,MIN(E82,IF(Premissas!$B$15=0,E82/F82,E82*Premissas!$B$15/(1-(1+Premissas!$B$15)^(-F82)))-H82)),MIN(E82,E82/F82)),0)</x:f>
        <x:v>380.9523809523816</x:v>
      </x:c>
      <x:c r="H82" s="141" t="n">
        <x:f>IF(AND(E82&gt;0,F82&gt;0),E82*Premissas!$B$15,0)</x:f>
        <x:v>1243.4837217129802</x:v>
      </x:c>
      <x:c r="I82" s="141" t="n">
        <x:f>IF(AND(E82&gt;0,F82&gt;0),Premissas!$B$18,0)</x:f>
        <x:v>150</x:v>
      </x:c>
      <x:c r="J82" s="141" t="n">
        <x:f>IF(AND(E82&gt;0,F82&gt;0),IF(Premissas!$B$19="PRICE",IF(Premissas!$B$15=0,E82/F82,E82*Premissas!$B$15/(1-(1+Premissas!$B$15)^(-F82)))+I82,G82+H82+I82),0)</x:f>
        <x:v>1774.436102665362</x:v>
      </x:c>
      <x:c r="K82" s="141" t="n">
        <x:f>H82+I82</x:f>
        <x:v>1393.4837217129802</x:v>
      </x:c>
      <x:c r="L82" s="141" t="n">
        <x:f>SUM($J$6:J82)</x:f>
        <x:v>147208.42109631473</x:v>
      </x:c>
      <x:c r="M82" s="141" t="n">
        <x:f>MAX(0,E82-G82)</x:f>
        <x:v>130666.66666666689</x:v>
      </x:c>
    </x:row>
    <x:row r="83">
      <x:c r="A83" s="142" t="n">
        <x:v>78</x:v>
      </x:c>
      <x:c r="B83" s="179" t="n">
        <x:f>EDATE(Premissas!$B$4,77)</x:f>
        <x:v>48884</x:v>
      </x:c>
      <x:c r="C83" s="141" t="n">
        <x:f>M82</x:f>
        <x:v>130666.66666666689</x:v>
      </x:c>
      <x:c r="D83" s="141" t="n">
        <x:f>IF(C83&gt;0,C83*Premissas!$B$17,0)</x:f>
        <x:v>0</x:v>
      </x:c>
      <x:c r="E83" s="141" t="n">
        <x:f>C83+D83</x:f>
        <x:v>130666.66666666689</x:v>
      </x:c>
      <x:c r="F83" s="142" t="n">
        <x:f>MAX(0,Premissas!$B$13-A83+1)</x:f>
        <x:v>343</x:v>
      </x:c>
      <x:c r="G83" s="141" t="n">
        <x:f>IF(AND(E83&gt;0,F83&gt;0),IF(Premissas!$B$19="PRICE",MAX(0,MIN(E83,IF(Premissas!$B$15=0,E83/F83,E83*Premissas!$B$15/(1-(1+Premissas!$B$15)^(-F83)))-H83)),MIN(E83,E83/F83)),0)</x:f>
        <x:v>380.9523809523816</x:v>
      </x:c>
      <x:c r="H83" s="141" t="n">
        <x:f>IF(AND(E83&gt;0,F83&gt;0),E83*Premissas!$B$15,0)</x:f>
        <x:v>1239.8689434521868</x:v>
      </x:c>
      <x:c r="I83" s="141" t="n">
        <x:f>IF(AND(E83&gt;0,F83&gt;0),Premissas!$B$18,0)</x:f>
        <x:v>150</x:v>
      </x:c>
      <x:c r="J83" s="141" t="n">
        <x:f>IF(AND(E83&gt;0,F83&gt;0),IF(Premissas!$B$19="PRICE",IF(Premissas!$B$15=0,E83/F83,E83*Premissas!$B$15/(1-(1+Premissas!$B$15)^(-F83)))+I83,G83+H83+I83),0)</x:f>
        <x:v>1770.8213244045685</x:v>
      </x:c>
      <x:c r="K83" s="141" t="n">
        <x:f>H83+I83</x:f>
        <x:v>1389.8689434521868</x:v>
      </x:c>
      <x:c r="L83" s="141" t="n">
        <x:f>SUM($J$6:J83)</x:f>
        <x:v>148979.2424207193</x:v>
      </x:c>
      <x:c r="M83" s="141" t="n">
        <x:f>MAX(0,E83-G83)</x:f>
        <x:v>130285.71428571451</x:v>
      </x:c>
    </x:row>
    <x:row r="84">
      <x:c r="A84" s="142" t="n">
        <x:v>79</x:v>
      </x:c>
      <x:c r="B84" s="179" t="n">
        <x:f>EDATE(Premissas!$B$4,78)</x:f>
        <x:v>48914</x:v>
      </x:c>
      <x:c r="C84" s="141" t="n">
        <x:f>M83</x:f>
        <x:v>130285.71428571451</x:v>
      </x:c>
      <x:c r="D84" s="141" t="n">
        <x:f>IF(C84&gt;0,C84*Premissas!$B$17,0)</x:f>
        <x:v>0</x:v>
      </x:c>
      <x:c r="E84" s="141" t="n">
        <x:f>C84+D84</x:f>
        <x:v>130285.71428571451</x:v>
      </x:c>
      <x:c r="F84" s="142" t="n">
        <x:f>MAX(0,Premissas!$B$13-A84+1)</x:f>
        <x:v>342</x:v>
      </x:c>
      <x:c r="G84" s="141" t="n">
        <x:f>IF(AND(E84&gt;0,F84&gt;0),IF(Premissas!$B$19="PRICE",MAX(0,MIN(E84,IF(Premissas!$B$15=0,E84/F84,E84*Premissas!$B$15/(1-(1+Premissas!$B$15)^(-F84)))-H84)),MIN(E84,E84/F84)),0)</x:f>
        <x:v>380.9523809523816</x:v>
      </x:c>
      <x:c r="H84" s="141" t="n">
        <x:f>IF(AND(E84&gt;0,F84&gt;0),E84*Premissas!$B$15,0)</x:f>
        <x:v>1236.2541651913932</x:v>
      </x:c>
      <x:c r="I84" s="141" t="n">
        <x:f>IF(AND(E84&gt;0,F84&gt;0),Premissas!$B$18,0)</x:f>
        <x:v>150</x:v>
      </x:c>
      <x:c r="J84" s="141" t="n">
        <x:f>IF(AND(E84&gt;0,F84&gt;0),IF(Premissas!$B$19="PRICE",IF(Premissas!$B$15=0,E84/F84,E84*Premissas!$B$15/(1-(1+Premissas!$B$15)^(-F84)))+I84,G84+H84+I84),0)</x:f>
        <x:v>1767.2065461437749</x:v>
      </x:c>
      <x:c r="K84" s="141" t="n">
        <x:f>H84+I84</x:f>
        <x:v>1386.2541651913932</x:v>
      </x:c>
      <x:c r="L84" s="141" t="n">
        <x:f>SUM($J$6:J84)</x:f>
        <x:v>150746.44896686307</x:v>
      </x:c>
      <x:c r="M84" s="141" t="n">
        <x:f>MAX(0,E84-G84)</x:f>
        <x:v>129904.76190476213</x:v>
      </x:c>
    </x:row>
    <x:row r="85">
      <x:c r="A85" s="142" t="n">
        <x:v>80</x:v>
      </x:c>
      <x:c r="B85" s="179" t="n">
        <x:f>EDATE(Premissas!$B$4,79)</x:f>
        <x:v>48945</x:v>
      </x:c>
      <x:c r="C85" s="141" t="n">
        <x:f>M84</x:f>
        <x:v>129904.76190476213</x:v>
      </x:c>
      <x:c r="D85" s="141" t="n">
        <x:f>IF(C85&gt;0,C85*Premissas!$B$17,0)</x:f>
        <x:v>0</x:v>
      </x:c>
      <x:c r="E85" s="141" t="n">
        <x:f>C85+D85</x:f>
        <x:v>129904.76190476213</x:v>
      </x:c>
      <x:c r="F85" s="142" t="n">
        <x:f>MAX(0,Premissas!$B$13-A85+1)</x:f>
        <x:v>341</x:v>
      </x:c>
      <x:c r="G85" s="141" t="n">
        <x:f>IF(AND(E85&gt;0,F85&gt;0),IF(Premissas!$B$19="PRICE",MAX(0,MIN(E85,IF(Premissas!$B$15=0,E85/F85,E85*Premissas!$B$15/(1-(1+Premissas!$B$15)^(-F85)))-H85)),MIN(E85,E85/F85)),0)</x:f>
        <x:v>380.9523809523816</x:v>
      </x:c>
      <x:c r="H85" s="141" t="n">
        <x:f>IF(AND(E85&gt;0,F85&gt;0),E85*Premissas!$B$15,0)</x:f>
        <x:v>1232.6393869305996</x:v>
      </x:c>
      <x:c r="I85" s="141" t="n">
        <x:f>IF(AND(E85&gt;0,F85&gt;0),Premissas!$B$18,0)</x:f>
        <x:v>150</x:v>
      </x:c>
      <x:c r="J85" s="141" t="n">
        <x:f>IF(AND(E85&gt;0,F85&gt;0),IF(Premissas!$B$19="PRICE",IF(Premissas!$B$15=0,E85/F85,E85*Premissas!$B$15/(1-(1+Premissas!$B$15)^(-F85)))+I85,G85+H85+I85),0)</x:f>
        <x:v>1763.5917678829812</x:v>
      </x:c>
      <x:c r="K85" s="141" t="n">
        <x:f>H85+I85</x:f>
        <x:v>1382.6393869305996</x:v>
      </x:c>
      <x:c r="L85" s="141" t="n">
        <x:f>SUM($J$6:J85)</x:f>
        <x:v>152510.04073474606</x:v>
      </x:c>
      <x:c r="M85" s="141" t="n">
        <x:f>MAX(0,E85-G85)</x:f>
        <x:v>129523.80952380974</x:v>
      </x:c>
    </x:row>
    <x:row r="86">
      <x:c r="A86" s="142" t="n">
        <x:v>81</x:v>
      </x:c>
      <x:c r="B86" s="179" t="n">
        <x:f>EDATE(Premissas!$B$4,80)</x:f>
        <x:v>48976</x:v>
      </x:c>
      <x:c r="C86" s="141" t="n">
        <x:f>M85</x:f>
        <x:v>129523.80952380974</x:v>
      </x:c>
      <x:c r="D86" s="141" t="n">
        <x:f>IF(C86&gt;0,C86*Premissas!$B$17,0)</x:f>
        <x:v>0</x:v>
      </x:c>
      <x:c r="E86" s="141" t="n">
        <x:f>C86+D86</x:f>
        <x:v>129523.80952380974</x:v>
      </x:c>
      <x:c r="F86" s="142" t="n">
        <x:f>MAX(0,Premissas!$B$13-A86+1)</x:f>
        <x:v>340</x:v>
      </x:c>
      <x:c r="G86" s="141" t="n">
        <x:f>IF(AND(E86&gt;0,F86&gt;0),IF(Premissas!$B$19="PRICE",MAX(0,MIN(E86,IF(Premissas!$B$15=0,E86/F86,E86*Premissas!$B$15/(1-(1+Premissas!$B$15)^(-F86)))-H86)),MIN(E86,E86/F86)),0)</x:f>
        <x:v>380.9523809523816</x:v>
      </x:c>
      <x:c r="H86" s="141" t="n">
        <x:f>IF(AND(E86&gt;0,F86&gt;0),E86*Premissas!$B$15,0)</x:f>
        <x:v>1229.0246086698062</x:v>
      </x:c>
      <x:c r="I86" s="141" t="n">
        <x:f>IF(AND(E86&gt;0,F86&gt;0),Premissas!$B$18,0)</x:f>
        <x:v>150</x:v>
      </x:c>
      <x:c r="J86" s="141" t="n">
        <x:f>IF(AND(E86&gt;0,F86&gt;0),IF(Premissas!$B$19="PRICE",IF(Premissas!$B$15=0,E86/F86,E86*Premissas!$B$15/(1-(1+Premissas!$B$15)^(-F86)))+I86,G86+H86+I86),0)</x:f>
        <x:v>1759.9769896221878</x:v>
      </x:c>
      <x:c r="K86" s="141" t="n">
        <x:f>H86+I86</x:f>
        <x:v>1379.0246086698062</x:v>
      </x:c>
      <x:c r="L86" s="141" t="n">
        <x:f>SUM($J$6:J86)</x:f>
        <x:v>154270.01772436826</x:v>
      </x:c>
      <x:c r="M86" s="141" t="n">
        <x:f>MAX(0,E86-G86)</x:f>
        <x:v>129142.85714285736</x:v>
      </x:c>
    </x:row>
    <x:row r="87">
      <x:c r="A87" s="142" t="n">
        <x:v>82</x:v>
      </x:c>
      <x:c r="B87" s="179" t="n">
        <x:f>EDATE(Premissas!$B$4,81)</x:f>
        <x:v>49004</x:v>
      </x:c>
      <x:c r="C87" s="141" t="n">
        <x:f>M86</x:f>
        <x:v>129142.85714285736</x:v>
      </x:c>
      <x:c r="D87" s="141" t="n">
        <x:f>IF(C87&gt;0,C87*Premissas!$B$17,0)</x:f>
        <x:v>0</x:v>
      </x:c>
      <x:c r="E87" s="141" t="n">
        <x:f>C87+D87</x:f>
        <x:v>129142.85714285736</x:v>
      </x:c>
      <x:c r="F87" s="142" t="n">
        <x:f>MAX(0,Premissas!$B$13-A87+1)</x:f>
        <x:v>339</x:v>
      </x:c>
      <x:c r="G87" s="141" t="n">
        <x:f>IF(AND(E87&gt;0,F87&gt;0),IF(Premissas!$B$19="PRICE",MAX(0,MIN(E87,IF(Premissas!$B$15=0,E87/F87,E87*Premissas!$B$15/(1-(1+Premissas!$B$15)^(-F87)))-H87)),MIN(E87,E87/F87)),0)</x:f>
        <x:v>380.9523809523816</x:v>
      </x:c>
      <x:c r="H87" s="141" t="n">
        <x:f>IF(AND(E87&gt;0,F87&gt;0),E87*Premissas!$B$15,0)</x:f>
        <x:v>1225.4098304090126</x:v>
      </x:c>
      <x:c r="I87" s="141" t="n">
        <x:f>IF(AND(E87&gt;0,F87&gt;0),Premissas!$B$18,0)</x:f>
        <x:v>150</x:v>
      </x:c>
      <x:c r="J87" s="141" t="n">
        <x:f>IF(AND(E87&gt;0,F87&gt;0),IF(Premissas!$B$19="PRICE",IF(Premissas!$B$15=0,E87/F87,E87*Premissas!$B$15/(1-(1+Premissas!$B$15)^(-F87)))+I87,G87+H87+I87),0)</x:f>
        <x:v>1756.3622113613942</x:v>
      </x:c>
      <x:c r="K87" s="141" t="n">
        <x:f>H87+I87</x:f>
        <x:v>1375.4098304090126</x:v>
      </x:c>
      <x:c r="L87" s="141" t="n">
        <x:f>SUM($J$6:J87)</x:f>
        <x:v>156026.37993572964</x:v>
      </x:c>
      <x:c r="M87" s="141" t="n">
        <x:f>MAX(0,E87-G87)</x:f>
        <x:v>128761.90476190498</x:v>
      </x:c>
    </x:row>
    <x:row r="88">
      <x:c r="A88" s="142" t="n">
        <x:v>83</x:v>
      </x:c>
      <x:c r="B88" s="179" t="n">
        <x:f>EDATE(Premissas!$B$4,82)</x:f>
        <x:v>49035</x:v>
      </x:c>
      <x:c r="C88" s="141" t="n">
        <x:f>M87</x:f>
        <x:v>128761.90476190498</x:v>
      </x:c>
      <x:c r="D88" s="141" t="n">
        <x:f>IF(C88&gt;0,C88*Premissas!$B$17,0)</x:f>
        <x:v>0</x:v>
      </x:c>
      <x:c r="E88" s="141" t="n">
        <x:f>C88+D88</x:f>
        <x:v>128761.90476190498</x:v>
      </x:c>
      <x:c r="F88" s="142" t="n">
        <x:f>MAX(0,Premissas!$B$13-A88+1)</x:f>
        <x:v>338</x:v>
      </x:c>
      <x:c r="G88" s="141" t="n">
        <x:f>IF(AND(E88&gt;0,F88&gt;0),IF(Premissas!$B$19="PRICE",MAX(0,MIN(E88,IF(Premissas!$B$15=0,E88/F88,E88*Premissas!$B$15/(1-(1+Premissas!$B$15)^(-F88)))-H88)),MIN(E88,E88/F88)),0)</x:f>
        <x:v>380.9523809523816</x:v>
      </x:c>
      <x:c r="H88" s="141" t="n">
        <x:f>IF(AND(E88&gt;0,F88&gt;0),E88*Premissas!$B$15,0)</x:f>
        <x:v>1221.795052148219</x:v>
      </x:c>
      <x:c r="I88" s="141" t="n">
        <x:f>IF(AND(E88&gt;0,F88&gt;0),Premissas!$B$18,0)</x:f>
        <x:v>150</x:v>
      </x:c>
      <x:c r="J88" s="141" t="n">
        <x:f>IF(AND(E88&gt;0,F88&gt;0),IF(Premissas!$B$19="PRICE",IF(Premissas!$B$15=0,E88/F88,E88*Premissas!$B$15/(1-(1+Premissas!$B$15)^(-F88)))+I88,G88+H88+I88),0)</x:f>
        <x:v>1752.7474331006006</x:v>
      </x:c>
      <x:c r="K88" s="141" t="n">
        <x:f>H88+I88</x:f>
        <x:v>1371.795052148219</x:v>
      </x:c>
      <x:c r="L88" s="141" t="n">
        <x:f>SUM($J$6:J88)</x:f>
        <x:v>157779.12736883023</x:v>
      </x:c>
      <x:c r="M88" s="141" t="n">
        <x:f>MAX(0,E88-G88)</x:f>
        <x:v>128380.9523809526</x:v>
      </x:c>
    </x:row>
    <x:row r="89">
      <x:c r="A89" s="142" t="n">
        <x:v>84</x:v>
      </x:c>
      <x:c r="B89" s="179" t="n">
        <x:f>EDATE(Premissas!$B$4,83)</x:f>
        <x:v>49065</x:v>
      </x:c>
      <x:c r="C89" s="141" t="n">
        <x:f>M88</x:f>
        <x:v>128380.9523809526</x:v>
      </x:c>
      <x:c r="D89" s="141" t="n">
        <x:f>IF(C89&gt;0,C89*Premissas!$B$17,0)</x:f>
        <x:v>0</x:v>
      </x:c>
      <x:c r="E89" s="141" t="n">
        <x:f>C89+D89</x:f>
        <x:v>128380.9523809526</x:v>
      </x:c>
      <x:c r="F89" s="142" t="n">
        <x:f>MAX(0,Premissas!$B$13-A89+1)</x:f>
        <x:v>337</x:v>
      </x:c>
      <x:c r="G89" s="141" t="n">
        <x:f>IF(AND(E89&gt;0,F89&gt;0),IF(Premissas!$B$19="PRICE",MAX(0,MIN(E89,IF(Premissas!$B$15=0,E89/F89,E89*Premissas!$B$15/(1-(1+Premissas!$B$15)^(-F89)))-H89)),MIN(E89,E89/F89)),0)</x:f>
        <x:v>380.9523809523816</x:v>
      </x:c>
      <x:c r="H89" s="141" t="n">
        <x:f>IF(AND(E89&gt;0,F89&gt;0),E89*Premissas!$B$15,0)</x:f>
        <x:v>1218.1802738874255</x:v>
      </x:c>
      <x:c r="I89" s="141" t="n">
        <x:f>IF(AND(E89&gt;0,F89&gt;0),Premissas!$B$18,0)</x:f>
        <x:v>150</x:v>
      </x:c>
      <x:c r="J89" s="141" t="n">
        <x:f>IF(AND(E89&gt;0,F89&gt;0),IF(Premissas!$B$19="PRICE",IF(Premissas!$B$15=0,E89/F89,E89*Premissas!$B$15/(1-(1+Premissas!$B$15)^(-F89)))+I89,G89+H89+I89),0)</x:f>
        <x:v>1749.1326548398072</x:v>
      </x:c>
      <x:c r="K89" s="141" t="n">
        <x:f>H89+I89</x:f>
        <x:v>1368.1802738874255</x:v>
      </x:c>
      <x:c r="L89" s="141" t="n">
        <x:f>SUM($J$6:J89)</x:f>
        <x:v>159528.26002367004</x:v>
      </x:c>
      <x:c r="M89" s="141" t="n">
        <x:f>MAX(0,E89-G89)</x:f>
        <x:v>128000.00000000022</x:v>
      </x:c>
    </x:row>
    <x:row r="90">
      <x:c r="A90" s="142" t="n">
        <x:v>85</x:v>
      </x:c>
      <x:c r="B90" s="179" t="n">
        <x:f>EDATE(Premissas!$B$4,84)</x:f>
        <x:v>49096</x:v>
      </x:c>
      <x:c r="C90" s="141" t="n">
        <x:f>M89</x:f>
        <x:v>128000.00000000022</x:v>
      </x:c>
      <x:c r="D90" s="141" t="n">
        <x:f>IF(C90&gt;0,C90*Premissas!$B$17,0)</x:f>
        <x:v>0</x:v>
      </x:c>
      <x:c r="E90" s="141" t="n">
        <x:f>C90+D90</x:f>
        <x:v>128000.00000000022</x:v>
      </x:c>
      <x:c r="F90" s="142" t="n">
        <x:f>MAX(0,Premissas!$B$13-A90+1)</x:f>
        <x:v>336</x:v>
      </x:c>
      <x:c r="G90" s="141" t="n">
        <x:f>IF(AND(E90&gt;0,F90&gt;0),IF(Premissas!$B$19="PRICE",MAX(0,MIN(E90,IF(Premissas!$B$15=0,E90/F90,E90*Premissas!$B$15/(1-(1+Premissas!$B$15)^(-F90)))-H90)),MIN(E90,E90/F90)),0)</x:f>
        <x:v>380.9523809523816</x:v>
      </x:c>
      <x:c r="H90" s="141" t="n">
        <x:f>IF(AND(E90&gt;0,F90&gt;0),E90*Premissas!$B$15,0)</x:f>
        <x:v>1214.565495626632</x:v>
      </x:c>
      <x:c r="I90" s="141" t="n">
        <x:f>IF(AND(E90&gt;0,F90&gt;0),Premissas!$B$18,0)</x:f>
        <x:v>150</x:v>
      </x:c>
      <x:c r="J90" s="141" t="n">
        <x:f>IF(AND(E90&gt;0,F90&gt;0),IF(Premissas!$B$19="PRICE",IF(Premissas!$B$15=0,E90/F90,E90*Premissas!$B$15/(1-(1+Premissas!$B$15)^(-F90)))+I90,G90+H90+I90),0)</x:f>
        <x:v>1745.5178765790135</x:v>
      </x:c>
      <x:c r="K90" s="141" t="n">
        <x:f>H90+I90</x:f>
        <x:v>1364.565495626632</x:v>
      </x:c>
      <x:c r="L90" s="141" t="n">
        <x:f>SUM($J$6:J90)</x:f>
        <x:v>161273.77790024906</x:v>
      </x:c>
      <x:c r="M90" s="141" t="n">
        <x:f>MAX(0,E90-G90)</x:f>
        <x:v>127619.04761904784</x:v>
      </x:c>
    </x:row>
    <x:row r="91">
      <x:c r="A91" s="142" t="n">
        <x:v>86</x:v>
      </x:c>
      <x:c r="B91" s="179" t="n">
        <x:f>EDATE(Premissas!$B$4,85)</x:f>
        <x:v>49126</x:v>
      </x:c>
      <x:c r="C91" s="141" t="n">
        <x:f>M90</x:f>
        <x:v>127619.04761904784</x:v>
      </x:c>
      <x:c r="D91" s="141" t="n">
        <x:f>IF(C91&gt;0,C91*Premissas!$B$17,0)</x:f>
        <x:v>0</x:v>
      </x:c>
      <x:c r="E91" s="141" t="n">
        <x:f>C91+D91</x:f>
        <x:v>127619.04761904784</x:v>
      </x:c>
      <x:c r="F91" s="142" t="n">
        <x:f>MAX(0,Premissas!$B$13-A91+1)</x:f>
        <x:v>335</x:v>
      </x:c>
      <x:c r="G91" s="141" t="n">
        <x:f>IF(AND(E91&gt;0,F91&gt;0),IF(Premissas!$B$19="PRICE",MAX(0,MIN(E91,IF(Premissas!$B$15=0,E91/F91,E91*Premissas!$B$15/(1-(1+Premissas!$B$15)^(-F91)))-H91)),MIN(E91,E91/F91)),0)</x:f>
        <x:v>380.9523809523816</x:v>
      </x:c>
      <x:c r="H91" s="141" t="n">
        <x:f>IF(AND(E91&gt;0,F91&gt;0),E91*Premissas!$B$15,0)</x:f>
        <x:v>1210.9507173658383</x:v>
      </x:c>
      <x:c r="I91" s="141" t="n">
        <x:f>IF(AND(E91&gt;0,F91&gt;0),Premissas!$B$18,0)</x:f>
        <x:v>150</x:v>
      </x:c>
      <x:c r="J91" s="141" t="n">
        <x:f>IF(AND(E91&gt;0,F91&gt;0),IF(Premissas!$B$19="PRICE",IF(Premissas!$B$15=0,E91/F91,E91*Premissas!$B$15/(1-(1+Premissas!$B$15)^(-F91)))+I91,G91+H91+I91),0)</x:f>
        <x:v>1741.90309831822</x:v>
      </x:c>
      <x:c r="K91" s="141" t="n">
        <x:f>H91+I91</x:f>
        <x:v>1360.9507173658383</x:v>
      </x:c>
      <x:c r="L91" s="141" t="n">
        <x:f>SUM($J$6:J91)</x:f>
        <x:v>163015.6809985673</x:v>
      </x:c>
      <x:c r="M91" s="141" t="n">
        <x:f>MAX(0,E91-G91)</x:f>
        <x:v>127238.09523809545</x:v>
      </x:c>
    </x:row>
    <x:row r="92">
      <x:c r="A92" s="142" t="n">
        <x:v>87</x:v>
      </x:c>
      <x:c r="B92" s="179" t="n">
        <x:f>EDATE(Premissas!$B$4,86)</x:f>
        <x:v>49157</x:v>
      </x:c>
      <x:c r="C92" s="141" t="n">
        <x:f>M91</x:f>
        <x:v>127238.09523809545</x:v>
      </x:c>
      <x:c r="D92" s="141" t="n">
        <x:f>IF(C92&gt;0,C92*Premissas!$B$17,0)</x:f>
        <x:v>0</x:v>
      </x:c>
      <x:c r="E92" s="141" t="n">
        <x:f>C92+D92</x:f>
        <x:v>127238.09523809545</x:v>
      </x:c>
      <x:c r="F92" s="142" t="n">
        <x:f>MAX(0,Premissas!$B$13-A92+1)</x:f>
        <x:v>334</x:v>
      </x:c>
      <x:c r="G92" s="141" t="n">
        <x:f>IF(AND(E92&gt;0,F92&gt;0),IF(Premissas!$B$19="PRICE",MAX(0,MIN(E92,IF(Premissas!$B$15=0,E92/F92,E92*Premissas!$B$15/(1-(1+Premissas!$B$15)^(-F92)))-H92)),MIN(E92,E92/F92)),0)</x:f>
        <x:v>380.9523809523816</x:v>
      </x:c>
      <x:c r="H92" s="141" t="n">
        <x:f>IF(AND(E92&gt;0,F92&gt;0),E92*Premissas!$B$15,0)</x:f>
        <x:v>1207.3359391050449</x:v>
      </x:c>
      <x:c r="I92" s="141" t="n">
        <x:f>IF(AND(E92&gt;0,F92&gt;0),Premissas!$B$18,0)</x:f>
        <x:v>150</x:v>
      </x:c>
      <x:c r="J92" s="141" t="n">
        <x:f>IF(AND(E92&gt;0,F92&gt;0),IF(Premissas!$B$19="PRICE",IF(Premissas!$B$15=0,E92/F92,E92*Premissas!$B$15/(1-(1+Premissas!$B$15)^(-F92)))+I92,G92+H92+I92),0)</x:f>
        <x:v>1738.2883200574265</x:v>
      </x:c>
      <x:c r="K92" s="141" t="n">
        <x:f>H92+I92</x:f>
        <x:v>1357.3359391050449</x:v>
      </x:c>
      <x:c r="L92" s="141" t="n">
        <x:f>SUM($J$6:J92)</x:f>
        <x:v>164753.9693186247</x:v>
      </x:c>
      <x:c r="M92" s="141" t="n">
        <x:f>MAX(0,E92-G92)</x:f>
        <x:v>126857.14285714307</x:v>
      </x:c>
    </x:row>
    <x:row r="93">
      <x:c r="A93" s="142" t="n">
        <x:v>88</x:v>
      </x:c>
      <x:c r="B93" s="179" t="n">
        <x:f>EDATE(Premissas!$B$4,87)</x:f>
        <x:v>49188</x:v>
      </x:c>
      <x:c r="C93" s="141" t="n">
        <x:f>M92</x:f>
        <x:v>126857.14285714307</x:v>
      </x:c>
      <x:c r="D93" s="141" t="n">
        <x:f>IF(C93&gt;0,C93*Premissas!$B$17,0)</x:f>
        <x:v>0</x:v>
      </x:c>
      <x:c r="E93" s="141" t="n">
        <x:f>C93+D93</x:f>
        <x:v>126857.14285714307</x:v>
      </x:c>
      <x:c r="F93" s="142" t="n">
        <x:f>MAX(0,Premissas!$B$13-A93+1)</x:f>
        <x:v>333</x:v>
      </x:c>
      <x:c r="G93" s="141" t="n">
        <x:f>IF(AND(E93&gt;0,F93&gt;0),IF(Premissas!$B$19="PRICE",MAX(0,MIN(E93,IF(Premissas!$B$15=0,E93/F93,E93*Premissas!$B$15/(1-(1+Premissas!$B$15)^(-F93)))-H93)),MIN(E93,E93/F93)),0)</x:f>
        <x:v>380.9523809523816</x:v>
      </x:c>
      <x:c r="H93" s="141" t="n">
        <x:f>IF(AND(E93&gt;0,F93&gt;0),E93*Premissas!$B$15,0)</x:f>
        <x:v>1203.7211608442512</x:v>
      </x:c>
      <x:c r="I93" s="141" t="n">
        <x:f>IF(AND(E93&gt;0,F93&gt;0),Premissas!$B$18,0)</x:f>
        <x:v>150</x:v>
      </x:c>
      <x:c r="J93" s="141" t="n">
        <x:f>IF(AND(E93&gt;0,F93&gt;0),IF(Premissas!$B$19="PRICE",IF(Premissas!$B$15=0,E93/F93,E93*Premissas!$B$15/(1-(1+Premissas!$B$15)^(-F93)))+I93,G93+H93+I93),0)</x:f>
        <x:v>1734.673541796633</x:v>
      </x:c>
      <x:c r="K93" s="141" t="n">
        <x:f>H93+I93</x:f>
        <x:v>1353.7211608442512</x:v>
      </x:c>
      <x:c r="L93" s="141" t="n">
        <x:f>SUM($J$6:J93)</x:f>
        <x:v>166488.64286042133</x:v>
      </x:c>
      <x:c r="M93" s="141" t="n">
        <x:f>MAX(0,E93-G93)</x:f>
        <x:v>126476.19047619069</x:v>
      </x:c>
    </x:row>
    <x:row r="94">
      <x:c r="A94" s="142" t="n">
        <x:v>89</x:v>
      </x:c>
      <x:c r="B94" s="179" t="n">
        <x:f>EDATE(Premissas!$B$4,88)</x:f>
        <x:v>49218</x:v>
      </x:c>
      <x:c r="C94" s="141" t="n">
        <x:f>M93</x:f>
        <x:v>126476.19047619069</x:v>
      </x:c>
      <x:c r="D94" s="141" t="n">
        <x:f>IF(C94&gt;0,C94*Premissas!$B$17,0)</x:f>
        <x:v>0</x:v>
      </x:c>
      <x:c r="E94" s="141" t="n">
        <x:f>C94+D94</x:f>
        <x:v>126476.19047619069</x:v>
      </x:c>
      <x:c r="F94" s="142" t="n">
        <x:f>MAX(0,Premissas!$B$13-A94+1)</x:f>
        <x:v>332</x:v>
      </x:c>
      <x:c r="G94" s="141" t="n">
        <x:f>IF(AND(E94&gt;0,F94&gt;0),IF(Premissas!$B$19="PRICE",MAX(0,MIN(E94,IF(Premissas!$B$15=0,E94/F94,E94*Premissas!$B$15/(1-(1+Premissas!$B$15)^(-F94)))-H94)),MIN(E94,E94/F94)),0)</x:f>
        <x:v>380.9523809523816</x:v>
      </x:c>
      <x:c r="H94" s="141" t="n">
        <x:f>IF(AND(E94&gt;0,F94&gt;0),E94*Premissas!$B$15,0)</x:f>
        <x:v>1200.1063825834578</x:v>
      </x:c>
      <x:c r="I94" s="141" t="n">
        <x:f>IF(AND(E94&gt;0,F94&gt;0),Premissas!$B$18,0)</x:f>
        <x:v>150</x:v>
      </x:c>
      <x:c r="J94" s="141" t="n">
        <x:f>IF(AND(E94&gt;0,F94&gt;0),IF(Premissas!$B$19="PRICE",IF(Premissas!$B$15=0,E94/F94,E94*Premissas!$B$15/(1-(1+Premissas!$B$15)^(-F94)))+I94,G94+H94+I94),0)</x:f>
        <x:v>1731.0587635358395</x:v>
      </x:c>
      <x:c r="K94" s="141" t="n">
        <x:f>H94+I94</x:f>
        <x:v>1350.1063825834578</x:v>
      </x:c>
      <x:c r="L94" s="141" t="n">
        <x:f>SUM($J$6:J94)</x:f>
        <x:v>168219.70162395717</x:v>
      </x:c>
      <x:c r="M94" s="141" t="n">
        <x:f>MAX(0,E94-G94)</x:f>
        <x:v>126095.23809523831</x:v>
      </x:c>
    </x:row>
    <x:row r="95">
      <x:c r="A95" s="142" t="n">
        <x:v>90</x:v>
      </x:c>
      <x:c r="B95" s="179" t="n">
        <x:f>EDATE(Premissas!$B$4,89)</x:f>
        <x:v>49249</x:v>
      </x:c>
      <x:c r="C95" s="141" t="n">
        <x:f>M94</x:f>
        <x:v>126095.23809523831</x:v>
      </x:c>
      <x:c r="D95" s="141" t="n">
        <x:f>IF(C95&gt;0,C95*Premissas!$B$17,0)</x:f>
        <x:v>0</x:v>
      </x:c>
      <x:c r="E95" s="141" t="n">
        <x:f>C95+D95</x:f>
        <x:v>126095.23809523831</x:v>
      </x:c>
      <x:c r="F95" s="142" t="n">
        <x:f>MAX(0,Premissas!$B$13-A95+1)</x:f>
        <x:v>331</x:v>
      </x:c>
      <x:c r="G95" s="141" t="n">
        <x:f>IF(AND(E95&gt;0,F95&gt;0),IF(Premissas!$B$19="PRICE",MAX(0,MIN(E95,IF(Premissas!$B$15=0,E95/F95,E95*Premissas!$B$15/(1-(1+Premissas!$B$15)^(-F95)))-H95)),MIN(E95,E95/F95)),0)</x:f>
        <x:v>380.9523809523816</x:v>
      </x:c>
      <x:c r="H95" s="141" t="n">
        <x:f>IF(AND(E95&gt;0,F95&gt;0),E95*Premissas!$B$15,0)</x:f>
        <x:v>1196.4916043226642</x:v>
      </x:c>
      <x:c r="I95" s="141" t="n">
        <x:f>IF(AND(E95&gt;0,F95&gt;0),Premissas!$B$18,0)</x:f>
        <x:v>150</x:v>
      </x:c>
      <x:c r="J95" s="141" t="n">
        <x:f>IF(AND(E95&gt;0,F95&gt;0),IF(Premissas!$B$19="PRICE",IF(Premissas!$B$15=0,E95/F95,E95*Premissas!$B$15/(1-(1+Premissas!$B$15)^(-F95)))+I95,G95+H95+I95),0)</x:f>
        <x:v>1727.4439852750459</x:v>
      </x:c>
      <x:c r="K95" s="141" t="n">
        <x:f>H95+I95</x:f>
        <x:v>1346.4916043226642</x:v>
      </x:c>
      <x:c r="L95" s="141" t="n">
        <x:f>SUM($J$6:J95)</x:f>
        <x:v>169947.14560923222</x:v>
      </x:c>
      <x:c r="M95" s="141" t="n">
        <x:f>MAX(0,E95-G95)</x:f>
        <x:v>125714.28571428593</x:v>
      </x:c>
    </x:row>
    <x:row r="96">
      <x:c r="A96" s="142" t="n">
        <x:v>91</x:v>
      </x:c>
      <x:c r="B96" s="179" t="n">
        <x:f>EDATE(Premissas!$B$4,90)</x:f>
        <x:v>49279</x:v>
      </x:c>
      <x:c r="C96" s="141" t="n">
        <x:f>M95</x:f>
        <x:v>125714.28571428593</x:v>
      </x:c>
      <x:c r="D96" s="141" t="n">
        <x:f>IF(C96&gt;0,C96*Premissas!$B$17,0)</x:f>
        <x:v>0</x:v>
      </x:c>
      <x:c r="E96" s="141" t="n">
        <x:f>C96+D96</x:f>
        <x:v>125714.28571428593</x:v>
      </x:c>
      <x:c r="F96" s="142" t="n">
        <x:f>MAX(0,Premissas!$B$13-A96+1)</x:f>
        <x:v>330</x:v>
      </x:c>
      <x:c r="G96" s="141" t="n">
        <x:f>IF(AND(E96&gt;0,F96&gt;0),IF(Premissas!$B$19="PRICE",MAX(0,MIN(E96,IF(Premissas!$B$15=0,E96/F96,E96*Premissas!$B$15/(1-(1+Premissas!$B$15)^(-F96)))-H96)),MIN(E96,E96/F96)),0)</x:f>
        <x:v>380.9523809523816</x:v>
      </x:c>
      <x:c r="H96" s="141" t="n">
        <x:f>IF(AND(E96&gt;0,F96&gt;0),E96*Premissas!$B$15,0)</x:f>
        <x:v>1192.8768260618706</x:v>
      </x:c>
      <x:c r="I96" s="141" t="n">
        <x:f>IF(AND(E96&gt;0,F96&gt;0),Premissas!$B$18,0)</x:f>
        <x:v>150</x:v>
      </x:c>
      <x:c r="J96" s="141" t="n">
        <x:f>IF(AND(E96&gt;0,F96&gt;0),IF(Premissas!$B$19="PRICE",IF(Premissas!$B$15=0,E96/F96,E96*Premissas!$B$15/(1-(1+Premissas!$B$15)^(-F96)))+I96,G96+H96+I96),0)</x:f>
        <x:v>1723.8292070142522</x:v>
      </x:c>
      <x:c r="K96" s="141" t="n">
        <x:f>H96+I96</x:f>
        <x:v>1342.8768260618706</x:v>
      </x:c>
      <x:c r="L96" s="141" t="n">
        <x:f>SUM($J$6:J96)</x:f>
        <x:v>171670.97481624648</x:v>
      </x:c>
      <x:c r="M96" s="141" t="n">
        <x:f>MAX(0,E96-G96)</x:f>
        <x:v>125333.33333333355</x:v>
      </x:c>
    </x:row>
    <x:row r="97">
      <x:c r="A97" s="142" t="n">
        <x:v>92</x:v>
      </x:c>
      <x:c r="B97" s="179" t="n">
        <x:f>EDATE(Premissas!$B$4,91)</x:f>
        <x:v>49310</x:v>
      </x:c>
      <x:c r="C97" s="141" t="n">
        <x:f>M96</x:f>
        <x:v>125333.33333333355</x:v>
      </x:c>
      <x:c r="D97" s="141" t="n">
        <x:f>IF(C97&gt;0,C97*Premissas!$B$17,0)</x:f>
        <x:v>0</x:v>
      </x:c>
      <x:c r="E97" s="141" t="n">
        <x:f>C97+D97</x:f>
        <x:v>125333.33333333355</x:v>
      </x:c>
      <x:c r="F97" s="142" t="n">
        <x:f>MAX(0,Premissas!$B$13-A97+1)</x:f>
        <x:v>329</x:v>
      </x:c>
      <x:c r="G97" s="141" t="n">
        <x:f>IF(AND(E97&gt;0,F97&gt;0),IF(Premissas!$B$19="PRICE",MAX(0,MIN(E97,IF(Premissas!$B$15=0,E97/F97,E97*Premissas!$B$15/(1-(1+Premissas!$B$15)^(-F97)))-H97)),MIN(E97,E97/F97)),0)</x:f>
        <x:v>380.9523809523816</x:v>
      </x:c>
      <x:c r="H97" s="141" t="n">
        <x:f>IF(AND(E97&gt;0,F97&gt;0),E97*Premissas!$B$15,0)</x:f>
        <x:v>1189.2620478010772</x:v>
      </x:c>
      <x:c r="I97" s="141" t="n">
        <x:f>IF(AND(E97&gt;0,F97&gt;0),Premissas!$B$18,0)</x:f>
        <x:v>150</x:v>
      </x:c>
      <x:c r="J97" s="141" t="n">
        <x:f>IF(AND(E97&gt;0,F97&gt;0),IF(Premissas!$B$19="PRICE",IF(Premissas!$B$15=0,E97/F97,E97*Premissas!$B$15/(1-(1+Premissas!$B$15)^(-F97)))+I97,G97+H97+I97),0)</x:f>
        <x:v>1720.2144287534588</x:v>
      </x:c>
      <x:c r="K97" s="141" t="n">
        <x:f>H97+I97</x:f>
        <x:v>1339.2620478010772</x:v>
      </x:c>
      <x:c r="L97" s="141" t="n">
        <x:f>SUM($J$6:J97)</x:f>
        <x:v>173391.18924499993</x:v>
      </x:c>
      <x:c r="M97" s="141" t="n">
        <x:f>MAX(0,E97-G97)</x:f>
        <x:v>124952.38095238117</x:v>
      </x:c>
    </x:row>
    <x:row r="98">
      <x:c r="A98" s="142" t="n">
        <x:v>93</x:v>
      </x:c>
      <x:c r="B98" s="179" t="n">
        <x:f>EDATE(Premissas!$B$4,92)</x:f>
        <x:v>49341</x:v>
      </x:c>
      <x:c r="C98" s="141" t="n">
        <x:f>M97</x:f>
        <x:v>124952.38095238117</x:v>
      </x:c>
      <x:c r="D98" s="141" t="n">
        <x:f>IF(C98&gt;0,C98*Premissas!$B$17,0)</x:f>
        <x:v>0</x:v>
      </x:c>
      <x:c r="E98" s="141" t="n">
        <x:f>C98+D98</x:f>
        <x:v>124952.38095238117</x:v>
      </x:c>
      <x:c r="F98" s="142" t="n">
        <x:f>MAX(0,Premissas!$B$13-A98+1)</x:f>
        <x:v>328</x:v>
      </x:c>
      <x:c r="G98" s="141" t="n">
        <x:f>IF(AND(E98&gt;0,F98&gt;0),IF(Premissas!$B$19="PRICE",MAX(0,MIN(E98,IF(Premissas!$B$15=0,E98/F98,E98*Premissas!$B$15/(1-(1+Premissas!$B$15)^(-F98)))-H98)),MIN(E98,E98/F98)),0)</x:f>
        <x:v>380.9523809523816</x:v>
      </x:c>
      <x:c r="H98" s="141" t="n">
        <x:f>IF(AND(E98&gt;0,F98&gt;0),E98*Premissas!$B$15,0)</x:f>
        <x:v>1185.6472695402836</x:v>
      </x:c>
      <x:c r="I98" s="141" t="n">
        <x:f>IF(AND(E98&gt;0,F98&gt;0),Premissas!$B$18,0)</x:f>
        <x:v>150</x:v>
      </x:c>
      <x:c r="J98" s="141" t="n">
        <x:f>IF(AND(E98&gt;0,F98&gt;0),IF(Premissas!$B$19="PRICE",IF(Premissas!$B$15=0,E98/F98,E98*Premissas!$B$15/(1-(1+Premissas!$B$15)^(-F98)))+I98,G98+H98+I98),0)</x:f>
        <x:v>1716.5996504926652</x:v>
      </x:c>
      <x:c r="K98" s="141" t="n">
        <x:f>H98+I98</x:f>
        <x:v>1335.6472695402836</x:v>
      </x:c>
      <x:c r="L98" s="141" t="n">
        <x:f>SUM($J$6:J98)</x:f>
        <x:v>175107.7888954926</x:v>
      </x:c>
      <x:c r="M98" s="141" t="n">
        <x:f>MAX(0,E98-G98)</x:f>
        <x:v>124571.42857142878</x:v>
      </x:c>
    </x:row>
    <x:row r="99">
      <x:c r="A99" s="142" t="n">
        <x:v>94</x:v>
      </x:c>
      <x:c r="B99" s="179" t="n">
        <x:f>EDATE(Premissas!$B$4,93)</x:f>
        <x:v>49369</x:v>
      </x:c>
      <x:c r="C99" s="141" t="n">
        <x:f>M98</x:f>
        <x:v>124571.42857142878</x:v>
      </x:c>
      <x:c r="D99" s="141" t="n">
        <x:f>IF(C99&gt;0,C99*Premissas!$B$17,0)</x:f>
        <x:v>0</x:v>
      </x:c>
      <x:c r="E99" s="141" t="n">
        <x:f>C99+D99</x:f>
        <x:v>124571.42857142878</x:v>
      </x:c>
      <x:c r="F99" s="142" t="n">
        <x:f>MAX(0,Premissas!$B$13-A99+1)</x:f>
        <x:v>327</x:v>
      </x:c>
      <x:c r="G99" s="141" t="n">
        <x:f>IF(AND(E99&gt;0,F99&gt;0),IF(Premissas!$B$19="PRICE",MAX(0,MIN(E99,IF(Premissas!$B$15=0,E99/F99,E99*Premissas!$B$15/(1-(1+Premissas!$B$15)^(-F99)))-H99)),MIN(E99,E99/F99)),0)</x:f>
        <x:v>380.9523809523816</x:v>
      </x:c>
      <x:c r="H99" s="141" t="n">
        <x:f>IF(AND(E99&gt;0,F99&gt;0),E99*Premissas!$B$15,0)</x:f>
        <x:v>1182.03249127949</x:v>
      </x:c>
      <x:c r="I99" s="141" t="n">
        <x:f>IF(AND(E99&gt;0,F99&gt;0),Premissas!$B$18,0)</x:f>
        <x:v>150</x:v>
      </x:c>
      <x:c r="J99" s="141" t="n">
        <x:f>IF(AND(E99&gt;0,F99&gt;0),IF(Premissas!$B$19="PRICE",IF(Premissas!$B$15=0,E99/F99,E99*Premissas!$B$15/(1-(1+Premissas!$B$15)^(-F99)))+I99,G99+H99+I99),0)</x:f>
        <x:v>1712.9848722318716</x:v>
      </x:c>
      <x:c r="K99" s="141" t="n">
        <x:f>H99+I99</x:f>
        <x:v>1332.03249127949</x:v>
      </x:c>
      <x:c r="L99" s="141" t="n">
        <x:f>SUM($J$6:J99)</x:f>
        <x:v>176820.77376772446</x:v>
      </x:c>
      <x:c r="M99" s="141" t="n">
        <x:f>MAX(0,E99-G99)</x:f>
        <x:v>124190.4761904764</x:v>
      </x:c>
    </x:row>
    <x:row r="100">
      <x:c r="A100" s="142" t="n">
        <x:v>95</x:v>
      </x:c>
      <x:c r="B100" s="179" t="n">
        <x:f>EDATE(Premissas!$B$4,94)</x:f>
        <x:v>49400</x:v>
      </x:c>
      <x:c r="C100" s="141" t="n">
        <x:f>M99</x:f>
        <x:v>124190.4761904764</x:v>
      </x:c>
      <x:c r="D100" s="141" t="n">
        <x:f>IF(C100&gt;0,C100*Premissas!$B$17,0)</x:f>
        <x:v>0</x:v>
      </x:c>
      <x:c r="E100" s="141" t="n">
        <x:f>C100+D100</x:f>
        <x:v>124190.4761904764</x:v>
      </x:c>
      <x:c r="F100" s="142" t="n">
        <x:f>MAX(0,Premissas!$B$13-A100+1)</x:f>
        <x:v>326</x:v>
      </x:c>
      <x:c r="G100" s="141" t="n">
        <x:f>IF(AND(E100&gt;0,F100&gt;0),IF(Premissas!$B$19="PRICE",MAX(0,MIN(E100,IF(Premissas!$B$15=0,E100/F100,E100*Premissas!$B$15/(1-(1+Premissas!$B$15)^(-F100)))-H100)),MIN(E100,E100/F100)),0)</x:f>
        <x:v>380.9523809523816</x:v>
      </x:c>
      <x:c r="H100" s="141" t="n">
        <x:f>IF(AND(E100&gt;0,F100&gt;0),E100*Premissas!$B$15,0)</x:f>
        <x:v>1178.4177130186965</x:v>
      </x:c>
      <x:c r="I100" s="141" t="n">
        <x:f>IF(AND(E100&gt;0,F100&gt;0),Premissas!$B$18,0)</x:f>
        <x:v>150</x:v>
      </x:c>
      <x:c r="J100" s="141" t="n">
        <x:f>IF(AND(E100&gt;0,F100&gt;0),IF(Premissas!$B$19="PRICE",IF(Premissas!$B$15=0,E100/F100,E100*Premissas!$B$15/(1-(1+Premissas!$B$15)^(-F100)))+I100,G100+H100+I100),0)</x:f>
        <x:v>1709.3700939710782</x:v>
      </x:c>
      <x:c r="K100" s="141" t="n">
        <x:f>H100+I100</x:f>
        <x:v>1328.4177130186965</x:v>
      </x:c>
      <x:c r="L100" s="141" t="n">
        <x:f>SUM($J$6:J100)</x:f>
        <x:v>178530.14386169554</x:v>
      </x:c>
      <x:c r="M100" s="141" t="n">
        <x:f>MAX(0,E100-G100)</x:f>
        <x:v>123809.52380952402</x:v>
      </x:c>
    </x:row>
    <x:row r="101">
      <x:c r="A101" s="142" t="n">
        <x:v>96</x:v>
      </x:c>
      <x:c r="B101" s="179" t="n">
        <x:f>EDATE(Premissas!$B$4,95)</x:f>
        <x:v>49430</x:v>
      </x:c>
      <x:c r="C101" s="141" t="n">
        <x:f>M100</x:f>
        <x:v>123809.52380952402</x:v>
      </x:c>
      <x:c r="D101" s="141" t="n">
        <x:f>IF(C101&gt;0,C101*Premissas!$B$17,0)</x:f>
        <x:v>0</x:v>
      </x:c>
      <x:c r="E101" s="141" t="n">
        <x:f>C101+D101</x:f>
        <x:v>123809.52380952402</x:v>
      </x:c>
      <x:c r="F101" s="142" t="n">
        <x:f>MAX(0,Premissas!$B$13-A101+1)</x:f>
        <x:v>325</x:v>
      </x:c>
      <x:c r="G101" s="141" t="n">
        <x:f>IF(AND(E101&gt;0,F101&gt;0),IF(Premissas!$B$19="PRICE",MAX(0,MIN(E101,IF(Premissas!$B$15=0,E101/F101,E101*Premissas!$B$15/(1-(1+Premissas!$B$15)^(-F101)))-H101)),MIN(E101,E101/F101)),0)</x:f>
        <x:v>380.9523809523816</x:v>
      </x:c>
      <x:c r="H101" s="141" t="n">
        <x:f>IF(AND(E101&gt;0,F101&gt;0),E101*Premissas!$B$15,0)</x:f>
        <x:v>1174.802934757903</x:v>
      </x:c>
      <x:c r="I101" s="141" t="n">
        <x:f>IF(AND(E101&gt;0,F101&gt;0),Premissas!$B$18,0)</x:f>
        <x:v>150</x:v>
      </x:c>
      <x:c r="J101" s="141" t="n">
        <x:f>IF(AND(E101&gt;0,F101&gt;0),IF(Premissas!$B$19="PRICE",IF(Premissas!$B$15=0,E101/F101,E101*Premissas!$B$15/(1-(1+Premissas!$B$15)^(-F101)))+I101,G101+H101+I101),0)</x:f>
        <x:v>1705.7553157102845</x:v>
      </x:c>
      <x:c r="K101" s="141" t="n">
        <x:f>H101+I101</x:f>
        <x:v>1324.802934757903</x:v>
      </x:c>
      <x:c r="L101" s="141" t="n">
        <x:f>SUM($J$6:J101)</x:f>
        <x:v>180235.89917740584</x:v>
      </x:c>
      <x:c r="M101" s="141" t="n">
        <x:f>MAX(0,E101-G101)</x:f>
        <x:v>123428.57142857164</x:v>
      </x:c>
    </x:row>
    <x:row r="102">
      <x:c r="A102" s="142" t="n">
        <x:v>97</x:v>
      </x:c>
      <x:c r="B102" s="179" t="n">
        <x:f>EDATE(Premissas!$B$4,96)</x:f>
        <x:v>49461</x:v>
      </x:c>
      <x:c r="C102" s="141" t="n">
        <x:f>M101</x:f>
        <x:v>123428.57142857164</x:v>
      </x:c>
      <x:c r="D102" s="141" t="n">
        <x:f>IF(C102&gt;0,C102*Premissas!$B$17,0)</x:f>
        <x:v>0</x:v>
      </x:c>
      <x:c r="E102" s="141" t="n">
        <x:f>C102+D102</x:f>
        <x:v>123428.57142857164</x:v>
      </x:c>
      <x:c r="F102" s="142" t="n">
        <x:f>MAX(0,Premissas!$B$13-A102+1)</x:f>
        <x:v>324</x:v>
      </x:c>
      <x:c r="G102" s="141" t="n">
        <x:f>IF(AND(E102&gt;0,F102&gt;0),IF(Premissas!$B$19="PRICE",MAX(0,MIN(E102,IF(Premissas!$B$15=0,E102/F102,E102*Premissas!$B$15/(1-(1+Premissas!$B$15)^(-F102)))-H102)),MIN(E102,E102/F102)),0)</x:f>
        <x:v>380.9523809523816</x:v>
      </x:c>
      <x:c r="H102" s="141" t="n">
        <x:f>IF(AND(E102&gt;0,F102&gt;0),E102*Premissas!$B$15,0)</x:f>
        <x:v>1171.1881564971093</x:v>
      </x:c>
      <x:c r="I102" s="141" t="n">
        <x:f>IF(AND(E102&gt;0,F102&gt;0),Premissas!$B$18,0)</x:f>
        <x:v>150</x:v>
      </x:c>
      <x:c r="J102" s="141" t="n">
        <x:f>IF(AND(E102&gt;0,F102&gt;0),IF(Premissas!$B$19="PRICE",IF(Premissas!$B$15=0,E102/F102,E102*Premissas!$B$15/(1-(1+Premissas!$B$15)^(-F102)))+I102,G102+H102+I102),0)</x:f>
        <x:v>1702.140537449491</x:v>
      </x:c>
      <x:c r="K102" s="141" t="n">
        <x:f>H102+I102</x:f>
        <x:v>1321.1881564971093</x:v>
      </x:c>
      <x:c r="L102" s="141" t="n">
        <x:f>SUM($J$6:J102)</x:f>
        <x:v>181938.03971485532</x:v>
      </x:c>
      <x:c r="M102" s="141" t="n">
        <x:f>MAX(0,E102-G102)</x:f>
        <x:v>123047.61904761926</x:v>
      </x:c>
    </x:row>
    <x:row r="103">
      <x:c r="A103" s="142" t="n">
        <x:v>98</x:v>
      </x:c>
      <x:c r="B103" s="179" t="n">
        <x:f>EDATE(Premissas!$B$4,97)</x:f>
        <x:v>49491</x:v>
      </x:c>
      <x:c r="C103" s="141" t="n">
        <x:f>M102</x:f>
        <x:v>123047.61904761926</x:v>
      </x:c>
      <x:c r="D103" s="141" t="n">
        <x:f>IF(C103&gt;0,C103*Premissas!$B$17,0)</x:f>
        <x:v>0</x:v>
      </x:c>
      <x:c r="E103" s="141" t="n">
        <x:f>C103+D103</x:f>
        <x:v>123047.61904761926</x:v>
      </x:c>
      <x:c r="F103" s="142" t="n">
        <x:f>MAX(0,Premissas!$B$13-A103+1)</x:f>
        <x:v>323</x:v>
      </x:c>
      <x:c r="G103" s="141" t="n">
        <x:f>IF(AND(E103&gt;0,F103&gt;0),IF(Premissas!$B$19="PRICE",MAX(0,MIN(E103,IF(Premissas!$B$15=0,E103/F103,E103*Premissas!$B$15/(1-(1+Premissas!$B$15)^(-F103)))-H103)),MIN(E103,E103/F103)),0)</x:f>
        <x:v>380.9523809523816</x:v>
      </x:c>
      <x:c r="H103" s="141" t="n">
        <x:f>IF(AND(E103&gt;0,F103&gt;0),E103*Premissas!$B$15,0)</x:f>
        <x:v>1167.5733782363159</x:v>
      </x:c>
      <x:c r="I103" s="141" t="n">
        <x:f>IF(AND(E103&gt;0,F103&gt;0),Premissas!$B$18,0)</x:f>
        <x:v>150</x:v>
      </x:c>
      <x:c r="J103" s="141" t="n">
        <x:f>IF(AND(E103&gt;0,F103&gt;0),IF(Premissas!$B$19="PRICE",IF(Premissas!$B$15=0,E103/F103,E103*Premissas!$B$15/(1-(1+Premissas!$B$15)^(-F103)))+I103,G103+H103+I103),0)</x:f>
        <x:v>1698.5257591886975</x:v>
      </x:c>
      <x:c r="K103" s="141" t="n">
        <x:f>H103+I103</x:f>
        <x:v>1317.5733782363159</x:v>
      </x:c>
      <x:c r="L103" s="141" t="n">
        <x:f>SUM($J$6:J103)</x:f>
        <x:v>183636.565474044</x:v>
      </x:c>
      <x:c r="M103" s="141" t="n">
        <x:f>MAX(0,E103-G103)</x:f>
        <x:v>122666.66666666688</x:v>
      </x:c>
    </x:row>
    <x:row r="104">
      <x:c r="A104" s="142" t="n">
        <x:v>99</x:v>
      </x:c>
      <x:c r="B104" s="179" t="n">
        <x:f>EDATE(Premissas!$B$4,98)</x:f>
        <x:v>49522</x:v>
      </x:c>
      <x:c r="C104" s="141" t="n">
        <x:f>M103</x:f>
        <x:v>122666.66666666688</x:v>
      </x:c>
      <x:c r="D104" s="141" t="n">
        <x:f>IF(C104&gt;0,C104*Premissas!$B$17,0)</x:f>
        <x:v>0</x:v>
      </x:c>
      <x:c r="E104" s="141" t="n">
        <x:f>C104+D104</x:f>
        <x:v>122666.66666666688</x:v>
      </x:c>
      <x:c r="F104" s="142" t="n">
        <x:f>MAX(0,Premissas!$B$13-A104+1)</x:f>
        <x:v>322</x:v>
      </x:c>
      <x:c r="G104" s="141" t="n">
        <x:f>IF(AND(E104&gt;0,F104&gt;0),IF(Premissas!$B$19="PRICE",MAX(0,MIN(E104,IF(Premissas!$B$15=0,E104/F104,E104*Premissas!$B$15/(1-(1+Premissas!$B$15)^(-F104)))-H104)),MIN(E104,E104/F104)),0)</x:f>
        <x:v>380.9523809523816</x:v>
      </x:c>
      <x:c r="H104" s="141" t="n">
        <x:f>IF(AND(E104&gt;0,F104&gt;0),E104*Premissas!$B$15,0)</x:f>
        <x:v>1163.9585999755222</x:v>
      </x:c>
      <x:c r="I104" s="141" t="n">
        <x:f>IF(AND(E104&gt;0,F104&gt;0),Premissas!$B$18,0)</x:f>
        <x:v>150</x:v>
      </x:c>
      <x:c r="J104" s="141" t="n">
        <x:f>IF(AND(E104&gt;0,F104&gt;0),IF(Premissas!$B$19="PRICE",IF(Premissas!$B$15=0,E104/F104,E104*Premissas!$B$15/(1-(1+Premissas!$B$15)^(-F104)))+I104,G104+H104+I104),0)</x:f>
        <x:v>1694.910980927904</x:v>
      </x:c>
      <x:c r="K104" s="141" t="n">
        <x:f>H104+I104</x:f>
        <x:v>1313.9585999755222</x:v>
      </x:c>
      <x:c r="L104" s="141" t="n">
        <x:f>SUM($J$6:J104)</x:f>
        <x:v>185331.4764549719</x:v>
      </x:c>
      <x:c r="M104" s="141" t="n">
        <x:f>MAX(0,E104-G104)</x:f>
        <x:v>122285.7142857145</x:v>
      </x:c>
    </x:row>
    <x:row r="105">
      <x:c r="A105" s="142" t="n">
        <x:v>100</x:v>
      </x:c>
      <x:c r="B105" s="179" t="n">
        <x:f>EDATE(Premissas!$B$4,99)</x:f>
        <x:v>49553</x:v>
      </x:c>
      <x:c r="C105" s="141" t="n">
        <x:f>M104</x:f>
        <x:v>122285.7142857145</x:v>
      </x:c>
      <x:c r="D105" s="141" t="n">
        <x:f>IF(C105&gt;0,C105*Premissas!$B$17,0)</x:f>
        <x:v>0</x:v>
      </x:c>
      <x:c r="E105" s="141" t="n">
        <x:f>C105+D105</x:f>
        <x:v>122285.7142857145</x:v>
      </x:c>
      <x:c r="F105" s="142" t="n">
        <x:f>MAX(0,Premissas!$B$13-A105+1)</x:f>
        <x:v>321</x:v>
      </x:c>
      <x:c r="G105" s="141" t="n">
        <x:f>IF(AND(E105&gt;0,F105&gt;0),IF(Premissas!$B$19="PRICE",MAX(0,MIN(E105,IF(Premissas!$B$15=0,E105/F105,E105*Premissas!$B$15/(1-(1+Premissas!$B$15)^(-F105)))-H105)),MIN(E105,E105/F105)),0)</x:f>
        <x:v>380.9523809523816</x:v>
      </x:c>
      <x:c r="H105" s="141" t="n">
        <x:f>IF(AND(E105&gt;0,F105&gt;0),E105*Premissas!$B$15,0)</x:f>
        <x:v>1160.3438217147286</x:v>
      </x:c>
      <x:c r="I105" s="141" t="n">
        <x:f>IF(AND(E105&gt;0,F105&gt;0),Premissas!$B$18,0)</x:f>
        <x:v>150</x:v>
      </x:c>
      <x:c r="J105" s="141" t="n">
        <x:f>IF(AND(E105&gt;0,F105&gt;0),IF(Premissas!$B$19="PRICE",IF(Premissas!$B$15=0,E105/F105,E105*Premissas!$B$15/(1-(1+Premissas!$B$15)^(-F105)))+I105,G105+H105+I105),0)</x:f>
        <x:v>1691.2962026671103</x:v>
      </x:c>
      <x:c r="K105" s="141" t="n">
        <x:f>H105+I105</x:f>
        <x:v>1310.3438217147286</x:v>
      </x:c>
      <x:c r="L105" s="141" t="n">
        <x:f>SUM($J$6:J105)</x:f>
        <x:v>187022.77265763903</x:v>
      </x:c>
      <x:c r="M105" s="141" t="n">
        <x:f>MAX(0,E105-G105)</x:f>
        <x:v>121904.76190476211</x:v>
      </x:c>
    </x:row>
    <x:row r="106">
      <x:c r="A106" s="142" t="n">
        <x:v>101</x:v>
      </x:c>
      <x:c r="B106" s="179" t="n">
        <x:f>EDATE(Premissas!$B$4,100)</x:f>
        <x:v>49583</x:v>
      </x:c>
      <x:c r="C106" s="141" t="n">
        <x:f>M105</x:f>
        <x:v>121904.76190476211</x:v>
      </x:c>
      <x:c r="D106" s="141" t="n">
        <x:f>IF(C106&gt;0,C106*Premissas!$B$17,0)</x:f>
        <x:v>0</x:v>
      </x:c>
      <x:c r="E106" s="141" t="n">
        <x:f>C106+D106</x:f>
        <x:v>121904.76190476211</x:v>
      </x:c>
      <x:c r="F106" s="142" t="n">
        <x:f>MAX(0,Premissas!$B$13-A106+1)</x:f>
        <x:v>320</x:v>
      </x:c>
      <x:c r="G106" s="141" t="n">
        <x:f>IF(AND(E106&gt;0,F106&gt;0),IF(Premissas!$B$19="PRICE",MAX(0,MIN(E106,IF(Premissas!$B$15=0,E106/F106,E106*Premissas!$B$15/(1-(1+Premissas!$B$15)^(-F106)))-H106)),MIN(E106,E106/F106)),0)</x:f>
        <x:v>380.9523809523816</x:v>
      </x:c>
      <x:c r="H106" s="141" t="n">
        <x:f>IF(AND(E106&gt;0,F106&gt;0),E106*Premissas!$B$15,0)</x:f>
        <x:v>1156.7290434539352</x:v>
      </x:c>
      <x:c r="I106" s="141" t="n">
        <x:f>IF(AND(E106&gt;0,F106&gt;0),Premissas!$B$18,0)</x:f>
        <x:v>150</x:v>
      </x:c>
      <x:c r="J106" s="141" t="n">
        <x:f>IF(AND(E106&gt;0,F106&gt;0),IF(Premissas!$B$19="PRICE",IF(Premissas!$B$15=0,E106/F106,E106*Premissas!$B$15/(1-(1+Premissas!$B$15)^(-F106)))+I106,G106+H106+I106),0)</x:f>
        <x:v>1687.6814244063169</x:v>
      </x:c>
      <x:c r="K106" s="141" t="n">
        <x:f>H106+I106</x:f>
        <x:v>1306.7290434539352</x:v>
      </x:c>
      <x:c r="L106" s="141" t="n">
        <x:f>SUM($J$6:J106)</x:f>
        <x:v>188710.45408204535</x:v>
      </x:c>
      <x:c r="M106" s="141" t="n">
        <x:f>MAX(0,E106-G106)</x:f>
        <x:v>121523.80952380973</x:v>
      </x:c>
    </x:row>
    <x:row r="107">
      <x:c r="A107" s="142" t="n">
        <x:v>102</x:v>
      </x:c>
      <x:c r="B107" s="179" t="n">
        <x:f>EDATE(Premissas!$B$4,101)</x:f>
        <x:v>49614</x:v>
      </x:c>
      <x:c r="C107" s="141" t="n">
        <x:f>M106</x:f>
        <x:v>121523.80952380973</x:v>
      </x:c>
      <x:c r="D107" s="141" t="n">
        <x:f>IF(C107&gt;0,C107*Premissas!$B$17,0)</x:f>
        <x:v>0</x:v>
      </x:c>
      <x:c r="E107" s="141" t="n">
        <x:f>C107+D107</x:f>
        <x:v>121523.80952380973</x:v>
      </x:c>
      <x:c r="F107" s="142" t="n">
        <x:f>MAX(0,Premissas!$B$13-A107+1)</x:f>
        <x:v>319</x:v>
      </x:c>
      <x:c r="G107" s="141" t="n">
        <x:f>IF(AND(E107&gt;0,F107&gt;0),IF(Premissas!$B$19="PRICE",MAX(0,MIN(E107,IF(Premissas!$B$15=0,E107/F107,E107*Premissas!$B$15/(1-(1+Premissas!$B$15)^(-F107)))-H107)),MIN(E107,E107/F107)),0)</x:f>
        <x:v>380.9523809523816</x:v>
      </x:c>
      <x:c r="H107" s="141" t="n">
        <x:f>IF(AND(E107&gt;0,F107&gt;0),E107*Premissas!$B$15,0)</x:f>
        <x:v>1153.1142651931416</x:v>
      </x:c>
      <x:c r="I107" s="141" t="n">
        <x:f>IF(AND(E107&gt;0,F107&gt;0),Premissas!$B$18,0)</x:f>
        <x:v>150</x:v>
      </x:c>
      <x:c r="J107" s="141" t="n">
        <x:f>IF(AND(E107&gt;0,F107&gt;0),IF(Premissas!$B$19="PRICE",IF(Premissas!$B$15=0,E107/F107,E107*Premissas!$B$15/(1-(1+Premissas!$B$15)^(-F107)))+I107,G107+H107+I107),0)</x:f>
        <x:v>1684.0666461455232</x:v>
      </x:c>
      <x:c r="K107" s="141" t="n">
        <x:f>H107+I107</x:f>
        <x:v>1303.1142651931416</x:v>
      </x:c>
      <x:c r="L107" s="141" t="n">
        <x:f>SUM($J$6:J107)</x:f>
        <x:v>190394.52072819087</x:v>
      </x:c>
      <x:c r="M107" s="141" t="n">
        <x:f>MAX(0,E107-G107)</x:f>
        <x:v>121142.85714285735</x:v>
      </x:c>
    </x:row>
    <x:row r="108">
      <x:c r="A108" s="142" t="n">
        <x:v>103</x:v>
      </x:c>
      <x:c r="B108" s="179" t="n">
        <x:f>EDATE(Premissas!$B$4,102)</x:f>
        <x:v>49644</x:v>
      </x:c>
      <x:c r="C108" s="141" t="n">
        <x:f>M107</x:f>
        <x:v>121142.85714285735</x:v>
      </x:c>
      <x:c r="D108" s="141" t="n">
        <x:f>IF(C108&gt;0,C108*Premissas!$B$17,0)</x:f>
        <x:v>0</x:v>
      </x:c>
      <x:c r="E108" s="141" t="n">
        <x:f>C108+D108</x:f>
        <x:v>121142.85714285735</x:v>
      </x:c>
      <x:c r="F108" s="142" t="n">
        <x:f>MAX(0,Premissas!$B$13-A108+1)</x:f>
        <x:v>318</x:v>
      </x:c>
      <x:c r="G108" s="141" t="n">
        <x:f>IF(AND(E108&gt;0,F108&gt;0),IF(Premissas!$B$19="PRICE",MAX(0,MIN(E108,IF(Premissas!$B$15=0,E108/F108,E108*Premissas!$B$15/(1-(1+Premissas!$B$15)^(-F108)))-H108)),MIN(E108,E108/F108)),0)</x:f>
        <x:v>380.9523809523816</x:v>
      </x:c>
      <x:c r="H108" s="141" t="n">
        <x:f>IF(AND(E108&gt;0,F108&gt;0),E108*Premissas!$B$15,0)</x:f>
        <x:v>1149.499486932348</x:v>
      </x:c>
      <x:c r="I108" s="141" t="n">
        <x:f>IF(AND(E108&gt;0,F108&gt;0),Premissas!$B$18,0)</x:f>
        <x:v>150</x:v>
      </x:c>
      <x:c r="J108" s="141" t="n">
        <x:f>IF(AND(E108&gt;0,F108&gt;0),IF(Premissas!$B$19="PRICE",IF(Premissas!$B$15=0,E108/F108,E108*Premissas!$B$15/(1-(1+Premissas!$B$15)^(-F108)))+I108,G108+H108+I108),0)</x:f>
        <x:v>1680.4518678847296</x:v>
      </x:c>
      <x:c r="K108" s="141" t="n">
        <x:f>H108+I108</x:f>
        <x:v>1299.499486932348</x:v>
      </x:c>
      <x:c r="L108" s="141" t="n">
        <x:f>SUM($J$6:J108)</x:f>
        <x:v>192074.9725960756</x:v>
      </x:c>
      <x:c r="M108" s="141" t="n">
        <x:f>MAX(0,E108-G108)</x:f>
        <x:v>120761.90476190497</x:v>
      </x:c>
    </x:row>
    <x:row r="109">
      <x:c r="A109" s="142" t="n">
        <x:v>104</x:v>
      </x:c>
      <x:c r="B109" s="179" t="n">
        <x:f>EDATE(Premissas!$B$4,103)</x:f>
        <x:v>49675</x:v>
      </x:c>
      <x:c r="C109" s="141" t="n">
        <x:f>M108</x:f>
        <x:v>120761.90476190497</x:v>
      </x:c>
      <x:c r="D109" s="141" t="n">
        <x:f>IF(C109&gt;0,C109*Premissas!$B$17,0)</x:f>
        <x:v>0</x:v>
      </x:c>
      <x:c r="E109" s="141" t="n">
        <x:f>C109+D109</x:f>
        <x:v>120761.90476190497</x:v>
      </x:c>
      <x:c r="F109" s="142" t="n">
        <x:f>MAX(0,Premissas!$B$13-A109+1)</x:f>
        <x:v>317</x:v>
      </x:c>
      <x:c r="G109" s="141" t="n">
        <x:f>IF(AND(E109&gt;0,F109&gt;0),IF(Premissas!$B$19="PRICE",MAX(0,MIN(E109,IF(Premissas!$B$15=0,E109/F109,E109*Premissas!$B$15/(1-(1+Premissas!$B$15)^(-F109)))-H109)),MIN(E109,E109/F109)),0)</x:f>
        <x:v>380.9523809523816</x:v>
      </x:c>
      <x:c r="H109" s="141" t="n">
        <x:f>IF(AND(E109&gt;0,F109&gt;0),E109*Premissas!$B$15,0)</x:f>
        <x:v>1145.8847086715546</x:v>
      </x:c>
      <x:c r="I109" s="141" t="n">
        <x:f>IF(AND(E109&gt;0,F109&gt;0),Premissas!$B$18,0)</x:f>
        <x:v>150</x:v>
      </x:c>
      <x:c r="J109" s="141" t="n">
        <x:f>IF(AND(E109&gt;0,F109&gt;0),IF(Premissas!$B$19="PRICE",IF(Premissas!$B$15=0,E109/F109,E109*Premissas!$B$15/(1-(1+Premissas!$B$15)^(-F109)))+I109,G109+H109+I109),0)</x:f>
        <x:v>1676.8370896239362</x:v>
      </x:c>
      <x:c r="K109" s="141" t="n">
        <x:f>H109+I109</x:f>
        <x:v>1295.8847086715546</x:v>
      </x:c>
      <x:c r="L109" s="141" t="n">
        <x:f>SUM($J$6:J109)</x:f>
        <x:v>193751.80968569953</x:v>
      </x:c>
      <x:c r="M109" s="141" t="n">
        <x:f>MAX(0,E109-G109)</x:f>
        <x:v>120380.95238095259</x:v>
      </x:c>
    </x:row>
    <x:row r="110">
      <x:c r="A110" s="142" t="n">
        <x:v>105</x:v>
      </x:c>
      <x:c r="B110" s="179" t="n">
        <x:f>EDATE(Premissas!$B$4,104)</x:f>
        <x:v>49706</x:v>
      </x:c>
      <x:c r="C110" s="141" t="n">
        <x:f>M109</x:f>
        <x:v>120380.95238095259</x:v>
      </x:c>
      <x:c r="D110" s="141" t="n">
        <x:f>IF(C110&gt;0,C110*Premissas!$B$17,0)</x:f>
        <x:v>0</x:v>
      </x:c>
      <x:c r="E110" s="141" t="n">
        <x:f>C110+D110</x:f>
        <x:v>120380.95238095259</x:v>
      </x:c>
      <x:c r="F110" s="142" t="n">
        <x:f>MAX(0,Premissas!$B$13-A110+1)</x:f>
        <x:v>316</x:v>
      </x:c>
      <x:c r="G110" s="141" t="n">
        <x:f>IF(AND(E110&gt;0,F110&gt;0),IF(Premissas!$B$19="PRICE",MAX(0,MIN(E110,IF(Premissas!$B$15=0,E110/F110,E110*Premissas!$B$15/(1-(1+Premissas!$B$15)^(-F110)))-H110)),MIN(E110,E110/F110)),0)</x:f>
        <x:v>380.9523809523816</x:v>
      </x:c>
      <x:c r="H110" s="141" t="n">
        <x:f>IF(AND(E110&gt;0,F110&gt;0),E110*Premissas!$B$15,0)</x:f>
        <x:v>1142.269930410761</x:v>
      </x:c>
      <x:c r="I110" s="141" t="n">
        <x:f>IF(AND(E110&gt;0,F110&gt;0),Premissas!$B$18,0)</x:f>
        <x:v>150</x:v>
      </x:c>
      <x:c r="J110" s="141" t="n">
        <x:f>IF(AND(E110&gt;0,F110&gt;0),IF(Premissas!$B$19="PRICE",IF(Premissas!$B$15=0,E110/F110,E110*Premissas!$B$15/(1-(1+Premissas!$B$15)^(-F110)))+I110,G110+H110+I110),0)</x:f>
        <x:v>1673.2223113631426</x:v>
      </x:c>
      <x:c r="K110" s="141" t="n">
        <x:f>H110+I110</x:f>
        <x:v>1292.269930410761</x:v>
      </x:c>
      <x:c r="L110" s="141" t="n">
        <x:f>SUM($J$6:J110)</x:f>
        <x:v>195425.03199706267</x:v>
      </x:c>
      <x:c r="M110" s="141" t="n">
        <x:f>MAX(0,E110-G110)</x:f>
        <x:v>120000.0000000002</x:v>
      </x:c>
    </x:row>
    <x:row r="111">
      <x:c r="A111" s="142" t="n">
        <x:v>106</x:v>
      </x:c>
      <x:c r="B111" s="179" t="n">
        <x:f>EDATE(Premissas!$B$4,105)</x:f>
        <x:v>49735</x:v>
      </x:c>
      <x:c r="C111" s="141" t="n">
        <x:f>M110</x:f>
        <x:v>120000.0000000002</x:v>
      </x:c>
      <x:c r="D111" s="141" t="n">
        <x:f>IF(C111&gt;0,C111*Premissas!$B$17,0)</x:f>
        <x:v>0</x:v>
      </x:c>
      <x:c r="E111" s="141" t="n">
        <x:f>C111+D111</x:f>
        <x:v>120000.0000000002</x:v>
      </x:c>
      <x:c r="F111" s="142" t="n">
        <x:f>MAX(0,Premissas!$B$13-A111+1)</x:f>
        <x:v>315</x:v>
      </x:c>
      <x:c r="G111" s="141" t="n">
        <x:f>IF(AND(E111&gt;0,F111&gt;0),IF(Premissas!$B$19="PRICE",MAX(0,MIN(E111,IF(Premissas!$B$15=0,E111/F111,E111*Premissas!$B$15/(1-(1+Premissas!$B$15)^(-F111)))-H111)),MIN(E111,E111/F111)),0)</x:f>
        <x:v>380.9523809523816</x:v>
      </x:c>
      <x:c r="H111" s="141" t="n">
        <x:f>IF(AND(E111&gt;0,F111&gt;0),E111*Premissas!$B$15,0)</x:f>
        <x:v>1138.6551521499675</x:v>
      </x:c>
      <x:c r="I111" s="141" t="n">
        <x:f>IF(AND(E111&gt;0,F111&gt;0),Premissas!$B$18,0)</x:f>
        <x:v>150</x:v>
      </x:c>
      <x:c r="J111" s="141" t="n">
        <x:f>IF(AND(E111&gt;0,F111&gt;0),IF(Premissas!$B$19="PRICE",IF(Premissas!$B$15=0,E111/F111,E111*Premissas!$B$15/(1-(1+Premissas!$B$15)^(-F111)))+I111,G111+H111+I111),0)</x:f>
        <x:v>1669.6075331023492</x:v>
      </x:c>
      <x:c r="K111" s="141" t="n">
        <x:f>H111+I111</x:f>
        <x:v>1288.6551521499675</x:v>
      </x:c>
      <x:c r="L111" s="141" t="n">
        <x:f>SUM($J$6:J111)</x:f>
        <x:v>197094.63953016503</x:v>
      </x:c>
      <x:c r="M111" s="141" t="n">
        <x:f>MAX(0,E111-G111)</x:f>
        <x:v>119619.04761904782</x:v>
      </x:c>
    </x:row>
    <x:row r="112">
      <x:c r="A112" s="142" t="n">
        <x:v>107</x:v>
      </x:c>
      <x:c r="B112" s="179" t="n">
        <x:f>EDATE(Premissas!$B$4,106)</x:f>
        <x:v>49766</x:v>
      </x:c>
      <x:c r="C112" s="141" t="n">
        <x:f>M111</x:f>
        <x:v>119619.04761904782</x:v>
      </x:c>
      <x:c r="D112" s="141" t="n">
        <x:f>IF(C112&gt;0,C112*Premissas!$B$17,0)</x:f>
        <x:v>0</x:v>
      </x:c>
      <x:c r="E112" s="141" t="n">
        <x:f>C112+D112</x:f>
        <x:v>119619.04761904782</x:v>
      </x:c>
      <x:c r="F112" s="142" t="n">
        <x:f>MAX(0,Premissas!$B$13-A112+1)</x:f>
        <x:v>314</x:v>
      </x:c>
      <x:c r="G112" s="141" t="n">
        <x:f>IF(AND(E112&gt;0,F112&gt;0),IF(Premissas!$B$19="PRICE",MAX(0,MIN(E112,IF(Premissas!$B$15=0,E112/F112,E112*Premissas!$B$15/(1-(1+Premissas!$B$15)^(-F112)))-H112)),MIN(E112,E112/F112)),0)</x:f>
        <x:v>380.9523809523816</x:v>
      </x:c>
      <x:c r="H112" s="141" t="n">
        <x:f>IF(AND(E112&gt;0,F112&gt;0),E112*Premissas!$B$15,0)</x:f>
        <x:v>1135.040373889174</x:v>
      </x:c>
      <x:c r="I112" s="141" t="n">
        <x:f>IF(AND(E112&gt;0,F112&gt;0),Premissas!$B$18,0)</x:f>
        <x:v>150</x:v>
      </x:c>
      <x:c r="J112" s="141" t="n">
        <x:f>IF(AND(E112&gt;0,F112&gt;0),IF(Premissas!$B$19="PRICE",IF(Premissas!$B$15=0,E112/F112,E112*Premissas!$B$15/(1-(1+Premissas!$B$15)^(-F112)))+I112,G112+H112+I112),0)</x:f>
        <x:v>1665.9927548415556</x:v>
      </x:c>
      <x:c r="K112" s="141" t="n">
        <x:f>H112+I112</x:f>
        <x:v>1285.040373889174</x:v>
      </x:c>
      <x:c r="L112" s="141" t="n">
        <x:f>SUM($J$6:J112)</x:f>
        <x:v>198760.63228500658</x:v>
      </x:c>
      <x:c r="M112" s="141" t="n">
        <x:f>MAX(0,E112-G112)</x:f>
        <x:v>119238.09523809544</x:v>
      </x:c>
    </x:row>
    <x:row r="113">
      <x:c r="A113" s="142" t="n">
        <x:v>108</x:v>
      </x:c>
      <x:c r="B113" s="179" t="n">
        <x:f>EDATE(Premissas!$B$4,107)</x:f>
        <x:v>49796</x:v>
      </x:c>
      <x:c r="C113" s="141" t="n">
        <x:f>M112</x:f>
        <x:v>119238.09523809544</x:v>
      </x:c>
      <x:c r="D113" s="141" t="n">
        <x:f>IF(C113&gt;0,C113*Premissas!$B$17,0)</x:f>
        <x:v>0</x:v>
      </x:c>
      <x:c r="E113" s="141" t="n">
        <x:f>C113+D113</x:f>
        <x:v>119238.09523809544</x:v>
      </x:c>
      <x:c r="F113" s="142" t="n">
        <x:f>MAX(0,Premissas!$B$13-A113+1)</x:f>
        <x:v>313</x:v>
      </x:c>
      <x:c r="G113" s="141" t="n">
        <x:f>IF(AND(E113&gt;0,F113&gt;0),IF(Premissas!$B$19="PRICE",MAX(0,MIN(E113,IF(Premissas!$B$15=0,E113/F113,E113*Premissas!$B$15/(1-(1+Premissas!$B$15)^(-F113)))-H113)),MIN(E113,E113/F113)),0)</x:f>
        <x:v>380.9523809523816</x:v>
      </x:c>
      <x:c r="H113" s="141" t="n">
        <x:f>IF(AND(E113&gt;0,F113&gt;0),E113*Premissas!$B$15,0)</x:f>
        <x:v>1131.4255956283803</x:v>
      </x:c>
      <x:c r="I113" s="141" t="n">
        <x:f>IF(AND(E113&gt;0,F113&gt;0),Premissas!$B$18,0)</x:f>
        <x:v>150</x:v>
      </x:c>
      <x:c r="J113" s="141" t="n">
        <x:f>IF(AND(E113&gt;0,F113&gt;0),IF(Premissas!$B$19="PRICE",IF(Premissas!$B$15=0,E113/F113,E113*Premissas!$B$15/(1-(1+Premissas!$B$15)^(-F113)))+I113,G113+H113+I113),0)</x:f>
        <x:v>1662.377976580762</x:v>
      </x:c>
      <x:c r="K113" s="141" t="n">
        <x:f>H113+I113</x:f>
        <x:v>1281.4255956283803</x:v>
      </x:c>
      <x:c r="L113" s="141" t="n">
        <x:f>SUM($J$6:J113)</x:f>
        <x:v>200423.01026158733</x:v>
      </x:c>
      <x:c r="M113" s="141" t="n">
        <x:f>MAX(0,E113-G113)</x:f>
        <x:v>118857.14285714306</x:v>
      </x:c>
    </x:row>
    <x:row r="114">
      <x:c r="A114" s="142" t="n">
        <x:v>109</x:v>
      </x:c>
      <x:c r="B114" s="179" t="n">
        <x:f>EDATE(Premissas!$B$4,108)</x:f>
        <x:v>49827</x:v>
      </x:c>
      <x:c r="C114" s="141" t="n">
        <x:f>M113</x:f>
        <x:v>118857.14285714306</x:v>
      </x:c>
      <x:c r="D114" s="141" t="n">
        <x:f>IF(C114&gt;0,C114*Premissas!$B$17,0)</x:f>
        <x:v>0</x:v>
      </x:c>
      <x:c r="E114" s="141" t="n">
        <x:f>C114+D114</x:f>
        <x:v>118857.14285714306</x:v>
      </x:c>
      <x:c r="F114" s="142" t="n">
        <x:f>MAX(0,Premissas!$B$13-A114+1)</x:f>
        <x:v>312</x:v>
      </x:c>
      <x:c r="G114" s="141" t="n">
        <x:f>IF(AND(E114&gt;0,F114&gt;0),IF(Premissas!$B$19="PRICE",MAX(0,MIN(E114,IF(Premissas!$B$15=0,E114/F114,E114*Premissas!$B$15/(1-(1+Premissas!$B$15)^(-F114)))-H114)),MIN(E114,E114/F114)),0)</x:f>
        <x:v>380.9523809523816</x:v>
      </x:c>
      <x:c r="H114" s="141" t="n">
        <x:f>IF(AND(E114&gt;0,F114&gt;0),E114*Premissas!$B$15,0)</x:f>
        <x:v>1127.8108173675869</x:v>
      </x:c>
      <x:c r="I114" s="141" t="n">
        <x:f>IF(AND(E114&gt;0,F114&gt;0),Premissas!$B$18,0)</x:f>
        <x:v>150</x:v>
      </x:c>
      <x:c r="J114" s="141" t="n">
        <x:f>IF(AND(E114&gt;0,F114&gt;0),IF(Premissas!$B$19="PRICE",IF(Premissas!$B$15=0,E114/F114,E114*Premissas!$B$15/(1-(1+Premissas!$B$15)^(-F114)))+I114,G114+H114+I114),0)</x:f>
        <x:v>1658.7631983199685</x:v>
      </x:c>
      <x:c r="K114" s="141" t="n">
        <x:f>H114+I114</x:f>
        <x:v>1277.8108173675869</x:v>
      </x:c>
      <x:c r="L114" s="141" t="n">
        <x:f>SUM($J$6:J114)</x:f>
        <x:v>202081.7734599073</x:v>
      </x:c>
      <x:c r="M114" s="141" t="n">
        <x:f>MAX(0,E114-G114)</x:f>
        <x:v>118476.19047619068</x:v>
      </x:c>
    </x:row>
    <x:row r="115">
      <x:c r="A115" s="142" t="n">
        <x:v>110</x:v>
      </x:c>
      <x:c r="B115" s="179" t="n">
        <x:f>EDATE(Premissas!$B$4,109)</x:f>
        <x:v>49857</x:v>
      </x:c>
      <x:c r="C115" s="141" t="n">
        <x:f>M114</x:f>
        <x:v>118476.19047619068</x:v>
      </x:c>
      <x:c r="D115" s="141" t="n">
        <x:f>IF(C115&gt;0,C115*Premissas!$B$17,0)</x:f>
        <x:v>0</x:v>
      </x:c>
      <x:c r="E115" s="141" t="n">
        <x:f>C115+D115</x:f>
        <x:v>118476.19047619068</x:v>
      </x:c>
      <x:c r="F115" s="142" t="n">
        <x:f>MAX(0,Premissas!$B$13-A115+1)</x:f>
        <x:v>311</x:v>
      </x:c>
      <x:c r="G115" s="141" t="n">
        <x:f>IF(AND(E115&gt;0,F115&gt;0),IF(Premissas!$B$19="PRICE",MAX(0,MIN(E115,IF(Premissas!$B$15=0,E115/F115,E115*Premissas!$B$15/(1-(1+Premissas!$B$15)^(-F115)))-H115)),MIN(E115,E115/F115)),0)</x:f>
        <x:v>380.9523809523816</x:v>
      </x:c>
      <x:c r="H115" s="141" t="n">
        <x:f>IF(AND(E115&gt;0,F115&gt;0),E115*Premissas!$B$15,0)</x:f>
        <x:v>1124.1960391067933</x:v>
      </x:c>
      <x:c r="I115" s="141" t="n">
        <x:f>IF(AND(E115&gt;0,F115&gt;0),Premissas!$B$18,0)</x:f>
        <x:v>150</x:v>
      </x:c>
      <x:c r="J115" s="141" t="n">
        <x:f>IF(AND(E115&gt;0,F115&gt;0),IF(Premissas!$B$19="PRICE",IF(Premissas!$B$15=0,E115/F115,E115*Premissas!$B$15/(1-(1+Premissas!$B$15)^(-F115)))+I115,G115+H115+I115),0)</x:f>
        <x:v>1655.148420059175</x:v>
      </x:c>
      <x:c r="K115" s="141" t="n">
        <x:f>H115+I115</x:f>
        <x:v>1274.1960391067933</x:v>
      </x:c>
      <x:c r="L115" s="141" t="n">
        <x:f>SUM($J$6:J115)</x:f>
        <x:v>203736.92187996648</x:v>
      </x:c>
      <x:c r="M115" s="141" t="n">
        <x:f>MAX(0,E115-G115)</x:f>
        <x:v>118095.2380952383</x:v>
      </x:c>
    </x:row>
    <x:row r="116">
      <x:c r="A116" s="142" t="n">
        <x:v>111</x:v>
      </x:c>
      <x:c r="B116" s="179" t="n">
        <x:f>EDATE(Premissas!$B$4,110)</x:f>
        <x:v>49888</x:v>
      </x:c>
      <x:c r="C116" s="141" t="n">
        <x:f>M115</x:f>
        <x:v>118095.2380952383</x:v>
      </x:c>
      <x:c r="D116" s="141" t="n">
        <x:f>IF(C116&gt;0,C116*Premissas!$B$17,0)</x:f>
        <x:v>0</x:v>
      </x:c>
      <x:c r="E116" s="141" t="n">
        <x:f>C116+D116</x:f>
        <x:v>118095.2380952383</x:v>
      </x:c>
      <x:c r="F116" s="142" t="n">
        <x:f>MAX(0,Premissas!$B$13-A116+1)</x:f>
        <x:v>310</x:v>
      </x:c>
      <x:c r="G116" s="141" t="n">
        <x:f>IF(AND(E116&gt;0,F116&gt;0),IF(Premissas!$B$19="PRICE",MAX(0,MIN(E116,IF(Premissas!$B$15=0,E116/F116,E116*Premissas!$B$15/(1-(1+Premissas!$B$15)^(-F116)))-H116)),MIN(E116,E116/F116)),0)</x:f>
        <x:v>380.9523809523816</x:v>
      </x:c>
      <x:c r="H116" s="141" t="n">
        <x:f>IF(AND(E116&gt;0,F116&gt;0),E116*Premissas!$B$15,0)</x:f>
        <x:v>1120.5812608459996</x:v>
      </x:c>
      <x:c r="I116" s="141" t="n">
        <x:f>IF(AND(E116&gt;0,F116&gt;0),Premissas!$B$18,0)</x:f>
        <x:v>150</x:v>
      </x:c>
      <x:c r="J116" s="141" t="n">
        <x:f>IF(AND(E116&gt;0,F116&gt;0),IF(Premissas!$B$19="PRICE",IF(Premissas!$B$15=0,E116/F116,E116*Premissas!$B$15/(1-(1+Premissas!$B$15)^(-F116)))+I116,G116+H116+I116),0)</x:f>
        <x:v>1651.5336417983813</x:v>
      </x:c>
      <x:c r="K116" s="141" t="n">
        <x:f>H116+I116</x:f>
        <x:v>1270.5812608459996</x:v>
      </x:c>
      <x:c r="L116" s="141" t="n">
        <x:f>SUM($J$6:J116)</x:f>
        <x:v>205388.45552176487</x:v>
      </x:c>
      <x:c r="M116" s="141" t="n">
        <x:f>MAX(0,E116-G116)</x:f>
        <x:v>117714.28571428591</x:v>
      </x:c>
    </x:row>
    <x:row r="117">
      <x:c r="A117" s="142" t="n">
        <x:v>112</x:v>
      </x:c>
      <x:c r="B117" s="179" t="n">
        <x:f>EDATE(Premissas!$B$4,111)</x:f>
        <x:v>49919</x:v>
      </x:c>
      <x:c r="C117" s="141" t="n">
        <x:f>M116</x:f>
        <x:v>117714.28571428591</x:v>
      </x:c>
      <x:c r="D117" s="141" t="n">
        <x:f>IF(C117&gt;0,C117*Premissas!$B$17,0)</x:f>
        <x:v>0</x:v>
      </x:c>
      <x:c r="E117" s="141" t="n">
        <x:f>C117+D117</x:f>
        <x:v>117714.28571428591</x:v>
      </x:c>
      <x:c r="F117" s="142" t="n">
        <x:f>MAX(0,Premissas!$B$13-A117+1)</x:f>
        <x:v>309</x:v>
      </x:c>
      <x:c r="G117" s="141" t="n">
        <x:f>IF(AND(E117&gt;0,F117&gt;0),IF(Premissas!$B$19="PRICE",MAX(0,MIN(E117,IF(Premissas!$B$15=0,E117/F117,E117*Premissas!$B$15/(1-(1+Premissas!$B$15)^(-F117)))-H117)),MIN(E117,E117/F117)),0)</x:f>
        <x:v>380.9523809523816</x:v>
      </x:c>
      <x:c r="H117" s="141" t="n">
        <x:f>IF(AND(E117&gt;0,F117&gt;0),E117*Premissas!$B$15,0)</x:f>
        <x:v>1116.9664825852062</x:v>
      </x:c>
      <x:c r="I117" s="141" t="n">
        <x:f>IF(AND(E117&gt;0,F117&gt;0),Premissas!$B$18,0)</x:f>
        <x:v>150</x:v>
      </x:c>
      <x:c r="J117" s="141" t="n">
        <x:f>IF(AND(E117&gt;0,F117&gt;0),IF(Premissas!$B$19="PRICE",IF(Premissas!$B$15=0,E117/F117,E117*Premissas!$B$15/(1-(1+Premissas!$B$15)^(-F117)))+I117,G117+H117+I117),0)</x:f>
        <x:v>1647.9188635375879</x:v>
      </x:c>
      <x:c r="K117" s="141" t="n">
        <x:f>H117+I117</x:f>
        <x:v>1266.9664825852062</x:v>
      </x:c>
      <x:c r="L117" s="141" t="n">
        <x:f>SUM($J$6:J117)</x:f>
        <x:v>207036.37438530245</x:v>
      </x:c>
      <x:c r="M117" s="141" t="n">
        <x:f>MAX(0,E117-G117)</x:f>
        <x:v>117333.33333333353</x:v>
      </x:c>
    </x:row>
    <x:row r="118">
      <x:c r="A118" s="142" t="n">
        <x:v>113</x:v>
      </x:c>
      <x:c r="B118" s="179" t="n">
        <x:f>EDATE(Premissas!$B$4,112)</x:f>
        <x:v>49949</x:v>
      </x:c>
      <x:c r="C118" s="141" t="n">
        <x:f>M117</x:f>
        <x:v>117333.33333333353</x:v>
      </x:c>
      <x:c r="D118" s="141" t="n">
        <x:f>IF(C118&gt;0,C118*Premissas!$B$17,0)</x:f>
        <x:v>0</x:v>
      </x:c>
      <x:c r="E118" s="141" t="n">
        <x:f>C118+D118</x:f>
        <x:v>117333.33333333353</x:v>
      </x:c>
      <x:c r="F118" s="142" t="n">
        <x:f>MAX(0,Premissas!$B$13-A118+1)</x:f>
        <x:v>308</x:v>
      </x:c>
      <x:c r="G118" s="141" t="n">
        <x:f>IF(AND(E118&gt;0,F118&gt;0),IF(Premissas!$B$19="PRICE",MAX(0,MIN(E118,IF(Premissas!$B$15=0,E118/F118,E118*Premissas!$B$15/(1-(1+Premissas!$B$15)^(-F118)))-H118)),MIN(E118,E118/F118)),0)</x:f>
        <x:v>380.9523809523816</x:v>
      </x:c>
      <x:c r="H118" s="141" t="n">
        <x:f>IF(AND(E118&gt;0,F118&gt;0),E118*Premissas!$B$15,0)</x:f>
        <x:v>1113.3517043244126</x:v>
      </x:c>
      <x:c r="I118" s="141" t="n">
        <x:f>IF(AND(E118&gt;0,F118&gt;0),Premissas!$B$18,0)</x:f>
        <x:v>150</x:v>
      </x:c>
      <x:c r="J118" s="141" t="n">
        <x:f>IF(AND(E118&gt;0,F118&gt;0),IF(Premissas!$B$19="PRICE",IF(Premissas!$B$15=0,E118/F118,E118*Premissas!$B$15/(1-(1+Premissas!$B$15)^(-F118)))+I118,G118+H118+I118),0)</x:f>
        <x:v>1644.3040852767942</x:v>
      </x:c>
      <x:c r="K118" s="141" t="n">
        <x:f>H118+I118</x:f>
        <x:v>1263.3517043244126</x:v>
      </x:c>
      <x:c r="L118" s="141" t="n">
        <x:f>SUM($J$6:J118)</x:f>
        <x:v>208680.67847057924</x:v>
      </x:c>
      <x:c r="M118" s="141" t="n">
        <x:f>MAX(0,E118-G118)</x:f>
        <x:v>116952.38095238115</x:v>
      </x:c>
    </x:row>
    <x:row r="119">
      <x:c r="A119" s="142" t="n">
        <x:v>114</x:v>
      </x:c>
      <x:c r="B119" s="179" t="n">
        <x:f>EDATE(Premissas!$B$4,113)</x:f>
        <x:v>49980</x:v>
      </x:c>
      <x:c r="C119" s="141" t="n">
        <x:f>M118</x:f>
        <x:v>116952.38095238115</x:v>
      </x:c>
      <x:c r="D119" s="141" t="n">
        <x:f>IF(C119&gt;0,C119*Premissas!$B$17,0)</x:f>
        <x:v>0</x:v>
      </x:c>
      <x:c r="E119" s="141" t="n">
        <x:f>C119+D119</x:f>
        <x:v>116952.38095238115</x:v>
      </x:c>
      <x:c r="F119" s="142" t="n">
        <x:f>MAX(0,Premissas!$B$13-A119+1)</x:f>
        <x:v>307</x:v>
      </x:c>
      <x:c r="G119" s="141" t="n">
        <x:f>IF(AND(E119&gt;0,F119&gt;0),IF(Premissas!$B$19="PRICE",MAX(0,MIN(E119,IF(Premissas!$B$15=0,E119/F119,E119*Premissas!$B$15/(1-(1+Premissas!$B$15)^(-F119)))-H119)),MIN(E119,E119/F119)),0)</x:f>
        <x:v>380.9523809523816</x:v>
      </x:c>
      <x:c r="H119" s="141" t="n">
        <x:f>IF(AND(E119&gt;0,F119&gt;0),E119*Premissas!$B$15,0)</x:f>
        <x:v>1109.736926063619</x:v>
      </x:c>
      <x:c r="I119" s="141" t="n">
        <x:f>IF(AND(E119&gt;0,F119&gt;0),Premissas!$B$18,0)</x:f>
        <x:v>150</x:v>
      </x:c>
      <x:c r="J119" s="141" t="n">
        <x:f>IF(AND(E119&gt;0,F119&gt;0),IF(Premissas!$B$19="PRICE",IF(Premissas!$B$15=0,E119/F119,E119*Premissas!$B$15/(1-(1+Premissas!$B$15)^(-F119)))+I119,G119+H119+I119),0)</x:f>
        <x:v>1640.6893070160006</x:v>
      </x:c>
      <x:c r="K119" s="141" t="n">
        <x:f>H119+I119</x:f>
        <x:v>1259.736926063619</x:v>
      </x:c>
      <x:c r="L119" s="141" t="n">
        <x:f>SUM($J$6:J119)</x:f>
        <x:v>210321.36777759524</x:v>
      </x:c>
      <x:c r="M119" s="141" t="n">
        <x:f>MAX(0,E119-G119)</x:f>
        <x:v>116571.42857142877</x:v>
      </x:c>
    </x:row>
    <x:row r="120">
      <x:c r="A120" s="142" t="n">
        <x:v>115</x:v>
      </x:c>
      <x:c r="B120" s="179" t="n">
        <x:f>EDATE(Premissas!$B$4,114)</x:f>
        <x:v>50010</x:v>
      </x:c>
      <x:c r="C120" s="141" t="n">
        <x:f>M119</x:f>
        <x:v>116571.42857142877</x:v>
      </x:c>
      <x:c r="D120" s="141" t="n">
        <x:f>IF(C120&gt;0,C120*Premissas!$B$17,0)</x:f>
        <x:v>0</x:v>
      </x:c>
      <x:c r="E120" s="141" t="n">
        <x:f>C120+D120</x:f>
        <x:v>116571.42857142877</x:v>
      </x:c>
      <x:c r="F120" s="142" t="n">
        <x:f>MAX(0,Premissas!$B$13-A120+1)</x:f>
        <x:v>306</x:v>
      </x:c>
      <x:c r="G120" s="141" t="n">
        <x:f>IF(AND(E120&gt;0,F120&gt;0),IF(Premissas!$B$19="PRICE",MAX(0,MIN(E120,IF(Premissas!$B$15=0,E120/F120,E120*Premissas!$B$15/(1-(1+Premissas!$B$15)^(-F120)))-H120)),MIN(E120,E120/F120)),0)</x:f>
        <x:v>380.9523809523816</x:v>
      </x:c>
      <x:c r="H120" s="141" t="n">
        <x:f>IF(AND(E120&gt;0,F120&gt;0),E120*Premissas!$B$15,0)</x:f>
        <x:v>1106.1221478028256</x:v>
      </x:c>
      <x:c r="I120" s="141" t="n">
        <x:f>IF(AND(E120&gt;0,F120&gt;0),Premissas!$B$18,0)</x:f>
        <x:v>150</x:v>
      </x:c>
      <x:c r="J120" s="141" t="n">
        <x:f>IF(AND(E120&gt;0,F120&gt;0),IF(Premissas!$B$19="PRICE",IF(Premissas!$B$15=0,E120/F120,E120*Premissas!$B$15/(1-(1+Premissas!$B$15)^(-F120)))+I120,G120+H120+I120),0)</x:f>
        <x:v>1637.0745287552072</x:v>
      </x:c>
      <x:c r="K120" s="141" t="n">
        <x:f>H120+I120</x:f>
        <x:v>1256.1221478028256</x:v>
      </x:c>
      <x:c r="L120" s="141" t="n">
        <x:f>SUM($J$6:J120)</x:f>
        <x:v>211958.44230635045</x:v>
      </x:c>
      <x:c r="M120" s="141" t="n">
        <x:f>MAX(0,E120-G120)</x:f>
        <x:v>116190.47619047639</x:v>
      </x:c>
    </x:row>
    <x:row r="121">
      <x:c r="A121" s="142" t="n">
        <x:v>116</x:v>
      </x:c>
      <x:c r="B121" s="179" t="n">
        <x:f>EDATE(Premissas!$B$4,115)</x:f>
        <x:v>50041</x:v>
      </x:c>
      <x:c r="C121" s="141" t="n">
        <x:f>M120</x:f>
        <x:v>116190.47619047639</x:v>
      </x:c>
      <x:c r="D121" s="141" t="n">
        <x:f>IF(C121&gt;0,C121*Premissas!$B$17,0)</x:f>
        <x:v>0</x:v>
      </x:c>
      <x:c r="E121" s="141" t="n">
        <x:f>C121+D121</x:f>
        <x:v>116190.47619047639</x:v>
      </x:c>
      <x:c r="F121" s="142" t="n">
        <x:f>MAX(0,Premissas!$B$13-A121+1)</x:f>
        <x:v>305</x:v>
      </x:c>
      <x:c r="G121" s="141" t="n">
        <x:f>IF(AND(E121&gt;0,F121&gt;0),IF(Premissas!$B$19="PRICE",MAX(0,MIN(E121,IF(Premissas!$B$15=0,E121/F121,E121*Premissas!$B$15/(1-(1+Premissas!$B$15)^(-F121)))-H121)),MIN(E121,E121/F121)),0)</x:f>
        <x:v>380.9523809523816</x:v>
      </x:c>
      <x:c r="H121" s="141" t="n">
        <x:f>IF(AND(E121&gt;0,F121&gt;0),E121*Premissas!$B$15,0)</x:f>
        <x:v>1102.507369542032</x:v>
      </x:c>
      <x:c r="I121" s="141" t="n">
        <x:f>IF(AND(E121&gt;0,F121&gt;0),Premissas!$B$18,0)</x:f>
        <x:v>150</x:v>
      </x:c>
      <x:c r="J121" s="141" t="n">
        <x:f>IF(AND(E121&gt;0,F121&gt;0),IF(Premissas!$B$19="PRICE",IF(Premissas!$B$15=0,E121/F121,E121*Premissas!$B$15/(1-(1+Premissas!$B$15)^(-F121)))+I121,G121+H121+I121),0)</x:f>
        <x:v>1633.4597504944136</x:v>
      </x:c>
      <x:c r="K121" s="141" t="n">
        <x:f>H121+I121</x:f>
        <x:v>1252.507369542032</x:v>
      </x:c>
      <x:c r="L121" s="141" t="n">
        <x:f>SUM($J$6:J121)</x:f>
        <x:v>213591.90205684488</x:v>
      </x:c>
      <x:c r="M121" s="141" t="n">
        <x:f>MAX(0,E121-G121)</x:f>
        <x:v>115809.523809524</x:v>
      </x:c>
    </x:row>
    <x:row r="122">
      <x:c r="A122" s="142" t="n">
        <x:v>117</x:v>
      </x:c>
      <x:c r="B122" s="179" t="n">
        <x:f>EDATE(Premissas!$B$4,116)</x:f>
        <x:v>50072</x:v>
      </x:c>
      <x:c r="C122" s="141" t="n">
        <x:f>M121</x:f>
        <x:v>115809.523809524</x:v>
      </x:c>
      <x:c r="D122" s="141" t="n">
        <x:f>IF(C122&gt;0,C122*Premissas!$B$17,0)</x:f>
        <x:v>0</x:v>
      </x:c>
      <x:c r="E122" s="141" t="n">
        <x:f>C122+D122</x:f>
        <x:v>115809.523809524</x:v>
      </x:c>
      <x:c r="F122" s="142" t="n">
        <x:f>MAX(0,Premissas!$B$13-A122+1)</x:f>
        <x:v>304</x:v>
      </x:c>
      <x:c r="G122" s="141" t="n">
        <x:f>IF(AND(E122&gt;0,F122&gt;0),IF(Premissas!$B$19="PRICE",MAX(0,MIN(E122,IF(Premissas!$B$15=0,E122/F122,E122*Premissas!$B$15/(1-(1+Premissas!$B$15)^(-F122)))-H122)),MIN(E122,E122/F122)),0)</x:f>
        <x:v>380.9523809523816</x:v>
      </x:c>
      <x:c r="H122" s="141" t="n">
        <x:f>IF(AND(E122&gt;0,F122&gt;0),E122*Premissas!$B$15,0)</x:f>
        <x:v>1098.8925912812383</x:v>
      </x:c>
      <x:c r="I122" s="141" t="n">
        <x:f>IF(AND(E122&gt;0,F122&gt;0),Premissas!$B$18,0)</x:f>
        <x:v>150</x:v>
      </x:c>
      <x:c r="J122" s="141" t="n">
        <x:f>IF(AND(E122&gt;0,F122&gt;0),IF(Premissas!$B$19="PRICE",IF(Premissas!$B$15=0,E122/F122,E122*Premissas!$B$15/(1-(1+Premissas!$B$15)^(-F122)))+I122,G122+H122+I122),0)</x:f>
        <x:v>1629.84497223362</x:v>
      </x:c>
      <x:c r="K122" s="141" t="n">
        <x:f>H122+I122</x:f>
        <x:v>1248.8925912812383</x:v>
      </x:c>
      <x:c r="L122" s="141" t="n">
        <x:f>SUM($J$6:J122)</x:f>
        <x:v>215221.74702907848</x:v>
      </x:c>
      <x:c r="M122" s="141" t="n">
        <x:f>MAX(0,E122-G122)</x:f>
        <x:v>115428.57142857162</x:v>
      </x:c>
    </x:row>
    <x:row r="123">
      <x:c r="A123" s="142" t="n">
        <x:v>118</x:v>
      </x:c>
      <x:c r="B123" s="179" t="n">
        <x:f>EDATE(Premissas!$B$4,117)</x:f>
        <x:v>50100</x:v>
      </x:c>
      <x:c r="C123" s="141" t="n">
        <x:f>M122</x:f>
        <x:v>115428.57142857162</x:v>
      </x:c>
      <x:c r="D123" s="141" t="n">
        <x:f>IF(C123&gt;0,C123*Premissas!$B$17,0)</x:f>
        <x:v>0</x:v>
      </x:c>
      <x:c r="E123" s="141" t="n">
        <x:f>C123+D123</x:f>
        <x:v>115428.57142857162</x:v>
      </x:c>
      <x:c r="F123" s="142" t="n">
        <x:f>MAX(0,Premissas!$B$13-A123+1)</x:f>
        <x:v>303</x:v>
      </x:c>
      <x:c r="G123" s="141" t="n">
        <x:f>IF(AND(E123&gt;0,F123&gt;0),IF(Premissas!$B$19="PRICE",MAX(0,MIN(E123,IF(Premissas!$B$15=0,E123/F123,E123*Premissas!$B$15/(1-(1+Premissas!$B$15)^(-F123)))-H123)),MIN(E123,E123/F123)),0)</x:f>
        <x:v>380.9523809523816</x:v>
      </x:c>
      <x:c r="H123" s="141" t="n">
        <x:f>IF(AND(E123&gt;0,F123&gt;0),E123*Premissas!$B$15,0)</x:f>
        <x:v>1095.277813020445</x:v>
      </x:c>
      <x:c r="I123" s="141" t="n">
        <x:f>IF(AND(E123&gt;0,F123&gt;0),Premissas!$B$18,0)</x:f>
        <x:v>150</x:v>
      </x:c>
      <x:c r="J123" s="141" t="n">
        <x:f>IF(AND(E123&gt;0,F123&gt;0),IF(Premissas!$B$19="PRICE",IF(Premissas!$B$15=0,E123/F123,E123*Premissas!$B$15/(1-(1+Premissas!$B$15)^(-F123)))+I123,G123+H123+I123),0)</x:f>
        <x:v>1626.2301939728266</x:v>
      </x:c>
      <x:c r="K123" s="141" t="n">
        <x:f>H123+I123</x:f>
        <x:v>1245.277813020445</x:v>
      </x:c>
      <x:c r="L123" s="141" t="n">
        <x:f>SUM($J$6:J123)</x:f>
        <x:v>216847.9772230513</x:v>
      </x:c>
      <x:c r="M123" s="141" t="n">
        <x:f>MAX(0,E123-G123)</x:f>
        <x:v>115047.61904761924</x:v>
      </x:c>
    </x:row>
    <x:row r="124">
      <x:c r="A124" s="142" t="n">
        <x:v>119</x:v>
      </x:c>
      <x:c r="B124" s="179" t="n">
        <x:f>EDATE(Premissas!$B$4,118)</x:f>
        <x:v>50131</x:v>
      </x:c>
      <x:c r="C124" s="141" t="n">
        <x:f>M123</x:f>
        <x:v>115047.61904761924</x:v>
      </x:c>
      <x:c r="D124" s="141" t="n">
        <x:f>IF(C124&gt;0,C124*Premissas!$B$17,0)</x:f>
        <x:v>0</x:v>
      </x:c>
      <x:c r="E124" s="141" t="n">
        <x:f>C124+D124</x:f>
        <x:v>115047.61904761924</x:v>
      </x:c>
      <x:c r="F124" s="142" t="n">
        <x:f>MAX(0,Premissas!$B$13-A124+1)</x:f>
        <x:v>302</x:v>
      </x:c>
      <x:c r="G124" s="141" t="n">
        <x:f>IF(AND(E124&gt;0,F124&gt;0),IF(Premissas!$B$19="PRICE",MAX(0,MIN(E124,IF(Premissas!$B$15=0,E124/F124,E124*Premissas!$B$15/(1-(1+Premissas!$B$15)^(-F124)))-H124)),MIN(E124,E124/F124)),0)</x:f>
        <x:v>380.9523809523816</x:v>
      </x:c>
      <x:c r="H124" s="141" t="n">
        <x:f>IF(AND(E124&gt;0,F124&gt;0),E124*Premissas!$B$15,0)</x:f>
        <x:v>1091.6630347596513</x:v>
      </x:c>
      <x:c r="I124" s="141" t="n">
        <x:f>IF(AND(E124&gt;0,F124&gt;0),Premissas!$B$18,0)</x:f>
        <x:v>150</x:v>
      </x:c>
      <x:c r="J124" s="141" t="n">
        <x:f>IF(AND(E124&gt;0,F124&gt;0),IF(Premissas!$B$19="PRICE",IF(Premissas!$B$15=0,E124/F124,E124*Premissas!$B$15/(1-(1+Premissas!$B$15)^(-F124)))+I124,G124+H124+I124),0)</x:f>
        <x:v>1622.615415712033</x:v>
      </x:c>
      <x:c r="K124" s="141" t="n">
        <x:f>H124+I124</x:f>
        <x:v>1241.6630347596513</x:v>
      </x:c>
      <x:c r="L124" s="141" t="n">
        <x:f>SUM($J$6:J124)</x:f>
        <x:v>218470.59263876334</x:v>
      </x:c>
      <x:c r="M124" s="141" t="n">
        <x:f>MAX(0,E124-G124)</x:f>
        <x:v>114666.66666666686</x:v>
      </x:c>
    </x:row>
    <x:row r="125">
      <x:c r="A125" s="142" t="n">
        <x:v>120</x:v>
      </x:c>
      <x:c r="B125" s="179" t="n">
        <x:f>EDATE(Premissas!$B$4,119)</x:f>
        <x:v>50161</x:v>
      </x:c>
      <x:c r="C125" s="141" t="n">
        <x:f>M124</x:f>
        <x:v>114666.66666666686</x:v>
      </x:c>
      <x:c r="D125" s="141" t="n">
        <x:f>IF(C125&gt;0,C125*Premissas!$B$17,0)</x:f>
        <x:v>0</x:v>
      </x:c>
      <x:c r="E125" s="141" t="n">
        <x:f>C125+D125</x:f>
        <x:v>114666.66666666686</x:v>
      </x:c>
      <x:c r="F125" s="142" t="n">
        <x:f>MAX(0,Premissas!$B$13-A125+1)</x:f>
        <x:v>301</x:v>
      </x:c>
      <x:c r="G125" s="141" t="n">
        <x:f>IF(AND(E125&gt;0,F125&gt;0),IF(Premissas!$B$19="PRICE",MAX(0,MIN(E125,IF(Premissas!$B$15=0,E125/F125,E125*Premissas!$B$15/(1-(1+Premissas!$B$15)^(-F125)))-H125)),MIN(E125,E125/F125)),0)</x:f>
        <x:v>380.9523809523816</x:v>
      </x:c>
      <x:c r="H125" s="141" t="n">
        <x:f>IF(AND(E125&gt;0,F125&gt;0),E125*Premissas!$B$15,0)</x:f>
        <x:v>1088.0482564988577</x:v>
      </x:c>
      <x:c r="I125" s="141" t="n">
        <x:f>IF(AND(E125&gt;0,F125&gt;0),Premissas!$B$18,0)</x:f>
        <x:v>150</x:v>
      </x:c>
      <x:c r="J125" s="141" t="n">
        <x:f>IF(AND(E125&gt;0,F125&gt;0),IF(Premissas!$B$19="PRICE",IF(Premissas!$B$15=0,E125/F125,E125*Premissas!$B$15/(1-(1+Premissas!$B$15)^(-F125)))+I125,G125+H125+I125),0)</x:f>
        <x:v>1619.0006374512393</x:v>
      </x:c>
      <x:c r="K125" s="141" t="n">
        <x:f>H125+I125</x:f>
        <x:v>1238.0482564988577</x:v>
      </x:c>
      <x:c r="L125" s="141" t="n">
        <x:f>SUM($J$6:J125)</x:f>
        <x:v>220089.59327621458</x:v>
      </x:c>
      <x:c r="M125" s="141" t="n">
        <x:f>MAX(0,E125-G125)</x:f>
        <x:v>114285.71428571448</x:v>
      </x:c>
    </x:row>
    <x:row r="126">
      <x:c r="A126" s="142" t="n">
        <x:v>121</x:v>
      </x:c>
      <x:c r="B126" s="179" t="n">
        <x:f>EDATE(Premissas!$B$4,120)</x:f>
        <x:v>50192</x:v>
      </x:c>
      <x:c r="C126" s="141" t="n">
        <x:f>M125</x:f>
        <x:v>114285.71428571448</x:v>
      </x:c>
      <x:c r="D126" s="141" t="n">
        <x:f>IF(C126&gt;0,C126*Premissas!$B$17,0)</x:f>
        <x:v>0</x:v>
      </x:c>
      <x:c r="E126" s="141" t="n">
        <x:f>C126+D126</x:f>
        <x:v>114285.71428571448</x:v>
      </x:c>
      <x:c r="F126" s="142" t="n">
        <x:f>MAX(0,Premissas!$B$13-A126+1)</x:f>
        <x:v>300</x:v>
      </x:c>
      <x:c r="G126" s="141" t="n">
        <x:f>IF(AND(E126&gt;0,F126&gt;0),IF(Premissas!$B$19="PRICE",MAX(0,MIN(E126,IF(Premissas!$B$15=0,E126/F126,E126*Premissas!$B$15/(1-(1+Premissas!$B$15)^(-F126)))-H126)),MIN(E126,E126/F126)),0)</x:f>
        <x:v>380.9523809523816</x:v>
      </x:c>
      <x:c r="H126" s="141" t="n">
        <x:f>IF(AND(E126&gt;0,F126&gt;0),E126*Premissas!$B$15,0)</x:f>
        <x:v>1084.4334782380643</x:v>
      </x:c>
      <x:c r="I126" s="141" t="n">
        <x:f>IF(AND(E126&gt;0,F126&gt;0),Premissas!$B$18,0)</x:f>
        <x:v>150</x:v>
      </x:c>
      <x:c r="J126" s="141" t="n">
        <x:f>IF(AND(E126&gt;0,F126&gt;0),IF(Premissas!$B$19="PRICE",IF(Premissas!$B$15=0,E126/F126,E126*Premissas!$B$15/(1-(1+Premissas!$B$15)^(-F126)))+I126,G126+H126+I126),0)</x:f>
        <x:v>1615.385859190446</x:v>
      </x:c>
      <x:c r="K126" s="141" t="n">
        <x:f>H126+I126</x:f>
        <x:v>1234.4334782380643</x:v>
      </x:c>
      <x:c r="L126" s="141" t="n">
        <x:f>SUM($J$6:J126)</x:f>
        <x:v>221704.97913540504</x:v>
      </x:c>
      <x:c r="M126" s="141" t="n">
        <x:f>MAX(0,E126-G126)</x:f>
        <x:v>113904.7619047621</x:v>
      </x:c>
    </x:row>
    <x:row r="127">
      <x:c r="A127" s="142" t="n">
        <x:v>122</x:v>
      </x:c>
      <x:c r="B127" s="179" t="n">
        <x:f>EDATE(Premissas!$B$4,121)</x:f>
        <x:v>50222</x:v>
      </x:c>
      <x:c r="C127" s="141" t="n">
        <x:f>M126</x:f>
        <x:v>113904.7619047621</x:v>
      </x:c>
      <x:c r="D127" s="141" t="n">
        <x:f>IF(C127&gt;0,C127*Premissas!$B$17,0)</x:f>
        <x:v>0</x:v>
      </x:c>
      <x:c r="E127" s="141" t="n">
        <x:f>C127+D127</x:f>
        <x:v>113904.7619047621</x:v>
      </x:c>
      <x:c r="F127" s="142" t="n">
        <x:f>MAX(0,Premissas!$B$13-A127+1)</x:f>
        <x:v>299</x:v>
      </x:c>
      <x:c r="G127" s="141" t="n">
        <x:f>IF(AND(E127&gt;0,F127&gt;0),IF(Premissas!$B$19="PRICE",MAX(0,MIN(E127,IF(Premissas!$B$15=0,E127/F127,E127*Premissas!$B$15/(1-(1+Premissas!$B$15)^(-F127)))-H127)),MIN(E127,E127/F127)),0)</x:f>
        <x:v>380.9523809523816</x:v>
      </x:c>
      <x:c r="H127" s="141" t="n">
        <x:f>IF(AND(E127&gt;0,F127&gt;0),E127*Premissas!$B$15,0)</x:f>
        <x:v>1080.8186999772706</x:v>
      </x:c>
      <x:c r="I127" s="141" t="n">
        <x:f>IF(AND(E127&gt;0,F127&gt;0),Premissas!$B$18,0)</x:f>
        <x:v>150</x:v>
      </x:c>
      <x:c r="J127" s="141" t="n">
        <x:f>IF(AND(E127&gt;0,F127&gt;0),IF(Premissas!$B$19="PRICE",IF(Premissas!$B$15=0,E127/F127,E127*Premissas!$B$15/(1-(1+Premissas!$B$15)^(-F127)))+I127,G127+H127+I127),0)</x:f>
        <x:v>1611.7710809296523</x:v>
      </x:c>
      <x:c r="K127" s="141" t="n">
        <x:f>H127+I127</x:f>
        <x:v>1230.8186999772706</x:v>
      </x:c>
      <x:c r="L127" s="141" t="n">
        <x:f>SUM($J$6:J127)</x:f>
        <x:v>223316.75021633468</x:v>
      </x:c>
      <x:c r="M127" s="141" t="n">
        <x:f>MAX(0,E127-G127)</x:f>
        <x:v>113523.80952380972</x:v>
      </x:c>
    </x:row>
    <x:row r="128">
      <x:c r="A128" s="142" t="n">
        <x:v>123</x:v>
      </x:c>
      <x:c r="B128" s="179" t="n">
        <x:f>EDATE(Premissas!$B$4,122)</x:f>
        <x:v>50253</x:v>
      </x:c>
      <x:c r="C128" s="141" t="n">
        <x:f>M127</x:f>
        <x:v>113523.80952380972</x:v>
      </x:c>
      <x:c r="D128" s="141" t="n">
        <x:f>IF(C128&gt;0,C128*Premissas!$B$17,0)</x:f>
        <x:v>0</x:v>
      </x:c>
      <x:c r="E128" s="141" t="n">
        <x:f>C128+D128</x:f>
        <x:v>113523.80952380972</x:v>
      </x:c>
      <x:c r="F128" s="142" t="n">
        <x:f>MAX(0,Premissas!$B$13-A128+1)</x:f>
        <x:v>298</x:v>
      </x:c>
      <x:c r="G128" s="141" t="n">
        <x:f>IF(AND(E128&gt;0,F128&gt;0),IF(Premissas!$B$19="PRICE",MAX(0,MIN(E128,IF(Premissas!$B$15=0,E128/F128,E128*Premissas!$B$15/(1-(1+Premissas!$B$15)^(-F128)))-H128)),MIN(E128,E128/F128)),0)</x:f>
        <x:v>380.9523809523816</x:v>
      </x:c>
      <x:c r="H128" s="141" t="n">
        <x:f>IF(AND(E128&gt;0,F128&gt;0),E128*Premissas!$B$15,0)</x:f>
        <x:v>1077.203921716477</x:v>
      </x:c>
      <x:c r="I128" s="141" t="n">
        <x:f>IF(AND(E128&gt;0,F128&gt;0),Premissas!$B$18,0)</x:f>
        <x:v>150</x:v>
      </x:c>
      <x:c r="J128" s="141" t="n">
        <x:f>IF(AND(E128&gt;0,F128&gt;0),IF(Premissas!$B$19="PRICE",IF(Premissas!$B$15=0,E128/F128,E128*Premissas!$B$15/(1-(1+Premissas!$B$15)^(-F128)))+I128,G128+H128+I128),0)</x:f>
        <x:v>1608.1563026688586</x:v>
      </x:c>
      <x:c r="K128" s="141" t="n">
        <x:f>H128+I128</x:f>
        <x:v>1227.203921716477</x:v>
      </x:c>
      <x:c r="L128" s="141" t="n">
        <x:f>SUM($J$6:J128)</x:f>
        <x:v>224924.90651900353</x:v>
      </x:c>
      <x:c r="M128" s="141" t="n">
        <x:f>MAX(0,E128-G128)</x:f>
        <x:v>113142.85714285733</x:v>
      </x:c>
    </x:row>
    <x:row r="129">
      <x:c r="A129" s="142" t="n">
        <x:v>124</x:v>
      </x:c>
      <x:c r="B129" s="179" t="n">
        <x:f>EDATE(Premissas!$B$4,123)</x:f>
        <x:v>50284</x:v>
      </x:c>
      <x:c r="C129" s="141" t="n">
        <x:f>M128</x:f>
        <x:v>113142.85714285733</x:v>
      </x:c>
      <x:c r="D129" s="141" t="n">
        <x:f>IF(C129&gt;0,C129*Premissas!$B$17,0)</x:f>
        <x:v>0</x:v>
      </x:c>
      <x:c r="E129" s="141" t="n">
        <x:f>C129+D129</x:f>
        <x:v>113142.85714285733</x:v>
      </x:c>
      <x:c r="F129" s="142" t="n">
        <x:f>MAX(0,Premissas!$B$13-A129+1)</x:f>
        <x:v>297</x:v>
      </x:c>
      <x:c r="G129" s="141" t="n">
        <x:f>IF(AND(E129&gt;0,F129&gt;0),IF(Premissas!$B$19="PRICE",MAX(0,MIN(E129,IF(Premissas!$B$15=0,E129/F129,E129*Premissas!$B$15/(1-(1+Premissas!$B$15)^(-F129)))-H129)),MIN(E129,E129/F129)),0)</x:f>
        <x:v>380.9523809523816</x:v>
      </x:c>
      <x:c r="H129" s="141" t="n">
        <x:f>IF(AND(E129&gt;0,F129&gt;0),E129*Premissas!$B$15,0)</x:f>
        <x:v>1073.5891434556836</x:v>
      </x:c>
      <x:c r="I129" s="141" t="n">
        <x:f>IF(AND(E129&gt;0,F129&gt;0),Premissas!$B$18,0)</x:f>
        <x:v>150</x:v>
      </x:c>
      <x:c r="J129" s="141" t="n">
        <x:f>IF(AND(E129&gt;0,F129&gt;0),IF(Premissas!$B$19="PRICE",IF(Premissas!$B$15=0,E129/F129,E129*Premissas!$B$15/(1-(1+Premissas!$B$15)^(-F129)))+I129,G129+H129+I129),0)</x:f>
        <x:v>1604.5415244080652</x:v>
      </x:c>
      <x:c r="K129" s="141" t="n">
        <x:f>H129+I129</x:f>
        <x:v>1223.5891434556836</x:v>
      </x:c>
      <x:c r="L129" s="141" t="n">
        <x:f>SUM($J$6:J129)</x:f>
        <x:v>226529.4480434116</x:v>
      </x:c>
      <x:c r="M129" s="141" t="n">
        <x:f>MAX(0,E129-G129)</x:f>
        <x:v>112761.90476190495</x:v>
      </x:c>
    </x:row>
    <x:row r="130">
      <x:c r="A130" s="142" t="n">
        <x:v>125</x:v>
      </x:c>
      <x:c r="B130" s="179" t="n">
        <x:f>EDATE(Premissas!$B$4,124)</x:f>
        <x:v>50314</x:v>
      </x:c>
      <x:c r="C130" s="141" t="n">
        <x:f>M129</x:f>
        <x:v>112761.90476190495</x:v>
      </x:c>
      <x:c r="D130" s="141" t="n">
        <x:f>IF(C130&gt;0,C130*Premissas!$B$17,0)</x:f>
        <x:v>0</x:v>
      </x:c>
      <x:c r="E130" s="141" t="n">
        <x:f>C130+D130</x:f>
        <x:v>112761.90476190495</x:v>
      </x:c>
      <x:c r="F130" s="142" t="n">
        <x:f>MAX(0,Premissas!$B$13-A130+1)</x:f>
        <x:v>296</x:v>
      </x:c>
      <x:c r="G130" s="141" t="n">
        <x:f>IF(AND(E130&gt;0,F130&gt;0),IF(Premissas!$B$19="PRICE",MAX(0,MIN(E130,IF(Premissas!$B$15=0,E130/F130,E130*Premissas!$B$15/(1-(1+Premissas!$B$15)^(-F130)))-H130)),MIN(E130,E130/F130)),0)</x:f>
        <x:v>380.9523809523816</x:v>
      </x:c>
      <x:c r="H130" s="141" t="n">
        <x:f>IF(AND(E130&gt;0,F130&gt;0),E130*Premissas!$B$15,0)</x:f>
        <x:v>1069.97436519489</x:v>
      </x:c>
      <x:c r="I130" s="141" t="n">
        <x:f>IF(AND(E130&gt;0,F130&gt;0),Premissas!$B$18,0)</x:f>
        <x:v>150</x:v>
      </x:c>
      <x:c r="J130" s="141" t="n">
        <x:f>IF(AND(E130&gt;0,F130&gt;0),IF(Premissas!$B$19="PRICE",IF(Premissas!$B$15=0,E130/F130,E130*Premissas!$B$15/(1-(1+Premissas!$B$15)^(-F130)))+I130,G130+H130+I130),0)</x:f>
        <x:v>1600.9267461472716</x:v>
      </x:c>
      <x:c r="K130" s="141" t="n">
        <x:f>H130+I130</x:f>
        <x:v>1219.97436519489</x:v>
      </x:c>
      <x:c r="L130" s="141" t="n">
        <x:f>SUM($J$6:J130)</x:f>
        <x:v>228130.37478955887</x:v>
      </x:c>
      <x:c r="M130" s="141" t="n">
        <x:f>MAX(0,E130-G130)</x:f>
        <x:v>112380.95238095257</x:v>
      </x:c>
    </x:row>
    <x:row r="131">
      <x:c r="A131" s="142" t="n">
        <x:v>126</x:v>
      </x:c>
      <x:c r="B131" s="179" t="n">
        <x:f>EDATE(Premissas!$B$4,125)</x:f>
        <x:v>50345</x:v>
      </x:c>
      <x:c r="C131" s="141" t="n">
        <x:f>M130</x:f>
        <x:v>112380.95238095257</x:v>
      </x:c>
      <x:c r="D131" s="141" t="n">
        <x:f>IF(C131&gt;0,C131*Premissas!$B$17,0)</x:f>
        <x:v>0</x:v>
      </x:c>
      <x:c r="E131" s="141" t="n">
        <x:f>C131+D131</x:f>
        <x:v>112380.95238095257</x:v>
      </x:c>
      <x:c r="F131" s="142" t="n">
        <x:f>MAX(0,Premissas!$B$13-A131+1)</x:f>
        <x:v>295</x:v>
      </x:c>
      <x:c r="G131" s="141" t="n">
        <x:f>IF(AND(E131&gt;0,F131&gt;0),IF(Premissas!$B$19="PRICE",MAX(0,MIN(E131,IF(Premissas!$B$15=0,E131/F131,E131*Premissas!$B$15/(1-(1+Premissas!$B$15)^(-F131)))-H131)),MIN(E131,E131/F131)),0)</x:f>
        <x:v>380.9523809523816</x:v>
      </x:c>
      <x:c r="H131" s="141" t="n">
        <x:f>IF(AND(E131&gt;0,F131&gt;0),E131*Premissas!$B$15,0)</x:f>
        <x:v>1066.3595869340966</x:v>
      </x:c>
      <x:c r="I131" s="141" t="n">
        <x:f>IF(AND(E131&gt;0,F131&gt;0),Premissas!$B$18,0)</x:f>
        <x:v>150</x:v>
      </x:c>
      <x:c r="J131" s="141" t="n">
        <x:f>IF(AND(E131&gt;0,F131&gt;0),IF(Premissas!$B$19="PRICE",IF(Premissas!$B$15=0,E131/F131,E131*Premissas!$B$15/(1-(1+Premissas!$B$15)^(-F131)))+I131,G131+H131+I131),0)</x:f>
        <x:v>1597.3119678864782</x:v>
      </x:c>
      <x:c r="K131" s="141" t="n">
        <x:f>H131+I131</x:f>
        <x:v>1216.3595869340966</x:v>
      </x:c>
      <x:c r="L131" s="141" t="n">
        <x:f>SUM($J$6:J131)</x:f>
        <x:v>229727.68675744536</x:v>
      </x:c>
      <x:c r="M131" s="141" t="n">
        <x:f>MAX(0,E131-G131)</x:f>
        <x:v>112000.00000000019</x:v>
      </x:c>
    </x:row>
    <x:row r="132">
      <x:c r="A132" s="142" t="n">
        <x:v>127</x:v>
      </x:c>
      <x:c r="B132" s="179" t="n">
        <x:f>EDATE(Premissas!$B$4,126)</x:f>
        <x:v>50375</x:v>
      </x:c>
      <x:c r="C132" s="141" t="n">
        <x:f>M131</x:f>
        <x:v>112000.00000000019</x:v>
      </x:c>
      <x:c r="D132" s="141" t="n">
        <x:f>IF(C132&gt;0,C132*Premissas!$B$17,0)</x:f>
        <x:v>0</x:v>
      </x:c>
      <x:c r="E132" s="141" t="n">
        <x:f>C132+D132</x:f>
        <x:v>112000.00000000019</x:v>
      </x:c>
      <x:c r="F132" s="142" t="n">
        <x:f>MAX(0,Premissas!$B$13-A132+1)</x:f>
        <x:v>294</x:v>
      </x:c>
      <x:c r="G132" s="141" t="n">
        <x:f>IF(AND(E132&gt;0,F132&gt;0),IF(Premissas!$B$19="PRICE",MAX(0,MIN(E132,IF(Premissas!$B$15=0,E132/F132,E132*Premissas!$B$15/(1-(1+Premissas!$B$15)^(-F132)))-H132)),MIN(E132,E132/F132)),0)</x:f>
        <x:v>380.9523809523816</x:v>
      </x:c>
      <x:c r="H132" s="141" t="n">
        <x:f>IF(AND(E132&gt;0,F132&gt;0),E132*Premissas!$B$15,0)</x:f>
        <x:v>1062.744808673303</x:v>
      </x:c>
      <x:c r="I132" s="141" t="n">
        <x:f>IF(AND(E132&gt;0,F132&gt;0),Premissas!$B$18,0)</x:f>
        <x:v>150</x:v>
      </x:c>
      <x:c r="J132" s="141" t="n">
        <x:f>IF(AND(E132&gt;0,F132&gt;0),IF(Premissas!$B$19="PRICE",IF(Premissas!$B$15=0,E132/F132,E132*Premissas!$B$15/(1-(1+Premissas!$B$15)^(-F132)))+I132,G132+H132+I132),0)</x:f>
        <x:v>1593.6971896256846</x:v>
      </x:c>
      <x:c r="K132" s="141" t="n">
        <x:f>H132+I132</x:f>
        <x:v>1212.744808673303</x:v>
      </x:c>
      <x:c r="L132" s="141" t="n">
        <x:f>SUM($J$6:J132)</x:f>
        <x:v>231321.38394707104</x:v>
      </x:c>
      <x:c r="M132" s="141" t="n">
        <x:f>MAX(0,E132-G132)</x:f>
        <x:v>111619.04761904781</x:v>
      </x:c>
    </x:row>
    <x:row r="133">
      <x:c r="A133" s="142" t="n">
        <x:v>128</x:v>
      </x:c>
      <x:c r="B133" s="179" t="n">
        <x:f>EDATE(Premissas!$B$4,127)</x:f>
        <x:v>50406</x:v>
      </x:c>
      <x:c r="C133" s="141" t="n">
        <x:f>M132</x:f>
        <x:v>111619.04761904781</x:v>
      </x:c>
      <x:c r="D133" s="141" t="n">
        <x:f>IF(C133&gt;0,C133*Premissas!$B$17,0)</x:f>
        <x:v>0</x:v>
      </x:c>
      <x:c r="E133" s="141" t="n">
        <x:f>C133+D133</x:f>
        <x:v>111619.04761904781</x:v>
      </x:c>
      <x:c r="F133" s="142" t="n">
        <x:f>MAX(0,Premissas!$B$13-A133+1)</x:f>
        <x:v>293</x:v>
      </x:c>
      <x:c r="G133" s="141" t="n">
        <x:f>IF(AND(E133&gt;0,F133&gt;0),IF(Premissas!$B$19="PRICE",MAX(0,MIN(E133,IF(Premissas!$B$15=0,E133/F133,E133*Premissas!$B$15/(1-(1+Premissas!$B$15)^(-F133)))-H133)),MIN(E133,E133/F133)),0)</x:f>
        <x:v>380.9523809523816</x:v>
      </x:c>
      <x:c r="H133" s="141" t="n">
        <x:f>IF(AND(E133&gt;0,F133&gt;0),E133*Premissas!$B$15,0)</x:f>
        <x:v>1059.1300304125093</x:v>
      </x:c>
      <x:c r="I133" s="141" t="n">
        <x:f>IF(AND(E133&gt;0,F133&gt;0),Premissas!$B$18,0)</x:f>
        <x:v>150</x:v>
      </x:c>
      <x:c r="J133" s="141" t="n">
        <x:f>IF(AND(E133&gt;0,F133&gt;0),IF(Premissas!$B$19="PRICE",IF(Premissas!$B$15=0,E133/F133,E133*Premissas!$B$15/(1-(1+Premissas!$B$15)^(-F133)))+I133,G133+H133+I133),0)</x:f>
        <x:v>1590.082411364891</x:v>
      </x:c>
      <x:c r="K133" s="141" t="n">
        <x:f>H133+I133</x:f>
        <x:v>1209.1300304125093</x:v>
      </x:c>
      <x:c r="L133" s="141" t="n">
        <x:f>SUM($J$6:J133)</x:f>
        <x:v>232911.46635843592</x:v>
      </x:c>
      <x:c r="M133" s="141" t="n">
        <x:f>MAX(0,E133-G133)</x:f>
        <x:v>111238.09523809543</x:v>
      </x:c>
    </x:row>
    <x:row r="134">
      <x:c r="A134" s="142" t="n">
        <x:v>129</x:v>
      </x:c>
      <x:c r="B134" s="179" t="n">
        <x:f>EDATE(Premissas!$B$4,128)</x:f>
        <x:v>50437</x:v>
      </x:c>
      <x:c r="C134" s="141" t="n">
        <x:f>M133</x:f>
        <x:v>111238.09523809543</x:v>
      </x:c>
      <x:c r="D134" s="141" t="n">
        <x:f>IF(C134&gt;0,C134*Premissas!$B$17,0)</x:f>
        <x:v>0</x:v>
      </x:c>
      <x:c r="E134" s="141" t="n">
        <x:f>C134+D134</x:f>
        <x:v>111238.09523809543</x:v>
      </x:c>
      <x:c r="F134" s="142" t="n">
        <x:f>MAX(0,Premissas!$B$13-A134+1)</x:f>
        <x:v>292</x:v>
      </x:c>
      <x:c r="G134" s="141" t="n">
        <x:f>IF(AND(E134&gt;0,F134&gt;0),IF(Premissas!$B$19="PRICE",MAX(0,MIN(E134,IF(Premissas!$B$15=0,E134/F134,E134*Premissas!$B$15/(1-(1+Premissas!$B$15)^(-F134)))-H134)),MIN(E134,E134/F134)),0)</x:f>
        <x:v>380.9523809523816</x:v>
      </x:c>
      <x:c r="H134" s="141" t="n">
        <x:f>IF(AND(E134&gt;0,F134&gt;0),E134*Premissas!$B$15,0)</x:f>
        <x:v>1055.515252151716</x:v>
      </x:c>
      <x:c r="I134" s="141" t="n">
        <x:f>IF(AND(E134&gt;0,F134&gt;0),Premissas!$B$18,0)</x:f>
        <x:v>150</x:v>
      </x:c>
      <x:c r="J134" s="141" t="n">
        <x:f>IF(AND(E134&gt;0,F134&gt;0),IF(Premissas!$B$19="PRICE",IF(Premissas!$B$15=0,E134/F134,E134*Premissas!$B$15/(1-(1+Premissas!$B$15)^(-F134)))+I134,G134+H134+I134),0)</x:f>
        <x:v>1586.4676331040976</x:v>
      </x:c>
      <x:c r="K134" s="141" t="n">
        <x:f>H134+I134</x:f>
        <x:v>1205.515252151716</x:v>
      </x:c>
      <x:c r="L134" s="141" t="n">
        <x:f>SUM($J$6:J134)</x:f>
        <x:v>234497.93399154002</x:v>
      </x:c>
      <x:c r="M134" s="141" t="n">
        <x:f>MAX(0,E134-G134)</x:f>
        <x:v>110857.14285714304</x:v>
      </x:c>
    </x:row>
    <x:row r="135">
      <x:c r="A135" s="142" t="n">
        <x:v>130</x:v>
      </x:c>
      <x:c r="B135" s="179" t="n">
        <x:f>EDATE(Premissas!$B$4,129)</x:f>
        <x:v>50465</x:v>
      </x:c>
      <x:c r="C135" s="141" t="n">
        <x:f>M134</x:f>
        <x:v>110857.14285714304</x:v>
      </x:c>
      <x:c r="D135" s="141" t="n">
        <x:f>IF(C135&gt;0,C135*Premissas!$B$17,0)</x:f>
        <x:v>0</x:v>
      </x:c>
      <x:c r="E135" s="141" t="n">
        <x:f>C135+D135</x:f>
        <x:v>110857.14285714304</x:v>
      </x:c>
      <x:c r="F135" s="142" t="n">
        <x:f>MAX(0,Premissas!$B$13-A135+1)</x:f>
        <x:v>291</x:v>
      </x:c>
      <x:c r="G135" s="141" t="n">
        <x:f>IF(AND(E135&gt;0,F135&gt;0),IF(Premissas!$B$19="PRICE",MAX(0,MIN(E135,IF(Premissas!$B$15=0,E135/F135,E135*Premissas!$B$15/(1-(1+Premissas!$B$15)^(-F135)))-H135)),MIN(E135,E135/F135)),0)</x:f>
        <x:v>380.9523809523816</x:v>
      </x:c>
      <x:c r="H135" s="141" t="n">
        <x:f>IF(AND(E135&gt;0,F135&gt;0),E135*Premissas!$B$15,0)</x:f>
        <x:v>1051.9004738909223</x:v>
      </x:c>
      <x:c r="I135" s="141" t="n">
        <x:f>IF(AND(E135&gt;0,F135&gt;0),Premissas!$B$18,0)</x:f>
        <x:v>150</x:v>
      </x:c>
      <x:c r="J135" s="141" t="n">
        <x:f>IF(AND(E135&gt;0,F135&gt;0),IF(Premissas!$B$19="PRICE",IF(Premissas!$B$15=0,E135/F135,E135*Premissas!$B$15/(1-(1+Premissas!$B$15)^(-F135)))+I135,G135+H135+I135),0)</x:f>
        <x:v>1582.852854843304</x:v>
      </x:c>
      <x:c r="K135" s="141" t="n">
        <x:f>H135+I135</x:f>
        <x:v>1201.9004738909223</x:v>
      </x:c>
      <x:c r="L135" s="141" t="n">
        <x:f>SUM($J$6:J135)</x:f>
        <x:v>236080.78684638333</x:v>
      </x:c>
      <x:c r="M135" s="141" t="n">
        <x:f>MAX(0,E135-G135)</x:f>
        <x:v>110476.19047619066</x:v>
      </x:c>
    </x:row>
    <x:row r="136">
      <x:c r="A136" s="142" t="n">
        <x:v>131</x:v>
      </x:c>
      <x:c r="B136" s="179" t="n">
        <x:f>EDATE(Premissas!$B$4,130)</x:f>
        <x:v>50496</x:v>
      </x:c>
      <x:c r="C136" s="141" t="n">
        <x:f>M135</x:f>
        <x:v>110476.19047619066</x:v>
      </x:c>
      <x:c r="D136" s="141" t="n">
        <x:f>IF(C136&gt;0,C136*Premissas!$B$17,0)</x:f>
        <x:v>0</x:v>
      </x:c>
      <x:c r="E136" s="141" t="n">
        <x:f>C136+D136</x:f>
        <x:v>110476.19047619066</x:v>
      </x:c>
      <x:c r="F136" s="142" t="n">
        <x:f>MAX(0,Premissas!$B$13-A136+1)</x:f>
        <x:v>290</x:v>
      </x:c>
      <x:c r="G136" s="141" t="n">
        <x:f>IF(AND(E136&gt;0,F136&gt;0),IF(Premissas!$B$19="PRICE",MAX(0,MIN(E136,IF(Premissas!$B$15=0,E136/F136,E136*Premissas!$B$15/(1-(1+Premissas!$B$15)^(-F136)))-H136)),MIN(E136,E136/F136)),0)</x:f>
        <x:v>380.9523809523816</x:v>
      </x:c>
      <x:c r="H136" s="141" t="n">
        <x:f>IF(AND(E136&gt;0,F136&gt;0),E136*Premissas!$B$15,0)</x:f>
        <x:v>1048.2856956301287</x:v>
      </x:c>
      <x:c r="I136" s="141" t="n">
        <x:f>IF(AND(E136&gt;0,F136&gt;0),Premissas!$B$18,0)</x:f>
        <x:v>150</x:v>
      </x:c>
      <x:c r="J136" s="141" t="n">
        <x:f>IF(AND(E136&gt;0,F136&gt;0),IF(Premissas!$B$19="PRICE",IF(Premissas!$B$15=0,E136/F136,E136*Premissas!$B$15/(1-(1+Premissas!$B$15)^(-F136)))+I136,G136+H136+I136),0)</x:f>
        <x:v>1579.2380765825103</x:v>
      </x:c>
      <x:c r="K136" s="141" t="n">
        <x:f>H136+I136</x:f>
        <x:v>1198.2856956301287</x:v>
      </x:c>
      <x:c r="L136" s="141" t="n">
        <x:f>SUM($J$6:J136)</x:f>
        <x:v>237660.02492296585</x:v>
      </x:c>
      <x:c r="M136" s="141" t="n">
        <x:f>MAX(0,E136-G136)</x:f>
        <x:v>110095.23809523828</x:v>
      </x:c>
    </x:row>
    <x:row r="137">
      <x:c r="A137" s="142" t="n">
        <x:v>132</x:v>
      </x:c>
      <x:c r="B137" s="179" t="n">
        <x:f>EDATE(Premissas!$B$4,131)</x:f>
        <x:v>50526</x:v>
      </x:c>
      <x:c r="C137" s="141" t="n">
        <x:f>M136</x:f>
        <x:v>110095.23809523828</x:v>
      </x:c>
      <x:c r="D137" s="141" t="n">
        <x:f>IF(C137&gt;0,C137*Premissas!$B$17,0)</x:f>
        <x:v>0</x:v>
      </x:c>
      <x:c r="E137" s="141" t="n">
        <x:f>C137+D137</x:f>
        <x:v>110095.23809523828</x:v>
      </x:c>
      <x:c r="F137" s="142" t="n">
        <x:f>MAX(0,Premissas!$B$13-A137+1)</x:f>
        <x:v>289</x:v>
      </x:c>
      <x:c r="G137" s="141" t="n">
        <x:f>IF(AND(E137&gt;0,F137&gt;0),IF(Premissas!$B$19="PRICE",MAX(0,MIN(E137,IF(Premissas!$B$15=0,E137/F137,E137*Premissas!$B$15/(1-(1+Premissas!$B$15)^(-F137)))-H137)),MIN(E137,E137/F137)),0)</x:f>
        <x:v>380.9523809523816</x:v>
      </x:c>
      <x:c r="H137" s="141" t="n">
        <x:f>IF(AND(E137&gt;0,F137&gt;0),E137*Premissas!$B$15,0)</x:f>
        <x:v>1044.6709173693353</x:v>
      </x:c>
      <x:c r="I137" s="141" t="n">
        <x:f>IF(AND(E137&gt;0,F137&gt;0),Premissas!$B$18,0)</x:f>
        <x:v>150</x:v>
      </x:c>
      <x:c r="J137" s="141" t="n">
        <x:f>IF(AND(E137&gt;0,F137&gt;0),IF(Premissas!$B$19="PRICE",IF(Premissas!$B$15=0,E137/F137,E137*Premissas!$B$15/(1-(1+Premissas!$B$15)^(-F137)))+I137,G137+H137+I137),0)</x:f>
        <x:v>1575.623298321717</x:v>
      </x:c>
      <x:c r="K137" s="141" t="n">
        <x:f>H137+I137</x:f>
        <x:v>1194.6709173693353</x:v>
      </x:c>
      <x:c r="L137" s="141" t="n">
        <x:f>SUM($J$6:J137)</x:f>
        <x:v>239235.64822128756</x:v>
      </x:c>
      <x:c r="M137" s="141" t="n">
        <x:f>MAX(0,E137-G137)</x:f>
        <x:v>109714.2857142859</x:v>
      </x:c>
    </x:row>
    <x:row r="138">
      <x:c r="A138" s="142" t="n">
        <x:v>133</x:v>
      </x:c>
      <x:c r="B138" s="179" t="n">
        <x:f>EDATE(Premissas!$B$4,132)</x:f>
        <x:v>50557</x:v>
      </x:c>
      <x:c r="C138" s="141" t="n">
        <x:f>M137</x:f>
        <x:v>109714.2857142859</x:v>
      </x:c>
      <x:c r="D138" s="141" t="n">
        <x:f>IF(C138&gt;0,C138*Premissas!$B$17,0)</x:f>
        <x:v>0</x:v>
      </x:c>
      <x:c r="E138" s="141" t="n">
        <x:f>C138+D138</x:f>
        <x:v>109714.2857142859</x:v>
      </x:c>
      <x:c r="F138" s="142" t="n">
        <x:f>MAX(0,Premissas!$B$13-A138+1)</x:f>
        <x:v>288</x:v>
      </x:c>
      <x:c r="G138" s="141" t="n">
        <x:f>IF(AND(E138&gt;0,F138&gt;0),IF(Premissas!$B$19="PRICE",MAX(0,MIN(E138,IF(Premissas!$B$15=0,E138/F138,E138*Premissas!$B$15/(1-(1+Premissas!$B$15)^(-F138)))-H138)),MIN(E138,E138/F138)),0)</x:f>
        <x:v>380.9523809523816</x:v>
      </x:c>
      <x:c r="H138" s="141" t="n">
        <x:f>IF(AND(E138&gt;0,F138&gt;0),E138*Premissas!$B$15,0)</x:f>
        <x:v>1041.0561391085416</x:v>
      </x:c>
      <x:c r="I138" s="141" t="n">
        <x:f>IF(AND(E138&gt;0,F138&gt;0),Premissas!$B$18,0)</x:f>
        <x:v>150</x:v>
      </x:c>
      <x:c r="J138" s="141" t="n">
        <x:f>IF(AND(E138&gt;0,F138&gt;0),IF(Premissas!$B$19="PRICE",IF(Premissas!$B$15=0,E138/F138,E138*Premissas!$B$15/(1-(1+Premissas!$B$15)^(-F138)))+I138,G138+H138+I138),0)</x:f>
        <x:v>1572.0085200609233</x:v>
      </x:c>
      <x:c r="K138" s="141" t="n">
        <x:f>H138+I138</x:f>
        <x:v>1191.0561391085416</x:v>
      </x:c>
      <x:c r="L138" s="141" t="n">
        <x:f>SUM($J$6:J138)</x:f>
        <x:v>240807.65674134847</x:v>
      </x:c>
      <x:c r="M138" s="141" t="n">
        <x:f>MAX(0,E138-G138)</x:f>
        <x:v>109333.33333333352</x:v>
      </x:c>
    </x:row>
    <x:row r="139">
      <x:c r="A139" s="142" t="n">
        <x:v>134</x:v>
      </x:c>
      <x:c r="B139" s="179" t="n">
        <x:f>EDATE(Premissas!$B$4,133)</x:f>
        <x:v>50587</x:v>
      </x:c>
      <x:c r="C139" s="141" t="n">
        <x:f>M138</x:f>
        <x:v>109333.33333333352</x:v>
      </x:c>
      <x:c r="D139" s="141" t="n">
        <x:f>IF(C139&gt;0,C139*Premissas!$B$17,0)</x:f>
        <x:v>0</x:v>
      </x:c>
      <x:c r="E139" s="141" t="n">
        <x:f>C139+D139</x:f>
        <x:v>109333.33333333352</x:v>
      </x:c>
      <x:c r="F139" s="142" t="n">
        <x:f>MAX(0,Premissas!$B$13-A139+1)</x:f>
        <x:v>287</x:v>
      </x:c>
      <x:c r="G139" s="141" t="n">
        <x:f>IF(AND(E139&gt;0,F139&gt;0),IF(Premissas!$B$19="PRICE",MAX(0,MIN(E139,IF(Premissas!$B$15=0,E139/F139,E139*Premissas!$B$15/(1-(1+Premissas!$B$15)^(-F139)))-H139)),MIN(E139,E139/F139)),0)</x:f>
        <x:v>380.9523809523816</x:v>
      </x:c>
      <x:c r="H139" s="141" t="n">
        <x:f>IF(AND(E139&gt;0,F139&gt;0),E139*Premissas!$B$15,0)</x:f>
        <x:v>1037.441360847748</x:v>
      </x:c>
      <x:c r="I139" s="141" t="n">
        <x:f>IF(AND(E139&gt;0,F139&gt;0),Premissas!$B$18,0)</x:f>
        <x:v>150</x:v>
      </x:c>
      <x:c r="J139" s="141" t="n">
        <x:f>IF(AND(E139&gt;0,F139&gt;0),IF(Premissas!$B$19="PRICE",IF(Premissas!$B$15=0,E139/F139,E139*Premissas!$B$15/(1-(1+Premissas!$B$15)^(-F139)))+I139,G139+H139+I139),0)</x:f>
        <x:v>1568.3937418001296</x:v>
      </x:c>
      <x:c r="K139" s="141" t="n">
        <x:f>H139+I139</x:f>
        <x:v>1187.441360847748</x:v>
      </x:c>
      <x:c r="L139" s="141" t="n">
        <x:f>SUM($J$6:J139)</x:f>
        <x:v>242376.0504831486</x:v>
      </x:c>
      <x:c r="M139" s="141" t="n">
        <x:f>MAX(0,E139-G139)</x:f>
        <x:v>108952.38095238114</x:v>
      </x:c>
    </x:row>
    <x:row r="140">
      <x:c r="A140" s="142" t="n">
        <x:v>135</x:v>
      </x:c>
      <x:c r="B140" s="179" t="n">
        <x:f>EDATE(Premissas!$B$4,134)</x:f>
        <x:v>50618</x:v>
      </x:c>
      <x:c r="C140" s="141" t="n">
        <x:f>M139</x:f>
        <x:v>108952.38095238114</x:v>
      </x:c>
      <x:c r="D140" s="141" t="n">
        <x:f>IF(C140&gt;0,C140*Premissas!$B$17,0)</x:f>
        <x:v>0</x:v>
      </x:c>
      <x:c r="E140" s="141" t="n">
        <x:f>C140+D140</x:f>
        <x:v>108952.38095238114</x:v>
      </x:c>
      <x:c r="F140" s="142" t="n">
        <x:f>MAX(0,Premissas!$B$13-A140+1)</x:f>
        <x:v>286</x:v>
      </x:c>
      <x:c r="G140" s="141" t="n">
        <x:f>IF(AND(E140&gt;0,F140&gt;0),IF(Premissas!$B$19="PRICE",MAX(0,MIN(E140,IF(Premissas!$B$15=0,E140/F140,E140*Premissas!$B$15/(1-(1+Premissas!$B$15)^(-F140)))-H140)),MIN(E140,E140/F140)),0)</x:f>
        <x:v>380.9523809523816</x:v>
      </x:c>
      <x:c r="H140" s="141" t="n">
        <x:f>IF(AND(E140&gt;0,F140&gt;0),E140*Premissas!$B$15,0)</x:f>
        <x:v>1033.8265825869546</x:v>
      </x:c>
      <x:c r="I140" s="141" t="n">
        <x:f>IF(AND(E140&gt;0,F140&gt;0),Premissas!$B$18,0)</x:f>
        <x:v>150</x:v>
      </x:c>
      <x:c r="J140" s="141" t="n">
        <x:f>IF(AND(E140&gt;0,F140&gt;0),IF(Premissas!$B$19="PRICE",IF(Premissas!$B$15=0,E140/F140,E140*Premissas!$B$15/(1-(1+Premissas!$B$15)^(-F140)))+I140,G140+H140+I140),0)</x:f>
        <x:v>1564.7789635393362</x:v>
      </x:c>
      <x:c r="K140" s="141" t="n">
        <x:f>H140+I140</x:f>
        <x:v>1183.8265825869546</x:v>
      </x:c>
      <x:c r="L140" s="141" t="n">
        <x:f>SUM($J$6:J140)</x:f>
        <x:v>243940.82944668795</x:v>
      </x:c>
      <x:c r="M140" s="141" t="n">
        <x:f>MAX(0,E140-G140)</x:f>
        <x:v>108571.42857142875</x:v>
      </x:c>
    </x:row>
    <x:row r="141">
      <x:c r="A141" s="142" t="n">
        <x:v>136</x:v>
      </x:c>
      <x:c r="B141" s="179" t="n">
        <x:f>EDATE(Premissas!$B$4,135)</x:f>
        <x:v>50649</x:v>
      </x:c>
      <x:c r="C141" s="141" t="n">
        <x:f>M140</x:f>
        <x:v>108571.42857142875</x:v>
      </x:c>
      <x:c r="D141" s="141" t="n">
        <x:f>IF(C141&gt;0,C141*Premissas!$B$17,0)</x:f>
        <x:v>0</x:v>
      </x:c>
      <x:c r="E141" s="141" t="n">
        <x:f>C141+D141</x:f>
        <x:v>108571.42857142875</x:v>
      </x:c>
      <x:c r="F141" s="142" t="n">
        <x:f>MAX(0,Premissas!$B$13-A141+1)</x:f>
        <x:v>285</x:v>
      </x:c>
      <x:c r="G141" s="141" t="n">
        <x:f>IF(AND(E141&gt;0,F141&gt;0),IF(Premissas!$B$19="PRICE",MAX(0,MIN(E141,IF(Premissas!$B$15=0,E141/F141,E141*Premissas!$B$15/(1-(1+Premissas!$B$15)^(-F141)))-H141)),MIN(E141,E141/F141)),0)</x:f>
        <x:v>380.9523809523816</x:v>
      </x:c>
      <x:c r="H141" s="141" t="n">
        <x:f>IF(AND(E141&gt;0,F141&gt;0),E141*Premissas!$B$15,0)</x:f>
        <x:v>1030.211804326161</x:v>
      </x:c>
      <x:c r="I141" s="141" t="n">
        <x:f>IF(AND(E141&gt;0,F141&gt;0),Premissas!$B$18,0)</x:f>
        <x:v>150</x:v>
      </x:c>
      <x:c r="J141" s="141" t="n">
        <x:f>IF(AND(E141&gt;0,F141&gt;0),IF(Premissas!$B$19="PRICE",IF(Premissas!$B$15=0,E141/F141,E141*Premissas!$B$15/(1-(1+Premissas!$B$15)^(-F141)))+I141,G141+H141+I141),0)</x:f>
        <x:v>1561.1641852785426</x:v>
      </x:c>
      <x:c r="K141" s="141" t="n">
        <x:f>H141+I141</x:f>
        <x:v>1180.211804326161</x:v>
      </x:c>
      <x:c r="L141" s="141" t="n">
        <x:f>SUM($J$6:J141)</x:f>
        <x:v>245501.9936319665</x:v>
      </x:c>
      <x:c r="M141" s="141" t="n">
        <x:f>MAX(0,E141-G141)</x:f>
        <x:v>108190.47619047637</x:v>
      </x:c>
    </x:row>
    <x:row r="142">
      <x:c r="A142" s="142" t="n">
        <x:v>137</x:v>
      </x:c>
      <x:c r="B142" s="179" t="n">
        <x:f>EDATE(Premissas!$B$4,136)</x:f>
        <x:v>50679</x:v>
      </x:c>
      <x:c r="C142" s="141" t="n">
        <x:f>M141</x:f>
        <x:v>108190.47619047637</x:v>
      </x:c>
      <x:c r="D142" s="141" t="n">
        <x:f>IF(C142&gt;0,C142*Premissas!$B$17,0)</x:f>
        <x:v>0</x:v>
      </x:c>
      <x:c r="E142" s="141" t="n">
        <x:f>C142+D142</x:f>
        <x:v>108190.47619047637</x:v>
      </x:c>
      <x:c r="F142" s="142" t="n">
        <x:f>MAX(0,Premissas!$B$13-A142+1)</x:f>
        <x:v>284</x:v>
      </x:c>
      <x:c r="G142" s="141" t="n">
        <x:f>IF(AND(E142&gt;0,F142&gt;0),IF(Premissas!$B$19="PRICE",MAX(0,MIN(E142,IF(Premissas!$B$15=0,E142/F142,E142*Premissas!$B$15/(1-(1+Premissas!$B$15)^(-F142)))-H142)),MIN(E142,E142/F142)),0)</x:f>
        <x:v>380.9523809523816</x:v>
      </x:c>
      <x:c r="H142" s="141" t="n">
        <x:f>IF(AND(E142&gt;0,F142&gt;0),E142*Premissas!$B$15,0)</x:f>
        <x:v>1026.5970260653673</x:v>
      </x:c>
      <x:c r="I142" s="141" t="n">
        <x:f>IF(AND(E142&gt;0,F142&gt;0),Premissas!$B$18,0)</x:f>
        <x:v>150</x:v>
      </x:c>
      <x:c r="J142" s="141" t="n">
        <x:f>IF(AND(E142&gt;0,F142&gt;0),IF(Premissas!$B$19="PRICE",IF(Premissas!$B$15=0,E142/F142,E142*Premissas!$B$15/(1-(1+Premissas!$B$15)^(-F142)))+I142,G142+H142+I142),0)</x:f>
        <x:v>1557.549407017749</x:v>
      </x:c>
      <x:c r="K142" s="141" t="n">
        <x:f>H142+I142</x:f>
        <x:v>1176.5970260653673</x:v>
      </x:c>
      <x:c r="L142" s="141" t="n">
        <x:f>SUM($J$6:J142)</x:f>
        <x:v>247059.54303898424</x:v>
      </x:c>
      <x:c r="M142" s="141" t="n">
        <x:f>MAX(0,E142-G142)</x:f>
        <x:v>107809.52380952399</x:v>
      </x:c>
    </x:row>
    <x:row r="143">
      <x:c r="A143" s="142" t="n">
        <x:v>138</x:v>
      </x:c>
      <x:c r="B143" s="179" t="n">
        <x:f>EDATE(Premissas!$B$4,137)</x:f>
        <x:v>50710</x:v>
      </x:c>
      <x:c r="C143" s="141" t="n">
        <x:f>M142</x:f>
        <x:v>107809.52380952399</x:v>
      </x:c>
      <x:c r="D143" s="141" t="n">
        <x:f>IF(C143&gt;0,C143*Premissas!$B$17,0)</x:f>
        <x:v>0</x:v>
      </x:c>
      <x:c r="E143" s="141" t="n">
        <x:f>C143+D143</x:f>
        <x:v>107809.52380952399</x:v>
      </x:c>
      <x:c r="F143" s="142" t="n">
        <x:f>MAX(0,Premissas!$B$13-A143+1)</x:f>
        <x:v>283</x:v>
      </x:c>
      <x:c r="G143" s="141" t="n">
        <x:f>IF(AND(E143&gt;0,F143&gt;0),IF(Premissas!$B$19="PRICE",MAX(0,MIN(E143,IF(Premissas!$B$15=0,E143/F143,E143*Premissas!$B$15/(1-(1+Premissas!$B$15)^(-F143)))-H143)),MIN(E143,E143/F143)),0)</x:f>
        <x:v>380.9523809523816</x:v>
      </x:c>
      <x:c r="H143" s="141" t="n">
        <x:f>IF(AND(E143&gt;0,F143&gt;0),E143*Premissas!$B$15,0)</x:f>
        <x:v>1022.982247804574</x:v>
      </x:c>
      <x:c r="I143" s="141" t="n">
        <x:f>IF(AND(E143&gt;0,F143&gt;0),Premissas!$B$18,0)</x:f>
        <x:v>150</x:v>
      </x:c>
      <x:c r="J143" s="141" t="n">
        <x:f>IF(AND(E143&gt;0,F143&gt;0),IF(Premissas!$B$19="PRICE",IF(Premissas!$B$15=0,E143/F143,E143*Premissas!$B$15/(1-(1+Premissas!$B$15)^(-F143)))+I143,G143+H143+I143),0)</x:f>
        <x:v>1553.9346287569556</x:v>
      </x:c>
      <x:c r="K143" s="141" t="n">
        <x:f>H143+I143</x:f>
        <x:v>1172.982247804574</x:v>
      </x:c>
      <x:c r="L143" s="141" t="n">
        <x:f>SUM($J$6:J143)</x:f>
        <x:v>248613.4776677412</x:v>
      </x:c>
      <x:c r="M143" s="141" t="n">
        <x:f>MAX(0,E143-G143)</x:f>
        <x:v>107428.57142857161</x:v>
      </x:c>
    </x:row>
    <x:row r="144">
      <x:c r="A144" s="142" t="n">
        <x:v>139</x:v>
      </x:c>
      <x:c r="B144" s="179" t="n">
        <x:f>EDATE(Premissas!$B$4,138)</x:f>
        <x:v>50740</x:v>
      </x:c>
      <x:c r="C144" s="141" t="n">
        <x:f>M143</x:f>
        <x:v>107428.57142857161</x:v>
      </x:c>
      <x:c r="D144" s="141" t="n">
        <x:f>IF(C144&gt;0,C144*Premissas!$B$17,0)</x:f>
        <x:v>0</x:v>
      </x:c>
      <x:c r="E144" s="141" t="n">
        <x:f>C144+D144</x:f>
        <x:v>107428.57142857161</x:v>
      </x:c>
      <x:c r="F144" s="142" t="n">
        <x:f>MAX(0,Premissas!$B$13-A144+1)</x:f>
        <x:v>282</x:v>
      </x:c>
      <x:c r="G144" s="141" t="n">
        <x:f>IF(AND(E144&gt;0,F144&gt;0),IF(Premissas!$B$19="PRICE",MAX(0,MIN(E144,IF(Premissas!$B$15=0,E144/F144,E144*Premissas!$B$15/(1-(1+Premissas!$B$15)^(-F144)))-H144)),MIN(E144,E144/F144)),0)</x:f>
        <x:v>380.9523809523816</x:v>
      </x:c>
      <x:c r="H144" s="141" t="n">
        <x:f>IF(AND(E144&gt;0,F144&gt;0),E144*Premissas!$B$15,0)</x:f>
        <x:v>1019.3674695437803</x:v>
      </x:c>
      <x:c r="I144" s="141" t="n">
        <x:f>IF(AND(E144&gt;0,F144&gt;0),Premissas!$B$18,0)</x:f>
        <x:v>150</x:v>
      </x:c>
      <x:c r="J144" s="141" t="n">
        <x:f>IF(AND(E144&gt;0,F144&gt;0),IF(Premissas!$B$19="PRICE",IF(Premissas!$B$15=0,E144/F144,E144*Premissas!$B$15/(1-(1+Premissas!$B$15)^(-F144)))+I144,G144+H144+I144),0)</x:f>
        <x:v>1550.319850496162</x:v>
      </x:c>
      <x:c r="K144" s="141" t="n">
        <x:f>H144+I144</x:f>
        <x:v>1169.3674695437803</x:v>
      </x:c>
      <x:c r="L144" s="141" t="n">
        <x:f>SUM($J$6:J144)</x:f>
        <x:v>250163.79751823735</x:v>
      </x:c>
      <x:c r="M144" s="141" t="n">
        <x:f>MAX(0,E144-G144)</x:f>
        <x:v>107047.61904761923</x:v>
      </x:c>
    </x:row>
    <x:row r="145">
      <x:c r="A145" s="142" t="n">
        <x:v>140</x:v>
      </x:c>
      <x:c r="B145" s="179" t="n">
        <x:f>EDATE(Premissas!$B$4,139)</x:f>
        <x:v>50771</x:v>
      </x:c>
      <x:c r="C145" s="141" t="n">
        <x:f>M144</x:f>
        <x:v>107047.61904761923</x:v>
      </x:c>
      <x:c r="D145" s="141" t="n">
        <x:f>IF(C145&gt;0,C145*Premissas!$B$17,0)</x:f>
        <x:v>0</x:v>
      </x:c>
      <x:c r="E145" s="141" t="n">
        <x:f>C145+D145</x:f>
        <x:v>107047.61904761923</x:v>
      </x:c>
      <x:c r="F145" s="142" t="n">
        <x:f>MAX(0,Premissas!$B$13-A145+1)</x:f>
        <x:v>281</x:v>
      </x:c>
      <x:c r="G145" s="141" t="n">
        <x:f>IF(AND(E145&gt;0,F145&gt;0),IF(Premissas!$B$19="PRICE",MAX(0,MIN(E145,IF(Premissas!$B$15=0,E145/F145,E145*Premissas!$B$15/(1-(1+Premissas!$B$15)^(-F145)))-H145)),MIN(E145,E145/F145)),0)</x:f>
        <x:v>380.9523809523816</x:v>
      </x:c>
      <x:c r="H145" s="141" t="n">
        <x:f>IF(AND(E145&gt;0,F145&gt;0),E145*Premissas!$B$15,0)</x:f>
        <x:v>1015.7526912829868</x:v>
      </x:c>
      <x:c r="I145" s="141" t="n">
        <x:f>IF(AND(E145&gt;0,F145&gt;0),Premissas!$B$18,0)</x:f>
        <x:v>150</x:v>
      </x:c>
      <x:c r="J145" s="141" t="n">
        <x:f>IF(AND(E145&gt;0,F145&gt;0),IF(Premissas!$B$19="PRICE",IF(Premissas!$B$15=0,E145/F145,E145*Premissas!$B$15/(1-(1+Premissas!$B$15)^(-F145)))+I145,G145+H145+I145),0)</x:f>
        <x:v>1546.7050722353683</x:v>
      </x:c>
      <x:c r="K145" s="141" t="n">
        <x:f>H145+I145</x:f>
        <x:v>1165.7526912829867</x:v>
      </x:c>
      <x:c r="L145" s="141" t="n">
        <x:f>SUM($J$6:J145)</x:f>
        <x:v>251710.50259047272</x:v>
      </x:c>
      <x:c r="M145" s="141" t="n">
        <x:f>MAX(0,E145-G145)</x:f>
        <x:v>106666.66666666685</x:v>
      </x:c>
    </x:row>
    <x:row r="146">
      <x:c r="A146" s="142" t="n">
        <x:v>141</x:v>
      </x:c>
      <x:c r="B146" s="179" t="n">
        <x:f>EDATE(Premissas!$B$4,140)</x:f>
        <x:v>50802</x:v>
      </x:c>
      <x:c r="C146" s="141" t="n">
        <x:f>M145</x:f>
        <x:v>106666.66666666685</x:v>
      </x:c>
      <x:c r="D146" s="141" t="n">
        <x:f>IF(C146&gt;0,C146*Premissas!$B$17,0)</x:f>
        <x:v>0</x:v>
      </x:c>
      <x:c r="E146" s="141" t="n">
        <x:f>C146+D146</x:f>
        <x:v>106666.66666666685</x:v>
      </x:c>
      <x:c r="F146" s="142" t="n">
        <x:f>MAX(0,Premissas!$B$13-A146+1)</x:f>
        <x:v>280</x:v>
      </x:c>
      <x:c r="G146" s="141" t="n">
        <x:f>IF(AND(E146&gt;0,F146&gt;0),IF(Premissas!$B$19="PRICE",MAX(0,MIN(E146,IF(Premissas!$B$15=0,E146/F146,E146*Premissas!$B$15/(1-(1+Premissas!$B$15)^(-F146)))-H146)),MIN(E146,E146/F146)),0)</x:f>
        <x:v>380.9523809523816</x:v>
      </x:c>
      <x:c r="H146" s="141" t="n">
        <x:f>IF(AND(E146&gt;0,F146&gt;0),E146*Premissas!$B$15,0)</x:f>
        <x:v>1012.1379130221933</x:v>
      </x:c>
      <x:c r="I146" s="141" t="n">
        <x:f>IF(AND(E146&gt;0,F146&gt;0),Premissas!$B$18,0)</x:f>
        <x:v>150</x:v>
      </x:c>
      <x:c r="J146" s="141" t="n">
        <x:f>IF(AND(E146&gt;0,F146&gt;0),IF(Premissas!$B$19="PRICE",IF(Premissas!$B$15=0,E146/F146,E146*Premissas!$B$15/(1-(1+Premissas!$B$15)^(-F146)))+I146,G146+H146+I146),0)</x:f>
        <x:v>1543.090293974575</x:v>
      </x:c>
      <x:c r="K146" s="141" t="n">
        <x:f>H146+I146</x:f>
        <x:v>1162.1379130221933</x:v>
      </x:c>
      <x:c r="L146" s="141" t="n">
        <x:f>SUM($J$6:J146)</x:f>
        <x:v>253253.5928844473</x:v>
      </x:c>
      <x:c r="M146" s="141" t="n">
        <x:f>MAX(0,E146-G146)</x:f>
        <x:v>106285.71428571446</x:v>
      </x:c>
    </x:row>
    <x:row r="147">
      <x:c r="A147" s="142" t="n">
        <x:v>142</x:v>
      </x:c>
      <x:c r="B147" s="179" t="n">
        <x:f>EDATE(Premissas!$B$4,141)</x:f>
        <x:v>50830</x:v>
      </x:c>
      <x:c r="C147" s="141" t="n">
        <x:f>M146</x:f>
        <x:v>106285.71428571446</x:v>
      </x:c>
      <x:c r="D147" s="141" t="n">
        <x:f>IF(C147&gt;0,C147*Premissas!$B$17,0)</x:f>
        <x:v>0</x:v>
      </x:c>
      <x:c r="E147" s="141" t="n">
        <x:f>C147+D147</x:f>
        <x:v>106285.71428571446</x:v>
      </x:c>
      <x:c r="F147" s="142" t="n">
        <x:f>MAX(0,Premissas!$B$13-A147+1)</x:f>
        <x:v>279</x:v>
      </x:c>
      <x:c r="G147" s="141" t="n">
        <x:f>IF(AND(E147&gt;0,F147&gt;0),IF(Premissas!$B$19="PRICE",MAX(0,MIN(E147,IF(Premissas!$B$15=0,E147/F147,E147*Premissas!$B$15/(1-(1+Premissas!$B$15)^(-F147)))-H147)),MIN(E147,E147/F147)),0)</x:f>
        <x:v>380.9523809523816</x:v>
      </x:c>
      <x:c r="H147" s="141" t="n">
        <x:f>IF(AND(E147&gt;0,F147&gt;0),E147*Premissas!$B$15,0)</x:f>
        <x:v>1008.5231347613997</x:v>
      </x:c>
      <x:c r="I147" s="141" t="n">
        <x:f>IF(AND(E147&gt;0,F147&gt;0),Premissas!$B$18,0)</x:f>
        <x:v>150</x:v>
      </x:c>
      <x:c r="J147" s="141" t="n">
        <x:f>IF(AND(E147&gt;0,F147&gt;0),IF(Premissas!$B$19="PRICE",IF(Premissas!$B$15=0,E147/F147,E147*Premissas!$B$15/(1-(1+Premissas!$B$15)^(-F147)))+I147,G147+H147+I147),0)</x:f>
        <x:v>1539.4755157137813</x:v>
      </x:c>
      <x:c r="K147" s="141" t="n">
        <x:f>H147+I147</x:f>
        <x:v>1158.5231347613997</x:v>
      </x:c>
      <x:c r="L147" s="141" t="n">
        <x:f>SUM($J$6:J147)</x:f>
        <x:v>254793.06840016108</x:v>
      </x:c>
      <x:c r="M147" s="141" t="n">
        <x:f>MAX(0,E147-G147)</x:f>
        <x:v>105904.76190476208</x:v>
      </x:c>
    </x:row>
    <x:row r="148">
      <x:c r="A148" s="142" t="n">
        <x:v>143</x:v>
      </x:c>
      <x:c r="B148" s="179" t="n">
        <x:f>EDATE(Premissas!$B$4,142)</x:f>
        <x:v>50861</x:v>
      </x:c>
      <x:c r="C148" s="141" t="n">
        <x:f>M147</x:f>
        <x:v>105904.76190476208</x:v>
      </x:c>
      <x:c r="D148" s="141" t="n">
        <x:f>IF(C148&gt;0,C148*Premissas!$B$17,0)</x:f>
        <x:v>0</x:v>
      </x:c>
      <x:c r="E148" s="141" t="n">
        <x:f>C148+D148</x:f>
        <x:v>105904.76190476208</x:v>
      </x:c>
      <x:c r="F148" s="142" t="n">
        <x:f>MAX(0,Premissas!$B$13-A148+1)</x:f>
        <x:v>278</x:v>
      </x:c>
      <x:c r="G148" s="141" t="n">
        <x:f>IF(AND(E148&gt;0,F148&gt;0),IF(Premissas!$B$19="PRICE",MAX(0,MIN(E148,IF(Premissas!$B$15=0,E148/F148,E148*Premissas!$B$15/(1-(1+Premissas!$B$15)^(-F148)))-H148)),MIN(E148,E148/F148)),0)</x:f>
        <x:v>380.9523809523816</x:v>
      </x:c>
      <x:c r="H148" s="141" t="n">
        <x:f>IF(AND(E148&gt;0,F148&gt;0),E148*Premissas!$B$15,0)</x:f>
        <x:v>1004.9083565006061</x:v>
      </x:c>
      <x:c r="I148" s="141" t="n">
        <x:f>IF(AND(E148&gt;0,F148&gt;0),Premissas!$B$18,0)</x:f>
        <x:v>150</x:v>
      </x:c>
      <x:c r="J148" s="141" t="n">
        <x:f>IF(AND(E148&gt;0,F148&gt;0),IF(Premissas!$B$19="PRICE",IF(Premissas!$B$15=0,E148/F148,E148*Premissas!$B$15/(1-(1+Premissas!$B$15)^(-F148)))+I148,G148+H148+I148),0)</x:f>
        <x:v>1535.8607374529877</x:v>
      </x:c>
      <x:c r="K148" s="141" t="n">
        <x:f>H148+I148</x:f>
        <x:v>1154.9083565006063</x:v>
      </x:c>
      <x:c r="L148" s="141" t="n">
        <x:f>SUM($J$6:J148)</x:f>
        <x:v>256328.92913761406</x:v>
      </x:c>
      <x:c r="M148" s="141" t="n">
        <x:f>MAX(0,E148-G148)</x:f>
        <x:v>105523.8095238097</x:v>
      </x:c>
    </x:row>
    <x:row r="149">
      <x:c r="A149" s="142" t="n">
        <x:v>144</x:v>
      </x:c>
      <x:c r="B149" s="179" t="n">
        <x:f>EDATE(Premissas!$B$4,143)</x:f>
        <x:v>50891</x:v>
      </x:c>
      <x:c r="C149" s="141" t="n">
        <x:f>M148</x:f>
        <x:v>105523.8095238097</x:v>
      </x:c>
      <x:c r="D149" s="141" t="n">
        <x:f>IF(C149&gt;0,C149*Premissas!$B$17,0)</x:f>
        <x:v>0</x:v>
      </x:c>
      <x:c r="E149" s="141" t="n">
        <x:f>C149+D149</x:f>
        <x:v>105523.8095238097</x:v>
      </x:c>
      <x:c r="F149" s="142" t="n">
        <x:f>MAX(0,Premissas!$B$13-A149+1)</x:f>
        <x:v>277</x:v>
      </x:c>
      <x:c r="G149" s="141" t="n">
        <x:f>IF(AND(E149&gt;0,F149&gt;0),IF(Premissas!$B$19="PRICE",MAX(0,MIN(E149,IF(Premissas!$B$15=0,E149/F149,E149*Premissas!$B$15/(1-(1+Premissas!$B$15)^(-F149)))-H149)),MIN(E149,E149/F149)),0)</x:f>
        <x:v>380.9523809523816</x:v>
      </x:c>
      <x:c r="H149" s="141" t="n">
        <x:f>IF(AND(E149&gt;0,F149&gt;0),E149*Premissas!$B$15,0)</x:f>
        <x:v>1001.2935782398126</x:v>
      </x:c>
      <x:c r="I149" s="141" t="n">
        <x:f>IF(AND(E149&gt;0,F149&gt;0),Premissas!$B$18,0)</x:f>
        <x:v>150</x:v>
      </x:c>
      <x:c r="J149" s="141" t="n">
        <x:f>IF(AND(E149&gt;0,F149&gt;0),IF(Premissas!$B$19="PRICE",IF(Premissas!$B$15=0,E149/F149,E149*Premissas!$B$15/(1-(1+Premissas!$B$15)^(-F149)))+I149,G149+H149+I149),0)</x:f>
        <x:v>1532.2459591921943</x:v>
      </x:c>
      <x:c r="K149" s="141" t="n">
        <x:f>H149+I149</x:f>
        <x:v>1151.2935782398126</x:v>
      </x:c>
      <x:c r="L149" s="141" t="n">
        <x:f>SUM($J$6:J149)</x:f>
        <x:v>257861.17509680626</x:v>
      </x:c>
      <x:c r="M149" s="141" t="n">
        <x:f>MAX(0,E149-G149)</x:f>
        <x:v>105142.85714285732</x:v>
      </x:c>
    </x:row>
    <x:row r="150">
      <x:c r="A150" s="142" t="n">
        <x:v>145</x:v>
      </x:c>
      <x:c r="B150" s="179" t="n">
        <x:f>EDATE(Premissas!$B$4,144)</x:f>
        <x:v>50922</x:v>
      </x:c>
      <x:c r="C150" s="141" t="n">
        <x:f>M149</x:f>
        <x:v>105142.85714285732</x:v>
      </x:c>
      <x:c r="D150" s="141" t="n">
        <x:f>IF(C150&gt;0,C150*Premissas!$B$17,0)</x:f>
        <x:v>0</x:v>
      </x:c>
      <x:c r="E150" s="141" t="n">
        <x:f>C150+D150</x:f>
        <x:v>105142.85714285732</x:v>
      </x:c>
      <x:c r="F150" s="142" t="n">
        <x:f>MAX(0,Premissas!$B$13-A150+1)</x:f>
        <x:v>276</x:v>
      </x:c>
      <x:c r="G150" s="141" t="n">
        <x:f>IF(AND(E150&gt;0,F150&gt;0),IF(Premissas!$B$19="PRICE",MAX(0,MIN(E150,IF(Premissas!$B$15=0,E150/F150,E150*Premissas!$B$15/(1-(1+Premissas!$B$15)^(-F150)))-H150)),MIN(E150,E150/F150)),0)</x:f>
        <x:v>380.9523809523816</x:v>
      </x:c>
      <x:c r="H150" s="141" t="n">
        <x:f>IF(AND(E150&gt;0,F150&gt;0),E150*Premissas!$B$15,0)</x:f>
        <x:v>997.678799979019</x:v>
      </x:c>
      <x:c r="I150" s="141" t="n">
        <x:f>IF(AND(E150&gt;0,F150&gt;0),Premissas!$B$18,0)</x:f>
        <x:v>150</x:v>
      </x:c>
      <x:c r="J150" s="141" t="n">
        <x:f>IF(AND(E150&gt;0,F150&gt;0),IF(Premissas!$B$19="PRICE",IF(Premissas!$B$15=0,E150/F150,E150*Premissas!$B$15/(1-(1+Premissas!$B$15)^(-F150)))+I150,G150+H150+I150),0)</x:f>
        <x:v>1528.6311809314006</x:v>
      </x:c>
      <x:c r="K150" s="141" t="n">
        <x:f>H150+I150</x:f>
        <x:v>1147.678799979019</x:v>
      </x:c>
      <x:c r="L150" s="141" t="n">
        <x:f>SUM($J$6:J150)</x:f>
        <x:v>259389.80627773766</x:v>
      </x:c>
      <x:c r="M150" s="141" t="n">
        <x:f>MAX(0,E150-G150)</x:f>
        <x:v>104761.90476190494</x:v>
      </x:c>
    </x:row>
    <x:row r="151">
      <x:c r="A151" s="142" t="n">
        <x:v>146</x:v>
      </x:c>
      <x:c r="B151" s="179" t="n">
        <x:f>EDATE(Premissas!$B$4,145)</x:f>
        <x:v>50952</x:v>
      </x:c>
      <x:c r="C151" s="141" t="n">
        <x:f>M150</x:f>
        <x:v>104761.90476190494</x:v>
      </x:c>
      <x:c r="D151" s="141" t="n">
        <x:f>IF(C151&gt;0,C151*Premissas!$B$17,0)</x:f>
        <x:v>0</x:v>
      </x:c>
      <x:c r="E151" s="141" t="n">
        <x:f>C151+D151</x:f>
        <x:v>104761.90476190494</x:v>
      </x:c>
      <x:c r="F151" s="142" t="n">
        <x:f>MAX(0,Premissas!$B$13-A151+1)</x:f>
        <x:v>275</x:v>
      </x:c>
      <x:c r="G151" s="141" t="n">
        <x:f>IF(AND(E151&gt;0,F151&gt;0),IF(Premissas!$B$19="PRICE",MAX(0,MIN(E151,IF(Premissas!$B$15=0,E151/F151,E151*Premissas!$B$15/(1-(1+Premissas!$B$15)^(-F151)))-H151)),MIN(E151,E151/F151)),0)</x:f>
        <x:v>380.9523809523816</x:v>
      </x:c>
      <x:c r="H151" s="141" t="n">
        <x:f>IF(AND(E151&gt;0,F151&gt;0),E151*Premissas!$B$15,0)</x:f>
        <x:v>994.0640217182255</x:v>
      </x:c>
      <x:c r="I151" s="141" t="n">
        <x:f>IF(AND(E151&gt;0,F151&gt;0),Premissas!$B$18,0)</x:f>
        <x:v>150</x:v>
      </x:c>
      <x:c r="J151" s="141" t="n">
        <x:f>IF(AND(E151&gt;0,F151&gt;0),IF(Premissas!$B$19="PRICE",IF(Premissas!$B$15=0,E151/F151,E151*Premissas!$B$15/(1-(1+Premissas!$B$15)^(-F151)))+I151,G151+H151+I151),0)</x:f>
        <x:v>1525.016402670607</x:v>
      </x:c>
      <x:c r="K151" s="141" t="n">
        <x:f>H151+I151</x:f>
        <x:v>1144.0640217182254</x:v>
      </x:c>
      <x:c r="L151" s="141" t="n">
        <x:f>SUM($J$6:J151)</x:f>
        <x:v>260914.82268040828</x:v>
      </x:c>
      <x:c r="M151" s="141" t="n">
        <x:f>MAX(0,E151-G151)</x:f>
        <x:v>104380.95238095256</x:v>
      </x:c>
    </x:row>
    <x:row r="152">
      <x:c r="A152" s="142" t="n">
        <x:v>147</x:v>
      </x:c>
      <x:c r="B152" s="179" t="n">
        <x:f>EDATE(Premissas!$B$4,146)</x:f>
        <x:v>50983</x:v>
      </x:c>
      <x:c r="C152" s="141" t="n">
        <x:f>M151</x:f>
        <x:v>104380.95238095256</x:v>
      </x:c>
      <x:c r="D152" s="141" t="n">
        <x:f>IF(C152&gt;0,C152*Premissas!$B$17,0)</x:f>
        <x:v>0</x:v>
      </x:c>
      <x:c r="E152" s="141" t="n">
        <x:f>C152+D152</x:f>
        <x:v>104380.95238095256</x:v>
      </x:c>
      <x:c r="F152" s="142" t="n">
        <x:f>MAX(0,Premissas!$B$13-A152+1)</x:f>
        <x:v>274</x:v>
      </x:c>
      <x:c r="G152" s="141" t="n">
        <x:f>IF(AND(E152&gt;0,F152&gt;0),IF(Premissas!$B$19="PRICE",MAX(0,MIN(E152,IF(Premissas!$B$15=0,E152/F152,E152*Premissas!$B$15/(1-(1+Premissas!$B$15)^(-F152)))-H152)),MIN(E152,E152/F152)),0)</x:f>
        <x:v>380.9523809523816</x:v>
      </x:c>
      <x:c r="H152" s="141" t="n">
        <x:f>IF(AND(E152&gt;0,F152&gt;0),E152*Premissas!$B$15,0)</x:f>
        <x:v>990.449243457432</x:v>
      </x:c>
      <x:c r="I152" s="141" t="n">
        <x:f>IF(AND(E152&gt;0,F152&gt;0),Premissas!$B$18,0)</x:f>
        <x:v>150</x:v>
      </x:c>
      <x:c r="J152" s="141" t="n">
        <x:f>IF(AND(E152&gt;0,F152&gt;0),IF(Premissas!$B$19="PRICE",IF(Premissas!$B$15=0,E152/F152,E152*Premissas!$B$15/(1-(1+Premissas!$B$15)^(-F152)))+I152,G152+H152+I152),0)</x:f>
        <x:v>1521.4016244098136</x:v>
      </x:c>
      <x:c r="K152" s="141" t="n">
        <x:f>H152+I152</x:f>
        <x:v>1140.449243457432</x:v>
      </x:c>
      <x:c r="L152" s="141" t="n">
        <x:f>SUM($J$6:J152)</x:f>
        <x:v>262436.2243048181</x:v>
      </x:c>
      <x:c r="M152" s="141" t="n">
        <x:f>MAX(0,E152-G152)</x:f>
        <x:v>104000.00000000017</x:v>
      </x:c>
    </x:row>
    <x:row r="153">
      <x:c r="A153" s="142" t="n">
        <x:v>148</x:v>
      </x:c>
      <x:c r="B153" s="179" t="n">
        <x:f>EDATE(Premissas!$B$4,147)</x:f>
        <x:v>51014</x:v>
      </x:c>
      <x:c r="C153" s="141" t="n">
        <x:f>M152</x:f>
        <x:v>104000.00000000017</x:v>
      </x:c>
      <x:c r="D153" s="141" t="n">
        <x:f>IF(C153&gt;0,C153*Premissas!$B$17,0)</x:f>
        <x:v>0</x:v>
      </x:c>
      <x:c r="E153" s="141" t="n">
        <x:f>C153+D153</x:f>
        <x:v>104000.00000000017</x:v>
      </x:c>
      <x:c r="F153" s="142" t="n">
        <x:f>MAX(0,Premissas!$B$13-A153+1)</x:f>
        <x:v>273</x:v>
      </x:c>
      <x:c r="G153" s="141" t="n">
        <x:f>IF(AND(E153&gt;0,F153&gt;0),IF(Premissas!$B$19="PRICE",MAX(0,MIN(E153,IF(Premissas!$B$15=0,E153/F153,E153*Premissas!$B$15/(1-(1+Premissas!$B$15)^(-F153)))-H153)),MIN(E153,E153/F153)),0)</x:f>
        <x:v>380.9523809523816</x:v>
      </x:c>
      <x:c r="H153" s="141" t="n">
        <x:f>IF(AND(E153&gt;0,F153&gt;0),E153*Premissas!$B$15,0)</x:f>
        <x:v>986.8344651966385</x:v>
      </x:c>
      <x:c r="I153" s="141" t="n">
        <x:f>IF(AND(E153&gt;0,F153&gt;0),Premissas!$B$18,0)</x:f>
        <x:v>150</x:v>
      </x:c>
      <x:c r="J153" s="141" t="n">
        <x:f>IF(AND(E153&gt;0,F153&gt;0),IF(Premissas!$B$19="PRICE",IF(Premissas!$B$15=0,E153/F153,E153*Premissas!$B$15/(1-(1+Premissas!$B$15)^(-F153)))+I153,G153+H153+I153),0)</x:f>
        <x:v>1517.78684614902</x:v>
      </x:c>
      <x:c r="K153" s="141" t="n">
        <x:f>H153+I153</x:f>
        <x:v>1136.8344651966386</x:v>
      </x:c>
      <x:c r="L153" s="141" t="n">
        <x:f>SUM($J$6:J153)</x:f>
        <x:v>263954.0111509671</x:v>
      </x:c>
      <x:c r="M153" s="141" t="n">
        <x:f>MAX(0,E153-G153)</x:f>
        <x:v>103619.0476190478</x:v>
      </x:c>
    </x:row>
    <x:row r="154">
      <x:c r="A154" s="142" t="n">
        <x:v>149</x:v>
      </x:c>
      <x:c r="B154" s="179" t="n">
        <x:f>EDATE(Premissas!$B$4,148)</x:f>
        <x:v>51044</x:v>
      </x:c>
      <x:c r="C154" s="141" t="n">
        <x:f>M153</x:f>
        <x:v>103619.0476190478</x:v>
      </x:c>
      <x:c r="D154" s="141" t="n">
        <x:f>IF(C154&gt;0,C154*Premissas!$B$17,0)</x:f>
        <x:v>0</x:v>
      </x:c>
      <x:c r="E154" s="141" t="n">
        <x:f>C154+D154</x:f>
        <x:v>103619.0476190478</x:v>
      </x:c>
      <x:c r="F154" s="142" t="n">
        <x:f>MAX(0,Premissas!$B$13-A154+1)</x:f>
        <x:v>272</x:v>
      </x:c>
      <x:c r="G154" s="141" t="n">
        <x:f>IF(AND(E154&gt;0,F154&gt;0),IF(Premissas!$B$19="PRICE",MAX(0,MIN(E154,IF(Premissas!$B$15=0,E154/F154,E154*Premissas!$B$15/(1-(1+Premissas!$B$15)^(-F154)))-H154)),MIN(E154,E154/F154)),0)</x:f>
        <x:v>380.9523809523816</x:v>
      </x:c>
      <x:c r="H154" s="141" t="n">
        <x:f>IF(AND(E154&gt;0,F154&gt;0),E154*Premissas!$B$15,0)</x:f>
        <x:v>983.2196869358448</x:v>
      </x:c>
      <x:c r="I154" s="141" t="n">
        <x:f>IF(AND(E154&gt;0,F154&gt;0),Premissas!$B$18,0)</x:f>
        <x:v>150</x:v>
      </x:c>
      <x:c r="J154" s="141" t="n">
        <x:f>IF(AND(E154&gt;0,F154&gt;0),IF(Premissas!$B$19="PRICE",IF(Premissas!$B$15=0,E154/F154,E154*Premissas!$B$15/(1-(1+Premissas!$B$15)^(-F154)))+I154,G154+H154+I154),0)</x:f>
        <x:v>1514.1720678882264</x:v>
      </x:c>
      <x:c r="K154" s="141" t="n">
        <x:f>H154+I154</x:f>
        <x:v>1133.219686935845</x:v>
      </x:c>
      <x:c r="L154" s="141" t="n">
        <x:f>SUM($J$6:J154)</x:f>
        <x:v>265468.1832188553</x:v>
      </x:c>
      <x:c r="M154" s="141" t="n">
        <x:f>MAX(0,E154-G154)</x:f>
        <x:v>103238.09523809541</x:v>
      </x:c>
    </x:row>
    <x:row r="155">
      <x:c r="A155" s="142" t="n">
        <x:v>150</x:v>
      </x:c>
      <x:c r="B155" s="179" t="n">
        <x:f>EDATE(Premissas!$B$4,149)</x:f>
        <x:v>51075</x:v>
      </x:c>
      <x:c r="C155" s="141" t="n">
        <x:f>M154</x:f>
        <x:v>103238.09523809541</x:v>
      </x:c>
      <x:c r="D155" s="141" t="n">
        <x:f>IF(C155&gt;0,C155*Premissas!$B$17,0)</x:f>
        <x:v>0</x:v>
      </x:c>
      <x:c r="E155" s="141" t="n">
        <x:f>C155+D155</x:f>
        <x:v>103238.09523809541</x:v>
      </x:c>
      <x:c r="F155" s="142" t="n">
        <x:f>MAX(0,Premissas!$B$13-A155+1)</x:f>
        <x:v>271</x:v>
      </x:c>
      <x:c r="G155" s="141" t="n">
        <x:f>IF(AND(E155&gt;0,F155&gt;0),IF(Premissas!$B$19="PRICE",MAX(0,MIN(E155,IF(Premissas!$B$15=0,E155/F155,E155*Premissas!$B$15/(1-(1+Premissas!$B$15)^(-F155)))-H155)),MIN(E155,E155/F155)),0)</x:f>
        <x:v>380.9523809523816</x:v>
      </x:c>
      <x:c r="H155" s="141" t="n">
        <x:f>IF(AND(E155&gt;0,F155&gt;0),E155*Premissas!$B$15,0)</x:f>
        <x:v>979.6049086750513</x:v>
      </x:c>
      <x:c r="I155" s="141" t="n">
        <x:f>IF(AND(E155&gt;0,F155&gt;0),Premissas!$B$18,0)</x:f>
        <x:v>150</x:v>
      </x:c>
      <x:c r="J155" s="141" t="n">
        <x:f>IF(AND(E155&gt;0,F155&gt;0),IF(Premissas!$B$19="PRICE",IF(Premissas!$B$15=0,E155/F155,E155*Premissas!$B$15/(1-(1+Premissas!$B$15)^(-F155)))+I155,G155+H155+I155),0)</x:f>
        <x:v>1510.557289627433</x:v>
      </x:c>
      <x:c r="K155" s="141" t="n">
        <x:f>H155+I155</x:f>
        <x:v>1129.6049086750513</x:v>
      </x:c>
      <x:c r="L155" s="141" t="n">
        <x:f>SUM($J$6:J155)</x:f>
        <x:v>266978.74050848273</x:v>
      </x:c>
      <x:c r="M155" s="141" t="n">
        <x:f>MAX(0,E155-G155)</x:f>
        <x:v>102857.14285714303</x:v>
      </x:c>
    </x:row>
    <x:row r="156">
      <x:c r="A156" s="142" t="n">
        <x:v>151</x:v>
      </x:c>
      <x:c r="B156" s="179" t="n">
        <x:f>EDATE(Premissas!$B$4,150)</x:f>
        <x:v>51105</x:v>
      </x:c>
      <x:c r="C156" s="141" t="n">
        <x:f>M155</x:f>
        <x:v>102857.14285714303</x:v>
      </x:c>
      <x:c r="D156" s="141" t="n">
        <x:f>IF(C156&gt;0,C156*Premissas!$B$17,0)</x:f>
        <x:v>0</x:v>
      </x:c>
      <x:c r="E156" s="141" t="n">
        <x:f>C156+D156</x:f>
        <x:v>102857.14285714303</x:v>
      </x:c>
      <x:c r="F156" s="142" t="n">
        <x:f>MAX(0,Premissas!$B$13-A156+1)</x:f>
        <x:v>270</x:v>
      </x:c>
      <x:c r="G156" s="141" t="n">
        <x:f>IF(AND(E156&gt;0,F156&gt;0),IF(Premissas!$B$19="PRICE",MAX(0,MIN(E156,IF(Premissas!$B$15=0,E156/F156,E156*Premissas!$B$15/(1-(1+Premissas!$B$15)^(-F156)))-H156)),MIN(E156,E156/F156)),0)</x:f>
        <x:v>380.9523809523816</x:v>
      </x:c>
      <x:c r="H156" s="141" t="n">
        <x:f>IF(AND(E156&gt;0,F156&gt;0),E156*Premissas!$B$15,0)</x:f>
        <x:v>975.9901304142578</x:v>
      </x:c>
      <x:c r="I156" s="141" t="n">
        <x:f>IF(AND(E156&gt;0,F156&gt;0),Premissas!$B$18,0)</x:f>
        <x:v>150</x:v>
      </x:c>
      <x:c r="J156" s="141" t="n">
        <x:f>IF(AND(E156&gt;0,F156&gt;0),IF(Premissas!$B$19="PRICE",IF(Premissas!$B$15=0,E156/F156,E156*Premissas!$B$15/(1-(1+Premissas!$B$15)^(-F156)))+I156,G156+H156+I156),0)</x:f>
        <x:v>1506.9425113666393</x:v>
      </x:c>
      <x:c r="K156" s="141" t="n">
        <x:f>H156+I156</x:f>
        <x:v>1125.9901304142577</x:v>
      </x:c>
      <x:c r="L156" s="141" t="n">
        <x:f>SUM($J$6:J156)</x:f>
        <x:v>268485.68301984936</x:v>
      </x:c>
      <x:c r="M156" s="141" t="n">
        <x:f>MAX(0,E156-G156)</x:f>
        <x:v>102476.19047619065</x:v>
      </x:c>
    </x:row>
    <x:row r="157">
      <x:c r="A157" s="142" t="n">
        <x:v>152</x:v>
      </x:c>
      <x:c r="B157" s="179" t="n">
        <x:f>EDATE(Premissas!$B$4,151)</x:f>
        <x:v>51136</x:v>
      </x:c>
      <x:c r="C157" s="141" t="n">
        <x:f>M156</x:f>
        <x:v>102476.19047619065</x:v>
      </x:c>
      <x:c r="D157" s="141" t="n">
        <x:f>IF(C157&gt;0,C157*Premissas!$B$17,0)</x:f>
        <x:v>0</x:v>
      </x:c>
      <x:c r="E157" s="141" t="n">
        <x:f>C157+D157</x:f>
        <x:v>102476.19047619065</x:v>
      </x:c>
      <x:c r="F157" s="142" t="n">
        <x:f>MAX(0,Premissas!$B$13-A157+1)</x:f>
        <x:v>269</x:v>
      </x:c>
      <x:c r="G157" s="141" t="n">
        <x:f>IF(AND(E157&gt;0,F157&gt;0),IF(Premissas!$B$19="PRICE",MAX(0,MIN(E157,IF(Premissas!$B$15=0,E157/F157,E157*Premissas!$B$15/(1-(1+Premissas!$B$15)^(-F157)))-H157)),MIN(E157,E157/F157)),0)</x:f>
        <x:v>380.9523809523816</x:v>
      </x:c>
      <x:c r="H157" s="141" t="n">
        <x:f>IF(AND(E157&gt;0,F157&gt;0),E157*Premissas!$B$15,0)</x:f>
        <x:v>972.3753521534642</x:v>
      </x:c>
      <x:c r="I157" s="141" t="n">
        <x:f>IF(AND(E157&gt;0,F157&gt;0),Premissas!$B$18,0)</x:f>
        <x:v>150</x:v>
      </x:c>
      <x:c r="J157" s="141" t="n">
        <x:f>IF(AND(E157&gt;0,F157&gt;0),IF(Premissas!$B$19="PRICE",IF(Premissas!$B$15=0,E157/F157,E157*Premissas!$B$15/(1-(1+Premissas!$B$15)^(-F157)))+I157,G157+H157+I157),0)</x:f>
        <x:v>1503.3277331058457</x:v>
      </x:c>
      <x:c r="K157" s="141" t="n">
        <x:f>H157+I157</x:f>
        <x:v>1122.375352153464</x:v>
      </x:c>
      <x:c r="L157" s="141" t="n">
        <x:f>SUM($J$6:J157)</x:f>
        <x:v>269989.0107529552</x:v>
      </x:c>
      <x:c r="M157" s="141" t="n">
        <x:f>MAX(0,E157-G157)</x:f>
        <x:v>102095.23809523827</x:v>
      </x:c>
    </x:row>
    <x:row r="158">
      <x:c r="A158" s="142" t="n">
        <x:v>153</x:v>
      </x:c>
      <x:c r="B158" s="179" t="n">
        <x:f>EDATE(Premissas!$B$4,152)</x:f>
        <x:v>51167</x:v>
      </x:c>
      <x:c r="C158" s="141" t="n">
        <x:f>M157</x:f>
        <x:v>102095.23809523827</x:v>
      </x:c>
      <x:c r="D158" s="141" t="n">
        <x:f>IF(C158&gt;0,C158*Premissas!$B$17,0)</x:f>
        <x:v>0</x:v>
      </x:c>
      <x:c r="E158" s="141" t="n">
        <x:f>C158+D158</x:f>
        <x:v>102095.23809523827</x:v>
      </x:c>
      <x:c r="F158" s="142" t="n">
        <x:f>MAX(0,Premissas!$B$13-A158+1)</x:f>
        <x:v>268</x:v>
      </x:c>
      <x:c r="G158" s="141" t="n">
        <x:f>IF(AND(E158&gt;0,F158&gt;0),IF(Premissas!$B$19="PRICE",MAX(0,MIN(E158,IF(Premissas!$B$15=0,E158/F158,E158*Premissas!$B$15/(1-(1+Premissas!$B$15)^(-F158)))-H158)),MIN(E158,E158/F158)),0)</x:f>
        <x:v>380.9523809523816</x:v>
      </x:c>
      <x:c r="H158" s="141" t="n">
        <x:f>IF(AND(E158&gt;0,F158&gt;0),E158*Premissas!$B$15,0)</x:f>
        <x:v>968.7605738926707</x:v>
      </x:c>
      <x:c r="I158" s="141" t="n">
        <x:f>IF(AND(E158&gt;0,F158&gt;0),Premissas!$B$18,0)</x:f>
        <x:v>150</x:v>
      </x:c>
      <x:c r="J158" s="141" t="n">
        <x:f>IF(AND(E158&gt;0,F158&gt;0),IF(Premissas!$B$19="PRICE",IF(Premissas!$B$15=0,E158/F158,E158*Premissas!$B$15/(1-(1+Premissas!$B$15)^(-F158)))+I158,G158+H158+I158),0)</x:f>
        <x:v>1499.7129548450523</x:v>
      </x:c>
      <x:c r="K158" s="141" t="n">
        <x:f>H158+I158</x:f>
        <x:v>1118.7605738926707</x:v>
      </x:c>
      <x:c r="L158" s="141" t="n">
        <x:f>SUM($J$6:J158)</x:f>
        <x:v>271488.72370780027</x:v>
      </x:c>
      <x:c r="M158" s="141" t="n">
        <x:f>MAX(0,E158-G158)</x:f>
        <x:v>101714.28571428588</x:v>
      </x:c>
    </x:row>
    <x:row r="159">
      <x:c r="A159" s="142" t="n">
        <x:v>154</x:v>
      </x:c>
      <x:c r="B159" s="179" t="n">
        <x:f>EDATE(Premissas!$B$4,153)</x:f>
        <x:v>51196</x:v>
      </x:c>
      <x:c r="C159" s="141" t="n">
        <x:f>M158</x:f>
        <x:v>101714.28571428588</x:v>
      </x:c>
      <x:c r="D159" s="141" t="n">
        <x:f>IF(C159&gt;0,C159*Premissas!$B$17,0)</x:f>
        <x:v>0</x:v>
      </x:c>
      <x:c r="E159" s="141" t="n">
        <x:f>C159+D159</x:f>
        <x:v>101714.28571428588</x:v>
      </x:c>
      <x:c r="F159" s="142" t="n">
        <x:f>MAX(0,Premissas!$B$13-A159+1)</x:f>
        <x:v>267</x:v>
      </x:c>
      <x:c r="G159" s="141" t="n">
        <x:f>IF(AND(E159&gt;0,F159&gt;0),IF(Premissas!$B$19="PRICE",MAX(0,MIN(E159,IF(Premissas!$B$15=0,E159/F159,E159*Premissas!$B$15/(1-(1+Premissas!$B$15)^(-F159)))-H159)),MIN(E159,E159/F159)),0)</x:f>
        <x:v>380.9523809523816</x:v>
      </x:c>
      <x:c r="H159" s="141" t="n">
        <x:f>IF(AND(E159&gt;0,F159&gt;0),E159*Premissas!$B$15,0)</x:f>
        <x:v>965.1457956318771</x:v>
      </x:c>
      <x:c r="I159" s="141" t="n">
        <x:f>IF(AND(E159&gt;0,F159&gt;0),Premissas!$B$18,0)</x:f>
        <x:v>150</x:v>
      </x:c>
      <x:c r="J159" s="141" t="n">
        <x:f>IF(AND(E159&gt;0,F159&gt;0),IF(Premissas!$B$19="PRICE",IF(Premissas!$B$15=0,E159/F159,E159*Premissas!$B$15/(1-(1+Premissas!$B$15)^(-F159)))+I159,G159+H159+I159),0)</x:f>
        <x:v>1496.0981765842587</x:v>
      </x:c>
      <x:c r="K159" s="141" t="n">
        <x:f>H159+I159</x:f>
        <x:v>1115.1457956318773</x:v>
      </x:c>
      <x:c r="L159" s="141" t="n">
        <x:f>SUM($J$6:J159)</x:f>
        <x:v>272984.8218843845</x:v>
      </x:c>
      <x:c r="M159" s="141" t="n">
        <x:f>MAX(0,E159-G159)</x:f>
        <x:v>101333.3333333335</x:v>
      </x:c>
    </x:row>
    <x:row r="160">
      <x:c r="A160" s="142" t="n">
        <x:v>155</x:v>
      </x:c>
      <x:c r="B160" s="179" t="n">
        <x:f>EDATE(Premissas!$B$4,154)</x:f>
        <x:v>51227</x:v>
      </x:c>
      <x:c r="C160" s="141" t="n">
        <x:f>M159</x:f>
        <x:v>101333.3333333335</x:v>
      </x:c>
      <x:c r="D160" s="141" t="n">
        <x:f>IF(C160&gt;0,C160*Premissas!$B$17,0)</x:f>
        <x:v>0</x:v>
      </x:c>
      <x:c r="E160" s="141" t="n">
        <x:f>C160+D160</x:f>
        <x:v>101333.3333333335</x:v>
      </x:c>
      <x:c r="F160" s="142" t="n">
        <x:f>MAX(0,Premissas!$B$13-A160+1)</x:f>
        <x:v>266</x:v>
      </x:c>
      <x:c r="G160" s="141" t="n">
        <x:f>IF(AND(E160&gt;0,F160&gt;0),IF(Premissas!$B$19="PRICE",MAX(0,MIN(E160,IF(Premissas!$B$15=0,E160/F160,E160*Premissas!$B$15/(1-(1+Premissas!$B$15)^(-F160)))-H160)),MIN(E160,E160/F160)),0)</x:f>
        <x:v>380.9523809523816</x:v>
      </x:c>
      <x:c r="H160" s="141" t="n">
        <x:f>IF(AND(E160&gt;0,F160&gt;0),E160*Premissas!$B$15,0)</x:f>
        <x:v>961.5310173710836</x:v>
      </x:c>
      <x:c r="I160" s="141" t="n">
        <x:f>IF(AND(E160&gt;0,F160&gt;0),Premissas!$B$18,0)</x:f>
        <x:v>150</x:v>
      </x:c>
      <x:c r="J160" s="141" t="n">
        <x:f>IF(AND(E160&gt;0,F160&gt;0),IF(Premissas!$B$19="PRICE",IF(Premissas!$B$15=0,E160/F160,E160*Premissas!$B$15/(1-(1+Premissas!$B$15)^(-F160)))+I160,G160+H160+I160),0)</x:f>
        <x:v>1492.4833983234653</x:v>
      </x:c>
      <x:c r="K160" s="141" t="n">
        <x:f>H160+I160</x:f>
        <x:v>1111.5310173710836</x:v>
      </x:c>
      <x:c r="L160" s="141" t="n">
        <x:f>SUM($J$6:J160)</x:f>
        <x:v>274477.30528270797</x:v>
      </x:c>
      <x:c r="M160" s="141" t="n">
        <x:f>MAX(0,E160-G160)</x:f>
        <x:v>100952.38095238112</x:v>
      </x:c>
    </x:row>
    <x:row r="161">
      <x:c r="A161" s="142" t="n">
        <x:v>156</x:v>
      </x:c>
      <x:c r="B161" s="179" t="n">
        <x:f>EDATE(Premissas!$B$4,155)</x:f>
        <x:v>51257</x:v>
      </x:c>
      <x:c r="C161" s="141" t="n">
        <x:f>M160</x:f>
        <x:v>100952.38095238112</x:v>
      </x:c>
      <x:c r="D161" s="141" t="n">
        <x:f>IF(C161&gt;0,C161*Premissas!$B$17,0)</x:f>
        <x:v>0</x:v>
      </x:c>
      <x:c r="E161" s="141" t="n">
        <x:f>C161+D161</x:f>
        <x:v>100952.38095238112</x:v>
      </x:c>
      <x:c r="F161" s="142" t="n">
        <x:f>MAX(0,Premissas!$B$13-A161+1)</x:f>
        <x:v>265</x:v>
      </x:c>
      <x:c r="G161" s="141" t="n">
        <x:f>IF(AND(E161&gt;0,F161&gt;0),IF(Premissas!$B$19="PRICE",MAX(0,MIN(E161,IF(Premissas!$B$15=0,E161/F161,E161*Premissas!$B$15/(1-(1+Premissas!$B$15)^(-F161)))-H161)),MIN(E161,E161/F161)),0)</x:f>
        <x:v>380.9523809523816</x:v>
      </x:c>
      <x:c r="H161" s="141" t="n">
        <x:f>IF(AND(E161&gt;0,F161&gt;0),E161*Premissas!$B$15,0)</x:f>
        <x:v>957.91623911029</x:v>
      </x:c>
      <x:c r="I161" s="141" t="n">
        <x:f>IF(AND(E161&gt;0,F161&gt;0),Premissas!$B$18,0)</x:f>
        <x:v>150</x:v>
      </x:c>
      <x:c r="J161" s="141" t="n">
        <x:f>IF(AND(E161&gt;0,F161&gt;0),IF(Premissas!$B$19="PRICE",IF(Premissas!$B$15=0,E161/F161,E161*Premissas!$B$15/(1-(1+Premissas!$B$15)^(-F161)))+I161,G161+H161+I161),0)</x:f>
        <x:v>1488.8686200626717</x:v>
      </x:c>
      <x:c r="K161" s="141" t="n">
        <x:f>H161+I161</x:f>
        <x:v>1107.91623911029</x:v>
      </x:c>
      <x:c r="L161" s="141" t="n">
        <x:f>SUM($J$6:J161)</x:f>
        <x:v>275966.1739027706</x:v>
      </x:c>
      <x:c r="M161" s="141" t="n">
        <x:f>MAX(0,E161-G161)</x:f>
        <x:v>100571.42857142874</x:v>
      </x:c>
    </x:row>
    <x:row r="162">
      <x:c r="A162" s="142" t="n">
        <x:v>157</x:v>
      </x:c>
      <x:c r="B162" s="179" t="n">
        <x:f>EDATE(Premissas!$B$4,156)</x:f>
        <x:v>51288</x:v>
      </x:c>
      <x:c r="C162" s="141" t="n">
        <x:f>M161</x:f>
        <x:v>100571.42857142874</x:v>
      </x:c>
      <x:c r="D162" s="141" t="n">
        <x:f>IF(C162&gt;0,C162*Premissas!$B$17,0)</x:f>
        <x:v>0</x:v>
      </x:c>
      <x:c r="E162" s="141" t="n">
        <x:f>C162+D162</x:f>
        <x:v>100571.42857142874</x:v>
      </x:c>
      <x:c r="F162" s="142" t="n">
        <x:f>MAX(0,Premissas!$B$13-A162+1)</x:f>
        <x:v>264</x:v>
      </x:c>
      <x:c r="G162" s="141" t="n">
        <x:f>IF(AND(E162&gt;0,F162&gt;0),IF(Premissas!$B$19="PRICE",MAX(0,MIN(E162,IF(Premissas!$B$15=0,E162/F162,E162*Premissas!$B$15/(1-(1+Premissas!$B$15)^(-F162)))-H162)),MIN(E162,E162/F162)),0)</x:f>
        <x:v>380.9523809523816</x:v>
      </x:c>
      <x:c r="H162" s="141" t="n">
        <x:f>IF(AND(E162&gt;0,F162&gt;0),E162*Premissas!$B$15,0)</x:f>
        <x:v>954.3014608494965</x:v>
      </x:c>
      <x:c r="I162" s="141" t="n">
        <x:f>IF(AND(E162&gt;0,F162&gt;0),Premissas!$B$18,0)</x:f>
        <x:v>150</x:v>
      </x:c>
      <x:c r="J162" s="141" t="n">
        <x:f>IF(AND(E162&gt;0,F162&gt;0),IF(Premissas!$B$19="PRICE",IF(Premissas!$B$15=0,E162/F162,E162*Premissas!$B$15/(1-(1+Premissas!$B$15)^(-F162)))+I162,G162+H162+I162),0)</x:f>
        <x:v>1485.253841801878</x:v>
      </x:c>
      <x:c r="K162" s="141" t="n">
        <x:f>H162+I162</x:f>
        <x:v>1104.3014608494964</x:v>
      </x:c>
      <x:c r="L162" s="141" t="n">
        <x:f>SUM($J$6:J162)</x:f>
        <x:v>277451.4277445725</x:v>
      </x:c>
      <x:c r="M162" s="141" t="n">
        <x:f>MAX(0,E162-G162)</x:f>
        <x:v>100190.47619047636</x:v>
      </x:c>
    </x:row>
    <x:row r="163">
      <x:c r="A163" s="142" t="n">
        <x:v>158</x:v>
      </x:c>
      <x:c r="B163" s="179" t="n">
        <x:f>EDATE(Premissas!$B$4,157)</x:f>
        <x:v>51318</x:v>
      </x:c>
      <x:c r="C163" s="141" t="n">
        <x:f>M162</x:f>
        <x:v>100190.47619047636</x:v>
      </x:c>
      <x:c r="D163" s="141" t="n">
        <x:f>IF(C163&gt;0,C163*Premissas!$B$17,0)</x:f>
        <x:v>0</x:v>
      </x:c>
      <x:c r="E163" s="141" t="n">
        <x:f>C163+D163</x:f>
        <x:v>100190.47619047636</x:v>
      </x:c>
      <x:c r="F163" s="142" t="n">
        <x:f>MAX(0,Premissas!$B$13-A163+1)</x:f>
        <x:v>263</x:v>
      </x:c>
      <x:c r="G163" s="141" t="n">
        <x:f>IF(AND(E163&gt;0,F163&gt;0),IF(Premissas!$B$19="PRICE",MAX(0,MIN(E163,IF(Premissas!$B$15=0,E163/F163,E163*Premissas!$B$15/(1-(1+Premissas!$B$15)^(-F163)))-H163)),MIN(E163,E163/F163)),0)</x:f>
        <x:v>380.9523809523816</x:v>
      </x:c>
      <x:c r="H163" s="141" t="n">
        <x:f>IF(AND(E163&gt;0,F163&gt;0),E163*Premissas!$B$15,0)</x:f>
        <x:v>950.686682588703</x:v>
      </x:c>
      <x:c r="I163" s="141" t="n">
        <x:f>IF(AND(E163&gt;0,F163&gt;0),Premissas!$B$18,0)</x:f>
        <x:v>150</x:v>
      </x:c>
      <x:c r="J163" s="141" t="n">
        <x:f>IF(AND(E163&gt;0,F163&gt;0),IF(Premissas!$B$19="PRICE",IF(Premissas!$B$15=0,E163/F163,E163*Premissas!$B$15/(1-(1+Premissas!$B$15)^(-F163)))+I163,G163+H163+I163),0)</x:f>
        <x:v>1481.6390635410846</x:v>
      </x:c>
      <x:c r="K163" s="141" t="n">
        <x:f>H163+I163</x:f>
        <x:v>1100.686682588703</x:v>
      </x:c>
      <x:c r="L163" s="141" t="n">
        <x:f>SUM($J$6:J163)</x:f>
        <x:v>278933.0668081136</x:v>
      </x:c>
      <x:c r="M163" s="141" t="n">
        <x:f>MAX(0,E163-G163)</x:f>
        <x:v>99809.52380952398</x:v>
      </x:c>
    </x:row>
    <x:row r="164">
      <x:c r="A164" s="142" t="n">
        <x:v>159</x:v>
      </x:c>
      <x:c r="B164" s="179" t="n">
        <x:f>EDATE(Premissas!$B$4,158)</x:f>
        <x:v>51349</x:v>
      </x:c>
      <x:c r="C164" s="141" t="n">
        <x:f>M163</x:f>
        <x:v>99809.52380952398</x:v>
      </x:c>
      <x:c r="D164" s="141" t="n">
        <x:f>IF(C164&gt;0,C164*Premissas!$B$17,0)</x:f>
        <x:v>0</x:v>
      </x:c>
      <x:c r="E164" s="141" t="n">
        <x:f>C164+D164</x:f>
        <x:v>99809.52380952398</x:v>
      </x:c>
      <x:c r="F164" s="142" t="n">
        <x:f>MAX(0,Premissas!$B$13-A164+1)</x:f>
        <x:v>262</x:v>
      </x:c>
      <x:c r="G164" s="141" t="n">
        <x:f>IF(AND(E164&gt;0,F164&gt;0),IF(Premissas!$B$19="PRICE",MAX(0,MIN(E164,IF(Premissas!$B$15=0,E164/F164,E164*Premissas!$B$15/(1-(1+Premissas!$B$15)^(-F164)))-H164)),MIN(E164,E164/F164)),0)</x:f>
        <x:v>380.9523809523816</x:v>
      </x:c>
      <x:c r="H164" s="141" t="n">
        <x:f>IF(AND(E164&gt;0,F164&gt;0),E164*Premissas!$B$15,0)</x:f>
        <x:v>947.0719043279094</x:v>
      </x:c>
      <x:c r="I164" s="141" t="n">
        <x:f>IF(AND(E164&gt;0,F164&gt;0),Premissas!$B$18,0)</x:f>
        <x:v>150</x:v>
      </x:c>
      <x:c r="J164" s="141" t="n">
        <x:f>IF(AND(E164&gt;0,F164&gt;0),IF(Premissas!$B$19="PRICE",IF(Premissas!$B$15=0,E164/F164,E164*Premissas!$B$15/(1-(1+Premissas!$B$15)^(-F164)))+I164,G164+H164+I164),0)</x:f>
        <x:v>1478.024285280291</x:v>
      </x:c>
      <x:c r="K164" s="141" t="n">
        <x:f>H164+I164</x:f>
        <x:v>1097.0719043279094</x:v>
      </x:c>
      <x:c r="L164" s="141" t="n">
        <x:f>SUM($J$6:J164)</x:f>
        <x:v>280411.09109339386</x:v>
      </x:c>
      <x:c r="M164" s="141" t="n">
        <x:f>MAX(0,E164-G164)</x:f>
        <x:v>99428.5714285716</x:v>
      </x:c>
    </x:row>
    <x:row r="165">
      <x:c r="A165" s="142" t="n">
        <x:v>160</x:v>
      </x:c>
      <x:c r="B165" s="179" t="n">
        <x:f>EDATE(Premissas!$B$4,159)</x:f>
        <x:v>51380</x:v>
      </x:c>
      <x:c r="C165" s="141" t="n">
        <x:f>M164</x:f>
        <x:v>99428.5714285716</x:v>
      </x:c>
      <x:c r="D165" s="141" t="n">
        <x:f>IF(C165&gt;0,C165*Premissas!$B$17,0)</x:f>
        <x:v>0</x:v>
      </x:c>
      <x:c r="E165" s="141" t="n">
        <x:f>C165+D165</x:f>
        <x:v>99428.5714285716</x:v>
      </x:c>
      <x:c r="F165" s="142" t="n">
        <x:f>MAX(0,Premissas!$B$13-A165+1)</x:f>
        <x:v>261</x:v>
      </x:c>
      <x:c r="G165" s="141" t="n">
        <x:f>IF(AND(E165&gt;0,F165&gt;0),IF(Premissas!$B$19="PRICE",MAX(0,MIN(E165,IF(Premissas!$B$15=0,E165/F165,E165*Premissas!$B$15/(1-(1+Premissas!$B$15)^(-F165)))-H165)),MIN(E165,E165/F165)),0)</x:f>
        <x:v>380.9523809523816</x:v>
      </x:c>
      <x:c r="H165" s="141" t="n">
        <x:f>IF(AND(E165&gt;0,F165&gt;0),E165*Premissas!$B$15,0)</x:f>
        <x:v>943.4571260671158</x:v>
      </x:c>
      <x:c r="I165" s="141" t="n">
        <x:f>IF(AND(E165&gt;0,F165&gt;0),Premissas!$B$18,0)</x:f>
        <x:v>150</x:v>
      </x:c>
      <x:c r="J165" s="141" t="n">
        <x:f>IF(AND(E165&gt;0,F165&gt;0),IF(Premissas!$B$19="PRICE",IF(Premissas!$B$15=0,E165/F165,E165*Premissas!$B$15/(1-(1+Premissas!$B$15)^(-F165)))+I165,G165+H165+I165),0)</x:f>
        <x:v>1474.4095070194974</x:v>
      </x:c>
      <x:c r="K165" s="141" t="n">
        <x:f>H165+I165</x:f>
        <x:v>1093.457126067116</x:v>
      </x:c>
      <x:c r="L165" s="141" t="n">
        <x:f>SUM($J$6:J165)</x:f>
        <x:v>281885.50060041336</x:v>
      </x:c>
      <x:c r="M165" s="141" t="n">
        <x:f>MAX(0,E165-G165)</x:f>
        <x:v>99047.61904761921</x:v>
      </x:c>
    </x:row>
    <x:row r="166">
      <x:c r="A166" s="142" t="n">
        <x:v>161</x:v>
      </x:c>
      <x:c r="B166" s="179" t="n">
        <x:f>EDATE(Premissas!$B$4,160)</x:f>
        <x:v>51410</x:v>
      </x:c>
      <x:c r="C166" s="141" t="n">
        <x:f>M165</x:f>
        <x:v>99047.61904761921</x:v>
      </x:c>
      <x:c r="D166" s="141" t="n">
        <x:f>IF(C166&gt;0,C166*Premissas!$B$17,0)</x:f>
        <x:v>0</x:v>
      </x:c>
      <x:c r="E166" s="141" t="n">
        <x:f>C166+D166</x:f>
        <x:v>99047.61904761921</x:v>
      </x:c>
      <x:c r="F166" s="142" t="n">
        <x:f>MAX(0,Premissas!$B$13-A166+1)</x:f>
        <x:v>260</x:v>
      </x:c>
      <x:c r="G166" s="141" t="n">
        <x:f>IF(AND(E166&gt;0,F166&gt;0),IF(Premissas!$B$19="PRICE",MAX(0,MIN(E166,IF(Premissas!$B$15=0,E166/F166,E166*Premissas!$B$15/(1-(1+Premissas!$B$15)^(-F166)))-H166)),MIN(E166,E166/F166)),0)</x:f>
        <x:v>380.9523809523816</x:v>
      </x:c>
      <x:c r="H166" s="141" t="n">
        <x:f>IF(AND(E166&gt;0,F166&gt;0),E166*Premissas!$B$15,0)</x:f>
        <x:v>939.8423478063223</x:v>
      </x:c>
      <x:c r="I166" s="141" t="n">
        <x:f>IF(AND(E166&gt;0,F166&gt;0),Premissas!$B$18,0)</x:f>
        <x:v>150</x:v>
      </x:c>
      <x:c r="J166" s="141" t="n">
        <x:f>IF(AND(E166&gt;0,F166&gt;0),IF(Premissas!$B$19="PRICE",IF(Premissas!$B$15=0,E166/F166,E166*Premissas!$B$15/(1-(1+Premissas!$B$15)^(-F166)))+I166,G166+H166+I166),0)</x:f>
        <x:v>1470.794728758704</x:v>
      </x:c>
      <x:c r="K166" s="141" t="n">
        <x:f>H166+I166</x:f>
        <x:v>1089.8423478063223</x:v>
      </x:c>
      <x:c r="L166" s="141" t="n">
        <x:f>SUM($J$6:J166)</x:f>
        <x:v>283356.29532917205</x:v>
      </x:c>
      <x:c r="M166" s="141" t="n">
        <x:f>MAX(0,E166-G166)</x:f>
        <x:v>98666.66666666683</x:v>
      </x:c>
    </x:row>
    <x:row r="167">
      <x:c r="A167" s="142" t="n">
        <x:v>162</x:v>
      </x:c>
      <x:c r="B167" s="179" t="n">
        <x:f>EDATE(Premissas!$B$4,161)</x:f>
        <x:v>51441</x:v>
      </x:c>
      <x:c r="C167" s="141" t="n">
        <x:f>M166</x:f>
        <x:v>98666.66666666683</x:v>
      </x:c>
      <x:c r="D167" s="141" t="n">
        <x:f>IF(C167&gt;0,C167*Premissas!$B$17,0)</x:f>
        <x:v>0</x:v>
      </x:c>
      <x:c r="E167" s="141" t="n">
        <x:f>C167+D167</x:f>
        <x:v>98666.66666666683</x:v>
      </x:c>
      <x:c r="F167" s="142" t="n">
        <x:f>MAX(0,Premissas!$B$13-A167+1)</x:f>
        <x:v>259</x:v>
      </x:c>
      <x:c r="G167" s="141" t="n">
        <x:f>IF(AND(E167&gt;0,F167&gt;0),IF(Premissas!$B$19="PRICE",MAX(0,MIN(E167,IF(Premissas!$B$15=0,E167/F167,E167*Premissas!$B$15/(1-(1+Premissas!$B$15)^(-F167)))-H167)),MIN(E167,E167/F167)),0)</x:f>
        <x:v>380.9523809523816</x:v>
      </x:c>
      <x:c r="H167" s="141" t="n">
        <x:f>IF(AND(E167&gt;0,F167&gt;0),E167*Premissas!$B$15,0)</x:f>
        <x:v>936.2275695455287</x:v>
      </x:c>
      <x:c r="I167" s="141" t="n">
        <x:f>IF(AND(E167&gt;0,F167&gt;0),Premissas!$B$18,0)</x:f>
        <x:v>150</x:v>
      </x:c>
      <x:c r="J167" s="141" t="n">
        <x:f>IF(AND(E167&gt;0,F167&gt;0),IF(Premissas!$B$19="PRICE",IF(Premissas!$B$15=0,E167/F167,E167*Premissas!$B$15/(1-(1+Premissas!$B$15)^(-F167)))+I167,G167+H167+I167),0)</x:f>
        <x:v>1467.1799504979103</x:v>
      </x:c>
      <x:c r="K167" s="141" t="n">
        <x:f>H167+I167</x:f>
        <x:v>1086.2275695455287</x:v>
      </x:c>
      <x:c r="L167" s="141" t="n">
        <x:f>SUM($J$6:J167)</x:f>
        <x:v>284823.47527967</x:v>
      </x:c>
      <x:c r="M167" s="141" t="n">
        <x:f>MAX(0,E167-G167)</x:f>
        <x:v>98285.71428571445</x:v>
      </x:c>
    </x:row>
    <x:row r="168">
      <x:c r="A168" s="142" t="n">
        <x:v>163</x:v>
      </x:c>
      <x:c r="B168" s="179" t="n">
        <x:f>EDATE(Premissas!$B$4,162)</x:f>
        <x:v>51471</x:v>
      </x:c>
      <x:c r="C168" s="141" t="n">
        <x:f>M167</x:f>
        <x:v>98285.71428571445</x:v>
      </x:c>
      <x:c r="D168" s="141" t="n">
        <x:f>IF(C168&gt;0,C168*Premissas!$B$17,0)</x:f>
        <x:v>0</x:v>
      </x:c>
      <x:c r="E168" s="141" t="n">
        <x:f>C168+D168</x:f>
        <x:v>98285.71428571445</x:v>
      </x:c>
      <x:c r="F168" s="142" t="n">
        <x:f>MAX(0,Premissas!$B$13-A168+1)</x:f>
        <x:v>258</x:v>
      </x:c>
      <x:c r="G168" s="141" t="n">
        <x:f>IF(AND(E168&gt;0,F168&gt;0),IF(Premissas!$B$19="PRICE",MAX(0,MIN(E168,IF(Premissas!$B$15=0,E168/F168,E168*Premissas!$B$15/(1-(1+Premissas!$B$15)^(-F168)))-H168)),MIN(E168,E168/F168)),0)</x:f>
        <x:v>380.9523809523816</x:v>
      </x:c>
      <x:c r="H168" s="141" t="n">
        <x:f>IF(AND(E168&gt;0,F168&gt;0),E168*Premissas!$B$15,0)</x:f>
        <x:v>932.6127912847352</x:v>
      </x:c>
      <x:c r="I168" s="141" t="n">
        <x:f>IF(AND(E168&gt;0,F168&gt;0),Premissas!$B$18,0)</x:f>
        <x:v>150</x:v>
      </x:c>
      <x:c r="J168" s="141" t="n">
        <x:f>IF(AND(E168&gt;0,F168&gt;0),IF(Premissas!$B$19="PRICE",IF(Premissas!$B$15=0,E168/F168,E168*Premissas!$B$15/(1-(1+Premissas!$B$15)^(-F168)))+I168,G168+H168+I168),0)</x:f>
        <x:v>1463.5651722371167</x:v>
      </x:c>
      <x:c r="K168" s="141" t="n">
        <x:f>H168+I168</x:f>
        <x:v>1082.612791284735</x:v>
      </x:c>
      <x:c r="L168" s="141" t="n">
        <x:f>SUM($J$6:J168)</x:f>
        <x:v>286287.0404519071</x:v>
      </x:c>
      <x:c r="M168" s="141" t="n">
        <x:f>MAX(0,E168-G168)</x:f>
        <x:v>97904.76190476207</x:v>
      </x:c>
    </x:row>
    <x:row r="169">
      <x:c r="A169" s="142" t="n">
        <x:v>164</x:v>
      </x:c>
      <x:c r="B169" s="179" t="n">
        <x:f>EDATE(Premissas!$B$4,163)</x:f>
        <x:v>51502</x:v>
      </x:c>
      <x:c r="C169" s="141" t="n">
        <x:f>M168</x:f>
        <x:v>97904.76190476207</x:v>
      </x:c>
      <x:c r="D169" s="141" t="n">
        <x:f>IF(C169&gt;0,C169*Premissas!$B$17,0)</x:f>
        <x:v>0</x:v>
      </x:c>
      <x:c r="E169" s="141" t="n">
        <x:f>C169+D169</x:f>
        <x:v>97904.76190476207</x:v>
      </x:c>
      <x:c r="F169" s="142" t="n">
        <x:f>MAX(0,Premissas!$B$13-A169+1)</x:f>
        <x:v>257</x:v>
      </x:c>
      <x:c r="G169" s="141" t="n">
        <x:f>IF(AND(E169&gt;0,F169&gt;0),IF(Premissas!$B$19="PRICE",MAX(0,MIN(E169,IF(Premissas!$B$15=0,E169/F169,E169*Premissas!$B$15/(1-(1+Premissas!$B$15)^(-F169)))-H169)),MIN(E169,E169/F169)),0)</x:f>
        <x:v>380.9523809523816</x:v>
      </x:c>
      <x:c r="H169" s="141" t="n">
        <x:f>IF(AND(E169&gt;0,F169&gt;0),E169*Premissas!$B$15,0)</x:f>
        <x:v>928.9980130239417</x:v>
      </x:c>
      <x:c r="I169" s="141" t="n">
        <x:f>IF(AND(E169&gt;0,F169&gt;0),Premissas!$B$18,0)</x:f>
        <x:v>150</x:v>
      </x:c>
      <x:c r="J169" s="141" t="n">
        <x:f>IF(AND(E169&gt;0,F169&gt;0),IF(Premissas!$B$19="PRICE",IF(Premissas!$B$15=0,E169/F169,E169*Premissas!$B$15/(1-(1+Premissas!$B$15)^(-F169)))+I169,G169+H169+I169),0)</x:f>
        <x:v>1459.9503939763233</x:v>
      </x:c>
      <x:c r="K169" s="141" t="n">
        <x:f>H169+I169</x:f>
        <x:v>1078.9980130239417</x:v>
      </x:c>
      <x:c r="L169" s="141" t="n">
        <x:f>SUM($J$6:J169)</x:f>
        <x:v>287746.9908458834</x:v>
      </x:c>
      <x:c r="M169" s="141" t="n">
        <x:f>MAX(0,E169-G169)</x:f>
        <x:v>97523.80952380969</x:v>
      </x:c>
    </x:row>
    <x:row r="170">
      <x:c r="A170" s="142" t="n">
        <x:v>165</x:v>
      </x:c>
      <x:c r="B170" s="179" t="n">
        <x:f>EDATE(Premissas!$B$4,164)</x:f>
        <x:v>51533</x:v>
      </x:c>
      <x:c r="C170" s="141" t="n">
        <x:f>M169</x:f>
        <x:v>97523.80952380969</x:v>
      </x:c>
      <x:c r="D170" s="141" t="n">
        <x:f>IF(C170&gt;0,C170*Premissas!$B$17,0)</x:f>
        <x:v>0</x:v>
      </x:c>
      <x:c r="E170" s="141" t="n">
        <x:f>C170+D170</x:f>
        <x:v>97523.80952380969</x:v>
      </x:c>
      <x:c r="F170" s="142" t="n">
        <x:f>MAX(0,Premissas!$B$13-A170+1)</x:f>
        <x:v>256</x:v>
      </x:c>
      <x:c r="G170" s="141" t="n">
        <x:f>IF(AND(E170&gt;0,F170&gt;0),IF(Premissas!$B$19="PRICE",MAX(0,MIN(E170,IF(Premissas!$B$15=0,E170/F170,E170*Premissas!$B$15/(1-(1+Premissas!$B$15)^(-F170)))-H170)),MIN(E170,E170/F170)),0)</x:f>
        <x:v>380.9523809523816</x:v>
      </x:c>
      <x:c r="H170" s="141" t="n">
        <x:f>IF(AND(E170&gt;0,F170&gt;0),E170*Premissas!$B$15,0)</x:f>
        <x:v>925.3832347631482</x:v>
      </x:c>
      <x:c r="I170" s="141" t="n">
        <x:f>IF(AND(E170&gt;0,F170&gt;0),Premissas!$B$18,0)</x:f>
        <x:v>150</x:v>
      </x:c>
      <x:c r="J170" s="141" t="n">
        <x:f>IF(AND(E170&gt;0,F170&gt;0),IF(Premissas!$B$19="PRICE",IF(Premissas!$B$15=0,E170/F170,E170*Premissas!$B$15/(1-(1+Premissas!$B$15)^(-F170)))+I170,G170+H170+I170),0)</x:f>
        <x:v>1456.3356157155297</x:v>
      </x:c>
      <x:c r="K170" s="141" t="n">
        <x:f>H170+I170</x:f>
        <x:v>1075.3832347631483</x:v>
      </x:c>
      <x:c r="L170" s="141" t="n">
        <x:f>SUM($J$6:J170)</x:f>
        <x:v>289203.3264615989</x:v>
      </x:c>
      <x:c r="M170" s="141" t="n">
        <x:f>MAX(0,E170-G170)</x:f>
        <x:v>97142.8571428573</x:v>
      </x:c>
    </x:row>
    <x:row r="171">
      <x:c r="A171" s="142" t="n">
        <x:v>166</x:v>
      </x:c>
      <x:c r="B171" s="179" t="n">
        <x:f>EDATE(Premissas!$B$4,165)</x:f>
        <x:v>51561</x:v>
      </x:c>
      <x:c r="C171" s="141" t="n">
        <x:f>M170</x:f>
        <x:v>97142.8571428573</x:v>
      </x:c>
      <x:c r="D171" s="141" t="n">
        <x:f>IF(C171&gt;0,C171*Premissas!$B$17,0)</x:f>
        <x:v>0</x:v>
      </x:c>
      <x:c r="E171" s="141" t="n">
        <x:f>C171+D171</x:f>
        <x:v>97142.8571428573</x:v>
      </x:c>
      <x:c r="F171" s="142" t="n">
        <x:f>MAX(0,Premissas!$B$13-A171+1)</x:f>
        <x:v>255</x:v>
      </x:c>
      <x:c r="G171" s="141" t="n">
        <x:f>IF(AND(E171&gt;0,F171&gt;0),IF(Premissas!$B$19="PRICE",MAX(0,MIN(E171,IF(Premissas!$B$15=0,E171/F171,E171*Premissas!$B$15/(1-(1+Premissas!$B$15)^(-F171)))-H171)),MIN(E171,E171/F171)),0)</x:f>
        <x:v>380.9523809523816</x:v>
      </x:c>
      <x:c r="H171" s="141" t="n">
        <x:f>IF(AND(E171&gt;0,F171&gt;0),E171*Premissas!$B$15,0)</x:f>
        <x:v>921.7684565023545</x:v>
      </x:c>
      <x:c r="I171" s="141" t="n">
        <x:f>IF(AND(E171&gt;0,F171&gt;0),Premissas!$B$18,0)</x:f>
        <x:v>150</x:v>
      </x:c>
      <x:c r="J171" s="141" t="n">
        <x:f>IF(AND(E171&gt;0,F171&gt;0),IF(Premissas!$B$19="PRICE",IF(Premissas!$B$15=0,E171/F171,E171*Premissas!$B$15/(1-(1+Premissas!$B$15)^(-F171)))+I171,G171+H171+I171),0)</x:f>
        <x:v>1452.720837454736</x:v>
      </x:c>
      <x:c r="K171" s="141" t="n">
        <x:f>H171+I171</x:f>
        <x:v>1071.7684565023546</x:v>
      </x:c>
      <x:c r="L171" s="141" t="n">
        <x:f>SUM($J$6:J171)</x:f>
        <x:v>290656.04729905364</x:v>
      </x:c>
      <x:c r="M171" s="141" t="n">
        <x:f>MAX(0,E171-G171)</x:f>
        <x:v>96761.90476190492</x:v>
      </x:c>
    </x:row>
    <x:row r="172">
      <x:c r="A172" s="142" t="n">
        <x:v>167</x:v>
      </x:c>
      <x:c r="B172" s="179" t="n">
        <x:f>EDATE(Premissas!$B$4,166)</x:f>
        <x:v>51592</x:v>
      </x:c>
      <x:c r="C172" s="141" t="n">
        <x:f>M171</x:f>
        <x:v>96761.90476190492</x:v>
      </x:c>
      <x:c r="D172" s="141" t="n">
        <x:f>IF(C172&gt;0,C172*Premissas!$B$17,0)</x:f>
        <x:v>0</x:v>
      </x:c>
      <x:c r="E172" s="141" t="n">
        <x:f>C172+D172</x:f>
        <x:v>96761.90476190492</x:v>
      </x:c>
      <x:c r="F172" s="142" t="n">
        <x:f>MAX(0,Premissas!$B$13-A172+1)</x:f>
        <x:v>254</x:v>
      </x:c>
      <x:c r="G172" s="141" t="n">
        <x:f>IF(AND(E172&gt;0,F172&gt;0),IF(Premissas!$B$19="PRICE",MAX(0,MIN(E172,IF(Premissas!$B$15=0,E172/F172,E172*Premissas!$B$15/(1-(1+Premissas!$B$15)^(-F172)))-H172)),MIN(E172,E172/F172)),0)</x:f>
        <x:v>380.9523809523816</x:v>
      </x:c>
      <x:c r="H172" s="141" t="n">
        <x:f>IF(AND(E172&gt;0,F172&gt;0),E172*Premissas!$B$15,0)</x:f>
        <x:v>918.153678241561</x:v>
      </x:c>
      <x:c r="I172" s="141" t="n">
        <x:f>IF(AND(E172&gt;0,F172&gt;0),Premissas!$B$18,0)</x:f>
        <x:v>150</x:v>
      </x:c>
      <x:c r="J172" s="141" t="n">
        <x:f>IF(AND(E172&gt;0,F172&gt;0),IF(Premissas!$B$19="PRICE",IF(Premissas!$B$15=0,E172/F172,E172*Premissas!$B$15/(1-(1+Premissas!$B$15)^(-F172)))+I172,G172+H172+I172),0)</x:f>
        <x:v>1449.1060591939427</x:v>
      </x:c>
      <x:c r="K172" s="141" t="n">
        <x:f>H172+I172</x:f>
        <x:v>1068.153678241561</x:v>
      </x:c>
      <x:c r="L172" s="141" t="n">
        <x:f>SUM($J$6:J172)</x:f>
        <x:v>292105.1533582476</x:v>
      </x:c>
      <x:c r="M172" s="141" t="n">
        <x:f>MAX(0,E172-G172)</x:f>
        <x:v>96380.95238095254</x:v>
      </x:c>
    </x:row>
    <x:row r="173">
      <x:c r="A173" s="142" t="n">
        <x:v>168</x:v>
      </x:c>
      <x:c r="B173" s="179" t="n">
        <x:f>EDATE(Premissas!$B$4,167)</x:f>
        <x:v>51622</x:v>
      </x:c>
      <x:c r="C173" s="141" t="n">
        <x:f>M172</x:f>
        <x:v>96380.95238095254</x:v>
      </x:c>
      <x:c r="D173" s="141" t="n">
        <x:f>IF(C173&gt;0,C173*Premissas!$B$17,0)</x:f>
        <x:v>0</x:v>
      </x:c>
      <x:c r="E173" s="141" t="n">
        <x:f>C173+D173</x:f>
        <x:v>96380.95238095254</x:v>
      </x:c>
      <x:c r="F173" s="142" t="n">
        <x:f>MAX(0,Premissas!$B$13-A173+1)</x:f>
        <x:v>253</x:v>
      </x:c>
      <x:c r="G173" s="141" t="n">
        <x:f>IF(AND(E173&gt;0,F173&gt;0),IF(Premissas!$B$19="PRICE",MAX(0,MIN(E173,IF(Premissas!$B$15=0,E173/F173,E173*Premissas!$B$15/(1-(1+Premissas!$B$15)^(-F173)))-H173)),MIN(E173,E173/F173)),0)</x:f>
        <x:v>380.9523809523816</x:v>
      </x:c>
      <x:c r="H173" s="141" t="n">
        <x:f>IF(AND(E173&gt;0,F173&gt;0),E173*Premissas!$B$15,0)</x:f>
        <x:v>914.5388999807675</x:v>
      </x:c>
      <x:c r="I173" s="141" t="n">
        <x:f>IF(AND(E173&gt;0,F173&gt;0),Premissas!$B$18,0)</x:f>
        <x:v>150</x:v>
      </x:c>
      <x:c r="J173" s="141" t="n">
        <x:f>IF(AND(E173&gt;0,F173&gt;0),IF(Premissas!$B$19="PRICE",IF(Premissas!$B$15=0,E173/F173,E173*Premissas!$B$15/(1-(1+Premissas!$B$15)^(-F173)))+I173,G173+H173+I173),0)</x:f>
        <x:v>1445.491280933149</x:v>
      </x:c>
      <x:c r="K173" s="141" t="n">
        <x:f>H173+I173</x:f>
        <x:v>1064.5388999807674</x:v>
      </x:c>
      <x:c r="L173" s="141" t="n">
        <x:f>SUM($J$6:J173)</x:f>
        <x:v>293550.64463918074</x:v>
      </x:c>
      <x:c r="M173" s="141" t="n">
        <x:f>MAX(0,E173-G173)</x:f>
        <x:v>96000.00000000016</x:v>
      </x:c>
    </x:row>
    <x:row r="174">
      <x:c r="A174" s="142" t="n">
        <x:v>169</x:v>
      </x:c>
      <x:c r="B174" s="179" t="n">
        <x:f>EDATE(Premissas!$B$4,168)</x:f>
        <x:v>51653</x:v>
      </x:c>
      <x:c r="C174" s="141" t="n">
        <x:f>M173</x:f>
        <x:v>96000.00000000016</x:v>
      </x:c>
      <x:c r="D174" s="141" t="n">
        <x:f>IF(C174&gt;0,C174*Premissas!$B$17,0)</x:f>
        <x:v>0</x:v>
      </x:c>
      <x:c r="E174" s="141" t="n">
        <x:f>C174+D174</x:f>
        <x:v>96000.00000000016</x:v>
      </x:c>
      <x:c r="F174" s="142" t="n">
        <x:f>MAX(0,Premissas!$B$13-A174+1)</x:f>
        <x:v>252</x:v>
      </x:c>
      <x:c r="G174" s="141" t="n">
        <x:f>IF(AND(E174&gt;0,F174&gt;0),IF(Premissas!$B$19="PRICE",MAX(0,MIN(E174,IF(Premissas!$B$15=0,E174/F174,E174*Premissas!$B$15/(1-(1+Premissas!$B$15)^(-F174)))-H174)),MIN(E174,E174/F174)),0)</x:f>
        <x:v>380.9523809523816</x:v>
      </x:c>
      <x:c r="H174" s="141" t="n">
        <x:f>IF(AND(E174&gt;0,F174&gt;0),E174*Premissas!$B$15,0)</x:f>
        <x:v>910.9241217199739</x:v>
      </x:c>
      <x:c r="I174" s="141" t="n">
        <x:f>IF(AND(E174&gt;0,F174&gt;0),Premissas!$B$18,0)</x:f>
        <x:v>150</x:v>
      </x:c>
      <x:c r="J174" s="141" t="n">
        <x:f>IF(AND(E174&gt;0,F174&gt;0),IF(Premissas!$B$19="PRICE",IF(Premissas!$B$15=0,E174/F174,E174*Premissas!$B$15/(1-(1+Premissas!$B$15)^(-F174)))+I174,G174+H174+I174),0)</x:f>
        <x:v>1441.8765026723554</x:v>
      </x:c>
      <x:c r="K174" s="141" t="n">
        <x:f>H174+I174</x:f>
        <x:v>1060.9241217199738</x:v>
      </x:c>
      <x:c r="L174" s="141" t="n">
        <x:f>SUM($J$6:J174)</x:f>
        <x:v>294992.52114185307</x:v>
      </x:c>
      <x:c r="M174" s="141" t="n">
        <x:f>MAX(0,E174-G174)</x:f>
        <x:v>95619.04761904778</x:v>
      </x:c>
    </x:row>
    <x:row r="175">
      <x:c r="A175" s="142" t="n">
        <x:v>170</x:v>
      </x:c>
      <x:c r="B175" s="179" t="n">
        <x:f>EDATE(Premissas!$B$4,169)</x:f>
        <x:v>51683</x:v>
      </x:c>
      <x:c r="C175" s="141" t="n">
        <x:f>M174</x:f>
        <x:v>95619.04761904778</x:v>
      </x:c>
      <x:c r="D175" s="141" t="n">
        <x:f>IF(C175&gt;0,C175*Premissas!$B$17,0)</x:f>
        <x:v>0</x:v>
      </x:c>
      <x:c r="E175" s="141" t="n">
        <x:f>C175+D175</x:f>
        <x:v>95619.04761904778</x:v>
      </x:c>
      <x:c r="F175" s="142" t="n">
        <x:f>MAX(0,Premissas!$B$13-A175+1)</x:f>
        <x:v>251</x:v>
      </x:c>
      <x:c r="G175" s="141" t="n">
        <x:f>IF(AND(E175&gt;0,F175&gt;0),IF(Premissas!$B$19="PRICE",MAX(0,MIN(E175,IF(Premissas!$B$15=0,E175/F175,E175*Premissas!$B$15/(1-(1+Premissas!$B$15)^(-F175)))-H175)),MIN(E175,E175/F175)),0)</x:f>
        <x:v>380.9523809523816</x:v>
      </x:c>
      <x:c r="H175" s="141" t="n">
        <x:f>IF(AND(E175&gt;0,F175&gt;0),E175*Premissas!$B$15,0)</x:f>
        <x:v>907.3093434591804</x:v>
      </x:c>
      <x:c r="I175" s="141" t="n">
        <x:f>IF(AND(E175&gt;0,F175&gt;0),Premissas!$B$18,0)</x:f>
        <x:v>150</x:v>
      </x:c>
      <x:c r="J175" s="141" t="n">
        <x:f>IF(AND(E175&gt;0,F175&gt;0),IF(Premissas!$B$19="PRICE",IF(Premissas!$B$15=0,E175/F175,E175*Premissas!$B$15/(1-(1+Premissas!$B$15)^(-F175)))+I175,G175+H175+I175),0)</x:f>
        <x:v>1438.261724411562</x:v>
      </x:c>
      <x:c r="K175" s="141" t="n">
        <x:f>H175+I175</x:f>
        <x:v>1057.3093434591804</x:v>
      </x:c>
      <x:c r="L175" s="141" t="n">
        <x:f>SUM($J$6:J175)</x:f>
        <x:v>296430.78286626464</x:v>
      </x:c>
      <x:c r="M175" s="141" t="n">
        <x:f>MAX(0,E175-G175)</x:f>
        <x:v>95238.0952380954</x:v>
      </x:c>
    </x:row>
    <x:row r="176">
      <x:c r="A176" s="142" t="n">
        <x:v>171</x:v>
      </x:c>
      <x:c r="B176" s="179" t="n">
        <x:f>EDATE(Premissas!$B$4,170)</x:f>
        <x:v>51714</x:v>
      </x:c>
      <x:c r="C176" s="141" t="n">
        <x:f>M175</x:f>
        <x:v>95238.0952380954</x:v>
      </x:c>
      <x:c r="D176" s="141" t="n">
        <x:f>IF(C176&gt;0,C176*Premissas!$B$17,0)</x:f>
        <x:v>0</x:v>
      </x:c>
      <x:c r="E176" s="141" t="n">
        <x:f>C176+D176</x:f>
        <x:v>95238.0952380954</x:v>
      </x:c>
      <x:c r="F176" s="142" t="n">
        <x:f>MAX(0,Premissas!$B$13-A176+1)</x:f>
        <x:v>250</x:v>
      </x:c>
      <x:c r="G176" s="141" t="n">
        <x:f>IF(AND(E176&gt;0,F176&gt;0),IF(Premissas!$B$19="PRICE",MAX(0,MIN(E176,IF(Premissas!$B$15=0,E176/F176,E176*Premissas!$B$15/(1-(1+Premissas!$B$15)^(-F176)))-H176)),MIN(E176,E176/F176)),0)</x:f>
        <x:v>380.9523809523816</x:v>
      </x:c>
      <x:c r="H176" s="141" t="n">
        <x:f>IF(AND(E176&gt;0,F176&gt;0),E176*Premissas!$B$15,0)</x:f>
        <x:v>903.6945651983868</x:v>
      </x:c>
      <x:c r="I176" s="141" t="n">
        <x:f>IF(AND(E176&gt;0,F176&gt;0),Premissas!$B$18,0)</x:f>
        <x:v>150</x:v>
      </x:c>
      <x:c r="J176" s="141" t="n">
        <x:f>IF(AND(E176&gt;0,F176&gt;0),IF(Premissas!$B$19="PRICE",IF(Premissas!$B$15=0,E176/F176,E176*Premissas!$B$15/(1-(1+Premissas!$B$15)^(-F176)))+I176,G176+H176+I176),0)</x:f>
        <x:v>1434.6469461507684</x:v>
      </x:c>
      <x:c r="K176" s="141" t="n">
        <x:f>H176+I176</x:f>
        <x:v>1053.694565198387</x:v>
      </x:c>
      <x:c r="L176" s="141" t="n">
        <x:f>SUM($J$6:J176)</x:f>
        <x:v>297865.4298124154</x:v>
      </x:c>
      <x:c r="M176" s="141" t="n">
        <x:f>MAX(0,E176-G176)</x:f>
        <x:v>94857.14285714302</x:v>
      </x:c>
    </x:row>
    <x:row r="177">
      <x:c r="A177" s="142" t="n">
        <x:v>172</x:v>
      </x:c>
      <x:c r="B177" s="179" t="n">
        <x:f>EDATE(Premissas!$B$4,171)</x:f>
        <x:v>51745</x:v>
      </x:c>
      <x:c r="C177" s="141" t="n">
        <x:f>M176</x:f>
        <x:v>94857.14285714302</x:v>
      </x:c>
      <x:c r="D177" s="141" t="n">
        <x:f>IF(C177&gt;0,C177*Premissas!$B$17,0)</x:f>
        <x:v>0</x:v>
      </x:c>
      <x:c r="E177" s="141" t="n">
        <x:f>C177+D177</x:f>
        <x:v>94857.14285714302</x:v>
      </x:c>
      <x:c r="F177" s="142" t="n">
        <x:f>MAX(0,Premissas!$B$13-A177+1)</x:f>
        <x:v>249</x:v>
      </x:c>
      <x:c r="G177" s="141" t="n">
        <x:f>IF(AND(E177&gt;0,F177&gt;0),IF(Premissas!$B$19="PRICE",MAX(0,MIN(E177,IF(Premissas!$B$15=0,E177/F177,E177*Premissas!$B$15/(1-(1+Premissas!$B$15)^(-F177)))-H177)),MIN(E177,E177/F177)),0)</x:f>
        <x:v>380.9523809523816</x:v>
      </x:c>
      <x:c r="H177" s="141" t="n">
        <x:f>IF(AND(E177&gt;0,F177&gt;0),E177*Premissas!$B$15,0)</x:f>
        <x:v>900.0797869375932</x:v>
      </x:c>
      <x:c r="I177" s="141" t="n">
        <x:f>IF(AND(E177&gt;0,F177&gt;0),Premissas!$B$18,0)</x:f>
        <x:v>150</x:v>
      </x:c>
      <x:c r="J177" s="141" t="n">
        <x:f>IF(AND(E177&gt;0,F177&gt;0),IF(Premissas!$B$19="PRICE",IF(Premissas!$B$15=0,E177/F177,E177*Premissas!$B$15/(1-(1+Premissas!$B$15)^(-F177)))+I177,G177+H177+I177),0)</x:f>
        <x:v>1431.0321678899747</x:v>
      </x:c>
      <x:c r="K177" s="141" t="n">
        <x:f>H177+I177</x:f>
        <x:v>1050.0797869375933</x:v>
      </x:c>
      <x:c r="L177" s="141" t="n">
        <x:f>SUM($J$6:J177)</x:f>
        <x:v>299296.4619803054</x:v>
      </x:c>
      <x:c r="M177" s="141" t="n">
        <x:f>MAX(0,E177-G177)</x:f>
        <x:v>94476.19047619063</x:v>
      </x:c>
    </x:row>
    <x:row r="178">
      <x:c r="A178" s="142" t="n">
        <x:v>173</x:v>
      </x:c>
      <x:c r="B178" s="179" t="n">
        <x:f>EDATE(Premissas!$B$4,172)</x:f>
        <x:v>51775</x:v>
      </x:c>
      <x:c r="C178" s="141" t="n">
        <x:f>M177</x:f>
        <x:v>94476.19047619063</x:v>
      </x:c>
      <x:c r="D178" s="141" t="n">
        <x:f>IF(C178&gt;0,C178*Premissas!$B$17,0)</x:f>
        <x:v>0</x:v>
      </x:c>
      <x:c r="E178" s="141" t="n">
        <x:f>C178+D178</x:f>
        <x:v>94476.19047619063</x:v>
      </x:c>
      <x:c r="F178" s="142" t="n">
        <x:f>MAX(0,Premissas!$B$13-A178+1)</x:f>
        <x:v>248</x:v>
      </x:c>
      <x:c r="G178" s="141" t="n">
        <x:f>IF(AND(E178&gt;0,F178&gt;0),IF(Premissas!$B$19="PRICE",MAX(0,MIN(E178,IF(Premissas!$B$15=0,E178/F178,E178*Premissas!$B$15/(1-(1+Premissas!$B$15)^(-F178)))-H178)),MIN(E178,E178/F178)),0)</x:f>
        <x:v>380.9523809523816</x:v>
      </x:c>
      <x:c r="H178" s="141" t="n">
        <x:f>IF(AND(E178&gt;0,F178&gt;0),E178*Premissas!$B$15,0)</x:f>
        <x:v>896.4650086767997</x:v>
      </x:c>
      <x:c r="I178" s="141" t="n">
        <x:f>IF(AND(E178&gt;0,F178&gt;0),Premissas!$B$18,0)</x:f>
        <x:v>150</x:v>
      </x:c>
      <x:c r="J178" s="141" t="n">
        <x:f>IF(AND(E178&gt;0,F178&gt;0),IF(Premissas!$B$19="PRICE",IF(Premissas!$B$15=0,E178/F178,E178*Premissas!$B$15/(1-(1+Premissas!$B$15)^(-F178)))+I178,G178+H178+I178),0)</x:f>
        <x:v>1427.4173896291813</x:v>
      </x:c>
      <x:c r="K178" s="141" t="n">
        <x:f>H178+I178</x:f>
        <x:v>1046.4650086767997</x:v>
      </x:c>
      <x:c r="L178" s="141" t="n">
        <x:f>SUM($J$6:J178)</x:f>
        <x:v>300723.87936993456</x:v>
      </x:c>
      <x:c r="M178" s="141" t="n">
        <x:f>MAX(0,E178-G178)</x:f>
        <x:v>94095.23809523825</x:v>
      </x:c>
    </x:row>
    <x:row r="179">
      <x:c r="A179" s="142" t="n">
        <x:v>174</x:v>
      </x:c>
      <x:c r="B179" s="179" t="n">
        <x:f>EDATE(Premissas!$B$4,173)</x:f>
        <x:v>51806</x:v>
      </x:c>
      <x:c r="C179" s="141" t="n">
        <x:f>M178</x:f>
        <x:v>94095.23809523825</x:v>
      </x:c>
      <x:c r="D179" s="141" t="n">
        <x:f>IF(C179&gt;0,C179*Premissas!$B$17,0)</x:f>
        <x:v>0</x:v>
      </x:c>
      <x:c r="E179" s="141" t="n">
        <x:f>C179+D179</x:f>
        <x:v>94095.23809523825</x:v>
      </x:c>
      <x:c r="F179" s="142" t="n">
        <x:f>MAX(0,Premissas!$B$13-A179+1)</x:f>
        <x:v>247</x:v>
      </x:c>
      <x:c r="G179" s="141" t="n">
        <x:f>IF(AND(E179&gt;0,F179&gt;0),IF(Premissas!$B$19="PRICE",MAX(0,MIN(E179,IF(Premissas!$B$15=0,E179/F179,E179*Premissas!$B$15/(1-(1+Premissas!$B$15)^(-F179)))-H179)),MIN(E179,E179/F179)),0)</x:f>
        <x:v>380.9523809523816</x:v>
      </x:c>
      <x:c r="H179" s="141" t="n">
        <x:f>IF(AND(E179&gt;0,F179&gt;0),E179*Premissas!$B$15,0)</x:f>
        <x:v>892.8502304160062</x:v>
      </x:c>
      <x:c r="I179" s="141" t="n">
        <x:f>IF(AND(E179&gt;0,F179&gt;0),Premissas!$B$18,0)</x:f>
        <x:v>150</x:v>
      </x:c>
      <x:c r="J179" s="141" t="n">
        <x:f>IF(AND(E179&gt;0,F179&gt;0),IF(Premissas!$B$19="PRICE",IF(Premissas!$B$15=0,E179/F179,E179*Premissas!$B$15/(1-(1+Premissas!$B$15)^(-F179)))+I179,G179+H179+I179),0)</x:f>
        <x:v>1423.8026113683877</x:v>
      </x:c>
      <x:c r="K179" s="141" t="n">
        <x:f>H179+I179</x:f>
        <x:v>1042.850230416006</x:v>
      </x:c>
      <x:c r="L179" s="141" t="n">
        <x:f>SUM($J$6:J179)</x:f>
        <x:v>302147.6819813029</x:v>
      </x:c>
      <x:c r="M179" s="141" t="n">
        <x:f>MAX(0,E179-G179)</x:f>
        <x:v>93714.28571428587</x:v>
      </x:c>
    </x:row>
    <x:row r="180">
      <x:c r="A180" s="142" t="n">
        <x:v>175</x:v>
      </x:c>
      <x:c r="B180" s="179" t="n">
        <x:f>EDATE(Premissas!$B$4,174)</x:f>
        <x:v>51836</x:v>
      </x:c>
      <x:c r="C180" s="141" t="n">
        <x:f>M179</x:f>
        <x:v>93714.28571428587</x:v>
      </x:c>
      <x:c r="D180" s="141" t="n">
        <x:f>IF(C180&gt;0,C180*Premissas!$B$17,0)</x:f>
        <x:v>0</x:v>
      </x:c>
      <x:c r="E180" s="141" t="n">
        <x:f>C180+D180</x:f>
        <x:v>93714.28571428587</x:v>
      </x:c>
      <x:c r="F180" s="142" t="n">
        <x:f>MAX(0,Premissas!$B$13-A180+1)</x:f>
        <x:v>246</x:v>
      </x:c>
      <x:c r="G180" s="141" t="n">
        <x:f>IF(AND(E180&gt;0,F180&gt;0),IF(Premissas!$B$19="PRICE",MAX(0,MIN(E180,IF(Premissas!$B$15=0,E180/F180,E180*Premissas!$B$15/(1-(1+Premissas!$B$15)^(-F180)))-H180)),MIN(E180,E180/F180)),0)</x:f>
        <x:v>380.9523809523816</x:v>
      </x:c>
      <x:c r="H180" s="141" t="n">
        <x:f>IF(AND(E180&gt;0,F180&gt;0),E180*Premissas!$B$15,0)</x:f>
        <x:v>889.2354521552127</x:v>
      </x:c>
      <x:c r="I180" s="141" t="n">
        <x:f>IF(AND(E180&gt;0,F180&gt;0),Premissas!$B$18,0)</x:f>
        <x:v>150</x:v>
      </x:c>
      <x:c r="J180" s="141" t="n">
        <x:f>IF(AND(E180&gt;0,F180&gt;0),IF(Premissas!$B$19="PRICE",IF(Premissas!$B$15=0,E180/F180,E180*Premissas!$B$15/(1-(1+Premissas!$B$15)^(-F180)))+I180,G180+H180+I180),0)</x:f>
        <x:v>1420.1878331075943</x:v>
      </x:c>
      <x:c r="K180" s="141" t="n">
        <x:f>H180+I180</x:f>
        <x:v>1039.2354521552127</x:v>
      </x:c>
      <x:c r="L180" s="141" t="n">
        <x:f>SUM($J$6:J180)</x:f>
        <x:v>303567.8698144105</x:v>
      </x:c>
      <x:c r="M180" s="141" t="n">
        <x:f>MAX(0,E180-G180)</x:f>
        <x:v>93333.33333333349</x:v>
      </x:c>
    </x:row>
    <x:row r="181">
      <x:c r="A181" s="142" t="n">
        <x:v>176</x:v>
      </x:c>
      <x:c r="B181" s="179" t="n">
        <x:f>EDATE(Premissas!$B$4,175)</x:f>
        <x:v>51867</x:v>
      </x:c>
      <x:c r="C181" s="141" t="n">
        <x:f>M180</x:f>
        <x:v>93333.33333333349</x:v>
      </x:c>
      <x:c r="D181" s="141" t="n">
        <x:f>IF(C181&gt;0,C181*Premissas!$B$17,0)</x:f>
        <x:v>0</x:v>
      </x:c>
      <x:c r="E181" s="141" t="n">
        <x:f>C181+D181</x:f>
        <x:v>93333.33333333349</x:v>
      </x:c>
      <x:c r="F181" s="142" t="n">
        <x:f>MAX(0,Premissas!$B$13-A181+1)</x:f>
        <x:v>245</x:v>
      </x:c>
      <x:c r="G181" s="141" t="n">
        <x:f>IF(AND(E181&gt;0,F181&gt;0),IF(Premissas!$B$19="PRICE",MAX(0,MIN(E181,IF(Premissas!$B$15=0,E181/F181,E181*Premissas!$B$15/(1-(1+Premissas!$B$15)^(-F181)))-H181)),MIN(E181,E181/F181)),0)</x:f>
        <x:v>380.9523809523816</x:v>
      </x:c>
      <x:c r="H181" s="141" t="n">
        <x:f>IF(AND(E181&gt;0,F181&gt;0),E181*Premissas!$B$15,0)</x:f>
        <x:v>885.620673894419</x:v>
      </x:c>
      <x:c r="I181" s="141" t="n">
        <x:f>IF(AND(E181&gt;0,F181&gt;0),Premissas!$B$18,0)</x:f>
        <x:v>150</x:v>
      </x:c>
      <x:c r="J181" s="141" t="n">
        <x:f>IF(AND(E181&gt;0,F181&gt;0),IF(Premissas!$B$19="PRICE",IF(Premissas!$B$15=0,E181/F181,E181*Premissas!$B$15/(1-(1+Premissas!$B$15)^(-F181)))+I181,G181+H181+I181),0)</x:f>
        <x:v>1416.5730548468007</x:v>
      </x:c>
      <x:c r="K181" s="141" t="n">
        <x:f>H181+I181</x:f>
        <x:v>1035.620673894419</x:v>
      </x:c>
      <x:c r="L181" s="141" t="n">
        <x:f>SUM($J$6:J181)</x:f>
        <x:v>304984.4428692573</x:v>
      </x:c>
      <x:c r="M181" s="141" t="n">
        <x:f>MAX(0,E181-G181)</x:f>
        <x:v>92952.3809523811</x:v>
      </x:c>
    </x:row>
    <x:row r="182">
      <x:c r="A182" s="142" t="n">
        <x:v>177</x:v>
      </x:c>
      <x:c r="B182" s="179" t="n">
        <x:f>EDATE(Premissas!$B$4,176)</x:f>
        <x:v>51898</x:v>
      </x:c>
      <x:c r="C182" s="141" t="n">
        <x:f>M181</x:f>
        <x:v>92952.3809523811</x:v>
      </x:c>
      <x:c r="D182" s="141" t="n">
        <x:f>IF(C182&gt;0,C182*Premissas!$B$17,0)</x:f>
        <x:v>0</x:v>
      </x:c>
      <x:c r="E182" s="141" t="n">
        <x:f>C182+D182</x:f>
        <x:v>92952.3809523811</x:v>
      </x:c>
      <x:c r="F182" s="142" t="n">
        <x:f>MAX(0,Premissas!$B$13-A182+1)</x:f>
        <x:v>244</x:v>
      </x:c>
      <x:c r="G182" s="141" t="n">
        <x:f>IF(AND(E182&gt;0,F182&gt;0),IF(Premissas!$B$19="PRICE",MAX(0,MIN(E182,IF(Premissas!$B$15=0,E182/F182,E182*Premissas!$B$15/(1-(1+Premissas!$B$15)^(-F182)))-H182)),MIN(E182,E182/F182)),0)</x:f>
        <x:v>380.9523809523816</x:v>
      </x:c>
      <x:c r="H182" s="141" t="n">
        <x:f>IF(AND(E182&gt;0,F182&gt;0),E182*Premissas!$B$15,0)</x:f>
        <x:v>882.0058956336255</x:v>
      </x:c>
      <x:c r="I182" s="141" t="n">
        <x:f>IF(AND(E182&gt;0,F182&gt;0),Premissas!$B$18,0)</x:f>
        <x:v>150</x:v>
      </x:c>
      <x:c r="J182" s="141" t="n">
        <x:f>IF(AND(E182&gt;0,F182&gt;0),IF(Premissas!$B$19="PRICE",IF(Premissas!$B$15=0,E182/F182,E182*Premissas!$B$15/(1-(1+Premissas!$B$15)^(-F182)))+I182,G182+H182+I182),0)</x:f>
        <x:v>1412.958276586007</x:v>
      </x:c>
      <x:c r="K182" s="141" t="n">
        <x:f>H182+I182</x:f>
        <x:v>1032.0058956336256</x:v>
      </x:c>
      <x:c r="L182" s="141" t="n">
        <x:f>SUM($J$6:J182)</x:f>
        <x:v>306397.4011458433</x:v>
      </x:c>
      <x:c r="M182" s="141" t="n">
        <x:f>MAX(0,E182-G182)</x:f>
        <x:v>92571.42857142873</x:v>
      </x:c>
    </x:row>
    <x:row r="183">
      <x:c r="A183" s="142" t="n">
        <x:v>178</x:v>
      </x:c>
      <x:c r="B183" s="179" t="n">
        <x:f>EDATE(Premissas!$B$4,177)</x:f>
        <x:v>51926</x:v>
      </x:c>
      <x:c r="C183" s="141" t="n">
        <x:f>M182</x:f>
        <x:v>92571.42857142873</x:v>
      </x:c>
      <x:c r="D183" s="141" t="n">
        <x:f>IF(C183&gt;0,C183*Premissas!$B$17,0)</x:f>
        <x:v>0</x:v>
      </x:c>
      <x:c r="E183" s="141" t="n">
        <x:f>C183+D183</x:f>
        <x:v>92571.42857142873</x:v>
      </x:c>
      <x:c r="F183" s="142" t="n">
        <x:f>MAX(0,Premissas!$B$13-A183+1)</x:f>
        <x:v>243</x:v>
      </x:c>
      <x:c r="G183" s="141" t="n">
        <x:f>IF(AND(E183&gt;0,F183&gt;0),IF(Premissas!$B$19="PRICE",MAX(0,MIN(E183,IF(Premissas!$B$15=0,E183/F183,E183*Premissas!$B$15/(1-(1+Premissas!$B$15)^(-F183)))-H183)),MIN(E183,E183/F183)),0)</x:f>
        <x:v>380.9523809523816</x:v>
      </x:c>
      <x:c r="H183" s="141" t="n">
        <x:f>IF(AND(E183&gt;0,F183&gt;0),E183*Premissas!$B$15,0)</x:f>
        <x:v>878.391117372832</x:v>
      </x:c>
      <x:c r="I183" s="141" t="n">
        <x:f>IF(AND(E183&gt;0,F183&gt;0),Premissas!$B$18,0)</x:f>
        <x:v>150</x:v>
      </x:c>
      <x:c r="J183" s="141" t="n">
        <x:f>IF(AND(E183&gt;0,F183&gt;0),IF(Premissas!$B$19="PRICE",IF(Premissas!$B$15=0,E183/F183,E183*Premissas!$B$15/(1-(1+Premissas!$B$15)^(-F183)))+I183,G183+H183+I183),0)</x:f>
        <x:v>1409.3434983252137</x:v>
      </x:c>
      <x:c r="K183" s="141" t="n">
        <x:f>H183+I183</x:f>
        <x:v>1028.391117372832</x:v>
      </x:c>
      <x:c r="L183" s="141" t="n">
        <x:f>SUM($J$6:J183)</x:f>
        <x:v>307806.74464416853</x:v>
      </x:c>
      <x:c r="M183" s="141" t="n">
        <x:f>MAX(0,E183-G183)</x:f>
        <x:v>92190.47619047634</x:v>
      </x:c>
    </x:row>
    <x:row r="184">
      <x:c r="A184" s="142" t="n">
        <x:v>179</x:v>
      </x:c>
      <x:c r="B184" s="179" t="n">
        <x:f>EDATE(Premissas!$B$4,178)</x:f>
        <x:v>51957</x:v>
      </x:c>
      <x:c r="C184" s="141" t="n">
        <x:f>M183</x:f>
        <x:v>92190.47619047634</x:v>
      </x:c>
      <x:c r="D184" s="141" t="n">
        <x:f>IF(C184&gt;0,C184*Premissas!$B$17,0)</x:f>
        <x:v>0</x:v>
      </x:c>
      <x:c r="E184" s="141" t="n">
        <x:f>C184+D184</x:f>
        <x:v>92190.47619047634</x:v>
      </x:c>
      <x:c r="F184" s="142" t="n">
        <x:f>MAX(0,Premissas!$B$13-A184+1)</x:f>
        <x:v>242</x:v>
      </x:c>
      <x:c r="G184" s="141" t="n">
        <x:f>IF(AND(E184&gt;0,F184&gt;0),IF(Premissas!$B$19="PRICE",MAX(0,MIN(E184,IF(Premissas!$B$15=0,E184/F184,E184*Premissas!$B$15/(1-(1+Premissas!$B$15)^(-F184)))-H184)),MIN(E184,E184/F184)),0)</x:f>
        <x:v>380.9523809523816</x:v>
      </x:c>
      <x:c r="H184" s="141" t="n">
        <x:f>IF(AND(E184&gt;0,F184&gt;0),E184*Premissas!$B$15,0)</x:f>
        <x:v>874.7763391120384</x:v>
      </x:c>
      <x:c r="I184" s="141" t="n">
        <x:f>IF(AND(E184&gt;0,F184&gt;0),Premissas!$B$18,0)</x:f>
        <x:v>150</x:v>
      </x:c>
      <x:c r="J184" s="141" t="n">
        <x:f>IF(AND(E184&gt;0,F184&gt;0),IF(Premissas!$B$19="PRICE",IF(Premissas!$B$15=0,E184/F184,E184*Premissas!$B$15/(1-(1+Premissas!$B$15)^(-F184)))+I184,G184+H184+I184),0)</x:f>
        <x:v>1405.72872006442</x:v>
      </x:c>
      <x:c r="K184" s="141" t="n">
        <x:f>H184+I184</x:f>
        <x:v>1024.7763391120384</x:v>
      </x:c>
      <x:c r="L184" s="141" t="n">
        <x:f>SUM($J$6:J184)</x:f>
        <x:v>309212.4733642329</x:v>
      </x:c>
      <x:c r="M184" s="141" t="n">
        <x:f>MAX(0,E184-G184)</x:f>
        <x:v>91809.52380952396</x:v>
      </x:c>
    </x:row>
    <x:row r="185">
      <x:c r="A185" s="142" t="n">
        <x:v>180</x:v>
      </x:c>
      <x:c r="B185" s="179" t="n">
        <x:f>EDATE(Premissas!$B$4,179)</x:f>
        <x:v>51987</x:v>
      </x:c>
      <x:c r="C185" s="141" t="n">
        <x:f>M184</x:f>
        <x:v>91809.52380952396</x:v>
      </x:c>
      <x:c r="D185" s="141" t="n">
        <x:f>IF(C185&gt;0,C185*Premissas!$B$17,0)</x:f>
        <x:v>0</x:v>
      </x:c>
      <x:c r="E185" s="141" t="n">
        <x:f>C185+D185</x:f>
        <x:v>91809.52380952396</x:v>
      </x:c>
      <x:c r="F185" s="142" t="n">
        <x:f>MAX(0,Premissas!$B$13-A185+1)</x:f>
        <x:v>241</x:v>
      </x:c>
      <x:c r="G185" s="141" t="n">
        <x:f>IF(AND(E185&gt;0,F185&gt;0),IF(Premissas!$B$19="PRICE",MAX(0,MIN(E185,IF(Premissas!$B$15=0,E185/F185,E185*Premissas!$B$15/(1-(1+Premissas!$B$15)^(-F185)))-H185)),MIN(E185,E185/F185)),0)</x:f>
        <x:v>380.9523809523816</x:v>
      </x:c>
      <x:c r="H185" s="141" t="n">
        <x:f>IF(AND(E185&gt;0,F185&gt;0),E185*Premissas!$B$15,0)</x:f>
        <x:v>871.1615608512449</x:v>
      </x:c>
      <x:c r="I185" s="141" t="n">
        <x:f>IF(AND(E185&gt;0,F185&gt;0),Premissas!$B$18,0)</x:f>
        <x:v>150</x:v>
      </x:c>
      <x:c r="J185" s="141" t="n">
        <x:f>IF(AND(E185&gt;0,F185&gt;0),IF(Premissas!$B$19="PRICE",IF(Premissas!$B$15=0,E185/F185,E185*Premissas!$B$15/(1-(1+Premissas!$B$15)^(-F185)))+I185,G185+H185+I185),0)</x:f>
        <x:v>1402.1139418036264</x:v>
      </x:c>
      <x:c r="K185" s="141" t="n">
        <x:f>H185+I185</x:f>
        <x:v>1021.1615608512449</x:v>
      </x:c>
      <x:c r="L185" s="141" t="n">
        <x:f>SUM($J$6:J185)</x:f>
        <x:v>310614.58730603656</x:v>
      </x:c>
      <x:c r="M185" s="141" t="n">
        <x:f>MAX(0,E185-G185)</x:f>
        <x:v>91428.57142857158</x:v>
      </x:c>
    </x:row>
    <x:row r="186">
      <x:c r="A186" s="142" t="n">
        <x:v>181</x:v>
      </x:c>
      <x:c r="B186" s="179" t="n">
        <x:f>EDATE(Premissas!$B$4,180)</x:f>
        <x:v>52018</x:v>
      </x:c>
      <x:c r="C186" s="141" t="n">
        <x:f>M185</x:f>
        <x:v>91428.57142857158</x:v>
      </x:c>
      <x:c r="D186" s="141" t="n">
        <x:f>IF(C186&gt;0,C186*Premissas!$B$17,0)</x:f>
        <x:v>0</x:v>
      </x:c>
      <x:c r="E186" s="141" t="n">
        <x:f>C186+D186</x:f>
        <x:v>91428.57142857158</x:v>
      </x:c>
      <x:c r="F186" s="142" t="n">
        <x:f>MAX(0,Premissas!$B$13-A186+1)</x:f>
        <x:v>240</x:v>
      </x:c>
      <x:c r="G186" s="141" t="n">
        <x:f>IF(AND(E186&gt;0,F186&gt;0),IF(Premissas!$B$19="PRICE",MAX(0,MIN(E186,IF(Premissas!$B$15=0,E186/F186,E186*Premissas!$B$15/(1-(1+Premissas!$B$15)^(-F186)))-H186)),MIN(E186,E186/F186)),0)</x:f>
        <x:v>380.9523809523816</x:v>
      </x:c>
      <x:c r="H186" s="141" t="n">
        <x:f>IF(AND(E186&gt;0,F186&gt;0),E186*Premissas!$B$15,0)</x:f>
        <x:v>867.5467825904514</x:v>
      </x:c>
      <x:c r="I186" s="141" t="n">
        <x:f>IF(AND(E186&gt;0,F186&gt;0),Premissas!$B$18,0)</x:f>
        <x:v>150</x:v>
      </x:c>
      <x:c r="J186" s="141" t="n">
        <x:f>IF(AND(E186&gt;0,F186&gt;0),IF(Premissas!$B$19="PRICE",IF(Premissas!$B$15=0,E186/F186,E186*Premissas!$B$15/(1-(1+Premissas!$B$15)^(-F186)))+I186,G186+H186+I186),0)</x:f>
        <x:v>1398.499163542833</x:v>
      </x:c>
      <x:c r="K186" s="141" t="n">
        <x:f>H186+I186</x:f>
        <x:v>1017.5467825904514</x:v>
      </x:c>
      <x:c r="L186" s="141" t="n">
        <x:f>SUM($J$6:J186)</x:f>
        <x:v>312013.0864695794</x:v>
      </x:c>
      <x:c r="M186" s="141" t="n">
        <x:f>MAX(0,E186-G186)</x:f>
        <x:v>91047.6190476192</x:v>
      </x:c>
    </x:row>
    <x:row r="187">
      <x:c r="A187" s="142" t="n">
        <x:v>182</x:v>
      </x:c>
      <x:c r="B187" s="179" t="n">
        <x:f>EDATE(Premissas!$B$4,181)</x:f>
        <x:v>52048</x:v>
      </x:c>
      <x:c r="C187" s="141" t="n">
        <x:f>M186</x:f>
        <x:v>91047.6190476192</x:v>
      </x:c>
      <x:c r="D187" s="141" t="n">
        <x:f>IF(C187&gt;0,C187*Premissas!$B$17,0)</x:f>
        <x:v>0</x:v>
      </x:c>
      <x:c r="E187" s="141" t="n">
        <x:f>C187+D187</x:f>
        <x:v>91047.6190476192</x:v>
      </x:c>
      <x:c r="F187" s="142" t="n">
        <x:f>MAX(0,Premissas!$B$13-A187+1)</x:f>
        <x:v>239</x:v>
      </x:c>
      <x:c r="G187" s="141" t="n">
        <x:f>IF(AND(E187&gt;0,F187&gt;0),IF(Premissas!$B$19="PRICE",MAX(0,MIN(E187,IF(Premissas!$B$15=0,E187/F187,E187*Premissas!$B$15/(1-(1+Premissas!$B$15)^(-F187)))-H187)),MIN(E187,E187/F187)),0)</x:f>
        <x:v>380.9523809523816</x:v>
      </x:c>
      <x:c r="H187" s="141" t="n">
        <x:f>IF(AND(E187&gt;0,F187&gt;0),E187*Premissas!$B$15,0)</x:f>
        <x:v>863.9320043296578</x:v>
      </x:c>
      <x:c r="I187" s="141" t="n">
        <x:f>IF(AND(E187&gt;0,F187&gt;0),Premissas!$B$18,0)</x:f>
        <x:v>150</x:v>
      </x:c>
      <x:c r="J187" s="141" t="n">
        <x:f>IF(AND(E187&gt;0,F187&gt;0),IF(Premissas!$B$19="PRICE",IF(Premissas!$B$15=0,E187/F187,E187*Premissas!$B$15/(1-(1+Premissas!$B$15)^(-F187)))+I187,G187+H187+I187),0)</x:f>
        <x:v>1394.8843852820394</x:v>
      </x:c>
      <x:c r="K187" s="141" t="n">
        <x:f>H187+I187</x:f>
        <x:v>1013.9320043296578</x:v>
      </x:c>
      <x:c r="L187" s="141" t="n">
        <x:f>SUM($J$6:J187)</x:f>
        <x:v>313407.9708548614</x:v>
      </x:c>
      <x:c r="M187" s="141" t="n">
        <x:f>MAX(0,E187-G187)</x:f>
        <x:v>90666.66666666682</x:v>
      </x:c>
    </x:row>
    <x:row r="188">
      <x:c r="A188" s="142" t="n">
        <x:v>183</x:v>
      </x:c>
      <x:c r="B188" s="179" t="n">
        <x:f>EDATE(Premissas!$B$4,182)</x:f>
        <x:v>52079</x:v>
      </x:c>
      <x:c r="C188" s="141" t="n">
        <x:f>M187</x:f>
        <x:v>90666.66666666682</x:v>
      </x:c>
      <x:c r="D188" s="141" t="n">
        <x:f>IF(C188&gt;0,C188*Premissas!$B$17,0)</x:f>
        <x:v>0</x:v>
      </x:c>
      <x:c r="E188" s="141" t="n">
        <x:f>C188+D188</x:f>
        <x:v>90666.66666666682</x:v>
      </x:c>
      <x:c r="F188" s="142" t="n">
        <x:f>MAX(0,Premissas!$B$13-A188+1)</x:f>
        <x:v>238</x:v>
      </x:c>
      <x:c r="G188" s="141" t="n">
        <x:f>IF(AND(E188&gt;0,F188&gt;0),IF(Premissas!$B$19="PRICE",MAX(0,MIN(E188,IF(Premissas!$B$15=0,E188/F188,E188*Premissas!$B$15/(1-(1+Premissas!$B$15)^(-F188)))-H188)),MIN(E188,E188/F188)),0)</x:f>
        <x:v>380.9523809523816</x:v>
      </x:c>
      <x:c r="H188" s="141" t="n">
        <x:f>IF(AND(E188&gt;0,F188&gt;0),E188*Premissas!$B$15,0)</x:f>
        <x:v>860.3172260688642</x:v>
      </x:c>
      <x:c r="I188" s="141" t="n">
        <x:f>IF(AND(E188&gt;0,F188&gt;0),Premissas!$B$18,0)</x:f>
        <x:v>150</x:v>
      </x:c>
      <x:c r="J188" s="141" t="n">
        <x:f>IF(AND(E188&gt;0,F188&gt;0),IF(Premissas!$B$19="PRICE",IF(Premissas!$B$15=0,E188/F188,E188*Premissas!$B$15/(1-(1+Premissas!$B$15)^(-F188)))+I188,G188+H188+I188),0)</x:f>
        <x:v>1391.2696070212457</x:v>
      </x:c>
      <x:c r="K188" s="141" t="n">
        <x:f>H188+I188</x:f>
        <x:v>1010.3172260688642</x:v>
      </x:c>
      <x:c r="L188" s="141" t="n">
        <x:f>SUM($J$6:J188)</x:f>
        <x:v>314799.24046188267</x:v>
      </x:c>
      <x:c r="M188" s="141" t="n">
        <x:f>MAX(0,E188-G188)</x:f>
        <x:v>90285.71428571444</x:v>
      </x:c>
    </x:row>
    <x:row r="189">
      <x:c r="A189" s="142" t="n">
        <x:v>184</x:v>
      </x:c>
      <x:c r="B189" s="179" t="n">
        <x:f>EDATE(Premissas!$B$4,183)</x:f>
        <x:v>52110</x:v>
      </x:c>
      <x:c r="C189" s="141" t="n">
        <x:f>M188</x:f>
        <x:v>90285.71428571444</x:v>
      </x:c>
      <x:c r="D189" s="141" t="n">
        <x:f>IF(C189&gt;0,C189*Premissas!$B$17,0)</x:f>
        <x:v>0</x:v>
      </x:c>
      <x:c r="E189" s="141" t="n">
        <x:f>C189+D189</x:f>
        <x:v>90285.71428571444</x:v>
      </x:c>
      <x:c r="F189" s="142" t="n">
        <x:f>MAX(0,Premissas!$B$13-A189+1)</x:f>
        <x:v>237</x:v>
      </x:c>
      <x:c r="G189" s="141" t="n">
        <x:f>IF(AND(E189&gt;0,F189&gt;0),IF(Premissas!$B$19="PRICE",MAX(0,MIN(E189,IF(Premissas!$B$15=0,E189/F189,E189*Premissas!$B$15/(1-(1+Premissas!$B$15)^(-F189)))-H189)),MIN(E189,E189/F189)),0)</x:f>
        <x:v>380.9523809523816</x:v>
      </x:c>
      <x:c r="H189" s="141" t="n">
        <x:f>IF(AND(E189&gt;0,F189&gt;0),E189*Premissas!$B$15,0)</x:f>
        <x:v>856.7024478080707</x:v>
      </x:c>
      <x:c r="I189" s="141" t="n">
        <x:f>IF(AND(E189&gt;0,F189&gt;0),Premissas!$B$18,0)</x:f>
        <x:v>150</x:v>
      </x:c>
      <x:c r="J189" s="141" t="n">
        <x:f>IF(AND(E189&gt;0,F189&gt;0),IF(Premissas!$B$19="PRICE",IF(Premissas!$B$15=0,E189/F189,E189*Premissas!$B$15/(1-(1+Premissas!$B$15)^(-F189)))+I189,G189+H189+I189),0)</x:f>
        <x:v>1387.6548287604523</x:v>
      </x:c>
      <x:c r="K189" s="141" t="n">
        <x:f>H189+I189</x:f>
        <x:v>1006.7024478080707</x:v>
      </x:c>
      <x:c r="L189" s="141" t="n">
        <x:f>SUM($J$6:J189)</x:f>
        <x:v>316186.8952906431</x:v>
      </x:c>
      <x:c r="M189" s="141" t="n">
        <x:f>MAX(0,E189-G189)</x:f>
        <x:v>89904.76190476205</x:v>
      </x:c>
    </x:row>
    <x:row r="190">
      <x:c r="A190" s="142" t="n">
        <x:v>185</x:v>
      </x:c>
      <x:c r="B190" s="179" t="n">
        <x:f>EDATE(Premissas!$B$4,184)</x:f>
        <x:v>52140</x:v>
      </x:c>
      <x:c r="C190" s="141" t="n">
        <x:f>M189</x:f>
        <x:v>89904.76190476205</x:v>
      </x:c>
      <x:c r="D190" s="141" t="n">
        <x:f>IF(C190&gt;0,C190*Premissas!$B$17,0)</x:f>
        <x:v>0</x:v>
      </x:c>
      <x:c r="E190" s="141" t="n">
        <x:f>C190+D190</x:f>
        <x:v>89904.76190476205</x:v>
      </x:c>
      <x:c r="F190" s="142" t="n">
        <x:f>MAX(0,Premissas!$B$13-A190+1)</x:f>
        <x:v>236</x:v>
      </x:c>
      <x:c r="G190" s="141" t="n">
        <x:f>IF(AND(E190&gt;0,F190&gt;0),IF(Premissas!$B$19="PRICE",MAX(0,MIN(E190,IF(Premissas!$B$15=0,E190/F190,E190*Premissas!$B$15/(1-(1+Premissas!$B$15)^(-F190)))-H190)),MIN(E190,E190/F190)),0)</x:f>
        <x:v>380.9523809523816</x:v>
      </x:c>
      <x:c r="H190" s="141" t="n">
        <x:f>IF(AND(E190&gt;0,F190&gt;0),E190*Premissas!$B$15,0)</x:f>
        <x:v>853.0876695472772</x:v>
      </x:c>
      <x:c r="I190" s="141" t="n">
        <x:f>IF(AND(E190&gt;0,F190&gt;0),Premissas!$B$18,0)</x:f>
        <x:v>150</x:v>
      </x:c>
      <x:c r="J190" s="141" t="n">
        <x:f>IF(AND(E190&gt;0,F190&gt;0),IF(Premissas!$B$19="PRICE",IF(Premissas!$B$15=0,E190/F190,E190*Premissas!$B$15/(1-(1+Premissas!$B$15)^(-F190)))+I190,G190+H190+I190),0)</x:f>
        <x:v>1384.0400504996587</x:v>
      </x:c>
      <x:c r="K190" s="141" t="n">
        <x:f>H190+I190</x:f>
        <x:v>1003.0876695472772</x:v>
      </x:c>
      <x:c r="L190" s="141" t="n">
        <x:f>SUM($J$6:J190)</x:f>
        <x:v>317570.93534114276</x:v>
      </x:c>
      <x:c r="M190" s="141" t="n">
        <x:f>MAX(0,E190-G190)</x:f>
        <x:v>89523.80952380967</x:v>
      </x:c>
    </x:row>
    <x:row r="191">
      <x:c r="A191" s="142" t="n">
        <x:v>186</x:v>
      </x:c>
      <x:c r="B191" s="179" t="n">
        <x:f>EDATE(Premissas!$B$4,185)</x:f>
        <x:v>52171</x:v>
      </x:c>
      <x:c r="C191" s="141" t="n">
        <x:f>M190</x:f>
        <x:v>89523.80952380967</x:v>
      </x:c>
      <x:c r="D191" s="141" t="n">
        <x:f>IF(C191&gt;0,C191*Premissas!$B$17,0)</x:f>
        <x:v>0</x:v>
      </x:c>
      <x:c r="E191" s="141" t="n">
        <x:f>C191+D191</x:f>
        <x:v>89523.80952380967</x:v>
      </x:c>
      <x:c r="F191" s="142" t="n">
        <x:f>MAX(0,Premissas!$B$13-A191+1)</x:f>
        <x:v>235</x:v>
      </x:c>
      <x:c r="G191" s="141" t="n">
        <x:f>IF(AND(E191&gt;0,F191&gt;0),IF(Premissas!$B$19="PRICE",MAX(0,MIN(E191,IF(Premissas!$B$15=0,E191/F191,E191*Premissas!$B$15/(1-(1+Premissas!$B$15)^(-F191)))-H191)),MIN(E191,E191/F191)),0)</x:f>
        <x:v>380.9523809523816</x:v>
      </x:c>
      <x:c r="H191" s="141" t="n">
        <x:f>IF(AND(E191&gt;0,F191&gt;0),E191*Premissas!$B$15,0)</x:f>
        <x:v>849.4728912864836</x:v>
      </x:c>
      <x:c r="I191" s="141" t="n">
        <x:f>IF(AND(E191&gt;0,F191&gt;0),Premissas!$B$18,0)</x:f>
        <x:v>150</x:v>
      </x:c>
      <x:c r="J191" s="141" t="n">
        <x:f>IF(AND(E191&gt;0,F191&gt;0),IF(Premissas!$B$19="PRICE",IF(Premissas!$B$15=0,E191/F191,E191*Premissas!$B$15/(1-(1+Premissas!$B$15)^(-F191)))+I191,G191+H191+I191),0)</x:f>
        <x:v>1380.425272238865</x:v>
      </x:c>
      <x:c r="K191" s="141" t="n">
        <x:f>H191+I191</x:f>
        <x:v>999.4728912864836</x:v>
      </x:c>
      <x:c r="L191" s="141" t="n">
        <x:f>SUM($J$6:J191)</x:f>
        <x:v>318951.3606133816</x:v>
      </x:c>
      <x:c r="M191" s="141" t="n">
        <x:f>MAX(0,E191-G191)</x:f>
        <x:v>89142.85714285729</x:v>
      </x:c>
    </x:row>
    <x:row r="192">
      <x:c r="A192" s="142" t="n">
        <x:v>187</x:v>
      </x:c>
      <x:c r="B192" s="179" t="n">
        <x:f>EDATE(Premissas!$B$4,186)</x:f>
        <x:v>52201</x:v>
      </x:c>
      <x:c r="C192" s="141" t="n">
        <x:f>M191</x:f>
        <x:v>89142.85714285729</x:v>
      </x:c>
      <x:c r="D192" s="141" t="n">
        <x:f>IF(C192&gt;0,C192*Premissas!$B$17,0)</x:f>
        <x:v>0</x:v>
      </x:c>
      <x:c r="E192" s="141" t="n">
        <x:f>C192+D192</x:f>
        <x:v>89142.85714285729</x:v>
      </x:c>
      <x:c r="F192" s="142" t="n">
        <x:f>MAX(0,Premissas!$B$13-A192+1)</x:f>
        <x:v>234</x:v>
      </x:c>
      <x:c r="G192" s="141" t="n">
        <x:f>IF(AND(E192&gt;0,F192&gt;0),IF(Premissas!$B$19="PRICE",MAX(0,MIN(E192,IF(Premissas!$B$15=0,E192/F192,E192*Premissas!$B$15/(1-(1+Premissas!$B$15)^(-F192)))-H192)),MIN(E192,E192/F192)),0)</x:f>
        <x:v>380.9523809523816</x:v>
      </x:c>
      <x:c r="H192" s="141" t="n">
        <x:f>IF(AND(E192&gt;0,F192&gt;0),E192*Premissas!$B$15,0)</x:f>
        <x:v>845.85811302569</x:v>
      </x:c>
      <x:c r="I192" s="141" t="n">
        <x:f>IF(AND(E192&gt;0,F192&gt;0),Premissas!$B$18,0)</x:f>
        <x:v>150</x:v>
      </x:c>
      <x:c r="J192" s="141" t="n">
        <x:f>IF(AND(E192&gt;0,F192&gt;0),IF(Premissas!$B$19="PRICE",IF(Premissas!$B$15=0,E192/F192,E192*Premissas!$B$15/(1-(1+Premissas!$B$15)^(-F192)))+I192,G192+H192+I192),0)</x:f>
        <x:v>1376.8104939780717</x:v>
      </x:c>
      <x:c r="K192" s="141" t="n">
        <x:f>H192+I192</x:f>
        <x:v>995.85811302569</x:v>
      </x:c>
      <x:c r="L192" s="141" t="n">
        <x:f>SUM($J$6:J192)</x:f>
        <x:v>320328.1711073597</x:v>
      </x:c>
      <x:c r="M192" s="141" t="n">
        <x:f>MAX(0,E192-G192)</x:f>
        <x:v>88761.90476190491</x:v>
      </x:c>
    </x:row>
    <x:row r="193">
      <x:c r="A193" s="142" t="n">
        <x:v>188</x:v>
      </x:c>
      <x:c r="B193" s="179" t="n">
        <x:f>EDATE(Premissas!$B$4,187)</x:f>
        <x:v>52232</x:v>
      </x:c>
      <x:c r="C193" s="141" t="n">
        <x:f>M192</x:f>
        <x:v>88761.90476190491</x:v>
      </x:c>
      <x:c r="D193" s="141" t="n">
        <x:f>IF(C193&gt;0,C193*Premissas!$B$17,0)</x:f>
        <x:v>0</x:v>
      </x:c>
      <x:c r="E193" s="141" t="n">
        <x:f>C193+D193</x:f>
        <x:v>88761.90476190491</x:v>
      </x:c>
      <x:c r="F193" s="142" t="n">
        <x:f>MAX(0,Premissas!$B$13-A193+1)</x:f>
        <x:v>233</x:v>
      </x:c>
      <x:c r="G193" s="141" t="n">
        <x:f>IF(AND(E193&gt;0,F193&gt;0),IF(Premissas!$B$19="PRICE",MAX(0,MIN(E193,IF(Premissas!$B$15=0,E193/F193,E193*Premissas!$B$15/(1-(1+Premissas!$B$15)^(-F193)))-H193)),MIN(E193,E193/F193)),0)</x:f>
        <x:v>380.9523809523816</x:v>
      </x:c>
      <x:c r="H193" s="141" t="n">
        <x:f>IF(AND(E193&gt;0,F193&gt;0),E193*Premissas!$B$15,0)</x:f>
        <x:v>842.2433347648965</x:v>
      </x:c>
      <x:c r="I193" s="141" t="n">
        <x:f>IF(AND(E193&gt;0,F193&gt;0),Premissas!$B$18,0)</x:f>
        <x:v>150</x:v>
      </x:c>
      <x:c r="J193" s="141" t="n">
        <x:f>IF(AND(E193&gt;0,F193&gt;0),IF(Premissas!$B$19="PRICE",IF(Premissas!$B$15=0,E193/F193,E193*Premissas!$B$15/(1-(1+Premissas!$B$15)^(-F193)))+I193,G193+H193+I193),0)</x:f>
        <x:v>1373.195715717278</x:v>
      </x:c>
      <x:c r="K193" s="141" t="n">
        <x:f>H193+I193</x:f>
        <x:v>992.2433347648965</x:v>
      </x:c>
      <x:c r="L193" s="141" t="n">
        <x:f>SUM($J$6:J193)</x:f>
        <x:v>321701.36682307697</x:v>
      </x:c>
      <x:c r="M193" s="141" t="n">
        <x:f>MAX(0,E193-G193)</x:f>
        <x:v>88380.95238095253</x:v>
      </x:c>
    </x:row>
    <x:row r="194">
      <x:c r="A194" s="142" t="n">
        <x:v>189</x:v>
      </x:c>
      <x:c r="B194" s="179" t="n">
        <x:f>EDATE(Premissas!$B$4,188)</x:f>
        <x:v>52263</x:v>
      </x:c>
      <x:c r="C194" s="141" t="n">
        <x:f>M193</x:f>
        <x:v>88380.95238095253</x:v>
      </x:c>
      <x:c r="D194" s="141" t="n">
        <x:f>IF(C194&gt;0,C194*Premissas!$B$17,0)</x:f>
        <x:v>0</x:v>
      </x:c>
      <x:c r="E194" s="141" t="n">
        <x:f>C194+D194</x:f>
        <x:v>88380.95238095253</x:v>
      </x:c>
      <x:c r="F194" s="142" t="n">
        <x:f>MAX(0,Premissas!$B$13-A194+1)</x:f>
        <x:v>232</x:v>
      </x:c>
      <x:c r="G194" s="141" t="n">
        <x:f>IF(AND(E194&gt;0,F194&gt;0),IF(Premissas!$B$19="PRICE",MAX(0,MIN(E194,IF(Premissas!$B$15=0,E194/F194,E194*Premissas!$B$15/(1-(1+Premissas!$B$15)^(-F194)))-H194)),MIN(E194,E194/F194)),0)</x:f>
        <x:v>380.9523809523816</x:v>
      </x:c>
      <x:c r="H194" s="141" t="n">
        <x:f>IF(AND(E194&gt;0,F194&gt;0),E194*Premissas!$B$15,0)</x:f>
        <x:v>838.6285565041029</x:v>
      </x:c>
      <x:c r="I194" s="141" t="n">
        <x:f>IF(AND(E194&gt;0,F194&gt;0),Premissas!$B$18,0)</x:f>
        <x:v>150</x:v>
      </x:c>
      <x:c r="J194" s="141" t="n">
        <x:f>IF(AND(E194&gt;0,F194&gt;0),IF(Premissas!$B$19="PRICE",IF(Premissas!$B$15=0,E194/F194,E194*Premissas!$B$15/(1-(1+Premissas!$B$15)^(-F194)))+I194,G194+H194+I194),0)</x:f>
        <x:v>1369.5809374564844</x:v>
      </x:c>
      <x:c r="K194" s="141" t="n">
        <x:f>H194+I194</x:f>
        <x:v>988.6285565041029</x:v>
      </x:c>
      <x:c r="L194" s="141" t="n">
        <x:f>SUM($J$6:J194)</x:f>
        <x:v>323070.9477605334</x:v>
      </x:c>
      <x:c r="M194" s="141" t="n">
        <x:f>MAX(0,E194-G194)</x:f>
        <x:v>88000.00000000015</x:v>
      </x:c>
    </x:row>
    <x:row r="195">
      <x:c r="A195" s="142" t="n">
        <x:v>190</x:v>
      </x:c>
      <x:c r="B195" s="179" t="n">
        <x:f>EDATE(Premissas!$B$4,189)</x:f>
        <x:v>52291</x:v>
      </x:c>
      <x:c r="C195" s="141" t="n">
        <x:f>M194</x:f>
        <x:v>88000.00000000015</x:v>
      </x:c>
      <x:c r="D195" s="141" t="n">
        <x:f>IF(C195&gt;0,C195*Premissas!$B$17,0)</x:f>
        <x:v>0</x:v>
      </x:c>
      <x:c r="E195" s="141" t="n">
        <x:f>C195+D195</x:f>
        <x:v>88000.00000000015</x:v>
      </x:c>
      <x:c r="F195" s="142" t="n">
        <x:f>MAX(0,Premissas!$B$13-A195+1)</x:f>
        <x:v>231</x:v>
      </x:c>
      <x:c r="G195" s="141" t="n">
        <x:f>IF(AND(E195&gt;0,F195&gt;0),IF(Premissas!$B$19="PRICE",MAX(0,MIN(E195,IF(Premissas!$B$15=0,E195/F195,E195*Premissas!$B$15/(1-(1+Premissas!$B$15)^(-F195)))-H195)),MIN(E195,E195/F195)),0)</x:f>
        <x:v>380.9523809523816</x:v>
      </x:c>
      <x:c r="H195" s="141" t="n">
        <x:f>IF(AND(E195&gt;0,F195&gt;0),E195*Premissas!$B$15,0)</x:f>
        <x:v>835.0137782433094</x:v>
      </x:c>
      <x:c r="I195" s="141" t="n">
        <x:f>IF(AND(E195&gt;0,F195&gt;0),Premissas!$B$18,0)</x:f>
        <x:v>150</x:v>
      </x:c>
      <x:c r="J195" s="141" t="n">
        <x:f>IF(AND(E195&gt;0,F195&gt;0),IF(Premissas!$B$19="PRICE",IF(Premissas!$B$15=0,E195/F195,E195*Premissas!$B$15/(1-(1+Premissas!$B$15)^(-F195)))+I195,G195+H195+I195),0)</x:f>
        <x:v>1365.966159195691</x:v>
      </x:c>
      <x:c r="K195" s="141" t="n">
        <x:f>H195+I195</x:f>
        <x:v>985.0137782433094</x:v>
      </x:c>
      <x:c r="L195" s="141" t="n">
        <x:f>SUM($J$6:J195)</x:f>
        <x:v>324436.9139197291</x:v>
      </x:c>
      <x:c r="M195" s="141" t="n">
        <x:f>MAX(0,E195-G195)</x:f>
        <x:v>87619.04761904776</x:v>
      </x:c>
    </x:row>
    <x:row r="196">
      <x:c r="A196" s="142" t="n">
        <x:v>191</x:v>
      </x:c>
      <x:c r="B196" s="179" t="n">
        <x:f>EDATE(Premissas!$B$4,190)</x:f>
        <x:v>52322</x:v>
      </x:c>
      <x:c r="C196" s="141" t="n">
        <x:f>M195</x:f>
        <x:v>87619.04761904776</x:v>
      </x:c>
      <x:c r="D196" s="141" t="n">
        <x:f>IF(C196&gt;0,C196*Premissas!$B$17,0)</x:f>
        <x:v>0</x:v>
      </x:c>
      <x:c r="E196" s="141" t="n">
        <x:f>C196+D196</x:f>
        <x:v>87619.04761904776</x:v>
      </x:c>
      <x:c r="F196" s="142" t="n">
        <x:f>MAX(0,Premissas!$B$13-A196+1)</x:f>
        <x:v>230</x:v>
      </x:c>
      <x:c r="G196" s="141" t="n">
        <x:f>IF(AND(E196&gt;0,F196&gt;0),IF(Premissas!$B$19="PRICE",MAX(0,MIN(E196,IF(Premissas!$B$15=0,E196/F196,E196*Premissas!$B$15/(1-(1+Premissas!$B$15)^(-F196)))-H196)),MIN(E196,E196/F196)),0)</x:f>
        <x:v>380.9523809523816</x:v>
      </x:c>
      <x:c r="H196" s="141" t="n">
        <x:f>IF(AND(E196&gt;0,F196&gt;0),E196*Premissas!$B$15,0)</x:f>
        <x:v>831.3989999825159</x:v>
      </x:c>
      <x:c r="I196" s="141" t="n">
        <x:f>IF(AND(E196&gt;0,F196&gt;0),Premissas!$B$18,0)</x:f>
        <x:v>150</x:v>
      </x:c>
      <x:c r="J196" s="141" t="n">
        <x:f>IF(AND(E196&gt;0,F196&gt;0),IF(Premissas!$B$19="PRICE",IF(Premissas!$B$15=0,E196/F196,E196*Premissas!$B$15/(1-(1+Premissas!$B$15)^(-F196)))+I196,G196+H196+I196),0)</x:f>
        <x:v>1362.3513809348974</x:v>
      </x:c>
      <x:c r="K196" s="141" t="n">
        <x:f>H196+I196</x:f>
        <x:v>981.3989999825159</x:v>
      </x:c>
      <x:c r="L196" s="141" t="n">
        <x:f>SUM($J$6:J196)</x:f>
        <x:v>325799.265300664</x:v>
      </x:c>
      <x:c r="M196" s="141" t="n">
        <x:f>MAX(0,E196-G196)</x:f>
        <x:v>87238.09523809538</x:v>
      </x:c>
    </x:row>
    <x:row r="197">
      <x:c r="A197" s="142" t="n">
        <x:v>192</x:v>
      </x:c>
      <x:c r="B197" s="179" t="n">
        <x:f>EDATE(Premissas!$B$4,191)</x:f>
        <x:v>52352</x:v>
      </x:c>
      <x:c r="C197" s="141" t="n">
        <x:f>M196</x:f>
        <x:v>87238.09523809538</x:v>
      </x:c>
      <x:c r="D197" s="141" t="n">
        <x:f>IF(C197&gt;0,C197*Premissas!$B$17,0)</x:f>
        <x:v>0</x:v>
      </x:c>
      <x:c r="E197" s="141" t="n">
        <x:f>C197+D197</x:f>
        <x:v>87238.09523809538</x:v>
      </x:c>
      <x:c r="F197" s="142" t="n">
        <x:f>MAX(0,Premissas!$B$13-A197+1)</x:f>
        <x:v>229</x:v>
      </x:c>
      <x:c r="G197" s="141" t="n">
        <x:f>IF(AND(E197&gt;0,F197&gt;0),IF(Premissas!$B$19="PRICE",MAX(0,MIN(E197,IF(Premissas!$B$15=0,E197/F197,E197*Premissas!$B$15/(1-(1+Premissas!$B$15)^(-F197)))-H197)),MIN(E197,E197/F197)),0)</x:f>
        <x:v>380.9523809523816</x:v>
      </x:c>
      <x:c r="H197" s="141" t="n">
        <x:f>IF(AND(E197&gt;0,F197&gt;0),E197*Premissas!$B$15,0)</x:f>
        <x:v>827.7842217217224</x:v>
      </x:c>
      <x:c r="I197" s="141" t="n">
        <x:f>IF(AND(E197&gt;0,F197&gt;0),Premissas!$B$18,0)</x:f>
        <x:v>150</x:v>
      </x:c>
      <x:c r="J197" s="141" t="n">
        <x:f>IF(AND(E197&gt;0,F197&gt;0),IF(Premissas!$B$19="PRICE",IF(Premissas!$B$15=0,E197/F197,E197*Premissas!$B$15/(1-(1+Premissas!$B$15)^(-F197)))+I197,G197+H197+I197),0)</x:f>
        <x:v>1358.736602674104</x:v>
      </x:c>
      <x:c r="K197" s="141" t="n">
        <x:f>H197+I197</x:f>
        <x:v>977.7842217217224</x:v>
      </x:c>
      <x:c r="L197" s="141" t="n">
        <x:f>SUM($J$6:J197)</x:f>
        <x:v>327158.0019033381</x:v>
      </x:c>
      <x:c r="M197" s="141" t="n">
        <x:f>MAX(0,E197-G197)</x:f>
        <x:v>86857.142857143</x:v>
      </x:c>
    </x:row>
    <x:row r="198">
      <x:c r="A198" s="142" t="n">
        <x:v>193</x:v>
      </x:c>
      <x:c r="B198" s="179" t="n">
        <x:f>EDATE(Premissas!$B$4,192)</x:f>
        <x:v>52383</x:v>
      </x:c>
      <x:c r="C198" s="141" t="n">
        <x:f>M197</x:f>
        <x:v>86857.142857143</x:v>
      </x:c>
      <x:c r="D198" s="141" t="n">
        <x:f>IF(C198&gt;0,C198*Premissas!$B$17,0)</x:f>
        <x:v>0</x:v>
      </x:c>
      <x:c r="E198" s="141" t="n">
        <x:f>C198+D198</x:f>
        <x:v>86857.142857143</x:v>
      </x:c>
      <x:c r="F198" s="142" t="n">
        <x:f>MAX(0,Premissas!$B$13-A198+1)</x:f>
        <x:v>228</x:v>
      </x:c>
      <x:c r="G198" s="141" t="n">
        <x:f>IF(AND(E198&gt;0,F198&gt;0),IF(Premissas!$B$19="PRICE",MAX(0,MIN(E198,IF(Premissas!$B$15=0,E198/F198,E198*Premissas!$B$15/(1-(1+Premissas!$B$15)^(-F198)))-H198)),MIN(E198,E198/F198)),0)</x:f>
        <x:v>380.9523809523816</x:v>
      </x:c>
      <x:c r="H198" s="141" t="n">
        <x:f>IF(AND(E198&gt;0,F198&gt;0),E198*Premissas!$B$15,0)</x:f>
        <x:v>824.1694434609287</x:v>
      </x:c>
      <x:c r="I198" s="141" t="n">
        <x:f>IF(AND(E198&gt;0,F198&gt;0),Premissas!$B$18,0)</x:f>
        <x:v>150</x:v>
      </x:c>
      <x:c r="J198" s="141" t="n">
        <x:f>IF(AND(E198&gt;0,F198&gt;0),IF(Premissas!$B$19="PRICE",IF(Premissas!$B$15=0,E198/F198,E198*Premissas!$B$15/(1-(1+Premissas!$B$15)^(-F198)))+I198,G198+H198+I198),0)</x:f>
        <x:v>1355.1218244133104</x:v>
      </x:c>
      <x:c r="K198" s="141" t="n">
        <x:f>H198+I198</x:f>
        <x:v>974.1694434609287</x:v>
      </x:c>
      <x:c r="L198" s="141" t="n">
        <x:f>SUM($J$6:J198)</x:f>
        <x:v>328513.12372775143</x:v>
      </x:c>
      <x:c r="M198" s="141" t="n">
        <x:f>MAX(0,E198-G198)</x:f>
        <x:v>86476.19047619062</x:v>
      </x:c>
    </x:row>
    <x:row r="199">
      <x:c r="A199" s="142" t="n">
        <x:v>194</x:v>
      </x:c>
      <x:c r="B199" s="179" t="n">
        <x:f>EDATE(Premissas!$B$4,193)</x:f>
        <x:v>52413</x:v>
      </x:c>
      <x:c r="C199" s="141" t="n">
        <x:f>M198</x:f>
        <x:v>86476.19047619062</x:v>
      </x:c>
      <x:c r="D199" s="141" t="n">
        <x:f>IF(C199&gt;0,C199*Premissas!$B$17,0)</x:f>
        <x:v>0</x:v>
      </x:c>
      <x:c r="E199" s="141" t="n">
        <x:f>C199+D199</x:f>
        <x:v>86476.19047619062</x:v>
      </x:c>
      <x:c r="F199" s="142" t="n">
        <x:f>MAX(0,Premissas!$B$13-A199+1)</x:f>
        <x:v>227</x:v>
      </x:c>
      <x:c r="G199" s="141" t="n">
        <x:f>IF(AND(E199&gt;0,F199&gt;0),IF(Premissas!$B$19="PRICE",MAX(0,MIN(E199,IF(Premissas!$B$15=0,E199/F199,E199*Premissas!$B$15/(1-(1+Premissas!$B$15)^(-F199)))-H199)),MIN(E199,E199/F199)),0)</x:f>
        <x:v>380.9523809523816</x:v>
      </x:c>
      <x:c r="H199" s="141" t="n">
        <x:f>IF(AND(E199&gt;0,F199&gt;0),E199*Premissas!$B$15,0)</x:f>
        <x:v>820.5546652001352</x:v>
      </x:c>
      <x:c r="I199" s="141" t="n">
        <x:f>IF(AND(E199&gt;0,F199&gt;0),Premissas!$B$18,0)</x:f>
        <x:v>150</x:v>
      </x:c>
      <x:c r="J199" s="141" t="n">
        <x:f>IF(AND(E199&gt;0,F199&gt;0),IF(Premissas!$B$19="PRICE",IF(Premissas!$B$15=0,E199/F199,E199*Premissas!$B$15/(1-(1+Premissas!$B$15)^(-F199)))+I199,G199+H199+I199),0)</x:f>
        <x:v>1351.5070461525168</x:v>
      </x:c>
      <x:c r="K199" s="141" t="n">
        <x:f>H199+I199</x:f>
        <x:v>970.5546652001352</x:v>
      </x:c>
      <x:c r="L199" s="141" t="n">
        <x:f>SUM($J$6:J199)</x:f>
        <x:v>329864.6307739039</x:v>
      </x:c>
      <x:c r="M199" s="141" t="n">
        <x:f>MAX(0,E199-G199)</x:f>
        <x:v>86095.23809523824</x:v>
      </x:c>
    </x:row>
    <x:row r="200">
      <x:c r="A200" s="142" t="n">
        <x:v>195</x:v>
      </x:c>
      <x:c r="B200" s="179" t="n">
        <x:f>EDATE(Premissas!$B$4,194)</x:f>
        <x:v>52444</x:v>
      </x:c>
      <x:c r="C200" s="141" t="n">
        <x:f>M199</x:f>
        <x:v>86095.23809523824</x:v>
      </x:c>
      <x:c r="D200" s="141" t="n">
        <x:f>IF(C200&gt;0,C200*Premissas!$B$17,0)</x:f>
        <x:v>0</x:v>
      </x:c>
      <x:c r="E200" s="141" t="n">
        <x:f>C200+D200</x:f>
        <x:v>86095.23809523824</x:v>
      </x:c>
      <x:c r="F200" s="142" t="n">
        <x:f>MAX(0,Premissas!$B$13-A200+1)</x:f>
        <x:v>226</x:v>
      </x:c>
      <x:c r="G200" s="141" t="n">
        <x:f>IF(AND(E200&gt;0,F200&gt;0),IF(Premissas!$B$19="PRICE",MAX(0,MIN(E200,IF(Premissas!$B$15=0,E200/F200,E200*Premissas!$B$15/(1-(1+Premissas!$B$15)^(-F200)))-H200)),MIN(E200,E200/F200)),0)</x:f>
        <x:v>380.9523809523816</x:v>
      </x:c>
      <x:c r="H200" s="141" t="n">
        <x:f>IF(AND(E200&gt;0,F200&gt;0),E200*Premissas!$B$15,0)</x:f>
        <x:v>816.9398869393417</x:v>
      </x:c>
      <x:c r="I200" s="141" t="n">
        <x:f>IF(AND(E200&gt;0,F200&gt;0),Premissas!$B$18,0)</x:f>
        <x:v>150</x:v>
      </x:c>
      <x:c r="J200" s="141" t="n">
        <x:f>IF(AND(E200&gt;0,F200&gt;0),IF(Premissas!$B$19="PRICE",IF(Premissas!$B$15=0,E200/F200,E200*Premissas!$B$15/(1-(1+Premissas!$B$15)^(-F200)))+I200,G200+H200+I200),0)</x:f>
        <x:v>1347.8922678917233</x:v>
      </x:c>
      <x:c r="K200" s="141" t="n">
        <x:f>H200+I200</x:f>
        <x:v>966.9398869393417</x:v>
      </x:c>
      <x:c r="L200" s="141" t="n">
        <x:f>SUM($J$6:J200)</x:f>
        <x:v>331212.52304179565</x:v>
      </x:c>
      <x:c r="M200" s="141" t="n">
        <x:f>MAX(0,E200-G200)</x:f>
        <x:v>85714.28571428586</x:v>
      </x:c>
    </x:row>
    <x:row r="201">
      <x:c r="A201" s="142" t="n">
        <x:v>196</x:v>
      </x:c>
      <x:c r="B201" s="179" t="n">
        <x:f>EDATE(Premissas!$B$4,195)</x:f>
        <x:v>52475</x:v>
      </x:c>
      <x:c r="C201" s="141" t="n">
        <x:f>M200</x:f>
        <x:v>85714.28571428586</x:v>
      </x:c>
      <x:c r="D201" s="141" t="n">
        <x:f>IF(C201&gt;0,C201*Premissas!$B$17,0)</x:f>
        <x:v>0</x:v>
      </x:c>
      <x:c r="E201" s="141" t="n">
        <x:f>C201+D201</x:f>
        <x:v>85714.28571428586</x:v>
      </x:c>
      <x:c r="F201" s="142" t="n">
        <x:f>MAX(0,Premissas!$B$13-A201+1)</x:f>
        <x:v>225</x:v>
      </x:c>
      <x:c r="G201" s="141" t="n">
        <x:f>IF(AND(E201&gt;0,F201&gt;0),IF(Premissas!$B$19="PRICE",MAX(0,MIN(E201,IF(Premissas!$B$15=0,E201/F201,E201*Premissas!$B$15/(1-(1+Premissas!$B$15)^(-F201)))-H201)),MIN(E201,E201/F201)),0)</x:f>
        <x:v>380.9523809523816</x:v>
      </x:c>
      <x:c r="H201" s="141" t="n">
        <x:f>IF(AND(E201&gt;0,F201&gt;0),E201*Premissas!$B$15,0)</x:f>
        <x:v>813.3251086785481</x:v>
      </x:c>
      <x:c r="I201" s="141" t="n">
        <x:f>IF(AND(E201&gt;0,F201&gt;0),Premissas!$B$18,0)</x:f>
        <x:v>150</x:v>
      </x:c>
      <x:c r="J201" s="141" t="n">
        <x:f>IF(AND(E201&gt;0,F201&gt;0),IF(Premissas!$B$19="PRICE",IF(Premissas!$B$15=0,E201/F201,E201*Premissas!$B$15/(1-(1+Premissas!$B$15)^(-F201)))+I201,G201+H201+I201),0)</x:f>
        <x:v>1344.2774896309297</x:v>
      </x:c>
      <x:c r="K201" s="141" t="n">
        <x:f>H201+I201</x:f>
        <x:v>963.3251086785481</x:v>
      </x:c>
      <x:c r="L201" s="141" t="n">
        <x:f>SUM($J$6:J201)</x:f>
        <x:v>332556.80053142656</x:v>
      </x:c>
      <x:c r="M201" s="141" t="n">
        <x:f>MAX(0,E201-G201)</x:f>
        <x:v>85333.33333333347</x:v>
      </x:c>
    </x:row>
    <x:row r="202">
      <x:c r="A202" s="142" t="n">
        <x:v>197</x:v>
      </x:c>
      <x:c r="B202" s="179" t="n">
        <x:f>EDATE(Premissas!$B$4,196)</x:f>
        <x:v>52505</x:v>
      </x:c>
      <x:c r="C202" s="141" t="n">
        <x:f>M201</x:f>
        <x:v>85333.33333333347</x:v>
      </x:c>
      <x:c r="D202" s="141" t="n">
        <x:f>IF(C202&gt;0,C202*Premissas!$B$17,0)</x:f>
        <x:v>0</x:v>
      </x:c>
      <x:c r="E202" s="141" t="n">
        <x:f>C202+D202</x:f>
        <x:v>85333.33333333347</x:v>
      </x:c>
      <x:c r="F202" s="142" t="n">
        <x:f>MAX(0,Premissas!$B$13-A202+1)</x:f>
        <x:v>224</x:v>
      </x:c>
      <x:c r="G202" s="141" t="n">
        <x:f>IF(AND(E202&gt;0,F202&gt;0),IF(Premissas!$B$19="PRICE",MAX(0,MIN(E202,IF(Premissas!$B$15=0,E202/F202,E202*Premissas!$B$15/(1-(1+Premissas!$B$15)^(-F202)))-H202)),MIN(E202,E202/F202)),0)</x:f>
        <x:v>380.9523809523816</x:v>
      </x:c>
      <x:c r="H202" s="141" t="n">
        <x:f>IF(AND(E202&gt;0,F202&gt;0),E202*Premissas!$B$15,0)</x:f>
        <x:v>809.7103304177546</x:v>
      </x:c>
      <x:c r="I202" s="141" t="n">
        <x:f>IF(AND(E202&gt;0,F202&gt;0),Premissas!$B$18,0)</x:f>
        <x:v>150</x:v>
      </x:c>
      <x:c r="J202" s="141" t="n">
        <x:f>IF(AND(E202&gt;0,F202&gt;0),IF(Premissas!$B$19="PRICE",IF(Premissas!$B$15=0,E202/F202,E202*Premissas!$B$15/(1-(1+Premissas!$B$15)^(-F202)))+I202,G202+H202+I202),0)</x:f>
        <x:v>1340.662711370136</x:v>
      </x:c>
      <x:c r="K202" s="141" t="n">
        <x:f>H202+I202</x:f>
        <x:v>959.7103304177546</x:v>
      </x:c>
      <x:c r="L202" s="141" t="n">
        <x:f>SUM($J$6:J202)</x:f>
        <x:v>333897.4632427967</x:v>
      </x:c>
      <x:c r="M202" s="141" t="n">
        <x:f>MAX(0,E202-G202)</x:f>
        <x:v>84952.38095238109</x:v>
      </x:c>
    </x:row>
    <x:row r="203">
      <x:c r="A203" s="142" t="n">
        <x:v>198</x:v>
      </x:c>
      <x:c r="B203" s="179" t="n">
        <x:f>EDATE(Premissas!$B$4,197)</x:f>
        <x:v>52536</x:v>
      </x:c>
      <x:c r="C203" s="141" t="n">
        <x:f>M202</x:f>
        <x:v>84952.38095238109</x:v>
      </x:c>
      <x:c r="D203" s="141" t="n">
        <x:f>IF(C203&gt;0,C203*Premissas!$B$17,0)</x:f>
        <x:v>0</x:v>
      </x:c>
      <x:c r="E203" s="141" t="n">
        <x:f>C203+D203</x:f>
        <x:v>84952.38095238109</x:v>
      </x:c>
      <x:c r="F203" s="142" t="n">
        <x:f>MAX(0,Premissas!$B$13-A203+1)</x:f>
        <x:v>223</x:v>
      </x:c>
      <x:c r="G203" s="141" t="n">
        <x:f>IF(AND(E203&gt;0,F203&gt;0),IF(Premissas!$B$19="PRICE",MAX(0,MIN(E203,IF(Premissas!$B$15=0,E203/F203,E203*Premissas!$B$15/(1-(1+Premissas!$B$15)^(-F203)))-H203)),MIN(E203,E203/F203)),0)</x:f>
        <x:v>380.9523809523816</x:v>
      </x:c>
      <x:c r="H203" s="141" t="n">
        <x:f>IF(AND(E203&gt;0,F203&gt;0),E203*Premissas!$B$15,0)</x:f>
        <x:v>806.095552156961</x:v>
      </x:c>
      <x:c r="I203" s="141" t="n">
        <x:f>IF(AND(E203&gt;0,F203&gt;0),Premissas!$B$18,0)</x:f>
        <x:v>150</x:v>
      </x:c>
      <x:c r="J203" s="141" t="n">
        <x:f>IF(AND(E203&gt;0,F203&gt;0),IF(Premissas!$B$19="PRICE",IF(Premissas!$B$15=0,E203/F203,E203*Premissas!$B$15/(1-(1+Premissas!$B$15)^(-F203)))+I203,G203+H203+I203),0)</x:f>
        <x:v>1337.0479331093427</x:v>
      </x:c>
      <x:c r="K203" s="141" t="n">
        <x:f>H203+I203</x:f>
        <x:v>956.095552156961</x:v>
      </x:c>
      <x:c r="L203" s="141" t="n">
        <x:f>SUM($J$6:J203)</x:f>
        <x:v>335234.51117590605</x:v>
      </x:c>
      <x:c r="M203" s="141" t="n">
        <x:f>MAX(0,E203-G203)</x:f>
        <x:v>84571.42857142871</x:v>
      </x:c>
    </x:row>
    <x:row r="204">
      <x:c r="A204" s="142" t="n">
        <x:v>199</x:v>
      </x:c>
      <x:c r="B204" s="179" t="n">
        <x:f>EDATE(Premissas!$B$4,198)</x:f>
        <x:v>52566</x:v>
      </x:c>
      <x:c r="C204" s="141" t="n">
        <x:f>M203</x:f>
        <x:v>84571.42857142871</x:v>
      </x:c>
      <x:c r="D204" s="141" t="n">
        <x:f>IF(C204&gt;0,C204*Premissas!$B$17,0)</x:f>
        <x:v>0</x:v>
      </x:c>
      <x:c r="E204" s="141" t="n">
        <x:f>C204+D204</x:f>
        <x:v>84571.42857142871</x:v>
      </x:c>
      <x:c r="F204" s="142" t="n">
        <x:f>MAX(0,Premissas!$B$13-A204+1)</x:f>
        <x:v>222</x:v>
      </x:c>
      <x:c r="G204" s="141" t="n">
        <x:f>IF(AND(E204&gt;0,F204&gt;0),IF(Premissas!$B$19="PRICE",MAX(0,MIN(E204,IF(Premissas!$B$15=0,E204/F204,E204*Premissas!$B$15/(1-(1+Premissas!$B$15)^(-F204)))-H204)),MIN(E204,E204/F204)),0)</x:f>
        <x:v>380.9523809523816</x:v>
      </x:c>
      <x:c r="H204" s="141" t="n">
        <x:f>IF(AND(E204&gt;0,F204&gt;0),E204*Premissas!$B$15,0)</x:f>
        <x:v>802.4807738961674</x:v>
      </x:c>
      <x:c r="I204" s="141" t="n">
        <x:f>IF(AND(E204&gt;0,F204&gt;0),Premissas!$B$18,0)</x:f>
        <x:v>150</x:v>
      </x:c>
      <x:c r="J204" s="141" t="n">
        <x:f>IF(AND(E204&gt;0,F204&gt;0),IF(Premissas!$B$19="PRICE",IF(Premissas!$B$15=0,E204/F204,E204*Premissas!$B$15/(1-(1+Premissas!$B$15)^(-F204)))+I204,G204+H204+I204),0)</x:f>
        <x:v>1333.433154848549</x:v>
      </x:c>
      <x:c r="K204" s="141" t="n">
        <x:f>H204+I204</x:f>
        <x:v>952.4807738961674</x:v>
      </x:c>
      <x:c r="L204" s="141" t="n">
        <x:f>SUM($J$6:J204)</x:f>
        <x:v>336567.9443307546</x:v>
      </x:c>
      <x:c r="M204" s="141" t="n">
        <x:f>MAX(0,E204-G204)</x:f>
        <x:v>84190.47619047633</x:v>
      </x:c>
    </x:row>
    <x:row r="205">
      <x:c r="A205" s="142" t="n">
        <x:v>200</x:v>
      </x:c>
      <x:c r="B205" s="179" t="n">
        <x:f>EDATE(Premissas!$B$4,199)</x:f>
        <x:v>52597</x:v>
      </x:c>
      <x:c r="C205" s="141" t="n">
        <x:f>M204</x:f>
        <x:v>84190.47619047633</x:v>
      </x:c>
      <x:c r="D205" s="141" t="n">
        <x:f>IF(C205&gt;0,C205*Premissas!$B$17,0)</x:f>
        <x:v>0</x:v>
      </x:c>
      <x:c r="E205" s="141" t="n">
        <x:f>C205+D205</x:f>
        <x:v>84190.47619047633</x:v>
      </x:c>
      <x:c r="F205" s="142" t="n">
        <x:f>MAX(0,Premissas!$B$13-A205+1)</x:f>
        <x:v>221</x:v>
      </x:c>
      <x:c r="G205" s="141" t="n">
        <x:f>IF(AND(E205&gt;0,F205&gt;0),IF(Premissas!$B$19="PRICE",MAX(0,MIN(E205,IF(Premissas!$B$15=0,E205/F205,E205*Premissas!$B$15/(1-(1+Premissas!$B$15)^(-F205)))-H205)),MIN(E205,E205/F205)),0)</x:f>
        <x:v>380.9523809523816</x:v>
      </x:c>
      <x:c r="H205" s="141" t="n">
        <x:f>IF(AND(E205&gt;0,F205&gt;0),E205*Premissas!$B$15,0)</x:f>
        <x:v>798.8659956353739</x:v>
      </x:c>
      <x:c r="I205" s="141" t="n">
        <x:f>IF(AND(E205&gt;0,F205&gt;0),Premissas!$B$18,0)</x:f>
        <x:v>150</x:v>
      </x:c>
      <x:c r="J205" s="141" t="n">
        <x:f>IF(AND(E205&gt;0,F205&gt;0),IF(Premissas!$B$19="PRICE",IF(Premissas!$B$15=0,E205/F205,E205*Premissas!$B$15/(1-(1+Premissas!$B$15)^(-F205)))+I205,G205+H205+I205),0)</x:f>
        <x:v>1329.8183765877554</x:v>
      </x:c>
      <x:c r="K205" s="141" t="n">
        <x:f>H205+I205</x:f>
        <x:v>948.8659956353739</x:v>
      </x:c>
      <x:c r="L205" s="141" t="n">
        <x:f>SUM($J$6:J205)</x:f>
        <x:v>337897.76270734234</x:v>
      </x:c>
      <x:c r="M205" s="141" t="n">
        <x:f>MAX(0,E205-G205)</x:f>
        <x:v>83809.52380952395</x:v>
      </x:c>
    </x:row>
    <x:row r="206">
      <x:c r="A206" s="142" t="n">
        <x:v>201</x:v>
      </x:c>
      <x:c r="B206" s="179" t="n">
        <x:f>EDATE(Premissas!$B$4,200)</x:f>
        <x:v>52628</x:v>
      </x:c>
      <x:c r="C206" s="141" t="n">
        <x:f>M205</x:f>
        <x:v>83809.52380952395</x:v>
      </x:c>
      <x:c r="D206" s="141" t="n">
        <x:f>IF(C206&gt;0,C206*Premissas!$B$17,0)</x:f>
        <x:v>0</x:v>
      </x:c>
      <x:c r="E206" s="141" t="n">
        <x:f>C206+D206</x:f>
        <x:v>83809.52380952395</x:v>
      </x:c>
      <x:c r="F206" s="142" t="n">
        <x:f>MAX(0,Premissas!$B$13-A206+1)</x:f>
        <x:v>220</x:v>
      </x:c>
      <x:c r="G206" s="141" t="n">
        <x:f>IF(AND(E206&gt;0,F206&gt;0),IF(Premissas!$B$19="PRICE",MAX(0,MIN(E206,IF(Premissas!$B$15=0,E206/F206,E206*Premissas!$B$15/(1-(1+Premissas!$B$15)^(-F206)))-H206)),MIN(E206,E206/F206)),0)</x:f>
        <x:v>380.9523809523816</x:v>
      </x:c>
      <x:c r="H206" s="141" t="n">
        <x:f>IF(AND(E206&gt;0,F206&gt;0),E206*Premissas!$B$15,0)</x:f>
        <x:v>795.2512173745804</x:v>
      </x:c>
      <x:c r="I206" s="141" t="n">
        <x:f>IF(AND(E206&gt;0,F206&gt;0),Premissas!$B$18,0)</x:f>
        <x:v>150</x:v>
      </x:c>
      <x:c r="J206" s="141" t="n">
        <x:f>IF(AND(E206&gt;0,F206&gt;0),IF(Premissas!$B$19="PRICE",IF(Premissas!$B$15=0,E206/F206,E206*Premissas!$B$15/(1-(1+Premissas!$B$15)^(-F206)))+I206,G206+H206+I206),0)</x:f>
        <x:v>1326.203598326962</x:v>
      </x:c>
      <x:c r="K206" s="141" t="n">
        <x:f>H206+I206</x:f>
        <x:v>945.2512173745804</x:v>
      </x:c>
      <x:c r="L206" s="141" t="n">
        <x:f>SUM($J$6:J206)</x:f>
        <x:v>339223.9663056693</x:v>
      </x:c>
      <x:c r="M206" s="141" t="n">
        <x:f>MAX(0,E206-G206)</x:f>
        <x:v>83428.57142857157</x:v>
      </x:c>
    </x:row>
    <x:row r="207">
      <x:c r="A207" s="142" t="n">
        <x:v>202</x:v>
      </x:c>
      <x:c r="B207" s="179" t="n">
        <x:f>EDATE(Premissas!$B$4,201)</x:f>
        <x:v>52657</x:v>
      </x:c>
      <x:c r="C207" s="141" t="n">
        <x:f>M206</x:f>
        <x:v>83428.57142857157</x:v>
      </x:c>
      <x:c r="D207" s="141" t="n">
        <x:f>IF(C207&gt;0,C207*Premissas!$B$17,0)</x:f>
        <x:v>0</x:v>
      </x:c>
      <x:c r="E207" s="141" t="n">
        <x:f>C207+D207</x:f>
        <x:v>83428.57142857157</x:v>
      </x:c>
      <x:c r="F207" s="142" t="n">
        <x:f>MAX(0,Premissas!$B$13-A207+1)</x:f>
        <x:v>219</x:v>
      </x:c>
      <x:c r="G207" s="141" t="n">
        <x:f>IF(AND(E207&gt;0,F207&gt;0),IF(Premissas!$B$19="PRICE",MAX(0,MIN(E207,IF(Premissas!$B$15=0,E207/F207,E207*Premissas!$B$15/(1-(1+Premissas!$B$15)^(-F207)))-H207)),MIN(E207,E207/F207)),0)</x:f>
        <x:v>380.9523809523816</x:v>
      </x:c>
      <x:c r="H207" s="141" t="n">
        <x:f>IF(AND(E207&gt;0,F207&gt;0),E207*Premissas!$B$15,0)</x:f>
        <x:v>791.6364391137869</x:v>
      </x:c>
      <x:c r="I207" s="141" t="n">
        <x:f>IF(AND(E207&gt;0,F207&gt;0),Premissas!$B$18,0)</x:f>
        <x:v>150</x:v>
      </x:c>
      <x:c r="J207" s="141" t="n">
        <x:f>IF(AND(E207&gt;0,F207&gt;0),IF(Premissas!$B$19="PRICE",IF(Premissas!$B$15=0,E207/F207,E207*Premissas!$B$15/(1-(1+Premissas!$B$15)^(-F207)))+I207,G207+H207+I207),0)</x:f>
        <x:v>1322.5888200661684</x:v>
      </x:c>
      <x:c r="K207" s="141" t="n">
        <x:f>H207+I207</x:f>
        <x:v>941.6364391137869</x:v>
      </x:c>
      <x:c r="L207" s="141" t="n">
        <x:f>SUM($J$6:J207)</x:f>
        <x:v>340546.55512573547</x:v>
      </x:c>
      <x:c r="M207" s="141" t="n">
        <x:f>MAX(0,E207-G207)</x:f>
        <x:v>83047.61904761918</x:v>
      </x:c>
    </x:row>
    <x:row r="208">
      <x:c r="A208" s="142" t="n">
        <x:v>203</x:v>
      </x:c>
      <x:c r="B208" s="179" t="n">
        <x:f>EDATE(Premissas!$B$4,202)</x:f>
        <x:v>52688</x:v>
      </x:c>
      <x:c r="C208" s="141" t="n">
        <x:f>M207</x:f>
        <x:v>83047.61904761918</x:v>
      </x:c>
      <x:c r="D208" s="141" t="n">
        <x:f>IF(C208&gt;0,C208*Premissas!$B$17,0)</x:f>
        <x:v>0</x:v>
      </x:c>
      <x:c r="E208" s="141" t="n">
        <x:f>C208+D208</x:f>
        <x:v>83047.61904761918</x:v>
      </x:c>
      <x:c r="F208" s="142" t="n">
        <x:f>MAX(0,Premissas!$B$13-A208+1)</x:f>
        <x:v>218</x:v>
      </x:c>
      <x:c r="G208" s="141" t="n">
        <x:f>IF(AND(E208&gt;0,F208&gt;0),IF(Premissas!$B$19="PRICE",MAX(0,MIN(E208,IF(Premissas!$B$15=0,E208/F208,E208*Premissas!$B$15/(1-(1+Premissas!$B$15)^(-F208)))-H208)),MIN(E208,E208/F208)),0)</x:f>
        <x:v>380.9523809523816</x:v>
      </x:c>
      <x:c r="H208" s="141" t="n">
        <x:f>IF(AND(E208&gt;0,F208&gt;0),E208*Premissas!$B$15,0)</x:f>
        <x:v>788.0216608529933</x:v>
      </x:c>
      <x:c r="I208" s="141" t="n">
        <x:f>IF(AND(E208&gt;0,F208&gt;0),Premissas!$B$18,0)</x:f>
        <x:v>150</x:v>
      </x:c>
      <x:c r="J208" s="141" t="n">
        <x:f>IF(AND(E208&gt;0,F208&gt;0),IF(Premissas!$B$19="PRICE",IF(Premissas!$B$15=0,E208/F208,E208*Premissas!$B$15/(1-(1+Premissas!$B$15)^(-F208)))+I208,G208+H208+I208),0)</x:f>
        <x:v>1318.9740418053748</x:v>
      </x:c>
      <x:c r="K208" s="141" t="n">
        <x:f>H208+I208</x:f>
        <x:v>938.0216608529933</x:v>
      </x:c>
      <x:c r="L208" s="141" t="n">
        <x:f>SUM($J$6:J208)</x:f>
        <x:v>341865.52916754084</x:v>
      </x:c>
      <x:c r="M208" s="141" t="n">
        <x:f>MAX(0,E208-G208)</x:f>
        <x:v>82666.6666666668</x:v>
      </x:c>
    </x:row>
    <x:row r="209">
      <x:c r="A209" s="142" t="n">
        <x:v>204</x:v>
      </x:c>
      <x:c r="B209" s="179" t="n">
        <x:f>EDATE(Premissas!$B$4,203)</x:f>
        <x:v>52718</x:v>
      </x:c>
      <x:c r="C209" s="141" t="n">
        <x:f>M208</x:f>
        <x:v>82666.6666666668</x:v>
      </x:c>
      <x:c r="D209" s="141" t="n">
        <x:f>IF(C209&gt;0,C209*Premissas!$B$17,0)</x:f>
        <x:v>0</x:v>
      </x:c>
      <x:c r="E209" s="141" t="n">
        <x:f>C209+D209</x:f>
        <x:v>82666.6666666668</x:v>
      </x:c>
      <x:c r="F209" s="142" t="n">
        <x:f>MAX(0,Premissas!$B$13-A209+1)</x:f>
        <x:v>217</x:v>
      </x:c>
      <x:c r="G209" s="141" t="n">
        <x:f>IF(AND(E209&gt;0,F209&gt;0),IF(Premissas!$B$19="PRICE",MAX(0,MIN(E209,IF(Premissas!$B$15=0,E209/F209,E209*Premissas!$B$15/(1-(1+Premissas!$B$15)^(-F209)))-H209)),MIN(E209,E209/F209)),0)</x:f>
        <x:v>380.9523809523816</x:v>
      </x:c>
      <x:c r="H209" s="141" t="n">
        <x:f>IF(AND(E209&gt;0,F209&gt;0),E209*Premissas!$B$15,0)</x:f>
        <x:v>784.4068825921997</x:v>
      </x:c>
      <x:c r="I209" s="141" t="n">
        <x:f>IF(AND(E209&gt;0,F209&gt;0),Premissas!$B$18,0)</x:f>
        <x:v>150</x:v>
      </x:c>
      <x:c r="J209" s="141" t="n">
        <x:f>IF(AND(E209&gt;0,F209&gt;0),IF(Premissas!$B$19="PRICE",IF(Premissas!$B$15=0,E209/F209,E209*Premissas!$B$15/(1-(1+Premissas!$B$15)^(-F209)))+I209,G209+H209+I209),0)</x:f>
        <x:v>1315.3592635445814</x:v>
      </x:c>
      <x:c r="K209" s="141" t="n">
        <x:f>H209+I209</x:f>
        <x:v>934.4068825921997</x:v>
      </x:c>
      <x:c r="L209" s="141" t="n">
        <x:f>SUM($J$6:J209)</x:f>
        <x:v>343180.8884310854</x:v>
      </x:c>
      <x:c r="M209" s="141" t="n">
        <x:f>MAX(0,E209-G209)</x:f>
        <x:v>82285.71428571442</x:v>
      </x:c>
    </x:row>
    <x:row r="210">
      <x:c r="A210" s="142" t="n">
        <x:v>205</x:v>
      </x:c>
      <x:c r="B210" s="179" t="n">
        <x:f>EDATE(Premissas!$B$4,204)</x:f>
        <x:v>52749</x:v>
      </x:c>
      <x:c r="C210" s="141" t="n">
        <x:f>M209</x:f>
        <x:v>82285.71428571442</x:v>
      </x:c>
      <x:c r="D210" s="141" t="n">
        <x:f>IF(C210&gt;0,C210*Premissas!$B$17,0)</x:f>
        <x:v>0</x:v>
      </x:c>
      <x:c r="E210" s="141" t="n">
        <x:f>C210+D210</x:f>
        <x:v>82285.71428571442</x:v>
      </x:c>
      <x:c r="F210" s="142" t="n">
        <x:f>MAX(0,Premissas!$B$13-A210+1)</x:f>
        <x:v>216</x:v>
      </x:c>
      <x:c r="G210" s="141" t="n">
        <x:f>IF(AND(E210&gt;0,F210&gt;0),IF(Premissas!$B$19="PRICE",MAX(0,MIN(E210,IF(Premissas!$B$15=0,E210/F210,E210*Premissas!$B$15/(1-(1+Premissas!$B$15)^(-F210)))-H210)),MIN(E210,E210/F210)),0)</x:f>
        <x:v>380.9523809523816</x:v>
      </x:c>
      <x:c r="H210" s="141" t="n">
        <x:f>IF(AND(E210&gt;0,F210&gt;0),E210*Premissas!$B$15,0)</x:f>
        <x:v>780.7921043314062</x:v>
      </x:c>
      <x:c r="I210" s="141" t="n">
        <x:f>IF(AND(E210&gt;0,F210&gt;0),Premissas!$B$18,0)</x:f>
        <x:v>150</x:v>
      </x:c>
      <x:c r="J210" s="141" t="n">
        <x:f>IF(AND(E210&gt;0,F210&gt;0),IF(Premissas!$B$19="PRICE",IF(Premissas!$B$15=0,E210/F210,E210*Premissas!$B$15/(1-(1+Premissas!$B$15)^(-F210)))+I210,G210+H210+I210),0)</x:f>
        <x:v>1311.7444852837878</x:v>
      </x:c>
      <x:c r="K210" s="141" t="n">
        <x:f>H210+I210</x:f>
        <x:v>930.7921043314062</x:v>
      </x:c>
      <x:c r="L210" s="141" t="n">
        <x:f>SUM($J$6:J210)</x:f>
        <x:v>344492.6329163692</x:v>
      </x:c>
      <x:c r="M210" s="141" t="n">
        <x:f>MAX(0,E210-G210)</x:f>
        <x:v>81904.76190476204</x:v>
      </x:c>
    </x:row>
    <x:row r="211">
      <x:c r="A211" s="142" t="n">
        <x:v>206</x:v>
      </x:c>
      <x:c r="B211" s="179" t="n">
        <x:f>EDATE(Premissas!$B$4,205)</x:f>
        <x:v>52779</x:v>
      </x:c>
      <x:c r="C211" s="141" t="n">
        <x:f>M210</x:f>
        <x:v>81904.76190476204</x:v>
      </x:c>
      <x:c r="D211" s="141" t="n">
        <x:f>IF(C211&gt;0,C211*Premissas!$B$17,0)</x:f>
        <x:v>0</x:v>
      </x:c>
      <x:c r="E211" s="141" t="n">
        <x:f>C211+D211</x:f>
        <x:v>81904.76190476204</x:v>
      </x:c>
      <x:c r="F211" s="142" t="n">
        <x:f>MAX(0,Premissas!$B$13-A211+1)</x:f>
        <x:v>215</x:v>
      </x:c>
      <x:c r="G211" s="141" t="n">
        <x:f>IF(AND(E211&gt;0,F211&gt;0),IF(Premissas!$B$19="PRICE",MAX(0,MIN(E211,IF(Premissas!$B$15=0,E211/F211,E211*Premissas!$B$15/(1-(1+Premissas!$B$15)^(-F211)))-H211)),MIN(E211,E211/F211)),0)</x:f>
        <x:v>380.9523809523816</x:v>
      </x:c>
      <x:c r="H211" s="141" t="n">
        <x:f>IF(AND(E211&gt;0,F211&gt;0),E211*Premissas!$B$15,0)</x:f>
        <x:v>777.1773260706126</x:v>
      </x:c>
      <x:c r="I211" s="141" t="n">
        <x:f>IF(AND(E211&gt;0,F211&gt;0),Premissas!$B$18,0)</x:f>
        <x:v>150</x:v>
      </x:c>
      <x:c r="J211" s="141" t="n">
        <x:f>IF(AND(E211&gt;0,F211&gt;0),IF(Premissas!$B$19="PRICE",IF(Premissas!$B$15=0,E211/F211,E211*Premissas!$B$15/(1-(1+Premissas!$B$15)^(-F211)))+I211,G211+H211+I211),0)</x:f>
        <x:v>1308.1297070229941</x:v>
      </x:c>
      <x:c r="K211" s="141" t="n">
        <x:f>H211+I211</x:f>
        <x:v>927.1773260706126</x:v>
      </x:c>
      <x:c r="L211" s="141" t="n">
        <x:f>SUM($J$6:J211)</x:f>
        <x:v>345800.76262339216</x:v>
      </x:c>
      <x:c r="M211" s="141" t="n">
        <x:f>MAX(0,E211-G211)</x:f>
        <x:v>81523.80952380966</x:v>
      </x:c>
    </x:row>
    <x:row r="212">
      <x:c r="A212" s="142" t="n">
        <x:v>207</x:v>
      </x:c>
      <x:c r="B212" s="179" t="n">
        <x:f>EDATE(Premissas!$B$4,206)</x:f>
        <x:v>52810</x:v>
      </x:c>
      <x:c r="C212" s="141" t="n">
        <x:f>M211</x:f>
        <x:v>81523.80952380966</x:v>
      </x:c>
      <x:c r="D212" s="141" t="n">
        <x:f>IF(C212&gt;0,C212*Premissas!$B$17,0)</x:f>
        <x:v>0</x:v>
      </x:c>
      <x:c r="E212" s="141" t="n">
        <x:f>C212+D212</x:f>
        <x:v>81523.80952380966</x:v>
      </x:c>
      <x:c r="F212" s="142" t="n">
        <x:f>MAX(0,Premissas!$B$13-A212+1)</x:f>
        <x:v>214</x:v>
      </x:c>
      <x:c r="G212" s="141" t="n">
        <x:f>IF(AND(E212&gt;0,F212&gt;0),IF(Premissas!$B$19="PRICE",MAX(0,MIN(E212,IF(Premissas!$B$15=0,E212/F212,E212*Premissas!$B$15/(1-(1+Premissas!$B$15)^(-F212)))-H212)),MIN(E212,E212/F212)),0)</x:f>
        <x:v>380.9523809523816</x:v>
      </x:c>
      <x:c r="H212" s="141" t="n">
        <x:f>IF(AND(E212&gt;0,F212&gt;0),E212*Premissas!$B$15,0)</x:f>
        <x:v>773.5625478098191</x:v>
      </x:c>
      <x:c r="I212" s="141" t="n">
        <x:f>IF(AND(E212&gt;0,F212&gt;0),Premissas!$B$18,0)</x:f>
        <x:v>150</x:v>
      </x:c>
      <x:c r="J212" s="141" t="n">
        <x:f>IF(AND(E212&gt;0,F212&gt;0),IF(Premissas!$B$19="PRICE",IF(Premissas!$B$15=0,E212/F212,E212*Premissas!$B$15/(1-(1+Premissas!$B$15)^(-F212)))+I212,G212+H212+I212),0)</x:f>
        <x:v>1304.5149287622007</x:v>
      </x:c>
      <x:c r="K212" s="141" t="n">
        <x:f>H212+I212</x:f>
        <x:v>923.5625478098191</x:v>
      </x:c>
      <x:c r="L212" s="141" t="n">
        <x:f>SUM($J$6:J212)</x:f>
        <x:v>347105.2775521544</x:v>
      </x:c>
      <x:c r="M212" s="141" t="n">
        <x:f>MAX(0,E212-G212)</x:f>
        <x:v>81142.85714285728</x:v>
      </x:c>
    </x:row>
    <x:row r="213">
      <x:c r="A213" s="142" t="n">
        <x:v>208</x:v>
      </x:c>
      <x:c r="B213" s="179" t="n">
        <x:f>EDATE(Premissas!$B$4,207)</x:f>
        <x:v>52841</x:v>
      </x:c>
      <x:c r="C213" s="141" t="n">
        <x:f>M212</x:f>
        <x:v>81142.85714285728</x:v>
      </x:c>
      <x:c r="D213" s="141" t="n">
        <x:f>IF(C213&gt;0,C213*Premissas!$B$17,0)</x:f>
        <x:v>0</x:v>
      </x:c>
      <x:c r="E213" s="141" t="n">
        <x:f>C213+D213</x:f>
        <x:v>81142.85714285728</x:v>
      </x:c>
      <x:c r="F213" s="142" t="n">
        <x:f>MAX(0,Premissas!$B$13-A213+1)</x:f>
        <x:v>213</x:v>
      </x:c>
      <x:c r="G213" s="141" t="n">
        <x:f>IF(AND(E213&gt;0,F213&gt;0),IF(Premissas!$B$19="PRICE",MAX(0,MIN(E213,IF(Premissas!$B$15=0,E213/F213,E213*Premissas!$B$15/(1-(1+Premissas!$B$15)^(-F213)))-H213)),MIN(E213,E213/F213)),0)</x:f>
        <x:v>380.9523809523816</x:v>
      </x:c>
      <x:c r="H213" s="141" t="n">
        <x:f>IF(AND(E213&gt;0,F213&gt;0),E213*Premissas!$B$15,0)</x:f>
        <x:v>769.9477695490256</x:v>
      </x:c>
      <x:c r="I213" s="141" t="n">
        <x:f>IF(AND(E213&gt;0,F213&gt;0),Premissas!$B$18,0)</x:f>
        <x:v>150</x:v>
      </x:c>
      <x:c r="J213" s="141" t="n">
        <x:f>IF(AND(E213&gt;0,F213&gt;0),IF(Premissas!$B$19="PRICE",IF(Premissas!$B$15=0,E213/F213,E213*Premissas!$B$15/(1-(1+Premissas!$B$15)^(-F213)))+I213,G213+H213+I213),0)</x:f>
        <x:v>1300.900150501407</x:v>
      </x:c>
      <x:c r="K213" s="141" t="n">
        <x:f>H213+I213</x:f>
        <x:v>919.9477695490256</x:v>
      </x:c>
      <x:c r="L213" s="141" t="n">
        <x:f>SUM($J$6:J213)</x:f>
        <x:v>348406.1777026558</x:v>
      </x:c>
      <x:c r="M213" s="141" t="n">
        <x:f>MAX(0,E213-G213)</x:f>
        <x:v>80761.9047619049</x:v>
      </x:c>
    </x:row>
    <x:row r="214">
      <x:c r="A214" s="142" t="n">
        <x:v>209</x:v>
      </x:c>
      <x:c r="B214" s="179" t="n">
        <x:f>EDATE(Premissas!$B$4,208)</x:f>
        <x:v>52871</x:v>
      </x:c>
      <x:c r="C214" s="141" t="n">
        <x:f>M213</x:f>
        <x:v>80761.9047619049</x:v>
      </x:c>
      <x:c r="D214" s="141" t="n">
        <x:f>IF(C214&gt;0,C214*Premissas!$B$17,0)</x:f>
        <x:v>0</x:v>
      </x:c>
      <x:c r="E214" s="141" t="n">
        <x:f>C214+D214</x:f>
        <x:v>80761.9047619049</x:v>
      </x:c>
      <x:c r="F214" s="142" t="n">
        <x:f>MAX(0,Premissas!$B$13-A214+1)</x:f>
        <x:v>212</x:v>
      </x:c>
      <x:c r="G214" s="141" t="n">
        <x:f>IF(AND(E214&gt;0,F214&gt;0),IF(Premissas!$B$19="PRICE",MAX(0,MIN(E214,IF(Premissas!$B$15=0,E214/F214,E214*Premissas!$B$15/(1-(1+Premissas!$B$15)^(-F214)))-H214)),MIN(E214,E214/F214)),0)</x:f>
        <x:v>380.9523809523816</x:v>
      </x:c>
      <x:c r="H214" s="141" t="n">
        <x:f>IF(AND(E214&gt;0,F214&gt;0),E214*Premissas!$B$15,0)</x:f>
        <x:v>766.332991288232</x:v>
      </x:c>
      <x:c r="I214" s="141" t="n">
        <x:f>IF(AND(E214&gt;0,F214&gt;0),Premissas!$B$18,0)</x:f>
        <x:v>150</x:v>
      </x:c>
      <x:c r="J214" s="141" t="n">
        <x:f>IF(AND(E214&gt;0,F214&gt;0),IF(Premissas!$B$19="PRICE",IF(Premissas!$B$15=0,E214/F214,E214*Premissas!$B$15/(1-(1+Premissas!$B$15)^(-F214)))+I214,G214+H214+I214),0)</x:f>
        <x:v>1297.2853722406137</x:v>
      </x:c>
      <x:c r="K214" s="141" t="n">
        <x:f>H214+I214</x:f>
        <x:v>916.332991288232</x:v>
      </x:c>
      <x:c r="L214" s="141" t="n">
        <x:f>SUM($J$6:J214)</x:f>
        <x:v>349703.46307489637</x:v>
      </x:c>
      <x:c r="M214" s="141" t="n">
        <x:f>MAX(0,E214-G214)</x:f>
        <x:v>80380.95238095251</x:v>
      </x:c>
    </x:row>
    <x:row r="215">
      <x:c r="A215" s="142" t="n">
        <x:v>210</x:v>
      </x:c>
      <x:c r="B215" s="179" t="n">
        <x:f>EDATE(Premissas!$B$4,209)</x:f>
        <x:v>52902</x:v>
      </x:c>
      <x:c r="C215" s="141" t="n">
        <x:f>M214</x:f>
        <x:v>80380.95238095251</x:v>
      </x:c>
      <x:c r="D215" s="141" t="n">
        <x:f>IF(C215&gt;0,C215*Premissas!$B$17,0)</x:f>
        <x:v>0</x:v>
      </x:c>
      <x:c r="E215" s="141" t="n">
        <x:f>C215+D215</x:f>
        <x:v>80380.95238095251</x:v>
      </x:c>
      <x:c r="F215" s="142" t="n">
        <x:f>MAX(0,Premissas!$B$13-A215+1)</x:f>
        <x:v>211</x:v>
      </x:c>
      <x:c r="G215" s="141" t="n">
        <x:f>IF(AND(E215&gt;0,F215&gt;0),IF(Premissas!$B$19="PRICE",MAX(0,MIN(E215,IF(Premissas!$B$15=0,E215/F215,E215*Premissas!$B$15/(1-(1+Premissas!$B$15)^(-F215)))-H215)),MIN(E215,E215/F215)),0)</x:f>
        <x:v>380.9523809523816</x:v>
      </x:c>
      <x:c r="H215" s="141" t="n">
        <x:f>IF(AND(E215&gt;0,F215&gt;0),E215*Premissas!$B$15,0)</x:f>
        <x:v>762.7182130274384</x:v>
      </x:c>
      <x:c r="I215" s="141" t="n">
        <x:f>IF(AND(E215&gt;0,F215&gt;0),Premissas!$B$18,0)</x:f>
        <x:v>150</x:v>
      </x:c>
      <x:c r="J215" s="141" t="n">
        <x:f>IF(AND(E215&gt;0,F215&gt;0),IF(Premissas!$B$19="PRICE",IF(Premissas!$B$15=0,E215/F215,E215*Premissas!$B$15/(1-(1+Premissas!$B$15)^(-F215)))+I215,G215+H215+I215),0)</x:f>
        <x:v>1293.67059397982</x:v>
      </x:c>
      <x:c r="K215" s="141" t="n">
        <x:f>H215+I215</x:f>
        <x:v>912.7182130274384</x:v>
      </x:c>
      <x:c r="L215" s="141" t="n">
        <x:f>SUM($J$6:J215)</x:f>
        <x:v>350997.1336688762</x:v>
      </x:c>
      <x:c r="M215" s="141" t="n">
        <x:f>MAX(0,E215-G215)</x:f>
        <x:v>80000.00000000013</x:v>
      </x:c>
    </x:row>
    <x:row r="216">
      <x:c r="A216" s="142" t="n">
        <x:v>211</x:v>
      </x:c>
      <x:c r="B216" s="179" t="n">
        <x:f>EDATE(Premissas!$B$4,210)</x:f>
        <x:v>52932</x:v>
      </x:c>
      <x:c r="C216" s="141" t="n">
        <x:f>M215</x:f>
        <x:v>80000.00000000013</x:v>
      </x:c>
      <x:c r="D216" s="141" t="n">
        <x:f>IF(C216&gt;0,C216*Premissas!$B$17,0)</x:f>
        <x:v>0</x:v>
      </x:c>
      <x:c r="E216" s="141" t="n">
        <x:f>C216+D216</x:f>
        <x:v>80000.00000000013</x:v>
      </x:c>
      <x:c r="F216" s="142" t="n">
        <x:f>MAX(0,Premissas!$B$13-A216+1)</x:f>
        <x:v>210</x:v>
      </x:c>
      <x:c r="G216" s="141" t="n">
        <x:f>IF(AND(E216&gt;0,F216&gt;0),IF(Premissas!$B$19="PRICE",MAX(0,MIN(E216,IF(Premissas!$B$15=0,E216/F216,E216*Premissas!$B$15/(1-(1+Premissas!$B$15)^(-F216)))-H216)),MIN(E216,E216/F216)),0)</x:f>
        <x:v>380.9523809523816</x:v>
      </x:c>
      <x:c r="H216" s="141" t="n">
        <x:f>IF(AND(E216&gt;0,F216&gt;0),E216*Premissas!$B$15,0)</x:f>
        <x:v>759.1034347666449</x:v>
      </x:c>
      <x:c r="I216" s="141" t="n">
        <x:f>IF(AND(E216&gt;0,F216&gt;0),Premissas!$B$18,0)</x:f>
        <x:v>150</x:v>
      </x:c>
      <x:c r="J216" s="141" t="n">
        <x:f>IF(AND(E216&gt;0,F216&gt;0),IF(Premissas!$B$19="PRICE",IF(Premissas!$B$15=0,E216/F216,E216*Premissas!$B$15/(1-(1+Premissas!$B$15)^(-F216)))+I216,G216+H216+I216),0)</x:f>
        <x:v>1290.0558157190264</x:v>
      </x:c>
      <x:c r="K216" s="141" t="n">
        <x:f>H216+I216</x:f>
        <x:v>909.1034347666449</x:v>
      </x:c>
      <x:c r="L216" s="141" t="n">
        <x:f>SUM($J$6:J216)</x:f>
        <x:v>352287.1894845952</x:v>
      </x:c>
      <x:c r="M216" s="141" t="n">
        <x:f>MAX(0,E216-G216)</x:f>
        <x:v>79619.04761904775</x:v>
      </x:c>
    </x:row>
    <x:row r="217">
      <x:c r="A217" s="142" t="n">
        <x:v>212</x:v>
      </x:c>
      <x:c r="B217" s="179" t="n">
        <x:f>EDATE(Premissas!$B$4,211)</x:f>
        <x:v>52963</x:v>
      </x:c>
      <x:c r="C217" s="141" t="n">
        <x:f>M216</x:f>
        <x:v>79619.04761904775</x:v>
      </x:c>
      <x:c r="D217" s="141" t="n">
        <x:f>IF(C217&gt;0,C217*Premissas!$B$17,0)</x:f>
        <x:v>0</x:v>
      </x:c>
      <x:c r="E217" s="141" t="n">
        <x:f>C217+D217</x:f>
        <x:v>79619.04761904775</x:v>
      </x:c>
      <x:c r="F217" s="142" t="n">
        <x:f>MAX(0,Premissas!$B$13-A217+1)</x:f>
        <x:v>209</x:v>
      </x:c>
      <x:c r="G217" s="141" t="n">
        <x:f>IF(AND(E217&gt;0,F217&gt;0),IF(Premissas!$B$19="PRICE",MAX(0,MIN(E217,IF(Premissas!$B$15=0,E217/F217,E217*Premissas!$B$15/(1-(1+Premissas!$B$15)^(-F217)))-H217)),MIN(E217,E217/F217)),0)</x:f>
        <x:v>380.9523809523816</x:v>
      </x:c>
      <x:c r="H217" s="141" t="n">
        <x:f>IF(AND(E217&gt;0,F217&gt;0),E217*Premissas!$B$15,0)</x:f>
        <x:v>755.4886565058514</x:v>
      </x:c>
      <x:c r="I217" s="141" t="n">
        <x:f>IF(AND(E217&gt;0,F217&gt;0),Premissas!$B$18,0)</x:f>
        <x:v>150</x:v>
      </x:c>
      <x:c r="J217" s="141" t="n">
        <x:f>IF(AND(E217&gt;0,F217&gt;0),IF(Premissas!$B$19="PRICE",IF(Premissas!$B$15=0,E217/F217,E217*Premissas!$B$15/(1-(1+Premissas!$B$15)^(-F217)))+I217,G217+H217+I217),0)</x:f>
        <x:v>1286.441037458233</x:v>
      </x:c>
      <x:c r="K217" s="141" t="n">
        <x:f>H217+I217</x:f>
        <x:v>905.4886565058514</x:v>
      </x:c>
      <x:c r="L217" s="141" t="n">
        <x:f>SUM($J$6:J217)</x:f>
        <x:v>353573.63052205346</x:v>
      </x:c>
      <x:c r="M217" s="141" t="n">
        <x:f>MAX(0,E217-G217)</x:f>
        <x:v>79238.09523809537</x:v>
      </x:c>
    </x:row>
    <x:row r="218">
      <x:c r="A218" s="142" t="n">
        <x:v>213</x:v>
      </x:c>
      <x:c r="B218" s="179" t="n">
        <x:f>EDATE(Premissas!$B$4,212)</x:f>
        <x:v>52994</x:v>
      </x:c>
      <x:c r="C218" s="141" t="n">
        <x:f>M217</x:f>
        <x:v>79238.09523809537</x:v>
      </x:c>
      <x:c r="D218" s="141" t="n">
        <x:f>IF(C218&gt;0,C218*Premissas!$B$17,0)</x:f>
        <x:v>0</x:v>
      </x:c>
      <x:c r="E218" s="141" t="n">
        <x:f>C218+D218</x:f>
        <x:v>79238.09523809537</x:v>
      </x:c>
      <x:c r="F218" s="142" t="n">
        <x:f>MAX(0,Premissas!$B$13-A218+1)</x:f>
        <x:v>208</x:v>
      </x:c>
      <x:c r="G218" s="141" t="n">
        <x:f>IF(AND(E218&gt;0,F218&gt;0),IF(Premissas!$B$19="PRICE",MAX(0,MIN(E218,IF(Premissas!$B$15=0,E218/F218,E218*Premissas!$B$15/(1-(1+Premissas!$B$15)^(-F218)))-H218)),MIN(E218,E218/F218)),0)</x:f>
        <x:v>380.9523809523816</x:v>
      </x:c>
      <x:c r="H218" s="141" t="n">
        <x:f>IF(AND(E218&gt;0,F218&gt;0),E218*Premissas!$B$15,0)</x:f>
        <x:v>751.8738782450578</x:v>
      </x:c>
      <x:c r="I218" s="141" t="n">
        <x:f>IF(AND(E218&gt;0,F218&gt;0),Premissas!$B$18,0)</x:f>
        <x:v>150</x:v>
      </x:c>
      <x:c r="J218" s="141" t="n">
        <x:f>IF(AND(E218&gt;0,F218&gt;0),IF(Premissas!$B$19="PRICE",IF(Premissas!$B$15=0,E218/F218,E218*Premissas!$B$15/(1-(1+Premissas!$B$15)^(-F218)))+I218,G218+H218+I218),0)</x:f>
        <x:v>1282.8262591974394</x:v>
      </x:c>
      <x:c r="K218" s="141" t="n">
        <x:f>H218+I218</x:f>
        <x:v>901.8738782450578</x:v>
      </x:c>
      <x:c r="L218" s="141" t="n">
        <x:f>SUM($J$6:J218)</x:f>
        <x:v>354856.4567812509</x:v>
      </x:c>
      <x:c r="M218" s="141" t="n">
        <x:f>MAX(0,E218-G218)</x:f>
        <x:v>78857.14285714299</x:v>
      </x:c>
    </x:row>
    <x:row r="219">
      <x:c r="A219" s="142" t="n">
        <x:v>214</x:v>
      </x:c>
      <x:c r="B219" s="179" t="n">
        <x:f>EDATE(Premissas!$B$4,213)</x:f>
        <x:v>53022</x:v>
      </x:c>
      <x:c r="C219" s="141" t="n">
        <x:f>M218</x:f>
        <x:v>78857.14285714299</x:v>
      </x:c>
      <x:c r="D219" s="141" t="n">
        <x:f>IF(C219&gt;0,C219*Premissas!$B$17,0)</x:f>
        <x:v>0</x:v>
      </x:c>
      <x:c r="E219" s="141" t="n">
        <x:f>C219+D219</x:f>
        <x:v>78857.14285714299</x:v>
      </x:c>
      <x:c r="F219" s="142" t="n">
        <x:f>MAX(0,Premissas!$B$13-A219+1)</x:f>
        <x:v>207</x:v>
      </x:c>
      <x:c r="G219" s="141" t="n">
        <x:f>IF(AND(E219&gt;0,F219&gt;0),IF(Premissas!$B$19="PRICE",MAX(0,MIN(E219,IF(Premissas!$B$15=0,E219/F219,E219*Premissas!$B$15/(1-(1+Premissas!$B$15)^(-F219)))-H219)),MIN(E219,E219/F219)),0)</x:f>
        <x:v>380.9523809523816</x:v>
      </x:c>
      <x:c r="H219" s="141" t="n">
        <x:f>IF(AND(E219&gt;0,F219&gt;0),E219*Premissas!$B$15,0)</x:f>
        <x:v>748.2590999842643</x:v>
      </x:c>
      <x:c r="I219" s="141" t="n">
        <x:f>IF(AND(E219&gt;0,F219&gt;0),Premissas!$B$18,0)</x:f>
        <x:v>150</x:v>
      </x:c>
      <x:c r="J219" s="141" t="n">
        <x:f>IF(AND(E219&gt;0,F219&gt;0),IF(Premissas!$B$19="PRICE",IF(Premissas!$B$15=0,E219/F219,E219*Premissas!$B$15/(1-(1+Premissas!$B$15)^(-F219)))+I219,G219+H219+I219),0)</x:f>
        <x:v>1279.2114809366458</x:v>
      </x:c>
      <x:c r="K219" s="141" t="n">
        <x:f>H219+I219</x:f>
        <x:v>898.2590999842643</x:v>
      </x:c>
      <x:c r="L219" s="141" t="n">
        <x:f>SUM($J$6:J219)</x:f>
        <x:v>356135.6682621875</x:v>
      </x:c>
      <x:c r="M219" s="141" t="n">
        <x:f>MAX(0,E219-G219)</x:f>
        <x:v>78476.1904761906</x:v>
      </x:c>
    </x:row>
    <x:row r="220">
      <x:c r="A220" s="142" t="n">
        <x:v>215</x:v>
      </x:c>
      <x:c r="B220" s="179" t="n">
        <x:f>EDATE(Premissas!$B$4,214)</x:f>
        <x:v>53053</x:v>
      </x:c>
      <x:c r="C220" s="141" t="n">
        <x:f>M219</x:f>
        <x:v>78476.1904761906</x:v>
      </x:c>
      <x:c r="D220" s="141" t="n">
        <x:f>IF(C220&gt;0,C220*Premissas!$B$17,0)</x:f>
        <x:v>0</x:v>
      </x:c>
      <x:c r="E220" s="141" t="n">
        <x:f>C220+D220</x:f>
        <x:v>78476.1904761906</x:v>
      </x:c>
      <x:c r="F220" s="142" t="n">
        <x:f>MAX(0,Premissas!$B$13-A220+1)</x:f>
        <x:v>206</x:v>
      </x:c>
      <x:c r="G220" s="141" t="n">
        <x:f>IF(AND(E220&gt;0,F220&gt;0),IF(Premissas!$B$19="PRICE",MAX(0,MIN(E220,IF(Premissas!$B$15=0,E220/F220,E220*Premissas!$B$15/(1-(1+Premissas!$B$15)^(-F220)))-H220)),MIN(E220,E220/F220)),0)</x:f>
        <x:v>380.9523809523816</x:v>
      </x:c>
      <x:c r="H220" s="141" t="n">
        <x:f>IF(AND(E220&gt;0,F220&gt;0),E220*Premissas!$B$15,0)</x:f>
        <x:v>744.6443217234707</x:v>
      </x:c>
      <x:c r="I220" s="141" t="n">
        <x:f>IF(AND(E220&gt;0,F220&gt;0),Premissas!$B$18,0)</x:f>
        <x:v>150</x:v>
      </x:c>
      <x:c r="J220" s="141" t="n">
        <x:f>IF(AND(E220&gt;0,F220&gt;0),IF(Premissas!$B$19="PRICE",IF(Premissas!$B$15=0,E220/F220,E220*Premissas!$B$15/(1-(1+Premissas!$B$15)^(-F220)))+I220,G220+H220+I220),0)</x:f>
        <x:v>1275.5967026758524</x:v>
      </x:c>
      <x:c r="K220" s="141" t="n">
        <x:f>H220+I220</x:f>
        <x:v>894.6443217234707</x:v>
      </x:c>
      <x:c r="L220" s="141" t="n">
        <x:f>SUM($J$6:J220)</x:f>
        <x:v>357411.26496486337</x:v>
      </x:c>
      <x:c r="M220" s="141" t="n">
        <x:f>MAX(0,E220-G220)</x:f>
        <x:v>78095.23809523822</x:v>
      </x:c>
    </x:row>
    <x:row r="221">
      <x:c r="A221" s="142" t="n">
        <x:v>216</x:v>
      </x:c>
      <x:c r="B221" s="179" t="n">
        <x:f>EDATE(Premissas!$B$4,215)</x:f>
        <x:v>53083</x:v>
      </x:c>
      <x:c r="C221" s="141" t="n">
        <x:f>M220</x:f>
        <x:v>78095.23809523822</x:v>
      </x:c>
      <x:c r="D221" s="141" t="n">
        <x:f>IF(C221&gt;0,C221*Premissas!$B$17,0)</x:f>
        <x:v>0</x:v>
      </x:c>
      <x:c r="E221" s="141" t="n">
        <x:f>C221+D221</x:f>
        <x:v>78095.23809523822</x:v>
      </x:c>
      <x:c r="F221" s="142" t="n">
        <x:f>MAX(0,Premissas!$B$13-A221+1)</x:f>
        <x:v>205</x:v>
      </x:c>
      <x:c r="G221" s="141" t="n">
        <x:f>IF(AND(E221&gt;0,F221&gt;0),IF(Premissas!$B$19="PRICE",MAX(0,MIN(E221,IF(Premissas!$B$15=0,E221/F221,E221*Premissas!$B$15/(1-(1+Premissas!$B$15)^(-F221)))-H221)),MIN(E221,E221/F221)),0)</x:f>
        <x:v>380.9523809523816</x:v>
      </x:c>
      <x:c r="H221" s="141" t="n">
        <x:f>IF(AND(E221&gt;0,F221&gt;0),E221*Premissas!$B$15,0)</x:f>
        <x:v>741.0295434626771</x:v>
      </x:c>
      <x:c r="I221" s="141" t="n">
        <x:f>IF(AND(E221&gt;0,F221&gt;0),Premissas!$B$18,0)</x:f>
        <x:v>150</x:v>
      </x:c>
      <x:c r="J221" s="141" t="n">
        <x:f>IF(AND(E221&gt;0,F221&gt;0),IF(Premissas!$B$19="PRICE",IF(Premissas!$B$15=0,E221/F221,E221*Premissas!$B$15/(1-(1+Premissas!$B$15)^(-F221)))+I221,G221+H221+I221),0)</x:f>
        <x:v>1271.9819244150588</x:v>
      </x:c>
      <x:c r="K221" s="141" t="n">
        <x:f>H221+I221</x:f>
        <x:v>891.0295434626771</x:v>
      </x:c>
      <x:c r="L221" s="141" t="n">
        <x:f>SUM($J$6:J221)</x:f>
        <x:v>358683.2468892784</x:v>
      </x:c>
      <x:c r="M221" s="141" t="n">
        <x:f>MAX(0,E221-G221)</x:f>
        <x:v>77714.28571428584</x:v>
      </x:c>
    </x:row>
    <x:row r="222">
      <x:c r="A222" s="142" t="n">
        <x:v>217</x:v>
      </x:c>
      <x:c r="B222" s="179" t="n">
        <x:f>EDATE(Premissas!$B$4,216)</x:f>
        <x:v>53114</x:v>
      </x:c>
      <x:c r="C222" s="141" t="n">
        <x:f>M221</x:f>
        <x:v>77714.28571428584</x:v>
      </x:c>
      <x:c r="D222" s="141" t="n">
        <x:f>IF(C222&gt;0,C222*Premissas!$B$17,0)</x:f>
        <x:v>0</x:v>
      </x:c>
      <x:c r="E222" s="141" t="n">
        <x:f>C222+D222</x:f>
        <x:v>77714.28571428584</x:v>
      </x:c>
      <x:c r="F222" s="142" t="n">
        <x:f>MAX(0,Premissas!$B$13-A222+1)</x:f>
        <x:v>204</x:v>
      </x:c>
      <x:c r="G222" s="141" t="n">
        <x:f>IF(AND(E222&gt;0,F222&gt;0),IF(Premissas!$B$19="PRICE",MAX(0,MIN(E222,IF(Premissas!$B$15=0,E222/F222,E222*Premissas!$B$15/(1-(1+Premissas!$B$15)^(-F222)))-H222)),MIN(E222,E222/F222)),0)</x:f>
        <x:v>380.9523809523816</x:v>
      </x:c>
      <x:c r="H222" s="141" t="n">
        <x:f>IF(AND(E222&gt;0,F222&gt;0),E222*Premissas!$B$15,0)</x:f>
        <x:v>737.4147652018836</x:v>
      </x:c>
      <x:c r="I222" s="141" t="n">
        <x:f>IF(AND(E222&gt;0,F222&gt;0),Premissas!$B$18,0)</x:f>
        <x:v>150</x:v>
      </x:c>
      <x:c r="J222" s="141" t="n">
        <x:f>IF(AND(E222&gt;0,F222&gt;0),IF(Premissas!$B$19="PRICE",IF(Premissas!$B$15=0,E222/F222,E222*Premissas!$B$15/(1-(1+Premissas!$B$15)^(-F222)))+I222,G222+H222+I222),0)</x:f>
        <x:v>1268.3671461542651</x:v>
      </x:c>
      <x:c r="K222" s="141" t="n">
        <x:f>H222+I222</x:f>
        <x:v>887.4147652018836</x:v>
      </x:c>
      <x:c r="L222" s="141" t="n">
        <x:f>SUM($J$6:J222)</x:f>
        <x:v>359951.6140354327</x:v>
      </x:c>
      <x:c r="M222" s="141" t="n">
        <x:f>MAX(0,E222-G222)</x:f>
        <x:v>77333.33333333346</x:v>
      </x:c>
    </x:row>
    <x:row r="223">
      <x:c r="A223" s="142" t="n">
        <x:v>218</x:v>
      </x:c>
      <x:c r="B223" s="179" t="n">
        <x:f>EDATE(Premissas!$B$4,217)</x:f>
        <x:v>53144</x:v>
      </x:c>
      <x:c r="C223" s="141" t="n">
        <x:f>M222</x:f>
        <x:v>77333.33333333346</x:v>
      </x:c>
      <x:c r="D223" s="141" t="n">
        <x:f>IF(C223&gt;0,C223*Premissas!$B$17,0)</x:f>
        <x:v>0</x:v>
      </x:c>
      <x:c r="E223" s="141" t="n">
        <x:f>C223+D223</x:f>
        <x:v>77333.33333333346</x:v>
      </x:c>
      <x:c r="F223" s="142" t="n">
        <x:f>MAX(0,Premissas!$B$13-A223+1)</x:f>
        <x:v>203</x:v>
      </x:c>
      <x:c r="G223" s="141" t="n">
        <x:f>IF(AND(E223&gt;0,F223&gt;0),IF(Premissas!$B$19="PRICE",MAX(0,MIN(E223,IF(Premissas!$B$15=0,E223/F223,E223*Premissas!$B$15/(1-(1+Premissas!$B$15)^(-F223)))-H223)),MIN(E223,E223/F223)),0)</x:f>
        <x:v>380.9523809523816</x:v>
      </x:c>
      <x:c r="H223" s="141" t="n">
        <x:f>IF(AND(E223&gt;0,F223&gt;0),E223*Premissas!$B$15,0)</x:f>
        <x:v>733.7999869410901</x:v>
      </x:c>
      <x:c r="I223" s="141" t="n">
        <x:f>IF(AND(E223&gt;0,F223&gt;0),Premissas!$B$18,0)</x:f>
        <x:v>150</x:v>
      </x:c>
      <x:c r="J223" s="141" t="n">
        <x:f>IF(AND(E223&gt;0,F223&gt;0),IF(Premissas!$B$19="PRICE",IF(Premissas!$B$15=0,E223/F223,E223*Premissas!$B$15/(1-(1+Premissas!$B$15)^(-F223)))+I223,G223+H223+I223),0)</x:f>
        <x:v>1264.7523678934717</x:v>
      </x:c>
      <x:c r="K223" s="141" t="n">
        <x:f>H223+I223</x:f>
        <x:v>883.7999869410901</x:v>
      </x:c>
      <x:c r="L223" s="141" t="n">
        <x:f>SUM($J$6:J223)</x:f>
        <x:v>361216.36640332616</x:v>
      </x:c>
      <x:c r="M223" s="141" t="n">
        <x:f>MAX(0,E223-G223)</x:f>
        <x:v>76952.38095238108</x:v>
      </x:c>
    </x:row>
    <x:row r="224">
      <x:c r="A224" s="142" t="n">
        <x:v>219</x:v>
      </x:c>
      <x:c r="B224" s="179" t="n">
        <x:f>EDATE(Premissas!$B$4,218)</x:f>
        <x:v>53175</x:v>
      </x:c>
      <x:c r="C224" s="141" t="n">
        <x:f>M223</x:f>
        <x:v>76952.38095238108</x:v>
      </x:c>
      <x:c r="D224" s="141" t="n">
        <x:f>IF(C224&gt;0,C224*Premissas!$B$17,0)</x:f>
        <x:v>0</x:v>
      </x:c>
      <x:c r="E224" s="141" t="n">
        <x:f>C224+D224</x:f>
        <x:v>76952.38095238108</x:v>
      </x:c>
      <x:c r="F224" s="142" t="n">
        <x:f>MAX(0,Premissas!$B$13-A224+1)</x:f>
        <x:v>202</x:v>
      </x:c>
      <x:c r="G224" s="141" t="n">
        <x:f>IF(AND(E224&gt;0,F224&gt;0),IF(Premissas!$B$19="PRICE",MAX(0,MIN(E224,IF(Premissas!$B$15=0,E224/F224,E224*Premissas!$B$15/(1-(1+Premissas!$B$15)^(-F224)))-H224)),MIN(E224,E224/F224)),0)</x:f>
        <x:v>380.9523809523816</x:v>
      </x:c>
      <x:c r="H224" s="141" t="n">
        <x:f>IF(AND(E224&gt;0,F224&gt;0),E224*Premissas!$B$15,0)</x:f>
        <x:v>730.1852086802966</x:v>
      </x:c>
      <x:c r="I224" s="141" t="n">
        <x:f>IF(AND(E224&gt;0,F224&gt;0),Premissas!$B$18,0)</x:f>
        <x:v>150</x:v>
      </x:c>
      <x:c r="J224" s="141" t="n">
        <x:f>IF(AND(E224&gt;0,F224&gt;0),IF(Premissas!$B$19="PRICE",IF(Premissas!$B$15=0,E224/F224,E224*Premissas!$B$15/(1-(1+Premissas!$B$15)^(-F224)))+I224,G224+H224+I224),0)</x:f>
        <x:v>1261.137589632678</x:v>
      </x:c>
      <x:c r="K224" s="141" t="n">
        <x:f>H224+I224</x:f>
        <x:v>880.1852086802966</x:v>
      </x:c>
      <x:c r="L224" s="141" t="n">
        <x:f>SUM($J$6:J224)</x:f>
        <x:v>362477.5039929588</x:v>
      </x:c>
      <x:c r="M224" s="141" t="n">
        <x:f>MAX(0,E224-G224)</x:f>
        <x:v>76571.4285714287</x:v>
      </x:c>
    </x:row>
    <x:row r="225">
      <x:c r="A225" s="142" t="n">
        <x:v>220</x:v>
      </x:c>
      <x:c r="B225" s="179" t="n">
        <x:f>EDATE(Premissas!$B$4,219)</x:f>
        <x:v>53206</x:v>
      </x:c>
      <x:c r="C225" s="141" t="n">
        <x:f>M224</x:f>
        <x:v>76571.4285714287</x:v>
      </x:c>
      <x:c r="D225" s="141" t="n">
        <x:f>IF(C225&gt;0,C225*Premissas!$B$17,0)</x:f>
        <x:v>0</x:v>
      </x:c>
      <x:c r="E225" s="141" t="n">
        <x:f>C225+D225</x:f>
        <x:v>76571.4285714287</x:v>
      </x:c>
      <x:c r="F225" s="142" t="n">
        <x:f>MAX(0,Premissas!$B$13-A225+1)</x:f>
        <x:v>201</x:v>
      </x:c>
      <x:c r="G225" s="141" t="n">
        <x:f>IF(AND(E225&gt;0,F225&gt;0),IF(Premissas!$B$19="PRICE",MAX(0,MIN(E225,IF(Premissas!$B$15=0,E225/F225,E225*Premissas!$B$15/(1-(1+Premissas!$B$15)^(-F225)))-H225)),MIN(E225,E225/F225)),0)</x:f>
        <x:v>380.9523809523816</x:v>
      </x:c>
      <x:c r="H225" s="141" t="n">
        <x:f>IF(AND(E225&gt;0,F225&gt;0),E225*Premissas!$B$15,0)</x:f>
        <x:v>726.5704304195029</x:v>
      </x:c>
      <x:c r="I225" s="141" t="n">
        <x:f>IF(AND(E225&gt;0,F225&gt;0),Premissas!$B$18,0)</x:f>
        <x:v>150</x:v>
      </x:c>
      <x:c r="J225" s="141" t="n">
        <x:f>IF(AND(E225&gt;0,F225&gt;0),IF(Premissas!$B$19="PRICE",IF(Premissas!$B$15=0,E225/F225,E225*Premissas!$B$15/(1-(1+Premissas!$B$15)^(-F225)))+I225,G225+H225+I225),0)</x:f>
        <x:v>1257.5228113718845</x:v>
      </x:c>
      <x:c r="K225" s="141" t="n">
        <x:f>H225+I225</x:f>
        <x:v>876.5704304195029</x:v>
      </x:c>
      <x:c r="L225" s="141" t="n">
        <x:f>SUM($J$6:J225)</x:f>
        <x:v>363735.0268043307</x:v>
      </x:c>
      <x:c r="M225" s="141" t="n">
        <x:f>MAX(0,E225-G225)</x:f>
        <x:v>76190.47619047631</x:v>
      </x:c>
    </x:row>
    <x:row r="226">
      <x:c r="A226" s="142" t="n">
        <x:v>221</x:v>
      </x:c>
      <x:c r="B226" s="179" t="n">
        <x:f>EDATE(Premissas!$B$4,220)</x:f>
        <x:v>53236</x:v>
      </x:c>
      <x:c r="C226" s="141" t="n">
        <x:f>M225</x:f>
        <x:v>76190.47619047631</x:v>
      </x:c>
      <x:c r="D226" s="141" t="n">
        <x:f>IF(C226&gt;0,C226*Premissas!$B$17,0)</x:f>
        <x:v>0</x:v>
      </x:c>
      <x:c r="E226" s="141" t="n">
        <x:f>C226+D226</x:f>
        <x:v>76190.47619047631</x:v>
      </x:c>
      <x:c r="F226" s="142" t="n">
        <x:f>MAX(0,Premissas!$B$13-A226+1)</x:f>
        <x:v>200</x:v>
      </x:c>
      <x:c r="G226" s="141" t="n">
        <x:f>IF(AND(E226&gt;0,F226&gt;0),IF(Premissas!$B$19="PRICE",MAX(0,MIN(E226,IF(Premissas!$B$15=0,E226/F226,E226*Premissas!$B$15/(1-(1+Premissas!$B$15)^(-F226)))-H226)),MIN(E226,E226/F226)),0)</x:f>
        <x:v>380.9523809523816</x:v>
      </x:c>
      <x:c r="H226" s="141" t="n">
        <x:f>IF(AND(E226&gt;0,F226&gt;0),E226*Premissas!$B$15,0)</x:f>
        <x:v>722.9556521587094</x:v>
      </x:c>
      <x:c r="I226" s="141" t="n">
        <x:f>IF(AND(E226&gt;0,F226&gt;0),Premissas!$B$18,0)</x:f>
        <x:v>150</x:v>
      </x:c>
      <x:c r="J226" s="141" t="n">
        <x:f>IF(AND(E226&gt;0,F226&gt;0),IF(Premissas!$B$19="PRICE",IF(Premissas!$B$15=0,E226/F226,E226*Premissas!$B$15/(1-(1+Premissas!$B$15)^(-F226)))+I226,G226+H226+I226),0)</x:f>
        <x:v>1253.908033111091</x:v>
      </x:c>
      <x:c r="K226" s="141" t="n">
        <x:f>H226+I226</x:f>
        <x:v>872.9556521587094</x:v>
      </x:c>
      <x:c r="L226" s="141" t="n">
        <x:f>SUM($J$6:J226)</x:f>
        <x:v>364988.9348374418</x:v>
      </x:c>
      <x:c r="M226" s="141" t="n">
        <x:f>MAX(0,E226-G226)</x:f>
        <x:v>75809.52380952393</x:v>
      </x:c>
    </x:row>
    <x:row r="227">
      <x:c r="A227" s="142" t="n">
        <x:v>222</x:v>
      </x:c>
      <x:c r="B227" s="179" t="n">
        <x:f>EDATE(Premissas!$B$4,221)</x:f>
        <x:v>53267</x:v>
      </x:c>
      <x:c r="C227" s="141" t="n">
        <x:f>M226</x:f>
        <x:v>75809.52380952393</x:v>
      </x:c>
      <x:c r="D227" s="141" t="n">
        <x:f>IF(C227&gt;0,C227*Premissas!$B$17,0)</x:f>
        <x:v>0</x:v>
      </x:c>
      <x:c r="E227" s="141" t="n">
        <x:f>C227+D227</x:f>
        <x:v>75809.52380952393</x:v>
      </x:c>
      <x:c r="F227" s="142" t="n">
        <x:f>MAX(0,Premissas!$B$13-A227+1)</x:f>
        <x:v>199</x:v>
      </x:c>
      <x:c r="G227" s="141" t="n">
        <x:f>IF(AND(E227&gt;0,F227&gt;0),IF(Premissas!$B$19="PRICE",MAX(0,MIN(E227,IF(Premissas!$B$15=0,E227/F227,E227*Premissas!$B$15/(1-(1+Premissas!$B$15)^(-F227)))-H227)),MIN(E227,E227/F227)),0)</x:f>
        <x:v>380.9523809523816</x:v>
      </x:c>
      <x:c r="H227" s="141" t="n">
        <x:f>IF(AND(E227&gt;0,F227&gt;0),E227*Premissas!$B$15,0)</x:f>
        <x:v>719.3408738979159</x:v>
      </x:c>
      <x:c r="I227" s="141" t="n">
        <x:f>IF(AND(E227&gt;0,F227&gt;0),Premissas!$B$18,0)</x:f>
        <x:v>150</x:v>
      </x:c>
      <x:c r="J227" s="141" t="n">
        <x:f>IF(AND(E227&gt;0,F227&gt;0),IF(Premissas!$B$19="PRICE",IF(Premissas!$B$15=0,E227/F227,E227*Premissas!$B$15/(1-(1+Premissas!$B$15)^(-F227)))+I227,G227+H227+I227),0)</x:f>
        <x:v>1250.2932548502974</x:v>
      </x:c>
      <x:c r="K227" s="141" t="n">
        <x:f>H227+I227</x:f>
        <x:v>869.3408738979159</x:v>
      </x:c>
      <x:c r="L227" s="141" t="n">
        <x:f>SUM($J$6:J227)</x:f>
        <x:v>366239.2280922921</x:v>
      </x:c>
      <x:c r="M227" s="141" t="n">
        <x:f>MAX(0,E227-G227)</x:f>
        <x:v>75428.57142857155</x:v>
      </x:c>
    </x:row>
    <x:row r="228">
      <x:c r="A228" s="142" t="n">
        <x:v>223</x:v>
      </x:c>
      <x:c r="B228" s="179" t="n">
        <x:f>EDATE(Premissas!$B$4,222)</x:f>
        <x:v>53297</x:v>
      </x:c>
      <x:c r="C228" s="141" t="n">
        <x:f>M227</x:f>
        <x:v>75428.57142857155</x:v>
      </x:c>
      <x:c r="D228" s="141" t="n">
        <x:f>IF(C228&gt;0,C228*Premissas!$B$17,0)</x:f>
        <x:v>0</x:v>
      </x:c>
      <x:c r="E228" s="141" t="n">
        <x:f>C228+D228</x:f>
        <x:v>75428.57142857155</x:v>
      </x:c>
      <x:c r="F228" s="142" t="n">
        <x:f>MAX(0,Premissas!$B$13-A228+1)</x:f>
        <x:v>198</x:v>
      </x:c>
      <x:c r="G228" s="141" t="n">
        <x:f>IF(AND(E228&gt;0,F228&gt;0),IF(Premissas!$B$19="PRICE",MAX(0,MIN(E228,IF(Premissas!$B$15=0,E228/F228,E228*Premissas!$B$15/(1-(1+Premissas!$B$15)^(-F228)))-H228)),MIN(E228,E228/F228)),0)</x:f>
        <x:v>380.9523809523816</x:v>
      </x:c>
      <x:c r="H228" s="141" t="n">
        <x:f>IF(AND(E228&gt;0,F228&gt;0),E228*Premissas!$B$15,0)</x:f>
        <x:v>715.7260956371223</x:v>
      </x:c>
      <x:c r="I228" s="141" t="n">
        <x:f>IF(AND(E228&gt;0,F228&gt;0),Premissas!$B$18,0)</x:f>
        <x:v>150</x:v>
      </x:c>
      <x:c r="J228" s="141" t="n">
        <x:f>IF(AND(E228&gt;0,F228&gt;0),IF(Premissas!$B$19="PRICE",IF(Premissas!$B$15=0,E228/F228,E228*Premissas!$B$15/(1-(1+Premissas!$B$15)^(-F228)))+I228,G228+H228+I228),0)</x:f>
        <x:v>1246.6784765895038</x:v>
      </x:c>
      <x:c r="K228" s="141" t="n">
        <x:f>H228+I228</x:f>
        <x:v>865.7260956371223</x:v>
      </x:c>
      <x:c r="L228" s="141" t="n">
        <x:f>SUM($J$6:J228)</x:f>
        <x:v>367485.9065688816</x:v>
      </x:c>
      <x:c r="M228" s="141" t="n">
        <x:f>MAX(0,E228-G228)</x:f>
        <x:v>75047.61904761917</x:v>
      </x:c>
    </x:row>
    <x:row r="229">
      <x:c r="A229" s="142" t="n">
        <x:v>224</x:v>
      </x:c>
      <x:c r="B229" s="179" t="n">
        <x:f>EDATE(Premissas!$B$4,223)</x:f>
        <x:v>53328</x:v>
      </x:c>
      <x:c r="C229" s="141" t="n">
        <x:f>M228</x:f>
        <x:v>75047.61904761917</x:v>
      </x:c>
      <x:c r="D229" s="141" t="n">
        <x:f>IF(C229&gt;0,C229*Premissas!$B$17,0)</x:f>
        <x:v>0</x:v>
      </x:c>
      <x:c r="E229" s="141" t="n">
        <x:f>C229+D229</x:f>
        <x:v>75047.61904761917</x:v>
      </x:c>
      <x:c r="F229" s="142" t="n">
        <x:f>MAX(0,Premissas!$B$13-A229+1)</x:f>
        <x:v>197</x:v>
      </x:c>
      <x:c r="G229" s="141" t="n">
        <x:f>IF(AND(E229&gt;0,F229&gt;0),IF(Premissas!$B$19="PRICE",MAX(0,MIN(E229,IF(Premissas!$B$15=0,E229/F229,E229*Premissas!$B$15/(1-(1+Premissas!$B$15)^(-F229)))-H229)),MIN(E229,E229/F229)),0)</x:f>
        <x:v>380.9523809523816</x:v>
      </x:c>
      <x:c r="H229" s="141" t="n">
        <x:f>IF(AND(E229&gt;0,F229&gt;0),E229*Premissas!$B$15,0)</x:f>
        <x:v>712.1113173763288</x:v>
      </x:c>
      <x:c r="I229" s="141" t="n">
        <x:f>IF(AND(E229&gt;0,F229&gt;0),Premissas!$B$18,0)</x:f>
        <x:v>150</x:v>
      </x:c>
      <x:c r="J229" s="141" t="n">
        <x:f>IF(AND(E229&gt;0,F229&gt;0),IF(Premissas!$B$19="PRICE",IF(Premissas!$B$15=0,E229/F229,E229*Premissas!$B$15/(1-(1+Premissas!$B$15)^(-F229)))+I229,G229+H229+I229),0)</x:f>
        <x:v>1243.0636983287104</x:v>
      </x:c>
      <x:c r="K229" s="141" t="n">
        <x:f>H229+I229</x:f>
        <x:v>862.1113173763288</x:v>
      </x:c>
      <x:c r="L229" s="141" t="n">
        <x:f>SUM($J$6:J229)</x:f>
        <x:v>368728.9702672103</x:v>
      </x:c>
      <x:c r="M229" s="141" t="n">
        <x:f>MAX(0,E229-G229)</x:f>
        <x:v>74666.66666666679</x:v>
      </x:c>
    </x:row>
    <x:row r="230">
      <x:c r="A230" s="142" t="n">
        <x:v>225</x:v>
      </x:c>
      <x:c r="B230" s="179" t="n">
        <x:f>EDATE(Premissas!$B$4,224)</x:f>
        <x:v>53359</x:v>
      </x:c>
      <x:c r="C230" s="141" t="n">
        <x:f>M229</x:f>
        <x:v>74666.66666666679</x:v>
      </x:c>
      <x:c r="D230" s="141" t="n">
        <x:f>IF(C230&gt;0,C230*Premissas!$B$17,0)</x:f>
        <x:v>0</x:v>
      </x:c>
      <x:c r="E230" s="141" t="n">
        <x:f>C230+D230</x:f>
        <x:v>74666.66666666679</x:v>
      </x:c>
      <x:c r="F230" s="142" t="n">
        <x:f>MAX(0,Premissas!$B$13-A230+1)</x:f>
        <x:v>196</x:v>
      </x:c>
      <x:c r="G230" s="141" t="n">
        <x:f>IF(AND(E230&gt;0,F230&gt;0),IF(Premissas!$B$19="PRICE",MAX(0,MIN(E230,IF(Premissas!$B$15=0,E230/F230,E230*Premissas!$B$15/(1-(1+Premissas!$B$15)^(-F230)))-H230)),MIN(E230,E230/F230)),0)</x:f>
        <x:v>380.9523809523816</x:v>
      </x:c>
      <x:c r="H230" s="141" t="n">
        <x:f>IF(AND(E230&gt;0,F230&gt;0),E230*Premissas!$B$15,0)</x:f>
        <x:v>708.4965391155353</x:v>
      </x:c>
      <x:c r="I230" s="141" t="n">
        <x:f>IF(AND(E230&gt;0,F230&gt;0),Premissas!$B$18,0)</x:f>
        <x:v>150</x:v>
      </x:c>
      <x:c r="J230" s="141" t="n">
        <x:f>IF(AND(E230&gt;0,F230&gt;0),IF(Premissas!$B$19="PRICE",IF(Premissas!$B$15=0,E230/F230,E230*Premissas!$B$15/(1-(1+Premissas!$B$15)^(-F230)))+I230,G230+H230+I230),0)</x:f>
        <x:v>1239.4489200679168</x:v>
      </x:c>
      <x:c r="K230" s="141" t="n">
        <x:f>H230+I230</x:f>
        <x:v>858.4965391155353</x:v>
      </x:c>
      <x:c r="L230" s="141" t="n">
        <x:f>SUM($J$6:J230)</x:f>
        <x:v>369968.4191872782</x:v>
      </x:c>
      <x:c r="M230" s="141" t="n">
        <x:f>MAX(0,E230-G230)</x:f>
        <x:v>74285.7142857144</x:v>
      </x:c>
    </x:row>
    <x:row r="231">
      <x:c r="A231" s="142" t="n">
        <x:v>226</x:v>
      </x:c>
      <x:c r="B231" s="179" t="n">
        <x:f>EDATE(Premissas!$B$4,225)</x:f>
        <x:v>53387</x:v>
      </x:c>
      <x:c r="C231" s="141" t="n">
        <x:f>M230</x:f>
        <x:v>74285.7142857144</x:v>
      </x:c>
      <x:c r="D231" s="141" t="n">
        <x:f>IF(C231&gt;0,C231*Premissas!$B$17,0)</x:f>
        <x:v>0</x:v>
      </x:c>
      <x:c r="E231" s="141" t="n">
        <x:f>C231+D231</x:f>
        <x:v>74285.7142857144</x:v>
      </x:c>
      <x:c r="F231" s="142" t="n">
        <x:f>MAX(0,Premissas!$B$13-A231+1)</x:f>
        <x:v>195</x:v>
      </x:c>
      <x:c r="G231" s="141" t="n">
        <x:f>IF(AND(E231&gt;0,F231&gt;0),IF(Premissas!$B$19="PRICE",MAX(0,MIN(E231,IF(Premissas!$B$15=0,E231/F231,E231*Premissas!$B$15/(1-(1+Premissas!$B$15)^(-F231)))-H231)),MIN(E231,E231/F231)),0)</x:f>
        <x:v>380.9523809523816</x:v>
      </x:c>
      <x:c r="H231" s="141" t="n">
        <x:f>IF(AND(E231&gt;0,F231&gt;0),E231*Premissas!$B$15,0)</x:f>
        <x:v>704.8817608547416</x:v>
      </x:c>
      <x:c r="I231" s="141" t="n">
        <x:f>IF(AND(E231&gt;0,F231&gt;0),Premissas!$B$18,0)</x:f>
        <x:v>150</x:v>
      </x:c>
      <x:c r="J231" s="141" t="n">
        <x:f>IF(AND(E231&gt;0,F231&gt;0),IF(Premissas!$B$19="PRICE",IF(Premissas!$B$15=0,E231/F231,E231*Premissas!$B$15/(1-(1+Premissas!$B$15)^(-F231)))+I231,G231+H231+I231),0)</x:f>
        <x:v>1235.8341418071232</x:v>
      </x:c>
      <x:c r="K231" s="141" t="n">
        <x:f>H231+I231</x:f>
        <x:v>854.8817608547416</x:v>
      </x:c>
      <x:c r="L231" s="141" t="n">
        <x:f>SUM($J$6:J231)</x:f>
        <x:v>371204.2533290853</x:v>
      </x:c>
      <x:c r="M231" s="141" t="n">
        <x:f>MAX(0,E231-G231)</x:f>
        <x:v>73904.76190476202</x:v>
      </x:c>
    </x:row>
    <x:row r="232">
      <x:c r="A232" s="142" t="n">
        <x:v>227</x:v>
      </x:c>
      <x:c r="B232" s="179" t="n">
        <x:f>EDATE(Premissas!$B$4,226)</x:f>
        <x:v>53418</x:v>
      </x:c>
      <x:c r="C232" s="141" t="n">
        <x:f>M231</x:f>
        <x:v>73904.76190476202</x:v>
      </x:c>
      <x:c r="D232" s="141" t="n">
        <x:f>IF(C232&gt;0,C232*Premissas!$B$17,0)</x:f>
        <x:v>0</x:v>
      </x:c>
      <x:c r="E232" s="141" t="n">
        <x:f>C232+D232</x:f>
        <x:v>73904.76190476202</x:v>
      </x:c>
      <x:c r="F232" s="142" t="n">
        <x:f>MAX(0,Premissas!$B$13-A232+1)</x:f>
        <x:v>194</x:v>
      </x:c>
      <x:c r="G232" s="141" t="n">
        <x:f>IF(AND(E232&gt;0,F232&gt;0),IF(Premissas!$B$19="PRICE",MAX(0,MIN(E232,IF(Premissas!$B$15=0,E232/F232,E232*Premissas!$B$15/(1-(1+Premissas!$B$15)^(-F232)))-H232)),MIN(E232,E232/F232)),0)</x:f>
        <x:v>380.9523809523816</x:v>
      </x:c>
      <x:c r="H232" s="141" t="n">
        <x:f>IF(AND(E232&gt;0,F232&gt;0),E232*Premissas!$B$15,0)</x:f>
        <x:v>701.2669825939481</x:v>
      </x:c>
      <x:c r="I232" s="141" t="n">
        <x:f>IF(AND(E232&gt;0,F232&gt;0),Premissas!$B$18,0)</x:f>
        <x:v>150</x:v>
      </x:c>
      <x:c r="J232" s="141" t="n">
        <x:f>IF(AND(E232&gt;0,F232&gt;0),IF(Premissas!$B$19="PRICE",IF(Premissas!$B$15=0,E232/F232,E232*Premissas!$B$15/(1-(1+Premissas!$B$15)^(-F232)))+I232,G232+H232+I232),0)</x:f>
        <x:v>1232.2193635463298</x:v>
      </x:c>
      <x:c r="K232" s="141" t="n">
        <x:f>H232+I232</x:f>
        <x:v>851.2669825939481</x:v>
      </x:c>
      <x:c r="L232" s="141" t="n">
        <x:f>SUM($J$6:J232)</x:f>
        <x:v>372436.47269263165</x:v>
      </x:c>
      <x:c r="M232" s="141" t="n">
        <x:f>MAX(0,E232-G232)</x:f>
        <x:v>73523.80952380964</x:v>
      </x:c>
    </x:row>
    <x:row r="233">
      <x:c r="A233" s="142" t="n">
        <x:v>228</x:v>
      </x:c>
      <x:c r="B233" s="179" t="n">
        <x:f>EDATE(Premissas!$B$4,227)</x:f>
        <x:v>53448</x:v>
      </x:c>
      <x:c r="C233" s="141" t="n">
        <x:f>M232</x:f>
        <x:v>73523.80952380964</x:v>
      </x:c>
      <x:c r="D233" s="141" t="n">
        <x:f>IF(C233&gt;0,C233*Premissas!$B$17,0)</x:f>
        <x:v>0</x:v>
      </x:c>
      <x:c r="E233" s="141" t="n">
        <x:f>C233+D233</x:f>
        <x:v>73523.80952380964</x:v>
      </x:c>
      <x:c r="F233" s="142" t="n">
        <x:f>MAX(0,Premissas!$B$13-A233+1)</x:f>
        <x:v>193</x:v>
      </x:c>
      <x:c r="G233" s="141" t="n">
        <x:f>IF(AND(E233&gt;0,F233&gt;0),IF(Premissas!$B$19="PRICE",MAX(0,MIN(E233,IF(Premissas!$B$15=0,E233/F233,E233*Premissas!$B$15/(1-(1+Premissas!$B$15)^(-F233)))-H233)),MIN(E233,E233/F233)),0)</x:f>
        <x:v>380.9523809523816</x:v>
      </x:c>
      <x:c r="H233" s="141" t="n">
        <x:f>IF(AND(E233&gt;0,F233&gt;0),E233*Premissas!$B$15,0)</x:f>
        <x:v>697.6522043331546</x:v>
      </x:c>
      <x:c r="I233" s="141" t="n">
        <x:f>IF(AND(E233&gt;0,F233&gt;0),Premissas!$B$18,0)</x:f>
        <x:v>150</x:v>
      </x:c>
      <x:c r="J233" s="141" t="n">
        <x:f>IF(AND(E233&gt;0,F233&gt;0),IF(Premissas!$B$19="PRICE",IF(Premissas!$B$15=0,E233/F233,E233*Premissas!$B$15/(1-(1+Premissas!$B$15)^(-F233)))+I233,G233+H233+I233),0)</x:f>
        <x:v>1228.6045852855361</x:v>
      </x:c>
      <x:c r="K233" s="141" t="n">
        <x:f>H233+I233</x:f>
        <x:v>847.6522043331546</x:v>
      </x:c>
      <x:c r="L233" s="141" t="n">
        <x:f>SUM($J$6:J233)</x:f>
        <x:v>373665.0772779172</x:v>
      </x:c>
      <x:c r="M233" s="141" t="n">
        <x:f>MAX(0,E233-G233)</x:f>
        <x:v>73142.85714285726</x:v>
      </x:c>
    </x:row>
    <x:row r="234">
      <x:c r="A234" s="142" t="n">
        <x:v>229</x:v>
      </x:c>
      <x:c r="B234" s="179" t="n">
        <x:f>EDATE(Premissas!$B$4,228)</x:f>
        <x:v>53479</x:v>
      </x:c>
      <x:c r="C234" s="141" t="n">
        <x:f>M233</x:f>
        <x:v>73142.85714285726</x:v>
      </x:c>
      <x:c r="D234" s="141" t="n">
        <x:f>IF(C234&gt;0,C234*Premissas!$B$17,0)</x:f>
        <x:v>0</x:v>
      </x:c>
      <x:c r="E234" s="141" t="n">
        <x:f>C234+D234</x:f>
        <x:v>73142.85714285726</x:v>
      </x:c>
      <x:c r="F234" s="142" t="n">
        <x:f>MAX(0,Premissas!$B$13-A234+1)</x:f>
        <x:v>192</x:v>
      </x:c>
      <x:c r="G234" s="141" t="n">
        <x:f>IF(AND(E234&gt;0,F234&gt;0),IF(Premissas!$B$19="PRICE",MAX(0,MIN(E234,IF(Premissas!$B$15=0,E234/F234,E234*Premissas!$B$15/(1-(1+Premissas!$B$15)^(-F234)))-H234)),MIN(E234,E234/F234)),0)</x:f>
        <x:v>380.9523809523816</x:v>
      </x:c>
      <x:c r="H234" s="141" t="n">
        <x:f>IF(AND(E234&gt;0,F234&gt;0),E234*Premissas!$B$15,0)</x:f>
        <x:v>694.0374260723611</x:v>
      </x:c>
      <x:c r="I234" s="141" t="n">
        <x:f>IF(AND(E234&gt;0,F234&gt;0),Premissas!$B$18,0)</x:f>
        <x:v>150</x:v>
      </x:c>
      <x:c r="J234" s="141" t="n">
        <x:f>IF(AND(E234&gt;0,F234&gt;0),IF(Premissas!$B$19="PRICE",IF(Premissas!$B$15=0,E234/F234,E234*Premissas!$B$15/(1-(1+Premissas!$B$15)^(-F234)))+I234,G234+H234+I234),0)</x:f>
        <x:v>1224.9898070247427</x:v>
      </x:c>
      <x:c r="K234" s="141" t="n">
        <x:f>H234+I234</x:f>
        <x:v>844.0374260723611</x:v>
      </x:c>
      <x:c r="L234" s="141" t="n">
        <x:f>SUM($J$6:J234)</x:f>
        <x:v>374890.0670849419</x:v>
      </x:c>
      <x:c r="M234" s="141" t="n">
        <x:f>MAX(0,E234-G234)</x:f>
        <x:v>72761.90476190488</x:v>
      </x:c>
    </x:row>
    <x:row r="235">
      <x:c r="A235" s="142" t="n">
        <x:v>230</x:v>
      </x:c>
      <x:c r="B235" s="179" t="n">
        <x:f>EDATE(Premissas!$B$4,229)</x:f>
        <x:v>53509</x:v>
      </x:c>
      <x:c r="C235" s="141" t="n">
        <x:f>M234</x:f>
        <x:v>72761.90476190488</x:v>
      </x:c>
      <x:c r="D235" s="141" t="n">
        <x:f>IF(C235&gt;0,C235*Premissas!$B$17,0)</x:f>
        <x:v>0</x:v>
      </x:c>
      <x:c r="E235" s="141" t="n">
        <x:f>C235+D235</x:f>
        <x:v>72761.90476190488</x:v>
      </x:c>
      <x:c r="F235" s="142" t="n">
        <x:f>MAX(0,Premissas!$B$13-A235+1)</x:f>
        <x:v>191</x:v>
      </x:c>
      <x:c r="G235" s="141" t="n">
        <x:f>IF(AND(E235&gt;0,F235&gt;0),IF(Premissas!$B$19="PRICE",MAX(0,MIN(E235,IF(Premissas!$B$15=0,E235/F235,E235*Premissas!$B$15/(1-(1+Premissas!$B$15)^(-F235)))-H235)),MIN(E235,E235/F235)),0)</x:f>
        <x:v>380.9523809523816</x:v>
      </x:c>
      <x:c r="H235" s="141" t="n">
        <x:f>IF(AND(E235&gt;0,F235&gt;0),E235*Premissas!$B$15,0)</x:f>
        <x:v>690.4226478115675</x:v>
      </x:c>
      <x:c r="I235" s="141" t="n">
        <x:f>IF(AND(E235&gt;0,F235&gt;0),Premissas!$B$18,0)</x:f>
        <x:v>150</x:v>
      </x:c>
      <x:c r="J235" s="141" t="n">
        <x:f>IF(AND(E235&gt;0,F235&gt;0),IF(Premissas!$B$19="PRICE",IF(Premissas!$B$15=0,E235/F235,E235*Premissas!$B$15/(1-(1+Premissas!$B$15)^(-F235)))+I235,G235+H235+I235),0)</x:f>
        <x:v>1221.375028763949</x:v>
      </x:c>
      <x:c r="K235" s="141" t="n">
        <x:f>H235+I235</x:f>
        <x:v>840.4226478115675</x:v>
      </x:c>
      <x:c r="L235" s="141" t="n">
        <x:f>SUM($J$6:J235)</x:f>
        <x:v>376111.44211370585</x:v>
      </x:c>
      <x:c r="M235" s="141" t="n">
        <x:f>MAX(0,E235-G235)</x:f>
        <x:v>72380.9523809525</x:v>
      </x:c>
    </x:row>
    <x:row r="236">
      <x:c r="A236" s="142" t="n">
        <x:v>231</x:v>
      </x:c>
      <x:c r="B236" s="179" t="n">
        <x:f>EDATE(Premissas!$B$4,230)</x:f>
        <x:v>53540</x:v>
      </x:c>
      <x:c r="C236" s="141" t="n">
        <x:f>M235</x:f>
        <x:v>72380.9523809525</x:v>
      </x:c>
      <x:c r="D236" s="141" t="n">
        <x:f>IF(C236&gt;0,C236*Premissas!$B$17,0)</x:f>
        <x:v>0</x:v>
      </x:c>
      <x:c r="E236" s="141" t="n">
        <x:f>C236+D236</x:f>
        <x:v>72380.9523809525</x:v>
      </x:c>
      <x:c r="F236" s="142" t="n">
        <x:f>MAX(0,Premissas!$B$13-A236+1)</x:f>
        <x:v>190</x:v>
      </x:c>
      <x:c r="G236" s="141" t="n">
        <x:f>IF(AND(E236&gt;0,F236&gt;0),IF(Premissas!$B$19="PRICE",MAX(0,MIN(E236,IF(Premissas!$B$15=0,E236/F236,E236*Premissas!$B$15/(1-(1+Premissas!$B$15)^(-F236)))-H236)),MIN(E236,E236/F236)),0)</x:f>
        <x:v>380.9523809523816</x:v>
      </x:c>
      <x:c r="H236" s="141" t="n">
        <x:f>IF(AND(E236&gt;0,F236&gt;0),E236*Premissas!$B$15,0)</x:f>
        <x:v>686.807869550774</x:v>
      </x:c>
      <x:c r="I236" s="141" t="n">
        <x:f>IF(AND(E236&gt;0,F236&gt;0),Premissas!$B$18,0)</x:f>
        <x:v>150</x:v>
      </x:c>
      <x:c r="J236" s="141" t="n">
        <x:f>IF(AND(E236&gt;0,F236&gt;0),IF(Premissas!$B$19="PRICE",IF(Premissas!$B$15=0,E236/F236,E236*Premissas!$B$15/(1-(1+Premissas!$B$15)^(-F236)))+I236,G236+H236+I236),0)</x:f>
        <x:v>1217.7602505031555</x:v>
      </x:c>
      <x:c r="K236" s="141" t="n">
        <x:f>H236+I236</x:f>
        <x:v>836.807869550774</x:v>
      </x:c>
      <x:c r="L236" s="141" t="n">
        <x:f>SUM($J$6:J236)</x:f>
        <x:v>377329.202364209</x:v>
      </x:c>
      <x:c r="M236" s="141" t="n">
        <x:f>MAX(0,E236-G236)</x:f>
        <x:v>72000.00000000012</x:v>
      </x:c>
    </x:row>
    <x:row r="237">
      <x:c r="A237" s="142" t="n">
        <x:v>232</x:v>
      </x:c>
      <x:c r="B237" s="179" t="n">
        <x:f>EDATE(Premissas!$B$4,231)</x:f>
        <x:v>53571</x:v>
      </x:c>
      <x:c r="C237" s="141" t="n">
        <x:f>M236</x:f>
        <x:v>72000.00000000012</x:v>
      </x:c>
      <x:c r="D237" s="141" t="n">
        <x:f>IF(C237&gt;0,C237*Premissas!$B$17,0)</x:f>
        <x:v>0</x:v>
      </x:c>
      <x:c r="E237" s="141" t="n">
        <x:f>C237+D237</x:f>
        <x:v>72000.00000000012</x:v>
      </x:c>
      <x:c r="F237" s="142" t="n">
        <x:f>MAX(0,Premissas!$B$13-A237+1)</x:f>
        <x:v>189</x:v>
      </x:c>
      <x:c r="G237" s="141" t="n">
        <x:f>IF(AND(E237&gt;0,F237&gt;0),IF(Premissas!$B$19="PRICE",MAX(0,MIN(E237,IF(Premissas!$B$15=0,E237/F237,E237*Premissas!$B$15/(1-(1+Premissas!$B$15)^(-F237)))-H237)),MIN(E237,E237/F237)),0)</x:f>
        <x:v>380.9523809523816</x:v>
      </x:c>
      <x:c r="H237" s="141" t="n">
        <x:f>IF(AND(E237&gt;0,F237&gt;0),E237*Premissas!$B$15,0)</x:f>
        <x:v>683.1930912899804</x:v>
      </x:c>
      <x:c r="I237" s="141" t="n">
        <x:f>IF(AND(E237&gt;0,F237&gt;0),Premissas!$B$18,0)</x:f>
        <x:v>150</x:v>
      </x:c>
      <x:c r="J237" s="141" t="n">
        <x:f>IF(AND(E237&gt;0,F237&gt;0),IF(Premissas!$B$19="PRICE",IF(Premissas!$B$15=0,E237/F237,E237*Premissas!$B$15/(1-(1+Premissas!$B$15)^(-F237)))+I237,G237+H237+I237),0)</x:f>
        <x:v>1214.145472242362</x:v>
      </x:c>
      <x:c r="K237" s="141" t="n">
        <x:f>H237+I237</x:f>
        <x:v>833.1930912899804</x:v>
      </x:c>
      <x:c r="L237" s="141" t="n">
        <x:f>SUM($J$6:J237)</x:f>
        <x:v>378543.3478364514</x:v>
      </x:c>
      <x:c r="M237" s="141" t="n">
        <x:f>MAX(0,E237-G237)</x:f>
        <x:v>71619.04761904773</x:v>
      </x:c>
    </x:row>
    <x:row r="238">
      <x:c r="A238" s="142" t="n">
        <x:v>233</x:v>
      </x:c>
      <x:c r="B238" s="179" t="n">
        <x:f>EDATE(Premissas!$B$4,232)</x:f>
        <x:v>53601</x:v>
      </x:c>
      <x:c r="C238" s="141" t="n">
        <x:f>M237</x:f>
        <x:v>71619.04761904773</x:v>
      </x:c>
      <x:c r="D238" s="141" t="n">
        <x:f>IF(C238&gt;0,C238*Premissas!$B$17,0)</x:f>
        <x:v>0</x:v>
      </x:c>
      <x:c r="E238" s="141" t="n">
        <x:f>C238+D238</x:f>
        <x:v>71619.04761904773</x:v>
      </x:c>
      <x:c r="F238" s="142" t="n">
        <x:f>MAX(0,Premissas!$B$13-A238+1)</x:f>
        <x:v>188</x:v>
      </x:c>
      <x:c r="G238" s="141" t="n">
        <x:f>IF(AND(E238&gt;0,F238&gt;0),IF(Premissas!$B$19="PRICE",MAX(0,MIN(E238,IF(Premissas!$B$15=0,E238/F238,E238*Premissas!$B$15/(1-(1+Premissas!$B$15)^(-F238)))-H238)),MIN(E238,E238/F238)),0)</x:f>
        <x:v>380.9523809523816</x:v>
      </x:c>
      <x:c r="H238" s="141" t="n">
        <x:f>IF(AND(E238&gt;0,F238&gt;0),E238*Premissas!$B$15,0)</x:f>
        <x:v>679.5783130291868</x:v>
      </x:c>
      <x:c r="I238" s="141" t="n">
        <x:f>IF(AND(E238&gt;0,F238&gt;0),Premissas!$B$18,0)</x:f>
        <x:v>150</x:v>
      </x:c>
      <x:c r="J238" s="141" t="n">
        <x:f>IF(AND(E238&gt;0,F238&gt;0),IF(Premissas!$B$19="PRICE",IF(Premissas!$B$15=0,E238/F238,E238*Premissas!$B$15/(1-(1+Premissas!$B$15)^(-F238)))+I238,G238+H238+I238),0)</x:f>
        <x:v>1210.5306939815684</x:v>
      </x:c>
      <x:c r="K238" s="141" t="n">
        <x:f>H238+I238</x:f>
        <x:v>829.5783130291868</x:v>
      </x:c>
      <x:c r="L238" s="141" t="n">
        <x:f>SUM($J$6:J238)</x:f>
        <x:v>379753.87853043294</x:v>
      </x:c>
      <x:c r="M238" s="141" t="n">
        <x:f>MAX(0,E238-G238)</x:f>
        <x:v>71238.09523809535</x:v>
      </x:c>
    </x:row>
    <x:row r="239">
      <x:c r="A239" s="142" t="n">
        <x:v>234</x:v>
      </x:c>
      <x:c r="B239" s="179" t="n">
        <x:f>EDATE(Premissas!$B$4,233)</x:f>
        <x:v>53632</x:v>
      </x:c>
      <x:c r="C239" s="141" t="n">
        <x:f>M238</x:f>
        <x:v>71238.09523809535</x:v>
      </x:c>
      <x:c r="D239" s="141" t="n">
        <x:f>IF(C239&gt;0,C239*Premissas!$B$17,0)</x:f>
        <x:v>0</x:v>
      </x:c>
      <x:c r="E239" s="141" t="n">
        <x:f>C239+D239</x:f>
        <x:v>71238.09523809535</x:v>
      </x:c>
      <x:c r="F239" s="142" t="n">
        <x:f>MAX(0,Premissas!$B$13-A239+1)</x:f>
        <x:v>187</x:v>
      </x:c>
      <x:c r="G239" s="141" t="n">
        <x:f>IF(AND(E239&gt;0,F239&gt;0),IF(Premissas!$B$19="PRICE",MAX(0,MIN(E239,IF(Premissas!$B$15=0,E239/F239,E239*Premissas!$B$15/(1-(1+Premissas!$B$15)^(-F239)))-H239)),MIN(E239,E239/F239)),0)</x:f>
        <x:v>380.9523809523816</x:v>
      </x:c>
      <x:c r="H239" s="141" t="n">
        <x:f>IF(AND(E239&gt;0,F239&gt;0),E239*Premissas!$B$15,0)</x:f>
        <x:v>675.9635347683933</x:v>
      </x:c>
      <x:c r="I239" s="141" t="n">
        <x:f>IF(AND(E239&gt;0,F239&gt;0),Premissas!$B$18,0)</x:f>
        <x:v>150</x:v>
      </x:c>
      <x:c r="J239" s="141" t="n">
        <x:f>IF(AND(E239&gt;0,F239&gt;0),IF(Premissas!$B$19="PRICE",IF(Premissas!$B$15=0,E239/F239,E239*Premissas!$B$15/(1-(1+Premissas!$B$15)^(-F239)))+I239,G239+H239+I239),0)</x:f>
        <x:v>1206.9159157207748</x:v>
      </x:c>
      <x:c r="K239" s="141" t="n">
        <x:f>H239+I239</x:f>
        <x:v>825.9635347683933</x:v>
      </x:c>
      <x:c r="L239" s="141" t="n">
        <x:f>SUM($J$6:J239)</x:f>
        <x:v>380960.7944461537</x:v>
      </x:c>
      <x:c r="M239" s="141" t="n">
        <x:f>MAX(0,E239-G239)</x:f>
        <x:v>70857.14285714297</x:v>
      </x:c>
    </x:row>
    <x:row r="240">
      <x:c r="A240" s="142" t="n">
        <x:v>235</x:v>
      </x:c>
      <x:c r="B240" s="179" t="n">
        <x:f>EDATE(Premissas!$B$4,234)</x:f>
        <x:v>53662</x:v>
      </x:c>
      <x:c r="C240" s="141" t="n">
        <x:f>M239</x:f>
        <x:v>70857.14285714297</x:v>
      </x:c>
      <x:c r="D240" s="141" t="n">
        <x:f>IF(C240&gt;0,C240*Premissas!$B$17,0)</x:f>
        <x:v>0</x:v>
      </x:c>
      <x:c r="E240" s="141" t="n">
        <x:f>C240+D240</x:f>
        <x:v>70857.14285714297</x:v>
      </x:c>
      <x:c r="F240" s="142" t="n">
        <x:f>MAX(0,Premissas!$B$13-A240+1)</x:f>
        <x:v>186</x:v>
      </x:c>
      <x:c r="G240" s="141" t="n">
        <x:f>IF(AND(E240&gt;0,F240&gt;0),IF(Premissas!$B$19="PRICE",MAX(0,MIN(E240,IF(Premissas!$B$15=0,E240/F240,E240*Premissas!$B$15/(1-(1+Premissas!$B$15)^(-F240)))-H240)),MIN(E240,E240/F240)),0)</x:f>
        <x:v>380.9523809523816</x:v>
      </x:c>
      <x:c r="H240" s="141" t="n">
        <x:f>IF(AND(E240&gt;0,F240&gt;0),E240*Premissas!$B$15,0)</x:f>
        <x:v>672.3487565075998</x:v>
      </x:c>
      <x:c r="I240" s="141" t="n">
        <x:f>IF(AND(E240&gt;0,F240&gt;0),Premissas!$B$18,0)</x:f>
        <x:v>150</x:v>
      </x:c>
      <x:c r="J240" s="141" t="n">
        <x:f>IF(AND(E240&gt;0,F240&gt;0),IF(Premissas!$B$19="PRICE",IF(Premissas!$B$15=0,E240/F240,E240*Premissas!$B$15/(1-(1+Premissas!$B$15)^(-F240)))+I240,G240+H240+I240),0)</x:f>
        <x:v>1203.3011374599814</x:v>
      </x:c>
      <x:c r="K240" s="141" t="n">
        <x:f>H240+I240</x:f>
        <x:v>822.3487565075998</x:v>
      </x:c>
      <x:c r="L240" s="141" t="n">
        <x:f>SUM($J$6:J240)</x:f>
        <x:v>382164.0955836137</x:v>
      </x:c>
      <x:c r="M240" s="141" t="n">
        <x:f>MAX(0,E240-G240)</x:f>
        <x:v>70476.19047619059</x:v>
      </x:c>
    </x:row>
    <x:row r="241">
      <x:c r="A241" s="142" t="n">
        <x:v>236</x:v>
      </x:c>
      <x:c r="B241" s="179" t="n">
        <x:f>EDATE(Premissas!$B$4,235)</x:f>
        <x:v>53693</x:v>
      </x:c>
      <x:c r="C241" s="141" t="n">
        <x:f>M240</x:f>
        <x:v>70476.19047619059</x:v>
      </x:c>
      <x:c r="D241" s="141" t="n">
        <x:f>IF(C241&gt;0,C241*Premissas!$B$17,0)</x:f>
        <x:v>0</x:v>
      </x:c>
      <x:c r="E241" s="141" t="n">
        <x:f>C241+D241</x:f>
        <x:v>70476.19047619059</x:v>
      </x:c>
      <x:c r="F241" s="142" t="n">
        <x:f>MAX(0,Premissas!$B$13-A241+1)</x:f>
        <x:v>185</x:v>
      </x:c>
      <x:c r="G241" s="141" t="n">
        <x:f>IF(AND(E241&gt;0,F241&gt;0),IF(Premissas!$B$19="PRICE",MAX(0,MIN(E241,IF(Premissas!$B$15=0,E241/F241,E241*Premissas!$B$15/(1-(1+Premissas!$B$15)^(-F241)))-H241)),MIN(E241,E241/F241)),0)</x:f>
        <x:v>380.9523809523816</x:v>
      </x:c>
      <x:c r="H241" s="141" t="n">
        <x:f>IF(AND(E241&gt;0,F241&gt;0),E241*Premissas!$B$15,0)</x:f>
        <x:v>668.7339782468063</x:v>
      </x:c>
      <x:c r="I241" s="141" t="n">
        <x:f>IF(AND(E241&gt;0,F241&gt;0),Premissas!$B$18,0)</x:f>
        <x:v>150</x:v>
      </x:c>
      <x:c r="J241" s="141" t="n">
        <x:f>IF(AND(E241&gt;0,F241&gt;0),IF(Premissas!$B$19="PRICE",IF(Premissas!$B$15=0,E241/F241,E241*Premissas!$B$15/(1-(1+Premissas!$B$15)^(-F241)))+I241,G241+H241+I241),0)</x:f>
        <x:v>1199.6863591991878</x:v>
      </x:c>
      <x:c r="K241" s="141" t="n">
        <x:f>H241+I241</x:f>
        <x:v>818.7339782468063</x:v>
      </x:c>
      <x:c r="L241" s="141" t="n">
        <x:f>SUM($J$6:J241)</x:f>
        <x:v>383363.78194281284</x:v>
      </x:c>
      <x:c r="M241" s="141" t="n">
        <x:f>MAX(0,E241-G241)</x:f>
        <x:v>70095.23809523821</x:v>
      </x:c>
    </x:row>
    <x:row r="242">
      <x:c r="A242" s="142" t="n">
        <x:v>237</x:v>
      </x:c>
      <x:c r="B242" s="179" t="n">
        <x:f>EDATE(Premissas!$B$4,236)</x:f>
        <x:v>53724</x:v>
      </x:c>
      <x:c r="C242" s="141" t="n">
        <x:f>M241</x:f>
        <x:v>70095.23809523821</x:v>
      </x:c>
      <x:c r="D242" s="141" t="n">
        <x:f>IF(C242&gt;0,C242*Premissas!$B$17,0)</x:f>
        <x:v>0</x:v>
      </x:c>
      <x:c r="E242" s="141" t="n">
        <x:f>C242+D242</x:f>
        <x:v>70095.23809523821</x:v>
      </x:c>
      <x:c r="F242" s="142" t="n">
        <x:f>MAX(0,Premissas!$B$13-A242+1)</x:f>
        <x:v>184</x:v>
      </x:c>
      <x:c r="G242" s="141" t="n">
        <x:f>IF(AND(E242&gt;0,F242&gt;0),IF(Premissas!$B$19="PRICE",MAX(0,MIN(E242,IF(Premissas!$B$15=0,E242/F242,E242*Premissas!$B$15/(1-(1+Premissas!$B$15)^(-F242)))-H242)),MIN(E242,E242/F242)),0)</x:f>
        <x:v>380.9523809523816</x:v>
      </x:c>
      <x:c r="H242" s="141" t="n">
        <x:f>IF(AND(E242&gt;0,F242&gt;0),E242*Premissas!$B$15,0)</x:f>
        <x:v>665.1191999860126</x:v>
      </x:c>
      <x:c r="I242" s="141" t="n">
        <x:f>IF(AND(E242&gt;0,F242&gt;0),Premissas!$B$18,0)</x:f>
        <x:v>150</x:v>
      </x:c>
      <x:c r="J242" s="141" t="n">
        <x:f>IF(AND(E242&gt;0,F242&gt;0),IF(Premissas!$B$19="PRICE",IF(Premissas!$B$15=0,E242/F242,E242*Premissas!$B$15/(1-(1+Premissas!$B$15)^(-F242)))+I242,G242+H242+I242),0)</x:f>
        <x:v>1196.0715809383942</x:v>
      </x:c>
      <x:c r="K242" s="141" t="n">
        <x:f>H242+I242</x:f>
        <x:v>815.1191999860126</x:v>
      </x:c>
      <x:c r="L242" s="141" t="n">
        <x:f>SUM($J$6:J242)</x:f>
        <x:v>384559.85352375126</x:v>
      </x:c>
      <x:c r="M242" s="141" t="n">
        <x:f>MAX(0,E242-G242)</x:f>
        <x:v>69714.28571428583</x:v>
      </x:c>
    </x:row>
    <x:row r="243">
      <x:c r="A243" s="142" t="n">
        <x:v>238</x:v>
      </x:c>
      <x:c r="B243" s="179" t="n">
        <x:f>EDATE(Premissas!$B$4,237)</x:f>
        <x:v>53752</x:v>
      </x:c>
      <x:c r="C243" s="141" t="n">
        <x:f>M242</x:f>
        <x:v>69714.28571428583</x:v>
      </x:c>
      <x:c r="D243" s="141" t="n">
        <x:f>IF(C243&gt;0,C243*Premissas!$B$17,0)</x:f>
        <x:v>0</x:v>
      </x:c>
      <x:c r="E243" s="141" t="n">
        <x:f>C243+D243</x:f>
        <x:v>69714.28571428583</x:v>
      </x:c>
      <x:c r="F243" s="142" t="n">
        <x:f>MAX(0,Premissas!$B$13-A243+1)</x:f>
        <x:v>183</x:v>
      </x:c>
      <x:c r="G243" s="141" t="n">
        <x:f>IF(AND(E243&gt;0,F243&gt;0),IF(Premissas!$B$19="PRICE",MAX(0,MIN(E243,IF(Premissas!$B$15=0,E243/F243,E243*Premissas!$B$15/(1-(1+Premissas!$B$15)^(-F243)))-H243)),MIN(E243,E243/F243)),0)</x:f>
        <x:v>380.9523809523816</x:v>
      </x:c>
      <x:c r="H243" s="141" t="n">
        <x:f>IF(AND(E243&gt;0,F243&gt;0),E243*Premissas!$B$15,0)</x:f>
        <x:v>661.5044217252191</x:v>
      </x:c>
      <x:c r="I243" s="141" t="n">
        <x:f>IF(AND(E243&gt;0,F243&gt;0),Premissas!$B$18,0)</x:f>
        <x:v>150</x:v>
      </x:c>
      <x:c r="J243" s="141" t="n">
        <x:f>IF(AND(E243&gt;0,F243&gt;0),IF(Premissas!$B$19="PRICE",IF(Premissas!$B$15=0,E243/F243,E243*Premissas!$B$15/(1-(1+Premissas!$B$15)^(-F243)))+I243,G243+H243+I243),0)</x:f>
        <x:v>1192.4568026776008</x:v>
      </x:c>
      <x:c r="K243" s="141" t="n">
        <x:f>H243+I243</x:f>
        <x:v>811.5044217252191</x:v>
      </x:c>
      <x:c r="L243" s="141" t="n">
        <x:f>SUM($J$6:J243)</x:f>
        <x:v>385752.31032642885</x:v>
      </x:c>
      <x:c r="M243" s="141" t="n">
        <x:f>MAX(0,E243-G243)</x:f>
        <x:v>69333.33333333344</x:v>
      </x:c>
    </x:row>
    <x:row r="244">
      <x:c r="A244" s="142" t="n">
        <x:v>239</x:v>
      </x:c>
      <x:c r="B244" s="179" t="n">
        <x:f>EDATE(Premissas!$B$4,238)</x:f>
        <x:v>53783</x:v>
      </x:c>
      <x:c r="C244" s="141" t="n">
        <x:f>M243</x:f>
        <x:v>69333.33333333344</x:v>
      </x:c>
      <x:c r="D244" s="141" t="n">
        <x:f>IF(C244&gt;0,C244*Premissas!$B$17,0)</x:f>
        <x:v>0</x:v>
      </x:c>
      <x:c r="E244" s="141" t="n">
        <x:f>C244+D244</x:f>
        <x:v>69333.33333333344</x:v>
      </x:c>
      <x:c r="F244" s="142" t="n">
        <x:f>MAX(0,Premissas!$B$13-A244+1)</x:f>
        <x:v>182</x:v>
      </x:c>
      <x:c r="G244" s="141" t="n">
        <x:f>IF(AND(E244&gt;0,F244&gt;0),IF(Premissas!$B$19="PRICE",MAX(0,MIN(E244,IF(Premissas!$B$15=0,E244/F244,E244*Premissas!$B$15/(1-(1+Premissas!$B$15)^(-F244)))-H244)),MIN(E244,E244/F244)),0)</x:f>
        <x:v>380.9523809523816</x:v>
      </x:c>
      <x:c r="H244" s="141" t="n">
        <x:f>IF(AND(E244&gt;0,F244&gt;0),E244*Premissas!$B$15,0)</x:f>
        <x:v>657.8896434644256</x:v>
      </x:c>
      <x:c r="I244" s="141" t="n">
        <x:f>IF(AND(E244&gt;0,F244&gt;0),Premissas!$B$18,0)</x:f>
        <x:v>150</x:v>
      </x:c>
      <x:c r="J244" s="141" t="n">
        <x:f>IF(AND(E244&gt;0,F244&gt;0),IF(Premissas!$B$19="PRICE",IF(Premissas!$B$15=0,E244/F244,E244*Premissas!$B$15/(1-(1+Premissas!$B$15)^(-F244)))+I244,G244+H244+I244),0)</x:f>
        <x:v>1188.8420244168071</x:v>
      </x:c>
      <x:c r="K244" s="141" t="n">
        <x:f>H244+I244</x:f>
        <x:v>807.8896434644256</x:v>
      </x:c>
      <x:c r="L244" s="141" t="n">
        <x:f>SUM($J$6:J244)</x:f>
        <x:v>386941.15235084563</x:v>
      </x:c>
      <x:c r="M244" s="141" t="n">
        <x:f>MAX(0,E244-G244)</x:f>
        <x:v>68952.38095238106</x:v>
      </x:c>
    </x:row>
    <x:row r="245">
      <x:c r="A245" s="142" t="n">
        <x:v>240</x:v>
      </x:c>
      <x:c r="B245" s="179" t="n">
        <x:f>EDATE(Premissas!$B$4,239)</x:f>
        <x:v>53813</x:v>
      </x:c>
      <x:c r="C245" s="141" t="n">
        <x:f>M244</x:f>
        <x:v>68952.38095238106</x:v>
      </x:c>
      <x:c r="D245" s="141" t="n">
        <x:f>IF(C245&gt;0,C245*Premissas!$B$17,0)</x:f>
        <x:v>0</x:v>
      </x:c>
      <x:c r="E245" s="141" t="n">
        <x:f>C245+D245</x:f>
        <x:v>68952.38095238106</x:v>
      </x:c>
      <x:c r="F245" s="142" t="n">
        <x:f>MAX(0,Premissas!$B$13-A245+1)</x:f>
        <x:v>181</x:v>
      </x:c>
      <x:c r="G245" s="141" t="n">
        <x:f>IF(AND(E245&gt;0,F245&gt;0),IF(Premissas!$B$19="PRICE",MAX(0,MIN(E245,IF(Premissas!$B$15=0,E245/F245,E245*Premissas!$B$15/(1-(1+Premissas!$B$15)^(-F245)))-H245)),MIN(E245,E245/F245)),0)</x:f>
        <x:v>380.9523809523816</x:v>
      </x:c>
      <x:c r="H245" s="141" t="n">
        <x:f>IF(AND(E245&gt;0,F245&gt;0),E245*Premissas!$B$15,0)</x:f>
        <x:v>654.274865203632</x:v>
      </x:c>
      <x:c r="I245" s="141" t="n">
        <x:f>IF(AND(E245&gt;0,F245&gt;0),Premissas!$B$18,0)</x:f>
        <x:v>150</x:v>
      </x:c>
      <x:c r="J245" s="141" t="n">
        <x:f>IF(AND(E245&gt;0,F245&gt;0),IF(Premissas!$B$19="PRICE",IF(Premissas!$B$15=0,E245/F245,E245*Premissas!$B$15/(1-(1+Premissas!$B$15)^(-F245)))+I245,G245+H245+I245),0)</x:f>
        <x:v>1185.2272461560135</x:v>
      </x:c>
      <x:c r="K245" s="141" t="n">
        <x:f>H245+I245</x:f>
        <x:v>804.274865203632</x:v>
      </x:c>
      <x:c r="L245" s="141" t="n">
        <x:f>SUM($J$6:J245)</x:f>
        <x:v>388126.37959700165</x:v>
      </x:c>
      <x:c r="M245" s="141" t="n">
        <x:f>MAX(0,E245-G245)</x:f>
        <x:v>68571.42857142868</x:v>
      </x:c>
    </x:row>
    <x:row r="246">
      <x:c r="A246" s="142" t="n">
        <x:v>241</x:v>
      </x:c>
      <x:c r="B246" s="179" t="n">
        <x:f>EDATE(Premissas!$B$4,240)</x:f>
        <x:v>53844</x:v>
      </x:c>
      <x:c r="C246" s="141" t="n">
        <x:f>M245</x:f>
        <x:v>68571.42857142868</x:v>
      </x:c>
      <x:c r="D246" s="141" t="n">
        <x:f>IF(C246&gt;0,C246*Premissas!$B$17,0)</x:f>
        <x:v>0</x:v>
      </x:c>
      <x:c r="E246" s="141" t="n">
        <x:f>C246+D246</x:f>
        <x:v>68571.42857142868</x:v>
      </x:c>
      <x:c r="F246" s="142" t="n">
        <x:f>MAX(0,Premissas!$B$13-A246+1)</x:f>
        <x:v>180</x:v>
      </x:c>
      <x:c r="G246" s="141" t="n">
        <x:f>IF(AND(E246&gt;0,F246&gt;0),IF(Premissas!$B$19="PRICE",MAX(0,MIN(E246,IF(Premissas!$B$15=0,E246/F246,E246*Premissas!$B$15/(1-(1+Premissas!$B$15)^(-F246)))-H246)),MIN(E246,E246/F246)),0)</x:f>
        <x:v>380.9523809523816</x:v>
      </x:c>
      <x:c r="H246" s="141" t="n">
        <x:f>IF(AND(E246&gt;0,F246&gt;0),E246*Premissas!$B$15,0)</x:f>
        <x:v>650.6600869428385</x:v>
      </x:c>
      <x:c r="I246" s="141" t="n">
        <x:f>IF(AND(E246&gt;0,F246&gt;0),Premissas!$B$18,0)</x:f>
        <x:v>150</x:v>
      </x:c>
      <x:c r="J246" s="141" t="n">
        <x:f>IF(AND(E246&gt;0,F246&gt;0),IF(Premissas!$B$19="PRICE",IF(Premissas!$B$15=0,E246/F246,E246*Premissas!$B$15/(1-(1+Premissas!$B$15)^(-F246)))+I246,G246+H246+I246),0)</x:f>
        <x:v>1181.61246789522</x:v>
      </x:c>
      <x:c r="K246" s="141" t="n">
        <x:f>H246+I246</x:f>
        <x:v>800.6600869428385</x:v>
      </x:c>
      <x:c r="L246" s="141" t="n">
        <x:f>SUM($J$6:J246)</x:f>
        <x:v>389307.99206489685</x:v>
      </x:c>
      <x:c r="M246" s="141" t="n">
        <x:f>MAX(0,E246-G246)</x:f>
        <x:v>68190.4761904763</x:v>
      </x:c>
    </x:row>
    <x:row r="247">
      <x:c r="A247" s="142" t="n">
        <x:v>242</x:v>
      </x:c>
      <x:c r="B247" s="179" t="n">
        <x:f>EDATE(Premissas!$B$4,241)</x:f>
        <x:v>53874</x:v>
      </x:c>
      <x:c r="C247" s="141" t="n">
        <x:f>M246</x:f>
        <x:v>68190.4761904763</x:v>
      </x:c>
      <x:c r="D247" s="141" t="n">
        <x:f>IF(C247&gt;0,C247*Premissas!$B$17,0)</x:f>
        <x:v>0</x:v>
      </x:c>
      <x:c r="E247" s="141" t="n">
        <x:f>C247+D247</x:f>
        <x:v>68190.4761904763</x:v>
      </x:c>
      <x:c r="F247" s="142" t="n">
        <x:f>MAX(0,Premissas!$B$13-A247+1)</x:f>
        <x:v>179</x:v>
      </x:c>
      <x:c r="G247" s="141" t="n">
        <x:f>IF(AND(E247&gt;0,F247&gt;0),IF(Premissas!$B$19="PRICE",MAX(0,MIN(E247,IF(Premissas!$B$15=0,E247/F247,E247*Premissas!$B$15/(1-(1+Premissas!$B$15)^(-F247)))-H247)),MIN(E247,E247/F247)),0)</x:f>
        <x:v>380.9523809523816</x:v>
      </x:c>
      <x:c r="H247" s="141" t="n">
        <x:f>IF(AND(E247&gt;0,F247&gt;0),E247*Premissas!$B$15,0)</x:f>
        <x:v>647.045308682045</x:v>
      </x:c>
      <x:c r="I247" s="141" t="n">
        <x:f>IF(AND(E247&gt;0,F247&gt;0),Premissas!$B$18,0)</x:f>
        <x:v>150</x:v>
      </x:c>
      <x:c r="J247" s="141" t="n">
        <x:f>IF(AND(E247&gt;0,F247&gt;0),IF(Premissas!$B$19="PRICE",IF(Premissas!$B$15=0,E247/F247,E247*Premissas!$B$15/(1-(1+Premissas!$B$15)^(-F247)))+I247,G247+H247+I247),0)</x:f>
        <x:v>1177.9976896344265</x:v>
      </x:c>
      <x:c r="K247" s="141" t="n">
        <x:f>H247+I247</x:f>
        <x:v>797.045308682045</x:v>
      </x:c>
      <x:c r="L247" s="141" t="n">
        <x:f>SUM($J$6:J247)</x:f>
        <x:v>390485.9897545313</x:v>
      </x:c>
      <x:c r="M247" s="141" t="n">
        <x:f>MAX(0,E247-G247)</x:f>
        <x:v>67809.52380952392</x:v>
      </x:c>
    </x:row>
    <x:row r="248">
      <x:c r="A248" s="142" t="n">
        <x:v>243</x:v>
      </x:c>
      <x:c r="B248" s="179" t="n">
        <x:f>EDATE(Premissas!$B$4,242)</x:f>
        <x:v>53905</x:v>
      </x:c>
      <x:c r="C248" s="141" t="n">
        <x:f>M247</x:f>
        <x:v>67809.52380952392</x:v>
      </x:c>
      <x:c r="D248" s="141" t="n">
        <x:f>IF(C248&gt;0,C248*Premissas!$B$17,0)</x:f>
        <x:v>0</x:v>
      </x:c>
      <x:c r="E248" s="141" t="n">
        <x:f>C248+D248</x:f>
        <x:v>67809.52380952392</x:v>
      </x:c>
      <x:c r="F248" s="142" t="n">
        <x:f>MAX(0,Premissas!$B$13-A248+1)</x:f>
        <x:v>178</x:v>
      </x:c>
      <x:c r="G248" s="141" t="n">
        <x:f>IF(AND(E248&gt;0,F248&gt;0),IF(Premissas!$B$19="PRICE",MAX(0,MIN(E248,IF(Premissas!$B$15=0,E248/F248,E248*Premissas!$B$15/(1-(1+Premissas!$B$15)^(-F248)))-H248)),MIN(E248,E248/F248)),0)</x:f>
        <x:v>380.9523809523816</x:v>
      </x:c>
      <x:c r="H248" s="141" t="n">
        <x:f>IF(AND(E248&gt;0,F248&gt;0),E248*Premissas!$B$15,0)</x:f>
        <x:v>643.4305304212513</x:v>
      </x:c>
      <x:c r="I248" s="141" t="n">
        <x:f>IF(AND(E248&gt;0,F248&gt;0),Premissas!$B$18,0)</x:f>
        <x:v>150</x:v>
      </x:c>
      <x:c r="J248" s="141" t="n">
        <x:f>IF(AND(E248&gt;0,F248&gt;0),IF(Premissas!$B$19="PRICE",IF(Premissas!$B$15=0,E248/F248,E248*Premissas!$B$15/(1-(1+Premissas!$B$15)^(-F248)))+I248,G248+H248+I248),0)</x:f>
        <x:v>1174.3829113736329</x:v>
      </x:c>
      <x:c r="K248" s="141" t="n">
        <x:f>H248+I248</x:f>
        <x:v>793.4305304212513</x:v>
      </x:c>
      <x:c r="L248" s="141" t="n">
        <x:f>SUM($J$6:J248)</x:f>
        <x:v>391660.3726659049</x:v>
      </x:c>
      <x:c r="M248" s="141" t="n">
        <x:f>MAX(0,E248-G248)</x:f>
        <x:v>67428.57142857154</x:v>
      </x:c>
    </x:row>
    <x:row r="249">
      <x:c r="A249" s="142" t="n">
        <x:v>244</x:v>
      </x:c>
      <x:c r="B249" s="179" t="n">
        <x:f>EDATE(Premissas!$B$4,243)</x:f>
        <x:v>53936</x:v>
      </x:c>
      <x:c r="C249" s="141" t="n">
        <x:f>M248</x:f>
        <x:v>67428.57142857154</x:v>
      </x:c>
      <x:c r="D249" s="141" t="n">
        <x:f>IF(C249&gt;0,C249*Premissas!$B$17,0)</x:f>
        <x:v>0</x:v>
      </x:c>
      <x:c r="E249" s="141" t="n">
        <x:f>C249+D249</x:f>
        <x:v>67428.57142857154</x:v>
      </x:c>
      <x:c r="F249" s="142" t="n">
        <x:f>MAX(0,Premissas!$B$13-A249+1)</x:f>
        <x:v>177</x:v>
      </x:c>
      <x:c r="G249" s="141" t="n">
        <x:f>IF(AND(E249&gt;0,F249&gt;0),IF(Premissas!$B$19="PRICE",MAX(0,MIN(E249,IF(Premissas!$B$15=0,E249/F249,E249*Premissas!$B$15/(1-(1+Premissas!$B$15)^(-F249)))-H249)),MIN(E249,E249/F249)),0)</x:f>
        <x:v>380.9523809523816</x:v>
      </x:c>
      <x:c r="H249" s="141" t="n">
        <x:f>IF(AND(E249&gt;0,F249&gt;0),E249*Premissas!$B$15,0)</x:f>
        <x:v>639.8157521604578</x:v>
      </x:c>
      <x:c r="I249" s="141" t="n">
        <x:f>IF(AND(E249&gt;0,F249&gt;0),Premissas!$B$18,0)</x:f>
        <x:v>150</x:v>
      </x:c>
      <x:c r="J249" s="141" t="n">
        <x:f>IF(AND(E249&gt;0,F249&gt;0),IF(Premissas!$B$19="PRICE",IF(Premissas!$B$15=0,E249/F249,E249*Premissas!$B$15/(1-(1+Premissas!$B$15)^(-F249)))+I249,G249+H249+I249),0)</x:f>
        <x:v>1170.7681331128395</x:v>
      </x:c>
      <x:c r="K249" s="141" t="n">
        <x:f>H249+I249</x:f>
        <x:v>789.8157521604578</x:v>
      </x:c>
      <x:c r="L249" s="141" t="n">
        <x:f>SUM($J$6:J249)</x:f>
        <x:v>392831.14079901774</x:v>
      </x:c>
      <x:c r="M249" s="141" t="n">
        <x:f>MAX(0,E249-G249)</x:f>
        <x:v>67047.61904761916</x:v>
      </x:c>
    </x:row>
    <x:row r="250">
      <x:c r="A250" s="142" t="n">
        <x:v>245</x:v>
      </x:c>
      <x:c r="B250" s="179" t="n">
        <x:f>EDATE(Premissas!$B$4,244)</x:f>
        <x:v>53966</x:v>
      </x:c>
      <x:c r="C250" s="141" t="n">
        <x:f>M249</x:f>
        <x:v>67047.61904761916</x:v>
      </x:c>
      <x:c r="D250" s="141" t="n">
        <x:f>IF(C250&gt;0,C250*Premissas!$B$17,0)</x:f>
        <x:v>0</x:v>
      </x:c>
      <x:c r="E250" s="141" t="n">
        <x:f>C250+D250</x:f>
        <x:v>67047.61904761916</x:v>
      </x:c>
      <x:c r="F250" s="142" t="n">
        <x:f>MAX(0,Premissas!$B$13-A250+1)</x:f>
        <x:v>176</x:v>
      </x:c>
      <x:c r="G250" s="141" t="n">
        <x:f>IF(AND(E250&gt;0,F250&gt;0),IF(Premissas!$B$19="PRICE",MAX(0,MIN(E250,IF(Premissas!$B$15=0,E250/F250,E250*Premissas!$B$15/(1-(1+Premissas!$B$15)^(-F250)))-H250)),MIN(E250,E250/F250)),0)</x:f>
        <x:v>380.9523809523816</x:v>
      </x:c>
      <x:c r="H250" s="141" t="n">
        <x:f>IF(AND(E250&gt;0,F250&gt;0),E250*Premissas!$B$15,0)</x:f>
        <x:v>636.2009738996643</x:v>
      </x:c>
      <x:c r="I250" s="141" t="n">
        <x:f>IF(AND(E250&gt;0,F250&gt;0),Premissas!$B$18,0)</x:f>
        <x:v>150</x:v>
      </x:c>
      <x:c r="J250" s="141" t="n">
        <x:f>IF(AND(E250&gt;0,F250&gt;0),IF(Premissas!$B$19="PRICE",IF(Premissas!$B$15=0,E250/F250,E250*Premissas!$B$15/(1-(1+Premissas!$B$15)^(-F250)))+I250,G250+H250+I250),0)</x:f>
        <x:v>1167.1533548520458</x:v>
      </x:c>
      <x:c r="K250" s="141" t="n">
        <x:f>H250+I250</x:f>
        <x:v>786.2009738996643</x:v>
      </x:c>
      <x:c r="L250" s="141" t="n">
        <x:f>SUM($J$6:J250)</x:f>
        <x:v>393998.2941538698</x:v>
      </x:c>
      <x:c r="M250" s="141" t="n">
        <x:f>MAX(0,E250-G250)</x:f>
        <x:v>66666.66666666677</x:v>
      </x:c>
    </x:row>
    <x:row r="251">
      <x:c r="A251" s="142" t="n">
        <x:v>246</x:v>
      </x:c>
      <x:c r="B251" s="179" t="n">
        <x:f>EDATE(Premissas!$B$4,245)</x:f>
        <x:v>53997</x:v>
      </x:c>
      <x:c r="C251" s="141" t="n">
        <x:f>M250</x:f>
        <x:v>66666.66666666677</x:v>
      </x:c>
      <x:c r="D251" s="141" t="n">
        <x:f>IF(C251&gt;0,C251*Premissas!$B$17,0)</x:f>
        <x:v>0</x:v>
      </x:c>
      <x:c r="E251" s="141" t="n">
        <x:f>C251+D251</x:f>
        <x:v>66666.66666666677</x:v>
      </x:c>
      <x:c r="F251" s="142" t="n">
        <x:f>MAX(0,Premissas!$B$13-A251+1)</x:f>
        <x:v>175</x:v>
      </x:c>
      <x:c r="G251" s="141" t="n">
        <x:f>IF(AND(E251&gt;0,F251&gt;0),IF(Premissas!$B$19="PRICE",MAX(0,MIN(E251,IF(Premissas!$B$15=0,E251/F251,E251*Premissas!$B$15/(1-(1+Premissas!$B$15)^(-F251)))-H251)),MIN(E251,E251/F251)),0)</x:f>
        <x:v>380.9523809523816</x:v>
      </x:c>
      <x:c r="H251" s="141" t="n">
        <x:f>IF(AND(E251&gt;0,F251&gt;0),E251*Premissas!$B$15,0)</x:f>
        <x:v>632.5861956388708</x:v>
      </x:c>
      <x:c r="I251" s="141" t="n">
        <x:f>IF(AND(E251&gt;0,F251&gt;0),Premissas!$B$18,0)</x:f>
        <x:v>150</x:v>
      </x:c>
      <x:c r="J251" s="141" t="n">
        <x:f>IF(AND(E251&gt;0,F251&gt;0),IF(Premissas!$B$19="PRICE",IF(Premissas!$B$15=0,E251/F251,E251*Premissas!$B$15/(1-(1+Premissas!$B$15)^(-F251)))+I251,G251+H251+I251),0)</x:f>
        <x:v>1163.5385765912524</x:v>
      </x:c>
      <x:c r="K251" s="141" t="n">
        <x:f>H251+I251</x:f>
        <x:v>782.5861956388708</x:v>
      </x:c>
      <x:c r="L251" s="141" t="n">
        <x:f>SUM($J$6:J251)</x:f>
        <x:v>395161.832730461</x:v>
      </x:c>
      <x:c r="M251" s="141" t="n">
        <x:f>MAX(0,E251-G251)</x:f>
        <x:v>66285.71428571439</x:v>
      </x:c>
    </x:row>
    <x:row r="252">
      <x:c r="A252" s="142" t="n">
        <x:v>247</x:v>
      </x:c>
      <x:c r="B252" s="179" t="n">
        <x:f>EDATE(Premissas!$B$4,246)</x:f>
        <x:v>54027</x:v>
      </x:c>
      <x:c r="C252" s="141" t="n">
        <x:f>M251</x:f>
        <x:v>66285.71428571439</x:v>
      </x:c>
      <x:c r="D252" s="141" t="n">
        <x:f>IF(C252&gt;0,C252*Premissas!$B$17,0)</x:f>
        <x:v>0</x:v>
      </x:c>
      <x:c r="E252" s="141" t="n">
        <x:f>C252+D252</x:f>
        <x:v>66285.71428571439</x:v>
      </x:c>
      <x:c r="F252" s="142" t="n">
        <x:f>MAX(0,Premissas!$B$13-A252+1)</x:f>
        <x:v>174</x:v>
      </x:c>
      <x:c r="G252" s="141" t="n">
        <x:f>IF(AND(E252&gt;0,F252&gt;0),IF(Premissas!$B$19="PRICE",MAX(0,MIN(E252,IF(Premissas!$B$15=0,E252/F252,E252*Premissas!$B$15/(1-(1+Premissas!$B$15)^(-F252)))-H252)),MIN(E252,E252/F252)),0)</x:f>
        <x:v>380.9523809523816</x:v>
      </x:c>
      <x:c r="H252" s="141" t="n">
        <x:f>IF(AND(E252&gt;0,F252&gt;0),E252*Premissas!$B$15,0)</x:f>
        <x:v>628.9714173780771</x:v>
      </x:c>
      <x:c r="I252" s="141" t="n">
        <x:f>IF(AND(E252&gt;0,F252&gt;0),Premissas!$B$18,0)</x:f>
        <x:v>150</x:v>
      </x:c>
      <x:c r="J252" s="141" t="n">
        <x:f>IF(AND(E252&gt;0,F252&gt;0),IF(Premissas!$B$19="PRICE",IF(Premissas!$B$15=0,E252/F252,E252*Premissas!$B$15/(1-(1+Premissas!$B$15)^(-F252)))+I252,G252+H252+I252),0)</x:f>
        <x:v>1159.9237983304588</x:v>
      </x:c>
      <x:c r="K252" s="141" t="n">
        <x:f>H252+I252</x:f>
        <x:v>778.9714173780771</x:v>
      </x:c>
      <x:c r="L252" s="141" t="n">
        <x:f>SUM($J$6:J252)</x:f>
        <x:v>396321.7565287915</x:v>
      </x:c>
      <x:c r="M252" s="141" t="n">
        <x:f>MAX(0,E252-G252)</x:f>
        <x:v>65904.76190476201</x:v>
      </x:c>
    </x:row>
    <x:row r="253">
      <x:c r="A253" s="142" t="n">
        <x:v>248</x:v>
      </x:c>
      <x:c r="B253" s="179" t="n">
        <x:f>EDATE(Premissas!$B$4,247)</x:f>
        <x:v>54058</x:v>
      </x:c>
      <x:c r="C253" s="141" t="n">
        <x:f>M252</x:f>
        <x:v>65904.76190476201</x:v>
      </x:c>
      <x:c r="D253" s="141" t="n">
        <x:f>IF(C253&gt;0,C253*Premissas!$B$17,0)</x:f>
        <x:v>0</x:v>
      </x:c>
      <x:c r="E253" s="141" t="n">
        <x:f>C253+D253</x:f>
        <x:v>65904.76190476201</x:v>
      </x:c>
      <x:c r="F253" s="142" t="n">
        <x:f>MAX(0,Premissas!$B$13-A253+1)</x:f>
        <x:v>173</x:v>
      </x:c>
      <x:c r="G253" s="141" t="n">
        <x:f>IF(AND(E253&gt;0,F253&gt;0),IF(Premissas!$B$19="PRICE",MAX(0,MIN(E253,IF(Premissas!$B$15=0,E253/F253,E253*Premissas!$B$15/(1-(1+Premissas!$B$15)^(-F253)))-H253)),MIN(E253,E253/F253)),0)</x:f>
        <x:v>380.9523809523816</x:v>
      </x:c>
      <x:c r="H253" s="141" t="n">
        <x:f>IF(AND(E253&gt;0,F253&gt;0),E253*Premissas!$B$15,0)</x:f>
        <x:v>625.3566391172836</x:v>
      </x:c>
      <x:c r="I253" s="141" t="n">
        <x:f>IF(AND(E253&gt;0,F253&gt;0),Premissas!$B$18,0)</x:f>
        <x:v>150</x:v>
      </x:c>
      <x:c r="J253" s="141" t="n">
        <x:f>IF(AND(E253&gt;0,F253&gt;0),IF(Premissas!$B$19="PRICE",IF(Premissas!$B$15=0,E253/F253,E253*Premissas!$B$15/(1-(1+Premissas!$B$15)^(-F253)))+I253,G253+H253+I253),0)</x:f>
        <x:v>1156.3090200696652</x:v>
      </x:c>
      <x:c r="K253" s="141" t="n">
        <x:f>H253+I253</x:f>
        <x:v>775.3566391172836</x:v>
      </x:c>
      <x:c r="L253" s="141" t="n">
        <x:f>SUM($J$6:J253)</x:f>
        <x:v>397478.06554886117</x:v>
      </x:c>
      <x:c r="M253" s="141" t="n">
        <x:f>MAX(0,E253-G253)</x:f>
        <x:v>65523.80952380963</x:v>
      </x:c>
    </x:row>
    <x:row r="254">
      <x:c r="A254" s="142" t="n">
        <x:v>249</x:v>
      </x:c>
      <x:c r="B254" s="179" t="n">
        <x:f>EDATE(Premissas!$B$4,248)</x:f>
        <x:v>54089</x:v>
      </x:c>
      <x:c r="C254" s="141" t="n">
        <x:f>M253</x:f>
        <x:v>65523.80952380963</x:v>
      </x:c>
      <x:c r="D254" s="141" t="n">
        <x:f>IF(C254&gt;0,C254*Premissas!$B$17,0)</x:f>
        <x:v>0</x:v>
      </x:c>
      <x:c r="E254" s="141" t="n">
        <x:f>C254+D254</x:f>
        <x:v>65523.80952380963</x:v>
      </x:c>
      <x:c r="F254" s="142" t="n">
        <x:f>MAX(0,Premissas!$B$13-A254+1)</x:f>
        <x:v>172</x:v>
      </x:c>
      <x:c r="G254" s="141" t="n">
        <x:f>IF(AND(E254&gt;0,F254&gt;0),IF(Premissas!$B$19="PRICE",MAX(0,MIN(E254,IF(Premissas!$B$15=0,E254/F254,E254*Premissas!$B$15/(1-(1+Premissas!$B$15)^(-F254)))-H254)),MIN(E254,E254/F254)),0)</x:f>
        <x:v>380.9523809523816</x:v>
      </x:c>
      <x:c r="H254" s="141" t="n">
        <x:f>IF(AND(E254&gt;0,F254&gt;0),E254*Premissas!$B$15,0)</x:f>
        <x:v>621.7418608564901</x:v>
      </x:c>
      <x:c r="I254" s="141" t="n">
        <x:f>IF(AND(E254&gt;0,F254&gt;0),Premissas!$B$18,0)</x:f>
        <x:v>150</x:v>
      </x:c>
      <x:c r="J254" s="141" t="n">
        <x:f>IF(AND(E254&gt;0,F254&gt;0),IF(Premissas!$B$19="PRICE",IF(Premissas!$B$15=0,E254/F254,E254*Premissas!$B$15/(1-(1+Premissas!$B$15)^(-F254)))+I254,G254+H254+I254),0)</x:f>
        <x:v>1152.6942418088718</x:v>
      </x:c>
      <x:c r="K254" s="141" t="n">
        <x:f>H254+I254</x:f>
        <x:v>771.7418608564901</x:v>
      </x:c>
      <x:c r="L254" s="141" t="n">
        <x:f>SUM($J$6:J254)</x:f>
        <x:v>398630.75979067</x:v>
      </x:c>
      <x:c r="M254" s="141" t="n">
        <x:f>MAX(0,E254-G254)</x:f>
        <x:v>65142.85714285725</x:v>
      </x:c>
    </x:row>
    <x:row r="255">
      <x:c r="A255" s="142" t="n">
        <x:v>250</x:v>
      </x:c>
      <x:c r="B255" s="179" t="n">
        <x:f>EDATE(Premissas!$B$4,249)</x:f>
        <x:v>54118</x:v>
      </x:c>
      <x:c r="C255" s="141" t="n">
        <x:f>M254</x:f>
        <x:v>65142.85714285725</x:v>
      </x:c>
      <x:c r="D255" s="141" t="n">
        <x:f>IF(C255&gt;0,C255*Premissas!$B$17,0)</x:f>
        <x:v>0</x:v>
      </x:c>
      <x:c r="E255" s="141" t="n">
        <x:f>C255+D255</x:f>
        <x:v>65142.85714285725</x:v>
      </x:c>
      <x:c r="F255" s="142" t="n">
        <x:f>MAX(0,Premissas!$B$13-A255+1)</x:f>
        <x:v>171</x:v>
      </x:c>
      <x:c r="G255" s="141" t="n">
        <x:f>IF(AND(E255&gt;0,F255&gt;0),IF(Premissas!$B$19="PRICE",MAX(0,MIN(E255,IF(Premissas!$B$15=0,E255/F255,E255*Premissas!$B$15/(1-(1+Premissas!$B$15)^(-F255)))-H255)),MIN(E255,E255/F255)),0)</x:f>
        <x:v>380.9523809523816</x:v>
      </x:c>
      <x:c r="H255" s="141" t="n">
        <x:f>IF(AND(E255&gt;0,F255&gt;0),E255*Premissas!$B$15,0)</x:f>
        <x:v>618.1270825956965</x:v>
      </x:c>
      <x:c r="I255" s="141" t="n">
        <x:f>IF(AND(E255&gt;0,F255&gt;0),Premissas!$B$18,0)</x:f>
        <x:v>150</x:v>
      </x:c>
      <x:c r="J255" s="141" t="n">
        <x:f>IF(AND(E255&gt;0,F255&gt;0),IF(Premissas!$B$19="PRICE",IF(Premissas!$B$15=0,E255/F255,E255*Premissas!$B$15/(1-(1+Premissas!$B$15)^(-F255)))+I255,G255+H255+I255),0)</x:f>
        <x:v>1149.0794635480781</x:v>
      </x:c>
      <x:c r="K255" s="141" t="n">
        <x:f>H255+I255</x:f>
        <x:v>768.1270825956965</x:v>
      </x:c>
      <x:c r="L255" s="141" t="n">
        <x:f>SUM($J$6:J255)</x:f>
        <x:v>399779.8392542181</x:v>
      </x:c>
      <x:c r="M255" s="141" t="n">
        <x:f>MAX(0,E255-G255)</x:f>
        <x:v>64761.904761904865</x:v>
      </x:c>
    </x:row>
    <x:row r="256">
      <x:c r="A256" s="142" t="n">
        <x:v>251</x:v>
      </x:c>
      <x:c r="B256" s="179" t="n">
        <x:f>EDATE(Premissas!$B$4,250)</x:f>
        <x:v>54149</x:v>
      </x:c>
      <x:c r="C256" s="141" t="n">
        <x:f>M255</x:f>
        <x:v>64761.904761904865</x:v>
      </x:c>
      <x:c r="D256" s="141" t="n">
        <x:f>IF(C256&gt;0,C256*Premissas!$B$17,0)</x:f>
        <x:v>0</x:v>
      </x:c>
      <x:c r="E256" s="141" t="n">
        <x:f>C256+D256</x:f>
        <x:v>64761.904761904865</x:v>
      </x:c>
      <x:c r="F256" s="142" t="n">
        <x:f>MAX(0,Premissas!$B$13-A256+1)</x:f>
        <x:v>170</x:v>
      </x:c>
      <x:c r="G256" s="141" t="n">
        <x:f>IF(AND(E256&gt;0,F256&gt;0),IF(Premissas!$B$19="PRICE",MAX(0,MIN(E256,IF(Premissas!$B$15=0,E256/F256,E256*Premissas!$B$15/(1-(1+Premissas!$B$15)^(-F256)))-H256)),MIN(E256,E256/F256)),0)</x:f>
        <x:v>380.95238095238153</x:v>
      </x:c>
      <x:c r="H256" s="141" t="n">
        <x:f>IF(AND(E256&gt;0,F256&gt;0),E256*Premissas!$B$15,0)</x:f>
        <x:v>614.512304334903</x:v>
      </x:c>
      <x:c r="I256" s="141" t="n">
        <x:f>IF(AND(E256&gt;0,F256&gt;0),Premissas!$B$18,0)</x:f>
        <x:v>150</x:v>
      </x:c>
      <x:c r="J256" s="141" t="n">
        <x:f>IF(AND(E256&gt;0,F256&gt;0),IF(Premissas!$B$19="PRICE",IF(Premissas!$B$15=0,E256/F256,E256*Premissas!$B$15/(1-(1+Premissas!$B$15)^(-F256)))+I256,G256+H256+I256),0)</x:f>
        <x:v>1145.4646852872845</x:v>
      </x:c>
      <x:c r="K256" s="141" t="n">
        <x:f>H256+I256</x:f>
        <x:v>764.512304334903</x:v>
      </x:c>
      <x:c r="L256" s="141" t="n">
        <x:f>SUM($J$6:J256)</x:f>
        <x:v>400925.30393950536</x:v>
      </x:c>
      <x:c r="M256" s="141" t="n">
        <x:f>MAX(0,E256-G256)</x:f>
        <x:v>64380.95238095248</x:v>
      </x:c>
    </x:row>
    <x:row r="257">
      <x:c r="A257" s="142" t="n">
        <x:v>252</x:v>
      </x:c>
      <x:c r="B257" s="179" t="n">
        <x:f>EDATE(Premissas!$B$4,251)</x:f>
        <x:v>54179</x:v>
      </x:c>
      <x:c r="C257" s="141" t="n">
        <x:f>M256</x:f>
        <x:v>64380.95238095248</x:v>
      </x:c>
      <x:c r="D257" s="141" t="n">
        <x:f>IF(C257&gt;0,C257*Premissas!$B$17,0)</x:f>
        <x:v>0</x:v>
      </x:c>
      <x:c r="E257" s="141" t="n">
        <x:f>C257+D257</x:f>
        <x:v>64380.95238095248</x:v>
      </x:c>
      <x:c r="F257" s="142" t="n">
        <x:f>MAX(0,Premissas!$B$13-A257+1)</x:f>
        <x:v>169</x:v>
      </x:c>
      <x:c r="G257" s="141" t="n">
        <x:f>IF(AND(E257&gt;0,F257&gt;0),IF(Premissas!$B$19="PRICE",MAX(0,MIN(E257,IF(Premissas!$B$15=0,E257/F257,E257*Premissas!$B$15/(1-(1+Premissas!$B$15)^(-F257)))-H257)),MIN(E257,E257/F257)),0)</x:f>
        <x:v>380.95238095238153</x:v>
      </x:c>
      <x:c r="H257" s="141" t="n">
        <x:f>IF(AND(E257&gt;0,F257&gt;0),E257*Premissas!$B$15,0)</x:f>
        <x:v>610.8975260741095</x:v>
      </x:c>
      <x:c r="I257" s="141" t="n">
        <x:f>IF(AND(E257&gt;0,F257&gt;0),Premissas!$B$18,0)</x:f>
        <x:v>150</x:v>
      </x:c>
      <x:c r="J257" s="141" t="n">
        <x:f>IF(AND(E257&gt;0,F257&gt;0),IF(Premissas!$B$19="PRICE",IF(Premissas!$B$15=0,E257/F257,E257*Premissas!$B$15/(1-(1+Premissas!$B$15)^(-F257)))+I257,G257+H257+I257),0)</x:f>
        <x:v>1141.849907026491</x:v>
      </x:c>
      <x:c r="K257" s="141" t="n">
        <x:f>H257+I257</x:f>
        <x:v>760.8975260741095</x:v>
      </x:c>
      <x:c r="L257" s="141" t="n">
        <x:f>SUM($J$6:J257)</x:f>
        <x:v>402067.1538465319</x:v>
      </x:c>
      <x:c r="M257" s="141" t="n">
        <x:f>MAX(0,E257-G257)</x:f>
        <x:v>64000.0000000001</x:v>
      </x:c>
    </x:row>
    <x:row r="258">
      <x:c r="A258" s="142" t="n">
        <x:v>253</x:v>
      </x:c>
      <x:c r="B258" s="179" t="n">
        <x:f>EDATE(Premissas!$B$4,252)</x:f>
        <x:v>54210</x:v>
      </x:c>
      <x:c r="C258" s="141" t="n">
        <x:f>M257</x:f>
        <x:v>64000.0000000001</x:v>
      </x:c>
      <x:c r="D258" s="141" t="n">
        <x:f>IF(C258&gt;0,C258*Premissas!$B$17,0)</x:f>
        <x:v>0</x:v>
      </x:c>
      <x:c r="E258" s="141" t="n">
        <x:f>C258+D258</x:f>
        <x:v>64000.0000000001</x:v>
      </x:c>
      <x:c r="F258" s="142" t="n">
        <x:f>MAX(0,Premissas!$B$13-A258+1)</x:f>
        <x:v>168</x:v>
      </x:c>
      <x:c r="G258" s="141" t="n">
        <x:f>IF(AND(E258&gt;0,F258&gt;0),IF(Premissas!$B$19="PRICE",MAX(0,MIN(E258,IF(Premissas!$B$15=0,E258/F258,E258*Premissas!$B$15/(1-(1+Premissas!$B$15)^(-F258)))-H258)),MIN(E258,E258/F258)),0)</x:f>
        <x:v>380.95238095238153</x:v>
      </x:c>
      <x:c r="H258" s="141" t="n">
        <x:f>IF(AND(E258&gt;0,F258&gt;0),E258*Premissas!$B$15,0)</x:f>
        <x:v>607.282747813316</x:v>
      </x:c>
      <x:c r="I258" s="141" t="n">
        <x:f>IF(AND(E258&gt;0,F258&gt;0),Premissas!$B$18,0)</x:f>
        <x:v>150</x:v>
      </x:c>
      <x:c r="J258" s="141" t="n">
        <x:f>IF(AND(E258&gt;0,F258&gt;0),IF(Premissas!$B$19="PRICE",IF(Premissas!$B$15=0,E258/F258,E258*Premissas!$B$15/(1-(1+Premissas!$B$15)^(-F258)))+I258,G258+H258+I258),0)</x:f>
        <x:v>1138.2351287656975</x:v>
      </x:c>
      <x:c r="K258" s="141" t="n">
        <x:f>H258+I258</x:f>
        <x:v>757.282747813316</x:v>
      </x:c>
      <x:c r="L258" s="141" t="n">
        <x:f>SUM($J$6:J258)</x:f>
        <x:v>403205.38897529757</x:v>
      </x:c>
      <x:c r="M258" s="141" t="n">
        <x:f>MAX(0,E258-G258)</x:f>
        <x:v>63619.04761904772</x:v>
      </x:c>
    </x:row>
    <x:row r="259">
      <x:c r="A259" s="142" t="n">
        <x:v>254</x:v>
      </x:c>
      <x:c r="B259" s="179" t="n">
        <x:f>EDATE(Premissas!$B$4,253)</x:f>
        <x:v>54240</x:v>
      </x:c>
      <x:c r="C259" s="141" t="n">
        <x:f>M258</x:f>
        <x:v>63619.04761904772</x:v>
      </x:c>
      <x:c r="D259" s="141" t="n">
        <x:f>IF(C259&gt;0,C259*Premissas!$B$17,0)</x:f>
        <x:v>0</x:v>
      </x:c>
      <x:c r="E259" s="141" t="n">
        <x:f>C259+D259</x:f>
        <x:v>63619.04761904772</x:v>
      </x:c>
      <x:c r="F259" s="142" t="n">
        <x:f>MAX(0,Premissas!$B$13-A259+1)</x:f>
        <x:v>167</x:v>
      </x:c>
      <x:c r="G259" s="141" t="n">
        <x:f>IF(AND(E259&gt;0,F259&gt;0),IF(Premissas!$B$19="PRICE",MAX(0,MIN(E259,IF(Premissas!$B$15=0,E259/F259,E259*Premissas!$B$15/(1-(1+Premissas!$B$15)^(-F259)))-H259)),MIN(E259,E259/F259)),0)</x:f>
        <x:v>380.95238095238153</x:v>
      </x:c>
      <x:c r="H259" s="141" t="n">
        <x:f>IF(AND(E259&gt;0,F259&gt;0),E259*Premissas!$B$15,0)</x:f>
        <x:v>603.6679695525223</x:v>
      </x:c>
      <x:c r="I259" s="141" t="n">
        <x:f>IF(AND(E259&gt;0,F259&gt;0),Premissas!$B$18,0)</x:f>
        <x:v>150</x:v>
      </x:c>
      <x:c r="J259" s="141" t="n">
        <x:f>IF(AND(E259&gt;0,F259&gt;0),IF(Premissas!$B$19="PRICE",IF(Premissas!$B$15=0,E259/F259,E259*Premissas!$B$15/(1-(1+Premissas!$B$15)^(-F259)))+I259,G259+H259+I259),0)</x:f>
        <x:v>1134.6203505049039</x:v>
      </x:c>
      <x:c r="K259" s="141" t="n">
        <x:f>H259+I259</x:f>
        <x:v>753.6679695525223</x:v>
      </x:c>
      <x:c r="L259" s="141" t="n">
        <x:f>SUM($J$6:J259)</x:f>
        <x:v>404340.00932580244</x:v>
      </x:c>
      <x:c r="M259" s="141" t="n">
        <x:f>MAX(0,E259-G259)</x:f>
        <x:v>63238.09523809534</x:v>
      </x:c>
    </x:row>
    <x:row r="260">
      <x:c r="A260" s="142" t="n">
        <x:v>255</x:v>
      </x:c>
      <x:c r="B260" s="179" t="n">
        <x:f>EDATE(Premissas!$B$4,254)</x:f>
        <x:v>54271</x:v>
      </x:c>
      <x:c r="C260" s="141" t="n">
        <x:f>M259</x:f>
        <x:v>63238.09523809534</x:v>
      </x:c>
      <x:c r="D260" s="141" t="n">
        <x:f>IF(C260&gt;0,C260*Premissas!$B$17,0)</x:f>
        <x:v>0</x:v>
      </x:c>
      <x:c r="E260" s="141" t="n">
        <x:f>C260+D260</x:f>
        <x:v>63238.09523809534</x:v>
      </x:c>
      <x:c r="F260" s="142" t="n">
        <x:f>MAX(0,Premissas!$B$13-A260+1)</x:f>
        <x:v>166</x:v>
      </x:c>
      <x:c r="G260" s="141" t="n">
        <x:f>IF(AND(E260&gt;0,F260&gt;0),IF(Premissas!$B$19="PRICE",MAX(0,MIN(E260,IF(Premissas!$B$15=0,E260/F260,E260*Premissas!$B$15/(1-(1+Premissas!$B$15)^(-F260)))-H260)),MIN(E260,E260/F260)),0)</x:f>
        <x:v>380.95238095238153</x:v>
      </x:c>
      <x:c r="H260" s="141" t="n">
        <x:f>IF(AND(E260&gt;0,F260&gt;0),E260*Premissas!$B$15,0)</x:f>
        <x:v>600.0531912917288</x:v>
      </x:c>
      <x:c r="I260" s="141" t="n">
        <x:f>IF(AND(E260&gt;0,F260&gt;0),Premissas!$B$18,0)</x:f>
        <x:v>150</x:v>
      </x:c>
      <x:c r="J260" s="141" t="n">
        <x:f>IF(AND(E260&gt;0,F260&gt;0),IF(Premissas!$B$19="PRICE",IF(Premissas!$B$15=0,E260/F260,E260*Premissas!$B$15/(1-(1+Premissas!$B$15)^(-F260)))+I260,G260+H260+I260),0)</x:f>
        <x:v>1131.0055722441102</x:v>
      </x:c>
      <x:c r="K260" s="141" t="n">
        <x:f>H260+I260</x:f>
        <x:v>750.0531912917288</x:v>
      </x:c>
      <x:c r="L260" s="141" t="n">
        <x:f>SUM($J$6:J260)</x:f>
        <x:v>405471.01489804656</x:v>
      </x:c>
      <x:c r="M260" s="141" t="n">
        <x:f>MAX(0,E260-G260)</x:f>
        <x:v>62857.14285714296</x:v>
      </x:c>
    </x:row>
    <x:row r="261">
      <x:c r="A261" s="142" t="n">
        <x:v>256</x:v>
      </x:c>
      <x:c r="B261" s="179" t="n">
        <x:f>EDATE(Premissas!$B$4,255)</x:f>
        <x:v>54302</x:v>
      </x:c>
      <x:c r="C261" s="141" t="n">
        <x:f>M260</x:f>
        <x:v>62857.14285714296</x:v>
      </x:c>
      <x:c r="D261" s="141" t="n">
        <x:f>IF(C261&gt;0,C261*Premissas!$B$17,0)</x:f>
        <x:v>0</x:v>
      </x:c>
      <x:c r="E261" s="141" t="n">
        <x:f>C261+D261</x:f>
        <x:v>62857.14285714296</x:v>
      </x:c>
      <x:c r="F261" s="142" t="n">
        <x:f>MAX(0,Premissas!$B$13-A261+1)</x:f>
        <x:v>165</x:v>
      </x:c>
      <x:c r="G261" s="141" t="n">
        <x:f>IF(AND(E261&gt;0,F261&gt;0),IF(Premissas!$B$19="PRICE",MAX(0,MIN(E261,IF(Premissas!$B$15=0,E261/F261,E261*Premissas!$B$15/(1-(1+Premissas!$B$15)^(-F261)))-H261)),MIN(E261,E261/F261)),0)</x:f>
        <x:v>380.95238095238153</x:v>
      </x:c>
      <x:c r="H261" s="141" t="n">
        <x:f>IF(AND(E261&gt;0,F261&gt;0),E261*Premissas!$B$15,0)</x:f>
        <x:v>596.4384130309353</x:v>
      </x:c>
      <x:c r="I261" s="141" t="n">
        <x:f>IF(AND(E261&gt;0,F261&gt;0),Premissas!$B$18,0)</x:f>
        <x:v>150</x:v>
      </x:c>
      <x:c r="J261" s="141" t="n">
        <x:f>IF(AND(E261&gt;0,F261&gt;0),IF(Premissas!$B$19="PRICE",IF(Premissas!$B$15=0,E261/F261,E261*Premissas!$B$15/(1-(1+Premissas!$B$15)^(-F261)))+I261,G261+H261+I261),0)</x:f>
        <x:v>1127.3907939833168</x:v>
      </x:c>
      <x:c r="K261" s="141" t="n">
        <x:f>H261+I261</x:f>
        <x:v>746.4384130309353</x:v>
      </x:c>
      <x:c r="L261" s="141" t="n">
        <x:f>SUM($J$6:J261)</x:f>
        <x:v>406598.40569202986</x:v>
      </x:c>
      <x:c r="M261" s="141" t="n">
        <x:f>MAX(0,E261-G261)</x:f>
        <x:v>62476.190476190575</x:v>
      </x:c>
    </x:row>
    <x:row r="262">
      <x:c r="A262" s="142" t="n">
        <x:v>257</x:v>
      </x:c>
      <x:c r="B262" s="179" t="n">
        <x:f>EDATE(Premissas!$B$4,256)</x:f>
        <x:v>54332</x:v>
      </x:c>
      <x:c r="C262" s="141" t="n">
        <x:f>M261</x:f>
        <x:v>62476.190476190575</x:v>
      </x:c>
      <x:c r="D262" s="141" t="n">
        <x:f>IF(C262&gt;0,C262*Premissas!$B$17,0)</x:f>
        <x:v>0</x:v>
      </x:c>
      <x:c r="E262" s="141" t="n">
        <x:f>C262+D262</x:f>
        <x:v>62476.190476190575</x:v>
      </x:c>
      <x:c r="F262" s="142" t="n">
        <x:f>MAX(0,Premissas!$B$13-A262+1)</x:f>
        <x:v>164</x:v>
      </x:c>
      <x:c r="G262" s="141" t="n">
        <x:f>IF(AND(E262&gt;0,F262&gt;0),IF(Premissas!$B$19="PRICE",MAX(0,MIN(E262,IF(Premissas!$B$15=0,E262/F262,E262*Premissas!$B$15/(1-(1+Premissas!$B$15)^(-F262)))-H262)),MIN(E262,E262/F262)),0)</x:f>
        <x:v>380.95238095238153</x:v>
      </x:c>
      <x:c r="H262" s="141" t="n">
        <x:f>IF(AND(E262&gt;0,F262&gt;0),E262*Premissas!$B$15,0)</x:f>
        <x:v>592.8236347701417</x:v>
      </x:c>
      <x:c r="I262" s="141" t="n">
        <x:f>IF(AND(E262&gt;0,F262&gt;0),Premissas!$B$18,0)</x:f>
        <x:v>150</x:v>
      </x:c>
      <x:c r="J262" s="141" t="n">
        <x:f>IF(AND(E262&gt;0,F262&gt;0),IF(Premissas!$B$19="PRICE",IF(Premissas!$B$15=0,E262/F262,E262*Premissas!$B$15/(1-(1+Premissas!$B$15)^(-F262)))+I262,G262+H262+I262),0)</x:f>
        <x:v>1123.7760157225232</x:v>
      </x:c>
      <x:c r="K262" s="141" t="n">
        <x:f>H262+I262</x:f>
        <x:v>742.8236347701417</x:v>
      </x:c>
      <x:c r="L262" s="141" t="n">
        <x:f>SUM($J$6:J262)</x:f>
        <x:v>407722.1817077524</x:v>
      </x:c>
      <x:c r="M262" s="141" t="n">
        <x:f>MAX(0,E262-G262)</x:f>
        <x:v>62095.23809523819</x:v>
      </x:c>
    </x:row>
    <x:row r="263">
      <x:c r="A263" s="142" t="n">
        <x:v>258</x:v>
      </x:c>
      <x:c r="B263" s="179" t="n">
        <x:f>EDATE(Premissas!$B$4,257)</x:f>
        <x:v>54363</x:v>
      </x:c>
      <x:c r="C263" s="141" t="n">
        <x:f>M262</x:f>
        <x:v>62095.23809523819</x:v>
      </x:c>
      <x:c r="D263" s="141" t="n">
        <x:f>IF(C263&gt;0,C263*Premissas!$B$17,0)</x:f>
        <x:v>0</x:v>
      </x:c>
      <x:c r="E263" s="141" t="n">
        <x:f>C263+D263</x:f>
        <x:v>62095.23809523819</x:v>
      </x:c>
      <x:c r="F263" s="142" t="n">
        <x:f>MAX(0,Premissas!$B$13-A263+1)</x:f>
        <x:v>163</x:v>
      </x:c>
      <x:c r="G263" s="141" t="n">
        <x:f>IF(AND(E263&gt;0,F263&gt;0),IF(Premissas!$B$19="PRICE",MAX(0,MIN(E263,IF(Premissas!$B$15=0,E263/F263,E263*Premissas!$B$15/(1-(1+Premissas!$B$15)^(-F263)))-H263)),MIN(E263,E263/F263)),0)</x:f>
        <x:v>380.95238095238153</x:v>
      </x:c>
      <x:c r="H263" s="141" t="n">
        <x:f>IF(AND(E263&gt;0,F263&gt;0),E263*Premissas!$B$15,0)</x:f>
        <x:v>589.2088565093482</x:v>
      </x:c>
      <x:c r="I263" s="141" t="n">
        <x:f>IF(AND(E263&gt;0,F263&gt;0),Premissas!$B$18,0)</x:f>
        <x:v>150</x:v>
      </x:c>
      <x:c r="J263" s="141" t="n">
        <x:f>IF(AND(E263&gt;0,F263&gt;0),IF(Premissas!$B$19="PRICE",IF(Premissas!$B$15=0,E263/F263,E263*Premissas!$B$15/(1-(1+Premissas!$B$15)^(-F263)))+I263,G263+H263+I263),0)</x:f>
        <x:v>1120.1612374617298</x:v>
      </x:c>
      <x:c r="K263" s="141" t="n">
        <x:f>H263+I263</x:f>
        <x:v>739.2088565093482</x:v>
      </x:c>
      <x:c r="L263" s="141" t="n">
        <x:f>SUM($J$6:J263)</x:f>
        <x:v>408842.3429452141</x:v>
      </x:c>
      <x:c r="M263" s="141" t="n">
        <x:f>MAX(0,E263-G263)</x:f>
        <x:v>61714.28571428581</x:v>
      </x:c>
    </x:row>
    <x:row r="264">
      <x:c r="A264" s="142" t="n">
        <x:v>259</x:v>
      </x:c>
      <x:c r="B264" s="179" t="n">
        <x:f>EDATE(Premissas!$B$4,258)</x:f>
        <x:v>54393</x:v>
      </x:c>
      <x:c r="C264" s="141" t="n">
        <x:f>M263</x:f>
        <x:v>61714.28571428581</x:v>
      </x:c>
      <x:c r="D264" s="141" t="n">
        <x:f>IF(C264&gt;0,C264*Premissas!$B$17,0)</x:f>
        <x:v>0</x:v>
      </x:c>
      <x:c r="E264" s="141" t="n">
        <x:f>C264+D264</x:f>
        <x:v>61714.28571428581</x:v>
      </x:c>
      <x:c r="F264" s="142" t="n">
        <x:f>MAX(0,Premissas!$B$13-A264+1)</x:f>
        <x:v>162</x:v>
      </x:c>
      <x:c r="G264" s="141" t="n">
        <x:f>IF(AND(E264&gt;0,F264&gt;0),IF(Premissas!$B$19="PRICE",MAX(0,MIN(E264,IF(Premissas!$B$15=0,E264/F264,E264*Premissas!$B$15/(1-(1+Premissas!$B$15)^(-F264)))-H264)),MIN(E264,E264/F264)),0)</x:f>
        <x:v>380.95238095238153</x:v>
      </x:c>
      <x:c r="H264" s="141" t="n">
        <x:f>IF(AND(E264&gt;0,F264&gt;0),E264*Premissas!$B$15,0)</x:f>
        <x:v>585.5940782485546</x:v>
      </x:c>
      <x:c r="I264" s="141" t="n">
        <x:f>IF(AND(E264&gt;0,F264&gt;0),Premissas!$B$18,0)</x:f>
        <x:v>150</x:v>
      </x:c>
      <x:c r="J264" s="141" t="n">
        <x:f>IF(AND(E264&gt;0,F264&gt;0),IF(Premissas!$B$19="PRICE",IF(Premissas!$B$15=0,E264/F264,E264*Premissas!$B$15/(1-(1+Premissas!$B$15)^(-F264)))+I264,G264+H264+I264),0)</x:f>
        <x:v>1116.5464592009362</x:v>
      </x:c>
      <x:c r="K264" s="141" t="n">
        <x:f>H264+I264</x:f>
        <x:v>735.5940782485546</x:v>
      </x:c>
      <x:c r="L264" s="141" t="n">
        <x:f>SUM($J$6:J264)</x:f>
        <x:v>409958.88940441504</x:v>
      </x:c>
      <x:c r="M264" s="141" t="n">
        <x:f>MAX(0,E264-G264)</x:f>
        <x:v>61333.33333333343</x:v>
      </x:c>
    </x:row>
    <x:row r="265">
      <x:c r="A265" s="142" t="n">
        <x:v>260</x:v>
      </x:c>
      <x:c r="B265" s="179" t="n">
        <x:f>EDATE(Premissas!$B$4,259)</x:f>
        <x:v>54424</x:v>
      </x:c>
      <x:c r="C265" s="141" t="n">
        <x:f>M264</x:f>
        <x:v>61333.33333333343</x:v>
      </x:c>
      <x:c r="D265" s="141" t="n">
        <x:f>IF(C265&gt;0,C265*Premissas!$B$17,0)</x:f>
        <x:v>0</x:v>
      </x:c>
      <x:c r="E265" s="141" t="n">
        <x:f>C265+D265</x:f>
        <x:v>61333.33333333343</x:v>
      </x:c>
      <x:c r="F265" s="142" t="n">
        <x:f>MAX(0,Premissas!$B$13-A265+1)</x:f>
        <x:v>161</x:v>
      </x:c>
      <x:c r="G265" s="141" t="n">
        <x:f>IF(AND(E265&gt;0,F265&gt;0),IF(Premissas!$B$19="PRICE",MAX(0,MIN(E265,IF(Premissas!$B$15=0,E265/F265,E265*Premissas!$B$15/(1-(1+Premissas!$B$15)^(-F265)))-H265)),MIN(E265,E265/F265)),0)</x:f>
        <x:v>380.95238095238153</x:v>
      </x:c>
      <x:c r="H265" s="141" t="n">
        <x:f>IF(AND(E265&gt;0,F265&gt;0),E265*Premissas!$B$15,0)</x:f>
        <x:v>581.979299987761</x:v>
      </x:c>
      <x:c r="I265" s="141" t="n">
        <x:f>IF(AND(E265&gt;0,F265&gt;0),Premissas!$B$18,0)</x:f>
        <x:v>150</x:v>
      </x:c>
      <x:c r="J265" s="141" t="n">
        <x:f>IF(AND(E265&gt;0,F265&gt;0),IF(Premissas!$B$19="PRICE",IF(Premissas!$B$15=0,E265/F265,E265*Premissas!$B$15/(1-(1+Premissas!$B$15)^(-F265)))+I265,G265+H265+I265),0)</x:f>
        <x:v>1112.9316809401425</x:v>
      </x:c>
      <x:c r="K265" s="141" t="n">
        <x:f>H265+I265</x:f>
        <x:v>731.979299987761</x:v>
      </x:c>
      <x:c r="L265" s="141" t="n">
        <x:f>SUM($J$6:J265)</x:f>
        <x:v>411071.8210853552</x:v>
      </x:c>
      <x:c r="M265" s="141" t="n">
        <x:f>MAX(0,E265-G265)</x:f>
        <x:v>60952.38095238105</x:v>
      </x:c>
    </x:row>
    <x:row r="266">
      <x:c r="A266" s="142" t="n">
        <x:v>261</x:v>
      </x:c>
      <x:c r="B266" s="179" t="n">
        <x:f>EDATE(Premissas!$B$4,260)</x:f>
        <x:v>54455</x:v>
      </x:c>
      <x:c r="C266" s="141" t="n">
        <x:f>M265</x:f>
        <x:v>60952.38095238105</x:v>
      </x:c>
      <x:c r="D266" s="141" t="n">
        <x:f>IF(C266&gt;0,C266*Premissas!$B$17,0)</x:f>
        <x:v>0</x:v>
      </x:c>
      <x:c r="E266" s="141" t="n">
        <x:f>C266+D266</x:f>
        <x:v>60952.38095238105</x:v>
      </x:c>
      <x:c r="F266" s="142" t="n">
        <x:f>MAX(0,Premissas!$B$13-A266+1)</x:f>
        <x:v>160</x:v>
      </x:c>
      <x:c r="G266" s="141" t="n">
        <x:f>IF(AND(E266&gt;0,F266&gt;0),IF(Premissas!$B$19="PRICE",MAX(0,MIN(E266,IF(Premissas!$B$15=0,E266/F266,E266*Premissas!$B$15/(1-(1+Premissas!$B$15)^(-F266)))-H266)),MIN(E266,E266/F266)),0)</x:f>
        <x:v>380.95238095238153</x:v>
      </x:c>
      <x:c r="H266" s="141" t="n">
        <x:f>IF(AND(E266&gt;0,F266&gt;0),E266*Premissas!$B$15,0)</x:f>
        <x:v>578.3645217269675</x:v>
      </x:c>
      <x:c r="I266" s="141" t="n">
        <x:f>IF(AND(E266&gt;0,F266&gt;0),Premissas!$B$18,0)</x:f>
        <x:v>150</x:v>
      </x:c>
      <x:c r="J266" s="141" t="n">
        <x:f>IF(AND(E266&gt;0,F266&gt;0),IF(Premissas!$B$19="PRICE",IF(Premissas!$B$15=0,E266/F266,E266*Premissas!$B$15/(1-(1+Premissas!$B$15)^(-F266)))+I266,G266+H266+I266),0)</x:f>
        <x:v>1109.316902679349</x:v>
      </x:c>
      <x:c r="K266" s="141" t="n">
        <x:f>H266+I266</x:f>
        <x:v>728.3645217269675</x:v>
      </x:c>
      <x:c r="L266" s="141" t="n">
        <x:f>SUM($J$6:J266)</x:f>
        <x:v>412181.1379880345</x:v>
      </x:c>
      <x:c r="M266" s="141" t="n">
        <x:f>MAX(0,E266-G266)</x:f>
        <x:v>60571.42857142867</x:v>
      </x:c>
    </x:row>
    <x:row r="267">
      <x:c r="A267" s="142" t="n">
        <x:v>262</x:v>
      </x:c>
      <x:c r="B267" s="179" t="n">
        <x:f>EDATE(Premissas!$B$4,261)</x:f>
        <x:v>54483</x:v>
      </x:c>
      <x:c r="C267" s="141" t="n">
        <x:f>M266</x:f>
        <x:v>60571.42857142867</x:v>
      </x:c>
      <x:c r="D267" s="141" t="n">
        <x:f>IF(C267&gt;0,C267*Premissas!$B$17,0)</x:f>
        <x:v>0</x:v>
      </x:c>
      <x:c r="E267" s="141" t="n">
        <x:f>C267+D267</x:f>
        <x:v>60571.42857142867</x:v>
      </x:c>
      <x:c r="F267" s="142" t="n">
        <x:f>MAX(0,Premissas!$B$13-A267+1)</x:f>
        <x:v>159</x:v>
      </x:c>
      <x:c r="G267" s="141" t="n">
        <x:f>IF(AND(E267&gt;0,F267&gt;0),IF(Premissas!$B$19="PRICE",MAX(0,MIN(E267,IF(Premissas!$B$15=0,E267/F267,E267*Premissas!$B$15/(1-(1+Premissas!$B$15)^(-F267)))-H267)),MIN(E267,E267/F267)),0)</x:f>
        <x:v>380.95238095238153</x:v>
      </x:c>
      <x:c r="H267" s="141" t="n">
        <x:f>IF(AND(E267&gt;0,F267&gt;0),E267*Premissas!$B$15,0)</x:f>
        <x:v>574.749743466174</x:v>
      </x:c>
      <x:c r="I267" s="141" t="n">
        <x:f>IF(AND(E267&gt;0,F267&gt;0),Premissas!$B$18,0)</x:f>
        <x:v>150</x:v>
      </x:c>
      <x:c r="J267" s="141" t="n">
        <x:f>IF(AND(E267&gt;0,F267&gt;0),IF(Premissas!$B$19="PRICE",IF(Premissas!$B$15=0,E267/F267,E267*Premissas!$B$15/(1-(1+Premissas!$B$15)^(-F267)))+I267,G267+H267+I267),0)</x:f>
        <x:v>1105.7021244185555</x:v>
      </x:c>
      <x:c r="K267" s="141" t="n">
        <x:f>H267+I267</x:f>
        <x:v>724.749743466174</x:v>
      </x:c>
      <x:c r="L267" s="141" t="n">
        <x:f>SUM($J$6:J267)</x:f>
        <x:v>413286.8401124531</x:v>
      </x:c>
      <x:c r="M267" s="141" t="n">
        <x:f>MAX(0,E267-G267)</x:f>
        <x:v>60190.476190476285</x:v>
      </x:c>
    </x:row>
    <x:row r="268">
      <x:c r="A268" s="142" t="n">
        <x:v>263</x:v>
      </x:c>
      <x:c r="B268" s="179" t="n">
        <x:f>EDATE(Premissas!$B$4,262)</x:f>
        <x:v>54514</x:v>
      </x:c>
      <x:c r="C268" s="141" t="n">
        <x:f>M267</x:f>
        <x:v>60190.476190476285</x:v>
      </x:c>
      <x:c r="D268" s="141" t="n">
        <x:f>IF(C268&gt;0,C268*Premissas!$B$17,0)</x:f>
        <x:v>0</x:v>
      </x:c>
      <x:c r="E268" s="141" t="n">
        <x:f>C268+D268</x:f>
        <x:v>60190.476190476285</x:v>
      </x:c>
      <x:c r="F268" s="142" t="n">
        <x:f>MAX(0,Premissas!$B$13-A268+1)</x:f>
        <x:v>158</x:v>
      </x:c>
      <x:c r="G268" s="141" t="n">
        <x:f>IF(AND(E268&gt;0,F268&gt;0),IF(Premissas!$B$19="PRICE",MAX(0,MIN(E268,IF(Premissas!$B$15=0,E268/F268,E268*Premissas!$B$15/(1-(1+Premissas!$B$15)^(-F268)))-H268)),MIN(E268,E268/F268)),0)</x:f>
        <x:v>380.95238095238153</x:v>
      </x:c>
      <x:c r="H268" s="141" t="n">
        <x:f>IF(AND(E268&gt;0,F268&gt;0),E268*Premissas!$B$15,0)</x:f>
        <x:v>571.1349652053805</x:v>
      </x:c>
      <x:c r="I268" s="141" t="n">
        <x:f>IF(AND(E268&gt;0,F268&gt;0),Premissas!$B$18,0)</x:f>
        <x:v>150</x:v>
      </x:c>
      <x:c r="J268" s="141" t="n">
        <x:f>IF(AND(E268&gt;0,F268&gt;0),IF(Premissas!$B$19="PRICE",IF(Premissas!$B$15=0,E268/F268,E268*Premissas!$B$15/(1-(1+Premissas!$B$15)^(-F268)))+I268,G268+H268+I268),0)</x:f>
        <x:v>1102.087346157762</x:v>
      </x:c>
      <x:c r="K268" s="141" t="n">
        <x:f>H268+I268</x:f>
        <x:v>721.1349652053805</x:v>
      </x:c>
      <x:c r="L268" s="141" t="n">
        <x:f>SUM($J$6:J268)</x:f>
        <x:v>414388.92745861085</x:v>
      </x:c>
      <x:c r="M268" s="141" t="n">
        <x:f>MAX(0,E268-G268)</x:f>
        <x:v>59809.523809523904</x:v>
      </x:c>
    </x:row>
    <x:row r="269">
      <x:c r="A269" s="142" t="n">
        <x:v>264</x:v>
      </x:c>
      <x:c r="B269" s="179" t="n">
        <x:f>EDATE(Premissas!$B$4,263)</x:f>
        <x:v>54544</x:v>
      </x:c>
      <x:c r="C269" s="141" t="n">
        <x:f>M268</x:f>
        <x:v>59809.523809523904</x:v>
      </x:c>
      <x:c r="D269" s="141" t="n">
        <x:f>IF(C269&gt;0,C269*Premissas!$B$17,0)</x:f>
        <x:v>0</x:v>
      </x:c>
      <x:c r="E269" s="141" t="n">
        <x:f>C269+D269</x:f>
        <x:v>59809.523809523904</x:v>
      </x:c>
      <x:c r="F269" s="142" t="n">
        <x:f>MAX(0,Premissas!$B$13-A269+1)</x:f>
        <x:v>157</x:v>
      </x:c>
      <x:c r="G269" s="141" t="n">
        <x:f>IF(AND(E269&gt;0,F269&gt;0),IF(Premissas!$B$19="PRICE",MAX(0,MIN(E269,IF(Premissas!$B$15=0,E269/F269,E269*Premissas!$B$15/(1-(1+Premissas!$B$15)^(-F269)))-H269)),MIN(E269,E269/F269)),0)</x:f>
        <x:v>380.95238095238153</x:v>
      </x:c>
      <x:c r="H269" s="141" t="n">
        <x:f>IF(AND(E269&gt;0,F269&gt;0),E269*Premissas!$B$15,0)</x:f>
        <x:v>567.5201869445868</x:v>
      </x:c>
      <x:c r="I269" s="141" t="n">
        <x:f>IF(AND(E269&gt;0,F269&gt;0),Premissas!$B$18,0)</x:f>
        <x:v>150</x:v>
      </x:c>
      <x:c r="J269" s="141" t="n">
        <x:f>IF(AND(E269&gt;0,F269&gt;0),IF(Premissas!$B$19="PRICE",IF(Premissas!$B$15=0,E269/F269,E269*Premissas!$B$15/(1-(1+Premissas!$B$15)^(-F269)))+I269,G269+H269+I269),0)</x:f>
        <x:v>1098.4725678969685</x:v>
      </x:c>
      <x:c r="K269" s="141" t="n">
        <x:f>H269+I269</x:f>
        <x:v>717.5201869445868</x:v>
      </x:c>
      <x:c r="L269" s="141" t="n">
        <x:f>SUM($J$6:J269)</x:f>
        <x:v>415487.4000265078</x:v>
      </x:c>
      <x:c r="M269" s="141" t="n">
        <x:f>MAX(0,E269-G269)</x:f>
        <x:v>59428.57142857152</x:v>
      </x:c>
    </x:row>
    <x:row r="270">
      <x:c r="A270" s="142" t="n">
        <x:v>265</x:v>
      </x:c>
      <x:c r="B270" s="179" t="n">
        <x:f>EDATE(Premissas!$B$4,264)</x:f>
        <x:v>54575</x:v>
      </x:c>
      <x:c r="C270" s="141" t="n">
        <x:f>M269</x:f>
        <x:v>59428.57142857152</x:v>
      </x:c>
      <x:c r="D270" s="141" t="n">
        <x:f>IF(C270&gt;0,C270*Premissas!$B$17,0)</x:f>
        <x:v>0</x:v>
      </x:c>
      <x:c r="E270" s="141" t="n">
        <x:f>C270+D270</x:f>
        <x:v>59428.57142857152</x:v>
      </x:c>
      <x:c r="F270" s="142" t="n">
        <x:f>MAX(0,Premissas!$B$13-A270+1)</x:f>
        <x:v>156</x:v>
      </x:c>
      <x:c r="G270" s="141" t="n">
        <x:f>IF(AND(E270&gt;0,F270&gt;0),IF(Premissas!$B$19="PRICE",MAX(0,MIN(E270,IF(Premissas!$B$15=0,E270/F270,E270*Premissas!$B$15/(1-(1+Premissas!$B$15)^(-F270)))-H270)),MIN(E270,E270/F270)),0)</x:f>
        <x:v>380.95238095238153</x:v>
      </x:c>
      <x:c r="H270" s="141" t="n">
        <x:f>IF(AND(E270&gt;0,F270&gt;0),E270*Premissas!$B$15,0)</x:f>
        <x:v>563.9054086837933</x:v>
      </x:c>
      <x:c r="I270" s="141" t="n">
        <x:f>IF(AND(E270&gt;0,F270&gt;0),Premissas!$B$18,0)</x:f>
        <x:v>150</x:v>
      </x:c>
      <x:c r="J270" s="141" t="n">
        <x:f>IF(AND(E270&gt;0,F270&gt;0),IF(Premissas!$B$19="PRICE",IF(Premissas!$B$15=0,E270/F270,E270*Premissas!$B$15/(1-(1+Premissas!$B$15)^(-F270)))+I270,G270+H270+I270),0)</x:f>
        <x:v>1094.8577896361749</x:v>
      </x:c>
      <x:c r="K270" s="141" t="n">
        <x:f>H270+I270</x:f>
        <x:v>713.9054086837933</x:v>
      </x:c>
      <x:c r="L270" s="141" t="n">
        <x:f>SUM($J$6:J270)</x:f>
        <x:v>416582.257816144</x:v>
      </x:c>
      <x:c r="M270" s="141" t="n">
        <x:f>MAX(0,E270-G270)</x:f>
        <x:v>59047.61904761914</x:v>
      </x:c>
    </x:row>
    <x:row r="271">
      <x:c r="A271" s="142" t="n">
        <x:v>266</x:v>
      </x:c>
      <x:c r="B271" s="179" t="n">
        <x:f>EDATE(Premissas!$B$4,265)</x:f>
        <x:v>54605</x:v>
      </x:c>
      <x:c r="C271" s="141" t="n">
        <x:f>M270</x:f>
        <x:v>59047.61904761914</x:v>
      </x:c>
      <x:c r="D271" s="141" t="n">
        <x:f>IF(C271&gt;0,C271*Premissas!$B$17,0)</x:f>
        <x:v>0</x:v>
      </x:c>
      <x:c r="E271" s="141" t="n">
        <x:f>C271+D271</x:f>
        <x:v>59047.61904761914</x:v>
      </x:c>
      <x:c r="F271" s="142" t="n">
        <x:f>MAX(0,Premissas!$B$13-A271+1)</x:f>
        <x:v>155</x:v>
      </x:c>
      <x:c r="G271" s="141" t="n">
        <x:f>IF(AND(E271&gt;0,F271&gt;0),IF(Premissas!$B$19="PRICE",MAX(0,MIN(E271,IF(Premissas!$B$15=0,E271/F271,E271*Premissas!$B$15/(1-(1+Premissas!$B$15)^(-F271)))-H271)),MIN(E271,E271/F271)),0)</x:f>
        <x:v>380.95238095238153</x:v>
      </x:c>
      <x:c r="H271" s="141" t="n">
        <x:f>IF(AND(E271&gt;0,F271&gt;0),E271*Premissas!$B$15,0)</x:f>
        <x:v>560.2906304229998</x:v>
      </x:c>
      <x:c r="I271" s="141" t="n">
        <x:f>IF(AND(E271&gt;0,F271&gt;0),Premissas!$B$18,0)</x:f>
        <x:v>150</x:v>
      </x:c>
      <x:c r="J271" s="141" t="n">
        <x:f>IF(AND(E271&gt;0,F271&gt;0),IF(Premissas!$B$19="PRICE",IF(Premissas!$B$15=0,E271/F271,E271*Premissas!$B$15/(1-(1+Premissas!$B$15)^(-F271)))+I271,G271+H271+I271),0)</x:f>
        <x:v>1091.2430113753812</x:v>
      </x:c>
      <x:c r="K271" s="141" t="n">
        <x:f>H271+I271</x:f>
        <x:v>710.2906304229998</x:v>
      </x:c>
      <x:c r="L271" s="141" t="n">
        <x:f>SUM($J$6:J271)</x:f>
        <x:v>417673.50082751934</x:v>
      </x:c>
      <x:c r="M271" s="141" t="n">
        <x:f>MAX(0,E271-G271)</x:f>
        <x:v>58666.66666666676</x:v>
      </x:c>
    </x:row>
    <x:row r="272">
      <x:c r="A272" s="142" t="n">
        <x:v>267</x:v>
      </x:c>
      <x:c r="B272" s="179" t="n">
        <x:f>EDATE(Premissas!$B$4,266)</x:f>
        <x:v>54636</x:v>
      </x:c>
      <x:c r="C272" s="141" t="n">
        <x:f>M271</x:f>
        <x:v>58666.66666666676</x:v>
      </x:c>
      <x:c r="D272" s="141" t="n">
        <x:f>IF(C272&gt;0,C272*Premissas!$B$17,0)</x:f>
        <x:v>0</x:v>
      </x:c>
      <x:c r="E272" s="141" t="n">
        <x:f>C272+D272</x:f>
        <x:v>58666.66666666676</x:v>
      </x:c>
      <x:c r="F272" s="142" t="n">
        <x:f>MAX(0,Premissas!$B$13-A272+1)</x:f>
        <x:v>154</x:v>
      </x:c>
      <x:c r="G272" s="141" t="n">
        <x:f>IF(AND(E272&gt;0,F272&gt;0),IF(Premissas!$B$19="PRICE",MAX(0,MIN(E272,IF(Premissas!$B$15=0,E272/F272,E272*Premissas!$B$15/(1-(1+Premissas!$B$15)^(-F272)))-H272)),MIN(E272,E272/F272)),0)</x:f>
        <x:v>380.95238095238153</x:v>
      </x:c>
      <x:c r="H272" s="141" t="n">
        <x:f>IF(AND(E272&gt;0,F272&gt;0),E272*Premissas!$B$15,0)</x:f>
        <x:v>556.6758521622062</x:v>
      </x:c>
      <x:c r="I272" s="141" t="n">
        <x:f>IF(AND(E272&gt;0,F272&gt;0),Premissas!$B$18,0)</x:f>
        <x:v>150</x:v>
      </x:c>
      <x:c r="J272" s="141" t="n">
        <x:f>IF(AND(E272&gt;0,F272&gt;0),IF(Premissas!$B$19="PRICE",IF(Premissas!$B$15=0,E272/F272,E272*Premissas!$B$15/(1-(1+Premissas!$B$15)^(-F272)))+I272,G272+H272+I272),0)</x:f>
        <x:v>1087.6282331145876</x:v>
      </x:c>
      <x:c r="K272" s="141" t="n">
        <x:f>H272+I272</x:f>
        <x:v>706.6758521622062</x:v>
      </x:c>
      <x:c r="L272" s="141" t="n">
        <x:f>SUM($J$6:J272)</x:f>
        <x:v>418761.12906063395</x:v>
      </x:c>
      <x:c r="M272" s="141" t="n">
        <x:f>MAX(0,E272-G272)</x:f>
        <x:v>58285.71428571438</x:v>
      </x:c>
    </x:row>
    <x:row r="273">
      <x:c r="A273" s="142" t="n">
        <x:v>268</x:v>
      </x:c>
      <x:c r="B273" s="179" t="n">
        <x:f>EDATE(Premissas!$B$4,267)</x:f>
        <x:v>54667</x:v>
      </x:c>
      <x:c r="C273" s="141" t="n">
        <x:f>M272</x:f>
        <x:v>58285.71428571438</x:v>
      </x:c>
      <x:c r="D273" s="141" t="n">
        <x:f>IF(C273&gt;0,C273*Premissas!$B$17,0)</x:f>
        <x:v>0</x:v>
      </x:c>
      <x:c r="E273" s="141" t="n">
        <x:f>C273+D273</x:f>
        <x:v>58285.71428571438</x:v>
      </x:c>
      <x:c r="F273" s="142" t="n">
        <x:f>MAX(0,Premissas!$B$13-A273+1)</x:f>
        <x:v>153</x:v>
      </x:c>
      <x:c r="G273" s="141" t="n">
        <x:f>IF(AND(E273&gt;0,F273&gt;0),IF(Premissas!$B$19="PRICE",MAX(0,MIN(E273,IF(Premissas!$B$15=0,E273/F273,E273*Premissas!$B$15/(1-(1+Premissas!$B$15)^(-F273)))-H273)),MIN(E273,E273/F273)),0)</x:f>
        <x:v>380.95238095238153</x:v>
      </x:c>
      <x:c r="H273" s="141" t="n">
        <x:f>IF(AND(E273&gt;0,F273&gt;0),E273*Premissas!$B$15,0)</x:f>
        <x:v>553.0610739014127</x:v>
      </x:c>
      <x:c r="I273" s="141" t="n">
        <x:f>IF(AND(E273&gt;0,F273&gt;0),Premissas!$B$18,0)</x:f>
        <x:v>150</x:v>
      </x:c>
      <x:c r="J273" s="141" t="n">
        <x:f>IF(AND(E273&gt;0,F273&gt;0),IF(Premissas!$B$19="PRICE",IF(Premissas!$B$15=0,E273/F273,E273*Premissas!$B$15/(1-(1+Premissas!$B$15)^(-F273)))+I273,G273+H273+I273),0)</x:f>
        <x:v>1084.0134548537942</x:v>
      </x:c>
      <x:c r="K273" s="141" t="n">
        <x:f>H273+I273</x:f>
        <x:v>703.0610739014127</x:v>
      </x:c>
      <x:c r="L273" s="141" t="n">
        <x:f>SUM($J$6:J273)</x:f>
        <x:v>419845.14251548774</x:v>
      </x:c>
      <x:c r="M273" s="141" t="n">
        <x:f>MAX(0,E273-G273)</x:f>
        <x:v>57904.761904761996</x:v>
      </x:c>
    </x:row>
    <x:row r="274">
      <x:c r="A274" s="142" t="n">
        <x:v>269</x:v>
      </x:c>
      <x:c r="B274" s="179" t="n">
        <x:f>EDATE(Premissas!$B$4,268)</x:f>
        <x:v>54697</x:v>
      </x:c>
      <x:c r="C274" s="141" t="n">
        <x:f>M273</x:f>
        <x:v>57904.761904761996</x:v>
      </x:c>
      <x:c r="D274" s="141" t="n">
        <x:f>IF(C274&gt;0,C274*Premissas!$B$17,0)</x:f>
        <x:v>0</x:v>
      </x:c>
      <x:c r="E274" s="141" t="n">
        <x:f>C274+D274</x:f>
        <x:v>57904.761904761996</x:v>
      </x:c>
      <x:c r="F274" s="142" t="n">
        <x:f>MAX(0,Premissas!$B$13-A274+1)</x:f>
        <x:v>152</x:v>
      </x:c>
      <x:c r="G274" s="141" t="n">
        <x:f>IF(AND(E274&gt;0,F274&gt;0),IF(Premissas!$B$19="PRICE",MAX(0,MIN(E274,IF(Premissas!$B$15=0,E274/F274,E274*Premissas!$B$15/(1-(1+Premissas!$B$15)^(-F274)))-H274)),MIN(E274,E274/F274)),0)</x:f>
        <x:v>380.95238095238153</x:v>
      </x:c>
      <x:c r="H274" s="141" t="n">
        <x:f>IF(AND(E274&gt;0,F274&gt;0),E274*Premissas!$B$15,0)</x:f>
        <x:v>549.4462956406192</x:v>
      </x:c>
      <x:c r="I274" s="141" t="n">
        <x:f>IF(AND(E274&gt;0,F274&gt;0),Premissas!$B$18,0)</x:f>
        <x:v>150</x:v>
      </x:c>
      <x:c r="J274" s="141" t="n">
        <x:f>IF(AND(E274&gt;0,F274&gt;0),IF(Premissas!$B$19="PRICE",IF(Premissas!$B$15=0,E274/F274,E274*Premissas!$B$15/(1-(1+Premissas!$B$15)^(-F274)))+I274,G274+H274+I274),0)</x:f>
        <x:v>1080.3986765930008</x:v>
      </x:c>
      <x:c r="K274" s="141" t="n">
        <x:f>H274+I274</x:f>
        <x:v>699.4462956406192</x:v>
      </x:c>
      <x:c r="L274" s="141" t="n">
        <x:f>SUM($J$6:J274)</x:f>
        <x:v>420925.5411920807</x:v>
      </x:c>
      <x:c r="M274" s="141" t="n">
        <x:f>MAX(0,E274-G274)</x:f>
        <x:v>57523.809523809614</x:v>
      </x:c>
    </x:row>
    <x:row r="275">
      <x:c r="A275" s="142" t="n">
        <x:v>270</x:v>
      </x:c>
      <x:c r="B275" s="179" t="n">
        <x:f>EDATE(Premissas!$B$4,269)</x:f>
        <x:v>54728</x:v>
      </x:c>
      <x:c r="C275" s="141" t="n">
        <x:f>M274</x:f>
        <x:v>57523.809523809614</x:v>
      </x:c>
      <x:c r="D275" s="141" t="n">
        <x:f>IF(C275&gt;0,C275*Premissas!$B$17,0)</x:f>
        <x:v>0</x:v>
      </x:c>
      <x:c r="E275" s="141" t="n">
        <x:f>C275+D275</x:f>
        <x:v>57523.809523809614</x:v>
      </x:c>
      <x:c r="F275" s="142" t="n">
        <x:f>MAX(0,Premissas!$B$13-A275+1)</x:f>
        <x:v>151</x:v>
      </x:c>
      <x:c r="G275" s="141" t="n">
        <x:f>IF(AND(E275&gt;0,F275&gt;0),IF(Premissas!$B$19="PRICE",MAX(0,MIN(E275,IF(Premissas!$B$15=0,E275/F275,E275*Premissas!$B$15/(1-(1+Premissas!$B$15)^(-F275)))-H275)),MIN(E275,E275/F275)),0)</x:f>
        <x:v>380.95238095238153</x:v>
      </x:c>
      <x:c r="H275" s="141" t="n">
        <x:f>IF(AND(E275&gt;0,F275&gt;0),E275*Premissas!$B$15,0)</x:f>
        <x:v>545.8315173798255</x:v>
      </x:c>
      <x:c r="I275" s="141" t="n">
        <x:f>IF(AND(E275&gt;0,F275&gt;0),Premissas!$B$18,0)</x:f>
        <x:v>150</x:v>
      </x:c>
      <x:c r="J275" s="141" t="n">
        <x:f>IF(AND(E275&gt;0,F275&gt;0),IF(Premissas!$B$19="PRICE",IF(Premissas!$B$15=0,E275/F275,E275*Premissas!$B$15/(1-(1+Premissas!$B$15)^(-F275)))+I275,G275+H275+I275),0)</x:f>
        <x:v>1076.7838983322072</x:v>
      </x:c>
      <x:c r="K275" s="141" t="n">
        <x:f>H275+I275</x:f>
        <x:v>695.8315173798255</x:v>
      </x:c>
      <x:c r="L275" s="141" t="n">
        <x:f>SUM($J$6:J275)</x:f>
        <x:v>422002.3250904129</x:v>
      </x:c>
      <x:c r="M275" s="141" t="n">
        <x:f>MAX(0,E275-G275)</x:f>
        <x:v>57142.85714285723</x:v>
      </x:c>
    </x:row>
    <x:row r="276">
      <x:c r="A276" s="142" t="n">
        <x:v>271</x:v>
      </x:c>
      <x:c r="B276" s="179" t="n">
        <x:f>EDATE(Premissas!$B$4,270)</x:f>
        <x:v>54758</x:v>
      </x:c>
      <x:c r="C276" s="141" t="n">
        <x:f>M275</x:f>
        <x:v>57142.85714285723</x:v>
      </x:c>
      <x:c r="D276" s="141" t="n">
        <x:f>IF(C276&gt;0,C276*Premissas!$B$17,0)</x:f>
        <x:v>0</x:v>
      </x:c>
      <x:c r="E276" s="141" t="n">
        <x:f>C276+D276</x:f>
        <x:v>57142.85714285723</x:v>
      </x:c>
      <x:c r="F276" s="142" t="n">
        <x:f>MAX(0,Premissas!$B$13-A276+1)</x:f>
        <x:v>150</x:v>
      </x:c>
      <x:c r="G276" s="141" t="n">
        <x:f>IF(AND(E276&gt;0,F276&gt;0),IF(Premissas!$B$19="PRICE",MAX(0,MIN(E276,IF(Premissas!$B$15=0,E276/F276,E276*Premissas!$B$15/(1-(1+Premissas!$B$15)^(-F276)))-H276)),MIN(E276,E276/F276)),0)</x:f>
        <x:v>380.95238095238153</x:v>
      </x:c>
      <x:c r="H276" s="141" t="n">
        <x:f>IF(AND(E276&gt;0,F276&gt;0),E276*Premissas!$B$15,0)</x:f>
        <x:v>542.216739119032</x:v>
      </x:c>
      <x:c r="I276" s="141" t="n">
        <x:f>IF(AND(E276&gt;0,F276&gt;0),Premissas!$B$18,0)</x:f>
        <x:v>150</x:v>
      </x:c>
      <x:c r="J276" s="141" t="n">
        <x:f>IF(AND(E276&gt;0,F276&gt;0),IF(Premissas!$B$19="PRICE",IF(Premissas!$B$15=0,E276/F276,E276*Premissas!$B$15/(1-(1+Premissas!$B$15)^(-F276)))+I276,G276+H276+I276),0)</x:f>
        <x:v>1073.1691200714135</x:v>
      </x:c>
      <x:c r="K276" s="141" t="n">
        <x:f>H276+I276</x:f>
        <x:v>692.216739119032</x:v>
      </x:c>
      <x:c r="L276" s="141" t="n">
        <x:f>SUM($J$6:J276)</x:f>
        <x:v>423075.4942104843</x:v>
      </x:c>
      <x:c r="M276" s="141" t="n">
        <x:f>MAX(0,E276-G276)</x:f>
        <x:v>56761.90476190485</x:v>
      </x:c>
    </x:row>
    <x:row r="277">
      <x:c r="A277" s="142" t="n">
        <x:v>272</x:v>
      </x:c>
      <x:c r="B277" s="179" t="n">
        <x:f>EDATE(Premissas!$B$4,271)</x:f>
        <x:v>54789</x:v>
      </x:c>
      <x:c r="C277" s="141" t="n">
        <x:f>M276</x:f>
        <x:v>56761.90476190485</x:v>
      </x:c>
      <x:c r="D277" s="141" t="n">
        <x:f>IF(C277&gt;0,C277*Premissas!$B$17,0)</x:f>
        <x:v>0</x:v>
      </x:c>
      <x:c r="E277" s="141" t="n">
        <x:f>C277+D277</x:f>
        <x:v>56761.90476190485</x:v>
      </x:c>
      <x:c r="F277" s="142" t="n">
        <x:f>MAX(0,Premissas!$B$13-A277+1)</x:f>
        <x:v>149</x:v>
      </x:c>
      <x:c r="G277" s="141" t="n">
        <x:f>IF(AND(E277&gt;0,F277&gt;0),IF(Premissas!$B$19="PRICE",MAX(0,MIN(E277,IF(Premissas!$B$15=0,E277/F277,E277*Premissas!$B$15/(1-(1+Premissas!$B$15)^(-F277)))-H277)),MIN(E277,E277/F277)),0)</x:f>
        <x:v>380.95238095238153</x:v>
      </x:c>
      <x:c r="H277" s="141" t="n">
        <x:f>IF(AND(E277&gt;0,F277&gt;0),E277*Premissas!$B$15,0)</x:f>
        <x:v>538.6019608582385</x:v>
      </x:c>
      <x:c r="I277" s="141" t="n">
        <x:f>IF(AND(E277&gt;0,F277&gt;0),Premissas!$B$18,0)</x:f>
        <x:v>150</x:v>
      </x:c>
      <x:c r="J277" s="141" t="n">
        <x:f>IF(AND(E277&gt;0,F277&gt;0),IF(Premissas!$B$19="PRICE",IF(Premissas!$B$15=0,E277/F277,E277*Premissas!$B$15/(1-(1+Premissas!$B$15)^(-F277)))+I277,G277+H277+I277),0)</x:f>
        <x:v>1069.55434181062</x:v>
      </x:c>
      <x:c r="K277" s="141" t="n">
        <x:f>H277+I277</x:f>
        <x:v>688.6019608582385</x:v>
      </x:c>
      <x:c r="L277" s="141" t="n">
        <x:f>SUM($J$6:J277)</x:f>
        <x:v>424145.04855229496</x:v>
      </x:c>
      <x:c r="M277" s="141" t="n">
        <x:f>MAX(0,E277-G277)</x:f>
        <x:v>56380.95238095247</x:v>
      </x:c>
    </x:row>
    <x:row r="278">
      <x:c r="A278" s="142" t="n">
        <x:v>273</x:v>
      </x:c>
      <x:c r="B278" s="179" t="n">
        <x:f>EDATE(Premissas!$B$4,272)</x:f>
        <x:v>54820</x:v>
      </x:c>
      <x:c r="C278" s="141" t="n">
        <x:f>M277</x:f>
        <x:v>56380.95238095247</x:v>
      </x:c>
      <x:c r="D278" s="141" t="n">
        <x:f>IF(C278&gt;0,C278*Premissas!$B$17,0)</x:f>
        <x:v>0</x:v>
      </x:c>
      <x:c r="E278" s="141" t="n">
        <x:f>C278+D278</x:f>
        <x:v>56380.95238095247</x:v>
      </x:c>
      <x:c r="F278" s="142" t="n">
        <x:f>MAX(0,Premissas!$B$13-A278+1)</x:f>
        <x:v>148</x:v>
      </x:c>
      <x:c r="G278" s="141" t="n">
        <x:f>IF(AND(E278&gt;0,F278&gt;0),IF(Premissas!$B$19="PRICE",MAX(0,MIN(E278,IF(Premissas!$B$15=0,E278/F278,E278*Premissas!$B$15/(1-(1+Premissas!$B$15)^(-F278)))-H278)),MIN(E278,E278/F278)),0)</x:f>
        <x:v>380.95238095238153</x:v>
      </x:c>
      <x:c r="H278" s="141" t="n">
        <x:f>IF(AND(E278&gt;0,F278&gt;0),E278*Premissas!$B$15,0)</x:f>
        <x:v>534.987182597445</x:v>
      </x:c>
      <x:c r="I278" s="141" t="n">
        <x:f>IF(AND(E278&gt;0,F278&gt;0),Premissas!$B$18,0)</x:f>
        <x:v>150</x:v>
      </x:c>
      <x:c r="J278" s="141" t="n">
        <x:f>IF(AND(E278&gt;0,F278&gt;0),IF(Premissas!$B$19="PRICE",IF(Premissas!$B$15=0,E278/F278,E278*Premissas!$B$15/(1-(1+Premissas!$B$15)^(-F278)))+I278,G278+H278+I278),0)</x:f>
        <x:v>1065.9395635498265</x:v>
      </x:c>
      <x:c r="K278" s="141" t="n">
        <x:f>H278+I278</x:f>
        <x:v>684.987182597445</x:v>
      </x:c>
      <x:c r="L278" s="141" t="n">
        <x:f>SUM($J$6:J278)</x:f>
        <x:v>425210.9881158448</x:v>
      </x:c>
      <x:c r="M278" s="141" t="n">
        <x:f>MAX(0,E278-G278)</x:f>
        <x:v>56000.00000000009</x:v>
      </x:c>
    </x:row>
    <x:row r="279">
      <x:c r="A279" s="142" t="n">
        <x:v>274</x:v>
      </x:c>
      <x:c r="B279" s="179" t="n">
        <x:f>EDATE(Premissas!$B$4,273)</x:f>
        <x:v>54848</x:v>
      </x:c>
      <x:c r="C279" s="141" t="n">
        <x:f>M278</x:f>
        <x:v>56000.00000000009</x:v>
      </x:c>
      <x:c r="D279" s="141" t="n">
        <x:f>IF(C279&gt;0,C279*Premissas!$B$17,0)</x:f>
        <x:v>0</x:v>
      </x:c>
      <x:c r="E279" s="141" t="n">
        <x:f>C279+D279</x:f>
        <x:v>56000.00000000009</x:v>
      </x:c>
      <x:c r="F279" s="142" t="n">
        <x:f>MAX(0,Premissas!$B$13-A279+1)</x:f>
        <x:v>147</x:v>
      </x:c>
      <x:c r="G279" s="141" t="n">
        <x:f>IF(AND(E279&gt;0,F279&gt;0),IF(Premissas!$B$19="PRICE",MAX(0,MIN(E279,IF(Premissas!$B$15=0,E279/F279,E279*Premissas!$B$15/(1-(1+Premissas!$B$15)^(-F279)))-H279)),MIN(E279,E279/F279)),0)</x:f>
        <x:v>380.95238095238153</x:v>
      </x:c>
      <x:c r="H279" s="141" t="n">
        <x:f>IF(AND(E279&gt;0,F279&gt;0),E279*Premissas!$B$15,0)</x:f>
        <x:v>531.3724043366514</x:v>
      </x:c>
      <x:c r="I279" s="141" t="n">
        <x:f>IF(AND(E279&gt;0,F279&gt;0),Premissas!$B$18,0)</x:f>
        <x:v>150</x:v>
      </x:c>
      <x:c r="J279" s="141" t="n">
        <x:f>IF(AND(E279&gt;0,F279&gt;0),IF(Premissas!$B$19="PRICE",IF(Premissas!$B$15=0,E279/F279,E279*Premissas!$B$15/(1-(1+Premissas!$B$15)^(-F279)))+I279,G279+H279+I279),0)</x:f>
        <x:v>1062.324785289033</x:v>
      </x:c>
      <x:c r="K279" s="141" t="n">
        <x:f>H279+I279</x:f>
        <x:v>681.3724043366514</x:v>
      </x:c>
      <x:c r="L279" s="141" t="n">
        <x:f>SUM($J$6:J279)</x:f>
        <x:v>426273.3129011338</x:v>
      </x:c>
      <x:c r="M279" s="141" t="n">
        <x:f>MAX(0,E279-G279)</x:f>
        <x:v>55619.047619047706</x:v>
      </x:c>
    </x:row>
    <x:row r="280">
      <x:c r="A280" s="142" t="n">
        <x:v>275</x:v>
      </x:c>
      <x:c r="B280" s="179" t="n">
        <x:f>EDATE(Premissas!$B$4,274)</x:f>
        <x:v>54879</x:v>
      </x:c>
      <x:c r="C280" s="141" t="n">
        <x:f>M279</x:f>
        <x:v>55619.047619047706</x:v>
      </x:c>
      <x:c r="D280" s="141" t="n">
        <x:f>IF(C280&gt;0,C280*Premissas!$B$17,0)</x:f>
        <x:v>0</x:v>
      </x:c>
      <x:c r="E280" s="141" t="n">
        <x:f>C280+D280</x:f>
        <x:v>55619.047619047706</x:v>
      </x:c>
      <x:c r="F280" s="142" t="n">
        <x:f>MAX(0,Premissas!$B$13-A280+1)</x:f>
        <x:v>146</x:v>
      </x:c>
      <x:c r="G280" s="141" t="n">
        <x:f>IF(AND(E280&gt;0,F280&gt;0),IF(Premissas!$B$19="PRICE",MAX(0,MIN(E280,IF(Premissas!$B$15=0,E280/F280,E280*Premissas!$B$15/(1-(1+Premissas!$B$15)^(-F280)))-H280)),MIN(E280,E280/F280)),0)</x:f>
        <x:v>380.95238095238153</x:v>
      </x:c>
      <x:c r="H280" s="141" t="n">
        <x:f>IF(AND(E280&gt;0,F280&gt;0),E280*Premissas!$B$15,0)</x:f>
        <x:v>527.7576260758578</x:v>
      </x:c>
      <x:c r="I280" s="141" t="n">
        <x:f>IF(AND(E280&gt;0,F280&gt;0),Premissas!$B$18,0)</x:f>
        <x:v>150</x:v>
      </x:c>
      <x:c r="J280" s="141" t="n">
        <x:f>IF(AND(E280&gt;0,F280&gt;0),IF(Premissas!$B$19="PRICE",IF(Premissas!$B$15=0,E280/F280,E280*Premissas!$B$15/(1-(1+Premissas!$B$15)^(-F280)))+I280,G280+H280+I280),0)</x:f>
        <x:v>1058.7100070282395</x:v>
      </x:c>
      <x:c r="K280" s="141" t="n">
        <x:f>H280+I280</x:f>
        <x:v>677.7576260758578</x:v>
      </x:c>
      <x:c r="L280" s="141" t="n">
        <x:f>SUM($J$6:J280)</x:f>
        <x:v>427332.02290816203</x:v>
      </x:c>
      <x:c r="M280" s="141" t="n">
        <x:f>MAX(0,E280-G280)</x:f>
        <x:v>55238.095238095324</x:v>
      </x:c>
    </x:row>
    <x:row r="281">
      <x:c r="A281" s="142" t="n">
        <x:v>276</x:v>
      </x:c>
      <x:c r="B281" s="179" t="n">
        <x:f>EDATE(Premissas!$B$4,275)</x:f>
        <x:v>54909</x:v>
      </x:c>
      <x:c r="C281" s="141" t="n">
        <x:f>M280</x:f>
        <x:v>55238.095238095324</x:v>
      </x:c>
      <x:c r="D281" s="141" t="n">
        <x:f>IF(C281&gt;0,C281*Premissas!$B$17,0)</x:f>
        <x:v>0</x:v>
      </x:c>
      <x:c r="E281" s="141" t="n">
        <x:f>C281+D281</x:f>
        <x:v>55238.095238095324</x:v>
      </x:c>
      <x:c r="F281" s="142" t="n">
        <x:f>MAX(0,Premissas!$B$13-A281+1)</x:f>
        <x:v>145</x:v>
      </x:c>
      <x:c r="G281" s="141" t="n">
        <x:f>IF(AND(E281&gt;0,F281&gt;0),IF(Premissas!$B$19="PRICE",MAX(0,MIN(E281,IF(Premissas!$B$15=0,E281/F281,E281*Premissas!$B$15/(1-(1+Premissas!$B$15)^(-F281)))-H281)),MIN(E281,E281/F281)),0)</x:f>
        <x:v>380.95238095238153</x:v>
      </x:c>
      <x:c r="H281" s="141" t="n">
        <x:f>IF(AND(E281&gt;0,F281&gt;0),E281*Premissas!$B$15,0)</x:f>
        <x:v>524.1428478150643</x:v>
      </x:c>
      <x:c r="I281" s="141" t="n">
        <x:f>IF(AND(E281&gt;0,F281&gt;0),Premissas!$B$18,0)</x:f>
        <x:v>150</x:v>
      </x:c>
      <x:c r="J281" s="141" t="n">
        <x:f>IF(AND(E281&gt;0,F281&gt;0),IF(Premissas!$B$19="PRICE",IF(Premissas!$B$15=0,E281/F281,E281*Premissas!$B$15/(1-(1+Premissas!$B$15)^(-F281)))+I281,G281+H281+I281),0)</x:f>
        <x:v>1055.0952287674459</x:v>
      </x:c>
      <x:c r="K281" s="141" t="n">
        <x:f>H281+I281</x:f>
        <x:v>674.1428478150643</x:v>
      </x:c>
      <x:c r="L281" s="141" t="n">
        <x:f>SUM($J$6:J281)</x:f>
        <x:v>428387.11813692946</x:v>
      </x:c>
      <x:c r="M281" s="141" t="n">
        <x:f>MAX(0,E281-G281)</x:f>
        <x:v>54857.14285714294</x:v>
      </x:c>
    </x:row>
    <x:row r="282">
      <x:c r="A282" s="142" t="n">
        <x:v>277</x:v>
      </x:c>
      <x:c r="B282" s="179" t="n">
        <x:f>EDATE(Premissas!$B$4,276)</x:f>
        <x:v>54940</x:v>
      </x:c>
      <x:c r="C282" s="141" t="n">
        <x:f>M281</x:f>
        <x:v>54857.14285714294</x:v>
      </x:c>
      <x:c r="D282" s="141" t="n">
        <x:f>IF(C282&gt;0,C282*Premissas!$B$17,0)</x:f>
        <x:v>0</x:v>
      </x:c>
      <x:c r="E282" s="141" t="n">
        <x:f>C282+D282</x:f>
        <x:v>54857.14285714294</x:v>
      </x:c>
      <x:c r="F282" s="142" t="n">
        <x:f>MAX(0,Premissas!$B$13-A282+1)</x:f>
        <x:v>144</x:v>
      </x:c>
      <x:c r="G282" s="141" t="n">
        <x:f>IF(AND(E282&gt;0,F282&gt;0),IF(Premissas!$B$19="PRICE",MAX(0,MIN(E282,IF(Premissas!$B$15=0,E282/F282,E282*Premissas!$B$15/(1-(1+Premissas!$B$15)^(-F282)))-H282)),MIN(E282,E282/F282)),0)</x:f>
        <x:v>380.95238095238153</x:v>
      </x:c>
      <x:c r="H282" s="141" t="n">
        <x:f>IF(AND(E282&gt;0,F282&gt;0),E282*Premissas!$B$15,0)</x:f>
        <x:v>520.5280695542707</x:v>
      </x:c>
      <x:c r="I282" s="141" t="n">
        <x:f>IF(AND(E282&gt;0,F282&gt;0),Premissas!$B$18,0)</x:f>
        <x:v>150</x:v>
      </x:c>
      <x:c r="J282" s="141" t="n">
        <x:f>IF(AND(E282&gt;0,F282&gt;0),IF(Premissas!$B$19="PRICE",IF(Premissas!$B$15=0,E282/F282,E282*Premissas!$B$15/(1-(1+Premissas!$B$15)^(-F282)))+I282,G282+H282+I282),0)</x:f>
        <x:v>1051.4804505066522</x:v>
      </x:c>
      <x:c r="K282" s="141" t="n">
        <x:f>H282+I282</x:f>
        <x:v>670.5280695542707</x:v>
      </x:c>
      <x:c r="L282" s="141" t="n">
        <x:f>SUM($J$6:J282)</x:f>
        <x:v>429438.59858743614</x:v>
      </x:c>
      <x:c r="M282" s="141" t="n">
        <x:f>MAX(0,E282-G282)</x:f>
        <x:v>54476.19047619056</x:v>
      </x:c>
    </x:row>
    <x:row r="283">
      <x:c r="A283" s="142" t="n">
        <x:v>278</x:v>
      </x:c>
      <x:c r="B283" s="179" t="n">
        <x:f>EDATE(Premissas!$B$4,277)</x:f>
        <x:v>54970</x:v>
      </x:c>
      <x:c r="C283" s="141" t="n">
        <x:f>M282</x:f>
        <x:v>54476.19047619056</x:v>
      </x:c>
      <x:c r="D283" s="141" t="n">
        <x:f>IF(C283&gt;0,C283*Premissas!$B$17,0)</x:f>
        <x:v>0</x:v>
      </x:c>
      <x:c r="E283" s="141" t="n">
        <x:f>C283+D283</x:f>
        <x:v>54476.19047619056</x:v>
      </x:c>
      <x:c r="F283" s="142" t="n">
        <x:f>MAX(0,Premissas!$B$13-A283+1)</x:f>
        <x:v>143</x:v>
      </x:c>
      <x:c r="G283" s="141" t="n">
        <x:f>IF(AND(E283&gt;0,F283&gt;0),IF(Premissas!$B$19="PRICE",MAX(0,MIN(E283,IF(Premissas!$B$15=0,E283/F283,E283*Premissas!$B$15/(1-(1+Premissas!$B$15)^(-F283)))-H283)),MIN(E283,E283/F283)),0)</x:f>
        <x:v>380.95238095238153</x:v>
      </x:c>
      <x:c r="H283" s="141" t="n">
        <x:f>IF(AND(E283&gt;0,F283&gt;0),E283*Premissas!$B$15,0)</x:f>
        <x:v>516.9132912934772</x:v>
      </x:c>
      <x:c r="I283" s="141" t="n">
        <x:f>IF(AND(E283&gt;0,F283&gt;0),Premissas!$B$18,0)</x:f>
        <x:v>150</x:v>
      </x:c>
      <x:c r="J283" s="141" t="n">
        <x:f>IF(AND(E283&gt;0,F283&gt;0),IF(Premissas!$B$19="PRICE",IF(Premissas!$B$15=0,E283/F283,E283*Premissas!$B$15/(1-(1+Premissas!$B$15)^(-F283)))+I283,G283+H283+I283),0)</x:f>
        <x:v>1047.8656722458586</x:v>
      </x:c>
      <x:c r="K283" s="141" t="n">
        <x:f>H283+I283</x:f>
        <x:v>666.9132912934772</x:v>
      </x:c>
      <x:c r="L283" s="141" t="n">
        <x:f>SUM($J$6:J283)</x:f>
        <x:v>430486.464259682</x:v>
      </x:c>
      <x:c r="M283" s="141" t="n">
        <x:f>MAX(0,E283-G283)</x:f>
        <x:v>54095.23809523818</x:v>
      </x:c>
    </x:row>
    <x:row r="284">
      <x:c r="A284" s="142" t="n">
        <x:v>279</x:v>
      </x:c>
      <x:c r="B284" s="179" t="n">
        <x:f>EDATE(Premissas!$B$4,278)</x:f>
        <x:v>55001</x:v>
      </x:c>
      <x:c r="C284" s="141" t="n">
        <x:f>M283</x:f>
        <x:v>54095.23809523818</x:v>
      </x:c>
      <x:c r="D284" s="141" t="n">
        <x:f>IF(C284&gt;0,C284*Premissas!$B$17,0)</x:f>
        <x:v>0</x:v>
      </x:c>
      <x:c r="E284" s="141" t="n">
        <x:f>C284+D284</x:f>
        <x:v>54095.23809523818</x:v>
      </x:c>
      <x:c r="F284" s="142" t="n">
        <x:f>MAX(0,Premissas!$B$13-A284+1)</x:f>
        <x:v>142</x:v>
      </x:c>
      <x:c r="G284" s="141" t="n">
        <x:f>IF(AND(E284&gt;0,F284&gt;0),IF(Premissas!$B$19="PRICE",MAX(0,MIN(E284,IF(Premissas!$B$15=0,E284/F284,E284*Premissas!$B$15/(1-(1+Premissas!$B$15)^(-F284)))-H284)),MIN(E284,E284/F284)),0)</x:f>
        <x:v>380.95238095238153</x:v>
      </x:c>
      <x:c r="H284" s="141" t="n">
        <x:f>IF(AND(E284&gt;0,F284&gt;0),E284*Premissas!$B$15,0)</x:f>
        <x:v>513.2985130326837</x:v>
      </x:c>
      <x:c r="I284" s="141" t="n">
        <x:f>IF(AND(E284&gt;0,F284&gt;0),Premissas!$B$18,0)</x:f>
        <x:v>150</x:v>
      </x:c>
      <x:c r="J284" s="141" t="n">
        <x:f>IF(AND(E284&gt;0,F284&gt;0),IF(Premissas!$B$19="PRICE",IF(Premissas!$B$15=0,E284/F284,E284*Premissas!$B$15/(1-(1+Premissas!$B$15)^(-F284)))+I284,G284+H284+I284),0)</x:f>
        <x:v>1044.2508939850652</x:v>
      </x:c>
      <x:c r="K284" s="141" t="n">
        <x:f>H284+I284</x:f>
        <x:v>663.2985130326837</x:v>
      </x:c>
      <x:c r="L284" s="141" t="n">
        <x:f>SUM($J$6:J284)</x:f>
        <x:v>431530.715153667</x:v>
      </x:c>
      <x:c r="M284" s="141" t="n">
        <x:f>MAX(0,E284-G284)</x:f>
        <x:v>53714.2857142858</x:v>
      </x:c>
    </x:row>
    <x:row r="285">
      <x:c r="A285" s="142" t="n">
        <x:v>280</x:v>
      </x:c>
      <x:c r="B285" s="179" t="n">
        <x:f>EDATE(Premissas!$B$4,279)</x:f>
        <x:v>55032</x:v>
      </x:c>
      <x:c r="C285" s="141" t="n">
        <x:f>M284</x:f>
        <x:v>53714.2857142858</x:v>
      </x:c>
      <x:c r="D285" s="141" t="n">
        <x:f>IF(C285&gt;0,C285*Premissas!$B$17,0)</x:f>
        <x:v>0</x:v>
      </x:c>
      <x:c r="E285" s="141" t="n">
        <x:f>C285+D285</x:f>
        <x:v>53714.2857142858</x:v>
      </x:c>
      <x:c r="F285" s="142" t="n">
        <x:f>MAX(0,Premissas!$B$13-A285+1)</x:f>
        <x:v>141</x:v>
      </x:c>
      <x:c r="G285" s="141" t="n">
        <x:f>IF(AND(E285&gt;0,F285&gt;0),IF(Premissas!$B$19="PRICE",MAX(0,MIN(E285,IF(Premissas!$B$15=0,E285/F285,E285*Premissas!$B$15/(1-(1+Premissas!$B$15)^(-F285)))-H285)),MIN(E285,E285/F285)),0)</x:f>
        <x:v>380.95238095238153</x:v>
      </x:c>
      <x:c r="H285" s="141" t="n">
        <x:f>IF(AND(E285&gt;0,F285&gt;0),E285*Premissas!$B$15,0)</x:f>
        <x:v>509.6837347718901</x:v>
      </x:c>
      <x:c r="I285" s="141" t="n">
        <x:f>IF(AND(E285&gt;0,F285&gt;0),Premissas!$B$18,0)</x:f>
        <x:v>150</x:v>
      </x:c>
      <x:c r="J285" s="141" t="n">
        <x:f>IF(AND(E285&gt;0,F285&gt;0),IF(Premissas!$B$19="PRICE",IF(Premissas!$B$15=0,E285/F285,E285*Premissas!$B$15/(1-(1+Premissas!$B$15)^(-F285)))+I285,G285+H285+I285),0)</x:f>
        <x:v>1040.6361157242716</x:v>
      </x:c>
      <x:c r="K285" s="141" t="n">
        <x:f>H285+I285</x:f>
        <x:v>659.6837347718902</x:v>
      </x:c>
      <x:c r="L285" s="141" t="n">
        <x:f>SUM($J$6:J285)</x:f>
        <x:v>432571.3512693913</x:v>
      </x:c>
      <x:c r="M285" s="141" t="n">
        <x:f>MAX(0,E285-G285)</x:f>
        <x:v>53333.333333333416</x:v>
      </x:c>
    </x:row>
    <x:row r="286">
      <x:c r="A286" s="142" t="n">
        <x:v>281</x:v>
      </x:c>
      <x:c r="B286" s="179" t="n">
        <x:f>EDATE(Premissas!$B$4,280)</x:f>
        <x:v>55062</x:v>
      </x:c>
      <x:c r="C286" s="141" t="n">
        <x:f>M285</x:f>
        <x:v>53333.333333333416</x:v>
      </x:c>
      <x:c r="D286" s="141" t="n">
        <x:f>IF(C286&gt;0,C286*Premissas!$B$17,0)</x:f>
        <x:v>0</x:v>
      </x:c>
      <x:c r="E286" s="141" t="n">
        <x:f>C286+D286</x:f>
        <x:v>53333.333333333416</x:v>
      </x:c>
      <x:c r="F286" s="142" t="n">
        <x:f>MAX(0,Premissas!$B$13-A286+1)</x:f>
        <x:v>140</x:v>
      </x:c>
      <x:c r="G286" s="141" t="n">
        <x:f>IF(AND(E286&gt;0,F286&gt;0),IF(Premissas!$B$19="PRICE",MAX(0,MIN(E286,IF(Premissas!$B$15=0,E286/F286,E286*Premissas!$B$15/(1-(1+Premissas!$B$15)^(-F286)))-H286)),MIN(E286,E286/F286)),0)</x:f>
        <x:v>380.95238095238153</x:v>
      </x:c>
      <x:c r="H286" s="141" t="n">
        <x:f>IF(AND(E286&gt;0,F286&gt;0),E286*Premissas!$B$15,0)</x:f>
        <x:v>506.06895651109653</x:v>
      </x:c>
      <x:c r="I286" s="141" t="n">
        <x:f>IF(AND(E286&gt;0,F286&gt;0),Premissas!$B$18,0)</x:f>
        <x:v>150</x:v>
      </x:c>
      <x:c r="J286" s="141" t="n">
        <x:f>IF(AND(E286&gt;0,F286&gt;0),IF(Premissas!$B$19="PRICE",IF(Premissas!$B$15=0,E286/F286,E286*Premissas!$B$15/(1-(1+Premissas!$B$15)^(-F286)))+I286,G286+H286+I286),0)</x:f>
        <x:v>1037.0213374634782</x:v>
      </x:c>
      <x:c r="K286" s="141" t="n">
        <x:f>H286+I286</x:f>
        <x:v>656.0689565110965</x:v>
      </x:c>
      <x:c r="L286" s="141" t="n">
        <x:f>SUM($J$6:J286)</x:f>
        <x:v>433608.37260685477</x:v>
      </x:c>
      <x:c r="M286" s="141" t="n">
        <x:f>MAX(0,E286-G286)</x:f>
        <x:v>52952.380952381034</x:v>
      </x:c>
    </x:row>
    <x:row r="287">
      <x:c r="A287" s="142" t="n">
        <x:v>282</x:v>
      </x:c>
      <x:c r="B287" s="179" t="n">
        <x:f>EDATE(Premissas!$B$4,281)</x:f>
        <x:v>55093</x:v>
      </x:c>
      <x:c r="C287" s="141" t="n">
        <x:f>M286</x:f>
        <x:v>52952.380952381034</x:v>
      </x:c>
      <x:c r="D287" s="141" t="n">
        <x:f>IF(C287&gt;0,C287*Premissas!$B$17,0)</x:f>
        <x:v>0</x:v>
      </x:c>
      <x:c r="E287" s="141" t="n">
        <x:f>C287+D287</x:f>
        <x:v>52952.380952381034</x:v>
      </x:c>
      <x:c r="F287" s="142" t="n">
        <x:f>MAX(0,Premissas!$B$13-A287+1)</x:f>
        <x:v>139</x:v>
      </x:c>
      <x:c r="G287" s="141" t="n">
        <x:f>IF(AND(E287&gt;0,F287&gt;0),IF(Premissas!$B$19="PRICE",MAX(0,MIN(E287,IF(Premissas!$B$15=0,E287/F287,E287*Premissas!$B$15/(1-(1+Premissas!$B$15)^(-F287)))-H287)),MIN(E287,E287/F287)),0)</x:f>
        <x:v>380.95238095238153</x:v>
      </x:c>
      <x:c r="H287" s="141" t="n">
        <x:f>IF(AND(E287&gt;0,F287&gt;0),E287*Premissas!$B$15,0)</x:f>
        <x:v>502.454178250303</x:v>
      </x:c>
      <x:c r="I287" s="141" t="n">
        <x:f>IF(AND(E287&gt;0,F287&gt;0),Premissas!$B$18,0)</x:f>
        <x:v>150</x:v>
      </x:c>
      <x:c r="J287" s="141" t="n">
        <x:f>IF(AND(E287&gt;0,F287&gt;0),IF(Premissas!$B$19="PRICE",IF(Premissas!$B$15=0,E287/F287,E287*Premissas!$B$15/(1-(1+Premissas!$B$15)^(-F287)))+I287,G287+H287+I287),0)</x:f>
        <x:v>1033.4065592026845</x:v>
      </x:c>
      <x:c r="K287" s="141" t="n">
        <x:f>H287+I287</x:f>
        <x:v>652.454178250303</x:v>
      </x:c>
      <x:c r="L287" s="141" t="n">
        <x:f>SUM($J$6:J287)</x:f>
        <x:v>434641.7791660575</x:v>
      </x:c>
      <x:c r="M287" s="141" t="n">
        <x:f>MAX(0,E287-G287)</x:f>
        <x:v>52571.42857142865</x:v>
      </x:c>
    </x:row>
    <x:row r="288">
      <x:c r="A288" s="142" t="n">
        <x:v>283</x:v>
      </x:c>
      <x:c r="B288" s="179" t="n">
        <x:f>EDATE(Premissas!$B$4,282)</x:f>
        <x:v>55123</x:v>
      </x:c>
      <x:c r="C288" s="141" t="n">
        <x:f>M287</x:f>
        <x:v>52571.42857142865</x:v>
      </x:c>
      <x:c r="D288" s="141" t="n">
        <x:f>IF(C288&gt;0,C288*Premissas!$B$17,0)</x:f>
        <x:v>0</x:v>
      </x:c>
      <x:c r="E288" s="141" t="n">
        <x:f>C288+D288</x:f>
        <x:v>52571.42857142865</x:v>
      </x:c>
      <x:c r="F288" s="142" t="n">
        <x:f>MAX(0,Premissas!$B$13-A288+1)</x:f>
        <x:v>138</x:v>
      </x:c>
      <x:c r="G288" s="141" t="n">
        <x:f>IF(AND(E288&gt;0,F288&gt;0),IF(Premissas!$B$19="PRICE",MAX(0,MIN(E288,IF(Premissas!$B$15=0,E288/F288,E288*Premissas!$B$15/(1-(1+Premissas!$B$15)^(-F288)))-H288)),MIN(E288,E288/F288)),0)</x:f>
        <x:v>380.95238095238153</x:v>
      </x:c>
      <x:c r="H288" s="141" t="n">
        <x:f>IF(AND(E288&gt;0,F288&gt;0),E288*Premissas!$B$15,0)</x:f>
        <x:v>498.83939998950945</x:v>
      </x:c>
      <x:c r="I288" s="141" t="n">
        <x:f>IF(AND(E288&gt;0,F288&gt;0),Premissas!$B$18,0)</x:f>
        <x:v>150</x:v>
      </x:c>
      <x:c r="J288" s="141" t="n">
        <x:f>IF(AND(E288&gt;0,F288&gt;0),IF(Premissas!$B$19="PRICE",IF(Premissas!$B$15=0,E288/F288,E288*Premissas!$B$15/(1-(1+Premissas!$B$15)^(-F288)))+I288,G288+H288+I288),0)</x:f>
        <x:v>1029.791780941891</x:v>
      </x:c>
      <x:c r="K288" s="141" t="n">
        <x:f>H288+I288</x:f>
        <x:v>648.8393999895095</x:v>
      </x:c>
      <x:c r="L288" s="141" t="n">
        <x:f>SUM($J$6:J288)</x:f>
        <x:v>435671.57094699936</x:v>
      </x:c>
      <x:c r="M288" s="141" t="n">
        <x:f>MAX(0,E288-G288)</x:f>
        <x:v>52190.47619047627</x:v>
      </x:c>
    </x:row>
    <x:row r="289">
      <x:c r="A289" s="142" t="n">
        <x:v>284</x:v>
      </x:c>
      <x:c r="B289" s="179" t="n">
        <x:f>EDATE(Premissas!$B$4,283)</x:f>
        <x:v>55154</x:v>
      </x:c>
      <x:c r="C289" s="141" t="n">
        <x:f>M288</x:f>
        <x:v>52190.47619047627</x:v>
      </x:c>
      <x:c r="D289" s="141" t="n">
        <x:f>IF(C289&gt;0,C289*Premissas!$B$17,0)</x:f>
        <x:v>0</x:v>
      </x:c>
      <x:c r="E289" s="141" t="n">
        <x:f>C289+D289</x:f>
        <x:v>52190.47619047627</x:v>
      </x:c>
      <x:c r="F289" s="142" t="n">
        <x:f>MAX(0,Premissas!$B$13-A289+1)</x:f>
        <x:v>137</x:v>
      </x:c>
      <x:c r="G289" s="141" t="n">
        <x:f>IF(AND(E289&gt;0,F289&gt;0),IF(Premissas!$B$19="PRICE",MAX(0,MIN(E289,IF(Premissas!$B$15=0,E289/F289,E289*Premissas!$B$15/(1-(1+Premissas!$B$15)^(-F289)))-H289)),MIN(E289,E289/F289)),0)</x:f>
        <x:v>380.95238095238153</x:v>
      </x:c>
      <x:c r="H289" s="141" t="n">
        <x:f>IF(AND(E289&gt;0,F289&gt;0),E289*Premissas!$B$15,0)</x:f>
        <x:v>495.22462172871593</x:v>
      </x:c>
      <x:c r="I289" s="141" t="n">
        <x:f>IF(AND(E289&gt;0,F289&gt;0),Premissas!$B$18,0)</x:f>
        <x:v>150</x:v>
      </x:c>
      <x:c r="J289" s="141" t="n">
        <x:f>IF(AND(E289&gt;0,F289&gt;0),IF(Premissas!$B$19="PRICE",IF(Premissas!$B$15=0,E289/F289,E289*Premissas!$B$15/(1-(1+Premissas!$B$15)^(-F289)))+I289,G289+H289+I289),0)</x:f>
        <x:v>1026.1770026810975</x:v>
      </x:c>
      <x:c r="K289" s="141" t="n">
        <x:f>H289+I289</x:f>
        <x:v>645.2246217287159</x:v>
      </x:c>
      <x:c r="L289" s="141" t="n">
        <x:f>SUM($J$6:J289)</x:f>
        <x:v>436697.74794968043</x:v>
      </x:c>
      <x:c r="M289" s="141" t="n">
        <x:f>MAX(0,E289-G289)</x:f>
        <x:v>51809.52380952389</x:v>
      </x:c>
    </x:row>
    <x:row r="290">
      <x:c r="A290" s="142" t="n">
        <x:v>285</x:v>
      </x:c>
      <x:c r="B290" s="179" t="n">
        <x:f>EDATE(Premissas!$B$4,284)</x:f>
        <x:v>55185</x:v>
      </x:c>
      <x:c r="C290" s="141" t="n">
        <x:f>M289</x:f>
        <x:v>51809.52380952389</x:v>
      </x:c>
      <x:c r="D290" s="141" t="n">
        <x:f>IF(C290&gt;0,C290*Premissas!$B$17,0)</x:f>
        <x:v>0</x:v>
      </x:c>
      <x:c r="E290" s="141" t="n">
        <x:f>C290+D290</x:f>
        <x:v>51809.52380952389</x:v>
      </x:c>
      <x:c r="F290" s="142" t="n">
        <x:f>MAX(0,Premissas!$B$13-A290+1)</x:f>
        <x:v>136</x:v>
      </x:c>
      <x:c r="G290" s="141" t="n">
        <x:f>IF(AND(E290&gt;0,F290&gt;0),IF(Premissas!$B$19="PRICE",MAX(0,MIN(E290,IF(Premissas!$B$15=0,E290/F290,E290*Premissas!$B$15/(1-(1+Premissas!$B$15)^(-F290)))-H290)),MIN(E290,E290/F290)),0)</x:f>
        <x:v>380.95238095238153</x:v>
      </x:c>
      <x:c r="H290" s="141" t="n">
        <x:f>IF(AND(E290&gt;0,F290&gt;0),E290*Premissas!$B$15,0)</x:f>
        <x:v>491.60984346792236</x:v>
      </x:c>
      <x:c r="I290" s="141" t="n">
        <x:f>IF(AND(E290&gt;0,F290&gt;0),Premissas!$B$18,0)</x:f>
        <x:v>150</x:v>
      </x:c>
      <x:c r="J290" s="141" t="n">
        <x:f>IF(AND(E290&gt;0,F290&gt;0),IF(Premissas!$B$19="PRICE",IF(Premissas!$B$15=0,E290/F290,E290*Premissas!$B$15/(1-(1+Premissas!$B$15)^(-F290)))+I290,G290+H290+I290),0)</x:f>
        <x:v>1022.5622244203039</x:v>
      </x:c>
      <x:c r="K290" s="141" t="n">
        <x:f>H290+I290</x:f>
        <x:v>641.6098434679224</x:v>
      </x:c>
      <x:c r="L290" s="141" t="n">
        <x:f>SUM($J$6:J290)</x:f>
        <x:v>437720.31017410074</x:v>
      </x:c>
      <x:c r="M290" s="141" t="n">
        <x:f>MAX(0,E290-G290)</x:f>
        <x:v>51428.57142857151</x:v>
      </x:c>
    </x:row>
    <x:row r="291">
      <x:c r="A291" s="142" t="n">
        <x:v>286</x:v>
      </x:c>
      <x:c r="B291" s="179" t="n">
        <x:f>EDATE(Premissas!$B$4,285)</x:f>
        <x:v>55213</x:v>
      </x:c>
      <x:c r="C291" s="141" t="n">
        <x:f>M290</x:f>
        <x:v>51428.57142857151</x:v>
      </x:c>
      <x:c r="D291" s="141" t="n">
        <x:f>IF(C291&gt;0,C291*Premissas!$B$17,0)</x:f>
        <x:v>0</x:v>
      </x:c>
      <x:c r="E291" s="141" t="n">
        <x:f>C291+D291</x:f>
        <x:v>51428.57142857151</x:v>
      </x:c>
      <x:c r="F291" s="142" t="n">
        <x:f>MAX(0,Premissas!$B$13-A291+1)</x:f>
        <x:v>135</x:v>
      </x:c>
      <x:c r="G291" s="141" t="n">
        <x:f>IF(AND(E291&gt;0,F291&gt;0),IF(Premissas!$B$19="PRICE",MAX(0,MIN(E291,IF(Premissas!$B$15=0,E291/F291,E291*Premissas!$B$15/(1-(1+Premissas!$B$15)^(-F291)))-H291)),MIN(E291,E291/F291)),0)</x:f>
        <x:v>380.95238095238153</x:v>
      </x:c>
      <x:c r="H291" s="141" t="n">
        <x:f>IF(AND(E291&gt;0,F291&gt;0),E291*Premissas!$B$15,0)</x:f>
        <x:v>487.9950652071288</x:v>
      </x:c>
      <x:c r="I291" s="141" t="n">
        <x:f>IF(AND(E291&gt;0,F291&gt;0),Premissas!$B$18,0)</x:f>
        <x:v>150</x:v>
      </x:c>
      <x:c r="J291" s="141" t="n">
        <x:f>IF(AND(E291&gt;0,F291&gt;0),IF(Premissas!$B$19="PRICE",IF(Premissas!$B$15=0,E291/F291,E291*Premissas!$B$15/(1-(1+Premissas!$B$15)^(-F291)))+I291,G291+H291+I291),0)</x:f>
        <x:v>1018.9474461595103</x:v>
      </x:c>
      <x:c r="K291" s="141" t="n">
        <x:f>H291+I291</x:f>
        <x:v>637.9950652071288</x:v>
      </x:c>
      <x:c r="L291" s="141" t="n">
        <x:f>SUM($J$6:J291)</x:f>
        <x:v>438739.25762026024</x:v>
      </x:c>
      <x:c r="M291" s="141" t="n">
        <x:f>MAX(0,E291-G291)</x:f>
        <x:v>51047.619047619126</x:v>
      </x:c>
    </x:row>
    <x:row r="292">
      <x:c r="A292" s="142" t="n">
        <x:v>287</x:v>
      </x:c>
      <x:c r="B292" s="179" t="n">
        <x:f>EDATE(Premissas!$B$4,286)</x:f>
        <x:v>55244</x:v>
      </x:c>
      <x:c r="C292" s="141" t="n">
        <x:f>M291</x:f>
        <x:v>51047.619047619126</x:v>
      </x:c>
      <x:c r="D292" s="141" t="n">
        <x:f>IF(C292&gt;0,C292*Premissas!$B$17,0)</x:f>
        <x:v>0</x:v>
      </x:c>
      <x:c r="E292" s="141" t="n">
        <x:f>C292+D292</x:f>
        <x:v>51047.619047619126</x:v>
      </x:c>
      <x:c r="F292" s="142" t="n">
        <x:f>MAX(0,Premissas!$B$13-A292+1)</x:f>
        <x:v>134</x:v>
      </x:c>
      <x:c r="G292" s="141" t="n">
        <x:f>IF(AND(E292&gt;0,F292&gt;0),IF(Premissas!$B$19="PRICE",MAX(0,MIN(E292,IF(Premissas!$B$15=0,E292/F292,E292*Premissas!$B$15/(1-(1+Premissas!$B$15)^(-F292)))-H292)),MIN(E292,E292/F292)),0)</x:f>
        <x:v>380.95238095238153</x:v>
      </x:c>
      <x:c r="H292" s="141" t="n">
        <x:f>IF(AND(E292&gt;0,F292&gt;0),E292*Premissas!$B$15,0)</x:f>
        <x:v>484.3802869463353</x:v>
      </x:c>
      <x:c r="I292" s="141" t="n">
        <x:f>IF(AND(E292&gt;0,F292&gt;0),Premissas!$B$18,0)</x:f>
        <x:v>150</x:v>
      </x:c>
      <x:c r="J292" s="141" t="n">
        <x:f>IF(AND(E292&gt;0,F292&gt;0),IF(Premissas!$B$19="PRICE",IF(Premissas!$B$15=0,E292/F292,E292*Premissas!$B$15/(1-(1+Premissas!$B$15)^(-F292)))+I292,G292+H292+I292),0)</x:f>
        <x:v>1015.3326678987169</x:v>
      </x:c>
      <x:c r="K292" s="141" t="n">
        <x:f>H292+I292</x:f>
        <x:v>634.3802869463352</x:v>
      </x:c>
      <x:c r="L292" s="141" t="n">
        <x:f>SUM($J$6:J292)</x:f>
        <x:v>439754.590288159</x:v>
      </x:c>
      <x:c r="M292" s="141" t="n">
        <x:f>MAX(0,E292-G292)</x:f>
        <x:v>50666.666666666744</x:v>
      </x:c>
    </x:row>
    <x:row r="293">
      <x:c r="A293" s="142" t="n">
        <x:v>288</x:v>
      </x:c>
      <x:c r="B293" s="179" t="n">
        <x:f>EDATE(Premissas!$B$4,287)</x:f>
        <x:v>55274</x:v>
      </x:c>
      <x:c r="C293" s="141" t="n">
        <x:f>M292</x:f>
        <x:v>50666.666666666744</x:v>
      </x:c>
      <x:c r="D293" s="141" t="n">
        <x:f>IF(C293&gt;0,C293*Premissas!$B$17,0)</x:f>
        <x:v>0</x:v>
      </x:c>
      <x:c r="E293" s="141" t="n">
        <x:f>C293+D293</x:f>
        <x:v>50666.666666666744</x:v>
      </x:c>
      <x:c r="F293" s="142" t="n">
        <x:f>MAX(0,Premissas!$B$13-A293+1)</x:f>
        <x:v>133</x:v>
      </x:c>
      <x:c r="G293" s="141" t="n">
        <x:f>IF(AND(E293&gt;0,F293&gt;0),IF(Premissas!$B$19="PRICE",MAX(0,MIN(E293,IF(Premissas!$B$15=0,E293/F293,E293*Premissas!$B$15/(1-(1+Premissas!$B$15)^(-F293)))-H293)),MIN(E293,E293/F293)),0)</x:f>
        <x:v>380.95238095238153</x:v>
      </x:c>
      <x:c r="H293" s="141" t="n">
        <x:f>IF(AND(E293&gt;0,F293&gt;0),E293*Premissas!$B$15,0)</x:f>
        <x:v>480.7655086855417</x:v>
      </x:c>
      <x:c r="I293" s="141" t="n">
        <x:f>IF(AND(E293&gt;0,F293&gt;0),Premissas!$B$18,0)</x:f>
        <x:v>150</x:v>
      </x:c>
      <x:c r="J293" s="141" t="n">
        <x:f>IF(AND(E293&gt;0,F293&gt;0),IF(Premissas!$B$19="PRICE",IF(Premissas!$B$15=0,E293/F293,E293*Premissas!$B$15/(1-(1+Premissas!$B$15)^(-F293)))+I293,G293+H293+I293),0)</x:f>
        <x:v>1011.7178896379232</x:v>
      </x:c>
      <x:c r="K293" s="141" t="n">
        <x:f>H293+I293</x:f>
        <x:v>630.7655086855417</x:v>
      </x:c>
      <x:c r="L293" s="141" t="n">
        <x:f>SUM($J$6:J293)</x:f>
        <x:v>440766.3081777969</x:v>
      </x:c>
      <x:c r="M293" s="141" t="n">
        <x:f>MAX(0,E293-G293)</x:f>
        <x:v>50285.71428571436</x:v>
      </x:c>
    </x:row>
    <x:row r="294">
      <x:c r="A294" s="142" t="n">
        <x:v>289</x:v>
      </x:c>
      <x:c r="B294" s="179" t="n">
        <x:f>EDATE(Premissas!$B$4,288)</x:f>
        <x:v>55305</x:v>
      </x:c>
      <x:c r="C294" s="141" t="n">
        <x:f>M293</x:f>
        <x:v>50285.71428571436</x:v>
      </x:c>
      <x:c r="D294" s="141" t="n">
        <x:f>IF(C294&gt;0,C294*Premissas!$B$17,0)</x:f>
        <x:v>0</x:v>
      </x:c>
      <x:c r="E294" s="141" t="n">
        <x:f>C294+D294</x:f>
        <x:v>50285.71428571436</x:v>
      </x:c>
      <x:c r="F294" s="142" t="n">
        <x:f>MAX(0,Premissas!$B$13-A294+1)</x:f>
        <x:v>132</x:v>
      </x:c>
      <x:c r="G294" s="141" t="n">
        <x:f>IF(AND(E294&gt;0,F294&gt;0),IF(Premissas!$B$19="PRICE",MAX(0,MIN(E294,IF(Premissas!$B$15=0,E294/F294,E294*Premissas!$B$15/(1-(1+Premissas!$B$15)^(-F294)))-H294)),MIN(E294,E294/F294)),0)</x:f>
        <x:v>380.95238095238153</x:v>
      </x:c>
      <x:c r="H294" s="141" t="n">
        <x:f>IF(AND(E294&gt;0,F294&gt;0),E294*Premissas!$B$15,0)</x:f>
        <x:v>477.1507304247482</x:v>
      </x:c>
      <x:c r="I294" s="141" t="n">
        <x:f>IF(AND(E294&gt;0,F294&gt;0),Premissas!$B$18,0)</x:f>
        <x:v>150</x:v>
      </x:c>
      <x:c r="J294" s="141" t="n">
        <x:f>IF(AND(E294&gt;0,F294&gt;0),IF(Premissas!$B$19="PRICE",IF(Premissas!$B$15=0,E294/F294,E294*Premissas!$B$15/(1-(1+Premissas!$B$15)^(-F294)))+I294,G294+H294+I294),0)</x:f>
        <x:v>1008.1031113771297</x:v>
      </x:c>
      <x:c r="K294" s="141" t="n">
        <x:f>H294+I294</x:f>
        <x:v>627.1507304247482</x:v>
      </x:c>
      <x:c r="L294" s="141" t="n">
        <x:f>SUM($J$6:J294)</x:f>
        <x:v>441774.411289174</x:v>
      </x:c>
      <x:c r="M294" s="141" t="n">
        <x:f>MAX(0,E294-G294)</x:f>
        <x:v>49904.76190476198</x:v>
      </x:c>
    </x:row>
    <x:row r="295">
      <x:c r="A295" s="142" t="n">
        <x:v>290</x:v>
      </x:c>
      <x:c r="B295" s="179" t="n">
        <x:f>EDATE(Premissas!$B$4,289)</x:f>
        <x:v>55335</x:v>
      </x:c>
      <x:c r="C295" s="141" t="n">
        <x:f>M294</x:f>
        <x:v>49904.76190476198</x:v>
      </x:c>
      <x:c r="D295" s="141" t="n">
        <x:f>IF(C295&gt;0,C295*Premissas!$B$17,0)</x:f>
        <x:v>0</x:v>
      </x:c>
      <x:c r="E295" s="141" t="n">
        <x:f>C295+D295</x:f>
        <x:v>49904.76190476198</x:v>
      </x:c>
      <x:c r="F295" s="142" t="n">
        <x:f>MAX(0,Premissas!$B$13-A295+1)</x:f>
        <x:v>131</x:v>
      </x:c>
      <x:c r="G295" s="141" t="n">
        <x:f>IF(AND(E295&gt;0,F295&gt;0),IF(Premissas!$B$19="PRICE",MAX(0,MIN(E295,IF(Premissas!$B$15=0,E295/F295,E295*Premissas!$B$15/(1-(1+Premissas!$B$15)^(-F295)))-H295)),MIN(E295,E295/F295)),0)</x:f>
        <x:v>380.95238095238153</x:v>
      </x:c>
      <x:c r="H295" s="141" t="n">
        <x:f>IF(AND(E295&gt;0,F295&gt;0),E295*Premissas!$B$15,0)</x:f>
        <x:v>473.5359521639546</x:v>
      </x:c>
      <x:c r="I295" s="141" t="n">
        <x:f>IF(AND(E295&gt;0,F295&gt;0),Premissas!$B$18,0)</x:f>
        <x:v>150</x:v>
      </x:c>
      <x:c r="J295" s="141" t="n">
        <x:f>IF(AND(E295&gt;0,F295&gt;0),IF(Premissas!$B$19="PRICE",IF(Premissas!$B$15=0,E295/F295,E295*Premissas!$B$15/(1-(1+Premissas!$B$15)^(-F295)))+I295,G295+H295+I295),0)</x:f>
        <x:v>1004.4883331163362</x:v>
      </x:c>
      <x:c r="K295" s="141" t="n">
        <x:f>H295+I295</x:f>
        <x:v>623.5359521639546</x:v>
      </x:c>
      <x:c r="L295" s="141" t="n">
        <x:f>SUM($J$6:J295)</x:f>
        <x:v>442778.89962229034</x:v>
      </x:c>
      <x:c r="M295" s="141" t="n">
        <x:f>MAX(0,E295-G295)</x:f>
        <x:v>49523.8095238096</x:v>
      </x:c>
    </x:row>
    <x:row r="296">
      <x:c r="A296" s="142" t="n">
        <x:v>291</x:v>
      </x:c>
      <x:c r="B296" s="179" t="n">
        <x:f>EDATE(Premissas!$B$4,290)</x:f>
        <x:v>55366</x:v>
      </x:c>
      <x:c r="C296" s="141" t="n">
        <x:f>M295</x:f>
        <x:v>49523.8095238096</x:v>
      </x:c>
      <x:c r="D296" s="141" t="n">
        <x:f>IF(C296&gt;0,C296*Premissas!$B$17,0)</x:f>
        <x:v>0</x:v>
      </x:c>
      <x:c r="E296" s="141" t="n">
        <x:f>C296+D296</x:f>
        <x:v>49523.8095238096</x:v>
      </x:c>
      <x:c r="F296" s="142" t="n">
        <x:f>MAX(0,Premissas!$B$13-A296+1)</x:f>
        <x:v>130</x:v>
      </x:c>
      <x:c r="G296" s="141" t="n">
        <x:f>IF(AND(E296&gt;0,F296&gt;0),IF(Premissas!$B$19="PRICE",MAX(0,MIN(E296,IF(Premissas!$B$15=0,E296/F296,E296*Premissas!$B$15/(1-(1+Premissas!$B$15)^(-F296)))-H296)),MIN(E296,E296/F296)),0)</x:f>
        <x:v>380.95238095238153</x:v>
      </x:c>
      <x:c r="H296" s="141" t="n">
        <x:f>IF(AND(E296&gt;0,F296&gt;0),E296*Premissas!$B$15,0)</x:f>
        <x:v>469.9211739031611</x:v>
      </x:c>
      <x:c r="I296" s="141" t="n">
        <x:f>IF(AND(E296&gt;0,F296&gt;0),Premissas!$B$18,0)</x:f>
        <x:v>150</x:v>
      </x:c>
      <x:c r="J296" s="141" t="n">
        <x:f>IF(AND(E296&gt;0,F296&gt;0),IF(Premissas!$B$19="PRICE",IF(Premissas!$B$15=0,E296/F296,E296*Premissas!$B$15/(1-(1+Premissas!$B$15)^(-F296)))+I296,G296+H296+I296),0)</x:f>
        <x:v>1000.8735548555426</x:v>
      </x:c>
      <x:c r="K296" s="141" t="n">
        <x:f>H296+I296</x:f>
        <x:v>619.9211739031612</x:v>
      </x:c>
      <x:c r="L296" s="141" t="n">
        <x:f>SUM($J$6:J296)</x:f>
        <x:v>443779.77317714586</x:v>
      </x:c>
      <x:c r="M296" s="141" t="n">
        <x:f>MAX(0,E296-G296)</x:f>
        <x:v>49142.85714285722</x:v>
      </x:c>
    </x:row>
    <x:row r="297">
      <x:c r="A297" s="142" t="n">
        <x:v>292</x:v>
      </x:c>
      <x:c r="B297" s="179" t="n">
        <x:f>EDATE(Premissas!$B$4,291)</x:f>
        <x:v>55397</x:v>
      </x:c>
      <x:c r="C297" s="141" t="n">
        <x:f>M296</x:f>
        <x:v>49142.85714285722</x:v>
      </x:c>
      <x:c r="D297" s="141" t="n">
        <x:f>IF(C297&gt;0,C297*Premissas!$B$17,0)</x:f>
        <x:v>0</x:v>
      </x:c>
      <x:c r="E297" s="141" t="n">
        <x:f>C297+D297</x:f>
        <x:v>49142.85714285722</x:v>
      </x:c>
      <x:c r="F297" s="142" t="n">
        <x:f>MAX(0,Premissas!$B$13-A297+1)</x:f>
        <x:v>129</x:v>
      </x:c>
      <x:c r="G297" s="141" t="n">
        <x:f>IF(AND(E297&gt;0,F297&gt;0),IF(Premissas!$B$19="PRICE",MAX(0,MIN(E297,IF(Premissas!$B$15=0,E297/F297,E297*Premissas!$B$15/(1-(1+Premissas!$B$15)^(-F297)))-H297)),MIN(E297,E297/F297)),0)</x:f>
        <x:v>380.95238095238153</x:v>
      </x:c>
      <x:c r="H297" s="141" t="n">
        <x:f>IF(AND(E297&gt;0,F297&gt;0),E297*Premissas!$B$15,0)</x:f>
        <x:v>466.30639564236753</x:v>
      </x:c>
      <x:c r="I297" s="141" t="n">
        <x:f>IF(AND(E297&gt;0,F297&gt;0),Premissas!$B$18,0)</x:f>
        <x:v>150</x:v>
      </x:c>
      <x:c r="J297" s="141" t="n">
        <x:f>IF(AND(E297&gt;0,F297&gt;0),IF(Premissas!$B$19="PRICE",IF(Premissas!$B$15=0,E297/F297,E297*Premissas!$B$15/(1-(1+Premissas!$B$15)^(-F297)))+I297,G297+H297+I297),0)</x:f>
        <x:v>997.2587765947491</x:v>
      </x:c>
      <x:c r="K297" s="141" t="n">
        <x:f>H297+I297</x:f>
        <x:v>616.3063956423675</x:v>
      </x:c>
      <x:c r="L297" s="141" t="n">
        <x:f>SUM($J$6:J297)</x:f>
        <x:v>444777.03195374063</x:v>
      </x:c>
      <x:c r="M297" s="141" t="n">
        <x:f>MAX(0,E297-G297)</x:f>
        <x:v>48761.904761904836</x:v>
      </x:c>
    </x:row>
    <x:row r="298">
      <x:c r="A298" s="142" t="n">
        <x:v>293</x:v>
      </x:c>
      <x:c r="B298" s="179" t="n">
        <x:f>EDATE(Premissas!$B$4,292)</x:f>
        <x:v>55427</x:v>
      </x:c>
      <x:c r="C298" s="141" t="n">
        <x:f>M297</x:f>
        <x:v>48761.904761904836</x:v>
      </x:c>
      <x:c r="D298" s="141" t="n">
        <x:f>IF(C298&gt;0,C298*Premissas!$B$17,0)</x:f>
        <x:v>0</x:v>
      </x:c>
      <x:c r="E298" s="141" t="n">
        <x:f>C298+D298</x:f>
        <x:v>48761.904761904836</x:v>
      </x:c>
      <x:c r="F298" s="142" t="n">
        <x:f>MAX(0,Premissas!$B$13-A298+1)</x:f>
        <x:v>128</x:v>
      </x:c>
      <x:c r="G298" s="141" t="n">
        <x:f>IF(AND(E298&gt;0,F298&gt;0),IF(Premissas!$B$19="PRICE",MAX(0,MIN(E298,IF(Premissas!$B$15=0,E298/F298,E298*Premissas!$B$15/(1-(1+Premissas!$B$15)^(-F298)))-H298)),MIN(E298,E298/F298)),0)</x:f>
        <x:v>380.95238095238153</x:v>
      </x:c>
      <x:c r="H298" s="141" t="n">
        <x:f>IF(AND(E298&gt;0,F298&gt;0),E298*Premissas!$B$15,0)</x:f>
        <x:v>462.69161738157396</x:v>
      </x:c>
      <x:c r="I298" s="141" t="n">
        <x:f>IF(AND(E298&gt;0,F298&gt;0),Premissas!$B$18,0)</x:f>
        <x:v>150</x:v>
      </x:c>
      <x:c r="J298" s="141" t="n">
        <x:f>IF(AND(E298&gt;0,F298&gt;0),IF(Premissas!$B$19="PRICE",IF(Premissas!$B$15=0,E298/F298,E298*Premissas!$B$15/(1-(1+Premissas!$B$15)^(-F298)))+I298,G298+H298+I298),0)</x:f>
        <x:v>993.6439983339556</x:v>
      </x:c>
      <x:c r="K298" s="141" t="n">
        <x:f>H298+I298</x:f>
        <x:v>612.6916173815739</x:v>
      </x:c>
      <x:c r="L298" s="141" t="n">
        <x:f>SUM($J$6:J298)</x:f>
        <x:v>445770.6759520746</x:v>
      </x:c>
      <x:c r="M298" s="141" t="n">
        <x:f>MAX(0,E298-G298)</x:f>
        <x:v>48380.952380952454</x:v>
      </x:c>
    </x:row>
    <x:row r="299">
      <x:c r="A299" s="142" t="n">
        <x:v>294</x:v>
      </x:c>
      <x:c r="B299" s="179" t="n">
        <x:f>EDATE(Premissas!$B$4,293)</x:f>
        <x:v>55458</x:v>
      </x:c>
      <x:c r="C299" s="141" t="n">
        <x:f>M298</x:f>
        <x:v>48380.952380952454</x:v>
      </x:c>
      <x:c r="D299" s="141" t="n">
        <x:f>IF(C299&gt;0,C299*Premissas!$B$17,0)</x:f>
        <x:v>0</x:v>
      </x:c>
      <x:c r="E299" s="141" t="n">
        <x:f>C299+D299</x:f>
        <x:v>48380.952380952454</x:v>
      </x:c>
      <x:c r="F299" s="142" t="n">
        <x:f>MAX(0,Premissas!$B$13-A299+1)</x:f>
        <x:v>127</x:v>
      </x:c>
      <x:c r="G299" s="141" t="n">
        <x:f>IF(AND(E299&gt;0,F299&gt;0),IF(Premissas!$B$19="PRICE",MAX(0,MIN(E299,IF(Premissas!$B$15=0,E299/F299,E299*Premissas!$B$15/(1-(1+Premissas!$B$15)^(-F299)))-H299)),MIN(E299,E299/F299)),0)</x:f>
        <x:v>380.95238095238153</x:v>
      </x:c>
      <x:c r="H299" s="141" t="n">
        <x:f>IF(AND(E299&gt;0,F299&gt;0),E299*Premissas!$B$15,0)</x:f>
        <x:v>459.07683912078045</x:v>
      </x:c>
      <x:c r="I299" s="141" t="n">
        <x:f>IF(AND(E299&gt;0,F299&gt;0),Premissas!$B$18,0)</x:f>
        <x:v>150</x:v>
      </x:c>
      <x:c r="J299" s="141" t="n">
        <x:f>IF(AND(E299&gt;0,F299&gt;0),IF(Premissas!$B$19="PRICE",IF(Premissas!$B$15=0,E299/F299,E299*Premissas!$B$15/(1-(1+Premissas!$B$15)^(-F299)))+I299,G299+H299+I299),0)</x:f>
        <x:v>990.0292200731619</x:v>
      </x:c>
      <x:c r="K299" s="141" t="n">
        <x:f>H299+I299</x:f>
        <x:v>609.0768391207805</x:v>
      </x:c>
      <x:c r="L299" s="141" t="n">
        <x:f>SUM($J$6:J299)</x:f>
        <x:v>446760.7051721477</x:v>
      </x:c>
      <x:c r="M299" s="141" t="n">
        <x:f>MAX(0,E299-G299)</x:f>
        <x:v>48000.00000000007</x:v>
      </x:c>
    </x:row>
    <x:row r="300">
      <x:c r="A300" s="142" t="n">
        <x:v>295</x:v>
      </x:c>
      <x:c r="B300" s="179" t="n">
        <x:f>EDATE(Premissas!$B$4,294)</x:f>
        <x:v>55488</x:v>
      </x:c>
      <x:c r="C300" s="141" t="n">
        <x:f>M299</x:f>
        <x:v>48000.00000000007</x:v>
      </x:c>
      <x:c r="D300" s="141" t="n">
        <x:f>IF(C300&gt;0,C300*Premissas!$B$17,0)</x:f>
        <x:v>0</x:v>
      </x:c>
      <x:c r="E300" s="141" t="n">
        <x:f>C300+D300</x:f>
        <x:v>48000.00000000007</x:v>
      </x:c>
      <x:c r="F300" s="142" t="n">
        <x:f>MAX(0,Premissas!$B$13-A300+1)</x:f>
        <x:v>126</x:v>
      </x:c>
      <x:c r="G300" s="141" t="n">
        <x:f>IF(AND(E300&gt;0,F300&gt;0),IF(Premissas!$B$19="PRICE",MAX(0,MIN(E300,IF(Premissas!$B$15=0,E300/F300,E300*Premissas!$B$15/(1-(1+Premissas!$B$15)^(-F300)))-H300)),MIN(E300,E300/F300)),0)</x:f>
        <x:v>380.95238095238153</x:v>
      </x:c>
      <x:c r="H300" s="141" t="n">
        <x:f>IF(AND(E300&gt;0,F300&gt;0),E300*Premissas!$B$15,0)</x:f>
        <x:v>455.4620608599869</x:v>
      </x:c>
      <x:c r="I300" s="141" t="n">
        <x:f>IF(AND(E300&gt;0,F300&gt;0),Premissas!$B$18,0)</x:f>
        <x:v>150</x:v>
      </x:c>
      <x:c r="J300" s="141" t="n">
        <x:f>IF(AND(E300&gt;0,F300&gt;0),IF(Premissas!$B$19="PRICE",IF(Premissas!$B$15=0,E300/F300,E300*Premissas!$B$15/(1-(1+Premissas!$B$15)^(-F300)))+I300,G300+H300+I300),0)</x:f>
        <x:v>986.4144418123684</x:v>
      </x:c>
      <x:c r="K300" s="141" t="n">
        <x:f>H300+I300</x:f>
        <x:v>605.4620608599869</x:v>
      </x:c>
      <x:c r="L300" s="141" t="n">
        <x:f>SUM($J$6:J300)</x:f>
        <x:v>447747.1196139601</x:v>
      </x:c>
      <x:c r="M300" s="141" t="n">
        <x:f>MAX(0,E300-G300)</x:f>
        <x:v>47619.04761904769</x:v>
      </x:c>
    </x:row>
    <x:row r="301">
      <x:c r="A301" s="142" t="n">
        <x:v>296</x:v>
      </x:c>
      <x:c r="B301" s="179" t="n">
        <x:f>EDATE(Premissas!$B$4,295)</x:f>
        <x:v>55519</x:v>
      </x:c>
      <x:c r="C301" s="141" t="n">
        <x:f>M300</x:f>
        <x:v>47619.04761904769</x:v>
      </x:c>
      <x:c r="D301" s="141" t="n">
        <x:f>IF(C301&gt;0,C301*Premissas!$B$17,0)</x:f>
        <x:v>0</x:v>
      </x:c>
      <x:c r="E301" s="141" t="n">
        <x:f>C301+D301</x:f>
        <x:v>47619.04761904769</x:v>
      </x:c>
      <x:c r="F301" s="142" t="n">
        <x:f>MAX(0,Premissas!$B$13-A301+1)</x:f>
        <x:v>125</x:v>
      </x:c>
      <x:c r="G301" s="141" t="n">
        <x:f>IF(AND(E301&gt;0,F301&gt;0),IF(Premissas!$B$19="PRICE",MAX(0,MIN(E301,IF(Premissas!$B$15=0,E301/F301,E301*Premissas!$B$15/(1-(1+Premissas!$B$15)^(-F301)))-H301)),MIN(E301,E301/F301)),0)</x:f>
        <x:v>380.95238095238153</x:v>
      </x:c>
      <x:c r="H301" s="141" t="n">
        <x:f>IF(AND(E301&gt;0,F301&gt;0),E301*Premissas!$B$15,0)</x:f>
        <x:v>451.84728259919336</x:v>
      </x:c>
      <x:c r="I301" s="141" t="n">
        <x:f>IF(AND(E301&gt;0,F301&gt;0),Premissas!$B$18,0)</x:f>
        <x:v>150</x:v>
      </x:c>
      <x:c r="J301" s="141" t="n">
        <x:f>IF(AND(E301&gt;0,F301&gt;0),IF(Premissas!$B$19="PRICE",IF(Premissas!$B$15=0,E301/F301,E301*Premissas!$B$15/(1-(1+Premissas!$B$15)^(-F301)))+I301,G301+H301+I301),0)</x:f>
        <x:v>982.7996635515749</x:v>
      </x:c>
      <x:c r="K301" s="141" t="n">
        <x:f>H301+I301</x:f>
        <x:v>601.8472825991934</x:v>
      </x:c>
      <x:c r="L301" s="141" t="n">
        <x:f>SUM($J$6:J301)</x:f>
        <x:v>448729.91927751165</x:v>
      </x:c>
      <x:c r="M301" s="141" t="n">
        <x:f>MAX(0,E301-G301)</x:f>
        <x:v>47238.09523809531</x:v>
      </x:c>
    </x:row>
    <x:row r="302">
      <x:c r="A302" s="142" t="n">
        <x:v>297</x:v>
      </x:c>
      <x:c r="B302" s="179" t="n">
        <x:f>EDATE(Premissas!$B$4,296)</x:f>
        <x:v>55550</x:v>
      </x:c>
      <x:c r="C302" s="141" t="n">
        <x:f>M301</x:f>
        <x:v>47238.09523809531</x:v>
      </x:c>
      <x:c r="D302" s="141" t="n">
        <x:f>IF(C302&gt;0,C302*Premissas!$B$17,0)</x:f>
        <x:v>0</x:v>
      </x:c>
      <x:c r="E302" s="141" t="n">
        <x:f>C302+D302</x:f>
        <x:v>47238.09523809531</x:v>
      </x:c>
      <x:c r="F302" s="142" t="n">
        <x:f>MAX(0,Premissas!$B$13-A302+1)</x:f>
        <x:v>124</x:v>
      </x:c>
      <x:c r="G302" s="141" t="n">
        <x:f>IF(AND(E302&gt;0,F302&gt;0),IF(Premissas!$B$19="PRICE",MAX(0,MIN(E302,IF(Premissas!$B$15=0,E302/F302,E302*Premissas!$B$15/(1-(1+Premissas!$B$15)^(-F302)))-H302)),MIN(E302,E302/F302)),0)</x:f>
        <x:v>380.95238095238153</x:v>
      </x:c>
      <x:c r="H302" s="141" t="n">
        <x:f>IF(AND(E302&gt;0,F302&gt;0),E302*Premissas!$B$15,0)</x:f>
        <x:v>448.2325043383998</x:v>
      </x:c>
      <x:c r="I302" s="141" t="n">
        <x:f>IF(AND(E302&gt;0,F302&gt;0),Premissas!$B$18,0)</x:f>
        <x:v>150</x:v>
      </x:c>
      <x:c r="J302" s="141" t="n">
        <x:f>IF(AND(E302&gt;0,F302&gt;0),IF(Premissas!$B$19="PRICE",IF(Premissas!$B$15=0,E302/F302,E302*Premissas!$B$15/(1-(1+Premissas!$B$15)^(-F302)))+I302,G302+H302+I302),0)</x:f>
        <x:v>979.1848852907813</x:v>
      </x:c>
      <x:c r="K302" s="141" t="n">
        <x:f>H302+I302</x:f>
        <x:v>598.2325043383998</x:v>
      </x:c>
      <x:c r="L302" s="141" t="n">
        <x:f>SUM($J$6:J302)</x:f>
        <x:v>449709.10416280245</x:v>
      </x:c>
      <x:c r="M302" s="141" t="n">
        <x:f>MAX(0,E302-G302)</x:f>
        <x:v>46857.14285714293</x:v>
      </x:c>
    </x:row>
    <x:row r="303">
      <x:c r="A303" s="142" t="n">
        <x:v>298</x:v>
      </x:c>
      <x:c r="B303" s="179" t="n">
        <x:f>EDATE(Premissas!$B$4,297)</x:f>
        <x:v>55579</x:v>
      </x:c>
      <x:c r="C303" s="141" t="n">
        <x:f>M302</x:f>
        <x:v>46857.14285714293</x:v>
      </x:c>
      <x:c r="D303" s="141" t="n">
        <x:f>IF(C303&gt;0,C303*Premissas!$B$17,0)</x:f>
        <x:v>0</x:v>
      </x:c>
      <x:c r="E303" s="141" t="n">
        <x:f>C303+D303</x:f>
        <x:v>46857.14285714293</x:v>
      </x:c>
      <x:c r="F303" s="142" t="n">
        <x:f>MAX(0,Premissas!$B$13-A303+1)</x:f>
        <x:v>123</x:v>
      </x:c>
      <x:c r="G303" s="141" t="n">
        <x:f>IF(AND(E303&gt;0,F303&gt;0),IF(Premissas!$B$19="PRICE",MAX(0,MIN(E303,IF(Premissas!$B$15=0,E303/F303,E303*Premissas!$B$15/(1-(1+Premissas!$B$15)^(-F303)))-H303)),MIN(E303,E303/F303)),0)</x:f>
        <x:v>380.95238095238153</x:v>
      </x:c>
      <x:c r="H303" s="141" t="n">
        <x:f>IF(AND(E303&gt;0,F303&gt;0),E303*Premissas!$B$15,0)</x:f>
        <x:v>444.6177260776062</x:v>
      </x:c>
      <x:c r="I303" s="141" t="n">
        <x:f>IF(AND(E303&gt;0,F303&gt;0),Premissas!$B$18,0)</x:f>
        <x:v>150</x:v>
      </x:c>
      <x:c r="J303" s="141" t="n">
        <x:f>IF(AND(E303&gt;0,F303&gt;0),IF(Premissas!$B$19="PRICE",IF(Premissas!$B$15=0,E303/F303,E303*Premissas!$B$15/(1-(1+Premissas!$B$15)^(-F303)))+I303,G303+H303+I303),0)</x:f>
        <x:v>975.5701070299878</x:v>
      </x:c>
      <x:c r="K303" s="141" t="n">
        <x:f>H303+I303</x:f>
        <x:v>594.6177260776062</x:v>
      </x:c>
      <x:c r="L303" s="141" t="n">
        <x:f>SUM($J$6:J303)</x:f>
        <x:v>450684.67426983244</x:v>
      </x:c>
      <x:c r="M303" s="141" t="n">
        <x:f>MAX(0,E303-G303)</x:f>
        <x:v>46476.190476190546</x:v>
      </x:c>
    </x:row>
    <x:row r="304">
      <x:c r="A304" s="142" t="n">
        <x:v>299</x:v>
      </x:c>
      <x:c r="B304" s="179" t="n">
        <x:f>EDATE(Premissas!$B$4,298)</x:f>
        <x:v>55610</x:v>
      </x:c>
      <x:c r="C304" s="141" t="n">
        <x:f>M303</x:f>
        <x:v>46476.190476190546</x:v>
      </x:c>
      <x:c r="D304" s="141" t="n">
        <x:f>IF(C304&gt;0,C304*Premissas!$B$17,0)</x:f>
        <x:v>0</x:v>
      </x:c>
      <x:c r="E304" s="141" t="n">
        <x:f>C304+D304</x:f>
        <x:v>46476.190476190546</x:v>
      </x:c>
      <x:c r="F304" s="142" t="n">
        <x:f>MAX(0,Premissas!$B$13-A304+1)</x:f>
        <x:v>122</x:v>
      </x:c>
      <x:c r="G304" s="141" t="n">
        <x:f>IF(AND(E304&gt;0,F304&gt;0),IF(Premissas!$B$19="PRICE",MAX(0,MIN(E304,IF(Premissas!$B$15=0,E304/F304,E304*Premissas!$B$15/(1-(1+Premissas!$B$15)^(-F304)))-H304)),MIN(E304,E304/F304)),0)</x:f>
        <x:v>380.95238095238153</x:v>
      </x:c>
      <x:c r="H304" s="141" t="n">
        <x:f>IF(AND(E304&gt;0,F304&gt;0),E304*Premissas!$B$15,0)</x:f>
        <x:v>441.0029478168127</x:v>
      </x:c>
      <x:c r="I304" s="141" t="n">
        <x:f>IF(AND(E304&gt;0,F304&gt;0),Premissas!$B$18,0)</x:f>
        <x:v>150</x:v>
      </x:c>
      <x:c r="J304" s="141" t="n">
        <x:f>IF(AND(E304&gt;0,F304&gt;0),IF(Premissas!$B$19="PRICE",IF(Premissas!$B$15=0,E304/F304,E304*Premissas!$B$15/(1-(1+Premissas!$B$15)^(-F304)))+I304,G304+H304+I304),0)</x:f>
        <x:v>971.9553287691942</x:v>
      </x:c>
      <x:c r="K304" s="141" t="n">
        <x:f>H304+I304</x:f>
        <x:v>591.0029478168127</x:v>
      </x:c>
      <x:c r="L304" s="141" t="n">
        <x:f>SUM($J$6:J304)</x:f>
        <x:v>451656.6295986016</x:v>
      </x:c>
      <x:c r="M304" s="141" t="n">
        <x:f>MAX(0,E304-G304)</x:f>
        <x:v>46095.238095238165</x:v>
      </x:c>
    </x:row>
    <x:row r="305">
      <x:c r="A305" s="142" t="n">
        <x:v>300</x:v>
      </x:c>
      <x:c r="B305" s="179" t="n">
        <x:f>EDATE(Premissas!$B$4,299)</x:f>
        <x:v>55640</x:v>
      </x:c>
      <x:c r="C305" s="141" t="n">
        <x:f>M304</x:f>
        <x:v>46095.238095238165</x:v>
      </x:c>
      <x:c r="D305" s="141" t="n">
        <x:f>IF(C305&gt;0,C305*Premissas!$B$17,0)</x:f>
        <x:v>0</x:v>
      </x:c>
      <x:c r="E305" s="141" t="n">
        <x:f>C305+D305</x:f>
        <x:v>46095.238095238165</x:v>
      </x:c>
      <x:c r="F305" s="142" t="n">
        <x:f>MAX(0,Premissas!$B$13-A305+1)</x:f>
        <x:v>121</x:v>
      </x:c>
      <x:c r="G305" s="141" t="n">
        <x:f>IF(AND(E305&gt;0,F305&gt;0),IF(Premissas!$B$19="PRICE",MAX(0,MIN(E305,IF(Premissas!$B$15=0,E305/F305,E305*Premissas!$B$15/(1-(1+Premissas!$B$15)^(-F305)))-H305)),MIN(E305,E305/F305)),0)</x:f>
        <x:v>380.95238095238153</x:v>
      </x:c>
      <x:c r="H305" s="141" t="n">
        <x:f>IF(AND(E305&gt;0,F305&gt;0),E305*Premissas!$B$15,0)</x:f>
        <x:v>437.38816955601914</x:v>
      </x:c>
      <x:c r="I305" s="141" t="n">
        <x:f>IF(AND(E305&gt;0,F305&gt;0),Premissas!$B$18,0)</x:f>
        <x:v>150</x:v>
      </x:c>
      <x:c r="J305" s="141" t="n">
        <x:f>IF(AND(E305&gt;0,F305&gt;0),IF(Premissas!$B$19="PRICE",IF(Premissas!$B$15=0,E305/F305,E305*Premissas!$B$15/(1-(1+Premissas!$B$15)^(-F305)))+I305,G305+H305+I305),0)</x:f>
        <x:v>968.3405505084006</x:v>
      </x:c>
      <x:c r="K305" s="141" t="n">
        <x:f>H305+I305</x:f>
        <x:v>587.3881695560192</x:v>
      </x:c>
      <x:c r="L305" s="141" t="n">
        <x:f>SUM($J$6:J305)</x:f>
        <x:v>452624.97014911</x:v>
      </x:c>
      <x:c r="M305" s="141" t="n">
        <x:f>MAX(0,E305-G305)</x:f>
        <x:v>45714.28571428578</x:v>
      </x:c>
    </x:row>
    <x:row r="306">
      <x:c r="A306" s="142" t="n">
        <x:v>301</x:v>
      </x:c>
      <x:c r="B306" s="179" t="n">
        <x:f>EDATE(Premissas!$B$4,300)</x:f>
        <x:v>55671</x:v>
      </x:c>
      <x:c r="C306" s="141" t="n">
        <x:f>M305</x:f>
        <x:v>45714.28571428578</x:v>
      </x:c>
      <x:c r="D306" s="141" t="n">
        <x:f>IF(C306&gt;0,C306*Premissas!$B$17,0)</x:f>
        <x:v>0</x:v>
      </x:c>
      <x:c r="E306" s="141" t="n">
        <x:f>C306+D306</x:f>
        <x:v>45714.28571428578</x:v>
      </x:c>
      <x:c r="F306" s="142" t="n">
        <x:f>MAX(0,Premissas!$B$13-A306+1)</x:f>
        <x:v>120</x:v>
      </x:c>
      <x:c r="G306" s="141" t="n">
        <x:f>IF(AND(E306&gt;0,F306&gt;0),IF(Premissas!$B$19="PRICE",MAX(0,MIN(E306,IF(Premissas!$B$15=0,E306/F306,E306*Premissas!$B$15/(1-(1+Premissas!$B$15)^(-F306)))-H306)),MIN(E306,E306/F306)),0)</x:f>
        <x:v>380.95238095238153</x:v>
      </x:c>
      <x:c r="H306" s="141" t="n">
        <x:f>IF(AND(E306&gt;0,F306&gt;0),E306*Premissas!$B$15,0)</x:f>
        <x:v>433.7733912952256</x:v>
      </x:c>
      <x:c r="I306" s="141" t="n">
        <x:f>IF(AND(E306&gt;0,F306&gt;0),Premissas!$B$18,0)</x:f>
        <x:v>150</x:v>
      </x:c>
      <x:c r="J306" s="141" t="n">
        <x:f>IF(AND(E306&gt;0,F306&gt;0),IF(Premissas!$B$19="PRICE",IF(Premissas!$B$15=0,E306/F306,E306*Premissas!$B$15/(1-(1+Premissas!$B$15)^(-F306)))+I306,G306+H306+I306),0)</x:f>
        <x:v>964.7257722476072</x:v>
      </x:c>
      <x:c r="K306" s="141" t="n">
        <x:f>H306+I306</x:f>
        <x:v>583.7733912952256</x:v>
      </x:c>
      <x:c r="L306" s="141" t="n">
        <x:f>SUM($J$6:J306)</x:f>
        <x:v>453589.6959213576</x:v>
      </x:c>
      <x:c r="M306" s="141" t="n">
        <x:f>MAX(0,E306-G306)</x:f>
        <x:v>45333.3333333334</x:v>
      </x:c>
    </x:row>
    <x:row r="307">
      <x:c r="A307" s="142" t="n">
        <x:v>302</x:v>
      </x:c>
      <x:c r="B307" s="179" t="n">
        <x:f>EDATE(Premissas!$B$4,301)</x:f>
        <x:v>55701</x:v>
      </x:c>
      <x:c r="C307" s="141" t="n">
        <x:f>M306</x:f>
        <x:v>45333.3333333334</x:v>
      </x:c>
      <x:c r="D307" s="141" t="n">
        <x:f>IF(C307&gt;0,C307*Premissas!$B$17,0)</x:f>
        <x:v>0</x:v>
      </x:c>
      <x:c r="E307" s="141" t="n">
        <x:f>C307+D307</x:f>
        <x:v>45333.3333333334</x:v>
      </x:c>
      <x:c r="F307" s="142" t="n">
        <x:f>MAX(0,Premissas!$B$13-A307+1)</x:f>
        <x:v>119</x:v>
      </x:c>
      <x:c r="G307" s="141" t="n">
        <x:f>IF(AND(E307&gt;0,F307&gt;0),IF(Premissas!$B$19="PRICE",MAX(0,MIN(E307,IF(Premissas!$B$15=0,E307/F307,E307*Premissas!$B$15/(1-(1+Premissas!$B$15)^(-F307)))-H307)),MIN(E307,E307/F307)),0)</x:f>
        <x:v>380.95238095238153</x:v>
      </x:c>
      <x:c r="H307" s="141" t="n">
        <x:f>IF(AND(E307&gt;0,F307&gt;0),E307*Premissas!$B$15,0)</x:f>
        <x:v>430.15861303443205</x:v>
      </x:c>
      <x:c r="I307" s="141" t="n">
        <x:f>IF(AND(E307&gt;0,F307&gt;0),Premissas!$B$18,0)</x:f>
        <x:v>150</x:v>
      </x:c>
      <x:c r="J307" s="141" t="n">
        <x:f>IF(AND(E307&gt;0,F307&gt;0),IF(Premissas!$B$19="PRICE",IF(Premissas!$B$15=0,E307/F307,E307*Premissas!$B$15/(1-(1+Premissas!$B$15)^(-F307)))+I307,G307+H307+I307),0)</x:f>
        <x:v>961.1109939868136</x:v>
      </x:c>
      <x:c r="K307" s="141" t="n">
        <x:f>H307+I307</x:f>
        <x:v>580.158613034432</x:v>
      </x:c>
      <x:c r="L307" s="141" t="n">
        <x:f>SUM($J$6:J307)</x:f>
        <x:v>454550.80691534444</x:v>
      </x:c>
      <x:c r="M307" s="141" t="n">
        <x:f>MAX(0,E307-G307)</x:f>
        <x:v>44952.38095238102</x:v>
      </x:c>
    </x:row>
    <x:row r="308">
      <x:c r="A308" s="142" t="n">
        <x:v>303</x:v>
      </x:c>
      <x:c r="B308" s="179" t="n">
        <x:f>EDATE(Premissas!$B$4,302)</x:f>
        <x:v>55732</x:v>
      </x:c>
      <x:c r="C308" s="141" t="n">
        <x:f>M307</x:f>
        <x:v>44952.38095238102</x:v>
      </x:c>
      <x:c r="D308" s="141" t="n">
        <x:f>IF(C308&gt;0,C308*Premissas!$B$17,0)</x:f>
        <x:v>0</x:v>
      </x:c>
      <x:c r="E308" s="141" t="n">
        <x:f>C308+D308</x:f>
        <x:v>44952.38095238102</x:v>
      </x:c>
      <x:c r="F308" s="142" t="n">
        <x:f>MAX(0,Premissas!$B$13-A308+1)</x:f>
        <x:v>118</x:v>
      </x:c>
      <x:c r="G308" s="141" t="n">
        <x:f>IF(AND(E308&gt;0,F308&gt;0),IF(Premissas!$B$19="PRICE",MAX(0,MIN(E308,IF(Premissas!$B$15=0,E308/F308,E308*Premissas!$B$15/(1-(1+Premissas!$B$15)^(-F308)))-H308)),MIN(E308,E308/F308)),0)</x:f>
        <x:v>380.95238095238153</x:v>
      </x:c>
      <x:c r="H308" s="141" t="n">
        <x:f>IF(AND(E308&gt;0,F308&gt;0),E308*Premissas!$B$15,0)</x:f>
        <x:v>426.5438347736385</x:v>
      </x:c>
      <x:c r="I308" s="141" t="n">
        <x:f>IF(AND(E308&gt;0,F308&gt;0),Premissas!$B$18,0)</x:f>
        <x:v>150</x:v>
      </x:c>
      <x:c r="J308" s="141" t="n">
        <x:f>IF(AND(E308&gt;0,F308&gt;0),IF(Premissas!$B$19="PRICE",IF(Premissas!$B$15=0,E308/F308,E308*Premissas!$B$15/(1-(1+Premissas!$B$15)^(-F308)))+I308,G308+H308+I308),0)</x:f>
        <x:v>957.49621572602</x:v>
      </x:c>
      <x:c r="K308" s="141" t="n">
        <x:f>H308+I308</x:f>
        <x:v>576.5438347736385</x:v>
      </x:c>
      <x:c r="L308" s="141" t="n">
        <x:f>SUM($J$6:J308)</x:f>
        <x:v>455508.30313107045</x:v>
      </x:c>
      <x:c r="M308" s="141" t="n">
        <x:f>MAX(0,E308-G308)</x:f>
        <x:v>44571.42857142864</x:v>
      </x:c>
    </x:row>
    <x:row r="309">
      <x:c r="A309" s="142" t="n">
        <x:v>304</x:v>
      </x:c>
      <x:c r="B309" s="179" t="n">
        <x:f>EDATE(Premissas!$B$4,303)</x:f>
        <x:v>55763</x:v>
      </x:c>
      <x:c r="C309" s="141" t="n">
        <x:f>M308</x:f>
        <x:v>44571.42857142864</x:v>
      </x:c>
      <x:c r="D309" s="141" t="n">
        <x:f>IF(C309&gt;0,C309*Premissas!$B$17,0)</x:f>
        <x:v>0</x:v>
      </x:c>
      <x:c r="E309" s="141" t="n">
        <x:f>C309+D309</x:f>
        <x:v>44571.42857142864</x:v>
      </x:c>
      <x:c r="F309" s="142" t="n">
        <x:f>MAX(0,Premissas!$B$13-A309+1)</x:f>
        <x:v>117</x:v>
      </x:c>
      <x:c r="G309" s="141" t="n">
        <x:f>IF(AND(E309&gt;0,F309&gt;0),IF(Premissas!$B$19="PRICE",MAX(0,MIN(E309,IF(Premissas!$B$15=0,E309/F309,E309*Premissas!$B$15/(1-(1+Premissas!$B$15)^(-F309)))-H309)),MIN(E309,E309/F309)),0)</x:f>
        <x:v>380.95238095238153</x:v>
      </x:c>
      <x:c r="H309" s="141" t="n">
        <x:f>IF(AND(E309&gt;0,F309&gt;0),E309*Premissas!$B$15,0)</x:f>
        <x:v>422.92905651284497</x:v>
      </x:c>
      <x:c r="I309" s="141" t="n">
        <x:f>IF(AND(E309&gt;0,F309&gt;0),Premissas!$B$18,0)</x:f>
        <x:v>150</x:v>
      </x:c>
      <x:c r="J309" s="141" t="n">
        <x:f>IF(AND(E309&gt;0,F309&gt;0),IF(Premissas!$B$19="PRICE",IF(Premissas!$B$15=0,E309/F309,E309*Premissas!$B$15/(1-(1+Premissas!$B$15)^(-F309)))+I309,G309+H309+I309),0)</x:f>
        <x:v>953.8814374652266</x:v>
      </x:c>
      <x:c r="K309" s="141" t="n">
        <x:f>H309+I309</x:f>
        <x:v>572.9290565128449</x:v>
      </x:c>
      <x:c r="L309" s="141" t="n">
        <x:f>SUM($J$6:J309)</x:f>
        <x:v>456462.18456853565</x:v>
      </x:c>
      <x:c r="M309" s="141" t="n">
        <x:f>MAX(0,E309-G309)</x:f>
        <x:v>44190.476190476256</x:v>
      </x:c>
    </x:row>
    <x:row r="310">
      <x:c r="A310" s="142" t="n">
        <x:v>305</x:v>
      </x:c>
      <x:c r="B310" s="179" t="n">
        <x:f>EDATE(Premissas!$B$4,304)</x:f>
        <x:v>55793</x:v>
      </x:c>
      <x:c r="C310" s="141" t="n">
        <x:f>M309</x:f>
        <x:v>44190.476190476256</x:v>
      </x:c>
      <x:c r="D310" s="141" t="n">
        <x:f>IF(C310&gt;0,C310*Premissas!$B$17,0)</x:f>
        <x:v>0</x:v>
      </x:c>
      <x:c r="E310" s="141" t="n">
        <x:f>C310+D310</x:f>
        <x:v>44190.476190476256</x:v>
      </x:c>
      <x:c r="F310" s="142" t="n">
        <x:f>MAX(0,Premissas!$B$13-A310+1)</x:f>
        <x:v>116</x:v>
      </x:c>
      <x:c r="G310" s="141" t="n">
        <x:f>IF(AND(E310&gt;0,F310&gt;0),IF(Premissas!$B$19="PRICE",MAX(0,MIN(E310,IF(Premissas!$B$15=0,E310/F310,E310*Premissas!$B$15/(1-(1+Premissas!$B$15)^(-F310)))-H310)),MIN(E310,E310/F310)),0)</x:f>
        <x:v>380.95238095238153</x:v>
      </x:c>
      <x:c r="H310" s="141" t="n">
        <x:f>IF(AND(E310&gt;0,F310&gt;0),E310*Premissas!$B$15,0)</x:f>
        <x:v>419.3142782520514</x:v>
      </x:c>
      <x:c r="I310" s="141" t="n">
        <x:f>IF(AND(E310&gt;0,F310&gt;0),Premissas!$B$18,0)</x:f>
        <x:v>150</x:v>
      </x:c>
      <x:c r="J310" s="141" t="n">
        <x:f>IF(AND(E310&gt;0,F310&gt;0),IF(Premissas!$B$19="PRICE",IF(Premissas!$B$15=0,E310/F310,E310*Premissas!$B$15/(1-(1+Premissas!$B$15)^(-F310)))+I310,G310+H310+I310),0)</x:f>
        <x:v>950.2666592044329</x:v>
      </x:c>
      <x:c r="K310" s="141" t="n">
        <x:f>H310+I310</x:f>
        <x:v>569.3142782520514</x:v>
      </x:c>
      <x:c r="L310" s="141" t="n">
        <x:f>SUM($J$6:J310)</x:f>
        <x:v>457412.4512277401</x:v>
      </x:c>
      <x:c r="M310" s="141" t="n">
        <x:f>MAX(0,E310-G310)</x:f>
        <x:v>43809.523809523875</x:v>
      </x:c>
    </x:row>
    <x:row r="311">
      <x:c r="A311" s="142" t="n">
        <x:v>306</x:v>
      </x:c>
      <x:c r="B311" s="179" t="n">
        <x:f>EDATE(Premissas!$B$4,305)</x:f>
        <x:v>55824</x:v>
      </x:c>
      <x:c r="C311" s="141" t="n">
        <x:f>M310</x:f>
        <x:v>43809.523809523875</x:v>
      </x:c>
      <x:c r="D311" s="141" t="n">
        <x:f>IF(C311&gt;0,C311*Premissas!$B$17,0)</x:f>
        <x:v>0</x:v>
      </x:c>
      <x:c r="E311" s="141" t="n">
        <x:f>C311+D311</x:f>
        <x:v>43809.523809523875</x:v>
      </x:c>
      <x:c r="F311" s="142" t="n">
        <x:f>MAX(0,Premissas!$B$13-A311+1)</x:f>
        <x:v>115</x:v>
      </x:c>
      <x:c r="G311" s="141" t="n">
        <x:f>IF(AND(E311&gt;0,F311&gt;0),IF(Premissas!$B$19="PRICE",MAX(0,MIN(E311,IF(Premissas!$B$15=0,E311/F311,E311*Premissas!$B$15/(1-(1+Premissas!$B$15)^(-F311)))-H311)),MIN(E311,E311/F311)),0)</x:f>
        <x:v>380.95238095238153</x:v>
      </x:c>
      <x:c r="H311" s="141" t="n">
        <x:f>IF(AND(E311&gt;0,F311&gt;0),E311*Premissas!$B$15,0)</x:f>
        <x:v>415.6994999912579</x:v>
      </x:c>
      <x:c r="I311" s="141" t="n">
        <x:f>IF(AND(E311&gt;0,F311&gt;0),Premissas!$B$18,0)</x:f>
        <x:v>150</x:v>
      </x:c>
      <x:c r="J311" s="141" t="n">
        <x:f>IF(AND(E311&gt;0,F311&gt;0),IF(Premissas!$B$19="PRICE",IF(Premissas!$B$15=0,E311/F311,E311*Premissas!$B$15/(1-(1+Premissas!$B$15)^(-F311)))+I311,G311+H311+I311),0)</x:f>
        <x:v>946.6518809436394</x:v>
      </x:c>
      <x:c r="K311" s="141" t="n">
        <x:f>H311+I311</x:f>
        <x:v>565.6994999912579</x:v>
      </x:c>
      <x:c r="L311" s="141" t="n">
        <x:f>SUM($J$6:J311)</x:f>
        <x:v>458359.1031086837</x:v>
      </x:c>
      <x:c r="M311" s="141" t="n">
        <x:f>MAX(0,E311-G311)</x:f>
        <x:v>43428.57142857149</x:v>
      </x:c>
    </x:row>
    <x:row r="312">
      <x:c r="A312" s="142" t="n">
        <x:v>307</x:v>
      </x:c>
      <x:c r="B312" s="179" t="n">
        <x:f>EDATE(Premissas!$B$4,306)</x:f>
        <x:v>55854</x:v>
      </x:c>
      <x:c r="C312" s="141" t="n">
        <x:f>M311</x:f>
        <x:v>43428.57142857149</x:v>
      </x:c>
      <x:c r="D312" s="141" t="n">
        <x:f>IF(C312&gt;0,C312*Premissas!$B$17,0)</x:f>
        <x:v>0</x:v>
      </x:c>
      <x:c r="E312" s="141" t="n">
        <x:f>C312+D312</x:f>
        <x:v>43428.57142857149</x:v>
      </x:c>
      <x:c r="F312" s="142" t="n">
        <x:f>MAX(0,Premissas!$B$13-A312+1)</x:f>
        <x:v>114</x:v>
      </x:c>
      <x:c r="G312" s="141" t="n">
        <x:f>IF(AND(E312&gt;0,F312&gt;0),IF(Premissas!$B$19="PRICE",MAX(0,MIN(E312,IF(Premissas!$B$15=0,E312/F312,E312*Premissas!$B$15/(1-(1+Premissas!$B$15)^(-F312)))-H312)),MIN(E312,E312/F312)),0)</x:f>
        <x:v>380.95238095238153</x:v>
      </x:c>
      <x:c r="H312" s="141" t="n">
        <x:f>IF(AND(E312&gt;0,F312&gt;0),E312*Premissas!$B$15,0)</x:f>
        <x:v>412.0847217304643</x:v>
      </x:c>
      <x:c r="I312" s="141" t="n">
        <x:f>IF(AND(E312&gt;0,F312&gt;0),Premissas!$B$18,0)</x:f>
        <x:v>150</x:v>
      </x:c>
      <x:c r="J312" s="141" t="n">
        <x:f>IF(AND(E312&gt;0,F312&gt;0),IF(Premissas!$B$19="PRICE",IF(Premissas!$B$15=0,E312/F312,E312*Premissas!$B$15/(1-(1+Premissas!$B$15)^(-F312)))+I312,G312+H312+I312),0)</x:f>
        <x:v>943.0371026828459</x:v>
      </x:c>
      <x:c r="K312" s="141" t="n">
        <x:f>H312+I312</x:f>
        <x:v>562.0847217304643</x:v>
      </x:c>
      <x:c r="L312" s="141" t="n">
        <x:f>SUM($J$6:J312)</x:f>
        <x:v>459302.1402113666</x:v>
      </x:c>
      <x:c r="M312" s="141" t="n">
        <x:f>MAX(0,E312-G312)</x:f>
        <x:v>43047.61904761911</x:v>
      </x:c>
    </x:row>
    <x:row r="313">
      <x:c r="A313" s="142" t="n">
        <x:v>308</x:v>
      </x:c>
      <x:c r="B313" s="179" t="n">
        <x:f>EDATE(Premissas!$B$4,307)</x:f>
        <x:v>55885</x:v>
      </x:c>
      <x:c r="C313" s="141" t="n">
        <x:f>M312</x:f>
        <x:v>43047.61904761911</x:v>
      </x:c>
      <x:c r="D313" s="141" t="n">
        <x:f>IF(C313&gt;0,C313*Premissas!$B$17,0)</x:f>
        <x:v>0</x:v>
      </x:c>
      <x:c r="E313" s="141" t="n">
        <x:f>C313+D313</x:f>
        <x:v>43047.61904761911</x:v>
      </x:c>
      <x:c r="F313" s="142" t="n">
        <x:f>MAX(0,Premissas!$B$13-A313+1)</x:f>
        <x:v>113</x:v>
      </x:c>
      <x:c r="G313" s="141" t="n">
        <x:f>IF(AND(E313&gt;0,F313&gt;0),IF(Premissas!$B$19="PRICE",MAX(0,MIN(E313,IF(Premissas!$B$15=0,E313/F313,E313*Premissas!$B$15/(1-(1+Premissas!$B$15)^(-F313)))-H313)),MIN(E313,E313/F313)),0)</x:f>
        <x:v>380.95238095238153</x:v>
      </x:c>
      <x:c r="H313" s="141" t="n">
        <x:f>IF(AND(E313&gt;0,F313&gt;0),E313*Premissas!$B$15,0)</x:f>
        <x:v>408.46994346967074</x:v>
      </x:c>
      <x:c r="I313" s="141" t="n">
        <x:f>IF(AND(E313&gt;0,F313&gt;0),Premissas!$B$18,0)</x:f>
        <x:v>150</x:v>
      </x:c>
      <x:c r="J313" s="141" t="n">
        <x:f>IF(AND(E313&gt;0,F313&gt;0),IF(Premissas!$B$19="PRICE",IF(Premissas!$B$15=0,E313/F313,E313*Premissas!$B$15/(1-(1+Premissas!$B$15)^(-F313)))+I313,G313+H313+I313),0)</x:f>
        <x:v>939.4223244220523</x:v>
      </x:c>
      <x:c r="K313" s="141" t="n">
        <x:f>H313+I313</x:f>
        <x:v>558.4699434696707</x:v>
      </x:c>
      <x:c r="L313" s="141" t="n">
        <x:f>SUM($J$6:J313)</x:f>
        <x:v>460241.56253578863</x:v>
      </x:c>
      <x:c r="M313" s="141" t="n">
        <x:f>MAX(0,E313-G313)</x:f>
        <x:v>42666.66666666673</x:v>
      </x:c>
    </x:row>
    <x:row r="314">
      <x:c r="A314" s="142" t="n">
        <x:v>309</x:v>
      </x:c>
      <x:c r="B314" s="179" t="n">
        <x:f>EDATE(Premissas!$B$4,308)</x:f>
        <x:v>55916</x:v>
      </x:c>
      <x:c r="C314" s="141" t="n">
        <x:f>M313</x:f>
        <x:v>42666.66666666673</x:v>
      </x:c>
      <x:c r="D314" s="141" t="n">
        <x:f>IF(C314&gt;0,C314*Premissas!$B$17,0)</x:f>
        <x:v>0</x:v>
      </x:c>
      <x:c r="E314" s="141" t="n">
        <x:f>C314+D314</x:f>
        <x:v>42666.66666666673</x:v>
      </x:c>
      <x:c r="F314" s="142" t="n">
        <x:f>MAX(0,Premissas!$B$13-A314+1)</x:f>
        <x:v>112</x:v>
      </x:c>
      <x:c r="G314" s="141" t="n">
        <x:f>IF(AND(E314&gt;0,F314&gt;0),IF(Premissas!$B$19="PRICE",MAX(0,MIN(E314,IF(Premissas!$B$15=0,E314/F314,E314*Premissas!$B$15/(1-(1+Premissas!$B$15)^(-F314)))-H314)),MIN(E314,E314/F314)),0)</x:f>
        <x:v>380.95238095238153</x:v>
      </x:c>
      <x:c r="H314" s="141" t="n">
        <x:f>IF(AND(E314&gt;0,F314&gt;0),E314*Premissas!$B$15,0)</x:f>
        <x:v>404.8551652088772</x:v>
      </x:c>
      <x:c r="I314" s="141" t="n">
        <x:f>IF(AND(E314&gt;0,F314&gt;0),Premissas!$B$18,0)</x:f>
        <x:v>150</x:v>
      </x:c>
      <x:c r="J314" s="141" t="n">
        <x:f>IF(AND(E314&gt;0,F314&gt;0),IF(Premissas!$B$19="PRICE",IF(Premissas!$B$15=0,E314/F314,E314*Premissas!$B$15/(1-(1+Premissas!$B$15)^(-F314)))+I314,G314+H314+I314),0)</x:f>
        <x:v>935.8075461612588</x:v>
      </x:c>
      <x:c r="K314" s="141" t="n">
        <x:f>H314+I314</x:f>
        <x:v>554.8551652088772</x:v>
      </x:c>
      <x:c r="L314" s="141" t="n">
        <x:f>SUM($J$6:J314)</x:f>
        <x:v>461177.37008194986</x:v>
      </x:c>
      <x:c r="M314" s="141" t="n">
        <x:f>MAX(0,E314-G314)</x:f>
        <x:v>42285.71428571435</x:v>
      </x:c>
    </x:row>
    <x:row r="315">
      <x:c r="A315" s="142" t="n">
        <x:v>310</x:v>
      </x:c>
      <x:c r="B315" s="179" t="n">
        <x:f>EDATE(Premissas!$B$4,309)</x:f>
        <x:v>55944</x:v>
      </x:c>
      <x:c r="C315" s="141" t="n">
        <x:f>M314</x:f>
        <x:v>42285.71428571435</x:v>
      </x:c>
      <x:c r="D315" s="141" t="n">
        <x:f>IF(C315&gt;0,C315*Premissas!$B$17,0)</x:f>
        <x:v>0</x:v>
      </x:c>
      <x:c r="E315" s="141" t="n">
        <x:f>C315+D315</x:f>
        <x:v>42285.71428571435</x:v>
      </x:c>
      <x:c r="F315" s="142" t="n">
        <x:f>MAX(0,Premissas!$B$13-A315+1)</x:f>
        <x:v>111</x:v>
      </x:c>
      <x:c r="G315" s="141" t="n">
        <x:f>IF(AND(E315&gt;0,F315&gt;0),IF(Premissas!$B$19="PRICE",MAX(0,MIN(E315,IF(Premissas!$B$15=0,E315/F315,E315*Premissas!$B$15/(1-(1+Premissas!$B$15)^(-F315)))-H315)),MIN(E315,E315/F315)),0)</x:f>
        <x:v>380.95238095238153</x:v>
      </x:c>
      <x:c r="H315" s="141" t="n">
        <x:f>IF(AND(E315&gt;0,F315&gt;0),E315*Premissas!$B$15,0)</x:f>
        <x:v>401.24038694808365</x:v>
      </x:c>
      <x:c r="I315" s="141" t="n">
        <x:f>IF(AND(E315&gt;0,F315&gt;0),Premissas!$B$18,0)</x:f>
        <x:v>150</x:v>
      </x:c>
      <x:c r="J315" s="141" t="n">
        <x:f>IF(AND(E315&gt;0,F315&gt;0),IF(Premissas!$B$19="PRICE",IF(Premissas!$B$15=0,E315/F315,E315*Premissas!$B$15/(1-(1+Premissas!$B$15)^(-F315)))+I315,G315+H315+I315),0)</x:f>
        <x:v>932.1927679004652</x:v>
      </x:c>
      <x:c r="K315" s="141" t="n">
        <x:f>H315+I315</x:f>
        <x:v>551.2403869480836</x:v>
      </x:c>
      <x:c r="L315" s="141" t="n">
        <x:f>SUM($J$6:J315)</x:f>
        <x:v>462109.56284985034</x:v>
      </x:c>
      <x:c r="M315" s="141" t="n">
        <x:f>MAX(0,E315-G315)</x:f>
        <x:v>41904.76190476197</x:v>
      </x:c>
    </x:row>
    <x:row r="316">
      <x:c r="A316" s="142" t="n">
        <x:v>311</x:v>
      </x:c>
      <x:c r="B316" s="179" t="n">
        <x:f>EDATE(Premissas!$B$4,310)</x:f>
        <x:v>55975</x:v>
      </x:c>
      <x:c r="C316" s="141" t="n">
        <x:f>M315</x:f>
        <x:v>41904.76190476197</x:v>
      </x:c>
      <x:c r="D316" s="141" t="n">
        <x:f>IF(C316&gt;0,C316*Premissas!$B$17,0)</x:f>
        <x:v>0</x:v>
      </x:c>
      <x:c r="E316" s="141" t="n">
        <x:f>C316+D316</x:f>
        <x:v>41904.76190476197</x:v>
      </x:c>
      <x:c r="F316" s="142" t="n">
        <x:f>MAX(0,Premissas!$B$13-A316+1)</x:f>
        <x:v>110</x:v>
      </x:c>
      <x:c r="G316" s="141" t="n">
        <x:f>IF(AND(E316&gt;0,F316&gt;0),IF(Premissas!$B$19="PRICE",MAX(0,MIN(E316,IF(Premissas!$B$15=0,E316/F316,E316*Premissas!$B$15/(1-(1+Premissas!$B$15)^(-F316)))-H316)),MIN(E316,E316/F316)),0)</x:f>
        <x:v>380.95238095238153</x:v>
      </x:c>
      <x:c r="H316" s="141" t="n">
        <x:f>IF(AND(E316&gt;0,F316&gt;0),E316*Premissas!$B$15,0)</x:f>
        <x:v>397.62560868729014</x:v>
      </x:c>
      <x:c r="I316" s="141" t="n">
        <x:f>IF(AND(E316&gt;0,F316&gt;0),Premissas!$B$18,0)</x:f>
        <x:v>150</x:v>
      </x:c>
      <x:c r="J316" s="141" t="n">
        <x:f>IF(AND(E316&gt;0,F316&gt;0),IF(Premissas!$B$19="PRICE",IF(Premissas!$B$15=0,E316/F316,E316*Premissas!$B$15/(1-(1+Premissas!$B$15)^(-F316)))+I316,G316+H316+I316),0)</x:f>
        <x:v>928.5779896396716</x:v>
      </x:c>
      <x:c r="K316" s="141" t="n">
        <x:f>H316+I316</x:f>
        <x:v>547.6256086872902</x:v>
      </x:c>
      <x:c r="L316" s="141" t="n">
        <x:f>SUM($J$6:J316)</x:f>
        <x:v>463038.14083949</x:v>
      </x:c>
      <x:c r="M316" s="141" t="n">
        <x:f>MAX(0,E316-G316)</x:f>
        <x:v>41523.809523809585</x:v>
      </x:c>
    </x:row>
    <x:row r="317">
      <x:c r="A317" s="142" t="n">
        <x:v>312</x:v>
      </x:c>
      <x:c r="B317" s="179" t="n">
        <x:f>EDATE(Premissas!$B$4,311)</x:f>
        <x:v>56005</x:v>
      </x:c>
      <x:c r="C317" s="141" t="n">
        <x:f>M316</x:f>
        <x:v>41523.809523809585</x:v>
      </x:c>
      <x:c r="D317" s="141" t="n">
        <x:f>IF(C317&gt;0,C317*Premissas!$B$17,0)</x:f>
        <x:v>0</x:v>
      </x:c>
      <x:c r="E317" s="141" t="n">
        <x:f>C317+D317</x:f>
        <x:v>41523.809523809585</x:v>
      </x:c>
      <x:c r="F317" s="142" t="n">
        <x:f>MAX(0,Premissas!$B$13-A317+1)</x:f>
        <x:v>109</x:v>
      </x:c>
      <x:c r="G317" s="141" t="n">
        <x:f>IF(AND(E317&gt;0,F317&gt;0),IF(Premissas!$B$19="PRICE",MAX(0,MIN(E317,IF(Premissas!$B$15=0,E317/F317,E317*Premissas!$B$15/(1-(1+Premissas!$B$15)^(-F317)))-H317)),MIN(E317,E317/F317)),0)</x:f>
        <x:v>380.95238095238153</x:v>
      </x:c>
      <x:c r="H317" s="141" t="n">
        <x:f>IF(AND(E317&gt;0,F317&gt;0),E317*Premissas!$B$15,0)</x:f>
        <x:v>394.01083042649657</x:v>
      </x:c>
      <x:c r="I317" s="141" t="n">
        <x:f>IF(AND(E317&gt;0,F317&gt;0),Premissas!$B$18,0)</x:f>
        <x:v>150</x:v>
      </x:c>
      <x:c r="J317" s="141" t="n">
        <x:f>IF(AND(E317&gt;0,F317&gt;0),IF(Premissas!$B$19="PRICE",IF(Premissas!$B$15=0,E317/F317,E317*Premissas!$B$15/(1-(1+Premissas!$B$15)^(-F317)))+I317,G317+H317+I317),0)</x:f>
        <x:v>924.9632113788781</x:v>
      </x:c>
      <x:c r="K317" s="141" t="n">
        <x:f>H317+I317</x:f>
        <x:v>544.0108304264966</x:v>
      </x:c>
      <x:c r="L317" s="141" t="n">
        <x:f>SUM($J$6:J317)</x:f>
        <x:v>463963.1040508689</x:v>
      </x:c>
      <x:c r="M317" s="141" t="n">
        <x:f>MAX(0,E317-G317)</x:f>
        <x:v>41142.8571428572</x:v>
      </x:c>
    </x:row>
    <x:row r="318">
      <x:c r="A318" s="142" t="n">
        <x:v>313</x:v>
      </x:c>
      <x:c r="B318" s="179" t="n">
        <x:f>EDATE(Premissas!$B$4,312)</x:f>
        <x:v>56036</x:v>
      </x:c>
      <x:c r="C318" s="141" t="n">
        <x:f>M317</x:f>
        <x:v>41142.8571428572</x:v>
      </x:c>
      <x:c r="D318" s="141" t="n">
        <x:f>IF(C318&gt;0,C318*Premissas!$B$17,0)</x:f>
        <x:v>0</x:v>
      </x:c>
      <x:c r="E318" s="141" t="n">
        <x:f>C318+D318</x:f>
        <x:v>41142.8571428572</x:v>
      </x:c>
      <x:c r="F318" s="142" t="n">
        <x:f>MAX(0,Premissas!$B$13-A318+1)</x:f>
        <x:v>108</x:v>
      </x:c>
      <x:c r="G318" s="141" t="n">
        <x:f>IF(AND(E318&gt;0,F318&gt;0),IF(Premissas!$B$19="PRICE",MAX(0,MIN(E318,IF(Premissas!$B$15=0,E318/F318,E318*Premissas!$B$15/(1-(1+Premissas!$B$15)^(-F318)))-H318)),MIN(E318,E318/F318)),0)</x:f>
        <x:v>380.95238095238153</x:v>
      </x:c>
      <x:c r="H318" s="141" t="n">
        <x:f>IF(AND(E318&gt;0,F318&gt;0),E318*Premissas!$B$15,0)</x:f>
        <x:v>390.396052165703</x:v>
      </x:c>
      <x:c r="I318" s="141" t="n">
        <x:f>IF(AND(E318&gt;0,F318&gt;0),Premissas!$B$18,0)</x:f>
        <x:v>150</x:v>
      </x:c>
      <x:c r="J318" s="141" t="n">
        <x:f>IF(AND(E318&gt;0,F318&gt;0),IF(Premissas!$B$19="PRICE",IF(Premissas!$B$15=0,E318/F318,E318*Premissas!$B$15/(1-(1+Premissas!$B$15)^(-F318)))+I318,G318+H318+I318),0)</x:f>
        <x:v>921.3484331180846</x:v>
      </x:c>
      <x:c r="K318" s="141" t="n">
        <x:f>H318+I318</x:f>
        <x:v>540.3960521657029</x:v>
      </x:c>
      <x:c r="L318" s="141" t="n">
        <x:f>SUM($J$6:J318)</x:f>
        <x:v>464884.45248398697</x:v>
      </x:c>
      <x:c r="M318" s="141" t="n">
        <x:f>MAX(0,E318-G318)</x:f>
        <x:v>40761.90476190482</x:v>
      </x:c>
    </x:row>
    <x:row r="319">
      <x:c r="A319" s="142" t="n">
        <x:v>314</x:v>
      </x:c>
      <x:c r="B319" s="179" t="n">
        <x:f>EDATE(Premissas!$B$4,313)</x:f>
        <x:v>56066</x:v>
      </x:c>
      <x:c r="C319" s="141" t="n">
        <x:f>M318</x:f>
        <x:v>40761.90476190482</x:v>
      </x:c>
      <x:c r="D319" s="141" t="n">
        <x:f>IF(C319&gt;0,C319*Premissas!$B$17,0)</x:f>
        <x:v>0</x:v>
      </x:c>
      <x:c r="E319" s="141" t="n">
        <x:f>C319+D319</x:f>
        <x:v>40761.90476190482</x:v>
      </x:c>
      <x:c r="F319" s="142" t="n">
        <x:f>MAX(0,Premissas!$B$13-A319+1)</x:f>
        <x:v>107</x:v>
      </x:c>
      <x:c r="G319" s="141" t="n">
        <x:f>IF(AND(E319&gt;0,F319&gt;0),IF(Premissas!$B$19="PRICE",MAX(0,MIN(E319,IF(Premissas!$B$15=0,E319/F319,E319*Premissas!$B$15/(1-(1+Premissas!$B$15)^(-F319)))-H319)),MIN(E319,E319/F319)),0)</x:f>
        <x:v>380.95238095238153</x:v>
      </x:c>
      <x:c r="H319" s="141" t="n">
        <x:f>IF(AND(E319&gt;0,F319&gt;0),E319*Premissas!$B$15,0)</x:f>
        <x:v>386.7812739049095</x:v>
      </x:c>
      <x:c r="I319" s="141" t="n">
        <x:f>IF(AND(E319&gt;0,F319&gt;0),Premissas!$B$18,0)</x:f>
        <x:v>150</x:v>
      </x:c>
      <x:c r="J319" s="141" t="n">
        <x:f>IF(AND(E319&gt;0,F319&gt;0),IF(Premissas!$B$19="PRICE",IF(Premissas!$B$15=0,E319/F319,E319*Premissas!$B$15/(1-(1+Premissas!$B$15)^(-F319)))+I319,G319+H319+I319),0)</x:f>
        <x:v>917.733654857291</x:v>
      </x:c>
      <x:c r="K319" s="141" t="n">
        <x:f>H319+I319</x:f>
        <x:v>536.7812739049095</x:v>
      </x:c>
      <x:c r="L319" s="141" t="n">
        <x:f>SUM($J$6:J319)</x:f>
        <x:v>465802.18613884423</x:v>
      </x:c>
      <x:c r="M319" s="141" t="n">
        <x:f>MAX(0,E319-G319)</x:f>
        <x:v>40380.95238095244</x:v>
      </x:c>
    </x:row>
    <x:row r="320">
      <x:c r="A320" s="142" t="n">
        <x:v>315</x:v>
      </x:c>
      <x:c r="B320" s="179" t="n">
        <x:f>EDATE(Premissas!$B$4,314)</x:f>
        <x:v>56097</x:v>
      </x:c>
      <x:c r="C320" s="141" t="n">
        <x:f>M319</x:f>
        <x:v>40380.95238095244</x:v>
      </x:c>
      <x:c r="D320" s="141" t="n">
        <x:f>IF(C320&gt;0,C320*Premissas!$B$17,0)</x:f>
        <x:v>0</x:v>
      </x:c>
      <x:c r="E320" s="141" t="n">
        <x:f>C320+D320</x:f>
        <x:v>40380.95238095244</x:v>
      </x:c>
      <x:c r="F320" s="142" t="n">
        <x:f>MAX(0,Premissas!$B$13-A320+1)</x:f>
        <x:v>106</x:v>
      </x:c>
      <x:c r="G320" s="141" t="n">
        <x:f>IF(AND(E320&gt;0,F320&gt;0),IF(Premissas!$B$19="PRICE",MAX(0,MIN(E320,IF(Premissas!$B$15=0,E320/F320,E320*Premissas!$B$15/(1-(1+Premissas!$B$15)^(-F320)))-H320)),MIN(E320,E320/F320)),0)</x:f>
        <x:v>380.95238095238153</x:v>
      </x:c>
      <x:c r="H320" s="141" t="n">
        <x:f>IF(AND(E320&gt;0,F320&gt;0),E320*Premissas!$B$15,0)</x:f>
        <x:v>383.1664956441159</x:v>
      </x:c>
      <x:c r="I320" s="141" t="n">
        <x:f>IF(AND(E320&gt;0,F320&gt;0),Premissas!$B$18,0)</x:f>
        <x:v>150</x:v>
      </x:c>
      <x:c r="J320" s="141" t="n">
        <x:f>IF(AND(E320&gt;0,F320&gt;0),IF(Premissas!$B$19="PRICE",IF(Premissas!$B$15=0,E320/F320,E320*Premissas!$B$15/(1-(1+Premissas!$B$15)^(-F320)))+I320,G320+H320+I320),0)</x:f>
        <x:v>914.1188765964974</x:v>
      </x:c>
      <x:c r="K320" s="141" t="n">
        <x:f>H320+I320</x:f>
        <x:v>533.1664956441159</x:v>
      </x:c>
      <x:c r="L320" s="141" t="n">
        <x:f>SUM($J$6:J320)</x:f>
        <x:v>466716.30501544074</x:v>
      </x:c>
      <x:c r="M320" s="141" t="n">
        <x:f>MAX(0,E320-G320)</x:f>
        <x:v>40000.00000000006</x:v>
      </x:c>
    </x:row>
    <x:row r="321">
      <x:c r="A321" s="142" t="n">
        <x:v>316</x:v>
      </x:c>
      <x:c r="B321" s="179" t="n">
        <x:f>EDATE(Premissas!$B$4,315)</x:f>
        <x:v>56128</x:v>
      </x:c>
      <x:c r="C321" s="141" t="n">
        <x:f>M320</x:f>
        <x:v>40000.00000000006</x:v>
      </x:c>
      <x:c r="D321" s="141" t="n">
        <x:f>IF(C321&gt;0,C321*Premissas!$B$17,0)</x:f>
        <x:v>0</x:v>
      </x:c>
      <x:c r="E321" s="141" t="n">
        <x:f>C321+D321</x:f>
        <x:v>40000.00000000006</x:v>
      </x:c>
      <x:c r="F321" s="142" t="n">
        <x:f>MAX(0,Premissas!$B$13-A321+1)</x:f>
        <x:v>105</x:v>
      </x:c>
      <x:c r="G321" s="141" t="n">
        <x:f>IF(AND(E321&gt;0,F321&gt;0),IF(Premissas!$B$19="PRICE",MAX(0,MIN(E321,IF(Premissas!$B$15=0,E321/F321,E321*Premissas!$B$15/(1-(1+Premissas!$B$15)^(-F321)))-H321)),MIN(E321,E321/F321)),0)</x:f>
        <x:v>380.95238095238153</x:v>
      </x:c>
      <x:c r="H321" s="141" t="n">
        <x:f>IF(AND(E321&gt;0,F321&gt;0),E321*Premissas!$B$15,0)</x:f>
        <x:v>379.5517173833224</x:v>
      </x:c>
      <x:c r="I321" s="141" t="n">
        <x:f>IF(AND(E321&gt;0,F321&gt;0),Premissas!$B$18,0)</x:f>
        <x:v>150</x:v>
      </x:c>
      <x:c r="J321" s="141" t="n">
        <x:f>IF(AND(E321&gt;0,F321&gt;0),IF(Premissas!$B$19="PRICE",IF(Premissas!$B$15=0,E321/F321,E321*Premissas!$B$15/(1-(1+Premissas!$B$15)^(-F321)))+I321,G321+H321+I321),0)</x:f>
        <x:v>910.5040983357039</x:v>
      </x:c>
      <x:c r="K321" s="141" t="n">
        <x:f>H321+I321</x:f>
        <x:v>529.5517173833224</x:v>
      </x:c>
      <x:c r="L321" s="141" t="n">
        <x:f>SUM($J$6:J321)</x:f>
        <x:v>467626.8091137764</x:v>
      </x:c>
      <x:c r="M321" s="141" t="n">
        <x:f>MAX(0,E321-G321)</x:f>
        <x:v>39619.04761904768</x:v>
      </x:c>
    </x:row>
    <x:row r="322">
      <x:c r="A322" s="142" t="n">
        <x:v>317</x:v>
      </x:c>
      <x:c r="B322" s="179" t="n">
        <x:f>EDATE(Premissas!$B$4,316)</x:f>
        <x:v>56158</x:v>
      </x:c>
      <x:c r="C322" s="141" t="n">
        <x:f>M321</x:f>
        <x:v>39619.04761904768</x:v>
      </x:c>
      <x:c r="D322" s="141" t="n">
        <x:f>IF(C322&gt;0,C322*Premissas!$B$17,0)</x:f>
        <x:v>0</x:v>
      </x:c>
      <x:c r="E322" s="141" t="n">
        <x:f>C322+D322</x:f>
        <x:v>39619.04761904768</x:v>
      </x:c>
      <x:c r="F322" s="142" t="n">
        <x:f>MAX(0,Premissas!$B$13-A322+1)</x:f>
        <x:v>104</x:v>
      </x:c>
      <x:c r="G322" s="141" t="n">
        <x:f>IF(AND(E322&gt;0,F322&gt;0),IF(Premissas!$B$19="PRICE",MAX(0,MIN(E322,IF(Premissas!$B$15=0,E322/F322,E322*Premissas!$B$15/(1-(1+Premissas!$B$15)^(-F322)))-H322)),MIN(E322,E322/F322)),0)</x:f>
        <x:v>380.95238095238153</x:v>
      </x:c>
      <x:c r="H322" s="141" t="n">
        <x:f>IF(AND(E322&gt;0,F322&gt;0),E322*Premissas!$B$15,0)</x:f>
        <x:v>375.9369391225288</x:v>
      </x:c>
      <x:c r="I322" s="141" t="n">
        <x:f>IF(AND(E322&gt;0,F322&gt;0),Premissas!$B$18,0)</x:f>
        <x:v>150</x:v>
      </x:c>
      <x:c r="J322" s="141" t="n">
        <x:f>IF(AND(E322&gt;0,F322&gt;0),IF(Premissas!$B$19="PRICE",IF(Premissas!$B$15=0,E322/F322,E322*Premissas!$B$15/(1-(1+Premissas!$B$15)^(-F322)))+I322,G322+H322+I322),0)</x:f>
        <x:v>906.8893200749103</x:v>
      </x:c>
      <x:c r="K322" s="141" t="n">
        <x:f>H322+I322</x:f>
        <x:v>525.9369391225289</x:v>
      </x:c>
      <x:c r="L322" s="141" t="n">
        <x:f>SUM($J$6:J322)</x:f>
        <x:v>468533.69843385136</x:v>
      </x:c>
      <x:c r="M322" s="141" t="n">
        <x:f>MAX(0,E322-G322)</x:f>
        <x:v>39238.095238095295</x:v>
      </x:c>
    </x:row>
    <x:row r="323">
      <x:c r="A323" s="142" t="n">
        <x:v>318</x:v>
      </x:c>
      <x:c r="B323" s="179" t="n">
        <x:f>EDATE(Premissas!$B$4,317)</x:f>
        <x:v>56189</x:v>
      </x:c>
      <x:c r="C323" s="141" t="n">
        <x:f>M322</x:f>
        <x:v>39238.095238095295</x:v>
      </x:c>
      <x:c r="D323" s="141" t="n">
        <x:f>IF(C323&gt;0,C323*Premissas!$B$17,0)</x:f>
        <x:v>0</x:v>
      </x:c>
      <x:c r="E323" s="141" t="n">
        <x:f>C323+D323</x:f>
        <x:v>39238.095238095295</x:v>
      </x:c>
      <x:c r="F323" s="142" t="n">
        <x:f>MAX(0,Premissas!$B$13-A323+1)</x:f>
        <x:v>103</x:v>
      </x:c>
      <x:c r="G323" s="141" t="n">
        <x:f>IF(AND(E323&gt;0,F323&gt;0),IF(Premissas!$B$19="PRICE",MAX(0,MIN(E323,IF(Premissas!$B$15=0,E323/F323,E323*Premissas!$B$15/(1-(1+Premissas!$B$15)^(-F323)))-H323)),MIN(E323,E323/F323)),0)</x:f>
        <x:v>380.95238095238153</x:v>
      </x:c>
      <x:c r="H323" s="141" t="n">
        <x:f>IF(AND(E323&gt;0,F323&gt;0),E323*Premissas!$B$15,0)</x:f>
        <x:v>372.3221608617353</x:v>
      </x:c>
      <x:c r="I323" s="141" t="n">
        <x:f>IF(AND(E323&gt;0,F323&gt;0),Premissas!$B$18,0)</x:f>
        <x:v>150</x:v>
      </x:c>
      <x:c r="J323" s="141" t="n">
        <x:f>IF(AND(E323&gt;0,F323&gt;0),IF(Premissas!$B$19="PRICE",IF(Premissas!$B$15=0,E323/F323,E323*Premissas!$B$15/(1-(1+Premissas!$B$15)^(-F323)))+I323,G323+H323+I323),0)</x:f>
        <x:v>903.2745418141169</x:v>
      </x:c>
      <x:c r="K323" s="141" t="n">
        <x:f>H323+I323</x:f>
        <x:v>522.3221608617353</x:v>
      </x:c>
      <x:c r="L323" s="141" t="n">
        <x:f>SUM($J$6:J323)</x:f>
        <x:v>469436.97297566547</x:v>
      </x:c>
      <x:c r="M323" s="141" t="n">
        <x:f>MAX(0,E323-G323)</x:f>
        <x:v>38857.14285714291</x:v>
      </x:c>
    </x:row>
    <x:row r="324">
      <x:c r="A324" s="142" t="n">
        <x:v>319</x:v>
      </x:c>
      <x:c r="B324" s="179" t="n">
        <x:f>EDATE(Premissas!$B$4,318)</x:f>
        <x:v>56219</x:v>
      </x:c>
      <x:c r="C324" s="141" t="n">
        <x:f>M323</x:f>
        <x:v>38857.14285714291</x:v>
      </x:c>
      <x:c r="D324" s="141" t="n">
        <x:f>IF(C324&gt;0,C324*Premissas!$B$17,0)</x:f>
        <x:v>0</x:v>
      </x:c>
      <x:c r="E324" s="141" t="n">
        <x:f>C324+D324</x:f>
        <x:v>38857.14285714291</x:v>
      </x:c>
      <x:c r="F324" s="142" t="n">
        <x:f>MAX(0,Premissas!$B$13-A324+1)</x:f>
        <x:v>102</x:v>
      </x:c>
      <x:c r="G324" s="141" t="n">
        <x:f>IF(AND(E324&gt;0,F324&gt;0),IF(Premissas!$B$19="PRICE",MAX(0,MIN(E324,IF(Premissas!$B$15=0,E324/F324,E324*Premissas!$B$15/(1-(1+Premissas!$B$15)^(-F324)))-H324)),MIN(E324,E324/F324)),0)</x:f>
        <x:v>380.9523809523815</x:v>
      </x:c>
      <x:c r="H324" s="141" t="n">
        <x:f>IF(AND(E324&gt;0,F324&gt;0),E324*Premissas!$B$15,0)</x:f>
        <x:v>368.70738260094174</x:v>
      </x:c>
      <x:c r="I324" s="141" t="n">
        <x:f>IF(AND(E324&gt;0,F324&gt;0),Premissas!$B$18,0)</x:f>
        <x:v>150</x:v>
      </x:c>
      <x:c r="J324" s="141" t="n">
        <x:f>IF(AND(E324&gt;0,F324&gt;0),IF(Premissas!$B$19="PRICE",IF(Premissas!$B$15=0,E324/F324,E324*Premissas!$B$15/(1-(1+Premissas!$B$15)^(-F324)))+I324,G324+H324+I324),0)</x:f>
        <x:v>899.6597635533233</x:v>
      </x:c>
      <x:c r="K324" s="141" t="n">
        <x:f>H324+I324</x:f>
        <x:v>518.7073826009417</x:v>
      </x:c>
      <x:c r="L324" s="141" t="n">
        <x:f>SUM($J$6:J324)</x:f>
        <x:v>470336.63273921877</x:v>
      </x:c>
      <x:c r="M324" s="141" t="n">
        <x:f>MAX(0,E324-G324)</x:f>
        <x:v>38476.19047619053</x:v>
      </x:c>
    </x:row>
    <x:row r="325">
      <x:c r="A325" s="142" t="n">
        <x:v>320</x:v>
      </x:c>
      <x:c r="B325" s="179" t="n">
        <x:f>EDATE(Premissas!$B$4,319)</x:f>
        <x:v>56250</x:v>
      </x:c>
      <x:c r="C325" s="141" t="n">
        <x:f>M324</x:f>
        <x:v>38476.19047619053</x:v>
      </x:c>
      <x:c r="D325" s="141" t="n">
        <x:f>IF(C325&gt;0,C325*Premissas!$B$17,0)</x:f>
        <x:v>0</x:v>
      </x:c>
      <x:c r="E325" s="141" t="n">
        <x:f>C325+D325</x:f>
        <x:v>38476.19047619053</x:v>
      </x:c>
      <x:c r="F325" s="142" t="n">
        <x:f>MAX(0,Premissas!$B$13-A325+1)</x:f>
        <x:v>101</x:v>
      </x:c>
      <x:c r="G325" s="141" t="n">
        <x:f>IF(AND(E325&gt;0,F325&gt;0),IF(Premissas!$B$19="PRICE",MAX(0,MIN(E325,IF(Premissas!$B$15=0,E325/F325,E325*Premissas!$B$15/(1-(1+Premissas!$B$15)^(-F325)))-H325)),MIN(E325,E325/F325)),0)</x:f>
        <x:v>380.9523809523815</x:v>
      </x:c>
      <x:c r="H325" s="141" t="n">
        <x:f>IF(AND(E325&gt;0,F325&gt;0),E325*Premissas!$B$15,0)</x:f>
        <x:v>365.09260434014817</x:v>
      </x:c>
      <x:c r="I325" s="141" t="n">
        <x:f>IF(AND(E325&gt;0,F325&gt;0),Premissas!$B$18,0)</x:f>
        <x:v>150</x:v>
      </x:c>
      <x:c r="J325" s="141" t="n">
        <x:f>IF(AND(E325&gt;0,F325&gt;0),IF(Premissas!$B$19="PRICE",IF(Premissas!$B$15=0,E325/F325,E325*Premissas!$B$15/(1-(1+Premissas!$B$15)^(-F325)))+I325,G325+H325+I325),0)</x:f>
        <x:v>896.0449852925296</x:v>
      </x:c>
      <x:c r="K325" s="141" t="n">
        <x:f>H325+I325</x:f>
        <x:v>515.0926043401482</x:v>
      </x:c>
      <x:c r="L325" s="141" t="n">
        <x:f>SUM($J$6:J325)</x:f>
        <x:v>471232.6777245113</x:v>
      </x:c>
      <x:c r="M325" s="141" t="n">
        <x:f>MAX(0,E325-G325)</x:f>
        <x:v>38095.23809523815</x:v>
      </x:c>
    </x:row>
    <x:row r="326">
      <x:c r="A326" s="142" t="n">
        <x:v>321</x:v>
      </x:c>
      <x:c r="B326" s="179" t="n">
        <x:f>EDATE(Premissas!$B$4,320)</x:f>
        <x:v>56281</x:v>
      </x:c>
      <x:c r="C326" s="141" t="n">
        <x:f>M325</x:f>
        <x:v>38095.23809523815</x:v>
      </x:c>
      <x:c r="D326" s="141" t="n">
        <x:f>IF(C326&gt;0,C326*Premissas!$B$17,0)</x:f>
        <x:v>0</x:v>
      </x:c>
      <x:c r="E326" s="141" t="n">
        <x:f>C326+D326</x:f>
        <x:v>38095.23809523815</x:v>
      </x:c>
      <x:c r="F326" s="142" t="n">
        <x:f>MAX(0,Premissas!$B$13-A326+1)</x:f>
        <x:v>100</x:v>
      </x:c>
      <x:c r="G326" s="141" t="n">
        <x:f>IF(AND(E326&gt;0,F326&gt;0),IF(Premissas!$B$19="PRICE",MAX(0,MIN(E326,IF(Premissas!$B$15=0,E326/F326,E326*Premissas!$B$15/(1-(1+Premissas!$B$15)^(-F326)))-H326)),MIN(E326,E326/F326)),0)</x:f>
        <x:v>380.9523809523815</x:v>
      </x:c>
      <x:c r="H326" s="141" t="n">
        <x:f>IF(AND(E326&gt;0,F326&gt;0),E326*Premissas!$B$15,0)</x:f>
        <x:v>361.47782607935466</x:v>
      </x:c>
      <x:c r="I326" s="141" t="n">
        <x:f>IF(AND(E326&gt;0,F326&gt;0),Premissas!$B$18,0)</x:f>
        <x:v>150</x:v>
      </x:c>
      <x:c r="J326" s="141" t="n">
        <x:f>IF(AND(E326&gt;0,F326&gt;0),IF(Premissas!$B$19="PRICE",IF(Premissas!$B$15=0,E326/F326,E326*Premissas!$B$15/(1-(1+Premissas!$B$15)^(-F326)))+I326,G326+H326+I326),0)</x:f>
        <x:v>892.4302070317361</x:v>
      </x:c>
      <x:c r="K326" s="141" t="n">
        <x:f>H326+I326</x:f>
        <x:v>511.47782607935466</x:v>
      </x:c>
      <x:c r="L326" s="141" t="n">
        <x:f>SUM($J$6:J326)</x:f>
        <x:v>472125.107931543</x:v>
      </x:c>
      <x:c r="M326" s="141" t="n">
        <x:f>MAX(0,E326-G326)</x:f>
        <x:v>37714.28571428577</x:v>
      </x:c>
    </x:row>
    <x:row r="327">
      <x:c r="A327" s="142" t="n">
        <x:v>322</x:v>
      </x:c>
      <x:c r="B327" s="179" t="n">
        <x:f>EDATE(Premissas!$B$4,321)</x:f>
        <x:v>56309</x:v>
      </x:c>
      <x:c r="C327" s="141" t="n">
        <x:f>M326</x:f>
        <x:v>37714.28571428577</x:v>
      </x:c>
      <x:c r="D327" s="141" t="n">
        <x:f>IF(C327&gt;0,C327*Premissas!$B$17,0)</x:f>
        <x:v>0</x:v>
      </x:c>
      <x:c r="E327" s="141" t="n">
        <x:f>C327+D327</x:f>
        <x:v>37714.28571428577</x:v>
      </x:c>
      <x:c r="F327" s="142" t="n">
        <x:f>MAX(0,Premissas!$B$13-A327+1)</x:f>
        <x:v>99</x:v>
      </x:c>
      <x:c r="G327" s="141" t="n">
        <x:f>IF(AND(E327&gt;0,F327&gt;0),IF(Premissas!$B$19="PRICE",MAX(0,MIN(E327,IF(Premissas!$B$15=0,E327/F327,E327*Premissas!$B$15/(1-(1+Premissas!$B$15)^(-F327)))-H327)),MIN(E327,E327/F327)),0)</x:f>
        <x:v>380.9523809523815</x:v>
      </x:c>
      <x:c r="H327" s="141" t="n">
        <x:f>IF(AND(E327&gt;0,F327&gt;0),E327*Premissas!$B$15,0)</x:f>
        <x:v>357.8630478185611</x:v>
      </x:c>
      <x:c r="I327" s="141" t="n">
        <x:f>IF(AND(E327&gt;0,F327&gt;0),Premissas!$B$18,0)</x:f>
        <x:v>150</x:v>
      </x:c>
      <x:c r="J327" s="141" t="n">
        <x:f>IF(AND(E327&gt;0,F327&gt;0),IF(Premissas!$B$19="PRICE",IF(Premissas!$B$15=0,E327/F327,E327*Premissas!$B$15/(1-(1+Premissas!$B$15)^(-F327)))+I327,G327+H327+I327),0)</x:f>
        <x:v>888.8154287709426</x:v>
      </x:c>
      <x:c r="K327" s="141" t="n">
        <x:f>H327+I327</x:f>
        <x:v>507.8630478185611</x:v>
      </x:c>
      <x:c r="L327" s="141" t="n">
        <x:f>SUM($J$6:J327)</x:f>
        <x:v>473013.923360314</x:v>
      </x:c>
      <x:c r="M327" s="141" t="n">
        <x:f>MAX(0,E327-G327)</x:f>
        <x:v>37333.33333333339</x:v>
      </x:c>
    </x:row>
    <x:row r="328">
      <x:c r="A328" s="142" t="n">
        <x:v>323</x:v>
      </x:c>
      <x:c r="B328" s="179" t="n">
        <x:f>EDATE(Premissas!$B$4,322)</x:f>
        <x:v>56340</x:v>
      </x:c>
      <x:c r="C328" s="141" t="n">
        <x:f>M327</x:f>
        <x:v>37333.33333333339</x:v>
      </x:c>
      <x:c r="D328" s="141" t="n">
        <x:f>IF(C328&gt;0,C328*Premissas!$B$17,0)</x:f>
        <x:v>0</x:v>
      </x:c>
      <x:c r="E328" s="141" t="n">
        <x:f>C328+D328</x:f>
        <x:v>37333.33333333339</x:v>
      </x:c>
      <x:c r="F328" s="142" t="n">
        <x:f>MAX(0,Premissas!$B$13-A328+1)</x:f>
        <x:v>98</x:v>
      </x:c>
      <x:c r="G328" s="141" t="n">
        <x:f>IF(AND(E328&gt;0,F328&gt;0),IF(Premissas!$B$19="PRICE",MAX(0,MIN(E328,IF(Premissas!$B$15=0,E328/F328,E328*Premissas!$B$15/(1-(1+Premissas!$B$15)^(-F328)))-H328)),MIN(E328,E328/F328)),0)</x:f>
        <x:v>380.9523809523815</x:v>
      </x:c>
      <x:c r="H328" s="141" t="n">
        <x:f>IF(AND(E328&gt;0,F328&gt;0),E328*Premissas!$B$15,0)</x:f>
        <x:v>354.24826955776757</x:v>
      </x:c>
      <x:c r="I328" s="141" t="n">
        <x:f>IF(AND(E328&gt;0,F328&gt;0),Premissas!$B$18,0)</x:f>
        <x:v>150</x:v>
      </x:c>
      <x:c r="J328" s="141" t="n">
        <x:f>IF(AND(E328&gt;0,F328&gt;0),IF(Premissas!$B$19="PRICE",IF(Premissas!$B$15=0,E328/F328,E328*Premissas!$B$15/(1-(1+Premissas!$B$15)^(-F328)))+I328,G328+H328+I328),0)</x:f>
        <x:v>885.200650510149</x:v>
      </x:c>
      <x:c r="K328" s="141" t="n">
        <x:f>H328+I328</x:f>
        <x:v>504.24826955776757</x:v>
      </x:c>
      <x:c r="L328" s="141" t="n">
        <x:f>SUM($J$6:J328)</x:f>
        <x:v>473899.12401082413</x:v>
      </x:c>
      <x:c r="M328" s="141" t="n">
        <x:f>MAX(0,E328-G328)</x:f>
        <x:v>36952.380952381005</x:v>
      </x:c>
    </x:row>
    <x:row r="329">
      <x:c r="A329" s="142" t="n">
        <x:v>324</x:v>
      </x:c>
      <x:c r="B329" s="179" t="n">
        <x:f>EDATE(Premissas!$B$4,323)</x:f>
        <x:v>56370</x:v>
      </x:c>
      <x:c r="C329" s="141" t="n">
        <x:f>M328</x:f>
        <x:v>36952.380952381005</x:v>
      </x:c>
      <x:c r="D329" s="141" t="n">
        <x:f>IF(C329&gt;0,C329*Premissas!$B$17,0)</x:f>
        <x:v>0</x:v>
      </x:c>
      <x:c r="E329" s="141" t="n">
        <x:f>C329+D329</x:f>
        <x:v>36952.380952381005</x:v>
      </x:c>
      <x:c r="F329" s="142" t="n">
        <x:f>MAX(0,Premissas!$B$13-A329+1)</x:f>
        <x:v>97</x:v>
      </x:c>
      <x:c r="G329" s="141" t="n">
        <x:f>IF(AND(E329&gt;0,F329&gt;0),IF(Premissas!$B$19="PRICE",MAX(0,MIN(E329,IF(Premissas!$B$15=0,E329/F329,E329*Premissas!$B$15/(1-(1+Premissas!$B$15)^(-F329)))-H329)),MIN(E329,E329/F329)),0)</x:f>
        <x:v>380.9523809523815</x:v>
      </x:c>
      <x:c r="H329" s="141" t="n">
        <x:f>IF(AND(E329&gt;0,F329&gt;0),E329*Premissas!$B$15,0)</x:f>
        <x:v>350.633491296974</x:v>
      </x:c>
      <x:c r="I329" s="141" t="n">
        <x:f>IF(AND(E329&gt;0,F329&gt;0),Premissas!$B$18,0)</x:f>
        <x:v>150</x:v>
      </x:c>
      <x:c r="J329" s="141" t="n">
        <x:f>IF(AND(E329&gt;0,F329&gt;0),IF(Premissas!$B$19="PRICE",IF(Premissas!$B$15=0,E329/F329,E329*Premissas!$B$15/(1-(1+Premissas!$B$15)^(-F329)))+I329,G329+H329+I329),0)</x:f>
        <x:v>881.5858722493555</x:v>
      </x:c>
      <x:c r="K329" s="141" t="n">
        <x:f>H329+I329</x:f>
        <x:v>500.633491296974</x:v>
      </x:c>
      <x:c r="L329" s="141" t="n">
        <x:f>SUM($J$6:J329)</x:f>
        <x:v>474780.70988307346</x:v>
      </x:c>
      <x:c r="M329" s="141" t="n">
        <x:f>MAX(0,E329-G329)</x:f>
        <x:v>36571.42857142862</x:v>
      </x:c>
    </x:row>
    <x:row r="330">
      <x:c r="A330" s="142" t="n">
        <x:v>325</x:v>
      </x:c>
      <x:c r="B330" s="179" t="n">
        <x:f>EDATE(Premissas!$B$4,324)</x:f>
        <x:v>56401</x:v>
      </x:c>
      <x:c r="C330" s="141" t="n">
        <x:f>M329</x:f>
        <x:v>36571.42857142862</x:v>
      </x:c>
      <x:c r="D330" s="141" t="n">
        <x:f>IF(C330&gt;0,C330*Premissas!$B$17,0)</x:f>
        <x:v>0</x:v>
      </x:c>
      <x:c r="E330" s="141" t="n">
        <x:f>C330+D330</x:f>
        <x:v>36571.42857142862</x:v>
      </x:c>
      <x:c r="F330" s="142" t="n">
        <x:f>MAX(0,Premissas!$B$13-A330+1)</x:f>
        <x:v>96</x:v>
      </x:c>
      <x:c r="G330" s="141" t="n">
        <x:f>IF(AND(E330&gt;0,F330&gt;0),IF(Premissas!$B$19="PRICE",MAX(0,MIN(E330,IF(Premissas!$B$15=0,E330/F330,E330*Premissas!$B$15/(1-(1+Premissas!$B$15)^(-F330)))-H330)),MIN(E330,E330/F330)),0)</x:f>
        <x:v>380.9523809523815</x:v>
      </x:c>
      <x:c r="H330" s="141" t="n">
        <x:f>IF(AND(E330&gt;0,F330&gt;0),E330*Premissas!$B$15,0)</x:f>
        <x:v>347.01871303618043</x:v>
      </x:c>
      <x:c r="I330" s="141" t="n">
        <x:f>IF(AND(E330&gt;0,F330&gt;0),Premissas!$B$18,0)</x:f>
        <x:v>150</x:v>
      </x:c>
      <x:c r="J330" s="141" t="n">
        <x:f>IF(AND(E330&gt;0,F330&gt;0),IF(Premissas!$B$19="PRICE",IF(Premissas!$B$15=0,E330/F330,E330*Premissas!$B$15/(1-(1+Premissas!$B$15)^(-F330)))+I330,G330+H330+I330),0)</x:f>
        <x:v>877.971093988562</x:v>
      </x:c>
      <x:c r="K330" s="141" t="n">
        <x:f>H330+I330</x:f>
        <x:v>497.01871303618043</x:v>
      </x:c>
      <x:c r="L330" s="141" t="n">
        <x:f>SUM($J$6:J330)</x:f>
        <x:v>475658.68097706203</x:v>
      </x:c>
      <x:c r="M330" s="141" t="n">
        <x:f>MAX(0,E330-G330)</x:f>
        <x:v>36190.47619047624</x:v>
      </x:c>
    </x:row>
    <x:row r="331">
      <x:c r="A331" s="142" t="n">
        <x:v>326</x:v>
      </x:c>
      <x:c r="B331" s="179" t="n">
        <x:f>EDATE(Premissas!$B$4,325)</x:f>
        <x:v>56431</x:v>
      </x:c>
      <x:c r="C331" s="141" t="n">
        <x:f>M330</x:f>
        <x:v>36190.47619047624</x:v>
      </x:c>
      <x:c r="D331" s="141" t="n">
        <x:f>IF(C331&gt;0,C331*Premissas!$B$17,0)</x:f>
        <x:v>0</x:v>
      </x:c>
      <x:c r="E331" s="141" t="n">
        <x:f>C331+D331</x:f>
        <x:v>36190.47619047624</x:v>
      </x:c>
      <x:c r="F331" s="142" t="n">
        <x:f>MAX(0,Premissas!$B$13-A331+1)</x:f>
        <x:v>95</x:v>
      </x:c>
      <x:c r="G331" s="141" t="n">
        <x:f>IF(AND(E331&gt;0,F331&gt;0),IF(Premissas!$B$19="PRICE",MAX(0,MIN(E331,IF(Premissas!$B$15=0,E331/F331,E331*Premissas!$B$15/(1-(1+Premissas!$B$15)^(-F331)))-H331)),MIN(E331,E331/F331)),0)</x:f>
        <x:v>380.9523809523815</x:v>
      </x:c>
      <x:c r="H331" s="141" t="n">
        <x:f>IF(AND(E331&gt;0,F331&gt;0),E331*Premissas!$B$15,0)</x:f>
        <x:v>343.4039347753869</x:v>
      </x:c>
      <x:c r="I331" s="141" t="n">
        <x:f>IF(AND(E331&gt;0,F331&gt;0),Premissas!$B$18,0)</x:f>
        <x:v>150</x:v>
      </x:c>
      <x:c r="J331" s="141" t="n">
        <x:f>IF(AND(E331&gt;0,F331&gt;0),IF(Premissas!$B$19="PRICE",IF(Premissas!$B$15=0,E331/F331,E331*Premissas!$B$15/(1-(1+Premissas!$B$15)^(-F331)))+I331,G331+H331+I331),0)</x:f>
        <x:v>874.3563157277683</x:v>
      </x:c>
      <x:c r="K331" s="141" t="n">
        <x:f>H331+I331</x:f>
        <x:v>493.4039347753869</x:v>
      </x:c>
      <x:c r="L331" s="141" t="n">
        <x:f>SUM($J$6:J331)</x:f>
        <x:v>476533.0372927898</x:v>
      </x:c>
      <x:c r="M331" s="141" t="n">
        <x:f>MAX(0,E331-G331)</x:f>
        <x:v>35809.52380952386</x:v>
      </x:c>
    </x:row>
    <x:row r="332">
      <x:c r="A332" s="142" t="n">
        <x:v>327</x:v>
      </x:c>
      <x:c r="B332" s="179" t="n">
        <x:f>EDATE(Premissas!$B$4,326)</x:f>
        <x:v>56462</x:v>
      </x:c>
      <x:c r="C332" s="141" t="n">
        <x:f>M331</x:f>
        <x:v>35809.52380952386</x:v>
      </x:c>
      <x:c r="D332" s="141" t="n">
        <x:f>IF(C332&gt;0,C332*Premissas!$B$17,0)</x:f>
        <x:v>0</x:v>
      </x:c>
      <x:c r="E332" s="141" t="n">
        <x:f>C332+D332</x:f>
        <x:v>35809.52380952386</x:v>
      </x:c>
      <x:c r="F332" s="142" t="n">
        <x:f>MAX(0,Premissas!$B$13-A332+1)</x:f>
        <x:v>94</x:v>
      </x:c>
      <x:c r="G332" s="141" t="n">
        <x:f>IF(AND(E332&gt;0,F332&gt;0),IF(Premissas!$B$19="PRICE",MAX(0,MIN(E332,IF(Premissas!$B$15=0,E332/F332,E332*Premissas!$B$15/(1-(1+Premissas!$B$15)^(-F332)))-H332)),MIN(E332,E332/F332)),0)</x:f>
        <x:v>380.9523809523815</x:v>
      </x:c>
      <x:c r="H332" s="141" t="n">
        <x:f>IF(AND(E332&gt;0,F332&gt;0),E332*Premissas!$B$15,0)</x:f>
        <x:v>339.78915651459334</x:v>
      </x:c>
      <x:c r="I332" s="141" t="n">
        <x:f>IF(AND(E332&gt;0,F332&gt;0),Premissas!$B$18,0)</x:f>
        <x:v>150</x:v>
      </x:c>
      <x:c r="J332" s="141" t="n">
        <x:f>IF(AND(E332&gt;0,F332&gt;0),IF(Premissas!$B$19="PRICE",IF(Premissas!$B$15=0,E332/F332,E332*Premissas!$B$15/(1-(1+Premissas!$B$15)^(-F332)))+I332,G332+H332+I332),0)</x:f>
        <x:v>870.7415374669748</x:v>
      </x:c>
      <x:c r="K332" s="141" t="n">
        <x:f>H332+I332</x:f>
        <x:v>489.78915651459334</x:v>
      </x:c>
      <x:c r="L332" s="141" t="n">
        <x:f>SUM($J$6:J332)</x:f>
        <x:v>477403.7788302568</x:v>
      </x:c>
      <x:c r="M332" s="141" t="n">
        <x:f>MAX(0,E332-G332)</x:f>
        <x:v>35428.57142857148</x:v>
      </x:c>
    </x:row>
    <x:row r="333">
      <x:c r="A333" s="142" t="n">
        <x:v>328</x:v>
      </x:c>
      <x:c r="B333" s="179" t="n">
        <x:f>EDATE(Premissas!$B$4,327)</x:f>
        <x:v>56493</x:v>
      </x:c>
      <x:c r="C333" s="141" t="n">
        <x:f>M332</x:f>
        <x:v>35428.57142857148</x:v>
      </x:c>
      <x:c r="D333" s="141" t="n">
        <x:f>IF(C333&gt;0,C333*Premissas!$B$17,0)</x:f>
        <x:v>0</x:v>
      </x:c>
      <x:c r="E333" s="141" t="n">
        <x:f>C333+D333</x:f>
        <x:v>35428.57142857148</x:v>
      </x:c>
      <x:c r="F333" s="142" t="n">
        <x:f>MAX(0,Premissas!$B$13-A333+1)</x:f>
        <x:v>93</x:v>
      </x:c>
      <x:c r="G333" s="141" t="n">
        <x:f>IF(AND(E333&gt;0,F333&gt;0),IF(Premissas!$B$19="PRICE",MAX(0,MIN(E333,IF(Premissas!$B$15=0,E333/F333,E333*Premissas!$B$15/(1-(1+Premissas!$B$15)^(-F333)))-H333)),MIN(E333,E333/F333)),0)</x:f>
        <x:v>380.9523809523815</x:v>
      </x:c>
      <x:c r="H333" s="141" t="n">
        <x:f>IF(AND(E333&gt;0,F333&gt;0),E333*Premissas!$B$15,0)</x:f>
        <x:v>336.17437825379983</x:v>
      </x:c>
      <x:c r="I333" s="141" t="n">
        <x:f>IF(AND(E333&gt;0,F333&gt;0),Premissas!$B$18,0)</x:f>
        <x:v>150</x:v>
      </x:c>
      <x:c r="J333" s="141" t="n">
        <x:f>IF(AND(E333&gt;0,F333&gt;0),IF(Premissas!$B$19="PRICE",IF(Premissas!$B$15=0,E333/F333,E333*Premissas!$B$15/(1-(1+Premissas!$B$15)^(-F333)))+I333,G333+H333+I333),0)</x:f>
        <x:v>867.1267592061813</x:v>
      </x:c>
      <x:c r="K333" s="141" t="n">
        <x:f>H333+I333</x:f>
        <x:v>486.17437825379983</x:v>
      </x:c>
      <x:c r="L333" s="141" t="n">
        <x:f>SUM($J$6:J333)</x:f>
        <x:v>478270.90558946296</x:v>
      </x:c>
      <x:c r="M333" s="141" t="n">
        <x:f>MAX(0,E333-G333)</x:f>
        <x:v>35047.6190476191</x:v>
      </x:c>
    </x:row>
    <x:row r="334">
      <x:c r="A334" s="142" t="n">
        <x:v>329</x:v>
      </x:c>
      <x:c r="B334" s="179" t="n">
        <x:f>EDATE(Premissas!$B$4,328)</x:f>
        <x:v>56523</x:v>
      </x:c>
      <x:c r="C334" s="141" t="n">
        <x:f>M333</x:f>
        <x:v>35047.6190476191</x:v>
      </x:c>
      <x:c r="D334" s="141" t="n">
        <x:f>IF(C334&gt;0,C334*Premissas!$B$17,0)</x:f>
        <x:v>0</x:v>
      </x:c>
      <x:c r="E334" s="141" t="n">
        <x:f>C334+D334</x:f>
        <x:v>35047.6190476191</x:v>
      </x:c>
      <x:c r="F334" s="142" t="n">
        <x:f>MAX(0,Premissas!$B$13-A334+1)</x:f>
        <x:v>92</x:v>
      </x:c>
      <x:c r="G334" s="141" t="n">
        <x:f>IF(AND(E334&gt;0,F334&gt;0),IF(Premissas!$B$19="PRICE",MAX(0,MIN(E334,IF(Premissas!$B$15=0,E334/F334,E334*Premissas!$B$15/(1-(1+Premissas!$B$15)^(-F334)))-H334)),MIN(E334,E334/F334)),0)</x:f>
        <x:v>380.9523809523815</x:v>
      </x:c>
      <x:c r="H334" s="141" t="n">
        <x:f>IF(AND(E334&gt;0,F334&gt;0),E334*Premissas!$B$15,0)</x:f>
        <x:v>332.55959999300626</x:v>
      </x:c>
      <x:c r="I334" s="141" t="n">
        <x:f>IF(AND(E334&gt;0,F334&gt;0),Premissas!$B$18,0)</x:f>
        <x:v>150</x:v>
      </x:c>
      <x:c r="J334" s="141" t="n">
        <x:f>IF(AND(E334&gt;0,F334&gt;0),IF(Premissas!$B$19="PRICE",IF(Premissas!$B$15=0,E334/F334,E334*Premissas!$B$15/(1-(1+Premissas!$B$15)^(-F334)))+I334,G334+H334+I334),0)</x:f>
        <x:v>863.5119809453877</x:v>
      </x:c>
      <x:c r="K334" s="141" t="n">
        <x:f>H334+I334</x:f>
        <x:v>482.55959999300626</x:v>
      </x:c>
      <x:c r="L334" s="141" t="n">
        <x:f>SUM($J$6:J334)</x:f>
        <x:v>479134.4175704083</x:v>
      </x:c>
      <x:c r="M334" s="141" t="n">
        <x:f>MAX(0,E334-G334)</x:f>
        <x:v>34666.666666666715</x:v>
      </x:c>
    </x:row>
    <x:row r="335">
      <x:c r="A335" s="142" t="n">
        <x:v>330</x:v>
      </x:c>
      <x:c r="B335" s="179" t="n">
        <x:f>EDATE(Premissas!$B$4,329)</x:f>
        <x:v>56554</x:v>
      </x:c>
      <x:c r="C335" s="141" t="n">
        <x:f>M334</x:f>
        <x:v>34666.666666666715</x:v>
      </x:c>
      <x:c r="D335" s="141" t="n">
        <x:f>IF(C335&gt;0,C335*Premissas!$B$17,0)</x:f>
        <x:v>0</x:v>
      </x:c>
      <x:c r="E335" s="141" t="n">
        <x:f>C335+D335</x:f>
        <x:v>34666.666666666715</x:v>
      </x:c>
      <x:c r="F335" s="142" t="n">
        <x:f>MAX(0,Premissas!$B$13-A335+1)</x:f>
        <x:v>91</x:v>
      </x:c>
      <x:c r="G335" s="141" t="n">
        <x:f>IF(AND(E335&gt;0,F335&gt;0),IF(Premissas!$B$19="PRICE",MAX(0,MIN(E335,IF(Premissas!$B$15=0,E335/F335,E335*Premissas!$B$15/(1-(1+Premissas!$B$15)^(-F335)))-H335)),MIN(E335,E335/F335)),0)</x:f>
        <x:v>380.9523809523815</x:v>
      </x:c>
      <x:c r="H335" s="141" t="n">
        <x:f>IF(AND(E335&gt;0,F335&gt;0),E335*Premissas!$B$15,0)</x:f>
        <x:v>328.9448217322127</x:v>
      </x:c>
      <x:c r="I335" s="141" t="n">
        <x:f>IF(AND(E335&gt;0,F335&gt;0),Premissas!$B$18,0)</x:f>
        <x:v>150</x:v>
      </x:c>
      <x:c r="J335" s="141" t="n">
        <x:f>IF(AND(E335&gt;0,F335&gt;0),IF(Premissas!$B$19="PRICE",IF(Premissas!$B$15=0,E335/F335,E335*Premissas!$B$15/(1-(1+Premissas!$B$15)^(-F335)))+I335,G335+H335+I335),0)</x:f>
        <x:v>859.8972026845942</x:v>
      </x:c>
      <x:c r="K335" s="141" t="n">
        <x:f>H335+I335</x:f>
        <x:v>478.9448217322127</x:v>
      </x:c>
      <x:c r="L335" s="141" t="n">
        <x:f>SUM($J$6:J335)</x:f>
        <x:v>479994.3147730929</x:v>
      </x:c>
      <x:c r="M335" s="141" t="n">
        <x:f>MAX(0,E335-G335)</x:f>
        <x:v>34285.71428571433</x:v>
      </x:c>
    </x:row>
    <x:row r="336">
      <x:c r="A336" s="142" t="n">
        <x:v>331</x:v>
      </x:c>
      <x:c r="B336" s="179" t="n">
        <x:f>EDATE(Premissas!$B$4,330)</x:f>
        <x:v>56584</x:v>
      </x:c>
      <x:c r="C336" s="141" t="n">
        <x:f>M335</x:f>
        <x:v>34285.71428571433</x:v>
      </x:c>
      <x:c r="D336" s="141" t="n">
        <x:f>IF(C336&gt;0,C336*Premissas!$B$17,0)</x:f>
        <x:v>0</x:v>
      </x:c>
      <x:c r="E336" s="141" t="n">
        <x:f>C336+D336</x:f>
        <x:v>34285.71428571433</x:v>
      </x:c>
      <x:c r="F336" s="142" t="n">
        <x:f>MAX(0,Premissas!$B$13-A336+1)</x:f>
        <x:v>90</x:v>
      </x:c>
      <x:c r="G336" s="141" t="n">
        <x:f>IF(AND(E336&gt;0,F336&gt;0),IF(Premissas!$B$19="PRICE",MAX(0,MIN(E336,IF(Premissas!$B$15=0,E336/F336,E336*Premissas!$B$15/(1-(1+Premissas!$B$15)^(-F336)))-H336)),MIN(E336,E336/F336)),0)</x:f>
        <x:v>380.9523809523815</x:v>
      </x:c>
      <x:c r="H336" s="141" t="n">
        <x:f>IF(AND(E336&gt;0,F336&gt;0),E336*Premissas!$B$15,0)</x:f>
        <x:v>325.3300434714192</x:v>
      </x:c>
      <x:c r="I336" s="141" t="n">
        <x:f>IF(AND(E336&gt;0,F336&gt;0),Premissas!$B$18,0)</x:f>
        <x:v>150</x:v>
      </x:c>
      <x:c r="J336" s="141" t="n">
        <x:f>IF(AND(E336&gt;0,F336&gt;0),IF(Premissas!$B$19="PRICE",IF(Premissas!$B$15=0,E336/F336,E336*Premissas!$B$15/(1-(1+Premissas!$B$15)^(-F336)))+I336,G336+H336+I336),0)</x:f>
        <x:v>856.2824244238006</x:v>
      </x:c>
      <x:c r="K336" s="141" t="n">
        <x:f>H336+I336</x:f>
        <x:v>475.3300434714192</x:v>
      </x:c>
      <x:c r="L336" s="141" t="n">
        <x:f>SUM($J$6:J336)</x:f>
        <x:v>480850.5971975167</x:v>
      </x:c>
      <x:c r="M336" s="141" t="n">
        <x:f>MAX(0,E336-G336)</x:f>
        <x:v>33904.76190476195</x:v>
      </x:c>
    </x:row>
    <x:row r="337">
      <x:c r="A337" s="142" t="n">
        <x:v>332</x:v>
      </x:c>
      <x:c r="B337" s="179" t="n">
        <x:f>EDATE(Premissas!$B$4,331)</x:f>
        <x:v>56615</x:v>
      </x:c>
      <x:c r="C337" s="141" t="n">
        <x:f>M336</x:f>
        <x:v>33904.76190476195</x:v>
      </x:c>
      <x:c r="D337" s="141" t="n">
        <x:f>IF(C337&gt;0,C337*Premissas!$B$17,0)</x:f>
        <x:v>0</x:v>
      </x:c>
      <x:c r="E337" s="141" t="n">
        <x:f>C337+D337</x:f>
        <x:v>33904.76190476195</x:v>
      </x:c>
      <x:c r="F337" s="142" t="n">
        <x:f>MAX(0,Premissas!$B$13-A337+1)</x:f>
        <x:v>89</x:v>
      </x:c>
      <x:c r="G337" s="141" t="n">
        <x:f>IF(AND(E337&gt;0,F337&gt;0),IF(Premissas!$B$19="PRICE",MAX(0,MIN(E337,IF(Premissas!$B$15=0,E337/F337,E337*Premissas!$B$15/(1-(1+Premissas!$B$15)^(-F337)))-H337)),MIN(E337,E337/F337)),0)</x:f>
        <x:v>380.9523809523815</x:v>
      </x:c>
      <x:c r="H337" s="141" t="n">
        <x:f>IF(AND(E337&gt;0,F337&gt;0),E337*Premissas!$B$15,0)</x:f>
        <x:v>321.7152652106256</x:v>
      </x:c>
      <x:c r="I337" s="141" t="n">
        <x:f>IF(AND(E337&gt;0,F337&gt;0),Premissas!$B$18,0)</x:f>
        <x:v>150</x:v>
      </x:c>
      <x:c r="J337" s="141" t="n">
        <x:f>IF(AND(E337&gt;0,F337&gt;0),IF(Premissas!$B$19="PRICE",IF(Premissas!$B$15=0,E337/F337,E337*Premissas!$B$15/(1-(1+Premissas!$B$15)^(-F337)))+I337,G337+H337+I337),0)</x:f>
        <x:v>852.667646163007</x:v>
      </x:c>
      <x:c r="K337" s="141" t="n">
        <x:f>H337+I337</x:f>
        <x:v>471.7152652106256</x:v>
      </x:c>
      <x:c r="L337" s="141" t="n">
        <x:f>SUM($J$6:J337)</x:f>
        <x:v>481703.26484367973</x:v>
      </x:c>
      <x:c r="M337" s="141" t="n">
        <x:f>MAX(0,E337-G337)</x:f>
        <x:v>33523.80952380957</x:v>
      </x:c>
    </x:row>
    <x:row r="338">
      <x:c r="A338" s="142" t="n">
        <x:v>333</x:v>
      </x:c>
      <x:c r="B338" s="179" t="n">
        <x:f>EDATE(Premissas!$B$4,332)</x:f>
        <x:v>56646</x:v>
      </x:c>
      <x:c r="C338" s="141" t="n">
        <x:f>M337</x:f>
        <x:v>33523.80952380957</x:v>
      </x:c>
      <x:c r="D338" s="141" t="n">
        <x:f>IF(C338&gt;0,C338*Premissas!$B$17,0)</x:f>
        <x:v>0</x:v>
      </x:c>
      <x:c r="E338" s="141" t="n">
        <x:f>C338+D338</x:f>
        <x:v>33523.80952380957</x:v>
      </x:c>
      <x:c r="F338" s="142" t="n">
        <x:f>MAX(0,Premissas!$B$13-A338+1)</x:f>
        <x:v>88</x:v>
      </x:c>
      <x:c r="G338" s="141" t="n">
        <x:f>IF(AND(E338&gt;0,F338&gt;0),IF(Premissas!$B$19="PRICE",MAX(0,MIN(E338,IF(Premissas!$B$15=0,E338/F338,E338*Premissas!$B$15/(1-(1+Premissas!$B$15)^(-F338)))-H338)),MIN(E338,E338/F338)),0)</x:f>
        <x:v>380.9523809523815</x:v>
      </x:c>
      <x:c r="H338" s="141" t="n">
        <x:f>IF(AND(E338&gt;0,F338&gt;0),E338*Premissas!$B$15,0)</x:f>
        <x:v>318.1004869498321</x:v>
      </x:c>
      <x:c r="I338" s="141" t="n">
        <x:f>IF(AND(E338&gt;0,F338&gt;0),Premissas!$B$18,0)</x:f>
        <x:v>150</x:v>
      </x:c>
      <x:c r="J338" s="141" t="n">
        <x:f>IF(AND(E338&gt;0,F338&gt;0),IF(Premissas!$B$19="PRICE",IF(Premissas!$B$15=0,E338/F338,E338*Premissas!$B$15/(1-(1+Premissas!$B$15)^(-F338)))+I338,G338+H338+I338),0)</x:f>
        <x:v>849.0528679022136</x:v>
      </x:c>
      <x:c r="K338" s="141" t="n">
        <x:f>H338+I338</x:f>
        <x:v>468.1004869498321</x:v>
      </x:c>
      <x:c r="L338" s="141" t="n">
        <x:f>SUM($J$6:J338)</x:f>
        <x:v>482552.31771158194</x:v>
      </x:c>
      <x:c r="M338" s="141" t="n">
        <x:f>MAX(0,E338-G338)</x:f>
        <x:v>33142.85714285719</x:v>
      </x:c>
    </x:row>
    <x:row r="339">
      <x:c r="A339" s="142" t="n">
        <x:v>334</x:v>
      </x:c>
      <x:c r="B339" s="179" t="n">
        <x:f>EDATE(Premissas!$B$4,333)</x:f>
        <x:v>56674</x:v>
      </x:c>
      <x:c r="C339" s="141" t="n">
        <x:f>M338</x:f>
        <x:v>33142.85714285719</x:v>
      </x:c>
      <x:c r="D339" s="141" t="n">
        <x:f>IF(C339&gt;0,C339*Premissas!$B$17,0)</x:f>
        <x:v>0</x:v>
      </x:c>
      <x:c r="E339" s="141" t="n">
        <x:f>C339+D339</x:f>
        <x:v>33142.85714285719</x:v>
      </x:c>
      <x:c r="F339" s="142" t="n">
        <x:f>MAX(0,Premissas!$B$13-A339+1)</x:f>
        <x:v>87</x:v>
      </x:c>
      <x:c r="G339" s="141" t="n">
        <x:f>IF(AND(E339&gt;0,F339&gt;0),IF(Premissas!$B$19="PRICE",MAX(0,MIN(E339,IF(Premissas!$B$15=0,E339/F339,E339*Premissas!$B$15/(1-(1+Premissas!$B$15)^(-F339)))-H339)),MIN(E339,E339/F339)),0)</x:f>
        <x:v>380.9523809523815</x:v>
      </x:c>
      <x:c r="H339" s="141" t="n">
        <x:f>IF(AND(E339&gt;0,F339&gt;0),E339*Premissas!$B$15,0)</x:f>
        <x:v>314.4857086890385</x:v>
      </x:c>
      <x:c r="I339" s="141" t="n">
        <x:f>IF(AND(E339&gt;0,F339&gt;0),Premissas!$B$18,0)</x:f>
        <x:v>150</x:v>
      </x:c>
      <x:c r="J339" s="141" t="n">
        <x:f>IF(AND(E339&gt;0,F339&gt;0),IF(Premissas!$B$19="PRICE",IF(Premissas!$B$15=0,E339/F339,E339*Premissas!$B$15/(1-(1+Premissas!$B$15)^(-F339)))+I339,G339+H339+I339),0)</x:f>
        <x:v>845.43808964142</x:v>
      </x:c>
      <x:c r="K339" s="141" t="n">
        <x:f>H339+I339</x:f>
        <x:v>464.4857086890385</x:v>
      </x:c>
      <x:c r="L339" s="141" t="n">
        <x:f>SUM($J$6:J339)</x:f>
        <x:v>483397.75580122333</x:v>
      </x:c>
      <x:c r="M339" s="141" t="n">
        <x:f>MAX(0,E339-G339)</x:f>
        <x:v>32761.904761904807</x:v>
      </x:c>
    </x:row>
    <x:row r="340">
      <x:c r="A340" s="142" t="n">
        <x:v>335</x:v>
      </x:c>
      <x:c r="B340" s="179" t="n">
        <x:f>EDATE(Premissas!$B$4,334)</x:f>
        <x:v>56705</x:v>
      </x:c>
      <x:c r="C340" s="141" t="n">
        <x:f>M339</x:f>
        <x:v>32761.904761904807</x:v>
      </x:c>
      <x:c r="D340" s="141" t="n">
        <x:f>IF(C340&gt;0,C340*Premissas!$B$17,0)</x:f>
        <x:v>0</x:v>
      </x:c>
      <x:c r="E340" s="141" t="n">
        <x:f>C340+D340</x:f>
        <x:v>32761.904761904807</x:v>
      </x:c>
      <x:c r="F340" s="142" t="n">
        <x:f>MAX(0,Premissas!$B$13-A340+1)</x:f>
        <x:v>86</x:v>
      </x:c>
      <x:c r="G340" s="141" t="n">
        <x:f>IF(AND(E340&gt;0,F340&gt;0),IF(Premissas!$B$19="PRICE",MAX(0,MIN(E340,IF(Premissas!$B$15=0,E340/F340,E340*Premissas!$B$15/(1-(1+Premissas!$B$15)^(-F340)))-H340)),MIN(E340,E340/F340)),0)</x:f>
        <x:v>380.9523809523815</x:v>
      </x:c>
      <x:c r="H340" s="141" t="n">
        <x:f>IF(AND(E340&gt;0,F340&gt;0),E340*Premissas!$B$15,0)</x:f>
        <x:v>310.87093042824495</x:v>
      </x:c>
      <x:c r="I340" s="141" t="n">
        <x:f>IF(AND(E340&gt;0,F340&gt;0),Premissas!$B$18,0)</x:f>
        <x:v>150</x:v>
      </x:c>
      <x:c r="J340" s="141" t="n">
        <x:f>IF(AND(E340&gt;0,F340&gt;0),IF(Premissas!$B$19="PRICE",IF(Premissas!$B$15=0,E340/F340,E340*Premissas!$B$15/(1-(1+Premissas!$B$15)^(-F340)))+I340,G340+H340+I340),0)</x:f>
        <x:v>841.8233113806264</x:v>
      </x:c>
      <x:c r="K340" s="141" t="n">
        <x:f>H340+I340</x:f>
        <x:v>460.87093042824495</x:v>
      </x:c>
      <x:c r="L340" s="141" t="n">
        <x:f>SUM($J$6:J340)</x:f>
        <x:v>484239.57911260397</x:v>
      </x:c>
      <x:c r="M340" s="141" t="n">
        <x:f>MAX(0,E340-G340)</x:f>
        <x:v>32380.952380952425</x:v>
      </x:c>
    </x:row>
    <x:row r="341">
      <x:c r="A341" s="142" t="n">
        <x:v>336</x:v>
      </x:c>
      <x:c r="B341" s="179" t="n">
        <x:f>EDATE(Premissas!$B$4,335)</x:f>
        <x:v>56735</x:v>
      </x:c>
      <x:c r="C341" s="141" t="n">
        <x:f>M340</x:f>
        <x:v>32380.952380952425</x:v>
      </x:c>
      <x:c r="D341" s="141" t="n">
        <x:f>IF(C341&gt;0,C341*Premissas!$B$17,0)</x:f>
        <x:v>0</x:v>
      </x:c>
      <x:c r="E341" s="141" t="n">
        <x:f>C341+D341</x:f>
        <x:v>32380.952380952425</x:v>
      </x:c>
      <x:c r="F341" s="142" t="n">
        <x:f>MAX(0,Premissas!$B$13-A341+1)</x:f>
        <x:v>85</x:v>
      </x:c>
      <x:c r="G341" s="141" t="n">
        <x:f>IF(AND(E341&gt;0,F341&gt;0),IF(Premissas!$B$19="PRICE",MAX(0,MIN(E341,IF(Premissas!$B$15=0,E341/F341,E341*Premissas!$B$15/(1-(1+Premissas!$B$15)^(-F341)))-H341)),MIN(E341,E341/F341)),0)</x:f>
        <x:v>380.9523809523815</x:v>
      </x:c>
      <x:c r="H341" s="141" t="n">
        <x:f>IF(AND(E341&gt;0,F341&gt;0),E341*Premissas!$B$15,0)</x:f>
        <x:v>307.25615216745143</x:v>
      </x:c>
      <x:c r="I341" s="141" t="n">
        <x:f>IF(AND(E341&gt;0,F341&gt;0),Premissas!$B$18,0)</x:f>
        <x:v>150</x:v>
      </x:c>
      <x:c r="J341" s="141" t="n">
        <x:f>IF(AND(E341&gt;0,F341&gt;0),IF(Premissas!$B$19="PRICE",IF(Premissas!$B$15=0,E341/F341,E341*Premissas!$B$15/(1-(1+Premissas!$B$15)^(-F341)))+I341,G341+H341+I341),0)</x:f>
        <x:v>838.208533119833</x:v>
      </x:c>
      <x:c r="K341" s="141" t="n">
        <x:f>H341+I341</x:f>
        <x:v>457.25615216745143</x:v>
      </x:c>
      <x:c r="L341" s="141" t="n">
        <x:f>SUM($J$6:J341)</x:f>
        <x:v>485077.7876457238</x:v>
      </x:c>
      <x:c r="M341" s="141" t="n">
        <x:f>MAX(0,E341-G341)</x:f>
        <x:v>32000.000000000044</x:v>
      </x:c>
    </x:row>
    <x:row r="342">
      <x:c r="A342" s="142" t="n">
        <x:v>337</x:v>
      </x:c>
      <x:c r="B342" s="179" t="n">
        <x:f>EDATE(Premissas!$B$4,336)</x:f>
        <x:v>56766</x:v>
      </x:c>
      <x:c r="C342" s="141" t="n">
        <x:f>M341</x:f>
        <x:v>32000.000000000044</x:v>
      </x:c>
      <x:c r="D342" s="141" t="n">
        <x:f>IF(C342&gt;0,C342*Premissas!$B$17,0)</x:f>
        <x:v>0</x:v>
      </x:c>
      <x:c r="E342" s="141" t="n">
        <x:f>C342+D342</x:f>
        <x:v>32000.000000000044</x:v>
      </x:c>
      <x:c r="F342" s="142" t="n">
        <x:f>MAX(0,Premissas!$B$13-A342+1)</x:f>
        <x:v>84</x:v>
      </x:c>
      <x:c r="G342" s="141" t="n">
        <x:f>IF(AND(E342&gt;0,F342&gt;0),IF(Premissas!$B$19="PRICE",MAX(0,MIN(E342,IF(Premissas!$B$15=0,E342/F342,E342*Premissas!$B$15/(1-(1+Premissas!$B$15)^(-F342)))-H342)),MIN(E342,E342/F342)),0)</x:f>
        <x:v>380.9523809523815</x:v>
      </x:c>
      <x:c r="H342" s="141" t="n">
        <x:f>IF(AND(E342&gt;0,F342&gt;0),E342*Premissas!$B$15,0)</x:f>
        <x:v>303.64137390665786</x:v>
      </x:c>
      <x:c r="I342" s="141" t="n">
        <x:f>IF(AND(E342&gt;0,F342&gt;0),Premissas!$B$18,0)</x:f>
        <x:v>150</x:v>
      </x:c>
      <x:c r="J342" s="141" t="n">
        <x:f>IF(AND(E342&gt;0,F342&gt;0),IF(Premissas!$B$19="PRICE",IF(Premissas!$B$15=0,E342/F342,E342*Premissas!$B$15/(1-(1+Premissas!$B$15)^(-F342)))+I342,G342+H342+I342),0)</x:f>
        <x:v>834.5937548590393</x:v>
      </x:c>
      <x:c r="K342" s="141" t="n">
        <x:f>H342+I342</x:f>
        <x:v>453.64137390665786</x:v>
      </x:c>
      <x:c r="L342" s="141" t="n">
        <x:f>SUM($J$6:J342)</x:f>
        <x:v>485912.38140058285</x:v>
      </x:c>
      <x:c r="M342" s="141" t="n">
        <x:f>MAX(0,E342-G342)</x:f>
        <x:v>31619.047619047662</x:v>
      </x:c>
    </x:row>
    <x:row r="343">
      <x:c r="A343" s="142" t="n">
        <x:v>338</x:v>
      </x:c>
      <x:c r="B343" s="179" t="n">
        <x:f>EDATE(Premissas!$B$4,337)</x:f>
        <x:v>56796</x:v>
      </x:c>
      <x:c r="C343" s="141" t="n">
        <x:f>M342</x:f>
        <x:v>31619.047619047662</x:v>
      </x:c>
      <x:c r="D343" s="141" t="n">
        <x:f>IF(C343&gt;0,C343*Premissas!$B$17,0)</x:f>
        <x:v>0</x:v>
      </x:c>
      <x:c r="E343" s="141" t="n">
        <x:f>C343+D343</x:f>
        <x:v>31619.047619047662</x:v>
      </x:c>
      <x:c r="F343" s="142" t="n">
        <x:f>MAX(0,Premissas!$B$13-A343+1)</x:f>
        <x:v>83</x:v>
      </x:c>
      <x:c r="G343" s="141" t="n">
        <x:f>IF(AND(E343&gt;0,F343&gt;0),IF(Premissas!$B$19="PRICE",MAX(0,MIN(E343,IF(Premissas!$B$15=0,E343/F343,E343*Premissas!$B$15/(1-(1+Premissas!$B$15)^(-F343)))-H343)),MIN(E343,E343/F343)),0)</x:f>
        <x:v>380.9523809523815</x:v>
      </x:c>
      <x:c r="H343" s="141" t="n">
        <x:f>IF(AND(E343&gt;0,F343&gt;0),E343*Premissas!$B$15,0)</x:f>
        <x:v>300.02659564586435</x:v>
      </x:c>
      <x:c r="I343" s="141" t="n">
        <x:f>IF(AND(E343&gt;0,F343&gt;0),Premissas!$B$18,0)</x:f>
        <x:v>150</x:v>
      </x:c>
      <x:c r="J343" s="141" t="n">
        <x:f>IF(AND(E343&gt;0,F343&gt;0),IF(Premissas!$B$19="PRICE",IF(Premissas!$B$15=0,E343/F343,E343*Premissas!$B$15/(1-(1+Premissas!$B$15)^(-F343)))+I343,G343+H343+I343),0)</x:f>
        <x:v>830.9789765982458</x:v>
      </x:c>
      <x:c r="K343" s="141" t="n">
        <x:f>H343+I343</x:f>
        <x:v>450.02659564586435</x:v>
      </x:c>
      <x:c r="L343" s="141" t="n">
        <x:f>SUM($J$6:J343)</x:f>
        <x:v>486743.3603771811</x:v>
      </x:c>
      <x:c r="M343" s="141" t="n">
        <x:f>MAX(0,E343-G343)</x:f>
        <x:v>31238.09523809528</x:v>
      </x:c>
    </x:row>
    <x:row r="344">
      <x:c r="A344" s="142" t="n">
        <x:v>339</x:v>
      </x:c>
      <x:c r="B344" s="179" t="n">
        <x:f>EDATE(Premissas!$B$4,338)</x:f>
        <x:v>56827</x:v>
      </x:c>
      <x:c r="C344" s="141" t="n">
        <x:f>M343</x:f>
        <x:v>31238.09523809528</x:v>
      </x:c>
      <x:c r="D344" s="141" t="n">
        <x:f>IF(C344&gt;0,C344*Premissas!$B$17,0)</x:f>
        <x:v>0</x:v>
      </x:c>
      <x:c r="E344" s="141" t="n">
        <x:f>C344+D344</x:f>
        <x:v>31238.09523809528</x:v>
      </x:c>
      <x:c r="F344" s="142" t="n">
        <x:f>MAX(0,Premissas!$B$13-A344+1)</x:f>
        <x:v>82</x:v>
      </x:c>
      <x:c r="G344" s="141" t="n">
        <x:f>IF(AND(E344&gt;0,F344&gt;0),IF(Premissas!$B$19="PRICE",MAX(0,MIN(E344,IF(Premissas!$B$15=0,E344/F344,E344*Premissas!$B$15/(1-(1+Premissas!$B$15)^(-F344)))-H344)),MIN(E344,E344/F344)),0)</x:f>
        <x:v>380.9523809523815</x:v>
      </x:c>
      <x:c r="H344" s="141" t="n">
        <x:f>IF(AND(E344&gt;0,F344&gt;0),E344*Premissas!$B$15,0)</x:f>
        <x:v>296.4118173850708</x:v>
      </x:c>
      <x:c r="I344" s="141" t="n">
        <x:f>IF(AND(E344&gt;0,F344&gt;0),Premissas!$B$18,0)</x:f>
        <x:v>150</x:v>
      </x:c>
      <x:c r="J344" s="141" t="n">
        <x:f>IF(AND(E344&gt;0,F344&gt;0),IF(Premissas!$B$19="PRICE",IF(Premissas!$B$15=0,E344/F344,E344*Premissas!$B$15/(1-(1+Premissas!$B$15)^(-F344)))+I344,G344+H344+I344),0)</x:f>
        <x:v>827.3641983374523</x:v>
      </x:c>
      <x:c r="K344" s="141" t="n">
        <x:f>H344+I344</x:f>
        <x:v>446.4118173850708</x:v>
      </x:c>
      <x:c r="L344" s="141" t="n">
        <x:f>SUM($J$6:J344)</x:f>
        <x:v>487570.7245755185</x:v>
      </x:c>
      <x:c r="M344" s="141" t="n">
        <x:f>MAX(0,E344-G344)</x:f>
        <x:v>30857.1428571429</x:v>
      </x:c>
    </x:row>
    <x:row r="345">
      <x:c r="A345" s="142" t="n">
        <x:v>340</x:v>
      </x:c>
      <x:c r="B345" s="179" t="n">
        <x:f>EDATE(Premissas!$B$4,339)</x:f>
        <x:v>56858</x:v>
      </x:c>
      <x:c r="C345" s="141" t="n">
        <x:f>M344</x:f>
        <x:v>30857.1428571429</x:v>
      </x:c>
      <x:c r="D345" s="141" t="n">
        <x:f>IF(C345&gt;0,C345*Premissas!$B$17,0)</x:f>
        <x:v>0</x:v>
      </x:c>
      <x:c r="E345" s="141" t="n">
        <x:f>C345+D345</x:f>
        <x:v>30857.1428571429</x:v>
      </x:c>
      <x:c r="F345" s="142" t="n">
        <x:f>MAX(0,Premissas!$B$13-A345+1)</x:f>
        <x:v>81</x:v>
      </x:c>
      <x:c r="G345" s="141" t="n">
        <x:f>IF(AND(E345&gt;0,F345&gt;0),IF(Premissas!$B$19="PRICE",MAX(0,MIN(E345,IF(Premissas!$B$15=0,E345/F345,E345*Premissas!$B$15/(1-(1+Premissas!$B$15)^(-F345)))-H345)),MIN(E345,E345/F345)),0)</x:f>
        <x:v>380.9523809523815</x:v>
      </x:c>
      <x:c r="H345" s="141" t="n">
        <x:f>IF(AND(E345&gt;0,F345&gt;0),E345*Premissas!$B$15,0)</x:f>
        <x:v>292.79703912427726</x:v>
      </x:c>
      <x:c r="I345" s="141" t="n">
        <x:f>IF(AND(E345&gt;0,F345&gt;0),Premissas!$B$18,0)</x:f>
        <x:v>150</x:v>
      </x:c>
      <x:c r="J345" s="141" t="n">
        <x:f>IF(AND(E345&gt;0,F345&gt;0),IF(Premissas!$B$19="PRICE",IF(Premissas!$B$15=0,E345/F345,E345*Premissas!$B$15/(1-(1+Premissas!$B$15)^(-F345)))+I345,G345+H345+I345),0)</x:f>
        <x:v>823.7494200766587</x:v>
      </x:c>
      <x:c r="K345" s="141" t="n">
        <x:f>H345+I345</x:f>
        <x:v>442.79703912427726</x:v>
      </x:c>
      <x:c r="L345" s="141" t="n">
        <x:f>SUM($J$6:J345)</x:f>
        <x:v>488394.4739955952</x:v>
      </x:c>
      <x:c r="M345" s="141" t="n">
        <x:f>MAX(0,E345-G345)</x:f>
        <x:v>30476.190476190517</x:v>
      </x:c>
    </x:row>
    <x:row r="346">
      <x:c r="A346" s="142" t="n">
        <x:v>341</x:v>
      </x:c>
      <x:c r="B346" s="179" t="n">
        <x:f>EDATE(Premissas!$B$4,340)</x:f>
        <x:v>56888</x:v>
      </x:c>
      <x:c r="C346" s="141" t="n">
        <x:f>M345</x:f>
        <x:v>30476.190476190517</x:v>
      </x:c>
      <x:c r="D346" s="141" t="n">
        <x:f>IF(C346&gt;0,C346*Premissas!$B$17,0)</x:f>
        <x:v>0</x:v>
      </x:c>
      <x:c r="E346" s="141" t="n">
        <x:f>C346+D346</x:f>
        <x:v>30476.190476190517</x:v>
      </x:c>
      <x:c r="F346" s="142" t="n">
        <x:f>MAX(0,Premissas!$B$13-A346+1)</x:f>
        <x:v>80</x:v>
      </x:c>
      <x:c r="G346" s="141" t="n">
        <x:f>IF(AND(E346&gt;0,F346&gt;0),IF(Premissas!$B$19="PRICE",MAX(0,MIN(E346,IF(Premissas!$B$15=0,E346/F346,E346*Premissas!$B$15/(1-(1+Premissas!$B$15)^(-F346)))-H346)),MIN(E346,E346/F346)),0)</x:f>
        <x:v>380.9523809523815</x:v>
      </x:c>
      <x:c r="H346" s="141" t="n">
        <x:f>IF(AND(E346&gt;0,F346&gt;0),E346*Premissas!$B$15,0)</x:f>
        <x:v>289.1822608634837</x:v>
      </x:c>
      <x:c r="I346" s="141" t="n">
        <x:f>IF(AND(E346&gt;0,F346&gt;0),Premissas!$B$18,0)</x:f>
        <x:v>150</x:v>
      </x:c>
      <x:c r="J346" s="141" t="n">
        <x:f>IF(AND(E346&gt;0,F346&gt;0),IF(Premissas!$B$19="PRICE",IF(Premissas!$B$15=0,E346/F346,E346*Premissas!$B$15/(1-(1+Premissas!$B$15)^(-F346)))+I346,G346+H346+I346),0)</x:f>
        <x:v>820.1346418158652</x:v>
      </x:c>
      <x:c r="K346" s="141" t="n">
        <x:f>H346+I346</x:f>
        <x:v>439.1822608634837</x:v>
      </x:c>
      <x:c r="L346" s="141" t="n">
        <x:f>SUM($J$6:J346)</x:f>
        <x:v>489214.60863741103</x:v>
      </x:c>
      <x:c r="M346" s="141" t="n">
        <x:f>MAX(0,E346-G346)</x:f>
        <x:v>30095.238095238135</x:v>
      </x:c>
    </x:row>
    <x:row r="347">
      <x:c r="A347" s="142" t="n">
        <x:v>342</x:v>
      </x:c>
      <x:c r="B347" s="179" t="n">
        <x:f>EDATE(Premissas!$B$4,341)</x:f>
        <x:v>56919</x:v>
      </x:c>
      <x:c r="C347" s="141" t="n">
        <x:f>M346</x:f>
        <x:v>30095.238095238135</x:v>
      </x:c>
      <x:c r="D347" s="141" t="n">
        <x:f>IF(C347&gt;0,C347*Premissas!$B$17,0)</x:f>
        <x:v>0</x:v>
      </x:c>
      <x:c r="E347" s="141" t="n">
        <x:f>C347+D347</x:f>
        <x:v>30095.238095238135</x:v>
      </x:c>
      <x:c r="F347" s="142" t="n">
        <x:f>MAX(0,Premissas!$B$13-A347+1)</x:f>
        <x:v>79</x:v>
      </x:c>
      <x:c r="G347" s="141" t="n">
        <x:f>IF(AND(E347&gt;0,F347&gt;0),IF(Premissas!$B$19="PRICE",MAX(0,MIN(E347,IF(Premissas!$B$15=0,E347/F347,E347*Premissas!$B$15/(1-(1+Premissas!$B$15)^(-F347)))-H347)),MIN(E347,E347/F347)),0)</x:f>
        <x:v>380.9523809523815</x:v>
      </x:c>
      <x:c r="H347" s="141" t="n">
        <x:f>IF(AND(E347&gt;0,F347&gt;0),E347*Premissas!$B$15,0)</x:f>
        <x:v>285.5674826026901</x:v>
      </x:c>
      <x:c r="I347" s="141" t="n">
        <x:f>IF(AND(E347&gt;0,F347&gt;0),Premissas!$B$18,0)</x:f>
        <x:v>150</x:v>
      </x:c>
      <x:c r="J347" s="141" t="n">
        <x:f>IF(AND(E347&gt;0,F347&gt;0),IF(Premissas!$B$19="PRICE",IF(Premissas!$B$15=0,E347/F347,E347*Premissas!$B$15/(1-(1+Premissas!$B$15)^(-F347)))+I347,G347+H347+I347),0)</x:f>
        <x:v>816.5198635550717</x:v>
      </x:c>
      <x:c r="K347" s="141" t="n">
        <x:f>H347+I347</x:f>
        <x:v>435.5674826026901</x:v>
      </x:c>
      <x:c r="L347" s="141" t="n">
        <x:f>SUM($J$6:J347)</x:f>
        <x:v>490031.1285009661</x:v>
      </x:c>
      <x:c r="M347" s="141" t="n">
        <x:f>MAX(0,E347-G347)</x:f>
        <x:v>29714.285714285754</x:v>
      </x:c>
    </x:row>
    <x:row r="348">
      <x:c r="A348" s="142" t="n">
        <x:v>343</x:v>
      </x:c>
      <x:c r="B348" s="179" t="n">
        <x:f>EDATE(Premissas!$B$4,342)</x:f>
        <x:v>56949</x:v>
      </x:c>
      <x:c r="C348" s="141" t="n">
        <x:f>M347</x:f>
        <x:v>29714.285714285754</x:v>
      </x:c>
      <x:c r="D348" s="141" t="n">
        <x:f>IF(C348&gt;0,C348*Premissas!$B$17,0)</x:f>
        <x:v>0</x:v>
      </x:c>
      <x:c r="E348" s="141" t="n">
        <x:f>C348+D348</x:f>
        <x:v>29714.285714285754</x:v>
      </x:c>
      <x:c r="F348" s="142" t="n">
        <x:f>MAX(0,Premissas!$B$13-A348+1)</x:f>
        <x:v>78</x:v>
      </x:c>
      <x:c r="G348" s="141" t="n">
        <x:f>IF(AND(E348&gt;0,F348&gt;0),IF(Premissas!$B$19="PRICE",MAX(0,MIN(E348,IF(Premissas!$B$15=0,E348/F348,E348*Premissas!$B$15/(1-(1+Premissas!$B$15)^(-F348)))-H348)),MIN(E348,E348/F348)),0)</x:f>
        <x:v>380.9523809523815</x:v>
      </x:c>
      <x:c r="H348" s="141" t="n">
        <x:f>IF(AND(E348&gt;0,F348&gt;0),E348*Premissas!$B$15,0)</x:f>
        <x:v>281.9527043418966</x:v>
      </x:c>
      <x:c r="I348" s="141" t="n">
        <x:f>IF(AND(E348&gt;0,F348&gt;0),Premissas!$B$18,0)</x:f>
        <x:v>150</x:v>
      </x:c>
      <x:c r="J348" s="141" t="n">
        <x:f>IF(AND(E348&gt;0,F348&gt;0),IF(Premissas!$B$19="PRICE",IF(Premissas!$B$15=0,E348/F348,E348*Premissas!$B$15/(1-(1+Premissas!$B$15)^(-F348)))+I348,G348+H348+I348),0)</x:f>
        <x:v>812.905085294278</x:v>
      </x:c>
      <x:c r="K348" s="141" t="n">
        <x:f>H348+I348</x:f>
        <x:v>431.9527043418966</x:v>
      </x:c>
      <x:c r="L348" s="141" t="n">
        <x:f>SUM($J$6:J348)</x:f>
        <x:v>490844.0335862604</x:v>
      </x:c>
      <x:c r="M348" s="141" t="n">
        <x:f>MAX(0,E348-G348)</x:f>
        <x:v>29333.333333333372</x:v>
      </x:c>
    </x:row>
    <x:row r="349">
      <x:c r="A349" s="142" t="n">
        <x:v>344</x:v>
      </x:c>
      <x:c r="B349" s="179" t="n">
        <x:f>EDATE(Premissas!$B$4,343)</x:f>
        <x:v>56980</x:v>
      </x:c>
      <x:c r="C349" s="141" t="n">
        <x:f>M348</x:f>
        <x:v>29333.333333333372</x:v>
      </x:c>
      <x:c r="D349" s="141" t="n">
        <x:f>IF(C349&gt;0,C349*Premissas!$B$17,0)</x:f>
        <x:v>0</x:v>
      </x:c>
      <x:c r="E349" s="141" t="n">
        <x:f>C349+D349</x:f>
        <x:v>29333.333333333372</x:v>
      </x:c>
      <x:c r="F349" s="142" t="n">
        <x:f>MAX(0,Premissas!$B$13-A349+1)</x:f>
        <x:v>77</x:v>
      </x:c>
      <x:c r="G349" s="141" t="n">
        <x:f>IF(AND(E349&gt;0,F349&gt;0),IF(Premissas!$B$19="PRICE",MAX(0,MIN(E349,IF(Premissas!$B$15=0,E349/F349,E349*Premissas!$B$15/(1-(1+Premissas!$B$15)^(-F349)))-H349)),MIN(E349,E349/F349)),0)</x:f>
        <x:v>380.9523809523815</x:v>
      </x:c>
      <x:c r="H349" s="141" t="n">
        <x:f>IF(AND(E349&gt;0,F349&gt;0),E349*Premissas!$B$15,0)</x:f>
        <x:v>278.33792608110303</x:v>
      </x:c>
      <x:c r="I349" s="141" t="n">
        <x:f>IF(AND(E349&gt;0,F349&gt;0),Premissas!$B$18,0)</x:f>
        <x:v>150</x:v>
      </x:c>
      <x:c r="J349" s="141" t="n">
        <x:f>IF(AND(E349&gt;0,F349&gt;0),IF(Premissas!$B$19="PRICE",IF(Premissas!$B$15=0,E349/F349,E349*Premissas!$B$15/(1-(1+Premissas!$B$15)^(-F349)))+I349,G349+H349+I349),0)</x:f>
        <x:v>809.2903070334845</x:v>
      </x:c>
      <x:c r="K349" s="141" t="n">
        <x:f>H349+I349</x:f>
        <x:v>428.33792608110303</x:v>
      </x:c>
      <x:c r="L349" s="141" t="n">
        <x:f>SUM($J$6:J349)</x:f>
        <x:v>491653.32389329385</x:v>
      </x:c>
      <x:c r="M349" s="141" t="n">
        <x:f>MAX(0,E349-G349)</x:f>
        <x:v>28952.38095238099</x:v>
      </x:c>
    </x:row>
    <x:row r="350">
      <x:c r="A350" s="142" t="n">
        <x:v>345</x:v>
      </x:c>
      <x:c r="B350" s="179" t="n">
        <x:f>EDATE(Premissas!$B$4,344)</x:f>
        <x:v>57011</x:v>
      </x:c>
      <x:c r="C350" s="141" t="n">
        <x:f>M349</x:f>
        <x:v>28952.38095238099</x:v>
      </x:c>
      <x:c r="D350" s="141" t="n">
        <x:f>IF(C350&gt;0,C350*Premissas!$B$17,0)</x:f>
        <x:v>0</x:v>
      </x:c>
      <x:c r="E350" s="141" t="n">
        <x:f>C350+D350</x:f>
        <x:v>28952.38095238099</x:v>
      </x:c>
      <x:c r="F350" s="142" t="n">
        <x:f>MAX(0,Premissas!$B$13-A350+1)</x:f>
        <x:v>76</x:v>
      </x:c>
      <x:c r="G350" s="141" t="n">
        <x:f>IF(AND(E350&gt;0,F350&gt;0),IF(Premissas!$B$19="PRICE",MAX(0,MIN(E350,IF(Premissas!$B$15=0,E350/F350,E350*Premissas!$B$15/(1-(1+Premissas!$B$15)^(-F350)))-H350)),MIN(E350,E350/F350)),0)</x:f>
        <x:v>380.9523809523815</x:v>
      </x:c>
      <x:c r="H350" s="141" t="n">
        <x:f>IF(AND(E350&gt;0,F350&gt;0),E350*Premissas!$B$15,0)</x:f>
        <x:v>274.7231478203095</x:v>
      </x:c>
      <x:c r="I350" s="141" t="n">
        <x:f>IF(AND(E350&gt;0,F350&gt;0),Premissas!$B$18,0)</x:f>
        <x:v>150</x:v>
      </x:c>
      <x:c r="J350" s="141" t="n">
        <x:f>IF(AND(E350&gt;0,F350&gt;0),IF(Premissas!$B$19="PRICE",IF(Premissas!$B$15=0,E350/F350,E350*Premissas!$B$15/(1-(1+Premissas!$B$15)^(-F350)))+I350,G350+H350+I350),0)</x:f>
        <x:v>805.675528772691</x:v>
      </x:c>
      <x:c r="K350" s="141" t="n">
        <x:f>H350+I350</x:f>
        <x:v>424.7231478203095</x:v>
      </x:c>
      <x:c r="L350" s="141" t="n">
        <x:f>SUM($J$6:J350)</x:f>
        <x:v>492458.99942206655</x:v>
      </x:c>
      <x:c r="M350" s="141" t="n">
        <x:f>MAX(0,E350-G350)</x:f>
        <x:v>28571.42857142861</x:v>
      </x:c>
    </x:row>
    <x:row r="351">
      <x:c r="A351" s="142" t="n">
        <x:v>346</x:v>
      </x:c>
      <x:c r="B351" s="179" t="n">
        <x:f>EDATE(Premissas!$B$4,345)</x:f>
        <x:v>57040</x:v>
      </x:c>
      <x:c r="C351" s="141" t="n">
        <x:f>M350</x:f>
        <x:v>28571.42857142861</x:v>
      </x:c>
      <x:c r="D351" s="141" t="n">
        <x:f>IF(C351&gt;0,C351*Premissas!$B$17,0)</x:f>
        <x:v>0</x:v>
      </x:c>
      <x:c r="E351" s="141" t="n">
        <x:f>C351+D351</x:f>
        <x:v>28571.42857142861</x:v>
      </x:c>
      <x:c r="F351" s="142" t="n">
        <x:f>MAX(0,Premissas!$B$13-A351+1)</x:f>
        <x:v>75</x:v>
      </x:c>
      <x:c r="G351" s="141" t="n">
        <x:f>IF(AND(E351&gt;0,F351&gt;0),IF(Premissas!$B$19="PRICE",MAX(0,MIN(E351,IF(Premissas!$B$15=0,E351/F351,E351*Premissas!$B$15/(1-(1+Premissas!$B$15)^(-F351)))-H351)),MIN(E351,E351/F351)),0)</x:f>
        <x:v>380.9523809523815</x:v>
      </x:c>
      <x:c r="H351" s="141" t="n">
        <x:f>IF(AND(E351&gt;0,F351&gt;0),E351*Premissas!$B$15,0)</x:f>
        <x:v>271.10836955951595</x:v>
      </x:c>
      <x:c r="I351" s="141" t="n">
        <x:f>IF(AND(E351&gt;0,F351&gt;0),Premissas!$B$18,0)</x:f>
        <x:v>150</x:v>
      </x:c>
      <x:c r="J351" s="141" t="n">
        <x:f>IF(AND(E351&gt;0,F351&gt;0),IF(Premissas!$B$19="PRICE",IF(Premissas!$B$15=0,E351/F351,E351*Premissas!$B$15/(1-(1+Premissas!$B$15)^(-F351)))+I351,G351+H351+I351),0)</x:f>
        <x:v>802.0607505118974</x:v>
      </x:c>
      <x:c r="K351" s="141" t="n">
        <x:f>H351+I351</x:f>
        <x:v>421.10836955951595</x:v>
      </x:c>
      <x:c r="L351" s="141" t="n">
        <x:f>SUM($J$6:J351)</x:f>
        <x:v>493261.06017257844</x:v>
      </x:c>
      <x:c r="M351" s="141" t="n">
        <x:f>MAX(0,E351-G351)</x:f>
        <x:v>28190.476190476227</x:v>
      </x:c>
    </x:row>
    <x:row r="352">
      <x:c r="A352" s="142" t="n">
        <x:v>347</x:v>
      </x:c>
      <x:c r="B352" s="179" t="n">
        <x:f>EDATE(Premissas!$B$4,346)</x:f>
        <x:v>57071</x:v>
      </x:c>
      <x:c r="C352" s="141" t="n">
        <x:f>M351</x:f>
        <x:v>28190.476190476227</x:v>
      </x:c>
      <x:c r="D352" s="141" t="n">
        <x:f>IF(C352&gt;0,C352*Premissas!$B$17,0)</x:f>
        <x:v>0</x:v>
      </x:c>
      <x:c r="E352" s="141" t="n">
        <x:f>C352+D352</x:f>
        <x:v>28190.476190476227</x:v>
      </x:c>
      <x:c r="F352" s="142" t="n">
        <x:f>MAX(0,Premissas!$B$13-A352+1)</x:f>
        <x:v>74</x:v>
      </x:c>
      <x:c r="G352" s="141" t="n">
        <x:f>IF(AND(E352&gt;0,F352&gt;0),IF(Premissas!$B$19="PRICE",MAX(0,MIN(E352,IF(Premissas!$B$15=0,E352/F352,E352*Premissas!$B$15/(1-(1+Premissas!$B$15)^(-F352)))-H352)),MIN(E352,E352/F352)),0)</x:f>
        <x:v>380.9523809523815</x:v>
      </x:c>
      <x:c r="H352" s="141" t="n">
        <x:f>IF(AND(E352&gt;0,F352&gt;0),E352*Premissas!$B$15,0)</x:f>
        <x:v>267.4935912987224</x:v>
      </x:c>
      <x:c r="I352" s="141" t="n">
        <x:f>IF(AND(E352&gt;0,F352&gt;0),Premissas!$B$18,0)</x:f>
        <x:v>150</x:v>
      </x:c>
      <x:c r="J352" s="141" t="n">
        <x:f>IF(AND(E352&gt;0,F352&gt;0),IF(Premissas!$B$19="PRICE",IF(Premissas!$B$15=0,E352/F352,E352*Premissas!$B$15/(1-(1+Premissas!$B$15)^(-F352)))+I352,G352+H352+I352),0)</x:f>
        <x:v>798.4459722511039</x:v>
      </x:c>
      <x:c r="K352" s="141" t="n">
        <x:f>H352+I352</x:f>
        <x:v>417.4935912987224</x:v>
      </x:c>
      <x:c r="L352" s="141" t="n">
        <x:f>SUM($J$6:J352)</x:f>
        <x:v>494059.50614482956</x:v>
      </x:c>
      <x:c r="M352" s="141" t="n">
        <x:f>MAX(0,E352-G352)</x:f>
        <x:v>27809.523809523846</x:v>
      </x:c>
    </x:row>
    <x:row r="353">
      <x:c r="A353" s="142" t="n">
        <x:v>348</x:v>
      </x:c>
      <x:c r="B353" s="179" t="n">
        <x:f>EDATE(Premissas!$B$4,347)</x:f>
        <x:v>57101</x:v>
      </x:c>
      <x:c r="C353" s="141" t="n">
        <x:f>M352</x:f>
        <x:v>27809.523809523846</x:v>
      </x:c>
      <x:c r="D353" s="141" t="n">
        <x:f>IF(C353&gt;0,C353*Premissas!$B$17,0)</x:f>
        <x:v>0</x:v>
      </x:c>
      <x:c r="E353" s="141" t="n">
        <x:f>C353+D353</x:f>
        <x:v>27809.523809523846</x:v>
      </x:c>
      <x:c r="F353" s="142" t="n">
        <x:f>MAX(0,Premissas!$B$13-A353+1)</x:f>
        <x:v>73</x:v>
      </x:c>
      <x:c r="G353" s="141" t="n">
        <x:f>IF(AND(E353&gt;0,F353&gt;0),IF(Premissas!$B$19="PRICE",MAX(0,MIN(E353,IF(Premissas!$B$15=0,E353/F353,E353*Premissas!$B$15/(1-(1+Premissas!$B$15)^(-F353)))-H353)),MIN(E353,E353/F353)),0)</x:f>
        <x:v>380.9523809523814</x:v>
      </x:c>
      <x:c r="H353" s="141" t="n">
        <x:f>IF(AND(E353&gt;0,F353&gt;0),E353*Premissas!$B$15,0)</x:f>
        <x:v>263.87881303792886</x:v>
      </x:c>
      <x:c r="I353" s="141" t="n">
        <x:f>IF(AND(E353&gt;0,F353&gt;0),Premissas!$B$18,0)</x:f>
        <x:v>150</x:v>
      </x:c>
      <x:c r="J353" s="141" t="n">
        <x:f>IF(AND(E353&gt;0,F353&gt;0),IF(Premissas!$B$19="PRICE",IF(Premissas!$B$15=0,E353/F353,E353*Premissas!$B$15/(1-(1+Premissas!$B$15)^(-F353)))+I353,G353+H353+I353),0)</x:f>
        <x:v>794.8311939903103</x:v>
      </x:c>
      <x:c r="K353" s="141" t="n">
        <x:f>H353+I353</x:f>
        <x:v>413.87881303792886</x:v>
      </x:c>
      <x:c r="L353" s="141" t="n">
        <x:f>SUM($J$6:J353)</x:f>
        <x:v>494854.33733881987</x:v>
      </x:c>
      <x:c r="M353" s="141" t="n">
        <x:f>MAX(0,E353-G353)</x:f>
        <x:v>27428.571428571464</x:v>
      </x:c>
    </x:row>
    <x:row r="354">
      <x:c r="A354" s="142" t="n">
        <x:v>349</x:v>
      </x:c>
      <x:c r="B354" s="179" t="n">
        <x:f>EDATE(Premissas!$B$4,348)</x:f>
        <x:v>57132</x:v>
      </x:c>
      <x:c r="C354" s="141" t="n">
        <x:f>M353</x:f>
        <x:v>27428.571428571464</x:v>
      </x:c>
      <x:c r="D354" s="141" t="n">
        <x:f>IF(C354&gt;0,C354*Premissas!$B$17,0)</x:f>
        <x:v>0</x:v>
      </x:c>
      <x:c r="E354" s="141" t="n">
        <x:f>C354+D354</x:f>
        <x:v>27428.571428571464</x:v>
      </x:c>
      <x:c r="F354" s="142" t="n">
        <x:f>MAX(0,Premissas!$B$13-A354+1)</x:f>
        <x:v>72</x:v>
      </x:c>
      <x:c r="G354" s="141" t="n">
        <x:f>IF(AND(E354&gt;0,F354&gt;0),IF(Premissas!$B$19="PRICE",MAX(0,MIN(E354,IF(Premissas!$B$15=0,E354/F354,E354*Premissas!$B$15/(1-(1+Premissas!$B$15)^(-F354)))-H354)),MIN(E354,E354/F354)),0)</x:f>
        <x:v>380.9523809523814</x:v>
      </x:c>
      <x:c r="H354" s="141" t="n">
        <x:f>IF(AND(E354&gt;0,F354&gt;0),E354*Premissas!$B$15,0)</x:f>
        <x:v>260.2640347771353</x:v>
      </x:c>
      <x:c r="I354" s="141" t="n">
        <x:f>IF(AND(E354&gt;0,F354&gt;0),Premissas!$B$18,0)</x:f>
        <x:v>150</x:v>
      </x:c>
      <x:c r="J354" s="141" t="n">
        <x:f>IF(AND(E354&gt;0,F354&gt;0),IF(Premissas!$B$19="PRICE",IF(Premissas!$B$15=0,E354/F354,E354*Premissas!$B$15/(1-(1+Premissas!$B$15)^(-F354)))+I354,G354+H354+I354),0)</x:f>
        <x:v>791.2164157295167</x:v>
      </x:c>
      <x:c r="K354" s="141" t="n">
        <x:f>H354+I354</x:f>
        <x:v>410.2640347771353</x:v>
      </x:c>
      <x:c r="L354" s="141" t="n">
        <x:f>SUM($J$6:J354)</x:f>
        <x:v>495645.55375454936</x:v>
      </x:c>
      <x:c r="M354" s="141" t="n">
        <x:f>MAX(0,E354-G354)</x:f>
        <x:v>27047.619047619082</x:v>
      </x:c>
    </x:row>
    <x:row r="355">
      <x:c r="A355" s="142" t="n">
        <x:v>350</x:v>
      </x:c>
      <x:c r="B355" s="179" t="n">
        <x:f>EDATE(Premissas!$B$4,349)</x:f>
        <x:v>57162</x:v>
      </x:c>
      <x:c r="C355" s="141" t="n">
        <x:f>M354</x:f>
        <x:v>27047.619047619082</x:v>
      </x:c>
      <x:c r="D355" s="141" t="n">
        <x:f>IF(C355&gt;0,C355*Premissas!$B$17,0)</x:f>
        <x:v>0</x:v>
      </x:c>
      <x:c r="E355" s="141" t="n">
        <x:f>C355+D355</x:f>
        <x:v>27047.619047619082</x:v>
      </x:c>
      <x:c r="F355" s="142" t="n">
        <x:f>MAX(0,Premissas!$B$13-A355+1)</x:f>
        <x:v>71</x:v>
      </x:c>
      <x:c r="G355" s="141" t="n">
        <x:f>IF(AND(E355&gt;0,F355&gt;0),IF(Premissas!$B$19="PRICE",MAX(0,MIN(E355,IF(Premissas!$B$15=0,E355/F355,E355*Premissas!$B$15/(1-(1+Premissas!$B$15)^(-F355)))-H355)),MIN(E355,E355/F355)),0)</x:f>
        <x:v>380.9523809523814</x:v>
      </x:c>
      <x:c r="H355" s="141" t="n">
        <x:f>IF(AND(E355&gt;0,F355&gt;0),E355*Premissas!$B$15,0)</x:f>
        <x:v>256.6492565163418</x:v>
      </x:c>
      <x:c r="I355" s="141" t="n">
        <x:f>IF(AND(E355&gt;0,F355&gt;0),Premissas!$B$18,0)</x:f>
        <x:v>150</x:v>
      </x:c>
      <x:c r="J355" s="141" t="n">
        <x:f>IF(AND(E355&gt;0,F355&gt;0),IF(Premissas!$B$19="PRICE",IF(Premissas!$B$15=0,E355/F355,E355*Premissas!$B$15/(1-(1+Premissas!$B$15)^(-F355)))+I355,G355+H355+I355),0)</x:f>
        <x:v>787.6016374687232</x:v>
      </x:c>
      <x:c r="K355" s="141" t="n">
        <x:f>H355+I355</x:f>
        <x:v>406.6492565163418</x:v>
      </x:c>
      <x:c r="L355" s="141" t="n">
        <x:f>SUM($J$6:J355)</x:f>
        <x:v>496433.1553920181</x:v>
      </x:c>
      <x:c r="M355" s="141" t="n">
        <x:f>MAX(0,E355-G355)</x:f>
        <x:v>26666.6666666667</x:v>
      </x:c>
    </x:row>
    <x:row r="356">
      <x:c r="A356" s="142" t="n">
        <x:v>351</x:v>
      </x:c>
      <x:c r="B356" s="179" t="n">
        <x:f>EDATE(Premissas!$B$4,350)</x:f>
        <x:v>57193</x:v>
      </x:c>
      <x:c r="C356" s="141" t="n">
        <x:f>M355</x:f>
        <x:v>26666.6666666667</x:v>
      </x:c>
      <x:c r="D356" s="141" t="n">
        <x:f>IF(C356&gt;0,C356*Premissas!$B$17,0)</x:f>
        <x:v>0</x:v>
      </x:c>
      <x:c r="E356" s="141" t="n">
        <x:f>C356+D356</x:f>
        <x:v>26666.6666666667</x:v>
      </x:c>
      <x:c r="F356" s="142" t="n">
        <x:f>MAX(0,Premissas!$B$13-A356+1)</x:f>
        <x:v>70</x:v>
      </x:c>
      <x:c r="G356" s="141" t="n">
        <x:f>IF(AND(E356&gt;0,F356&gt;0),IF(Premissas!$B$19="PRICE",MAX(0,MIN(E356,IF(Premissas!$B$15=0,E356/F356,E356*Premissas!$B$15/(1-(1+Premissas!$B$15)^(-F356)))-H356)),MIN(E356,E356/F356)),0)</x:f>
        <x:v>380.9523809523814</x:v>
      </x:c>
      <x:c r="H356" s="141" t="n">
        <x:f>IF(AND(E356&gt;0,F356&gt;0),E356*Premissas!$B$15,0)</x:f>
        <x:v>253.0344782555482</x:v>
      </x:c>
      <x:c r="I356" s="141" t="n">
        <x:f>IF(AND(E356&gt;0,F356&gt;0),Premissas!$B$18,0)</x:f>
        <x:v>150</x:v>
      </x:c>
      <x:c r="J356" s="141" t="n">
        <x:f>IF(AND(E356&gt;0,F356&gt;0),IF(Premissas!$B$19="PRICE",IF(Premissas!$B$15=0,E356/F356,E356*Premissas!$B$15/(1-(1+Premissas!$B$15)^(-F356)))+I356,G356+H356+I356),0)</x:f>
        <x:v>783.9868592079297</x:v>
      </x:c>
      <x:c r="K356" s="141" t="n">
        <x:f>H356+I356</x:f>
        <x:v>403.0344782555482</x:v>
      </x:c>
      <x:c r="L356" s="141" t="n">
        <x:f>SUM($J$6:J356)</x:f>
        <x:v>497217.142251226</x:v>
      </x:c>
      <x:c r="M356" s="141" t="n">
        <x:f>MAX(0,E356-G356)</x:f>
        <x:v>26285.71428571432</x:v>
      </x:c>
    </x:row>
    <x:row r="357">
      <x:c r="A357" s="142" t="n">
        <x:v>352</x:v>
      </x:c>
      <x:c r="B357" s="179" t="n">
        <x:f>EDATE(Premissas!$B$4,351)</x:f>
        <x:v>57224</x:v>
      </x:c>
      <x:c r="C357" s="141" t="n">
        <x:f>M356</x:f>
        <x:v>26285.71428571432</x:v>
      </x:c>
      <x:c r="D357" s="141" t="n">
        <x:f>IF(C357&gt;0,C357*Premissas!$B$17,0)</x:f>
        <x:v>0</x:v>
      </x:c>
      <x:c r="E357" s="141" t="n">
        <x:f>C357+D357</x:f>
        <x:v>26285.71428571432</x:v>
      </x:c>
      <x:c r="F357" s="142" t="n">
        <x:f>MAX(0,Premissas!$B$13-A357+1)</x:f>
        <x:v>69</x:v>
      </x:c>
      <x:c r="G357" s="141" t="n">
        <x:f>IF(AND(E357&gt;0,F357&gt;0),IF(Premissas!$B$19="PRICE",MAX(0,MIN(E357,IF(Premissas!$B$15=0,E357/F357,E357*Premissas!$B$15/(1-(1+Premissas!$B$15)^(-F357)))-H357)),MIN(E357,E357/F357)),0)</x:f>
        <x:v>380.9523809523814</x:v>
      </x:c>
      <x:c r="H357" s="141" t="n">
        <x:f>IF(AND(E357&gt;0,F357&gt;0),E357*Premissas!$B$15,0)</x:f>
        <x:v>249.41969999475467</x:v>
      </x:c>
      <x:c r="I357" s="141" t="n">
        <x:f>IF(AND(E357&gt;0,F357&gt;0),Premissas!$B$18,0)</x:f>
        <x:v>150</x:v>
      </x:c>
      <x:c r="J357" s="141" t="n">
        <x:f>IF(AND(E357&gt;0,F357&gt;0),IF(Premissas!$B$19="PRICE",IF(Premissas!$B$15=0,E357/F357,E357*Premissas!$B$15/(1-(1+Premissas!$B$15)^(-F357)))+I357,G357+H357+I357),0)</x:f>
        <x:v>780.372080947136</x:v>
      </x:c>
      <x:c r="K357" s="141" t="n">
        <x:f>H357+I357</x:f>
        <x:v>399.41969999475464</x:v>
      </x:c>
      <x:c r="L357" s="141" t="n">
        <x:f>SUM($J$6:J357)</x:f>
        <x:v>497997.51433217316</x:v>
      </x:c>
      <x:c r="M357" s="141" t="n">
        <x:f>MAX(0,E357-G357)</x:f>
        <x:v>25904.761904761937</x:v>
      </x:c>
    </x:row>
    <x:row r="358">
      <x:c r="A358" s="142" t="n">
        <x:v>353</x:v>
      </x:c>
      <x:c r="B358" s="179" t="n">
        <x:f>EDATE(Premissas!$B$4,352)</x:f>
        <x:v>57254</x:v>
      </x:c>
      <x:c r="C358" s="141" t="n">
        <x:f>M357</x:f>
        <x:v>25904.761904761937</x:v>
      </x:c>
      <x:c r="D358" s="141" t="n">
        <x:f>IF(C358&gt;0,C358*Premissas!$B$17,0)</x:f>
        <x:v>0</x:v>
      </x:c>
      <x:c r="E358" s="141" t="n">
        <x:f>C358+D358</x:f>
        <x:v>25904.761904761937</x:v>
      </x:c>
      <x:c r="F358" s="142" t="n">
        <x:f>MAX(0,Premissas!$B$13-A358+1)</x:f>
        <x:v>68</x:v>
      </x:c>
      <x:c r="G358" s="141" t="n">
        <x:f>IF(AND(E358&gt;0,F358&gt;0),IF(Premissas!$B$19="PRICE",MAX(0,MIN(E358,IF(Premissas!$B$15=0,E358/F358,E358*Premissas!$B$15/(1-(1+Premissas!$B$15)^(-F358)))-H358)),MIN(E358,E358/F358)),0)</x:f>
        <x:v>380.9523809523814</x:v>
      </x:c>
      <x:c r="H358" s="141" t="n">
        <x:f>IF(AND(E358&gt;0,F358&gt;0),E358*Premissas!$B$15,0)</x:f>
        <x:v>245.80492173396112</x:v>
      </x:c>
      <x:c r="I358" s="141" t="n">
        <x:f>IF(AND(E358&gt;0,F358&gt;0),Premissas!$B$18,0)</x:f>
        <x:v>150</x:v>
      </x:c>
      <x:c r="J358" s="141" t="n">
        <x:f>IF(AND(E358&gt;0,F358&gt;0),IF(Premissas!$B$19="PRICE",IF(Premissas!$B$15=0,E358/F358,E358*Premissas!$B$15/(1-(1+Premissas!$B$15)^(-F358)))+I358,G358+H358+I358),0)</x:f>
        <x:v>776.7573026863425</x:v>
      </x:c>
      <x:c r="K358" s="141" t="n">
        <x:f>H358+I358</x:f>
        <x:v>395.8049217339611</x:v>
      </x:c>
      <x:c r="L358" s="141" t="n">
        <x:f>SUM($J$6:J358)</x:f>
        <x:v>498774.2716348595</x:v>
      </x:c>
      <x:c r="M358" s="141" t="n">
        <x:f>MAX(0,E358-G358)</x:f>
        <x:v>25523.809523809556</x:v>
      </x:c>
    </x:row>
    <x:row r="359">
      <x:c r="A359" s="142" t="n">
        <x:v>354</x:v>
      </x:c>
      <x:c r="B359" s="179" t="n">
        <x:f>EDATE(Premissas!$B$4,353)</x:f>
        <x:v>57285</x:v>
      </x:c>
      <x:c r="C359" s="141" t="n">
        <x:f>M358</x:f>
        <x:v>25523.809523809556</x:v>
      </x:c>
      <x:c r="D359" s="141" t="n">
        <x:f>IF(C359&gt;0,C359*Premissas!$B$17,0)</x:f>
        <x:v>0</x:v>
      </x:c>
      <x:c r="E359" s="141" t="n">
        <x:f>C359+D359</x:f>
        <x:v>25523.809523809556</x:v>
      </x:c>
      <x:c r="F359" s="142" t="n">
        <x:f>MAX(0,Premissas!$B$13-A359+1)</x:f>
        <x:v>67</x:v>
      </x:c>
      <x:c r="G359" s="141" t="n">
        <x:f>IF(AND(E359&gt;0,F359&gt;0),IF(Premissas!$B$19="PRICE",MAX(0,MIN(E359,IF(Premissas!$B$15=0,E359/F359,E359*Premissas!$B$15/(1-(1+Premissas!$B$15)^(-F359)))-H359)),MIN(E359,E359/F359)),0)</x:f>
        <x:v>380.9523809523814</x:v>
      </x:c>
      <x:c r="H359" s="141" t="n">
        <x:f>IF(AND(E359&gt;0,F359&gt;0),E359*Premissas!$B$15,0)</x:f>
        <x:v>242.19014347316755</x:v>
      </x:c>
      <x:c r="I359" s="141" t="n">
        <x:f>IF(AND(E359&gt;0,F359&gt;0),Premissas!$B$18,0)</x:f>
        <x:v>150</x:v>
      </x:c>
      <x:c r="J359" s="141" t="n">
        <x:f>IF(AND(E359&gt;0,F359&gt;0),IF(Premissas!$B$19="PRICE",IF(Premissas!$B$15=0,E359/F359,E359*Premissas!$B$15/(1-(1+Premissas!$B$15)^(-F359)))+I359,G359+H359+I359),0)</x:f>
        <x:v>773.142524425549</x:v>
      </x:c>
      <x:c r="K359" s="141" t="n">
        <x:f>H359+I359</x:f>
        <x:v>392.19014347316755</x:v>
      </x:c>
      <x:c r="L359" s="141" t="n">
        <x:f>SUM($J$6:J359)</x:f>
        <x:v>499547.414159285</x:v>
      </x:c>
      <x:c r="M359" s="141" t="n">
        <x:f>MAX(0,E359-G359)</x:f>
        <x:v>25142.857142857174</x:v>
      </x:c>
    </x:row>
    <x:row r="360">
      <x:c r="A360" s="142" t="n">
        <x:v>355</x:v>
      </x:c>
      <x:c r="B360" s="179" t="n">
        <x:f>EDATE(Premissas!$B$4,354)</x:f>
        <x:v>57315</x:v>
      </x:c>
      <x:c r="C360" s="141" t="n">
        <x:f>M359</x:f>
        <x:v>25142.857142857174</x:v>
      </x:c>
      <x:c r="D360" s="141" t="n">
        <x:f>IF(C360&gt;0,C360*Premissas!$B$17,0)</x:f>
        <x:v>0</x:v>
      </x:c>
      <x:c r="E360" s="141" t="n">
        <x:f>C360+D360</x:f>
        <x:v>25142.857142857174</x:v>
      </x:c>
      <x:c r="F360" s="142" t="n">
        <x:f>MAX(0,Premissas!$B$13-A360+1)</x:f>
        <x:v>66</x:v>
      </x:c>
      <x:c r="G360" s="141" t="n">
        <x:f>IF(AND(E360&gt;0,F360&gt;0),IF(Premissas!$B$19="PRICE",MAX(0,MIN(E360,IF(Premissas!$B$15=0,E360/F360,E360*Premissas!$B$15/(1-(1+Premissas!$B$15)^(-F360)))-H360)),MIN(E360,E360/F360)),0)</x:f>
        <x:v>380.9523809523814</x:v>
      </x:c>
      <x:c r="H360" s="141" t="n">
        <x:f>IF(AND(E360&gt;0,F360&gt;0),E360*Premissas!$B$15,0)</x:f>
        <x:v>238.575365212374</x:v>
      </x:c>
      <x:c r="I360" s="141" t="n">
        <x:f>IF(AND(E360&gt;0,F360&gt;0),Premissas!$B$18,0)</x:f>
        <x:v>150</x:v>
      </x:c>
      <x:c r="J360" s="141" t="n">
        <x:f>IF(AND(E360&gt;0,F360&gt;0),IF(Premissas!$B$19="PRICE",IF(Premissas!$B$15=0,E360/F360,E360*Premissas!$B$15/(1-(1+Premissas!$B$15)^(-F360)))+I360,G360+H360+I360),0)</x:f>
        <x:v>769.5277461647554</x:v>
      </x:c>
      <x:c r="K360" s="141" t="n">
        <x:f>H360+I360</x:f>
        <x:v>388.575365212374</x:v>
      </x:c>
      <x:c r="L360" s="141" t="n">
        <x:f>SUM($J$6:J360)</x:f>
        <x:v>500316.9419054498</x:v>
      </x:c>
      <x:c r="M360" s="141" t="n">
        <x:f>MAX(0,E360-G360)</x:f>
        <x:v>24761.904761904792</x:v>
      </x:c>
    </x:row>
    <x:row r="361">
      <x:c r="A361" s="142" t="n">
        <x:v>356</x:v>
      </x:c>
      <x:c r="B361" s="179" t="n">
        <x:f>EDATE(Premissas!$B$4,355)</x:f>
        <x:v>57346</x:v>
      </x:c>
      <x:c r="C361" s="141" t="n">
        <x:f>M360</x:f>
        <x:v>24761.904761904792</x:v>
      </x:c>
      <x:c r="D361" s="141" t="n">
        <x:f>IF(C361&gt;0,C361*Premissas!$B$17,0)</x:f>
        <x:v>0</x:v>
      </x:c>
      <x:c r="E361" s="141" t="n">
        <x:f>C361+D361</x:f>
        <x:v>24761.904761904792</x:v>
      </x:c>
      <x:c r="F361" s="142" t="n">
        <x:f>MAX(0,Premissas!$B$13-A361+1)</x:f>
        <x:v>65</x:v>
      </x:c>
      <x:c r="G361" s="141" t="n">
        <x:f>IF(AND(E361&gt;0,F361&gt;0),IF(Premissas!$B$19="PRICE",MAX(0,MIN(E361,IF(Premissas!$B$15=0,E361/F361,E361*Premissas!$B$15/(1-(1+Premissas!$B$15)^(-F361)))-H361)),MIN(E361,E361/F361)),0)</x:f>
        <x:v>380.9523809523814</x:v>
      </x:c>
      <x:c r="H361" s="141" t="n">
        <x:f>IF(AND(E361&gt;0,F361&gt;0),E361*Premissas!$B$15,0)</x:f>
        <x:v>234.96058695158047</x:v>
      </x:c>
      <x:c r="I361" s="141" t="n">
        <x:f>IF(AND(E361&gt;0,F361&gt;0),Premissas!$B$18,0)</x:f>
        <x:v>150</x:v>
      </x:c>
      <x:c r="J361" s="141" t="n">
        <x:f>IF(AND(E361&gt;0,F361&gt;0),IF(Premissas!$B$19="PRICE",IF(Premissas!$B$15=0,E361/F361,E361*Premissas!$B$15/(1-(1+Premissas!$B$15)^(-F361)))+I361,G361+H361+I361),0)</x:f>
        <x:v>765.9129679039619</x:v>
      </x:c>
      <x:c r="K361" s="141" t="n">
        <x:f>H361+I361</x:f>
        <x:v>384.96058695158047</x:v>
      </x:c>
      <x:c r="L361" s="141" t="n">
        <x:f>SUM($J$6:J361)</x:f>
        <x:v>501082.85487335373</x:v>
      </x:c>
      <x:c r="M361" s="141" t="n">
        <x:f>MAX(0,E361-G361)</x:f>
        <x:v>24380.95238095241</x:v>
      </x:c>
    </x:row>
    <x:row r="362">
      <x:c r="A362" s="142" t="n">
        <x:v>357</x:v>
      </x:c>
      <x:c r="B362" s="179" t="n">
        <x:f>EDATE(Premissas!$B$4,356)</x:f>
        <x:v>57377</x:v>
      </x:c>
      <x:c r="C362" s="141" t="n">
        <x:f>M361</x:f>
        <x:v>24380.95238095241</x:v>
      </x:c>
      <x:c r="D362" s="141" t="n">
        <x:f>IF(C362&gt;0,C362*Premissas!$B$17,0)</x:f>
        <x:v>0</x:v>
      </x:c>
      <x:c r="E362" s="141" t="n">
        <x:f>C362+D362</x:f>
        <x:v>24380.95238095241</x:v>
      </x:c>
      <x:c r="F362" s="142" t="n">
        <x:f>MAX(0,Premissas!$B$13-A362+1)</x:f>
        <x:v>64</x:v>
      </x:c>
      <x:c r="G362" s="141" t="n">
        <x:f>IF(AND(E362&gt;0,F362&gt;0),IF(Premissas!$B$19="PRICE",MAX(0,MIN(E362,IF(Premissas!$B$15=0,E362/F362,E362*Premissas!$B$15/(1-(1+Premissas!$B$15)^(-F362)))-H362)),MIN(E362,E362/F362)),0)</x:f>
        <x:v>380.9523809523814</x:v>
      </x:c>
      <x:c r="H362" s="141" t="n">
        <x:f>IF(AND(E362&gt;0,F362&gt;0),E362*Premissas!$B$15,0)</x:f>
        <x:v>231.34580869078692</x:v>
      </x:c>
      <x:c r="I362" s="141" t="n">
        <x:f>IF(AND(E362&gt;0,F362&gt;0),Premissas!$B$18,0)</x:f>
        <x:v>150</x:v>
      </x:c>
      <x:c r="J362" s="141" t="n">
        <x:f>IF(AND(E362&gt;0,F362&gt;0),IF(Premissas!$B$19="PRICE",IF(Premissas!$B$15=0,E362/F362,E362*Premissas!$B$15/(1-(1+Premissas!$B$15)^(-F362)))+I362,G362+H362+I362),0)</x:f>
        <x:v>762.2981896431684</x:v>
      </x:c>
      <x:c r="K362" s="141" t="n">
        <x:f>H362+I362</x:f>
        <x:v>381.34580869078695</x:v>
      </x:c>
      <x:c r="L362" s="141" t="n">
        <x:f>SUM($J$6:J362)</x:f>
        <x:v>501845.1530629969</x:v>
      </x:c>
      <x:c r="M362" s="141" t="n">
        <x:f>MAX(0,E362-G362)</x:f>
        <x:v>24000.00000000003</x:v>
      </x:c>
    </x:row>
    <x:row r="363">
      <x:c r="A363" s="142" t="n">
        <x:v>358</x:v>
      </x:c>
      <x:c r="B363" s="179" t="n">
        <x:f>EDATE(Premissas!$B$4,357)</x:f>
        <x:v>57405</x:v>
      </x:c>
      <x:c r="C363" s="141" t="n">
        <x:f>M362</x:f>
        <x:v>24000.00000000003</x:v>
      </x:c>
      <x:c r="D363" s="141" t="n">
        <x:f>IF(C363&gt;0,C363*Premissas!$B$17,0)</x:f>
        <x:v>0</x:v>
      </x:c>
      <x:c r="E363" s="141" t="n">
        <x:f>C363+D363</x:f>
        <x:v>24000.00000000003</x:v>
      </x:c>
      <x:c r="F363" s="142" t="n">
        <x:f>MAX(0,Premissas!$B$13-A363+1)</x:f>
        <x:v>63</x:v>
      </x:c>
      <x:c r="G363" s="141" t="n">
        <x:f>IF(AND(E363&gt;0,F363&gt;0),IF(Premissas!$B$19="PRICE",MAX(0,MIN(E363,IF(Premissas!$B$15=0,E363/F363,E363*Premissas!$B$15/(1-(1+Premissas!$B$15)^(-F363)))-H363)),MIN(E363,E363/F363)),0)</x:f>
        <x:v>380.9523809523814</x:v>
      </x:c>
      <x:c r="H363" s="141" t="n">
        <x:f>IF(AND(E363&gt;0,F363&gt;0),E363*Premissas!$B$15,0)</x:f>
        <x:v>227.73103042999338</x:v>
      </x:c>
      <x:c r="I363" s="141" t="n">
        <x:f>IF(AND(E363&gt;0,F363&gt;0),Premissas!$B$18,0)</x:f>
        <x:v>150</x:v>
      </x:c>
      <x:c r="J363" s="141" t="n">
        <x:f>IF(AND(E363&gt;0,F363&gt;0),IF(Premissas!$B$19="PRICE",IF(Premissas!$B$15=0,E363/F363,E363*Premissas!$B$15/(1-(1+Premissas!$B$15)^(-F363)))+I363,G363+H363+I363),0)</x:f>
        <x:v>758.6834113823747</x:v>
      </x:c>
      <x:c r="K363" s="141" t="n">
        <x:f>H363+I363</x:f>
        <x:v>377.7310304299934</x:v>
      </x:c>
      <x:c r="L363" s="141" t="n">
        <x:f>SUM($J$6:J363)</x:f>
        <x:v>502603.8364743793</x:v>
      </x:c>
      <x:c r="M363" s="141" t="n">
        <x:f>MAX(0,E363-G363)</x:f>
        <x:v>23619.047619047647</x:v>
      </x:c>
    </x:row>
    <x:row r="364">
      <x:c r="A364" s="142" t="n">
        <x:v>359</x:v>
      </x:c>
      <x:c r="B364" s="179" t="n">
        <x:f>EDATE(Premissas!$B$4,358)</x:f>
        <x:v>57436</x:v>
      </x:c>
      <x:c r="C364" s="141" t="n">
        <x:f>M363</x:f>
        <x:v>23619.047619047647</x:v>
      </x:c>
      <x:c r="D364" s="141" t="n">
        <x:f>IF(C364&gt;0,C364*Premissas!$B$17,0)</x:f>
        <x:v>0</x:v>
      </x:c>
      <x:c r="E364" s="141" t="n">
        <x:f>C364+D364</x:f>
        <x:v>23619.047619047647</x:v>
      </x:c>
      <x:c r="F364" s="142" t="n">
        <x:f>MAX(0,Premissas!$B$13-A364+1)</x:f>
        <x:v>62</x:v>
      </x:c>
      <x:c r="G364" s="141" t="n">
        <x:f>IF(AND(E364&gt;0,F364&gt;0),IF(Premissas!$B$19="PRICE",MAX(0,MIN(E364,IF(Premissas!$B$15=0,E364/F364,E364*Premissas!$B$15/(1-(1+Premissas!$B$15)^(-F364)))-H364)),MIN(E364,E364/F364)),0)</x:f>
        <x:v>380.9523809523814</x:v>
      </x:c>
      <x:c r="H364" s="141" t="n">
        <x:f>IF(AND(E364&gt;0,F364&gt;0),E364*Premissas!$B$15,0)</x:f>
        <x:v>224.11625216919984</x:v>
      </x:c>
      <x:c r="I364" s="141" t="n">
        <x:f>IF(AND(E364&gt;0,F364&gt;0),Premissas!$B$18,0)</x:f>
        <x:v>150</x:v>
      </x:c>
      <x:c r="J364" s="141" t="n">
        <x:f>IF(AND(E364&gt;0,F364&gt;0),IF(Premissas!$B$19="PRICE",IF(Premissas!$B$15=0,E364/F364,E364*Premissas!$B$15/(1-(1+Premissas!$B$15)^(-F364)))+I364,G364+H364+I364),0)</x:f>
        <x:v>755.0686331215812</x:v>
      </x:c>
      <x:c r="K364" s="141" t="n">
        <x:f>H364+I364</x:f>
        <x:v>374.1162521691998</x:v>
      </x:c>
      <x:c r="L364" s="141" t="n">
        <x:f>SUM($J$6:J364)</x:f>
        <x:v>503358.90510750085</x:v>
      </x:c>
      <x:c r="M364" s="141" t="n">
        <x:f>MAX(0,E364-G364)</x:f>
        <x:v>23238.095238095266</x:v>
      </x:c>
    </x:row>
    <x:row r="365">
      <x:c r="A365" s="142" t="n">
        <x:v>360</x:v>
      </x:c>
      <x:c r="B365" s="179" t="n">
        <x:f>EDATE(Premissas!$B$4,359)</x:f>
        <x:v>57466</x:v>
      </x:c>
      <x:c r="C365" s="141" t="n">
        <x:f>M364</x:f>
        <x:v>23238.095238095266</x:v>
      </x:c>
      <x:c r="D365" s="141" t="n">
        <x:f>IF(C365&gt;0,C365*Premissas!$B$17,0)</x:f>
        <x:v>0</x:v>
      </x:c>
      <x:c r="E365" s="141" t="n">
        <x:f>C365+D365</x:f>
        <x:v>23238.095238095266</x:v>
      </x:c>
      <x:c r="F365" s="142" t="n">
        <x:f>MAX(0,Premissas!$B$13-A365+1)</x:f>
        <x:v>61</x:v>
      </x:c>
      <x:c r="G365" s="141" t="n">
        <x:f>IF(AND(E365&gt;0,F365&gt;0),IF(Premissas!$B$19="PRICE",MAX(0,MIN(E365,IF(Premissas!$B$15=0,E365/F365,E365*Premissas!$B$15/(1-(1+Premissas!$B$15)^(-F365)))-H365)),MIN(E365,E365/F365)),0)</x:f>
        <x:v>380.9523809523814</x:v>
      </x:c>
      <x:c r="H365" s="141" t="n">
        <x:f>IF(AND(E365&gt;0,F365&gt;0),E365*Premissas!$B$15,0)</x:f>
        <x:v>220.50147390840627</x:v>
      </x:c>
      <x:c r="I365" s="141" t="n">
        <x:f>IF(AND(E365&gt;0,F365&gt;0),Premissas!$B$18,0)</x:f>
        <x:v>150</x:v>
      </x:c>
      <x:c r="J365" s="141" t="n">
        <x:f>IF(AND(E365&gt;0,F365&gt;0),IF(Premissas!$B$19="PRICE",IF(Premissas!$B$15=0,E365/F365,E365*Premissas!$B$15/(1-(1+Premissas!$B$15)^(-F365)))+I365,G365+H365+I365),0)</x:f>
        <x:v>751.4538548607877</x:v>
      </x:c>
      <x:c r="K365" s="141" t="n">
        <x:f>H365+I365</x:f>
        <x:v>370.5014739084063</x:v>
      </x:c>
      <x:c r="L365" s="141" t="n">
        <x:f>SUM($J$6:J365)</x:f>
        <x:v>504110.35896236164</x:v>
      </x:c>
      <x:c r="M365" s="141" t="n">
        <x:f>MAX(0,E365-G365)</x:f>
        <x:v>22857.142857142884</x:v>
      </x:c>
    </x:row>
    <x:row r="366">
      <x:c r="A366" s="142" t="n">
        <x:v>361</x:v>
      </x:c>
      <x:c r="B366" s="179" t="n">
        <x:f>EDATE(Premissas!$B$4,360)</x:f>
        <x:v>57497</x:v>
      </x:c>
      <x:c r="C366" s="141" t="n">
        <x:f>M365</x:f>
        <x:v>22857.142857142884</x:v>
      </x:c>
      <x:c r="D366" s="141" t="n">
        <x:f>IF(C366&gt;0,C366*Premissas!$B$17,0)</x:f>
        <x:v>0</x:v>
      </x:c>
      <x:c r="E366" s="141" t="n">
        <x:f>C366+D366</x:f>
        <x:v>22857.142857142884</x:v>
      </x:c>
      <x:c r="F366" s="142" t="n">
        <x:f>MAX(0,Premissas!$B$13-A366+1)</x:f>
        <x:v>60</x:v>
      </x:c>
      <x:c r="G366" s="141" t="n">
        <x:f>IF(AND(E366&gt;0,F366&gt;0),IF(Premissas!$B$19="PRICE",MAX(0,MIN(E366,IF(Premissas!$B$15=0,E366/F366,E366*Premissas!$B$15/(1-(1+Premissas!$B$15)^(-F366)))-H366)),MIN(E366,E366/F366)),0)</x:f>
        <x:v>380.9523809523814</x:v>
      </x:c>
      <x:c r="H366" s="141" t="n">
        <x:f>IF(AND(E366&gt;0,F366&gt;0),E366*Premissas!$B$15,0)</x:f>
        <x:v>216.88669564761273</x:v>
      </x:c>
      <x:c r="I366" s="141" t="n">
        <x:f>IF(AND(E366&gt;0,F366&gt;0),Premissas!$B$18,0)</x:f>
        <x:v>150</x:v>
      </x:c>
      <x:c r="J366" s="141" t="n">
        <x:f>IF(AND(E366&gt;0,F366&gt;0),IF(Premissas!$B$19="PRICE",IF(Premissas!$B$15=0,E366/F366,E366*Premissas!$B$15/(1-(1+Premissas!$B$15)^(-F366)))+I366,G366+H366+I366),0)</x:f>
        <x:v>747.8390765999941</x:v>
      </x:c>
      <x:c r="K366" s="141" t="n">
        <x:f>H366+I366</x:f>
        <x:v>366.8866956476127</x:v>
      </x:c>
      <x:c r="L366" s="141" t="n">
        <x:f>SUM($J$6:J366)</x:f>
        <x:v>504858.1980389616</x:v>
      </x:c>
      <x:c r="M366" s="141" t="n">
        <x:f>MAX(0,E366-G366)</x:f>
        <x:v>22476.190476190503</x:v>
      </x:c>
    </x:row>
    <x:row r="367">
      <x:c r="A367" s="142" t="n">
        <x:v>362</x:v>
      </x:c>
      <x:c r="B367" s="179" t="n">
        <x:f>EDATE(Premissas!$B$4,361)</x:f>
        <x:v>57527</x:v>
      </x:c>
      <x:c r="C367" s="141" t="n">
        <x:f>M366</x:f>
        <x:v>22476.190476190503</x:v>
      </x:c>
      <x:c r="D367" s="141" t="n">
        <x:f>IF(C367&gt;0,C367*Premissas!$B$17,0)</x:f>
        <x:v>0</x:v>
      </x:c>
      <x:c r="E367" s="141" t="n">
        <x:f>C367+D367</x:f>
        <x:v>22476.190476190503</x:v>
      </x:c>
      <x:c r="F367" s="142" t="n">
        <x:f>MAX(0,Premissas!$B$13-A367+1)</x:f>
        <x:v>59</x:v>
      </x:c>
      <x:c r="G367" s="141" t="n">
        <x:f>IF(AND(E367&gt;0,F367&gt;0),IF(Premissas!$B$19="PRICE",MAX(0,MIN(E367,IF(Premissas!$B$15=0,E367/F367,E367*Premissas!$B$15/(1-(1+Premissas!$B$15)^(-F367)))-H367)),MIN(E367,E367/F367)),0)</x:f>
        <x:v>380.9523809523814</x:v>
      </x:c>
      <x:c r="H367" s="141" t="n">
        <x:f>IF(AND(E367&gt;0,F367&gt;0),E367*Premissas!$B$15,0)</x:f>
        <x:v>213.27191738681918</x:v>
      </x:c>
      <x:c r="I367" s="141" t="n">
        <x:f>IF(AND(E367&gt;0,F367&gt;0),Premissas!$B$18,0)</x:f>
        <x:v>150</x:v>
      </x:c>
      <x:c r="J367" s="141" t="n">
        <x:f>IF(AND(E367&gt;0,F367&gt;0),IF(Premissas!$B$19="PRICE",IF(Premissas!$B$15=0,E367/F367,E367*Premissas!$B$15/(1-(1+Premissas!$B$15)^(-F367)))+I367,G367+H367+I367),0)</x:f>
        <x:v>744.2242983392006</x:v>
      </x:c>
      <x:c r="K367" s="141" t="n">
        <x:f>H367+I367</x:f>
        <x:v>363.27191738681915</x:v>
      </x:c>
      <x:c r="L367" s="141" t="n">
        <x:f>SUM($J$6:J367)</x:f>
        <x:v>505602.42233730084</x:v>
      </x:c>
      <x:c r="M367" s="141" t="n">
        <x:f>MAX(0,E367-G367)</x:f>
        <x:v>22095.23809523812</x:v>
      </x:c>
    </x:row>
    <x:row r="368">
      <x:c r="A368" s="142" t="n">
        <x:v>363</x:v>
      </x:c>
      <x:c r="B368" s="179" t="n">
        <x:f>EDATE(Premissas!$B$4,362)</x:f>
        <x:v>57558</x:v>
      </x:c>
      <x:c r="C368" s="141" t="n">
        <x:f>M367</x:f>
        <x:v>22095.23809523812</x:v>
      </x:c>
      <x:c r="D368" s="141" t="n">
        <x:f>IF(C368&gt;0,C368*Premissas!$B$17,0)</x:f>
        <x:v>0</x:v>
      </x:c>
      <x:c r="E368" s="141" t="n">
        <x:f>C368+D368</x:f>
        <x:v>22095.23809523812</x:v>
      </x:c>
      <x:c r="F368" s="142" t="n">
        <x:f>MAX(0,Premissas!$B$13-A368+1)</x:f>
        <x:v>58</x:v>
      </x:c>
      <x:c r="G368" s="141" t="n">
        <x:f>IF(AND(E368&gt;0,F368&gt;0),IF(Premissas!$B$19="PRICE",MAX(0,MIN(E368,IF(Premissas!$B$15=0,E368/F368,E368*Premissas!$B$15/(1-(1+Premissas!$B$15)^(-F368)))-H368)),MIN(E368,E368/F368)),0)</x:f>
        <x:v>380.9523809523814</x:v>
      </x:c>
      <x:c r="H368" s="141" t="n">
        <x:f>IF(AND(E368&gt;0,F368&gt;0),E368*Premissas!$B$15,0)</x:f>
        <x:v>209.65713912602564</x:v>
      </x:c>
      <x:c r="I368" s="141" t="n">
        <x:f>IF(AND(E368&gt;0,F368&gt;0),Premissas!$B$18,0)</x:f>
        <x:v>150</x:v>
      </x:c>
      <x:c r="J368" s="141" t="n">
        <x:f>IF(AND(E368&gt;0,F368&gt;0),IF(Premissas!$B$19="PRICE",IF(Premissas!$B$15=0,E368/F368,E368*Premissas!$B$15/(1-(1+Premissas!$B$15)^(-F368)))+I368,G368+H368+I368),0)</x:f>
        <x:v>740.6095200784071</x:v>
      </x:c>
      <x:c r="K368" s="141" t="n">
        <x:f>H368+I368</x:f>
        <x:v>359.65713912602564</x:v>
      </x:c>
      <x:c r="L368" s="141" t="n">
        <x:f>SUM($J$6:J368)</x:f>
        <x:v>506343.03185737925</x:v>
      </x:c>
      <x:c r="M368" s="141" t="n">
        <x:f>MAX(0,E368-G368)</x:f>
        <x:v>21714.28571428574</x:v>
      </x:c>
    </x:row>
    <x:row r="369">
      <x:c r="A369" s="142" t="n">
        <x:v>364</x:v>
      </x:c>
      <x:c r="B369" s="179" t="n">
        <x:f>EDATE(Premissas!$B$4,363)</x:f>
        <x:v>57589</x:v>
      </x:c>
      <x:c r="C369" s="141" t="n">
        <x:f>M368</x:f>
        <x:v>21714.28571428574</x:v>
      </x:c>
      <x:c r="D369" s="141" t="n">
        <x:f>IF(C369&gt;0,C369*Premissas!$B$17,0)</x:f>
        <x:v>0</x:v>
      </x:c>
      <x:c r="E369" s="141" t="n">
        <x:f>C369+D369</x:f>
        <x:v>21714.28571428574</x:v>
      </x:c>
      <x:c r="F369" s="142" t="n">
        <x:f>MAX(0,Premissas!$B$13-A369+1)</x:f>
        <x:v>57</x:v>
      </x:c>
      <x:c r="G369" s="141" t="n">
        <x:f>IF(AND(E369&gt;0,F369&gt;0),IF(Premissas!$B$19="PRICE",MAX(0,MIN(E369,IF(Premissas!$B$15=0,E369/F369,E369*Premissas!$B$15/(1-(1+Premissas!$B$15)^(-F369)))-H369)),MIN(E369,E369/F369)),0)</x:f>
        <x:v>380.9523809523814</x:v>
      </x:c>
      <x:c r="H369" s="141" t="n">
        <x:f>IF(AND(E369&gt;0,F369&gt;0),E369*Premissas!$B$15,0)</x:f>
        <x:v>206.0423608652321</x:v>
      </x:c>
      <x:c r="I369" s="141" t="n">
        <x:f>IF(AND(E369&gt;0,F369&gt;0),Premissas!$B$18,0)</x:f>
        <x:v>150</x:v>
      </x:c>
      <x:c r="J369" s="141" t="n">
        <x:f>IF(AND(E369&gt;0,F369&gt;0),IF(Premissas!$B$19="PRICE",IF(Premissas!$B$15=0,E369/F369,E369*Premissas!$B$15/(1-(1+Premissas!$B$15)^(-F369)))+I369,G369+H369+I369),0)</x:f>
        <x:v>736.9947418176135</x:v>
      </x:c>
      <x:c r="K369" s="141" t="n">
        <x:f>H369+I369</x:f>
        <x:v>356.0423608652321</x:v>
      </x:c>
      <x:c r="L369" s="141" t="n">
        <x:f>SUM($J$6:J369)</x:f>
        <x:v>507080.02659919683</x:v>
      </x:c>
      <x:c r="M369" s="141" t="n">
        <x:f>MAX(0,E369-G369)</x:f>
        <x:v>21333.333333333358</x:v>
      </x:c>
    </x:row>
    <x:row r="370">
      <x:c r="A370" s="142" t="n">
        <x:v>365</x:v>
      </x:c>
      <x:c r="B370" s="179" t="n">
        <x:f>EDATE(Premissas!$B$4,364)</x:f>
        <x:v>57619</x:v>
      </x:c>
      <x:c r="C370" s="141" t="n">
        <x:f>M369</x:f>
        <x:v>21333.333333333358</x:v>
      </x:c>
      <x:c r="D370" s="141" t="n">
        <x:f>IF(C370&gt;0,C370*Premissas!$B$17,0)</x:f>
        <x:v>0</x:v>
      </x:c>
      <x:c r="E370" s="141" t="n">
        <x:f>C370+D370</x:f>
        <x:v>21333.333333333358</x:v>
      </x:c>
      <x:c r="F370" s="142" t="n">
        <x:f>MAX(0,Premissas!$B$13-A370+1)</x:f>
        <x:v>56</x:v>
      </x:c>
      <x:c r="G370" s="141" t="n">
        <x:f>IF(AND(E370&gt;0,F370&gt;0),IF(Premissas!$B$19="PRICE",MAX(0,MIN(E370,IF(Premissas!$B$15=0,E370/F370,E370*Premissas!$B$15/(1-(1+Premissas!$B$15)^(-F370)))-H370)),MIN(E370,E370/F370)),0)</x:f>
        <x:v>380.95238095238136</x:v>
      </x:c>
      <x:c r="H370" s="141" t="n">
        <x:f>IF(AND(E370&gt;0,F370&gt;0),E370*Premissas!$B$15,0)</x:f>
        <x:v>202.42758260443853</x:v>
      </x:c>
      <x:c r="I370" s="141" t="n">
        <x:f>IF(AND(E370&gt;0,F370&gt;0),Premissas!$B$18,0)</x:f>
        <x:v>150</x:v>
      </x:c>
      <x:c r="J370" s="141" t="n">
        <x:f>IF(AND(E370&gt;0,F370&gt;0),IF(Premissas!$B$19="PRICE",IF(Premissas!$B$15=0,E370/F370,E370*Premissas!$B$15/(1-(1+Premissas!$B$15)^(-F370)))+I370,G370+H370+I370),0)</x:f>
        <x:v>733.3799635568199</x:v>
      </x:c>
      <x:c r="K370" s="141" t="n">
        <x:f>H370+I370</x:f>
        <x:v>352.4275826044385</x:v>
      </x:c>
      <x:c r="L370" s="141" t="n">
        <x:f>SUM($J$6:J370)</x:f>
        <x:v>507813.40656275366</x:v>
      </x:c>
      <x:c r="M370" s="141" t="n">
        <x:f>MAX(0,E370-G370)</x:f>
        <x:v>20952.380952380976</x:v>
      </x:c>
    </x:row>
    <x:row r="371">
      <x:c r="A371" s="142" t="n">
        <x:v>366</x:v>
      </x:c>
      <x:c r="B371" s="179" t="n">
        <x:f>EDATE(Premissas!$B$4,365)</x:f>
        <x:v>57650</x:v>
      </x:c>
      <x:c r="C371" s="141" t="n">
        <x:f>M370</x:f>
        <x:v>20952.380952380976</x:v>
      </x:c>
      <x:c r="D371" s="141" t="n">
        <x:f>IF(C371&gt;0,C371*Premissas!$B$17,0)</x:f>
        <x:v>0</x:v>
      </x:c>
      <x:c r="E371" s="141" t="n">
        <x:f>C371+D371</x:f>
        <x:v>20952.380952380976</x:v>
      </x:c>
      <x:c r="F371" s="142" t="n">
        <x:f>MAX(0,Premissas!$B$13-A371+1)</x:f>
        <x:v>55</x:v>
      </x:c>
      <x:c r="G371" s="141" t="n">
        <x:f>IF(AND(E371&gt;0,F371&gt;0),IF(Premissas!$B$19="PRICE",MAX(0,MIN(E371,IF(Premissas!$B$15=0,E371/F371,E371*Premissas!$B$15/(1-(1+Premissas!$B$15)^(-F371)))-H371)),MIN(E371,E371/F371)),0)</x:f>
        <x:v>380.95238095238136</x:v>
      </x:c>
      <x:c r="H371" s="141" t="n">
        <x:f>IF(AND(E371&gt;0,F371&gt;0),E371*Premissas!$B$15,0)</x:f>
        <x:v>198.81280434364498</x:v>
      </x:c>
      <x:c r="I371" s="141" t="n">
        <x:f>IF(AND(E371&gt;0,F371&gt;0),Premissas!$B$18,0)</x:f>
        <x:v>150</x:v>
      </x:c>
      <x:c r="J371" s="141" t="n">
        <x:f>IF(AND(E371&gt;0,F371&gt;0),IF(Premissas!$B$19="PRICE",IF(Premissas!$B$15=0,E371/F371,E371*Premissas!$B$15/(1-(1+Premissas!$B$15)^(-F371)))+I371,G371+H371+I371),0)</x:f>
        <x:v>729.7651852960264</x:v>
      </x:c>
      <x:c r="K371" s="141" t="n">
        <x:f>H371+I371</x:f>
        <x:v>348.812804343645</x:v>
      </x:c>
      <x:c r="L371" s="141" t="n">
        <x:f>SUM($J$6:J371)</x:f>
        <x:v>508543.1717480497</x:v>
      </x:c>
      <x:c r="M371" s="141" t="n">
        <x:f>MAX(0,E371-G371)</x:f>
        <x:v>20571.428571428594</x:v>
      </x:c>
    </x:row>
    <x:row r="372">
      <x:c r="A372" s="142" t="n">
        <x:v>367</x:v>
      </x:c>
      <x:c r="B372" s="179" t="n">
        <x:f>EDATE(Premissas!$B$4,366)</x:f>
        <x:v>57680</x:v>
      </x:c>
      <x:c r="C372" s="141" t="n">
        <x:f>M371</x:f>
        <x:v>20571.428571428594</x:v>
      </x:c>
      <x:c r="D372" s="141" t="n">
        <x:f>IF(C372&gt;0,C372*Premissas!$B$17,0)</x:f>
        <x:v>0</x:v>
      </x:c>
      <x:c r="E372" s="141" t="n">
        <x:f>C372+D372</x:f>
        <x:v>20571.428571428594</x:v>
      </x:c>
      <x:c r="F372" s="142" t="n">
        <x:f>MAX(0,Premissas!$B$13-A372+1)</x:f>
        <x:v>54</x:v>
      </x:c>
      <x:c r="G372" s="141" t="n">
        <x:f>IF(AND(E372&gt;0,F372&gt;0),IF(Premissas!$B$19="PRICE",MAX(0,MIN(E372,IF(Premissas!$B$15=0,E372/F372,E372*Premissas!$B$15/(1-(1+Premissas!$B$15)^(-F372)))-H372)),MIN(E372,E372/F372)),0)</x:f>
        <x:v>380.95238095238136</x:v>
      </x:c>
      <x:c r="H372" s="141" t="n">
        <x:f>IF(AND(E372&gt;0,F372&gt;0),E372*Premissas!$B$15,0)</x:f>
        <x:v>195.19802608285144</x:v>
      </x:c>
      <x:c r="I372" s="141" t="n">
        <x:f>IF(AND(E372&gt;0,F372&gt;0),Premissas!$B$18,0)</x:f>
        <x:v>150</x:v>
      </x:c>
      <x:c r="J372" s="141" t="n">
        <x:f>IF(AND(E372&gt;0,F372&gt;0),IF(Premissas!$B$19="PRICE",IF(Premissas!$B$15=0,E372/F372,E372*Premissas!$B$15/(1-(1+Premissas!$B$15)^(-F372)))+I372,G372+H372+I372),0)</x:f>
        <x:v>726.1504070352328</x:v>
      </x:c>
      <x:c r="K372" s="141" t="n">
        <x:f>H372+I372</x:f>
        <x:v>345.19802608285147</x:v>
      </x:c>
      <x:c r="L372" s="141" t="n">
        <x:f>SUM($J$6:J372)</x:f>
        <x:v>509269.3221550849</x:v>
      </x:c>
      <x:c r="M372" s="141" t="n">
        <x:f>MAX(0,E372-G372)</x:f>
        <x:v>20190.476190476213</x:v>
      </x:c>
    </x:row>
    <x:row r="373">
      <x:c r="A373" s="142" t="n">
        <x:v>368</x:v>
      </x:c>
      <x:c r="B373" s="179" t="n">
        <x:f>EDATE(Premissas!$B$4,367)</x:f>
        <x:v>57711</x:v>
      </x:c>
      <x:c r="C373" s="141" t="n">
        <x:f>M372</x:f>
        <x:v>20190.476190476213</x:v>
      </x:c>
      <x:c r="D373" s="141" t="n">
        <x:f>IF(C373&gt;0,C373*Premissas!$B$17,0)</x:f>
        <x:v>0</x:v>
      </x:c>
      <x:c r="E373" s="141" t="n">
        <x:f>C373+D373</x:f>
        <x:v>20190.476190476213</x:v>
      </x:c>
      <x:c r="F373" s="142" t="n">
        <x:f>MAX(0,Premissas!$B$13-A373+1)</x:f>
        <x:v>53</x:v>
      </x:c>
      <x:c r="G373" s="141" t="n">
        <x:f>IF(AND(E373&gt;0,F373&gt;0),IF(Premissas!$B$19="PRICE",MAX(0,MIN(E373,IF(Premissas!$B$15=0,E373/F373,E373*Premissas!$B$15/(1-(1+Premissas!$B$15)^(-F373)))-H373)),MIN(E373,E373/F373)),0)</x:f>
        <x:v>380.95238095238136</x:v>
      </x:c>
      <x:c r="H373" s="141" t="n">
        <x:f>IF(AND(E373&gt;0,F373&gt;0),E373*Premissas!$B$15,0)</x:f>
        <x:v>191.5832478220579</x:v>
      </x:c>
      <x:c r="I373" s="141" t="n">
        <x:f>IF(AND(E373&gt;0,F373&gt;0),Premissas!$B$18,0)</x:f>
        <x:v>150</x:v>
      </x:c>
      <x:c r="J373" s="141" t="n">
        <x:f>IF(AND(E373&gt;0,F373&gt;0),IF(Premissas!$B$19="PRICE",IF(Premissas!$B$15=0,E373/F373,E373*Premissas!$B$15/(1-(1+Premissas!$B$15)^(-F373)))+I373,G373+H373+I373),0)</x:f>
        <x:v>722.5356287744393</x:v>
      </x:c>
      <x:c r="K373" s="141" t="n">
        <x:f>H373+I373</x:f>
        <x:v>341.5832478220579</x:v>
      </x:c>
      <x:c r="L373" s="141" t="n">
        <x:f>SUM($J$6:J373)</x:f>
        <x:v>509991.85778385936</x:v>
      </x:c>
      <x:c r="M373" s="141" t="n">
        <x:f>MAX(0,E373-G373)</x:f>
        <x:v>19809.52380952383</x:v>
      </x:c>
    </x:row>
    <x:row r="374">
      <x:c r="A374" s="142" t="n">
        <x:v>369</x:v>
      </x:c>
      <x:c r="B374" s="179" t="n">
        <x:f>EDATE(Premissas!$B$4,368)</x:f>
        <x:v>57742</x:v>
      </x:c>
      <x:c r="C374" s="141" t="n">
        <x:f>M373</x:f>
        <x:v>19809.52380952383</x:v>
      </x:c>
      <x:c r="D374" s="141" t="n">
        <x:f>IF(C374&gt;0,C374*Premissas!$B$17,0)</x:f>
        <x:v>0</x:v>
      </x:c>
      <x:c r="E374" s="141" t="n">
        <x:f>C374+D374</x:f>
        <x:v>19809.52380952383</x:v>
      </x:c>
      <x:c r="F374" s="142" t="n">
        <x:f>MAX(0,Premissas!$B$13-A374+1)</x:f>
        <x:v>52</x:v>
      </x:c>
      <x:c r="G374" s="141" t="n">
        <x:f>IF(AND(E374&gt;0,F374&gt;0),IF(Premissas!$B$19="PRICE",MAX(0,MIN(E374,IF(Premissas!$B$15=0,E374/F374,E374*Premissas!$B$15/(1-(1+Premissas!$B$15)^(-F374)))-H374)),MIN(E374,E374/F374)),0)</x:f>
        <x:v>380.95238095238136</x:v>
      </x:c>
      <x:c r="H374" s="141" t="n">
        <x:f>IF(AND(E374&gt;0,F374&gt;0),E374*Premissas!$B$15,0)</x:f>
        <x:v>187.96846956126436</x:v>
      </x:c>
      <x:c r="I374" s="141" t="n">
        <x:f>IF(AND(E374&gt;0,F374&gt;0),Premissas!$B$18,0)</x:f>
        <x:v>150</x:v>
      </x:c>
      <x:c r="J374" s="141" t="n">
        <x:f>IF(AND(E374&gt;0,F374&gt;0),IF(Premissas!$B$19="PRICE",IF(Premissas!$B$15=0,E374/F374,E374*Premissas!$B$15/(1-(1+Premissas!$B$15)^(-F374)))+I374,G374+H374+I374),0)</x:f>
        <x:v>718.9208505136457</x:v>
      </x:c>
      <x:c r="K374" s="141" t="n">
        <x:f>H374+I374</x:f>
        <x:v>337.9684695612643</x:v>
      </x:c>
      <x:c r="L374" s="141" t="n">
        <x:f>SUM($J$6:J374)</x:f>
        <x:v>510710.778634373</x:v>
      </x:c>
      <x:c r="M374" s="141" t="n">
        <x:f>MAX(0,E374-G374)</x:f>
        <x:v>19428.57142857145</x:v>
      </x:c>
    </x:row>
    <x:row r="375">
      <x:c r="A375" s="142" t="n">
        <x:v>370</x:v>
      </x:c>
      <x:c r="B375" s="179" t="n">
        <x:f>EDATE(Premissas!$B$4,369)</x:f>
        <x:v>57770</x:v>
      </x:c>
      <x:c r="C375" s="141" t="n">
        <x:f>M374</x:f>
        <x:v>19428.57142857145</x:v>
      </x:c>
      <x:c r="D375" s="141" t="n">
        <x:f>IF(C375&gt;0,C375*Premissas!$B$17,0)</x:f>
        <x:v>0</x:v>
      </x:c>
      <x:c r="E375" s="141" t="n">
        <x:f>C375+D375</x:f>
        <x:v>19428.57142857145</x:v>
      </x:c>
      <x:c r="F375" s="142" t="n">
        <x:f>MAX(0,Premissas!$B$13-A375+1)</x:f>
        <x:v>51</x:v>
      </x:c>
      <x:c r="G375" s="141" t="n">
        <x:f>IF(AND(E375&gt;0,F375&gt;0),IF(Premissas!$B$19="PRICE",MAX(0,MIN(E375,IF(Premissas!$B$15=0,E375/F375,E375*Premissas!$B$15/(1-(1+Premissas!$B$15)^(-F375)))-H375)),MIN(E375,E375/F375)),0)</x:f>
        <x:v>380.95238095238136</x:v>
      </x:c>
      <x:c r="H375" s="141" t="n">
        <x:f>IF(AND(E375&gt;0,F375&gt;0),E375*Premissas!$B$15,0)</x:f>
        <x:v>184.3536913004708</x:v>
      </x:c>
      <x:c r="I375" s="141" t="n">
        <x:f>IF(AND(E375&gt;0,F375&gt;0),Premissas!$B$18,0)</x:f>
        <x:v>150</x:v>
      </x:c>
      <x:c r="J375" s="141" t="n">
        <x:f>IF(AND(E375&gt;0,F375&gt;0),IF(Premissas!$B$19="PRICE",IF(Premissas!$B$15=0,E375/F375,E375*Premissas!$B$15/(1-(1+Premissas!$B$15)^(-F375)))+I375,G375+H375+I375),0)</x:f>
        <x:v>715.3060722528521</x:v>
      </x:c>
      <x:c r="K375" s="141" t="n">
        <x:f>H375+I375</x:f>
        <x:v>334.3536913004708</x:v>
      </x:c>
      <x:c r="L375" s="141" t="n">
        <x:f>SUM($J$6:J375)</x:f>
        <x:v>511426.08470662584</x:v>
      </x:c>
      <x:c r="M375" s="141" t="n">
        <x:f>MAX(0,E375-G375)</x:f>
        <x:v>19047.619047619068</x:v>
      </x:c>
    </x:row>
    <x:row r="376">
      <x:c r="A376" s="142" t="n">
        <x:v>371</x:v>
      </x:c>
      <x:c r="B376" s="179" t="n">
        <x:f>EDATE(Premissas!$B$4,370)</x:f>
        <x:v>57801</x:v>
      </x:c>
      <x:c r="C376" s="141" t="n">
        <x:f>M375</x:f>
        <x:v>19047.619047619068</x:v>
      </x:c>
      <x:c r="D376" s="141" t="n">
        <x:f>IF(C376&gt;0,C376*Premissas!$B$17,0)</x:f>
        <x:v>0</x:v>
      </x:c>
      <x:c r="E376" s="141" t="n">
        <x:f>C376+D376</x:f>
        <x:v>19047.619047619068</x:v>
      </x:c>
      <x:c r="F376" s="142" t="n">
        <x:f>MAX(0,Premissas!$B$13-A376+1)</x:f>
        <x:v>50</x:v>
      </x:c>
      <x:c r="G376" s="141" t="n">
        <x:f>IF(AND(E376&gt;0,F376&gt;0),IF(Premissas!$B$19="PRICE",MAX(0,MIN(E376,IF(Premissas!$B$15=0,E376/F376,E376*Premissas!$B$15/(1-(1+Premissas!$B$15)^(-F376)))-H376)),MIN(E376,E376/F376)),0)</x:f>
        <x:v>380.95238095238136</x:v>
      </x:c>
      <x:c r="H376" s="141" t="n">
        <x:f>IF(AND(E376&gt;0,F376&gt;0),E376*Premissas!$B$15,0)</x:f>
        <x:v>180.73891303967724</x:v>
      </x:c>
      <x:c r="I376" s="141" t="n">
        <x:f>IF(AND(E376&gt;0,F376&gt;0),Premissas!$B$18,0)</x:f>
        <x:v>150</x:v>
      </x:c>
      <x:c r="J376" s="141" t="n">
        <x:f>IF(AND(E376&gt;0,F376&gt;0),IF(Premissas!$B$19="PRICE",IF(Premissas!$B$15=0,E376/F376,E376*Premissas!$B$15/(1-(1+Premissas!$B$15)^(-F376)))+I376,G376+H376+I376),0)</x:f>
        <x:v>711.6912939920586</x:v>
      </x:c>
      <x:c r="K376" s="141" t="n">
        <x:f>H376+I376</x:f>
        <x:v>330.73891303967724</x:v>
      </x:c>
      <x:c r="L376" s="141" t="n">
        <x:f>SUM($J$6:J376)</x:f>
        <x:v>512137.7760006179</x:v>
      </x:c>
      <x:c r="M376" s="141" t="n">
        <x:f>MAX(0,E376-G376)</x:f>
        <x:v>18666.666666666686</x:v>
      </x:c>
    </x:row>
    <x:row r="377">
      <x:c r="A377" s="142" t="n">
        <x:v>372</x:v>
      </x:c>
      <x:c r="B377" s="179" t="n">
        <x:f>EDATE(Premissas!$B$4,371)</x:f>
        <x:v>57831</x:v>
      </x:c>
      <x:c r="C377" s="141" t="n">
        <x:f>M376</x:f>
        <x:v>18666.666666666686</x:v>
      </x:c>
      <x:c r="D377" s="141" t="n">
        <x:f>IF(C377&gt;0,C377*Premissas!$B$17,0)</x:f>
        <x:v>0</x:v>
      </x:c>
      <x:c r="E377" s="141" t="n">
        <x:f>C377+D377</x:f>
        <x:v>18666.666666666686</x:v>
      </x:c>
      <x:c r="F377" s="142" t="n">
        <x:f>MAX(0,Premissas!$B$13-A377+1)</x:f>
        <x:v>49</x:v>
      </x:c>
      <x:c r="G377" s="141" t="n">
        <x:f>IF(AND(E377&gt;0,F377&gt;0),IF(Premissas!$B$19="PRICE",MAX(0,MIN(E377,IF(Premissas!$B$15=0,E377/F377,E377*Premissas!$B$15/(1-(1+Premissas!$B$15)^(-F377)))-H377)),MIN(E377,E377/F377)),0)</x:f>
        <x:v>380.95238095238136</x:v>
      </x:c>
      <x:c r="H377" s="141" t="n">
        <x:f>IF(AND(E377&gt;0,F377&gt;0),E377*Premissas!$B$15,0)</x:f>
        <x:v>177.1241347788837</x:v>
      </x:c>
      <x:c r="I377" s="141" t="n">
        <x:f>IF(AND(E377&gt;0,F377&gt;0),Premissas!$B$18,0)</x:f>
        <x:v>150</x:v>
      </x:c>
      <x:c r="J377" s="141" t="n">
        <x:f>IF(AND(E377&gt;0,F377&gt;0),IF(Premissas!$B$19="PRICE",IF(Premissas!$B$15=0,E377/F377,E377*Premissas!$B$15/(1-(1+Premissas!$B$15)^(-F377)))+I377,G377+H377+I377),0)</x:f>
        <x:v>708.0765157312651</x:v>
      </x:c>
      <x:c r="K377" s="141" t="n">
        <x:f>H377+I377</x:f>
        <x:v>327.1241347788837</x:v>
      </x:c>
      <x:c r="L377" s="141" t="n">
        <x:f>SUM($J$6:J377)</x:f>
        <x:v>512845.8525163492</x:v>
      </x:c>
      <x:c r="M377" s="141" t="n">
        <x:f>MAX(0,E377-G377)</x:f>
        <x:v>18285.714285714304</x:v>
      </x:c>
    </x:row>
    <x:row r="378">
      <x:c r="A378" s="142" t="n">
        <x:v>373</x:v>
      </x:c>
      <x:c r="B378" s="179" t="n">
        <x:f>EDATE(Premissas!$B$4,372)</x:f>
        <x:v>57862</x:v>
      </x:c>
      <x:c r="C378" s="141" t="n">
        <x:f>M377</x:f>
        <x:v>18285.714285714304</x:v>
      </x:c>
      <x:c r="D378" s="141" t="n">
        <x:f>IF(C378&gt;0,C378*Premissas!$B$17,0)</x:f>
        <x:v>0</x:v>
      </x:c>
      <x:c r="E378" s="141" t="n">
        <x:f>C378+D378</x:f>
        <x:v>18285.714285714304</x:v>
      </x:c>
      <x:c r="F378" s="142" t="n">
        <x:f>MAX(0,Premissas!$B$13-A378+1)</x:f>
        <x:v>48</x:v>
      </x:c>
      <x:c r="G378" s="141" t="n">
        <x:f>IF(AND(E378&gt;0,F378&gt;0),IF(Premissas!$B$19="PRICE",MAX(0,MIN(E378,IF(Premissas!$B$15=0,E378/F378,E378*Premissas!$B$15/(1-(1+Premissas!$B$15)^(-F378)))-H378)),MIN(E378,E378/F378)),0)</x:f>
        <x:v>380.95238095238136</x:v>
      </x:c>
      <x:c r="H378" s="141" t="n">
        <x:f>IF(AND(E378&gt;0,F378&gt;0),E378*Premissas!$B$15,0)</x:f>
        <x:v>173.50935651809016</x:v>
      </x:c>
      <x:c r="I378" s="141" t="n">
        <x:f>IF(AND(E378&gt;0,F378&gt;0),Premissas!$B$18,0)</x:f>
        <x:v>150</x:v>
      </x:c>
      <x:c r="J378" s="141" t="n">
        <x:f>IF(AND(E378&gt;0,F378&gt;0),IF(Premissas!$B$19="PRICE",IF(Premissas!$B$15=0,E378/F378,E378*Premissas!$B$15/(1-(1+Premissas!$B$15)^(-F378)))+I378,G378+H378+I378),0)</x:f>
        <x:v>704.4617374704715</x:v>
      </x:c>
      <x:c r="K378" s="141" t="n">
        <x:f>H378+I378</x:f>
        <x:v>323.50935651809016</x:v>
      </x:c>
      <x:c r="L378" s="141" t="n">
        <x:f>SUM($J$6:J378)</x:f>
        <x:v>513550.31425381964</x:v>
      </x:c>
      <x:c r="M378" s="141" t="n">
        <x:f>MAX(0,E378-G378)</x:f>
        <x:v>17904.761904761923</x:v>
      </x:c>
    </x:row>
    <x:row r="379">
      <x:c r="A379" s="142" t="n">
        <x:v>374</x:v>
      </x:c>
      <x:c r="B379" s="179" t="n">
        <x:f>EDATE(Premissas!$B$4,373)</x:f>
        <x:v>57892</x:v>
      </x:c>
      <x:c r="C379" s="141" t="n">
        <x:f>M378</x:f>
        <x:v>17904.761904761923</x:v>
      </x:c>
      <x:c r="D379" s="141" t="n">
        <x:f>IF(C379&gt;0,C379*Premissas!$B$17,0)</x:f>
        <x:v>0</x:v>
      </x:c>
      <x:c r="E379" s="141" t="n">
        <x:f>C379+D379</x:f>
        <x:v>17904.761904761923</x:v>
      </x:c>
      <x:c r="F379" s="142" t="n">
        <x:f>MAX(0,Premissas!$B$13-A379+1)</x:f>
        <x:v>47</x:v>
      </x:c>
      <x:c r="G379" s="141" t="n">
        <x:f>IF(AND(E379&gt;0,F379&gt;0),IF(Premissas!$B$19="PRICE",MAX(0,MIN(E379,IF(Premissas!$B$15=0,E379/F379,E379*Premissas!$B$15/(1-(1+Premissas!$B$15)^(-F379)))-H379)),MIN(E379,E379/F379)),0)</x:f>
        <x:v>380.95238095238136</x:v>
      </x:c>
      <x:c r="H379" s="141" t="n">
        <x:f>IF(AND(E379&gt;0,F379&gt;0),E379*Premissas!$B$15,0)</x:f>
        <x:v>169.89457825729662</x:v>
      </x:c>
      <x:c r="I379" s="141" t="n">
        <x:f>IF(AND(E379&gt;0,F379&gt;0),Premissas!$B$18,0)</x:f>
        <x:v>150</x:v>
      </x:c>
      <x:c r="J379" s="141" t="n">
        <x:f>IF(AND(E379&gt;0,F379&gt;0),IF(Premissas!$B$19="PRICE",IF(Premissas!$B$15=0,E379/F379,E379*Premissas!$B$15/(1-(1+Premissas!$B$15)^(-F379)))+I379,G379+H379+I379),0)</x:f>
        <x:v>700.846959209678</x:v>
      </x:c>
      <x:c r="K379" s="141" t="n">
        <x:f>H379+I379</x:f>
        <x:v>319.89457825729664</x:v>
      </x:c>
      <x:c r="L379" s="141" t="n">
        <x:f>SUM($J$6:J379)</x:f>
        <x:v>514251.1612130293</x:v>
      </x:c>
      <x:c r="M379" s="141" t="n">
        <x:f>MAX(0,E379-G379)</x:f>
        <x:v>17523.80952380954</x:v>
      </x:c>
    </x:row>
    <x:row r="380">
      <x:c r="A380" s="142" t="n">
        <x:v>375</x:v>
      </x:c>
      <x:c r="B380" s="179" t="n">
        <x:f>EDATE(Premissas!$B$4,374)</x:f>
        <x:v>57923</x:v>
      </x:c>
      <x:c r="C380" s="141" t="n">
        <x:f>M379</x:f>
        <x:v>17523.80952380954</x:v>
      </x:c>
      <x:c r="D380" s="141" t="n">
        <x:f>IF(C380&gt;0,C380*Premissas!$B$17,0)</x:f>
        <x:v>0</x:v>
      </x:c>
      <x:c r="E380" s="141" t="n">
        <x:f>C380+D380</x:f>
        <x:v>17523.80952380954</x:v>
      </x:c>
      <x:c r="F380" s="142" t="n">
        <x:f>MAX(0,Premissas!$B$13-A380+1)</x:f>
        <x:v>46</x:v>
      </x:c>
      <x:c r="G380" s="141" t="n">
        <x:f>IF(AND(E380&gt;0,F380&gt;0),IF(Premissas!$B$19="PRICE",MAX(0,MIN(E380,IF(Premissas!$B$15=0,E380/F380,E380*Premissas!$B$15/(1-(1+Premissas!$B$15)^(-F380)))-H380)),MIN(E380,E380/F380)),0)</x:f>
        <x:v>380.9523809523813</x:v>
      </x:c>
      <x:c r="H380" s="141" t="n">
        <x:f>IF(AND(E380&gt;0,F380&gt;0),E380*Premissas!$B$15,0)</x:f>
        <x:v>166.27979999650307</x:v>
      </x:c>
      <x:c r="I380" s="141" t="n">
        <x:f>IF(AND(E380&gt;0,F380&gt;0),Premissas!$B$18,0)</x:f>
        <x:v>150</x:v>
      </x:c>
      <x:c r="J380" s="141" t="n">
        <x:f>IF(AND(E380&gt;0,F380&gt;0),IF(Premissas!$B$19="PRICE",IF(Premissas!$B$15=0,E380/F380,E380*Premissas!$B$15/(1-(1+Premissas!$B$15)^(-F380)))+I380,G380+H380+I380),0)</x:f>
        <x:v>697.2321809488844</x:v>
      </x:c>
      <x:c r="K380" s="141" t="n">
        <x:f>H380+I380</x:f>
        <x:v>316.2797999965031</x:v>
      </x:c>
      <x:c r="L380" s="141" t="n">
        <x:f>SUM($J$6:J380)</x:f>
        <x:v>514948.3933939782</x:v>
      </x:c>
      <x:c r="M380" s="141" t="n">
        <x:f>MAX(0,E380-G380)</x:f>
        <x:v>17142.85714285716</x:v>
      </x:c>
    </x:row>
    <x:row r="381">
      <x:c r="A381" s="142" t="n">
        <x:v>376</x:v>
      </x:c>
      <x:c r="B381" s="179" t="n">
        <x:f>EDATE(Premissas!$B$4,375)</x:f>
        <x:v>57954</x:v>
      </x:c>
      <x:c r="C381" s="141" t="n">
        <x:f>M380</x:f>
        <x:v>17142.85714285716</x:v>
      </x:c>
      <x:c r="D381" s="141" t="n">
        <x:f>IF(C381&gt;0,C381*Premissas!$B$17,0)</x:f>
        <x:v>0</x:v>
      </x:c>
      <x:c r="E381" s="141" t="n">
        <x:f>C381+D381</x:f>
        <x:v>17142.85714285716</x:v>
      </x:c>
      <x:c r="F381" s="142" t="n">
        <x:f>MAX(0,Premissas!$B$13-A381+1)</x:f>
        <x:v>45</x:v>
      </x:c>
      <x:c r="G381" s="141" t="n">
        <x:f>IF(AND(E381&gt;0,F381&gt;0),IF(Premissas!$B$19="PRICE",MAX(0,MIN(E381,IF(Premissas!$B$15=0,E381/F381,E381*Premissas!$B$15/(1-(1+Premissas!$B$15)^(-F381)))-H381)),MIN(E381,E381/F381)),0)</x:f>
        <x:v>380.9523809523813</x:v>
      </x:c>
      <x:c r="H381" s="141" t="n">
        <x:f>IF(AND(E381&gt;0,F381&gt;0),E381*Premissas!$B$15,0)</x:f>
        <x:v>162.6650217357095</x:v>
      </x:c>
      <x:c r="I381" s="141" t="n">
        <x:f>IF(AND(E381&gt;0,F381&gt;0),Premissas!$B$18,0)</x:f>
        <x:v>150</x:v>
      </x:c>
      <x:c r="J381" s="141" t="n">
        <x:f>IF(AND(E381&gt;0,F381&gt;0),IF(Premissas!$B$19="PRICE",IF(Premissas!$B$15=0,E381/F381,E381*Premissas!$B$15/(1-(1+Premissas!$B$15)^(-F381)))+I381,G381+H381+I381),0)</x:f>
        <x:v>693.6174026880908</x:v>
      </x:c>
      <x:c r="K381" s="141" t="n">
        <x:f>H381+I381</x:f>
        <x:v>312.6650217357095</x:v>
      </x:c>
      <x:c r="L381" s="141" t="n">
        <x:f>SUM($J$6:J381)</x:f>
        <x:v>515642.01079666626</x:v>
      </x:c>
      <x:c r="M381" s="141" t="n">
        <x:f>MAX(0,E381-G381)</x:f>
        <x:v>16761.904761904778</x:v>
      </x:c>
    </x:row>
    <x:row r="382">
      <x:c r="A382" s="142" t="n">
        <x:v>377</x:v>
      </x:c>
      <x:c r="B382" s="179" t="n">
        <x:f>EDATE(Premissas!$B$4,376)</x:f>
        <x:v>57984</x:v>
      </x:c>
      <x:c r="C382" s="141" t="n">
        <x:f>M381</x:f>
        <x:v>16761.904761904778</x:v>
      </x:c>
      <x:c r="D382" s="141" t="n">
        <x:f>IF(C382&gt;0,C382*Premissas!$B$17,0)</x:f>
        <x:v>0</x:v>
      </x:c>
      <x:c r="E382" s="141" t="n">
        <x:f>C382+D382</x:f>
        <x:v>16761.904761904778</x:v>
      </x:c>
      <x:c r="F382" s="142" t="n">
        <x:f>MAX(0,Premissas!$B$13-A382+1)</x:f>
        <x:v>44</x:v>
      </x:c>
      <x:c r="G382" s="141" t="n">
        <x:f>IF(AND(E382&gt;0,F382&gt;0),IF(Premissas!$B$19="PRICE",MAX(0,MIN(E382,IF(Premissas!$B$15=0,E382/F382,E382*Premissas!$B$15/(1-(1+Premissas!$B$15)^(-F382)))-H382)),MIN(E382,E382/F382)),0)</x:f>
        <x:v>380.9523809523813</x:v>
      </x:c>
      <x:c r="H382" s="141" t="n">
        <x:f>IF(AND(E382&gt;0,F382&gt;0),E382*Premissas!$B$15,0)</x:f>
        <x:v>159.05024347491596</x:v>
      </x:c>
      <x:c r="I382" s="141" t="n">
        <x:f>IF(AND(E382&gt;0,F382&gt;0),Premissas!$B$18,0)</x:f>
        <x:v>150</x:v>
      </x:c>
      <x:c r="J382" s="141" t="n">
        <x:f>IF(AND(E382&gt;0,F382&gt;0),IF(Premissas!$B$19="PRICE",IF(Premissas!$B$15=0,E382/F382,E382*Premissas!$B$15/(1-(1+Premissas!$B$15)^(-F382)))+I382,G382+H382+I382),0)</x:f>
        <x:v>690.0026244272973</x:v>
      </x:c>
      <x:c r="K382" s="141" t="n">
        <x:f>H382+I382</x:f>
        <x:v>309.050243474916</x:v>
      </x:c>
      <x:c r="L382" s="141" t="n">
        <x:f>SUM($J$6:J382)</x:f>
        <x:v>516332.0134210936</x:v>
      </x:c>
      <x:c r="M382" s="141" t="n">
        <x:f>MAX(0,E382-G382)</x:f>
        <x:v>16380.952380952396</x:v>
      </x:c>
    </x:row>
    <x:row r="383">
      <x:c r="A383" s="142" t="n">
        <x:v>378</x:v>
      </x:c>
      <x:c r="B383" s="179" t="n">
        <x:f>EDATE(Premissas!$B$4,377)</x:f>
        <x:v>58015</x:v>
      </x:c>
      <x:c r="C383" s="141" t="n">
        <x:f>M382</x:f>
        <x:v>16380.952380952396</x:v>
      </x:c>
      <x:c r="D383" s="141" t="n">
        <x:f>IF(C383&gt;0,C383*Premissas!$B$17,0)</x:f>
        <x:v>0</x:v>
      </x:c>
      <x:c r="E383" s="141" t="n">
        <x:f>C383+D383</x:f>
        <x:v>16380.952380952396</x:v>
      </x:c>
      <x:c r="F383" s="142" t="n">
        <x:f>MAX(0,Premissas!$B$13-A383+1)</x:f>
        <x:v>43</x:v>
      </x:c>
      <x:c r="G383" s="141" t="n">
        <x:f>IF(AND(E383&gt;0,F383&gt;0),IF(Premissas!$B$19="PRICE",MAX(0,MIN(E383,IF(Premissas!$B$15=0,E383/F383,E383*Premissas!$B$15/(1-(1+Premissas!$B$15)^(-F383)))-H383)),MIN(E383,E383/F383)),0)</x:f>
        <x:v>380.9523809523813</x:v>
      </x:c>
      <x:c r="H383" s="141" t="n">
        <x:f>IF(AND(E383&gt;0,F383&gt;0),E383*Premissas!$B$15,0)</x:f>
        <x:v>155.43546521412242</x:v>
      </x:c>
      <x:c r="I383" s="141" t="n">
        <x:f>IF(AND(E383&gt;0,F383&gt;0),Premissas!$B$18,0)</x:f>
        <x:v>150</x:v>
      </x:c>
      <x:c r="J383" s="141" t="n">
        <x:f>IF(AND(E383&gt;0,F383&gt;0),IF(Premissas!$B$19="PRICE",IF(Premissas!$B$15=0,E383/F383,E383*Premissas!$B$15/(1-(1+Premissas!$B$15)^(-F383)))+I383,G383+H383+I383),0)</x:f>
        <x:v>686.3878461665038</x:v>
      </x:c>
      <x:c r="K383" s="141" t="n">
        <x:f>H383+I383</x:f>
        <x:v>305.4354652141224</x:v>
      </x:c>
      <x:c r="L383" s="141" t="n">
        <x:f>SUM($J$6:J383)</x:f>
        <x:v>517018.4012672601</x:v>
      </x:c>
      <x:c r="M383" s="141" t="n">
        <x:f>MAX(0,E383-G383)</x:f>
        <x:v>16000.000000000015</x:v>
      </x:c>
    </x:row>
    <x:row r="384">
      <x:c r="A384" s="142" t="n">
        <x:v>379</x:v>
      </x:c>
      <x:c r="B384" s="179" t="n">
        <x:f>EDATE(Premissas!$B$4,378)</x:f>
        <x:v>58045</x:v>
      </x:c>
      <x:c r="C384" s="141" t="n">
        <x:f>M383</x:f>
        <x:v>16000.000000000015</x:v>
      </x:c>
      <x:c r="D384" s="141" t="n">
        <x:f>IF(C384&gt;0,C384*Premissas!$B$17,0)</x:f>
        <x:v>0</x:v>
      </x:c>
      <x:c r="E384" s="141" t="n">
        <x:f>C384+D384</x:f>
        <x:v>16000.000000000015</x:v>
      </x:c>
      <x:c r="F384" s="142" t="n">
        <x:f>MAX(0,Premissas!$B$13-A384+1)</x:f>
        <x:v>42</x:v>
      </x:c>
      <x:c r="G384" s="141" t="n">
        <x:f>IF(AND(E384&gt;0,F384&gt;0),IF(Premissas!$B$19="PRICE",MAX(0,MIN(E384,IF(Premissas!$B$15=0,E384/F384,E384*Premissas!$B$15/(1-(1+Premissas!$B$15)^(-F384)))-H384)),MIN(E384,E384/F384)),0)</x:f>
        <x:v>380.9523809523813</x:v>
      </x:c>
      <x:c r="H384" s="141" t="n">
        <x:f>IF(AND(E384&gt;0,F384&gt;0),E384*Premissas!$B$15,0)</x:f>
        <x:v>151.82068695332887</x:v>
      </x:c>
      <x:c r="I384" s="141" t="n">
        <x:f>IF(AND(E384&gt;0,F384&gt;0),Premissas!$B$18,0)</x:f>
        <x:v>150</x:v>
      </x:c>
      <x:c r="J384" s="141" t="n">
        <x:f>IF(AND(E384&gt;0,F384&gt;0),IF(Premissas!$B$19="PRICE",IF(Premissas!$B$15=0,E384/F384,E384*Premissas!$B$15/(1-(1+Premissas!$B$15)^(-F384)))+I384,G384+H384+I384),0)</x:f>
        <x:v>682.7730679057101</x:v>
      </x:c>
      <x:c r="K384" s="141" t="n">
        <x:f>H384+I384</x:f>
        <x:v>301.82068695332885</x:v>
      </x:c>
      <x:c r="L384" s="141" t="n">
        <x:f>SUM($J$6:J384)</x:f>
        <x:v>517701.17433516576</x:v>
      </x:c>
      <x:c r="M384" s="141" t="n">
        <x:f>MAX(0,E384-G384)</x:f>
        <x:v>15619.047619047633</x:v>
      </x:c>
    </x:row>
    <x:row r="385">
      <x:c r="A385" s="142" t="n">
        <x:v>380</x:v>
      </x:c>
      <x:c r="B385" s="179" t="n">
        <x:f>EDATE(Premissas!$B$4,379)</x:f>
        <x:v>58076</x:v>
      </x:c>
      <x:c r="C385" s="141" t="n">
        <x:f>M384</x:f>
        <x:v>15619.047619047633</x:v>
      </x:c>
      <x:c r="D385" s="141" t="n">
        <x:f>IF(C385&gt;0,C385*Premissas!$B$17,0)</x:f>
        <x:v>0</x:v>
      </x:c>
      <x:c r="E385" s="141" t="n">
        <x:f>C385+D385</x:f>
        <x:v>15619.047619047633</x:v>
      </x:c>
      <x:c r="F385" s="142" t="n">
        <x:f>MAX(0,Premissas!$B$13-A385+1)</x:f>
        <x:v>41</x:v>
      </x:c>
      <x:c r="G385" s="141" t="n">
        <x:f>IF(AND(E385&gt;0,F385&gt;0),IF(Premissas!$B$19="PRICE",MAX(0,MIN(E385,IF(Premissas!$B$15=0,E385/F385,E385*Premissas!$B$15/(1-(1+Premissas!$B$15)^(-F385)))-H385)),MIN(E385,E385/F385)),0)</x:f>
        <x:v>380.9523809523813</x:v>
      </x:c>
      <x:c r="H385" s="141" t="n">
        <x:f>IF(AND(E385&gt;0,F385&gt;0),E385*Premissas!$B$15,0)</x:f>
        <x:v>148.20590869253533</x:v>
      </x:c>
      <x:c r="I385" s="141" t="n">
        <x:f>IF(AND(E385&gt;0,F385&gt;0),Premissas!$B$18,0)</x:f>
        <x:v>150</x:v>
      </x:c>
      <x:c r="J385" s="141" t="n">
        <x:f>IF(AND(E385&gt;0,F385&gt;0),IF(Premissas!$B$19="PRICE",IF(Premissas!$B$15=0,E385/F385,E385*Premissas!$B$15/(1-(1+Premissas!$B$15)^(-F385)))+I385,G385+H385+I385),0)</x:f>
        <x:v>679.1582896449166</x:v>
      </x:c>
      <x:c r="K385" s="141" t="n">
        <x:f>H385+I385</x:f>
        <x:v>298.20590869253533</x:v>
      </x:c>
      <x:c r="L385" s="141" t="n">
        <x:f>SUM($J$6:J385)</x:f>
        <x:v>518380.3326248107</x:v>
      </x:c>
      <x:c r="M385" s="141" t="n">
        <x:f>MAX(0,E385-G385)</x:f>
        <x:v>15238.095238095251</x:v>
      </x:c>
    </x:row>
    <x:row r="386">
      <x:c r="A386" s="142" t="n">
        <x:v>381</x:v>
      </x:c>
      <x:c r="B386" s="179" t="n">
        <x:f>EDATE(Premissas!$B$4,380)</x:f>
        <x:v>58107</x:v>
      </x:c>
      <x:c r="C386" s="141" t="n">
        <x:f>M385</x:f>
        <x:v>15238.095238095251</x:v>
      </x:c>
      <x:c r="D386" s="141" t="n">
        <x:f>IF(C386&gt;0,C386*Premissas!$B$17,0)</x:f>
        <x:v>0</x:v>
      </x:c>
      <x:c r="E386" s="141" t="n">
        <x:f>C386+D386</x:f>
        <x:v>15238.095238095251</x:v>
      </x:c>
      <x:c r="F386" s="142" t="n">
        <x:f>MAX(0,Premissas!$B$13-A386+1)</x:f>
        <x:v>40</x:v>
      </x:c>
      <x:c r="G386" s="141" t="n">
        <x:f>IF(AND(E386&gt;0,F386&gt;0),IF(Premissas!$B$19="PRICE",MAX(0,MIN(E386,IF(Premissas!$B$15=0,E386/F386,E386*Premissas!$B$15/(1-(1+Premissas!$B$15)^(-F386)))-H386)),MIN(E386,E386/F386)),0)</x:f>
        <x:v>380.9523809523813</x:v>
      </x:c>
      <x:c r="H386" s="141" t="n">
        <x:f>IF(AND(E386&gt;0,F386&gt;0),E386*Premissas!$B$15,0)</x:f>
        <x:v>144.59113043174176</x:v>
      </x:c>
      <x:c r="I386" s="141" t="n">
        <x:f>IF(AND(E386&gt;0,F386&gt;0),Premissas!$B$18,0)</x:f>
        <x:v>150</x:v>
      </x:c>
      <x:c r="J386" s="141" t="n">
        <x:f>IF(AND(E386&gt;0,F386&gt;0),IF(Premissas!$B$19="PRICE",IF(Premissas!$B$15=0,E386/F386,E386*Premissas!$B$15/(1-(1+Premissas!$B$15)^(-F386)))+I386,G386+H386+I386),0)</x:f>
        <x:v>675.5435113841231</x:v>
      </x:c>
      <x:c r="K386" s="141" t="n">
        <x:f>H386+I386</x:f>
        <x:v>294.59113043174176</x:v>
      </x:c>
      <x:c r="L386" s="141" t="n">
        <x:f>SUM($J$6:J386)</x:f>
        <x:v>519055.8761361948</x:v>
      </x:c>
      <x:c r="M386" s="141" t="n">
        <x:f>MAX(0,E386-G386)</x:f>
        <x:v>14857.14285714287</x:v>
      </x:c>
    </x:row>
    <x:row r="387">
      <x:c r="A387" s="142" t="n">
        <x:v>382</x:v>
      </x:c>
      <x:c r="B387" s="179" t="n">
        <x:f>EDATE(Premissas!$B$4,381)</x:f>
        <x:v>58135</x:v>
      </x:c>
      <x:c r="C387" s="141" t="n">
        <x:f>M386</x:f>
        <x:v>14857.14285714287</x:v>
      </x:c>
      <x:c r="D387" s="141" t="n">
        <x:f>IF(C387&gt;0,C387*Premissas!$B$17,0)</x:f>
        <x:v>0</x:v>
      </x:c>
      <x:c r="E387" s="141" t="n">
        <x:f>C387+D387</x:f>
        <x:v>14857.14285714287</x:v>
      </x:c>
      <x:c r="F387" s="142" t="n">
        <x:f>MAX(0,Premissas!$B$13-A387+1)</x:f>
        <x:v>39</x:v>
      </x:c>
      <x:c r="G387" s="141" t="n">
        <x:f>IF(AND(E387&gt;0,F387&gt;0),IF(Premissas!$B$19="PRICE",MAX(0,MIN(E387,IF(Premissas!$B$15=0,E387/F387,E387*Premissas!$B$15/(1-(1+Premissas!$B$15)^(-F387)))-H387)),MIN(E387,E387/F387)),0)</x:f>
        <x:v>380.95238095238125</x:v>
      </x:c>
      <x:c r="H387" s="141" t="n">
        <x:f>IF(AND(E387&gt;0,F387&gt;0),E387*Premissas!$B$15,0)</x:f>
        <x:v>140.97635217094822</x:v>
      </x:c>
      <x:c r="I387" s="141" t="n">
        <x:f>IF(AND(E387&gt;0,F387&gt;0),Premissas!$B$18,0)</x:f>
        <x:v>150</x:v>
      </x:c>
      <x:c r="J387" s="141" t="n">
        <x:f>IF(AND(E387&gt;0,F387&gt;0),IF(Premissas!$B$19="PRICE",IF(Premissas!$B$15=0,E387/F387,E387*Premissas!$B$15/(1-(1+Premissas!$B$15)^(-F387)))+I387,G387+H387+I387),0)</x:f>
        <x:v>671.9287331233295</x:v>
      </x:c>
      <x:c r="K387" s="141" t="n">
        <x:f>H387+I387</x:f>
        <x:v>290.9763521709482</x:v>
      </x:c>
      <x:c r="L387" s="141" t="n">
        <x:f>SUM($J$6:J387)</x:f>
        <x:v>519727.80486931815</x:v>
      </x:c>
      <x:c r="M387" s="141" t="n">
        <x:f>MAX(0,E387-G387)</x:f>
        <x:v>14476.190476190488</x:v>
      </x:c>
    </x:row>
    <x:row r="388">
      <x:c r="A388" s="142" t="n">
        <x:v>383</x:v>
      </x:c>
      <x:c r="B388" s="179" t="n">
        <x:f>EDATE(Premissas!$B$4,382)</x:f>
        <x:v>58166</x:v>
      </x:c>
      <x:c r="C388" s="141" t="n">
        <x:f>M387</x:f>
        <x:v>14476.190476190488</x:v>
      </x:c>
      <x:c r="D388" s="141" t="n">
        <x:f>IF(C388&gt;0,C388*Premissas!$B$17,0)</x:f>
        <x:v>0</x:v>
      </x:c>
      <x:c r="E388" s="141" t="n">
        <x:f>C388+D388</x:f>
        <x:v>14476.190476190488</x:v>
      </x:c>
      <x:c r="F388" s="142" t="n">
        <x:f>MAX(0,Premissas!$B$13-A388+1)</x:f>
        <x:v>38</x:v>
      </x:c>
      <x:c r="G388" s="141" t="n">
        <x:f>IF(AND(E388&gt;0,F388&gt;0),IF(Premissas!$B$19="PRICE",MAX(0,MIN(E388,IF(Premissas!$B$15=0,E388/F388,E388*Premissas!$B$15/(1-(1+Premissas!$B$15)^(-F388)))-H388)),MIN(E388,E388/F388)),0)</x:f>
        <x:v>380.95238095238125</x:v>
      </x:c>
      <x:c r="H388" s="141" t="n">
        <x:f>IF(AND(E388&gt;0,F388&gt;0),E388*Premissas!$B$15,0)</x:f>
        <x:v>137.36157391015468</x:v>
      </x:c>
      <x:c r="I388" s="141" t="n">
        <x:f>IF(AND(E388&gt;0,F388&gt;0),Premissas!$B$18,0)</x:f>
        <x:v>150</x:v>
      </x:c>
      <x:c r="J388" s="141" t="n">
        <x:f>IF(AND(E388&gt;0,F388&gt;0),IF(Premissas!$B$19="PRICE",IF(Premissas!$B$15=0,E388/F388,E388*Premissas!$B$15/(1-(1+Premissas!$B$15)^(-F388)))+I388,G388+H388+I388),0)</x:f>
        <x:v>668.3139548625359</x:v>
      </x:c>
      <x:c r="K388" s="141" t="n">
        <x:f>H388+I388</x:f>
        <x:v>287.3615739101547</x:v>
      </x:c>
      <x:c r="L388" s="141" t="n">
        <x:f>SUM($J$6:J388)</x:f>
        <x:v>520396.1188241807</x:v>
      </x:c>
      <x:c r="M388" s="141" t="n">
        <x:f>MAX(0,E388-G388)</x:f>
        <x:v>14095.238095238106</x:v>
      </x:c>
    </x:row>
    <x:row r="389">
      <x:c r="A389" s="142" t="n">
        <x:v>384</x:v>
      </x:c>
      <x:c r="B389" s="179" t="n">
        <x:f>EDATE(Premissas!$B$4,383)</x:f>
        <x:v>58196</x:v>
      </x:c>
      <x:c r="C389" s="141" t="n">
        <x:f>M388</x:f>
        <x:v>14095.238095238106</x:v>
      </x:c>
      <x:c r="D389" s="141" t="n">
        <x:f>IF(C389&gt;0,C389*Premissas!$B$17,0)</x:f>
        <x:v>0</x:v>
      </x:c>
      <x:c r="E389" s="141" t="n">
        <x:f>C389+D389</x:f>
        <x:v>14095.238095238106</x:v>
      </x:c>
      <x:c r="F389" s="142" t="n">
        <x:f>MAX(0,Premissas!$B$13-A389+1)</x:f>
        <x:v>37</x:v>
      </x:c>
      <x:c r="G389" s="141" t="n">
        <x:f>IF(AND(E389&gt;0,F389&gt;0),IF(Premissas!$B$19="PRICE",MAX(0,MIN(E389,IF(Premissas!$B$15=0,E389/F389,E389*Premissas!$B$15/(1-(1+Premissas!$B$15)^(-F389)))-H389)),MIN(E389,E389/F389)),0)</x:f>
        <x:v>380.95238095238125</x:v>
      </x:c>
      <x:c r="H389" s="141" t="n">
        <x:f>IF(AND(E389&gt;0,F389&gt;0),E389*Premissas!$B$15,0)</x:f>
        <x:v>133.74679564936113</x:v>
      </x:c>
      <x:c r="I389" s="141" t="n">
        <x:f>IF(AND(E389&gt;0,F389&gt;0),Premissas!$B$18,0)</x:f>
        <x:v>150</x:v>
      </x:c>
      <x:c r="J389" s="141" t="n">
        <x:f>IF(AND(E389&gt;0,F389&gt;0),IF(Premissas!$B$19="PRICE",IF(Premissas!$B$15=0,E389/F389,E389*Premissas!$B$15/(1-(1+Premissas!$B$15)^(-F389)))+I389,G389+H389+I389),0)</x:f>
        <x:v>664.6991766017424</x:v>
      </x:c>
      <x:c r="K389" s="141" t="n">
        <x:f>H389+I389</x:f>
        <x:v>283.74679564936116</x:v>
      </x:c>
      <x:c r="L389" s="141" t="n">
        <x:f>SUM($J$6:J389)</x:f>
        <x:v>521060.8180007824</x:v>
      </x:c>
      <x:c r="M389" s="141" t="n">
        <x:f>MAX(0,E389-G389)</x:f>
        <x:v>13714.285714285725</x:v>
      </x:c>
    </x:row>
    <x:row r="390">
      <x:c r="A390" s="142" t="n">
        <x:v>385</x:v>
      </x:c>
      <x:c r="B390" s="179" t="n">
        <x:f>EDATE(Premissas!$B$4,384)</x:f>
        <x:v>58227</x:v>
      </x:c>
      <x:c r="C390" s="141" t="n">
        <x:f>M389</x:f>
        <x:v>13714.285714285725</x:v>
      </x:c>
      <x:c r="D390" s="141" t="n">
        <x:f>IF(C390&gt;0,C390*Premissas!$B$17,0)</x:f>
        <x:v>0</x:v>
      </x:c>
      <x:c r="E390" s="141" t="n">
        <x:f>C390+D390</x:f>
        <x:v>13714.285714285725</x:v>
      </x:c>
      <x:c r="F390" s="142" t="n">
        <x:f>MAX(0,Premissas!$B$13-A390+1)</x:f>
        <x:v>36</x:v>
      </x:c>
      <x:c r="G390" s="141" t="n">
        <x:f>IF(AND(E390&gt;0,F390&gt;0),IF(Premissas!$B$19="PRICE",MAX(0,MIN(E390,IF(Premissas!$B$15=0,E390/F390,E390*Premissas!$B$15/(1-(1+Premissas!$B$15)^(-F390)))-H390)),MIN(E390,E390/F390)),0)</x:f>
        <x:v>380.95238095238125</x:v>
      </x:c>
      <x:c r="H390" s="141" t="n">
        <x:f>IF(AND(E390&gt;0,F390&gt;0),E390*Premissas!$B$15,0)</x:f>
        <x:v>130.1320173885676</x:v>
      </x:c>
      <x:c r="I390" s="141" t="n">
        <x:f>IF(AND(E390&gt;0,F390&gt;0),Premissas!$B$18,0)</x:f>
        <x:v>150</x:v>
      </x:c>
      <x:c r="J390" s="141" t="n">
        <x:f>IF(AND(E390&gt;0,F390&gt;0),IF(Premissas!$B$19="PRICE",IF(Premissas!$B$15=0,E390/F390,E390*Premissas!$B$15/(1-(1+Premissas!$B$15)^(-F390)))+I390,G390+H390+I390),0)</x:f>
        <x:v>661.0843983409488</x:v>
      </x:c>
      <x:c r="K390" s="141" t="n">
        <x:f>H390+I390</x:f>
        <x:v>280.1320173885676</x:v>
      </x:c>
      <x:c r="L390" s="141" t="n">
        <x:f>SUM($J$6:J390)</x:f>
        <x:v>521721.90239912336</x:v>
      </x:c>
      <x:c r="M390" s="141" t="n">
        <x:f>MAX(0,E390-G390)</x:f>
        <x:v>13333.333333333343</x:v>
      </x:c>
    </x:row>
    <x:row r="391">
      <x:c r="A391" s="142" t="n">
        <x:v>386</x:v>
      </x:c>
      <x:c r="B391" s="179" t="n">
        <x:f>EDATE(Premissas!$B$4,385)</x:f>
        <x:v>58257</x:v>
      </x:c>
      <x:c r="C391" s="141" t="n">
        <x:f>M390</x:f>
        <x:v>13333.333333333343</x:v>
      </x:c>
      <x:c r="D391" s="141" t="n">
        <x:f>IF(C391&gt;0,C391*Premissas!$B$17,0)</x:f>
        <x:v>0</x:v>
      </x:c>
      <x:c r="E391" s="141" t="n">
        <x:f>C391+D391</x:f>
        <x:v>13333.333333333343</x:v>
      </x:c>
      <x:c r="F391" s="142" t="n">
        <x:f>MAX(0,Premissas!$B$13-A391+1)</x:f>
        <x:v>35</x:v>
      </x:c>
      <x:c r="G391" s="141" t="n">
        <x:f>IF(AND(E391&gt;0,F391&gt;0),IF(Premissas!$B$19="PRICE",MAX(0,MIN(E391,IF(Premissas!$B$15=0,E391/F391,E391*Premissas!$B$15/(1-(1+Premissas!$B$15)^(-F391)))-H391)),MIN(E391,E391/F391)),0)</x:f>
        <x:v>380.95238095238125</x:v>
      </x:c>
      <x:c r="H391" s="141" t="n">
        <x:f>IF(AND(E391&gt;0,F391&gt;0),E391*Premissas!$B$15,0)</x:f>
        <x:v>126.51723912777403</x:v>
      </x:c>
      <x:c r="I391" s="141" t="n">
        <x:f>IF(AND(E391&gt;0,F391&gt;0),Premissas!$B$18,0)</x:f>
        <x:v>150</x:v>
      </x:c>
      <x:c r="J391" s="141" t="n">
        <x:f>IF(AND(E391&gt;0,F391&gt;0),IF(Premissas!$B$19="PRICE",IF(Premissas!$B$15=0,E391/F391,E391*Premissas!$B$15/(1-(1+Premissas!$B$15)^(-F391)))+I391,G391+H391+I391),0)</x:f>
        <x:v>657.4696200801552</x:v>
      </x:c>
      <x:c r="K391" s="141" t="n">
        <x:f>H391+I391</x:f>
        <x:v>276.517239127774</x:v>
      </x:c>
      <x:c r="L391" s="141" t="n">
        <x:f>SUM($J$6:J391)</x:f>
        <x:v>522379.3720192035</x:v>
      </x:c>
      <x:c r="M391" s="141" t="n">
        <x:f>MAX(0,E391-G391)</x:f>
        <x:v>12952.380952380961</x:v>
      </x:c>
    </x:row>
    <x:row r="392">
      <x:c r="A392" s="142" t="n">
        <x:v>387</x:v>
      </x:c>
      <x:c r="B392" s="179" t="n">
        <x:f>EDATE(Premissas!$B$4,386)</x:f>
        <x:v>58288</x:v>
      </x:c>
      <x:c r="C392" s="141" t="n">
        <x:f>M391</x:f>
        <x:v>12952.380952380961</x:v>
      </x:c>
      <x:c r="D392" s="141" t="n">
        <x:f>IF(C392&gt;0,C392*Premissas!$B$17,0)</x:f>
        <x:v>0</x:v>
      </x:c>
      <x:c r="E392" s="141" t="n">
        <x:f>C392+D392</x:f>
        <x:v>12952.380952380961</x:v>
      </x:c>
      <x:c r="F392" s="142" t="n">
        <x:f>MAX(0,Premissas!$B$13-A392+1)</x:f>
        <x:v>34</x:v>
      </x:c>
      <x:c r="G392" s="141" t="n">
        <x:f>IF(AND(E392&gt;0,F392&gt;0),IF(Premissas!$B$19="PRICE",MAX(0,MIN(E392,IF(Premissas!$B$15=0,E392/F392,E392*Premissas!$B$15/(1-(1+Premissas!$B$15)^(-F392)))-H392)),MIN(E392,E392/F392)),0)</x:f>
        <x:v>380.9523809523812</x:v>
      </x:c>
      <x:c r="H392" s="141" t="n">
        <x:f>IF(AND(E392&gt;0,F392&gt;0),E392*Premissas!$B$15,0)</x:f>
        <x:v>122.90246086698049</x:v>
      </x:c>
      <x:c r="I392" s="141" t="n">
        <x:f>IF(AND(E392&gt;0,F392&gt;0),Premissas!$B$18,0)</x:f>
        <x:v>150</x:v>
      </x:c>
      <x:c r="J392" s="141" t="n">
        <x:f>IF(AND(E392&gt;0,F392&gt;0),IF(Premissas!$B$19="PRICE",IF(Premissas!$B$15=0,E392/F392,E392*Premissas!$B$15/(1-(1+Premissas!$B$15)^(-F392)))+I392,G392+H392+I392),0)</x:f>
        <x:v>653.8548418193617</x:v>
      </x:c>
      <x:c r="K392" s="141" t="n">
        <x:f>H392+I392</x:f>
        <x:v>272.9024608669805</x:v>
      </x:c>
      <x:c r="L392" s="141" t="n">
        <x:f>SUM($J$6:J392)</x:f>
        <x:v>523033.2268610229</x:v>
      </x:c>
      <x:c r="M392" s="141" t="n">
        <x:f>MAX(0,E392-G392)</x:f>
        <x:v>12571.42857142858</x:v>
      </x:c>
    </x:row>
    <x:row r="393">
      <x:c r="A393" s="142" t="n">
        <x:v>388</x:v>
      </x:c>
      <x:c r="B393" s="179" t="n">
        <x:f>EDATE(Premissas!$B$4,387)</x:f>
        <x:v>58319</x:v>
      </x:c>
      <x:c r="C393" s="141" t="n">
        <x:f>M392</x:f>
        <x:v>12571.42857142858</x:v>
      </x:c>
      <x:c r="D393" s="141" t="n">
        <x:f>IF(C393&gt;0,C393*Premissas!$B$17,0)</x:f>
        <x:v>0</x:v>
      </x:c>
      <x:c r="E393" s="141" t="n">
        <x:f>C393+D393</x:f>
        <x:v>12571.42857142858</x:v>
      </x:c>
      <x:c r="F393" s="142" t="n">
        <x:f>MAX(0,Premissas!$B$13-A393+1)</x:f>
        <x:v>33</x:v>
      </x:c>
      <x:c r="G393" s="141" t="n">
        <x:f>IF(AND(E393&gt;0,F393&gt;0),IF(Premissas!$B$19="PRICE",MAX(0,MIN(E393,IF(Premissas!$B$15=0,E393/F393,E393*Premissas!$B$15/(1-(1+Premissas!$B$15)^(-F393)))-H393)),MIN(E393,E393/F393)),0)</x:f>
        <x:v>380.9523809523812</x:v>
      </x:c>
      <x:c r="H393" s="141" t="n">
        <x:f>IF(AND(E393&gt;0,F393&gt;0),E393*Premissas!$B$15,0)</x:f>
        <x:v>119.28768260618693</x:v>
      </x:c>
      <x:c r="I393" s="141" t="n">
        <x:f>IF(AND(E393&gt;0,F393&gt;0),Premissas!$B$18,0)</x:f>
        <x:v>150</x:v>
      </x:c>
      <x:c r="J393" s="141" t="n">
        <x:f>IF(AND(E393&gt;0,F393&gt;0),IF(Premissas!$B$19="PRICE",IF(Premissas!$B$15=0,E393/F393,E393*Premissas!$B$15/(1-(1+Premissas!$B$15)^(-F393)))+I393,G393+H393+I393),0)</x:f>
        <x:v>650.2400635585682</x:v>
      </x:c>
      <x:c r="K393" s="141" t="n">
        <x:f>H393+I393</x:f>
        <x:v>269.28768260618693</x:v>
      </x:c>
      <x:c r="L393" s="141" t="n">
        <x:f>SUM($J$6:J393)</x:f>
        <x:v>523683.46692458144</x:v>
      </x:c>
      <x:c r="M393" s="141" t="n">
        <x:f>MAX(0,E393-G393)</x:f>
        <x:v>12190.476190476198</x:v>
      </x:c>
    </x:row>
    <x:row r="394">
      <x:c r="A394" s="142" t="n">
        <x:v>389</x:v>
      </x:c>
      <x:c r="B394" s="179" t="n">
        <x:f>EDATE(Premissas!$B$4,388)</x:f>
        <x:v>58349</x:v>
      </x:c>
      <x:c r="C394" s="141" t="n">
        <x:f>M393</x:f>
        <x:v>12190.476190476198</x:v>
      </x:c>
      <x:c r="D394" s="141" t="n">
        <x:f>IF(C394&gt;0,C394*Premissas!$B$17,0)</x:f>
        <x:v>0</x:v>
      </x:c>
      <x:c r="E394" s="141" t="n">
        <x:f>C394+D394</x:f>
        <x:v>12190.476190476198</x:v>
      </x:c>
      <x:c r="F394" s="142" t="n">
        <x:f>MAX(0,Premissas!$B$13-A394+1)</x:f>
        <x:v>32</x:v>
      </x:c>
      <x:c r="G394" s="141" t="n">
        <x:f>IF(AND(E394&gt;0,F394&gt;0),IF(Premissas!$B$19="PRICE",MAX(0,MIN(E394,IF(Premissas!$B$15=0,E394/F394,E394*Premissas!$B$15/(1-(1+Premissas!$B$15)^(-F394)))-H394)),MIN(E394,E394/F394)),0)</x:f>
        <x:v>380.9523809523812</x:v>
      </x:c>
      <x:c r="H394" s="141" t="n">
        <x:f>IF(AND(E394&gt;0,F394&gt;0),E394*Premissas!$B$15,0)</x:f>
        <x:v>115.67290434539339</x:v>
      </x:c>
      <x:c r="I394" s="141" t="n">
        <x:f>IF(AND(E394&gt;0,F394&gt;0),Premissas!$B$18,0)</x:f>
        <x:v>150</x:v>
      </x:c>
      <x:c r="J394" s="141" t="n">
        <x:f>IF(AND(E394&gt;0,F394&gt;0),IF(Premissas!$B$19="PRICE",IF(Premissas!$B$15=0,E394/F394,E394*Premissas!$B$15/(1-(1+Premissas!$B$15)^(-F394)))+I394,G394+H394+I394),0)</x:f>
        <x:v>646.6252852977746</x:v>
      </x:c>
      <x:c r="K394" s="141" t="n">
        <x:f>H394+I394</x:f>
        <x:v>265.67290434539336</x:v>
      </x:c>
      <x:c r="L394" s="141" t="n">
        <x:f>SUM($J$6:J394)</x:f>
        <x:v>524330.0922098792</x:v>
      </x:c>
      <x:c r="M394" s="141" t="n">
        <x:f>MAX(0,E394-G394)</x:f>
        <x:v>11809.523809523816</x:v>
      </x:c>
    </x:row>
    <x:row r="395">
      <x:c r="A395" s="142" t="n">
        <x:v>390</x:v>
      </x:c>
      <x:c r="B395" s="179" t="n">
        <x:f>EDATE(Premissas!$B$4,389)</x:f>
        <x:v>58380</x:v>
      </x:c>
      <x:c r="C395" s="141" t="n">
        <x:f>M394</x:f>
        <x:v>11809.523809523816</x:v>
      </x:c>
      <x:c r="D395" s="141" t="n">
        <x:f>IF(C395&gt;0,C395*Premissas!$B$17,0)</x:f>
        <x:v>0</x:v>
      </x:c>
      <x:c r="E395" s="141" t="n">
        <x:f>C395+D395</x:f>
        <x:v>11809.523809523816</x:v>
      </x:c>
      <x:c r="F395" s="142" t="n">
        <x:f>MAX(0,Premissas!$B$13-A395+1)</x:f>
        <x:v>31</x:v>
      </x:c>
      <x:c r="G395" s="141" t="n">
        <x:f>IF(AND(E395&gt;0,F395&gt;0),IF(Premissas!$B$19="PRICE",MAX(0,MIN(E395,IF(Premissas!$B$15=0,E395/F395,E395*Premissas!$B$15/(1-(1+Premissas!$B$15)^(-F395)))-H395)),MIN(E395,E395/F395)),0)</x:f>
        <x:v>380.9523809523812</x:v>
      </x:c>
      <x:c r="H395" s="141" t="n">
        <x:f>IF(AND(E395&gt;0,F395&gt;0),E395*Premissas!$B$15,0)</x:f>
        <x:v>112.05812608459985</x:v>
      </x:c>
      <x:c r="I395" s="141" t="n">
        <x:f>IF(AND(E395&gt;0,F395&gt;0),Premissas!$B$18,0)</x:f>
        <x:v>150</x:v>
      </x:c>
      <x:c r="J395" s="141" t="n">
        <x:f>IF(AND(E395&gt;0,F395&gt;0),IF(Premissas!$B$19="PRICE",IF(Premissas!$B$15=0,E395/F395,E395*Premissas!$B$15/(1-(1+Premissas!$B$15)^(-F395)))+I395,G395+H395+I395),0)</x:f>
        <x:v>643.010507036981</x:v>
      </x:c>
      <x:c r="K395" s="141" t="n">
        <x:f>H395+I395</x:f>
        <x:v>262.05812608459985</x:v>
      </x:c>
      <x:c r="L395" s="141" t="n">
        <x:f>SUM($J$6:J395)</x:f>
        <x:v>524973.1027169161</x:v>
      </x:c>
      <x:c r="M395" s="141" t="n">
        <x:f>MAX(0,E395-G395)</x:f>
        <x:v>11428.571428571435</x:v>
      </x:c>
    </x:row>
    <x:row r="396">
      <x:c r="A396" s="142" t="n">
        <x:v>391</x:v>
      </x:c>
      <x:c r="B396" s="179" t="n">
        <x:f>EDATE(Premissas!$B$4,390)</x:f>
        <x:v>58410</x:v>
      </x:c>
      <x:c r="C396" s="141" t="n">
        <x:f>M395</x:f>
        <x:v>11428.571428571435</x:v>
      </x:c>
      <x:c r="D396" s="141" t="n">
        <x:f>IF(C396&gt;0,C396*Premissas!$B$17,0)</x:f>
        <x:v>0</x:v>
      </x:c>
      <x:c r="E396" s="141" t="n">
        <x:f>C396+D396</x:f>
        <x:v>11428.571428571435</x:v>
      </x:c>
      <x:c r="F396" s="142" t="n">
        <x:f>MAX(0,Premissas!$B$13-A396+1)</x:f>
        <x:v>30</x:v>
      </x:c>
      <x:c r="G396" s="141" t="n">
        <x:f>IF(AND(E396&gt;0,F396&gt;0),IF(Premissas!$B$19="PRICE",MAX(0,MIN(E396,IF(Premissas!$B$15=0,E396/F396,E396*Premissas!$B$15/(1-(1+Premissas!$B$15)^(-F396)))-H396)),MIN(E396,E396/F396)),0)</x:f>
        <x:v>380.95238095238113</x:v>
      </x:c>
      <x:c r="H396" s="141" t="n">
        <x:f>IF(AND(E396&gt;0,F396&gt;0),E396*Premissas!$B$15,0)</x:f>
        <x:v>108.44334782380629</x:v>
      </x:c>
      <x:c r="I396" s="141" t="n">
        <x:f>IF(AND(E396&gt;0,F396&gt;0),Premissas!$B$18,0)</x:f>
        <x:v>150</x:v>
      </x:c>
      <x:c r="J396" s="141" t="n">
        <x:f>IF(AND(E396&gt;0,F396&gt;0),IF(Premissas!$B$19="PRICE",IF(Premissas!$B$15=0,E396/F396,E396*Premissas!$B$15/(1-(1+Premissas!$B$15)^(-F396)))+I396,G396+H396+I396),0)</x:f>
        <x:v>639.3957287761874</x:v>
      </x:c>
      <x:c r="K396" s="141" t="n">
        <x:f>H396+I396</x:f>
        <x:v>258.4433478238063</x:v>
      </x:c>
      <x:c r="L396" s="141" t="n">
        <x:f>SUM($J$6:J396)</x:f>
        <x:v>525612.4984456924</x:v>
      </x:c>
      <x:c r="M396" s="141" t="n">
        <x:f>MAX(0,E396-G396)</x:f>
        <x:v>11047.619047619053</x:v>
      </x:c>
    </x:row>
    <x:row r="397">
      <x:c r="A397" s="142" t="n">
        <x:v>392</x:v>
      </x:c>
      <x:c r="B397" s="179" t="n">
        <x:f>EDATE(Premissas!$B$4,391)</x:f>
        <x:v>58441</x:v>
      </x:c>
      <x:c r="C397" s="141" t="n">
        <x:f>M396</x:f>
        <x:v>11047.619047619053</x:v>
      </x:c>
      <x:c r="D397" s="141" t="n">
        <x:f>IF(C397&gt;0,C397*Premissas!$B$17,0)</x:f>
        <x:v>0</x:v>
      </x:c>
      <x:c r="E397" s="141" t="n">
        <x:f>C397+D397</x:f>
        <x:v>11047.619047619053</x:v>
      </x:c>
      <x:c r="F397" s="142" t="n">
        <x:f>MAX(0,Premissas!$B$13-A397+1)</x:f>
        <x:v>29</x:v>
      </x:c>
      <x:c r="G397" s="141" t="n">
        <x:f>IF(AND(E397&gt;0,F397&gt;0),IF(Premissas!$B$19="PRICE",MAX(0,MIN(E397,IF(Premissas!$B$15=0,E397/F397,E397*Premissas!$B$15/(1-(1+Premissas!$B$15)^(-F397)))-H397)),MIN(E397,E397/F397)),0)</x:f>
        <x:v>380.95238095238113</x:v>
      </x:c>
      <x:c r="H397" s="141" t="n">
        <x:f>IF(AND(E397&gt;0,F397&gt;0),E397*Premissas!$B$15,0)</x:f>
        <x:v>104.82856956301275</x:v>
      </x:c>
      <x:c r="I397" s="141" t="n">
        <x:f>IF(AND(E397&gt;0,F397&gt;0),Premissas!$B$18,0)</x:f>
        <x:v>150</x:v>
      </x:c>
      <x:c r="J397" s="141" t="n">
        <x:f>IF(AND(E397&gt;0,F397&gt;0),IF(Premissas!$B$19="PRICE",IF(Premissas!$B$15=0,E397/F397,E397*Premissas!$B$15/(1-(1+Premissas!$B$15)^(-F397)))+I397,G397+H397+I397),0)</x:f>
        <x:v>635.7809505153939</x:v>
      </x:c>
      <x:c r="K397" s="141" t="n">
        <x:f>H397+I397</x:f>
        <x:v>254.82856956301276</x:v>
      </x:c>
      <x:c r="L397" s="141" t="n">
        <x:f>SUM($J$6:J397)</x:f>
        <x:v>526248.2793962078</x:v>
      </x:c>
      <x:c r="M397" s="141" t="n">
        <x:f>MAX(0,E397-G397)</x:f>
        <x:v>10666.666666666672</x:v>
      </x:c>
    </x:row>
    <x:row r="398">
      <x:c r="A398" s="142" t="n">
        <x:v>393</x:v>
      </x:c>
      <x:c r="B398" s="179" t="n">
        <x:f>EDATE(Premissas!$B$4,392)</x:f>
        <x:v>58472</x:v>
      </x:c>
      <x:c r="C398" s="141" t="n">
        <x:f>M397</x:f>
        <x:v>10666.666666666672</x:v>
      </x:c>
      <x:c r="D398" s="141" t="n">
        <x:f>IF(C398&gt;0,C398*Premissas!$B$17,0)</x:f>
        <x:v>0</x:v>
      </x:c>
      <x:c r="E398" s="141" t="n">
        <x:f>C398+D398</x:f>
        <x:v>10666.666666666672</x:v>
      </x:c>
      <x:c r="F398" s="142" t="n">
        <x:f>MAX(0,Premissas!$B$13-A398+1)</x:f>
        <x:v>28</x:v>
      </x:c>
      <x:c r="G398" s="141" t="n">
        <x:f>IF(AND(E398&gt;0,F398&gt;0),IF(Premissas!$B$19="PRICE",MAX(0,MIN(E398,IF(Premissas!$B$15=0,E398/F398,E398*Premissas!$B$15/(1-(1+Premissas!$B$15)^(-F398)))-H398)),MIN(E398,E398/F398)),0)</x:f>
        <x:v>380.95238095238113</x:v>
      </x:c>
      <x:c r="H398" s="141" t="n">
        <x:f>IF(AND(E398&gt;0,F398&gt;0),E398*Premissas!$B$15,0)</x:f>
        <x:v>101.2137913022192</x:v>
      </x:c>
      <x:c r="I398" s="141" t="n">
        <x:f>IF(AND(E398&gt;0,F398&gt;0),Premissas!$B$18,0)</x:f>
        <x:v>150</x:v>
      </x:c>
      <x:c r="J398" s="141" t="n">
        <x:f>IF(AND(E398&gt;0,F398&gt;0),IF(Premissas!$B$19="PRICE",IF(Premissas!$B$15=0,E398/F398,E398*Premissas!$B$15/(1-(1+Premissas!$B$15)^(-F398)))+I398,G398+H398+I398),0)</x:f>
        <x:v>632.1661722546003</x:v>
      </x:c>
      <x:c r="K398" s="141" t="n">
        <x:f>H398+I398</x:f>
        <x:v>251.2137913022192</x:v>
      </x:c>
      <x:c r="L398" s="141" t="n">
        <x:f>SUM($J$6:J398)</x:f>
        <x:v>526880.4455684624</x:v>
      </x:c>
      <x:c r="M398" s="141" t="n">
        <x:f>MAX(0,E398-G398)</x:f>
        <x:v>10285.71428571429</x:v>
      </x:c>
    </x:row>
    <x:row r="399">
      <x:c r="A399" s="142" t="n">
        <x:v>394</x:v>
      </x:c>
      <x:c r="B399" s="179" t="n">
        <x:f>EDATE(Premissas!$B$4,393)</x:f>
        <x:v>58501</x:v>
      </x:c>
      <x:c r="C399" s="141" t="n">
        <x:f>M398</x:f>
        <x:v>10285.71428571429</x:v>
      </x:c>
      <x:c r="D399" s="141" t="n">
        <x:f>IF(C399&gt;0,C399*Premissas!$B$17,0)</x:f>
        <x:v>0</x:v>
      </x:c>
      <x:c r="E399" s="141" t="n">
        <x:f>C399+D399</x:f>
        <x:v>10285.71428571429</x:v>
      </x:c>
      <x:c r="F399" s="142" t="n">
        <x:f>MAX(0,Premissas!$B$13-A399+1)</x:f>
        <x:v>27</x:v>
      </x:c>
      <x:c r="G399" s="141" t="n">
        <x:f>IF(AND(E399&gt;0,F399&gt;0),IF(Premissas!$B$19="PRICE",MAX(0,MIN(E399,IF(Premissas!$B$15=0,E399/F399,E399*Premissas!$B$15/(1-(1+Premissas!$B$15)^(-F399)))-H399)),MIN(E399,E399/F399)),0)</x:f>
        <x:v>380.95238095238113</x:v>
      </x:c>
      <x:c r="H399" s="141" t="n">
        <x:f>IF(AND(E399&gt;0,F399&gt;0),E399*Premissas!$B$15,0)</x:f>
        <x:v>97.59901304142565</x:v>
      </x:c>
      <x:c r="I399" s="141" t="n">
        <x:f>IF(AND(E399&gt;0,F399&gt;0),Premissas!$B$18,0)</x:f>
        <x:v>150</x:v>
      </x:c>
      <x:c r="J399" s="141" t="n">
        <x:f>IF(AND(E399&gt;0,F399&gt;0),IF(Premissas!$B$19="PRICE",IF(Premissas!$B$15=0,E399/F399,E399*Premissas!$B$15/(1-(1+Premissas!$B$15)^(-F399)))+I399,G399+H399+I399),0)</x:f>
        <x:v>628.5513939938068</x:v>
      </x:c>
      <x:c r="K399" s="141" t="n">
        <x:f>H399+I399</x:f>
        <x:v>247.59901304142565</x:v>
      </x:c>
      <x:c r="L399" s="141" t="n">
        <x:f>SUM($J$6:J399)</x:f>
        <x:v>527508.9969624561</x:v>
      </x:c>
      <x:c r="M399" s="141" t="n">
        <x:f>MAX(0,E399-G399)</x:f>
        <x:v>9904.761904761908</x:v>
      </x:c>
    </x:row>
    <x:row r="400">
      <x:c r="A400" s="142" t="n">
        <x:v>395</x:v>
      </x:c>
      <x:c r="B400" s="179" t="n">
        <x:f>EDATE(Premissas!$B$4,394)</x:f>
        <x:v>58532</x:v>
      </x:c>
      <x:c r="C400" s="141" t="n">
        <x:f>M399</x:f>
        <x:v>9904.761904761908</x:v>
      </x:c>
      <x:c r="D400" s="141" t="n">
        <x:f>IF(C400&gt;0,C400*Premissas!$B$17,0)</x:f>
        <x:v>0</x:v>
      </x:c>
      <x:c r="E400" s="141" t="n">
        <x:f>C400+D400</x:f>
        <x:v>9904.761904761908</x:v>
      </x:c>
      <x:c r="F400" s="142" t="n">
        <x:f>MAX(0,Premissas!$B$13-A400+1)</x:f>
        <x:v>26</x:v>
      </x:c>
      <x:c r="G400" s="141" t="n">
        <x:f>IF(AND(E400&gt;0,F400&gt;0),IF(Premissas!$B$19="PRICE",MAX(0,MIN(E400,IF(Premissas!$B$15=0,E400/F400,E400*Premissas!$B$15/(1-(1+Premissas!$B$15)^(-F400)))-H400)),MIN(E400,E400/F400)),0)</x:f>
        <x:v>380.9523809523811</x:v>
      </x:c>
      <x:c r="H400" s="141" t="n">
        <x:f>IF(AND(E400&gt;0,F400&gt;0),E400*Premissas!$B$15,0)</x:f>
        <x:v>93.98423478063211</x:v>
      </x:c>
      <x:c r="I400" s="141" t="n">
        <x:f>IF(AND(E400&gt;0,F400&gt;0),Premissas!$B$18,0)</x:f>
        <x:v>150</x:v>
      </x:c>
      <x:c r="J400" s="141" t="n">
        <x:f>IF(AND(E400&gt;0,F400&gt;0),IF(Premissas!$B$19="PRICE",IF(Premissas!$B$15=0,E400/F400,E400*Premissas!$B$15/(1-(1+Premissas!$B$15)^(-F400)))+I400,G400+H400+I400),0)</x:f>
        <x:v>624.9366157330132</x:v>
      </x:c>
      <x:c r="K400" s="141" t="n">
        <x:f>H400+I400</x:f>
        <x:v>243.9842347806321</x:v>
      </x:c>
      <x:c r="L400" s="141" t="n">
        <x:f>SUM($J$6:J400)</x:f>
        <x:v>528133.9335781891</x:v>
      </x:c>
      <x:c r="M400" s="141" t="n">
        <x:f>MAX(0,E400-G400)</x:f>
        <x:v>9523.809523809527</x:v>
      </x:c>
    </x:row>
    <x:row r="401">
      <x:c r="A401" s="142" t="n">
        <x:v>396</x:v>
      </x:c>
      <x:c r="B401" s="179" t="n">
        <x:f>EDATE(Premissas!$B$4,395)</x:f>
        <x:v>58562</x:v>
      </x:c>
      <x:c r="C401" s="141" t="n">
        <x:f>M400</x:f>
        <x:v>9523.809523809527</x:v>
      </x:c>
      <x:c r="D401" s="141" t="n">
        <x:f>IF(C401&gt;0,C401*Premissas!$B$17,0)</x:f>
        <x:v>0</x:v>
      </x:c>
      <x:c r="E401" s="141" t="n">
        <x:f>C401+D401</x:f>
        <x:v>9523.809523809527</x:v>
      </x:c>
      <x:c r="F401" s="142" t="n">
        <x:f>MAX(0,Premissas!$B$13-A401+1)</x:f>
        <x:v>25</x:v>
      </x:c>
      <x:c r="G401" s="141" t="n">
        <x:f>IF(AND(E401&gt;0,F401&gt;0),IF(Premissas!$B$19="PRICE",MAX(0,MIN(E401,IF(Premissas!$B$15=0,E401/F401,E401*Premissas!$B$15/(1-(1+Premissas!$B$15)^(-F401)))-H401)),MIN(E401,E401/F401)),0)</x:f>
        <x:v>380.9523809523811</x:v>
      </x:c>
      <x:c r="H401" s="141" t="n">
        <x:f>IF(AND(E401&gt;0,F401&gt;0),E401*Premissas!$B$15,0)</x:f>
        <x:v>90.36945651983855</x:v>
      </x:c>
      <x:c r="I401" s="141" t="n">
        <x:f>IF(AND(E401&gt;0,F401&gt;0),Premissas!$B$18,0)</x:f>
        <x:v>150</x:v>
      </x:c>
      <x:c r="J401" s="141" t="n">
        <x:f>IF(AND(E401&gt;0,F401&gt;0),IF(Premissas!$B$19="PRICE",IF(Premissas!$B$15=0,E401/F401,E401*Premissas!$B$15/(1-(1+Premissas!$B$15)^(-F401)))+I401,G401+H401+I401),0)</x:f>
        <x:v>621.3218374722196</x:v>
      </x:c>
      <x:c r="K401" s="141" t="n">
        <x:f>H401+I401</x:f>
        <x:v>240.36945651983854</x:v>
      </x:c>
      <x:c r="L401" s="141" t="n">
        <x:f>SUM($J$6:J401)</x:f>
        <x:v>528755.2554156614</x:v>
      </x:c>
      <x:c r="M401" s="141" t="n">
        <x:f>MAX(0,E401-G401)</x:f>
        <x:v>9142.857142857145</x:v>
      </x:c>
    </x:row>
    <x:row r="402">
      <x:c r="A402" s="142" t="n">
        <x:v>397</x:v>
      </x:c>
      <x:c r="B402" s="179" t="n">
        <x:f>EDATE(Premissas!$B$4,396)</x:f>
        <x:v>58593</x:v>
      </x:c>
      <x:c r="C402" s="141" t="n">
        <x:f>M401</x:f>
        <x:v>9142.857142857145</x:v>
      </x:c>
      <x:c r="D402" s="141" t="n">
        <x:f>IF(C402&gt;0,C402*Premissas!$B$17,0)</x:f>
        <x:v>0</x:v>
      </x:c>
      <x:c r="E402" s="141" t="n">
        <x:f>C402+D402</x:f>
        <x:v>9142.857142857145</x:v>
      </x:c>
      <x:c r="F402" s="142" t="n">
        <x:f>MAX(0,Premissas!$B$13-A402+1)</x:f>
        <x:v>24</x:v>
      </x:c>
      <x:c r="G402" s="141" t="n">
        <x:f>IF(AND(E402&gt;0,F402&gt;0),IF(Premissas!$B$19="PRICE",MAX(0,MIN(E402,IF(Premissas!$B$15=0,E402/F402,E402*Premissas!$B$15/(1-(1+Premissas!$B$15)^(-F402)))-H402)),MIN(E402,E402/F402)),0)</x:f>
        <x:v>380.952380952381</x:v>
      </x:c>
      <x:c r="H402" s="141" t="n">
        <x:f>IF(AND(E402&gt;0,F402&gt;0),E402*Premissas!$B$15,0)</x:f>
        <x:v>86.75467825904501</x:v>
      </x:c>
      <x:c r="I402" s="141" t="n">
        <x:f>IF(AND(E402&gt;0,F402&gt;0),Premissas!$B$18,0)</x:f>
        <x:v>150</x:v>
      </x:c>
      <x:c r="J402" s="141" t="n">
        <x:f>IF(AND(E402&gt;0,F402&gt;0),IF(Premissas!$B$19="PRICE",IF(Premissas!$B$15=0,E402/F402,E402*Premissas!$B$15/(1-(1+Premissas!$B$15)^(-F402)))+I402,G402+H402+I402),0)</x:f>
        <x:v>617.707059211426</x:v>
      </x:c>
      <x:c r="K402" s="141" t="n">
        <x:f>H402+I402</x:f>
        <x:v>236.75467825904502</x:v>
      </x:c>
      <x:c r="L402" s="141" t="n">
        <x:f>SUM($J$6:J402)</x:f>
        <x:v>529372.9624748728</x:v>
      </x:c>
      <x:c r="M402" s="141" t="n">
        <x:f>MAX(0,E402-G402)</x:f>
        <x:v>8761.904761904763</x:v>
      </x:c>
    </x:row>
    <x:row r="403">
      <x:c r="A403" s="142" t="n">
        <x:v>398</x:v>
      </x:c>
      <x:c r="B403" s="179" t="n">
        <x:f>EDATE(Premissas!$B$4,397)</x:f>
        <x:v>58623</x:v>
      </x:c>
      <x:c r="C403" s="141" t="n">
        <x:f>M402</x:f>
        <x:v>8761.904761904763</x:v>
      </x:c>
      <x:c r="D403" s="141" t="n">
        <x:f>IF(C403&gt;0,C403*Premissas!$B$17,0)</x:f>
        <x:v>0</x:v>
      </x:c>
      <x:c r="E403" s="141" t="n">
        <x:f>C403+D403</x:f>
        <x:v>8761.904761904763</x:v>
      </x:c>
      <x:c r="F403" s="142" t="n">
        <x:f>MAX(0,Premissas!$B$13-A403+1)</x:f>
        <x:v>23</x:v>
      </x:c>
      <x:c r="G403" s="141" t="n">
        <x:f>IF(AND(E403&gt;0,F403&gt;0),IF(Premissas!$B$19="PRICE",MAX(0,MIN(E403,IF(Premissas!$B$15=0,E403/F403,E403*Premissas!$B$15/(1-(1+Premissas!$B$15)^(-F403)))-H403)),MIN(E403,E403/F403)),0)</x:f>
        <x:v>380.952380952381</x:v>
      </x:c>
      <x:c r="H403" s="141" t="n">
        <x:f>IF(AND(E403&gt;0,F403&gt;0),E403*Premissas!$B$15,0)</x:f>
        <x:v>83.13989999825147</x:v>
      </x:c>
      <x:c r="I403" s="141" t="n">
        <x:f>IF(AND(E403&gt;0,F403&gt;0),Premissas!$B$18,0)</x:f>
        <x:v>150</x:v>
      </x:c>
      <x:c r="J403" s="141" t="n">
        <x:f>IF(AND(E403&gt;0,F403&gt;0),IF(Premissas!$B$19="PRICE",IF(Premissas!$B$15=0,E403/F403,E403*Premissas!$B$15/(1-(1+Premissas!$B$15)^(-F403)))+I403,G403+H403+I403),0)</x:f>
        <x:v>614.0922809506325</x:v>
      </x:c>
      <x:c r="K403" s="141" t="n">
        <x:f>H403+I403</x:f>
        <x:v>233.13989999825145</x:v>
      </x:c>
      <x:c r="L403" s="141" t="n">
        <x:f>SUM($J$6:J403)</x:f>
        <x:v>529987.0547558235</x:v>
      </x:c>
      <x:c r="M403" s="141" t="n">
        <x:f>MAX(0,E403-G403)</x:f>
        <x:v>8380.952380952382</x:v>
      </x:c>
    </x:row>
    <x:row r="404">
      <x:c r="A404" s="142" t="n">
        <x:v>399</x:v>
      </x:c>
      <x:c r="B404" s="179" t="n">
        <x:f>EDATE(Premissas!$B$4,398)</x:f>
        <x:v>58654</x:v>
      </x:c>
      <x:c r="C404" s="141" t="n">
        <x:f>M403</x:f>
        <x:v>8380.952380952382</x:v>
      </x:c>
      <x:c r="D404" s="141" t="n">
        <x:f>IF(C404&gt;0,C404*Premissas!$B$17,0)</x:f>
        <x:v>0</x:v>
      </x:c>
      <x:c r="E404" s="141" t="n">
        <x:f>C404+D404</x:f>
        <x:v>8380.952380952382</x:v>
      </x:c>
      <x:c r="F404" s="142" t="n">
        <x:f>MAX(0,Premissas!$B$13-A404+1)</x:f>
        <x:v>22</x:v>
      </x:c>
      <x:c r="G404" s="141" t="n">
        <x:f>IF(AND(E404&gt;0,F404&gt;0),IF(Premissas!$B$19="PRICE",MAX(0,MIN(E404,IF(Premissas!$B$15=0,E404/F404,E404*Premissas!$B$15/(1-(1+Premissas!$B$15)^(-F404)))-H404)),MIN(E404,E404/F404)),0)</x:f>
        <x:v>380.95238095238096</x:v>
      </x:c>
      <x:c r="H404" s="141" t="n">
        <x:f>IF(AND(E404&gt;0,F404&gt;0),E404*Premissas!$B$15,0)</x:f>
        <x:v>79.52512173745791</x:v>
      </x:c>
      <x:c r="I404" s="141" t="n">
        <x:f>IF(AND(E404&gt;0,F404&gt;0),Premissas!$B$18,0)</x:f>
        <x:v>150</x:v>
      </x:c>
      <x:c r="J404" s="141" t="n">
        <x:f>IF(AND(E404&gt;0,F404&gt;0),IF(Premissas!$B$19="PRICE",IF(Premissas!$B$15=0,E404/F404,E404*Premissas!$B$15/(1-(1+Premissas!$B$15)^(-F404)))+I404,G404+H404+I404),0)</x:f>
        <x:v>610.4775026898388</x:v>
      </x:c>
      <x:c r="K404" s="141" t="n">
        <x:f>H404+I404</x:f>
        <x:v>229.5251217374579</x:v>
      </x:c>
      <x:c r="L404" s="141" t="n">
        <x:f>SUM($J$6:J404)</x:f>
        <x:v>530597.5322585133</x:v>
      </x:c>
      <x:c r="M404" s="141" t="n">
        <x:f>MAX(0,E404-G404)</x:f>
        <x:v>8000.000000000001</x:v>
      </x:c>
    </x:row>
    <x:row r="405">
      <x:c r="A405" s="142" t="n">
        <x:v>400</x:v>
      </x:c>
      <x:c r="B405" s="179" t="n">
        <x:f>EDATE(Premissas!$B$4,399)</x:f>
        <x:v>58685</x:v>
      </x:c>
      <x:c r="C405" s="141" t="n">
        <x:f>M404</x:f>
        <x:v>8000.000000000001</x:v>
      </x:c>
      <x:c r="D405" s="141" t="n">
        <x:f>IF(C405&gt;0,C405*Premissas!$B$17,0)</x:f>
        <x:v>0</x:v>
      </x:c>
      <x:c r="E405" s="141" t="n">
        <x:f>C405+D405</x:f>
        <x:v>8000.000000000001</x:v>
      </x:c>
      <x:c r="F405" s="142" t="n">
        <x:f>MAX(0,Premissas!$B$13-A405+1)</x:f>
        <x:v>21</x:v>
      </x:c>
      <x:c r="G405" s="141" t="n">
        <x:f>IF(AND(E405&gt;0,F405&gt;0),IF(Premissas!$B$19="PRICE",MAX(0,MIN(E405,IF(Premissas!$B$15=0,E405/F405,E405*Premissas!$B$15/(1-(1+Premissas!$B$15)^(-F405)))-H405)),MIN(E405,E405/F405)),0)</x:f>
        <x:v>380.952380952381</x:v>
      </x:c>
      <x:c r="H405" s="141" t="n">
        <x:f>IF(AND(E405&gt;0,F405&gt;0),E405*Premissas!$B$15,0)</x:f>
        <x:v>75.91034347666438</x:v>
      </x:c>
      <x:c r="I405" s="141" t="n">
        <x:f>IF(AND(E405&gt;0,F405&gt;0),Premissas!$B$18,0)</x:f>
        <x:v>150</x:v>
      </x:c>
      <x:c r="J405" s="141" t="n">
        <x:f>IF(AND(E405&gt;0,F405&gt;0),IF(Premissas!$B$19="PRICE",IF(Premissas!$B$15=0,E405/F405,E405*Premissas!$B$15/(1-(1+Premissas!$B$15)^(-F405)))+I405,G405+H405+I405),0)</x:f>
        <x:v>606.8627244290453</x:v>
      </x:c>
      <x:c r="K405" s="141" t="n">
        <x:f>H405+I405</x:f>
        <x:v>225.91034347666437</x:v>
      </x:c>
      <x:c r="L405" s="141" t="n">
        <x:f>SUM($J$6:J405)</x:f>
        <x:v>531204.3949829423</x:v>
      </x:c>
      <x:c r="M405" s="141" t="n">
        <x:f>MAX(0,E405-G405)</x:f>
        <x:v>7619.04761904762</x:v>
      </x:c>
    </x:row>
    <x:row r="406">
      <x:c r="A406" s="142" t="n">
        <x:v>401</x:v>
      </x:c>
      <x:c r="B406" s="179" t="n">
        <x:f>EDATE(Premissas!$B$4,400)</x:f>
        <x:v>58715</x:v>
      </x:c>
      <x:c r="C406" s="141" t="n">
        <x:f>M405</x:f>
        <x:v>7619.04761904762</x:v>
      </x:c>
      <x:c r="D406" s="141" t="n">
        <x:f>IF(C406&gt;0,C406*Premissas!$B$17,0)</x:f>
        <x:v>0</x:v>
      </x:c>
      <x:c r="E406" s="141" t="n">
        <x:f>C406+D406</x:f>
        <x:v>7619.04761904762</x:v>
      </x:c>
      <x:c r="F406" s="142" t="n">
        <x:f>MAX(0,Premissas!$B$13-A406+1)</x:f>
        <x:v>20</x:v>
      </x:c>
      <x:c r="G406" s="141" t="n">
        <x:f>IF(AND(E406&gt;0,F406&gt;0),IF(Premissas!$B$19="PRICE",MAX(0,MIN(E406,IF(Premissas!$B$15=0,E406/F406,E406*Premissas!$B$15/(1-(1+Premissas!$B$15)^(-F406)))-H406)),MIN(E406,E406/F406)),0)</x:f>
        <x:v>380.952380952381</x:v>
      </x:c>
      <x:c r="H406" s="141" t="n">
        <x:f>IF(AND(E406&gt;0,F406&gt;0),E406*Premissas!$B$15,0)</x:f>
        <x:v>72.29556521587084</x:v>
      </x:c>
      <x:c r="I406" s="141" t="n">
        <x:f>IF(AND(E406&gt;0,F406&gt;0),Premissas!$B$18,0)</x:f>
        <x:v>150</x:v>
      </x:c>
      <x:c r="J406" s="141" t="n">
        <x:f>IF(AND(E406&gt;0,F406&gt;0),IF(Premissas!$B$19="PRICE",IF(Premissas!$B$15=0,E406/F406,E406*Premissas!$B$15/(1-(1+Premissas!$B$15)^(-F406)))+I406,G406+H406+I406),0)</x:f>
        <x:v>603.2479461682519</x:v>
      </x:c>
      <x:c r="K406" s="141" t="n">
        <x:f>H406+I406</x:f>
        <x:v>222.29556521587085</x:v>
      </x:c>
      <x:c r="L406" s="141" t="n">
        <x:f>SUM($J$6:J406)</x:f>
        <x:v>531807.6429291106</x:v>
      </x:c>
      <x:c r="M406" s="141" t="n">
        <x:f>MAX(0,E406-G406)</x:f>
        <x:v>7238.095238095239</x:v>
      </x:c>
    </x:row>
    <x:row r="407">
      <x:c r="A407" s="142" t="n">
        <x:v>402</x:v>
      </x:c>
      <x:c r="B407" s="179" t="n">
        <x:f>EDATE(Premissas!$B$4,401)</x:f>
        <x:v>58746</x:v>
      </x:c>
      <x:c r="C407" s="141" t="n">
        <x:f>M406</x:f>
        <x:v>7238.095238095239</x:v>
      </x:c>
      <x:c r="D407" s="141" t="n">
        <x:f>IF(C407&gt;0,C407*Premissas!$B$17,0)</x:f>
        <x:v>0</x:v>
      </x:c>
      <x:c r="E407" s="141" t="n">
        <x:f>C407+D407</x:f>
        <x:v>7238.095238095239</x:v>
      </x:c>
      <x:c r="F407" s="142" t="n">
        <x:f>MAX(0,Premissas!$B$13-A407+1)</x:f>
        <x:v>19</x:v>
      </x:c>
      <x:c r="G407" s="141" t="n">
        <x:f>IF(AND(E407&gt;0,F407&gt;0),IF(Premissas!$B$19="PRICE",MAX(0,MIN(E407,IF(Premissas!$B$15=0,E407/F407,E407*Premissas!$B$15/(1-(1+Premissas!$B$15)^(-F407)))-H407)),MIN(E407,E407/F407)),0)</x:f>
        <x:v>380.952380952381</x:v>
      </x:c>
      <x:c r="H407" s="141" t="n">
        <x:f>IF(AND(E407&gt;0,F407&gt;0),E407*Premissas!$B$15,0)</x:f>
        <x:v>68.6807869550773</x:v>
      </x:c>
      <x:c r="I407" s="141" t="n">
        <x:f>IF(AND(E407&gt;0,F407&gt;0),Premissas!$B$18,0)</x:f>
        <x:v>150</x:v>
      </x:c>
      <x:c r="J407" s="141" t="n">
        <x:f>IF(AND(E407&gt;0,F407&gt;0),IF(Premissas!$B$19="PRICE",IF(Premissas!$B$15=0,E407/F407,E407*Premissas!$B$15/(1-(1+Premissas!$B$15)^(-F407)))+I407,G407+H407+I407),0)</x:f>
        <x:v>599.6331679074583</x:v>
      </x:c>
      <x:c r="K407" s="141" t="n">
        <x:f>H407+I407</x:f>
        <x:v>218.68078695507728</x:v>
      </x:c>
      <x:c r="L407" s="141" t="n">
        <x:f>SUM($J$6:J407)</x:f>
        <x:v>532407.276097018</x:v>
      </x:c>
      <x:c r="M407" s="141" t="n">
        <x:f>MAX(0,E407-G407)</x:f>
        <x:v>6857.142857142859</x:v>
      </x:c>
    </x:row>
    <x:row r="408">
      <x:c r="A408" s="142" t="n">
        <x:v>403</x:v>
      </x:c>
      <x:c r="B408" s="179" t="n">
        <x:f>EDATE(Premissas!$B$4,402)</x:f>
        <x:v>58776</x:v>
      </x:c>
      <x:c r="C408" s="141" t="n">
        <x:f>M407</x:f>
        <x:v>6857.142857142859</x:v>
      </x:c>
      <x:c r="D408" s="141" t="n">
        <x:f>IF(C408&gt;0,C408*Premissas!$B$17,0)</x:f>
        <x:v>0</x:v>
      </x:c>
      <x:c r="E408" s="141" t="n">
        <x:f>C408+D408</x:f>
        <x:v>6857.142857142859</x:v>
      </x:c>
      <x:c r="F408" s="142" t="n">
        <x:f>MAX(0,Premissas!$B$13-A408+1)</x:f>
        <x:v>18</x:v>
      </x:c>
      <x:c r="G408" s="141" t="n">
        <x:f>IF(AND(E408&gt;0,F408&gt;0),IF(Premissas!$B$19="PRICE",MAX(0,MIN(E408,IF(Premissas!$B$15=0,E408/F408,E408*Premissas!$B$15/(1-(1+Premissas!$B$15)^(-F408)))-H408)),MIN(E408,E408/F408)),0)</x:f>
        <x:v>380.952380952381</x:v>
      </x:c>
      <x:c r="H408" s="141" t="n">
        <x:f>IF(AND(E408&gt;0,F408&gt;0),E408*Premissas!$B$15,0)</x:f>
        <x:v>65.06600869428375</x:v>
      </x:c>
      <x:c r="I408" s="141" t="n">
        <x:f>IF(AND(E408&gt;0,F408&gt;0),Premissas!$B$18,0)</x:f>
        <x:v>150</x:v>
      </x:c>
      <x:c r="J408" s="141" t="n">
        <x:f>IF(AND(E408&gt;0,F408&gt;0),IF(Premissas!$B$19="PRICE",IF(Premissas!$B$15=0,E408/F408,E408*Premissas!$B$15/(1-(1+Premissas!$B$15)^(-F408)))+I408,G408+H408+I408),0)</x:f>
        <x:v>596.0183896466648</x:v>
      </x:c>
      <x:c r="K408" s="141" t="n">
        <x:f>H408+I408</x:f>
        <x:v>215.06600869428377</x:v>
      </x:c>
      <x:c r="L408" s="141" t="n">
        <x:f>SUM($J$6:J408)</x:f>
        <x:v>533003.2944866647</x:v>
      </x:c>
      <x:c r="M408" s="141" t="n">
        <x:f>MAX(0,E408-G408)</x:f>
        <x:v>6476.190476190478</x:v>
      </x:c>
    </x:row>
    <x:row r="409">
      <x:c r="A409" s="142" t="n">
        <x:v>404</x:v>
      </x:c>
      <x:c r="B409" s="179" t="n">
        <x:f>EDATE(Premissas!$B$4,403)</x:f>
        <x:v>58807</x:v>
      </x:c>
      <x:c r="C409" s="141" t="n">
        <x:f>M408</x:f>
        <x:v>6476.190476190478</x:v>
      </x:c>
      <x:c r="D409" s="141" t="n">
        <x:f>IF(C409&gt;0,C409*Premissas!$B$17,0)</x:f>
        <x:v>0</x:v>
      </x:c>
      <x:c r="E409" s="141" t="n">
        <x:f>C409+D409</x:f>
        <x:v>6476.190476190478</x:v>
      </x:c>
      <x:c r="F409" s="142" t="n">
        <x:f>MAX(0,Premissas!$B$13-A409+1)</x:f>
        <x:v>17</x:v>
      </x:c>
      <x:c r="G409" s="141" t="n">
        <x:f>IF(AND(E409&gt;0,F409&gt;0),IF(Premissas!$B$19="PRICE",MAX(0,MIN(E409,IF(Premissas!$B$15=0,E409/F409,E409*Premissas!$B$15/(1-(1+Premissas!$B$15)^(-F409)))-H409)),MIN(E409,E409/F409)),0)</x:f>
        <x:v>380.9523809523811</x:v>
      </x:c>
      <x:c r="H409" s="141" t="n">
        <x:f>IF(AND(E409&gt;0,F409&gt;0),E409*Premissas!$B$15,0)</x:f>
        <x:v>61.45123043349022</x:v>
      </x:c>
      <x:c r="I409" s="141" t="n">
        <x:f>IF(AND(E409&gt;0,F409&gt;0),Premissas!$B$18,0)</x:f>
        <x:v>150</x:v>
      </x:c>
      <x:c r="J409" s="141" t="n">
        <x:f>IF(AND(E409&gt;0,F409&gt;0),IF(Premissas!$B$19="PRICE",IF(Premissas!$B$15=0,E409/F409,E409*Premissas!$B$15/(1-(1+Premissas!$B$15)^(-F409)))+I409,G409+H409+I409),0)</x:f>
        <x:v>592.4036113858713</x:v>
      </x:c>
      <x:c r="K409" s="141" t="n">
        <x:f>H409+I409</x:f>
        <x:v>211.45123043349022</x:v>
      </x:c>
      <x:c r="L409" s="141" t="n">
        <x:f>SUM($J$6:J409)</x:f>
        <x:v>533595.6980980505</x:v>
      </x:c>
      <x:c r="M409" s="141" t="n">
        <x:f>MAX(0,E409-G409)</x:f>
        <x:v>6095.238095238097</x:v>
      </x:c>
    </x:row>
    <x:row r="410">
      <x:c r="A410" s="142" t="n">
        <x:v>405</x:v>
      </x:c>
      <x:c r="B410" s="179" t="n">
        <x:f>EDATE(Premissas!$B$4,404)</x:f>
        <x:v>58838</x:v>
      </x:c>
      <x:c r="C410" s="141" t="n">
        <x:f>M409</x:f>
        <x:v>6095.238095238097</x:v>
      </x:c>
      <x:c r="D410" s="141" t="n">
        <x:f>IF(C410&gt;0,C410*Premissas!$B$17,0)</x:f>
        <x:v>0</x:v>
      </x:c>
      <x:c r="E410" s="141" t="n">
        <x:f>C410+D410</x:f>
        <x:v>6095.238095238097</x:v>
      </x:c>
      <x:c r="F410" s="142" t="n">
        <x:f>MAX(0,Premissas!$B$13-A410+1)</x:f>
        <x:v>16</x:v>
      </x:c>
      <x:c r="G410" s="141" t="n">
        <x:f>IF(AND(E410&gt;0,F410&gt;0),IF(Premissas!$B$19="PRICE",MAX(0,MIN(E410,IF(Premissas!$B$15=0,E410/F410,E410*Premissas!$B$15/(1-(1+Premissas!$B$15)^(-F410)))-H410)),MIN(E410,E410/F410)),0)</x:f>
        <x:v>380.9523809523811</x:v>
      </x:c>
      <x:c r="H410" s="141" t="n">
        <x:f>IF(AND(E410&gt;0,F410&gt;0),E410*Premissas!$B$15,0)</x:f>
        <x:v>57.83645217269668</x:v>
      </x:c>
      <x:c r="I410" s="141" t="n">
        <x:f>IF(AND(E410&gt;0,F410&gt;0),Premissas!$B$18,0)</x:f>
        <x:v>150</x:v>
      </x:c>
      <x:c r="J410" s="141" t="n">
        <x:f>IF(AND(E410&gt;0,F410&gt;0),IF(Premissas!$B$19="PRICE",IF(Premissas!$B$15=0,E410/F410,E410*Premissas!$B$15/(1-(1+Premissas!$B$15)^(-F410)))+I410,G410+H410+I410),0)</x:f>
        <x:v>588.7888331250778</x:v>
      </x:c>
      <x:c r="K410" s="141" t="n">
        <x:f>H410+I410</x:f>
        <x:v>207.83645217269668</x:v>
      </x:c>
      <x:c r="L410" s="141" t="n">
        <x:f>SUM($J$6:J410)</x:f>
        <x:v>534184.4869311756</x:v>
      </x:c>
      <x:c r="M410" s="141" t="n">
        <x:f>MAX(0,E410-G410)</x:f>
        <x:v>5714.2857142857165</x:v>
      </x:c>
    </x:row>
    <x:row r="411">
      <x:c r="A411" s="142" t="n">
        <x:v>406</x:v>
      </x:c>
      <x:c r="B411" s="179" t="n">
        <x:f>EDATE(Premissas!$B$4,405)</x:f>
        <x:v>58866</x:v>
      </x:c>
      <x:c r="C411" s="141" t="n">
        <x:f>M410</x:f>
        <x:v>5714.2857142857165</x:v>
      </x:c>
      <x:c r="D411" s="141" t="n">
        <x:f>IF(C411&gt;0,C411*Premissas!$B$17,0)</x:f>
        <x:v>0</x:v>
      </x:c>
      <x:c r="E411" s="141" t="n">
        <x:f>C411+D411</x:f>
        <x:v>5714.2857142857165</x:v>
      </x:c>
      <x:c r="F411" s="142" t="n">
        <x:f>MAX(0,Premissas!$B$13-A411+1)</x:f>
        <x:v>15</x:v>
      </x:c>
      <x:c r="G411" s="141" t="n">
        <x:f>IF(AND(E411&gt;0,F411&gt;0),IF(Premissas!$B$19="PRICE",MAX(0,MIN(E411,IF(Premissas!$B$15=0,E411/F411,E411*Premissas!$B$15/(1-(1+Premissas!$B$15)^(-F411)))-H411)),MIN(E411,E411/F411)),0)</x:f>
        <x:v>380.9523809523811</x:v>
      </x:c>
      <x:c r="H411" s="141" t="n">
        <x:f>IF(AND(E411&gt;0,F411&gt;0),E411*Premissas!$B$15,0)</x:f>
        <x:v>54.22167391190314</x:v>
      </x:c>
      <x:c r="I411" s="141" t="n">
        <x:f>IF(AND(E411&gt;0,F411&gt;0),Premissas!$B$18,0)</x:f>
        <x:v>150</x:v>
      </x:c>
      <x:c r="J411" s="141" t="n">
        <x:f>IF(AND(E411&gt;0,F411&gt;0),IF(Premissas!$B$19="PRICE",IF(Premissas!$B$15=0,E411/F411,E411*Premissas!$B$15/(1-(1+Premissas!$B$15)^(-F411)))+I411,G411+H411+I411),0)</x:f>
        <x:v>585.1740548642842</x:v>
      </x:c>
      <x:c r="K411" s="141" t="n">
        <x:f>H411+I411</x:f>
        <x:v>204.22167391190314</x:v>
      </x:c>
      <x:c r="L411" s="141" t="n">
        <x:f>SUM($J$6:J411)</x:f>
        <x:v>534769.6609860399</x:v>
      </x:c>
      <x:c r="M411" s="141" t="n">
        <x:f>MAX(0,E411-G411)</x:f>
        <x:v>5333.333333333336</x:v>
      </x:c>
    </x:row>
    <x:row r="412">
      <x:c r="A412" s="142" t="n">
        <x:v>407</x:v>
      </x:c>
      <x:c r="B412" s="179" t="n">
        <x:f>EDATE(Premissas!$B$4,406)</x:f>
        <x:v>58897</x:v>
      </x:c>
      <x:c r="C412" s="141" t="n">
        <x:f>M411</x:f>
        <x:v>5333.333333333336</x:v>
      </x:c>
      <x:c r="D412" s="141" t="n">
        <x:f>IF(C412&gt;0,C412*Premissas!$B$17,0)</x:f>
        <x:v>0</x:v>
      </x:c>
      <x:c r="E412" s="141" t="n">
        <x:f>C412+D412</x:f>
        <x:v>5333.333333333336</x:v>
      </x:c>
      <x:c r="F412" s="142" t="n">
        <x:f>MAX(0,Premissas!$B$13-A412+1)</x:f>
        <x:v>14</x:v>
      </x:c>
      <x:c r="G412" s="141" t="n">
        <x:f>IF(AND(E412&gt;0,F412&gt;0),IF(Premissas!$B$19="PRICE",MAX(0,MIN(E412,IF(Premissas!$B$15=0,E412/F412,E412*Premissas!$B$15/(1-(1+Premissas!$B$15)^(-F412)))-H412)),MIN(E412,E412/F412)),0)</x:f>
        <x:v>380.95238095238113</x:v>
      </x:c>
      <x:c r="H412" s="141" t="n">
        <x:f>IF(AND(E412&gt;0,F412&gt;0),E412*Premissas!$B$15,0)</x:f>
        <x:v>50.6068956511096</x:v>
      </x:c>
      <x:c r="I412" s="141" t="n">
        <x:f>IF(AND(E412&gt;0,F412&gt;0),Premissas!$B$18,0)</x:f>
        <x:v>150</x:v>
      </x:c>
      <x:c r="J412" s="141" t="n">
        <x:f>IF(AND(E412&gt;0,F412&gt;0),IF(Premissas!$B$19="PRICE",IF(Premissas!$B$15=0,E412/F412,E412*Premissas!$B$15/(1-(1+Premissas!$B$15)^(-F412)))+I412,G412+H412+I412),0)</x:f>
        <x:v>581.5592766034907</x:v>
      </x:c>
      <x:c r="K412" s="141" t="n">
        <x:f>H412+I412</x:f>
        <x:v>200.6068956511096</x:v>
      </x:c>
      <x:c r="L412" s="141" t="n">
        <x:f>SUM($J$6:J412)</x:f>
        <x:v>535351.2202626434</x:v>
      </x:c>
      <x:c r="M412" s="141" t="n">
        <x:f>MAX(0,E412-G412)</x:f>
        <x:v>4952.380952380955</x:v>
      </x:c>
    </x:row>
    <x:row r="413">
      <x:c r="A413" s="142" t="n">
        <x:v>408</x:v>
      </x:c>
      <x:c r="B413" s="179" t="n">
        <x:f>EDATE(Premissas!$B$4,407)</x:f>
        <x:v>58927</x:v>
      </x:c>
      <x:c r="C413" s="141" t="n">
        <x:f>M412</x:f>
        <x:v>4952.380952380955</x:v>
      </x:c>
      <x:c r="D413" s="141" t="n">
        <x:f>IF(C413&gt;0,C413*Premissas!$B$17,0)</x:f>
        <x:v>0</x:v>
      </x:c>
      <x:c r="E413" s="141" t="n">
        <x:f>C413+D413</x:f>
        <x:v>4952.380952380955</x:v>
      </x:c>
      <x:c r="F413" s="142" t="n">
        <x:f>MAX(0,Premissas!$B$13-A413+1)</x:f>
        <x:v>13</x:v>
      </x:c>
      <x:c r="G413" s="141" t="n">
        <x:f>IF(AND(E413&gt;0,F413&gt;0),IF(Premissas!$B$19="PRICE",MAX(0,MIN(E413,IF(Premissas!$B$15=0,E413/F413,E413*Premissas!$B$15/(1-(1+Premissas!$B$15)^(-F413)))-H413)),MIN(E413,E413/F413)),0)</x:f>
        <x:v>380.95238095238113</x:v>
      </x:c>
      <x:c r="H413" s="141" t="n">
        <x:f>IF(AND(E413&gt;0,F413&gt;0),E413*Premissas!$B$15,0)</x:f>
        <x:v>46.99211739031606</x:v>
      </x:c>
      <x:c r="I413" s="141" t="n">
        <x:f>IF(AND(E413&gt;0,F413&gt;0),Premissas!$B$18,0)</x:f>
        <x:v>150</x:v>
      </x:c>
      <x:c r="J413" s="141" t="n">
        <x:f>IF(AND(E413&gt;0,F413&gt;0),IF(Premissas!$B$19="PRICE",IF(Premissas!$B$15=0,E413/F413,E413*Premissas!$B$15/(1-(1+Premissas!$B$15)^(-F413)))+I413,G413+H413+I413),0)</x:f>
        <x:v>577.9444983426972</x:v>
      </x:c>
      <x:c r="K413" s="141" t="n">
        <x:f>H413+I413</x:f>
        <x:v>196.99211739031605</x:v>
      </x:c>
      <x:c r="L413" s="141" t="n">
        <x:f>SUM($J$6:J413)</x:f>
        <x:v>535929.1647609861</x:v>
      </x:c>
      <x:c r="M413" s="141" t="n">
        <x:f>MAX(0,E413-G413)</x:f>
        <x:v>4571.428571428574</x:v>
      </x:c>
    </x:row>
    <x:row r="414">
      <x:c r="A414" s="142" t="n">
        <x:v>409</x:v>
      </x:c>
      <x:c r="B414" s="179" t="n">
        <x:f>EDATE(Premissas!$B$4,408)</x:f>
        <x:v>58958</x:v>
      </x:c>
      <x:c r="C414" s="141" t="n">
        <x:f>M413</x:f>
        <x:v>4571.428571428574</x:v>
      </x:c>
      <x:c r="D414" s="141" t="n">
        <x:f>IF(C414&gt;0,C414*Premissas!$B$17,0)</x:f>
        <x:v>0</x:v>
      </x:c>
      <x:c r="E414" s="141" t="n">
        <x:f>C414+D414</x:f>
        <x:v>4571.428571428574</x:v>
      </x:c>
      <x:c r="F414" s="142" t="n">
        <x:f>MAX(0,Premissas!$B$13-A414+1)</x:f>
        <x:v>12</x:v>
      </x:c>
      <x:c r="G414" s="141" t="n">
        <x:f>IF(AND(E414&gt;0,F414&gt;0),IF(Premissas!$B$19="PRICE",MAX(0,MIN(E414,IF(Premissas!$B$15=0,E414/F414,E414*Premissas!$B$15/(1-(1+Premissas!$B$15)^(-F414)))-H414)),MIN(E414,E414/F414)),0)</x:f>
        <x:v>380.9523809523812</x:v>
      </x:c>
      <x:c r="H414" s="141" t="n">
        <x:f>IF(AND(E414&gt;0,F414&gt;0),E414*Premissas!$B$15,0)</x:f>
        <x:v>43.377339129522525</x:v>
      </x:c>
      <x:c r="I414" s="141" t="n">
        <x:f>IF(AND(E414&gt;0,F414&gt;0),Premissas!$B$18,0)</x:f>
        <x:v>150</x:v>
      </x:c>
      <x:c r="J414" s="141" t="n">
        <x:f>IF(AND(E414&gt;0,F414&gt;0),IF(Premissas!$B$19="PRICE",IF(Premissas!$B$15=0,E414/F414,E414*Premissas!$B$15/(1-(1+Premissas!$B$15)^(-F414)))+I414,G414+H414+I414),0)</x:f>
        <x:v>574.3297200819037</x:v>
      </x:c>
      <x:c r="K414" s="141" t="n">
        <x:f>H414+I414</x:f>
        <x:v>193.3773391295225</x:v>
      </x:c>
      <x:c r="L414" s="141" t="n">
        <x:f>SUM($J$6:J414)</x:f>
        <x:v>536503.494481068</x:v>
      </x:c>
      <x:c r="M414" s="141" t="n">
        <x:f>MAX(0,E414-G414)</x:f>
        <x:v>4190.476190476193</x:v>
      </x:c>
    </x:row>
    <x:row r="415">
      <x:c r="A415" s="142" t="n">
        <x:v>410</x:v>
      </x:c>
      <x:c r="B415" s="179" t="n">
        <x:f>EDATE(Premissas!$B$4,409)</x:f>
        <x:v>58988</x:v>
      </x:c>
      <x:c r="C415" s="141" t="n">
        <x:f>M414</x:f>
        <x:v>4190.476190476193</x:v>
      </x:c>
      <x:c r="D415" s="141" t="n">
        <x:f>IF(C415&gt;0,C415*Premissas!$B$17,0)</x:f>
        <x:v>0</x:v>
      </x:c>
      <x:c r="E415" s="141" t="n">
        <x:f>C415+D415</x:f>
        <x:v>4190.476190476193</x:v>
      </x:c>
      <x:c r="F415" s="142" t="n">
        <x:f>MAX(0,Premissas!$B$13-A415+1)</x:f>
        <x:v>11</x:v>
      </x:c>
      <x:c r="G415" s="141" t="n">
        <x:f>IF(AND(E415&gt;0,F415&gt;0),IF(Premissas!$B$19="PRICE",MAX(0,MIN(E415,IF(Premissas!$B$15=0,E415/F415,E415*Premissas!$B$15/(1-(1+Premissas!$B$15)^(-F415)))-H415)),MIN(E415,E415/F415)),0)</x:f>
        <x:v>380.95238095238113</x:v>
      </x:c>
      <x:c r="H415" s="141" t="n">
        <x:f>IF(AND(E415&gt;0,F415&gt;0),E415*Premissas!$B$15,0)</x:f>
        <x:v>39.762560868728976</x:v>
      </x:c>
      <x:c r="I415" s="141" t="n">
        <x:f>IF(AND(E415&gt;0,F415&gt;0),Premissas!$B$18,0)</x:f>
        <x:v>150</x:v>
      </x:c>
      <x:c r="J415" s="141" t="n">
        <x:f>IF(AND(E415&gt;0,F415&gt;0),IF(Premissas!$B$19="PRICE",IF(Premissas!$B$15=0,E415/F415,E415*Premissas!$B$15/(1-(1+Premissas!$B$15)^(-F415)))+I415,G415+H415+I415),0)</x:f>
        <x:v>570.7149418211102</x:v>
      </x:c>
      <x:c r="K415" s="141" t="n">
        <x:f>H415+I415</x:f>
        <x:v>189.76256086872897</x:v>
      </x:c>
      <x:c r="L415" s="141" t="n">
        <x:f>SUM($J$6:J415)</x:f>
        <x:v>537074.209422889</x:v>
      </x:c>
      <x:c r="M415" s="141" t="n">
        <x:f>MAX(0,E415-G415)</x:f>
        <x:v>3809.5238095238115</x:v>
      </x:c>
    </x:row>
    <x:row r="416">
      <x:c r="A416" s="142" t="n">
        <x:v>411</x:v>
      </x:c>
      <x:c r="B416" s="179" t="n">
        <x:f>EDATE(Premissas!$B$4,410)</x:f>
        <x:v>59019</x:v>
      </x:c>
      <x:c r="C416" s="141" t="n">
        <x:f>M415</x:f>
        <x:v>3809.5238095238115</x:v>
      </x:c>
      <x:c r="D416" s="141" t="n">
        <x:f>IF(C416&gt;0,C416*Premissas!$B$17,0)</x:f>
        <x:v>0</x:v>
      </x:c>
      <x:c r="E416" s="141" t="n">
        <x:f>C416+D416</x:f>
        <x:v>3809.5238095238115</x:v>
      </x:c>
      <x:c r="F416" s="142" t="n">
        <x:f>MAX(0,Premissas!$B$13-A416+1)</x:f>
        <x:v>10</x:v>
      </x:c>
      <x:c r="G416" s="141" t="n">
        <x:f>IF(AND(E416&gt;0,F416&gt;0),IF(Premissas!$B$19="PRICE",MAX(0,MIN(E416,IF(Premissas!$B$15=0,E416/F416,E416*Premissas!$B$15/(1-(1+Premissas!$B$15)^(-F416)))-H416)),MIN(E416,E416/F416)),0)</x:f>
        <x:v>380.95238095238113</x:v>
      </x:c>
      <x:c r="H416" s="141" t="n">
        <x:f>IF(AND(E416&gt;0,F416&gt;0),E416*Premissas!$B$15,0)</x:f>
        <x:v>36.14778260793543</x:v>
      </x:c>
      <x:c r="I416" s="141" t="n">
        <x:f>IF(AND(E416&gt;0,F416&gt;0),Premissas!$B$18,0)</x:f>
        <x:v>150</x:v>
      </x:c>
      <x:c r="J416" s="141" t="n">
        <x:f>IF(AND(E416&gt;0,F416&gt;0),IF(Premissas!$B$19="PRICE",IF(Premissas!$B$15=0,E416/F416,E416*Premissas!$B$15/(1-(1+Premissas!$B$15)^(-F416)))+I416,G416+H416+I416),0)</x:f>
        <x:v>567.1001635603166</x:v>
      </x:c>
      <x:c r="K416" s="141" t="n">
        <x:f>H416+I416</x:f>
        <x:v>186.14778260793543</x:v>
      </x:c>
      <x:c r="L416" s="141" t="n">
        <x:f>SUM($J$6:J416)</x:f>
        <x:v>537641.3095864494</x:v>
      </x:c>
      <x:c r="M416" s="141" t="n">
        <x:f>MAX(0,E416-G416)</x:f>
        <x:v>3428.5714285714303</x:v>
      </x:c>
    </x:row>
    <x:row r="417">
      <x:c r="A417" s="142" t="n">
        <x:v>412</x:v>
      </x:c>
      <x:c r="B417" s="179" t="n">
        <x:f>EDATE(Premissas!$B$4,411)</x:f>
        <x:v>59050</x:v>
      </x:c>
      <x:c r="C417" s="141" t="n">
        <x:f>M416</x:f>
        <x:v>3428.5714285714303</x:v>
      </x:c>
      <x:c r="D417" s="141" t="n">
        <x:f>IF(C417&gt;0,C417*Premissas!$B$17,0)</x:f>
        <x:v>0</x:v>
      </x:c>
      <x:c r="E417" s="141" t="n">
        <x:f>C417+D417</x:f>
        <x:v>3428.5714285714303</x:v>
      </x:c>
      <x:c r="F417" s="142" t="n">
        <x:f>MAX(0,Premissas!$B$13-A417+1)</x:f>
        <x:v>9</x:v>
      </x:c>
      <x:c r="G417" s="141" t="n">
        <x:f>IF(AND(E417&gt;0,F417&gt;0),IF(Premissas!$B$19="PRICE",MAX(0,MIN(E417,IF(Premissas!$B$15=0,E417/F417,E417*Premissas!$B$15/(1-(1+Premissas!$B$15)^(-F417)))-H417)),MIN(E417,E417/F417)),0)</x:f>
        <x:v>380.95238095238113</x:v>
      </x:c>
      <x:c r="H417" s="141" t="n">
        <x:f>IF(AND(E417&gt;0,F417&gt;0),E417*Premissas!$B$15,0)</x:f>
        <x:v>32.53300434714189</x:v>
      </x:c>
      <x:c r="I417" s="141" t="n">
        <x:f>IF(AND(E417&gt;0,F417&gt;0),Premissas!$B$18,0)</x:f>
        <x:v>150</x:v>
      </x:c>
      <x:c r="J417" s="141" t="n">
        <x:f>IF(AND(E417&gt;0,F417&gt;0),IF(Premissas!$B$19="PRICE",IF(Premissas!$B$15=0,E417/F417,E417*Premissas!$B$15/(1-(1+Premissas!$B$15)^(-F417)))+I417,G417+H417+I417),0)</x:f>
        <x:v>563.485385299523</x:v>
      </x:c>
      <x:c r="K417" s="141" t="n">
        <x:f>H417+I417</x:f>
        <x:v>182.53300434714188</x:v>
      </x:c>
      <x:c r="L417" s="141" t="n">
        <x:f>SUM($J$6:J417)</x:f>
        <x:v>538204.794971749</x:v>
      </x:c>
      <x:c r="M417" s="141" t="n">
        <x:f>MAX(0,E417-G417)</x:f>
        <x:v>3047.619047619049</x:v>
      </x:c>
    </x:row>
    <x:row r="418">
      <x:c r="A418" s="142" t="n">
        <x:v>413</x:v>
      </x:c>
      <x:c r="B418" s="179" t="n">
        <x:f>EDATE(Premissas!$B$4,412)</x:f>
        <x:v>59080</x:v>
      </x:c>
      <x:c r="C418" s="141" t="n">
        <x:f>M417</x:f>
        <x:v>3047.619047619049</x:v>
      </x:c>
      <x:c r="D418" s="141" t="n">
        <x:f>IF(C418&gt;0,C418*Premissas!$B$17,0)</x:f>
        <x:v>0</x:v>
      </x:c>
      <x:c r="E418" s="141" t="n">
        <x:f>C418+D418</x:f>
        <x:v>3047.619047619049</x:v>
      </x:c>
      <x:c r="F418" s="142" t="n">
        <x:f>MAX(0,Premissas!$B$13-A418+1)</x:f>
        <x:v>8</x:v>
      </x:c>
      <x:c r="G418" s="141" t="n">
        <x:f>IF(AND(E418&gt;0,F418&gt;0),IF(Premissas!$B$19="PRICE",MAX(0,MIN(E418,IF(Premissas!$B$15=0,E418/F418,E418*Premissas!$B$15/(1-(1+Premissas!$B$15)^(-F418)))-H418)),MIN(E418,E418/F418)),0)</x:f>
        <x:v>380.95238095238113</x:v>
      </x:c>
      <x:c r="H418" s="141" t="n">
        <x:f>IF(AND(E418&gt;0,F418&gt;0),E418*Premissas!$B$15,0)</x:f>
        <x:v>28.918226086348344</x:v>
      </x:c>
      <x:c r="I418" s="141" t="n">
        <x:f>IF(AND(E418&gt;0,F418&gt;0),Premissas!$B$18,0)</x:f>
        <x:v>150</x:v>
      </x:c>
      <x:c r="J418" s="141" t="n">
        <x:f>IF(AND(E418&gt;0,F418&gt;0),IF(Premissas!$B$19="PRICE",IF(Premissas!$B$15=0,E418/F418,E418*Premissas!$B$15/(1-(1+Premissas!$B$15)^(-F418)))+I418,G418+H418+I418),0)</x:f>
        <x:v>559.8706070387295</x:v>
      </x:c>
      <x:c r="K418" s="141" t="n">
        <x:f>H418+I418</x:f>
        <x:v>178.91822608634834</x:v>
      </x:c>
      <x:c r="L418" s="141" t="n">
        <x:f>SUM($J$6:J418)</x:f>
        <x:v>538764.6655787877</x:v>
      </x:c>
      <x:c r="M418" s="141" t="n">
        <x:f>MAX(0,E418-G418)</x:f>
        <x:v>2666.666666666668</x:v>
      </x:c>
    </x:row>
    <x:row r="419">
      <x:c r="A419" s="142" t="n">
        <x:v>414</x:v>
      </x:c>
      <x:c r="B419" s="179" t="n">
        <x:f>EDATE(Premissas!$B$4,413)</x:f>
        <x:v>59111</x:v>
      </x:c>
      <x:c r="C419" s="141" t="n">
        <x:f>M418</x:f>
        <x:v>2666.666666666668</x:v>
      </x:c>
      <x:c r="D419" s="141" t="n">
        <x:f>IF(C419&gt;0,C419*Premissas!$B$17,0)</x:f>
        <x:v>0</x:v>
      </x:c>
      <x:c r="E419" s="141" t="n">
        <x:f>C419+D419</x:f>
        <x:v>2666.666666666668</x:v>
      </x:c>
      <x:c r="F419" s="142" t="n">
        <x:f>MAX(0,Premissas!$B$13-A419+1)</x:f>
        <x:v>7</x:v>
      </x:c>
      <x:c r="G419" s="141" t="n">
        <x:f>IF(AND(E419&gt;0,F419&gt;0),IF(Premissas!$B$19="PRICE",MAX(0,MIN(E419,IF(Premissas!$B$15=0,E419/F419,E419*Premissas!$B$15/(1-(1+Premissas!$B$15)^(-F419)))-H419)),MIN(E419,E419/F419)),0)</x:f>
        <x:v>380.95238095238113</x:v>
      </x:c>
      <x:c r="H419" s="141" t="n">
        <x:f>IF(AND(E419&gt;0,F419&gt;0),E419*Premissas!$B$15,0)</x:f>
        <x:v>25.3034478255548</x:v>
      </x:c>
      <x:c r="I419" s="141" t="n">
        <x:f>IF(AND(E419&gt;0,F419&gt;0),Premissas!$B$18,0)</x:f>
        <x:v>150</x:v>
      </x:c>
      <x:c r="J419" s="141" t="n">
        <x:f>IF(AND(E419&gt;0,F419&gt;0),IF(Premissas!$B$19="PRICE",IF(Premissas!$B$15=0,E419/F419,E419*Premissas!$B$15/(1-(1+Premissas!$B$15)^(-F419)))+I419,G419+H419+I419),0)</x:f>
        <x:v>556.2558287779359</x:v>
      </x:c>
      <x:c r="K419" s="141" t="n">
        <x:f>H419+I419</x:f>
        <x:v>175.3034478255548</x:v>
      </x:c>
      <x:c r="L419" s="141" t="n">
        <x:f>SUM($J$6:J419)</x:f>
        <x:v>539320.9214075656</x:v>
      </x:c>
      <x:c r="M419" s="141" t="n">
        <x:f>MAX(0,E419-G419)</x:f>
        <x:v>2285.7142857142867</x:v>
      </x:c>
    </x:row>
    <x:row r="420">
      <x:c r="A420" s="142" t="n">
        <x:v>415</x:v>
      </x:c>
      <x:c r="B420" s="179" t="n">
        <x:f>EDATE(Premissas!$B$4,414)</x:f>
        <x:v>59141</x:v>
      </x:c>
      <x:c r="C420" s="141" t="n">
        <x:f>M419</x:f>
        <x:v>2285.7142857142867</x:v>
      </x:c>
      <x:c r="D420" s="141" t="n">
        <x:f>IF(C420&gt;0,C420*Premissas!$B$17,0)</x:f>
        <x:v>0</x:v>
      </x:c>
      <x:c r="E420" s="141" t="n">
        <x:f>C420+D420</x:f>
        <x:v>2285.7142857142867</x:v>
      </x:c>
      <x:c r="F420" s="142" t="n">
        <x:f>MAX(0,Premissas!$B$13-A420+1)</x:f>
        <x:v>6</x:v>
      </x:c>
      <x:c r="G420" s="141" t="n">
        <x:f>IF(AND(E420&gt;0,F420&gt;0),IF(Premissas!$B$19="PRICE",MAX(0,MIN(E420,IF(Premissas!$B$15=0,E420/F420,E420*Premissas!$B$15/(1-(1+Premissas!$B$15)^(-F420)))-H420)),MIN(E420,E420/F420)),0)</x:f>
        <x:v>380.95238095238113</x:v>
      </x:c>
      <x:c r="H420" s="141" t="n">
        <x:f>IF(AND(E420&gt;0,F420&gt;0),E420*Premissas!$B$15,0)</x:f>
        <x:v>21.688669564761256</x:v>
      </x:c>
      <x:c r="I420" s="141" t="n">
        <x:f>IF(AND(E420&gt;0,F420&gt;0),Premissas!$B$18,0)</x:f>
        <x:v>150</x:v>
      </x:c>
      <x:c r="J420" s="141" t="n">
        <x:f>IF(AND(E420&gt;0,F420&gt;0),IF(Premissas!$B$19="PRICE",IF(Premissas!$B$15=0,E420/F420,E420*Premissas!$B$15/(1-(1+Premissas!$B$15)^(-F420)))+I420,G420+H420+I420),0)</x:f>
        <x:v>552.6410505171424</x:v>
      </x:c>
      <x:c r="K420" s="141" t="n">
        <x:f>H420+I420</x:f>
        <x:v>171.68866956476126</x:v>
      </x:c>
      <x:c r="L420" s="141" t="n">
        <x:f>SUM($J$6:J420)</x:f>
        <x:v>539873.5624580827</x:v>
      </x:c>
      <x:c r="M420" s="141" t="n">
        <x:f>MAX(0,E420-G420)</x:f>
        <x:v>1904.7619047619055</x:v>
      </x:c>
    </x:row>
    <x:row r="421">
      <x:c r="A421" s="142" t="n">
        <x:v>416</x:v>
      </x:c>
      <x:c r="B421" s="179" t="n">
        <x:f>EDATE(Premissas!$B$4,415)</x:f>
        <x:v>59172</x:v>
      </x:c>
      <x:c r="C421" s="141" t="n">
        <x:f>M420</x:f>
        <x:v>1904.7619047619055</x:v>
      </x:c>
      <x:c r="D421" s="141" t="n">
        <x:f>IF(C421&gt;0,C421*Premissas!$B$17,0)</x:f>
        <x:v>0</x:v>
      </x:c>
      <x:c r="E421" s="141" t="n">
        <x:f>C421+D421</x:f>
        <x:v>1904.7619047619055</x:v>
      </x:c>
      <x:c r="F421" s="142" t="n">
        <x:f>MAX(0,Premissas!$B$13-A421+1)</x:f>
        <x:v>5</x:v>
      </x:c>
      <x:c r="G421" s="141" t="n">
        <x:f>IF(AND(E421&gt;0,F421&gt;0),IF(Premissas!$B$19="PRICE",MAX(0,MIN(E421,IF(Premissas!$B$15=0,E421/F421,E421*Premissas!$B$15/(1-(1+Premissas!$B$15)^(-F421)))-H421)),MIN(E421,E421/F421)),0)</x:f>
        <x:v>380.9523809523811</x:v>
      </x:c>
      <x:c r="H421" s="141" t="n">
        <x:f>IF(AND(E421&gt;0,F421&gt;0),E421*Premissas!$B$15,0)</x:f>
        <x:v>18.073891303967713</x:v>
      </x:c>
      <x:c r="I421" s="141" t="n">
        <x:f>IF(AND(E421&gt;0,F421&gt;0),Premissas!$B$18,0)</x:f>
        <x:v>150</x:v>
      </x:c>
      <x:c r="J421" s="141" t="n">
        <x:f>IF(AND(E421&gt;0,F421&gt;0),IF(Premissas!$B$19="PRICE",IF(Premissas!$B$15=0,E421/F421,E421*Premissas!$B$15/(1-(1+Premissas!$B$15)^(-F421)))+I421,G421+H421+I421),0)</x:f>
        <x:v>549.0262722563488</x:v>
      </x:c>
      <x:c r="K421" s="141" t="n">
        <x:f>H421+I421</x:f>
        <x:v>168.0738913039677</x:v>
      </x:c>
      <x:c r="L421" s="141" t="n">
        <x:f>SUM($J$6:J421)</x:f>
        <x:v>540422.5887303391</x:v>
      </x:c>
      <x:c r="M421" s="141" t="n">
        <x:f>MAX(0,E421-G421)</x:f>
        <x:v>1523.8095238095243</x:v>
      </x:c>
    </x:row>
    <x:row r="422">
      <x:c r="A422" s="142" t="n">
        <x:v>417</x:v>
      </x:c>
      <x:c r="B422" s="179" t="n">
        <x:f>EDATE(Premissas!$B$4,416)</x:f>
        <x:v>59203</x:v>
      </x:c>
      <x:c r="C422" s="141" t="n">
        <x:f>M421</x:f>
        <x:v>1523.8095238095243</x:v>
      </x:c>
      <x:c r="D422" s="141" t="n">
        <x:f>IF(C422&gt;0,C422*Premissas!$B$17,0)</x:f>
        <x:v>0</x:v>
      </x:c>
      <x:c r="E422" s="141" t="n">
        <x:f>C422+D422</x:f>
        <x:v>1523.8095238095243</x:v>
      </x:c>
      <x:c r="F422" s="142" t="n">
        <x:f>MAX(0,Premissas!$B$13-A422+1)</x:f>
        <x:v>4</x:v>
      </x:c>
      <x:c r="G422" s="141" t="n">
        <x:f>IF(AND(E422&gt;0,F422&gt;0),IF(Premissas!$B$19="PRICE",MAX(0,MIN(E422,IF(Premissas!$B$15=0,E422/F422,E422*Premissas!$B$15/(1-(1+Premissas!$B$15)^(-F422)))-H422)),MIN(E422,E422/F422)),0)</x:f>
        <x:v>380.9523809523811</x:v>
      </x:c>
      <x:c r="H422" s="141" t="n">
        <x:f>IF(AND(E422&gt;0,F422&gt;0),E422*Premissas!$B$15,0)</x:f>
        <x:v>14.45911304317417</x:v>
      </x:c>
      <x:c r="I422" s="141" t="n">
        <x:f>IF(AND(E422&gt;0,F422&gt;0),Premissas!$B$18,0)</x:f>
        <x:v>150</x:v>
      </x:c>
      <x:c r="J422" s="141" t="n">
        <x:f>IF(AND(E422&gt;0,F422&gt;0),IF(Premissas!$B$19="PRICE",IF(Premissas!$B$15=0,E422/F422,E422*Premissas!$B$15/(1-(1+Premissas!$B$15)^(-F422)))+I422,G422+H422+I422),0)</x:f>
        <x:v>545.4114939955552</x:v>
      </x:c>
      <x:c r="K422" s="141" t="n">
        <x:f>H422+I422</x:f>
        <x:v>164.45911304317417</x:v>
      </x:c>
      <x:c r="L422" s="141" t="n">
        <x:f>SUM($J$6:J422)</x:f>
        <x:v>540968.0002243347</x:v>
      </x:c>
      <x:c r="M422" s="141" t="n">
        <x:f>MAX(0,E422-G422)</x:f>
        <x:v>1142.8571428571431</x:v>
      </x:c>
    </x:row>
    <x:row r="423">
      <x:c r="A423" s="142" t="n">
        <x:v>418</x:v>
      </x:c>
      <x:c r="B423" s="179" t="n">
        <x:f>EDATE(Premissas!$B$4,417)</x:f>
        <x:v>59231</x:v>
      </x:c>
      <x:c r="C423" s="141" t="n">
        <x:f>M422</x:f>
        <x:v>1142.8571428571431</x:v>
      </x:c>
      <x:c r="D423" s="141" t="n">
        <x:f>IF(C423&gt;0,C423*Premissas!$B$17,0)</x:f>
        <x:v>0</x:v>
      </x:c>
      <x:c r="E423" s="141" t="n">
        <x:f>C423+D423</x:f>
        <x:v>1142.8571428571431</x:v>
      </x:c>
      <x:c r="F423" s="142" t="n">
        <x:f>MAX(0,Premissas!$B$13-A423+1)</x:f>
        <x:v>3</x:v>
      </x:c>
      <x:c r="G423" s="141" t="n">
        <x:f>IF(AND(E423&gt;0,F423&gt;0),IF(Premissas!$B$19="PRICE",MAX(0,MIN(E423,IF(Premissas!$B$15=0,E423/F423,E423*Premissas!$B$15/(1-(1+Premissas!$B$15)^(-F423)))-H423)),MIN(E423,E423/F423)),0)</x:f>
        <x:v>380.952380952381</x:v>
      </x:c>
      <x:c r="H423" s="141" t="n">
        <x:f>IF(AND(E423&gt;0,F423&gt;0),E423*Premissas!$B$15,0)</x:f>
        <x:v>10.844334782380626</x:v>
      </x:c>
      <x:c r="I423" s="141" t="n">
        <x:f>IF(AND(E423&gt;0,F423&gt;0),Premissas!$B$18,0)</x:f>
        <x:v>150</x:v>
      </x:c>
      <x:c r="J423" s="141" t="n">
        <x:f>IF(AND(E423&gt;0,F423&gt;0),IF(Premissas!$B$19="PRICE",IF(Premissas!$B$15=0,E423/F423,E423*Premissas!$B$15/(1-(1+Premissas!$B$15)^(-F423)))+I423,G423+H423+I423),0)</x:f>
        <x:v>541.7967157347616</x:v>
      </x:c>
      <x:c r="K423" s="141" t="n">
        <x:f>H423+I423</x:f>
        <x:v>160.84433478238063</x:v>
      </x:c>
      <x:c r="L423" s="141" t="n">
        <x:f>SUM($J$6:J423)</x:f>
        <x:v>541509.7969400694</x:v>
      </x:c>
      <x:c r="M423" s="141" t="n">
        <x:f>MAX(0,E423-G423)</x:f>
        <x:v>761.9047619047622</x:v>
      </x:c>
    </x:row>
    <x:row r="424">
      <x:c r="A424" s="142" t="n">
        <x:v>419</x:v>
      </x:c>
      <x:c r="B424" s="179" t="n">
        <x:f>EDATE(Premissas!$B$4,418)</x:f>
        <x:v>59262</x:v>
      </x:c>
      <x:c r="C424" s="141" t="n">
        <x:f>M423</x:f>
        <x:v>761.9047619047622</x:v>
      </x:c>
      <x:c r="D424" s="141" t="n">
        <x:f>IF(C424&gt;0,C424*Premissas!$B$17,0)</x:f>
        <x:v>0</x:v>
      </x:c>
      <x:c r="E424" s="141" t="n">
        <x:f>C424+D424</x:f>
        <x:v>761.9047619047622</x:v>
      </x:c>
      <x:c r="F424" s="142" t="n">
        <x:f>MAX(0,Premissas!$B$13-A424+1)</x:f>
        <x:v>2</x:v>
      </x:c>
      <x:c r="G424" s="141" t="n">
        <x:f>IF(AND(E424&gt;0,F424&gt;0),IF(Premissas!$B$19="PRICE",MAX(0,MIN(E424,IF(Premissas!$B$15=0,E424/F424,E424*Premissas!$B$15/(1-(1+Premissas!$B$15)^(-F424)))-H424)),MIN(E424,E424/F424)),0)</x:f>
        <x:v>380.9523809523811</x:v>
      </x:c>
      <x:c r="H424" s="141" t="n">
        <x:f>IF(AND(E424&gt;0,F424&gt;0),E424*Premissas!$B$15,0)</x:f>
        <x:v>7.229556521587085</x:v>
      </x:c>
      <x:c r="I424" s="141" t="n">
        <x:f>IF(AND(E424&gt;0,F424&gt;0),Premissas!$B$18,0)</x:f>
        <x:v>150</x:v>
      </x:c>
      <x:c r="J424" s="141" t="n">
        <x:f>IF(AND(E424&gt;0,F424&gt;0),IF(Premissas!$B$19="PRICE",IF(Premissas!$B$15=0,E424/F424,E424*Premissas!$B$15/(1-(1+Premissas!$B$15)^(-F424)))+I424,G424+H424+I424),0)</x:f>
        <x:v>538.1819374739682</x:v>
      </x:c>
      <x:c r="K424" s="141" t="n">
        <x:f>H424+I424</x:f>
        <x:v>157.22955652158709</x:v>
      </x:c>
      <x:c r="L424" s="141" t="n">
        <x:f>SUM($J$6:J424)</x:f>
        <x:v>542047.9788775434</x:v>
      </x:c>
      <x:c r="M424" s="141" t="n">
        <x:f>MAX(0,E424-G424)</x:f>
        <x:v>380.9523809523811</x:v>
      </x:c>
    </x:row>
    <x:row r="425">
      <x:c r="A425" s="142" t="n">
        <x:v>420</x:v>
      </x:c>
      <x:c r="B425" s="179" t="n">
        <x:f>EDATE(Premissas!$B$4,419)</x:f>
        <x:v>59292</x:v>
      </x:c>
      <x:c r="C425" s="141" t="n">
        <x:f>M424</x:f>
        <x:v>380.9523809523811</x:v>
      </x:c>
      <x:c r="D425" s="141" t="n">
        <x:f>IF(C425&gt;0,C425*Premissas!$B$17,0)</x:f>
        <x:v>0</x:v>
      </x:c>
      <x:c r="E425" s="141" t="n">
        <x:f>C425+D425</x:f>
        <x:v>380.9523809523811</x:v>
      </x:c>
      <x:c r="F425" s="142" t="n">
        <x:f>MAX(0,Premissas!$B$13-A425+1)</x:f>
        <x:v>1</x:v>
      </x:c>
      <x:c r="G425" s="141" t="n">
        <x:f>IF(AND(E425&gt;0,F425&gt;0),IF(Premissas!$B$19="PRICE",MAX(0,MIN(E425,IF(Premissas!$B$15=0,E425/F425,E425*Premissas!$B$15/(1-(1+Premissas!$B$15)^(-F425)))-H425)),MIN(E425,E425/F425)),0)</x:f>
        <x:v>380.9523809523811</x:v>
      </x:c>
      <x:c r="H425" s="141" t="n">
        <x:f>IF(AND(E425&gt;0,F425&gt;0),E425*Premissas!$B$15,0)</x:f>
        <x:v>3.6147782607935426</x:v>
      </x:c>
      <x:c r="I425" s="141" t="n">
        <x:f>IF(AND(E425&gt;0,F425&gt;0),Premissas!$B$18,0)</x:f>
        <x:v>150</x:v>
      </x:c>
      <x:c r="J425" s="141" t="n">
        <x:f>IF(AND(E425&gt;0,F425&gt;0),IF(Premissas!$B$19="PRICE",IF(Premissas!$B$15=0,E425/F425,E425*Premissas!$B$15/(1-(1+Premissas!$B$15)^(-F425)))+I425,G425+H425+I425),0)</x:f>
        <x:v>534.5671592131746</x:v>
      </x:c>
      <x:c r="K425" s="141" t="n">
        <x:f>H425+I425</x:f>
        <x:v>153.61477826079354</x:v>
      </x:c>
      <x:c r="L425" s="141" t="n">
        <x:f>SUM($J$6:J425)</x:f>
        <x:v>542582.5460367565</x:v>
      </x:c>
      <x:c r="M425" s="141" t="n">
        <x:f>MAX(0,E425-G425)</x:f>
        <x:v>0</x:v>
      </x:c>
    </x:row>
    <x:row r="426">
      <x:c r="A426" s="142" t="n">
        <x:v>421</x:v>
      </x:c>
      <x:c r="B426" s="179" t="n">
        <x:f>EDATE(Premissas!$B$4,420)</x:f>
        <x:v>59323</x:v>
      </x:c>
      <x:c r="C426" s="141" t="n">
        <x:f>M425</x:f>
        <x:v>0</x:v>
      </x:c>
      <x:c r="D426" s="141" t="n">
        <x:f>IF(C426&gt;0,C426*Premissas!$B$17,0)</x:f>
        <x:v>0</x:v>
      </x:c>
      <x:c r="E426" s="141" t="n">
        <x:f>C426+D426</x:f>
        <x:v>0</x:v>
      </x:c>
      <x:c r="F426" s="142" t="n">
        <x:f>MAX(0,Premissas!$B$13-A426+1)</x:f>
        <x:v>0</x:v>
      </x:c>
      <x:c r="G426" s="141" t="n">
        <x:f>IF(AND(E426&gt;0,F426&gt;0),IF(Premissas!$B$19="PRICE",MAX(0,MIN(E426,IF(Premissas!$B$15=0,E426/F426,E426*Premissas!$B$15/(1-(1+Premissas!$B$15)^(-F426)))-H426)),MIN(E426,E426/F426)),0)</x:f>
        <x:v>0</x:v>
      </x:c>
      <x:c r="H426" s="141" t="n">
        <x:f>IF(AND(E426&gt;0,F426&gt;0),E426*Premissas!$B$15,0)</x:f>
        <x:v>0</x:v>
      </x:c>
      <x:c r="I426" s="141" t="n">
        <x:f>IF(AND(E426&gt;0,F426&gt;0),Premissas!$B$18,0)</x:f>
        <x:v>0</x:v>
      </x:c>
      <x:c r="J426" s="141" t="n">
        <x:f>IF(AND(E426&gt;0,F426&gt;0),IF(Premissas!$B$19="PRICE",IF(Premissas!$B$15=0,E426/F426,E426*Premissas!$B$15/(1-(1+Premissas!$B$15)^(-F426)))+I426,G426+H426+I426),0)</x:f>
        <x:v>0</x:v>
      </x:c>
      <x:c r="K426" s="141" t="n">
        <x:f>H426+I426</x:f>
        <x:v>0</x:v>
      </x:c>
      <x:c r="L426" s="141" t="n">
        <x:f>SUM($J$6:J426)</x:f>
        <x:v>542582.5460367565</x:v>
      </x:c>
      <x:c r="M426" s="141" t="n">
        <x:f>MAX(0,E426-G426)</x:f>
        <x:v>0</x:v>
      </x:c>
    </x:row>
    <x:row r="427">
      <x:c r="A427" s="142" t="n">
        <x:v>422</x:v>
      </x:c>
      <x:c r="B427" s="179" t="n">
        <x:f>EDATE(Premissas!$B$4,421)</x:f>
        <x:v>59353</x:v>
      </x:c>
      <x:c r="C427" s="141" t="n">
        <x:f>M426</x:f>
        <x:v>0</x:v>
      </x:c>
      <x:c r="D427" s="141" t="n">
        <x:f>IF(C427&gt;0,C427*Premissas!$B$17,0)</x:f>
        <x:v>0</x:v>
      </x:c>
      <x:c r="E427" s="141" t="n">
        <x:f>C427+D427</x:f>
        <x:v>0</x:v>
      </x:c>
      <x:c r="F427" s="142" t="n">
        <x:f>MAX(0,Premissas!$B$13-A427+1)</x:f>
        <x:v>0</x:v>
      </x:c>
      <x:c r="G427" s="141" t="n">
        <x:f>IF(AND(E427&gt;0,F427&gt;0),IF(Premissas!$B$19="PRICE",MAX(0,MIN(E427,IF(Premissas!$B$15=0,E427/F427,E427*Premissas!$B$15/(1-(1+Premissas!$B$15)^(-F427)))-H427)),MIN(E427,E427/F427)),0)</x:f>
        <x:v>0</x:v>
      </x:c>
      <x:c r="H427" s="141" t="n">
        <x:f>IF(AND(E427&gt;0,F427&gt;0),E427*Premissas!$B$15,0)</x:f>
        <x:v>0</x:v>
      </x:c>
      <x:c r="I427" s="141" t="n">
        <x:f>IF(AND(E427&gt;0,F427&gt;0),Premissas!$B$18,0)</x:f>
        <x:v>0</x:v>
      </x:c>
      <x:c r="J427" s="141" t="n">
        <x:f>IF(AND(E427&gt;0,F427&gt;0),IF(Premissas!$B$19="PRICE",IF(Premissas!$B$15=0,E427/F427,E427*Premissas!$B$15/(1-(1+Premissas!$B$15)^(-F427)))+I427,G427+H427+I427),0)</x:f>
        <x:v>0</x:v>
      </x:c>
      <x:c r="K427" s="141" t="n">
        <x:f>H427+I427</x:f>
        <x:v>0</x:v>
      </x:c>
      <x:c r="L427" s="141" t="n">
        <x:f>SUM($J$6:J427)</x:f>
        <x:v>542582.5460367565</x:v>
      </x:c>
      <x:c r="M427" s="141" t="n">
        <x:f>MAX(0,E427-G427)</x:f>
        <x:v>0</x:v>
      </x:c>
    </x:row>
    <x:row r="428">
      <x:c r="A428" s="142" t="n">
        <x:v>423</x:v>
      </x:c>
      <x:c r="B428" s="179" t="n">
        <x:f>EDATE(Premissas!$B$4,422)</x:f>
        <x:v>59384</x:v>
      </x:c>
      <x:c r="C428" s="141" t="n">
        <x:f>M427</x:f>
        <x:v>0</x:v>
      </x:c>
      <x:c r="D428" s="141" t="n">
        <x:f>IF(C428&gt;0,C428*Premissas!$B$17,0)</x:f>
        <x:v>0</x:v>
      </x:c>
      <x:c r="E428" s="141" t="n">
        <x:f>C428+D428</x:f>
        <x:v>0</x:v>
      </x:c>
      <x:c r="F428" s="142" t="n">
        <x:f>MAX(0,Premissas!$B$13-A428+1)</x:f>
        <x:v>0</x:v>
      </x:c>
      <x:c r="G428" s="141" t="n">
        <x:f>IF(AND(E428&gt;0,F428&gt;0),IF(Premissas!$B$19="PRICE",MAX(0,MIN(E428,IF(Premissas!$B$15=0,E428/F428,E428*Premissas!$B$15/(1-(1+Premissas!$B$15)^(-F428)))-H428)),MIN(E428,E428/F428)),0)</x:f>
        <x:v>0</x:v>
      </x:c>
      <x:c r="H428" s="141" t="n">
        <x:f>IF(AND(E428&gt;0,F428&gt;0),E428*Premissas!$B$15,0)</x:f>
        <x:v>0</x:v>
      </x:c>
      <x:c r="I428" s="141" t="n">
        <x:f>IF(AND(E428&gt;0,F428&gt;0),Premissas!$B$18,0)</x:f>
        <x:v>0</x:v>
      </x:c>
      <x:c r="J428" s="141" t="n">
        <x:f>IF(AND(E428&gt;0,F428&gt;0),IF(Premissas!$B$19="PRICE",IF(Premissas!$B$15=0,E428/F428,E428*Premissas!$B$15/(1-(1+Premissas!$B$15)^(-F428)))+I428,G428+H428+I428),0)</x:f>
        <x:v>0</x:v>
      </x:c>
      <x:c r="K428" s="141" t="n">
        <x:f>H428+I428</x:f>
        <x:v>0</x:v>
      </x:c>
      <x:c r="L428" s="141" t="n">
        <x:f>SUM($J$6:J428)</x:f>
        <x:v>542582.5460367565</x:v>
      </x:c>
      <x:c r="M428" s="141" t="n">
        <x:f>MAX(0,E428-G428)</x:f>
        <x:v>0</x:v>
      </x:c>
    </x:row>
    <x:row r="429">
      <x:c r="A429" s="142" t="n">
        <x:v>424</x:v>
      </x:c>
      <x:c r="B429" s="179" t="n">
        <x:f>EDATE(Premissas!$B$4,423)</x:f>
        <x:v>59415</x:v>
      </x:c>
      <x:c r="C429" s="141" t="n">
        <x:f>M428</x:f>
        <x:v>0</x:v>
      </x:c>
      <x:c r="D429" s="141" t="n">
        <x:f>IF(C429&gt;0,C429*Premissas!$B$17,0)</x:f>
        <x:v>0</x:v>
      </x:c>
      <x:c r="E429" s="141" t="n">
        <x:f>C429+D429</x:f>
        <x:v>0</x:v>
      </x:c>
      <x:c r="F429" s="142" t="n">
        <x:f>MAX(0,Premissas!$B$13-A429+1)</x:f>
        <x:v>0</x:v>
      </x:c>
      <x:c r="G429" s="141" t="n">
        <x:f>IF(AND(E429&gt;0,F429&gt;0),IF(Premissas!$B$19="PRICE",MAX(0,MIN(E429,IF(Premissas!$B$15=0,E429/F429,E429*Premissas!$B$15/(1-(1+Premissas!$B$15)^(-F429)))-H429)),MIN(E429,E429/F429)),0)</x:f>
        <x:v>0</x:v>
      </x:c>
      <x:c r="H429" s="141" t="n">
        <x:f>IF(AND(E429&gt;0,F429&gt;0),E429*Premissas!$B$15,0)</x:f>
        <x:v>0</x:v>
      </x:c>
      <x:c r="I429" s="141" t="n">
        <x:f>IF(AND(E429&gt;0,F429&gt;0),Premissas!$B$18,0)</x:f>
        <x:v>0</x:v>
      </x:c>
      <x:c r="J429" s="141" t="n">
        <x:f>IF(AND(E429&gt;0,F429&gt;0),IF(Premissas!$B$19="PRICE",IF(Premissas!$B$15=0,E429/F429,E429*Premissas!$B$15/(1-(1+Premissas!$B$15)^(-F429)))+I429,G429+H429+I429),0)</x:f>
        <x:v>0</x:v>
      </x:c>
      <x:c r="K429" s="141" t="n">
        <x:f>H429+I429</x:f>
        <x:v>0</x:v>
      </x:c>
      <x:c r="L429" s="141" t="n">
        <x:f>SUM($J$6:J429)</x:f>
        <x:v>542582.5460367565</x:v>
      </x:c>
      <x:c r="M429" s="141" t="n">
        <x:f>MAX(0,E429-G429)</x:f>
        <x:v>0</x:v>
      </x:c>
    </x:row>
    <x:row r="430">
      <x:c r="A430" s="142" t="n">
        <x:v>425</x:v>
      </x:c>
      <x:c r="B430" s="179" t="n">
        <x:f>EDATE(Premissas!$B$4,424)</x:f>
        <x:v>59445</x:v>
      </x:c>
      <x:c r="C430" s="141" t="n">
        <x:f>M429</x:f>
        <x:v>0</x:v>
      </x:c>
      <x:c r="D430" s="141" t="n">
        <x:f>IF(C430&gt;0,C430*Premissas!$B$17,0)</x:f>
        <x:v>0</x:v>
      </x:c>
      <x:c r="E430" s="141" t="n">
        <x:f>C430+D430</x:f>
        <x:v>0</x:v>
      </x:c>
      <x:c r="F430" s="142" t="n">
        <x:f>MAX(0,Premissas!$B$13-A430+1)</x:f>
        <x:v>0</x:v>
      </x:c>
      <x:c r="G430" s="141" t="n">
        <x:f>IF(AND(E430&gt;0,F430&gt;0),IF(Premissas!$B$19="PRICE",MAX(0,MIN(E430,IF(Premissas!$B$15=0,E430/F430,E430*Premissas!$B$15/(1-(1+Premissas!$B$15)^(-F430)))-H430)),MIN(E430,E430/F430)),0)</x:f>
        <x:v>0</x:v>
      </x:c>
      <x:c r="H430" s="141" t="n">
        <x:f>IF(AND(E430&gt;0,F430&gt;0),E430*Premissas!$B$15,0)</x:f>
        <x:v>0</x:v>
      </x:c>
      <x:c r="I430" s="141" t="n">
        <x:f>IF(AND(E430&gt;0,F430&gt;0),Premissas!$B$18,0)</x:f>
        <x:v>0</x:v>
      </x:c>
      <x:c r="J430" s="141" t="n">
        <x:f>IF(AND(E430&gt;0,F430&gt;0),IF(Premissas!$B$19="PRICE",IF(Premissas!$B$15=0,E430/F430,E430*Premissas!$B$15/(1-(1+Premissas!$B$15)^(-F430)))+I430,G430+H430+I430),0)</x:f>
        <x:v>0</x:v>
      </x:c>
      <x:c r="K430" s="141" t="n">
        <x:f>H430+I430</x:f>
        <x:v>0</x:v>
      </x:c>
      <x:c r="L430" s="141" t="n">
        <x:f>SUM($J$6:J430)</x:f>
        <x:v>542582.5460367565</x:v>
      </x:c>
      <x:c r="M430" s="141" t="n">
        <x:f>MAX(0,E430-G430)</x:f>
        <x:v>0</x:v>
      </x:c>
    </x:row>
    <x:row r="431">
      <x:c r="A431" s="142" t="n">
        <x:v>426</x:v>
      </x:c>
      <x:c r="B431" s="179" t="n">
        <x:f>EDATE(Premissas!$B$4,425)</x:f>
        <x:v>59476</x:v>
      </x:c>
      <x:c r="C431" s="141" t="n">
        <x:f>M430</x:f>
        <x:v>0</x:v>
      </x:c>
      <x:c r="D431" s="141" t="n">
        <x:f>IF(C431&gt;0,C431*Premissas!$B$17,0)</x:f>
        <x:v>0</x:v>
      </x:c>
      <x:c r="E431" s="141" t="n">
        <x:f>C431+D431</x:f>
        <x:v>0</x:v>
      </x:c>
      <x:c r="F431" s="142" t="n">
        <x:f>MAX(0,Premissas!$B$13-A431+1)</x:f>
        <x:v>0</x:v>
      </x:c>
      <x:c r="G431" s="141" t="n">
        <x:f>IF(AND(E431&gt;0,F431&gt;0),IF(Premissas!$B$19="PRICE",MAX(0,MIN(E431,IF(Premissas!$B$15=0,E431/F431,E431*Premissas!$B$15/(1-(1+Premissas!$B$15)^(-F431)))-H431)),MIN(E431,E431/F431)),0)</x:f>
        <x:v>0</x:v>
      </x:c>
      <x:c r="H431" s="141" t="n">
        <x:f>IF(AND(E431&gt;0,F431&gt;0),E431*Premissas!$B$15,0)</x:f>
        <x:v>0</x:v>
      </x:c>
      <x:c r="I431" s="141" t="n">
        <x:f>IF(AND(E431&gt;0,F431&gt;0),Premissas!$B$18,0)</x:f>
        <x:v>0</x:v>
      </x:c>
      <x:c r="J431" s="141" t="n">
        <x:f>IF(AND(E431&gt;0,F431&gt;0),IF(Premissas!$B$19="PRICE",IF(Premissas!$B$15=0,E431/F431,E431*Premissas!$B$15/(1-(1+Premissas!$B$15)^(-F431)))+I431,G431+H431+I431),0)</x:f>
        <x:v>0</x:v>
      </x:c>
      <x:c r="K431" s="141" t="n">
        <x:f>H431+I431</x:f>
        <x:v>0</x:v>
      </x:c>
      <x:c r="L431" s="141" t="n">
        <x:f>SUM($J$6:J431)</x:f>
        <x:v>542582.5460367565</x:v>
      </x:c>
      <x:c r="M431" s="141" t="n">
        <x:f>MAX(0,E431-G431)</x:f>
        <x:v>0</x:v>
      </x:c>
    </x:row>
    <x:row r="432">
      <x:c r="A432" s="142" t="n">
        <x:v>427</x:v>
      </x:c>
      <x:c r="B432" s="179" t="n">
        <x:f>EDATE(Premissas!$B$4,426)</x:f>
        <x:v>59506</x:v>
      </x:c>
      <x:c r="C432" s="141" t="n">
        <x:f>M431</x:f>
        <x:v>0</x:v>
      </x:c>
      <x:c r="D432" s="141" t="n">
        <x:f>IF(C432&gt;0,C432*Premissas!$B$17,0)</x:f>
        <x:v>0</x:v>
      </x:c>
      <x:c r="E432" s="141" t="n">
        <x:f>C432+D432</x:f>
        <x:v>0</x:v>
      </x:c>
      <x:c r="F432" s="142" t="n">
        <x:f>MAX(0,Premissas!$B$13-A432+1)</x:f>
        <x:v>0</x:v>
      </x:c>
      <x:c r="G432" s="141" t="n">
        <x:f>IF(AND(E432&gt;0,F432&gt;0),IF(Premissas!$B$19="PRICE",MAX(0,MIN(E432,IF(Premissas!$B$15=0,E432/F432,E432*Premissas!$B$15/(1-(1+Premissas!$B$15)^(-F432)))-H432)),MIN(E432,E432/F432)),0)</x:f>
        <x:v>0</x:v>
      </x:c>
      <x:c r="H432" s="141" t="n">
        <x:f>IF(AND(E432&gt;0,F432&gt;0),E432*Premissas!$B$15,0)</x:f>
        <x:v>0</x:v>
      </x:c>
      <x:c r="I432" s="141" t="n">
        <x:f>IF(AND(E432&gt;0,F432&gt;0),Premissas!$B$18,0)</x:f>
        <x:v>0</x:v>
      </x:c>
      <x:c r="J432" s="141" t="n">
        <x:f>IF(AND(E432&gt;0,F432&gt;0),IF(Premissas!$B$19="PRICE",IF(Premissas!$B$15=0,E432/F432,E432*Premissas!$B$15/(1-(1+Premissas!$B$15)^(-F432)))+I432,G432+H432+I432),0)</x:f>
        <x:v>0</x:v>
      </x:c>
      <x:c r="K432" s="141" t="n">
        <x:f>H432+I432</x:f>
        <x:v>0</x:v>
      </x:c>
      <x:c r="L432" s="141" t="n">
        <x:f>SUM($J$6:J432)</x:f>
        <x:v>542582.5460367565</x:v>
      </x:c>
      <x:c r="M432" s="141" t="n">
        <x:f>MAX(0,E432-G432)</x:f>
        <x:v>0</x:v>
      </x:c>
    </x:row>
    <x:row r="433">
      <x:c r="A433" s="142" t="n">
        <x:v>428</x:v>
      </x:c>
      <x:c r="B433" s="179" t="n">
        <x:f>EDATE(Premissas!$B$4,427)</x:f>
        <x:v>59537</x:v>
      </x:c>
      <x:c r="C433" s="141" t="n">
        <x:f>M432</x:f>
        <x:v>0</x:v>
      </x:c>
      <x:c r="D433" s="141" t="n">
        <x:f>IF(C433&gt;0,C433*Premissas!$B$17,0)</x:f>
        <x:v>0</x:v>
      </x:c>
      <x:c r="E433" s="141" t="n">
        <x:f>C433+D433</x:f>
        <x:v>0</x:v>
      </x:c>
      <x:c r="F433" s="142" t="n">
        <x:f>MAX(0,Premissas!$B$13-A433+1)</x:f>
        <x:v>0</x:v>
      </x:c>
      <x:c r="G433" s="141" t="n">
        <x:f>IF(AND(E433&gt;0,F433&gt;0),IF(Premissas!$B$19="PRICE",MAX(0,MIN(E433,IF(Premissas!$B$15=0,E433/F433,E433*Premissas!$B$15/(1-(1+Premissas!$B$15)^(-F433)))-H433)),MIN(E433,E433/F433)),0)</x:f>
        <x:v>0</x:v>
      </x:c>
      <x:c r="H433" s="141" t="n">
        <x:f>IF(AND(E433&gt;0,F433&gt;0),E433*Premissas!$B$15,0)</x:f>
        <x:v>0</x:v>
      </x:c>
      <x:c r="I433" s="141" t="n">
        <x:f>IF(AND(E433&gt;0,F433&gt;0),Premissas!$B$18,0)</x:f>
        <x:v>0</x:v>
      </x:c>
      <x:c r="J433" s="141" t="n">
        <x:f>IF(AND(E433&gt;0,F433&gt;0),IF(Premissas!$B$19="PRICE",IF(Premissas!$B$15=0,E433/F433,E433*Premissas!$B$15/(1-(1+Premissas!$B$15)^(-F433)))+I433,G433+H433+I433),0)</x:f>
        <x:v>0</x:v>
      </x:c>
      <x:c r="K433" s="141" t="n">
        <x:f>H433+I433</x:f>
        <x:v>0</x:v>
      </x:c>
      <x:c r="L433" s="141" t="n">
        <x:f>SUM($J$6:J433)</x:f>
        <x:v>542582.5460367565</x:v>
      </x:c>
      <x:c r="M433" s="141" t="n">
        <x:f>MAX(0,E433-G433)</x:f>
        <x:v>0</x:v>
      </x:c>
    </x:row>
    <x:row r="434">
      <x:c r="A434" s="142" t="n">
        <x:v>429</x:v>
      </x:c>
      <x:c r="B434" s="179" t="n">
        <x:f>EDATE(Premissas!$B$4,428)</x:f>
        <x:v>59568</x:v>
      </x:c>
      <x:c r="C434" s="141" t="n">
        <x:f>M433</x:f>
        <x:v>0</x:v>
      </x:c>
      <x:c r="D434" s="141" t="n">
        <x:f>IF(C434&gt;0,C434*Premissas!$B$17,0)</x:f>
        <x:v>0</x:v>
      </x:c>
      <x:c r="E434" s="141" t="n">
        <x:f>C434+D434</x:f>
        <x:v>0</x:v>
      </x:c>
      <x:c r="F434" s="142" t="n">
        <x:f>MAX(0,Premissas!$B$13-A434+1)</x:f>
        <x:v>0</x:v>
      </x:c>
      <x:c r="G434" s="141" t="n">
        <x:f>IF(AND(E434&gt;0,F434&gt;0),IF(Premissas!$B$19="PRICE",MAX(0,MIN(E434,IF(Premissas!$B$15=0,E434/F434,E434*Premissas!$B$15/(1-(1+Premissas!$B$15)^(-F434)))-H434)),MIN(E434,E434/F434)),0)</x:f>
        <x:v>0</x:v>
      </x:c>
      <x:c r="H434" s="141" t="n">
        <x:f>IF(AND(E434&gt;0,F434&gt;0),E434*Premissas!$B$15,0)</x:f>
        <x:v>0</x:v>
      </x:c>
      <x:c r="I434" s="141" t="n">
        <x:f>IF(AND(E434&gt;0,F434&gt;0),Premissas!$B$18,0)</x:f>
        <x:v>0</x:v>
      </x:c>
      <x:c r="J434" s="141" t="n">
        <x:f>IF(AND(E434&gt;0,F434&gt;0),IF(Premissas!$B$19="PRICE",IF(Premissas!$B$15=0,E434/F434,E434*Premissas!$B$15/(1-(1+Premissas!$B$15)^(-F434)))+I434,G434+H434+I434),0)</x:f>
        <x:v>0</x:v>
      </x:c>
      <x:c r="K434" s="141" t="n">
        <x:f>H434+I434</x:f>
        <x:v>0</x:v>
      </x:c>
      <x:c r="L434" s="141" t="n">
        <x:f>SUM($J$6:J434)</x:f>
        <x:v>542582.5460367565</x:v>
      </x:c>
      <x:c r="M434" s="141" t="n">
        <x:f>MAX(0,E434-G434)</x:f>
        <x:v>0</x:v>
      </x:c>
    </x:row>
    <x:row r="435">
      <x:c r="A435" s="142" t="n">
        <x:v>430</x:v>
      </x:c>
      <x:c r="B435" s="179" t="n">
        <x:f>EDATE(Premissas!$B$4,429)</x:f>
        <x:v>59596</x:v>
      </x:c>
      <x:c r="C435" s="141" t="n">
        <x:f>M434</x:f>
        <x:v>0</x:v>
      </x:c>
      <x:c r="D435" s="141" t="n">
        <x:f>IF(C435&gt;0,C435*Premissas!$B$17,0)</x:f>
        <x:v>0</x:v>
      </x:c>
      <x:c r="E435" s="141" t="n">
        <x:f>C435+D435</x:f>
        <x:v>0</x:v>
      </x:c>
      <x:c r="F435" s="142" t="n">
        <x:f>MAX(0,Premissas!$B$13-A435+1)</x:f>
        <x:v>0</x:v>
      </x:c>
      <x:c r="G435" s="141" t="n">
        <x:f>IF(AND(E435&gt;0,F435&gt;0),IF(Premissas!$B$19="PRICE",MAX(0,MIN(E435,IF(Premissas!$B$15=0,E435/F435,E435*Premissas!$B$15/(1-(1+Premissas!$B$15)^(-F435)))-H435)),MIN(E435,E435/F435)),0)</x:f>
        <x:v>0</x:v>
      </x:c>
      <x:c r="H435" s="141" t="n">
        <x:f>IF(AND(E435&gt;0,F435&gt;0),E435*Premissas!$B$15,0)</x:f>
        <x:v>0</x:v>
      </x:c>
      <x:c r="I435" s="141" t="n">
        <x:f>IF(AND(E435&gt;0,F435&gt;0),Premissas!$B$18,0)</x:f>
        <x:v>0</x:v>
      </x:c>
      <x:c r="J435" s="141" t="n">
        <x:f>IF(AND(E435&gt;0,F435&gt;0),IF(Premissas!$B$19="PRICE",IF(Premissas!$B$15=0,E435/F435,E435*Premissas!$B$15/(1-(1+Premissas!$B$15)^(-F435)))+I435,G435+H435+I435),0)</x:f>
        <x:v>0</x:v>
      </x:c>
      <x:c r="K435" s="141" t="n">
        <x:f>H435+I435</x:f>
        <x:v>0</x:v>
      </x:c>
      <x:c r="L435" s="141" t="n">
        <x:f>SUM($J$6:J435)</x:f>
        <x:v>542582.5460367565</x:v>
      </x:c>
      <x:c r="M435" s="141" t="n">
        <x:f>MAX(0,E435-G435)</x:f>
        <x:v>0</x:v>
      </x:c>
    </x:row>
    <x:row r="436">
      <x:c r="A436" s="142" t="n">
        <x:v>431</x:v>
      </x:c>
      <x:c r="B436" s="179" t="n">
        <x:f>EDATE(Premissas!$B$4,430)</x:f>
        <x:v>59627</x:v>
      </x:c>
      <x:c r="C436" s="141" t="n">
        <x:f>M435</x:f>
        <x:v>0</x:v>
      </x:c>
      <x:c r="D436" s="141" t="n">
        <x:f>IF(C436&gt;0,C436*Premissas!$B$17,0)</x:f>
        <x:v>0</x:v>
      </x:c>
      <x:c r="E436" s="141" t="n">
        <x:f>C436+D436</x:f>
        <x:v>0</x:v>
      </x:c>
      <x:c r="F436" s="142" t="n">
        <x:f>MAX(0,Premissas!$B$13-A436+1)</x:f>
        <x:v>0</x:v>
      </x:c>
      <x:c r="G436" s="141" t="n">
        <x:f>IF(AND(E436&gt;0,F436&gt;0),IF(Premissas!$B$19="PRICE",MAX(0,MIN(E436,IF(Premissas!$B$15=0,E436/F436,E436*Premissas!$B$15/(1-(1+Premissas!$B$15)^(-F436)))-H436)),MIN(E436,E436/F436)),0)</x:f>
        <x:v>0</x:v>
      </x:c>
      <x:c r="H436" s="141" t="n">
        <x:f>IF(AND(E436&gt;0,F436&gt;0),E436*Premissas!$B$15,0)</x:f>
        <x:v>0</x:v>
      </x:c>
      <x:c r="I436" s="141" t="n">
        <x:f>IF(AND(E436&gt;0,F436&gt;0),Premissas!$B$18,0)</x:f>
        <x:v>0</x:v>
      </x:c>
      <x:c r="J436" s="141" t="n">
        <x:f>IF(AND(E436&gt;0,F436&gt;0),IF(Premissas!$B$19="PRICE",IF(Premissas!$B$15=0,E436/F436,E436*Premissas!$B$15/(1-(1+Premissas!$B$15)^(-F436)))+I436,G436+H436+I436),0)</x:f>
        <x:v>0</x:v>
      </x:c>
      <x:c r="K436" s="141" t="n">
        <x:f>H436+I436</x:f>
        <x:v>0</x:v>
      </x:c>
      <x:c r="L436" s="141" t="n">
        <x:f>SUM($J$6:J436)</x:f>
        <x:v>542582.5460367565</x:v>
      </x:c>
      <x:c r="M436" s="141" t="n">
        <x:f>MAX(0,E436-G436)</x:f>
        <x:v>0</x:v>
      </x:c>
    </x:row>
    <x:row r="437">
      <x:c r="A437" s="142" t="n">
        <x:v>432</x:v>
      </x:c>
      <x:c r="B437" s="179" t="n">
        <x:f>EDATE(Premissas!$B$4,431)</x:f>
        <x:v>59657</x:v>
      </x:c>
      <x:c r="C437" s="141" t="n">
        <x:f>M436</x:f>
        <x:v>0</x:v>
      </x:c>
      <x:c r="D437" s="141" t="n">
        <x:f>IF(C437&gt;0,C437*Premissas!$B$17,0)</x:f>
        <x:v>0</x:v>
      </x:c>
      <x:c r="E437" s="141" t="n">
        <x:f>C437+D437</x:f>
        <x:v>0</x:v>
      </x:c>
      <x:c r="F437" s="142" t="n">
        <x:f>MAX(0,Premissas!$B$13-A437+1)</x:f>
        <x:v>0</x:v>
      </x:c>
      <x:c r="G437" s="141" t="n">
        <x:f>IF(AND(E437&gt;0,F437&gt;0),IF(Premissas!$B$19="PRICE",MAX(0,MIN(E437,IF(Premissas!$B$15=0,E437/F437,E437*Premissas!$B$15/(1-(1+Premissas!$B$15)^(-F437)))-H437)),MIN(E437,E437/F437)),0)</x:f>
        <x:v>0</x:v>
      </x:c>
      <x:c r="H437" s="141" t="n">
        <x:f>IF(AND(E437&gt;0,F437&gt;0),E437*Premissas!$B$15,0)</x:f>
        <x:v>0</x:v>
      </x:c>
      <x:c r="I437" s="141" t="n">
        <x:f>IF(AND(E437&gt;0,F437&gt;0),Premissas!$B$18,0)</x:f>
        <x:v>0</x:v>
      </x:c>
      <x:c r="J437" s="141" t="n">
        <x:f>IF(AND(E437&gt;0,F437&gt;0),IF(Premissas!$B$19="PRICE",IF(Premissas!$B$15=0,E437/F437,E437*Premissas!$B$15/(1-(1+Premissas!$B$15)^(-F437)))+I437,G437+H437+I437),0)</x:f>
        <x:v>0</x:v>
      </x:c>
      <x:c r="K437" s="141" t="n">
        <x:f>H437+I437</x:f>
        <x:v>0</x:v>
      </x:c>
      <x:c r="L437" s="141" t="n">
        <x:f>SUM($J$6:J437)</x:f>
        <x:v>542582.5460367565</x:v>
      </x:c>
      <x:c r="M437" s="141" t="n">
        <x:f>MAX(0,E437-G437)</x:f>
        <x:v>0</x:v>
      </x:c>
    </x:row>
    <x:row r="438">
      <x:c r="A438" s="142" t="n">
        <x:v>433</x:v>
      </x:c>
      <x:c r="B438" s="179" t="n">
        <x:f>EDATE(Premissas!$B$4,432)</x:f>
        <x:v>59688</x:v>
      </x:c>
      <x:c r="C438" s="141" t="n">
        <x:f>M437</x:f>
        <x:v>0</x:v>
      </x:c>
      <x:c r="D438" s="141" t="n">
        <x:f>IF(C438&gt;0,C438*Premissas!$B$17,0)</x:f>
        <x:v>0</x:v>
      </x:c>
      <x:c r="E438" s="141" t="n">
        <x:f>C438+D438</x:f>
        <x:v>0</x:v>
      </x:c>
      <x:c r="F438" s="142" t="n">
        <x:f>MAX(0,Premissas!$B$13-A438+1)</x:f>
        <x:v>0</x:v>
      </x:c>
      <x:c r="G438" s="141" t="n">
        <x:f>IF(AND(E438&gt;0,F438&gt;0),IF(Premissas!$B$19="PRICE",MAX(0,MIN(E438,IF(Premissas!$B$15=0,E438/F438,E438*Premissas!$B$15/(1-(1+Premissas!$B$15)^(-F438)))-H438)),MIN(E438,E438/F438)),0)</x:f>
        <x:v>0</x:v>
      </x:c>
      <x:c r="H438" s="141" t="n">
        <x:f>IF(AND(E438&gt;0,F438&gt;0),E438*Premissas!$B$15,0)</x:f>
        <x:v>0</x:v>
      </x:c>
      <x:c r="I438" s="141" t="n">
        <x:f>IF(AND(E438&gt;0,F438&gt;0),Premissas!$B$18,0)</x:f>
        <x:v>0</x:v>
      </x:c>
      <x:c r="J438" s="141" t="n">
        <x:f>IF(AND(E438&gt;0,F438&gt;0),IF(Premissas!$B$19="PRICE",IF(Premissas!$B$15=0,E438/F438,E438*Premissas!$B$15/(1-(1+Premissas!$B$15)^(-F438)))+I438,G438+H438+I438),0)</x:f>
        <x:v>0</x:v>
      </x:c>
      <x:c r="K438" s="141" t="n">
        <x:f>H438+I438</x:f>
        <x:v>0</x:v>
      </x:c>
      <x:c r="L438" s="141" t="n">
        <x:f>SUM($J$6:J438)</x:f>
        <x:v>542582.5460367565</x:v>
      </x:c>
      <x:c r="M438" s="141" t="n">
        <x:f>MAX(0,E438-G438)</x:f>
        <x:v>0</x:v>
      </x:c>
    </x:row>
    <x:row r="439">
      <x:c r="A439" s="142" t="n">
        <x:v>434</x:v>
      </x:c>
      <x:c r="B439" s="179" t="n">
        <x:f>EDATE(Premissas!$B$4,433)</x:f>
        <x:v>59718</x:v>
      </x:c>
      <x:c r="C439" s="141" t="n">
        <x:f>M438</x:f>
        <x:v>0</x:v>
      </x:c>
      <x:c r="D439" s="141" t="n">
        <x:f>IF(C439&gt;0,C439*Premissas!$B$17,0)</x:f>
        <x:v>0</x:v>
      </x:c>
      <x:c r="E439" s="141" t="n">
        <x:f>C439+D439</x:f>
        <x:v>0</x:v>
      </x:c>
      <x:c r="F439" s="142" t="n">
        <x:f>MAX(0,Premissas!$B$13-A439+1)</x:f>
        <x:v>0</x:v>
      </x:c>
      <x:c r="G439" s="141" t="n">
        <x:f>IF(AND(E439&gt;0,F439&gt;0),IF(Premissas!$B$19="PRICE",MAX(0,MIN(E439,IF(Premissas!$B$15=0,E439/F439,E439*Premissas!$B$15/(1-(1+Premissas!$B$15)^(-F439)))-H439)),MIN(E439,E439/F439)),0)</x:f>
        <x:v>0</x:v>
      </x:c>
      <x:c r="H439" s="141" t="n">
        <x:f>IF(AND(E439&gt;0,F439&gt;0),E439*Premissas!$B$15,0)</x:f>
        <x:v>0</x:v>
      </x:c>
      <x:c r="I439" s="141" t="n">
        <x:f>IF(AND(E439&gt;0,F439&gt;0),Premissas!$B$18,0)</x:f>
        <x:v>0</x:v>
      </x:c>
      <x:c r="J439" s="141" t="n">
        <x:f>IF(AND(E439&gt;0,F439&gt;0),IF(Premissas!$B$19="PRICE",IF(Premissas!$B$15=0,E439/F439,E439*Premissas!$B$15/(1-(1+Premissas!$B$15)^(-F439)))+I439,G439+H439+I439),0)</x:f>
        <x:v>0</x:v>
      </x:c>
      <x:c r="K439" s="141" t="n">
        <x:f>H439+I439</x:f>
        <x:v>0</x:v>
      </x:c>
      <x:c r="L439" s="141" t="n">
        <x:f>SUM($J$6:J439)</x:f>
        <x:v>542582.5460367565</x:v>
      </x:c>
      <x:c r="M439" s="141" t="n">
        <x:f>MAX(0,E439-G439)</x:f>
        <x:v>0</x:v>
      </x:c>
    </x:row>
    <x:row r="440">
      <x:c r="A440" s="142" t="n">
        <x:v>435</x:v>
      </x:c>
      <x:c r="B440" s="179" t="n">
        <x:f>EDATE(Premissas!$B$4,434)</x:f>
        <x:v>59749</x:v>
      </x:c>
      <x:c r="C440" s="141" t="n">
        <x:f>M439</x:f>
        <x:v>0</x:v>
      </x:c>
      <x:c r="D440" s="141" t="n">
        <x:f>IF(C440&gt;0,C440*Premissas!$B$17,0)</x:f>
        <x:v>0</x:v>
      </x:c>
      <x:c r="E440" s="141" t="n">
        <x:f>C440+D440</x:f>
        <x:v>0</x:v>
      </x:c>
      <x:c r="F440" s="142" t="n">
        <x:f>MAX(0,Premissas!$B$13-A440+1)</x:f>
        <x:v>0</x:v>
      </x:c>
      <x:c r="G440" s="141" t="n">
        <x:f>IF(AND(E440&gt;0,F440&gt;0),IF(Premissas!$B$19="PRICE",MAX(0,MIN(E440,IF(Premissas!$B$15=0,E440/F440,E440*Premissas!$B$15/(1-(1+Premissas!$B$15)^(-F440)))-H440)),MIN(E440,E440/F440)),0)</x:f>
        <x:v>0</x:v>
      </x:c>
      <x:c r="H440" s="141" t="n">
        <x:f>IF(AND(E440&gt;0,F440&gt;0),E440*Premissas!$B$15,0)</x:f>
        <x:v>0</x:v>
      </x:c>
      <x:c r="I440" s="141" t="n">
        <x:f>IF(AND(E440&gt;0,F440&gt;0),Premissas!$B$18,0)</x:f>
        <x:v>0</x:v>
      </x:c>
      <x:c r="J440" s="141" t="n">
        <x:f>IF(AND(E440&gt;0,F440&gt;0),IF(Premissas!$B$19="PRICE",IF(Premissas!$B$15=0,E440/F440,E440*Premissas!$B$15/(1-(1+Premissas!$B$15)^(-F440)))+I440,G440+H440+I440),0)</x:f>
        <x:v>0</x:v>
      </x:c>
      <x:c r="K440" s="141" t="n">
        <x:f>H440+I440</x:f>
        <x:v>0</x:v>
      </x:c>
      <x:c r="L440" s="141" t="n">
        <x:f>SUM($J$6:J440)</x:f>
        <x:v>542582.5460367565</x:v>
      </x:c>
      <x:c r="M440" s="141" t="n">
        <x:f>MAX(0,E440-G440)</x:f>
        <x:v>0</x:v>
      </x:c>
    </x:row>
    <x:row r="441">
      <x:c r="A441" s="142" t="n">
        <x:v>436</x:v>
      </x:c>
      <x:c r="B441" s="179" t="n">
        <x:f>EDATE(Premissas!$B$4,435)</x:f>
        <x:v>59780</x:v>
      </x:c>
      <x:c r="C441" s="141" t="n">
        <x:f>M440</x:f>
        <x:v>0</x:v>
      </x:c>
      <x:c r="D441" s="141" t="n">
        <x:f>IF(C441&gt;0,C441*Premissas!$B$17,0)</x:f>
        <x:v>0</x:v>
      </x:c>
      <x:c r="E441" s="141" t="n">
        <x:f>C441+D441</x:f>
        <x:v>0</x:v>
      </x:c>
      <x:c r="F441" s="142" t="n">
        <x:f>MAX(0,Premissas!$B$13-A441+1)</x:f>
        <x:v>0</x:v>
      </x:c>
      <x:c r="G441" s="141" t="n">
        <x:f>IF(AND(E441&gt;0,F441&gt;0),IF(Premissas!$B$19="PRICE",MAX(0,MIN(E441,IF(Premissas!$B$15=0,E441/F441,E441*Premissas!$B$15/(1-(1+Premissas!$B$15)^(-F441)))-H441)),MIN(E441,E441/F441)),0)</x:f>
        <x:v>0</x:v>
      </x:c>
      <x:c r="H441" s="141" t="n">
        <x:f>IF(AND(E441&gt;0,F441&gt;0),E441*Premissas!$B$15,0)</x:f>
        <x:v>0</x:v>
      </x:c>
      <x:c r="I441" s="141" t="n">
        <x:f>IF(AND(E441&gt;0,F441&gt;0),Premissas!$B$18,0)</x:f>
        <x:v>0</x:v>
      </x:c>
      <x:c r="J441" s="141" t="n">
        <x:f>IF(AND(E441&gt;0,F441&gt;0),IF(Premissas!$B$19="PRICE",IF(Premissas!$B$15=0,E441/F441,E441*Premissas!$B$15/(1-(1+Premissas!$B$15)^(-F441)))+I441,G441+H441+I441),0)</x:f>
        <x:v>0</x:v>
      </x:c>
      <x:c r="K441" s="141" t="n">
        <x:f>H441+I441</x:f>
        <x:v>0</x:v>
      </x:c>
      <x:c r="L441" s="141" t="n">
        <x:f>SUM($J$6:J441)</x:f>
        <x:v>542582.5460367565</x:v>
      </x:c>
      <x:c r="M441" s="141" t="n">
        <x:f>MAX(0,E441-G441)</x:f>
        <x:v>0</x:v>
      </x:c>
    </x:row>
    <x:row r="442">
      <x:c r="A442" s="142" t="n">
        <x:v>437</x:v>
      </x:c>
      <x:c r="B442" s="179" t="n">
        <x:f>EDATE(Premissas!$B$4,436)</x:f>
        <x:v>59810</x:v>
      </x:c>
      <x:c r="C442" s="141" t="n">
        <x:f>M441</x:f>
        <x:v>0</x:v>
      </x:c>
      <x:c r="D442" s="141" t="n">
        <x:f>IF(C442&gt;0,C442*Premissas!$B$17,0)</x:f>
        <x:v>0</x:v>
      </x:c>
      <x:c r="E442" s="141" t="n">
        <x:f>C442+D442</x:f>
        <x:v>0</x:v>
      </x:c>
      <x:c r="F442" s="142" t="n">
        <x:f>MAX(0,Premissas!$B$13-A442+1)</x:f>
        <x:v>0</x:v>
      </x:c>
      <x:c r="G442" s="141" t="n">
        <x:f>IF(AND(E442&gt;0,F442&gt;0),IF(Premissas!$B$19="PRICE",MAX(0,MIN(E442,IF(Premissas!$B$15=0,E442/F442,E442*Premissas!$B$15/(1-(1+Premissas!$B$15)^(-F442)))-H442)),MIN(E442,E442/F442)),0)</x:f>
        <x:v>0</x:v>
      </x:c>
      <x:c r="H442" s="141" t="n">
        <x:f>IF(AND(E442&gt;0,F442&gt;0),E442*Premissas!$B$15,0)</x:f>
        <x:v>0</x:v>
      </x:c>
      <x:c r="I442" s="141" t="n">
        <x:f>IF(AND(E442&gt;0,F442&gt;0),Premissas!$B$18,0)</x:f>
        <x:v>0</x:v>
      </x:c>
      <x:c r="J442" s="141" t="n">
        <x:f>IF(AND(E442&gt;0,F442&gt;0),IF(Premissas!$B$19="PRICE",IF(Premissas!$B$15=0,E442/F442,E442*Premissas!$B$15/(1-(1+Premissas!$B$15)^(-F442)))+I442,G442+H442+I442),0)</x:f>
        <x:v>0</x:v>
      </x:c>
      <x:c r="K442" s="141" t="n">
        <x:f>H442+I442</x:f>
        <x:v>0</x:v>
      </x:c>
      <x:c r="L442" s="141" t="n">
        <x:f>SUM($J$6:J442)</x:f>
        <x:v>542582.5460367565</x:v>
      </x:c>
      <x:c r="M442" s="141" t="n">
        <x:f>MAX(0,E442-G442)</x:f>
        <x:v>0</x:v>
      </x:c>
    </x:row>
    <x:row r="443">
      <x:c r="A443" s="142" t="n">
        <x:v>438</x:v>
      </x:c>
      <x:c r="B443" s="179" t="n">
        <x:f>EDATE(Premissas!$B$4,437)</x:f>
        <x:v>59841</x:v>
      </x:c>
      <x:c r="C443" s="141" t="n">
        <x:f>M442</x:f>
        <x:v>0</x:v>
      </x:c>
      <x:c r="D443" s="141" t="n">
        <x:f>IF(C443&gt;0,C443*Premissas!$B$17,0)</x:f>
        <x:v>0</x:v>
      </x:c>
      <x:c r="E443" s="141" t="n">
        <x:f>C443+D443</x:f>
        <x:v>0</x:v>
      </x:c>
      <x:c r="F443" s="142" t="n">
        <x:f>MAX(0,Premissas!$B$13-A443+1)</x:f>
        <x:v>0</x:v>
      </x:c>
      <x:c r="G443" s="141" t="n">
        <x:f>IF(AND(E443&gt;0,F443&gt;0),IF(Premissas!$B$19="PRICE",MAX(0,MIN(E443,IF(Premissas!$B$15=0,E443/F443,E443*Premissas!$B$15/(1-(1+Premissas!$B$15)^(-F443)))-H443)),MIN(E443,E443/F443)),0)</x:f>
        <x:v>0</x:v>
      </x:c>
      <x:c r="H443" s="141" t="n">
        <x:f>IF(AND(E443&gt;0,F443&gt;0),E443*Premissas!$B$15,0)</x:f>
        <x:v>0</x:v>
      </x:c>
      <x:c r="I443" s="141" t="n">
        <x:f>IF(AND(E443&gt;0,F443&gt;0),Premissas!$B$18,0)</x:f>
        <x:v>0</x:v>
      </x:c>
      <x:c r="J443" s="141" t="n">
        <x:f>IF(AND(E443&gt;0,F443&gt;0),IF(Premissas!$B$19="PRICE",IF(Premissas!$B$15=0,E443/F443,E443*Premissas!$B$15/(1-(1+Premissas!$B$15)^(-F443)))+I443,G443+H443+I443),0)</x:f>
        <x:v>0</x:v>
      </x:c>
      <x:c r="K443" s="141" t="n">
        <x:f>H443+I443</x:f>
        <x:v>0</x:v>
      </x:c>
      <x:c r="L443" s="141" t="n">
        <x:f>SUM($J$6:J443)</x:f>
        <x:v>542582.5460367565</x:v>
      </x:c>
      <x:c r="M443" s="141" t="n">
        <x:f>MAX(0,E443-G443)</x:f>
        <x:v>0</x:v>
      </x:c>
    </x:row>
    <x:row r="444">
      <x:c r="A444" s="142" t="n">
        <x:v>439</x:v>
      </x:c>
      <x:c r="B444" s="179" t="n">
        <x:f>EDATE(Premissas!$B$4,438)</x:f>
        <x:v>59871</x:v>
      </x:c>
      <x:c r="C444" s="141" t="n">
        <x:f>M443</x:f>
        <x:v>0</x:v>
      </x:c>
      <x:c r="D444" s="141" t="n">
        <x:f>IF(C444&gt;0,C444*Premissas!$B$17,0)</x:f>
        <x:v>0</x:v>
      </x:c>
      <x:c r="E444" s="141" t="n">
        <x:f>C444+D444</x:f>
        <x:v>0</x:v>
      </x:c>
      <x:c r="F444" s="142" t="n">
        <x:f>MAX(0,Premissas!$B$13-A444+1)</x:f>
        <x:v>0</x:v>
      </x:c>
      <x:c r="G444" s="141" t="n">
        <x:f>IF(AND(E444&gt;0,F444&gt;0),IF(Premissas!$B$19="PRICE",MAX(0,MIN(E444,IF(Premissas!$B$15=0,E444/F444,E444*Premissas!$B$15/(1-(1+Premissas!$B$15)^(-F444)))-H444)),MIN(E444,E444/F444)),0)</x:f>
        <x:v>0</x:v>
      </x:c>
      <x:c r="H444" s="141" t="n">
        <x:f>IF(AND(E444&gt;0,F444&gt;0),E444*Premissas!$B$15,0)</x:f>
        <x:v>0</x:v>
      </x:c>
      <x:c r="I444" s="141" t="n">
        <x:f>IF(AND(E444&gt;0,F444&gt;0),Premissas!$B$18,0)</x:f>
        <x:v>0</x:v>
      </x:c>
      <x:c r="J444" s="141" t="n">
        <x:f>IF(AND(E444&gt;0,F444&gt;0),IF(Premissas!$B$19="PRICE",IF(Premissas!$B$15=0,E444/F444,E444*Premissas!$B$15/(1-(1+Premissas!$B$15)^(-F444)))+I444,G444+H444+I444),0)</x:f>
        <x:v>0</x:v>
      </x:c>
      <x:c r="K444" s="141" t="n">
        <x:f>H444+I444</x:f>
        <x:v>0</x:v>
      </x:c>
      <x:c r="L444" s="141" t="n">
        <x:f>SUM($J$6:J444)</x:f>
        <x:v>542582.5460367565</x:v>
      </x:c>
      <x:c r="M444" s="141" t="n">
        <x:f>MAX(0,E444-G444)</x:f>
        <x:v>0</x:v>
      </x:c>
    </x:row>
    <x:row r="445">
      <x:c r="A445" s="142" t="n">
        <x:v>440</x:v>
      </x:c>
      <x:c r="B445" s="179" t="n">
        <x:f>EDATE(Premissas!$B$4,439)</x:f>
        <x:v>59902</x:v>
      </x:c>
      <x:c r="C445" s="141" t="n">
        <x:f>M444</x:f>
        <x:v>0</x:v>
      </x:c>
      <x:c r="D445" s="141" t="n">
        <x:f>IF(C445&gt;0,C445*Premissas!$B$17,0)</x:f>
        <x:v>0</x:v>
      </x:c>
      <x:c r="E445" s="141" t="n">
        <x:f>C445+D445</x:f>
        <x:v>0</x:v>
      </x:c>
      <x:c r="F445" s="142" t="n">
        <x:f>MAX(0,Premissas!$B$13-A445+1)</x:f>
        <x:v>0</x:v>
      </x:c>
      <x:c r="G445" s="141" t="n">
        <x:f>IF(AND(E445&gt;0,F445&gt;0),IF(Premissas!$B$19="PRICE",MAX(0,MIN(E445,IF(Premissas!$B$15=0,E445/F445,E445*Premissas!$B$15/(1-(1+Premissas!$B$15)^(-F445)))-H445)),MIN(E445,E445/F445)),0)</x:f>
        <x:v>0</x:v>
      </x:c>
      <x:c r="H445" s="141" t="n">
        <x:f>IF(AND(E445&gt;0,F445&gt;0),E445*Premissas!$B$15,0)</x:f>
        <x:v>0</x:v>
      </x:c>
      <x:c r="I445" s="141" t="n">
        <x:f>IF(AND(E445&gt;0,F445&gt;0),Premissas!$B$18,0)</x:f>
        <x:v>0</x:v>
      </x:c>
      <x:c r="J445" s="141" t="n">
        <x:f>IF(AND(E445&gt;0,F445&gt;0),IF(Premissas!$B$19="PRICE",IF(Premissas!$B$15=0,E445/F445,E445*Premissas!$B$15/(1-(1+Premissas!$B$15)^(-F445)))+I445,G445+H445+I445),0)</x:f>
        <x:v>0</x:v>
      </x:c>
      <x:c r="K445" s="141" t="n">
        <x:f>H445+I445</x:f>
        <x:v>0</x:v>
      </x:c>
      <x:c r="L445" s="141" t="n">
        <x:f>SUM($J$6:J445)</x:f>
        <x:v>542582.5460367565</x:v>
      </x:c>
      <x:c r="M445" s="141" t="n">
        <x:f>MAX(0,E445-G445)</x:f>
        <x:v>0</x:v>
      </x:c>
    </x:row>
    <x:row r="446">
      <x:c r="A446" s="142" t="n">
        <x:v>441</x:v>
      </x:c>
      <x:c r="B446" s="179" t="n">
        <x:f>EDATE(Premissas!$B$4,440)</x:f>
        <x:v>59933</x:v>
      </x:c>
      <x:c r="C446" s="141" t="n">
        <x:f>M445</x:f>
        <x:v>0</x:v>
      </x:c>
      <x:c r="D446" s="141" t="n">
        <x:f>IF(C446&gt;0,C446*Premissas!$B$17,0)</x:f>
        <x:v>0</x:v>
      </x:c>
      <x:c r="E446" s="141" t="n">
        <x:f>C446+D446</x:f>
        <x:v>0</x:v>
      </x:c>
      <x:c r="F446" s="142" t="n">
        <x:f>MAX(0,Premissas!$B$13-A446+1)</x:f>
        <x:v>0</x:v>
      </x:c>
      <x:c r="G446" s="141" t="n">
        <x:f>IF(AND(E446&gt;0,F446&gt;0),IF(Premissas!$B$19="PRICE",MAX(0,MIN(E446,IF(Premissas!$B$15=0,E446/F446,E446*Premissas!$B$15/(1-(1+Premissas!$B$15)^(-F446)))-H446)),MIN(E446,E446/F446)),0)</x:f>
        <x:v>0</x:v>
      </x:c>
      <x:c r="H446" s="141" t="n">
        <x:f>IF(AND(E446&gt;0,F446&gt;0),E446*Premissas!$B$15,0)</x:f>
        <x:v>0</x:v>
      </x:c>
      <x:c r="I446" s="141" t="n">
        <x:f>IF(AND(E446&gt;0,F446&gt;0),Premissas!$B$18,0)</x:f>
        <x:v>0</x:v>
      </x:c>
      <x:c r="J446" s="141" t="n">
        <x:f>IF(AND(E446&gt;0,F446&gt;0),IF(Premissas!$B$19="PRICE",IF(Premissas!$B$15=0,E446/F446,E446*Premissas!$B$15/(1-(1+Premissas!$B$15)^(-F446)))+I446,G446+H446+I446),0)</x:f>
        <x:v>0</x:v>
      </x:c>
      <x:c r="K446" s="141" t="n">
        <x:f>H446+I446</x:f>
        <x:v>0</x:v>
      </x:c>
      <x:c r="L446" s="141" t="n">
        <x:f>SUM($J$6:J446)</x:f>
        <x:v>542582.5460367565</x:v>
      </x:c>
      <x:c r="M446" s="141" t="n">
        <x:f>MAX(0,E446-G446)</x:f>
        <x:v>0</x:v>
      </x:c>
    </x:row>
    <x:row r="447">
      <x:c r="A447" s="142" t="n">
        <x:v>442</x:v>
      </x:c>
      <x:c r="B447" s="179" t="n">
        <x:f>EDATE(Premissas!$B$4,441)</x:f>
        <x:v>59962</x:v>
      </x:c>
      <x:c r="C447" s="141" t="n">
        <x:f>M446</x:f>
        <x:v>0</x:v>
      </x:c>
      <x:c r="D447" s="141" t="n">
        <x:f>IF(C447&gt;0,C447*Premissas!$B$17,0)</x:f>
        <x:v>0</x:v>
      </x:c>
      <x:c r="E447" s="141" t="n">
        <x:f>C447+D447</x:f>
        <x:v>0</x:v>
      </x:c>
      <x:c r="F447" s="142" t="n">
        <x:f>MAX(0,Premissas!$B$13-A447+1)</x:f>
        <x:v>0</x:v>
      </x:c>
      <x:c r="G447" s="141" t="n">
        <x:f>IF(AND(E447&gt;0,F447&gt;0),IF(Premissas!$B$19="PRICE",MAX(0,MIN(E447,IF(Premissas!$B$15=0,E447/F447,E447*Premissas!$B$15/(1-(1+Premissas!$B$15)^(-F447)))-H447)),MIN(E447,E447/F447)),0)</x:f>
        <x:v>0</x:v>
      </x:c>
      <x:c r="H447" s="141" t="n">
        <x:f>IF(AND(E447&gt;0,F447&gt;0),E447*Premissas!$B$15,0)</x:f>
        <x:v>0</x:v>
      </x:c>
      <x:c r="I447" s="141" t="n">
        <x:f>IF(AND(E447&gt;0,F447&gt;0),Premissas!$B$18,0)</x:f>
        <x:v>0</x:v>
      </x:c>
      <x:c r="J447" s="141" t="n">
        <x:f>IF(AND(E447&gt;0,F447&gt;0),IF(Premissas!$B$19="PRICE",IF(Premissas!$B$15=0,E447/F447,E447*Premissas!$B$15/(1-(1+Premissas!$B$15)^(-F447)))+I447,G447+H447+I447),0)</x:f>
        <x:v>0</x:v>
      </x:c>
      <x:c r="K447" s="141" t="n">
        <x:f>H447+I447</x:f>
        <x:v>0</x:v>
      </x:c>
      <x:c r="L447" s="141" t="n">
        <x:f>SUM($J$6:J447)</x:f>
        <x:v>542582.5460367565</x:v>
      </x:c>
      <x:c r="M447" s="141" t="n">
        <x:f>MAX(0,E447-G447)</x:f>
        <x:v>0</x:v>
      </x:c>
    </x:row>
    <x:row r="448">
      <x:c r="A448" s="142" t="n">
        <x:v>443</x:v>
      </x:c>
      <x:c r="B448" s="179" t="n">
        <x:f>EDATE(Premissas!$B$4,442)</x:f>
        <x:v>59993</x:v>
      </x:c>
      <x:c r="C448" s="141" t="n">
        <x:f>M447</x:f>
        <x:v>0</x:v>
      </x:c>
      <x:c r="D448" s="141" t="n">
        <x:f>IF(C448&gt;0,C448*Premissas!$B$17,0)</x:f>
        <x:v>0</x:v>
      </x:c>
      <x:c r="E448" s="141" t="n">
        <x:f>C448+D448</x:f>
        <x:v>0</x:v>
      </x:c>
      <x:c r="F448" s="142" t="n">
        <x:f>MAX(0,Premissas!$B$13-A448+1)</x:f>
        <x:v>0</x:v>
      </x:c>
      <x:c r="G448" s="141" t="n">
        <x:f>IF(AND(E448&gt;0,F448&gt;0),IF(Premissas!$B$19="PRICE",MAX(0,MIN(E448,IF(Premissas!$B$15=0,E448/F448,E448*Premissas!$B$15/(1-(1+Premissas!$B$15)^(-F448)))-H448)),MIN(E448,E448/F448)),0)</x:f>
        <x:v>0</x:v>
      </x:c>
      <x:c r="H448" s="141" t="n">
        <x:f>IF(AND(E448&gt;0,F448&gt;0),E448*Premissas!$B$15,0)</x:f>
        <x:v>0</x:v>
      </x:c>
      <x:c r="I448" s="141" t="n">
        <x:f>IF(AND(E448&gt;0,F448&gt;0),Premissas!$B$18,0)</x:f>
        <x:v>0</x:v>
      </x:c>
      <x:c r="J448" s="141" t="n">
        <x:f>IF(AND(E448&gt;0,F448&gt;0),IF(Premissas!$B$19="PRICE",IF(Premissas!$B$15=0,E448/F448,E448*Premissas!$B$15/(1-(1+Premissas!$B$15)^(-F448)))+I448,G448+H448+I448),0)</x:f>
        <x:v>0</x:v>
      </x:c>
      <x:c r="K448" s="141" t="n">
        <x:f>H448+I448</x:f>
        <x:v>0</x:v>
      </x:c>
      <x:c r="L448" s="141" t="n">
        <x:f>SUM($J$6:J448)</x:f>
        <x:v>542582.5460367565</x:v>
      </x:c>
      <x:c r="M448" s="141" t="n">
        <x:f>MAX(0,E448-G448)</x:f>
        <x:v>0</x:v>
      </x:c>
    </x:row>
    <x:row r="449">
      <x:c r="A449" s="142" t="n">
        <x:v>444</x:v>
      </x:c>
      <x:c r="B449" s="179" t="n">
        <x:f>EDATE(Premissas!$B$4,443)</x:f>
        <x:v>60023</x:v>
      </x:c>
      <x:c r="C449" s="141" t="n">
        <x:f>M448</x:f>
        <x:v>0</x:v>
      </x:c>
      <x:c r="D449" s="141" t="n">
        <x:f>IF(C449&gt;0,C449*Premissas!$B$17,0)</x:f>
        <x:v>0</x:v>
      </x:c>
      <x:c r="E449" s="141" t="n">
        <x:f>C449+D449</x:f>
        <x:v>0</x:v>
      </x:c>
      <x:c r="F449" s="142" t="n">
        <x:f>MAX(0,Premissas!$B$13-A449+1)</x:f>
        <x:v>0</x:v>
      </x:c>
      <x:c r="G449" s="141" t="n">
        <x:f>IF(AND(E449&gt;0,F449&gt;0),IF(Premissas!$B$19="PRICE",MAX(0,MIN(E449,IF(Premissas!$B$15=0,E449/F449,E449*Premissas!$B$15/(1-(1+Premissas!$B$15)^(-F449)))-H449)),MIN(E449,E449/F449)),0)</x:f>
        <x:v>0</x:v>
      </x:c>
      <x:c r="H449" s="141" t="n">
        <x:f>IF(AND(E449&gt;0,F449&gt;0),E449*Premissas!$B$15,0)</x:f>
        <x:v>0</x:v>
      </x:c>
      <x:c r="I449" s="141" t="n">
        <x:f>IF(AND(E449&gt;0,F449&gt;0),Premissas!$B$18,0)</x:f>
        <x:v>0</x:v>
      </x:c>
      <x:c r="J449" s="141" t="n">
        <x:f>IF(AND(E449&gt;0,F449&gt;0),IF(Premissas!$B$19="PRICE",IF(Premissas!$B$15=0,E449/F449,E449*Premissas!$B$15/(1-(1+Premissas!$B$15)^(-F449)))+I449,G449+H449+I449),0)</x:f>
        <x:v>0</x:v>
      </x:c>
      <x:c r="K449" s="141" t="n">
        <x:f>H449+I449</x:f>
        <x:v>0</x:v>
      </x:c>
      <x:c r="L449" s="141" t="n">
        <x:f>SUM($J$6:J449)</x:f>
        <x:v>542582.5460367565</x:v>
      </x:c>
      <x:c r="M449" s="141" t="n">
        <x:f>MAX(0,E449-G449)</x:f>
        <x:v>0</x:v>
      </x:c>
    </x:row>
    <x:row r="450">
      <x:c r="A450" s="142" t="n">
        <x:v>445</x:v>
      </x:c>
      <x:c r="B450" s="179" t="n">
        <x:f>EDATE(Premissas!$B$4,444)</x:f>
        <x:v>60054</x:v>
      </x:c>
      <x:c r="C450" s="141" t="n">
        <x:f>M449</x:f>
        <x:v>0</x:v>
      </x:c>
      <x:c r="D450" s="141" t="n">
        <x:f>IF(C450&gt;0,C450*Premissas!$B$17,0)</x:f>
        <x:v>0</x:v>
      </x:c>
      <x:c r="E450" s="141" t="n">
        <x:f>C450+D450</x:f>
        <x:v>0</x:v>
      </x:c>
      <x:c r="F450" s="142" t="n">
        <x:f>MAX(0,Premissas!$B$13-A450+1)</x:f>
        <x:v>0</x:v>
      </x:c>
      <x:c r="G450" s="141" t="n">
        <x:f>IF(AND(E450&gt;0,F450&gt;0),IF(Premissas!$B$19="PRICE",MAX(0,MIN(E450,IF(Premissas!$B$15=0,E450/F450,E450*Premissas!$B$15/(1-(1+Premissas!$B$15)^(-F450)))-H450)),MIN(E450,E450/F450)),0)</x:f>
        <x:v>0</x:v>
      </x:c>
      <x:c r="H450" s="141" t="n">
        <x:f>IF(AND(E450&gt;0,F450&gt;0),E450*Premissas!$B$15,0)</x:f>
        <x:v>0</x:v>
      </x:c>
      <x:c r="I450" s="141" t="n">
        <x:f>IF(AND(E450&gt;0,F450&gt;0),Premissas!$B$18,0)</x:f>
        <x:v>0</x:v>
      </x:c>
      <x:c r="J450" s="141" t="n">
        <x:f>IF(AND(E450&gt;0,F450&gt;0),IF(Premissas!$B$19="PRICE",IF(Premissas!$B$15=0,E450/F450,E450*Premissas!$B$15/(1-(1+Premissas!$B$15)^(-F450)))+I450,G450+H450+I450),0)</x:f>
        <x:v>0</x:v>
      </x:c>
      <x:c r="K450" s="141" t="n">
        <x:f>H450+I450</x:f>
        <x:v>0</x:v>
      </x:c>
      <x:c r="L450" s="141" t="n">
        <x:f>SUM($J$6:J450)</x:f>
        <x:v>542582.5460367565</x:v>
      </x:c>
      <x:c r="M450" s="141" t="n">
        <x:f>MAX(0,E450-G450)</x:f>
        <x:v>0</x:v>
      </x:c>
    </x:row>
    <x:row r="451">
      <x:c r="A451" s="142" t="n">
        <x:v>446</x:v>
      </x:c>
      <x:c r="B451" s="179" t="n">
        <x:f>EDATE(Premissas!$B$4,445)</x:f>
        <x:v>60084</x:v>
      </x:c>
      <x:c r="C451" s="141" t="n">
        <x:f>M450</x:f>
        <x:v>0</x:v>
      </x:c>
      <x:c r="D451" s="141" t="n">
        <x:f>IF(C451&gt;0,C451*Premissas!$B$17,0)</x:f>
        <x:v>0</x:v>
      </x:c>
      <x:c r="E451" s="141" t="n">
        <x:f>C451+D451</x:f>
        <x:v>0</x:v>
      </x:c>
      <x:c r="F451" s="142" t="n">
        <x:f>MAX(0,Premissas!$B$13-A451+1)</x:f>
        <x:v>0</x:v>
      </x:c>
      <x:c r="G451" s="141" t="n">
        <x:f>IF(AND(E451&gt;0,F451&gt;0),IF(Premissas!$B$19="PRICE",MAX(0,MIN(E451,IF(Premissas!$B$15=0,E451/F451,E451*Premissas!$B$15/(1-(1+Premissas!$B$15)^(-F451)))-H451)),MIN(E451,E451/F451)),0)</x:f>
        <x:v>0</x:v>
      </x:c>
      <x:c r="H451" s="141" t="n">
        <x:f>IF(AND(E451&gt;0,F451&gt;0),E451*Premissas!$B$15,0)</x:f>
        <x:v>0</x:v>
      </x:c>
      <x:c r="I451" s="141" t="n">
        <x:f>IF(AND(E451&gt;0,F451&gt;0),Premissas!$B$18,0)</x:f>
        <x:v>0</x:v>
      </x:c>
      <x:c r="J451" s="141" t="n">
        <x:f>IF(AND(E451&gt;0,F451&gt;0),IF(Premissas!$B$19="PRICE",IF(Premissas!$B$15=0,E451/F451,E451*Premissas!$B$15/(1-(1+Premissas!$B$15)^(-F451)))+I451,G451+H451+I451),0)</x:f>
        <x:v>0</x:v>
      </x:c>
      <x:c r="K451" s="141" t="n">
        <x:f>H451+I451</x:f>
        <x:v>0</x:v>
      </x:c>
      <x:c r="L451" s="141" t="n">
        <x:f>SUM($J$6:J451)</x:f>
        <x:v>542582.5460367565</x:v>
      </x:c>
      <x:c r="M451" s="141" t="n">
        <x:f>MAX(0,E451-G451)</x:f>
        <x:v>0</x:v>
      </x:c>
    </x:row>
    <x:row r="452">
      <x:c r="A452" s="142" t="n">
        <x:v>447</x:v>
      </x:c>
      <x:c r="B452" s="179" t="n">
        <x:f>EDATE(Premissas!$B$4,446)</x:f>
        <x:v>60115</x:v>
      </x:c>
      <x:c r="C452" s="141" t="n">
        <x:f>M451</x:f>
        <x:v>0</x:v>
      </x:c>
      <x:c r="D452" s="141" t="n">
        <x:f>IF(C452&gt;0,C452*Premissas!$B$17,0)</x:f>
        <x:v>0</x:v>
      </x:c>
      <x:c r="E452" s="141" t="n">
        <x:f>C452+D452</x:f>
        <x:v>0</x:v>
      </x:c>
      <x:c r="F452" s="142" t="n">
        <x:f>MAX(0,Premissas!$B$13-A452+1)</x:f>
        <x:v>0</x:v>
      </x:c>
      <x:c r="G452" s="141" t="n">
        <x:f>IF(AND(E452&gt;0,F452&gt;0),IF(Premissas!$B$19="PRICE",MAX(0,MIN(E452,IF(Premissas!$B$15=0,E452/F452,E452*Premissas!$B$15/(1-(1+Premissas!$B$15)^(-F452)))-H452)),MIN(E452,E452/F452)),0)</x:f>
        <x:v>0</x:v>
      </x:c>
      <x:c r="H452" s="141" t="n">
        <x:f>IF(AND(E452&gt;0,F452&gt;0),E452*Premissas!$B$15,0)</x:f>
        <x:v>0</x:v>
      </x:c>
      <x:c r="I452" s="141" t="n">
        <x:f>IF(AND(E452&gt;0,F452&gt;0),Premissas!$B$18,0)</x:f>
        <x:v>0</x:v>
      </x:c>
      <x:c r="J452" s="141" t="n">
        <x:f>IF(AND(E452&gt;0,F452&gt;0),IF(Premissas!$B$19="PRICE",IF(Premissas!$B$15=0,E452/F452,E452*Premissas!$B$15/(1-(1+Premissas!$B$15)^(-F452)))+I452,G452+H452+I452),0)</x:f>
        <x:v>0</x:v>
      </x:c>
      <x:c r="K452" s="141" t="n">
        <x:f>H452+I452</x:f>
        <x:v>0</x:v>
      </x:c>
      <x:c r="L452" s="141" t="n">
        <x:f>SUM($J$6:J452)</x:f>
        <x:v>542582.5460367565</x:v>
      </x:c>
      <x:c r="M452" s="141" t="n">
        <x:f>MAX(0,E452-G452)</x:f>
        <x:v>0</x:v>
      </x:c>
    </x:row>
    <x:row r="453">
      <x:c r="A453" s="142" t="n">
        <x:v>448</x:v>
      </x:c>
      <x:c r="B453" s="179" t="n">
        <x:f>EDATE(Premissas!$B$4,447)</x:f>
        <x:v>60146</x:v>
      </x:c>
      <x:c r="C453" s="141" t="n">
        <x:f>M452</x:f>
        <x:v>0</x:v>
      </x:c>
      <x:c r="D453" s="141" t="n">
        <x:f>IF(C453&gt;0,C453*Premissas!$B$17,0)</x:f>
        <x:v>0</x:v>
      </x:c>
      <x:c r="E453" s="141" t="n">
        <x:f>C453+D453</x:f>
        <x:v>0</x:v>
      </x:c>
      <x:c r="F453" s="142" t="n">
        <x:f>MAX(0,Premissas!$B$13-A453+1)</x:f>
        <x:v>0</x:v>
      </x:c>
      <x:c r="G453" s="141" t="n">
        <x:f>IF(AND(E453&gt;0,F453&gt;0),IF(Premissas!$B$19="PRICE",MAX(0,MIN(E453,IF(Premissas!$B$15=0,E453/F453,E453*Premissas!$B$15/(1-(1+Premissas!$B$15)^(-F453)))-H453)),MIN(E453,E453/F453)),0)</x:f>
        <x:v>0</x:v>
      </x:c>
      <x:c r="H453" s="141" t="n">
        <x:f>IF(AND(E453&gt;0,F453&gt;0),E453*Premissas!$B$15,0)</x:f>
        <x:v>0</x:v>
      </x:c>
      <x:c r="I453" s="141" t="n">
        <x:f>IF(AND(E453&gt;0,F453&gt;0),Premissas!$B$18,0)</x:f>
        <x:v>0</x:v>
      </x:c>
      <x:c r="J453" s="141" t="n">
        <x:f>IF(AND(E453&gt;0,F453&gt;0),IF(Premissas!$B$19="PRICE",IF(Premissas!$B$15=0,E453/F453,E453*Premissas!$B$15/(1-(1+Premissas!$B$15)^(-F453)))+I453,G453+H453+I453),0)</x:f>
        <x:v>0</x:v>
      </x:c>
      <x:c r="K453" s="141" t="n">
        <x:f>H453+I453</x:f>
        <x:v>0</x:v>
      </x:c>
      <x:c r="L453" s="141" t="n">
        <x:f>SUM($J$6:J453)</x:f>
        <x:v>542582.5460367565</x:v>
      </x:c>
      <x:c r="M453" s="141" t="n">
        <x:f>MAX(0,E453-G453)</x:f>
        <x:v>0</x:v>
      </x:c>
    </x:row>
    <x:row r="454">
      <x:c r="A454" s="142" t="n">
        <x:v>449</x:v>
      </x:c>
      <x:c r="B454" s="179" t="n">
        <x:f>EDATE(Premissas!$B$4,448)</x:f>
        <x:v>60176</x:v>
      </x:c>
      <x:c r="C454" s="141" t="n">
        <x:f>M453</x:f>
        <x:v>0</x:v>
      </x:c>
      <x:c r="D454" s="141" t="n">
        <x:f>IF(C454&gt;0,C454*Premissas!$B$17,0)</x:f>
        <x:v>0</x:v>
      </x:c>
      <x:c r="E454" s="141" t="n">
        <x:f>C454+D454</x:f>
        <x:v>0</x:v>
      </x:c>
      <x:c r="F454" s="142" t="n">
        <x:f>MAX(0,Premissas!$B$13-A454+1)</x:f>
        <x:v>0</x:v>
      </x:c>
      <x:c r="G454" s="141" t="n">
        <x:f>IF(AND(E454&gt;0,F454&gt;0),IF(Premissas!$B$19="PRICE",MAX(0,MIN(E454,IF(Premissas!$B$15=0,E454/F454,E454*Premissas!$B$15/(1-(1+Premissas!$B$15)^(-F454)))-H454)),MIN(E454,E454/F454)),0)</x:f>
        <x:v>0</x:v>
      </x:c>
      <x:c r="H454" s="141" t="n">
        <x:f>IF(AND(E454&gt;0,F454&gt;0),E454*Premissas!$B$15,0)</x:f>
        <x:v>0</x:v>
      </x:c>
      <x:c r="I454" s="141" t="n">
        <x:f>IF(AND(E454&gt;0,F454&gt;0),Premissas!$B$18,0)</x:f>
        <x:v>0</x:v>
      </x:c>
      <x:c r="J454" s="141" t="n">
        <x:f>IF(AND(E454&gt;0,F454&gt;0),IF(Premissas!$B$19="PRICE",IF(Premissas!$B$15=0,E454/F454,E454*Premissas!$B$15/(1-(1+Premissas!$B$15)^(-F454)))+I454,G454+H454+I454),0)</x:f>
        <x:v>0</x:v>
      </x:c>
      <x:c r="K454" s="141" t="n">
        <x:f>H454+I454</x:f>
        <x:v>0</x:v>
      </x:c>
      <x:c r="L454" s="141" t="n">
        <x:f>SUM($J$6:J454)</x:f>
        <x:v>542582.5460367565</x:v>
      </x:c>
      <x:c r="M454" s="141" t="n">
        <x:f>MAX(0,E454-G454)</x:f>
        <x:v>0</x:v>
      </x:c>
    </x:row>
    <x:row r="455">
      <x:c r="A455" s="142" t="n">
        <x:v>450</x:v>
      </x:c>
      <x:c r="B455" s="179" t="n">
        <x:f>EDATE(Premissas!$B$4,449)</x:f>
        <x:v>60207</x:v>
      </x:c>
      <x:c r="C455" s="141" t="n">
        <x:f>M454</x:f>
        <x:v>0</x:v>
      </x:c>
      <x:c r="D455" s="141" t="n">
        <x:f>IF(C455&gt;0,C455*Premissas!$B$17,0)</x:f>
        <x:v>0</x:v>
      </x:c>
      <x:c r="E455" s="141" t="n">
        <x:f>C455+D455</x:f>
        <x:v>0</x:v>
      </x:c>
      <x:c r="F455" s="142" t="n">
        <x:f>MAX(0,Premissas!$B$13-A455+1)</x:f>
        <x:v>0</x:v>
      </x:c>
      <x:c r="G455" s="141" t="n">
        <x:f>IF(AND(E455&gt;0,F455&gt;0),IF(Premissas!$B$19="PRICE",MAX(0,MIN(E455,IF(Premissas!$B$15=0,E455/F455,E455*Premissas!$B$15/(1-(1+Premissas!$B$15)^(-F455)))-H455)),MIN(E455,E455/F455)),0)</x:f>
        <x:v>0</x:v>
      </x:c>
      <x:c r="H455" s="141" t="n">
        <x:f>IF(AND(E455&gt;0,F455&gt;0),E455*Premissas!$B$15,0)</x:f>
        <x:v>0</x:v>
      </x:c>
      <x:c r="I455" s="141" t="n">
        <x:f>IF(AND(E455&gt;0,F455&gt;0),Premissas!$B$18,0)</x:f>
        <x:v>0</x:v>
      </x:c>
      <x:c r="J455" s="141" t="n">
        <x:f>IF(AND(E455&gt;0,F455&gt;0),IF(Premissas!$B$19="PRICE",IF(Premissas!$B$15=0,E455/F455,E455*Premissas!$B$15/(1-(1+Premissas!$B$15)^(-F455)))+I455,G455+H455+I455),0)</x:f>
        <x:v>0</x:v>
      </x:c>
      <x:c r="K455" s="141" t="n">
        <x:f>H455+I455</x:f>
        <x:v>0</x:v>
      </x:c>
      <x:c r="L455" s="141" t="n">
        <x:f>SUM($J$6:J455)</x:f>
        <x:v>542582.5460367565</x:v>
      </x:c>
      <x:c r="M455" s="141" t="n">
        <x:f>MAX(0,E455-G455)</x:f>
        <x:v>0</x:v>
      </x:c>
    </x:row>
    <x:row r="456">
      <x:c r="A456" s="142" t="n">
        <x:v>451</x:v>
      </x:c>
      <x:c r="B456" s="179" t="n">
        <x:f>EDATE(Premissas!$B$4,450)</x:f>
        <x:v>60237</x:v>
      </x:c>
      <x:c r="C456" s="141" t="n">
        <x:f>M455</x:f>
        <x:v>0</x:v>
      </x:c>
      <x:c r="D456" s="141" t="n">
        <x:f>IF(C456&gt;0,C456*Premissas!$B$17,0)</x:f>
        <x:v>0</x:v>
      </x:c>
      <x:c r="E456" s="141" t="n">
        <x:f>C456+D456</x:f>
        <x:v>0</x:v>
      </x:c>
      <x:c r="F456" s="142" t="n">
        <x:f>MAX(0,Premissas!$B$13-A456+1)</x:f>
        <x:v>0</x:v>
      </x:c>
      <x:c r="G456" s="141" t="n">
        <x:f>IF(AND(E456&gt;0,F456&gt;0),IF(Premissas!$B$19="PRICE",MAX(0,MIN(E456,IF(Premissas!$B$15=0,E456/F456,E456*Premissas!$B$15/(1-(1+Premissas!$B$15)^(-F456)))-H456)),MIN(E456,E456/F456)),0)</x:f>
        <x:v>0</x:v>
      </x:c>
      <x:c r="H456" s="141" t="n">
        <x:f>IF(AND(E456&gt;0,F456&gt;0),E456*Premissas!$B$15,0)</x:f>
        <x:v>0</x:v>
      </x:c>
      <x:c r="I456" s="141" t="n">
        <x:f>IF(AND(E456&gt;0,F456&gt;0),Premissas!$B$18,0)</x:f>
        <x:v>0</x:v>
      </x:c>
      <x:c r="J456" s="141" t="n">
        <x:f>IF(AND(E456&gt;0,F456&gt;0),IF(Premissas!$B$19="PRICE",IF(Premissas!$B$15=0,E456/F456,E456*Premissas!$B$15/(1-(1+Premissas!$B$15)^(-F456)))+I456,G456+H456+I456),0)</x:f>
        <x:v>0</x:v>
      </x:c>
      <x:c r="K456" s="141" t="n">
        <x:f>H456+I456</x:f>
        <x:v>0</x:v>
      </x:c>
      <x:c r="L456" s="141" t="n">
        <x:f>SUM($J$6:J456)</x:f>
        <x:v>542582.5460367565</x:v>
      </x:c>
      <x:c r="M456" s="141" t="n">
        <x:f>MAX(0,E456-G456)</x:f>
        <x:v>0</x:v>
      </x:c>
    </x:row>
    <x:row r="457">
      <x:c r="A457" s="142" t="n">
        <x:v>452</x:v>
      </x:c>
      <x:c r="B457" s="179" t="n">
        <x:f>EDATE(Premissas!$B$4,451)</x:f>
        <x:v>60268</x:v>
      </x:c>
      <x:c r="C457" s="141" t="n">
        <x:f>M456</x:f>
        <x:v>0</x:v>
      </x:c>
      <x:c r="D457" s="141" t="n">
        <x:f>IF(C457&gt;0,C457*Premissas!$B$17,0)</x:f>
        <x:v>0</x:v>
      </x:c>
      <x:c r="E457" s="141" t="n">
        <x:f>C457+D457</x:f>
        <x:v>0</x:v>
      </x:c>
      <x:c r="F457" s="142" t="n">
        <x:f>MAX(0,Premissas!$B$13-A457+1)</x:f>
        <x:v>0</x:v>
      </x:c>
      <x:c r="G457" s="141" t="n">
        <x:f>IF(AND(E457&gt;0,F457&gt;0),IF(Premissas!$B$19="PRICE",MAX(0,MIN(E457,IF(Premissas!$B$15=0,E457/F457,E457*Premissas!$B$15/(1-(1+Premissas!$B$15)^(-F457)))-H457)),MIN(E457,E457/F457)),0)</x:f>
        <x:v>0</x:v>
      </x:c>
      <x:c r="H457" s="141" t="n">
        <x:f>IF(AND(E457&gt;0,F457&gt;0),E457*Premissas!$B$15,0)</x:f>
        <x:v>0</x:v>
      </x:c>
      <x:c r="I457" s="141" t="n">
        <x:f>IF(AND(E457&gt;0,F457&gt;0),Premissas!$B$18,0)</x:f>
        <x:v>0</x:v>
      </x:c>
      <x:c r="J457" s="141" t="n">
        <x:f>IF(AND(E457&gt;0,F457&gt;0),IF(Premissas!$B$19="PRICE",IF(Premissas!$B$15=0,E457/F457,E457*Premissas!$B$15/(1-(1+Premissas!$B$15)^(-F457)))+I457,G457+H457+I457),0)</x:f>
        <x:v>0</x:v>
      </x:c>
      <x:c r="K457" s="141" t="n">
        <x:f>H457+I457</x:f>
        <x:v>0</x:v>
      </x:c>
      <x:c r="L457" s="141" t="n">
        <x:f>SUM($J$6:J457)</x:f>
        <x:v>542582.5460367565</x:v>
      </x:c>
      <x:c r="M457" s="141" t="n">
        <x:f>MAX(0,E457-G457)</x:f>
        <x:v>0</x:v>
      </x:c>
    </x:row>
    <x:row r="458">
      <x:c r="A458" s="142" t="n">
        <x:v>453</x:v>
      </x:c>
      <x:c r="B458" s="179" t="n">
        <x:f>EDATE(Premissas!$B$4,452)</x:f>
        <x:v>60299</x:v>
      </x:c>
      <x:c r="C458" s="141" t="n">
        <x:f>M457</x:f>
        <x:v>0</x:v>
      </x:c>
      <x:c r="D458" s="141" t="n">
        <x:f>IF(C458&gt;0,C458*Premissas!$B$17,0)</x:f>
        <x:v>0</x:v>
      </x:c>
      <x:c r="E458" s="141" t="n">
        <x:f>C458+D458</x:f>
        <x:v>0</x:v>
      </x:c>
      <x:c r="F458" s="142" t="n">
        <x:f>MAX(0,Premissas!$B$13-A458+1)</x:f>
        <x:v>0</x:v>
      </x:c>
      <x:c r="G458" s="141" t="n">
        <x:f>IF(AND(E458&gt;0,F458&gt;0),IF(Premissas!$B$19="PRICE",MAX(0,MIN(E458,IF(Premissas!$B$15=0,E458/F458,E458*Premissas!$B$15/(1-(1+Premissas!$B$15)^(-F458)))-H458)),MIN(E458,E458/F458)),0)</x:f>
        <x:v>0</x:v>
      </x:c>
      <x:c r="H458" s="141" t="n">
        <x:f>IF(AND(E458&gt;0,F458&gt;0),E458*Premissas!$B$15,0)</x:f>
        <x:v>0</x:v>
      </x:c>
      <x:c r="I458" s="141" t="n">
        <x:f>IF(AND(E458&gt;0,F458&gt;0),Premissas!$B$18,0)</x:f>
        <x:v>0</x:v>
      </x:c>
      <x:c r="J458" s="141" t="n">
        <x:f>IF(AND(E458&gt;0,F458&gt;0),IF(Premissas!$B$19="PRICE",IF(Premissas!$B$15=0,E458/F458,E458*Premissas!$B$15/(1-(1+Premissas!$B$15)^(-F458)))+I458,G458+H458+I458),0)</x:f>
        <x:v>0</x:v>
      </x:c>
      <x:c r="K458" s="141" t="n">
        <x:f>H458+I458</x:f>
        <x:v>0</x:v>
      </x:c>
      <x:c r="L458" s="141" t="n">
        <x:f>SUM($J$6:J458)</x:f>
        <x:v>542582.5460367565</x:v>
      </x:c>
      <x:c r="M458" s="141" t="n">
        <x:f>MAX(0,E458-G458)</x:f>
        <x:v>0</x:v>
      </x:c>
    </x:row>
    <x:row r="459">
      <x:c r="A459" s="142" t="n">
        <x:v>454</x:v>
      </x:c>
      <x:c r="B459" s="179" t="n">
        <x:f>EDATE(Premissas!$B$4,453)</x:f>
        <x:v>60327</x:v>
      </x:c>
      <x:c r="C459" s="141" t="n">
        <x:f>M458</x:f>
        <x:v>0</x:v>
      </x:c>
      <x:c r="D459" s="141" t="n">
        <x:f>IF(C459&gt;0,C459*Premissas!$B$17,0)</x:f>
        <x:v>0</x:v>
      </x:c>
      <x:c r="E459" s="141" t="n">
        <x:f>C459+D459</x:f>
        <x:v>0</x:v>
      </x:c>
      <x:c r="F459" s="142" t="n">
        <x:f>MAX(0,Premissas!$B$13-A459+1)</x:f>
        <x:v>0</x:v>
      </x:c>
      <x:c r="G459" s="141" t="n">
        <x:f>IF(AND(E459&gt;0,F459&gt;0),IF(Premissas!$B$19="PRICE",MAX(0,MIN(E459,IF(Premissas!$B$15=0,E459/F459,E459*Premissas!$B$15/(1-(1+Premissas!$B$15)^(-F459)))-H459)),MIN(E459,E459/F459)),0)</x:f>
        <x:v>0</x:v>
      </x:c>
      <x:c r="H459" s="141" t="n">
        <x:f>IF(AND(E459&gt;0,F459&gt;0),E459*Premissas!$B$15,0)</x:f>
        <x:v>0</x:v>
      </x:c>
      <x:c r="I459" s="141" t="n">
        <x:f>IF(AND(E459&gt;0,F459&gt;0),Premissas!$B$18,0)</x:f>
        <x:v>0</x:v>
      </x:c>
      <x:c r="J459" s="141" t="n">
        <x:f>IF(AND(E459&gt;0,F459&gt;0),IF(Premissas!$B$19="PRICE",IF(Premissas!$B$15=0,E459/F459,E459*Premissas!$B$15/(1-(1+Premissas!$B$15)^(-F459)))+I459,G459+H459+I459),0)</x:f>
        <x:v>0</x:v>
      </x:c>
      <x:c r="K459" s="141" t="n">
        <x:f>H459+I459</x:f>
        <x:v>0</x:v>
      </x:c>
      <x:c r="L459" s="141" t="n">
        <x:f>SUM($J$6:J459)</x:f>
        <x:v>542582.5460367565</x:v>
      </x:c>
      <x:c r="M459" s="141" t="n">
        <x:f>MAX(0,E459-G459)</x:f>
        <x:v>0</x:v>
      </x:c>
    </x:row>
    <x:row r="460">
      <x:c r="A460" s="142" t="n">
        <x:v>455</x:v>
      </x:c>
      <x:c r="B460" s="179" t="n">
        <x:f>EDATE(Premissas!$B$4,454)</x:f>
        <x:v>60358</x:v>
      </x:c>
      <x:c r="C460" s="141" t="n">
        <x:f>M459</x:f>
        <x:v>0</x:v>
      </x:c>
      <x:c r="D460" s="141" t="n">
        <x:f>IF(C460&gt;0,C460*Premissas!$B$17,0)</x:f>
        <x:v>0</x:v>
      </x:c>
      <x:c r="E460" s="141" t="n">
        <x:f>C460+D460</x:f>
        <x:v>0</x:v>
      </x:c>
      <x:c r="F460" s="142" t="n">
        <x:f>MAX(0,Premissas!$B$13-A460+1)</x:f>
        <x:v>0</x:v>
      </x:c>
      <x:c r="G460" s="141" t="n">
        <x:f>IF(AND(E460&gt;0,F460&gt;0),IF(Premissas!$B$19="PRICE",MAX(0,MIN(E460,IF(Premissas!$B$15=0,E460/F460,E460*Premissas!$B$15/(1-(1+Premissas!$B$15)^(-F460)))-H460)),MIN(E460,E460/F460)),0)</x:f>
        <x:v>0</x:v>
      </x:c>
      <x:c r="H460" s="141" t="n">
        <x:f>IF(AND(E460&gt;0,F460&gt;0),E460*Premissas!$B$15,0)</x:f>
        <x:v>0</x:v>
      </x:c>
      <x:c r="I460" s="141" t="n">
        <x:f>IF(AND(E460&gt;0,F460&gt;0),Premissas!$B$18,0)</x:f>
        <x:v>0</x:v>
      </x:c>
      <x:c r="J460" s="141" t="n">
        <x:f>IF(AND(E460&gt;0,F460&gt;0),IF(Premissas!$B$19="PRICE",IF(Premissas!$B$15=0,E460/F460,E460*Premissas!$B$15/(1-(1+Premissas!$B$15)^(-F460)))+I460,G460+H460+I460),0)</x:f>
        <x:v>0</x:v>
      </x:c>
      <x:c r="K460" s="141" t="n">
        <x:f>H460+I460</x:f>
        <x:v>0</x:v>
      </x:c>
      <x:c r="L460" s="141" t="n">
        <x:f>SUM($J$6:J460)</x:f>
        <x:v>542582.5460367565</x:v>
      </x:c>
      <x:c r="M460" s="141" t="n">
        <x:f>MAX(0,E460-G460)</x:f>
        <x:v>0</x:v>
      </x:c>
    </x:row>
    <x:row r="461">
      <x:c r="A461" s="142" t="n">
        <x:v>456</x:v>
      </x:c>
      <x:c r="B461" s="179" t="n">
        <x:f>EDATE(Premissas!$B$4,455)</x:f>
        <x:v>60388</x:v>
      </x:c>
      <x:c r="C461" s="141" t="n">
        <x:f>M460</x:f>
        <x:v>0</x:v>
      </x:c>
      <x:c r="D461" s="141" t="n">
        <x:f>IF(C461&gt;0,C461*Premissas!$B$17,0)</x:f>
        <x:v>0</x:v>
      </x:c>
      <x:c r="E461" s="141" t="n">
        <x:f>C461+D461</x:f>
        <x:v>0</x:v>
      </x:c>
      <x:c r="F461" s="142" t="n">
        <x:f>MAX(0,Premissas!$B$13-A461+1)</x:f>
        <x:v>0</x:v>
      </x:c>
      <x:c r="G461" s="141" t="n">
        <x:f>IF(AND(E461&gt;0,F461&gt;0),IF(Premissas!$B$19="PRICE",MAX(0,MIN(E461,IF(Premissas!$B$15=0,E461/F461,E461*Premissas!$B$15/(1-(1+Premissas!$B$15)^(-F461)))-H461)),MIN(E461,E461/F461)),0)</x:f>
        <x:v>0</x:v>
      </x:c>
      <x:c r="H461" s="141" t="n">
        <x:f>IF(AND(E461&gt;0,F461&gt;0),E461*Premissas!$B$15,0)</x:f>
        <x:v>0</x:v>
      </x:c>
      <x:c r="I461" s="141" t="n">
        <x:f>IF(AND(E461&gt;0,F461&gt;0),Premissas!$B$18,0)</x:f>
        <x:v>0</x:v>
      </x:c>
      <x:c r="J461" s="141" t="n">
        <x:f>IF(AND(E461&gt;0,F461&gt;0),IF(Premissas!$B$19="PRICE",IF(Premissas!$B$15=0,E461/F461,E461*Premissas!$B$15/(1-(1+Premissas!$B$15)^(-F461)))+I461,G461+H461+I461),0)</x:f>
        <x:v>0</x:v>
      </x:c>
      <x:c r="K461" s="141" t="n">
        <x:f>H461+I461</x:f>
        <x:v>0</x:v>
      </x:c>
      <x:c r="L461" s="141" t="n">
        <x:f>SUM($J$6:J461)</x:f>
        <x:v>542582.5460367565</x:v>
      </x:c>
      <x:c r="M461" s="141" t="n">
        <x:f>MAX(0,E461-G461)</x:f>
        <x:v>0</x:v>
      </x:c>
    </x:row>
    <x:row r="462">
      <x:c r="A462" s="142" t="n">
        <x:v>457</x:v>
      </x:c>
      <x:c r="B462" s="179" t="n">
        <x:f>EDATE(Premissas!$B$4,456)</x:f>
        <x:v>60419</x:v>
      </x:c>
      <x:c r="C462" s="141" t="n">
        <x:f>M461</x:f>
        <x:v>0</x:v>
      </x:c>
      <x:c r="D462" s="141" t="n">
        <x:f>IF(C462&gt;0,C462*Premissas!$B$17,0)</x:f>
        <x:v>0</x:v>
      </x:c>
      <x:c r="E462" s="141" t="n">
        <x:f>C462+D462</x:f>
        <x:v>0</x:v>
      </x:c>
      <x:c r="F462" s="142" t="n">
        <x:f>MAX(0,Premissas!$B$13-A462+1)</x:f>
        <x:v>0</x:v>
      </x:c>
      <x:c r="G462" s="141" t="n">
        <x:f>IF(AND(E462&gt;0,F462&gt;0),IF(Premissas!$B$19="PRICE",MAX(0,MIN(E462,IF(Premissas!$B$15=0,E462/F462,E462*Premissas!$B$15/(1-(1+Premissas!$B$15)^(-F462)))-H462)),MIN(E462,E462/F462)),0)</x:f>
        <x:v>0</x:v>
      </x:c>
      <x:c r="H462" s="141" t="n">
        <x:f>IF(AND(E462&gt;0,F462&gt;0),E462*Premissas!$B$15,0)</x:f>
        <x:v>0</x:v>
      </x:c>
      <x:c r="I462" s="141" t="n">
        <x:f>IF(AND(E462&gt;0,F462&gt;0),Premissas!$B$18,0)</x:f>
        <x:v>0</x:v>
      </x:c>
      <x:c r="J462" s="141" t="n">
        <x:f>IF(AND(E462&gt;0,F462&gt;0),IF(Premissas!$B$19="PRICE",IF(Premissas!$B$15=0,E462/F462,E462*Premissas!$B$15/(1-(1+Premissas!$B$15)^(-F462)))+I462,G462+H462+I462),0)</x:f>
        <x:v>0</x:v>
      </x:c>
      <x:c r="K462" s="141" t="n">
        <x:f>H462+I462</x:f>
        <x:v>0</x:v>
      </x:c>
      <x:c r="L462" s="141" t="n">
        <x:f>SUM($J$6:J462)</x:f>
        <x:v>542582.5460367565</x:v>
      </x:c>
      <x:c r="M462" s="141" t="n">
        <x:f>MAX(0,E462-G462)</x:f>
        <x:v>0</x:v>
      </x:c>
    </x:row>
    <x:row r="463">
      <x:c r="A463" s="142" t="n">
        <x:v>458</x:v>
      </x:c>
      <x:c r="B463" s="179" t="n">
        <x:f>EDATE(Premissas!$B$4,457)</x:f>
        <x:v>60449</x:v>
      </x:c>
      <x:c r="C463" s="141" t="n">
        <x:f>M462</x:f>
        <x:v>0</x:v>
      </x:c>
      <x:c r="D463" s="141" t="n">
        <x:f>IF(C463&gt;0,C463*Premissas!$B$17,0)</x:f>
        <x:v>0</x:v>
      </x:c>
      <x:c r="E463" s="141" t="n">
        <x:f>C463+D463</x:f>
        <x:v>0</x:v>
      </x:c>
      <x:c r="F463" s="142" t="n">
        <x:f>MAX(0,Premissas!$B$13-A463+1)</x:f>
        <x:v>0</x:v>
      </x:c>
      <x:c r="G463" s="141" t="n">
        <x:f>IF(AND(E463&gt;0,F463&gt;0),IF(Premissas!$B$19="PRICE",MAX(0,MIN(E463,IF(Premissas!$B$15=0,E463/F463,E463*Premissas!$B$15/(1-(1+Premissas!$B$15)^(-F463)))-H463)),MIN(E463,E463/F463)),0)</x:f>
        <x:v>0</x:v>
      </x:c>
      <x:c r="H463" s="141" t="n">
        <x:f>IF(AND(E463&gt;0,F463&gt;0),E463*Premissas!$B$15,0)</x:f>
        <x:v>0</x:v>
      </x:c>
      <x:c r="I463" s="141" t="n">
        <x:f>IF(AND(E463&gt;0,F463&gt;0),Premissas!$B$18,0)</x:f>
        <x:v>0</x:v>
      </x:c>
      <x:c r="J463" s="141" t="n">
        <x:f>IF(AND(E463&gt;0,F463&gt;0),IF(Premissas!$B$19="PRICE",IF(Premissas!$B$15=0,E463/F463,E463*Premissas!$B$15/(1-(1+Premissas!$B$15)^(-F463)))+I463,G463+H463+I463),0)</x:f>
        <x:v>0</x:v>
      </x:c>
      <x:c r="K463" s="141" t="n">
        <x:f>H463+I463</x:f>
        <x:v>0</x:v>
      </x:c>
      <x:c r="L463" s="141" t="n">
        <x:f>SUM($J$6:J463)</x:f>
        <x:v>542582.5460367565</x:v>
      </x:c>
      <x:c r="M463" s="141" t="n">
        <x:f>MAX(0,E463-G463)</x:f>
        <x:v>0</x:v>
      </x:c>
    </x:row>
    <x:row r="464">
      <x:c r="A464" s="142" t="n">
        <x:v>459</x:v>
      </x:c>
      <x:c r="B464" s="179" t="n">
        <x:f>EDATE(Premissas!$B$4,458)</x:f>
        <x:v>60480</x:v>
      </x:c>
      <x:c r="C464" s="141" t="n">
        <x:f>M463</x:f>
        <x:v>0</x:v>
      </x:c>
      <x:c r="D464" s="141" t="n">
        <x:f>IF(C464&gt;0,C464*Premissas!$B$17,0)</x:f>
        <x:v>0</x:v>
      </x:c>
      <x:c r="E464" s="141" t="n">
        <x:f>C464+D464</x:f>
        <x:v>0</x:v>
      </x:c>
      <x:c r="F464" s="142" t="n">
        <x:f>MAX(0,Premissas!$B$13-A464+1)</x:f>
        <x:v>0</x:v>
      </x:c>
      <x:c r="G464" s="141" t="n">
        <x:f>IF(AND(E464&gt;0,F464&gt;0),IF(Premissas!$B$19="PRICE",MAX(0,MIN(E464,IF(Premissas!$B$15=0,E464/F464,E464*Premissas!$B$15/(1-(1+Premissas!$B$15)^(-F464)))-H464)),MIN(E464,E464/F464)),0)</x:f>
        <x:v>0</x:v>
      </x:c>
      <x:c r="H464" s="141" t="n">
        <x:f>IF(AND(E464&gt;0,F464&gt;0),E464*Premissas!$B$15,0)</x:f>
        <x:v>0</x:v>
      </x:c>
      <x:c r="I464" s="141" t="n">
        <x:f>IF(AND(E464&gt;0,F464&gt;0),Premissas!$B$18,0)</x:f>
        <x:v>0</x:v>
      </x:c>
      <x:c r="J464" s="141" t="n">
        <x:f>IF(AND(E464&gt;0,F464&gt;0),IF(Premissas!$B$19="PRICE",IF(Premissas!$B$15=0,E464/F464,E464*Premissas!$B$15/(1-(1+Premissas!$B$15)^(-F464)))+I464,G464+H464+I464),0)</x:f>
        <x:v>0</x:v>
      </x:c>
      <x:c r="K464" s="141" t="n">
        <x:f>H464+I464</x:f>
        <x:v>0</x:v>
      </x:c>
      <x:c r="L464" s="141" t="n">
        <x:f>SUM($J$6:J464)</x:f>
        <x:v>542582.5460367565</x:v>
      </x:c>
      <x:c r="M464" s="141" t="n">
        <x:f>MAX(0,E464-G464)</x:f>
        <x:v>0</x:v>
      </x:c>
    </x:row>
    <x:row r="465">
      <x:c r="A465" s="142" t="n">
        <x:v>460</x:v>
      </x:c>
      <x:c r="B465" s="179" t="n">
        <x:f>EDATE(Premissas!$B$4,459)</x:f>
        <x:v>60511</x:v>
      </x:c>
      <x:c r="C465" s="141" t="n">
        <x:f>M464</x:f>
        <x:v>0</x:v>
      </x:c>
      <x:c r="D465" s="141" t="n">
        <x:f>IF(C465&gt;0,C465*Premissas!$B$17,0)</x:f>
        <x:v>0</x:v>
      </x:c>
      <x:c r="E465" s="141" t="n">
        <x:f>C465+D465</x:f>
        <x:v>0</x:v>
      </x:c>
      <x:c r="F465" s="142" t="n">
        <x:f>MAX(0,Premissas!$B$13-A465+1)</x:f>
        <x:v>0</x:v>
      </x:c>
      <x:c r="G465" s="141" t="n">
        <x:f>IF(AND(E465&gt;0,F465&gt;0),IF(Premissas!$B$19="PRICE",MAX(0,MIN(E465,IF(Premissas!$B$15=0,E465/F465,E465*Premissas!$B$15/(1-(1+Premissas!$B$15)^(-F465)))-H465)),MIN(E465,E465/F465)),0)</x:f>
        <x:v>0</x:v>
      </x:c>
      <x:c r="H465" s="141" t="n">
        <x:f>IF(AND(E465&gt;0,F465&gt;0),E465*Premissas!$B$15,0)</x:f>
        <x:v>0</x:v>
      </x:c>
      <x:c r="I465" s="141" t="n">
        <x:f>IF(AND(E465&gt;0,F465&gt;0),Premissas!$B$18,0)</x:f>
        <x:v>0</x:v>
      </x:c>
      <x:c r="J465" s="141" t="n">
        <x:f>IF(AND(E465&gt;0,F465&gt;0),IF(Premissas!$B$19="PRICE",IF(Premissas!$B$15=0,E465/F465,E465*Premissas!$B$15/(1-(1+Premissas!$B$15)^(-F465)))+I465,G465+H465+I465),0)</x:f>
        <x:v>0</x:v>
      </x:c>
      <x:c r="K465" s="141" t="n">
        <x:f>H465+I465</x:f>
        <x:v>0</x:v>
      </x:c>
      <x:c r="L465" s="141" t="n">
        <x:f>SUM($J$6:J465)</x:f>
        <x:v>542582.5460367565</x:v>
      </x:c>
      <x:c r="M465" s="141" t="n">
        <x:f>MAX(0,E465-G465)</x:f>
        <x:v>0</x:v>
      </x:c>
    </x:row>
    <x:row r="466">
      <x:c r="A466" s="142" t="n">
        <x:v>461</x:v>
      </x:c>
      <x:c r="B466" s="179" t="n">
        <x:f>EDATE(Premissas!$B$4,460)</x:f>
        <x:v>60541</x:v>
      </x:c>
      <x:c r="C466" s="141" t="n">
        <x:f>M465</x:f>
        <x:v>0</x:v>
      </x:c>
      <x:c r="D466" s="141" t="n">
        <x:f>IF(C466&gt;0,C466*Premissas!$B$17,0)</x:f>
        <x:v>0</x:v>
      </x:c>
      <x:c r="E466" s="141" t="n">
        <x:f>C466+D466</x:f>
        <x:v>0</x:v>
      </x:c>
      <x:c r="F466" s="142" t="n">
        <x:f>MAX(0,Premissas!$B$13-A466+1)</x:f>
        <x:v>0</x:v>
      </x:c>
      <x:c r="G466" s="141" t="n">
        <x:f>IF(AND(E466&gt;0,F466&gt;0),IF(Premissas!$B$19="PRICE",MAX(0,MIN(E466,IF(Premissas!$B$15=0,E466/F466,E466*Premissas!$B$15/(1-(1+Premissas!$B$15)^(-F466)))-H466)),MIN(E466,E466/F466)),0)</x:f>
        <x:v>0</x:v>
      </x:c>
      <x:c r="H466" s="141" t="n">
        <x:f>IF(AND(E466&gt;0,F466&gt;0),E466*Premissas!$B$15,0)</x:f>
        <x:v>0</x:v>
      </x:c>
      <x:c r="I466" s="141" t="n">
        <x:f>IF(AND(E466&gt;0,F466&gt;0),Premissas!$B$18,0)</x:f>
        <x:v>0</x:v>
      </x:c>
      <x:c r="J466" s="141" t="n">
        <x:f>IF(AND(E466&gt;0,F466&gt;0),IF(Premissas!$B$19="PRICE",IF(Premissas!$B$15=0,E466/F466,E466*Premissas!$B$15/(1-(1+Premissas!$B$15)^(-F466)))+I466,G466+H466+I466),0)</x:f>
        <x:v>0</x:v>
      </x:c>
      <x:c r="K466" s="141" t="n">
        <x:f>H466+I466</x:f>
        <x:v>0</x:v>
      </x:c>
      <x:c r="L466" s="141" t="n">
        <x:f>SUM($J$6:J466)</x:f>
        <x:v>542582.5460367565</x:v>
      </x:c>
      <x:c r="M466" s="141" t="n">
        <x:f>MAX(0,E466-G466)</x:f>
        <x:v>0</x:v>
      </x:c>
    </x:row>
    <x:row r="467">
      <x:c r="A467" s="142" t="n">
        <x:v>462</x:v>
      </x:c>
      <x:c r="B467" s="179" t="n">
        <x:f>EDATE(Premissas!$B$4,461)</x:f>
        <x:v>60572</x:v>
      </x:c>
      <x:c r="C467" s="141" t="n">
        <x:f>M466</x:f>
        <x:v>0</x:v>
      </x:c>
      <x:c r="D467" s="141" t="n">
        <x:f>IF(C467&gt;0,C467*Premissas!$B$17,0)</x:f>
        <x:v>0</x:v>
      </x:c>
      <x:c r="E467" s="141" t="n">
        <x:f>C467+D467</x:f>
        <x:v>0</x:v>
      </x:c>
      <x:c r="F467" s="142" t="n">
        <x:f>MAX(0,Premissas!$B$13-A467+1)</x:f>
        <x:v>0</x:v>
      </x:c>
      <x:c r="G467" s="141" t="n">
        <x:f>IF(AND(E467&gt;0,F467&gt;0),IF(Premissas!$B$19="PRICE",MAX(0,MIN(E467,IF(Premissas!$B$15=0,E467/F467,E467*Premissas!$B$15/(1-(1+Premissas!$B$15)^(-F467)))-H467)),MIN(E467,E467/F467)),0)</x:f>
        <x:v>0</x:v>
      </x:c>
      <x:c r="H467" s="141" t="n">
        <x:f>IF(AND(E467&gt;0,F467&gt;0),E467*Premissas!$B$15,0)</x:f>
        <x:v>0</x:v>
      </x:c>
      <x:c r="I467" s="141" t="n">
        <x:f>IF(AND(E467&gt;0,F467&gt;0),Premissas!$B$18,0)</x:f>
        <x:v>0</x:v>
      </x:c>
      <x:c r="J467" s="141" t="n">
        <x:f>IF(AND(E467&gt;0,F467&gt;0),IF(Premissas!$B$19="PRICE",IF(Premissas!$B$15=0,E467/F467,E467*Premissas!$B$15/(1-(1+Premissas!$B$15)^(-F467)))+I467,G467+H467+I467),0)</x:f>
        <x:v>0</x:v>
      </x:c>
      <x:c r="K467" s="141" t="n">
        <x:f>H467+I467</x:f>
        <x:v>0</x:v>
      </x:c>
      <x:c r="L467" s="141" t="n">
        <x:f>SUM($J$6:J467)</x:f>
        <x:v>542582.5460367565</x:v>
      </x:c>
      <x:c r="M467" s="141" t="n">
        <x:f>MAX(0,E467-G467)</x:f>
        <x:v>0</x:v>
      </x:c>
    </x:row>
    <x:row r="468">
      <x:c r="A468" s="142" t="n">
        <x:v>463</x:v>
      </x:c>
      <x:c r="B468" s="179" t="n">
        <x:f>EDATE(Premissas!$B$4,462)</x:f>
        <x:v>60602</x:v>
      </x:c>
      <x:c r="C468" s="141" t="n">
        <x:f>M467</x:f>
        <x:v>0</x:v>
      </x:c>
      <x:c r="D468" s="141" t="n">
        <x:f>IF(C468&gt;0,C468*Premissas!$B$17,0)</x:f>
        <x:v>0</x:v>
      </x:c>
      <x:c r="E468" s="141" t="n">
        <x:f>C468+D468</x:f>
        <x:v>0</x:v>
      </x:c>
      <x:c r="F468" s="142" t="n">
        <x:f>MAX(0,Premissas!$B$13-A468+1)</x:f>
        <x:v>0</x:v>
      </x:c>
      <x:c r="G468" s="141" t="n">
        <x:f>IF(AND(E468&gt;0,F468&gt;0),IF(Premissas!$B$19="PRICE",MAX(0,MIN(E468,IF(Premissas!$B$15=0,E468/F468,E468*Premissas!$B$15/(1-(1+Premissas!$B$15)^(-F468)))-H468)),MIN(E468,E468/F468)),0)</x:f>
        <x:v>0</x:v>
      </x:c>
      <x:c r="H468" s="141" t="n">
        <x:f>IF(AND(E468&gt;0,F468&gt;0),E468*Premissas!$B$15,0)</x:f>
        <x:v>0</x:v>
      </x:c>
      <x:c r="I468" s="141" t="n">
        <x:f>IF(AND(E468&gt;0,F468&gt;0),Premissas!$B$18,0)</x:f>
        <x:v>0</x:v>
      </x:c>
      <x:c r="J468" s="141" t="n">
        <x:f>IF(AND(E468&gt;0,F468&gt;0),IF(Premissas!$B$19="PRICE",IF(Premissas!$B$15=0,E468/F468,E468*Premissas!$B$15/(1-(1+Premissas!$B$15)^(-F468)))+I468,G468+H468+I468),0)</x:f>
        <x:v>0</x:v>
      </x:c>
      <x:c r="K468" s="141" t="n">
        <x:f>H468+I468</x:f>
        <x:v>0</x:v>
      </x:c>
      <x:c r="L468" s="141" t="n">
        <x:f>SUM($J$6:J468)</x:f>
        <x:v>542582.5460367565</x:v>
      </x:c>
      <x:c r="M468" s="141" t="n">
        <x:f>MAX(0,E468-G468)</x:f>
        <x:v>0</x:v>
      </x:c>
    </x:row>
    <x:row r="469">
      <x:c r="A469" s="142" t="n">
        <x:v>464</x:v>
      </x:c>
      <x:c r="B469" s="179" t="n">
        <x:f>EDATE(Premissas!$B$4,463)</x:f>
        <x:v>60633</x:v>
      </x:c>
      <x:c r="C469" s="141" t="n">
        <x:f>M468</x:f>
        <x:v>0</x:v>
      </x:c>
      <x:c r="D469" s="141" t="n">
        <x:f>IF(C469&gt;0,C469*Premissas!$B$17,0)</x:f>
        <x:v>0</x:v>
      </x:c>
      <x:c r="E469" s="141" t="n">
        <x:f>C469+D469</x:f>
        <x:v>0</x:v>
      </x:c>
      <x:c r="F469" s="142" t="n">
        <x:f>MAX(0,Premissas!$B$13-A469+1)</x:f>
        <x:v>0</x:v>
      </x:c>
      <x:c r="G469" s="141" t="n">
        <x:f>IF(AND(E469&gt;0,F469&gt;0),IF(Premissas!$B$19="PRICE",MAX(0,MIN(E469,IF(Premissas!$B$15=0,E469/F469,E469*Premissas!$B$15/(1-(1+Premissas!$B$15)^(-F469)))-H469)),MIN(E469,E469/F469)),0)</x:f>
        <x:v>0</x:v>
      </x:c>
      <x:c r="H469" s="141" t="n">
        <x:f>IF(AND(E469&gt;0,F469&gt;0),E469*Premissas!$B$15,0)</x:f>
        <x:v>0</x:v>
      </x:c>
      <x:c r="I469" s="141" t="n">
        <x:f>IF(AND(E469&gt;0,F469&gt;0),Premissas!$B$18,0)</x:f>
        <x:v>0</x:v>
      </x:c>
      <x:c r="J469" s="141" t="n">
        <x:f>IF(AND(E469&gt;0,F469&gt;0),IF(Premissas!$B$19="PRICE",IF(Premissas!$B$15=0,E469/F469,E469*Premissas!$B$15/(1-(1+Premissas!$B$15)^(-F469)))+I469,G469+H469+I469),0)</x:f>
        <x:v>0</x:v>
      </x:c>
      <x:c r="K469" s="141" t="n">
        <x:f>H469+I469</x:f>
        <x:v>0</x:v>
      </x:c>
      <x:c r="L469" s="141" t="n">
        <x:f>SUM($J$6:J469)</x:f>
        <x:v>542582.5460367565</x:v>
      </x:c>
      <x:c r="M469" s="141" t="n">
        <x:f>MAX(0,E469-G469)</x:f>
        <x:v>0</x:v>
      </x:c>
    </x:row>
    <x:row r="470">
      <x:c r="A470" s="142" t="n">
        <x:v>465</x:v>
      </x:c>
      <x:c r="B470" s="179" t="n">
        <x:f>EDATE(Premissas!$B$4,464)</x:f>
        <x:v>60664</x:v>
      </x:c>
      <x:c r="C470" s="141" t="n">
        <x:f>M469</x:f>
        <x:v>0</x:v>
      </x:c>
      <x:c r="D470" s="141" t="n">
        <x:f>IF(C470&gt;0,C470*Premissas!$B$17,0)</x:f>
        <x:v>0</x:v>
      </x:c>
      <x:c r="E470" s="141" t="n">
        <x:f>C470+D470</x:f>
        <x:v>0</x:v>
      </x:c>
      <x:c r="F470" s="142" t="n">
        <x:f>MAX(0,Premissas!$B$13-A470+1)</x:f>
        <x:v>0</x:v>
      </x:c>
      <x:c r="G470" s="141" t="n">
        <x:f>IF(AND(E470&gt;0,F470&gt;0),IF(Premissas!$B$19="PRICE",MAX(0,MIN(E470,IF(Premissas!$B$15=0,E470/F470,E470*Premissas!$B$15/(1-(1+Premissas!$B$15)^(-F470)))-H470)),MIN(E470,E470/F470)),0)</x:f>
        <x:v>0</x:v>
      </x:c>
      <x:c r="H470" s="141" t="n">
        <x:f>IF(AND(E470&gt;0,F470&gt;0),E470*Premissas!$B$15,0)</x:f>
        <x:v>0</x:v>
      </x:c>
      <x:c r="I470" s="141" t="n">
        <x:f>IF(AND(E470&gt;0,F470&gt;0),Premissas!$B$18,0)</x:f>
        <x:v>0</x:v>
      </x:c>
      <x:c r="J470" s="141" t="n">
        <x:f>IF(AND(E470&gt;0,F470&gt;0),IF(Premissas!$B$19="PRICE",IF(Premissas!$B$15=0,E470/F470,E470*Premissas!$B$15/(1-(1+Premissas!$B$15)^(-F470)))+I470,G470+H470+I470),0)</x:f>
        <x:v>0</x:v>
      </x:c>
      <x:c r="K470" s="141" t="n">
        <x:f>H470+I470</x:f>
        <x:v>0</x:v>
      </x:c>
      <x:c r="L470" s="141" t="n">
        <x:f>SUM($J$6:J470)</x:f>
        <x:v>542582.5460367565</x:v>
      </x:c>
      <x:c r="M470" s="141" t="n">
        <x:f>MAX(0,E470-G470)</x:f>
        <x:v>0</x:v>
      </x:c>
    </x:row>
    <x:row r="471">
      <x:c r="A471" s="142" t="n">
        <x:v>466</x:v>
      </x:c>
      <x:c r="B471" s="179" t="n">
        <x:f>EDATE(Premissas!$B$4,465)</x:f>
        <x:v>60692</x:v>
      </x:c>
      <x:c r="C471" s="141" t="n">
        <x:f>M470</x:f>
        <x:v>0</x:v>
      </x:c>
      <x:c r="D471" s="141" t="n">
        <x:f>IF(C471&gt;0,C471*Premissas!$B$17,0)</x:f>
        <x:v>0</x:v>
      </x:c>
      <x:c r="E471" s="141" t="n">
        <x:f>C471+D471</x:f>
        <x:v>0</x:v>
      </x:c>
      <x:c r="F471" s="142" t="n">
        <x:f>MAX(0,Premissas!$B$13-A471+1)</x:f>
        <x:v>0</x:v>
      </x:c>
      <x:c r="G471" s="141" t="n">
        <x:f>IF(AND(E471&gt;0,F471&gt;0),IF(Premissas!$B$19="PRICE",MAX(0,MIN(E471,IF(Premissas!$B$15=0,E471/F471,E471*Premissas!$B$15/(1-(1+Premissas!$B$15)^(-F471)))-H471)),MIN(E471,E471/F471)),0)</x:f>
        <x:v>0</x:v>
      </x:c>
      <x:c r="H471" s="141" t="n">
        <x:f>IF(AND(E471&gt;0,F471&gt;0),E471*Premissas!$B$15,0)</x:f>
        <x:v>0</x:v>
      </x:c>
      <x:c r="I471" s="141" t="n">
        <x:f>IF(AND(E471&gt;0,F471&gt;0),Premissas!$B$18,0)</x:f>
        <x:v>0</x:v>
      </x:c>
      <x:c r="J471" s="141" t="n">
        <x:f>IF(AND(E471&gt;0,F471&gt;0),IF(Premissas!$B$19="PRICE",IF(Premissas!$B$15=0,E471/F471,E471*Premissas!$B$15/(1-(1+Premissas!$B$15)^(-F471)))+I471,G471+H471+I471),0)</x:f>
        <x:v>0</x:v>
      </x:c>
      <x:c r="K471" s="141" t="n">
        <x:f>H471+I471</x:f>
        <x:v>0</x:v>
      </x:c>
      <x:c r="L471" s="141" t="n">
        <x:f>SUM($J$6:J471)</x:f>
        <x:v>542582.5460367565</x:v>
      </x:c>
      <x:c r="M471" s="141" t="n">
        <x:f>MAX(0,E471-G471)</x:f>
        <x:v>0</x:v>
      </x:c>
    </x:row>
    <x:row r="472">
      <x:c r="A472" s="142" t="n">
        <x:v>467</x:v>
      </x:c>
      <x:c r="B472" s="179" t="n">
        <x:f>EDATE(Premissas!$B$4,466)</x:f>
        <x:v>60723</x:v>
      </x:c>
      <x:c r="C472" s="141" t="n">
        <x:f>M471</x:f>
        <x:v>0</x:v>
      </x:c>
      <x:c r="D472" s="141" t="n">
        <x:f>IF(C472&gt;0,C472*Premissas!$B$17,0)</x:f>
        <x:v>0</x:v>
      </x:c>
      <x:c r="E472" s="141" t="n">
        <x:f>C472+D472</x:f>
        <x:v>0</x:v>
      </x:c>
      <x:c r="F472" s="142" t="n">
        <x:f>MAX(0,Premissas!$B$13-A472+1)</x:f>
        <x:v>0</x:v>
      </x:c>
      <x:c r="G472" s="141" t="n">
        <x:f>IF(AND(E472&gt;0,F472&gt;0),IF(Premissas!$B$19="PRICE",MAX(0,MIN(E472,IF(Premissas!$B$15=0,E472/F472,E472*Premissas!$B$15/(1-(1+Premissas!$B$15)^(-F472)))-H472)),MIN(E472,E472/F472)),0)</x:f>
        <x:v>0</x:v>
      </x:c>
      <x:c r="H472" s="141" t="n">
        <x:f>IF(AND(E472&gt;0,F472&gt;0),E472*Premissas!$B$15,0)</x:f>
        <x:v>0</x:v>
      </x:c>
      <x:c r="I472" s="141" t="n">
        <x:f>IF(AND(E472&gt;0,F472&gt;0),Premissas!$B$18,0)</x:f>
        <x:v>0</x:v>
      </x:c>
      <x:c r="J472" s="141" t="n">
        <x:f>IF(AND(E472&gt;0,F472&gt;0),IF(Premissas!$B$19="PRICE",IF(Premissas!$B$15=0,E472/F472,E472*Premissas!$B$15/(1-(1+Premissas!$B$15)^(-F472)))+I472,G472+H472+I472),0)</x:f>
        <x:v>0</x:v>
      </x:c>
      <x:c r="K472" s="141" t="n">
        <x:f>H472+I472</x:f>
        <x:v>0</x:v>
      </x:c>
      <x:c r="L472" s="141" t="n">
        <x:f>SUM($J$6:J472)</x:f>
        <x:v>542582.5460367565</x:v>
      </x:c>
      <x:c r="M472" s="141" t="n">
        <x:f>MAX(0,E472-G472)</x:f>
        <x:v>0</x:v>
      </x:c>
    </x:row>
    <x:row r="473">
      <x:c r="A473" s="142" t="n">
        <x:v>468</x:v>
      </x:c>
      <x:c r="B473" s="179" t="n">
        <x:f>EDATE(Premissas!$B$4,467)</x:f>
        <x:v>60753</x:v>
      </x:c>
      <x:c r="C473" s="141" t="n">
        <x:f>M472</x:f>
        <x:v>0</x:v>
      </x:c>
      <x:c r="D473" s="141" t="n">
        <x:f>IF(C473&gt;0,C473*Premissas!$B$17,0)</x:f>
        <x:v>0</x:v>
      </x:c>
      <x:c r="E473" s="141" t="n">
        <x:f>C473+D473</x:f>
        <x:v>0</x:v>
      </x:c>
      <x:c r="F473" s="142" t="n">
        <x:f>MAX(0,Premissas!$B$13-A473+1)</x:f>
        <x:v>0</x:v>
      </x:c>
      <x:c r="G473" s="141" t="n">
        <x:f>IF(AND(E473&gt;0,F473&gt;0),IF(Premissas!$B$19="PRICE",MAX(0,MIN(E473,IF(Premissas!$B$15=0,E473/F473,E473*Premissas!$B$15/(1-(1+Premissas!$B$15)^(-F473)))-H473)),MIN(E473,E473/F473)),0)</x:f>
        <x:v>0</x:v>
      </x:c>
      <x:c r="H473" s="141" t="n">
        <x:f>IF(AND(E473&gt;0,F473&gt;0),E473*Premissas!$B$15,0)</x:f>
        <x:v>0</x:v>
      </x:c>
      <x:c r="I473" s="141" t="n">
        <x:f>IF(AND(E473&gt;0,F473&gt;0),Premissas!$B$18,0)</x:f>
        <x:v>0</x:v>
      </x:c>
      <x:c r="J473" s="141" t="n">
        <x:f>IF(AND(E473&gt;0,F473&gt;0),IF(Premissas!$B$19="PRICE",IF(Premissas!$B$15=0,E473/F473,E473*Premissas!$B$15/(1-(1+Premissas!$B$15)^(-F473)))+I473,G473+H473+I473),0)</x:f>
        <x:v>0</x:v>
      </x:c>
      <x:c r="K473" s="141" t="n">
        <x:f>H473+I473</x:f>
        <x:v>0</x:v>
      </x:c>
      <x:c r="L473" s="141" t="n">
        <x:f>SUM($J$6:J473)</x:f>
        <x:v>542582.5460367565</x:v>
      </x:c>
      <x:c r="M473" s="141" t="n">
        <x:f>MAX(0,E473-G473)</x:f>
        <x:v>0</x:v>
      </x:c>
    </x:row>
    <x:row r="474">
      <x:c r="A474" s="142" t="n">
        <x:v>469</x:v>
      </x:c>
      <x:c r="B474" s="179" t="n">
        <x:f>EDATE(Premissas!$B$4,468)</x:f>
        <x:v>60784</x:v>
      </x:c>
      <x:c r="C474" s="141" t="n">
        <x:f>M473</x:f>
        <x:v>0</x:v>
      </x:c>
      <x:c r="D474" s="141" t="n">
        <x:f>IF(C474&gt;0,C474*Premissas!$B$17,0)</x:f>
        <x:v>0</x:v>
      </x:c>
      <x:c r="E474" s="141" t="n">
        <x:f>C474+D474</x:f>
        <x:v>0</x:v>
      </x:c>
      <x:c r="F474" s="142" t="n">
        <x:f>MAX(0,Premissas!$B$13-A474+1)</x:f>
        <x:v>0</x:v>
      </x:c>
      <x:c r="G474" s="141" t="n">
        <x:f>IF(AND(E474&gt;0,F474&gt;0),IF(Premissas!$B$19="PRICE",MAX(0,MIN(E474,IF(Premissas!$B$15=0,E474/F474,E474*Premissas!$B$15/(1-(1+Premissas!$B$15)^(-F474)))-H474)),MIN(E474,E474/F474)),0)</x:f>
        <x:v>0</x:v>
      </x:c>
      <x:c r="H474" s="141" t="n">
        <x:f>IF(AND(E474&gt;0,F474&gt;0),E474*Premissas!$B$15,0)</x:f>
        <x:v>0</x:v>
      </x:c>
      <x:c r="I474" s="141" t="n">
        <x:f>IF(AND(E474&gt;0,F474&gt;0),Premissas!$B$18,0)</x:f>
        <x:v>0</x:v>
      </x:c>
      <x:c r="J474" s="141" t="n">
        <x:f>IF(AND(E474&gt;0,F474&gt;0),IF(Premissas!$B$19="PRICE",IF(Premissas!$B$15=0,E474/F474,E474*Premissas!$B$15/(1-(1+Premissas!$B$15)^(-F474)))+I474,G474+H474+I474),0)</x:f>
        <x:v>0</x:v>
      </x:c>
      <x:c r="K474" s="141" t="n">
        <x:f>H474+I474</x:f>
        <x:v>0</x:v>
      </x:c>
      <x:c r="L474" s="141" t="n">
        <x:f>SUM($J$6:J474)</x:f>
        <x:v>542582.5460367565</x:v>
      </x:c>
      <x:c r="M474" s="141" t="n">
        <x:f>MAX(0,E474-G474)</x:f>
        <x:v>0</x:v>
      </x:c>
    </x:row>
    <x:row r="475">
      <x:c r="A475" s="142" t="n">
        <x:v>470</x:v>
      </x:c>
      <x:c r="B475" s="179" t="n">
        <x:f>EDATE(Premissas!$B$4,469)</x:f>
        <x:v>60814</x:v>
      </x:c>
      <x:c r="C475" s="141" t="n">
        <x:f>M474</x:f>
        <x:v>0</x:v>
      </x:c>
      <x:c r="D475" s="141" t="n">
        <x:f>IF(C475&gt;0,C475*Premissas!$B$17,0)</x:f>
        <x:v>0</x:v>
      </x:c>
      <x:c r="E475" s="141" t="n">
        <x:f>C475+D475</x:f>
        <x:v>0</x:v>
      </x:c>
      <x:c r="F475" s="142" t="n">
        <x:f>MAX(0,Premissas!$B$13-A475+1)</x:f>
        <x:v>0</x:v>
      </x:c>
      <x:c r="G475" s="141" t="n">
        <x:f>IF(AND(E475&gt;0,F475&gt;0),IF(Premissas!$B$19="PRICE",MAX(0,MIN(E475,IF(Premissas!$B$15=0,E475/F475,E475*Premissas!$B$15/(1-(1+Premissas!$B$15)^(-F475)))-H475)),MIN(E475,E475/F475)),0)</x:f>
        <x:v>0</x:v>
      </x:c>
      <x:c r="H475" s="141" t="n">
        <x:f>IF(AND(E475&gt;0,F475&gt;0),E475*Premissas!$B$15,0)</x:f>
        <x:v>0</x:v>
      </x:c>
      <x:c r="I475" s="141" t="n">
        <x:f>IF(AND(E475&gt;0,F475&gt;0),Premissas!$B$18,0)</x:f>
        <x:v>0</x:v>
      </x:c>
      <x:c r="J475" s="141" t="n">
        <x:f>IF(AND(E475&gt;0,F475&gt;0),IF(Premissas!$B$19="PRICE",IF(Premissas!$B$15=0,E475/F475,E475*Premissas!$B$15/(1-(1+Premissas!$B$15)^(-F475)))+I475,G475+H475+I475),0)</x:f>
        <x:v>0</x:v>
      </x:c>
      <x:c r="K475" s="141" t="n">
        <x:f>H475+I475</x:f>
        <x:v>0</x:v>
      </x:c>
      <x:c r="L475" s="141" t="n">
        <x:f>SUM($J$6:J475)</x:f>
        <x:v>542582.5460367565</x:v>
      </x:c>
      <x:c r="M475" s="141" t="n">
        <x:f>MAX(0,E475-G475)</x:f>
        <x:v>0</x:v>
      </x:c>
    </x:row>
    <x:row r="476">
      <x:c r="A476" s="142" t="n">
        <x:v>471</x:v>
      </x:c>
      <x:c r="B476" s="179" t="n">
        <x:f>EDATE(Premissas!$B$4,470)</x:f>
        <x:v>60845</x:v>
      </x:c>
      <x:c r="C476" s="141" t="n">
        <x:f>M475</x:f>
        <x:v>0</x:v>
      </x:c>
      <x:c r="D476" s="141" t="n">
        <x:f>IF(C476&gt;0,C476*Premissas!$B$17,0)</x:f>
        <x:v>0</x:v>
      </x:c>
      <x:c r="E476" s="141" t="n">
        <x:f>C476+D476</x:f>
        <x:v>0</x:v>
      </x:c>
      <x:c r="F476" s="142" t="n">
        <x:f>MAX(0,Premissas!$B$13-A476+1)</x:f>
        <x:v>0</x:v>
      </x:c>
      <x:c r="G476" s="141" t="n">
        <x:f>IF(AND(E476&gt;0,F476&gt;0),IF(Premissas!$B$19="PRICE",MAX(0,MIN(E476,IF(Premissas!$B$15=0,E476/F476,E476*Premissas!$B$15/(1-(1+Premissas!$B$15)^(-F476)))-H476)),MIN(E476,E476/F476)),0)</x:f>
        <x:v>0</x:v>
      </x:c>
      <x:c r="H476" s="141" t="n">
        <x:f>IF(AND(E476&gt;0,F476&gt;0),E476*Premissas!$B$15,0)</x:f>
        <x:v>0</x:v>
      </x:c>
      <x:c r="I476" s="141" t="n">
        <x:f>IF(AND(E476&gt;0,F476&gt;0),Premissas!$B$18,0)</x:f>
        <x:v>0</x:v>
      </x:c>
      <x:c r="J476" s="141" t="n">
        <x:f>IF(AND(E476&gt;0,F476&gt;0),IF(Premissas!$B$19="PRICE",IF(Premissas!$B$15=0,E476/F476,E476*Premissas!$B$15/(1-(1+Premissas!$B$15)^(-F476)))+I476,G476+H476+I476),0)</x:f>
        <x:v>0</x:v>
      </x:c>
      <x:c r="K476" s="141" t="n">
        <x:f>H476+I476</x:f>
        <x:v>0</x:v>
      </x:c>
      <x:c r="L476" s="141" t="n">
        <x:f>SUM($J$6:J476)</x:f>
        <x:v>542582.5460367565</x:v>
      </x:c>
      <x:c r="M476" s="141" t="n">
        <x:f>MAX(0,E476-G476)</x:f>
        <x:v>0</x:v>
      </x:c>
    </x:row>
    <x:row r="477">
      <x:c r="A477" s="142" t="n">
        <x:v>472</x:v>
      </x:c>
      <x:c r="B477" s="179" t="n">
        <x:f>EDATE(Premissas!$B$4,471)</x:f>
        <x:v>60876</x:v>
      </x:c>
      <x:c r="C477" s="141" t="n">
        <x:f>M476</x:f>
        <x:v>0</x:v>
      </x:c>
      <x:c r="D477" s="141" t="n">
        <x:f>IF(C477&gt;0,C477*Premissas!$B$17,0)</x:f>
        <x:v>0</x:v>
      </x:c>
      <x:c r="E477" s="141" t="n">
        <x:f>C477+D477</x:f>
        <x:v>0</x:v>
      </x:c>
      <x:c r="F477" s="142" t="n">
        <x:f>MAX(0,Premissas!$B$13-A477+1)</x:f>
        <x:v>0</x:v>
      </x:c>
      <x:c r="G477" s="141" t="n">
        <x:f>IF(AND(E477&gt;0,F477&gt;0),IF(Premissas!$B$19="PRICE",MAX(0,MIN(E477,IF(Premissas!$B$15=0,E477/F477,E477*Premissas!$B$15/(1-(1+Premissas!$B$15)^(-F477)))-H477)),MIN(E477,E477/F477)),0)</x:f>
        <x:v>0</x:v>
      </x:c>
      <x:c r="H477" s="141" t="n">
        <x:f>IF(AND(E477&gt;0,F477&gt;0),E477*Premissas!$B$15,0)</x:f>
        <x:v>0</x:v>
      </x:c>
      <x:c r="I477" s="141" t="n">
        <x:f>IF(AND(E477&gt;0,F477&gt;0),Premissas!$B$18,0)</x:f>
        <x:v>0</x:v>
      </x:c>
      <x:c r="J477" s="141" t="n">
        <x:f>IF(AND(E477&gt;0,F477&gt;0),IF(Premissas!$B$19="PRICE",IF(Premissas!$B$15=0,E477/F477,E477*Premissas!$B$15/(1-(1+Premissas!$B$15)^(-F477)))+I477,G477+H477+I477),0)</x:f>
        <x:v>0</x:v>
      </x:c>
      <x:c r="K477" s="141" t="n">
        <x:f>H477+I477</x:f>
        <x:v>0</x:v>
      </x:c>
      <x:c r="L477" s="141" t="n">
        <x:f>SUM($J$6:J477)</x:f>
        <x:v>542582.5460367565</x:v>
      </x:c>
      <x:c r="M477" s="141" t="n">
        <x:f>MAX(0,E477-G477)</x:f>
        <x:v>0</x:v>
      </x:c>
    </x:row>
    <x:row r="478">
      <x:c r="A478" s="142" t="n">
        <x:v>473</x:v>
      </x:c>
      <x:c r="B478" s="179" t="n">
        <x:f>EDATE(Premissas!$B$4,472)</x:f>
        <x:v>60906</x:v>
      </x:c>
      <x:c r="C478" s="141" t="n">
        <x:f>M477</x:f>
        <x:v>0</x:v>
      </x:c>
      <x:c r="D478" s="141" t="n">
        <x:f>IF(C478&gt;0,C478*Premissas!$B$17,0)</x:f>
        <x:v>0</x:v>
      </x:c>
      <x:c r="E478" s="141" t="n">
        <x:f>C478+D478</x:f>
        <x:v>0</x:v>
      </x:c>
      <x:c r="F478" s="142" t="n">
        <x:f>MAX(0,Premissas!$B$13-A478+1)</x:f>
        <x:v>0</x:v>
      </x:c>
      <x:c r="G478" s="141" t="n">
        <x:f>IF(AND(E478&gt;0,F478&gt;0),IF(Premissas!$B$19="PRICE",MAX(0,MIN(E478,IF(Premissas!$B$15=0,E478/F478,E478*Premissas!$B$15/(1-(1+Premissas!$B$15)^(-F478)))-H478)),MIN(E478,E478/F478)),0)</x:f>
        <x:v>0</x:v>
      </x:c>
      <x:c r="H478" s="141" t="n">
        <x:f>IF(AND(E478&gt;0,F478&gt;0),E478*Premissas!$B$15,0)</x:f>
        <x:v>0</x:v>
      </x:c>
      <x:c r="I478" s="141" t="n">
        <x:f>IF(AND(E478&gt;0,F478&gt;0),Premissas!$B$18,0)</x:f>
        <x:v>0</x:v>
      </x:c>
      <x:c r="J478" s="141" t="n">
        <x:f>IF(AND(E478&gt;0,F478&gt;0),IF(Premissas!$B$19="PRICE",IF(Premissas!$B$15=0,E478/F478,E478*Premissas!$B$15/(1-(1+Premissas!$B$15)^(-F478)))+I478,G478+H478+I478),0)</x:f>
        <x:v>0</x:v>
      </x:c>
      <x:c r="K478" s="141" t="n">
        <x:f>H478+I478</x:f>
        <x:v>0</x:v>
      </x:c>
      <x:c r="L478" s="141" t="n">
        <x:f>SUM($J$6:J478)</x:f>
        <x:v>542582.5460367565</x:v>
      </x:c>
      <x:c r="M478" s="141" t="n">
        <x:f>MAX(0,E478-G478)</x:f>
        <x:v>0</x:v>
      </x:c>
    </x:row>
    <x:row r="479">
      <x:c r="A479" s="142" t="n">
        <x:v>474</x:v>
      </x:c>
      <x:c r="B479" s="179" t="n">
        <x:f>EDATE(Premissas!$B$4,473)</x:f>
        <x:v>60937</x:v>
      </x:c>
      <x:c r="C479" s="141" t="n">
        <x:f>M478</x:f>
        <x:v>0</x:v>
      </x:c>
      <x:c r="D479" s="141" t="n">
        <x:f>IF(C479&gt;0,C479*Premissas!$B$17,0)</x:f>
        <x:v>0</x:v>
      </x:c>
      <x:c r="E479" s="141" t="n">
        <x:f>C479+D479</x:f>
        <x:v>0</x:v>
      </x:c>
      <x:c r="F479" s="142" t="n">
        <x:f>MAX(0,Premissas!$B$13-A479+1)</x:f>
        <x:v>0</x:v>
      </x:c>
      <x:c r="G479" s="141" t="n">
        <x:f>IF(AND(E479&gt;0,F479&gt;0),IF(Premissas!$B$19="PRICE",MAX(0,MIN(E479,IF(Premissas!$B$15=0,E479/F479,E479*Premissas!$B$15/(1-(1+Premissas!$B$15)^(-F479)))-H479)),MIN(E479,E479/F479)),0)</x:f>
        <x:v>0</x:v>
      </x:c>
      <x:c r="H479" s="141" t="n">
        <x:f>IF(AND(E479&gt;0,F479&gt;0),E479*Premissas!$B$15,0)</x:f>
        <x:v>0</x:v>
      </x:c>
      <x:c r="I479" s="141" t="n">
        <x:f>IF(AND(E479&gt;0,F479&gt;0),Premissas!$B$18,0)</x:f>
        <x:v>0</x:v>
      </x:c>
      <x:c r="J479" s="141" t="n">
        <x:f>IF(AND(E479&gt;0,F479&gt;0),IF(Premissas!$B$19="PRICE",IF(Premissas!$B$15=0,E479/F479,E479*Premissas!$B$15/(1-(1+Premissas!$B$15)^(-F479)))+I479,G479+H479+I479),0)</x:f>
        <x:v>0</x:v>
      </x:c>
      <x:c r="K479" s="141" t="n">
        <x:f>H479+I479</x:f>
        <x:v>0</x:v>
      </x:c>
      <x:c r="L479" s="141" t="n">
        <x:f>SUM($J$6:J479)</x:f>
        <x:v>542582.5460367565</x:v>
      </x:c>
      <x:c r="M479" s="141" t="n">
        <x:f>MAX(0,E479-G479)</x:f>
        <x:v>0</x:v>
      </x:c>
    </x:row>
    <x:row r="480">
      <x:c r="A480" s="142" t="n">
        <x:v>475</x:v>
      </x:c>
      <x:c r="B480" s="179" t="n">
        <x:f>EDATE(Premissas!$B$4,474)</x:f>
        <x:v>60967</x:v>
      </x:c>
      <x:c r="C480" s="141" t="n">
        <x:f>M479</x:f>
        <x:v>0</x:v>
      </x:c>
      <x:c r="D480" s="141" t="n">
        <x:f>IF(C480&gt;0,C480*Premissas!$B$17,0)</x:f>
        <x:v>0</x:v>
      </x:c>
      <x:c r="E480" s="141" t="n">
        <x:f>C480+D480</x:f>
        <x:v>0</x:v>
      </x:c>
      <x:c r="F480" s="142" t="n">
        <x:f>MAX(0,Premissas!$B$13-A480+1)</x:f>
        <x:v>0</x:v>
      </x:c>
      <x:c r="G480" s="141" t="n">
        <x:f>IF(AND(E480&gt;0,F480&gt;0),IF(Premissas!$B$19="PRICE",MAX(0,MIN(E480,IF(Premissas!$B$15=0,E480/F480,E480*Premissas!$B$15/(1-(1+Premissas!$B$15)^(-F480)))-H480)),MIN(E480,E480/F480)),0)</x:f>
        <x:v>0</x:v>
      </x:c>
      <x:c r="H480" s="141" t="n">
        <x:f>IF(AND(E480&gt;0,F480&gt;0),E480*Premissas!$B$15,0)</x:f>
        <x:v>0</x:v>
      </x:c>
      <x:c r="I480" s="141" t="n">
        <x:f>IF(AND(E480&gt;0,F480&gt;0),Premissas!$B$18,0)</x:f>
        <x:v>0</x:v>
      </x:c>
      <x:c r="J480" s="141" t="n">
        <x:f>IF(AND(E480&gt;0,F480&gt;0),IF(Premissas!$B$19="PRICE",IF(Premissas!$B$15=0,E480/F480,E480*Premissas!$B$15/(1-(1+Premissas!$B$15)^(-F480)))+I480,G480+H480+I480),0)</x:f>
        <x:v>0</x:v>
      </x:c>
      <x:c r="K480" s="141" t="n">
        <x:f>H480+I480</x:f>
        <x:v>0</x:v>
      </x:c>
      <x:c r="L480" s="141" t="n">
        <x:f>SUM($J$6:J480)</x:f>
        <x:v>542582.5460367565</x:v>
      </x:c>
      <x:c r="M480" s="141" t="n">
        <x:f>MAX(0,E480-G480)</x:f>
        <x:v>0</x:v>
      </x:c>
    </x:row>
    <x:row r="481">
      <x:c r="A481" s="142" t="n">
        <x:v>476</x:v>
      </x:c>
      <x:c r="B481" s="179" t="n">
        <x:f>EDATE(Premissas!$B$4,475)</x:f>
        <x:v>60998</x:v>
      </x:c>
      <x:c r="C481" s="141" t="n">
        <x:f>M480</x:f>
        <x:v>0</x:v>
      </x:c>
      <x:c r="D481" s="141" t="n">
        <x:f>IF(C481&gt;0,C481*Premissas!$B$17,0)</x:f>
        <x:v>0</x:v>
      </x:c>
      <x:c r="E481" s="141" t="n">
        <x:f>C481+D481</x:f>
        <x:v>0</x:v>
      </x:c>
      <x:c r="F481" s="142" t="n">
        <x:f>MAX(0,Premissas!$B$13-A481+1)</x:f>
        <x:v>0</x:v>
      </x:c>
      <x:c r="G481" s="141" t="n">
        <x:f>IF(AND(E481&gt;0,F481&gt;0),IF(Premissas!$B$19="PRICE",MAX(0,MIN(E481,IF(Premissas!$B$15=0,E481/F481,E481*Premissas!$B$15/(1-(1+Premissas!$B$15)^(-F481)))-H481)),MIN(E481,E481/F481)),0)</x:f>
        <x:v>0</x:v>
      </x:c>
      <x:c r="H481" s="141" t="n">
        <x:f>IF(AND(E481&gt;0,F481&gt;0),E481*Premissas!$B$15,0)</x:f>
        <x:v>0</x:v>
      </x:c>
      <x:c r="I481" s="141" t="n">
        <x:f>IF(AND(E481&gt;0,F481&gt;0),Premissas!$B$18,0)</x:f>
        <x:v>0</x:v>
      </x:c>
      <x:c r="J481" s="141" t="n">
        <x:f>IF(AND(E481&gt;0,F481&gt;0),IF(Premissas!$B$19="PRICE",IF(Premissas!$B$15=0,E481/F481,E481*Premissas!$B$15/(1-(1+Premissas!$B$15)^(-F481)))+I481,G481+H481+I481),0)</x:f>
        <x:v>0</x:v>
      </x:c>
      <x:c r="K481" s="141" t="n">
        <x:f>H481+I481</x:f>
        <x:v>0</x:v>
      </x:c>
      <x:c r="L481" s="141" t="n">
        <x:f>SUM($J$6:J481)</x:f>
        <x:v>542582.5460367565</x:v>
      </x:c>
      <x:c r="M481" s="141" t="n">
        <x:f>MAX(0,E481-G481)</x:f>
        <x:v>0</x:v>
      </x:c>
    </x:row>
    <x:row r="482">
      <x:c r="A482" s="142" t="n">
        <x:v>477</x:v>
      </x:c>
      <x:c r="B482" s="179" t="n">
        <x:f>EDATE(Premissas!$B$4,476)</x:f>
        <x:v>61029</x:v>
      </x:c>
      <x:c r="C482" s="141" t="n">
        <x:f>M481</x:f>
        <x:v>0</x:v>
      </x:c>
      <x:c r="D482" s="141" t="n">
        <x:f>IF(C482&gt;0,C482*Premissas!$B$17,0)</x:f>
        <x:v>0</x:v>
      </x:c>
      <x:c r="E482" s="141" t="n">
        <x:f>C482+D482</x:f>
        <x:v>0</x:v>
      </x:c>
      <x:c r="F482" s="142" t="n">
        <x:f>MAX(0,Premissas!$B$13-A482+1)</x:f>
        <x:v>0</x:v>
      </x:c>
      <x:c r="G482" s="141" t="n">
        <x:f>IF(AND(E482&gt;0,F482&gt;0),IF(Premissas!$B$19="PRICE",MAX(0,MIN(E482,IF(Premissas!$B$15=0,E482/F482,E482*Premissas!$B$15/(1-(1+Premissas!$B$15)^(-F482)))-H482)),MIN(E482,E482/F482)),0)</x:f>
        <x:v>0</x:v>
      </x:c>
      <x:c r="H482" s="141" t="n">
        <x:f>IF(AND(E482&gt;0,F482&gt;0),E482*Premissas!$B$15,0)</x:f>
        <x:v>0</x:v>
      </x:c>
      <x:c r="I482" s="141" t="n">
        <x:f>IF(AND(E482&gt;0,F482&gt;0),Premissas!$B$18,0)</x:f>
        <x:v>0</x:v>
      </x:c>
      <x:c r="J482" s="141" t="n">
        <x:f>IF(AND(E482&gt;0,F482&gt;0),IF(Premissas!$B$19="PRICE",IF(Premissas!$B$15=0,E482/F482,E482*Premissas!$B$15/(1-(1+Premissas!$B$15)^(-F482)))+I482,G482+H482+I482),0)</x:f>
        <x:v>0</x:v>
      </x:c>
      <x:c r="K482" s="141" t="n">
        <x:f>H482+I482</x:f>
        <x:v>0</x:v>
      </x:c>
      <x:c r="L482" s="141" t="n">
        <x:f>SUM($J$6:J482)</x:f>
        <x:v>542582.5460367565</x:v>
      </x:c>
      <x:c r="M482" s="141" t="n">
        <x:f>MAX(0,E482-G482)</x:f>
        <x:v>0</x:v>
      </x:c>
    </x:row>
    <x:row r="483">
      <x:c r="A483" s="142" t="n">
        <x:v>478</x:v>
      </x:c>
      <x:c r="B483" s="179" t="n">
        <x:f>EDATE(Premissas!$B$4,477)</x:f>
        <x:v>61057</x:v>
      </x:c>
      <x:c r="C483" s="141" t="n">
        <x:f>M482</x:f>
        <x:v>0</x:v>
      </x:c>
      <x:c r="D483" s="141" t="n">
        <x:f>IF(C483&gt;0,C483*Premissas!$B$17,0)</x:f>
        <x:v>0</x:v>
      </x:c>
      <x:c r="E483" s="141" t="n">
        <x:f>C483+D483</x:f>
        <x:v>0</x:v>
      </x:c>
      <x:c r="F483" s="142" t="n">
        <x:f>MAX(0,Premissas!$B$13-A483+1)</x:f>
        <x:v>0</x:v>
      </x:c>
      <x:c r="G483" s="141" t="n">
        <x:f>IF(AND(E483&gt;0,F483&gt;0),IF(Premissas!$B$19="PRICE",MAX(0,MIN(E483,IF(Premissas!$B$15=0,E483/F483,E483*Premissas!$B$15/(1-(1+Premissas!$B$15)^(-F483)))-H483)),MIN(E483,E483/F483)),0)</x:f>
        <x:v>0</x:v>
      </x:c>
      <x:c r="H483" s="141" t="n">
        <x:f>IF(AND(E483&gt;0,F483&gt;0),E483*Premissas!$B$15,0)</x:f>
        <x:v>0</x:v>
      </x:c>
      <x:c r="I483" s="141" t="n">
        <x:f>IF(AND(E483&gt;0,F483&gt;0),Premissas!$B$18,0)</x:f>
        <x:v>0</x:v>
      </x:c>
      <x:c r="J483" s="141" t="n">
        <x:f>IF(AND(E483&gt;0,F483&gt;0),IF(Premissas!$B$19="PRICE",IF(Premissas!$B$15=0,E483/F483,E483*Premissas!$B$15/(1-(1+Premissas!$B$15)^(-F483)))+I483,G483+H483+I483),0)</x:f>
        <x:v>0</x:v>
      </x:c>
      <x:c r="K483" s="141" t="n">
        <x:f>H483+I483</x:f>
        <x:v>0</x:v>
      </x:c>
      <x:c r="L483" s="141" t="n">
        <x:f>SUM($J$6:J483)</x:f>
        <x:v>542582.5460367565</x:v>
      </x:c>
      <x:c r="M483" s="141" t="n">
        <x:f>MAX(0,E483-G483)</x:f>
        <x:v>0</x:v>
      </x:c>
    </x:row>
    <x:row r="484">
      <x:c r="A484" s="142" t="n">
        <x:v>479</x:v>
      </x:c>
      <x:c r="B484" s="179" t="n">
        <x:f>EDATE(Premissas!$B$4,478)</x:f>
        <x:v>61088</x:v>
      </x:c>
      <x:c r="C484" s="141" t="n">
        <x:f>M483</x:f>
        <x:v>0</x:v>
      </x:c>
      <x:c r="D484" s="141" t="n">
        <x:f>IF(C484&gt;0,C484*Premissas!$B$17,0)</x:f>
        <x:v>0</x:v>
      </x:c>
      <x:c r="E484" s="141" t="n">
        <x:f>C484+D484</x:f>
        <x:v>0</x:v>
      </x:c>
      <x:c r="F484" s="142" t="n">
        <x:f>MAX(0,Premissas!$B$13-A484+1)</x:f>
        <x:v>0</x:v>
      </x:c>
      <x:c r="G484" s="141" t="n">
        <x:f>IF(AND(E484&gt;0,F484&gt;0),IF(Premissas!$B$19="PRICE",MAX(0,MIN(E484,IF(Premissas!$B$15=0,E484/F484,E484*Premissas!$B$15/(1-(1+Premissas!$B$15)^(-F484)))-H484)),MIN(E484,E484/F484)),0)</x:f>
        <x:v>0</x:v>
      </x:c>
      <x:c r="H484" s="141" t="n">
        <x:f>IF(AND(E484&gt;0,F484&gt;0),E484*Premissas!$B$15,0)</x:f>
        <x:v>0</x:v>
      </x:c>
      <x:c r="I484" s="141" t="n">
        <x:f>IF(AND(E484&gt;0,F484&gt;0),Premissas!$B$18,0)</x:f>
        <x:v>0</x:v>
      </x:c>
      <x:c r="J484" s="141" t="n">
        <x:f>IF(AND(E484&gt;0,F484&gt;0),IF(Premissas!$B$19="PRICE",IF(Premissas!$B$15=0,E484/F484,E484*Premissas!$B$15/(1-(1+Premissas!$B$15)^(-F484)))+I484,G484+H484+I484),0)</x:f>
        <x:v>0</x:v>
      </x:c>
      <x:c r="K484" s="141" t="n">
        <x:f>H484+I484</x:f>
        <x:v>0</x:v>
      </x:c>
      <x:c r="L484" s="141" t="n">
        <x:f>SUM($J$6:J484)</x:f>
        <x:v>542582.5460367565</x:v>
      </x:c>
      <x:c r="M484" s="141" t="n">
        <x:f>MAX(0,E484-G484)</x:f>
        <x:v>0</x:v>
      </x:c>
    </x:row>
    <x:row r="485">
      <x:c r="A485" s="142" t="n">
        <x:v>480</x:v>
      </x:c>
      <x:c r="B485" s="179" t="n">
        <x:f>EDATE(Premissas!$B$4,479)</x:f>
        <x:v>61118</x:v>
      </x:c>
      <x:c r="C485" s="141" t="n">
        <x:f>M484</x:f>
        <x:v>0</x:v>
      </x:c>
      <x:c r="D485" s="141" t="n">
        <x:f>IF(C485&gt;0,C485*Premissas!$B$17,0)</x:f>
        <x:v>0</x:v>
      </x:c>
      <x:c r="E485" s="141" t="n">
        <x:f>C485+D485</x:f>
        <x:v>0</x:v>
      </x:c>
      <x:c r="F485" s="142" t="n">
        <x:f>MAX(0,Premissas!$B$13-A485+1)</x:f>
        <x:v>0</x:v>
      </x:c>
      <x:c r="G485" s="141" t="n">
        <x:f>IF(AND(E485&gt;0,F485&gt;0),IF(Premissas!$B$19="PRICE",MAX(0,MIN(E485,IF(Premissas!$B$15=0,E485/F485,E485*Premissas!$B$15/(1-(1+Premissas!$B$15)^(-F485)))-H485)),MIN(E485,E485/F485)),0)</x:f>
        <x:v>0</x:v>
      </x:c>
      <x:c r="H485" s="141" t="n">
        <x:f>IF(AND(E485&gt;0,F485&gt;0),E485*Premissas!$B$15,0)</x:f>
        <x:v>0</x:v>
      </x:c>
      <x:c r="I485" s="141" t="n">
        <x:f>IF(AND(E485&gt;0,F485&gt;0),Premissas!$B$18,0)</x:f>
        <x:v>0</x:v>
      </x:c>
      <x:c r="J485" s="141" t="n">
        <x:f>IF(AND(E485&gt;0,F485&gt;0),IF(Premissas!$B$19="PRICE",IF(Premissas!$B$15=0,E485/F485,E485*Premissas!$B$15/(1-(1+Premissas!$B$15)^(-F485)))+I485,G485+H485+I485),0)</x:f>
        <x:v>0</x:v>
      </x:c>
      <x:c r="K485" s="141" t="n">
        <x:f>H485+I485</x:f>
        <x:v>0</x:v>
      </x:c>
      <x:c r="L485" s="141" t="n">
        <x:f>SUM($J$6:J485)</x:f>
        <x:v>542582.5460367565</x:v>
      </x:c>
      <x:c r="M485" s="141" t="n">
        <x:f>MAX(0,E485-G485)</x:f>
        <x:v>0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1.5" hidden="0" customWidth="1"/>
    <x:col min="3" max="3" width="11.25" hidden="0" customWidth="1"/>
    <x:col min="4" max="4" width="15.25" hidden="0" customWidth="1"/>
    <x:col min="5" max="5" width="14.5" hidden="0" customWidth="1"/>
    <x:col min="6" max="6" width="15.630000114440918" hidden="0" customWidth="1"/>
    <x:col min="7" max="7" width="15.25" hidden="0" customWidth="1"/>
    <x:col min="8" max="8" width="15.630000114440918" hidden="0" customWidth="1"/>
    <x:col min="9" max="9" width="15.25" hidden="0" customWidth="1"/>
    <x:col min="10" max="10" width="14.75" hidden="0" customWidth="1"/>
    <x:col min="11" max="11" width="15.5" hidden="0" customWidth="1"/>
    <x:col min="12" max="12" width="16" hidden="0" customWidth="1"/>
    <x:col min="13" max="13" width="22.5" hidden="0" customWidth="1"/>
    <x:col min="14" max="14" width="17.25" hidden="0" customWidth="1"/>
    <x:col min="15" max="15" width="17.25" hidden="0" customWidth="1"/>
    <x:col min="16" max="16" width="17.25" hidden="0" customWidth="1"/>
  </x:cols>
  <x:sheetData>
    <x:row r="1" ht="25.5" customHeight="1">
      <x:c r="A1" s="189" t="str">
        <x:v>Cronograma - consorcio como interveniente quitante</x:v>
      </x:c>
      <x:c r="B1" s="190" t="str">
        <x:v>Cronograma - consorcio como interveniente quitante</x:v>
      </x:c>
      <x:c r="C1" s="190" t="str">
        <x:v>Cronograma - consorcio como interveniente quitante</x:v>
      </x:c>
      <x:c r="D1" s="190" t="str">
        <x:v>Cronograma - consorcio como interveniente quitante</x:v>
      </x:c>
      <x:c r="E1" s="190" t="str">
        <x:v>Cronograma - consorcio como interveniente quitante</x:v>
      </x:c>
      <x:c r="F1" s="190" t="str">
        <x:v>Cronograma - consorcio como interveniente quitante</x:v>
      </x:c>
      <x:c r="G1" s="190" t="str">
        <x:v>Cronograma - consorcio como interveniente quitante</x:v>
      </x:c>
      <x:c r="H1" s="190" t="str">
        <x:v>Cronograma - consorcio como interveniente quitante</x:v>
      </x:c>
      <x:c r="I1" s="190" t="str">
        <x:v>Cronograma - consorcio como interveniente quitante</x:v>
      </x:c>
      <x:c r="J1" s="190" t="str">
        <x:v>Cronograma - consorcio como interveniente quitante</x:v>
      </x:c>
      <x:c r="K1" s="190" t="str">
        <x:v>Cronograma - consorcio como interveniente quitante</x:v>
      </x:c>
      <x:c r="L1" s="190" t="str">
        <x:v>Cronograma - consorcio como interveniente quitante</x:v>
      </x:c>
      <x:c r="M1" s="190" t="str">
        <x:v>Cronograma - consorcio como interveniente quitante</x:v>
      </x:c>
      <x:c r="N1" s="190" t="str">
        <x:v>Cronograma - consorcio como interveniente quitante</x:v>
      </x:c>
      <x:c r="O1" s="190" t="str">
        <x:v>Cronograma - consorcio como interveniente quitante</x:v>
      </x:c>
      <x:c r="P1" s="191" t="str">
        <x:v>Cronograma - consorcio como interveniente quitante</x:v>
      </x:c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  <x:c r="P2" s="130"/>
    </x:row>
    <x:row r="3">
      <x:c r="A3" s="130"/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  <x:c r="M3" s="130"/>
      <x:c r="N3" s="130"/>
      <x:c r="O3" s="130"/>
      <x:c r="P3" s="130"/>
    </x:row>
    <x:row r="4">
      <x:c r="A4" s="130"/>
      <x:c r="B4" s="130"/>
      <x:c r="C4" s="130"/>
      <x:c r="D4" s="130"/>
      <x:c r="E4" s="130"/>
      <x:c r="F4" s="130"/>
      <x:c r="G4" s="130"/>
      <x:c r="H4" s="130"/>
      <x:c r="I4" s="130"/>
      <x:c r="J4" s="130"/>
      <x:c r="K4" s="130"/>
      <x:c r="L4" s="130"/>
      <x:c r="M4" s="130"/>
      <x:c r="N4" s="130"/>
      <x:c r="O4" s="130"/>
      <x:c r="P4" s="130"/>
    </x:row>
    <x:row r="5" ht="25.5" customHeight="1">
      <x:c r="A5" s="193" t="str">
        <x:v>Mes</x:v>
      </x:c>
      <x:c r="B5" s="193" t="str">
        <x:v>Data</x:v>
      </x:c>
      <x:c r="C5" s="193" t="str">
        <x:v>Fator reajuste</x:v>
      </x:c>
      <x:c r="D5" s="193" t="str">
        <x:v>Credito atualizado</x:v>
      </x:c>
      <x:c r="E5" s="193" t="str">
        <x:v>Parcela consorcio</x:v>
      </x:c>
      <x:c r="F5" s="193" t="str">
        <x:v>Saldo financiamento inicio</x:v>
      </x:c>
      <x:c r="G5" s="193" t="str">
        <x:v>Prestacao financiamento</x:v>
      </x:c>
      <x:c r="H5" s="193" t="str">
        <x:v>Saldo apos prestacao</x:v>
      </x:c>
      <x:c r="I5" s="193" t="str">
        <x:v>Carta usada</x:v>
      </x:c>
      <x:c r="J5" s="193" t="str">
        <x:v>Sobra/(-falta)</x:v>
      </x:c>
      <x:c r="K5" s="193" t="str">
        <x:v>Desembolso cliente</x:v>
      </x:c>
      <x:c r="L5" s="193" t="str">
        <x:v>Pago acumulado</x:v>
      </x:c>
      <x:c r="M5" s="193" t="str">
        <x:v>Status</x:v>
      </x:c>
      <x:c r="N5" s="193" t="str">
        <x:v>VP parcelas futuras</x:v>
      </x:c>
      <x:c r="O5" s="193" t="str">
        <x:v>Direito economico cota</x:v>
      </x:c>
      <x:c r="P5" s="193" t="str">
        <x:v>Divida total</x:v>
      </x:c>
    </x:row>
    <x:row r="6">
      <x:c r="A6" s="142" t="n">
        <x:v>1</x:v>
      </x:c>
      <x:c r="B6" s="179" t="n">
        <x:f>EDATE(Premissas!$B$4,0)</x:f>
        <x:v>46539</x:v>
      </x:c>
      <x:c r="C6" s="180" t="n">
        <x:f>(1+Premissas!$B$26)^INT((A6-1)/12)</x:f>
        <x:v>1</x:v>
      </x:c>
      <x:c r="D6" s="141" t="n">
        <x:f>Premissas!$B$30*C6</x:f>
        <x:v>108629.98810121442</x:v>
      </x:c>
      <x:c r="E6" s="141" t="n">
        <x:f>IF(A6&lt;=Premissas!$B$25,Premissas!$B$32*C6,0)</x:f>
        <x:v>570.4658562640234</x:v>
      </x:c>
      <x:c r="F6" s="141" t="n">
        <x:f>IF(AND(A6&gt;=Premissas!$B$48,A6&lt;=Premissas!$B$27,A6-Premissas!$B$48+1&lt;=Premissas!$B$13),INDEX(Financiamento!$C$6:$C$485,A6-Premissas!$B$48+1),0)</x:f>
        <x:v>160000</x:v>
      </x:c>
      <x:c r="G6" s="141" t="n">
        <x:f>IF(AND(A6&gt;=Premissas!$B$48,A6&lt;=Premissas!$B$27,A6-Premissas!$B$48+1&lt;=Premissas!$B$13),INDEX(Financiamento!$J$6:$J$485,A6-Premissas!$B$48+1),0)</x:f>
        <x:v>2049.159250485668</x:v>
      </x:c>
      <x:c r="H6" s="141" t="n">
        <x:f>IF(AND(A6&gt;=Premissas!$B$48,A6&lt;=Premissas!$B$27,A6-Premissas!$B$48+1&lt;=Premissas!$B$13),INDEX(Financiamento!$M$6:$M$485,A6-Premissas!$B$48+1),0)</x:f>
        <x:v>159619.04761904763</x:v>
      </x:c>
      <x:c r="I6" s="141" t="n">
        <x:f>IF(A6=Premissas!$B$27,MIN(D6,H6),0)</x:f>
        <x:v>0</x:v>
      </x:c>
      <x:c r="J6" s="141" t="n">
        <x:f>IF(A6=Premissas!$B$27,D6-H6,0)</x:f>
        <x:v>0</x:v>
      </x:c>
      <x:c r="K6" s="141" t="n">
        <x:f>E6+G6</x:f>
        <x:v>2619.6251067496914</x:v>
      </x:c>
      <x:c r="L6" s="141" t="n">
        <x:f>SUM($K$6:K6)</x:f>
        <x:v>2619.6251067496914</x:v>
      </x:c>
      <x:c r="M6" s="141" t="str">
        <x:f>IF(A6&lt;Premissas!$B$27,"Financiamento + consorcio",IF(A6=Premissas!$B$27,"Quitacao via carta",IF(A6&lt;=Premissas!$B$25,"Somente consorcio","Encerrado")))</x:f>
        <x:v>Financiamento + consorcio</x:v>
      </x:c>
      <x:c r="N6" s="141" t="n">
        <x:f>IF(A6&gt;=Premissas!$B$25,0,(N7+E7)/(1+Premissas!$B$41))</x:f>
        <x:v>80454.48694434609</x:v>
      </x:c>
      <x:c r="O6" s="141" t="n">
        <x:f>IF(A6&lt;Premissas!$B$27,Premissas!$B$31/(1+Premissas!$B$41)^(Premissas!$B$27-A6),0)</x:f>
        <x:v>78556.94422738742</x:v>
      </x:c>
      <x:c r="P6" s="141" t="n">
        <x:f>MAX(0,H6-I6)+N6</x:f>
        <x:v>240073.53456339374</x:v>
      </x:c>
    </x:row>
    <x:row r="7">
      <x:c r="A7" s="142" t="n">
        <x:v>2</x:v>
      </x:c>
      <x:c r="B7" s="179" t="n">
        <x:f>EDATE(Premissas!$B$4,1)</x:f>
        <x:v>46569</x:v>
      </x:c>
      <x:c r="C7" s="180" t="n">
        <x:f>(1+Premissas!$B$26)^INT((A7-1)/12)</x:f>
        <x:v>1</x:v>
      </x:c>
      <x:c r="D7" s="141" t="n">
        <x:f>Premissas!$B$30*C7</x:f>
        <x:v>108629.98810121442</x:v>
      </x:c>
      <x:c r="E7" s="141" t="n">
        <x:f>IF(A7&lt;=Premissas!$B$25,Premissas!$B$32*C7,0)</x:f>
        <x:v>570.4658562640234</x:v>
      </x:c>
      <x:c r="F7" s="141" t="n">
        <x:f>IF(AND(A7&gt;=Premissas!$B$48,A7&lt;=Premissas!$B$27,A7-Premissas!$B$48+1&lt;=Premissas!$B$13),INDEX(Financiamento!$C$6:$C$485,A7-Premissas!$B$48+1),0)</x:f>
        <x:v>159619.04761904763</x:v>
      </x:c>
      <x:c r="G7" s="141" t="n">
        <x:f>IF(AND(A7&gt;=Premissas!$B$48,A7&lt;=Premissas!$B$27,A7-Premissas!$B$48+1&lt;=Premissas!$B$13),INDEX(Financiamento!$J$6:$J$485,A7-Premissas!$B$48+1),0)</x:f>
        <x:v>2045.5444722248749</x:v>
      </x:c>
      <x:c r="H7" s="141" t="n">
        <x:f>IF(AND(A7&gt;=Premissas!$B$48,A7&lt;=Premissas!$B$27,A7-Premissas!$B$48+1&lt;=Premissas!$B$13),INDEX(Financiamento!$M$6:$M$485,A7-Premissas!$B$48+1),0)</x:f>
        <x:v>159238.09523809527</x:v>
      </x:c>
      <x:c r="I7" s="141" t="n">
        <x:f>IF(A7=Premissas!$B$27,MIN(D7,H7),0)</x:f>
        <x:v>0</x:v>
      </x:c>
      <x:c r="J7" s="141" t="n">
        <x:f>IF(A7=Premissas!$B$27,D7-H7,0)</x:f>
        <x:v>0</x:v>
      </x:c>
      <x:c r="K7" s="141" t="n">
        <x:f>E7+G7</x:f>
        <x:v>2616.0103284888983</x:v>
      </x:c>
      <x:c r="L7" s="141" t="n">
        <x:f>SUM($K$6:K7)</x:f>
        <x:v>5235.63543523859</x:v>
      </x:c>
      <x:c r="M7" s="141" t="str">
        <x:f>IF(A7&lt;Premissas!$B$27,"Financiamento + consorcio",IF(A7=Premissas!$B$27,"Quitacao via carta",IF(A7&lt;=Premissas!$B$25,"Somente consorcio","Encerrado")))</x:f>
        <x:v>Financiamento + consorcio</x:v>
      </x:c>
      <x:c r="N7" s="141" t="n">
        <x:f>IF(A7&gt;=Premissas!$B$25,0,(N8+E8)/(1+Premissas!$B$41))</x:f>
        <x:v>80647.43705535508</x:v>
      </x:c>
      <x:c r="O7" s="141" t="n">
        <x:f>IF(A7&lt;Premissas!$B$27,Premissas!$B$31/(1+Premissas!$B$41)^(Premissas!$B$27-A7),0)</x:f>
        <x:v>79302.3548047347</x:v>
      </x:c>
      <x:c r="P7" s="141" t="n">
        <x:f>MAX(0,H7-I7)+N7</x:f>
        <x:v>239885.53229345035</x:v>
      </x:c>
    </x:row>
    <x:row r="8">
      <x:c r="A8" s="142" t="n">
        <x:v>3</x:v>
      </x:c>
      <x:c r="B8" s="179" t="n">
        <x:f>EDATE(Premissas!$B$4,2)</x:f>
        <x:v>46600</x:v>
      </x:c>
      <x:c r="C8" s="180" t="n">
        <x:f>(1+Premissas!$B$26)^INT((A8-1)/12)</x:f>
        <x:v>1</x:v>
      </x:c>
      <x:c r="D8" s="141" t="n">
        <x:f>Premissas!$B$30*C8</x:f>
        <x:v>108629.98810121442</x:v>
      </x:c>
      <x:c r="E8" s="141" t="n">
        <x:f>IF(A8&lt;=Premissas!$B$25,Premissas!$B$32*C8,0)</x:f>
        <x:v>570.4658562640234</x:v>
      </x:c>
      <x:c r="F8" s="141" t="n">
        <x:f>IF(AND(A8&gt;=Premissas!$B$48,A8&lt;=Premissas!$B$27,A8-Premissas!$B$48+1&lt;=Premissas!$B$13),INDEX(Financiamento!$C$6:$C$485,A8-Premissas!$B$48+1),0)</x:f>
        <x:v>159238.09523809527</x:v>
      </x:c>
      <x:c r="G8" s="141" t="n">
        <x:f>IF(AND(A8&gt;=Premissas!$B$48,A8&lt;=Premissas!$B$27,A8-Premissas!$B$48+1&lt;=Premissas!$B$13),INDEX(Financiamento!$J$6:$J$485,A8-Premissas!$B$48+1),0)</x:f>
        <x:v>2041.9296939640815</x:v>
      </x:c>
      <x:c r="H8" s="141" t="n">
        <x:f>IF(AND(A8&gt;=Premissas!$B$48,A8&lt;=Premissas!$B$27,A8-Premissas!$B$48+1&lt;=Premissas!$B$13),INDEX(Financiamento!$M$6:$M$485,A8-Premissas!$B$48+1),0)</x:f>
        <x:v>158857.1428571429</x:v>
      </x:c>
      <x:c r="I8" s="141" t="n">
        <x:f>IF(A8=Premissas!$B$27,MIN(D8,H8),0)</x:f>
        <x:v>0</x:v>
      </x:c>
      <x:c r="J8" s="141" t="n">
        <x:f>IF(A8=Premissas!$B$27,D8-H8,0)</x:f>
        <x:v>0</x:v>
      </x:c>
      <x:c r="K8" s="141" t="n">
        <x:f>E8+G8</x:f>
        <x:v>2612.395550228105</x:v>
      </x:c>
      <x:c r="L8" s="141" t="n">
        <x:f>SUM($K$6:K8)</x:f>
        <x:v>7848.030985466695</x:v>
      </x:c>
      <x:c r="M8" s="141" t="str">
        <x:f>IF(A8&lt;Premissas!$B$27,"Financiamento + consorcio",IF(A8=Premissas!$B$27,"Quitacao via carta",IF(A8&lt;=Premissas!$B$25,"Somente consorcio","Encerrado")))</x:f>
        <x:v>Financiamento + consorcio</x:v>
      </x:c>
      <x:c r="N8" s="141" t="n">
        <x:f>IF(A8&gt;=Premissas!$B$25,0,(N9+E9)/(1+Premissas!$B$41))</x:f>
        <x:v>80842.21803001415</x:v>
      </x:c>
      <x:c r="O8" s="141" t="n">
        <x:f>IF(A8&lt;Premissas!$B$27,Premissas!$B$31/(1+Premissas!$B$41)^(Premissas!$B$27-A8),0)</x:f>
        <x:v>80054.83842870167</x:v>
      </x:c>
      <x:c r="P8" s="141" t="n">
        <x:f>MAX(0,H8-I8)+N8</x:f>
        <x:v>239699.36088715703</x:v>
      </x:c>
    </x:row>
    <x:row r="9">
      <x:c r="A9" s="142" t="n">
        <x:v>4</x:v>
      </x:c>
      <x:c r="B9" s="179" t="n">
        <x:f>EDATE(Premissas!$B$4,3)</x:f>
        <x:v>46631</x:v>
      </x:c>
      <x:c r="C9" s="180" t="n">
        <x:f>(1+Premissas!$B$26)^INT((A9-1)/12)</x:f>
        <x:v>1</x:v>
      </x:c>
      <x:c r="D9" s="141" t="n">
        <x:f>Premissas!$B$30*C9</x:f>
        <x:v>108629.98810121442</x:v>
      </x:c>
      <x:c r="E9" s="141" t="n">
        <x:f>IF(A9&lt;=Premissas!$B$25,Premissas!$B$32*C9,0)</x:f>
        <x:v>570.4658562640234</x:v>
      </x:c>
      <x:c r="F9" s="141" t="n">
        <x:f>IF(AND(A9&gt;=Premissas!$B$48,A9&lt;=Premissas!$B$27,A9-Premissas!$B$48+1&lt;=Premissas!$B$13),INDEX(Financiamento!$C$6:$C$485,A9-Premissas!$B$48+1),0)</x:f>
        <x:v>158857.1428571429</x:v>
      </x:c>
      <x:c r="G9" s="141" t="n">
        <x:f>IF(AND(A9&gt;=Premissas!$B$48,A9&lt;=Premissas!$B$27,A9-Premissas!$B$48+1&lt;=Premissas!$B$13),INDEX(Financiamento!$J$6:$J$485,A9-Premissas!$B$48+1),0)</x:f>
        <x:v>2038.314915703288</x:v>
      </x:c>
      <x:c r="H9" s="141" t="n">
        <x:f>IF(AND(A9&gt;=Premissas!$B$48,A9&lt;=Premissas!$B$27,A9-Premissas!$B$48+1&lt;=Premissas!$B$13),INDEX(Financiamento!$M$6:$M$485,A9-Premissas!$B$48+1),0)</x:f>
        <x:v>158476.19047619053</x:v>
      </x:c>
      <x:c r="I9" s="141" t="n">
        <x:f>IF(A9=Premissas!$B$27,MIN(D9,H9),0)</x:f>
        <x:v>0</x:v>
      </x:c>
      <x:c r="J9" s="141" t="n">
        <x:f>IF(A9=Premissas!$B$27,D9-H9,0)</x:f>
        <x:v>0</x:v>
      </x:c>
      <x:c r="K9" s="141" t="n">
        <x:f>E9+G9</x:f>
        <x:v>2608.7807719673115</x:v>
      </x:c>
      <x:c r="L9" s="141" t="n">
        <x:f>SUM($K$6:K9)</x:f>
        <x:v>10456.811757434007</x:v>
      </x:c>
      <x:c r="M9" s="141" t="str">
        <x:f>IF(A9&lt;Premissas!$B$27,"Financiamento + consorcio",IF(A9=Premissas!$B$27,"Quitacao via carta",IF(A9&lt;=Premissas!$B$25,"Somente consorcio","Encerrado")))</x:f>
        <x:v>Financiamento + consorcio</x:v>
      </x:c>
      <x:c r="N9" s="141" t="n">
        <x:f>IF(A9&gt;=Premissas!$B$25,0,(N10+E10)/(1+Premissas!$B$41))</x:f>
        <x:v>81038.84724100934</x:v>
      </x:c>
      <x:c r="O9" s="141" t="n">
        <x:f>IF(A9&lt;Premissas!$B$27,Premissas!$B$31/(1+Premissas!$B$41)^(Premissas!$B$27-A9),0)</x:f>
        <x:v>80814.46221396311</x:v>
      </x:c>
      <x:c r="P9" s="141" t="n">
        <x:f>MAX(0,H9-I9)+N9</x:f>
        <x:v>239515.03771719988</x:v>
      </x:c>
    </x:row>
    <x:row r="10">
      <x:c r="A10" s="142" t="n">
        <x:v>5</x:v>
      </x:c>
      <x:c r="B10" s="179" t="n">
        <x:f>EDATE(Premissas!$B$4,4)</x:f>
        <x:v>46661</x:v>
      </x:c>
      <x:c r="C10" s="180" t="n">
        <x:f>(1+Premissas!$B$26)^INT((A10-1)/12)</x:f>
        <x:v>1</x:v>
      </x:c>
      <x:c r="D10" s="141" t="n">
        <x:f>Premissas!$B$30*C10</x:f>
        <x:v>108629.98810121442</x:v>
      </x:c>
      <x:c r="E10" s="141" t="n">
        <x:f>IF(A10&lt;=Premissas!$B$25,Premissas!$B$32*C10,0)</x:f>
        <x:v>570.4658562640234</x:v>
      </x:c>
      <x:c r="F10" s="141" t="n">
        <x:f>IF(AND(A10&gt;=Premissas!$B$48,A10&lt;=Premissas!$B$27,A10-Premissas!$B$48+1&lt;=Premissas!$B$13),INDEX(Financiamento!$C$6:$C$485,A10-Premissas!$B$48+1),0)</x:f>
        <x:v>158476.19047619053</x:v>
      </x:c>
      <x:c r="G10" s="141" t="n">
        <x:f>IF(AND(A10&gt;=Premissas!$B$48,A10&lt;=Premissas!$B$27,A10-Premissas!$B$48+1&lt;=Premissas!$B$13),INDEX(Financiamento!$J$6:$J$485,A10-Premissas!$B$48+1),0)</x:f>
        <x:v>2034.700137442495</x:v>
      </x:c>
      <x:c r="H10" s="141" t="n">
        <x:f>IF(AND(A10&gt;=Premissas!$B$48,A10&lt;=Premissas!$B$27,A10-Premissas!$B$48+1&lt;=Premissas!$B$13),INDEX(Financiamento!$M$6:$M$485,A10-Premissas!$B$48+1),0)</x:f>
        <x:v>158095.23809523816</x:v>
      </x:c>
      <x:c r="I10" s="141" t="n">
        <x:f>IF(A10=Premissas!$B$27,MIN(D10,H10),0)</x:f>
        <x:v>0</x:v>
      </x:c>
      <x:c r="J10" s="141" t="n">
        <x:f>IF(A10=Premissas!$B$27,D10-H10,0)</x:f>
        <x:v>0</x:v>
      </x:c>
      <x:c r="K10" s="141" t="n">
        <x:f>E10+G10</x:f>
        <x:v>2605.1659937065183</x:v>
      </x:c>
      <x:c r="L10" s="141" t="n">
        <x:f>SUM($K$6:K10)</x:f>
        <x:v>13061.977751140525</x:v>
      </x:c>
      <x:c r="M10" s="141" t="str">
        <x:f>IF(A10&lt;Premissas!$B$27,"Financiamento + consorcio",IF(A10=Premissas!$B$27,"Quitacao via carta",IF(A10&lt;=Premissas!$B$25,"Somente consorcio","Encerrado")))</x:f>
        <x:v>Financiamento + consorcio</x:v>
      </x:c>
      <x:c r="N10" s="141" t="n">
        <x:f>IF(A10&gt;=Premissas!$B$25,0,(N11+E11)/(1+Premissas!$B$41))</x:f>
        <x:v>81237.34222587256</x:v>
      </x:c>
      <x:c r="O10" s="141" t="n">
        <x:f>IF(A10&lt;Premissas!$B$27,Premissas!$B$31/(1+Premissas!$B$41)^(Premissas!$B$27-A10),0)</x:f>
        <x:v>81581.29391203109</x:v>
      </x:c>
      <x:c r="P10" s="141" t="n">
        <x:f>MAX(0,H10-I10)+N10</x:f>
        <x:v>239332.58032111073</x:v>
      </x:c>
    </x:row>
    <x:row r="11">
      <x:c r="A11" s="142" t="n">
        <x:v>6</x:v>
      </x:c>
      <x:c r="B11" s="179" t="n">
        <x:f>EDATE(Premissas!$B$4,5)</x:f>
        <x:v>46692</x:v>
      </x:c>
      <x:c r="C11" s="180" t="n">
        <x:f>(1+Premissas!$B$26)^INT((A11-1)/12)</x:f>
        <x:v>1</x:v>
      </x:c>
      <x:c r="D11" s="141" t="n">
        <x:f>Premissas!$B$30*C11</x:f>
        <x:v>108629.98810121442</x:v>
      </x:c>
      <x:c r="E11" s="141" t="n">
        <x:f>IF(A11&lt;=Premissas!$B$25,Premissas!$B$32*C11,0)</x:f>
        <x:v>570.4658562640234</x:v>
      </x:c>
      <x:c r="F11" s="141" t="n">
        <x:f>IF(AND(A11&gt;=Premissas!$B$48,A11&lt;=Premissas!$B$27,A11-Premissas!$B$48+1&lt;=Premissas!$B$13),INDEX(Financiamento!$C$6:$C$485,A11-Premissas!$B$48+1),0)</x:f>
        <x:v>158095.23809523816</x:v>
      </x:c>
      <x:c r="G11" s="141" t="n">
        <x:f>IF(AND(A11&gt;=Premissas!$B$48,A11&lt;=Premissas!$B$27,A11-Premissas!$B$48+1&lt;=Premissas!$B$13),INDEX(Financiamento!$J$6:$J$485,A11-Premissas!$B$48+1),0)</x:f>
        <x:v>2031.0853591817015</x:v>
      </x:c>
      <x:c r="H11" s="141" t="n">
        <x:f>IF(AND(A11&gt;=Premissas!$B$48,A11&lt;=Premissas!$B$27,A11-Premissas!$B$48+1&lt;=Premissas!$B$13),INDEX(Financiamento!$M$6:$M$485,A11-Premissas!$B$48+1),0)</x:f>
        <x:v>157714.2857142858</x:v>
      </x:c>
      <x:c r="I11" s="141" t="n">
        <x:f>IF(A11=Premissas!$B$27,MIN(D11,H11),0)</x:f>
        <x:v>0</x:v>
      </x:c>
      <x:c r="J11" s="141" t="n">
        <x:f>IF(A11=Premissas!$B$27,D11-H11,0)</x:f>
        <x:v>0</x:v>
      </x:c>
      <x:c r="K11" s="141" t="n">
        <x:f>E11+G11</x:f>
        <x:v>2601.5512154457247</x:v>
      </x:c>
      <x:c r="L11" s="141" t="n">
        <x:f>SUM($K$6:K11)</x:f>
        <x:v>15663.52896658625</x:v>
      </x:c>
      <x:c r="M11" s="141" t="str">
        <x:f>IF(A11&lt;Premissas!$B$27,"Financiamento + consorcio",IF(A11=Premissas!$B$27,"Quitacao via carta",IF(A11&lt;=Premissas!$B$25,"Somente consorcio","Encerrado")))</x:f>
        <x:v>Financiamento + consorcio</x:v>
      </x:c>
      <x:c r="N11" s="141" t="n">
        <x:f>IF(A11&gt;=Premissas!$B$25,0,(N12+E12)/(1+Premissas!$B$41))</x:f>
        <x:v>81437.7206885457</x:v>
      </x:c>
      <x:c r="O11" s="141" t="n">
        <x:f>IF(A11&lt;Premissas!$B$27,Premissas!$B$31/(1+Premissas!$B$41)^(Premissas!$B$27-A11),0)</x:f>
        <x:v>82355.40191729771</x:v>
      </x:c>
      <x:c r="P11" s="141" t="n">
        <x:f>MAX(0,H11-I11)+N11</x:f>
        <x:v>239152.0064028315</x:v>
      </x:c>
    </x:row>
    <x:row r="12">
      <x:c r="A12" s="142" t="n">
        <x:v>7</x:v>
      </x:c>
      <x:c r="B12" s="179" t="n">
        <x:f>EDATE(Premissas!$B$4,6)</x:f>
        <x:v>46722</x:v>
      </x:c>
      <x:c r="C12" s="180" t="n">
        <x:f>(1+Premissas!$B$26)^INT((A12-1)/12)</x:f>
        <x:v>1</x:v>
      </x:c>
      <x:c r="D12" s="141" t="n">
        <x:f>Premissas!$B$30*C12</x:f>
        <x:v>108629.98810121442</x:v>
      </x:c>
      <x:c r="E12" s="141" t="n">
        <x:f>IF(A12&lt;=Premissas!$B$25,Premissas!$B$32*C12,0)</x:f>
        <x:v>570.4658562640234</x:v>
      </x:c>
      <x:c r="F12" s="141" t="n">
        <x:f>IF(AND(A12&gt;=Premissas!$B$48,A12&lt;=Premissas!$B$27,A12-Premissas!$B$48+1&lt;=Premissas!$B$13),INDEX(Financiamento!$C$6:$C$485,A12-Premissas!$B$48+1),0)</x:f>
        <x:v>157714.2857142858</x:v>
      </x:c>
      <x:c r="G12" s="141" t="n">
        <x:f>IF(AND(A12&gt;=Premissas!$B$48,A12&lt;=Premissas!$B$27,A12-Premissas!$B$48+1&lt;=Premissas!$B$13),INDEX(Financiamento!$J$6:$J$485,A12-Premissas!$B$48+1),0)</x:f>
        <x:v>2027.470580920908</x:v>
      </x:c>
      <x:c r="H12" s="141" t="n">
        <x:f>IF(AND(A12&gt;=Premissas!$B$48,A12&lt;=Premissas!$B$27,A12-Premissas!$B$48+1&lt;=Premissas!$B$13),INDEX(Financiamento!$M$6:$M$485,A12-Premissas!$B$48+1),0)</x:f>
        <x:v>157333.33333333343</x:v>
      </x:c>
      <x:c r="I12" s="141" t="n">
        <x:f>IF(A12=Premissas!$B$27,MIN(D12,H12),0)</x:f>
        <x:v>0</x:v>
      </x:c>
      <x:c r="J12" s="141" t="n">
        <x:f>IF(A12=Premissas!$B$27,D12-H12,0)</x:f>
        <x:v>0</x:v>
      </x:c>
      <x:c r="K12" s="141" t="n">
        <x:f>E12+G12</x:f>
        <x:v>2597.9364371849315</x:v>
      </x:c>
      <x:c r="L12" s="141" t="n">
        <x:f>SUM($K$6:K12)</x:f>
        <x:v>18261.46540377118</x:v>
      </x:c>
      <x:c r="M12" s="141" t="str">
        <x:f>IF(A12&lt;Premissas!$B$27,"Financiamento + consorcio",IF(A12=Premissas!$B$27,"Quitacao via carta",IF(A12&lt;=Premissas!$B$25,"Somente consorcio","Encerrado")))</x:f>
        <x:v>Financiamento + consorcio</x:v>
      </x:c>
      <x:c r="N12" s="141" t="n">
        <x:f>IF(A12&gt;=Premissas!$B$25,0,(N13+E13)/(1+Premissas!$B$41))</x:f>
        <x:v>81640.0005009597</x:v>
      </x:c>
      <x:c r="O12" s="141" t="n">
        <x:f>IF(A12&lt;Premissas!$B$27,Premissas!$B$31/(1+Premissas!$B$41)^(Premissas!$B$27-A12),0)</x:f>
        <x:v>83136.85527313533</x:v>
      </x:c>
      <x:c r="P12" s="141" t="n">
        <x:f>MAX(0,H12-I12)+N12</x:f>
        <x:v>238973.33383429312</x:v>
      </x:c>
    </x:row>
    <x:row r="13">
      <x:c r="A13" s="142" t="n">
        <x:v>8</x:v>
      </x:c>
      <x:c r="B13" s="179" t="n">
        <x:f>EDATE(Premissas!$B$4,7)</x:f>
        <x:v>46753</x:v>
      </x:c>
      <x:c r="C13" s="180" t="n">
        <x:f>(1+Premissas!$B$26)^INT((A13-1)/12)</x:f>
        <x:v>1</x:v>
      </x:c>
      <x:c r="D13" s="141" t="n">
        <x:f>Premissas!$B$30*C13</x:f>
        <x:v>108629.98810121442</x:v>
      </x:c>
      <x:c r="E13" s="141" t="n">
        <x:f>IF(A13&lt;=Premissas!$B$25,Premissas!$B$32*C13,0)</x:f>
        <x:v>570.4658562640234</x:v>
      </x:c>
      <x:c r="F13" s="141" t="n">
        <x:f>IF(AND(A13&gt;=Premissas!$B$48,A13&lt;=Premissas!$B$27,A13-Premissas!$B$48+1&lt;=Premissas!$B$13),INDEX(Financiamento!$C$6:$C$485,A13-Premissas!$B$48+1),0)</x:f>
        <x:v>157333.33333333343</x:v>
      </x:c>
      <x:c r="G13" s="141" t="n">
        <x:f>IF(AND(A13&gt;=Premissas!$B$48,A13&lt;=Premissas!$B$27,A13-Premissas!$B$48+1&lt;=Premissas!$B$13),INDEX(Financiamento!$J$6:$J$485,A13-Premissas!$B$48+1),0)</x:f>
        <x:v>2023.8558026601147</x:v>
      </x:c>
      <x:c r="H13" s="141" t="n">
        <x:f>IF(AND(A13&gt;=Premissas!$B$48,A13&lt;=Premissas!$B$27,A13-Premissas!$B$48+1&lt;=Premissas!$B$13),INDEX(Financiamento!$M$6:$M$485,A13-Premissas!$B$48+1),0)</x:f>
        <x:v>156952.38095238106</x:v>
      </x:c>
      <x:c r="I13" s="141" t="n">
        <x:f>IF(A13=Premissas!$B$27,MIN(D13,H13),0)</x:f>
        <x:v>0</x:v>
      </x:c>
      <x:c r="J13" s="141" t="n">
        <x:f>IF(A13=Premissas!$B$27,D13-H13,0)</x:f>
        <x:v>0</x:v>
      </x:c>
      <x:c r="K13" s="141" t="n">
        <x:f>E13+G13</x:f>
        <x:v>2594.3216589241383</x:v>
      </x:c>
      <x:c r="L13" s="141" t="n">
        <x:f>SUM($K$6:K13)</x:f>
        <x:v>20855.78706269532</x:v>
      </x:c>
      <x:c r="M13" s="141" t="str">
        <x:f>IF(A13&lt;Premissas!$B$27,"Financiamento + consorcio",IF(A13=Premissas!$B$27,"Quitacao via carta",IF(A13&lt;=Premissas!$B$25,"Somente consorcio","Encerrado")))</x:f>
        <x:v>Financiamento + consorcio</x:v>
      </x:c>
      <x:c r="N13" s="141" t="n">
        <x:f>IF(A13&gt;=Premissas!$B$25,0,(N14+E14)/(1+Premissas!$B$41))</x:f>
        <x:v>81844.19970462853</x:v>
      </x:c>
      <x:c r="O13" s="141" t="n">
        <x:f>IF(A13&lt;Premissas!$B$27,Premissas!$B$31/(1+Premissas!$B$41)^(Premissas!$B$27-A13),0)</x:f>
        <x:v>83925.72367805449</x:v>
      </x:c>
      <x:c r="P13" s="141" t="n">
        <x:f>MAX(0,H13-I13)+N13</x:f>
        <x:v>238796.5806570096</x:v>
      </x:c>
    </x:row>
    <x:row r="14">
      <x:c r="A14" s="142" t="n">
        <x:v>9</x:v>
      </x:c>
      <x:c r="B14" s="179" t="n">
        <x:f>EDATE(Premissas!$B$4,8)</x:f>
        <x:v>46784</x:v>
      </x:c>
      <x:c r="C14" s="180" t="n">
        <x:f>(1+Premissas!$B$26)^INT((A14-1)/12)</x:f>
        <x:v>1</x:v>
      </x:c>
      <x:c r="D14" s="141" t="n">
        <x:f>Premissas!$B$30*C14</x:f>
        <x:v>108629.98810121442</x:v>
      </x:c>
      <x:c r="E14" s="141" t="n">
        <x:f>IF(A14&lt;=Premissas!$B$25,Premissas!$B$32*C14,0)</x:f>
        <x:v>570.4658562640234</x:v>
      </x:c>
      <x:c r="F14" s="141" t="n">
        <x:f>IF(AND(A14&gt;=Premissas!$B$48,A14&lt;=Premissas!$B$27,A14-Premissas!$B$48+1&lt;=Premissas!$B$13),INDEX(Financiamento!$C$6:$C$485,A14-Premissas!$B$48+1),0)</x:f>
        <x:v>156952.38095238106</x:v>
      </x:c>
      <x:c r="G14" s="141" t="n">
        <x:f>IF(AND(A14&gt;=Premissas!$B$48,A14&lt;=Premissas!$B$27,A14-Premissas!$B$48+1&lt;=Premissas!$B$13),INDEX(Financiamento!$J$6:$J$485,A14-Premissas!$B$48+1),0)</x:f>
        <x:v>2020.2410243993213</x:v>
      </x:c>
      <x:c r="H14" s="141" t="n">
        <x:f>IF(AND(A14&gt;=Premissas!$B$48,A14&lt;=Premissas!$B$27,A14-Premissas!$B$48+1&lt;=Premissas!$B$13),INDEX(Financiamento!$M$6:$M$485,A14-Premissas!$B$48+1),0)</x:f>
        <x:v>156571.4285714287</x:v>
      </x:c>
      <x:c r="I14" s="141" t="n">
        <x:f>IF(A14=Premissas!$B$27,MIN(D14,H14),0)</x:f>
        <x:v>0</x:v>
      </x:c>
      <x:c r="J14" s="141" t="n">
        <x:f>IF(A14=Premissas!$B$27,D14-H14,0)</x:f>
        <x:v>0</x:v>
      </x:c>
      <x:c r="K14" s="141" t="n">
        <x:f>E14+G14</x:f>
        <x:v>2590.7068806633447</x:v>
      </x:c>
      <x:c r="L14" s="141" t="n">
        <x:f>SUM($K$6:K14)</x:f>
        <x:v>23446.493943358662</x:v>
      </x:c>
      <x:c r="M14" s="141" t="str">
        <x:f>IF(A14&lt;Premissas!$B$27,"Financiamento + consorcio",IF(A14=Premissas!$B$27,"Quitacao via carta",IF(A14&lt;=Premissas!$B$25,"Somente consorcio","Encerrado")))</x:f>
        <x:v>Financiamento + consorcio</x:v>
      </x:c>
      <x:c r="N14" s="141" t="n">
        <x:f>IF(A14&gt;=Premissas!$B$25,0,(N15+E15)/(1+Premissas!$B$41))</x:f>
        <x:v>82050.33651225838</x:v>
      </x:c>
      <x:c r="O14" s="141" t="n">
        <x:f>IF(A14&lt;Premissas!$B$27,Premissas!$B$31/(1+Premissas!$B$41)^(Premissas!$B$27-A14),0)</x:f>
        <x:v>84722.07749192059</x:v>
      </x:c>
      <x:c r="P14" s="141" t="n">
        <x:f>MAX(0,H14-I14)+N14</x:f>
        <x:v>238621.7650836871</x:v>
      </x:c>
    </x:row>
    <x:row r="15">
      <x:c r="A15" s="142" t="n">
        <x:v>10</x:v>
      </x:c>
      <x:c r="B15" s="179" t="n">
        <x:f>EDATE(Premissas!$B$4,9)</x:f>
        <x:v>46813</x:v>
      </x:c>
      <x:c r="C15" s="180" t="n">
        <x:f>(1+Premissas!$B$26)^INT((A15-1)/12)</x:f>
        <x:v>1</x:v>
      </x:c>
      <x:c r="D15" s="141" t="n">
        <x:f>Premissas!$B$30*C15</x:f>
        <x:v>108629.98810121442</x:v>
      </x:c>
      <x:c r="E15" s="141" t="n">
        <x:f>IF(A15&lt;=Premissas!$B$25,Premissas!$B$32*C15,0)</x:f>
        <x:v>570.4658562640234</x:v>
      </x:c>
      <x:c r="F15" s="141" t="n">
        <x:f>IF(AND(A15&gt;=Premissas!$B$48,A15&lt;=Premissas!$B$27,A15-Premissas!$B$48+1&lt;=Premissas!$B$13),INDEX(Financiamento!$C$6:$C$485,A15-Premissas!$B$48+1),0)</x:f>
        <x:v>156571.4285714287</x:v>
      </x:c>
      <x:c r="G15" s="141" t="n">
        <x:f>IF(AND(A15&gt;=Premissas!$B$48,A15&lt;=Premissas!$B$27,A15-Premissas!$B$48+1&lt;=Premissas!$B$13),INDEX(Financiamento!$J$6:$J$485,A15-Premissas!$B$48+1),0)</x:f>
        <x:v>2016.626246138528</x:v>
      </x:c>
      <x:c r="H15" s="141" t="n">
        <x:f>IF(AND(A15&gt;=Premissas!$B$48,A15&lt;=Premissas!$B$27,A15-Premissas!$B$48+1&lt;=Premissas!$B$13),INDEX(Financiamento!$M$6:$M$485,A15-Premissas!$B$48+1),0)</x:f>
        <x:v>156190.47619047633</x:v>
      </x:c>
      <x:c r="I15" s="141" t="n">
        <x:f>IF(A15=Premissas!$B$27,MIN(D15,H15),0)</x:f>
        <x:v>0</x:v>
      </x:c>
      <x:c r="J15" s="141" t="n">
        <x:f>IF(A15=Premissas!$B$27,D15-H15,0)</x:f>
        <x:v>0</x:v>
      </x:c>
      <x:c r="K15" s="141" t="n">
        <x:f>E15+G15</x:f>
        <x:v>2587.092102402551</x:v>
      </x:c>
      <x:c r="L15" s="141" t="n">
        <x:f>SUM($K$6:K15)</x:f>
        <x:v>26033.586045761214</x:v>
      </x:c>
      <x:c r="M15" s="141" t="str">
        <x:f>IF(A15&lt;Premissas!$B$27,"Financiamento + consorcio",IF(A15=Premissas!$B$27,"Quitacao via carta",IF(A15&lt;=Premissas!$B$25,"Somente consorcio","Encerrado")))</x:f>
        <x:v>Financiamento + consorcio</x:v>
      </x:c>
      <x:c r="N15" s="141" t="n">
        <x:f>IF(A15&gt;=Premissas!$B$25,0,(N16+E16)/(1+Premissas!$B$41))</x:f>
        <x:v>82258.42930937203</x:v>
      </x:c>
      <x:c r="O15" s="141" t="n">
        <x:f>IF(A15&lt;Premissas!$B$27,Premissas!$B$31/(1+Premissas!$B$41)^(Premissas!$B$27-A15),0)</x:f>
        <x:v>85525.98774222912</x:v>
      </x:c>
      <x:c r="P15" s="141" t="n">
        <x:f>MAX(0,H15-I15)+N15</x:f>
        <x:v>238448.90549984836</x:v>
      </x:c>
    </x:row>
    <x:row r="16">
      <x:c r="A16" s="142" t="n">
        <x:v>11</x:v>
      </x:c>
      <x:c r="B16" s="179" t="n">
        <x:f>EDATE(Premissas!$B$4,10)</x:f>
        <x:v>46844</x:v>
      </x:c>
      <x:c r="C16" s="180" t="n">
        <x:f>(1+Premissas!$B$26)^INT((A16-1)/12)</x:f>
        <x:v>1</x:v>
      </x:c>
      <x:c r="D16" s="141" t="n">
        <x:f>Premissas!$B$30*C16</x:f>
        <x:v>108629.98810121442</x:v>
      </x:c>
      <x:c r="E16" s="141" t="n">
        <x:f>IF(A16&lt;=Premissas!$B$25,Premissas!$B$32*C16,0)</x:f>
        <x:v>570.4658562640234</x:v>
      </x:c>
      <x:c r="F16" s="141" t="n">
        <x:f>IF(AND(A16&gt;=Premissas!$B$48,A16&lt;=Premissas!$B$27,A16-Premissas!$B$48+1&lt;=Premissas!$B$13),INDEX(Financiamento!$C$6:$C$485,A16-Premissas!$B$48+1),0)</x:f>
        <x:v>156190.47619047633</x:v>
      </x:c>
      <x:c r="G16" s="141" t="n">
        <x:f>IF(AND(A16&gt;=Premissas!$B$48,A16&lt;=Premissas!$B$27,A16-Premissas!$B$48+1&lt;=Premissas!$B$13),INDEX(Financiamento!$J$6:$J$485,A16-Premissas!$B$48+1),0)</x:f>
        <x:v>2013.0114678777345</x:v>
      </x:c>
      <x:c r="H16" s="141" t="n">
        <x:f>IF(AND(A16&gt;=Premissas!$B$48,A16&lt;=Premissas!$B$27,A16-Premissas!$B$48+1&lt;=Premissas!$B$13),INDEX(Financiamento!$M$6:$M$485,A16-Premissas!$B$48+1),0)</x:f>
        <x:v>155809.52380952396</x:v>
      </x:c>
      <x:c r="I16" s="141" t="n">
        <x:f>IF(A16=Premissas!$B$27,MIN(D16,H16),0)</x:f>
        <x:v>0</x:v>
      </x:c>
      <x:c r="J16" s="141" t="n">
        <x:f>IF(A16=Premissas!$B$27,D16-H16,0)</x:f>
        <x:v>0</x:v>
      </x:c>
      <x:c r="K16" s="141" t="n">
        <x:f>E16+G16</x:f>
        <x:v>2583.477324141758</x:v>
      </x:c>
      <x:c r="L16" s="141" t="n">
        <x:f>SUM($K$6:K16)</x:f>
        <x:v>28617.06336990297</x:v>
      </x:c>
      <x:c r="M16" s="141" t="str">
        <x:f>IF(A16&lt;Premissas!$B$27,"Financiamento + consorcio",IF(A16=Premissas!$B$27,"Quitacao via carta",IF(A16&lt;=Premissas!$B$25,"Somente consorcio","Encerrado")))</x:f>
        <x:v>Financiamento + consorcio</x:v>
      </x:c>
      <x:c r="N16" s="141" t="n">
        <x:f>IF(A16&gt;=Premissas!$B$25,0,(N17+E17)/(1+Premissas!$B$41))</x:f>
        <x:v>82468.49665594868</x:v>
      </x:c>
      <x:c r="O16" s="141" t="n">
        <x:f>IF(A16&lt;Premissas!$B$27,Premissas!$B$31/(1+Premissas!$B$41)^(Premissas!$B$27-A16),0)</x:f>
        <x:v>86337.52613044082</x:v>
      </x:c>
      <x:c r="P16" s="141" t="n">
        <x:f>MAX(0,H16-I16)+N16</x:f>
        <x:v>238278.02046547265</x:v>
      </x:c>
    </x:row>
    <x:row r="17">
      <x:c r="A17" s="142" t="n">
        <x:v>12</x:v>
      </x:c>
      <x:c r="B17" s="179" t="n">
        <x:f>EDATE(Premissas!$B$4,11)</x:f>
        <x:v>46874</x:v>
      </x:c>
      <x:c r="C17" s="180" t="n">
        <x:f>(1+Premissas!$B$26)^INT((A17-1)/12)</x:f>
        <x:v>1</x:v>
      </x:c>
      <x:c r="D17" s="141" t="n">
        <x:f>Premissas!$B$30*C17</x:f>
        <x:v>108629.98810121442</x:v>
      </x:c>
      <x:c r="E17" s="141" t="n">
        <x:f>IF(A17&lt;=Premissas!$B$25,Premissas!$B$32*C17,0)</x:f>
        <x:v>570.4658562640234</x:v>
      </x:c>
      <x:c r="F17" s="141" t="n">
        <x:f>IF(AND(A17&gt;=Premissas!$B$48,A17&lt;=Premissas!$B$27,A17-Premissas!$B$48+1&lt;=Premissas!$B$13),INDEX(Financiamento!$C$6:$C$485,A17-Premissas!$B$48+1),0)</x:f>
        <x:v>155809.52380952396</x:v>
      </x:c>
      <x:c r="G17" s="141" t="n">
        <x:f>IF(AND(A17&gt;=Premissas!$B$48,A17&lt;=Premissas!$B$27,A17-Premissas!$B$48+1&lt;=Premissas!$B$13),INDEX(Financiamento!$J$6:$J$485,A17-Premissas!$B$48+1),0)</x:f>
        <x:v>2009.3966896169413</x:v>
      </x:c>
      <x:c r="H17" s="141" t="n">
        <x:f>IF(AND(A17&gt;=Premissas!$B$48,A17&lt;=Premissas!$B$27,A17-Premissas!$B$48+1&lt;=Premissas!$B$13),INDEX(Financiamento!$M$6:$M$485,A17-Premissas!$B$48+1),0)</x:f>
        <x:v>155428.5714285716</x:v>
      </x:c>
      <x:c r="I17" s="141" t="n">
        <x:f>IF(A17=Premissas!$B$27,MIN(D17,H17),0)</x:f>
        <x:v>0</x:v>
      </x:c>
      <x:c r="J17" s="141" t="n">
        <x:f>IF(A17=Premissas!$B$27,D17-H17,0)</x:f>
        <x:v>0</x:v>
      </x:c>
      <x:c r="K17" s="141" t="n">
        <x:f>E17+G17</x:f>
        <x:v>2579.8625458809647</x:v>
      </x:c>
      <x:c r="L17" s="141" t="n">
        <x:f>SUM($K$6:K17)</x:f>
        <x:v>31196.925915783937</x:v>
      </x:c>
      <x:c r="M17" s="141" t="str">
        <x:f>IF(A17&lt;Premissas!$B$27,"Financiamento + consorcio",IF(A17=Premissas!$B$27,"Quitacao via carta",IF(A17&lt;=Premissas!$B$25,"Somente consorcio","Encerrado")))</x:f>
        <x:v>Financiamento + consorcio</x:v>
      </x:c>
      <x:c r="N17" s="141" t="n">
        <x:f>IF(A17&gt;=Premissas!$B$25,0,(N18+E18)/(1+Premissas!$B$41))</x:f>
        <x:v>82680.5572880793</x:v>
      </x:c>
      <x:c r="O17" s="141" t="n">
        <x:f>IF(A17&lt;Premissas!$B$27,Premissas!$B$31/(1+Premissas!$B$41)^(Premissas!$B$27-A17),0)</x:f>
        <x:v>87156.76503837673</x:v>
      </x:c>
      <x:c r="P17" s="141" t="n">
        <x:f>MAX(0,H17-I17)+N17</x:f>
        <x:v>238109.12871665088</x:v>
      </x:c>
    </x:row>
    <x:row r="18">
      <x:c r="A18" s="142" t="n">
        <x:v>13</x:v>
      </x:c>
      <x:c r="B18" s="179" t="n">
        <x:f>EDATE(Premissas!$B$4,12)</x:f>
        <x:v>46905</x:v>
      </x:c>
      <x:c r="C18" s="180" t="n">
        <x:f>(1+Premissas!$B$26)^INT((A18-1)/12)</x:f>
        <x:v>1.06</x:v>
      </x:c>
      <x:c r="D18" s="141" t="n">
        <x:f>Premissas!$B$30*C18</x:f>
        <x:v>115147.78738728729</x:v>
      </x:c>
      <x:c r="E18" s="141" t="n">
        <x:f>IF(A18&lt;=Premissas!$B$25,Premissas!$B$32*C18,0)</x:f>
        <x:v>604.6938076398649</x:v>
      </x:c>
      <x:c r="F18" s="141" t="n">
        <x:f>IF(AND(A18&gt;=Premissas!$B$48,A18&lt;=Premissas!$B$27,A18-Premissas!$B$48+1&lt;=Premissas!$B$13),INDEX(Financiamento!$C$6:$C$485,A18-Premissas!$B$48+1),0)</x:f>
        <x:v>155428.5714285716</x:v>
      </x:c>
      <x:c r="G18" s="141" t="n">
        <x:f>IF(AND(A18&gt;=Premissas!$B$48,A18&lt;=Premissas!$B$27,A18-Premissas!$B$48+1&lt;=Premissas!$B$13),INDEX(Financiamento!$J$6:$J$485,A18-Premissas!$B$48+1),0)</x:f>
        <x:v>2005.781911356148</x:v>
      </x:c>
      <x:c r="H18" s="141" t="n">
        <x:f>IF(AND(A18&gt;=Premissas!$B$48,A18&lt;=Premissas!$B$27,A18-Premissas!$B$48+1&lt;=Premissas!$B$13),INDEX(Financiamento!$M$6:$M$485,A18-Premissas!$B$48+1),0)</x:f>
        <x:v>155047.61904761923</x:v>
      </x:c>
      <x:c r="I18" s="141" t="n">
        <x:f>IF(A18=Premissas!$B$27,MIN(D18,H18),0)</x:f>
        <x:v>0</x:v>
      </x:c>
      <x:c r="J18" s="141" t="n">
        <x:f>IF(A18=Premissas!$B$27,D18-H18,0)</x:f>
        <x:v>0</x:v>
      </x:c>
      <x:c r="K18" s="141" t="n">
        <x:f>E18+G18</x:f>
        <x:v>2610.475718996013</x:v>
      </x:c>
      <x:c r="L18" s="141" t="n">
        <x:f>SUM($K$6:K18)</x:f>
        <x:v>33807.40163477995</x:v>
      </x:c>
      <x:c r="M18" s="141" t="str">
        <x:f>IF(A18&lt;Premissas!$B$27,"Financiamento + consorcio",IF(A18=Premissas!$B$27,"Quitacao via carta",IF(A18&lt;=Premissas!$B$25,"Somente consorcio","Encerrado")))</x:f>
        <x:v>Financiamento + consorcio</x:v>
      </x:c>
      <x:c r="N18" s="141" t="n">
        <x:f>IF(A18&gt;=Premissas!$B$25,0,(N19+E19)/(1+Premissas!$B$41))</x:f>
        <x:v>82860.40216826195</x:v>
      </x:c>
      <x:c r="O18" s="141" t="n">
        <x:f>IF(A18&lt;Premissas!$B$27,Premissas!$B$31/(1+Premissas!$B$41)^(Premissas!$B$27-A18),0)</x:f>
        <x:v>87983.777534674</x:v>
      </x:c>
      <x:c r="P18" s="141" t="n">
        <x:f>MAX(0,H18-I18)+N18</x:f>
        <x:v>237908.02121588116</x:v>
      </x:c>
    </x:row>
    <x:row r="19">
      <x:c r="A19" s="142" t="n">
        <x:v>14</x:v>
      </x:c>
      <x:c r="B19" s="179" t="n">
        <x:f>EDATE(Premissas!$B$4,13)</x:f>
        <x:v>46935</x:v>
      </x:c>
      <x:c r="C19" s="180" t="n">
        <x:f>(1+Premissas!$B$26)^INT((A19-1)/12)</x:f>
        <x:v>1.06</x:v>
      </x:c>
      <x:c r="D19" s="141" t="n">
        <x:f>Premissas!$B$30*C19</x:f>
        <x:v>115147.78738728729</x:v>
      </x:c>
      <x:c r="E19" s="141" t="n">
        <x:f>IF(A19&lt;=Premissas!$B$25,Premissas!$B$32*C19,0)</x:f>
        <x:v>604.6938076398649</x:v>
      </x:c>
      <x:c r="F19" s="141" t="n">
        <x:f>IF(AND(A19&gt;=Premissas!$B$48,A19&lt;=Premissas!$B$27,A19-Premissas!$B$48+1&lt;=Premissas!$B$13),INDEX(Financiamento!$C$6:$C$485,A19-Premissas!$B$48+1),0)</x:f>
        <x:v>155047.61904761923</x:v>
      </x:c>
      <x:c r="G19" s="141" t="n">
        <x:f>IF(AND(A19&gt;=Premissas!$B$48,A19&lt;=Premissas!$B$27,A19-Premissas!$B$48+1&lt;=Premissas!$B$13),INDEX(Financiamento!$J$6:$J$485,A19-Premissas!$B$48+1),0)</x:f>
        <x:v>2002.1671330953543</x:v>
      </x:c>
      <x:c r="H19" s="141" t="n">
        <x:f>IF(AND(A19&gt;=Premissas!$B$48,A19&lt;=Premissas!$B$27,A19-Premissas!$B$48+1&lt;=Premissas!$B$13),INDEX(Financiamento!$M$6:$M$485,A19-Premissas!$B$48+1),0)</x:f>
        <x:v>154666.66666666686</x:v>
      </x:c>
      <x:c r="I19" s="141" t="n">
        <x:f>IF(A19=Premissas!$B$27,MIN(D19,H19),0)</x:f>
        <x:v>0</x:v>
      </x:c>
      <x:c r="J19" s="141" t="n">
        <x:f>IF(A19=Premissas!$B$27,D19-H19,0)</x:f>
        <x:v>0</x:v>
      </x:c>
      <x:c r="K19" s="141" t="n">
        <x:f>E19+G19</x:f>
        <x:v>2606.860940735219</x:v>
      </x:c>
      <x:c r="L19" s="141" t="n">
        <x:f>SUM($K$6:K19)</x:f>
        <x:v>36414.26257551517</x:v>
      </x:c>
      <x:c r="M19" s="141" t="str">
        <x:f>IF(A19&lt;Premissas!$B$27,"Financiamento + consorcio",IF(A19=Premissas!$B$27,"Quitacao via carta",IF(A19&lt;=Premissas!$B$25,"Somente consorcio","Encerrado")))</x:f>
        <x:v>Financiamento + consorcio</x:v>
      </x:c>
      <x:c r="N19" s="141" t="n">
        <x:f>IF(A19&gt;=Premissas!$B$25,0,(N20+E20)/(1+Premissas!$B$41))</x:f>
        <x:v>83041.953559273</x:v>
      </x:c>
      <x:c r="O19" s="141" t="n">
        <x:f>IF(A19&lt;Premissas!$B$27,Premissas!$B$31/(1+Premissas!$B$41)^(Premissas!$B$27-A19),0)</x:f>
        <x:v>88818.63738130293</x:v>
      </x:c>
      <x:c r="P19" s="141" t="n">
        <x:f>MAX(0,H19-I19)+N19</x:f>
        <x:v>237708.62022593984</x:v>
      </x:c>
    </x:row>
    <x:row r="20">
      <x:c r="A20" s="142" t="n">
        <x:v>15</x:v>
      </x:c>
      <x:c r="B20" s="179" t="n">
        <x:f>EDATE(Premissas!$B$4,14)</x:f>
        <x:v>46966</x:v>
      </x:c>
      <x:c r="C20" s="180" t="n">
        <x:f>(1+Premissas!$B$26)^INT((A20-1)/12)</x:f>
        <x:v>1.06</x:v>
      </x:c>
      <x:c r="D20" s="141" t="n">
        <x:f>Premissas!$B$30*C20</x:f>
        <x:v>115147.78738728729</x:v>
      </x:c>
      <x:c r="E20" s="141" t="n">
        <x:f>IF(A20&lt;=Premissas!$B$25,Premissas!$B$32*C20,0)</x:f>
        <x:v>604.6938076398649</x:v>
      </x:c>
      <x:c r="F20" s="141" t="n">
        <x:f>IF(AND(A20&gt;=Premissas!$B$48,A20&lt;=Premissas!$B$27,A20-Premissas!$B$48+1&lt;=Premissas!$B$13),INDEX(Financiamento!$C$6:$C$485,A20-Premissas!$B$48+1),0)</x:f>
        <x:v>154666.66666666686</x:v>
      </x:c>
      <x:c r="G20" s="141" t="n">
        <x:f>IF(AND(A20&gt;=Premissas!$B$48,A20&lt;=Premissas!$B$27,A20-Premissas!$B$48+1&lt;=Premissas!$B$13),INDEX(Financiamento!$J$6:$J$485,A20-Premissas!$B$48+1),0)</x:f>
        <x:v>1998.552354834561</x:v>
      </x:c>
      <x:c r="H20" s="141" t="n">
        <x:f>IF(AND(A20&gt;=Premissas!$B$48,A20&lt;=Premissas!$B$27,A20-Premissas!$B$48+1&lt;=Premissas!$B$13),INDEX(Financiamento!$M$6:$M$485,A20-Premissas!$B$48+1),0)</x:f>
        <x:v>154285.7142857145</x:v>
      </x:c>
      <x:c r="I20" s="141" t="n">
        <x:f>IF(A20=Premissas!$B$27,MIN(D20,H20),0)</x:f>
        <x:v>0</x:v>
      </x:c>
      <x:c r="J20" s="141" t="n">
        <x:f>IF(A20=Premissas!$B$27,D20-H20,0)</x:f>
        <x:v>0</x:v>
      </x:c>
      <x:c r="K20" s="141" t="n">
        <x:f>E20+G20</x:f>
        <x:v>2603.2461624744255</x:v>
      </x:c>
      <x:c r="L20" s="141" t="n">
        <x:f>SUM($K$6:K20)</x:f>
        <x:v>39017.50873798959</x:v>
      </x:c>
      <x:c r="M20" s="141" t="str">
        <x:f>IF(A20&lt;Premissas!$B$27,"Financiamento + consorcio",IF(A20=Premissas!$B$27,"Quitacao via carta",IF(A20&lt;=Premissas!$B$25,"Somente consorcio","Encerrado")))</x:f>
        <x:v>Financiamento + consorcio</x:v>
      </x:c>
      <x:c r="N20" s="141" t="n">
        <x:f>IF(A20&gt;=Premissas!$B$25,0,(N21+E21)/(1+Premissas!$B$41))</x:f>
        <x:v>83225.22765384034</x:v>
      </x:c>
      <x:c r="O20" s="141" t="n">
        <x:f>IF(A20&lt;Premissas!$B$27,Premissas!$B$31/(1+Premissas!$B$41)^(Premissas!$B$27-A20),0)</x:f>
        <x:v>89661.41904014593</x:v>
      </x:c>
      <x:c r="P20" s="141" t="n">
        <x:f>MAX(0,H20-I20)+N20</x:f>
        <x:v>237510.94193955482</x:v>
      </x:c>
    </x:row>
    <x:row r="21">
      <x:c r="A21" s="142" t="n">
        <x:v>16</x:v>
      </x:c>
      <x:c r="B21" s="179" t="n">
        <x:f>EDATE(Premissas!$B$4,15)</x:f>
        <x:v>46997</x:v>
      </x:c>
      <x:c r="C21" s="180" t="n">
        <x:f>(1+Premissas!$B$26)^INT((A21-1)/12)</x:f>
        <x:v>1.06</x:v>
      </x:c>
      <x:c r="D21" s="141" t="n">
        <x:f>Premissas!$B$30*C21</x:f>
        <x:v>115147.78738728729</x:v>
      </x:c>
      <x:c r="E21" s="141" t="n">
        <x:f>IF(A21&lt;=Premissas!$B$25,Premissas!$B$32*C21,0)</x:f>
        <x:v>604.6938076398649</x:v>
      </x:c>
      <x:c r="F21" s="141" t="n">
        <x:f>IF(AND(A21&gt;=Premissas!$B$48,A21&lt;=Premissas!$B$27,A21-Premissas!$B$48+1&lt;=Premissas!$B$13),INDEX(Financiamento!$C$6:$C$485,A21-Premissas!$B$48+1),0)</x:f>
        <x:v>154285.7142857145</x:v>
      </x:c>
      <x:c r="G21" s="141" t="n">
        <x:f>IF(AND(A21&gt;=Premissas!$B$48,A21&lt;=Premissas!$B$27,A21-Premissas!$B$48+1&lt;=Premissas!$B$13),INDEX(Financiamento!$J$6:$J$485,A21-Premissas!$B$48+1),0)</x:f>
        <x:v>1994.9375765737675</x:v>
      </x:c>
      <x:c r="H21" s="141" t="n">
        <x:f>IF(AND(A21&gt;=Premissas!$B$48,A21&lt;=Premissas!$B$27,A21-Premissas!$B$48+1&lt;=Premissas!$B$13),INDEX(Financiamento!$M$6:$M$485,A21-Premissas!$B$48+1),0)</x:f>
        <x:v>153904.76190476213</x:v>
      </x:c>
      <x:c r="I21" s="141" t="n">
        <x:f>IF(A21=Premissas!$B$27,MIN(D21,H21),0)</x:f>
        <x:v>0</x:v>
      </x:c>
      <x:c r="J21" s="141" t="n">
        <x:f>IF(A21=Premissas!$B$27,D21-H21,0)</x:f>
        <x:v>0</x:v>
      </x:c>
      <x:c r="K21" s="141" t="n">
        <x:f>E21+G21</x:f>
        <x:v>2599.6313842136324</x:v>
      </x:c>
      <x:c r="L21" s="141" t="n">
        <x:f>SUM($K$6:K21)</x:f>
        <x:v>41617.14012220322</x:v>
      </x:c>
      <x:c r="M21" s="141" t="str">
        <x:f>IF(A21&lt;Premissas!$B$27,"Financiamento + consorcio",IF(A21=Premissas!$B$27,"Quitacao via carta",IF(A21&lt;=Premissas!$B$25,"Somente consorcio","Encerrado")))</x:f>
        <x:v>Financiamento + consorcio</x:v>
      </x:c>
      <x:c r="N21" s="141" t="n">
        <x:f>IF(A21&gt;=Premissas!$B$25,0,(N22+E22)/(1+Premissas!$B$41))</x:f>
        <x:v>83410.2407983413</x:v>
      </x:c>
      <x:c r="O21" s="141" t="n">
        <x:f>IF(A21&lt;Premissas!$B$27,Premissas!$B$31/(1+Premissas!$B$41)^(Premissas!$B$27-A21),0)</x:f>
        <x:v>90512.19767963876</x:v>
      </x:c>
      <x:c r="P21" s="141" t="n">
        <x:f>MAX(0,H21-I21)+N21</x:f>
        <x:v>237315.0027031034</x:v>
      </x:c>
    </x:row>
    <x:row r="22">
      <x:c r="A22" s="142" t="n">
        <x:v>17</x:v>
      </x:c>
      <x:c r="B22" s="179" t="n">
        <x:f>EDATE(Premissas!$B$4,16)</x:f>
        <x:v>47027</x:v>
      </x:c>
      <x:c r="C22" s="180" t="n">
        <x:f>(1+Premissas!$B$26)^INT((A22-1)/12)</x:f>
        <x:v>1.06</x:v>
      </x:c>
      <x:c r="D22" s="141" t="n">
        <x:f>Premissas!$B$30*C22</x:f>
        <x:v>115147.78738728729</x:v>
      </x:c>
      <x:c r="E22" s="141" t="n">
        <x:f>IF(A22&lt;=Premissas!$B$25,Premissas!$B$32*C22,0)</x:f>
        <x:v>604.6938076398649</x:v>
      </x:c>
      <x:c r="F22" s="141" t="n">
        <x:f>IF(AND(A22&gt;=Premissas!$B$48,A22&lt;=Premissas!$B$27,A22-Premissas!$B$48+1&lt;=Premissas!$B$13),INDEX(Financiamento!$C$6:$C$485,A22-Premissas!$B$48+1),0)</x:f>
        <x:v>153904.76190476213</x:v>
      </x:c>
      <x:c r="G22" s="141" t="n">
        <x:f>IF(AND(A22&gt;=Premissas!$B$48,A22&lt;=Premissas!$B$27,A22-Premissas!$B$48+1&lt;=Premissas!$B$13),INDEX(Financiamento!$J$6:$J$485,A22-Premissas!$B$48+1),0)</x:f>
        <x:v>1991.322798312974</x:v>
      </x:c>
      <x:c r="H22" s="141" t="n">
        <x:f>IF(AND(A22&gt;=Premissas!$B$48,A22&lt;=Premissas!$B$27,A22-Premissas!$B$48+1&lt;=Premissas!$B$13),INDEX(Financiamento!$M$6:$M$485,A22-Premissas!$B$48+1),0)</x:f>
        <x:v>153523.80952380976</x:v>
      </x:c>
      <x:c r="I22" s="141" t="n">
        <x:f>IF(A22=Premissas!$B$27,MIN(D22,H22),0)</x:f>
        <x:v>0</x:v>
      </x:c>
      <x:c r="J22" s="141" t="n">
        <x:f>IF(A22=Premissas!$B$27,D22-H22,0)</x:f>
        <x:v>0</x:v>
      </x:c>
      <x:c r="K22" s="141" t="n">
        <x:f>E22+G22</x:f>
        <x:v>2596.016605952839</x:v>
      </x:c>
      <x:c r="L22" s="141" t="n">
        <x:f>SUM($K$6:K22)</x:f>
        <x:v>44213.156728156064</x:v>
      </x:c>
      <x:c r="M22" s="141" t="str">
        <x:f>IF(A22&lt;Premissas!$B$27,"Financiamento + consorcio",IF(A22=Premissas!$B$27,"Quitacao via carta",IF(A22&lt;=Premissas!$B$25,"Somente consorcio","Encerrado")))</x:f>
        <x:v>Financiamento + consorcio</x:v>
      </x:c>
      <x:c r="N22" s="141" t="n">
        <x:f>IF(A22&gt;=Premissas!$B$25,0,(N23+E23)/(1+Premissas!$B$41))</x:f>
        <x:v>83597.00949426061</x:v>
      </x:c>
      <x:c r="O22" s="141" t="n">
        <x:f>IF(A22&lt;Premissas!$B$27,Premissas!$B$31/(1+Premissas!$B$41)^(Premissas!$B$27-A22),0)</x:f>
        <x:v>91371.0491814749</x:v>
      </x:c>
      <x:c r="P22" s="141" t="n">
        <x:f>MAX(0,H22-I22)+N22</x:f>
        <x:v>237120.81901807035</x:v>
      </x:c>
    </x:row>
    <x:row r="23">
      <x:c r="A23" s="142" t="n">
        <x:v>18</x:v>
      </x:c>
      <x:c r="B23" s="179" t="n">
        <x:f>EDATE(Premissas!$B$4,17)</x:f>
        <x:v>47058</x:v>
      </x:c>
      <x:c r="C23" s="180" t="n">
        <x:f>(1+Premissas!$B$26)^INT((A23-1)/12)</x:f>
        <x:v>1.06</x:v>
      </x:c>
      <x:c r="D23" s="141" t="n">
        <x:f>Premissas!$B$30*C23</x:f>
        <x:v>115147.78738728729</x:v>
      </x:c>
      <x:c r="E23" s="141" t="n">
        <x:f>IF(A23&lt;=Premissas!$B$25,Premissas!$B$32*C23,0)</x:f>
        <x:v>604.6938076398649</x:v>
      </x:c>
      <x:c r="F23" s="141" t="n">
        <x:f>IF(AND(A23&gt;=Premissas!$B$48,A23&lt;=Premissas!$B$27,A23-Premissas!$B$48+1&lt;=Premissas!$B$13),INDEX(Financiamento!$C$6:$C$485,A23-Premissas!$B$48+1),0)</x:f>
        <x:v>153523.80952380976</x:v>
      </x:c>
      <x:c r="G23" s="141" t="n">
        <x:f>IF(AND(A23&gt;=Premissas!$B$48,A23&lt;=Premissas!$B$27,A23-Premissas!$B$48+1&lt;=Premissas!$B$13),INDEX(Financiamento!$J$6:$J$485,A23-Premissas!$B$48+1),0)</x:f>
        <x:v>1987.708020052181</x:v>
      </x:c>
      <x:c r="H23" s="141" t="n">
        <x:f>IF(AND(A23&gt;=Premissas!$B$48,A23&lt;=Premissas!$B$27,A23-Premissas!$B$48+1&lt;=Premissas!$B$13),INDEX(Financiamento!$M$6:$M$485,A23-Premissas!$B$48+1),0)</x:f>
        <x:v>153142.8571428574</x:v>
      </x:c>
      <x:c r="I23" s="141" t="n">
        <x:f>IF(A23=Premissas!$B$27,MIN(D23,H23),0)</x:f>
        <x:v>0</x:v>
      </x:c>
      <x:c r="J23" s="141" t="n">
        <x:f>IF(A23=Premissas!$B$27,D23-H23,0)</x:f>
        <x:v>0</x:v>
      </x:c>
      <x:c r="K23" s="141" t="n">
        <x:f>E23+G23</x:f>
        <x:v>2592.401827692046</x:v>
      </x:c>
      <x:c r="L23" s="141" t="n">
        <x:f>SUM($K$6:K23)</x:f>
        <x:v>46805.55855584811</x:v>
      </x:c>
      <x:c r="M23" s="141" t="str">
        <x:f>IF(A23&lt;Premissas!$B$27,"Financiamento + consorcio",IF(A23=Premissas!$B$27,"Quitacao via carta",IF(A23&lt;=Premissas!$B$25,"Somente consorcio","Encerrado")))</x:f>
        <x:v>Financiamento + consorcio</x:v>
      </x:c>
      <x:c r="N23" s="141" t="n">
        <x:f>IF(A23&gt;=Premissas!$B$25,0,(N24+E24)/(1+Premissas!$B$41))</x:f>
        <x:v>83785.55039966216</x:v>
      </x:c>
      <x:c r="O23" s="141" t="n">
        <x:f>IF(A23&lt;Premissas!$B$27,Premissas!$B$31/(1+Premissas!$B$41)^(Premissas!$B$27-A23),0)</x:f>
        <x:v>92238.05014737352</x:v>
      </x:c>
      <x:c r="P23" s="141" t="n">
        <x:f>MAX(0,H23-I23)+N23</x:f>
        <x:v>236928.40754251956</x:v>
      </x:c>
    </x:row>
    <x:row r="24">
      <x:c r="A24" s="142" t="n">
        <x:v>19</x:v>
      </x:c>
      <x:c r="B24" s="179" t="n">
        <x:f>EDATE(Premissas!$B$4,18)</x:f>
        <x:v>47088</x:v>
      </x:c>
      <x:c r="C24" s="180" t="n">
        <x:f>(1+Premissas!$B$26)^INT((A24-1)/12)</x:f>
        <x:v>1.06</x:v>
      </x:c>
      <x:c r="D24" s="141" t="n">
        <x:f>Premissas!$B$30*C24</x:f>
        <x:v>115147.78738728729</x:v>
      </x:c>
      <x:c r="E24" s="141" t="n">
        <x:f>IF(A24&lt;=Premissas!$B$25,Premissas!$B$32*C24,0)</x:f>
        <x:v>604.6938076398649</x:v>
      </x:c>
      <x:c r="F24" s="141" t="n">
        <x:f>IF(AND(A24&gt;=Premissas!$B$48,A24&lt;=Premissas!$B$27,A24-Premissas!$B$48+1&lt;=Premissas!$B$13),INDEX(Financiamento!$C$6:$C$485,A24-Premissas!$B$48+1),0)</x:f>
        <x:v>153142.8571428574</x:v>
      </x:c>
      <x:c r="G24" s="141" t="n">
        <x:f>IF(AND(A24&gt;=Premissas!$B$48,A24&lt;=Premissas!$B$27,A24-Premissas!$B$48+1&lt;=Premissas!$B$13),INDEX(Financiamento!$J$6:$J$485,A24-Premissas!$B$48+1),0)</x:f>
        <x:v>1984.0932417913875</x:v>
      </x:c>
      <x:c r="H24" s="141" t="n">
        <x:f>IF(AND(A24&gt;=Premissas!$B$48,A24&lt;=Premissas!$B$27,A24-Premissas!$B$48+1&lt;=Premissas!$B$13),INDEX(Financiamento!$M$6:$M$485,A24-Premissas!$B$48+1),0)</x:f>
        <x:v>152761.90476190503</x:v>
      </x:c>
      <x:c r="I24" s="141" t="n">
        <x:f>IF(A24=Premissas!$B$27,MIN(D24,H24),0)</x:f>
        <x:v>0</x:v>
      </x:c>
      <x:c r="J24" s="141" t="n">
        <x:f>IF(A24=Premissas!$B$27,D24-H24,0)</x:f>
        <x:v>0</x:v>
      </x:c>
      <x:c r="K24" s="141" t="n">
        <x:f>E24+G24</x:f>
        <x:v>2588.7870494312524</x:v>
      </x:c>
      <x:c r="L24" s="141" t="n">
        <x:f>SUM($K$6:K24)</x:f>
        <x:v>49394.34560527936</x:v>
      </x:c>
      <x:c r="M24" s="141" t="str">
        <x:f>IF(A24&lt;Premissas!$B$27,"Financiamento + consorcio",IF(A24=Premissas!$B$27,"Quitacao via carta",IF(A24&lt;=Premissas!$B$25,"Somente consorcio","Encerrado")))</x:f>
        <x:v>Financiamento + consorcio</x:v>
      </x:c>
      <x:c r="N24" s="141" t="n">
        <x:f>IF(A24&gt;=Premissas!$B$25,0,(N25+E25)/(1+Premissas!$B$41))</x:f>
        <x:v>83975.88033067476</x:v>
      </x:c>
      <x:c r="O24" s="141" t="n">
        <x:f>IF(A24&lt;Premissas!$B$27,Premissas!$B$31/(1+Premissas!$B$41)^(Premissas!$B$27-A24),0)</x:f>
        <x:v>93113.27790591163</x:v>
      </x:c>
      <x:c r="P24" s="141" t="n">
        <x:f>MAX(0,H24-I24)+N24</x:f>
        <x:v>236737.78509257978</x:v>
      </x:c>
    </x:row>
    <x:row r="25">
      <x:c r="A25" s="142" t="n">
        <x:v>20</x:v>
      </x:c>
      <x:c r="B25" s="179" t="n">
        <x:f>EDATE(Premissas!$B$4,19)</x:f>
        <x:v>47119</x:v>
      </x:c>
      <x:c r="C25" s="180" t="n">
        <x:f>(1+Premissas!$B$26)^INT((A25-1)/12)</x:f>
        <x:v>1.06</x:v>
      </x:c>
      <x:c r="D25" s="141" t="n">
        <x:f>Premissas!$B$30*C25</x:f>
        <x:v>115147.78738728729</x:v>
      </x:c>
      <x:c r="E25" s="141" t="n">
        <x:f>IF(A25&lt;=Premissas!$B$25,Premissas!$B$32*C25,0)</x:f>
        <x:v>604.6938076398649</x:v>
      </x:c>
      <x:c r="F25" s="141" t="n">
        <x:f>IF(AND(A25&gt;=Premissas!$B$48,A25&lt;=Premissas!$B$27,A25-Premissas!$B$48+1&lt;=Premissas!$B$13),INDEX(Financiamento!$C$6:$C$485,A25-Premissas!$B$48+1),0)</x:f>
        <x:v>152761.90476190503</x:v>
      </x:c>
      <x:c r="G25" s="141" t="n">
        <x:f>IF(AND(A25&gt;=Premissas!$B$48,A25&lt;=Premissas!$B$27,A25-Premissas!$B$48+1&lt;=Premissas!$B$13),INDEX(Financiamento!$J$6:$J$485,A25-Premissas!$B$48+1),0)</x:f>
        <x:v>1980.4784635305941</x:v>
      </x:c>
      <x:c r="H25" s="141" t="n">
        <x:f>IF(AND(A25&gt;=Premissas!$B$48,A25&lt;=Premissas!$B$27,A25-Premissas!$B$48+1&lt;=Premissas!$B$13),INDEX(Financiamento!$M$6:$M$485,A25-Premissas!$B$48+1),0)</x:f>
        <x:v>152380.95238095266</x:v>
      </x:c>
      <x:c r="I25" s="141" t="n">
        <x:f>IF(A25=Premissas!$B$27,MIN(D25,H25),0)</x:f>
        <x:v>0</x:v>
      </x:c>
      <x:c r="J25" s="141" t="n">
        <x:f>IF(A25=Premissas!$B$27,D25-H25,0)</x:f>
        <x:v>0</x:v>
      </x:c>
      <x:c r="K25" s="141" t="n">
        <x:f>E25+G25</x:f>
        <x:v>2585.1722711704588</x:v>
      </x:c>
      <x:c r="L25" s="141" t="n">
        <x:f>SUM($K$6:K25)</x:f>
        <x:v>51979.51787644982</x:v>
      </x:c>
      <x:c r="M25" s="141" t="str">
        <x:f>IF(A25&lt;Premissas!$B$27,"Financiamento + consorcio",IF(A25=Premissas!$B$27,"Quitacao via carta",IF(A25&lt;=Premissas!$B$25,"Somente consorcio","Encerrado")))</x:f>
        <x:v>Financiamento + consorcio</x:v>
      </x:c>
      <x:c r="N25" s="141" t="n">
        <x:f>IF(A25&gt;=Premissas!$B$25,0,(N26+E26)/(1+Premissas!$B$41))</x:f>
        <x:v>84168.016262992</x:v>
      </x:c>
      <x:c r="O25" s="141" t="n">
        <x:f>IF(A25&lt;Premissas!$B$27,Premissas!$B$31/(1+Premissas!$B$41)^(Premissas!$B$27-A25),0)</x:f>
        <x:v>93996.81051942112</x:v>
      </x:c>
      <x:c r="P25" s="141" t="n">
        <x:f>MAX(0,H25-I25)+N25</x:f>
        <x:v>236548.96864394465</x:v>
      </x:c>
    </x:row>
    <x:row r="26">
      <x:c r="A26" s="142" t="n">
        <x:v>21</x:v>
      </x:c>
      <x:c r="B26" s="179" t="n">
        <x:f>EDATE(Premissas!$B$4,20)</x:f>
        <x:v>47150</x:v>
      </x:c>
      <x:c r="C26" s="180" t="n">
        <x:f>(1+Premissas!$B$26)^INT((A26-1)/12)</x:f>
        <x:v>1.06</x:v>
      </x:c>
      <x:c r="D26" s="141" t="n">
        <x:f>Premissas!$B$30*C26</x:f>
        <x:v>115147.78738728729</x:v>
      </x:c>
      <x:c r="E26" s="141" t="n">
        <x:f>IF(A26&lt;=Premissas!$B$25,Premissas!$B$32*C26,0)</x:f>
        <x:v>604.6938076398649</x:v>
      </x:c>
      <x:c r="F26" s="141" t="n">
        <x:f>IF(AND(A26&gt;=Premissas!$B$48,A26&lt;=Premissas!$B$27,A26-Premissas!$B$48+1&lt;=Premissas!$B$13),INDEX(Financiamento!$C$6:$C$485,A26-Premissas!$B$48+1),0)</x:f>
        <x:v>152380.95238095266</x:v>
      </x:c>
      <x:c r="G26" s="141" t="n">
        <x:f>IF(AND(A26&gt;=Premissas!$B$48,A26&lt;=Premissas!$B$27,A26-Premissas!$B$48+1&lt;=Premissas!$B$13),INDEX(Financiamento!$J$6:$J$485,A26-Premissas!$B$48+1),0)</x:f>
        <x:v>1976.8636852698007</x:v>
      </x:c>
      <x:c r="H26" s="141" t="n">
        <x:f>IF(AND(A26&gt;=Premissas!$B$48,A26&lt;=Premissas!$B$27,A26-Premissas!$B$48+1&lt;=Premissas!$B$13),INDEX(Financiamento!$M$6:$M$485,A26-Premissas!$B$48+1),0)</x:f>
        <x:v>152000.0000000003</x:v>
      </x:c>
      <x:c r="I26" s="141" t="n">
        <x:f>IF(A26=Premissas!$B$27,MIN(D26,H26),0)</x:f>
        <x:v>0</x:v>
      </x:c>
      <x:c r="J26" s="141" t="n">
        <x:f>IF(A26=Premissas!$B$27,D26-H26,0)</x:f>
        <x:v>0</x:v>
      </x:c>
      <x:c r="K26" s="141" t="n">
        <x:f>E26+G26</x:f>
        <x:v>2581.5574929096656</x:v>
      </x:c>
      <x:c r="L26" s="141" t="n">
        <x:f>SUM($K$6:K26)</x:f>
        <x:v>54561.07536935949</x:v>
      </x:c>
      <x:c r="M26" s="141" t="str">
        <x:f>IF(A26&lt;Premissas!$B$27,"Financiamento + consorcio",IF(A26=Premissas!$B$27,"Quitacao via carta",IF(A26&lt;=Premissas!$B$25,"Somente consorcio","Encerrado")))</x:f>
        <x:v>Financiamento + consorcio</x:v>
      </x:c>
      <x:c r="N26" s="141" t="n">
        <x:f>IF(A26&gt;=Premissas!$B$25,0,(N27+E27)/(1+Premissas!$B$41))</x:f>
        <x:v>84361.97533338628</x:v>
      </x:c>
      <x:c r="O26" s="141" t="n">
        <x:f>IF(A26&lt;Premissas!$B$27,Premissas!$B$31/(1+Premissas!$B$41)^(Premissas!$B$27-A26),0)</x:f>
        <x:v>94888.72679095114</x:v>
      </x:c>
      <x:c r="P26" s="141" t="n">
        <x:f>MAX(0,H26-I26)+N26</x:f>
        <x:v>236361.97533338657</x:v>
      </x:c>
    </x:row>
    <x:row r="27">
      <x:c r="A27" s="142" t="n">
        <x:v>22</x:v>
      </x:c>
      <x:c r="B27" s="179" t="n">
        <x:f>EDATE(Premissas!$B$4,21)</x:f>
        <x:v>47178</x:v>
      </x:c>
      <x:c r="C27" s="180" t="n">
        <x:f>(1+Premissas!$B$26)^INT((A27-1)/12)</x:f>
        <x:v>1.06</x:v>
      </x:c>
      <x:c r="D27" s="141" t="n">
        <x:f>Premissas!$B$30*C27</x:f>
        <x:v>115147.78738728729</x:v>
      </x:c>
      <x:c r="E27" s="141" t="n">
        <x:f>IF(A27&lt;=Premissas!$B$25,Premissas!$B$32*C27,0)</x:f>
        <x:v>604.6938076398649</x:v>
      </x:c>
      <x:c r="F27" s="141" t="n">
        <x:f>IF(AND(A27&gt;=Premissas!$B$48,A27&lt;=Premissas!$B$27,A27-Premissas!$B$48+1&lt;=Premissas!$B$13),INDEX(Financiamento!$C$6:$C$485,A27-Premissas!$B$48+1),0)</x:f>
        <x:v>152000.0000000003</x:v>
      </x:c>
      <x:c r="G27" s="141" t="n">
        <x:f>IF(AND(A27&gt;=Premissas!$B$48,A27&lt;=Premissas!$B$27,A27-Premissas!$B$48+1&lt;=Premissas!$B$13),INDEX(Financiamento!$J$6:$J$485,A27-Premissas!$B$48+1),0)</x:f>
        <x:v>1973.2489070090073</x:v>
      </x:c>
      <x:c r="H27" s="141" t="n">
        <x:f>IF(AND(A27&gt;=Premissas!$B$48,A27&lt;=Premissas!$B$27,A27-Premissas!$B$48+1&lt;=Premissas!$B$13),INDEX(Financiamento!$M$6:$M$485,A27-Premissas!$B$48+1),0)</x:f>
        <x:v>151619.0476190479</x:v>
      </x:c>
      <x:c r="I27" s="141" t="n">
        <x:f>IF(A27=Premissas!$B$27,MIN(D27,H27),0)</x:f>
        <x:v>0</x:v>
      </x:c>
      <x:c r="J27" s="141" t="n">
        <x:f>IF(A27=Premissas!$B$27,D27-H27,0)</x:f>
        <x:v>0</x:v>
      </x:c>
      <x:c r="K27" s="141" t="n">
        <x:f>E27+G27</x:f>
        <x:v>2577.9427146488724</x:v>
      </x:c>
      <x:c r="L27" s="141" t="n">
        <x:f>SUM($K$6:K27)</x:f>
        <x:v>57139.01808400836</x:v>
      </x:c>
      <x:c r="M27" s="141" t="str">
        <x:f>IF(A27&lt;Premissas!$B$27,"Financiamento + consorcio",IF(A27=Premissas!$B$27,"Quitacao via carta",IF(A27&lt;=Premissas!$B$25,"Somente consorcio","Encerrado")))</x:f>
        <x:v>Financiamento + consorcio</x:v>
      </x:c>
      <x:c r="N27" s="141" t="n">
        <x:f>IF(A27&gt;=Premissas!$B$25,0,(N28+E28)/(1+Premissas!$B$41))</x:f>
        <x:v>84557.77484123732</x:v>
      </x:c>
      <x:c r="O27" s="141" t="n">
        <x:f>IF(A27&lt;Premissas!$B$27,Premissas!$B$31/(1+Premissas!$B$41)^(Premissas!$B$27-A27),0)</x:f>
        <x:v>95789.1062712967</x:v>
      </x:c>
      <x:c r="P27" s="141" t="n">
        <x:f>MAX(0,H27-I27)+N27</x:f>
        <x:v>236176.8224602852</x:v>
      </x:c>
    </x:row>
    <x:row r="28">
      <x:c r="A28" s="142" t="n">
        <x:v>23</x:v>
      </x:c>
      <x:c r="B28" s="179" t="n">
        <x:f>EDATE(Premissas!$B$4,22)</x:f>
        <x:v>47209</x:v>
      </x:c>
      <x:c r="C28" s="180" t="n">
        <x:f>(1+Premissas!$B$26)^INT((A28-1)/12)</x:f>
        <x:v>1.06</x:v>
      </x:c>
      <x:c r="D28" s="141" t="n">
        <x:f>Premissas!$B$30*C28</x:f>
        <x:v>115147.78738728729</x:v>
      </x:c>
      <x:c r="E28" s="141" t="n">
        <x:f>IF(A28&lt;=Premissas!$B$25,Premissas!$B$32*C28,0)</x:f>
        <x:v>604.6938076398649</x:v>
      </x:c>
      <x:c r="F28" s="141" t="n">
        <x:f>IF(AND(A28&gt;=Premissas!$B$48,A28&lt;=Premissas!$B$27,A28-Premissas!$B$48+1&lt;=Premissas!$B$13),INDEX(Financiamento!$C$6:$C$485,A28-Premissas!$B$48+1),0)</x:f>
        <x:v>151619.0476190479</x:v>
      </x:c>
      <x:c r="G28" s="141" t="n">
        <x:f>IF(AND(A28&gt;=Premissas!$B$48,A28&lt;=Premissas!$B$27,A28-Premissas!$B$48+1&lt;=Premissas!$B$13),INDEX(Financiamento!$J$6:$J$485,A28-Premissas!$B$48+1),0)</x:f>
        <x:v>1969.6341287482137</x:v>
      </x:c>
      <x:c r="H28" s="141" t="n">
        <x:f>IF(AND(A28&gt;=Premissas!$B$48,A28&lt;=Premissas!$B$27,A28-Premissas!$B$48+1&lt;=Premissas!$B$13),INDEX(Financiamento!$M$6:$M$485,A28-Premissas!$B$48+1),0)</x:f>
        <x:v>151238.0952380955</x:v>
      </x:c>
      <x:c r="I28" s="141" t="n">
        <x:f>IF(A28=Premissas!$B$27,MIN(D28,H28),0)</x:f>
        <x:v>0</x:v>
      </x:c>
      <x:c r="J28" s="141" t="n">
        <x:f>IF(A28=Premissas!$B$27,D28-H28,0)</x:f>
        <x:v>0</x:v>
      </x:c>
      <x:c r="K28" s="141" t="n">
        <x:f>E28+G28</x:f>
        <x:v>2574.3279363880783</x:v>
      </x:c>
      <x:c r="L28" s="141" t="n">
        <x:f>SUM($K$6:K28)</x:f>
        <x:v>59713.34602039644</x:v>
      </x:c>
      <x:c r="M28" s="141" t="str">
        <x:f>IF(A28&lt;Premissas!$B$27,"Financiamento + consorcio",IF(A28=Premissas!$B$27,"Quitacao via carta",IF(A28&lt;=Premissas!$B$25,"Somente consorcio","Encerrado")))</x:f>
        <x:v>Financiamento + consorcio</x:v>
      </x:c>
      <x:c r="N28" s="141" t="n">
        <x:f>IF(A28&gt;=Premissas!$B$25,0,(N29+E29)/(1+Premissas!$B$41))</x:f>
        <x:v>84755.43225007506</x:v>
      </x:c>
      <x:c r="O28" s="141" t="n">
        <x:f>IF(A28&lt;Premissas!$B$27,Premissas!$B$31/(1+Premissas!$B$41)^(Premissas!$B$27-A28),0)</x:f>
        <x:v>96698.0292660938</x:v>
      </x:c>
      <x:c r="P28" s="141" t="n">
        <x:f>MAX(0,H28-I28)+N28</x:f>
        <x:v>235993.52748817054</x:v>
      </x:c>
    </x:row>
    <x:row r="29">
      <x:c r="A29" s="142" t="n">
        <x:v>24</x:v>
      </x:c>
      <x:c r="B29" s="179" t="n">
        <x:f>EDATE(Premissas!$B$4,23)</x:f>
        <x:v>47239</x:v>
      </x:c>
      <x:c r="C29" s="180" t="n">
        <x:f>(1+Premissas!$B$26)^INT((A29-1)/12)</x:f>
        <x:v>1.06</x:v>
      </x:c>
      <x:c r="D29" s="141" t="n">
        <x:f>Premissas!$B$30*C29</x:f>
        <x:v>115147.78738728729</x:v>
      </x:c>
      <x:c r="E29" s="141" t="n">
        <x:f>IF(A29&lt;=Premissas!$B$25,Premissas!$B$32*C29,0)</x:f>
        <x:v>604.6938076398649</x:v>
      </x:c>
      <x:c r="F29" s="141" t="n">
        <x:f>IF(AND(A29&gt;=Premissas!$B$48,A29&lt;=Premissas!$B$27,A29-Premissas!$B$48+1&lt;=Premissas!$B$13),INDEX(Financiamento!$C$6:$C$485,A29-Premissas!$B$48+1),0)</x:f>
        <x:v>151238.0952380955</x:v>
      </x:c>
      <x:c r="G29" s="141" t="n">
        <x:f>IF(AND(A29&gt;=Premissas!$B$48,A29&lt;=Premissas!$B$27,A29-Premissas!$B$48+1&lt;=Premissas!$B$13),INDEX(Financiamento!$J$6:$J$485,A29-Premissas!$B$48+1),0)</x:f>
        <x:v>1966.01935048742</x:v>
      </x:c>
      <x:c r="H29" s="141" t="n">
        <x:f>IF(AND(A29&gt;=Premissas!$B$48,A29&lt;=Premissas!$B$27,A29-Premissas!$B$48+1&lt;=Premissas!$B$13),INDEX(Financiamento!$M$6:$M$485,A29-Premissas!$B$48+1),0)</x:f>
        <x:v>150857.14285714313</x:v>
      </x:c>
      <x:c r="I29" s="141" t="n">
        <x:f>IF(A29=Premissas!$B$27,MIN(D29,H29),0)</x:f>
        <x:v>0</x:v>
      </x:c>
      <x:c r="J29" s="141" t="n">
        <x:f>IF(A29=Premissas!$B$27,D29-H29,0)</x:f>
        <x:v>0</x:v>
      </x:c>
      <x:c r="K29" s="141" t="n">
        <x:f>E29+G29</x:f>
        <x:v>2570.713158127285</x:v>
      </x:c>
      <x:c r="L29" s="141" t="n">
        <x:f>SUM($K$6:K29)</x:f>
        <x:v>62284.05917852373</x:v>
      </x:c>
      <x:c r="M29" s="141" t="str">
        <x:f>IF(A29&lt;Premissas!$B$27,"Financiamento + consorcio",IF(A29=Premissas!$B$27,"Quitacao via carta",IF(A29&lt;=Premissas!$B$25,"Somente consorcio","Encerrado")))</x:f>
        <x:v>Financiamento + consorcio</x:v>
      </x:c>
      <x:c r="N29" s="141" t="n">
        <x:f>IF(A29&gt;=Premissas!$B$25,0,(N30+E30)/(1+Premissas!$B$41))</x:f>
        <x:v>84954.96518913723</x:v>
      </x:c>
      <x:c r="O29" s="141" t="n">
        <x:f>IF(A29&lt;Premissas!$B$27,Premissas!$B$31/(1+Premissas!$B$41)^(Premissas!$B$27-A29),0)</x:f>
        <x:v>97615.57684298203</x:v>
      </x:c>
      <x:c r="P29" s="141" t="n">
        <x:f>MAX(0,H29-I29)+N29</x:f>
        <x:v>235812.10804628037</x:v>
      </x:c>
    </x:row>
    <x:row r="30">
      <x:c r="A30" s="142" t="n">
        <x:v>25</x:v>
      </x:c>
      <x:c r="B30" s="179" t="n">
        <x:f>EDATE(Premissas!$B$4,24)</x:f>
        <x:v>47270</x:v>
      </x:c>
      <x:c r="C30" s="180" t="n">
        <x:f>(1+Premissas!$B$26)^INT((A30-1)/12)</x:f>
        <x:v>1.1236000000000002</x:v>
      </x:c>
      <x:c r="D30" s="141" t="n">
        <x:f>Premissas!$B$30*C30</x:f>
        <x:v>122056.65463052454</x:v>
      </x:c>
      <x:c r="E30" s="141" t="n">
        <x:f>IF(A30&lt;=Premissas!$B$25,Premissas!$B$32*C30,0)</x:f>
        <x:v>640.9754360982568</x:v>
      </x:c>
      <x:c r="F30" s="141" t="n">
        <x:f>IF(AND(A30&gt;=Premissas!$B$48,A30&lt;=Premissas!$B$27,A30-Premissas!$B$48+1&lt;=Premissas!$B$13),INDEX(Financiamento!$C$6:$C$485,A30-Premissas!$B$48+1),0)</x:f>
        <x:v>150857.14285714313</x:v>
      </x:c>
      <x:c r="G30" s="141" t="n">
        <x:f>IF(AND(A30&gt;=Premissas!$B$48,A30&lt;=Premissas!$B$27,A30-Premissas!$B$48+1&lt;=Premissas!$B$13),INDEX(Financiamento!$J$6:$J$485,A30-Premissas!$B$48+1),0)</x:f>
        <x:v>1962.4045722266267</x:v>
      </x:c>
      <x:c r="H30" s="141" t="n">
        <x:f>IF(AND(A30&gt;=Premissas!$B$48,A30&lt;=Premissas!$B$27,A30-Premissas!$B$48+1&lt;=Premissas!$B$13),INDEX(Financiamento!$M$6:$M$485,A30-Premissas!$B$48+1),0)</x:f>
        <x:v>150476.19047619076</x:v>
      </x:c>
      <x:c r="I30" s="141" t="n">
        <x:f>IF(A30=Premissas!$B$27,MIN(D30,H30),0)</x:f>
        <x:v>0</x:v>
      </x:c>
      <x:c r="J30" s="141" t="n">
        <x:f>IF(A30=Premissas!$B$27,D30-H30,0)</x:f>
        <x:v>0</x:v>
      </x:c>
      <x:c r="K30" s="141" t="n">
        <x:f>E30+G30</x:f>
        <x:v>2603.3800083248834</x:v>
      </x:c>
      <x:c r="L30" s="141" t="n">
        <x:f>SUM($K$6:K30)</x:f>
        <x:v>64887.43918684861</x:v>
      </x:c>
      <x:c r="M30" s="141" t="str">
        <x:f>IF(A30&lt;Premissas!$B$27,"Financiamento + consorcio",IF(A30=Premissas!$B$27,"Quitacao via carta",IF(A30&lt;=Premissas!$B$25,"Somente consorcio","Encerrado")))</x:f>
        <x:v>Financiamento + consorcio</x:v>
      </x:c>
      <x:c r="N30" s="141" t="n">
        <x:f>IF(A30&gt;=Premissas!$B$25,0,(N31+E31)/(1+Premissas!$B$41))</x:f>
        <x:v>85120.1098264834</x:v>
      </x:c>
      <x:c r="O30" s="141" t="n">
        <x:f>IF(A30&lt;Premissas!$B$27,Premissas!$B$31/(1+Premissas!$B$41)^(Premissas!$B$27-A30),0)</x:f>
        <x:v>98541.83083883495</x:v>
      </x:c>
      <x:c r="P30" s="141" t="n">
        <x:f>MAX(0,H30-I30)+N30</x:f>
        <x:v>235596.30030267418</x:v>
      </x:c>
    </x:row>
    <x:row r="31">
      <x:c r="A31" s="142" t="n">
        <x:v>26</x:v>
      </x:c>
      <x:c r="B31" s="179" t="n">
        <x:f>EDATE(Premissas!$B$4,25)</x:f>
        <x:v>47300</x:v>
      </x:c>
      <x:c r="C31" s="180" t="n">
        <x:f>(1+Premissas!$B$26)^INT((A31-1)/12)</x:f>
        <x:v>1.1236000000000002</x:v>
      </x:c>
      <x:c r="D31" s="141" t="n">
        <x:f>Premissas!$B$30*C31</x:f>
        <x:v>122056.65463052454</x:v>
      </x:c>
      <x:c r="E31" s="141" t="n">
        <x:f>IF(A31&lt;=Premissas!$B$25,Premissas!$B$32*C31,0)</x:f>
        <x:v>640.9754360982568</x:v>
      </x:c>
      <x:c r="F31" s="141" t="n">
        <x:f>IF(AND(A31&gt;=Premissas!$B$48,A31&lt;=Premissas!$B$27,A31-Premissas!$B$48+1&lt;=Premissas!$B$13),INDEX(Financiamento!$C$6:$C$485,A31-Premissas!$B$48+1),0)</x:f>
        <x:v>150476.19047619076</x:v>
      </x:c>
      <x:c r="G31" s="141" t="n">
        <x:f>IF(AND(A31&gt;=Premissas!$B$48,A31&lt;=Premissas!$B$27,A31-Premissas!$B$48+1&lt;=Premissas!$B$13),INDEX(Financiamento!$J$6:$J$485,A31-Premissas!$B$48+1),0)</x:f>
        <x:v>1958.7897939658333</x:v>
      </x:c>
      <x:c r="H31" s="141" t="n">
        <x:f>IF(AND(A31&gt;=Premissas!$B$48,A31&lt;=Premissas!$B$27,A31-Premissas!$B$48+1&lt;=Premissas!$B$13),INDEX(Financiamento!$M$6:$M$485,A31-Premissas!$B$48+1),0)</x:f>
        <x:v>150095.23809523837</x:v>
      </x:c>
      <x:c r="I31" s="141" t="n">
        <x:f>IF(A31=Premissas!$B$27,MIN(D31,H31),0)</x:f>
        <x:v>0</x:v>
      </x:c>
      <x:c r="J31" s="141" t="n">
        <x:f>IF(A31=Premissas!$B$27,D31-H31,0)</x:f>
        <x:v>0</x:v>
      </x:c>
      <x:c r="K31" s="141" t="n">
        <x:f>E31+G31</x:f>
        <x:v>2599.7652300640902</x:v>
      </x:c>
      <x:c r="L31" s="141" t="n">
        <x:f>SUM($K$6:K31)</x:f>
        <x:v>67487.2044169127</x:v>
      </x:c>
      <x:c r="M31" s="141" t="str">
        <x:f>IF(A31&lt;Premissas!$B$27,"Financiamento + consorcio",IF(A31=Premissas!$B$27,"Quitacao via carta",IF(A31&lt;=Premissas!$B$25,"Somente consorcio","Encerrado")))</x:f>
        <x:v>Financiamento + consorcio</x:v>
      </x:c>
      <x:c r="N31" s="141" t="n">
        <x:f>IF(A31&gt;=Premissas!$B$25,0,(N32+E32)/(1+Premissas!$B$41))</x:f>
        <x:v>85286.82148709761</x:v>
      </x:c>
      <x:c r="O31" s="141" t="n">
        <x:f>IF(A31&lt;Premissas!$B$27,Premissas!$B$31/(1+Premissas!$B$41)^(Premissas!$B$27-A31),0)</x:f>
        <x:v>99476.87386705937</x:v>
      </x:c>
      <x:c r="P31" s="141" t="n">
        <x:f>MAX(0,H31-I31)+N31</x:f>
        <x:v>235382.059582336</x:v>
      </x:c>
    </x:row>
    <x:row r="32">
      <x:c r="A32" s="142" t="n">
        <x:v>27</x:v>
      </x:c>
      <x:c r="B32" s="179" t="n">
        <x:f>EDATE(Premissas!$B$4,26)</x:f>
        <x:v>47331</x:v>
      </x:c>
      <x:c r="C32" s="180" t="n">
        <x:f>(1+Premissas!$B$26)^INT((A32-1)/12)</x:f>
        <x:v>1.1236000000000002</x:v>
      </x:c>
      <x:c r="D32" s="141" t="n">
        <x:f>Premissas!$B$30*C32</x:f>
        <x:v>122056.65463052454</x:v>
      </x:c>
      <x:c r="E32" s="141" t="n">
        <x:f>IF(A32&lt;=Premissas!$B$25,Premissas!$B$32*C32,0)</x:f>
        <x:v>640.9754360982568</x:v>
      </x:c>
      <x:c r="F32" s="141" t="n">
        <x:f>IF(AND(A32&gt;=Premissas!$B$48,A32&lt;=Premissas!$B$27,A32-Premissas!$B$48+1&lt;=Premissas!$B$13),INDEX(Financiamento!$C$6:$C$485,A32-Premissas!$B$48+1),0)</x:f>
        <x:v>150095.23809523837</x:v>
      </x:c>
      <x:c r="G32" s="141" t="n">
        <x:f>IF(AND(A32&gt;=Premissas!$B$48,A32&lt;=Premissas!$B$27,A32-Premissas!$B$48+1&lt;=Premissas!$B$13),INDEX(Financiamento!$J$6:$J$485,A32-Premissas!$B$48+1),0)</x:f>
        <x:v>1955.1750157050394</x:v>
      </x:c>
      <x:c r="H32" s="141" t="n">
        <x:f>IF(AND(A32&gt;=Premissas!$B$48,A32&lt;=Premissas!$B$27,A32-Premissas!$B$48+1&lt;=Premissas!$B$13),INDEX(Financiamento!$M$6:$M$485,A32-Premissas!$B$48+1),0)</x:f>
        <x:v>149714.28571428597</x:v>
      </x:c>
      <x:c r="I32" s="141" t="n">
        <x:f>IF(A32=Premissas!$B$27,MIN(D32,H32),0)</x:f>
        <x:v>0</x:v>
      </x:c>
      <x:c r="J32" s="141" t="n">
        <x:f>IF(A32=Premissas!$B$27,D32-H32,0)</x:f>
        <x:v>0</x:v>
      </x:c>
      <x:c r="K32" s="141" t="n">
        <x:f>E32+G32</x:f>
        <x:v>2596.150451803296</x:v>
      </x:c>
      <x:c r="L32" s="141" t="n">
        <x:f>SUM($K$6:K32)</x:f>
        <x:v>70083.35486871601</x:v>
      </x:c>
      <x:c r="M32" s="141" t="str">
        <x:f>IF(A32&lt;Premissas!$B$27,"Financiamento + consorcio",IF(A32=Premissas!$B$27,"Quitacao via carta",IF(A32&lt;=Premissas!$B$25,"Somente consorcio","Encerrado")))</x:f>
        <x:v>Financiamento + consorcio</x:v>
      </x:c>
      <x:c r="N32" s="141" t="n">
        <x:f>IF(A32&gt;=Premissas!$B$25,0,(N33+E33)/(1+Premissas!$B$41))</x:f>
        <x:v>85455.11504013916</x:v>
      </x:c>
      <x:c r="O32" s="141" t="n">
        <x:f>IF(A32&lt;Premissas!$B$27,Premissas!$B$31/(1+Premissas!$B$41)^(Premissas!$B$27-A32),0)</x:f>
        <x:v>100420.78932496354</x:v>
      </x:c>
      <x:c r="P32" s="141" t="n">
        <x:f>MAX(0,H32-I32)+N32</x:f>
        <x:v>235169.40075442515</x:v>
      </x:c>
    </x:row>
    <x:row r="33">
      <x:c r="A33" s="142" t="n">
        <x:v>28</x:v>
      </x:c>
      <x:c r="B33" s="179" t="n">
        <x:f>EDATE(Premissas!$B$4,27)</x:f>
        <x:v>47362</x:v>
      </x:c>
      <x:c r="C33" s="180" t="n">
        <x:f>(1+Premissas!$B$26)^INT((A33-1)/12)</x:f>
        <x:v>1.1236000000000002</x:v>
      </x:c>
      <x:c r="D33" s="141" t="n">
        <x:f>Premissas!$B$30*C33</x:f>
        <x:v>122056.65463052454</x:v>
      </x:c>
      <x:c r="E33" s="141" t="n">
        <x:f>IF(A33&lt;=Premissas!$B$25,Premissas!$B$32*C33,0)</x:f>
        <x:v>640.9754360982568</x:v>
      </x:c>
      <x:c r="F33" s="141" t="n">
        <x:f>IF(AND(A33&gt;=Premissas!$B$48,A33&lt;=Premissas!$B$27,A33-Premissas!$B$48+1&lt;=Premissas!$B$13),INDEX(Financiamento!$C$6:$C$485,A33-Premissas!$B$48+1),0)</x:f>
        <x:v>149714.28571428597</x:v>
      </x:c>
      <x:c r="G33" s="141" t="n">
        <x:f>IF(AND(A33&gt;=Premissas!$B$48,A33&lt;=Premissas!$B$27,A33-Premissas!$B$48+1&lt;=Premissas!$B$13),INDEX(Financiamento!$J$6:$J$485,A33-Premissas!$B$48+1),0)</x:f>
        <x:v>1951.5602374442458</x:v>
      </x:c>
      <x:c r="H33" s="141" t="n">
        <x:f>IF(AND(A33&gt;=Premissas!$B$48,A33&lt;=Premissas!$B$27,A33-Premissas!$B$48+1&lt;=Premissas!$B$13),INDEX(Financiamento!$M$6:$M$485,A33-Premissas!$B$48+1),0)</x:f>
        <x:v>149333.3333333336</x:v>
      </x:c>
      <x:c r="I33" s="141" t="n">
        <x:f>IF(A33=Premissas!$B$27,MIN(D33,H33),0)</x:f>
        <x:v>0</x:v>
      </x:c>
      <x:c r="J33" s="141" t="n">
        <x:f>IF(A33=Premissas!$B$27,D33-H33,0)</x:f>
        <x:v>0</x:v>
      </x:c>
      <x:c r="K33" s="141" t="n">
        <x:f>E33+G33</x:f>
        <x:v>2592.5356735425025</x:v>
      </x:c>
      <x:c r="L33" s="141" t="n">
        <x:f>SUM($K$6:K33)</x:f>
        <x:v>72675.89054225851</x:v>
      </x:c>
      <x:c r="M33" s="141" t="str">
        <x:f>IF(A33&lt;Premissas!$B$27,"Financiamento + consorcio",IF(A33=Premissas!$B$27,"Quitacao via carta",IF(A33&lt;=Premissas!$B$25,"Somente consorcio","Encerrado")))</x:f>
        <x:v>Financiamento + consorcio</x:v>
      </x:c>
      <x:c r="N33" s="141" t="n">
        <x:f>IF(A33&gt;=Premissas!$B$25,0,(N34+E34)/(1+Premissas!$B$41))</x:f>
        <x:v>85625.00549585775</x:v>
      </x:c>
      <x:c r="O33" s="141" t="n">
        <x:f>IF(A33&lt;Premissas!$B$27,Premissas!$B$31/(1+Premissas!$B$41)^(Premissas!$B$27-A33),0)</x:f>
        <x:v>101373.6614011955</x:v>
      </x:c>
      <x:c r="P33" s="141" t="n">
        <x:f>MAX(0,H33-I33)+N33</x:f>
        <x:v>234958.33882919134</x:v>
      </x:c>
    </x:row>
    <x:row r="34">
      <x:c r="A34" s="142" t="n">
        <x:v>29</x:v>
      </x:c>
      <x:c r="B34" s="179" t="n">
        <x:f>EDATE(Premissas!$B$4,28)</x:f>
        <x:v>47392</x:v>
      </x:c>
      <x:c r="C34" s="180" t="n">
        <x:f>(1+Premissas!$B$26)^INT((A34-1)/12)</x:f>
        <x:v>1.1236000000000002</x:v>
      </x:c>
      <x:c r="D34" s="141" t="n">
        <x:f>Premissas!$B$30*C34</x:f>
        <x:v>122056.65463052454</x:v>
      </x:c>
      <x:c r="E34" s="141" t="n">
        <x:f>IF(A34&lt;=Premissas!$B$25,Premissas!$B$32*C34,0)</x:f>
        <x:v>640.9754360982568</x:v>
      </x:c>
      <x:c r="F34" s="141" t="n">
        <x:f>IF(AND(A34&gt;=Premissas!$B$48,A34&lt;=Premissas!$B$27,A34-Premissas!$B$48+1&lt;=Premissas!$B$13),INDEX(Financiamento!$C$6:$C$485,A34-Premissas!$B$48+1),0)</x:f>
        <x:v>149333.3333333336</x:v>
      </x:c>
      <x:c r="G34" s="141" t="n">
        <x:f>IF(AND(A34&gt;=Premissas!$B$48,A34&lt;=Premissas!$B$27,A34-Premissas!$B$48+1&lt;=Premissas!$B$13),INDEX(Financiamento!$J$6:$J$485,A34-Premissas!$B$48+1),0)</x:f>
        <x:v>1947.9454591834524</x:v>
      </x:c>
      <x:c r="H34" s="141" t="n">
        <x:f>IF(AND(A34&gt;=Premissas!$B$48,A34&lt;=Premissas!$B$27,A34-Premissas!$B$48+1&lt;=Premissas!$B$13),INDEX(Financiamento!$M$6:$M$485,A34-Premissas!$B$48+1),0)</x:f>
        <x:v>148952.38095238124</x:v>
      </x:c>
      <x:c r="I34" s="141" t="n">
        <x:f>IF(A34=Premissas!$B$27,MIN(D34,H34),0)</x:f>
        <x:v>0</x:v>
      </x:c>
      <x:c r="J34" s="141" t="n">
        <x:f>IF(A34=Premissas!$B$27,D34-H34,0)</x:f>
        <x:v>0</x:v>
      </x:c>
      <x:c r="K34" s="141" t="n">
        <x:f>E34+G34</x:f>
        <x:v>2588.920895281709</x:v>
      </x:c>
      <x:c r="L34" s="141" t="n">
        <x:f>SUM($K$6:K34)</x:f>
        <x:v>75264.81143754022</x:v>
      </x:c>
      <x:c r="M34" s="141" t="str">
        <x:f>IF(A34&lt;Premissas!$B$27,"Financiamento + consorcio",IF(A34=Premissas!$B$27,"Quitacao via carta",IF(A34&lt;=Premissas!$B$25,"Somente consorcio","Encerrado")))</x:f>
        <x:v>Financiamento + consorcio</x:v>
      </x:c>
      <x:c r="N34" s="141" t="n">
        <x:f>IF(A34&gt;=Premissas!$B$25,0,(N35+E35)/(1+Premissas!$B$41))</x:f>
        <x:v>85796.50800693221</x:v>
      </x:c>
      <x:c r="O34" s="141" t="n">
        <x:f>IF(A34&lt;Premissas!$B$27,Premissas!$B$31/(1+Premissas!$B$41)^(Premissas!$B$27-A34),0)</x:f>
        <x:v>102335.57508325198</x:v>
      </x:c>
      <x:c r="P34" s="141" t="n">
        <x:f>MAX(0,H34-I34)+N34</x:f>
        <x:v>234748.88895931345</x:v>
      </x:c>
    </x:row>
    <x:row r="35">
      <x:c r="A35" s="142" t="n">
        <x:v>30</x:v>
      </x:c>
      <x:c r="B35" s="179" t="n">
        <x:f>EDATE(Premissas!$B$4,29)</x:f>
        <x:v>47423</x:v>
      </x:c>
      <x:c r="C35" s="180" t="n">
        <x:f>(1+Premissas!$B$26)^INT((A35-1)/12)</x:f>
        <x:v>1.1236000000000002</x:v>
      </x:c>
      <x:c r="D35" s="141" t="n">
        <x:f>Premissas!$B$30*C35</x:f>
        <x:v>122056.65463052454</x:v>
      </x:c>
      <x:c r="E35" s="141" t="n">
        <x:f>IF(A35&lt;=Premissas!$B$25,Premissas!$B$32*C35,0)</x:f>
        <x:v>640.9754360982568</x:v>
      </x:c>
      <x:c r="F35" s="141" t="n">
        <x:f>IF(AND(A35&gt;=Premissas!$B$48,A35&lt;=Premissas!$B$27,A35-Premissas!$B$48+1&lt;=Premissas!$B$13),INDEX(Financiamento!$C$6:$C$485,A35-Premissas!$B$48+1),0)</x:f>
        <x:v>148952.38095238124</x:v>
      </x:c>
      <x:c r="G35" s="141" t="n">
        <x:f>IF(AND(A35&gt;=Premissas!$B$48,A35&lt;=Premissas!$B$27,A35-Premissas!$B$48+1&lt;=Premissas!$B$13),INDEX(Financiamento!$J$6:$J$485,A35-Premissas!$B$48+1),0)</x:f>
        <x:v>1944.330680922659</x:v>
      </x:c>
      <x:c r="H35" s="141" t="n">
        <x:f>IF(AND(A35&gt;=Premissas!$B$48,A35&lt;=Premissas!$B$27,A35-Premissas!$B$48+1&lt;=Premissas!$B$13),INDEX(Financiamento!$M$6:$M$485,A35-Premissas!$B$48+1),0)</x:f>
        <x:v>148571.42857142884</x:v>
      </x:c>
      <x:c r="I35" s="141" t="n">
        <x:f>IF(A35=Premissas!$B$27,MIN(D35,H35),0)</x:f>
        <x:v>0</x:v>
      </x:c>
      <x:c r="J35" s="141" t="n">
        <x:f>IF(A35=Premissas!$B$27,D35-H35,0)</x:f>
        <x:v>0</x:v>
      </x:c>
      <x:c r="K35" s="141" t="n">
        <x:f>E35+G35</x:f>
        <x:v>2585.3061170209157</x:v>
      </x:c>
      <x:c r="L35" s="141" t="n">
        <x:f>SUM($K$6:K35)</x:f>
        <x:v>77850.11755456113</x:v>
      </x:c>
      <x:c r="M35" s="141" t="str">
        <x:f>IF(A35&lt;Premissas!$B$27,"Financiamento + consorcio",IF(A35=Premissas!$B$27,"Quitacao via carta",IF(A35&lt;=Premissas!$B$25,"Somente consorcio","Encerrado")))</x:f>
        <x:v>Financiamento + consorcio</x:v>
      </x:c>
      <x:c r="N35" s="141" t="n">
        <x:f>IF(A35&gt;=Premissas!$B$25,0,(N36+E36)/(1+Premissas!$B$41))</x:f>
        <x:v>85969.63786982202</x:v>
      </x:c>
      <x:c r="O35" s="141" t="n">
        <x:f>IF(A35&lt;Premissas!$B$27,Premissas!$B$31/(1+Premissas!$B$41)^(Premissas!$B$27-A35),0)</x:f>
        <x:v>103306.61616505844</x:v>
      </x:c>
      <x:c r="P35" s="141" t="n">
        <x:f>MAX(0,H35-I35)+N35</x:f>
        <x:v>234541.06644125085</x:v>
      </x:c>
    </x:row>
    <x:row r="36">
      <x:c r="A36" s="142" t="n">
        <x:v>31</x:v>
      </x:c>
      <x:c r="B36" s="179" t="n">
        <x:f>EDATE(Premissas!$B$4,30)</x:f>
        <x:v>47453</x:v>
      </x:c>
      <x:c r="C36" s="180" t="n">
        <x:f>(1+Premissas!$B$26)^INT((A36-1)/12)</x:f>
        <x:v>1.1236000000000002</x:v>
      </x:c>
      <x:c r="D36" s="141" t="n">
        <x:f>Premissas!$B$30*C36</x:f>
        <x:v>122056.65463052454</x:v>
      </x:c>
      <x:c r="E36" s="141" t="n">
        <x:f>IF(A36&lt;=Premissas!$B$25,Premissas!$B$32*C36,0)</x:f>
        <x:v>640.9754360982568</x:v>
      </x:c>
      <x:c r="F36" s="141" t="n">
        <x:f>IF(AND(A36&gt;=Premissas!$B$48,A36&lt;=Premissas!$B$27,A36-Premissas!$B$48+1&lt;=Premissas!$B$13),INDEX(Financiamento!$C$6:$C$485,A36-Premissas!$B$48+1),0)</x:f>
        <x:v>148571.42857142884</x:v>
      </x:c>
      <x:c r="G36" s="141" t="n">
        <x:f>IF(AND(A36&gt;=Premissas!$B$48,A36&lt;=Premissas!$B$27,A36-Premissas!$B$48+1&lt;=Premissas!$B$13),INDEX(Financiamento!$J$6:$J$485,A36-Premissas!$B$48+1),0)</x:f>
        <x:v>1940.7159026618654</x:v>
      </x:c>
      <x:c r="H36" s="141" t="n">
        <x:f>IF(AND(A36&gt;=Premissas!$B$48,A36&lt;=Premissas!$B$27,A36-Premissas!$B$48+1&lt;=Premissas!$B$13),INDEX(Financiamento!$M$6:$M$485,A36-Premissas!$B$48+1),0)</x:f>
        <x:v>148190.47619047645</x:v>
      </x:c>
      <x:c r="I36" s="141" t="n">
        <x:f>IF(A36=Premissas!$B$27,MIN(D36,H36),0)</x:f>
        <x:v>0</x:v>
      </x:c>
      <x:c r="J36" s="141" t="n">
        <x:f>IF(A36=Premissas!$B$27,D36-H36,0)</x:f>
        <x:v>0</x:v>
      </x:c>
      <x:c r="K36" s="141" t="n">
        <x:f>E36+G36</x:f>
        <x:v>2581.691338760122</x:v>
      </x:c>
      <x:c r="L36" s="141" t="n">
        <x:f>SUM($K$6:K36)</x:f>
        <x:v>80431.80889332126</x:v>
      </x:c>
      <x:c r="M36" s="141" t="str">
        <x:f>IF(A36&lt;Premissas!$B$27,"Financiamento + consorcio",IF(A36=Premissas!$B$27,"Quitacao via carta",IF(A36&lt;=Premissas!$B$25,"Somente consorcio","Encerrado")))</x:f>
        <x:v>Financiamento + consorcio</x:v>
      </x:c>
      <x:c r="N36" s="141" t="n">
        <x:f>IF(A36&gt;=Premissas!$B$25,0,(N37+E37)/(1+Premissas!$B$41))</x:f>
        <x:v>86144.41052613159</x:v>
      </x:c>
      <x:c r="O36" s="141" t="n">
        <x:f>IF(A36&lt;Premissas!$B$27,Premissas!$B$31/(1+Premissas!$B$41)^(Premissas!$B$27-A36),0)</x:f>
        <x:v>104286.87125462112</x:v>
      </x:c>
      <x:c r="P36" s="141" t="n">
        <x:f>MAX(0,H36-I36)+N36</x:f>
        <x:v>234334.88671660802</x:v>
      </x:c>
    </x:row>
    <x:row r="37">
      <x:c r="A37" s="142" t="n">
        <x:v>32</x:v>
      </x:c>
      <x:c r="B37" s="179" t="n">
        <x:f>EDATE(Premissas!$B$4,31)</x:f>
        <x:v>47484</x:v>
      </x:c>
      <x:c r="C37" s="180" t="n">
        <x:f>(1+Premissas!$B$26)^INT((A37-1)/12)</x:f>
        <x:v>1.1236000000000002</x:v>
      </x:c>
      <x:c r="D37" s="141" t="n">
        <x:f>Premissas!$B$30*C37</x:f>
        <x:v>122056.65463052454</x:v>
      </x:c>
      <x:c r="E37" s="141" t="n">
        <x:f>IF(A37&lt;=Premissas!$B$25,Premissas!$B$32*C37,0)</x:f>
        <x:v>640.9754360982568</x:v>
      </x:c>
      <x:c r="F37" s="141" t="n">
        <x:f>IF(AND(A37&gt;=Premissas!$B$48,A37&lt;=Premissas!$B$27,A37-Premissas!$B$48+1&lt;=Premissas!$B$13),INDEX(Financiamento!$C$6:$C$485,A37-Premissas!$B$48+1),0)</x:f>
        <x:v>148190.47619047645</x:v>
      </x:c>
      <x:c r="G37" s="141" t="n">
        <x:f>IF(AND(A37&gt;=Premissas!$B$48,A37&lt;=Premissas!$B$27,A37-Premissas!$B$48+1&lt;=Premissas!$B$13),INDEX(Financiamento!$J$6:$J$485,A37-Premissas!$B$48+1),0)</x:f>
        <x:v>1937.1011244010715</x:v>
      </x:c>
      <x:c r="H37" s="141" t="n">
        <x:f>IF(AND(A37&gt;=Premissas!$B$48,A37&lt;=Premissas!$B$27,A37-Premissas!$B$48+1&lt;=Premissas!$B$13),INDEX(Financiamento!$M$6:$M$485,A37-Premissas!$B$48+1),0)</x:f>
        <x:v>147809.52380952408</x:v>
      </x:c>
      <x:c r="I37" s="141" t="n">
        <x:f>IF(A37=Premissas!$B$27,MIN(D37,H37),0)</x:f>
        <x:v>0</x:v>
      </x:c>
      <x:c r="J37" s="141" t="n">
        <x:f>IF(A37=Premissas!$B$27,D37-H37,0)</x:f>
        <x:v>0</x:v>
      </x:c>
      <x:c r="K37" s="141" t="n">
        <x:f>E37+G37</x:f>
        <x:v>2578.0765604993285</x:v>
      </x:c>
      <x:c r="L37" s="141" t="n">
        <x:f>SUM($K$6:K37)</x:f>
        <x:v>83009.88545382058</x:v>
      </x:c>
      <x:c r="M37" s="141" t="str">
        <x:f>IF(A37&lt;Premissas!$B$27,"Financiamento + consorcio",IF(A37=Premissas!$B$27,"Quitacao via carta",IF(A37&lt;=Premissas!$B$25,"Somente consorcio","Encerrado")))</x:f>
        <x:v>Financiamento + consorcio</x:v>
      </x:c>
      <x:c r="N37" s="141" t="n">
        <x:f>IF(A37&gt;=Premissas!$B$25,0,(N38+E38)/(1+Premissas!$B$41))</x:f>
        <x:v>86320.8415639875</x:v>
      </x:c>
      <x:c r="O37" s="141" t="n">
        <x:f>IF(A37&lt;Premissas!$B$27,Premissas!$B$31/(1+Premissas!$B$41)^(Premissas!$B$27-A37),0)</x:f>
        <x:v>105276.42778175174</x:v>
      </x:c>
      <x:c r="P37" s="141" t="n">
        <x:f>MAX(0,H37-I37)+N37</x:f>
        <x:v>234130.36537351157</x:v>
      </x:c>
    </x:row>
    <x:row r="38">
      <x:c r="A38" s="142" t="n">
        <x:v>33</x:v>
      </x:c>
      <x:c r="B38" s="179" t="n">
        <x:f>EDATE(Premissas!$B$4,32)</x:f>
        <x:v>47515</x:v>
      </x:c>
      <x:c r="C38" s="180" t="n">
        <x:f>(1+Premissas!$B$26)^INT((A38-1)/12)</x:f>
        <x:v>1.1236000000000002</x:v>
      </x:c>
      <x:c r="D38" s="141" t="n">
        <x:f>Premissas!$B$30*C38</x:f>
        <x:v>122056.65463052454</x:v>
      </x:c>
      <x:c r="E38" s="141" t="n">
        <x:f>IF(A38&lt;=Premissas!$B$25,Premissas!$B$32*C38,0)</x:f>
        <x:v>640.9754360982568</x:v>
      </x:c>
      <x:c r="F38" s="141" t="n">
        <x:f>IF(AND(A38&gt;=Premissas!$B$48,A38&lt;=Premissas!$B$27,A38-Premissas!$B$48+1&lt;=Premissas!$B$13),INDEX(Financiamento!$C$6:$C$485,A38-Premissas!$B$48+1),0)</x:f>
        <x:v>147809.52380952408</x:v>
      </x:c>
      <x:c r="G38" s="141" t="n">
        <x:f>IF(AND(A38&gt;=Premissas!$B$48,A38&lt;=Premissas!$B$27,A38-Premissas!$B$48+1&lt;=Premissas!$B$13),INDEX(Financiamento!$J$6:$J$485,A38-Premissas!$B$48+1),0)</x:f>
        <x:v>1933.486346140278</x:v>
      </x:c>
      <x:c r="H38" s="141" t="n">
        <x:f>IF(AND(A38&gt;=Premissas!$B$48,A38&lt;=Premissas!$B$27,A38-Premissas!$B$48+1&lt;=Premissas!$B$13),INDEX(Financiamento!$M$6:$M$485,A38-Premissas!$B$48+1),0)</x:f>
        <x:v>147428.5714285717</x:v>
      </x:c>
      <x:c r="I38" s="141" t="n">
        <x:f>IF(A38=Premissas!$B$27,MIN(D38,H38),0)</x:f>
        <x:v>0</x:v>
      </x:c>
      <x:c r="J38" s="141" t="n">
        <x:f>IF(A38=Premissas!$B$27,D38-H38,0)</x:f>
        <x:v>0</x:v>
      </x:c>
      <x:c r="K38" s="141" t="n">
        <x:f>E38+G38</x:f>
        <x:v>2574.461782238535</x:v>
      </x:c>
      <x:c r="L38" s="141" t="n">
        <x:f>SUM($K$6:K38)</x:f>
        <x:v>85584.34723605911</x:v>
      </x:c>
      <x:c r="M38" s="141" t="str">
        <x:f>IF(A38&lt;Premissas!$B$27,"Financiamento + consorcio",IF(A38=Premissas!$B$27,"Quitacao via carta",IF(A38&lt;=Premissas!$B$25,"Somente consorcio","Encerrado")))</x:f>
        <x:v>Financiamento + consorcio</x:v>
      </x:c>
      <x:c r="N38" s="141" t="n">
        <x:f>IF(A38&gt;=Premissas!$B$25,0,(N39+E39)/(1+Premissas!$B$41))</x:f>
        <x:v>86498.94671942887</x:v>
      </x:c>
      <x:c r="O38" s="141" t="n">
        <x:f>IF(A38&lt;Premissas!$B$27,Premissas!$B$31/(1+Premissas!$B$41)^(Premissas!$B$27-A38),0)</x:f>
        <x:v>106275.37400586536</x:v>
      </x:c>
      <x:c r="P38" s="141" t="n">
        <x:f>MAX(0,H38-I38)+N38</x:f>
        <x:v>233927.51814800058</x:v>
      </x:c>
    </x:row>
    <x:row r="39">
      <x:c r="A39" s="142" t="n">
        <x:v>34</x:v>
      </x:c>
      <x:c r="B39" s="179" t="n">
        <x:f>EDATE(Premissas!$B$4,33)</x:f>
        <x:v>47543</x:v>
      </x:c>
      <x:c r="C39" s="180" t="n">
        <x:f>(1+Premissas!$B$26)^INT((A39-1)/12)</x:f>
        <x:v>1.1236000000000002</x:v>
      </x:c>
      <x:c r="D39" s="141" t="n">
        <x:f>Premissas!$B$30*C39</x:f>
        <x:v>122056.65463052454</x:v>
      </x:c>
      <x:c r="E39" s="141" t="n">
        <x:f>IF(A39&lt;=Premissas!$B$25,Premissas!$B$32*C39,0)</x:f>
        <x:v>640.9754360982568</x:v>
      </x:c>
      <x:c r="F39" s="141" t="n">
        <x:f>IF(AND(A39&gt;=Premissas!$B$48,A39&lt;=Premissas!$B$27,A39-Premissas!$B$48+1&lt;=Premissas!$B$13),INDEX(Financiamento!$C$6:$C$485,A39-Premissas!$B$48+1),0)</x:f>
        <x:v>147428.5714285717</x:v>
      </x:c>
      <x:c r="G39" s="141" t="n">
        <x:f>IF(AND(A39&gt;=Premissas!$B$48,A39&lt;=Premissas!$B$27,A39-Premissas!$B$48+1&lt;=Premissas!$B$13),INDEX(Financiamento!$J$6:$J$485,A39-Premissas!$B$48+1),0)</x:f>
        <x:v>1929.8715678794847</x:v>
      </x:c>
      <x:c r="H39" s="141" t="n">
        <x:f>IF(AND(A39&gt;=Premissas!$B$48,A39&lt;=Premissas!$B$27,A39-Premissas!$B$48+1&lt;=Premissas!$B$13),INDEX(Financiamento!$M$6:$M$485,A39-Premissas!$B$48+1),0)</x:f>
        <x:v>147047.61904761932</x:v>
      </x:c>
      <x:c r="I39" s="141" t="n">
        <x:f>IF(A39=Premissas!$B$27,MIN(D39,H39),0)</x:f>
        <x:v>0</x:v>
      </x:c>
      <x:c r="J39" s="141" t="n">
        <x:f>IF(A39=Premissas!$B$27,D39-H39,0)</x:f>
        <x:v>0</x:v>
      </x:c>
      <x:c r="K39" s="141" t="n">
        <x:f>E39+G39</x:f>
        <x:v>2570.847003977741</x:v>
      </x:c>
      <x:c r="L39" s="141" t="n">
        <x:f>SUM($K$6:K39)</x:f>
        <x:v>88155.19424003686</x:v>
      </x:c>
      <x:c r="M39" s="141" t="str">
        <x:f>IF(A39&lt;Premissas!$B$27,"Financiamento + consorcio",IF(A39=Premissas!$B$27,"Quitacao via carta",IF(A39&lt;=Premissas!$B$25,"Somente consorcio","Encerrado")))</x:f>
        <x:v>Financiamento + consorcio</x:v>
      </x:c>
      <x:c r="N39" s="141" t="n">
        <x:f>IF(A39&gt;=Premissas!$B$25,0,(N40+E40)/(1+Premissas!$B$41))</x:f>
        <x:v>86678.7418778108</x:v>
      </x:c>
      <x:c r="O39" s="141" t="n">
        <x:f>IF(A39&lt;Premissas!$B$27,Premissas!$B$31/(1+Premissas!$B$41)^(Premissas!$B$27-A39),0)</x:f>
        <x:v>107283.79902385239</x:v>
      </x:c>
      <x:c r="P39" s="141" t="n">
        <x:f>MAX(0,H39-I39)+N39</x:f>
        <x:v>233726.3609254301</x:v>
      </x:c>
    </x:row>
    <x:row r="40">
      <x:c r="A40" s="142" t="n">
        <x:v>35</x:v>
      </x:c>
      <x:c r="B40" s="179" t="n">
        <x:f>EDATE(Premissas!$B$4,34)</x:f>
        <x:v>47574</x:v>
      </x:c>
      <x:c r="C40" s="180" t="n">
        <x:f>(1+Premissas!$B$26)^INT((A40-1)/12)</x:f>
        <x:v>1.1236000000000002</x:v>
      </x:c>
      <x:c r="D40" s="141" t="n">
        <x:f>Premissas!$B$30*C40</x:f>
        <x:v>122056.65463052454</x:v>
      </x:c>
      <x:c r="E40" s="141" t="n">
        <x:f>IF(A40&lt;=Premissas!$B$25,Premissas!$B$32*C40,0)</x:f>
        <x:v>640.9754360982568</x:v>
      </x:c>
      <x:c r="F40" s="141" t="n">
        <x:f>IF(AND(A40&gt;=Premissas!$B$48,A40&lt;=Premissas!$B$27,A40-Premissas!$B$48+1&lt;=Premissas!$B$13),INDEX(Financiamento!$C$6:$C$485,A40-Premissas!$B$48+1),0)</x:f>
        <x:v>147047.61904761932</x:v>
      </x:c>
      <x:c r="G40" s="141" t="n">
        <x:f>IF(AND(A40&gt;=Premissas!$B$48,A40&lt;=Premissas!$B$27,A40-Premissas!$B$48+1&lt;=Premissas!$B$13),INDEX(Financiamento!$J$6:$J$485,A40-Premissas!$B$48+1),0)</x:f>
        <x:v>1926.256789618691</x:v>
      </x:c>
      <x:c r="H40" s="141" t="n">
        <x:f>IF(AND(A40&gt;=Premissas!$B$48,A40&lt;=Premissas!$B$27,A40-Premissas!$B$48+1&lt;=Premissas!$B$13),INDEX(Financiamento!$M$6:$M$485,A40-Premissas!$B$48+1),0)</x:f>
        <x:v>146666.66666666692</x:v>
      </x:c>
      <x:c r="I40" s="141" t="n">
        <x:f>IF(A40=Premissas!$B$27,MIN(D40,H40),0)</x:f>
        <x:v>0</x:v>
      </x:c>
      <x:c r="J40" s="141" t="n">
        <x:f>IF(A40=Premissas!$B$27,D40-H40,0)</x:f>
        <x:v>0</x:v>
      </x:c>
      <x:c r="K40" s="141" t="n">
        <x:f>E40+G40</x:f>
        <x:v>2567.232225716948</x:v>
      </x:c>
      <x:c r="L40" s="141" t="n">
        <x:f>SUM($K$6:K40)</x:f>
        <x:v>90722.4264657538</x:v>
      </x:c>
      <x:c r="M40" s="141" t="str">
        <x:f>IF(A40&lt;Premissas!$B$27,"Financiamento + consorcio",IF(A40=Premissas!$B$27,"Quitacao via carta",IF(A40&lt;=Premissas!$B$25,"Somente consorcio","Encerrado")))</x:f>
        <x:v>Financiamento + consorcio</x:v>
      </x:c>
      <x:c r="N40" s="141" t="n">
        <x:f>IF(A40&gt;=Premissas!$B$25,0,(N41+E41)/(1+Premissas!$B$41))</x:f>
        <x:v>86860.24307522125</x:v>
      </x:c>
      <x:c r="O40" s="141" t="n">
        <x:f>IF(A40&lt;Premissas!$B$27,Premissas!$B$31/(1+Premissas!$B$41)^(Premissas!$B$27-A40),0)</x:f>
        <x:v>108301.79277802515</x:v>
      </x:c>
      <x:c r="P40" s="141" t="n">
        <x:f>MAX(0,H40-I40)+N40</x:f>
        <x:v>233526.90974188817</x:v>
      </x:c>
    </x:row>
    <x:row r="41">
      <x:c r="A41" s="142" t="n">
        <x:v>36</x:v>
      </x:c>
      <x:c r="B41" s="179" t="n">
        <x:f>EDATE(Premissas!$B$4,35)</x:f>
        <x:v>47604</x:v>
      </x:c>
      <x:c r="C41" s="180" t="n">
        <x:f>(1+Premissas!$B$26)^INT((A41-1)/12)</x:f>
        <x:v>1.1236000000000002</x:v>
      </x:c>
      <x:c r="D41" s="141" t="n">
        <x:f>Premissas!$B$30*C41</x:f>
        <x:v>122056.65463052454</x:v>
      </x:c>
      <x:c r="E41" s="141" t="n">
        <x:f>IF(A41&lt;=Premissas!$B$25,Premissas!$B$32*C41,0)</x:f>
        <x:v>640.9754360982568</x:v>
      </x:c>
      <x:c r="F41" s="141" t="n">
        <x:f>IF(AND(A41&gt;=Premissas!$B$48,A41&lt;=Premissas!$B$27,A41-Premissas!$B$48+1&lt;=Premissas!$B$13),INDEX(Financiamento!$C$6:$C$485,A41-Premissas!$B$48+1),0)</x:f>
        <x:v>146666.66666666692</x:v>
      </x:c>
      <x:c r="G41" s="141" t="n">
        <x:f>IF(AND(A41&gt;=Premissas!$B$48,A41&lt;=Premissas!$B$27,A41-Premissas!$B$48+1&lt;=Premissas!$B$13),INDEX(Financiamento!$J$6:$J$485,A41-Premissas!$B$48+1),0)</x:f>
        <x:v>1922.6420113578974</x:v>
      </x:c>
      <x:c r="H41" s="141" t="n">
        <x:f>IF(AND(A41&gt;=Premissas!$B$48,A41&lt;=Premissas!$B$27,A41-Premissas!$B$48+1&lt;=Premissas!$B$13),INDEX(Financiamento!$M$6:$M$485,A41-Premissas!$B$48+1),0)</x:f>
        <x:v>146285.71428571455</x:v>
      </x:c>
      <x:c r="I41" s="141" t="n">
        <x:f>IF(A41=Premissas!$B$27,MIN(D41,H41),0)</x:f>
        <x:v>0</x:v>
      </x:c>
      <x:c r="J41" s="141" t="n">
        <x:f>IF(A41=Premissas!$B$27,D41-H41,0)</x:f>
        <x:v>0</x:v>
      </x:c>
      <x:c r="K41" s="141" t="n">
        <x:f>E41+G41</x:f>
        <x:v>2563.617447456154</x:v>
      </x:c>
      <x:c r="L41" s="141" t="n">
        <x:f>SUM($K$6:K41)</x:f>
        <x:v>93286.04391320996</x:v>
      </x:c>
      <x:c r="M41" s="141" t="str">
        <x:f>IF(A41&lt;Premissas!$B$27,"Financiamento + consorcio",IF(A41=Premissas!$B$27,"Quitacao via carta",IF(A41&lt;=Premissas!$B$25,"Somente consorcio","Encerrado")))</x:f>
        <x:v>Financiamento + consorcio</x:v>
      </x:c>
      <x:c r="N41" s="141" t="n">
        <x:f>IF(A41&gt;=Premissas!$B$25,0,(N42+E42)/(1+Premissas!$B$41))</x:f>
        <x:v>87043.46649991132</x:v>
      </x:c>
      <x:c r="O41" s="141" t="n">
        <x:f>IF(A41&lt;Premissas!$B$27,Premissas!$B$31/(1+Premissas!$B$41)^(Premissas!$B$27-A41),0)</x:f>
        <x:v>109329.44606413995</x:v>
      </x:c>
      <x:c r="P41" s="141" t="n">
        <x:f>MAX(0,H41-I41)+N41</x:f>
        <x:v>233329.18078562588</x:v>
      </x:c>
    </x:row>
    <x:row r="42">
      <x:c r="A42" s="142" t="n">
        <x:v>37</x:v>
      </x:c>
      <x:c r="B42" s="179" t="n">
        <x:f>EDATE(Premissas!$B$4,36)</x:f>
        <x:v>47635</x:v>
      </x:c>
      <x:c r="C42" s="180" t="n">
        <x:f>(1+Premissas!$B$26)^INT((A42-1)/12)</x:f>
        <x:v>1.191016</x:v>
      </x:c>
      <x:c r="D42" s="141" t="n">
        <x:f>Premissas!$B$30*C42</x:f>
        <x:v>129380.053908356</x:v>
      </x:c>
      <x:c r="E42" s="141" t="n">
        <x:f>IF(A42&lt;=Premissas!$B$25,Premissas!$B$32*C42,0)</x:f>
        <x:v>679.4339622641521</x:v>
      </x:c>
      <x:c r="F42" s="141" t="n">
        <x:f>IF(AND(A42&gt;=Premissas!$B$48,A42&lt;=Premissas!$B$27,A42-Premissas!$B$48+1&lt;=Premissas!$B$13),INDEX(Financiamento!$C$6:$C$485,A42-Premissas!$B$48+1),0)</x:f>
        <x:v>146285.71428571455</x:v>
      </x:c>
      <x:c r="G42" s="141" t="n">
        <x:f>IF(AND(A42&gt;=Premissas!$B$48,A42&lt;=Premissas!$B$27,A42-Premissas!$B$48+1&lt;=Premissas!$B$13),INDEX(Financiamento!$J$6:$J$485,A42-Premissas!$B$48+1),0)</x:f>
        <x:v>1919.027233097104</x:v>
      </x:c>
      <x:c r="H42" s="141" t="n">
        <x:f>IF(AND(A42&gt;=Premissas!$B$48,A42&lt;=Premissas!$B$27,A42-Premissas!$B$48+1&lt;=Premissas!$B$13),INDEX(Financiamento!$M$6:$M$485,A42-Premissas!$B$48+1),0)</x:f>
        <x:v>145904.76190476218</x:v>
      </x:c>
      <x:c r="I42" s="141" t="n">
        <x:f>IF(A42=Premissas!$B$27,MIN(D42,H42),0)</x:f>
        <x:v>0</x:v>
      </x:c>
      <x:c r="J42" s="141" t="n">
        <x:f>IF(A42=Premissas!$B$27,D42-H42,0)</x:f>
        <x:v>0</x:v>
      </x:c>
      <x:c r="K42" s="141" t="n">
        <x:f>E42+G42</x:f>
        <x:v>2598.461195361256</x:v>
      </x:c>
      <x:c r="L42" s="141" t="n">
        <x:f>SUM($K$6:K42)</x:f>
        <x:v>95884.50510857122</x:v>
      </x:c>
      <x:c r="M42" s="141" t="str">
        <x:f>IF(A42&lt;Premissas!$B$27,"Financiamento + consorcio",IF(A42=Premissas!$B$27,"Quitacao via carta",IF(A42&lt;=Premissas!$B$25,"Somente consorcio","Encerrado")))</x:f>
        <x:v>Financiamento + consorcio</x:v>
      </x:c>
      <x:c r="N42" s="141" t="n">
        <x:f>IF(A42&gt;=Premissas!$B$25,0,(N43+E43)/(1+Premissas!$B$41))</x:f>
        <x:v>87189.96996757314</x:v>
      </x:c>
      <x:c r="O42" s="141" t="n">
        <x:f>IF(A42&lt;Premissas!$B$27,Premissas!$B$31/(1+Premissas!$B$41)^(Premissas!$B$27-A42),0)</x:f>
        <x:v>110366.85053949525</x:v>
      </x:c>
      <x:c r="P42" s="141" t="n">
        <x:f>MAX(0,H42-I42)+N42</x:f>
        <x:v>233094.7318723353</x:v>
      </x:c>
    </x:row>
    <x:row r="43">
      <x:c r="A43" s="142" t="n">
        <x:v>38</x:v>
      </x:c>
      <x:c r="B43" s="179" t="n">
        <x:f>EDATE(Premissas!$B$4,37)</x:f>
        <x:v>47665</x:v>
      </x:c>
      <x:c r="C43" s="180" t="n">
        <x:f>(1+Premissas!$B$26)^INT((A43-1)/12)</x:f>
        <x:v>1.191016</x:v>
      </x:c>
      <x:c r="D43" s="141" t="n">
        <x:f>Premissas!$B$30*C43</x:f>
        <x:v>129380.053908356</x:v>
      </x:c>
      <x:c r="E43" s="141" t="n">
        <x:f>IF(A43&lt;=Premissas!$B$25,Premissas!$B$32*C43,0)</x:f>
        <x:v>679.4339622641521</x:v>
      </x:c>
      <x:c r="F43" s="141" t="n">
        <x:f>IF(AND(A43&gt;=Premissas!$B$48,A43&lt;=Premissas!$B$27,A43-Premissas!$B$48+1&lt;=Premissas!$B$13),INDEX(Financiamento!$C$6:$C$485,A43-Premissas!$B$48+1),0)</x:f>
        <x:v>145904.76190476218</x:v>
      </x:c>
      <x:c r="G43" s="141" t="n">
        <x:f>IF(AND(A43&gt;=Premissas!$B$48,A43&lt;=Premissas!$B$27,A43-Premissas!$B$48+1&lt;=Premissas!$B$13),INDEX(Financiamento!$J$6:$J$485,A43-Premissas!$B$48+1),0)</x:f>
        <x:v>1915.4124548363106</x:v>
      </x:c>
      <x:c r="H43" s="141" t="n">
        <x:f>IF(AND(A43&gt;=Premissas!$B$48,A43&lt;=Premissas!$B$27,A43-Premissas!$B$48+1&lt;=Premissas!$B$13),INDEX(Financiamento!$M$6:$M$485,A43-Premissas!$B$48+1),0)</x:f>
        <x:v>145523.8095238098</x:v>
      </x:c>
      <x:c r="I43" s="141" t="n">
        <x:f>IF(A43=Premissas!$B$27,MIN(D43,H43),0)</x:f>
        <x:v>0</x:v>
      </x:c>
      <x:c r="J43" s="141" t="n">
        <x:f>IF(A43=Premissas!$B$27,D43-H43,0)</x:f>
        <x:v>0</x:v>
      </x:c>
      <x:c r="K43" s="141" t="n">
        <x:f>E43+G43</x:f>
        <x:v>2594.8464171004625</x:v>
      </x:c>
      <x:c r="L43" s="141" t="n">
        <x:f>SUM($K$6:K43)</x:f>
        <x:v>98479.35152567168</x:v>
      </x:c>
      <x:c r="M43" s="141" t="str">
        <x:f>IF(A43&lt;Premissas!$B$27,"Financiamento + consorcio",IF(A43=Premissas!$B$27,"Quitacao via carta",IF(A43&lt;=Premissas!$B$25,"Somente consorcio","Encerrado")))</x:f>
        <x:v>Financiamento + consorcio</x:v>
      </x:c>
      <x:c r="N43" s="141" t="n">
        <x:f>IF(A43&gt;=Premissas!$B$25,0,(N44+E44)/(1+Premissas!$B$41))</x:f>
        <x:v>87337.8635763038</x:v>
      </x:c>
      <x:c r="O43" s="141" t="n">
        <x:f>IF(A43&lt;Premissas!$B$27,Premissas!$B$31/(1+Premissas!$B$41)^(Premissas!$B$27-A43),0)</x:f>
        <x:v>111414.09873110658</x:v>
      </x:c>
      <x:c r="P43" s="141" t="n">
        <x:f>MAX(0,H43-I43)+N43</x:f>
        <x:v>232861.67310011358</x:v>
      </x:c>
    </x:row>
    <x:row r="44">
      <x:c r="A44" s="142" t="n">
        <x:v>39</x:v>
      </x:c>
      <x:c r="B44" s="179" t="n">
        <x:f>EDATE(Premissas!$B$4,38)</x:f>
        <x:v>47696</x:v>
      </x:c>
      <x:c r="C44" s="180" t="n">
        <x:f>(1+Premissas!$B$26)^INT((A44-1)/12)</x:f>
        <x:v>1.191016</x:v>
      </x:c>
      <x:c r="D44" s="141" t="n">
        <x:f>Premissas!$B$30*C44</x:f>
        <x:v>129380.053908356</x:v>
      </x:c>
      <x:c r="E44" s="141" t="n">
        <x:f>IF(A44&lt;=Premissas!$B$25,Premissas!$B$32*C44,0)</x:f>
        <x:v>679.4339622641521</x:v>
      </x:c>
      <x:c r="F44" s="141" t="n">
        <x:f>IF(AND(A44&gt;=Premissas!$B$48,A44&lt;=Premissas!$B$27,A44-Premissas!$B$48+1&lt;=Premissas!$B$13),INDEX(Financiamento!$C$6:$C$485,A44-Premissas!$B$48+1),0)</x:f>
        <x:v>145523.8095238098</x:v>
      </x:c>
      <x:c r="G44" s="141" t="n">
        <x:f>IF(AND(A44&gt;=Premissas!$B$48,A44&lt;=Premissas!$B$27,A44-Premissas!$B$48+1&lt;=Premissas!$B$13),INDEX(Financiamento!$J$6:$J$485,A44-Premissas!$B$48+1),0)</x:f>
        <x:v>1911.797676575517</x:v>
      </x:c>
      <x:c r="H44" s="141" t="n">
        <x:f>IF(AND(A44&gt;=Premissas!$B$48,A44&lt;=Premissas!$B$27,A44-Premissas!$B$48+1&lt;=Premissas!$B$13),INDEX(Financiamento!$M$6:$M$485,A44-Premissas!$B$48+1),0)</x:f>
        <x:v>145142.8571428574</x:v>
      </x:c>
      <x:c r="I44" s="141" t="n">
        <x:f>IF(A44=Premissas!$B$27,MIN(D44,H44),0)</x:f>
        <x:v>0</x:v>
      </x:c>
      <x:c r="J44" s="141" t="n">
        <x:f>IF(A44=Premissas!$B$27,D44-H44,0)</x:f>
        <x:v>0</x:v>
      </x:c>
      <x:c r="K44" s="141" t="n">
        <x:f>E44+G44</x:f>
        <x:v>2591.2316388396694</x:v>
      </x:c>
      <x:c r="L44" s="141" t="n">
        <x:f>SUM($K$6:K44)</x:f>
        <x:v>101070.58316451135</x:v>
      </x:c>
      <x:c r="M44" s="141" t="str">
        <x:f>IF(A44&lt;Premissas!$B$27,"Financiamento + consorcio",IF(A44=Premissas!$B$27,"Quitacao via carta",IF(A44&lt;=Premissas!$B$25,"Somente consorcio","Encerrado")))</x:f>
        <x:v>Financiamento + consorcio</x:v>
      </x:c>
      <x:c r="N44" s="141" t="n">
        <x:f>IF(A44&gt;=Premissas!$B$25,0,(N45+E45)/(1+Premissas!$B$41))</x:f>
        <x:v>87487.16051686405</x:v>
      </x:c>
      <x:c r="O44" s="141" t="n">
        <x:f>IF(A44&lt;Premissas!$B$27,Premissas!$B$31/(1+Premissas!$B$41)^(Premissas!$B$27-A44),0)</x:f>
        <x:v>112471.28404395925</x:v>
      </x:c>
      <x:c r="P44" s="141" t="n">
        <x:f>MAX(0,H44-I44)+N44</x:f>
        <x:v>232630.01765972143</x:v>
      </x:c>
    </x:row>
    <x:row r="45">
      <x:c r="A45" s="142" t="n">
        <x:v>40</x:v>
      </x:c>
      <x:c r="B45" s="179" t="n">
        <x:f>EDATE(Premissas!$B$4,39)</x:f>
        <x:v>47727</x:v>
      </x:c>
      <x:c r="C45" s="180" t="n">
        <x:f>(1+Premissas!$B$26)^INT((A45-1)/12)</x:f>
        <x:v>1.191016</x:v>
      </x:c>
      <x:c r="D45" s="141" t="n">
        <x:f>Premissas!$B$30*C45</x:f>
        <x:v>129380.053908356</x:v>
      </x:c>
      <x:c r="E45" s="141" t="n">
        <x:f>IF(A45&lt;=Premissas!$B$25,Premissas!$B$32*C45,0)</x:f>
        <x:v>679.4339622641521</x:v>
      </x:c>
      <x:c r="F45" s="141" t="n">
        <x:f>IF(AND(A45&gt;=Premissas!$B$48,A45&lt;=Premissas!$B$27,A45-Premissas!$B$48+1&lt;=Premissas!$B$13),INDEX(Financiamento!$C$6:$C$485,A45-Premissas!$B$48+1),0)</x:f>
        <x:v>145142.8571428574</x:v>
      </x:c>
      <x:c r="G45" s="141" t="n">
        <x:f>IF(AND(A45&gt;=Premissas!$B$48,A45&lt;=Premissas!$B$27,A45-Premissas!$B$48+1&lt;=Premissas!$B$13),INDEX(Financiamento!$J$6:$J$485,A45-Premissas!$B$48+1),0)</x:f>
        <x:v>1908.1828983147232</x:v>
      </x:c>
      <x:c r="H45" s="141" t="n">
        <x:f>IF(AND(A45&gt;=Premissas!$B$48,A45&lt;=Premissas!$B$27,A45-Premissas!$B$48+1&lt;=Premissas!$B$13),INDEX(Financiamento!$M$6:$M$485,A45-Premissas!$B$48+1),0)</x:f>
        <x:v>144761.90476190503</x:v>
      </x:c>
      <x:c r="I45" s="141" t="n">
        <x:f>IF(A45=Premissas!$B$27,MIN(D45,H45),0)</x:f>
        <x:v>0</x:v>
      </x:c>
      <x:c r="J45" s="141" t="n">
        <x:f>IF(A45=Premissas!$B$27,D45-H45,0)</x:f>
        <x:v>0</x:v>
      </x:c>
      <x:c r="K45" s="141" t="n">
        <x:f>E45+G45</x:f>
        <x:v>2587.6168605788753</x:v>
      </x:c>
      <x:c r="L45" s="141" t="n">
        <x:f>SUM($K$6:K45)</x:f>
        <x:v>103658.20002509022</x:v>
      </x:c>
      <x:c r="M45" s="141" t="str">
        <x:f>IF(A45&lt;Premissas!$B$27,"Financiamento + consorcio",IF(A45=Premissas!$B$27,"Quitacao via carta",IF(A45&lt;=Premissas!$B$25,"Somente consorcio","Encerrado")))</x:f>
        <x:v>Financiamento + consorcio</x:v>
      </x:c>
      <x:c r="N45" s="141" t="n">
        <x:f>IF(A45&gt;=Premissas!$B$25,0,(N46+E46)/(1+Premissas!$B$41))</x:f>
        <x:v>87637.87410517904</x:v>
      </x:c>
      <x:c r="O45" s="141" t="n">
        <x:f>IF(A45&lt;Premissas!$B$27,Premissas!$B$31/(1+Premissas!$B$41)^(Premissas!$B$27-A45),0)</x:f>
        <x:v>113538.50076933907</x:v>
      </x:c>
      <x:c r="P45" s="141" t="n">
        <x:f>MAX(0,H45-I45)+N45</x:f>
        <x:v>232399.77886708407</x:v>
      </x:c>
    </x:row>
    <x:row r="46">
      <x:c r="A46" s="142" t="n">
        <x:v>41</x:v>
      </x:c>
      <x:c r="B46" s="179" t="n">
        <x:f>EDATE(Premissas!$B$4,40)</x:f>
        <x:v>47757</x:v>
      </x:c>
      <x:c r="C46" s="180" t="n">
        <x:f>(1+Premissas!$B$26)^INT((A46-1)/12)</x:f>
        <x:v>1.191016</x:v>
      </x:c>
      <x:c r="D46" s="141" t="n">
        <x:f>Premissas!$B$30*C46</x:f>
        <x:v>129380.053908356</x:v>
      </x:c>
      <x:c r="E46" s="141" t="n">
        <x:f>IF(A46&lt;=Premissas!$B$25,Premissas!$B$32*C46,0)</x:f>
        <x:v>679.4339622641521</x:v>
      </x:c>
      <x:c r="F46" s="141" t="n">
        <x:f>IF(AND(A46&gt;=Premissas!$B$48,A46&lt;=Premissas!$B$27,A46-Premissas!$B$48+1&lt;=Premissas!$B$13),INDEX(Financiamento!$C$6:$C$485,A46-Premissas!$B$48+1),0)</x:f>
        <x:v>144761.90476190503</x:v>
      </x:c>
      <x:c r="G46" s="141" t="n">
        <x:f>IF(AND(A46&gt;=Premissas!$B$48,A46&lt;=Premissas!$B$27,A46-Premissas!$B$48+1&lt;=Premissas!$B$13),INDEX(Financiamento!$J$6:$J$485,A46-Premissas!$B$48+1),0)</x:f>
        <x:v>1904.5681200539298</x:v>
      </x:c>
      <x:c r="H46" s="141" t="n">
        <x:f>IF(AND(A46&gt;=Premissas!$B$48,A46&lt;=Premissas!$B$27,A46-Premissas!$B$48+1&lt;=Premissas!$B$13),INDEX(Financiamento!$M$6:$M$485,A46-Premissas!$B$48+1),0)</x:f>
        <x:v>144380.95238095266</x:v>
      </x:c>
      <x:c r="I46" s="141" t="n">
        <x:f>IF(A46=Premissas!$B$27,MIN(D46,H46),0)</x:f>
        <x:v>0</x:v>
      </x:c>
      <x:c r="J46" s="141" t="n">
        <x:f>IF(A46=Premissas!$B$27,D46-H46,0)</x:f>
        <x:v>0</x:v>
      </x:c>
      <x:c r="K46" s="141" t="n">
        <x:f>E46+G46</x:f>
        <x:v>2584.002082318082</x:v>
      </x:c>
      <x:c r="L46" s="141" t="n">
        <x:f>SUM($K$6:K46)</x:f>
        <x:v>106242.2021074083</x:v>
      </x:c>
      <x:c r="M46" s="141" t="str">
        <x:f>IF(A46&lt;Premissas!$B$27,"Financiamento + consorcio",IF(A46=Premissas!$B$27,"Quitacao via carta",IF(A46&lt;=Premissas!$B$25,"Somente consorcio","Encerrado")))</x:f>
        <x:v>Financiamento + consorcio</x:v>
      </x:c>
      <x:c r="N46" s="141" t="n">
        <x:f>IF(A46&gt;=Premissas!$B$25,0,(N47+E47)/(1+Premissas!$B$41))</x:f>
        <x:v>87790.01778352598</x:v>
      </x:c>
      <x:c r="O46" s="141" t="n">
        <x:f>IF(A46&lt;Premissas!$B$27,Premissas!$B$31/(1+Premissas!$B$41)^(Premissas!$B$27-A46),0)</x:f>
        <x:v>114615.8440932423</x:v>
      </x:c>
      <x:c r="P46" s="141" t="n">
        <x:f>MAX(0,H46-I46)+N46</x:f>
        <x:v>232170.97016447864</x:v>
      </x:c>
    </x:row>
    <x:row r="47">
      <x:c r="A47" s="142" t="n">
        <x:v>42</x:v>
      </x:c>
      <x:c r="B47" s="179" t="n">
        <x:f>EDATE(Premissas!$B$4,41)</x:f>
        <x:v>47788</x:v>
      </x:c>
      <x:c r="C47" s="180" t="n">
        <x:f>(1+Premissas!$B$26)^INT((A47-1)/12)</x:f>
        <x:v>1.191016</x:v>
      </x:c>
      <x:c r="D47" s="141" t="n">
        <x:f>Premissas!$B$30*C47</x:f>
        <x:v>129380.053908356</x:v>
      </x:c>
      <x:c r="E47" s="141" t="n">
        <x:f>IF(A47&lt;=Premissas!$B$25,Premissas!$B$32*C47,0)</x:f>
        <x:v>679.4339622641521</x:v>
      </x:c>
      <x:c r="F47" s="141" t="n">
        <x:f>IF(AND(A47&gt;=Premissas!$B$48,A47&lt;=Premissas!$B$27,A47-Premissas!$B$48+1&lt;=Premissas!$B$13),INDEX(Financiamento!$C$6:$C$485,A47-Premissas!$B$48+1),0)</x:f>
        <x:v>144380.95238095266</x:v>
      </x:c>
      <x:c r="G47" s="141" t="n">
        <x:f>IF(AND(A47&gt;=Premissas!$B$48,A47&lt;=Premissas!$B$27,A47-Premissas!$B$48+1&lt;=Premissas!$B$13),INDEX(Financiamento!$J$6:$J$485,A47-Premissas!$B$48+1),0)</x:f>
        <x:v>1900.9533417931364</x:v>
      </x:c>
      <x:c r="H47" s="141" t="n">
        <x:f>IF(AND(A47&gt;=Premissas!$B$48,A47&lt;=Premissas!$B$27,A47-Premissas!$B$48+1&lt;=Premissas!$B$13),INDEX(Financiamento!$M$6:$M$485,A47-Premissas!$B$48+1),0)</x:f>
        <x:v>144000.00000000026</x:v>
      </x:c>
      <x:c r="I47" s="141" t="n">
        <x:f>IF(A47=Premissas!$B$27,MIN(D47,H47),0)</x:f>
        <x:v>0</x:v>
      </x:c>
      <x:c r="J47" s="141" t="n">
        <x:f>IF(A47=Premissas!$B$27,D47-H47,0)</x:f>
        <x:v>0</x:v>
      </x:c>
      <x:c r="K47" s="141" t="n">
        <x:f>E47+G47</x:f>
        <x:v>2580.3873040572885</x:v>
      </x:c>
      <x:c r="L47" s="141" t="n">
        <x:f>SUM($K$6:K47)</x:f>
        <x:v>108822.5894114656</x:v>
      </x:c>
      <x:c r="M47" s="141" t="str">
        <x:f>IF(A47&lt;Premissas!$B$27,"Financiamento + consorcio",IF(A47=Premissas!$B$27,"Quitacao via carta",IF(A47&lt;=Premissas!$B$25,"Somente consorcio","Encerrado")))</x:f>
        <x:v>Financiamento + consorcio</x:v>
      </x:c>
      <x:c r="N47" s="141" t="n">
        <x:f>IF(A47&gt;=Premissas!$B$25,0,(N48+E48)/(1+Premissas!$B$41))</x:f>
        <x:v>87943.60512173307</x:v>
      </x:c>
      <x:c r="O47" s="141" t="n">
        <x:f>IF(A47&lt;Premissas!$B$27,Premissas!$B$31/(1+Premissas!$B$41)^(Premissas!$B$27-A47),0)</x:f>
        <x:v>115703.41010486554</x:v>
      </x:c>
      <x:c r="P47" s="141" t="n">
        <x:f>MAX(0,H47-I47)+N47</x:f>
        <x:v>231943.60512173333</x:v>
      </x:c>
    </x:row>
    <x:row r="48">
      <x:c r="A48" s="142" t="n">
        <x:v>43</x:v>
      </x:c>
      <x:c r="B48" s="179" t="n">
        <x:f>EDATE(Premissas!$B$4,42)</x:f>
        <x:v>47818</x:v>
      </x:c>
      <x:c r="C48" s="180" t="n">
        <x:f>(1+Premissas!$B$26)^INT((A48-1)/12)</x:f>
        <x:v>1.191016</x:v>
      </x:c>
      <x:c r="D48" s="141" t="n">
        <x:f>Premissas!$B$30*C48</x:f>
        <x:v>129380.053908356</x:v>
      </x:c>
      <x:c r="E48" s="141" t="n">
        <x:f>IF(A48&lt;=Premissas!$B$25,Premissas!$B$32*C48,0)</x:f>
        <x:v>679.4339622641521</x:v>
      </x:c>
      <x:c r="F48" s="141" t="n">
        <x:f>IF(AND(A48&gt;=Premissas!$B$48,A48&lt;=Premissas!$B$27,A48-Premissas!$B$48+1&lt;=Premissas!$B$13),INDEX(Financiamento!$C$6:$C$485,A48-Premissas!$B$48+1),0)</x:f>
        <x:v>144000.00000000026</x:v>
      </x:c>
      <x:c r="G48" s="141" t="n">
        <x:f>IF(AND(A48&gt;=Premissas!$B$48,A48&lt;=Premissas!$B$27,A48-Premissas!$B$48+1&lt;=Premissas!$B$13),INDEX(Financiamento!$J$6:$J$485,A48-Premissas!$B$48+1),0)</x:f>
        <x:v>1897.3385635323427</x:v>
      </x:c>
      <x:c r="H48" s="141" t="n">
        <x:f>IF(AND(A48&gt;=Premissas!$B$48,A48&lt;=Premissas!$B$27,A48-Premissas!$B$48+1&lt;=Premissas!$B$13),INDEX(Financiamento!$M$6:$M$485,A48-Premissas!$B$48+1),0)</x:f>
        <x:v>143619.04761904787</x:v>
      </x:c>
      <x:c r="I48" s="141" t="n">
        <x:f>IF(A48=Premissas!$B$27,MIN(D48,H48),0)</x:f>
        <x:v>0</x:v>
      </x:c>
      <x:c r="J48" s="141" t="n">
        <x:f>IF(A48=Premissas!$B$27,D48-H48,0)</x:f>
        <x:v>0</x:v>
      </x:c>
      <x:c r="K48" s="141" t="n">
        <x:f>E48+G48</x:f>
        <x:v>2576.772525796495</x:v>
      </x:c>
      <x:c r="L48" s="141" t="n">
        <x:f>SUM($K$6:K48)</x:f>
        <x:v>111399.36193726209</x:v>
      </x:c>
      <x:c r="M48" s="141" t="str">
        <x:f>IF(A48&lt;Premissas!$B$27,"Financiamento + consorcio",IF(A48=Premissas!$B$27,"Quitacao via carta",IF(A48&lt;=Premissas!$B$25,"Somente consorcio","Encerrado")))</x:f>
        <x:v>Financiamento + consorcio</x:v>
      </x:c>
      <x:c r="N48" s="141" t="n">
        <x:f>IF(A48&gt;=Premissas!$B$25,0,(N49+E49)/(1+Premissas!$B$41))</x:f>
        <x:v>88098.64981838978</x:v>
      </x:c>
      <x:c r="O48" s="141" t="n">
        <x:f>IF(A48&lt;Premissas!$B$27,Premissas!$B$31/(1+Premissas!$B$41)^(Premissas!$B$27-A48),0)</x:f>
        <x:v>116801.29580517576</x:v>
      </x:c>
      <x:c r="P48" s="141" t="n">
        <x:f>MAX(0,H48-I48)+N48</x:f>
        <x:v>231717.69743743766</x:v>
      </x:c>
    </x:row>
    <x:row r="49">
      <x:c r="A49" s="142" t="n">
        <x:v>44</x:v>
      </x:c>
      <x:c r="B49" s="179" t="n">
        <x:f>EDATE(Premissas!$B$4,43)</x:f>
        <x:v>47849</x:v>
      </x:c>
      <x:c r="C49" s="180" t="n">
        <x:f>(1+Premissas!$B$26)^INT((A49-1)/12)</x:f>
        <x:v>1.191016</x:v>
      </x:c>
      <x:c r="D49" s="141" t="n">
        <x:f>Premissas!$B$30*C49</x:f>
        <x:v>129380.053908356</x:v>
      </x:c>
      <x:c r="E49" s="141" t="n">
        <x:f>IF(A49&lt;=Premissas!$B$25,Premissas!$B$32*C49,0)</x:f>
        <x:v>679.4339622641521</x:v>
      </x:c>
      <x:c r="F49" s="141" t="n">
        <x:f>IF(AND(A49&gt;=Premissas!$B$48,A49&lt;=Premissas!$B$27,A49-Premissas!$B$48+1&lt;=Premissas!$B$13),INDEX(Financiamento!$C$6:$C$485,A49-Premissas!$B$48+1),0)</x:f>
        <x:v>143619.04761904787</x:v>
      </x:c>
      <x:c r="G49" s="141" t="n">
        <x:f>IF(AND(A49&gt;=Premissas!$B$48,A49&lt;=Premissas!$B$27,A49-Premissas!$B$48+1&lt;=Premissas!$B$13),INDEX(Financiamento!$J$6:$J$485,A49-Premissas!$B$48+1),0)</x:f>
        <x:v>1893.723785271549</x:v>
      </x:c>
      <x:c r="H49" s="141" t="n">
        <x:f>IF(AND(A49&gt;=Premissas!$B$48,A49&lt;=Premissas!$B$27,A49-Premissas!$B$48+1&lt;=Premissas!$B$13),INDEX(Financiamento!$M$6:$M$485,A49-Premissas!$B$48+1),0)</x:f>
        <x:v>143238.0952380955</x:v>
      </x:c>
      <x:c r="I49" s="141" t="n">
        <x:f>IF(A49=Premissas!$B$27,MIN(D49,H49),0)</x:f>
        <x:v>0</x:v>
      </x:c>
      <x:c r="J49" s="141" t="n">
        <x:f>IF(A49=Premissas!$B$27,D49-H49,0)</x:f>
        <x:v>0</x:v>
      </x:c>
      <x:c r="K49" s="141" t="n">
        <x:f>E49+G49</x:f>
        <x:v>2573.157747535701</x:v>
      </x:c>
      <x:c r="L49" s="141" t="n">
        <x:f>SUM($K$6:K49)</x:f>
        <x:v>113972.5196847978</x:v>
      </x:c>
      <x:c r="M49" s="141" t="str">
        <x:f>IF(A49&lt;Premissas!$B$27,"Financiamento + consorcio",IF(A49=Premissas!$B$27,"Quitacao via carta",IF(A49&lt;=Premissas!$B$25,"Somente consorcio","Encerrado")))</x:f>
        <x:v>Financiamento + consorcio</x:v>
      </x:c>
      <x:c r="N49" s="141" t="n">
        <x:f>IF(A49&gt;=Premissas!$B$25,0,(N50+E50)/(1+Premissas!$B$41))</x:f>
        <x:v>88255.16570206867</x:v>
      </x:c>
      <x:c r="O49" s="141" t="n">
        <x:f>IF(A49&lt;Premissas!$B$27,Premissas!$B$31/(1+Premissas!$B$41)^(Premissas!$B$27-A49),0)</x:f>
        <x:v>117909.59911556206</x:v>
      </x:c>
      <x:c r="P49" s="141" t="n">
        <x:f>MAX(0,H49-I49)+N49</x:f>
        <x:v>231493.26094016415</x:v>
      </x:c>
    </x:row>
    <x:row r="50">
      <x:c r="A50" s="142" t="n">
        <x:v>45</x:v>
      </x:c>
      <x:c r="B50" s="179" t="n">
        <x:f>EDATE(Premissas!$B$4,44)</x:f>
        <x:v>47880</x:v>
      </x:c>
      <x:c r="C50" s="180" t="n">
        <x:f>(1+Premissas!$B$26)^INT((A50-1)/12)</x:f>
        <x:v>1.191016</x:v>
      </x:c>
      <x:c r="D50" s="141" t="n">
        <x:f>Premissas!$B$30*C50</x:f>
        <x:v>129380.053908356</x:v>
      </x:c>
      <x:c r="E50" s="141" t="n">
        <x:f>IF(A50&lt;=Premissas!$B$25,Premissas!$B$32*C50,0)</x:f>
        <x:v>679.4339622641521</x:v>
      </x:c>
      <x:c r="F50" s="141" t="n">
        <x:f>IF(AND(A50&gt;=Premissas!$B$48,A50&lt;=Premissas!$B$27,A50-Premissas!$B$48+1&lt;=Premissas!$B$13),INDEX(Financiamento!$C$6:$C$485,A50-Premissas!$B$48+1),0)</x:f>
        <x:v>143238.0952380955</x:v>
      </x:c>
      <x:c r="G50" s="141" t="n">
        <x:f>IF(AND(A50&gt;=Premissas!$B$48,A50&lt;=Premissas!$B$27,A50-Premissas!$B$48+1&lt;=Premissas!$B$13),INDEX(Financiamento!$J$6:$J$485,A50-Premissas!$B$48+1),0)</x:f>
        <x:v>1890.1090070107557</x:v>
      </x:c>
      <x:c r="H50" s="141" t="n">
        <x:f>IF(AND(A50&gt;=Premissas!$B$48,A50&lt;=Premissas!$B$27,A50-Premissas!$B$48+1&lt;=Premissas!$B$13),INDEX(Financiamento!$M$6:$M$485,A50-Premissas!$B$48+1),0)</x:f>
        <x:v>142857.14285714313</x:v>
      </x:c>
      <x:c r="I50" s="141" t="n">
        <x:f>IF(A50=Premissas!$B$27,MIN(D50,H50),0)</x:f>
        <x:v>0</x:v>
      </x:c>
      <x:c r="J50" s="141" t="n">
        <x:f>IF(A50=Premissas!$B$27,D50-H50,0)</x:f>
        <x:v>0</x:v>
      </x:c>
      <x:c r="K50" s="141" t="n">
        <x:f>E50+G50</x:f>
        <x:v>2569.5429692749076</x:v>
      </x:c>
      <x:c r="L50" s="141" t="n">
        <x:f>SUM($K$6:K50)</x:f>
        <x:v>116542.0626540727</x:v>
      </x:c>
      <x:c r="M50" s="141" t="str">
        <x:f>IF(A50&lt;Premissas!$B$27,"Financiamento + consorcio",IF(A50=Premissas!$B$27,"Quitacao via carta",IF(A50&lt;=Premissas!$B$25,"Somente consorcio","Encerrado")))</x:f>
        <x:v>Financiamento + consorcio</x:v>
      </x:c>
      <x:c r="N50" s="141" t="n">
        <x:f>IF(A50&gt;=Premissas!$B$25,0,(N51+E51)/(1+Premissas!$B$41))</x:f>
        <x:v>88413.16673255876</x:v>
      </x:c>
      <x:c r="O50" s="141" t="n">
        <x:f>IF(A50&lt;Premissas!$B$27,Premissas!$B$31/(1+Premissas!$B$41)^(Premissas!$B$27-A50),0)</x:f>
        <x:v>119028.4188865693</x:v>
      </x:c>
      <x:c r="P50" s="141" t="n">
        <x:f>MAX(0,H50-I50)+N50</x:f>
        <x:v>231270.30958970188</x:v>
      </x:c>
    </x:row>
    <x:row r="51">
      <x:c r="A51" s="142" t="n">
        <x:v>46</x:v>
      </x:c>
      <x:c r="B51" s="179" t="n">
        <x:f>EDATE(Premissas!$B$4,45)</x:f>
        <x:v>47908</x:v>
      </x:c>
      <x:c r="C51" s="180" t="n">
        <x:f>(1+Premissas!$B$26)^INT((A51-1)/12)</x:f>
        <x:v>1.191016</x:v>
      </x:c>
      <x:c r="D51" s="141" t="n">
        <x:f>Premissas!$B$30*C51</x:f>
        <x:v>129380.053908356</x:v>
      </x:c>
      <x:c r="E51" s="141" t="n">
        <x:f>IF(A51&lt;=Premissas!$B$25,Premissas!$B$32*C51,0)</x:f>
        <x:v>679.4339622641521</x:v>
      </x:c>
      <x:c r="F51" s="141" t="n">
        <x:f>IF(AND(A51&gt;=Premissas!$B$48,A51&lt;=Premissas!$B$27,A51-Premissas!$B$48+1&lt;=Premissas!$B$13),INDEX(Financiamento!$C$6:$C$485,A51-Premissas!$B$48+1),0)</x:f>
        <x:v>142857.14285714313</x:v>
      </x:c>
      <x:c r="G51" s="141" t="n">
        <x:f>IF(AND(A51&gt;=Premissas!$B$48,A51&lt;=Premissas!$B$27,A51-Premissas!$B$48+1&lt;=Premissas!$B$13),INDEX(Financiamento!$J$6:$J$485,A51-Premissas!$B$48+1),0)</x:f>
        <x:v>1886.4942287499623</x:v>
      </x:c>
      <x:c r="H51" s="141" t="n">
        <x:f>IF(AND(A51&gt;=Premissas!$B$48,A51&lt;=Premissas!$B$27,A51-Premissas!$B$48+1&lt;=Premissas!$B$13),INDEX(Financiamento!$M$6:$M$485,A51-Premissas!$B$48+1),0)</x:f>
        <x:v>142476.19047619074</x:v>
      </x:c>
      <x:c r="I51" s="141" t="n">
        <x:f>IF(A51=Premissas!$B$27,MIN(D51,H51),0)</x:f>
        <x:v>0</x:v>
      </x:c>
      <x:c r="J51" s="141" t="n">
        <x:f>IF(A51=Premissas!$B$27,D51-H51,0)</x:f>
        <x:v>0</x:v>
      </x:c>
      <x:c r="K51" s="141" t="n">
        <x:f>E51+G51</x:f>
        <x:v>2565.9281910141144</x:v>
      </x:c>
      <x:c r="L51" s="141" t="n">
        <x:f>SUM($K$6:K51)</x:f>
        <x:v>119107.99084508681</x:v>
      </x:c>
      <x:c r="M51" s="141" t="str">
        <x:f>IF(A51&lt;Premissas!$B$27,"Financiamento + consorcio",IF(A51=Premissas!$B$27,"Quitacao via carta",IF(A51&lt;=Premissas!$B$25,"Somente consorcio","Encerrado")))</x:f>
        <x:v>Financiamento + consorcio</x:v>
      </x:c>
      <x:c r="N51" s="141" t="n">
        <x:f>IF(A51&gt;=Premissas!$B$25,0,(N52+E52)/(1+Premissas!$B$41))</x:f>
        <x:v>88572.66700211063</x:v>
      </x:c>
      <x:c r="O51" s="141" t="n">
        <x:f>IF(A51&lt;Premissas!$B$27,Premissas!$B$31/(1+Premissas!$B$41)^(Premissas!$B$27-A51),0)</x:f>
        <x:v>120157.85490671478</x:v>
      </x:c>
      <x:c r="P51" s="141" t="n">
        <x:f>MAX(0,H51-I51)+N51</x:f>
        <x:v>231048.85747830136</x:v>
      </x:c>
    </x:row>
    <x:row r="52">
      <x:c r="A52" s="142" t="n">
        <x:v>47</x:v>
      </x:c>
      <x:c r="B52" s="179" t="n">
        <x:f>EDATE(Premissas!$B$4,46)</x:f>
        <x:v>47939</x:v>
      </x:c>
      <x:c r="C52" s="180" t="n">
        <x:f>(1+Premissas!$B$26)^INT((A52-1)/12)</x:f>
        <x:v>1.191016</x:v>
      </x:c>
      <x:c r="D52" s="141" t="n">
        <x:f>Premissas!$B$30*C52</x:f>
        <x:v>129380.053908356</x:v>
      </x:c>
      <x:c r="E52" s="141" t="n">
        <x:f>IF(A52&lt;=Premissas!$B$25,Premissas!$B$32*C52,0)</x:f>
        <x:v>679.4339622641521</x:v>
      </x:c>
      <x:c r="F52" s="141" t="n">
        <x:f>IF(AND(A52&gt;=Premissas!$B$48,A52&lt;=Premissas!$B$27,A52-Premissas!$B$48+1&lt;=Premissas!$B$13),INDEX(Financiamento!$C$6:$C$485,A52-Premissas!$B$48+1),0)</x:f>
        <x:v>142476.19047619074</x:v>
      </x:c>
      <x:c r="G52" s="141" t="n">
        <x:f>IF(AND(A52&gt;=Premissas!$B$48,A52&lt;=Premissas!$B$27,A52-Premissas!$B$48+1&lt;=Premissas!$B$13),INDEX(Financiamento!$J$6:$J$485,A52-Premissas!$B$48+1),0)</x:f>
        <x:v>1882.8794504891684</x:v>
      </x:c>
      <x:c r="H52" s="141" t="n">
        <x:f>IF(AND(A52&gt;=Premissas!$B$48,A52&lt;=Premissas!$B$27,A52-Premissas!$B$48+1&lt;=Premissas!$B$13),INDEX(Financiamento!$M$6:$M$485,A52-Premissas!$B$48+1),0)</x:f>
        <x:v>142095.23809523834</x:v>
      </x:c>
      <x:c r="I52" s="141" t="n">
        <x:f>IF(A52=Premissas!$B$27,MIN(D52,H52),0)</x:f>
        <x:v>0</x:v>
      </x:c>
      <x:c r="J52" s="141" t="n">
        <x:f>IF(A52=Premissas!$B$27,D52-H52,0)</x:f>
        <x:v>0</x:v>
      </x:c>
      <x:c r="K52" s="141" t="n">
        <x:f>E52+G52</x:f>
        <x:v>2562.3134127533203</x:v>
      </x:c>
      <x:c r="L52" s="141" t="n">
        <x:f>SUM($K$6:K52)</x:f>
        <x:v>121670.30425784014</x:v>
      </x:c>
      <x:c r="M52" s="141" t="str">
        <x:f>IF(A52&lt;Premissas!$B$27,"Financiamento + consorcio",IF(A52=Premissas!$B$27,"Quitacao via carta",IF(A52&lt;=Premissas!$B$25,"Somente consorcio","Encerrado")))</x:f>
        <x:v>Financiamento + consorcio</x:v>
      </x:c>
      <x:c r="N52" s="141" t="n">
        <x:f>IF(A52&gt;=Premissas!$B$25,0,(N53+E53)/(1+Premissas!$B$41))</x:f>
        <x:v>88733.68073669328</x:v>
      </x:c>
      <x:c r="O52" s="141" t="n">
        <x:f>IF(A52&lt;Premissas!$B$27,Premissas!$B$31/(1+Premissas!$B$41)^(Premissas!$B$27-A52),0)</x:f>
        <x:v>121298.00791138827</x:v>
      </x:c>
      <x:c r="P52" s="141" t="n">
        <x:f>MAX(0,H52-I52)+N52</x:f>
        <x:v>230828.9188319316</x:v>
      </x:c>
    </x:row>
    <x:row r="53">
      <x:c r="A53" s="142" t="n">
        <x:v>48</x:v>
      </x:c>
      <x:c r="B53" s="179" t="n">
        <x:f>EDATE(Premissas!$B$4,47)</x:f>
        <x:v>47969</x:v>
      </x:c>
      <x:c r="C53" s="180" t="n">
        <x:f>(1+Premissas!$B$26)^INT((A53-1)/12)</x:f>
        <x:v>1.191016</x:v>
      </x:c>
      <x:c r="D53" s="141" t="n">
        <x:f>Premissas!$B$30*C53</x:f>
        <x:v>129380.053908356</x:v>
      </x:c>
      <x:c r="E53" s="141" t="n">
        <x:f>IF(A53&lt;=Premissas!$B$25,Premissas!$B$32*C53,0)</x:f>
        <x:v>679.4339622641521</x:v>
      </x:c>
      <x:c r="F53" s="141" t="n">
        <x:f>IF(AND(A53&gt;=Premissas!$B$48,A53&lt;=Premissas!$B$27,A53-Premissas!$B$48+1&lt;=Premissas!$B$13),INDEX(Financiamento!$C$6:$C$485,A53-Premissas!$B$48+1),0)</x:f>
        <x:v>142095.23809523834</x:v>
      </x:c>
      <x:c r="G53" s="141" t="n">
        <x:f>IF(AND(A53&gt;=Premissas!$B$48,A53&lt;=Premissas!$B$27,A53-Premissas!$B$48+1&lt;=Premissas!$B$13),INDEX(Financiamento!$J$6:$J$485,A53-Premissas!$B$48+1),0)</x:f>
        <x:v>1879.2646722283748</x:v>
      </x:c>
      <x:c r="H53" s="141" t="n">
        <x:f>IF(AND(A53&gt;=Premissas!$B$48,A53&lt;=Premissas!$B$27,A53-Premissas!$B$48+1&lt;=Premissas!$B$13),INDEX(Financiamento!$M$6:$M$485,A53-Premissas!$B$48+1),0)</x:f>
        <x:v>141714.28571428597</x:v>
      </x:c>
      <x:c r="I53" s="141" t="n">
        <x:f>IF(A53=Premissas!$B$27,MIN(D53,H53),0)</x:f>
        <x:v>0</x:v>
      </x:c>
      <x:c r="J53" s="141" t="n">
        <x:f>IF(A53=Premissas!$B$27,D53-H53,0)</x:f>
        <x:v>0</x:v>
      </x:c>
      <x:c r="K53" s="141" t="n">
        <x:f>E53+G53</x:f>
        <x:v>2558.698634492527</x:v>
      </x:c>
      <x:c r="L53" s="141" t="n">
        <x:f>SUM($K$6:K53)</x:f>
        <x:v>124229.00289233266</x:v>
      </x:c>
      <x:c r="M53" s="141" t="str">
        <x:f>IF(A53&lt;Premissas!$B$27,"Financiamento + consorcio",IF(A53=Premissas!$B$27,"Quitacao via carta",IF(A53&lt;=Premissas!$B$25,"Somente consorcio","Encerrado")))</x:f>
        <x:v>Financiamento + consorcio</x:v>
      </x:c>
      <x:c r="N53" s="141" t="n">
        <x:f>IF(A53&gt;=Premissas!$B$25,0,(N54+E54)/(1+Premissas!$B$41))</x:f>
        <x:v>88896.222297263</x:v>
      </x:c>
      <x:c r="O53" s="141" t="n">
        <x:f>IF(A53&lt;Premissas!$B$27,Premissas!$B$31/(1+Premissas!$B$41)^(Premissas!$B$27-A53),0)</x:f>
        <x:v>122448.97959183685</x:v>
      </x:c>
      <x:c r="P53" s="141" t="n">
        <x:f>MAX(0,H53-I53)+N53</x:f>
        <x:v>230610.50801154895</x:v>
      </x:c>
    </x:row>
    <x:row r="54">
      <x:c r="A54" s="142" t="n">
        <x:v>49</x:v>
      </x:c>
      <x:c r="B54" s="179" t="n">
        <x:f>EDATE(Premissas!$B$4,48)</x:f>
        <x:v>48000</x:v>
      </x:c>
      <x:c r="C54" s="180" t="n">
        <x:f>(1+Premissas!$B$26)^INT((A54-1)/12)</x:f>
        <x:v>1.2624769600000003</x:v>
      </x:c>
      <x:c r="D54" s="141" t="n">
        <x:f>Premissas!$B$30*C54</x:f>
        <x:v>137142.8571428574</x:v>
      </x:c>
      <x:c r="E54" s="141" t="n">
        <x:f>IF(A54&lt;=Premissas!$B$25,Premissas!$B$32*C54,0)</x:f>
        <x:v>720.2000000000014</x:v>
      </x:c>
      <x:c r="F54" s="141" t="n">
        <x:f>IF(AND(A54&gt;=Premissas!$B$48,A54&lt;=Premissas!$B$27,A54-Premissas!$B$48+1&lt;=Premissas!$B$13),INDEX(Financiamento!$C$6:$C$485,A54-Premissas!$B$48+1),0)</x:f>
        <x:v>141714.28571428597</x:v>
      </x:c>
      <x:c r="G54" s="141" t="n">
        <x:f>IF(AND(A54&gt;=Premissas!$B$48,A54&lt;=Premissas!$B$27,A54-Premissas!$B$48+1&lt;=Premissas!$B$13),INDEX(Financiamento!$J$6:$J$485,A54-Premissas!$B$48+1),0)</x:f>
        <x:v>1875.6498939675814</x:v>
      </x:c>
      <x:c r="H54" s="141" t="n">
        <x:f>IF(AND(A54&gt;=Premissas!$B$48,A54&lt;=Premissas!$B$27,A54-Premissas!$B$48+1&lt;=Premissas!$B$13),INDEX(Financiamento!$M$6:$M$485,A54-Premissas!$B$48+1),0)</x:f>
        <x:v>141333.3333333336</x:v>
      </x:c>
      <x:c r="I54" s="141" t="n">
        <x:f>IF(A54=Premissas!$B$27,MIN(D54,H54),0)</x:f>
        <x:v>0</x:v>
      </x:c>
      <x:c r="J54" s="141" t="n">
        <x:f>IF(A54=Premissas!$B$27,D54-H54,0)</x:f>
        <x:v>0</x:v>
      </x:c>
      <x:c r="K54" s="141" t="n">
        <x:f>E54+G54</x:f>
        <x:v>2595.849893967583</x:v>
      </x:c>
      <x:c r="L54" s="141" t="n">
        <x:f>SUM($K$6:K54)</x:f>
        <x:v>126824.85278630024</x:v>
      </x:c>
      <x:c r="M54" s="141" t="str">
        <x:f>IF(A54&lt;Premissas!$B$27,"Financiamento + consorcio",IF(A54=Premissas!$B$27,"Quitacao via carta",IF(A54&lt;=Premissas!$B$25,"Somente consorcio","Encerrado")))</x:f>
        <x:v>Financiamento + consorcio</x:v>
      </x:c>
      <x:c r="N54" s="141" t="n">
        <x:f>IF(A54&gt;=Premissas!$B$25,0,(N55+E55)/(1+Premissas!$B$41))</x:f>
        <x:v>89019.54014330839</x:v>
      </x:c>
      <x:c r="O54" s="141" t="n">
        <x:f>IF(A54&lt;Premissas!$B$27,Premissas!$B$31/(1+Premissas!$B$41)^(Premissas!$B$27-A54),0)</x:f>
        <x:v>123610.87260423477</x:v>
      </x:c>
      <x:c r="P54" s="141" t="n">
        <x:f>MAX(0,H54-I54)+N54</x:f>
        <x:v>230352.873476642</x:v>
      </x:c>
    </x:row>
    <x:row r="55">
      <x:c r="A55" s="142" t="n">
        <x:v>50</x:v>
      </x:c>
      <x:c r="B55" s="179" t="n">
        <x:f>EDATE(Premissas!$B$4,49)</x:f>
        <x:v>48030</x:v>
      </x:c>
      <x:c r="C55" s="180" t="n">
        <x:f>(1+Premissas!$B$26)^INT((A55-1)/12)</x:f>
        <x:v>1.2624769600000003</x:v>
      </x:c>
      <x:c r="D55" s="141" t="n">
        <x:f>Premissas!$B$30*C55</x:f>
        <x:v>137142.8571428574</x:v>
      </x:c>
      <x:c r="E55" s="141" t="n">
        <x:f>IF(A55&lt;=Premissas!$B$25,Premissas!$B$32*C55,0)</x:f>
        <x:v>720.2000000000014</x:v>
      </x:c>
      <x:c r="F55" s="141" t="n">
        <x:f>IF(AND(A55&gt;=Premissas!$B$48,A55&lt;=Premissas!$B$27,A55-Premissas!$B$48+1&lt;=Premissas!$B$13),INDEX(Financiamento!$C$6:$C$485,A55-Premissas!$B$48+1),0)</x:f>
        <x:v>141333.3333333336</x:v>
      </x:c>
      <x:c r="G55" s="141" t="n">
        <x:f>IF(AND(A55&gt;=Premissas!$B$48,A55&lt;=Premissas!$B$27,A55-Premissas!$B$48+1&lt;=Premissas!$B$13),INDEX(Financiamento!$J$6:$J$485,A55-Premissas!$B$48+1),0)</x:f>
        <x:v>1872.035115706788</x:v>
      </x:c>
      <x:c r="H55" s="141" t="n">
        <x:f>IF(AND(A55&gt;=Premissas!$B$48,A55&lt;=Premissas!$B$27,A55-Premissas!$B$48+1&lt;=Premissas!$B$13),INDEX(Financiamento!$M$6:$M$485,A55-Premissas!$B$48+1),0)</x:f>
        <x:v>140952.3809523812</x:v>
      </x:c>
      <x:c r="I55" s="141" t="n">
        <x:f>IF(A55=Premissas!$B$27,MIN(D55,H55),0)</x:f>
        <x:v>0</x:v>
      </x:c>
      <x:c r="J55" s="141" t="n">
        <x:f>IF(A55=Premissas!$B$27,D55-H55,0)</x:f>
        <x:v>0</x:v>
      </x:c>
      <x:c r="K55" s="141" t="n">
        <x:f>E55+G55</x:f>
        <x:v>2592.2351157067897</x:v>
      </x:c>
      <x:c r="L55" s="141" t="n">
        <x:f>SUM($K$6:K55)</x:f>
        <x:v>129417.08790200703</x:v>
      </x:c>
      <x:c r="M55" s="141" t="str">
        <x:f>IF(A55&lt;Premissas!$B$27,"Financiamento + consorcio",IF(A55=Premissas!$B$27,"Quitacao via carta",IF(A55&lt;=Premissas!$B$25,"Somente consorcio","Encerrado")))</x:f>
        <x:v>Financiamento + consorcio</x:v>
      </x:c>
      <x:c r="N55" s="141" t="n">
        <x:f>IF(A55&gt;=Premissas!$B$25,0,(N56+E56)/(1+Premissas!$B$41))</x:f>
        <x:v>89144.02812686005</x:v>
      </x:c>
      <x:c r="O55" s="141" t="n">
        <x:f>IF(A55&lt;Premissas!$B$27,Premissas!$B$31/(1+Premissas!$B$41)^(Premissas!$B$27-A55),0)</x:f>
        <x:v>124783.79057883949</x:v>
      </x:c>
      <x:c r="P55" s="141" t="n">
        <x:f>MAX(0,H55-I55)+N55</x:f>
        <x:v>230096.40907924128</x:v>
      </x:c>
    </x:row>
    <x:row r="56">
      <x:c r="A56" s="142" t="n">
        <x:v>51</x:v>
      </x:c>
      <x:c r="B56" s="179" t="n">
        <x:f>EDATE(Premissas!$B$4,50)</x:f>
        <x:v>48061</x:v>
      </x:c>
      <x:c r="C56" s="180" t="n">
        <x:f>(1+Premissas!$B$26)^INT((A56-1)/12)</x:f>
        <x:v>1.2624769600000003</x:v>
      </x:c>
      <x:c r="D56" s="141" t="n">
        <x:f>Premissas!$B$30*C56</x:f>
        <x:v>137142.8571428574</x:v>
      </x:c>
      <x:c r="E56" s="141" t="n">
        <x:f>IF(A56&lt;=Premissas!$B$25,Premissas!$B$32*C56,0)</x:f>
        <x:v>720.2000000000014</x:v>
      </x:c>
      <x:c r="F56" s="141" t="n">
        <x:f>IF(AND(A56&gt;=Premissas!$B$48,A56&lt;=Premissas!$B$27,A56-Premissas!$B$48+1&lt;=Premissas!$B$13),INDEX(Financiamento!$C$6:$C$485,A56-Premissas!$B$48+1),0)</x:f>
        <x:v>140952.3809523812</x:v>
      </x:c>
      <x:c r="G56" s="141" t="n">
        <x:f>IF(AND(A56&gt;=Premissas!$B$48,A56&lt;=Premissas!$B$27,A56-Premissas!$B$48+1&lt;=Premissas!$B$13),INDEX(Financiamento!$J$6:$J$485,A56-Premissas!$B$48+1),0)</x:f>
        <x:v>1868.4203374459944</x:v>
      </x:c>
      <x:c r="H56" s="141" t="n">
        <x:f>IF(AND(A56&gt;=Premissas!$B$48,A56&lt;=Premissas!$B$27,A56-Premissas!$B$48+1&lt;=Premissas!$B$13),INDEX(Financiamento!$M$6:$M$485,A56-Premissas!$B$48+1),0)</x:f>
        <x:v>140571.4285714288</x:v>
      </x:c>
      <x:c r="I56" s="141" t="n">
        <x:f>IF(A56=Premissas!$B$27,MIN(D56,H56),0)</x:f>
        <x:v>0</x:v>
      </x:c>
      <x:c r="J56" s="141" t="n">
        <x:f>IF(A56=Premissas!$B$27,D56-H56,0)</x:f>
        <x:v>0</x:v>
      </x:c>
      <x:c r="K56" s="141" t="n">
        <x:f>E56+G56</x:f>
        <x:v>2588.6203374459956</x:v>
      </x:c>
      <x:c r="L56" s="141" t="n">
        <x:f>SUM($K$6:K56)</x:f>
        <x:v>132005.70823945303</x:v>
      </x:c>
      <x:c r="M56" s="141" t="str">
        <x:f>IF(A56&lt;Premissas!$B$27,"Financiamento + consorcio",IF(A56=Premissas!$B$27,"Quitacao via carta",IF(A56&lt;=Premissas!$B$25,"Somente consorcio","Encerrado")))</x:f>
        <x:v>Financiamento + consorcio</x:v>
      </x:c>
      <x:c r="N56" s="141" t="n">
        <x:f>IF(A56&gt;=Premissas!$B$25,0,(N57+E57)/(1+Premissas!$B$41))</x:f>
        <x:v>89269.69735111047</x:v>
      </x:c>
      <x:c r="O56" s="141" t="n">
        <x:f>IF(A56&lt;Premissas!$B$27,Premissas!$B$31/(1+Premissas!$B$41)^(Premissas!$B$27-A56),0)</x:f>
        <x:v>125967.83812923447</x:v>
      </x:c>
      <x:c r="P56" s="141" t="n">
        <x:f>MAX(0,H56-I56)+N56</x:f>
        <x:v>229841.12592253927</x:v>
      </x:c>
    </x:row>
    <x:row r="57">
      <x:c r="A57" s="142" t="n">
        <x:v>52</x:v>
      </x:c>
      <x:c r="B57" s="179" t="n">
        <x:f>EDATE(Premissas!$B$4,51)</x:f>
        <x:v>48092</x:v>
      </x:c>
      <x:c r="C57" s="180" t="n">
        <x:f>(1+Premissas!$B$26)^INT((A57-1)/12)</x:f>
        <x:v>1.2624769600000003</x:v>
      </x:c>
      <x:c r="D57" s="141" t="n">
        <x:f>Premissas!$B$30*C57</x:f>
        <x:v>137142.8571428574</x:v>
      </x:c>
      <x:c r="E57" s="141" t="n">
        <x:f>IF(A57&lt;=Premissas!$B$25,Premissas!$B$32*C57,0)</x:f>
        <x:v>720.2000000000014</x:v>
      </x:c>
      <x:c r="F57" s="141" t="n">
        <x:f>IF(AND(A57&gt;=Premissas!$B$48,A57&lt;=Premissas!$B$27,A57-Premissas!$B$48+1&lt;=Premissas!$B$13),INDEX(Financiamento!$C$6:$C$485,A57-Premissas!$B$48+1),0)</x:f>
        <x:v>140571.4285714288</x:v>
      </x:c>
      <x:c r="G57" s="141" t="n">
        <x:f>IF(AND(A57&gt;=Premissas!$B$48,A57&lt;=Premissas!$B$27,A57-Premissas!$B$48+1&lt;=Premissas!$B$13),INDEX(Financiamento!$J$6:$J$485,A57-Premissas!$B$48+1),0)</x:f>
        <x:v>1864.8055591852005</x:v>
      </x:c>
      <x:c r="H57" s="141" t="n">
        <x:f>IF(AND(A57&gt;=Premissas!$B$48,A57&lt;=Premissas!$B$27,A57-Premissas!$B$48+1&lt;=Premissas!$B$13),INDEX(Financiamento!$M$6:$M$485,A57-Premissas!$B$48+1),0)</x:f>
        <x:v>140190.47619047645</x:v>
      </x:c>
      <x:c r="I57" s="141" t="n">
        <x:f>IF(A57=Premissas!$B$27,MIN(D57,H57),0)</x:f>
        <x:v>0</x:v>
      </x:c>
      <x:c r="J57" s="141" t="n">
        <x:f>IF(A57=Premissas!$B$27,D57-H57,0)</x:f>
        <x:v>0</x:v>
      </x:c>
      <x:c r="K57" s="141" t="n">
        <x:f>E57+G57</x:f>
        <x:v>2585.005559185202</x:v>
      </x:c>
      <x:c r="L57" s="141" t="n">
        <x:f>SUM($K$6:K57)</x:f>
        <x:v>134590.71379863823</x:v>
      </x:c>
      <x:c r="M57" s="141" t="str">
        <x:f>IF(A57&lt;Premissas!$B$27,"Financiamento + consorcio",IF(A57=Premissas!$B$27,"Quitacao via carta",IF(A57&lt;=Premissas!$B$25,"Somente consorcio","Encerrado")))</x:f>
        <x:v>Financiamento + consorcio</x:v>
      </x:c>
      <x:c r="N57" s="141" t="n">
        <x:f>IF(A57&gt;=Premissas!$B$25,0,(N58+E58)/(1+Premissas!$B$41))</x:f>
        <x:v>89396.55902460805</x:v>
      </x:c>
      <x:c r="O57" s="141" t="n">
        <x:f>IF(A57&lt;Premissas!$B$27,Premissas!$B$31/(1+Premissas!$B$41)^(Premissas!$B$27-A57),0)</x:f>
        <x:v>127163.12086165985</x:v>
      </x:c>
      <x:c r="P57" s="141" t="n">
        <x:f>MAX(0,H57-I57)+N57</x:f>
        <x:v>229587.0352150845</x:v>
      </x:c>
    </x:row>
    <x:row r="58">
      <x:c r="A58" s="142" t="n">
        <x:v>53</x:v>
      </x:c>
      <x:c r="B58" s="179" t="n">
        <x:f>EDATE(Premissas!$B$4,52)</x:f>
        <x:v>48122</x:v>
      </x:c>
      <x:c r="C58" s="180" t="n">
        <x:f>(1+Premissas!$B$26)^INT((A58-1)/12)</x:f>
        <x:v>1.2624769600000003</x:v>
      </x:c>
      <x:c r="D58" s="141" t="n">
        <x:f>Premissas!$B$30*C58</x:f>
        <x:v>137142.8571428574</x:v>
      </x:c>
      <x:c r="E58" s="141" t="n">
        <x:f>IF(A58&lt;=Premissas!$B$25,Premissas!$B$32*C58,0)</x:f>
        <x:v>720.2000000000014</x:v>
      </x:c>
      <x:c r="F58" s="141" t="n">
        <x:f>IF(AND(A58&gt;=Premissas!$B$48,A58&lt;=Premissas!$B$27,A58-Premissas!$B$48+1&lt;=Premissas!$B$13),INDEX(Financiamento!$C$6:$C$485,A58-Premissas!$B$48+1),0)</x:f>
        <x:v>140190.47619047645</x:v>
      </x:c>
      <x:c r="G58" s="141" t="n">
        <x:f>IF(AND(A58&gt;=Premissas!$B$48,A58&lt;=Premissas!$B$27,A58-Premissas!$B$48+1&lt;=Premissas!$B$13),INDEX(Financiamento!$J$6:$J$485,A58-Premissas!$B$48+1),0)</x:f>
        <x:v>1861.1907809244071</x:v>
      </x:c>
      <x:c r="H58" s="141" t="n">
        <x:f>IF(AND(A58&gt;=Premissas!$B$48,A58&lt;=Premissas!$B$27,A58-Premissas!$B$48+1&lt;=Premissas!$B$13),INDEX(Financiamento!$M$6:$M$485,A58-Premissas!$B$48+1),0)</x:f>
        <x:v>139809.52380952408</x:v>
      </x:c>
      <x:c r="I58" s="141" t="n">
        <x:f>IF(A58=Premissas!$B$27,MIN(D58,H58),0)</x:f>
        <x:v>0</x:v>
      </x:c>
      <x:c r="J58" s="141" t="n">
        <x:f>IF(A58=Premissas!$B$27,D58-H58,0)</x:f>
        <x:v>0</x:v>
      </x:c>
      <x:c r="K58" s="141" t="n">
        <x:f>E58+G58</x:f>
        <x:v>2581.3907809244083</x:v>
      </x:c>
      <x:c r="L58" s="141" t="n">
        <x:f>SUM($K$6:K58)</x:f>
        <x:v>137172.10457956264</x:v>
      </x:c>
      <x:c r="M58" s="141" t="str">
        <x:f>IF(A58&lt;Premissas!$B$27,"Financiamento + consorcio",IF(A58=Premissas!$B$27,"Quitacao via carta",IF(A58&lt;=Premissas!$B$25,"Somente consorcio","Encerrado")))</x:f>
        <x:v>Financiamento + consorcio</x:v>
      </x:c>
      <x:c r="N58" s="141" t="n">
        <x:f>IF(A58&gt;=Premissas!$B$25,0,(N59+E59)/(1+Premissas!$B$41))</x:f>
        <x:v>89524.62446225679</x:v>
      </x:c>
      <x:c r="O58" s="141" t="n">
        <x:f>IF(A58&lt;Premissas!$B$27,Premissas!$B$31/(1+Premissas!$B$41)^(Premissas!$B$27-A58),0)</x:f>
        <x:v>128369.7453844315</x:v>
      </x:c>
      <x:c r="P58" s="141" t="n">
        <x:f>MAX(0,H58-I58)+N58</x:f>
        <x:v>229334.14827178087</x:v>
      </x:c>
    </x:row>
    <x:row r="59">
      <x:c r="A59" s="142" t="n">
        <x:v>54</x:v>
      </x:c>
      <x:c r="B59" s="179" t="n">
        <x:f>EDATE(Premissas!$B$4,53)</x:f>
        <x:v>48153</x:v>
      </x:c>
      <x:c r="C59" s="180" t="n">
        <x:f>(1+Premissas!$B$26)^INT((A59-1)/12)</x:f>
        <x:v>1.2624769600000003</x:v>
      </x:c>
      <x:c r="D59" s="141" t="n">
        <x:f>Premissas!$B$30*C59</x:f>
        <x:v>137142.8571428574</x:v>
      </x:c>
      <x:c r="E59" s="141" t="n">
        <x:f>IF(A59&lt;=Premissas!$B$25,Premissas!$B$32*C59,0)</x:f>
        <x:v>720.2000000000014</x:v>
      </x:c>
      <x:c r="F59" s="141" t="n">
        <x:f>IF(AND(A59&gt;=Premissas!$B$48,A59&lt;=Premissas!$B$27,A59-Premissas!$B$48+1&lt;=Premissas!$B$13),INDEX(Financiamento!$C$6:$C$485,A59-Premissas!$B$48+1),0)</x:f>
        <x:v>139809.52380952408</x:v>
      </x:c>
      <x:c r="G59" s="141" t="n">
        <x:f>IF(AND(A59&gt;=Premissas!$B$48,A59&lt;=Premissas!$B$27,A59-Premissas!$B$48+1&lt;=Premissas!$B$13),INDEX(Financiamento!$J$6:$J$485,A59-Premissas!$B$48+1),0)</x:f>
        <x:v>1857.5760026636137</x:v>
      </x:c>
      <x:c r="H59" s="141" t="n">
        <x:f>IF(AND(A59&gt;=Premissas!$B$48,A59&lt;=Premissas!$B$27,A59-Premissas!$B$48+1&lt;=Premissas!$B$13),INDEX(Financiamento!$M$6:$M$485,A59-Premissas!$B$48+1),0)</x:f>
        <x:v>139428.57142857168</x:v>
      </x:c>
      <x:c r="I59" s="141" t="n">
        <x:f>IF(A59=Premissas!$B$27,MIN(D59,H59),0)</x:f>
        <x:v>0</x:v>
      </x:c>
      <x:c r="J59" s="141" t="n">
        <x:f>IF(A59=Premissas!$B$27,D59-H59,0)</x:f>
        <x:v>0</x:v>
      </x:c>
      <x:c r="K59" s="141" t="n">
        <x:f>E59+G59</x:f>
        <x:v>2577.776002663615</x:v>
      </x:c>
      <x:c r="L59" s="141" t="n">
        <x:f>SUM($K$6:K59)</x:f>
        <x:v>139749.88058222627</x:v>
      </x:c>
      <x:c r="M59" s="141" t="str">
        <x:f>IF(A59&lt;Premissas!$B$27,"Financiamento + consorcio",IF(A59=Premissas!$B$27,"Quitacao via carta",IF(A59&lt;=Premissas!$B$25,"Somente consorcio","Encerrado")))</x:f>
        <x:v>Financiamento + consorcio</x:v>
      </x:c>
      <x:c r="N59" s="141" t="n">
        <x:f>IF(A59&gt;=Premissas!$B$25,0,(N60+E60)/(1+Premissas!$B$41))</x:f>
        <x:v>89653.90508632545</x:v>
      </x:c>
      <x:c r="O59" s="141" t="n">
        <x:f>IF(A59&lt;Premissas!$B$27,Premissas!$B$31/(1+Premissas!$B$41)^(Premissas!$B$27-A59),0)</x:f>
        <x:v>129587.81931744951</x:v>
      </x:c>
      <x:c r="P59" s="141" t="n">
        <x:f>MAX(0,H59-I59)+N59</x:f>
        <x:v>229082.47651489713</x:v>
      </x:c>
    </x:row>
    <x:row r="60">
      <x:c r="A60" s="142" t="n">
        <x:v>55</x:v>
      </x:c>
      <x:c r="B60" s="179" t="n">
        <x:f>EDATE(Premissas!$B$4,54)</x:f>
        <x:v>48183</x:v>
      </x:c>
      <x:c r="C60" s="180" t="n">
        <x:f>(1+Premissas!$B$26)^INT((A60-1)/12)</x:f>
        <x:v>1.2624769600000003</x:v>
      </x:c>
      <x:c r="D60" s="141" t="n">
        <x:f>Premissas!$B$30*C60</x:f>
        <x:v>137142.8571428574</x:v>
      </x:c>
      <x:c r="E60" s="141" t="n">
        <x:f>IF(A60&lt;=Premissas!$B$25,Premissas!$B$32*C60,0)</x:f>
        <x:v>720.2000000000014</x:v>
      </x:c>
      <x:c r="F60" s="141" t="n">
        <x:f>IF(AND(A60&gt;=Premissas!$B$48,A60&lt;=Premissas!$B$27,A60-Premissas!$B$48+1&lt;=Premissas!$B$13),INDEX(Financiamento!$C$6:$C$485,A60-Premissas!$B$48+1),0)</x:f>
        <x:v>139428.57142857168</x:v>
      </x:c>
      <x:c r="G60" s="141" t="n">
        <x:f>IF(AND(A60&gt;=Premissas!$B$48,A60&lt;=Premissas!$B$27,A60-Premissas!$B$48+1&lt;=Premissas!$B$13),INDEX(Financiamento!$J$6:$J$485,A60-Premissas!$B$48+1),0)</x:f>
        <x:v>1853.96122440282</x:v>
      </x:c>
      <x:c r="H60" s="141" t="n">
        <x:f>IF(AND(A60&gt;=Premissas!$B$48,A60&lt;=Premissas!$B$27,A60-Premissas!$B$48+1&lt;=Premissas!$B$13),INDEX(Financiamento!$M$6:$M$485,A60-Premissas!$B$48+1),0)</x:f>
        <x:v>139047.6190476193</x:v>
      </x:c>
      <x:c r="I60" s="141" t="n">
        <x:f>IF(A60=Premissas!$B$27,MIN(D60,H60),0)</x:f>
        <x:v>0</x:v>
      </x:c>
      <x:c r="J60" s="141" t="n">
        <x:f>IF(A60=Premissas!$B$27,D60-H60,0)</x:f>
        <x:v>0</x:v>
      </x:c>
      <x:c r="K60" s="141" t="n">
        <x:f>E60+G60</x:f>
        <x:v>2574.1612244028215</x:v>
      </x:c>
      <x:c r="L60" s="141" t="n">
        <x:f>SUM($K$6:K60)</x:f>
        <x:v>142324.04180662907</x:v>
      </x:c>
      <x:c r="M60" s="141" t="str">
        <x:f>IF(A60&lt;Premissas!$B$27,"Financiamento + consorcio",IF(A60=Premissas!$B$27,"Quitacao via carta",IF(A60&lt;=Premissas!$B$25,"Somente consorcio","Encerrado")))</x:f>
        <x:v>Financiamento + consorcio</x:v>
      </x:c>
      <x:c r="N60" s="141" t="n">
        <x:f>IF(A60&gt;=Premissas!$B$25,0,(N61+E61)/(1+Premissas!$B$41))</x:f>
        <x:v>89784.41242746636</x:v>
      </x:c>
      <x:c r="O60" s="141" t="n">
        <x:f>IF(A60&lt;Premissas!$B$27,Premissas!$B$31/(1+Premissas!$B$41)^(Premissas!$B$27-A60),0)</x:f>
        <x:v>130817.45130179697</x:v>
      </x:c>
      <x:c r="P60" s="141" t="n">
        <x:f>MAX(0,H60-I60)+N60</x:f>
        <x:v>228832.03147508565</x:v>
      </x:c>
    </x:row>
    <x:row r="61">
      <x:c r="A61" s="142" t="n">
        <x:v>56</x:v>
      </x:c>
      <x:c r="B61" s="179" t="n">
        <x:f>EDATE(Premissas!$B$4,55)</x:f>
        <x:v>48214</x:v>
      </x:c>
      <x:c r="C61" s="180" t="n">
        <x:f>(1+Premissas!$B$26)^INT((A61-1)/12)</x:f>
        <x:v>1.2624769600000003</x:v>
      </x:c>
      <x:c r="D61" s="141" t="n">
        <x:f>Premissas!$B$30*C61</x:f>
        <x:v>137142.8571428574</x:v>
      </x:c>
      <x:c r="E61" s="141" t="n">
        <x:f>IF(A61&lt;=Premissas!$B$25,Premissas!$B$32*C61,0)</x:f>
        <x:v>720.2000000000014</x:v>
      </x:c>
      <x:c r="F61" s="141" t="n">
        <x:f>IF(AND(A61&gt;=Premissas!$B$48,A61&lt;=Premissas!$B$27,A61-Premissas!$B$48+1&lt;=Premissas!$B$13),INDEX(Financiamento!$C$6:$C$485,A61-Premissas!$B$48+1),0)</x:f>
        <x:v>139047.6190476193</x:v>
      </x:c>
      <x:c r="G61" s="141" t="n">
        <x:f>IF(AND(A61&gt;=Premissas!$B$48,A61&lt;=Premissas!$B$27,A61-Premissas!$B$48+1&lt;=Premissas!$B$13),INDEX(Financiamento!$J$6:$J$485,A61-Premissas!$B$48+1),0)</x:f>
        <x:v>1850.3464461420265</x:v>
      </x:c>
      <x:c r="H61" s="141" t="n">
        <x:f>IF(AND(A61&gt;=Premissas!$B$48,A61&lt;=Premissas!$B$27,A61-Premissas!$B$48+1&lt;=Premissas!$B$13),INDEX(Financiamento!$M$6:$M$485,A61-Premissas!$B$48+1),0)</x:f>
        <x:v>138666.66666666692</x:v>
      </x:c>
      <x:c r="I61" s="141" t="n">
        <x:f>IF(A61=Premissas!$B$27,MIN(D61,H61),0)</x:f>
        <x:v>0</x:v>
      </x:c>
      <x:c r="J61" s="141" t="n">
        <x:f>IF(A61=Premissas!$B$27,D61-H61,0)</x:f>
        <x:v>0</x:v>
      </x:c>
      <x:c r="K61" s="141" t="n">
        <x:f>E61+G61</x:f>
        <x:v>2570.546446142028</x:v>
      </x:c>
      <x:c r="L61" s="141" t="n">
        <x:f>SUM($K$6:K61)</x:f>
        <x:v>144894.5882527711</x:v>
      </x:c>
      <x:c r="M61" s="141" t="str">
        <x:f>IF(A61&lt;Premissas!$B$27,"Financiamento + consorcio",IF(A61=Premissas!$B$27,"Quitacao via carta",IF(A61&lt;=Premissas!$B$25,"Somente consorcio","Encerrado")))</x:f>
        <x:v>Financiamento + consorcio</x:v>
      </x:c>
      <x:c r="N61" s="141" t="n">
        <x:f>IF(A61&gt;=Premissas!$B$25,0,(N62+E62)/(1+Premissas!$B$41))</x:f>
        <x:v>89916.1581257438</x:v>
      </x:c>
      <x:c r="O61" s="141" t="n">
        <x:f>IF(A61&lt;Premissas!$B$27,Premissas!$B$31/(1+Premissas!$B$41)^(Premissas!$B$27-A61),0)</x:f>
        <x:v>132058.75100942963</x:v>
      </x:c>
      <x:c r="P61" s="141" t="n">
        <x:f>MAX(0,H61-I61)+N61</x:f>
        <x:v>228582.8247924107</x:v>
      </x:c>
    </x:row>
    <x:row r="62">
      <x:c r="A62" s="142" t="n">
        <x:v>57</x:v>
      </x:c>
      <x:c r="B62" s="179" t="n">
        <x:f>EDATE(Premissas!$B$4,56)</x:f>
        <x:v>48245</x:v>
      </x:c>
      <x:c r="C62" s="180" t="n">
        <x:f>(1+Premissas!$B$26)^INT((A62-1)/12)</x:f>
        <x:v>1.2624769600000003</x:v>
      </x:c>
      <x:c r="D62" s="141" t="n">
        <x:f>Premissas!$B$30*C62</x:f>
        <x:v>137142.8571428574</x:v>
      </x:c>
      <x:c r="E62" s="141" t="n">
        <x:f>IF(A62&lt;=Premissas!$B$25,Premissas!$B$32*C62,0)</x:f>
        <x:v>720.2000000000014</x:v>
      </x:c>
      <x:c r="F62" s="141" t="n">
        <x:f>IF(AND(A62&gt;=Premissas!$B$48,A62&lt;=Premissas!$B$27,A62-Premissas!$B$48+1&lt;=Premissas!$B$13),INDEX(Financiamento!$C$6:$C$485,A62-Premissas!$B$48+1),0)</x:f>
        <x:v>138666.66666666692</x:v>
      </x:c>
      <x:c r="G62" s="141" t="n">
        <x:f>IF(AND(A62&gt;=Premissas!$B$48,A62&lt;=Premissas!$B$27,A62-Premissas!$B$48+1&lt;=Premissas!$B$13),INDEX(Financiamento!$J$6:$J$485,A62-Premissas!$B$48+1),0)</x:f>
        <x:v>1846.731667881233</x:v>
      </x:c>
      <x:c r="H62" s="141" t="n">
        <x:f>IF(AND(A62&gt;=Premissas!$B$48,A62&lt;=Premissas!$B$27,A62-Premissas!$B$48+1&lt;=Premissas!$B$13),INDEX(Financiamento!$M$6:$M$485,A62-Premissas!$B$48+1),0)</x:f>
        <x:v>138285.71428571455</x:v>
      </x:c>
      <x:c r="I62" s="141" t="n">
        <x:f>IF(A62=Premissas!$B$27,MIN(D62,H62),0)</x:f>
        <x:v>0</x:v>
      </x:c>
      <x:c r="J62" s="141" t="n">
        <x:f>IF(A62=Premissas!$B$27,D62-H62,0)</x:f>
        <x:v>0</x:v>
      </x:c>
      <x:c r="K62" s="141" t="n">
        <x:f>E62+G62</x:f>
        <x:v>2566.9316678812347</x:v>
      </x:c>
      <x:c r="L62" s="141" t="n">
        <x:f>SUM($K$6:K62)</x:f>
        <x:v>147461.51992065232</x:v>
      </x:c>
      <x:c r="M62" s="141" t="str">
        <x:f>IF(A62&lt;Premissas!$B$27,"Financiamento + consorcio",IF(A62=Premissas!$B$27,"Quitacao via carta",IF(A62&lt;=Premissas!$B$25,"Somente consorcio","Encerrado")))</x:f>
        <x:v>Financiamento + consorcio</x:v>
      </x:c>
      <x:c r="N62" s="141" t="n">
        <x:f>IF(A62&gt;=Premissas!$B$25,0,(N63+E63)/(1+Premissas!$B$41))</x:f>
        <x:v>90049.1539316722</x:v>
      </x:c>
      <x:c r="O62" s="141" t="n">
        <x:f>IF(A62&lt;Premissas!$B$27,Premissas!$B$31/(1+Premissas!$B$41)^(Premissas!$B$27-A62),0)</x:f>
        <x:v>133311.82915295774</x:v>
      </x:c>
      <x:c r="P62" s="141" t="n">
        <x:f>MAX(0,H62-I62)+N62</x:f>
        <x:v>228334.86821738677</x:v>
      </x:c>
    </x:row>
    <x:row r="63">
      <x:c r="A63" s="142" t="n">
        <x:v>58</x:v>
      </x:c>
      <x:c r="B63" s="179" t="n">
        <x:f>EDATE(Premissas!$B$4,57)</x:f>
        <x:v>48274</x:v>
      </x:c>
      <x:c r="C63" s="180" t="n">
        <x:f>(1+Premissas!$B$26)^INT((A63-1)/12)</x:f>
        <x:v>1.2624769600000003</x:v>
      </x:c>
      <x:c r="D63" s="141" t="n">
        <x:f>Premissas!$B$30*C63</x:f>
        <x:v>137142.8571428574</x:v>
      </x:c>
      <x:c r="E63" s="141" t="n">
        <x:f>IF(A63&lt;=Premissas!$B$25,Premissas!$B$32*C63,0)</x:f>
        <x:v>720.2000000000014</x:v>
      </x:c>
      <x:c r="F63" s="141" t="n">
        <x:f>IF(AND(A63&gt;=Premissas!$B$48,A63&lt;=Premissas!$B$27,A63-Premissas!$B$48+1&lt;=Premissas!$B$13),INDEX(Financiamento!$C$6:$C$485,A63-Premissas!$B$48+1),0)</x:f>
        <x:v>138285.71428571455</x:v>
      </x:c>
      <x:c r="G63" s="141" t="n">
        <x:f>IF(AND(A63&gt;=Premissas!$B$48,A63&lt;=Premissas!$B$27,A63-Premissas!$B$48+1&lt;=Premissas!$B$13),INDEX(Financiamento!$J$6:$J$485,A63-Premissas!$B$48+1),0)</x:f>
        <x:v>1843.1168896204397</x:v>
      </x:c>
      <x:c r="H63" s="141" t="n">
        <x:f>IF(AND(A63&gt;=Premissas!$B$48,A63&lt;=Premissas!$B$27,A63-Premissas!$B$48+1&lt;=Premissas!$B$13),INDEX(Financiamento!$M$6:$M$485,A63-Premissas!$B$48+1),0)</x:f>
        <x:v>137904.76190476216</x:v>
      </x:c>
      <x:c r="I63" s="141" t="n">
        <x:f>IF(A63=Premissas!$B$27,MIN(D63,H63),0)</x:f>
        <x:v>0</x:v>
      </x:c>
      <x:c r="J63" s="141" t="n">
        <x:f>IF(A63=Premissas!$B$27,D63-H63,0)</x:f>
        <x:v>0</x:v>
      </x:c>
      <x:c r="K63" s="141" t="n">
        <x:f>E63+G63</x:f>
        <x:v>2563.316889620441</x:v>
      </x:c>
      <x:c r="L63" s="141" t="n">
        <x:f>SUM($K$6:K63)</x:f>
        <x:v>150024.83681027277</x:v>
      </x:c>
      <x:c r="M63" s="141" t="str">
        <x:f>IF(A63&lt;Premissas!$B$27,"Financiamento + consorcio",IF(A63=Premissas!$B$27,"Quitacao via carta",IF(A63&lt;=Premissas!$B$25,"Somente consorcio","Encerrado")))</x:f>
        <x:v>Financiamento + consorcio</x:v>
      </x:c>
      <x:c r="N63" s="141" t="n">
        <x:f>IF(A63&gt;=Premissas!$B$25,0,(N64+E64)/(1+Premissas!$B$41))</x:f>
        <x:v>90183.41170726424</x:v>
      </x:c>
      <x:c r="O63" s="141" t="n">
        <x:f>IF(A63&lt;Premissas!$B$27,Premissas!$B$31/(1+Premissas!$B$41)^(Premissas!$B$27-A63),0)</x:f>
        <x:v>134576.79749552067</x:v>
      </x:c>
      <x:c r="P63" s="141" t="n">
        <x:f>MAX(0,H63-I63)+N63</x:f>
        <x:v>228088.17361202638</x:v>
      </x:c>
    </x:row>
    <x:row r="64">
      <x:c r="A64" s="142" t="n">
        <x:v>59</x:v>
      </x:c>
      <x:c r="B64" s="179" t="n">
        <x:f>EDATE(Premissas!$B$4,58)</x:f>
        <x:v>48305</x:v>
      </x:c>
      <x:c r="C64" s="180" t="n">
        <x:f>(1+Premissas!$B$26)^INT((A64-1)/12)</x:f>
        <x:v>1.2624769600000003</x:v>
      </x:c>
      <x:c r="D64" s="141" t="n">
        <x:f>Premissas!$B$30*C64</x:f>
        <x:v>137142.8571428574</x:v>
      </x:c>
      <x:c r="E64" s="141" t="n">
        <x:f>IF(A64&lt;=Premissas!$B$25,Premissas!$B$32*C64,0)</x:f>
        <x:v>720.2000000000014</x:v>
      </x:c>
      <x:c r="F64" s="141" t="n">
        <x:f>IF(AND(A64&gt;=Premissas!$B$48,A64&lt;=Premissas!$B$27,A64-Premissas!$B$48+1&lt;=Premissas!$B$13),INDEX(Financiamento!$C$6:$C$485,A64-Premissas!$B$48+1),0)</x:f>
        <x:v>137904.76190476216</x:v>
      </x:c>
      <x:c r="G64" s="141" t="n">
        <x:f>IF(AND(A64&gt;=Premissas!$B$48,A64&lt;=Premissas!$B$27,A64-Premissas!$B$48+1&lt;=Premissas!$B$13),INDEX(Financiamento!$J$6:$J$485,A64-Premissas!$B$48+1),0)</x:f>
        <x:v>1839.502111359646</x:v>
      </x:c>
      <x:c r="H64" s="141" t="n">
        <x:f>IF(AND(A64&gt;=Premissas!$B$48,A64&lt;=Premissas!$B$27,A64-Premissas!$B$48+1&lt;=Premissas!$B$13),INDEX(Financiamento!$M$6:$M$485,A64-Premissas!$B$48+1),0)</x:f>
        <x:v>137523.80952380976</x:v>
      </x:c>
      <x:c r="I64" s="141" t="n">
        <x:f>IF(A64=Premissas!$B$27,MIN(D64,H64),0)</x:f>
        <x:v>0</x:v>
      </x:c>
      <x:c r="J64" s="141" t="n">
        <x:f>IF(A64=Premissas!$B$27,D64-H64,0)</x:f>
        <x:v>0</x:v>
      </x:c>
      <x:c r="K64" s="141" t="n">
        <x:f>E64+G64</x:f>
        <x:v>2559.7021113596475</x:v>
      </x:c>
      <x:c r="L64" s="141" t="n">
        <x:f>SUM($K$6:K64)</x:f>
        <x:v>152584.53892163243</x:v>
      </x:c>
      <x:c r="M64" s="141" t="str">
        <x:f>IF(A64&lt;Premissas!$B$27,"Financiamento + consorcio",IF(A64=Premissas!$B$27,"Quitacao via carta",IF(A64&lt;=Premissas!$B$25,"Somente consorcio","Encerrado")))</x:f>
        <x:v>Financiamento + consorcio</x:v>
      </x:c>
      <x:c r="N64" s="141" t="n">
        <x:f>IF(A64&gt;=Premissas!$B$25,0,(N65+E65)/(1+Premissas!$B$41))</x:f>
        <x:v>90318.94342708873</x:v>
      </x:c>
      <x:c r="O64" s="141" t="n">
        <x:f>IF(A64&lt;Premissas!$B$27,Premissas!$B$31/(1+Premissas!$B$41)^(Premissas!$B$27-A64),0)</x:f>
        <x:v>135853.768860755</x:v>
      </x:c>
      <x:c r="P64" s="141" t="n">
        <x:f>MAX(0,H64-I64)+N64</x:f>
        <x:v>227842.7529508985</x:v>
      </x:c>
    </x:row>
    <x:row r="65">
      <x:c r="A65" s="175" t="n">
        <x:v>60</x:v>
      </x:c>
      <x:c r="B65" s="176" t="n">
        <x:f>EDATE(Premissas!$B$4,59)</x:f>
        <x:v>48335</x:v>
      </x:c>
      <x:c r="C65" s="177" t="n">
        <x:f>(1+Premissas!$B$26)^INT((A65-1)/12)</x:f>
        <x:v>1.2624769600000003</x:v>
      </x:c>
      <x:c r="D65" s="143" t="n">
        <x:f>Premissas!$B$30*C65</x:f>
        <x:v>137142.8571428574</x:v>
      </x:c>
      <x:c r="E65" s="143" t="n">
        <x:f>IF(A65&lt;=Premissas!$B$25,Premissas!$B$32*C65,0)</x:f>
        <x:v>720.2000000000014</x:v>
      </x:c>
      <x:c r="F65" s="143" t="n">
        <x:f>IF(AND(A65&gt;=Premissas!$B$48,A65&lt;=Premissas!$B$27,A65-Premissas!$B$48+1&lt;=Premissas!$B$13),INDEX(Financiamento!$C$6:$C$485,A65-Premissas!$B$48+1),0)</x:f>
        <x:v>137523.80952380976</x:v>
      </x:c>
      <x:c r="G65" s="143" t="n">
        <x:f>IF(AND(A65&gt;=Premissas!$B$48,A65&lt;=Premissas!$B$27,A65-Premissas!$B$48+1&lt;=Premissas!$B$13),INDEX(Financiamento!$J$6:$J$485,A65-Premissas!$B$48+1),0)</x:f>
        <x:v>1835.8873330988522</x:v>
      </x:c>
      <x:c r="H65" s="143" t="n">
        <x:f>IF(AND(A65&gt;=Premissas!$B$48,A65&lt;=Premissas!$B$27,A65-Premissas!$B$48+1&lt;=Premissas!$B$13),INDEX(Financiamento!$M$6:$M$485,A65-Premissas!$B$48+1),0)</x:f>
        <x:v>137142.8571428574</x:v>
      </x:c>
      <x:c r="I65" s="143" t="n">
        <x:f>IF(A65=Premissas!$B$27,MIN(D65,H65),0)</x:f>
        <x:v>137142.8571428574</x:v>
      </x:c>
      <x:c r="J65" s="143" t="n">
        <x:f>IF(A65=Premissas!$B$27,D65-H65,0)</x:f>
        <x:v>0</x:v>
      </x:c>
      <x:c r="K65" s="143" t="n">
        <x:f>E65+G65</x:f>
        <x:v>2556.0873330988534</x:v>
      </x:c>
      <x:c r="L65" s="143" t="n">
        <x:f>SUM($K$6:K65)</x:f>
        <x:v>155140.62625473127</x:v>
      </x:c>
      <x:c r="M65" s="143" t="str">
        <x:f>IF(A65&lt;Premissas!$B$27,"Financiamento + consorcio",IF(A65=Premissas!$B$27,"Quitacao via carta",IF(A65&lt;=Premissas!$B$25,"Somente consorcio","Encerrado")))</x:f>
        <x:v>Quitacao via carta</x:v>
      </x:c>
      <x:c r="N65" s="143" t="n">
        <x:f>IF(A65&gt;=Premissas!$B$25,0,(N66+E66)/(1+Premissas!$B$41))</x:f>
        <x:v>90455.7611793387</x:v>
      </x:c>
      <x:c r="O65" s="143" t="n">
        <x:f>IF(A65&lt;Premissas!$B$27,Premissas!$B$31/(1+Premissas!$B$41)^(Premissas!$B$27-A65),0)</x:f>
        <x:v>0</x:v>
      </x:c>
      <x:c r="P65" s="143" t="n">
        <x:f>MAX(0,H65-I65)+N65</x:f>
        <x:v>90455.7611793387</x:v>
      </x:c>
    </x:row>
    <x:row r="66">
      <x:c r="A66" s="142" t="n">
        <x:v>61</x:v>
      </x:c>
      <x:c r="B66" s="179" t="n">
        <x:f>EDATE(Premissas!$B$4,60)</x:f>
        <x:v>48366</x:v>
      </x:c>
      <x:c r="C66" s="180" t="n">
        <x:f>(1+Premissas!$B$26)^INT((A66-1)/12)</x:f>
        <x:v>1.3382255776000003</x:v>
      </x:c>
      <x:c r="D66" s="141" t="n">
        <x:f>Premissas!$B$30*C66</x:f>
        <x:v>145371.4285714288</x:v>
      </x:c>
      <x:c r="E66" s="141" t="n">
        <x:f>IF(A66&lt;=Premissas!$B$25,Premissas!$B$32*C66,0)</x:f>
        <x:v>763.4120000000014</x:v>
      </x:c>
      <x:c r="F66" s="141" t="n">
        <x:f>IF(AND(A66&gt;=Premissas!$B$48,A66&lt;=Premissas!$B$27,A66-Premissas!$B$48+1&lt;=Premissas!$B$13),INDEX(Financiamento!$C$6:$C$485,A66-Premissas!$B$48+1),0)</x:f>
        <x:v>0</x:v>
      </x:c>
      <x:c r="G66" s="141" t="n">
        <x:f>IF(AND(A66&gt;=Premissas!$B$48,A66&lt;=Premissas!$B$27,A66-Premissas!$B$48+1&lt;=Premissas!$B$13),INDEX(Financiamento!$J$6:$J$485,A66-Premissas!$B$48+1),0)</x:f>
        <x:v>0</x:v>
      </x:c>
      <x:c r="H66" s="141" t="n">
        <x:f>IF(AND(A66&gt;=Premissas!$B$48,A66&lt;=Premissas!$B$27,A66-Premissas!$B$48+1&lt;=Premissas!$B$13),INDEX(Financiamento!$M$6:$M$485,A66-Premissas!$B$48+1),0)</x:f>
        <x:v>0</x:v>
      </x:c>
      <x:c r="I66" s="141" t="n">
        <x:f>IF(A66=Premissas!$B$27,MIN(D66,H66),0)</x:f>
        <x:v>0</x:v>
      </x:c>
      <x:c r="J66" s="141" t="n">
        <x:f>IF(A66=Premissas!$B$27,D66-H66,0)</x:f>
        <x:v>0</x:v>
      </x:c>
      <x:c r="K66" s="141" t="n">
        <x:f>E66+G66</x:f>
        <x:v>763.4120000000014</x:v>
      </x:c>
      <x:c r="L66" s="141" t="n">
        <x:f>SUM($K$6:K66)</x:f>
        <x:v>155904.03825473128</x:v>
      </x:c>
      <x:c r="M66" s="141" t="str">
        <x:f>IF(A66&lt;Premissas!$B$27,"Financiamento + consorcio",IF(A66=Premissas!$B$27,"Quitacao via carta",IF(A66&lt;=Premissas!$B$25,"Somente consorcio","Encerrado")))</x:f>
        <x:v>Somente consorcio</x:v>
      </x:c>
      <x:c r="N66" s="141" t="n">
        <x:f>IF(A66&gt;=Premissas!$B$25,0,(N67+E67)/(1+Premissas!$B$41))</x:f>
        <x:v>90550.66516690954</x:v>
      </x:c>
      <x:c r="O66" s="141" t="n">
        <x:f>IF(A66&lt;Premissas!$B$27,Premissas!$B$31/(1+Premissas!$B$41)^(Premissas!$B$27-A66),0)</x:f>
        <x:v>0</x:v>
      </x:c>
      <x:c r="P66" s="141" t="n">
        <x:f>MAX(0,H66-I66)+N66</x:f>
        <x:v>90550.66516690954</x:v>
      </x:c>
    </x:row>
    <x:row r="67">
      <x:c r="A67" s="142" t="n">
        <x:v>62</x:v>
      </x:c>
      <x:c r="B67" s="179" t="n">
        <x:f>EDATE(Premissas!$B$4,61)</x:f>
        <x:v>48396</x:v>
      </x:c>
      <x:c r="C67" s="180" t="n">
        <x:f>(1+Premissas!$B$26)^INT((A67-1)/12)</x:f>
        <x:v>1.3382255776000003</x:v>
      </x:c>
      <x:c r="D67" s="141" t="n">
        <x:f>Premissas!$B$30*C67</x:f>
        <x:v>145371.4285714288</x:v>
      </x:c>
      <x:c r="E67" s="141" t="n">
        <x:f>IF(A67&lt;=Premissas!$B$25,Premissas!$B$32*C67,0)</x:f>
        <x:v>763.4120000000014</x:v>
      </x:c>
      <x:c r="F67" s="141" t="n">
        <x:f>IF(AND(A67&gt;=Premissas!$B$48,A67&lt;=Premissas!$B$27,A67-Premissas!$B$48+1&lt;=Premissas!$B$13),INDEX(Financiamento!$C$6:$C$485,A67-Premissas!$B$48+1),0)</x:f>
        <x:v>0</x:v>
      </x:c>
      <x:c r="G67" s="141" t="n">
        <x:f>IF(AND(A67&gt;=Premissas!$B$48,A67&lt;=Premissas!$B$27,A67-Premissas!$B$48+1&lt;=Premissas!$B$13),INDEX(Financiamento!$J$6:$J$485,A67-Premissas!$B$48+1),0)</x:f>
        <x:v>0</x:v>
      </x:c>
      <x:c r="H67" s="141" t="n">
        <x:f>IF(AND(A67&gt;=Premissas!$B$48,A67&lt;=Premissas!$B$27,A67-Premissas!$B$48+1&lt;=Premissas!$B$13),INDEX(Financiamento!$M$6:$M$485,A67-Premissas!$B$48+1),0)</x:f>
        <x:v>0</x:v>
      </x:c>
      <x:c r="I67" s="141" t="n">
        <x:f>IF(A67=Premissas!$B$27,MIN(D67,H67),0)</x:f>
        <x:v>0</x:v>
      </x:c>
      <x:c r="J67" s="141" t="n">
        <x:f>IF(A67=Premissas!$B$27,D67-H67,0)</x:f>
        <x:v>0</x:v>
      </x:c>
      <x:c r="K67" s="141" t="n">
        <x:f>E67+G67</x:f>
        <x:v>763.4120000000014</x:v>
      </x:c>
      <x:c r="L67" s="141" t="n">
        <x:f>SUM($K$6:K67)</x:f>
        <x:v>156667.4502547313</x:v>
      </x:c>
      <x:c r="M67" s="141" t="str">
        <x:f>IF(A67&lt;Premissas!$B$27,"Financiamento + consorcio",IF(A67=Premissas!$B$27,"Quitacao via carta",IF(A67&lt;=Premissas!$B$25,"Somente consorcio","Encerrado")))</x:f>
        <x:v>Somente consorcio</x:v>
      </x:c>
      <x:c r="N67" s="141" t="n">
        <x:f>IF(A67&gt;=Premissas!$B$25,0,(N68+E68)/(1+Premissas!$B$41))</x:f>
        <x:v>90646.46967876711</x:v>
      </x:c>
      <x:c r="O67" s="141" t="n">
        <x:f>IF(A67&lt;Premissas!$B$27,Premissas!$B$31/(1+Premissas!$B$41)^(Premissas!$B$27-A67),0)</x:f>
        <x:v>0</x:v>
      </x:c>
      <x:c r="P67" s="141" t="n">
        <x:f>MAX(0,H67-I67)+N67</x:f>
        <x:v>90646.46967876711</x:v>
      </x:c>
    </x:row>
    <x:row r="68">
      <x:c r="A68" s="142" t="n">
        <x:v>63</x:v>
      </x:c>
      <x:c r="B68" s="179" t="n">
        <x:f>EDATE(Premissas!$B$4,62)</x:f>
        <x:v>48427</x:v>
      </x:c>
      <x:c r="C68" s="180" t="n">
        <x:f>(1+Premissas!$B$26)^INT((A68-1)/12)</x:f>
        <x:v>1.3382255776000003</x:v>
      </x:c>
      <x:c r="D68" s="141" t="n">
        <x:f>Premissas!$B$30*C68</x:f>
        <x:v>145371.4285714288</x:v>
      </x:c>
      <x:c r="E68" s="141" t="n">
        <x:f>IF(A68&lt;=Premissas!$B$25,Premissas!$B$32*C68,0)</x:f>
        <x:v>763.4120000000014</x:v>
      </x:c>
      <x:c r="F68" s="141" t="n">
        <x:f>IF(AND(A68&gt;=Premissas!$B$48,A68&lt;=Premissas!$B$27,A68-Premissas!$B$48+1&lt;=Premissas!$B$13),INDEX(Financiamento!$C$6:$C$485,A68-Premissas!$B$48+1),0)</x:f>
        <x:v>0</x:v>
      </x:c>
      <x:c r="G68" s="141" t="n">
        <x:f>IF(AND(A68&gt;=Premissas!$B$48,A68&lt;=Premissas!$B$27,A68-Premissas!$B$48+1&lt;=Premissas!$B$13),INDEX(Financiamento!$J$6:$J$485,A68-Premissas!$B$48+1),0)</x:f>
        <x:v>0</x:v>
      </x:c>
      <x:c r="H68" s="141" t="n">
        <x:f>IF(AND(A68&gt;=Premissas!$B$48,A68&lt;=Premissas!$B$27,A68-Premissas!$B$48+1&lt;=Premissas!$B$13),INDEX(Financiamento!$M$6:$M$485,A68-Premissas!$B$48+1),0)</x:f>
        <x:v>0</x:v>
      </x:c>
      <x:c r="I68" s="141" t="n">
        <x:f>IF(A68=Premissas!$B$27,MIN(D68,H68),0)</x:f>
        <x:v>0</x:v>
      </x:c>
      <x:c r="J68" s="141" t="n">
        <x:f>IF(A68=Premissas!$B$27,D68-H68,0)</x:f>
        <x:v>0</x:v>
      </x:c>
      <x:c r="K68" s="141" t="n">
        <x:f>E68+G68</x:f>
        <x:v>763.4120000000014</x:v>
      </x:c>
      <x:c r="L68" s="141" t="n">
        <x:f>SUM($K$6:K68)</x:f>
        <x:v>157430.8622547313</x:v>
      </x:c>
      <x:c r="M68" s="141" t="str">
        <x:f>IF(A68&lt;Premissas!$B$27,"Financiamento + consorcio",IF(A68=Premissas!$B$27,"Quitacao via carta",IF(A68&lt;=Premissas!$B$25,"Somente consorcio","Encerrado")))</x:f>
        <x:v>Somente consorcio</x:v>
      </x:c>
      <x:c r="N68" s="141" t="n">
        <x:f>IF(A68&gt;=Premissas!$B$25,0,(N69+E69)/(1+Premissas!$B$41))</x:f>
        <x:v>90743.1832597999</x:v>
      </x:c>
      <x:c r="O68" s="141" t="n">
        <x:f>IF(A68&lt;Premissas!$B$27,Premissas!$B$31/(1+Premissas!$B$41)^(Premissas!$B$27-A68),0)</x:f>
        <x:v>0</x:v>
      </x:c>
      <x:c r="P68" s="141" t="n">
        <x:f>MAX(0,H68-I68)+N68</x:f>
        <x:v>90743.1832597999</x:v>
      </x:c>
    </x:row>
    <x:row r="69">
      <x:c r="A69" s="142" t="n">
        <x:v>64</x:v>
      </x:c>
      <x:c r="B69" s="179" t="n">
        <x:f>EDATE(Premissas!$B$4,63)</x:f>
        <x:v>48458</x:v>
      </x:c>
      <x:c r="C69" s="180" t="n">
        <x:f>(1+Premissas!$B$26)^INT((A69-1)/12)</x:f>
        <x:v>1.3382255776000003</x:v>
      </x:c>
      <x:c r="D69" s="141" t="n">
        <x:f>Premissas!$B$30*C69</x:f>
        <x:v>145371.4285714288</x:v>
      </x:c>
      <x:c r="E69" s="141" t="n">
        <x:f>IF(A69&lt;=Premissas!$B$25,Premissas!$B$32*C69,0)</x:f>
        <x:v>763.4120000000014</x:v>
      </x:c>
      <x:c r="F69" s="141" t="n">
        <x:f>IF(AND(A69&gt;=Premissas!$B$48,A69&lt;=Premissas!$B$27,A69-Premissas!$B$48+1&lt;=Premissas!$B$13),INDEX(Financiamento!$C$6:$C$485,A69-Premissas!$B$48+1),0)</x:f>
        <x:v>0</x:v>
      </x:c>
      <x:c r="G69" s="141" t="n">
        <x:f>IF(AND(A69&gt;=Premissas!$B$48,A69&lt;=Premissas!$B$27,A69-Premissas!$B$48+1&lt;=Premissas!$B$13),INDEX(Financiamento!$J$6:$J$485,A69-Premissas!$B$48+1),0)</x:f>
        <x:v>0</x:v>
      </x:c>
      <x:c r="H69" s="141" t="n">
        <x:f>IF(AND(A69&gt;=Premissas!$B$48,A69&lt;=Premissas!$B$27,A69-Premissas!$B$48+1&lt;=Premissas!$B$13),INDEX(Financiamento!$M$6:$M$485,A69-Premissas!$B$48+1),0)</x:f>
        <x:v>0</x:v>
      </x:c>
      <x:c r="I69" s="141" t="n">
        <x:f>IF(A69=Premissas!$B$27,MIN(D69,H69),0)</x:f>
        <x:v>0</x:v>
      </x:c>
      <x:c r="J69" s="141" t="n">
        <x:f>IF(A69=Premissas!$B$27,D69-H69,0)</x:f>
        <x:v>0</x:v>
      </x:c>
      <x:c r="K69" s="141" t="n">
        <x:f>E69+G69</x:f>
        <x:v>763.4120000000014</x:v>
      </x:c>
      <x:c r="L69" s="141" t="n">
        <x:f>SUM($K$6:K69)</x:f>
        <x:v>158194.2742547313</x:v>
      </x:c>
      <x:c r="M69" s="141" t="str">
        <x:f>IF(A69&lt;Premissas!$B$27,"Financiamento + consorcio",IF(A69=Premissas!$B$27,"Quitacao via carta",IF(A69&lt;=Premissas!$B$25,"Somente consorcio","Encerrado")))</x:f>
        <x:v>Somente consorcio</x:v>
      </x:c>
      <x:c r="N69" s="141" t="n">
        <x:f>IF(A69&gt;=Premissas!$B$25,0,(N70+E70)/(1+Premissas!$B$41))</x:f>
        <x:v>90840.81453597707</x:v>
      </x:c>
      <x:c r="O69" s="141" t="n">
        <x:f>IF(A69&lt;Premissas!$B$27,Premissas!$B$31/(1+Premissas!$B$41)^(Premissas!$B$27-A69),0)</x:f>
        <x:v>0</x:v>
      </x:c>
      <x:c r="P69" s="141" t="n">
        <x:f>MAX(0,H69-I69)+N69</x:f>
        <x:v>90840.81453597707</x:v>
      </x:c>
    </x:row>
    <x:row r="70">
      <x:c r="A70" s="142" t="n">
        <x:v>65</x:v>
      </x:c>
      <x:c r="B70" s="179" t="n">
        <x:f>EDATE(Premissas!$B$4,64)</x:f>
        <x:v>48488</x:v>
      </x:c>
      <x:c r="C70" s="180" t="n">
        <x:f>(1+Premissas!$B$26)^INT((A70-1)/12)</x:f>
        <x:v>1.3382255776000003</x:v>
      </x:c>
      <x:c r="D70" s="141" t="n">
        <x:f>Premissas!$B$30*C70</x:f>
        <x:v>145371.4285714288</x:v>
      </x:c>
      <x:c r="E70" s="141" t="n">
        <x:f>IF(A70&lt;=Premissas!$B$25,Premissas!$B$32*C70,0)</x:f>
        <x:v>763.4120000000014</x:v>
      </x:c>
      <x:c r="F70" s="141" t="n">
        <x:f>IF(AND(A70&gt;=Premissas!$B$48,A70&lt;=Premissas!$B$27,A70-Premissas!$B$48+1&lt;=Premissas!$B$13),INDEX(Financiamento!$C$6:$C$485,A70-Premissas!$B$48+1),0)</x:f>
        <x:v>0</x:v>
      </x:c>
      <x:c r="G70" s="141" t="n">
        <x:f>IF(AND(A70&gt;=Premissas!$B$48,A70&lt;=Premissas!$B$27,A70-Premissas!$B$48+1&lt;=Premissas!$B$13),INDEX(Financiamento!$J$6:$J$485,A70-Premissas!$B$48+1),0)</x:f>
        <x:v>0</x:v>
      </x:c>
      <x:c r="H70" s="141" t="n">
        <x:f>IF(AND(A70&gt;=Premissas!$B$48,A70&lt;=Premissas!$B$27,A70-Premissas!$B$48+1&lt;=Premissas!$B$13),INDEX(Financiamento!$M$6:$M$485,A70-Premissas!$B$48+1),0)</x:f>
        <x:v>0</x:v>
      </x:c>
      <x:c r="I70" s="141" t="n">
        <x:f>IF(A70=Premissas!$B$27,MIN(D70,H70),0)</x:f>
        <x:v>0</x:v>
      </x:c>
      <x:c r="J70" s="141" t="n">
        <x:f>IF(A70=Premissas!$B$27,D70-H70,0)</x:f>
        <x:v>0</x:v>
      </x:c>
      <x:c r="K70" s="141" t="n">
        <x:f>E70+G70</x:f>
        <x:v>763.4120000000014</x:v>
      </x:c>
      <x:c r="L70" s="141" t="n">
        <x:f>SUM($K$6:K70)</x:f>
        <x:v>158957.68625473132</x:v>
      </x:c>
      <x:c r="M70" s="141" t="str">
        <x:f>IF(A70&lt;Premissas!$B$27,"Financiamento + consorcio",IF(A70=Premissas!$B$27,"Quitacao via carta",IF(A70&lt;=Premissas!$B$25,"Somente consorcio","Encerrado")))</x:f>
        <x:v>Somente consorcio</x:v>
      </x:c>
      <x:c r="N70" s="141" t="n">
        <x:f>IF(A70&gt;=Premissas!$B$25,0,(N71+E71)/(1+Premissas!$B$41))</x:f>
        <x:v>90939.37221511782</x:v>
      </x:c>
      <x:c r="O70" s="141" t="n">
        <x:f>IF(A70&lt;Premissas!$B$27,Premissas!$B$31/(1+Premissas!$B$41)^(Premissas!$B$27-A70),0)</x:f>
        <x:v>0</x:v>
      </x:c>
      <x:c r="P70" s="141" t="n">
        <x:f>MAX(0,H70-I70)+N70</x:f>
        <x:v>90939.37221511782</x:v>
      </x:c>
    </x:row>
    <x:row r="71">
      <x:c r="A71" s="142" t="n">
        <x:v>66</x:v>
      </x:c>
      <x:c r="B71" s="179" t="n">
        <x:f>EDATE(Premissas!$B$4,65)</x:f>
        <x:v>48519</x:v>
      </x:c>
      <x:c r="C71" s="180" t="n">
        <x:f>(1+Premissas!$B$26)^INT((A71-1)/12)</x:f>
        <x:v>1.3382255776000003</x:v>
      </x:c>
      <x:c r="D71" s="141" t="n">
        <x:f>Premissas!$B$30*C71</x:f>
        <x:v>145371.4285714288</x:v>
      </x:c>
      <x:c r="E71" s="141" t="n">
        <x:f>IF(A71&lt;=Premissas!$B$25,Premissas!$B$32*C71,0)</x:f>
        <x:v>763.4120000000014</x:v>
      </x:c>
      <x:c r="F71" s="141" t="n">
        <x:f>IF(AND(A71&gt;=Premissas!$B$48,A71&lt;=Premissas!$B$27,A71-Premissas!$B$48+1&lt;=Premissas!$B$13),INDEX(Financiamento!$C$6:$C$485,A71-Premissas!$B$48+1),0)</x:f>
        <x:v>0</x:v>
      </x:c>
      <x:c r="G71" s="141" t="n">
        <x:f>IF(AND(A71&gt;=Premissas!$B$48,A71&lt;=Premissas!$B$27,A71-Premissas!$B$48+1&lt;=Premissas!$B$13),INDEX(Financiamento!$J$6:$J$485,A71-Premissas!$B$48+1),0)</x:f>
        <x:v>0</x:v>
      </x:c>
      <x:c r="H71" s="141" t="n">
        <x:f>IF(AND(A71&gt;=Premissas!$B$48,A71&lt;=Premissas!$B$27,A71-Premissas!$B$48+1&lt;=Premissas!$B$13),INDEX(Financiamento!$M$6:$M$485,A71-Premissas!$B$48+1),0)</x:f>
        <x:v>0</x:v>
      </x:c>
      <x:c r="I71" s="141" t="n">
        <x:f>IF(A71=Premissas!$B$27,MIN(D71,H71),0)</x:f>
        <x:v>0</x:v>
      </x:c>
      <x:c r="J71" s="141" t="n">
        <x:f>IF(A71=Premissas!$B$27,D71-H71,0)</x:f>
        <x:v>0</x:v>
      </x:c>
      <x:c r="K71" s="141" t="n">
        <x:f>E71+G71</x:f>
        <x:v>763.4120000000014</x:v>
      </x:c>
      <x:c r="L71" s="141" t="n">
        <x:f>SUM($K$6:K71)</x:f>
        <x:v>159721.09825473133</x:v>
      </x:c>
      <x:c r="M71" s="141" t="str">
        <x:f>IF(A71&lt;Premissas!$B$27,"Financiamento + consorcio",IF(A71=Premissas!$B$27,"Quitacao via carta",IF(A71&lt;=Premissas!$B$25,"Somente consorcio","Encerrado")))</x:f>
        <x:v>Somente consorcio</x:v>
      </x:c>
      <x:c r="N71" s="141" t="n">
        <x:f>IF(A71&gt;=Premissas!$B$25,0,(N72+E72)/(1+Premissas!$B$41))</x:f>
        <x:v>91038.86508766805</x:v>
      </x:c>
      <x:c r="O71" s="141" t="n">
        <x:f>IF(A71&lt;Premissas!$B$27,Premissas!$B$31/(1+Premissas!$B$41)^(Premissas!$B$27-A71),0)</x:f>
        <x:v>0</x:v>
      </x:c>
      <x:c r="P71" s="141" t="n">
        <x:f>MAX(0,H71-I71)+N71</x:f>
        <x:v>91038.86508766805</x:v>
      </x:c>
    </x:row>
    <x:row r="72">
      <x:c r="A72" s="142" t="n">
        <x:v>67</x:v>
      </x:c>
      <x:c r="B72" s="179" t="n">
        <x:f>EDATE(Premissas!$B$4,66)</x:f>
        <x:v>48549</x:v>
      </x:c>
      <x:c r="C72" s="180" t="n">
        <x:f>(1+Premissas!$B$26)^INT((A72-1)/12)</x:f>
        <x:v>1.3382255776000003</x:v>
      </x:c>
      <x:c r="D72" s="141" t="n">
        <x:f>Premissas!$B$30*C72</x:f>
        <x:v>145371.4285714288</x:v>
      </x:c>
      <x:c r="E72" s="141" t="n">
        <x:f>IF(A72&lt;=Premissas!$B$25,Premissas!$B$32*C72,0)</x:f>
        <x:v>763.4120000000014</x:v>
      </x:c>
      <x:c r="F72" s="141" t="n">
        <x:f>IF(AND(A72&gt;=Premissas!$B$48,A72&lt;=Premissas!$B$27,A72-Premissas!$B$48+1&lt;=Premissas!$B$13),INDEX(Financiamento!$C$6:$C$485,A72-Premissas!$B$48+1),0)</x:f>
        <x:v>0</x:v>
      </x:c>
      <x:c r="G72" s="141" t="n">
        <x:f>IF(AND(A72&gt;=Premissas!$B$48,A72&lt;=Premissas!$B$27,A72-Premissas!$B$48+1&lt;=Premissas!$B$13),INDEX(Financiamento!$J$6:$J$485,A72-Premissas!$B$48+1),0)</x:f>
        <x:v>0</x:v>
      </x:c>
      <x:c r="H72" s="141" t="n">
        <x:f>IF(AND(A72&gt;=Premissas!$B$48,A72&lt;=Premissas!$B$27,A72-Premissas!$B$48+1&lt;=Premissas!$B$13),INDEX(Financiamento!$M$6:$M$485,A72-Premissas!$B$48+1),0)</x:f>
        <x:v>0</x:v>
      </x:c>
      <x:c r="I72" s="141" t="n">
        <x:f>IF(A72=Premissas!$B$27,MIN(D72,H72),0)</x:f>
        <x:v>0</x:v>
      </x:c>
      <x:c r="J72" s="141" t="n">
        <x:f>IF(A72=Premissas!$B$27,D72-H72,0)</x:f>
        <x:v>0</x:v>
      </x:c>
      <x:c r="K72" s="141" t="n">
        <x:f>E72+G72</x:f>
        <x:v>763.4120000000014</x:v>
      </x:c>
      <x:c r="L72" s="141" t="n">
        <x:f>SUM($K$6:K72)</x:f>
        <x:v>160484.51025473134</x:v>
      </x:c>
      <x:c r="M72" s="141" t="str">
        <x:f>IF(A72&lt;Premissas!$B$27,"Financiamento + consorcio",IF(A72=Premissas!$B$27,"Quitacao via carta",IF(A72&lt;=Premissas!$B$25,"Somente consorcio","Encerrado")))</x:f>
        <x:v>Somente consorcio</x:v>
      </x:c>
      <x:c r="N72" s="141" t="n">
        <x:f>IF(A72&gt;=Premissas!$B$25,0,(N73+E73)/(1+Premissas!$B$41))</x:f>
        <x:v>91139.30202748437</x:v>
      </x:c>
      <x:c r="O72" s="141" t="n">
        <x:f>IF(A72&lt;Premissas!$B$27,Premissas!$B$31/(1+Premissas!$B$41)^(Premissas!$B$27-A72),0)</x:f>
        <x:v>0</x:v>
      </x:c>
      <x:c r="P72" s="141" t="n">
        <x:f>MAX(0,H72-I72)+N72</x:f>
        <x:v>91139.30202748437</x:v>
      </x:c>
    </x:row>
    <x:row r="73">
      <x:c r="A73" s="142" t="n">
        <x:v>68</x:v>
      </x:c>
      <x:c r="B73" s="179" t="n">
        <x:f>EDATE(Premissas!$B$4,67)</x:f>
        <x:v>48580</x:v>
      </x:c>
      <x:c r="C73" s="180" t="n">
        <x:f>(1+Premissas!$B$26)^INT((A73-1)/12)</x:f>
        <x:v>1.3382255776000003</x:v>
      </x:c>
      <x:c r="D73" s="141" t="n">
        <x:f>Premissas!$B$30*C73</x:f>
        <x:v>145371.4285714288</x:v>
      </x:c>
      <x:c r="E73" s="141" t="n">
        <x:f>IF(A73&lt;=Premissas!$B$25,Premissas!$B$32*C73,0)</x:f>
        <x:v>763.4120000000014</x:v>
      </x:c>
      <x:c r="F73" s="141" t="n">
        <x:f>IF(AND(A73&gt;=Premissas!$B$48,A73&lt;=Premissas!$B$27,A73-Premissas!$B$48+1&lt;=Premissas!$B$13),INDEX(Financiamento!$C$6:$C$485,A73-Premissas!$B$48+1),0)</x:f>
        <x:v>0</x:v>
      </x:c>
      <x:c r="G73" s="141" t="n">
        <x:f>IF(AND(A73&gt;=Premissas!$B$48,A73&lt;=Premissas!$B$27,A73-Premissas!$B$48+1&lt;=Premissas!$B$13),INDEX(Financiamento!$J$6:$J$485,A73-Premissas!$B$48+1),0)</x:f>
        <x:v>0</x:v>
      </x:c>
      <x:c r="H73" s="141" t="n">
        <x:f>IF(AND(A73&gt;=Premissas!$B$48,A73&lt;=Premissas!$B$27,A73-Premissas!$B$48+1&lt;=Premissas!$B$13),INDEX(Financiamento!$M$6:$M$485,A73-Premissas!$B$48+1),0)</x:f>
        <x:v>0</x:v>
      </x:c>
      <x:c r="I73" s="141" t="n">
        <x:f>IF(A73=Premissas!$B$27,MIN(D73,H73),0)</x:f>
        <x:v>0</x:v>
      </x:c>
      <x:c r="J73" s="141" t="n">
        <x:f>IF(A73=Premissas!$B$27,D73-H73,0)</x:f>
        <x:v>0</x:v>
      </x:c>
      <x:c r="K73" s="141" t="n">
        <x:f>E73+G73</x:f>
        <x:v>763.4120000000014</x:v>
      </x:c>
      <x:c r="L73" s="141" t="n">
        <x:f>SUM($K$6:K73)</x:f>
        <x:v>161247.92225473135</x:v>
      </x:c>
      <x:c r="M73" s="141" t="str">
        <x:f>IF(A73&lt;Premissas!$B$27,"Financiamento + consorcio",IF(A73=Premissas!$B$27,"Quitacao via carta",IF(A73&lt;=Premissas!$B$25,"Somente consorcio","Encerrado")))</x:f>
        <x:v>Somente consorcio</x:v>
      </x:c>
      <x:c r="N73" s="141" t="n">
        <x:f>IF(A73&gt;=Premissas!$B$25,0,(N74+E74)/(1+Premissas!$B$41))</x:f>
        <x:v>91240.6919926256</x:v>
      </x:c>
      <x:c r="O73" s="141" t="n">
        <x:f>IF(A73&lt;Premissas!$B$27,Premissas!$B$31/(1+Premissas!$B$41)^(Premissas!$B$27-A73),0)</x:f>
        <x:v>0</x:v>
      </x:c>
      <x:c r="P73" s="141" t="n">
        <x:f>MAX(0,H73-I73)+N73</x:f>
        <x:v>91240.6919926256</x:v>
      </x:c>
    </x:row>
    <x:row r="74">
      <x:c r="A74" s="142" t="n">
        <x:v>69</x:v>
      </x:c>
      <x:c r="B74" s="179" t="n">
        <x:f>EDATE(Premissas!$B$4,68)</x:f>
        <x:v>48611</x:v>
      </x:c>
      <x:c r="C74" s="180" t="n">
        <x:f>(1+Premissas!$B$26)^INT((A74-1)/12)</x:f>
        <x:v>1.3382255776000003</x:v>
      </x:c>
      <x:c r="D74" s="141" t="n">
        <x:f>Premissas!$B$30*C74</x:f>
        <x:v>145371.4285714288</x:v>
      </x:c>
      <x:c r="E74" s="141" t="n">
        <x:f>IF(A74&lt;=Premissas!$B$25,Premissas!$B$32*C74,0)</x:f>
        <x:v>763.4120000000014</x:v>
      </x:c>
      <x:c r="F74" s="141" t="n">
        <x:f>IF(AND(A74&gt;=Premissas!$B$48,A74&lt;=Premissas!$B$27,A74-Premissas!$B$48+1&lt;=Premissas!$B$13),INDEX(Financiamento!$C$6:$C$485,A74-Premissas!$B$48+1),0)</x:f>
        <x:v>0</x:v>
      </x:c>
      <x:c r="G74" s="141" t="n">
        <x:f>IF(AND(A74&gt;=Premissas!$B$48,A74&lt;=Premissas!$B$27,A74-Premissas!$B$48+1&lt;=Premissas!$B$13),INDEX(Financiamento!$J$6:$J$485,A74-Premissas!$B$48+1),0)</x:f>
        <x:v>0</x:v>
      </x:c>
      <x:c r="H74" s="141" t="n">
        <x:f>IF(AND(A74&gt;=Premissas!$B$48,A74&lt;=Premissas!$B$27,A74-Premissas!$B$48+1&lt;=Premissas!$B$13),INDEX(Financiamento!$M$6:$M$485,A74-Premissas!$B$48+1),0)</x:f>
        <x:v>0</x:v>
      </x:c>
      <x:c r="I74" s="141" t="n">
        <x:f>IF(A74=Premissas!$B$27,MIN(D74,H74),0)</x:f>
        <x:v>0</x:v>
      </x:c>
      <x:c r="J74" s="141" t="n">
        <x:f>IF(A74=Premissas!$B$27,D74-H74,0)</x:f>
        <x:v>0</x:v>
      </x:c>
      <x:c r="K74" s="141" t="n">
        <x:f>E74+G74</x:f>
        <x:v>763.4120000000014</x:v>
      </x:c>
      <x:c r="L74" s="141" t="n">
        <x:f>SUM($K$6:K74)</x:f>
        <x:v>162011.33425473137</x:v>
      </x:c>
      <x:c r="M74" s="141" t="str">
        <x:f>IF(A74&lt;Premissas!$B$27,"Financiamento + consorcio",IF(A74=Premissas!$B$27,"Quitacao via carta",IF(A74&lt;=Premissas!$B$25,"Somente consorcio","Encerrado")))</x:f>
        <x:v>Somente consorcio</x:v>
      </x:c>
      <x:c r="N74" s="141" t="n">
        <x:f>IF(A74&gt;=Premissas!$B$25,0,(N75+E75)/(1+Premissas!$B$41))</x:f>
        <x:v>91343.04402615169</x:v>
      </x:c>
      <x:c r="O74" s="141" t="n">
        <x:f>IF(A74&lt;Premissas!$B$27,Premissas!$B$31/(1+Premissas!$B$41)^(Premissas!$B$27-A74),0)</x:f>
        <x:v>0</x:v>
      </x:c>
      <x:c r="P74" s="141" t="n">
        <x:f>MAX(0,H74-I74)+N74</x:f>
        <x:v>91343.04402615169</x:v>
      </x:c>
    </x:row>
    <x:row r="75">
      <x:c r="A75" s="142" t="n">
        <x:v>70</x:v>
      </x:c>
      <x:c r="B75" s="179" t="n">
        <x:f>EDATE(Premissas!$B$4,69)</x:f>
        <x:v>48639</x:v>
      </x:c>
      <x:c r="C75" s="180" t="n">
        <x:f>(1+Premissas!$B$26)^INT((A75-1)/12)</x:f>
        <x:v>1.3382255776000003</x:v>
      </x:c>
      <x:c r="D75" s="141" t="n">
        <x:f>Premissas!$B$30*C75</x:f>
        <x:v>145371.4285714288</x:v>
      </x:c>
      <x:c r="E75" s="141" t="n">
        <x:f>IF(A75&lt;=Premissas!$B$25,Premissas!$B$32*C75,0)</x:f>
        <x:v>763.4120000000014</x:v>
      </x:c>
      <x:c r="F75" s="141" t="n">
        <x:f>IF(AND(A75&gt;=Premissas!$B$48,A75&lt;=Premissas!$B$27,A75-Premissas!$B$48+1&lt;=Premissas!$B$13),INDEX(Financiamento!$C$6:$C$485,A75-Premissas!$B$48+1),0)</x:f>
        <x:v>0</x:v>
      </x:c>
      <x:c r="G75" s="141" t="n">
        <x:f>IF(AND(A75&gt;=Premissas!$B$48,A75&lt;=Premissas!$B$27,A75-Premissas!$B$48+1&lt;=Premissas!$B$13),INDEX(Financiamento!$J$6:$J$485,A75-Premissas!$B$48+1),0)</x:f>
        <x:v>0</x:v>
      </x:c>
      <x:c r="H75" s="141" t="n">
        <x:f>IF(AND(A75&gt;=Premissas!$B$48,A75&lt;=Premissas!$B$27,A75-Premissas!$B$48+1&lt;=Premissas!$B$13),INDEX(Financiamento!$M$6:$M$485,A75-Premissas!$B$48+1),0)</x:f>
        <x:v>0</x:v>
      </x:c>
      <x:c r="I75" s="141" t="n">
        <x:f>IF(A75=Premissas!$B$27,MIN(D75,H75),0)</x:f>
        <x:v>0</x:v>
      </x:c>
      <x:c r="J75" s="141" t="n">
        <x:f>IF(A75=Premissas!$B$27,D75-H75,0)</x:f>
        <x:v>0</x:v>
      </x:c>
      <x:c r="K75" s="141" t="n">
        <x:f>E75+G75</x:f>
        <x:v>763.4120000000014</x:v>
      </x:c>
      <x:c r="L75" s="141" t="n">
        <x:f>SUM($K$6:K75)</x:f>
        <x:v>162774.74625473138</x:v>
      </x:c>
      <x:c r="M75" s="141" t="str">
        <x:f>IF(A75&lt;Premissas!$B$27,"Financiamento + consorcio",IF(A75=Premissas!$B$27,"Quitacao via carta",IF(A75&lt;=Premissas!$B$25,"Somente consorcio","Encerrado")))</x:f>
        <x:v>Somente consorcio</x:v>
      </x:c>
      <x:c r="N75" s="141" t="n">
        <x:f>IF(A75&gt;=Premissas!$B$25,0,(N76+E76)/(1+Premissas!$B$41))</x:f>
        <x:v>91446.36725693035</x:v>
      </x:c>
      <x:c r="O75" s="141" t="n">
        <x:f>IF(A75&lt;Premissas!$B$27,Premissas!$B$31/(1+Premissas!$B$41)^(Premissas!$B$27-A75),0)</x:f>
        <x:v>0</x:v>
      </x:c>
      <x:c r="P75" s="141" t="n">
        <x:f>MAX(0,H75-I75)+N75</x:f>
        <x:v>91446.36725693035</x:v>
      </x:c>
    </x:row>
    <x:row r="76">
      <x:c r="A76" s="142" t="n">
        <x:v>71</x:v>
      </x:c>
      <x:c r="B76" s="179" t="n">
        <x:f>EDATE(Premissas!$B$4,70)</x:f>
        <x:v>48670</x:v>
      </x:c>
      <x:c r="C76" s="180" t="n">
        <x:f>(1+Premissas!$B$26)^INT((A76-1)/12)</x:f>
        <x:v>1.3382255776000003</x:v>
      </x:c>
      <x:c r="D76" s="141" t="n">
        <x:f>Premissas!$B$30*C76</x:f>
        <x:v>145371.4285714288</x:v>
      </x:c>
      <x:c r="E76" s="141" t="n">
        <x:f>IF(A76&lt;=Premissas!$B$25,Premissas!$B$32*C76,0)</x:f>
        <x:v>763.4120000000014</x:v>
      </x:c>
      <x:c r="F76" s="141" t="n">
        <x:f>IF(AND(A76&gt;=Premissas!$B$48,A76&lt;=Premissas!$B$27,A76-Premissas!$B$48+1&lt;=Premissas!$B$13),INDEX(Financiamento!$C$6:$C$485,A76-Premissas!$B$48+1),0)</x:f>
        <x:v>0</x:v>
      </x:c>
      <x:c r="G76" s="141" t="n">
        <x:f>IF(AND(A76&gt;=Premissas!$B$48,A76&lt;=Premissas!$B$27,A76-Premissas!$B$48+1&lt;=Premissas!$B$13),INDEX(Financiamento!$J$6:$J$485,A76-Premissas!$B$48+1),0)</x:f>
        <x:v>0</x:v>
      </x:c>
      <x:c r="H76" s="141" t="n">
        <x:f>IF(AND(A76&gt;=Premissas!$B$48,A76&lt;=Premissas!$B$27,A76-Premissas!$B$48+1&lt;=Premissas!$B$13),INDEX(Financiamento!$M$6:$M$485,A76-Premissas!$B$48+1),0)</x:f>
        <x:v>0</x:v>
      </x:c>
      <x:c r="I76" s="141" t="n">
        <x:f>IF(A76=Premissas!$B$27,MIN(D76,H76),0)</x:f>
        <x:v>0</x:v>
      </x:c>
      <x:c r="J76" s="141" t="n">
        <x:f>IF(A76=Premissas!$B$27,D76-H76,0)</x:f>
        <x:v>0</x:v>
      </x:c>
      <x:c r="K76" s="141" t="n">
        <x:f>E76+G76</x:f>
        <x:v>763.4120000000014</x:v>
      </x:c>
      <x:c r="L76" s="141" t="n">
        <x:f>SUM($K$6:K76)</x:f>
        <x:v>163538.1582547314</x:v>
      </x:c>
      <x:c r="M76" s="141" t="str">
        <x:f>IF(A76&lt;Premissas!$B$27,"Financiamento + consorcio",IF(A76=Premissas!$B$27,"Quitacao via carta",IF(A76&lt;=Premissas!$B$25,"Somente consorcio","Encerrado")))</x:f>
        <x:v>Somente consorcio</x:v>
      </x:c>
      <x:c r="N76" s="141" t="n">
        <x:f>IF(A76&gt;=Premissas!$B$25,0,(N77+E77)/(1+Premissas!$B$41))</x:f>
        <x:v>91550.6709004512</x:v>
      </x:c>
      <x:c r="O76" s="141" t="n">
        <x:f>IF(A76&lt;Premissas!$B$27,Premissas!$B$31/(1+Premissas!$B$41)^(Premissas!$B$27-A76),0)</x:f>
        <x:v>0</x:v>
      </x:c>
      <x:c r="P76" s="141" t="n">
        <x:f>MAX(0,H76-I76)+N76</x:f>
        <x:v>91550.6709004512</x:v>
      </x:c>
    </x:row>
    <x:row r="77">
      <x:c r="A77" s="142" t="n">
        <x:v>72</x:v>
      </x:c>
      <x:c r="B77" s="179" t="n">
        <x:f>EDATE(Premissas!$B$4,71)</x:f>
        <x:v>48700</x:v>
      </x:c>
      <x:c r="C77" s="180" t="n">
        <x:f>(1+Premissas!$B$26)^INT((A77-1)/12)</x:f>
        <x:v>1.3382255776000003</x:v>
      </x:c>
      <x:c r="D77" s="141" t="n">
        <x:f>Premissas!$B$30*C77</x:f>
        <x:v>145371.4285714288</x:v>
      </x:c>
      <x:c r="E77" s="141" t="n">
        <x:f>IF(A77&lt;=Premissas!$B$25,Premissas!$B$32*C77,0)</x:f>
        <x:v>763.4120000000014</x:v>
      </x:c>
      <x:c r="F77" s="141" t="n">
        <x:f>IF(AND(A77&gt;=Premissas!$B$48,A77&lt;=Premissas!$B$27,A77-Premissas!$B$48+1&lt;=Premissas!$B$13),INDEX(Financiamento!$C$6:$C$485,A77-Premissas!$B$48+1),0)</x:f>
        <x:v>0</x:v>
      </x:c>
      <x:c r="G77" s="141" t="n">
        <x:f>IF(AND(A77&gt;=Premissas!$B$48,A77&lt;=Premissas!$B$27,A77-Premissas!$B$48+1&lt;=Premissas!$B$13),INDEX(Financiamento!$J$6:$J$485,A77-Premissas!$B$48+1),0)</x:f>
        <x:v>0</x:v>
      </x:c>
      <x:c r="H77" s="141" t="n">
        <x:f>IF(AND(A77&gt;=Premissas!$B$48,A77&lt;=Premissas!$B$27,A77-Premissas!$B$48+1&lt;=Premissas!$B$13),INDEX(Financiamento!$M$6:$M$485,A77-Premissas!$B$48+1),0)</x:f>
        <x:v>0</x:v>
      </x:c>
      <x:c r="I77" s="141" t="n">
        <x:f>IF(A77=Premissas!$B$27,MIN(D77,H77),0)</x:f>
        <x:v>0</x:v>
      </x:c>
      <x:c r="J77" s="141" t="n">
        <x:f>IF(A77=Premissas!$B$27,D77-H77,0)</x:f>
        <x:v>0</x:v>
      </x:c>
      <x:c r="K77" s="141" t="n">
        <x:f>E77+G77</x:f>
        <x:v>763.4120000000014</x:v>
      </x:c>
      <x:c r="L77" s="141" t="n">
        <x:f>SUM($K$6:K77)</x:f>
        <x:v>164301.5702547314</x:v>
      </x:c>
      <x:c r="M77" s="141" t="str">
        <x:f>IF(A77&lt;Premissas!$B$27,"Financiamento + consorcio",IF(A77=Premissas!$B$27,"Quitacao via carta",IF(A77&lt;=Premissas!$B$25,"Somente consorcio","Encerrado")))</x:f>
        <x:v>Somente consorcio</x:v>
      </x:c>
      <x:c r="N77" s="141" t="n">
        <x:f>IF(A77&gt;=Premissas!$B$25,0,(N78+E78)/(1+Premissas!$B$41))</x:f>
        <x:v>91655.96425964774</x:v>
      </x:c>
      <x:c r="O77" s="141" t="n">
        <x:f>IF(A77&lt;Premissas!$B$27,Premissas!$B$31/(1+Premissas!$B$41)^(Premissas!$B$27-A77),0)</x:f>
        <x:v>0</x:v>
      </x:c>
      <x:c r="P77" s="141" t="n">
        <x:f>MAX(0,H77-I77)+N77</x:f>
        <x:v>91655.96425964774</x:v>
      </x:c>
    </x:row>
    <x:row r="78">
      <x:c r="A78" s="142" t="n">
        <x:v>73</x:v>
      </x:c>
      <x:c r="B78" s="179" t="n">
        <x:f>EDATE(Premissas!$B$4,72)</x:f>
        <x:v>48731</x:v>
      </x:c>
      <x:c r="C78" s="180" t="n">
        <x:f>(1+Premissas!$B$26)^INT((A78-1)/12)</x:f>
        <x:v>1.4185191122560004</x:v>
      </x:c>
      <x:c r="D78" s="141" t="n">
        <x:f>Premissas!$B$30*C78</x:f>
        <x:v>154093.71428571455</x:v>
      </x:c>
      <x:c r="E78" s="141" t="n">
        <x:f>IF(A78&lt;=Premissas!$B$25,Premissas!$B$32*C78,0)</x:f>
        <x:v>809.2167200000016</x:v>
      </x:c>
      <x:c r="F78" s="141" t="n">
        <x:f>IF(AND(A78&gt;=Premissas!$B$48,A78&lt;=Premissas!$B$27,A78-Premissas!$B$48+1&lt;=Premissas!$B$13),INDEX(Financiamento!$C$6:$C$485,A78-Premissas!$B$48+1),0)</x:f>
        <x:v>0</x:v>
      </x:c>
      <x:c r="G78" s="141" t="n">
        <x:f>IF(AND(A78&gt;=Premissas!$B$48,A78&lt;=Premissas!$B$27,A78-Premissas!$B$48+1&lt;=Premissas!$B$13),INDEX(Financiamento!$J$6:$J$485,A78-Premissas!$B$48+1),0)</x:f>
        <x:v>0</x:v>
      </x:c>
      <x:c r="H78" s="141" t="n">
        <x:f>IF(AND(A78&gt;=Premissas!$B$48,A78&lt;=Premissas!$B$27,A78-Premissas!$B$48+1&lt;=Premissas!$B$13),INDEX(Financiamento!$M$6:$M$485,A78-Premissas!$B$48+1),0)</x:f>
        <x:v>0</x:v>
      </x:c>
      <x:c r="I78" s="141" t="n">
        <x:f>IF(A78=Premissas!$B$27,MIN(D78,H78),0)</x:f>
        <x:v>0</x:v>
      </x:c>
      <x:c r="J78" s="141" t="n">
        <x:f>IF(A78=Premissas!$B$27,D78-H78,0)</x:f>
        <x:v>0</x:v>
      </x:c>
      <x:c r="K78" s="141" t="n">
        <x:f>E78+G78</x:f>
        <x:v>809.2167200000016</x:v>
      </x:c>
      <x:c r="L78" s="141" t="n">
        <x:f>SUM($K$6:K78)</x:f>
        <x:v>165110.7869747314</x:v>
      </x:c>
      <x:c r="M78" s="141" t="str">
        <x:f>IF(A78&lt;Premissas!$B$27,"Financiamento + consorcio",IF(A78=Premissas!$B$27,"Quitacao via carta",IF(A78&lt;=Premissas!$B$25,"Somente consorcio","Encerrado")))</x:f>
        <x:v>Somente consorcio</x:v>
      </x:c>
      <x:c r="N78" s="141" t="n">
        <x:f>IF(A78&gt;=Premissas!$B$25,0,(N79+E79)/(1+Premissas!$B$41))</x:f>
        <x:v>91716.45200572709</x:v>
      </x:c>
      <x:c r="O78" s="141" t="n">
        <x:f>IF(A78&lt;Premissas!$B$27,Premissas!$B$31/(1+Premissas!$B$41)^(Premissas!$B$27-A78),0)</x:f>
        <x:v>0</x:v>
      </x:c>
      <x:c r="P78" s="141" t="n">
        <x:f>MAX(0,H78-I78)+N78</x:f>
        <x:v>91716.45200572709</x:v>
      </x:c>
    </x:row>
    <x:row r="79">
      <x:c r="A79" s="142" t="n">
        <x:v>74</x:v>
      </x:c>
      <x:c r="B79" s="179" t="n">
        <x:f>EDATE(Premissas!$B$4,73)</x:f>
        <x:v>48761</x:v>
      </x:c>
      <x:c r="C79" s="180" t="n">
        <x:f>(1+Premissas!$B$26)^INT((A79-1)/12)</x:f>
        <x:v>1.4185191122560004</x:v>
      </x:c>
      <x:c r="D79" s="141" t="n">
        <x:f>Premissas!$B$30*C79</x:f>
        <x:v>154093.71428571455</x:v>
      </x:c>
      <x:c r="E79" s="141" t="n">
        <x:f>IF(A79&lt;=Premissas!$B$25,Premissas!$B$32*C79,0)</x:f>
        <x:v>809.2167200000016</x:v>
      </x:c>
      <x:c r="F79" s="141" t="n">
        <x:f>IF(AND(A79&gt;=Premissas!$B$48,A79&lt;=Premissas!$B$27,A79-Premissas!$B$48+1&lt;=Premissas!$B$13),INDEX(Financiamento!$C$6:$C$485,A79-Premissas!$B$48+1),0)</x:f>
        <x:v>0</x:v>
      </x:c>
      <x:c r="G79" s="141" t="n">
        <x:f>IF(AND(A79&gt;=Premissas!$B$48,A79&lt;=Premissas!$B$27,A79-Premissas!$B$48+1&lt;=Premissas!$B$13),INDEX(Financiamento!$J$6:$J$485,A79-Premissas!$B$48+1),0)</x:f>
        <x:v>0</x:v>
      </x:c>
      <x:c r="H79" s="141" t="n">
        <x:f>IF(AND(A79&gt;=Premissas!$B$48,A79&lt;=Premissas!$B$27,A79-Premissas!$B$48+1&lt;=Premissas!$B$13),INDEX(Financiamento!$M$6:$M$485,A79-Premissas!$B$48+1),0)</x:f>
        <x:v>0</x:v>
      </x:c>
      <x:c r="I79" s="141" t="n">
        <x:f>IF(A79=Premissas!$B$27,MIN(D79,H79),0)</x:f>
        <x:v>0</x:v>
      </x:c>
      <x:c r="J79" s="141" t="n">
        <x:f>IF(A79=Premissas!$B$27,D79-H79,0)</x:f>
        <x:v>0</x:v>
      </x:c>
      <x:c r="K79" s="141" t="n">
        <x:f>E79+G79</x:f>
        <x:v>809.2167200000016</x:v>
      </x:c>
      <x:c r="L79" s="141" t="n">
        <x:f>SUM($K$6:K79)</x:f>
        <x:v>165920.0036947314</x:v>
      </x:c>
      <x:c r="M79" s="141" t="str">
        <x:f>IF(A79&lt;Premissas!$B$27,"Financiamento + consorcio",IF(A79=Premissas!$B$27,"Quitacao via carta",IF(A79&lt;=Premissas!$B$25,"Somente consorcio","Encerrado")))</x:f>
        <x:v>Somente consorcio</x:v>
      </x:c>
      <x:c r="N79" s="141" t="n">
        <x:f>IF(A79&gt;=Premissas!$B$25,0,(N80+E80)/(1+Premissas!$B$41))</x:f>
        <x:v>91777.51370750405</x:v>
      </x:c>
      <x:c r="O79" s="141" t="n">
        <x:f>IF(A79&lt;Premissas!$B$27,Premissas!$B$31/(1+Premissas!$B$41)^(Premissas!$B$27-A79),0)</x:f>
        <x:v>0</x:v>
      </x:c>
      <x:c r="P79" s="141" t="n">
        <x:f>MAX(0,H79-I79)+N79</x:f>
        <x:v>91777.51370750405</x:v>
      </x:c>
    </x:row>
    <x:row r="80">
      <x:c r="A80" s="142" t="n">
        <x:v>75</x:v>
      </x:c>
      <x:c r="B80" s="179" t="n">
        <x:f>EDATE(Premissas!$B$4,74)</x:f>
        <x:v>48792</x:v>
      </x:c>
      <x:c r="C80" s="180" t="n">
        <x:f>(1+Premissas!$B$26)^INT((A80-1)/12)</x:f>
        <x:v>1.4185191122560004</x:v>
      </x:c>
      <x:c r="D80" s="141" t="n">
        <x:f>Premissas!$B$30*C80</x:f>
        <x:v>154093.71428571455</x:v>
      </x:c>
      <x:c r="E80" s="141" t="n">
        <x:f>IF(A80&lt;=Premissas!$B$25,Premissas!$B$32*C80,0)</x:f>
        <x:v>809.2167200000016</x:v>
      </x:c>
      <x:c r="F80" s="141" t="n">
        <x:f>IF(AND(A80&gt;=Premissas!$B$48,A80&lt;=Premissas!$B$27,A80-Premissas!$B$48+1&lt;=Premissas!$B$13),INDEX(Financiamento!$C$6:$C$485,A80-Premissas!$B$48+1),0)</x:f>
        <x:v>0</x:v>
      </x:c>
      <x:c r="G80" s="141" t="n">
        <x:f>IF(AND(A80&gt;=Premissas!$B$48,A80&lt;=Premissas!$B$27,A80-Premissas!$B$48+1&lt;=Premissas!$B$13),INDEX(Financiamento!$J$6:$J$485,A80-Premissas!$B$48+1),0)</x:f>
        <x:v>0</x:v>
      </x:c>
      <x:c r="H80" s="141" t="n">
        <x:f>IF(AND(A80&gt;=Premissas!$B$48,A80&lt;=Premissas!$B$27,A80-Premissas!$B$48+1&lt;=Premissas!$B$13),INDEX(Financiamento!$M$6:$M$485,A80-Premissas!$B$48+1),0)</x:f>
        <x:v>0</x:v>
      </x:c>
      <x:c r="I80" s="141" t="n">
        <x:f>IF(A80=Premissas!$B$27,MIN(D80,H80),0)</x:f>
        <x:v>0</x:v>
      </x:c>
      <x:c r="J80" s="141" t="n">
        <x:f>IF(A80=Premissas!$B$27,D80-H80,0)</x:f>
        <x:v>0</x:v>
      </x:c>
      <x:c r="K80" s="141" t="n">
        <x:f>E80+G80</x:f>
        <x:v>809.2167200000016</x:v>
      </x:c>
      <x:c r="L80" s="141" t="n">
        <x:f>SUM($K$6:K80)</x:f>
        <x:v>166729.2204147314</x:v>
      </x:c>
      <x:c r="M80" s="141" t="str">
        <x:f>IF(A80&lt;Premissas!$B$27,"Financiamento + consorcio",IF(A80=Premissas!$B$27,"Quitacao via carta",IF(A80&lt;=Premissas!$B$25,"Somente consorcio","Encerrado")))</x:f>
        <x:v>Somente consorcio</x:v>
      </x:c>
      <x:c r="N80" s="141" t="n">
        <x:f>IF(A80&gt;=Premissas!$B$25,0,(N81+E81)/(1+Premissas!$B$41))</x:f>
        <x:v>91839.15481112542</x:v>
      </x:c>
      <x:c r="O80" s="141" t="n">
        <x:f>IF(A80&lt;Premissas!$B$27,Premissas!$B$31/(1+Premissas!$B$41)^(Premissas!$B$27-A80),0)</x:f>
        <x:v>0</x:v>
      </x:c>
      <x:c r="P80" s="141" t="n">
        <x:f>MAX(0,H80-I80)+N80</x:f>
        <x:v>91839.15481112542</x:v>
      </x:c>
    </x:row>
    <x:row r="81">
      <x:c r="A81" s="142" t="n">
        <x:v>76</x:v>
      </x:c>
      <x:c r="B81" s="179" t="n">
        <x:f>EDATE(Premissas!$B$4,75)</x:f>
        <x:v>48823</x:v>
      </x:c>
      <x:c r="C81" s="180" t="n">
        <x:f>(1+Premissas!$B$26)^INT((A81-1)/12)</x:f>
        <x:v>1.4185191122560004</x:v>
      </x:c>
      <x:c r="D81" s="141" t="n">
        <x:f>Premissas!$B$30*C81</x:f>
        <x:v>154093.71428571455</x:v>
      </x:c>
      <x:c r="E81" s="141" t="n">
        <x:f>IF(A81&lt;=Premissas!$B$25,Premissas!$B$32*C81,0)</x:f>
        <x:v>809.2167200000016</x:v>
      </x:c>
      <x:c r="F81" s="141" t="n">
        <x:f>IF(AND(A81&gt;=Premissas!$B$48,A81&lt;=Premissas!$B$27,A81-Premissas!$B$48+1&lt;=Premissas!$B$13),INDEX(Financiamento!$C$6:$C$485,A81-Premissas!$B$48+1),0)</x:f>
        <x:v>0</x:v>
      </x:c>
      <x:c r="G81" s="141" t="n">
        <x:f>IF(AND(A81&gt;=Premissas!$B$48,A81&lt;=Premissas!$B$27,A81-Premissas!$B$48+1&lt;=Premissas!$B$13),INDEX(Financiamento!$J$6:$J$485,A81-Premissas!$B$48+1),0)</x:f>
        <x:v>0</x:v>
      </x:c>
      <x:c r="H81" s="141" t="n">
        <x:f>IF(AND(A81&gt;=Premissas!$B$48,A81&lt;=Premissas!$B$27,A81-Premissas!$B$48+1&lt;=Premissas!$B$13),INDEX(Financiamento!$M$6:$M$485,A81-Premissas!$B$48+1),0)</x:f>
        <x:v>0</x:v>
      </x:c>
      <x:c r="I81" s="141" t="n">
        <x:f>IF(A81=Premissas!$B$27,MIN(D81,H81),0)</x:f>
        <x:v>0</x:v>
      </x:c>
      <x:c r="J81" s="141" t="n">
        <x:f>IF(A81=Premissas!$B$27,D81-H81,0)</x:f>
        <x:v>0</x:v>
      </x:c>
      <x:c r="K81" s="141" t="n">
        <x:f>E81+G81</x:f>
        <x:v>809.2167200000016</x:v>
      </x:c>
      <x:c r="L81" s="141" t="n">
        <x:f>SUM($K$6:K81)</x:f>
        <x:v>167538.4371347314</x:v>
      </x:c>
      <x:c r="M81" s="141" t="str">
        <x:f>IF(A81&lt;Premissas!$B$27,"Financiamento + consorcio",IF(A81=Premissas!$B$27,"Quitacao via carta",IF(A81&lt;=Premissas!$B$25,"Somente consorcio","Encerrado")))</x:f>
        <x:v>Somente consorcio</x:v>
      </x:c>
      <x:c r="N81" s="141" t="n">
        <x:f>IF(A81&gt;=Premissas!$B$25,0,(N82+E82)/(1+Premissas!$B$41))</x:f>
        <x:v>91901.38081441532</x:v>
      </x:c>
      <x:c r="O81" s="141" t="n">
        <x:f>IF(A81&lt;Premissas!$B$27,Premissas!$B$31/(1+Premissas!$B$41)^(Premissas!$B$27-A81),0)</x:f>
        <x:v>0</x:v>
      </x:c>
      <x:c r="P81" s="141" t="n">
        <x:f>MAX(0,H81-I81)+N81</x:f>
        <x:v>91901.38081441532</x:v>
      </x:c>
    </x:row>
    <x:row r="82">
      <x:c r="A82" s="142" t="n">
        <x:v>77</x:v>
      </x:c>
      <x:c r="B82" s="179" t="n">
        <x:f>EDATE(Premissas!$B$4,76)</x:f>
        <x:v>48853</x:v>
      </x:c>
      <x:c r="C82" s="180" t="n">
        <x:f>(1+Premissas!$B$26)^INT((A82-1)/12)</x:f>
        <x:v>1.4185191122560004</x:v>
      </x:c>
      <x:c r="D82" s="141" t="n">
        <x:f>Premissas!$B$30*C82</x:f>
        <x:v>154093.71428571455</x:v>
      </x:c>
      <x:c r="E82" s="141" t="n">
        <x:f>IF(A82&lt;=Premissas!$B$25,Premissas!$B$32*C82,0)</x:f>
        <x:v>809.2167200000016</x:v>
      </x:c>
      <x:c r="F82" s="141" t="n">
        <x:f>IF(AND(A82&gt;=Premissas!$B$48,A82&lt;=Premissas!$B$27,A82-Premissas!$B$48+1&lt;=Premissas!$B$13),INDEX(Financiamento!$C$6:$C$485,A82-Premissas!$B$48+1),0)</x:f>
        <x:v>0</x:v>
      </x:c>
      <x:c r="G82" s="141" t="n">
        <x:f>IF(AND(A82&gt;=Premissas!$B$48,A82&lt;=Premissas!$B$27,A82-Premissas!$B$48+1&lt;=Premissas!$B$13),INDEX(Financiamento!$J$6:$J$485,A82-Premissas!$B$48+1),0)</x:f>
        <x:v>0</x:v>
      </x:c>
      <x:c r="H82" s="141" t="n">
        <x:f>IF(AND(A82&gt;=Premissas!$B$48,A82&lt;=Premissas!$B$27,A82-Premissas!$B$48+1&lt;=Premissas!$B$13),INDEX(Financiamento!$M$6:$M$485,A82-Premissas!$B$48+1),0)</x:f>
        <x:v>0</x:v>
      </x:c>
      <x:c r="I82" s="141" t="n">
        <x:f>IF(A82=Premissas!$B$27,MIN(D82,H82),0)</x:f>
        <x:v>0</x:v>
      </x:c>
      <x:c r="J82" s="141" t="n">
        <x:f>IF(A82=Premissas!$B$27,D82-H82,0)</x:f>
        <x:v>0</x:v>
      </x:c>
      <x:c r="K82" s="141" t="n">
        <x:f>E82+G82</x:f>
        <x:v>809.2167200000016</x:v>
      </x:c>
      <x:c r="L82" s="141" t="n">
        <x:f>SUM($K$6:K82)</x:f>
        <x:v>168347.65385473138</x:v>
      </x:c>
      <x:c r="M82" s="141" t="str">
        <x:f>IF(A82&lt;Premissas!$B$27,"Financiamento + consorcio",IF(A82=Premissas!$B$27,"Quitacao via carta",IF(A82&lt;=Premissas!$B$25,"Somente consorcio","Encerrado")))</x:f>
        <x:v>Somente consorcio</x:v>
      </x:c>
      <x:c r="N82" s="141" t="n">
        <x:f>IF(A82&gt;=Premissas!$B$25,0,(N83+E83)/(1+Premissas!$B$41))</x:f>
        <x:v>91964.19726736557</x:v>
      </x:c>
      <x:c r="O82" s="141" t="n">
        <x:f>IF(A82&lt;Premissas!$B$27,Premissas!$B$31/(1+Premissas!$B$41)^(Premissas!$B$27-A82),0)</x:f>
        <x:v>0</x:v>
      </x:c>
      <x:c r="P82" s="141" t="n">
        <x:f>MAX(0,H82-I82)+N82</x:f>
        <x:v>91964.19726736557</x:v>
      </x:c>
    </x:row>
    <x:row r="83">
      <x:c r="A83" s="142" t="n">
        <x:v>78</x:v>
      </x:c>
      <x:c r="B83" s="179" t="n">
        <x:f>EDATE(Premissas!$B$4,77)</x:f>
        <x:v>48884</x:v>
      </x:c>
      <x:c r="C83" s="180" t="n">
        <x:f>(1+Premissas!$B$26)^INT((A83-1)/12)</x:f>
        <x:v>1.4185191122560004</x:v>
      </x:c>
      <x:c r="D83" s="141" t="n">
        <x:f>Premissas!$B$30*C83</x:f>
        <x:v>154093.71428571455</x:v>
      </x:c>
      <x:c r="E83" s="141" t="n">
        <x:f>IF(A83&lt;=Premissas!$B$25,Premissas!$B$32*C83,0)</x:f>
        <x:v>809.2167200000016</x:v>
      </x:c>
      <x:c r="F83" s="141" t="n">
        <x:f>IF(AND(A83&gt;=Premissas!$B$48,A83&lt;=Premissas!$B$27,A83-Premissas!$B$48+1&lt;=Premissas!$B$13),INDEX(Financiamento!$C$6:$C$485,A83-Premissas!$B$48+1),0)</x:f>
        <x:v>0</x:v>
      </x:c>
      <x:c r="G83" s="141" t="n">
        <x:f>IF(AND(A83&gt;=Premissas!$B$48,A83&lt;=Premissas!$B$27,A83-Premissas!$B$48+1&lt;=Premissas!$B$13),INDEX(Financiamento!$J$6:$J$485,A83-Premissas!$B$48+1),0)</x:f>
        <x:v>0</x:v>
      </x:c>
      <x:c r="H83" s="141" t="n">
        <x:f>IF(AND(A83&gt;=Premissas!$B$48,A83&lt;=Premissas!$B$27,A83-Premissas!$B$48+1&lt;=Premissas!$B$13),INDEX(Financiamento!$M$6:$M$485,A83-Premissas!$B$48+1),0)</x:f>
        <x:v>0</x:v>
      </x:c>
      <x:c r="I83" s="141" t="n">
        <x:f>IF(A83=Premissas!$B$27,MIN(D83,H83),0)</x:f>
        <x:v>0</x:v>
      </x:c>
      <x:c r="J83" s="141" t="n">
        <x:f>IF(A83=Premissas!$B$27,D83-H83,0)</x:f>
        <x:v>0</x:v>
      </x:c>
      <x:c r="K83" s="141" t="n">
        <x:f>E83+G83</x:f>
        <x:v>809.2167200000016</x:v>
      </x:c>
      <x:c r="L83" s="141" t="n">
        <x:f>SUM($K$6:K83)</x:f>
        <x:v>169156.87057473138</x:v>
      </x:c>
      <x:c r="M83" s="141" t="str">
        <x:f>IF(A83&lt;Premissas!$B$27,"Financiamento + consorcio",IF(A83=Premissas!$B$27,"Quitacao via carta",IF(A83&lt;=Premissas!$B$25,"Somente consorcio","Encerrado")))</x:f>
        <x:v>Somente consorcio</x:v>
      </x:c>
      <x:c r="N83" s="141" t="n">
        <x:f>IF(A83&gt;=Premissas!$B$25,0,(N84+E84)/(1+Premissas!$B$41))</x:f>
        <x:v>92027.60977263075</x:v>
      </x:c>
      <x:c r="O83" s="141" t="n">
        <x:f>IF(A83&lt;Premissas!$B$27,Premissas!$B$31/(1+Premissas!$B$41)^(Premissas!$B$27-A83),0)</x:f>
        <x:v>0</x:v>
      </x:c>
      <x:c r="P83" s="141" t="n">
        <x:f>MAX(0,H83-I83)+N83</x:f>
        <x:v>92027.60977263075</x:v>
      </x:c>
    </x:row>
    <x:row r="84">
      <x:c r="A84" s="142" t="n">
        <x:v>79</x:v>
      </x:c>
      <x:c r="B84" s="179" t="n">
        <x:f>EDATE(Premissas!$B$4,78)</x:f>
        <x:v>48914</x:v>
      </x:c>
      <x:c r="C84" s="180" t="n">
        <x:f>(1+Premissas!$B$26)^INT((A84-1)/12)</x:f>
        <x:v>1.4185191122560004</x:v>
      </x:c>
      <x:c r="D84" s="141" t="n">
        <x:f>Premissas!$B$30*C84</x:f>
        <x:v>154093.71428571455</x:v>
      </x:c>
      <x:c r="E84" s="141" t="n">
        <x:f>IF(A84&lt;=Premissas!$B$25,Premissas!$B$32*C84,0)</x:f>
        <x:v>809.2167200000016</x:v>
      </x:c>
      <x:c r="F84" s="141" t="n">
        <x:f>IF(AND(A84&gt;=Premissas!$B$48,A84&lt;=Premissas!$B$27,A84-Premissas!$B$48+1&lt;=Premissas!$B$13),INDEX(Financiamento!$C$6:$C$485,A84-Premissas!$B$48+1),0)</x:f>
        <x:v>0</x:v>
      </x:c>
      <x:c r="G84" s="141" t="n">
        <x:f>IF(AND(A84&gt;=Premissas!$B$48,A84&lt;=Premissas!$B$27,A84-Premissas!$B$48+1&lt;=Premissas!$B$13),INDEX(Financiamento!$J$6:$J$485,A84-Premissas!$B$48+1),0)</x:f>
        <x:v>0</x:v>
      </x:c>
      <x:c r="H84" s="141" t="n">
        <x:f>IF(AND(A84&gt;=Premissas!$B$48,A84&lt;=Premissas!$B$27,A84-Premissas!$B$48+1&lt;=Premissas!$B$13),INDEX(Financiamento!$M$6:$M$485,A84-Premissas!$B$48+1),0)</x:f>
        <x:v>0</x:v>
      </x:c>
      <x:c r="I84" s="141" t="n">
        <x:f>IF(A84=Premissas!$B$27,MIN(D84,H84),0)</x:f>
        <x:v>0</x:v>
      </x:c>
      <x:c r="J84" s="141" t="n">
        <x:f>IF(A84=Premissas!$B$27,D84-H84,0)</x:f>
        <x:v>0</x:v>
      </x:c>
      <x:c r="K84" s="141" t="n">
        <x:f>E84+G84</x:f>
        <x:v>809.2167200000016</x:v>
      </x:c>
      <x:c r="L84" s="141" t="n">
        <x:f>SUM($K$6:K84)</x:f>
        <x:v>169966.08729473138</x:v>
      </x:c>
      <x:c r="M84" s="141" t="str">
        <x:f>IF(A84&lt;Premissas!$B$27,"Financiamento + consorcio",IF(A84=Premissas!$B$27,"Quitacao via carta",IF(A84&lt;=Premissas!$B$25,"Somente consorcio","Encerrado")))</x:f>
        <x:v>Somente consorcio</x:v>
      </x:c>
      <x:c r="N84" s="141" t="n">
        <x:f>IF(A84&gt;=Premissas!$B$25,0,(N85+E85)/(1+Premissas!$B$41))</x:f>
        <x:v>92091.62398602786</x:v>
      </x:c>
      <x:c r="O84" s="141" t="n">
        <x:f>IF(A84&lt;Premissas!$B$27,Premissas!$B$31/(1+Premissas!$B$41)^(Premissas!$B$27-A84),0)</x:f>
        <x:v>0</x:v>
      </x:c>
      <x:c r="P84" s="141" t="n">
        <x:f>MAX(0,H84-I84)+N84</x:f>
        <x:v>92091.62398602786</x:v>
      </x:c>
    </x:row>
    <x:row r="85">
      <x:c r="A85" s="142" t="n">
        <x:v>80</x:v>
      </x:c>
      <x:c r="B85" s="179" t="n">
        <x:f>EDATE(Premissas!$B$4,79)</x:f>
        <x:v>48945</x:v>
      </x:c>
      <x:c r="C85" s="180" t="n">
        <x:f>(1+Premissas!$B$26)^INT((A85-1)/12)</x:f>
        <x:v>1.4185191122560004</x:v>
      </x:c>
      <x:c r="D85" s="141" t="n">
        <x:f>Premissas!$B$30*C85</x:f>
        <x:v>154093.71428571455</x:v>
      </x:c>
      <x:c r="E85" s="141" t="n">
        <x:f>IF(A85&lt;=Premissas!$B$25,Premissas!$B$32*C85,0)</x:f>
        <x:v>809.2167200000016</x:v>
      </x:c>
      <x:c r="F85" s="141" t="n">
        <x:f>IF(AND(A85&gt;=Premissas!$B$48,A85&lt;=Premissas!$B$27,A85-Premissas!$B$48+1&lt;=Premissas!$B$13),INDEX(Financiamento!$C$6:$C$485,A85-Premissas!$B$48+1),0)</x:f>
        <x:v>0</x:v>
      </x:c>
      <x:c r="G85" s="141" t="n">
        <x:f>IF(AND(A85&gt;=Premissas!$B$48,A85&lt;=Premissas!$B$27,A85-Premissas!$B$48+1&lt;=Premissas!$B$13),INDEX(Financiamento!$J$6:$J$485,A85-Premissas!$B$48+1),0)</x:f>
        <x:v>0</x:v>
      </x:c>
      <x:c r="H85" s="141" t="n">
        <x:f>IF(AND(A85&gt;=Premissas!$B$48,A85&lt;=Premissas!$B$27,A85-Premissas!$B$48+1&lt;=Premissas!$B$13),INDEX(Financiamento!$M$6:$M$485,A85-Premissas!$B$48+1),0)</x:f>
        <x:v>0</x:v>
      </x:c>
      <x:c r="I85" s="141" t="n">
        <x:f>IF(A85=Premissas!$B$27,MIN(D85,H85),0)</x:f>
        <x:v>0</x:v>
      </x:c>
      <x:c r="J85" s="141" t="n">
        <x:f>IF(A85=Premissas!$B$27,D85-H85,0)</x:f>
        <x:v>0</x:v>
      </x:c>
      <x:c r="K85" s="141" t="n">
        <x:f>E85+G85</x:f>
        <x:v>809.2167200000016</x:v>
      </x:c>
      <x:c r="L85" s="141" t="n">
        <x:f>SUM($K$6:K85)</x:f>
        <x:v>170775.30401473137</x:v>
      </x:c>
      <x:c r="M85" s="141" t="str">
        <x:f>IF(A85&lt;Premissas!$B$27,"Financiamento + consorcio",IF(A85=Premissas!$B$27,"Quitacao via carta",IF(A85&lt;=Premissas!$B$25,"Somente consorcio","Encerrado")))</x:f>
        <x:v>Somente consorcio</x:v>
      </x:c>
      <x:c r="N85" s="141" t="n">
        <x:f>IF(A85&gt;=Premissas!$B$25,0,(N86+E86)/(1+Premissas!$B$41))</x:f>
        <x:v>92156.24561704077</x:v>
      </x:c>
      <x:c r="O85" s="141" t="n">
        <x:f>IF(A85&lt;Premissas!$B$27,Premissas!$B$31/(1+Premissas!$B$41)^(Premissas!$B$27-A85),0)</x:f>
        <x:v>0</x:v>
      </x:c>
      <x:c r="P85" s="141" t="n">
        <x:f>MAX(0,H85-I85)+N85</x:f>
        <x:v>92156.24561704077</x:v>
      </x:c>
    </x:row>
    <x:row r="86">
      <x:c r="A86" s="142" t="n">
        <x:v>81</x:v>
      </x:c>
      <x:c r="B86" s="179" t="n">
        <x:f>EDATE(Premissas!$B$4,80)</x:f>
        <x:v>48976</x:v>
      </x:c>
      <x:c r="C86" s="180" t="n">
        <x:f>(1+Premissas!$B$26)^INT((A86-1)/12)</x:f>
        <x:v>1.4185191122560004</x:v>
      </x:c>
      <x:c r="D86" s="141" t="n">
        <x:f>Premissas!$B$30*C86</x:f>
        <x:v>154093.71428571455</x:v>
      </x:c>
      <x:c r="E86" s="141" t="n">
        <x:f>IF(A86&lt;=Premissas!$B$25,Premissas!$B$32*C86,0)</x:f>
        <x:v>809.2167200000016</x:v>
      </x:c>
      <x:c r="F86" s="141" t="n">
        <x:f>IF(AND(A86&gt;=Premissas!$B$48,A86&lt;=Premissas!$B$27,A86-Premissas!$B$48+1&lt;=Premissas!$B$13),INDEX(Financiamento!$C$6:$C$485,A86-Premissas!$B$48+1),0)</x:f>
        <x:v>0</x:v>
      </x:c>
      <x:c r="G86" s="141" t="n">
        <x:f>IF(AND(A86&gt;=Premissas!$B$48,A86&lt;=Premissas!$B$27,A86-Premissas!$B$48+1&lt;=Premissas!$B$13),INDEX(Financiamento!$J$6:$J$485,A86-Premissas!$B$48+1),0)</x:f>
        <x:v>0</x:v>
      </x:c>
      <x:c r="H86" s="141" t="n">
        <x:f>IF(AND(A86&gt;=Premissas!$B$48,A86&lt;=Premissas!$B$27,A86-Premissas!$B$48+1&lt;=Premissas!$B$13),INDEX(Financiamento!$M$6:$M$485,A86-Premissas!$B$48+1),0)</x:f>
        <x:v>0</x:v>
      </x:c>
      <x:c r="I86" s="141" t="n">
        <x:f>IF(A86=Premissas!$B$27,MIN(D86,H86),0)</x:f>
        <x:v>0</x:v>
      </x:c>
      <x:c r="J86" s="141" t="n">
        <x:f>IF(A86=Premissas!$B$27,D86-H86,0)</x:f>
        <x:v>0</x:v>
      </x:c>
      <x:c r="K86" s="141" t="n">
        <x:f>E86+G86</x:f>
        <x:v>809.2167200000016</x:v>
      </x:c>
      <x:c r="L86" s="141" t="n">
        <x:f>SUM($K$6:K86)</x:f>
        <x:v>171584.52073473137</x:v>
      </x:c>
      <x:c r="M86" s="141" t="str">
        <x:f>IF(A86&lt;Premissas!$B$27,"Financiamento + consorcio",IF(A86=Premissas!$B$27,"Quitacao via carta",IF(A86&lt;=Premissas!$B$25,"Somente consorcio","Encerrado")))</x:f>
        <x:v>Somente consorcio</x:v>
      </x:c>
      <x:c r="N86" s="141" t="n">
        <x:f>IF(A86&gt;=Premissas!$B$25,0,(N87+E87)/(1+Premissas!$B$41))</x:f>
        <x:v>92221.48042932944</x:v>
      </x:c>
      <x:c r="O86" s="141" t="n">
        <x:f>IF(A86&lt;Premissas!$B$27,Premissas!$B$31/(1+Premissas!$B$41)^(Premissas!$B$27-A86),0)</x:f>
        <x:v>0</x:v>
      </x:c>
      <x:c r="P86" s="141" t="n">
        <x:f>MAX(0,H86-I86)+N86</x:f>
        <x:v>92221.48042932944</x:v>
      </x:c>
    </x:row>
    <x:row r="87">
      <x:c r="A87" s="142" t="n">
        <x:v>82</x:v>
      </x:c>
      <x:c r="B87" s="179" t="n">
        <x:f>EDATE(Premissas!$B$4,81)</x:f>
        <x:v>49004</x:v>
      </x:c>
      <x:c r="C87" s="180" t="n">
        <x:f>(1+Premissas!$B$26)^INT((A87-1)/12)</x:f>
        <x:v>1.4185191122560004</x:v>
      </x:c>
      <x:c r="D87" s="141" t="n">
        <x:f>Premissas!$B$30*C87</x:f>
        <x:v>154093.71428571455</x:v>
      </x:c>
      <x:c r="E87" s="141" t="n">
        <x:f>IF(A87&lt;=Premissas!$B$25,Premissas!$B$32*C87,0)</x:f>
        <x:v>809.2167200000016</x:v>
      </x:c>
      <x:c r="F87" s="141" t="n">
        <x:f>IF(AND(A87&gt;=Premissas!$B$48,A87&lt;=Premissas!$B$27,A87-Premissas!$B$48+1&lt;=Premissas!$B$13),INDEX(Financiamento!$C$6:$C$485,A87-Premissas!$B$48+1),0)</x:f>
        <x:v>0</x:v>
      </x:c>
      <x:c r="G87" s="141" t="n">
        <x:f>IF(AND(A87&gt;=Premissas!$B$48,A87&lt;=Premissas!$B$27,A87-Premissas!$B$48+1&lt;=Premissas!$B$13),INDEX(Financiamento!$J$6:$J$485,A87-Premissas!$B$48+1),0)</x:f>
        <x:v>0</x:v>
      </x:c>
      <x:c r="H87" s="141" t="n">
        <x:f>IF(AND(A87&gt;=Premissas!$B$48,A87&lt;=Premissas!$B$27,A87-Premissas!$B$48+1&lt;=Premissas!$B$13),INDEX(Financiamento!$M$6:$M$485,A87-Premissas!$B$48+1),0)</x:f>
        <x:v>0</x:v>
      </x:c>
      <x:c r="I87" s="141" t="n">
        <x:f>IF(A87=Premissas!$B$27,MIN(D87,H87),0)</x:f>
        <x:v>0</x:v>
      </x:c>
      <x:c r="J87" s="141" t="n">
        <x:f>IF(A87=Premissas!$B$27,D87-H87,0)</x:f>
        <x:v>0</x:v>
      </x:c>
      <x:c r="K87" s="141" t="n">
        <x:f>E87+G87</x:f>
        <x:v>809.2167200000016</x:v>
      </x:c>
      <x:c r="L87" s="141" t="n">
        <x:f>SUM($K$6:K87)</x:f>
        <x:v>172393.73745473137</x:v>
      </x:c>
      <x:c r="M87" s="141" t="str">
        <x:f>IF(A87&lt;Premissas!$B$27,"Financiamento + consorcio",IF(A87=Premissas!$B$27,"Quitacao via carta",IF(A87&lt;=Premissas!$B$25,"Somente consorcio","Encerrado")))</x:f>
        <x:v>Somente consorcio</x:v>
      </x:c>
      <x:c r="N87" s="141" t="n">
        <x:f>IF(A87&gt;=Premissas!$B$25,0,(N88+E88)/(1+Premissas!$B$41))</x:f>
        <x:v>92287.33424124405</x:v>
      </x:c>
      <x:c r="O87" s="141" t="n">
        <x:f>IF(A87&lt;Premissas!$B$27,Premissas!$B$31/(1+Premissas!$B$41)^(Premissas!$B$27-A87),0)</x:f>
        <x:v>0</x:v>
      </x:c>
      <x:c r="P87" s="141" t="n">
        <x:f>MAX(0,H87-I87)+N87</x:f>
        <x:v>92287.33424124405</x:v>
      </x:c>
    </x:row>
    <x:row r="88">
      <x:c r="A88" s="142" t="n">
        <x:v>83</x:v>
      </x:c>
      <x:c r="B88" s="179" t="n">
        <x:f>EDATE(Premissas!$B$4,82)</x:f>
        <x:v>49035</x:v>
      </x:c>
      <x:c r="C88" s="180" t="n">
        <x:f>(1+Premissas!$B$26)^INT((A88-1)/12)</x:f>
        <x:v>1.4185191122560004</x:v>
      </x:c>
      <x:c r="D88" s="141" t="n">
        <x:f>Premissas!$B$30*C88</x:f>
        <x:v>154093.71428571455</x:v>
      </x:c>
      <x:c r="E88" s="141" t="n">
        <x:f>IF(A88&lt;=Premissas!$B$25,Premissas!$B$32*C88,0)</x:f>
        <x:v>809.2167200000016</x:v>
      </x:c>
      <x:c r="F88" s="141" t="n">
        <x:f>IF(AND(A88&gt;=Premissas!$B$48,A88&lt;=Premissas!$B$27,A88-Premissas!$B$48+1&lt;=Premissas!$B$13),INDEX(Financiamento!$C$6:$C$485,A88-Premissas!$B$48+1),0)</x:f>
        <x:v>0</x:v>
      </x:c>
      <x:c r="G88" s="141" t="n">
        <x:f>IF(AND(A88&gt;=Premissas!$B$48,A88&lt;=Premissas!$B$27,A88-Premissas!$B$48+1&lt;=Premissas!$B$13),INDEX(Financiamento!$J$6:$J$485,A88-Premissas!$B$48+1),0)</x:f>
        <x:v>0</x:v>
      </x:c>
      <x:c r="H88" s="141" t="n">
        <x:f>IF(AND(A88&gt;=Premissas!$B$48,A88&lt;=Premissas!$B$27,A88-Premissas!$B$48+1&lt;=Premissas!$B$13),INDEX(Financiamento!$M$6:$M$485,A88-Premissas!$B$48+1),0)</x:f>
        <x:v>0</x:v>
      </x:c>
      <x:c r="I88" s="141" t="n">
        <x:f>IF(A88=Premissas!$B$27,MIN(D88,H88),0)</x:f>
        <x:v>0</x:v>
      </x:c>
      <x:c r="J88" s="141" t="n">
        <x:f>IF(A88=Premissas!$B$27,D88-H88,0)</x:f>
        <x:v>0</x:v>
      </x:c>
      <x:c r="K88" s="141" t="n">
        <x:f>E88+G88</x:f>
        <x:v>809.2167200000016</x:v>
      </x:c>
      <x:c r="L88" s="141" t="n">
        <x:f>SUM($K$6:K88)</x:f>
        <x:v>173202.95417473136</x:v>
      </x:c>
      <x:c r="M88" s="141" t="str">
        <x:f>IF(A88&lt;Premissas!$B$27,"Financiamento + consorcio",IF(A88=Premissas!$B$27,"Quitacao via carta",IF(A88&lt;=Premissas!$B$25,"Somente consorcio","Encerrado")))</x:f>
        <x:v>Somente consorcio</x:v>
      </x:c>
      <x:c r="N88" s="141" t="n">
        <x:f>IF(A88&gt;=Premissas!$B$25,0,(N89+E89)/(1+Premissas!$B$41))</x:f>
        <x:v>92353.81292634388</x:v>
      </x:c>
      <x:c r="O88" s="141" t="n">
        <x:f>IF(A88&lt;Premissas!$B$27,Premissas!$B$31/(1+Premissas!$B$41)^(Premissas!$B$27-A88),0)</x:f>
        <x:v>0</x:v>
      </x:c>
      <x:c r="P88" s="141" t="n">
        <x:f>MAX(0,H88-I88)+N88</x:f>
        <x:v>92353.81292634388</x:v>
      </x:c>
    </x:row>
    <x:row r="89">
      <x:c r="A89" s="142" t="n">
        <x:v>84</x:v>
      </x:c>
      <x:c r="B89" s="179" t="n">
        <x:f>EDATE(Premissas!$B$4,83)</x:f>
        <x:v>49065</x:v>
      </x:c>
      <x:c r="C89" s="180" t="n">
        <x:f>(1+Premissas!$B$26)^INT((A89-1)/12)</x:f>
        <x:v>1.4185191122560004</x:v>
      </x:c>
      <x:c r="D89" s="141" t="n">
        <x:f>Premissas!$B$30*C89</x:f>
        <x:v>154093.71428571455</x:v>
      </x:c>
      <x:c r="E89" s="141" t="n">
        <x:f>IF(A89&lt;=Premissas!$B$25,Premissas!$B$32*C89,0)</x:f>
        <x:v>809.2167200000016</x:v>
      </x:c>
      <x:c r="F89" s="141" t="n">
        <x:f>IF(AND(A89&gt;=Premissas!$B$48,A89&lt;=Premissas!$B$27,A89-Premissas!$B$48+1&lt;=Premissas!$B$13),INDEX(Financiamento!$C$6:$C$485,A89-Premissas!$B$48+1),0)</x:f>
        <x:v>0</x:v>
      </x:c>
      <x:c r="G89" s="141" t="n">
        <x:f>IF(AND(A89&gt;=Premissas!$B$48,A89&lt;=Premissas!$B$27,A89-Premissas!$B$48+1&lt;=Premissas!$B$13),INDEX(Financiamento!$J$6:$J$485,A89-Premissas!$B$48+1),0)</x:f>
        <x:v>0</x:v>
      </x:c>
      <x:c r="H89" s="141" t="n">
        <x:f>IF(AND(A89&gt;=Premissas!$B$48,A89&lt;=Premissas!$B$27,A89-Premissas!$B$48+1&lt;=Premissas!$B$13),INDEX(Financiamento!$M$6:$M$485,A89-Premissas!$B$48+1),0)</x:f>
        <x:v>0</x:v>
      </x:c>
      <x:c r="I89" s="141" t="n">
        <x:f>IF(A89=Premissas!$B$27,MIN(D89,H89),0)</x:f>
        <x:v>0</x:v>
      </x:c>
      <x:c r="J89" s="141" t="n">
        <x:f>IF(A89=Premissas!$B$27,D89-H89,0)</x:f>
        <x:v>0</x:v>
      </x:c>
      <x:c r="K89" s="141" t="n">
        <x:f>E89+G89</x:f>
        <x:v>809.2167200000016</x:v>
      </x:c>
      <x:c r="L89" s="141" t="n">
        <x:f>SUM($K$6:K89)</x:f>
        <x:v>174012.17089473136</x:v>
      </x:c>
      <x:c r="M89" s="141" t="str">
        <x:f>IF(A89&lt;Premissas!$B$27,"Financiamento + consorcio",IF(A89=Premissas!$B$27,"Quitacao via carta",IF(A89&lt;=Premissas!$B$25,"Somente consorcio","Encerrado")))</x:f>
        <x:v>Somente consorcio</x:v>
      </x:c>
      <x:c r="N89" s="141" t="n">
        <x:f>IF(A89&gt;=Premissas!$B$25,0,(N90+E90)/(1+Premissas!$B$41))</x:f>
        <x:v>92420.92241392117</x:v>
      </x:c>
      <x:c r="O89" s="141" t="n">
        <x:f>IF(A89&lt;Premissas!$B$27,Premissas!$B$31/(1+Premissas!$B$41)^(Premissas!$B$27-A89),0)</x:f>
        <x:v>0</x:v>
      </x:c>
      <x:c r="P89" s="141" t="n">
        <x:f>MAX(0,H89-I89)+N89</x:f>
        <x:v>92420.92241392117</x:v>
      </x:c>
    </x:row>
    <x:row r="90">
      <x:c r="A90" s="142" t="n">
        <x:v>85</x:v>
      </x:c>
      <x:c r="B90" s="179" t="n">
        <x:f>EDATE(Premissas!$B$4,84)</x:f>
        <x:v>49096</x:v>
      </x:c>
      <x:c r="C90" s="180" t="n">
        <x:f>(1+Premissas!$B$26)^INT((A90-1)/12)</x:f>
        <x:v>1.5036302589913606</x:v>
      </x:c>
      <x:c r="D90" s="141" t="n">
        <x:f>Premissas!$B$30*C90</x:f>
        <x:v>163339.33714285746</x:v>
      </x:c>
      <x:c r="E90" s="141" t="n">
        <x:f>IF(A90&lt;=Premissas!$B$25,Premissas!$B$32*C90,0)</x:f>
        <x:v>857.7697232000017</x:v>
      </x:c>
      <x:c r="F90" s="141" t="n">
        <x:f>IF(AND(A90&gt;=Premissas!$B$48,A90&lt;=Premissas!$B$27,A90-Premissas!$B$48+1&lt;=Premissas!$B$13),INDEX(Financiamento!$C$6:$C$485,A90-Premissas!$B$48+1),0)</x:f>
        <x:v>0</x:v>
      </x:c>
      <x:c r="G90" s="141" t="n">
        <x:f>IF(AND(A90&gt;=Premissas!$B$48,A90&lt;=Premissas!$B$27,A90-Premissas!$B$48+1&lt;=Premissas!$B$13),INDEX(Financiamento!$J$6:$J$485,A90-Premissas!$B$48+1),0)</x:f>
        <x:v>0</x:v>
      </x:c>
      <x:c r="H90" s="141" t="n">
        <x:f>IF(AND(A90&gt;=Premissas!$B$48,A90&lt;=Premissas!$B$27,A90-Premissas!$B$48+1&lt;=Premissas!$B$13),INDEX(Financiamento!$M$6:$M$485,A90-Premissas!$B$48+1),0)</x:f>
        <x:v>0</x:v>
      </x:c>
      <x:c r="I90" s="141" t="n">
        <x:f>IF(A90=Premissas!$B$27,MIN(D90,H90),0)</x:f>
        <x:v>0</x:v>
      </x:c>
      <x:c r="J90" s="141" t="n">
        <x:f>IF(A90=Premissas!$B$27,D90-H90,0)</x:f>
        <x:v>0</x:v>
      </x:c>
      <x:c r="K90" s="141" t="n">
        <x:f>E90+G90</x:f>
        <x:v>857.7697232000017</x:v>
      </x:c>
      <x:c r="L90" s="141" t="n">
        <x:f>SUM($K$6:K90)</x:f>
        <x:v>174869.94061793137</x:v>
      </x:c>
      <x:c r="M90" s="141" t="str">
        <x:f>IF(A90&lt;Premissas!$B$27,"Financiamento + consorcio",IF(A90=Premissas!$B$27,"Quitacao via carta",IF(A90&lt;=Premissas!$B$25,"Somente consorcio","Encerrado")))</x:f>
        <x:v>Somente consorcio</x:v>
      </x:c>
      <x:c r="N90" s="141" t="n">
        <x:f>IF(A90&gt;=Premissas!$B$25,0,(N91+E91)/(1+Premissas!$B$41))</x:f>
        <x:v>92440.11568633003</x:v>
      </x:c>
      <x:c r="O90" s="141" t="n">
        <x:f>IF(A90&lt;Premissas!$B$27,Premissas!$B$31/(1+Premissas!$B$41)^(Premissas!$B$27-A90),0)</x:f>
        <x:v>0</x:v>
      </x:c>
      <x:c r="P90" s="141" t="n">
        <x:f>MAX(0,H90-I90)+N90</x:f>
        <x:v>92440.11568633003</x:v>
      </x:c>
    </x:row>
    <x:row r="91">
      <x:c r="A91" s="142" t="n">
        <x:v>86</x:v>
      </x:c>
      <x:c r="B91" s="179" t="n">
        <x:f>EDATE(Premissas!$B$4,85)</x:f>
        <x:v>49126</x:v>
      </x:c>
      <x:c r="C91" s="180" t="n">
        <x:f>(1+Premissas!$B$26)^INT((A91-1)/12)</x:f>
        <x:v>1.5036302589913606</x:v>
      </x:c>
      <x:c r="D91" s="141" t="n">
        <x:f>Premissas!$B$30*C91</x:f>
        <x:v>163339.33714285746</x:v>
      </x:c>
      <x:c r="E91" s="141" t="n">
        <x:f>IF(A91&lt;=Premissas!$B$25,Premissas!$B$32*C91,0)</x:f>
        <x:v>857.7697232000017</x:v>
      </x:c>
      <x:c r="F91" s="141" t="n">
        <x:f>IF(AND(A91&gt;=Premissas!$B$48,A91&lt;=Premissas!$B$27,A91-Premissas!$B$48+1&lt;=Premissas!$B$13),INDEX(Financiamento!$C$6:$C$485,A91-Premissas!$B$48+1),0)</x:f>
        <x:v>0</x:v>
      </x:c>
      <x:c r="G91" s="141" t="n">
        <x:f>IF(AND(A91&gt;=Premissas!$B$48,A91&lt;=Premissas!$B$27,A91-Premissas!$B$48+1&lt;=Premissas!$B$13),INDEX(Financiamento!$J$6:$J$485,A91-Premissas!$B$48+1),0)</x:f>
        <x:v>0</x:v>
      </x:c>
      <x:c r="H91" s="141" t="n">
        <x:f>IF(AND(A91&gt;=Premissas!$B$48,A91&lt;=Premissas!$B$27,A91-Premissas!$B$48+1&lt;=Premissas!$B$13),INDEX(Financiamento!$M$6:$M$485,A91-Premissas!$B$48+1),0)</x:f>
        <x:v>0</x:v>
      </x:c>
      <x:c r="I91" s="141" t="n">
        <x:f>IF(A91=Premissas!$B$27,MIN(D91,H91),0)</x:f>
        <x:v>0</x:v>
      </x:c>
      <x:c r="J91" s="141" t="n">
        <x:f>IF(A91=Premissas!$B$27,D91-H91,0)</x:f>
        <x:v>0</x:v>
      </x:c>
      <x:c r="K91" s="141" t="n">
        <x:f>E91+G91</x:f>
        <x:v>857.7697232000017</x:v>
      </x:c>
      <x:c r="L91" s="141" t="n">
        <x:f>SUM($K$6:K91)</x:f>
        <x:v>175727.71034113137</x:v>
      </x:c>
      <x:c r="M91" s="141" t="str">
        <x:f>IF(A91&lt;Premissas!$B$27,"Financiamento + consorcio",IF(A91=Premissas!$B$27,"Quitacao via carta",IF(A91&lt;=Premissas!$B$25,"Somente consorcio","Encerrado")))</x:f>
        <x:v>Somente consorcio</x:v>
      </x:c>
      <x:c r="N91" s="141" t="n">
        <x:f>IF(A91&gt;=Premissas!$B$25,0,(N92+E92)/(1+Premissas!$B$41))</x:f>
        <x:v>92459.4910797265</x:v>
      </x:c>
      <x:c r="O91" s="141" t="n">
        <x:f>IF(A91&lt;Premissas!$B$27,Premissas!$B$31/(1+Premissas!$B$41)^(Premissas!$B$27-A91),0)</x:f>
        <x:v>0</x:v>
      </x:c>
      <x:c r="P91" s="141" t="n">
        <x:f>MAX(0,H91-I91)+N91</x:f>
        <x:v>92459.4910797265</x:v>
      </x:c>
    </x:row>
    <x:row r="92">
      <x:c r="A92" s="142" t="n">
        <x:v>87</x:v>
      </x:c>
      <x:c r="B92" s="179" t="n">
        <x:f>EDATE(Premissas!$B$4,86)</x:f>
        <x:v>49157</x:v>
      </x:c>
      <x:c r="C92" s="180" t="n">
        <x:f>(1+Premissas!$B$26)^INT((A92-1)/12)</x:f>
        <x:v>1.5036302589913606</x:v>
      </x:c>
      <x:c r="D92" s="141" t="n">
        <x:f>Premissas!$B$30*C92</x:f>
        <x:v>163339.33714285746</x:v>
      </x:c>
      <x:c r="E92" s="141" t="n">
        <x:f>IF(A92&lt;=Premissas!$B$25,Premissas!$B$32*C92,0)</x:f>
        <x:v>857.7697232000017</x:v>
      </x:c>
      <x:c r="F92" s="141" t="n">
        <x:f>IF(AND(A92&gt;=Premissas!$B$48,A92&lt;=Premissas!$B$27,A92-Premissas!$B$48+1&lt;=Premissas!$B$13),INDEX(Financiamento!$C$6:$C$485,A92-Premissas!$B$48+1),0)</x:f>
        <x:v>0</x:v>
      </x:c>
      <x:c r="G92" s="141" t="n">
        <x:f>IF(AND(A92&gt;=Premissas!$B$48,A92&lt;=Premissas!$B$27,A92-Premissas!$B$48+1&lt;=Premissas!$B$13),INDEX(Financiamento!$J$6:$J$485,A92-Premissas!$B$48+1),0)</x:f>
        <x:v>0</x:v>
      </x:c>
      <x:c r="H92" s="141" t="n">
        <x:f>IF(AND(A92&gt;=Premissas!$B$48,A92&lt;=Premissas!$B$27,A92-Premissas!$B$48+1&lt;=Premissas!$B$13),INDEX(Financiamento!$M$6:$M$485,A92-Premissas!$B$48+1),0)</x:f>
        <x:v>0</x:v>
      </x:c>
      <x:c r="I92" s="141" t="n">
        <x:f>IF(A92=Premissas!$B$27,MIN(D92,H92),0)</x:f>
        <x:v>0</x:v>
      </x:c>
      <x:c r="J92" s="141" t="n">
        <x:f>IF(A92=Premissas!$B$27,D92-H92,0)</x:f>
        <x:v>0</x:v>
      </x:c>
      <x:c r="K92" s="141" t="n">
        <x:f>E92+G92</x:f>
        <x:v>857.7697232000017</x:v>
      </x:c>
      <x:c r="L92" s="141" t="n">
        <x:f>SUM($K$6:K92)</x:f>
        <x:v>176585.48006433138</x:v>
      </x:c>
      <x:c r="M92" s="141" t="str">
        <x:f>IF(A92&lt;Premissas!$B$27,"Financiamento + consorcio",IF(A92=Premissas!$B$27,"Quitacao via carta",IF(A92&lt;=Premissas!$B$25,"Somente consorcio","Encerrado")))</x:f>
        <x:v>Somente consorcio</x:v>
      </x:c>
      <x:c r="N92" s="141" t="n">
        <x:f>IF(A92&gt;=Premissas!$B$25,0,(N93+E93)/(1+Premissas!$B$41))</x:f>
        <x:v>92479.05032221894</x:v>
      </x:c>
      <x:c r="O92" s="141" t="n">
        <x:f>IF(A92&lt;Premissas!$B$27,Premissas!$B$31/(1+Premissas!$B$41)^(Premissas!$B$27-A92),0)</x:f>
        <x:v>0</x:v>
      </x:c>
      <x:c r="P92" s="141" t="n">
        <x:f>MAX(0,H92-I92)+N92</x:f>
        <x:v>92479.05032221894</x:v>
      </x:c>
    </x:row>
    <x:row r="93">
      <x:c r="A93" s="142" t="n">
        <x:v>88</x:v>
      </x:c>
      <x:c r="B93" s="179" t="n">
        <x:f>EDATE(Premissas!$B$4,87)</x:f>
        <x:v>49188</x:v>
      </x:c>
      <x:c r="C93" s="180" t="n">
        <x:f>(1+Premissas!$B$26)^INT((A93-1)/12)</x:f>
        <x:v>1.5036302589913606</x:v>
      </x:c>
      <x:c r="D93" s="141" t="n">
        <x:f>Premissas!$B$30*C93</x:f>
        <x:v>163339.33714285746</x:v>
      </x:c>
      <x:c r="E93" s="141" t="n">
        <x:f>IF(A93&lt;=Premissas!$B$25,Premissas!$B$32*C93,0)</x:f>
        <x:v>857.7697232000017</x:v>
      </x:c>
      <x:c r="F93" s="141" t="n">
        <x:f>IF(AND(A93&gt;=Premissas!$B$48,A93&lt;=Premissas!$B$27,A93-Premissas!$B$48+1&lt;=Premissas!$B$13),INDEX(Financiamento!$C$6:$C$485,A93-Premissas!$B$48+1),0)</x:f>
        <x:v>0</x:v>
      </x:c>
      <x:c r="G93" s="141" t="n">
        <x:f>IF(AND(A93&gt;=Premissas!$B$48,A93&lt;=Premissas!$B$27,A93-Premissas!$B$48+1&lt;=Premissas!$B$13),INDEX(Financiamento!$J$6:$J$485,A93-Premissas!$B$48+1),0)</x:f>
        <x:v>0</x:v>
      </x:c>
      <x:c r="H93" s="141" t="n">
        <x:f>IF(AND(A93&gt;=Premissas!$B$48,A93&lt;=Premissas!$B$27,A93-Premissas!$B$48+1&lt;=Premissas!$B$13),INDEX(Financiamento!$M$6:$M$485,A93-Premissas!$B$48+1),0)</x:f>
        <x:v>0</x:v>
      </x:c>
      <x:c r="I93" s="141" t="n">
        <x:f>IF(A93=Premissas!$B$27,MIN(D93,H93),0)</x:f>
        <x:v>0</x:v>
      </x:c>
      <x:c r="J93" s="141" t="n">
        <x:f>IF(A93=Premissas!$B$27,D93-H93,0)</x:f>
        <x:v>0</x:v>
      </x:c>
      <x:c r="K93" s="141" t="n">
        <x:f>E93+G93</x:f>
        <x:v>857.7697232000017</x:v>
      </x:c>
      <x:c r="L93" s="141" t="n">
        <x:f>SUM($K$6:K93)</x:f>
        <x:v>177443.2497875314</x:v>
      </x:c>
      <x:c r="M93" s="141" t="str">
        <x:f>IF(A93&lt;Premissas!$B$27,"Financiamento + consorcio",IF(A93=Premissas!$B$27,"Quitacao via carta",IF(A93&lt;=Premissas!$B$25,"Somente consorcio","Encerrado")))</x:f>
        <x:v>Somente consorcio</x:v>
      </x:c>
      <x:c r="N93" s="141" t="n">
        <x:f>IF(A93&gt;=Premissas!$B$25,0,(N94+E94)/(1+Premissas!$B$41))</x:f>
        <x:v>92498.79515831335</x:v>
      </x:c>
      <x:c r="O93" s="141" t="n">
        <x:f>IF(A93&lt;Premissas!$B$27,Premissas!$B$31/(1+Premissas!$B$41)^(Premissas!$B$27-A93),0)</x:f>
        <x:v>0</x:v>
      </x:c>
      <x:c r="P93" s="141" t="n">
        <x:f>MAX(0,H93-I93)+N93</x:f>
        <x:v>92498.79515831335</x:v>
      </x:c>
    </x:row>
    <x:row r="94">
      <x:c r="A94" s="142" t="n">
        <x:v>89</x:v>
      </x:c>
      <x:c r="B94" s="179" t="n">
        <x:f>EDATE(Premissas!$B$4,88)</x:f>
        <x:v>49218</x:v>
      </x:c>
      <x:c r="C94" s="180" t="n">
        <x:f>(1+Premissas!$B$26)^INT((A94-1)/12)</x:f>
        <x:v>1.5036302589913606</x:v>
      </x:c>
      <x:c r="D94" s="141" t="n">
        <x:f>Premissas!$B$30*C94</x:f>
        <x:v>163339.33714285746</x:v>
      </x:c>
      <x:c r="E94" s="141" t="n">
        <x:f>IF(A94&lt;=Premissas!$B$25,Premissas!$B$32*C94,0)</x:f>
        <x:v>857.7697232000017</x:v>
      </x:c>
      <x:c r="F94" s="141" t="n">
        <x:f>IF(AND(A94&gt;=Premissas!$B$48,A94&lt;=Premissas!$B$27,A94-Premissas!$B$48+1&lt;=Premissas!$B$13),INDEX(Financiamento!$C$6:$C$485,A94-Premissas!$B$48+1),0)</x:f>
        <x:v>0</x:v>
      </x:c>
      <x:c r="G94" s="141" t="n">
        <x:f>IF(AND(A94&gt;=Premissas!$B$48,A94&lt;=Premissas!$B$27,A94-Premissas!$B$48+1&lt;=Premissas!$B$13),INDEX(Financiamento!$J$6:$J$485,A94-Premissas!$B$48+1),0)</x:f>
        <x:v>0</x:v>
      </x:c>
      <x:c r="H94" s="141" t="n">
        <x:f>IF(AND(A94&gt;=Premissas!$B$48,A94&lt;=Premissas!$B$27,A94-Premissas!$B$48+1&lt;=Premissas!$B$13),INDEX(Financiamento!$M$6:$M$485,A94-Premissas!$B$48+1),0)</x:f>
        <x:v>0</x:v>
      </x:c>
      <x:c r="I94" s="141" t="n">
        <x:f>IF(A94=Premissas!$B$27,MIN(D94,H94),0)</x:f>
        <x:v>0</x:v>
      </x:c>
      <x:c r="J94" s="141" t="n">
        <x:f>IF(A94=Premissas!$B$27,D94-H94,0)</x:f>
        <x:v>0</x:v>
      </x:c>
      <x:c r="K94" s="141" t="n">
        <x:f>E94+G94</x:f>
        <x:v>857.7697232000017</x:v>
      </x:c>
      <x:c r="L94" s="141" t="n">
        <x:f>SUM($K$6:K94)</x:f>
        <x:v>178301.0195107314</x:v>
      </x:c>
      <x:c r="M94" s="141" t="str">
        <x:f>IF(A94&lt;Premissas!$B$27,"Financiamento + consorcio",IF(A94=Premissas!$B$27,"Quitacao via carta",IF(A94&lt;=Premissas!$B$25,"Somente consorcio","Encerrado")))</x:f>
        <x:v>Somente consorcio</x:v>
      </x:c>
      <x:c r="N94" s="141" t="n">
        <x:f>IF(A94&gt;=Premissas!$B$25,0,(N95+E95)/(1+Premissas!$B$41))</x:f>
        <x:v>92518.727349069</x:v>
      </x:c>
      <x:c r="O94" s="141" t="n">
        <x:f>IF(A94&lt;Premissas!$B$27,Premissas!$B$31/(1+Premissas!$B$41)^(Premissas!$B$27-A94),0)</x:f>
        <x:v>0</x:v>
      </x:c>
      <x:c r="P94" s="141" t="n">
        <x:f>MAX(0,H94-I94)+N94</x:f>
        <x:v>92518.727349069</x:v>
      </x:c>
    </x:row>
    <x:row r="95">
      <x:c r="A95" s="142" t="n">
        <x:v>90</x:v>
      </x:c>
      <x:c r="B95" s="179" t="n">
        <x:f>EDATE(Premissas!$B$4,89)</x:f>
        <x:v>49249</x:v>
      </x:c>
      <x:c r="C95" s="180" t="n">
        <x:f>(1+Premissas!$B$26)^INT((A95-1)/12)</x:f>
        <x:v>1.5036302589913606</x:v>
      </x:c>
      <x:c r="D95" s="141" t="n">
        <x:f>Premissas!$B$30*C95</x:f>
        <x:v>163339.33714285746</x:v>
      </x:c>
      <x:c r="E95" s="141" t="n">
        <x:f>IF(A95&lt;=Premissas!$B$25,Premissas!$B$32*C95,0)</x:f>
        <x:v>857.7697232000017</x:v>
      </x:c>
      <x:c r="F95" s="141" t="n">
        <x:f>IF(AND(A95&gt;=Premissas!$B$48,A95&lt;=Premissas!$B$27,A95-Premissas!$B$48+1&lt;=Premissas!$B$13),INDEX(Financiamento!$C$6:$C$485,A95-Premissas!$B$48+1),0)</x:f>
        <x:v>0</x:v>
      </x:c>
      <x:c r="G95" s="141" t="n">
        <x:f>IF(AND(A95&gt;=Premissas!$B$48,A95&lt;=Premissas!$B$27,A95-Premissas!$B$48+1&lt;=Premissas!$B$13),INDEX(Financiamento!$J$6:$J$485,A95-Premissas!$B$48+1),0)</x:f>
        <x:v>0</x:v>
      </x:c>
      <x:c r="H95" s="141" t="n">
        <x:f>IF(AND(A95&gt;=Premissas!$B$48,A95&lt;=Premissas!$B$27,A95-Premissas!$B$48+1&lt;=Premissas!$B$13),INDEX(Financiamento!$M$6:$M$485,A95-Premissas!$B$48+1),0)</x:f>
        <x:v>0</x:v>
      </x:c>
      <x:c r="I95" s="141" t="n">
        <x:f>IF(A95=Premissas!$B$27,MIN(D95,H95),0)</x:f>
        <x:v>0</x:v>
      </x:c>
      <x:c r="J95" s="141" t="n">
        <x:f>IF(A95=Premissas!$B$27,D95-H95,0)</x:f>
        <x:v>0</x:v>
      </x:c>
      <x:c r="K95" s="141" t="n">
        <x:f>E95+G95</x:f>
        <x:v>857.7697232000017</x:v>
      </x:c>
      <x:c r="L95" s="141" t="n">
        <x:f>SUM($K$6:K95)</x:f>
        <x:v>179158.7892339314</x:v>
      </x:c>
      <x:c r="M95" s="141" t="str">
        <x:f>IF(A95&lt;Premissas!$B$27,"Financiamento + consorcio",IF(A95=Premissas!$B$27,"Quitacao via carta",IF(A95&lt;=Premissas!$B$25,"Somente consorcio","Encerrado")))</x:f>
        <x:v>Somente consorcio</x:v>
      </x:c>
      <x:c r="N95" s="141" t="n">
        <x:f>IF(A95&gt;=Premissas!$B$25,0,(N96+E96)/(1+Premissas!$B$41))</x:f>
        <x:v>92538.84867225545</x:v>
      </x:c>
      <x:c r="O95" s="141" t="n">
        <x:f>IF(A95&lt;Premissas!$B$27,Premissas!$B$31/(1+Premissas!$B$41)^(Premissas!$B$27-A95),0)</x:f>
        <x:v>0</x:v>
      </x:c>
      <x:c r="P95" s="141" t="n">
        <x:f>MAX(0,H95-I95)+N95</x:f>
        <x:v>92538.84867225545</x:v>
      </x:c>
    </x:row>
    <x:row r="96">
      <x:c r="A96" s="142" t="n">
        <x:v>91</x:v>
      </x:c>
      <x:c r="B96" s="179" t="n">
        <x:f>EDATE(Premissas!$B$4,90)</x:f>
        <x:v>49279</x:v>
      </x:c>
      <x:c r="C96" s="180" t="n">
        <x:f>(1+Premissas!$B$26)^INT((A96-1)/12)</x:f>
        <x:v>1.5036302589913606</x:v>
      </x:c>
      <x:c r="D96" s="141" t="n">
        <x:f>Premissas!$B$30*C96</x:f>
        <x:v>163339.33714285746</x:v>
      </x:c>
      <x:c r="E96" s="141" t="n">
        <x:f>IF(A96&lt;=Premissas!$B$25,Premissas!$B$32*C96,0)</x:f>
        <x:v>857.7697232000017</x:v>
      </x:c>
      <x:c r="F96" s="141" t="n">
        <x:f>IF(AND(A96&gt;=Premissas!$B$48,A96&lt;=Premissas!$B$27,A96-Premissas!$B$48+1&lt;=Premissas!$B$13),INDEX(Financiamento!$C$6:$C$485,A96-Premissas!$B$48+1),0)</x:f>
        <x:v>0</x:v>
      </x:c>
      <x:c r="G96" s="141" t="n">
        <x:f>IF(AND(A96&gt;=Premissas!$B$48,A96&lt;=Premissas!$B$27,A96-Premissas!$B$48+1&lt;=Premissas!$B$13),INDEX(Financiamento!$J$6:$J$485,A96-Premissas!$B$48+1),0)</x:f>
        <x:v>0</x:v>
      </x:c>
      <x:c r="H96" s="141" t="n">
        <x:f>IF(AND(A96&gt;=Premissas!$B$48,A96&lt;=Premissas!$B$27,A96-Premissas!$B$48+1&lt;=Premissas!$B$13),INDEX(Financiamento!$M$6:$M$485,A96-Premissas!$B$48+1),0)</x:f>
        <x:v>0</x:v>
      </x:c>
      <x:c r="I96" s="141" t="n">
        <x:f>IF(A96=Premissas!$B$27,MIN(D96,H96),0)</x:f>
        <x:v>0</x:v>
      </x:c>
      <x:c r="J96" s="141" t="n">
        <x:f>IF(A96=Premissas!$B$27,D96-H96,0)</x:f>
        <x:v>0</x:v>
      </x:c>
      <x:c r="K96" s="141" t="n">
        <x:f>E96+G96</x:f>
        <x:v>857.7697232000017</x:v>
      </x:c>
      <x:c r="L96" s="141" t="n">
        <x:f>SUM($K$6:K96)</x:f>
        <x:v>180016.5589571314</x:v>
      </x:c>
      <x:c r="M96" s="141" t="str">
        <x:f>IF(A96&lt;Premissas!$B$27,"Financiamento + consorcio",IF(A96=Premissas!$B$27,"Quitacao via carta",IF(A96&lt;=Premissas!$B$25,"Somente consorcio","Encerrado")))</x:f>
        <x:v>Somente consorcio</x:v>
      </x:c>
      <x:c r="N96" s="141" t="n">
        <x:f>IF(A96&gt;=Premissas!$B$25,0,(N97+E97)/(1+Premissas!$B$41))</x:f>
        <x:v>92559.16092251119</x:v>
      </x:c>
      <x:c r="O96" s="141" t="n">
        <x:f>IF(A96&lt;Premissas!$B$27,Premissas!$B$31/(1+Premissas!$B$41)^(Premissas!$B$27-A96),0)</x:f>
        <x:v>0</x:v>
      </x:c>
      <x:c r="P96" s="141" t="n">
        <x:f>MAX(0,H96-I96)+N96</x:f>
        <x:v>92559.16092251119</x:v>
      </x:c>
    </x:row>
    <x:row r="97">
      <x:c r="A97" s="142" t="n">
        <x:v>92</x:v>
      </x:c>
      <x:c r="B97" s="179" t="n">
        <x:f>EDATE(Premissas!$B$4,91)</x:f>
        <x:v>49310</x:v>
      </x:c>
      <x:c r="C97" s="180" t="n">
        <x:f>(1+Premissas!$B$26)^INT((A97-1)/12)</x:f>
        <x:v>1.5036302589913606</x:v>
      </x:c>
      <x:c r="D97" s="141" t="n">
        <x:f>Premissas!$B$30*C97</x:f>
        <x:v>163339.33714285746</x:v>
      </x:c>
      <x:c r="E97" s="141" t="n">
        <x:f>IF(A97&lt;=Premissas!$B$25,Premissas!$B$32*C97,0)</x:f>
        <x:v>857.7697232000017</x:v>
      </x:c>
      <x:c r="F97" s="141" t="n">
        <x:f>IF(AND(A97&gt;=Premissas!$B$48,A97&lt;=Premissas!$B$27,A97-Premissas!$B$48+1&lt;=Premissas!$B$13),INDEX(Financiamento!$C$6:$C$485,A97-Premissas!$B$48+1),0)</x:f>
        <x:v>0</x:v>
      </x:c>
      <x:c r="G97" s="141" t="n">
        <x:f>IF(AND(A97&gt;=Premissas!$B$48,A97&lt;=Premissas!$B$27,A97-Premissas!$B$48+1&lt;=Premissas!$B$13),INDEX(Financiamento!$J$6:$J$485,A97-Premissas!$B$48+1),0)</x:f>
        <x:v>0</x:v>
      </x:c>
      <x:c r="H97" s="141" t="n">
        <x:f>IF(AND(A97&gt;=Premissas!$B$48,A97&lt;=Premissas!$B$27,A97-Premissas!$B$48+1&lt;=Premissas!$B$13),INDEX(Financiamento!$M$6:$M$485,A97-Premissas!$B$48+1),0)</x:f>
        <x:v>0</x:v>
      </x:c>
      <x:c r="I97" s="141" t="n">
        <x:f>IF(A97=Premissas!$B$27,MIN(D97,H97),0)</x:f>
        <x:v>0</x:v>
      </x:c>
      <x:c r="J97" s="141" t="n">
        <x:f>IF(A97=Premissas!$B$27,D97-H97,0)</x:f>
        <x:v>0</x:v>
      </x:c>
      <x:c r="K97" s="141" t="n">
        <x:f>E97+G97</x:f>
        <x:v>857.7697232000017</x:v>
      </x:c>
      <x:c r="L97" s="141" t="n">
        <x:f>SUM($K$6:K97)</x:f>
        <x:v>180874.3286803314</x:v>
      </x:c>
      <x:c r="M97" s="141" t="str">
        <x:f>IF(A97&lt;Premissas!$B$27,"Financiamento + consorcio",IF(A97=Premissas!$B$27,"Quitacao via carta",IF(A97&lt;=Premissas!$B$25,"Somente consorcio","Encerrado")))</x:f>
        <x:v>Somente consorcio</x:v>
      </x:c>
      <x:c r="N97" s="141" t="n">
        <x:f>IF(A97&gt;=Premissas!$B$25,0,(N98+E98)/(1+Premissas!$B$41))</x:f>
        <x:v>92579.66591150365</x:v>
      </x:c>
      <x:c r="O97" s="141" t="n">
        <x:f>IF(A97&lt;Premissas!$B$27,Premissas!$B$31/(1+Premissas!$B$41)^(Premissas!$B$27-A97),0)</x:f>
        <x:v>0</x:v>
      </x:c>
      <x:c r="P97" s="141" t="n">
        <x:f>MAX(0,H97-I97)+N97</x:f>
        <x:v>92579.66591150365</x:v>
      </x:c>
    </x:row>
    <x:row r="98">
      <x:c r="A98" s="142" t="n">
        <x:v>93</x:v>
      </x:c>
      <x:c r="B98" s="179" t="n">
        <x:f>EDATE(Premissas!$B$4,92)</x:f>
        <x:v>49341</x:v>
      </x:c>
      <x:c r="C98" s="180" t="n">
        <x:f>(1+Premissas!$B$26)^INT((A98-1)/12)</x:f>
        <x:v>1.5036302589913606</x:v>
      </x:c>
      <x:c r="D98" s="141" t="n">
        <x:f>Premissas!$B$30*C98</x:f>
        <x:v>163339.33714285746</x:v>
      </x:c>
      <x:c r="E98" s="141" t="n">
        <x:f>IF(A98&lt;=Premissas!$B$25,Premissas!$B$32*C98,0)</x:f>
        <x:v>857.7697232000017</x:v>
      </x:c>
      <x:c r="F98" s="141" t="n">
        <x:f>IF(AND(A98&gt;=Premissas!$B$48,A98&lt;=Premissas!$B$27,A98-Premissas!$B$48+1&lt;=Premissas!$B$13),INDEX(Financiamento!$C$6:$C$485,A98-Premissas!$B$48+1),0)</x:f>
        <x:v>0</x:v>
      </x:c>
      <x:c r="G98" s="141" t="n">
        <x:f>IF(AND(A98&gt;=Premissas!$B$48,A98&lt;=Premissas!$B$27,A98-Premissas!$B$48+1&lt;=Premissas!$B$13),INDEX(Financiamento!$J$6:$J$485,A98-Premissas!$B$48+1),0)</x:f>
        <x:v>0</x:v>
      </x:c>
      <x:c r="H98" s="141" t="n">
        <x:f>IF(AND(A98&gt;=Premissas!$B$48,A98&lt;=Premissas!$B$27,A98-Premissas!$B$48+1&lt;=Premissas!$B$13),INDEX(Financiamento!$M$6:$M$485,A98-Premissas!$B$48+1),0)</x:f>
        <x:v>0</x:v>
      </x:c>
      <x:c r="I98" s="141" t="n">
        <x:f>IF(A98=Premissas!$B$27,MIN(D98,H98),0)</x:f>
        <x:v>0</x:v>
      </x:c>
      <x:c r="J98" s="141" t="n">
        <x:f>IF(A98=Premissas!$B$27,D98-H98,0)</x:f>
        <x:v>0</x:v>
      </x:c>
      <x:c r="K98" s="141" t="n">
        <x:f>E98+G98</x:f>
        <x:v>857.7697232000017</x:v>
      </x:c>
      <x:c r="L98" s="141" t="n">
        <x:f>SUM($K$6:K98)</x:f>
        <x:v>181732.09840353142</x:v>
      </x:c>
      <x:c r="M98" s="141" t="str">
        <x:f>IF(A98&lt;Premissas!$B$27,"Financiamento + consorcio",IF(A98=Premissas!$B$27,"Quitacao via carta",IF(A98&lt;=Premissas!$B$25,"Somente consorcio","Encerrado")))</x:f>
        <x:v>Somente consorcio</x:v>
      </x:c>
      <x:c r="N98" s="141" t="n">
        <x:f>IF(A98&gt;=Premissas!$B$25,0,(N99+E99)/(1+Premissas!$B$41))</x:f>
        <x:v>92600.36546809078</x:v>
      </x:c>
      <x:c r="O98" s="141" t="n">
        <x:f>IF(A98&lt;Premissas!$B$27,Premissas!$B$31/(1+Premissas!$B$41)^(Premissas!$B$27-A98),0)</x:f>
        <x:v>0</x:v>
      </x:c>
      <x:c r="P98" s="141" t="n">
        <x:f>MAX(0,H98-I98)+N98</x:f>
        <x:v>92600.36546809078</x:v>
      </x:c>
    </x:row>
    <x:row r="99">
      <x:c r="A99" s="142" t="n">
        <x:v>94</x:v>
      </x:c>
      <x:c r="B99" s="179" t="n">
        <x:f>EDATE(Premissas!$B$4,93)</x:f>
        <x:v>49369</x:v>
      </x:c>
      <x:c r="C99" s="180" t="n">
        <x:f>(1+Premissas!$B$26)^INT((A99-1)/12)</x:f>
        <x:v>1.5036302589913606</x:v>
      </x:c>
      <x:c r="D99" s="141" t="n">
        <x:f>Premissas!$B$30*C99</x:f>
        <x:v>163339.33714285746</x:v>
      </x:c>
      <x:c r="E99" s="141" t="n">
        <x:f>IF(A99&lt;=Premissas!$B$25,Premissas!$B$32*C99,0)</x:f>
        <x:v>857.7697232000017</x:v>
      </x:c>
      <x:c r="F99" s="141" t="n">
        <x:f>IF(AND(A99&gt;=Premissas!$B$48,A99&lt;=Premissas!$B$27,A99-Premissas!$B$48+1&lt;=Premissas!$B$13),INDEX(Financiamento!$C$6:$C$485,A99-Premissas!$B$48+1),0)</x:f>
        <x:v>0</x:v>
      </x:c>
      <x:c r="G99" s="141" t="n">
        <x:f>IF(AND(A99&gt;=Premissas!$B$48,A99&lt;=Premissas!$B$27,A99-Premissas!$B$48+1&lt;=Premissas!$B$13),INDEX(Financiamento!$J$6:$J$485,A99-Premissas!$B$48+1),0)</x:f>
        <x:v>0</x:v>
      </x:c>
      <x:c r="H99" s="141" t="n">
        <x:f>IF(AND(A99&gt;=Premissas!$B$48,A99&lt;=Premissas!$B$27,A99-Premissas!$B$48+1&lt;=Premissas!$B$13),INDEX(Financiamento!$M$6:$M$485,A99-Premissas!$B$48+1),0)</x:f>
        <x:v>0</x:v>
      </x:c>
      <x:c r="I99" s="141" t="n">
        <x:f>IF(A99=Premissas!$B$27,MIN(D99,H99),0)</x:f>
        <x:v>0</x:v>
      </x:c>
      <x:c r="J99" s="141" t="n">
        <x:f>IF(A99=Premissas!$B$27,D99-H99,0)</x:f>
        <x:v>0</x:v>
      </x:c>
      <x:c r="K99" s="141" t="n">
        <x:f>E99+G99</x:f>
        <x:v>857.7697232000017</x:v>
      </x:c>
      <x:c r="L99" s="141" t="n">
        <x:f>SUM($K$6:K99)</x:f>
        <x:v>182589.86812673142</x:v>
      </x:c>
      <x:c r="M99" s="141" t="str">
        <x:f>IF(A99&lt;Premissas!$B$27,"Financiamento + consorcio",IF(A99=Premissas!$B$27,"Quitacao via carta",IF(A99&lt;=Premissas!$B$25,"Somente consorcio","Encerrado")))</x:f>
        <x:v>Somente consorcio</x:v>
      </x:c>
      <x:c r="N99" s="141" t="n">
        <x:f>IF(A99&gt;=Premissas!$B$25,0,(N100+E100)/(1+Premissas!$B$41))</x:f>
        <x:v>92621.2614384842</x:v>
      </x:c>
      <x:c r="O99" s="141" t="n">
        <x:f>IF(A99&lt;Premissas!$B$27,Premissas!$B$31/(1+Premissas!$B$41)^(Premissas!$B$27-A99),0)</x:f>
        <x:v>0</x:v>
      </x:c>
      <x:c r="P99" s="141" t="n">
        <x:f>MAX(0,H99-I99)+N99</x:f>
        <x:v>92621.2614384842</x:v>
      </x:c>
    </x:row>
    <x:row r="100">
      <x:c r="A100" s="142" t="n">
        <x:v>95</x:v>
      </x:c>
      <x:c r="B100" s="179" t="n">
        <x:f>EDATE(Premissas!$B$4,94)</x:f>
        <x:v>49400</x:v>
      </x:c>
      <x:c r="C100" s="180" t="n">
        <x:f>(1+Premissas!$B$26)^INT((A100-1)/12)</x:f>
        <x:v>1.5036302589913606</x:v>
      </x:c>
      <x:c r="D100" s="141" t="n">
        <x:f>Premissas!$B$30*C100</x:f>
        <x:v>163339.33714285746</x:v>
      </x:c>
      <x:c r="E100" s="141" t="n">
        <x:f>IF(A100&lt;=Premissas!$B$25,Premissas!$B$32*C100,0)</x:f>
        <x:v>857.7697232000017</x:v>
      </x:c>
      <x:c r="F100" s="141" t="n">
        <x:f>IF(AND(A100&gt;=Premissas!$B$48,A100&lt;=Premissas!$B$27,A100-Premissas!$B$48+1&lt;=Premissas!$B$13),INDEX(Financiamento!$C$6:$C$485,A100-Premissas!$B$48+1),0)</x:f>
        <x:v>0</x:v>
      </x:c>
      <x:c r="G100" s="141" t="n">
        <x:f>IF(AND(A100&gt;=Premissas!$B$48,A100&lt;=Premissas!$B$27,A100-Premissas!$B$48+1&lt;=Premissas!$B$13),INDEX(Financiamento!$J$6:$J$485,A100-Premissas!$B$48+1),0)</x:f>
        <x:v>0</x:v>
      </x:c>
      <x:c r="H100" s="141" t="n">
        <x:f>IF(AND(A100&gt;=Premissas!$B$48,A100&lt;=Premissas!$B$27,A100-Premissas!$B$48+1&lt;=Premissas!$B$13),INDEX(Financiamento!$M$6:$M$485,A100-Premissas!$B$48+1),0)</x:f>
        <x:v>0</x:v>
      </x:c>
      <x:c r="I100" s="141" t="n">
        <x:f>IF(A100=Premissas!$B$27,MIN(D100,H100),0)</x:f>
        <x:v>0</x:v>
      </x:c>
      <x:c r="J100" s="141" t="n">
        <x:f>IF(A100=Premissas!$B$27,D100-H100,0)</x:f>
        <x:v>0</x:v>
      </x:c>
      <x:c r="K100" s="141" t="n">
        <x:f>E100+G100</x:f>
        <x:v>857.7697232000017</x:v>
      </x:c>
      <x:c r="L100" s="141" t="n">
        <x:f>SUM($K$6:K100)</x:f>
        <x:v>183447.63784993143</x:v>
      </x:c>
      <x:c r="M100" s="141" t="str">
        <x:f>IF(A100&lt;Premissas!$B$27,"Financiamento + consorcio",IF(A100=Premissas!$B$27,"Quitacao via carta",IF(A100&lt;=Premissas!$B$25,"Somente consorcio","Encerrado")))</x:f>
        <x:v>Somente consorcio</x:v>
      </x:c>
      <x:c r="N100" s="141" t="n">
        <x:f>IF(A100&gt;=Premissas!$B$25,0,(N101+E101)/(1+Premissas!$B$41))</x:f>
        <x:v>92642.35568641385</x:v>
      </x:c>
      <x:c r="O100" s="141" t="n">
        <x:f>IF(A100&lt;Premissas!$B$27,Premissas!$B$31/(1+Premissas!$B$41)^(Premissas!$B$27-A100),0)</x:f>
        <x:v>0</x:v>
      </x:c>
      <x:c r="P100" s="141" t="n">
        <x:f>MAX(0,H100-I100)+N100</x:f>
        <x:v>92642.35568641385</x:v>
      </x:c>
    </x:row>
    <x:row r="101">
      <x:c r="A101" s="142" t="n">
        <x:v>96</x:v>
      </x:c>
      <x:c r="B101" s="179" t="n">
        <x:f>EDATE(Premissas!$B$4,95)</x:f>
        <x:v>49430</x:v>
      </x:c>
      <x:c r="C101" s="180" t="n">
        <x:f>(1+Premissas!$B$26)^INT((A101-1)/12)</x:f>
        <x:v>1.5036302589913606</x:v>
      </x:c>
      <x:c r="D101" s="141" t="n">
        <x:f>Premissas!$B$30*C101</x:f>
        <x:v>163339.33714285746</x:v>
      </x:c>
      <x:c r="E101" s="141" t="n">
        <x:f>IF(A101&lt;=Premissas!$B$25,Premissas!$B$32*C101,0)</x:f>
        <x:v>857.7697232000017</x:v>
      </x:c>
      <x:c r="F101" s="141" t="n">
        <x:f>IF(AND(A101&gt;=Premissas!$B$48,A101&lt;=Premissas!$B$27,A101-Premissas!$B$48+1&lt;=Premissas!$B$13),INDEX(Financiamento!$C$6:$C$485,A101-Premissas!$B$48+1),0)</x:f>
        <x:v>0</x:v>
      </x:c>
      <x:c r="G101" s="141" t="n">
        <x:f>IF(AND(A101&gt;=Premissas!$B$48,A101&lt;=Premissas!$B$27,A101-Premissas!$B$48+1&lt;=Premissas!$B$13),INDEX(Financiamento!$J$6:$J$485,A101-Premissas!$B$48+1),0)</x:f>
        <x:v>0</x:v>
      </x:c>
      <x:c r="H101" s="141" t="n">
        <x:f>IF(AND(A101&gt;=Premissas!$B$48,A101&lt;=Premissas!$B$27,A101-Premissas!$B$48+1&lt;=Premissas!$B$13),INDEX(Financiamento!$M$6:$M$485,A101-Premissas!$B$48+1),0)</x:f>
        <x:v>0</x:v>
      </x:c>
      <x:c r="I101" s="141" t="n">
        <x:f>IF(A101=Premissas!$B$27,MIN(D101,H101),0)</x:f>
        <x:v>0</x:v>
      </x:c>
      <x:c r="J101" s="141" t="n">
        <x:f>IF(A101=Premissas!$B$27,D101-H101,0)</x:f>
        <x:v>0</x:v>
      </x:c>
      <x:c r="K101" s="141" t="n">
        <x:f>E101+G101</x:f>
        <x:v>857.7697232000017</x:v>
      </x:c>
      <x:c r="L101" s="141" t="n">
        <x:f>SUM($K$6:K101)</x:f>
        <x:v>184305.40757313144</x:v>
      </x:c>
      <x:c r="M101" s="141" t="str">
        <x:f>IF(A101&lt;Premissas!$B$27,"Financiamento + consorcio",IF(A101=Premissas!$B$27,"Quitacao via carta",IF(A101&lt;=Premissas!$B$25,"Somente consorcio","Encerrado")))</x:f>
        <x:v>Somente consorcio</x:v>
      </x:c>
      <x:c r="N101" s="141" t="n">
        <x:f>IF(A101&gt;=Premissas!$B$25,0,(N102+E102)/(1+Premissas!$B$41))</x:f>
        <x:v>92663.65009329421</x:v>
      </x:c>
      <x:c r="O101" s="141" t="n">
        <x:f>IF(A101&lt;Premissas!$B$27,Premissas!$B$31/(1+Premissas!$B$41)^(Premissas!$B$27-A101),0)</x:f>
        <x:v>0</x:v>
      </x:c>
      <x:c r="P101" s="141" t="n">
        <x:f>MAX(0,H101-I101)+N101</x:f>
        <x:v>92663.65009329421</x:v>
      </x:c>
    </x:row>
    <x:row r="102">
      <x:c r="A102" s="142" t="n">
        <x:v>97</x:v>
      </x:c>
      <x:c r="B102" s="179" t="n">
        <x:f>EDATE(Premissas!$B$4,96)</x:f>
        <x:v>49461</x:v>
      </x:c>
      <x:c r="C102" s="180" t="n">
        <x:f>(1+Premissas!$B$26)^INT((A102-1)/12)</x:f>
        <x:v>1.5938480745308423</x:v>
      </x:c>
      <x:c r="D102" s="141" t="n">
        <x:f>Premissas!$B$30*C102</x:f>
        <x:v>173139.69737142892</x:v>
      </x:c>
      <x:c r="E102" s="141" t="n">
        <x:f>IF(A102&lt;=Premissas!$B$25,Premissas!$B$32*C102,0)</x:f>
        <x:v>909.2359065920019</x:v>
      </x:c>
      <x:c r="F102" s="141" t="n">
        <x:f>IF(AND(A102&gt;=Premissas!$B$48,A102&lt;=Premissas!$B$27,A102-Premissas!$B$48+1&lt;=Premissas!$B$13),INDEX(Financiamento!$C$6:$C$485,A102-Premissas!$B$48+1),0)</x:f>
        <x:v>0</x:v>
      </x:c>
      <x:c r="G102" s="141" t="n">
        <x:f>IF(AND(A102&gt;=Premissas!$B$48,A102&lt;=Premissas!$B$27,A102-Premissas!$B$48+1&lt;=Premissas!$B$13),INDEX(Financiamento!$J$6:$J$485,A102-Premissas!$B$48+1),0)</x:f>
        <x:v>0</x:v>
      </x:c>
      <x:c r="H102" s="141" t="n">
        <x:f>IF(AND(A102&gt;=Premissas!$B$48,A102&lt;=Premissas!$B$27,A102-Premissas!$B$48+1&lt;=Premissas!$B$13),INDEX(Financiamento!$M$6:$M$485,A102-Premissas!$B$48+1),0)</x:f>
        <x:v>0</x:v>
      </x:c>
      <x:c r="I102" s="141" t="n">
        <x:f>IF(A102=Premissas!$B$27,MIN(D102,H102),0)</x:f>
        <x:v>0</x:v>
      </x:c>
      <x:c r="J102" s="141" t="n">
        <x:f>IF(A102=Premissas!$B$27,D102-H102,0)</x:f>
        <x:v>0</x:v>
      </x:c>
      <x:c r="K102" s="141" t="n">
        <x:f>E102+G102</x:f>
        <x:v>909.2359065920019</x:v>
      </x:c>
      <x:c r="L102" s="141" t="n">
        <x:f>SUM($K$6:K102)</x:f>
        <x:v>185214.64347972343</x:v>
      </x:c>
      <x:c r="M102" s="141" t="str">
        <x:f>IF(A102&lt;Premissas!$B$27,"Financiamento + consorcio",IF(A102=Premissas!$B$27,"Quitacao via carta",IF(A102&lt;=Premissas!$B$25,"Somente consorcio","Encerrado")))</x:f>
        <x:v>Somente consorcio</x:v>
      </x:c>
      <x:c r="N102" s="141" t="n">
        <x:f>IF(A102&gt;=Premissas!$B$25,0,(N103+E103)/(1+Premissas!$B$41))</x:f>
        <x:v>92633.68037500014</x:v>
      </x:c>
      <x:c r="O102" s="141" t="n">
        <x:f>IF(A102&lt;Premissas!$B$27,Premissas!$B$31/(1+Premissas!$B$41)^(Premissas!$B$27-A102),0)</x:f>
        <x:v>0</x:v>
      </x:c>
      <x:c r="P102" s="141" t="n">
        <x:f>MAX(0,H102-I102)+N102</x:f>
        <x:v>92633.68037500014</x:v>
      </x:c>
    </x:row>
    <x:row r="103">
      <x:c r="A103" s="142" t="n">
        <x:v>98</x:v>
      </x:c>
      <x:c r="B103" s="179" t="n">
        <x:f>EDATE(Premissas!$B$4,97)</x:f>
        <x:v>49491</x:v>
      </x:c>
      <x:c r="C103" s="180" t="n">
        <x:f>(1+Premissas!$B$26)^INT((A103-1)/12)</x:f>
        <x:v>1.5938480745308423</x:v>
      </x:c>
      <x:c r="D103" s="141" t="n">
        <x:f>Premissas!$B$30*C103</x:f>
        <x:v>173139.69737142892</x:v>
      </x:c>
      <x:c r="E103" s="141" t="n">
        <x:f>IF(A103&lt;=Premissas!$B$25,Premissas!$B$32*C103,0)</x:f>
        <x:v>909.2359065920019</x:v>
      </x:c>
      <x:c r="F103" s="141" t="n">
        <x:f>IF(AND(A103&gt;=Premissas!$B$48,A103&lt;=Premissas!$B$27,A103-Premissas!$B$48+1&lt;=Premissas!$B$13),INDEX(Financiamento!$C$6:$C$485,A103-Premissas!$B$48+1),0)</x:f>
        <x:v>0</x:v>
      </x:c>
      <x:c r="G103" s="141" t="n">
        <x:f>IF(AND(A103&gt;=Premissas!$B$48,A103&lt;=Premissas!$B$27,A103-Premissas!$B$48+1&lt;=Premissas!$B$13),INDEX(Financiamento!$J$6:$J$485,A103-Premissas!$B$48+1),0)</x:f>
        <x:v>0</x:v>
      </x:c>
      <x:c r="H103" s="141" t="n">
        <x:f>IF(AND(A103&gt;=Premissas!$B$48,A103&lt;=Premissas!$B$27,A103-Premissas!$B$48+1&lt;=Premissas!$B$13),INDEX(Financiamento!$M$6:$M$485,A103-Premissas!$B$48+1),0)</x:f>
        <x:v>0</x:v>
      </x:c>
      <x:c r="I103" s="141" t="n">
        <x:f>IF(A103=Premissas!$B$27,MIN(D103,H103),0)</x:f>
        <x:v>0</x:v>
      </x:c>
      <x:c r="J103" s="141" t="n">
        <x:f>IF(A103=Premissas!$B$27,D103-H103,0)</x:f>
        <x:v>0</x:v>
      </x:c>
      <x:c r="K103" s="141" t="n">
        <x:f>E103+G103</x:f>
        <x:v>909.2359065920019</x:v>
      </x:c>
      <x:c r="L103" s="141" t="n">
        <x:f>SUM($K$6:K103)</x:f>
        <x:v>186123.8793863154</x:v>
      </x:c>
      <x:c r="M103" s="141" t="str">
        <x:f>IF(A103&lt;Premissas!$B$27,"Financiamento + consorcio",IF(A103=Premissas!$B$27,"Quitacao via carta",IF(A103&lt;=Premissas!$B$25,"Somente consorcio","Encerrado")))</x:f>
        <x:v>Somente consorcio</x:v>
      </x:c>
      <x:c r="N103" s="141" t="n">
        <x:f>IF(A103&gt;=Premissas!$B$25,0,(N104+E104)/(1+Premissas!$B$41))</x:f>
        <x:v>92603.42628025486</x:v>
      </x:c>
      <x:c r="O103" s="141" t="n">
        <x:f>IF(A103&lt;Premissas!$B$27,Premissas!$B$31/(1+Premissas!$B$41)^(Premissas!$B$27-A103),0)</x:f>
        <x:v>0</x:v>
      </x:c>
      <x:c r="P103" s="141" t="n">
        <x:f>MAX(0,H103-I103)+N103</x:f>
        <x:v>92603.42628025486</x:v>
      </x:c>
    </x:row>
    <x:row r="104">
      <x:c r="A104" s="142" t="n">
        <x:v>99</x:v>
      </x:c>
      <x:c r="B104" s="179" t="n">
        <x:f>EDATE(Premissas!$B$4,98)</x:f>
        <x:v>49522</x:v>
      </x:c>
      <x:c r="C104" s="180" t="n">
        <x:f>(1+Premissas!$B$26)^INT((A104-1)/12)</x:f>
        <x:v>1.5938480745308423</x:v>
      </x:c>
      <x:c r="D104" s="141" t="n">
        <x:f>Premissas!$B$30*C104</x:f>
        <x:v>173139.69737142892</x:v>
      </x:c>
      <x:c r="E104" s="141" t="n">
        <x:f>IF(A104&lt;=Premissas!$B$25,Premissas!$B$32*C104,0)</x:f>
        <x:v>909.2359065920019</x:v>
      </x:c>
      <x:c r="F104" s="141" t="n">
        <x:f>IF(AND(A104&gt;=Premissas!$B$48,A104&lt;=Premissas!$B$27,A104-Premissas!$B$48+1&lt;=Premissas!$B$13),INDEX(Financiamento!$C$6:$C$485,A104-Premissas!$B$48+1),0)</x:f>
        <x:v>0</x:v>
      </x:c>
      <x:c r="G104" s="141" t="n">
        <x:f>IF(AND(A104&gt;=Premissas!$B$48,A104&lt;=Premissas!$B$27,A104-Premissas!$B$48+1&lt;=Premissas!$B$13),INDEX(Financiamento!$J$6:$J$485,A104-Premissas!$B$48+1),0)</x:f>
        <x:v>0</x:v>
      </x:c>
      <x:c r="H104" s="141" t="n">
        <x:f>IF(AND(A104&gt;=Premissas!$B$48,A104&lt;=Premissas!$B$27,A104-Premissas!$B$48+1&lt;=Premissas!$B$13),INDEX(Financiamento!$M$6:$M$485,A104-Premissas!$B$48+1),0)</x:f>
        <x:v>0</x:v>
      </x:c>
      <x:c r="I104" s="141" t="n">
        <x:f>IF(A104=Premissas!$B$27,MIN(D104,H104),0)</x:f>
        <x:v>0</x:v>
      </x:c>
      <x:c r="J104" s="141" t="n">
        <x:f>IF(A104=Premissas!$B$27,D104-H104,0)</x:f>
        <x:v>0</x:v>
      </x:c>
      <x:c r="K104" s="141" t="n">
        <x:f>E104+G104</x:f>
        <x:v>909.2359065920019</x:v>
      </x:c>
      <x:c r="L104" s="141" t="n">
        <x:f>SUM($K$6:K104)</x:f>
        <x:v>187033.1152929074</x:v>
      </x:c>
      <x:c r="M104" s="141" t="str">
        <x:f>IF(A104&lt;Premissas!$B$27,"Financiamento + consorcio",IF(A104=Premissas!$B$27,"Quitacao via carta",IF(A104&lt;=Premissas!$B$25,"Somente consorcio","Encerrado")))</x:f>
        <x:v>Somente consorcio</x:v>
      </x:c>
      <x:c r="N104" s="141" t="n">
        <x:f>IF(A104&gt;=Premissas!$B$25,0,(N105+E105)/(1+Premissas!$B$41))</x:f>
        <x:v>92572.88511066913</x:v>
      </x:c>
      <x:c r="O104" s="141" t="n">
        <x:f>IF(A104&lt;Premissas!$B$27,Premissas!$B$31/(1+Premissas!$B$41)^(Premissas!$B$27-A104),0)</x:f>
        <x:v>0</x:v>
      </x:c>
      <x:c r="P104" s="141" t="n">
        <x:f>MAX(0,H104-I104)+N104</x:f>
        <x:v>92572.88511066913</x:v>
      </x:c>
    </x:row>
    <x:row r="105">
      <x:c r="A105" s="142" t="n">
        <x:v>100</x:v>
      </x:c>
      <x:c r="B105" s="179" t="n">
        <x:f>EDATE(Premissas!$B$4,99)</x:f>
        <x:v>49553</x:v>
      </x:c>
      <x:c r="C105" s="180" t="n">
        <x:f>(1+Premissas!$B$26)^INT((A105-1)/12)</x:f>
        <x:v>1.5938480745308423</x:v>
      </x:c>
      <x:c r="D105" s="141" t="n">
        <x:f>Premissas!$B$30*C105</x:f>
        <x:v>173139.69737142892</x:v>
      </x:c>
      <x:c r="E105" s="141" t="n">
        <x:f>IF(A105&lt;=Premissas!$B$25,Premissas!$B$32*C105,0)</x:f>
        <x:v>909.2359065920019</x:v>
      </x:c>
      <x:c r="F105" s="141" t="n">
        <x:f>IF(AND(A105&gt;=Premissas!$B$48,A105&lt;=Premissas!$B$27,A105-Premissas!$B$48+1&lt;=Premissas!$B$13),INDEX(Financiamento!$C$6:$C$485,A105-Premissas!$B$48+1),0)</x:f>
        <x:v>0</x:v>
      </x:c>
      <x:c r="G105" s="141" t="n">
        <x:f>IF(AND(A105&gt;=Premissas!$B$48,A105&lt;=Premissas!$B$27,A105-Premissas!$B$48+1&lt;=Premissas!$B$13),INDEX(Financiamento!$J$6:$J$485,A105-Premissas!$B$48+1),0)</x:f>
        <x:v>0</x:v>
      </x:c>
      <x:c r="H105" s="141" t="n">
        <x:f>IF(AND(A105&gt;=Premissas!$B$48,A105&lt;=Premissas!$B$27,A105-Premissas!$B$48+1&lt;=Premissas!$B$13),INDEX(Financiamento!$M$6:$M$485,A105-Premissas!$B$48+1),0)</x:f>
        <x:v>0</x:v>
      </x:c>
      <x:c r="I105" s="141" t="n">
        <x:f>IF(A105=Premissas!$B$27,MIN(D105,H105),0)</x:f>
        <x:v>0</x:v>
      </x:c>
      <x:c r="J105" s="141" t="n">
        <x:f>IF(A105=Premissas!$B$27,D105-H105,0)</x:f>
        <x:v>0</x:v>
      </x:c>
      <x:c r="K105" s="141" t="n">
        <x:f>E105+G105</x:f>
        <x:v>909.2359065920019</x:v>
      </x:c>
      <x:c r="L105" s="141" t="n">
        <x:f>SUM($K$6:K105)</x:f>
        <x:v>187942.3511994994</x:v>
      </x:c>
      <x:c r="M105" s="141" t="str">
        <x:f>IF(A105&lt;Premissas!$B$27,"Financiamento + consorcio",IF(A105=Premissas!$B$27,"Quitacao via carta",IF(A105&lt;=Premissas!$B$25,"Somente consorcio","Encerrado")))</x:f>
        <x:v>Somente consorcio</x:v>
      </x:c>
      <x:c r="N105" s="141" t="n">
        <x:f>IF(A105&gt;=Premissas!$B$25,0,(N106+E106)/(1+Premissas!$B$41))</x:f>
        <x:v>92542.05414224921</x:v>
      </x:c>
      <x:c r="O105" s="141" t="n">
        <x:f>IF(A105&lt;Premissas!$B$27,Premissas!$B$31/(1+Premissas!$B$41)^(Premissas!$B$27-A105),0)</x:f>
        <x:v>0</x:v>
      </x:c>
      <x:c r="P105" s="141" t="n">
        <x:f>MAX(0,H105-I105)+N105</x:f>
        <x:v>92542.05414224921</x:v>
      </x:c>
    </x:row>
    <x:row r="106">
      <x:c r="A106" s="142" t="n">
        <x:v>101</x:v>
      </x:c>
      <x:c r="B106" s="179" t="n">
        <x:f>EDATE(Premissas!$B$4,100)</x:f>
        <x:v>49583</x:v>
      </x:c>
      <x:c r="C106" s="180" t="n">
        <x:f>(1+Premissas!$B$26)^INT((A106-1)/12)</x:f>
        <x:v>1.5938480745308423</x:v>
      </x:c>
      <x:c r="D106" s="141" t="n">
        <x:f>Premissas!$B$30*C106</x:f>
        <x:v>173139.69737142892</x:v>
      </x:c>
      <x:c r="E106" s="141" t="n">
        <x:f>IF(A106&lt;=Premissas!$B$25,Premissas!$B$32*C106,0)</x:f>
        <x:v>909.2359065920019</x:v>
      </x:c>
      <x:c r="F106" s="141" t="n">
        <x:f>IF(AND(A106&gt;=Premissas!$B$48,A106&lt;=Premissas!$B$27,A106-Premissas!$B$48+1&lt;=Premissas!$B$13),INDEX(Financiamento!$C$6:$C$485,A106-Premissas!$B$48+1),0)</x:f>
        <x:v>0</x:v>
      </x:c>
      <x:c r="G106" s="141" t="n">
        <x:f>IF(AND(A106&gt;=Premissas!$B$48,A106&lt;=Premissas!$B$27,A106-Premissas!$B$48+1&lt;=Premissas!$B$13),INDEX(Financiamento!$J$6:$J$485,A106-Premissas!$B$48+1),0)</x:f>
        <x:v>0</x:v>
      </x:c>
      <x:c r="H106" s="141" t="n">
        <x:f>IF(AND(A106&gt;=Premissas!$B$48,A106&lt;=Premissas!$B$27,A106-Premissas!$B$48+1&lt;=Premissas!$B$13),INDEX(Financiamento!$M$6:$M$485,A106-Premissas!$B$48+1),0)</x:f>
        <x:v>0</x:v>
      </x:c>
      <x:c r="I106" s="141" t="n">
        <x:f>IF(A106=Premissas!$B$27,MIN(D106,H106),0)</x:f>
        <x:v>0</x:v>
      </x:c>
      <x:c r="J106" s="141" t="n">
        <x:f>IF(A106=Premissas!$B$27,D106-H106,0)</x:f>
        <x:v>0</x:v>
      </x:c>
      <x:c r="K106" s="141" t="n">
        <x:f>E106+G106</x:f>
        <x:v>909.2359065920019</x:v>
      </x:c>
      <x:c r="L106" s="141" t="n">
        <x:f>SUM($K$6:K106)</x:f>
        <x:v>188851.58710609138</x:v>
      </x:c>
      <x:c r="M106" s="141" t="str">
        <x:f>IF(A106&lt;Premissas!$B$27,"Financiamento + consorcio",IF(A106=Premissas!$B$27,"Quitacao via carta",IF(A106&lt;=Premissas!$B$25,"Somente consorcio","Encerrado")))</x:f>
        <x:v>Somente consorcio</x:v>
      </x:c>
      <x:c r="N106" s="141" t="n">
        <x:f>IF(A106&gt;=Premissas!$B$25,0,(N107+E107)/(1+Premissas!$B$41))</x:f>
        <x:v>92510.93062515398</x:v>
      </x:c>
      <x:c r="O106" s="141" t="n">
        <x:f>IF(A106&lt;Premissas!$B$27,Premissas!$B$31/(1+Premissas!$B$41)^(Premissas!$B$27-A106),0)</x:f>
        <x:v>0</x:v>
      </x:c>
      <x:c r="P106" s="141" t="n">
        <x:f>MAX(0,H106-I106)+N106</x:f>
        <x:v>92510.93062515398</x:v>
      </x:c>
    </x:row>
    <x:row r="107">
      <x:c r="A107" s="142" t="n">
        <x:v>102</x:v>
      </x:c>
      <x:c r="B107" s="179" t="n">
        <x:f>EDATE(Premissas!$B$4,101)</x:f>
        <x:v>49614</x:v>
      </x:c>
      <x:c r="C107" s="180" t="n">
        <x:f>(1+Premissas!$B$26)^INT((A107-1)/12)</x:f>
        <x:v>1.5938480745308423</x:v>
      </x:c>
      <x:c r="D107" s="141" t="n">
        <x:f>Premissas!$B$30*C107</x:f>
        <x:v>173139.69737142892</x:v>
      </x:c>
      <x:c r="E107" s="141" t="n">
        <x:f>IF(A107&lt;=Premissas!$B$25,Premissas!$B$32*C107,0)</x:f>
        <x:v>909.2359065920019</x:v>
      </x:c>
      <x:c r="F107" s="141" t="n">
        <x:f>IF(AND(A107&gt;=Premissas!$B$48,A107&lt;=Premissas!$B$27,A107-Premissas!$B$48+1&lt;=Premissas!$B$13),INDEX(Financiamento!$C$6:$C$485,A107-Premissas!$B$48+1),0)</x:f>
        <x:v>0</x:v>
      </x:c>
      <x:c r="G107" s="141" t="n">
        <x:f>IF(AND(A107&gt;=Premissas!$B$48,A107&lt;=Premissas!$B$27,A107-Premissas!$B$48+1&lt;=Premissas!$B$13),INDEX(Financiamento!$J$6:$J$485,A107-Premissas!$B$48+1),0)</x:f>
        <x:v>0</x:v>
      </x:c>
      <x:c r="H107" s="141" t="n">
        <x:f>IF(AND(A107&gt;=Premissas!$B$48,A107&lt;=Premissas!$B$27,A107-Premissas!$B$48+1&lt;=Premissas!$B$13),INDEX(Financiamento!$M$6:$M$485,A107-Premissas!$B$48+1),0)</x:f>
        <x:v>0</x:v>
      </x:c>
      <x:c r="I107" s="141" t="n">
        <x:f>IF(A107=Premissas!$B$27,MIN(D107,H107),0)</x:f>
        <x:v>0</x:v>
      </x:c>
      <x:c r="J107" s="141" t="n">
        <x:f>IF(A107=Premissas!$B$27,D107-H107,0)</x:f>
        <x:v>0</x:v>
      </x:c>
      <x:c r="K107" s="141" t="n">
        <x:f>E107+G107</x:f>
        <x:v>909.2359065920019</x:v>
      </x:c>
      <x:c r="L107" s="141" t="n">
        <x:f>SUM($K$6:K107)</x:f>
        <x:v>189760.82301268337</x:v>
      </x:c>
      <x:c r="M107" s="141" t="str">
        <x:f>IF(A107&lt;Premissas!$B$27,"Financiamento + consorcio",IF(A107=Premissas!$B$27,"Quitacao via carta",IF(A107&lt;=Premissas!$B$25,"Somente consorcio","Encerrado")))</x:f>
        <x:v>Somente consorcio</x:v>
      </x:c>
      <x:c r="N107" s="141" t="n">
        <x:f>IF(A107&gt;=Premissas!$B$25,0,(N108+E108)/(1+Premissas!$B$41))</x:f>
        <x:v>92479.51178344965</x:v>
      </x:c>
      <x:c r="O107" s="141" t="n">
        <x:f>IF(A107&lt;Premissas!$B$27,Premissas!$B$31/(1+Premissas!$B$41)^(Premissas!$B$27-A107),0)</x:f>
        <x:v>0</x:v>
      </x:c>
      <x:c r="P107" s="141" t="n">
        <x:f>MAX(0,H107-I107)+N107</x:f>
        <x:v>92479.51178344965</x:v>
      </x:c>
    </x:row>
    <x:row r="108">
      <x:c r="A108" s="142" t="n">
        <x:v>103</x:v>
      </x:c>
      <x:c r="B108" s="179" t="n">
        <x:f>EDATE(Premissas!$B$4,102)</x:f>
        <x:v>49644</x:v>
      </x:c>
      <x:c r="C108" s="180" t="n">
        <x:f>(1+Premissas!$B$26)^INT((A108-1)/12)</x:f>
        <x:v>1.5938480745308423</x:v>
      </x:c>
      <x:c r="D108" s="141" t="n">
        <x:f>Premissas!$B$30*C108</x:f>
        <x:v>173139.69737142892</x:v>
      </x:c>
      <x:c r="E108" s="141" t="n">
        <x:f>IF(A108&lt;=Premissas!$B$25,Premissas!$B$32*C108,0)</x:f>
        <x:v>909.2359065920019</x:v>
      </x:c>
      <x:c r="F108" s="141" t="n">
        <x:f>IF(AND(A108&gt;=Premissas!$B$48,A108&lt;=Premissas!$B$27,A108-Premissas!$B$48+1&lt;=Premissas!$B$13),INDEX(Financiamento!$C$6:$C$485,A108-Premissas!$B$48+1),0)</x:f>
        <x:v>0</x:v>
      </x:c>
      <x:c r="G108" s="141" t="n">
        <x:f>IF(AND(A108&gt;=Premissas!$B$48,A108&lt;=Premissas!$B$27,A108-Premissas!$B$48+1&lt;=Premissas!$B$13),INDEX(Financiamento!$J$6:$J$485,A108-Premissas!$B$48+1),0)</x:f>
        <x:v>0</x:v>
      </x:c>
      <x:c r="H108" s="141" t="n">
        <x:f>IF(AND(A108&gt;=Premissas!$B$48,A108&lt;=Premissas!$B$27,A108-Premissas!$B$48+1&lt;=Premissas!$B$13),INDEX(Financiamento!$M$6:$M$485,A108-Premissas!$B$48+1),0)</x:f>
        <x:v>0</x:v>
      </x:c>
      <x:c r="I108" s="141" t="n">
        <x:f>IF(A108=Premissas!$B$27,MIN(D108,H108),0)</x:f>
        <x:v>0</x:v>
      </x:c>
      <x:c r="J108" s="141" t="n">
        <x:f>IF(A108=Premissas!$B$27,D108-H108,0)</x:f>
        <x:v>0</x:v>
      </x:c>
      <x:c r="K108" s="141" t="n">
        <x:f>E108+G108</x:f>
        <x:v>909.2359065920019</x:v>
      </x:c>
      <x:c r="L108" s="141" t="n">
        <x:f>SUM($K$6:K108)</x:f>
        <x:v>190670.05891927535</x:v>
      </x:c>
      <x:c r="M108" s="141" t="str">
        <x:f>IF(A108&lt;Premissas!$B$27,"Financiamento + consorcio",IF(A108=Premissas!$B$27,"Quitacao via carta",IF(A108&lt;=Premissas!$B$25,"Somente consorcio","Encerrado")))</x:f>
        <x:v>Somente consorcio</x:v>
      </x:c>
      <x:c r="N108" s="141" t="n">
        <x:f>IF(A108&gt;=Premissas!$B$25,0,(N109+E109)/(1+Premissas!$B$41))</x:f>
        <x:v>92447.79481486214</x:v>
      </x:c>
      <x:c r="O108" s="141" t="n">
        <x:f>IF(A108&lt;Premissas!$B$27,Premissas!$B$31/(1+Premissas!$B$41)^(Premissas!$B$27-A108),0)</x:f>
        <x:v>0</x:v>
      </x:c>
      <x:c r="P108" s="141" t="n">
        <x:f>MAX(0,H108-I108)+N108</x:f>
        <x:v>92447.79481486214</x:v>
      </x:c>
    </x:row>
    <x:row r="109">
      <x:c r="A109" s="142" t="n">
        <x:v>104</x:v>
      </x:c>
      <x:c r="B109" s="179" t="n">
        <x:f>EDATE(Premissas!$B$4,103)</x:f>
        <x:v>49675</x:v>
      </x:c>
      <x:c r="C109" s="180" t="n">
        <x:f>(1+Premissas!$B$26)^INT((A109-1)/12)</x:f>
        <x:v>1.5938480745308423</x:v>
      </x:c>
      <x:c r="D109" s="141" t="n">
        <x:f>Premissas!$B$30*C109</x:f>
        <x:v>173139.69737142892</x:v>
      </x:c>
      <x:c r="E109" s="141" t="n">
        <x:f>IF(A109&lt;=Premissas!$B$25,Premissas!$B$32*C109,0)</x:f>
        <x:v>909.2359065920019</x:v>
      </x:c>
      <x:c r="F109" s="141" t="n">
        <x:f>IF(AND(A109&gt;=Premissas!$B$48,A109&lt;=Premissas!$B$27,A109-Premissas!$B$48+1&lt;=Premissas!$B$13),INDEX(Financiamento!$C$6:$C$485,A109-Premissas!$B$48+1),0)</x:f>
        <x:v>0</x:v>
      </x:c>
      <x:c r="G109" s="141" t="n">
        <x:f>IF(AND(A109&gt;=Premissas!$B$48,A109&lt;=Premissas!$B$27,A109-Premissas!$B$48+1&lt;=Premissas!$B$13),INDEX(Financiamento!$J$6:$J$485,A109-Premissas!$B$48+1),0)</x:f>
        <x:v>0</x:v>
      </x:c>
      <x:c r="H109" s="141" t="n">
        <x:f>IF(AND(A109&gt;=Premissas!$B$48,A109&lt;=Premissas!$B$27,A109-Premissas!$B$48+1&lt;=Premissas!$B$13),INDEX(Financiamento!$M$6:$M$485,A109-Premissas!$B$48+1),0)</x:f>
        <x:v>0</x:v>
      </x:c>
      <x:c r="I109" s="141" t="n">
        <x:f>IF(A109=Premissas!$B$27,MIN(D109,H109),0)</x:f>
        <x:v>0</x:v>
      </x:c>
      <x:c r="J109" s="141" t="n">
        <x:f>IF(A109=Premissas!$B$27,D109-H109,0)</x:f>
        <x:v>0</x:v>
      </x:c>
      <x:c r="K109" s="141" t="n">
        <x:f>E109+G109</x:f>
        <x:v>909.2359065920019</x:v>
      </x:c>
      <x:c r="L109" s="141" t="n">
        <x:f>SUM($K$6:K109)</x:f>
        <x:v>191579.29482586734</x:v>
      </x:c>
      <x:c r="M109" s="141" t="str">
        <x:f>IF(A109&lt;Premissas!$B$27,"Financiamento + consorcio",IF(A109=Premissas!$B$27,"Quitacao via carta",IF(A109&lt;=Premissas!$B$25,"Somente consorcio","Encerrado")))</x:f>
        <x:v>Somente consorcio</x:v>
      </x:c>
      <x:c r="N109" s="141" t="n">
        <x:f>IF(A109&gt;=Premissas!$B$25,0,(N110+E110)/(1+Premissas!$B$41))</x:f>
        <x:v>92415.77689052718</x:v>
      </x:c>
      <x:c r="O109" s="141" t="n">
        <x:f>IF(A109&lt;Premissas!$B$27,Premissas!$B$31/(1+Premissas!$B$41)^(Premissas!$B$27-A109),0)</x:f>
        <x:v>0</x:v>
      </x:c>
      <x:c r="P109" s="141" t="n">
        <x:f>MAX(0,H109-I109)+N109</x:f>
        <x:v>92415.77689052718</x:v>
      </x:c>
    </x:row>
    <x:row r="110">
      <x:c r="A110" s="142" t="n">
        <x:v>105</x:v>
      </x:c>
      <x:c r="B110" s="179" t="n">
        <x:f>EDATE(Premissas!$B$4,104)</x:f>
        <x:v>49706</x:v>
      </x:c>
      <x:c r="C110" s="180" t="n">
        <x:f>(1+Premissas!$B$26)^INT((A110-1)/12)</x:f>
        <x:v>1.5938480745308423</x:v>
      </x:c>
      <x:c r="D110" s="141" t="n">
        <x:f>Premissas!$B$30*C110</x:f>
        <x:v>173139.69737142892</x:v>
      </x:c>
      <x:c r="E110" s="141" t="n">
        <x:f>IF(A110&lt;=Premissas!$B$25,Premissas!$B$32*C110,0)</x:f>
        <x:v>909.2359065920019</x:v>
      </x:c>
      <x:c r="F110" s="141" t="n">
        <x:f>IF(AND(A110&gt;=Premissas!$B$48,A110&lt;=Premissas!$B$27,A110-Premissas!$B$48+1&lt;=Premissas!$B$13),INDEX(Financiamento!$C$6:$C$485,A110-Premissas!$B$48+1),0)</x:f>
        <x:v>0</x:v>
      </x:c>
      <x:c r="G110" s="141" t="n">
        <x:f>IF(AND(A110&gt;=Premissas!$B$48,A110&lt;=Premissas!$B$27,A110-Premissas!$B$48+1&lt;=Premissas!$B$13),INDEX(Financiamento!$J$6:$J$485,A110-Premissas!$B$48+1),0)</x:f>
        <x:v>0</x:v>
      </x:c>
      <x:c r="H110" s="141" t="n">
        <x:f>IF(AND(A110&gt;=Premissas!$B$48,A110&lt;=Premissas!$B$27,A110-Premissas!$B$48+1&lt;=Premissas!$B$13),INDEX(Financiamento!$M$6:$M$485,A110-Premissas!$B$48+1),0)</x:f>
        <x:v>0</x:v>
      </x:c>
      <x:c r="I110" s="141" t="n">
        <x:f>IF(A110=Premissas!$B$27,MIN(D110,H110),0)</x:f>
        <x:v>0</x:v>
      </x:c>
      <x:c r="J110" s="141" t="n">
        <x:f>IF(A110=Premissas!$B$27,D110-H110,0)</x:f>
        <x:v>0</x:v>
      </x:c>
      <x:c r="K110" s="141" t="n">
        <x:f>E110+G110</x:f>
        <x:v>909.2359065920019</x:v>
      </x:c>
      <x:c r="L110" s="141" t="n">
        <x:f>SUM($K$6:K110)</x:f>
        <x:v>192488.53073245933</x:v>
      </x:c>
      <x:c r="M110" s="141" t="str">
        <x:f>IF(A110&lt;Premissas!$B$27,"Financiamento + consorcio",IF(A110=Premissas!$B$27,"Quitacao via carta",IF(A110&lt;=Premissas!$B$25,"Somente consorcio","Encerrado")))</x:f>
        <x:v>Somente consorcio</x:v>
      </x:c>
      <x:c r="N110" s="141" t="n">
        <x:f>IF(A110&gt;=Premissas!$B$25,0,(N111+E111)/(1+Premissas!$B$41))</x:f>
        <x:v>92383.45515473801</x:v>
      </x:c>
      <x:c r="O110" s="141" t="n">
        <x:f>IF(A110&lt;Premissas!$B$27,Premissas!$B$31/(1+Premissas!$B$41)^(Premissas!$B$27-A110),0)</x:f>
        <x:v>0</x:v>
      </x:c>
      <x:c r="P110" s="141" t="n">
        <x:f>MAX(0,H110-I110)+N110</x:f>
        <x:v>92383.45515473801</x:v>
      </x:c>
    </x:row>
    <x:row r="111">
      <x:c r="A111" s="142" t="n">
        <x:v>106</x:v>
      </x:c>
      <x:c r="B111" s="179" t="n">
        <x:f>EDATE(Premissas!$B$4,105)</x:f>
        <x:v>49735</x:v>
      </x:c>
      <x:c r="C111" s="180" t="n">
        <x:f>(1+Premissas!$B$26)^INT((A111-1)/12)</x:f>
        <x:v>1.5938480745308423</x:v>
      </x:c>
      <x:c r="D111" s="141" t="n">
        <x:f>Premissas!$B$30*C111</x:f>
        <x:v>173139.69737142892</x:v>
      </x:c>
      <x:c r="E111" s="141" t="n">
        <x:f>IF(A111&lt;=Premissas!$B$25,Premissas!$B$32*C111,0)</x:f>
        <x:v>909.2359065920019</x:v>
      </x:c>
      <x:c r="F111" s="141" t="n">
        <x:f>IF(AND(A111&gt;=Premissas!$B$48,A111&lt;=Premissas!$B$27,A111-Premissas!$B$48+1&lt;=Premissas!$B$13),INDEX(Financiamento!$C$6:$C$485,A111-Premissas!$B$48+1),0)</x:f>
        <x:v>0</x:v>
      </x:c>
      <x:c r="G111" s="141" t="n">
        <x:f>IF(AND(A111&gt;=Premissas!$B$48,A111&lt;=Premissas!$B$27,A111-Premissas!$B$48+1&lt;=Premissas!$B$13),INDEX(Financiamento!$J$6:$J$485,A111-Premissas!$B$48+1),0)</x:f>
        <x:v>0</x:v>
      </x:c>
      <x:c r="H111" s="141" t="n">
        <x:f>IF(AND(A111&gt;=Premissas!$B$48,A111&lt;=Premissas!$B$27,A111-Premissas!$B$48+1&lt;=Premissas!$B$13),INDEX(Financiamento!$M$6:$M$485,A111-Premissas!$B$48+1),0)</x:f>
        <x:v>0</x:v>
      </x:c>
      <x:c r="I111" s="141" t="n">
        <x:f>IF(A111=Premissas!$B$27,MIN(D111,H111),0)</x:f>
        <x:v>0</x:v>
      </x:c>
      <x:c r="J111" s="141" t="n">
        <x:f>IF(A111=Premissas!$B$27,D111-H111,0)</x:f>
        <x:v>0</x:v>
      </x:c>
      <x:c r="K111" s="141" t="n">
        <x:f>E111+G111</x:f>
        <x:v>909.2359065920019</x:v>
      </x:c>
      <x:c r="L111" s="141" t="n">
        <x:f>SUM($K$6:K111)</x:f>
        <x:v>193397.76663905132</x:v>
      </x:c>
      <x:c r="M111" s="141" t="str">
        <x:f>IF(A111&lt;Premissas!$B$27,"Financiamento + consorcio",IF(A111=Premissas!$B$27,"Quitacao via carta",IF(A111&lt;=Premissas!$B$25,"Somente consorcio","Encerrado")))</x:f>
        <x:v>Somente consorcio</x:v>
      </x:c>
      <x:c r="N111" s="141" t="n">
        <x:f>IF(A111&gt;=Premissas!$B$25,0,(N112+E112)/(1+Premissas!$B$41))</x:f>
        <x:v>92350.82672469066</x:v>
      </x:c>
      <x:c r="O111" s="141" t="n">
        <x:f>IF(A111&lt;Premissas!$B$27,Premissas!$B$31/(1+Premissas!$B$41)^(Premissas!$B$27-A111),0)</x:f>
        <x:v>0</x:v>
      </x:c>
      <x:c r="P111" s="141" t="n">
        <x:f>MAX(0,H111-I111)+N111</x:f>
        <x:v>92350.82672469066</x:v>
      </x:c>
    </x:row>
    <x:row r="112">
      <x:c r="A112" s="142" t="n">
        <x:v>107</x:v>
      </x:c>
      <x:c r="B112" s="179" t="n">
        <x:f>EDATE(Premissas!$B$4,106)</x:f>
        <x:v>49766</x:v>
      </x:c>
      <x:c r="C112" s="180" t="n">
        <x:f>(1+Premissas!$B$26)^INT((A112-1)/12)</x:f>
        <x:v>1.5938480745308423</x:v>
      </x:c>
      <x:c r="D112" s="141" t="n">
        <x:f>Premissas!$B$30*C112</x:f>
        <x:v>173139.69737142892</x:v>
      </x:c>
      <x:c r="E112" s="141" t="n">
        <x:f>IF(A112&lt;=Premissas!$B$25,Premissas!$B$32*C112,0)</x:f>
        <x:v>909.2359065920019</x:v>
      </x:c>
      <x:c r="F112" s="141" t="n">
        <x:f>IF(AND(A112&gt;=Premissas!$B$48,A112&lt;=Premissas!$B$27,A112-Premissas!$B$48+1&lt;=Premissas!$B$13),INDEX(Financiamento!$C$6:$C$485,A112-Premissas!$B$48+1),0)</x:f>
        <x:v>0</x:v>
      </x:c>
      <x:c r="G112" s="141" t="n">
        <x:f>IF(AND(A112&gt;=Premissas!$B$48,A112&lt;=Premissas!$B$27,A112-Premissas!$B$48+1&lt;=Premissas!$B$13),INDEX(Financiamento!$J$6:$J$485,A112-Premissas!$B$48+1),0)</x:f>
        <x:v>0</x:v>
      </x:c>
      <x:c r="H112" s="141" t="n">
        <x:f>IF(AND(A112&gt;=Premissas!$B$48,A112&lt;=Premissas!$B$27,A112-Premissas!$B$48+1&lt;=Premissas!$B$13),INDEX(Financiamento!$M$6:$M$485,A112-Premissas!$B$48+1),0)</x:f>
        <x:v>0</x:v>
      </x:c>
      <x:c r="I112" s="141" t="n">
        <x:f>IF(A112=Premissas!$B$27,MIN(D112,H112),0)</x:f>
        <x:v>0</x:v>
      </x:c>
      <x:c r="J112" s="141" t="n">
        <x:f>IF(A112=Premissas!$B$27,D112-H112,0)</x:f>
        <x:v>0</x:v>
      </x:c>
      <x:c r="K112" s="141" t="n">
        <x:f>E112+G112</x:f>
        <x:v>909.2359065920019</x:v>
      </x:c>
      <x:c r="L112" s="141" t="n">
        <x:f>SUM($K$6:K112)</x:f>
        <x:v>194307.0025456433</x:v>
      </x:c>
      <x:c r="M112" s="141" t="str">
        <x:f>IF(A112&lt;Premissas!$B$27,"Financiamento + consorcio",IF(A112=Premissas!$B$27,"Quitacao via carta",IF(A112&lt;=Premissas!$B$25,"Somente consorcio","Encerrado")))</x:f>
        <x:v>Somente consorcio</x:v>
      </x:c>
      <x:c r="N112" s="141" t="n">
        <x:f>IF(A112&gt;=Premissas!$B$25,0,(N113+E113)/(1+Premissas!$B$41))</x:f>
        <x:v>92317.88869022681</x:v>
      </x:c>
      <x:c r="O112" s="141" t="n">
        <x:f>IF(A112&lt;Premissas!$B$27,Premissas!$B$31/(1+Premissas!$B$41)^(Premissas!$B$27-A112),0)</x:f>
        <x:v>0</x:v>
      </x:c>
      <x:c r="P112" s="141" t="n">
        <x:f>MAX(0,H112-I112)+N112</x:f>
        <x:v>92317.88869022681</x:v>
      </x:c>
    </x:row>
    <x:row r="113">
      <x:c r="A113" s="142" t="n">
        <x:v>108</x:v>
      </x:c>
      <x:c r="B113" s="179" t="n">
        <x:f>EDATE(Premissas!$B$4,107)</x:f>
        <x:v>49796</x:v>
      </x:c>
      <x:c r="C113" s="180" t="n">
        <x:f>(1+Premissas!$B$26)^INT((A113-1)/12)</x:f>
        <x:v>1.5938480745308423</x:v>
      </x:c>
      <x:c r="D113" s="141" t="n">
        <x:f>Premissas!$B$30*C113</x:f>
        <x:v>173139.69737142892</x:v>
      </x:c>
      <x:c r="E113" s="141" t="n">
        <x:f>IF(A113&lt;=Premissas!$B$25,Premissas!$B$32*C113,0)</x:f>
        <x:v>909.2359065920019</x:v>
      </x:c>
      <x:c r="F113" s="141" t="n">
        <x:f>IF(AND(A113&gt;=Premissas!$B$48,A113&lt;=Premissas!$B$27,A113-Premissas!$B$48+1&lt;=Premissas!$B$13),INDEX(Financiamento!$C$6:$C$485,A113-Premissas!$B$48+1),0)</x:f>
        <x:v>0</x:v>
      </x:c>
      <x:c r="G113" s="141" t="n">
        <x:f>IF(AND(A113&gt;=Premissas!$B$48,A113&lt;=Premissas!$B$27,A113-Premissas!$B$48+1&lt;=Premissas!$B$13),INDEX(Financiamento!$J$6:$J$485,A113-Premissas!$B$48+1),0)</x:f>
        <x:v>0</x:v>
      </x:c>
      <x:c r="H113" s="141" t="n">
        <x:f>IF(AND(A113&gt;=Premissas!$B$48,A113&lt;=Premissas!$B$27,A113-Premissas!$B$48+1&lt;=Premissas!$B$13),INDEX(Financiamento!$M$6:$M$485,A113-Premissas!$B$48+1),0)</x:f>
        <x:v>0</x:v>
      </x:c>
      <x:c r="I113" s="141" t="n">
        <x:f>IF(A113=Premissas!$B$27,MIN(D113,H113),0)</x:f>
        <x:v>0</x:v>
      </x:c>
      <x:c r="J113" s="141" t="n">
        <x:f>IF(A113=Premissas!$B$27,D113-H113,0)</x:f>
        <x:v>0</x:v>
      </x:c>
      <x:c r="K113" s="141" t="n">
        <x:f>E113+G113</x:f>
        <x:v>909.2359065920019</x:v>
      </x:c>
      <x:c r="L113" s="141" t="n">
        <x:f>SUM($K$6:K113)</x:f>
        <x:v>195216.2384522353</x:v>
      </x:c>
      <x:c r="M113" s="141" t="str">
        <x:f>IF(A113&lt;Premissas!$B$27,"Financiamento + consorcio",IF(A113=Premissas!$B$27,"Quitacao via carta",IF(A113&lt;=Premissas!$B$25,"Somente consorcio","Encerrado")))</x:f>
        <x:v>Somente consorcio</x:v>
      </x:c>
      <x:c r="N113" s="141" t="n">
        <x:f>IF(A113&gt;=Premissas!$B$25,0,(N114+E114)/(1+Premissas!$B$41))</x:f>
        <x:v>92284.63811357426</x:v>
      </x:c>
      <x:c r="O113" s="141" t="n">
        <x:f>IF(A113&lt;Premissas!$B$27,Premissas!$B$31/(1+Premissas!$B$41)^(Premissas!$B$27-A113),0)</x:f>
        <x:v>0</x:v>
      </x:c>
      <x:c r="P113" s="141" t="n">
        <x:f>MAX(0,H113-I113)+N113</x:f>
        <x:v>92284.63811357426</x:v>
      </x:c>
    </x:row>
    <x:row r="114">
      <x:c r="A114" s="142" t="n">
        <x:v>109</x:v>
      </x:c>
      <x:c r="B114" s="179" t="n">
        <x:f>EDATE(Premissas!$B$4,108)</x:f>
        <x:v>49827</x:v>
      </x:c>
      <x:c r="C114" s="180" t="n">
        <x:f>(1+Premissas!$B$26)^INT((A114-1)/12)</x:f>
        <x:v>1.6894789590026928</x:v>
      </x:c>
      <x:c r="D114" s="141" t="n">
        <x:f>Premissas!$B$30*C114</x:f>
        <x:v>183528.07921371463</x:v>
      </x:c>
      <x:c r="E114" s="141" t="n">
        <x:f>IF(A114&lt;=Premissas!$B$25,Premissas!$B$32*C114,0)</x:f>
        <x:v>963.790060987522</x:v>
      </x:c>
      <x:c r="F114" s="141" t="n">
        <x:f>IF(AND(A114&gt;=Premissas!$B$48,A114&lt;=Premissas!$B$27,A114-Premissas!$B$48+1&lt;=Premissas!$B$13),INDEX(Financiamento!$C$6:$C$485,A114-Premissas!$B$48+1),0)</x:f>
        <x:v>0</x:v>
      </x:c>
      <x:c r="G114" s="141" t="n">
        <x:f>IF(AND(A114&gt;=Premissas!$B$48,A114&lt;=Premissas!$B$27,A114-Premissas!$B$48+1&lt;=Premissas!$B$13),INDEX(Financiamento!$J$6:$J$485,A114-Premissas!$B$48+1),0)</x:f>
        <x:v>0</x:v>
      </x:c>
      <x:c r="H114" s="141" t="n">
        <x:f>IF(AND(A114&gt;=Premissas!$B$48,A114&lt;=Premissas!$B$27,A114-Premissas!$B$48+1&lt;=Premissas!$B$13),INDEX(Financiamento!$M$6:$M$485,A114-Premissas!$B$48+1),0)</x:f>
        <x:v>0</x:v>
      </x:c>
      <x:c r="I114" s="141" t="n">
        <x:f>IF(A114=Premissas!$B$27,MIN(D114,H114),0)</x:f>
        <x:v>0</x:v>
      </x:c>
      <x:c r="J114" s="141" t="n">
        <x:f>IF(A114=Premissas!$B$27,D114-H114,0)</x:f>
        <x:v>0</x:v>
      </x:c>
      <x:c r="K114" s="141" t="n">
        <x:f>E114+G114</x:f>
        <x:v>963.790060987522</x:v>
      </x:c>
      <x:c r="L114" s="141" t="n">
        <x:f>SUM($K$6:K114)</x:f>
        <x:v>196180.02851322282</x:v>
      </x:c>
      <x:c r="M114" s="141" t="str">
        <x:f>IF(A114&lt;Premissas!$B$27,"Financiamento + consorcio",IF(A114=Premissas!$B$27,"Quitacao via carta",IF(A114&lt;=Premissas!$B$25,"Somente consorcio","Encerrado")))</x:f>
        <x:v>Somente consorcio</x:v>
      </x:c>
      <x:c r="N114" s="141" t="n">
        <x:f>IF(A114&gt;=Premissas!$B$25,0,(N115+E115)/(1+Premissas!$B$41))</x:f>
        <x:v>92196.51787468937</x:v>
      </x:c>
      <x:c r="O114" s="141" t="n">
        <x:f>IF(A114&lt;Premissas!$B$27,Premissas!$B$31/(1+Premissas!$B$41)^(Premissas!$B$27-A114),0)</x:f>
        <x:v>0</x:v>
      </x:c>
      <x:c r="P114" s="141" t="n">
        <x:f>MAX(0,H114-I114)+N114</x:f>
        <x:v>92196.51787468937</x:v>
      </x:c>
    </x:row>
    <x:row r="115">
      <x:c r="A115" s="142" t="n">
        <x:v>110</x:v>
      </x:c>
      <x:c r="B115" s="179" t="n">
        <x:f>EDATE(Premissas!$B$4,109)</x:f>
        <x:v>49857</x:v>
      </x:c>
      <x:c r="C115" s="180" t="n">
        <x:f>(1+Premissas!$B$26)^INT((A115-1)/12)</x:f>
        <x:v>1.6894789590026928</x:v>
      </x:c>
      <x:c r="D115" s="141" t="n">
        <x:f>Premissas!$B$30*C115</x:f>
        <x:v>183528.07921371463</x:v>
      </x:c>
      <x:c r="E115" s="141" t="n">
        <x:f>IF(A115&lt;=Premissas!$B$25,Premissas!$B$32*C115,0)</x:f>
        <x:v>963.790060987522</x:v>
      </x:c>
      <x:c r="F115" s="141" t="n">
        <x:f>IF(AND(A115&gt;=Premissas!$B$48,A115&lt;=Premissas!$B$27,A115-Premissas!$B$48+1&lt;=Premissas!$B$13),INDEX(Financiamento!$C$6:$C$485,A115-Premissas!$B$48+1),0)</x:f>
        <x:v>0</x:v>
      </x:c>
      <x:c r="G115" s="141" t="n">
        <x:f>IF(AND(A115&gt;=Premissas!$B$48,A115&lt;=Premissas!$B$27,A115-Premissas!$B$48+1&lt;=Premissas!$B$13),INDEX(Financiamento!$J$6:$J$485,A115-Premissas!$B$48+1),0)</x:f>
        <x:v>0</x:v>
      </x:c>
      <x:c r="H115" s="141" t="n">
        <x:f>IF(AND(A115&gt;=Premissas!$B$48,A115&lt;=Premissas!$B$27,A115-Premissas!$B$48+1&lt;=Premissas!$B$13),INDEX(Financiamento!$M$6:$M$485,A115-Premissas!$B$48+1),0)</x:f>
        <x:v>0</x:v>
      </x:c>
      <x:c r="I115" s="141" t="n">
        <x:f>IF(A115=Premissas!$B$27,MIN(D115,H115),0)</x:f>
        <x:v>0</x:v>
      </x:c>
      <x:c r="J115" s="141" t="n">
        <x:f>IF(A115=Premissas!$B$27,D115-H115,0)</x:f>
        <x:v>0</x:v>
      </x:c>
      <x:c r="K115" s="141" t="n">
        <x:f>E115+G115</x:f>
        <x:v>963.790060987522</x:v>
      </x:c>
      <x:c r="L115" s="141" t="n">
        <x:f>SUM($K$6:K115)</x:f>
        <x:v>197143.81857421034</x:v>
      </x:c>
      <x:c r="M115" s="141" t="str">
        <x:f>IF(A115&lt;Premissas!$B$27,"Financiamento + consorcio",IF(A115=Premissas!$B$27,"Quitacao via carta",IF(A115&lt;=Premissas!$B$25,"Somente consorcio","Encerrado")))</x:f>
        <x:v>Somente consorcio</x:v>
      </x:c>
      <x:c r="N115" s="141" t="n">
        <x:f>IF(A115&gt;=Premissas!$B$25,0,(N116+E116)/(1+Premissas!$B$41))</x:f>
        <x:v>92107.56148110435</x:v>
      </x:c>
      <x:c r="O115" s="141" t="n">
        <x:f>IF(A115&lt;Premissas!$B$27,Premissas!$B$31/(1+Premissas!$B$41)^(Premissas!$B$27-A115),0)</x:f>
        <x:v>0</x:v>
      </x:c>
      <x:c r="P115" s="141" t="n">
        <x:f>MAX(0,H115-I115)+N115</x:f>
        <x:v>92107.56148110435</x:v>
      </x:c>
    </x:row>
    <x:row r="116">
      <x:c r="A116" s="142" t="n">
        <x:v>111</x:v>
      </x:c>
      <x:c r="B116" s="179" t="n">
        <x:f>EDATE(Premissas!$B$4,110)</x:f>
        <x:v>49888</x:v>
      </x:c>
      <x:c r="C116" s="180" t="n">
        <x:f>(1+Premissas!$B$26)^INT((A116-1)/12)</x:f>
        <x:v>1.6894789590026928</x:v>
      </x:c>
      <x:c r="D116" s="141" t="n">
        <x:f>Premissas!$B$30*C116</x:f>
        <x:v>183528.07921371463</x:v>
      </x:c>
      <x:c r="E116" s="141" t="n">
        <x:f>IF(A116&lt;=Premissas!$B$25,Premissas!$B$32*C116,0)</x:f>
        <x:v>963.790060987522</x:v>
      </x:c>
      <x:c r="F116" s="141" t="n">
        <x:f>IF(AND(A116&gt;=Premissas!$B$48,A116&lt;=Premissas!$B$27,A116-Premissas!$B$48+1&lt;=Premissas!$B$13),INDEX(Financiamento!$C$6:$C$485,A116-Premissas!$B$48+1),0)</x:f>
        <x:v>0</x:v>
      </x:c>
      <x:c r="G116" s="141" t="n">
        <x:f>IF(AND(A116&gt;=Premissas!$B$48,A116&lt;=Premissas!$B$27,A116-Premissas!$B$48+1&lt;=Premissas!$B$13),INDEX(Financiamento!$J$6:$J$485,A116-Premissas!$B$48+1),0)</x:f>
        <x:v>0</x:v>
      </x:c>
      <x:c r="H116" s="141" t="n">
        <x:f>IF(AND(A116&gt;=Premissas!$B$48,A116&lt;=Premissas!$B$27,A116-Premissas!$B$48+1&lt;=Premissas!$B$13),INDEX(Financiamento!$M$6:$M$485,A116-Premissas!$B$48+1),0)</x:f>
        <x:v>0</x:v>
      </x:c>
      <x:c r="I116" s="141" t="n">
        <x:f>IF(A116=Premissas!$B$27,MIN(D116,H116),0)</x:f>
        <x:v>0</x:v>
      </x:c>
      <x:c r="J116" s="141" t="n">
        <x:f>IF(A116=Premissas!$B$27,D116-H116,0)</x:f>
        <x:v>0</x:v>
      </x:c>
      <x:c r="K116" s="141" t="n">
        <x:f>E116+G116</x:f>
        <x:v>963.790060987522</x:v>
      </x:c>
      <x:c r="L116" s="141" t="n">
        <x:f>SUM($K$6:K116)</x:f>
        <x:v>198107.60863519786</x:v>
      </x:c>
      <x:c r="M116" s="141" t="str">
        <x:f>IF(A116&lt;Premissas!$B$27,"Financiamento + consorcio",IF(A116=Premissas!$B$27,"Quitacao via carta",IF(A116&lt;=Premissas!$B$25,"Somente consorcio","Encerrado")))</x:f>
        <x:v>Somente consorcio</x:v>
      </x:c>
      <x:c r="N116" s="141" t="n">
        <x:f>IF(A116&gt;=Premissas!$B$25,0,(N117+E117)/(1+Premissas!$B$41))</x:f>
        <x:v>92017.7609987204</x:v>
      </x:c>
      <x:c r="O116" s="141" t="n">
        <x:f>IF(A116&lt;Premissas!$B$27,Premissas!$B$31/(1+Premissas!$B$41)^(Premissas!$B$27-A116),0)</x:f>
        <x:v>0</x:v>
      </x:c>
      <x:c r="P116" s="141" t="n">
        <x:f>MAX(0,H116-I116)+N116</x:f>
        <x:v>92017.7609987204</x:v>
      </x:c>
    </x:row>
    <x:row r="117">
      <x:c r="A117" s="142" t="n">
        <x:v>112</x:v>
      </x:c>
      <x:c r="B117" s="179" t="n">
        <x:f>EDATE(Premissas!$B$4,111)</x:f>
        <x:v>49919</x:v>
      </x:c>
      <x:c r="C117" s="180" t="n">
        <x:f>(1+Premissas!$B$26)^INT((A117-1)/12)</x:f>
        <x:v>1.6894789590026928</x:v>
      </x:c>
      <x:c r="D117" s="141" t="n">
        <x:f>Premissas!$B$30*C117</x:f>
        <x:v>183528.07921371463</x:v>
      </x:c>
      <x:c r="E117" s="141" t="n">
        <x:f>IF(A117&lt;=Premissas!$B$25,Premissas!$B$32*C117,0)</x:f>
        <x:v>963.790060987522</x:v>
      </x:c>
      <x:c r="F117" s="141" t="n">
        <x:f>IF(AND(A117&gt;=Premissas!$B$48,A117&lt;=Premissas!$B$27,A117-Premissas!$B$48+1&lt;=Premissas!$B$13),INDEX(Financiamento!$C$6:$C$485,A117-Premissas!$B$48+1),0)</x:f>
        <x:v>0</x:v>
      </x:c>
      <x:c r="G117" s="141" t="n">
        <x:f>IF(AND(A117&gt;=Premissas!$B$48,A117&lt;=Premissas!$B$27,A117-Premissas!$B$48+1&lt;=Premissas!$B$13),INDEX(Financiamento!$J$6:$J$485,A117-Premissas!$B$48+1),0)</x:f>
        <x:v>0</x:v>
      </x:c>
      <x:c r="H117" s="141" t="n">
        <x:f>IF(AND(A117&gt;=Premissas!$B$48,A117&lt;=Premissas!$B$27,A117-Premissas!$B$48+1&lt;=Premissas!$B$13),INDEX(Financiamento!$M$6:$M$485,A117-Premissas!$B$48+1),0)</x:f>
        <x:v>0</x:v>
      </x:c>
      <x:c r="I117" s="141" t="n">
        <x:f>IF(A117=Premissas!$B$27,MIN(D117,H117),0)</x:f>
        <x:v>0</x:v>
      </x:c>
      <x:c r="J117" s="141" t="n">
        <x:f>IF(A117=Premissas!$B$27,D117-H117,0)</x:f>
        <x:v>0</x:v>
      </x:c>
      <x:c r="K117" s="141" t="n">
        <x:f>E117+G117</x:f>
        <x:v>963.790060987522</x:v>
      </x:c>
      <x:c r="L117" s="141" t="n">
        <x:f>SUM($K$6:K117)</x:f>
        <x:v>199071.39869618538</x:v>
      </x:c>
      <x:c r="M117" s="141" t="str">
        <x:f>IF(A117&lt;Premissas!$B$27,"Financiamento + consorcio",IF(A117=Premissas!$B$27,"Quitacao via carta",IF(A117&lt;=Premissas!$B$25,"Somente consorcio","Encerrado")))</x:f>
        <x:v>Somente consorcio</x:v>
      </x:c>
      <x:c r="N117" s="141" t="n">
        <x:f>IF(A117&gt;=Premissas!$B$25,0,(N118+E118)/(1+Premissas!$B$41))</x:f>
        <x:v>91927.10841815369</x:v>
      </x:c>
      <x:c r="O117" s="141" t="n">
        <x:f>IF(A117&lt;Premissas!$B$27,Premissas!$B$31/(1+Premissas!$B$41)^(Premissas!$B$27-A117),0)</x:f>
        <x:v>0</x:v>
      </x:c>
      <x:c r="P117" s="141" t="n">
        <x:f>MAX(0,H117-I117)+N117</x:f>
        <x:v>91927.10841815369</x:v>
      </x:c>
    </x:row>
    <x:row r="118">
      <x:c r="A118" s="142" t="n">
        <x:v>113</x:v>
      </x:c>
      <x:c r="B118" s="179" t="n">
        <x:f>EDATE(Premissas!$B$4,112)</x:f>
        <x:v>49949</x:v>
      </x:c>
      <x:c r="C118" s="180" t="n">
        <x:f>(1+Premissas!$B$26)^INT((A118-1)/12)</x:f>
        <x:v>1.6894789590026928</x:v>
      </x:c>
      <x:c r="D118" s="141" t="n">
        <x:f>Premissas!$B$30*C118</x:f>
        <x:v>183528.07921371463</x:v>
      </x:c>
      <x:c r="E118" s="141" t="n">
        <x:f>IF(A118&lt;=Premissas!$B$25,Premissas!$B$32*C118,0)</x:f>
        <x:v>963.790060987522</x:v>
      </x:c>
      <x:c r="F118" s="141" t="n">
        <x:f>IF(AND(A118&gt;=Premissas!$B$48,A118&lt;=Premissas!$B$27,A118-Premissas!$B$48+1&lt;=Premissas!$B$13),INDEX(Financiamento!$C$6:$C$485,A118-Premissas!$B$48+1),0)</x:f>
        <x:v>0</x:v>
      </x:c>
      <x:c r="G118" s="141" t="n">
        <x:f>IF(AND(A118&gt;=Premissas!$B$48,A118&lt;=Premissas!$B$27,A118-Premissas!$B$48+1&lt;=Premissas!$B$13),INDEX(Financiamento!$J$6:$J$485,A118-Premissas!$B$48+1),0)</x:f>
        <x:v>0</x:v>
      </x:c>
      <x:c r="H118" s="141" t="n">
        <x:f>IF(AND(A118&gt;=Premissas!$B$48,A118&lt;=Premissas!$B$27,A118-Premissas!$B$48+1&lt;=Premissas!$B$13),INDEX(Financiamento!$M$6:$M$485,A118-Premissas!$B$48+1),0)</x:f>
        <x:v>0</x:v>
      </x:c>
      <x:c r="I118" s="141" t="n">
        <x:f>IF(A118=Premissas!$B$27,MIN(D118,H118),0)</x:f>
        <x:v>0</x:v>
      </x:c>
      <x:c r="J118" s="141" t="n">
        <x:f>IF(A118=Premissas!$B$27,D118-H118,0)</x:f>
        <x:v>0</x:v>
      </x:c>
      <x:c r="K118" s="141" t="n">
        <x:f>E118+G118</x:f>
        <x:v>963.790060987522</x:v>
      </x:c>
      <x:c r="L118" s="141" t="n">
        <x:f>SUM($K$6:K118)</x:f>
        <x:v>200035.1887571729</x:v>
      </x:c>
      <x:c r="M118" s="141" t="str">
        <x:f>IF(A118&lt;Premissas!$B$27,"Financiamento + consorcio",IF(A118=Premissas!$B$27,"Quitacao via carta",IF(A118&lt;=Premissas!$B$25,"Somente consorcio","Encerrado")))</x:f>
        <x:v>Somente consorcio</x:v>
      </x:c>
      <x:c r="N118" s="141" t="n">
        <x:f>IF(A118&gt;=Premissas!$B$25,0,(N119+E119)/(1+Premissas!$B$41))</x:f>
        <x:v>91835.59565402099</x:v>
      </x:c>
      <x:c r="O118" s="141" t="n">
        <x:f>IF(A118&lt;Premissas!$B$27,Premissas!$B$31/(1+Premissas!$B$41)^(Premissas!$B$27-A118),0)</x:f>
        <x:v>0</x:v>
      </x:c>
      <x:c r="P118" s="141" t="n">
        <x:f>MAX(0,H118-I118)+N118</x:f>
        <x:v>91835.59565402099</x:v>
      </x:c>
    </x:row>
    <x:row r="119">
      <x:c r="A119" s="142" t="n">
        <x:v>114</x:v>
      </x:c>
      <x:c r="B119" s="179" t="n">
        <x:f>EDATE(Premissas!$B$4,113)</x:f>
        <x:v>49980</x:v>
      </x:c>
      <x:c r="C119" s="180" t="n">
        <x:f>(1+Premissas!$B$26)^INT((A119-1)/12)</x:f>
        <x:v>1.6894789590026928</x:v>
      </x:c>
      <x:c r="D119" s="141" t="n">
        <x:f>Premissas!$B$30*C119</x:f>
        <x:v>183528.07921371463</x:v>
      </x:c>
      <x:c r="E119" s="141" t="n">
        <x:f>IF(A119&lt;=Premissas!$B$25,Premissas!$B$32*C119,0)</x:f>
        <x:v>963.790060987522</x:v>
      </x:c>
      <x:c r="F119" s="141" t="n">
        <x:f>IF(AND(A119&gt;=Premissas!$B$48,A119&lt;=Premissas!$B$27,A119-Premissas!$B$48+1&lt;=Premissas!$B$13),INDEX(Financiamento!$C$6:$C$485,A119-Premissas!$B$48+1),0)</x:f>
        <x:v>0</x:v>
      </x:c>
      <x:c r="G119" s="141" t="n">
        <x:f>IF(AND(A119&gt;=Premissas!$B$48,A119&lt;=Premissas!$B$27,A119-Premissas!$B$48+1&lt;=Premissas!$B$13),INDEX(Financiamento!$J$6:$J$485,A119-Premissas!$B$48+1),0)</x:f>
        <x:v>0</x:v>
      </x:c>
      <x:c r="H119" s="141" t="n">
        <x:f>IF(AND(A119&gt;=Premissas!$B$48,A119&lt;=Premissas!$B$27,A119-Premissas!$B$48+1&lt;=Premissas!$B$13),INDEX(Financiamento!$M$6:$M$485,A119-Premissas!$B$48+1),0)</x:f>
        <x:v>0</x:v>
      </x:c>
      <x:c r="I119" s="141" t="n">
        <x:f>IF(A119=Premissas!$B$27,MIN(D119,H119),0)</x:f>
        <x:v>0</x:v>
      </x:c>
      <x:c r="J119" s="141" t="n">
        <x:f>IF(A119=Premissas!$B$27,D119-H119,0)</x:f>
        <x:v>0</x:v>
      </x:c>
      <x:c r="K119" s="141" t="n">
        <x:f>E119+G119</x:f>
        <x:v>963.790060987522</x:v>
      </x:c>
      <x:c r="L119" s="141" t="n">
        <x:f>SUM($K$6:K119)</x:f>
        <x:v>200998.97881816042</x:v>
      </x:c>
      <x:c r="M119" s="141" t="str">
        <x:f>IF(A119&lt;Premissas!$B$27,"Financiamento + consorcio",IF(A119=Premissas!$B$27,"Quitacao via carta",IF(A119&lt;=Premissas!$B$25,"Somente consorcio","Encerrado")))</x:f>
        <x:v>Somente consorcio</x:v>
      </x:c>
      <x:c r="N119" s="141" t="n">
        <x:f>IF(A119&gt;=Premissas!$B$25,0,(N120+E120)/(1+Premissas!$B$41))</x:f>
        <x:v>91743.21454421857</x:v>
      </x:c>
      <x:c r="O119" s="141" t="n">
        <x:f>IF(A119&lt;Premissas!$B$27,Premissas!$B$31/(1+Premissas!$B$41)^(Premissas!$B$27-A119),0)</x:f>
        <x:v>0</x:v>
      </x:c>
      <x:c r="P119" s="141" t="n">
        <x:f>MAX(0,H119-I119)+N119</x:f>
        <x:v>91743.21454421857</x:v>
      </x:c>
    </x:row>
    <x:row r="120">
      <x:c r="A120" s="142" t="n">
        <x:v>115</x:v>
      </x:c>
      <x:c r="B120" s="179" t="n">
        <x:f>EDATE(Premissas!$B$4,114)</x:f>
        <x:v>50010</x:v>
      </x:c>
      <x:c r="C120" s="180" t="n">
        <x:f>(1+Premissas!$B$26)^INT((A120-1)/12)</x:f>
        <x:v>1.6894789590026928</x:v>
      </x:c>
      <x:c r="D120" s="141" t="n">
        <x:f>Premissas!$B$30*C120</x:f>
        <x:v>183528.07921371463</x:v>
      </x:c>
      <x:c r="E120" s="141" t="n">
        <x:f>IF(A120&lt;=Premissas!$B$25,Premissas!$B$32*C120,0)</x:f>
        <x:v>963.790060987522</x:v>
      </x:c>
      <x:c r="F120" s="141" t="n">
        <x:f>IF(AND(A120&gt;=Premissas!$B$48,A120&lt;=Premissas!$B$27,A120-Premissas!$B$48+1&lt;=Premissas!$B$13),INDEX(Financiamento!$C$6:$C$485,A120-Premissas!$B$48+1),0)</x:f>
        <x:v>0</x:v>
      </x:c>
      <x:c r="G120" s="141" t="n">
        <x:f>IF(AND(A120&gt;=Premissas!$B$48,A120&lt;=Premissas!$B$27,A120-Premissas!$B$48+1&lt;=Premissas!$B$13),INDEX(Financiamento!$J$6:$J$485,A120-Premissas!$B$48+1),0)</x:f>
        <x:v>0</x:v>
      </x:c>
      <x:c r="H120" s="141" t="n">
        <x:f>IF(AND(A120&gt;=Premissas!$B$48,A120&lt;=Premissas!$B$27,A120-Premissas!$B$48+1&lt;=Premissas!$B$13),INDEX(Financiamento!$M$6:$M$485,A120-Premissas!$B$48+1),0)</x:f>
        <x:v>0</x:v>
      </x:c>
      <x:c r="I120" s="141" t="n">
        <x:f>IF(A120=Premissas!$B$27,MIN(D120,H120),0)</x:f>
        <x:v>0</x:v>
      </x:c>
      <x:c r="J120" s="141" t="n">
        <x:f>IF(A120=Premissas!$B$27,D120-H120,0)</x:f>
        <x:v>0</x:v>
      </x:c>
      <x:c r="K120" s="141" t="n">
        <x:f>E120+G120</x:f>
        <x:v>963.790060987522</x:v>
      </x:c>
      <x:c r="L120" s="141" t="n">
        <x:f>SUM($K$6:K120)</x:f>
        <x:v>201962.76887914794</x:v>
      </x:c>
      <x:c r="M120" s="141" t="str">
        <x:f>IF(A120&lt;Premissas!$B$27,"Financiamento + consorcio",IF(A120=Premissas!$B$27,"Quitacao via carta",IF(A120&lt;=Premissas!$B$25,"Somente consorcio","Encerrado")))</x:f>
        <x:v>Somente consorcio</x:v>
      </x:c>
      <x:c r="N120" s="141" t="n">
        <x:f>IF(A120&gt;=Premissas!$B$25,0,(N121+E121)/(1+Premissas!$B$41))</x:f>
        <x:v>91649.95684919418</x:v>
      </x:c>
      <x:c r="O120" s="141" t="n">
        <x:f>IF(A120&lt;Premissas!$B$27,Premissas!$B$31/(1+Premissas!$B$41)^(Premissas!$B$27-A120),0)</x:f>
        <x:v>0</x:v>
      </x:c>
      <x:c r="P120" s="141" t="n">
        <x:f>MAX(0,H120-I120)+N120</x:f>
        <x:v>91649.95684919418</x:v>
      </x:c>
    </x:row>
    <x:row r="121">
      <x:c r="A121" s="142" t="n">
        <x:v>116</x:v>
      </x:c>
      <x:c r="B121" s="179" t="n">
        <x:f>EDATE(Premissas!$B$4,115)</x:f>
        <x:v>50041</x:v>
      </x:c>
      <x:c r="C121" s="180" t="n">
        <x:f>(1+Premissas!$B$26)^INT((A121-1)/12)</x:f>
        <x:v>1.6894789590026928</x:v>
      </x:c>
      <x:c r="D121" s="141" t="n">
        <x:f>Premissas!$B$30*C121</x:f>
        <x:v>183528.07921371463</x:v>
      </x:c>
      <x:c r="E121" s="141" t="n">
        <x:f>IF(A121&lt;=Premissas!$B$25,Premissas!$B$32*C121,0)</x:f>
        <x:v>963.790060987522</x:v>
      </x:c>
      <x:c r="F121" s="141" t="n">
        <x:f>IF(AND(A121&gt;=Premissas!$B$48,A121&lt;=Premissas!$B$27,A121-Premissas!$B$48+1&lt;=Premissas!$B$13),INDEX(Financiamento!$C$6:$C$485,A121-Premissas!$B$48+1),0)</x:f>
        <x:v>0</x:v>
      </x:c>
      <x:c r="G121" s="141" t="n">
        <x:f>IF(AND(A121&gt;=Premissas!$B$48,A121&lt;=Premissas!$B$27,A121-Premissas!$B$48+1&lt;=Premissas!$B$13),INDEX(Financiamento!$J$6:$J$485,A121-Premissas!$B$48+1),0)</x:f>
        <x:v>0</x:v>
      </x:c>
      <x:c r="H121" s="141" t="n">
        <x:f>IF(AND(A121&gt;=Premissas!$B$48,A121&lt;=Premissas!$B$27,A121-Premissas!$B$48+1&lt;=Premissas!$B$13),INDEX(Financiamento!$M$6:$M$485,A121-Premissas!$B$48+1),0)</x:f>
        <x:v>0</x:v>
      </x:c>
      <x:c r="I121" s="141" t="n">
        <x:f>IF(A121=Premissas!$B$27,MIN(D121,H121),0)</x:f>
        <x:v>0</x:v>
      </x:c>
      <x:c r="J121" s="141" t="n">
        <x:f>IF(A121=Premissas!$B$27,D121-H121,0)</x:f>
        <x:v>0</x:v>
      </x:c>
      <x:c r="K121" s="141" t="n">
        <x:f>E121+G121</x:f>
        <x:v>963.790060987522</x:v>
      </x:c>
      <x:c r="L121" s="141" t="n">
        <x:f>SUM($K$6:K121)</x:f>
        <x:v>202926.55894013547</x:v>
      </x:c>
      <x:c r="M121" s="141" t="str">
        <x:f>IF(A121&lt;Premissas!$B$27,"Financiamento + consorcio",IF(A121=Premissas!$B$27,"Quitacao via carta",IF(A121&lt;=Premissas!$B$25,"Somente consorcio","Encerrado")))</x:f>
        <x:v>Somente consorcio</x:v>
      </x:c>
      <x:c r="N121" s="141" t="n">
        <x:f>IF(A121&gt;=Premissas!$B$25,0,(N122+E122)/(1+Premissas!$B$41))</x:f>
        <x:v>91555.81425121213</x:v>
      </x:c>
      <x:c r="O121" s="141" t="n">
        <x:f>IF(A121&lt;Premissas!$B$27,Premissas!$B$31/(1+Premissas!$B$41)^(Premissas!$B$27-A121),0)</x:f>
        <x:v>0</x:v>
      </x:c>
      <x:c r="P121" s="141" t="n">
        <x:f>MAX(0,H121-I121)+N121</x:f>
        <x:v>91555.81425121213</x:v>
      </x:c>
    </x:row>
    <x:row r="122">
      <x:c r="A122" s="142" t="n">
        <x:v>117</x:v>
      </x:c>
      <x:c r="B122" s="179" t="n">
        <x:f>EDATE(Premissas!$B$4,116)</x:f>
        <x:v>50072</x:v>
      </x:c>
      <x:c r="C122" s="180" t="n">
        <x:f>(1+Premissas!$B$26)^INT((A122-1)/12)</x:f>
        <x:v>1.6894789590026928</x:v>
      </x:c>
      <x:c r="D122" s="141" t="n">
        <x:f>Premissas!$B$30*C122</x:f>
        <x:v>183528.07921371463</x:v>
      </x:c>
      <x:c r="E122" s="141" t="n">
        <x:f>IF(A122&lt;=Premissas!$B$25,Premissas!$B$32*C122,0)</x:f>
        <x:v>963.790060987522</x:v>
      </x:c>
      <x:c r="F122" s="141" t="n">
        <x:f>IF(AND(A122&gt;=Premissas!$B$48,A122&lt;=Premissas!$B$27,A122-Premissas!$B$48+1&lt;=Premissas!$B$13),INDEX(Financiamento!$C$6:$C$485,A122-Premissas!$B$48+1),0)</x:f>
        <x:v>0</x:v>
      </x:c>
      <x:c r="G122" s="141" t="n">
        <x:f>IF(AND(A122&gt;=Premissas!$B$48,A122&lt;=Premissas!$B$27,A122-Premissas!$B$48+1&lt;=Premissas!$B$13),INDEX(Financiamento!$J$6:$J$485,A122-Premissas!$B$48+1),0)</x:f>
        <x:v>0</x:v>
      </x:c>
      <x:c r="H122" s="141" t="n">
        <x:f>IF(AND(A122&gt;=Premissas!$B$48,A122&lt;=Premissas!$B$27,A122-Premissas!$B$48+1&lt;=Premissas!$B$13),INDEX(Financiamento!$M$6:$M$485,A122-Premissas!$B$48+1),0)</x:f>
        <x:v>0</x:v>
      </x:c>
      <x:c r="I122" s="141" t="n">
        <x:f>IF(A122=Premissas!$B$27,MIN(D122,H122),0)</x:f>
        <x:v>0</x:v>
      </x:c>
      <x:c r="J122" s="141" t="n">
        <x:f>IF(A122=Premissas!$B$27,D122-H122,0)</x:f>
        <x:v>0</x:v>
      </x:c>
      <x:c r="K122" s="141" t="n">
        <x:f>E122+G122</x:f>
        <x:v>963.790060987522</x:v>
      </x:c>
      <x:c r="L122" s="141" t="n">
        <x:f>SUM($K$6:K122)</x:f>
        <x:v>203890.349001123</x:v>
      </x:c>
      <x:c r="M122" s="141" t="str">
        <x:f>IF(A122&lt;Premissas!$B$27,"Financiamento + consorcio",IF(A122=Premissas!$B$27,"Quitacao via carta",IF(A122&lt;=Premissas!$B$25,"Somente consorcio","Encerrado")))</x:f>
        <x:v>Somente consorcio</x:v>
      </x:c>
      <x:c r="N122" s="141" t="n">
        <x:f>IF(A122&gt;=Premissas!$B$25,0,(N123+E123)/(1+Premissas!$B$41))</x:f>
        <x:v>91460.7783536115</x:v>
      </x:c>
      <x:c r="O122" s="141" t="n">
        <x:f>IF(A122&lt;Premissas!$B$27,Premissas!$B$31/(1+Premissas!$B$41)^(Premissas!$B$27-A122),0)</x:f>
        <x:v>0</x:v>
      </x:c>
      <x:c r="P122" s="141" t="n">
        <x:f>MAX(0,H122-I122)+N122</x:f>
        <x:v>91460.7783536115</x:v>
      </x:c>
    </x:row>
    <x:row r="123">
      <x:c r="A123" s="142" t="n">
        <x:v>118</x:v>
      </x:c>
      <x:c r="B123" s="179" t="n">
        <x:f>EDATE(Premissas!$B$4,117)</x:f>
        <x:v>50100</x:v>
      </x:c>
      <x:c r="C123" s="180" t="n">
        <x:f>(1+Premissas!$B$26)^INT((A123-1)/12)</x:f>
        <x:v>1.6894789590026928</x:v>
      </x:c>
      <x:c r="D123" s="141" t="n">
        <x:f>Premissas!$B$30*C123</x:f>
        <x:v>183528.07921371463</x:v>
      </x:c>
      <x:c r="E123" s="141" t="n">
        <x:f>IF(A123&lt;=Premissas!$B$25,Premissas!$B$32*C123,0)</x:f>
        <x:v>963.790060987522</x:v>
      </x:c>
      <x:c r="F123" s="141" t="n">
        <x:f>IF(AND(A123&gt;=Premissas!$B$48,A123&lt;=Premissas!$B$27,A123-Premissas!$B$48+1&lt;=Premissas!$B$13),INDEX(Financiamento!$C$6:$C$485,A123-Premissas!$B$48+1),0)</x:f>
        <x:v>0</x:v>
      </x:c>
      <x:c r="G123" s="141" t="n">
        <x:f>IF(AND(A123&gt;=Premissas!$B$48,A123&lt;=Premissas!$B$27,A123-Premissas!$B$48+1&lt;=Premissas!$B$13),INDEX(Financiamento!$J$6:$J$485,A123-Premissas!$B$48+1),0)</x:f>
        <x:v>0</x:v>
      </x:c>
      <x:c r="H123" s="141" t="n">
        <x:f>IF(AND(A123&gt;=Premissas!$B$48,A123&lt;=Premissas!$B$27,A123-Premissas!$B$48+1&lt;=Premissas!$B$13),INDEX(Financiamento!$M$6:$M$485,A123-Premissas!$B$48+1),0)</x:f>
        <x:v>0</x:v>
      </x:c>
      <x:c r="I123" s="141" t="n">
        <x:f>IF(A123=Premissas!$B$27,MIN(D123,H123),0)</x:f>
        <x:v>0</x:v>
      </x:c>
      <x:c r="J123" s="141" t="n">
        <x:f>IF(A123=Premissas!$B$27,D123-H123,0)</x:f>
        <x:v>0</x:v>
      </x:c>
      <x:c r="K123" s="141" t="n">
        <x:f>E123+G123</x:f>
        <x:v>963.790060987522</x:v>
      </x:c>
      <x:c r="L123" s="141" t="n">
        <x:f>SUM($K$6:K123)</x:f>
        <x:v>204854.1390621105</x:v>
      </x:c>
      <x:c r="M123" s="141" t="str">
        <x:f>IF(A123&lt;Premissas!$B$27,"Financiamento + consorcio",IF(A123=Premissas!$B$27,"Quitacao via carta",IF(A123&lt;=Premissas!$B$25,"Somente consorcio","Encerrado")))</x:f>
        <x:v>Somente consorcio</x:v>
      </x:c>
      <x:c r="N123" s="141" t="n">
        <x:f>IF(A123&gt;=Premissas!$B$25,0,(N124+E124)/(1+Premissas!$B$41))</x:f>
        <x:v>91364.8406800572</x:v>
      </x:c>
      <x:c r="O123" s="141" t="n">
        <x:f>IF(A123&lt;Premissas!$B$27,Premissas!$B$31/(1+Premissas!$B$41)^(Premissas!$B$27-A123),0)</x:f>
        <x:v>0</x:v>
      </x:c>
      <x:c r="P123" s="141" t="n">
        <x:f>MAX(0,H123-I123)+N123</x:f>
        <x:v>91364.8406800572</x:v>
      </x:c>
    </x:row>
    <x:row r="124">
      <x:c r="A124" s="142" t="n">
        <x:v>119</x:v>
      </x:c>
      <x:c r="B124" s="179" t="n">
        <x:f>EDATE(Premissas!$B$4,118)</x:f>
        <x:v>50131</x:v>
      </x:c>
      <x:c r="C124" s="180" t="n">
        <x:f>(1+Premissas!$B$26)^INT((A124-1)/12)</x:f>
        <x:v>1.6894789590026928</x:v>
      </x:c>
      <x:c r="D124" s="141" t="n">
        <x:f>Premissas!$B$30*C124</x:f>
        <x:v>183528.07921371463</x:v>
      </x:c>
      <x:c r="E124" s="141" t="n">
        <x:f>IF(A124&lt;=Premissas!$B$25,Premissas!$B$32*C124,0)</x:f>
        <x:v>963.790060987522</x:v>
      </x:c>
      <x:c r="F124" s="141" t="n">
        <x:f>IF(AND(A124&gt;=Premissas!$B$48,A124&lt;=Premissas!$B$27,A124-Premissas!$B$48+1&lt;=Premissas!$B$13),INDEX(Financiamento!$C$6:$C$485,A124-Premissas!$B$48+1),0)</x:f>
        <x:v>0</x:v>
      </x:c>
      <x:c r="G124" s="141" t="n">
        <x:f>IF(AND(A124&gt;=Premissas!$B$48,A124&lt;=Premissas!$B$27,A124-Premissas!$B$48+1&lt;=Premissas!$B$13),INDEX(Financiamento!$J$6:$J$485,A124-Premissas!$B$48+1),0)</x:f>
        <x:v>0</x:v>
      </x:c>
      <x:c r="H124" s="141" t="n">
        <x:f>IF(AND(A124&gt;=Premissas!$B$48,A124&lt;=Premissas!$B$27,A124-Premissas!$B$48+1&lt;=Premissas!$B$13),INDEX(Financiamento!$M$6:$M$485,A124-Premissas!$B$48+1),0)</x:f>
        <x:v>0</x:v>
      </x:c>
      <x:c r="I124" s="141" t="n">
        <x:f>IF(A124=Premissas!$B$27,MIN(D124,H124),0)</x:f>
        <x:v>0</x:v>
      </x:c>
      <x:c r="J124" s="141" t="n">
        <x:f>IF(A124=Premissas!$B$27,D124-H124,0)</x:f>
        <x:v>0</x:v>
      </x:c>
      <x:c r="K124" s="141" t="n">
        <x:f>E124+G124</x:f>
        <x:v>963.790060987522</x:v>
      </x:c>
      <x:c r="L124" s="141" t="n">
        <x:f>SUM($K$6:K124)</x:f>
        <x:v>205817.92912309803</x:v>
      </x:c>
      <x:c r="M124" s="141" t="str">
        <x:f>IF(A124&lt;Premissas!$B$27,"Financiamento + consorcio",IF(A124=Premissas!$B$27,"Quitacao via carta",IF(A124&lt;=Premissas!$B$25,"Somente consorcio","Encerrado")))</x:f>
        <x:v>Somente consorcio</x:v>
      </x:c>
      <x:c r="N124" s="141" t="n">
        <x:f>IF(A124&gt;=Premissas!$B$25,0,(N125+E125)/(1+Premissas!$B$41))</x:f>
        <x:v>91267.99267378391</x:v>
      </x:c>
      <x:c r="O124" s="141" t="n">
        <x:f>IF(A124&lt;Premissas!$B$27,Premissas!$B$31/(1+Premissas!$B$41)^(Premissas!$B$27-A124),0)</x:f>
        <x:v>0</x:v>
      </x:c>
      <x:c r="P124" s="141" t="n">
        <x:f>MAX(0,H124-I124)+N124</x:f>
        <x:v>91267.99267378391</x:v>
      </x:c>
    </x:row>
    <x:row r="125">
      <x:c r="A125" s="142" t="n">
        <x:v>120</x:v>
      </x:c>
      <x:c r="B125" s="179" t="n">
        <x:f>EDATE(Premissas!$B$4,119)</x:f>
        <x:v>50161</x:v>
      </x:c>
      <x:c r="C125" s="180" t="n">
        <x:f>(1+Premissas!$B$26)^INT((A125-1)/12)</x:f>
        <x:v>1.6894789590026928</x:v>
      </x:c>
      <x:c r="D125" s="141" t="n">
        <x:f>Premissas!$B$30*C125</x:f>
        <x:v>183528.07921371463</x:v>
      </x:c>
      <x:c r="E125" s="141" t="n">
        <x:f>IF(A125&lt;=Premissas!$B$25,Premissas!$B$32*C125,0)</x:f>
        <x:v>963.790060987522</x:v>
      </x:c>
      <x:c r="F125" s="141" t="n">
        <x:f>IF(AND(A125&gt;=Premissas!$B$48,A125&lt;=Premissas!$B$27,A125-Premissas!$B$48+1&lt;=Premissas!$B$13),INDEX(Financiamento!$C$6:$C$485,A125-Premissas!$B$48+1),0)</x:f>
        <x:v>0</x:v>
      </x:c>
      <x:c r="G125" s="141" t="n">
        <x:f>IF(AND(A125&gt;=Premissas!$B$48,A125&lt;=Premissas!$B$27,A125-Premissas!$B$48+1&lt;=Premissas!$B$13),INDEX(Financiamento!$J$6:$J$485,A125-Premissas!$B$48+1),0)</x:f>
        <x:v>0</x:v>
      </x:c>
      <x:c r="H125" s="141" t="n">
        <x:f>IF(AND(A125&gt;=Premissas!$B$48,A125&lt;=Premissas!$B$27,A125-Premissas!$B$48+1&lt;=Premissas!$B$13),INDEX(Financiamento!$M$6:$M$485,A125-Premissas!$B$48+1),0)</x:f>
        <x:v>0</x:v>
      </x:c>
      <x:c r="I125" s="141" t="n">
        <x:f>IF(A125=Premissas!$B$27,MIN(D125,H125),0)</x:f>
        <x:v>0</x:v>
      </x:c>
      <x:c r="J125" s="141" t="n">
        <x:f>IF(A125=Premissas!$B$27,D125-H125,0)</x:f>
        <x:v>0</x:v>
      </x:c>
      <x:c r="K125" s="141" t="n">
        <x:f>E125+G125</x:f>
        <x:v>963.790060987522</x:v>
      </x:c>
      <x:c r="L125" s="141" t="n">
        <x:f>SUM($K$6:K125)</x:f>
        <x:v>206781.71918408555</x:v>
      </x:c>
      <x:c r="M125" s="141" t="str">
        <x:f>IF(A125&lt;Premissas!$B$27,"Financiamento + consorcio",IF(A125=Premissas!$B$27,"Quitacao via carta",IF(A125&lt;=Premissas!$B$25,"Somente consorcio","Encerrado")))</x:f>
        <x:v>Somente consorcio</x:v>
      </x:c>
      <x:c r="N125" s="141" t="n">
        <x:f>IF(A125&gt;=Premissas!$B$25,0,(N126+E126)/(1+Premissas!$B$41))</x:f>
        <x:v>91170.22569683297</x:v>
      </x:c>
      <x:c r="O125" s="141" t="n">
        <x:f>IF(A125&lt;Premissas!$B$27,Premissas!$B$31/(1+Premissas!$B$41)^(Premissas!$B$27-A125),0)</x:f>
        <x:v>0</x:v>
      </x:c>
      <x:c r="P125" s="141" t="n">
        <x:f>MAX(0,H125-I125)+N125</x:f>
        <x:v>91170.22569683297</x:v>
      </x:c>
    </x:row>
    <x:row r="126">
      <x:c r="A126" s="142" t="n">
        <x:v>121</x:v>
      </x:c>
      <x:c r="B126" s="179" t="n">
        <x:f>EDATE(Premissas!$B$4,120)</x:f>
        <x:v>50192</x:v>
      </x:c>
      <x:c r="C126" s="180" t="n">
        <x:f>(1+Premissas!$B$26)^INT((A126-1)/12)</x:f>
        <x:v>1.7908476965428546</x:v>
      </x:c>
      <x:c r="D126" s="141" t="n">
        <x:f>Premissas!$B$30*C126</x:f>
        <x:v>194539.76396653755</x:v>
      </x:c>
      <x:c r="E126" s="141" t="n">
        <x:f>IF(A126&lt;=Premissas!$B$25,Premissas!$B$32*C126,0)</x:f>
        <x:v>1021.6174646467734</x:v>
      </x:c>
      <x:c r="F126" s="141" t="n">
        <x:f>IF(AND(A126&gt;=Premissas!$B$48,A126&lt;=Premissas!$B$27,A126-Premissas!$B$48+1&lt;=Premissas!$B$13),INDEX(Financiamento!$C$6:$C$485,A126-Premissas!$B$48+1),0)</x:f>
        <x:v>0</x:v>
      </x:c>
      <x:c r="G126" s="141" t="n">
        <x:f>IF(AND(A126&gt;=Premissas!$B$48,A126&lt;=Premissas!$B$27,A126-Premissas!$B$48+1&lt;=Premissas!$B$13),INDEX(Financiamento!$J$6:$J$485,A126-Premissas!$B$48+1),0)</x:f>
        <x:v>0</x:v>
      </x:c>
      <x:c r="H126" s="141" t="n">
        <x:f>IF(AND(A126&gt;=Premissas!$B$48,A126&lt;=Premissas!$B$27,A126-Premissas!$B$48+1&lt;=Premissas!$B$13),INDEX(Financiamento!$M$6:$M$485,A126-Premissas!$B$48+1),0)</x:f>
        <x:v>0</x:v>
      </x:c>
      <x:c r="I126" s="141" t="n">
        <x:f>IF(A126=Premissas!$B$27,MIN(D126,H126),0)</x:f>
        <x:v>0</x:v>
      </x:c>
      <x:c r="J126" s="141" t="n">
        <x:f>IF(A126=Premissas!$B$27,D126-H126,0)</x:f>
        <x:v>0</x:v>
      </x:c>
      <x:c r="K126" s="141" t="n">
        <x:f>E126+G126</x:f>
        <x:v>1021.6174646467734</x:v>
      </x:c>
      <x:c r="L126" s="141" t="n">
        <x:f>SUM($K$6:K126)</x:f>
        <x:v>207803.33664873234</x:v>
      </x:c>
      <x:c r="M126" s="141" t="str">
        <x:f>IF(A126&lt;Premissas!$B$27,"Financiamento + consorcio",IF(A126=Premissas!$B$27,"Quitacao via carta",IF(A126&lt;=Premissas!$B$25,"Somente consorcio","Encerrado")))</x:f>
        <x:v>Somente consorcio</x:v>
      </x:c>
      <x:c r="N126" s="141" t="n">
        <x:f>IF(A126&gt;=Premissas!$B$25,0,(N127+E127)/(1+Premissas!$B$41))</x:f>
        <x:v>91013.70362562266</x:v>
      </x:c>
      <x:c r="O126" s="141" t="n">
        <x:f>IF(A126&lt;Premissas!$B$27,Premissas!$B$31/(1+Premissas!$B$41)^(Premissas!$B$27-A126),0)</x:f>
        <x:v>0</x:v>
      </x:c>
      <x:c r="P126" s="141" t="n">
        <x:f>MAX(0,H126-I126)+N126</x:f>
        <x:v>91013.70362562266</x:v>
      </x:c>
    </x:row>
    <x:row r="127">
      <x:c r="A127" s="142" t="n">
        <x:v>122</x:v>
      </x:c>
      <x:c r="B127" s="179" t="n">
        <x:f>EDATE(Premissas!$B$4,121)</x:f>
        <x:v>50222</x:v>
      </x:c>
      <x:c r="C127" s="180" t="n">
        <x:f>(1+Premissas!$B$26)^INT((A127-1)/12)</x:f>
        <x:v>1.7908476965428546</x:v>
      </x:c>
      <x:c r="D127" s="141" t="n">
        <x:f>Premissas!$B$30*C127</x:f>
        <x:v>194539.76396653755</x:v>
      </x:c>
      <x:c r="E127" s="141" t="n">
        <x:f>IF(A127&lt;=Premissas!$B$25,Premissas!$B$32*C127,0)</x:f>
        <x:v>1021.6174646467734</x:v>
      </x:c>
      <x:c r="F127" s="141" t="n">
        <x:f>IF(AND(A127&gt;=Premissas!$B$48,A127&lt;=Premissas!$B$27,A127-Premissas!$B$48+1&lt;=Premissas!$B$13),INDEX(Financiamento!$C$6:$C$485,A127-Premissas!$B$48+1),0)</x:f>
        <x:v>0</x:v>
      </x:c>
      <x:c r="G127" s="141" t="n">
        <x:f>IF(AND(A127&gt;=Premissas!$B$48,A127&lt;=Premissas!$B$27,A127-Premissas!$B$48+1&lt;=Premissas!$B$13),INDEX(Financiamento!$J$6:$J$485,A127-Premissas!$B$48+1),0)</x:f>
        <x:v>0</x:v>
      </x:c>
      <x:c r="H127" s="141" t="n">
        <x:f>IF(AND(A127&gt;=Premissas!$B$48,A127&lt;=Premissas!$B$27,A127-Premissas!$B$48+1&lt;=Premissas!$B$13),INDEX(Financiamento!$M$6:$M$485,A127-Premissas!$B$48+1),0)</x:f>
        <x:v>0</x:v>
      </x:c>
      <x:c r="I127" s="141" t="n">
        <x:f>IF(A127=Premissas!$B$27,MIN(D127,H127),0)</x:f>
        <x:v>0</x:v>
      </x:c>
      <x:c r="J127" s="141" t="n">
        <x:f>IF(A127=Premissas!$B$27,D127-H127,0)</x:f>
        <x:v>0</x:v>
      </x:c>
      <x:c r="K127" s="141" t="n">
        <x:f>E127+G127</x:f>
        <x:v>1021.6174646467734</x:v>
      </x:c>
      <x:c r="L127" s="141" t="n">
        <x:f>SUM($K$6:K127)</x:f>
        <x:v>208824.95411337912</x:v>
      </x:c>
      <x:c r="M127" s="141" t="str">
        <x:f>IF(A127&lt;Premissas!$B$27,"Financiamento + consorcio",IF(A127=Premissas!$B$27,"Quitacao via carta",IF(A127&lt;=Premissas!$B$25,"Somente consorcio","Encerrado")))</x:f>
        <x:v>Somente consorcio</x:v>
      </x:c>
      <x:c r="N127" s="141" t="n">
        <x:f>IF(A127&gt;=Premissas!$B$25,0,(N128+E128)/(1+Premissas!$B$41))</x:f>
        <x:v>90855.69634888893</x:v>
      </x:c>
      <x:c r="O127" s="141" t="n">
        <x:f>IF(A127&lt;Premissas!$B$27,Premissas!$B$31/(1+Premissas!$B$41)^(Premissas!$B$27-A127),0)</x:f>
        <x:v>0</x:v>
      </x:c>
      <x:c r="P127" s="141" t="n">
        <x:f>MAX(0,H127-I127)+N127</x:f>
        <x:v>90855.69634888893</x:v>
      </x:c>
    </x:row>
    <x:row r="128">
      <x:c r="A128" s="142" t="n">
        <x:v>123</x:v>
      </x:c>
      <x:c r="B128" s="179" t="n">
        <x:f>EDATE(Premissas!$B$4,122)</x:f>
        <x:v>50253</x:v>
      </x:c>
      <x:c r="C128" s="180" t="n">
        <x:f>(1+Premissas!$B$26)^INT((A128-1)/12)</x:f>
        <x:v>1.7908476965428546</x:v>
      </x:c>
      <x:c r="D128" s="141" t="n">
        <x:f>Premissas!$B$30*C128</x:f>
        <x:v>194539.76396653755</x:v>
      </x:c>
      <x:c r="E128" s="141" t="n">
        <x:f>IF(A128&lt;=Premissas!$B$25,Premissas!$B$32*C128,0)</x:f>
        <x:v>1021.6174646467734</x:v>
      </x:c>
      <x:c r="F128" s="141" t="n">
        <x:f>IF(AND(A128&gt;=Premissas!$B$48,A128&lt;=Premissas!$B$27,A128-Premissas!$B$48+1&lt;=Premissas!$B$13),INDEX(Financiamento!$C$6:$C$485,A128-Premissas!$B$48+1),0)</x:f>
        <x:v>0</x:v>
      </x:c>
      <x:c r="G128" s="141" t="n">
        <x:f>IF(AND(A128&gt;=Premissas!$B$48,A128&lt;=Premissas!$B$27,A128-Premissas!$B$48+1&lt;=Premissas!$B$13),INDEX(Financiamento!$J$6:$J$485,A128-Premissas!$B$48+1),0)</x:f>
        <x:v>0</x:v>
      </x:c>
      <x:c r="H128" s="141" t="n">
        <x:f>IF(AND(A128&gt;=Premissas!$B$48,A128&lt;=Premissas!$B$27,A128-Premissas!$B$48+1&lt;=Premissas!$B$13),INDEX(Financiamento!$M$6:$M$485,A128-Premissas!$B$48+1),0)</x:f>
        <x:v>0</x:v>
      </x:c>
      <x:c r="I128" s="141" t="n">
        <x:f>IF(A128=Premissas!$B$27,MIN(D128,H128),0)</x:f>
        <x:v>0</x:v>
      </x:c>
      <x:c r="J128" s="141" t="n">
        <x:f>IF(A128=Premissas!$B$27,D128-H128,0)</x:f>
        <x:v>0</x:v>
      </x:c>
      <x:c r="K128" s="141" t="n">
        <x:f>E128+G128</x:f>
        <x:v>1021.6174646467734</x:v>
      </x:c>
      <x:c r="L128" s="141" t="n">
        <x:f>SUM($K$6:K128)</x:f>
        <x:v>209846.5715780259</x:v>
      </x:c>
      <x:c r="M128" s="141" t="str">
        <x:f>IF(A128&lt;Premissas!$B$27,"Financiamento + consorcio",IF(A128=Premissas!$B$27,"Quitacao via carta",IF(A128&lt;=Premissas!$B$25,"Somente consorcio","Encerrado")))</x:f>
        <x:v>Somente consorcio</x:v>
      </x:c>
      <x:c r="N128" s="141" t="n">
        <x:f>IF(A128&gt;=Premissas!$B$25,0,(N129+E129)/(1+Premissas!$B$41))</x:f>
        <x:v>90696.18977382412</x:v>
      </x:c>
      <x:c r="O128" s="141" t="n">
        <x:f>IF(A128&lt;Premissas!$B$27,Premissas!$B$31/(1+Premissas!$B$41)^(Premissas!$B$27-A128),0)</x:f>
        <x:v>0</x:v>
      </x:c>
      <x:c r="P128" s="141" t="n">
        <x:f>MAX(0,H128-I128)+N128</x:f>
        <x:v>90696.18977382412</x:v>
      </x:c>
    </x:row>
    <x:row r="129">
      <x:c r="A129" s="142" t="n">
        <x:v>124</x:v>
      </x:c>
      <x:c r="B129" s="179" t="n">
        <x:f>EDATE(Premissas!$B$4,123)</x:f>
        <x:v>50284</x:v>
      </x:c>
      <x:c r="C129" s="180" t="n">
        <x:f>(1+Premissas!$B$26)^INT((A129-1)/12)</x:f>
        <x:v>1.7908476965428546</x:v>
      </x:c>
      <x:c r="D129" s="141" t="n">
        <x:f>Premissas!$B$30*C129</x:f>
        <x:v>194539.76396653755</x:v>
      </x:c>
      <x:c r="E129" s="141" t="n">
        <x:f>IF(A129&lt;=Premissas!$B$25,Premissas!$B$32*C129,0)</x:f>
        <x:v>1021.6174646467734</x:v>
      </x:c>
      <x:c r="F129" s="141" t="n">
        <x:f>IF(AND(A129&gt;=Premissas!$B$48,A129&lt;=Premissas!$B$27,A129-Premissas!$B$48+1&lt;=Premissas!$B$13),INDEX(Financiamento!$C$6:$C$485,A129-Premissas!$B$48+1),0)</x:f>
        <x:v>0</x:v>
      </x:c>
      <x:c r="G129" s="141" t="n">
        <x:f>IF(AND(A129&gt;=Premissas!$B$48,A129&lt;=Premissas!$B$27,A129-Premissas!$B$48+1&lt;=Premissas!$B$13),INDEX(Financiamento!$J$6:$J$485,A129-Premissas!$B$48+1),0)</x:f>
        <x:v>0</x:v>
      </x:c>
      <x:c r="H129" s="141" t="n">
        <x:f>IF(AND(A129&gt;=Premissas!$B$48,A129&lt;=Premissas!$B$27,A129-Premissas!$B$48+1&lt;=Premissas!$B$13),INDEX(Financiamento!$M$6:$M$485,A129-Premissas!$B$48+1),0)</x:f>
        <x:v>0</x:v>
      </x:c>
      <x:c r="I129" s="141" t="n">
        <x:f>IF(A129=Premissas!$B$27,MIN(D129,H129),0)</x:f>
        <x:v>0</x:v>
      </x:c>
      <x:c r="J129" s="141" t="n">
        <x:f>IF(A129=Premissas!$B$27,D129-H129,0)</x:f>
        <x:v>0</x:v>
      </x:c>
      <x:c r="K129" s="141" t="n">
        <x:f>E129+G129</x:f>
        <x:v>1021.6174646467734</x:v>
      </x:c>
      <x:c r="L129" s="141" t="n">
        <x:f>SUM($K$6:K129)</x:f>
        <x:v>210868.1890426727</x:v>
      </x:c>
      <x:c r="M129" s="141" t="str">
        <x:f>IF(A129&lt;Premissas!$B$27,"Financiamento + consorcio",IF(A129=Premissas!$B$27,"Quitacao via carta",IF(A129&lt;=Premissas!$B$25,"Somente consorcio","Encerrado")))</x:f>
        <x:v>Somente consorcio</x:v>
      </x:c>
      <x:c r="N129" s="141" t="n">
        <x:f>IF(A129&gt;=Premissas!$B$25,0,(N130+E130)/(1+Premissas!$B$41))</x:f>
        <x:v>90535.16967389682</x:v>
      </x:c>
      <x:c r="O129" s="141" t="n">
        <x:f>IF(A129&lt;Premissas!$B$27,Premissas!$B$31/(1+Premissas!$B$41)^(Premissas!$B$27-A129),0)</x:f>
        <x:v>0</x:v>
      </x:c>
      <x:c r="P129" s="141" t="n">
        <x:f>MAX(0,H129-I129)+N129</x:f>
        <x:v>90535.16967389682</x:v>
      </x:c>
    </x:row>
    <x:row r="130">
      <x:c r="A130" s="142" t="n">
        <x:v>125</x:v>
      </x:c>
      <x:c r="B130" s="179" t="n">
        <x:f>EDATE(Premissas!$B$4,124)</x:f>
        <x:v>50314</x:v>
      </x:c>
      <x:c r="C130" s="180" t="n">
        <x:f>(1+Premissas!$B$26)^INT((A130-1)/12)</x:f>
        <x:v>1.7908476965428546</x:v>
      </x:c>
      <x:c r="D130" s="141" t="n">
        <x:f>Premissas!$B$30*C130</x:f>
        <x:v>194539.76396653755</x:v>
      </x:c>
      <x:c r="E130" s="141" t="n">
        <x:f>IF(A130&lt;=Premissas!$B$25,Premissas!$B$32*C130,0)</x:f>
        <x:v>1021.6174646467734</x:v>
      </x:c>
      <x:c r="F130" s="141" t="n">
        <x:f>IF(AND(A130&gt;=Premissas!$B$48,A130&lt;=Premissas!$B$27,A130-Premissas!$B$48+1&lt;=Premissas!$B$13),INDEX(Financiamento!$C$6:$C$485,A130-Premissas!$B$48+1),0)</x:f>
        <x:v>0</x:v>
      </x:c>
      <x:c r="G130" s="141" t="n">
        <x:f>IF(AND(A130&gt;=Premissas!$B$48,A130&lt;=Premissas!$B$27,A130-Premissas!$B$48+1&lt;=Premissas!$B$13),INDEX(Financiamento!$J$6:$J$485,A130-Premissas!$B$48+1),0)</x:f>
        <x:v>0</x:v>
      </x:c>
      <x:c r="H130" s="141" t="n">
        <x:f>IF(AND(A130&gt;=Premissas!$B$48,A130&lt;=Premissas!$B$27,A130-Premissas!$B$48+1&lt;=Premissas!$B$13),INDEX(Financiamento!$M$6:$M$485,A130-Premissas!$B$48+1),0)</x:f>
        <x:v>0</x:v>
      </x:c>
      <x:c r="I130" s="141" t="n">
        <x:f>IF(A130=Premissas!$B$27,MIN(D130,H130),0)</x:f>
        <x:v>0</x:v>
      </x:c>
      <x:c r="J130" s="141" t="n">
        <x:f>IF(A130=Premissas!$B$27,D130-H130,0)</x:f>
        <x:v>0</x:v>
      </x:c>
      <x:c r="K130" s="141" t="n">
        <x:f>E130+G130</x:f>
        <x:v>1021.6174646467734</x:v>
      </x:c>
      <x:c r="L130" s="141" t="n">
        <x:f>SUM($K$6:K130)</x:f>
        <x:v>211889.80650731947</x:v>
      </x:c>
      <x:c r="M130" s="141" t="str">
        <x:f>IF(A130&lt;Premissas!$B$27,"Financiamento + consorcio",IF(A130=Premissas!$B$27,"Quitacao via carta",IF(A130&lt;=Premissas!$B$25,"Somente consorcio","Encerrado")))</x:f>
        <x:v>Somente consorcio</x:v>
      </x:c>
      <x:c r="N130" s="141" t="n">
        <x:f>IF(A130&gt;=Premissas!$B$25,0,(N131+E131)/(1+Premissas!$B$41))</x:f>
        <x:v>90372.621687583</x:v>
      </x:c>
      <x:c r="O130" s="141" t="n">
        <x:f>IF(A130&lt;Premissas!$B$27,Premissas!$B$31/(1+Premissas!$B$41)^(Premissas!$B$27-A130),0)</x:f>
        <x:v>0</x:v>
      </x:c>
      <x:c r="P130" s="141" t="n">
        <x:f>MAX(0,H130-I130)+N130</x:f>
        <x:v>90372.621687583</x:v>
      </x:c>
    </x:row>
    <x:row r="131">
      <x:c r="A131" s="142" t="n">
        <x:v>126</x:v>
      </x:c>
      <x:c r="B131" s="179" t="n">
        <x:f>EDATE(Premissas!$B$4,125)</x:f>
        <x:v>50345</x:v>
      </x:c>
      <x:c r="C131" s="180" t="n">
        <x:f>(1+Premissas!$B$26)^INT((A131-1)/12)</x:f>
        <x:v>1.7908476965428546</x:v>
      </x:c>
      <x:c r="D131" s="141" t="n">
        <x:f>Premissas!$B$30*C131</x:f>
        <x:v>194539.76396653755</x:v>
      </x:c>
      <x:c r="E131" s="141" t="n">
        <x:f>IF(A131&lt;=Premissas!$B$25,Premissas!$B$32*C131,0)</x:f>
        <x:v>1021.6174646467734</x:v>
      </x:c>
      <x:c r="F131" s="141" t="n">
        <x:f>IF(AND(A131&gt;=Premissas!$B$48,A131&lt;=Premissas!$B$27,A131-Premissas!$B$48+1&lt;=Premissas!$B$13),INDEX(Financiamento!$C$6:$C$485,A131-Premissas!$B$48+1),0)</x:f>
        <x:v>0</x:v>
      </x:c>
      <x:c r="G131" s="141" t="n">
        <x:f>IF(AND(A131&gt;=Premissas!$B$48,A131&lt;=Premissas!$B$27,A131-Premissas!$B$48+1&lt;=Premissas!$B$13),INDEX(Financiamento!$J$6:$J$485,A131-Premissas!$B$48+1),0)</x:f>
        <x:v>0</x:v>
      </x:c>
      <x:c r="H131" s="141" t="n">
        <x:f>IF(AND(A131&gt;=Premissas!$B$48,A131&lt;=Premissas!$B$27,A131-Premissas!$B$48+1&lt;=Premissas!$B$13),INDEX(Financiamento!$M$6:$M$485,A131-Premissas!$B$48+1),0)</x:f>
        <x:v>0</x:v>
      </x:c>
      <x:c r="I131" s="141" t="n">
        <x:f>IF(A131=Premissas!$B$27,MIN(D131,H131),0)</x:f>
        <x:v>0</x:v>
      </x:c>
      <x:c r="J131" s="141" t="n">
        <x:f>IF(A131=Premissas!$B$27,D131-H131,0)</x:f>
        <x:v>0</x:v>
      </x:c>
      <x:c r="K131" s="141" t="n">
        <x:f>E131+G131</x:f>
        <x:v>1021.6174646467734</x:v>
      </x:c>
      <x:c r="L131" s="141" t="n">
        <x:f>SUM($K$6:K131)</x:f>
        <x:v>212911.42397196626</x:v>
      </x:c>
      <x:c r="M131" s="141" t="str">
        <x:f>IF(A131&lt;Premissas!$B$27,"Financiamento + consorcio",IF(A131=Premissas!$B$27,"Quitacao via carta",IF(A131&lt;=Premissas!$B$25,"Somente consorcio","Encerrado")))</x:f>
        <x:v>Somente consorcio</x:v>
      </x:c>
      <x:c r="N131" s="141" t="n">
        <x:f>IF(A131&gt;=Premissas!$B$25,0,(N132+E132)/(1+Premissas!$B$41))</x:f>
        <x:v>90208.53131708512</x:v>
      </x:c>
      <x:c r="O131" s="141" t="n">
        <x:f>IF(A131&lt;Premissas!$B$27,Premissas!$B$31/(1+Premissas!$B$41)^(Premissas!$B$27-A131),0)</x:f>
        <x:v>0</x:v>
      </x:c>
      <x:c r="P131" s="141" t="n">
        <x:f>MAX(0,H131-I131)+N131</x:f>
        <x:v>90208.53131708512</x:v>
      </x:c>
    </x:row>
    <x:row r="132">
      <x:c r="A132" s="142" t="n">
        <x:v>127</x:v>
      </x:c>
      <x:c r="B132" s="179" t="n">
        <x:f>EDATE(Premissas!$B$4,126)</x:f>
        <x:v>50375</x:v>
      </x:c>
      <x:c r="C132" s="180" t="n">
        <x:f>(1+Premissas!$B$26)^INT((A132-1)/12)</x:f>
        <x:v>1.7908476965428546</x:v>
      </x:c>
      <x:c r="D132" s="141" t="n">
        <x:f>Premissas!$B$30*C132</x:f>
        <x:v>194539.76396653755</x:v>
      </x:c>
      <x:c r="E132" s="141" t="n">
        <x:f>IF(A132&lt;=Premissas!$B$25,Premissas!$B$32*C132,0)</x:f>
        <x:v>1021.6174646467734</x:v>
      </x:c>
      <x:c r="F132" s="141" t="n">
        <x:f>IF(AND(A132&gt;=Premissas!$B$48,A132&lt;=Premissas!$B$27,A132-Premissas!$B$48+1&lt;=Premissas!$B$13),INDEX(Financiamento!$C$6:$C$485,A132-Premissas!$B$48+1),0)</x:f>
        <x:v>0</x:v>
      </x:c>
      <x:c r="G132" s="141" t="n">
        <x:f>IF(AND(A132&gt;=Premissas!$B$48,A132&lt;=Premissas!$B$27,A132-Premissas!$B$48+1&lt;=Premissas!$B$13),INDEX(Financiamento!$J$6:$J$485,A132-Premissas!$B$48+1),0)</x:f>
        <x:v>0</x:v>
      </x:c>
      <x:c r="H132" s="141" t="n">
        <x:f>IF(AND(A132&gt;=Premissas!$B$48,A132&lt;=Premissas!$B$27,A132-Premissas!$B$48+1&lt;=Premissas!$B$13),INDEX(Financiamento!$M$6:$M$485,A132-Premissas!$B$48+1),0)</x:f>
        <x:v>0</x:v>
      </x:c>
      <x:c r="I132" s="141" t="n">
        <x:f>IF(A132=Premissas!$B$27,MIN(D132,H132),0)</x:f>
        <x:v>0</x:v>
      </x:c>
      <x:c r="J132" s="141" t="n">
        <x:f>IF(A132=Premissas!$B$27,D132-H132,0)</x:f>
        <x:v>0</x:v>
      </x:c>
      <x:c r="K132" s="141" t="n">
        <x:f>E132+G132</x:f>
        <x:v>1021.6174646467734</x:v>
      </x:c>
      <x:c r="L132" s="141" t="n">
        <x:f>SUM($K$6:K132)</x:f>
        <x:v>213933.04143661304</x:v>
      </x:c>
      <x:c r="M132" s="141" t="str">
        <x:f>IF(A132&lt;Premissas!$B$27,"Financiamento + consorcio",IF(A132=Premissas!$B$27,"Quitacao via carta",IF(A132&lt;=Premissas!$B$25,"Somente consorcio","Encerrado")))</x:f>
        <x:v>Somente consorcio</x:v>
      </x:c>
      <x:c r="N132" s="141" t="n">
        <x:f>IF(A132&gt;=Premissas!$B$25,0,(N133+E133)/(1+Premissas!$B$41))</x:f>
        <x:v>90042.88392703902</x:v>
      </x:c>
      <x:c r="O132" s="141" t="n">
        <x:f>IF(A132&lt;Premissas!$B$27,Premissas!$B$31/(1+Premissas!$B$41)^(Premissas!$B$27-A132),0)</x:f>
        <x:v>0</x:v>
      </x:c>
      <x:c r="P132" s="141" t="n">
        <x:f>MAX(0,H132-I132)+N132</x:f>
        <x:v>90042.88392703902</x:v>
      </x:c>
    </x:row>
    <x:row r="133">
      <x:c r="A133" s="142" t="n">
        <x:v>128</x:v>
      </x:c>
      <x:c r="B133" s="179" t="n">
        <x:f>EDATE(Premissas!$B$4,127)</x:f>
        <x:v>50406</x:v>
      </x:c>
      <x:c r="C133" s="180" t="n">
        <x:f>(1+Premissas!$B$26)^INT((A133-1)/12)</x:f>
        <x:v>1.7908476965428546</x:v>
      </x:c>
      <x:c r="D133" s="141" t="n">
        <x:f>Premissas!$B$30*C133</x:f>
        <x:v>194539.76396653755</x:v>
      </x:c>
      <x:c r="E133" s="141" t="n">
        <x:f>IF(A133&lt;=Premissas!$B$25,Premissas!$B$32*C133,0)</x:f>
        <x:v>1021.6174646467734</x:v>
      </x:c>
      <x:c r="F133" s="141" t="n">
        <x:f>IF(AND(A133&gt;=Premissas!$B$48,A133&lt;=Premissas!$B$27,A133-Premissas!$B$48+1&lt;=Premissas!$B$13),INDEX(Financiamento!$C$6:$C$485,A133-Premissas!$B$48+1),0)</x:f>
        <x:v>0</x:v>
      </x:c>
      <x:c r="G133" s="141" t="n">
        <x:f>IF(AND(A133&gt;=Premissas!$B$48,A133&lt;=Premissas!$B$27,A133-Premissas!$B$48+1&lt;=Premissas!$B$13),INDEX(Financiamento!$J$6:$J$485,A133-Premissas!$B$48+1),0)</x:f>
        <x:v>0</x:v>
      </x:c>
      <x:c r="H133" s="141" t="n">
        <x:f>IF(AND(A133&gt;=Premissas!$B$48,A133&lt;=Premissas!$B$27,A133-Premissas!$B$48+1&lt;=Premissas!$B$13),INDEX(Financiamento!$M$6:$M$485,A133-Premissas!$B$48+1),0)</x:f>
        <x:v>0</x:v>
      </x:c>
      <x:c r="I133" s="141" t="n">
        <x:f>IF(A133=Premissas!$B$27,MIN(D133,H133),0)</x:f>
        <x:v>0</x:v>
      </x:c>
      <x:c r="J133" s="141" t="n">
        <x:f>IF(A133=Premissas!$B$27,D133-H133,0)</x:f>
        <x:v>0</x:v>
      </x:c>
      <x:c r="K133" s="141" t="n">
        <x:f>E133+G133</x:f>
        <x:v>1021.6174646467734</x:v>
      </x:c>
      <x:c r="L133" s="141" t="n">
        <x:f>SUM($K$6:K133)</x:f>
        <x:v>214954.65890125983</x:v>
      </x:c>
      <x:c r="M133" s="141" t="str">
        <x:f>IF(A133&lt;Premissas!$B$27,"Financiamento + consorcio",IF(A133=Premissas!$B$27,"Quitacao via carta",IF(A133&lt;=Premissas!$B$25,"Somente consorcio","Encerrado")))</x:f>
        <x:v>Somente consorcio</x:v>
      </x:c>
      <x:c r="N133" s="141" t="n">
        <x:f>IF(A133&gt;=Premissas!$B$25,0,(N134+E134)/(1+Premissas!$B$41))</x:f>
        <x:v>89875.66474320862</x:v>
      </x:c>
      <x:c r="O133" s="141" t="n">
        <x:f>IF(A133&lt;Premissas!$B$27,Premissas!$B$31/(1+Premissas!$B$41)^(Premissas!$B$27-A133),0)</x:f>
        <x:v>0</x:v>
      </x:c>
      <x:c r="P133" s="141" t="n">
        <x:f>MAX(0,H133-I133)+N133</x:f>
        <x:v>89875.66474320862</x:v>
      </x:c>
    </x:row>
    <x:row r="134">
      <x:c r="A134" s="142" t="n">
        <x:v>129</x:v>
      </x:c>
      <x:c r="B134" s="179" t="n">
        <x:f>EDATE(Premissas!$B$4,128)</x:f>
        <x:v>50437</x:v>
      </x:c>
      <x:c r="C134" s="180" t="n">
        <x:f>(1+Premissas!$B$26)^INT((A134-1)/12)</x:f>
        <x:v>1.7908476965428546</x:v>
      </x:c>
      <x:c r="D134" s="141" t="n">
        <x:f>Premissas!$B$30*C134</x:f>
        <x:v>194539.76396653755</x:v>
      </x:c>
      <x:c r="E134" s="141" t="n">
        <x:f>IF(A134&lt;=Premissas!$B$25,Premissas!$B$32*C134,0)</x:f>
        <x:v>1021.6174646467734</x:v>
      </x:c>
      <x:c r="F134" s="141" t="n">
        <x:f>IF(AND(A134&gt;=Premissas!$B$48,A134&lt;=Premissas!$B$27,A134-Premissas!$B$48+1&lt;=Premissas!$B$13),INDEX(Financiamento!$C$6:$C$485,A134-Premissas!$B$48+1),0)</x:f>
        <x:v>0</x:v>
      </x:c>
      <x:c r="G134" s="141" t="n">
        <x:f>IF(AND(A134&gt;=Premissas!$B$48,A134&lt;=Premissas!$B$27,A134-Premissas!$B$48+1&lt;=Premissas!$B$13),INDEX(Financiamento!$J$6:$J$485,A134-Premissas!$B$48+1),0)</x:f>
        <x:v>0</x:v>
      </x:c>
      <x:c r="H134" s="141" t="n">
        <x:f>IF(AND(A134&gt;=Premissas!$B$48,A134&lt;=Premissas!$B$27,A134-Premissas!$B$48+1&lt;=Premissas!$B$13),INDEX(Financiamento!$M$6:$M$485,A134-Premissas!$B$48+1),0)</x:f>
        <x:v>0</x:v>
      </x:c>
      <x:c r="I134" s="141" t="n">
        <x:f>IF(A134=Premissas!$B$27,MIN(D134,H134),0)</x:f>
        <x:v>0</x:v>
      </x:c>
      <x:c r="J134" s="141" t="n">
        <x:f>IF(A134=Premissas!$B$27,D134-H134,0)</x:f>
        <x:v>0</x:v>
      </x:c>
      <x:c r="K134" s="141" t="n">
        <x:f>E134+G134</x:f>
        <x:v>1021.6174646467734</x:v>
      </x:c>
      <x:c r="L134" s="141" t="n">
        <x:f>SUM($K$6:K134)</x:f>
        <x:v>215976.2763659066</x:v>
      </x:c>
      <x:c r="M134" s="141" t="str">
        <x:f>IF(A134&lt;Premissas!$B$27,"Financiamento + consorcio",IF(A134=Premissas!$B$27,"Quitacao via carta",IF(A134&lt;=Premissas!$B$25,"Somente consorcio","Encerrado")))</x:f>
        <x:v>Somente consorcio</x:v>
      </x:c>
      <x:c r="N134" s="141" t="n">
        <x:f>IF(A134&gt;=Premissas!$B$25,0,(N135+E135)/(1+Premissas!$B$41))</x:f>
        <x:v>89706.85885116816</x:v>
      </x:c>
      <x:c r="O134" s="141" t="n">
        <x:f>IF(A134&lt;Premissas!$B$27,Premissas!$B$31/(1+Premissas!$B$41)^(Premissas!$B$27-A134),0)</x:f>
        <x:v>0</x:v>
      </x:c>
      <x:c r="P134" s="141" t="n">
        <x:f>MAX(0,H134-I134)+N134</x:f>
        <x:v>89706.85885116816</x:v>
      </x:c>
    </x:row>
    <x:row r="135">
      <x:c r="A135" s="142" t="n">
        <x:v>130</x:v>
      </x:c>
      <x:c r="B135" s="179" t="n">
        <x:f>EDATE(Premissas!$B$4,129)</x:f>
        <x:v>50465</x:v>
      </x:c>
      <x:c r="C135" s="180" t="n">
        <x:f>(1+Premissas!$B$26)^INT((A135-1)/12)</x:f>
        <x:v>1.7908476965428546</x:v>
      </x:c>
      <x:c r="D135" s="141" t="n">
        <x:f>Premissas!$B$30*C135</x:f>
        <x:v>194539.76396653755</x:v>
      </x:c>
      <x:c r="E135" s="141" t="n">
        <x:f>IF(A135&lt;=Premissas!$B$25,Premissas!$B$32*C135,0)</x:f>
        <x:v>1021.6174646467734</x:v>
      </x:c>
      <x:c r="F135" s="141" t="n">
        <x:f>IF(AND(A135&gt;=Premissas!$B$48,A135&lt;=Premissas!$B$27,A135-Premissas!$B$48+1&lt;=Premissas!$B$13),INDEX(Financiamento!$C$6:$C$485,A135-Premissas!$B$48+1),0)</x:f>
        <x:v>0</x:v>
      </x:c>
      <x:c r="G135" s="141" t="n">
        <x:f>IF(AND(A135&gt;=Premissas!$B$48,A135&lt;=Premissas!$B$27,A135-Premissas!$B$48+1&lt;=Premissas!$B$13),INDEX(Financiamento!$J$6:$J$485,A135-Premissas!$B$48+1),0)</x:f>
        <x:v>0</x:v>
      </x:c>
      <x:c r="H135" s="141" t="n">
        <x:f>IF(AND(A135&gt;=Premissas!$B$48,A135&lt;=Premissas!$B$27,A135-Premissas!$B$48+1&lt;=Premissas!$B$13),INDEX(Financiamento!$M$6:$M$485,A135-Premissas!$B$48+1),0)</x:f>
        <x:v>0</x:v>
      </x:c>
      <x:c r="I135" s="141" t="n">
        <x:f>IF(A135=Premissas!$B$27,MIN(D135,H135),0)</x:f>
        <x:v>0</x:v>
      </x:c>
      <x:c r="J135" s="141" t="n">
        <x:f>IF(A135=Premissas!$B$27,D135-H135,0)</x:f>
        <x:v>0</x:v>
      </x:c>
      <x:c r="K135" s="141" t="n">
        <x:f>E135+G135</x:f>
        <x:v>1021.6174646467734</x:v>
      </x:c>
      <x:c r="L135" s="141" t="n">
        <x:f>SUM($K$6:K135)</x:f>
        <x:v>216997.8938305534</x:v>
      </x:c>
      <x:c r="M135" s="141" t="str">
        <x:f>IF(A135&lt;Premissas!$B$27,"Financiamento + consorcio",IF(A135=Premissas!$B$27,"Quitacao via carta",IF(A135&lt;=Premissas!$B$25,"Somente consorcio","Encerrado")))</x:f>
        <x:v>Somente consorcio</x:v>
      </x:c>
      <x:c r="N135" s="141" t="n">
        <x:f>IF(A135&gt;=Premissas!$B$25,0,(N136+E136)/(1+Premissas!$B$41))</x:f>
        <x:v>89536.45119497199</x:v>
      </x:c>
      <x:c r="O135" s="141" t="n">
        <x:f>IF(A135&lt;Premissas!$B$27,Premissas!$B$31/(1+Premissas!$B$41)^(Premissas!$B$27-A135),0)</x:f>
        <x:v>0</x:v>
      </x:c>
      <x:c r="P135" s="141" t="n">
        <x:f>MAX(0,H135-I135)+N135</x:f>
        <x:v>89536.45119497199</x:v>
      </x:c>
    </x:row>
    <x:row r="136">
      <x:c r="A136" s="142" t="n">
        <x:v>131</x:v>
      </x:c>
      <x:c r="B136" s="179" t="n">
        <x:f>EDATE(Premissas!$B$4,130)</x:f>
        <x:v>50496</x:v>
      </x:c>
      <x:c r="C136" s="180" t="n">
        <x:f>(1+Premissas!$B$26)^INT((A136-1)/12)</x:f>
        <x:v>1.7908476965428546</x:v>
      </x:c>
      <x:c r="D136" s="141" t="n">
        <x:f>Premissas!$B$30*C136</x:f>
        <x:v>194539.76396653755</x:v>
      </x:c>
      <x:c r="E136" s="141" t="n">
        <x:f>IF(A136&lt;=Premissas!$B$25,Premissas!$B$32*C136,0)</x:f>
        <x:v>1021.6174646467734</x:v>
      </x:c>
      <x:c r="F136" s="141" t="n">
        <x:f>IF(AND(A136&gt;=Premissas!$B$48,A136&lt;=Premissas!$B$27,A136-Premissas!$B$48+1&lt;=Premissas!$B$13),INDEX(Financiamento!$C$6:$C$485,A136-Premissas!$B$48+1),0)</x:f>
        <x:v>0</x:v>
      </x:c>
      <x:c r="G136" s="141" t="n">
        <x:f>IF(AND(A136&gt;=Premissas!$B$48,A136&lt;=Premissas!$B$27,A136-Premissas!$B$48+1&lt;=Premissas!$B$13),INDEX(Financiamento!$J$6:$J$485,A136-Premissas!$B$48+1),0)</x:f>
        <x:v>0</x:v>
      </x:c>
      <x:c r="H136" s="141" t="n">
        <x:f>IF(AND(A136&gt;=Premissas!$B$48,A136&lt;=Premissas!$B$27,A136-Premissas!$B$48+1&lt;=Premissas!$B$13),INDEX(Financiamento!$M$6:$M$485,A136-Premissas!$B$48+1),0)</x:f>
        <x:v>0</x:v>
      </x:c>
      <x:c r="I136" s="141" t="n">
        <x:f>IF(A136=Premissas!$B$27,MIN(D136,H136),0)</x:f>
        <x:v>0</x:v>
      </x:c>
      <x:c r="J136" s="141" t="n">
        <x:f>IF(A136=Premissas!$B$27,D136-H136,0)</x:f>
        <x:v>0</x:v>
      </x:c>
      <x:c r="K136" s="141" t="n">
        <x:f>E136+G136</x:f>
        <x:v>1021.6174646467734</x:v>
      </x:c>
      <x:c r="L136" s="141" t="n">
        <x:f>SUM($K$6:K136)</x:f>
        <x:v>218019.51129520018</x:v>
      </x:c>
      <x:c r="M136" s="141" t="str">
        <x:f>IF(A136&lt;Premissas!$B$27,"Financiamento + consorcio",IF(A136=Premissas!$B$27,"Quitacao via carta",IF(A136&lt;=Premissas!$B$25,"Somente consorcio","Encerrado")))</x:f>
        <x:v>Somente consorcio</x:v>
      </x:c>
      <x:c r="N136" s="141" t="n">
        <x:f>IF(A136&gt;=Premissas!$B$25,0,(N137+E137)/(1+Premissas!$B$41))</x:f>
        <x:v>89364.42657581171</x:v>
      </x:c>
      <x:c r="O136" s="141" t="n">
        <x:f>IF(A136&lt;Premissas!$B$27,Premissas!$B$31/(1+Premissas!$B$41)^(Premissas!$B$27-A136),0)</x:f>
        <x:v>0</x:v>
      </x:c>
      <x:c r="P136" s="141" t="n">
        <x:f>MAX(0,H136-I136)+N136</x:f>
        <x:v>89364.42657581171</x:v>
      </x:c>
    </x:row>
    <x:row r="137">
      <x:c r="A137" s="142" t="n">
        <x:v>132</x:v>
      </x:c>
      <x:c r="B137" s="179" t="n">
        <x:f>EDATE(Premissas!$B$4,131)</x:f>
        <x:v>50526</x:v>
      </x:c>
      <x:c r="C137" s="180" t="n">
        <x:f>(1+Premissas!$B$26)^INT((A137-1)/12)</x:f>
        <x:v>1.7908476965428546</x:v>
      </x:c>
      <x:c r="D137" s="141" t="n">
        <x:f>Premissas!$B$30*C137</x:f>
        <x:v>194539.76396653755</x:v>
      </x:c>
      <x:c r="E137" s="141" t="n">
        <x:f>IF(A137&lt;=Premissas!$B$25,Premissas!$B$32*C137,0)</x:f>
        <x:v>1021.6174646467734</x:v>
      </x:c>
      <x:c r="F137" s="141" t="n">
        <x:f>IF(AND(A137&gt;=Premissas!$B$48,A137&lt;=Premissas!$B$27,A137-Premissas!$B$48+1&lt;=Premissas!$B$13),INDEX(Financiamento!$C$6:$C$485,A137-Premissas!$B$48+1),0)</x:f>
        <x:v>0</x:v>
      </x:c>
      <x:c r="G137" s="141" t="n">
        <x:f>IF(AND(A137&gt;=Premissas!$B$48,A137&lt;=Premissas!$B$27,A137-Premissas!$B$48+1&lt;=Premissas!$B$13),INDEX(Financiamento!$J$6:$J$485,A137-Premissas!$B$48+1),0)</x:f>
        <x:v>0</x:v>
      </x:c>
      <x:c r="H137" s="141" t="n">
        <x:f>IF(AND(A137&gt;=Premissas!$B$48,A137&lt;=Premissas!$B$27,A137-Premissas!$B$48+1&lt;=Premissas!$B$13),INDEX(Financiamento!$M$6:$M$485,A137-Premissas!$B$48+1),0)</x:f>
        <x:v>0</x:v>
      </x:c>
      <x:c r="I137" s="141" t="n">
        <x:f>IF(A137=Premissas!$B$27,MIN(D137,H137),0)</x:f>
        <x:v>0</x:v>
      </x:c>
      <x:c r="J137" s="141" t="n">
        <x:f>IF(A137=Premissas!$B$27,D137-H137,0)</x:f>
        <x:v>0</x:v>
      </x:c>
      <x:c r="K137" s="141" t="n">
        <x:f>E137+G137</x:f>
        <x:v>1021.6174646467734</x:v>
      </x:c>
      <x:c r="L137" s="141" t="n">
        <x:f>SUM($K$6:K137)</x:f>
        <x:v>219041.12875984696</x:v>
      </x:c>
      <x:c r="M137" s="141" t="str">
        <x:f>IF(A137&lt;Premissas!$B$27,"Financiamento + consorcio",IF(A137=Premissas!$B$27,"Quitacao via carta",IF(A137&lt;=Premissas!$B$25,"Somente consorcio","Encerrado")))</x:f>
        <x:v>Somente consorcio</x:v>
      </x:c>
      <x:c r="N137" s="141" t="n">
        <x:f>IF(A137&gt;=Premissas!$B$25,0,(N138+E138)/(1+Premissas!$B$41))</x:f>
        <x:v>89190.76965066057</x:v>
      </x:c>
      <x:c r="O137" s="141" t="n">
        <x:f>IF(A137&lt;Premissas!$B$27,Premissas!$B$31/(1+Premissas!$B$41)^(Premissas!$B$27-A137),0)</x:f>
        <x:v>0</x:v>
      </x:c>
      <x:c r="P137" s="141" t="n">
        <x:f>MAX(0,H137-I137)+N137</x:f>
        <x:v>89190.76965066057</x:v>
      </x:c>
    </x:row>
    <x:row r="138">
      <x:c r="A138" s="142" t="n">
        <x:v>133</x:v>
      </x:c>
      <x:c r="B138" s="179" t="n">
        <x:f>EDATE(Premissas!$B$4,132)</x:f>
        <x:v>50557</x:v>
      </x:c>
      <x:c r="C138" s="180" t="n">
        <x:f>(1+Premissas!$B$26)^INT((A138-1)/12)</x:f>
        <x:v>1.898298558335426</x:v>
      </x:c>
      <x:c r="D138" s="141" t="n">
        <x:f>Premissas!$B$30*C138</x:f>
        <x:v>206212.1498045298</x:v>
      </x:c>
      <x:c r="E138" s="141" t="n">
        <x:f>IF(A138&lt;=Premissas!$B$25,Premissas!$B$32*C138,0)</x:f>
        <x:v>1082.91451252558</x:v>
      </x:c>
      <x:c r="F138" s="141" t="n">
        <x:f>IF(AND(A138&gt;=Premissas!$B$48,A138&lt;=Premissas!$B$27,A138-Premissas!$B$48+1&lt;=Premissas!$B$13),INDEX(Financiamento!$C$6:$C$485,A138-Premissas!$B$48+1),0)</x:f>
        <x:v>0</x:v>
      </x:c>
      <x:c r="G138" s="141" t="n">
        <x:f>IF(AND(A138&gt;=Premissas!$B$48,A138&lt;=Premissas!$B$27,A138-Premissas!$B$48+1&lt;=Premissas!$B$13),INDEX(Financiamento!$J$6:$J$485,A138-Premissas!$B$48+1),0)</x:f>
        <x:v>0</x:v>
      </x:c>
      <x:c r="H138" s="141" t="n">
        <x:f>IF(AND(A138&gt;=Premissas!$B$48,A138&lt;=Premissas!$B$27,A138-Premissas!$B$48+1&lt;=Premissas!$B$13),INDEX(Financiamento!$M$6:$M$485,A138-Premissas!$B$48+1),0)</x:f>
        <x:v>0</x:v>
      </x:c>
      <x:c r="I138" s="141" t="n">
        <x:f>IF(A138=Premissas!$B$27,MIN(D138,H138),0)</x:f>
        <x:v>0</x:v>
      </x:c>
      <x:c r="J138" s="141" t="n">
        <x:f>IF(A138=Premissas!$B$27,D138-H138,0)</x:f>
        <x:v>0</x:v>
      </x:c>
      <x:c r="K138" s="141" t="n">
        <x:f>E138+G138</x:f>
        <x:v>1082.91451252558</x:v>
      </x:c>
      <x:c r="L138" s="141" t="n">
        <x:f>SUM($K$6:K138)</x:f>
        <x:v>220124.04327237254</x:v>
      </x:c>
      <x:c r="M138" s="141" t="str">
        <x:f>IF(A138&lt;Premissas!$B$27,"Financiamento + consorcio",IF(A138=Premissas!$B$27,"Quitacao via carta",IF(A138&lt;=Premissas!$B$25,"Somente consorcio","Encerrado")))</x:f>
        <x:v>Somente consorcio</x:v>
      </x:c>
      <x:c r="N138" s="141" t="n">
        <x:f>IF(A138&gt;=Premissas!$B$25,0,(N139+E139)/(1+Premissas!$B$41))</x:f>
        <x:v>88954.16788302621</x:v>
      </x:c>
      <x:c r="O138" s="141" t="n">
        <x:f>IF(A138&lt;Premissas!$B$27,Premissas!$B$31/(1+Premissas!$B$41)^(Premissas!$B$27-A138),0)</x:f>
        <x:v>0</x:v>
      </x:c>
      <x:c r="P138" s="141" t="n">
        <x:f>MAX(0,H138-I138)+N138</x:f>
        <x:v>88954.16788302621</x:v>
      </x:c>
    </x:row>
    <x:row r="139">
      <x:c r="A139" s="142" t="n">
        <x:v>134</x:v>
      </x:c>
      <x:c r="B139" s="179" t="n">
        <x:f>EDATE(Premissas!$B$4,133)</x:f>
        <x:v>50587</x:v>
      </x:c>
      <x:c r="C139" s="180" t="n">
        <x:f>(1+Premissas!$B$26)^INT((A139-1)/12)</x:f>
        <x:v>1.898298558335426</x:v>
      </x:c>
      <x:c r="D139" s="141" t="n">
        <x:f>Premissas!$B$30*C139</x:f>
        <x:v>206212.1498045298</x:v>
      </x:c>
      <x:c r="E139" s="141" t="n">
        <x:f>IF(A139&lt;=Premissas!$B$25,Premissas!$B$32*C139,0)</x:f>
        <x:v>1082.91451252558</x:v>
      </x:c>
      <x:c r="F139" s="141" t="n">
        <x:f>IF(AND(A139&gt;=Premissas!$B$48,A139&lt;=Premissas!$B$27,A139-Premissas!$B$48+1&lt;=Premissas!$B$13),INDEX(Financiamento!$C$6:$C$485,A139-Premissas!$B$48+1),0)</x:f>
        <x:v>0</x:v>
      </x:c>
      <x:c r="G139" s="141" t="n">
        <x:f>IF(AND(A139&gt;=Premissas!$B$48,A139&lt;=Premissas!$B$27,A139-Premissas!$B$48+1&lt;=Premissas!$B$13),INDEX(Financiamento!$J$6:$J$485,A139-Premissas!$B$48+1),0)</x:f>
        <x:v>0</x:v>
      </x:c>
      <x:c r="H139" s="141" t="n">
        <x:f>IF(AND(A139&gt;=Premissas!$B$48,A139&lt;=Premissas!$B$27,A139-Premissas!$B$48+1&lt;=Premissas!$B$13),INDEX(Financiamento!$M$6:$M$485,A139-Premissas!$B$48+1),0)</x:f>
        <x:v>0</x:v>
      </x:c>
      <x:c r="I139" s="141" t="n">
        <x:f>IF(A139=Premissas!$B$27,MIN(D139,H139),0)</x:f>
        <x:v>0</x:v>
      </x:c>
      <x:c r="J139" s="141" t="n">
        <x:f>IF(A139=Premissas!$B$27,D139-H139,0)</x:f>
        <x:v>0</x:v>
      </x:c>
      <x:c r="K139" s="141" t="n">
        <x:f>E139+G139</x:f>
        <x:v>1082.91451252558</x:v>
      </x:c>
      <x:c r="L139" s="141" t="n">
        <x:f>SUM($K$6:K139)</x:f>
        <x:v>221206.9577848981</x:v>
      </x:c>
      <x:c r="M139" s="141" t="str">
        <x:f>IF(A139&lt;Premissas!$B$27,"Financiamento + consorcio",IF(A139=Premissas!$B$27,"Quitacao via carta",IF(A139&lt;=Premissas!$B$25,"Somente consorcio","Encerrado")))</x:f>
        <x:v>Somente consorcio</x:v>
      </x:c>
      <x:c r="N139" s="141" t="n">
        <x:f>IF(A139&gt;=Premissas!$B$25,0,(N140+E140)/(1+Premissas!$B$41))</x:f>
        <x:v>88715.32105021081</x:v>
      </x:c>
      <x:c r="O139" s="141" t="n">
        <x:f>IF(A139&lt;Premissas!$B$27,Premissas!$B$31/(1+Premissas!$B$41)^(Premissas!$B$27-A139),0)</x:f>
        <x:v>0</x:v>
      </x:c>
      <x:c r="P139" s="141" t="n">
        <x:f>MAX(0,H139-I139)+N139</x:f>
        <x:v>88715.32105021081</x:v>
      </x:c>
    </x:row>
    <x:row r="140">
      <x:c r="A140" s="142" t="n">
        <x:v>135</x:v>
      </x:c>
      <x:c r="B140" s="179" t="n">
        <x:f>EDATE(Premissas!$B$4,134)</x:f>
        <x:v>50618</x:v>
      </x:c>
      <x:c r="C140" s="180" t="n">
        <x:f>(1+Premissas!$B$26)^INT((A140-1)/12)</x:f>
        <x:v>1.898298558335426</x:v>
      </x:c>
      <x:c r="D140" s="141" t="n">
        <x:f>Premissas!$B$30*C140</x:f>
        <x:v>206212.1498045298</x:v>
      </x:c>
      <x:c r="E140" s="141" t="n">
        <x:f>IF(A140&lt;=Premissas!$B$25,Premissas!$B$32*C140,0)</x:f>
        <x:v>1082.91451252558</x:v>
      </x:c>
      <x:c r="F140" s="141" t="n">
        <x:f>IF(AND(A140&gt;=Premissas!$B$48,A140&lt;=Premissas!$B$27,A140-Premissas!$B$48+1&lt;=Premissas!$B$13),INDEX(Financiamento!$C$6:$C$485,A140-Premissas!$B$48+1),0)</x:f>
        <x:v>0</x:v>
      </x:c>
      <x:c r="G140" s="141" t="n">
        <x:f>IF(AND(A140&gt;=Premissas!$B$48,A140&lt;=Premissas!$B$27,A140-Premissas!$B$48+1&lt;=Premissas!$B$13),INDEX(Financiamento!$J$6:$J$485,A140-Premissas!$B$48+1),0)</x:f>
        <x:v>0</x:v>
      </x:c>
      <x:c r="H140" s="141" t="n">
        <x:f>IF(AND(A140&gt;=Premissas!$B$48,A140&lt;=Premissas!$B$27,A140-Premissas!$B$48+1&lt;=Premissas!$B$13),INDEX(Financiamento!$M$6:$M$485,A140-Premissas!$B$48+1),0)</x:f>
        <x:v>0</x:v>
      </x:c>
      <x:c r="I140" s="141" t="n">
        <x:f>IF(A140=Premissas!$B$27,MIN(D140,H140),0)</x:f>
        <x:v>0</x:v>
      </x:c>
      <x:c r="J140" s="141" t="n">
        <x:f>IF(A140=Premissas!$B$27,D140-H140,0)</x:f>
        <x:v>0</x:v>
      </x:c>
      <x:c r="K140" s="141" t="n">
        <x:f>E140+G140</x:f>
        <x:v>1082.91451252558</x:v>
      </x:c>
      <x:c r="L140" s="141" t="n">
        <x:f>SUM($K$6:K140)</x:f>
        <x:v>222289.8722974237</x:v>
      </x:c>
      <x:c r="M140" s="141" t="str">
        <x:f>IF(A140&lt;Premissas!$B$27,"Financiamento + consorcio",IF(A140=Premissas!$B$27,"Quitacao via carta",IF(A140&lt;=Premissas!$B$25,"Somente consorcio","Encerrado")))</x:f>
        <x:v>Somente consorcio</x:v>
      </x:c>
      <x:c r="N140" s="141" t="n">
        <x:f>IF(A140&gt;=Premissas!$B$25,0,(N141+E141)/(1+Premissas!$B$41))</x:f>
        <x:v>88474.20784925575</x:v>
      </x:c>
      <x:c r="O140" s="141" t="n">
        <x:f>IF(A140&lt;Premissas!$B$27,Premissas!$B$31/(1+Premissas!$B$41)^(Premissas!$B$27-A140),0)</x:f>
        <x:v>0</x:v>
      </x:c>
      <x:c r="P140" s="141" t="n">
        <x:f>MAX(0,H140-I140)+N140</x:f>
        <x:v>88474.20784925575</x:v>
      </x:c>
    </x:row>
    <x:row r="141">
      <x:c r="A141" s="142" t="n">
        <x:v>136</x:v>
      </x:c>
      <x:c r="B141" s="179" t="n">
        <x:f>EDATE(Premissas!$B$4,135)</x:f>
        <x:v>50649</x:v>
      </x:c>
      <x:c r="C141" s="180" t="n">
        <x:f>(1+Premissas!$B$26)^INT((A141-1)/12)</x:f>
        <x:v>1.898298558335426</x:v>
      </x:c>
      <x:c r="D141" s="141" t="n">
        <x:f>Premissas!$B$30*C141</x:f>
        <x:v>206212.1498045298</x:v>
      </x:c>
      <x:c r="E141" s="141" t="n">
        <x:f>IF(A141&lt;=Premissas!$B$25,Premissas!$B$32*C141,0)</x:f>
        <x:v>1082.91451252558</x:v>
      </x:c>
      <x:c r="F141" s="141" t="n">
        <x:f>IF(AND(A141&gt;=Premissas!$B$48,A141&lt;=Premissas!$B$27,A141-Premissas!$B$48+1&lt;=Premissas!$B$13),INDEX(Financiamento!$C$6:$C$485,A141-Premissas!$B$48+1),0)</x:f>
        <x:v>0</x:v>
      </x:c>
      <x:c r="G141" s="141" t="n">
        <x:f>IF(AND(A141&gt;=Premissas!$B$48,A141&lt;=Premissas!$B$27,A141-Premissas!$B$48+1&lt;=Premissas!$B$13),INDEX(Financiamento!$J$6:$J$485,A141-Premissas!$B$48+1),0)</x:f>
        <x:v>0</x:v>
      </x:c>
      <x:c r="H141" s="141" t="n">
        <x:f>IF(AND(A141&gt;=Premissas!$B$48,A141&lt;=Premissas!$B$27,A141-Premissas!$B$48+1&lt;=Premissas!$B$13),INDEX(Financiamento!$M$6:$M$485,A141-Premissas!$B$48+1),0)</x:f>
        <x:v>0</x:v>
      </x:c>
      <x:c r="I141" s="141" t="n">
        <x:f>IF(A141=Premissas!$B$27,MIN(D141,H141),0)</x:f>
        <x:v>0</x:v>
      </x:c>
      <x:c r="J141" s="141" t="n">
        <x:f>IF(A141=Premissas!$B$27,D141-H141,0)</x:f>
        <x:v>0</x:v>
      </x:c>
      <x:c r="K141" s="141" t="n">
        <x:f>E141+G141</x:f>
        <x:v>1082.91451252558</x:v>
      </x:c>
      <x:c r="L141" s="141" t="n">
        <x:f>SUM($K$6:K141)</x:f>
        <x:v>223372.78680994926</x:v>
      </x:c>
      <x:c r="M141" s="141" t="str">
        <x:f>IF(A141&lt;Premissas!$B$27,"Financiamento + consorcio",IF(A141=Premissas!$B$27,"Quitacao via carta",IF(A141&lt;=Premissas!$B$25,"Somente consorcio","Encerrado")))</x:f>
        <x:v>Somente consorcio</x:v>
      </x:c>
      <x:c r="N141" s="141" t="n">
        <x:f>IF(A141&gt;=Premissas!$B$25,0,(N142+E142)/(1+Premissas!$B$41))</x:f>
        <x:v>88230.80677506303</x:v>
      </x:c>
      <x:c r="O141" s="141" t="n">
        <x:f>IF(A141&lt;Premissas!$B$27,Premissas!$B$31/(1+Premissas!$B$41)^(Premissas!$B$27-A141),0)</x:f>
        <x:v>0</x:v>
      </x:c>
      <x:c r="P141" s="141" t="n">
        <x:f>MAX(0,H141-I141)+N141</x:f>
        <x:v>88230.80677506303</x:v>
      </x:c>
    </x:row>
    <x:row r="142">
      <x:c r="A142" s="142" t="n">
        <x:v>137</x:v>
      </x:c>
      <x:c r="B142" s="179" t="n">
        <x:f>EDATE(Premissas!$B$4,136)</x:f>
        <x:v>50679</x:v>
      </x:c>
      <x:c r="C142" s="180" t="n">
        <x:f>(1+Premissas!$B$26)^INT((A142-1)/12)</x:f>
        <x:v>1.898298558335426</x:v>
      </x:c>
      <x:c r="D142" s="141" t="n">
        <x:f>Premissas!$B$30*C142</x:f>
        <x:v>206212.1498045298</x:v>
      </x:c>
      <x:c r="E142" s="141" t="n">
        <x:f>IF(A142&lt;=Premissas!$B$25,Premissas!$B$32*C142,0)</x:f>
        <x:v>1082.91451252558</x:v>
      </x:c>
      <x:c r="F142" s="141" t="n">
        <x:f>IF(AND(A142&gt;=Premissas!$B$48,A142&lt;=Premissas!$B$27,A142-Premissas!$B$48+1&lt;=Premissas!$B$13),INDEX(Financiamento!$C$6:$C$485,A142-Premissas!$B$48+1),0)</x:f>
        <x:v>0</x:v>
      </x:c>
      <x:c r="G142" s="141" t="n">
        <x:f>IF(AND(A142&gt;=Premissas!$B$48,A142&lt;=Premissas!$B$27,A142-Premissas!$B$48+1&lt;=Premissas!$B$13),INDEX(Financiamento!$J$6:$J$485,A142-Premissas!$B$48+1),0)</x:f>
        <x:v>0</x:v>
      </x:c>
      <x:c r="H142" s="141" t="n">
        <x:f>IF(AND(A142&gt;=Premissas!$B$48,A142&lt;=Premissas!$B$27,A142-Premissas!$B$48+1&lt;=Premissas!$B$13),INDEX(Financiamento!$M$6:$M$485,A142-Premissas!$B$48+1),0)</x:f>
        <x:v>0</x:v>
      </x:c>
      <x:c r="I142" s="141" t="n">
        <x:f>IF(A142=Premissas!$B$27,MIN(D142,H142),0)</x:f>
        <x:v>0</x:v>
      </x:c>
      <x:c r="J142" s="141" t="n">
        <x:f>IF(A142=Premissas!$B$27,D142-H142,0)</x:f>
        <x:v>0</x:v>
      </x:c>
      <x:c r="K142" s="141" t="n">
        <x:f>E142+G142</x:f>
        <x:v>1082.91451252558</x:v>
      </x:c>
      <x:c r="L142" s="141" t="n">
        <x:f>SUM($K$6:K142)</x:f>
        <x:v>224455.70132247484</x:v>
      </x:c>
      <x:c r="M142" s="141" t="str">
        <x:f>IF(A142&lt;Premissas!$B$27,"Financiamento + consorcio",IF(A142=Premissas!$B$27,"Quitacao via carta",IF(A142&lt;=Premissas!$B$25,"Somente consorcio","Encerrado")))</x:f>
        <x:v>Somente consorcio</x:v>
      </x:c>
      <x:c r="N142" s="141" t="n">
        <x:f>IF(A142&gt;=Premissas!$B$25,0,(N143+E143)/(1+Premissas!$B$41))</x:f>
        <x:v>87985.09611847723</x:v>
      </x:c>
      <x:c r="O142" s="141" t="n">
        <x:f>IF(A142&lt;Premissas!$B$27,Premissas!$B$31/(1+Premissas!$B$41)^(Premissas!$B$27-A142),0)</x:f>
        <x:v>0</x:v>
      </x:c>
      <x:c r="P142" s="141" t="n">
        <x:f>MAX(0,H142-I142)+N142</x:f>
        <x:v>87985.09611847723</x:v>
      </x:c>
    </x:row>
    <x:row r="143">
      <x:c r="A143" s="142" t="n">
        <x:v>138</x:v>
      </x:c>
      <x:c r="B143" s="179" t="n">
        <x:f>EDATE(Premissas!$B$4,137)</x:f>
        <x:v>50710</x:v>
      </x:c>
      <x:c r="C143" s="180" t="n">
        <x:f>(1+Premissas!$B$26)^INT((A143-1)/12)</x:f>
        <x:v>1.898298558335426</x:v>
      </x:c>
      <x:c r="D143" s="141" t="n">
        <x:f>Premissas!$B$30*C143</x:f>
        <x:v>206212.1498045298</x:v>
      </x:c>
      <x:c r="E143" s="141" t="n">
        <x:f>IF(A143&lt;=Premissas!$B$25,Premissas!$B$32*C143,0)</x:f>
        <x:v>1082.91451252558</x:v>
      </x:c>
      <x:c r="F143" s="141" t="n">
        <x:f>IF(AND(A143&gt;=Premissas!$B$48,A143&lt;=Premissas!$B$27,A143-Premissas!$B$48+1&lt;=Premissas!$B$13),INDEX(Financiamento!$C$6:$C$485,A143-Premissas!$B$48+1),0)</x:f>
        <x:v>0</x:v>
      </x:c>
      <x:c r="G143" s="141" t="n">
        <x:f>IF(AND(A143&gt;=Premissas!$B$48,A143&lt;=Premissas!$B$27,A143-Premissas!$B$48+1&lt;=Premissas!$B$13),INDEX(Financiamento!$J$6:$J$485,A143-Premissas!$B$48+1),0)</x:f>
        <x:v>0</x:v>
      </x:c>
      <x:c r="H143" s="141" t="n">
        <x:f>IF(AND(A143&gt;=Premissas!$B$48,A143&lt;=Premissas!$B$27,A143-Premissas!$B$48+1&lt;=Premissas!$B$13),INDEX(Financiamento!$M$6:$M$485,A143-Premissas!$B$48+1),0)</x:f>
        <x:v>0</x:v>
      </x:c>
      <x:c r="I143" s="141" t="n">
        <x:f>IF(A143=Premissas!$B$27,MIN(D143,H143),0)</x:f>
        <x:v>0</x:v>
      </x:c>
      <x:c r="J143" s="141" t="n">
        <x:f>IF(A143=Premissas!$B$27,D143-H143,0)</x:f>
        <x:v>0</x:v>
      </x:c>
      <x:c r="K143" s="141" t="n">
        <x:f>E143+G143</x:f>
        <x:v>1082.91451252558</x:v>
      </x:c>
      <x:c r="L143" s="141" t="n">
        <x:f>SUM($K$6:K143)</x:f>
        <x:v>225538.6158350004</x:v>
      </x:c>
      <x:c r="M143" s="141" t="str">
        <x:f>IF(A143&lt;Premissas!$B$27,"Financiamento + consorcio",IF(A143=Premissas!$B$27,"Quitacao via carta",IF(A143&lt;=Premissas!$B$25,"Somente consorcio","Encerrado")))</x:f>
        <x:v>Somente consorcio</x:v>
      </x:c>
      <x:c r="N143" s="141" t="n">
        <x:f>IF(A143&gt;=Premissas!$B$25,0,(N144+E144)/(1+Premissas!$B$41))</x:f>
        <x:v>87737.05396434927</x:v>
      </x:c>
      <x:c r="O143" s="141" t="n">
        <x:f>IF(A143&lt;Premissas!$B$27,Premissas!$B$31/(1+Premissas!$B$41)^(Premissas!$B$27-A143),0)</x:f>
        <x:v>0</x:v>
      </x:c>
      <x:c r="P143" s="141" t="n">
        <x:f>MAX(0,H143-I143)+N143</x:f>
        <x:v>87737.05396434927</x:v>
      </x:c>
    </x:row>
    <x:row r="144">
      <x:c r="A144" s="142" t="n">
        <x:v>139</x:v>
      </x:c>
      <x:c r="B144" s="179" t="n">
        <x:f>EDATE(Premissas!$B$4,138)</x:f>
        <x:v>50740</x:v>
      </x:c>
      <x:c r="C144" s="180" t="n">
        <x:f>(1+Premissas!$B$26)^INT((A144-1)/12)</x:f>
        <x:v>1.898298558335426</x:v>
      </x:c>
      <x:c r="D144" s="141" t="n">
        <x:f>Premissas!$B$30*C144</x:f>
        <x:v>206212.1498045298</x:v>
      </x:c>
      <x:c r="E144" s="141" t="n">
        <x:f>IF(A144&lt;=Premissas!$B$25,Premissas!$B$32*C144,0)</x:f>
        <x:v>1082.91451252558</x:v>
      </x:c>
      <x:c r="F144" s="141" t="n">
        <x:f>IF(AND(A144&gt;=Premissas!$B$48,A144&lt;=Premissas!$B$27,A144-Premissas!$B$48+1&lt;=Premissas!$B$13),INDEX(Financiamento!$C$6:$C$485,A144-Premissas!$B$48+1),0)</x:f>
        <x:v>0</x:v>
      </x:c>
      <x:c r="G144" s="141" t="n">
        <x:f>IF(AND(A144&gt;=Premissas!$B$48,A144&lt;=Premissas!$B$27,A144-Premissas!$B$48+1&lt;=Premissas!$B$13),INDEX(Financiamento!$J$6:$J$485,A144-Premissas!$B$48+1),0)</x:f>
        <x:v>0</x:v>
      </x:c>
      <x:c r="H144" s="141" t="n">
        <x:f>IF(AND(A144&gt;=Premissas!$B$48,A144&lt;=Premissas!$B$27,A144-Premissas!$B$48+1&lt;=Premissas!$B$13),INDEX(Financiamento!$M$6:$M$485,A144-Premissas!$B$48+1),0)</x:f>
        <x:v>0</x:v>
      </x:c>
      <x:c r="I144" s="141" t="n">
        <x:f>IF(A144=Premissas!$B$27,MIN(D144,H144),0)</x:f>
        <x:v>0</x:v>
      </x:c>
      <x:c r="J144" s="141" t="n">
        <x:f>IF(A144=Premissas!$B$27,D144-H144,0)</x:f>
        <x:v>0</x:v>
      </x:c>
      <x:c r="K144" s="141" t="n">
        <x:f>E144+G144</x:f>
        <x:v>1082.91451252558</x:v>
      </x:c>
      <x:c r="L144" s="141" t="n">
        <x:f>SUM($K$6:K144)</x:f>
        <x:v>226621.530347526</x:v>
      </x:c>
      <x:c r="M144" s="141" t="str">
        <x:f>IF(A144&lt;Premissas!$B$27,"Financiamento + consorcio",IF(A144=Premissas!$B$27,"Quitacao via carta",IF(A144&lt;=Premissas!$B$25,"Somente consorcio","Encerrado")))</x:f>
        <x:v>Somente consorcio</x:v>
      </x:c>
      <x:c r="N144" s="141" t="n">
        <x:f>IF(A144&gt;=Premissas!$B$25,0,(N145+E145)/(1+Premissas!$B$41))</x:f>
        <x:v>87486.65818958174</x:v>
      </x:c>
      <x:c r="O144" s="141" t="n">
        <x:f>IF(A144&lt;Premissas!$B$27,Premissas!$B$31/(1+Premissas!$B$41)^(Premissas!$B$27-A144),0)</x:f>
        <x:v>0</x:v>
      </x:c>
      <x:c r="P144" s="141" t="n">
        <x:f>MAX(0,H144-I144)+N144</x:f>
        <x:v>87486.65818958174</x:v>
      </x:c>
    </x:row>
    <x:row r="145">
      <x:c r="A145" s="142" t="n">
        <x:v>140</x:v>
      </x:c>
      <x:c r="B145" s="179" t="n">
        <x:f>EDATE(Premissas!$B$4,139)</x:f>
        <x:v>50771</x:v>
      </x:c>
      <x:c r="C145" s="180" t="n">
        <x:f>(1+Premissas!$B$26)^INT((A145-1)/12)</x:f>
        <x:v>1.898298558335426</x:v>
      </x:c>
      <x:c r="D145" s="141" t="n">
        <x:f>Premissas!$B$30*C145</x:f>
        <x:v>206212.1498045298</x:v>
      </x:c>
      <x:c r="E145" s="141" t="n">
        <x:f>IF(A145&lt;=Premissas!$B$25,Premissas!$B$32*C145,0)</x:f>
        <x:v>1082.91451252558</x:v>
      </x:c>
      <x:c r="F145" s="141" t="n">
        <x:f>IF(AND(A145&gt;=Premissas!$B$48,A145&lt;=Premissas!$B$27,A145-Premissas!$B$48+1&lt;=Premissas!$B$13),INDEX(Financiamento!$C$6:$C$485,A145-Premissas!$B$48+1),0)</x:f>
        <x:v>0</x:v>
      </x:c>
      <x:c r="G145" s="141" t="n">
        <x:f>IF(AND(A145&gt;=Premissas!$B$48,A145&lt;=Premissas!$B$27,A145-Premissas!$B$48+1&lt;=Premissas!$B$13),INDEX(Financiamento!$J$6:$J$485,A145-Premissas!$B$48+1),0)</x:f>
        <x:v>0</x:v>
      </x:c>
      <x:c r="H145" s="141" t="n">
        <x:f>IF(AND(A145&gt;=Premissas!$B$48,A145&lt;=Premissas!$B$27,A145-Premissas!$B$48+1&lt;=Premissas!$B$13),INDEX(Financiamento!$M$6:$M$485,A145-Premissas!$B$48+1),0)</x:f>
        <x:v>0</x:v>
      </x:c>
      <x:c r="I145" s="141" t="n">
        <x:f>IF(A145=Premissas!$B$27,MIN(D145,H145),0)</x:f>
        <x:v>0</x:v>
      </x:c>
      <x:c r="J145" s="141" t="n">
        <x:f>IF(A145=Premissas!$B$27,D145-H145,0)</x:f>
        <x:v>0</x:v>
      </x:c>
      <x:c r="K145" s="141" t="n">
        <x:f>E145+G145</x:f>
        <x:v>1082.91451252558</x:v>
      </x:c>
      <x:c r="L145" s="141" t="n">
        <x:f>SUM($K$6:K145)</x:f>
        <x:v>227704.44486005156</x:v>
      </x:c>
      <x:c r="M145" s="141" t="str">
        <x:f>IF(A145&lt;Premissas!$B$27,"Financiamento + consorcio",IF(A145=Premissas!$B$27,"Quitacao via carta",IF(A145&lt;=Premissas!$B$25,"Somente consorcio","Encerrado")))</x:f>
        <x:v>Somente consorcio</x:v>
      </x:c>
      <x:c r="N145" s="141" t="n">
        <x:f>IF(A145&gt;=Premissas!$B$25,0,(N146+E146)/(1+Premissas!$B$41))</x:f>
        <x:v>87233.88646115575</x:v>
      </x:c>
      <x:c r="O145" s="141" t="n">
        <x:f>IF(A145&lt;Premissas!$B$27,Premissas!$B$31/(1+Premissas!$B$41)^(Premissas!$B$27-A145),0)</x:f>
        <x:v>0</x:v>
      </x:c>
      <x:c r="P145" s="141" t="n">
        <x:f>MAX(0,H145-I145)+N145</x:f>
        <x:v>87233.88646115575</x:v>
      </x:c>
    </x:row>
    <x:row r="146">
      <x:c r="A146" s="142" t="n">
        <x:v>141</x:v>
      </x:c>
      <x:c r="B146" s="179" t="n">
        <x:f>EDATE(Premissas!$B$4,140)</x:f>
        <x:v>50802</x:v>
      </x:c>
      <x:c r="C146" s="180" t="n">
        <x:f>(1+Premissas!$B$26)^INT((A146-1)/12)</x:f>
        <x:v>1.898298558335426</x:v>
      </x:c>
      <x:c r="D146" s="141" t="n">
        <x:f>Premissas!$B$30*C146</x:f>
        <x:v>206212.1498045298</x:v>
      </x:c>
      <x:c r="E146" s="141" t="n">
        <x:f>IF(A146&lt;=Premissas!$B$25,Premissas!$B$32*C146,0)</x:f>
        <x:v>1082.91451252558</x:v>
      </x:c>
      <x:c r="F146" s="141" t="n">
        <x:f>IF(AND(A146&gt;=Premissas!$B$48,A146&lt;=Premissas!$B$27,A146-Premissas!$B$48+1&lt;=Premissas!$B$13),INDEX(Financiamento!$C$6:$C$485,A146-Premissas!$B$48+1),0)</x:f>
        <x:v>0</x:v>
      </x:c>
      <x:c r="G146" s="141" t="n">
        <x:f>IF(AND(A146&gt;=Premissas!$B$48,A146&lt;=Premissas!$B$27,A146-Premissas!$B$48+1&lt;=Premissas!$B$13),INDEX(Financiamento!$J$6:$J$485,A146-Premissas!$B$48+1),0)</x:f>
        <x:v>0</x:v>
      </x:c>
      <x:c r="H146" s="141" t="n">
        <x:f>IF(AND(A146&gt;=Premissas!$B$48,A146&lt;=Premissas!$B$27,A146-Premissas!$B$48+1&lt;=Premissas!$B$13),INDEX(Financiamento!$M$6:$M$485,A146-Premissas!$B$48+1),0)</x:f>
        <x:v>0</x:v>
      </x:c>
      <x:c r="I146" s="141" t="n">
        <x:f>IF(A146=Premissas!$B$27,MIN(D146,H146),0)</x:f>
        <x:v>0</x:v>
      </x:c>
      <x:c r="J146" s="141" t="n">
        <x:f>IF(A146=Premissas!$B$27,D146-H146,0)</x:f>
        <x:v>0</x:v>
      </x:c>
      <x:c r="K146" s="141" t="n">
        <x:f>E146+G146</x:f>
        <x:v>1082.91451252558</x:v>
      </x:c>
      <x:c r="L146" s="141" t="n">
        <x:f>SUM($K$6:K146)</x:f>
        <x:v>228787.35937257714</x:v>
      </x:c>
      <x:c r="M146" s="141" t="str">
        <x:f>IF(A146&lt;Premissas!$B$27,"Financiamento + consorcio",IF(A146=Premissas!$B$27,"Quitacao via carta",IF(A146&lt;=Premissas!$B$25,"Somente consorcio","Encerrado")))</x:f>
        <x:v>Somente consorcio</x:v>
      </x:c>
      <x:c r="N146" s="141" t="n">
        <x:f>IF(A146&gt;=Premissas!$B$25,0,(N147+E147)/(1+Premissas!$B$41))</x:f>
        <x:v>86978.716234139</x:v>
      </x:c>
      <x:c r="O146" s="141" t="n">
        <x:f>IF(A146&lt;Premissas!$B$27,Premissas!$B$31/(1+Premissas!$B$41)^(Premissas!$B$27-A146),0)</x:f>
        <x:v>0</x:v>
      </x:c>
      <x:c r="P146" s="141" t="n">
        <x:f>MAX(0,H146-I146)+N146</x:f>
        <x:v>86978.716234139</x:v>
      </x:c>
    </x:row>
    <x:row r="147">
      <x:c r="A147" s="142" t="n">
        <x:v>142</x:v>
      </x:c>
      <x:c r="B147" s="179" t="n">
        <x:f>EDATE(Premissas!$B$4,141)</x:f>
        <x:v>50830</x:v>
      </x:c>
      <x:c r="C147" s="180" t="n">
        <x:f>(1+Premissas!$B$26)^INT((A147-1)/12)</x:f>
        <x:v>1.898298558335426</x:v>
      </x:c>
      <x:c r="D147" s="141" t="n">
        <x:f>Premissas!$B$30*C147</x:f>
        <x:v>206212.1498045298</x:v>
      </x:c>
      <x:c r="E147" s="141" t="n">
        <x:f>IF(A147&lt;=Premissas!$B$25,Premissas!$B$32*C147,0)</x:f>
        <x:v>1082.91451252558</x:v>
      </x:c>
      <x:c r="F147" s="141" t="n">
        <x:f>IF(AND(A147&gt;=Premissas!$B$48,A147&lt;=Premissas!$B$27,A147-Premissas!$B$48+1&lt;=Premissas!$B$13),INDEX(Financiamento!$C$6:$C$485,A147-Premissas!$B$48+1),0)</x:f>
        <x:v>0</x:v>
      </x:c>
      <x:c r="G147" s="141" t="n">
        <x:f>IF(AND(A147&gt;=Premissas!$B$48,A147&lt;=Premissas!$B$27,A147-Premissas!$B$48+1&lt;=Premissas!$B$13),INDEX(Financiamento!$J$6:$J$485,A147-Premissas!$B$48+1),0)</x:f>
        <x:v>0</x:v>
      </x:c>
      <x:c r="H147" s="141" t="n">
        <x:f>IF(AND(A147&gt;=Premissas!$B$48,A147&lt;=Premissas!$B$27,A147-Premissas!$B$48+1&lt;=Premissas!$B$13),INDEX(Financiamento!$M$6:$M$485,A147-Premissas!$B$48+1),0)</x:f>
        <x:v>0</x:v>
      </x:c>
      <x:c r="I147" s="141" t="n">
        <x:f>IF(A147=Premissas!$B$27,MIN(D147,H147),0)</x:f>
        <x:v>0</x:v>
      </x:c>
      <x:c r="J147" s="141" t="n">
        <x:f>IF(A147=Premissas!$B$27,D147-H147,0)</x:f>
        <x:v>0</x:v>
      </x:c>
      <x:c r="K147" s="141" t="n">
        <x:f>E147+G147</x:f>
        <x:v>1082.91451252558</x:v>
      </x:c>
      <x:c r="L147" s="141" t="n">
        <x:f>SUM($K$6:K147)</x:f>
        <x:v>229870.2738851027</x:v>
      </x:c>
      <x:c r="M147" s="141" t="str">
        <x:f>IF(A147&lt;Premissas!$B$27,"Financiamento + consorcio",IF(A147=Premissas!$B$27,"Quitacao via carta",IF(A147&lt;=Premissas!$B$25,"Somente consorcio","Encerrado")))</x:f>
        <x:v>Somente consorcio</x:v>
      </x:c>
      <x:c r="N147" s="141" t="n">
        <x:f>IF(A147&gt;=Premissas!$B$25,0,(N148+E148)/(1+Premissas!$B$41))</x:f>
        <x:v>86721.12474967503</x:v>
      </x:c>
      <x:c r="O147" s="141" t="n">
        <x:f>IF(A147&lt;Premissas!$B$27,Premissas!$B$31/(1+Premissas!$B$41)^(Premissas!$B$27-A147),0)</x:f>
        <x:v>0</x:v>
      </x:c>
      <x:c r="P147" s="141" t="n">
        <x:f>MAX(0,H147-I147)+N147</x:f>
        <x:v>86721.12474967503</x:v>
      </x:c>
    </x:row>
    <x:row r="148">
      <x:c r="A148" s="142" t="n">
        <x:v>143</x:v>
      </x:c>
      <x:c r="B148" s="179" t="n">
        <x:f>EDATE(Premissas!$B$4,142)</x:f>
        <x:v>50861</x:v>
      </x:c>
      <x:c r="C148" s="180" t="n">
        <x:f>(1+Premissas!$B$26)^INT((A148-1)/12)</x:f>
        <x:v>1.898298558335426</x:v>
      </x:c>
      <x:c r="D148" s="141" t="n">
        <x:f>Premissas!$B$30*C148</x:f>
        <x:v>206212.1498045298</x:v>
      </x:c>
      <x:c r="E148" s="141" t="n">
        <x:f>IF(A148&lt;=Premissas!$B$25,Premissas!$B$32*C148,0)</x:f>
        <x:v>1082.91451252558</x:v>
      </x:c>
      <x:c r="F148" s="141" t="n">
        <x:f>IF(AND(A148&gt;=Premissas!$B$48,A148&lt;=Premissas!$B$27,A148-Premissas!$B$48+1&lt;=Premissas!$B$13),INDEX(Financiamento!$C$6:$C$485,A148-Premissas!$B$48+1),0)</x:f>
        <x:v>0</x:v>
      </x:c>
      <x:c r="G148" s="141" t="n">
        <x:f>IF(AND(A148&gt;=Premissas!$B$48,A148&lt;=Premissas!$B$27,A148-Premissas!$B$48+1&lt;=Premissas!$B$13),INDEX(Financiamento!$J$6:$J$485,A148-Premissas!$B$48+1),0)</x:f>
        <x:v>0</x:v>
      </x:c>
      <x:c r="H148" s="141" t="n">
        <x:f>IF(AND(A148&gt;=Premissas!$B$48,A148&lt;=Premissas!$B$27,A148-Premissas!$B$48+1&lt;=Premissas!$B$13),INDEX(Financiamento!$M$6:$M$485,A148-Premissas!$B$48+1),0)</x:f>
        <x:v>0</x:v>
      </x:c>
      <x:c r="I148" s="141" t="n">
        <x:f>IF(A148=Premissas!$B$27,MIN(D148,H148),0)</x:f>
        <x:v>0</x:v>
      </x:c>
      <x:c r="J148" s="141" t="n">
        <x:f>IF(A148=Premissas!$B$27,D148-H148,0)</x:f>
        <x:v>0</x:v>
      </x:c>
      <x:c r="K148" s="141" t="n">
        <x:f>E148+G148</x:f>
        <x:v>1082.91451252558</x:v>
      </x:c>
      <x:c r="L148" s="141" t="n">
        <x:f>SUM($K$6:K148)</x:f>
        <x:v>230953.18839762828</x:v>
      </x:c>
      <x:c r="M148" s="141" t="str">
        <x:f>IF(A148&lt;Premissas!$B$27,"Financiamento + consorcio",IF(A148=Premissas!$B$27,"Quitacao via carta",IF(A148&lt;=Premissas!$B$25,"Somente consorcio","Encerrado")))</x:f>
        <x:v>Somente consorcio</x:v>
      </x:c>
      <x:c r="N148" s="141" t="n">
        <x:f>IF(A148&gt;=Premissas!$B$25,0,(N149+E149)/(1+Premissas!$B$41))</x:f>
        <x:v>86461.08903295327</x:v>
      </x:c>
      <x:c r="O148" s="141" t="n">
        <x:f>IF(A148&lt;Premissas!$B$27,Premissas!$B$31/(1+Premissas!$B$41)^(Premissas!$B$27-A148),0)</x:f>
        <x:v>0</x:v>
      </x:c>
      <x:c r="P148" s="141" t="n">
        <x:f>MAX(0,H148-I148)+N148</x:f>
        <x:v>86461.08903295327</x:v>
      </x:c>
    </x:row>
    <x:row r="149">
      <x:c r="A149" s="142" t="n">
        <x:v>144</x:v>
      </x:c>
      <x:c r="B149" s="179" t="n">
        <x:f>EDATE(Premissas!$B$4,143)</x:f>
        <x:v>50891</x:v>
      </x:c>
      <x:c r="C149" s="180" t="n">
        <x:f>(1+Premissas!$B$26)^INT((A149-1)/12)</x:f>
        <x:v>1.898298558335426</x:v>
      </x:c>
      <x:c r="D149" s="141" t="n">
        <x:f>Premissas!$B$30*C149</x:f>
        <x:v>206212.1498045298</x:v>
      </x:c>
      <x:c r="E149" s="141" t="n">
        <x:f>IF(A149&lt;=Premissas!$B$25,Premissas!$B$32*C149,0)</x:f>
        <x:v>1082.91451252558</x:v>
      </x:c>
      <x:c r="F149" s="141" t="n">
        <x:f>IF(AND(A149&gt;=Premissas!$B$48,A149&lt;=Premissas!$B$27,A149-Premissas!$B$48+1&lt;=Premissas!$B$13),INDEX(Financiamento!$C$6:$C$485,A149-Premissas!$B$48+1),0)</x:f>
        <x:v>0</x:v>
      </x:c>
      <x:c r="G149" s="141" t="n">
        <x:f>IF(AND(A149&gt;=Premissas!$B$48,A149&lt;=Premissas!$B$27,A149-Premissas!$B$48+1&lt;=Premissas!$B$13),INDEX(Financiamento!$J$6:$J$485,A149-Premissas!$B$48+1),0)</x:f>
        <x:v>0</x:v>
      </x:c>
      <x:c r="H149" s="141" t="n">
        <x:f>IF(AND(A149&gt;=Premissas!$B$48,A149&lt;=Premissas!$B$27,A149-Premissas!$B$48+1&lt;=Premissas!$B$13),INDEX(Financiamento!$M$6:$M$485,A149-Premissas!$B$48+1),0)</x:f>
        <x:v>0</x:v>
      </x:c>
      <x:c r="I149" s="141" t="n">
        <x:f>IF(A149=Premissas!$B$27,MIN(D149,H149),0)</x:f>
        <x:v>0</x:v>
      </x:c>
      <x:c r="J149" s="141" t="n">
        <x:f>IF(A149=Premissas!$B$27,D149-H149,0)</x:f>
        <x:v>0</x:v>
      </x:c>
      <x:c r="K149" s="141" t="n">
        <x:f>E149+G149</x:f>
        <x:v>1082.91451252558</x:v>
      </x:c>
      <x:c r="L149" s="141" t="n">
        <x:f>SUM($K$6:K149)</x:f>
        <x:v>232036.10291015386</x:v>
      </x:c>
      <x:c r="M149" s="141" t="str">
        <x:f>IF(A149&lt;Premissas!$B$27,"Financiamento + consorcio",IF(A149=Premissas!$B$27,"Quitacao via carta",IF(A149&lt;=Premissas!$B$25,"Somente consorcio","Encerrado")))</x:f>
        <x:v>Somente consorcio</x:v>
      </x:c>
      <x:c r="N149" s="141" t="n">
        <x:f>IF(A149&gt;=Premissas!$B$25,0,(N150+E150)/(1+Premissas!$B$41))</x:f>
        <x:v>86198.58589115994</x:v>
      </x:c>
      <x:c r="O149" s="141" t="n">
        <x:f>IF(A149&lt;Premissas!$B$27,Premissas!$B$31/(1+Premissas!$B$41)^(Premissas!$B$27-A149),0)</x:f>
        <x:v>0</x:v>
      </x:c>
      <x:c r="P149" s="141" t="n">
        <x:f>MAX(0,H149-I149)+N149</x:f>
        <x:v>86198.58589115994</x:v>
      </x:c>
    </x:row>
    <x:row r="150">
      <x:c r="A150" s="142" t="n">
        <x:v>145</x:v>
      </x:c>
      <x:c r="B150" s="179" t="n">
        <x:f>EDATE(Premissas!$B$4,144)</x:f>
        <x:v>50922</x:v>
      </x:c>
      <x:c r="C150" s="180" t="n">
        <x:f>(1+Premissas!$B$26)^INT((A150-1)/12)</x:f>
        <x:v>2.0121964718355514</x:v>
      </x:c>
      <x:c r="D150" s="141" t="n">
        <x:f>Premissas!$B$30*C150</x:f>
        <x:v>218584.87879280158</x:v>
      </x:c>
      <x:c r="E150" s="141" t="n">
        <x:f>IF(A150&lt;=Premissas!$B$25,Premissas!$B$32*C150,0)</x:f>
        <x:v>1147.8893832771146</x:v>
      </x:c>
      <x:c r="F150" s="141" t="n">
        <x:f>IF(AND(A150&gt;=Premissas!$B$48,A150&lt;=Premissas!$B$27,A150-Premissas!$B$48+1&lt;=Premissas!$B$13),INDEX(Financiamento!$C$6:$C$485,A150-Premissas!$B$48+1),0)</x:f>
        <x:v>0</x:v>
      </x:c>
      <x:c r="G150" s="141" t="n">
        <x:f>IF(AND(A150&gt;=Premissas!$B$48,A150&lt;=Premissas!$B$27,A150-Premissas!$B$48+1&lt;=Premissas!$B$13),INDEX(Financiamento!$J$6:$J$485,A150-Premissas!$B$48+1),0)</x:f>
        <x:v>0</x:v>
      </x:c>
      <x:c r="H150" s="141" t="n">
        <x:f>IF(AND(A150&gt;=Premissas!$B$48,A150&lt;=Premissas!$B$27,A150-Premissas!$B$48+1&lt;=Premissas!$B$13),INDEX(Financiamento!$M$6:$M$485,A150-Premissas!$B$48+1),0)</x:f>
        <x:v>0</x:v>
      </x:c>
      <x:c r="I150" s="141" t="n">
        <x:f>IF(A150=Premissas!$B$27,MIN(D150,H150),0)</x:f>
        <x:v>0</x:v>
      </x:c>
      <x:c r="J150" s="141" t="n">
        <x:f>IF(A150=Premissas!$B$27,D150-H150,0)</x:f>
        <x:v>0</x:v>
      </x:c>
      <x:c r="K150" s="141" t="n">
        <x:f>E150+G150</x:f>
        <x:v>1147.8893832771146</x:v>
      </x:c>
      <x:c r="L150" s="141" t="n">
        <x:f>SUM($K$6:K150)</x:f>
        <x:v>233183.992293431</x:v>
      </x:c>
      <x:c r="M150" s="141" t="str">
        <x:f>IF(A150&lt;Premissas!$B$27,"Financiamento + consorcio",IF(A150=Premissas!$B$27,"Quitacao via carta",IF(A150&lt;=Premissas!$B$25,"Somente consorcio","Encerrado")))</x:f>
        <x:v>Somente consorcio</x:v>
      </x:c>
      <x:c r="N150" s="141" t="n">
        <x:f>IF(A150&gt;=Premissas!$B$25,0,(N151+E151)/(1+Premissas!$B$41))</x:f>
        <x:v>85868.6170406579</x:v>
      </x:c>
      <x:c r="O150" s="141" t="n">
        <x:f>IF(A150&lt;Premissas!$B$27,Premissas!$B$31/(1+Premissas!$B$41)^(Premissas!$B$27-A150),0)</x:f>
        <x:v>0</x:v>
      </x:c>
      <x:c r="P150" s="141" t="n">
        <x:f>MAX(0,H150-I150)+N150</x:f>
        <x:v>85868.6170406579</x:v>
      </x:c>
    </x:row>
    <x:row r="151">
      <x:c r="A151" s="142" t="n">
        <x:v>146</x:v>
      </x:c>
      <x:c r="B151" s="179" t="n">
        <x:f>EDATE(Premissas!$B$4,145)</x:f>
        <x:v>50952</x:v>
      </x:c>
      <x:c r="C151" s="180" t="n">
        <x:f>(1+Premissas!$B$26)^INT((A151-1)/12)</x:f>
        <x:v>2.0121964718355514</x:v>
      </x:c>
      <x:c r="D151" s="141" t="n">
        <x:f>Premissas!$B$30*C151</x:f>
        <x:v>218584.87879280158</x:v>
      </x:c>
      <x:c r="E151" s="141" t="n">
        <x:f>IF(A151&lt;=Premissas!$B$25,Premissas!$B$32*C151,0)</x:f>
        <x:v>1147.8893832771146</x:v>
      </x:c>
      <x:c r="F151" s="141" t="n">
        <x:f>IF(AND(A151&gt;=Premissas!$B$48,A151&lt;=Premissas!$B$27,A151-Premissas!$B$48+1&lt;=Premissas!$B$13),INDEX(Financiamento!$C$6:$C$485,A151-Premissas!$B$48+1),0)</x:f>
        <x:v>0</x:v>
      </x:c>
      <x:c r="G151" s="141" t="n">
        <x:f>IF(AND(A151&gt;=Premissas!$B$48,A151&lt;=Premissas!$B$27,A151-Premissas!$B$48+1&lt;=Premissas!$B$13),INDEX(Financiamento!$J$6:$J$485,A151-Premissas!$B$48+1),0)</x:f>
        <x:v>0</x:v>
      </x:c>
      <x:c r="H151" s="141" t="n">
        <x:f>IF(AND(A151&gt;=Premissas!$B$48,A151&lt;=Premissas!$B$27,A151-Premissas!$B$48+1&lt;=Premissas!$B$13),INDEX(Financiamento!$M$6:$M$485,A151-Premissas!$B$48+1),0)</x:f>
        <x:v>0</x:v>
      </x:c>
      <x:c r="I151" s="141" t="n">
        <x:f>IF(A151=Premissas!$B$27,MIN(D151,H151),0)</x:f>
        <x:v>0</x:v>
      </x:c>
      <x:c r="J151" s="141" t="n">
        <x:f>IF(A151=Premissas!$B$27,D151-H151,0)</x:f>
        <x:v>0</x:v>
      </x:c>
      <x:c r="K151" s="141" t="n">
        <x:f>E151+G151</x:f>
        <x:v>1147.8893832771146</x:v>
      </x:c>
      <x:c r="L151" s="141" t="n">
        <x:f>SUM($K$6:K151)</x:f>
        <x:v>234331.88167670812</x:v>
      </x:c>
      <x:c r="M151" s="141" t="str">
        <x:f>IF(A151&lt;Premissas!$B$27,"Financiamento + consorcio",IF(A151=Premissas!$B$27,"Quitacao via carta",IF(A151&lt;=Premissas!$B$25,"Somente consorcio","Encerrado")))</x:f>
        <x:v>Somente consorcio</x:v>
      </x:c>
      <x:c r="N151" s="141" t="n">
        <x:f>IF(A151&gt;=Premissas!$B$25,0,(N152+E152)/(1+Premissas!$B$41))</x:f>
        <x:v>85535.5171840586</x:v>
      </x:c>
      <x:c r="O151" s="141" t="n">
        <x:f>IF(A151&lt;Premissas!$B$27,Premissas!$B$31/(1+Premissas!$B$41)^(Premissas!$B$27-A151),0)</x:f>
        <x:v>0</x:v>
      </x:c>
      <x:c r="P151" s="141" t="n">
        <x:f>MAX(0,H151-I151)+N151</x:f>
        <x:v>85535.5171840586</x:v>
      </x:c>
    </x:row>
    <x:row r="152">
      <x:c r="A152" s="142" t="n">
        <x:v>147</x:v>
      </x:c>
      <x:c r="B152" s="179" t="n">
        <x:f>EDATE(Premissas!$B$4,146)</x:f>
        <x:v>50983</x:v>
      </x:c>
      <x:c r="C152" s="180" t="n">
        <x:f>(1+Premissas!$B$26)^INT((A152-1)/12)</x:f>
        <x:v>2.0121964718355514</x:v>
      </x:c>
      <x:c r="D152" s="141" t="n">
        <x:f>Premissas!$B$30*C152</x:f>
        <x:v>218584.87879280158</x:v>
      </x:c>
      <x:c r="E152" s="141" t="n">
        <x:f>IF(A152&lt;=Premissas!$B$25,Premissas!$B$32*C152,0)</x:f>
        <x:v>1147.8893832771146</x:v>
      </x:c>
      <x:c r="F152" s="141" t="n">
        <x:f>IF(AND(A152&gt;=Premissas!$B$48,A152&lt;=Premissas!$B$27,A152-Premissas!$B$48+1&lt;=Premissas!$B$13),INDEX(Financiamento!$C$6:$C$485,A152-Premissas!$B$48+1),0)</x:f>
        <x:v>0</x:v>
      </x:c>
      <x:c r="G152" s="141" t="n">
        <x:f>IF(AND(A152&gt;=Premissas!$B$48,A152&lt;=Premissas!$B$27,A152-Premissas!$B$48+1&lt;=Premissas!$B$13),INDEX(Financiamento!$J$6:$J$485,A152-Premissas!$B$48+1),0)</x:f>
        <x:v>0</x:v>
      </x:c>
      <x:c r="H152" s="141" t="n">
        <x:f>IF(AND(A152&gt;=Premissas!$B$48,A152&lt;=Premissas!$B$27,A152-Premissas!$B$48+1&lt;=Premissas!$B$13),INDEX(Financiamento!$M$6:$M$485,A152-Premissas!$B$48+1),0)</x:f>
        <x:v>0</x:v>
      </x:c>
      <x:c r="I152" s="141" t="n">
        <x:f>IF(A152=Premissas!$B$27,MIN(D152,H152),0)</x:f>
        <x:v>0</x:v>
      </x:c>
      <x:c r="J152" s="141" t="n">
        <x:f>IF(A152=Premissas!$B$27,D152-H152,0)</x:f>
        <x:v>0</x:v>
      </x:c>
      <x:c r="K152" s="141" t="n">
        <x:f>E152+G152</x:f>
        <x:v>1147.8893832771146</x:v>
      </x:c>
      <x:c r="L152" s="141" t="n">
        <x:f>SUM($K$6:K152)</x:f>
        <x:v>235479.77105998524</x:v>
      </x:c>
      <x:c r="M152" s="141" t="str">
        <x:f>IF(A152&lt;Premissas!$B$27,"Financiamento + consorcio",IF(A152=Premissas!$B$27,"Quitacao via carta",IF(A152&lt;=Premissas!$B$25,"Somente consorcio","Encerrado")))</x:f>
        <x:v>Somente consorcio</x:v>
      </x:c>
      <x:c r="N152" s="141" t="n">
        <x:f>IF(A152&gt;=Premissas!$B$25,0,(N153+E153)/(1+Premissas!$B$41))</x:f>
        <x:v>85199.25661189349</x:v>
      </x:c>
      <x:c r="O152" s="141" t="n">
        <x:f>IF(A152&lt;Premissas!$B$27,Premissas!$B$31/(1+Premissas!$B$41)^(Premissas!$B$27-A152),0)</x:f>
        <x:v>0</x:v>
      </x:c>
      <x:c r="P152" s="141" t="n">
        <x:f>MAX(0,H152-I152)+N152</x:f>
        <x:v>85199.25661189349</x:v>
      </x:c>
    </x:row>
    <x:row r="153">
      <x:c r="A153" s="142" t="n">
        <x:v>148</x:v>
      </x:c>
      <x:c r="B153" s="179" t="n">
        <x:f>EDATE(Premissas!$B$4,147)</x:f>
        <x:v>51014</x:v>
      </x:c>
      <x:c r="C153" s="180" t="n">
        <x:f>(1+Premissas!$B$26)^INT((A153-1)/12)</x:f>
        <x:v>2.0121964718355514</x:v>
      </x:c>
      <x:c r="D153" s="141" t="n">
        <x:f>Premissas!$B$30*C153</x:f>
        <x:v>218584.87879280158</x:v>
      </x:c>
      <x:c r="E153" s="141" t="n">
        <x:f>IF(A153&lt;=Premissas!$B$25,Premissas!$B$32*C153,0)</x:f>
        <x:v>1147.8893832771146</x:v>
      </x:c>
      <x:c r="F153" s="141" t="n">
        <x:f>IF(AND(A153&gt;=Premissas!$B$48,A153&lt;=Premissas!$B$27,A153-Premissas!$B$48+1&lt;=Premissas!$B$13),INDEX(Financiamento!$C$6:$C$485,A153-Premissas!$B$48+1),0)</x:f>
        <x:v>0</x:v>
      </x:c>
      <x:c r="G153" s="141" t="n">
        <x:f>IF(AND(A153&gt;=Premissas!$B$48,A153&lt;=Premissas!$B$27,A153-Premissas!$B$48+1&lt;=Premissas!$B$13),INDEX(Financiamento!$J$6:$J$485,A153-Premissas!$B$48+1),0)</x:f>
        <x:v>0</x:v>
      </x:c>
      <x:c r="H153" s="141" t="n">
        <x:f>IF(AND(A153&gt;=Premissas!$B$48,A153&lt;=Premissas!$B$27,A153-Premissas!$B$48+1&lt;=Premissas!$B$13),INDEX(Financiamento!$M$6:$M$485,A153-Premissas!$B$48+1),0)</x:f>
        <x:v>0</x:v>
      </x:c>
      <x:c r="I153" s="141" t="n">
        <x:f>IF(A153=Premissas!$B$27,MIN(D153,H153),0)</x:f>
        <x:v>0</x:v>
      </x:c>
      <x:c r="J153" s="141" t="n">
        <x:f>IF(A153=Premissas!$B$27,D153-H153,0)</x:f>
        <x:v>0</x:v>
      </x:c>
      <x:c r="K153" s="141" t="n">
        <x:f>E153+G153</x:f>
        <x:v>1147.8893832771146</x:v>
      </x:c>
      <x:c r="L153" s="141" t="n">
        <x:f>SUM($K$6:K153)</x:f>
        <x:v>236627.66044326237</x:v>
      </x:c>
      <x:c r="M153" s="141" t="str">
        <x:f>IF(A153&lt;Premissas!$B$27,"Financiamento + consorcio",IF(A153=Premissas!$B$27,"Quitacao via carta",IF(A153&lt;=Premissas!$B$25,"Somente consorcio","Encerrado")))</x:f>
        <x:v>Somente consorcio</x:v>
      </x:c>
      <x:c r="N153" s="141" t="n">
        <x:f>IF(A153&gt;=Premissas!$B$25,0,(N154+E154)/(1+Premissas!$B$41))</x:f>
        <x:v>84859.80533278704</x:v>
      </x:c>
      <x:c r="O153" s="141" t="n">
        <x:f>IF(A153&lt;Premissas!$B$27,Premissas!$B$31/(1+Premissas!$B$41)^(Premissas!$B$27-A153),0)</x:f>
        <x:v>0</x:v>
      </x:c>
      <x:c r="P153" s="141" t="n">
        <x:f>MAX(0,H153-I153)+N153</x:f>
        <x:v>84859.80533278704</x:v>
      </x:c>
    </x:row>
    <x:row r="154">
      <x:c r="A154" s="142" t="n">
        <x:v>149</x:v>
      </x:c>
      <x:c r="B154" s="179" t="n">
        <x:f>EDATE(Premissas!$B$4,148)</x:f>
        <x:v>51044</x:v>
      </x:c>
      <x:c r="C154" s="180" t="n">
        <x:f>(1+Premissas!$B$26)^INT((A154-1)/12)</x:f>
        <x:v>2.0121964718355514</x:v>
      </x:c>
      <x:c r="D154" s="141" t="n">
        <x:f>Premissas!$B$30*C154</x:f>
        <x:v>218584.87879280158</x:v>
      </x:c>
      <x:c r="E154" s="141" t="n">
        <x:f>IF(A154&lt;=Premissas!$B$25,Premissas!$B$32*C154,0)</x:f>
        <x:v>1147.8893832771146</x:v>
      </x:c>
      <x:c r="F154" s="141" t="n">
        <x:f>IF(AND(A154&gt;=Premissas!$B$48,A154&lt;=Premissas!$B$27,A154-Premissas!$B$48+1&lt;=Premissas!$B$13),INDEX(Financiamento!$C$6:$C$485,A154-Premissas!$B$48+1),0)</x:f>
        <x:v>0</x:v>
      </x:c>
      <x:c r="G154" s="141" t="n">
        <x:f>IF(AND(A154&gt;=Premissas!$B$48,A154&lt;=Premissas!$B$27,A154-Premissas!$B$48+1&lt;=Premissas!$B$13),INDEX(Financiamento!$J$6:$J$485,A154-Premissas!$B$48+1),0)</x:f>
        <x:v>0</x:v>
      </x:c>
      <x:c r="H154" s="141" t="n">
        <x:f>IF(AND(A154&gt;=Premissas!$B$48,A154&lt;=Premissas!$B$27,A154-Premissas!$B$48+1&lt;=Premissas!$B$13),INDEX(Financiamento!$M$6:$M$485,A154-Premissas!$B$48+1),0)</x:f>
        <x:v>0</x:v>
      </x:c>
      <x:c r="I154" s="141" t="n">
        <x:f>IF(A154=Premissas!$B$27,MIN(D154,H154),0)</x:f>
        <x:v>0</x:v>
      </x:c>
      <x:c r="J154" s="141" t="n">
        <x:f>IF(A154=Premissas!$B$27,D154-H154,0)</x:f>
        <x:v>0</x:v>
      </x:c>
      <x:c r="K154" s="141" t="n">
        <x:f>E154+G154</x:f>
        <x:v>1147.8893832771146</x:v>
      </x:c>
      <x:c r="L154" s="141" t="n">
        <x:f>SUM($K$6:K154)</x:f>
        <x:v>237775.5498265395</x:v>
      </x:c>
      <x:c r="M154" s="141" t="str">
        <x:f>IF(A154&lt;Premissas!$B$27,"Financiamento + consorcio",IF(A154=Premissas!$B$27,"Quitacao via carta",IF(A154&lt;=Premissas!$B$25,"Somente consorcio","Encerrado")))</x:f>
        <x:v>Somente consorcio</x:v>
      </x:c>
      <x:c r="N154" s="141" t="n">
        <x:f>IF(A154&gt;=Premissas!$B$25,0,(N155+E155)/(1+Premissas!$B$41))</x:f>
        <x:v>84517.13307078177</x:v>
      </x:c>
      <x:c r="O154" s="141" t="n">
        <x:f>IF(A154&lt;Premissas!$B$27,Premissas!$B$31/(1+Premissas!$B$41)^(Premissas!$B$27-A154),0)</x:f>
        <x:v>0</x:v>
      </x:c>
      <x:c r="P154" s="141" t="n">
        <x:f>MAX(0,H154-I154)+N154</x:f>
        <x:v>84517.13307078177</x:v>
      </x:c>
    </x:row>
    <x:row r="155">
      <x:c r="A155" s="142" t="n">
        <x:v>150</x:v>
      </x:c>
      <x:c r="B155" s="179" t="n">
        <x:f>EDATE(Premissas!$B$4,149)</x:f>
        <x:v>51075</x:v>
      </x:c>
      <x:c r="C155" s="180" t="n">
        <x:f>(1+Premissas!$B$26)^INT((A155-1)/12)</x:f>
        <x:v>2.0121964718355514</x:v>
      </x:c>
      <x:c r="D155" s="141" t="n">
        <x:f>Premissas!$B$30*C155</x:f>
        <x:v>218584.87879280158</x:v>
      </x:c>
      <x:c r="E155" s="141" t="n">
        <x:f>IF(A155&lt;=Premissas!$B$25,Premissas!$B$32*C155,0)</x:f>
        <x:v>1147.8893832771146</x:v>
      </x:c>
      <x:c r="F155" s="141" t="n">
        <x:f>IF(AND(A155&gt;=Premissas!$B$48,A155&lt;=Premissas!$B$27,A155-Premissas!$B$48+1&lt;=Premissas!$B$13),INDEX(Financiamento!$C$6:$C$485,A155-Premissas!$B$48+1),0)</x:f>
        <x:v>0</x:v>
      </x:c>
      <x:c r="G155" s="141" t="n">
        <x:f>IF(AND(A155&gt;=Premissas!$B$48,A155&lt;=Premissas!$B$27,A155-Premissas!$B$48+1&lt;=Premissas!$B$13),INDEX(Financiamento!$J$6:$J$485,A155-Premissas!$B$48+1),0)</x:f>
        <x:v>0</x:v>
      </x:c>
      <x:c r="H155" s="141" t="n">
        <x:f>IF(AND(A155&gt;=Premissas!$B$48,A155&lt;=Premissas!$B$27,A155-Premissas!$B$48+1&lt;=Premissas!$B$13),INDEX(Financiamento!$M$6:$M$485,A155-Premissas!$B$48+1),0)</x:f>
        <x:v>0</x:v>
      </x:c>
      <x:c r="I155" s="141" t="n">
        <x:f>IF(A155=Premissas!$B$27,MIN(D155,H155),0)</x:f>
        <x:v>0</x:v>
      </x:c>
      <x:c r="J155" s="141" t="n">
        <x:f>IF(A155=Premissas!$B$27,D155-H155,0)</x:f>
        <x:v>0</x:v>
      </x:c>
      <x:c r="K155" s="141" t="n">
        <x:f>E155+G155</x:f>
        <x:v>1147.8893832771146</x:v>
      </x:c>
      <x:c r="L155" s="141" t="n">
        <x:f>SUM($K$6:K155)</x:f>
        <x:v>238923.43920981663</x:v>
      </x:c>
      <x:c r="M155" s="141" t="str">
        <x:f>IF(A155&lt;Premissas!$B$27,"Financiamento + consorcio",IF(A155=Premissas!$B$27,"Quitacao via carta",IF(A155&lt;=Premissas!$B$25,"Somente consorcio","Encerrado")))</x:f>
        <x:v>Somente consorcio</x:v>
      </x:c>
      <x:c r="N155" s="141" t="n">
        <x:f>IF(A155&gt;=Premissas!$B$25,0,(N156+E156)/(1+Premissas!$B$41))</x:f>
        <x:v>84171.2092626379</x:v>
      </x:c>
      <x:c r="O155" s="141" t="n">
        <x:f>IF(A155&lt;Premissas!$B$27,Premissas!$B$31/(1+Premissas!$B$41)^(Premissas!$B$27-A155),0)</x:f>
        <x:v>0</x:v>
      </x:c>
      <x:c r="P155" s="141" t="n">
        <x:f>MAX(0,H155-I155)+N155</x:f>
        <x:v>84171.2092626379</x:v>
      </x:c>
    </x:row>
    <x:row r="156">
      <x:c r="A156" s="142" t="n">
        <x:v>151</x:v>
      </x:c>
      <x:c r="B156" s="179" t="n">
        <x:f>EDATE(Premissas!$B$4,150)</x:f>
        <x:v>51105</x:v>
      </x:c>
      <x:c r="C156" s="180" t="n">
        <x:f>(1+Premissas!$B$26)^INT((A156-1)/12)</x:f>
        <x:v>2.0121964718355514</x:v>
      </x:c>
      <x:c r="D156" s="141" t="n">
        <x:f>Premissas!$B$30*C156</x:f>
        <x:v>218584.87879280158</x:v>
      </x:c>
      <x:c r="E156" s="141" t="n">
        <x:f>IF(A156&lt;=Premissas!$B$25,Premissas!$B$32*C156,0)</x:f>
        <x:v>1147.8893832771146</x:v>
      </x:c>
      <x:c r="F156" s="141" t="n">
        <x:f>IF(AND(A156&gt;=Premissas!$B$48,A156&lt;=Premissas!$B$27,A156-Premissas!$B$48+1&lt;=Premissas!$B$13),INDEX(Financiamento!$C$6:$C$485,A156-Premissas!$B$48+1),0)</x:f>
        <x:v>0</x:v>
      </x:c>
      <x:c r="G156" s="141" t="n">
        <x:f>IF(AND(A156&gt;=Premissas!$B$48,A156&lt;=Premissas!$B$27,A156-Premissas!$B$48+1&lt;=Premissas!$B$13),INDEX(Financiamento!$J$6:$J$485,A156-Premissas!$B$48+1),0)</x:f>
        <x:v>0</x:v>
      </x:c>
      <x:c r="H156" s="141" t="n">
        <x:f>IF(AND(A156&gt;=Premissas!$B$48,A156&lt;=Premissas!$B$27,A156-Premissas!$B$48+1&lt;=Premissas!$B$13),INDEX(Financiamento!$M$6:$M$485,A156-Premissas!$B$48+1),0)</x:f>
        <x:v>0</x:v>
      </x:c>
      <x:c r="I156" s="141" t="n">
        <x:f>IF(A156=Premissas!$B$27,MIN(D156,H156),0)</x:f>
        <x:v>0</x:v>
      </x:c>
      <x:c r="J156" s="141" t="n">
        <x:f>IF(A156=Premissas!$B$27,D156-H156,0)</x:f>
        <x:v>0</x:v>
      </x:c>
      <x:c r="K156" s="141" t="n">
        <x:f>E156+G156</x:f>
        <x:v>1147.8893832771146</x:v>
      </x:c>
      <x:c r="L156" s="141" t="n">
        <x:f>SUM($K$6:K156)</x:f>
        <x:v>240071.32859309376</x:v>
      </x:c>
      <x:c r="M156" s="141" t="str">
        <x:f>IF(A156&lt;Premissas!$B$27,"Financiamento + consorcio",IF(A156=Premissas!$B$27,"Quitacao via carta",IF(A156&lt;=Premissas!$B$25,"Somente consorcio","Encerrado")))</x:f>
        <x:v>Somente consorcio</x:v>
      </x:c>
      <x:c r="N156" s="141" t="n">
        <x:f>IF(A156&gt;=Premissas!$B$25,0,(N157+E157)/(1+Premissas!$B$41))</x:f>
        <x:v>83822.00305510742</x:v>
      </x:c>
      <x:c r="O156" s="141" t="n">
        <x:f>IF(A156&lt;Premissas!$B$27,Premissas!$B$31/(1+Premissas!$B$41)^(Premissas!$B$27-A156),0)</x:f>
        <x:v>0</x:v>
      </x:c>
      <x:c r="P156" s="141" t="n">
        <x:f>MAX(0,H156-I156)+N156</x:f>
        <x:v>83822.00305510742</x:v>
      </x:c>
    </x:row>
    <x:row r="157">
      <x:c r="A157" s="142" t="n">
        <x:v>152</x:v>
      </x:c>
      <x:c r="B157" s="179" t="n">
        <x:f>EDATE(Premissas!$B$4,151)</x:f>
        <x:v>51136</x:v>
      </x:c>
      <x:c r="C157" s="180" t="n">
        <x:f>(1+Premissas!$B$26)^INT((A157-1)/12)</x:f>
        <x:v>2.0121964718355514</x:v>
      </x:c>
      <x:c r="D157" s="141" t="n">
        <x:f>Premissas!$B$30*C157</x:f>
        <x:v>218584.87879280158</x:v>
      </x:c>
      <x:c r="E157" s="141" t="n">
        <x:f>IF(A157&lt;=Premissas!$B$25,Premissas!$B$32*C157,0)</x:f>
        <x:v>1147.8893832771146</x:v>
      </x:c>
      <x:c r="F157" s="141" t="n">
        <x:f>IF(AND(A157&gt;=Premissas!$B$48,A157&lt;=Premissas!$B$27,A157-Premissas!$B$48+1&lt;=Premissas!$B$13),INDEX(Financiamento!$C$6:$C$485,A157-Premissas!$B$48+1),0)</x:f>
        <x:v>0</x:v>
      </x:c>
      <x:c r="G157" s="141" t="n">
        <x:f>IF(AND(A157&gt;=Premissas!$B$48,A157&lt;=Premissas!$B$27,A157-Premissas!$B$48+1&lt;=Premissas!$B$13),INDEX(Financiamento!$J$6:$J$485,A157-Premissas!$B$48+1),0)</x:f>
        <x:v>0</x:v>
      </x:c>
      <x:c r="H157" s="141" t="n">
        <x:f>IF(AND(A157&gt;=Premissas!$B$48,A157&lt;=Premissas!$B$27,A157-Premissas!$B$48+1&lt;=Premissas!$B$13),INDEX(Financiamento!$M$6:$M$485,A157-Premissas!$B$48+1),0)</x:f>
        <x:v>0</x:v>
      </x:c>
      <x:c r="I157" s="141" t="n">
        <x:f>IF(A157=Premissas!$B$27,MIN(D157,H157),0)</x:f>
        <x:v>0</x:v>
      </x:c>
      <x:c r="J157" s="141" t="n">
        <x:f>IF(A157=Premissas!$B$27,D157-H157,0)</x:f>
        <x:v>0</x:v>
      </x:c>
      <x:c r="K157" s="141" t="n">
        <x:f>E157+G157</x:f>
        <x:v>1147.8893832771146</x:v>
      </x:c>
      <x:c r="L157" s="141" t="n">
        <x:f>SUM($K$6:K157)</x:f>
        <x:v>241219.21797637088</x:v>
      </x:c>
      <x:c r="M157" s="141" t="str">
        <x:f>IF(A157&lt;Premissas!$B$27,"Financiamento + consorcio",IF(A157=Premissas!$B$27,"Quitacao via carta",IF(A157&lt;=Premissas!$B$25,"Somente consorcio","Encerrado")))</x:f>
        <x:v>Somente consorcio</x:v>
      </x:c>
      <x:c r="N157" s="141" t="n">
        <x:f>IF(A157&gt;=Premissas!$B$25,0,(N158+E158)/(1+Premissas!$B$41))</x:f>
        <x:v>83469.4833021822</x:v>
      </x:c>
      <x:c r="O157" s="141" t="n">
        <x:f>IF(A157&lt;Premissas!$B$27,Premissas!$B$31/(1+Premissas!$B$41)^(Premissas!$B$27-A157),0)</x:f>
        <x:v>0</x:v>
      </x:c>
      <x:c r="P157" s="141" t="n">
        <x:f>MAX(0,H157-I157)+N157</x:f>
        <x:v>83469.4833021822</x:v>
      </x:c>
    </x:row>
    <x:row r="158">
      <x:c r="A158" s="142" t="n">
        <x:v>153</x:v>
      </x:c>
      <x:c r="B158" s="179" t="n">
        <x:f>EDATE(Premissas!$B$4,152)</x:f>
        <x:v>51167</x:v>
      </x:c>
      <x:c r="C158" s="180" t="n">
        <x:f>(1+Premissas!$B$26)^INT((A158-1)/12)</x:f>
        <x:v>2.0121964718355514</x:v>
      </x:c>
      <x:c r="D158" s="141" t="n">
        <x:f>Premissas!$B$30*C158</x:f>
        <x:v>218584.87879280158</x:v>
      </x:c>
      <x:c r="E158" s="141" t="n">
        <x:f>IF(A158&lt;=Premissas!$B$25,Premissas!$B$32*C158,0)</x:f>
        <x:v>1147.8893832771146</x:v>
      </x:c>
      <x:c r="F158" s="141" t="n">
        <x:f>IF(AND(A158&gt;=Premissas!$B$48,A158&lt;=Premissas!$B$27,A158-Premissas!$B$48+1&lt;=Premissas!$B$13),INDEX(Financiamento!$C$6:$C$485,A158-Premissas!$B$48+1),0)</x:f>
        <x:v>0</x:v>
      </x:c>
      <x:c r="G158" s="141" t="n">
        <x:f>IF(AND(A158&gt;=Premissas!$B$48,A158&lt;=Premissas!$B$27,A158-Premissas!$B$48+1&lt;=Premissas!$B$13),INDEX(Financiamento!$J$6:$J$485,A158-Premissas!$B$48+1),0)</x:f>
        <x:v>0</x:v>
      </x:c>
      <x:c r="H158" s="141" t="n">
        <x:f>IF(AND(A158&gt;=Premissas!$B$48,A158&lt;=Premissas!$B$27,A158-Premissas!$B$48+1&lt;=Premissas!$B$13),INDEX(Financiamento!$M$6:$M$485,A158-Premissas!$B$48+1),0)</x:f>
        <x:v>0</x:v>
      </x:c>
      <x:c r="I158" s="141" t="n">
        <x:f>IF(A158=Premissas!$B$27,MIN(D158,H158),0)</x:f>
        <x:v>0</x:v>
      </x:c>
      <x:c r="J158" s="141" t="n">
        <x:f>IF(A158=Premissas!$B$27,D158-H158,0)</x:f>
        <x:v>0</x:v>
      </x:c>
      <x:c r="K158" s="141" t="n">
        <x:f>E158+G158</x:f>
        <x:v>1147.8893832771146</x:v>
      </x:c>
      <x:c r="L158" s="141" t="n">
        <x:f>SUM($K$6:K158)</x:f>
        <x:v>242367.107359648</x:v>
      </x:c>
      <x:c r="M158" s="141" t="str">
        <x:f>IF(A158&lt;Premissas!$B$27,"Financiamento + consorcio",IF(A158=Premissas!$B$27,"Quitacao via carta",IF(A158&lt;=Premissas!$B$25,"Somente consorcio","Encerrado")))</x:f>
        <x:v>Somente consorcio</x:v>
      </x:c>
      <x:c r="N158" s="141" t="n">
        <x:f>IF(A158&gt;=Premissas!$B$25,0,(N159+E159)/(1+Premissas!$B$41))</x:f>
        <x:v>83113.61856231613</x:v>
      </x:c>
      <x:c r="O158" s="141" t="n">
        <x:f>IF(A158&lt;Premissas!$B$27,Premissas!$B$31/(1+Premissas!$B$41)^(Premissas!$B$27-A158),0)</x:f>
        <x:v>0</x:v>
      </x:c>
      <x:c r="P158" s="141" t="n">
        <x:f>MAX(0,H158-I158)+N158</x:f>
        <x:v>83113.61856231613</x:v>
      </x:c>
    </x:row>
    <x:row r="159">
      <x:c r="A159" s="142" t="n">
        <x:v>154</x:v>
      </x:c>
      <x:c r="B159" s="179" t="n">
        <x:f>EDATE(Premissas!$B$4,153)</x:f>
        <x:v>51196</x:v>
      </x:c>
      <x:c r="C159" s="180" t="n">
        <x:f>(1+Premissas!$B$26)^INT((A159-1)/12)</x:f>
        <x:v>2.0121964718355514</x:v>
      </x:c>
      <x:c r="D159" s="141" t="n">
        <x:f>Premissas!$B$30*C159</x:f>
        <x:v>218584.87879280158</x:v>
      </x:c>
      <x:c r="E159" s="141" t="n">
        <x:f>IF(A159&lt;=Premissas!$B$25,Premissas!$B$32*C159,0)</x:f>
        <x:v>1147.8893832771146</x:v>
      </x:c>
      <x:c r="F159" s="141" t="n">
        <x:f>IF(AND(A159&gt;=Premissas!$B$48,A159&lt;=Premissas!$B$27,A159-Premissas!$B$48+1&lt;=Premissas!$B$13),INDEX(Financiamento!$C$6:$C$485,A159-Premissas!$B$48+1),0)</x:f>
        <x:v>0</x:v>
      </x:c>
      <x:c r="G159" s="141" t="n">
        <x:f>IF(AND(A159&gt;=Premissas!$B$48,A159&lt;=Premissas!$B$27,A159-Premissas!$B$48+1&lt;=Premissas!$B$13),INDEX(Financiamento!$J$6:$J$485,A159-Premissas!$B$48+1),0)</x:f>
        <x:v>0</x:v>
      </x:c>
      <x:c r="H159" s="141" t="n">
        <x:f>IF(AND(A159&gt;=Premissas!$B$48,A159&lt;=Premissas!$B$27,A159-Premissas!$B$48+1&lt;=Premissas!$B$13),INDEX(Financiamento!$M$6:$M$485,A159-Premissas!$B$48+1),0)</x:f>
        <x:v>0</x:v>
      </x:c>
      <x:c r="I159" s="141" t="n">
        <x:f>IF(A159=Premissas!$B$27,MIN(D159,H159),0)</x:f>
        <x:v>0</x:v>
      </x:c>
      <x:c r="J159" s="141" t="n">
        <x:f>IF(A159=Premissas!$B$27,D159-H159,0)</x:f>
        <x:v>0</x:v>
      </x:c>
      <x:c r="K159" s="141" t="n">
        <x:f>E159+G159</x:f>
        <x:v>1147.8893832771146</x:v>
      </x:c>
      <x:c r="L159" s="141" t="n">
        <x:f>SUM($K$6:K159)</x:f>
        <x:v>243514.99674292514</x:v>
      </x:c>
      <x:c r="M159" s="141" t="str">
        <x:f>IF(A159&lt;Premissas!$B$27,"Financiamento + consorcio",IF(A159=Premissas!$B$27,"Quitacao via carta",IF(A159&lt;=Premissas!$B$25,"Somente consorcio","Encerrado")))</x:f>
        <x:v>Somente consorcio</x:v>
      </x:c>
      <x:c r="N159" s="141" t="n">
        <x:f>IF(A159&gt;=Premissas!$B$25,0,(N160+E160)/(1+Premissas!$B$41))</x:f>
        <x:v>82754.37709562074</x:v>
      </x:c>
      <x:c r="O159" s="141" t="n">
        <x:f>IF(A159&lt;Premissas!$B$27,Premissas!$B$31/(1+Premissas!$B$41)^(Premissas!$B$27-A159),0)</x:f>
        <x:v>0</x:v>
      </x:c>
      <x:c r="P159" s="141" t="n">
        <x:f>MAX(0,H159-I159)+N159</x:f>
        <x:v>82754.37709562074</x:v>
      </x:c>
    </x:row>
    <x:row r="160">
      <x:c r="A160" s="142" t="n">
        <x:v>155</x:v>
      </x:c>
      <x:c r="B160" s="179" t="n">
        <x:f>EDATE(Premissas!$B$4,154)</x:f>
        <x:v>51227</x:v>
      </x:c>
      <x:c r="C160" s="180" t="n">
        <x:f>(1+Premissas!$B$26)^INT((A160-1)/12)</x:f>
        <x:v>2.0121964718355514</x:v>
      </x:c>
      <x:c r="D160" s="141" t="n">
        <x:f>Premissas!$B$30*C160</x:f>
        <x:v>218584.87879280158</x:v>
      </x:c>
      <x:c r="E160" s="141" t="n">
        <x:f>IF(A160&lt;=Premissas!$B$25,Premissas!$B$32*C160,0)</x:f>
        <x:v>1147.8893832771146</x:v>
      </x:c>
      <x:c r="F160" s="141" t="n">
        <x:f>IF(AND(A160&gt;=Premissas!$B$48,A160&lt;=Premissas!$B$27,A160-Premissas!$B$48+1&lt;=Premissas!$B$13),INDEX(Financiamento!$C$6:$C$485,A160-Premissas!$B$48+1),0)</x:f>
        <x:v>0</x:v>
      </x:c>
      <x:c r="G160" s="141" t="n">
        <x:f>IF(AND(A160&gt;=Premissas!$B$48,A160&lt;=Premissas!$B$27,A160-Premissas!$B$48+1&lt;=Premissas!$B$13),INDEX(Financiamento!$J$6:$J$485,A160-Premissas!$B$48+1),0)</x:f>
        <x:v>0</x:v>
      </x:c>
      <x:c r="H160" s="141" t="n">
        <x:f>IF(AND(A160&gt;=Premissas!$B$48,A160&lt;=Premissas!$B$27,A160-Premissas!$B$48+1&lt;=Premissas!$B$13),INDEX(Financiamento!$M$6:$M$485,A160-Premissas!$B$48+1),0)</x:f>
        <x:v>0</x:v>
      </x:c>
      <x:c r="I160" s="141" t="n">
        <x:f>IF(A160=Premissas!$B$27,MIN(D160,H160),0)</x:f>
        <x:v>0</x:v>
      </x:c>
      <x:c r="J160" s="141" t="n">
        <x:f>IF(A160=Premissas!$B$27,D160-H160,0)</x:f>
        <x:v>0</x:v>
      </x:c>
      <x:c r="K160" s="141" t="n">
        <x:f>E160+G160</x:f>
        <x:v>1147.8893832771146</x:v>
      </x:c>
      <x:c r="L160" s="141" t="n">
        <x:f>SUM($K$6:K160)</x:f>
        <x:v>244662.88612620227</x:v>
      </x:c>
      <x:c r="M160" s="141" t="str">
        <x:f>IF(A160&lt;Premissas!$B$27,"Financiamento + consorcio",IF(A160=Premissas!$B$27,"Quitacao via carta",IF(A160&lt;=Premissas!$B$25,"Somente consorcio","Encerrado")))</x:f>
        <x:v>Somente consorcio</x:v>
      </x:c>
      <x:c r="N160" s="141" t="n">
        <x:f>IF(A160&gt;=Premissas!$B$25,0,(N161+E161)/(1+Premissas!$B$41))</x:f>
        <x:v>82391.72686103437</x:v>
      </x:c>
      <x:c r="O160" s="141" t="n">
        <x:f>IF(A160&lt;Premissas!$B$27,Premissas!$B$31/(1+Premissas!$B$41)^(Premissas!$B$27-A160),0)</x:f>
        <x:v>0</x:v>
      </x:c>
      <x:c r="P160" s="141" t="n">
        <x:f>MAX(0,H160-I160)+N160</x:f>
        <x:v>82391.72686103437</x:v>
      </x:c>
    </x:row>
    <x:row r="161">
      <x:c r="A161" s="142" t="n">
        <x:v>156</x:v>
      </x:c>
      <x:c r="B161" s="179" t="n">
        <x:f>EDATE(Premissas!$B$4,155)</x:f>
        <x:v>51257</x:v>
      </x:c>
      <x:c r="C161" s="180" t="n">
        <x:f>(1+Premissas!$B$26)^INT((A161-1)/12)</x:f>
        <x:v>2.0121964718355514</x:v>
      </x:c>
      <x:c r="D161" s="141" t="n">
        <x:f>Premissas!$B$30*C161</x:f>
        <x:v>218584.87879280158</x:v>
      </x:c>
      <x:c r="E161" s="141" t="n">
        <x:f>IF(A161&lt;=Premissas!$B$25,Premissas!$B$32*C161,0)</x:f>
        <x:v>1147.8893832771146</x:v>
      </x:c>
      <x:c r="F161" s="141" t="n">
        <x:f>IF(AND(A161&gt;=Premissas!$B$48,A161&lt;=Premissas!$B$27,A161-Premissas!$B$48+1&lt;=Premissas!$B$13),INDEX(Financiamento!$C$6:$C$485,A161-Premissas!$B$48+1),0)</x:f>
        <x:v>0</x:v>
      </x:c>
      <x:c r="G161" s="141" t="n">
        <x:f>IF(AND(A161&gt;=Premissas!$B$48,A161&lt;=Premissas!$B$27,A161-Premissas!$B$48+1&lt;=Premissas!$B$13),INDEX(Financiamento!$J$6:$J$485,A161-Premissas!$B$48+1),0)</x:f>
        <x:v>0</x:v>
      </x:c>
      <x:c r="H161" s="141" t="n">
        <x:f>IF(AND(A161&gt;=Premissas!$B$48,A161&lt;=Premissas!$B$27,A161-Premissas!$B$48+1&lt;=Premissas!$B$13),INDEX(Financiamento!$M$6:$M$485,A161-Premissas!$B$48+1),0)</x:f>
        <x:v>0</x:v>
      </x:c>
      <x:c r="I161" s="141" t="n">
        <x:f>IF(A161=Premissas!$B$27,MIN(D161,H161),0)</x:f>
        <x:v>0</x:v>
      </x:c>
      <x:c r="J161" s="141" t="n">
        <x:f>IF(A161=Premissas!$B$27,D161-H161,0)</x:f>
        <x:v>0</x:v>
      </x:c>
      <x:c r="K161" s="141" t="n">
        <x:f>E161+G161</x:f>
        <x:v>1147.8893832771146</x:v>
      </x:c>
      <x:c r="L161" s="141" t="n">
        <x:f>SUM($K$6:K161)</x:f>
        <x:v>245810.7755094794</x:v>
      </x:c>
      <x:c r="M161" s="141" t="str">
        <x:f>IF(A161&lt;Premissas!$B$27,"Financiamento + consorcio",IF(A161=Premissas!$B$27,"Quitacao via carta",IF(A161&lt;=Premissas!$B$25,"Somente consorcio","Encerrado")))</x:f>
        <x:v>Somente consorcio</x:v>
      </x:c>
      <x:c r="N161" s="141" t="n">
        <x:f>IF(A161&gt;=Premissas!$B$25,0,(N162+E162)/(1+Premissas!$B$41))</x:f>
        <x:v>82025.63551346434</x:v>
      </x:c>
      <x:c r="O161" s="141" t="n">
        <x:f>IF(A161&lt;Premissas!$B$27,Premissas!$B$31/(1+Premissas!$B$41)^(Premissas!$B$27-A161),0)</x:f>
        <x:v>0</x:v>
      </x:c>
      <x:c r="P161" s="141" t="n">
        <x:f>MAX(0,H161-I161)+N161</x:f>
        <x:v>82025.63551346434</x:v>
      </x:c>
    </x:row>
    <x:row r="162">
      <x:c r="A162" s="142" t="n">
        <x:v>157</x:v>
      </x:c>
      <x:c r="B162" s="179" t="n">
        <x:f>EDATE(Premissas!$B$4,156)</x:f>
        <x:v>51288</x:v>
      </x:c>
      <x:c r="C162" s="180" t="n">
        <x:f>(1+Premissas!$B$26)^INT((A162-1)/12)</x:f>
        <x:v>2.1329282601456847</x:v>
      </x:c>
      <x:c r="D162" s="141" t="n">
        <x:f>Premissas!$B$30*C162</x:f>
        <x:v>231699.9715203697</x:v>
      </x:c>
      <x:c r="E162" s="141" t="n">
        <x:f>IF(A162&lt;=Premissas!$B$25,Premissas!$B$32*C162,0)</x:f>
        <x:v>1216.7627462737416</x:v>
      </x:c>
      <x:c r="F162" s="141" t="n">
        <x:f>IF(AND(A162&gt;=Premissas!$B$48,A162&lt;=Premissas!$B$27,A162-Premissas!$B$48+1&lt;=Premissas!$B$13),INDEX(Financiamento!$C$6:$C$485,A162-Premissas!$B$48+1),0)</x:f>
        <x:v>0</x:v>
      </x:c>
      <x:c r="G162" s="141" t="n">
        <x:f>IF(AND(A162&gt;=Premissas!$B$48,A162&lt;=Premissas!$B$27,A162-Premissas!$B$48+1&lt;=Premissas!$B$13),INDEX(Financiamento!$J$6:$J$485,A162-Premissas!$B$48+1),0)</x:f>
        <x:v>0</x:v>
      </x:c>
      <x:c r="H162" s="141" t="n">
        <x:f>IF(AND(A162&gt;=Premissas!$B$48,A162&lt;=Premissas!$B$27,A162-Premissas!$B$48+1&lt;=Premissas!$B$13),INDEX(Financiamento!$M$6:$M$485,A162-Premissas!$B$48+1),0)</x:f>
        <x:v>0</x:v>
      </x:c>
      <x:c r="I162" s="141" t="n">
        <x:f>IF(A162=Premissas!$B$27,MIN(D162,H162),0)</x:f>
        <x:v>0</x:v>
      </x:c>
      <x:c r="J162" s="141" t="n">
        <x:f>IF(A162=Premissas!$B$27,D162-H162,0)</x:f>
        <x:v>0</x:v>
      </x:c>
      <x:c r="K162" s="141" t="n">
        <x:f>E162+G162</x:f>
        <x:v>1216.7627462737416</x:v>
      </x:c>
      <x:c r="L162" s="141" t="n">
        <x:f>SUM($K$6:K162)</x:f>
        <x:v>247027.53825575314</x:v>
      </x:c>
      <x:c r="M162" s="141" t="str">
        <x:f>IF(A162&lt;Premissas!$B$27,"Financiamento + consorcio",IF(A162=Premissas!$B$27,"Quitacao via carta",IF(A162&lt;=Premissas!$B$25,"Somente consorcio","Encerrado")))</x:f>
        <x:v>Somente consorcio</x:v>
      </x:c>
      <x:c r="N162" s="141" t="n">
        <x:f>IF(A162&gt;=Premissas!$B$25,0,(N163+E163)/(1+Premissas!$B$41))</x:f>
        <x:v>81587.19703790544</x:v>
      </x:c>
      <x:c r="O162" s="141" t="n">
        <x:f>IF(A162&lt;Premissas!$B$27,Premissas!$B$31/(1+Premissas!$B$41)^(Premissas!$B$27-A162),0)</x:f>
        <x:v>0</x:v>
      </x:c>
      <x:c r="P162" s="141" t="n">
        <x:f>MAX(0,H162-I162)+N162</x:f>
        <x:v>81587.19703790544</x:v>
      </x:c>
    </x:row>
    <x:row r="163">
      <x:c r="A163" s="142" t="n">
        <x:v>158</x:v>
      </x:c>
      <x:c r="B163" s="179" t="n">
        <x:f>EDATE(Premissas!$B$4,157)</x:f>
        <x:v>51318</x:v>
      </x:c>
      <x:c r="C163" s="180" t="n">
        <x:f>(1+Premissas!$B$26)^INT((A163-1)/12)</x:f>
        <x:v>2.1329282601456847</x:v>
      </x:c>
      <x:c r="D163" s="141" t="n">
        <x:f>Premissas!$B$30*C163</x:f>
        <x:v>231699.9715203697</x:v>
      </x:c>
      <x:c r="E163" s="141" t="n">
        <x:f>IF(A163&lt;=Premissas!$B$25,Premissas!$B$32*C163,0)</x:f>
        <x:v>1216.7627462737416</x:v>
      </x:c>
      <x:c r="F163" s="141" t="n">
        <x:f>IF(AND(A163&gt;=Premissas!$B$48,A163&lt;=Premissas!$B$27,A163-Premissas!$B$48+1&lt;=Premissas!$B$13),INDEX(Financiamento!$C$6:$C$485,A163-Premissas!$B$48+1),0)</x:f>
        <x:v>0</x:v>
      </x:c>
      <x:c r="G163" s="141" t="n">
        <x:f>IF(AND(A163&gt;=Premissas!$B$48,A163&lt;=Premissas!$B$27,A163-Premissas!$B$48+1&lt;=Premissas!$B$13),INDEX(Financiamento!$J$6:$J$485,A163-Premissas!$B$48+1),0)</x:f>
        <x:v>0</x:v>
      </x:c>
      <x:c r="H163" s="141" t="n">
        <x:f>IF(AND(A163&gt;=Premissas!$B$48,A163&lt;=Premissas!$B$27,A163-Premissas!$B$48+1&lt;=Premissas!$B$13),INDEX(Financiamento!$M$6:$M$485,A163-Premissas!$B$48+1),0)</x:f>
        <x:v>0</x:v>
      </x:c>
      <x:c r="I163" s="141" t="n">
        <x:f>IF(A163=Premissas!$B$27,MIN(D163,H163),0)</x:f>
        <x:v>0</x:v>
      </x:c>
      <x:c r="J163" s="141" t="n">
        <x:f>IF(A163=Premissas!$B$27,D163-H163,0)</x:f>
        <x:v>0</x:v>
      </x:c>
      <x:c r="K163" s="141" t="n">
        <x:f>E163+G163</x:f>
        <x:v>1216.7627462737416</x:v>
      </x:c>
      <x:c r="L163" s="141" t="n">
        <x:f>SUM($K$6:K163)</x:f>
        <x:v>248244.30100202688</x:v>
      </x:c>
      <x:c r="M163" s="141" t="str">
        <x:f>IF(A163&lt;Premissas!$B$27,"Financiamento + consorcio",IF(A163=Premissas!$B$27,"Quitacao via carta",IF(A163&lt;=Premissas!$B$25,"Somente consorcio","Encerrado")))</x:f>
        <x:v>Somente consorcio</x:v>
      </x:c>
      <x:c r="N163" s="141" t="n">
        <x:f>IF(A163&gt;=Premissas!$B$25,0,(N164+E164)/(1+Premissas!$B$41))</x:f>
        <x:v>81144.5983104374</x:v>
      </x:c>
      <x:c r="O163" s="141" t="n">
        <x:f>IF(A163&lt;Premissas!$B$27,Premissas!$B$31/(1+Premissas!$B$41)^(Premissas!$B$27-A163),0)</x:f>
        <x:v>0</x:v>
      </x:c>
      <x:c r="P163" s="141" t="n">
        <x:f>MAX(0,H163-I163)+N163</x:f>
        <x:v>81144.5983104374</x:v>
      </x:c>
    </x:row>
    <x:row r="164">
      <x:c r="A164" s="142" t="n">
        <x:v>159</x:v>
      </x:c>
      <x:c r="B164" s="179" t="n">
        <x:f>EDATE(Premissas!$B$4,158)</x:f>
        <x:v>51349</x:v>
      </x:c>
      <x:c r="C164" s="180" t="n">
        <x:f>(1+Premissas!$B$26)^INT((A164-1)/12)</x:f>
        <x:v>2.1329282601456847</x:v>
      </x:c>
      <x:c r="D164" s="141" t="n">
        <x:f>Premissas!$B$30*C164</x:f>
        <x:v>231699.9715203697</x:v>
      </x:c>
      <x:c r="E164" s="141" t="n">
        <x:f>IF(A164&lt;=Premissas!$B$25,Premissas!$B$32*C164,0)</x:f>
        <x:v>1216.7627462737416</x:v>
      </x:c>
      <x:c r="F164" s="141" t="n">
        <x:f>IF(AND(A164&gt;=Premissas!$B$48,A164&lt;=Premissas!$B$27,A164-Premissas!$B$48+1&lt;=Premissas!$B$13),INDEX(Financiamento!$C$6:$C$485,A164-Premissas!$B$48+1),0)</x:f>
        <x:v>0</x:v>
      </x:c>
      <x:c r="G164" s="141" t="n">
        <x:f>IF(AND(A164&gt;=Premissas!$B$48,A164&lt;=Premissas!$B$27,A164-Premissas!$B$48+1&lt;=Premissas!$B$13),INDEX(Financiamento!$J$6:$J$485,A164-Premissas!$B$48+1),0)</x:f>
        <x:v>0</x:v>
      </x:c>
      <x:c r="H164" s="141" t="n">
        <x:f>IF(AND(A164&gt;=Premissas!$B$48,A164&lt;=Premissas!$B$27,A164-Premissas!$B$48+1&lt;=Premissas!$B$13),INDEX(Financiamento!$M$6:$M$485,A164-Premissas!$B$48+1),0)</x:f>
        <x:v>0</x:v>
      </x:c>
      <x:c r="I164" s="141" t="n">
        <x:f>IF(A164=Premissas!$B$27,MIN(D164,H164),0)</x:f>
        <x:v>0</x:v>
      </x:c>
      <x:c r="J164" s="141" t="n">
        <x:f>IF(A164=Premissas!$B$27,D164-H164,0)</x:f>
        <x:v>0</x:v>
      </x:c>
      <x:c r="K164" s="141" t="n">
        <x:f>E164+G164</x:f>
        <x:v>1216.7627462737416</x:v>
      </x:c>
      <x:c r="L164" s="141" t="n">
        <x:f>SUM($K$6:K164)</x:f>
        <x:v>249461.06374830063</x:v>
      </x:c>
      <x:c r="M164" s="141" t="str">
        <x:f>IF(A164&lt;Premissas!$B$27,"Financiamento + consorcio",IF(A164=Premissas!$B$27,"Quitacao via carta",IF(A164&lt;=Premissas!$B$25,"Somente consorcio","Encerrado")))</x:f>
        <x:v>Somente consorcio</x:v>
      </x:c>
      <x:c r="N164" s="141" t="n">
        <x:f>IF(A164&gt;=Premissas!$B$25,0,(N165+E165)/(1+Premissas!$B$41))</x:f>
        <x:v>80697.79985529132</x:v>
      </x:c>
      <x:c r="O164" s="141" t="n">
        <x:f>IF(A164&lt;Premissas!$B$27,Premissas!$B$31/(1+Premissas!$B$41)^(Premissas!$B$27-A164),0)</x:f>
        <x:v>0</x:v>
      </x:c>
      <x:c r="P164" s="141" t="n">
        <x:f>MAX(0,H164-I164)+N164</x:f>
        <x:v>80697.79985529132</x:v>
      </x:c>
    </x:row>
    <x:row r="165">
      <x:c r="A165" s="142" t="n">
        <x:v>160</x:v>
      </x:c>
      <x:c r="B165" s="179" t="n">
        <x:f>EDATE(Premissas!$B$4,159)</x:f>
        <x:v>51380</x:v>
      </x:c>
      <x:c r="C165" s="180" t="n">
        <x:f>(1+Premissas!$B$26)^INT((A165-1)/12)</x:f>
        <x:v>2.1329282601456847</x:v>
      </x:c>
      <x:c r="D165" s="141" t="n">
        <x:f>Premissas!$B$30*C165</x:f>
        <x:v>231699.9715203697</x:v>
      </x:c>
      <x:c r="E165" s="141" t="n">
        <x:f>IF(A165&lt;=Premissas!$B$25,Premissas!$B$32*C165,0)</x:f>
        <x:v>1216.7627462737416</x:v>
      </x:c>
      <x:c r="F165" s="141" t="n">
        <x:f>IF(AND(A165&gt;=Premissas!$B$48,A165&lt;=Premissas!$B$27,A165-Premissas!$B$48+1&lt;=Premissas!$B$13),INDEX(Financiamento!$C$6:$C$485,A165-Premissas!$B$48+1),0)</x:f>
        <x:v>0</x:v>
      </x:c>
      <x:c r="G165" s="141" t="n">
        <x:f>IF(AND(A165&gt;=Premissas!$B$48,A165&lt;=Premissas!$B$27,A165-Premissas!$B$48+1&lt;=Premissas!$B$13),INDEX(Financiamento!$J$6:$J$485,A165-Premissas!$B$48+1),0)</x:f>
        <x:v>0</x:v>
      </x:c>
      <x:c r="H165" s="141" t="n">
        <x:f>IF(AND(A165&gt;=Premissas!$B$48,A165&lt;=Premissas!$B$27,A165-Premissas!$B$48+1&lt;=Premissas!$B$13),INDEX(Financiamento!$M$6:$M$485,A165-Premissas!$B$48+1),0)</x:f>
        <x:v>0</x:v>
      </x:c>
      <x:c r="I165" s="141" t="n">
        <x:f>IF(A165=Premissas!$B$27,MIN(D165,H165),0)</x:f>
        <x:v>0</x:v>
      </x:c>
      <x:c r="J165" s="141" t="n">
        <x:f>IF(A165=Premissas!$B$27,D165-H165,0)</x:f>
        <x:v>0</x:v>
      </x:c>
      <x:c r="K165" s="141" t="n">
        <x:f>E165+G165</x:f>
        <x:v>1216.7627462737416</x:v>
      </x:c>
      <x:c r="L165" s="141" t="n">
        <x:f>SUM($K$6:K165)</x:f>
        <x:v>250677.82649457437</x:v>
      </x:c>
      <x:c r="M165" s="141" t="str">
        <x:f>IF(A165&lt;Premissas!$B$27,"Financiamento + consorcio",IF(A165=Premissas!$B$27,"Quitacao via carta",IF(A165&lt;=Premissas!$B$25,"Somente consorcio","Encerrado")))</x:f>
        <x:v>Somente consorcio</x:v>
      </x:c>
      <x:c r="N165" s="141" t="n">
        <x:f>IF(A165&gt;=Premissas!$B$25,0,(N166+E166)/(1+Premissas!$B$41))</x:f>
        <x:v>80246.76182212085</x:v>
      </x:c>
      <x:c r="O165" s="141" t="n">
        <x:f>IF(A165&lt;Premissas!$B$27,Premissas!$B$31/(1+Premissas!$B$41)^(Premissas!$B$27-A165),0)</x:f>
        <x:v>0</x:v>
      </x:c>
      <x:c r="P165" s="141" t="n">
        <x:f>MAX(0,H165-I165)+N165</x:f>
        <x:v>80246.76182212085</x:v>
      </x:c>
    </x:row>
    <x:row r="166">
      <x:c r="A166" s="142" t="n">
        <x:v>161</x:v>
      </x:c>
      <x:c r="B166" s="179" t="n">
        <x:f>EDATE(Premissas!$B$4,160)</x:f>
        <x:v>51410</x:v>
      </x:c>
      <x:c r="C166" s="180" t="n">
        <x:f>(1+Premissas!$B$26)^INT((A166-1)/12)</x:f>
        <x:v>2.1329282601456847</x:v>
      </x:c>
      <x:c r="D166" s="141" t="n">
        <x:f>Premissas!$B$30*C166</x:f>
        <x:v>231699.9715203697</x:v>
      </x:c>
      <x:c r="E166" s="141" t="n">
        <x:f>IF(A166&lt;=Premissas!$B$25,Premissas!$B$32*C166,0)</x:f>
        <x:v>1216.7627462737416</x:v>
      </x:c>
      <x:c r="F166" s="141" t="n">
        <x:f>IF(AND(A166&gt;=Premissas!$B$48,A166&lt;=Premissas!$B$27,A166-Premissas!$B$48+1&lt;=Premissas!$B$13),INDEX(Financiamento!$C$6:$C$485,A166-Premissas!$B$48+1),0)</x:f>
        <x:v>0</x:v>
      </x:c>
      <x:c r="G166" s="141" t="n">
        <x:f>IF(AND(A166&gt;=Premissas!$B$48,A166&lt;=Premissas!$B$27,A166-Premissas!$B$48+1&lt;=Premissas!$B$13),INDEX(Financiamento!$J$6:$J$485,A166-Premissas!$B$48+1),0)</x:f>
        <x:v>0</x:v>
      </x:c>
      <x:c r="H166" s="141" t="n">
        <x:f>IF(AND(A166&gt;=Premissas!$B$48,A166&lt;=Premissas!$B$27,A166-Premissas!$B$48+1&lt;=Premissas!$B$13),INDEX(Financiamento!$M$6:$M$485,A166-Premissas!$B$48+1),0)</x:f>
        <x:v>0</x:v>
      </x:c>
      <x:c r="I166" s="141" t="n">
        <x:f>IF(A166=Premissas!$B$27,MIN(D166,H166),0)</x:f>
        <x:v>0</x:v>
      </x:c>
      <x:c r="J166" s="141" t="n">
        <x:f>IF(A166=Premissas!$B$27,D166-H166,0)</x:f>
        <x:v>0</x:v>
      </x:c>
      <x:c r="K166" s="141" t="n">
        <x:f>E166+G166</x:f>
        <x:v>1216.7627462737416</x:v>
      </x:c>
      <x:c r="L166" s="141" t="n">
        <x:f>SUM($K$6:K166)</x:f>
        <x:v>251894.58924084812</x:v>
      </x:c>
      <x:c r="M166" s="141" t="str">
        <x:f>IF(A166&lt;Premissas!$B$27,"Financiamento + consorcio",IF(A166=Premissas!$B$27,"Quitacao via carta",IF(A166&lt;=Premissas!$B$25,"Somente consorcio","Encerrado")))</x:f>
        <x:v>Somente consorcio</x:v>
      </x:c>
      <x:c r="N166" s="141" t="n">
        <x:f>IF(A166&gt;=Premissas!$B$25,0,(N167+E167)/(1+Premissas!$B$41))</x:f>
        <x:v>79791.44398244802</x:v>
      </x:c>
      <x:c r="O166" s="141" t="n">
        <x:f>IF(A166&lt;Premissas!$B$27,Premissas!$B$31/(1+Premissas!$B$41)^(Premissas!$B$27-A166),0)</x:f>
        <x:v>0</x:v>
      </x:c>
      <x:c r="P166" s="141" t="n">
        <x:f>MAX(0,H166-I166)+N166</x:f>
        <x:v>79791.44398244802</x:v>
      </x:c>
    </x:row>
    <x:row r="167">
      <x:c r="A167" s="142" t="n">
        <x:v>162</x:v>
      </x:c>
      <x:c r="B167" s="179" t="n">
        <x:f>EDATE(Premissas!$B$4,161)</x:f>
        <x:v>51441</x:v>
      </x:c>
      <x:c r="C167" s="180" t="n">
        <x:f>(1+Premissas!$B$26)^INT((A167-1)/12)</x:f>
        <x:v>2.1329282601456847</x:v>
      </x:c>
      <x:c r="D167" s="141" t="n">
        <x:f>Premissas!$B$30*C167</x:f>
        <x:v>231699.9715203697</x:v>
      </x:c>
      <x:c r="E167" s="141" t="n">
        <x:f>IF(A167&lt;=Premissas!$B$25,Premissas!$B$32*C167,0)</x:f>
        <x:v>1216.7627462737416</x:v>
      </x:c>
      <x:c r="F167" s="141" t="n">
        <x:f>IF(AND(A167&gt;=Premissas!$B$48,A167&lt;=Premissas!$B$27,A167-Premissas!$B$48+1&lt;=Premissas!$B$13),INDEX(Financiamento!$C$6:$C$485,A167-Premissas!$B$48+1),0)</x:f>
        <x:v>0</x:v>
      </x:c>
      <x:c r="G167" s="141" t="n">
        <x:f>IF(AND(A167&gt;=Premissas!$B$48,A167&lt;=Premissas!$B$27,A167-Premissas!$B$48+1&lt;=Premissas!$B$13),INDEX(Financiamento!$J$6:$J$485,A167-Premissas!$B$48+1),0)</x:f>
        <x:v>0</x:v>
      </x:c>
      <x:c r="H167" s="141" t="n">
        <x:f>IF(AND(A167&gt;=Premissas!$B$48,A167&lt;=Premissas!$B$27,A167-Premissas!$B$48+1&lt;=Premissas!$B$13),INDEX(Financiamento!$M$6:$M$485,A167-Premissas!$B$48+1),0)</x:f>
        <x:v>0</x:v>
      </x:c>
      <x:c r="I167" s="141" t="n">
        <x:f>IF(A167=Premissas!$B$27,MIN(D167,H167),0)</x:f>
        <x:v>0</x:v>
      </x:c>
      <x:c r="J167" s="141" t="n">
        <x:f>IF(A167=Premissas!$B$27,D167-H167,0)</x:f>
        <x:v>0</x:v>
      </x:c>
      <x:c r="K167" s="141" t="n">
        <x:f>E167+G167</x:f>
        <x:v>1216.7627462737416</x:v>
      </x:c>
      <x:c r="L167" s="141" t="n">
        <x:f>SUM($K$6:K167)</x:f>
        <x:v>253111.35198712186</x:v>
      </x:c>
      <x:c r="M167" s="141" t="str">
        <x:f>IF(A167&lt;Premissas!$B$27,"Financiamento + consorcio",IF(A167=Premissas!$B$27,"Quitacao via carta",IF(A167&lt;=Premissas!$B$25,"Somente consorcio","Encerrado")))</x:f>
        <x:v>Somente consorcio</x:v>
      </x:c>
      <x:c r="N167" s="141" t="n">
        <x:f>IF(A167&gt;=Premissas!$B$25,0,(N168+E168)/(1+Premissas!$B$41))</x:f>
        <x:v>79331.80572607511</x:v>
      </x:c>
      <x:c r="O167" s="141" t="n">
        <x:f>IF(A167&lt;Premissas!$B$27,Premissas!$B$31/(1+Premissas!$B$41)^(Premissas!$B$27-A167),0)</x:f>
        <x:v>0</x:v>
      </x:c>
      <x:c r="P167" s="141" t="n">
        <x:f>MAX(0,H167-I167)+N167</x:f>
        <x:v>79331.80572607511</x:v>
      </x:c>
    </x:row>
    <x:row r="168">
      <x:c r="A168" s="142" t="n">
        <x:v>163</x:v>
      </x:c>
      <x:c r="B168" s="179" t="n">
        <x:f>EDATE(Premissas!$B$4,162)</x:f>
        <x:v>51471</x:v>
      </x:c>
      <x:c r="C168" s="180" t="n">
        <x:f>(1+Premissas!$B$26)^INT((A168-1)/12)</x:f>
        <x:v>2.1329282601456847</x:v>
      </x:c>
      <x:c r="D168" s="141" t="n">
        <x:f>Premissas!$B$30*C168</x:f>
        <x:v>231699.9715203697</x:v>
      </x:c>
      <x:c r="E168" s="141" t="n">
        <x:f>IF(A168&lt;=Premissas!$B$25,Premissas!$B$32*C168,0)</x:f>
        <x:v>1216.7627462737416</x:v>
      </x:c>
      <x:c r="F168" s="141" t="n">
        <x:f>IF(AND(A168&gt;=Premissas!$B$48,A168&lt;=Premissas!$B$27,A168-Premissas!$B$48+1&lt;=Premissas!$B$13),INDEX(Financiamento!$C$6:$C$485,A168-Premissas!$B$48+1),0)</x:f>
        <x:v>0</x:v>
      </x:c>
      <x:c r="G168" s="141" t="n">
        <x:f>IF(AND(A168&gt;=Premissas!$B$48,A168&lt;=Premissas!$B$27,A168-Premissas!$B$48+1&lt;=Premissas!$B$13),INDEX(Financiamento!$J$6:$J$485,A168-Premissas!$B$48+1),0)</x:f>
        <x:v>0</x:v>
      </x:c>
      <x:c r="H168" s="141" t="n">
        <x:f>IF(AND(A168&gt;=Premissas!$B$48,A168&lt;=Premissas!$B$27,A168-Premissas!$B$48+1&lt;=Premissas!$B$13),INDEX(Financiamento!$M$6:$M$485,A168-Premissas!$B$48+1),0)</x:f>
        <x:v>0</x:v>
      </x:c>
      <x:c r="I168" s="141" t="n">
        <x:f>IF(A168=Premissas!$B$27,MIN(D168,H168),0)</x:f>
        <x:v>0</x:v>
      </x:c>
      <x:c r="J168" s="141" t="n">
        <x:f>IF(A168=Premissas!$B$27,D168-H168,0)</x:f>
        <x:v>0</x:v>
      </x:c>
      <x:c r="K168" s="141" t="n">
        <x:f>E168+G168</x:f>
        <x:v>1216.7627462737416</x:v>
      </x:c>
      <x:c r="L168" s="141" t="n">
        <x:f>SUM($K$6:K168)</x:f>
        <x:v>254328.1147333956</x:v>
      </x:c>
      <x:c r="M168" s="141" t="str">
        <x:f>IF(A168&lt;Premissas!$B$27,"Financiamento + consorcio",IF(A168=Premissas!$B$27,"Quitacao via carta",IF(A168&lt;=Premissas!$B$25,"Somente consorcio","Encerrado")))</x:f>
        <x:v>Somente consorcio</x:v>
      </x:c>
      <x:c r="N168" s="141" t="n">
        <x:f>IF(A168&gt;=Premissas!$B$25,0,(N169+E169)/(1+Premissas!$B$41))</x:f>
        <x:v>78867.80605746266</x:v>
      </x:c>
      <x:c r="O168" s="141" t="n">
        <x:f>IF(A168&lt;Premissas!$B$27,Premissas!$B$31/(1+Premissas!$B$41)^(Premissas!$B$27-A168),0)</x:f>
        <x:v>0</x:v>
      </x:c>
      <x:c r="P168" s="141" t="n">
        <x:f>MAX(0,H168-I168)+N168</x:f>
        <x:v>78867.80605746266</x:v>
      </x:c>
    </x:row>
    <x:row r="169">
      <x:c r="A169" s="142" t="n">
        <x:v>164</x:v>
      </x:c>
      <x:c r="B169" s="179" t="n">
        <x:f>EDATE(Premissas!$B$4,163)</x:f>
        <x:v>51502</x:v>
      </x:c>
      <x:c r="C169" s="180" t="n">
        <x:f>(1+Premissas!$B$26)^INT((A169-1)/12)</x:f>
        <x:v>2.1329282601456847</x:v>
      </x:c>
      <x:c r="D169" s="141" t="n">
        <x:f>Premissas!$B$30*C169</x:f>
        <x:v>231699.9715203697</x:v>
      </x:c>
      <x:c r="E169" s="141" t="n">
        <x:f>IF(A169&lt;=Premissas!$B$25,Premissas!$B$32*C169,0)</x:f>
        <x:v>1216.7627462737416</x:v>
      </x:c>
      <x:c r="F169" s="141" t="n">
        <x:f>IF(AND(A169&gt;=Premissas!$B$48,A169&lt;=Premissas!$B$27,A169-Premissas!$B$48+1&lt;=Premissas!$B$13),INDEX(Financiamento!$C$6:$C$485,A169-Premissas!$B$48+1),0)</x:f>
        <x:v>0</x:v>
      </x:c>
      <x:c r="G169" s="141" t="n">
        <x:f>IF(AND(A169&gt;=Premissas!$B$48,A169&lt;=Premissas!$B$27,A169-Premissas!$B$48+1&lt;=Premissas!$B$13),INDEX(Financiamento!$J$6:$J$485,A169-Premissas!$B$48+1),0)</x:f>
        <x:v>0</x:v>
      </x:c>
      <x:c r="H169" s="141" t="n">
        <x:f>IF(AND(A169&gt;=Premissas!$B$48,A169&lt;=Premissas!$B$27,A169-Premissas!$B$48+1&lt;=Premissas!$B$13),INDEX(Financiamento!$M$6:$M$485,A169-Premissas!$B$48+1),0)</x:f>
        <x:v>0</x:v>
      </x:c>
      <x:c r="I169" s="141" t="n">
        <x:f>IF(A169=Premissas!$B$27,MIN(D169,H169),0)</x:f>
        <x:v>0</x:v>
      </x:c>
      <x:c r="J169" s="141" t="n">
        <x:f>IF(A169=Premissas!$B$27,D169-H169,0)</x:f>
        <x:v>0</x:v>
      </x:c>
      <x:c r="K169" s="141" t="n">
        <x:f>E169+G169</x:f>
        <x:v>1216.7627462737416</x:v>
      </x:c>
      <x:c r="L169" s="141" t="n">
        <x:f>SUM($K$6:K169)</x:f>
        <x:v>255544.87747966935</x:v>
      </x:c>
      <x:c r="M169" s="141" t="str">
        <x:f>IF(A169&lt;Premissas!$B$27,"Financiamento + consorcio",IF(A169=Premissas!$B$27,"Quitacao via carta",IF(A169&lt;=Premissas!$B$25,"Somente consorcio","Encerrado")))</x:f>
        <x:v>Somente consorcio</x:v>
      </x:c>
      <x:c r="N169" s="141" t="n">
        <x:f>IF(A169&gt;=Premissas!$B$25,0,(N170+E170)/(1+Premissas!$B$41))</x:f>
        <x:v>78399.40359207304</x:v>
      </x:c>
      <x:c r="O169" s="141" t="n">
        <x:f>IF(A169&lt;Premissas!$B$27,Premissas!$B$31/(1+Premissas!$B$41)^(Premissas!$B$27-A169),0)</x:f>
        <x:v>0</x:v>
      </x:c>
      <x:c r="P169" s="141" t="n">
        <x:f>MAX(0,H169-I169)+N169</x:f>
        <x:v>78399.40359207304</x:v>
      </x:c>
    </x:row>
    <x:row r="170">
      <x:c r="A170" s="142" t="n">
        <x:v>165</x:v>
      </x:c>
      <x:c r="B170" s="179" t="n">
        <x:f>EDATE(Premissas!$B$4,164)</x:f>
        <x:v>51533</x:v>
      </x:c>
      <x:c r="C170" s="180" t="n">
        <x:f>(1+Premissas!$B$26)^INT((A170-1)/12)</x:f>
        <x:v>2.1329282601456847</x:v>
      </x:c>
      <x:c r="D170" s="141" t="n">
        <x:f>Premissas!$B$30*C170</x:f>
        <x:v>231699.9715203697</x:v>
      </x:c>
      <x:c r="E170" s="141" t="n">
        <x:f>IF(A170&lt;=Premissas!$B$25,Premissas!$B$32*C170,0)</x:f>
        <x:v>1216.7627462737416</x:v>
      </x:c>
      <x:c r="F170" s="141" t="n">
        <x:f>IF(AND(A170&gt;=Premissas!$B$48,A170&lt;=Premissas!$B$27,A170-Premissas!$B$48+1&lt;=Premissas!$B$13),INDEX(Financiamento!$C$6:$C$485,A170-Premissas!$B$48+1),0)</x:f>
        <x:v>0</x:v>
      </x:c>
      <x:c r="G170" s="141" t="n">
        <x:f>IF(AND(A170&gt;=Premissas!$B$48,A170&lt;=Premissas!$B$27,A170-Premissas!$B$48+1&lt;=Premissas!$B$13),INDEX(Financiamento!$J$6:$J$485,A170-Premissas!$B$48+1),0)</x:f>
        <x:v>0</x:v>
      </x:c>
      <x:c r="H170" s="141" t="n">
        <x:f>IF(AND(A170&gt;=Premissas!$B$48,A170&lt;=Premissas!$B$27,A170-Premissas!$B$48+1&lt;=Premissas!$B$13),INDEX(Financiamento!$M$6:$M$485,A170-Premissas!$B$48+1),0)</x:f>
        <x:v>0</x:v>
      </x:c>
      <x:c r="I170" s="141" t="n">
        <x:f>IF(A170=Premissas!$B$27,MIN(D170,H170),0)</x:f>
        <x:v>0</x:v>
      </x:c>
      <x:c r="J170" s="141" t="n">
        <x:f>IF(A170=Premissas!$B$27,D170-H170,0)</x:f>
        <x:v>0</x:v>
      </x:c>
      <x:c r="K170" s="141" t="n">
        <x:f>E170+G170</x:f>
        <x:v>1216.7627462737416</x:v>
      </x:c>
      <x:c r="L170" s="141" t="n">
        <x:f>SUM($K$6:K170)</x:f>
        <x:v>256761.6402259431</x:v>
      </x:c>
      <x:c r="M170" s="141" t="str">
        <x:f>IF(A170&lt;Premissas!$B$27,"Financiamento + consorcio",IF(A170=Premissas!$B$27,"Quitacao via carta",IF(A170&lt;=Premissas!$B$25,"Somente consorcio","Encerrado")))</x:f>
        <x:v>Somente consorcio</x:v>
      </x:c>
      <x:c r="N170" s="141" t="n">
        <x:f>IF(A170&gt;=Premissas!$B$25,0,(N171+E171)/(1+Premissas!$B$41))</x:f>
        <x:v>77926.55655267928</x:v>
      </x:c>
      <x:c r="O170" s="141" t="n">
        <x:f>IF(A170&lt;Premissas!$B$27,Premissas!$B$31/(1+Premissas!$B$41)^(Premissas!$B$27-A170),0)</x:f>
        <x:v>0</x:v>
      </x:c>
      <x:c r="P170" s="141" t="n">
        <x:f>MAX(0,H170-I170)+N170</x:f>
        <x:v>77926.55655267928</x:v>
      </x:c>
    </x:row>
    <x:row r="171">
      <x:c r="A171" s="142" t="n">
        <x:v>166</x:v>
      </x:c>
      <x:c r="B171" s="179" t="n">
        <x:f>EDATE(Premissas!$B$4,165)</x:f>
        <x:v>51561</x:v>
      </x:c>
      <x:c r="C171" s="180" t="n">
        <x:f>(1+Premissas!$B$26)^INT((A171-1)/12)</x:f>
        <x:v>2.1329282601456847</x:v>
      </x:c>
      <x:c r="D171" s="141" t="n">
        <x:f>Premissas!$B$30*C171</x:f>
        <x:v>231699.9715203697</x:v>
      </x:c>
      <x:c r="E171" s="141" t="n">
        <x:f>IF(A171&lt;=Premissas!$B$25,Premissas!$B$32*C171,0)</x:f>
        <x:v>1216.7627462737416</x:v>
      </x:c>
      <x:c r="F171" s="141" t="n">
        <x:f>IF(AND(A171&gt;=Premissas!$B$48,A171&lt;=Premissas!$B$27,A171-Premissas!$B$48+1&lt;=Premissas!$B$13),INDEX(Financiamento!$C$6:$C$485,A171-Premissas!$B$48+1),0)</x:f>
        <x:v>0</x:v>
      </x:c>
      <x:c r="G171" s="141" t="n">
        <x:f>IF(AND(A171&gt;=Premissas!$B$48,A171&lt;=Premissas!$B$27,A171-Premissas!$B$48+1&lt;=Premissas!$B$13),INDEX(Financiamento!$J$6:$J$485,A171-Premissas!$B$48+1),0)</x:f>
        <x:v>0</x:v>
      </x:c>
      <x:c r="H171" s="141" t="n">
        <x:f>IF(AND(A171&gt;=Premissas!$B$48,A171&lt;=Premissas!$B$27,A171-Premissas!$B$48+1&lt;=Premissas!$B$13),INDEX(Financiamento!$M$6:$M$485,A171-Premissas!$B$48+1),0)</x:f>
        <x:v>0</x:v>
      </x:c>
      <x:c r="I171" s="141" t="n">
        <x:f>IF(A171=Premissas!$B$27,MIN(D171,H171),0)</x:f>
        <x:v>0</x:v>
      </x:c>
      <x:c r="J171" s="141" t="n">
        <x:f>IF(A171=Premissas!$B$27,D171-H171,0)</x:f>
        <x:v>0</x:v>
      </x:c>
      <x:c r="K171" s="141" t="n">
        <x:f>E171+G171</x:f>
        <x:v>1216.7627462737416</x:v>
      </x:c>
      <x:c r="L171" s="141" t="n">
        <x:f>SUM($K$6:K171)</x:f>
        <x:v>257978.40297221683</x:v>
      </x:c>
      <x:c r="M171" s="141" t="str">
        <x:f>IF(A171&lt;Premissas!$B$27,"Financiamento + consorcio",IF(A171=Premissas!$B$27,"Quitacao via carta",IF(A171&lt;=Premissas!$B$25,"Somente consorcio","Encerrado")))</x:f>
        <x:v>Somente consorcio</x:v>
      </x:c>
      <x:c r="N171" s="141" t="n">
        <x:f>IF(A171&gt;=Premissas!$B$25,0,(N172+E172)/(1+Premissas!$B$41))</x:f>
        <x:v>77449.22276563899</x:v>
      </x:c>
      <x:c r="O171" s="141" t="n">
        <x:f>IF(A171&lt;Premissas!$B$27,Premissas!$B$31/(1+Premissas!$B$41)^(Premissas!$B$27-A171),0)</x:f>
        <x:v>0</x:v>
      </x:c>
      <x:c r="P171" s="141" t="n">
        <x:f>MAX(0,H171-I171)+N171</x:f>
        <x:v>77449.22276563899</x:v>
      </x:c>
    </x:row>
    <x:row r="172">
      <x:c r="A172" s="142" t="n">
        <x:v>167</x:v>
      </x:c>
      <x:c r="B172" s="179" t="n">
        <x:f>EDATE(Premissas!$B$4,166)</x:f>
        <x:v>51592</x:v>
      </x:c>
      <x:c r="C172" s="180" t="n">
        <x:f>(1+Premissas!$B$26)^INT((A172-1)/12)</x:f>
        <x:v>2.1329282601456847</x:v>
      </x:c>
      <x:c r="D172" s="141" t="n">
        <x:f>Premissas!$B$30*C172</x:f>
        <x:v>231699.9715203697</x:v>
      </x:c>
      <x:c r="E172" s="141" t="n">
        <x:f>IF(A172&lt;=Premissas!$B$25,Premissas!$B$32*C172,0)</x:f>
        <x:v>1216.7627462737416</x:v>
      </x:c>
      <x:c r="F172" s="141" t="n">
        <x:f>IF(AND(A172&gt;=Premissas!$B$48,A172&lt;=Premissas!$B$27,A172-Premissas!$B$48+1&lt;=Premissas!$B$13),INDEX(Financiamento!$C$6:$C$485,A172-Premissas!$B$48+1),0)</x:f>
        <x:v>0</x:v>
      </x:c>
      <x:c r="G172" s="141" t="n">
        <x:f>IF(AND(A172&gt;=Premissas!$B$48,A172&lt;=Premissas!$B$27,A172-Premissas!$B$48+1&lt;=Premissas!$B$13),INDEX(Financiamento!$J$6:$J$485,A172-Premissas!$B$48+1),0)</x:f>
        <x:v>0</x:v>
      </x:c>
      <x:c r="H172" s="141" t="n">
        <x:f>IF(AND(A172&gt;=Premissas!$B$48,A172&lt;=Premissas!$B$27,A172-Premissas!$B$48+1&lt;=Premissas!$B$13),INDEX(Financiamento!$M$6:$M$485,A172-Premissas!$B$48+1),0)</x:f>
        <x:v>0</x:v>
      </x:c>
      <x:c r="I172" s="141" t="n">
        <x:f>IF(A172=Premissas!$B$27,MIN(D172,H172),0)</x:f>
        <x:v>0</x:v>
      </x:c>
      <x:c r="J172" s="141" t="n">
        <x:f>IF(A172=Premissas!$B$27,D172-H172,0)</x:f>
        <x:v>0</x:v>
      </x:c>
      <x:c r="K172" s="141" t="n">
        <x:f>E172+G172</x:f>
        <x:v>1216.7627462737416</x:v>
      </x:c>
      <x:c r="L172" s="141" t="n">
        <x:f>SUM($K$6:K172)</x:f>
        <x:v>259195.16571849058</x:v>
      </x:c>
      <x:c r="M172" s="141" t="str">
        <x:f>IF(A172&lt;Premissas!$B$27,"Financiamento + consorcio",IF(A172=Premissas!$B$27,"Quitacao via carta",IF(A172&lt;=Premissas!$B$25,"Somente consorcio","Encerrado")))</x:f>
        <x:v>Somente consorcio</x:v>
      </x:c>
      <x:c r="N172" s="141" t="n">
        <x:f>IF(A172&gt;=Premissas!$B$25,0,(N173+E173)/(1+Premissas!$B$41))</x:f>
        <x:v>76967.3596571328</x:v>
      </x:c>
      <x:c r="O172" s="141" t="n">
        <x:f>IF(A172&lt;Premissas!$B$27,Premissas!$B$31/(1+Premissas!$B$41)^(Premissas!$B$27-A172),0)</x:f>
        <x:v>0</x:v>
      </x:c>
      <x:c r="P172" s="141" t="n">
        <x:f>MAX(0,H172-I172)+N172</x:f>
        <x:v>76967.3596571328</x:v>
      </x:c>
    </x:row>
    <x:row r="173">
      <x:c r="A173" s="142" t="n">
        <x:v>168</x:v>
      </x:c>
      <x:c r="B173" s="179" t="n">
        <x:f>EDATE(Premissas!$B$4,167)</x:f>
        <x:v>51622</x:v>
      </x:c>
      <x:c r="C173" s="180" t="n">
        <x:f>(1+Premissas!$B$26)^INT((A173-1)/12)</x:f>
        <x:v>2.1329282601456847</x:v>
      </x:c>
      <x:c r="D173" s="141" t="n">
        <x:f>Premissas!$B$30*C173</x:f>
        <x:v>231699.9715203697</x:v>
      </x:c>
      <x:c r="E173" s="141" t="n">
        <x:f>IF(A173&lt;=Premissas!$B$25,Premissas!$B$32*C173,0)</x:f>
        <x:v>1216.7627462737416</x:v>
      </x:c>
      <x:c r="F173" s="141" t="n">
        <x:f>IF(AND(A173&gt;=Premissas!$B$48,A173&lt;=Premissas!$B$27,A173-Premissas!$B$48+1&lt;=Premissas!$B$13),INDEX(Financiamento!$C$6:$C$485,A173-Premissas!$B$48+1),0)</x:f>
        <x:v>0</x:v>
      </x:c>
      <x:c r="G173" s="141" t="n">
        <x:f>IF(AND(A173&gt;=Premissas!$B$48,A173&lt;=Premissas!$B$27,A173-Premissas!$B$48+1&lt;=Premissas!$B$13),INDEX(Financiamento!$J$6:$J$485,A173-Premissas!$B$48+1),0)</x:f>
        <x:v>0</x:v>
      </x:c>
      <x:c r="H173" s="141" t="n">
        <x:f>IF(AND(A173&gt;=Premissas!$B$48,A173&lt;=Premissas!$B$27,A173-Premissas!$B$48+1&lt;=Premissas!$B$13),INDEX(Financiamento!$M$6:$M$485,A173-Premissas!$B$48+1),0)</x:f>
        <x:v>0</x:v>
      </x:c>
      <x:c r="I173" s="141" t="n">
        <x:f>IF(A173=Premissas!$B$27,MIN(D173,H173),0)</x:f>
        <x:v>0</x:v>
      </x:c>
      <x:c r="J173" s="141" t="n">
        <x:f>IF(A173=Premissas!$B$27,D173-H173,0)</x:f>
        <x:v>0</x:v>
      </x:c>
      <x:c r="K173" s="141" t="n">
        <x:f>E173+G173</x:f>
        <x:v>1216.7627462737416</x:v>
      </x:c>
      <x:c r="L173" s="141" t="n">
        <x:f>SUM($K$6:K173)</x:f>
        <x:v>260411.92846476432</x:v>
      </x:c>
      <x:c r="M173" s="141" t="str">
        <x:f>IF(A173&lt;Premissas!$B$27,"Financiamento + consorcio",IF(A173=Premissas!$B$27,"Quitacao via carta",IF(A173&lt;=Premissas!$B$25,"Somente consorcio","Encerrado")))</x:f>
        <x:v>Somente consorcio</x:v>
      </x:c>
      <x:c r="N173" s="141" t="n">
        <x:f>IF(A173&gt;=Premissas!$B$25,0,(N174+E174)/(1+Premissas!$B$41))</x:f>
        <x:v>76480.92424936716</x:v>
      </x:c>
      <x:c r="O173" s="141" t="n">
        <x:f>IF(A173&lt;Premissas!$B$27,Premissas!$B$31/(1+Premissas!$B$41)^(Premissas!$B$27-A173),0)</x:f>
        <x:v>0</x:v>
      </x:c>
      <x:c r="P173" s="141" t="n">
        <x:f>MAX(0,H173-I173)+N173</x:f>
        <x:v>76480.92424936716</x:v>
      </x:c>
    </x:row>
    <x:row r="174">
      <x:c r="A174" s="142" t="n">
        <x:v>169</x:v>
      </x:c>
      <x:c r="B174" s="179" t="n">
        <x:f>EDATE(Premissas!$B$4,168)</x:f>
        <x:v>51653</x:v>
      </x:c>
      <x:c r="C174" s="180" t="n">
        <x:f>(1+Premissas!$B$26)^INT((A174-1)/12)</x:f>
        <x:v>2.260903955754426</x:v>
      </x:c>
      <x:c r="D174" s="141" t="n">
        <x:f>Premissas!$B$30*C174</x:f>
        <x:v>245601.96981159193</x:v>
      </x:c>
      <x:c r="E174" s="141" t="n">
        <x:f>IF(A174&lt;=Premissas!$B$25,Premissas!$B$32*C174,0)</x:f>
        <x:v>1289.7685110501664</x:v>
      </x:c>
      <x:c r="F174" s="141" t="n">
        <x:f>IF(AND(A174&gt;=Premissas!$B$48,A174&lt;=Premissas!$B$27,A174-Premissas!$B$48+1&lt;=Premissas!$B$13),INDEX(Financiamento!$C$6:$C$485,A174-Premissas!$B$48+1),0)</x:f>
        <x:v>0</x:v>
      </x:c>
      <x:c r="G174" s="141" t="n">
        <x:f>IF(AND(A174&gt;=Premissas!$B$48,A174&lt;=Premissas!$B$27,A174-Premissas!$B$48+1&lt;=Premissas!$B$13),INDEX(Financiamento!$J$6:$J$485,A174-Premissas!$B$48+1),0)</x:f>
        <x:v>0</x:v>
      </x:c>
      <x:c r="H174" s="141" t="n">
        <x:f>IF(AND(A174&gt;=Premissas!$B$48,A174&lt;=Premissas!$B$27,A174-Premissas!$B$48+1&lt;=Premissas!$B$13),INDEX(Financiamento!$M$6:$M$485,A174-Premissas!$B$48+1),0)</x:f>
        <x:v>0</x:v>
      </x:c>
      <x:c r="I174" s="141" t="n">
        <x:f>IF(A174=Premissas!$B$27,MIN(D174,H174),0)</x:f>
        <x:v>0</x:v>
      </x:c>
      <x:c r="J174" s="141" t="n">
        <x:f>IF(A174=Premissas!$B$27,D174-H174,0)</x:f>
        <x:v>0</x:v>
      </x:c>
      <x:c r="K174" s="141" t="n">
        <x:f>E174+G174</x:f>
        <x:v>1289.7685110501664</x:v>
      </x:c>
      <x:c r="L174" s="141" t="n">
        <x:f>SUM($K$6:K174)</x:f>
        <x:v>261701.6969758145</x:v>
      </x:c>
      <x:c r="M174" s="141" t="str">
        <x:f>IF(A174&lt;Premissas!$B$27,"Financiamento + consorcio",IF(A174=Premissas!$B$27,"Quitacao via carta",IF(A174&lt;=Premissas!$B$25,"Somente consorcio","Encerrado")))</x:f>
        <x:v>Somente consorcio</x:v>
      </x:c>
      <x:c r="N174" s="141" t="n">
        <x:f>IF(A174&gt;=Premissas!$B$25,0,(N175+E175)/(1+Premissas!$B$41))</x:f>
        <x:v>75916.86739196477</x:v>
      </x:c>
      <x:c r="O174" s="141" t="n">
        <x:f>IF(A174&lt;Premissas!$B$27,Premissas!$B$31/(1+Premissas!$B$41)^(Premissas!$B$27-A174),0)</x:f>
        <x:v>0</x:v>
      </x:c>
      <x:c r="P174" s="141" t="n">
        <x:f>MAX(0,H174-I174)+N174</x:f>
        <x:v>75916.86739196477</x:v>
      </x:c>
    </x:row>
    <x:row r="175">
      <x:c r="A175" s="142" t="n">
        <x:v>170</x:v>
      </x:c>
      <x:c r="B175" s="179" t="n">
        <x:f>EDATE(Premissas!$B$4,169)</x:f>
        <x:v>51683</x:v>
      </x:c>
      <x:c r="C175" s="180" t="n">
        <x:f>(1+Premissas!$B$26)^INT((A175-1)/12)</x:f>
        <x:v>2.260903955754426</x:v>
      </x:c>
      <x:c r="D175" s="141" t="n">
        <x:f>Premissas!$B$30*C175</x:f>
        <x:v>245601.96981159193</x:v>
      </x:c>
      <x:c r="E175" s="141" t="n">
        <x:f>IF(A175&lt;=Premissas!$B$25,Premissas!$B$32*C175,0)</x:f>
        <x:v>1289.7685110501664</x:v>
      </x:c>
      <x:c r="F175" s="141" t="n">
        <x:f>IF(AND(A175&gt;=Premissas!$B$48,A175&lt;=Premissas!$B$27,A175-Premissas!$B$48+1&lt;=Premissas!$B$13),INDEX(Financiamento!$C$6:$C$485,A175-Premissas!$B$48+1),0)</x:f>
        <x:v>0</x:v>
      </x:c>
      <x:c r="G175" s="141" t="n">
        <x:f>IF(AND(A175&gt;=Premissas!$B$48,A175&lt;=Premissas!$B$27,A175-Premissas!$B$48+1&lt;=Premissas!$B$13),INDEX(Financiamento!$J$6:$J$485,A175-Premissas!$B$48+1),0)</x:f>
        <x:v>0</x:v>
      </x:c>
      <x:c r="H175" s="141" t="n">
        <x:f>IF(AND(A175&gt;=Premissas!$B$48,A175&lt;=Premissas!$B$27,A175-Premissas!$B$48+1&lt;=Premissas!$B$13),INDEX(Financiamento!$M$6:$M$485,A175-Premissas!$B$48+1),0)</x:f>
        <x:v>0</x:v>
      </x:c>
      <x:c r="I175" s="141" t="n">
        <x:f>IF(A175=Premissas!$B$27,MIN(D175,H175),0)</x:f>
        <x:v>0</x:v>
      </x:c>
      <x:c r="J175" s="141" t="n">
        <x:f>IF(A175=Premissas!$B$27,D175-H175,0)</x:f>
        <x:v>0</x:v>
      </x:c>
      <x:c r="K175" s="141" t="n">
        <x:f>E175+G175</x:f>
        <x:v>1289.7685110501664</x:v>
      </x:c>
      <x:c r="L175" s="141" t="n">
        <x:f>SUM($K$6:K175)</x:f>
        <x:v>262991.4654868647</x:v>
      </x:c>
      <x:c r="M175" s="141" t="str">
        <x:f>IF(A175&lt;Premissas!$B$27,"Financiamento + consorcio",IF(A175=Premissas!$B$27,"Quitacao via carta",IF(A175&lt;=Premissas!$B$25,"Somente consorcio","Encerrado")))</x:f>
        <x:v>Somente consorcio</x:v>
      </x:c>
      <x:c r="N175" s="141" t="n">
        <x:f>IF(A175&gt;=Premissas!$B$25,0,(N176+E176)/(1+Premissas!$B$41))</x:f>
        <x:v>75347.45831583916</x:v>
      </x:c>
      <x:c r="O175" s="141" t="n">
        <x:f>IF(A175&lt;Premissas!$B$27,Premissas!$B$31/(1+Premissas!$B$41)^(Premissas!$B$27-A175),0)</x:f>
        <x:v>0</x:v>
      </x:c>
      <x:c r="P175" s="141" t="n">
        <x:f>MAX(0,H175-I175)+N175</x:f>
        <x:v>75347.45831583916</x:v>
      </x:c>
    </x:row>
    <x:row r="176">
      <x:c r="A176" s="142" t="n">
        <x:v>171</x:v>
      </x:c>
      <x:c r="B176" s="179" t="n">
        <x:f>EDATE(Premissas!$B$4,170)</x:f>
        <x:v>51714</x:v>
      </x:c>
      <x:c r="C176" s="180" t="n">
        <x:f>(1+Premissas!$B$26)^INT((A176-1)/12)</x:f>
        <x:v>2.260903955754426</x:v>
      </x:c>
      <x:c r="D176" s="141" t="n">
        <x:f>Premissas!$B$30*C176</x:f>
        <x:v>245601.96981159193</x:v>
      </x:c>
      <x:c r="E176" s="141" t="n">
        <x:f>IF(A176&lt;=Premissas!$B$25,Premissas!$B$32*C176,0)</x:f>
        <x:v>1289.7685110501664</x:v>
      </x:c>
      <x:c r="F176" s="141" t="n">
        <x:f>IF(AND(A176&gt;=Premissas!$B$48,A176&lt;=Premissas!$B$27,A176-Premissas!$B$48+1&lt;=Premissas!$B$13),INDEX(Financiamento!$C$6:$C$485,A176-Premissas!$B$48+1),0)</x:f>
        <x:v>0</x:v>
      </x:c>
      <x:c r="G176" s="141" t="n">
        <x:f>IF(AND(A176&gt;=Premissas!$B$48,A176&lt;=Premissas!$B$27,A176-Premissas!$B$48+1&lt;=Premissas!$B$13),INDEX(Financiamento!$J$6:$J$485,A176-Premissas!$B$48+1),0)</x:f>
        <x:v>0</x:v>
      </x:c>
      <x:c r="H176" s="141" t="n">
        <x:f>IF(AND(A176&gt;=Premissas!$B$48,A176&lt;=Premissas!$B$27,A176-Premissas!$B$48+1&lt;=Premissas!$B$13),INDEX(Financiamento!$M$6:$M$485,A176-Premissas!$B$48+1),0)</x:f>
        <x:v>0</x:v>
      </x:c>
      <x:c r="I176" s="141" t="n">
        <x:f>IF(A176=Premissas!$B$27,MIN(D176,H176),0)</x:f>
        <x:v>0</x:v>
      </x:c>
      <x:c r="J176" s="141" t="n">
        <x:f>IF(A176=Premissas!$B$27,D176-H176,0)</x:f>
        <x:v>0</x:v>
      </x:c>
      <x:c r="K176" s="141" t="n">
        <x:f>E176+G176</x:f>
        <x:v>1289.7685110501664</x:v>
      </x:c>
      <x:c r="L176" s="141" t="n">
        <x:f>SUM($K$6:K176)</x:f>
        <x:v>264281.2339979148</x:v>
      </x:c>
      <x:c r="M176" s="141" t="str">
        <x:f>IF(A176&lt;Premissas!$B$27,"Financiamento + consorcio",IF(A176=Premissas!$B$27,"Quitacao via carta",IF(A176&lt;=Premissas!$B$25,"Somente consorcio","Encerrado")))</x:f>
        <x:v>Somente consorcio</x:v>
      </x:c>
      <x:c r="N176" s="141" t="n">
        <x:f>IF(A176&gt;=Premissas!$B$25,0,(N177+E177)/(1+Premissas!$B$41))</x:f>
        <x:v>74772.64623489512</x:v>
      </x:c>
      <x:c r="O176" s="141" t="n">
        <x:f>IF(A176&lt;Premissas!$B$27,Premissas!$B$31/(1+Premissas!$B$41)^(Premissas!$B$27-A176),0)</x:f>
        <x:v>0</x:v>
      </x:c>
      <x:c r="P176" s="141" t="n">
        <x:f>MAX(0,H176-I176)+N176</x:f>
        <x:v>74772.64623489512</x:v>
      </x:c>
    </x:row>
    <x:row r="177">
      <x:c r="A177" s="142" t="n">
        <x:v>172</x:v>
      </x:c>
      <x:c r="B177" s="179" t="n">
        <x:f>EDATE(Premissas!$B$4,171)</x:f>
        <x:v>51745</x:v>
      </x:c>
      <x:c r="C177" s="180" t="n">
        <x:f>(1+Premissas!$B$26)^INT((A177-1)/12)</x:f>
        <x:v>2.260903955754426</x:v>
      </x:c>
      <x:c r="D177" s="141" t="n">
        <x:f>Premissas!$B$30*C177</x:f>
        <x:v>245601.96981159193</x:v>
      </x:c>
      <x:c r="E177" s="141" t="n">
        <x:f>IF(A177&lt;=Premissas!$B$25,Premissas!$B$32*C177,0)</x:f>
        <x:v>1289.7685110501664</x:v>
      </x:c>
      <x:c r="F177" s="141" t="n">
        <x:f>IF(AND(A177&gt;=Premissas!$B$48,A177&lt;=Premissas!$B$27,A177-Premissas!$B$48+1&lt;=Premissas!$B$13),INDEX(Financiamento!$C$6:$C$485,A177-Premissas!$B$48+1),0)</x:f>
        <x:v>0</x:v>
      </x:c>
      <x:c r="G177" s="141" t="n">
        <x:f>IF(AND(A177&gt;=Premissas!$B$48,A177&lt;=Premissas!$B$27,A177-Premissas!$B$48+1&lt;=Premissas!$B$13),INDEX(Financiamento!$J$6:$J$485,A177-Premissas!$B$48+1),0)</x:f>
        <x:v>0</x:v>
      </x:c>
      <x:c r="H177" s="141" t="n">
        <x:f>IF(AND(A177&gt;=Premissas!$B$48,A177&lt;=Premissas!$B$27,A177-Premissas!$B$48+1&lt;=Premissas!$B$13),INDEX(Financiamento!$M$6:$M$485,A177-Premissas!$B$48+1),0)</x:f>
        <x:v>0</x:v>
      </x:c>
      <x:c r="I177" s="141" t="n">
        <x:f>IF(A177=Premissas!$B$27,MIN(D177,H177),0)</x:f>
        <x:v>0</x:v>
      </x:c>
      <x:c r="J177" s="141" t="n">
        <x:f>IF(A177=Premissas!$B$27,D177-H177,0)</x:f>
        <x:v>0</x:v>
      </x:c>
      <x:c r="K177" s="141" t="n">
        <x:f>E177+G177</x:f>
        <x:v>1289.7685110501664</x:v>
      </x:c>
      <x:c r="L177" s="141" t="n">
        <x:f>SUM($K$6:K177)</x:f>
        <x:v>265571.002508965</x:v>
      </x:c>
      <x:c r="M177" s="141" t="str">
        <x:f>IF(A177&lt;Premissas!$B$27,"Financiamento + consorcio",IF(A177=Premissas!$B$27,"Quitacao via carta",IF(A177&lt;=Premissas!$B$25,"Somente consorcio","Encerrado")))</x:f>
        <x:v>Somente consorcio</x:v>
      </x:c>
      <x:c r="N177" s="141" t="n">
        <x:f>IF(A177&gt;=Premissas!$B$25,0,(N178+E178)/(1+Premissas!$B$41))</x:f>
        <x:v>74192.37988113871</x:v>
      </x:c>
      <x:c r="O177" s="141" t="n">
        <x:f>IF(A177&lt;Premissas!$B$27,Premissas!$B$31/(1+Premissas!$B$41)^(Premissas!$B$27-A177),0)</x:f>
        <x:v>0</x:v>
      </x:c>
      <x:c r="P177" s="141" t="n">
        <x:f>MAX(0,H177-I177)+N177</x:f>
        <x:v>74192.37988113871</x:v>
      </x:c>
    </x:row>
    <x:row r="178">
      <x:c r="A178" s="142" t="n">
        <x:v>173</x:v>
      </x:c>
      <x:c r="B178" s="179" t="n">
        <x:f>EDATE(Premissas!$B$4,172)</x:f>
        <x:v>51775</x:v>
      </x:c>
      <x:c r="C178" s="180" t="n">
        <x:f>(1+Premissas!$B$26)^INT((A178-1)/12)</x:f>
        <x:v>2.260903955754426</x:v>
      </x:c>
      <x:c r="D178" s="141" t="n">
        <x:f>Premissas!$B$30*C178</x:f>
        <x:v>245601.96981159193</x:v>
      </x:c>
      <x:c r="E178" s="141" t="n">
        <x:f>IF(A178&lt;=Premissas!$B$25,Premissas!$B$32*C178,0)</x:f>
        <x:v>1289.7685110501664</x:v>
      </x:c>
      <x:c r="F178" s="141" t="n">
        <x:f>IF(AND(A178&gt;=Premissas!$B$48,A178&lt;=Premissas!$B$27,A178-Premissas!$B$48+1&lt;=Premissas!$B$13),INDEX(Financiamento!$C$6:$C$485,A178-Premissas!$B$48+1),0)</x:f>
        <x:v>0</x:v>
      </x:c>
      <x:c r="G178" s="141" t="n">
        <x:f>IF(AND(A178&gt;=Premissas!$B$48,A178&lt;=Premissas!$B$27,A178-Premissas!$B$48+1&lt;=Premissas!$B$13),INDEX(Financiamento!$J$6:$J$485,A178-Premissas!$B$48+1),0)</x:f>
        <x:v>0</x:v>
      </x:c>
      <x:c r="H178" s="141" t="n">
        <x:f>IF(AND(A178&gt;=Premissas!$B$48,A178&lt;=Premissas!$B$27,A178-Premissas!$B$48+1&lt;=Premissas!$B$13),INDEX(Financiamento!$M$6:$M$485,A178-Premissas!$B$48+1),0)</x:f>
        <x:v>0</x:v>
      </x:c>
      <x:c r="I178" s="141" t="n">
        <x:f>IF(A178=Premissas!$B$27,MIN(D178,H178),0)</x:f>
        <x:v>0</x:v>
      </x:c>
      <x:c r="J178" s="141" t="n">
        <x:f>IF(A178=Premissas!$B$27,D178-H178,0)</x:f>
        <x:v>0</x:v>
      </x:c>
      <x:c r="K178" s="141" t="n">
        <x:f>E178+G178</x:f>
        <x:v>1289.7685110501664</x:v>
      </x:c>
      <x:c r="L178" s="141" t="n">
        <x:f>SUM($K$6:K178)</x:f>
        <x:v>266860.7710200151</x:v>
      </x:c>
      <x:c r="M178" s="141" t="str">
        <x:f>IF(A178&lt;Premissas!$B$27,"Financiamento + consorcio",IF(A178=Premissas!$B$27,"Quitacao via carta",IF(A178&lt;=Premissas!$B$25,"Somente consorcio","Encerrado")))</x:f>
        <x:v>Somente consorcio</x:v>
      </x:c>
      <x:c r="N178" s="141" t="n">
        <x:f>IF(A178&gt;=Premissas!$B$25,0,(N179+E179)/(1+Premissas!$B$41))</x:f>
        <x:v>73606.6075001046</x:v>
      </x:c>
      <x:c r="O178" s="141" t="n">
        <x:f>IF(A178&lt;Premissas!$B$27,Premissas!$B$31/(1+Premissas!$B$41)^(Premissas!$B$27-A178),0)</x:f>
        <x:v>0</x:v>
      </x:c>
      <x:c r="P178" s="141" t="n">
        <x:f>MAX(0,H178-I178)+N178</x:f>
        <x:v>73606.6075001046</x:v>
      </x:c>
    </x:row>
    <x:row r="179">
      <x:c r="A179" s="142" t="n">
        <x:v>174</x:v>
      </x:c>
      <x:c r="B179" s="179" t="n">
        <x:f>EDATE(Premissas!$B$4,173)</x:f>
        <x:v>51806</x:v>
      </x:c>
      <x:c r="C179" s="180" t="n">
        <x:f>(1+Premissas!$B$26)^INT((A179-1)/12)</x:f>
        <x:v>2.260903955754426</x:v>
      </x:c>
      <x:c r="D179" s="141" t="n">
        <x:f>Premissas!$B$30*C179</x:f>
        <x:v>245601.96981159193</x:v>
      </x:c>
      <x:c r="E179" s="141" t="n">
        <x:f>IF(A179&lt;=Premissas!$B$25,Premissas!$B$32*C179,0)</x:f>
        <x:v>1289.7685110501664</x:v>
      </x:c>
      <x:c r="F179" s="141" t="n">
        <x:f>IF(AND(A179&gt;=Premissas!$B$48,A179&lt;=Premissas!$B$27,A179-Premissas!$B$48+1&lt;=Premissas!$B$13),INDEX(Financiamento!$C$6:$C$485,A179-Premissas!$B$48+1),0)</x:f>
        <x:v>0</x:v>
      </x:c>
      <x:c r="G179" s="141" t="n">
        <x:f>IF(AND(A179&gt;=Premissas!$B$48,A179&lt;=Premissas!$B$27,A179-Premissas!$B$48+1&lt;=Premissas!$B$13),INDEX(Financiamento!$J$6:$J$485,A179-Premissas!$B$48+1),0)</x:f>
        <x:v>0</x:v>
      </x:c>
      <x:c r="H179" s="141" t="n">
        <x:f>IF(AND(A179&gt;=Premissas!$B$48,A179&lt;=Premissas!$B$27,A179-Premissas!$B$48+1&lt;=Premissas!$B$13),INDEX(Financiamento!$M$6:$M$485,A179-Premissas!$B$48+1),0)</x:f>
        <x:v>0</x:v>
      </x:c>
      <x:c r="I179" s="141" t="n">
        <x:f>IF(A179=Premissas!$B$27,MIN(D179,H179),0)</x:f>
        <x:v>0</x:v>
      </x:c>
      <x:c r="J179" s="141" t="n">
        <x:f>IF(A179=Premissas!$B$27,D179-H179,0)</x:f>
        <x:v>0</x:v>
      </x:c>
      <x:c r="K179" s="141" t="n">
        <x:f>E179+G179</x:f>
        <x:v>1289.7685110501664</x:v>
      </x:c>
      <x:c r="L179" s="141" t="n">
        <x:f>SUM($K$6:K179)</x:f>
        <x:v>268150.53953106527</x:v>
      </x:c>
      <x:c r="M179" s="141" t="str">
        <x:f>IF(A179&lt;Premissas!$B$27,"Financiamento + consorcio",IF(A179=Premissas!$B$27,"Quitacao via carta",IF(A179&lt;=Premissas!$B$25,"Somente consorcio","Encerrado")))</x:f>
        <x:v>Somente consorcio</x:v>
      </x:c>
      <x:c r="N179" s="141" t="n">
        <x:f>IF(A179&gt;=Premissas!$B$25,0,(N180+E180)/(1+Premissas!$B$41))</x:f>
        <x:v>73015.27684624006</x:v>
      </x:c>
      <x:c r="O179" s="141" t="n">
        <x:f>IF(A179&lt;Premissas!$B$27,Premissas!$B$31/(1+Premissas!$B$41)^(Premissas!$B$27-A179),0)</x:f>
        <x:v>0</x:v>
      </x:c>
      <x:c r="P179" s="141" t="n">
        <x:f>MAX(0,H179-I179)+N179</x:f>
        <x:v>73015.27684624006</x:v>
      </x:c>
    </x:row>
    <x:row r="180">
      <x:c r="A180" s="142" t="n">
        <x:v>175</x:v>
      </x:c>
      <x:c r="B180" s="179" t="n">
        <x:f>EDATE(Premissas!$B$4,174)</x:f>
        <x:v>51836</x:v>
      </x:c>
      <x:c r="C180" s="180" t="n">
        <x:f>(1+Premissas!$B$26)^INT((A180-1)/12)</x:f>
        <x:v>2.260903955754426</x:v>
      </x:c>
      <x:c r="D180" s="141" t="n">
        <x:f>Premissas!$B$30*C180</x:f>
        <x:v>245601.96981159193</x:v>
      </x:c>
      <x:c r="E180" s="141" t="n">
        <x:f>IF(A180&lt;=Premissas!$B$25,Premissas!$B$32*C180,0)</x:f>
        <x:v>1289.7685110501664</x:v>
      </x:c>
      <x:c r="F180" s="141" t="n">
        <x:f>IF(AND(A180&gt;=Premissas!$B$48,A180&lt;=Premissas!$B$27,A180-Premissas!$B$48+1&lt;=Premissas!$B$13),INDEX(Financiamento!$C$6:$C$485,A180-Premissas!$B$48+1),0)</x:f>
        <x:v>0</x:v>
      </x:c>
      <x:c r="G180" s="141" t="n">
        <x:f>IF(AND(A180&gt;=Premissas!$B$48,A180&lt;=Premissas!$B$27,A180-Premissas!$B$48+1&lt;=Premissas!$B$13),INDEX(Financiamento!$J$6:$J$485,A180-Premissas!$B$48+1),0)</x:f>
        <x:v>0</x:v>
      </x:c>
      <x:c r="H180" s="141" t="n">
        <x:f>IF(AND(A180&gt;=Premissas!$B$48,A180&lt;=Premissas!$B$27,A180-Premissas!$B$48+1&lt;=Premissas!$B$13),INDEX(Financiamento!$M$6:$M$485,A180-Premissas!$B$48+1),0)</x:f>
        <x:v>0</x:v>
      </x:c>
      <x:c r="I180" s="141" t="n">
        <x:f>IF(A180=Premissas!$B$27,MIN(D180,H180),0)</x:f>
        <x:v>0</x:v>
      </x:c>
      <x:c r="J180" s="141" t="n">
        <x:f>IF(A180=Premissas!$B$27,D180-H180,0)</x:f>
        <x:v>0</x:v>
      </x:c>
      <x:c r="K180" s="141" t="n">
        <x:f>E180+G180</x:f>
        <x:v>1289.7685110501664</x:v>
      </x:c>
      <x:c r="L180" s="141" t="n">
        <x:f>SUM($K$6:K180)</x:f>
        <x:v>269440.3080421154</x:v>
      </x:c>
      <x:c r="M180" s="141" t="str">
        <x:f>IF(A180&lt;Premissas!$B$27,"Financiamento + consorcio",IF(A180=Premissas!$B$27,"Quitacao via carta",IF(A180&lt;=Premissas!$B$25,"Somente consorcio","Encerrado")))</x:f>
        <x:v>Somente consorcio</x:v>
      </x:c>
      <x:c r="N180" s="141" t="n">
        <x:f>IF(A180&gt;=Premissas!$B$25,0,(N181+E181)/(1+Premissas!$B$41))</x:f>
        <x:v>72418.33517824512</x:v>
      </x:c>
      <x:c r="O180" s="141" t="n">
        <x:f>IF(A180&lt;Premissas!$B$27,Premissas!$B$31/(1+Premissas!$B$41)^(Premissas!$B$27-A180),0)</x:f>
        <x:v>0</x:v>
      </x:c>
      <x:c r="P180" s="141" t="n">
        <x:f>MAX(0,H180-I180)+N180</x:f>
        <x:v>72418.33517824512</x:v>
      </x:c>
    </x:row>
    <x:row r="181">
      <x:c r="A181" s="142" t="n">
        <x:v>176</x:v>
      </x:c>
      <x:c r="B181" s="179" t="n">
        <x:f>EDATE(Premissas!$B$4,175)</x:f>
        <x:v>51867</x:v>
      </x:c>
      <x:c r="C181" s="180" t="n">
        <x:f>(1+Premissas!$B$26)^INT((A181-1)/12)</x:f>
        <x:v>2.260903955754426</x:v>
      </x:c>
      <x:c r="D181" s="141" t="n">
        <x:f>Premissas!$B$30*C181</x:f>
        <x:v>245601.96981159193</x:v>
      </x:c>
      <x:c r="E181" s="141" t="n">
        <x:f>IF(A181&lt;=Premissas!$B$25,Premissas!$B$32*C181,0)</x:f>
        <x:v>1289.7685110501664</x:v>
      </x:c>
      <x:c r="F181" s="141" t="n">
        <x:f>IF(AND(A181&gt;=Premissas!$B$48,A181&lt;=Premissas!$B$27,A181-Premissas!$B$48+1&lt;=Premissas!$B$13),INDEX(Financiamento!$C$6:$C$485,A181-Premissas!$B$48+1),0)</x:f>
        <x:v>0</x:v>
      </x:c>
      <x:c r="G181" s="141" t="n">
        <x:f>IF(AND(A181&gt;=Premissas!$B$48,A181&lt;=Premissas!$B$27,A181-Premissas!$B$48+1&lt;=Premissas!$B$13),INDEX(Financiamento!$J$6:$J$485,A181-Premissas!$B$48+1),0)</x:f>
        <x:v>0</x:v>
      </x:c>
      <x:c r="H181" s="141" t="n">
        <x:f>IF(AND(A181&gt;=Premissas!$B$48,A181&lt;=Premissas!$B$27,A181-Premissas!$B$48+1&lt;=Premissas!$B$13),INDEX(Financiamento!$M$6:$M$485,A181-Premissas!$B$48+1),0)</x:f>
        <x:v>0</x:v>
      </x:c>
      <x:c r="I181" s="141" t="n">
        <x:f>IF(A181=Premissas!$B$27,MIN(D181,H181),0)</x:f>
        <x:v>0</x:v>
      </x:c>
      <x:c r="J181" s="141" t="n">
        <x:f>IF(A181=Premissas!$B$27,D181-H181,0)</x:f>
        <x:v>0</x:v>
      </x:c>
      <x:c r="K181" s="141" t="n">
        <x:f>E181+G181</x:f>
        <x:v>1289.7685110501664</x:v>
      </x:c>
      <x:c r="L181" s="141" t="n">
        <x:f>SUM($K$6:K181)</x:f>
        <x:v>270730.07655316556</x:v>
      </x:c>
      <x:c r="M181" s="141" t="str">
        <x:f>IF(A181&lt;Premissas!$B$27,"Financiamento + consorcio",IF(A181=Premissas!$B$27,"Quitacao via carta",IF(A181&lt;=Premissas!$B$25,"Somente consorcio","Encerrado")))</x:f>
        <x:v>Somente consorcio</x:v>
      </x:c>
      <x:c r="N181" s="141" t="n">
        <x:f>IF(A181&gt;=Premissas!$B$25,0,(N182+E182)/(1+Premissas!$B$41))</x:f>
        <x:v>71815.72925436856</x:v>
      </x:c>
      <x:c r="O181" s="141" t="n">
        <x:f>IF(A181&lt;Premissas!$B$27,Premissas!$B$31/(1+Premissas!$B$41)^(Premissas!$B$27-A181),0)</x:f>
        <x:v>0</x:v>
      </x:c>
      <x:c r="P181" s="141" t="n">
        <x:f>MAX(0,H181-I181)+N181</x:f>
        <x:v>71815.72925436856</x:v>
      </x:c>
    </x:row>
    <x:row r="182">
      <x:c r="A182" s="142" t="n">
        <x:v>177</x:v>
      </x:c>
      <x:c r="B182" s="179" t="n">
        <x:f>EDATE(Premissas!$B$4,176)</x:f>
        <x:v>51898</x:v>
      </x:c>
      <x:c r="C182" s="180" t="n">
        <x:f>(1+Premissas!$B$26)^INT((A182-1)/12)</x:f>
        <x:v>2.260903955754426</x:v>
      </x:c>
      <x:c r="D182" s="141" t="n">
        <x:f>Premissas!$B$30*C182</x:f>
        <x:v>245601.96981159193</x:v>
      </x:c>
      <x:c r="E182" s="141" t="n">
        <x:f>IF(A182&lt;=Premissas!$B$25,Premissas!$B$32*C182,0)</x:f>
        <x:v>1289.7685110501664</x:v>
      </x:c>
      <x:c r="F182" s="141" t="n">
        <x:f>IF(AND(A182&gt;=Premissas!$B$48,A182&lt;=Premissas!$B$27,A182-Premissas!$B$48+1&lt;=Premissas!$B$13),INDEX(Financiamento!$C$6:$C$485,A182-Premissas!$B$48+1),0)</x:f>
        <x:v>0</x:v>
      </x:c>
      <x:c r="G182" s="141" t="n">
        <x:f>IF(AND(A182&gt;=Premissas!$B$48,A182&lt;=Premissas!$B$27,A182-Premissas!$B$48+1&lt;=Premissas!$B$13),INDEX(Financiamento!$J$6:$J$485,A182-Premissas!$B$48+1),0)</x:f>
        <x:v>0</x:v>
      </x:c>
      <x:c r="H182" s="141" t="n">
        <x:f>IF(AND(A182&gt;=Premissas!$B$48,A182&lt;=Premissas!$B$27,A182-Premissas!$B$48+1&lt;=Premissas!$B$13),INDEX(Financiamento!$M$6:$M$485,A182-Premissas!$B$48+1),0)</x:f>
        <x:v>0</x:v>
      </x:c>
      <x:c r="I182" s="141" t="n">
        <x:f>IF(A182=Premissas!$B$27,MIN(D182,H182),0)</x:f>
        <x:v>0</x:v>
      </x:c>
      <x:c r="J182" s="141" t="n">
        <x:f>IF(A182=Premissas!$B$27,D182-H182,0)</x:f>
        <x:v>0</x:v>
      </x:c>
      <x:c r="K182" s="141" t="n">
        <x:f>E182+G182</x:f>
        <x:v>1289.7685110501664</x:v>
      </x:c>
      <x:c r="L182" s="141" t="n">
        <x:f>SUM($K$6:K182)</x:f>
        <x:v>272019.8450642157</x:v>
      </x:c>
      <x:c r="M182" s="141" t="str">
        <x:f>IF(A182&lt;Premissas!$B$27,"Financiamento + consorcio",IF(A182=Premissas!$B$27,"Quitacao via carta",IF(A182&lt;=Premissas!$B$25,"Somente consorcio","Encerrado")))</x:f>
        <x:v>Somente consorcio</x:v>
      </x:c>
      <x:c r="N182" s="141" t="n">
        <x:f>IF(A182&gt;=Premissas!$B$25,0,(N183+E183)/(1+Premissas!$B$41))</x:f>
        <x:v>71207.40532765919</x:v>
      </x:c>
      <x:c r="O182" s="141" t="n">
        <x:f>IF(A182&lt;Premissas!$B$27,Premissas!$B$31/(1+Premissas!$B$41)^(Premissas!$B$27-A182),0)</x:f>
        <x:v>0</x:v>
      </x:c>
      <x:c r="P182" s="141" t="n">
        <x:f>MAX(0,H182-I182)+N182</x:f>
        <x:v>71207.40532765919</x:v>
      </x:c>
    </x:row>
    <x:row r="183">
      <x:c r="A183" s="142" t="n">
        <x:v>178</x:v>
      </x:c>
      <x:c r="B183" s="179" t="n">
        <x:f>EDATE(Premissas!$B$4,177)</x:f>
        <x:v>51926</x:v>
      </x:c>
      <x:c r="C183" s="180" t="n">
        <x:f>(1+Premissas!$B$26)^INT((A183-1)/12)</x:f>
        <x:v>2.260903955754426</x:v>
      </x:c>
      <x:c r="D183" s="141" t="n">
        <x:f>Premissas!$B$30*C183</x:f>
        <x:v>245601.96981159193</x:v>
      </x:c>
      <x:c r="E183" s="141" t="n">
        <x:f>IF(A183&lt;=Premissas!$B$25,Premissas!$B$32*C183,0)</x:f>
        <x:v>1289.7685110501664</x:v>
      </x:c>
      <x:c r="F183" s="141" t="n">
        <x:f>IF(AND(A183&gt;=Premissas!$B$48,A183&lt;=Premissas!$B$27,A183-Premissas!$B$48+1&lt;=Premissas!$B$13),INDEX(Financiamento!$C$6:$C$485,A183-Premissas!$B$48+1),0)</x:f>
        <x:v>0</x:v>
      </x:c>
      <x:c r="G183" s="141" t="n">
        <x:f>IF(AND(A183&gt;=Premissas!$B$48,A183&lt;=Premissas!$B$27,A183-Premissas!$B$48+1&lt;=Premissas!$B$13),INDEX(Financiamento!$J$6:$J$485,A183-Premissas!$B$48+1),0)</x:f>
        <x:v>0</x:v>
      </x:c>
      <x:c r="H183" s="141" t="n">
        <x:f>IF(AND(A183&gt;=Premissas!$B$48,A183&lt;=Premissas!$B$27,A183-Premissas!$B$48+1&lt;=Premissas!$B$13),INDEX(Financiamento!$M$6:$M$485,A183-Premissas!$B$48+1),0)</x:f>
        <x:v>0</x:v>
      </x:c>
      <x:c r="I183" s="141" t="n">
        <x:f>IF(A183=Premissas!$B$27,MIN(D183,H183),0)</x:f>
        <x:v>0</x:v>
      </x:c>
      <x:c r="J183" s="141" t="n">
        <x:f>IF(A183=Premissas!$B$27,D183-H183,0)</x:f>
        <x:v>0</x:v>
      </x:c>
      <x:c r="K183" s="141" t="n">
        <x:f>E183+G183</x:f>
        <x:v>1289.7685110501664</x:v>
      </x:c>
      <x:c r="L183" s="141" t="n">
        <x:f>SUM($K$6:K183)</x:f>
        <x:v>273309.61357526586</x:v>
      </x:c>
      <x:c r="M183" s="141" t="str">
        <x:f>IF(A183&lt;Premissas!$B$27,"Financiamento + consorcio",IF(A183=Premissas!$B$27,"Quitacao via carta",IF(A183&lt;=Premissas!$B$25,"Somente consorcio","Encerrado")))</x:f>
        <x:v>Somente consorcio</x:v>
      </x:c>
      <x:c r="N183" s="141" t="n">
        <x:f>IF(A183&gt;=Premissas!$B$25,0,(N184+E184)/(1+Premissas!$B$41))</x:f>
        <x:v>70593.30914117211</x:v>
      </x:c>
      <x:c r="O183" s="141" t="n">
        <x:f>IF(A183&lt;Premissas!$B$27,Premissas!$B$31/(1+Premissas!$B$41)^(Premissas!$B$27-A183),0)</x:f>
        <x:v>0</x:v>
      </x:c>
      <x:c r="P183" s="141" t="n">
        <x:f>MAX(0,H183-I183)+N183</x:f>
        <x:v>70593.30914117211</x:v>
      </x:c>
    </x:row>
    <x:row r="184">
      <x:c r="A184" s="142" t="n">
        <x:v>179</x:v>
      </x:c>
      <x:c r="B184" s="179" t="n">
        <x:f>EDATE(Premissas!$B$4,178)</x:f>
        <x:v>51957</x:v>
      </x:c>
      <x:c r="C184" s="180" t="n">
        <x:f>(1+Premissas!$B$26)^INT((A184-1)/12)</x:f>
        <x:v>2.260903955754426</x:v>
      </x:c>
      <x:c r="D184" s="141" t="n">
        <x:f>Premissas!$B$30*C184</x:f>
        <x:v>245601.96981159193</x:v>
      </x:c>
      <x:c r="E184" s="141" t="n">
        <x:f>IF(A184&lt;=Premissas!$B$25,Premissas!$B$32*C184,0)</x:f>
        <x:v>1289.7685110501664</x:v>
      </x:c>
      <x:c r="F184" s="141" t="n">
        <x:f>IF(AND(A184&gt;=Premissas!$B$48,A184&lt;=Premissas!$B$27,A184-Premissas!$B$48+1&lt;=Premissas!$B$13),INDEX(Financiamento!$C$6:$C$485,A184-Premissas!$B$48+1),0)</x:f>
        <x:v>0</x:v>
      </x:c>
      <x:c r="G184" s="141" t="n">
        <x:f>IF(AND(A184&gt;=Premissas!$B$48,A184&lt;=Premissas!$B$27,A184-Premissas!$B$48+1&lt;=Premissas!$B$13),INDEX(Financiamento!$J$6:$J$485,A184-Premissas!$B$48+1),0)</x:f>
        <x:v>0</x:v>
      </x:c>
      <x:c r="H184" s="141" t="n">
        <x:f>IF(AND(A184&gt;=Premissas!$B$48,A184&lt;=Premissas!$B$27,A184-Premissas!$B$48+1&lt;=Premissas!$B$13),INDEX(Financiamento!$M$6:$M$485,A184-Premissas!$B$48+1),0)</x:f>
        <x:v>0</x:v>
      </x:c>
      <x:c r="I184" s="141" t="n">
        <x:f>IF(A184=Premissas!$B$27,MIN(D184,H184),0)</x:f>
        <x:v>0</x:v>
      </x:c>
      <x:c r="J184" s="141" t="n">
        <x:f>IF(A184=Premissas!$B$27,D184-H184,0)</x:f>
        <x:v>0</x:v>
      </x:c>
      <x:c r="K184" s="141" t="n">
        <x:f>E184+G184</x:f>
        <x:v>1289.7685110501664</x:v>
      </x:c>
      <x:c r="L184" s="141" t="n">
        <x:f>SUM($K$6:K184)</x:f>
        <x:v>274599.382086316</x:v>
      </x:c>
      <x:c r="M184" s="141" t="str">
        <x:f>IF(A184&lt;Premissas!$B$27,"Financiamento + consorcio",IF(A184=Premissas!$B$27,"Quitacao via carta",IF(A184&lt;=Premissas!$B$25,"Somente consorcio","Encerrado")))</x:f>
        <x:v>Somente consorcio</x:v>
      </x:c>
      <x:c r="N184" s="141" t="n">
        <x:f>IF(A184&gt;=Premissas!$B$25,0,(N185+E185)/(1+Premissas!$B$41))</x:f>
        <x:v>69973.38592312954</x:v>
      </x:c>
      <x:c r="O184" s="141" t="n">
        <x:f>IF(A184&lt;Premissas!$B$27,Premissas!$B$31/(1+Premissas!$B$41)^(Premissas!$B$27-A184),0)</x:f>
        <x:v>0</x:v>
      </x:c>
      <x:c r="P184" s="141" t="n">
        <x:f>MAX(0,H184-I184)+N184</x:f>
        <x:v>69973.38592312954</x:v>
      </x:c>
    </x:row>
    <x:row r="185">
      <x:c r="A185" s="142" t="n">
        <x:v>180</x:v>
      </x:c>
      <x:c r="B185" s="179" t="n">
        <x:f>EDATE(Premissas!$B$4,179)</x:f>
        <x:v>51987</x:v>
      </x:c>
      <x:c r="C185" s="180" t="n">
        <x:f>(1+Premissas!$B$26)^INT((A185-1)/12)</x:f>
        <x:v>2.260903955754426</x:v>
      </x:c>
      <x:c r="D185" s="141" t="n">
        <x:f>Premissas!$B$30*C185</x:f>
        <x:v>245601.96981159193</x:v>
      </x:c>
      <x:c r="E185" s="141" t="n">
        <x:f>IF(A185&lt;=Premissas!$B$25,Premissas!$B$32*C185,0)</x:f>
        <x:v>1289.7685110501664</x:v>
      </x:c>
      <x:c r="F185" s="141" t="n">
        <x:f>IF(AND(A185&gt;=Premissas!$B$48,A185&lt;=Premissas!$B$27,A185-Premissas!$B$48+1&lt;=Premissas!$B$13),INDEX(Financiamento!$C$6:$C$485,A185-Premissas!$B$48+1),0)</x:f>
        <x:v>0</x:v>
      </x:c>
      <x:c r="G185" s="141" t="n">
        <x:f>IF(AND(A185&gt;=Premissas!$B$48,A185&lt;=Premissas!$B$27,A185-Premissas!$B$48+1&lt;=Premissas!$B$13),INDEX(Financiamento!$J$6:$J$485,A185-Premissas!$B$48+1),0)</x:f>
        <x:v>0</x:v>
      </x:c>
      <x:c r="H185" s="141" t="n">
        <x:f>IF(AND(A185&gt;=Premissas!$B$48,A185&lt;=Premissas!$B$27,A185-Premissas!$B$48+1&lt;=Premissas!$B$13),INDEX(Financiamento!$M$6:$M$485,A185-Premissas!$B$48+1),0)</x:f>
        <x:v>0</x:v>
      </x:c>
      <x:c r="I185" s="141" t="n">
        <x:f>IF(A185=Premissas!$B$27,MIN(D185,H185),0)</x:f>
        <x:v>0</x:v>
      </x:c>
      <x:c r="J185" s="141" t="n">
        <x:f>IF(A185=Premissas!$B$27,D185-H185,0)</x:f>
        <x:v>0</x:v>
      </x:c>
      <x:c r="K185" s="141" t="n">
        <x:f>E185+G185</x:f>
        <x:v>1289.7685110501664</x:v>
      </x:c>
      <x:c r="L185" s="141" t="n">
        <x:f>SUM($K$6:K185)</x:f>
        <x:v>275889.15059736616</x:v>
      </x:c>
      <x:c r="M185" s="141" t="str">
        <x:f>IF(A185&lt;Premissas!$B$27,"Financiamento + consorcio",IF(A185=Premissas!$B$27,"Quitacao via carta",IF(A185&lt;=Premissas!$B$25,"Somente consorcio","Encerrado")))</x:f>
        <x:v>Somente consorcio</x:v>
      </x:c>
      <x:c r="N185" s="141" t="n">
        <x:f>IF(A185&gt;=Premissas!$B$25,0,(N186+E186)/(1+Premissas!$B$41))</x:f>
        <x:v>69347.58038203562</x:v>
      </x:c>
      <x:c r="O185" s="141" t="n">
        <x:f>IF(A185&lt;Premissas!$B$27,Premissas!$B$31/(1+Premissas!$B$41)^(Premissas!$B$27-A185),0)</x:f>
        <x:v>0</x:v>
      </x:c>
      <x:c r="P185" s="141" t="n">
        <x:f>MAX(0,H185-I185)+N185</x:f>
        <x:v>69347.58038203562</x:v>
      </x:c>
    </x:row>
    <x:row r="186">
      <x:c r="A186" s="142" t="n">
        <x:v>181</x:v>
      </x:c>
      <x:c r="B186" s="179" t="n">
        <x:f>EDATE(Premissas!$B$4,180)</x:f>
        <x:v>52018</x:v>
      </x:c>
      <x:c r="C186" s="180" t="n">
        <x:f>(1+Premissas!$B$26)^INT((A186-1)/12)</x:f>
        <x:v>2.3965581930996915</x:v>
      </x:c>
      <x:c r="D186" s="141" t="n">
        <x:f>Premissas!$B$30*C186</x:f>
        <x:v>260338.08800028742</x:v>
      </x:c>
      <x:c r="E186" s="141" t="n">
        <x:f>IF(A186&lt;=Premissas!$B$25,Premissas!$B$32*C186,0)</x:f>
        <x:v>1367.1546217131763</x:v>
      </x:c>
      <x:c r="F186" s="141" t="n">
        <x:f>IF(AND(A186&gt;=Premissas!$B$48,A186&lt;=Premissas!$B$27,A186-Premissas!$B$48+1&lt;=Premissas!$B$13),INDEX(Financiamento!$C$6:$C$485,A186-Premissas!$B$48+1),0)</x:f>
        <x:v>0</x:v>
      </x:c>
      <x:c r="G186" s="141" t="n">
        <x:f>IF(AND(A186&gt;=Premissas!$B$48,A186&lt;=Premissas!$B$27,A186-Premissas!$B$48+1&lt;=Premissas!$B$13),INDEX(Financiamento!$J$6:$J$485,A186-Premissas!$B$48+1),0)</x:f>
        <x:v>0</x:v>
      </x:c>
      <x:c r="H186" s="141" t="n">
        <x:f>IF(AND(A186&gt;=Premissas!$B$48,A186&lt;=Premissas!$B$27,A186-Premissas!$B$48+1&lt;=Premissas!$B$13),INDEX(Financiamento!$M$6:$M$485,A186-Premissas!$B$48+1),0)</x:f>
        <x:v>0</x:v>
      </x:c>
      <x:c r="I186" s="141" t="n">
        <x:f>IF(A186=Premissas!$B$27,MIN(D186,H186),0)</x:f>
        <x:v>0</x:v>
      </x:c>
      <x:c r="J186" s="141" t="n">
        <x:f>IF(A186=Premissas!$B$27,D186-H186,0)</x:f>
        <x:v>0</x:v>
      </x:c>
      <x:c r="K186" s="141" t="n">
        <x:f>E186+G186</x:f>
        <x:v>1367.1546217131763</x:v>
      </x:c>
      <x:c r="L186" s="141" t="n">
        <x:f>SUM($K$6:K186)</x:f>
        <x:v>277256.3052190793</x:v>
      </x:c>
      <x:c r="M186" s="141" t="str">
        <x:f>IF(A186&lt;Premissas!$B$27,"Financiamento + consorcio",IF(A186=Premissas!$B$27,"Quitacao via carta",IF(A186&lt;=Premissas!$B$25,"Somente consorcio","Encerrado")))</x:f>
        <x:v>Somente consorcio</x:v>
      </x:c>
      <x:c r="N186" s="141" t="n">
        <x:f>IF(A186&gt;=Premissas!$B$25,0,(N187+E187)/(1+Premissas!$B$41))</x:f>
        <x:v>68638.45059108194</x:v>
      </x:c>
      <x:c r="O186" s="141" t="n">
        <x:f>IF(A186&lt;Premissas!$B$27,Premissas!$B$31/(1+Premissas!$B$41)^(Premissas!$B$27-A186),0)</x:f>
        <x:v>0</x:v>
      </x:c>
      <x:c r="P186" s="141" t="n">
        <x:f>MAX(0,H186-I186)+N186</x:f>
        <x:v>68638.45059108194</x:v>
      </x:c>
    </x:row>
    <x:row r="187">
      <x:c r="A187" s="142" t="n">
        <x:v>182</x:v>
      </x:c>
      <x:c r="B187" s="179" t="n">
        <x:f>EDATE(Premissas!$B$4,181)</x:f>
        <x:v>52048</x:v>
      </x:c>
      <x:c r="C187" s="180" t="n">
        <x:f>(1+Premissas!$B$26)^INT((A187-1)/12)</x:f>
        <x:v>2.3965581930996915</x:v>
      </x:c>
      <x:c r="D187" s="141" t="n">
        <x:f>Premissas!$B$30*C187</x:f>
        <x:v>260338.08800028742</x:v>
      </x:c>
      <x:c r="E187" s="141" t="n">
        <x:f>IF(A187&lt;=Premissas!$B$25,Premissas!$B$32*C187,0)</x:f>
        <x:v>1367.1546217131763</x:v>
      </x:c>
      <x:c r="F187" s="141" t="n">
        <x:f>IF(AND(A187&gt;=Premissas!$B$48,A187&lt;=Premissas!$B$27,A187-Premissas!$B$48+1&lt;=Premissas!$B$13),INDEX(Financiamento!$C$6:$C$485,A187-Premissas!$B$48+1),0)</x:f>
        <x:v>0</x:v>
      </x:c>
      <x:c r="G187" s="141" t="n">
        <x:f>IF(AND(A187&gt;=Premissas!$B$48,A187&lt;=Premissas!$B$27,A187-Premissas!$B$48+1&lt;=Premissas!$B$13),INDEX(Financiamento!$J$6:$J$485,A187-Premissas!$B$48+1),0)</x:f>
        <x:v>0</x:v>
      </x:c>
      <x:c r="H187" s="141" t="n">
        <x:f>IF(AND(A187&gt;=Premissas!$B$48,A187&lt;=Premissas!$B$27,A187-Premissas!$B$48+1&lt;=Premissas!$B$13),INDEX(Financiamento!$M$6:$M$485,A187-Premissas!$B$48+1),0)</x:f>
        <x:v>0</x:v>
      </x:c>
      <x:c r="I187" s="141" t="n">
        <x:f>IF(A187=Premissas!$B$27,MIN(D187,H187),0)</x:f>
        <x:v>0</x:v>
      </x:c>
      <x:c r="J187" s="141" t="n">
        <x:f>IF(A187=Premissas!$B$27,D187-H187,0)</x:f>
        <x:v>0</x:v>
      </x:c>
      <x:c r="K187" s="141" t="n">
        <x:f>E187+G187</x:f>
        <x:v>1367.1546217131763</x:v>
      </x:c>
      <x:c r="L187" s="141" t="n">
        <x:f>SUM($K$6:K187)</x:f>
        <x:v>278623.45984079246</x:v>
      </x:c>
      <x:c r="M187" s="141" t="str">
        <x:f>IF(A187&lt;Premissas!$B$27,"Financiamento + consorcio",IF(A187=Premissas!$B$27,"Quitacao via carta",IF(A187&lt;=Premissas!$B$25,"Somente consorcio","Encerrado")))</x:f>
        <x:v>Somente consorcio</x:v>
      </x:c>
      <x:c r="N187" s="141" t="n">
        <x:f>IF(A187&gt;=Premissas!$B$25,0,(N188+E188)/(1+Premissas!$B$41))</x:f>
        <x:v>67922.59201437815</x:v>
      </x:c>
      <x:c r="O187" s="141" t="n">
        <x:f>IF(A187&lt;Premissas!$B$27,Premissas!$B$31/(1+Premissas!$B$41)^(Premissas!$B$27-A187),0)</x:f>
        <x:v>0</x:v>
      </x:c>
      <x:c r="P187" s="141" t="n">
        <x:f>MAX(0,H187-I187)+N187</x:f>
        <x:v>67922.59201437815</x:v>
      </x:c>
    </x:row>
    <x:row r="188">
      <x:c r="A188" s="142" t="n">
        <x:v>183</x:v>
      </x:c>
      <x:c r="B188" s="179" t="n">
        <x:f>EDATE(Premissas!$B$4,182)</x:f>
        <x:v>52079</x:v>
      </x:c>
      <x:c r="C188" s="180" t="n">
        <x:f>(1+Premissas!$B$26)^INT((A188-1)/12)</x:f>
        <x:v>2.3965581930996915</x:v>
      </x:c>
      <x:c r="D188" s="141" t="n">
        <x:f>Premissas!$B$30*C188</x:f>
        <x:v>260338.08800028742</x:v>
      </x:c>
      <x:c r="E188" s="141" t="n">
        <x:f>IF(A188&lt;=Premissas!$B$25,Premissas!$B$32*C188,0)</x:f>
        <x:v>1367.1546217131763</x:v>
      </x:c>
      <x:c r="F188" s="141" t="n">
        <x:f>IF(AND(A188&gt;=Premissas!$B$48,A188&lt;=Premissas!$B$27,A188-Premissas!$B$48+1&lt;=Premissas!$B$13),INDEX(Financiamento!$C$6:$C$485,A188-Premissas!$B$48+1),0)</x:f>
        <x:v>0</x:v>
      </x:c>
      <x:c r="G188" s="141" t="n">
        <x:f>IF(AND(A188&gt;=Premissas!$B$48,A188&lt;=Premissas!$B$27,A188-Premissas!$B$48+1&lt;=Premissas!$B$13),INDEX(Financiamento!$J$6:$J$485,A188-Premissas!$B$48+1),0)</x:f>
        <x:v>0</x:v>
      </x:c>
      <x:c r="H188" s="141" t="n">
        <x:f>IF(AND(A188&gt;=Premissas!$B$48,A188&lt;=Premissas!$B$27,A188-Premissas!$B$48+1&lt;=Premissas!$B$13),INDEX(Financiamento!$M$6:$M$485,A188-Premissas!$B$48+1),0)</x:f>
        <x:v>0</x:v>
      </x:c>
      <x:c r="I188" s="141" t="n">
        <x:f>IF(A188=Premissas!$B$27,MIN(D188,H188),0)</x:f>
        <x:v>0</x:v>
      </x:c>
      <x:c r="J188" s="141" t="n">
        <x:f>IF(A188=Premissas!$B$27,D188-H188,0)</x:f>
        <x:v>0</x:v>
      </x:c>
      <x:c r="K188" s="141" t="n">
        <x:f>E188+G188</x:f>
        <x:v>1367.1546217131763</x:v>
      </x:c>
      <x:c r="L188" s="141" t="n">
        <x:f>SUM($K$6:K188)</x:f>
        <x:v>279990.6144625056</x:v>
      </x:c>
      <x:c r="M188" s="141" t="str">
        <x:f>IF(A188&lt;Premissas!$B$27,"Financiamento + consorcio",IF(A188=Premissas!$B$27,"Quitacao via carta",IF(A188&lt;=Premissas!$B$25,"Somente consorcio","Encerrado")))</x:f>
        <x:v>Somente consorcio</x:v>
      </x:c>
      <x:c r="N188" s="141" t="n">
        <x:f>IF(A188&gt;=Premissas!$B$25,0,(N189+E189)/(1+Premissas!$B$41))</x:f>
        <x:v>67199.94080386957</x:v>
      </x:c>
      <x:c r="O188" s="141" t="n">
        <x:f>IF(A188&lt;Premissas!$B$27,Premissas!$B$31/(1+Premissas!$B$41)^(Premissas!$B$27-A188),0)</x:f>
        <x:v>0</x:v>
      </x:c>
      <x:c r="P188" s="141" t="n">
        <x:f>MAX(0,H188-I188)+N188</x:f>
        <x:v>67199.94080386957</x:v>
      </x:c>
    </x:row>
    <x:row r="189">
      <x:c r="A189" s="142" t="n">
        <x:v>184</x:v>
      </x:c>
      <x:c r="B189" s="179" t="n">
        <x:f>EDATE(Premissas!$B$4,183)</x:f>
        <x:v>52110</x:v>
      </x:c>
      <x:c r="C189" s="180" t="n">
        <x:f>(1+Premissas!$B$26)^INT((A189-1)/12)</x:f>
        <x:v>2.3965581930996915</x:v>
      </x:c>
      <x:c r="D189" s="141" t="n">
        <x:f>Premissas!$B$30*C189</x:f>
        <x:v>260338.08800028742</x:v>
      </x:c>
      <x:c r="E189" s="141" t="n">
        <x:f>IF(A189&lt;=Premissas!$B$25,Premissas!$B$32*C189,0)</x:f>
        <x:v>1367.1546217131763</x:v>
      </x:c>
      <x:c r="F189" s="141" t="n">
        <x:f>IF(AND(A189&gt;=Premissas!$B$48,A189&lt;=Premissas!$B$27,A189-Premissas!$B$48+1&lt;=Premissas!$B$13),INDEX(Financiamento!$C$6:$C$485,A189-Premissas!$B$48+1),0)</x:f>
        <x:v>0</x:v>
      </x:c>
      <x:c r="G189" s="141" t="n">
        <x:f>IF(AND(A189&gt;=Premissas!$B$48,A189&lt;=Premissas!$B$27,A189-Premissas!$B$48+1&lt;=Premissas!$B$13),INDEX(Financiamento!$J$6:$J$485,A189-Premissas!$B$48+1),0)</x:f>
        <x:v>0</x:v>
      </x:c>
      <x:c r="H189" s="141" t="n">
        <x:f>IF(AND(A189&gt;=Premissas!$B$48,A189&lt;=Premissas!$B$27,A189-Premissas!$B$48+1&lt;=Premissas!$B$13),INDEX(Financiamento!$M$6:$M$485,A189-Premissas!$B$48+1),0)</x:f>
        <x:v>0</x:v>
      </x:c>
      <x:c r="I189" s="141" t="n">
        <x:f>IF(A189=Premissas!$B$27,MIN(D189,H189),0)</x:f>
        <x:v>0</x:v>
      </x:c>
      <x:c r="J189" s="141" t="n">
        <x:f>IF(A189=Premissas!$B$27,D189-H189,0)</x:f>
        <x:v>0</x:v>
      </x:c>
      <x:c r="K189" s="141" t="n">
        <x:f>E189+G189</x:f>
        <x:v>1367.1546217131763</x:v>
      </x:c>
      <x:c r="L189" s="141" t="n">
        <x:f>SUM($K$6:K189)</x:f>
        <x:v>281357.7690842188</x:v>
      </x:c>
      <x:c r="M189" s="141" t="str">
        <x:f>IF(A189&lt;Premissas!$B$27,"Financiamento + consorcio",IF(A189=Premissas!$B$27,"Quitacao via carta",IF(A189&lt;=Premissas!$B$25,"Somente consorcio","Encerrado")))</x:f>
        <x:v>Somente consorcio</x:v>
      </x:c>
      <x:c r="N189" s="141" t="n">
        <x:f>IF(A189&gt;=Premissas!$B$25,0,(N190+E190)/(1+Premissas!$B$41))</x:f>
        <x:v>66470.43250566054</x:v>
      </x:c>
      <x:c r="O189" s="141" t="n">
        <x:f>IF(A189&lt;Premissas!$B$27,Premissas!$B$31/(1+Premissas!$B$41)^(Premissas!$B$27-A189),0)</x:f>
        <x:v>0</x:v>
      </x:c>
      <x:c r="P189" s="141" t="n">
        <x:f>MAX(0,H189-I189)+N189</x:f>
        <x:v>66470.43250566054</x:v>
      </x:c>
    </x:row>
    <x:row r="190">
      <x:c r="A190" s="142" t="n">
        <x:v>185</x:v>
      </x:c>
      <x:c r="B190" s="179" t="n">
        <x:f>EDATE(Premissas!$B$4,184)</x:f>
        <x:v>52140</x:v>
      </x:c>
      <x:c r="C190" s="180" t="n">
        <x:f>(1+Premissas!$B$26)^INT((A190-1)/12)</x:f>
        <x:v>2.3965581930996915</x:v>
      </x:c>
      <x:c r="D190" s="141" t="n">
        <x:f>Premissas!$B$30*C190</x:f>
        <x:v>260338.08800028742</x:v>
      </x:c>
      <x:c r="E190" s="141" t="n">
        <x:f>IF(A190&lt;=Premissas!$B$25,Premissas!$B$32*C190,0)</x:f>
        <x:v>1367.1546217131763</x:v>
      </x:c>
      <x:c r="F190" s="141" t="n">
        <x:f>IF(AND(A190&gt;=Premissas!$B$48,A190&lt;=Premissas!$B$27,A190-Premissas!$B$48+1&lt;=Premissas!$B$13),INDEX(Financiamento!$C$6:$C$485,A190-Premissas!$B$48+1),0)</x:f>
        <x:v>0</x:v>
      </x:c>
      <x:c r="G190" s="141" t="n">
        <x:f>IF(AND(A190&gt;=Premissas!$B$48,A190&lt;=Premissas!$B$27,A190-Premissas!$B$48+1&lt;=Premissas!$B$13),INDEX(Financiamento!$J$6:$J$485,A190-Premissas!$B$48+1),0)</x:f>
        <x:v>0</x:v>
      </x:c>
      <x:c r="H190" s="141" t="n">
        <x:f>IF(AND(A190&gt;=Premissas!$B$48,A190&lt;=Premissas!$B$27,A190-Premissas!$B$48+1&lt;=Premissas!$B$13),INDEX(Financiamento!$M$6:$M$485,A190-Premissas!$B$48+1),0)</x:f>
        <x:v>0</x:v>
      </x:c>
      <x:c r="I190" s="141" t="n">
        <x:f>IF(A190=Premissas!$B$27,MIN(D190,H190),0)</x:f>
        <x:v>0</x:v>
      </x:c>
      <x:c r="J190" s="141" t="n">
        <x:f>IF(A190=Premissas!$B$27,D190-H190,0)</x:f>
        <x:v>0</x:v>
      </x:c>
      <x:c r="K190" s="141" t="n">
        <x:f>E190+G190</x:f>
        <x:v>1367.1546217131763</x:v>
      </x:c>
      <x:c r="L190" s="141" t="n">
        <x:f>SUM($K$6:K190)</x:f>
        <x:v>282724.9237059319</x:v>
      </x:c>
      <x:c r="M190" s="141" t="str">
        <x:f>IF(A190&lt;Premissas!$B$27,"Financiamento + consorcio",IF(A190=Premissas!$B$27,"Quitacao via carta",IF(A190&lt;=Premissas!$B$25,"Somente consorcio","Encerrado")))</x:f>
        <x:v>Somente consorcio</x:v>
      </x:c>
      <x:c r="N190" s="141" t="n">
        <x:f>IF(A190&gt;=Premissas!$B$25,0,(N191+E191)/(1+Premissas!$B$41))</x:f>
        <x:v>65734.00205426576</x:v>
      </x:c>
      <x:c r="O190" s="141" t="n">
        <x:f>IF(A190&lt;Premissas!$B$27,Premissas!$B$31/(1+Premissas!$B$41)^(Premissas!$B$27-A190),0)</x:f>
        <x:v>0</x:v>
      </x:c>
      <x:c r="P190" s="141" t="n">
        <x:f>MAX(0,H190-I190)+N190</x:f>
        <x:v>65734.00205426576</x:v>
      </x:c>
    </x:row>
    <x:row r="191">
      <x:c r="A191" s="142" t="n">
        <x:v>186</x:v>
      </x:c>
      <x:c r="B191" s="179" t="n">
        <x:f>EDATE(Premissas!$B$4,185)</x:f>
        <x:v>52171</x:v>
      </x:c>
      <x:c r="C191" s="180" t="n">
        <x:f>(1+Premissas!$B$26)^INT((A191-1)/12)</x:f>
        <x:v>2.3965581930996915</x:v>
      </x:c>
      <x:c r="D191" s="141" t="n">
        <x:f>Premissas!$B$30*C191</x:f>
        <x:v>260338.08800028742</x:v>
      </x:c>
      <x:c r="E191" s="141" t="n">
        <x:f>IF(A191&lt;=Premissas!$B$25,Premissas!$B$32*C191,0)</x:f>
        <x:v>1367.1546217131763</x:v>
      </x:c>
      <x:c r="F191" s="141" t="n">
        <x:f>IF(AND(A191&gt;=Premissas!$B$48,A191&lt;=Premissas!$B$27,A191-Premissas!$B$48+1&lt;=Premissas!$B$13),INDEX(Financiamento!$C$6:$C$485,A191-Premissas!$B$48+1),0)</x:f>
        <x:v>0</x:v>
      </x:c>
      <x:c r="G191" s="141" t="n">
        <x:f>IF(AND(A191&gt;=Premissas!$B$48,A191&lt;=Premissas!$B$27,A191-Premissas!$B$48+1&lt;=Premissas!$B$13),INDEX(Financiamento!$J$6:$J$485,A191-Premissas!$B$48+1),0)</x:f>
        <x:v>0</x:v>
      </x:c>
      <x:c r="H191" s="141" t="n">
        <x:f>IF(AND(A191&gt;=Premissas!$B$48,A191&lt;=Premissas!$B$27,A191-Premissas!$B$48+1&lt;=Premissas!$B$13),INDEX(Financiamento!$M$6:$M$485,A191-Premissas!$B$48+1),0)</x:f>
        <x:v>0</x:v>
      </x:c>
      <x:c r="I191" s="141" t="n">
        <x:f>IF(A191=Premissas!$B$27,MIN(D191,H191),0)</x:f>
        <x:v>0</x:v>
      </x:c>
      <x:c r="J191" s="141" t="n">
        <x:f>IF(A191=Premissas!$B$27,D191-H191,0)</x:f>
        <x:v>0</x:v>
      </x:c>
      <x:c r="K191" s="141" t="n">
        <x:f>E191+G191</x:f>
        <x:v>1367.1546217131763</x:v>
      </x:c>
      <x:c r="L191" s="141" t="n">
        <x:f>SUM($K$6:K191)</x:f>
        <x:v>284092.0783276451</x:v>
      </x:c>
      <x:c r="M191" s="141" t="str">
        <x:f>IF(A191&lt;Premissas!$B$27,"Financiamento + consorcio",IF(A191=Premissas!$B$27,"Quitacao via carta",IF(A191&lt;=Premissas!$B$25,"Somente consorcio","Encerrado")))</x:f>
        <x:v>Somente consorcio</x:v>
      </x:c>
      <x:c r="N191" s="141" t="n">
        <x:f>IF(A191&gt;=Premissas!$B$25,0,(N192+E192)/(1+Premissas!$B$41))</x:f>
        <x:v>64990.58376680697</x:v>
      </x:c>
      <x:c r="O191" s="141" t="n">
        <x:f>IF(A191&lt;Premissas!$B$27,Premissas!$B$31/(1+Premissas!$B$41)^(Premissas!$B$27-A191),0)</x:f>
        <x:v>0</x:v>
      </x:c>
      <x:c r="P191" s="141" t="n">
        <x:f>MAX(0,H191-I191)+N191</x:f>
        <x:v>64990.58376680697</x:v>
      </x:c>
    </x:row>
    <x:row r="192">
      <x:c r="A192" s="142" t="n">
        <x:v>187</x:v>
      </x:c>
      <x:c r="B192" s="179" t="n">
        <x:f>EDATE(Premissas!$B$4,186)</x:f>
        <x:v>52201</x:v>
      </x:c>
      <x:c r="C192" s="180" t="n">
        <x:f>(1+Premissas!$B$26)^INT((A192-1)/12)</x:f>
        <x:v>2.3965581930996915</x:v>
      </x:c>
      <x:c r="D192" s="141" t="n">
        <x:f>Premissas!$B$30*C192</x:f>
        <x:v>260338.08800028742</x:v>
      </x:c>
      <x:c r="E192" s="141" t="n">
        <x:f>IF(A192&lt;=Premissas!$B$25,Premissas!$B$32*C192,0)</x:f>
        <x:v>1367.1546217131763</x:v>
      </x:c>
      <x:c r="F192" s="141" t="n">
        <x:f>IF(AND(A192&gt;=Premissas!$B$48,A192&lt;=Premissas!$B$27,A192-Premissas!$B$48+1&lt;=Premissas!$B$13),INDEX(Financiamento!$C$6:$C$485,A192-Premissas!$B$48+1),0)</x:f>
        <x:v>0</x:v>
      </x:c>
      <x:c r="G192" s="141" t="n">
        <x:f>IF(AND(A192&gt;=Premissas!$B$48,A192&lt;=Premissas!$B$27,A192-Premissas!$B$48+1&lt;=Premissas!$B$13),INDEX(Financiamento!$J$6:$J$485,A192-Premissas!$B$48+1),0)</x:f>
        <x:v>0</x:v>
      </x:c>
      <x:c r="H192" s="141" t="n">
        <x:f>IF(AND(A192&gt;=Premissas!$B$48,A192&lt;=Premissas!$B$27,A192-Premissas!$B$48+1&lt;=Premissas!$B$13),INDEX(Financiamento!$M$6:$M$485,A192-Premissas!$B$48+1),0)</x:f>
        <x:v>0</x:v>
      </x:c>
      <x:c r="I192" s="141" t="n">
        <x:f>IF(A192=Premissas!$B$27,MIN(D192,H192),0)</x:f>
        <x:v>0</x:v>
      </x:c>
      <x:c r="J192" s="141" t="n">
        <x:f>IF(A192=Premissas!$B$27,D192-H192,0)</x:f>
        <x:v>0</x:v>
      </x:c>
      <x:c r="K192" s="141" t="n">
        <x:f>E192+G192</x:f>
        <x:v>1367.1546217131763</x:v>
      </x:c>
      <x:c r="L192" s="141" t="n">
        <x:f>SUM($K$6:K192)</x:f>
        <x:v>285459.23294935824</x:v>
      </x:c>
      <x:c r="M192" s="141" t="str">
        <x:f>IF(A192&lt;Premissas!$B$27,"Financiamento + consorcio",IF(A192=Premissas!$B$27,"Quitacao via carta",IF(A192&lt;=Premissas!$B$25,"Somente consorcio","Encerrado")))</x:f>
        <x:v>Somente consorcio</x:v>
      </x:c>
      <x:c r="N192" s="141" t="n">
        <x:f>IF(A192&gt;=Premissas!$B$25,0,(N193+E193)/(1+Premissas!$B$41))</x:f>
        <x:v>64240.11133715471</x:v>
      </x:c>
      <x:c r="O192" s="141" t="n">
        <x:f>IF(A192&lt;Premissas!$B$27,Premissas!$B$31/(1+Premissas!$B$41)^(Premissas!$B$27-A192),0)</x:f>
        <x:v>0</x:v>
      </x:c>
      <x:c r="P192" s="141" t="n">
        <x:f>MAX(0,H192-I192)+N192</x:f>
        <x:v>64240.11133715471</x:v>
      </x:c>
    </x:row>
    <x:row r="193">
      <x:c r="A193" s="142" t="n">
        <x:v>188</x:v>
      </x:c>
      <x:c r="B193" s="179" t="n">
        <x:f>EDATE(Premissas!$B$4,187)</x:f>
        <x:v>52232</x:v>
      </x:c>
      <x:c r="C193" s="180" t="n">
        <x:f>(1+Premissas!$B$26)^INT((A193-1)/12)</x:f>
        <x:v>2.3965581930996915</x:v>
      </x:c>
      <x:c r="D193" s="141" t="n">
        <x:f>Premissas!$B$30*C193</x:f>
        <x:v>260338.08800028742</x:v>
      </x:c>
      <x:c r="E193" s="141" t="n">
        <x:f>IF(A193&lt;=Premissas!$B$25,Premissas!$B$32*C193,0)</x:f>
        <x:v>1367.1546217131763</x:v>
      </x:c>
      <x:c r="F193" s="141" t="n">
        <x:f>IF(AND(A193&gt;=Premissas!$B$48,A193&lt;=Premissas!$B$27,A193-Premissas!$B$48+1&lt;=Premissas!$B$13),INDEX(Financiamento!$C$6:$C$485,A193-Premissas!$B$48+1),0)</x:f>
        <x:v>0</x:v>
      </x:c>
      <x:c r="G193" s="141" t="n">
        <x:f>IF(AND(A193&gt;=Premissas!$B$48,A193&lt;=Premissas!$B$27,A193-Premissas!$B$48+1&lt;=Premissas!$B$13),INDEX(Financiamento!$J$6:$J$485,A193-Premissas!$B$48+1),0)</x:f>
        <x:v>0</x:v>
      </x:c>
      <x:c r="H193" s="141" t="n">
        <x:f>IF(AND(A193&gt;=Premissas!$B$48,A193&lt;=Premissas!$B$27,A193-Premissas!$B$48+1&lt;=Premissas!$B$13),INDEX(Financiamento!$M$6:$M$485,A193-Premissas!$B$48+1),0)</x:f>
        <x:v>0</x:v>
      </x:c>
      <x:c r="I193" s="141" t="n">
        <x:f>IF(A193=Premissas!$B$27,MIN(D193,H193),0)</x:f>
        <x:v>0</x:v>
      </x:c>
      <x:c r="J193" s="141" t="n">
        <x:f>IF(A193=Premissas!$B$27,D193-H193,0)</x:f>
        <x:v>0</x:v>
      </x:c>
      <x:c r="K193" s="141" t="n">
        <x:f>E193+G193</x:f>
        <x:v>1367.1546217131763</x:v>
      </x:c>
      <x:c r="L193" s="141" t="n">
        <x:f>SUM($K$6:K193)</x:f>
        <x:v>286826.3875710714</x:v>
      </x:c>
      <x:c r="M193" s="141" t="str">
        <x:f>IF(A193&lt;Premissas!$B$27,"Financiamento + consorcio",IF(A193=Premissas!$B$27,"Quitacao via carta",IF(A193&lt;=Premissas!$B$25,"Somente consorcio","Encerrado")))</x:f>
        <x:v>Somente consorcio</x:v>
      </x:c>
      <x:c r="N193" s="141" t="n">
        <x:f>IF(A193&gt;=Premissas!$B$25,0,(N194+E194)/(1+Premissas!$B$41))</x:f>
        <x:v>63482.51783001436</x:v>
      </x:c>
      <x:c r="O193" s="141" t="n">
        <x:f>IF(A193&lt;Premissas!$B$27,Premissas!$B$31/(1+Premissas!$B$41)^(Premissas!$B$27-A193),0)</x:f>
        <x:v>0</x:v>
      </x:c>
      <x:c r="P193" s="141" t="n">
        <x:f>MAX(0,H193-I193)+N193</x:f>
        <x:v>63482.51783001436</x:v>
      </x:c>
    </x:row>
    <x:row r="194">
      <x:c r="A194" s="142" t="n">
        <x:v>189</x:v>
      </x:c>
      <x:c r="B194" s="179" t="n">
        <x:f>EDATE(Premissas!$B$4,188)</x:f>
        <x:v>52263</x:v>
      </x:c>
      <x:c r="C194" s="180" t="n">
        <x:f>(1+Premissas!$B$26)^INT((A194-1)/12)</x:f>
        <x:v>2.3965581930996915</x:v>
      </x:c>
      <x:c r="D194" s="141" t="n">
        <x:f>Premissas!$B$30*C194</x:f>
        <x:v>260338.08800028742</x:v>
      </x:c>
      <x:c r="E194" s="141" t="n">
        <x:f>IF(A194&lt;=Premissas!$B$25,Premissas!$B$32*C194,0)</x:f>
        <x:v>1367.1546217131763</x:v>
      </x:c>
      <x:c r="F194" s="141" t="n">
        <x:f>IF(AND(A194&gt;=Premissas!$B$48,A194&lt;=Premissas!$B$27,A194-Premissas!$B$48+1&lt;=Premissas!$B$13),INDEX(Financiamento!$C$6:$C$485,A194-Premissas!$B$48+1),0)</x:f>
        <x:v>0</x:v>
      </x:c>
      <x:c r="G194" s="141" t="n">
        <x:f>IF(AND(A194&gt;=Premissas!$B$48,A194&lt;=Premissas!$B$27,A194-Premissas!$B$48+1&lt;=Premissas!$B$13),INDEX(Financiamento!$J$6:$J$485,A194-Premissas!$B$48+1),0)</x:f>
        <x:v>0</x:v>
      </x:c>
      <x:c r="H194" s="141" t="n">
        <x:f>IF(AND(A194&gt;=Premissas!$B$48,A194&lt;=Premissas!$B$27,A194-Premissas!$B$48+1&lt;=Premissas!$B$13),INDEX(Financiamento!$M$6:$M$485,A194-Premissas!$B$48+1),0)</x:f>
        <x:v>0</x:v>
      </x:c>
      <x:c r="I194" s="141" t="n">
        <x:f>IF(A194=Premissas!$B$27,MIN(D194,H194),0)</x:f>
        <x:v>0</x:v>
      </x:c>
      <x:c r="J194" s="141" t="n">
        <x:f>IF(A194=Premissas!$B$27,D194-H194,0)</x:f>
        <x:v>0</x:v>
      </x:c>
      <x:c r="K194" s="141" t="n">
        <x:f>E194+G194</x:f>
        <x:v>1367.1546217131763</x:v>
      </x:c>
      <x:c r="L194" s="141" t="n">
        <x:f>SUM($K$6:K194)</x:f>
        <x:v>288193.54219278455</x:v>
      </x:c>
      <x:c r="M194" s="141" t="str">
        <x:f>IF(A194&lt;Premissas!$B$27,"Financiamento + consorcio",IF(A194=Premissas!$B$27,"Quitacao via carta",IF(A194&lt;=Premissas!$B$25,"Somente consorcio","Encerrado")))</x:f>
        <x:v>Somente consorcio</x:v>
      </x:c>
      <x:c r="N194" s="141" t="n">
        <x:f>IF(A194&gt;=Premissas!$B$25,0,(N195+E195)/(1+Premissas!$B$41))</x:f>
        <x:v>62717.735674956166</x:v>
      </x:c>
      <x:c r="O194" s="141" t="n">
        <x:f>IF(A194&lt;Premissas!$B$27,Premissas!$B$31/(1+Premissas!$B$41)^(Premissas!$B$27-A194),0)</x:f>
        <x:v>0</x:v>
      </x:c>
      <x:c r="P194" s="141" t="n">
        <x:f>MAX(0,H194-I194)+N194</x:f>
        <x:v>62717.735674956166</x:v>
      </x:c>
    </x:row>
    <x:row r="195">
      <x:c r="A195" s="142" t="n">
        <x:v>190</x:v>
      </x:c>
      <x:c r="B195" s="179" t="n">
        <x:f>EDATE(Premissas!$B$4,189)</x:f>
        <x:v>52291</x:v>
      </x:c>
      <x:c r="C195" s="180" t="n">
        <x:f>(1+Premissas!$B$26)^INT((A195-1)/12)</x:f>
        <x:v>2.3965581930996915</x:v>
      </x:c>
      <x:c r="D195" s="141" t="n">
        <x:f>Premissas!$B$30*C195</x:f>
        <x:v>260338.08800028742</x:v>
      </x:c>
      <x:c r="E195" s="141" t="n">
        <x:f>IF(A195&lt;=Premissas!$B$25,Premissas!$B$32*C195,0)</x:f>
        <x:v>1367.1546217131763</x:v>
      </x:c>
      <x:c r="F195" s="141" t="n">
        <x:f>IF(AND(A195&gt;=Premissas!$B$48,A195&lt;=Premissas!$B$27,A195-Premissas!$B$48+1&lt;=Premissas!$B$13),INDEX(Financiamento!$C$6:$C$485,A195-Premissas!$B$48+1),0)</x:f>
        <x:v>0</x:v>
      </x:c>
      <x:c r="G195" s="141" t="n">
        <x:f>IF(AND(A195&gt;=Premissas!$B$48,A195&lt;=Premissas!$B$27,A195-Premissas!$B$48+1&lt;=Premissas!$B$13),INDEX(Financiamento!$J$6:$J$485,A195-Premissas!$B$48+1),0)</x:f>
        <x:v>0</x:v>
      </x:c>
      <x:c r="H195" s="141" t="n">
        <x:f>IF(AND(A195&gt;=Premissas!$B$48,A195&lt;=Premissas!$B$27,A195-Premissas!$B$48+1&lt;=Premissas!$B$13),INDEX(Financiamento!$M$6:$M$485,A195-Premissas!$B$48+1),0)</x:f>
        <x:v>0</x:v>
      </x:c>
      <x:c r="I195" s="141" t="n">
        <x:f>IF(A195=Premissas!$B$27,MIN(D195,H195),0)</x:f>
        <x:v>0</x:v>
      </x:c>
      <x:c r="J195" s="141" t="n">
        <x:f>IF(A195=Premissas!$B$27,D195-H195,0)</x:f>
        <x:v>0</x:v>
      </x:c>
      <x:c r="K195" s="141" t="n">
        <x:f>E195+G195</x:f>
        <x:v>1367.1546217131763</x:v>
      </x:c>
      <x:c r="L195" s="141" t="n">
        <x:f>SUM($K$6:K195)</x:f>
        <x:v>289560.6968144977</x:v>
      </x:c>
      <x:c r="M195" s="141" t="str">
        <x:f>IF(A195&lt;Premissas!$B$27,"Financiamento + consorcio",IF(A195=Premissas!$B$27,"Quitacao via carta",IF(A195&lt;=Premissas!$B$25,"Somente consorcio","Encerrado")))</x:f>
        <x:v>Somente consorcio</x:v>
      </x:c>
      <x:c r="N195" s="141" t="n">
        <x:f>IF(A195&gt;=Premissas!$B$25,0,(N196+E196)/(1+Premissas!$B$41))</x:f>
        <x:v>61945.69666038856</x:v>
      </x:c>
      <x:c r="O195" s="141" t="n">
        <x:f>IF(A195&lt;Premissas!$B$27,Premissas!$B$31/(1+Premissas!$B$41)^(Premissas!$B$27-A195),0)</x:f>
        <x:v>0</x:v>
      </x:c>
      <x:c r="P195" s="141" t="n">
        <x:f>MAX(0,H195-I195)+N195</x:f>
        <x:v>61945.69666038856</x:v>
      </x:c>
    </x:row>
    <x:row r="196">
      <x:c r="A196" s="142" t="n">
        <x:v>191</x:v>
      </x:c>
      <x:c r="B196" s="179" t="n">
        <x:f>EDATE(Premissas!$B$4,190)</x:f>
        <x:v>52322</x:v>
      </x:c>
      <x:c r="C196" s="180" t="n">
        <x:f>(1+Premissas!$B$26)^INT((A196-1)/12)</x:f>
        <x:v>2.3965581930996915</x:v>
      </x:c>
      <x:c r="D196" s="141" t="n">
        <x:f>Premissas!$B$30*C196</x:f>
        <x:v>260338.08800028742</x:v>
      </x:c>
      <x:c r="E196" s="141" t="n">
        <x:f>IF(A196&lt;=Premissas!$B$25,Premissas!$B$32*C196,0)</x:f>
        <x:v>1367.1546217131763</x:v>
      </x:c>
      <x:c r="F196" s="141" t="n">
        <x:f>IF(AND(A196&gt;=Premissas!$B$48,A196&lt;=Premissas!$B$27,A196-Premissas!$B$48+1&lt;=Premissas!$B$13),INDEX(Financiamento!$C$6:$C$485,A196-Premissas!$B$48+1),0)</x:f>
        <x:v>0</x:v>
      </x:c>
      <x:c r="G196" s="141" t="n">
        <x:f>IF(AND(A196&gt;=Premissas!$B$48,A196&lt;=Premissas!$B$27,A196-Premissas!$B$48+1&lt;=Premissas!$B$13),INDEX(Financiamento!$J$6:$J$485,A196-Premissas!$B$48+1),0)</x:f>
        <x:v>0</x:v>
      </x:c>
      <x:c r="H196" s="141" t="n">
        <x:f>IF(AND(A196&gt;=Premissas!$B$48,A196&lt;=Premissas!$B$27,A196-Premissas!$B$48+1&lt;=Premissas!$B$13),INDEX(Financiamento!$M$6:$M$485,A196-Premissas!$B$48+1),0)</x:f>
        <x:v>0</x:v>
      </x:c>
      <x:c r="I196" s="141" t="n">
        <x:f>IF(A196=Premissas!$B$27,MIN(D196,H196),0)</x:f>
        <x:v>0</x:v>
      </x:c>
      <x:c r="J196" s="141" t="n">
        <x:f>IF(A196=Premissas!$B$27,D196-H196,0)</x:f>
        <x:v>0</x:v>
      </x:c>
      <x:c r="K196" s="141" t="n">
        <x:f>E196+G196</x:f>
        <x:v>1367.1546217131763</x:v>
      </x:c>
      <x:c r="L196" s="141" t="n">
        <x:f>SUM($K$6:K196)</x:f>
        <x:v>290927.85143621085</x:v>
      </x:c>
      <x:c r="M196" s="141" t="str">
        <x:f>IF(A196&lt;Premissas!$B$27,"Financiamento + consorcio",IF(A196=Premissas!$B$27,"Quitacao via carta",IF(A196&lt;=Premissas!$B$25,"Somente consorcio","Encerrado")))</x:f>
        <x:v>Somente consorcio</x:v>
      </x:c>
      <x:c r="N196" s="141" t="n">
        <x:f>IF(A196&gt;=Premissas!$B$25,0,(N197+E197)/(1+Premissas!$B$41))</x:f>
        <x:v>61166.331927474304</x:v>
      </x:c>
      <x:c r="O196" s="141" t="n">
        <x:f>IF(A196&lt;Premissas!$B$27,Premissas!$B$31/(1+Premissas!$B$41)^(Premissas!$B$27-A196),0)</x:f>
        <x:v>0</x:v>
      </x:c>
      <x:c r="P196" s="141" t="n">
        <x:f>MAX(0,H196-I196)+N196</x:f>
        <x:v>61166.331927474304</x:v>
      </x:c>
    </x:row>
    <x:row r="197">
      <x:c r="A197" s="142" t="n">
        <x:v>192</x:v>
      </x:c>
      <x:c r="B197" s="179" t="n">
        <x:f>EDATE(Premissas!$B$4,191)</x:f>
        <x:v>52352</x:v>
      </x:c>
      <x:c r="C197" s="180" t="n">
        <x:f>(1+Premissas!$B$26)^INT((A197-1)/12)</x:f>
        <x:v>2.3965581930996915</x:v>
      </x:c>
      <x:c r="D197" s="141" t="n">
        <x:f>Premissas!$B$30*C197</x:f>
        <x:v>260338.08800028742</x:v>
      </x:c>
      <x:c r="E197" s="141" t="n">
        <x:f>IF(A197&lt;=Premissas!$B$25,Premissas!$B$32*C197,0)</x:f>
        <x:v>1367.1546217131763</x:v>
      </x:c>
      <x:c r="F197" s="141" t="n">
        <x:f>IF(AND(A197&gt;=Premissas!$B$48,A197&lt;=Premissas!$B$27,A197-Premissas!$B$48+1&lt;=Premissas!$B$13),INDEX(Financiamento!$C$6:$C$485,A197-Premissas!$B$48+1),0)</x:f>
        <x:v>0</x:v>
      </x:c>
      <x:c r="G197" s="141" t="n">
        <x:f>IF(AND(A197&gt;=Premissas!$B$48,A197&lt;=Premissas!$B$27,A197-Premissas!$B$48+1&lt;=Premissas!$B$13),INDEX(Financiamento!$J$6:$J$485,A197-Premissas!$B$48+1),0)</x:f>
        <x:v>0</x:v>
      </x:c>
      <x:c r="H197" s="141" t="n">
        <x:f>IF(AND(A197&gt;=Premissas!$B$48,A197&lt;=Premissas!$B$27,A197-Premissas!$B$48+1&lt;=Premissas!$B$13),INDEX(Financiamento!$M$6:$M$485,A197-Premissas!$B$48+1),0)</x:f>
        <x:v>0</x:v>
      </x:c>
      <x:c r="I197" s="141" t="n">
        <x:f>IF(A197=Premissas!$B$27,MIN(D197,H197),0)</x:f>
        <x:v>0</x:v>
      </x:c>
      <x:c r="J197" s="141" t="n">
        <x:f>IF(A197=Premissas!$B$27,D197-H197,0)</x:f>
        <x:v>0</x:v>
      </x:c>
      <x:c r="K197" s="141" t="n">
        <x:f>E197+G197</x:f>
        <x:v>1367.1546217131763</x:v>
      </x:c>
      <x:c r="L197" s="141" t="n">
        <x:f>SUM($K$6:K197)</x:f>
        <x:v>292295.006057924</x:v>
      </x:c>
      <x:c r="M197" s="141" t="str">
        <x:f>IF(A197&lt;Premissas!$B$27,"Financiamento + consorcio",IF(A197=Premissas!$B$27,"Quitacao via carta",IF(A197&lt;=Premissas!$B$25,"Somente consorcio","Encerrado")))</x:f>
        <x:v>Somente consorcio</x:v>
      </x:c>
      <x:c r="N197" s="141" t="n">
        <x:f>IF(A197&gt;=Premissas!$B$25,0,(N198+E198)/(1+Premissas!$B$41))</x:f>
        <x:v>60379.57196398891</x:v>
      </x:c>
      <x:c r="O197" s="141" t="n">
        <x:f>IF(A197&lt;Premissas!$B$27,Premissas!$B$31/(1+Premissas!$B$41)^(Premissas!$B$27-A197),0)</x:f>
        <x:v>0</x:v>
      </x:c>
      <x:c r="P197" s="141" t="n">
        <x:f>MAX(0,H197-I197)+N197</x:f>
        <x:v>60379.57196398891</x:v>
      </x:c>
    </x:row>
    <x:row r="198">
      <x:c r="A198" s="142" t="n">
        <x:v>193</x:v>
      </x:c>
      <x:c r="B198" s="179" t="n">
        <x:f>EDATE(Premissas!$B$4,192)</x:f>
        <x:v>52383</x:v>
      </x:c>
      <x:c r="C198" s="180" t="n">
        <x:f>(1+Premissas!$B$26)^INT((A198-1)/12)</x:f>
        <x:v>2.5403516846856733</x:v>
      </x:c>
      <x:c r="D198" s="141" t="n">
        <x:f>Premissas!$B$30*C198</x:f>
        <x:v>275958.3732803047</x:v>
      </x:c>
      <x:c r="E198" s="141" t="n">
        <x:f>IF(A198&lt;=Premissas!$B$25,Premissas!$B$32*C198,0)</x:f>
        <x:v>1449.183899015967</x:v>
      </x:c>
      <x:c r="F198" s="141" t="n">
        <x:f>IF(AND(A198&gt;=Premissas!$B$48,A198&lt;=Premissas!$B$27,A198-Premissas!$B$48+1&lt;=Premissas!$B$13),INDEX(Financiamento!$C$6:$C$485,A198-Premissas!$B$48+1),0)</x:f>
        <x:v>0</x:v>
      </x:c>
      <x:c r="G198" s="141" t="n">
        <x:f>IF(AND(A198&gt;=Premissas!$B$48,A198&lt;=Premissas!$B$27,A198-Premissas!$B$48+1&lt;=Premissas!$B$13),INDEX(Financiamento!$J$6:$J$485,A198-Premissas!$B$48+1),0)</x:f>
        <x:v>0</x:v>
      </x:c>
      <x:c r="H198" s="141" t="n">
        <x:f>IF(AND(A198&gt;=Premissas!$B$48,A198&lt;=Premissas!$B$27,A198-Premissas!$B$48+1&lt;=Premissas!$B$13),INDEX(Financiamento!$M$6:$M$485,A198-Premissas!$B$48+1),0)</x:f>
        <x:v>0</x:v>
      </x:c>
      <x:c r="I198" s="141" t="n">
        <x:f>IF(A198=Premissas!$B$27,MIN(D198,H198),0)</x:f>
        <x:v>0</x:v>
      </x:c>
      <x:c r="J198" s="141" t="n">
        <x:f>IF(A198=Premissas!$B$27,D198-H198,0)</x:f>
        <x:v>0</x:v>
      </x:c>
      <x:c r="K198" s="141" t="n">
        <x:f>E198+G198</x:f>
        <x:v>1449.183899015967</x:v>
      </x:c>
      <x:c r="L198" s="141" t="n">
        <x:f>SUM($K$6:K198)</x:f>
        <x:v>293744.18995693995</x:v>
      </x:c>
      <x:c r="M198" s="141" t="str">
        <x:f>IF(A198&lt;Premissas!$B$27,"Financiamento + consorcio",IF(A198=Premissas!$B$27,"Quitacao via carta",IF(A198&lt;=Premissas!$B$25,"Somente consorcio","Encerrado")))</x:f>
        <x:v>Somente consorcio</x:v>
      </x:c>
      <x:c r="N198" s="141" t="n">
        <x:f>IF(A198&gt;=Premissas!$B$25,0,(N199+E199)/(1+Premissas!$B$41))</x:f>
        <x:v>59503.31732081799</x:v>
      </x:c>
      <x:c r="O198" s="141" t="n">
        <x:f>IF(A198&lt;Premissas!$B$27,Premissas!$B$31/(1+Premissas!$B$41)^(Premissas!$B$27-A198),0)</x:f>
        <x:v>0</x:v>
      </x:c>
      <x:c r="P198" s="141" t="n">
        <x:f>MAX(0,H198-I198)+N198</x:f>
        <x:v>59503.31732081799</x:v>
      </x:c>
    </x:row>
    <x:row r="199">
      <x:c r="A199" s="142" t="n">
        <x:v>194</x:v>
      </x:c>
      <x:c r="B199" s="179" t="n">
        <x:f>EDATE(Premissas!$B$4,193)</x:f>
        <x:v>52413</x:v>
      </x:c>
      <x:c r="C199" s="180" t="n">
        <x:f>(1+Premissas!$B$26)^INT((A199-1)/12)</x:f>
        <x:v>2.5403516846856733</x:v>
      </x:c>
      <x:c r="D199" s="141" t="n">
        <x:f>Premissas!$B$30*C199</x:f>
        <x:v>275958.3732803047</x:v>
      </x:c>
      <x:c r="E199" s="141" t="n">
        <x:f>IF(A199&lt;=Premissas!$B$25,Premissas!$B$32*C199,0)</x:f>
        <x:v>1449.183899015967</x:v>
      </x:c>
      <x:c r="F199" s="141" t="n">
        <x:f>IF(AND(A199&gt;=Premissas!$B$48,A199&lt;=Premissas!$B$27,A199-Premissas!$B$48+1&lt;=Premissas!$B$13),INDEX(Financiamento!$C$6:$C$485,A199-Premissas!$B$48+1),0)</x:f>
        <x:v>0</x:v>
      </x:c>
      <x:c r="G199" s="141" t="n">
        <x:f>IF(AND(A199&gt;=Premissas!$B$48,A199&lt;=Premissas!$B$27,A199-Premissas!$B$48+1&lt;=Premissas!$B$13),INDEX(Financiamento!$J$6:$J$485,A199-Premissas!$B$48+1),0)</x:f>
        <x:v>0</x:v>
      </x:c>
      <x:c r="H199" s="141" t="n">
        <x:f>IF(AND(A199&gt;=Premissas!$B$48,A199&lt;=Premissas!$B$27,A199-Premissas!$B$48+1&lt;=Premissas!$B$13),INDEX(Financiamento!$M$6:$M$485,A199-Premissas!$B$48+1),0)</x:f>
        <x:v>0</x:v>
      </x:c>
      <x:c r="I199" s="141" t="n">
        <x:f>IF(A199=Premissas!$B$27,MIN(D199,H199),0)</x:f>
        <x:v>0</x:v>
      </x:c>
      <x:c r="J199" s="141" t="n">
        <x:f>IF(A199=Premissas!$B$27,D199-H199,0)</x:f>
        <x:v>0</x:v>
      </x:c>
      <x:c r="K199" s="141" t="n">
        <x:f>E199+G199</x:f>
        <x:v>1449.183899015967</x:v>
      </x:c>
      <x:c r="L199" s="141" t="n">
        <x:f>SUM($K$6:K199)</x:f>
        <x:v>295193.3738559559</x:v>
      </x:c>
      <x:c r="M199" s="141" t="str">
        <x:f>IF(A199&lt;Premissas!$B$27,"Financiamento + consorcio",IF(A199=Premissas!$B$27,"Quitacao via carta",IF(A199&lt;=Premissas!$B$25,"Somente consorcio","Encerrado")))</x:f>
        <x:v>Somente consorcio</x:v>
      </x:c>
      <x:c r="N199" s="141" t="n">
        <x:f>IF(A199&gt;=Premissas!$B$25,0,(N200+E200)/(1+Premissas!$B$41))</x:f>
        <x:v>58618.74807878005</x:v>
      </x:c>
      <x:c r="O199" s="141" t="n">
        <x:f>IF(A199&lt;Premissas!$B$27,Premissas!$B$31/(1+Premissas!$B$41)^(Premissas!$B$27-A199),0)</x:f>
        <x:v>0</x:v>
      </x:c>
      <x:c r="P199" s="141" t="n">
        <x:f>MAX(0,H199-I199)+N199</x:f>
        <x:v>58618.74807878005</x:v>
      </x:c>
    </x:row>
    <x:row r="200">
      <x:c r="A200" s="142" t="n">
        <x:v>195</x:v>
      </x:c>
      <x:c r="B200" s="179" t="n">
        <x:f>EDATE(Premissas!$B$4,194)</x:f>
        <x:v>52444</x:v>
      </x:c>
      <x:c r="C200" s="180" t="n">
        <x:f>(1+Premissas!$B$26)^INT((A200-1)/12)</x:f>
        <x:v>2.5403516846856733</x:v>
      </x:c>
      <x:c r="D200" s="141" t="n">
        <x:f>Premissas!$B$30*C200</x:f>
        <x:v>275958.3732803047</x:v>
      </x:c>
      <x:c r="E200" s="141" t="n">
        <x:f>IF(A200&lt;=Premissas!$B$25,Premissas!$B$32*C200,0)</x:f>
        <x:v>1449.183899015967</x:v>
      </x:c>
      <x:c r="F200" s="141" t="n">
        <x:f>IF(AND(A200&gt;=Premissas!$B$48,A200&lt;=Premissas!$B$27,A200-Premissas!$B$48+1&lt;=Premissas!$B$13),INDEX(Financiamento!$C$6:$C$485,A200-Premissas!$B$48+1),0)</x:f>
        <x:v>0</x:v>
      </x:c>
      <x:c r="G200" s="141" t="n">
        <x:f>IF(AND(A200&gt;=Premissas!$B$48,A200&lt;=Premissas!$B$27,A200-Premissas!$B$48+1&lt;=Premissas!$B$13),INDEX(Financiamento!$J$6:$J$485,A200-Premissas!$B$48+1),0)</x:f>
        <x:v>0</x:v>
      </x:c>
      <x:c r="H200" s="141" t="n">
        <x:f>IF(AND(A200&gt;=Premissas!$B$48,A200&lt;=Premissas!$B$27,A200-Premissas!$B$48+1&lt;=Premissas!$B$13),INDEX(Financiamento!$M$6:$M$485,A200-Premissas!$B$48+1),0)</x:f>
        <x:v>0</x:v>
      </x:c>
      <x:c r="I200" s="141" t="n">
        <x:f>IF(A200=Premissas!$B$27,MIN(D200,H200),0)</x:f>
        <x:v>0</x:v>
      </x:c>
      <x:c r="J200" s="141" t="n">
        <x:f>IF(A200=Premissas!$B$27,D200-H200,0)</x:f>
        <x:v>0</x:v>
      </x:c>
      <x:c r="K200" s="141" t="n">
        <x:f>E200+G200</x:f>
        <x:v>1449.183899015967</x:v>
      </x:c>
      <x:c r="L200" s="141" t="n">
        <x:f>SUM($K$6:K200)</x:f>
        <x:v>296642.55775497184</x:v>
      </x:c>
      <x:c r="M200" s="141" t="str">
        <x:f>IF(A200&lt;Premissas!$B$27,"Financiamento + consorcio",IF(A200=Premissas!$B$27,"Quitacao via carta",IF(A200&lt;=Premissas!$B$25,"Somente consorcio","Encerrado")))</x:f>
        <x:v>Somente consorcio</x:v>
      </x:c>
      <x:c r="N200" s="141" t="n">
        <x:f>IF(A200&gt;=Premissas!$B$25,0,(N201+E201)/(1+Premissas!$B$41))</x:f>
        <x:v>57725.785342368115</x:v>
      </x:c>
      <x:c r="O200" s="141" t="n">
        <x:f>IF(A200&lt;Premissas!$B$27,Premissas!$B$31/(1+Premissas!$B$41)^(Premissas!$B$27-A200),0)</x:f>
        <x:v>0</x:v>
      </x:c>
      <x:c r="P200" s="141" t="n">
        <x:f>MAX(0,H200-I200)+N200</x:f>
        <x:v>57725.785342368115</x:v>
      </x:c>
    </x:row>
    <x:row r="201">
      <x:c r="A201" s="142" t="n">
        <x:v>196</x:v>
      </x:c>
      <x:c r="B201" s="179" t="n">
        <x:f>EDATE(Premissas!$B$4,195)</x:f>
        <x:v>52475</x:v>
      </x:c>
      <x:c r="C201" s="180" t="n">
        <x:f>(1+Premissas!$B$26)^INT((A201-1)/12)</x:f>
        <x:v>2.5403516846856733</x:v>
      </x:c>
      <x:c r="D201" s="141" t="n">
        <x:f>Premissas!$B$30*C201</x:f>
        <x:v>275958.3732803047</x:v>
      </x:c>
      <x:c r="E201" s="141" t="n">
        <x:f>IF(A201&lt;=Premissas!$B$25,Premissas!$B$32*C201,0)</x:f>
        <x:v>1449.183899015967</x:v>
      </x:c>
      <x:c r="F201" s="141" t="n">
        <x:f>IF(AND(A201&gt;=Premissas!$B$48,A201&lt;=Premissas!$B$27,A201-Premissas!$B$48+1&lt;=Premissas!$B$13),INDEX(Financiamento!$C$6:$C$485,A201-Premissas!$B$48+1),0)</x:f>
        <x:v>0</x:v>
      </x:c>
      <x:c r="G201" s="141" t="n">
        <x:f>IF(AND(A201&gt;=Premissas!$B$48,A201&lt;=Premissas!$B$27,A201-Premissas!$B$48+1&lt;=Premissas!$B$13),INDEX(Financiamento!$J$6:$J$485,A201-Premissas!$B$48+1),0)</x:f>
        <x:v>0</x:v>
      </x:c>
      <x:c r="H201" s="141" t="n">
        <x:f>IF(AND(A201&gt;=Premissas!$B$48,A201&lt;=Premissas!$B$27,A201-Premissas!$B$48+1&lt;=Premissas!$B$13),INDEX(Financiamento!$M$6:$M$485,A201-Premissas!$B$48+1),0)</x:f>
        <x:v>0</x:v>
      </x:c>
      <x:c r="I201" s="141" t="n">
        <x:f>IF(A201=Premissas!$B$27,MIN(D201,H201),0)</x:f>
        <x:v>0</x:v>
      </x:c>
      <x:c r="J201" s="141" t="n">
        <x:f>IF(A201=Premissas!$B$27,D201-H201,0)</x:f>
        <x:v>0</x:v>
      </x:c>
      <x:c r="K201" s="141" t="n">
        <x:f>E201+G201</x:f>
        <x:v>1449.183899015967</x:v>
      </x:c>
      <x:c r="L201" s="141" t="n">
        <x:f>SUM($K$6:K201)</x:f>
        <x:v>298091.7416539878</x:v>
      </x:c>
      <x:c r="M201" s="141" t="str">
        <x:f>IF(A201&lt;Premissas!$B$27,"Financiamento + consorcio",IF(A201=Premissas!$B$27,"Quitacao via carta",IF(A201&lt;=Premissas!$B$25,"Somente consorcio","Encerrado")))</x:f>
        <x:v>Somente consorcio</x:v>
      </x:c>
      <x:c r="N201" s="141" t="n">
        <x:f>IF(A201&gt;=Premissas!$B$25,0,(N202+E202)/(1+Premissas!$B$41))</x:f>
        <x:v>56824.34946745207</x:v>
      </x:c>
      <x:c r="O201" s="141" t="n">
        <x:f>IF(A201&lt;Premissas!$B$27,Premissas!$B$31/(1+Premissas!$B$41)^(Premissas!$B$27-A201),0)</x:f>
        <x:v>0</x:v>
      </x:c>
      <x:c r="P201" s="141" t="n">
        <x:f>MAX(0,H201-I201)+N201</x:f>
        <x:v>56824.34946745207</x:v>
      </x:c>
    </x:row>
    <x:row r="202">
      <x:c r="A202" s="142" t="n">
        <x:v>197</x:v>
      </x:c>
      <x:c r="B202" s="179" t="n">
        <x:f>EDATE(Premissas!$B$4,196)</x:f>
        <x:v>52505</x:v>
      </x:c>
      <x:c r="C202" s="180" t="n">
        <x:f>(1+Premissas!$B$26)^INT((A202-1)/12)</x:f>
        <x:v>2.5403516846856733</x:v>
      </x:c>
      <x:c r="D202" s="141" t="n">
        <x:f>Premissas!$B$30*C202</x:f>
        <x:v>275958.3732803047</x:v>
      </x:c>
      <x:c r="E202" s="141" t="n">
        <x:f>IF(A202&lt;=Premissas!$B$25,Premissas!$B$32*C202,0)</x:f>
        <x:v>1449.183899015967</x:v>
      </x:c>
      <x:c r="F202" s="141" t="n">
        <x:f>IF(AND(A202&gt;=Premissas!$B$48,A202&lt;=Premissas!$B$27,A202-Premissas!$B$48+1&lt;=Premissas!$B$13),INDEX(Financiamento!$C$6:$C$485,A202-Premissas!$B$48+1),0)</x:f>
        <x:v>0</x:v>
      </x:c>
      <x:c r="G202" s="141" t="n">
        <x:f>IF(AND(A202&gt;=Premissas!$B$48,A202&lt;=Premissas!$B$27,A202-Premissas!$B$48+1&lt;=Premissas!$B$13),INDEX(Financiamento!$J$6:$J$485,A202-Premissas!$B$48+1),0)</x:f>
        <x:v>0</x:v>
      </x:c>
      <x:c r="H202" s="141" t="n">
        <x:f>IF(AND(A202&gt;=Premissas!$B$48,A202&lt;=Premissas!$B$27,A202-Premissas!$B$48+1&lt;=Premissas!$B$13),INDEX(Financiamento!$M$6:$M$485,A202-Premissas!$B$48+1),0)</x:f>
        <x:v>0</x:v>
      </x:c>
      <x:c r="I202" s="141" t="n">
        <x:f>IF(A202=Premissas!$B$27,MIN(D202,H202),0)</x:f>
        <x:v>0</x:v>
      </x:c>
      <x:c r="J202" s="141" t="n">
        <x:f>IF(A202=Premissas!$B$27,D202-H202,0)</x:f>
        <x:v>0</x:v>
      </x:c>
      <x:c r="K202" s="141" t="n">
        <x:f>E202+G202</x:f>
        <x:v>1449.183899015967</x:v>
      </x:c>
      <x:c r="L202" s="141" t="n">
        <x:f>SUM($K$6:K202)</x:f>
        <x:v>299540.92555300373</x:v>
      </x:c>
      <x:c r="M202" s="141" t="str">
        <x:f>IF(A202&lt;Premissas!$B$27,"Financiamento + consorcio",IF(A202=Premissas!$B$27,"Quitacao via carta",IF(A202&lt;=Premissas!$B$25,"Somente consorcio","Encerrado")))</x:f>
        <x:v>Somente consorcio</x:v>
      </x:c>
      <x:c r="N202" s="141" t="n">
        <x:f>IF(A202&gt;=Premissas!$B$25,0,(N203+E203)/(1+Premissas!$B$41))</x:f>
        <x:v>55914.36005417514</x:v>
      </x:c>
      <x:c r="O202" s="141" t="n">
        <x:f>IF(A202&lt;Premissas!$B$27,Premissas!$B$31/(1+Premissas!$B$41)^(Premissas!$B$27-A202),0)</x:f>
        <x:v>0</x:v>
      </x:c>
      <x:c r="P202" s="141" t="n">
        <x:f>MAX(0,H202-I202)+N202</x:f>
        <x:v>55914.36005417514</x:v>
      </x:c>
    </x:row>
    <x:row r="203">
      <x:c r="A203" s="142" t="n">
        <x:v>198</x:v>
      </x:c>
      <x:c r="B203" s="179" t="n">
        <x:f>EDATE(Premissas!$B$4,197)</x:f>
        <x:v>52536</x:v>
      </x:c>
      <x:c r="C203" s="180" t="n">
        <x:f>(1+Premissas!$B$26)^INT((A203-1)/12)</x:f>
        <x:v>2.5403516846856733</x:v>
      </x:c>
      <x:c r="D203" s="141" t="n">
        <x:f>Premissas!$B$30*C203</x:f>
        <x:v>275958.3732803047</x:v>
      </x:c>
      <x:c r="E203" s="141" t="n">
        <x:f>IF(A203&lt;=Premissas!$B$25,Premissas!$B$32*C203,0)</x:f>
        <x:v>1449.183899015967</x:v>
      </x:c>
      <x:c r="F203" s="141" t="n">
        <x:f>IF(AND(A203&gt;=Premissas!$B$48,A203&lt;=Premissas!$B$27,A203-Premissas!$B$48+1&lt;=Premissas!$B$13),INDEX(Financiamento!$C$6:$C$485,A203-Premissas!$B$48+1),0)</x:f>
        <x:v>0</x:v>
      </x:c>
      <x:c r="G203" s="141" t="n">
        <x:f>IF(AND(A203&gt;=Premissas!$B$48,A203&lt;=Premissas!$B$27,A203-Premissas!$B$48+1&lt;=Premissas!$B$13),INDEX(Financiamento!$J$6:$J$485,A203-Premissas!$B$48+1),0)</x:f>
        <x:v>0</x:v>
      </x:c>
      <x:c r="H203" s="141" t="n">
        <x:f>IF(AND(A203&gt;=Premissas!$B$48,A203&lt;=Premissas!$B$27,A203-Premissas!$B$48+1&lt;=Premissas!$B$13),INDEX(Financiamento!$M$6:$M$485,A203-Premissas!$B$48+1),0)</x:f>
        <x:v>0</x:v>
      </x:c>
      <x:c r="I203" s="141" t="n">
        <x:f>IF(A203=Premissas!$B$27,MIN(D203,H203),0)</x:f>
        <x:v>0</x:v>
      </x:c>
      <x:c r="J203" s="141" t="n">
        <x:f>IF(A203=Premissas!$B$27,D203-H203,0)</x:f>
        <x:v>0</x:v>
      </x:c>
      <x:c r="K203" s="141" t="n">
        <x:f>E203+G203</x:f>
        <x:v>1449.183899015967</x:v>
      </x:c>
      <x:c r="L203" s="141" t="n">
        <x:f>SUM($K$6:K203)</x:f>
        <x:v>300990.1094520197</x:v>
      </x:c>
      <x:c r="M203" s="141" t="str">
        <x:f>IF(A203&lt;Premissas!$B$27,"Financiamento + consorcio",IF(A203=Premissas!$B$27,"Quitacao via carta",IF(A203&lt;=Premissas!$B$25,"Somente consorcio","Encerrado")))</x:f>
        <x:v>Somente consorcio</x:v>
      </x:c>
      <x:c r="N203" s="141" t="n">
        <x:f>IF(A203&gt;=Premissas!$B$25,0,(N204+E204)/(1+Premissas!$B$41))</x:f>
        <x:v>54995.73593978296</x:v>
      </x:c>
      <x:c r="O203" s="141" t="n">
        <x:f>IF(A203&lt;Premissas!$B$27,Premissas!$B$31/(1+Premissas!$B$41)^(Premissas!$B$27-A203),0)</x:f>
        <x:v>0</x:v>
      </x:c>
      <x:c r="P203" s="141" t="n">
        <x:f>MAX(0,H203-I203)+N203</x:f>
        <x:v>54995.73593978296</x:v>
      </x:c>
    </x:row>
    <x:row r="204">
      <x:c r="A204" s="142" t="n">
        <x:v>199</x:v>
      </x:c>
      <x:c r="B204" s="179" t="n">
        <x:f>EDATE(Premissas!$B$4,198)</x:f>
        <x:v>52566</x:v>
      </x:c>
      <x:c r="C204" s="180" t="n">
        <x:f>(1+Premissas!$B$26)^INT((A204-1)/12)</x:f>
        <x:v>2.5403516846856733</x:v>
      </x:c>
      <x:c r="D204" s="141" t="n">
        <x:f>Premissas!$B$30*C204</x:f>
        <x:v>275958.3732803047</x:v>
      </x:c>
      <x:c r="E204" s="141" t="n">
        <x:f>IF(A204&lt;=Premissas!$B$25,Premissas!$B$32*C204,0)</x:f>
        <x:v>1449.183899015967</x:v>
      </x:c>
      <x:c r="F204" s="141" t="n">
        <x:f>IF(AND(A204&gt;=Premissas!$B$48,A204&lt;=Premissas!$B$27,A204-Premissas!$B$48+1&lt;=Premissas!$B$13),INDEX(Financiamento!$C$6:$C$485,A204-Premissas!$B$48+1),0)</x:f>
        <x:v>0</x:v>
      </x:c>
      <x:c r="G204" s="141" t="n">
        <x:f>IF(AND(A204&gt;=Premissas!$B$48,A204&lt;=Premissas!$B$27,A204-Premissas!$B$48+1&lt;=Premissas!$B$13),INDEX(Financiamento!$J$6:$J$485,A204-Premissas!$B$48+1),0)</x:f>
        <x:v>0</x:v>
      </x:c>
      <x:c r="H204" s="141" t="n">
        <x:f>IF(AND(A204&gt;=Premissas!$B$48,A204&lt;=Premissas!$B$27,A204-Premissas!$B$48+1&lt;=Premissas!$B$13),INDEX(Financiamento!$M$6:$M$485,A204-Premissas!$B$48+1),0)</x:f>
        <x:v>0</x:v>
      </x:c>
      <x:c r="I204" s="141" t="n">
        <x:f>IF(A204=Premissas!$B$27,MIN(D204,H204),0)</x:f>
        <x:v>0</x:v>
      </x:c>
      <x:c r="J204" s="141" t="n">
        <x:f>IF(A204=Premissas!$B$27,D204-H204,0)</x:f>
        <x:v>0</x:v>
      </x:c>
      <x:c r="K204" s="141" t="n">
        <x:f>E204+G204</x:f>
        <x:v>1449.183899015967</x:v>
      </x:c>
      <x:c r="L204" s="141" t="n">
        <x:f>SUM($K$6:K204)</x:f>
        <x:v>302439.2933510356</x:v>
      </x:c>
      <x:c r="M204" s="141" t="str">
        <x:f>IF(A204&lt;Premissas!$B$27,"Financiamento + consorcio",IF(A204=Premissas!$B$27,"Quitacao via carta",IF(A204&lt;=Premissas!$B$25,"Somente consorcio","Encerrado")))</x:f>
        <x:v>Somente consorcio</x:v>
      </x:c>
      <x:c r="N204" s="141" t="n">
        <x:f>IF(A204&gt;=Premissas!$B$25,0,(N205+E205)/(1+Premissas!$B$41))</x:f>
        <x:v>54068.395191384596</x:v>
      </x:c>
      <x:c r="O204" s="141" t="n">
        <x:f>IF(A204&lt;Premissas!$B$27,Premissas!$B$31/(1+Premissas!$B$41)^(Premissas!$B$27-A204),0)</x:f>
        <x:v>0</x:v>
      </x:c>
      <x:c r="P204" s="141" t="n">
        <x:f>MAX(0,H204-I204)+N204</x:f>
        <x:v>54068.395191384596</x:v>
      </x:c>
    </x:row>
    <x:row r="205">
      <x:c r="A205" s="142" t="n">
        <x:v>200</x:v>
      </x:c>
      <x:c r="B205" s="179" t="n">
        <x:f>EDATE(Premissas!$B$4,199)</x:f>
        <x:v>52597</x:v>
      </x:c>
      <x:c r="C205" s="180" t="n">
        <x:f>(1+Premissas!$B$26)^INT((A205-1)/12)</x:f>
        <x:v>2.5403516846856733</x:v>
      </x:c>
      <x:c r="D205" s="141" t="n">
        <x:f>Premissas!$B$30*C205</x:f>
        <x:v>275958.3732803047</x:v>
      </x:c>
      <x:c r="E205" s="141" t="n">
        <x:f>IF(A205&lt;=Premissas!$B$25,Premissas!$B$32*C205,0)</x:f>
        <x:v>1449.183899015967</x:v>
      </x:c>
      <x:c r="F205" s="141" t="n">
        <x:f>IF(AND(A205&gt;=Premissas!$B$48,A205&lt;=Premissas!$B$27,A205-Premissas!$B$48+1&lt;=Premissas!$B$13),INDEX(Financiamento!$C$6:$C$485,A205-Premissas!$B$48+1),0)</x:f>
        <x:v>0</x:v>
      </x:c>
      <x:c r="G205" s="141" t="n">
        <x:f>IF(AND(A205&gt;=Premissas!$B$48,A205&lt;=Premissas!$B$27,A205-Premissas!$B$48+1&lt;=Premissas!$B$13),INDEX(Financiamento!$J$6:$J$485,A205-Premissas!$B$48+1),0)</x:f>
        <x:v>0</x:v>
      </x:c>
      <x:c r="H205" s="141" t="n">
        <x:f>IF(AND(A205&gt;=Premissas!$B$48,A205&lt;=Premissas!$B$27,A205-Premissas!$B$48+1&lt;=Premissas!$B$13),INDEX(Financiamento!$M$6:$M$485,A205-Premissas!$B$48+1),0)</x:f>
        <x:v>0</x:v>
      </x:c>
      <x:c r="I205" s="141" t="n">
        <x:f>IF(A205=Premissas!$B$27,MIN(D205,H205),0)</x:f>
        <x:v>0</x:v>
      </x:c>
      <x:c r="J205" s="141" t="n">
        <x:f>IF(A205=Premissas!$B$27,D205-H205,0)</x:f>
        <x:v>0</x:v>
      </x:c>
      <x:c r="K205" s="141" t="n">
        <x:f>E205+G205</x:f>
        <x:v>1449.183899015967</x:v>
      </x:c>
      <x:c r="L205" s="141" t="n">
        <x:f>SUM($K$6:K205)</x:f>
        <x:v>303888.47725005157</x:v>
      </x:c>
      <x:c r="M205" s="141" t="str">
        <x:f>IF(A205&lt;Premissas!$B$27,"Financiamento + consorcio",IF(A205=Premissas!$B$27,"Quitacao via carta",IF(A205&lt;=Premissas!$B$25,"Somente consorcio","Encerrado")))</x:f>
        <x:v>Somente consorcio</x:v>
      </x:c>
      <x:c r="N205" s="141" t="n">
        <x:f>IF(A205&gt;=Premissas!$B$25,0,(N206+E206)/(1+Premissas!$B$41))</x:f>
        <x:v>53132.255098644884</x:v>
      </x:c>
      <x:c r="O205" s="141" t="n">
        <x:f>IF(A205&lt;Premissas!$B$27,Premissas!$B$31/(1+Premissas!$B$41)^(Premissas!$B$27-A205),0)</x:f>
        <x:v>0</x:v>
      </x:c>
      <x:c r="P205" s="141" t="n">
        <x:f>MAX(0,H205-I205)+N205</x:f>
        <x:v>53132.255098644884</x:v>
      </x:c>
    </x:row>
    <x:row r="206">
      <x:c r="A206" s="142" t="n">
        <x:v>201</x:v>
      </x:c>
      <x:c r="B206" s="179" t="n">
        <x:f>EDATE(Premissas!$B$4,200)</x:f>
        <x:v>52628</x:v>
      </x:c>
      <x:c r="C206" s="180" t="n">
        <x:f>(1+Premissas!$B$26)^INT((A206-1)/12)</x:f>
        <x:v>2.5403516846856733</x:v>
      </x:c>
      <x:c r="D206" s="141" t="n">
        <x:f>Premissas!$B$30*C206</x:f>
        <x:v>275958.3732803047</x:v>
      </x:c>
      <x:c r="E206" s="141" t="n">
        <x:f>IF(A206&lt;=Premissas!$B$25,Premissas!$B$32*C206,0)</x:f>
        <x:v>1449.183899015967</x:v>
      </x:c>
      <x:c r="F206" s="141" t="n">
        <x:f>IF(AND(A206&gt;=Premissas!$B$48,A206&lt;=Premissas!$B$27,A206-Premissas!$B$48+1&lt;=Premissas!$B$13),INDEX(Financiamento!$C$6:$C$485,A206-Premissas!$B$48+1),0)</x:f>
        <x:v>0</x:v>
      </x:c>
      <x:c r="G206" s="141" t="n">
        <x:f>IF(AND(A206&gt;=Premissas!$B$48,A206&lt;=Premissas!$B$27,A206-Premissas!$B$48+1&lt;=Premissas!$B$13),INDEX(Financiamento!$J$6:$J$485,A206-Premissas!$B$48+1),0)</x:f>
        <x:v>0</x:v>
      </x:c>
      <x:c r="H206" s="141" t="n">
        <x:f>IF(AND(A206&gt;=Premissas!$B$48,A206&lt;=Premissas!$B$27,A206-Premissas!$B$48+1&lt;=Premissas!$B$13),INDEX(Financiamento!$M$6:$M$485,A206-Premissas!$B$48+1),0)</x:f>
        <x:v>0</x:v>
      </x:c>
      <x:c r="I206" s="141" t="n">
        <x:f>IF(A206=Premissas!$B$27,MIN(D206,H206),0)</x:f>
        <x:v>0</x:v>
      </x:c>
      <x:c r="J206" s="141" t="n">
        <x:f>IF(A206=Premissas!$B$27,D206-H206,0)</x:f>
        <x:v>0</x:v>
      </x:c>
      <x:c r="K206" s="141" t="n">
        <x:f>E206+G206</x:f>
        <x:v>1449.183899015967</x:v>
      </x:c>
      <x:c r="L206" s="141" t="n">
        <x:f>SUM($K$6:K206)</x:f>
        <x:v>305337.6611490675</x:v>
      </x:c>
      <x:c r="M206" s="141" t="str">
        <x:f>IF(A206&lt;Premissas!$B$27,"Financiamento + consorcio",IF(A206=Premissas!$B$27,"Quitacao via carta",IF(A206&lt;=Premissas!$B$25,"Somente consorcio","Encerrado")))</x:f>
        <x:v>Somente consorcio</x:v>
      </x:c>
      <x:c r="N206" s="141" t="n">
        <x:f>IF(A206&gt;=Premissas!$B$25,0,(N207+E207)/(1+Premissas!$B$41))</x:f>
        <x:v>52187.232166407404</x:v>
      </x:c>
      <x:c r="O206" s="141" t="n">
        <x:f>IF(A206&lt;Premissas!$B$27,Premissas!$B$31/(1+Premissas!$B$41)^(Premissas!$B$27-A206),0)</x:f>
        <x:v>0</x:v>
      </x:c>
      <x:c r="P206" s="141" t="n">
        <x:f>MAX(0,H206-I206)+N206</x:f>
        <x:v>52187.232166407404</x:v>
      </x:c>
    </x:row>
    <x:row r="207">
      <x:c r="A207" s="142" t="n">
        <x:v>202</x:v>
      </x:c>
      <x:c r="B207" s="179" t="n">
        <x:f>EDATE(Premissas!$B$4,201)</x:f>
        <x:v>52657</x:v>
      </x:c>
      <x:c r="C207" s="180" t="n">
        <x:f>(1+Premissas!$B$26)^INT((A207-1)/12)</x:f>
        <x:v>2.5403516846856733</x:v>
      </x:c>
      <x:c r="D207" s="141" t="n">
        <x:f>Premissas!$B$30*C207</x:f>
        <x:v>275958.3732803047</x:v>
      </x:c>
      <x:c r="E207" s="141" t="n">
        <x:f>IF(A207&lt;=Premissas!$B$25,Premissas!$B$32*C207,0)</x:f>
        <x:v>1449.183899015967</x:v>
      </x:c>
      <x:c r="F207" s="141" t="n">
        <x:f>IF(AND(A207&gt;=Premissas!$B$48,A207&lt;=Premissas!$B$27,A207-Premissas!$B$48+1&lt;=Premissas!$B$13),INDEX(Financiamento!$C$6:$C$485,A207-Premissas!$B$48+1),0)</x:f>
        <x:v>0</x:v>
      </x:c>
      <x:c r="G207" s="141" t="n">
        <x:f>IF(AND(A207&gt;=Premissas!$B$48,A207&lt;=Premissas!$B$27,A207-Premissas!$B$48+1&lt;=Premissas!$B$13),INDEX(Financiamento!$J$6:$J$485,A207-Premissas!$B$48+1),0)</x:f>
        <x:v>0</x:v>
      </x:c>
      <x:c r="H207" s="141" t="n">
        <x:f>IF(AND(A207&gt;=Premissas!$B$48,A207&lt;=Premissas!$B$27,A207-Premissas!$B$48+1&lt;=Premissas!$B$13),INDEX(Financiamento!$M$6:$M$485,A207-Premissas!$B$48+1),0)</x:f>
        <x:v>0</x:v>
      </x:c>
      <x:c r="I207" s="141" t="n">
        <x:f>IF(A207=Premissas!$B$27,MIN(D207,H207),0)</x:f>
        <x:v>0</x:v>
      </x:c>
      <x:c r="J207" s="141" t="n">
        <x:f>IF(A207=Premissas!$B$27,D207-H207,0)</x:f>
        <x:v>0</x:v>
      </x:c>
      <x:c r="K207" s="141" t="n">
        <x:f>E207+G207</x:f>
        <x:v>1449.183899015967</x:v>
      </x:c>
      <x:c r="L207" s="141" t="n">
        <x:f>SUM($K$6:K207)</x:f>
        <x:v>306786.84504808346</x:v>
      </x:c>
      <x:c r="M207" s="141" t="str">
        <x:f>IF(A207&lt;Premissas!$B$27,"Financiamento + consorcio",IF(A207=Premissas!$B$27,"Quitacao via carta",IF(A207&lt;=Premissas!$B$25,"Somente consorcio","Encerrado")))</x:f>
        <x:v>Somente consorcio</x:v>
      </x:c>
      <x:c r="N207" s="141" t="n">
        <x:f>IF(A207&gt;=Premissas!$B$25,0,(N208+E208)/(1+Premissas!$B$41))</x:f>
        <x:v>51233.24210724749</x:v>
      </x:c>
      <x:c r="O207" s="141" t="n">
        <x:f>IF(A207&lt;Premissas!$B$27,Premissas!$B$31/(1+Premissas!$B$41)^(Premissas!$B$27-A207),0)</x:f>
        <x:v>0</x:v>
      </x:c>
      <x:c r="P207" s="141" t="n">
        <x:f>MAX(0,H207-I207)+N207</x:f>
        <x:v>51233.24210724749</x:v>
      </x:c>
    </x:row>
    <x:row r="208">
      <x:c r="A208" s="142" t="n">
        <x:v>203</x:v>
      </x:c>
      <x:c r="B208" s="179" t="n">
        <x:f>EDATE(Premissas!$B$4,202)</x:f>
        <x:v>52688</x:v>
      </x:c>
      <x:c r="C208" s="180" t="n">
        <x:f>(1+Premissas!$B$26)^INT((A208-1)/12)</x:f>
        <x:v>2.5403516846856733</x:v>
      </x:c>
      <x:c r="D208" s="141" t="n">
        <x:f>Premissas!$B$30*C208</x:f>
        <x:v>275958.3732803047</x:v>
      </x:c>
      <x:c r="E208" s="141" t="n">
        <x:f>IF(A208&lt;=Premissas!$B$25,Premissas!$B$32*C208,0)</x:f>
        <x:v>1449.183899015967</x:v>
      </x:c>
      <x:c r="F208" s="141" t="n">
        <x:f>IF(AND(A208&gt;=Premissas!$B$48,A208&lt;=Premissas!$B$27,A208-Premissas!$B$48+1&lt;=Premissas!$B$13),INDEX(Financiamento!$C$6:$C$485,A208-Premissas!$B$48+1),0)</x:f>
        <x:v>0</x:v>
      </x:c>
      <x:c r="G208" s="141" t="n">
        <x:f>IF(AND(A208&gt;=Premissas!$B$48,A208&lt;=Premissas!$B$27,A208-Premissas!$B$48+1&lt;=Premissas!$B$13),INDEX(Financiamento!$J$6:$J$485,A208-Premissas!$B$48+1),0)</x:f>
        <x:v>0</x:v>
      </x:c>
      <x:c r="H208" s="141" t="n">
        <x:f>IF(AND(A208&gt;=Premissas!$B$48,A208&lt;=Premissas!$B$27,A208-Premissas!$B$48+1&lt;=Premissas!$B$13),INDEX(Financiamento!$M$6:$M$485,A208-Premissas!$B$48+1),0)</x:f>
        <x:v>0</x:v>
      </x:c>
      <x:c r="I208" s="141" t="n">
        <x:f>IF(A208=Premissas!$B$27,MIN(D208,H208),0)</x:f>
        <x:v>0</x:v>
      </x:c>
      <x:c r="J208" s="141" t="n">
        <x:f>IF(A208=Premissas!$B$27,D208-H208,0)</x:f>
        <x:v>0</x:v>
      </x:c>
      <x:c r="K208" s="141" t="n">
        <x:f>E208+G208</x:f>
        <x:v>1449.183899015967</x:v>
      </x:c>
      <x:c r="L208" s="141" t="n">
        <x:f>SUM($K$6:K208)</x:f>
        <x:v>308236.0289470994</x:v>
      </x:c>
      <x:c r="M208" s="141" t="str">
        <x:f>IF(A208&lt;Premissas!$B$27,"Financiamento + consorcio",IF(A208=Premissas!$B$27,"Quitacao via carta",IF(A208&lt;=Premissas!$B$25,"Somente consorcio","Encerrado")))</x:f>
        <x:v>Somente consorcio</x:v>
      </x:c>
      <x:c r="N208" s="141" t="n">
        <x:f>IF(A208&gt;=Premissas!$B$25,0,(N209+E209)/(1+Premissas!$B$41))</x:f>
        <x:v>50270.19983395455</x:v>
      </x:c>
      <x:c r="O208" s="141" t="n">
        <x:f>IF(A208&lt;Premissas!$B$27,Premissas!$B$31/(1+Premissas!$B$41)^(Premissas!$B$27-A208),0)</x:f>
        <x:v>0</x:v>
      </x:c>
      <x:c r="P208" s="141" t="n">
        <x:f>MAX(0,H208-I208)+N208</x:f>
        <x:v>50270.19983395455</x:v>
      </x:c>
    </x:row>
    <x:row r="209">
      <x:c r="A209" s="142" t="n">
        <x:v>204</x:v>
      </x:c>
      <x:c r="B209" s="179" t="n">
        <x:f>EDATE(Premissas!$B$4,203)</x:f>
        <x:v>52718</x:v>
      </x:c>
      <x:c r="C209" s="180" t="n">
        <x:f>(1+Premissas!$B$26)^INT((A209-1)/12)</x:f>
        <x:v>2.5403516846856733</x:v>
      </x:c>
      <x:c r="D209" s="141" t="n">
        <x:f>Premissas!$B$30*C209</x:f>
        <x:v>275958.3732803047</x:v>
      </x:c>
      <x:c r="E209" s="141" t="n">
        <x:f>IF(A209&lt;=Premissas!$B$25,Premissas!$B$32*C209,0)</x:f>
        <x:v>1449.183899015967</x:v>
      </x:c>
      <x:c r="F209" s="141" t="n">
        <x:f>IF(AND(A209&gt;=Premissas!$B$48,A209&lt;=Premissas!$B$27,A209-Premissas!$B$48+1&lt;=Premissas!$B$13),INDEX(Financiamento!$C$6:$C$485,A209-Premissas!$B$48+1),0)</x:f>
        <x:v>0</x:v>
      </x:c>
      <x:c r="G209" s="141" t="n">
        <x:f>IF(AND(A209&gt;=Premissas!$B$48,A209&lt;=Premissas!$B$27,A209-Premissas!$B$48+1&lt;=Premissas!$B$13),INDEX(Financiamento!$J$6:$J$485,A209-Premissas!$B$48+1),0)</x:f>
        <x:v>0</x:v>
      </x:c>
      <x:c r="H209" s="141" t="n">
        <x:f>IF(AND(A209&gt;=Premissas!$B$48,A209&lt;=Premissas!$B$27,A209-Premissas!$B$48+1&lt;=Premissas!$B$13),INDEX(Financiamento!$M$6:$M$485,A209-Premissas!$B$48+1),0)</x:f>
        <x:v>0</x:v>
      </x:c>
      <x:c r="I209" s="141" t="n">
        <x:f>IF(A209=Premissas!$B$27,MIN(D209,H209),0)</x:f>
        <x:v>0</x:v>
      </x:c>
      <x:c r="J209" s="141" t="n">
        <x:f>IF(A209=Premissas!$B$27,D209-H209,0)</x:f>
        <x:v>0</x:v>
      </x:c>
      <x:c r="K209" s="141" t="n">
        <x:f>E209+G209</x:f>
        <x:v>1449.183899015967</x:v>
      </x:c>
      <x:c r="L209" s="141" t="n">
        <x:f>SUM($K$6:K209)</x:f>
        <x:v>309685.21284611535</x:v>
      </x:c>
      <x:c r="M209" s="141" t="str">
        <x:f>IF(A209&lt;Premissas!$B$27,"Financiamento + consorcio",IF(A209=Premissas!$B$27,"Quitacao via carta",IF(A209&lt;=Premissas!$B$25,"Somente consorcio","Encerrado")))</x:f>
        <x:v>Somente consorcio</x:v>
      </x:c>
      <x:c r="N209" s="141" t="n">
        <x:f>IF(A209&gt;=Premissas!$B$25,0,(N210+E210)/(1+Premissas!$B$41))</x:f>
        <x:v>49298.019451943095</x:v>
      </x:c>
      <x:c r="O209" s="141" t="n">
        <x:f>IF(A209&lt;Premissas!$B$27,Premissas!$B$31/(1+Premissas!$B$41)^(Premissas!$B$27-A209),0)</x:f>
        <x:v>0</x:v>
      </x:c>
      <x:c r="P209" s="141" t="n">
        <x:f>MAX(0,H209-I209)+N209</x:f>
        <x:v>49298.019451943095</x:v>
      </x:c>
    </x:row>
    <x:row r="210">
      <x:c r="A210" s="142" t="n">
        <x:v>205</x:v>
      </x:c>
      <x:c r="B210" s="179" t="n">
        <x:f>EDATE(Premissas!$B$4,204)</x:f>
        <x:v>52749</x:v>
      </x:c>
      <x:c r="C210" s="180" t="n">
        <x:f>(1+Premissas!$B$26)^INT((A210-1)/12)</x:f>
        <x:v>2.6927727857668136</x:v>
      </x:c>
      <x:c r="D210" s="141" t="n">
        <x:f>Premissas!$B$30*C210</x:f>
        <x:v>292515.87567712297</x:v>
      </x:c>
      <x:c r="E210" s="141" t="n">
        <x:f>IF(A210&lt;=Premissas!$B$25,Premissas!$B$32*C210,0)</x:f>
        <x:v>1536.134932956925</x:v>
      </x:c>
      <x:c r="F210" s="141" t="n">
        <x:f>IF(AND(A210&gt;=Premissas!$B$48,A210&lt;=Premissas!$B$27,A210-Premissas!$B$48+1&lt;=Premissas!$B$13),INDEX(Financiamento!$C$6:$C$485,A210-Premissas!$B$48+1),0)</x:f>
        <x:v>0</x:v>
      </x:c>
      <x:c r="G210" s="141" t="n">
        <x:f>IF(AND(A210&gt;=Premissas!$B$48,A210&lt;=Premissas!$B$27,A210-Premissas!$B$48+1&lt;=Premissas!$B$13),INDEX(Financiamento!$J$6:$J$485,A210-Premissas!$B$48+1),0)</x:f>
        <x:v>0</x:v>
      </x:c>
      <x:c r="H210" s="141" t="n">
        <x:f>IF(AND(A210&gt;=Premissas!$B$48,A210&lt;=Premissas!$B$27,A210-Premissas!$B$48+1&lt;=Premissas!$B$13),INDEX(Financiamento!$M$6:$M$485,A210-Premissas!$B$48+1),0)</x:f>
        <x:v>0</x:v>
      </x:c>
      <x:c r="I210" s="141" t="n">
        <x:f>IF(A210=Premissas!$B$27,MIN(D210,H210),0)</x:f>
        <x:v>0</x:v>
      </x:c>
      <x:c r="J210" s="141" t="n">
        <x:f>IF(A210=Premissas!$B$27,D210-H210,0)</x:f>
        <x:v>0</x:v>
      </x:c>
      <x:c r="K210" s="141" t="n">
        <x:f>E210+G210</x:f>
        <x:v>1536.134932956925</x:v>
      </x:c>
      <x:c r="L210" s="141" t="n">
        <x:f>SUM($K$6:K210)</x:f>
        <x:v>311221.3477790723</x:v>
      </x:c>
      <x:c r="M210" s="141" t="str">
        <x:f>IF(A210&lt;Premissas!$B$27,"Financiamento + consorcio",IF(A210=Premissas!$B$27,"Quitacao via carta",IF(A210&lt;=Premissas!$B$25,"Somente consorcio","Encerrado")))</x:f>
        <x:v>Somente consorcio</x:v>
      </x:c>
      <x:c r="N210" s="141" t="n">
        <x:f>IF(A210&gt;=Premissas!$B$25,0,(N211+E211)/(1+Premissas!$B$41))</x:f>
        <x:v>48229.663217650705</x:v>
      </x:c>
      <x:c r="O210" s="141" t="n">
        <x:f>IF(A210&lt;Premissas!$B$27,Premissas!$B$31/(1+Premissas!$B$41)^(Premissas!$B$27-A210),0)</x:f>
        <x:v>0</x:v>
      </x:c>
      <x:c r="P210" s="141" t="n">
        <x:f>MAX(0,H210-I210)+N210</x:f>
        <x:v>48229.663217650705</x:v>
      </x:c>
    </x:row>
    <x:row r="211">
      <x:c r="A211" s="142" t="n">
        <x:v>206</x:v>
      </x:c>
      <x:c r="B211" s="179" t="n">
        <x:f>EDATE(Premissas!$B$4,205)</x:f>
        <x:v>52779</x:v>
      </x:c>
      <x:c r="C211" s="180" t="n">
        <x:f>(1+Premissas!$B$26)^INT((A211-1)/12)</x:f>
        <x:v>2.6927727857668136</x:v>
      </x:c>
      <x:c r="D211" s="141" t="n">
        <x:f>Premissas!$B$30*C211</x:f>
        <x:v>292515.87567712297</x:v>
      </x:c>
      <x:c r="E211" s="141" t="n">
        <x:f>IF(A211&lt;=Premissas!$B$25,Premissas!$B$32*C211,0)</x:f>
        <x:v>1536.134932956925</x:v>
      </x:c>
      <x:c r="F211" s="141" t="n">
        <x:f>IF(AND(A211&gt;=Premissas!$B$48,A211&lt;=Premissas!$B$27,A211-Premissas!$B$48+1&lt;=Premissas!$B$13),INDEX(Financiamento!$C$6:$C$485,A211-Premissas!$B$48+1),0)</x:f>
        <x:v>0</x:v>
      </x:c>
      <x:c r="G211" s="141" t="n">
        <x:f>IF(AND(A211&gt;=Premissas!$B$48,A211&lt;=Premissas!$B$27,A211-Premissas!$B$48+1&lt;=Premissas!$B$13),INDEX(Financiamento!$J$6:$J$485,A211-Premissas!$B$48+1),0)</x:f>
        <x:v>0</x:v>
      </x:c>
      <x:c r="H211" s="141" t="n">
        <x:f>IF(AND(A211&gt;=Premissas!$B$48,A211&lt;=Premissas!$B$27,A211-Premissas!$B$48+1&lt;=Premissas!$B$13),INDEX(Financiamento!$M$6:$M$485,A211-Premissas!$B$48+1),0)</x:f>
        <x:v>0</x:v>
      </x:c>
      <x:c r="I211" s="141" t="n">
        <x:f>IF(A211=Premissas!$B$27,MIN(D211,H211),0)</x:f>
        <x:v>0</x:v>
      </x:c>
      <x:c r="J211" s="141" t="n">
        <x:f>IF(A211=Premissas!$B$27,D211-H211,0)</x:f>
        <x:v>0</x:v>
      </x:c>
      <x:c r="K211" s="141" t="n">
        <x:f>E211+G211</x:f>
        <x:v>1536.134932956925</x:v>
      </x:c>
      <x:c r="L211" s="141" t="n">
        <x:f>SUM($K$6:K211)</x:f>
        <x:v>312757.48271202925</x:v>
      </x:c>
      <x:c r="M211" s="141" t="str">
        <x:f>IF(A211&lt;Premissas!$B$27,"Financiamento + consorcio",IF(A211=Premissas!$B$27,"Quitacao via carta",IF(A211&lt;=Premissas!$B$25,"Somente consorcio","Encerrado")))</x:f>
        <x:v>Somente consorcio</x:v>
      </x:c>
      <x:c r="N211" s="141" t="n">
        <x:f>IF(A211&gt;=Premissas!$B$25,0,(N212+E212)/(1+Premissas!$B$41))</x:f>
        <x:v>47151.169572270745</x:v>
      </x:c>
      <x:c r="O211" s="141" t="n">
        <x:f>IF(A211&lt;Premissas!$B$27,Premissas!$B$31/(1+Premissas!$B$41)^(Premissas!$B$27-A211),0)</x:f>
        <x:v>0</x:v>
      </x:c>
      <x:c r="P211" s="141" t="n">
        <x:f>MAX(0,H211-I211)+N211</x:f>
        <x:v>47151.169572270745</x:v>
      </x:c>
    </x:row>
    <x:row r="212">
      <x:c r="A212" s="142" t="n">
        <x:v>207</x:v>
      </x:c>
      <x:c r="B212" s="179" t="n">
        <x:f>EDATE(Premissas!$B$4,206)</x:f>
        <x:v>52810</x:v>
      </x:c>
      <x:c r="C212" s="180" t="n">
        <x:f>(1+Premissas!$B$26)^INT((A212-1)/12)</x:f>
        <x:v>2.6927727857668136</x:v>
      </x:c>
      <x:c r="D212" s="141" t="n">
        <x:f>Premissas!$B$30*C212</x:f>
        <x:v>292515.87567712297</x:v>
      </x:c>
      <x:c r="E212" s="141" t="n">
        <x:f>IF(A212&lt;=Premissas!$B$25,Premissas!$B$32*C212,0)</x:f>
        <x:v>1536.134932956925</x:v>
      </x:c>
      <x:c r="F212" s="141" t="n">
        <x:f>IF(AND(A212&gt;=Premissas!$B$48,A212&lt;=Premissas!$B$27,A212-Premissas!$B$48+1&lt;=Premissas!$B$13),INDEX(Financiamento!$C$6:$C$485,A212-Premissas!$B$48+1),0)</x:f>
        <x:v>0</x:v>
      </x:c>
      <x:c r="G212" s="141" t="n">
        <x:f>IF(AND(A212&gt;=Premissas!$B$48,A212&lt;=Premissas!$B$27,A212-Premissas!$B$48+1&lt;=Premissas!$B$13),INDEX(Financiamento!$J$6:$J$485,A212-Premissas!$B$48+1),0)</x:f>
        <x:v>0</x:v>
      </x:c>
      <x:c r="H212" s="141" t="n">
        <x:f>IF(AND(A212&gt;=Premissas!$B$48,A212&lt;=Premissas!$B$27,A212-Premissas!$B$48+1&lt;=Premissas!$B$13),INDEX(Financiamento!$M$6:$M$485,A212-Premissas!$B$48+1),0)</x:f>
        <x:v>0</x:v>
      </x:c>
      <x:c r="I212" s="141" t="n">
        <x:f>IF(A212=Premissas!$B$27,MIN(D212,H212),0)</x:f>
        <x:v>0</x:v>
      </x:c>
      <x:c r="J212" s="141" t="n">
        <x:f>IF(A212=Premissas!$B$27,D212-H212,0)</x:f>
        <x:v>0</x:v>
      </x:c>
      <x:c r="K212" s="141" t="n">
        <x:f>E212+G212</x:f>
        <x:v>1536.134932956925</x:v>
      </x:c>
      <x:c r="L212" s="141" t="n">
        <x:f>SUM($K$6:K212)</x:f>
        <x:v>314293.6176449862</x:v>
      </x:c>
      <x:c r="M212" s="141" t="str">
        <x:f>IF(A212&lt;Premissas!$B$27,"Financiamento + consorcio",IF(A212=Premissas!$B$27,"Quitacao via carta",IF(A212&lt;=Premissas!$B$25,"Somente consorcio","Encerrado")))</x:f>
        <x:v>Somente consorcio</x:v>
      </x:c>
      <x:c r="N212" s="141" t="n">
        <x:f>IF(A212&gt;=Premissas!$B$25,0,(N213+E213)/(1+Premissas!$B$41))</x:f>
        <x:v>46062.44232400851</x:v>
      </x:c>
      <x:c r="O212" s="141" t="n">
        <x:f>IF(A212&lt;Premissas!$B$27,Premissas!$B$31/(1+Premissas!$B$41)^(Premissas!$B$27-A212),0)</x:f>
        <x:v>0</x:v>
      </x:c>
      <x:c r="P212" s="141" t="n">
        <x:f>MAX(0,H212-I212)+N212</x:f>
        <x:v>46062.44232400851</x:v>
      </x:c>
    </x:row>
    <x:row r="213">
      <x:c r="A213" s="142" t="n">
        <x:v>208</x:v>
      </x:c>
      <x:c r="B213" s="179" t="n">
        <x:f>EDATE(Premissas!$B$4,207)</x:f>
        <x:v>52841</x:v>
      </x:c>
      <x:c r="C213" s="180" t="n">
        <x:f>(1+Premissas!$B$26)^INT((A213-1)/12)</x:f>
        <x:v>2.6927727857668136</x:v>
      </x:c>
      <x:c r="D213" s="141" t="n">
        <x:f>Premissas!$B$30*C213</x:f>
        <x:v>292515.87567712297</x:v>
      </x:c>
      <x:c r="E213" s="141" t="n">
        <x:f>IF(A213&lt;=Premissas!$B$25,Premissas!$B$32*C213,0)</x:f>
        <x:v>1536.134932956925</x:v>
      </x:c>
      <x:c r="F213" s="141" t="n">
        <x:f>IF(AND(A213&gt;=Premissas!$B$48,A213&lt;=Premissas!$B$27,A213-Premissas!$B$48+1&lt;=Premissas!$B$13),INDEX(Financiamento!$C$6:$C$485,A213-Premissas!$B$48+1),0)</x:f>
        <x:v>0</x:v>
      </x:c>
      <x:c r="G213" s="141" t="n">
        <x:f>IF(AND(A213&gt;=Premissas!$B$48,A213&lt;=Premissas!$B$27,A213-Premissas!$B$48+1&lt;=Premissas!$B$13),INDEX(Financiamento!$J$6:$J$485,A213-Premissas!$B$48+1),0)</x:f>
        <x:v>0</x:v>
      </x:c>
      <x:c r="H213" s="141" t="n">
        <x:f>IF(AND(A213&gt;=Premissas!$B$48,A213&lt;=Premissas!$B$27,A213-Premissas!$B$48+1&lt;=Premissas!$B$13),INDEX(Financiamento!$M$6:$M$485,A213-Premissas!$B$48+1),0)</x:f>
        <x:v>0</x:v>
      </x:c>
      <x:c r="I213" s="141" t="n">
        <x:f>IF(A213=Premissas!$B$27,MIN(D213,H213),0)</x:f>
        <x:v>0</x:v>
      </x:c>
      <x:c r="J213" s="141" t="n">
        <x:f>IF(A213=Premissas!$B$27,D213-H213,0)</x:f>
        <x:v>0</x:v>
      </x:c>
      <x:c r="K213" s="141" t="n">
        <x:f>E213+G213</x:f>
        <x:v>1536.134932956925</x:v>
      </x:c>
      <x:c r="L213" s="141" t="n">
        <x:f>SUM($K$6:K213)</x:f>
        <x:v>315829.75257794315</x:v>
      </x:c>
      <x:c r="M213" s="141" t="str">
        <x:f>IF(A213&lt;Premissas!$B$27,"Financiamento + consorcio",IF(A213=Premissas!$B$27,"Quitacao via carta",IF(A213&lt;=Premissas!$B$25,"Somente consorcio","Encerrado")))</x:f>
        <x:v>Somente consorcio</x:v>
      </x:c>
      <x:c r="N213" s="141" t="n">
        <x:f>IF(A213&gt;=Premissas!$B$25,0,(N214+E214)/(1+Premissas!$B$41))</x:f>
        <x:v>44963.38436832527</x:v>
      </x:c>
      <x:c r="O213" s="141" t="n">
        <x:f>IF(A213&lt;Premissas!$B$27,Premissas!$B$31/(1+Premissas!$B$41)^(Premissas!$B$27-A213),0)</x:f>
        <x:v>0</x:v>
      </x:c>
      <x:c r="P213" s="141" t="n">
        <x:f>MAX(0,H213-I213)+N213</x:f>
        <x:v>44963.38436832527</x:v>
      </x:c>
    </x:row>
    <x:row r="214">
      <x:c r="A214" s="142" t="n">
        <x:v>209</x:v>
      </x:c>
      <x:c r="B214" s="179" t="n">
        <x:f>EDATE(Premissas!$B$4,208)</x:f>
        <x:v>52871</x:v>
      </x:c>
      <x:c r="C214" s="180" t="n">
        <x:f>(1+Premissas!$B$26)^INT((A214-1)/12)</x:f>
        <x:v>2.6927727857668136</x:v>
      </x:c>
      <x:c r="D214" s="141" t="n">
        <x:f>Premissas!$B$30*C214</x:f>
        <x:v>292515.87567712297</x:v>
      </x:c>
      <x:c r="E214" s="141" t="n">
        <x:f>IF(A214&lt;=Premissas!$B$25,Premissas!$B$32*C214,0)</x:f>
        <x:v>1536.134932956925</x:v>
      </x:c>
      <x:c r="F214" s="141" t="n">
        <x:f>IF(AND(A214&gt;=Premissas!$B$48,A214&lt;=Premissas!$B$27,A214-Premissas!$B$48+1&lt;=Premissas!$B$13),INDEX(Financiamento!$C$6:$C$485,A214-Premissas!$B$48+1),0)</x:f>
        <x:v>0</x:v>
      </x:c>
      <x:c r="G214" s="141" t="n">
        <x:f>IF(AND(A214&gt;=Premissas!$B$48,A214&lt;=Premissas!$B$27,A214-Premissas!$B$48+1&lt;=Premissas!$B$13),INDEX(Financiamento!$J$6:$J$485,A214-Premissas!$B$48+1),0)</x:f>
        <x:v>0</x:v>
      </x:c>
      <x:c r="H214" s="141" t="n">
        <x:f>IF(AND(A214&gt;=Premissas!$B$48,A214&lt;=Premissas!$B$27,A214-Premissas!$B$48+1&lt;=Premissas!$B$13),INDEX(Financiamento!$M$6:$M$485,A214-Premissas!$B$48+1),0)</x:f>
        <x:v>0</x:v>
      </x:c>
      <x:c r="I214" s="141" t="n">
        <x:f>IF(A214=Premissas!$B$27,MIN(D214,H214),0)</x:f>
        <x:v>0</x:v>
      </x:c>
      <x:c r="J214" s="141" t="n">
        <x:f>IF(A214=Premissas!$B$27,D214-H214,0)</x:f>
        <x:v>0</x:v>
      </x:c>
      <x:c r="K214" s="141" t="n">
        <x:f>E214+G214</x:f>
        <x:v>1536.134932956925</x:v>
      </x:c>
      <x:c r="L214" s="141" t="n">
        <x:f>SUM($K$6:K214)</x:f>
        <x:v>317365.8875109001</x:v>
      </x:c>
      <x:c r="M214" s="141" t="str">
        <x:f>IF(A214&lt;Premissas!$B$27,"Financiamento + consorcio",IF(A214=Premissas!$B$27,"Quitacao via carta",IF(A214&lt;=Premissas!$B$25,"Somente consorcio","Encerrado")))</x:f>
        <x:v>Somente consorcio</x:v>
      </x:c>
      <x:c r="N214" s="141" t="n">
        <x:f>IF(A214&gt;=Premissas!$B$25,0,(N215+E215)/(1+Premissas!$B$41))</x:f>
        <x:v>43853.89767927745</x:v>
      </x:c>
      <x:c r="O214" s="141" t="n">
        <x:f>IF(A214&lt;Premissas!$B$27,Premissas!$B$31/(1+Premissas!$B$41)^(Premissas!$B$27-A214),0)</x:f>
        <x:v>0</x:v>
      </x:c>
      <x:c r="P214" s="141" t="n">
        <x:f>MAX(0,H214-I214)+N214</x:f>
        <x:v>43853.89767927745</x:v>
      </x:c>
    </x:row>
    <x:row r="215">
      <x:c r="A215" s="142" t="n">
        <x:v>210</x:v>
      </x:c>
      <x:c r="B215" s="179" t="n">
        <x:f>EDATE(Premissas!$B$4,209)</x:f>
        <x:v>52902</x:v>
      </x:c>
      <x:c r="C215" s="180" t="n">
        <x:f>(1+Premissas!$B$26)^INT((A215-1)/12)</x:f>
        <x:v>2.6927727857668136</x:v>
      </x:c>
      <x:c r="D215" s="141" t="n">
        <x:f>Premissas!$B$30*C215</x:f>
        <x:v>292515.87567712297</x:v>
      </x:c>
      <x:c r="E215" s="141" t="n">
        <x:f>IF(A215&lt;=Premissas!$B$25,Premissas!$B$32*C215,0)</x:f>
        <x:v>1536.134932956925</x:v>
      </x:c>
      <x:c r="F215" s="141" t="n">
        <x:f>IF(AND(A215&gt;=Premissas!$B$48,A215&lt;=Premissas!$B$27,A215-Premissas!$B$48+1&lt;=Premissas!$B$13),INDEX(Financiamento!$C$6:$C$485,A215-Premissas!$B$48+1),0)</x:f>
        <x:v>0</x:v>
      </x:c>
      <x:c r="G215" s="141" t="n">
        <x:f>IF(AND(A215&gt;=Premissas!$B$48,A215&lt;=Premissas!$B$27,A215-Premissas!$B$48+1&lt;=Premissas!$B$13),INDEX(Financiamento!$J$6:$J$485,A215-Premissas!$B$48+1),0)</x:f>
        <x:v>0</x:v>
      </x:c>
      <x:c r="H215" s="141" t="n">
        <x:f>IF(AND(A215&gt;=Premissas!$B$48,A215&lt;=Premissas!$B$27,A215-Premissas!$B$48+1&lt;=Premissas!$B$13),INDEX(Financiamento!$M$6:$M$485,A215-Premissas!$B$48+1),0)</x:f>
        <x:v>0</x:v>
      </x:c>
      <x:c r="I215" s="141" t="n">
        <x:f>IF(A215=Premissas!$B$27,MIN(D215,H215),0)</x:f>
        <x:v>0</x:v>
      </x:c>
      <x:c r="J215" s="141" t="n">
        <x:f>IF(A215=Premissas!$B$27,D215-H215,0)</x:f>
        <x:v>0</x:v>
      </x:c>
      <x:c r="K215" s="141" t="n">
        <x:f>E215+G215</x:f>
        <x:v>1536.134932956925</x:v>
      </x:c>
      <x:c r="L215" s="141" t="n">
        <x:f>SUM($K$6:K215)</x:f>
        <x:v>318902.02244385704</x:v>
      </x:c>
      <x:c r="M215" s="141" t="str">
        <x:f>IF(A215&lt;Premissas!$B$27,"Financiamento + consorcio",IF(A215=Premissas!$B$27,"Quitacao via carta",IF(A215&lt;=Premissas!$B$25,"Somente consorcio","Encerrado")))</x:f>
        <x:v>Somente consorcio</x:v>
      </x:c>
      <x:c r="N215" s="141" t="n">
        <x:f>IF(A215&gt;=Premissas!$B$25,0,(N216+E216)/(1+Premissas!$B$41))</x:f>
        <x:v>42733.883300773574</x:v>
      </x:c>
      <x:c r="O215" s="141" t="n">
        <x:f>IF(A215&lt;Premissas!$B$27,Premissas!$B$31/(1+Premissas!$B$41)^(Premissas!$B$27-A215),0)</x:f>
        <x:v>0</x:v>
      </x:c>
      <x:c r="P215" s="141" t="n">
        <x:f>MAX(0,H215-I215)+N215</x:f>
        <x:v>42733.883300773574</x:v>
      </x:c>
    </x:row>
    <x:row r="216">
      <x:c r="A216" s="142" t="n">
        <x:v>211</x:v>
      </x:c>
      <x:c r="B216" s="179" t="n">
        <x:f>EDATE(Premissas!$B$4,210)</x:f>
        <x:v>52932</x:v>
      </x:c>
      <x:c r="C216" s="180" t="n">
        <x:f>(1+Premissas!$B$26)^INT((A216-1)/12)</x:f>
        <x:v>2.6927727857668136</x:v>
      </x:c>
      <x:c r="D216" s="141" t="n">
        <x:f>Premissas!$B$30*C216</x:f>
        <x:v>292515.87567712297</x:v>
      </x:c>
      <x:c r="E216" s="141" t="n">
        <x:f>IF(A216&lt;=Premissas!$B$25,Premissas!$B$32*C216,0)</x:f>
        <x:v>1536.134932956925</x:v>
      </x:c>
      <x:c r="F216" s="141" t="n">
        <x:f>IF(AND(A216&gt;=Premissas!$B$48,A216&lt;=Premissas!$B$27,A216-Premissas!$B$48+1&lt;=Premissas!$B$13),INDEX(Financiamento!$C$6:$C$485,A216-Premissas!$B$48+1),0)</x:f>
        <x:v>0</x:v>
      </x:c>
      <x:c r="G216" s="141" t="n">
        <x:f>IF(AND(A216&gt;=Premissas!$B$48,A216&lt;=Premissas!$B$27,A216-Premissas!$B$48+1&lt;=Premissas!$B$13),INDEX(Financiamento!$J$6:$J$485,A216-Premissas!$B$48+1),0)</x:f>
        <x:v>0</x:v>
      </x:c>
      <x:c r="H216" s="141" t="n">
        <x:f>IF(AND(A216&gt;=Premissas!$B$48,A216&lt;=Premissas!$B$27,A216-Premissas!$B$48+1&lt;=Premissas!$B$13),INDEX(Financiamento!$M$6:$M$485,A216-Premissas!$B$48+1),0)</x:f>
        <x:v>0</x:v>
      </x:c>
      <x:c r="I216" s="141" t="n">
        <x:f>IF(A216=Premissas!$B$27,MIN(D216,H216),0)</x:f>
        <x:v>0</x:v>
      </x:c>
      <x:c r="J216" s="141" t="n">
        <x:f>IF(A216=Premissas!$B$27,D216-H216,0)</x:f>
        <x:v>0</x:v>
      </x:c>
      <x:c r="K216" s="141" t="n">
        <x:f>E216+G216</x:f>
        <x:v>1536.134932956925</x:v>
      </x:c>
      <x:c r="L216" s="141" t="n">
        <x:f>SUM($K$6:K216)</x:f>
        <x:v>320438.157376814</x:v>
      </x:c>
      <x:c r="M216" s="141" t="str">
        <x:f>IF(A216&lt;Premissas!$B$27,"Financiamento + consorcio",IF(A216=Premissas!$B$27,"Quitacao via carta",IF(A216&lt;=Premissas!$B$25,"Somente consorcio","Encerrado")))</x:f>
        <x:v>Somente consorcio</x:v>
      </x:c>
      <x:c r="N216" s="141" t="n">
        <x:f>IF(A216&gt;=Premissas!$B$25,0,(N217+E217)/(1+Premissas!$B$41))</x:f>
        <x:v>41603.241337748324</x:v>
      </x:c>
      <x:c r="O216" s="141" t="n">
        <x:f>IF(A216&lt;Premissas!$B$27,Premissas!$B$31/(1+Premissas!$B$41)^(Premissas!$B$27-A216),0)</x:f>
        <x:v>0</x:v>
      </x:c>
      <x:c r="P216" s="141" t="n">
        <x:f>MAX(0,H216-I216)+N216</x:f>
        <x:v>41603.241337748324</x:v>
      </x:c>
    </x:row>
    <x:row r="217">
      <x:c r="A217" s="142" t="n">
        <x:v>212</x:v>
      </x:c>
      <x:c r="B217" s="179" t="n">
        <x:f>EDATE(Premissas!$B$4,211)</x:f>
        <x:v>52963</x:v>
      </x:c>
      <x:c r="C217" s="180" t="n">
        <x:f>(1+Premissas!$B$26)^INT((A217-1)/12)</x:f>
        <x:v>2.6927727857668136</x:v>
      </x:c>
      <x:c r="D217" s="141" t="n">
        <x:f>Premissas!$B$30*C217</x:f>
        <x:v>292515.87567712297</x:v>
      </x:c>
      <x:c r="E217" s="141" t="n">
        <x:f>IF(A217&lt;=Premissas!$B$25,Premissas!$B$32*C217,0)</x:f>
        <x:v>1536.134932956925</x:v>
      </x:c>
      <x:c r="F217" s="141" t="n">
        <x:f>IF(AND(A217&gt;=Premissas!$B$48,A217&lt;=Premissas!$B$27,A217-Premissas!$B$48+1&lt;=Premissas!$B$13),INDEX(Financiamento!$C$6:$C$485,A217-Premissas!$B$48+1),0)</x:f>
        <x:v>0</x:v>
      </x:c>
      <x:c r="G217" s="141" t="n">
        <x:f>IF(AND(A217&gt;=Premissas!$B$48,A217&lt;=Premissas!$B$27,A217-Premissas!$B$48+1&lt;=Premissas!$B$13),INDEX(Financiamento!$J$6:$J$485,A217-Premissas!$B$48+1),0)</x:f>
        <x:v>0</x:v>
      </x:c>
      <x:c r="H217" s="141" t="n">
        <x:f>IF(AND(A217&gt;=Premissas!$B$48,A217&lt;=Premissas!$B$27,A217-Premissas!$B$48+1&lt;=Premissas!$B$13),INDEX(Financiamento!$M$6:$M$485,A217-Premissas!$B$48+1),0)</x:f>
        <x:v>0</x:v>
      </x:c>
      <x:c r="I217" s="141" t="n">
        <x:f>IF(A217=Premissas!$B$27,MIN(D217,H217),0)</x:f>
        <x:v>0</x:v>
      </x:c>
      <x:c r="J217" s="141" t="n">
        <x:f>IF(A217=Premissas!$B$27,D217-H217,0)</x:f>
        <x:v>0</x:v>
      </x:c>
      <x:c r="K217" s="141" t="n">
        <x:f>E217+G217</x:f>
        <x:v>1536.134932956925</x:v>
      </x:c>
      <x:c r="L217" s="141" t="n">
        <x:f>SUM($K$6:K217)</x:f>
        <x:v>321974.29230977094</x:v>
      </x:c>
      <x:c r="M217" s="141" t="str">
        <x:f>IF(A217&lt;Premissas!$B$27,"Financiamento + consorcio",IF(A217=Premissas!$B$27,"Quitacao via carta",IF(A217&lt;=Premissas!$B$25,"Somente consorcio","Encerrado")))</x:f>
        <x:v>Somente consorcio</x:v>
      </x:c>
      <x:c r="N217" s="141" t="n">
        <x:f>IF(A217&gt;=Premissas!$B$25,0,(N218+E218)/(1+Premissas!$B$41))</x:f>
        <x:v>40461.87094725278</x:v>
      </x:c>
      <x:c r="O217" s="141" t="n">
        <x:f>IF(A217&lt;Premissas!$B$27,Premissas!$B$31/(1+Premissas!$B$41)^(Premissas!$B$27-A217),0)</x:f>
        <x:v>0</x:v>
      </x:c>
      <x:c r="P217" s="141" t="n">
        <x:f>MAX(0,H217-I217)+N217</x:f>
        <x:v>40461.87094725278</x:v>
      </x:c>
    </x:row>
    <x:row r="218">
      <x:c r="A218" s="142" t="n">
        <x:v>213</x:v>
      </x:c>
      <x:c r="B218" s="179" t="n">
        <x:f>EDATE(Premissas!$B$4,212)</x:f>
        <x:v>52994</x:v>
      </x:c>
      <x:c r="C218" s="180" t="n">
        <x:f>(1+Premissas!$B$26)^INT((A218-1)/12)</x:f>
        <x:v>2.6927727857668136</x:v>
      </x:c>
      <x:c r="D218" s="141" t="n">
        <x:f>Premissas!$B$30*C218</x:f>
        <x:v>292515.87567712297</x:v>
      </x:c>
      <x:c r="E218" s="141" t="n">
        <x:f>IF(A218&lt;=Premissas!$B$25,Premissas!$B$32*C218,0)</x:f>
        <x:v>1536.134932956925</x:v>
      </x:c>
      <x:c r="F218" s="141" t="n">
        <x:f>IF(AND(A218&gt;=Premissas!$B$48,A218&lt;=Premissas!$B$27,A218-Premissas!$B$48+1&lt;=Premissas!$B$13),INDEX(Financiamento!$C$6:$C$485,A218-Premissas!$B$48+1),0)</x:f>
        <x:v>0</x:v>
      </x:c>
      <x:c r="G218" s="141" t="n">
        <x:f>IF(AND(A218&gt;=Premissas!$B$48,A218&lt;=Premissas!$B$27,A218-Premissas!$B$48+1&lt;=Premissas!$B$13),INDEX(Financiamento!$J$6:$J$485,A218-Premissas!$B$48+1),0)</x:f>
        <x:v>0</x:v>
      </x:c>
      <x:c r="H218" s="141" t="n">
        <x:f>IF(AND(A218&gt;=Premissas!$B$48,A218&lt;=Premissas!$B$27,A218-Premissas!$B$48+1&lt;=Premissas!$B$13),INDEX(Financiamento!$M$6:$M$485,A218-Premissas!$B$48+1),0)</x:f>
        <x:v>0</x:v>
      </x:c>
      <x:c r="I218" s="141" t="n">
        <x:f>IF(A218=Premissas!$B$27,MIN(D218,H218),0)</x:f>
        <x:v>0</x:v>
      </x:c>
      <x:c r="J218" s="141" t="n">
        <x:f>IF(A218=Premissas!$B$27,D218-H218,0)</x:f>
        <x:v>0</x:v>
      </x:c>
      <x:c r="K218" s="141" t="n">
        <x:f>E218+G218</x:f>
        <x:v>1536.134932956925</x:v>
      </x:c>
      <x:c r="L218" s="141" t="n">
        <x:f>SUM($K$6:K218)</x:f>
        <x:v>323510.4272427279</x:v>
      </x:c>
      <x:c r="M218" s="141" t="str">
        <x:f>IF(A218&lt;Premissas!$B$27,"Financiamento + consorcio",IF(A218=Premissas!$B$27,"Quitacao via carta",IF(A218&lt;=Premissas!$B$25,"Somente consorcio","Encerrado")))</x:f>
        <x:v>Somente consorcio</x:v>
      </x:c>
      <x:c r="N218" s="141" t="n">
        <x:f>IF(A218&gt;=Premissas!$B$25,0,(N219+E219)/(1+Premissas!$B$41))</x:f>
        <x:v>39309.670329460154</x:v>
      </x:c>
      <x:c r="O218" s="141" t="n">
        <x:f>IF(A218&lt;Premissas!$B$27,Premissas!$B$31/(1+Premissas!$B$41)^(Premissas!$B$27-A218),0)</x:f>
        <x:v>0</x:v>
      </x:c>
      <x:c r="P218" s="141" t="n">
        <x:f>MAX(0,H218-I218)+N218</x:f>
        <x:v>39309.670329460154</x:v>
      </x:c>
    </x:row>
    <x:row r="219">
      <x:c r="A219" s="142" t="n">
        <x:v>214</x:v>
      </x:c>
      <x:c r="B219" s="179" t="n">
        <x:f>EDATE(Premissas!$B$4,213)</x:f>
        <x:v>53022</x:v>
      </x:c>
      <x:c r="C219" s="180" t="n">
        <x:f>(1+Premissas!$B$26)^INT((A219-1)/12)</x:f>
        <x:v>2.6927727857668136</x:v>
      </x:c>
      <x:c r="D219" s="141" t="n">
        <x:f>Premissas!$B$30*C219</x:f>
        <x:v>292515.87567712297</x:v>
      </x:c>
      <x:c r="E219" s="141" t="n">
        <x:f>IF(A219&lt;=Premissas!$B$25,Premissas!$B$32*C219,0)</x:f>
        <x:v>1536.134932956925</x:v>
      </x:c>
      <x:c r="F219" s="141" t="n">
        <x:f>IF(AND(A219&gt;=Premissas!$B$48,A219&lt;=Premissas!$B$27,A219-Premissas!$B$48+1&lt;=Premissas!$B$13),INDEX(Financiamento!$C$6:$C$485,A219-Premissas!$B$48+1),0)</x:f>
        <x:v>0</x:v>
      </x:c>
      <x:c r="G219" s="141" t="n">
        <x:f>IF(AND(A219&gt;=Premissas!$B$48,A219&lt;=Premissas!$B$27,A219-Premissas!$B$48+1&lt;=Premissas!$B$13),INDEX(Financiamento!$J$6:$J$485,A219-Premissas!$B$48+1),0)</x:f>
        <x:v>0</x:v>
      </x:c>
      <x:c r="H219" s="141" t="n">
        <x:f>IF(AND(A219&gt;=Premissas!$B$48,A219&lt;=Premissas!$B$27,A219-Premissas!$B$48+1&lt;=Premissas!$B$13),INDEX(Financiamento!$M$6:$M$485,A219-Premissas!$B$48+1),0)</x:f>
        <x:v>0</x:v>
      </x:c>
      <x:c r="I219" s="141" t="n">
        <x:f>IF(A219=Premissas!$B$27,MIN(D219,H219),0)</x:f>
        <x:v>0</x:v>
      </x:c>
      <x:c r="J219" s="141" t="n">
        <x:f>IF(A219=Premissas!$B$27,D219-H219,0)</x:f>
        <x:v>0</x:v>
      </x:c>
      <x:c r="K219" s="141" t="n">
        <x:f>E219+G219</x:f>
        <x:v>1536.134932956925</x:v>
      </x:c>
      <x:c r="L219" s="141" t="n">
        <x:f>SUM($K$6:K219)</x:f>
        <x:v>325046.56217568484</x:v>
      </x:c>
      <x:c r="M219" s="141" t="str">
        <x:f>IF(A219&lt;Premissas!$B$27,"Financiamento + consorcio",IF(A219=Premissas!$B$27,"Quitacao via carta",IF(A219&lt;=Premissas!$B$25,"Somente consorcio","Encerrado")))</x:f>
        <x:v>Somente consorcio</x:v>
      </x:c>
      <x:c r="N219" s="141" t="n">
        <x:f>IF(A219&gt;=Premissas!$B$25,0,(N220+E220)/(1+Premissas!$B$41))</x:f>
        <x:v>38146.5367185862</x:v>
      </x:c>
      <x:c r="O219" s="141" t="n">
        <x:f>IF(A219&lt;Premissas!$B$27,Premissas!$B$31/(1+Premissas!$B$41)^(Premissas!$B$27-A219),0)</x:f>
        <x:v>0</x:v>
      </x:c>
      <x:c r="P219" s="141" t="n">
        <x:f>MAX(0,H219-I219)+N219</x:f>
        <x:v>38146.5367185862</x:v>
      </x:c>
    </x:row>
    <x:row r="220">
      <x:c r="A220" s="142" t="n">
        <x:v>215</x:v>
      </x:c>
      <x:c r="B220" s="179" t="n">
        <x:f>EDATE(Premissas!$B$4,214)</x:f>
        <x:v>53053</x:v>
      </x:c>
      <x:c r="C220" s="180" t="n">
        <x:f>(1+Premissas!$B$26)^INT((A220-1)/12)</x:f>
        <x:v>2.6927727857668136</x:v>
      </x:c>
      <x:c r="D220" s="141" t="n">
        <x:f>Premissas!$B$30*C220</x:f>
        <x:v>292515.87567712297</x:v>
      </x:c>
      <x:c r="E220" s="141" t="n">
        <x:f>IF(A220&lt;=Premissas!$B$25,Premissas!$B$32*C220,0)</x:f>
        <x:v>1536.134932956925</x:v>
      </x:c>
      <x:c r="F220" s="141" t="n">
        <x:f>IF(AND(A220&gt;=Premissas!$B$48,A220&lt;=Premissas!$B$27,A220-Premissas!$B$48+1&lt;=Premissas!$B$13),INDEX(Financiamento!$C$6:$C$485,A220-Premissas!$B$48+1),0)</x:f>
        <x:v>0</x:v>
      </x:c>
      <x:c r="G220" s="141" t="n">
        <x:f>IF(AND(A220&gt;=Premissas!$B$48,A220&lt;=Premissas!$B$27,A220-Premissas!$B$48+1&lt;=Premissas!$B$13),INDEX(Financiamento!$J$6:$J$485,A220-Premissas!$B$48+1),0)</x:f>
        <x:v>0</x:v>
      </x:c>
      <x:c r="H220" s="141" t="n">
        <x:f>IF(AND(A220&gt;=Premissas!$B$48,A220&lt;=Premissas!$B$27,A220-Premissas!$B$48+1&lt;=Premissas!$B$13),INDEX(Financiamento!$M$6:$M$485,A220-Premissas!$B$48+1),0)</x:f>
        <x:v>0</x:v>
      </x:c>
      <x:c r="I220" s="141" t="n">
        <x:f>IF(A220=Premissas!$B$27,MIN(D220,H220),0)</x:f>
        <x:v>0</x:v>
      </x:c>
      <x:c r="J220" s="141" t="n">
        <x:f>IF(A220=Premissas!$B$27,D220-H220,0)</x:f>
        <x:v>0</x:v>
      </x:c>
      <x:c r="K220" s="141" t="n">
        <x:f>E220+G220</x:f>
        <x:v>1536.134932956925</x:v>
      </x:c>
      <x:c r="L220" s="141" t="n">
        <x:f>SUM($K$6:K220)</x:f>
        <x:v>326582.6971086418</x:v>
      </x:c>
      <x:c r="M220" s="141" t="str">
        <x:f>IF(A220&lt;Premissas!$B$27,"Financiamento + consorcio",IF(A220=Premissas!$B$27,"Quitacao via carta",IF(A220&lt;=Premissas!$B$25,"Somente consorcio","Encerrado")))</x:f>
        <x:v>Somente consorcio</x:v>
      </x:c>
      <x:c r="N220" s="141" t="n">
        <x:f>IF(A220&gt;=Premissas!$B$25,0,(N221+E221)/(1+Premissas!$B$41))</x:f>
        <x:v>36972.3663737234</x:v>
      </x:c>
      <x:c r="O220" s="141" t="n">
        <x:f>IF(A220&lt;Premissas!$B$27,Premissas!$B$31/(1+Premissas!$B$41)^(Premissas!$B$27-A220),0)</x:f>
        <x:v>0</x:v>
      </x:c>
      <x:c r="P220" s="141" t="n">
        <x:f>MAX(0,H220-I220)+N220</x:f>
        <x:v>36972.3663737234</x:v>
      </x:c>
    </x:row>
    <x:row r="221">
      <x:c r="A221" s="142" t="n">
        <x:v>216</x:v>
      </x:c>
      <x:c r="B221" s="179" t="n">
        <x:f>EDATE(Premissas!$B$4,215)</x:f>
        <x:v>53083</x:v>
      </x:c>
      <x:c r="C221" s="180" t="n">
        <x:f>(1+Premissas!$B$26)^INT((A221-1)/12)</x:f>
        <x:v>2.6927727857668136</x:v>
      </x:c>
      <x:c r="D221" s="141" t="n">
        <x:f>Premissas!$B$30*C221</x:f>
        <x:v>292515.87567712297</x:v>
      </x:c>
      <x:c r="E221" s="141" t="n">
        <x:f>IF(A221&lt;=Premissas!$B$25,Premissas!$B$32*C221,0)</x:f>
        <x:v>1536.134932956925</x:v>
      </x:c>
      <x:c r="F221" s="141" t="n">
        <x:f>IF(AND(A221&gt;=Premissas!$B$48,A221&lt;=Premissas!$B$27,A221-Premissas!$B$48+1&lt;=Premissas!$B$13),INDEX(Financiamento!$C$6:$C$485,A221-Premissas!$B$48+1),0)</x:f>
        <x:v>0</x:v>
      </x:c>
      <x:c r="G221" s="141" t="n">
        <x:f>IF(AND(A221&gt;=Premissas!$B$48,A221&lt;=Premissas!$B$27,A221-Premissas!$B$48+1&lt;=Premissas!$B$13),INDEX(Financiamento!$J$6:$J$485,A221-Premissas!$B$48+1),0)</x:f>
        <x:v>0</x:v>
      </x:c>
      <x:c r="H221" s="141" t="n">
        <x:f>IF(AND(A221&gt;=Premissas!$B$48,A221&lt;=Premissas!$B$27,A221-Premissas!$B$48+1&lt;=Premissas!$B$13),INDEX(Financiamento!$M$6:$M$485,A221-Premissas!$B$48+1),0)</x:f>
        <x:v>0</x:v>
      </x:c>
      <x:c r="I221" s="141" t="n">
        <x:f>IF(A221=Premissas!$B$27,MIN(D221,H221),0)</x:f>
        <x:v>0</x:v>
      </x:c>
      <x:c r="J221" s="141" t="n">
        <x:f>IF(A221=Premissas!$B$27,D221-H221,0)</x:f>
        <x:v>0</x:v>
      </x:c>
      <x:c r="K221" s="141" t="n">
        <x:f>E221+G221</x:f>
        <x:v>1536.134932956925</x:v>
      </x:c>
      <x:c r="L221" s="141" t="n">
        <x:f>SUM($K$6:K221)</x:f>
        <x:v>328118.83204159874</x:v>
      </x:c>
      <x:c r="M221" s="141" t="str">
        <x:f>IF(A221&lt;Premissas!$B$27,"Financiamento + consorcio",IF(A221=Premissas!$B$27,"Quitacao via carta",IF(A221&lt;=Premissas!$B$25,"Somente consorcio","Encerrado")))</x:f>
        <x:v>Somente consorcio</x:v>
      </x:c>
      <x:c r="N221" s="141" t="n">
        <x:f>IF(A221&gt;=Premissas!$B$25,0,(N222+E222)/(1+Premissas!$B$41))</x:f>
        <x:v>35787.054569588276</x:v>
      </x:c>
      <x:c r="O221" s="141" t="n">
        <x:f>IF(A221&lt;Premissas!$B$27,Premissas!$B$31/(1+Premissas!$B$41)^(Premissas!$B$27-A221),0)</x:f>
        <x:v>0</x:v>
      </x:c>
      <x:c r="P221" s="141" t="n">
        <x:f>MAX(0,H221-I221)+N221</x:f>
        <x:v>35787.054569588276</x:v>
      </x:c>
    </x:row>
    <x:row r="222">
      <x:c r="A222" s="142" t="n">
        <x:v>217</x:v>
      </x:c>
      <x:c r="B222" s="179" t="n">
        <x:f>EDATE(Premissas!$B$4,216)</x:f>
        <x:v>53114</x:v>
      </x:c>
      <x:c r="C222" s="180" t="n">
        <x:f>(1+Premissas!$B$26)^INT((A222-1)/12)</x:f>
        <x:v>2.854339152912823</x:v>
      </x:c>
      <x:c r="D222" s="141" t="n">
        <x:f>Premissas!$B$30*C222</x:f>
        <x:v>310066.82821775036</x:v>
      </x:c>
      <x:c r="E222" s="141" t="n">
        <x:f>IF(A222&lt;=Premissas!$B$25,Premissas!$B$32*C222,0)</x:f>
        <x:v>1628.3030289343405</x:v>
      </x:c>
      <x:c r="F222" s="141" t="n">
        <x:f>IF(AND(A222&gt;=Premissas!$B$48,A222&lt;=Premissas!$B$27,A222-Premissas!$B$48+1&lt;=Premissas!$B$13),INDEX(Financiamento!$C$6:$C$485,A222-Premissas!$B$48+1),0)</x:f>
        <x:v>0</x:v>
      </x:c>
      <x:c r="G222" s="141" t="n">
        <x:f>IF(AND(A222&gt;=Premissas!$B$48,A222&lt;=Premissas!$B$27,A222-Premissas!$B$48+1&lt;=Premissas!$B$13),INDEX(Financiamento!$J$6:$J$485,A222-Premissas!$B$48+1),0)</x:f>
        <x:v>0</x:v>
      </x:c>
      <x:c r="H222" s="141" t="n">
        <x:f>IF(AND(A222&gt;=Premissas!$B$48,A222&lt;=Premissas!$B$27,A222-Premissas!$B$48+1&lt;=Premissas!$B$13),INDEX(Financiamento!$M$6:$M$485,A222-Premissas!$B$48+1),0)</x:f>
        <x:v>0</x:v>
      </x:c>
      <x:c r="I222" s="141" t="n">
        <x:f>IF(A222=Premissas!$B$27,MIN(D222,H222),0)</x:f>
        <x:v>0</x:v>
      </x:c>
      <x:c r="J222" s="141" t="n">
        <x:f>IF(A222=Premissas!$B$27,D222-H222,0)</x:f>
        <x:v>0</x:v>
      </x:c>
      <x:c r="K222" s="141" t="n">
        <x:f>E222+G222</x:f>
        <x:v>1628.3030289343405</x:v>
      </x:c>
      <x:c r="L222" s="141" t="n">
        <x:f>SUM($K$6:K222)</x:f>
        <x:v>329747.1350705331</x:v>
      </x:c>
      <x:c r="M222" s="141" t="str">
        <x:f>IF(A222&lt;Premissas!$B$27,"Financiamento + consorcio",IF(A222=Premissas!$B$27,"Quitacao via carta",IF(A222&lt;=Premissas!$B$25,"Somente consorcio","Encerrado")))</x:f>
        <x:v>Somente consorcio</x:v>
      </x:c>
      <x:c r="N222" s="141" t="n">
        <x:f>IF(A222&gt;=Premissas!$B$25,0,(N223+E223)/(1+Premissas!$B$41))</x:f>
        <x:v>34498.32749120338</x:v>
      </x:c>
      <x:c r="O222" s="141" t="n">
        <x:f>IF(A222&lt;Premissas!$B$27,Premissas!$B$31/(1+Premissas!$B$41)^(Premissas!$B$27-A222),0)</x:f>
        <x:v>0</x:v>
      </x:c>
      <x:c r="P222" s="141" t="n">
        <x:f>MAX(0,H222-I222)+N222</x:f>
        <x:v>34498.32749120338</x:v>
      </x:c>
    </x:row>
    <x:row r="223">
      <x:c r="A223" s="142" t="n">
        <x:v>218</x:v>
      </x:c>
      <x:c r="B223" s="179" t="n">
        <x:f>EDATE(Premissas!$B$4,217)</x:f>
        <x:v>53144</x:v>
      </x:c>
      <x:c r="C223" s="180" t="n">
        <x:f>(1+Premissas!$B$26)^INT((A223-1)/12)</x:f>
        <x:v>2.854339152912823</x:v>
      </x:c>
      <x:c r="D223" s="141" t="n">
        <x:f>Premissas!$B$30*C223</x:f>
        <x:v>310066.82821775036</x:v>
      </x:c>
      <x:c r="E223" s="141" t="n">
        <x:f>IF(A223&lt;=Premissas!$B$25,Premissas!$B$32*C223,0)</x:f>
        <x:v>1628.3030289343405</x:v>
      </x:c>
      <x:c r="F223" s="141" t="n">
        <x:f>IF(AND(A223&gt;=Premissas!$B$48,A223&lt;=Premissas!$B$27,A223-Premissas!$B$48+1&lt;=Premissas!$B$13),INDEX(Financiamento!$C$6:$C$485,A223-Premissas!$B$48+1),0)</x:f>
        <x:v>0</x:v>
      </x:c>
      <x:c r="G223" s="141" t="n">
        <x:f>IF(AND(A223&gt;=Premissas!$B$48,A223&lt;=Premissas!$B$27,A223-Premissas!$B$48+1&lt;=Premissas!$B$13),INDEX(Financiamento!$J$6:$J$485,A223-Premissas!$B$48+1),0)</x:f>
        <x:v>0</x:v>
      </x:c>
      <x:c r="H223" s="141" t="n">
        <x:f>IF(AND(A223&gt;=Premissas!$B$48,A223&lt;=Premissas!$B$27,A223-Premissas!$B$48+1&lt;=Premissas!$B$13),INDEX(Financiamento!$M$6:$M$485,A223-Premissas!$B$48+1),0)</x:f>
        <x:v>0</x:v>
      </x:c>
      <x:c r="I223" s="141" t="n">
        <x:f>IF(A223=Premissas!$B$27,MIN(D223,H223),0)</x:f>
        <x:v>0</x:v>
      </x:c>
      <x:c r="J223" s="141" t="n">
        <x:f>IF(A223=Premissas!$B$27,D223-H223,0)</x:f>
        <x:v>0</x:v>
      </x:c>
      <x:c r="K223" s="141" t="n">
        <x:f>E223+G223</x:f>
        <x:v>1628.3030289343405</x:v>
      </x:c>
      <x:c r="L223" s="141" t="n">
        <x:f>SUM($K$6:K223)</x:f>
        <x:v>331375.4380994674</x:v>
      </x:c>
      <x:c r="M223" s="141" t="str">
        <x:f>IF(A223&lt;Premissas!$B$27,"Financiamento + consorcio",IF(A223=Premissas!$B$27,"Quitacao via carta",IF(A223&lt;=Premissas!$B$25,"Somente consorcio","Encerrado")))</x:f>
        <x:v>Somente consorcio</x:v>
      </x:c>
      <x:c r="N223" s="141" t="n">
        <x:f>IF(A223&gt;=Premissas!$B$25,0,(N224+E224)/(1+Premissas!$B$41))</x:f>
        <x:v>33197.3719484225</x:v>
      </x:c>
      <x:c r="O223" s="141" t="n">
        <x:f>IF(A223&lt;Premissas!$B$27,Premissas!$B$31/(1+Premissas!$B$41)^(Premissas!$B$27-A223),0)</x:f>
        <x:v>0</x:v>
      </x:c>
      <x:c r="P223" s="141" t="n">
        <x:f>MAX(0,H223-I223)+N223</x:f>
        <x:v>33197.3719484225</x:v>
      </x:c>
    </x:row>
    <x:row r="224">
      <x:c r="A224" s="142" t="n">
        <x:v>219</x:v>
      </x:c>
      <x:c r="B224" s="179" t="n">
        <x:f>EDATE(Premissas!$B$4,218)</x:f>
        <x:v>53175</x:v>
      </x:c>
      <x:c r="C224" s="180" t="n">
        <x:f>(1+Premissas!$B$26)^INT((A224-1)/12)</x:f>
        <x:v>2.854339152912823</x:v>
      </x:c>
      <x:c r="D224" s="141" t="n">
        <x:f>Premissas!$B$30*C224</x:f>
        <x:v>310066.82821775036</x:v>
      </x:c>
      <x:c r="E224" s="141" t="n">
        <x:f>IF(A224&lt;=Premissas!$B$25,Premissas!$B$32*C224,0)</x:f>
        <x:v>1628.3030289343405</x:v>
      </x:c>
      <x:c r="F224" s="141" t="n">
        <x:f>IF(AND(A224&gt;=Premissas!$B$48,A224&lt;=Premissas!$B$27,A224-Premissas!$B$48+1&lt;=Premissas!$B$13),INDEX(Financiamento!$C$6:$C$485,A224-Premissas!$B$48+1),0)</x:f>
        <x:v>0</x:v>
      </x:c>
      <x:c r="G224" s="141" t="n">
        <x:f>IF(AND(A224&gt;=Premissas!$B$48,A224&lt;=Premissas!$B$27,A224-Premissas!$B$48+1&lt;=Premissas!$B$13),INDEX(Financiamento!$J$6:$J$485,A224-Premissas!$B$48+1),0)</x:f>
        <x:v>0</x:v>
      </x:c>
      <x:c r="H224" s="141" t="n">
        <x:f>IF(AND(A224&gt;=Premissas!$B$48,A224&lt;=Premissas!$B$27,A224-Premissas!$B$48+1&lt;=Premissas!$B$13),INDEX(Financiamento!$M$6:$M$485,A224-Premissas!$B$48+1),0)</x:f>
        <x:v>0</x:v>
      </x:c>
      <x:c r="I224" s="141" t="n">
        <x:f>IF(A224=Premissas!$B$27,MIN(D224,H224),0)</x:f>
        <x:v>0</x:v>
      </x:c>
      <x:c r="J224" s="141" t="n">
        <x:f>IF(A224=Premissas!$B$27,D224-H224,0)</x:f>
        <x:v>0</x:v>
      </x:c>
      <x:c r="K224" s="141" t="n">
        <x:f>E224+G224</x:f>
        <x:v>1628.3030289343405</x:v>
      </x:c>
      <x:c r="L224" s="141" t="n">
        <x:f>SUM($K$6:K224)</x:f>
        <x:v>333003.7411284018</x:v>
      </x:c>
      <x:c r="M224" s="141" t="str">
        <x:f>IF(A224&lt;Premissas!$B$27,"Financiamento + consorcio",IF(A224=Premissas!$B$27,"Quitacao via carta",IF(A224&lt;=Premissas!$B$25,"Somente consorcio","Encerrado")))</x:f>
        <x:v>Somente consorcio</x:v>
      </x:c>
      <x:c r="N224" s="141" t="n">
        <x:f>IF(A224&gt;=Premissas!$B$25,0,(N225+E225)/(1+Premissas!$B$41))</x:f>
        <x:v>31884.071907879075</x:v>
      </x:c>
      <x:c r="O224" s="141" t="n">
        <x:f>IF(A224&lt;Premissas!$B$27,Premissas!$B$31/(1+Premissas!$B$41)^(Premissas!$B$27-A224),0)</x:f>
        <x:v>0</x:v>
      </x:c>
      <x:c r="P224" s="141" t="n">
        <x:f>MAX(0,H224-I224)+N224</x:f>
        <x:v>31884.071907879075</x:v>
      </x:c>
    </x:row>
    <x:row r="225">
      <x:c r="A225" s="142" t="n">
        <x:v>220</x:v>
      </x:c>
      <x:c r="B225" s="179" t="n">
        <x:f>EDATE(Premissas!$B$4,219)</x:f>
        <x:v>53206</x:v>
      </x:c>
      <x:c r="C225" s="180" t="n">
        <x:f>(1+Premissas!$B$26)^INT((A225-1)/12)</x:f>
        <x:v>2.854339152912823</x:v>
      </x:c>
      <x:c r="D225" s="141" t="n">
        <x:f>Premissas!$B$30*C225</x:f>
        <x:v>310066.82821775036</x:v>
      </x:c>
      <x:c r="E225" s="141" t="n">
        <x:f>IF(A225&lt;=Premissas!$B$25,Premissas!$B$32*C225,0)</x:f>
        <x:v>1628.3030289343405</x:v>
      </x:c>
      <x:c r="F225" s="141" t="n">
        <x:f>IF(AND(A225&gt;=Premissas!$B$48,A225&lt;=Premissas!$B$27,A225-Premissas!$B$48+1&lt;=Premissas!$B$13),INDEX(Financiamento!$C$6:$C$485,A225-Premissas!$B$48+1),0)</x:f>
        <x:v>0</x:v>
      </x:c>
      <x:c r="G225" s="141" t="n">
        <x:f>IF(AND(A225&gt;=Premissas!$B$48,A225&lt;=Premissas!$B$27,A225-Premissas!$B$48+1&lt;=Premissas!$B$13),INDEX(Financiamento!$J$6:$J$485,A225-Premissas!$B$48+1),0)</x:f>
        <x:v>0</x:v>
      </x:c>
      <x:c r="H225" s="141" t="n">
        <x:f>IF(AND(A225&gt;=Premissas!$B$48,A225&lt;=Premissas!$B$27,A225-Premissas!$B$48+1&lt;=Premissas!$B$13),INDEX(Financiamento!$M$6:$M$485,A225-Premissas!$B$48+1),0)</x:f>
        <x:v>0</x:v>
      </x:c>
      <x:c r="I225" s="141" t="n">
        <x:f>IF(A225=Premissas!$B$27,MIN(D225,H225),0)</x:f>
        <x:v>0</x:v>
      </x:c>
      <x:c r="J225" s="141" t="n">
        <x:f>IF(A225=Premissas!$B$27,D225-H225,0)</x:f>
        <x:v>0</x:v>
      </x:c>
      <x:c r="K225" s="141" t="n">
        <x:f>E225+G225</x:f>
        <x:v>1628.3030289343405</x:v>
      </x:c>
      <x:c r="L225" s="141" t="n">
        <x:f>SUM($K$6:K225)</x:f>
        <x:v>334632.0441573361</x:v>
      </x:c>
      <x:c r="M225" s="141" t="str">
        <x:f>IF(A225&lt;Premissas!$B$27,"Financiamento + consorcio",IF(A225=Premissas!$B$27,"Quitacao via carta",IF(A225&lt;=Premissas!$B$25,"Somente consorcio","Encerrado")))</x:f>
        <x:v>Somente consorcio</x:v>
      </x:c>
      <x:c r="N225" s="141" t="n">
        <x:f>IF(A225&gt;=Premissas!$B$25,0,(N226+E226)/(1+Premissas!$B$41))</x:f>
        <x:v>30558.310235189954</x:v>
      </x:c>
      <x:c r="O225" s="141" t="n">
        <x:f>IF(A225&lt;Premissas!$B$27,Premissas!$B$31/(1+Premissas!$B$41)^(Premissas!$B$27-A225),0)</x:f>
        <x:v>0</x:v>
      </x:c>
      <x:c r="P225" s="141" t="n">
        <x:f>MAX(0,H225-I225)+N225</x:f>
        <x:v>30558.310235189954</x:v>
      </x:c>
    </x:row>
    <x:row r="226">
      <x:c r="A226" s="142" t="n">
        <x:v>221</x:v>
      </x:c>
      <x:c r="B226" s="179" t="n">
        <x:f>EDATE(Premissas!$B$4,220)</x:f>
        <x:v>53236</x:v>
      </x:c>
      <x:c r="C226" s="180" t="n">
        <x:f>(1+Premissas!$B$26)^INT((A226-1)/12)</x:f>
        <x:v>2.854339152912823</x:v>
      </x:c>
      <x:c r="D226" s="141" t="n">
        <x:f>Premissas!$B$30*C226</x:f>
        <x:v>310066.82821775036</x:v>
      </x:c>
      <x:c r="E226" s="141" t="n">
        <x:f>IF(A226&lt;=Premissas!$B$25,Premissas!$B$32*C226,0)</x:f>
        <x:v>1628.3030289343405</x:v>
      </x:c>
      <x:c r="F226" s="141" t="n">
        <x:f>IF(AND(A226&gt;=Premissas!$B$48,A226&lt;=Premissas!$B$27,A226-Premissas!$B$48+1&lt;=Premissas!$B$13),INDEX(Financiamento!$C$6:$C$485,A226-Premissas!$B$48+1),0)</x:f>
        <x:v>0</x:v>
      </x:c>
      <x:c r="G226" s="141" t="n">
        <x:f>IF(AND(A226&gt;=Premissas!$B$48,A226&lt;=Premissas!$B$27,A226-Premissas!$B$48+1&lt;=Premissas!$B$13),INDEX(Financiamento!$J$6:$J$485,A226-Premissas!$B$48+1),0)</x:f>
        <x:v>0</x:v>
      </x:c>
      <x:c r="H226" s="141" t="n">
        <x:f>IF(AND(A226&gt;=Premissas!$B$48,A226&lt;=Premissas!$B$27,A226-Premissas!$B$48+1&lt;=Premissas!$B$13),INDEX(Financiamento!$M$6:$M$485,A226-Premissas!$B$48+1),0)</x:f>
        <x:v>0</x:v>
      </x:c>
      <x:c r="I226" s="141" t="n">
        <x:f>IF(A226=Premissas!$B$27,MIN(D226,H226),0)</x:f>
        <x:v>0</x:v>
      </x:c>
      <x:c r="J226" s="141" t="n">
        <x:f>IF(A226=Premissas!$B$27,D226-H226,0)</x:f>
        <x:v>0</x:v>
      </x:c>
      <x:c r="K226" s="141" t="n">
        <x:f>E226+G226</x:f>
        <x:v>1628.3030289343405</x:v>
      </x:c>
      <x:c r="L226" s="141" t="n">
        <x:f>SUM($K$6:K226)</x:f>
        <x:v>336260.34718627046</x:v>
      </x:c>
      <x:c r="M226" s="141" t="str">
        <x:f>IF(A226&lt;Premissas!$B$27,"Financiamento + consorcio",IF(A226=Premissas!$B$27,"Quitacao via carta",IF(A226&lt;=Premissas!$B$25,"Somente consorcio","Encerrado")))</x:f>
        <x:v>Somente consorcio</x:v>
      </x:c>
      <x:c r="N226" s="141" t="n">
        <x:f>IF(A226&gt;=Premissas!$B$25,0,(N227+E227)/(1+Premissas!$B$41))</x:f>
        <x:v>29219.96868450808</x:v>
      </x:c>
      <x:c r="O226" s="141" t="n">
        <x:f>IF(A226&lt;Premissas!$B$27,Premissas!$B$31/(1+Premissas!$B$41)^(Premissas!$B$27-A226),0)</x:f>
        <x:v>0</x:v>
      </x:c>
      <x:c r="P226" s="141" t="n">
        <x:f>MAX(0,H226-I226)+N226</x:f>
        <x:v>29219.96868450808</x:v>
      </x:c>
    </x:row>
    <x:row r="227">
      <x:c r="A227" s="142" t="n">
        <x:v>222</x:v>
      </x:c>
      <x:c r="B227" s="179" t="n">
        <x:f>EDATE(Premissas!$B$4,221)</x:f>
        <x:v>53267</x:v>
      </x:c>
      <x:c r="C227" s="180" t="n">
        <x:f>(1+Premissas!$B$26)^INT((A227-1)/12)</x:f>
        <x:v>2.854339152912823</x:v>
      </x:c>
      <x:c r="D227" s="141" t="n">
        <x:f>Premissas!$B$30*C227</x:f>
        <x:v>310066.82821775036</x:v>
      </x:c>
      <x:c r="E227" s="141" t="n">
        <x:f>IF(A227&lt;=Premissas!$B$25,Premissas!$B$32*C227,0)</x:f>
        <x:v>1628.3030289343405</x:v>
      </x:c>
      <x:c r="F227" s="141" t="n">
        <x:f>IF(AND(A227&gt;=Premissas!$B$48,A227&lt;=Premissas!$B$27,A227-Premissas!$B$48+1&lt;=Premissas!$B$13),INDEX(Financiamento!$C$6:$C$485,A227-Premissas!$B$48+1),0)</x:f>
        <x:v>0</x:v>
      </x:c>
      <x:c r="G227" s="141" t="n">
        <x:f>IF(AND(A227&gt;=Premissas!$B$48,A227&lt;=Premissas!$B$27,A227-Premissas!$B$48+1&lt;=Premissas!$B$13),INDEX(Financiamento!$J$6:$J$485,A227-Premissas!$B$48+1),0)</x:f>
        <x:v>0</x:v>
      </x:c>
      <x:c r="H227" s="141" t="n">
        <x:f>IF(AND(A227&gt;=Premissas!$B$48,A227&lt;=Premissas!$B$27,A227-Premissas!$B$48+1&lt;=Premissas!$B$13),INDEX(Financiamento!$M$6:$M$485,A227-Premissas!$B$48+1),0)</x:f>
        <x:v>0</x:v>
      </x:c>
      <x:c r="I227" s="141" t="n">
        <x:f>IF(A227=Premissas!$B$27,MIN(D227,H227),0)</x:f>
        <x:v>0</x:v>
      </x:c>
      <x:c r="J227" s="141" t="n">
        <x:f>IF(A227=Premissas!$B$27,D227-H227,0)</x:f>
        <x:v>0</x:v>
      </x:c>
      <x:c r="K227" s="141" t="n">
        <x:f>E227+G227</x:f>
        <x:v>1628.3030289343405</x:v>
      </x:c>
      <x:c r="L227" s="141" t="n">
        <x:f>SUM($K$6:K227)</x:f>
        <x:v>337888.6502152048</x:v>
      </x:c>
      <x:c r="M227" s="141" t="str">
        <x:f>IF(A227&lt;Premissas!$B$27,"Financiamento + consorcio",IF(A227=Premissas!$B$27,"Quitacao via carta",IF(A227&lt;=Premissas!$B$25,"Somente consorcio","Encerrado")))</x:f>
        <x:v>Somente consorcio</x:v>
      </x:c>
      <x:c r="N227" s="141" t="n">
        <x:f>IF(A227&gt;=Premissas!$B$25,0,(N228+E228)/(1+Premissas!$B$41))</x:f>
        <x:v>27868.92788797604</x:v>
      </x:c>
      <x:c r="O227" s="141" t="n">
        <x:f>IF(A227&lt;Premissas!$B$27,Premissas!$B$31/(1+Premissas!$B$41)^(Premissas!$B$27-A227),0)</x:f>
        <x:v>0</x:v>
      </x:c>
      <x:c r="P227" s="141" t="n">
        <x:f>MAX(0,H227-I227)+N227</x:f>
        <x:v>27868.92788797604</x:v>
      </x:c>
    </x:row>
    <x:row r="228">
      <x:c r="A228" s="142" t="n">
        <x:v>223</x:v>
      </x:c>
      <x:c r="B228" s="179" t="n">
        <x:f>EDATE(Premissas!$B$4,222)</x:f>
        <x:v>53297</x:v>
      </x:c>
      <x:c r="C228" s="180" t="n">
        <x:f>(1+Premissas!$B$26)^INT((A228-1)/12)</x:f>
        <x:v>2.854339152912823</x:v>
      </x:c>
      <x:c r="D228" s="141" t="n">
        <x:f>Premissas!$B$30*C228</x:f>
        <x:v>310066.82821775036</x:v>
      </x:c>
      <x:c r="E228" s="141" t="n">
        <x:f>IF(A228&lt;=Premissas!$B$25,Premissas!$B$32*C228,0)</x:f>
        <x:v>1628.3030289343405</x:v>
      </x:c>
      <x:c r="F228" s="141" t="n">
        <x:f>IF(AND(A228&gt;=Premissas!$B$48,A228&lt;=Premissas!$B$27,A228-Premissas!$B$48+1&lt;=Premissas!$B$13),INDEX(Financiamento!$C$6:$C$485,A228-Premissas!$B$48+1),0)</x:f>
        <x:v>0</x:v>
      </x:c>
      <x:c r="G228" s="141" t="n">
        <x:f>IF(AND(A228&gt;=Premissas!$B$48,A228&lt;=Premissas!$B$27,A228-Premissas!$B$48+1&lt;=Premissas!$B$13),INDEX(Financiamento!$J$6:$J$485,A228-Premissas!$B$48+1),0)</x:f>
        <x:v>0</x:v>
      </x:c>
      <x:c r="H228" s="141" t="n">
        <x:f>IF(AND(A228&gt;=Premissas!$B$48,A228&lt;=Premissas!$B$27,A228-Premissas!$B$48+1&lt;=Premissas!$B$13),INDEX(Financiamento!$M$6:$M$485,A228-Premissas!$B$48+1),0)</x:f>
        <x:v>0</x:v>
      </x:c>
      <x:c r="I228" s="141" t="n">
        <x:f>IF(A228=Premissas!$B$27,MIN(D228,H228),0)</x:f>
        <x:v>0</x:v>
      </x:c>
      <x:c r="J228" s="141" t="n">
        <x:f>IF(A228=Premissas!$B$27,D228-H228,0)</x:f>
        <x:v>0</x:v>
      </x:c>
      <x:c r="K228" s="141" t="n">
        <x:f>E228+G228</x:f>
        <x:v>1628.3030289343405</x:v>
      </x:c>
      <x:c r="L228" s="141" t="n">
        <x:f>SUM($K$6:K228)</x:f>
        <x:v>339516.95324413915</x:v>
      </x:c>
      <x:c r="M228" s="141" t="str">
        <x:f>IF(A228&lt;Premissas!$B$27,"Financiamento + consorcio",IF(A228=Premissas!$B$27,"Quitacao via carta",IF(A228&lt;=Premissas!$B$25,"Somente consorcio","Encerrado")))</x:f>
        <x:v>Somente consorcio</x:v>
      </x:c>
      <x:c r="N228" s="141" t="n">
        <x:f>IF(A228&gt;=Premissas!$B$25,0,(N229+E229)/(1+Premissas!$B$41))</x:f>
        <x:v>26505.06734507953</x:v>
      </x:c>
      <x:c r="O228" s="141" t="n">
        <x:f>IF(A228&lt;Premissas!$B$27,Premissas!$B$31/(1+Premissas!$B$41)^(Premissas!$B$27-A228),0)</x:f>
        <x:v>0</x:v>
      </x:c>
      <x:c r="P228" s="141" t="n">
        <x:f>MAX(0,H228-I228)+N228</x:f>
        <x:v>26505.06734507953</x:v>
      </x:c>
    </x:row>
    <x:row r="229">
      <x:c r="A229" s="142" t="n">
        <x:v>224</x:v>
      </x:c>
      <x:c r="B229" s="179" t="n">
        <x:f>EDATE(Premissas!$B$4,223)</x:f>
        <x:v>53328</x:v>
      </x:c>
      <x:c r="C229" s="180" t="n">
        <x:f>(1+Premissas!$B$26)^INT((A229-1)/12)</x:f>
        <x:v>2.854339152912823</x:v>
      </x:c>
      <x:c r="D229" s="141" t="n">
        <x:f>Premissas!$B$30*C229</x:f>
        <x:v>310066.82821775036</x:v>
      </x:c>
      <x:c r="E229" s="141" t="n">
        <x:f>IF(A229&lt;=Premissas!$B$25,Premissas!$B$32*C229,0)</x:f>
        <x:v>1628.3030289343405</x:v>
      </x:c>
      <x:c r="F229" s="141" t="n">
        <x:f>IF(AND(A229&gt;=Premissas!$B$48,A229&lt;=Premissas!$B$27,A229-Premissas!$B$48+1&lt;=Premissas!$B$13),INDEX(Financiamento!$C$6:$C$485,A229-Premissas!$B$48+1),0)</x:f>
        <x:v>0</x:v>
      </x:c>
      <x:c r="G229" s="141" t="n">
        <x:f>IF(AND(A229&gt;=Premissas!$B$48,A229&lt;=Premissas!$B$27,A229-Premissas!$B$48+1&lt;=Premissas!$B$13),INDEX(Financiamento!$J$6:$J$485,A229-Premissas!$B$48+1),0)</x:f>
        <x:v>0</x:v>
      </x:c>
      <x:c r="H229" s="141" t="n">
        <x:f>IF(AND(A229&gt;=Premissas!$B$48,A229&lt;=Premissas!$B$27,A229-Premissas!$B$48+1&lt;=Premissas!$B$13),INDEX(Financiamento!$M$6:$M$485,A229-Premissas!$B$48+1),0)</x:f>
        <x:v>0</x:v>
      </x:c>
      <x:c r="I229" s="141" t="n">
        <x:f>IF(A229=Premissas!$B$27,MIN(D229,H229),0)</x:f>
        <x:v>0</x:v>
      </x:c>
      <x:c r="J229" s="141" t="n">
        <x:f>IF(A229=Premissas!$B$27,D229-H229,0)</x:f>
        <x:v>0</x:v>
      </x:c>
      <x:c r="K229" s="141" t="n">
        <x:f>E229+G229</x:f>
        <x:v>1628.3030289343405</x:v>
      </x:c>
      <x:c r="L229" s="141" t="n">
        <x:f>SUM($K$6:K229)</x:f>
        <x:v>341145.2562730735</x:v>
      </x:c>
      <x:c r="M229" s="141" t="str">
        <x:f>IF(A229&lt;Premissas!$B$27,"Financiamento + consorcio",IF(A229=Premissas!$B$27,"Quitacao via carta",IF(A229&lt;=Premissas!$B$25,"Somente consorcio","Encerrado")))</x:f>
        <x:v>Somente consorcio</x:v>
      </x:c>
      <x:c r="N229" s="141" t="n">
        <x:f>IF(A229&gt;=Premissas!$B$25,0,(N230+E230)/(1+Premissas!$B$41))</x:f>
        <x:v>25128.26541189983</x:v>
      </x:c>
      <x:c r="O229" s="141" t="n">
        <x:f>IF(A229&lt;Premissas!$B$27,Premissas!$B$31/(1+Premissas!$B$41)^(Premissas!$B$27-A229),0)</x:f>
        <x:v>0</x:v>
      </x:c>
      <x:c r="P229" s="141" t="n">
        <x:f>MAX(0,H229-I229)+N229</x:f>
        <x:v>25128.26541189983</x:v>
      </x:c>
    </x:row>
    <x:row r="230">
      <x:c r="A230" s="142" t="n">
        <x:v>225</x:v>
      </x:c>
      <x:c r="B230" s="179" t="n">
        <x:f>EDATE(Premissas!$B$4,224)</x:f>
        <x:v>53359</x:v>
      </x:c>
      <x:c r="C230" s="180" t="n">
        <x:f>(1+Premissas!$B$26)^INT((A230-1)/12)</x:f>
        <x:v>2.854339152912823</x:v>
      </x:c>
      <x:c r="D230" s="141" t="n">
        <x:f>Premissas!$B$30*C230</x:f>
        <x:v>310066.82821775036</x:v>
      </x:c>
      <x:c r="E230" s="141" t="n">
        <x:f>IF(A230&lt;=Premissas!$B$25,Premissas!$B$32*C230,0)</x:f>
        <x:v>1628.3030289343405</x:v>
      </x:c>
      <x:c r="F230" s="141" t="n">
        <x:f>IF(AND(A230&gt;=Premissas!$B$48,A230&lt;=Premissas!$B$27,A230-Premissas!$B$48+1&lt;=Premissas!$B$13),INDEX(Financiamento!$C$6:$C$485,A230-Premissas!$B$48+1),0)</x:f>
        <x:v>0</x:v>
      </x:c>
      <x:c r="G230" s="141" t="n">
        <x:f>IF(AND(A230&gt;=Premissas!$B$48,A230&lt;=Premissas!$B$27,A230-Premissas!$B$48+1&lt;=Premissas!$B$13),INDEX(Financiamento!$J$6:$J$485,A230-Premissas!$B$48+1),0)</x:f>
        <x:v>0</x:v>
      </x:c>
      <x:c r="H230" s="141" t="n">
        <x:f>IF(AND(A230&gt;=Premissas!$B$48,A230&lt;=Premissas!$B$27,A230-Premissas!$B$48+1&lt;=Premissas!$B$13),INDEX(Financiamento!$M$6:$M$485,A230-Premissas!$B$48+1),0)</x:f>
        <x:v>0</x:v>
      </x:c>
      <x:c r="I230" s="141" t="n">
        <x:f>IF(A230=Premissas!$B$27,MIN(D230,H230),0)</x:f>
        <x:v>0</x:v>
      </x:c>
      <x:c r="J230" s="141" t="n">
        <x:f>IF(A230=Premissas!$B$27,D230-H230,0)</x:f>
        <x:v>0</x:v>
      </x:c>
      <x:c r="K230" s="141" t="n">
        <x:f>E230+G230</x:f>
        <x:v>1628.3030289343405</x:v>
      </x:c>
      <x:c r="L230" s="141" t="n">
        <x:f>SUM($K$6:K230)</x:f>
        <x:v>342773.55930200784</x:v>
      </x:c>
      <x:c r="M230" s="141" t="str">
        <x:f>IF(A230&lt;Premissas!$B$27,"Financiamento + consorcio",IF(A230=Premissas!$B$27,"Quitacao via carta",IF(A230&lt;=Premissas!$B$25,"Somente consorcio","Encerrado")))</x:f>
        <x:v>Somente consorcio</x:v>
      </x:c>
      <x:c r="N230" s="141" t="n">
        <x:f>IF(A230&gt;=Premissas!$B$25,0,(N231+E231)/(1+Premissas!$B$41))</x:f>
        <x:v>23738.39929026425</x:v>
      </x:c>
      <x:c r="O230" s="141" t="n">
        <x:f>IF(A230&lt;Premissas!$B$27,Premissas!$B$31/(1+Premissas!$B$41)^(Premissas!$B$27-A230),0)</x:f>
        <x:v>0</x:v>
      </x:c>
      <x:c r="P230" s="141" t="n">
        <x:f>MAX(0,H230-I230)+N230</x:f>
        <x:v>23738.39929026425</x:v>
      </x:c>
    </x:row>
    <x:row r="231">
      <x:c r="A231" s="142" t="n">
        <x:v>226</x:v>
      </x:c>
      <x:c r="B231" s="179" t="n">
        <x:f>EDATE(Premissas!$B$4,225)</x:f>
        <x:v>53387</x:v>
      </x:c>
      <x:c r="C231" s="180" t="n">
        <x:f>(1+Premissas!$B$26)^INT((A231-1)/12)</x:f>
        <x:v>2.854339152912823</x:v>
      </x:c>
      <x:c r="D231" s="141" t="n">
        <x:f>Premissas!$B$30*C231</x:f>
        <x:v>310066.82821775036</x:v>
      </x:c>
      <x:c r="E231" s="141" t="n">
        <x:f>IF(A231&lt;=Premissas!$B$25,Premissas!$B$32*C231,0)</x:f>
        <x:v>1628.3030289343405</x:v>
      </x:c>
      <x:c r="F231" s="141" t="n">
        <x:f>IF(AND(A231&gt;=Premissas!$B$48,A231&lt;=Premissas!$B$27,A231-Premissas!$B$48+1&lt;=Premissas!$B$13),INDEX(Financiamento!$C$6:$C$485,A231-Premissas!$B$48+1),0)</x:f>
        <x:v>0</x:v>
      </x:c>
      <x:c r="G231" s="141" t="n">
        <x:f>IF(AND(A231&gt;=Premissas!$B$48,A231&lt;=Premissas!$B$27,A231-Premissas!$B$48+1&lt;=Premissas!$B$13),INDEX(Financiamento!$J$6:$J$485,A231-Premissas!$B$48+1),0)</x:f>
        <x:v>0</x:v>
      </x:c>
      <x:c r="H231" s="141" t="n">
        <x:f>IF(AND(A231&gt;=Premissas!$B$48,A231&lt;=Premissas!$B$27,A231-Premissas!$B$48+1&lt;=Premissas!$B$13),INDEX(Financiamento!$M$6:$M$485,A231-Premissas!$B$48+1),0)</x:f>
        <x:v>0</x:v>
      </x:c>
      <x:c r="I231" s="141" t="n">
        <x:f>IF(A231=Premissas!$B$27,MIN(D231,H231),0)</x:f>
        <x:v>0</x:v>
      </x:c>
      <x:c r="J231" s="141" t="n">
        <x:f>IF(A231=Premissas!$B$27,D231-H231,0)</x:f>
        <x:v>0</x:v>
      </x:c>
      <x:c r="K231" s="141" t="n">
        <x:f>E231+G231</x:f>
        <x:v>1628.3030289343405</x:v>
      </x:c>
      <x:c r="L231" s="141" t="n">
        <x:f>SUM($K$6:K231)</x:f>
        <x:v>344401.8623309422</x:v>
      </x:c>
      <x:c r="M231" s="141" t="str">
        <x:f>IF(A231&lt;Premissas!$B$27,"Financiamento + consorcio",IF(A231=Premissas!$B$27,"Quitacao via carta",IF(A231&lt;=Premissas!$B$25,"Somente consorcio","Encerrado")))</x:f>
        <x:v>Somente consorcio</x:v>
      </x:c>
      <x:c r="N231" s="141" t="n">
        <x:f>IF(A231&gt;=Premissas!$B$25,0,(N232+E232)/(1+Premissas!$B$41))</x:f>
        <x:v>22335.34501679368</x:v>
      </x:c>
      <x:c r="O231" s="141" t="n">
        <x:f>IF(A231&lt;Premissas!$B$27,Premissas!$B$31/(1+Premissas!$B$41)^(Premissas!$B$27-A231),0)</x:f>
        <x:v>0</x:v>
      </x:c>
      <x:c r="P231" s="141" t="n">
        <x:f>MAX(0,H231-I231)+N231</x:f>
        <x:v>22335.34501679368</x:v>
      </x:c>
    </x:row>
    <x:row r="232">
      <x:c r="A232" s="142" t="n">
        <x:v>227</x:v>
      </x:c>
      <x:c r="B232" s="179" t="n">
        <x:f>EDATE(Premissas!$B$4,226)</x:f>
        <x:v>53418</x:v>
      </x:c>
      <x:c r="C232" s="180" t="n">
        <x:f>(1+Premissas!$B$26)^INT((A232-1)/12)</x:f>
        <x:v>2.854339152912823</x:v>
      </x:c>
      <x:c r="D232" s="141" t="n">
        <x:f>Premissas!$B$30*C232</x:f>
        <x:v>310066.82821775036</x:v>
      </x:c>
      <x:c r="E232" s="141" t="n">
        <x:f>IF(A232&lt;=Premissas!$B$25,Premissas!$B$32*C232,0)</x:f>
        <x:v>1628.3030289343405</x:v>
      </x:c>
      <x:c r="F232" s="141" t="n">
        <x:f>IF(AND(A232&gt;=Premissas!$B$48,A232&lt;=Premissas!$B$27,A232-Premissas!$B$48+1&lt;=Premissas!$B$13),INDEX(Financiamento!$C$6:$C$485,A232-Premissas!$B$48+1),0)</x:f>
        <x:v>0</x:v>
      </x:c>
      <x:c r="G232" s="141" t="n">
        <x:f>IF(AND(A232&gt;=Premissas!$B$48,A232&lt;=Premissas!$B$27,A232-Premissas!$B$48+1&lt;=Premissas!$B$13),INDEX(Financiamento!$J$6:$J$485,A232-Premissas!$B$48+1),0)</x:f>
        <x:v>0</x:v>
      </x:c>
      <x:c r="H232" s="141" t="n">
        <x:f>IF(AND(A232&gt;=Premissas!$B$48,A232&lt;=Premissas!$B$27,A232-Premissas!$B$48+1&lt;=Premissas!$B$13),INDEX(Financiamento!$M$6:$M$485,A232-Premissas!$B$48+1),0)</x:f>
        <x:v>0</x:v>
      </x:c>
      <x:c r="I232" s="141" t="n">
        <x:f>IF(A232=Premissas!$B$27,MIN(D232,H232),0)</x:f>
        <x:v>0</x:v>
      </x:c>
      <x:c r="J232" s="141" t="n">
        <x:f>IF(A232=Premissas!$B$27,D232-H232,0)</x:f>
        <x:v>0</x:v>
      </x:c>
      <x:c r="K232" s="141" t="n">
        <x:f>E232+G232</x:f>
        <x:v>1628.3030289343405</x:v>
      </x:c>
      <x:c r="L232" s="141" t="n">
        <x:f>SUM($K$6:K232)</x:f>
        <x:v>346030.1653598765</x:v>
      </x:c>
      <x:c r="M232" s="141" t="str">
        <x:f>IF(A232&lt;Premissas!$B$27,"Financiamento + consorcio",IF(A232=Premissas!$B$27,"Quitacao via carta",IF(A232&lt;=Premissas!$B$25,"Somente consorcio","Encerrado")))</x:f>
        <x:v>Somente consorcio</x:v>
      </x:c>
      <x:c r="N232" s="141" t="n">
        <x:f>IF(A232&gt;=Premissas!$B$25,0,(N233+E233)/(1+Premissas!$B$41))</x:f>
        <x:v>20918.977451846164</x:v>
      </x:c>
      <x:c r="O232" s="141" t="n">
        <x:f>IF(A232&lt;Premissas!$B$27,Premissas!$B$31/(1+Premissas!$B$41)^(Premissas!$B$27-A232),0)</x:f>
        <x:v>0</x:v>
      </x:c>
      <x:c r="P232" s="141" t="n">
        <x:f>MAX(0,H232-I232)+N232</x:f>
        <x:v>20918.977451846164</x:v>
      </x:c>
    </x:row>
    <x:row r="233">
      <x:c r="A233" s="142" t="n">
        <x:v>228</x:v>
      </x:c>
      <x:c r="B233" s="179" t="n">
        <x:f>EDATE(Premissas!$B$4,227)</x:f>
        <x:v>53448</x:v>
      </x:c>
      <x:c r="C233" s="180" t="n">
        <x:f>(1+Premissas!$B$26)^INT((A233-1)/12)</x:f>
        <x:v>2.854339152912823</x:v>
      </x:c>
      <x:c r="D233" s="141" t="n">
        <x:f>Premissas!$B$30*C233</x:f>
        <x:v>310066.82821775036</x:v>
      </x:c>
      <x:c r="E233" s="141" t="n">
        <x:f>IF(A233&lt;=Premissas!$B$25,Premissas!$B$32*C233,0)</x:f>
        <x:v>1628.3030289343405</x:v>
      </x:c>
      <x:c r="F233" s="141" t="n">
        <x:f>IF(AND(A233&gt;=Premissas!$B$48,A233&lt;=Premissas!$B$27,A233-Premissas!$B$48+1&lt;=Premissas!$B$13),INDEX(Financiamento!$C$6:$C$485,A233-Premissas!$B$48+1),0)</x:f>
        <x:v>0</x:v>
      </x:c>
      <x:c r="G233" s="141" t="n">
        <x:f>IF(AND(A233&gt;=Premissas!$B$48,A233&lt;=Premissas!$B$27,A233-Premissas!$B$48+1&lt;=Premissas!$B$13),INDEX(Financiamento!$J$6:$J$485,A233-Premissas!$B$48+1),0)</x:f>
        <x:v>0</x:v>
      </x:c>
      <x:c r="H233" s="141" t="n">
        <x:f>IF(AND(A233&gt;=Premissas!$B$48,A233&lt;=Premissas!$B$27,A233-Premissas!$B$48+1&lt;=Premissas!$B$13),INDEX(Financiamento!$M$6:$M$485,A233-Premissas!$B$48+1),0)</x:f>
        <x:v>0</x:v>
      </x:c>
      <x:c r="I233" s="141" t="n">
        <x:f>IF(A233=Premissas!$B$27,MIN(D233,H233),0)</x:f>
        <x:v>0</x:v>
      </x:c>
      <x:c r="J233" s="141" t="n">
        <x:f>IF(A233=Premissas!$B$27,D233-H233,0)</x:f>
        <x:v>0</x:v>
      </x:c>
      <x:c r="K233" s="141" t="n">
        <x:f>E233+G233</x:f>
        <x:v>1628.3030289343405</x:v>
      </x:c>
      <x:c r="L233" s="141" t="n">
        <x:f>SUM($K$6:K233)</x:f>
        <x:v>347658.46838881087</x:v>
      </x:c>
      <x:c r="M233" s="141" t="str">
        <x:f>IF(A233&lt;Premissas!$B$27,"Financiamento + consorcio",IF(A233=Premissas!$B$27,"Quitacao via carta",IF(A233&lt;=Premissas!$B$25,"Somente consorcio","Encerrado")))</x:f>
        <x:v>Somente consorcio</x:v>
      </x:c>
      <x:c r="N233" s="141" t="n">
        <x:f>IF(A233&gt;=Premissas!$B$25,0,(N234+E234)/(1+Premissas!$B$41))</x:f>
        <x:v>19489.170268355603</x:v>
      </x:c>
      <x:c r="O233" s="141" t="n">
        <x:f>IF(A233&lt;Premissas!$B$27,Premissas!$B$31/(1+Premissas!$B$41)^(Premissas!$B$27-A233),0)</x:f>
        <x:v>0</x:v>
      </x:c>
      <x:c r="P233" s="141" t="n">
        <x:f>MAX(0,H233-I233)+N233</x:f>
        <x:v>19489.170268355603</x:v>
      </x:c>
    </x:row>
    <x:row r="234">
      <x:c r="A234" s="142" t="n">
        <x:v>229</x:v>
      </x:c>
      <x:c r="B234" s="179" t="n">
        <x:f>EDATE(Premissas!$B$4,228)</x:f>
        <x:v>53479</x:v>
      </x:c>
      <x:c r="C234" s="180" t="n">
        <x:f>(1+Premissas!$B$26)^INT((A234-1)/12)</x:f>
        <x:v>3.025599502087592</x:v>
      </x:c>
      <x:c r="D234" s="141" t="n">
        <x:f>Premissas!$B$30*C234</x:f>
        <x:v>328670.8379108154</x:v>
      </x:c>
      <x:c r="E234" s="141" t="n">
        <x:f>IF(A234&lt;=Premissas!$B$25,Premissas!$B$32*C234,0)</x:f>
        <x:v>1726.001210670401</x:v>
      </x:c>
      <x:c r="F234" s="141" t="n">
        <x:f>IF(AND(A234&gt;=Premissas!$B$48,A234&lt;=Premissas!$B$27,A234-Premissas!$B$48+1&lt;=Premissas!$B$13),INDEX(Financiamento!$C$6:$C$485,A234-Premissas!$B$48+1),0)</x:f>
        <x:v>0</x:v>
      </x:c>
      <x:c r="G234" s="141" t="n">
        <x:f>IF(AND(A234&gt;=Premissas!$B$48,A234&lt;=Premissas!$B$27,A234-Premissas!$B$48+1&lt;=Premissas!$B$13),INDEX(Financiamento!$J$6:$J$485,A234-Premissas!$B$48+1),0)</x:f>
        <x:v>0</x:v>
      </x:c>
      <x:c r="H234" s="141" t="n">
        <x:f>IF(AND(A234&gt;=Premissas!$B$48,A234&lt;=Premissas!$B$27,A234-Premissas!$B$48+1&lt;=Premissas!$B$13),INDEX(Financiamento!$M$6:$M$485,A234-Premissas!$B$48+1),0)</x:f>
        <x:v>0</x:v>
      </x:c>
      <x:c r="I234" s="141" t="n">
        <x:f>IF(A234=Premissas!$B$27,MIN(D234,H234),0)</x:f>
        <x:v>0</x:v>
      </x:c>
      <x:c r="J234" s="141" t="n">
        <x:f>IF(A234=Premissas!$B$27,D234-H234,0)</x:f>
        <x:v>0</x:v>
      </x:c>
      <x:c r="K234" s="141" t="n">
        <x:f>E234+G234</x:f>
        <x:v>1726.001210670401</x:v>
      </x:c>
      <x:c r="L234" s="141" t="n">
        <x:f>SUM($K$6:K234)</x:f>
        <x:v>349384.46959948126</x:v>
      </x:c>
      <x:c r="M234" s="141" t="str">
        <x:f>IF(A234&lt;Premissas!$B$27,"Financiamento + consorcio",IF(A234=Premissas!$B$27,"Quitacao via carta",IF(A234&lt;=Premissas!$B$25,"Somente consorcio","Encerrado")))</x:f>
        <x:v>Somente consorcio</x:v>
      </x:c>
      <x:c r="N234" s="141" t="n">
        <x:f>IF(A234&gt;=Premissas!$B$25,0,(N235+E235)/(1+Premissas!$B$41))</x:f>
        <x:v>17948.09775882846</x:v>
      </x:c>
      <x:c r="O234" s="141" t="n">
        <x:f>IF(A234&lt;Premissas!$B$27,Premissas!$B$31/(1+Premissas!$B$41)^(Premissas!$B$27-A234),0)</x:f>
        <x:v>0</x:v>
      </x:c>
      <x:c r="P234" s="141" t="n">
        <x:f>MAX(0,H234-I234)+N234</x:f>
        <x:v>17948.09775882846</x:v>
      </x:c>
    </x:row>
    <x:row r="235">
      <x:c r="A235" s="142" t="n">
        <x:v>230</x:v>
      </x:c>
      <x:c r="B235" s="179" t="n">
        <x:f>EDATE(Premissas!$B$4,229)</x:f>
        <x:v>53509</x:v>
      </x:c>
      <x:c r="C235" s="180" t="n">
        <x:f>(1+Premissas!$B$26)^INT((A235-1)/12)</x:f>
        <x:v>3.025599502087592</x:v>
      </x:c>
      <x:c r="D235" s="141" t="n">
        <x:f>Premissas!$B$30*C235</x:f>
        <x:v>328670.8379108154</x:v>
      </x:c>
      <x:c r="E235" s="141" t="n">
        <x:f>IF(A235&lt;=Premissas!$B$25,Premissas!$B$32*C235,0)</x:f>
        <x:v>1726.001210670401</x:v>
      </x:c>
      <x:c r="F235" s="141" t="n">
        <x:f>IF(AND(A235&gt;=Premissas!$B$48,A235&lt;=Premissas!$B$27,A235-Premissas!$B$48+1&lt;=Premissas!$B$13),INDEX(Financiamento!$C$6:$C$485,A235-Premissas!$B$48+1),0)</x:f>
        <x:v>0</x:v>
      </x:c>
      <x:c r="G235" s="141" t="n">
        <x:f>IF(AND(A235&gt;=Premissas!$B$48,A235&lt;=Premissas!$B$27,A235-Premissas!$B$48+1&lt;=Premissas!$B$13),INDEX(Financiamento!$J$6:$J$485,A235-Premissas!$B$48+1),0)</x:f>
        <x:v>0</x:v>
      </x:c>
      <x:c r="H235" s="141" t="n">
        <x:f>IF(AND(A235&gt;=Premissas!$B$48,A235&lt;=Premissas!$B$27,A235-Premissas!$B$48+1&lt;=Premissas!$B$13),INDEX(Financiamento!$M$6:$M$485,A235-Premissas!$B$48+1),0)</x:f>
        <x:v>0</x:v>
      </x:c>
      <x:c r="I235" s="141" t="n">
        <x:f>IF(A235=Premissas!$B$27,MIN(D235,H235),0)</x:f>
        <x:v>0</x:v>
      </x:c>
      <x:c r="J235" s="141" t="n">
        <x:f>IF(A235=Premissas!$B$27,D235-H235,0)</x:f>
        <x:v>0</x:v>
      </x:c>
      <x:c r="K235" s="141" t="n">
        <x:f>E235+G235</x:f>
        <x:v>1726.001210670401</x:v>
      </x:c>
      <x:c r="L235" s="141" t="n">
        <x:f>SUM($K$6:K235)</x:f>
        <x:v>351110.47081015166</x:v>
      </x:c>
      <x:c r="M235" s="141" t="str">
        <x:f>IF(A235&lt;Premissas!$B$27,"Financiamento + consorcio",IF(A235=Premissas!$B$27,"Quitacao via carta",IF(A235&lt;=Premissas!$B$25,"Somente consorcio","Encerrado")))</x:f>
        <x:v>Somente consorcio</x:v>
      </x:c>
      <x:c r="N235" s="141" t="n">
        <x:f>IF(A235&gt;=Premissas!$B$25,0,(N236+E236)/(1+Premissas!$B$41))</x:f>
        <x:v>16392.402331361234</x:v>
      </x:c>
      <x:c r="O235" s="141" t="n">
        <x:f>IF(A235&lt;Premissas!$B$27,Premissas!$B$31/(1+Premissas!$B$41)^(Premissas!$B$27-A235),0)</x:f>
        <x:v>0</x:v>
      </x:c>
      <x:c r="P235" s="141" t="n">
        <x:f>MAX(0,H235-I235)+N235</x:f>
        <x:v>16392.402331361234</x:v>
      </x:c>
    </x:row>
    <x:row r="236">
      <x:c r="A236" s="142" t="n">
        <x:v>231</x:v>
      </x:c>
      <x:c r="B236" s="179" t="n">
        <x:f>EDATE(Premissas!$B$4,230)</x:f>
        <x:v>53540</x:v>
      </x:c>
      <x:c r="C236" s="180" t="n">
        <x:f>(1+Premissas!$B$26)^INT((A236-1)/12)</x:f>
        <x:v>3.025599502087592</x:v>
      </x:c>
      <x:c r="D236" s="141" t="n">
        <x:f>Premissas!$B$30*C236</x:f>
        <x:v>328670.8379108154</x:v>
      </x:c>
      <x:c r="E236" s="141" t="n">
        <x:f>IF(A236&lt;=Premissas!$B$25,Premissas!$B$32*C236,0)</x:f>
        <x:v>1726.001210670401</x:v>
      </x:c>
      <x:c r="F236" s="141" t="n">
        <x:f>IF(AND(A236&gt;=Premissas!$B$48,A236&lt;=Premissas!$B$27,A236-Premissas!$B$48+1&lt;=Premissas!$B$13),INDEX(Financiamento!$C$6:$C$485,A236-Premissas!$B$48+1),0)</x:f>
        <x:v>0</x:v>
      </x:c>
      <x:c r="G236" s="141" t="n">
        <x:f>IF(AND(A236&gt;=Premissas!$B$48,A236&lt;=Premissas!$B$27,A236-Premissas!$B$48+1&lt;=Premissas!$B$13),INDEX(Financiamento!$J$6:$J$485,A236-Premissas!$B$48+1),0)</x:f>
        <x:v>0</x:v>
      </x:c>
      <x:c r="H236" s="141" t="n">
        <x:f>IF(AND(A236&gt;=Premissas!$B$48,A236&lt;=Premissas!$B$27,A236-Premissas!$B$48+1&lt;=Premissas!$B$13),INDEX(Financiamento!$M$6:$M$485,A236-Premissas!$B$48+1),0)</x:f>
        <x:v>0</x:v>
      </x:c>
      <x:c r="I236" s="141" t="n">
        <x:f>IF(A236=Premissas!$B$27,MIN(D236,H236),0)</x:f>
        <x:v>0</x:v>
      </x:c>
      <x:c r="J236" s="141" t="n">
        <x:f>IF(A236=Premissas!$B$27,D236-H236,0)</x:f>
        <x:v>0</x:v>
      </x:c>
      <x:c r="K236" s="141" t="n">
        <x:f>E236+G236</x:f>
        <x:v>1726.001210670401</x:v>
      </x:c>
      <x:c r="L236" s="141" t="n">
        <x:f>SUM($K$6:K236)</x:f>
        <x:v>352836.47202082205</x:v>
      </x:c>
      <x:c r="M236" s="141" t="str">
        <x:f>IF(A236&lt;Premissas!$B$27,"Financiamento + consorcio",IF(A236=Premissas!$B$27,"Quitacao via carta",IF(A236&lt;=Premissas!$B$25,"Somente consorcio","Encerrado")))</x:f>
        <x:v>Somente consorcio</x:v>
      </x:c>
      <x:c r="N236" s="141" t="n">
        <x:f>IF(A236&gt;=Premissas!$B$25,0,(N237+E237)/(1+Premissas!$B$41))</x:f>
        <x:v>14821.945232113496</x:v>
      </x:c>
      <x:c r="O236" s="141" t="n">
        <x:f>IF(A236&lt;Premissas!$B$27,Premissas!$B$31/(1+Premissas!$B$41)^(Premissas!$B$27-A236),0)</x:f>
        <x:v>0</x:v>
      </x:c>
      <x:c r="P236" s="141" t="n">
        <x:f>MAX(0,H236-I236)+N236</x:f>
        <x:v>14821.945232113496</x:v>
      </x:c>
    </x:row>
    <x:row r="237">
      <x:c r="A237" s="142" t="n">
        <x:v>232</x:v>
      </x:c>
      <x:c r="B237" s="179" t="n">
        <x:f>EDATE(Premissas!$B$4,231)</x:f>
        <x:v>53571</x:v>
      </x:c>
      <x:c r="C237" s="180" t="n">
        <x:f>(1+Premissas!$B$26)^INT((A237-1)/12)</x:f>
        <x:v>3.025599502087592</x:v>
      </x:c>
      <x:c r="D237" s="141" t="n">
        <x:f>Premissas!$B$30*C237</x:f>
        <x:v>328670.8379108154</x:v>
      </x:c>
      <x:c r="E237" s="141" t="n">
        <x:f>IF(A237&lt;=Premissas!$B$25,Premissas!$B$32*C237,0)</x:f>
        <x:v>1726.001210670401</x:v>
      </x:c>
      <x:c r="F237" s="141" t="n">
        <x:f>IF(AND(A237&gt;=Premissas!$B$48,A237&lt;=Premissas!$B$27,A237-Premissas!$B$48+1&lt;=Premissas!$B$13),INDEX(Financiamento!$C$6:$C$485,A237-Premissas!$B$48+1),0)</x:f>
        <x:v>0</x:v>
      </x:c>
      <x:c r="G237" s="141" t="n">
        <x:f>IF(AND(A237&gt;=Premissas!$B$48,A237&lt;=Premissas!$B$27,A237-Premissas!$B$48+1&lt;=Premissas!$B$13),INDEX(Financiamento!$J$6:$J$485,A237-Premissas!$B$48+1),0)</x:f>
        <x:v>0</x:v>
      </x:c>
      <x:c r="H237" s="141" t="n">
        <x:f>IF(AND(A237&gt;=Premissas!$B$48,A237&lt;=Premissas!$B$27,A237-Premissas!$B$48+1&lt;=Premissas!$B$13),INDEX(Financiamento!$M$6:$M$485,A237-Premissas!$B$48+1),0)</x:f>
        <x:v>0</x:v>
      </x:c>
      <x:c r="I237" s="141" t="n">
        <x:f>IF(A237=Premissas!$B$27,MIN(D237,H237),0)</x:f>
        <x:v>0</x:v>
      </x:c>
      <x:c r="J237" s="141" t="n">
        <x:f>IF(A237=Premissas!$B$27,D237-H237,0)</x:f>
        <x:v>0</x:v>
      </x:c>
      <x:c r="K237" s="141" t="n">
        <x:f>E237+G237</x:f>
        <x:v>1726.001210670401</x:v>
      </x:c>
      <x:c r="L237" s="141" t="n">
        <x:f>SUM($K$6:K237)</x:f>
        <x:v>354562.47323149245</x:v>
      </x:c>
      <x:c r="M237" s="141" t="str">
        <x:f>IF(A237&lt;Premissas!$B$27,"Financiamento + consorcio",IF(A237=Premissas!$B$27,"Quitacao via carta",IF(A237&lt;=Premissas!$B$25,"Somente consorcio","Encerrado")))</x:f>
        <x:v>Somente consorcio</x:v>
      </x:c>
      <x:c r="N237" s="141" t="n">
        <x:f>IF(A237&gt;=Premissas!$B$25,0,(N238+E238)/(1+Premissas!$B$41))</x:f>
        <x:v>13236.58639063835</x:v>
      </x:c>
      <x:c r="O237" s="141" t="n">
        <x:f>IF(A237&lt;Premissas!$B$27,Premissas!$B$31/(1+Premissas!$B$41)^(Premissas!$B$27-A237),0)</x:f>
        <x:v>0</x:v>
      </x:c>
      <x:c r="P237" s="141" t="n">
        <x:f>MAX(0,H237-I237)+N237</x:f>
        <x:v>13236.58639063835</x:v>
      </x:c>
    </x:row>
    <x:row r="238">
      <x:c r="A238" s="142" t="n">
        <x:v>233</x:v>
      </x:c>
      <x:c r="B238" s="179" t="n">
        <x:f>EDATE(Premissas!$B$4,232)</x:f>
        <x:v>53601</x:v>
      </x:c>
      <x:c r="C238" s="180" t="n">
        <x:f>(1+Premissas!$B$26)^INT((A238-1)/12)</x:f>
        <x:v>3.025599502087592</x:v>
      </x:c>
      <x:c r="D238" s="141" t="n">
        <x:f>Premissas!$B$30*C238</x:f>
        <x:v>328670.8379108154</x:v>
      </x:c>
      <x:c r="E238" s="141" t="n">
        <x:f>IF(A238&lt;=Premissas!$B$25,Premissas!$B$32*C238,0)</x:f>
        <x:v>1726.001210670401</x:v>
      </x:c>
      <x:c r="F238" s="141" t="n">
        <x:f>IF(AND(A238&gt;=Premissas!$B$48,A238&lt;=Premissas!$B$27,A238-Premissas!$B$48+1&lt;=Premissas!$B$13),INDEX(Financiamento!$C$6:$C$485,A238-Premissas!$B$48+1),0)</x:f>
        <x:v>0</x:v>
      </x:c>
      <x:c r="G238" s="141" t="n">
        <x:f>IF(AND(A238&gt;=Premissas!$B$48,A238&lt;=Premissas!$B$27,A238-Premissas!$B$48+1&lt;=Premissas!$B$13),INDEX(Financiamento!$J$6:$J$485,A238-Premissas!$B$48+1),0)</x:f>
        <x:v>0</x:v>
      </x:c>
      <x:c r="H238" s="141" t="n">
        <x:f>IF(AND(A238&gt;=Premissas!$B$48,A238&lt;=Premissas!$B$27,A238-Premissas!$B$48+1&lt;=Premissas!$B$13),INDEX(Financiamento!$M$6:$M$485,A238-Premissas!$B$48+1),0)</x:f>
        <x:v>0</x:v>
      </x:c>
      <x:c r="I238" s="141" t="n">
        <x:f>IF(A238=Premissas!$B$27,MIN(D238,H238),0)</x:f>
        <x:v>0</x:v>
      </x:c>
      <x:c r="J238" s="141" t="n">
        <x:f>IF(A238=Premissas!$B$27,D238-H238,0)</x:f>
        <x:v>0</x:v>
      </x:c>
      <x:c r="K238" s="141" t="n">
        <x:f>E238+G238</x:f>
        <x:v>1726.001210670401</x:v>
      </x:c>
      <x:c r="L238" s="141" t="n">
        <x:f>SUM($K$6:K238)</x:f>
        <x:v>356288.47444216284</x:v>
      </x:c>
      <x:c r="M238" s="141" t="str">
        <x:f>IF(A238&lt;Premissas!$B$27,"Financiamento + consorcio",IF(A238=Premissas!$B$27,"Quitacao via carta",IF(A238&lt;=Premissas!$B$25,"Somente consorcio","Encerrado")))</x:f>
        <x:v>Somente consorcio</x:v>
      </x:c>
      <x:c r="N238" s="141" t="n">
        <x:f>IF(A238&gt;=Premissas!$B$25,0,(N239+E239)/(1+Premissas!$B$41))</x:f>
        <x:v>11636.184407389435</x:v>
      </x:c>
      <x:c r="O238" s="141" t="n">
        <x:f>IF(A238&lt;Premissas!$B$27,Premissas!$B$31/(1+Premissas!$B$41)^(Premissas!$B$27-A238),0)</x:f>
        <x:v>0</x:v>
      </x:c>
      <x:c r="P238" s="141" t="n">
        <x:f>MAX(0,H238-I238)+N238</x:f>
        <x:v>11636.184407389435</x:v>
      </x:c>
    </x:row>
    <x:row r="239">
      <x:c r="A239" s="142" t="n">
        <x:v>234</x:v>
      </x:c>
      <x:c r="B239" s="179" t="n">
        <x:f>EDATE(Premissas!$B$4,233)</x:f>
        <x:v>53632</x:v>
      </x:c>
      <x:c r="C239" s="180" t="n">
        <x:f>(1+Premissas!$B$26)^INT((A239-1)/12)</x:f>
        <x:v>3.025599502087592</x:v>
      </x:c>
      <x:c r="D239" s="141" t="n">
        <x:f>Premissas!$B$30*C239</x:f>
        <x:v>328670.8379108154</x:v>
      </x:c>
      <x:c r="E239" s="141" t="n">
        <x:f>IF(A239&lt;=Premissas!$B$25,Premissas!$B$32*C239,0)</x:f>
        <x:v>1726.001210670401</x:v>
      </x:c>
      <x:c r="F239" s="141" t="n">
        <x:f>IF(AND(A239&gt;=Premissas!$B$48,A239&lt;=Premissas!$B$27,A239-Premissas!$B$48+1&lt;=Premissas!$B$13),INDEX(Financiamento!$C$6:$C$485,A239-Premissas!$B$48+1),0)</x:f>
        <x:v>0</x:v>
      </x:c>
      <x:c r="G239" s="141" t="n">
        <x:f>IF(AND(A239&gt;=Premissas!$B$48,A239&lt;=Premissas!$B$27,A239-Premissas!$B$48+1&lt;=Premissas!$B$13),INDEX(Financiamento!$J$6:$J$485,A239-Premissas!$B$48+1),0)</x:f>
        <x:v>0</x:v>
      </x:c>
      <x:c r="H239" s="141" t="n">
        <x:f>IF(AND(A239&gt;=Premissas!$B$48,A239&lt;=Premissas!$B$27,A239-Premissas!$B$48+1&lt;=Premissas!$B$13),INDEX(Financiamento!$M$6:$M$485,A239-Premissas!$B$48+1),0)</x:f>
        <x:v>0</x:v>
      </x:c>
      <x:c r="I239" s="141" t="n">
        <x:f>IF(A239=Premissas!$B$27,MIN(D239,H239),0)</x:f>
        <x:v>0</x:v>
      </x:c>
      <x:c r="J239" s="141" t="n">
        <x:f>IF(A239=Premissas!$B$27,D239-H239,0)</x:f>
        <x:v>0</x:v>
      </x:c>
      <x:c r="K239" s="141" t="n">
        <x:f>E239+G239</x:f>
        <x:v>1726.001210670401</x:v>
      </x:c>
      <x:c r="L239" s="141" t="n">
        <x:f>SUM($K$6:K239)</x:f>
        <x:v>358014.47565283324</x:v>
      </x:c>
      <x:c r="M239" s="141" t="str">
        <x:f>IF(A239&lt;Premissas!$B$27,"Financiamento + consorcio",IF(A239=Premissas!$B$27,"Quitacao via carta",IF(A239&lt;=Premissas!$B$25,"Somente consorcio","Encerrado")))</x:f>
        <x:v>Somente consorcio</x:v>
      </x:c>
      <x:c r="N239" s="141" t="n">
        <x:f>IF(A239&gt;=Premissas!$B$25,0,(N240+E240)/(1+Premissas!$B$41))</x:f>
        <x:v>10020.596541109377</x:v>
      </x:c>
      <x:c r="O239" s="141" t="n">
        <x:f>IF(A239&lt;Premissas!$B$27,Premissas!$B$31/(1+Premissas!$B$41)^(Premissas!$B$27-A239),0)</x:f>
        <x:v>0</x:v>
      </x:c>
      <x:c r="P239" s="141" t="n">
        <x:f>MAX(0,H239-I239)+N239</x:f>
        <x:v>10020.596541109377</x:v>
      </x:c>
    </x:row>
    <x:row r="240">
      <x:c r="A240" s="142" t="n">
        <x:v>235</x:v>
      </x:c>
      <x:c r="B240" s="179" t="n">
        <x:f>EDATE(Premissas!$B$4,234)</x:f>
        <x:v>53662</x:v>
      </x:c>
      <x:c r="C240" s="180" t="n">
        <x:f>(1+Premissas!$B$26)^INT((A240-1)/12)</x:f>
        <x:v>3.025599502087592</x:v>
      </x:c>
      <x:c r="D240" s="141" t="n">
        <x:f>Premissas!$B$30*C240</x:f>
        <x:v>328670.8379108154</x:v>
      </x:c>
      <x:c r="E240" s="141" t="n">
        <x:f>IF(A240&lt;=Premissas!$B$25,Premissas!$B$32*C240,0)</x:f>
        <x:v>1726.001210670401</x:v>
      </x:c>
      <x:c r="F240" s="141" t="n">
        <x:f>IF(AND(A240&gt;=Premissas!$B$48,A240&lt;=Premissas!$B$27,A240-Premissas!$B$48+1&lt;=Premissas!$B$13),INDEX(Financiamento!$C$6:$C$485,A240-Premissas!$B$48+1),0)</x:f>
        <x:v>0</x:v>
      </x:c>
      <x:c r="G240" s="141" t="n">
        <x:f>IF(AND(A240&gt;=Premissas!$B$48,A240&lt;=Premissas!$B$27,A240-Premissas!$B$48+1&lt;=Premissas!$B$13),INDEX(Financiamento!$J$6:$J$485,A240-Premissas!$B$48+1),0)</x:f>
        <x:v>0</x:v>
      </x:c>
      <x:c r="H240" s="141" t="n">
        <x:f>IF(AND(A240&gt;=Premissas!$B$48,A240&lt;=Premissas!$B$27,A240-Premissas!$B$48+1&lt;=Premissas!$B$13),INDEX(Financiamento!$M$6:$M$485,A240-Premissas!$B$48+1),0)</x:f>
        <x:v>0</x:v>
      </x:c>
      <x:c r="I240" s="141" t="n">
        <x:f>IF(A240=Premissas!$B$27,MIN(D240,H240),0)</x:f>
        <x:v>0</x:v>
      </x:c>
      <x:c r="J240" s="141" t="n">
        <x:f>IF(A240=Premissas!$B$27,D240-H240,0)</x:f>
        <x:v>0</x:v>
      </x:c>
      <x:c r="K240" s="141" t="n">
        <x:f>E240+G240</x:f>
        <x:v>1726.001210670401</x:v>
      </x:c>
      <x:c r="L240" s="141" t="n">
        <x:f>SUM($K$6:K240)</x:f>
        <x:v>359740.47686350363</x:v>
      </x:c>
      <x:c r="M240" s="141" t="str">
        <x:f>IF(A240&lt;Premissas!$B$27,"Financiamento + consorcio",IF(A240=Premissas!$B$27,"Quitacao via carta",IF(A240&lt;=Premissas!$B$25,"Somente consorcio","Encerrado")))</x:f>
        <x:v>Somente consorcio</x:v>
      </x:c>
      <x:c r="N240" s="141" t="n">
        <x:f>IF(A240&gt;=Premissas!$B$25,0,(N241+E241)/(1+Premissas!$B$41))</x:f>
        <x:v>8389.678696098561</x:v>
      </x:c>
      <x:c r="O240" s="141" t="n">
        <x:f>IF(A240&lt;Premissas!$B$27,Premissas!$B$31/(1+Premissas!$B$41)^(Premissas!$B$27-A240),0)</x:f>
        <x:v>0</x:v>
      </x:c>
      <x:c r="P240" s="141" t="n">
        <x:f>MAX(0,H240-I240)+N240</x:f>
        <x:v>8389.678696098561</x:v>
      </x:c>
    </x:row>
    <x:row r="241">
      <x:c r="A241" s="142" t="n">
        <x:v>236</x:v>
      </x:c>
      <x:c r="B241" s="179" t="n">
        <x:f>EDATE(Premissas!$B$4,235)</x:f>
        <x:v>53693</x:v>
      </x:c>
      <x:c r="C241" s="180" t="n">
        <x:f>(1+Premissas!$B$26)^INT((A241-1)/12)</x:f>
        <x:v>3.025599502087592</x:v>
      </x:c>
      <x:c r="D241" s="141" t="n">
        <x:f>Premissas!$B$30*C241</x:f>
        <x:v>328670.8379108154</x:v>
      </x:c>
      <x:c r="E241" s="141" t="n">
        <x:f>IF(A241&lt;=Premissas!$B$25,Premissas!$B$32*C241,0)</x:f>
        <x:v>1726.001210670401</x:v>
      </x:c>
      <x:c r="F241" s="141" t="n">
        <x:f>IF(AND(A241&gt;=Premissas!$B$48,A241&lt;=Premissas!$B$27,A241-Premissas!$B$48+1&lt;=Premissas!$B$13),INDEX(Financiamento!$C$6:$C$485,A241-Premissas!$B$48+1),0)</x:f>
        <x:v>0</x:v>
      </x:c>
      <x:c r="G241" s="141" t="n">
        <x:f>IF(AND(A241&gt;=Premissas!$B$48,A241&lt;=Premissas!$B$27,A241-Premissas!$B$48+1&lt;=Premissas!$B$13),INDEX(Financiamento!$J$6:$J$485,A241-Premissas!$B$48+1),0)</x:f>
        <x:v>0</x:v>
      </x:c>
      <x:c r="H241" s="141" t="n">
        <x:f>IF(AND(A241&gt;=Premissas!$B$48,A241&lt;=Premissas!$B$27,A241-Premissas!$B$48+1&lt;=Premissas!$B$13),INDEX(Financiamento!$M$6:$M$485,A241-Premissas!$B$48+1),0)</x:f>
        <x:v>0</x:v>
      </x:c>
      <x:c r="I241" s="141" t="n">
        <x:f>IF(A241=Premissas!$B$27,MIN(D241,H241),0)</x:f>
        <x:v>0</x:v>
      </x:c>
      <x:c r="J241" s="141" t="n">
        <x:f>IF(A241=Premissas!$B$27,D241-H241,0)</x:f>
        <x:v>0</x:v>
      </x:c>
      <x:c r="K241" s="141" t="n">
        <x:f>E241+G241</x:f>
        <x:v>1726.001210670401</x:v>
      </x:c>
      <x:c r="L241" s="141" t="n">
        <x:f>SUM($K$6:K241)</x:f>
        <x:v>361466.478074174</x:v>
      </x:c>
      <x:c r="M241" s="141" t="str">
        <x:f>IF(A241&lt;Premissas!$B$27,"Financiamento + consorcio",IF(A241=Premissas!$B$27,"Quitacao via carta",IF(A241&lt;=Premissas!$B$25,"Somente consorcio","Encerrado")))</x:f>
        <x:v>Somente consorcio</x:v>
      </x:c>
      <x:c r="N241" s="141" t="n">
        <x:f>IF(A241&gt;=Premissas!$B$25,0,(N242+E242)/(1+Premissas!$B$41))</x:f>
        <x:v>6743.285409363121</x:v>
      </x:c>
      <x:c r="O241" s="141" t="n">
        <x:f>IF(A241&lt;Premissas!$B$27,Premissas!$B$31/(1+Premissas!$B$41)^(Premissas!$B$27-A241),0)</x:f>
        <x:v>0</x:v>
      </x:c>
      <x:c r="P241" s="141" t="n">
        <x:f>MAX(0,H241-I241)+N241</x:f>
        <x:v>6743.285409363121</x:v>
      </x:c>
    </x:row>
    <x:row r="242">
      <x:c r="A242" s="142" t="n">
        <x:v>237</x:v>
      </x:c>
      <x:c r="B242" s="179" t="n">
        <x:f>EDATE(Premissas!$B$4,236)</x:f>
        <x:v>53724</x:v>
      </x:c>
      <x:c r="C242" s="180" t="n">
        <x:f>(1+Premissas!$B$26)^INT((A242-1)/12)</x:f>
        <x:v>3.025599502087592</x:v>
      </x:c>
      <x:c r="D242" s="141" t="n">
        <x:f>Premissas!$B$30*C242</x:f>
        <x:v>328670.8379108154</x:v>
      </x:c>
      <x:c r="E242" s="141" t="n">
        <x:f>IF(A242&lt;=Premissas!$B$25,Premissas!$B$32*C242,0)</x:f>
        <x:v>1726.001210670401</x:v>
      </x:c>
      <x:c r="F242" s="141" t="n">
        <x:f>IF(AND(A242&gt;=Premissas!$B$48,A242&lt;=Premissas!$B$27,A242-Premissas!$B$48+1&lt;=Premissas!$B$13),INDEX(Financiamento!$C$6:$C$485,A242-Premissas!$B$48+1),0)</x:f>
        <x:v>0</x:v>
      </x:c>
      <x:c r="G242" s="141" t="n">
        <x:f>IF(AND(A242&gt;=Premissas!$B$48,A242&lt;=Premissas!$B$27,A242-Premissas!$B$48+1&lt;=Premissas!$B$13),INDEX(Financiamento!$J$6:$J$485,A242-Premissas!$B$48+1),0)</x:f>
        <x:v>0</x:v>
      </x:c>
      <x:c r="H242" s="141" t="n">
        <x:f>IF(AND(A242&gt;=Premissas!$B$48,A242&lt;=Premissas!$B$27,A242-Premissas!$B$48+1&lt;=Premissas!$B$13),INDEX(Financiamento!$M$6:$M$485,A242-Premissas!$B$48+1),0)</x:f>
        <x:v>0</x:v>
      </x:c>
      <x:c r="I242" s="141" t="n">
        <x:f>IF(A242=Premissas!$B$27,MIN(D242,H242),0)</x:f>
        <x:v>0</x:v>
      </x:c>
      <x:c r="J242" s="141" t="n">
        <x:f>IF(A242=Premissas!$B$27,D242-H242,0)</x:f>
        <x:v>0</x:v>
      </x:c>
      <x:c r="K242" s="141" t="n">
        <x:f>E242+G242</x:f>
        <x:v>1726.001210670401</x:v>
      </x:c>
      <x:c r="L242" s="141" t="n">
        <x:f>SUM($K$6:K242)</x:f>
        <x:v>363192.4792848444</x:v>
      </x:c>
      <x:c r="M242" s="141" t="str">
        <x:f>IF(A242&lt;Premissas!$B$27,"Financiamento + consorcio",IF(A242=Premissas!$B$27,"Quitacao via carta",IF(A242&lt;=Premissas!$B$25,"Somente consorcio","Encerrado")))</x:f>
        <x:v>Somente consorcio</x:v>
      </x:c>
      <x:c r="N242" s="141" t="n">
        <x:f>IF(A242&gt;=Premissas!$B$25,0,(N243+E243)/(1+Premissas!$B$41))</x:f>
        <x:v>5081.269837640963</x:v>
      </x:c>
      <x:c r="O242" s="141" t="n">
        <x:f>IF(A242&lt;Premissas!$B$27,Premissas!$B$31/(1+Premissas!$B$41)^(Premissas!$B$27-A242),0)</x:f>
        <x:v>0</x:v>
      </x:c>
      <x:c r="P242" s="141" t="n">
        <x:f>MAX(0,H242-I242)+N242</x:f>
        <x:v>5081.269837640963</x:v>
      </x:c>
    </x:row>
    <x:row r="243">
      <x:c r="A243" s="142" t="n">
        <x:v>238</x:v>
      </x:c>
      <x:c r="B243" s="179" t="n">
        <x:f>EDATE(Premissas!$B$4,237)</x:f>
        <x:v>53752</x:v>
      </x:c>
      <x:c r="C243" s="180" t="n">
        <x:f>(1+Premissas!$B$26)^INT((A243-1)/12)</x:f>
        <x:v>3.025599502087592</x:v>
      </x:c>
      <x:c r="D243" s="141" t="n">
        <x:f>Premissas!$B$30*C243</x:f>
        <x:v>328670.8379108154</x:v>
      </x:c>
      <x:c r="E243" s="141" t="n">
        <x:f>IF(A243&lt;=Premissas!$B$25,Premissas!$B$32*C243,0)</x:f>
        <x:v>1726.001210670401</x:v>
      </x:c>
      <x:c r="F243" s="141" t="n">
        <x:f>IF(AND(A243&gt;=Premissas!$B$48,A243&lt;=Premissas!$B$27,A243-Premissas!$B$48+1&lt;=Premissas!$B$13),INDEX(Financiamento!$C$6:$C$485,A243-Premissas!$B$48+1),0)</x:f>
        <x:v>0</x:v>
      </x:c>
      <x:c r="G243" s="141" t="n">
        <x:f>IF(AND(A243&gt;=Premissas!$B$48,A243&lt;=Premissas!$B$27,A243-Premissas!$B$48+1&lt;=Premissas!$B$13),INDEX(Financiamento!$J$6:$J$485,A243-Premissas!$B$48+1),0)</x:f>
        <x:v>0</x:v>
      </x:c>
      <x:c r="H243" s="141" t="n">
        <x:f>IF(AND(A243&gt;=Premissas!$B$48,A243&lt;=Premissas!$B$27,A243-Premissas!$B$48+1&lt;=Premissas!$B$13),INDEX(Financiamento!$M$6:$M$485,A243-Premissas!$B$48+1),0)</x:f>
        <x:v>0</x:v>
      </x:c>
      <x:c r="I243" s="141" t="n">
        <x:f>IF(A243=Premissas!$B$27,MIN(D243,H243),0)</x:f>
        <x:v>0</x:v>
      </x:c>
      <x:c r="J243" s="141" t="n">
        <x:f>IF(A243=Premissas!$B$27,D243-H243,0)</x:f>
        <x:v>0</x:v>
      </x:c>
      <x:c r="K243" s="141" t="n">
        <x:f>E243+G243</x:f>
        <x:v>1726.001210670401</x:v>
      </x:c>
      <x:c r="L243" s="141" t="n">
        <x:f>SUM($K$6:K243)</x:f>
        <x:v>364918.4804955148</x:v>
      </x:c>
      <x:c r="M243" s="141" t="str">
        <x:f>IF(A243&lt;Premissas!$B$27,"Financiamento + consorcio",IF(A243=Premissas!$B$27,"Quitacao via carta",IF(A243&lt;=Premissas!$B$25,"Somente consorcio","Encerrado")))</x:f>
        <x:v>Somente consorcio</x:v>
      </x:c>
      <x:c r="N243" s="141" t="n">
        <x:f>IF(A243&gt;=Premissas!$B$25,0,(N244+E244)/(1+Premissas!$B$41))</x:f>
        <x:v>3403.483744304679</x:v>
      </x:c>
      <x:c r="O243" s="141" t="n">
        <x:f>IF(A243&lt;Premissas!$B$27,Premissas!$B$31/(1+Premissas!$B$41)^(Premissas!$B$27-A243),0)</x:f>
        <x:v>0</x:v>
      </x:c>
      <x:c r="P243" s="141" t="n">
        <x:f>MAX(0,H243-I243)+N243</x:f>
        <x:v>3403.483744304679</x:v>
      </x:c>
    </x:row>
    <x:row r="244">
      <x:c r="A244" s="142" t="n">
        <x:v>239</x:v>
      </x:c>
      <x:c r="B244" s="179" t="n">
        <x:f>EDATE(Premissas!$B$4,238)</x:f>
        <x:v>53783</x:v>
      </x:c>
      <x:c r="C244" s="180" t="n">
        <x:f>(1+Premissas!$B$26)^INT((A244-1)/12)</x:f>
        <x:v>3.025599502087592</x:v>
      </x:c>
      <x:c r="D244" s="141" t="n">
        <x:f>Premissas!$B$30*C244</x:f>
        <x:v>328670.8379108154</x:v>
      </x:c>
      <x:c r="E244" s="141" t="n">
        <x:f>IF(A244&lt;=Premissas!$B$25,Premissas!$B$32*C244,0)</x:f>
        <x:v>1726.001210670401</x:v>
      </x:c>
      <x:c r="F244" s="141" t="n">
        <x:f>IF(AND(A244&gt;=Premissas!$B$48,A244&lt;=Premissas!$B$27,A244-Premissas!$B$48+1&lt;=Premissas!$B$13),INDEX(Financiamento!$C$6:$C$485,A244-Premissas!$B$48+1),0)</x:f>
        <x:v>0</x:v>
      </x:c>
      <x:c r="G244" s="141" t="n">
        <x:f>IF(AND(A244&gt;=Premissas!$B$48,A244&lt;=Premissas!$B$27,A244-Premissas!$B$48+1&lt;=Premissas!$B$13),INDEX(Financiamento!$J$6:$J$485,A244-Premissas!$B$48+1),0)</x:f>
        <x:v>0</x:v>
      </x:c>
      <x:c r="H244" s="141" t="n">
        <x:f>IF(AND(A244&gt;=Premissas!$B$48,A244&lt;=Premissas!$B$27,A244-Premissas!$B$48+1&lt;=Premissas!$B$13),INDEX(Financiamento!$M$6:$M$485,A244-Premissas!$B$48+1),0)</x:f>
        <x:v>0</x:v>
      </x:c>
      <x:c r="I244" s="141" t="n">
        <x:f>IF(A244=Premissas!$B$27,MIN(D244,H244),0)</x:f>
        <x:v>0</x:v>
      </x:c>
      <x:c r="J244" s="141" t="n">
        <x:f>IF(A244=Premissas!$B$27,D244-H244,0)</x:f>
        <x:v>0</x:v>
      </x:c>
      <x:c r="K244" s="141" t="n">
        <x:f>E244+G244</x:f>
        <x:v>1726.001210670401</x:v>
      </x:c>
      <x:c r="L244" s="141" t="n">
        <x:f>SUM($K$6:K244)</x:f>
        <x:v>366644.4817061852</x:v>
      </x:c>
      <x:c r="M244" s="141" t="str">
        <x:f>IF(A244&lt;Premissas!$B$27,"Financiamento + consorcio",IF(A244=Premissas!$B$27,"Quitacao via carta",IF(A244&lt;=Premissas!$B$25,"Somente consorcio","Encerrado")))</x:f>
        <x:v>Somente consorcio</x:v>
      </x:c>
      <x:c r="N244" s="141" t="n">
        <x:f>IF(A244&gt;=Premissas!$B$25,0,(N245+E245)/(1+Premissas!$B$41))</x:f>
        <x:v>1709.7774861402047</x:v>
      </x:c>
      <x:c r="O244" s="141" t="n">
        <x:f>IF(A244&lt;Premissas!$B$27,Premissas!$B$31/(1+Premissas!$B$41)^(Premissas!$B$27-A244),0)</x:f>
        <x:v>0</x:v>
      </x:c>
      <x:c r="P244" s="141" t="n">
        <x:f>MAX(0,H244-I244)+N244</x:f>
        <x:v>1709.7774861402047</x:v>
      </x:c>
    </x:row>
    <x:row r="245">
      <x:c r="A245" s="142" t="n">
        <x:v>240</x:v>
      </x:c>
      <x:c r="B245" s="179" t="n">
        <x:f>EDATE(Premissas!$B$4,239)</x:f>
        <x:v>53813</x:v>
      </x:c>
      <x:c r="C245" s="180" t="n">
        <x:f>(1+Premissas!$B$26)^INT((A245-1)/12)</x:f>
        <x:v>3.025599502087592</x:v>
      </x:c>
      <x:c r="D245" s="141" t="n">
        <x:f>Premissas!$B$30*C245</x:f>
        <x:v>328670.8379108154</x:v>
      </x:c>
      <x:c r="E245" s="141" t="n">
        <x:f>IF(A245&lt;=Premissas!$B$25,Premissas!$B$32*C245,0)</x:f>
        <x:v>1726.001210670401</x:v>
      </x:c>
      <x:c r="F245" s="141" t="n">
        <x:f>IF(AND(A245&gt;=Premissas!$B$48,A245&lt;=Premissas!$B$27,A245-Premissas!$B$48+1&lt;=Premissas!$B$13),INDEX(Financiamento!$C$6:$C$485,A245-Premissas!$B$48+1),0)</x:f>
        <x:v>0</x:v>
      </x:c>
      <x:c r="G245" s="141" t="n">
        <x:f>IF(AND(A245&gt;=Premissas!$B$48,A245&lt;=Premissas!$B$27,A245-Premissas!$B$48+1&lt;=Premissas!$B$13),INDEX(Financiamento!$J$6:$J$485,A245-Premissas!$B$48+1),0)</x:f>
        <x:v>0</x:v>
      </x:c>
      <x:c r="H245" s="141" t="n">
        <x:f>IF(AND(A245&gt;=Premissas!$B$48,A245&lt;=Premissas!$B$27,A245-Premissas!$B$48+1&lt;=Premissas!$B$13),INDEX(Financiamento!$M$6:$M$485,A245-Premissas!$B$48+1),0)</x:f>
        <x:v>0</x:v>
      </x:c>
      <x:c r="I245" s="141" t="n">
        <x:f>IF(A245=Premissas!$B$27,MIN(D245,H245),0)</x:f>
        <x:v>0</x:v>
      </x:c>
      <x:c r="J245" s="141" t="n">
        <x:f>IF(A245=Premissas!$B$27,D245-H245,0)</x:f>
        <x:v>0</x:v>
      </x:c>
      <x:c r="K245" s="141" t="n">
        <x:f>E245+G245</x:f>
        <x:v>1726.001210670401</x:v>
      </x:c>
      <x:c r="L245" s="141" t="n">
        <x:f>SUM($K$6:K245)</x:f>
        <x:v>368370.4829168556</x:v>
      </x:c>
      <x:c r="M245" s="141" t="str">
        <x:f>IF(A245&lt;Premissas!$B$27,"Financiamento + consorcio",IF(A245=Premissas!$B$27,"Quitacao via carta",IF(A245&lt;=Premissas!$B$25,"Somente consorcio","Encerrado")))</x:f>
        <x:v>Somente consorcio</x:v>
      </x:c>
      <x:c r="N245" s="141" t="n">
        <x:f>IF(A245&gt;=Premissas!$B$25,0,(N246+E246)/(1+Premissas!$B$41))</x:f>
        <x:v>0</x:v>
      </x:c>
      <x:c r="O245" s="141" t="n">
        <x:f>IF(A245&lt;Premissas!$B$27,Premissas!$B$31/(1+Premissas!$B$41)^(Premissas!$B$27-A245),0)</x:f>
        <x:v>0</x:v>
      </x:c>
      <x:c r="P245" s="141" t="n">
        <x:f>MAX(0,H245-I245)+N245</x:f>
        <x:v>0</x:v>
      </x:c>
    </x:row>
    <x:row r="246">
      <x:c r="A246" s="142" t="n">
        <x:v>241</x:v>
      </x:c>
      <x:c r="B246" s="179" t="n">
        <x:f>EDATE(Premissas!$B$4,240)</x:f>
        <x:v>53844</x:v>
      </x:c>
      <x:c r="C246" s="180" t="n">
        <x:f>(1+Premissas!$B$26)^INT((A246-1)/12)</x:f>
        <x:v>3.207135472212848</x:v>
      </x:c>
      <x:c r="D246" s="141" t="n">
        <x:f>Premissas!$B$30*C246</x:f>
        <x:v>348391.0881854644</x:v>
      </x:c>
      <x:c r="E246" s="141" t="n">
        <x:f>IF(A246&lt;=Premissas!$B$25,Premissas!$B$32*C246,0)</x:f>
        <x:v>0</x:v>
      </x:c>
      <x:c r="F246" s="141" t="n">
        <x:f>IF(AND(A246&gt;=Premissas!$B$48,A246&lt;=Premissas!$B$27,A246-Premissas!$B$48+1&lt;=Premissas!$B$13),INDEX(Financiamento!$C$6:$C$485,A246-Premissas!$B$48+1),0)</x:f>
        <x:v>0</x:v>
      </x:c>
      <x:c r="G246" s="141" t="n">
        <x:f>IF(AND(A246&gt;=Premissas!$B$48,A246&lt;=Premissas!$B$27,A246-Premissas!$B$48+1&lt;=Premissas!$B$13),INDEX(Financiamento!$J$6:$J$485,A246-Premissas!$B$48+1),0)</x:f>
        <x:v>0</x:v>
      </x:c>
      <x:c r="H246" s="141" t="n">
        <x:f>IF(AND(A246&gt;=Premissas!$B$48,A246&lt;=Premissas!$B$27,A246-Premissas!$B$48+1&lt;=Premissas!$B$13),INDEX(Financiamento!$M$6:$M$485,A246-Premissas!$B$48+1),0)</x:f>
        <x:v>0</x:v>
      </x:c>
      <x:c r="I246" s="141" t="n">
        <x:f>IF(A246=Premissas!$B$27,MIN(D246,H246),0)</x:f>
        <x:v>0</x:v>
      </x:c>
      <x:c r="J246" s="141" t="n">
        <x:f>IF(A246=Premissas!$B$27,D246-H246,0)</x:f>
        <x:v>0</x:v>
      </x:c>
      <x:c r="K246" s="141" t="n">
        <x:f>E246+G246</x:f>
        <x:v>0</x:v>
      </x:c>
      <x:c r="L246" s="141" t="n">
        <x:f>SUM($K$6:K246)</x:f>
        <x:v>368370.4829168556</x:v>
      </x:c>
      <x:c r="M246" s="141" t="str">
        <x:f>IF(A246&lt;Premissas!$B$27,"Financiamento + consorcio",IF(A246=Premissas!$B$27,"Quitacao via carta",IF(A246&lt;=Premissas!$B$25,"Somente consorcio","Encerrado")))</x:f>
        <x:v>Encerrado</x:v>
      </x:c>
      <x:c r="N246" s="141" t="n">
        <x:f>IF(A246&gt;=Premissas!$B$25,0,(N247+E247)/(1+Premissas!$B$41))</x:f>
        <x:v>0</x:v>
      </x:c>
      <x:c r="O246" s="141" t="n">
        <x:f>IF(A246&lt;Premissas!$B$27,Premissas!$B$31/(1+Premissas!$B$41)^(Premissas!$B$27-A246),0)</x:f>
        <x:v>0</x:v>
      </x:c>
      <x:c r="P246" s="141" t="n">
        <x:f>MAX(0,H246-I246)+N246</x:f>
        <x:v>0</x:v>
      </x:c>
    </x:row>
    <x:row r="247">
      <x:c r="A247" s="142" t="n">
        <x:v>242</x:v>
      </x:c>
      <x:c r="B247" s="179" t="n">
        <x:f>EDATE(Premissas!$B$4,241)</x:f>
        <x:v>53874</x:v>
      </x:c>
      <x:c r="C247" s="180" t="n">
        <x:f>(1+Premissas!$B$26)^INT((A247-1)/12)</x:f>
        <x:v>3.207135472212848</x:v>
      </x:c>
      <x:c r="D247" s="141" t="n">
        <x:f>Premissas!$B$30*C247</x:f>
        <x:v>348391.0881854644</x:v>
      </x:c>
      <x:c r="E247" s="141" t="n">
        <x:f>IF(A247&lt;=Premissas!$B$25,Premissas!$B$32*C247,0)</x:f>
        <x:v>0</x:v>
      </x:c>
      <x:c r="F247" s="141" t="n">
        <x:f>IF(AND(A247&gt;=Premissas!$B$48,A247&lt;=Premissas!$B$27,A247-Premissas!$B$48+1&lt;=Premissas!$B$13),INDEX(Financiamento!$C$6:$C$485,A247-Premissas!$B$48+1),0)</x:f>
        <x:v>0</x:v>
      </x:c>
      <x:c r="G247" s="141" t="n">
        <x:f>IF(AND(A247&gt;=Premissas!$B$48,A247&lt;=Premissas!$B$27,A247-Premissas!$B$48+1&lt;=Premissas!$B$13),INDEX(Financiamento!$J$6:$J$485,A247-Premissas!$B$48+1),0)</x:f>
        <x:v>0</x:v>
      </x:c>
      <x:c r="H247" s="141" t="n">
        <x:f>IF(AND(A247&gt;=Premissas!$B$48,A247&lt;=Premissas!$B$27,A247-Premissas!$B$48+1&lt;=Premissas!$B$13),INDEX(Financiamento!$M$6:$M$485,A247-Premissas!$B$48+1),0)</x:f>
        <x:v>0</x:v>
      </x:c>
      <x:c r="I247" s="141" t="n">
        <x:f>IF(A247=Premissas!$B$27,MIN(D247,H247),0)</x:f>
        <x:v>0</x:v>
      </x:c>
      <x:c r="J247" s="141" t="n">
        <x:f>IF(A247=Premissas!$B$27,D247-H247,0)</x:f>
        <x:v>0</x:v>
      </x:c>
      <x:c r="K247" s="141" t="n">
        <x:f>E247+G247</x:f>
        <x:v>0</x:v>
      </x:c>
      <x:c r="L247" s="141" t="n">
        <x:f>SUM($K$6:K247)</x:f>
        <x:v>368370.4829168556</x:v>
      </x:c>
      <x:c r="M247" s="141" t="str">
        <x:f>IF(A247&lt;Premissas!$B$27,"Financiamento + consorcio",IF(A247=Premissas!$B$27,"Quitacao via carta",IF(A247&lt;=Premissas!$B$25,"Somente consorcio","Encerrado")))</x:f>
        <x:v>Encerrado</x:v>
      </x:c>
      <x:c r="N247" s="141" t="n">
        <x:f>IF(A247&gt;=Premissas!$B$25,0,(N248+E248)/(1+Premissas!$B$41))</x:f>
        <x:v>0</x:v>
      </x:c>
      <x:c r="O247" s="141" t="n">
        <x:f>IF(A247&lt;Premissas!$B$27,Premissas!$B$31/(1+Premissas!$B$41)^(Premissas!$B$27-A247),0)</x:f>
        <x:v>0</x:v>
      </x:c>
      <x:c r="P247" s="141" t="n">
        <x:f>MAX(0,H247-I247)+N247</x:f>
        <x:v>0</x:v>
      </x:c>
    </x:row>
    <x:row r="248">
      <x:c r="A248" s="142" t="n">
        <x:v>243</x:v>
      </x:c>
      <x:c r="B248" s="179" t="n">
        <x:f>EDATE(Premissas!$B$4,242)</x:f>
        <x:v>53905</x:v>
      </x:c>
      <x:c r="C248" s="180" t="n">
        <x:f>(1+Premissas!$B$26)^INT((A248-1)/12)</x:f>
        <x:v>3.207135472212848</x:v>
      </x:c>
      <x:c r="D248" s="141" t="n">
        <x:f>Premissas!$B$30*C248</x:f>
        <x:v>348391.0881854644</x:v>
      </x:c>
      <x:c r="E248" s="141" t="n">
        <x:f>IF(A248&lt;=Premissas!$B$25,Premissas!$B$32*C248,0)</x:f>
        <x:v>0</x:v>
      </x:c>
      <x:c r="F248" s="141" t="n">
        <x:f>IF(AND(A248&gt;=Premissas!$B$48,A248&lt;=Premissas!$B$27,A248-Premissas!$B$48+1&lt;=Premissas!$B$13),INDEX(Financiamento!$C$6:$C$485,A248-Premissas!$B$48+1),0)</x:f>
        <x:v>0</x:v>
      </x:c>
      <x:c r="G248" s="141" t="n">
        <x:f>IF(AND(A248&gt;=Premissas!$B$48,A248&lt;=Premissas!$B$27,A248-Premissas!$B$48+1&lt;=Premissas!$B$13),INDEX(Financiamento!$J$6:$J$485,A248-Premissas!$B$48+1),0)</x:f>
        <x:v>0</x:v>
      </x:c>
      <x:c r="H248" s="141" t="n">
        <x:f>IF(AND(A248&gt;=Premissas!$B$48,A248&lt;=Premissas!$B$27,A248-Premissas!$B$48+1&lt;=Premissas!$B$13),INDEX(Financiamento!$M$6:$M$485,A248-Premissas!$B$48+1),0)</x:f>
        <x:v>0</x:v>
      </x:c>
      <x:c r="I248" s="141" t="n">
        <x:f>IF(A248=Premissas!$B$27,MIN(D248,H248),0)</x:f>
        <x:v>0</x:v>
      </x:c>
      <x:c r="J248" s="141" t="n">
        <x:f>IF(A248=Premissas!$B$27,D248-H248,0)</x:f>
        <x:v>0</x:v>
      </x:c>
      <x:c r="K248" s="141" t="n">
        <x:f>E248+G248</x:f>
        <x:v>0</x:v>
      </x:c>
      <x:c r="L248" s="141" t="n">
        <x:f>SUM($K$6:K248)</x:f>
        <x:v>368370.4829168556</x:v>
      </x:c>
      <x:c r="M248" s="141" t="str">
        <x:f>IF(A248&lt;Premissas!$B$27,"Financiamento + consorcio",IF(A248=Premissas!$B$27,"Quitacao via carta",IF(A248&lt;=Premissas!$B$25,"Somente consorcio","Encerrado")))</x:f>
        <x:v>Encerrado</x:v>
      </x:c>
      <x:c r="N248" s="141" t="n">
        <x:f>IF(A248&gt;=Premissas!$B$25,0,(N249+E249)/(1+Premissas!$B$41))</x:f>
        <x:v>0</x:v>
      </x:c>
      <x:c r="O248" s="141" t="n">
        <x:f>IF(A248&lt;Premissas!$B$27,Premissas!$B$31/(1+Premissas!$B$41)^(Premissas!$B$27-A248),0)</x:f>
        <x:v>0</x:v>
      </x:c>
      <x:c r="P248" s="141" t="n">
        <x:f>MAX(0,H248-I248)+N248</x:f>
        <x:v>0</x:v>
      </x:c>
    </x:row>
    <x:row r="249">
      <x:c r="A249" s="142" t="n">
        <x:v>244</x:v>
      </x:c>
      <x:c r="B249" s="179" t="n">
        <x:f>EDATE(Premissas!$B$4,243)</x:f>
        <x:v>53936</x:v>
      </x:c>
      <x:c r="C249" s="180" t="n">
        <x:f>(1+Premissas!$B$26)^INT((A249-1)/12)</x:f>
        <x:v>3.207135472212848</x:v>
      </x:c>
      <x:c r="D249" s="141" t="n">
        <x:f>Premissas!$B$30*C249</x:f>
        <x:v>348391.0881854644</x:v>
      </x:c>
      <x:c r="E249" s="141" t="n">
        <x:f>IF(A249&lt;=Premissas!$B$25,Premissas!$B$32*C249,0)</x:f>
        <x:v>0</x:v>
      </x:c>
      <x:c r="F249" s="141" t="n">
        <x:f>IF(AND(A249&gt;=Premissas!$B$48,A249&lt;=Premissas!$B$27,A249-Premissas!$B$48+1&lt;=Premissas!$B$13),INDEX(Financiamento!$C$6:$C$485,A249-Premissas!$B$48+1),0)</x:f>
        <x:v>0</x:v>
      </x:c>
      <x:c r="G249" s="141" t="n">
        <x:f>IF(AND(A249&gt;=Premissas!$B$48,A249&lt;=Premissas!$B$27,A249-Premissas!$B$48+1&lt;=Premissas!$B$13),INDEX(Financiamento!$J$6:$J$485,A249-Premissas!$B$48+1),0)</x:f>
        <x:v>0</x:v>
      </x:c>
      <x:c r="H249" s="141" t="n">
        <x:f>IF(AND(A249&gt;=Premissas!$B$48,A249&lt;=Premissas!$B$27,A249-Premissas!$B$48+1&lt;=Premissas!$B$13),INDEX(Financiamento!$M$6:$M$485,A249-Premissas!$B$48+1),0)</x:f>
        <x:v>0</x:v>
      </x:c>
      <x:c r="I249" s="141" t="n">
        <x:f>IF(A249=Premissas!$B$27,MIN(D249,H249),0)</x:f>
        <x:v>0</x:v>
      </x:c>
      <x:c r="J249" s="141" t="n">
        <x:f>IF(A249=Premissas!$B$27,D249-H249,0)</x:f>
        <x:v>0</x:v>
      </x:c>
      <x:c r="K249" s="141" t="n">
        <x:f>E249+G249</x:f>
        <x:v>0</x:v>
      </x:c>
      <x:c r="L249" s="141" t="n">
        <x:f>SUM($K$6:K249)</x:f>
        <x:v>368370.4829168556</x:v>
      </x:c>
      <x:c r="M249" s="141" t="str">
        <x:f>IF(A249&lt;Premissas!$B$27,"Financiamento + consorcio",IF(A249=Premissas!$B$27,"Quitacao via carta",IF(A249&lt;=Premissas!$B$25,"Somente consorcio","Encerrado")))</x:f>
        <x:v>Encerrado</x:v>
      </x:c>
      <x:c r="N249" s="141" t="n">
        <x:f>IF(A249&gt;=Premissas!$B$25,0,(N250+E250)/(1+Premissas!$B$41))</x:f>
        <x:v>0</x:v>
      </x:c>
      <x:c r="O249" s="141" t="n">
        <x:f>IF(A249&lt;Premissas!$B$27,Premissas!$B$31/(1+Premissas!$B$41)^(Premissas!$B$27-A249),0)</x:f>
        <x:v>0</x:v>
      </x:c>
      <x:c r="P249" s="141" t="n">
        <x:f>MAX(0,H249-I249)+N249</x:f>
        <x:v>0</x:v>
      </x:c>
    </x:row>
    <x:row r="250">
      <x:c r="A250" s="142" t="n">
        <x:v>245</x:v>
      </x:c>
      <x:c r="B250" s="179" t="n">
        <x:f>EDATE(Premissas!$B$4,244)</x:f>
        <x:v>53966</x:v>
      </x:c>
      <x:c r="C250" s="180" t="n">
        <x:f>(1+Premissas!$B$26)^INT((A250-1)/12)</x:f>
        <x:v>3.207135472212848</x:v>
      </x:c>
      <x:c r="D250" s="141" t="n">
        <x:f>Premissas!$B$30*C250</x:f>
        <x:v>348391.0881854644</x:v>
      </x:c>
      <x:c r="E250" s="141" t="n">
        <x:f>IF(A250&lt;=Premissas!$B$25,Premissas!$B$32*C250,0)</x:f>
        <x:v>0</x:v>
      </x:c>
      <x:c r="F250" s="141" t="n">
        <x:f>IF(AND(A250&gt;=Premissas!$B$48,A250&lt;=Premissas!$B$27,A250-Premissas!$B$48+1&lt;=Premissas!$B$13),INDEX(Financiamento!$C$6:$C$485,A250-Premissas!$B$48+1),0)</x:f>
        <x:v>0</x:v>
      </x:c>
      <x:c r="G250" s="141" t="n">
        <x:f>IF(AND(A250&gt;=Premissas!$B$48,A250&lt;=Premissas!$B$27,A250-Premissas!$B$48+1&lt;=Premissas!$B$13),INDEX(Financiamento!$J$6:$J$485,A250-Premissas!$B$48+1),0)</x:f>
        <x:v>0</x:v>
      </x:c>
      <x:c r="H250" s="141" t="n">
        <x:f>IF(AND(A250&gt;=Premissas!$B$48,A250&lt;=Premissas!$B$27,A250-Premissas!$B$48+1&lt;=Premissas!$B$13),INDEX(Financiamento!$M$6:$M$485,A250-Premissas!$B$48+1),0)</x:f>
        <x:v>0</x:v>
      </x:c>
      <x:c r="I250" s="141" t="n">
        <x:f>IF(A250=Premissas!$B$27,MIN(D250,H250),0)</x:f>
        <x:v>0</x:v>
      </x:c>
      <x:c r="J250" s="141" t="n">
        <x:f>IF(A250=Premissas!$B$27,D250-H250,0)</x:f>
        <x:v>0</x:v>
      </x:c>
      <x:c r="K250" s="141" t="n">
        <x:f>E250+G250</x:f>
        <x:v>0</x:v>
      </x:c>
      <x:c r="L250" s="141" t="n">
        <x:f>SUM($K$6:K250)</x:f>
        <x:v>368370.4829168556</x:v>
      </x:c>
      <x:c r="M250" s="141" t="str">
        <x:f>IF(A250&lt;Premissas!$B$27,"Financiamento + consorcio",IF(A250=Premissas!$B$27,"Quitacao via carta",IF(A250&lt;=Premissas!$B$25,"Somente consorcio","Encerrado")))</x:f>
        <x:v>Encerrado</x:v>
      </x:c>
      <x:c r="N250" s="141" t="n">
        <x:f>IF(A250&gt;=Premissas!$B$25,0,(N251+E251)/(1+Premissas!$B$41))</x:f>
        <x:v>0</x:v>
      </x:c>
      <x:c r="O250" s="141" t="n">
        <x:f>IF(A250&lt;Premissas!$B$27,Premissas!$B$31/(1+Premissas!$B$41)^(Premissas!$B$27-A250),0)</x:f>
        <x:v>0</x:v>
      </x:c>
      <x:c r="P250" s="141" t="n">
        <x:f>MAX(0,H250-I250)+N250</x:f>
        <x:v>0</x:v>
      </x:c>
    </x:row>
    <x:row r="251">
      <x:c r="A251" s="142" t="n">
        <x:v>246</x:v>
      </x:c>
      <x:c r="B251" s="179" t="n">
        <x:f>EDATE(Premissas!$B$4,245)</x:f>
        <x:v>53997</x:v>
      </x:c>
      <x:c r="C251" s="180" t="n">
        <x:f>(1+Premissas!$B$26)^INT((A251-1)/12)</x:f>
        <x:v>3.207135472212848</x:v>
      </x:c>
      <x:c r="D251" s="141" t="n">
        <x:f>Premissas!$B$30*C251</x:f>
        <x:v>348391.0881854644</x:v>
      </x:c>
      <x:c r="E251" s="141" t="n">
        <x:f>IF(A251&lt;=Premissas!$B$25,Premissas!$B$32*C251,0)</x:f>
        <x:v>0</x:v>
      </x:c>
      <x:c r="F251" s="141" t="n">
        <x:f>IF(AND(A251&gt;=Premissas!$B$48,A251&lt;=Premissas!$B$27,A251-Premissas!$B$48+1&lt;=Premissas!$B$13),INDEX(Financiamento!$C$6:$C$485,A251-Premissas!$B$48+1),0)</x:f>
        <x:v>0</x:v>
      </x:c>
      <x:c r="G251" s="141" t="n">
        <x:f>IF(AND(A251&gt;=Premissas!$B$48,A251&lt;=Premissas!$B$27,A251-Premissas!$B$48+1&lt;=Premissas!$B$13),INDEX(Financiamento!$J$6:$J$485,A251-Premissas!$B$48+1),0)</x:f>
        <x:v>0</x:v>
      </x:c>
      <x:c r="H251" s="141" t="n">
        <x:f>IF(AND(A251&gt;=Premissas!$B$48,A251&lt;=Premissas!$B$27,A251-Premissas!$B$48+1&lt;=Premissas!$B$13),INDEX(Financiamento!$M$6:$M$485,A251-Premissas!$B$48+1),0)</x:f>
        <x:v>0</x:v>
      </x:c>
      <x:c r="I251" s="141" t="n">
        <x:f>IF(A251=Premissas!$B$27,MIN(D251,H251),0)</x:f>
        <x:v>0</x:v>
      </x:c>
      <x:c r="J251" s="141" t="n">
        <x:f>IF(A251=Premissas!$B$27,D251-H251,0)</x:f>
        <x:v>0</x:v>
      </x:c>
      <x:c r="K251" s="141" t="n">
        <x:f>E251+G251</x:f>
        <x:v>0</x:v>
      </x:c>
      <x:c r="L251" s="141" t="n">
        <x:f>SUM($K$6:K251)</x:f>
        <x:v>368370.4829168556</x:v>
      </x:c>
      <x:c r="M251" s="141" t="str">
        <x:f>IF(A251&lt;Premissas!$B$27,"Financiamento + consorcio",IF(A251=Premissas!$B$27,"Quitacao via carta",IF(A251&lt;=Premissas!$B$25,"Somente consorcio","Encerrado")))</x:f>
        <x:v>Encerrado</x:v>
      </x:c>
      <x:c r="N251" s="141" t="n">
        <x:f>IF(A251&gt;=Premissas!$B$25,0,(N252+E252)/(1+Premissas!$B$41))</x:f>
        <x:v>0</x:v>
      </x:c>
      <x:c r="O251" s="141" t="n">
        <x:f>IF(A251&lt;Premissas!$B$27,Premissas!$B$31/(1+Premissas!$B$41)^(Premissas!$B$27-A251),0)</x:f>
        <x:v>0</x:v>
      </x:c>
      <x:c r="P251" s="141" t="n">
        <x:f>MAX(0,H251-I251)+N251</x:f>
        <x:v>0</x:v>
      </x:c>
    </x:row>
    <x:row r="252">
      <x:c r="A252" s="142" t="n">
        <x:v>247</x:v>
      </x:c>
      <x:c r="B252" s="179" t="n">
        <x:f>EDATE(Premissas!$B$4,246)</x:f>
        <x:v>54027</x:v>
      </x:c>
      <x:c r="C252" s="180" t="n">
        <x:f>(1+Premissas!$B$26)^INT((A252-1)/12)</x:f>
        <x:v>3.207135472212848</x:v>
      </x:c>
      <x:c r="D252" s="141" t="n">
        <x:f>Premissas!$B$30*C252</x:f>
        <x:v>348391.0881854644</x:v>
      </x:c>
      <x:c r="E252" s="141" t="n">
        <x:f>IF(A252&lt;=Premissas!$B$25,Premissas!$B$32*C252,0)</x:f>
        <x:v>0</x:v>
      </x:c>
      <x:c r="F252" s="141" t="n">
        <x:f>IF(AND(A252&gt;=Premissas!$B$48,A252&lt;=Premissas!$B$27,A252-Premissas!$B$48+1&lt;=Premissas!$B$13),INDEX(Financiamento!$C$6:$C$485,A252-Premissas!$B$48+1),0)</x:f>
        <x:v>0</x:v>
      </x:c>
      <x:c r="G252" s="141" t="n">
        <x:f>IF(AND(A252&gt;=Premissas!$B$48,A252&lt;=Premissas!$B$27,A252-Premissas!$B$48+1&lt;=Premissas!$B$13),INDEX(Financiamento!$J$6:$J$485,A252-Premissas!$B$48+1),0)</x:f>
        <x:v>0</x:v>
      </x:c>
      <x:c r="H252" s="141" t="n">
        <x:f>IF(AND(A252&gt;=Premissas!$B$48,A252&lt;=Premissas!$B$27,A252-Premissas!$B$48+1&lt;=Premissas!$B$13),INDEX(Financiamento!$M$6:$M$485,A252-Premissas!$B$48+1),0)</x:f>
        <x:v>0</x:v>
      </x:c>
      <x:c r="I252" s="141" t="n">
        <x:f>IF(A252=Premissas!$B$27,MIN(D252,H252),0)</x:f>
        <x:v>0</x:v>
      </x:c>
      <x:c r="J252" s="141" t="n">
        <x:f>IF(A252=Premissas!$B$27,D252-H252,0)</x:f>
        <x:v>0</x:v>
      </x:c>
      <x:c r="K252" s="141" t="n">
        <x:f>E252+G252</x:f>
        <x:v>0</x:v>
      </x:c>
      <x:c r="L252" s="141" t="n">
        <x:f>SUM($K$6:K252)</x:f>
        <x:v>368370.4829168556</x:v>
      </x:c>
      <x:c r="M252" s="141" t="str">
        <x:f>IF(A252&lt;Premissas!$B$27,"Financiamento + consorcio",IF(A252=Premissas!$B$27,"Quitacao via carta",IF(A252&lt;=Premissas!$B$25,"Somente consorcio","Encerrado")))</x:f>
        <x:v>Encerrado</x:v>
      </x:c>
      <x:c r="N252" s="141" t="n">
        <x:f>IF(A252&gt;=Premissas!$B$25,0,(N253+E253)/(1+Premissas!$B$41))</x:f>
        <x:v>0</x:v>
      </x:c>
      <x:c r="O252" s="141" t="n">
        <x:f>IF(A252&lt;Premissas!$B$27,Premissas!$B$31/(1+Premissas!$B$41)^(Premissas!$B$27-A252),0)</x:f>
        <x:v>0</x:v>
      </x:c>
      <x:c r="P252" s="141" t="n">
        <x:f>MAX(0,H252-I252)+N252</x:f>
        <x:v>0</x:v>
      </x:c>
    </x:row>
    <x:row r="253">
      <x:c r="A253" s="142" t="n">
        <x:v>248</x:v>
      </x:c>
      <x:c r="B253" s="179" t="n">
        <x:f>EDATE(Premissas!$B$4,247)</x:f>
        <x:v>54058</x:v>
      </x:c>
      <x:c r="C253" s="180" t="n">
        <x:f>(1+Premissas!$B$26)^INT((A253-1)/12)</x:f>
        <x:v>3.207135472212848</x:v>
      </x:c>
      <x:c r="D253" s="141" t="n">
        <x:f>Premissas!$B$30*C253</x:f>
        <x:v>348391.0881854644</x:v>
      </x:c>
      <x:c r="E253" s="141" t="n">
        <x:f>IF(A253&lt;=Premissas!$B$25,Premissas!$B$32*C253,0)</x:f>
        <x:v>0</x:v>
      </x:c>
      <x:c r="F253" s="141" t="n">
        <x:f>IF(AND(A253&gt;=Premissas!$B$48,A253&lt;=Premissas!$B$27,A253-Premissas!$B$48+1&lt;=Premissas!$B$13),INDEX(Financiamento!$C$6:$C$485,A253-Premissas!$B$48+1),0)</x:f>
        <x:v>0</x:v>
      </x:c>
      <x:c r="G253" s="141" t="n">
        <x:f>IF(AND(A253&gt;=Premissas!$B$48,A253&lt;=Premissas!$B$27,A253-Premissas!$B$48+1&lt;=Premissas!$B$13),INDEX(Financiamento!$J$6:$J$485,A253-Premissas!$B$48+1),0)</x:f>
        <x:v>0</x:v>
      </x:c>
      <x:c r="H253" s="141" t="n">
        <x:f>IF(AND(A253&gt;=Premissas!$B$48,A253&lt;=Premissas!$B$27,A253-Premissas!$B$48+1&lt;=Premissas!$B$13),INDEX(Financiamento!$M$6:$M$485,A253-Premissas!$B$48+1),0)</x:f>
        <x:v>0</x:v>
      </x:c>
      <x:c r="I253" s="141" t="n">
        <x:f>IF(A253=Premissas!$B$27,MIN(D253,H253),0)</x:f>
        <x:v>0</x:v>
      </x:c>
      <x:c r="J253" s="141" t="n">
        <x:f>IF(A253=Premissas!$B$27,D253-H253,0)</x:f>
        <x:v>0</x:v>
      </x:c>
      <x:c r="K253" s="141" t="n">
        <x:f>E253+G253</x:f>
        <x:v>0</x:v>
      </x:c>
      <x:c r="L253" s="141" t="n">
        <x:f>SUM($K$6:K253)</x:f>
        <x:v>368370.4829168556</x:v>
      </x:c>
      <x:c r="M253" s="141" t="str">
        <x:f>IF(A253&lt;Premissas!$B$27,"Financiamento + consorcio",IF(A253=Premissas!$B$27,"Quitacao via carta",IF(A253&lt;=Premissas!$B$25,"Somente consorcio","Encerrado")))</x:f>
        <x:v>Encerrado</x:v>
      </x:c>
      <x:c r="N253" s="141" t="n">
        <x:f>IF(A253&gt;=Premissas!$B$25,0,(N254+E254)/(1+Premissas!$B$41))</x:f>
        <x:v>0</x:v>
      </x:c>
      <x:c r="O253" s="141" t="n">
        <x:f>IF(A253&lt;Premissas!$B$27,Premissas!$B$31/(1+Premissas!$B$41)^(Premissas!$B$27-A253),0)</x:f>
        <x:v>0</x:v>
      </x:c>
      <x:c r="P253" s="141" t="n">
        <x:f>MAX(0,H253-I253)+N253</x:f>
        <x:v>0</x:v>
      </x:c>
    </x:row>
    <x:row r="254">
      <x:c r="A254" s="142" t="n">
        <x:v>249</x:v>
      </x:c>
      <x:c r="B254" s="179" t="n">
        <x:f>EDATE(Premissas!$B$4,248)</x:f>
        <x:v>54089</x:v>
      </x:c>
      <x:c r="C254" s="180" t="n">
        <x:f>(1+Premissas!$B$26)^INT((A254-1)/12)</x:f>
        <x:v>3.207135472212848</x:v>
      </x:c>
      <x:c r="D254" s="141" t="n">
        <x:f>Premissas!$B$30*C254</x:f>
        <x:v>348391.0881854644</x:v>
      </x:c>
      <x:c r="E254" s="141" t="n">
        <x:f>IF(A254&lt;=Premissas!$B$25,Premissas!$B$32*C254,0)</x:f>
        <x:v>0</x:v>
      </x:c>
      <x:c r="F254" s="141" t="n">
        <x:f>IF(AND(A254&gt;=Premissas!$B$48,A254&lt;=Premissas!$B$27,A254-Premissas!$B$48+1&lt;=Premissas!$B$13),INDEX(Financiamento!$C$6:$C$485,A254-Premissas!$B$48+1),0)</x:f>
        <x:v>0</x:v>
      </x:c>
      <x:c r="G254" s="141" t="n">
        <x:f>IF(AND(A254&gt;=Premissas!$B$48,A254&lt;=Premissas!$B$27,A254-Premissas!$B$48+1&lt;=Premissas!$B$13),INDEX(Financiamento!$J$6:$J$485,A254-Premissas!$B$48+1),0)</x:f>
        <x:v>0</x:v>
      </x:c>
      <x:c r="H254" s="141" t="n">
        <x:f>IF(AND(A254&gt;=Premissas!$B$48,A254&lt;=Premissas!$B$27,A254-Premissas!$B$48+1&lt;=Premissas!$B$13),INDEX(Financiamento!$M$6:$M$485,A254-Premissas!$B$48+1),0)</x:f>
        <x:v>0</x:v>
      </x:c>
      <x:c r="I254" s="141" t="n">
        <x:f>IF(A254=Premissas!$B$27,MIN(D254,H254),0)</x:f>
        <x:v>0</x:v>
      </x:c>
      <x:c r="J254" s="141" t="n">
        <x:f>IF(A254=Premissas!$B$27,D254-H254,0)</x:f>
        <x:v>0</x:v>
      </x:c>
      <x:c r="K254" s="141" t="n">
        <x:f>E254+G254</x:f>
        <x:v>0</x:v>
      </x:c>
      <x:c r="L254" s="141" t="n">
        <x:f>SUM($K$6:K254)</x:f>
        <x:v>368370.4829168556</x:v>
      </x:c>
      <x:c r="M254" s="141" t="str">
        <x:f>IF(A254&lt;Premissas!$B$27,"Financiamento + consorcio",IF(A254=Premissas!$B$27,"Quitacao via carta",IF(A254&lt;=Premissas!$B$25,"Somente consorcio","Encerrado")))</x:f>
        <x:v>Encerrado</x:v>
      </x:c>
      <x:c r="N254" s="141" t="n">
        <x:f>IF(A254&gt;=Premissas!$B$25,0,(N255+E255)/(1+Premissas!$B$41))</x:f>
        <x:v>0</x:v>
      </x:c>
      <x:c r="O254" s="141" t="n">
        <x:f>IF(A254&lt;Premissas!$B$27,Premissas!$B$31/(1+Premissas!$B$41)^(Premissas!$B$27-A254),0)</x:f>
        <x:v>0</x:v>
      </x:c>
      <x:c r="P254" s="141" t="n">
        <x:f>MAX(0,H254-I254)+N254</x:f>
        <x:v>0</x:v>
      </x:c>
    </x:row>
    <x:row r="255">
      <x:c r="A255" s="142" t="n">
        <x:v>250</x:v>
      </x:c>
      <x:c r="B255" s="179" t="n">
        <x:f>EDATE(Premissas!$B$4,249)</x:f>
        <x:v>54118</x:v>
      </x:c>
      <x:c r="C255" s="180" t="n">
        <x:f>(1+Premissas!$B$26)^INT((A255-1)/12)</x:f>
        <x:v>3.207135472212848</x:v>
      </x:c>
      <x:c r="D255" s="141" t="n">
        <x:f>Premissas!$B$30*C255</x:f>
        <x:v>348391.0881854644</x:v>
      </x:c>
      <x:c r="E255" s="141" t="n">
        <x:f>IF(A255&lt;=Premissas!$B$25,Premissas!$B$32*C255,0)</x:f>
        <x:v>0</x:v>
      </x:c>
      <x:c r="F255" s="141" t="n">
        <x:f>IF(AND(A255&gt;=Premissas!$B$48,A255&lt;=Premissas!$B$27,A255-Premissas!$B$48+1&lt;=Premissas!$B$13),INDEX(Financiamento!$C$6:$C$485,A255-Premissas!$B$48+1),0)</x:f>
        <x:v>0</x:v>
      </x:c>
      <x:c r="G255" s="141" t="n">
        <x:f>IF(AND(A255&gt;=Premissas!$B$48,A255&lt;=Premissas!$B$27,A255-Premissas!$B$48+1&lt;=Premissas!$B$13),INDEX(Financiamento!$J$6:$J$485,A255-Premissas!$B$48+1),0)</x:f>
        <x:v>0</x:v>
      </x:c>
      <x:c r="H255" s="141" t="n">
        <x:f>IF(AND(A255&gt;=Premissas!$B$48,A255&lt;=Premissas!$B$27,A255-Premissas!$B$48+1&lt;=Premissas!$B$13),INDEX(Financiamento!$M$6:$M$485,A255-Premissas!$B$48+1),0)</x:f>
        <x:v>0</x:v>
      </x:c>
      <x:c r="I255" s="141" t="n">
        <x:f>IF(A255=Premissas!$B$27,MIN(D255,H255),0)</x:f>
        <x:v>0</x:v>
      </x:c>
      <x:c r="J255" s="141" t="n">
        <x:f>IF(A255=Premissas!$B$27,D255-H255,0)</x:f>
        <x:v>0</x:v>
      </x:c>
      <x:c r="K255" s="141" t="n">
        <x:f>E255+G255</x:f>
        <x:v>0</x:v>
      </x:c>
      <x:c r="L255" s="141" t="n">
        <x:f>SUM($K$6:K255)</x:f>
        <x:v>368370.4829168556</x:v>
      </x:c>
      <x:c r="M255" s="141" t="str">
        <x:f>IF(A255&lt;Premissas!$B$27,"Financiamento + consorcio",IF(A255=Premissas!$B$27,"Quitacao via carta",IF(A255&lt;=Premissas!$B$25,"Somente consorcio","Encerrado")))</x:f>
        <x:v>Encerrado</x:v>
      </x:c>
      <x:c r="N255" s="141" t="n">
        <x:f>IF(A255&gt;=Premissas!$B$25,0,(N256+E256)/(1+Premissas!$B$41))</x:f>
        <x:v>0</x:v>
      </x:c>
      <x:c r="O255" s="141" t="n">
        <x:f>IF(A255&lt;Premissas!$B$27,Premissas!$B$31/(1+Premissas!$B$41)^(Premissas!$B$27-A255),0)</x:f>
        <x:v>0</x:v>
      </x:c>
      <x:c r="P255" s="141" t="n">
        <x:f>MAX(0,H255-I255)+N255</x:f>
        <x:v>0</x:v>
      </x:c>
    </x:row>
    <x:row r="256">
      <x:c r="A256" s="142" t="n">
        <x:v>251</x:v>
      </x:c>
      <x:c r="B256" s="179" t="n">
        <x:f>EDATE(Premissas!$B$4,250)</x:f>
        <x:v>54149</x:v>
      </x:c>
      <x:c r="C256" s="180" t="n">
        <x:f>(1+Premissas!$B$26)^INT((A256-1)/12)</x:f>
        <x:v>3.207135472212848</x:v>
      </x:c>
      <x:c r="D256" s="141" t="n">
        <x:f>Premissas!$B$30*C256</x:f>
        <x:v>348391.0881854644</x:v>
      </x:c>
      <x:c r="E256" s="141" t="n">
        <x:f>IF(A256&lt;=Premissas!$B$25,Premissas!$B$32*C256,0)</x:f>
        <x:v>0</x:v>
      </x:c>
      <x:c r="F256" s="141" t="n">
        <x:f>IF(AND(A256&gt;=Premissas!$B$48,A256&lt;=Premissas!$B$27,A256-Premissas!$B$48+1&lt;=Premissas!$B$13),INDEX(Financiamento!$C$6:$C$485,A256-Premissas!$B$48+1),0)</x:f>
        <x:v>0</x:v>
      </x:c>
      <x:c r="G256" s="141" t="n">
        <x:f>IF(AND(A256&gt;=Premissas!$B$48,A256&lt;=Premissas!$B$27,A256-Premissas!$B$48+1&lt;=Premissas!$B$13),INDEX(Financiamento!$J$6:$J$485,A256-Premissas!$B$48+1),0)</x:f>
        <x:v>0</x:v>
      </x:c>
      <x:c r="H256" s="141" t="n">
        <x:f>IF(AND(A256&gt;=Premissas!$B$48,A256&lt;=Premissas!$B$27,A256-Premissas!$B$48+1&lt;=Premissas!$B$13),INDEX(Financiamento!$M$6:$M$485,A256-Premissas!$B$48+1),0)</x:f>
        <x:v>0</x:v>
      </x:c>
      <x:c r="I256" s="141" t="n">
        <x:f>IF(A256=Premissas!$B$27,MIN(D256,H256),0)</x:f>
        <x:v>0</x:v>
      </x:c>
      <x:c r="J256" s="141" t="n">
        <x:f>IF(A256=Premissas!$B$27,D256-H256,0)</x:f>
        <x:v>0</x:v>
      </x:c>
      <x:c r="K256" s="141" t="n">
        <x:f>E256+G256</x:f>
        <x:v>0</x:v>
      </x:c>
      <x:c r="L256" s="141" t="n">
        <x:f>SUM($K$6:K256)</x:f>
        <x:v>368370.4829168556</x:v>
      </x:c>
      <x:c r="M256" s="141" t="str">
        <x:f>IF(A256&lt;Premissas!$B$27,"Financiamento + consorcio",IF(A256=Premissas!$B$27,"Quitacao via carta",IF(A256&lt;=Premissas!$B$25,"Somente consorcio","Encerrado")))</x:f>
        <x:v>Encerrado</x:v>
      </x:c>
      <x:c r="N256" s="141" t="n">
        <x:f>IF(A256&gt;=Premissas!$B$25,0,(N257+E257)/(1+Premissas!$B$41))</x:f>
        <x:v>0</x:v>
      </x:c>
      <x:c r="O256" s="141" t="n">
        <x:f>IF(A256&lt;Premissas!$B$27,Premissas!$B$31/(1+Premissas!$B$41)^(Premissas!$B$27-A256),0)</x:f>
        <x:v>0</x:v>
      </x:c>
      <x:c r="P256" s="141" t="n">
        <x:f>MAX(0,H256-I256)+N256</x:f>
        <x:v>0</x:v>
      </x:c>
    </x:row>
    <x:row r="257">
      <x:c r="A257" s="142" t="n">
        <x:v>252</x:v>
      </x:c>
      <x:c r="B257" s="179" t="n">
        <x:f>EDATE(Premissas!$B$4,251)</x:f>
        <x:v>54179</x:v>
      </x:c>
      <x:c r="C257" s="180" t="n">
        <x:f>(1+Premissas!$B$26)^INT((A257-1)/12)</x:f>
        <x:v>3.207135472212848</x:v>
      </x:c>
      <x:c r="D257" s="141" t="n">
        <x:f>Premissas!$B$30*C257</x:f>
        <x:v>348391.0881854644</x:v>
      </x:c>
      <x:c r="E257" s="141" t="n">
        <x:f>IF(A257&lt;=Premissas!$B$25,Premissas!$B$32*C257,0)</x:f>
        <x:v>0</x:v>
      </x:c>
      <x:c r="F257" s="141" t="n">
        <x:f>IF(AND(A257&gt;=Premissas!$B$48,A257&lt;=Premissas!$B$27,A257-Premissas!$B$48+1&lt;=Premissas!$B$13),INDEX(Financiamento!$C$6:$C$485,A257-Premissas!$B$48+1),0)</x:f>
        <x:v>0</x:v>
      </x:c>
      <x:c r="G257" s="141" t="n">
        <x:f>IF(AND(A257&gt;=Premissas!$B$48,A257&lt;=Premissas!$B$27,A257-Premissas!$B$48+1&lt;=Premissas!$B$13),INDEX(Financiamento!$J$6:$J$485,A257-Premissas!$B$48+1),0)</x:f>
        <x:v>0</x:v>
      </x:c>
      <x:c r="H257" s="141" t="n">
        <x:f>IF(AND(A257&gt;=Premissas!$B$48,A257&lt;=Premissas!$B$27,A257-Premissas!$B$48+1&lt;=Premissas!$B$13),INDEX(Financiamento!$M$6:$M$485,A257-Premissas!$B$48+1),0)</x:f>
        <x:v>0</x:v>
      </x:c>
      <x:c r="I257" s="141" t="n">
        <x:f>IF(A257=Premissas!$B$27,MIN(D257,H257),0)</x:f>
        <x:v>0</x:v>
      </x:c>
      <x:c r="J257" s="141" t="n">
        <x:f>IF(A257=Premissas!$B$27,D257-H257,0)</x:f>
        <x:v>0</x:v>
      </x:c>
      <x:c r="K257" s="141" t="n">
        <x:f>E257+G257</x:f>
        <x:v>0</x:v>
      </x:c>
      <x:c r="L257" s="141" t="n">
        <x:f>SUM($K$6:K257)</x:f>
        <x:v>368370.4829168556</x:v>
      </x:c>
      <x:c r="M257" s="141" t="str">
        <x:f>IF(A257&lt;Premissas!$B$27,"Financiamento + consorcio",IF(A257=Premissas!$B$27,"Quitacao via carta",IF(A257&lt;=Premissas!$B$25,"Somente consorcio","Encerrado")))</x:f>
        <x:v>Encerrado</x:v>
      </x:c>
      <x:c r="N257" s="141" t="n">
        <x:f>IF(A257&gt;=Premissas!$B$25,0,(N258+E258)/(1+Premissas!$B$41))</x:f>
        <x:v>0</x:v>
      </x:c>
      <x:c r="O257" s="141" t="n">
        <x:f>IF(A257&lt;Premissas!$B$27,Premissas!$B$31/(1+Premissas!$B$41)^(Premissas!$B$27-A257),0)</x:f>
        <x:v>0</x:v>
      </x:c>
      <x:c r="P257" s="141" t="n">
        <x:f>MAX(0,H257-I257)+N257</x:f>
        <x:v>0</x:v>
      </x:c>
    </x:row>
    <x:row r="258">
      <x:c r="A258" s="142" t="n">
        <x:v>253</x:v>
      </x:c>
      <x:c r="B258" s="179" t="n">
        <x:f>EDATE(Premissas!$B$4,252)</x:f>
        <x:v>54210</x:v>
      </x:c>
      <x:c r="C258" s="180" t="n">
        <x:f>(1+Premissas!$B$26)^INT((A258-1)/12)</x:f>
        <x:v>3.399563600545619</x:v>
      </x:c>
      <x:c r="D258" s="141" t="n">
        <x:f>Premissas!$B$30*C258</x:f>
        <x:v>369294.55347659223</x:v>
      </x:c>
      <x:c r="E258" s="141" t="n">
        <x:f>IF(A258&lt;=Premissas!$B$25,Premissas!$B$32*C258,0)</x:f>
        <x:v>0</x:v>
      </x:c>
      <x:c r="F258" s="141" t="n">
        <x:f>IF(AND(A258&gt;=Premissas!$B$48,A258&lt;=Premissas!$B$27,A258-Premissas!$B$48+1&lt;=Premissas!$B$13),INDEX(Financiamento!$C$6:$C$485,A258-Premissas!$B$48+1),0)</x:f>
        <x:v>0</x:v>
      </x:c>
      <x:c r="G258" s="141" t="n">
        <x:f>IF(AND(A258&gt;=Premissas!$B$48,A258&lt;=Premissas!$B$27,A258-Premissas!$B$48+1&lt;=Premissas!$B$13),INDEX(Financiamento!$J$6:$J$485,A258-Premissas!$B$48+1),0)</x:f>
        <x:v>0</x:v>
      </x:c>
      <x:c r="H258" s="141" t="n">
        <x:f>IF(AND(A258&gt;=Premissas!$B$48,A258&lt;=Premissas!$B$27,A258-Premissas!$B$48+1&lt;=Premissas!$B$13),INDEX(Financiamento!$M$6:$M$485,A258-Premissas!$B$48+1),0)</x:f>
        <x:v>0</x:v>
      </x:c>
      <x:c r="I258" s="141" t="n">
        <x:f>IF(A258=Premissas!$B$27,MIN(D258,H258),0)</x:f>
        <x:v>0</x:v>
      </x:c>
      <x:c r="J258" s="141" t="n">
        <x:f>IF(A258=Premissas!$B$27,D258-H258,0)</x:f>
        <x:v>0</x:v>
      </x:c>
      <x:c r="K258" s="141" t="n">
        <x:f>E258+G258</x:f>
        <x:v>0</x:v>
      </x:c>
      <x:c r="L258" s="141" t="n">
        <x:f>SUM($K$6:K258)</x:f>
        <x:v>368370.4829168556</x:v>
      </x:c>
      <x:c r="M258" s="141" t="str">
        <x:f>IF(A258&lt;Premissas!$B$27,"Financiamento + consorcio",IF(A258=Premissas!$B$27,"Quitacao via carta",IF(A258&lt;=Premissas!$B$25,"Somente consorcio","Encerrado")))</x:f>
        <x:v>Encerrado</x:v>
      </x:c>
      <x:c r="N258" s="141" t="n">
        <x:f>IF(A258&gt;=Premissas!$B$25,0,(N259+E259)/(1+Premissas!$B$41))</x:f>
        <x:v>0</x:v>
      </x:c>
      <x:c r="O258" s="141" t="n">
        <x:f>IF(A258&lt;Premissas!$B$27,Premissas!$B$31/(1+Premissas!$B$41)^(Premissas!$B$27-A258),0)</x:f>
        <x:v>0</x:v>
      </x:c>
      <x:c r="P258" s="141" t="n">
        <x:f>MAX(0,H258-I258)+N258</x:f>
        <x:v>0</x:v>
      </x:c>
    </x:row>
    <x:row r="259">
      <x:c r="A259" s="142" t="n">
        <x:v>254</x:v>
      </x:c>
      <x:c r="B259" s="179" t="n">
        <x:f>EDATE(Premissas!$B$4,253)</x:f>
        <x:v>54240</x:v>
      </x:c>
      <x:c r="C259" s="180" t="n">
        <x:f>(1+Premissas!$B$26)^INT((A259-1)/12)</x:f>
        <x:v>3.399563600545619</x:v>
      </x:c>
      <x:c r="D259" s="141" t="n">
        <x:f>Premissas!$B$30*C259</x:f>
        <x:v>369294.55347659223</x:v>
      </x:c>
      <x:c r="E259" s="141" t="n">
        <x:f>IF(A259&lt;=Premissas!$B$25,Premissas!$B$32*C259,0)</x:f>
        <x:v>0</x:v>
      </x:c>
      <x:c r="F259" s="141" t="n">
        <x:f>IF(AND(A259&gt;=Premissas!$B$48,A259&lt;=Premissas!$B$27,A259-Premissas!$B$48+1&lt;=Premissas!$B$13),INDEX(Financiamento!$C$6:$C$485,A259-Premissas!$B$48+1),0)</x:f>
        <x:v>0</x:v>
      </x:c>
      <x:c r="G259" s="141" t="n">
        <x:f>IF(AND(A259&gt;=Premissas!$B$48,A259&lt;=Premissas!$B$27,A259-Premissas!$B$48+1&lt;=Premissas!$B$13),INDEX(Financiamento!$J$6:$J$485,A259-Premissas!$B$48+1),0)</x:f>
        <x:v>0</x:v>
      </x:c>
      <x:c r="H259" s="141" t="n">
        <x:f>IF(AND(A259&gt;=Premissas!$B$48,A259&lt;=Premissas!$B$27,A259-Premissas!$B$48+1&lt;=Premissas!$B$13),INDEX(Financiamento!$M$6:$M$485,A259-Premissas!$B$48+1),0)</x:f>
        <x:v>0</x:v>
      </x:c>
      <x:c r="I259" s="141" t="n">
        <x:f>IF(A259=Premissas!$B$27,MIN(D259,H259),0)</x:f>
        <x:v>0</x:v>
      </x:c>
      <x:c r="J259" s="141" t="n">
        <x:f>IF(A259=Premissas!$B$27,D259-H259,0)</x:f>
        <x:v>0</x:v>
      </x:c>
      <x:c r="K259" s="141" t="n">
        <x:f>E259+G259</x:f>
        <x:v>0</x:v>
      </x:c>
      <x:c r="L259" s="141" t="n">
        <x:f>SUM($K$6:K259)</x:f>
        <x:v>368370.4829168556</x:v>
      </x:c>
      <x:c r="M259" s="141" t="str">
        <x:f>IF(A259&lt;Premissas!$B$27,"Financiamento + consorcio",IF(A259=Premissas!$B$27,"Quitacao via carta",IF(A259&lt;=Premissas!$B$25,"Somente consorcio","Encerrado")))</x:f>
        <x:v>Encerrado</x:v>
      </x:c>
      <x:c r="N259" s="141" t="n">
        <x:f>IF(A259&gt;=Premissas!$B$25,0,(N260+E260)/(1+Premissas!$B$41))</x:f>
        <x:v>0</x:v>
      </x:c>
      <x:c r="O259" s="141" t="n">
        <x:f>IF(A259&lt;Premissas!$B$27,Premissas!$B$31/(1+Premissas!$B$41)^(Premissas!$B$27-A259),0)</x:f>
        <x:v>0</x:v>
      </x:c>
      <x:c r="P259" s="141" t="n">
        <x:f>MAX(0,H259-I259)+N259</x:f>
        <x:v>0</x:v>
      </x:c>
    </x:row>
    <x:row r="260">
      <x:c r="A260" s="142" t="n">
        <x:v>255</x:v>
      </x:c>
      <x:c r="B260" s="179" t="n">
        <x:f>EDATE(Premissas!$B$4,254)</x:f>
        <x:v>54271</x:v>
      </x:c>
      <x:c r="C260" s="180" t="n">
        <x:f>(1+Premissas!$B$26)^INT((A260-1)/12)</x:f>
        <x:v>3.399563600545619</x:v>
      </x:c>
      <x:c r="D260" s="141" t="n">
        <x:f>Premissas!$B$30*C260</x:f>
        <x:v>369294.55347659223</x:v>
      </x:c>
      <x:c r="E260" s="141" t="n">
        <x:f>IF(A260&lt;=Premissas!$B$25,Premissas!$B$32*C260,0)</x:f>
        <x:v>0</x:v>
      </x:c>
      <x:c r="F260" s="141" t="n">
        <x:f>IF(AND(A260&gt;=Premissas!$B$48,A260&lt;=Premissas!$B$27,A260-Premissas!$B$48+1&lt;=Premissas!$B$13),INDEX(Financiamento!$C$6:$C$485,A260-Premissas!$B$48+1),0)</x:f>
        <x:v>0</x:v>
      </x:c>
      <x:c r="G260" s="141" t="n">
        <x:f>IF(AND(A260&gt;=Premissas!$B$48,A260&lt;=Premissas!$B$27,A260-Premissas!$B$48+1&lt;=Premissas!$B$13),INDEX(Financiamento!$J$6:$J$485,A260-Premissas!$B$48+1),0)</x:f>
        <x:v>0</x:v>
      </x:c>
      <x:c r="H260" s="141" t="n">
        <x:f>IF(AND(A260&gt;=Premissas!$B$48,A260&lt;=Premissas!$B$27,A260-Premissas!$B$48+1&lt;=Premissas!$B$13),INDEX(Financiamento!$M$6:$M$485,A260-Premissas!$B$48+1),0)</x:f>
        <x:v>0</x:v>
      </x:c>
      <x:c r="I260" s="141" t="n">
        <x:f>IF(A260=Premissas!$B$27,MIN(D260,H260),0)</x:f>
        <x:v>0</x:v>
      </x:c>
      <x:c r="J260" s="141" t="n">
        <x:f>IF(A260=Premissas!$B$27,D260-H260,0)</x:f>
        <x:v>0</x:v>
      </x:c>
      <x:c r="K260" s="141" t="n">
        <x:f>E260+G260</x:f>
        <x:v>0</x:v>
      </x:c>
      <x:c r="L260" s="141" t="n">
        <x:f>SUM($K$6:K260)</x:f>
        <x:v>368370.4829168556</x:v>
      </x:c>
      <x:c r="M260" s="141" t="str">
        <x:f>IF(A260&lt;Premissas!$B$27,"Financiamento + consorcio",IF(A260=Premissas!$B$27,"Quitacao via carta",IF(A260&lt;=Premissas!$B$25,"Somente consorcio","Encerrado")))</x:f>
        <x:v>Encerrado</x:v>
      </x:c>
      <x:c r="N260" s="141" t="n">
        <x:f>IF(A260&gt;=Premissas!$B$25,0,(N261+E261)/(1+Premissas!$B$41))</x:f>
        <x:v>0</x:v>
      </x:c>
      <x:c r="O260" s="141" t="n">
        <x:f>IF(A260&lt;Premissas!$B$27,Premissas!$B$31/(1+Premissas!$B$41)^(Premissas!$B$27-A260),0)</x:f>
        <x:v>0</x:v>
      </x:c>
      <x:c r="P260" s="141" t="n">
        <x:f>MAX(0,H260-I260)+N260</x:f>
        <x:v>0</x:v>
      </x:c>
    </x:row>
    <x:row r="261">
      <x:c r="A261" s="142" t="n">
        <x:v>256</x:v>
      </x:c>
      <x:c r="B261" s="179" t="n">
        <x:f>EDATE(Premissas!$B$4,255)</x:f>
        <x:v>54302</x:v>
      </x:c>
      <x:c r="C261" s="180" t="n">
        <x:f>(1+Premissas!$B$26)^INT((A261-1)/12)</x:f>
        <x:v>3.399563600545619</x:v>
      </x:c>
      <x:c r="D261" s="141" t="n">
        <x:f>Premissas!$B$30*C261</x:f>
        <x:v>369294.55347659223</x:v>
      </x:c>
      <x:c r="E261" s="141" t="n">
        <x:f>IF(A261&lt;=Premissas!$B$25,Premissas!$B$32*C261,0)</x:f>
        <x:v>0</x:v>
      </x:c>
      <x:c r="F261" s="141" t="n">
        <x:f>IF(AND(A261&gt;=Premissas!$B$48,A261&lt;=Premissas!$B$27,A261-Premissas!$B$48+1&lt;=Premissas!$B$13),INDEX(Financiamento!$C$6:$C$485,A261-Premissas!$B$48+1),0)</x:f>
        <x:v>0</x:v>
      </x:c>
      <x:c r="G261" s="141" t="n">
        <x:f>IF(AND(A261&gt;=Premissas!$B$48,A261&lt;=Premissas!$B$27,A261-Premissas!$B$48+1&lt;=Premissas!$B$13),INDEX(Financiamento!$J$6:$J$485,A261-Premissas!$B$48+1),0)</x:f>
        <x:v>0</x:v>
      </x:c>
      <x:c r="H261" s="141" t="n">
        <x:f>IF(AND(A261&gt;=Premissas!$B$48,A261&lt;=Premissas!$B$27,A261-Premissas!$B$48+1&lt;=Premissas!$B$13),INDEX(Financiamento!$M$6:$M$485,A261-Premissas!$B$48+1),0)</x:f>
        <x:v>0</x:v>
      </x:c>
      <x:c r="I261" s="141" t="n">
        <x:f>IF(A261=Premissas!$B$27,MIN(D261,H261),0)</x:f>
        <x:v>0</x:v>
      </x:c>
      <x:c r="J261" s="141" t="n">
        <x:f>IF(A261=Premissas!$B$27,D261-H261,0)</x:f>
        <x:v>0</x:v>
      </x:c>
      <x:c r="K261" s="141" t="n">
        <x:f>E261+G261</x:f>
        <x:v>0</x:v>
      </x:c>
      <x:c r="L261" s="141" t="n">
        <x:f>SUM($K$6:K261)</x:f>
        <x:v>368370.4829168556</x:v>
      </x:c>
      <x:c r="M261" s="141" t="str">
        <x:f>IF(A261&lt;Premissas!$B$27,"Financiamento + consorcio",IF(A261=Premissas!$B$27,"Quitacao via carta",IF(A261&lt;=Premissas!$B$25,"Somente consorcio","Encerrado")))</x:f>
        <x:v>Encerrado</x:v>
      </x:c>
      <x:c r="N261" s="141" t="n">
        <x:f>IF(A261&gt;=Premissas!$B$25,0,(N262+E262)/(1+Premissas!$B$41))</x:f>
        <x:v>0</x:v>
      </x:c>
      <x:c r="O261" s="141" t="n">
        <x:f>IF(A261&lt;Premissas!$B$27,Premissas!$B$31/(1+Premissas!$B$41)^(Premissas!$B$27-A261),0)</x:f>
        <x:v>0</x:v>
      </x:c>
      <x:c r="P261" s="141" t="n">
        <x:f>MAX(0,H261-I261)+N261</x:f>
        <x:v>0</x:v>
      </x:c>
    </x:row>
    <x:row r="262">
      <x:c r="A262" s="142" t="n">
        <x:v>257</x:v>
      </x:c>
      <x:c r="B262" s="179" t="n">
        <x:f>EDATE(Premissas!$B$4,256)</x:f>
        <x:v>54332</x:v>
      </x:c>
      <x:c r="C262" s="180" t="n">
        <x:f>(1+Premissas!$B$26)^INT((A262-1)/12)</x:f>
        <x:v>3.399563600545619</x:v>
      </x:c>
      <x:c r="D262" s="141" t="n">
        <x:f>Premissas!$B$30*C262</x:f>
        <x:v>369294.55347659223</x:v>
      </x:c>
      <x:c r="E262" s="141" t="n">
        <x:f>IF(A262&lt;=Premissas!$B$25,Premissas!$B$32*C262,0)</x:f>
        <x:v>0</x:v>
      </x:c>
      <x:c r="F262" s="141" t="n">
        <x:f>IF(AND(A262&gt;=Premissas!$B$48,A262&lt;=Premissas!$B$27,A262-Premissas!$B$48+1&lt;=Premissas!$B$13),INDEX(Financiamento!$C$6:$C$485,A262-Premissas!$B$48+1),0)</x:f>
        <x:v>0</x:v>
      </x:c>
      <x:c r="G262" s="141" t="n">
        <x:f>IF(AND(A262&gt;=Premissas!$B$48,A262&lt;=Premissas!$B$27,A262-Premissas!$B$48+1&lt;=Premissas!$B$13),INDEX(Financiamento!$J$6:$J$485,A262-Premissas!$B$48+1),0)</x:f>
        <x:v>0</x:v>
      </x:c>
      <x:c r="H262" s="141" t="n">
        <x:f>IF(AND(A262&gt;=Premissas!$B$48,A262&lt;=Premissas!$B$27,A262-Premissas!$B$48+1&lt;=Premissas!$B$13),INDEX(Financiamento!$M$6:$M$485,A262-Premissas!$B$48+1),0)</x:f>
        <x:v>0</x:v>
      </x:c>
      <x:c r="I262" s="141" t="n">
        <x:f>IF(A262=Premissas!$B$27,MIN(D262,H262),0)</x:f>
        <x:v>0</x:v>
      </x:c>
      <x:c r="J262" s="141" t="n">
        <x:f>IF(A262=Premissas!$B$27,D262-H262,0)</x:f>
        <x:v>0</x:v>
      </x:c>
      <x:c r="K262" s="141" t="n">
        <x:f>E262+G262</x:f>
        <x:v>0</x:v>
      </x:c>
      <x:c r="L262" s="141" t="n">
        <x:f>SUM($K$6:K262)</x:f>
        <x:v>368370.4829168556</x:v>
      </x:c>
      <x:c r="M262" s="141" t="str">
        <x:f>IF(A262&lt;Premissas!$B$27,"Financiamento + consorcio",IF(A262=Premissas!$B$27,"Quitacao via carta",IF(A262&lt;=Premissas!$B$25,"Somente consorcio","Encerrado")))</x:f>
        <x:v>Encerrado</x:v>
      </x:c>
      <x:c r="N262" s="141" t="n">
        <x:f>IF(A262&gt;=Premissas!$B$25,0,(N263+E263)/(1+Premissas!$B$41))</x:f>
        <x:v>0</x:v>
      </x:c>
      <x:c r="O262" s="141" t="n">
        <x:f>IF(A262&lt;Premissas!$B$27,Premissas!$B$31/(1+Premissas!$B$41)^(Premissas!$B$27-A262),0)</x:f>
        <x:v>0</x:v>
      </x:c>
      <x:c r="P262" s="141" t="n">
        <x:f>MAX(0,H262-I262)+N262</x:f>
        <x:v>0</x:v>
      </x:c>
    </x:row>
    <x:row r="263">
      <x:c r="A263" s="142" t="n">
        <x:v>258</x:v>
      </x:c>
      <x:c r="B263" s="179" t="n">
        <x:f>EDATE(Premissas!$B$4,257)</x:f>
        <x:v>54363</x:v>
      </x:c>
      <x:c r="C263" s="180" t="n">
        <x:f>(1+Premissas!$B$26)^INT((A263-1)/12)</x:f>
        <x:v>3.399563600545619</x:v>
      </x:c>
      <x:c r="D263" s="141" t="n">
        <x:f>Premissas!$B$30*C263</x:f>
        <x:v>369294.55347659223</x:v>
      </x:c>
      <x:c r="E263" s="141" t="n">
        <x:f>IF(A263&lt;=Premissas!$B$25,Premissas!$B$32*C263,0)</x:f>
        <x:v>0</x:v>
      </x:c>
      <x:c r="F263" s="141" t="n">
        <x:f>IF(AND(A263&gt;=Premissas!$B$48,A263&lt;=Premissas!$B$27,A263-Premissas!$B$48+1&lt;=Premissas!$B$13),INDEX(Financiamento!$C$6:$C$485,A263-Premissas!$B$48+1),0)</x:f>
        <x:v>0</x:v>
      </x:c>
      <x:c r="G263" s="141" t="n">
        <x:f>IF(AND(A263&gt;=Premissas!$B$48,A263&lt;=Premissas!$B$27,A263-Premissas!$B$48+1&lt;=Premissas!$B$13),INDEX(Financiamento!$J$6:$J$485,A263-Premissas!$B$48+1),0)</x:f>
        <x:v>0</x:v>
      </x:c>
      <x:c r="H263" s="141" t="n">
        <x:f>IF(AND(A263&gt;=Premissas!$B$48,A263&lt;=Premissas!$B$27,A263-Premissas!$B$48+1&lt;=Premissas!$B$13),INDEX(Financiamento!$M$6:$M$485,A263-Premissas!$B$48+1),0)</x:f>
        <x:v>0</x:v>
      </x:c>
      <x:c r="I263" s="141" t="n">
        <x:f>IF(A263=Premissas!$B$27,MIN(D263,H263),0)</x:f>
        <x:v>0</x:v>
      </x:c>
      <x:c r="J263" s="141" t="n">
        <x:f>IF(A263=Premissas!$B$27,D263-H263,0)</x:f>
        <x:v>0</x:v>
      </x:c>
      <x:c r="K263" s="141" t="n">
        <x:f>E263+G263</x:f>
        <x:v>0</x:v>
      </x:c>
      <x:c r="L263" s="141" t="n">
        <x:f>SUM($K$6:K263)</x:f>
        <x:v>368370.4829168556</x:v>
      </x:c>
      <x:c r="M263" s="141" t="str">
        <x:f>IF(A263&lt;Premissas!$B$27,"Financiamento + consorcio",IF(A263=Premissas!$B$27,"Quitacao via carta",IF(A263&lt;=Premissas!$B$25,"Somente consorcio","Encerrado")))</x:f>
        <x:v>Encerrado</x:v>
      </x:c>
      <x:c r="N263" s="141" t="n">
        <x:f>IF(A263&gt;=Premissas!$B$25,0,(N264+E264)/(1+Premissas!$B$41))</x:f>
        <x:v>0</x:v>
      </x:c>
      <x:c r="O263" s="141" t="n">
        <x:f>IF(A263&lt;Premissas!$B$27,Premissas!$B$31/(1+Premissas!$B$41)^(Premissas!$B$27-A263),0)</x:f>
        <x:v>0</x:v>
      </x:c>
      <x:c r="P263" s="141" t="n">
        <x:f>MAX(0,H263-I263)+N263</x:f>
        <x:v>0</x:v>
      </x:c>
    </x:row>
    <x:row r="264">
      <x:c r="A264" s="142" t="n">
        <x:v>259</x:v>
      </x:c>
      <x:c r="B264" s="179" t="n">
        <x:f>EDATE(Premissas!$B$4,258)</x:f>
        <x:v>54393</x:v>
      </x:c>
      <x:c r="C264" s="180" t="n">
        <x:f>(1+Premissas!$B$26)^INT((A264-1)/12)</x:f>
        <x:v>3.399563600545619</x:v>
      </x:c>
      <x:c r="D264" s="141" t="n">
        <x:f>Premissas!$B$30*C264</x:f>
        <x:v>369294.55347659223</x:v>
      </x:c>
      <x:c r="E264" s="141" t="n">
        <x:f>IF(A264&lt;=Premissas!$B$25,Premissas!$B$32*C264,0)</x:f>
        <x:v>0</x:v>
      </x:c>
      <x:c r="F264" s="141" t="n">
        <x:f>IF(AND(A264&gt;=Premissas!$B$48,A264&lt;=Premissas!$B$27,A264-Premissas!$B$48+1&lt;=Premissas!$B$13),INDEX(Financiamento!$C$6:$C$485,A264-Premissas!$B$48+1),0)</x:f>
        <x:v>0</x:v>
      </x:c>
      <x:c r="G264" s="141" t="n">
        <x:f>IF(AND(A264&gt;=Premissas!$B$48,A264&lt;=Premissas!$B$27,A264-Premissas!$B$48+1&lt;=Premissas!$B$13),INDEX(Financiamento!$J$6:$J$485,A264-Premissas!$B$48+1),0)</x:f>
        <x:v>0</x:v>
      </x:c>
      <x:c r="H264" s="141" t="n">
        <x:f>IF(AND(A264&gt;=Premissas!$B$48,A264&lt;=Premissas!$B$27,A264-Premissas!$B$48+1&lt;=Premissas!$B$13),INDEX(Financiamento!$M$6:$M$485,A264-Premissas!$B$48+1),0)</x:f>
        <x:v>0</x:v>
      </x:c>
      <x:c r="I264" s="141" t="n">
        <x:f>IF(A264=Premissas!$B$27,MIN(D264,H264),0)</x:f>
        <x:v>0</x:v>
      </x:c>
      <x:c r="J264" s="141" t="n">
        <x:f>IF(A264=Premissas!$B$27,D264-H264,0)</x:f>
        <x:v>0</x:v>
      </x:c>
      <x:c r="K264" s="141" t="n">
        <x:f>E264+G264</x:f>
        <x:v>0</x:v>
      </x:c>
      <x:c r="L264" s="141" t="n">
        <x:f>SUM($K$6:K264)</x:f>
        <x:v>368370.4829168556</x:v>
      </x:c>
      <x:c r="M264" s="141" t="str">
        <x:f>IF(A264&lt;Premissas!$B$27,"Financiamento + consorcio",IF(A264=Premissas!$B$27,"Quitacao via carta",IF(A264&lt;=Premissas!$B$25,"Somente consorcio","Encerrado")))</x:f>
        <x:v>Encerrado</x:v>
      </x:c>
      <x:c r="N264" s="141" t="n">
        <x:f>IF(A264&gt;=Premissas!$B$25,0,(N265+E265)/(1+Premissas!$B$41))</x:f>
        <x:v>0</x:v>
      </x:c>
      <x:c r="O264" s="141" t="n">
        <x:f>IF(A264&lt;Premissas!$B$27,Premissas!$B$31/(1+Premissas!$B$41)^(Premissas!$B$27-A264),0)</x:f>
        <x:v>0</x:v>
      </x:c>
      <x:c r="P264" s="141" t="n">
        <x:f>MAX(0,H264-I264)+N264</x:f>
        <x:v>0</x:v>
      </x:c>
    </x:row>
    <x:row r="265">
      <x:c r="A265" s="142" t="n">
        <x:v>260</x:v>
      </x:c>
      <x:c r="B265" s="179" t="n">
        <x:f>EDATE(Premissas!$B$4,259)</x:f>
        <x:v>54424</x:v>
      </x:c>
      <x:c r="C265" s="180" t="n">
        <x:f>(1+Premissas!$B$26)^INT((A265-1)/12)</x:f>
        <x:v>3.399563600545619</x:v>
      </x:c>
      <x:c r="D265" s="141" t="n">
        <x:f>Premissas!$B$30*C265</x:f>
        <x:v>369294.55347659223</x:v>
      </x:c>
      <x:c r="E265" s="141" t="n">
        <x:f>IF(A265&lt;=Premissas!$B$25,Premissas!$B$32*C265,0)</x:f>
        <x:v>0</x:v>
      </x:c>
      <x:c r="F265" s="141" t="n">
        <x:f>IF(AND(A265&gt;=Premissas!$B$48,A265&lt;=Premissas!$B$27,A265-Premissas!$B$48+1&lt;=Premissas!$B$13),INDEX(Financiamento!$C$6:$C$485,A265-Premissas!$B$48+1),0)</x:f>
        <x:v>0</x:v>
      </x:c>
      <x:c r="G265" s="141" t="n">
        <x:f>IF(AND(A265&gt;=Premissas!$B$48,A265&lt;=Premissas!$B$27,A265-Premissas!$B$48+1&lt;=Premissas!$B$13),INDEX(Financiamento!$J$6:$J$485,A265-Premissas!$B$48+1),0)</x:f>
        <x:v>0</x:v>
      </x:c>
      <x:c r="H265" s="141" t="n">
        <x:f>IF(AND(A265&gt;=Premissas!$B$48,A265&lt;=Premissas!$B$27,A265-Premissas!$B$48+1&lt;=Premissas!$B$13),INDEX(Financiamento!$M$6:$M$485,A265-Premissas!$B$48+1),0)</x:f>
        <x:v>0</x:v>
      </x:c>
      <x:c r="I265" s="141" t="n">
        <x:f>IF(A265=Premissas!$B$27,MIN(D265,H265),0)</x:f>
        <x:v>0</x:v>
      </x:c>
      <x:c r="J265" s="141" t="n">
        <x:f>IF(A265=Premissas!$B$27,D265-H265,0)</x:f>
        <x:v>0</x:v>
      </x:c>
      <x:c r="K265" s="141" t="n">
        <x:f>E265+G265</x:f>
        <x:v>0</x:v>
      </x:c>
      <x:c r="L265" s="141" t="n">
        <x:f>SUM($K$6:K265)</x:f>
        <x:v>368370.4829168556</x:v>
      </x:c>
      <x:c r="M265" s="141" t="str">
        <x:f>IF(A265&lt;Premissas!$B$27,"Financiamento + consorcio",IF(A265=Premissas!$B$27,"Quitacao via carta",IF(A265&lt;=Premissas!$B$25,"Somente consorcio","Encerrado")))</x:f>
        <x:v>Encerrado</x:v>
      </x:c>
      <x:c r="N265" s="141" t="n">
        <x:f>IF(A265&gt;=Premissas!$B$25,0,(N266+E266)/(1+Premissas!$B$41))</x:f>
        <x:v>0</x:v>
      </x:c>
      <x:c r="O265" s="141" t="n">
        <x:f>IF(A265&lt;Premissas!$B$27,Premissas!$B$31/(1+Premissas!$B$41)^(Premissas!$B$27-A265),0)</x:f>
        <x:v>0</x:v>
      </x:c>
      <x:c r="P265" s="141" t="n">
        <x:f>MAX(0,H265-I265)+N265</x:f>
        <x:v>0</x:v>
      </x:c>
    </x:row>
    <x:row r="266">
      <x:c r="A266" s="142" t="n">
        <x:v>261</x:v>
      </x:c>
      <x:c r="B266" s="179" t="n">
        <x:f>EDATE(Premissas!$B$4,260)</x:f>
        <x:v>54455</x:v>
      </x:c>
      <x:c r="C266" s="180" t="n">
        <x:f>(1+Premissas!$B$26)^INT((A266-1)/12)</x:f>
        <x:v>3.399563600545619</x:v>
      </x:c>
      <x:c r="D266" s="141" t="n">
        <x:f>Premissas!$B$30*C266</x:f>
        <x:v>369294.55347659223</x:v>
      </x:c>
      <x:c r="E266" s="141" t="n">
        <x:f>IF(A266&lt;=Premissas!$B$25,Premissas!$B$32*C266,0)</x:f>
        <x:v>0</x:v>
      </x:c>
      <x:c r="F266" s="141" t="n">
        <x:f>IF(AND(A266&gt;=Premissas!$B$48,A266&lt;=Premissas!$B$27,A266-Premissas!$B$48+1&lt;=Premissas!$B$13),INDEX(Financiamento!$C$6:$C$485,A266-Premissas!$B$48+1),0)</x:f>
        <x:v>0</x:v>
      </x:c>
      <x:c r="G266" s="141" t="n">
        <x:f>IF(AND(A266&gt;=Premissas!$B$48,A266&lt;=Premissas!$B$27,A266-Premissas!$B$48+1&lt;=Premissas!$B$13),INDEX(Financiamento!$J$6:$J$485,A266-Premissas!$B$48+1),0)</x:f>
        <x:v>0</x:v>
      </x:c>
      <x:c r="H266" s="141" t="n">
        <x:f>IF(AND(A266&gt;=Premissas!$B$48,A266&lt;=Premissas!$B$27,A266-Premissas!$B$48+1&lt;=Premissas!$B$13),INDEX(Financiamento!$M$6:$M$485,A266-Premissas!$B$48+1),0)</x:f>
        <x:v>0</x:v>
      </x:c>
      <x:c r="I266" s="141" t="n">
        <x:f>IF(A266=Premissas!$B$27,MIN(D266,H266),0)</x:f>
        <x:v>0</x:v>
      </x:c>
      <x:c r="J266" s="141" t="n">
        <x:f>IF(A266=Premissas!$B$27,D266-H266,0)</x:f>
        <x:v>0</x:v>
      </x:c>
      <x:c r="K266" s="141" t="n">
        <x:f>E266+G266</x:f>
        <x:v>0</x:v>
      </x:c>
      <x:c r="L266" s="141" t="n">
        <x:f>SUM($K$6:K266)</x:f>
        <x:v>368370.4829168556</x:v>
      </x:c>
      <x:c r="M266" s="141" t="str">
        <x:f>IF(A266&lt;Premissas!$B$27,"Financiamento + consorcio",IF(A266=Premissas!$B$27,"Quitacao via carta",IF(A266&lt;=Premissas!$B$25,"Somente consorcio","Encerrado")))</x:f>
        <x:v>Encerrado</x:v>
      </x:c>
      <x:c r="N266" s="141" t="n">
        <x:f>IF(A266&gt;=Premissas!$B$25,0,(N267+E267)/(1+Premissas!$B$41))</x:f>
        <x:v>0</x:v>
      </x:c>
      <x:c r="O266" s="141" t="n">
        <x:f>IF(A266&lt;Premissas!$B$27,Premissas!$B$31/(1+Premissas!$B$41)^(Premissas!$B$27-A266),0)</x:f>
        <x:v>0</x:v>
      </x:c>
      <x:c r="P266" s="141" t="n">
        <x:f>MAX(0,H266-I266)+N266</x:f>
        <x:v>0</x:v>
      </x:c>
    </x:row>
    <x:row r="267">
      <x:c r="A267" s="142" t="n">
        <x:v>262</x:v>
      </x:c>
      <x:c r="B267" s="179" t="n">
        <x:f>EDATE(Premissas!$B$4,261)</x:f>
        <x:v>54483</x:v>
      </x:c>
      <x:c r="C267" s="180" t="n">
        <x:f>(1+Premissas!$B$26)^INT((A267-1)/12)</x:f>
        <x:v>3.399563600545619</x:v>
      </x:c>
      <x:c r="D267" s="141" t="n">
        <x:f>Premissas!$B$30*C267</x:f>
        <x:v>369294.55347659223</x:v>
      </x:c>
      <x:c r="E267" s="141" t="n">
        <x:f>IF(A267&lt;=Premissas!$B$25,Premissas!$B$32*C267,0)</x:f>
        <x:v>0</x:v>
      </x:c>
      <x:c r="F267" s="141" t="n">
        <x:f>IF(AND(A267&gt;=Premissas!$B$48,A267&lt;=Premissas!$B$27,A267-Premissas!$B$48+1&lt;=Premissas!$B$13),INDEX(Financiamento!$C$6:$C$485,A267-Premissas!$B$48+1),0)</x:f>
        <x:v>0</x:v>
      </x:c>
      <x:c r="G267" s="141" t="n">
        <x:f>IF(AND(A267&gt;=Premissas!$B$48,A267&lt;=Premissas!$B$27,A267-Premissas!$B$48+1&lt;=Premissas!$B$13),INDEX(Financiamento!$J$6:$J$485,A267-Premissas!$B$48+1),0)</x:f>
        <x:v>0</x:v>
      </x:c>
      <x:c r="H267" s="141" t="n">
        <x:f>IF(AND(A267&gt;=Premissas!$B$48,A267&lt;=Premissas!$B$27,A267-Premissas!$B$48+1&lt;=Premissas!$B$13),INDEX(Financiamento!$M$6:$M$485,A267-Premissas!$B$48+1),0)</x:f>
        <x:v>0</x:v>
      </x:c>
      <x:c r="I267" s="141" t="n">
        <x:f>IF(A267=Premissas!$B$27,MIN(D267,H267),0)</x:f>
        <x:v>0</x:v>
      </x:c>
      <x:c r="J267" s="141" t="n">
        <x:f>IF(A267=Premissas!$B$27,D267-H267,0)</x:f>
        <x:v>0</x:v>
      </x:c>
      <x:c r="K267" s="141" t="n">
        <x:f>E267+G267</x:f>
        <x:v>0</x:v>
      </x:c>
      <x:c r="L267" s="141" t="n">
        <x:f>SUM($K$6:K267)</x:f>
        <x:v>368370.4829168556</x:v>
      </x:c>
      <x:c r="M267" s="141" t="str">
        <x:f>IF(A267&lt;Premissas!$B$27,"Financiamento + consorcio",IF(A267=Premissas!$B$27,"Quitacao via carta",IF(A267&lt;=Premissas!$B$25,"Somente consorcio","Encerrado")))</x:f>
        <x:v>Encerrado</x:v>
      </x:c>
      <x:c r="N267" s="141" t="n">
        <x:f>IF(A267&gt;=Premissas!$B$25,0,(N268+E268)/(1+Premissas!$B$41))</x:f>
        <x:v>0</x:v>
      </x:c>
      <x:c r="O267" s="141" t="n">
        <x:f>IF(A267&lt;Premissas!$B$27,Premissas!$B$31/(1+Premissas!$B$41)^(Premissas!$B$27-A267),0)</x:f>
        <x:v>0</x:v>
      </x:c>
      <x:c r="P267" s="141" t="n">
        <x:f>MAX(0,H267-I267)+N267</x:f>
        <x:v>0</x:v>
      </x:c>
    </x:row>
    <x:row r="268">
      <x:c r="A268" s="142" t="n">
        <x:v>263</x:v>
      </x:c>
      <x:c r="B268" s="179" t="n">
        <x:f>EDATE(Premissas!$B$4,262)</x:f>
        <x:v>54514</x:v>
      </x:c>
      <x:c r="C268" s="180" t="n">
        <x:f>(1+Premissas!$B$26)^INT((A268-1)/12)</x:f>
        <x:v>3.399563600545619</x:v>
      </x:c>
      <x:c r="D268" s="141" t="n">
        <x:f>Premissas!$B$30*C268</x:f>
        <x:v>369294.55347659223</x:v>
      </x:c>
      <x:c r="E268" s="141" t="n">
        <x:f>IF(A268&lt;=Premissas!$B$25,Premissas!$B$32*C268,0)</x:f>
        <x:v>0</x:v>
      </x:c>
      <x:c r="F268" s="141" t="n">
        <x:f>IF(AND(A268&gt;=Premissas!$B$48,A268&lt;=Premissas!$B$27,A268-Premissas!$B$48+1&lt;=Premissas!$B$13),INDEX(Financiamento!$C$6:$C$485,A268-Premissas!$B$48+1),0)</x:f>
        <x:v>0</x:v>
      </x:c>
      <x:c r="G268" s="141" t="n">
        <x:f>IF(AND(A268&gt;=Premissas!$B$48,A268&lt;=Premissas!$B$27,A268-Premissas!$B$48+1&lt;=Premissas!$B$13),INDEX(Financiamento!$J$6:$J$485,A268-Premissas!$B$48+1),0)</x:f>
        <x:v>0</x:v>
      </x:c>
      <x:c r="H268" s="141" t="n">
        <x:f>IF(AND(A268&gt;=Premissas!$B$48,A268&lt;=Premissas!$B$27,A268-Premissas!$B$48+1&lt;=Premissas!$B$13),INDEX(Financiamento!$M$6:$M$485,A268-Premissas!$B$48+1),0)</x:f>
        <x:v>0</x:v>
      </x:c>
      <x:c r="I268" s="141" t="n">
        <x:f>IF(A268=Premissas!$B$27,MIN(D268,H268),0)</x:f>
        <x:v>0</x:v>
      </x:c>
      <x:c r="J268" s="141" t="n">
        <x:f>IF(A268=Premissas!$B$27,D268-H268,0)</x:f>
        <x:v>0</x:v>
      </x:c>
      <x:c r="K268" s="141" t="n">
        <x:f>E268+G268</x:f>
        <x:v>0</x:v>
      </x:c>
      <x:c r="L268" s="141" t="n">
        <x:f>SUM($K$6:K268)</x:f>
        <x:v>368370.4829168556</x:v>
      </x:c>
      <x:c r="M268" s="141" t="str">
        <x:f>IF(A268&lt;Premissas!$B$27,"Financiamento + consorcio",IF(A268=Premissas!$B$27,"Quitacao via carta",IF(A268&lt;=Premissas!$B$25,"Somente consorcio","Encerrado")))</x:f>
        <x:v>Encerrado</x:v>
      </x:c>
      <x:c r="N268" s="141" t="n">
        <x:f>IF(A268&gt;=Premissas!$B$25,0,(N269+E269)/(1+Premissas!$B$41))</x:f>
        <x:v>0</x:v>
      </x:c>
      <x:c r="O268" s="141" t="n">
        <x:f>IF(A268&lt;Premissas!$B$27,Premissas!$B$31/(1+Premissas!$B$41)^(Premissas!$B$27-A268),0)</x:f>
        <x:v>0</x:v>
      </x:c>
      <x:c r="P268" s="141" t="n">
        <x:f>MAX(0,H268-I268)+N268</x:f>
        <x:v>0</x:v>
      </x:c>
    </x:row>
    <x:row r="269">
      <x:c r="A269" s="142" t="n">
        <x:v>264</x:v>
      </x:c>
      <x:c r="B269" s="179" t="n">
        <x:f>EDATE(Premissas!$B$4,263)</x:f>
        <x:v>54544</x:v>
      </x:c>
      <x:c r="C269" s="180" t="n">
        <x:f>(1+Premissas!$B$26)^INT((A269-1)/12)</x:f>
        <x:v>3.399563600545619</x:v>
      </x:c>
      <x:c r="D269" s="141" t="n">
        <x:f>Premissas!$B$30*C269</x:f>
        <x:v>369294.55347659223</x:v>
      </x:c>
      <x:c r="E269" s="141" t="n">
        <x:f>IF(A269&lt;=Premissas!$B$25,Premissas!$B$32*C269,0)</x:f>
        <x:v>0</x:v>
      </x:c>
      <x:c r="F269" s="141" t="n">
        <x:f>IF(AND(A269&gt;=Premissas!$B$48,A269&lt;=Premissas!$B$27,A269-Premissas!$B$48+1&lt;=Premissas!$B$13),INDEX(Financiamento!$C$6:$C$485,A269-Premissas!$B$48+1),0)</x:f>
        <x:v>0</x:v>
      </x:c>
      <x:c r="G269" s="141" t="n">
        <x:f>IF(AND(A269&gt;=Premissas!$B$48,A269&lt;=Premissas!$B$27,A269-Premissas!$B$48+1&lt;=Premissas!$B$13),INDEX(Financiamento!$J$6:$J$485,A269-Premissas!$B$48+1),0)</x:f>
        <x:v>0</x:v>
      </x:c>
      <x:c r="H269" s="141" t="n">
        <x:f>IF(AND(A269&gt;=Premissas!$B$48,A269&lt;=Premissas!$B$27,A269-Premissas!$B$48+1&lt;=Premissas!$B$13),INDEX(Financiamento!$M$6:$M$485,A269-Premissas!$B$48+1),0)</x:f>
        <x:v>0</x:v>
      </x:c>
      <x:c r="I269" s="141" t="n">
        <x:f>IF(A269=Premissas!$B$27,MIN(D269,H269),0)</x:f>
        <x:v>0</x:v>
      </x:c>
      <x:c r="J269" s="141" t="n">
        <x:f>IF(A269=Premissas!$B$27,D269-H269,0)</x:f>
        <x:v>0</x:v>
      </x:c>
      <x:c r="K269" s="141" t="n">
        <x:f>E269+G269</x:f>
        <x:v>0</x:v>
      </x:c>
      <x:c r="L269" s="141" t="n">
        <x:f>SUM($K$6:K269)</x:f>
        <x:v>368370.4829168556</x:v>
      </x:c>
      <x:c r="M269" s="141" t="str">
        <x:f>IF(A269&lt;Premissas!$B$27,"Financiamento + consorcio",IF(A269=Premissas!$B$27,"Quitacao via carta",IF(A269&lt;=Premissas!$B$25,"Somente consorcio","Encerrado")))</x:f>
        <x:v>Encerrado</x:v>
      </x:c>
      <x:c r="N269" s="141" t="n">
        <x:f>IF(A269&gt;=Premissas!$B$25,0,(N270+E270)/(1+Premissas!$B$41))</x:f>
        <x:v>0</x:v>
      </x:c>
      <x:c r="O269" s="141" t="n">
        <x:f>IF(A269&lt;Premissas!$B$27,Premissas!$B$31/(1+Premissas!$B$41)^(Premissas!$B$27-A269),0)</x:f>
        <x:v>0</x:v>
      </x:c>
      <x:c r="P269" s="141" t="n">
        <x:f>MAX(0,H269-I269)+N269</x:f>
        <x:v>0</x:v>
      </x:c>
    </x:row>
    <x:row r="270">
      <x:c r="A270" s="142" t="n">
        <x:v>265</x:v>
      </x:c>
      <x:c r="B270" s="179" t="n">
        <x:f>EDATE(Premissas!$B$4,264)</x:f>
        <x:v>54575</x:v>
      </x:c>
      <x:c r="C270" s="180" t="n">
        <x:f>(1+Premissas!$B$26)^INT((A270-1)/12)</x:f>
        <x:v>3.6035374165783565</x:v>
      </x:c>
      <x:c r="D270" s="141" t="n">
        <x:f>Premissas!$B$30*C270</x:f>
        <x:v>391452.2266851878</x:v>
      </x:c>
      <x:c r="E270" s="141" t="n">
        <x:f>IF(A270&lt;=Premissas!$B$25,Premissas!$B$32*C270,0)</x:f>
        <x:v>0</x:v>
      </x:c>
      <x:c r="F270" s="141" t="n">
        <x:f>IF(AND(A270&gt;=Premissas!$B$48,A270&lt;=Premissas!$B$27,A270-Premissas!$B$48+1&lt;=Premissas!$B$13),INDEX(Financiamento!$C$6:$C$485,A270-Premissas!$B$48+1),0)</x:f>
        <x:v>0</x:v>
      </x:c>
      <x:c r="G270" s="141" t="n">
        <x:f>IF(AND(A270&gt;=Premissas!$B$48,A270&lt;=Premissas!$B$27,A270-Premissas!$B$48+1&lt;=Premissas!$B$13),INDEX(Financiamento!$J$6:$J$485,A270-Premissas!$B$48+1),0)</x:f>
        <x:v>0</x:v>
      </x:c>
      <x:c r="H270" s="141" t="n">
        <x:f>IF(AND(A270&gt;=Premissas!$B$48,A270&lt;=Premissas!$B$27,A270-Premissas!$B$48+1&lt;=Premissas!$B$13),INDEX(Financiamento!$M$6:$M$485,A270-Premissas!$B$48+1),0)</x:f>
        <x:v>0</x:v>
      </x:c>
      <x:c r="I270" s="141" t="n">
        <x:f>IF(A270=Premissas!$B$27,MIN(D270,H270),0)</x:f>
        <x:v>0</x:v>
      </x:c>
      <x:c r="J270" s="141" t="n">
        <x:f>IF(A270=Premissas!$B$27,D270-H270,0)</x:f>
        <x:v>0</x:v>
      </x:c>
      <x:c r="K270" s="141" t="n">
        <x:f>E270+G270</x:f>
        <x:v>0</x:v>
      </x:c>
      <x:c r="L270" s="141" t="n">
        <x:f>SUM($K$6:K270)</x:f>
        <x:v>368370.4829168556</x:v>
      </x:c>
      <x:c r="M270" s="141" t="str">
        <x:f>IF(A270&lt;Premissas!$B$27,"Financiamento + consorcio",IF(A270=Premissas!$B$27,"Quitacao via carta",IF(A270&lt;=Premissas!$B$25,"Somente consorcio","Encerrado")))</x:f>
        <x:v>Encerrado</x:v>
      </x:c>
      <x:c r="N270" s="141" t="n">
        <x:f>IF(A270&gt;=Premissas!$B$25,0,(N271+E271)/(1+Premissas!$B$41))</x:f>
        <x:v>0</x:v>
      </x:c>
      <x:c r="O270" s="141" t="n">
        <x:f>IF(A270&lt;Premissas!$B$27,Premissas!$B$31/(1+Premissas!$B$41)^(Premissas!$B$27-A270),0)</x:f>
        <x:v>0</x:v>
      </x:c>
      <x:c r="P270" s="141" t="n">
        <x:f>MAX(0,H270-I270)+N270</x:f>
        <x:v>0</x:v>
      </x:c>
    </x:row>
    <x:row r="271">
      <x:c r="A271" s="142" t="n">
        <x:v>266</x:v>
      </x:c>
      <x:c r="B271" s="179" t="n">
        <x:f>EDATE(Premissas!$B$4,265)</x:f>
        <x:v>54605</x:v>
      </x:c>
      <x:c r="C271" s="180" t="n">
        <x:f>(1+Premissas!$B$26)^INT((A271-1)/12)</x:f>
        <x:v>3.6035374165783565</x:v>
      </x:c>
      <x:c r="D271" s="141" t="n">
        <x:f>Premissas!$B$30*C271</x:f>
        <x:v>391452.2266851878</x:v>
      </x:c>
      <x:c r="E271" s="141" t="n">
        <x:f>IF(A271&lt;=Premissas!$B$25,Premissas!$B$32*C271,0)</x:f>
        <x:v>0</x:v>
      </x:c>
      <x:c r="F271" s="141" t="n">
        <x:f>IF(AND(A271&gt;=Premissas!$B$48,A271&lt;=Premissas!$B$27,A271-Premissas!$B$48+1&lt;=Premissas!$B$13),INDEX(Financiamento!$C$6:$C$485,A271-Premissas!$B$48+1),0)</x:f>
        <x:v>0</x:v>
      </x:c>
      <x:c r="G271" s="141" t="n">
        <x:f>IF(AND(A271&gt;=Premissas!$B$48,A271&lt;=Premissas!$B$27,A271-Premissas!$B$48+1&lt;=Premissas!$B$13),INDEX(Financiamento!$J$6:$J$485,A271-Premissas!$B$48+1),0)</x:f>
        <x:v>0</x:v>
      </x:c>
      <x:c r="H271" s="141" t="n">
        <x:f>IF(AND(A271&gt;=Premissas!$B$48,A271&lt;=Premissas!$B$27,A271-Premissas!$B$48+1&lt;=Premissas!$B$13),INDEX(Financiamento!$M$6:$M$485,A271-Premissas!$B$48+1),0)</x:f>
        <x:v>0</x:v>
      </x:c>
      <x:c r="I271" s="141" t="n">
        <x:f>IF(A271=Premissas!$B$27,MIN(D271,H271),0)</x:f>
        <x:v>0</x:v>
      </x:c>
      <x:c r="J271" s="141" t="n">
        <x:f>IF(A271=Premissas!$B$27,D271-H271,0)</x:f>
        <x:v>0</x:v>
      </x:c>
      <x:c r="K271" s="141" t="n">
        <x:f>E271+G271</x:f>
        <x:v>0</x:v>
      </x:c>
      <x:c r="L271" s="141" t="n">
        <x:f>SUM($K$6:K271)</x:f>
        <x:v>368370.4829168556</x:v>
      </x:c>
      <x:c r="M271" s="141" t="str">
        <x:f>IF(A271&lt;Premissas!$B$27,"Financiamento + consorcio",IF(A271=Premissas!$B$27,"Quitacao via carta",IF(A271&lt;=Premissas!$B$25,"Somente consorcio","Encerrado")))</x:f>
        <x:v>Encerrado</x:v>
      </x:c>
      <x:c r="N271" s="141" t="n">
        <x:f>IF(A271&gt;=Premissas!$B$25,0,(N272+E272)/(1+Premissas!$B$41))</x:f>
        <x:v>0</x:v>
      </x:c>
      <x:c r="O271" s="141" t="n">
        <x:f>IF(A271&lt;Premissas!$B$27,Premissas!$B$31/(1+Premissas!$B$41)^(Premissas!$B$27-A271),0)</x:f>
        <x:v>0</x:v>
      </x:c>
      <x:c r="P271" s="141" t="n">
        <x:f>MAX(0,H271-I271)+N271</x:f>
        <x:v>0</x:v>
      </x:c>
    </x:row>
    <x:row r="272">
      <x:c r="A272" s="142" t="n">
        <x:v>267</x:v>
      </x:c>
      <x:c r="B272" s="179" t="n">
        <x:f>EDATE(Premissas!$B$4,266)</x:f>
        <x:v>54636</x:v>
      </x:c>
      <x:c r="C272" s="180" t="n">
        <x:f>(1+Premissas!$B$26)^INT((A272-1)/12)</x:f>
        <x:v>3.6035374165783565</x:v>
      </x:c>
      <x:c r="D272" s="141" t="n">
        <x:f>Premissas!$B$30*C272</x:f>
        <x:v>391452.2266851878</x:v>
      </x:c>
      <x:c r="E272" s="141" t="n">
        <x:f>IF(A272&lt;=Premissas!$B$25,Premissas!$B$32*C272,0)</x:f>
        <x:v>0</x:v>
      </x:c>
      <x:c r="F272" s="141" t="n">
        <x:f>IF(AND(A272&gt;=Premissas!$B$48,A272&lt;=Premissas!$B$27,A272-Premissas!$B$48+1&lt;=Premissas!$B$13),INDEX(Financiamento!$C$6:$C$485,A272-Premissas!$B$48+1),0)</x:f>
        <x:v>0</x:v>
      </x:c>
      <x:c r="G272" s="141" t="n">
        <x:f>IF(AND(A272&gt;=Premissas!$B$48,A272&lt;=Premissas!$B$27,A272-Premissas!$B$48+1&lt;=Premissas!$B$13),INDEX(Financiamento!$J$6:$J$485,A272-Premissas!$B$48+1),0)</x:f>
        <x:v>0</x:v>
      </x:c>
      <x:c r="H272" s="141" t="n">
        <x:f>IF(AND(A272&gt;=Premissas!$B$48,A272&lt;=Premissas!$B$27,A272-Premissas!$B$48+1&lt;=Premissas!$B$13),INDEX(Financiamento!$M$6:$M$485,A272-Premissas!$B$48+1),0)</x:f>
        <x:v>0</x:v>
      </x:c>
      <x:c r="I272" s="141" t="n">
        <x:f>IF(A272=Premissas!$B$27,MIN(D272,H272),0)</x:f>
        <x:v>0</x:v>
      </x:c>
      <x:c r="J272" s="141" t="n">
        <x:f>IF(A272=Premissas!$B$27,D272-H272,0)</x:f>
        <x:v>0</x:v>
      </x:c>
      <x:c r="K272" s="141" t="n">
        <x:f>E272+G272</x:f>
        <x:v>0</x:v>
      </x:c>
      <x:c r="L272" s="141" t="n">
        <x:f>SUM($K$6:K272)</x:f>
        <x:v>368370.4829168556</x:v>
      </x:c>
      <x:c r="M272" s="141" t="str">
        <x:f>IF(A272&lt;Premissas!$B$27,"Financiamento + consorcio",IF(A272=Premissas!$B$27,"Quitacao via carta",IF(A272&lt;=Premissas!$B$25,"Somente consorcio","Encerrado")))</x:f>
        <x:v>Encerrado</x:v>
      </x:c>
      <x:c r="N272" s="141" t="n">
        <x:f>IF(A272&gt;=Premissas!$B$25,0,(N273+E273)/(1+Premissas!$B$41))</x:f>
        <x:v>0</x:v>
      </x:c>
      <x:c r="O272" s="141" t="n">
        <x:f>IF(A272&lt;Premissas!$B$27,Premissas!$B$31/(1+Premissas!$B$41)^(Premissas!$B$27-A272),0)</x:f>
        <x:v>0</x:v>
      </x:c>
      <x:c r="P272" s="141" t="n">
        <x:f>MAX(0,H272-I272)+N272</x:f>
        <x:v>0</x:v>
      </x:c>
    </x:row>
    <x:row r="273">
      <x:c r="A273" s="142" t="n">
        <x:v>268</x:v>
      </x:c>
      <x:c r="B273" s="179" t="n">
        <x:f>EDATE(Premissas!$B$4,267)</x:f>
        <x:v>54667</x:v>
      </x:c>
      <x:c r="C273" s="180" t="n">
        <x:f>(1+Premissas!$B$26)^INT((A273-1)/12)</x:f>
        <x:v>3.6035374165783565</x:v>
      </x:c>
      <x:c r="D273" s="141" t="n">
        <x:f>Premissas!$B$30*C273</x:f>
        <x:v>391452.2266851878</x:v>
      </x:c>
      <x:c r="E273" s="141" t="n">
        <x:f>IF(A273&lt;=Premissas!$B$25,Premissas!$B$32*C273,0)</x:f>
        <x:v>0</x:v>
      </x:c>
      <x:c r="F273" s="141" t="n">
        <x:f>IF(AND(A273&gt;=Premissas!$B$48,A273&lt;=Premissas!$B$27,A273-Premissas!$B$48+1&lt;=Premissas!$B$13),INDEX(Financiamento!$C$6:$C$485,A273-Premissas!$B$48+1),0)</x:f>
        <x:v>0</x:v>
      </x:c>
      <x:c r="G273" s="141" t="n">
        <x:f>IF(AND(A273&gt;=Premissas!$B$48,A273&lt;=Premissas!$B$27,A273-Premissas!$B$48+1&lt;=Premissas!$B$13),INDEX(Financiamento!$J$6:$J$485,A273-Premissas!$B$48+1),0)</x:f>
        <x:v>0</x:v>
      </x:c>
      <x:c r="H273" s="141" t="n">
        <x:f>IF(AND(A273&gt;=Premissas!$B$48,A273&lt;=Premissas!$B$27,A273-Premissas!$B$48+1&lt;=Premissas!$B$13),INDEX(Financiamento!$M$6:$M$485,A273-Premissas!$B$48+1),0)</x:f>
        <x:v>0</x:v>
      </x:c>
      <x:c r="I273" s="141" t="n">
        <x:f>IF(A273=Premissas!$B$27,MIN(D273,H273),0)</x:f>
        <x:v>0</x:v>
      </x:c>
      <x:c r="J273" s="141" t="n">
        <x:f>IF(A273=Premissas!$B$27,D273-H273,0)</x:f>
        <x:v>0</x:v>
      </x:c>
      <x:c r="K273" s="141" t="n">
        <x:f>E273+G273</x:f>
        <x:v>0</x:v>
      </x:c>
      <x:c r="L273" s="141" t="n">
        <x:f>SUM($K$6:K273)</x:f>
        <x:v>368370.4829168556</x:v>
      </x:c>
      <x:c r="M273" s="141" t="str">
        <x:f>IF(A273&lt;Premissas!$B$27,"Financiamento + consorcio",IF(A273=Premissas!$B$27,"Quitacao via carta",IF(A273&lt;=Premissas!$B$25,"Somente consorcio","Encerrado")))</x:f>
        <x:v>Encerrado</x:v>
      </x:c>
      <x:c r="N273" s="141" t="n">
        <x:f>IF(A273&gt;=Premissas!$B$25,0,(N274+E274)/(1+Premissas!$B$41))</x:f>
        <x:v>0</x:v>
      </x:c>
      <x:c r="O273" s="141" t="n">
        <x:f>IF(A273&lt;Premissas!$B$27,Premissas!$B$31/(1+Premissas!$B$41)^(Premissas!$B$27-A273),0)</x:f>
        <x:v>0</x:v>
      </x:c>
      <x:c r="P273" s="141" t="n">
        <x:f>MAX(0,H273-I273)+N273</x:f>
        <x:v>0</x:v>
      </x:c>
    </x:row>
    <x:row r="274">
      <x:c r="A274" s="142" t="n">
        <x:v>269</x:v>
      </x:c>
      <x:c r="B274" s="179" t="n">
        <x:f>EDATE(Premissas!$B$4,268)</x:f>
        <x:v>54697</x:v>
      </x:c>
      <x:c r="C274" s="180" t="n">
        <x:f>(1+Premissas!$B$26)^INT((A274-1)/12)</x:f>
        <x:v>3.6035374165783565</x:v>
      </x:c>
      <x:c r="D274" s="141" t="n">
        <x:f>Premissas!$B$30*C274</x:f>
        <x:v>391452.2266851878</x:v>
      </x:c>
      <x:c r="E274" s="141" t="n">
        <x:f>IF(A274&lt;=Premissas!$B$25,Premissas!$B$32*C274,0)</x:f>
        <x:v>0</x:v>
      </x:c>
      <x:c r="F274" s="141" t="n">
        <x:f>IF(AND(A274&gt;=Premissas!$B$48,A274&lt;=Premissas!$B$27,A274-Premissas!$B$48+1&lt;=Premissas!$B$13),INDEX(Financiamento!$C$6:$C$485,A274-Premissas!$B$48+1),0)</x:f>
        <x:v>0</x:v>
      </x:c>
      <x:c r="G274" s="141" t="n">
        <x:f>IF(AND(A274&gt;=Premissas!$B$48,A274&lt;=Premissas!$B$27,A274-Premissas!$B$48+1&lt;=Premissas!$B$13),INDEX(Financiamento!$J$6:$J$485,A274-Premissas!$B$48+1),0)</x:f>
        <x:v>0</x:v>
      </x:c>
      <x:c r="H274" s="141" t="n">
        <x:f>IF(AND(A274&gt;=Premissas!$B$48,A274&lt;=Premissas!$B$27,A274-Premissas!$B$48+1&lt;=Premissas!$B$13),INDEX(Financiamento!$M$6:$M$485,A274-Premissas!$B$48+1),0)</x:f>
        <x:v>0</x:v>
      </x:c>
      <x:c r="I274" s="141" t="n">
        <x:f>IF(A274=Premissas!$B$27,MIN(D274,H274),0)</x:f>
        <x:v>0</x:v>
      </x:c>
      <x:c r="J274" s="141" t="n">
        <x:f>IF(A274=Premissas!$B$27,D274-H274,0)</x:f>
        <x:v>0</x:v>
      </x:c>
      <x:c r="K274" s="141" t="n">
        <x:f>E274+G274</x:f>
        <x:v>0</x:v>
      </x:c>
      <x:c r="L274" s="141" t="n">
        <x:f>SUM($K$6:K274)</x:f>
        <x:v>368370.4829168556</x:v>
      </x:c>
      <x:c r="M274" s="141" t="str">
        <x:f>IF(A274&lt;Premissas!$B$27,"Financiamento + consorcio",IF(A274=Premissas!$B$27,"Quitacao via carta",IF(A274&lt;=Premissas!$B$25,"Somente consorcio","Encerrado")))</x:f>
        <x:v>Encerrado</x:v>
      </x:c>
      <x:c r="N274" s="141" t="n">
        <x:f>IF(A274&gt;=Premissas!$B$25,0,(N275+E275)/(1+Premissas!$B$41))</x:f>
        <x:v>0</x:v>
      </x:c>
      <x:c r="O274" s="141" t="n">
        <x:f>IF(A274&lt;Premissas!$B$27,Premissas!$B$31/(1+Premissas!$B$41)^(Premissas!$B$27-A274),0)</x:f>
        <x:v>0</x:v>
      </x:c>
      <x:c r="P274" s="141" t="n">
        <x:f>MAX(0,H274-I274)+N274</x:f>
        <x:v>0</x:v>
      </x:c>
    </x:row>
    <x:row r="275">
      <x:c r="A275" s="142" t="n">
        <x:v>270</x:v>
      </x:c>
      <x:c r="B275" s="179" t="n">
        <x:f>EDATE(Premissas!$B$4,269)</x:f>
        <x:v>54728</x:v>
      </x:c>
      <x:c r="C275" s="180" t="n">
        <x:f>(1+Premissas!$B$26)^INT((A275-1)/12)</x:f>
        <x:v>3.6035374165783565</x:v>
      </x:c>
      <x:c r="D275" s="141" t="n">
        <x:f>Premissas!$B$30*C275</x:f>
        <x:v>391452.2266851878</x:v>
      </x:c>
      <x:c r="E275" s="141" t="n">
        <x:f>IF(A275&lt;=Premissas!$B$25,Premissas!$B$32*C275,0)</x:f>
        <x:v>0</x:v>
      </x:c>
      <x:c r="F275" s="141" t="n">
        <x:f>IF(AND(A275&gt;=Premissas!$B$48,A275&lt;=Premissas!$B$27,A275-Premissas!$B$48+1&lt;=Premissas!$B$13),INDEX(Financiamento!$C$6:$C$485,A275-Premissas!$B$48+1),0)</x:f>
        <x:v>0</x:v>
      </x:c>
      <x:c r="G275" s="141" t="n">
        <x:f>IF(AND(A275&gt;=Premissas!$B$48,A275&lt;=Premissas!$B$27,A275-Premissas!$B$48+1&lt;=Premissas!$B$13),INDEX(Financiamento!$J$6:$J$485,A275-Premissas!$B$48+1),0)</x:f>
        <x:v>0</x:v>
      </x:c>
      <x:c r="H275" s="141" t="n">
        <x:f>IF(AND(A275&gt;=Premissas!$B$48,A275&lt;=Premissas!$B$27,A275-Premissas!$B$48+1&lt;=Premissas!$B$13),INDEX(Financiamento!$M$6:$M$485,A275-Premissas!$B$48+1),0)</x:f>
        <x:v>0</x:v>
      </x:c>
      <x:c r="I275" s="141" t="n">
        <x:f>IF(A275=Premissas!$B$27,MIN(D275,H275),0)</x:f>
        <x:v>0</x:v>
      </x:c>
      <x:c r="J275" s="141" t="n">
        <x:f>IF(A275=Premissas!$B$27,D275-H275,0)</x:f>
        <x:v>0</x:v>
      </x:c>
      <x:c r="K275" s="141" t="n">
        <x:f>E275+G275</x:f>
        <x:v>0</x:v>
      </x:c>
      <x:c r="L275" s="141" t="n">
        <x:f>SUM($K$6:K275)</x:f>
        <x:v>368370.4829168556</x:v>
      </x:c>
      <x:c r="M275" s="141" t="str">
        <x:f>IF(A275&lt;Premissas!$B$27,"Financiamento + consorcio",IF(A275=Premissas!$B$27,"Quitacao via carta",IF(A275&lt;=Premissas!$B$25,"Somente consorcio","Encerrado")))</x:f>
        <x:v>Encerrado</x:v>
      </x:c>
      <x:c r="N275" s="141" t="n">
        <x:f>IF(A275&gt;=Premissas!$B$25,0,(N276+E276)/(1+Premissas!$B$41))</x:f>
        <x:v>0</x:v>
      </x:c>
      <x:c r="O275" s="141" t="n">
        <x:f>IF(A275&lt;Premissas!$B$27,Premissas!$B$31/(1+Premissas!$B$41)^(Premissas!$B$27-A275),0)</x:f>
        <x:v>0</x:v>
      </x:c>
      <x:c r="P275" s="141" t="n">
        <x:f>MAX(0,H275-I275)+N275</x:f>
        <x:v>0</x:v>
      </x:c>
    </x:row>
    <x:row r="276">
      <x:c r="A276" s="142" t="n">
        <x:v>271</x:v>
      </x:c>
      <x:c r="B276" s="179" t="n">
        <x:f>EDATE(Premissas!$B$4,270)</x:f>
        <x:v>54758</x:v>
      </x:c>
      <x:c r="C276" s="180" t="n">
        <x:f>(1+Premissas!$B$26)^INT((A276-1)/12)</x:f>
        <x:v>3.6035374165783565</x:v>
      </x:c>
      <x:c r="D276" s="141" t="n">
        <x:f>Premissas!$B$30*C276</x:f>
        <x:v>391452.2266851878</x:v>
      </x:c>
      <x:c r="E276" s="141" t="n">
        <x:f>IF(A276&lt;=Premissas!$B$25,Premissas!$B$32*C276,0)</x:f>
        <x:v>0</x:v>
      </x:c>
      <x:c r="F276" s="141" t="n">
        <x:f>IF(AND(A276&gt;=Premissas!$B$48,A276&lt;=Premissas!$B$27,A276-Premissas!$B$48+1&lt;=Premissas!$B$13),INDEX(Financiamento!$C$6:$C$485,A276-Premissas!$B$48+1),0)</x:f>
        <x:v>0</x:v>
      </x:c>
      <x:c r="G276" s="141" t="n">
        <x:f>IF(AND(A276&gt;=Premissas!$B$48,A276&lt;=Premissas!$B$27,A276-Premissas!$B$48+1&lt;=Premissas!$B$13),INDEX(Financiamento!$J$6:$J$485,A276-Premissas!$B$48+1),0)</x:f>
        <x:v>0</x:v>
      </x:c>
      <x:c r="H276" s="141" t="n">
        <x:f>IF(AND(A276&gt;=Premissas!$B$48,A276&lt;=Premissas!$B$27,A276-Premissas!$B$48+1&lt;=Premissas!$B$13),INDEX(Financiamento!$M$6:$M$485,A276-Premissas!$B$48+1),0)</x:f>
        <x:v>0</x:v>
      </x:c>
      <x:c r="I276" s="141" t="n">
        <x:f>IF(A276=Premissas!$B$27,MIN(D276,H276),0)</x:f>
        <x:v>0</x:v>
      </x:c>
      <x:c r="J276" s="141" t="n">
        <x:f>IF(A276=Premissas!$B$27,D276-H276,0)</x:f>
        <x:v>0</x:v>
      </x:c>
      <x:c r="K276" s="141" t="n">
        <x:f>E276+G276</x:f>
        <x:v>0</x:v>
      </x:c>
      <x:c r="L276" s="141" t="n">
        <x:f>SUM($K$6:K276)</x:f>
        <x:v>368370.4829168556</x:v>
      </x:c>
      <x:c r="M276" s="141" t="str">
        <x:f>IF(A276&lt;Premissas!$B$27,"Financiamento + consorcio",IF(A276=Premissas!$B$27,"Quitacao via carta",IF(A276&lt;=Premissas!$B$25,"Somente consorcio","Encerrado")))</x:f>
        <x:v>Encerrado</x:v>
      </x:c>
      <x:c r="N276" s="141" t="n">
        <x:f>IF(A276&gt;=Premissas!$B$25,0,(N277+E277)/(1+Premissas!$B$41))</x:f>
        <x:v>0</x:v>
      </x:c>
      <x:c r="O276" s="141" t="n">
        <x:f>IF(A276&lt;Premissas!$B$27,Premissas!$B$31/(1+Premissas!$B$41)^(Premissas!$B$27-A276),0)</x:f>
        <x:v>0</x:v>
      </x:c>
      <x:c r="P276" s="141" t="n">
        <x:f>MAX(0,H276-I276)+N276</x:f>
        <x:v>0</x:v>
      </x:c>
    </x:row>
    <x:row r="277">
      <x:c r="A277" s="142" t="n">
        <x:v>272</x:v>
      </x:c>
      <x:c r="B277" s="179" t="n">
        <x:f>EDATE(Premissas!$B$4,271)</x:f>
        <x:v>54789</x:v>
      </x:c>
      <x:c r="C277" s="180" t="n">
        <x:f>(1+Premissas!$B$26)^INT((A277-1)/12)</x:f>
        <x:v>3.6035374165783565</x:v>
      </x:c>
      <x:c r="D277" s="141" t="n">
        <x:f>Premissas!$B$30*C277</x:f>
        <x:v>391452.2266851878</x:v>
      </x:c>
      <x:c r="E277" s="141" t="n">
        <x:f>IF(A277&lt;=Premissas!$B$25,Premissas!$B$32*C277,0)</x:f>
        <x:v>0</x:v>
      </x:c>
      <x:c r="F277" s="141" t="n">
        <x:f>IF(AND(A277&gt;=Premissas!$B$48,A277&lt;=Premissas!$B$27,A277-Premissas!$B$48+1&lt;=Premissas!$B$13),INDEX(Financiamento!$C$6:$C$485,A277-Premissas!$B$48+1),0)</x:f>
        <x:v>0</x:v>
      </x:c>
      <x:c r="G277" s="141" t="n">
        <x:f>IF(AND(A277&gt;=Premissas!$B$48,A277&lt;=Premissas!$B$27,A277-Premissas!$B$48+1&lt;=Premissas!$B$13),INDEX(Financiamento!$J$6:$J$485,A277-Premissas!$B$48+1),0)</x:f>
        <x:v>0</x:v>
      </x:c>
      <x:c r="H277" s="141" t="n">
        <x:f>IF(AND(A277&gt;=Premissas!$B$48,A277&lt;=Premissas!$B$27,A277-Premissas!$B$48+1&lt;=Premissas!$B$13),INDEX(Financiamento!$M$6:$M$485,A277-Premissas!$B$48+1),0)</x:f>
        <x:v>0</x:v>
      </x:c>
      <x:c r="I277" s="141" t="n">
        <x:f>IF(A277=Premissas!$B$27,MIN(D277,H277),0)</x:f>
        <x:v>0</x:v>
      </x:c>
      <x:c r="J277" s="141" t="n">
        <x:f>IF(A277=Premissas!$B$27,D277-H277,0)</x:f>
        <x:v>0</x:v>
      </x:c>
      <x:c r="K277" s="141" t="n">
        <x:f>E277+G277</x:f>
        <x:v>0</x:v>
      </x:c>
      <x:c r="L277" s="141" t="n">
        <x:f>SUM($K$6:K277)</x:f>
        <x:v>368370.4829168556</x:v>
      </x:c>
      <x:c r="M277" s="141" t="str">
        <x:f>IF(A277&lt;Premissas!$B$27,"Financiamento + consorcio",IF(A277=Premissas!$B$27,"Quitacao via carta",IF(A277&lt;=Premissas!$B$25,"Somente consorcio","Encerrado")))</x:f>
        <x:v>Encerrado</x:v>
      </x:c>
      <x:c r="N277" s="141" t="n">
        <x:f>IF(A277&gt;=Premissas!$B$25,0,(N278+E278)/(1+Premissas!$B$41))</x:f>
        <x:v>0</x:v>
      </x:c>
      <x:c r="O277" s="141" t="n">
        <x:f>IF(A277&lt;Premissas!$B$27,Premissas!$B$31/(1+Premissas!$B$41)^(Premissas!$B$27-A277),0)</x:f>
        <x:v>0</x:v>
      </x:c>
      <x:c r="P277" s="141" t="n">
        <x:f>MAX(0,H277-I277)+N277</x:f>
        <x:v>0</x:v>
      </x:c>
    </x:row>
    <x:row r="278">
      <x:c r="A278" s="142" t="n">
        <x:v>273</x:v>
      </x:c>
      <x:c r="B278" s="179" t="n">
        <x:f>EDATE(Premissas!$B$4,272)</x:f>
        <x:v>54820</x:v>
      </x:c>
      <x:c r="C278" s="180" t="n">
        <x:f>(1+Premissas!$B$26)^INT((A278-1)/12)</x:f>
        <x:v>3.6035374165783565</x:v>
      </x:c>
      <x:c r="D278" s="141" t="n">
        <x:f>Premissas!$B$30*C278</x:f>
        <x:v>391452.2266851878</x:v>
      </x:c>
      <x:c r="E278" s="141" t="n">
        <x:f>IF(A278&lt;=Premissas!$B$25,Premissas!$B$32*C278,0)</x:f>
        <x:v>0</x:v>
      </x:c>
      <x:c r="F278" s="141" t="n">
        <x:f>IF(AND(A278&gt;=Premissas!$B$48,A278&lt;=Premissas!$B$27,A278-Premissas!$B$48+1&lt;=Premissas!$B$13),INDEX(Financiamento!$C$6:$C$485,A278-Premissas!$B$48+1),0)</x:f>
        <x:v>0</x:v>
      </x:c>
      <x:c r="G278" s="141" t="n">
        <x:f>IF(AND(A278&gt;=Premissas!$B$48,A278&lt;=Premissas!$B$27,A278-Premissas!$B$48+1&lt;=Premissas!$B$13),INDEX(Financiamento!$J$6:$J$485,A278-Premissas!$B$48+1),0)</x:f>
        <x:v>0</x:v>
      </x:c>
      <x:c r="H278" s="141" t="n">
        <x:f>IF(AND(A278&gt;=Premissas!$B$48,A278&lt;=Premissas!$B$27,A278-Premissas!$B$48+1&lt;=Premissas!$B$13),INDEX(Financiamento!$M$6:$M$485,A278-Premissas!$B$48+1),0)</x:f>
        <x:v>0</x:v>
      </x:c>
      <x:c r="I278" s="141" t="n">
        <x:f>IF(A278=Premissas!$B$27,MIN(D278,H278),0)</x:f>
        <x:v>0</x:v>
      </x:c>
      <x:c r="J278" s="141" t="n">
        <x:f>IF(A278=Premissas!$B$27,D278-H278,0)</x:f>
        <x:v>0</x:v>
      </x:c>
      <x:c r="K278" s="141" t="n">
        <x:f>E278+G278</x:f>
        <x:v>0</x:v>
      </x:c>
      <x:c r="L278" s="141" t="n">
        <x:f>SUM($K$6:K278)</x:f>
        <x:v>368370.4829168556</x:v>
      </x:c>
      <x:c r="M278" s="141" t="str">
        <x:f>IF(A278&lt;Premissas!$B$27,"Financiamento + consorcio",IF(A278=Premissas!$B$27,"Quitacao via carta",IF(A278&lt;=Premissas!$B$25,"Somente consorcio","Encerrado")))</x:f>
        <x:v>Encerrado</x:v>
      </x:c>
      <x:c r="N278" s="141" t="n">
        <x:f>IF(A278&gt;=Premissas!$B$25,0,(N279+E279)/(1+Premissas!$B$41))</x:f>
        <x:v>0</x:v>
      </x:c>
      <x:c r="O278" s="141" t="n">
        <x:f>IF(A278&lt;Premissas!$B$27,Premissas!$B$31/(1+Premissas!$B$41)^(Premissas!$B$27-A278),0)</x:f>
        <x:v>0</x:v>
      </x:c>
      <x:c r="P278" s="141" t="n">
        <x:f>MAX(0,H278-I278)+N278</x:f>
        <x:v>0</x:v>
      </x:c>
    </x:row>
    <x:row r="279">
      <x:c r="A279" s="142" t="n">
        <x:v>274</x:v>
      </x:c>
      <x:c r="B279" s="179" t="n">
        <x:f>EDATE(Premissas!$B$4,273)</x:f>
        <x:v>54848</x:v>
      </x:c>
      <x:c r="C279" s="180" t="n">
        <x:f>(1+Premissas!$B$26)^INT((A279-1)/12)</x:f>
        <x:v>3.6035374165783565</x:v>
      </x:c>
      <x:c r="D279" s="141" t="n">
        <x:f>Premissas!$B$30*C279</x:f>
        <x:v>391452.2266851878</x:v>
      </x:c>
      <x:c r="E279" s="141" t="n">
        <x:f>IF(A279&lt;=Premissas!$B$25,Premissas!$B$32*C279,0)</x:f>
        <x:v>0</x:v>
      </x:c>
      <x:c r="F279" s="141" t="n">
        <x:f>IF(AND(A279&gt;=Premissas!$B$48,A279&lt;=Premissas!$B$27,A279-Premissas!$B$48+1&lt;=Premissas!$B$13),INDEX(Financiamento!$C$6:$C$485,A279-Premissas!$B$48+1),0)</x:f>
        <x:v>0</x:v>
      </x:c>
      <x:c r="G279" s="141" t="n">
        <x:f>IF(AND(A279&gt;=Premissas!$B$48,A279&lt;=Premissas!$B$27,A279-Premissas!$B$48+1&lt;=Premissas!$B$13),INDEX(Financiamento!$J$6:$J$485,A279-Premissas!$B$48+1),0)</x:f>
        <x:v>0</x:v>
      </x:c>
      <x:c r="H279" s="141" t="n">
        <x:f>IF(AND(A279&gt;=Premissas!$B$48,A279&lt;=Premissas!$B$27,A279-Premissas!$B$48+1&lt;=Premissas!$B$13),INDEX(Financiamento!$M$6:$M$485,A279-Premissas!$B$48+1),0)</x:f>
        <x:v>0</x:v>
      </x:c>
      <x:c r="I279" s="141" t="n">
        <x:f>IF(A279=Premissas!$B$27,MIN(D279,H279),0)</x:f>
        <x:v>0</x:v>
      </x:c>
      <x:c r="J279" s="141" t="n">
        <x:f>IF(A279=Premissas!$B$27,D279-H279,0)</x:f>
        <x:v>0</x:v>
      </x:c>
      <x:c r="K279" s="141" t="n">
        <x:f>E279+G279</x:f>
        <x:v>0</x:v>
      </x:c>
      <x:c r="L279" s="141" t="n">
        <x:f>SUM($K$6:K279)</x:f>
        <x:v>368370.4829168556</x:v>
      </x:c>
      <x:c r="M279" s="141" t="str">
        <x:f>IF(A279&lt;Premissas!$B$27,"Financiamento + consorcio",IF(A279=Premissas!$B$27,"Quitacao via carta",IF(A279&lt;=Premissas!$B$25,"Somente consorcio","Encerrado")))</x:f>
        <x:v>Encerrado</x:v>
      </x:c>
      <x:c r="N279" s="141" t="n">
        <x:f>IF(A279&gt;=Premissas!$B$25,0,(N280+E280)/(1+Premissas!$B$41))</x:f>
        <x:v>0</x:v>
      </x:c>
      <x:c r="O279" s="141" t="n">
        <x:f>IF(A279&lt;Premissas!$B$27,Premissas!$B$31/(1+Premissas!$B$41)^(Premissas!$B$27-A279),0)</x:f>
        <x:v>0</x:v>
      </x:c>
      <x:c r="P279" s="141" t="n">
        <x:f>MAX(0,H279-I279)+N279</x:f>
        <x:v>0</x:v>
      </x:c>
    </x:row>
    <x:row r="280">
      <x:c r="A280" s="142" t="n">
        <x:v>275</x:v>
      </x:c>
      <x:c r="B280" s="179" t="n">
        <x:f>EDATE(Premissas!$B$4,274)</x:f>
        <x:v>54879</x:v>
      </x:c>
      <x:c r="C280" s="180" t="n">
        <x:f>(1+Premissas!$B$26)^INT((A280-1)/12)</x:f>
        <x:v>3.6035374165783565</x:v>
      </x:c>
      <x:c r="D280" s="141" t="n">
        <x:f>Premissas!$B$30*C280</x:f>
        <x:v>391452.2266851878</x:v>
      </x:c>
      <x:c r="E280" s="141" t="n">
        <x:f>IF(A280&lt;=Premissas!$B$25,Premissas!$B$32*C280,0)</x:f>
        <x:v>0</x:v>
      </x:c>
      <x:c r="F280" s="141" t="n">
        <x:f>IF(AND(A280&gt;=Premissas!$B$48,A280&lt;=Premissas!$B$27,A280-Premissas!$B$48+1&lt;=Premissas!$B$13),INDEX(Financiamento!$C$6:$C$485,A280-Premissas!$B$48+1),0)</x:f>
        <x:v>0</x:v>
      </x:c>
      <x:c r="G280" s="141" t="n">
        <x:f>IF(AND(A280&gt;=Premissas!$B$48,A280&lt;=Premissas!$B$27,A280-Premissas!$B$48+1&lt;=Premissas!$B$13),INDEX(Financiamento!$J$6:$J$485,A280-Premissas!$B$48+1),0)</x:f>
        <x:v>0</x:v>
      </x:c>
      <x:c r="H280" s="141" t="n">
        <x:f>IF(AND(A280&gt;=Premissas!$B$48,A280&lt;=Premissas!$B$27,A280-Premissas!$B$48+1&lt;=Premissas!$B$13),INDEX(Financiamento!$M$6:$M$485,A280-Premissas!$B$48+1),0)</x:f>
        <x:v>0</x:v>
      </x:c>
      <x:c r="I280" s="141" t="n">
        <x:f>IF(A280=Premissas!$B$27,MIN(D280,H280),0)</x:f>
        <x:v>0</x:v>
      </x:c>
      <x:c r="J280" s="141" t="n">
        <x:f>IF(A280=Premissas!$B$27,D280-H280,0)</x:f>
        <x:v>0</x:v>
      </x:c>
      <x:c r="K280" s="141" t="n">
        <x:f>E280+G280</x:f>
        <x:v>0</x:v>
      </x:c>
      <x:c r="L280" s="141" t="n">
        <x:f>SUM($K$6:K280)</x:f>
        <x:v>368370.4829168556</x:v>
      </x:c>
      <x:c r="M280" s="141" t="str">
        <x:f>IF(A280&lt;Premissas!$B$27,"Financiamento + consorcio",IF(A280=Premissas!$B$27,"Quitacao via carta",IF(A280&lt;=Premissas!$B$25,"Somente consorcio","Encerrado")))</x:f>
        <x:v>Encerrado</x:v>
      </x:c>
      <x:c r="N280" s="141" t="n">
        <x:f>IF(A280&gt;=Premissas!$B$25,0,(N281+E281)/(1+Premissas!$B$41))</x:f>
        <x:v>0</x:v>
      </x:c>
      <x:c r="O280" s="141" t="n">
        <x:f>IF(A280&lt;Premissas!$B$27,Premissas!$B$31/(1+Premissas!$B$41)^(Premissas!$B$27-A280),0)</x:f>
        <x:v>0</x:v>
      </x:c>
      <x:c r="P280" s="141" t="n">
        <x:f>MAX(0,H280-I280)+N280</x:f>
        <x:v>0</x:v>
      </x:c>
    </x:row>
    <x:row r="281">
      <x:c r="A281" s="142" t="n">
        <x:v>276</x:v>
      </x:c>
      <x:c r="B281" s="179" t="n">
        <x:f>EDATE(Premissas!$B$4,275)</x:f>
        <x:v>54909</x:v>
      </x:c>
      <x:c r="C281" s="180" t="n">
        <x:f>(1+Premissas!$B$26)^INT((A281-1)/12)</x:f>
        <x:v>3.6035374165783565</x:v>
      </x:c>
      <x:c r="D281" s="141" t="n">
        <x:f>Premissas!$B$30*C281</x:f>
        <x:v>391452.2266851878</x:v>
      </x:c>
      <x:c r="E281" s="141" t="n">
        <x:f>IF(A281&lt;=Premissas!$B$25,Premissas!$B$32*C281,0)</x:f>
        <x:v>0</x:v>
      </x:c>
      <x:c r="F281" s="141" t="n">
        <x:f>IF(AND(A281&gt;=Premissas!$B$48,A281&lt;=Premissas!$B$27,A281-Premissas!$B$48+1&lt;=Premissas!$B$13),INDEX(Financiamento!$C$6:$C$485,A281-Premissas!$B$48+1),0)</x:f>
        <x:v>0</x:v>
      </x:c>
      <x:c r="G281" s="141" t="n">
        <x:f>IF(AND(A281&gt;=Premissas!$B$48,A281&lt;=Premissas!$B$27,A281-Premissas!$B$48+1&lt;=Premissas!$B$13),INDEX(Financiamento!$J$6:$J$485,A281-Premissas!$B$48+1),0)</x:f>
        <x:v>0</x:v>
      </x:c>
      <x:c r="H281" s="141" t="n">
        <x:f>IF(AND(A281&gt;=Premissas!$B$48,A281&lt;=Premissas!$B$27,A281-Premissas!$B$48+1&lt;=Premissas!$B$13),INDEX(Financiamento!$M$6:$M$485,A281-Premissas!$B$48+1),0)</x:f>
        <x:v>0</x:v>
      </x:c>
      <x:c r="I281" s="141" t="n">
        <x:f>IF(A281=Premissas!$B$27,MIN(D281,H281),0)</x:f>
        <x:v>0</x:v>
      </x:c>
      <x:c r="J281" s="141" t="n">
        <x:f>IF(A281=Premissas!$B$27,D281-H281,0)</x:f>
        <x:v>0</x:v>
      </x:c>
      <x:c r="K281" s="141" t="n">
        <x:f>E281+G281</x:f>
        <x:v>0</x:v>
      </x:c>
      <x:c r="L281" s="141" t="n">
        <x:f>SUM($K$6:K281)</x:f>
        <x:v>368370.4829168556</x:v>
      </x:c>
      <x:c r="M281" s="141" t="str">
        <x:f>IF(A281&lt;Premissas!$B$27,"Financiamento + consorcio",IF(A281=Premissas!$B$27,"Quitacao via carta",IF(A281&lt;=Premissas!$B$25,"Somente consorcio","Encerrado")))</x:f>
        <x:v>Encerrado</x:v>
      </x:c>
      <x:c r="N281" s="141" t="n">
        <x:f>IF(A281&gt;=Premissas!$B$25,0,(N282+E282)/(1+Premissas!$B$41))</x:f>
        <x:v>0</x:v>
      </x:c>
      <x:c r="O281" s="141" t="n">
        <x:f>IF(A281&lt;Premissas!$B$27,Premissas!$B$31/(1+Premissas!$B$41)^(Premissas!$B$27-A281),0)</x:f>
        <x:v>0</x:v>
      </x:c>
      <x:c r="P281" s="141" t="n">
        <x:f>MAX(0,H281-I281)+N281</x:f>
        <x:v>0</x:v>
      </x:c>
    </x:row>
    <x:row r="282">
      <x:c r="A282" s="142" t="n">
        <x:v>277</x:v>
      </x:c>
      <x:c r="B282" s="179" t="n">
        <x:f>EDATE(Premissas!$B$4,276)</x:f>
        <x:v>54940</x:v>
      </x:c>
      <x:c r="C282" s="180" t="n">
        <x:f>(1+Premissas!$B$26)^INT((A282-1)/12)</x:f>
        <x:v>3.819749661573058</x:v>
      </x:c>
      <x:c r="D282" s="141" t="n">
        <x:f>Premissas!$B$30*C282</x:f>
        <x:v>414939.3602862991</x:v>
      </x:c>
      <x:c r="E282" s="141" t="n">
        <x:f>IF(A282&lt;=Premissas!$B$25,Premissas!$B$32*C282,0)</x:f>
        <x:v>0</x:v>
      </x:c>
      <x:c r="F282" s="141" t="n">
        <x:f>IF(AND(A282&gt;=Premissas!$B$48,A282&lt;=Premissas!$B$27,A282-Premissas!$B$48+1&lt;=Premissas!$B$13),INDEX(Financiamento!$C$6:$C$485,A282-Premissas!$B$48+1),0)</x:f>
        <x:v>0</x:v>
      </x:c>
      <x:c r="G282" s="141" t="n">
        <x:f>IF(AND(A282&gt;=Premissas!$B$48,A282&lt;=Premissas!$B$27,A282-Premissas!$B$48+1&lt;=Premissas!$B$13),INDEX(Financiamento!$J$6:$J$485,A282-Premissas!$B$48+1),0)</x:f>
        <x:v>0</x:v>
      </x:c>
      <x:c r="H282" s="141" t="n">
        <x:f>IF(AND(A282&gt;=Premissas!$B$48,A282&lt;=Premissas!$B$27,A282-Premissas!$B$48+1&lt;=Premissas!$B$13),INDEX(Financiamento!$M$6:$M$485,A282-Premissas!$B$48+1),0)</x:f>
        <x:v>0</x:v>
      </x:c>
      <x:c r="I282" s="141" t="n">
        <x:f>IF(A282=Premissas!$B$27,MIN(D282,H282),0)</x:f>
        <x:v>0</x:v>
      </x:c>
      <x:c r="J282" s="141" t="n">
        <x:f>IF(A282=Premissas!$B$27,D282-H282,0)</x:f>
        <x:v>0</x:v>
      </x:c>
      <x:c r="K282" s="141" t="n">
        <x:f>E282+G282</x:f>
        <x:v>0</x:v>
      </x:c>
      <x:c r="L282" s="141" t="n">
        <x:f>SUM($K$6:K282)</x:f>
        <x:v>368370.4829168556</x:v>
      </x:c>
      <x:c r="M282" s="141" t="str">
        <x:f>IF(A282&lt;Premissas!$B$27,"Financiamento + consorcio",IF(A282=Premissas!$B$27,"Quitacao via carta",IF(A282&lt;=Premissas!$B$25,"Somente consorcio","Encerrado")))</x:f>
        <x:v>Encerrado</x:v>
      </x:c>
      <x:c r="N282" s="141" t="n">
        <x:f>IF(A282&gt;=Premissas!$B$25,0,(N283+E283)/(1+Premissas!$B$41))</x:f>
        <x:v>0</x:v>
      </x:c>
      <x:c r="O282" s="141" t="n">
        <x:f>IF(A282&lt;Premissas!$B$27,Premissas!$B$31/(1+Premissas!$B$41)^(Premissas!$B$27-A282),0)</x:f>
        <x:v>0</x:v>
      </x:c>
      <x:c r="P282" s="141" t="n">
        <x:f>MAX(0,H282-I282)+N282</x:f>
        <x:v>0</x:v>
      </x:c>
    </x:row>
    <x:row r="283">
      <x:c r="A283" s="142" t="n">
        <x:v>278</x:v>
      </x:c>
      <x:c r="B283" s="179" t="n">
        <x:f>EDATE(Premissas!$B$4,277)</x:f>
        <x:v>54970</x:v>
      </x:c>
      <x:c r="C283" s="180" t="n">
        <x:f>(1+Premissas!$B$26)^INT((A283-1)/12)</x:f>
        <x:v>3.819749661573058</x:v>
      </x:c>
      <x:c r="D283" s="141" t="n">
        <x:f>Premissas!$B$30*C283</x:f>
        <x:v>414939.3602862991</x:v>
      </x:c>
      <x:c r="E283" s="141" t="n">
        <x:f>IF(A283&lt;=Premissas!$B$25,Premissas!$B$32*C283,0)</x:f>
        <x:v>0</x:v>
      </x:c>
      <x:c r="F283" s="141" t="n">
        <x:f>IF(AND(A283&gt;=Premissas!$B$48,A283&lt;=Premissas!$B$27,A283-Premissas!$B$48+1&lt;=Premissas!$B$13),INDEX(Financiamento!$C$6:$C$485,A283-Premissas!$B$48+1),0)</x:f>
        <x:v>0</x:v>
      </x:c>
      <x:c r="G283" s="141" t="n">
        <x:f>IF(AND(A283&gt;=Premissas!$B$48,A283&lt;=Premissas!$B$27,A283-Premissas!$B$48+1&lt;=Premissas!$B$13),INDEX(Financiamento!$J$6:$J$485,A283-Premissas!$B$48+1),0)</x:f>
        <x:v>0</x:v>
      </x:c>
      <x:c r="H283" s="141" t="n">
        <x:f>IF(AND(A283&gt;=Premissas!$B$48,A283&lt;=Premissas!$B$27,A283-Premissas!$B$48+1&lt;=Premissas!$B$13),INDEX(Financiamento!$M$6:$M$485,A283-Premissas!$B$48+1),0)</x:f>
        <x:v>0</x:v>
      </x:c>
      <x:c r="I283" s="141" t="n">
        <x:f>IF(A283=Premissas!$B$27,MIN(D283,H283),0)</x:f>
        <x:v>0</x:v>
      </x:c>
      <x:c r="J283" s="141" t="n">
        <x:f>IF(A283=Premissas!$B$27,D283-H283,0)</x:f>
        <x:v>0</x:v>
      </x:c>
      <x:c r="K283" s="141" t="n">
        <x:f>E283+G283</x:f>
        <x:v>0</x:v>
      </x:c>
      <x:c r="L283" s="141" t="n">
        <x:f>SUM($K$6:K283)</x:f>
        <x:v>368370.4829168556</x:v>
      </x:c>
      <x:c r="M283" s="141" t="str">
        <x:f>IF(A283&lt;Premissas!$B$27,"Financiamento + consorcio",IF(A283=Premissas!$B$27,"Quitacao via carta",IF(A283&lt;=Premissas!$B$25,"Somente consorcio","Encerrado")))</x:f>
        <x:v>Encerrado</x:v>
      </x:c>
      <x:c r="N283" s="141" t="n">
        <x:f>IF(A283&gt;=Premissas!$B$25,0,(N284+E284)/(1+Premissas!$B$41))</x:f>
        <x:v>0</x:v>
      </x:c>
      <x:c r="O283" s="141" t="n">
        <x:f>IF(A283&lt;Premissas!$B$27,Premissas!$B$31/(1+Premissas!$B$41)^(Premissas!$B$27-A283),0)</x:f>
        <x:v>0</x:v>
      </x:c>
      <x:c r="P283" s="141" t="n">
        <x:f>MAX(0,H283-I283)+N283</x:f>
        <x:v>0</x:v>
      </x:c>
    </x:row>
    <x:row r="284">
      <x:c r="A284" s="142" t="n">
        <x:v>279</x:v>
      </x:c>
      <x:c r="B284" s="179" t="n">
        <x:f>EDATE(Premissas!$B$4,278)</x:f>
        <x:v>55001</x:v>
      </x:c>
      <x:c r="C284" s="180" t="n">
        <x:f>(1+Premissas!$B$26)^INT((A284-1)/12)</x:f>
        <x:v>3.819749661573058</x:v>
      </x:c>
      <x:c r="D284" s="141" t="n">
        <x:f>Premissas!$B$30*C284</x:f>
        <x:v>414939.3602862991</x:v>
      </x:c>
      <x:c r="E284" s="141" t="n">
        <x:f>IF(A284&lt;=Premissas!$B$25,Premissas!$B$32*C284,0)</x:f>
        <x:v>0</x:v>
      </x:c>
      <x:c r="F284" s="141" t="n">
        <x:f>IF(AND(A284&gt;=Premissas!$B$48,A284&lt;=Premissas!$B$27,A284-Premissas!$B$48+1&lt;=Premissas!$B$13),INDEX(Financiamento!$C$6:$C$485,A284-Premissas!$B$48+1),0)</x:f>
        <x:v>0</x:v>
      </x:c>
      <x:c r="G284" s="141" t="n">
        <x:f>IF(AND(A284&gt;=Premissas!$B$48,A284&lt;=Premissas!$B$27,A284-Premissas!$B$48+1&lt;=Premissas!$B$13),INDEX(Financiamento!$J$6:$J$485,A284-Premissas!$B$48+1),0)</x:f>
        <x:v>0</x:v>
      </x:c>
      <x:c r="H284" s="141" t="n">
        <x:f>IF(AND(A284&gt;=Premissas!$B$48,A284&lt;=Premissas!$B$27,A284-Premissas!$B$48+1&lt;=Premissas!$B$13),INDEX(Financiamento!$M$6:$M$485,A284-Premissas!$B$48+1),0)</x:f>
        <x:v>0</x:v>
      </x:c>
      <x:c r="I284" s="141" t="n">
        <x:f>IF(A284=Premissas!$B$27,MIN(D284,H284),0)</x:f>
        <x:v>0</x:v>
      </x:c>
      <x:c r="J284" s="141" t="n">
        <x:f>IF(A284=Premissas!$B$27,D284-H284,0)</x:f>
        <x:v>0</x:v>
      </x:c>
      <x:c r="K284" s="141" t="n">
        <x:f>E284+G284</x:f>
        <x:v>0</x:v>
      </x:c>
      <x:c r="L284" s="141" t="n">
        <x:f>SUM($K$6:K284)</x:f>
        <x:v>368370.4829168556</x:v>
      </x:c>
      <x:c r="M284" s="141" t="str">
        <x:f>IF(A284&lt;Premissas!$B$27,"Financiamento + consorcio",IF(A284=Premissas!$B$27,"Quitacao via carta",IF(A284&lt;=Premissas!$B$25,"Somente consorcio","Encerrado")))</x:f>
        <x:v>Encerrado</x:v>
      </x:c>
      <x:c r="N284" s="141" t="n">
        <x:f>IF(A284&gt;=Premissas!$B$25,0,(N285+E285)/(1+Premissas!$B$41))</x:f>
        <x:v>0</x:v>
      </x:c>
      <x:c r="O284" s="141" t="n">
        <x:f>IF(A284&lt;Premissas!$B$27,Premissas!$B$31/(1+Premissas!$B$41)^(Premissas!$B$27-A284),0)</x:f>
        <x:v>0</x:v>
      </x:c>
      <x:c r="P284" s="141" t="n">
        <x:f>MAX(0,H284-I284)+N284</x:f>
        <x:v>0</x:v>
      </x:c>
    </x:row>
    <x:row r="285">
      <x:c r="A285" s="142" t="n">
        <x:v>280</x:v>
      </x:c>
      <x:c r="B285" s="179" t="n">
        <x:f>EDATE(Premissas!$B$4,279)</x:f>
        <x:v>55032</x:v>
      </x:c>
      <x:c r="C285" s="180" t="n">
        <x:f>(1+Premissas!$B$26)^INT((A285-1)/12)</x:f>
        <x:v>3.819749661573058</x:v>
      </x:c>
      <x:c r="D285" s="141" t="n">
        <x:f>Premissas!$B$30*C285</x:f>
        <x:v>414939.3602862991</x:v>
      </x:c>
      <x:c r="E285" s="141" t="n">
        <x:f>IF(A285&lt;=Premissas!$B$25,Premissas!$B$32*C285,0)</x:f>
        <x:v>0</x:v>
      </x:c>
      <x:c r="F285" s="141" t="n">
        <x:f>IF(AND(A285&gt;=Premissas!$B$48,A285&lt;=Premissas!$B$27,A285-Premissas!$B$48+1&lt;=Premissas!$B$13),INDEX(Financiamento!$C$6:$C$485,A285-Premissas!$B$48+1),0)</x:f>
        <x:v>0</x:v>
      </x:c>
      <x:c r="G285" s="141" t="n">
        <x:f>IF(AND(A285&gt;=Premissas!$B$48,A285&lt;=Premissas!$B$27,A285-Premissas!$B$48+1&lt;=Premissas!$B$13),INDEX(Financiamento!$J$6:$J$485,A285-Premissas!$B$48+1),0)</x:f>
        <x:v>0</x:v>
      </x:c>
      <x:c r="H285" s="141" t="n">
        <x:f>IF(AND(A285&gt;=Premissas!$B$48,A285&lt;=Premissas!$B$27,A285-Premissas!$B$48+1&lt;=Premissas!$B$13),INDEX(Financiamento!$M$6:$M$485,A285-Premissas!$B$48+1),0)</x:f>
        <x:v>0</x:v>
      </x:c>
      <x:c r="I285" s="141" t="n">
        <x:f>IF(A285=Premissas!$B$27,MIN(D285,H285),0)</x:f>
        <x:v>0</x:v>
      </x:c>
      <x:c r="J285" s="141" t="n">
        <x:f>IF(A285=Premissas!$B$27,D285-H285,0)</x:f>
        <x:v>0</x:v>
      </x:c>
      <x:c r="K285" s="141" t="n">
        <x:f>E285+G285</x:f>
        <x:v>0</x:v>
      </x:c>
      <x:c r="L285" s="141" t="n">
        <x:f>SUM($K$6:K285)</x:f>
        <x:v>368370.4829168556</x:v>
      </x:c>
      <x:c r="M285" s="141" t="str">
        <x:f>IF(A285&lt;Premissas!$B$27,"Financiamento + consorcio",IF(A285=Premissas!$B$27,"Quitacao via carta",IF(A285&lt;=Premissas!$B$25,"Somente consorcio","Encerrado")))</x:f>
        <x:v>Encerrado</x:v>
      </x:c>
      <x:c r="N285" s="141" t="n">
        <x:f>IF(A285&gt;=Premissas!$B$25,0,(N286+E286)/(1+Premissas!$B$41))</x:f>
        <x:v>0</x:v>
      </x:c>
      <x:c r="O285" s="141" t="n">
        <x:f>IF(A285&lt;Premissas!$B$27,Premissas!$B$31/(1+Premissas!$B$41)^(Premissas!$B$27-A285),0)</x:f>
        <x:v>0</x:v>
      </x:c>
      <x:c r="P285" s="141" t="n">
        <x:f>MAX(0,H285-I285)+N285</x:f>
        <x:v>0</x:v>
      </x:c>
    </x:row>
    <x:row r="286">
      <x:c r="A286" s="142" t="n">
        <x:v>281</x:v>
      </x:c>
      <x:c r="B286" s="179" t="n">
        <x:f>EDATE(Premissas!$B$4,280)</x:f>
        <x:v>55062</x:v>
      </x:c>
      <x:c r="C286" s="180" t="n">
        <x:f>(1+Premissas!$B$26)^INT((A286-1)/12)</x:f>
        <x:v>3.819749661573058</x:v>
      </x:c>
      <x:c r="D286" s="141" t="n">
        <x:f>Premissas!$B$30*C286</x:f>
        <x:v>414939.3602862991</x:v>
      </x:c>
      <x:c r="E286" s="141" t="n">
        <x:f>IF(A286&lt;=Premissas!$B$25,Premissas!$B$32*C286,0)</x:f>
        <x:v>0</x:v>
      </x:c>
      <x:c r="F286" s="141" t="n">
        <x:f>IF(AND(A286&gt;=Premissas!$B$48,A286&lt;=Premissas!$B$27,A286-Premissas!$B$48+1&lt;=Premissas!$B$13),INDEX(Financiamento!$C$6:$C$485,A286-Premissas!$B$48+1),0)</x:f>
        <x:v>0</x:v>
      </x:c>
      <x:c r="G286" s="141" t="n">
        <x:f>IF(AND(A286&gt;=Premissas!$B$48,A286&lt;=Premissas!$B$27,A286-Premissas!$B$48+1&lt;=Premissas!$B$13),INDEX(Financiamento!$J$6:$J$485,A286-Premissas!$B$48+1),0)</x:f>
        <x:v>0</x:v>
      </x:c>
      <x:c r="H286" s="141" t="n">
        <x:f>IF(AND(A286&gt;=Premissas!$B$48,A286&lt;=Premissas!$B$27,A286-Premissas!$B$48+1&lt;=Premissas!$B$13),INDEX(Financiamento!$M$6:$M$485,A286-Premissas!$B$48+1),0)</x:f>
        <x:v>0</x:v>
      </x:c>
      <x:c r="I286" s="141" t="n">
        <x:f>IF(A286=Premissas!$B$27,MIN(D286,H286),0)</x:f>
        <x:v>0</x:v>
      </x:c>
      <x:c r="J286" s="141" t="n">
        <x:f>IF(A286=Premissas!$B$27,D286-H286,0)</x:f>
        <x:v>0</x:v>
      </x:c>
      <x:c r="K286" s="141" t="n">
        <x:f>E286+G286</x:f>
        <x:v>0</x:v>
      </x:c>
      <x:c r="L286" s="141" t="n">
        <x:f>SUM($K$6:K286)</x:f>
        <x:v>368370.4829168556</x:v>
      </x:c>
      <x:c r="M286" s="141" t="str">
        <x:f>IF(A286&lt;Premissas!$B$27,"Financiamento + consorcio",IF(A286=Premissas!$B$27,"Quitacao via carta",IF(A286&lt;=Premissas!$B$25,"Somente consorcio","Encerrado")))</x:f>
        <x:v>Encerrado</x:v>
      </x:c>
      <x:c r="N286" s="141" t="n">
        <x:f>IF(A286&gt;=Premissas!$B$25,0,(N287+E287)/(1+Premissas!$B$41))</x:f>
        <x:v>0</x:v>
      </x:c>
      <x:c r="O286" s="141" t="n">
        <x:f>IF(A286&lt;Premissas!$B$27,Premissas!$B$31/(1+Premissas!$B$41)^(Premissas!$B$27-A286),0)</x:f>
        <x:v>0</x:v>
      </x:c>
      <x:c r="P286" s="141" t="n">
        <x:f>MAX(0,H286-I286)+N286</x:f>
        <x:v>0</x:v>
      </x:c>
    </x:row>
    <x:row r="287">
      <x:c r="A287" s="142" t="n">
        <x:v>282</x:v>
      </x:c>
      <x:c r="B287" s="179" t="n">
        <x:f>EDATE(Premissas!$B$4,281)</x:f>
        <x:v>55093</x:v>
      </x:c>
      <x:c r="C287" s="180" t="n">
        <x:f>(1+Premissas!$B$26)^INT((A287-1)/12)</x:f>
        <x:v>3.819749661573058</x:v>
      </x:c>
      <x:c r="D287" s="141" t="n">
        <x:f>Premissas!$B$30*C287</x:f>
        <x:v>414939.3602862991</x:v>
      </x:c>
      <x:c r="E287" s="141" t="n">
        <x:f>IF(A287&lt;=Premissas!$B$25,Premissas!$B$32*C287,0)</x:f>
        <x:v>0</x:v>
      </x:c>
      <x:c r="F287" s="141" t="n">
        <x:f>IF(AND(A287&gt;=Premissas!$B$48,A287&lt;=Premissas!$B$27,A287-Premissas!$B$48+1&lt;=Premissas!$B$13),INDEX(Financiamento!$C$6:$C$485,A287-Premissas!$B$48+1),0)</x:f>
        <x:v>0</x:v>
      </x:c>
      <x:c r="G287" s="141" t="n">
        <x:f>IF(AND(A287&gt;=Premissas!$B$48,A287&lt;=Premissas!$B$27,A287-Premissas!$B$48+1&lt;=Premissas!$B$13),INDEX(Financiamento!$J$6:$J$485,A287-Premissas!$B$48+1),0)</x:f>
        <x:v>0</x:v>
      </x:c>
      <x:c r="H287" s="141" t="n">
        <x:f>IF(AND(A287&gt;=Premissas!$B$48,A287&lt;=Premissas!$B$27,A287-Premissas!$B$48+1&lt;=Premissas!$B$13),INDEX(Financiamento!$M$6:$M$485,A287-Premissas!$B$48+1),0)</x:f>
        <x:v>0</x:v>
      </x:c>
      <x:c r="I287" s="141" t="n">
        <x:f>IF(A287=Premissas!$B$27,MIN(D287,H287),0)</x:f>
        <x:v>0</x:v>
      </x:c>
      <x:c r="J287" s="141" t="n">
        <x:f>IF(A287=Premissas!$B$27,D287-H287,0)</x:f>
        <x:v>0</x:v>
      </x:c>
      <x:c r="K287" s="141" t="n">
        <x:f>E287+G287</x:f>
        <x:v>0</x:v>
      </x:c>
      <x:c r="L287" s="141" t="n">
        <x:f>SUM($K$6:K287)</x:f>
        <x:v>368370.4829168556</x:v>
      </x:c>
      <x:c r="M287" s="141" t="str">
        <x:f>IF(A287&lt;Premissas!$B$27,"Financiamento + consorcio",IF(A287=Premissas!$B$27,"Quitacao via carta",IF(A287&lt;=Premissas!$B$25,"Somente consorcio","Encerrado")))</x:f>
        <x:v>Encerrado</x:v>
      </x:c>
      <x:c r="N287" s="141" t="n">
        <x:f>IF(A287&gt;=Premissas!$B$25,0,(N288+E288)/(1+Premissas!$B$41))</x:f>
        <x:v>0</x:v>
      </x:c>
      <x:c r="O287" s="141" t="n">
        <x:f>IF(A287&lt;Premissas!$B$27,Premissas!$B$31/(1+Premissas!$B$41)^(Premissas!$B$27-A287),0)</x:f>
        <x:v>0</x:v>
      </x:c>
      <x:c r="P287" s="141" t="n">
        <x:f>MAX(0,H287-I287)+N287</x:f>
        <x:v>0</x:v>
      </x:c>
    </x:row>
    <x:row r="288">
      <x:c r="A288" s="142" t="n">
        <x:v>283</x:v>
      </x:c>
      <x:c r="B288" s="179" t="n">
        <x:f>EDATE(Premissas!$B$4,282)</x:f>
        <x:v>55123</x:v>
      </x:c>
      <x:c r="C288" s="180" t="n">
        <x:f>(1+Premissas!$B$26)^INT((A288-1)/12)</x:f>
        <x:v>3.819749661573058</x:v>
      </x:c>
      <x:c r="D288" s="141" t="n">
        <x:f>Premissas!$B$30*C288</x:f>
        <x:v>414939.3602862991</x:v>
      </x:c>
      <x:c r="E288" s="141" t="n">
        <x:f>IF(A288&lt;=Premissas!$B$25,Premissas!$B$32*C288,0)</x:f>
        <x:v>0</x:v>
      </x:c>
      <x:c r="F288" s="141" t="n">
        <x:f>IF(AND(A288&gt;=Premissas!$B$48,A288&lt;=Premissas!$B$27,A288-Premissas!$B$48+1&lt;=Premissas!$B$13),INDEX(Financiamento!$C$6:$C$485,A288-Premissas!$B$48+1),0)</x:f>
        <x:v>0</x:v>
      </x:c>
      <x:c r="G288" s="141" t="n">
        <x:f>IF(AND(A288&gt;=Premissas!$B$48,A288&lt;=Premissas!$B$27,A288-Premissas!$B$48+1&lt;=Premissas!$B$13),INDEX(Financiamento!$J$6:$J$485,A288-Premissas!$B$48+1),0)</x:f>
        <x:v>0</x:v>
      </x:c>
      <x:c r="H288" s="141" t="n">
        <x:f>IF(AND(A288&gt;=Premissas!$B$48,A288&lt;=Premissas!$B$27,A288-Premissas!$B$48+1&lt;=Premissas!$B$13),INDEX(Financiamento!$M$6:$M$485,A288-Premissas!$B$48+1),0)</x:f>
        <x:v>0</x:v>
      </x:c>
      <x:c r="I288" s="141" t="n">
        <x:f>IF(A288=Premissas!$B$27,MIN(D288,H288),0)</x:f>
        <x:v>0</x:v>
      </x:c>
      <x:c r="J288" s="141" t="n">
        <x:f>IF(A288=Premissas!$B$27,D288-H288,0)</x:f>
        <x:v>0</x:v>
      </x:c>
      <x:c r="K288" s="141" t="n">
        <x:f>E288+G288</x:f>
        <x:v>0</x:v>
      </x:c>
      <x:c r="L288" s="141" t="n">
        <x:f>SUM($K$6:K288)</x:f>
        <x:v>368370.4829168556</x:v>
      </x:c>
      <x:c r="M288" s="141" t="str">
        <x:f>IF(A288&lt;Premissas!$B$27,"Financiamento + consorcio",IF(A288=Premissas!$B$27,"Quitacao via carta",IF(A288&lt;=Premissas!$B$25,"Somente consorcio","Encerrado")))</x:f>
        <x:v>Encerrado</x:v>
      </x:c>
      <x:c r="N288" s="141" t="n">
        <x:f>IF(A288&gt;=Premissas!$B$25,0,(N289+E289)/(1+Premissas!$B$41))</x:f>
        <x:v>0</x:v>
      </x:c>
      <x:c r="O288" s="141" t="n">
        <x:f>IF(A288&lt;Premissas!$B$27,Premissas!$B$31/(1+Premissas!$B$41)^(Premissas!$B$27-A288),0)</x:f>
        <x:v>0</x:v>
      </x:c>
      <x:c r="P288" s="141" t="n">
        <x:f>MAX(0,H288-I288)+N288</x:f>
        <x:v>0</x:v>
      </x:c>
    </x:row>
    <x:row r="289">
      <x:c r="A289" s="142" t="n">
        <x:v>284</x:v>
      </x:c>
      <x:c r="B289" s="179" t="n">
        <x:f>EDATE(Premissas!$B$4,283)</x:f>
        <x:v>55154</x:v>
      </x:c>
      <x:c r="C289" s="180" t="n">
        <x:f>(1+Premissas!$B$26)^INT((A289-1)/12)</x:f>
        <x:v>3.819749661573058</x:v>
      </x:c>
      <x:c r="D289" s="141" t="n">
        <x:f>Premissas!$B$30*C289</x:f>
        <x:v>414939.3602862991</x:v>
      </x:c>
      <x:c r="E289" s="141" t="n">
        <x:f>IF(A289&lt;=Premissas!$B$25,Premissas!$B$32*C289,0)</x:f>
        <x:v>0</x:v>
      </x:c>
      <x:c r="F289" s="141" t="n">
        <x:f>IF(AND(A289&gt;=Premissas!$B$48,A289&lt;=Premissas!$B$27,A289-Premissas!$B$48+1&lt;=Premissas!$B$13),INDEX(Financiamento!$C$6:$C$485,A289-Premissas!$B$48+1),0)</x:f>
        <x:v>0</x:v>
      </x:c>
      <x:c r="G289" s="141" t="n">
        <x:f>IF(AND(A289&gt;=Premissas!$B$48,A289&lt;=Premissas!$B$27,A289-Premissas!$B$48+1&lt;=Premissas!$B$13),INDEX(Financiamento!$J$6:$J$485,A289-Premissas!$B$48+1),0)</x:f>
        <x:v>0</x:v>
      </x:c>
      <x:c r="H289" s="141" t="n">
        <x:f>IF(AND(A289&gt;=Premissas!$B$48,A289&lt;=Premissas!$B$27,A289-Premissas!$B$48+1&lt;=Premissas!$B$13),INDEX(Financiamento!$M$6:$M$485,A289-Premissas!$B$48+1),0)</x:f>
        <x:v>0</x:v>
      </x:c>
      <x:c r="I289" s="141" t="n">
        <x:f>IF(A289=Premissas!$B$27,MIN(D289,H289),0)</x:f>
        <x:v>0</x:v>
      </x:c>
      <x:c r="J289" s="141" t="n">
        <x:f>IF(A289=Premissas!$B$27,D289-H289,0)</x:f>
        <x:v>0</x:v>
      </x:c>
      <x:c r="K289" s="141" t="n">
        <x:f>E289+G289</x:f>
        <x:v>0</x:v>
      </x:c>
      <x:c r="L289" s="141" t="n">
        <x:f>SUM($K$6:K289)</x:f>
        <x:v>368370.4829168556</x:v>
      </x:c>
      <x:c r="M289" s="141" t="str">
        <x:f>IF(A289&lt;Premissas!$B$27,"Financiamento + consorcio",IF(A289=Premissas!$B$27,"Quitacao via carta",IF(A289&lt;=Premissas!$B$25,"Somente consorcio","Encerrado")))</x:f>
        <x:v>Encerrado</x:v>
      </x:c>
      <x:c r="N289" s="141" t="n">
        <x:f>IF(A289&gt;=Premissas!$B$25,0,(N290+E290)/(1+Premissas!$B$41))</x:f>
        <x:v>0</x:v>
      </x:c>
      <x:c r="O289" s="141" t="n">
        <x:f>IF(A289&lt;Premissas!$B$27,Premissas!$B$31/(1+Premissas!$B$41)^(Premissas!$B$27-A289),0)</x:f>
        <x:v>0</x:v>
      </x:c>
      <x:c r="P289" s="141" t="n">
        <x:f>MAX(0,H289-I289)+N289</x:f>
        <x:v>0</x:v>
      </x:c>
    </x:row>
    <x:row r="290">
      <x:c r="A290" s="142" t="n">
        <x:v>285</x:v>
      </x:c>
      <x:c r="B290" s="179" t="n">
        <x:f>EDATE(Premissas!$B$4,284)</x:f>
        <x:v>55185</x:v>
      </x:c>
      <x:c r="C290" s="180" t="n">
        <x:f>(1+Premissas!$B$26)^INT((A290-1)/12)</x:f>
        <x:v>3.819749661573058</x:v>
      </x:c>
      <x:c r="D290" s="141" t="n">
        <x:f>Premissas!$B$30*C290</x:f>
        <x:v>414939.3602862991</x:v>
      </x:c>
      <x:c r="E290" s="141" t="n">
        <x:f>IF(A290&lt;=Premissas!$B$25,Premissas!$B$32*C290,0)</x:f>
        <x:v>0</x:v>
      </x:c>
      <x:c r="F290" s="141" t="n">
        <x:f>IF(AND(A290&gt;=Premissas!$B$48,A290&lt;=Premissas!$B$27,A290-Premissas!$B$48+1&lt;=Premissas!$B$13),INDEX(Financiamento!$C$6:$C$485,A290-Premissas!$B$48+1),0)</x:f>
        <x:v>0</x:v>
      </x:c>
      <x:c r="G290" s="141" t="n">
        <x:f>IF(AND(A290&gt;=Premissas!$B$48,A290&lt;=Premissas!$B$27,A290-Premissas!$B$48+1&lt;=Premissas!$B$13),INDEX(Financiamento!$J$6:$J$485,A290-Premissas!$B$48+1),0)</x:f>
        <x:v>0</x:v>
      </x:c>
      <x:c r="H290" s="141" t="n">
        <x:f>IF(AND(A290&gt;=Premissas!$B$48,A290&lt;=Premissas!$B$27,A290-Premissas!$B$48+1&lt;=Premissas!$B$13),INDEX(Financiamento!$M$6:$M$485,A290-Premissas!$B$48+1),0)</x:f>
        <x:v>0</x:v>
      </x:c>
      <x:c r="I290" s="141" t="n">
        <x:f>IF(A290=Premissas!$B$27,MIN(D290,H290),0)</x:f>
        <x:v>0</x:v>
      </x:c>
      <x:c r="J290" s="141" t="n">
        <x:f>IF(A290=Premissas!$B$27,D290-H290,0)</x:f>
        <x:v>0</x:v>
      </x:c>
      <x:c r="K290" s="141" t="n">
        <x:f>E290+G290</x:f>
        <x:v>0</x:v>
      </x:c>
      <x:c r="L290" s="141" t="n">
        <x:f>SUM($K$6:K290)</x:f>
        <x:v>368370.4829168556</x:v>
      </x:c>
      <x:c r="M290" s="141" t="str">
        <x:f>IF(A290&lt;Premissas!$B$27,"Financiamento + consorcio",IF(A290=Premissas!$B$27,"Quitacao via carta",IF(A290&lt;=Premissas!$B$25,"Somente consorcio","Encerrado")))</x:f>
        <x:v>Encerrado</x:v>
      </x:c>
      <x:c r="N290" s="141" t="n">
        <x:f>IF(A290&gt;=Premissas!$B$25,0,(N291+E291)/(1+Premissas!$B$41))</x:f>
        <x:v>0</x:v>
      </x:c>
      <x:c r="O290" s="141" t="n">
        <x:f>IF(A290&lt;Premissas!$B$27,Premissas!$B$31/(1+Premissas!$B$41)^(Premissas!$B$27-A290),0)</x:f>
        <x:v>0</x:v>
      </x:c>
      <x:c r="P290" s="141" t="n">
        <x:f>MAX(0,H290-I290)+N290</x:f>
        <x:v>0</x:v>
      </x:c>
    </x:row>
    <x:row r="291">
      <x:c r="A291" s="142" t="n">
        <x:v>286</x:v>
      </x:c>
      <x:c r="B291" s="179" t="n">
        <x:f>EDATE(Premissas!$B$4,285)</x:f>
        <x:v>55213</x:v>
      </x:c>
      <x:c r="C291" s="180" t="n">
        <x:f>(1+Premissas!$B$26)^INT((A291-1)/12)</x:f>
        <x:v>3.819749661573058</x:v>
      </x:c>
      <x:c r="D291" s="141" t="n">
        <x:f>Premissas!$B$30*C291</x:f>
        <x:v>414939.3602862991</x:v>
      </x:c>
      <x:c r="E291" s="141" t="n">
        <x:f>IF(A291&lt;=Premissas!$B$25,Premissas!$B$32*C291,0)</x:f>
        <x:v>0</x:v>
      </x:c>
      <x:c r="F291" s="141" t="n">
        <x:f>IF(AND(A291&gt;=Premissas!$B$48,A291&lt;=Premissas!$B$27,A291-Premissas!$B$48+1&lt;=Premissas!$B$13),INDEX(Financiamento!$C$6:$C$485,A291-Premissas!$B$48+1),0)</x:f>
        <x:v>0</x:v>
      </x:c>
      <x:c r="G291" s="141" t="n">
        <x:f>IF(AND(A291&gt;=Premissas!$B$48,A291&lt;=Premissas!$B$27,A291-Premissas!$B$48+1&lt;=Premissas!$B$13),INDEX(Financiamento!$J$6:$J$485,A291-Premissas!$B$48+1),0)</x:f>
        <x:v>0</x:v>
      </x:c>
      <x:c r="H291" s="141" t="n">
        <x:f>IF(AND(A291&gt;=Premissas!$B$48,A291&lt;=Premissas!$B$27,A291-Premissas!$B$48+1&lt;=Premissas!$B$13),INDEX(Financiamento!$M$6:$M$485,A291-Premissas!$B$48+1),0)</x:f>
        <x:v>0</x:v>
      </x:c>
      <x:c r="I291" s="141" t="n">
        <x:f>IF(A291=Premissas!$B$27,MIN(D291,H291),0)</x:f>
        <x:v>0</x:v>
      </x:c>
      <x:c r="J291" s="141" t="n">
        <x:f>IF(A291=Premissas!$B$27,D291-H291,0)</x:f>
        <x:v>0</x:v>
      </x:c>
      <x:c r="K291" s="141" t="n">
        <x:f>E291+G291</x:f>
        <x:v>0</x:v>
      </x:c>
      <x:c r="L291" s="141" t="n">
        <x:f>SUM($K$6:K291)</x:f>
        <x:v>368370.4829168556</x:v>
      </x:c>
      <x:c r="M291" s="141" t="str">
        <x:f>IF(A291&lt;Premissas!$B$27,"Financiamento + consorcio",IF(A291=Premissas!$B$27,"Quitacao via carta",IF(A291&lt;=Premissas!$B$25,"Somente consorcio","Encerrado")))</x:f>
        <x:v>Encerrado</x:v>
      </x:c>
      <x:c r="N291" s="141" t="n">
        <x:f>IF(A291&gt;=Premissas!$B$25,0,(N292+E292)/(1+Premissas!$B$41))</x:f>
        <x:v>0</x:v>
      </x:c>
      <x:c r="O291" s="141" t="n">
        <x:f>IF(A291&lt;Premissas!$B$27,Premissas!$B$31/(1+Premissas!$B$41)^(Premissas!$B$27-A291),0)</x:f>
        <x:v>0</x:v>
      </x:c>
      <x:c r="P291" s="141" t="n">
        <x:f>MAX(0,H291-I291)+N291</x:f>
        <x:v>0</x:v>
      </x:c>
    </x:row>
    <x:row r="292">
      <x:c r="A292" s="142" t="n">
        <x:v>287</x:v>
      </x:c>
      <x:c r="B292" s="179" t="n">
        <x:f>EDATE(Premissas!$B$4,286)</x:f>
        <x:v>55244</x:v>
      </x:c>
      <x:c r="C292" s="180" t="n">
        <x:f>(1+Premissas!$B$26)^INT((A292-1)/12)</x:f>
        <x:v>3.819749661573058</x:v>
      </x:c>
      <x:c r="D292" s="141" t="n">
        <x:f>Premissas!$B$30*C292</x:f>
        <x:v>414939.3602862991</x:v>
      </x:c>
      <x:c r="E292" s="141" t="n">
        <x:f>IF(A292&lt;=Premissas!$B$25,Premissas!$B$32*C292,0)</x:f>
        <x:v>0</x:v>
      </x:c>
      <x:c r="F292" s="141" t="n">
        <x:f>IF(AND(A292&gt;=Premissas!$B$48,A292&lt;=Premissas!$B$27,A292-Premissas!$B$48+1&lt;=Premissas!$B$13),INDEX(Financiamento!$C$6:$C$485,A292-Premissas!$B$48+1),0)</x:f>
        <x:v>0</x:v>
      </x:c>
      <x:c r="G292" s="141" t="n">
        <x:f>IF(AND(A292&gt;=Premissas!$B$48,A292&lt;=Premissas!$B$27,A292-Premissas!$B$48+1&lt;=Premissas!$B$13),INDEX(Financiamento!$J$6:$J$485,A292-Premissas!$B$48+1),0)</x:f>
        <x:v>0</x:v>
      </x:c>
      <x:c r="H292" s="141" t="n">
        <x:f>IF(AND(A292&gt;=Premissas!$B$48,A292&lt;=Premissas!$B$27,A292-Premissas!$B$48+1&lt;=Premissas!$B$13),INDEX(Financiamento!$M$6:$M$485,A292-Premissas!$B$48+1),0)</x:f>
        <x:v>0</x:v>
      </x:c>
      <x:c r="I292" s="141" t="n">
        <x:f>IF(A292=Premissas!$B$27,MIN(D292,H292),0)</x:f>
        <x:v>0</x:v>
      </x:c>
      <x:c r="J292" s="141" t="n">
        <x:f>IF(A292=Premissas!$B$27,D292-H292,0)</x:f>
        <x:v>0</x:v>
      </x:c>
      <x:c r="K292" s="141" t="n">
        <x:f>E292+G292</x:f>
        <x:v>0</x:v>
      </x:c>
      <x:c r="L292" s="141" t="n">
        <x:f>SUM($K$6:K292)</x:f>
        <x:v>368370.4829168556</x:v>
      </x:c>
      <x:c r="M292" s="141" t="str">
        <x:f>IF(A292&lt;Premissas!$B$27,"Financiamento + consorcio",IF(A292=Premissas!$B$27,"Quitacao via carta",IF(A292&lt;=Premissas!$B$25,"Somente consorcio","Encerrado")))</x:f>
        <x:v>Encerrado</x:v>
      </x:c>
      <x:c r="N292" s="141" t="n">
        <x:f>IF(A292&gt;=Premissas!$B$25,0,(N293+E293)/(1+Premissas!$B$41))</x:f>
        <x:v>0</x:v>
      </x:c>
      <x:c r="O292" s="141" t="n">
        <x:f>IF(A292&lt;Premissas!$B$27,Premissas!$B$31/(1+Premissas!$B$41)^(Premissas!$B$27-A292),0)</x:f>
        <x:v>0</x:v>
      </x:c>
      <x:c r="P292" s="141" t="n">
        <x:f>MAX(0,H292-I292)+N292</x:f>
        <x:v>0</x:v>
      </x:c>
    </x:row>
    <x:row r="293">
      <x:c r="A293" s="142" t="n">
        <x:v>288</x:v>
      </x:c>
      <x:c r="B293" s="179" t="n">
        <x:f>EDATE(Premissas!$B$4,287)</x:f>
        <x:v>55274</x:v>
      </x:c>
      <x:c r="C293" s="180" t="n">
        <x:f>(1+Premissas!$B$26)^INT((A293-1)/12)</x:f>
        <x:v>3.819749661573058</x:v>
      </x:c>
      <x:c r="D293" s="141" t="n">
        <x:f>Premissas!$B$30*C293</x:f>
        <x:v>414939.3602862991</x:v>
      </x:c>
      <x:c r="E293" s="141" t="n">
        <x:f>IF(A293&lt;=Premissas!$B$25,Premissas!$B$32*C293,0)</x:f>
        <x:v>0</x:v>
      </x:c>
      <x:c r="F293" s="141" t="n">
        <x:f>IF(AND(A293&gt;=Premissas!$B$48,A293&lt;=Premissas!$B$27,A293-Premissas!$B$48+1&lt;=Premissas!$B$13),INDEX(Financiamento!$C$6:$C$485,A293-Premissas!$B$48+1),0)</x:f>
        <x:v>0</x:v>
      </x:c>
      <x:c r="G293" s="141" t="n">
        <x:f>IF(AND(A293&gt;=Premissas!$B$48,A293&lt;=Premissas!$B$27,A293-Premissas!$B$48+1&lt;=Premissas!$B$13),INDEX(Financiamento!$J$6:$J$485,A293-Premissas!$B$48+1),0)</x:f>
        <x:v>0</x:v>
      </x:c>
      <x:c r="H293" s="141" t="n">
        <x:f>IF(AND(A293&gt;=Premissas!$B$48,A293&lt;=Premissas!$B$27,A293-Premissas!$B$48+1&lt;=Premissas!$B$13),INDEX(Financiamento!$M$6:$M$485,A293-Premissas!$B$48+1),0)</x:f>
        <x:v>0</x:v>
      </x:c>
      <x:c r="I293" s="141" t="n">
        <x:f>IF(A293=Premissas!$B$27,MIN(D293,H293),0)</x:f>
        <x:v>0</x:v>
      </x:c>
      <x:c r="J293" s="141" t="n">
        <x:f>IF(A293=Premissas!$B$27,D293-H293,0)</x:f>
        <x:v>0</x:v>
      </x:c>
      <x:c r="K293" s="141" t="n">
        <x:f>E293+G293</x:f>
        <x:v>0</x:v>
      </x:c>
      <x:c r="L293" s="141" t="n">
        <x:f>SUM($K$6:K293)</x:f>
        <x:v>368370.4829168556</x:v>
      </x:c>
      <x:c r="M293" s="141" t="str">
        <x:f>IF(A293&lt;Premissas!$B$27,"Financiamento + consorcio",IF(A293=Premissas!$B$27,"Quitacao via carta",IF(A293&lt;=Premissas!$B$25,"Somente consorcio","Encerrado")))</x:f>
        <x:v>Encerrado</x:v>
      </x:c>
      <x:c r="N293" s="141" t="n">
        <x:f>IF(A293&gt;=Premissas!$B$25,0,(N294+E294)/(1+Premissas!$B$41))</x:f>
        <x:v>0</x:v>
      </x:c>
      <x:c r="O293" s="141" t="n">
        <x:f>IF(A293&lt;Premissas!$B$27,Premissas!$B$31/(1+Premissas!$B$41)^(Premissas!$B$27-A293),0)</x:f>
        <x:v>0</x:v>
      </x:c>
      <x:c r="P293" s="141" t="n">
        <x:f>MAX(0,H293-I293)+N293</x:f>
        <x:v>0</x:v>
      </x:c>
    </x:row>
    <x:row r="294">
      <x:c r="A294" s="142" t="n">
        <x:v>289</x:v>
      </x:c>
      <x:c r="B294" s="179" t="n">
        <x:f>EDATE(Premissas!$B$4,288)</x:f>
        <x:v>55305</x:v>
      </x:c>
      <x:c r="C294" s="180" t="n">
        <x:f>(1+Premissas!$B$26)^INT((A294-1)/12)</x:f>
        <x:v>4.048934641267442</x:v>
      </x:c>
      <x:c r="D294" s="141" t="n">
        <x:f>Premissas!$B$30*C294</x:f>
        <x:v>439835.7219034771</x:v>
      </x:c>
      <x:c r="E294" s="141" t="n">
        <x:f>IF(A294&lt;=Premissas!$B$25,Premissas!$B$32*C294,0)</x:f>
        <x:v>0</x:v>
      </x:c>
      <x:c r="F294" s="141" t="n">
        <x:f>IF(AND(A294&gt;=Premissas!$B$48,A294&lt;=Premissas!$B$27,A294-Premissas!$B$48+1&lt;=Premissas!$B$13),INDEX(Financiamento!$C$6:$C$485,A294-Premissas!$B$48+1),0)</x:f>
        <x:v>0</x:v>
      </x:c>
      <x:c r="G294" s="141" t="n">
        <x:f>IF(AND(A294&gt;=Premissas!$B$48,A294&lt;=Premissas!$B$27,A294-Premissas!$B$48+1&lt;=Premissas!$B$13),INDEX(Financiamento!$J$6:$J$485,A294-Premissas!$B$48+1),0)</x:f>
        <x:v>0</x:v>
      </x:c>
      <x:c r="H294" s="141" t="n">
        <x:f>IF(AND(A294&gt;=Premissas!$B$48,A294&lt;=Premissas!$B$27,A294-Premissas!$B$48+1&lt;=Premissas!$B$13),INDEX(Financiamento!$M$6:$M$485,A294-Premissas!$B$48+1),0)</x:f>
        <x:v>0</x:v>
      </x:c>
      <x:c r="I294" s="141" t="n">
        <x:f>IF(A294=Premissas!$B$27,MIN(D294,H294),0)</x:f>
        <x:v>0</x:v>
      </x:c>
      <x:c r="J294" s="141" t="n">
        <x:f>IF(A294=Premissas!$B$27,D294-H294,0)</x:f>
        <x:v>0</x:v>
      </x:c>
      <x:c r="K294" s="141" t="n">
        <x:f>E294+G294</x:f>
        <x:v>0</x:v>
      </x:c>
      <x:c r="L294" s="141" t="n">
        <x:f>SUM($K$6:K294)</x:f>
        <x:v>368370.4829168556</x:v>
      </x:c>
      <x:c r="M294" s="141" t="str">
        <x:f>IF(A294&lt;Premissas!$B$27,"Financiamento + consorcio",IF(A294=Premissas!$B$27,"Quitacao via carta",IF(A294&lt;=Premissas!$B$25,"Somente consorcio","Encerrado")))</x:f>
        <x:v>Encerrado</x:v>
      </x:c>
      <x:c r="N294" s="141" t="n">
        <x:f>IF(A294&gt;=Premissas!$B$25,0,(N295+E295)/(1+Premissas!$B$41))</x:f>
        <x:v>0</x:v>
      </x:c>
      <x:c r="O294" s="141" t="n">
        <x:f>IF(A294&lt;Premissas!$B$27,Premissas!$B$31/(1+Premissas!$B$41)^(Premissas!$B$27-A294),0)</x:f>
        <x:v>0</x:v>
      </x:c>
      <x:c r="P294" s="141" t="n">
        <x:f>MAX(0,H294-I294)+N294</x:f>
        <x:v>0</x:v>
      </x:c>
    </x:row>
    <x:row r="295">
      <x:c r="A295" s="142" t="n">
        <x:v>290</x:v>
      </x:c>
      <x:c r="B295" s="179" t="n">
        <x:f>EDATE(Premissas!$B$4,289)</x:f>
        <x:v>55335</x:v>
      </x:c>
      <x:c r="C295" s="180" t="n">
        <x:f>(1+Premissas!$B$26)^INT((A295-1)/12)</x:f>
        <x:v>4.048934641267442</x:v>
      </x:c>
      <x:c r="D295" s="141" t="n">
        <x:f>Premissas!$B$30*C295</x:f>
        <x:v>439835.7219034771</x:v>
      </x:c>
      <x:c r="E295" s="141" t="n">
        <x:f>IF(A295&lt;=Premissas!$B$25,Premissas!$B$32*C295,0)</x:f>
        <x:v>0</x:v>
      </x:c>
      <x:c r="F295" s="141" t="n">
        <x:f>IF(AND(A295&gt;=Premissas!$B$48,A295&lt;=Premissas!$B$27,A295-Premissas!$B$48+1&lt;=Premissas!$B$13),INDEX(Financiamento!$C$6:$C$485,A295-Premissas!$B$48+1),0)</x:f>
        <x:v>0</x:v>
      </x:c>
      <x:c r="G295" s="141" t="n">
        <x:f>IF(AND(A295&gt;=Premissas!$B$48,A295&lt;=Premissas!$B$27,A295-Premissas!$B$48+1&lt;=Premissas!$B$13),INDEX(Financiamento!$J$6:$J$485,A295-Premissas!$B$48+1),0)</x:f>
        <x:v>0</x:v>
      </x:c>
      <x:c r="H295" s="141" t="n">
        <x:f>IF(AND(A295&gt;=Premissas!$B$48,A295&lt;=Premissas!$B$27,A295-Premissas!$B$48+1&lt;=Premissas!$B$13),INDEX(Financiamento!$M$6:$M$485,A295-Premissas!$B$48+1),0)</x:f>
        <x:v>0</x:v>
      </x:c>
      <x:c r="I295" s="141" t="n">
        <x:f>IF(A295=Premissas!$B$27,MIN(D295,H295),0)</x:f>
        <x:v>0</x:v>
      </x:c>
      <x:c r="J295" s="141" t="n">
        <x:f>IF(A295=Premissas!$B$27,D295-H295,0)</x:f>
        <x:v>0</x:v>
      </x:c>
      <x:c r="K295" s="141" t="n">
        <x:f>E295+G295</x:f>
        <x:v>0</x:v>
      </x:c>
      <x:c r="L295" s="141" t="n">
        <x:f>SUM($K$6:K295)</x:f>
        <x:v>368370.4829168556</x:v>
      </x:c>
      <x:c r="M295" s="141" t="str">
        <x:f>IF(A295&lt;Premissas!$B$27,"Financiamento + consorcio",IF(A295=Premissas!$B$27,"Quitacao via carta",IF(A295&lt;=Premissas!$B$25,"Somente consorcio","Encerrado")))</x:f>
        <x:v>Encerrado</x:v>
      </x:c>
      <x:c r="N295" s="141" t="n">
        <x:f>IF(A295&gt;=Premissas!$B$25,0,(N296+E296)/(1+Premissas!$B$41))</x:f>
        <x:v>0</x:v>
      </x:c>
      <x:c r="O295" s="141" t="n">
        <x:f>IF(A295&lt;Premissas!$B$27,Premissas!$B$31/(1+Premissas!$B$41)^(Premissas!$B$27-A295),0)</x:f>
        <x:v>0</x:v>
      </x:c>
      <x:c r="P295" s="141" t="n">
        <x:f>MAX(0,H295-I295)+N295</x:f>
        <x:v>0</x:v>
      </x:c>
    </x:row>
    <x:row r="296">
      <x:c r="A296" s="142" t="n">
        <x:v>291</x:v>
      </x:c>
      <x:c r="B296" s="179" t="n">
        <x:f>EDATE(Premissas!$B$4,290)</x:f>
        <x:v>55366</x:v>
      </x:c>
      <x:c r="C296" s="180" t="n">
        <x:f>(1+Premissas!$B$26)^INT((A296-1)/12)</x:f>
        <x:v>4.048934641267442</x:v>
      </x:c>
      <x:c r="D296" s="141" t="n">
        <x:f>Premissas!$B$30*C296</x:f>
        <x:v>439835.7219034771</x:v>
      </x:c>
      <x:c r="E296" s="141" t="n">
        <x:f>IF(A296&lt;=Premissas!$B$25,Premissas!$B$32*C296,0)</x:f>
        <x:v>0</x:v>
      </x:c>
      <x:c r="F296" s="141" t="n">
        <x:f>IF(AND(A296&gt;=Premissas!$B$48,A296&lt;=Premissas!$B$27,A296-Premissas!$B$48+1&lt;=Premissas!$B$13),INDEX(Financiamento!$C$6:$C$485,A296-Premissas!$B$48+1),0)</x:f>
        <x:v>0</x:v>
      </x:c>
      <x:c r="G296" s="141" t="n">
        <x:f>IF(AND(A296&gt;=Premissas!$B$48,A296&lt;=Premissas!$B$27,A296-Premissas!$B$48+1&lt;=Premissas!$B$13),INDEX(Financiamento!$J$6:$J$485,A296-Premissas!$B$48+1),0)</x:f>
        <x:v>0</x:v>
      </x:c>
      <x:c r="H296" s="141" t="n">
        <x:f>IF(AND(A296&gt;=Premissas!$B$48,A296&lt;=Premissas!$B$27,A296-Premissas!$B$48+1&lt;=Premissas!$B$13),INDEX(Financiamento!$M$6:$M$485,A296-Premissas!$B$48+1),0)</x:f>
        <x:v>0</x:v>
      </x:c>
      <x:c r="I296" s="141" t="n">
        <x:f>IF(A296=Premissas!$B$27,MIN(D296,H296),0)</x:f>
        <x:v>0</x:v>
      </x:c>
      <x:c r="J296" s="141" t="n">
        <x:f>IF(A296=Premissas!$B$27,D296-H296,0)</x:f>
        <x:v>0</x:v>
      </x:c>
      <x:c r="K296" s="141" t="n">
        <x:f>E296+G296</x:f>
        <x:v>0</x:v>
      </x:c>
      <x:c r="L296" s="141" t="n">
        <x:f>SUM($K$6:K296)</x:f>
        <x:v>368370.4829168556</x:v>
      </x:c>
      <x:c r="M296" s="141" t="str">
        <x:f>IF(A296&lt;Premissas!$B$27,"Financiamento + consorcio",IF(A296=Premissas!$B$27,"Quitacao via carta",IF(A296&lt;=Premissas!$B$25,"Somente consorcio","Encerrado")))</x:f>
        <x:v>Encerrado</x:v>
      </x:c>
      <x:c r="N296" s="141" t="n">
        <x:f>IF(A296&gt;=Premissas!$B$25,0,(N297+E297)/(1+Premissas!$B$41))</x:f>
        <x:v>0</x:v>
      </x:c>
      <x:c r="O296" s="141" t="n">
        <x:f>IF(A296&lt;Premissas!$B$27,Premissas!$B$31/(1+Premissas!$B$41)^(Premissas!$B$27-A296),0)</x:f>
        <x:v>0</x:v>
      </x:c>
      <x:c r="P296" s="141" t="n">
        <x:f>MAX(0,H296-I296)+N296</x:f>
        <x:v>0</x:v>
      </x:c>
    </x:row>
    <x:row r="297">
      <x:c r="A297" s="142" t="n">
        <x:v>292</x:v>
      </x:c>
      <x:c r="B297" s="179" t="n">
        <x:f>EDATE(Premissas!$B$4,291)</x:f>
        <x:v>55397</x:v>
      </x:c>
      <x:c r="C297" s="180" t="n">
        <x:f>(1+Premissas!$B$26)^INT((A297-1)/12)</x:f>
        <x:v>4.048934641267442</x:v>
      </x:c>
      <x:c r="D297" s="141" t="n">
        <x:f>Premissas!$B$30*C297</x:f>
        <x:v>439835.7219034771</x:v>
      </x:c>
      <x:c r="E297" s="141" t="n">
        <x:f>IF(A297&lt;=Premissas!$B$25,Premissas!$B$32*C297,0)</x:f>
        <x:v>0</x:v>
      </x:c>
      <x:c r="F297" s="141" t="n">
        <x:f>IF(AND(A297&gt;=Premissas!$B$48,A297&lt;=Premissas!$B$27,A297-Premissas!$B$48+1&lt;=Premissas!$B$13),INDEX(Financiamento!$C$6:$C$485,A297-Premissas!$B$48+1),0)</x:f>
        <x:v>0</x:v>
      </x:c>
      <x:c r="G297" s="141" t="n">
        <x:f>IF(AND(A297&gt;=Premissas!$B$48,A297&lt;=Premissas!$B$27,A297-Premissas!$B$48+1&lt;=Premissas!$B$13),INDEX(Financiamento!$J$6:$J$485,A297-Premissas!$B$48+1),0)</x:f>
        <x:v>0</x:v>
      </x:c>
      <x:c r="H297" s="141" t="n">
        <x:f>IF(AND(A297&gt;=Premissas!$B$48,A297&lt;=Premissas!$B$27,A297-Premissas!$B$48+1&lt;=Premissas!$B$13),INDEX(Financiamento!$M$6:$M$485,A297-Premissas!$B$48+1),0)</x:f>
        <x:v>0</x:v>
      </x:c>
      <x:c r="I297" s="141" t="n">
        <x:f>IF(A297=Premissas!$B$27,MIN(D297,H297),0)</x:f>
        <x:v>0</x:v>
      </x:c>
      <x:c r="J297" s="141" t="n">
        <x:f>IF(A297=Premissas!$B$27,D297-H297,0)</x:f>
        <x:v>0</x:v>
      </x:c>
      <x:c r="K297" s="141" t="n">
        <x:f>E297+G297</x:f>
        <x:v>0</x:v>
      </x:c>
      <x:c r="L297" s="141" t="n">
        <x:f>SUM($K$6:K297)</x:f>
        <x:v>368370.4829168556</x:v>
      </x:c>
      <x:c r="M297" s="141" t="str">
        <x:f>IF(A297&lt;Premissas!$B$27,"Financiamento + consorcio",IF(A297=Premissas!$B$27,"Quitacao via carta",IF(A297&lt;=Premissas!$B$25,"Somente consorcio","Encerrado")))</x:f>
        <x:v>Encerrado</x:v>
      </x:c>
      <x:c r="N297" s="141" t="n">
        <x:f>IF(A297&gt;=Premissas!$B$25,0,(N298+E298)/(1+Premissas!$B$41))</x:f>
        <x:v>0</x:v>
      </x:c>
      <x:c r="O297" s="141" t="n">
        <x:f>IF(A297&lt;Premissas!$B$27,Premissas!$B$31/(1+Premissas!$B$41)^(Premissas!$B$27-A297),0)</x:f>
        <x:v>0</x:v>
      </x:c>
      <x:c r="P297" s="141" t="n">
        <x:f>MAX(0,H297-I297)+N297</x:f>
        <x:v>0</x:v>
      </x:c>
    </x:row>
    <x:row r="298">
      <x:c r="A298" s="142" t="n">
        <x:v>293</x:v>
      </x:c>
      <x:c r="B298" s="179" t="n">
        <x:f>EDATE(Premissas!$B$4,292)</x:f>
        <x:v>55427</x:v>
      </x:c>
      <x:c r="C298" s="180" t="n">
        <x:f>(1+Premissas!$B$26)^INT((A298-1)/12)</x:f>
        <x:v>4.048934641267442</x:v>
      </x:c>
      <x:c r="D298" s="141" t="n">
        <x:f>Premissas!$B$30*C298</x:f>
        <x:v>439835.7219034771</x:v>
      </x:c>
      <x:c r="E298" s="141" t="n">
        <x:f>IF(A298&lt;=Premissas!$B$25,Premissas!$B$32*C298,0)</x:f>
        <x:v>0</x:v>
      </x:c>
      <x:c r="F298" s="141" t="n">
        <x:f>IF(AND(A298&gt;=Premissas!$B$48,A298&lt;=Premissas!$B$27,A298-Premissas!$B$48+1&lt;=Premissas!$B$13),INDEX(Financiamento!$C$6:$C$485,A298-Premissas!$B$48+1),0)</x:f>
        <x:v>0</x:v>
      </x:c>
      <x:c r="G298" s="141" t="n">
        <x:f>IF(AND(A298&gt;=Premissas!$B$48,A298&lt;=Premissas!$B$27,A298-Premissas!$B$48+1&lt;=Premissas!$B$13),INDEX(Financiamento!$J$6:$J$485,A298-Premissas!$B$48+1),0)</x:f>
        <x:v>0</x:v>
      </x:c>
      <x:c r="H298" s="141" t="n">
        <x:f>IF(AND(A298&gt;=Premissas!$B$48,A298&lt;=Premissas!$B$27,A298-Premissas!$B$48+1&lt;=Premissas!$B$13),INDEX(Financiamento!$M$6:$M$485,A298-Premissas!$B$48+1),0)</x:f>
        <x:v>0</x:v>
      </x:c>
      <x:c r="I298" s="141" t="n">
        <x:f>IF(A298=Premissas!$B$27,MIN(D298,H298),0)</x:f>
        <x:v>0</x:v>
      </x:c>
      <x:c r="J298" s="141" t="n">
        <x:f>IF(A298=Premissas!$B$27,D298-H298,0)</x:f>
        <x:v>0</x:v>
      </x:c>
      <x:c r="K298" s="141" t="n">
        <x:f>E298+G298</x:f>
        <x:v>0</x:v>
      </x:c>
      <x:c r="L298" s="141" t="n">
        <x:f>SUM($K$6:K298)</x:f>
        <x:v>368370.4829168556</x:v>
      </x:c>
      <x:c r="M298" s="141" t="str">
        <x:f>IF(A298&lt;Premissas!$B$27,"Financiamento + consorcio",IF(A298=Premissas!$B$27,"Quitacao via carta",IF(A298&lt;=Premissas!$B$25,"Somente consorcio","Encerrado")))</x:f>
        <x:v>Encerrado</x:v>
      </x:c>
      <x:c r="N298" s="141" t="n">
        <x:f>IF(A298&gt;=Premissas!$B$25,0,(N299+E299)/(1+Premissas!$B$41))</x:f>
        <x:v>0</x:v>
      </x:c>
      <x:c r="O298" s="141" t="n">
        <x:f>IF(A298&lt;Premissas!$B$27,Premissas!$B$31/(1+Premissas!$B$41)^(Premissas!$B$27-A298),0)</x:f>
        <x:v>0</x:v>
      </x:c>
      <x:c r="P298" s="141" t="n">
        <x:f>MAX(0,H298-I298)+N298</x:f>
        <x:v>0</x:v>
      </x:c>
    </x:row>
    <x:row r="299">
      <x:c r="A299" s="142" t="n">
        <x:v>294</x:v>
      </x:c>
      <x:c r="B299" s="179" t="n">
        <x:f>EDATE(Premissas!$B$4,293)</x:f>
        <x:v>55458</x:v>
      </x:c>
      <x:c r="C299" s="180" t="n">
        <x:f>(1+Premissas!$B$26)^INT((A299-1)/12)</x:f>
        <x:v>4.048934641267442</x:v>
      </x:c>
      <x:c r="D299" s="141" t="n">
        <x:f>Premissas!$B$30*C299</x:f>
        <x:v>439835.7219034771</x:v>
      </x:c>
      <x:c r="E299" s="141" t="n">
        <x:f>IF(A299&lt;=Premissas!$B$25,Premissas!$B$32*C299,0)</x:f>
        <x:v>0</x:v>
      </x:c>
      <x:c r="F299" s="141" t="n">
        <x:f>IF(AND(A299&gt;=Premissas!$B$48,A299&lt;=Premissas!$B$27,A299-Premissas!$B$48+1&lt;=Premissas!$B$13),INDEX(Financiamento!$C$6:$C$485,A299-Premissas!$B$48+1),0)</x:f>
        <x:v>0</x:v>
      </x:c>
      <x:c r="G299" s="141" t="n">
        <x:f>IF(AND(A299&gt;=Premissas!$B$48,A299&lt;=Premissas!$B$27,A299-Premissas!$B$48+1&lt;=Premissas!$B$13),INDEX(Financiamento!$J$6:$J$485,A299-Premissas!$B$48+1),0)</x:f>
        <x:v>0</x:v>
      </x:c>
      <x:c r="H299" s="141" t="n">
        <x:f>IF(AND(A299&gt;=Premissas!$B$48,A299&lt;=Premissas!$B$27,A299-Premissas!$B$48+1&lt;=Premissas!$B$13),INDEX(Financiamento!$M$6:$M$485,A299-Premissas!$B$48+1),0)</x:f>
        <x:v>0</x:v>
      </x:c>
      <x:c r="I299" s="141" t="n">
        <x:f>IF(A299=Premissas!$B$27,MIN(D299,H299),0)</x:f>
        <x:v>0</x:v>
      </x:c>
      <x:c r="J299" s="141" t="n">
        <x:f>IF(A299=Premissas!$B$27,D299-H299,0)</x:f>
        <x:v>0</x:v>
      </x:c>
      <x:c r="K299" s="141" t="n">
        <x:f>E299+G299</x:f>
        <x:v>0</x:v>
      </x:c>
      <x:c r="L299" s="141" t="n">
        <x:f>SUM($K$6:K299)</x:f>
        <x:v>368370.4829168556</x:v>
      </x:c>
      <x:c r="M299" s="141" t="str">
        <x:f>IF(A299&lt;Premissas!$B$27,"Financiamento + consorcio",IF(A299=Premissas!$B$27,"Quitacao via carta",IF(A299&lt;=Premissas!$B$25,"Somente consorcio","Encerrado")))</x:f>
        <x:v>Encerrado</x:v>
      </x:c>
      <x:c r="N299" s="141" t="n">
        <x:f>IF(A299&gt;=Premissas!$B$25,0,(N300+E300)/(1+Premissas!$B$41))</x:f>
        <x:v>0</x:v>
      </x:c>
      <x:c r="O299" s="141" t="n">
        <x:f>IF(A299&lt;Premissas!$B$27,Premissas!$B$31/(1+Premissas!$B$41)^(Premissas!$B$27-A299),0)</x:f>
        <x:v>0</x:v>
      </x:c>
      <x:c r="P299" s="141" t="n">
        <x:f>MAX(0,H299-I299)+N299</x:f>
        <x:v>0</x:v>
      </x:c>
    </x:row>
    <x:row r="300">
      <x:c r="A300" s="142" t="n">
        <x:v>295</x:v>
      </x:c>
      <x:c r="B300" s="179" t="n">
        <x:f>EDATE(Premissas!$B$4,294)</x:f>
        <x:v>55488</x:v>
      </x:c>
      <x:c r="C300" s="180" t="n">
        <x:f>(1+Premissas!$B$26)^INT((A300-1)/12)</x:f>
        <x:v>4.048934641267442</x:v>
      </x:c>
      <x:c r="D300" s="141" t="n">
        <x:f>Premissas!$B$30*C300</x:f>
        <x:v>439835.7219034771</x:v>
      </x:c>
      <x:c r="E300" s="141" t="n">
        <x:f>IF(A300&lt;=Premissas!$B$25,Premissas!$B$32*C300,0)</x:f>
        <x:v>0</x:v>
      </x:c>
      <x:c r="F300" s="141" t="n">
        <x:f>IF(AND(A300&gt;=Premissas!$B$48,A300&lt;=Premissas!$B$27,A300-Premissas!$B$48+1&lt;=Premissas!$B$13),INDEX(Financiamento!$C$6:$C$485,A300-Premissas!$B$48+1),0)</x:f>
        <x:v>0</x:v>
      </x:c>
      <x:c r="G300" s="141" t="n">
        <x:f>IF(AND(A300&gt;=Premissas!$B$48,A300&lt;=Premissas!$B$27,A300-Premissas!$B$48+1&lt;=Premissas!$B$13),INDEX(Financiamento!$J$6:$J$485,A300-Premissas!$B$48+1),0)</x:f>
        <x:v>0</x:v>
      </x:c>
      <x:c r="H300" s="141" t="n">
        <x:f>IF(AND(A300&gt;=Premissas!$B$48,A300&lt;=Premissas!$B$27,A300-Premissas!$B$48+1&lt;=Premissas!$B$13),INDEX(Financiamento!$M$6:$M$485,A300-Premissas!$B$48+1),0)</x:f>
        <x:v>0</x:v>
      </x:c>
      <x:c r="I300" s="141" t="n">
        <x:f>IF(A300=Premissas!$B$27,MIN(D300,H300),0)</x:f>
        <x:v>0</x:v>
      </x:c>
      <x:c r="J300" s="141" t="n">
        <x:f>IF(A300=Premissas!$B$27,D300-H300,0)</x:f>
        <x:v>0</x:v>
      </x:c>
      <x:c r="K300" s="141" t="n">
        <x:f>E300+G300</x:f>
        <x:v>0</x:v>
      </x:c>
      <x:c r="L300" s="141" t="n">
        <x:f>SUM($K$6:K300)</x:f>
        <x:v>368370.4829168556</x:v>
      </x:c>
      <x:c r="M300" s="141" t="str">
        <x:f>IF(A300&lt;Premissas!$B$27,"Financiamento + consorcio",IF(A300=Premissas!$B$27,"Quitacao via carta",IF(A300&lt;=Premissas!$B$25,"Somente consorcio","Encerrado")))</x:f>
        <x:v>Encerrado</x:v>
      </x:c>
      <x:c r="N300" s="141" t="n">
        <x:f>IF(A300&gt;=Premissas!$B$25,0,(N301+E301)/(1+Premissas!$B$41))</x:f>
        <x:v>0</x:v>
      </x:c>
      <x:c r="O300" s="141" t="n">
        <x:f>IF(A300&lt;Premissas!$B$27,Premissas!$B$31/(1+Premissas!$B$41)^(Premissas!$B$27-A300),0)</x:f>
        <x:v>0</x:v>
      </x:c>
      <x:c r="P300" s="141" t="n">
        <x:f>MAX(0,H300-I300)+N300</x:f>
        <x:v>0</x:v>
      </x:c>
    </x:row>
    <x:row r="301">
      <x:c r="A301" s="142" t="n">
        <x:v>296</x:v>
      </x:c>
      <x:c r="B301" s="179" t="n">
        <x:f>EDATE(Premissas!$B$4,295)</x:f>
        <x:v>55519</x:v>
      </x:c>
      <x:c r="C301" s="180" t="n">
        <x:f>(1+Premissas!$B$26)^INT((A301-1)/12)</x:f>
        <x:v>4.048934641267442</x:v>
      </x:c>
      <x:c r="D301" s="141" t="n">
        <x:f>Premissas!$B$30*C301</x:f>
        <x:v>439835.7219034771</x:v>
      </x:c>
      <x:c r="E301" s="141" t="n">
        <x:f>IF(A301&lt;=Premissas!$B$25,Premissas!$B$32*C301,0)</x:f>
        <x:v>0</x:v>
      </x:c>
      <x:c r="F301" s="141" t="n">
        <x:f>IF(AND(A301&gt;=Premissas!$B$48,A301&lt;=Premissas!$B$27,A301-Premissas!$B$48+1&lt;=Premissas!$B$13),INDEX(Financiamento!$C$6:$C$485,A301-Premissas!$B$48+1),0)</x:f>
        <x:v>0</x:v>
      </x:c>
      <x:c r="G301" s="141" t="n">
        <x:f>IF(AND(A301&gt;=Premissas!$B$48,A301&lt;=Premissas!$B$27,A301-Premissas!$B$48+1&lt;=Premissas!$B$13),INDEX(Financiamento!$J$6:$J$485,A301-Premissas!$B$48+1),0)</x:f>
        <x:v>0</x:v>
      </x:c>
      <x:c r="H301" s="141" t="n">
        <x:f>IF(AND(A301&gt;=Premissas!$B$48,A301&lt;=Premissas!$B$27,A301-Premissas!$B$48+1&lt;=Premissas!$B$13),INDEX(Financiamento!$M$6:$M$485,A301-Premissas!$B$48+1),0)</x:f>
        <x:v>0</x:v>
      </x:c>
      <x:c r="I301" s="141" t="n">
        <x:f>IF(A301=Premissas!$B$27,MIN(D301,H301),0)</x:f>
        <x:v>0</x:v>
      </x:c>
      <x:c r="J301" s="141" t="n">
        <x:f>IF(A301=Premissas!$B$27,D301-H301,0)</x:f>
        <x:v>0</x:v>
      </x:c>
      <x:c r="K301" s="141" t="n">
        <x:f>E301+G301</x:f>
        <x:v>0</x:v>
      </x:c>
      <x:c r="L301" s="141" t="n">
        <x:f>SUM($K$6:K301)</x:f>
        <x:v>368370.4829168556</x:v>
      </x:c>
      <x:c r="M301" s="141" t="str">
        <x:f>IF(A301&lt;Premissas!$B$27,"Financiamento + consorcio",IF(A301=Premissas!$B$27,"Quitacao via carta",IF(A301&lt;=Premissas!$B$25,"Somente consorcio","Encerrado")))</x:f>
        <x:v>Encerrado</x:v>
      </x:c>
      <x:c r="N301" s="141" t="n">
        <x:f>IF(A301&gt;=Premissas!$B$25,0,(N302+E302)/(1+Premissas!$B$41))</x:f>
        <x:v>0</x:v>
      </x:c>
      <x:c r="O301" s="141" t="n">
        <x:f>IF(A301&lt;Premissas!$B$27,Premissas!$B$31/(1+Premissas!$B$41)^(Premissas!$B$27-A301),0)</x:f>
        <x:v>0</x:v>
      </x:c>
      <x:c r="P301" s="141" t="n">
        <x:f>MAX(0,H301-I301)+N301</x:f>
        <x:v>0</x:v>
      </x:c>
    </x:row>
    <x:row r="302">
      <x:c r="A302" s="142" t="n">
        <x:v>297</x:v>
      </x:c>
      <x:c r="B302" s="179" t="n">
        <x:f>EDATE(Premissas!$B$4,296)</x:f>
        <x:v>55550</x:v>
      </x:c>
      <x:c r="C302" s="180" t="n">
        <x:f>(1+Premissas!$B$26)^INT((A302-1)/12)</x:f>
        <x:v>4.048934641267442</x:v>
      </x:c>
      <x:c r="D302" s="141" t="n">
        <x:f>Premissas!$B$30*C302</x:f>
        <x:v>439835.7219034771</x:v>
      </x:c>
      <x:c r="E302" s="141" t="n">
        <x:f>IF(A302&lt;=Premissas!$B$25,Premissas!$B$32*C302,0)</x:f>
        <x:v>0</x:v>
      </x:c>
      <x:c r="F302" s="141" t="n">
        <x:f>IF(AND(A302&gt;=Premissas!$B$48,A302&lt;=Premissas!$B$27,A302-Premissas!$B$48+1&lt;=Premissas!$B$13),INDEX(Financiamento!$C$6:$C$485,A302-Premissas!$B$48+1),0)</x:f>
        <x:v>0</x:v>
      </x:c>
      <x:c r="G302" s="141" t="n">
        <x:f>IF(AND(A302&gt;=Premissas!$B$48,A302&lt;=Premissas!$B$27,A302-Premissas!$B$48+1&lt;=Premissas!$B$13),INDEX(Financiamento!$J$6:$J$485,A302-Premissas!$B$48+1),0)</x:f>
        <x:v>0</x:v>
      </x:c>
      <x:c r="H302" s="141" t="n">
        <x:f>IF(AND(A302&gt;=Premissas!$B$48,A302&lt;=Premissas!$B$27,A302-Premissas!$B$48+1&lt;=Premissas!$B$13),INDEX(Financiamento!$M$6:$M$485,A302-Premissas!$B$48+1),0)</x:f>
        <x:v>0</x:v>
      </x:c>
      <x:c r="I302" s="141" t="n">
        <x:f>IF(A302=Premissas!$B$27,MIN(D302,H302),0)</x:f>
        <x:v>0</x:v>
      </x:c>
      <x:c r="J302" s="141" t="n">
        <x:f>IF(A302=Premissas!$B$27,D302-H302,0)</x:f>
        <x:v>0</x:v>
      </x:c>
      <x:c r="K302" s="141" t="n">
        <x:f>E302+G302</x:f>
        <x:v>0</x:v>
      </x:c>
      <x:c r="L302" s="141" t="n">
        <x:f>SUM($K$6:K302)</x:f>
        <x:v>368370.4829168556</x:v>
      </x:c>
      <x:c r="M302" s="141" t="str">
        <x:f>IF(A302&lt;Premissas!$B$27,"Financiamento + consorcio",IF(A302=Premissas!$B$27,"Quitacao via carta",IF(A302&lt;=Premissas!$B$25,"Somente consorcio","Encerrado")))</x:f>
        <x:v>Encerrado</x:v>
      </x:c>
      <x:c r="N302" s="141" t="n">
        <x:f>IF(A302&gt;=Premissas!$B$25,0,(N303+E303)/(1+Premissas!$B$41))</x:f>
        <x:v>0</x:v>
      </x:c>
      <x:c r="O302" s="141" t="n">
        <x:f>IF(A302&lt;Premissas!$B$27,Premissas!$B$31/(1+Premissas!$B$41)^(Premissas!$B$27-A302),0)</x:f>
        <x:v>0</x:v>
      </x:c>
      <x:c r="P302" s="141" t="n">
        <x:f>MAX(0,H302-I302)+N302</x:f>
        <x:v>0</x:v>
      </x:c>
    </x:row>
    <x:row r="303">
      <x:c r="A303" s="142" t="n">
        <x:v>298</x:v>
      </x:c>
      <x:c r="B303" s="179" t="n">
        <x:f>EDATE(Premissas!$B$4,297)</x:f>
        <x:v>55579</x:v>
      </x:c>
      <x:c r="C303" s="180" t="n">
        <x:f>(1+Premissas!$B$26)^INT((A303-1)/12)</x:f>
        <x:v>4.048934641267442</x:v>
      </x:c>
      <x:c r="D303" s="141" t="n">
        <x:f>Premissas!$B$30*C303</x:f>
        <x:v>439835.7219034771</x:v>
      </x:c>
      <x:c r="E303" s="141" t="n">
        <x:f>IF(A303&lt;=Premissas!$B$25,Premissas!$B$32*C303,0)</x:f>
        <x:v>0</x:v>
      </x:c>
      <x:c r="F303" s="141" t="n">
        <x:f>IF(AND(A303&gt;=Premissas!$B$48,A303&lt;=Premissas!$B$27,A303-Premissas!$B$48+1&lt;=Premissas!$B$13),INDEX(Financiamento!$C$6:$C$485,A303-Premissas!$B$48+1),0)</x:f>
        <x:v>0</x:v>
      </x:c>
      <x:c r="G303" s="141" t="n">
        <x:f>IF(AND(A303&gt;=Premissas!$B$48,A303&lt;=Premissas!$B$27,A303-Premissas!$B$48+1&lt;=Premissas!$B$13),INDEX(Financiamento!$J$6:$J$485,A303-Premissas!$B$48+1),0)</x:f>
        <x:v>0</x:v>
      </x:c>
      <x:c r="H303" s="141" t="n">
        <x:f>IF(AND(A303&gt;=Premissas!$B$48,A303&lt;=Premissas!$B$27,A303-Premissas!$B$48+1&lt;=Premissas!$B$13),INDEX(Financiamento!$M$6:$M$485,A303-Premissas!$B$48+1),0)</x:f>
        <x:v>0</x:v>
      </x:c>
      <x:c r="I303" s="141" t="n">
        <x:f>IF(A303=Premissas!$B$27,MIN(D303,H303),0)</x:f>
        <x:v>0</x:v>
      </x:c>
      <x:c r="J303" s="141" t="n">
        <x:f>IF(A303=Premissas!$B$27,D303-H303,0)</x:f>
        <x:v>0</x:v>
      </x:c>
      <x:c r="K303" s="141" t="n">
        <x:f>E303+G303</x:f>
        <x:v>0</x:v>
      </x:c>
      <x:c r="L303" s="141" t="n">
        <x:f>SUM($K$6:K303)</x:f>
        <x:v>368370.4829168556</x:v>
      </x:c>
      <x:c r="M303" s="141" t="str">
        <x:f>IF(A303&lt;Premissas!$B$27,"Financiamento + consorcio",IF(A303=Premissas!$B$27,"Quitacao via carta",IF(A303&lt;=Premissas!$B$25,"Somente consorcio","Encerrado")))</x:f>
        <x:v>Encerrado</x:v>
      </x:c>
      <x:c r="N303" s="141" t="n">
        <x:f>IF(A303&gt;=Premissas!$B$25,0,(N304+E304)/(1+Premissas!$B$41))</x:f>
        <x:v>0</x:v>
      </x:c>
      <x:c r="O303" s="141" t="n">
        <x:f>IF(A303&lt;Premissas!$B$27,Premissas!$B$31/(1+Premissas!$B$41)^(Premissas!$B$27-A303),0)</x:f>
        <x:v>0</x:v>
      </x:c>
      <x:c r="P303" s="141" t="n">
        <x:f>MAX(0,H303-I303)+N303</x:f>
        <x:v>0</x:v>
      </x:c>
    </x:row>
    <x:row r="304">
      <x:c r="A304" s="142" t="n">
        <x:v>299</x:v>
      </x:c>
      <x:c r="B304" s="179" t="n">
        <x:f>EDATE(Premissas!$B$4,298)</x:f>
        <x:v>55610</x:v>
      </x:c>
      <x:c r="C304" s="180" t="n">
        <x:f>(1+Premissas!$B$26)^INT((A304-1)/12)</x:f>
        <x:v>4.048934641267442</x:v>
      </x:c>
      <x:c r="D304" s="141" t="n">
        <x:f>Premissas!$B$30*C304</x:f>
        <x:v>439835.7219034771</x:v>
      </x:c>
      <x:c r="E304" s="141" t="n">
        <x:f>IF(A304&lt;=Premissas!$B$25,Premissas!$B$32*C304,0)</x:f>
        <x:v>0</x:v>
      </x:c>
      <x:c r="F304" s="141" t="n">
        <x:f>IF(AND(A304&gt;=Premissas!$B$48,A304&lt;=Premissas!$B$27,A304-Premissas!$B$48+1&lt;=Premissas!$B$13),INDEX(Financiamento!$C$6:$C$485,A304-Premissas!$B$48+1),0)</x:f>
        <x:v>0</x:v>
      </x:c>
      <x:c r="G304" s="141" t="n">
        <x:f>IF(AND(A304&gt;=Premissas!$B$48,A304&lt;=Premissas!$B$27,A304-Premissas!$B$48+1&lt;=Premissas!$B$13),INDEX(Financiamento!$J$6:$J$485,A304-Premissas!$B$48+1),0)</x:f>
        <x:v>0</x:v>
      </x:c>
      <x:c r="H304" s="141" t="n">
        <x:f>IF(AND(A304&gt;=Premissas!$B$48,A304&lt;=Premissas!$B$27,A304-Premissas!$B$48+1&lt;=Premissas!$B$13),INDEX(Financiamento!$M$6:$M$485,A304-Premissas!$B$48+1),0)</x:f>
        <x:v>0</x:v>
      </x:c>
      <x:c r="I304" s="141" t="n">
        <x:f>IF(A304=Premissas!$B$27,MIN(D304,H304),0)</x:f>
        <x:v>0</x:v>
      </x:c>
      <x:c r="J304" s="141" t="n">
        <x:f>IF(A304=Premissas!$B$27,D304-H304,0)</x:f>
        <x:v>0</x:v>
      </x:c>
      <x:c r="K304" s="141" t="n">
        <x:f>E304+G304</x:f>
        <x:v>0</x:v>
      </x:c>
      <x:c r="L304" s="141" t="n">
        <x:f>SUM($K$6:K304)</x:f>
        <x:v>368370.4829168556</x:v>
      </x:c>
      <x:c r="M304" s="141" t="str">
        <x:f>IF(A304&lt;Premissas!$B$27,"Financiamento + consorcio",IF(A304=Premissas!$B$27,"Quitacao via carta",IF(A304&lt;=Premissas!$B$25,"Somente consorcio","Encerrado")))</x:f>
        <x:v>Encerrado</x:v>
      </x:c>
      <x:c r="N304" s="141" t="n">
        <x:f>IF(A304&gt;=Premissas!$B$25,0,(N305+E305)/(1+Premissas!$B$41))</x:f>
        <x:v>0</x:v>
      </x:c>
      <x:c r="O304" s="141" t="n">
        <x:f>IF(A304&lt;Premissas!$B$27,Premissas!$B$31/(1+Premissas!$B$41)^(Premissas!$B$27-A304),0)</x:f>
        <x:v>0</x:v>
      </x:c>
      <x:c r="P304" s="141" t="n">
        <x:f>MAX(0,H304-I304)+N304</x:f>
        <x:v>0</x:v>
      </x:c>
    </x:row>
    <x:row r="305">
      <x:c r="A305" s="142" t="n">
        <x:v>300</x:v>
      </x:c>
      <x:c r="B305" s="179" t="n">
        <x:f>EDATE(Premissas!$B$4,299)</x:f>
        <x:v>55640</x:v>
      </x:c>
      <x:c r="C305" s="180" t="n">
        <x:f>(1+Premissas!$B$26)^INT((A305-1)/12)</x:f>
        <x:v>4.048934641267442</x:v>
      </x:c>
      <x:c r="D305" s="141" t="n">
        <x:f>Premissas!$B$30*C305</x:f>
        <x:v>439835.7219034771</x:v>
      </x:c>
      <x:c r="E305" s="141" t="n">
        <x:f>IF(A305&lt;=Premissas!$B$25,Premissas!$B$32*C305,0)</x:f>
        <x:v>0</x:v>
      </x:c>
      <x:c r="F305" s="141" t="n">
        <x:f>IF(AND(A305&gt;=Premissas!$B$48,A305&lt;=Premissas!$B$27,A305-Premissas!$B$48+1&lt;=Premissas!$B$13),INDEX(Financiamento!$C$6:$C$485,A305-Premissas!$B$48+1),0)</x:f>
        <x:v>0</x:v>
      </x:c>
      <x:c r="G305" s="141" t="n">
        <x:f>IF(AND(A305&gt;=Premissas!$B$48,A305&lt;=Premissas!$B$27,A305-Premissas!$B$48+1&lt;=Premissas!$B$13),INDEX(Financiamento!$J$6:$J$485,A305-Premissas!$B$48+1),0)</x:f>
        <x:v>0</x:v>
      </x:c>
      <x:c r="H305" s="141" t="n">
        <x:f>IF(AND(A305&gt;=Premissas!$B$48,A305&lt;=Premissas!$B$27,A305-Premissas!$B$48+1&lt;=Premissas!$B$13),INDEX(Financiamento!$M$6:$M$485,A305-Premissas!$B$48+1),0)</x:f>
        <x:v>0</x:v>
      </x:c>
      <x:c r="I305" s="141" t="n">
        <x:f>IF(A305=Premissas!$B$27,MIN(D305,H305),0)</x:f>
        <x:v>0</x:v>
      </x:c>
      <x:c r="J305" s="141" t="n">
        <x:f>IF(A305=Premissas!$B$27,D305-H305,0)</x:f>
        <x:v>0</x:v>
      </x:c>
      <x:c r="K305" s="141" t="n">
        <x:f>E305+G305</x:f>
        <x:v>0</x:v>
      </x:c>
      <x:c r="L305" s="141" t="n">
        <x:f>SUM($K$6:K305)</x:f>
        <x:v>368370.4829168556</x:v>
      </x:c>
      <x:c r="M305" s="141" t="str">
        <x:f>IF(A305&lt;Premissas!$B$27,"Financiamento + consorcio",IF(A305=Premissas!$B$27,"Quitacao via carta",IF(A305&lt;=Premissas!$B$25,"Somente consorcio","Encerrado")))</x:f>
        <x:v>Encerrado</x:v>
      </x:c>
      <x:c r="N305" s="141" t="n">
        <x:f>IF(A305&gt;=Premissas!$B$25,0,(N306+E306)/(1+Premissas!$B$41))</x:f>
        <x:v>0</x:v>
      </x:c>
      <x:c r="O305" s="141" t="n">
        <x:f>IF(A305&lt;Premissas!$B$27,Premissas!$B$31/(1+Premissas!$B$41)^(Premissas!$B$27-A305),0)</x:f>
        <x:v>0</x:v>
      </x:c>
      <x:c r="P305" s="141" t="n">
        <x:f>MAX(0,H305-I305)+N305</x:f>
        <x:v>0</x:v>
      </x:c>
    </x:row>
    <x:row r="306">
      <x:c r="A306" s="142" t="n">
        <x:v>301</x:v>
      </x:c>
      <x:c r="B306" s="179" t="n">
        <x:f>EDATE(Premissas!$B$4,300)</x:f>
        <x:v>55671</x:v>
      </x:c>
      <x:c r="C306" s="180" t="n">
        <x:f>(1+Premissas!$B$26)^INT((A306-1)/12)</x:f>
        <x:v>4.291870719743488</x:v>
      </x:c>
      <x:c r="D306" s="141" t="n">
        <x:f>Premissas!$B$30*C306</x:f>
        <x:v>466225.8652176857</x:v>
      </x:c>
      <x:c r="E306" s="141" t="n">
        <x:f>IF(A306&lt;=Premissas!$B$25,Premissas!$B$32*C306,0)</x:f>
        <x:v>0</x:v>
      </x:c>
      <x:c r="F306" s="141" t="n">
        <x:f>IF(AND(A306&gt;=Premissas!$B$48,A306&lt;=Premissas!$B$27,A306-Premissas!$B$48+1&lt;=Premissas!$B$13),INDEX(Financiamento!$C$6:$C$485,A306-Premissas!$B$48+1),0)</x:f>
        <x:v>0</x:v>
      </x:c>
      <x:c r="G306" s="141" t="n">
        <x:f>IF(AND(A306&gt;=Premissas!$B$48,A306&lt;=Premissas!$B$27,A306-Premissas!$B$48+1&lt;=Premissas!$B$13),INDEX(Financiamento!$J$6:$J$485,A306-Premissas!$B$48+1),0)</x:f>
        <x:v>0</x:v>
      </x:c>
      <x:c r="H306" s="141" t="n">
        <x:f>IF(AND(A306&gt;=Premissas!$B$48,A306&lt;=Premissas!$B$27,A306-Premissas!$B$48+1&lt;=Premissas!$B$13),INDEX(Financiamento!$M$6:$M$485,A306-Premissas!$B$48+1),0)</x:f>
        <x:v>0</x:v>
      </x:c>
      <x:c r="I306" s="141" t="n">
        <x:f>IF(A306=Premissas!$B$27,MIN(D306,H306),0)</x:f>
        <x:v>0</x:v>
      </x:c>
      <x:c r="J306" s="141" t="n">
        <x:f>IF(A306=Premissas!$B$27,D306-H306,0)</x:f>
        <x:v>0</x:v>
      </x:c>
      <x:c r="K306" s="141" t="n">
        <x:f>E306+G306</x:f>
        <x:v>0</x:v>
      </x:c>
      <x:c r="L306" s="141" t="n">
        <x:f>SUM($K$6:K306)</x:f>
        <x:v>368370.4829168556</x:v>
      </x:c>
      <x:c r="M306" s="141" t="str">
        <x:f>IF(A306&lt;Premissas!$B$27,"Financiamento + consorcio",IF(A306=Premissas!$B$27,"Quitacao via carta",IF(A306&lt;=Premissas!$B$25,"Somente consorcio","Encerrado")))</x:f>
        <x:v>Encerrado</x:v>
      </x:c>
      <x:c r="N306" s="141" t="n">
        <x:f>IF(A306&gt;=Premissas!$B$25,0,(N307+E307)/(1+Premissas!$B$41))</x:f>
        <x:v>0</x:v>
      </x:c>
      <x:c r="O306" s="141" t="n">
        <x:f>IF(A306&lt;Premissas!$B$27,Premissas!$B$31/(1+Premissas!$B$41)^(Premissas!$B$27-A306),0)</x:f>
        <x:v>0</x:v>
      </x:c>
      <x:c r="P306" s="141" t="n">
        <x:f>MAX(0,H306-I306)+N306</x:f>
        <x:v>0</x:v>
      </x:c>
    </x:row>
    <x:row r="307">
      <x:c r="A307" s="142" t="n">
        <x:v>302</x:v>
      </x:c>
      <x:c r="B307" s="179" t="n">
        <x:f>EDATE(Premissas!$B$4,301)</x:f>
        <x:v>55701</x:v>
      </x:c>
      <x:c r="C307" s="180" t="n">
        <x:f>(1+Premissas!$B$26)^INT((A307-1)/12)</x:f>
        <x:v>4.291870719743488</x:v>
      </x:c>
      <x:c r="D307" s="141" t="n">
        <x:f>Premissas!$B$30*C307</x:f>
        <x:v>466225.8652176857</x:v>
      </x:c>
      <x:c r="E307" s="141" t="n">
        <x:f>IF(A307&lt;=Premissas!$B$25,Premissas!$B$32*C307,0)</x:f>
        <x:v>0</x:v>
      </x:c>
      <x:c r="F307" s="141" t="n">
        <x:f>IF(AND(A307&gt;=Premissas!$B$48,A307&lt;=Premissas!$B$27,A307-Premissas!$B$48+1&lt;=Premissas!$B$13),INDEX(Financiamento!$C$6:$C$485,A307-Premissas!$B$48+1),0)</x:f>
        <x:v>0</x:v>
      </x:c>
      <x:c r="G307" s="141" t="n">
        <x:f>IF(AND(A307&gt;=Premissas!$B$48,A307&lt;=Premissas!$B$27,A307-Premissas!$B$48+1&lt;=Premissas!$B$13),INDEX(Financiamento!$J$6:$J$485,A307-Premissas!$B$48+1),0)</x:f>
        <x:v>0</x:v>
      </x:c>
      <x:c r="H307" s="141" t="n">
        <x:f>IF(AND(A307&gt;=Premissas!$B$48,A307&lt;=Premissas!$B$27,A307-Premissas!$B$48+1&lt;=Premissas!$B$13),INDEX(Financiamento!$M$6:$M$485,A307-Premissas!$B$48+1),0)</x:f>
        <x:v>0</x:v>
      </x:c>
      <x:c r="I307" s="141" t="n">
        <x:f>IF(A307=Premissas!$B$27,MIN(D307,H307),0)</x:f>
        <x:v>0</x:v>
      </x:c>
      <x:c r="J307" s="141" t="n">
        <x:f>IF(A307=Premissas!$B$27,D307-H307,0)</x:f>
        <x:v>0</x:v>
      </x:c>
      <x:c r="K307" s="141" t="n">
        <x:f>E307+G307</x:f>
        <x:v>0</x:v>
      </x:c>
      <x:c r="L307" s="141" t="n">
        <x:f>SUM($K$6:K307)</x:f>
        <x:v>368370.4829168556</x:v>
      </x:c>
      <x:c r="M307" s="141" t="str">
        <x:f>IF(A307&lt;Premissas!$B$27,"Financiamento + consorcio",IF(A307=Premissas!$B$27,"Quitacao via carta",IF(A307&lt;=Premissas!$B$25,"Somente consorcio","Encerrado")))</x:f>
        <x:v>Encerrado</x:v>
      </x:c>
      <x:c r="N307" s="141" t="n">
        <x:f>IF(A307&gt;=Premissas!$B$25,0,(N308+E308)/(1+Premissas!$B$41))</x:f>
        <x:v>0</x:v>
      </x:c>
      <x:c r="O307" s="141" t="n">
        <x:f>IF(A307&lt;Premissas!$B$27,Premissas!$B$31/(1+Premissas!$B$41)^(Premissas!$B$27-A307),0)</x:f>
        <x:v>0</x:v>
      </x:c>
      <x:c r="P307" s="141" t="n">
        <x:f>MAX(0,H307-I307)+N307</x:f>
        <x:v>0</x:v>
      </x:c>
    </x:row>
    <x:row r="308">
      <x:c r="A308" s="142" t="n">
        <x:v>303</x:v>
      </x:c>
      <x:c r="B308" s="179" t="n">
        <x:f>EDATE(Premissas!$B$4,302)</x:f>
        <x:v>55732</x:v>
      </x:c>
      <x:c r="C308" s="180" t="n">
        <x:f>(1+Premissas!$B$26)^INT((A308-1)/12)</x:f>
        <x:v>4.291870719743488</x:v>
      </x:c>
      <x:c r="D308" s="141" t="n">
        <x:f>Premissas!$B$30*C308</x:f>
        <x:v>466225.8652176857</x:v>
      </x:c>
      <x:c r="E308" s="141" t="n">
        <x:f>IF(A308&lt;=Premissas!$B$25,Premissas!$B$32*C308,0)</x:f>
        <x:v>0</x:v>
      </x:c>
      <x:c r="F308" s="141" t="n">
        <x:f>IF(AND(A308&gt;=Premissas!$B$48,A308&lt;=Premissas!$B$27,A308-Premissas!$B$48+1&lt;=Premissas!$B$13),INDEX(Financiamento!$C$6:$C$485,A308-Premissas!$B$48+1),0)</x:f>
        <x:v>0</x:v>
      </x:c>
      <x:c r="G308" s="141" t="n">
        <x:f>IF(AND(A308&gt;=Premissas!$B$48,A308&lt;=Premissas!$B$27,A308-Premissas!$B$48+1&lt;=Premissas!$B$13),INDEX(Financiamento!$J$6:$J$485,A308-Premissas!$B$48+1),0)</x:f>
        <x:v>0</x:v>
      </x:c>
      <x:c r="H308" s="141" t="n">
        <x:f>IF(AND(A308&gt;=Premissas!$B$48,A308&lt;=Premissas!$B$27,A308-Premissas!$B$48+1&lt;=Premissas!$B$13),INDEX(Financiamento!$M$6:$M$485,A308-Premissas!$B$48+1),0)</x:f>
        <x:v>0</x:v>
      </x:c>
      <x:c r="I308" s="141" t="n">
        <x:f>IF(A308=Premissas!$B$27,MIN(D308,H308),0)</x:f>
        <x:v>0</x:v>
      </x:c>
      <x:c r="J308" s="141" t="n">
        <x:f>IF(A308=Premissas!$B$27,D308-H308,0)</x:f>
        <x:v>0</x:v>
      </x:c>
      <x:c r="K308" s="141" t="n">
        <x:f>E308+G308</x:f>
        <x:v>0</x:v>
      </x:c>
      <x:c r="L308" s="141" t="n">
        <x:f>SUM($K$6:K308)</x:f>
        <x:v>368370.4829168556</x:v>
      </x:c>
      <x:c r="M308" s="141" t="str">
        <x:f>IF(A308&lt;Premissas!$B$27,"Financiamento + consorcio",IF(A308=Premissas!$B$27,"Quitacao via carta",IF(A308&lt;=Premissas!$B$25,"Somente consorcio","Encerrado")))</x:f>
        <x:v>Encerrado</x:v>
      </x:c>
      <x:c r="N308" s="141" t="n">
        <x:f>IF(A308&gt;=Premissas!$B$25,0,(N309+E309)/(1+Premissas!$B$41))</x:f>
        <x:v>0</x:v>
      </x:c>
      <x:c r="O308" s="141" t="n">
        <x:f>IF(A308&lt;Premissas!$B$27,Premissas!$B$31/(1+Premissas!$B$41)^(Premissas!$B$27-A308),0)</x:f>
        <x:v>0</x:v>
      </x:c>
      <x:c r="P308" s="141" t="n">
        <x:f>MAX(0,H308-I308)+N308</x:f>
        <x:v>0</x:v>
      </x:c>
    </x:row>
    <x:row r="309">
      <x:c r="A309" s="142" t="n">
        <x:v>304</x:v>
      </x:c>
      <x:c r="B309" s="179" t="n">
        <x:f>EDATE(Premissas!$B$4,303)</x:f>
        <x:v>55763</x:v>
      </x:c>
      <x:c r="C309" s="180" t="n">
        <x:f>(1+Premissas!$B$26)^INT((A309-1)/12)</x:f>
        <x:v>4.291870719743488</x:v>
      </x:c>
      <x:c r="D309" s="141" t="n">
        <x:f>Premissas!$B$30*C309</x:f>
        <x:v>466225.8652176857</x:v>
      </x:c>
      <x:c r="E309" s="141" t="n">
        <x:f>IF(A309&lt;=Premissas!$B$25,Premissas!$B$32*C309,0)</x:f>
        <x:v>0</x:v>
      </x:c>
      <x:c r="F309" s="141" t="n">
        <x:f>IF(AND(A309&gt;=Premissas!$B$48,A309&lt;=Premissas!$B$27,A309-Premissas!$B$48+1&lt;=Premissas!$B$13),INDEX(Financiamento!$C$6:$C$485,A309-Premissas!$B$48+1),0)</x:f>
        <x:v>0</x:v>
      </x:c>
      <x:c r="G309" s="141" t="n">
        <x:f>IF(AND(A309&gt;=Premissas!$B$48,A309&lt;=Premissas!$B$27,A309-Premissas!$B$48+1&lt;=Premissas!$B$13),INDEX(Financiamento!$J$6:$J$485,A309-Premissas!$B$48+1),0)</x:f>
        <x:v>0</x:v>
      </x:c>
      <x:c r="H309" s="141" t="n">
        <x:f>IF(AND(A309&gt;=Premissas!$B$48,A309&lt;=Premissas!$B$27,A309-Premissas!$B$48+1&lt;=Premissas!$B$13),INDEX(Financiamento!$M$6:$M$485,A309-Premissas!$B$48+1),0)</x:f>
        <x:v>0</x:v>
      </x:c>
      <x:c r="I309" s="141" t="n">
        <x:f>IF(A309=Premissas!$B$27,MIN(D309,H309),0)</x:f>
        <x:v>0</x:v>
      </x:c>
      <x:c r="J309" s="141" t="n">
        <x:f>IF(A309=Premissas!$B$27,D309-H309,0)</x:f>
        <x:v>0</x:v>
      </x:c>
      <x:c r="K309" s="141" t="n">
        <x:f>E309+G309</x:f>
        <x:v>0</x:v>
      </x:c>
      <x:c r="L309" s="141" t="n">
        <x:f>SUM($K$6:K309)</x:f>
        <x:v>368370.4829168556</x:v>
      </x:c>
      <x:c r="M309" s="141" t="str">
        <x:f>IF(A309&lt;Premissas!$B$27,"Financiamento + consorcio",IF(A309=Premissas!$B$27,"Quitacao via carta",IF(A309&lt;=Premissas!$B$25,"Somente consorcio","Encerrado")))</x:f>
        <x:v>Encerrado</x:v>
      </x:c>
      <x:c r="N309" s="141" t="n">
        <x:f>IF(A309&gt;=Premissas!$B$25,0,(N310+E310)/(1+Premissas!$B$41))</x:f>
        <x:v>0</x:v>
      </x:c>
      <x:c r="O309" s="141" t="n">
        <x:f>IF(A309&lt;Premissas!$B$27,Premissas!$B$31/(1+Premissas!$B$41)^(Premissas!$B$27-A309),0)</x:f>
        <x:v>0</x:v>
      </x:c>
      <x:c r="P309" s="141" t="n">
        <x:f>MAX(0,H309-I309)+N309</x:f>
        <x:v>0</x:v>
      </x:c>
    </x:row>
    <x:row r="310">
      <x:c r="A310" s="142" t="n">
        <x:v>305</x:v>
      </x:c>
      <x:c r="B310" s="179" t="n">
        <x:f>EDATE(Premissas!$B$4,304)</x:f>
        <x:v>55793</x:v>
      </x:c>
      <x:c r="C310" s="180" t="n">
        <x:f>(1+Premissas!$B$26)^INT((A310-1)/12)</x:f>
        <x:v>4.291870719743488</x:v>
      </x:c>
      <x:c r="D310" s="141" t="n">
        <x:f>Premissas!$B$30*C310</x:f>
        <x:v>466225.8652176857</x:v>
      </x:c>
      <x:c r="E310" s="141" t="n">
        <x:f>IF(A310&lt;=Premissas!$B$25,Premissas!$B$32*C310,0)</x:f>
        <x:v>0</x:v>
      </x:c>
      <x:c r="F310" s="141" t="n">
        <x:f>IF(AND(A310&gt;=Premissas!$B$48,A310&lt;=Premissas!$B$27,A310-Premissas!$B$48+1&lt;=Premissas!$B$13),INDEX(Financiamento!$C$6:$C$485,A310-Premissas!$B$48+1),0)</x:f>
        <x:v>0</x:v>
      </x:c>
      <x:c r="G310" s="141" t="n">
        <x:f>IF(AND(A310&gt;=Premissas!$B$48,A310&lt;=Premissas!$B$27,A310-Premissas!$B$48+1&lt;=Premissas!$B$13),INDEX(Financiamento!$J$6:$J$485,A310-Premissas!$B$48+1),0)</x:f>
        <x:v>0</x:v>
      </x:c>
      <x:c r="H310" s="141" t="n">
        <x:f>IF(AND(A310&gt;=Premissas!$B$48,A310&lt;=Premissas!$B$27,A310-Premissas!$B$48+1&lt;=Premissas!$B$13),INDEX(Financiamento!$M$6:$M$485,A310-Premissas!$B$48+1),0)</x:f>
        <x:v>0</x:v>
      </x:c>
      <x:c r="I310" s="141" t="n">
        <x:f>IF(A310=Premissas!$B$27,MIN(D310,H310),0)</x:f>
        <x:v>0</x:v>
      </x:c>
      <x:c r="J310" s="141" t="n">
        <x:f>IF(A310=Premissas!$B$27,D310-H310,0)</x:f>
        <x:v>0</x:v>
      </x:c>
      <x:c r="K310" s="141" t="n">
        <x:f>E310+G310</x:f>
        <x:v>0</x:v>
      </x:c>
      <x:c r="L310" s="141" t="n">
        <x:f>SUM($K$6:K310)</x:f>
        <x:v>368370.4829168556</x:v>
      </x:c>
      <x:c r="M310" s="141" t="str">
        <x:f>IF(A310&lt;Premissas!$B$27,"Financiamento + consorcio",IF(A310=Premissas!$B$27,"Quitacao via carta",IF(A310&lt;=Premissas!$B$25,"Somente consorcio","Encerrado")))</x:f>
        <x:v>Encerrado</x:v>
      </x:c>
      <x:c r="N310" s="141" t="n">
        <x:f>IF(A310&gt;=Premissas!$B$25,0,(N311+E311)/(1+Premissas!$B$41))</x:f>
        <x:v>0</x:v>
      </x:c>
      <x:c r="O310" s="141" t="n">
        <x:f>IF(A310&lt;Premissas!$B$27,Premissas!$B$31/(1+Premissas!$B$41)^(Premissas!$B$27-A310),0)</x:f>
        <x:v>0</x:v>
      </x:c>
      <x:c r="P310" s="141" t="n">
        <x:f>MAX(0,H310-I310)+N310</x:f>
        <x:v>0</x:v>
      </x:c>
    </x:row>
    <x:row r="311">
      <x:c r="A311" s="142" t="n">
        <x:v>306</x:v>
      </x:c>
      <x:c r="B311" s="179" t="n">
        <x:f>EDATE(Premissas!$B$4,305)</x:f>
        <x:v>55824</x:v>
      </x:c>
      <x:c r="C311" s="180" t="n">
        <x:f>(1+Premissas!$B$26)^INT((A311-1)/12)</x:f>
        <x:v>4.291870719743488</x:v>
      </x:c>
      <x:c r="D311" s="141" t="n">
        <x:f>Premissas!$B$30*C311</x:f>
        <x:v>466225.8652176857</x:v>
      </x:c>
      <x:c r="E311" s="141" t="n">
        <x:f>IF(A311&lt;=Premissas!$B$25,Premissas!$B$32*C311,0)</x:f>
        <x:v>0</x:v>
      </x:c>
      <x:c r="F311" s="141" t="n">
        <x:f>IF(AND(A311&gt;=Premissas!$B$48,A311&lt;=Premissas!$B$27,A311-Premissas!$B$48+1&lt;=Premissas!$B$13),INDEX(Financiamento!$C$6:$C$485,A311-Premissas!$B$48+1),0)</x:f>
        <x:v>0</x:v>
      </x:c>
      <x:c r="G311" s="141" t="n">
        <x:f>IF(AND(A311&gt;=Premissas!$B$48,A311&lt;=Premissas!$B$27,A311-Premissas!$B$48+1&lt;=Premissas!$B$13),INDEX(Financiamento!$J$6:$J$485,A311-Premissas!$B$48+1),0)</x:f>
        <x:v>0</x:v>
      </x:c>
      <x:c r="H311" s="141" t="n">
        <x:f>IF(AND(A311&gt;=Premissas!$B$48,A311&lt;=Premissas!$B$27,A311-Premissas!$B$48+1&lt;=Premissas!$B$13),INDEX(Financiamento!$M$6:$M$485,A311-Premissas!$B$48+1),0)</x:f>
        <x:v>0</x:v>
      </x:c>
      <x:c r="I311" s="141" t="n">
        <x:f>IF(A311=Premissas!$B$27,MIN(D311,H311),0)</x:f>
        <x:v>0</x:v>
      </x:c>
      <x:c r="J311" s="141" t="n">
        <x:f>IF(A311=Premissas!$B$27,D311-H311,0)</x:f>
        <x:v>0</x:v>
      </x:c>
      <x:c r="K311" s="141" t="n">
        <x:f>E311+G311</x:f>
        <x:v>0</x:v>
      </x:c>
      <x:c r="L311" s="141" t="n">
        <x:f>SUM($K$6:K311)</x:f>
        <x:v>368370.4829168556</x:v>
      </x:c>
      <x:c r="M311" s="141" t="str">
        <x:f>IF(A311&lt;Premissas!$B$27,"Financiamento + consorcio",IF(A311=Premissas!$B$27,"Quitacao via carta",IF(A311&lt;=Premissas!$B$25,"Somente consorcio","Encerrado")))</x:f>
        <x:v>Encerrado</x:v>
      </x:c>
      <x:c r="N311" s="141" t="n">
        <x:f>IF(A311&gt;=Premissas!$B$25,0,(N312+E312)/(1+Premissas!$B$41))</x:f>
        <x:v>0</x:v>
      </x:c>
      <x:c r="O311" s="141" t="n">
        <x:f>IF(A311&lt;Premissas!$B$27,Premissas!$B$31/(1+Premissas!$B$41)^(Premissas!$B$27-A311),0)</x:f>
        <x:v>0</x:v>
      </x:c>
      <x:c r="P311" s="141" t="n">
        <x:f>MAX(0,H311-I311)+N311</x:f>
        <x:v>0</x:v>
      </x:c>
    </x:row>
    <x:row r="312">
      <x:c r="A312" s="142" t="n">
        <x:v>307</x:v>
      </x:c>
      <x:c r="B312" s="179" t="n">
        <x:f>EDATE(Premissas!$B$4,306)</x:f>
        <x:v>55854</x:v>
      </x:c>
      <x:c r="C312" s="180" t="n">
        <x:f>(1+Premissas!$B$26)^INT((A312-1)/12)</x:f>
        <x:v>4.291870719743488</x:v>
      </x:c>
      <x:c r="D312" s="141" t="n">
        <x:f>Premissas!$B$30*C312</x:f>
        <x:v>466225.8652176857</x:v>
      </x:c>
      <x:c r="E312" s="141" t="n">
        <x:f>IF(A312&lt;=Premissas!$B$25,Premissas!$B$32*C312,0)</x:f>
        <x:v>0</x:v>
      </x:c>
      <x:c r="F312" s="141" t="n">
        <x:f>IF(AND(A312&gt;=Premissas!$B$48,A312&lt;=Premissas!$B$27,A312-Premissas!$B$48+1&lt;=Premissas!$B$13),INDEX(Financiamento!$C$6:$C$485,A312-Premissas!$B$48+1),0)</x:f>
        <x:v>0</x:v>
      </x:c>
      <x:c r="G312" s="141" t="n">
        <x:f>IF(AND(A312&gt;=Premissas!$B$48,A312&lt;=Premissas!$B$27,A312-Premissas!$B$48+1&lt;=Premissas!$B$13),INDEX(Financiamento!$J$6:$J$485,A312-Premissas!$B$48+1),0)</x:f>
        <x:v>0</x:v>
      </x:c>
      <x:c r="H312" s="141" t="n">
        <x:f>IF(AND(A312&gt;=Premissas!$B$48,A312&lt;=Premissas!$B$27,A312-Premissas!$B$48+1&lt;=Premissas!$B$13),INDEX(Financiamento!$M$6:$M$485,A312-Premissas!$B$48+1),0)</x:f>
        <x:v>0</x:v>
      </x:c>
      <x:c r="I312" s="141" t="n">
        <x:f>IF(A312=Premissas!$B$27,MIN(D312,H312),0)</x:f>
        <x:v>0</x:v>
      </x:c>
      <x:c r="J312" s="141" t="n">
        <x:f>IF(A312=Premissas!$B$27,D312-H312,0)</x:f>
        <x:v>0</x:v>
      </x:c>
      <x:c r="K312" s="141" t="n">
        <x:f>E312+G312</x:f>
        <x:v>0</x:v>
      </x:c>
      <x:c r="L312" s="141" t="n">
        <x:f>SUM($K$6:K312)</x:f>
        <x:v>368370.4829168556</x:v>
      </x:c>
      <x:c r="M312" s="141" t="str">
        <x:f>IF(A312&lt;Premissas!$B$27,"Financiamento + consorcio",IF(A312=Premissas!$B$27,"Quitacao via carta",IF(A312&lt;=Premissas!$B$25,"Somente consorcio","Encerrado")))</x:f>
        <x:v>Encerrado</x:v>
      </x:c>
      <x:c r="N312" s="141" t="n">
        <x:f>IF(A312&gt;=Premissas!$B$25,0,(N313+E313)/(1+Premissas!$B$41))</x:f>
        <x:v>0</x:v>
      </x:c>
      <x:c r="O312" s="141" t="n">
        <x:f>IF(A312&lt;Premissas!$B$27,Premissas!$B$31/(1+Premissas!$B$41)^(Premissas!$B$27-A312),0)</x:f>
        <x:v>0</x:v>
      </x:c>
      <x:c r="P312" s="141" t="n">
        <x:f>MAX(0,H312-I312)+N312</x:f>
        <x:v>0</x:v>
      </x:c>
    </x:row>
    <x:row r="313">
      <x:c r="A313" s="142" t="n">
        <x:v>308</x:v>
      </x:c>
      <x:c r="B313" s="179" t="n">
        <x:f>EDATE(Premissas!$B$4,307)</x:f>
        <x:v>55885</x:v>
      </x:c>
      <x:c r="C313" s="180" t="n">
        <x:f>(1+Premissas!$B$26)^INT((A313-1)/12)</x:f>
        <x:v>4.291870719743488</x:v>
      </x:c>
      <x:c r="D313" s="141" t="n">
        <x:f>Premissas!$B$30*C313</x:f>
        <x:v>466225.8652176857</x:v>
      </x:c>
      <x:c r="E313" s="141" t="n">
        <x:f>IF(A313&lt;=Premissas!$B$25,Premissas!$B$32*C313,0)</x:f>
        <x:v>0</x:v>
      </x:c>
      <x:c r="F313" s="141" t="n">
        <x:f>IF(AND(A313&gt;=Premissas!$B$48,A313&lt;=Premissas!$B$27,A313-Premissas!$B$48+1&lt;=Premissas!$B$13),INDEX(Financiamento!$C$6:$C$485,A313-Premissas!$B$48+1),0)</x:f>
        <x:v>0</x:v>
      </x:c>
      <x:c r="G313" s="141" t="n">
        <x:f>IF(AND(A313&gt;=Premissas!$B$48,A313&lt;=Premissas!$B$27,A313-Premissas!$B$48+1&lt;=Premissas!$B$13),INDEX(Financiamento!$J$6:$J$485,A313-Premissas!$B$48+1),0)</x:f>
        <x:v>0</x:v>
      </x:c>
      <x:c r="H313" s="141" t="n">
        <x:f>IF(AND(A313&gt;=Premissas!$B$48,A313&lt;=Premissas!$B$27,A313-Premissas!$B$48+1&lt;=Premissas!$B$13),INDEX(Financiamento!$M$6:$M$485,A313-Premissas!$B$48+1),0)</x:f>
        <x:v>0</x:v>
      </x:c>
      <x:c r="I313" s="141" t="n">
        <x:f>IF(A313=Premissas!$B$27,MIN(D313,H313),0)</x:f>
        <x:v>0</x:v>
      </x:c>
      <x:c r="J313" s="141" t="n">
        <x:f>IF(A313=Premissas!$B$27,D313-H313,0)</x:f>
        <x:v>0</x:v>
      </x:c>
      <x:c r="K313" s="141" t="n">
        <x:f>E313+G313</x:f>
        <x:v>0</x:v>
      </x:c>
      <x:c r="L313" s="141" t="n">
        <x:f>SUM($K$6:K313)</x:f>
        <x:v>368370.4829168556</x:v>
      </x:c>
      <x:c r="M313" s="141" t="str">
        <x:f>IF(A313&lt;Premissas!$B$27,"Financiamento + consorcio",IF(A313=Premissas!$B$27,"Quitacao via carta",IF(A313&lt;=Premissas!$B$25,"Somente consorcio","Encerrado")))</x:f>
        <x:v>Encerrado</x:v>
      </x:c>
      <x:c r="N313" s="141" t="n">
        <x:f>IF(A313&gt;=Premissas!$B$25,0,(N314+E314)/(1+Premissas!$B$41))</x:f>
        <x:v>0</x:v>
      </x:c>
      <x:c r="O313" s="141" t="n">
        <x:f>IF(A313&lt;Premissas!$B$27,Premissas!$B$31/(1+Premissas!$B$41)^(Premissas!$B$27-A313),0)</x:f>
        <x:v>0</x:v>
      </x:c>
      <x:c r="P313" s="141" t="n">
        <x:f>MAX(0,H313-I313)+N313</x:f>
        <x:v>0</x:v>
      </x:c>
    </x:row>
    <x:row r="314">
      <x:c r="A314" s="142" t="n">
        <x:v>309</x:v>
      </x:c>
      <x:c r="B314" s="179" t="n">
        <x:f>EDATE(Premissas!$B$4,308)</x:f>
        <x:v>55916</x:v>
      </x:c>
      <x:c r="C314" s="180" t="n">
        <x:f>(1+Premissas!$B$26)^INT((A314-1)/12)</x:f>
        <x:v>4.291870719743488</x:v>
      </x:c>
      <x:c r="D314" s="141" t="n">
        <x:f>Premissas!$B$30*C314</x:f>
        <x:v>466225.8652176857</x:v>
      </x:c>
      <x:c r="E314" s="141" t="n">
        <x:f>IF(A314&lt;=Premissas!$B$25,Premissas!$B$32*C314,0)</x:f>
        <x:v>0</x:v>
      </x:c>
      <x:c r="F314" s="141" t="n">
        <x:f>IF(AND(A314&gt;=Premissas!$B$48,A314&lt;=Premissas!$B$27,A314-Premissas!$B$48+1&lt;=Premissas!$B$13),INDEX(Financiamento!$C$6:$C$485,A314-Premissas!$B$48+1),0)</x:f>
        <x:v>0</x:v>
      </x:c>
      <x:c r="G314" s="141" t="n">
        <x:f>IF(AND(A314&gt;=Premissas!$B$48,A314&lt;=Premissas!$B$27,A314-Premissas!$B$48+1&lt;=Premissas!$B$13),INDEX(Financiamento!$J$6:$J$485,A314-Premissas!$B$48+1),0)</x:f>
        <x:v>0</x:v>
      </x:c>
      <x:c r="H314" s="141" t="n">
        <x:f>IF(AND(A314&gt;=Premissas!$B$48,A314&lt;=Premissas!$B$27,A314-Premissas!$B$48+1&lt;=Premissas!$B$13),INDEX(Financiamento!$M$6:$M$485,A314-Premissas!$B$48+1),0)</x:f>
        <x:v>0</x:v>
      </x:c>
      <x:c r="I314" s="141" t="n">
        <x:f>IF(A314=Premissas!$B$27,MIN(D314,H314),0)</x:f>
        <x:v>0</x:v>
      </x:c>
      <x:c r="J314" s="141" t="n">
        <x:f>IF(A314=Premissas!$B$27,D314-H314,0)</x:f>
        <x:v>0</x:v>
      </x:c>
      <x:c r="K314" s="141" t="n">
        <x:f>E314+G314</x:f>
        <x:v>0</x:v>
      </x:c>
      <x:c r="L314" s="141" t="n">
        <x:f>SUM($K$6:K314)</x:f>
        <x:v>368370.4829168556</x:v>
      </x:c>
      <x:c r="M314" s="141" t="str">
        <x:f>IF(A314&lt;Premissas!$B$27,"Financiamento + consorcio",IF(A314=Premissas!$B$27,"Quitacao via carta",IF(A314&lt;=Premissas!$B$25,"Somente consorcio","Encerrado")))</x:f>
        <x:v>Encerrado</x:v>
      </x:c>
      <x:c r="N314" s="141" t="n">
        <x:f>IF(A314&gt;=Premissas!$B$25,0,(N315+E315)/(1+Premissas!$B$41))</x:f>
        <x:v>0</x:v>
      </x:c>
      <x:c r="O314" s="141" t="n">
        <x:f>IF(A314&lt;Premissas!$B$27,Premissas!$B$31/(1+Premissas!$B$41)^(Premissas!$B$27-A314),0)</x:f>
        <x:v>0</x:v>
      </x:c>
      <x:c r="P314" s="141" t="n">
        <x:f>MAX(0,H314-I314)+N314</x:f>
        <x:v>0</x:v>
      </x:c>
    </x:row>
    <x:row r="315">
      <x:c r="A315" s="142" t="n">
        <x:v>310</x:v>
      </x:c>
      <x:c r="B315" s="179" t="n">
        <x:f>EDATE(Premissas!$B$4,309)</x:f>
        <x:v>55944</x:v>
      </x:c>
      <x:c r="C315" s="180" t="n">
        <x:f>(1+Premissas!$B$26)^INT((A315-1)/12)</x:f>
        <x:v>4.291870719743488</x:v>
      </x:c>
      <x:c r="D315" s="141" t="n">
        <x:f>Premissas!$B$30*C315</x:f>
        <x:v>466225.8652176857</x:v>
      </x:c>
      <x:c r="E315" s="141" t="n">
        <x:f>IF(A315&lt;=Premissas!$B$25,Premissas!$B$32*C315,0)</x:f>
        <x:v>0</x:v>
      </x:c>
      <x:c r="F315" s="141" t="n">
        <x:f>IF(AND(A315&gt;=Premissas!$B$48,A315&lt;=Premissas!$B$27,A315-Premissas!$B$48+1&lt;=Premissas!$B$13),INDEX(Financiamento!$C$6:$C$485,A315-Premissas!$B$48+1),0)</x:f>
        <x:v>0</x:v>
      </x:c>
      <x:c r="G315" s="141" t="n">
        <x:f>IF(AND(A315&gt;=Premissas!$B$48,A315&lt;=Premissas!$B$27,A315-Premissas!$B$48+1&lt;=Premissas!$B$13),INDEX(Financiamento!$J$6:$J$485,A315-Premissas!$B$48+1),0)</x:f>
        <x:v>0</x:v>
      </x:c>
      <x:c r="H315" s="141" t="n">
        <x:f>IF(AND(A315&gt;=Premissas!$B$48,A315&lt;=Premissas!$B$27,A315-Premissas!$B$48+1&lt;=Premissas!$B$13),INDEX(Financiamento!$M$6:$M$485,A315-Premissas!$B$48+1),0)</x:f>
        <x:v>0</x:v>
      </x:c>
      <x:c r="I315" s="141" t="n">
        <x:f>IF(A315=Premissas!$B$27,MIN(D315,H315),0)</x:f>
        <x:v>0</x:v>
      </x:c>
      <x:c r="J315" s="141" t="n">
        <x:f>IF(A315=Premissas!$B$27,D315-H315,0)</x:f>
        <x:v>0</x:v>
      </x:c>
      <x:c r="K315" s="141" t="n">
        <x:f>E315+G315</x:f>
        <x:v>0</x:v>
      </x:c>
      <x:c r="L315" s="141" t="n">
        <x:f>SUM($K$6:K315)</x:f>
        <x:v>368370.4829168556</x:v>
      </x:c>
      <x:c r="M315" s="141" t="str">
        <x:f>IF(A315&lt;Premissas!$B$27,"Financiamento + consorcio",IF(A315=Premissas!$B$27,"Quitacao via carta",IF(A315&lt;=Premissas!$B$25,"Somente consorcio","Encerrado")))</x:f>
        <x:v>Encerrado</x:v>
      </x:c>
      <x:c r="N315" s="141" t="n">
        <x:f>IF(A315&gt;=Premissas!$B$25,0,(N316+E316)/(1+Premissas!$B$41))</x:f>
        <x:v>0</x:v>
      </x:c>
      <x:c r="O315" s="141" t="n">
        <x:f>IF(A315&lt;Premissas!$B$27,Premissas!$B$31/(1+Premissas!$B$41)^(Premissas!$B$27-A315),0)</x:f>
        <x:v>0</x:v>
      </x:c>
      <x:c r="P315" s="141" t="n">
        <x:f>MAX(0,H315-I315)+N315</x:f>
        <x:v>0</x:v>
      </x:c>
    </x:row>
    <x:row r="316">
      <x:c r="A316" s="142" t="n">
        <x:v>311</x:v>
      </x:c>
      <x:c r="B316" s="179" t="n">
        <x:f>EDATE(Premissas!$B$4,310)</x:f>
        <x:v>55975</x:v>
      </x:c>
      <x:c r="C316" s="180" t="n">
        <x:f>(1+Premissas!$B$26)^INT((A316-1)/12)</x:f>
        <x:v>4.291870719743488</x:v>
      </x:c>
      <x:c r="D316" s="141" t="n">
        <x:f>Premissas!$B$30*C316</x:f>
        <x:v>466225.8652176857</x:v>
      </x:c>
      <x:c r="E316" s="141" t="n">
        <x:f>IF(A316&lt;=Premissas!$B$25,Premissas!$B$32*C316,0)</x:f>
        <x:v>0</x:v>
      </x:c>
      <x:c r="F316" s="141" t="n">
        <x:f>IF(AND(A316&gt;=Premissas!$B$48,A316&lt;=Premissas!$B$27,A316-Premissas!$B$48+1&lt;=Premissas!$B$13),INDEX(Financiamento!$C$6:$C$485,A316-Premissas!$B$48+1),0)</x:f>
        <x:v>0</x:v>
      </x:c>
      <x:c r="G316" s="141" t="n">
        <x:f>IF(AND(A316&gt;=Premissas!$B$48,A316&lt;=Premissas!$B$27,A316-Premissas!$B$48+1&lt;=Premissas!$B$13),INDEX(Financiamento!$J$6:$J$485,A316-Premissas!$B$48+1),0)</x:f>
        <x:v>0</x:v>
      </x:c>
      <x:c r="H316" s="141" t="n">
        <x:f>IF(AND(A316&gt;=Premissas!$B$48,A316&lt;=Premissas!$B$27,A316-Premissas!$B$48+1&lt;=Premissas!$B$13),INDEX(Financiamento!$M$6:$M$485,A316-Premissas!$B$48+1),0)</x:f>
        <x:v>0</x:v>
      </x:c>
      <x:c r="I316" s="141" t="n">
        <x:f>IF(A316=Premissas!$B$27,MIN(D316,H316),0)</x:f>
        <x:v>0</x:v>
      </x:c>
      <x:c r="J316" s="141" t="n">
        <x:f>IF(A316=Premissas!$B$27,D316-H316,0)</x:f>
        <x:v>0</x:v>
      </x:c>
      <x:c r="K316" s="141" t="n">
        <x:f>E316+G316</x:f>
        <x:v>0</x:v>
      </x:c>
      <x:c r="L316" s="141" t="n">
        <x:f>SUM($K$6:K316)</x:f>
        <x:v>368370.4829168556</x:v>
      </x:c>
      <x:c r="M316" s="141" t="str">
        <x:f>IF(A316&lt;Premissas!$B$27,"Financiamento + consorcio",IF(A316=Premissas!$B$27,"Quitacao via carta",IF(A316&lt;=Premissas!$B$25,"Somente consorcio","Encerrado")))</x:f>
        <x:v>Encerrado</x:v>
      </x:c>
      <x:c r="N316" s="141" t="n">
        <x:f>IF(A316&gt;=Premissas!$B$25,0,(N317+E317)/(1+Premissas!$B$41))</x:f>
        <x:v>0</x:v>
      </x:c>
      <x:c r="O316" s="141" t="n">
        <x:f>IF(A316&lt;Premissas!$B$27,Premissas!$B$31/(1+Premissas!$B$41)^(Premissas!$B$27-A316),0)</x:f>
        <x:v>0</x:v>
      </x:c>
      <x:c r="P316" s="141" t="n">
        <x:f>MAX(0,H316-I316)+N316</x:f>
        <x:v>0</x:v>
      </x:c>
    </x:row>
    <x:row r="317">
      <x:c r="A317" s="142" t="n">
        <x:v>312</x:v>
      </x:c>
      <x:c r="B317" s="179" t="n">
        <x:f>EDATE(Premissas!$B$4,311)</x:f>
        <x:v>56005</x:v>
      </x:c>
      <x:c r="C317" s="180" t="n">
        <x:f>(1+Premissas!$B$26)^INT((A317-1)/12)</x:f>
        <x:v>4.291870719743488</x:v>
      </x:c>
      <x:c r="D317" s="141" t="n">
        <x:f>Premissas!$B$30*C317</x:f>
        <x:v>466225.8652176857</x:v>
      </x:c>
      <x:c r="E317" s="141" t="n">
        <x:f>IF(A317&lt;=Premissas!$B$25,Premissas!$B$32*C317,0)</x:f>
        <x:v>0</x:v>
      </x:c>
      <x:c r="F317" s="141" t="n">
        <x:f>IF(AND(A317&gt;=Premissas!$B$48,A317&lt;=Premissas!$B$27,A317-Premissas!$B$48+1&lt;=Premissas!$B$13),INDEX(Financiamento!$C$6:$C$485,A317-Premissas!$B$48+1),0)</x:f>
        <x:v>0</x:v>
      </x:c>
      <x:c r="G317" s="141" t="n">
        <x:f>IF(AND(A317&gt;=Premissas!$B$48,A317&lt;=Premissas!$B$27,A317-Premissas!$B$48+1&lt;=Premissas!$B$13),INDEX(Financiamento!$J$6:$J$485,A317-Premissas!$B$48+1),0)</x:f>
        <x:v>0</x:v>
      </x:c>
      <x:c r="H317" s="141" t="n">
        <x:f>IF(AND(A317&gt;=Premissas!$B$48,A317&lt;=Premissas!$B$27,A317-Premissas!$B$48+1&lt;=Premissas!$B$13),INDEX(Financiamento!$M$6:$M$485,A317-Premissas!$B$48+1),0)</x:f>
        <x:v>0</x:v>
      </x:c>
      <x:c r="I317" s="141" t="n">
        <x:f>IF(A317=Premissas!$B$27,MIN(D317,H317),0)</x:f>
        <x:v>0</x:v>
      </x:c>
      <x:c r="J317" s="141" t="n">
        <x:f>IF(A317=Premissas!$B$27,D317-H317,0)</x:f>
        <x:v>0</x:v>
      </x:c>
      <x:c r="K317" s="141" t="n">
        <x:f>E317+G317</x:f>
        <x:v>0</x:v>
      </x:c>
      <x:c r="L317" s="141" t="n">
        <x:f>SUM($K$6:K317)</x:f>
        <x:v>368370.4829168556</x:v>
      </x:c>
      <x:c r="M317" s="141" t="str">
        <x:f>IF(A317&lt;Premissas!$B$27,"Financiamento + consorcio",IF(A317=Premissas!$B$27,"Quitacao via carta",IF(A317&lt;=Premissas!$B$25,"Somente consorcio","Encerrado")))</x:f>
        <x:v>Encerrado</x:v>
      </x:c>
      <x:c r="N317" s="141" t="n">
        <x:f>IF(A317&gt;=Premissas!$B$25,0,(N318+E318)/(1+Premissas!$B$41))</x:f>
        <x:v>0</x:v>
      </x:c>
      <x:c r="O317" s="141" t="n">
        <x:f>IF(A317&lt;Premissas!$B$27,Premissas!$B$31/(1+Premissas!$B$41)^(Premissas!$B$27-A317),0)</x:f>
        <x:v>0</x:v>
      </x:c>
      <x:c r="P317" s="141" t="n">
        <x:f>MAX(0,H317-I317)+N317</x:f>
        <x:v>0</x:v>
      </x:c>
    </x:row>
    <x:row r="318">
      <x:c r="A318" s="142" t="n">
        <x:v>313</x:v>
      </x:c>
      <x:c r="B318" s="179" t="n">
        <x:f>EDATE(Premissas!$B$4,312)</x:f>
        <x:v>56036</x:v>
      </x:c>
      <x:c r="C318" s="180" t="n">
        <x:f>(1+Premissas!$B$26)^INT((A318-1)/12)</x:f>
        <x:v>4.549382962928098</x:v>
      </x:c>
      <x:c r="D318" s="141" t="n">
        <x:f>Premissas!$B$30*C318</x:f>
        <x:v>494199.4171307469</x:v>
      </x:c>
      <x:c r="E318" s="141" t="n">
        <x:f>IF(A318&lt;=Premissas!$B$25,Premissas!$B$32*C318,0)</x:f>
        <x:v>0</x:v>
      </x:c>
      <x:c r="F318" s="141" t="n">
        <x:f>IF(AND(A318&gt;=Premissas!$B$48,A318&lt;=Premissas!$B$27,A318-Premissas!$B$48+1&lt;=Premissas!$B$13),INDEX(Financiamento!$C$6:$C$485,A318-Premissas!$B$48+1),0)</x:f>
        <x:v>0</x:v>
      </x:c>
      <x:c r="G318" s="141" t="n">
        <x:f>IF(AND(A318&gt;=Premissas!$B$48,A318&lt;=Premissas!$B$27,A318-Premissas!$B$48+1&lt;=Premissas!$B$13),INDEX(Financiamento!$J$6:$J$485,A318-Premissas!$B$48+1),0)</x:f>
        <x:v>0</x:v>
      </x:c>
      <x:c r="H318" s="141" t="n">
        <x:f>IF(AND(A318&gt;=Premissas!$B$48,A318&lt;=Premissas!$B$27,A318-Premissas!$B$48+1&lt;=Premissas!$B$13),INDEX(Financiamento!$M$6:$M$485,A318-Premissas!$B$48+1),0)</x:f>
        <x:v>0</x:v>
      </x:c>
      <x:c r="I318" s="141" t="n">
        <x:f>IF(A318=Premissas!$B$27,MIN(D318,H318),0)</x:f>
        <x:v>0</x:v>
      </x:c>
      <x:c r="J318" s="141" t="n">
        <x:f>IF(A318=Premissas!$B$27,D318-H318,0)</x:f>
        <x:v>0</x:v>
      </x:c>
      <x:c r="K318" s="141" t="n">
        <x:f>E318+G318</x:f>
        <x:v>0</x:v>
      </x:c>
      <x:c r="L318" s="141" t="n">
        <x:f>SUM($K$6:K318)</x:f>
        <x:v>368370.4829168556</x:v>
      </x:c>
      <x:c r="M318" s="141" t="str">
        <x:f>IF(A318&lt;Premissas!$B$27,"Financiamento + consorcio",IF(A318=Premissas!$B$27,"Quitacao via carta",IF(A318&lt;=Premissas!$B$25,"Somente consorcio","Encerrado")))</x:f>
        <x:v>Encerrado</x:v>
      </x:c>
      <x:c r="N318" s="141" t="n">
        <x:f>IF(A318&gt;=Premissas!$B$25,0,(N319+E319)/(1+Premissas!$B$41))</x:f>
        <x:v>0</x:v>
      </x:c>
      <x:c r="O318" s="141" t="n">
        <x:f>IF(A318&lt;Premissas!$B$27,Premissas!$B$31/(1+Premissas!$B$41)^(Premissas!$B$27-A318),0)</x:f>
        <x:v>0</x:v>
      </x:c>
      <x:c r="P318" s="141" t="n">
        <x:f>MAX(0,H318-I318)+N318</x:f>
        <x:v>0</x:v>
      </x:c>
    </x:row>
    <x:row r="319">
      <x:c r="A319" s="142" t="n">
        <x:v>314</x:v>
      </x:c>
      <x:c r="B319" s="179" t="n">
        <x:f>EDATE(Premissas!$B$4,313)</x:f>
        <x:v>56066</x:v>
      </x:c>
      <x:c r="C319" s="180" t="n">
        <x:f>(1+Premissas!$B$26)^INT((A319-1)/12)</x:f>
        <x:v>4.549382962928098</x:v>
      </x:c>
      <x:c r="D319" s="141" t="n">
        <x:f>Premissas!$B$30*C319</x:f>
        <x:v>494199.4171307469</x:v>
      </x:c>
      <x:c r="E319" s="141" t="n">
        <x:f>IF(A319&lt;=Premissas!$B$25,Premissas!$B$32*C319,0)</x:f>
        <x:v>0</x:v>
      </x:c>
      <x:c r="F319" s="141" t="n">
        <x:f>IF(AND(A319&gt;=Premissas!$B$48,A319&lt;=Premissas!$B$27,A319-Premissas!$B$48+1&lt;=Premissas!$B$13),INDEX(Financiamento!$C$6:$C$485,A319-Premissas!$B$48+1),0)</x:f>
        <x:v>0</x:v>
      </x:c>
      <x:c r="G319" s="141" t="n">
        <x:f>IF(AND(A319&gt;=Premissas!$B$48,A319&lt;=Premissas!$B$27,A319-Premissas!$B$48+1&lt;=Premissas!$B$13),INDEX(Financiamento!$J$6:$J$485,A319-Premissas!$B$48+1),0)</x:f>
        <x:v>0</x:v>
      </x:c>
      <x:c r="H319" s="141" t="n">
        <x:f>IF(AND(A319&gt;=Premissas!$B$48,A319&lt;=Premissas!$B$27,A319-Premissas!$B$48+1&lt;=Premissas!$B$13),INDEX(Financiamento!$M$6:$M$485,A319-Premissas!$B$48+1),0)</x:f>
        <x:v>0</x:v>
      </x:c>
      <x:c r="I319" s="141" t="n">
        <x:f>IF(A319=Premissas!$B$27,MIN(D319,H319),0)</x:f>
        <x:v>0</x:v>
      </x:c>
      <x:c r="J319" s="141" t="n">
        <x:f>IF(A319=Premissas!$B$27,D319-H319,0)</x:f>
        <x:v>0</x:v>
      </x:c>
      <x:c r="K319" s="141" t="n">
        <x:f>E319+G319</x:f>
        <x:v>0</x:v>
      </x:c>
      <x:c r="L319" s="141" t="n">
        <x:f>SUM($K$6:K319)</x:f>
        <x:v>368370.4829168556</x:v>
      </x:c>
      <x:c r="M319" s="141" t="str">
        <x:f>IF(A319&lt;Premissas!$B$27,"Financiamento + consorcio",IF(A319=Premissas!$B$27,"Quitacao via carta",IF(A319&lt;=Premissas!$B$25,"Somente consorcio","Encerrado")))</x:f>
        <x:v>Encerrado</x:v>
      </x:c>
      <x:c r="N319" s="141" t="n">
        <x:f>IF(A319&gt;=Premissas!$B$25,0,(N320+E320)/(1+Premissas!$B$41))</x:f>
        <x:v>0</x:v>
      </x:c>
      <x:c r="O319" s="141" t="n">
        <x:f>IF(A319&lt;Premissas!$B$27,Premissas!$B$31/(1+Premissas!$B$41)^(Premissas!$B$27-A319),0)</x:f>
        <x:v>0</x:v>
      </x:c>
      <x:c r="P319" s="141" t="n">
        <x:f>MAX(0,H319-I319)+N319</x:f>
        <x:v>0</x:v>
      </x:c>
    </x:row>
    <x:row r="320">
      <x:c r="A320" s="142" t="n">
        <x:v>315</x:v>
      </x:c>
      <x:c r="B320" s="179" t="n">
        <x:f>EDATE(Premissas!$B$4,314)</x:f>
        <x:v>56097</x:v>
      </x:c>
      <x:c r="C320" s="180" t="n">
        <x:f>(1+Premissas!$B$26)^INT((A320-1)/12)</x:f>
        <x:v>4.549382962928098</x:v>
      </x:c>
      <x:c r="D320" s="141" t="n">
        <x:f>Premissas!$B$30*C320</x:f>
        <x:v>494199.4171307469</x:v>
      </x:c>
      <x:c r="E320" s="141" t="n">
        <x:f>IF(A320&lt;=Premissas!$B$25,Premissas!$B$32*C320,0)</x:f>
        <x:v>0</x:v>
      </x:c>
      <x:c r="F320" s="141" t="n">
        <x:f>IF(AND(A320&gt;=Premissas!$B$48,A320&lt;=Premissas!$B$27,A320-Premissas!$B$48+1&lt;=Premissas!$B$13),INDEX(Financiamento!$C$6:$C$485,A320-Premissas!$B$48+1),0)</x:f>
        <x:v>0</x:v>
      </x:c>
      <x:c r="G320" s="141" t="n">
        <x:f>IF(AND(A320&gt;=Premissas!$B$48,A320&lt;=Premissas!$B$27,A320-Premissas!$B$48+1&lt;=Premissas!$B$13),INDEX(Financiamento!$J$6:$J$485,A320-Premissas!$B$48+1),0)</x:f>
        <x:v>0</x:v>
      </x:c>
      <x:c r="H320" s="141" t="n">
        <x:f>IF(AND(A320&gt;=Premissas!$B$48,A320&lt;=Premissas!$B$27,A320-Premissas!$B$48+1&lt;=Premissas!$B$13),INDEX(Financiamento!$M$6:$M$485,A320-Premissas!$B$48+1),0)</x:f>
        <x:v>0</x:v>
      </x:c>
      <x:c r="I320" s="141" t="n">
        <x:f>IF(A320=Premissas!$B$27,MIN(D320,H320),0)</x:f>
        <x:v>0</x:v>
      </x:c>
      <x:c r="J320" s="141" t="n">
        <x:f>IF(A320=Premissas!$B$27,D320-H320,0)</x:f>
        <x:v>0</x:v>
      </x:c>
      <x:c r="K320" s="141" t="n">
        <x:f>E320+G320</x:f>
        <x:v>0</x:v>
      </x:c>
      <x:c r="L320" s="141" t="n">
        <x:f>SUM($K$6:K320)</x:f>
        <x:v>368370.4829168556</x:v>
      </x:c>
      <x:c r="M320" s="141" t="str">
        <x:f>IF(A320&lt;Premissas!$B$27,"Financiamento + consorcio",IF(A320=Premissas!$B$27,"Quitacao via carta",IF(A320&lt;=Premissas!$B$25,"Somente consorcio","Encerrado")))</x:f>
        <x:v>Encerrado</x:v>
      </x:c>
      <x:c r="N320" s="141" t="n">
        <x:f>IF(A320&gt;=Premissas!$B$25,0,(N321+E321)/(1+Premissas!$B$41))</x:f>
        <x:v>0</x:v>
      </x:c>
      <x:c r="O320" s="141" t="n">
        <x:f>IF(A320&lt;Premissas!$B$27,Premissas!$B$31/(1+Premissas!$B$41)^(Premissas!$B$27-A320),0)</x:f>
        <x:v>0</x:v>
      </x:c>
      <x:c r="P320" s="141" t="n">
        <x:f>MAX(0,H320-I320)+N320</x:f>
        <x:v>0</x:v>
      </x:c>
    </x:row>
    <x:row r="321">
      <x:c r="A321" s="142" t="n">
        <x:v>316</x:v>
      </x:c>
      <x:c r="B321" s="179" t="n">
        <x:f>EDATE(Premissas!$B$4,315)</x:f>
        <x:v>56128</x:v>
      </x:c>
      <x:c r="C321" s="180" t="n">
        <x:f>(1+Premissas!$B$26)^INT((A321-1)/12)</x:f>
        <x:v>4.549382962928098</x:v>
      </x:c>
      <x:c r="D321" s="141" t="n">
        <x:f>Premissas!$B$30*C321</x:f>
        <x:v>494199.4171307469</x:v>
      </x:c>
      <x:c r="E321" s="141" t="n">
        <x:f>IF(A321&lt;=Premissas!$B$25,Premissas!$B$32*C321,0)</x:f>
        <x:v>0</x:v>
      </x:c>
      <x:c r="F321" s="141" t="n">
        <x:f>IF(AND(A321&gt;=Premissas!$B$48,A321&lt;=Premissas!$B$27,A321-Premissas!$B$48+1&lt;=Premissas!$B$13),INDEX(Financiamento!$C$6:$C$485,A321-Premissas!$B$48+1),0)</x:f>
        <x:v>0</x:v>
      </x:c>
      <x:c r="G321" s="141" t="n">
        <x:f>IF(AND(A321&gt;=Premissas!$B$48,A321&lt;=Premissas!$B$27,A321-Premissas!$B$48+1&lt;=Premissas!$B$13),INDEX(Financiamento!$J$6:$J$485,A321-Premissas!$B$48+1),0)</x:f>
        <x:v>0</x:v>
      </x:c>
      <x:c r="H321" s="141" t="n">
        <x:f>IF(AND(A321&gt;=Premissas!$B$48,A321&lt;=Premissas!$B$27,A321-Premissas!$B$48+1&lt;=Premissas!$B$13),INDEX(Financiamento!$M$6:$M$485,A321-Premissas!$B$48+1),0)</x:f>
        <x:v>0</x:v>
      </x:c>
      <x:c r="I321" s="141" t="n">
        <x:f>IF(A321=Premissas!$B$27,MIN(D321,H321),0)</x:f>
        <x:v>0</x:v>
      </x:c>
      <x:c r="J321" s="141" t="n">
        <x:f>IF(A321=Premissas!$B$27,D321-H321,0)</x:f>
        <x:v>0</x:v>
      </x:c>
      <x:c r="K321" s="141" t="n">
        <x:f>E321+G321</x:f>
        <x:v>0</x:v>
      </x:c>
      <x:c r="L321" s="141" t="n">
        <x:f>SUM($K$6:K321)</x:f>
        <x:v>368370.4829168556</x:v>
      </x:c>
      <x:c r="M321" s="141" t="str">
        <x:f>IF(A321&lt;Premissas!$B$27,"Financiamento + consorcio",IF(A321=Premissas!$B$27,"Quitacao via carta",IF(A321&lt;=Premissas!$B$25,"Somente consorcio","Encerrado")))</x:f>
        <x:v>Encerrado</x:v>
      </x:c>
      <x:c r="N321" s="141" t="n">
        <x:f>IF(A321&gt;=Premissas!$B$25,0,(N322+E322)/(1+Premissas!$B$41))</x:f>
        <x:v>0</x:v>
      </x:c>
      <x:c r="O321" s="141" t="n">
        <x:f>IF(A321&lt;Premissas!$B$27,Premissas!$B$31/(1+Premissas!$B$41)^(Premissas!$B$27-A321),0)</x:f>
        <x:v>0</x:v>
      </x:c>
      <x:c r="P321" s="141" t="n">
        <x:f>MAX(0,H321-I321)+N321</x:f>
        <x:v>0</x:v>
      </x:c>
    </x:row>
    <x:row r="322">
      <x:c r="A322" s="142" t="n">
        <x:v>317</x:v>
      </x:c>
      <x:c r="B322" s="179" t="n">
        <x:f>EDATE(Premissas!$B$4,316)</x:f>
        <x:v>56158</x:v>
      </x:c>
      <x:c r="C322" s="180" t="n">
        <x:f>(1+Premissas!$B$26)^INT((A322-1)/12)</x:f>
        <x:v>4.549382962928098</x:v>
      </x:c>
      <x:c r="D322" s="141" t="n">
        <x:f>Premissas!$B$30*C322</x:f>
        <x:v>494199.4171307469</x:v>
      </x:c>
      <x:c r="E322" s="141" t="n">
        <x:f>IF(A322&lt;=Premissas!$B$25,Premissas!$B$32*C322,0)</x:f>
        <x:v>0</x:v>
      </x:c>
      <x:c r="F322" s="141" t="n">
        <x:f>IF(AND(A322&gt;=Premissas!$B$48,A322&lt;=Premissas!$B$27,A322-Premissas!$B$48+1&lt;=Premissas!$B$13),INDEX(Financiamento!$C$6:$C$485,A322-Premissas!$B$48+1),0)</x:f>
        <x:v>0</x:v>
      </x:c>
      <x:c r="G322" s="141" t="n">
        <x:f>IF(AND(A322&gt;=Premissas!$B$48,A322&lt;=Premissas!$B$27,A322-Premissas!$B$48+1&lt;=Premissas!$B$13),INDEX(Financiamento!$J$6:$J$485,A322-Premissas!$B$48+1),0)</x:f>
        <x:v>0</x:v>
      </x:c>
      <x:c r="H322" s="141" t="n">
        <x:f>IF(AND(A322&gt;=Premissas!$B$48,A322&lt;=Premissas!$B$27,A322-Premissas!$B$48+1&lt;=Premissas!$B$13),INDEX(Financiamento!$M$6:$M$485,A322-Premissas!$B$48+1),0)</x:f>
        <x:v>0</x:v>
      </x:c>
      <x:c r="I322" s="141" t="n">
        <x:f>IF(A322=Premissas!$B$27,MIN(D322,H322),0)</x:f>
        <x:v>0</x:v>
      </x:c>
      <x:c r="J322" s="141" t="n">
        <x:f>IF(A322=Premissas!$B$27,D322-H322,0)</x:f>
        <x:v>0</x:v>
      </x:c>
      <x:c r="K322" s="141" t="n">
        <x:f>E322+G322</x:f>
        <x:v>0</x:v>
      </x:c>
      <x:c r="L322" s="141" t="n">
        <x:f>SUM($K$6:K322)</x:f>
        <x:v>368370.4829168556</x:v>
      </x:c>
      <x:c r="M322" s="141" t="str">
        <x:f>IF(A322&lt;Premissas!$B$27,"Financiamento + consorcio",IF(A322=Premissas!$B$27,"Quitacao via carta",IF(A322&lt;=Premissas!$B$25,"Somente consorcio","Encerrado")))</x:f>
        <x:v>Encerrado</x:v>
      </x:c>
      <x:c r="N322" s="141" t="n">
        <x:f>IF(A322&gt;=Premissas!$B$25,0,(N323+E323)/(1+Premissas!$B$41))</x:f>
        <x:v>0</x:v>
      </x:c>
      <x:c r="O322" s="141" t="n">
        <x:f>IF(A322&lt;Premissas!$B$27,Premissas!$B$31/(1+Premissas!$B$41)^(Premissas!$B$27-A322),0)</x:f>
        <x:v>0</x:v>
      </x:c>
      <x:c r="P322" s="141" t="n">
        <x:f>MAX(0,H322-I322)+N322</x:f>
        <x:v>0</x:v>
      </x:c>
    </x:row>
    <x:row r="323">
      <x:c r="A323" s="142" t="n">
        <x:v>318</x:v>
      </x:c>
      <x:c r="B323" s="179" t="n">
        <x:f>EDATE(Premissas!$B$4,317)</x:f>
        <x:v>56189</x:v>
      </x:c>
      <x:c r="C323" s="180" t="n">
        <x:f>(1+Premissas!$B$26)^INT((A323-1)/12)</x:f>
        <x:v>4.549382962928098</x:v>
      </x:c>
      <x:c r="D323" s="141" t="n">
        <x:f>Premissas!$B$30*C323</x:f>
        <x:v>494199.4171307469</x:v>
      </x:c>
      <x:c r="E323" s="141" t="n">
        <x:f>IF(A323&lt;=Premissas!$B$25,Premissas!$B$32*C323,0)</x:f>
        <x:v>0</x:v>
      </x:c>
      <x:c r="F323" s="141" t="n">
        <x:f>IF(AND(A323&gt;=Premissas!$B$48,A323&lt;=Premissas!$B$27,A323-Premissas!$B$48+1&lt;=Premissas!$B$13),INDEX(Financiamento!$C$6:$C$485,A323-Premissas!$B$48+1),0)</x:f>
        <x:v>0</x:v>
      </x:c>
      <x:c r="G323" s="141" t="n">
        <x:f>IF(AND(A323&gt;=Premissas!$B$48,A323&lt;=Premissas!$B$27,A323-Premissas!$B$48+1&lt;=Premissas!$B$13),INDEX(Financiamento!$J$6:$J$485,A323-Premissas!$B$48+1),0)</x:f>
        <x:v>0</x:v>
      </x:c>
      <x:c r="H323" s="141" t="n">
        <x:f>IF(AND(A323&gt;=Premissas!$B$48,A323&lt;=Premissas!$B$27,A323-Premissas!$B$48+1&lt;=Premissas!$B$13),INDEX(Financiamento!$M$6:$M$485,A323-Premissas!$B$48+1),0)</x:f>
        <x:v>0</x:v>
      </x:c>
      <x:c r="I323" s="141" t="n">
        <x:f>IF(A323=Premissas!$B$27,MIN(D323,H323),0)</x:f>
        <x:v>0</x:v>
      </x:c>
      <x:c r="J323" s="141" t="n">
        <x:f>IF(A323=Premissas!$B$27,D323-H323,0)</x:f>
        <x:v>0</x:v>
      </x:c>
      <x:c r="K323" s="141" t="n">
        <x:f>E323+G323</x:f>
        <x:v>0</x:v>
      </x:c>
      <x:c r="L323" s="141" t="n">
        <x:f>SUM($K$6:K323)</x:f>
        <x:v>368370.4829168556</x:v>
      </x:c>
      <x:c r="M323" s="141" t="str">
        <x:f>IF(A323&lt;Premissas!$B$27,"Financiamento + consorcio",IF(A323=Premissas!$B$27,"Quitacao via carta",IF(A323&lt;=Premissas!$B$25,"Somente consorcio","Encerrado")))</x:f>
        <x:v>Encerrado</x:v>
      </x:c>
      <x:c r="N323" s="141" t="n">
        <x:f>IF(A323&gt;=Premissas!$B$25,0,(N324+E324)/(1+Premissas!$B$41))</x:f>
        <x:v>0</x:v>
      </x:c>
      <x:c r="O323" s="141" t="n">
        <x:f>IF(A323&lt;Premissas!$B$27,Premissas!$B$31/(1+Premissas!$B$41)^(Premissas!$B$27-A323),0)</x:f>
        <x:v>0</x:v>
      </x:c>
      <x:c r="P323" s="141" t="n">
        <x:f>MAX(0,H323-I323)+N323</x:f>
        <x:v>0</x:v>
      </x:c>
    </x:row>
    <x:row r="324">
      <x:c r="A324" s="142" t="n">
        <x:v>319</x:v>
      </x:c>
      <x:c r="B324" s="179" t="n">
        <x:f>EDATE(Premissas!$B$4,318)</x:f>
        <x:v>56219</x:v>
      </x:c>
      <x:c r="C324" s="180" t="n">
        <x:f>(1+Premissas!$B$26)^INT((A324-1)/12)</x:f>
        <x:v>4.549382962928098</x:v>
      </x:c>
      <x:c r="D324" s="141" t="n">
        <x:f>Premissas!$B$30*C324</x:f>
        <x:v>494199.4171307469</x:v>
      </x:c>
      <x:c r="E324" s="141" t="n">
        <x:f>IF(A324&lt;=Premissas!$B$25,Premissas!$B$32*C324,0)</x:f>
        <x:v>0</x:v>
      </x:c>
      <x:c r="F324" s="141" t="n">
        <x:f>IF(AND(A324&gt;=Premissas!$B$48,A324&lt;=Premissas!$B$27,A324-Premissas!$B$48+1&lt;=Premissas!$B$13),INDEX(Financiamento!$C$6:$C$485,A324-Premissas!$B$48+1),0)</x:f>
        <x:v>0</x:v>
      </x:c>
      <x:c r="G324" s="141" t="n">
        <x:f>IF(AND(A324&gt;=Premissas!$B$48,A324&lt;=Premissas!$B$27,A324-Premissas!$B$48+1&lt;=Premissas!$B$13),INDEX(Financiamento!$J$6:$J$485,A324-Premissas!$B$48+1),0)</x:f>
        <x:v>0</x:v>
      </x:c>
      <x:c r="H324" s="141" t="n">
        <x:f>IF(AND(A324&gt;=Premissas!$B$48,A324&lt;=Premissas!$B$27,A324-Premissas!$B$48+1&lt;=Premissas!$B$13),INDEX(Financiamento!$M$6:$M$485,A324-Premissas!$B$48+1),0)</x:f>
        <x:v>0</x:v>
      </x:c>
      <x:c r="I324" s="141" t="n">
        <x:f>IF(A324=Premissas!$B$27,MIN(D324,H324),0)</x:f>
        <x:v>0</x:v>
      </x:c>
      <x:c r="J324" s="141" t="n">
        <x:f>IF(A324=Premissas!$B$27,D324-H324,0)</x:f>
        <x:v>0</x:v>
      </x:c>
      <x:c r="K324" s="141" t="n">
        <x:f>E324+G324</x:f>
        <x:v>0</x:v>
      </x:c>
      <x:c r="L324" s="141" t="n">
        <x:f>SUM($K$6:K324)</x:f>
        <x:v>368370.4829168556</x:v>
      </x:c>
      <x:c r="M324" s="141" t="str">
        <x:f>IF(A324&lt;Premissas!$B$27,"Financiamento + consorcio",IF(A324=Premissas!$B$27,"Quitacao via carta",IF(A324&lt;=Premissas!$B$25,"Somente consorcio","Encerrado")))</x:f>
        <x:v>Encerrado</x:v>
      </x:c>
      <x:c r="N324" s="141" t="n">
        <x:f>IF(A324&gt;=Premissas!$B$25,0,(N325+E325)/(1+Premissas!$B$41))</x:f>
        <x:v>0</x:v>
      </x:c>
      <x:c r="O324" s="141" t="n">
        <x:f>IF(A324&lt;Premissas!$B$27,Premissas!$B$31/(1+Premissas!$B$41)^(Premissas!$B$27-A324),0)</x:f>
        <x:v>0</x:v>
      </x:c>
      <x:c r="P324" s="141" t="n">
        <x:f>MAX(0,H324-I324)+N324</x:f>
        <x:v>0</x:v>
      </x:c>
    </x:row>
    <x:row r="325">
      <x:c r="A325" s="142" t="n">
        <x:v>320</x:v>
      </x:c>
      <x:c r="B325" s="179" t="n">
        <x:f>EDATE(Premissas!$B$4,319)</x:f>
        <x:v>56250</x:v>
      </x:c>
      <x:c r="C325" s="180" t="n">
        <x:f>(1+Premissas!$B$26)^INT((A325-1)/12)</x:f>
        <x:v>4.549382962928098</x:v>
      </x:c>
      <x:c r="D325" s="141" t="n">
        <x:f>Premissas!$B$30*C325</x:f>
        <x:v>494199.4171307469</x:v>
      </x:c>
      <x:c r="E325" s="141" t="n">
        <x:f>IF(A325&lt;=Premissas!$B$25,Premissas!$B$32*C325,0)</x:f>
        <x:v>0</x:v>
      </x:c>
      <x:c r="F325" s="141" t="n">
        <x:f>IF(AND(A325&gt;=Premissas!$B$48,A325&lt;=Premissas!$B$27,A325-Premissas!$B$48+1&lt;=Premissas!$B$13),INDEX(Financiamento!$C$6:$C$485,A325-Premissas!$B$48+1),0)</x:f>
        <x:v>0</x:v>
      </x:c>
      <x:c r="G325" s="141" t="n">
        <x:f>IF(AND(A325&gt;=Premissas!$B$48,A325&lt;=Premissas!$B$27,A325-Premissas!$B$48+1&lt;=Premissas!$B$13),INDEX(Financiamento!$J$6:$J$485,A325-Premissas!$B$48+1),0)</x:f>
        <x:v>0</x:v>
      </x:c>
      <x:c r="H325" s="141" t="n">
        <x:f>IF(AND(A325&gt;=Premissas!$B$48,A325&lt;=Premissas!$B$27,A325-Premissas!$B$48+1&lt;=Premissas!$B$13),INDEX(Financiamento!$M$6:$M$485,A325-Premissas!$B$48+1),0)</x:f>
        <x:v>0</x:v>
      </x:c>
      <x:c r="I325" s="141" t="n">
        <x:f>IF(A325=Premissas!$B$27,MIN(D325,H325),0)</x:f>
        <x:v>0</x:v>
      </x:c>
      <x:c r="J325" s="141" t="n">
        <x:f>IF(A325=Premissas!$B$27,D325-H325,0)</x:f>
        <x:v>0</x:v>
      </x:c>
      <x:c r="K325" s="141" t="n">
        <x:f>E325+G325</x:f>
        <x:v>0</x:v>
      </x:c>
      <x:c r="L325" s="141" t="n">
        <x:f>SUM($K$6:K325)</x:f>
        <x:v>368370.4829168556</x:v>
      </x:c>
      <x:c r="M325" s="141" t="str">
        <x:f>IF(A325&lt;Premissas!$B$27,"Financiamento + consorcio",IF(A325=Premissas!$B$27,"Quitacao via carta",IF(A325&lt;=Premissas!$B$25,"Somente consorcio","Encerrado")))</x:f>
        <x:v>Encerrado</x:v>
      </x:c>
      <x:c r="N325" s="141" t="n">
        <x:f>IF(A325&gt;=Premissas!$B$25,0,(N326+E326)/(1+Premissas!$B$41))</x:f>
        <x:v>0</x:v>
      </x:c>
      <x:c r="O325" s="141" t="n">
        <x:f>IF(A325&lt;Premissas!$B$27,Premissas!$B$31/(1+Premissas!$B$41)^(Premissas!$B$27-A325),0)</x:f>
        <x:v>0</x:v>
      </x:c>
      <x:c r="P325" s="141" t="n">
        <x:f>MAX(0,H325-I325)+N325</x:f>
        <x:v>0</x:v>
      </x:c>
    </x:row>
    <x:row r="326">
      <x:c r="A326" s="142" t="n">
        <x:v>321</x:v>
      </x:c>
      <x:c r="B326" s="179" t="n">
        <x:f>EDATE(Premissas!$B$4,320)</x:f>
        <x:v>56281</x:v>
      </x:c>
      <x:c r="C326" s="180" t="n">
        <x:f>(1+Premissas!$B$26)^INT((A326-1)/12)</x:f>
        <x:v>4.549382962928098</x:v>
      </x:c>
      <x:c r="D326" s="141" t="n">
        <x:f>Premissas!$B$30*C326</x:f>
        <x:v>494199.4171307469</x:v>
      </x:c>
      <x:c r="E326" s="141" t="n">
        <x:f>IF(A326&lt;=Premissas!$B$25,Premissas!$B$32*C326,0)</x:f>
        <x:v>0</x:v>
      </x:c>
      <x:c r="F326" s="141" t="n">
        <x:f>IF(AND(A326&gt;=Premissas!$B$48,A326&lt;=Premissas!$B$27,A326-Premissas!$B$48+1&lt;=Premissas!$B$13),INDEX(Financiamento!$C$6:$C$485,A326-Premissas!$B$48+1),0)</x:f>
        <x:v>0</x:v>
      </x:c>
      <x:c r="G326" s="141" t="n">
        <x:f>IF(AND(A326&gt;=Premissas!$B$48,A326&lt;=Premissas!$B$27,A326-Premissas!$B$48+1&lt;=Premissas!$B$13),INDEX(Financiamento!$J$6:$J$485,A326-Premissas!$B$48+1),0)</x:f>
        <x:v>0</x:v>
      </x:c>
      <x:c r="H326" s="141" t="n">
        <x:f>IF(AND(A326&gt;=Premissas!$B$48,A326&lt;=Premissas!$B$27,A326-Premissas!$B$48+1&lt;=Premissas!$B$13),INDEX(Financiamento!$M$6:$M$485,A326-Premissas!$B$48+1),0)</x:f>
        <x:v>0</x:v>
      </x:c>
      <x:c r="I326" s="141" t="n">
        <x:f>IF(A326=Premissas!$B$27,MIN(D326,H326),0)</x:f>
        <x:v>0</x:v>
      </x:c>
      <x:c r="J326" s="141" t="n">
        <x:f>IF(A326=Premissas!$B$27,D326-H326,0)</x:f>
        <x:v>0</x:v>
      </x:c>
      <x:c r="K326" s="141" t="n">
        <x:f>E326+G326</x:f>
        <x:v>0</x:v>
      </x:c>
      <x:c r="L326" s="141" t="n">
        <x:f>SUM($K$6:K326)</x:f>
        <x:v>368370.4829168556</x:v>
      </x:c>
      <x:c r="M326" s="141" t="str">
        <x:f>IF(A326&lt;Premissas!$B$27,"Financiamento + consorcio",IF(A326=Premissas!$B$27,"Quitacao via carta",IF(A326&lt;=Premissas!$B$25,"Somente consorcio","Encerrado")))</x:f>
        <x:v>Encerrado</x:v>
      </x:c>
      <x:c r="N326" s="141" t="n">
        <x:f>IF(A326&gt;=Premissas!$B$25,0,(N327+E327)/(1+Premissas!$B$41))</x:f>
        <x:v>0</x:v>
      </x:c>
      <x:c r="O326" s="141" t="n">
        <x:f>IF(A326&lt;Premissas!$B$27,Premissas!$B$31/(1+Premissas!$B$41)^(Premissas!$B$27-A326),0)</x:f>
        <x:v>0</x:v>
      </x:c>
      <x:c r="P326" s="141" t="n">
        <x:f>MAX(0,H326-I326)+N326</x:f>
        <x:v>0</x:v>
      </x:c>
    </x:row>
    <x:row r="327">
      <x:c r="A327" s="142" t="n">
        <x:v>322</x:v>
      </x:c>
      <x:c r="B327" s="179" t="n">
        <x:f>EDATE(Premissas!$B$4,321)</x:f>
        <x:v>56309</x:v>
      </x:c>
      <x:c r="C327" s="180" t="n">
        <x:f>(1+Premissas!$B$26)^INT((A327-1)/12)</x:f>
        <x:v>4.549382962928098</x:v>
      </x:c>
      <x:c r="D327" s="141" t="n">
        <x:f>Premissas!$B$30*C327</x:f>
        <x:v>494199.4171307469</x:v>
      </x:c>
      <x:c r="E327" s="141" t="n">
        <x:f>IF(A327&lt;=Premissas!$B$25,Premissas!$B$32*C327,0)</x:f>
        <x:v>0</x:v>
      </x:c>
      <x:c r="F327" s="141" t="n">
        <x:f>IF(AND(A327&gt;=Premissas!$B$48,A327&lt;=Premissas!$B$27,A327-Premissas!$B$48+1&lt;=Premissas!$B$13),INDEX(Financiamento!$C$6:$C$485,A327-Premissas!$B$48+1),0)</x:f>
        <x:v>0</x:v>
      </x:c>
      <x:c r="G327" s="141" t="n">
        <x:f>IF(AND(A327&gt;=Premissas!$B$48,A327&lt;=Premissas!$B$27,A327-Premissas!$B$48+1&lt;=Premissas!$B$13),INDEX(Financiamento!$J$6:$J$485,A327-Premissas!$B$48+1),0)</x:f>
        <x:v>0</x:v>
      </x:c>
      <x:c r="H327" s="141" t="n">
        <x:f>IF(AND(A327&gt;=Premissas!$B$48,A327&lt;=Premissas!$B$27,A327-Premissas!$B$48+1&lt;=Premissas!$B$13),INDEX(Financiamento!$M$6:$M$485,A327-Premissas!$B$48+1),0)</x:f>
        <x:v>0</x:v>
      </x:c>
      <x:c r="I327" s="141" t="n">
        <x:f>IF(A327=Premissas!$B$27,MIN(D327,H327),0)</x:f>
        <x:v>0</x:v>
      </x:c>
      <x:c r="J327" s="141" t="n">
        <x:f>IF(A327=Premissas!$B$27,D327-H327,0)</x:f>
        <x:v>0</x:v>
      </x:c>
      <x:c r="K327" s="141" t="n">
        <x:f>E327+G327</x:f>
        <x:v>0</x:v>
      </x:c>
      <x:c r="L327" s="141" t="n">
        <x:f>SUM($K$6:K327)</x:f>
        <x:v>368370.4829168556</x:v>
      </x:c>
      <x:c r="M327" s="141" t="str">
        <x:f>IF(A327&lt;Premissas!$B$27,"Financiamento + consorcio",IF(A327=Premissas!$B$27,"Quitacao via carta",IF(A327&lt;=Premissas!$B$25,"Somente consorcio","Encerrado")))</x:f>
        <x:v>Encerrado</x:v>
      </x:c>
      <x:c r="N327" s="141" t="n">
        <x:f>IF(A327&gt;=Premissas!$B$25,0,(N328+E328)/(1+Premissas!$B$41))</x:f>
        <x:v>0</x:v>
      </x:c>
      <x:c r="O327" s="141" t="n">
        <x:f>IF(A327&lt;Premissas!$B$27,Premissas!$B$31/(1+Premissas!$B$41)^(Premissas!$B$27-A327),0)</x:f>
        <x:v>0</x:v>
      </x:c>
      <x:c r="P327" s="141" t="n">
        <x:f>MAX(0,H327-I327)+N327</x:f>
        <x:v>0</x:v>
      </x:c>
    </x:row>
    <x:row r="328">
      <x:c r="A328" s="142" t="n">
        <x:v>323</x:v>
      </x:c>
      <x:c r="B328" s="179" t="n">
        <x:f>EDATE(Premissas!$B$4,322)</x:f>
        <x:v>56340</x:v>
      </x:c>
      <x:c r="C328" s="180" t="n">
        <x:f>(1+Premissas!$B$26)^INT((A328-1)/12)</x:f>
        <x:v>4.549382962928098</x:v>
      </x:c>
      <x:c r="D328" s="141" t="n">
        <x:f>Premissas!$B$30*C328</x:f>
        <x:v>494199.4171307469</x:v>
      </x:c>
      <x:c r="E328" s="141" t="n">
        <x:f>IF(A328&lt;=Premissas!$B$25,Premissas!$B$32*C328,0)</x:f>
        <x:v>0</x:v>
      </x:c>
      <x:c r="F328" s="141" t="n">
        <x:f>IF(AND(A328&gt;=Premissas!$B$48,A328&lt;=Premissas!$B$27,A328-Premissas!$B$48+1&lt;=Premissas!$B$13),INDEX(Financiamento!$C$6:$C$485,A328-Premissas!$B$48+1),0)</x:f>
        <x:v>0</x:v>
      </x:c>
      <x:c r="G328" s="141" t="n">
        <x:f>IF(AND(A328&gt;=Premissas!$B$48,A328&lt;=Premissas!$B$27,A328-Premissas!$B$48+1&lt;=Premissas!$B$13),INDEX(Financiamento!$J$6:$J$485,A328-Premissas!$B$48+1),0)</x:f>
        <x:v>0</x:v>
      </x:c>
      <x:c r="H328" s="141" t="n">
        <x:f>IF(AND(A328&gt;=Premissas!$B$48,A328&lt;=Premissas!$B$27,A328-Premissas!$B$48+1&lt;=Premissas!$B$13),INDEX(Financiamento!$M$6:$M$485,A328-Premissas!$B$48+1),0)</x:f>
        <x:v>0</x:v>
      </x:c>
      <x:c r="I328" s="141" t="n">
        <x:f>IF(A328=Premissas!$B$27,MIN(D328,H328),0)</x:f>
        <x:v>0</x:v>
      </x:c>
      <x:c r="J328" s="141" t="n">
        <x:f>IF(A328=Premissas!$B$27,D328-H328,0)</x:f>
        <x:v>0</x:v>
      </x:c>
      <x:c r="K328" s="141" t="n">
        <x:f>E328+G328</x:f>
        <x:v>0</x:v>
      </x:c>
      <x:c r="L328" s="141" t="n">
        <x:f>SUM($K$6:K328)</x:f>
        <x:v>368370.4829168556</x:v>
      </x:c>
      <x:c r="M328" s="141" t="str">
        <x:f>IF(A328&lt;Premissas!$B$27,"Financiamento + consorcio",IF(A328=Premissas!$B$27,"Quitacao via carta",IF(A328&lt;=Premissas!$B$25,"Somente consorcio","Encerrado")))</x:f>
        <x:v>Encerrado</x:v>
      </x:c>
      <x:c r="N328" s="141" t="n">
        <x:f>IF(A328&gt;=Premissas!$B$25,0,(N329+E329)/(1+Premissas!$B$41))</x:f>
        <x:v>0</x:v>
      </x:c>
      <x:c r="O328" s="141" t="n">
        <x:f>IF(A328&lt;Premissas!$B$27,Premissas!$B$31/(1+Premissas!$B$41)^(Premissas!$B$27-A328),0)</x:f>
        <x:v>0</x:v>
      </x:c>
      <x:c r="P328" s="141" t="n">
        <x:f>MAX(0,H328-I328)+N328</x:f>
        <x:v>0</x:v>
      </x:c>
    </x:row>
    <x:row r="329">
      <x:c r="A329" s="142" t="n">
        <x:v>324</x:v>
      </x:c>
      <x:c r="B329" s="179" t="n">
        <x:f>EDATE(Premissas!$B$4,323)</x:f>
        <x:v>56370</x:v>
      </x:c>
      <x:c r="C329" s="180" t="n">
        <x:f>(1+Premissas!$B$26)^INT((A329-1)/12)</x:f>
        <x:v>4.549382962928098</x:v>
      </x:c>
      <x:c r="D329" s="141" t="n">
        <x:f>Premissas!$B$30*C329</x:f>
        <x:v>494199.4171307469</x:v>
      </x:c>
      <x:c r="E329" s="141" t="n">
        <x:f>IF(A329&lt;=Premissas!$B$25,Premissas!$B$32*C329,0)</x:f>
        <x:v>0</x:v>
      </x:c>
      <x:c r="F329" s="141" t="n">
        <x:f>IF(AND(A329&gt;=Premissas!$B$48,A329&lt;=Premissas!$B$27,A329-Premissas!$B$48+1&lt;=Premissas!$B$13),INDEX(Financiamento!$C$6:$C$485,A329-Premissas!$B$48+1),0)</x:f>
        <x:v>0</x:v>
      </x:c>
      <x:c r="G329" s="141" t="n">
        <x:f>IF(AND(A329&gt;=Premissas!$B$48,A329&lt;=Premissas!$B$27,A329-Premissas!$B$48+1&lt;=Premissas!$B$13),INDEX(Financiamento!$J$6:$J$485,A329-Premissas!$B$48+1),0)</x:f>
        <x:v>0</x:v>
      </x:c>
      <x:c r="H329" s="141" t="n">
        <x:f>IF(AND(A329&gt;=Premissas!$B$48,A329&lt;=Premissas!$B$27,A329-Premissas!$B$48+1&lt;=Premissas!$B$13),INDEX(Financiamento!$M$6:$M$485,A329-Premissas!$B$48+1),0)</x:f>
        <x:v>0</x:v>
      </x:c>
      <x:c r="I329" s="141" t="n">
        <x:f>IF(A329=Premissas!$B$27,MIN(D329,H329),0)</x:f>
        <x:v>0</x:v>
      </x:c>
      <x:c r="J329" s="141" t="n">
        <x:f>IF(A329=Premissas!$B$27,D329-H329,0)</x:f>
        <x:v>0</x:v>
      </x:c>
      <x:c r="K329" s="141" t="n">
        <x:f>E329+G329</x:f>
        <x:v>0</x:v>
      </x:c>
      <x:c r="L329" s="141" t="n">
        <x:f>SUM($K$6:K329)</x:f>
        <x:v>368370.4829168556</x:v>
      </x:c>
      <x:c r="M329" s="141" t="str">
        <x:f>IF(A329&lt;Premissas!$B$27,"Financiamento + consorcio",IF(A329=Premissas!$B$27,"Quitacao via carta",IF(A329&lt;=Premissas!$B$25,"Somente consorcio","Encerrado")))</x:f>
        <x:v>Encerrado</x:v>
      </x:c>
      <x:c r="N329" s="141" t="n">
        <x:f>IF(A329&gt;=Premissas!$B$25,0,(N330+E330)/(1+Premissas!$B$41))</x:f>
        <x:v>0</x:v>
      </x:c>
      <x:c r="O329" s="141" t="n">
        <x:f>IF(A329&lt;Premissas!$B$27,Premissas!$B$31/(1+Premissas!$B$41)^(Premissas!$B$27-A329),0)</x:f>
        <x:v>0</x:v>
      </x:c>
      <x:c r="P329" s="141" t="n">
        <x:f>MAX(0,H329-I329)+N329</x:f>
        <x:v>0</x:v>
      </x:c>
    </x:row>
    <x:row r="330">
      <x:c r="A330" s="142" t="n">
        <x:v>325</x:v>
      </x:c>
      <x:c r="B330" s="179" t="n">
        <x:f>EDATE(Premissas!$B$4,324)</x:f>
        <x:v>56401</x:v>
      </x:c>
      <x:c r="C330" s="180" t="n">
        <x:f>(1+Premissas!$B$26)^INT((A330-1)/12)</x:f>
        <x:v>4.822345940703784</x:v>
      </x:c>
      <x:c r="D330" s="141" t="n">
        <x:f>Premissas!$B$30*C330</x:f>
        <x:v>523851.38215859164</x:v>
      </x:c>
      <x:c r="E330" s="141" t="n">
        <x:f>IF(A330&lt;=Premissas!$B$25,Premissas!$B$32*C330,0)</x:f>
        <x:v>0</x:v>
      </x:c>
      <x:c r="F330" s="141" t="n">
        <x:f>IF(AND(A330&gt;=Premissas!$B$48,A330&lt;=Premissas!$B$27,A330-Premissas!$B$48+1&lt;=Premissas!$B$13),INDEX(Financiamento!$C$6:$C$485,A330-Premissas!$B$48+1),0)</x:f>
        <x:v>0</x:v>
      </x:c>
      <x:c r="G330" s="141" t="n">
        <x:f>IF(AND(A330&gt;=Premissas!$B$48,A330&lt;=Premissas!$B$27,A330-Premissas!$B$48+1&lt;=Premissas!$B$13),INDEX(Financiamento!$J$6:$J$485,A330-Premissas!$B$48+1),0)</x:f>
        <x:v>0</x:v>
      </x:c>
      <x:c r="H330" s="141" t="n">
        <x:f>IF(AND(A330&gt;=Premissas!$B$48,A330&lt;=Premissas!$B$27,A330-Premissas!$B$48+1&lt;=Premissas!$B$13),INDEX(Financiamento!$M$6:$M$485,A330-Premissas!$B$48+1),0)</x:f>
        <x:v>0</x:v>
      </x:c>
      <x:c r="I330" s="141" t="n">
        <x:f>IF(A330=Premissas!$B$27,MIN(D330,H330),0)</x:f>
        <x:v>0</x:v>
      </x:c>
      <x:c r="J330" s="141" t="n">
        <x:f>IF(A330=Premissas!$B$27,D330-H330,0)</x:f>
        <x:v>0</x:v>
      </x:c>
      <x:c r="K330" s="141" t="n">
        <x:f>E330+G330</x:f>
        <x:v>0</x:v>
      </x:c>
      <x:c r="L330" s="141" t="n">
        <x:f>SUM($K$6:K330)</x:f>
        <x:v>368370.4829168556</x:v>
      </x:c>
      <x:c r="M330" s="141" t="str">
        <x:f>IF(A330&lt;Premissas!$B$27,"Financiamento + consorcio",IF(A330=Premissas!$B$27,"Quitacao via carta",IF(A330&lt;=Premissas!$B$25,"Somente consorcio","Encerrado")))</x:f>
        <x:v>Encerrado</x:v>
      </x:c>
      <x:c r="N330" s="141" t="n">
        <x:f>IF(A330&gt;=Premissas!$B$25,0,(N331+E331)/(1+Premissas!$B$41))</x:f>
        <x:v>0</x:v>
      </x:c>
      <x:c r="O330" s="141" t="n">
        <x:f>IF(A330&lt;Premissas!$B$27,Premissas!$B$31/(1+Premissas!$B$41)^(Premissas!$B$27-A330),0)</x:f>
        <x:v>0</x:v>
      </x:c>
      <x:c r="P330" s="141" t="n">
        <x:f>MAX(0,H330-I330)+N330</x:f>
        <x:v>0</x:v>
      </x:c>
    </x:row>
    <x:row r="331">
      <x:c r="A331" s="142" t="n">
        <x:v>326</x:v>
      </x:c>
      <x:c r="B331" s="179" t="n">
        <x:f>EDATE(Premissas!$B$4,325)</x:f>
        <x:v>56431</x:v>
      </x:c>
      <x:c r="C331" s="180" t="n">
        <x:f>(1+Premissas!$B$26)^INT((A331-1)/12)</x:f>
        <x:v>4.822345940703784</x:v>
      </x:c>
      <x:c r="D331" s="141" t="n">
        <x:f>Premissas!$B$30*C331</x:f>
        <x:v>523851.38215859164</x:v>
      </x:c>
      <x:c r="E331" s="141" t="n">
        <x:f>IF(A331&lt;=Premissas!$B$25,Premissas!$B$32*C331,0)</x:f>
        <x:v>0</x:v>
      </x:c>
      <x:c r="F331" s="141" t="n">
        <x:f>IF(AND(A331&gt;=Premissas!$B$48,A331&lt;=Premissas!$B$27,A331-Premissas!$B$48+1&lt;=Premissas!$B$13),INDEX(Financiamento!$C$6:$C$485,A331-Premissas!$B$48+1),0)</x:f>
        <x:v>0</x:v>
      </x:c>
      <x:c r="G331" s="141" t="n">
        <x:f>IF(AND(A331&gt;=Premissas!$B$48,A331&lt;=Premissas!$B$27,A331-Premissas!$B$48+1&lt;=Premissas!$B$13),INDEX(Financiamento!$J$6:$J$485,A331-Premissas!$B$48+1),0)</x:f>
        <x:v>0</x:v>
      </x:c>
      <x:c r="H331" s="141" t="n">
        <x:f>IF(AND(A331&gt;=Premissas!$B$48,A331&lt;=Premissas!$B$27,A331-Premissas!$B$48+1&lt;=Premissas!$B$13),INDEX(Financiamento!$M$6:$M$485,A331-Premissas!$B$48+1),0)</x:f>
        <x:v>0</x:v>
      </x:c>
      <x:c r="I331" s="141" t="n">
        <x:f>IF(A331=Premissas!$B$27,MIN(D331,H331),0)</x:f>
        <x:v>0</x:v>
      </x:c>
      <x:c r="J331" s="141" t="n">
        <x:f>IF(A331=Premissas!$B$27,D331-H331,0)</x:f>
        <x:v>0</x:v>
      </x:c>
      <x:c r="K331" s="141" t="n">
        <x:f>E331+G331</x:f>
        <x:v>0</x:v>
      </x:c>
      <x:c r="L331" s="141" t="n">
        <x:f>SUM($K$6:K331)</x:f>
        <x:v>368370.4829168556</x:v>
      </x:c>
      <x:c r="M331" s="141" t="str">
        <x:f>IF(A331&lt;Premissas!$B$27,"Financiamento + consorcio",IF(A331=Premissas!$B$27,"Quitacao via carta",IF(A331&lt;=Premissas!$B$25,"Somente consorcio","Encerrado")))</x:f>
        <x:v>Encerrado</x:v>
      </x:c>
      <x:c r="N331" s="141" t="n">
        <x:f>IF(A331&gt;=Premissas!$B$25,0,(N332+E332)/(1+Premissas!$B$41))</x:f>
        <x:v>0</x:v>
      </x:c>
      <x:c r="O331" s="141" t="n">
        <x:f>IF(A331&lt;Premissas!$B$27,Premissas!$B$31/(1+Premissas!$B$41)^(Premissas!$B$27-A331),0)</x:f>
        <x:v>0</x:v>
      </x:c>
      <x:c r="P331" s="141" t="n">
        <x:f>MAX(0,H331-I331)+N331</x:f>
        <x:v>0</x:v>
      </x:c>
    </x:row>
    <x:row r="332">
      <x:c r="A332" s="142" t="n">
        <x:v>327</x:v>
      </x:c>
      <x:c r="B332" s="179" t="n">
        <x:f>EDATE(Premissas!$B$4,326)</x:f>
        <x:v>56462</x:v>
      </x:c>
      <x:c r="C332" s="180" t="n">
        <x:f>(1+Premissas!$B$26)^INT((A332-1)/12)</x:f>
        <x:v>4.822345940703784</x:v>
      </x:c>
      <x:c r="D332" s="141" t="n">
        <x:f>Premissas!$B$30*C332</x:f>
        <x:v>523851.38215859164</x:v>
      </x:c>
      <x:c r="E332" s="141" t="n">
        <x:f>IF(A332&lt;=Premissas!$B$25,Premissas!$B$32*C332,0)</x:f>
        <x:v>0</x:v>
      </x:c>
      <x:c r="F332" s="141" t="n">
        <x:f>IF(AND(A332&gt;=Premissas!$B$48,A332&lt;=Premissas!$B$27,A332-Premissas!$B$48+1&lt;=Premissas!$B$13),INDEX(Financiamento!$C$6:$C$485,A332-Premissas!$B$48+1),0)</x:f>
        <x:v>0</x:v>
      </x:c>
      <x:c r="G332" s="141" t="n">
        <x:f>IF(AND(A332&gt;=Premissas!$B$48,A332&lt;=Premissas!$B$27,A332-Premissas!$B$48+1&lt;=Premissas!$B$13),INDEX(Financiamento!$J$6:$J$485,A332-Premissas!$B$48+1),0)</x:f>
        <x:v>0</x:v>
      </x:c>
      <x:c r="H332" s="141" t="n">
        <x:f>IF(AND(A332&gt;=Premissas!$B$48,A332&lt;=Premissas!$B$27,A332-Premissas!$B$48+1&lt;=Premissas!$B$13),INDEX(Financiamento!$M$6:$M$485,A332-Premissas!$B$48+1),0)</x:f>
        <x:v>0</x:v>
      </x:c>
      <x:c r="I332" s="141" t="n">
        <x:f>IF(A332=Premissas!$B$27,MIN(D332,H332),0)</x:f>
        <x:v>0</x:v>
      </x:c>
      <x:c r="J332" s="141" t="n">
        <x:f>IF(A332=Premissas!$B$27,D332-H332,0)</x:f>
        <x:v>0</x:v>
      </x:c>
      <x:c r="K332" s="141" t="n">
        <x:f>E332+G332</x:f>
        <x:v>0</x:v>
      </x:c>
      <x:c r="L332" s="141" t="n">
        <x:f>SUM($K$6:K332)</x:f>
        <x:v>368370.4829168556</x:v>
      </x:c>
      <x:c r="M332" s="141" t="str">
        <x:f>IF(A332&lt;Premissas!$B$27,"Financiamento + consorcio",IF(A332=Premissas!$B$27,"Quitacao via carta",IF(A332&lt;=Premissas!$B$25,"Somente consorcio","Encerrado")))</x:f>
        <x:v>Encerrado</x:v>
      </x:c>
      <x:c r="N332" s="141" t="n">
        <x:f>IF(A332&gt;=Premissas!$B$25,0,(N333+E333)/(1+Premissas!$B$41))</x:f>
        <x:v>0</x:v>
      </x:c>
      <x:c r="O332" s="141" t="n">
        <x:f>IF(A332&lt;Premissas!$B$27,Premissas!$B$31/(1+Premissas!$B$41)^(Premissas!$B$27-A332),0)</x:f>
        <x:v>0</x:v>
      </x:c>
      <x:c r="P332" s="141" t="n">
        <x:f>MAX(0,H332-I332)+N332</x:f>
        <x:v>0</x:v>
      </x:c>
    </x:row>
    <x:row r="333">
      <x:c r="A333" s="142" t="n">
        <x:v>328</x:v>
      </x:c>
      <x:c r="B333" s="179" t="n">
        <x:f>EDATE(Premissas!$B$4,327)</x:f>
        <x:v>56493</x:v>
      </x:c>
      <x:c r="C333" s="180" t="n">
        <x:f>(1+Premissas!$B$26)^INT((A333-1)/12)</x:f>
        <x:v>4.822345940703784</x:v>
      </x:c>
      <x:c r="D333" s="141" t="n">
        <x:f>Premissas!$B$30*C333</x:f>
        <x:v>523851.38215859164</x:v>
      </x:c>
      <x:c r="E333" s="141" t="n">
        <x:f>IF(A333&lt;=Premissas!$B$25,Premissas!$B$32*C333,0)</x:f>
        <x:v>0</x:v>
      </x:c>
      <x:c r="F333" s="141" t="n">
        <x:f>IF(AND(A333&gt;=Premissas!$B$48,A333&lt;=Premissas!$B$27,A333-Premissas!$B$48+1&lt;=Premissas!$B$13),INDEX(Financiamento!$C$6:$C$485,A333-Premissas!$B$48+1),0)</x:f>
        <x:v>0</x:v>
      </x:c>
      <x:c r="G333" s="141" t="n">
        <x:f>IF(AND(A333&gt;=Premissas!$B$48,A333&lt;=Premissas!$B$27,A333-Premissas!$B$48+1&lt;=Premissas!$B$13),INDEX(Financiamento!$J$6:$J$485,A333-Premissas!$B$48+1),0)</x:f>
        <x:v>0</x:v>
      </x:c>
      <x:c r="H333" s="141" t="n">
        <x:f>IF(AND(A333&gt;=Premissas!$B$48,A333&lt;=Premissas!$B$27,A333-Premissas!$B$48+1&lt;=Premissas!$B$13),INDEX(Financiamento!$M$6:$M$485,A333-Premissas!$B$48+1),0)</x:f>
        <x:v>0</x:v>
      </x:c>
      <x:c r="I333" s="141" t="n">
        <x:f>IF(A333=Premissas!$B$27,MIN(D333,H333),0)</x:f>
        <x:v>0</x:v>
      </x:c>
      <x:c r="J333" s="141" t="n">
        <x:f>IF(A333=Premissas!$B$27,D333-H333,0)</x:f>
        <x:v>0</x:v>
      </x:c>
      <x:c r="K333" s="141" t="n">
        <x:f>E333+G333</x:f>
        <x:v>0</x:v>
      </x:c>
      <x:c r="L333" s="141" t="n">
        <x:f>SUM($K$6:K333)</x:f>
        <x:v>368370.4829168556</x:v>
      </x:c>
      <x:c r="M333" s="141" t="str">
        <x:f>IF(A333&lt;Premissas!$B$27,"Financiamento + consorcio",IF(A333=Premissas!$B$27,"Quitacao via carta",IF(A333&lt;=Premissas!$B$25,"Somente consorcio","Encerrado")))</x:f>
        <x:v>Encerrado</x:v>
      </x:c>
      <x:c r="N333" s="141" t="n">
        <x:f>IF(A333&gt;=Premissas!$B$25,0,(N334+E334)/(1+Premissas!$B$41))</x:f>
        <x:v>0</x:v>
      </x:c>
      <x:c r="O333" s="141" t="n">
        <x:f>IF(A333&lt;Premissas!$B$27,Premissas!$B$31/(1+Premissas!$B$41)^(Premissas!$B$27-A333),0)</x:f>
        <x:v>0</x:v>
      </x:c>
      <x:c r="P333" s="141" t="n">
        <x:f>MAX(0,H333-I333)+N333</x:f>
        <x:v>0</x:v>
      </x:c>
    </x:row>
    <x:row r="334">
      <x:c r="A334" s="142" t="n">
        <x:v>329</x:v>
      </x:c>
      <x:c r="B334" s="179" t="n">
        <x:f>EDATE(Premissas!$B$4,328)</x:f>
        <x:v>56523</x:v>
      </x:c>
      <x:c r="C334" s="180" t="n">
        <x:f>(1+Premissas!$B$26)^INT((A334-1)/12)</x:f>
        <x:v>4.822345940703784</x:v>
      </x:c>
      <x:c r="D334" s="141" t="n">
        <x:f>Premissas!$B$30*C334</x:f>
        <x:v>523851.38215859164</x:v>
      </x:c>
      <x:c r="E334" s="141" t="n">
        <x:f>IF(A334&lt;=Premissas!$B$25,Premissas!$B$32*C334,0)</x:f>
        <x:v>0</x:v>
      </x:c>
      <x:c r="F334" s="141" t="n">
        <x:f>IF(AND(A334&gt;=Premissas!$B$48,A334&lt;=Premissas!$B$27,A334-Premissas!$B$48+1&lt;=Premissas!$B$13),INDEX(Financiamento!$C$6:$C$485,A334-Premissas!$B$48+1),0)</x:f>
        <x:v>0</x:v>
      </x:c>
      <x:c r="G334" s="141" t="n">
        <x:f>IF(AND(A334&gt;=Premissas!$B$48,A334&lt;=Premissas!$B$27,A334-Premissas!$B$48+1&lt;=Premissas!$B$13),INDEX(Financiamento!$J$6:$J$485,A334-Premissas!$B$48+1),0)</x:f>
        <x:v>0</x:v>
      </x:c>
      <x:c r="H334" s="141" t="n">
        <x:f>IF(AND(A334&gt;=Premissas!$B$48,A334&lt;=Premissas!$B$27,A334-Premissas!$B$48+1&lt;=Premissas!$B$13),INDEX(Financiamento!$M$6:$M$485,A334-Premissas!$B$48+1),0)</x:f>
        <x:v>0</x:v>
      </x:c>
      <x:c r="I334" s="141" t="n">
        <x:f>IF(A334=Premissas!$B$27,MIN(D334,H334),0)</x:f>
        <x:v>0</x:v>
      </x:c>
      <x:c r="J334" s="141" t="n">
        <x:f>IF(A334=Premissas!$B$27,D334-H334,0)</x:f>
        <x:v>0</x:v>
      </x:c>
      <x:c r="K334" s="141" t="n">
        <x:f>E334+G334</x:f>
        <x:v>0</x:v>
      </x:c>
      <x:c r="L334" s="141" t="n">
        <x:f>SUM($K$6:K334)</x:f>
        <x:v>368370.4829168556</x:v>
      </x:c>
      <x:c r="M334" s="141" t="str">
        <x:f>IF(A334&lt;Premissas!$B$27,"Financiamento + consorcio",IF(A334=Premissas!$B$27,"Quitacao via carta",IF(A334&lt;=Premissas!$B$25,"Somente consorcio","Encerrado")))</x:f>
        <x:v>Encerrado</x:v>
      </x:c>
      <x:c r="N334" s="141" t="n">
        <x:f>IF(A334&gt;=Premissas!$B$25,0,(N335+E335)/(1+Premissas!$B$41))</x:f>
        <x:v>0</x:v>
      </x:c>
      <x:c r="O334" s="141" t="n">
        <x:f>IF(A334&lt;Premissas!$B$27,Premissas!$B$31/(1+Premissas!$B$41)^(Premissas!$B$27-A334),0)</x:f>
        <x:v>0</x:v>
      </x:c>
      <x:c r="P334" s="141" t="n">
        <x:f>MAX(0,H334-I334)+N334</x:f>
        <x:v>0</x:v>
      </x:c>
    </x:row>
    <x:row r="335">
      <x:c r="A335" s="142" t="n">
        <x:v>330</x:v>
      </x:c>
      <x:c r="B335" s="179" t="n">
        <x:f>EDATE(Premissas!$B$4,329)</x:f>
        <x:v>56554</x:v>
      </x:c>
      <x:c r="C335" s="180" t="n">
        <x:f>(1+Premissas!$B$26)^INT((A335-1)/12)</x:f>
        <x:v>4.822345940703784</x:v>
      </x:c>
      <x:c r="D335" s="141" t="n">
        <x:f>Premissas!$B$30*C335</x:f>
        <x:v>523851.38215859164</x:v>
      </x:c>
      <x:c r="E335" s="141" t="n">
        <x:f>IF(A335&lt;=Premissas!$B$25,Premissas!$B$32*C335,0)</x:f>
        <x:v>0</x:v>
      </x:c>
      <x:c r="F335" s="141" t="n">
        <x:f>IF(AND(A335&gt;=Premissas!$B$48,A335&lt;=Premissas!$B$27,A335-Premissas!$B$48+1&lt;=Premissas!$B$13),INDEX(Financiamento!$C$6:$C$485,A335-Premissas!$B$48+1),0)</x:f>
        <x:v>0</x:v>
      </x:c>
      <x:c r="G335" s="141" t="n">
        <x:f>IF(AND(A335&gt;=Premissas!$B$48,A335&lt;=Premissas!$B$27,A335-Premissas!$B$48+1&lt;=Premissas!$B$13),INDEX(Financiamento!$J$6:$J$485,A335-Premissas!$B$48+1),0)</x:f>
        <x:v>0</x:v>
      </x:c>
      <x:c r="H335" s="141" t="n">
        <x:f>IF(AND(A335&gt;=Premissas!$B$48,A335&lt;=Premissas!$B$27,A335-Premissas!$B$48+1&lt;=Premissas!$B$13),INDEX(Financiamento!$M$6:$M$485,A335-Premissas!$B$48+1),0)</x:f>
        <x:v>0</x:v>
      </x:c>
      <x:c r="I335" s="141" t="n">
        <x:f>IF(A335=Premissas!$B$27,MIN(D335,H335),0)</x:f>
        <x:v>0</x:v>
      </x:c>
      <x:c r="J335" s="141" t="n">
        <x:f>IF(A335=Premissas!$B$27,D335-H335,0)</x:f>
        <x:v>0</x:v>
      </x:c>
      <x:c r="K335" s="141" t="n">
        <x:f>E335+G335</x:f>
        <x:v>0</x:v>
      </x:c>
      <x:c r="L335" s="141" t="n">
        <x:f>SUM($K$6:K335)</x:f>
        <x:v>368370.4829168556</x:v>
      </x:c>
      <x:c r="M335" s="141" t="str">
        <x:f>IF(A335&lt;Premissas!$B$27,"Financiamento + consorcio",IF(A335=Premissas!$B$27,"Quitacao via carta",IF(A335&lt;=Premissas!$B$25,"Somente consorcio","Encerrado")))</x:f>
        <x:v>Encerrado</x:v>
      </x:c>
      <x:c r="N335" s="141" t="n">
        <x:f>IF(A335&gt;=Premissas!$B$25,0,(N336+E336)/(1+Premissas!$B$41))</x:f>
        <x:v>0</x:v>
      </x:c>
      <x:c r="O335" s="141" t="n">
        <x:f>IF(A335&lt;Premissas!$B$27,Premissas!$B$31/(1+Premissas!$B$41)^(Premissas!$B$27-A335),0)</x:f>
        <x:v>0</x:v>
      </x:c>
      <x:c r="P335" s="141" t="n">
        <x:f>MAX(0,H335-I335)+N335</x:f>
        <x:v>0</x:v>
      </x:c>
    </x:row>
    <x:row r="336">
      <x:c r="A336" s="142" t="n">
        <x:v>331</x:v>
      </x:c>
      <x:c r="B336" s="179" t="n">
        <x:f>EDATE(Premissas!$B$4,330)</x:f>
        <x:v>56584</x:v>
      </x:c>
      <x:c r="C336" s="180" t="n">
        <x:f>(1+Premissas!$B$26)^INT((A336-1)/12)</x:f>
        <x:v>4.822345940703784</x:v>
      </x:c>
      <x:c r="D336" s="141" t="n">
        <x:f>Premissas!$B$30*C336</x:f>
        <x:v>523851.38215859164</x:v>
      </x:c>
      <x:c r="E336" s="141" t="n">
        <x:f>IF(A336&lt;=Premissas!$B$25,Premissas!$B$32*C336,0)</x:f>
        <x:v>0</x:v>
      </x:c>
      <x:c r="F336" s="141" t="n">
        <x:f>IF(AND(A336&gt;=Premissas!$B$48,A336&lt;=Premissas!$B$27,A336-Premissas!$B$48+1&lt;=Premissas!$B$13),INDEX(Financiamento!$C$6:$C$485,A336-Premissas!$B$48+1),0)</x:f>
        <x:v>0</x:v>
      </x:c>
      <x:c r="G336" s="141" t="n">
        <x:f>IF(AND(A336&gt;=Premissas!$B$48,A336&lt;=Premissas!$B$27,A336-Premissas!$B$48+1&lt;=Premissas!$B$13),INDEX(Financiamento!$J$6:$J$485,A336-Premissas!$B$48+1),0)</x:f>
        <x:v>0</x:v>
      </x:c>
      <x:c r="H336" s="141" t="n">
        <x:f>IF(AND(A336&gt;=Premissas!$B$48,A336&lt;=Premissas!$B$27,A336-Premissas!$B$48+1&lt;=Premissas!$B$13),INDEX(Financiamento!$M$6:$M$485,A336-Premissas!$B$48+1),0)</x:f>
        <x:v>0</x:v>
      </x:c>
      <x:c r="I336" s="141" t="n">
        <x:f>IF(A336=Premissas!$B$27,MIN(D336,H336),0)</x:f>
        <x:v>0</x:v>
      </x:c>
      <x:c r="J336" s="141" t="n">
        <x:f>IF(A336=Premissas!$B$27,D336-H336,0)</x:f>
        <x:v>0</x:v>
      </x:c>
      <x:c r="K336" s="141" t="n">
        <x:f>E336+G336</x:f>
        <x:v>0</x:v>
      </x:c>
      <x:c r="L336" s="141" t="n">
        <x:f>SUM($K$6:K336)</x:f>
        <x:v>368370.4829168556</x:v>
      </x:c>
      <x:c r="M336" s="141" t="str">
        <x:f>IF(A336&lt;Premissas!$B$27,"Financiamento + consorcio",IF(A336=Premissas!$B$27,"Quitacao via carta",IF(A336&lt;=Premissas!$B$25,"Somente consorcio","Encerrado")))</x:f>
        <x:v>Encerrado</x:v>
      </x:c>
      <x:c r="N336" s="141" t="n">
        <x:f>IF(A336&gt;=Premissas!$B$25,0,(N337+E337)/(1+Premissas!$B$41))</x:f>
        <x:v>0</x:v>
      </x:c>
      <x:c r="O336" s="141" t="n">
        <x:f>IF(A336&lt;Premissas!$B$27,Premissas!$B$31/(1+Premissas!$B$41)^(Premissas!$B$27-A336),0)</x:f>
        <x:v>0</x:v>
      </x:c>
      <x:c r="P336" s="141" t="n">
        <x:f>MAX(0,H336-I336)+N336</x:f>
        <x:v>0</x:v>
      </x:c>
    </x:row>
    <x:row r="337">
      <x:c r="A337" s="142" t="n">
        <x:v>332</x:v>
      </x:c>
      <x:c r="B337" s="179" t="n">
        <x:f>EDATE(Premissas!$B$4,331)</x:f>
        <x:v>56615</x:v>
      </x:c>
      <x:c r="C337" s="180" t="n">
        <x:f>(1+Premissas!$B$26)^INT((A337-1)/12)</x:f>
        <x:v>4.822345940703784</x:v>
      </x:c>
      <x:c r="D337" s="141" t="n">
        <x:f>Premissas!$B$30*C337</x:f>
        <x:v>523851.38215859164</x:v>
      </x:c>
      <x:c r="E337" s="141" t="n">
        <x:f>IF(A337&lt;=Premissas!$B$25,Premissas!$B$32*C337,0)</x:f>
        <x:v>0</x:v>
      </x:c>
      <x:c r="F337" s="141" t="n">
        <x:f>IF(AND(A337&gt;=Premissas!$B$48,A337&lt;=Premissas!$B$27,A337-Premissas!$B$48+1&lt;=Premissas!$B$13),INDEX(Financiamento!$C$6:$C$485,A337-Premissas!$B$48+1),0)</x:f>
        <x:v>0</x:v>
      </x:c>
      <x:c r="G337" s="141" t="n">
        <x:f>IF(AND(A337&gt;=Premissas!$B$48,A337&lt;=Premissas!$B$27,A337-Premissas!$B$48+1&lt;=Premissas!$B$13),INDEX(Financiamento!$J$6:$J$485,A337-Premissas!$B$48+1),0)</x:f>
        <x:v>0</x:v>
      </x:c>
      <x:c r="H337" s="141" t="n">
        <x:f>IF(AND(A337&gt;=Premissas!$B$48,A337&lt;=Premissas!$B$27,A337-Premissas!$B$48+1&lt;=Premissas!$B$13),INDEX(Financiamento!$M$6:$M$485,A337-Premissas!$B$48+1),0)</x:f>
        <x:v>0</x:v>
      </x:c>
      <x:c r="I337" s="141" t="n">
        <x:f>IF(A337=Premissas!$B$27,MIN(D337,H337),0)</x:f>
        <x:v>0</x:v>
      </x:c>
      <x:c r="J337" s="141" t="n">
        <x:f>IF(A337=Premissas!$B$27,D337-H337,0)</x:f>
        <x:v>0</x:v>
      </x:c>
      <x:c r="K337" s="141" t="n">
        <x:f>E337+G337</x:f>
        <x:v>0</x:v>
      </x:c>
      <x:c r="L337" s="141" t="n">
        <x:f>SUM($K$6:K337)</x:f>
        <x:v>368370.4829168556</x:v>
      </x:c>
      <x:c r="M337" s="141" t="str">
        <x:f>IF(A337&lt;Premissas!$B$27,"Financiamento + consorcio",IF(A337=Premissas!$B$27,"Quitacao via carta",IF(A337&lt;=Premissas!$B$25,"Somente consorcio","Encerrado")))</x:f>
        <x:v>Encerrado</x:v>
      </x:c>
      <x:c r="N337" s="141" t="n">
        <x:f>IF(A337&gt;=Premissas!$B$25,0,(N338+E338)/(1+Premissas!$B$41))</x:f>
        <x:v>0</x:v>
      </x:c>
      <x:c r="O337" s="141" t="n">
        <x:f>IF(A337&lt;Premissas!$B$27,Premissas!$B$31/(1+Premissas!$B$41)^(Premissas!$B$27-A337),0)</x:f>
        <x:v>0</x:v>
      </x:c>
      <x:c r="P337" s="141" t="n">
        <x:f>MAX(0,H337-I337)+N337</x:f>
        <x:v>0</x:v>
      </x:c>
    </x:row>
    <x:row r="338">
      <x:c r="A338" s="142" t="n">
        <x:v>333</x:v>
      </x:c>
      <x:c r="B338" s="179" t="n">
        <x:f>EDATE(Premissas!$B$4,332)</x:f>
        <x:v>56646</x:v>
      </x:c>
      <x:c r="C338" s="180" t="n">
        <x:f>(1+Premissas!$B$26)^INT((A338-1)/12)</x:f>
        <x:v>4.822345940703784</x:v>
      </x:c>
      <x:c r="D338" s="141" t="n">
        <x:f>Premissas!$B$30*C338</x:f>
        <x:v>523851.38215859164</x:v>
      </x:c>
      <x:c r="E338" s="141" t="n">
        <x:f>IF(A338&lt;=Premissas!$B$25,Premissas!$B$32*C338,0)</x:f>
        <x:v>0</x:v>
      </x:c>
      <x:c r="F338" s="141" t="n">
        <x:f>IF(AND(A338&gt;=Premissas!$B$48,A338&lt;=Premissas!$B$27,A338-Premissas!$B$48+1&lt;=Premissas!$B$13),INDEX(Financiamento!$C$6:$C$485,A338-Premissas!$B$48+1),0)</x:f>
        <x:v>0</x:v>
      </x:c>
      <x:c r="G338" s="141" t="n">
        <x:f>IF(AND(A338&gt;=Premissas!$B$48,A338&lt;=Premissas!$B$27,A338-Premissas!$B$48+1&lt;=Premissas!$B$13),INDEX(Financiamento!$J$6:$J$485,A338-Premissas!$B$48+1),0)</x:f>
        <x:v>0</x:v>
      </x:c>
      <x:c r="H338" s="141" t="n">
        <x:f>IF(AND(A338&gt;=Premissas!$B$48,A338&lt;=Premissas!$B$27,A338-Premissas!$B$48+1&lt;=Premissas!$B$13),INDEX(Financiamento!$M$6:$M$485,A338-Premissas!$B$48+1),0)</x:f>
        <x:v>0</x:v>
      </x:c>
      <x:c r="I338" s="141" t="n">
        <x:f>IF(A338=Premissas!$B$27,MIN(D338,H338),0)</x:f>
        <x:v>0</x:v>
      </x:c>
      <x:c r="J338" s="141" t="n">
        <x:f>IF(A338=Premissas!$B$27,D338-H338,0)</x:f>
        <x:v>0</x:v>
      </x:c>
      <x:c r="K338" s="141" t="n">
        <x:f>E338+G338</x:f>
        <x:v>0</x:v>
      </x:c>
      <x:c r="L338" s="141" t="n">
        <x:f>SUM($K$6:K338)</x:f>
        <x:v>368370.4829168556</x:v>
      </x:c>
      <x:c r="M338" s="141" t="str">
        <x:f>IF(A338&lt;Premissas!$B$27,"Financiamento + consorcio",IF(A338=Premissas!$B$27,"Quitacao via carta",IF(A338&lt;=Premissas!$B$25,"Somente consorcio","Encerrado")))</x:f>
        <x:v>Encerrado</x:v>
      </x:c>
      <x:c r="N338" s="141" t="n">
        <x:f>IF(A338&gt;=Premissas!$B$25,0,(N339+E339)/(1+Premissas!$B$41))</x:f>
        <x:v>0</x:v>
      </x:c>
      <x:c r="O338" s="141" t="n">
        <x:f>IF(A338&lt;Premissas!$B$27,Premissas!$B$31/(1+Premissas!$B$41)^(Premissas!$B$27-A338),0)</x:f>
        <x:v>0</x:v>
      </x:c>
      <x:c r="P338" s="141" t="n">
        <x:f>MAX(0,H338-I338)+N338</x:f>
        <x:v>0</x:v>
      </x:c>
    </x:row>
    <x:row r="339">
      <x:c r="A339" s="142" t="n">
        <x:v>334</x:v>
      </x:c>
      <x:c r="B339" s="179" t="n">
        <x:f>EDATE(Premissas!$B$4,333)</x:f>
        <x:v>56674</x:v>
      </x:c>
      <x:c r="C339" s="180" t="n">
        <x:f>(1+Premissas!$B$26)^INT((A339-1)/12)</x:f>
        <x:v>4.822345940703784</x:v>
      </x:c>
      <x:c r="D339" s="141" t="n">
        <x:f>Premissas!$B$30*C339</x:f>
        <x:v>523851.38215859164</x:v>
      </x:c>
      <x:c r="E339" s="141" t="n">
        <x:f>IF(A339&lt;=Premissas!$B$25,Premissas!$B$32*C339,0)</x:f>
        <x:v>0</x:v>
      </x:c>
      <x:c r="F339" s="141" t="n">
        <x:f>IF(AND(A339&gt;=Premissas!$B$48,A339&lt;=Premissas!$B$27,A339-Premissas!$B$48+1&lt;=Premissas!$B$13),INDEX(Financiamento!$C$6:$C$485,A339-Premissas!$B$48+1),0)</x:f>
        <x:v>0</x:v>
      </x:c>
      <x:c r="G339" s="141" t="n">
        <x:f>IF(AND(A339&gt;=Premissas!$B$48,A339&lt;=Premissas!$B$27,A339-Premissas!$B$48+1&lt;=Premissas!$B$13),INDEX(Financiamento!$J$6:$J$485,A339-Premissas!$B$48+1),0)</x:f>
        <x:v>0</x:v>
      </x:c>
      <x:c r="H339" s="141" t="n">
        <x:f>IF(AND(A339&gt;=Premissas!$B$48,A339&lt;=Premissas!$B$27,A339-Premissas!$B$48+1&lt;=Premissas!$B$13),INDEX(Financiamento!$M$6:$M$485,A339-Premissas!$B$48+1),0)</x:f>
        <x:v>0</x:v>
      </x:c>
      <x:c r="I339" s="141" t="n">
        <x:f>IF(A339=Premissas!$B$27,MIN(D339,H339),0)</x:f>
        <x:v>0</x:v>
      </x:c>
      <x:c r="J339" s="141" t="n">
        <x:f>IF(A339=Premissas!$B$27,D339-H339,0)</x:f>
        <x:v>0</x:v>
      </x:c>
      <x:c r="K339" s="141" t="n">
        <x:f>E339+G339</x:f>
        <x:v>0</x:v>
      </x:c>
      <x:c r="L339" s="141" t="n">
        <x:f>SUM($K$6:K339)</x:f>
        <x:v>368370.4829168556</x:v>
      </x:c>
      <x:c r="M339" s="141" t="str">
        <x:f>IF(A339&lt;Premissas!$B$27,"Financiamento + consorcio",IF(A339=Premissas!$B$27,"Quitacao via carta",IF(A339&lt;=Premissas!$B$25,"Somente consorcio","Encerrado")))</x:f>
        <x:v>Encerrado</x:v>
      </x:c>
      <x:c r="N339" s="141" t="n">
        <x:f>IF(A339&gt;=Premissas!$B$25,0,(N340+E340)/(1+Premissas!$B$41))</x:f>
        <x:v>0</x:v>
      </x:c>
      <x:c r="O339" s="141" t="n">
        <x:f>IF(A339&lt;Premissas!$B$27,Premissas!$B$31/(1+Premissas!$B$41)^(Premissas!$B$27-A339),0)</x:f>
        <x:v>0</x:v>
      </x:c>
      <x:c r="P339" s="141" t="n">
        <x:f>MAX(0,H339-I339)+N339</x:f>
        <x:v>0</x:v>
      </x:c>
    </x:row>
    <x:row r="340">
      <x:c r="A340" s="142" t="n">
        <x:v>335</x:v>
      </x:c>
      <x:c r="B340" s="179" t="n">
        <x:f>EDATE(Premissas!$B$4,334)</x:f>
        <x:v>56705</x:v>
      </x:c>
      <x:c r="C340" s="180" t="n">
        <x:f>(1+Premissas!$B$26)^INT((A340-1)/12)</x:f>
        <x:v>4.822345940703784</x:v>
      </x:c>
      <x:c r="D340" s="141" t="n">
        <x:f>Premissas!$B$30*C340</x:f>
        <x:v>523851.38215859164</x:v>
      </x:c>
      <x:c r="E340" s="141" t="n">
        <x:f>IF(A340&lt;=Premissas!$B$25,Premissas!$B$32*C340,0)</x:f>
        <x:v>0</x:v>
      </x:c>
      <x:c r="F340" s="141" t="n">
        <x:f>IF(AND(A340&gt;=Premissas!$B$48,A340&lt;=Premissas!$B$27,A340-Premissas!$B$48+1&lt;=Premissas!$B$13),INDEX(Financiamento!$C$6:$C$485,A340-Premissas!$B$48+1),0)</x:f>
        <x:v>0</x:v>
      </x:c>
      <x:c r="G340" s="141" t="n">
        <x:f>IF(AND(A340&gt;=Premissas!$B$48,A340&lt;=Premissas!$B$27,A340-Premissas!$B$48+1&lt;=Premissas!$B$13),INDEX(Financiamento!$J$6:$J$485,A340-Premissas!$B$48+1),0)</x:f>
        <x:v>0</x:v>
      </x:c>
      <x:c r="H340" s="141" t="n">
        <x:f>IF(AND(A340&gt;=Premissas!$B$48,A340&lt;=Premissas!$B$27,A340-Premissas!$B$48+1&lt;=Premissas!$B$13),INDEX(Financiamento!$M$6:$M$485,A340-Premissas!$B$48+1),0)</x:f>
        <x:v>0</x:v>
      </x:c>
      <x:c r="I340" s="141" t="n">
        <x:f>IF(A340=Premissas!$B$27,MIN(D340,H340),0)</x:f>
        <x:v>0</x:v>
      </x:c>
      <x:c r="J340" s="141" t="n">
        <x:f>IF(A340=Premissas!$B$27,D340-H340,0)</x:f>
        <x:v>0</x:v>
      </x:c>
      <x:c r="K340" s="141" t="n">
        <x:f>E340+G340</x:f>
        <x:v>0</x:v>
      </x:c>
      <x:c r="L340" s="141" t="n">
        <x:f>SUM($K$6:K340)</x:f>
        <x:v>368370.4829168556</x:v>
      </x:c>
      <x:c r="M340" s="141" t="str">
        <x:f>IF(A340&lt;Premissas!$B$27,"Financiamento + consorcio",IF(A340=Premissas!$B$27,"Quitacao via carta",IF(A340&lt;=Premissas!$B$25,"Somente consorcio","Encerrado")))</x:f>
        <x:v>Encerrado</x:v>
      </x:c>
      <x:c r="N340" s="141" t="n">
        <x:f>IF(A340&gt;=Premissas!$B$25,0,(N341+E341)/(1+Premissas!$B$41))</x:f>
        <x:v>0</x:v>
      </x:c>
      <x:c r="O340" s="141" t="n">
        <x:f>IF(A340&lt;Premissas!$B$27,Premissas!$B$31/(1+Premissas!$B$41)^(Premissas!$B$27-A340),0)</x:f>
        <x:v>0</x:v>
      </x:c>
      <x:c r="P340" s="141" t="n">
        <x:f>MAX(0,H340-I340)+N340</x:f>
        <x:v>0</x:v>
      </x:c>
    </x:row>
    <x:row r="341">
      <x:c r="A341" s="142" t="n">
        <x:v>336</x:v>
      </x:c>
      <x:c r="B341" s="179" t="n">
        <x:f>EDATE(Premissas!$B$4,335)</x:f>
        <x:v>56735</x:v>
      </x:c>
      <x:c r="C341" s="180" t="n">
        <x:f>(1+Premissas!$B$26)^INT((A341-1)/12)</x:f>
        <x:v>4.822345940703784</x:v>
      </x:c>
      <x:c r="D341" s="141" t="n">
        <x:f>Premissas!$B$30*C341</x:f>
        <x:v>523851.38215859164</x:v>
      </x:c>
      <x:c r="E341" s="141" t="n">
        <x:f>IF(A341&lt;=Premissas!$B$25,Premissas!$B$32*C341,0)</x:f>
        <x:v>0</x:v>
      </x:c>
      <x:c r="F341" s="141" t="n">
        <x:f>IF(AND(A341&gt;=Premissas!$B$48,A341&lt;=Premissas!$B$27,A341-Premissas!$B$48+1&lt;=Premissas!$B$13),INDEX(Financiamento!$C$6:$C$485,A341-Premissas!$B$48+1),0)</x:f>
        <x:v>0</x:v>
      </x:c>
      <x:c r="G341" s="141" t="n">
        <x:f>IF(AND(A341&gt;=Premissas!$B$48,A341&lt;=Premissas!$B$27,A341-Premissas!$B$48+1&lt;=Premissas!$B$13),INDEX(Financiamento!$J$6:$J$485,A341-Premissas!$B$48+1),0)</x:f>
        <x:v>0</x:v>
      </x:c>
      <x:c r="H341" s="141" t="n">
        <x:f>IF(AND(A341&gt;=Premissas!$B$48,A341&lt;=Premissas!$B$27,A341-Premissas!$B$48+1&lt;=Premissas!$B$13),INDEX(Financiamento!$M$6:$M$485,A341-Premissas!$B$48+1),0)</x:f>
        <x:v>0</x:v>
      </x:c>
      <x:c r="I341" s="141" t="n">
        <x:f>IF(A341=Premissas!$B$27,MIN(D341,H341),0)</x:f>
        <x:v>0</x:v>
      </x:c>
      <x:c r="J341" s="141" t="n">
        <x:f>IF(A341=Premissas!$B$27,D341-H341,0)</x:f>
        <x:v>0</x:v>
      </x:c>
      <x:c r="K341" s="141" t="n">
        <x:f>E341+G341</x:f>
        <x:v>0</x:v>
      </x:c>
      <x:c r="L341" s="141" t="n">
        <x:f>SUM($K$6:K341)</x:f>
        <x:v>368370.4829168556</x:v>
      </x:c>
      <x:c r="M341" s="141" t="str">
        <x:f>IF(A341&lt;Premissas!$B$27,"Financiamento + consorcio",IF(A341=Premissas!$B$27,"Quitacao via carta",IF(A341&lt;=Premissas!$B$25,"Somente consorcio","Encerrado")))</x:f>
        <x:v>Encerrado</x:v>
      </x:c>
      <x:c r="N341" s="141" t="n">
        <x:f>IF(A341&gt;=Premissas!$B$25,0,(N342+E342)/(1+Premissas!$B$41))</x:f>
        <x:v>0</x:v>
      </x:c>
      <x:c r="O341" s="141" t="n">
        <x:f>IF(A341&lt;Premissas!$B$27,Premissas!$B$31/(1+Premissas!$B$41)^(Premissas!$B$27-A341),0)</x:f>
        <x:v>0</x:v>
      </x:c>
      <x:c r="P341" s="141" t="n">
        <x:f>MAX(0,H341-I341)+N341</x:f>
        <x:v>0</x:v>
      </x:c>
    </x:row>
    <x:row r="342">
      <x:c r="A342" s="142" t="n">
        <x:v>337</x:v>
      </x:c>
      <x:c r="B342" s="179" t="n">
        <x:f>EDATE(Premissas!$B$4,336)</x:f>
        <x:v>56766</x:v>
      </x:c>
      <x:c r="C342" s="180" t="n">
        <x:f>(1+Premissas!$B$26)^INT((A342-1)/12)</x:f>
        <x:v>5.111686697146011</x:v>
      </x:c>
      <x:c r="D342" s="141" t="n">
        <x:f>Premissas!$B$30*C342</x:f>
        <x:v>555282.4650881072</x:v>
      </x:c>
      <x:c r="E342" s="141" t="n">
        <x:f>IF(A342&lt;=Premissas!$B$25,Premissas!$B$32*C342,0)</x:f>
        <x:v>0</x:v>
      </x:c>
      <x:c r="F342" s="141" t="n">
        <x:f>IF(AND(A342&gt;=Premissas!$B$48,A342&lt;=Premissas!$B$27,A342-Premissas!$B$48+1&lt;=Premissas!$B$13),INDEX(Financiamento!$C$6:$C$485,A342-Premissas!$B$48+1),0)</x:f>
        <x:v>0</x:v>
      </x:c>
      <x:c r="G342" s="141" t="n">
        <x:f>IF(AND(A342&gt;=Premissas!$B$48,A342&lt;=Premissas!$B$27,A342-Premissas!$B$48+1&lt;=Premissas!$B$13),INDEX(Financiamento!$J$6:$J$485,A342-Premissas!$B$48+1),0)</x:f>
        <x:v>0</x:v>
      </x:c>
      <x:c r="H342" s="141" t="n">
        <x:f>IF(AND(A342&gt;=Premissas!$B$48,A342&lt;=Premissas!$B$27,A342-Premissas!$B$48+1&lt;=Premissas!$B$13),INDEX(Financiamento!$M$6:$M$485,A342-Premissas!$B$48+1),0)</x:f>
        <x:v>0</x:v>
      </x:c>
      <x:c r="I342" s="141" t="n">
        <x:f>IF(A342=Premissas!$B$27,MIN(D342,H342),0)</x:f>
        <x:v>0</x:v>
      </x:c>
      <x:c r="J342" s="141" t="n">
        <x:f>IF(A342=Premissas!$B$27,D342-H342,0)</x:f>
        <x:v>0</x:v>
      </x:c>
      <x:c r="K342" s="141" t="n">
        <x:f>E342+G342</x:f>
        <x:v>0</x:v>
      </x:c>
      <x:c r="L342" s="141" t="n">
        <x:f>SUM($K$6:K342)</x:f>
        <x:v>368370.4829168556</x:v>
      </x:c>
      <x:c r="M342" s="141" t="str">
        <x:f>IF(A342&lt;Premissas!$B$27,"Financiamento + consorcio",IF(A342=Premissas!$B$27,"Quitacao via carta",IF(A342&lt;=Premissas!$B$25,"Somente consorcio","Encerrado")))</x:f>
        <x:v>Encerrado</x:v>
      </x:c>
      <x:c r="N342" s="141" t="n">
        <x:f>IF(A342&gt;=Premissas!$B$25,0,(N343+E343)/(1+Premissas!$B$41))</x:f>
        <x:v>0</x:v>
      </x:c>
      <x:c r="O342" s="141" t="n">
        <x:f>IF(A342&lt;Premissas!$B$27,Premissas!$B$31/(1+Premissas!$B$41)^(Premissas!$B$27-A342),0)</x:f>
        <x:v>0</x:v>
      </x:c>
      <x:c r="P342" s="141" t="n">
        <x:f>MAX(0,H342-I342)+N342</x:f>
        <x:v>0</x:v>
      </x:c>
    </x:row>
    <x:row r="343">
      <x:c r="A343" s="142" t="n">
        <x:v>338</x:v>
      </x:c>
      <x:c r="B343" s="179" t="n">
        <x:f>EDATE(Premissas!$B$4,337)</x:f>
        <x:v>56796</x:v>
      </x:c>
      <x:c r="C343" s="180" t="n">
        <x:f>(1+Premissas!$B$26)^INT((A343-1)/12)</x:f>
        <x:v>5.111686697146011</x:v>
      </x:c>
      <x:c r="D343" s="141" t="n">
        <x:f>Premissas!$B$30*C343</x:f>
        <x:v>555282.4650881072</x:v>
      </x:c>
      <x:c r="E343" s="141" t="n">
        <x:f>IF(A343&lt;=Premissas!$B$25,Premissas!$B$32*C343,0)</x:f>
        <x:v>0</x:v>
      </x:c>
      <x:c r="F343" s="141" t="n">
        <x:f>IF(AND(A343&gt;=Premissas!$B$48,A343&lt;=Premissas!$B$27,A343-Premissas!$B$48+1&lt;=Premissas!$B$13),INDEX(Financiamento!$C$6:$C$485,A343-Premissas!$B$48+1),0)</x:f>
        <x:v>0</x:v>
      </x:c>
      <x:c r="G343" s="141" t="n">
        <x:f>IF(AND(A343&gt;=Premissas!$B$48,A343&lt;=Premissas!$B$27,A343-Premissas!$B$48+1&lt;=Premissas!$B$13),INDEX(Financiamento!$J$6:$J$485,A343-Premissas!$B$48+1),0)</x:f>
        <x:v>0</x:v>
      </x:c>
      <x:c r="H343" s="141" t="n">
        <x:f>IF(AND(A343&gt;=Premissas!$B$48,A343&lt;=Premissas!$B$27,A343-Premissas!$B$48+1&lt;=Premissas!$B$13),INDEX(Financiamento!$M$6:$M$485,A343-Premissas!$B$48+1),0)</x:f>
        <x:v>0</x:v>
      </x:c>
      <x:c r="I343" s="141" t="n">
        <x:f>IF(A343=Premissas!$B$27,MIN(D343,H343),0)</x:f>
        <x:v>0</x:v>
      </x:c>
      <x:c r="J343" s="141" t="n">
        <x:f>IF(A343=Premissas!$B$27,D343-H343,0)</x:f>
        <x:v>0</x:v>
      </x:c>
      <x:c r="K343" s="141" t="n">
        <x:f>E343+G343</x:f>
        <x:v>0</x:v>
      </x:c>
      <x:c r="L343" s="141" t="n">
        <x:f>SUM($K$6:K343)</x:f>
        <x:v>368370.4829168556</x:v>
      </x:c>
      <x:c r="M343" s="141" t="str">
        <x:f>IF(A343&lt;Premissas!$B$27,"Financiamento + consorcio",IF(A343=Premissas!$B$27,"Quitacao via carta",IF(A343&lt;=Premissas!$B$25,"Somente consorcio","Encerrado")))</x:f>
        <x:v>Encerrado</x:v>
      </x:c>
      <x:c r="N343" s="141" t="n">
        <x:f>IF(A343&gt;=Premissas!$B$25,0,(N344+E344)/(1+Premissas!$B$41))</x:f>
        <x:v>0</x:v>
      </x:c>
      <x:c r="O343" s="141" t="n">
        <x:f>IF(A343&lt;Premissas!$B$27,Premissas!$B$31/(1+Premissas!$B$41)^(Premissas!$B$27-A343),0)</x:f>
        <x:v>0</x:v>
      </x:c>
      <x:c r="P343" s="141" t="n">
        <x:f>MAX(0,H343-I343)+N343</x:f>
        <x:v>0</x:v>
      </x:c>
    </x:row>
    <x:row r="344">
      <x:c r="A344" s="142" t="n">
        <x:v>339</x:v>
      </x:c>
      <x:c r="B344" s="179" t="n">
        <x:f>EDATE(Premissas!$B$4,338)</x:f>
        <x:v>56827</x:v>
      </x:c>
      <x:c r="C344" s="180" t="n">
        <x:f>(1+Premissas!$B$26)^INT((A344-1)/12)</x:f>
        <x:v>5.111686697146011</x:v>
      </x:c>
      <x:c r="D344" s="141" t="n">
        <x:f>Premissas!$B$30*C344</x:f>
        <x:v>555282.4650881072</x:v>
      </x:c>
      <x:c r="E344" s="141" t="n">
        <x:f>IF(A344&lt;=Premissas!$B$25,Premissas!$B$32*C344,0)</x:f>
        <x:v>0</x:v>
      </x:c>
      <x:c r="F344" s="141" t="n">
        <x:f>IF(AND(A344&gt;=Premissas!$B$48,A344&lt;=Premissas!$B$27,A344-Premissas!$B$48+1&lt;=Premissas!$B$13),INDEX(Financiamento!$C$6:$C$485,A344-Premissas!$B$48+1),0)</x:f>
        <x:v>0</x:v>
      </x:c>
      <x:c r="G344" s="141" t="n">
        <x:f>IF(AND(A344&gt;=Premissas!$B$48,A344&lt;=Premissas!$B$27,A344-Premissas!$B$48+1&lt;=Premissas!$B$13),INDEX(Financiamento!$J$6:$J$485,A344-Premissas!$B$48+1),0)</x:f>
        <x:v>0</x:v>
      </x:c>
      <x:c r="H344" s="141" t="n">
        <x:f>IF(AND(A344&gt;=Premissas!$B$48,A344&lt;=Premissas!$B$27,A344-Premissas!$B$48+1&lt;=Premissas!$B$13),INDEX(Financiamento!$M$6:$M$485,A344-Premissas!$B$48+1),0)</x:f>
        <x:v>0</x:v>
      </x:c>
      <x:c r="I344" s="141" t="n">
        <x:f>IF(A344=Premissas!$B$27,MIN(D344,H344),0)</x:f>
        <x:v>0</x:v>
      </x:c>
      <x:c r="J344" s="141" t="n">
        <x:f>IF(A344=Premissas!$B$27,D344-H344,0)</x:f>
        <x:v>0</x:v>
      </x:c>
      <x:c r="K344" s="141" t="n">
        <x:f>E344+G344</x:f>
        <x:v>0</x:v>
      </x:c>
      <x:c r="L344" s="141" t="n">
        <x:f>SUM($K$6:K344)</x:f>
        <x:v>368370.4829168556</x:v>
      </x:c>
      <x:c r="M344" s="141" t="str">
        <x:f>IF(A344&lt;Premissas!$B$27,"Financiamento + consorcio",IF(A344=Premissas!$B$27,"Quitacao via carta",IF(A344&lt;=Premissas!$B$25,"Somente consorcio","Encerrado")))</x:f>
        <x:v>Encerrado</x:v>
      </x:c>
      <x:c r="N344" s="141" t="n">
        <x:f>IF(A344&gt;=Premissas!$B$25,0,(N345+E345)/(1+Premissas!$B$41))</x:f>
        <x:v>0</x:v>
      </x:c>
      <x:c r="O344" s="141" t="n">
        <x:f>IF(A344&lt;Premissas!$B$27,Premissas!$B$31/(1+Premissas!$B$41)^(Premissas!$B$27-A344),0)</x:f>
        <x:v>0</x:v>
      </x:c>
      <x:c r="P344" s="141" t="n">
        <x:f>MAX(0,H344-I344)+N344</x:f>
        <x:v>0</x:v>
      </x:c>
    </x:row>
    <x:row r="345">
      <x:c r="A345" s="142" t="n">
        <x:v>340</x:v>
      </x:c>
      <x:c r="B345" s="179" t="n">
        <x:f>EDATE(Premissas!$B$4,339)</x:f>
        <x:v>56858</x:v>
      </x:c>
      <x:c r="C345" s="180" t="n">
        <x:f>(1+Premissas!$B$26)^INT((A345-1)/12)</x:f>
        <x:v>5.111686697146011</x:v>
      </x:c>
      <x:c r="D345" s="141" t="n">
        <x:f>Premissas!$B$30*C345</x:f>
        <x:v>555282.4650881072</x:v>
      </x:c>
      <x:c r="E345" s="141" t="n">
        <x:f>IF(A345&lt;=Premissas!$B$25,Premissas!$B$32*C345,0)</x:f>
        <x:v>0</x:v>
      </x:c>
      <x:c r="F345" s="141" t="n">
        <x:f>IF(AND(A345&gt;=Premissas!$B$48,A345&lt;=Premissas!$B$27,A345-Premissas!$B$48+1&lt;=Premissas!$B$13),INDEX(Financiamento!$C$6:$C$485,A345-Premissas!$B$48+1),0)</x:f>
        <x:v>0</x:v>
      </x:c>
      <x:c r="G345" s="141" t="n">
        <x:f>IF(AND(A345&gt;=Premissas!$B$48,A345&lt;=Premissas!$B$27,A345-Premissas!$B$48+1&lt;=Premissas!$B$13),INDEX(Financiamento!$J$6:$J$485,A345-Premissas!$B$48+1),0)</x:f>
        <x:v>0</x:v>
      </x:c>
      <x:c r="H345" s="141" t="n">
        <x:f>IF(AND(A345&gt;=Premissas!$B$48,A345&lt;=Premissas!$B$27,A345-Premissas!$B$48+1&lt;=Premissas!$B$13),INDEX(Financiamento!$M$6:$M$485,A345-Premissas!$B$48+1),0)</x:f>
        <x:v>0</x:v>
      </x:c>
      <x:c r="I345" s="141" t="n">
        <x:f>IF(A345=Premissas!$B$27,MIN(D345,H345),0)</x:f>
        <x:v>0</x:v>
      </x:c>
      <x:c r="J345" s="141" t="n">
        <x:f>IF(A345=Premissas!$B$27,D345-H345,0)</x:f>
        <x:v>0</x:v>
      </x:c>
      <x:c r="K345" s="141" t="n">
        <x:f>E345+G345</x:f>
        <x:v>0</x:v>
      </x:c>
      <x:c r="L345" s="141" t="n">
        <x:f>SUM($K$6:K345)</x:f>
        <x:v>368370.4829168556</x:v>
      </x:c>
      <x:c r="M345" s="141" t="str">
        <x:f>IF(A345&lt;Premissas!$B$27,"Financiamento + consorcio",IF(A345=Premissas!$B$27,"Quitacao via carta",IF(A345&lt;=Premissas!$B$25,"Somente consorcio","Encerrado")))</x:f>
        <x:v>Encerrado</x:v>
      </x:c>
      <x:c r="N345" s="141" t="n">
        <x:f>IF(A345&gt;=Premissas!$B$25,0,(N346+E346)/(1+Premissas!$B$41))</x:f>
        <x:v>0</x:v>
      </x:c>
      <x:c r="O345" s="141" t="n">
        <x:f>IF(A345&lt;Premissas!$B$27,Premissas!$B$31/(1+Premissas!$B$41)^(Premissas!$B$27-A345),0)</x:f>
        <x:v>0</x:v>
      </x:c>
      <x:c r="P345" s="141" t="n">
        <x:f>MAX(0,H345-I345)+N345</x:f>
        <x:v>0</x:v>
      </x:c>
    </x:row>
    <x:row r="346">
      <x:c r="A346" s="142" t="n">
        <x:v>341</x:v>
      </x:c>
      <x:c r="B346" s="179" t="n">
        <x:f>EDATE(Premissas!$B$4,340)</x:f>
        <x:v>56888</x:v>
      </x:c>
      <x:c r="C346" s="180" t="n">
        <x:f>(1+Premissas!$B$26)^INT((A346-1)/12)</x:f>
        <x:v>5.111686697146011</x:v>
      </x:c>
      <x:c r="D346" s="141" t="n">
        <x:f>Premissas!$B$30*C346</x:f>
        <x:v>555282.4650881072</x:v>
      </x:c>
      <x:c r="E346" s="141" t="n">
        <x:f>IF(A346&lt;=Premissas!$B$25,Premissas!$B$32*C346,0)</x:f>
        <x:v>0</x:v>
      </x:c>
      <x:c r="F346" s="141" t="n">
        <x:f>IF(AND(A346&gt;=Premissas!$B$48,A346&lt;=Premissas!$B$27,A346-Premissas!$B$48+1&lt;=Premissas!$B$13),INDEX(Financiamento!$C$6:$C$485,A346-Premissas!$B$48+1),0)</x:f>
        <x:v>0</x:v>
      </x:c>
      <x:c r="G346" s="141" t="n">
        <x:f>IF(AND(A346&gt;=Premissas!$B$48,A346&lt;=Premissas!$B$27,A346-Premissas!$B$48+1&lt;=Premissas!$B$13),INDEX(Financiamento!$J$6:$J$485,A346-Premissas!$B$48+1),0)</x:f>
        <x:v>0</x:v>
      </x:c>
      <x:c r="H346" s="141" t="n">
        <x:f>IF(AND(A346&gt;=Premissas!$B$48,A346&lt;=Premissas!$B$27,A346-Premissas!$B$48+1&lt;=Premissas!$B$13),INDEX(Financiamento!$M$6:$M$485,A346-Premissas!$B$48+1),0)</x:f>
        <x:v>0</x:v>
      </x:c>
      <x:c r="I346" s="141" t="n">
        <x:f>IF(A346=Premissas!$B$27,MIN(D346,H346),0)</x:f>
        <x:v>0</x:v>
      </x:c>
      <x:c r="J346" s="141" t="n">
        <x:f>IF(A346=Premissas!$B$27,D346-H346,0)</x:f>
        <x:v>0</x:v>
      </x:c>
      <x:c r="K346" s="141" t="n">
        <x:f>E346+G346</x:f>
        <x:v>0</x:v>
      </x:c>
      <x:c r="L346" s="141" t="n">
        <x:f>SUM($K$6:K346)</x:f>
        <x:v>368370.4829168556</x:v>
      </x:c>
      <x:c r="M346" s="141" t="str">
        <x:f>IF(A346&lt;Premissas!$B$27,"Financiamento + consorcio",IF(A346=Premissas!$B$27,"Quitacao via carta",IF(A346&lt;=Premissas!$B$25,"Somente consorcio","Encerrado")))</x:f>
        <x:v>Encerrado</x:v>
      </x:c>
      <x:c r="N346" s="141" t="n">
        <x:f>IF(A346&gt;=Premissas!$B$25,0,(N347+E347)/(1+Premissas!$B$41))</x:f>
        <x:v>0</x:v>
      </x:c>
      <x:c r="O346" s="141" t="n">
        <x:f>IF(A346&lt;Premissas!$B$27,Premissas!$B$31/(1+Premissas!$B$41)^(Premissas!$B$27-A346),0)</x:f>
        <x:v>0</x:v>
      </x:c>
      <x:c r="P346" s="141" t="n">
        <x:f>MAX(0,H346-I346)+N346</x:f>
        <x:v>0</x:v>
      </x:c>
    </x:row>
    <x:row r="347">
      <x:c r="A347" s="142" t="n">
        <x:v>342</x:v>
      </x:c>
      <x:c r="B347" s="179" t="n">
        <x:f>EDATE(Premissas!$B$4,341)</x:f>
        <x:v>56919</x:v>
      </x:c>
      <x:c r="C347" s="180" t="n">
        <x:f>(1+Premissas!$B$26)^INT((A347-1)/12)</x:f>
        <x:v>5.111686697146011</x:v>
      </x:c>
      <x:c r="D347" s="141" t="n">
        <x:f>Premissas!$B$30*C347</x:f>
        <x:v>555282.4650881072</x:v>
      </x:c>
      <x:c r="E347" s="141" t="n">
        <x:f>IF(A347&lt;=Premissas!$B$25,Premissas!$B$32*C347,0)</x:f>
        <x:v>0</x:v>
      </x:c>
      <x:c r="F347" s="141" t="n">
        <x:f>IF(AND(A347&gt;=Premissas!$B$48,A347&lt;=Premissas!$B$27,A347-Premissas!$B$48+1&lt;=Premissas!$B$13),INDEX(Financiamento!$C$6:$C$485,A347-Premissas!$B$48+1),0)</x:f>
        <x:v>0</x:v>
      </x:c>
      <x:c r="G347" s="141" t="n">
        <x:f>IF(AND(A347&gt;=Premissas!$B$48,A347&lt;=Premissas!$B$27,A347-Premissas!$B$48+1&lt;=Premissas!$B$13),INDEX(Financiamento!$J$6:$J$485,A347-Premissas!$B$48+1),0)</x:f>
        <x:v>0</x:v>
      </x:c>
      <x:c r="H347" s="141" t="n">
        <x:f>IF(AND(A347&gt;=Premissas!$B$48,A347&lt;=Premissas!$B$27,A347-Premissas!$B$48+1&lt;=Premissas!$B$13),INDEX(Financiamento!$M$6:$M$485,A347-Premissas!$B$48+1),0)</x:f>
        <x:v>0</x:v>
      </x:c>
      <x:c r="I347" s="141" t="n">
        <x:f>IF(A347=Premissas!$B$27,MIN(D347,H347),0)</x:f>
        <x:v>0</x:v>
      </x:c>
      <x:c r="J347" s="141" t="n">
        <x:f>IF(A347=Premissas!$B$27,D347-H347,0)</x:f>
        <x:v>0</x:v>
      </x:c>
      <x:c r="K347" s="141" t="n">
        <x:f>E347+G347</x:f>
        <x:v>0</x:v>
      </x:c>
      <x:c r="L347" s="141" t="n">
        <x:f>SUM($K$6:K347)</x:f>
        <x:v>368370.4829168556</x:v>
      </x:c>
      <x:c r="M347" s="141" t="str">
        <x:f>IF(A347&lt;Premissas!$B$27,"Financiamento + consorcio",IF(A347=Premissas!$B$27,"Quitacao via carta",IF(A347&lt;=Premissas!$B$25,"Somente consorcio","Encerrado")))</x:f>
        <x:v>Encerrado</x:v>
      </x:c>
      <x:c r="N347" s="141" t="n">
        <x:f>IF(A347&gt;=Premissas!$B$25,0,(N348+E348)/(1+Premissas!$B$41))</x:f>
        <x:v>0</x:v>
      </x:c>
      <x:c r="O347" s="141" t="n">
        <x:f>IF(A347&lt;Premissas!$B$27,Premissas!$B$31/(1+Premissas!$B$41)^(Premissas!$B$27-A347),0)</x:f>
        <x:v>0</x:v>
      </x:c>
      <x:c r="P347" s="141" t="n">
        <x:f>MAX(0,H347-I347)+N347</x:f>
        <x:v>0</x:v>
      </x:c>
    </x:row>
    <x:row r="348">
      <x:c r="A348" s="142" t="n">
        <x:v>343</x:v>
      </x:c>
      <x:c r="B348" s="179" t="n">
        <x:f>EDATE(Premissas!$B$4,342)</x:f>
        <x:v>56949</x:v>
      </x:c>
      <x:c r="C348" s="180" t="n">
        <x:f>(1+Premissas!$B$26)^INT((A348-1)/12)</x:f>
        <x:v>5.111686697146011</x:v>
      </x:c>
      <x:c r="D348" s="141" t="n">
        <x:f>Premissas!$B$30*C348</x:f>
        <x:v>555282.4650881072</x:v>
      </x:c>
      <x:c r="E348" s="141" t="n">
        <x:f>IF(A348&lt;=Premissas!$B$25,Premissas!$B$32*C348,0)</x:f>
        <x:v>0</x:v>
      </x:c>
      <x:c r="F348" s="141" t="n">
        <x:f>IF(AND(A348&gt;=Premissas!$B$48,A348&lt;=Premissas!$B$27,A348-Premissas!$B$48+1&lt;=Premissas!$B$13),INDEX(Financiamento!$C$6:$C$485,A348-Premissas!$B$48+1),0)</x:f>
        <x:v>0</x:v>
      </x:c>
      <x:c r="G348" s="141" t="n">
        <x:f>IF(AND(A348&gt;=Premissas!$B$48,A348&lt;=Premissas!$B$27,A348-Premissas!$B$48+1&lt;=Premissas!$B$13),INDEX(Financiamento!$J$6:$J$485,A348-Premissas!$B$48+1),0)</x:f>
        <x:v>0</x:v>
      </x:c>
      <x:c r="H348" s="141" t="n">
        <x:f>IF(AND(A348&gt;=Premissas!$B$48,A348&lt;=Premissas!$B$27,A348-Premissas!$B$48+1&lt;=Premissas!$B$13),INDEX(Financiamento!$M$6:$M$485,A348-Premissas!$B$48+1),0)</x:f>
        <x:v>0</x:v>
      </x:c>
      <x:c r="I348" s="141" t="n">
        <x:f>IF(A348=Premissas!$B$27,MIN(D348,H348),0)</x:f>
        <x:v>0</x:v>
      </x:c>
      <x:c r="J348" s="141" t="n">
        <x:f>IF(A348=Premissas!$B$27,D348-H348,0)</x:f>
        <x:v>0</x:v>
      </x:c>
      <x:c r="K348" s="141" t="n">
        <x:f>E348+G348</x:f>
        <x:v>0</x:v>
      </x:c>
      <x:c r="L348" s="141" t="n">
        <x:f>SUM($K$6:K348)</x:f>
        <x:v>368370.4829168556</x:v>
      </x:c>
      <x:c r="M348" s="141" t="str">
        <x:f>IF(A348&lt;Premissas!$B$27,"Financiamento + consorcio",IF(A348=Premissas!$B$27,"Quitacao via carta",IF(A348&lt;=Premissas!$B$25,"Somente consorcio","Encerrado")))</x:f>
        <x:v>Encerrado</x:v>
      </x:c>
      <x:c r="N348" s="141" t="n">
        <x:f>IF(A348&gt;=Premissas!$B$25,0,(N349+E349)/(1+Premissas!$B$41))</x:f>
        <x:v>0</x:v>
      </x:c>
      <x:c r="O348" s="141" t="n">
        <x:f>IF(A348&lt;Premissas!$B$27,Premissas!$B$31/(1+Premissas!$B$41)^(Premissas!$B$27-A348),0)</x:f>
        <x:v>0</x:v>
      </x:c>
      <x:c r="P348" s="141" t="n">
        <x:f>MAX(0,H348-I348)+N348</x:f>
        <x:v>0</x:v>
      </x:c>
    </x:row>
    <x:row r="349">
      <x:c r="A349" s="142" t="n">
        <x:v>344</x:v>
      </x:c>
      <x:c r="B349" s="179" t="n">
        <x:f>EDATE(Premissas!$B$4,343)</x:f>
        <x:v>56980</x:v>
      </x:c>
      <x:c r="C349" s="180" t="n">
        <x:f>(1+Premissas!$B$26)^INT((A349-1)/12)</x:f>
        <x:v>5.111686697146011</x:v>
      </x:c>
      <x:c r="D349" s="141" t="n">
        <x:f>Premissas!$B$30*C349</x:f>
        <x:v>555282.4650881072</x:v>
      </x:c>
      <x:c r="E349" s="141" t="n">
        <x:f>IF(A349&lt;=Premissas!$B$25,Premissas!$B$32*C349,0)</x:f>
        <x:v>0</x:v>
      </x:c>
      <x:c r="F349" s="141" t="n">
        <x:f>IF(AND(A349&gt;=Premissas!$B$48,A349&lt;=Premissas!$B$27,A349-Premissas!$B$48+1&lt;=Premissas!$B$13),INDEX(Financiamento!$C$6:$C$485,A349-Premissas!$B$48+1),0)</x:f>
        <x:v>0</x:v>
      </x:c>
      <x:c r="G349" s="141" t="n">
        <x:f>IF(AND(A349&gt;=Premissas!$B$48,A349&lt;=Premissas!$B$27,A349-Premissas!$B$48+1&lt;=Premissas!$B$13),INDEX(Financiamento!$J$6:$J$485,A349-Premissas!$B$48+1),0)</x:f>
        <x:v>0</x:v>
      </x:c>
      <x:c r="H349" s="141" t="n">
        <x:f>IF(AND(A349&gt;=Premissas!$B$48,A349&lt;=Premissas!$B$27,A349-Premissas!$B$48+1&lt;=Premissas!$B$13),INDEX(Financiamento!$M$6:$M$485,A349-Premissas!$B$48+1),0)</x:f>
        <x:v>0</x:v>
      </x:c>
      <x:c r="I349" s="141" t="n">
        <x:f>IF(A349=Premissas!$B$27,MIN(D349,H349),0)</x:f>
        <x:v>0</x:v>
      </x:c>
      <x:c r="J349" s="141" t="n">
        <x:f>IF(A349=Premissas!$B$27,D349-H349,0)</x:f>
        <x:v>0</x:v>
      </x:c>
      <x:c r="K349" s="141" t="n">
        <x:f>E349+G349</x:f>
        <x:v>0</x:v>
      </x:c>
      <x:c r="L349" s="141" t="n">
        <x:f>SUM($K$6:K349)</x:f>
        <x:v>368370.4829168556</x:v>
      </x:c>
      <x:c r="M349" s="141" t="str">
        <x:f>IF(A349&lt;Premissas!$B$27,"Financiamento + consorcio",IF(A349=Premissas!$B$27,"Quitacao via carta",IF(A349&lt;=Premissas!$B$25,"Somente consorcio","Encerrado")))</x:f>
        <x:v>Encerrado</x:v>
      </x:c>
      <x:c r="N349" s="141" t="n">
        <x:f>IF(A349&gt;=Premissas!$B$25,0,(N350+E350)/(1+Premissas!$B$41))</x:f>
        <x:v>0</x:v>
      </x:c>
      <x:c r="O349" s="141" t="n">
        <x:f>IF(A349&lt;Premissas!$B$27,Premissas!$B$31/(1+Premissas!$B$41)^(Premissas!$B$27-A349),0)</x:f>
        <x:v>0</x:v>
      </x:c>
      <x:c r="P349" s="141" t="n">
        <x:f>MAX(0,H349-I349)+N349</x:f>
        <x:v>0</x:v>
      </x:c>
    </x:row>
    <x:row r="350">
      <x:c r="A350" s="142" t="n">
        <x:v>345</x:v>
      </x:c>
      <x:c r="B350" s="179" t="n">
        <x:f>EDATE(Premissas!$B$4,344)</x:f>
        <x:v>57011</x:v>
      </x:c>
      <x:c r="C350" s="180" t="n">
        <x:f>(1+Premissas!$B$26)^INT((A350-1)/12)</x:f>
        <x:v>5.111686697146011</x:v>
      </x:c>
      <x:c r="D350" s="141" t="n">
        <x:f>Premissas!$B$30*C350</x:f>
        <x:v>555282.4650881072</x:v>
      </x:c>
      <x:c r="E350" s="141" t="n">
        <x:f>IF(A350&lt;=Premissas!$B$25,Premissas!$B$32*C350,0)</x:f>
        <x:v>0</x:v>
      </x:c>
      <x:c r="F350" s="141" t="n">
        <x:f>IF(AND(A350&gt;=Premissas!$B$48,A350&lt;=Premissas!$B$27,A350-Premissas!$B$48+1&lt;=Premissas!$B$13),INDEX(Financiamento!$C$6:$C$485,A350-Premissas!$B$48+1),0)</x:f>
        <x:v>0</x:v>
      </x:c>
      <x:c r="G350" s="141" t="n">
        <x:f>IF(AND(A350&gt;=Premissas!$B$48,A350&lt;=Premissas!$B$27,A350-Premissas!$B$48+1&lt;=Premissas!$B$13),INDEX(Financiamento!$J$6:$J$485,A350-Premissas!$B$48+1),0)</x:f>
        <x:v>0</x:v>
      </x:c>
      <x:c r="H350" s="141" t="n">
        <x:f>IF(AND(A350&gt;=Premissas!$B$48,A350&lt;=Premissas!$B$27,A350-Premissas!$B$48+1&lt;=Premissas!$B$13),INDEX(Financiamento!$M$6:$M$485,A350-Premissas!$B$48+1),0)</x:f>
        <x:v>0</x:v>
      </x:c>
      <x:c r="I350" s="141" t="n">
        <x:f>IF(A350=Premissas!$B$27,MIN(D350,H350),0)</x:f>
        <x:v>0</x:v>
      </x:c>
      <x:c r="J350" s="141" t="n">
        <x:f>IF(A350=Premissas!$B$27,D350-H350,0)</x:f>
        <x:v>0</x:v>
      </x:c>
      <x:c r="K350" s="141" t="n">
        <x:f>E350+G350</x:f>
        <x:v>0</x:v>
      </x:c>
      <x:c r="L350" s="141" t="n">
        <x:f>SUM($K$6:K350)</x:f>
        <x:v>368370.4829168556</x:v>
      </x:c>
      <x:c r="M350" s="141" t="str">
        <x:f>IF(A350&lt;Premissas!$B$27,"Financiamento + consorcio",IF(A350=Premissas!$B$27,"Quitacao via carta",IF(A350&lt;=Premissas!$B$25,"Somente consorcio","Encerrado")))</x:f>
        <x:v>Encerrado</x:v>
      </x:c>
      <x:c r="N350" s="141" t="n">
        <x:f>IF(A350&gt;=Premissas!$B$25,0,(N351+E351)/(1+Premissas!$B$41))</x:f>
        <x:v>0</x:v>
      </x:c>
      <x:c r="O350" s="141" t="n">
        <x:f>IF(A350&lt;Premissas!$B$27,Premissas!$B$31/(1+Premissas!$B$41)^(Premissas!$B$27-A350),0)</x:f>
        <x:v>0</x:v>
      </x:c>
      <x:c r="P350" s="141" t="n">
        <x:f>MAX(0,H350-I350)+N350</x:f>
        <x:v>0</x:v>
      </x:c>
    </x:row>
    <x:row r="351">
      <x:c r="A351" s="142" t="n">
        <x:v>346</x:v>
      </x:c>
      <x:c r="B351" s="179" t="n">
        <x:f>EDATE(Premissas!$B$4,345)</x:f>
        <x:v>57040</x:v>
      </x:c>
      <x:c r="C351" s="180" t="n">
        <x:f>(1+Premissas!$B$26)^INT((A351-1)/12)</x:f>
        <x:v>5.111686697146011</x:v>
      </x:c>
      <x:c r="D351" s="141" t="n">
        <x:f>Premissas!$B$30*C351</x:f>
        <x:v>555282.4650881072</x:v>
      </x:c>
      <x:c r="E351" s="141" t="n">
        <x:f>IF(A351&lt;=Premissas!$B$25,Premissas!$B$32*C351,0)</x:f>
        <x:v>0</x:v>
      </x:c>
      <x:c r="F351" s="141" t="n">
        <x:f>IF(AND(A351&gt;=Premissas!$B$48,A351&lt;=Premissas!$B$27,A351-Premissas!$B$48+1&lt;=Premissas!$B$13),INDEX(Financiamento!$C$6:$C$485,A351-Premissas!$B$48+1),0)</x:f>
        <x:v>0</x:v>
      </x:c>
      <x:c r="G351" s="141" t="n">
        <x:f>IF(AND(A351&gt;=Premissas!$B$48,A351&lt;=Premissas!$B$27,A351-Premissas!$B$48+1&lt;=Premissas!$B$13),INDEX(Financiamento!$J$6:$J$485,A351-Premissas!$B$48+1),0)</x:f>
        <x:v>0</x:v>
      </x:c>
      <x:c r="H351" s="141" t="n">
        <x:f>IF(AND(A351&gt;=Premissas!$B$48,A351&lt;=Premissas!$B$27,A351-Premissas!$B$48+1&lt;=Premissas!$B$13),INDEX(Financiamento!$M$6:$M$485,A351-Premissas!$B$48+1),0)</x:f>
        <x:v>0</x:v>
      </x:c>
      <x:c r="I351" s="141" t="n">
        <x:f>IF(A351=Premissas!$B$27,MIN(D351,H351),0)</x:f>
        <x:v>0</x:v>
      </x:c>
      <x:c r="J351" s="141" t="n">
        <x:f>IF(A351=Premissas!$B$27,D351-H351,0)</x:f>
        <x:v>0</x:v>
      </x:c>
      <x:c r="K351" s="141" t="n">
        <x:f>E351+G351</x:f>
        <x:v>0</x:v>
      </x:c>
      <x:c r="L351" s="141" t="n">
        <x:f>SUM($K$6:K351)</x:f>
        <x:v>368370.4829168556</x:v>
      </x:c>
      <x:c r="M351" s="141" t="str">
        <x:f>IF(A351&lt;Premissas!$B$27,"Financiamento + consorcio",IF(A351=Premissas!$B$27,"Quitacao via carta",IF(A351&lt;=Premissas!$B$25,"Somente consorcio","Encerrado")))</x:f>
        <x:v>Encerrado</x:v>
      </x:c>
      <x:c r="N351" s="141" t="n">
        <x:f>IF(A351&gt;=Premissas!$B$25,0,(N352+E352)/(1+Premissas!$B$41))</x:f>
        <x:v>0</x:v>
      </x:c>
      <x:c r="O351" s="141" t="n">
        <x:f>IF(A351&lt;Premissas!$B$27,Premissas!$B$31/(1+Premissas!$B$41)^(Premissas!$B$27-A351),0)</x:f>
        <x:v>0</x:v>
      </x:c>
      <x:c r="P351" s="141" t="n">
        <x:f>MAX(0,H351-I351)+N351</x:f>
        <x:v>0</x:v>
      </x:c>
    </x:row>
    <x:row r="352">
      <x:c r="A352" s="142" t="n">
        <x:v>347</x:v>
      </x:c>
      <x:c r="B352" s="179" t="n">
        <x:f>EDATE(Premissas!$B$4,346)</x:f>
        <x:v>57071</x:v>
      </x:c>
      <x:c r="C352" s="180" t="n">
        <x:f>(1+Premissas!$B$26)^INT((A352-1)/12)</x:f>
        <x:v>5.111686697146011</x:v>
      </x:c>
      <x:c r="D352" s="141" t="n">
        <x:f>Premissas!$B$30*C352</x:f>
        <x:v>555282.4650881072</x:v>
      </x:c>
      <x:c r="E352" s="141" t="n">
        <x:f>IF(A352&lt;=Premissas!$B$25,Premissas!$B$32*C352,0)</x:f>
        <x:v>0</x:v>
      </x:c>
      <x:c r="F352" s="141" t="n">
        <x:f>IF(AND(A352&gt;=Premissas!$B$48,A352&lt;=Premissas!$B$27,A352-Premissas!$B$48+1&lt;=Premissas!$B$13),INDEX(Financiamento!$C$6:$C$485,A352-Premissas!$B$48+1),0)</x:f>
        <x:v>0</x:v>
      </x:c>
      <x:c r="G352" s="141" t="n">
        <x:f>IF(AND(A352&gt;=Premissas!$B$48,A352&lt;=Premissas!$B$27,A352-Premissas!$B$48+1&lt;=Premissas!$B$13),INDEX(Financiamento!$J$6:$J$485,A352-Premissas!$B$48+1),0)</x:f>
        <x:v>0</x:v>
      </x:c>
      <x:c r="H352" s="141" t="n">
        <x:f>IF(AND(A352&gt;=Premissas!$B$48,A352&lt;=Premissas!$B$27,A352-Premissas!$B$48+1&lt;=Premissas!$B$13),INDEX(Financiamento!$M$6:$M$485,A352-Premissas!$B$48+1),0)</x:f>
        <x:v>0</x:v>
      </x:c>
      <x:c r="I352" s="141" t="n">
        <x:f>IF(A352=Premissas!$B$27,MIN(D352,H352),0)</x:f>
        <x:v>0</x:v>
      </x:c>
      <x:c r="J352" s="141" t="n">
        <x:f>IF(A352=Premissas!$B$27,D352-H352,0)</x:f>
        <x:v>0</x:v>
      </x:c>
      <x:c r="K352" s="141" t="n">
        <x:f>E352+G352</x:f>
        <x:v>0</x:v>
      </x:c>
      <x:c r="L352" s="141" t="n">
        <x:f>SUM($K$6:K352)</x:f>
        <x:v>368370.4829168556</x:v>
      </x:c>
      <x:c r="M352" s="141" t="str">
        <x:f>IF(A352&lt;Premissas!$B$27,"Financiamento + consorcio",IF(A352=Premissas!$B$27,"Quitacao via carta",IF(A352&lt;=Premissas!$B$25,"Somente consorcio","Encerrado")))</x:f>
        <x:v>Encerrado</x:v>
      </x:c>
      <x:c r="N352" s="141" t="n">
        <x:f>IF(A352&gt;=Premissas!$B$25,0,(N353+E353)/(1+Premissas!$B$41))</x:f>
        <x:v>0</x:v>
      </x:c>
      <x:c r="O352" s="141" t="n">
        <x:f>IF(A352&lt;Premissas!$B$27,Premissas!$B$31/(1+Premissas!$B$41)^(Premissas!$B$27-A352),0)</x:f>
        <x:v>0</x:v>
      </x:c>
      <x:c r="P352" s="141" t="n">
        <x:f>MAX(0,H352-I352)+N352</x:f>
        <x:v>0</x:v>
      </x:c>
    </x:row>
    <x:row r="353">
      <x:c r="A353" s="142" t="n">
        <x:v>348</x:v>
      </x:c>
      <x:c r="B353" s="179" t="n">
        <x:f>EDATE(Premissas!$B$4,347)</x:f>
        <x:v>57101</x:v>
      </x:c>
      <x:c r="C353" s="180" t="n">
        <x:f>(1+Premissas!$B$26)^INT((A353-1)/12)</x:f>
        <x:v>5.111686697146011</x:v>
      </x:c>
      <x:c r="D353" s="141" t="n">
        <x:f>Premissas!$B$30*C353</x:f>
        <x:v>555282.4650881072</x:v>
      </x:c>
      <x:c r="E353" s="141" t="n">
        <x:f>IF(A353&lt;=Premissas!$B$25,Premissas!$B$32*C353,0)</x:f>
        <x:v>0</x:v>
      </x:c>
      <x:c r="F353" s="141" t="n">
        <x:f>IF(AND(A353&gt;=Premissas!$B$48,A353&lt;=Premissas!$B$27,A353-Premissas!$B$48+1&lt;=Premissas!$B$13),INDEX(Financiamento!$C$6:$C$485,A353-Premissas!$B$48+1),0)</x:f>
        <x:v>0</x:v>
      </x:c>
      <x:c r="G353" s="141" t="n">
        <x:f>IF(AND(A353&gt;=Premissas!$B$48,A353&lt;=Premissas!$B$27,A353-Premissas!$B$48+1&lt;=Premissas!$B$13),INDEX(Financiamento!$J$6:$J$485,A353-Premissas!$B$48+1),0)</x:f>
        <x:v>0</x:v>
      </x:c>
      <x:c r="H353" s="141" t="n">
        <x:f>IF(AND(A353&gt;=Premissas!$B$48,A353&lt;=Premissas!$B$27,A353-Premissas!$B$48+1&lt;=Premissas!$B$13),INDEX(Financiamento!$M$6:$M$485,A353-Premissas!$B$48+1),0)</x:f>
        <x:v>0</x:v>
      </x:c>
      <x:c r="I353" s="141" t="n">
        <x:f>IF(A353=Premissas!$B$27,MIN(D353,H353),0)</x:f>
        <x:v>0</x:v>
      </x:c>
      <x:c r="J353" s="141" t="n">
        <x:f>IF(A353=Premissas!$B$27,D353-H353,0)</x:f>
        <x:v>0</x:v>
      </x:c>
      <x:c r="K353" s="141" t="n">
        <x:f>E353+G353</x:f>
        <x:v>0</x:v>
      </x:c>
      <x:c r="L353" s="141" t="n">
        <x:f>SUM($K$6:K353)</x:f>
        <x:v>368370.4829168556</x:v>
      </x:c>
      <x:c r="M353" s="141" t="str">
        <x:f>IF(A353&lt;Premissas!$B$27,"Financiamento + consorcio",IF(A353=Premissas!$B$27,"Quitacao via carta",IF(A353&lt;=Premissas!$B$25,"Somente consorcio","Encerrado")))</x:f>
        <x:v>Encerrado</x:v>
      </x:c>
      <x:c r="N353" s="141" t="n">
        <x:f>IF(A353&gt;=Premissas!$B$25,0,(N354+E354)/(1+Premissas!$B$41))</x:f>
        <x:v>0</x:v>
      </x:c>
      <x:c r="O353" s="141" t="n">
        <x:f>IF(A353&lt;Premissas!$B$27,Premissas!$B$31/(1+Premissas!$B$41)^(Premissas!$B$27-A353),0)</x:f>
        <x:v>0</x:v>
      </x:c>
      <x:c r="P353" s="141" t="n">
        <x:f>MAX(0,H353-I353)+N353</x:f>
        <x:v>0</x:v>
      </x:c>
    </x:row>
    <x:row r="354">
      <x:c r="A354" s="142" t="n">
        <x:v>349</x:v>
      </x:c>
      <x:c r="B354" s="179" t="n">
        <x:f>EDATE(Premissas!$B$4,348)</x:f>
        <x:v>57132</x:v>
      </x:c>
      <x:c r="C354" s="180" t="n">
        <x:f>(1+Premissas!$B$26)^INT((A354-1)/12)</x:f>
        <x:v>5.418387898974772</x:v>
      </x:c>
      <x:c r="D354" s="141" t="n">
        <x:f>Premissas!$B$30*C354</x:f>
        <x:v>588599.4129933937</x:v>
      </x:c>
      <x:c r="E354" s="141" t="n">
        <x:f>IF(A354&lt;=Premissas!$B$25,Premissas!$B$32*C354,0)</x:f>
        <x:v>0</x:v>
      </x:c>
      <x:c r="F354" s="141" t="n">
        <x:f>IF(AND(A354&gt;=Premissas!$B$48,A354&lt;=Premissas!$B$27,A354-Premissas!$B$48+1&lt;=Premissas!$B$13),INDEX(Financiamento!$C$6:$C$485,A354-Premissas!$B$48+1),0)</x:f>
        <x:v>0</x:v>
      </x:c>
      <x:c r="G354" s="141" t="n">
        <x:f>IF(AND(A354&gt;=Premissas!$B$48,A354&lt;=Premissas!$B$27,A354-Premissas!$B$48+1&lt;=Premissas!$B$13),INDEX(Financiamento!$J$6:$J$485,A354-Premissas!$B$48+1),0)</x:f>
        <x:v>0</x:v>
      </x:c>
      <x:c r="H354" s="141" t="n">
        <x:f>IF(AND(A354&gt;=Premissas!$B$48,A354&lt;=Premissas!$B$27,A354-Premissas!$B$48+1&lt;=Premissas!$B$13),INDEX(Financiamento!$M$6:$M$485,A354-Premissas!$B$48+1),0)</x:f>
        <x:v>0</x:v>
      </x:c>
      <x:c r="I354" s="141" t="n">
        <x:f>IF(A354=Premissas!$B$27,MIN(D354,H354),0)</x:f>
        <x:v>0</x:v>
      </x:c>
      <x:c r="J354" s="141" t="n">
        <x:f>IF(A354=Premissas!$B$27,D354-H354,0)</x:f>
        <x:v>0</x:v>
      </x:c>
      <x:c r="K354" s="141" t="n">
        <x:f>E354+G354</x:f>
        <x:v>0</x:v>
      </x:c>
      <x:c r="L354" s="141" t="n">
        <x:f>SUM($K$6:K354)</x:f>
        <x:v>368370.4829168556</x:v>
      </x:c>
      <x:c r="M354" s="141" t="str">
        <x:f>IF(A354&lt;Premissas!$B$27,"Financiamento + consorcio",IF(A354=Premissas!$B$27,"Quitacao via carta",IF(A354&lt;=Premissas!$B$25,"Somente consorcio","Encerrado")))</x:f>
        <x:v>Encerrado</x:v>
      </x:c>
      <x:c r="N354" s="141" t="n">
        <x:f>IF(A354&gt;=Premissas!$B$25,0,(N355+E355)/(1+Premissas!$B$41))</x:f>
        <x:v>0</x:v>
      </x:c>
      <x:c r="O354" s="141" t="n">
        <x:f>IF(A354&lt;Premissas!$B$27,Premissas!$B$31/(1+Premissas!$B$41)^(Premissas!$B$27-A354),0)</x:f>
        <x:v>0</x:v>
      </x:c>
      <x:c r="P354" s="141" t="n">
        <x:f>MAX(0,H354-I354)+N354</x:f>
        <x:v>0</x:v>
      </x:c>
    </x:row>
    <x:row r="355">
      <x:c r="A355" s="142" t="n">
        <x:v>350</x:v>
      </x:c>
      <x:c r="B355" s="179" t="n">
        <x:f>EDATE(Premissas!$B$4,349)</x:f>
        <x:v>57162</x:v>
      </x:c>
      <x:c r="C355" s="180" t="n">
        <x:f>(1+Premissas!$B$26)^INT((A355-1)/12)</x:f>
        <x:v>5.418387898974772</x:v>
      </x:c>
      <x:c r="D355" s="141" t="n">
        <x:f>Premissas!$B$30*C355</x:f>
        <x:v>588599.4129933937</x:v>
      </x:c>
      <x:c r="E355" s="141" t="n">
        <x:f>IF(A355&lt;=Premissas!$B$25,Premissas!$B$32*C355,0)</x:f>
        <x:v>0</x:v>
      </x:c>
      <x:c r="F355" s="141" t="n">
        <x:f>IF(AND(A355&gt;=Premissas!$B$48,A355&lt;=Premissas!$B$27,A355-Premissas!$B$48+1&lt;=Premissas!$B$13),INDEX(Financiamento!$C$6:$C$485,A355-Premissas!$B$48+1),0)</x:f>
        <x:v>0</x:v>
      </x:c>
      <x:c r="G355" s="141" t="n">
        <x:f>IF(AND(A355&gt;=Premissas!$B$48,A355&lt;=Premissas!$B$27,A355-Premissas!$B$48+1&lt;=Premissas!$B$13),INDEX(Financiamento!$J$6:$J$485,A355-Premissas!$B$48+1),0)</x:f>
        <x:v>0</x:v>
      </x:c>
      <x:c r="H355" s="141" t="n">
        <x:f>IF(AND(A355&gt;=Premissas!$B$48,A355&lt;=Premissas!$B$27,A355-Premissas!$B$48+1&lt;=Premissas!$B$13),INDEX(Financiamento!$M$6:$M$485,A355-Premissas!$B$48+1),0)</x:f>
        <x:v>0</x:v>
      </x:c>
      <x:c r="I355" s="141" t="n">
        <x:f>IF(A355=Premissas!$B$27,MIN(D355,H355),0)</x:f>
        <x:v>0</x:v>
      </x:c>
      <x:c r="J355" s="141" t="n">
        <x:f>IF(A355=Premissas!$B$27,D355-H355,0)</x:f>
        <x:v>0</x:v>
      </x:c>
      <x:c r="K355" s="141" t="n">
        <x:f>E355+G355</x:f>
        <x:v>0</x:v>
      </x:c>
      <x:c r="L355" s="141" t="n">
        <x:f>SUM($K$6:K355)</x:f>
        <x:v>368370.4829168556</x:v>
      </x:c>
      <x:c r="M355" s="141" t="str">
        <x:f>IF(A355&lt;Premissas!$B$27,"Financiamento + consorcio",IF(A355=Premissas!$B$27,"Quitacao via carta",IF(A355&lt;=Premissas!$B$25,"Somente consorcio","Encerrado")))</x:f>
        <x:v>Encerrado</x:v>
      </x:c>
      <x:c r="N355" s="141" t="n">
        <x:f>IF(A355&gt;=Premissas!$B$25,0,(N356+E356)/(1+Premissas!$B$41))</x:f>
        <x:v>0</x:v>
      </x:c>
      <x:c r="O355" s="141" t="n">
        <x:f>IF(A355&lt;Premissas!$B$27,Premissas!$B$31/(1+Premissas!$B$41)^(Premissas!$B$27-A355),0)</x:f>
        <x:v>0</x:v>
      </x:c>
      <x:c r="P355" s="141" t="n">
        <x:f>MAX(0,H355-I355)+N355</x:f>
        <x:v>0</x:v>
      </x:c>
    </x:row>
    <x:row r="356">
      <x:c r="A356" s="142" t="n">
        <x:v>351</x:v>
      </x:c>
      <x:c r="B356" s="179" t="n">
        <x:f>EDATE(Premissas!$B$4,350)</x:f>
        <x:v>57193</x:v>
      </x:c>
      <x:c r="C356" s="180" t="n">
        <x:f>(1+Premissas!$B$26)^INT((A356-1)/12)</x:f>
        <x:v>5.418387898974772</x:v>
      </x:c>
      <x:c r="D356" s="141" t="n">
        <x:f>Premissas!$B$30*C356</x:f>
        <x:v>588599.4129933937</x:v>
      </x:c>
      <x:c r="E356" s="141" t="n">
        <x:f>IF(A356&lt;=Premissas!$B$25,Premissas!$B$32*C356,0)</x:f>
        <x:v>0</x:v>
      </x:c>
      <x:c r="F356" s="141" t="n">
        <x:f>IF(AND(A356&gt;=Premissas!$B$48,A356&lt;=Premissas!$B$27,A356-Premissas!$B$48+1&lt;=Premissas!$B$13),INDEX(Financiamento!$C$6:$C$485,A356-Premissas!$B$48+1),0)</x:f>
        <x:v>0</x:v>
      </x:c>
      <x:c r="G356" s="141" t="n">
        <x:f>IF(AND(A356&gt;=Premissas!$B$48,A356&lt;=Premissas!$B$27,A356-Premissas!$B$48+1&lt;=Premissas!$B$13),INDEX(Financiamento!$J$6:$J$485,A356-Premissas!$B$48+1),0)</x:f>
        <x:v>0</x:v>
      </x:c>
      <x:c r="H356" s="141" t="n">
        <x:f>IF(AND(A356&gt;=Premissas!$B$48,A356&lt;=Premissas!$B$27,A356-Premissas!$B$48+1&lt;=Premissas!$B$13),INDEX(Financiamento!$M$6:$M$485,A356-Premissas!$B$48+1),0)</x:f>
        <x:v>0</x:v>
      </x:c>
      <x:c r="I356" s="141" t="n">
        <x:f>IF(A356=Premissas!$B$27,MIN(D356,H356),0)</x:f>
        <x:v>0</x:v>
      </x:c>
      <x:c r="J356" s="141" t="n">
        <x:f>IF(A356=Premissas!$B$27,D356-H356,0)</x:f>
        <x:v>0</x:v>
      </x:c>
      <x:c r="K356" s="141" t="n">
        <x:f>E356+G356</x:f>
        <x:v>0</x:v>
      </x:c>
      <x:c r="L356" s="141" t="n">
        <x:f>SUM($K$6:K356)</x:f>
        <x:v>368370.4829168556</x:v>
      </x:c>
      <x:c r="M356" s="141" t="str">
        <x:f>IF(A356&lt;Premissas!$B$27,"Financiamento + consorcio",IF(A356=Premissas!$B$27,"Quitacao via carta",IF(A356&lt;=Premissas!$B$25,"Somente consorcio","Encerrado")))</x:f>
        <x:v>Encerrado</x:v>
      </x:c>
      <x:c r="N356" s="141" t="n">
        <x:f>IF(A356&gt;=Premissas!$B$25,0,(N357+E357)/(1+Premissas!$B$41))</x:f>
        <x:v>0</x:v>
      </x:c>
      <x:c r="O356" s="141" t="n">
        <x:f>IF(A356&lt;Premissas!$B$27,Premissas!$B$31/(1+Premissas!$B$41)^(Premissas!$B$27-A356),0)</x:f>
        <x:v>0</x:v>
      </x:c>
      <x:c r="P356" s="141" t="n">
        <x:f>MAX(0,H356-I356)+N356</x:f>
        <x:v>0</x:v>
      </x:c>
    </x:row>
    <x:row r="357">
      <x:c r="A357" s="142" t="n">
        <x:v>352</x:v>
      </x:c>
      <x:c r="B357" s="179" t="n">
        <x:f>EDATE(Premissas!$B$4,351)</x:f>
        <x:v>57224</x:v>
      </x:c>
      <x:c r="C357" s="180" t="n">
        <x:f>(1+Premissas!$B$26)^INT((A357-1)/12)</x:f>
        <x:v>5.418387898974772</x:v>
      </x:c>
      <x:c r="D357" s="141" t="n">
        <x:f>Premissas!$B$30*C357</x:f>
        <x:v>588599.4129933937</x:v>
      </x:c>
      <x:c r="E357" s="141" t="n">
        <x:f>IF(A357&lt;=Premissas!$B$25,Premissas!$B$32*C357,0)</x:f>
        <x:v>0</x:v>
      </x:c>
      <x:c r="F357" s="141" t="n">
        <x:f>IF(AND(A357&gt;=Premissas!$B$48,A357&lt;=Premissas!$B$27,A357-Premissas!$B$48+1&lt;=Premissas!$B$13),INDEX(Financiamento!$C$6:$C$485,A357-Premissas!$B$48+1),0)</x:f>
        <x:v>0</x:v>
      </x:c>
      <x:c r="G357" s="141" t="n">
        <x:f>IF(AND(A357&gt;=Premissas!$B$48,A357&lt;=Premissas!$B$27,A357-Premissas!$B$48+1&lt;=Premissas!$B$13),INDEX(Financiamento!$J$6:$J$485,A357-Premissas!$B$48+1),0)</x:f>
        <x:v>0</x:v>
      </x:c>
      <x:c r="H357" s="141" t="n">
        <x:f>IF(AND(A357&gt;=Premissas!$B$48,A357&lt;=Premissas!$B$27,A357-Premissas!$B$48+1&lt;=Premissas!$B$13),INDEX(Financiamento!$M$6:$M$485,A357-Premissas!$B$48+1),0)</x:f>
        <x:v>0</x:v>
      </x:c>
      <x:c r="I357" s="141" t="n">
        <x:f>IF(A357=Premissas!$B$27,MIN(D357,H357),0)</x:f>
        <x:v>0</x:v>
      </x:c>
      <x:c r="J357" s="141" t="n">
        <x:f>IF(A357=Premissas!$B$27,D357-H357,0)</x:f>
        <x:v>0</x:v>
      </x:c>
      <x:c r="K357" s="141" t="n">
        <x:f>E357+G357</x:f>
        <x:v>0</x:v>
      </x:c>
      <x:c r="L357" s="141" t="n">
        <x:f>SUM($K$6:K357)</x:f>
        <x:v>368370.4829168556</x:v>
      </x:c>
      <x:c r="M357" s="141" t="str">
        <x:f>IF(A357&lt;Premissas!$B$27,"Financiamento + consorcio",IF(A357=Premissas!$B$27,"Quitacao via carta",IF(A357&lt;=Premissas!$B$25,"Somente consorcio","Encerrado")))</x:f>
        <x:v>Encerrado</x:v>
      </x:c>
      <x:c r="N357" s="141" t="n">
        <x:f>IF(A357&gt;=Premissas!$B$25,0,(N358+E358)/(1+Premissas!$B$41))</x:f>
        <x:v>0</x:v>
      </x:c>
      <x:c r="O357" s="141" t="n">
        <x:f>IF(A357&lt;Premissas!$B$27,Premissas!$B$31/(1+Premissas!$B$41)^(Premissas!$B$27-A357),0)</x:f>
        <x:v>0</x:v>
      </x:c>
      <x:c r="P357" s="141" t="n">
        <x:f>MAX(0,H357-I357)+N357</x:f>
        <x:v>0</x:v>
      </x:c>
    </x:row>
    <x:row r="358">
      <x:c r="A358" s="142" t="n">
        <x:v>353</x:v>
      </x:c>
      <x:c r="B358" s="179" t="n">
        <x:f>EDATE(Premissas!$B$4,352)</x:f>
        <x:v>57254</x:v>
      </x:c>
      <x:c r="C358" s="180" t="n">
        <x:f>(1+Premissas!$B$26)^INT((A358-1)/12)</x:f>
        <x:v>5.418387898974772</x:v>
      </x:c>
      <x:c r="D358" s="141" t="n">
        <x:f>Premissas!$B$30*C358</x:f>
        <x:v>588599.4129933937</x:v>
      </x:c>
      <x:c r="E358" s="141" t="n">
        <x:f>IF(A358&lt;=Premissas!$B$25,Premissas!$B$32*C358,0)</x:f>
        <x:v>0</x:v>
      </x:c>
      <x:c r="F358" s="141" t="n">
        <x:f>IF(AND(A358&gt;=Premissas!$B$48,A358&lt;=Premissas!$B$27,A358-Premissas!$B$48+1&lt;=Premissas!$B$13),INDEX(Financiamento!$C$6:$C$485,A358-Premissas!$B$48+1),0)</x:f>
        <x:v>0</x:v>
      </x:c>
      <x:c r="G358" s="141" t="n">
        <x:f>IF(AND(A358&gt;=Premissas!$B$48,A358&lt;=Premissas!$B$27,A358-Premissas!$B$48+1&lt;=Premissas!$B$13),INDEX(Financiamento!$J$6:$J$485,A358-Premissas!$B$48+1),0)</x:f>
        <x:v>0</x:v>
      </x:c>
      <x:c r="H358" s="141" t="n">
        <x:f>IF(AND(A358&gt;=Premissas!$B$48,A358&lt;=Premissas!$B$27,A358-Premissas!$B$48+1&lt;=Premissas!$B$13),INDEX(Financiamento!$M$6:$M$485,A358-Premissas!$B$48+1),0)</x:f>
        <x:v>0</x:v>
      </x:c>
      <x:c r="I358" s="141" t="n">
        <x:f>IF(A358=Premissas!$B$27,MIN(D358,H358),0)</x:f>
        <x:v>0</x:v>
      </x:c>
      <x:c r="J358" s="141" t="n">
        <x:f>IF(A358=Premissas!$B$27,D358-H358,0)</x:f>
        <x:v>0</x:v>
      </x:c>
      <x:c r="K358" s="141" t="n">
        <x:f>E358+G358</x:f>
        <x:v>0</x:v>
      </x:c>
      <x:c r="L358" s="141" t="n">
        <x:f>SUM($K$6:K358)</x:f>
        <x:v>368370.4829168556</x:v>
      </x:c>
      <x:c r="M358" s="141" t="str">
        <x:f>IF(A358&lt;Premissas!$B$27,"Financiamento + consorcio",IF(A358=Premissas!$B$27,"Quitacao via carta",IF(A358&lt;=Premissas!$B$25,"Somente consorcio","Encerrado")))</x:f>
        <x:v>Encerrado</x:v>
      </x:c>
      <x:c r="N358" s="141" t="n">
        <x:f>IF(A358&gt;=Premissas!$B$25,0,(N359+E359)/(1+Premissas!$B$41))</x:f>
        <x:v>0</x:v>
      </x:c>
      <x:c r="O358" s="141" t="n">
        <x:f>IF(A358&lt;Premissas!$B$27,Premissas!$B$31/(1+Premissas!$B$41)^(Premissas!$B$27-A358),0)</x:f>
        <x:v>0</x:v>
      </x:c>
      <x:c r="P358" s="141" t="n">
        <x:f>MAX(0,H358-I358)+N358</x:f>
        <x:v>0</x:v>
      </x:c>
    </x:row>
    <x:row r="359">
      <x:c r="A359" s="142" t="n">
        <x:v>354</x:v>
      </x:c>
      <x:c r="B359" s="179" t="n">
        <x:f>EDATE(Premissas!$B$4,353)</x:f>
        <x:v>57285</x:v>
      </x:c>
      <x:c r="C359" s="180" t="n">
        <x:f>(1+Premissas!$B$26)^INT((A359-1)/12)</x:f>
        <x:v>5.418387898974772</x:v>
      </x:c>
      <x:c r="D359" s="141" t="n">
        <x:f>Premissas!$B$30*C359</x:f>
        <x:v>588599.4129933937</x:v>
      </x:c>
      <x:c r="E359" s="141" t="n">
        <x:f>IF(A359&lt;=Premissas!$B$25,Premissas!$B$32*C359,0)</x:f>
        <x:v>0</x:v>
      </x:c>
      <x:c r="F359" s="141" t="n">
        <x:f>IF(AND(A359&gt;=Premissas!$B$48,A359&lt;=Premissas!$B$27,A359-Premissas!$B$48+1&lt;=Premissas!$B$13),INDEX(Financiamento!$C$6:$C$485,A359-Premissas!$B$48+1),0)</x:f>
        <x:v>0</x:v>
      </x:c>
      <x:c r="G359" s="141" t="n">
        <x:f>IF(AND(A359&gt;=Premissas!$B$48,A359&lt;=Premissas!$B$27,A359-Premissas!$B$48+1&lt;=Premissas!$B$13),INDEX(Financiamento!$J$6:$J$485,A359-Premissas!$B$48+1),0)</x:f>
        <x:v>0</x:v>
      </x:c>
      <x:c r="H359" s="141" t="n">
        <x:f>IF(AND(A359&gt;=Premissas!$B$48,A359&lt;=Premissas!$B$27,A359-Premissas!$B$48+1&lt;=Premissas!$B$13),INDEX(Financiamento!$M$6:$M$485,A359-Premissas!$B$48+1),0)</x:f>
        <x:v>0</x:v>
      </x:c>
      <x:c r="I359" s="141" t="n">
        <x:f>IF(A359=Premissas!$B$27,MIN(D359,H359),0)</x:f>
        <x:v>0</x:v>
      </x:c>
      <x:c r="J359" s="141" t="n">
        <x:f>IF(A359=Premissas!$B$27,D359-H359,0)</x:f>
        <x:v>0</x:v>
      </x:c>
      <x:c r="K359" s="141" t="n">
        <x:f>E359+G359</x:f>
        <x:v>0</x:v>
      </x:c>
      <x:c r="L359" s="141" t="n">
        <x:f>SUM($K$6:K359)</x:f>
        <x:v>368370.4829168556</x:v>
      </x:c>
      <x:c r="M359" s="141" t="str">
        <x:f>IF(A359&lt;Premissas!$B$27,"Financiamento + consorcio",IF(A359=Premissas!$B$27,"Quitacao via carta",IF(A359&lt;=Premissas!$B$25,"Somente consorcio","Encerrado")))</x:f>
        <x:v>Encerrado</x:v>
      </x:c>
      <x:c r="N359" s="141" t="n">
        <x:f>IF(A359&gt;=Premissas!$B$25,0,(N360+E360)/(1+Premissas!$B$41))</x:f>
        <x:v>0</x:v>
      </x:c>
      <x:c r="O359" s="141" t="n">
        <x:f>IF(A359&lt;Premissas!$B$27,Premissas!$B$31/(1+Premissas!$B$41)^(Premissas!$B$27-A359),0)</x:f>
        <x:v>0</x:v>
      </x:c>
      <x:c r="P359" s="141" t="n">
        <x:f>MAX(0,H359-I359)+N359</x:f>
        <x:v>0</x:v>
      </x:c>
    </x:row>
    <x:row r="360">
      <x:c r="A360" s="142" t="n">
        <x:v>355</x:v>
      </x:c>
      <x:c r="B360" s="179" t="n">
        <x:f>EDATE(Premissas!$B$4,354)</x:f>
        <x:v>57315</x:v>
      </x:c>
      <x:c r="C360" s="180" t="n">
        <x:f>(1+Premissas!$B$26)^INT((A360-1)/12)</x:f>
        <x:v>5.418387898974772</x:v>
      </x:c>
      <x:c r="D360" s="141" t="n">
        <x:f>Premissas!$B$30*C360</x:f>
        <x:v>588599.4129933937</x:v>
      </x:c>
      <x:c r="E360" s="141" t="n">
        <x:f>IF(A360&lt;=Premissas!$B$25,Premissas!$B$32*C360,0)</x:f>
        <x:v>0</x:v>
      </x:c>
      <x:c r="F360" s="141" t="n">
        <x:f>IF(AND(A360&gt;=Premissas!$B$48,A360&lt;=Premissas!$B$27,A360-Premissas!$B$48+1&lt;=Premissas!$B$13),INDEX(Financiamento!$C$6:$C$485,A360-Premissas!$B$48+1),0)</x:f>
        <x:v>0</x:v>
      </x:c>
      <x:c r="G360" s="141" t="n">
        <x:f>IF(AND(A360&gt;=Premissas!$B$48,A360&lt;=Premissas!$B$27,A360-Premissas!$B$48+1&lt;=Premissas!$B$13),INDEX(Financiamento!$J$6:$J$485,A360-Premissas!$B$48+1),0)</x:f>
        <x:v>0</x:v>
      </x:c>
      <x:c r="H360" s="141" t="n">
        <x:f>IF(AND(A360&gt;=Premissas!$B$48,A360&lt;=Premissas!$B$27,A360-Premissas!$B$48+1&lt;=Premissas!$B$13),INDEX(Financiamento!$M$6:$M$485,A360-Premissas!$B$48+1),0)</x:f>
        <x:v>0</x:v>
      </x:c>
      <x:c r="I360" s="141" t="n">
        <x:f>IF(A360=Premissas!$B$27,MIN(D360,H360),0)</x:f>
        <x:v>0</x:v>
      </x:c>
      <x:c r="J360" s="141" t="n">
        <x:f>IF(A360=Premissas!$B$27,D360-H360,0)</x:f>
        <x:v>0</x:v>
      </x:c>
      <x:c r="K360" s="141" t="n">
        <x:f>E360+G360</x:f>
        <x:v>0</x:v>
      </x:c>
      <x:c r="L360" s="141" t="n">
        <x:f>SUM($K$6:K360)</x:f>
        <x:v>368370.4829168556</x:v>
      </x:c>
      <x:c r="M360" s="141" t="str">
        <x:f>IF(A360&lt;Premissas!$B$27,"Financiamento + consorcio",IF(A360=Premissas!$B$27,"Quitacao via carta",IF(A360&lt;=Premissas!$B$25,"Somente consorcio","Encerrado")))</x:f>
        <x:v>Encerrado</x:v>
      </x:c>
      <x:c r="N360" s="141" t="n">
        <x:f>IF(A360&gt;=Premissas!$B$25,0,(N361+E361)/(1+Premissas!$B$41))</x:f>
        <x:v>0</x:v>
      </x:c>
      <x:c r="O360" s="141" t="n">
        <x:f>IF(A360&lt;Premissas!$B$27,Premissas!$B$31/(1+Premissas!$B$41)^(Premissas!$B$27-A360),0)</x:f>
        <x:v>0</x:v>
      </x:c>
      <x:c r="P360" s="141" t="n">
        <x:f>MAX(0,H360-I360)+N360</x:f>
        <x:v>0</x:v>
      </x:c>
    </x:row>
    <x:row r="361">
      <x:c r="A361" s="142" t="n">
        <x:v>356</x:v>
      </x:c>
      <x:c r="B361" s="179" t="n">
        <x:f>EDATE(Premissas!$B$4,355)</x:f>
        <x:v>57346</x:v>
      </x:c>
      <x:c r="C361" s="180" t="n">
        <x:f>(1+Premissas!$B$26)^INT((A361-1)/12)</x:f>
        <x:v>5.418387898974772</x:v>
      </x:c>
      <x:c r="D361" s="141" t="n">
        <x:f>Premissas!$B$30*C361</x:f>
        <x:v>588599.4129933937</x:v>
      </x:c>
      <x:c r="E361" s="141" t="n">
        <x:f>IF(A361&lt;=Premissas!$B$25,Premissas!$B$32*C361,0)</x:f>
        <x:v>0</x:v>
      </x:c>
      <x:c r="F361" s="141" t="n">
        <x:f>IF(AND(A361&gt;=Premissas!$B$48,A361&lt;=Premissas!$B$27,A361-Premissas!$B$48+1&lt;=Premissas!$B$13),INDEX(Financiamento!$C$6:$C$485,A361-Premissas!$B$48+1),0)</x:f>
        <x:v>0</x:v>
      </x:c>
      <x:c r="G361" s="141" t="n">
        <x:f>IF(AND(A361&gt;=Premissas!$B$48,A361&lt;=Premissas!$B$27,A361-Premissas!$B$48+1&lt;=Premissas!$B$13),INDEX(Financiamento!$J$6:$J$485,A361-Premissas!$B$48+1),0)</x:f>
        <x:v>0</x:v>
      </x:c>
      <x:c r="H361" s="141" t="n">
        <x:f>IF(AND(A361&gt;=Premissas!$B$48,A361&lt;=Premissas!$B$27,A361-Premissas!$B$48+1&lt;=Premissas!$B$13),INDEX(Financiamento!$M$6:$M$485,A361-Premissas!$B$48+1),0)</x:f>
        <x:v>0</x:v>
      </x:c>
      <x:c r="I361" s="141" t="n">
        <x:f>IF(A361=Premissas!$B$27,MIN(D361,H361),0)</x:f>
        <x:v>0</x:v>
      </x:c>
      <x:c r="J361" s="141" t="n">
        <x:f>IF(A361=Premissas!$B$27,D361-H361,0)</x:f>
        <x:v>0</x:v>
      </x:c>
      <x:c r="K361" s="141" t="n">
        <x:f>E361+G361</x:f>
        <x:v>0</x:v>
      </x:c>
      <x:c r="L361" s="141" t="n">
        <x:f>SUM($K$6:K361)</x:f>
        <x:v>368370.4829168556</x:v>
      </x:c>
      <x:c r="M361" s="141" t="str">
        <x:f>IF(A361&lt;Premissas!$B$27,"Financiamento + consorcio",IF(A361=Premissas!$B$27,"Quitacao via carta",IF(A361&lt;=Premissas!$B$25,"Somente consorcio","Encerrado")))</x:f>
        <x:v>Encerrado</x:v>
      </x:c>
      <x:c r="N361" s="141" t="n">
        <x:f>IF(A361&gt;=Premissas!$B$25,0,(N362+E362)/(1+Premissas!$B$41))</x:f>
        <x:v>0</x:v>
      </x:c>
      <x:c r="O361" s="141" t="n">
        <x:f>IF(A361&lt;Premissas!$B$27,Premissas!$B$31/(1+Premissas!$B$41)^(Premissas!$B$27-A361),0)</x:f>
        <x:v>0</x:v>
      </x:c>
      <x:c r="P361" s="141" t="n">
        <x:f>MAX(0,H361-I361)+N361</x:f>
        <x:v>0</x:v>
      </x:c>
    </x:row>
    <x:row r="362">
      <x:c r="A362" s="142" t="n">
        <x:v>357</x:v>
      </x:c>
      <x:c r="B362" s="179" t="n">
        <x:f>EDATE(Premissas!$B$4,356)</x:f>
        <x:v>57377</x:v>
      </x:c>
      <x:c r="C362" s="180" t="n">
        <x:f>(1+Premissas!$B$26)^INT((A362-1)/12)</x:f>
        <x:v>5.418387898974772</x:v>
      </x:c>
      <x:c r="D362" s="141" t="n">
        <x:f>Premissas!$B$30*C362</x:f>
        <x:v>588599.4129933937</x:v>
      </x:c>
      <x:c r="E362" s="141" t="n">
        <x:f>IF(A362&lt;=Premissas!$B$25,Premissas!$B$32*C362,0)</x:f>
        <x:v>0</x:v>
      </x:c>
      <x:c r="F362" s="141" t="n">
        <x:f>IF(AND(A362&gt;=Premissas!$B$48,A362&lt;=Premissas!$B$27,A362-Premissas!$B$48+1&lt;=Premissas!$B$13),INDEX(Financiamento!$C$6:$C$485,A362-Premissas!$B$48+1),0)</x:f>
        <x:v>0</x:v>
      </x:c>
      <x:c r="G362" s="141" t="n">
        <x:f>IF(AND(A362&gt;=Premissas!$B$48,A362&lt;=Premissas!$B$27,A362-Premissas!$B$48+1&lt;=Premissas!$B$13),INDEX(Financiamento!$J$6:$J$485,A362-Premissas!$B$48+1),0)</x:f>
        <x:v>0</x:v>
      </x:c>
      <x:c r="H362" s="141" t="n">
        <x:f>IF(AND(A362&gt;=Premissas!$B$48,A362&lt;=Premissas!$B$27,A362-Premissas!$B$48+1&lt;=Premissas!$B$13),INDEX(Financiamento!$M$6:$M$485,A362-Premissas!$B$48+1),0)</x:f>
        <x:v>0</x:v>
      </x:c>
      <x:c r="I362" s="141" t="n">
        <x:f>IF(A362=Premissas!$B$27,MIN(D362,H362),0)</x:f>
        <x:v>0</x:v>
      </x:c>
      <x:c r="J362" s="141" t="n">
        <x:f>IF(A362=Premissas!$B$27,D362-H362,0)</x:f>
        <x:v>0</x:v>
      </x:c>
      <x:c r="K362" s="141" t="n">
        <x:f>E362+G362</x:f>
        <x:v>0</x:v>
      </x:c>
      <x:c r="L362" s="141" t="n">
        <x:f>SUM($K$6:K362)</x:f>
        <x:v>368370.4829168556</x:v>
      </x:c>
      <x:c r="M362" s="141" t="str">
        <x:f>IF(A362&lt;Premissas!$B$27,"Financiamento + consorcio",IF(A362=Premissas!$B$27,"Quitacao via carta",IF(A362&lt;=Premissas!$B$25,"Somente consorcio","Encerrado")))</x:f>
        <x:v>Encerrado</x:v>
      </x:c>
      <x:c r="N362" s="141" t="n">
        <x:f>IF(A362&gt;=Premissas!$B$25,0,(N363+E363)/(1+Premissas!$B$41))</x:f>
        <x:v>0</x:v>
      </x:c>
      <x:c r="O362" s="141" t="n">
        <x:f>IF(A362&lt;Premissas!$B$27,Premissas!$B$31/(1+Premissas!$B$41)^(Premissas!$B$27-A362),0)</x:f>
        <x:v>0</x:v>
      </x:c>
      <x:c r="P362" s="141" t="n">
        <x:f>MAX(0,H362-I362)+N362</x:f>
        <x:v>0</x:v>
      </x:c>
    </x:row>
    <x:row r="363">
      <x:c r="A363" s="142" t="n">
        <x:v>358</x:v>
      </x:c>
      <x:c r="B363" s="179" t="n">
        <x:f>EDATE(Premissas!$B$4,357)</x:f>
        <x:v>57405</x:v>
      </x:c>
      <x:c r="C363" s="180" t="n">
        <x:f>(1+Premissas!$B$26)^INT((A363-1)/12)</x:f>
        <x:v>5.418387898974772</x:v>
      </x:c>
      <x:c r="D363" s="141" t="n">
        <x:f>Premissas!$B$30*C363</x:f>
        <x:v>588599.4129933937</x:v>
      </x:c>
      <x:c r="E363" s="141" t="n">
        <x:f>IF(A363&lt;=Premissas!$B$25,Premissas!$B$32*C363,0)</x:f>
        <x:v>0</x:v>
      </x:c>
      <x:c r="F363" s="141" t="n">
        <x:f>IF(AND(A363&gt;=Premissas!$B$48,A363&lt;=Premissas!$B$27,A363-Premissas!$B$48+1&lt;=Premissas!$B$13),INDEX(Financiamento!$C$6:$C$485,A363-Premissas!$B$48+1),0)</x:f>
        <x:v>0</x:v>
      </x:c>
      <x:c r="G363" s="141" t="n">
        <x:f>IF(AND(A363&gt;=Premissas!$B$48,A363&lt;=Premissas!$B$27,A363-Premissas!$B$48+1&lt;=Premissas!$B$13),INDEX(Financiamento!$J$6:$J$485,A363-Premissas!$B$48+1),0)</x:f>
        <x:v>0</x:v>
      </x:c>
      <x:c r="H363" s="141" t="n">
        <x:f>IF(AND(A363&gt;=Premissas!$B$48,A363&lt;=Premissas!$B$27,A363-Premissas!$B$48+1&lt;=Premissas!$B$13),INDEX(Financiamento!$M$6:$M$485,A363-Premissas!$B$48+1),0)</x:f>
        <x:v>0</x:v>
      </x:c>
      <x:c r="I363" s="141" t="n">
        <x:f>IF(A363=Premissas!$B$27,MIN(D363,H363),0)</x:f>
        <x:v>0</x:v>
      </x:c>
      <x:c r="J363" s="141" t="n">
        <x:f>IF(A363=Premissas!$B$27,D363-H363,0)</x:f>
        <x:v>0</x:v>
      </x:c>
      <x:c r="K363" s="141" t="n">
        <x:f>E363+G363</x:f>
        <x:v>0</x:v>
      </x:c>
      <x:c r="L363" s="141" t="n">
        <x:f>SUM($K$6:K363)</x:f>
        <x:v>368370.4829168556</x:v>
      </x:c>
      <x:c r="M363" s="141" t="str">
        <x:f>IF(A363&lt;Premissas!$B$27,"Financiamento + consorcio",IF(A363=Premissas!$B$27,"Quitacao via carta",IF(A363&lt;=Premissas!$B$25,"Somente consorcio","Encerrado")))</x:f>
        <x:v>Encerrado</x:v>
      </x:c>
      <x:c r="N363" s="141" t="n">
        <x:f>IF(A363&gt;=Premissas!$B$25,0,(N364+E364)/(1+Premissas!$B$41))</x:f>
        <x:v>0</x:v>
      </x:c>
      <x:c r="O363" s="141" t="n">
        <x:f>IF(A363&lt;Premissas!$B$27,Premissas!$B$31/(1+Premissas!$B$41)^(Premissas!$B$27-A363),0)</x:f>
        <x:v>0</x:v>
      </x:c>
      <x:c r="P363" s="141" t="n">
        <x:f>MAX(0,H363-I363)+N363</x:f>
        <x:v>0</x:v>
      </x:c>
    </x:row>
    <x:row r="364">
      <x:c r="A364" s="142" t="n">
        <x:v>359</x:v>
      </x:c>
      <x:c r="B364" s="179" t="n">
        <x:f>EDATE(Premissas!$B$4,358)</x:f>
        <x:v>57436</x:v>
      </x:c>
      <x:c r="C364" s="180" t="n">
        <x:f>(1+Premissas!$B$26)^INT((A364-1)/12)</x:f>
        <x:v>5.418387898974772</x:v>
      </x:c>
      <x:c r="D364" s="141" t="n">
        <x:f>Premissas!$B$30*C364</x:f>
        <x:v>588599.4129933937</x:v>
      </x:c>
      <x:c r="E364" s="141" t="n">
        <x:f>IF(A364&lt;=Premissas!$B$25,Premissas!$B$32*C364,0)</x:f>
        <x:v>0</x:v>
      </x:c>
      <x:c r="F364" s="141" t="n">
        <x:f>IF(AND(A364&gt;=Premissas!$B$48,A364&lt;=Premissas!$B$27,A364-Premissas!$B$48+1&lt;=Premissas!$B$13),INDEX(Financiamento!$C$6:$C$485,A364-Premissas!$B$48+1),0)</x:f>
        <x:v>0</x:v>
      </x:c>
      <x:c r="G364" s="141" t="n">
        <x:f>IF(AND(A364&gt;=Premissas!$B$48,A364&lt;=Premissas!$B$27,A364-Premissas!$B$48+1&lt;=Premissas!$B$13),INDEX(Financiamento!$J$6:$J$485,A364-Premissas!$B$48+1),0)</x:f>
        <x:v>0</x:v>
      </x:c>
      <x:c r="H364" s="141" t="n">
        <x:f>IF(AND(A364&gt;=Premissas!$B$48,A364&lt;=Premissas!$B$27,A364-Premissas!$B$48+1&lt;=Premissas!$B$13),INDEX(Financiamento!$M$6:$M$485,A364-Premissas!$B$48+1),0)</x:f>
        <x:v>0</x:v>
      </x:c>
      <x:c r="I364" s="141" t="n">
        <x:f>IF(A364=Premissas!$B$27,MIN(D364,H364),0)</x:f>
        <x:v>0</x:v>
      </x:c>
      <x:c r="J364" s="141" t="n">
        <x:f>IF(A364=Premissas!$B$27,D364-H364,0)</x:f>
        <x:v>0</x:v>
      </x:c>
      <x:c r="K364" s="141" t="n">
        <x:f>E364+G364</x:f>
        <x:v>0</x:v>
      </x:c>
      <x:c r="L364" s="141" t="n">
        <x:f>SUM($K$6:K364)</x:f>
        <x:v>368370.4829168556</x:v>
      </x:c>
      <x:c r="M364" s="141" t="str">
        <x:f>IF(A364&lt;Premissas!$B$27,"Financiamento + consorcio",IF(A364=Premissas!$B$27,"Quitacao via carta",IF(A364&lt;=Premissas!$B$25,"Somente consorcio","Encerrado")))</x:f>
        <x:v>Encerrado</x:v>
      </x:c>
      <x:c r="N364" s="141" t="n">
        <x:f>IF(A364&gt;=Premissas!$B$25,0,(N365+E365)/(1+Premissas!$B$41))</x:f>
        <x:v>0</x:v>
      </x:c>
      <x:c r="O364" s="141" t="n">
        <x:f>IF(A364&lt;Premissas!$B$27,Premissas!$B$31/(1+Premissas!$B$41)^(Premissas!$B$27-A364),0)</x:f>
        <x:v>0</x:v>
      </x:c>
      <x:c r="P364" s="141" t="n">
        <x:f>MAX(0,H364-I364)+N364</x:f>
        <x:v>0</x:v>
      </x:c>
    </x:row>
    <x:row r="365">
      <x:c r="A365" s="142" t="n">
        <x:v>360</x:v>
      </x:c>
      <x:c r="B365" s="179" t="n">
        <x:f>EDATE(Premissas!$B$4,359)</x:f>
        <x:v>57466</x:v>
      </x:c>
      <x:c r="C365" s="180" t="n">
        <x:f>(1+Premissas!$B$26)^INT((A365-1)/12)</x:f>
        <x:v>5.418387898974772</x:v>
      </x:c>
      <x:c r="D365" s="141" t="n">
        <x:f>Premissas!$B$30*C365</x:f>
        <x:v>588599.4129933937</x:v>
      </x:c>
      <x:c r="E365" s="141" t="n">
        <x:f>IF(A365&lt;=Premissas!$B$25,Premissas!$B$32*C365,0)</x:f>
        <x:v>0</x:v>
      </x:c>
      <x:c r="F365" s="141" t="n">
        <x:f>IF(AND(A365&gt;=Premissas!$B$48,A365&lt;=Premissas!$B$27,A365-Premissas!$B$48+1&lt;=Premissas!$B$13),INDEX(Financiamento!$C$6:$C$485,A365-Premissas!$B$48+1),0)</x:f>
        <x:v>0</x:v>
      </x:c>
      <x:c r="G365" s="141" t="n">
        <x:f>IF(AND(A365&gt;=Premissas!$B$48,A365&lt;=Premissas!$B$27,A365-Premissas!$B$48+1&lt;=Premissas!$B$13),INDEX(Financiamento!$J$6:$J$485,A365-Premissas!$B$48+1),0)</x:f>
        <x:v>0</x:v>
      </x:c>
      <x:c r="H365" s="141" t="n">
        <x:f>IF(AND(A365&gt;=Premissas!$B$48,A365&lt;=Premissas!$B$27,A365-Premissas!$B$48+1&lt;=Premissas!$B$13),INDEX(Financiamento!$M$6:$M$485,A365-Premissas!$B$48+1),0)</x:f>
        <x:v>0</x:v>
      </x:c>
      <x:c r="I365" s="141" t="n">
        <x:f>IF(A365=Premissas!$B$27,MIN(D365,H365),0)</x:f>
        <x:v>0</x:v>
      </x:c>
      <x:c r="J365" s="141" t="n">
        <x:f>IF(A365=Premissas!$B$27,D365-H365,0)</x:f>
        <x:v>0</x:v>
      </x:c>
      <x:c r="K365" s="141" t="n">
        <x:f>E365+G365</x:f>
        <x:v>0</x:v>
      </x:c>
      <x:c r="L365" s="141" t="n">
        <x:f>SUM($K$6:K365)</x:f>
        <x:v>368370.4829168556</x:v>
      </x:c>
      <x:c r="M365" s="141" t="str">
        <x:f>IF(A365&lt;Premissas!$B$27,"Financiamento + consorcio",IF(A365=Premissas!$B$27,"Quitacao via carta",IF(A365&lt;=Premissas!$B$25,"Somente consorcio","Encerrado")))</x:f>
        <x:v>Encerrado</x:v>
      </x:c>
      <x:c r="N365" s="141" t="n">
        <x:f>IF(A365&gt;=Premissas!$B$25,0,(N366+E366)/(1+Premissas!$B$41))</x:f>
        <x:v>0</x:v>
      </x:c>
      <x:c r="O365" s="141" t="n">
        <x:f>IF(A365&lt;Premissas!$B$27,Premissas!$B$31/(1+Premissas!$B$41)^(Premissas!$B$27-A365),0)</x:f>
        <x:v>0</x:v>
      </x:c>
      <x:c r="P365" s="141" t="n">
        <x:f>MAX(0,H365-I365)+N365</x:f>
        <x:v>0</x:v>
      </x:c>
    </x:row>
    <x:row r="366">
      <x:c r="A366" s="142" t="n">
        <x:v>361</x:v>
      </x:c>
      <x:c r="B366" s="179" t="n">
        <x:f>EDATE(Premissas!$B$4,360)</x:f>
        <x:v>57497</x:v>
      </x:c>
      <x:c r="C366" s="180" t="n">
        <x:f>(1+Premissas!$B$26)^INT((A366-1)/12)</x:f>
        <x:v>5.7434911729132585</x:v>
      </x:c>
      <x:c r="D366" s="141" t="n">
        <x:f>Premissas!$B$30*C366</x:f>
        <x:v>623915.3777729974</x:v>
      </x:c>
      <x:c r="E366" s="141" t="n">
        <x:f>IF(A366&lt;=Premissas!$B$25,Premissas!$B$32*C366,0)</x:f>
        <x:v>0</x:v>
      </x:c>
      <x:c r="F366" s="141" t="n">
        <x:f>IF(AND(A366&gt;=Premissas!$B$48,A366&lt;=Premissas!$B$27,A366-Premissas!$B$48+1&lt;=Premissas!$B$13),INDEX(Financiamento!$C$6:$C$485,A366-Premissas!$B$48+1),0)</x:f>
        <x:v>0</x:v>
      </x:c>
      <x:c r="G366" s="141" t="n">
        <x:f>IF(AND(A366&gt;=Premissas!$B$48,A366&lt;=Premissas!$B$27,A366-Premissas!$B$48+1&lt;=Premissas!$B$13),INDEX(Financiamento!$J$6:$J$485,A366-Premissas!$B$48+1),0)</x:f>
        <x:v>0</x:v>
      </x:c>
      <x:c r="H366" s="141" t="n">
        <x:f>IF(AND(A366&gt;=Premissas!$B$48,A366&lt;=Premissas!$B$27,A366-Premissas!$B$48+1&lt;=Premissas!$B$13),INDEX(Financiamento!$M$6:$M$485,A366-Premissas!$B$48+1),0)</x:f>
        <x:v>0</x:v>
      </x:c>
      <x:c r="I366" s="141" t="n">
        <x:f>IF(A366=Premissas!$B$27,MIN(D366,H366),0)</x:f>
        <x:v>0</x:v>
      </x:c>
      <x:c r="J366" s="141" t="n">
        <x:f>IF(A366=Premissas!$B$27,D366-H366,0)</x:f>
        <x:v>0</x:v>
      </x:c>
      <x:c r="K366" s="141" t="n">
        <x:f>E366+G366</x:f>
        <x:v>0</x:v>
      </x:c>
      <x:c r="L366" s="141" t="n">
        <x:f>SUM($K$6:K366)</x:f>
        <x:v>368370.4829168556</x:v>
      </x:c>
      <x:c r="M366" s="141" t="str">
        <x:f>IF(A366&lt;Premissas!$B$27,"Financiamento + consorcio",IF(A366=Premissas!$B$27,"Quitacao via carta",IF(A366&lt;=Premissas!$B$25,"Somente consorcio","Encerrado")))</x:f>
        <x:v>Encerrado</x:v>
      </x:c>
      <x:c r="N366" s="141" t="n">
        <x:f>IF(A366&gt;=Premissas!$B$25,0,(N367+E367)/(1+Premissas!$B$41))</x:f>
        <x:v>0</x:v>
      </x:c>
      <x:c r="O366" s="141" t="n">
        <x:f>IF(A366&lt;Premissas!$B$27,Premissas!$B$31/(1+Premissas!$B$41)^(Premissas!$B$27-A366),0)</x:f>
        <x:v>0</x:v>
      </x:c>
      <x:c r="P366" s="141" t="n">
        <x:f>MAX(0,H366-I366)+N366</x:f>
        <x:v>0</x:v>
      </x:c>
    </x:row>
    <x:row r="367">
      <x:c r="A367" s="142" t="n">
        <x:v>362</x:v>
      </x:c>
      <x:c r="B367" s="179" t="n">
        <x:f>EDATE(Premissas!$B$4,361)</x:f>
        <x:v>57527</x:v>
      </x:c>
      <x:c r="C367" s="180" t="n">
        <x:f>(1+Premissas!$B$26)^INT((A367-1)/12)</x:f>
        <x:v>5.7434911729132585</x:v>
      </x:c>
      <x:c r="D367" s="141" t="n">
        <x:f>Premissas!$B$30*C367</x:f>
        <x:v>623915.3777729974</x:v>
      </x:c>
      <x:c r="E367" s="141" t="n">
        <x:f>IF(A367&lt;=Premissas!$B$25,Premissas!$B$32*C367,0)</x:f>
        <x:v>0</x:v>
      </x:c>
      <x:c r="F367" s="141" t="n">
        <x:f>IF(AND(A367&gt;=Premissas!$B$48,A367&lt;=Premissas!$B$27,A367-Premissas!$B$48+1&lt;=Premissas!$B$13),INDEX(Financiamento!$C$6:$C$485,A367-Premissas!$B$48+1),0)</x:f>
        <x:v>0</x:v>
      </x:c>
      <x:c r="G367" s="141" t="n">
        <x:f>IF(AND(A367&gt;=Premissas!$B$48,A367&lt;=Premissas!$B$27,A367-Premissas!$B$48+1&lt;=Premissas!$B$13),INDEX(Financiamento!$J$6:$J$485,A367-Premissas!$B$48+1),0)</x:f>
        <x:v>0</x:v>
      </x:c>
      <x:c r="H367" s="141" t="n">
        <x:f>IF(AND(A367&gt;=Premissas!$B$48,A367&lt;=Premissas!$B$27,A367-Premissas!$B$48+1&lt;=Premissas!$B$13),INDEX(Financiamento!$M$6:$M$485,A367-Premissas!$B$48+1),0)</x:f>
        <x:v>0</x:v>
      </x:c>
      <x:c r="I367" s="141" t="n">
        <x:f>IF(A367=Premissas!$B$27,MIN(D367,H367),0)</x:f>
        <x:v>0</x:v>
      </x:c>
      <x:c r="J367" s="141" t="n">
        <x:f>IF(A367=Premissas!$B$27,D367-H367,0)</x:f>
        <x:v>0</x:v>
      </x:c>
      <x:c r="K367" s="141" t="n">
        <x:f>E367+G367</x:f>
        <x:v>0</x:v>
      </x:c>
      <x:c r="L367" s="141" t="n">
        <x:f>SUM($K$6:K367)</x:f>
        <x:v>368370.4829168556</x:v>
      </x:c>
      <x:c r="M367" s="141" t="str">
        <x:f>IF(A367&lt;Premissas!$B$27,"Financiamento + consorcio",IF(A367=Premissas!$B$27,"Quitacao via carta",IF(A367&lt;=Premissas!$B$25,"Somente consorcio","Encerrado")))</x:f>
        <x:v>Encerrado</x:v>
      </x:c>
      <x:c r="N367" s="141" t="n">
        <x:f>IF(A367&gt;=Premissas!$B$25,0,(N368+E368)/(1+Premissas!$B$41))</x:f>
        <x:v>0</x:v>
      </x:c>
      <x:c r="O367" s="141" t="n">
        <x:f>IF(A367&lt;Premissas!$B$27,Premissas!$B$31/(1+Premissas!$B$41)^(Premissas!$B$27-A367),0)</x:f>
        <x:v>0</x:v>
      </x:c>
      <x:c r="P367" s="141" t="n">
        <x:f>MAX(0,H367-I367)+N367</x:f>
        <x:v>0</x:v>
      </x:c>
    </x:row>
    <x:row r="368">
      <x:c r="A368" s="142" t="n">
        <x:v>363</x:v>
      </x:c>
      <x:c r="B368" s="179" t="n">
        <x:f>EDATE(Premissas!$B$4,362)</x:f>
        <x:v>57558</x:v>
      </x:c>
      <x:c r="C368" s="180" t="n">
        <x:f>(1+Premissas!$B$26)^INT((A368-1)/12)</x:f>
        <x:v>5.7434911729132585</x:v>
      </x:c>
      <x:c r="D368" s="141" t="n">
        <x:f>Premissas!$B$30*C368</x:f>
        <x:v>623915.3777729974</x:v>
      </x:c>
      <x:c r="E368" s="141" t="n">
        <x:f>IF(A368&lt;=Premissas!$B$25,Premissas!$B$32*C368,0)</x:f>
        <x:v>0</x:v>
      </x:c>
      <x:c r="F368" s="141" t="n">
        <x:f>IF(AND(A368&gt;=Premissas!$B$48,A368&lt;=Premissas!$B$27,A368-Premissas!$B$48+1&lt;=Premissas!$B$13),INDEX(Financiamento!$C$6:$C$485,A368-Premissas!$B$48+1),0)</x:f>
        <x:v>0</x:v>
      </x:c>
      <x:c r="G368" s="141" t="n">
        <x:f>IF(AND(A368&gt;=Premissas!$B$48,A368&lt;=Premissas!$B$27,A368-Premissas!$B$48+1&lt;=Premissas!$B$13),INDEX(Financiamento!$J$6:$J$485,A368-Premissas!$B$48+1),0)</x:f>
        <x:v>0</x:v>
      </x:c>
      <x:c r="H368" s="141" t="n">
        <x:f>IF(AND(A368&gt;=Premissas!$B$48,A368&lt;=Premissas!$B$27,A368-Premissas!$B$48+1&lt;=Premissas!$B$13),INDEX(Financiamento!$M$6:$M$485,A368-Premissas!$B$48+1),0)</x:f>
        <x:v>0</x:v>
      </x:c>
      <x:c r="I368" s="141" t="n">
        <x:f>IF(A368=Premissas!$B$27,MIN(D368,H368),0)</x:f>
        <x:v>0</x:v>
      </x:c>
      <x:c r="J368" s="141" t="n">
        <x:f>IF(A368=Premissas!$B$27,D368-H368,0)</x:f>
        <x:v>0</x:v>
      </x:c>
      <x:c r="K368" s="141" t="n">
        <x:f>E368+G368</x:f>
        <x:v>0</x:v>
      </x:c>
      <x:c r="L368" s="141" t="n">
        <x:f>SUM($K$6:K368)</x:f>
        <x:v>368370.4829168556</x:v>
      </x:c>
      <x:c r="M368" s="141" t="str">
        <x:f>IF(A368&lt;Premissas!$B$27,"Financiamento + consorcio",IF(A368=Premissas!$B$27,"Quitacao via carta",IF(A368&lt;=Premissas!$B$25,"Somente consorcio","Encerrado")))</x:f>
        <x:v>Encerrado</x:v>
      </x:c>
      <x:c r="N368" s="141" t="n">
        <x:f>IF(A368&gt;=Premissas!$B$25,0,(N369+E369)/(1+Premissas!$B$41))</x:f>
        <x:v>0</x:v>
      </x:c>
      <x:c r="O368" s="141" t="n">
        <x:f>IF(A368&lt;Premissas!$B$27,Premissas!$B$31/(1+Premissas!$B$41)^(Premissas!$B$27-A368),0)</x:f>
        <x:v>0</x:v>
      </x:c>
      <x:c r="P368" s="141" t="n">
        <x:f>MAX(0,H368-I368)+N368</x:f>
        <x:v>0</x:v>
      </x:c>
    </x:row>
    <x:row r="369">
      <x:c r="A369" s="142" t="n">
        <x:v>364</x:v>
      </x:c>
      <x:c r="B369" s="179" t="n">
        <x:f>EDATE(Premissas!$B$4,363)</x:f>
        <x:v>57589</x:v>
      </x:c>
      <x:c r="C369" s="180" t="n">
        <x:f>(1+Premissas!$B$26)^INT((A369-1)/12)</x:f>
        <x:v>5.7434911729132585</x:v>
      </x:c>
      <x:c r="D369" s="141" t="n">
        <x:f>Premissas!$B$30*C369</x:f>
        <x:v>623915.3777729974</x:v>
      </x:c>
      <x:c r="E369" s="141" t="n">
        <x:f>IF(A369&lt;=Premissas!$B$25,Premissas!$B$32*C369,0)</x:f>
        <x:v>0</x:v>
      </x:c>
      <x:c r="F369" s="141" t="n">
        <x:f>IF(AND(A369&gt;=Premissas!$B$48,A369&lt;=Premissas!$B$27,A369-Premissas!$B$48+1&lt;=Premissas!$B$13),INDEX(Financiamento!$C$6:$C$485,A369-Premissas!$B$48+1),0)</x:f>
        <x:v>0</x:v>
      </x:c>
      <x:c r="G369" s="141" t="n">
        <x:f>IF(AND(A369&gt;=Premissas!$B$48,A369&lt;=Premissas!$B$27,A369-Premissas!$B$48+1&lt;=Premissas!$B$13),INDEX(Financiamento!$J$6:$J$485,A369-Premissas!$B$48+1),0)</x:f>
        <x:v>0</x:v>
      </x:c>
      <x:c r="H369" s="141" t="n">
        <x:f>IF(AND(A369&gt;=Premissas!$B$48,A369&lt;=Premissas!$B$27,A369-Premissas!$B$48+1&lt;=Premissas!$B$13),INDEX(Financiamento!$M$6:$M$485,A369-Premissas!$B$48+1),0)</x:f>
        <x:v>0</x:v>
      </x:c>
      <x:c r="I369" s="141" t="n">
        <x:f>IF(A369=Premissas!$B$27,MIN(D369,H369),0)</x:f>
        <x:v>0</x:v>
      </x:c>
      <x:c r="J369" s="141" t="n">
        <x:f>IF(A369=Premissas!$B$27,D369-H369,0)</x:f>
        <x:v>0</x:v>
      </x:c>
      <x:c r="K369" s="141" t="n">
        <x:f>E369+G369</x:f>
        <x:v>0</x:v>
      </x:c>
      <x:c r="L369" s="141" t="n">
        <x:f>SUM($K$6:K369)</x:f>
        <x:v>368370.4829168556</x:v>
      </x:c>
      <x:c r="M369" s="141" t="str">
        <x:f>IF(A369&lt;Premissas!$B$27,"Financiamento + consorcio",IF(A369=Premissas!$B$27,"Quitacao via carta",IF(A369&lt;=Premissas!$B$25,"Somente consorcio","Encerrado")))</x:f>
        <x:v>Encerrado</x:v>
      </x:c>
      <x:c r="N369" s="141" t="n">
        <x:f>IF(A369&gt;=Premissas!$B$25,0,(N370+E370)/(1+Premissas!$B$41))</x:f>
        <x:v>0</x:v>
      </x:c>
      <x:c r="O369" s="141" t="n">
        <x:f>IF(A369&lt;Premissas!$B$27,Premissas!$B$31/(1+Premissas!$B$41)^(Premissas!$B$27-A369),0)</x:f>
        <x:v>0</x:v>
      </x:c>
      <x:c r="P369" s="141" t="n">
        <x:f>MAX(0,H369-I369)+N369</x:f>
        <x:v>0</x:v>
      </x:c>
    </x:row>
    <x:row r="370">
      <x:c r="A370" s="142" t="n">
        <x:v>365</x:v>
      </x:c>
      <x:c r="B370" s="179" t="n">
        <x:f>EDATE(Premissas!$B$4,364)</x:f>
        <x:v>57619</x:v>
      </x:c>
      <x:c r="C370" s="180" t="n">
        <x:f>(1+Premissas!$B$26)^INT((A370-1)/12)</x:f>
        <x:v>5.7434911729132585</x:v>
      </x:c>
      <x:c r="D370" s="141" t="n">
        <x:f>Premissas!$B$30*C370</x:f>
        <x:v>623915.3777729974</x:v>
      </x:c>
      <x:c r="E370" s="141" t="n">
        <x:f>IF(A370&lt;=Premissas!$B$25,Premissas!$B$32*C370,0)</x:f>
        <x:v>0</x:v>
      </x:c>
      <x:c r="F370" s="141" t="n">
        <x:f>IF(AND(A370&gt;=Premissas!$B$48,A370&lt;=Premissas!$B$27,A370-Premissas!$B$48+1&lt;=Premissas!$B$13),INDEX(Financiamento!$C$6:$C$485,A370-Premissas!$B$48+1),0)</x:f>
        <x:v>0</x:v>
      </x:c>
      <x:c r="G370" s="141" t="n">
        <x:f>IF(AND(A370&gt;=Premissas!$B$48,A370&lt;=Premissas!$B$27,A370-Premissas!$B$48+1&lt;=Premissas!$B$13),INDEX(Financiamento!$J$6:$J$485,A370-Premissas!$B$48+1),0)</x:f>
        <x:v>0</x:v>
      </x:c>
      <x:c r="H370" s="141" t="n">
        <x:f>IF(AND(A370&gt;=Premissas!$B$48,A370&lt;=Premissas!$B$27,A370-Premissas!$B$48+1&lt;=Premissas!$B$13),INDEX(Financiamento!$M$6:$M$485,A370-Premissas!$B$48+1),0)</x:f>
        <x:v>0</x:v>
      </x:c>
      <x:c r="I370" s="141" t="n">
        <x:f>IF(A370=Premissas!$B$27,MIN(D370,H370),0)</x:f>
        <x:v>0</x:v>
      </x:c>
      <x:c r="J370" s="141" t="n">
        <x:f>IF(A370=Premissas!$B$27,D370-H370,0)</x:f>
        <x:v>0</x:v>
      </x:c>
      <x:c r="K370" s="141" t="n">
        <x:f>E370+G370</x:f>
        <x:v>0</x:v>
      </x:c>
      <x:c r="L370" s="141" t="n">
        <x:f>SUM($K$6:K370)</x:f>
        <x:v>368370.4829168556</x:v>
      </x:c>
      <x:c r="M370" s="141" t="str">
        <x:f>IF(A370&lt;Premissas!$B$27,"Financiamento + consorcio",IF(A370=Premissas!$B$27,"Quitacao via carta",IF(A370&lt;=Premissas!$B$25,"Somente consorcio","Encerrado")))</x:f>
        <x:v>Encerrado</x:v>
      </x:c>
      <x:c r="N370" s="141" t="n">
        <x:f>IF(A370&gt;=Premissas!$B$25,0,(N371+E371)/(1+Premissas!$B$41))</x:f>
        <x:v>0</x:v>
      </x:c>
      <x:c r="O370" s="141" t="n">
        <x:f>IF(A370&lt;Premissas!$B$27,Premissas!$B$31/(1+Premissas!$B$41)^(Premissas!$B$27-A370),0)</x:f>
        <x:v>0</x:v>
      </x:c>
      <x:c r="P370" s="141" t="n">
        <x:f>MAX(0,H370-I370)+N370</x:f>
        <x:v>0</x:v>
      </x:c>
    </x:row>
    <x:row r="371">
      <x:c r="A371" s="142" t="n">
        <x:v>366</x:v>
      </x:c>
      <x:c r="B371" s="179" t="n">
        <x:f>EDATE(Premissas!$B$4,365)</x:f>
        <x:v>57650</x:v>
      </x:c>
      <x:c r="C371" s="180" t="n">
        <x:f>(1+Premissas!$B$26)^INT((A371-1)/12)</x:f>
        <x:v>5.7434911729132585</x:v>
      </x:c>
      <x:c r="D371" s="141" t="n">
        <x:f>Premissas!$B$30*C371</x:f>
        <x:v>623915.3777729974</x:v>
      </x:c>
      <x:c r="E371" s="141" t="n">
        <x:f>IF(A371&lt;=Premissas!$B$25,Premissas!$B$32*C371,0)</x:f>
        <x:v>0</x:v>
      </x:c>
      <x:c r="F371" s="141" t="n">
        <x:f>IF(AND(A371&gt;=Premissas!$B$48,A371&lt;=Premissas!$B$27,A371-Premissas!$B$48+1&lt;=Premissas!$B$13),INDEX(Financiamento!$C$6:$C$485,A371-Premissas!$B$48+1),0)</x:f>
        <x:v>0</x:v>
      </x:c>
      <x:c r="G371" s="141" t="n">
        <x:f>IF(AND(A371&gt;=Premissas!$B$48,A371&lt;=Premissas!$B$27,A371-Premissas!$B$48+1&lt;=Premissas!$B$13),INDEX(Financiamento!$J$6:$J$485,A371-Premissas!$B$48+1),0)</x:f>
        <x:v>0</x:v>
      </x:c>
      <x:c r="H371" s="141" t="n">
        <x:f>IF(AND(A371&gt;=Premissas!$B$48,A371&lt;=Premissas!$B$27,A371-Premissas!$B$48+1&lt;=Premissas!$B$13),INDEX(Financiamento!$M$6:$M$485,A371-Premissas!$B$48+1),0)</x:f>
        <x:v>0</x:v>
      </x:c>
      <x:c r="I371" s="141" t="n">
        <x:f>IF(A371=Premissas!$B$27,MIN(D371,H371),0)</x:f>
        <x:v>0</x:v>
      </x:c>
      <x:c r="J371" s="141" t="n">
        <x:f>IF(A371=Premissas!$B$27,D371-H371,0)</x:f>
        <x:v>0</x:v>
      </x:c>
      <x:c r="K371" s="141" t="n">
        <x:f>E371+G371</x:f>
        <x:v>0</x:v>
      </x:c>
      <x:c r="L371" s="141" t="n">
        <x:f>SUM($K$6:K371)</x:f>
        <x:v>368370.4829168556</x:v>
      </x:c>
      <x:c r="M371" s="141" t="str">
        <x:f>IF(A371&lt;Premissas!$B$27,"Financiamento + consorcio",IF(A371=Premissas!$B$27,"Quitacao via carta",IF(A371&lt;=Premissas!$B$25,"Somente consorcio","Encerrado")))</x:f>
        <x:v>Encerrado</x:v>
      </x:c>
      <x:c r="N371" s="141" t="n">
        <x:f>IF(A371&gt;=Premissas!$B$25,0,(N372+E372)/(1+Premissas!$B$41))</x:f>
        <x:v>0</x:v>
      </x:c>
      <x:c r="O371" s="141" t="n">
        <x:f>IF(A371&lt;Premissas!$B$27,Premissas!$B$31/(1+Premissas!$B$41)^(Premissas!$B$27-A371),0)</x:f>
        <x:v>0</x:v>
      </x:c>
      <x:c r="P371" s="141" t="n">
        <x:f>MAX(0,H371-I371)+N371</x:f>
        <x:v>0</x:v>
      </x:c>
    </x:row>
    <x:row r="372">
      <x:c r="A372" s="142" t="n">
        <x:v>367</x:v>
      </x:c>
      <x:c r="B372" s="179" t="n">
        <x:f>EDATE(Premissas!$B$4,366)</x:f>
        <x:v>57680</x:v>
      </x:c>
      <x:c r="C372" s="180" t="n">
        <x:f>(1+Premissas!$B$26)^INT((A372-1)/12)</x:f>
        <x:v>5.7434911729132585</x:v>
      </x:c>
      <x:c r="D372" s="141" t="n">
        <x:f>Premissas!$B$30*C372</x:f>
        <x:v>623915.3777729974</x:v>
      </x:c>
      <x:c r="E372" s="141" t="n">
        <x:f>IF(A372&lt;=Premissas!$B$25,Premissas!$B$32*C372,0)</x:f>
        <x:v>0</x:v>
      </x:c>
      <x:c r="F372" s="141" t="n">
        <x:f>IF(AND(A372&gt;=Premissas!$B$48,A372&lt;=Premissas!$B$27,A372-Premissas!$B$48+1&lt;=Premissas!$B$13),INDEX(Financiamento!$C$6:$C$485,A372-Premissas!$B$48+1),0)</x:f>
        <x:v>0</x:v>
      </x:c>
      <x:c r="G372" s="141" t="n">
        <x:f>IF(AND(A372&gt;=Premissas!$B$48,A372&lt;=Premissas!$B$27,A372-Premissas!$B$48+1&lt;=Premissas!$B$13),INDEX(Financiamento!$J$6:$J$485,A372-Premissas!$B$48+1),0)</x:f>
        <x:v>0</x:v>
      </x:c>
      <x:c r="H372" s="141" t="n">
        <x:f>IF(AND(A372&gt;=Premissas!$B$48,A372&lt;=Premissas!$B$27,A372-Premissas!$B$48+1&lt;=Premissas!$B$13),INDEX(Financiamento!$M$6:$M$485,A372-Premissas!$B$48+1),0)</x:f>
        <x:v>0</x:v>
      </x:c>
      <x:c r="I372" s="141" t="n">
        <x:f>IF(A372=Premissas!$B$27,MIN(D372,H372),0)</x:f>
        <x:v>0</x:v>
      </x:c>
      <x:c r="J372" s="141" t="n">
        <x:f>IF(A372=Premissas!$B$27,D372-H372,0)</x:f>
        <x:v>0</x:v>
      </x:c>
      <x:c r="K372" s="141" t="n">
        <x:f>E372+G372</x:f>
        <x:v>0</x:v>
      </x:c>
      <x:c r="L372" s="141" t="n">
        <x:f>SUM($K$6:K372)</x:f>
        <x:v>368370.4829168556</x:v>
      </x:c>
      <x:c r="M372" s="141" t="str">
        <x:f>IF(A372&lt;Premissas!$B$27,"Financiamento + consorcio",IF(A372=Premissas!$B$27,"Quitacao via carta",IF(A372&lt;=Premissas!$B$25,"Somente consorcio","Encerrado")))</x:f>
        <x:v>Encerrado</x:v>
      </x:c>
      <x:c r="N372" s="141" t="n">
        <x:f>IF(A372&gt;=Premissas!$B$25,0,(N373+E373)/(1+Premissas!$B$41))</x:f>
        <x:v>0</x:v>
      </x:c>
      <x:c r="O372" s="141" t="n">
        <x:f>IF(A372&lt;Premissas!$B$27,Premissas!$B$31/(1+Premissas!$B$41)^(Premissas!$B$27-A372),0)</x:f>
        <x:v>0</x:v>
      </x:c>
      <x:c r="P372" s="141" t="n">
        <x:f>MAX(0,H372-I372)+N372</x:f>
        <x:v>0</x:v>
      </x:c>
    </x:row>
    <x:row r="373">
      <x:c r="A373" s="142" t="n">
        <x:v>368</x:v>
      </x:c>
      <x:c r="B373" s="179" t="n">
        <x:f>EDATE(Premissas!$B$4,367)</x:f>
        <x:v>57711</x:v>
      </x:c>
      <x:c r="C373" s="180" t="n">
        <x:f>(1+Premissas!$B$26)^INT((A373-1)/12)</x:f>
        <x:v>5.7434911729132585</x:v>
      </x:c>
      <x:c r="D373" s="141" t="n">
        <x:f>Premissas!$B$30*C373</x:f>
        <x:v>623915.3777729974</x:v>
      </x:c>
      <x:c r="E373" s="141" t="n">
        <x:f>IF(A373&lt;=Premissas!$B$25,Premissas!$B$32*C373,0)</x:f>
        <x:v>0</x:v>
      </x:c>
      <x:c r="F373" s="141" t="n">
        <x:f>IF(AND(A373&gt;=Premissas!$B$48,A373&lt;=Premissas!$B$27,A373-Premissas!$B$48+1&lt;=Premissas!$B$13),INDEX(Financiamento!$C$6:$C$485,A373-Premissas!$B$48+1),0)</x:f>
        <x:v>0</x:v>
      </x:c>
      <x:c r="G373" s="141" t="n">
        <x:f>IF(AND(A373&gt;=Premissas!$B$48,A373&lt;=Premissas!$B$27,A373-Premissas!$B$48+1&lt;=Premissas!$B$13),INDEX(Financiamento!$J$6:$J$485,A373-Premissas!$B$48+1),0)</x:f>
        <x:v>0</x:v>
      </x:c>
      <x:c r="H373" s="141" t="n">
        <x:f>IF(AND(A373&gt;=Premissas!$B$48,A373&lt;=Premissas!$B$27,A373-Premissas!$B$48+1&lt;=Premissas!$B$13),INDEX(Financiamento!$M$6:$M$485,A373-Premissas!$B$48+1),0)</x:f>
        <x:v>0</x:v>
      </x:c>
      <x:c r="I373" s="141" t="n">
        <x:f>IF(A373=Premissas!$B$27,MIN(D373,H373),0)</x:f>
        <x:v>0</x:v>
      </x:c>
      <x:c r="J373" s="141" t="n">
        <x:f>IF(A373=Premissas!$B$27,D373-H373,0)</x:f>
        <x:v>0</x:v>
      </x:c>
      <x:c r="K373" s="141" t="n">
        <x:f>E373+G373</x:f>
        <x:v>0</x:v>
      </x:c>
      <x:c r="L373" s="141" t="n">
        <x:f>SUM($K$6:K373)</x:f>
        <x:v>368370.4829168556</x:v>
      </x:c>
      <x:c r="M373" s="141" t="str">
        <x:f>IF(A373&lt;Premissas!$B$27,"Financiamento + consorcio",IF(A373=Premissas!$B$27,"Quitacao via carta",IF(A373&lt;=Premissas!$B$25,"Somente consorcio","Encerrado")))</x:f>
        <x:v>Encerrado</x:v>
      </x:c>
      <x:c r="N373" s="141" t="n">
        <x:f>IF(A373&gt;=Premissas!$B$25,0,(N374+E374)/(1+Premissas!$B$41))</x:f>
        <x:v>0</x:v>
      </x:c>
      <x:c r="O373" s="141" t="n">
        <x:f>IF(A373&lt;Premissas!$B$27,Premissas!$B$31/(1+Premissas!$B$41)^(Premissas!$B$27-A373),0)</x:f>
        <x:v>0</x:v>
      </x:c>
      <x:c r="P373" s="141" t="n">
        <x:f>MAX(0,H373-I373)+N373</x:f>
        <x:v>0</x:v>
      </x:c>
    </x:row>
    <x:row r="374">
      <x:c r="A374" s="142" t="n">
        <x:v>369</x:v>
      </x:c>
      <x:c r="B374" s="179" t="n">
        <x:f>EDATE(Premissas!$B$4,368)</x:f>
        <x:v>57742</x:v>
      </x:c>
      <x:c r="C374" s="180" t="n">
        <x:f>(1+Premissas!$B$26)^INT((A374-1)/12)</x:f>
        <x:v>5.7434911729132585</x:v>
      </x:c>
      <x:c r="D374" s="141" t="n">
        <x:f>Premissas!$B$30*C374</x:f>
        <x:v>623915.3777729974</x:v>
      </x:c>
      <x:c r="E374" s="141" t="n">
        <x:f>IF(A374&lt;=Premissas!$B$25,Premissas!$B$32*C374,0)</x:f>
        <x:v>0</x:v>
      </x:c>
      <x:c r="F374" s="141" t="n">
        <x:f>IF(AND(A374&gt;=Premissas!$B$48,A374&lt;=Premissas!$B$27,A374-Premissas!$B$48+1&lt;=Premissas!$B$13),INDEX(Financiamento!$C$6:$C$485,A374-Premissas!$B$48+1),0)</x:f>
        <x:v>0</x:v>
      </x:c>
      <x:c r="G374" s="141" t="n">
        <x:f>IF(AND(A374&gt;=Premissas!$B$48,A374&lt;=Premissas!$B$27,A374-Premissas!$B$48+1&lt;=Premissas!$B$13),INDEX(Financiamento!$J$6:$J$485,A374-Premissas!$B$48+1),0)</x:f>
        <x:v>0</x:v>
      </x:c>
      <x:c r="H374" s="141" t="n">
        <x:f>IF(AND(A374&gt;=Premissas!$B$48,A374&lt;=Premissas!$B$27,A374-Premissas!$B$48+1&lt;=Premissas!$B$13),INDEX(Financiamento!$M$6:$M$485,A374-Premissas!$B$48+1),0)</x:f>
        <x:v>0</x:v>
      </x:c>
      <x:c r="I374" s="141" t="n">
        <x:f>IF(A374=Premissas!$B$27,MIN(D374,H374),0)</x:f>
        <x:v>0</x:v>
      </x:c>
      <x:c r="J374" s="141" t="n">
        <x:f>IF(A374=Premissas!$B$27,D374-H374,0)</x:f>
        <x:v>0</x:v>
      </x:c>
      <x:c r="K374" s="141" t="n">
        <x:f>E374+G374</x:f>
        <x:v>0</x:v>
      </x:c>
      <x:c r="L374" s="141" t="n">
        <x:f>SUM($K$6:K374)</x:f>
        <x:v>368370.4829168556</x:v>
      </x:c>
      <x:c r="M374" s="141" t="str">
        <x:f>IF(A374&lt;Premissas!$B$27,"Financiamento + consorcio",IF(A374=Premissas!$B$27,"Quitacao via carta",IF(A374&lt;=Premissas!$B$25,"Somente consorcio","Encerrado")))</x:f>
        <x:v>Encerrado</x:v>
      </x:c>
      <x:c r="N374" s="141" t="n">
        <x:f>IF(A374&gt;=Premissas!$B$25,0,(N375+E375)/(1+Premissas!$B$41))</x:f>
        <x:v>0</x:v>
      </x:c>
      <x:c r="O374" s="141" t="n">
        <x:f>IF(A374&lt;Premissas!$B$27,Premissas!$B$31/(1+Premissas!$B$41)^(Premissas!$B$27-A374),0)</x:f>
        <x:v>0</x:v>
      </x:c>
      <x:c r="P374" s="141" t="n">
        <x:f>MAX(0,H374-I374)+N374</x:f>
        <x:v>0</x:v>
      </x:c>
    </x:row>
    <x:row r="375">
      <x:c r="A375" s="142" t="n">
        <x:v>370</x:v>
      </x:c>
      <x:c r="B375" s="179" t="n">
        <x:f>EDATE(Premissas!$B$4,369)</x:f>
        <x:v>57770</x:v>
      </x:c>
      <x:c r="C375" s="180" t="n">
        <x:f>(1+Premissas!$B$26)^INT((A375-1)/12)</x:f>
        <x:v>5.7434911729132585</x:v>
      </x:c>
      <x:c r="D375" s="141" t="n">
        <x:f>Premissas!$B$30*C375</x:f>
        <x:v>623915.3777729974</x:v>
      </x:c>
      <x:c r="E375" s="141" t="n">
        <x:f>IF(A375&lt;=Premissas!$B$25,Premissas!$B$32*C375,0)</x:f>
        <x:v>0</x:v>
      </x:c>
      <x:c r="F375" s="141" t="n">
        <x:f>IF(AND(A375&gt;=Premissas!$B$48,A375&lt;=Premissas!$B$27,A375-Premissas!$B$48+1&lt;=Premissas!$B$13),INDEX(Financiamento!$C$6:$C$485,A375-Premissas!$B$48+1),0)</x:f>
        <x:v>0</x:v>
      </x:c>
      <x:c r="G375" s="141" t="n">
        <x:f>IF(AND(A375&gt;=Premissas!$B$48,A375&lt;=Premissas!$B$27,A375-Premissas!$B$48+1&lt;=Premissas!$B$13),INDEX(Financiamento!$J$6:$J$485,A375-Premissas!$B$48+1),0)</x:f>
        <x:v>0</x:v>
      </x:c>
      <x:c r="H375" s="141" t="n">
        <x:f>IF(AND(A375&gt;=Premissas!$B$48,A375&lt;=Premissas!$B$27,A375-Premissas!$B$48+1&lt;=Premissas!$B$13),INDEX(Financiamento!$M$6:$M$485,A375-Premissas!$B$48+1),0)</x:f>
        <x:v>0</x:v>
      </x:c>
      <x:c r="I375" s="141" t="n">
        <x:f>IF(A375=Premissas!$B$27,MIN(D375,H375),0)</x:f>
        <x:v>0</x:v>
      </x:c>
      <x:c r="J375" s="141" t="n">
        <x:f>IF(A375=Premissas!$B$27,D375-H375,0)</x:f>
        <x:v>0</x:v>
      </x:c>
      <x:c r="K375" s="141" t="n">
        <x:f>E375+G375</x:f>
        <x:v>0</x:v>
      </x:c>
      <x:c r="L375" s="141" t="n">
        <x:f>SUM($K$6:K375)</x:f>
        <x:v>368370.4829168556</x:v>
      </x:c>
      <x:c r="M375" s="141" t="str">
        <x:f>IF(A375&lt;Premissas!$B$27,"Financiamento + consorcio",IF(A375=Premissas!$B$27,"Quitacao via carta",IF(A375&lt;=Premissas!$B$25,"Somente consorcio","Encerrado")))</x:f>
        <x:v>Encerrado</x:v>
      </x:c>
      <x:c r="N375" s="141" t="n">
        <x:f>IF(A375&gt;=Premissas!$B$25,0,(N376+E376)/(1+Premissas!$B$41))</x:f>
        <x:v>0</x:v>
      </x:c>
      <x:c r="O375" s="141" t="n">
        <x:f>IF(A375&lt;Premissas!$B$27,Premissas!$B$31/(1+Premissas!$B$41)^(Premissas!$B$27-A375),0)</x:f>
        <x:v>0</x:v>
      </x:c>
      <x:c r="P375" s="141" t="n">
        <x:f>MAX(0,H375-I375)+N375</x:f>
        <x:v>0</x:v>
      </x:c>
    </x:row>
    <x:row r="376">
      <x:c r="A376" s="142" t="n">
        <x:v>371</x:v>
      </x:c>
      <x:c r="B376" s="179" t="n">
        <x:f>EDATE(Premissas!$B$4,370)</x:f>
        <x:v>57801</x:v>
      </x:c>
      <x:c r="C376" s="180" t="n">
        <x:f>(1+Premissas!$B$26)^INT((A376-1)/12)</x:f>
        <x:v>5.7434911729132585</x:v>
      </x:c>
      <x:c r="D376" s="141" t="n">
        <x:f>Premissas!$B$30*C376</x:f>
        <x:v>623915.3777729974</x:v>
      </x:c>
      <x:c r="E376" s="141" t="n">
        <x:f>IF(A376&lt;=Premissas!$B$25,Premissas!$B$32*C376,0)</x:f>
        <x:v>0</x:v>
      </x:c>
      <x:c r="F376" s="141" t="n">
        <x:f>IF(AND(A376&gt;=Premissas!$B$48,A376&lt;=Premissas!$B$27,A376-Premissas!$B$48+1&lt;=Premissas!$B$13),INDEX(Financiamento!$C$6:$C$485,A376-Premissas!$B$48+1),0)</x:f>
        <x:v>0</x:v>
      </x:c>
      <x:c r="G376" s="141" t="n">
        <x:f>IF(AND(A376&gt;=Premissas!$B$48,A376&lt;=Premissas!$B$27,A376-Premissas!$B$48+1&lt;=Premissas!$B$13),INDEX(Financiamento!$J$6:$J$485,A376-Premissas!$B$48+1),0)</x:f>
        <x:v>0</x:v>
      </x:c>
      <x:c r="H376" s="141" t="n">
        <x:f>IF(AND(A376&gt;=Premissas!$B$48,A376&lt;=Premissas!$B$27,A376-Premissas!$B$48+1&lt;=Premissas!$B$13),INDEX(Financiamento!$M$6:$M$485,A376-Premissas!$B$48+1),0)</x:f>
        <x:v>0</x:v>
      </x:c>
      <x:c r="I376" s="141" t="n">
        <x:f>IF(A376=Premissas!$B$27,MIN(D376,H376),0)</x:f>
        <x:v>0</x:v>
      </x:c>
      <x:c r="J376" s="141" t="n">
        <x:f>IF(A376=Premissas!$B$27,D376-H376,0)</x:f>
        <x:v>0</x:v>
      </x:c>
      <x:c r="K376" s="141" t="n">
        <x:f>E376+G376</x:f>
        <x:v>0</x:v>
      </x:c>
      <x:c r="L376" s="141" t="n">
        <x:f>SUM($K$6:K376)</x:f>
        <x:v>368370.4829168556</x:v>
      </x:c>
      <x:c r="M376" s="141" t="str">
        <x:f>IF(A376&lt;Premissas!$B$27,"Financiamento + consorcio",IF(A376=Premissas!$B$27,"Quitacao via carta",IF(A376&lt;=Premissas!$B$25,"Somente consorcio","Encerrado")))</x:f>
        <x:v>Encerrado</x:v>
      </x:c>
      <x:c r="N376" s="141" t="n">
        <x:f>IF(A376&gt;=Premissas!$B$25,0,(N377+E377)/(1+Premissas!$B$41))</x:f>
        <x:v>0</x:v>
      </x:c>
      <x:c r="O376" s="141" t="n">
        <x:f>IF(A376&lt;Premissas!$B$27,Premissas!$B$31/(1+Premissas!$B$41)^(Premissas!$B$27-A376),0)</x:f>
        <x:v>0</x:v>
      </x:c>
      <x:c r="P376" s="141" t="n">
        <x:f>MAX(0,H376-I376)+N376</x:f>
        <x:v>0</x:v>
      </x:c>
    </x:row>
    <x:row r="377">
      <x:c r="A377" s="142" t="n">
        <x:v>372</x:v>
      </x:c>
      <x:c r="B377" s="179" t="n">
        <x:f>EDATE(Premissas!$B$4,371)</x:f>
        <x:v>57831</x:v>
      </x:c>
      <x:c r="C377" s="180" t="n">
        <x:f>(1+Premissas!$B$26)^INT((A377-1)/12)</x:f>
        <x:v>5.7434911729132585</x:v>
      </x:c>
      <x:c r="D377" s="141" t="n">
        <x:f>Premissas!$B$30*C377</x:f>
        <x:v>623915.3777729974</x:v>
      </x:c>
      <x:c r="E377" s="141" t="n">
        <x:f>IF(A377&lt;=Premissas!$B$25,Premissas!$B$32*C377,0)</x:f>
        <x:v>0</x:v>
      </x:c>
      <x:c r="F377" s="141" t="n">
        <x:f>IF(AND(A377&gt;=Premissas!$B$48,A377&lt;=Premissas!$B$27,A377-Premissas!$B$48+1&lt;=Premissas!$B$13),INDEX(Financiamento!$C$6:$C$485,A377-Premissas!$B$48+1),0)</x:f>
        <x:v>0</x:v>
      </x:c>
      <x:c r="G377" s="141" t="n">
        <x:f>IF(AND(A377&gt;=Premissas!$B$48,A377&lt;=Premissas!$B$27,A377-Premissas!$B$48+1&lt;=Premissas!$B$13),INDEX(Financiamento!$J$6:$J$485,A377-Premissas!$B$48+1),0)</x:f>
        <x:v>0</x:v>
      </x:c>
      <x:c r="H377" s="141" t="n">
        <x:f>IF(AND(A377&gt;=Premissas!$B$48,A377&lt;=Premissas!$B$27,A377-Premissas!$B$48+1&lt;=Premissas!$B$13),INDEX(Financiamento!$M$6:$M$485,A377-Premissas!$B$48+1),0)</x:f>
        <x:v>0</x:v>
      </x:c>
      <x:c r="I377" s="141" t="n">
        <x:f>IF(A377=Premissas!$B$27,MIN(D377,H377),0)</x:f>
        <x:v>0</x:v>
      </x:c>
      <x:c r="J377" s="141" t="n">
        <x:f>IF(A377=Premissas!$B$27,D377-H377,0)</x:f>
        <x:v>0</x:v>
      </x:c>
      <x:c r="K377" s="141" t="n">
        <x:f>E377+G377</x:f>
        <x:v>0</x:v>
      </x:c>
      <x:c r="L377" s="141" t="n">
        <x:f>SUM($K$6:K377)</x:f>
        <x:v>368370.4829168556</x:v>
      </x:c>
      <x:c r="M377" s="141" t="str">
        <x:f>IF(A377&lt;Premissas!$B$27,"Financiamento + consorcio",IF(A377=Premissas!$B$27,"Quitacao via carta",IF(A377&lt;=Premissas!$B$25,"Somente consorcio","Encerrado")))</x:f>
        <x:v>Encerrado</x:v>
      </x:c>
      <x:c r="N377" s="141" t="n">
        <x:f>IF(A377&gt;=Premissas!$B$25,0,(N378+E378)/(1+Premissas!$B$41))</x:f>
        <x:v>0</x:v>
      </x:c>
      <x:c r="O377" s="141" t="n">
        <x:f>IF(A377&lt;Premissas!$B$27,Premissas!$B$31/(1+Premissas!$B$41)^(Premissas!$B$27-A377),0)</x:f>
        <x:v>0</x:v>
      </x:c>
      <x:c r="P377" s="141" t="n">
        <x:f>MAX(0,H377-I377)+N377</x:f>
        <x:v>0</x:v>
      </x:c>
    </x:row>
    <x:row r="378">
      <x:c r="A378" s="142" t="n">
        <x:v>373</x:v>
      </x:c>
      <x:c r="B378" s="179" t="n">
        <x:f>EDATE(Premissas!$B$4,372)</x:f>
        <x:v>57862</x:v>
      </x:c>
      <x:c r="C378" s="180" t="n">
        <x:f>(1+Premissas!$B$26)^INT((A378-1)/12)</x:f>
        <x:v>6.088100643288055</x:v>
      </x:c>
      <x:c r="D378" s="141" t="n">
        <x:f>Premissas!$B$30*C378</x:f>
        <x:v>661350.3004393772</x:v>
      </x:c>
      <x:c r="E378" s="141" t="n">
        <x:f>IF(A378&lt;=Premissas!$B$25,Premissas!$B$32*C378,0)</x:f>
        <x:v>0</x:v>
      </x:c>
      <x:c r="F378" s="141" t="n">
        <x:f>IF(AND(A378&gt;=Premissas!$B$48,A378&lt;=Premissas!$B$27,A378-Premissas!$B$48+1&lt;=Premissas!$B$13),INDEX(Financiamento!$C$6:$C$485,A378-Premissas!$B$48+1),0)</x:f>
        <x:v>0</x:v>
      </x:c>
      <x:c r="G378" s="141" t="n">
        <x:f>IF(AND(A378&gt;=Premissas!$B$48,A378&lt;=Premissas!$B$27,A378-Premissas!$B$48+1&lt;=Premissas!$B$13),INDEX(Financiamento!$J$6:$J$485,A378-Premissas!$B$48+1),0)</x:f>
        <x:v>0</x:v>
      </x:c>
      <x:c r="H378" s="141" t="n">
        <x:f>IF(AND(A378&gt;=Premissas!$B$48,A378&lt;=Premissas!$B$27,A378-Premissas!$B$48+1&lt;=Premissas!$B$13),INDEX(Financiamento!$M$6:$M$485,A378-Premissas!$B$48+1),0)</x:f>
        <x:v>0</x:v>
      </x:c>
      <x:c r="I378" s="141" t="n">
        <x:f>IF(A378=Premissas!$B$27,MIN(D378,H378),0)</x:f>
        <x:v>0</x:v>
      </x:c>
      <x:c r="J378" s="141" t="n">
        <x:f>IF(A378=Premissas!$B$27,D378-H378,0)</x:f>
        <x:v>0</x:v>
      </x:c>
      <x:c r="K378" s="141" t="n">
        <x:f>E378+G378</x:f>
        <x:v>0</x:v>
      </x:c>
      <x:c r="L378" s="141" t="n">
        <x:f>SUM($K$6:K378)</x:f>
        <x:v>368370.4829168556</x:v>
      </x:c>
      <x:c r="M378" s="141" t="str">
        <x:f>IF(A378&lt;Premissas!$B$27,"Financiamento + consorcio",IF(A378=Premissas!$B$27,"Quitacao via carta",IF(A378&lt;=Premissas!$B$25,"Somente consorcio","Encerrado")))</x:f>
        <x:v>Encerrado</x:v>
      </x:c>
      <x:c r="N378" s="141" t="n">
        <x:f>IF(A378&gt;=Premissas!$B$25,0,(N379+E379)/(1+Premissas!$B$41))</x:f>
        <x:v>0</x:v>
      </x:c>
      <x:c r="O378" s="141" t="n">
        <x:f>IF(A378&lt;Premissas!$B$27,Premissas!$B$31/(1+Premissas!$B$41)^(Premissas!$B$27-A378),0)</x:f>
        <x:v>0</x:v>
      </x:c>
      <x:c r="P378" s="141" t="n">
        <x:f>MAX(0,H378-I378)+N378</x:f>
        <x:v>0</x:v>
      </x:c>
    </x:row>
    <x:row r="379">
      <x:c r="A379" s="142" t="n">
        <x:v>374</x:v>
      </x:c>
      <x:c r="B379" s="179" t="n">
        <x:f>EDATE(Premissas!$B$4,373)</x:f>
        <x:v>57892</x:v>
      </x:c>
      <x:c r="C379" s="180" t="n">
        <x:f>(1+Premissas!$B$26)^INT((A379-1)/12)</x:f>
        <x:v>6.088100643288055</x:v>
      </x:c>
      <x:c r="D379" s="141" t="n">
        <x:f>Premissas!$B$30*C379</x:f>
        <x:v>661350.3004393772</x:v>
      </x:c>
      <x:c r="E379" s="141" t="n">
        <x:f>IF(A379&lt;=Premissas!$B$25,Premissas!$B$32*C379,0)</x:f>
        <x:v>0</x:v>
      </x:c>
      <x:c r="F379" s="141" t="n">
        <x:f>IF(AND(A379&gt;=Premissas!$B$48,A379&lt;=Premissas!$B$27,A379-Premissas!$B$48+1&lt;=Premissas!$B$13),INDEX(Financiamento!$C$6:$C$485,A379-Premissas!$B$48+1),0)</x:f>
        <x:v>0</x:v>
      </x:c>
      <x:c r="G379" s="141" t="n">
        <x:f>IF(AND(A379&gt;=Premissas!$B$48,A379&lt;=Premissas!$B$27,A379-Premissas!$B$48+1&lt;=Premissas!$B$13),INDEX(Financiamento!$J$6:$J$485,A379-Premissas!$B$48+1),0)</x:f>
        <x:v>0</x:v>
      </x:c>
      <x:c r="H379" s="141" t="n">
        <x:f>IF(AND(A379&gt;=Premissas!$B$48,A379&lt;=Premissas!$B$27,A379-Premissas!$B$48+1&lt;=Premissas!$B$13),INDEX(Financiamento!$M$6:$M$485,A379-Premissas!$B$48+1),0)</x:f>
        <x:v>0</x:v>
      </x:c>
      <x:c r="I379" s="141" t="n">
        <x:f>IF(A379=Premissas!$B$27,MIN(D379,H379),0)</x:f>
        <x:v>0</x:v>
      </x:c>
      <x:c r="J379" s="141" t="n">
        <x:f>IF(A379=Premissas!$B$27,D379-H379,0)</x:f>
        <x:v>0</x:v>
      </x:c>
      <x:c r="K379" s="141" t="n">
        <x:f>E379+G379</x:f>
        <x:v>0</x:v>
      </x:c>
      <x:c r="L379" s="141" t="n">
        <x:f>SUM($K$6:K379)</x:f>
        <x:v>368370.4829168556</x:v>
      </x:c>
      <x:c r="M379" s="141" t="str">
        <x:f>IF(A379&lt;Premissas!$B$27,"Financiamento + consorcio",IF(A379=Premissas!$B$27,"Quitacao via carta",IF(A379&lt;=Premissas!$B$25,"Somente consorcio","Encerrado")))</x:f>
        <x:v>Encerrado</x:v>
      </x:c>
      <x:c r="N379" s="141" t="n">
        <x:f>IF(A379&gt;=Premissas!$B$25,0,(N380+E380)/(1+Premissas!$B$41))</x:f>
        <x:v>0</x:v>
      </x:c>
      <x:c r="O379" s="141" t="n">
        <x:f>IF(A379&lt;Premissas!$B$27,Premissas!$B$31/(1+Premissas!$B$41)^(Premissas!$B$27-A379),0)</x:f>
        <x:v>0</x:v>
      </x:c>
      <x:c r="P379" s="141" t="n">
        <x:f>MAX(0,H379-I379)+N379</x:f>
        <x:v>0</x:v>
      </x:c>
    </x:row>
    <x:row r="380">
      <x:c r="A380" s="142" t="n">
        <x:v>375</x:v>
      </x:c>
      <x:c r="B380" s="179" t="n">
        <x:f>EDATE(Premissas!$B$4,374)</x:f>
        <x:v>57923</x:v>
      </x:c>
      <x:c r="C380" s="180" t="n">
        <x:f>(1+Premissas!$B$26)^INT((A380-1)/12)</x:f>
        <x:v>6.088100643288055</x:v>
      </x:c>
      <x:c r="D380" s="141" t="n">
        <x:f>Premissas!$B$30*C380</x:f>
        <x:v>661350.3004393772</x:v>
      </x:c>
      <x:c r="E380" s="141" t="n">
        <x:f>IF(A380&lt;=Premissas!$B$25,Premissas!$B$32*C380,0)</x:f>
        <x:v>0</x:v>
      </x:c>
      <x:c r="F380" s="141" t="n">
        <x:f>IF(AND(A380&gt;=Premissas!$B$48,A380&lt;=Premissas!$B$27,A380-Premissas!$B$48+1&lt;=Premissas!$B$13),INDEX(Financiamento!$C$6:$C$485,A380-Premissas!$B$48+1),0)</x:f>
        <x:v>0</x:v>
      </x:c>
      <x:c r="G380" s="141" t="n">
        <x:f>IF(AND(A380&gt;=Premissas!$B$48,A380&lt;=Premissas!$B$27,A380-Premissas!$B$48+1&lt;=Premissas!$B$13),INDEX(Financiamento!$J$6:$J$485,A380-Premissas!$B$48+1),0)</x:f>
        <x:v>0</x:v>
      </x:c>
      <x:c r="H380" s="141" t="n">
        <x:f>IF(AND(A380&gt;=Premissas!$B$48,A380&lt;=Premissas!$B$27,A380-Premissas!$B$48+1&lt;=Premissas!$B$13),INDEX(Financiamento!$M$6:$M$485,A380-Premissas!$B$48+1),0)</x:f>
        <x:v>0</x:v>
      </x:c>
      <x:c r="I380" s="141" t="n">
        <x:f>IF(A380=Premissas!$B$27,MIN(D380,H380),0)</x:f>
        <x:v>0</x:v>
      </x:c>
      <x:c r="J380" s="141" t="n">
        <x:f>IF(A380=Premissas!$B$27,D380-H380,0)</x:f>
        <x:v>0</x:v>
      </x:c>
      <x:c r="K380" s="141" t="n">
        <x:f>E380+G380</x:f>
        <x:v>0</x:v>
      </x:c>
      <x:c r="L380" s="141" t="n">
        <x:f>SUM($K$6:K380)</x:f>
        <x:v>368370.4829168556</x:v>
      </x:c>
      <x:c r="M380" s="141" t="str">
        <x:f>IF(A380&lt;Premissas!$B$27,"Financiamento + consorcio",IF(A380=Premissas!$B$27,"Quitacao via carta",IF(A380&lt;=Premissas!$B$25,"Somente consorcio","Encerrado")))</x:f>
        <x:v>Encerrado</x:v>
      </x:c>
      <x:c r="N380" s="141" t="n">
        <x:f>IF(A380&gt;=Premissas!$B$25,0,(N381+E381)/(1+Premissas!$B$41))</x:f>
        <x:v>0</x:v>
      </x:c>
      <x:c r="O380" s="141" t="n">
        <x:f>IF(A380&lt;Premissas!$B$27,Premissas!$B$31/(1+Premissas!$B$41)^(Premissas!$B$27-A380),0)</x:f>
        <x:v>0</x:v>
      </x:c>
      <x:c r="P380" s="141" t="n">
        <x:f>MAX(0,H380-I380)+N380</x:f>
        <x:v>0</x:v>
      </x:c>
    </x:row>
    <x:row r="381">
      <x:c r="A381" s="142" t="n">
        <x:v>376</x:v>
      </x:c>
      <x:c r="B381" s="179" t="n">
        <x:f>EDATE(Premissas!$B$4,375)</x:f>
        <x:v>57954</x:v>
      </x:c>
      <x:c r="C381" s="180" t="n">
        <x:f>(1+Premissas!$B$26)^INT((A381-1)/12)</x:f>
        <x:v>6.088100643288055</x:v>
      </x:c>
      <x:c r="D381" s="141" t="n">
        <x:f>Premissas!$B$30*C381</x:f>
        <x:v>661350.3004393772</x:v>
      </x:c>
      <x:c r="E381" s="141" t="n">
        <x:f>IF(A381&lt;=Premissas!$B$25,Premissas!$B$32*C381,0)</x:f>
        <x:v>0</x:v>
      </x:c>
      <x:c r="F381" s="141" t="n">
        <x:f>IF(AND(A381&gt;=Premissas!$B$48,A381&lt;=Premissas!$B$27,A381-Premissas!$B$48+1&lt;=Premissas!$B$13),INDEX(Financiamento!$C$6:$C$485,A381-Premissas!$B$48+1),0)</x:f>
        <x:v>0</x:v>
      </x:c>
      <x:c r="G381" s="141" t="n">
        <x:f>IF(AND(A381&gt;=Premissas!$B$48,A381&lt;=Premissas!$B$27,A381-Premissas!$B$48+1&lt;=Premissas!$B$13),INDEX(Financiamento!$J$6:$J$485,A381-Premissas!$B$48+1),0)</x:f>
        <x:v>0</x:v>
      </x:c>
      <x:c r="H381" s="141" t="n">
        <x:f>IF(AND(A381&gt;=Premissas!$B$48,A381&lt;=Premissas!$B$27,A381-Premissas!$B$48+1&lt;=Premissas!$B$13),INDEX(Financiamento!$M$6:$M$485,A381-Premissas!$B$48+1),0)</x:f>
        <x:v>0</x:v>
      </x:c>
      <x:c r="I381" s="141" t="n">
        <x:f>IF(A381=Premissas!$B$27,MIN(D381,H381),0)</x:f>
        <x:v>0</x:v>
      </x:c>
      <x:c r="J381" s="141" t="n">
        <x:f>IF(A381=Premissas!$B$27,D381-H381,0)</x:f>
        <x:v>0</x:v>
      </x:c>
      <x:c r="K381" s="141" t="n">
        <x:f>E381+G381</x:f>
        <x:v>0</x:v>
      </x:c>
      <x:c r="L381" s="141" t="n">
        <x:f>SUM($K$6:K381)</x:f>
        <x:v>368370.4829168556</x:v>
      </x:c>
      <x:c r="M381" s="141" t="str">
        <x:f>IF(A381&lt;Premissas!$B$27,"Financiamento + consorcio",IF(A381=Premissas!$B$27,"Quitacao via carta",IF(A381&lt;=Premissas!$B$25,"Somente consorcio","Encerrado")))</x:f>
        <x:v>Encerrado</x:v>
      </x:c>
      <x:c r="N381" s="141" t="n">
        <x:f>IF(A381&gt;=Premissas!$B$25,0,(N382+E382)/(1+Premissas!$B$41))</x:f>
        <x:v>0</x:v>
      </x:c>
      <x:c r="O381" s="141" t="n">
        <x:f>IF(A381&lt;Premissas!$B$27,Premissas!$B$31/(1+Premissas!$B$41)^(Premissas!$B$27-A381),0)</x:f>
        <x:v>0</x:v>
      </x:c>
      <x:c r="P381" s="141" t="n">
        <x:f>MAX(0,H381-I381)+N381</x:f>
        <x:v>0</x:v>
      </x:c>
    </x:row>
    <x:row r="382">
      <x:c r="A382" s="142" t="n">
        <x:v>377</x:v>
      </x:c>
      <x:c r="B382" s="179" t="n">
        <x:f>EDATE(Premissas!$B$4,376)</x:f>
        <x:v>57984</x:v>
      </x:c>
      <x:c r="C382" s="180" t="n">
        <x:f>(1+Premissas!$B$26)^INT((A382-1)/12)</x:f>
        <x:v>6.088100643288055</x:v>
      </x:c>
      <x:c r="D382" s="141" t="n">
        <x:f>Premissas!$B$30*C382</x:f>
        <x:v>661350.3004393772</x:v>
      </x:c>
      <x:c r="E382" s="141" t="n">
        <x:f>IF(A382&lt;=Premissas!$B$25,Premissas!$B$32*C382,0)</x:f>
        <x:v>0</x:v>
      </x:c>
      <x:c r="F382" s="141" t="n">
        <x:f>IF(AND(A382&gt;=Premissas!$B$48,A382&lt;=Premissas!$B$27,A382-Premissas!$B$48+1&lt;=Premissas!$B$13),INDEX(Financiamento!$C$6:$C$485,A382-Premissas!$B$48+1),0)</x:f>
        <x:v>0</x:v>
      </x:c>
      <x:c r="G382" s="141" t="n">
        <x:f>IF(AND(A382&gt;=Premissas!$B$48,A382&lt;=Premissas!$B$27,A382-Premissas!$B$48+1&lt;=Premissas!$B$13),INDEX(Financiamento!$J$6:$J$485,A382-Premissas!$B$48+1),0)</x:f>
        <x:v>0</x:v>
      </x:c>
      <x:c r="H382" s="141" t="n">
        <x:f>IF(AND(A382&gt;=Premissas!$B$48,A382&lt;=Premissas!$B$27,A382-Premissas!$B$48+1&lt;=Premissas!$B$13),INDEX(Financiamento!$M$6:$M$485,A382-Premissas!$B$48+1),0)</x:f>
        <x:v>0</x:v>
      </x:c>
      <x:c r="I382" s="141" t="n">
        <x:f>IF(A382=Premissas!$B$27,MIN(D382,H382),0)</x:f>
        <x:v>0</x:v>
      </x:c>
      <x:c r="J382" s="141" t="n">
        <x:f>IF(A382=Premissas!$B$27,D382-H382,0)</x:f>
        <x:v>0</x:v>
      </x:c>
      <x:c r="K382" s="141" t="n">
        <x:f>E382+G382</x:f>
        <x:v>0</x:v>
      </x:c>
      <x:c r="L382" s="141" t="n">
        <x:f>SUM($K$6:K382)</x:f>
        <x:v>368370.4829168556</x:v>
      </x:c>
      <x:c r="M382" s="141" t="str">
        <x:f>IF(A382&lt;Premissas!$B$27,"Financiamento + consorcio",IF(A382=Premissas!$B$27,"Quitacao via carta",IF(A382&lt;=Premissas!$B$25,"Somente consorcio","Encerrado")))</x:f>
        <x:v>Encerrado</x:v>
      </x:c>
      <x:c r="N382" s="141" t="n">
        <x:f>IF(A382&gt;=Premissas!$B$25,0,(N383+E383)/(1+Premissas!$B$41))</x:f>
        <x:v>0</x:v>
      </x:c>
      <x:c r="O382" s="141" t="n">
        <x:f>IF(A382&lt;Premissas!$B$27,Premissas!$B$31/(1+Premissas!$B$41)^(Premissas!$B$27-A382),0)</x:f>
        <x:v>0</x:v>
      </x:c>
      <x:c r="P382" s="141" t="n">
        <x:f>MAX(0,H382-I382)+N382</x:f>
        <x:v>0</x:v>
      </x:c>
    </x:row>
    <x:row r="383">
      <x:c r="A383" s="142" t="n">
        <x:v>378</x:v>
      </x:c>
      <x:c r="B383" s="179" t="n">
        <x:f>EDATE(Premissas!$B$4,377)</x:f>
        <x:v>58015</x:v>
      </x:c>
      <x:c r="C383" s="180" t="n">
        <x:f>(1+Premissas!$B$26)^INT((A383-1)/12)</x:f>
        <x:v>6.088100643288055</x:v>
      </x:c>
      <x:c r="D383" s="141" t="n">
        <x:f>Premissas!$B$30*C383</x:f>
        <x:v>661350.3004393772</x:v>
      </x:c>
      <x:c r="E383" s="141" t="n">
        <x:f>IF(A383&lt;=Premissas!$B$25,Premissas!$B$32*C383,0)</x:f>
        <x:v>0</x:v>
      </x:c>
      <x:c r="F383" s="141" t="n">
        <x:f>IF(AND(A383&gt;=Premissas!$B$48,A383&lt;=Premissas!$B$27,A383-Premissas!$B$48+1&lt;=Premissas!$B$13),INDEX(Financiamento!$C$6:$C$485,A383-Premissas!$B$48+1),0)</x:f>
        <x:v>0</x:v>
      </x:c>
      <x:c r="G383" s="141" t="n">
        <x:f>IF(AND(A383&gt;=Premissas!$B$48,A383&lt;=Premissas!$B$27,A383-Premissas!$B$48+1&lt;=Premissas!$B$13),INDEX(Financiamento!$J$6:$J$485,A383-Premissas!$B$48+1),0)</x:f>
        <x:v>0</x:v>
      </x:c>
      <x:c r="H383" s="141" t="n">
        <x:f>IF(AND(A383&gt;=Premissas!$B$48,A383&lt;=Premissas!$B$27,A383-Premissas!$B$48+1&lt;=Premissas!$B$13),INDEX(Financiamento!$M$6:$M$485,A383-Premissas!$B$48+1),0)</x:f>
        <x:v>0</x:v>
      </x:c>
      <x:c r="I383" s="141" t="n">
        <x:f>IF(A383=Premissas!$B$27,MIN(D383,H383),0)</x:f>
        <x:v>0</x:v>
      </x:c>
      <x:c r="J383" s="141" t="n">
        <x:f>IF(A383=Premissas!$B$27,D383-H383,0)</x:f>
        <x:v>0</x:v>
      </x:c>
      <x:c r="K383" s="141" t="n">
        <x:f>E383+G383</x:f>
        <x:v>0</x:v>
      </x:c>
      <x:c r="L383" s="141" t="n">
        <x:f>SUM($K$6:K383)</x:f>
        <x:v>368370.4829168556</x:v>
      </x:c>
      <x:c r="M383" s="141" t="str">
        <x:f>IF(A383&lt;Premissas!$B$27,"Financiamento + consorcio",IF(A383=Premissas!$B$27,"Quitacao via carta",IF(A383&lt;=Premissas!$B$25,"Somente consorcio","Encerrado")))</x:f>
        <x:v>Encerrado</x:v>
      </x:c>
      <x:c r="N383" s="141" t="n">
        <x:f>IF(A383&gt;=Premissas!$B$25,0,(N384+E384)/(1+Premissas!$B$41))</x:f>
        <x:v>0</x:v>
      </x:c>
      <x:c r="O383" s="141" t="n">
        <x:f>IF(A383&lt;Premissas!$B$27,Premissas!$B$31/(1+Premissas!$B$41)^(Premissas!$B$27-A383),0)</x:f>
        <x:v>0</x:v>
      </x:c>
      <x:c r="P383" s="141" t="n">
        <x:f>MAX(0,H383-I383)+N383</x:f>
        <x:v>0</x:v>
      </x:c>
    </x:row>
    <x:row r="384">
      <x:c r="A384" s="142" t="n">
        <x:v>379</x:v>
      </x:c>
      <x:c r="B384" s="179" t="n">
        <x:f>EDATE(Premissas!$B$4,378)</x:f>
        <x:v>58045</x:v>
      </x:c>
      <x:c r="C384" s="180" t="n">
        <x:f>(1+Premissas!$B$26)^INT((A384-1)/12)</x:f>
        <x:v>6.088100643288055</x:v>
      </x:c>
      <x:c r="D384" s="141" t="n">
        <x:f>Premissas!$B$30*C384</x:f>
        <x:v>661350.3004393772</x:v>
      </x:c>
      <x:c r="E384" s="141" t="n">
        <x:f>IF(A384&lt;=Premissas!$B$25,Premissas!$B$32*C384,0)</x:f>
        <x:v>0</x:v>
      </x:c>
      <x:c r="F384" s="141" t="n">
        <x:f>IF(AND(A384&gt;=Premissas!$B$48,A384&lt;=Premissas!$B$27,A384-Premissas!$B$48+1&lt;=Premissas!$B$13),INDEX(Financiamento!$C$6:$C$485,A384-Premissas!$B$48+1),0)</x:f>
        <x:v>0</x:v>
      </x:c>
      <x:c r="G384" s="141" t="n">
        <x:f>IF(AND(A384&gt;=Premissas!$B$48,A384&lt;=Premissas!$B$27,A384-Premissas!$B$48+1&lt;=Premissas!$B$13),INDEX(Financiamento!$J$6:$J$485,A384-Premissas!$B$48+1),0)</x:f>
        <x:v>0</x:v>
      </x:c>
      <x:c r="H384" s="141" t="n">
        <x:f>IF(AND(A384&gt;=Premissas!$B$48,A384&lt;=Premissas!$B$27,A384-Premissas!$B$48+1&lt;=Premissas!$B$13),INDEX(Financiamento!$M$6:$M$485,A384-Premissas!$B$48+1),0)</x:f>
        <x:v>0</x:v>
      </x:c>
      <x:c r="I384" s="141" t="n">
        <x:f>IF(A384=Premissas!$B$27,MIN(D384,H384),0)</x:f>
        <x:v>0</x:v>
      </x:c>
      <x:c r="J384" s="141" t="n">
        <x:f>IF(A384=Premissas!$B$27,D384-H384,0)</x:f>
        <x:v>0</x:v>
      </x:c>
      <x:c r="K384" s="141" t="n">
        <x:f>E384+G384</x:f>
        <x:v>0</x:v>
      </x:c>
      <x:c r="L384" s="141" t="n">
        <x:f>SUM($K$6:K384)</x:f>
        <x:v>368370.4829168556</x:v>
      </x:c>
      <x:c r="M384" s="141" t="str">
        <x:f>IF(A384&lt;Premissas!$B$27,"Financiamento + consorcio",IF(A384=Premissas!$B$27,"Quitacao via carta",IF(A384&lt;=Premissas!$B$25,"Somente consorcio","Encerrado")))</x:f>
        <x:v>Encerrado</x:v>
      </x:c>
      <x:c r="N384" s="141" t="n">
        <x:f>IF(A384&gt;=Premissas!$B$25,0,(N385+E385)/(1+Premissas!$B$41))</x:f>
        <x:v>0</x:v>
      </x:c>
      <x:c r="O384" s="141" t="n">
        <x:f>IF(A384&lt;Premissas!$B$27,Premissas!$B$31/(1+Premissas!$B$41)^(Premissas!$B$27-A384),0)</x:f>
        <x:v>0</x:v>
      </x:c>
      <x:c r="P384" s="141" t="n">
        <x:f>MAX(0,H384-I384)+N384</x:f>
        <x:v>0</x:v>
      </x:c>
    </x:row>
    <x:row r="385">
      <x:c r="A385" s="142" t="n">
        <x:v>380</x:v>
      </x:c>
      <x:c r="B385" s="179" t="n">
        <x:f>EDATE(Premissas!$B$4,379)</x:f>
        <x:v>58076</x:v>
      </x:c>
      <x:c r="C385" s="180" t="n">
        <x:f>(1+Premissas!$B$26)^INT((A385-1)/12)</x:f>
        <x:v>6.088100643288055</x:v>
      </x:c>
      <x:c r="D385" s="141" t="n">
        <x:f>Premissas!$B$30*C385</x:f>
        <x:v>661350.3004393772</x:v>
      </x:c>
      <x:c r="E385" s="141" t="n">
        <x:f>IF(A385&lt;=Premissas!$B$25,Premissas!$B$32*C385,0)</x:f>
        <x:v>0</x:v>
      </x:c>
      <x:c r="F385" s="141" t="n">
        <x:f>IF(AND(A385&gt;=Premissas!$B$48,A385&lt;=Premissas!$B$27,A385-Premissas!$B$48+1&lt;=Premissas!$B$13),INDEX(Financiamento!$C$6:$C$485,A385-Premissas!$B$48+1),0)</x:f>
        <x:v>0</x:v>
      </x:c>
      <x:c r="G385" s="141" t="n">
        <x:f>IF(AND(A385&gt;=Premissas!$B$48,A385&lt;=Premissas!$B$27,A385-Premissas!$B$48+1&lt;=Premissas!$B$13),INDEX(Financiamento!$J$6:$J$485,A385-Premissas!$B$48+1),0)</x:f>
        <x:v>0</x:v>
      </x:c>
      <x:c r="H385" s="141" t="n">
        <x:f>IF(AND(A385&gt;=Premissas!$B$48,A385&lt;=Premissas!$B$27,A385-Premissas!$B$48+1&lt;=Premissas!$B$13),INDEX(Financiamento!$M$6:$M$485,A385-Premissas!$B$48+1),0)</x:f>
        <x:v>0</x:v>
      </x:c>
      <x:c r="I385" s="141" t="n">
        <x:f>IF(A385=Premissas!$B$27,MIN(D385,H385),0)</x:f>
        <x:v>0</x:v>
      </x:c>
      <x:c r="J385" s="141" t="n">
        <x:f>IF(A385=Premissas!$B$27,D385-H385,0)</x:f>
        <x:v>0</x:v>
      </x:c>
      <x:c r="K385" s="141" t="n">
        <x:f>E385+G385</x:f>
        <x:v>0</x:v>
      </x:c>
      <x:c r="L385" s="141" t="n">
        <x:f>SUM($K$6:K385)</x:f>
        <x:v>368370.4829168556</x:v>
      </x:c>
      <x:c r="M385" s="141" t="str">
        <x:f>IF(A385&lt;Premissas!$B$27,"Financiamento + consorcio",IF(A385=Premissas!$B$27,"Quitacao via carta",IF(A385&lt;=Premissas!$B$25,"Somente consorcio","Encerrado")))</x:f>
        <x:v>Encerrado</x:v>
      </x:c>
      <x:c r="N385" s="141" t="n">
        <x:f>IF(A385&gt;=Premissas!$B$25,0,(N386+E386)/(1+Premissas!$B$41))</x:f>
        <x:v>0</x:v>
      </x:c>
      <x:c r="O385" s="141" t="n">
        <x:f>IF(A385&lt;Premissas!$B$27,Premissas!$B$31/(1+Premissas!$B$41)^(Premissas!$B$27-A385),0)</x:f>
        <x:v>0</x:v>
      </x:c>
      <x:c r="P385" s="141" t="n">
        <x:f>MAX(0,H385-I385)+N385</x:f>
        <x:v>0</x:v>
      </x:c>
    </x:row>
    <x:row r="386">
      <x:c r="A386" s="142" t="n">
        <x:v>381</x:v>
      </x:c>
      <x:c r="B386" s="179" t="n">
        <x:f>EDATE(Premissas!$B$4,380)</x:f>
        <x:v>58107</x:v>
      </x:c>
      <x:c r="C386" s="180" t="n">
        <x:f>(1+Premissas!$B$26)^INT((A386-1)/12)</x:f>
        <x:v>6.088100643288055</x:v>
      </x:c>
      <x:c r="D386" s="141" t="n">
        <x:f>Premissas!$B$30*C386</x:f>
        <x:v>661350.3004393772</x:v>
      </x:c>
      <x:c r="E386" s="141" t="n">
        <x:f>IF(A386&lt;=Premissas!$B$25,Premissas!$B$32*C386,0)</x:f>
        <x:v>0</x:v>
      </x:c>
      <x:c r="F386" s="141" t="n">
        <x:f>IF(AND(A386&gt;=Premissas!$B$48,A386&lt;=Premissas!$B$27,A386-Premissas!$B$48+1&lt;=Premissas!$B$13),INDEX(Financiamento!$C$6:$C$485,A386-Premissas!$B$48+1),0)</x:f>
        <x:v>0</x:v>
      </x:c>
      <x:c r="G386" s="141" t="n">
        <x:f>IF(AND(A386&gt;=Premissas!$B$48,A386&lt;=Premissas!$B$27,A386-Premissas!$B$48+1&lt;=Premissas!$B$13),INDEX(Financiamento!$J$6:$J$485,A386-Premissas!$B$48+1),0)</x:f>
        <x:v>0</x:v>
      </x:c>
      <x:c r="H386" s="141" t="n">
        <x:f>IF(AND(A386&gt;=Premissas!$B$48,A386&lt;=Premissas!$B$27,A386-Premissas!$B$48+1&lt;=Premissas!$B$13),INDEX(Financiamento!$M$6:$M$485,A386-Premissas!$B$48+1),0)</x:f>
        <x:v>0</x:v>
      </x:c>
      <x:c r="I386" s="141" t="n">
        <x:f>IF(A386=Premissas!$B$27,MIN(D386,H386),0)</x:f>
        <x:v>0</x:v>
      </x:c>
      <x:c r="J386" s="141" t="n">
        <x:f>IF(A386=Premissas!$B$27,D386-H386,0)</x:f>
        <x:v>0</x:v>
      </x:c>
      <x:c r="K386" s="141" t="n">
        <x:f>E386+G386</x:f>
        <x:v>0</x:v>
      </x:c>
      <x:c r="L386" s="141" t="n">
        <x:f>SUM($K$6:K386)</x:f>
        <x:v>368370.4829168556</x:v>
      </x:c>
      <x:c r="M386" s="141" t="str">
        <x:f>IF(A386&lt;Premissas!$B$27,"Financiamento + consorcio",IF(A386=Premissas!$B$27,"Quitacao via carta",IF(A386&lt;=Premissas!$B$25,"Somente consorcio","Encerrado")))</x:f>
        <x:v>Encerrado</x:v>
      </x:c>
      <x:c r="N386" s="141" t="n">
        <x:f>IF(A386&gt;=Premissas!$B$25,0,(N387+E387)/(1+Premissas!$B$41))</x:f>
        <x:v>0</x:v>
      </x:c>
      <x:c r="O386" s="141" t="n">
        <x:f>IF(A386&lt;Premissas!$B$27,Premissas!$B$31/(1+Premissas!$B$41)^(Premissas!$B$27-A386),0)</x:f>
        <x:v>0</x:v>
      </x:c>
      <x:c r="P386" s="141" t="n">
        <x:f>MAX(0,H386-I386)+N386</x:f>
        <x:v>0</x:v>
      </x:c>
    </x:row>
    <x:row r="387">
      <x:c r="A387" s="142" t="n">
        <x:v>382</x:v>
      </x:c>
      <x:c r="B387" s="179" t="n">
        <x:f>EDATE(Premissas!$B$4,381)</x:f>
        <x:v>58135</x:v>
      </x:c>
      <x:c r="C387" s="180" t="n">
        <x:f>(1+Premissas!$B$26)^INT((A387-1)/12)</x:f>
        <x:v>6.088100643288055</x:v>
      </x:c>
      <x:c r="D387" s="141" t="n">
        <x:f>Premissas!$B$30*C387</x:f>
        <x:v>661350.3004393772</x:v>
      </x:c>
      <x:c r="E387" s="141" t="n">
        <x:f>IF(A387&lt;=Premissas!$B$25,Premissas!$B$32*C387,0)</x:f>
        <x:v>0</x:v>
      </x:c>
      <x:c r="F387" s="141" t="n">
        <x:f>IF(AND(A387&gt;=Premissas!$B$48,A387&lt;=Premissas!$B$27,A387-Premissas!$B$48+1&lt;=Premissas!$B$13),INDEX(Financiamento!$C$6:$C$485,A387-Premissas!$B$48+1),0)</x:f>
        <x:v>0</x:v>
      </x:c>
      <x:c r="G387" s="141" t="n">
        <x:f>IF(AND(A387&gt;=Premissas!$B$48,A387&lt;=Premissas!$B$27,A387-Premissas!$B$48+1&lt;=Premissas!$B$13),INDEX(Financiamento!$J$6:$J$485,A387-Premissas!$B$48+1),0)</x:f>
        <x:v>0</x:v>
      </x:c>
      <x:c r="H387" s="141" t="n">
        <x:f>IF(AND(A387&gt;=Premissas!$B$48,A387&lt;=Premissas!$B$27,A387-Premissas!$B$48+1&lt;=Premissas!$B$13),INDEX(Financiamento!$M$6:$M$485,A387-Premissas!$B$48+1),0)</x:f>
        <x:v>0</x:v>
      </x:c>
      <x:c r="I387" s="141" t="n">
        <x:f>IF(A387=Premissas!$B$27,MIN(D387,H387),0)</x:f>
        <x:v>0</x:v>
      </x:c>
      <x:c r="J387" s="141" t="n">
        <x:f>IF(A387=Premissas!$B$27,D387-H387,0)</x:f>
        <x:v>0</x:v>
      </x:c>
      <x:c r="K387" s="141" t="n">
        <x:f>E387+G387</x:f>
        <x:v>0</x:v>
      </x:c>
      <x:c r="L387" s="141" t="n">
        <x:f>SUM($K$6:K387)</x:f>
        <x:v>368370.4829168556</x:v>
      </x:c>
      <x:c r="M387" s="141" t="str">
        <x:f>IF(A387&lt;Premissas!$B$27,"Financiamento + consorcio",IF(A387=Premissas!$B$27,"Quitacao via carta",IF(A387&lt;=Premissas!$B$25,"Somente consorcio","Encerrado")))</x:f>
        <x:v>Encerrado</x:v>
      </x:c>
      <x:c r="N387" s="141" t="n">
        <x:f>IF(A387&gt;=Premissas!$B$25,0,(N388+E388)/(1+Premissas!$B$41))</x:f>
        <x:v>0</x:v>
      </x:c>
      <x:c r="O387" s="141" t="n">
        <x:f>IF(A387&lt;Premissas!$B$27,Premissas!$B$31/(1+Premissas!$B$41)^(Premissas!$B$27-A387),0)</x:f>
        <x:v>0</x:v>
      </x:c>
      <x:c r="P387" s="141" t="n">
        <x:f>MAX(0,H387-I387)+N387</x:f>
        <x:v>0</x:v>
      </x:c>
    </x:row>
    <x:row r="388">
      <x:c r="A388" s="142" t="n">
        <x:v>383</x:v>
      </x:c>
      <x:c r="B388" s="179" t="n">
        <x:f>EDATE(Premissas!$B$4,382)</x:f>
        <x:v>58166</x:v>
      </x:c>
      <x:c r="C388" s="180" t="n">
        <x:f>(1+Premissas!$B$26)^INT((A388-1)/12)</x:f>
        <x:v>6.088100643288055</x:v>
      </x:c>
      <x:c r="D388" s="141" t="n">
        <x:f>Premissas!$B$30*C388</x:f>
        <x:v>661350.3004393772</x:v>
      </x:c>
      <x:c r="E388" s="141" t="n">
        <x:f>IF(A388&lt;=Premissas!$B$25,Premissas!$B$32*C388,0)</x:f>
        <x:v>0</x:v>
      </x:c>
      <x:c r="F388" s="141" t="n">
        <x:f>IF(AND(A388&gt;=Premissas!$B$48,A388&lt;=Premissas!$B$27,A388-Premissas!$B$48+1&lt;=Premissas!$B$13),INDEX(Financiamento!$C$6:$C$485,A388-Premissas!$B$48+1),0)</x:f>
        <x:v>0</x:v>
      </x:c>
      <x:c r="G388" s="141" t="n">
        <x:f>IF(AND(A388&gt;=Premissas!$B$48,A388&lt;=Premissas!$B$27,A388-Premissas!$B$48+1&lt;=Premissas!$B$13),INDEX(Financiamento!$J$6:$J$485,A388-Premissas!$B$48+1),0)</x:f>
        <x:v>0</x:v>
      </x:c>
      <x:c r="H388" s="141" t="n">
        <x:f>IF(AND(A388&gt;=Premissas!$B$48,A388&lt;=Premissas!$B$27,A388-Premissas!$B$48+1&lt;=Premissas!$B$13),INDEX(Financiamento!$M$6:$M$485,A388-Premissas!$B$48+1),0)</x:f>
        <x:v>0</x:v>
      </x:c>
      <x:c r="I388" s="141" t="n">
        <x:f>IF(A388=Premissas!$B$27,MIN(D388,H388),0)</x:f>
        <x:v>0</x:v>
      </x:c>
      <x:c r="J388" s="141" t="n">
        <x:f>IF(A388=Premissas!$B$27,D388-H388,0)</x:f>
        <x:v>0</x:v>
      </x:c>
      <x:c r="K388" s="141" t="n">
        <x:f>E388+G388</x:f>
        <x:v>0</x:v>
      </x:c>
      <x:c r="L388" s="141" t="n">
        <x:f>SUM($K$6:K388)</x:f>
        <x:v>368370.4829168556</x:v>
      </x:c>
      <x:c r="M388" s="141" t="str">
        <x:f>IF(A388&lt;Premissas!$B$27,"Financiamento + consorcio",IF(A388=Premissas!$B$27,"Quitacao via carta",IF(A388&lt;=Premissas!$B$25,"Somente consorcio","Encerrado")))</x:f>
        <x:v>Encerrado</x:v>
      </x:c>
      <x:c r="N388" s="141" t="n">
        <x:f>IF(A388&gt;=Premissas!$B$25,0,(N389+E389)/(1+Premissas!$B$41))</x:f>
        <x:v>0</x:v>
      </x:c>
      <x:c r="O388" s="141" t="n">
        <x:f>IF(A388&lt;Premissas!$B$27,Premissas!$B$31/(1+Premissas!$B$41)^(Premissas!$B$27-A388),0)</x:f>
        <x:v>0</x:v>
      </x:c>
      <x:c r="P388" s="141" t="n">
        <x:f>MAX(0,H388-I388)+N388</x:f>
        <x:v>0</x:v>
      </x:c>
    </x:row>
    <x:row r="389">
      <x:c r="A389" s="142" t="n">
        <x:v>384</x:v>
      </x:c>
      <x:c r="B389" s="179" t="n">
        <x:f>EDATE(Premissas!$B$4,383)</x:f>
        <x:v>58196</x:v>
      </x:c>
      <x:c r="C389" s="180" t="n">
        <x:f>(1+Premissas!$B$26)^INT((A389-1)/12)</x:f>
        <x:v>6.088100643288055</x:v>
      </x:c>
      <x:c r="D389" s="141" t="n">
        <x:f>Premissas!$B$30*C389</x:f>
        <x:v>661350.3004393772</x:v>
      </x:c>
      <x:c r="E389" s="141" t="n">
        <x:f>IF(A389&lt;=Premissas!$B$25,Premissas!$B$32*C389,0)</x:f>
        <x:v>0</x:v>
      </x:c>
      <x:c r="F389" s="141" t="n">
        <x:f>IF(AND(A389&gt;=Premissas!$B$48,A389&lt;=Premissas!$B$27,A389-Premissas!$B$48+1&lt;=Premissas!$B$13),INDEX(Financiamento!$C$6:$C$485,A389-Premissas!$B$48+1),0)</x:f>
        <x:v>0</x:v>
      </x:c>
      <x:c r="G389" s="141" t="n">
        <x:f>IF(AND(A389&gt;=Premissas!$B$48,A389&lt;=Premissas!$B$27,A389-Premissas!$B$48+1&lt;=Premissas!$B$13),INDEX(Financiamento!$J$6:$J$485,A389-Premissas!$B$48+1),0)</x:f>
        <x:v>0</x:v>
      </x:c>
      <x:c r="H389" s="141" t="n">
        <x:f>IF(AND(A389&gt;=Premissas!$B$48,A389&lt;=Premissas!$B$27,A389-Premissas!$B$48+1&lt;=Premissas!$B$13),INDEX(Financiamento!$M$6:$M$485,A389-Premissas!$B$48+1),0)</x:f>
        <x:v>0</x:v>
      </x:c>
      <x:c r="I389" s="141" t="n">
        <x:f>IF(A389=Premissas!$B$27,MIN(D389,H389),0)</x:f>
        <x:v>0</x:v>
      </x:c>
      <x:c r="J389" s="141" t="n">
        <x:f>IF(A389=Premissas!$B$27,D389-H389,0)</x:f>
        <x:v>0</x:v>
      </x:c>
      <x:c r="K389" s="141" t="n">
        <x:f>E389+G389</x:f>
        <x:v>0</x:v>
      </x:c>
      <x:c r="L389" s="141" t="n">
        <x:f>SUM($K$6:K389)</x:f>
        <x:v>368370.4829168556</x:v>
      </x:c>
      <x:c r="M389" s="141" t="str">
        <x:f>IF(A389&lt;Premissas!$B$27,"Financiamento + consorcio",IF(A389=Premissas!$B$27,"Quitacao via carta",IF(A389&lt;=Premissas!$B$25,"Somente consorcio","Encerrado")))</x:f>
        <x:v>Encerrado</x:v>
      </x:c>
      <x:c r="N389" s="141" t="n">
        <x:f>IF(A389&gt;=Premissas!$B$25,0,(N390+E390)/(1+Premissas!$B$41))</x:f>
        <x:v>0</x:v>
      </x:c>
      <x:c r="O389" s="141" t="n">
        <x:f>IF(A389&lt;Premissas!$B$27,Premissas!$B$31/(1+Premissas!$B$41)^(Premissas!$B$27-A389),0)</x:f>
        <x:v>0</x:v>
      </x:c>
      <x:c r="P389" s="141" t="n">
        <x:f>MAX(0,H389-I389)+N389</x:f>
        <x:v>0</x:v>
      </x:c>
    </x:row>
    <x:row r="390">
      <x:c r="A390" s="142" t="n">
        <x:v>385</x:v>
      </x:c>
      <x:c r="B390" s="179" t="n">
        <x:f>EDATE(Premissas!$B$4,384)</x:f>
        <x:v>58227</x:v>
      </x:c>
      <x:c r="C390" s="180" t="n">
        <x:f>(1+Premissas!$B$26)^INT((A390-1)/12)</x:f>
        <x:v>6.4533866818853385</x:v>
      </x:c>
      <x:c r="D390" s="141" t="n">
        <x:f>Premissas!$B$30*C390</x:f>
        <x:v>701031.31846574</x:v>
      </x:c>
      <x:c r="E390" s="141" t="n">
        <x:f>IF(A390&lt;=Premissas!$B$25,Premissas!$B$32*C390,0)</x:f>
        <x:v>0</x:v>
      </x:c>
      <x:c r="F390" s="141" t="n">
        <x:f>IF(AND(A390&gt;=Premissas!$B$48,A390&lt;=Premissas!$B$27,A390-Premissas!$B$48+1&lt;=Premissas!$B$13),INDEX(Financiamento!$C$6:$C$485,A390-Premissas!$B$48+1),0)</x:f>
        <x:v>0</x:v>
      </x:c>
      <x:c r="G390" s="141" t="n">
        <x:f>IF(AND(A390&gt;=Premissas!$B$48,A390&lt;=Premissas!$B$27,A390-Premissas!$B$48+1&lt;=Premissas!$B$13),INDEX(Financiamento!$J$6:$J$485,A390-Premissas!$B$48+1),0)</x:f>
        <x:v>0</x:v>
      </x:c>
      <x:c r="H390" s="141" t="n">
        <x:f>IF(AND(A390&gt;=Premissas!$B$48,A390&lt;=Premissas!$B$27,A390-Premissas!$B$48+1&lt;=Premissas!$B$13),INDEX(Financiamento!$M$6:$M$485,A390-Premissas!$B$48+1),0)</x:f>
        <x:v>0</x:v>
      </x:c>
      <x:c r="I390" s="141" t="n">
        <x:f>IF(A390=Premissas!$B$27,MIN(D390,H390),0)</x:f>
        <x:v>0</x:v>
      </x:c>
      <x:c r="J390" s="141" t="n">
        <x:f>IF(A390=Premissas!$B$27,D390-H390,0)</x:f>
        <x:v>0</x:v>
      </x:c>
      <x:c r="K390" s="141" t="n">
        <x:f>E390+G390</x:f>
        <x:v>0</x:v>
      </x:c>
      <x:c r="L390" s="141" t="n">
        <x:f>SUM($K$6:K390)</x:f>
        <x:v>368370.4829168556</x:v>
      </x:c>
      <x:c r="M390" s="141" t="str">
        <x:f>IF(A390&lt;Premissas!$B$27,"Financiamento + consorcio",IF(A390=Premissas!$B$27,"Quitacao via carta",IF(A390&lt;=Premissas!$B$25,"Somente consorcio","Encerrado")))</x:f>
        <x:v>Encerrado</x:v>
      </x:c>
      <x:c r="N390" s="141" t="n">
        <x:f>IF(A390&gt;=Premissas!$B$25,0,(N391+E391)/(1+Premissas!$B$41))</x:f>
        <x:v>0</x:v>
      </x:c>
      <x:c r="O390" s="141" t="n">
        <x:f>IF(A390&lt;Premissas!$B$27,Premissas!$B$31/(1+Premissas!$B$41)^(Premissas!$B$27-A390),0)</x:f>
        <x:v>0</x:v>
      </x:c>
      <x:c r="P390" s="141" t="n">
        <x:f>MAX(0,H390-I390)+N390</x:f>
        <x:v>0</x:v>
      </x:c>
    </x:row>
    <x:row r="391">
      <x:c r="A391" s="142" t="n">
        <x:v>386</x:v>
      </x:c>
      <x:c r="B391" s="179" t="n">
        <x:f>EDATE(Premissas!$B$4,385)</x:f>
        <x:v>58257</x:v>
      </x:c>
      <x:c r="C391" s="180" t="n">
        <x:f>(1+Premissas!$B$26)^INT((A391-1)/12)</x:f>
        <x:v>6.4533866818853385</x:v>
      </x:c>
      <x:c r="D391" s="141" t="n">
        <x:f>Premissas!$B$30*C391</x:f>
        <x:v>701031.31846574</x:v>
      </x:c>
      <x:c r="E391" s="141" t="n">
        <x:f>IF(A391&lt;=Premissas!$B$25,Premissas!$B$32*C391,0)</x:f>
        <x:v>0</x:v>
      </x:c>
      <x:c r="F391" s="141" t="n">
        <x:f>IF(AND(A391&gt;=Premissas!$B$48,A391&lt;=Premissas!$B$27,A391-Premissas!$B$48+1&lt;=Premissas!$B$13),INDEX(Financiamento!$C$6:$C$485,A391-Premissas!$B$48+1),0)</x:f>
        <x:v>0</x:v>
      </x:c>
      <x:c r="G391" s="141" t="n">
        <x:f>IF(AND(A391&gt;=Premissas!$B$48,A391&lt;=Premissas!$B$27,A391-Premissas!$B$48+1&lt;=Premissas!$B$13),INDEX(Financiamento!$J$6:$J$485,A391-Premissas!$B$48+1),0)</x:f>
        <x:v>0</x:v>
      </x:c>
      <x:c r="H391" s="141" t="n">
        <x:f>IF(AND(A391&gt;=Premissas!$B$48,A391&lt;=Premissas!$B$27,A391-Premissas!$B$48+1&lt;=Premissas!$B$13),INDEX(Financiamento!$M$6:$M$485,A391-Premissas!$B$48+1),0)</x:f>
        <x:v>0</x:v>
      </x:c>
      <x:c r="I391" s="141" t="n">
        <x:f>IF(A391=Premissas!$B$27,MIN(D391,H391),0)</x:f>
        <x:v>0</x:v>
      </x:c>
      <x:c r="J391" s="141" t="n">
        <x:f>IF(A391=Premissas!$B$27,D391-H391,0)</x:f>
        <x:v>0</x:v>
      </x:c>
      <x:c r="K391" s="141" t="n">
        <x:f>E391+G391</x:f>
        <x:v>0</x:v>
      </x:c>
      <x:c r="L391" s="141" t="n">
        <x:f>SUM($K$6:K391)</x:f>
        <x:v>368370.4829168556</x:v>
      </x:c>
      <x:c r="M391" s="141" t="str">
        <x:f>IF(A391&lt;Premissas!$B$27,"Financiamento + consorcio",IF(A391=Premissas!$B$27,"Quitacao via carta",IF(A391&lt;=Premissas!$B$25,"Somente consorcio","Encerrado")))</x:f>
        <x:v>Encerrado</x:v>
      </x:c>
      <x:c r="N391" s="141" t="n">
        <x:f>IF(A391&gt;=Premissas!$B$25,0,(N392+E392)/(1+Premissas!$B$41))</x:f>
        <x:v>0</x:v>
      </x:c>
      <x:c r="O391" s="141" t="n">
        <x:f>IF(A391&lt;Premissas!$B$27,Premissas!$B$31/(1+Premissas!$B$41)^(Premissas!$B$27-A391),0)</x:f>
        <x:v>0</x:v>
      </x:c>
      <x:c r="P391" s="141" t="n">
        <x:f>MAX(0,H391-I391)+N391</x:f>
        <x:v>0</x:v>
      </x:c>
    </x:row>
    <x:row r="392">
      <x:c r="A392" s="142" t="n">
        <x:v>387</x:v>
      </x:c>
      <x:c r="B392" s="179" t="n">
        <x:f>EDATE(Premissas!$B$4,386)</x:f>
        <x:v>58288</x:v>
      </x:c>
      <x:c r="C392" s="180" t="n">
        <x:f>(1+Premissas!$B$26)^INT((A392-1)/12)</x:f>
        <x:v>6.4533866818853385</x:v>
      </x:c>
      <x:c r="D392" s="141" t="n">
        <x:f>Premissas!$B$30*C392</x:f>
        <x:v>701031.31846574</x:v>
      </x:c>
      <x:c r="E392" s="141" t="n">
        <x:f>IF(A392&lt;=Premissas!$B$25,Premissas!$B$32*C392,0)</x:f>
        <x:v>0</x:v>
      </x:c>
      <x:c r="F392" s="141" t="n">
        <x:f>IF(AND(A392&gt;=Premissas!$B$48,A392&lt;=Premissas!$B$27,A392-Premissas!$B$48+1&lt;=Premissas!$B$13),INDEX(Financiamento!$C$6:$C$485,A392-Premissas!$B$48+1),0)</x:f>
        <x:v>0</x:v>
      </x:c>
      <x:c r="G392" s="141" t="n">
        <x:f>IF(AND(A392&gt;=Premissas!$B$48,A392&lt;=Premissas!$B$27,A392-Premissas!$B$48+1&lt;=Premissas!$B$13),INDEX(Financiamento!$J$6:$J$485,A392-Premissas!$B$48+1),0)</x:f>
        <x:v>0</x:v>
      </x:c>
      <x:c r="H392" s="141" t="n">
        <x:f>IF(AND(A392&gt;=Premissas!$B$48,A392&lt;=Premissas!$B$27,A392-Premissas!$B$48+1&lt;=Premissas!$B$13),INDEX(Financiamento!$M$6:$M$485,A392-Premissas!$B$48+1),0)</x:f>
        <x:v>0</x:v>
      </x:c>
      <x:c r="I392" s="141" t="n">
        <x:f>IF(A392=Premissas!$B$27,MIN(D392,H392),0)</x:f>
        <x:v>0</x:v>
      </x:c>
      <x:c r="J392" s="141" t="n">
        <x:f>IF(A392=Premissas!$B$27,D392-H392,0)</x:f>
        <x:v>0</x:v>
      </x:c>
      <x:c r="K392" s="141" t="n">
        <x:f>E392+G392</x:f>
        <x:v>0</x:v>
      </x:c>
      <x:c r="L392" s="141" t="n">
        <x:f>SUM($K$6:K392)</x:f>
        <x:v>368370.4829168556</x:v>
      </x:c>
      <x:c r="M392" s="141" t="str">
        <x:f>IF(A392&lt;Premissas!$B$27,"Financiamento + consorcio",IF(A392=Premissas!$B$27,"Quitacao via carta",IF(A392&lt;=Premissas!$B$25,"Somente consorcio","Encerrado")))</x:f>
        <x:v>Encerrado</x:v>
      </x:c>
      <x:c r="N392" s="141" t="n">
        <x:f>IF(A392&gt;=Premissas!$B$25,0,(N393+E393)/(1+Premissas!$B$41))</x:f>
        <x:v>0</x:v>
      </x:c>
      <x:c r="O392" s="141" t="n">
        <x:f>IF(A392&lt;Premissas!$B$27,Premissas!$B$31/(1+Premissas!$B$41)^(Premissas!$B$27-A392),0)</x:f>
        <x:v>0</x:v>
      </x:c>
      <x:c r="P392" s="141" t="n">
        <x:f>MAX(0,H392-I392)+N392</x:f>
        <x:v>0</x:v>
      </x:c>
    </x:row>
    <x:row r="393">
      <x:c r="A393" s="142" t="n">
        <x:v>388</x:v>
      </x:c>
      <x:c r="B393" s="179" t="n">
        <x:f>EDATE(Premissas!$B$4,387)</x:f>
        <x:v>58319</x:v>
      </x:c>
      <x:c r="C393" s="180" t="n">
        <x:f>(1+Premissas!$B$26)^INT((A393-1)/12)</x:f>
        <x:v>6.4533866818853385</x:v>
      </x:c>
      <x:c r="D393" s="141" t="n">
        <x:f>Premissas!$B$30*C393</x:f>
        <x:v>701031.31846574</x:v>
      </x:c>
      <x:c r="E393" s="141" t="n">
        <x:f>IF(A393&lt;=Premissas!$B$25,Premissas!$B$32*C393,0)</x:f>
        <x:v>0</x:v>
      </x:c>
      <x:c r="F393" s="141" t="n">
        <x:f>IF(AND(A393&gt;=Premissas!$B$48,A393&lt;=Premissas!$B$27,A393-Premissas!$B$48+1&lt;=Premissas!$B$13),INDEX(Financiamento!$C$6:$C$485,A393-Premissas!$B$48+1),0)</x:f>
        <x:v>0</x:v>
      </x:c>
      <x:c r="G393" s="141" t="n">
        <x:f>IF(AND(A393&gt;=Premissas!$B$48,A393&lt;=Premissas!$B$27,A393-Premissas!$B$48+1&lt;=Premissas!$B$13),INDEX(Financiamento!$J$6:$J$485,A393-Premissas!$B$48+1),0)</x:f>
        <x:v>0</x:v>
      </x:c>
      <x:c r="H393" s="141" t="n">
        <x:f>IF(AND(A393&gt;=Premissas!$B$48,A393&lt;=Premissas!$B$27,A393-Premissas!$B$48+1&lt;=Premissas!$B$13),INDEX(Financiamento!$M$6:$M$485,A393-Premissas!$B$48+1),0)</x:f>
        <x:v>0</x:v>
      </x:c>
      <x:c r="I393" s="141" t="n">
        <x:f>IF(A393=Premissas!$B$27,MIN(D393,H393),0)</x:f>
        <x:v>0</x:v>
      </x:c>
      <x:c r="J393" s="141" t="n">
        <x:f>IF(A393=Premissas!$B$27,D393-H393,0)</x:f>
        <x:v>0</x:v>
      </x:c>
      <x:c r="K393" s="141" t="n">
        <x:f>E393+G393</x:f>
        <x:v>0</x:v>
      </x:c>
      <x:c r="L393" s="141" t="n">
        <x:f>SUM($K$6:K393)</x:f>
        <x:v>368370.4829168556</x:v>
      </x:c>
      <x:c r="M393" s="141" t="str">
        <x:f>IF(A393&lt;Premissas!$B$27,"Financiamento + consorcio",IF(A393=Premissas!$B$27,"Quitacao via carta",IF(A393&lt;=Premissas!$B$25,"Somente consorcio","Encerrado")))</x:f>
        <x:v>Encerrado</x:v>
      </x:c>
      <x:c r="N393" s="141" t="n">
        <x:f>IF(A393&gt;=Premissas!$B$25,0,(N394+E394)/(1+Premissas!$B$41))</x:f>
        <x:v>0</x:v>
      </x:c>
      <x:c r="O393" s="141" t="n">
        <x:f>IF(A393&lt;Premissas!$B$27,Premissas!$B$31/(1+Premissas!$B$41)^(Premissas!$B$27-A393),0)</x:f>
        <x:v>0</x:v>
      </x:c>
      <x:c r="P393" s="141" t="n">
        <x:f>MAX(0,H393-I393)+N393</x:f>
        <x:v>0</x:v>
      </x:c>
    </x:row>
    <x:row r="394">
      <x:c r="A394" s="142" t="n">
        <x:v>389</x:v>
      </x:c>
      <x:c r="B394" s="179" t="n">
        <x:f>EDATE(Premissas!$B$4,388)</x:f>
        <x:v>58349</x:v>
      </x:c>
      <x:c r="C394" s="180" t="n">
        <x:f>(1+Premissas!$B$26)^INT((A394-1)/12)</x:f>
        <x:v>6.4533866818853385</x:v>
      </x:c>
      <x:c r="D394" s="141" t="n">
        <x:f>Premissas!$B$30*C394</x:f>
        <x:v>701031.31846574</x:v>
      </x:c>
      <x:c r="E394" s="141" t="n">
        <x:f>IF(A394&lt;=Premissas!$B$25,Premissas!$B$32*C394,0)</x:f>
        <x:v>0</x:v>
      </x:c>
      <x:c r="F394" s="141" t="n">
        <x:f>IF(AND(A394&gt;=Premissas!$B$48,A394&lt;=Premissas!$B$27,A394-Premissas!$B$48+1&lt;=Premissas!$B$13),INDEX(Financiamento!$C$6:$C$485,A394-Premissas!$B$48+1),0)</x:f>
        <x:v>0</x:v>
      </x:c>
      <x:c r="G394" s="141" t="n">
        <x:f>IF(AND(A394&gt;=Premissas!$B$48,A394&lt;=Premissas!$B$27,A394-Premissas!$B$48+1&lt;=Premissas!$B$13),INDEX(Financiamento!$J$6:$J$485,A394-Premissas!$B$48+1),0)</x:f>
        <x:v>0</x:v>
      </x:c>
      <x:c r="H394" s="141" t="n">
        <x:f>IF(AND(A394&gt;=Premissas!$B$48,A394&lt;=Premissas!$B$27,A394-Premissas!$B$48+1&lt;=Premissas!$B$13),INDEX(Financiamento!$M$6:$M$485,A394-Premissas!$B$48+1),0)</x:f>
        <x:v>0</x:v>
      </x:c>
      <x:c r="I394" s="141" t="n">
        <x:f>IF(A394=Premissas!$B$27,MIN(D394,H394),0)</x:f>
        <x:v>0</x:v>
      </x:c>
      <x:c r="J394" s="141" t="n">
        <x:f>IF(A394=Premissas!$B$27,D394-H394,0)</x:f>
        <x:v>0</x:v>
      </x:c>
      <x:c r="K394" s="141" t="n">
        <x:f>E394+G394</x:f>
        <x:v>0</x:v>
      </x:c>
      <x:c r="L394" s="141" t="n">
        <x:f>SUM($K$6:K394)</x:f>
        <x:v>368370.4829168556</x:v>
      </x:c>
      <x:c r="M394" s="141" t="str">
        <x:f>IF(A394&lt;Premissas!$B$27,"Financiamento + consorcio",IF(A394=Premissas!$B$27,"Quitacao via carta",IF(A394&lt;=Premissas!$B$25,"Somente consorcio","Encerrado")))</x:f>
        <x:v>Encerrado</x:v>
      </x:c>
      <x:c r="N394" s="141" t="n">
        <x:f>IF(A394&gt;=Premissas!$B$25,0,(N395+E395)/(1+Premissas!$B$41))</x:f>
        <x:v>0</x:v>
      </x:c>
      <x:c r="O394" s="141" t="n">
        <x:f>IF(A394&lt;Premissas!$B$27,Premissas!$B$31/(1+Premissas!$B$41)^(Premissas!$B$27-A394),0)</x:f>
        <x:v>0</x:v>
      </x:c>
      <x:c r="P394" s="141" t="n">
        <x:f>MAX(0,H394-I394)+N394</x:f>
        <x:v>0</x:v>
      </x:c>
    </x:row>
    <x:row r="395">
      <x:c r="A395" s="142" t="n">
        <x:v>390</x:v>
      </x:c>
      <x:c r="B395" s="179" t="n">
        <x:f>EDATE(Premissas!$B$4,389)</x:f>
        <x:v>58380</x:v>
      </x:c>
      <x:c r="C395" s="180" t="n">
        <x:f>(1+Premissas!$B$26)^INT((A395-1)/12)</x:f>
        <x:v>6.4533866818853385</x:v>
      </x:c>
      <x:c r="D395" s="141" t="n">
        <x:f>Premissas!$B$30*C395</x:f>
        <x:v>701031.31846574</x:v>
      </x:c>
      <x:c r="E395" s="141" t="n">
        <x:f>IF(A395&lt;=Premissas!$B$25,Premissas!$B$32*C395,0)</x:f>
        <x:v>0</x:v>
      </x:c>
      <x:c r="F395" s="141" t="n">
        <x:f>IF(AND(A395&gt;=Premissas!$B$48,A395&lt;=Premissas!$B$27,A395-Premissas!$B$48+1&lt;=Premissas!$B$13),INDEX(Financiamento!$C$6:$C$485,A395-Premissas!$B$48+1),0)</x:f>
        <x:v>0</x:v>
      </x:c>
      <x:c r="G395" s="141" t="n">
        <x:f>IF(AND(A395&gt;=Premissas!$B$48,A395&lt;=Premissas!$B$27,A395-Premissas!$B$48+1&lt;=Premissas!$B$13),INDEX(Financiamento!$J$6:$J$485,A395-Premissas!$B$48+1),0)</x:f>
        <x:v>0</x:v>
      </x:c>
      <x:c r="H395" s="141" t="n">
        <x:f>IF(AND(A395&gt;=Premissas!$B$48,A395&lt;=Premissas!$B$27,A395-Premissas!$B$48+1&lt;=Premissas!$B$13),INDEX(Financiamento!$M$6:$M$485,A395-Premissas!$B$48+1),0)</x:f>
        <x:v>0</x:v>
      </x:c>
      <x:c r="I395" s="141" t="n">
        <x:f>IF(A395=Premissas!$B$27,MIN(D395,H395),0)</x:f>
        <x:v>0</x:v>
      </x:c>
      <x:c r="J395" s="141" t="n">
        <x:f>IF(A395=Premissas!$B$27,D395-H395,0)</x:f>
        <x:v>0</x:v>
      </x:c>
      <x:c r="K395" s="141" t="n">
        <x:f>E395+G395</x:f>
        <x:v>0</x:v>
      </x:c>
      <x:c r="L395" s="141" t="n">
        <x:f>SUM($K$6:K395)</x:f>
        <x:v>368370.4829168556</x:v>
      </x:c>
      <x:c r="M395" s="141" t="str">
        <x:f>IF(A395&lt;Premissas!$B$27,"Financiamento + consorcio",IF(A395=Premissas!$B$27,"Quitacao via carta",IF(A395&lt;=Premissas!$B$25,"Somente consorcio","Encerrado")))</x:f>
        <x:v>Encerrado</x:v>
      </x:c>
      <x:c r="N395" s="141" t="n">
        <x:f>IF(A395&gt;=Premissas!$B$25,0,(N396+E396)/(1+Premissas!$B$41))</x:f>
        <x:v>0</x:v>
      </x:c>
      <x:c r="O395" s="141" t="n">
        <x:f>IF(A395&lt;Premissas!$B$27,Premissas!$B$31/(1+Premissas!$B$41)^(Premissas!$B$27-A395),0)</x:f>
        <x:v>0</x:v>
      </x:c>
      <x:c r="P395" s="141" t="n">
        <x:f>MAX(0,H395-I395)+N395</x:f>
        <x:v>0</x:v>
      </x:c>
    </x:row>
    <x:row r="396">
      <x:c r="A396" s="142" t="n">
        <x:v>391</x:v>
      </x:c>
      <x:c r="B396" s="179" t="n">
        <x:f>EDATE(Premissas!$B$4,390)</x:f>
        <x:v>58410</x:v>
      </x:c>
      <x:c r="C396" s="180" t="n">
        <x:f>(1+Premissas!$B$26)^INT((A396-1)/12)</x:f>
        <x:v>6.4533866818853385</x:v>
      </x:c>
      <x:c r="D396" s="141" t="n">
        <x:f>Premissas!$B$30*C396</x:f>
        <x:v>701031.31846574</x:v>
      </x:c>
      <x:c r="E396" s="141" t="n">
        <x:f>IF(A396&lt;=Premissas!$B$25,Premissas!$B$32*C396,0)</x:f>
        <x:v>0</x:v>
      </x:c>
      <x:c r="F396" s="141" t="n">
        <x:f>IF(AND(A396&gt;=Premissas!$B$48,A396&lt;=Premissas!$B$27,A396-Premissas!$B$48+1&lt;=Premissas!$B$13),INDEX(Financiamento!$C$6:$C$485,A396-Premissas!$B$48+1),0)</x:f>
        <x:v>0</x:v>
      </x:c>
      <x:c r="G396" s="141" t="n">
        <x:f>IF(AND(A396&gt;=Premissas!$B$48,A396&lt;=Premissas!$B$27,A396-Premissas!$B$48+1&lt;=Premissas!$B$13),INDEX(Financiamento!$J$6:$J$485,A396-Premissas!$B$48+1),0)</x:f>
        <x:v>0</x:v>
      </x:c>
      <x:c r="H396" s="141" t="n">
        <x:f>IF(AND(A396&gt;=Premissas!$B$48,A396&lt;=Premissas!$B$27,A396-Premissas!$B$48+1&lt;=Premissas!$B$13),INDEX(Financiamento!$M$6:$M$485,A396-Premissas!$B$48+1),0)</x:f>
        <x:v>0</x:v>
      </x:c>
      <x:c r="I396" s="141" t="n">
        <x:f>IF(A396=Premissas!$B$27,MIN(D396,H396),0)</x:f>
        <x:v>0</x:v>
      </x:c>
      <x:c r="J396" s="141" t="n">
        <x:f>IF(A396=Premissas!$B$27,D396-H396,0)</x:f>
        <x:v>0</x:v>
      </x:c>
      <x:c r="K396" s="141" t="n">
        <x:f>E396+G396</x:f>
        <x:v>0</x:v>
      </x:c>
      <x:c r="L396" s="141" t="n">
        <x:f>SUM($K$6:K396)</x:f>
        <x:v>368370.4829168556</x:v>
      </x:c>
      <x:c r="M396" s="141" t="str">
        <x:f>IF(A396&lt;Premissas!$B$27,"Financiamento + consorcio",IF(A396=Premissas!$B$27,"Quitacao via carta",IF(A396&lt;=Premissas!$B$25,"Somente consorcio","Encerrado")))</x:f>
        <x:v>Encerrado</x:v>
      </x:c>
      <x:c r="N396" s="141" t="n">
        <x:f>IF(A396&gt;=Premissas!$B$25,0,(N397+E397)/(1+Premissas!$B$41))</x:f>
        <x:v>0</x:v>
      </x:c>
      <x:c r="O396" s="141" t="n">
        <x:f>IF(A396&lt;Premissas!$B$27,Premissas!$B$31/(1+Premissas!$B$41)^(Premissas!$B$27-A396),0)</x:f>
        <x:v>0</x:v>
      </x:c>
      <x:c r="P396" s="141" t="n">
        <x:f>MAX(0,H396-I396)+N396</x:f>
        <x:v>0</x:v>
      </x:c>
    </x:row>
    <x:row r="397">
      <x:c r="A397" s="142" t="n">
        <x:v>392</x:v>
      </x:c>
      <x:c r="B397" s="179" t="n">
        <x:f>EDATE(Premissas!$B$4,391)</x:f>
        <x:v>58441</x:v>
      </x:c>
      <x:c r="C397" s="180" t="n">
        <x:f>(1+Premissas!$B$26)^INT((A397-1)/12)</x:f>
        <x:v>6.4533866818853385</x:v>
      </x:c>
      <x:c r="D397" s="141" t="n">
        <x:f>Premissas!$B$30*C397</x:f>
        <x:v>701031.31846574</x:v>
      </x:c>
      <x:c r="E397" s="141" t="n">
        <x:f>IF(A397&lt;=Premissas!$B$25,Premissas!$B$32*C397,0)</x:f>
        <x:v>0</x:v>
      </x:c>
      <x:c r="F397" s="141" t="n">
        <x:f>IF(AND(A397&gt;=Premissas!$B$48,A397&lt;=Premissas!$B$27,A397-Premissas!$B$48+1&lt;=Premissas!$B$13),INDEX(Financiamento!$C$6:$C$485,A397-Premissas!$B$48+1),0)</x:f>
        <x:v>0</x:v>
      </x:c>
      <x:c r="G397" s="141" t="n">
        <x:f>IF(AND(A397&gt;=Premissas!$B$48,A397&lt;=Premissas!$B$27,A397-Premissas!$B$48+1&lt;=Premissas!$B$13),INDEX(Financiamento!$J$6:$J$485,A397-Premissas!$B$48+1),0)</x:f>
        <x:v>0</x:v>
      </x:c>
      <x:c r="H397" s="141" t="n">
        <x:f>IF(AND(A397&gt;=Premissas!$B$48,A397&lt;=Premissas!$B$27,A397-Premissas!$B$48+1&lt;=Premissas!$B$13),INDEX(Financiamento!$M$6:$M$485,A397-Premissas!$B$48+1),0)</x:f>
        <x:v>0</x:v>
      </x:c>
      <x:c r="I397" s="141" t="n">
        <x:f>IF(A397=Premissas!$B$27,MIN(D397,H397),0)</x:f>
        <x:v>0</x:v>
      </x:c>
      <x:c r="J397" s="141" t="n">
        <x:f>IF(A397=Premissas!$B$27,D397-H397,0)</x:f>
        <x:v>0</x:v>
      </x:c>
      <x:c r="K397" s="141" t="n">
        <x:f>E397+G397</x:f>
        <x:v>0</x:v>
      </x:c>
      <x:c r="L397" s="141" t="n">
        <x:f>SUM($K$6:K397)</x:f>
        <x:v>368370.4829168556</x:v>
      </x:c>
      <x:c r="M397" s="141" t="str">
        <x:f>IF(A397&lt;Premissas!$B$27,"Financiamento + consorcio",IF(A397=Premissas!$B$27,"Quitacao via carta",IF(A397&lt;=Premissas!$B$25,"Somente consorcio","Encerrado")))</x:f>
        <x:v>Encerrado</x:v>
      </x:c>
      <x:c r="N397" s="141" t="n">
        <x:f>IF(A397&gt;=Premissas!$B$25,0,(N398+E398)/(1+Premissas!$B$41))</x:f>
        <x:v>0</x:v>
      </x:c>
      <x:c r="O397" s="141" t="n">
        <x:f>IF(A397&lt;Premissas!$B$27,Premissas!$B$31/(1+Premissas!$B$41)^(Premissas!$B$27-A397),0)</x:f>
        <x:v>0</x:v>
      </x:c>
      <x:c r="P397" s="141" t="n">
        <x:f>MAX(0,H397-I397)+N397</x:f>
        <x:v>0</x:v>
      </x:c>
    </x:row>
    <x:row r="398">
      <x:c r="A398" s="142" t="n">
        <x:v>393</x:v>
      </x:c>
      <x:c r="B398" s="179" t="n">
        <x:f>EDATE(Premissas!$B$4,392)</x:f>
        <x:v>58472</x:v>
      </x:c>
      <x:c r="C398" s="180" t="n">
        <x:f>(1+Premissas!$B$26)^INT((A398-1)/12)</x:f>
        <x:v>6.4533866818853385</x:v>
      </x:c>
      <x:c r="D398" s="141" t="n">
        <x:f>Premissas!$B$30*C398</x:f>
        <x:v>701031.31846574</x:v>
      </x:c>
      <x:c r="E398" s="141" t="n">
        <x:f>IF(A398&lt;=Premissas!$B$25,Premissas!$B$32*C398,0)</x:f>
        <x:v>0</x:v>
      </x:c>
      <x:c r="F398" s="141" t="n">
        <x:f>IF(AND(A398&gt;=Premissas!$B$48,A398&lt;=Premissas!$B$27,A398-Premissas!$B$48+1&lt;=Premissas!$B$13),INDEX(Financiamento!$C$6:$C$485,A398-Premissas!$B$48+1),0)</x:f>
        <x:v>0</x:v>
      </x:c>
      <x:c r="G398" s="141" t="n">
        <x:f>IF(AND(A398&gt;=Premissas!$B$48,A398&lt;=Premissas!$B$27,A398-Premissas!$B$48+1&lt;=Premissas!$B$13),INDEX(Financiamento!$J$6:$J$485,A398-Premissas!$B$48+1),0)</x:f>
        <x:v>0</x:v>
      </x:c>
      <x:c r="H398" s="141" t="n">
        <x:f>IF(AND(A398&gt;=Premissas!$B$48,A398&lt;=Premissas!$B$27,A398-Premissas!$B$48+1&lt;=Premissas!$B$13),INDEX(Financiamento!$M$6:$M$485,A398-Premissas!$B$48+1),0)</x:f>
        <x:v>0</x:v>
      </x:c>
      <x:c r="I398" s="141" t="n">
        <x:f>IF(A398=Premissas!$B$27,MIN(D398,H398),0)</x:f>
        <x:v>0</x:v>
      </x:c>
      <x:c r="J398" s="141" t="n">
        <x:f>IF(A398=Premissas!$B$27,D398-H398,0)</x:f>
        <x:v>0</x:v>
      </x:c>
      <x:c r="K398" s="141" t="n">
        <x:f>E398+G398</x:f>
        <x:v>0</x:v>
      </x:c>
      <x:c r="L398" s="141" t="n">
        <x:f>SUM($K$6:K398)</x:f>
        <x:v>368370.4829168556</x:v>
      </x:c>
      <x:c r="M398" s="141" t="str">
        <x:f>IF(A398&lt;Premissas!$B$27,"Financiamento + consorcio",IF(A398=Premissas!$B$27,"Quitacao via carta",IF(A398&lt;=Premissas!$B$25,"Somente consorcio","Encerrado")))</x:f>
        <x:v>Encerrado</x:v>
      </x:c>
      <x:c r="N398" s="141" t="n">
        <x:f>IF(A398&gt;=Premissas!$B$25,0,(N399+E399)/(1+Premissas!$B$41))</x:f>
        <x:v>0</x:v>
      </x:c>
      <x:c r="O398" s="141" t="n">
        <x:f>IF(A398&lt;Premissas!$B$27,Premissas!$B$31/(1+Premissas!$B$41)^(Premissas!$B$27-A398),0)</x:f>
        <x:v>0</x:v>
      </x:c>
      <x:c r="P398" s="141" t="n">
        <x:f>MAX(0,H398-I398)+N398</x:f>
        <x:v>0</x:v>
      </x:c>
    </x:row>
    <x:row r="399">
      <x:c r="A399" s="142" t="n">
        <x:v>394</x:v>
      </x:c>
      <x:c r="B399" s="179" t="n">
        <x:f>EDATE(Premissas!$B$4,393)</x:f>
        <x:v>58501</x:v>
      </x:c>
      <x:c r="C399" s="180" t="n">
        <x:f>(1+Premissas!$B$26)^INT((A399-1)/12)</x:f>
        <x:v>6.4533866818853385</x:v>
      </x:c>
      <x:c r="D399" s="141" t="n">
        <x:f>Premissas!$B$30*C399</x:f>
        <x:v>701031.31846574</x:v>
      </x:c>
      <x:c r="E399" s="141" t="n">
        <x:f>IF(A399&lt;=Premissas!$B$25,Premissas!$B$32*C399,0)</x:f>
        <x:v>0</x:v>
      </x:c>
      <x:c r="F399" s="141" t="n">
        <x:f>IF(AND(A399&gt;=Premissas!$B$48,A399&lt;=Premissas!$B$27,A399-Premissas!$B$48+1&lt;=Premissas!$B$13),INDEX(Financiamento!$C$6:$C$485,A399-Premissas!$B$48+1),0)</x:f>
        <x:v>0</x:v>
      </x:c>
      <x:c r="G399" s="141" t="n">
        <x:f>IF(AND(A399&gt;=Premissas!$B$48,A399&lt;=Premissas!$B$27,A399-Premissas!$B$48+1&lt;=Premissas!$B$13),INDEX(Financiamento!$J$6:$J$485,A399-Premissas!$B$48+1),0)</x:f>
        <x:v>0</x:v>
      </x:c>
      <x:c r="H399" s="141" t="n">
        <x:f>IF(AND(A399&gt;=Premissas!$B$48,A399&lt;=Premissas!$B$27,A399-Premissas!$B$48+1&lt;=Premissas!$B$13),INDEX(Financiamento!$M$6:$M$485,A399-Premissas!$B$48+1),0)</x:f>
        <x:v>0</x:v>
      </x:c>
      <x:c r="I399" s="141" t="n">
        <x:f>IF(A399=Premissas!$B$27,MIN(D399,H399),0)</x:f>
        <x:v>0</x:v>
      </x:c>
      <x:c r="J399" s="141" t="n">
        <x:f>IF(A399=Premissas!$B$27,D399-H399,0)</x:f>
        <x:v>0</x:v>
      </x:c>
      <x:c r="K399" s="141" t="n">
        <x:f>E399+G399</x:f>
        <x:v>0</x:v>
      </x:c>
      <x:c r="L399" s="141" t="n">
        <x:f>SUM($K$6:K399)</x:f>
        <x:v>368370.4829168556</x:v>
      </x:c>
      <x:c r="M399" s="141" t="str">
        <x:f>IF(A399&lt;Premissas!$B$27,"Financiamento + consorcio",IF(A399=Premissas!$B$27,"Quitacao via carta",IF(A399&lt;=Premissas!$B$25,"Somente consorcio","Encerrado")))</x:f>
        <x:v>Encerrado</x:v>
      </x:c>
      <x:c r="N399" s="141" t="n">
        <x:f>IF(A399&gt;=Premissas!$B$25,0,(N400+E400)/(1+Premissas!$B$41))</x:f>
        <x:v>0</x:v>
      </x:c>
      <x:c r="O399" s="141" t="n">
        <x:f>IF(A399&lt;Premissas!$B$27,Premissas!$B$31/(1+Premissas!$B$41)^(Premissas!$B$27-A399),0)</x:f>
        <x:v>0</x:v>
      </x:c>
      <x:c r="P399" s="141" t="n">
        <x:f>MAX(0,H399-I399)+N399</x:f>
        <x:v>0</x:v>
      </x:c>
    </x:row>
    <x:row r="400">
      <x:c r="A400" s="142" t="n">
        <x:v>395</x:v>
      </x:c>
      <x:c r="B400" s="179" t="n">
        <x:f>EDATE(Premissas!$B$4,394)</x:f>
        <x:v>58532</x:v>
      </x:c>
      <x:c r="C400" s="180" t="n">
        <x:f>(1+Premissas!$B$26)^INT((A400-1)/12)</x:f>
        <x:v>6.4533866818853385</x:v>
      </x:c>
      <x:c r="D400" s="141" t="n">
        <x:f>Premissas!$B$30*C400</x:f>
        <x:v>701031.31846574</x:v>
      </x:c>
      <x:c r="E400" s="141" t="n">
        <x:f>IF(A400&lt;=Premissas!$B$25,Premissas!$B$32*C400,0)</x:f>
        <x:v>0</x:v>
      </x:c>
      <x:c r="F400" s="141" t="n">
        <x:f>IF(AND(A400&gt;=Premissas!$B$48,A400&lt;=Premissas!$B$27,A400-Premissas!$B$48+1&lt;=Premissas!$B$13),INDEX(Financiamento!$C$6:$C$485,A400-Premissas!$B$48+1),0)</x:f>
        <x:v>0</x:v>
      </x:c>
      <x:c r="G400" s="141" t="n">
        <x:f>IF(AND(A400&gt;=Premissas!$B$48,A400&lt;=Premissas!$B$27,A400-Premissas!$B$48+1&lt;=Premissas!$B$13),INDEX(Financiamento!$J$6:$J$485,A400-Premissas!$B$48+1),0)</x:f>
        <x:v>0</x:v>
      </x:c>
      <x:c r="H400" s="141" t="n">
        <x:f>IF(AND(A400&gt;=Premissas!$B$48,A400&lt;=Premissas!$B$27,A400-Premissas!$B$48+1&lt;=Premissas!$B$13),INDEX(Financiamento!$M$6:$M$485,A400-Premissas!$B$48+1),0)</x:f>
        <x:v>0</x:v>
      </x:c>
      <x:c r="I400" s="141" t="n">
        <x:f>IF(A400=Premissas!$B$27,MIN(D400,H400),0)</x:f>
        <x:v>0</x:v>
      </x:c>
      <x:c r="J400" s="141" t="n">
        <x:f>IF(A400=Premissas!$B$27,D400-H400,0)</x:f>
        <x:v>0</x:v>
      </x:c>
      <x:c r="K400" s="141" t="n">
        <x:f>E400+G400</x:f>
        <x:v>0</x:v>
      </x:c>
      <x:c r="L400" s="141" t="n">
        <x:f>SUM($K$6:K400)</x:f>
        <x:v>368370.4829168556</x:v>
      </x:c>
      <x:c r="M400" s="141" t="str">
        <x:f>IF(A400&lt;Premissas!$B$27,"Financiamento + consorcio",IF(A400=Premissas!$B$27,"Quitacao via carta",IF(A400&lt;=Premissas!$B$25,"Somente consorcio","Encerrado")))</x:f>
        <x:v>Encerrado</x:v>
      </x:c>
      <x:c r="N400" s="141" t="n">
        <x:f>IF(A400&gt;=Premissas!$B$25,0,(N401+E401)/(1+Premissas!$B$41))</x:f>
        <x:v>0</x:v>
      </x:c>
      <x:c r="O400" s="141" t="n">
        <x:f>IF(A400&lt;Premissas!$B$27,Premissas!$B$31/(1+Premissas!$B$41)^(Premissas!$B$27-A400),0)</x:f>
        <x:v>0</x:v>
      </x:c>
      <x:c r="P400" s="141" t="n">
        <x:f>MAX(0,H400-I400)+N400</x:f>
        <x:v>0</x:v>
      </x:c>
    </x:row>
    <x:row r="401">
      <x:c r="A401" s="142" t="n">
        <x:v>396</x:v>
      </x:c>
      <x:c r="B401" s="179" t="n">
        <x:f>EDATE(Premissas!$B$4,395)</x:f>
        <x:v>58562</x:v>
      </x:c>
      <x:c r="C401" s="180" t="n">
        <x:f>(1+Premissas!$B$26)^INT((A401-1)/12)</x:f>
        <x:v>6.4533866818853385</x:v>
      </x:c>
      <x:c r="D401" s="141" t="n">
        <x:f>Premissas!$B$30*C401</x:f>
        <x:v>701031.31846574</x:v>
      </x:c>
      <x:c r="E401" s="141" t="n">
        <x:f>IF(A401&lt;=Premissas!$B$25,Premissas!$B$32*C401,0)</x:f>
        <x:v>0</x:v>
      </x:c>
      <x:c r="F401" s="141" t="n">
        <x:f>IF(AND(A401&gt;=Premissas!$B$48,A401&lt;=Premissas!$B$27,A401-Premissas!$B$48+1&lt;=Premissas!$B$13),INDEX(Financiamento!$C$6:$C$485,A401-Premissas!$B$48+1),0)</x:f>
        <x:v>0</x:v>
      </x:c>
      <x:c r="G401" s="141" t="n">
        <x:f>IF(AND(A401&gt;=Premissas!$B$48,A401&lt;=Premissas!$B$27,A401-Premissas!$B$48+1&lt;=Premissas!$B$13),INDEX(Financiamento!$J$6:$J$485,A401-Premissas!$B$48+1),0)</x:f>
        <x:v>0</x:v>
      </x:c>
      <x:c r="H401" s="141" t="n">
        <x:f>IF(AND(A401&gt;=Premissas!$B$48,A401&lt;=Premissas!$B$27,A401-Premissas!$B$48+1&lt;=Premissas!$B$13),INDEX(Financiamento!$M$6:$M$485,A401-Premissas!$B$48+1),0)</x:f>
        <x:v>0</x:v>
      </x:c>
      <x:c r="I401" s="141" t="n">
        <x:f>IF(A401=Premissas!$B$27,MIN(D401,H401),0)</x:f>
        <x:v>0</x:v>
      </x:c>
      <x:c r="J401" s="141" t="n">
        <x:f>IF(A401=Premissas!$B$27,D401-H401,0)</x:f>
        <x:v>0</x:v>
      </x:c>
      <x:c r="K401" s="141" t="n">
        <x:f>E401+G401</x:f>
        <x:v>0</x:v>
      </x:c>
      <x:c r="L401" s="141" t="n">
        <x:f>SUM($K$6:K401)</x:f>
        <x:v>368370.4829168556</x:v>
      </x:c>
      <x:c r="M401" s="141" t="str">
        <x:f>IF(A401&lt;Premissas!$B$27,"Financiamento + consorcio",IF(A401=Premissas!$B$27,"Quitacao via carta",IF(A401&lt;=Premissas!$B$25,"Somente consorcio","Encerrado")))</x:f>
        <x:v>Encerrado</x:v>
      </x:c>
      <x:c r="N401" s="141" t="n">
        <x:f>IF(A401&gt;=Premissas!$B$25,0,(N402+E402)/(1+Premissas!$B$41))</x:f>
        <x:v>0</x:v>
      </x:c>
      <x:c r="O401" s="141" t="n">
        <x:f>IF(A401&lt;Premissas!$B$27,Premissas!$B$31/(1+Premissas!$B$41)^(Premissas!$B$27-A401),0)</x:f>
        <x:v>0</x:v>
      </x:c>
      <x:c r="P401" s="141" t="n">
        <x:f>MAX(0,H401-I401)+N401</x:f>
        <x:v>0</x:v>
      </x:c>
    </x:row>
    <x:row r="402">
      <x:c r="A402" s="142" t="n">
        <x:v>397</x:v>
      </x:c>
      <x:c r="B402" s="179" t="n">
        <x:f>EDATE(Premissas!$B$4,396)</x:f>
        <x:v>58593</x:v>
      </x:c>
      <x:c r="C402" s="180" t="n">
        <x:f>(1+Premissas!$B$26)^INT((A402-1)/12)</x:f>
        <x:v>6.840589882798459</x:v>
      </x:c>
      <x:c r="D402" s="141" t="n">
        <x:f>Premissas!$B$30*C402</x:f>
        <x:v>743093.1975736843</x:v>
      </x:c>
      <x:c r="E402" s="141" t="n">
        <x:f>IF(A402&lt;=Premissas!$B$25,Premissas!$B$32*C402,0)</x:f>
        <x:v>0</x:v>
      </x:c>
      <x:c r="F402" s="141" t="n">
        <x:f>IF(AND(A402&gt;=Premissas!$B$48,A402&lt;=Premissas!$B$27,A402-Premissas!$B$48+1&lt;=Premissas!$B$13),INDEX(Financiamento!$C$6:$C$485,A402-Premissas!$B$48+1),0)</x:f>
        <x:v>0</x:v>
      </x:c>
      <x:c r="G402" s="141" t="n">
        <x:f>IF(AND(A402&gt;=Premissas!$B$48,A402&lt;=Premissas!$B$27,A402-Premissas!$B$48+1&lt;=Premissas!$B$13),INDEX(Financiamento!$J$6:$J$485,A402-Premissas!$B$48+1),0)</x:f>
        <x:v>0</x:v>
      </x:c>
      <x:c r="H402" s="141" t="n">
        <x:f>IF(AND(A402&gt;=Premissas!$B$48,A402&lt;=Premissas!$B$27,A402-Premissas!$B$48+1&lt;=Premissas!$B$13),INDEX(Financiamento!$M$6:$M$485,A402-Premissas!$B$48+1),0)</x:f>
        <x:v>0</x:v>
      </x:c>
      <x:c r="I402" s="141" t="n">
        <x:f>IF(A402=Premissas!$B$27,MIN(D402,H402),0)</x:f>
        <x:v>0</x:v>
      </x:c>
      <x:c r="J402" s="141" t="n">
        <x:f>IF(A402=Premissas!$B$27,D402-H402,0)</x:f>
        <x:v>0</x:v>
      </x:c>
      <x:c r="K402" s="141" t="n">
        <x:f>E402+G402</x:f>
        <x:v>0</x:v>
      </x:c>
      <x:c r="L402" s="141" t="n">
        <x:f>SUM($K$6:K402)</x:f>
        <x:v>368370.4829168556</x:v>
      </x:c>
      <x:c r="M402" s="141" t="str">
        <x:f>IF(A402&lt;Premissas!$B$27,"Financiamento + consorcio",IF(A402=Premissas!$B$27,"Quitacao via carta",IF(A402&lt;=Premissas!$B$25,"Somente consorcio","Encerrado")))</x:f>
        <x:v>Encerrado</x:v>
      </x:c>
      <x:c r="N402" s="141" t="n">
        <x:f>IF(A402&gt;=Premissas!$B$25,0,(N403+E403)/(1+Premissas!$B$41))</x:f>
        <x:v>0</x:v>
      </x:c>
      <x:c r="O402" s="141" t="n">
        <x:f>IF(A402&lt;Premissas!$B$27,Premissas!$B$31/(1+Premissas!$B$41)^(Premissas!$B$27-A402),0)</x:f>
        <x:v>0</x:v>
      </x:c>
      <x:c r="P402" s="141" t="n">
        <x:f>MAX(0,H402-I402)+N402</x:f>
        <x:v>0</x:v>
      </x:c>
    </x:row>
    <x:row r="403">
      <x:c r="A403" s="142" t="n">
        <x:v>398</x:v>
      </x:c>
      <x:c r="B403" s="179" t="n">
        <x:f>EDATE(Premissas!$B$4,397)</x:f>
        <x:v>58623</x:v>
      </x:c>
      <x:c r="C403" s="180" t="n">
        <x:f>(1+Premissas!$B$26)^INT((A403-1)/12)</x:f>
        <x:v>6.840589882798459</x:v>
      </x:c>
      <x:c r="D403" s="141" t="n">
        <x:f>Premissas!$B$30*C403</x:f>
        <x:v>743093.1975736843</x:v>
      </x:c>
      <x:c r="E403" s="141" t="n">
        <x:f>IF(A403&lt;=Premissas!$B$25,Premissas!$B$32*C403,0)</x:f>
        <x:v>0</x:v>
      </x:c>
      <x:c r="F403" s="141" t="n">
        <x:f>IF(AND(A403&gt;=Premissas!$B$48,A403&lt;=Premissas!$B$27,A403-Premissas!$B$48+1&lt;=Premissas!$B$13),INDEX(Financiamento!$C$6:$C$485,A403-Premissas!$B$48+1),0)</x:f>
        <x:v>0</x:v>
      </x:c>
      <x:c r="G403" s="141" t="n">
        <x:f>IF(AND(A403&gt;=Premissas!$B$48,A403&lt;=Premissas!$B$27,A403-Premissas!$B$48+1&lt;=Premissas!$B$13),INDEX(Financiamento!$J$6:$J$485,A403-Premissas!$B$48+1),0)</x:f>
        <x:v>0</x:v>
      </x:c>
      <x:c r="H403" s="141" t="n">
        <x:f>IF(AND(A403&gt;=Premissas!$B$48,A403&lt;=Premissas!$B$27,A403-Premissas!$B$48+1&lt;=Premissas!$B$13),INDEX(Financiamento!$M$6:$M$485,A403-Premissas!$B$48+1),0)</x:f>
        <x:v>0</x:v>
      </x:c>
      <x:c r="I403" s="141" t="n">
        <x:f>IF(A403=Premissas!$B$27,MIN(D403,H403),0)</x:f>
        <x:v>0</x:v>
      </x:c>
      <x:c r="J403" s="141" t="n">
        <x:f>IF(A403=Premissas!$B$27,D403-H403,0)</x:f>
        <x:v>0</x:v>
      </x:c>
      <x:c r="K403" s="141" t="n">
        <x:f>E403+G403</x:f>
        <x:v>0</x:v>
      </x:c>
      <x:c r="L403" s="141" t="n">
        <x:f>SUM($K$6:K403)</x:f>
        <x:v>368370.4829168556</x:v>
      </x:c>
      <x:c r="M403" s="141" t="str">
        <x:f>IF(A403&lt;Premissas!$B$27,"Financiamento + consorcio",IF(A403=Premissas!$B$27,"Quitacao via carta",IF(A403&lt;=Premissas!$B$25,"Somente consorcio","Encerrado")))</x:f>
        <x:v>Encerrado</x:v>
      </x:c>
      <x:c r="N403" s="141" t="n">
        <x:f>IF(A403&gt;=Premissas!$B$25,0,(N404+E404)/(1+Premissas!$B$41))</x:f>
        <x:v>0</x:v>
      </x:c>
      <x:c r="O403" s="141" t="n">
        <x:f>IF(A403&lt;Premissas!$B$27,Premissas!$B$31/(1+Premissas!$B$41)^(Premissas!$B$27-A403),0)</x:f>
        <x:v>0</x:v>
      </x:c>
      <x:c r="P403" s="141" t="n">
        <x:f>MAX(0,H403-I403)+N403</x:f>
        <x:v>0</x:v>
      </x:c>
    </x:row>
    <x:row r="404">
      <x:c r="A404" s="142" t="n">
        <x:v>399</x:v>
      </x:c>
      <x:c r="B404" s="179" t="n">
        <x:f>EDATE(Premissas!$B$4,398)</x:f>
        <x:v>58654</x:v>
      </x:c>
      <x:c r="C404" s="180" t="n">
        <x:f>(1+Premissas!$B$26)^INT((A404-1)/12)</x:f>
        <x:v>6.840589882798459</x:v>
      </x:c>
      <x:c r="D404" s="141" t="n">
        <x:f>Premissas!$B$30*C404</x:f>
        <x:v>743093.1975736843</x:v>
      </x:c>
      <x:c r="E404" s="141" t="n">
        <x:f>IF(A404&lt;=Premissas!$B$25,Premissas!$B$32*C404,0)</x:f>
        <x:v>0</x:v>
      </x:c>
      <x:c r="F404" s="141" t="n">
        <x:f>IF(AND(A404&gt;=Premissas!$B$48,A404&lt;=Premissas!$B$27,A404-Premissas!$B$48+1&lt;=Premissas!$B$13),INDEX(Financiamento!$C$6:$C$485,A404-Premissas!$B$48+1),0)</x:f>
        <x:v>0</x:v>
      </x:c>
      <x:c r="G404" s="141" t="n">
        <x:f>IF(AND(A404&gt;=Premissas!$B$48,A404&lt;=Premissas!$B$27,A404-Premissas!$B$48+1&lt;=Premissas!$B$13),INDEX(Financiamento!$J$6:$J$485,A404-Premissas!$B$48+1),0)</x:f>
        <x:v>0</x:v>
      </x:c>
      <x:c r="H404" s="141" t="n">
        <x:f>IF(AND(A404&gt;=Premissas!$B$48,A404&lt;=Premissas!$B$27,A404-Premissas!$B$48+1&lt;=Premissas!$B$13),INDEX(Financiamento!$M$6:$M$485,A404-Premissas!$B$48+1),0)</x:f>
        <x:v>0</x:v>
      </x:c>
      <x:c r="I404" s="141" t="n">
        <x:f>IF(A404=Premissas!$B$27,MIN(D404,H404),0)</x:f>
        <x:v>0</x:v>
      </x:c>
      <x:c r="J404" s="141" t="n">
        <x:f>IF(A404=Premissas!$B$27,D404-H404,0)</x:f>
        <x:v>0</x:v>
      </x:c>
      <x:c r="K404" s="141" t="n">
        <x:f>E404+G404</x:f>
        <x:v>0</x:v>
      </x:c>
      <x:c r="L404" s="141" t="n">
        <x:f>SUM($K$6:K404)</x:f>
        <x:v>368370.4829168556</x:v>
      </x:c>
      <x:c r="M404" s="141" t="str">
        <x:f>IF(A404&lt;Premissas!$B$27,"Financiamento + consorcio",IF(A404=Premissas!$B$27,"Quitacao via carta",IF(A404&lt;=Premissas!$B$25,"Somente consorcio","Encerrado")))</x:f>
        <x:v>Encerrado</x:v>
      </x:c>
      <x:c r="N404" s="141" t="n">
        <x:f>IF(A404&gt;=Premissas!$B$25,0,(N405+E405)/(1+Premissas!$B$41))</x:f>
        <x:v>0</x:v>
      </x:c>
      <x:c r="O404" s="141" t="n">
        <x:f>IF(A404&lt;Premissas!$B$27,Premissas!$B$31/(1+Premissas!$B$41)^(Premissas!$B$27-A404),0)</x:f>
        <x:v>0</x:v>
      </x:c>
      <x:c r="P404" s="141" t="n">
        <x:f>MAX(0,H404-I404)+N404</x:f>
        <x:v>0</x:v>
      </x:c>
    </x:row>
    <x:row r="405">
      <x:c r="A405" s="142" t="n">
        <x:v>400</x:v>
      </x:c>
      <x:c r="B405" s="179" t="n">
        <x:f>EDATE(Premissas!$B$4,399)</x:f>
        <x:v>58685</x:v>
      </x:c>
      <x:c r="C405" s="180" t="n">
        <x:f>(1+Premissas!$B$26)^INT((A405-1)/12)</x:f>
        <x:v>6.840589882798459</x:v>
      </x:c>
      <x:c r="D405" s="141" t="n">
        <x:f>Premissas!$B$30*C405</x:f>
        <x:v>743093.1975736843</x:v>
      </x:c>
      <x:c r="E405" s="141" t="n">
        <x:f>IF(A405&lt;=Premissas!$B$25,Premissas!$B$32*C405,0)</x:f>
        <x:v>0</x:v>
      </x:c>
      <x:c r="F405" s="141" t="n">
        <x:f>IF(AND(A405&gt;=Premissas!$B$48,A405&lt;=Premissas!$B$27,A405-Premissas!$B$48+1&lt;=Premissas!$B$13),INDEX(Financiamento!$C$6:$C$485,A405-Premissas!$B$48+1),0)</x:f>
        <x:v>0</x:v>
      </x:c>
      <x:c r="G405" s="141" t="n">
        <x:f>IF(AND(A405&gt;=Premissas!$B$48,A405&lt;=Premissas!$B$27,A405-Premissas!$B$48+1&lt;=Premissas!$B$13),INDEX(Financiamento!$J$6:$J$485,A405-Premissas!$B$48+1),0)</x:f>
        <x:v>0</x:v>
      </x:c>
      <x:c r="H405" s="141" t="n">
        <x:f>IF(AND(A405&gt;=Premissas!$B$48,A405&lt;=Premissas!$B$27,A405-Premissas!$B$48+1&lt;=Premissas!$B$13),INDEX(Financiamento!$M$6:$M$485,A405-Premissas!$B$48+1),0)</x:f>
        <x:v>0</x:v>
      </x:c>
      <x:c r="I405" s="141" t="n">
        <x:f>IF(A405=Premissas!$B$27,MIN(D405,H405),0)</x:f>
        <x:v>0</x:v>
      </x:c>
      <x:c r="J405" s="141" t="n">
        <x:f>IF(A405=Premissas!$B$27,D405-H405,0)</x:f>
        <x:v>0</x:v>
      </x:c>
      <x:c r="K405" s="141" t="n">
        <x:f>E405+G405</x:f>
        <x:v>0</x:v>
      </x:c>
      <x:c r="L405" s="141" t="n">
        <x:f>SUM($K$6:K405)</x:f>
        <x:v>368370.4829168556</x:v>
      </x:c>
      <x:c r="M405" s="141" t="str">
        <x:f>IF(A405&lt;Premissas!$B$27,"Financiamento + consorcio",IF(A405=Premissas!$B$27,"Quitacao via carta",IF(A405&lt;=Premissas!$B$25,"Somente consorcio","Encerrado")))</x:f>
        <x:v>Encerrado</x:v>
      </x:c>
      <x:c r="N405" s="141" t="n">
        <x:f>IF(A405&gt;=Premissas!$B$25,0,(N406+E406)/(1+Premissas!$B$41))</x:f>
        <x:v>0</x:v>
      </x:c>
      <x:c r="O405" s="141" t="n">
        <x:f>IF(A405&lt;Premissas!$B$27,Premissas!$B$31/(1+Premissas!$B$41)^(Premissas!$B$27-A405),0)</x:f>
        <x:v>0</x:v>
      </x:c>
      <x:c r="P405" s="141" t="n">
        <x:f>MAX(0,H405-I405)+N405</x:f>
        <x:v>0</x:v>
      </x:c>
    </x:row>
    <x:row r="406">
      <x:c r="A406" s="142" t="n">
        <x:v>401</x:v>
      </x:c>
      <x:c r="B406" s="179" t="n">
        <x:f>EDATE(Premissas!$B$4,400)</x:f>
        <x:v>58715</x:v>
      </x:c>
      <x:c r="C406" s="180" t="n">
        <x:f>(1+Premissas!$B$26)^INT((A406-1)/12)</x:f>
        <x:v>6.840589882798459</x:v>
      </x:c>
      <x:c r="D406" s="141" t="n">
        <x:f>Premissas!$B$30*C406</x:f>
        <x:v>743093.1975736843</x:v>
      </x:c>
      <x:c r="E406" s="141" t="n">
        <x:f>IF(A406&lt;=Premissas!$B$25,Premissas!$B$32*C406,0)</x:f>
        <x:v>0</x:v>
      </x:c>
      <x:c r="F406" s="141" t="n">
        <x:f>IF(AND(A406&gt;=Premissas!$B$48,A406&lt;=Premissas!$B$27,A406-Premissas!$B$48+1&lt;=Premissas!$B$13),INDEX(Financiamento!$C$6:$C$485,A406-Premissas!$B$48+1),0)</x:f>
        <x:v>0</x:v>
      </x:c>
      <x:c r="G406" s="141" t="n">
        <x:f>IF(AND(A406&gt;=Premissas!$B$48,A406&lt;=Premissas!$B$27,A406-Premissas!$B$48+1&lt;=Premissas!$B$13),INDEX(Financiamento!$J$6:$J$485,A406-Premissas!$B$48+1),0)</x:f>
        <x:v>0</x:v>
      </x:c>
      <x:c r="H406" s="141" t="n">
        <x:f>IF(AND(A406&gt;=Premissas!$B$48,A406&lt;=Premissas!$B$27,A406-Premissas!$B$48+1&lt;=Premissas!$B$13),INDEX(Financiamento!$M$6:$M$485,A406-Premissas!$B$48+1),0)</x:f>
        <x:v>0</x:v>
      </x:c>
      <x:c r="I406" s="141" t="n">
        <x:f>IF(A406=Premissas!$B$27,MIN(D406,H406),0)</x:f>
        <x:v>0</x:v>
      </x:c>
      <x:c r="J406" s="141" t="n">
        <x:f>IF(A406=Premissas!$B$27,D406-H406,0)</x:f>
        <x:v>0</x:v>
      </x:c>
      <x:c r="K406" s="141" t="n">
        <x:f>E406+G406</x:f>
        <x:v>0</x:v>
      </x:c>
      <x:c r="L406" s="141" t="n">
        <x:f>SUM($K$6:K406)</x:f>
        <x:v>368370.4829168556</x:v>
      </x:c>
      <x:c r="M406" s="141" t="str">
        <x:f>IF(A406&lt;Premissas!$B$27,"Financiamento + consorcio",IF(A406=Premissas!$B$27,"Quitacao via carta",IF(A406&lt;=Premissas!$B$25,"Somente consorcio","Encerrado")))</x:f>
        <x:v>Encerrado</x:v>
      </x:c>
      <x:c r="N406" s="141" t="n">
        <x:f>IF(A406&gt;=Premissas!$B$25,0,(N407+E407)/(1+Premissas!$B$41))</x:f>
        <x:v>0</x:v>
      </x:c>
      <x:c r="O406" s="141" t="n">
        <x:f>IF(A406&lt;Premissas!$B$27,Premissas!$B$31/(1+Premissas!$B$41)^(Premissas!$B$27-A406),0)</x:f>
        <x:v>0</x:v>
      </x:c>
      <x:c r="P406" s="141" t="n">
        <x:f>MAX(0,H406-I406)+N406</x:f>
        <x:v>0</x:v>
      </x:c>
    </x:row>
    <x:row r="407">
      <x:c r="A407" s="142" t="n">
        <x:v>402</x:v>
      </x:c>
      <x:c r="B407" s="179" t="n">
        <x:f>EDATE(Premissas!$B$4,401)</x:f>
        <x:v>58746</x:v>
      </x:c>
      <x:c r="C407" s="180" t="n">
        <x:f>(1+Premissas!$B$26)^INT((A407-1)/12)</x:f>
        <x:v>6.840589882798459</x:v>
      </x:c>
      <x:c r="D407" s="141" t="n">
        <x:f>Premissas!$B$30*C407</x:f>
        <x:v>743093.1975736843</x:v>
      </x:c>
      <x:c r="E407" s="141" t="n">
        <x:f>IF(A407&lt;=Premissas!$B$25,Premissas!$B$32*C407,0)</x:f>
        <x:v>0</x:v>
      </x:c>
      <x:c r="F407" s="141" t="n">
        <x:f>IF(AND(A407&gt;=Premissas!$B$48,A407&lt;=Premissas!$B$27,A407-Premissas!$B$48+1&lt;=Premissas!$B$13),INDEX(Financiamento!$C$6:$C$485,A407-Premissas!$B$48+1),0)</x:f>
        <x:v>0</x:v>
      </x:c>
      <x:c r="G407" s="141" t="n">
        <x:f>IF(AND(A407&gt;=Premissas!$B$48,A407&lt;=Premissas!$B$27,A407-Premissas!$B$48+1&lt;=Premissas!$B$13),INDEX(Financiamento!$J$6:$J$485,A407-Premissas!$B$48+1),0)</x:f>
        <x:v>0</x:v>
      </x:c>
      <x:c r="H407" s="141" t="n">
        <x:f>IF(AND(A407&gt;=Premissas!$B$48,A407&lt;=Premissas!$B$27,A407-Premissas!$B$48+1&lt;=Premissas!$B$13),INDEX(Financiamento!$M$6:$M$485,A407-Premissas!$B$48+1),0)</x:f>
        <x:v>0</x:v>
      </x:c>
      <x:c r="I407" s="141" t="n">
        <x:f>IF(A407=Premissas!$B$27,MIN(D407,H407),0)</x:f>
        <x:v>0</x:v>
      </x:c>
      <x:c r="J407" s="141" t="n">
        <x:f>IF(A407=Premissas!$B$27,D407-H407,0)</x:f>
        <x:v>0</x:v>
      </x:c>
      <x:c r="K407" s="141" t="n">
        <x:f>E407+G407</x:f>
        <x:v>0</x:v>
      </x:c>
      <x:c r="L407" s="141" t="n">
        <x:f>SUM($K$6:K407)</x:f>
        <x:v>368370.4829168556</x:v>
      </x:c>
      <x:c r="M407" s="141" t="str">
        <x:f>IF(A407&lt;Premissas!$B$27,"Financiamento + consorcio",IF(A407=Premissas!$B$27,"Quitacao via carta",IF(A407&lt;=Premissas!$B$25,"Somente consorcio","Encerrado")))</x:f>
        <x:v>Encerrado</x:v>
      </x:c>
      <x:c r="N407" s="141" t="n">
        <x:f>IF(A407&gt;=Premissas!$B$25,0,(N408+E408)/(1+Premissas!$B$41))</x:f>
        <x:v>0</x:v>
      </x:c>
      <x:c r="O407" s="141" t="n">
        <x:f>IF(A407&lt;Premissas!$B$27,Premissas!$B$31/(1+Premissas!$B$41)^(Premissas!$B$27-A407),0)</x:f>
        <x:v>0</x:v>
      </x:c>
      <x:c r="P407" s="141" t="n">
        <x:f>MAX(0,H407-I407)+N407</x:f>
        <x:v>0</x:v>
      </x:c>
    </x:row>
    <x:row r="408">
      <x:c r="A408" s="142" t="n">
        <x:v>403</x:v>
      </x:c>
      <x:c r="B408" s="179" t="n">
        <x:f>EDATE(Premissas!$B$4,402)</x:f>
        <x:v>58776</x:v>
      </x:c>
      <x:c r="C408" s="180" t="n">
        <x:f>(1+Premissas!$B$26)^INT((A408-1)/12)</x:f>
        <x:v>6.840589882798459</x:v>
      </x:c>
      <x:c r="D408" s="141" t="n">
        <x:f>Premissas!$B$30*C408</x:f>
        <x:v>743093.1975736843</x:v>
      </x:c>
      <x:c r="E408" s="141" t="n">
        <x:f>IF(A408&lt;=Premissas!$B$25,Premissas!$B$32*C408,0)</x:f>
        <x:v>0</x:v>
      </x:c>
      <x:c r="F408" s="141" t="n">
        <x:f>IF(AND(A408&gt;=Premissas!$B$48,A408&lt;=Premissas!$B$27,A408-Premissas!$B$48+1&lt;=Premissas!$B$13),INDEX(Financiamento!$C$6:$C$485,A408-Premissas!$B$48+1),0)</x:f>
        <x:v>0</x:v>
      </x:c>
      <x:c r="G408" s="141" t="n">
        <x:f>IF(AND(A408&gt;=Premissas!$B$48,A408&lt;=Premissas!$B$27,A408-Premissas!$B$48+1&lt;=Premissas!$B$13),INDEX(Financiamento!$J$6:$J$485,A408-Premissas!$B$48+1),0)</x:f>
        <x:v>0</x:v>
      </x:c>
      <x:c r="H408" s="141" t="n">
        <x:f>IF(AND(A408&gt;=Premissas!$B$48,A408&lt;=Premissas!$B$27,A408-Premissas!$B$48+1&lt;=Premissas!$B$13),INDEX(Financiamento!$M$6:$M$485,A408-Premissas!$B$48+1),0)</x:f>
        <x:v>0</x:v>
      </x:c>
      <x:c r="I408" s="141" t="n">
        <x:f>IF(A408=Premissas!$B$27,MIN(D408,H408),0)</x:f>
        <x:v>0</x:v>
      </x:c>
      <x:c r="J408" s="141" t="n">
        <x:f>IF(A408=Premissas!$B$27,D408-H408,0)</x:f>
        <x:v>0</x:v>
      </x:c>
      <x:c r="K408" s="141" t="n">
        <x:f>E408+G408</x:f>
        <x:v>0</x:v>
      </x:c>
      <x:c r="L408" s="141" t="n">
        <x:f>SUM($K$6:K408)</x:f>
        <x:v>368370.4829168556</x:v>
      </x:c>
      <x:c r="M408" s="141" t="str">
        <x:f>IF(A408&lt;Premissas!$B$27,"Financiamento + consorcio",IF(A408=Premissas!$B$27,"Quitacao via carta",IF(A408&lt;=Premissas!$B$25,"Somente consorcio","Encerrado")))</x:f>
        <x:v>Encerrado</x:v>
      </x:c>
      <x:c r="N408" s="141" t="n">
        <x:f>IF(A408&gt;=Premissas!$B$25,0,(N409+E409)/(1+Premissas!$B$41))</x:f>
        <x:v>0</x:v>
      </x:c>
      <x:c r="O408" s="141" t="n">
        <x:f>IF(A408&lt;Premissas!$B$27,Premissas!$B$31/(1+Premissas!$B$41)^(Premissas!$B$27-A408),0)</x:f>
        <x:v>0</x:v>
      </x:c>
      <x:c r="P408" s="141" t="n">
        <x:f>MAX(0,H408-I408)+N408</x:f>
        <x:v>0</x:v>
      </x:c>
    </x:row>
    <x:row r="409">
      <x:c r="A409" s="142" t="n">
        <x:v>404</x:v>
      </x:c>
      <x:c r="B409" s="179" t="n">
        <x:f>EDATE(Premissas!$B$4,403)</x:f>
        <x:v>58807</x:v>
      </x:c>
      <x:c r="C409" s="180" t="n">
        <x:f>(1+Premissas!$B$26)^INT((A409-1)/12)</x:f>
        <x:v>6.840589882798459</x:v>
      </x:c>
      <x:c r="D409" s="141" t="n">
        <x:f>Premissas!$B$30*C409</x:f>
        <x:v>743093.1975736843</x:v>
      </x:c>
      <x:c r="E409" s="141" t="n">
        <x:f>IF(A409&lt;=Premissas!$B$25,Premissas!$B$32*C409,0)</x:f>
        <x:v>0</x:v>
      </x:c>
      <x:c r="F409" s="141" t="n">
        <x:f>IF(AND(A409&gt;=Premissas!$B$48,A409&lt;=Premissas!$B$27,A409-Premissas!$B$48+1&lt;=Premissas!$B$13),INDEX(Financiamento!$C$6:$C$485,A409-Premissas!$B$48+1),0)</x:f>
        <x:v>0</x:v>
      </x:c>
      <x:c r="G409" s="141" t="n">
        <x:f>IF(AND(A409&gt;=Premissas!$B$48,A409&lt;=Premissas!$B$27,A409-Premissas!$B$48+1&lt;=Premissas!$B$13),INDEX(Financiamento!$J$6:$J$485,A409-Premissas!$B$48+1),0)</x:f>
        <x:v>0</x:v>
      </x:c>
      <x:c r="H409" s="141" t="n">
        <x:f>IF(AND(A409&gt;=Premissas!$B$48,A409&lt;=Premissas!$B$27,A409-Premissas!$B$48+1&lt;=Premissas!$B$13),INDEX(Financiamento!$M$6:$M$485,A409-Premissas!$B$48+1),0)</x:f>
        <x:v>0</x:v>
      </x:c>
      <x:c r="I409" s="141" t="n">
        <x:f>IF(A409=Premissas!$B$27,MIN(D409,H409),0)</x:f>
        <x:v>0</x:v>
      </x:c>
      <x:c r="J409" s="141" t="n">
        <x:f>IF(A409=Premissas!$B$27,D409-H409,0)</x:f>
        <x:v>0</x:v>
      </x:c>
      <x:c r="K409" s="141" t="n">
        <x:f>E409+G409</x:f>
        <x:v>0</x:v>
      </x:c>
      <x:c r="L409" s="141" t="n">
        <x:f>SUM($K$6:K409)</x:f>
        <x:v>368370.4829168556</x:v>
      </x:c>
      <x:c r="M409" s="141" t="str">
        <x:f>IF(A409&lt;Premissas!$B$27,"Financiamento + consorcio",IF(A409=Premissas!$B$27,"Quitacao via carta",IF(A409&lt;=Premissas!$B$25,"Somente consorcio","Encerrado")))</x:f>
        <x:v>Encerrado</x:v>
      </x:c>
      <x:c r="N409" s="141" t="n">
        <x:f>IF(A409&gt;=Premissas!$B$25,0,(N410+E410)/(1+Premissas!$B$41))</x:f>
        <x:v>0</x:v>
      </x:c>
      <x:c r="O409" s="141" t="n">
        <x:f>IF(A409&lt;Premissas!$B$27,Premissas!$B$31/(1+Premissas!$B$41)^(Premissas!$B$27-A409),0)</x:f>
        <x:v>0</x:v>
      </x:c>
      <x:c r="P409" s="141" t="n">
        <x:f>MAX(0,H409-I409)+N409</x:f>
        <x:v>0</x:v>
      </x:c>
    </x:row>
    <x:row r="410">
      <x:c r="A410" s="142" t="n">
        <x:v>405</x:v>
      </x:c>
      <x:c r="B410" s="179" t="n">
        <x:f>EDATE(Premissas!$B$4,404)</x:f>
        <x:v>58838</x:v>
      </x:c>
      <x:c r="C410" s="180" t="n">
        <x:f>(1+Premissas!$B$26)^INT((A410-1)/12)</x:f>
        <x:v>6.840589882798459</x:v>
      </x:c>
      <x:c r="D410" s="141" t="n">
        <x:f>Premissas!$B$30*C410</x:f>
        <x:v>743093.1975736843</x:v>
      </x:c>
      <x:c r="E410" s="141" t="n">
        <x:f>IF(A410&lt;=Premissas!$B$25,Premissas!$B$32*C410,0)</x:f>
        <x:v>0</x:v>
      </x:c>
      <x:c r="F410" s="141" t="n">
        <x:f>IF(AND(A410&gt;=Premissas!$B$48,A410&lt;=Premissas!$B$27,A410-Premissas!$B$48+1&lt;=Premissas!$B$13),INDEX(Financiamento!$C$6:$C$485,A410-Premissas!$B$48+1),0)</x:f>
        <x:v>0</x:v>
      </x:c>
      <x:c r="G410" s="141" t="n">
        <x:f>IF(AND(A410&gt;=Premissas!$B$48,A410&lt;=Premissas!$B$27,A410-Premissas!$B$48+1&lt;=Premissas!$B$13),INDEX(Financiamento!$J$6:$J$485,A410-Premissas!$B$48+1),0)</x:f>
        <x:v>0</x:v>
      </x:c>
      <x:c r="H410" s="141" t="n">
        <x:f>IF(AND(A410&gt;=Premissas!$B$48,A410&lt;=Premissas!$B$27,A410-Premissas!$B$48+1&lt;=Premissas!$B$13),INDEX(Financiamento!$M$6:$M$485,A410-Premissas!$B$48+1),0)</x:f>
        <x:v>0</x:v>
      </x:c>
      <x:c r="I410" s="141" t="n">
        <x:f>IF(A410=Premissas!$B$27,MIN(D410,H410),0)</x:f>
        <x:v>0</x:v>
      </x:c>
      <x:c r="J410" s="141" t="n">
        <x:f>IF(A410=Premissas!$B$27,D410-H410,0)</x:f>
        <x:v>0</x:v>
      </x:c>
      <x:c r="K410" s="141" t="n">
        <x:f>E410+G410</x:f>
        <x:v>0</x:v>
      </x:c>
      <x:c r="L410" s="141" t="n">
        <x:f>SUM($K$6:K410)</x:f>
        <x:v>368370.4829168556</x:v>
      </x:c>
      <x:c r="M410" s="141" t="str">
        <x:f>IF(A410&lt;Premissas!$B$27,"Financiamento + consorcio",IF(A410=Premissas!$B$27,"Quitacao via carta",IF(A410&lt;=Premissas!$B$25,"Somente consorcio","Encerrado")))</x:f>
        <x:v>Encerrado</x:v>
      </x:c>
      <x:c r="N410" s="141" t="n">
        <x:f>IF(A410&gt;=Premissas!$B$25,0,(N411+E411)/(1+Premissas!$B$41))</x:f>
        <x:v>0</x:v>
      </x:c>
      <x:c r="O410" s="141" t="n">
        <x:f>IF(A410&lt;Premissas!$B$27,Premissas!$B$31/(1+Premissas!$B$41)^(Premissas!$B$27-A410),0)</x:f>
        <x:v>0</x:v>
      </x:c>
      <x:c r="P410" s="141" t="n">
        <x:f>MAX(0,H410-I410)+N410</x:f>
        <x:v>0</x:v>
      </x:c>
    </x:row>
    <x:row r="411">
      <x:c r="A411" s="142" t="n">
        <x:v>406</x:v>
      </x:c>
      <x:c r="B411" s="179" t="n">
        <x:f>EDATE(Premissas!$B$4,405)</x:f>
        <x:v>58866</x:v>
      </x:c>
      <x:c r="C411" s="180" t="n">
        <x:f>(1+Premissas!$B$26)^INT((A411-1)/12)</x:f>
        <x:v>6.840589882798459</x:v>
      </x:c>
      <x:c r="D411" s="141" t="n">
        <x:f>Premissas!$B$30*C411</x:f>
        <x:v>743093.1975736843</x:v>
      </x:c>
      <x:c r="E411" s="141" t="n">
        <x:f>IF(A411&lt;=Premissas!$B$25,Premissas!$B$32*C411,0)</x:f>
        <x:v>0</x:v>
      </x:c>
      <x:c r="F411" s="141" t="n">
        <x:f>IF(AND(A411&gt;=Premissas!$B$48,A411&lt;=Premissas!$B$27,A411-Premissas!$B$48+1&lt;=Premissas!$B$13),INDEX(Financiamento!$C$6:$C$485,A411-Premissas!$B$48+1),0)</x:f>
        <x:v>0</x:v>
      </x:c>
      <x:c r="G411" s="141" t="n">
        <x:f>IF(AND(A411&gt;=Premissas!$B$48,A411&lt;=Premissas!$B$27,A411-Premissas!$B$48+1&lt;=Premissas!$B$13),INDEX(Financiamento!$J$6:$J$485,A411-Premissas!$B$48+1),0)</x:f>
        <x:v>0</x:v>
      </x:c>
      <x:c r="H411" s="141" t="n">
        <x:f>IF(AND(A411&gt;=Premissas!$B$48,A411&lt;=Premissas!$B$27,A411-Premissas!$B$48+1&lt;=Premissas!$B$13),INDEX(Financiamento!$M$6:$M$485,A411-Premissas!$B$48+1),0)</x:f>
        <x:v>0</x:v>
      </x:c>
      <x:c r="I411" s="141" t="n">
        <x:f>IF(A411=Premissas!$B$27,MIN(D411,H411),0)</x:f>
        <x:v>0</x:v>
      </x:c>
      <x:c r="J411" s="141" t="n">
        <x:f>IF(A411=Premissas!$B$27,D411-H411,0)</x:f>
        <x:v>0</x:v>
      </x:c>
      <x:c r="K411" s="141" t="n">
        <x:f>E411+G411</x:f>
        <x:v>0</x:v>
      </x:c>
      <x:c r="L411" s="141" t="n">
        <x:f>SUM($K$6:K411)</x:f>
        <x:v>368370.4829168556</x:v>
      </x:c>
      <x:c r="M411" s="141" t="str">
        <x:f>IF(A411&lt;Premissas!$B$27,"Financiamento + consorcio",IF(A411=Premissas!$B$27,"Quitacao via carta",IF(A411&lt;=Premissas!$B$25,"Somente consorcio","Encerrado")))</x:f>
        <x:v>Encerrado</x:v>
      </x:c>
      <x:c r="N411" s="141" t="n">
        <x:f>IF(A411&gt;=Premissas!$B$25,0,(N412+E412)/(1+Premissas!$B$41))</x:f>
        <x:v>0</x:v>
      </x:c>
      <x:c r="O411" s="141" t="n">
        <x:f>IF(A411&lt;Premissas!$B$27,Premissas!$B$31/(1+Premissas!$B$41)^(Premissas!$B$27-A411),0)</x:f>
        <x:v>0</x:v>
      </x:c>
      <x:c r="P411" s="141" t="n">
        <x:f>MAX(0,H411-I411)+N411</x:f>
        <x:v>0</x:v>
      </x:c>
    </x:row>
    <x:row r="412">
      <x:c r="A412" s="142" t="n">
        <x:v>407</x:v>
      </x:c>
      <x:c r="B412" s="179" t="n">
        <x:f>EDATE(Premissas!$B$4,406)</x:f>
        <x:v>58897</x:v>
      </x:c>
      <x:c r="C412" s="180" t="n">
        <x:f>(1+Premissas!$B$26)^INT((A412-1)/12)</x:f>
        <x:v>6.840589882798459</x:v>
      </x:c>
      <x:c r="D412" s="141" t="n">
        <x:f>Premissas!$B$30*C412</x:f>
        <x:v>743093.1975736843</x:v>
      </x:c>
      <x:c r="E412" s="141" t="n">
        <x:f>IF(A412&lt;=Premissas!$B$25,Premissas!$B$32*C412,0)</x:f>
        <x:v>0</x:v>
      </x:c>
      <x:c r="F412" s="141" t="n">
        <x:f>IF(AND(A412&gt;=Premissas!$B$48,A412&lt;=Premissas!$B$27,A412-Premissas!$B$48+1&lt;=Premissas!$B$13),INDEX(Financiamento!$C$6:$C$485,A412-Premissas!$B$48+1),0)</x:f>
        <x:v>0</x:v>
      </x:c>
      <x:c r="G412" s="141" t="n">
        <x:f>IF(AND(A412&gt;=Premissas!$B$48,A412&lt;=Premissas!$B$27,A412-Premissas!$B$48+1&lt;=Premissas!$B$13),INDEX(Financiamento!$J$6:$J$485,A412-Premissas!$B$48+1),0)</x:f>
        <x:v>0</x:v>
      </x:c>
      <x:c r="H412" s="141" t="n">
        <x:f>IF(AND(A412&gt;=Premissas!$B$48,A412&lt;=Premissas!$B$27,A412-Premissas!$B$48+1&lt;=Premissas!$B$13),INDEX(Financiamento!$M$6:$M$485,A412-Premissas!$B$48+1),0)</x:f>
        <x:v>0</x:v>
      </x:c>
      <x:c r="I412" s="141" t="n">
        <x:f>IF(A412=Premissas!$B$27,MIN(D412,H412),0)</x:f>
        <x:v>0</x:v>
      </x:c>
      <x:c r="J412" s="141" t="n">
        <x:f>IF(A412=Premissas!$B$27,D412-H412,0)</x:f>
        <x:v>0</x:v>
      </x:c>
      <x:c r="K412" s="141" t="n">
        <x:f>E412+G412</x:f>
        <x:v>0</x:v>
      </x:c>
      <x:c r="L412" s="141" t="n">
        <x:f>SUM($K$6:K412)</x:f>
        <x:v>368370.4829168556</x:v>
      </x:c>
      <x:c r="M412" s="141" t="str">
        <x:f>IF(A412&lt;Premissas!$B$27,"Financiamento + consorcio",IF(A412=Premissas!$B$27,"Quitacao via carta",IF(A412&lt;=Premissas!$B$25,"Somente consorcio","Encerrado")))</x:f>
        <x:v>Encerrado</x:v>
      </x:c>
      <x:c r="N412" s="141" t="n">
        <x:f>IF(A412&gt;=Premissas!$B$25,0,(N413+E413)/(1+Premissas!$B$41))</x:f>
        <x:v>0</x:v>
      </x:c>
      <x:c r="O412" s="141" t="n">
        <x:f>IF(A412&lt;Premissas!$B$27,Premissas!$B$31/(1+Premissas!$B$41)^(Premissas!$B$27-A412),0)</x:f>
        <x:v>0</x:v>
      </x:c>
      <x:c r="P412" s="141" t="n">
        <x:f>MAX(0,H412-I412)+N412</x:f>
        <x:v>0</x:v>
      </x:c>
    </x:row>
    <x:row r="413">
      <x:c r="A413" s="142" t="n">
        <x:v>408</x:v>
      </x:c>
      <x:c r="B413" s="179" t="n">
        <x:f>EDATE(Premissas!$B$4,407)</x:f>
        <x:v>58927</x:v>
      </x:c>
      <x:c r="C413" s="180" t="n">
        <x:f>(1+Premissas!$B$26)^INT((A413-1)/12)</x:f>
        <x:v>6.840589882798459</x:v>
      </x:c>
      <x:c r="D413" s="141" t="n">
        <x:f>Premissas!$B$30*C413</x:f>
        <x:v>743093.1975736843</x:v>
      </x:c>
      <x:c r="E413" s="141" t="n">
        <x:f>IF(A413&lt;=Premissas!$B$25,Premissas!$B$32*C413,0)</x:f>
        <x:v>0</x:v>
      </x:c>
      <x:c r="F413" s="141" t="n">
        <x:f>IF(AND(A413&gt;=Premissas!$B$48,A413&lt;=Premissas!$B$27,A413-Premissas!$B$48+1&lt;=Premissas!$B$13),INDEX(Financiamento!$C$6:$C$485,A413-Premissas!$B$48+1),0)</x:f>
        <x:v>0</x:v>
      </x:c>
      <x:c r="G413" s="141" t="n">
        <x:f>IF(AND(A413&gt;=Premissas!$B$48,A413&lt;=Premissas!$B$27,A413-Premissas!$B$48+1&lt;=Premissas!$B$13),INDEX(Financiamento!$J$6:$J$485,A413-Premissas!$B$48+1),0)</x:f>
        <x:v>0</x:v>
      </x:c>
      <x:c r="H413" s="141" t="n">
        <x:f>IF(AND(A413&gt;=Premissas!$B$48,A413&lt;=Premissas!$B$27,A413-Premissas!$B$48+1&lt;=Premissas!$B$13),INDEX(Financiamento!$M$6:$M$485,A413-Premissas!$B$48+1),0)</x:f>
        <x:v>0</x:v>
      </x:c>
      <x:c r="I413" s="141" t="n">
        <x:f>IF(A413=Premissas!$B$27,MIN(D413,H413),0)</x:f>
        <x:v>0</x:v>
      </x:c>
      <x:c r="J413" s="141" t="n">
        <x:f>IF(A413=Premissas!$B$27,D413-H413,0)</x:f>
        <x:v>0</x:v>
      </x:c>
      <x:c r="K413" s="141" t="n">
        <x:f>E413+G413</x:f>
        <x:v>0</x:v>
      </x:c>
      <x:c r="L413" s="141" t="n">
        <x:f>SUM($K$6:K413)</x:f>
        <x:v>368370.4829168556</x:v>
      </x:c>
      <x:c r="M413" s="141" t="str">
        <x:f>IF(A413&lt;Premissas!$B$27,"Financiamento + consorcio",IF(A413=Premissas!$B$27,"Quitacao via carta",IF(A413&lt;=Premissas!$B$25,"Somente consorcio","Encerrado")))</x:f>
        <x:v>Encerrado</x:v>
      </x:c>
      <x:c r="N413" s="141" t="n">
        <x:f>IF(A413&gt;=Premissas!$B$25,0,(N414+E414)/(1+Premissas!$B$41))</x:f>
        <x:v>0</x:v>
      </x:c>
      <x:c r="O413" s="141" t="n">
        <x:f>IF(A413&lt;Premissas!$B$27,Premissas!$B$31/(1+Premissas!$B$41)^(Premissas!$B$27-A413),0)</x:f>
        <x:v>0</x:v>
      </x:c>
      <x:c r="P413" s="141" t="n">
        <x:f>MAX(0,H413-I413)+N413</x:f>
        <x:v>0</x:v>
      </x:c>
    </x:row>
    <x:row r="414">
      <x:c r="A414" s="142" t="n">
        <x:v>409</x:v>
      </x:c>
      <x:c r="B414" s="179" t="n">
        <x:f>EDATE(Premissas!$B$4,408)</x:f>
        <x:v>58958</x:v>
      </x:c>
      <x:c r="C414" s="180" t="n">
        <x:f>(1+Premissas!$B$26)^INT((A414-1)/12)</x:f>
        <x:v>7.2510252757663665</x:v>
      </x:c>
      <x:c r="D414" s="141" t="n">
        <x:f>Premissas!$B$30*C414</x:f>
        <x:v>787678.7894281053</x:v>
      </x:c>
      <x:c r="E414" s="141" t="n">
        <x:f>IF(A414&lt;=Premissas!$B$25,Premissas!$B$32*C414,0)</x:f>
        <x:v>0</x:v>
      </x:c>
      <x:c r="F414" s="141" t="n">
        <x:f>IF(AND(A414&gt;=Premissas!$B$48,A414&lt;=Premissas!$B$27,A414-Premissas!$B$48+1&lt;=Premissas!$B$13),INDEX(Financiamento!$C$6:$C$485,A414-Premissas!$B$48+1),0)</x:f>
        <x:v>0</x:v>
      </x:c>
      <x:c r="G414" s="141" t="n">
        <x:f>IF(AND(A414&gt;=Premissas!$B$48,A414&lt;=Premissas!$B$27,A414-Premissas!$B$48+1&lt;=Premissas!$B$13),INDEX(Financiamento!$J$6:$J$485,A414-Premissas!$B$48+1),0)</x:f>
        <x:v>0</x:v>
      </x:c>
      <x:c r="H414" s="141" t="n">
        <x:f>IF(AND(A414&gt;=Premissas!$B$48,A414&lt;=Premissas!$B$27,A414-Premissas!$B$48+1&lt;=Premissas!$B$13),INDEX(Financiamento!$M$6:$M$485,A414-Premissas!$B$48+1),0)</x:f>
        <x:v>0</x:v>
      </x:c>
      <x:c r="I414" s="141" t="n">
        <x:f>IF(A414=Premissas!$B$27,MIN(D414,H414),0)</x:f>
        <x:v>0</x:v>
      </x:c>
      <x:c r="J414" s="141" t="n">
        <x:f>IF(A414=Premissas!$B$27,D414-H414,0)</x:f>
        <x:v>0</x:v>
      </x:c>
      <x:c r="K414" s="141" t="n">
        <x:f>E414+G414</x:f>
        <x:v>0</x:v>
      </x:c>
      <x:c r="L414" s="141" t="n">
        <x:f>SUM($K$6:K414)</x:f>
        <x:v>368370.4829168556</x:v>
      </x:c>
      <x:c r="M414" s="141" t="str">
        <x:f>IF(A414&lt;Premissas!$B$27,"Financiamento + consorcio",IF(A414=Premissas!$B$27,"Quitacao via carta",IF(A414&lt;=Premissas!$B$25,"Somente consorcio","Encerrado")))</x:f>
        <x:v>Encerrado</x:v>
      </x:c>
      <x:c r="N414" s="141" t="n">
        <x:f>IF(A414&gt;=Premissas!$B$25,0,(N415+E415)/(1+Premissas!$B$41))</x:f>
        <x:v>0</x:v>
      </x:c>
      <x:c r="O414" s="141" t="n">
        <x:f>IF(A414&lt;Premissas!$B$27,Premissas!$B$31/(1+Premissas!$B$41)^(Premissas!$B$27-A414),0)</x:f>
        <x:v>0</x:v>
      </x:c>
      <x:c r="P414" s="141" t="n">
        <x:f>MAX(0,H414-I414)+N414</x:f>
        <x:v>0</x:v>
      </x:c>
    </x:row>
    <x:row r="415">
      <x:c r="A415" s="142" t="n">
        <x:v>410</x:v>
      </x:c>
      <x:c r="B415" s="179" t="n">
        <x:f>EDATE(Premissas!$B$4,409)</x:f>
        <x:v>58988</x:v>
      </x:c>
      <x:c r="C415" s="180" t="n">
        <x:f>(1+Premissas!$B$26)^INT((A415-1)/12)</x:f>
        <x:v>7.2510252757663665</x:v>
      </x:c>
      <x:c r="D415" s="141" t="n">
        <x:f>Premissas!$B$30*C415</x:f>
        <x:v>787678.7894281053</x:v>
      </x:c>
      <x:c r="E415" s="141" t="n">
        <x:f>IF(A415&lt;=Premissas!$B$25,Premissas!$B$32*C415,0)</x:f>
        <x:v>0</x:v>
      </x:c>
      <x:c r="F415" s="141" t="n">
        <x:f>IF(AND(A415&gt;=Premissas!$B$48,A415&lt;=Premissas!$B$27,A415-Premissas!$B$48+1&lt;=Premissas!$B$13),INDEX(Financiamento!$C$6:$C$485,A415-Premissas!$B$48+1),0)</x:f>
        <x:v>0</x:v>
      </x:c>
      <x:c r="G415" s="141" t="n">
        <x:f>IF(AND(A415&gt;=Premissas!$B$48,A415&lt;=Premissas!$B$27,A415-Premissas!$B$48+1&lt;=Premissas!$B$13),INDEX(Financiamento!$J$6:$J$485,A415-Premissas!$B$48+1),0)</x:f>
        <x:v>0</x:v>
      </x:c>
      <x:c r="H415" s="141" t="n">
        <x:f>IF(AND(A415&gt;=Premissas!$B$48,A415&lt;=Premissas!$B$27,A415-Premissas!$B$48+1&lt;=Premissas!$B$13),INDEX(Financiamento!$M$6:$M$485,A415-Premissas!$B$48+1),0)</x:f>
        <x:v>0</x:v>
      </x:c>
      <x:c r="I415" s="141" t="n">
        <x:f>IF(A415=Premissas!$B$27,MIN(D415,H415),0)</x:f>
        <x:v>0</x:v>
      </x:c>
      <x:c r="J415" s="141" t="n">
        <x:f>IF(A415=Premissas!$B$27,D415-H415,0)</x:f>
        <x:v>0</x:v>
      </x:c>
      <x:c r="K415" s="141" t="n">
        <x:f>E415+G415</x:f>
        <x:v>0</x:v>
      </x:c>
      <x:c r="L415" s="141" t="n">
        <x:f>SUM($K$6:K415)</x:f>
        <x:v>368370.4829168556</x:v>
      </x:c>
      <x:c r="M415" s="141" t="str">
        <x:f>IF(A415&lt;Premissas!$B$27,"Financiamento + consorcio",IF(A415=Premissas!$B$27,"Quitacao via carta",IF(A415&lt;=Premissas!$B$25,"Somente consorcio","Encerrado")))</x:f>
        <x:v>Encerrado</x:v>
      </x:c>
      <x:c r="N415" s="141" t="n">
        <x:f>IF(A415&gt;=Premissas!$B$25,0,(N416+E416)/(1+Premissas!$B$41))</x:f>
        <x:v>0</x:v>
      </x:c>
      <x:c r="O415" s="141" t="n">
        <x:f>IF(A415&lt;Premissas!$B$27,Premissas!$B$31/(1+Premissas!$B$41)^(Premissas!$B$27-A415),0)</x:f>
        <x:v>0</x:v>
      </x:c>
      <x:c r="P415" s="141" t="n">
        <x:f>MAX(0,H415-I415)+N415</x:f>
        <x:v>0</x:v>
      </x:c>
    </x:row>
    <x:row r="416">
      <x:c r="A416" s="142" t="n">
        <x:v>411</x:v>
      </x:c>
      <x:c r="B416" s="179" t="n">
        <x:f>EDATE(Premissas!$B$4,410)</x:f>
        <x:v>59019</x:v>
      </x:c>
      <x:c r="C416" s="180" t="n">
        <x:f>(1+Premissas!$B$26)^INT((A416-1)/12)</x:f>
        <x:v>7.2510252757663665</x:v>
      </x:c>
      <x:c r="D416" s="141" t="n">
        <x:f>Premissas!$B$30*C416</x:f>
        <x:v>787678.7894281053</x:v>
      </x:c>
      <x:c r="E416" s="141" t="n">
        <x:f>IF(A416&lt;=Premissas!$B$25,Premissas!$B$32*C416,0)</x:f>
        <x:v>0</x:v>
      </x:c>
      <x:c r="F416" s="141" t="n">
        <x:f>IF(AND(A416&gt;=Premissas!$B$48,A416&lt;=Premissas!$B$27,A416-Premissas!$B$48+1&lt;=Premissas!$B$13),INDEX(Financiamento!$C$6:$C$485,A416-Premissas!$B$48+1),0)</x:f>
        <x:v>0</x:v>
      </x:c>
      <x:c r="G416" s="141" t="n">
        <x:f>IF(AND(A416&gt;=Premissas!$B$48,A416&lt;=Premissas!$B$27,A416-Premissas!$B$48+1&lt;=Premissas!$B$13),INDEX(Financiamento!$J$6:$J$485,A416-Premissas!$B$48+1),0)</x:f>
        <x:v>0</x:v>
      </x:c>
      <x:c r="H416" s="141" t="n">
        <x:f>IF(AND(A416&gt;=Premissas!$B$48,A416&lt;=Premissas!$B$27,A416-Premissas!$B$48+1&lt;=Premissas!$B$13),INDEX(Financiamento!$M$6:$M$485,A416-Premissas!$B$48+1),0)</x:f>
        <x:v>0</x:v>
      </x:c>
      <x:c r="I416" s="141" t="n">
        <x:f>IF(A416=Premissas!$B$27,MIN(D416,H416),0)</x:f>
        <x:v>0</x:v>
      </x:c>
      <x:c r="J416" s="141" t="n">
        <x:f>IF(A416=Premissas!$B$27,D416-H416,0)</x:f>
        <x:v>0</x:v>
      </x:c>
      <x:c r="K416" s="141" t="n">
        <x:f>E416+G416</x:f>
        <x:v>0</x:v>
      </x:c>
      <x:c r="L416" s="141" t="n">
        <x:f>SUM($K$6:K416)</x:f>
        <x:v>368370.4829168556</x:v>
      </x:c>
      <x:c r="M416" s="141" t="str">
        <x:f>IF(A416&lt;Premissas!$B$27,"Financiamento + consorcio",IF(A416=Premissas!$B$27,"Quitacao via carta",IF(A416&lt;=Premissas!$B$25,"Somente consorcio","Encerrado")))</x:f>
        <x:v>Encerrado</x:v>
      </x:c>
      <x:c r="N416" s="141" t="n">
        <x:f>IF(A416&gt;=Premissas!$B$25,0,(N417+E417)/(1+Premissas!$B$41))</x:f>
        <x:v>0</x:v>
      </x:c>
      <x:c r="O416" s="141" t="n">
        <x:f>IF(A416&lt;Premissas!$B$27,Premissas!$B$31/(1+Premissas!$B$41)^(Premissas!$B$27-A416),0)</x:f>
        <x:v>0</x:v>
      </x:c>
      <x:c r="P416" s="141" t="n">
        <x:f>MAX(0,H416-I416)+N416</x:f>
        <x:v>0</x:v>
      </x:c>
    </x:row>
    <x:row r="417">
      <x:c r="A417" s="142" t="n">
        <x:v>412</x:v>
      </x:c>
      <x:c r="B417" s="179" t="n">
        <x:f>EDATE(Premissas!$B$4,411)</x:f>
        <x:v>59050</x:v>
      </x:c>
      <x:c r="C417" s="180" t="n">
        <x:f>(1+Premissas!$B$26)^INT((A417-1)/12)</x:f>
        <x:v>7.2510252757663665</x:v>
      </x:c>
      <x:c r="D417" s="141" t="n">
        <x:f>Premissas!$B$30*C417</x:f>
        <x:v>787678.7894281053</x:v>
      </x:c>
      <x:c r="E417" s="141" t="n">
        <x:f>IF(A417&lt;=Premissas!$B$25,Premissas!$B$32*C417,0)</x:f>
        <x:v>0</x:v>
      </x:c>
      <x:c r="F417" s="141" t="n">
        <x:f>IF(AND(A417&gt;=Premissas!$B$48,A417&lt;=Premissas!$B$27,A417-Premissas!$B$48+1&lt;=Premissas!$B$13),INDEX(Financiamento!$C$6:$C$485,A417-Premissas!$B$48+1),0)</x:f>
        <x:v>0</x:v>
      </x:c>
      <x:c r="G417" s="141" t="n">
        <x:f>IF(AND(A417&gt;=Premissas!$B$48,A417&lt;=Premissas!$B$27,A417-Premissas!$B$48+1&lt;=Premissas!$B$13),INDEX(Financiamento!$J$6:$J$485,A417-Premissas!$B$48+1),0)</x:f>
        <x:v>0</x:v>
      </x:c>
      <x:c r="H417" s="141" t="n">
        <x:f>IF(AND(A417&gt;=Premissas!$B$48,A417&lt;=Premissas!$B$27,A417-Premissas!$B$48+1&lt;=Premissas!$B$13),INDEX(Financiamento!$M$6:$M$485,A417-Premissas!$B$48+1),0)</x:f>
        <x:v>0</x:v>
      </x:c>
      <x:c r="I417" s="141" t="n">
        <x:f>IF(A417=Premissas!$B$27,MIN(D417,H417),0)</x:f>
        <x:v>0</x:v>
      </x:c>
      <x:c r="J417" s="141" t="n">
        <x:f>IF(A417=Premissas!$B$27,D417-H417,0)</x:f>
        <x:v>0</x:v>
      </x:c>
      <x:c r="K417" s="141" t="n">
        <x:f>E417+G417</x:f>
        <x:v>0</x:v>
      </x:c>
      <x:c r="L417" s="141" t="n">
        <x:f>SUM($K$6:K417)</x:f>
        <x:v>368370.4829168556</x:v>
      </x:c>
      <x:c r="M417" s="141" t="str">
        <x:f>IF(A417&lt;Premissas!$B$27,"Financiamento + consorcio",IF(A417=Premissas!$B$27,"Quitacao via carta",IF(A417&lt;=Premissas!$B$25,"Somente consorcio","Encerrado")))</x:f>
        <x:v>Encerrado</x:v>
      </x:c>
      <x:c r="N417" s="141" t="n">
        <x:f>IF(A417&gt;=Premissas!$B$25,0,(N418+E418)/(1+Premissas!$B$41))</x:f>
        <x:v>0</x:v>
      </x:c>
      <x:c r="O417" s="141" t="n">
        <x:f>IF(A417&lt;Premissas!$B$27,Premissas!$B$31/(1+Premissas!$B$41)^(Premissas!$B$27-A417),0)</x:f>
        <x:v>0</x:v>
      </x:c>
      <x:c r="P417" s="141" t="n">
        <x:f>MAX(0,H417-I417)+N417</x:f>
        <x:v>0</x:v>
      </x:c>
    </x:row>
    <x:row r="418">
      <x:c r="A418" s="142" t="n">
        <x:v>413</x:v>
      </x:c>
      <x:c r="B418" s="179" t="n">
        <x:f>EDATE(Premissas!$B$4,412)</x:f>
        <x:v>59080</x:v>
      </x:c>
      <x:c r="C418" s="180" t="n">
        <x:f>(1+Premissas!$B$26)^INT((A418-1)/12)</x:f>
        <x:v>7.2510252757663665</x:v>
      </x:c>
      <x:c r="D418" s="141" t="n">
        <x:f>Premissas!$B$30*C418</x:f>
        <x:v>787678.7894281053</x:v>
      </x:c>
      <x:c r="E418" s="141" t="n">
        <x:f>IF(A418&lt;=Premissas!$B$25,Premissas!$B$32*C418,0)</x:f>
        <x:v>0</x:v>
      </x:c>
      <x:c r="F418" s="141" t="n">
        <x:f>IF(AND(A418&gt;=Premissas!$B$48,A418&lt;=Premissas!$B$27,A418-Premissas!$B$48+1&lt;=Premissas!$B$13),INDEX(Financiamento!$C$6:$C$485,A418-Premissas!$B$48+1),0)</x:f>
        <x:v>0</x:v>
      </x:c>
      <x:c r="G418" s="141" t="n">
        <x:f>IF(AND(A418&gt;=Premissas!$B$48,A418&lt;=Premissas!$B$27,A418-Premissas!$B$48+1&lt;=Premissas!$B$13),INDEX(Financiamento!$J$6:$J$485,A418-Premissas!$B$48+1),0)</x:f>
        <x:v>0</x:v>
      </x:c>
      <x:c r="H418" s="141" t="n">
        <x:f>IF(AND(A418&gt;=Premissas!$B$48,A418&lt;=Premissas!$B$27,A418-Premissas!$B$48+1&lt;=Premissas!$B$13),INDEX(Financiamento!$M$6:$M$485,A418-Premissas!$B$48+1),0)</x:f>
        <x:v>0</x:v>
      </x:c>
      <x:c r="I418" s="141" t="n">
        <x:f>IF(A418=Premissas!$B$27,MIN(D418,H418),0)</x:f>
        <x:v>0</x:v>
      </x:c>
      <x:c r="J418" s="141" t="n">
        <x:f>IF(A418=Premissas!$B$27,D418-H418,0)</x:f>
        <x:v>0</x:v>
      </x:c>
      <x:c r="K418" s="141" t="n">
        <x:f>E418+G418</x:f>
        <x:v>0</x:v>
      </x:c>
      <x:c r="L418" s="141" t="n">
        <x:f>SUM($K$6:K418)</x:f>
        <x:v>368370.4829168556</x:v>
      </x:c>
      <x:c r="M418" s="141" t="str">
        <x:f>IF(A418&lt;Premissas!$B$27,"Financiamento + consorcio",IF(A418=Premissas!$B$27,"Quitacao via carta",IF(A418&lt;=Premissas!$B$25,"Somente consorcio","Encerrado")))</x:f>
        <x:v>Encerrado</x:v>
      </x:c>
      <x:c r="N418" s="141" t="n">
        <x:f>IF(A418&gt;=Premissas!$B$25,0,(N419+E419)/(1+Premissas!$B$41))</x:f>
        <x:v>0</x:v>
      </x:c>
      <x:c r="O418" s="141" t="n">
        <x:f>IF(A418&lt;Premissas!$B$27,Premissas!$B$31/(1+Premissas!$B$41)^(Premissas!$B$27-A418),0)</x:f>
        <x:v>0</x:v>
      </x:c>
      <x:c r="P418" s="141" t="n">
        <x:f>MAX(0,H418-I418)+N418</x:f>
        <x:v>0</x:v>
      </x:c>
    </x:row>
    <x:row r="419">
      <x:c r="A419" s="142" t="n">
        <x:v>414</x:v>
      </x:c>
      <x:c r="B419" s="179" t="n">
        <x:f>EDATE(Premissas!$B$4,413)</x:f>
        <x:v>59111</x:v>
      </x:c>
      <x:c r="C419" s="180" t="n">
        <x:f>(1+Premissas!$B$26)^INT((A419-1)/12)</x:f>
        <x:v>7.2510252757663665</x:v>
      </x:c>
      <x:c r="D419" s="141" t="n">
        <x:f>Premissas!$B$30*C419</x:f>
        <x:v>787678.7894281053</x:v>
      </x:c>
      <x:c r="E419" s="141" t="n">
        <x:f>IF(A419&lt;=Premissas!$B$25,Premissas!$B$32*C419,0)</x:f>
        <x:v>0</x:v>
      </x:c>
      <x:c r="F419" s="141" t="n">
        <x:f>IF(AND(A419&gt;=Premissas!$B$48,A419&lt;=Premissas!$B$27,A419-Premissas!$B$48+1&lt;=Premissas!$B$13),INDEX(Financiamento!$C$6:$C$485,A419-Premissas!$B$48+1),0)</x:f>
        <x:v>0</x:v>
      </x:c>
      <x:c r="G419" s="141" t="n">
        <x:f>IF(AND(A419&gt;=Premissas!$B$48,A419&lt;=Premissas!$B$27,A419-Premissas!$B$48+1&lt;=Premissas!$B$13),INDEX(Financiamento!$J$6:$J$485,A419-Premissas!$B$48+1),0)</x:f>
        <x:v>0</x:v>
      </x:c>
      <x:c r="H419" s="141" t="n">
        <x:f>IF(AND(A419&gt;=Premissas!$B$48,A419&lt;=Premissas!$B$27,A419-Premissas!$B$48+1&lt;=Premissas!$B$13),INDEX(Financiamento!$M$6:$M$485,A419-Premissas!$B$48+1),0)</x:f>
        <x:v>0</x:v>
      </x:c>
      <x:c r="I419" s="141" t="n">
        <x:f>IF(A419=Premissas!$B$27,MIN(D419,H419),0)</x:f>
        <x:v>0</x:v>
      </x:c>
      <x:c r="J419" s="141" t="n">
        <x:f>IF(A419=Premissas!$B$27,D419-H419,0)</x:f>
        <x:v>0</x:v>
      </x:c>
      <x:c r="K419" s="141" t="n">
        <x:f>E419+G419</x:f>
        <x:v>0</x:v>
      </x:c>
      <x:c r="L419" s="141" t="n">
        <x:f>SUM($K$6:K419)</x:f>
        <x:v>368370.4829168556</x:v>
      </x:c>
      <x:c r="M419" s="141" t="str">
        <x:f>IF(A419&lt;Premissas!$B$27,"Financiamento + consorcio",IF(A419=Premissas!$B$27,"Quitacao via carta",IF(A419&lt;=Premissas!$B$25,"Somente consorcio","Encerrado")))</x:f>
        <x:v>Encerrado</x:v>
      </x:c>
      <x:c r="N419" s="141" t="n">
        <x:f>IF(A419&gt;=Premissas!$B$25,0,(N420+E420)/(1+Premissas!$B$41))</x:f>
        <x:v>0</x:v>
      </x:c>
      <x:c r="O419" s="141" t="n">
        <x:f>IF(A419&lt;Premissas!$B$27,Premissas!$B$31/(1+Premissas!$B$41)^(Premissas!$B$27-A419),0)</x:f>
        <x:v>0</x:v>
      </x:c>
      <x:c r="P419" s="141" t="n">
        <x:f>MAX(0,H419-I419)+N419</x:f>
        <x:v>0</x:v>
      </x:c>
    </x:row>
    <x:row r="420">
      <x:c r="A420" s="142" t="n">
        <x:v>415</x:v>
      </x:c>
      <x:c r="B420" s="179" t="n">
        <x:f>EDATE(Premissas!$B$4,414)</x:f>
        <x:v>59141</x:v>
      </x:c>
      <x:c r="C420" s="180" t="n">
        <x:f>(1+Premissas!$B$26)^INT((A420-1)/12)</x:f>
        <x:v>7.2510252757663665</x:v>
      </x:c>
      <x:c r="D420" s="141" t="n">
        <x:f>Premissas!$B$30*C420</x:f>
        <x:v>787678.7894281053</x:v>
      </x:c>
      <x:c r="E420" s="141" t="n">
        <x:f>IF(A420&lt;=Premissas!$B$25,Premissas!$B$32*C420,0)</x:f>
        <x:v>0</x:v>
      </x:c>
      <x:c r="F420" s="141" t="n">
        <x:f>IF(AND(A420&gt;=Premissas!$B$48,A420&lt;=Premissas!$B$27,A420-Premissas!$B$48+1&lt;=Premissas!$B$13),INDEX(Financiamento!$C$6:$C$485,A420-Premissas!$B$48+1),0)</x:f>
        <x:v>0</x:v>
      </x:c>
      <x:c r="G420" s="141" t="n">
        <x:f>IF(AND(A420&gt;=Premissas!$B$48,A420&lt;=Premissas!$B$27,A420-Premissas!$B$48+1&lt;=Premissas!$B$13),INDEX(Financiamento!$J$6:$J$485,A420-Premissas!$B$48+1),0)</x:f>
        <x:v>0</x:v>
      </x:c>
      <x:c r="H420" s="141" t="n">
        <x:f>IF(AND(A420&gt;=Premissas!$B$48,A420&lt;=Premissas!$B$27,A420-Premissas!$B$48+1&lt;=Premissas!$B$13),INDEX(Financiamento!$M$6:$M$485,A420-Premissas!$B$48+1),0)</x:f>
        <x:v>0</x:v>
      </x:c>
      <x:c r="I420" s="141" t="n">
        <x:f>IF(A420=Premissas!$B$27,MIN(D420,H420),0)</x:f>
        <x:v>0</x:v>
      </x:c>
      <x:c r="J420" s="141" t="n">
        <x:f>IF(A420=Premissas!$B$27,D420-H420,0)</x:f>
        <x:v>0</x:v>
      </x:c>
      <x:c r="K420" s="141" t="n">
        <x:f>E420+G420</x:f>
        <x:v>0</x:v>
      </x:c>
      <x:c r="L420" s="141" t="n">
        <x:f>SUM($K$6:K420)</x:f>
        <x:v>368370.4829168556</x:v>
      </x:c>
      <x:c r="M420" s="141" t="str">
        <x:f>IF(A420&lt;Premissas!$B$27,"Financiamento + consorcio",IF(A420=Premissas!$B$27,"Quitacao via carta",IF(A420&lt;=Premissas!$B$25,"Somente consorcio","Encerrado")))</x:f>
        <x:v>Encerrado</x:v>
      </x:c>
      <x:c r="N420" s="141" t="n">
        <x:f>IF(A420&gt;=Premissas!$B$25,0,(N421+E421)/(1+Premissas!$B$41))</x:f>
        <x:v>0</x:v>
      </x:c>
      <x:c r="O420" s="141" t="n">
        <x:f>IF(A420&lt;Premissas!$B$27,Premissas!$B$31/(1+Premissas!$B$41)^(Premissas!$B$27-A420),0)</x:f>
        <x:v>0</x:v>
      </x:c>
      <x:c r="P420" s="141" t="n">
        <x:f>MAX(0,H420-I420)+N420</x:f>
        <x:v>0</x:v>
      </x:c>
    </x:row>
    <x:row r="421">
      <x:c r="A421" s="142" t="n">
        <x:v>416</x:v>
      </x:c>
      <x:c r="B421" s="179" t="n">
        <x:f>EDATE(Premissas!$B$4,415)</x:f>
        <x:v>59172</x:v>
      </x:c>
      <x:c r="C421" s="180" t="n">
        <x:f>(1+Premissas!$B$26)^INT((A421-1)/12)</x:f>
        <x:v>7.2510252757663665</x:v>
      </x:c>
      <x:c r="D421" s="141" t="n">
        <x:f>Premissas!$B$30*C421</x:f>
        <x:v>787678.7894281053</x:v>
      </x:c>
      <x:c r="E421" s="141" t="n">
        <x:f>IF(A421&lt;=Premissas!$B$25,Premissas!$B$32*C421,0)</x:f>
        <x:v>0</x:v>
      </x:c>
      <x:c r="F421" s="141" t="n">
        <x:f>IF(AND(A421&gt;=Premissas!$B$48,A421&lt;=Premissas!$B$27,A421-Premissas!$B$48+1&lt;=Premissas!$B$13),INDEX(Financiamento!$C$6:$C$485,A421-Premissas!$B$48+1),0)</x:f>
        <x:v>0</x:v>
      </x:c>
      <x:c r="G421" s="141" t="n">
        <x:f>IF(AND(A421&gt;=Premissas!$B$48,A421&lt;=Premissas!$B$27,A421-Premissas!$B$48+1&lt;=Premissas!$B$13),INDEX(Financiamento!$J$6:$J$485,A421-Premissas!$B$48+1),0)</x:f>
        <x:v>0</x:v>
      </x:c>
      <x:c r="H421" s="141" t="n">
        <x:f>IF(AND(A421&gt;=Premissas!$B$48,A421&lt;=Premissas!$B$27,A421-Premissas!$B$48+1&lt;=Premissas!$B$13),INDEX(Financiamento!$M$6:$M$485,A421-Premissas!$B$48+1),0)</x:f>
        <x:v>0</x:v>
      </x:c>
      <x:c r="I421" s="141" t="n">
        <x:f>IF(A421=Premissas!$B$27,MIN(D421,H421),0)</x:f>
        <x:v>0</x:v>
      </x:c>
      <x:c r="J421" s="141" t="n">
        <x:f>IF(A421=Premissas!$B$27,D421-H421,0)</x:f>
        <x:v>0</x:v>
      </x:c>
      <x:c r="K421" s="141" t="n">
        <x:f>E421+G421</x:f>
        <x:v>0</x:v>
      </x:c>
      <x:c r="L421" s="141" t="n">
        <x:f>SUM($K$6:K421)</x:f>
        <x:v>368370.4829168556</x:v>
      </x:c>
      <x:c r="M421" s="141" t="str">
        <x:f>IF(A421&lt;Premissas!$B$27,"Financiamento + consorcio",IF(A421=Premissas!$B$27,"Quitacao via carta",IF(A421&lt;=Premissas!$B$25,"Somente consorcio","Encerrado")))</x:f>
        <x:v>Encerrado</x:v>
      </x:c>
      <x:c r="N421" s="141" t="n">
        <x:f>IF(A421&gt;=Premissas!$B$25,0,(N422+E422)/(1+Premissas!$B$41))</x:f>
        <x:v>0</x:v>
      </x:c>
      <x:c r="O421" s="141" t="n">
        <x:f>IF(A421&lt;Premissas!$B$27,Premissas!$B$31/(1+Premissas!$B$41)^(Premissas!$B$27-A421),0)</x:f>
        <x:v>0</x:v>
      </x:c>
      <x:c r="P421" s="141" t="n">
        <x:f>MAX(0,H421-I421)+N421</x:f>
        <x:v>0</x:v>
      </x:c>
    </x:row>
    <x:row r="422">
      <x:c r="A422" s="142" t="n">
        <x:v>417</x:v>
      </x:c>
      <x:c r="B422" s="179" t="n">
        <x:f>EDATE(Premissas!$B$4,416)</x:f>
        <x:v>59203</x:v>
      </x:c>
      <x:c r="C422" s="180" t="n">
        <x:f>(1+Premissas!$B$26)^INT((A422-1)/12)</x:f>
        <x:v>7.2510252757663665</x:v>
      </x:c>
      <x:c r="D422" s="141" t="n">
        <x:f>Premissas!$B$30*C422</x:f>
        <x:v>787678.7894281053</x:v>
      </x:c>
      <x:c r="E422" s="141" t="n">
        <x:f>IF(A422&lt;=Premissas!$B$25,Premissas!$B$32*C422,0)</x:f>
        <x:v>0</x:v>
      </x:c>
      <x:c r="F422" s="141" t="n">
        <x:f>IF(AND(A422&gt;=Premissas!$B$48,A422&lt;=Premissas!$B$27,A422-Premissas!$B$48+1&lt;=Premissas!$B$13),INDEX(Financiamento!$C$6:$C$485,A422-Premissas!$B$48+1),0)</x:f>
        <x:v>0</x:v>
      </x:c>
      <x:c r="G422" s="141" t="n">
        <x:f>IF(AND(A422&gt;=Premissas!$B$48,A422&lt;=Premissas!$B$27,A422-Premissas!$B$48+1&lt;=Premissas!$B$13),INDEX(Financiamento!$J$6:$J$485,A422-Premissas!$B$48+1),0)</x:f>
        <x:v>0</x:v>
      </x:c>
      <x:c r="H422" s="141" t="n">
        <x:f>IF(AND(A422&gt;=Premissas!$B$48,A422&lt;=Premissas!$B$27,A422-Premissas!$B$48+1&lt;=Premissas!$B$13),INDEX(Financiamento!$M$6:$M$485,A422-Premissas!$B$48+1),0)</x:f>
        <x:v>0</x:v>
      </x:c>
      <x:c r="I422" s="141" t="n">
        <x:f>IF(A422=Premissas!$B$27,MIN(D422,H422),0)</x:f>
        <x:v>0</x:v>
      </x:c>
      <x:c r="J422" s="141" t="n">
        <x:f>IF(A422=Premissas!$B$27,D422-H422,0)</x:f>
        <x:v>0</x:v>
      </x:c>
      <x:c r="K422" s="141" t="n">
        <x:f>E422+G422</x:f>
        <x:v>0</x:v>
      </x:c>
      <x:c r="L422" s="141" t="n">
        <x:f>SUM($K$6:K422)</x:f>
        <x:v>368370.4829168556</x:v>
      </x:c>
      <x:c r="M422" s="141" t="str">
        <x:f>IF(A422&lt;Premissas!$B$27,"Financiamento + consorcio",IF(A422=Premissas!$B$27,"Quitacao via carta",IF(A422&lt;=Premissas!$B$25,"Somente consorcio","Encerrado")))</x:f>
        <x:v>Encerrado</x:v>
      </x:c>
      <x:c r="N422" s="141" t="n">
        <x:f>IF(A422&gt;=Premissas!$B$25,0,(N423+E423)/(1+Premissas!$B$41))</x:f>
        <x:v>0</x:v>
      </x:c>
      <x:c r="O422" s="141" t="n">
        <x:f>IF(A422&lt;Premissas!$B$27,Premissas!$B$31/(1+Premissas!$B$41)^(Premissas!$B$27-A422),0)</x:f>
        <x:v>0</x:v>
      </x:c>
      <x:c r="P422" s="141" t="n">
        <x:f>MAX(0,H422-I422)+N422</x:f>
        <x:v>0</x:v>
      </x:c>
    </x:row>
    <x:row r="423">
      <x:c r="A423" s="142" t="n">
        <x:v>418</x:v>
      </x:c>
      <x:c r="B423" s="179" t="n">
        <x:f>EDATE(Premissas!$B$4,417)</x:f>
        <x:v>59231</x:v>
      </x:c>
      <x:c r="C423" s="180" t="n">
        <x:f>(1+Premissas!$B$26)^INT((A423-1)/12)</x:f>
        <x:v>7.2510252757663665</x:v>
      </x:c>
      <x:c r="D423" s="141" t="n">
        <x:f>Premissas!$B$30*C423</x:f>
        <x:v>787678.7894281053</x:v>
      </x:c>
      <x:c r="E423" s="141" t="n">
        <x:f>IF(A423&lt;=Premissas!$B$25,Premissas!$B$32*C423,0)</x:f>
        <x:v>0</x:v>
      </x:c>
      <x:c r="F423" s="141" t="n">
        <x:f>IF(AND(A423&gt;=Premissas!$B$48,A423&lt;=Premissas!$B$27,A423-Premissas!$B$48+1&lt;=Premissas!$B$13),INDEX(Financiamento!$C$6:$C$485,A423-Premissas!$B$48+1),0)</x:f>
        <x:v>0</x:v>
      </x:c>
      <x:c r="G423" s="141" t="n">
        <x:f>IF(AND(A423&gt;=Premissas!$B$48,A423&lt;=Premissas!$B$27,A423-Premissas!$B$48+1&lt;=Premissas!$B$13),INDEX(Financiamento!$J$6:$J$485,A423-Premissas!$B$48+1),0)</x:f>
        <x:v>0</x:v>
      </x:c>
      <x:c r="H423" s="141" t="n">
        <x:f>IF(AND(A423&gt;=Premissas!$B$48,A423&lt;=Premissas!$B$27,A423-Premissas!$B$48+1&lt;=Premissas!$B$13),INDEX(Financiamento!$M$6:$M$485,A423-Premissas!$B$48+1),0)</x:f>
        <x:v>0</x:v>
      </x:c>
      <x:c r="I423" s="141" t="n">
        <x:f>IF(A423=Premissas!$B$27,MIN(D423,H423),0)</x:f>
        <x:v>0</x:v>
      </x:c>
      <x:c r="J423" s="141" t="n">
        <x:f>IF(A423=Premissas!$B$27,D423-H423,0)</x:f>
        <x:v>0</x:v>
      </x:c>
      <x:c r="K423" s="141" t="n">
        <x:f>E423+G423</x:f>
        <x:v>0</x:v>
      </x:c>
      <x:c r="L423" s="141" t="n">
        <x:f>SUM($K$6:K423)</x:f>
        <x:v>368370.4829168556</x:v>
      </x:c>
      <x:c r="M423" s="141" t="str">
        <x:f>IF(A423&lt;Premissas!$B$27,"Financiamento + consorcio",IF(A423=Premissas!$B$27,"Quitacao via carta",IF(A423&lt;=Premissas!$B$25,"Somente consorcio","Encerrado")))</x:f>
        <x:v>Encerrado</x:v>
      </x:c>
      <x:c r="N423" s="141" t="n">
        <x:f>IF(A423&gt;=Premissas!$B$25,0,(N424+E424)/(1+Premissas!$B$41))</x:f>
        <x:v>0</x:v>
      </x:c>
      <x:c r="O423" s="141" t="n">
        <x:f>IF(A423&lt;Premissas!$B$27,Premissas!$B$31/(1+Premissas!$B$41)^(Premissas!$B$27-A423),0)</x:f>
        <x:v>0</x:v>
      </x:c>
      <x:c r="P423" s="141" t="n">
        <x:f>MAX(0,H423-I423)+N423</x:f>
        <x:v>0</x:v>
      </x:c>
    </x:row>
    <x:row r="424">
      <x:c r="A424" s="142" t="n">
        <x:v>419</x:v>
      </x:c>
      <x:c r="B424" s="179" t="n">
        <x:f>EDATE(Premissas!$B$4,418)</x:f>
        <x:v>59262</x:v>
      </x:c>
      <x:c r="C424" s="180" t="n">
        <x:f>(1+Premissas!$B$26)^INT((A424-1)/12)</x:f>
        <x:v>7.2510252757663665</x:v>
      </x:c>
      <x:c r="D424" s="141" t="n">
        <x:f>Premissas!$B$30*C424</x:f>
        <x:v>787678.7894281053</x:v>
      </x:c>
      <x:c r="E424" s="141" t="n">
        <x:f>IF(A424&lt;=Premissas!$B$25,Premissas!$B$32*C424,0)</x:f>
        <x:v>0</x:v>
      </x:c>
      <x:c r="F424" s="141" t="n">
        <x:f>IF(AND(A424&gt;=Premissas!$B$48,A424&lt;=Premissas!$B$27,A424-Premissas!$B$48+1&lt;=Premissas!$B$13),INDEX(Financiamento!$C$6:$C$485,A424-Premissas!$B$48+1),0)</x:f>
        <x:v>0</x:v>
      </x:c>
      <x:c r="G424" s="141" t="n">
        <x:f>IF(AND(A424&gt;=Premissas!$B$48,A424&lt;=Premissas!$B$27,A424-Premissas!$B$48+1&lt;=Premissas!$B$13),INDEX(Financiamento!$J$6:$J$485,A424-Premissas!$B$48+1),0)</x:f>
        <x:v>0</x:v>
      </x:c>
      <x:c r="H424" s="141" t="n">
        <x:f>IF(AND(A424&gt;=Premissas!$B$48,A424&lt;=Premissas!$B$27,A424-Premissas!$B$48+1&lt;=Premissas!$B$13),INDEX(Financiamento!$M$6:$M$485,A424-Premissas!$B$48+1),0)</x:f>
        <x:v>0</x:v>
      </x:c>
      <x:c r="I424" s="141" t="n">
        <x:f>IF(A424=Premissas!$B$27,MIN(D424,H424),0)</x:f>
        <x:v>0</x:v>
      </x:c>
      <x:c r="J424" s="141" t="n">
        <x:f>IF(A424=Premissas!$B$27,D424-H424,0)</x:f>
        <x:v>0</x:v>
      </x:c>
      <x:c r="K424" s="141" t="n">
        <x:f>E424+G424</x:f>
        <x:v>0</x:v>
      </x:c>
      <x:c r="L424" s="141" t="n">
        <x:f>SUM($K$6:K424)</x:f>
        <x:v>368370.4829168556</x:v>
      </x:c>
      <x:c r="M424" s="141" t="str">
        <x:f>IF(A424&lt;Premissas!$B$27,"Financiamento + consorcio",IF(A424=Premissas!$B$27,"Quitacao via carta",IF(A424&lt;=Premissas!$B$25,"Somente consorcio","Encerrado")))</x:f>
        <x:v>Encerrado</x:v>
      </x:c>
      <x:c r="N424" s="141" t="n">
        <x:f>IF(A424&gt;=Premissas!$B$25,0,(N425+E425)/(1+Premissas!$B$41))</x:f>
        <x:v>0</x:v>
      </x:c>
      <x:c r="O424" s="141" t="n">
        <x:f>IF(A424&lt;Premissas!$B$27,Premissas!$B$31/(1+Premissas!$B$41)^(Premissas!$B$27-A424),0)</x:f>
        <x:v>0</x:v>
      </x:c>
      <x:c r="P424" s="141" t="n">
        <x:f>MAX(0,H424-I424)+N424</x:f>
        <x:v>0</x:v>
      </x:c>
    </x:row>
    <x:row r="425">
      <x:c r="A425" s="142" t="n">
        <x:v>420</x:v>
      </x:c>
      <x:c r="B425" s="179" t="n">
        <x:f>EDATE(Premissas!$B$4,419)</x:f>
        <x:v>59292</x:v>
      </x:c>
      <x:c r="C425" s="180" t="n">
        <x:f>(1+Premissas!$B$26)^INT((A425-1)/12)</x:f>
        <x:v>7.2510252757663665</x:v>
      </x:c>
      <x:c r="D425" s="141" t="n">
        <x:f>Premissas!$B$30*C425</x:f>
        <x:v>787678.7894281053</x:v>
      </x:c>
      <x:c r="E425" s="141" t="n">
        <x:f>IF(A425&lt;=Premissas!$B$25,Premissas!$B$32*C425,0)</x:f>
        <x:v>0</x:v>
      </x:c>
      <x:c r="F425" s="141" t="n">
        <x:f>IF(AND(A425&gt;=Premissas!$B$48,A425&lt;=Premissas!$B$27,A425-Premissas!$B$48+1&lt;=Premissas!$B$13),INDEX(Financiamento!$C$6:$C$485,A425-Premissas!$B$48+1),0)</x:f>
        <x:v>0</x:v>
      </x:c>
      <x:c r="G425" s="141" t="n">
        <x:f>IF(AND(A425&gt;=Premissas!$B$48,A425&lt;=Premissas!$B$27,A425-Premissas!$B$48+1&lt;=Premissas!$B$13),INDEX(Financiamento!$J$6:$J$485,A425-Premissas!$B$48+1),0)</x:f>
        <x:v>0</x:v>
      </x:c>
      <x:c r="H425" s="141" t="n">
        <x:f>IF(AND(A425&gt;=Premissas!$B$48,A425&lt;=Premissas!$B$27,A425-Premissas!$B$48+1&lt;=Premissas!$B$13),INDEX(Financiamento!$M$6:$M$485,A425-Premissas!$B$48+1),0)</x:f>
        <x:v>0</x:v>
      </x:c>
      <x:c r="I425" s="141" t="n">
        <x:f>IF(A425=Premissas!$B$27,MIN(D425,H425),0)</x:f>
        <x:v>0</x:v>
      </x:c>
      <x:c r="J425" s="141" t="n">
        <x:f>IF(A425=Premissas!$B$27,D425-H425,0)</x:f>
        <x:v>0</x:v>
      </x:c>
      <x:c r="K425" s="141" t="n">
        <x:f>E425+G425</x:f>
        <x:v>0</x:v>
      </x:c>
      <x:c r="L425" s="141" t="n">
        <x:f>SUM($K$6:K425)</x:f>
        <x:v>368370.4829168556</x:v>
      </x:c>
      <x:c r="M425" s="141" t="str">
        <x:f>IF(A425&lt;Premissas!$B$27,"Financiamento + consorcio",IF(A425=Premissas!$B$27,"Quitacao via carta",IF(A425&lt;=Premissas!$B$25,"Somente consorcio","Encerrado")))</x:f>
        <x:v>Encerrado</x:v>
      </x:c>
      <x:c r="N425" s="141" t="n">
        <x:f>IF(A425&gt;=Premissas!$B$25,0,(N426+E426)/(1+Premissas!$B$41))</x:f>
        <x:v>0</x:v>
      </x:c>
      <x:c r="O425" s="141" t="n">
        <x:f>IF(A425&lt;Premissas!$B$27,Premissas!$B$31/(1+Premissas!$B$41)^(Premissas!$B$27-A425),0)</x:f>
        <x:v>0</x:v>
      </x:c>
      <x:c r="P425" s="141" t="n">
        <x:f>MAX(0,H425-I425)+N425</x:f>
        <x:v>0</x:v>
      </x:c>
    </x:row>
    <x:row r="426">
      <x:c r="A426" s="142" t="n">
        <x:v>421</x:v>
      </x:c>
      <x:c r="B426" s="179" t="n">
        <x:f>EDATE(Premissas!$B$4,420)</x:f>
        <x:v>59323</x:v>
      </x:c>
      <x:c r="C426" s="180" t="n">
        <x:f>(1+Premissas!$B$26)^INT((A426-1)/12)</x:f>
        <x:v>7.6860867923123495</x:v>
      </x:c>
      <x:c r="D426" s="141" t="n">
        <x:f>Premissas!$B$30*C426</x:f>
        <x:v>834939.5167937918</x:v>
      </x:c>
      <x:c r="E426" s="141" t="n">
        <x:f>IF(A426&lt;=Premissas!$B$25,Premissas!$B$32*C426,0)</x:f>
        <x:v>0</x:v>
      </x:c>
      <x:c r="F426" s="141" t="n">
        <x:f>IF(AND(A426&gt;=Premissas!$B$48,A426&lt;=Premissas!$B$27,A426-Premissas!$B$48+1&lt;=Premissas!$B$13),INDEX(Financiamento!$C$6:$C$485,A426-Premissas!$B$48+1),0)</x:f>
        <x:v>0</x:v>
      </x:c>
      <x:c r="G426" s="141" t="n">
        <x:f>IF(AND(A426&gt;=Premissas!$B$48,A426&lt;=Premissas!$B$27,A426-Premissas!$B$48+1&lt;=Premissas!$B$13),INDEX(Financiamento!$J$6:$J$485,A426-Premissas!$B$48+1),0)</x:f>
        <x:v>0</x:v>
      </x:c>
      <x:c r="H426" s="141" t="n">
        <x:f>IF(AND(A426&gt;=Premissas!$B$48,A426&lt;=Premissas!$B$27,A426-Premissas!$B$48+1&lt;=Premissas!$B$13),INDEX(Financiamento!$M$6:$M$485,A426-Premissas!$B$48+1),0)</x:f>
        <x:v>0</x:v>
      </x:c>
      <x:c r="I426" s="141" t="n">
        <x:f>IF(A426=Premissas!$B$27,MIN(D426,H426),0)</x:f>
        <x:v>0</x:v>
      </x:c>
      <x:c r="J426" s="141" t="n">
        <x:f>IF(A426=Premissas!$B$27,D426-H426,0)</x:f>
        <x:v>0</x:v>
      </x:c>
      <x:c r="K426" s="141" t="n">
        <x:f>E426+G426</x:f>
        <x:v>0</x:v>
      </x:c>
      <x:c r="L426" s="141" t="n">
        <x:f>SUM($K$6:K426)</x:f>
        <x:v>368370.4829168556</x:v>
      </x:c>
      <x:c r="M426" s="141" t="str">
        <x:f>IF(A426&lt;Premissas!$B$27,"Financiamento + consorcio",IF(A426=Premissas!$B$27,"Quitacao via carta",IF(A426&lt;=Premissas!$B$25,"Somente consorcio","Encerrado")))</x:f>
        <x:v>Encerrado</x:v>
      </x:c>
      <x:c r="N426" s="141" t="n">
        <x:f>IF(A426&gt;=Premissas!$B$25,0,(N427+E427)/(1+Premissas!$B$41))</x:f>
        <x:v>0</x:v>
      </x:c>
      <x:c r="O426" s="141" t="n">
        <x:f>IF(A426&lt;Premissas!$B$27,Premissas!$B$31/(1+Premissas!$B$41)^(Premissas!$B$27-A426),0)</x:f>
        <x:v>0</x:v>
      </x:c>
      <x:c r="P426" s="141" t="n">
        <x:f>MAX(0,H426-I426)+N426</x:f>
        <x:v>0</x:v>
      </x:c>
    </x:row>
    <x:row r="427">
      <x:c r="A427" s="142" t="n">
        <x:v>422</x:v>
      </x:c>
      <x:c r="B427" s="179" t="n">
        <x:f>EDATE(Premissas!$B$4,421)</x:f>
        <x:v>59353</x:v>
      </x:c>
      <x:c r="C427" s="180" t="n">
        <x:f>(1+Premissas!$B$26)^INT((A427-1)/12)</x:f>
        <x:v>7.6860867923123495</x:v>
      </x:c>
      <x:c r="D427" s="141" t="n">
        <x:f>Premissas!$B$30*C427</x:f>
        <x:v>834939.5167937918</x:v>
      </x:c>
      <x:c r="E427" s="141" t="n">
        <x:f>IF(A427&lt;=Premissas!$B$25,Premissas!$B$32*C427,0)</x:f>
        <x:v>0</x:v>
      </x:c>
      <x:c r="F427" s="141" t="n">
        <x:f>IF(AND(A427&gt;=Premissas!$B$48,A427&lt;=Premissas!$B$27,A427-Premissas!$B$48+1&lt;=Premissas!$B$13),INDEX(Financiamento!$C$6:$C$485,A427-Premissas!$B$48+1),0)</x:f>
        <x:v>0</x:v>
      </x:c>
      <x:c r="G427" s="141" t="n">
        <x:f>IF(AND(A427&gt;=Premissas!$B$48,A427&lt;=Premissas!$B$27,A427-Premissas!$B$48+1&lt;=Premissas!$B$13),INDEX(Financiamento!$J$6:$J$485,A427-Premissas!$B$48+1),0)</x:f>
        <x:v>0</x:v>
      </x:c>
      <x:c r="H427" s="141" t="n">
        <x:f>IF(AND(A427&gt;=Premissas!$B$48,A427&lt;=Premissas!$B$27,A427-Premissas!$B$48+1&lt;=Premissas!$B$13),INDEX(Financiamento!$M$6:$M$485,A427-Premissas!$B$48+1),0)</x:f>
        <x:v>0</x:v>
      </x:c>
      <x:c r="I427" s="141" t="n">
        <x:f>IF(A427=Premissas!$B$27,MIN(D427,H427),0)</x:f>
        <x:v>0</x:v>
      </x:c>
      <x:c r="J427" s="141" t="n">
        <x:f>IF(A427=Premissas!$B$27,D427-H427,0)</x:f>
        <x:v>0</x:v>
      </x:c>
      <x:c r="K427" s="141" t="n">
        <x:f>E427+G427</x:f>
        <x:v>0</x:v>
      </x:c>
      <x:c r="L427" s="141" t="n">
        <x:f>SUM($K$6:K427)</x:f>
        <x:v>368370.4829168556</x:v>
      </x:c>
      <x:c r="M427" s="141" t="str">
        <x:f>IF(A427&lt;Premissas!$B$27,"Financiamento + consorcio",IF(A427=Premissas!$B$27,"Quitacao via carta",IF(A427&lt;=Premissas!$B$25,"Somente consorcio","Encerrado")))</x:f>
        <x:v>Encerrado</x:v>
      </x:c>
      <x:c r="N427" s="141" t="n">
        <x:f>IF(A427&gt;=Premissas!$B$25,0,(N428+E428)/(1+Premissas!$B$41))</x:f>
        <x:v>0</x:v>
      </x:c>
      <x:c r="O427" s="141" t="n">
        <x:f>IF(A427&lt;Premissas!$B$27,Premissas!$B$31/(1+Premissas!$B$41)^(Premissas!$B$27-A427),0)</x:f>
        <x:v>0</x:v>
      </x:c>
      <x:c r="P427" s="141" t="n">
        <x:f>MAX(0,H427-I427)+N427</x:f>
        <x:v>0</x:v>
      </x:c>
    </x:row>
    <x:row r="428">
      <x:c r="A428" s="142" t="n">
        <x:v>423</x:v>
      </x:c>
      <x:c r="B428" s="179" t="n">
        <x:f>EDATE(Premissas!$B$4,422)</x:f>
        <x:v>59384</x:v>
      </x:c>
      <x:c r="C428" s="180" t="n">
        <x:f>(1+Premissas!$B$26)^INT((A428-1)/12)</x:f>
        <x:v>7.6860867923123495</x:v>
      </x:c>
      <x:c r="D428" s="141" t="n">
        <x:f>Premissas!$B$30*C428</x:f>
        <x:v>834939.5167937918</x:v>
      </x:c>
      <x:c r="E428" s="141" t="n">
        <x:f>IF(A428&lt;=Premissas!$B$25,Premissas!$B$32*C428,0)</x:f>
        <x:v>0</x:v>
      </x:c>
      <x:c r="F428" s="141" t="n">
        <x:f>IF(AND(A428&gt;=Premissas!$B$48,A428&lt;=Premissas!$B$27,A428-Premissas!$B$48+1&lt;=Premissas!$B$13),INDEX(Financiamento!$C$6:$C$485,A428-Premissas!$B$48+1),0)</x:f>
        <x:v>0</x:v>
      </x:c>
      <x:c r="G428" s="141" t="n">
        <x:f>IF(AND(A428&gt;=Premissas!$B$48,A428&lt;=Premissas!$B$27,A428-Premissas!$B$48+1&lt;=Premissas!$B$13),INDEX(Financiamento!$J$6:$J$485,A428-Premissas!$B$48+1),0)</x:f>
        <x:v>0</x:v>
      </x:c>
      <x:c r="H428" s="141" t="n">
        <x:f>IF(AND(A428&gt;=Premissas!$B$48,A428&lt;=Premissas!$B$27,A428-Premissas!$B$48+1&lt;=Premissas!$B$13),INDEX(Financiamento!$M$6:$M$485,A428-Premissas!$B$48+1),0)</x:f>
        <x:v>0</x:v>
      </x:c>
      <x:c r="I428" s="141" t="n">
        <x:f>IF(A428=Premissas!$B$27,MIN(D428,H428),0)</x:f>
        <x:v>0</x:v>
      </x:c>
      <x:c r="J428" s="141" t="n">
        <x:f>IF(A428=Premissas!$B$27,D428-H428,0)</x:f>
        <x:v>0</x:v>
      </x:c>
      <x:c r="K428" s="141" t="n">
        <x:f>E428+G428</x:f>
        <x:v>0</x:v>
      </x:c>
      <x:c r="L428" s="141" t="n">
        <x:f>SUM($K$6:K428)</x:f>
        <x:v>368370.4829168556</x:v>
      </x:c>
      <x:c r="M428" s="141" t="str">
        <x:f>IF(A428&lt;Premissas!$B$27,"Financiamento + consorcio",IF(A428=Premissas!$B$27,"Quitacao via carta",IF(A428&lt;=Premissas!$B$25,"Somente consorcio","Encerrado")))</x:f>
        <x:v>Encerrado</x:v>
      </x:c>
      <x:c r="N428" s="141" t="n">
        <x:f>IF(A428&gt;=Premissas!$B$25,0,(N429+E429)/(1+Premissas!$B$41))</x:f>
        <x:v>0</x:v>
      </x:c>
      <x:c r="O428" s="141" t="n">
        <x:f>IF(A428&lt;Premissas!$B$27,Premissas!$B$31/(1+Premissas!$B$41)^(Premissas!$B$27-A428),0)</x:f>
        <x:v>0</x:v>
      </x:c>
      <x:c r="P428" s="141" t="n">
        <x:f>MAX(0,H428-I428)+N428</x:f>
        <x:v>0</x:v>
      </x:c>
    </x:row>
    <x:row r="429">
      <x:c r="A429" s="142" t="n">
        <x:v>424</x:v>
      </x:c>
      <x:c r="B429" s="179" t="n">
        <x:f>EDATE(Premissas!$B$4,423)</x:f>
        <x:v>59415</x:v>
      </x:c>
      <x:c r="C429" s="180" t="n">
        <x:f>(1+Premissas!$B$26)^INT((A429-1)/12)</x:f>
        <x:v>7.6860867923123495</x:v>
      </x:c>
      <x:c r="D429" s="141" t="n">
        <x:f>Premissas!$B$30*C429</x:f>
        <x:v>834939.5167937918</x:v>
      </x:c>
      <x:c r="E429" s="141" t="n">
        <x:f>IF(A429&lt;=Premissas!$B$25,Premissas!$B$32*C429,0)</x:f>
        <x:v>0</x:v>
      </x:c>
      <x:c r="F429" s="141" t="n">
        <x:f>IF(AND(A429&gt;=Premissas!$B$48,A429&lt;=Premissas!$B$27,A429-Premissas!$B$48+1&lt;=Premissas!$B$13),INDEX(Financiamento!$C$6:$C$485,A429-Premissas!$B$48+1),0)</x:f>
        <x:v>0</x:v>
      </x:c>
      <x:c r="G429" s="141" t="n">
        <x:f>IF(AND(A429&gt;=Premissas!$B$48,A429&lt;=Premissas!$B$27,A429-Premissas!$B$48+1&lt;=Premissas!$B$13),INDEX(Financiamento!$J$6:$J$485,A429-Premissas!$B$48+1),0)</x:f>
        <x:v>0</x:v>
      </x:c>
      <x:c r="H429" s="141" t="n">
        <x:f>IF(AND(A429&gt;=Premissas!$B$48,A429&lt;=Premissas!$B$27,A429-Premissas!$B$48+1&lt;=Premissas!$B$13),INDEX(Financiamento!$M$6:$M$485,A429-Premissas!$B$48+1),0)</x:f>
        <x:v>0</x:v>
      </x:c>
      <x:c r="I429" s="141" t="n">
        <x:f>IF(A429=Premissas!$B$27,MIN(D429,H429),0)</x:f>
        <x:v>0</x:v>
      </x:c>
      <x:c r="J429" s="141" t="n">
        <x:f>IF(A429=Premissas!$B$27,D429-H429,0)</x:f>
        <x:v>0</x:v>
      </x:c>
      <x:c r="K429" s="141" t="n">
        <x:f>E429+G429</x:f>
        <x:v>0</x:v>
      </x:c>
      <x:c r="L429" s="141" t="n">
        <x:f>SUM($K$6:K429)</x:f>
        <x:v>368370.4829168556</x:v>
      </x:c>
      <x:c r="M429" s="141" t="str">
        <x:f>IF(A429&lt;Premissas!$B$27,"Financiamento + consorcio",IF(A429=Premissas!$B$27,"Quitacao via carta",IF(A429&lt;=Premissas!$B$25,"Somente consorcio","Encerrado")))</x:f>
        <x:v>Encerrado</x:v>
      </x:c>
      <x:c r="N429" s="141" t="n">
        <x:f>IF(A429&gt;=Premissas!$B$25,0,(N430+E430)/(1+Premissas!$B$41))</x:f>
        <x:v>0</x:v>
      </x:c>
      <x:c r="O429" s="141" t="n">
        <x:f>IF(A429&lt;Premissas!$B$27,Premissas!$B$31/(1+Premissas!$B$41)^(Premissas!$B$27-A429),0)</x:f>
        <x:v>0</x:v>
      </x:c>
      <x:c r="P429" s="141" t="n">
        <x:f>MAX(0,H429-I429)+N429</x:f>
        <x:v>0</x:v>
      </x:c>
    </x:row>
    <x:row r="430">
      <x:c r="A430" s="142" t="n">
        <x:v>425</x:v>
      </x:c>
      <x:c r="B430" s="179" t="n">
        <x:f>EDATE(Premissas!$B$4,424)</x:f>
        <x:v>59445</x:v>
      </x:c>
      <x:c r="C430" s="180" t="n">
        <x:f>(1+Premissas!$B$26)^INT((A430-1)/12)</x:f>
        <x:v>7.6860867923123495</x:v>
      </x:c>
      <x:c r="D430" s="141" t="n">
        <x:f>Premissas!$B$30*C430</x:f>
        <x:v>834939.5167937918</x:v>
      </x:c>
      <x:c r="E430" s="141" t="n">
        <x:f>IF(A430&lt;=Premissas!$B$25,Premissas!$B$32*C430,0)</x:f>
        <x:v>0</x:v>
      </x:c>
      <x:c r="F430" s="141" t="n">
        <x:f>IF(AND(A430&gt;=Premissas!$B$48,A430&lt;=Premissas!$B$27,A430-Premissas!$B$48+1&lt;=Premissas!$B$13),INDEX(Financiamento!$C$6:$C$485,A430-Premissas!$B$48+1),0)</x:f>
        <x:v>0</x:v>
      </x:c>
      <x:c r="G430" s="141" t="n">
        <x:f>IF(AND(A430&gt;=Premissas!$B$48,A430&lt;=Premissas!$B$27,A430-Premissas!$B$48+1&lt;=Premissas!$B$13),INDEX(Financiamento!$J$6:$J$485,A430-Premissas!$B$48+1),0)</x:f>
        <x:v>0</x:v>
      </x:c>
      <x:c r="H430" s="141" t="n">
        <x:f>IF(AND(A430&gt;=Premissas!$B$48,A430&lt;=Premissas!$B$27,A430-Premissas!$B$48+1&lt;=Premissas!$B$13),INDEX(Financiamento!$M$6:$M$485,A430-Premissas!$B$48+1),0)</x:f>
        <x:v>0</x:v>
      </x:c>
      <x:c r="I430" s="141" t="n">
        <x:f>IF(A430=Premissas!$B$27,MIN(D430,H430),0)</x:f>
        <x:v>0</x:v>
      </x:c>
      <x:c r="J430" s="141" t="n">
        <x:f>IF(A430=Premissas!$B$27,D430-H430,0)</x:f>
        <x:v>0</x:v>
      </x:c>
      <x:c r="K430" s="141" t="n">
        <x:f>E430+G430</x:f>
        <x:v>0</x:v>
      </x:c>
      <x:c r="L430" s="141" t="n">
        <x:f>SUM($K$6:K430)</x:f>
        <x:v>368370.4829168556</x:v>
      </x:c>
      <x:c r="M430" s="141" t="str">
        <x:f>IF(A430&lt;Premissas!$B$27,"Financiamento + consorcio",IF(A430=Premissas!$B$27,"Quitacao via carta",IF(A430&lt;=Premissas!$B$25,"Somente consorcio","Encerrado")))</x:f>
        <x:v>Encerrado</x:v>
      </x:c>
      <x:c r="N430" s="141" t="n">
        <x:f>IF(A430&gt;=Premissas!$B$25,0,(N431+E431)/(1+Premissas!$B$41))</x:f>
        <x:v>0</x:v>
      </x:c>
      <x:c r="O430" s="141" t="n">
        <x:f>IF(A430&lt;Premissas!$B$27,Premissas!$B$31/(1+Premissas!$B$41)^(Premissas!$B$27-A430),0)</x:f>
        <x:v>0</x:v>
      </x:c>
      <x:c r="P430" s="141" t="n">
        <x:f>MAX(0,H430-I430)+N430</x:f>
        <x:v>0</x:v>
      </x:c>
    </x:row>
    <x:row r="431">
      <x:c r="A431" s="142" t="n">
        <x:v>426</x:v>
      </x:c>
      <x:c r="B431" s="179" t="n">
        <x:f>EDATE(Premissas!$B$4,425)</x:f>
        <x:v>59476</x:v>
      </x:c>
      <x:c r="C431" s="180" t="n">
        <x:f>(1+Premissas!$B$26)^INT((A431-1)/12)</x:f>
        <x:v>7.6860867923123495</x:v>
      </x:c>
      <x:c r="D431" s="141" t="n">
        <x:f>Premissas!$B$30*C431</x:f>
        <x:v>834939.5167937918</x:v>
      </x:c>
      <x:c r="E431" s="141" t="n">
        <x:f>IF(A431&lt;=Premissas!$B$25,Premissas!$B$32*C431,0)</x:f>
        <x:v>0</x:v>
      </x:c>
      <x:c r="F431" s="141" t="n">
        <x:f>IF(AND(A431&gt;=Premissas!$B$48,A431&lt;=Premissas!$B$27,A431-Premissas!$B$48+1&lt;=Premissas!$B$13),INDEX(Financiamento!$C$6:$C$485,A431-Premissas!$B$48+1),0)</x:f>
        <x:v>0</x:v>
      </x:c>
      <x:c r="G431" s="141" t="n">
        <x:f>IF(AND(A431&gt;=Premissas!$B$48,A431&lt;=Premissas!$B$27,A431-Premissas!$B$48+1&lt;=Premissas!$B$13),INDEX(Financiamento!$J$6:$J$485,A431-Premissas!$B$48+1),0)</x:f>
        <x:v>0</x:v>
      </x:c>
      <x:c r="H431" s="141" t="n">
        <x:f>IF(AND(A431&gt;=Premissas!$B$48,A431&lt;=Premissas!$B$27,A431-Premissas!$B$48+1&lt;=Premissas!$B$13),INDEX(Financiamento!$M$6:$M$485,A431-Premissas!$B$48+1),0)</x:f>
        <x:v>0</x:v>
      </x:c>
      <x:c r="I431" s="141" t="n">
        <x:f>IF(A431=Premissas!$B$27,MIN(D431,H431),0)</x:f>
        <x:v>0</x:v>
      </x:c>
      <x:c r="J431" s="141" t="n">
        <x:f>IF(A431=Premissas!$B$27,D431-H431,0)</x:f>
        <x:v>0</x:v>
      </x:c>
      <x:c r="K431" s="141" t="n">
        <x:f>E431+G431</x:f>
        <x:v>0</x:v>
      </x:c>
      <x:c r="L431" s="141" t="n">
        <x:f>SUM($K$6:K431)</x:f>
        <x:v>368370.4829168556</x:v>
      </x:c>
      <x:c r="M431" s="141" t="str">
        <x:f>IF(A431&lt;Premissas!$B$27,"Financiamento + consorcio",IF(A431=Premissas!$B$27,"Quitacao via carta",IF(A431&lt;=Premissas!$B$25,"Somente consorcio","Encerrado")))</x:f>
        <x:v>Encerrado</x:v>
      </x:c>
      <x:c r="N431" s="141" t="n">
        <x:f>IF(A431&gt;=Premissas!$B$25,0,(N432+E432)/(1+Premissas!$B$41))</x:f>
        <x:v>0</x:v>
      </x:c>
      <x:c r="O431" s="141" t="n">
        <x:f>IF(A431&lt;Premissas!$B$27,Premissas!$B$31/(1+Premissas!$B$41)^(Premissas!$B$27-A431),0)</x:f>
        <x:v>0</x:v>
      </x:c>
      <x:c r="P431" s="141" t="n">
        <x:f>MAX(0,H431-I431)+N431</x:f>
        <x:v>0</x:v>
      </x:c>
    </x:row>
    <x:row r="432">
      <x:c r="A432" s="142" t="n">
        <x:v>427</x:v>
      </x:c>
      <x:c r="B432" s="179" t="n">
        <x:f>EDATE(Premissas!$B$4,426)</x:f>
        <x:v>59506</x:v>
      </x:c>
      <x:c r="C432" s="180" t="n">
        <x:f>(1+Premissas!$B$26)^INT((A432-1)/12)</x:f>
        <x:v>7.6860867923123495</x:v>
      </x:c>
      <x:c r="D432" s="141" t="n">
        <x:f>Premissas!$B$30*C432</x:f>
        <x:v>834939.5167937918</x:v>
      </x:c>
      <x:c r="E432" s="141" t="n">
        <x:f>IF(A432&lt;=Premissas!$B$25,Premissas!$B$32*C432,0)</x:f>
        <x:v>0</x:v>
      </x:c>
      <x:c r="F432" s="141" t="n">
        <x:f>IF(AND(A432&gt;=Premissas!$B$48,A432&lt;=Premissas!$B$27,A432-Premissas!$B$48+1&lt;=Premissas!$B$13),INDEX(Financiamento!$C$6:$C$485,A432-Premissas!$B$48+1),0)</x:f>
        <x:v>0</x:v>
      </x:c>
      <x:c r="G432" s="141" t="n">
        <x:f>IF(AND(A432&gt;=Premissas!$B$48,A432&lt;=Premissas!$B$27,A432-Premissas!$B$48+1&lt;=Premissas!$B$13),INDEX(Financiamento!$J$6:$J$485,A432-Premissas!$B$48+1),0)</x:f>
        <x:v>0</x:v>
      </x:c>
      <x:c r="H432" s="141" t="n">
        <x:f>IF(AND(A432&gt;=Premissas!$B$48,A432&lt;=Premissas!$B$27,A432-Premissas!$B$48+1&lt;=Premissas!$B$13),INDEX(Financiamento!$M$6:$M$485,A432-Premissas!$B$48+1),0)</x:f>
        <x:v>0</x:v>
      </x:c>
      <x:c r="I432" s="141" t="n">
        <x:f>IF(A432=Premissas!$B$27,MIN(D432,H432),0)</x:f>
        <x:v>0</x:v>
      </x:c>
      <x:c r="J432" s="141" t="n">
        <x:f>IF(A432=Premissas!$B$27,D432-H432,0)</x:f>
        <x:v>0</x:v>
      </x:c>
      <x:c r="K432" s="141" t="n">
        <x:f>E432+G432</x:f>
        <x:v>0</x:v>
      </x:c>
      <x:c r="L432" s="141" t="n">
        <x:f>SUM($K$6:K432)</x:f>
        <x:v>368370.4829168556</x:v>
      </x:c>
      <x:c r="M432" s="141" t="str">
        <x:f>IF(A432&lt;Premissas!$B$27,"Financiamento + consorcio",IF(A432=Premissas!$B$27,"Quitacao via carta",IF(A432&lt;=Premissas!$B$25,"Somente consorcio","Encerrado")))</x:f>
        <x:v>Encerrado</x:v>
      </x:c>
      <x:c r="N432" s="141" t="n">
        <x:f>IF(A432&gt;=Premissas!$B$25,0,(N433+E433)/(1+Premissas!$B$41))</x:f>
        <x:v>0</x:v>
      </x:c>
      <x:c r="O432" s="141" t="n">
        <x:f>IF(A432&lt;Premissas!$B$27,Premissas!$B$31/(1+Premissas!$B$41)^(Premissas!$B$27-A432),0)</x:f>
        <x:v>0</x:v>
      </x:c>
      <x:c r="P432" s="141" t="n">
        <x:f>MAX(0,H432-I432)+N432</x:f>
        <x:v>0</x:v>
      </x:c>
    </x:row>
    <x:row r="433">
      <x:c r="A433" s="142" t="n">
        <x:v>428</x:v>
      </x:c>
      <x:c r="B433" s="179" t="n">
        <x:f>EDATE(Premissas!$B$4,427)</x:f>
        <x:v>59537</x:v>
      </x:c>
      <x:c r="C433" s="180" t="n">
        <x:f>(1+Premissas!$B$26)^INT((A433-1)/12)</x:f>
        <x:v>7.6860867923123495</x:v>
      </x:c>
      <x:c r="D433" s="141" t="n">
        <x:f>Premissas!$B$30*C433</x:f>
        <x:v>834939.5167937918</x:v>
      </x:c>
      <x:c r="E433" s="141" t="n">
        <x:f>IF(A433&lt;=Premissas!$B$25,Premissas!$B$32*C433,0)</x:f>
        <x:v>0</x:v>
      </x:c>
      <x:c r="F433" s="141" t="n">
        <x:f>IF(AND(A433&gt;=Premissas!$B$48,A433&lt;=Premissas!$B$27,A433-Premissas!$B$48+1&lt;=Premissas!$B$13),INDEX(Financiamento!$C$6:$C$485,A433-Premissas!$B$48+1),0)</x:f>
        <x:v>0</x:v>
      </x:c>
      <x:c r="G433" s="141" t="n">
        <x:f>IF(AND(A433&gt;=Premissas!$B$48,A433&lt;=Premissas!$B$27,A433-Premissas!$B$48+1&lt;=Premissas!$B$13),INDEX(Financiamento!$J$6:$J$485,A433-Premissas!$B$48+1),0)</x:f>
        <x:v>0</x:v>
      </x:c>
      <x:c r="H433" s="141" t="n">
        <x:f>IF(AND(A433&gt;=Premissas!$B$48,A433&lt;=Premissas!$B$27,A433-Premissas!$B$48+1&lt;=Premissas!$B$13),INDEX(Financiamento!$M$6:$M$485,A433-Premissas!$B$48+1),0)</x:f>
        <x:v>0</x:v>
      </x:c>
      <x:c r="I433" s="141" t="n">
        <x:f>IF(A433=Premissas!$B$27,MIN(D433,H433),0)</x:f>
        <x:v>0</x:v>
      </x:c>
      <x:c r="J433" s="141" t="n">
        <x:f>IF(A433=Premissas!$B$27,D433-H433,0)</x:f>
        <x:v>0</x:v>
      </x:c>
      <x:c r="K433" s="141" t="n">
        <x:f>E433+G433</x:f>
        <x:v>0</x:v>
      </x:c>
      <x:c r="L433" s="141" t="n">
        <x:f>SUM($K$6:K433)</x:f>
        <x:v>368370.4829168556</x:v>
      </x:c>
      <x:c r="M433" s="141" t="str">
        <x:f>IF(A433&lt;Premissas!$B$27,"Financiamento + consorcio",IF(A433=Premissas!$B$27,"Quitacao via carta",IF(A433&lt;=Premissas!$B$25,"Somente consorcio","Encerrado")))</x:f>
        <x:v>Encerrado</x:v>
      </x:c>
      <x:c r="N433" s="141" t="n">
        <x:f>IF(A433&gt;=Premissas!$B$25,0,(N434+E434)/(1+Premissas!$B$41))</x:f>
        <x:v>0</x:v>
      </x:c>
      <x:c r="O433" s="141" t="n">
        <x:f>IF(A433&lt;Premissas!$B$27,Premissas!$B$31/(1+Premissas!$B$41)^(Premissas!$B$27-A433),0)</x:f>
        <x:v>0</x:v>
      </x:c>
      <x:c r="P433" s="141" t="n">
        <x:f>MAX(0,H433-I433)+N433</x:f>
        <x:v>0</x:v>
      </x:c>
    </x:row>
    <x:row r="434">
      <x:c r="A434" s="142" t="n">
        <x:v>429</x:v>
      </x:c>
      <x:c r="B434" s="179" t="n">
        <x:f>EDATE(Premissas!$B$4,428)</x:f>
        <x:v>59568</x:v>
      </x:c>
      <x:c r="C434" s="180" t="n">
        <x:f>(1+Premissas!$B$26)^INT((A434-1)/12)</x:f>
        <x:v>7.6860867923123495</x:v>
      </x:c>
      <x:c r="D434" s="141" t="n">
        <x:f>Premissas!$B$30*C434</x:f>
        <x:v>834939.5167937918</x:v>
      </x:c>
      <x:c r="E434" s="141" t="n">
        <x:f>IF(A434&lt;=Premissas!$B$25,Premissas!$B$32*C434,0)</x:f>
        <x:v>0</x:v>
      </x:c>
      <x:c r="F434" s="141" t="n">
        <x:f>IF(AND(A434&gt;=Premissas!$B$48,A434&lt;=Premissas!$B$27,A434-Premissas!$B$48+1&lt;=Premissas!$B$13),INDEX(Financiamento!$C$6:$C$485,A434-Premissas!$B$48+1),0)</x:f>
        <x:v>0</x:v>
      </x:c>
      <x:c r="G434" s="141" t="n">
        <x:f>IF(AND(A434&gt;=Premissas!$B$48,A434&lt;=Premissas!$B$27,A434-Premissas!$B$48+1&lt;=Premissas!$B$13),INDEX(Financiamento!$J$6:$J$485,A434-Premissas!$B$48+1),0)</x:f>
        <x:v>0</x:v>
      </x:c>
      <x:c r="H434" s="141" t="n">
        <x:f>IF(AND(A434&gt;=Premissas!$B$48,A434&lt;=Premissas!$B$27,A434-Premissas!$B$48+1&lt;=Premissas!$B$13),INDEX(Financiamento!$M$6:$M$485,A434-Premissas!$B$48+1),0)</x:f>
        <x:v>0</x:v>
      </x:c>
      <x:c r="I434" s="141" t="n">
        <x:f>IF(A434=Premissas!$B$27,MIN(D434,H434),0)</x:f>
        <x:v>0</x:v>
      </x:c>
      <x:c r="J434" s="141" t="n">
        <x:f>IF(A434=Premissas!$B$27,D434-H434,0)</x:f>
        <x:v>0</x:v>
      </x:c>
      <x:c r="K434" s="141" t="n">
        <x:f>E434+G434</x:f>
        <x:v>0</x:v>
      </x:c>
      <x:c r="L434" s="141" t="n">
        <x:f>SUM($K$6:K434)</x:f>
        <x:v>368370.4829168556</x:v>
      </x:c>
      <x:c r="M434" s="141" t="str">
        <x:f>IF(A434&lt;Premissas!$B$27,"Financiamento + consorcio",IF(A434=Premissas!$B$27,"Quitacao via carta",IF(A434&lt;=Premissas!$B$25,"Somente consorcio","Encerrado")))</x:f>
        <x:v>Encerrado</x:v>
      </x:c>
      <x:c r="N434" s="141" t="n">
        <x:f>IF(A434&gt;=Premissas!$B$25,0,(N435+E435)/(1+Premissas!$B$41))</x:f>
        <x:v>0</x:v>
      </x:c>
      <x:c r="O434" s="141" t="n">
        <x:f>IF(A434&lt;Premissas!$B$27,Premissas!$B$31/(1+Premissas!$B$41)^(Premissas!$B$27-A434),0)</x:f>
        <x:v>0</x:v>
      </x:c>
      <x:c r="P434" s="141" t="n">
        <x:f>MAX(0,H434-I434)+N434</x:f>
        <x:v>0</x:v>
      </x:c>
    </x:row>
    <x:row r="435">
      <x:c r="A435" s="142" t="n">
        <x:v>430</x:v>
      </x:c>
      <x:c r="B435" s="179" t="n">
        <x:f>EDATE(Premissas!$B$4,429)</x:f>
        <x:v>59596</x:v>
      </x:c>
      <x:c r="C435" s="180" t="n">
        <x:f>(1+Premissas!$B$26)^INT((A435-1)/12)</x:f>
        <x:v>7.6860867923123495</x:v>
      </x:c>
      <x:c r="D435" s="141" t="n">
        <x:f>Premissas!$B$30*C435</x:f>
        <x:v>834939.5167937918</x:v>
      </x:c>
      <x:c r="E435" s="141" t="n">
        <x:f>IF(A435&lt;=Premissas!$B$25,Premissas!$B$32*C435,0)</x:f>
        <x:v>0</x:v>
      </x:c>
      <x:c r="F435" s="141" t="n">
        <x:f>IF(AND(A435&gt;=Premissas!$B$48,A435&lt;=Premissas!$B$27,A435-Premissas!$B$48+1&lt;=Premissas!$B$13),INDEX(Financiamento!$C$6:$C$485,A435-Premissas!$B$48+1),0)</x:f>
        <x:v>0</x:v>
      </x:c>
      <x:c r="G435" s="141" t="n">
        <x:f>IF(AND(A435&gt;=Premissas!$B$48,A435&lt;=Premissas!$B$27,A435-Premissas!$B$48+1&lt;=Premissas!$B$13),INDEX(Financiamento!$J$6:$J$485,A435-Premissas!$B$48+1),0)</x:f>
        <x:v>0</x:v>
      </x:c>
      <x:c r="H435" s="141" t="n">
        <x:f>IF(AND(A435&gt;=Premissas!$B$48,A435&lt;=Premissas!$B$27,A435-Premissas!$B$48+1&lt;=Premissas!$B$13),INDEX(Financiamento!$M$6:$M$485,A435-Premissas!$B$48+1),0)</x:f>
        <x:v>0</x:v>
      </x:c>
      <x:c r="I435" s="141" t="n">
        <x:f>IF(A435=Premissas!$B$27,MIN(D435,H435),0)</x:f>
        <x:v>0</x:v>
      </x:c>
      <x:c r="J435" s="141" t="n">
        <x:f>IF(A435=Premissas!$B$27,D435-H435,0)</x:f>
        <x:v>0</x:v>
      </x:c>
      <x:c r="K435" s="141" t="n">
        <x:f>E435+G435</x:f>
        <x:v>0</x:v>
      </x:c>
      <x:c r="L435" s="141" t="n">
        <x:f>SUM($K$6:K435)</x:f>
        <x:v>368370.4829168556</x:v>
      </x:c>
      <x:c r="M435" s="141" t="str">
        <x:f>IF(A435&lt;Premissas!$B$27,"Financiamento + consorcio",IF(A435=Premissas!$B$27,"Quitacao via carta",IF(A435&lt;=Premissas!$B$25,"Somente consorcio","Encerrado")))</x:f>
        <x:v>Encerrado</x:v>
      </x:c>
      <x:c r="N435" s="141" t="n">
        <x:f>IF(A435&gt;=Premissas!$B$25,0,(N436+E436)/(1+Premissas!$B$41))</x:f>
        <x:v>0</x:v>
      </x:c>
      <x:c r="O435" s="141" t="n">
        <x:f>IF(A435&lt;Premissas!$B$27,Premissas!$B$31/(1+Premissas!$B$41)^(Premissas!$B$27-A435),0)</x:f>
        <x:v>0</x:v>
      </x:c>
      <x:c r="P435" s="141" t="n">
        <x:f>MAX(0,H435-I435)+N435</x:f>
        <x:v>0</x:v>
      </x:c>
    </x:row>
    <x:row r="436">
      <x:c r="A436" s="142" t="n">
        <x:v>431</x:v>
      </x:c>
      <x:c r="B436" s="179" t="n">
        <x:f>EDATE(Premissas!$B$4,430)</x:f>
        <x:v>59627</x:v>
      </x:c>
      <x:c r="C436" s="180" t="n">
        <x:f>(1+Premissas!$B$26)^INT((A436-1)/12)</x:f>
        <x:v>7.6860867923123495</x:v>
      </x:c>
      <x:c r="D436" s="141" t="n">
        <x:f>Premissas!$B$30*C436</x:f>
        <x:v>834939.5167937918</x:v>
      </x:c>
      <x:c r="E436" s="141" t="n">
        <x:f>IF(A436&lt;=Premissas!$B$25,Premissas!$B$32*C436,0)</x:f>
        <x:v>0</x:v>
      </x:c>
      <x:c r="F436" s="141" t="n">
        <x:f>IF(AND(A436&gt;=Premissas!$B$48,A436&lt;=Premissas!$B$27,A436-Premissas!$B$48+1&lt;=Premissas!$B$13),INDEX(Financiamento!$C$6:$C$485,A436-Premissas!$B$48+1),0)</x:f>
        <x:v>0</x:v>
      </x:c>
      <x:c r="G436" s="141" t="n">
        <x:f>IF(AND(A436&gt;=Premissas!$B$48,A436&lt;=Premissas!$B$27,A436-Premissas!$B$48+1&lt;=Premissas!$B$13),INDEX(Financiamento!$J$6:$J$485,A436-Premissas!$B$48+1),0)</x:f>
        <x:v>0</x:v>
      </x:c>
      <x:c r="H436" s="141" t="n">
        <x:f>IF(AND(A436&gt;=Premissas!$B$48,A436&lt;=Premissas!$B$27,A436-Premissas!$B$48+1&lt;=Premissas!$B$13),INDEX(Financiamento!$M$6:$M$485,A436-Premissas!$B$48+1),0)</x:f>
        <x:v>0</x:v>
      </x:c>
      <x:c r="I436" s="141" t="n">
        <x:f>IF(A436=Premissas!$B$27,MIN(D436,H436),0)</x:f>
        <x:v>0</x:v>
      </x:c>
      <x:c r="J436" s="141" t="n">
        <x:f>IF(A436=Premissas!$B$27,D436-H436,0)</x:f>
        <x:v>0</x:v>
      </x:c>
      <x:c r="K436" s="141" t="n">
        <x:f>E436+G436</x:f>
        <x:v>0</x:v>
      </x:c>
      <x:c r="L436" s="141" t="n">
        <x:f>SUM($K$6:K436)</x:f>
        <x:v>368370.4829168556</x:v>
      </x:c>
      <x:c r="M436" s="141" t="str">
        <x:f>IF(A436&lt;Premissas!$B$27,"Financiamento + consorcio",IF(A436=Premissas!$B$27,"Quitacao via carta",IF(A436&lt;=Premissas!$B$25,"Somente consorcio","Encerrado")))</x:f>
        <x:v>Encerrado</x:v>
      </x:c>
      <x:c r="N436" s="141" t="n">
        <x:f>IF(A436&gt;=Premissas!$B$25,0,(N437+E437)/(1+Premissas!$B$41))</x:f>
        <x:v>0</x:v>
      </x:c>
      <x:c r="O436" s="141" t="n">
        <x:f>IF(A436&lt;Premissas!$B$27,Premissas!$B$31/(1+Premissas!$B$41)^(Premissas!$B$27-A436),0)</x:f>
        <x:v>0</x:v>
      </x:c>
      <x:c r="P436" s="141" t="n">
        <x:f>MAX(0,H436-I436)+N436</x:f>
        <x:v>0</x:v>
      </x:c>
    </x:row>
    <x:row r="437">
      <x:c r="A437" s="142" t="n">
        <x:v>432</x:v>
      </x:c>
      <x:c r="B437" s="179" t="n">
        <x:f>EDATE(Premissas!$B$4,431)</x:f>
        <x:v>59657</x:v>
      </x:c>
      <x:c r="C437" s="180" t="n">
        <x:f>(1+Premissas!$B$26)^INT((A437-1)/12)</x:f>
        <x:v>7.6860867923123495</x:v>
      </x:c>
      <x:c r="D437" s="141" t="n">
        <x:f>Premissas!$B$30*C437</x:f>
        <x:v>834939.5167937918</x:v>
      </x:c>
      <x:c r="E437" s="141" t="n">
        <x:f>IF(A437&lt;=Premissas!$B$25,Premissas!$B$32*C437,0)</x:f>
        <x:v>0</x:v>
      </x:c>
      <x:c r="F437" s="141" t="n">
        <x:f>IF(AND(A437&gt;=Premissas!$B$48,A437&lt;=Premissas!$B$27,A437-Premissas!$B$48+1&lt;=Premissas!$B$13),INDEX(Financiamento!$C$6:$C$485,A437-Premissas!$B$48+1),0)</x:f>
        <x:v>0</x:v>
      </x:c>
      <x:c r="G437" s="141" t="n">
        <x:f>IF(AND(A437&gt;=Premissas!$B$48,A437&lt;=Premissas!$B$27,A437-Premissas!$B$48+1&lt;=Premissas!$B$13),INDEX(Financiamento!$J$6:$J$485,A437-Premissas!$B$48+1),0)</x:f>
        <x:v>0</x:v>
      </x:c>
      <x:c r="H437" s="141" t="n">
        <x:f>IF(AND(A437&gt;=Premissas!$B$48,A437&lt;=Premissas!$B$27,A437-Premissas!$B$48+1&lt;=Premissas!$B$13),INDEX(Financiamento!$M$6:$M$485,A437-Premissas!$B$48+1),0)</x:f>
        <x:v>0</x:v>
      </x:c>
      <x:c r="I437" s="141" t="n">
        <x:f>IF(A437=Premissas!$B$27,MIN(D437,H437),0)</x:f>
        <x:v>0</x:v>
      </x:c>
      <x:c r="J437" s="141" t="n">
        <x:f>IF(A437=Premissas!$B$27,D437-H437,0)</x:f>
        <x:v>0</x:v>
      </x:c>
      <x:c r="K437" s="141" t="n">
        <x:f>E437+G437</x:f>
        <x:v>0</x:v>
      </x:c>
      <x:c r="L437" s="141" t="n">
        <x:f>SUM($K$6:K437)</x:f>
        <x:v>368370.4829168556</x:v>
      </x:c>
      <x:c r="M437" s="141" t="str">
        <x:f>IF(A437&lt;Premissas!$B$27,"Financiamento + consorcio",IF(A437=Premissas!$B$27,"Quitacao via carta",IF(A437&lt;=Premissas!$B$25,"Somente consorcio","Encerrado")))</x:f>
        <x:v>Encerrado</x:v>
      </x:c>
      <x:c r="N437" s="141" t="n">
        <x:f>IF(A437&gt;=Premissas!$B$25,0,(N438+E438)/(1+Premissas!$B$41))</x:f>
        <x:v>0</x:v>
      </x:c>
      <x:c r="O437" s="141" t="n">
        <x:f>IF(A437&lt;Premissas!$B$27,Premissas!$B$31/(1+Premissas!$B$41)^(Premissas!$B$27-A437),0)</x:f>
        <x:v>0</x:v>
      </x:c>
      <x:c r="P437" s="141" t="n">
        <x:f>MAX(0,H437-I437)+N437</x:f>
        <x:v>0</x:v>
      </x:c>
    </x:row>
    <x:row r="438">
      <x:c r="A438" s="142" t="n">
        <x:v>433</x:v>
      </x:c>
      <x:c r="B438" s="179" t="n">
        <x:f>EDATE(Premissas!$B$4,432)</x:f>
        <x:v>59688</x:v>
      </x:c>
      <x:c r="C438" s="180" t="n">
        <x:f>(1+Premissas!$B$26)^INT((A438-1)/12)</x:f>
        <x:v>8.14725199985109</x:v>
      </x:c>
      <x:c r="D438" s="141" t="n">
        <x:f>Premissas!$B$30*C438</x:f>
        <x:v>885035.8878014192</x:v>
      </x:c>
      <x:c r="E438" s="141" t="n">
        <x:f>IF(A438&lt;=Premissas!$B$25,Premissas!$B$32*C438,0)</x:f>
        <x:v>0</x:v>
      </x:c>
      <x:c r="F438" s="141" t="n">
        <x:f>IF(AND(A438&gt;=Premissas!$B$48,A438&lt;=Premissas!$B$27,A438-Premissas!$B$48+1&lt;=Premissas!$B$13),INDEX(Financiamento!$C$6:$C$485,A438-Premissas!$B$48+1),0)</x:f>
        <x:v>0</x:v>
      </x:c>
      <x:c r="G438" s="141" t="n">
        <x:f>IF(AND(A438&gt;=Premissas!$B$48,A438&lt;=Premissas!$B$27,A438-Premissas!$B$48+1&lt;=Premissas!$B$13),INDEX(Financiamento!$J$6:$J$485,A438-Premissas!$B$48+1),0)</x:f>
        <x:v>0</x:v>
      </x:c>
      <x:c r="H438" s="141" t="n">
        <x:f>IF(AND(A438&gt;=Premissas!$B$48,A438&lt;=Premissas!$B$27,A438-Premissas!$B$48+1&lt;=Premissas!$B$13),INDEX(Financiamento!$M$6:$M$485,A438-Premissas!$B$48+1),0)</x:f>
        <x:v>0</x:v>
      </x:c>
      <x:c r="I438" s="141" t="n">
        <x:f>IF(A438=Premissas!$B$27,MIN(D438,H438),0)</x:f>
        <x:v>0</x:v>
      </x:c>
      <x:c r="J438" s="141" t="n">
        <x:f>IF(A438=Premissas!$B$27,D438-H438,0)</x:f>
        <x:v>0</x:v>
      </x:c>
      <x:c r="K438" s="141" t="n">
        <x:f>E438+G438</x:f>
        <x:v>0</x:v>
      </x:c>
      <x:c r="L438" s="141" t="n">
        <x:f>SUM($K$6:K438)</x:f>
        <x:v>368370.4829168556</x:v>
      </x:c>
      <x:c r="M438" s="141" t="str">
        <x:f>IF(A438&lt;Premissas!$B$27,"Financiamento + consorcio",IF(A438=Premissas!$B$27,"Quitacao via carta",IF(A438&lt;=Premissas!$B$25,"Somente consorcio","Encerrado")))</x:f>
        <x:v>Encerrado</x:v>
      </x:c>
      <x:c r="N438" s="141" t="n">
        <x:f>IF(A438&gt;=Premissas!$B$25,0,(N439+E439)/(1+Premissas!$B$41))</x:f>
        <x:v>0</x:v>
      </x:c>
      <x:c r="O438" s="141" t="n">
        <x:f>IF(A438&lt;Premissas!$B$27,Premissas!$B$31/(1+Premissas!$B$41)^(Premissas!$B$27-A438),0)</x:f>
        <x:v>0</x:v>
      </x:c>
      <x:c r="P438" s="141" t="n">
        <x:f>MAX(0,H438-I438)+N438</x:f>
        <x:v>0</x:v>
      </x:c>
    </x:row>
    <x:row r="439">
      <x:c r="A439" s="142" t="n">
        <x:v>434</x:v>
      </x:c>
      <x:c r="B439" s="179" t="n">
        <x:f>EDATE(Premissas!$B$4,433)</x:f>
        <x:v>59718</x:v>
      </x:c>
      <x:c r="C439" s="180" t="n">
        <x:f>(1+Premissas!$B$26)^INT((A439-1)/12)</x:f>
        <x:v>8.14725199985109</x:v>
      </x:c>
      <x:c r="D439" s="141" t="n">
        <x:f>Premissas!$B$30*C439</x:f>
        <x:v>885035.8878014192</x:v>
      </x:c>
      <x:c r="E439" s="141" t="n">
        <x:f>IF(A439&lt;=Premissas!$B$25,Premissas!$B$32*C439,0)</x:f>
        <x:v>0</x:v>
      </x:c>
      <x:c r="F439" s="141" t="n">
        <x:f>IF(AND(A439&gt;=Premissas!$B$48,A439&lt;=Premissas!$B$27,A439-Premissas!$B$48+1&lt;=Premissas!$B$13),INDEX(Financiamento!$C$6:$C$485,A439-Premissas!$B$48+1),0)</x:f>
        <x:v>0</x:v>
      </x:c>
      <x:c r="G439" s="141" t="n">
        <x:f>IF(AND(A439&gt;=Premissas!$B$48,A439&lt;=Premissas!$B$27,A439-Premissas!$B$48+1&lt;=Premissas!$B$13),INDEX(Financiamento!$J$6:$J$485,A439-Premissas!$B$48+1),0)</x:f>
        <x:v>0</x:v>
      </x:c>
      <x:c r="H439" s="141" t="n">
        <x:f>IF(AND(A439&gt;=Premissas!$B$48,A439&lt;=Premissas!$B$27,A439-Premissas!$B$48+1&lt;=Premissas!$B$13),INDEX(Financiamento!$M$6:$M$485,A439-Premissas!$B$48+1),0)</x:f>
        <x:v>0</x:v>
      </x:c>
      <x:c r="I439" s="141" t="n">
        <x:f>IF(A439=Premissas!$B$27,MIN(D439,H439),0)</x:f>
        <x:v>0</x:v>
      </x:c>
      <x:c r="J439" s="141" t="n">
        <x:f>IF(A439=Premissas!$B$27,D439-H439,0)</x:f>
        <x:v>0</x:v>
      </x:c>
      <x:c r="K439" s="141" t="n">
        <x:f>E439+G439</x:f>
        <x:v>0</x:v>
      </x:c>
      <x:c r="L439" s="141" t="n">
        <x:f>SUM($K$6:K439)</x:f>
        <x:v>368370.4829168556</x:v>
      </x:c>
      <x:c r="M439" s="141" t="str">
        <x:f>IF(A439&lt;Premissas!$B$27,"Financiamento + consorcio",IF(A439=Premissas!$B$27,"Quitacao via carta",IF(A439&lt;=Premissas!$B$25,"Somente consorcio","Encerrado")))</x:f>
        <x:v>Encerrado</x:v>
      </x:c>
      <x:c r="N439" s="141" t="n">
        <x:f>IF(A439&gt;=Premissas!$B$25,0,(N440+E440)/(1+Premissas!$B$41))</x:f>
        <x:v>0</x:v>
      </x:c>
      <x:c r="O439" s="141" t="n">
        <x:f>IF(A439&lt;Premissas!$B$27,Premissas!$B$31/(1+Premissas!$B$41)^(Premissas!$B$27-A439),0)</x:f>
        <x:v>0</x:v>
      </x:c>
      <x:c r="P439" s="141" t="n">
        <x:f>MAX(0,H439-I439)+N439</x:f>
        <x:v>0</x:v>
      </x:c>
    </x:row>
    <x:row r="440">
      <x:c r="A440" s="142" t="n">
        <x:v>435</x:v>
      </x:c>
      <x:c r="B440" s="179" t="n">
        <x:f>EDATE(Premissas!$B$4,434)</x:f>
        <x:v>59749</x:v>
      </x:c>
      <x:c r="C440" s="180" t="n">
        <x:f>(1+Premissas!$B$26)^INT((A440-1)/12)</x:f>
        <x:v>8.14725199985109</x:v>
      </x:c>
      <x:c r="D440" s="141" t="n">
        <x:f>Premissas!$B$30*C440</x:f>
        <x:v>885035.8878014192</x:v>
      </x:c>
      <x:c r="E440" s="141" t="n">
        <x:f>IF(A440&lt;=Premissas!$B$25,Premissas!$B$32*C440,0)</x:f>
        <x:v>0</x:v>
      </x:c>
      <x:c r="F440" s="141" t="n">
        <x:f>IF(AND(A440&gt;=Premissas!$B$48,A440&lt;=Premissas!$B$27,A440-Premissas!$B$48+1&lt;=Premissas!$B$13),INDEX(Financiamento!$C$6:$C$485,A440-Premissas!$B$48+1),0)</x:f>
        <x:v>0</x:v>
      </x:c>
      <x:c r="G440" s="141" t="n">
        <x:f>IF(AND(A440&gt;=Premissas!$B$48,A440&lt;=Premissas!$B$27,A440-Premissas!$B$48+1&lt;=Premissas!$B$13),INDEX(Financiamento!$J$6:$J$485,A440-Premissas!$B$48+1),0)</x:f>
        <x:v>0</x:v>
      </x:c>
      <x:c r="H440" s="141" t="n">
        <x:f>IF(AND(A440&gt;=Premissas!$B$48,A440&lt;=Premissas!$B$27,A440-Premissas!$B$48+1&lt;=Premissas!$B$13),INDEX(Financiamento!$M$6:$M$485,A440-Premissas!$B$48+1),0)</x:f>
        <x:v>0</x:v>
      </x:c>
      <x:c r="I440" s="141" t="n">
        <x:f>IF(A440=Premissas!$B$27,MIN(D440,H440),0)</x:f>
        <x:v>0</x:v>
      </x:c>
      <x:c r="J440" s="141" t="n">
        <x:f>IF(A440=Premissas!$B$27,D440-H440,0)</x:f>
        <x:v>0</x:v>
      </x:c>
      <x:c r="K440" s="141" t="n">
        <x:f>E440+G440</x:f>
        <x:v>0</x:v>
      </x:c>
      <x:c r="L440" s="141" t="n">
        <x:f>SUM($K$6:K440)</x:f>
        <x:v>368370.4829168556</x:v>
      </x:c>
      <x:c r="M440" s="141" t="str">
        <x:f>IF(A440&lt;Premissas!$B$27,"Financiamento + consorcio",IF(A440=Premissas!$B$27,"Quitacao via carta",IF(A440&lt;=Premissas!$B$25,"Somente consorcio","Encerrado")))</x:f>
        <x:v>Encerrado</x:v>
      </x:c>
      <x:c r="N440" s="141" t="n">
        <x:f>IF(A440&gt;=Premissas!$B$25,0,(N441+E441)/(1+Premissas!$B$41))</x:f>
        <x:v>0</x:v>
      </x:c>
      <x:c r="O440" s="141" t="n">
        <x:f>IF(A440&lt;Premissas!$B$27,Premissas!$B$31/(1+Premissas!$B$41)^(Premissas!$B$27-A440),0)</x:f>
        <x:v>0</x:v>
      </x:c>
      <x:c r="P440" s="141" t="n">
        <x:f>MAX(0,H440-I440)+N440</x:f>
        <x:v>0</x:v>
      </x:c>
    </x:row>
    <x:row r="441">
      <x:c r="A441" s="142" t="n">
        <x:v>436</x:v>
      </x:c>
      <x:c r="B441" s="179" t="n">
        <x:f>EDATE(Premissas!$B$4,435)</x:f>
        <x:v>59780</x:v>
      </x:c>
      <x:c r="C441" s="180" t="n">
        <x:f>(1+Premissas!$B$26)^INT((A441-1)/12)</x:f>
        <x:v>8.14725199985109</x:v>
      </x:c>
      <x:c r="D441" s="141" t="n">
        <x:f>Premissas!$B$30*C441</x:f>
        <x:v>885035.8878014192</x:v>
      </x:c>
      <x:c r="E441" s="141" t="n">
        <x:f>IF(A441&lt;=Premissas!$B$25,Premissas!$B$32*C441,0)</x:f>
        <x:v>0</x:v>
      </x:c>
      <x:c r="F441" s="141" t="n">
        <x:f>IF(AND(A441&gt;=Premissas!$B$48,A441&lt;=Premissas!$B$27,A441-Premissas!$B$48+1&lt;=Premissas!$B$13),INDEX(Financiamento!$C$6:$C$485,A441-Premissas!$B$48+1),0)</x:f>
        <x:v>0</x:v>
      </x:c>
      <x:c r="G441" s="141" t="n">
        <x:f>IF(AND(A441&gt;=Premissas!$B$48,A441&lt;=Premissas!$B$27,A441-Premissas!$B$48+1&lt;=Premissas!$B$13),INDEX(Financiamento!$J$6:$J$485,A441-Premissas!$B$48+1),0)</x:f>
        <x:v>0</x:v>
      </x:c>
      <x:c r="H441" s="141" t="n">
        <x:f>IF(AND(A441&gt;=Premissas!$B$48,A441&lt;=Premissas!$B$27,A441-Premissas!$B$48+1&lt;=Premissas!$B$13),INDEX(Financiamento!$M$6:$M$485,A441-Premissas!$B$48+1),0)</x:f>
        <x:v>0</x:v>
      </x:c>
      <x:c r="I441" s="141" t="n">
        <x:f>IF(A441=Premissas!$B$27,MIN(D441,H441),0)</x:f>
        <x:v>0</x:v>
      </x:c>
      <x:c r="J441" s="141" t="n">
        <x:f>IF(A441=Premissas!$B$27,D441-H441,0)</x:f>
        <x:v>0</x:v>
      </x:c>
      <x:c r="K441" s="141" t="n">
        <x:f>E441+G441</x:f>
        <x:v>0</x:v>
      </x:c>
      <x:c r="L441" s="141" t="n">
        <x:f>SUM($K$6:K441)</x:f>
        <x:v>368370.4829168556</x:v>
      </x:c>
      <x:c r="M441" s="141" t="str">
        <x:f>IF(A441&lt;Premissas!$B$27,"Financiamento + consorcio",IF(A441=Premissas!$B$27,"Quitacao via carta",IF(A441&lt;=Premissas!$B$25,"Somente consorcio","Encerrado")))</x:f>
        <x:v>Encerrado</x:v>
      </x:c>
      <x:c r="N441" s="141" t="n">
        <x:f>IF(A441&gt;=Premissas!$B$25,0,(N442+E442)/(1+Premissas!$B$41))</x:f>
        <x:v>0</x:v>
      </x:c>
      <x:c r="O441" s="141" t="n">
        <x:f>IF(A441&lt;Premissas!$B$27,Premissas!$B$31/(1+Premissas!$B$41)^(Premissas!$B$27-A441),0)</x:f>
        <x:v>0</x:v>
      </x:c>
      <x:c r="P441" s="141" t="n">
        <x:f>MAX(0,H441-I441)+N441</x:f>
        <x:v>0</x:v>
      </x:c>
    </x:row>
    <x:row r="442">
      <x:c r="A442" s="142" t="n">
        <x:v>437</x:v>
      </x:c>
      <x:c r="B442" s="179" t="n">
        <x:f>EDATE(Premissas!$B$4,436)</x:f>
        <x:v>59810</x:v>
      </x:c>
      <x:c r="C442" s="180" t="n">
        <x:f>(1+Premissas!$B$26)^INT((A442-1)/12)</x:f>
        <x:v>8.14725199985109</x:v>
      </x:c>
      <x:c r="D442" s="141" t="n">
        <x:f>Premissas!$B$30*C442</x:f>
        <x:v>885035.8878014192</x:v>
      </x:c>
      <x:c r="E442" s="141" t="n">
        <x:f>IF(A442&lt;=Premissas!$B$25,Premissas!$B$32*C442,0)</x:f>
        <x:v>0</x:v>
      </x:c>
      <x:c r="F442" s="141" t="n">
        <x:f>IF(AND(A442&gt;=Premissas!$B$48,A442&lt;=Premissas!$B$27,A442-Premissas!$B$48+1&lt;=Premissas!$B$13),INDEX(Financiamento!$C$6:$C$485,A442-Premissas!$B$48+1),0)</x:f>
        <x:v>0</x:v>
      </x:c>
      <x:c r="G442" s="141" t="n">
        <x:f>IF(AND(A442&gt;=Premissas!$B$48,A442&lt;=Premissas!$B$27,A442-Premissas!$B$48+1&lt;=Premissas!$B$13),INDEX(Financiamento!$J$6:$J$485,A442-Premissas!$B$48+1),0)</x:f>
        <x:v>0</x:v>
      </x:c>
      <x:c r="H442" s="141" t="n">
        <x:f>IF(AND(A442&gt;=Premissas!$B$48,A442&lt;=Premissas!$B$27,A442-Premissas!$B$48+1&lt;=Premissas!$B$13),INDEX(Financiamento!$M$6:$M$485,A442-Premissas!$B$48+1),0)</x:f>
        <x:v>0</x:v>
      </x:c>
      <x:c r="I442" s="141" t="n">
        <x:f>IF(A442=Premissas!$B$27,MIN(D442,H442),0)</x:f>
        <x:v>0</x:v>
      </x:c>
      <x:c r="J442" s="141" t="n">
        <x:f>IF(A442=Premissas!$B$27,D442-H442,0)</x:f>
        <x:v>0</x:v>
      </x:c>
      <x:c r="K442" s="141" t="n">
        <x:f>E442+G442</x:f>
        <x:v>0</x:v>
      </x:c>
      <x:c r="L442" s="141" t="n">
        <x:f>SUM($K$6:K442)</x:f>
        <x:v>368370.4829168556</x:v>
      </x:c>
      <x:c r="M442" s="141" t="str">
        <x:f>IF(A442&lt;Premissas!$B$27,"Financiamento + consorcio",IF(A442=Premissas!$B$27,"Quitacao via carta",IF(A442&lt;=Premissas!$B$25,"Somente consorcio","Encerrado")))</x:f>
        <x:v>Encerrado</x:v>
      </x:c>
      <x:c r="N442" s="141" t="n">
        <x:f>IF(A442&gt;=Premissas!$B$25,0,(N443+E443)/(1+Premissas!$B$41))</x:f>
        <x:v>0</x:v>
      </x:c>
      <x:c r="O442" s="141" t="n">
        <x:f>IF(A442&lt;Premissas!$B$27,Premissas!$B$31/(1+Premissas!$B$41)^(Premissas!$B$27-A442),0)</x:f>
        <x:v>0</x:v>
      </x:c>
      <x:c r="P442" s="141" t="n">
        <x:f>MAX(0,H442-I442)+N442</x:f>
        <x:v>0</x:v>
      </x:c>
    </x:row>
    <x:row r="443">
      <x:c r="A443" s="142" t="n">
        <x:v>438</x:v>
      </x:c>
      <x:c r="B443" s="179" t="n">
        <x:f>EDATE(Premissas!$B$4,437)</x:f>
        <x:v>59841</x:v>
      </x:c>
      <x:c r="C443" s="180" t="n">
        <x:f>(1+Premissas!$B$26)^INT((A443-1)/12)</x:f>
        <x:v>8.14725199985109</x:v>
      </x:c>
      <x:c r="D443" s="141" t="n">
        <x:f>Premissas!$B$30*C443</x:f>
        <x:v>885035.8878014192</x:v>
      </x:c>
      <x:c r="E443" s="141" t="n">
        <x:f>IF(A443&lt;=Premissas!$B$25,Premissas!$B$32*C443,0)</x:f>
        <x:v>0</x:v>
      </x:c>
      <x:c r="F443" s="141" t="n">
        <x:f>IF(AND(A443&gt;=Premissas!$B$48,A443&lt;=Premissas!$B$27,A443-Premissas!$B$48+1&lt;=Premissas!$B$13),INDEX(Financiamento!$C$6:$C$485,A443-Premissas!$B$48+1),0)</x:f>
        <x:v>0</x:v>
      </x:c>
      <x:c r="G443" s="141" t="n">
        <x:f>IF(AND(A443&gt;=Premissas!$B$48,A443&lt;=Premissas!$B$27,A443-Premissas!$B$48+1&lt;=Premissas!$B$13),INDEX(Financiamento!$J$6:$J$485,A443-Premissas!$B$48+1),0)</x:f>
        <x:v>0</x:v>
      </x:c>
      <x:c r="H443" s="141" t="n">
        <x:f>IF(AND(A443&gt;=Premissas!$B$48,A443&lt;=Premissas!$B$27,A443-Premissas!$B$48+1&lt;=Premissas!$B$13),INDEX(Financiamento!$M$6:$M$485,A443-Premissas!$B$48+1),0)</x:f>
        <x:v>0</x:v>
      </x:c>
      <x:c r="I443" s="141" t="n">
        <x:f>IF(A443=Premissas!$B$27,MIN(D443,H443),0)</x:f>
        <x:v>0</x:v>
      </x:c>
      <x:c r="J443" s="141" t="n">
        <x:f>IF(A443=Premissas!$B$27,D443-H443,0)</x:f>
        <x:v>0</x:v>
      </x:c>
      <x:c r="K443" s="141" t="n">
        <x:f>E443+G443</x:f>
        <x:v>0</x:v>
      </x:c>
      <x:c r="L443" s="141" t="n">
        <x:f>SUM($K$6:K443)</x:f>
        <x:v>368370.4829168556</x:v>
      </x:c>
      <x:c r="M443" s="141" t="str">
        <x:f>IF(A443&lt;Premissas!$B$27,"Financiamento + consorcio",IF(A443=Premissas!$B$27,"Quitacao via carta",IF(A443&lt;=Premissas!$B$25,"Somente consorcio","Encerrado")))</x:f>
        <x:v>Encerrado</x:v>
      </x:c>
      <x:c r="N443" s="141" t="n">
        <x:f>IF(A443&gt;=Premissas!$B$25,0,(N444+E444)/(1+Premissas!$B$41))</x:f>
        <x:v>0</x:v>
      </x:c>
      <x:c r="O443" s="141" t="n">
        <x:f>IF(A443&lt;Premissas!$B$27,Premissas!$B$31/(1+Premissas!$B$41)^(Premissas!$B$27-A443),0)</x:f>
        <x:v>0</x:v>
      </x:c>
      <x:c r="P443" s="141" t="n">
        <x:f>MAX(0,H443-I443)+N443</x:f>
        <x:v>0</x:v>
      </x:c>
    </x:row>
    <x:row r="444">
      <x:c r="A444" s="142" t="n">
        <x:v>439</x:v>
      </x:c>
      <x:c r="B444" s="179" t="n">
        <x:f>EDATE(Premissas!$B$4,438)</x:f>
        <x:v>59871</x:v>
      </x:c>
      <x:c r="C444" s="180" t="n">
        <x:f>(1+Premissas!$B$26)^INT((A444-1)/12)</x:f>
        <x:v>8.14725199985109</x:v>
      </x:c>
      <x:c r="D444" s="141" t="n">
        <x:f>Premissas!$B$30*C444</x:f>
        <x:v>885035.8878014192</x:v>
      </x:c>
      <x:c r="E444" s="141" t="n">
        <x:f>IF(A444&lt;=Premissas!$B$25,Premissas!$B$32*C444,0)</x:f>
        <x:v>0</x:v>
      </x:c>
      <x:c r="F444" s="141" t="n">
        <x:f>IF(AND(A444&gt;=Premissas!$B$48,A444&lt;=Premissas!$B$27,A444-Premissas!$B$48+1&lt;=Premissas!$B$13),INDEX(Financiamento!$C$6:$C$485,A444-Premissas!$B$48+1),0)</x:f>
        <x:v>0</x:v>
      </x:c>
      <x:c r="G444" s="141" t="n">
        <x:f>IF(AND(A444&gt;=Premissas!$B$48,A444&lt;=Premissas!$B$27,A444-Premissas!$B$48+1&lt;=Premissas!$B$13),INDEX(Financiamento!$J$6:$J$485,A444-Premissas!$B$48+1),0)</x:f>
        <x:v>0</x:v>
      </x:c>
      <x:c r="H444" s="141" t="n">
        <x:f>IF(AND(A444&gt;=Premissas!$B$48,A444&lt;=Premissas!$B$27,A444-Premissas!$B$48+1&lt;=Premissas!$B$13),INDEX(Financiamento!$M$6:$M$485,A444-Premissas!$B$48+1),0)</x:f>
        <x:v>0</x:v>
      </x:c>
      <x:c r="I444" s="141" t="n">
        <x:f>IF(A444=Premissas!$B$27,MIN(D444,H444),0)</x:f>
        <x:v>0</x:v>
      </x:c>
      <x:c r="J444" s="141" t="n">
        <x:f>IF(A444=Premissas!$B$27,D444-H444,0)</x:f>
        <x:v>0</x:v>
      </x:c>
      <x:c r="K444" s="141" t="n">
        <x:f>E444+G444</x:f>
        <x:v>0</x:v>
      </x:c>
      <x:c r="L444" s="141" t="n">
        <x:f>SUM($K$6:K444)</x:f>
        <x:v>368370.4829168556</x:v>
      </x:c>
      <x:c r="M444" s="141" t="str">
        <x:f>IF(A444&lt;Premissas!$B$27,"Financiamento + consorcio",IF(A444=Premissas!$B$27,"Quitacao via carta",IF(A444&lt;=Premissas!$B$25,"Somente consorcio","Encerrado")))</x:f>
        <x:v>Encerrado</x:v>
      </x:c>
      <x:c r="N444" s="141" t="n">
        <x:f>IF(A444&gt;=Premissas!$B$25,0,(N445+E445)/(1+Premissas!$B$41))</x:f>
        <x:v>0</x:v>
      </x:c>
      <x:c r="O444" s="141" t="n">
        <x:f>IF(A444&lt;Premissas!$B$27,Premissas!$B$31/(1+Premissas!$B$41)^(Premissas!$B$27-A444),0)</x:f>
        <x:v>0</x:v>
      </x:c>
      <x:c r="P444" s="141" t="n">
        <x:f>MAX(0,H444-I444)+N444</x:f>
        <x:v>0</x:v>
      </x:c>
    </x:row>
    <x:row r="445">
      <x:c r="A445" s="142" t="n">
        <x:v>440</x:v>
      </x:c>
      <x:c r="B445" s="179" t="n">
        <x:f>EDATE(Premissas!$B$4,439)</x:f>
        <x:v>59902</x:v>
      </x:c>
      <x:c r="C445" s="180" t="n">
        <x:f>(1+Premissas!$B$26)^INT((A445-1)/12)</x:f>
        <x:v>8.14725199985109</x:v>
      </x:c>
      <x:c r="D445" s="141" t="n">
        <x:f>Premissas!$B$30*C445</x:f>
        <x:v>885035.8878014192</x:v>
      </x:c>
      <x:c r="E445" s="141" t="n">
        <x:f>IF(A445&lt;=Premissas!$B$25,Premissas!$B$32*C445,0)</x:f>
        <x:v>0</x:v>
      </x:c>
      <x:c r="F445" s="141" t="n">
        <x:f>IF(AND(A445&gt;=Premissas!$B$48,A445&lt;=Premissas!$B$27,A445-Premissas!$B$48+1&lt;=Premissas!$B$13),INDEX(Financiamento!$C$6:$C$485,A445-Premissas!$B$48+1),0)</x:f>
        <x:v>0</x:v>
      </x:c>
      <x:c r="G445" s="141" t="n">
        <x:f>IF(AND(A445&gt;=Premissas!$B$48,A445&lt;=Premissas!$B$27,A445-Premissas!$B$48+1&lt;=Premissas!$B$13),INDEX(Financiamento!$J$6:$J$485,A445-Premissas!$B$48+1),0)</x:f>
        <x:v>0</x:v>
      </x:c>
      <x:c r="H445" s="141" t="n">
        <x:f>IF(AND(A445&gt;=Premissas!$B$48,A445&lt;=Premissas!$B$27,A445-Premissas!$B$48+1&lt;=Premissas!$B$13),INDEX(Financiamento!$M$6:$M$485,A445-Premissas!$B$48+1),0)</x:f>
        <x:v>0</x:v>
      </x:c>
      <x:c r="I445" s="141" t="n">
        <x:f>IF(A445=Premissas!$B$27,MIN(D445,H445),0)</x:f>
        <x:v>0</x:v>
      </x:c>
      <x:c r="J445" s="141" t="n">
        <x:f>IF(A445=Premissas!$B$27,D445-H445,0)</x:f>
        <x:v>0</x:v>
      </x:c>
      <x:c r="K445" s="141" t="n">
        <x:f>E445+G445</x:f>
        <x:v>0</x:v>
      </x:c>
      <x:c r="L445" s="141" t="n">
        <x:f>SUM($K$6:K445)</x:f>
        <x:v>368370.4829168556</x:v>
      </x:c>
      <x:c r="M445" s="141" t="str">
        <x:f>IF(A445&lt;Premissas!$B$27,"Financiamento + consorcio",IF(A445=Premissas!$B$27,"Quitacao via carta",IF(A445&lt;=Premissas!$B$25,"Somente consorcio","Encerrado")))</x:f>
        <x:v>Encerrado</x:v>
      </x:c>
      <x:c r="N445" s="141" t="n">
        <x:f>IF(A445&gt;=Premissas!$B$25,0,(N446+E446)/(1+Premissas!$B$41))</x:f>
        <x:v>0</x:v>
      </x:c>
      <x:c r="O445" s="141" t="n">
        <x:f>IF(A445&lt;Premissas!$B$27,Premissas!$B$31/(1+Premissas!$B$41)^(Premissas!$B$27-A445),0)</x:f>
        <x:v>0</x:v>
      </x:c>
      <x:c r="P445" s="141" t="n">
        <x:f>MAX(0,H445-I445)+N445</x:f>
        <x:v>0</x:v>
      </x:c>
    </x:row>
    <x:row r="446">
      <x:c r="A446" s="142" t="n">
        <x:v>441</x:v>
      </x:c>
      <x:c r="B446" s="179" t="n">
        <x:f>EDATE(Premissas!$B$4,440)</x:f>
        <x:v>59933</x:v>
      </x:c>
      <x:c r="C446" s="180" t="n">
        <x:f>(1+Premissas!$B$26)^INT((A446-1)/12)</x:f>
        <x:v>8.14725199985109</x:v>
      </x:c>
      <x:c r="D446" s="141" t="n">
        <x:f>Premissas!$B$30*C446</x:f>
        <x:v>885035.8878014192</x:v>
      </x:c>
      <x:c r="E446" s="141" t="n">
        <x:f>IF(A446&lt;=Premissas!$B$25,Premissas!$B$32*C446,0)</x:f>
        <x:v>0</x:v>
      </x:c>
      <x:c r="F446" s="141" t="n">
        <x:f>IF(AND(A446&gt;=Premissas!$B$48,A446&lt;=Premissas!$B$27,A446-Premissas!$B$48+1&lt;=Premissas!$B$13),INDEX(Financiamento!$C$6:$C$485,A446-Premissas!$B$48+1),0)</x:f>
        <x:v>0</x:v>
      </x:c>
      <x:c r="G446" s="141" t="n">
        <x:f>IF(AND(A446&gt;=Premissas!$B$48,A446&lt;=Premissas!$B$27,A446-Premissas!$B$48+1&lt;=Premissas!$B$13),INDEX(Financiamento!$J$6:$J$485,A446-Premissas!$B$48+1),0)</x:f>
        <x:v>0</x:v>
      </x:c>
      <x:c r="H446" s="141" t="n">
        <x:f>IF(AND(A446&gt;=Premissas!$B$48,A446&lt;=Premissas!$B$27,A446-Premissas!$B$48+1&lt;=Premissas!$B$13),INDEX(Financiamento!$M$6:$M$485,A446-Premissas!$B$48+1),0)</x:f>
        <x:v>0</x:v>
      </x:c>
      <x:c r="I446" s="141" t="n">
        <x:f>IF(A446=Premissas!$B$27,MIN(D446,H446),0)</x:f>
        <x:v>0</x:v>
      </x:c>
      <x:c r="J446" s="141" t="n">
        <x:f>IF(A446=Premissas!$B$27,D446-H446,0)</x:f>
        <x:v>0</x:v>
      </x:c>
      <x:c r="K446" s="141" t="n">
        <x:f>E446+G446</x:f>
        <x:v>0</x:v>
      </x:c>
      <x:c r="L446" s="141" t="n">
        <x:f>SUM($K$6:K446)</x:f>
        <x:v>368370.4829168556</x:v>
      </x:c>
      <x:c r="M446" s="141" t="str">
        <x:f>IF(A446&lt;Premissas!$B$27,"Financiamento + consorcio",IF(A446=Premissas!$B$27,"Quitacao via carta",IF(A446&lt;=Premissas!$B$25,"Somente consorcio","Encerrado")))</x:f>
        <x:v>Encerrado</x:v>
      </x:c>
      <x:c r="N446" s="141" t="n">
        <x:f>IF(A446&gt;=Premissas!$B$25,0,(N447+E447)/(1+Premissas!$B$41))</x:f>
        <x:v>0</x:v>
      </x:c>
      <x:c r="O446" s="141" t="n">
        <x:f>IF(A446&lt;Premissas!$B$27,Premissas!$B$31/(1+Premissas!$B$41)^(Premissas!$B$27-A446),0)</x:f>
        <x:v>0</x:v>
      </x:c>
      <x:c r="P446" s="141" t="n">
        <x:f>MAX(0,H446-I446)+N446</x:f>
        <x:v>0</x:v>
      </x:c>
    </x:row>
    <x:row r="447">
      <x:c r="A447" s="142" t="n">
        <x:v>442</x:v>
      </x:c>
      <x:c r="B447" s="179" t="n">
        <x:f>EDATE(Premissas!$B$4,441)</x:f>
        <x:v>59962</x:v>
      </x:c>
      <x:c r="C447" s="180" t="n">
        <x:f>(1+Premissas!$B$26)^INT((A447-1)/12)</x:f>
        <x:v>8.14725199985109</x:v>
      </x:c>
      <x:c r="D447" s="141" t="n">
        <x:f>Premissas!$B$30*C447</x:f>
        <x:v>885035.8878014192</x:v>
      </x:c>
      <x:c r="E447" s="141" t="n">
        <x:f>IF(A447&lt;=Premissas!$B$25,Premissas!$B$32*C447,0)</x:f>
        <x:v>0</x:v>
      </x:c>
      <x:c r="F447" s="141" t="n">
        <x:f>IF(AND(A447&gt;=Premissas!$B$48,A447&lt;=Premissas!$B$27,A447-Premissas!$B$48+1&lt;=Premissas!$B$13),INDEX(Financiamento!$C$6:$C$485,A447-Premissas!$B$48+1),0)</x:f>
        <x:v>0</x:v>
      </x:c>
      <x:c r="G447" s="141" t="n">
        <x:f>IF(AND(A447&gt;=Premissas!$B$48,A447&lt;=Premissas!$B$27,A447-Premissas!$B$48+1&lt;=Premissas!$B$13),INDEX(Financiamento!$J$6:$J$485,A447-Premissas!$B$48+1),0)</x:f>
        <x:v>0</x:v>
      </x:c>
      <x:c r="H447" s="141" t="n">
        <x:f>IF(AND(A447&gt;=Premissas!$B$48,A447&lt;=Premissas!$B$27,A447-Premissas!$B$48+1&lt;=Premissas!$B$13),INDEX(Financiamento!$M$6:$M$485,A447-Premissas!$B$48+1),0)</x:f>
        <x:v>0</x:v>
      </x:c>
      <x:c r="I447" s="141" t="n">
        <x:f>IF(A447=Premissas!$B$27,MIN(D447,H447),0)</x:f>
        <x:v>0</x:v>
      </x:c>
      <x:c r="J447" s="141" t="n">
        <x:f>IF(A447=Premissas!$B$27,D447-H447,0)</x:f>
        <x:v>0</x:v>
      </x:c>
      <x:c r="K447" s="141" t="n">
        <x:f>E447+G447</x:f>
        <x:v>0</x:v>
      </x:c>
      <x:c r="L447" s="141" t="n">
        <x:f>SUM($K$6:K447)</x:f>
        <x:v>368370.4829168556</x:v>
      </x:c>
      <x:c r="M447" s="141" t="str">
        <x:f>IF(A447&lt;Premissas!$B$27,"Financiamento + consorcio",IF(A447=Premissas!$B$27,"Quitacao via carta",IF(A447&lt;=Premissas!$B$25,"Somente consorcio","Encerrado")))</x:f>
        <x:v>Encerrado</x:v>
      </x:c>
      <x:c r="N447" s="141" t="n">
        <x:f>IF(A447&gt;=Premissas!$B$25,0,(N448+E448)/(1+Premissas!$B$41))</x:f>
        <x:v>0</x:v>
      </x:c>
      <x:c r="O447" s="141" t="n">
        <x:f>IF(A447&lt;Premissas!$B$27,Premissas!$B$31/(1+Premissas!$B$41)^(Premissas!$B$27-A447),0)</x:f>
        <x:v>0</x:v>
      </x:c>
      <x:c r="P447" s="141" t="n">
        <x:f>MAX(0,H447-I447)+N447</x:f>
        <x:v>0</x:v>
      </x:c>
    </x:row>
    <x:row r="448">
      <x:c r="A448" s="142" t="n">
        <x:v>443</x:v>
      </x:c>
      <x:c r="B448" s="179" t="n">
        <x:f>EDATE(Premissas!$B$4,442)</x:f>
        <x:v>59993</x:v>
      </x:c>
      <x:c r="C448" s="180" t="n">
        <x:f>(1+Premissas!$B$26)^INT((A448-1)/12)</x:f>
        <x:v>8.14725199985109</x:v>
      </x:c>
      <x:c r="D448" s="141" t="n">
        <x:f>Premissas!$B$30*C448</x:f>
        <x:v>885035.8878014192</x:v>
      </x:c>
      <x:c r="E448" s="141" t="n">
        <x:f>IF(A448&lt;=Premissas!$B$25,Premissas!$B$32*C448,0)</x:f>
        <x:v>0</x:v>
      </x:c>
      <x:c r="F448" s="141" t="n">
        <x:f>IF(AND(A448&gt;=Premissas!$B$48,A448&lt;=Premissas!$B$27,A448-Premissas!$B$48+1&lt;=Premissas!$B$13),INDEX(Financiamento!$C$6:$C$485,A448-Premissas!$B$48+1),0)</x:f>
        <x:v>0</x:v>
      </x:c>
      <x:c r="G448" s="141" t="n">
        <x:f>IF(AND(A448&gt;=Premissas!$B$48,A448&lt;=Premissas!$B$27,A448-Premissas!$B$48+1&lt;=Premissas!$B$13),INDEX(Financiamento!$J$6:$J$485,A448-Premissas!$B$48+1),0)</x:f>
        <x:v>0</x:v>
      </x:c>
      <x:c r="H448" s="141" t="n">
        <x:f>IF(AND(A448&gt;=Premissas!$B$48,A448&lt;=Premissas!$B$27,A448-Premissas!$B$48+1&lt;=Premissas!$B$13),INDEX(Financiamento!$M$6:$M$485,A448-Premissas!$B$48+1),0)</x:f>
        <x:v>0</x:v>
      </x:c>
      <x:c r="I448" s="141" t="n">
        <x:f>IF(A448=Premissas!$B$27,MIN(D448,H448),0)</x:f>
        <x:v>0</x:v>
      </x:c>
      <x:c r="J448" s="141" t="n">
        <x:f>IF(A448=Premissas!$B$27,D448-H448,0)</x:f>
        <x:v>0</x:v>
      </x:c>
      <x:c r="K448" s="141" t="n">
        <x:f>E448+G448</x:f>
        <x:v>0</x:v>
      </x:c>
      <x:c r="L448" s="141" t="n">
        <x:f>SUM($K$6:K448)</x:f>
        <x:v>368370.4829168556</x:v>
      </x:c>
      <x:c r="M448" s="141" t="str">
        <x:f>IF(A448&lt;Premissas!$B$27,"Financiamento + consorcio",IF(A448=Premissas!$B$27,"Quitacao via carta",IF(A448&lt;=Premissas!$B$25,"Somente consorcio","Encerrado")))</x:f>
        <x:v>Encerrado</x:v>
      </x:c>
      <x:c r="N448" s="141" t="n">
        <x:f>IF(A448&gt;=Premissas!$B$25,0,(N449+E449)/(1+Premissas!$B$41))</x:f>
        <x:v>0</x:v>
      </x:c>
      <x:c r="O448" s="141" t="n">
        <x:f>IF(A448&lt;Premissas!$B$27,Premissas!$B$31/(1+Premissas!$B$41)^(Premissas!$B$27-A448),0)</x:f>
        <x:v>0</x:v>
      </x:c>
      <x:c r="P448" s="141" t="n">
        <x:f>MAX(0,H448-I448)+N448</x:f>
        <x:v>0</x:v>
      </x:c>
    </x:row>
    <x:row r="449">
      <x:c r="A449" s="142" t="n">
        <x:v>444</x:v>
      </x:c>
      <x:c r="B449" s="179" t="n">
        <x:f>EDATE(Premissas!$B$4,443)</x:f>
        <x:v>60023</x:v>
      </x:c>
      <x:c r="C449" s="180" t="n">
        <x:f>(1+Premissas!$B$26)^INT((A449-1)/12)</x:f>
        <x:v>8.14725199985109</x:v>
      </x:c>
      <x:c r="D449" s="141" t="n">
        <x:f>Premissas!$B$30*C449</x:f>
        <x:v>885035.8878014192</x:v>
      </x:c>
      <x:c r="E449" s="141" t="n">
        <x:f>IF(A449&lt;=Premissas!$B$25,Premissas!$B$32*C449,0)</x:f>
        <x:v>0</x:v>
      </x:c>
      <x:c r="F449" s="141" t="n">
        <x:f>IF(AND(A449&gt;=Premissas!$B$48,A449&lt;=Premissas!$B$27,A449-Premissas!$B$48+1&lt;=Premissas!$B$13),INDEX(Financiamento!$C$6:$C$485,A449-Premissas!$B$48+1),0)</x:f>
        <x:v>0</x:v>
      </x:c>
      <x:c r="G449" s="141" t="n">
        <x:f>IF(AND(A449&gt;=Premissas!$B$48,A449&lt;=Premissas!$B$27,A449-Premissas!$B$48+1&lt;=Premissas!$B$13),INDEX(Financiamento!$J$6:$J$485,A449-Premissas!$B$48+1),0)</x:f>
        <x:v>0</x:v>
      </x:c>
      <x:c r="H449" s="141" t="n">
        <x:f>IF(AND(A449&gt;=Premissas!$B$48,A449&lt;=Premissas!$B$27,A449-Premissas!$B$48+1&lt;=Premissas!$B$13),INDEX(Financiamento!$M$6:$M$485,A449-Premissas!$B$48+1),0)</x:f>
        <x:v>0</x:v>
      </x:c>
      <x:c r="I449" s="141" t="n">
        <x:f>IF(A449=Premissas!$B$27,MIN(D449,H449),0)</x:f>
        <x:v>0</x:v>
      </x:c>
      <x:c r="J449" s="141" t="n">
        <x:f>IF(A449=Premissas!$B$27,D449-H449,0)</x:f>
        <x:v>0</x:v>
      </x:c>
      <x:c r="K449" s="141" t="n">
        <x:f>E449+G449</x:f>
        <x:v>0</x:v>
      </x:c>
      <x:c r="L449" s="141" t="n">
        <x:f>SUM($K$6:K449)</x:f>
        <x:v>368370.4829168556</x:v>
      </x:c>
      <x:c r="M449" s="141" t="str">
        <x:f>IF(A449&lt;Premissas!$B$27,"Financiamento + consorcio",IF(A449=Premissas!$B$27,"Quitacao via carta",IF(A449&lt;=Premissas!$B$25,"Somente consorcio","Encerrado")))</x:f>
        <x:v>Encerrado</x:v>
      </x:c>
      <x:c r="N449" s="141" t="n">
        <x:f>IF(A449&gt;=Premissas!$B$25,0,(N450+E450)/(1+Premissas!$B$41))</x:f>
        <x:v>0</x:v>
      </x:c>
      <x:c r="O449" s="141" t="n">
        <x:f>IF(A449&lt;Premissas!$B$27,Premissas!$B$31/(1+Premissas!$B$41)^(Premissas!$B$27-A449),0)</x:f>
        <x:v>0</x:v>
      </x:c>
      <x:c r="P449" s="141" t="n">
        <x:f>MAX(0,H449-I449)+N449</x:f>
        <x:v>0</x:v>
      </x:c>
    </x:row>
    <x:row r="450">
      <x:c r="A450" s="142" t="n">
        <x:v>445</x:v>
      </x:c>
      <x:c r="B450" s="179" t="n">
        <x:f>EDATE(Premissas!$B$4,444)</x:f>
        <x:v>60054</x:v>
      </x:c>
      <x:c r="C450" s="180" t="n">
        <x:f>(1+Premissas!$B$26)^INT((A450-1)/12)</x:f>
        <x:v>8.636087119842156</x:v>
      </x:c>
      <x:c r="D450" s="141" t="n">
        <x:f>Premissas!$B$30*C450</x:f>
        <x:v>938138.0410695045</x:v>
      </x:c>
      <x:c r="E450" s="141" t="n">
        <x:f>IF(A450&lt;=Premissas!$B$25,Premissas!$B$32*C450,0)</x:f>
        <x:v>0</x:v>
      </x:c>
      <x:c r="F450" s="141" t="n">
        <x:f>IF(AND(A450&gt;=Premissas!$B$48,A450&lt;=Premissas!$B$27,A450-Premissas!$B$48+1&lt;=Premissas!$B$13),INDEX(Financiamento!$C$6:$C$485,A450-Premissas!$B$48+1),0)</x:f>
        <x:v>0</x:v>
      </x:c>
      <x:c r="G450" s="141" t="n">
        <x:f>IF(AND(A450&gt;=Premissas!$B$48,A450&lt;=Premissas!$B$27,A450-Premissas!$B$48+1&lt;=Premissas!$B$13),INDEX(Financiamento!$J$6:$J$485,A450-Premissas!$B$48+1),0)</x:f>
        <x:v>0</x:v>
      </x:c>
      <x:c r="H450" s="141" t="n">
        <x:f>IF(AND(A450&gt;=Premissas!$B$48,A450&lt;=Premissas!$B$27,A450-Premissas!$B$48+1&lt;=Premissas!$B$13),INDEX(Financiamento!$M$6:$M$485,A450-Premissas!$B$48+1),0)</x:f>
        <x:v>0</x:v>
      </x:c>
      <x:c r="I450" s="141" t="n">
        <x:f>IF(A450=Premissas!$B$27,MIN(D450,H450),0)</x:f>
        <x:v>0</x:v>
      </x:c>
      <x:c r="J450" s="141" t="n">
        <x:f>IF(A450=Premissas!$B$27,D450-H450,0)</x:f>
        <x:v>0</x:v>
      </x:c>
      <x:c r="K450" s="141" t="n">
        <x:f>E450+G450</x:f>
        <x:v>0</x:v>
      </x:c>
      <x:c r="L450" s="141" t="n">
        <x:f>SUM($K$6:K450)</x:f>
        <x:v>368370.4829168556</x:v>
      </x:c>
      <x:c r="M450" s="141" t="str">
        <x:f>IF(A450&lt;Premissas!$B$27,"Financiamento + consorcio",IF(A450=Premissas!$B$27,"Quitacao via carta",IF(A450&lt;=Premissas!$B$25,"Somente consorcio","Encerrado")))</x:f>
        <x:v>Encerrado</x:v>
      </x:c>
      <x:c r="N450" s="141" t="n">
        <x:f>IF(A450&gt;=Premissas!$B$25,0,(N451+E451)/(1+Premissas!$B$41))</x:f>
        <x:v>0</x:v>
      </x:c>
      <x:c r="O450" s="141" t="n">
        <x:f>IF(A450&lt;Premissas!$B$27,Premissas!$B$31/(1+Premissas!$B$41)^(Premissas!$B$27-A450),0)</x:f>
        <x:v>0</x:v>
      </x:c>
      <x:c r="P450" s="141" t="n">
        <x:f>MAX(0,H450-I450)+N450</x:f>
        <x:v>0</x:v>
      </x:c>
    </x:row>
    <x:row r="451">
      <x:c r="A451" s="142" t="n">
        <x:v>446</x:v>
      </x:c>
      <x:c r="B451" s="179" t="n">
        <x:f>EDATE(Premissas!$B$4,445)</x:f>
        <x:v>60084</x:v>
      </x:c>
      <x:c r="C451" s="180" t="n">
        <x:f>(1+Premissas!$B$26)^INT((A451-1)/12)</x:f>
        <x:v>8.636087119842156</x:v>
      </x:c>
      <x:c r="D451" s="141" t="n">
        <x:f>Premissas!$B$30*C451</x:f>
        <x:v>938138.0410695045</x:v>
      </x:c>
      <x:c r="E451" s="141" t="n">
        <x:f>IF(A451&lt;=Premissas!$B$25,Premissas!$B$32*C451,0)</x:f>
        <x:v>0</x:v>
      </x:c>
      <x:c r="F451" s="141" t="n">
        <x:f>IF(AND(A451&gt;=Premissas!$B$48,A451&lt;=Premissas!$B$27,A451-Premissas!$B$48+1&lt;=Premissas!$B$13),INDEX(Financiamento!$C$6:$C$485,A451-Premissas!$B$48+1),0)</x:f>
        <x:v>0</x:v>
      </x:c>
      <x:c r="G451" s="141" t="n">
        <x:f>IF(AND(A451&gt;=Premissas!$B$48,A451&lt;=Premissas!$B$27,A451-Premissas!$B$48+1&lt;=Premissas!$B$13),INDEX(Financiamento!$J$6:$J$485,A451-Premissas!$B$48+1),0)</x:f>
        <x:v>0</x:v>
      </x:c>
      <x:c r="H451" s="141" t="n">
        <x:f>IF(AND(A451&gt;=Premissas!$B$48,A451&lt;=Premissas!$B$27,A451-Premissas!$B$48+1&lt;=Premissas!$B$13),INDEX(Financiamento!$M$6:$M$485,A451-Premissas!$B$48+1),0)</x:f>
        <x:v>0</x:v>
      </x:c>
      <x:c r="I451" s="141" t="n">
        <x:f>IF(A451=Premissas!$B$27,MIN(D451,H451),0)</x:f>
        <x:v>0</x:v>
      </x:c>
      <x:c r="J451" s="141" t="n">
        <x:f>IF(A451=Premissas!$B$27,D451-H451,0)</x:f>
        <x:v>0</x:v>
      </x:c>
      <x:c r="K451" s="141" t="n">
        <x:f>E451+G451</x:f>
        <x:v>0</x:v>
      </x:c>
      <x:c r="L451" s="141" t="n">
        <x:f>SUM($K$6:K451)</x:f>
        <x:v>368370.4829168556</x:v>
      </x:c>
      <x:c r="M451" s="141" t="str">
        <x:f>IF(A451&lt;Premissas!$B$27,"Financiamento + consorcio",IF(A451=Premissas!$B$27,"Quitacao via carta",IF(A451&lt;=Premissas!$B$25,"Somente consorcio","Encerrado")))</x:f>
        <x:v>Encerrado</x:v>
      </x:c>
      <x:c r="N451" s="141" t="n">
        <x:f>IF(A451&gt;=Premissas!$B$25,0,(N452+E452)/(1+Premissas!$B$41))</x:f>
        <x:v>0</x:v>
      </x:c>
      <x:c r="O451" s="141" t="n">
        <x:f>IF(A451&lt;Premissas!$B$27,Premissas!$B$31/(1+Premissas!$B$41)^(Premissas!$B$27-A451),0)</x:f>
        <x:v>0</x:v>
      </x:c>
      <x:c r="P451" s="141" t="n">
        <x:f>MAX(0,H451-I451)+N451</x:f>
        <x:v>0</x:v>
      </x:c>
    </x:row>
    <x:row r="452">
      <x:c r="A452" s="142" t="n">
        <x:v>447</x:v>
      </x:c>
      <x:c r="B452" s="179" t="n">
        <x:f>EDATE(Premissas!$B$4,446)</x:f>
        <x:v>60115</x:v>
      </x:c>
      <x:c r="C452" s="180" t="n">
        <x:f>(1+Premissas!$B$26)^INT((A452-1)/12)</x:f>
        <x:v>8.636087119842156</x:v>
      </x:c>
      <x:c r="D452" s="141" t="n">
        <x:f>Premissas!$B$30*C452</x:f>
        <x:v>938138.0410695045</x:v>
      </x:c>
      <x:c r="E452" s="141" t="n">
        <x:f>IF(A452&lt;=Premissas!$B$25,Premissas!$B$32*C452,0)</x:f>
        <x:v>0</x:v>
      </x:c>
      <x:c r="F452" s="141" t="n">
        <x:f>IF(AND(A452&gt;=Premissas!$B$48,A452&lt;=Premissas!$B$27,A452-Premissas!$B$48+1&lt;=Premissas!$B$13),INDEX(Financiamento!$C$6:$C$485,A452-Premissas!$B$48+1),0)</x:f>
        <x:v>0</x:v>
      </x:c>
      <x:c r="G452" s="141" t="n">
        <x:f>IF(AND(A452&gt;=Premissas!$B$48,A452&lt;=Premissas!$B$27,A452-Premissas!$B$48+1&lt;=Premissas!$B$13),INDEX(Financiamento!$J$6:$J$485,A452-Premissas!$B$48+1),0)</x:f>
        <x:v>0</x:v>
      </x:c>
      <x:c r="H452" s="141" t="n">
        <x:f>IF(AND(A452&gt;=Premissas!$B$48,A452&lt;=Premissas!$B$27,A452-Premissas!$B$48+1&lt;=Premissas!$B$13),INDEX(Financiamento!$M$6:$M$485,A452-Premissas!$B$48+1),0)</x:f>
        <x:v>0</x:v>
      </x:c>
      <x:c r="I452" s="141" t="n">
        <x:f>IF(A452=Premissas!$B$27,MIN(D452,H452),0)</x:f>
        <x:v>0</x:v>
      </x:c>
      <x:c r="J452" s="141" t="n">
        <x:f>IF(A452=Premissas!$B$27,D452-H452,0)</x:f>
        <x:v>0</x:v>
      </x:c>
      <x:c r="K452" s="141" t="n">
        <x:f>E452+G452</x:f>
        <x:v>0</x:v>
      </x:c>
      <x:c r="L452" s="141" t="n">
        <x:f>SUM($K$6:K452)</x:f>
        <x:v>368370.4829168556</x:v>
      </x:c>
      <x:c r="M452" s="141" t="str">
        <x:f>IF(A452&lt;Premissas!$B$27,"Financiamento + consorcio",IF(A452=Premissas!$B$27,"Quitacao via carta",IF(A452&lt;=Premissas!$B$25,"Somente consorcio","Encerrado")))</x:f>
        <x:v>Encerrado</x:v>
      </x:c>
      <x:c r="N452" s="141" t="n">
        <x:f>IF(A452&gt;=Premissas!$B$25,0,(N453+E453)/(1+Premissas!$B$41))</x:f>
        <x:v>0</x:v>
      </x:c>
      <x:c r="O452" s="141" t="n">
        <x:f>IF(A452&lt;Premissas!$B$27,Premissas!$B$31/(1+Premissas!$B$41)^(Premissas!$B$27-A452),0)</x:f>
        <x:v>0</x:v>
      </x:c>
      <x:c r="P452" s="141" t="n">
        <x:f>MAX(0,H452-I452)+N452</x:f>
        <x:v>0</x:v>
      </x:c>
    </x:row>
    <x:row r="453">
      <x:c r="A453" s="142" t="n">
        <x:v>448</x:v>
      </x:c>
      <x:c r="B453" s="179" t="n">
        <x:f>EDATE(Premissas!$B$4,447)</x:f>
        <x:v>60146</x:v>
      </x:c>
      <x:c r="C453" s="180" t="n">
        <x:f>(1+Premissas!$B$26)^INT((A453-1)/12)</x:f>
        <x:v>8.636087119842156</x:v>
      </x:c>
      <x:c r="D453" s="141" t="n">
        <x:f>Premissas!$B$30*C453</x:f>
        <x:v>938138.0410695045</x:v>
      </x:c>
      <x:c r="E453" s="141" t="n">
        <x:f>IF(A453&lt;=Premissas!$B$25,Premissas!$B$32*C453,0)</x:f>
        <x:v>0</x:v>
      </x:c>
      <x:c r="F453" s="141" t="n">
        <x:f>IF(AND(A453&gt;=Premissas!$B$48,A453&lt;=Premissas!$B$27,A453-Premissas!$B$48+1&lt;=Premissas!$B$13),INDEX(Financiamento!$C$6:$C$485,A453-Premissas!$B$48+1),0)</x:f>
        <x:v>0</x:v>
      </x:c>
      <x:c r="G453" s="141" t="n">
        <x:f>IF(AND(A453&gt;=Premissas!$B$48,A453&lt;=Premissas!$B$27,A453-Premissas!$B$48+1&lt;=Premissas!$B$13),INDEX(Financiamento!$J$6:$J$485,A453-Premissas!$B$48+1),0)</x:f>
        <x:v>0</x:v>
      </x:c>
      <x:c r="H453" s="141" t="n">
        <x:f>IF(AND(A453&gt;=Premissas!$B$48,A453&lt;=Premissas!$B$27,A453-Premissas!$B$48+1&lt;=Premissas!$B$13),INDEX(Financiamento!$M$6:$M$485,A453-Premissas!$B$48+1),0)</x:f>
        <x:v>0</x:v>
      </x:c>
      <x:c r="I453" s="141" t="n">
        <x:f>IF(A453=Premissas!$B$27,MIN(D453,H453),0)</x:f>
        <x:v>0</x:v>
      </x:c>
      <x:c r="J453" s="141" t="n">
        <x:f>IF(A453=Premissas!$B$27,D453-H453,0)</x:f>
        <x:v>0</x:v>
      </x:c>
      <x:c r="K453" s="141" t="n">
        <x:f>E453+G453</x:f>
        <x:v>0</x:v>
      </x:c>
      <x:c r="L453" s="141" t="n">
        <x:f>SUM($K$6:K453)</x:f>
        <x:v>368370.4829168556</x:v>
      </x:c>
      <x:c r="M453" s="141" t="str">
        <x:f>IF(A453&lt;Premissas!$B$27,"Financiamento + consorcio",IF(A453=Premissas!$B$27,"Quitacao via carta",IF(A453&lt;=Premissas!$B$25,"Somente consorcio","Encerrado")))</x:f>
        <x:v>Encerrado</x:v>
      </x:c>
      <x:c r="N453" s="141" t="n">
        <x:f>IF(A453&gt;=Premissas!$B$25,0,(N454+E454)/(1+Premissas!$B$41))</x:f>
        <x:v>0</x:v>
      </x:c>
      <x:c r="O453" s="141" t="n">
        <x:f>IF(A453&lt;Premissas!$B$27,Premissas!$B$31/(1+Premissas!$B$41)^(Premissas!$B$27-A453),0)</x:f>
        <x:v>0</x:v>
      </x:c>
      <x:c r="P453" s="141" t="n">
        <x:f>MAX(0,H453-I453)+N453</x:f>
        <x:v>0</x:v>
      </x:c>
    </x:row>
    <x:row r="454">
      <x:c r="A454" s="142" t="n">
        <x:v>449</x:v>
      </x:c>
      <x:c r="B454" s="179" t="n">
        <x:f>EDATE(Premissas!$B$4,448)</x:f>
        <x:v>60176</x:v>
      </x:c>
      <x:c r="C454" s="180" t="n">
        <x:f>(1+Premissas!$B$26)^INT((A454-1)/12)</x:f>
        <x:v>8.636087119842156</x:v>
      </x:c>
      <x:c r="D454" s="141" t="n">
        <x:f>Premissas!$B$30*C454</x:f>
        <x:v>938138.0410695045</x:v>
      </x:c>
      <x:c r="E454" s="141" t="n">
        <x:f>IF(A454&lt;=Premissas!$B$25,Premissas!$B$32*C454,0)</x:f>
        <x:v>0</x:v>
      </x:c>
      <x:c r="F454" s="141" t="n">
        <x:f>IF(AND(A454&gt;=Premissas!$B$48,A454&lt;=Premissas!$B$27,A454-Premissas!$B$48+1&lt;=Premissas!$B$13),INDEX(Financiamento!$C$6:$C$485,A454-Premissas!$B$48+1),0)</x:f>
        <x:v>0</x:v>
      </x:c>
      <x:c r="G454" s="141" t="n">
        <x:f>IF(AND(A454&gt;=Premissas!$B$48,A454&lt;=Premissas!$B$27,A454-Premissas!$B$48+1&lt;=Premissas!$B$13),INDEX(Financiamento!$J$6:$J$485,A454-Premissas!$B$48+1),0)</x:f>
        <x:v>0</x:v>
      </x:c>
      <x:c r="H454" s="141" t="n">
        <x:f>IF(AND(A454&gt;=Premissas!$B$48,A454&lt;=Premissas!$B$27,A454-Premissas!$B$48+1&lt;=Premissas!$B$13),INDEX(Financiamento!$M$6:$M$485,A454-Premissas!$B$48+1),0)</x:f>
        <x:v>0</x:v>
      </x:c>
      <x:c r="I454" s="141" t="n">
        <x:f>IF(A454=Premissas!$B$27,MIN(D454,H454),0)</x:f>
        <x:v>0</x:v>
      </x:c>
      <x:c r="J454" s="141" t="n">
        <x:f>IF(A454=Premissas!$B$27,D454-H454,0)</x:f>
        <x:v>0</x:v>
      </x:c>
      <x:c r="K454" s="141" t="n">
        <x:f>E454+G454</x:f>
        <x:v>0</x:v>
      </x:c>
      <x:c r="L454" s="141" t="n">
        <x:f>SUM($K$6:K454)</x:f>
        <x:v>368370.4829168556</x:v>
      </x:c>
      <x:c r="M454" s="141" t="str">
        <x:f>IF(A454&lt;Premissas!$B$27,"Financiamento + consorcio",IF(A454=Premissas!$B$27,"Quitacao via carta",IF(A454&lt;=Premissas!$B$25,"Somente consorcio","Encerrado")))</x:f>
        <x:v>Encerrado</x:v>
      </x:c>
      <x:c r="N454" s="141" t="n">
        <x:f>IF(A454&gt;=Premissas!$B$25,0,(N455+E455)/(1+Premissas!$B$41))</x:f>
        <x:v>0</x:v>
      </x:c>
      <x:c r="O454" s="141" t="n">
        <x:f>IF(A454&lt;Premissas!$B$27,Premissas!$B$31/(1+Premissas!$B$41)^(Premissas!$B$27-A454),0)</x:f>
        <x:v>0</x:v>
      </x:c>
      <x:c r="P454" s="141" t="n">
        <x:f>MAX(0,H454-I454)+N454</x:f>
        <x:v>0</x:v>
      </x:c>
    </x:row>
    <x:row r="455">
      <x:c r="A455" s="142" t="n">
        <x:v>450</x:v>
      </x:c>
      <x:c r="B455" s="179" t="n">
        <x:f>EDATE(Premissas!$B$4,449)</x:f>
        <x:v>60207</x:v>
      </x:c>
      <x:c r="C455" s="180" t="n">
        <x:f>(1+Premissas!$B$26)^INT((A455-1)/12)</x:f>
        <x:v>8.636087119842156</x:v>
      </x:c>
      <x:c r="D455" s="141" t="n">
        <x:f>Premissas!$B$30*C455</x:f>
        <x:v>938138.0410695045</x:v>
      </x:c>
      <x:c r="E455" s="141" t="n">
        <x:f>IF(A455&lt;=Premissas!$B$25,Premissas!$B$32*C455,0)</x:f>
        <x:v>0</x:v>
      </x:c>
      <x:c r="F455" s="141" t="n">
        <x:f>IF(AND(A455&gt;=Premissas!$B$48,A455&lt;=Premissas!$B$27,A455-Premissas!$B$48+1&lt;=Premissas!$B$13),INDEX(Financiamento!$C$6:$C$485,A455-Premissas!$B$48+1),0)</x:f>
        <x:v>0</x:v>
      </x:c>
      <x:c r="G455" s="141" t="n">
        <x:f>IF(AND(A455&gt;=Premissas!$B$48,A455&lt;=Premissas!$B$27,A455-Premissas!$B$48+1&lt;=Premissas!$B$13),INDEX(Financiamento!$J$6:$J$485,A455-Premissas!$B$48+1),0)</x:f>
        <x:v>0</x:v>
      </x:c>
      <x:c r="H455" s="141" t="n">
        <x:f>IF(AND(A455&gt;=Premissas!$B$48,A455&lt;=Premissas!$B$27,A455-Premissas!$B$48+1&lt;=Premissas!$B$13),INDEX(Financiamento!$M$6:$M$485,A455-Premissas!$B$48+1),0)</x:f>
        <x:v>0</x:v>
      </x:c>
      <x:c r="I455" s="141" t="n">
        <x:f>IF(A455=Premissas!$B$27,MIN(D455,H455),0)</x:f>
        <x:v>0</x:v>
      </x:c>
      <x:c r="J455" s="141" t="n">
        <x:f>IF(A455=Premissas!$B$27,D455-H455,0)</x:f>
        <x:v>0</x:v>
      </x:c>
      <x:c r="K455" s="141" t="n">
        <x:f>E455+G455</x:f>
        <x:v>0</x:v>
      </x:c>
      <x:c r="L455" s="141" t="n">
        <x:f>SUM($K$6:K455)</x:f>
        <x:v>368370.4829168556</x:v>
      </x:c>
      <x:c r="M455" s="141" t="str">
        <x:f>IF(A455&lt;Premissas!$B$27,"Financiamento + consorcio",IF(A455=Premissas!$B$27,"Quitacao via carta",IF(A455&lt;=Premissas!$B$25,"Somente consorcio","Encerrado")))</x:f>
        <x:v>Encerrado</x:v>
      </x:c>
      <x:c r="N455" s="141" t="n">
        <x:f>IF(A455&gt;=Premissas!$B$25,0,(N456+E456)/(1+Premissas!$B$41))</x:f>
        <x:v>0</x:v>
      </x:c>
      <x:c r="O455" s="141" t="n">
        <x:f>IF(A455&lt;Premissas!$B$27,Premissas!$B$31/(1+Premissas!$B$41)^(Premissas!$B$27-A455),0)</x:f>
        <x:v>0</x:v>
      </x:c>
      <x:c r="P455" s="141" t="n">
        <x:f>MAX(0,H455-I455)+N455</x:f>
        <x:v>0</x:v>
      </x:c>
    </x:row>
    <x:row r="456">
      <x:c r="A456" s="142" t="n">
        <x:v>451</x:v>
      </x:c>
      <x:c r="B456" s="179" t="n">
        <x:f>EDATE(Premissas!$B$4,450)</x:f>
        <x:v>60237</x:v>
      </x:c>
      <x:c r="C456" s="180" t="n">
        <x:f>(1+Premissas!$B$26)^INT((A456-1)/12)</x:f>
        <x:v>8.636087119842156</x:v>
      </x:c>
      <x:c r="D456" s="141" t="n">
        <x:f>Premissas!$B$30*C456</x:f>
        <x:v>938138.0410695045</x:v>
      </x:c>
      <x:c r="E456" s="141" t="n">
        <x:f>IF(A456&lt;=Premissas!$B$25,Premissas!$B$32*C456,0)</x:f>
        <x:v>0</x:v>
      </x:c>
      <x:c r="F456" s="141" t="n">
        <x:f>IF(AND(A456&gt;=Premissas!$B$48,A456&lt;=Premissas!$B$27,A456-Premissas!$B$48+1&lt;=Premissas!$B$13),INDEX(Financiamento!$C$6:$C$485,A456-Premissas!$B$48+1),0)</x:f>
        <x:v>0</x:v>
      </x:c>
      <x:c r="G456" s="141" t="n">
        <x:f>IF(AND(A456&gt;=Premissas!$B$48,A456&lt;=Premissas!$B$27,A456-Premissas!$B$48+1&lt;=Premissas!$B$13),INDEX(Financiamento!$J$6:$J$485,A456-Premissas!$B$48+1),0)</x:f>
        <x:v>0</x:v>
      </x:c>
      <x:c r="H456" s="141" t="n">
        <x:f>IF(AND(A456&gt;=Premissas!$B$48,A456&lt;=Premissas!$B$27,A456-Premissas!$B$48+1&lt;=Premissas!$B$13),INDEX(Financiamento!$M$6:$M$485,A456-Premissas!$B$48+1),0)</x:f>
        <x:v>0</x:v>
      </x:c>
      <x:c r="I456" s="141" t="n">
        <x:f>IF(A456=Premissas!$B$27,MIN(D456,H456),0)</x:f>
        <x:v>0</x:v>
      </x:c>
      <x:c r="J456" s="141" t="n">
        <x:f>IF(A456=Premissas!$B$27,D456-H456,0)</x:f>
        <x:v>0</x:v>
      </x:c>
      <x:c r="K456" s="141" t="n">
        <x:f>E456+G456</x:f>
        <x:v>0</x:v>
      </x:c>
      <x:c r="L456" s="141" t="n">
        <x:f>SUM($K$6:K456)</x:f>
        <x:v>368370.4829168556</x:v>
      </x:c>
      <x:c r="M456" s="141" t="str">
        <x:f>IF(A456&lt;Premissas!$B$27,"Financiamento + consorcio",IF(A456=Premissas!$B$27,"Quitacao via carta",IF(A456&lt;=Premissas!$B$25,"Somente consorcio","Encerrado")))</x:f>
        <x:v>Encerrado</x:v>
      </x:c>
      <x:c r="N456" s="141" t="n">
        <x:f>IF(A456&gt;=Premissas!$B$25,0,(N457+E457)/(1+Premissas!$B$41))</x:f>
        <x:v>0</x:v>
      </x:c>
      <x:c r="O456" s="141" t="n">
        <x:f>IF(A456&lt;Premissas!$B$27,Premissas!$B$31/(1+Premissas!$B$41)^(Premissas!$B$27-A456),0)</x:f>
        <x:v>0</x:v>
      </x:c>
      <x:c r="P456" s="141" t="n">
        <x:f>MAX(0,H456-I456)+N456</x:f>
        <x:v>0</x:v>
      </x:c>
    </x:row>
    <x:row r="457">
      <x:c r="A457" s="142" t="n">
        <x:v>452</x:v>
      </x:c>
      <x:c r="B457" s="179" t="n">
        <x:f>EDATE(Premissas!$B$4,451)</x:f>
        <x:v>60268</x:v>
      </x:c>
      <x:c r="C457" s="180" t="n">
        <x:f>(1+Premissas!$B$26)^INT((A457-1)/12)</x:f>
        <x:v>8.636087119842156</x:v>
      </x:c>
      <x:c r="D457" s="141" t="n">
        <x:f>Premissas!$B$30*C457</x:f>
        <x:v>938138.0410695045</x:v>
      </x:c>
      <x:c r="E457" s="141" t="n">
        <x:f>IF(A457&lt;=Premissas!$B$25,Premissas!$B$32*C457,0)</x:f>
        <x:v>0</x:v>
      </x:c>
      <x:c r="F457" s="141" t="n">
        <x:f>IF(AND(A457&gt;=Premissas!$B$48,A457&lt;=Premissas!$B$27,A457-Premissas!$B$48+1&lt;=Premissas!$B$13),INDEX(Financiamento!$C$6:$C$485,A457-Premissas!$B$48+1),0)</x:f>
        <x:v>0</x:v>
      </x:c>
      <x:c r="G457" s="141" t="n">
        <x:f>IF(AND(A457&gt;=Premissas!$B$48,A457&lt;=Premissas!$B$27,A457-Premissas!$B$48+1&lt;=Premissas!$B$13),INDEX(Financiamento!$J$6:$J$485,A457-Premissas!$B$48+1),0)</x:f>
        <x:v>0</x:v>
      </x:c>
      <x:c r="H457" s="141" t="n">
        <x:f>IF(AND(A457&gt;=Premissas!$B$48,A457&lt;=Premissas!$B$27,A457-Premissas!$B$48+1&lt;=Premissas!$B$13),INDEX(Financiamento!$M$6:$M$485,A457-Premissas!$B$48+1),0)</x:f>
        <x:v>0</x:v>
      </x:c>
      <x:c r="I457" s="141" t="n">
        <x:f>IF(A457=Premissas!$B$27,MIN(D457,H457),0)</x:f>
        <x:v>0</x:v>
      </x:c>
      <x:c r="J457" s="141" t="n">
        <x:f>IF(A457=Premissas!$B$27,D457-H457,0)</x:f>
        <x:v>0</x:v>
      </x:c>
      <x:c r="K457" s="141" t="n">
        <x:f>E457+G457</x:f>
        <x:v>0</x:v>
      </x:c>
      <x:c r="L457" s="141" t="n">
        <x:f>SUM($K$6:K457)</x:f>
        <x:v>368370.4829168556</x:v>
      </x:c>
      <x:c r="M457" s="141" t="str">
        <x:f>IF(A457&lt;Premissas!$B$27,"Financiamento + consorcio",IF(A457=Premissas!$B$27,"Quitacao via carta",IF(A457&lt;=Premissas!$B$25,"Somente consorcio","Encerrado")))</x:f>
        <x:v>Encerrado</x:v>
      </x:c>
      <x:c r="N457" s="141" t="n">
        <x:f>IF(A457&gt;=Premissas!$B$25,0,(N458+E458)/(1+Premissas!$B$41))</x:f>
        <x:v>0</x:v>
      </x:c>
      <x:c r="O457" s="141" t="n">
        <x:f>IF(A457&lt;Premissas!$B$27,Premissas!$B$31/(1+Premissas!$B$41)^(Premissas!$B$27-A457),0)</x:f>
        <x:v>0</x:v>
      </x:c>
      <x:c r="P457" s="141" t="n">
        <x:f>MAX(0,H457-I457)+N457</x:f>
        <x:v>0</x:v>
      </x:c>
    </x:row>
    <x:row r="458">
      <x:c r="A458" s="142" t="n">
        <x:v>453</x:v>
      </x:c>
      <x:c r="B458" s="179" t="n">
        <x:f>EDATE(Premissas!$B$4,452)</x:f>
        <x:v>60299</x:v>
      </x:c>
      <x:c r="C458" s="180" t="n">
        <x:f>(1+Premissas!$B$26)^INT((A458-1)/12)</x:f>
        <x:v>8.636087119842156</x:v>
      </x:c>
      <x:c r="D458" s="141" t="n">
        <x:f>Premissas!$B$30*C458</x:f>
        <x:v>938138.0410695045</x:v>
      </x:c>
      <x:c r="E458" s="141" t="n">
        <x:f>IF(A458&lt;=Premissas!$B$25,Premissas!$B$32*C458,0)</x:f>
        <x:v>0</x:v>
      </x:c>
      <x:c r="F458" s="141" t="n">
        <x:f>IF(AND(A458&gt;=Premissas!$B$48,A458&lt;=Premissas!$B$27,A458-Premissas!$B$48+1&lt;=Premissas!$B$13),INDEX(Financiamento!$C$6:$C$485,A458-Premissas!$B$48+1),0)</x:f>
        <x:v>0</x:v>
      </x:c>
      <x:c r="G458" s="141" t="n">
        <x:f>IF(AND(A458&gt;=Premissas!$B$48,A458&lt;=Premissas!$B$27,A458-Premissas!$B$48+1&lt;=Premissas!$B$13),INDEX(Financiamento!$J$6:$J$485,A458-Premissas!$B$48+1),0)</x:f>
        <x:v>0</x:v>
      </x:c>
      <x:c r="H458" s="141" t="n">
        <x:f>IF(AND(A458&gt;=Premissas!$B$48,A458&lt;=Premissas!$B$27,A458-Premissas!$B$48+1&lt;=Premissas!$B$13),INDEX(Financiamento!$M$6:$M$485,A458-Premissas!$B$48+1),0)</x:f>
        <x:v>0</x:v>
      </x:c>
      <x:c r="I458" s="141" t="n">
        <x:f>IF(A458=Premissas!$B$27,MIN(D458,H458),0)</x:f>
        <x:v>0</x:v>
      </x:c>
      <x:c r="J458" s="141" t="n">
        <x:f>IF(A458=Premissas!$B$27,D458-H458,0)</x:f>
        <x:v>0</x:v>
      </x:c>
      <x:c r="K458" s="141" t="n">
        <x:f>E458+G458</x:f>
        <x:v>0</x:v>
      </x:c>
      <x:c r="L458" s="141" t="n">
        <x:f>SUM($K$6:K458)</x:f>
        <x:v>368370.4829168556</x:v>
      </x:c>
      <x:c r="M458" s="141" t="str">
        <x:f>IF(A458&lt;Premissas!$B$27,"Financiamento + consorcio",IF(A458=Premissas!$B$27,"Quitacao via carta",IF(A458&lt;=Premissas!$B$25,"Somente consorcio","Encerrado")))</x:f>
        <x:v>Encerrado</x:v>
      </x:c>
      <x:c r="N458" s="141" t="n">
        <x:f>IF(A458&gt;=Premissas!$B$25,0,(N459+E459)/(1+Premissas!$B$41))</x:f>
        <x:v>0</x:v>
      </x:c>
      <x:c r="O458" s="141" t="n">
        <x:f>IF(A458&lt;Premissas!$B$27,Premissas!$B$31/(1+Premissas!$B$41)^(Premissas!$B$27-A458),0)</x:f>
        <x:v>0</x:v>
      </x:c>
      <x:c r="P458" s="141" t="n">
        <x:f>MAX(0,H458-I458)+N458</x:f>
        <x:v>0</x:v>
      </x:c>
    </x:row>
    <x:row r="459">
      <x:c r="A459" s="142" t="n">
        <x:v>454</x:v>
      </x:c>
      <x:c r="B459" s="179" t="n">
        <x:f>EDATE(Premissas!$B$4,453)</x:f>
        <x:v>60327</x:v>
      </x:c>
      <x:c r="C459" s="180" t="n">
        <x:f>(1+Premissas!$B$26)^INT((A459-1)/12)</x:f>
        <x:v>8.636087119842156</x:v>
      </x:c>
      <x:c r="D459" s="141" t="n">
        <x:f>Premissas!$B$30*C459</x:f>
        <x:v>938138.0410695045</x:v>
      </x:c>
      <x:c r="E459" s="141" t="n">
        <x:f>IF(A459&lt;=Premissas!$B$25,Premissas!$B$32*C459,0)</x:f>
        <x:v>0</x:v>
      </x:c>
      <x:c r="F459" s="141" t="n">
        <x:f>IF(AND(A459&gt;=Premissas!$B$48,A459&lt;=Premissas!$B$27,A459-Premissas!$B$48+1&lt;=Premissas!$B$13),INDEX(Financiamento!$C$6:$C$485,A459-Premissas!$B$48+1),0)</x:f>
        <x:v>0</x:v>
      </x:c>
      <x:c r="G459" s="141" t="n">
        <x:f>IF(AND(A459&gt;=Premissas!$B$48,A459&lt;=Premissas!$B$27,A459-Premissas!$B$48+1&lt;=Premissas!$B$13),INDEX(Financiamento!$J$6:$J$485,A459-Premissas!$B$48+1),0)</x:f>
        <x:v>0</x:v>
      </x:c>
      <x:c r="H459" s="141" t="n">
        <x:f>IF(AND(A459&gt;=Premissas!$B$48,A459&lt;=Premissas!$B$27,A459-Premissas!$B$48+1&lt;=Premissas!$B$13),INDEX(Financiamento!$M$6:$M$485,A459-Premissas!$B$48+1),0)</x:f>
        <x:v>0</x:v>
      </x:c>
      <x:c r="I459" s="141" t="n">
        <x:f>IF(A459=Premissas!$B$27,MIN(D459,H459),0)</x:f>
        <x:v>0</x:v>
      </x:c>
      <x:c r="J459" s="141" t="n">
        <x:f>IF(A459=Premissas!$B$27,D459-H459,0)</x:f>
        <x:v>0</x:v>
      </x:c>
      <x:c r="K459" s="141" t="n">
        <x:f>E459+G459</x:f>
        <x:v>0</x:v>
      </x:c>
      <x:c r="L459" s="141" t="n">
        <x:f>SUM($K$6:K459)</x:f>
        <x:v>368370.4829168556</x:v>
      </x:c>
      <x:c r="M459" s="141" t="str">
        <x:f>IF(A459&lt;Premissas!$B$27,"Financiamento + consorcio",IF(A459=Premissas!$B$27,"Quitacao via carta",IF(A459&lt;=Premissas!$B$25,"Somente consorcio","Encerrado")))</x:f>
        <x:v>Encerrado</x:v>
      </x:c>
      <x:c r="N459" s="141" t="n">
        <x:f>IF(A459&gt;=Premissas!$B$25,0,(N460+E460)/(1+Premissas!$B$41))</x:f>
        <x:v>0</x:v>
      </x:c>
      <x:c r="O459" s="141" t="n">
        <x:f>IF(A459&lt;Premissas!$B$27,Premissas!$B$31/(1+Premissas!$B$41)^(Premissas!$B$27-A459),0)</x:f>
        <x:v>0</x:v>
      </x:c>
      <x:c r="P459" s="141" t="n">
        <x:f>MAX(0,H459-I459)+N459</x:f>
        <x:v>0</x:v>
      </x:c>
    </x:row>
    <x:row r="460">
      <x:c r="A460" s="142" t="n">
        <x:v>455</x:v>
      </x:c>
      <x:c r="B460" s="179" t="n">
        <x:f>EDATE(Premissas!$B$4,454)</x:f>
        <x:v>60358</x:v>
      </x:c>
      <x:c r="C460" s="180" t="n">
        <x:f>(1+Premissas!$B$26)^INT((A460-1)/12)</x:f>
        <x:v>8.636087119842156</x:v>
      </x:c>
      <x:c r="D460" s="141" t="n">
        <x:f>Premissas!$B$30*C460</x:f>
        <x:v>938138.0410695045</x:v>
      </x:c>
      <x:c r="E460" s="141" t="n">
        <x:f>IF(A460&lt;=Premissas!$B$25,Premissas!$B$32*C460,0)</x:f>
        <x:v>0</x:v>
      </x:c>
      <x:c r="F460" s="141" t="n">
        <x:f>IF(AND(A460&gt;=Premissas!$B$48,A460&lt;=Premissas!$B$27,A460-Premissas!$B$48+1&lt;=Premissas!$B$13),INDEX(Financiamento!$C$6:$C$485,A460-Premissas!$B$48+1),0)</x:f>
        <x:v>0</x:v>
      </x:c>
      <x:c r="G460" s="141" t="n">
        <x:f>IF(AND(A460&gt;=Premissas!$B$48,A460&lt;=Premissas!$B$27,A460-Premissas!$B$48+1&lt;=Premissas!$B$13),INDEX(Financiamento!$J$6:$J$485,A460-Premissas!$B$48+1),0)</x:f>
        <x:v>0</x:v>
      </x:c>
      <x:c r="H460" s="141" t="n">
        <x:f>IF(AND(A460&gt;=Premissas!$B$48,A460&lt;=Premissas!$B$27,A460-Premissas!$B$48+1&lt;=Premissas!$B$13),INDEX(Financiamento!$M$6:$M$485,A460-Premissas!$B$48+1),0)</x:f>
        <x:v>0</x:v>
      </x:c>
      <x:c r="I460" s="141" t="n">
        <x:f>IF(A460=Premissas!$B$27,MIN(D460,H460),0)</x:f>
        <x:v>0</x:v>
      </x:c>
      <x:c r="J460" s="141" t="n">
        <x:f>IF(A460=Premissas!$B$27,D460-H460,0)</x:f>
        <x:v>0</x:v>
      </x:c>
      <x:c r="K460" s="141" t="n">
        <x:f>E460+G460</x:f>
        <x:v>0</x:v>
      </x:c>
      <x:c r="L460" s="141" t="n">
        <x:f>SUM($K$6:K460)</x:f>
        <x:v>368370.4829168556</x:v>
      </x:c>
      <x:c r="M460" s="141" t="str">
        <x:f>IF(A460&lt;Premissas!$B$27,"Financiamento + consorcio",IF(A460=Premissas!$B$27,"Quitacao via carta",IF(A460&lt;=Premissas!$B$25,"Somente consorcio","Encerrado")))</x:f>
        <x:v>Encerrado</x:v>
      </x:c>
      <x:c r="N460" s="141" t="n">
        <x:f>IF(A460&gt;=Premissas!$B$25,0,(N461+E461)/(1+Premissas!$B$41))</x:f>
        <x:v>0</x:v>
      </x:c>
      <x:c r="O460" s="141" t="n">
        <x:f>IF(A460&lt;Premissas!$B$27,Premissas!$B$31/(1+Premissas!$B$41)^(Premissas!$B$27-A460),0)</x:f>
        <x:v>0</x:v>
      </x:c>
      <x:c r="P460" s="141" t="n">
        <x:f>MAX(0,H460-I460)+N460</x:f>
        <x:v>0</x:v>
      </x:c>
    </x:row>
    <x:row r="461">
      <x:c r="A461" s="142" t="n">
        <x:v>456</x:v>
      </x:c>
      <x:c r="B461" s="179" t="n">
        <x:f>EDATE(Premissas!$B$4,455)</x:f>
        <x:v>60388</x:v>
      </x:c>
      <x:c r="C461" s="180" t="n">
        <x:f>(1+Premissas!$B$26)^INT((A461-1)/12)</x:f>
        <x:v>8.636087119842156</x:v>
      </x:c>
      <x:c r="D461" s="141" t="n">
        <x:f>Premissas!$B$30*C461</x:f>
        <x:v>938138.0410695045</x:v>
      </x:c>
      <x:c r="E461" s="141" t="n">
        <x:f>IF(A461&lt;=Premissas!$B$25,Premissas!$B$32*C461,0)</x:f>
        <x:v>0</x:v>
      </x:c>
      <x:c r="F461" s="141" t="n">
        <x:f>IF(AND(A461&gt;=Premissas!$B$48,A461&lt;=Premissas!$B$27,A461-Premissas!$B$48+1&lt;=Premissas!$B$13),INDEX(Financiamento!$C$6:$C$485,A461-Premissas!$B$48+1),0)</x:f>
        <x:v>0</x:v>
      </x:c>
      <x:c r="G461" s="141" t="n">
        <x:f>IF(AND(A461&gt;=Premissas!$B$48,A461&lt;=Premissas!$B$27,A461-Premissas!$B$48+1&lt;=Premissas!$B$13),INDEX(Financiamento!$J$6:$J$485,A461-Premissas!$B$48+1),0)</x:f>
        <x:v>0</x:v>
      </x:c>
      <x:c r="H461" s="141" t="n">
        <x:f>IF(AND(A461&gt;=Premissas!$B$48,A461&lt;=Premissas!$B$27,A461-Premissas!$B$48+1&lt;=Premissas!$B$13),INDEX(Financiamento!$M$6:$M$485,A461-Premissas!$B$48+1),0)</x:f>
        <x:v>0</x:v>
      </x:c>
      <x:c r="I461" s="141" t="n">
        <x:f>IF(A461=Premissas!$B$27,MIN(D461,H461),0)</x:f>
        <x:v>0</x:v>
      </x:c>
      <x:c r="J461" s="141" t="n">
        <x:f>IF(A461=Premissas!$B$27,D461-H461,0)</x:f>
        <x:v>0</x:v>
      </x:c>
      <x:c r="K461" s="141" t="n">
        <x:f>E461+G461</x:f>
        <x:v>0</x:v>
      </x:c>
      <x:c r="L461" s="141" t="n">
        <x:f>SUM($K$6:K461)</x:f>
        <x:v>368370.4829168556</x:v>
      </x:c>
      <x:c r="M461" s="141" t="str">
        <x:f>IF(A461&lt;Premissas!$B$27,"Financiamento + consorcio",IF(A461=Premissas!$B$27,"Quitacao via carta",IF(A461&lt;=Premissas!$B$25,"Somente consorcio","Encerrado")))</x:f>
        <x:v>Encerrado</x:v>
      </x:c>
      <x:c r="N461" s="141" t="n">
        <x:f>IF(A461&gt;=Premissas!$B$25,0,(N462+E462)/(1+Premissas!$B$41))</x:f>
        <x:v>0</x:v>
      </x:c>
      <x:c r="O461" s="141" t="n">
        <x:f>IF(A461&lt;Premissas!$B$27,Premissas!$B$31/(1+Premissas!$B$41)^(Premissas!$B$27-A461),0)</x:f>
        <x:v>0</x:v>
      </x:c>
      <x:c r="P461" s="141" t="n">
        <x:f>MAX(0,H461-I461)+N461</x:f>
        <x:v>0</x:v>
      </x:c>
    </x:row>
    <x:row r="462">
      <x:c r="A462" s="142" t="n">
        <x:v>457</x:v>
      </x:c>
      <x:c r="B462" s="179" t="n">
        <x:f>EDATE(Premissas!$B$4,456)</x:f>
        <x:v>60419</x:v>
      </x:c>
      <x:c r="C462" s="180" t="n">
        <x:f>(1+Premissas!$B$26)^INT((A462-1)/12)</x:f>
        <x:v>9.154252347032687</x:v>
      </x:c>
      <x:c r="D462" s="141" t="n">
        <x:f>Premissas!$B$30*C462</x:f>
        <x:v>994426.3235336749</x:v>
      </x:c>
      <x:c r="E462" s="141" t="n">
        <x:f>IF(A462&lt;=Premissas!$B$25,Premissas!$B$32*C462,0)</x:f>
        <x:v>0</x:v>
      </x:c>
      <x:c r="F462" s="141" t="n">
        <x:f>IF(AND(A462&gt;=Premissas!$B$48,A462&lt;=Premissas!$B$27,A462-Premissas!$B$48+1&lt;=Premissas!$B$13),INDEX(Financiamento!$C$6:$C$485,A462-Premissas!$B$48+1),0)</x:f>
        <x:v>0</x:v>
      </x:c>
      <x:c r="G462" s="141" t="n">
        <x:f>IF(AND(A462&gt;=Premissas!$B$48,A462&lt;=Premissas!$B$27,A462-Premissas!$B$48+1&lt;=Premissas!$B$13),INDEX(Financiamento!$J$6:$J$485,A462-Premissas!$B$48+1),0)</x:f>
        <x:v>0</x:v>
      </x:c>
      <x:c r="H462" s="141" t="n">
        <x:f>IF(AND(A462&gt;=Premissas!$B$48,A462&lt;=Premissas!$B$27,A462-Premissas!$B$48+1&lt;=Premissas!$B$13),INDEX(Financiamento!$M$6:$M$485,A462-Premissas!$B$48+1),0)</x:f>
        <x:v>0</x:v>
      </x:c>
      <x:c r="I462" s="141" t="n">
        <x:f>IF(A462=Premissas!$B$27,MIN(D462,H462),0)</x:f>
        <x:v>0</x:v>
      </x:c>
      <x:c r="J462" s="141" t="n">
        <x:f>IF(A462=Premissas!$B$27,D462-H462,0)</x:f>
        <x:v>0</x:v>
      </x:c>
      <x:c r="K462" s="141" t="n">
        <x:f>E462+G462</x:f>
        <x:v>0</x:v>
      </x:c>
      <x:c r="L462" s="141" t="n">
        <x:f>SUM($K$6:K462)</x:f>
        <x:v>368370.4829168556</x:v>
      </x:c>
      <x:c r="M462" s="141" t="str">
        <x:f>IF(A462&lt;Premissas!$B$27,"Financiamento + consorcio",IF(A462=Premissas!$B$27,"Quitacao via carta",IF(A462&lt;=Premissas!$B$25,"Somente consorcio","Encerrado")))</x:f>
        <x:v>Encerrado</x:v>
      </x:c>
      <x:c r="N462" s="141" t="n">
        <x:f>IF(A462&gt;=Premissas!$B$25,0,(N463+E463)/(1+Premissas!$B$41))</x:f>
        <x:v>0</x:v>
      </x:c>
      <x:c r="O462" s="141" t="n">
        <x:f>IF(A462&lt;Premissas!$B$27,Premissas!$B$31/(1+Premissas!$B$41)^(Premissas!$B$27-A462),0)</x:f>
        <x:v>0</x:v>
      </x:c>
      <x:c r="P462" s="141" t="n">
        <x:f>MAX(0,H462-I462)+N462</x:f>
        <x:v>0</x:v>
      </x:c>
    </x:row>
    <x:row r="463">
      <x:c r="A463" s="142" t="n">
        <x:v>458</x:v>
      </x:c>
      <x:c r="B463" s="179" t="n">
        <x:f>EDATE(Premissas!$B$4,457)</x:f>
        <x:v>60449</x:v>
      </x:c>
      <x:c r="C463" s="180" t="n">
        <x:f>(1+Premissas!$B$26)^INT((A463-1)/12)</x:f>
        <x:v>9.154252347032687</x:v>
      </x:c>
      <x:c r="D463" s="141" t="n">
        <x:f>Premissas!$B$30*C463</x:f>
        <x:v>994426.3235336749</x:v>
      </x:c>
      <x:c r="E463" s="141" t="n">
        <x:f>IF(A463&lt;=Premissas!$B$25,Premissas!$B$32*C463,0)</x:f>
        <x:v>0</x:v>
      </x:c>
      <x:c r="F463" s="141" t="n">
        <x:f>IF(AND(A463&gt;=Premissas!$B$48,A463&lt;=Premissas!$B$27,A463-Premissas!$B$48+1&lt;=Premissas!$B$13),INDEX(Financiamento!$C$6:$C$485,A463-Premissas!$B$48+1),0)</x:f>
        <x:v>0</x:v>
      </x:c>
      <x:c r="G463" s="141" t="n">
        <x:f>IF(AND(A463&gt;=Premissas!$B$48,A463&lt;=Premissas!$B$27,A463-Premissas!$B$48+1&lt;=Premissas!$B$13),INDEX(Financiamento!$J$6:$J$485,A463-Premissas!$B$48+1),0)</x:f>
        <x:v>0</x:v>
      </x:c>
      <x:c r="H463" s="141" t="n">
        <x:f>IF(AND(A463&gt;=Premissas!$B$48,A463&lt;=Premissas!$B$27,A463-Premissas!$B$48+1&lt;=Premissas!$B$13),INDEX(Financiamento!$M$6:$M$485,A463-Premissas!$B$48+1),0)</x:f>
        <x:v>0</x:v>
      </x:c>
      <x:c r="I463" s="141" t="n">
        <x:f>IF(A463=Premissas!$B$27,MIN(D463,H463),0)</x:f>
        <x:v>0</x:v>
      </x:c>
      <x:c r="J463" s="141" t="n">
        <x:f>IF(A463=Premissas!$B$27,D463-H463,0)</x:f>
        <x:v>0</x:v>
      </x:c>
      <x:c r="K463" s="141" t="n">
        <x:f>E463+G463</x:f>
        <x:v>0</x:v>
      </x:c>
      <x:c r="L463" s="141" t="n">
        <x:f>SUM($K$6:K463)</x:f>
        <x:v>368370.4829168556</x:v>
      </x:c>
      <x:c r="M463" s="141" t="str">
        <x:f>IF(A463&lt;Premissas!$B$27,"Financiamento + consorcio",IF(A463=Premissas!$B$27,"Quitacao via carta",IF(A463&lt;=Premissas!$B$25,"Somente consorcio","Encerrado")))</x:f>
        <x:v>Encerrado</x:v>
      </x:c>
      <x:c r="N463" s="141" t="n">
        <x:f>IF(A463&gt;=Premissas!$B$25,0,(N464+E464)/(1+Premissas!$B$41))</x:f>
        <x:v>0</x:v>
      </x:c>
      <x:c r="O463" s="141" t="n">
        <x:f>IF(A463&lt;Premissas!$B$27,Premissas!$B$31/(1+Premissas!$B$41)^(Premissas!$B$27-A463),0)</x:f>
        <x:v>0</x:v>
      </x:c>
      <x:c r="P463" s="141" t="n">
        <x:f>MAX(0,H463-I463)+N463</x:f>
        <x:v>0</x:v>
      </x:c>
    </x:row>
    <x:row r="464">
      <x:c r="A464" s="142" t="n">
        <x:v>459</x:v>
      </x:c>
      <x:c r="B464" s="179" t="n">
        <x:f>EDATE(Premissas!$B$4,458)</x:f>
        <x:v>60480</x:v>
      </x:c>
      <x:c r="C464" s="180" t="n">
        <x:f>(1+Premissas!$B$26)^INT((A464-1)/12)</x:f>
        <x:v>9.154252347032687</x:v>
      </x:c>
      <x:c r="D464" s="141" t="n">
        <x:f>Premissas!$B$30*C464</x:f>
        <x:v>994426.3235336749</x:v>
      </x:c>
      <x:c r="E464" s="141" t="n">
        <x:f>IF(A464&lt;=Premissas!$B$25,Premissas!$B$32*C464,0)</x:f>
        <x:v>0</x:v>
      </x:c>
      <x:c r="F464" s="141" t="n">
        <x:f>IF(AND(A464&gt;=Premissas!$B$48,A464&lt;=Premissas!$B$27,A464-Premissas!$B$48+1&lt;=Premissas!$B$13),INDEX(Financiamento!$C$6:$C$485,A464-Premissas!$B$48+1),0)</x:f>
        <x:v>0</x:v>
      </x:c>
      <x:c r="G464" s="141" t="n">
        <x:f>IF(AND(A464&gt;=Premissas!$B$48,A464&lt;=Premissas!$B$27,A464-Premissas!$B$48+1&lt;=Premissas!$B$13),INDEX(Financiamento!$J$6:$J$485,A464-Premissas!$B$48+1),0)</x:f>
        <x:v>0</x:v>
      </x:c>
      <x:c r="H464" s="141" t="n">
        <x:f>IF(AND(A464&gt;=Premissas!$B$48,A464&lt;=Premissas!$B$27,A464-Premissas!$B$48+1&lt;=Premissas!$B$13),INDEX(Financiamento!$M$6:$M$485,A464-Premissas!$B$48+1),0)</x:f>
        <x:v>0</x:v>
      </x:c>
      <x:c r="I464" s="141" t="n">
        <x:f>IF(A464=Premissas!$B$27,MIN(D464,H464),0)</x:f>
        <x:v>0</x:v>
      </x:c>
      <x:c r="J464" s="141" t="n">
        <x:f>IF(A464=Premissas!$B$27,D464-H464,0)</x:f>
        <x:v>0</x:v>
      </x:c>
      <x:c r="K464" s="141" t="n">
        <x:f>E464+G464</x:f>
        <x:v>0</x:v>
      </x:c>
      <x:c r="L464" s="141" t="n">
        <x:f>SUM($K$6:K464)</x:f>
        <x:v>368370.4829168556</x:v>
      </x:c>
      <x:c r="M464" s="141" t="str">
        <x:f>IF(A464&lt;Premissas!$B$27,"Financiamento + consorcio",IF(A464=Premissas!$B$27,"Quitacao via carta",IF(A464&lt;=Premissas!$B$25,"Somente consorcio","Encerrado")))</x:f>
        <x:v>Encerrado</x:v>
      </x:c>
      <x:c r="N464" s="141" t="n">
        <x:f>IF(A464&gt;=Premissas!$B$25,0,(N465+E465)/(1+Premissas!$B$41))</x:f>
        <x:v>0</x:v>
      </x:c>
      <x:c r="O464" s="141" t="n">
        <x:f>IF(A464&lt;Premissas!$B$27,Premissas!$B$31/(1+Premissas!$B$41)^(Premissas!$B$27-A464),0)</x:f>
        <x:v>0</x:v>
      </x:c>
      <x:c r="P464" s="141" t="n">
        <x:f>MAX(0,H464-I464)+N464</x:f>
        <x:v>0</x:v>
      </x:c>
    </x:row>
    <x:row r="465">
      <x:c r="A465" s="142" t="n">
        <x:v>460</x:v>
      </x:c>
      <x:c r="B465" s="179" t="n">
        <x:f>EDATE(Premissas!$B$4,459)</x:f>
        <x:v>60511</x:v>
      </x:c>
      <x:c r="C465" s="180" t="n">
        <x:f>(1+Premissas!$B$26)^INT((A465-1)/12)</x:f>
        <x:v>9.154252347032687</x:v>
      </x:c>
      <x:c r="D465" s="141" t="n">
        <x:f>Premissas!$B$30*C465</x:f>
        <x:v>994426.3235336749</x:v>
      </x:c>
      <x:c r="E465" s="141" t="n">
        <x:f>IF(A465&lt;=Premissas!$B$25,Premissas!$B$32*C465,0)</x:f>
        <x:v>0</x:v>
      </x:c>
      <x:c r="F465" s="141" t="n">
        <x:f>IF(AND(A465&gt;=Premissas!$B$48,A465&lt;=Premissas!$B$27,A465-Premissas!$B$48+1&lt;=Premissas!$B$13),INDEX(Financiamento!$C$6:$C$485,A465-Premissas!$B$48+1),0)</x:f>
        <x:v>0</x:v>
      </x:c>
      <x:c r="G465" s="141" t="n">
        <x:f>IF(AND(A465&gt;=Premissas!$B$48,A465&lt;=Premissas!$B$27,A465-Premissas!$B$48+1&lt;=Premissas!$B$13),INDEX(Financiamento!$J$6:$J$485,A465-Premissas!$B$48+1),0)</x:f>
        <x:v>0</x:v>
      </x:c>
      <x:c r="H465" s="141" t="n">
        <x:f>IF(AND(A465&gt;=Premissas!$B$48,A465&lt;=Premissas!$B$27,A465-Premissas!$B$48+1&lt;=Premissas!$B$13),INDEX(Financiamento!$M$6:$M$485,A465-Premissas!$B$48+1),0)</x:f>
        <x:v>0</x:v>
      </x:c>
      <x:c r="I465" s="141" t="n">
        <x:f>IF(A465=Premissas!$B$27,MIN(D465,H465),0)</x:f>
        <x:v>0</x:v>
      </x:c>
      <x:c r="J465" s="141" t="n">
        <x:f>IF(A465=Premissas!$B$27,D465-H465,0)</x:f>
        <x:v>0</x:v>
      </x:c>
      <x:c r="K465" s="141" t="n">
        <x:f>E465+G465</x:f>
        <x:v>0</x:v>
      </x:c>
      <x:c r="L465" s="141" t="n">
        <x:f>SUM($K$6:K465)</x:f>
        <x:v>368370.4829168556</x:v>
      </x:c>
      <x:c r="M465" s="141" t="str">
        <x:f>IF(A465&lt;Premissas!$B$27,"Financiamento + consorcio",IF(A465=Premissas!$B$27,"Quitacao via carta",IF(A465&lt;=Premissas!$B$25,"Somente consorcio","Encerrado")))</x:f>
        <x:v>Encerrado</x:v>
      </x:c>
      <x:c r="N465" s="141" t="n">
        <x:f>IF(A465&gt;=Premissas!$B$25,0,(N466+E466)/(1+Premissas!$B$41))</x:f>
        <x:v>0</x:v>
      </x:c>
      <x:c r="O465" s="141" t="n">
        <x:f>IF(A465&lt;Premissas!$B$27,Premissas!$B$31/(1+Premissas!$B$41)^(Premissas!$B$27-A465),0)</x:f>
        <x:v>0</x:v>
      </x:c>
      <x:c r="P465" s="141" t="n">
        <x:f>MAX(0,H465-I465)+N465</x:f>
        <x:v>0</x:v>
      </x:c>
    </x:row>
    <x:row r="466">
      <x:c r="A466" s="142" t="n">
        <x:v>461</x:v>
      </x:c>
      <x:c r="B466" s="179" t="n">
        <x:f>EDATE(Premissas!$B$4,460)</x:f>
        <x:v>60541</x:v>
      </x:c>
      <x:c r="C466" s="180" t="n">
        <x:f>(1+Premissas!$B$26)^INT((A466-1)/12)</x:f>
        <x:v>9.154252347032687</x:v>
      </x:c>
      <x:c r="D466" s="141" t="n">
        <x:f>Premissas!$B$30*C466</x:f>
        <x:v>994426.3235336749</x:v>
      </x:c>
      <x:c r="E466" s="141" t="n">
        <x:f>IF(A466&lt;=Premissas!$B$25,Premissas!$B$32*C466,0)</x:f>
        <x:v>0</x:v>
      </x:c>
      <x:c r="F466" s="141" t="n">
        <x:f>IF(AND(A466&gt;=Premissas!$B$48,A466&lt;=Premissas!$B$27,A466-Premissas!$B$48+1&lt;=Premissas!$B$13),INDEX(Financiamento!$C$6:$C$485,A466-Premissas!$B$48+1),0)</x:f>
        <x:v>0</x:v>
      </x:c>
      <x:c r="G466" s="141" t="n">
        <x:f>IF(AND(A466&gt;=Premissas!$B$48,A466&lt;=Premissas!$B$27,A466-Premissas!$B$48+1&lt;=Premissas!$B$13),INDEX(Financiamento!$J$6:$J$485,A466-Premissas!$B$48+1),0)</x:f>
        <x:v>0</x:v>
      </x:c>
      <x:c r="H466" s="141" t="n">
        <x:f>IF(AND(A466&gt;=Premissas!$B$48,A466&lt;=Premissas!$B$27,A466-Premissas!$B$48+1&lt;=Premissas!$B$13),INDEX(Financiamento!$M$6:$M$485,A466-Premissas!$B$48+1),0)</x:f>
        <x:v>0</x:v>
      </x:c>
      <x:c r="I466" s="141" t="n">
        <x:f>IF(A466=Premissas!$B$27,MIN(D466,H466),0)</x:f>
        <x:v>0</x:v>
      </x:c>
      <x:c r="J466" s="141" t="n">
        <x:f>IF(A466=Premissas!$B$27,D466-H466,0)</x:f>
        <x:v>0</x:v>
      </x:c>
      <x:c r="K466" s="141" t="n">
        <x:f>E466+G466</x:f>
        <x:v>0</x:v>
      </x:c>
      <x:c r="L466" s="141" t="n">
        <x:f>SUM($K$6:K466)</x:f>
        <x:v>368370.4829168556</x:v>
      </x:c>
      <x:c r="M466" s="141" t="str">
        <x:f>IF(A466&lt;Premissas!$B$27,"Financiamento + consorcio",IF(A466=Premissas!$B$27,"Quitacao via carta",IF(A466&lt;=Premissas!$B$25,"Somente consorcio","Encerrado")))</x:f>
        <x:v>Encerrado</x:v>
      </x:c>
      <x:c r="N466" s="141" t="n">
        <x:f>IF(A466&gt;=Premissas!$B$25,0,(N467+E467)/(1+Premissas!$B$41))</x:f>
        <x:v>0</x:v>
      </x:c>
      <x:c r="O466" s="141" t="n">
        <x:f>IF(A466&lt;Premissas!$B$27,Premissas!$B$31/(1+Premissas!$B$41)^(Premissas!$B$27-A466),0)</x:f>
        <x:v>0</x:v>
      </x:c>
      <x:c r="P466" s="141" t="n">
        <x:f>MAX(0,H466-I466)+N466</x:f>
        <x:v>0</x:v>
      </x:c>
    </x:row>
    <x:row r="467">
      <x:c r="A467" s="142" t="n">
        <x:v>462</x:v>
      </x:c>
      <x:c r="B467" s="179" t="n">
        <x:f>EDATE(Premissas!$B$4,461)</x:f>
        <x:v>60572</x:v>
      </x:c>
      <x:c r="C467" s="180" t="n">
        <x:f>(1+Premissas!$B$26)^INT((A467-1)/12)</x:f>
        <x:v>9.154252347032687</x:v>
      </x:c>
      <x:c r="D467" s="141" t="n">
        <x:f>Premissas!$B$30*C467</x:f>
        <x:v>994426.3235336749</x:v>
      </x:c>
      <x:c r="E467" s="141" t="n">
        <x:f>IF(A467&lt;=Premissas!$B$25,Premissas!$B$32*C467,0)</x:f>
        <x:v>0</x:v>
      </x:c>
      <x:c r="F467" s="141" t="n">
        <x:f>IF(AND(A467&gt;=Premissas!$B$48,A467&lt;=Premissas!$B$27,A467-Premissas!$B$48+1&lt;=Premissas!$B$13),INDEX(Financiamento!$C$6:$C$485,A467-Premissas!$B$48+1),0)</x:f>
        <x:v>0</x:v>
      </x:c>
      <x:c r="G467" s="141" t="n">
        <x:f>IF(AND(A467&gt;=Premissas!$B$48,A467&lt;=Premissas!$B$27,A467-Premissas!$B$48+1&lt;=Premissas!$B$13),INDEX(Financiamento!$J$6:$J$485,A467-Premissas!$B$48+1),0)</x:f>
        <x:v>0</x:v>
      </x:c>
      <x:c r="H467" s="141" t="n">
        <x:f>IF(AND(A467&gt;=Premissas!$B$48,A467&lt;=Premissas!$B$27,A467-Premissas!$B$48+1&lt;=Premissas!$B$13),INDEX(Financiamento!$M$6:$M$485,A467-Premissas!$B$48+1),0)</x:f>
        <x:v>0</x:v>
      </x:c>
      <x:c r="I467" s="141" t="n">
        <x:f>IF(A467=Premissas!$B$27,MIN(D467,H467),0)</x:f>
        <x:v>0</x:v>
      </x:c>
      <x:c r="J467" s="141" t="n">
        <x:f>IF(A467=Premissas!$B$27,D467-H467,0)</x:f>
        <x:v>0</x:v>
      </x:c>
      <x:c r="K467" s="141" t="n">
        <x:f>E467+G467</x:f>
        <x:v>0</x:v>
      </x:c>
      <x:c r="L467" s="141" t="n">
        <x:f>SUM($K$6:K467)</x:f>
        <x:v>368370.4829168556</x:v>
      </x:c>
      <x:c r="M467" s="141" t="str">
        <x:f>IF(A467&lt;Premissas!$B$27,"Financiamento + consorcio",IF(A467=Premissas!$B$27,"Quitacao via carta",IF(A467&lt;=Premissas!$B$25,"Somente consorcio","Encerrado")))</x:f>
        <x:v>Encerrado</x:v>
      </x:c>
      <x:c r="N467" s="141" t="n">
        <x:f>IF(A467&gt;=Premissas!$B$25,0,(N468+E468)/(1+Premissas!$B$41))</x:f>
        <x:v>0</x:v>
      </x:c>
      <x:c r="O467" s="141" t="n">
        <x:f>IF(A467&lt;Premissas!$B$27,Premissas!$B$31/(1+Premissas!$B$41)^(Premissas!$B$27-A467),0)</x:f>
        <x:v>0</x:v>
      </x:c>
      <x:c r="P467" s="141" t="n">
        <x:f>MAX(0,H467-I467)+N467</x:f>
        <x:v>0</x:v>
      </x:c>
    </x:row>
    <x:row r="468">
      <x:c r="A468" s="142" t="n">
        <x:v>463</x:v>
      </x:c>
      <x:c r="B468" s="179" t="n">
        <x:f>EDATE(Premissas!$B$4,462)</x:f>
        <x:v>60602</x:v>
      </x:c>
      <x:c r="C468" s="180" t="n">
        <x:f>(1+Premissas!$B$26)^INT((A468-1)/12)</x:f>
        <x:v>9.154252347032687</x:v>
      </x:c>
      <x:c r="D468" s="141" t="n">
        <x:f>Premissas!$B$30*C468</x:f>
        <x:v>994426.3235336749</x:v>
      </x:c>
      <x:c r="E468" s="141" t="n">
        <x:f>IF(A468&lt;=Premissas!$B$25,Premissas!$B$32*C468,0)</x:f>
        <x:v>0</x:v>
      </x:c>
      <x:c r="F468" s="141" t="n">
        <x:f>IF(AND(A468&gt;=Premissas!$B$48,A468&lt;=Premissas!$B$27,A468-Premissas!$B$48+1&lt;=Premissas!$B$13),INDEX(Financiamento!$C$6:$C$485,A468-Premissas!$B$48+1),0)</x:f>
        <x:v>0</x:v>
      </x:c>
      <x:c r="G468" s="141" t="n">
        <x:f>IF(AND(A468&gt;=Premissas!$B$48,A468&lt;=Premissas!$B$27,A468-Premissas!$B$48+1&lt;=Premissas!$B$13),INDEX(Financiamento!$J$6:$J$485,A468-Premissas!$B$48+1),0)</x:f>
        <x:v>0</x:v>
      </x:c>
      <x:c r="H468" s="141" t="n">
        <x:f>IF(AND(A468&gt;=Premissas!$B$48,A468&lt;=Premissas!$B$27,A468-Premissas!$B$48+1&lt;=Premissas!$B$13),INDEX(Financiamento!$M$6:$M$485,A468-Premissas!$B$48+1),0)</x:f>
        <x:v>0</x:v>
      </x:c>
      <x:c r="I468" s="141" t="n">
        <x:f>IF(A468=Premissas!$B$27,MIN(D468,H468),0)</x:f>
        <x:v>0</x:v>
      </x:c>
      <x:c r="J468" s="141" t="n">
        <x:f>IF(A468=Premissas!$B$27,D468-H468,0)</x:f>
        <x:v>0</x:v>
      </x:c>
      <x:c r="K468" s="141" t="n">
        <x:f>E468+G468</x:f>
        <x:v>0</x:v>
      </x:c>
      <x:c r="L468" s="141" t="n">
        <x:f>SUM($K$6:K468)</x:f>
        <x:v>368370.4829168556</x:v>
      </x:c>
      <x:c r="M468" s="141" t="str">
        <x:f>IF(A468&lt;Premissas!$B$27,"Financiamento + consorcio",IF(A468=Premissas!$B$27,"Quitacao via carta",IF(A468&lt;=Premissas!$B$25,"Somente consorcio","Encerrado")))</x:f>
        <x:v>Encerrado</x:v>
      </x:c>
      <x:c r="N468" s="141" t="n">
        <x:f>IF(A468&gt;=Premissas!$B$25,0,(N469+E469)/(1+Premissas!$B$41))</x:f>
        <x:v>0</x:v>
      </x:c>
      <x:c r="O468" s="141" t="n">
        <x:f>IF(A468&lt;Premissas!$B$27,Premissas!$B$31/(1+Premissas!$B$41)^(Premissas!$B$27-A468),0)</x:f>
        <x:v>0</x:v>
      </x:c>
      <x:c r="P468" s="141" t="n">
        <x:f>MAX(0,H468-I468)+N468</x:f>
        <x:v>0</x:v>
      </x:c>
    </x:row>
    <x:row r="469">
      <x:c r="A469" s="142" t="n">
        <x:v>464</x:v>
      </x:c>
      <x:c r="B469" s="179" t="n">
        <x:f>EDATE(Premissas!$B$4,463)</x:f>
        <x:v>60633</x:v>
      </x:c>
      <x:c r="C469" s="180" t="n">
        <x:f>(1+Premissas!$B$26)^INT((A469-1)/12)</x:f>
        <x:v>9.154252347032687</x:v>
      </x:c>
      <x:c r="D469" s="141" t="n">
        <x:f>Premissas!$B$30*C469</x:f>
        <x:v>994426.3235336749</x:v>
      </x:c>
      <x:c r="E469" s="141" t="n">
        <x:f>IF(A469&lt;=Premissas!$B$25,Premissas!$B$32*C469,0)</x:f>
        <x:v>0</x:v>
      </x:c>
      <x:c r="F469" s="141" t="n">
        <x:f>IF(AND(A469&gt;=Premissas!$B$48,A469&lt;=Premissas!$B$27,A469-Premissas!$B$48+1&lt;=Premissas!$B$13),INDEX(Financiamento!$C$6:$C$485,A469-Premissas!$B$48+1),0)</x:f>
        <x:v>0</x:v>
      </x:c>
      <x:c r="G469" s="141" t="n">
        <x:f>IF(AND(A469&gt;=Premissas!$B$48,A469&lt;=Premissas!$B$27,A469-Premissas!$B$48+1&lt;=Premissas!$B$13),INDEX(Financiamento!$J$6:$J$485,A469-Premissas!$B$48+1),0)</x:f>
        <x:v>0</x:v>
      </x:c>
      <x:c r="H469" s="141" t="n">
        <x:f>IF(AND(A469&gt;=Premissas!$B$48,A469&lt;=Premissas!$B$27,A469-Premissas!$B$48+1&lt;=Premissas!$B$13),INDEX(Financiamento!$M$6:$M$485,A469-Premissas!$B$48+1),0)</x:f>
        <x:v>0</x:v>
      </x:c>
      <x:c r="I469" s="141" t="n">
        <x:f>IF(A469=Premissas!$B$27,MIN(D469,H469),0)</x:f>
        <x:v>0</x:v>
      </x:c>
      <x:c r="J469" s="141" t="n">
        <x:f>IF(A469=Premissas!$B$27,D469-H469,0)</x:f>
        <x:v>0</x:v>
      </x:c>
      <x:c r="K469" s="141" t="n">
        <x:f>E469+G469</x:f>
        <x:v>0</x:v>
      </x:c>
      <x:c r="L469" s="141" t="n">
        <x:f>SUM($K$6:K469)</x:f>
        <x:v>368370.4829168556</x:v>
      </x:c>
      <x:c r="M469" s="141" t="str">
        <x:f>IF(A469&lt;Premissas!$B$27,"Financiamento + consorcio",IF(A469=Premissas!$B$27,"Quitacao via carta",IF(A469&lt;=Premissas!$B$25,"Somente consorcio","Encerrado")))</x:f>
        <x:v>Encerrado</x:v>
      </x:c>
      <x:c r="N469" s="141" t="n">
        <x:f>IF(A469&gt;=Premissas!$B$25,0,(N470+E470)/(1+Premissas!$B$41))</x:f>
        <x:v>0</x:v>
      </x:c>
      <x:c r="O469" s="141" t="n">
        <x:f>IF(A469&lt;Premissas!$B$27,Premissas!$B$31/(1+Premissas!$B$41)^(Premissas!$B$27-A469),0)</x:f>
        <x:v>0</x:v>
      </x:c>
      <x:c r="P469" s="141" t="n">
        <x:f>MAX(0,H469-I469)+N469</x:f>
        <x:v>0</x:v>
      </x:c>
    </x:row>
    <x:row r="470">
      <x:c r="A470" s="142" t="n">
        <x:v>465</x:v>
      </x:c>
      <x:c r="B470" s="179" t="n">
        <x:f>EDATE(Premissas!$B$4,464)</x:f>
        <x:v>60664</x:v>
      </x:c>
      <x:c r="C470" s="180" t="n">
        <x:f>(1+Premissas!$B$26)^INT((A470-1)/12)</x:f>
        <x:v>9.154252347032687</x:v>
      </x:c>
      <x:c r="D470" s="141" t="n">
        <x:f>Premissas!$B$30*C470</x:f>
        <x:v>994426.3235336749</x:v>
      </x:c>
      <x:c r="E470" s="141" t="n">
        <x:f>IF(A470&lt;=Premissas!$B$25,Premissas!$B$32*C470,0)</x:f>
        <x:v>0</x:v>
      </x:c>
      <x:c r="F470" s="141" t="n">
        <x:f>IF(AND(A470&gt;=Premissas!$B$48,A470&lt;=Premissas!$B$27,A470-Premissas!$B$48+1&lt;=Premissas!$B$13),INDEX(Financiamento!$C$6:$C$485,A470-Premissas!$B$48+1),0)</x:f>
        <x:v>0</x:v>
      </x:c>
      <x:c r="G470" s="141" t="n">
        <x:f>IF(AND(A470&gt;=Premissas!$B$48,A470&lt;=Premissas!$B$27,A470-Premissas!$B$48+1&lt;=Premissas!$B$13),INDEX(Financiamento!$J$6:$J$485,A470-Premissas!$B$48+1),0)</x:f>
        <x:v>0</x:v>
      </x:c>
      <x:c r="H470" s="141" t="n">
        <x:f>IF(AND(A470&gt;=Premissas!$B$48,A470&lt;=Premissas!$B$27,A470-Premissas!$B$48+1&lt;=Premissas!$B$13),INDEX(Financiamento!$M$6:$M$485,A470-Premissas!$B$48+1),0)</x:f>
        <x:v>0</x:v>
      </x:c>
      <x:c r="I470" s="141" t="n">
        <x:f>IF(A470=Premissas!$B$27,MIN(D470,H470),0)</x:f>
        <x:v>0</x:v>
      </x:c>
      <x:c r="J470" s="141" t="n">
        <x:f>IF(A470=Premissas!$B$27,D470-H470,0)</x:f>
        <x:v>0</x:v>
      </x:c>
      <x:c r="K470" s="141" t="n">
        <x:f>E470+G470</x:f>
        <x:v>0</x:v>
      </x:c>
      <x:c r="L470" s="141" t="n">
        <x:f>SUM($K$6:K470)</x:f>
        <x:v>368370.4829168556</x:v>
      </x:c>
      <x:c r="M470" s="141" t="str">
        <x:f>IF(A470&lt;Premissas!$B$27,"Financiamento + consorcio",IF(A470=Premissas!$B$27,"Quitacao via carta",IF(A470&lt;=Premissas!$B$25,"Somente consorcio","Encerrado")))</x:f>
        <x:v>Encerrado</x:v>
      </x:c>
      <x:c r="N470" s="141" t="n">
        <x:f>IF(A470&gt;=Premissas!$B$25,0,(N471+E471)/(1+Premissas!$B$41))</x:f>
        <x:v>0</x:v>
      </x:c>
      <x:c r="O470" s="141" t="n">
        <x:f>IF(A470&lt;Premissas!$B$27,Premissas!$B$31/(1+Premissas!$B$41)^(Premissas!$B$27-A470),0)</x:f>
        <x:v>0</x:v>
      </x:c>
      <x:c r="P470" s="141" t="n">
        <x:f>MAX(0,H470-I470)+N470</x:f>
        <x:v>0</x:v>
      </x:c>
    </x:row>
    <x:row r="471">
      <x:c r="A471" s="142" t="n">
        <x:v>466</x:v>
      </x:c>
      <x:c r="B471" s="179" t="n">
        <x:f>EDATE(Premissas!$B$4,465)</x:f>
        <x:v>60692</x:v>
      </x:c>
      <x:c r="C471" s="180" t="n">
        <x:f>(1+Premissas!$B$26)^INT((A471-1)/12)</x:f>
        <x:v>9.154252347032687</x:v>
      </x:c>
      <x:c r="D471" s="141" t="n">
        <x:f>Premissas!$B$30*C471</x:f>
        <x:v>994426.3235336749</x:v>
      </x:c>
      <x:c r="E471" s="141" t="n">
        <x:f>IF(A471&lt;=Premissas!$B$25,Premissas!$B$32*C471,0)</x:f>
        <x:v>0</x:v>
      </x:c>
      <x:c r="F471" s="141" t="n">
        <x:f>IF(AND(A471&gt;=Premissas!$B$48,A471&lt;=Premissas!$B$27,A471-Premissas!$B$48+1&lt;=Premissas!$B$13),INDEX(Financiamento!$C$6:$C$485,A471-Premissas!$B$48+1),0)</x:f>
        <x:v>0</x:v>
      </x:c>
      <x:c r="G471" s="141" t="n">
        <x:f>IF(AND(A471&gt;=Premissas!$B$48,A471&lt;=Premissas!$B$27,A471-Premissas!$B$48+1&lt;=Premissas!$B$13),INDEX(Financiamento!$J$6:$J$485,A471-Premissas!$B$48+1),0)</x:f>
        <x:v>0</x:v>
      </x:c>
      <x:c r="H471" s="141" t="n">
        <x:f>IF(AND(A471&gt;=Premissas!$B$48,A471&lt;=Premissas!$B$27,A471-Premissas!$B$48+1&lt;=Premissas!$B$13),INDEX(Financiamento!$M$6:$M$485,A471-Premissas!$B$48+1),0)</x:f>
        <x:v>0</x:v>
      </x:c>
      <x:c r="I471" s="141" t="n">
        <x:f>IF(A471=Premissas!$B$27,MIN(D471,H471),0)</x:f>
        <x:v>0</x:v>
      </x:c>
      <x:c r="J471" s="141" t="n">
        <x:f>IF(A471=Premissas!$B$27,D471-H471,0)</x:f>
        <x:v>0</x:v>
      </x:c>
      <x:c r="K471" s="141" t="n">
        <x:f>E471+G471</x:f>
        <x:v>0</x:v>
      </x:c>
      <x:c r="L471" s="141" t="n">
        <x:f>SUM($K$6:K471)</x:f>
        <x:v>368370.4829168556</x:v>
      </x:c>
      <x:c r="M471" s="141" t="str">
        <x:f>IF(A471&lt;Premissas!$B$27,"Financiamento + consorcio",IF(A471=Premissas!$B$27,"Quitacao via carta",IF(A471&lt;=Premissas!$B$25,"Somente consorcio","Encerrado")))</x:f>
        <x:v>Encerrado</x:v>
      </x:c>
      <x:c r="N471" s="141" t="n">
        <x:f>IF(A471&gt;=Premissas!$B$25,0,(N472+E472)/(1+Premissas!$B$41))</x:f>
        <x:v>0</x:v>
      </x:c>
      <x:c r="O471" s="141" t="n">
        <x:f>IF(A471&lt;Premissas!$B$27,Premissas!$B$31/(1+Premissas!$B$41)^(Premissas!$B$27-A471),0)</x:f>
        <x:v>0</x:v>
      </x:c>
      <x:c r="P471" s="141" t="n">
        <x:f>MAX(0,H471-I471)+N471</x:f>
        <x:v>0</x:v>
      </x:c>
    </x:row>
    <x:row r="472">
      <x:c r="A472" s="142" t="n">
        <x:v>467</x:v>
      </x:c>
      <x:c r="B472" s="179" t="n">
        <x:f>EDATE(Premissas!$B$4,466)</x:f>
        <x:v>60723</x:v>
      </x:c>
      <x:c r="C472" s="180" t="n">
        <x:f>(1+Premissas!$B$26)^INT((A472-1)/12)</x:f>
        <x:v>9.154252347032687</x:v>
      </x:c>
      <x:c r="D472" s="141" t="n">
        <x:f>Premissas!$B$30*C472</x:f>
        <x:v>994426.3235336749</x:v>
      </x:c>
      <x:c r="E472" s="141" t="n">
        <x:f>IF(A472&lt;=Premissas!$B$25,Premissas!$B$32*C472,0)</x:f>
        <x:v>0</x:v>
      </x:c>
      <x:c r="F472" s="141" t="n">
        <x:f>IF(AND(A472&gt;=Premissas!$B$48,A472&lt;=Premissas!$B$27,A472-Premissas!$B$48+1&lt;=Premissas!$B$13),INDEX(Financiamento!$C$6:$C$485,A472-Premissas!$B$48+1),0)</x:f>
        <x:v>0</x:v>
      </x:c>
      <x:c r="G472" s="141" t="n">
        <x:f>IF(AND(A472&gt;=Premissas!$B$48,A472&lt;=Premissas!$B$27,A472-Premissas!$B$48+1&lt;=Premissas!$B$13),INDEX(Financiamento!$J$6:$J$485,A472-Premissas!$B$48+1),0)</x:f>
        <x:v>0</x:v>
      </x:c>
      <x:c r="H472" s="141" t="n">
        <x:f>IF(AND(A472&gt;=Premissas!$B$48,A472&lt;=Premissas!$B$27,A472-Premissas!$B$48+1&lt;=Premissas!$B$13),INDEX(Financiamento!$M$6:$M$485,A472-Premissas!$B$48+1),0)</x:f>
        <x:v>0</x:v>
      </x:c>
      <x:c r="I472" s="141" t="n">
        <x:f>IF(A472=Premissas!$B$27,MIN(D472,H472),0)</x:f>
        <x:v>0</x:v>
      </x:c>
      <x:c r="J472" s="141" t="n">
        <x:f>IF(A472=Premissas!$B$27,D472-H472,0)</x:f>
        <x:v>0</x:v>
      </x:c>
      <x:c r="K472" s="141" t="n">
        <x:f>E472+G472</x:f>
        <x:v>0</x:v>
      </x:c>
      <x:c r="L472" s="141" t="n">
        <x:f>SUM($K$6:K472)</x:f>
        <x:v>368370.4829168556</x:v>
      </x:c>
      <x:c r="M472" s="141" t="str">
        <x:f>IF(A472&lt;Premissas!$B$27,"Financiamento + consorcio",IF(A472=Premissas!$B$27,"Quitacao via carta",IF(A472&lt;=Premissas!$B$25,"Somente consorcio","Encerrado")))</x:f>
        <x:v>Encerrado</x:v>
      </x:c>
      <x:c r="N472" s="141" t="n">
        <x:f>IF(A472&gt;=Premissas!$B$25,0,(N473+E473)/(1+Premissas!$B$41))</x:f>
        <x:v>0</x:v>
      </x:c>
      <x:c r="O472" s="141" t="n">
        <x:f>IF(A472&lt;Premissas!$B$27,Premissas!$B$31/(1+Premissas!$B$41)^(Premissas!$B$27-A472),0)</x:f>
        <x:v>0</x:v>
      </x:c>
      <x:c r="P472" s="141" t="n">
        <x:f>MAX(0,H472-I472)+N472</x:f>
        <x:v>0</x:v>
      </x:c>
    </x:row>
    <x:row r="473">
      <x:c r="A473" s="142" t="n">
        <x:v>468</x:v>
      </x:c>
      <x:c r="B473" s="179" t="n">
        <x:f>EDATE(Premissas!$B$4,467)</x:f>
        <x:v>60753</x:v>
      </x:c>
      <x:c r="C473" s="180" t="n">
        <x:f>(1+Premissas!$B$26)^INT((A473-1)/12)</x:f>
        <x:v>9.154252347032687</x:v>
      </x:c>
      <x:c r="D473" s="141" t="n">
        <x:f>Premissas!$B$30*C473</x:f>
        <x:v>994426.3235336749</x:v>
      </x:c>
      <x:c r="E473" s="141" t="n">
        <x:f>IF(A473&lt;=Premissas!$B$25,Premissas!$B$32*C473,0)</x:f>
        <x:v>0</x:v>
      </x:c>
      <x:c r="F473" s="141" t="n">
        <x:f>IF(AND(A473&gt;=Premissas!$B$48,A473&lt;=Premissas!$B$27,A473-Premissas!$B$48+1&lt;=Premissas!$B$13),INDEX(Financiamento!$C$6:$C$485,A473-Premissas!$B$48+1),0)</x:f>
        <x:v>0</x:v>
      </x:c>
      <x:c r="G473" s="141" t="n">
        <x:f>IF(AND(A473&gt;=Premissas!$B$48,A473&lt;=Premissas!$B$27,A473-Premissas!$B$48+1&lt;=Premissas!$B$13),INDEX(Financiamento!$J$6:$J$485,A473-Premissas!$B$48+1),0)</x:f>
        <x:v>0</x:v>
      </x:c>
      <x:c r="H473" s="141" t="n">
        <x:f>IF(AND(A473&gt;=Premissas!$B$48,A473&lt;=Premissas!$B$27,A473-Premissas!$B$48+1&lt;=Premissas!$B$13),INDEX(Financiamento!$M$6:$M$485,A473-Premissas!$B$48+1),0)</x:f>
        <x:v>0</x:v>
      </x:c>
      <x:c r="I473" s="141" t="n">
        <x:f>IF(A473=Premissas!$B$27,MIN(D473,H473),0)</x:f>
        <x:v>0</x:v>
      </x:c>
      <x:c r="J473" s="141" t="n">
        <x:f>IF(A473=Premissas!$B$27,D473-H473,0)</x:f>
        <x:v>0</x:v>
      </x:c>
      <x:c r="K473" s="141" t="n">
        <x:f>E473+G473</x:f>
        <x:v>0</x:v>
      </x:c>
      <x:c r="L473" s="141" t="n">
        <x:f>SUM($K$6:K473)</x:f>
        <x:v>368370.4829168556</x:v>
      </x:c>
      <x:c r="M473" s="141" t="str">
        <x:f>IF(A473&lt;Premissas!$B$27,"Financiamento + consorcio",IF(A473=Premissas!$B$27,"Quitacao via carta",IF(A473&lt;=Premissas!$B$25,"Somente consorcio","Encerrado")))</x:f>
        <x:v>Encerrado</x:v>
      </x:c>
      <x:c r="N473" s="141" t="n">
        <x:f>IF(A473&gt;=Premissas!$B$25,0,(N474+E474)/(1+Premissas!$B$41))</x:f>
        <x:v>0</x:v>
      </x:c>
      <x:c r="O473" s="141" t="n">
        <x:f>IF(A473&lt;Premissas!$B$27,Premissas!$B$31/(1+Premissas!$B$41)^(Premissas!$B$27-A473),0)</x:f>
        <x:v>0</x:v>
      </x:c>
      <x:c r="P473" s="141" t="n">
        <x:f>MAX(0,H473-I473)+N473</x:f>
        <x:v>0</x:v>
      </x:c>
    </x:row>
    <x:row r="474">
      <x:c r="A474" s="142" t="n">
        <x:v>469</x:v>
      </x:c>
      <x:c r="B474" s="179" t="n">
        <x:f>EDATE(Premissas!$B$4,468)</x:f>
        <x:v>60784</x:v>
      </x:c>
      <x:c r="C474" s="180" t="n">
        <x:f>(1+Premissas!$B$26)^INT((A474-1)/12)</x:f>
        <x:v>9.703507487854647</x:v>
      </x:c>
      <x:c r="D474" s="141" t="n">
        <x:f>Premissas!$B$30*C474</x:f>
        <x:v>1054091.9029456954</x:v>
      </x:c>
      <x:c r="E474" s="141" t="n">
        <x:f>IF(A474&lt;=Premissas!$B$25,Premissas!$B$32*C474,0)</x:f>
        <x:v>0</x:v>
      </x:c>
      <x:c r="F474" s="141" t="n">
        <x:f>IF(AND(A474&gt;=Premissas!$B$48,A474&lt;=Premissas!$B$27,A474-Premissas!$B$48+1&lt;=Premissas!$B$13),INDEX(Financiamento!$C$6:$C$485,A474-Premissas!$B$48+1),0)</x:f>
        <x:v>0</x:v>
      </x:c>
      <x:c r="G474" s="141" t="n">
        <x:f>IF(AND(A474&gt;=Premissas!$B$48,A474&lt;=Premissas!$B$27,A474-Premissas!$B$48+1&lt;=Premissas!$B$13),INDEX(Financiamento!$J$6:$J$485,A474-Premissas!$B$48+1),0)</x:f>
        <x:v>0</x:v>
      </x:c>
      <x:c r="H474" s="141" t="n">
        <x:f>IF(AND(A474&gt;=Premissas!$B$48,A474&lt;=Premissas!$B$27,A474-Premissas!$B$48+1&lt;=Premissas!$B$13),INDEX(Financiamento!$M$6:$M$485,A474-Premissas!$B$48+1),0)</x:f>
        <x:v>0</x:v>
      </x:c>
      <x:c r="I474" s="141" t="n">
        <x:f>IF(A474=Premissas!$B$27,MIN(D474,H474),0)</x:f>
        <x:v>0</x:v>
      </x:c>
      <x:c r="J474" s="141" t="n">
        <x:f>IF(A474=Premissas!$B$27,D474-H474,0)</x:f>
        <x:v>0</x:v>
      </x:c>
      <x:c r="K474" s="141" t="n">
        <x:f>E474+G474</x:f>
        <x:v>0</x:v>
      </x:c>
      <x:c r="L474" s="141" t="n">
        <x:f>SUM($K$6:K474)</x:f>
        <x:v>368370.4829168556</x:v>
      </x:c>
      <x:c r="M474" s="141" t="str">
        <x:f>IF(A474&lt;Premissas!$B$27,"Financiamento + consorcio",IF(A474=Premissas!$B$27,"Quitacao via carta",IF(A474&lt;=Premissas!$B$25,"Somente consorcio","Encerrado")))</x:f>
        <x:v>Encerrado</x:v>
      </x:c>
      <x:c r="N474" s="141" t="n">
        <x:f>IF(A474&gt;=Premissas!$B$25,0,(N475+E475)/(1+Premissas!$B$41))</x:f>
        <x:v>0</x:v>
      </x:c>
      <x:c r="O474" s="141" t="n">
        <x:f>IF(A474&lt;Premissas!$B$27,Premissas!$B$31/(1+Premissas!$B$41)^(Premissas!$B$27-A474),0)</x:f>
        <x:v>0</x:v>
      </x:c>
      <x:c r="P474" s="141" t="n">
        <x:f>MAX(0,H474-I474)+N474</x:f>
        <x:v>0</x:v>
      </x:c>
    </x:row>
    <x:row r="475">
      <x:c r="A475" s="142" t="n">
        <x:v>470</x:v>
      </x:c>
      <x:c r="B475" s="179" t="n">
        <x:f>EDATE(Premissas!$B$4,469)</x:f>
        <x:v>60814</x:v>
      </x:c>
      <x:c r="C475" s="180" t="n">
        <x:f>(1+Premissas!$B$26)^INT((A475-1)/12)</x:f>
        <x:v>9.703507487854647</x:v>
      </x:c>
      <x:c r="D475" s="141" t="n">
        <x:f>Premissas!$B$30*C475</x:f>
        <x:v>1054091.9029456954</x:v>
      </x:c>
      <x:c r="E475" s="141" t="n">
        <x:f>IF(A475&lt;=Premissas!$B$25,Premissas!$B$32*C475,0)</x:f>
        <x:v>0</x:v>
      </x:c>
      <x:c r="F475" s="141" t="n">
        <x:f>IF(AND(A475&gt;=Premissas!$B$48,A475&lt;=Premissas!$B$27,A475-Premissas!$B$48+1&lt;=Premissas!$B$13),INDEX(Financiamento!$C$6:$C$485,A475-Premissas!$B$48+1),0)</x:f>
        <x:v>0</x:v>
      </x:c>
      <x:c r="G475" s="141" t="n">
        <x:f>IF(AND(A475&gt;=Premissas!$B$48,A475&lt;=Premissas!$B$27,A475-Premissas!$B$48+1&lt;=Premissas!$B$13),INDEX(Financiamento!$J$6:$J$485,A475-Premissas!$B$48+1),0)</x:f>
        <x:v>0</x:v>
      </x:c>
      <x:c r="H475" s="141" t="n">
        <x:f>IF(AND(A475&gt;=Premissas!$B$48,A475&lt;=Premissas!$B$27,A475-Premissas!$B$48+1&lt;=Premissas!$B$13),INDEX(Financiamento!$M$6:$M$485,A475-Premissas!$B$48+1),0)</x:f>
        <x:v>0</x:v>
      </x:c>
      <x:c r="I475" s="141" t="n">
        <x:f>IF(A475=Premissas!$B$27,MIN(D475,H475),0)</x:f>
        <x:v>0</x:v>
      </x:c>
      <x:c r="J475" s="141" t="n">
        <x:f>IF(A475=Premissas!$B$27,D475-H475,0)</x:f>
        <x:v>0</x:v>
      </x:c>
      <x:c r="K475" s="141" t="n">
        <x:f>E475+G475</x:f>
        <x:v>0</x:v>
      </x:c>
      <x:c r="L475" s="141" t="n">
        <x:f>SUM($K$6:K475)</x:f>
        <x:v>368370.4829168556</x:v>
      </x:c>
      <x:c r="M475" s="141" t="str">
        <x:f>IF(A475&lt;Premissas!$B$27,"Financiamento + consorcio",IF(A475=Premissas!$B$27,"Quitacao via carta",IF(A475&lt;=Premissas!$B$25,"Somente consorcio","Encerrado")))</x:f>
        <x:v>Encerrado</x:v>
      </x:c>
      <x:c r="N475" s="141" t="n">
        <x:f>IF(A475&gt;=Premissas!$B$25,0,(N476+E476)/(1+Premissas!$B$41))</x:f>
        <x:v>0</x:v>
      </x:c>
      <x:c r="O475" s="141" t="n">
        <x:f>IF(A475&lt;Premissas!$B$27,Premissas!$B$31/(1+Premissas!$B$41)^(Premissas!$B$27-A475),0)</x:f>
        <x:v>0</x:v>
      </x:c>
      <x:c r="P475" s="141" t="n">
        <x:f>MAX(0,H475-I475)+N475</x:f>
        <x:v>0</x:v>
      </x:c>
    </x:row>
    <x:row r="476">
      <x:c r="A476" s="142" t="n">
        <x:v>471</x:v>
      </x:c>
      <x:c r="B476" s="179" t="n">
        <x:f>EDATE(Premissas!$B$4,470)</x:f>
        <x:v>60845</x:v>
      </x:c>
      <x:c r="C476" s="180" t="n">
        <x:f>(1+Premissas!$B$26)^INT((A476-1)/12)</x:f>
        <x:v>9.703507487854647</x:v>
      </x:c>
      <x:c r="D476" s="141" t="n">
        <x:f>Premissas!$B$30*C476</x:f>
        <x:v>1054091.9029456954</x:v>
      </x:c>
      <x:c r="E476" s="141" t="n">
        <x:f>IF(A476&lt;=Premissas!$B$25,Premissas!$B$32*C476,0)</x:f>
        <x:v>0</x:v>
      </x:c>
      <x:c r="F476" s="141" t="n">
        <x:f>IF(AND(A476&gt;=Premissas!$B$48,A476&lt;=Premissas!$B$27,A476-Premissas!$B$48+1&lt;=Premissas!$B$13),INDEX(Financiamento!$C$6:$C$485,A476-Premissas!$B$48+1),0)</x:f>
        <x:v>0</x:v>
      </x:c>
      <x:c r="G476" s="141" t="n">
        <x:f>IF(AND(A476&gt;=Premissas!$B$48,A476&lt;=Premissas!$B$27,A476-Premissas!$B$48+1&lt;=Premissas!$B$13),INDEX(Financiamento!$J$6:$J$485,A476-Premissas!$B$48+1),0)</x:f>
        <x:v>0</x:v>
      </x:c>
      <x:c r="H476" s="141" t="n">
        <x:f>IF(AND(A476&gt;=Premissas!$B$48,A476&lt;=Premissas!$B$27,A476-Premissas!$B$48+1&lt;=Premissas!$B$13),INDEX(Financiamento!$M$6:$M$485,A476-Premissas!$B$48+1),0)</x:f>
        <x:v>0</x:v>
      </x:c>
      <x:c r="I476" s="141" t="n">
        <x:f>IF(A476=Premissas!$B$27,MIN(D476,H476),0)</x:f>
        <x:v>0</x:v>
      </x:c>
      <x:c r="J476" s="141" t="n">
        <x:f>IF(A476=Premissas!$B$27,D476-H476,0)</x:f>
        <x:v>0</x:v>
      </x:c>
      <x:c r="K476" s="141" t="n">
        <x:f>E476+G476</x:f>
        <x:v>0</x:v>
      </x:c>
      <x:c r="L476" s="141" t="n">
        <x:f>SUM($K$6:K476)</x:f>
        <x:v>368370.4829168556</x:v>
      </x:c>
      <x:c r="M476" s="141" t="str">
        <x:f>IF(A476&lt;Premissas!$B$27,"Financiamento + consorcio",IF(A476=Premissas!$B$27,"Quitacao via carta",IF(A476&lt;=Premissas!$B$25,"Somente consorcio","Encerrado")))</x:f>
        <x:v>Encerrado</x:v>
      </x:c>
      <x:c r="N476" s="141" t="n">
        <x:f>IF(A476&gt;=Premissas!$B$25,0,(N477+E477)/(1+Premissas!$B$41))</x:f>
        <x:v>0</x:v>
      </x:c>
      <x:c r="O476" s="141" t="n">
        <x:f>IF(A476&lt;Premissas!$B$27,Premissas!$B$31/(1+Premissas!$B$41)^(Premissas!$B$27-A476),0)</x:f>
        <x:v>0</x:v>
      </x:c>
      <x:c r="P476" s="141" t="n">
        <x:f>MAX(0,H476-I476)+N476</x:f>
        <x:v>0</x:v>
      </x:c>
    </x:row>
    <x:row r="477">
      <x:c r="A477" s="142" t="n">
        <x:v>472</x:v>
      </x:c>
      <x:c r="B477" s="179" t="n">
        <x:f>EDATE(Premissas!$B$4,471)</x:f>
        <x:v>60876</x:v>
      </x:c>
      <x:c r="C477" s="180" t="n">
        <x:f>(1+Premissas!$B$26)^INT((A477-1)/12)</x:f>
        <x:v>9.703507487854647</x:v>
      </x:c>
      <x:c r="D477" s="141" t="n">
        <x:f>Premissas!$B$30*C477</x:f>
        <x:v>1054091.9029456954</x:v>
      </x:c>
      <x:c r="E477" s="141" t="n">
        <x:f>IF(A477&lt;=Premissas!$B$25,Premissas!$B$32*C477,0)</x:f>
        <x:v>0</x:v>
      </x:c>
      <x:c r="F477" s="141" t="n">
        <x:f>IF(AND(A477&gt;=Premissas!$B$48,A477&lt;=Premissas!$B$27,A477-Premissas!$B$48+1&lt;=Premissas!$B$13),INDEX(Financiamento!$C$6:$C$485,A477-Premissas!$B$48+1),0)</x:f>
        <x:v>0</x:v>
      </x:c>
      <x:c r="G477" s="141" t="n">
        <x:f>IF(AND(A477&gt;=Premissas!$B$48,A477&lt;=Premissas!$B$27,A477-Premissas!$B$48+1&lt;=Premissas!$B$13),INDEX(Financiamento!$J$6:$J$485,A477-Premissas!$B$48+1),0)</x:f>
        <x:v>0</x:v>
      </x:c>
      <x:c r="H477" s="141" t="n">
        <x:f>IF(AND(A477&gt;=Premissas!$B$48,A477&lt;=Premissas!$B$27,A477-Premissas!$B$48+1&lt;=Premissas!$B$13),INDEX(Financiamento!$M$6:$M$485,A477-Premissas!$B$48+1),0)</x:f>
        <x:v>0</x:v>
      </x:c>
      <x:c r="I477" s="141" t="n">
        <x:f>IF(A477=Premissas!$B$27,MIN(D477,H477),0)</x:f>
        <x:v>0</x:v>
      </x:c>
      <x:c r="J477" s="141" t="n">
        <x:f>IF(A477=Premissas!$B$27,D477-H477,0)</x:f>
        <x:v>0</x:v>
      </x:c>
      <x:c r="K477" s="141" t="n">
        <x:f>E477+G477</x:f>
        <x:v>0</x:v>
      </x:c>
      <x:c r="L477" s="141" t="n">
        <x:f>SUM($K$6:K477)</x:f>
        <x:v>368370.4829168556</x:v>
      </x:c>
      <x:c r="M477" s="141" t="str">
        <x:f>IF(A477&lt;Premissas!$B$27,"Financiamento + consorcio",IF(A477=Premissas!$B$27,"Quitacao via carta",IF(A477&lt;=Premissas!$B$25,"Somente consorcio","Encerrado")))</x:f>
        <x:v>Encerrado</x:v>
      </x:c>
      <x:c r="N477" s="141" t="n">
        <x:f>IF(A477&gt;=Premissas!$B$25,0,(N478+E478)/(1+Premissas!$B$41))</x:f>
        <x:v>0</x:v>
      </x:c>
      <x:c r="O477" s="141" t="n">
        <x:f>IF(A477&lt;Premissas!$B$27,Premissas!$B$31/(1+Premissas!$B$41)^(Premissas!$B$27-A477),0)</x:f>
        <x:v>0</x:v>
      </x:c>
      <x:c r="P477" s="141" t="n">
        <x:f>MAX(0,H477-I477)+N477</x:f>
        <x:v>0</x:v>
      </x:c>
    </x:row>
    <x:row r="478">
      <x:c r="A478" s="142" t="n">
        <x:v>473</x:v>
      </x:c>
      <x:c r="B478" s="179" t="n">
        <x:f>EDATE(Premissas!$B$4,472)</x:f>
        <x:v>60906</x:v>
      </x:c>
      <x:c r="C478" s="180" t="n">
        <x:f>(1+Premissas!$B$26)^INT((A478-1)/12)</x:f>
        <x:v>9.703507487854647</x:v>
      </x:c>
      <x:c r="D478" s="141" t="n">
        <x:f>Premissas!$B$30*C478</x:f>
        <x:v>1054091.9029456954</x:v>
      </x:c>
      <x:c r="E478" s="141" t="n">
        <x:f>IF(A478&lt;=Premissas!$B$25,Premissas!$B$32*C478,0)</x:f>
        <x:v>0</x:v>
      </x:c>
      <x:c r="F478" s="141" t="n">
        <x:f>IF(AND(A478&gt;=Premissas!$B$48,A478&lt;=Premissas!$B$27,A478-Premissas!$B$48+1&lt;=Premissas!$B$13),INDEX(Financiamento!$C$6:$C$485,A478-Premissas!$B$48+1),0)</x:f>
        <x:v>0</x:v>
      </x:c>
      <x:c r="G478" s="141" t="n">
        <x:f>IF(AND(A478&gt;=Premissas!$B$48,A478&lt;=Premissas!$B$27,A478-Premissas!$B$48+1&lt;=Premissas!$B$13),INDEX(Financiamento!$J$6:$J$485,A478-Premissas!$B$48+1),0)</x:f>
        <x:v>0</x:v>
      </x:c>
      <x:c r="H478" s="141" t="n">
        <x:f>IF(AND(A478&gt;=Premissas!$B$48,A478&lt;=Premissas!$B$27,A478-Premissas!$B$48+1&lt;=Premissas!$B$13),INDEX(Financiamento!$M$6:$M$485,A478-Premissas!$B$48+1),0)</x:f>
        <x:v>0</x:v>
      </x:c>
      <x:c r="I478" s="141" t="n">
        <x:f>IF(A478=Premissas!$B$27,MIN(D478,H478),0)</x:f>
        <x:v>0</x:v>
      </x:c>
      <x:c r="J478" s="141" t="n">
        <x:f>IF(A478=Premissas!$B$27,D478-H478,0)</x:f>
        <x:v>0</x:v>
      </x:c>
      <x:c r="K478" s="141" t="n">
        <x:f>E478+G478</x:f>
        <x:v>0</x:v>
      </x:c>
      <x:c r="L478" s="141" t="n">
        <x:f>SUM($K$6:K478)</x:f>
        <x:v>368370.4829168556</x:v>
      </x:c>
      <x:c r="M478" s="141" t="str">
        <x:f>IF(A478&lt;Premissas!$B$27,"Financiamento + consorcio",IF(A478=Premissas!$B$27,"Quitacao via carta",IF(A478&lt;=Premissas!$B$25,"Somente consorcio","Encerrado")))</x:f>
        <x:v>Encerrado</x:v>
      </x:c>
      <x:c r="N478" s="141" t="n">
        <x:f>IF(A478&gt;=Premissas!$B$25,0,(N479+E479)/(1+Premissas!$B$41))</x:f>
        <x:v>0</x:v>
      </x:c>
      <x:c r="O478" s="141" t="n">
        <x:f>IF(A478&lt;Premissas!$B$27,Premissas!$B$31/(1+Premissas!$B$41)^(Premissas!$B$27-A478),0)</x:f>
        <x:v>0</x:v>
      </x:c>
      <x:c r="P478" s="141" t="n">
        <x:f>MAX(0,H478-I478)+N478</x:f>
        <x:v>0</x:v>
      </x:c>
    </x:row>
    <x:row r="479">
      <x:c r="A479" s="142" t="n">
        <x:v>474</x:v>
      </x:c>
      <x:c r="B479" s="179" t="n">
        <x:f>EDATE(Premissas!$B$4,473)</x:f>
        <x:v>60937</x:v>
      </x:c>
      <x:c r="C479" s="180" t="n">
        <x:f>(1+Premissas!$B$26)^INT((A479-1)/12)</x:f>
        <x:v>9.703507487854647</x:v>
      </x:c>
      <x:c r="D479" s="141" t="n">
        <x:f>Premissas!$B$30*C479</x:f>
        <x:v>1054091.9029456954</x:v>
      </x:c>
      <x:c r="E479" s="141" t="n">
        <x:f>IF(A479&lt;=Premissas!$B$25,Premissas!$B$32*C479,0)</x:f>
        <x:v>0</x:v>
      </x:c>
      <x:c r="F479" s="141" t="n">
        <x:f>IF(AND(A479&gt;=Premissas!$B$48,A479&lt;=Premissas!$B$27,A479-Premissas!$B$48+1&lt;=Premissas!$B$13),INDEX(Financiamento!$C$6:$C$485,A479-Premissas!$B$48+1),0)</x:f>
        <x:v>0</x:v>
      </x:c>
      <x:c r="G479" s="141" t="n">
        <x:f>IF(AND(A479&gt;=Premissas!$B$48,A479&lt;=Premissas!$B$27,A479-Premissas!$B$48+1&lt;=Premissas!$B$13),INDEX(Financiamento!$J$6:$J$485,A479-Premissas!$B$48+1),0)</x:f>
        <x:v>0</x:v>
      </x:c>
      <x:c r="H479" s="141" t="n">
        <x:f>IF(AND(A479&gt;=Premissas!$B$48,A479&lt;=Premissas!$B$27,A479-Premissas!$B$48+1&lt;=Premissas!$B$13),INDEX(Financiamento!$M$6:$M$485,A479-Premissas!$B$48+1),0)</x:f>
        <x:v>0</x:v>
      </x:c>
      <x:c r="I479" s="141" t="n">
        <x:f>IF(A479=Premissas!$B$27,MIN(D479,H479),0)</x:f>
        <x:v>0</x:v>
      </x:c>
      <x:c r="J479" s="141" t="n">
        <x:f>IF(A479=Premissas!$B$27,D479-H479,0)</x:f>
        <x:v>0</x:v>
      </x:c>
      <x:c r="K479" s="141" t="n">
        <x:f>E479+G479</x:f>
        <x:v>0</x:v>
      </x:c>
      <x:c r="L479" s="141" t="n">
        <x:f>SUM($K$6:K479)</x:f>
        <x:v>368370.4829168556</x:v>
      </x:c>
      <x:c r="M479" s="141" t="str">
        <x:f>IF(A479&lt;Premissas!$B$27,"Financiamento + consorcio",IF(A479=Premissas!$B$27,"Quitacao via carta",IF(A479&lt;=Premissas!$B$25,"Somente consorcio","Encerrado")))</x:f>
        <x:v>Encerrado</x:v>
      </x:c>
      <x:c r="N479" s="141" t="n">
        <x:f>IF(A479&gt;=Premissas!$B$25,0,(N480+E480)/(1+Premissas!$B$41))</x:f>
        <x:v>0</x:v>
      </x:c>
      <x:c r="O479" s="141" t="n">
        <x:f>IF(A479&lt;Premissas!$B$27,Premissas!$B$31/(1+Premissas!$B$41)^(Premissas!$B$27-A479),0)</x:f>
        <x:v>0</x:v>
      </x:c>
      <x:c r="P479" s="141" t="n">
        <x:f>MAX(0,H479-I479)+N479</x:f>
        <x:v>0</x:v>
      </x:c>
    </x:row>
    <x:row r="480">
      <x:c r="A480" s="142" t="n">
        <x:v>475</x:v>
      </x:c>
      <x:c r="B480" s="179" t="n">
        <x:f>EDATE(Premissas!$B$4,474)</x:f>
        <x:v>60967</x:v>
      </x:c>
      <x:c r="C480" s="180" t="n">
        <x:f>(1+Premissas!$B$26)^INT((A480-1)/12)</x:f>
        <x:v>9.703507487854647</x:v>
      </x:c>
      <x:c r="D480" s="141" t="n">
        <x:f>Premissas!$B$30*C480</x:f>
        <x:v>1054091.9029456954</x:v>
      </x:c>
      <x:c r="E480" s="141" t="n">
        <x:f>IF(A480&lt;=Premissas!$B$25,Premissas!$B$32*C480,0)</x:f>
        <x:v>0</x:v>
      </x:c>
      <x:c r="F480" s="141" t="n">
        <x:f>IF(AND(A480&gt;=Premissas!$B$48,A480&lt;=Premissas!$B$27,A480-Premissas!$B$48+1&lt;=Premissas!$B$13),INDEX(Financiamento!$C$6:$C$485,A480-Premissas!$B$48+1),0)</x:f>
        <x:v>0</x:v>
      </x:c>
      <x:c r="G480" s="141" t="n">
        <x:f>IF(AND(A480&gt;=Premissas!$B$48,A480&lt;=Premissas!$B$27,A480-Premissas!$B$48+1&lt;=Premissas!$B$13),INDEX(Financiamento!$J$6:$J$485,A480-Premissas!$B$48+1),0)</x:f>
        <x:v>0</x:v>
      </x:c>
      <x:c r="H480" s="141" t="n">
        <x:f>IF(AND(A480&gt;=Premissas!$B$48,A480&lt;=Premissas!$B$27,A480-Premissas!$B$48+1&lt;=Premissas!$B$13),INDEX(Financiamento!$M$6:$M$485,A480-Premissas!$B$48+1),0)</x:f>
        <x:v>0</x:v>
      </x:c>
      <x:c r="I480" s="141" t="n">
        <x:f>IF(A480=Premissas!$B$27,MIN(D480,H480),0)</x:f>
        <x:v>0</x:v>
      </x:c>
      <x:c r="J480" s="141" t="n">
        <x:f>IF(A480=Premissas!$B$27,D480-H480,0)</x:f>
        <x:v>0</x:v>
      </x:c>
      <x:c r="K480" s="141" t="n">
        <x:f>E480+G480</x:f>
        <x:v>0</x:v>
      </x:c>
      <x:c r="L480" s="141" t="n">
        <x:f>SUM($K$6:K480)</x:f>
        <x:v>368370.4829168556</x:v>
      </x:c>
      <x:c r="M480" s="141" t="str">
        <x:f>IF(A480&lt;Premissas!$B$27,"Financiamento + consorcio",IF(A480=Premissas!$B$27,"Quitacao via carta",IF(A480&lt;=Premissas!$B$25,"Somente consorcio","Encerrado")))</x:f>
        <x:v>Encerrado</x:v>
      </x:c>
      <x:c r="N480" s="141" t="n">
        <x:f>IF(A480&gt;=Premissas!$B$25,0,(N481+E481)/(1+Premissas!$B$41))</x:f>
        <x:v>0</x:v>
      </x:c>
      <x:c r="O480" s="141" t="n">
        <x:f>IF(A480&lt;Premissas!$B$27,Premissas!$B$31/(1+Premissas!$B$41)^(Premissas!$B$27-A480),0)</x:f>
        <x:v>0</x:v>
      </x:c>
      <x:c r="P480" s="141" t="n">
        <x:f>MAX(0,H480-I480)+N480</x:f>
        <x:v>0</x:v>
      </x:c>
    </x:row>
    <x:row r="481">
      <x:c r="A481" s="142" t="n">
        <x:v>476</x:v>
      </x:c>
      <x:c r="B481" s="179" t="n">
        <x:f>EDATE(Premissas!$B$4,475)</x:f>
        <x:v>60998</x:v>
      </x:c>
      <x:c r="C481" s="180" t="n">
        <x:f>(1+Premissas!$B$26)^INT((A481-1)/12)</x:f>
        <x:v>9.703507487854647</x:v>
      </x:c>
      <x:c r="D481" s="141" t="n">
        <x:f>Premissas!$B$30*C481</x:f>
        <x:v>1054091.9029456954</x:v>
      </x:c>
      <x:c r="E481" s="141" t="n">
        <x:f>IF(A481&lt;=Premissas!$B$25,Premissas!$B$32*C481,0)</x:f>
        <x:v>0</x:v>
      </x:c>
      <x:c r="F481" s="141" t="n">
        <x:f>IF(AND(A481&gt;=Premissas!$B$48,A481&lt;=Premissas!$B$27,A481-Premissas!$B$48+1&lt;=Premissas!$B$13),INDEX(Financiamento!$C$6:$C$485,A481-Premissas!$B$48+1),0)</x:f>
        <x:v>0</x:v>
      </x:c>
      <x:c r="G481" s="141" t="n">
        <x:f>IF(AND(A481&gt;=Premissas!$B$48,A481&lt;=Premissas!$B$27,A481-Premissas!$B$48+1&lt;=Premissas!$B$13),INDEX(Financiamento!$J$6:$J$485,A481-Premissas!$B$48+1),0)</x:f>
        <x:v>0</x:v>
      </x:c>
      <x:c r="H481" s="141" t="n">
        <x:f>IF(AND(A481&gt;=Premissas!$B$48,A481&lt;=Premissas!$B$27,A481-Premissas!$B$48+1&lt;=Premissas!$B$13),INDEX(Financiamento!$M$6:$M$485,A481-Premissas!$B$48+1),0)</x:f>
        <x:v>0</x:v>
      </x:c>
      <x:c r="I481" s="141" t="n">
        <x:f>IF(A481=Premissas!$B$27,MIN(D481,H481),0)</x:f>
        <x:v>0</x:v>
      </x:c>
      <x:c r="J481" s="141" t="n">
        <x:f>IF(A481=Premissas!$B$27,D481-H481,0)</x:f>
        <x:v>0</x:v>
      </x:c>
      <x:c r="K481" s="141" t="n">
        <x:f>E481+G481</x:f>
        <x:v>0</x:v>
      </x:c>
      <x:c r="L481" s="141" t="n">
        <x:f>SUM($K$6:K481)</x:f>
        <x:v>368370.4829168556</x:v>
      </x:c>
      <x:c r="M481" s="141" t="str">
        <x:f>IF(A481&lt;Premissas!$B$27,"Financiamento + consorcio",IF(A481=Premissas!$B$27,"Quitacao via carta",IF(A481&lt;=Premissas!$B$25,"Somente consorcio","Encerrado")))</x:f>
        <x:v>Encerrado</x:v>
      </x:c>
      <x:c r="N481" s="141" t="n">
        <x:f>IF(A481&gt;=Premissas!$B$25,0,(N482+E482)/(1+Premissas!$B$41))</x:f>
        <x:v>0</x:v>
      </x:c>
      <x:c r="O481" s="141" t="n">
        <x:f>IF(A481&lt;Premissas!$B$27,Premissas!$B$31/(1+Premissas!$B$41)^(Premissas!$B$27-A481),0)</x:f>
        <x:v>0</x:v>
      </x:c>
      <x:c r="P481" s="141" t="n">
        <x:f>MAX(0,H481-I481)+N481</x:f>
        <x:v>0</x:v>
      </x:c>
    </x:row>
    <x:row r="482">
      <x:c r="A482" s="142" t="n">
        <x:v>477</x:v>
      </x:c>
      <x:c r="B482" s="179" t="n">
        <x:f>EDATE(Premissas!$B$4,476)</x:f>
        <x:v>61029</x:v>
      </x:c>
      <x:c r="C482" s="180" t="n">
        <x:f>(1+Premissas!$B$26)^INT((A482-1)/12)</x:f>
        <x:v>9.703507487854647</x:v>
      </x:c>
      <x:c r="D482" s="141" t="n">
        <x:f>Premissas!$B$30*C482</x:f>
        <x:v>1054091.9029456954</x:v>
      </x:c>
      <x:c r="E482" s="141" t="n">
        <x:f>IF(A482&lt;=Premissas!$B$25,Premissas!$B$32*C482,0)</x:f>
        <x:v>0</x:v>
      </x:c>
      <x:c r="F482" s="141" t="n">
        <x:f>IF(AND(A482&gt;=Premissas!$B$48,A482&lt;=Premissas!$B$27,A482-Premissas!$B$48+1&lt;=Premissas!$B$13),INDEX(Financiamento!$C$6:$C$485,A482-Premissas!$B$48+1),0)</x:f>
        <x:v>0</x:v>
      </x:c>
      <x:c r="G482" s="141" t="n">
        <x:f>IF(AND(A482&gt;=Premissas!$B$48,A482&lt;=Premissas!$B$27,A482-Premissas!$B$48+1&lt;=Premissas!$B$13),INDEX(Financiamento!$J$6:$J$485,A482-Premissas!$B$48+1),0)</x:f>
        <x:v>0</x:v>
      </x:c>
      <x:c r="H482" s="141" t="n">
        <x:f>IF(AND(A482&gt;=Premissas!$B$48,A482&lt;=Premissas!$B$27,A482-Premissas!$B$48+1&lt;=Premissas!$B$13),INDEX(Financiamento!$M$6:$M$485,A482-Premissas!$B$48+1),0)</x:f>
        <x:v>0</x:v>
      </x:c>
      <x:c r="I482" s="141" t="n">
        <x:f>IF(A482=Premissas!$B$27,MIN(D482,H482),0)</x:f>
        <x:v>0</x:v>
      </x:c>
      <x:c r="J482" s="141" t="n">
        <x:f>IF(A482=Premissas!$B$27,D482-H482,0)</x:f>
        <x:v>0</x:v>
      </x:c>
      <x:c r="K482" s="141" t="n">
        <x:f>E482+G482</x:f>
        <x:v>0</x:v>
      </x:c>
      <x:c r="L482" s="141" t="n">
        <x:f>SUM($K$6:K482)</x:f>
        <x:v>368370.4829168556</x:v>
      </x:c>
      <x:c r="M482" s="141" t="str">
        <x:f>IF(A482&lt;Premissas!$B$27,"Financiamento + consorcio",IF(A482=Premissas!$B$27,"Quitacao via carta",IF(A482&lt;=Premissas!$B$25,"Somente consorcio","Encerrado")))</x:f>
        <x:v>Encerrado</x:v>
      </x:c>
      <x:c r="N482" s="141" t="n">
        <x:f>IF(A482&gt;=Premissas!$B$25,0,(N483+E483)/(1+Premissas!$B$41))</x:f>
        <x:v>0</x:v>
      </x:c>
      <x:c r="O482" s="141" t="n">
        <x:f>IF(A482&lt;Premissas!$B$27,Premissas!$B$31/(1+Premissas!$B$41)^(Premissas!$B$27-A482),0)</x:f>
        <x:v>0</x:v>
      </x:c>
      <x:c r="P482" s="141" t="n">
        <x:f>MAX(0,H482-I482)+N482</x:f>
        <x:v>0</x:v>
      </x:c>
    </x:row>
    <x:row r="483">
      <x:c r="A483" s="142" t="n">
        <x:v>478</x:v>
      </x:c>
      <x:c r="B483" s="179" t="n">
        <x:f>EDATE(Premissas!$B$4,477)</x:f>
        <x:v>61057</x:v>
      </x:c>
      <x:c r="C483" s="180" t="n">
        <x:f>(1+Premissas!$B$26)^INT((A483-1)/12)</x:f>
        <x:v>9.703507487854647</x:v>
      </x:c>
      <x:c r="D483" s="141" t="n">
        <x:f>Premissas!$B$30*C483</x:f>
        <x:v>1054091.9029456954</x:v>
      </x:c>
      <x:c r="E483" s="141" t="n">
        <x:f>IF(A483&lt;=Premissas!$B$25,Premissas!$B$32*C483,0)</x:f>
        <x:v>0</x:v>
      </x:c>
      <x:c r="F483" s="141" t="n">
        <x:f>IF(AND(A483&gt;=Premissas!$B$48,A483&lt;=Premissas!$B$27,A483-Premissas!$B$48+1&lt;=Premissas!$B$13),INDEX(Financiamento!$C$6:$C$485,A483-Premissas!$B$48+1),0)</x:f>
        <x:v>0</x:v>
      </x:c>
      <x:c r="G483" s="141" t="n">
        <x:f>IF(AND(A483&gt;=Premissas!$B$48,A483&lt;=Premissas!$B$27,A483-Premissas!$B$48+1&lt;=Premissas!$B$13),INDEX(Financiamento!$J$6:$J$485,A483-Premissas!$B$48+1),0)</x:f>
        <x:v>0</x:v>
      </x:c>
      <x:c r="H483" s="141" t="n">
        <x:f>IF(AND(A483&gt;=Premissas!$B$48,A483&lt;=Premissas!$B$27,A483-Premissas!$B$48+1&lt;=Premissas!$B$13),INDEX(Financiamento!$M$6:$M$485,A483-Premissas!$B$48+1),0)</x:f>
        <x:v>0</x:v>
      </x:c>
      <x:c r="I483" s="141" t="n">
        <x:f>IF(A483=Premissas!$B$27,MIN(D483,H483),0)</x:f>
        <x:v>0</x:v>
      </x:c>
      <x:c r="J483" s="141" t="n">
        <x:f>IF(A483=Premissas!$B$27,D483-H483,0)</x:f>
        <x:v>0</x:v>
      </x:c>
      <x:c r="K483" s="141" t="n">
        <x:f>E483+G483</x:f>
        <x:v>0</x:v>
      </x:c>
      <x:c r="L483" s="141" t="n">
        <x:f>SUM($K$6:K483)</x:f>
        <x:v>368370.4829168556</x:v>
      </x:c>
      <x:c r="M483" s="141" t="str">
        <x:f>IF(A483&lt;Premissas!$B$27,"Financiamento + consorcio",IF(A483=Premissas!$B$27,"Quitacao via carta",IF(A483&lt;=Premissas!$B$25,"Somente consorcio","Encerrado")))</x:f>
        <x:v>Encerrado</x:v>
      </x:c>
      <x:c r="N483" s="141" t="n">
        <x:f>IF(A483&gt;=Premissas!$B$25,0,(N484+E484)/(1+Premissas!$B$41))</x:f>
        <x:v>0</x:v>
      </x:c>
      <x:c r="O483" s="141" t="n">
        <x:f>IF(A483&lt;Premissas!$B$27,Premissas!$B$31/(1+Premissas!$B$41)^(Premissas!$B$27-A483),0)</x:f>
        <x:v>0</x:v>
      </x:c>
      <x:c r="P483" s="141" t="n">
        <x:f>MAX(0,H483-I483)+N483</x:f>
        <x:v>0</x:v>
      </x:c>
    </x:row>
    <x:row r="484">
      <x:c r="A484" s="142" t="n">
        <x:v>479</x:v>
      </x:c>
      <x:c r="B484" s="179" t="n">
        <x:f>EDATE(Premissas!$B$4,478)</x:f>
        <x:v>61088</x:v>
      </x:c>
      <x:c r="C484" s="180" t="n">
        <x:f>(1+Premissas!$B$26)^INT((A484-1)/12)</x:f>
        <x:v>9.703507487854647</x:v>
      </x:c>
      <x:c r="D484" s="141" t="n">
        <x:f>Premissas!$B$30*C484</x:f>
        <x:v>1054091.9029456954</x:v>
      </x:c>
      <x:c r="E484" s="141" t="n">
        <x:f>IF(A484&lt;=Premissas!$B$25,Premissas!$B$32*C484,0)</x:f>
        <x:v>0</x:v>
      </x:c>
      <x:c r="F484" s="141" t="n">
        <x:f>IF(AND(A484&gt;=Premissas!$B$48,A484&lt;=Premissas!$B$27,A484-Premissas!$B$48+1&lt;=Premissas!$B$13),INDEX(Financiamento!$C$6:$C$485,A484-Premissas!$B$48+1),0)</x:f>
        <x:v>0</x:v>
      </x:c>
      <x:c r="G484" s="141" t="n">
        <x:f>IF(AND(A484&gt;=Premissas!$B$48,A484&lt;=Premissas!$B$27,A484-Premissas!$B$48+1&lt;=Premissas!$B$13),INDEX(Financiamento!$J$6:$J$485,A484-Premissas!$B$48+1),0)</x:f>
        <x:v>0</x:v>
      </x:c>
      <x:c r="H484" s="141" t="n">
        <x:f>IF(AND(A484&gt;=Premissas!$B$48,A484&lt;=Premissas!$B$27,A484-Premissas!$B$48+1&lt;=Premissas!$B$13),INDEX(Financiamento!$M$6:$M$485,A484-Premissas!$B$48+1),0)</x:f>
        <x:v>0</x:v>
      </x:c>
      <x:c r="I484" s="141" t="n">
        <x:f>IF(A484=Premissas!$B$27,MIN(D484,H484),0)</x:f>
        <x:v>0</x:v>
      </x:c>
      <x:c r="J484" s="141" t="n">
        <x:f>IF(A484=Premissas!$B$27,D484-H484,0)</x:f>
        <x:v>0</x:v>
      </x:c>
      <x:c r="K484" s="141" t="n">
        <x:f>E484+G484</x:f>
        <x:v>0</x:v>
      </x:c>
      <x:c r="L484" s="141" t="n">
        <x:f>SUM($K$6:K484)</x:f>
        <x:v>368370.4829168556</x:v>
      </x:c>
      <x:c r="M484" s="141" t="str">
        <x:f>IF(A484&lt;Premissas!$B$27,"Financiamento + consorcio",IF(A484=Premissas!$B$27,"Quitacao via carta",IF(A484&lt;=Premissas!$B$25,"Somente consorcio","Encerrado")))</x:f>
        <x:v>Encerrado</x:v>
      </x:c>
      <x:c r="N484" s="141" t="n">
        <x:f>IF(A484&gt;=Premissas!$B$25,0,(N485+E485)/(1+Premissas!$B$41))</x:f>
        <x:v>0</x:v>
      </x:c>
      <x:c r="O484" s="141" t="n">
        <x:f>IF(A484&lt;Premissas!$B$27,Premissas!$B$31/(1+Premissas!$B$41)^(Premissas!$B$27-A484),0)</x:f>
        <x:v>0</x:v>
      </x:c>
      <x:c r="P484" s="141" t="n">
        <x:f>MAX(0,H484-I484)+N484</x:f>
        <x:v>0</x:v>
      </x:c>
    </x:row>
    <x:row r="485">
      <x:c r="A485" s="142" t="n">
        <x:v>480</x:v>
      </x:c>
      <x:c r="B485" s="179" t="n">
        <x:f>EDATE(Premissas!$B$4,479)</x:f>
        <x:v>61118</x:v>
      </x:c>
      <x:c r="C485" s="180" t="n">
        <x:f>(1+Premissas!$B$26)^INT((A485-1)/12)</x:f>
        <x:v>9.703507487854647</x:v>
      </x:c>
      <x:c r="D485" s="141" t="n">
        <x:f>Premissas!$B$30*C485</x:f>
        <x:v>1054091.9029456954</x:v>
      </x:c>
      <x:c r="E485" s="141" t="n">
        <x:f>IF(A485&lt;=Premissas!$B$25,Premissas!$B$32*C485,0)</x:f>
        <x:v>0</x:v>
      </x:c>
      <x:c r="F485" s="141" t="n">
        <x:f>IF(AND(A485&gt;=Premissas!$B$48,A485&lt;=Premissas!$B$27,A485-Premissas!$B$48+1&lt;=Premissas!$B$13),INDEX(Financiamento!$C$6:$C$485,A485-Premissas!$B$48+1),0)</x:f>
        <x:v>0</x:v>
      </x:c>
      <x:c r="G485" s="141" t="n">
        <x:f>IF(AND(A485&gt;=Premissas!$B$48,A485&lt;=Premissas!$B$27,A485-Premissas!$B$48+1&lt;=Premissas!$B$13),INDEX(Financiamento!$J$6:$J$485,A485-Premissas!$B$48+1),0)</x:f>
        <x:v>0</x:v>
      </x:c>
      <x:c r="H485" s="141" t="n">
        <x:f>IF(AND(A485&gt;=Premissas!$B$48,A485&lt;=Premissas!$B$27,A485-Premissas!$B$48+1&lt;=Premissas!$B$13),INDEX(Financiamento!$M$6:$M$485,A485-Premissas!$B$48+1),0)</x:f>
        <x:v>0</x:v>
      </x:c>
      <x:c r="I485" s="141" t="n">
        <x:f>IF(A485=Premissas!$B$27,MIN(D485,H485),0)</x:f>
        <x:v>0</x:v>
      </x:c>
      <x:c r="J485" s="141" t="n">
        <x:f>IF(A485=Premissas!$B$27,D485-H485,0)</x:f>
        <x:v>0</x:v>
      </x:c>
      <x:c r="K485" s="141" t="n">
        <x:f>E485+G485</x:f>
        <x:v>0</x:v>
      </x:c>
      <x:c r="L485" s="141" t="n">
        <x:f>SUM($K$6:K485)</x:f>
        <x:v>368370.4829168556</x:v>
      </x:c>
      <x:c r="M485" s="141" t="str">
        <x:f>IF(A485&lt;Premissas!$B$27,"Financiamento + consorcio",IF(A485=Premissas!$B$27,"Quitacao via carta",IF(A485&lt;=Premissas!$B$25,"Somente consorcio","Encerrado")))</x:f>
        <x:v>Encerrado</x:v>
      </x:c>
      <x:c r="N485" s="141" t="n">
        <x:f>0</x:f>
        <x:v>0</x:v>
      </x:c>
      <x:c r="O485" s="141" t="n">
        <x:f>IF(A485&lt;Premissas!$B$27,Premissas!$B$31/(1+Premissas!$B$41)^(Premissas!$B$27-A485),0)</x:f>
        <x:v>0</x:v>
      </x:c>
      <x:c r="P485" s="141" t="n">
        <x:f>MAX(0,H485-I485)+N485</x:f>
        <x:v>0</x:v>
      </x:c>
    </x:row>
  </x:sheetData>
  <x:mergeCells>
    <x:mergeCell ref="A1:P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1.5" hidden="0" customWidth="1"/>
    <x:col min="3" max="3" width="14.75" hidden="0" customWidth="1"/>
    <x:col min="4" max="4" width="13.75" hidden="0" customWidth="1"/>
    <x:col min="5" max="5" width="14.75" hidden="0" customWidth="1"/>
    <x:col min="6" max="6" width="15.25" hidden="0" customWidth="1"/>
    <x:col min="7" max="7" width="13.130000114440918" hidden="0" customWidth="1"/>
    <x:col min="8" max="8" width="11" hidden="0" customWidth="1"/>
    <x:col min="9" max="9" width="15.25" hidden="0" customWidth="1"/>
    <x:col min="10" max="10" width="15.25" hidden="0" customWidth="1"/>
    <x:col min="11" max="11" width="15.5" hidden="0" customWidth="1"/>
    <x:col min="12" max="12" width="14.75" hidden="0" customWidth="1"/>
    <x:col min="13" max="13" width="16" hidden="0" customWidth="1"/>
    <x:col min="14" max="14" width="15" hidden="0" customWidth="1"/>
    <x:col min="15" max="15" width="15.5" hidden="0" customWidth="1"/>
    <x:col min="16" max="16" width="16.5" hidden="0" customWidth="1"/>
    <x:col min="17" max="17" width="14.75" hidden="0" customWidth="1"/>
  </x:cols>
  <x:sheetData>
    <x:row r="1" ht="25.5" customHeight="1">
      <x:c r="A1" s="189" t="str">
        <x:v>Cronograma - amortizacao de prazo com caixa livre</x:v>
      </x:c>
      <x:c r="B1" s="190" t="str">
        <x:v>Cronograma - amortizacao de prazo com caixa livre</x:v>
      </x:c>
      <x:c r="C1" s="190" t="str">
        <x:v>Cronograma - amortizacao de prazo com caixa livre</x:v>
      </x:c>
      <x:c r="D1" s="190" t="str">
        <x:v>Cronograma - amortizacao de prazo com caixa livre</x:v>
      </x:c>
      <x:c r="E1" s="190" t="str">
        <x:v>Cronograma - amortizacao de prazo com caixa livre</x:v>
      </x:c>
      <x:c r="F1" s="190" t="str">
        <x:v>Cronograma - amortizacao de prazo com caixa livre</x:v>
      </x:c>
      <x:c r="G1" s="190" t="str">
        <x:v>Cronograma - amortizacao de prazo com caixa livre</x:v>
      </x:c>
      <x:c r="H1" s="190" t="str">
        <x:v>Cronograma - amortizacao de prazo com caixa livre</x:v>
      </x:c>
      <x:c r="I1" s="190" t="str">
        <x:v>Cronograma - amortizacao de prazo com caixa livre</x:v>
      </x:c>
      <x:c r="J1" s="190" t="str">
        <x:v>Cronograma - amortizacao de prazo com caixa livre</x:v>
      </x:c>
      <x:c r="K1" s="190" t="str">
        <x:v>Cronograma - amortizacao de prazo com caixa livre</x:v>
      </x:c>
      <x:c r="L1" s="190" t="str">
        <x:v>Cronograma - amortizacao de prazo com caixa livre</x:v>
      </x:c>
      <x:c r="M1" s="190" t="str">
        <x:v>Cronograma - amortizacao de prazo com caixa livre</x:v>
      </x:c>
      <x:c r="N1" s="190" t="str">
        <x:v>Cronograma - amortizacao de prazo com caixa livre</x:v>
      </x:c>
      <x:c r="O1" s="190" t="str">
        <x:v>Cronograma - amortizacao de prazo com caixa livre</x:v>
      </x:c>
      <x:c r="P1" s="190" t="str">
        <x:v>Cronograma - amortizacao de prazo com caixa livre</x:v>
      </x:c>
      <x:c r="Q1" s="191" t="str">
        <x:v>Cronograma - amortizacao de prazo com caixa livre</x:v>
      </x:c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  <x:c r="P2" s="130"/>
      <x:c r="Q2" s="130"/>
    </x:row>
    <x:row r="3">
      <x:c r="A3" s="130"/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  <x:c r="M3" s="130"/>
      <x:c r="N3" s="130"/>
      <x:c r="O3" s="130"/>
      <x:c r="P3" s="130"/>
      <x:c r="Q3" s="130"/>
    </x:row>
    <x:row r="4">
      <x:c r="A4" s="130"/>
      <x:c r="B4" s="130"/>
      <x:c r="C4" s="130"/>
      <x:c r="D4" s="130"/>
      <x:c r="E4" s="130"/>
      <x:c r="F4" s="130"/>
      <x:c r="G4" s="130"/>
      <x:c r="H4" s="130"/>
      <x:c r="I4" s="130"/>
      <x:c r="J4" s="130"/>
      <x:c r="K4" s="130"/>
      <x:c r="L4" s="130"/>
      <x:c r="M4" s="130"/>
      <x:c r="N4" s="130"/>
      <x:c r="O4" s="130"/>
      <x:c r="P4" s="130"/>
      <x:c r="Q4" s="130"/>
    </x:row>
    <x:row r="5" ht="25.5" customHeight="1">
      <x:c r="A5" s="193" t="str">
        <x:v>Mes</x:v>
      </x:c>
      <x:c r="B5" s="193" t="str">
        <x:v>Data</x:v>
      </x:c>
      <x:c r="C5" s="193" t="str">
        <x:v>Saldo inicial</x:v>
      </x:c>
      <x:c r="D5" s="193" t="str">
        <x:v>Correcao/indexador</x:v>
      </x:c>
      <x:c r="E5" s="193" t="str">
        <x:v>Saldo corrigido</x:v>
      </x:c>
      <x:c r="F5" s="193" t="str">
        <x:v>Amortizacao ordinaria</x:v>
      </x:c>
      <x:c r="G5" s="193" t="str">
        <x:v>Juros</x:v>
      </x:c>
      <x:c r="H5" s="193" t="str">
        <x:v>Seguro</x:v>
      </x:c>
      <x:c r="I5" s="193" t="str">
        <x:v>Prestacao ordinaria</x:v>
      </x:c>
      <x:c r="J5" s="193" t="str">
        <x:v>Amortizacao extra</x:v>
      </x:c>
      <x:c r="K5" s="193" t="str">
        <x:v>Desembolso total</x:v>
      </x:c>
      <x:c r="L5" s="193" t="str">
        <x:v>Saldo final</x:v>
      </x:c>
      <x:c r="M5" s="193" t="str">
        <x:v>Pago acumulado</x:v>
      </x:c>
      <x:c r="N5" s="193" t="str">
        <x:v>Status</x:v>
      </x:c>
      <x:c r="O5" s="193" t="str">
        <x:v>Caixa livre mensal</x:v>
      </x:c>
      <x:c r="P5" s="193" t="str">
        <x:v>Sobra para amortizar</x:v>
      </x:c>
      <x:c r="Q5" s="193" t="str">
        <x:v>Check extra</x:v>
      </x:c>
    </x:row>
    <x:row r="6">
      <x:c r="A6" s="142" t="n">
        <x:v>1</x:v>
      </x:c>
      <x:c r="B6" s="179" t="n">
        <x:f>EDATE(Premissas!$B$4,0)</x:f>
        <x:v>46539</x:v>
      </x:c>
      <x:c r="C6" s="141" t="n">
        <x:f>Premissas!$B$10</x:f>
        <x:v>160000</x:v>
      </x:c>
      <x:c r="D6" s="141" t="n">
        <x:f>IF(C6&gt;0,C6*Premissas!$B$17,0)</x:f>
        <x:v>0</x:v>
      </x:c>
      <x:c r="E6" s="141" t="n">
        <x:f>C6+D6</x:f>
        <x:v>160000</x:v>
      </x:c>
      <x:c r="F6" s="141" t="n">
        <x:f>IF(E6&gt;0,MIN(E6,INDEX(Financiamento!$G$6:$G$485,A6)),0)</x:f>
        <x:v>380.95238095238096</x:v>
      </x:c>
      <x:c r="G6" s="141" t="n">
        <x:f>IF(E6&gt;0,E6*Premissas!$B$15,0)</x:f>
        <x:v>1518.2068695332873</x:v>
      </x:c>
      <x:c r="H6" s="141" t="n">
        <x:f>IF(E6&gt;0,Premissas!$B$18,0)</x:f>
        <x:v>150</x:v>
      </x:c>
      <x:c r="I6" s="141" t="n">
        <x:f>F6+G6+H6</x:f>
        <x:v>2049.159250485668</x:v>
      </x:c>
      <x:c r="J6" s="141" t="n">
        <x:f>IF(E6-F6&gt;0,MIN(E6-F6,P6),0)</x:f>
        <x:v>4950.840749514332</x:v>
      </x:c>
      <x:c r="K6" s="141" t="n">
        <x:f>I6+J6</x:f>
        <x:v>7000</x:v>
      </x:c>
      <x:c r="L6" s="141" t="n">
        <x:f>MAX(0,E6-F6-J6)</x:f>
        <x:v>154668.20686953331</x:v>
      </x:c>
      <x:c r="M6" s="141" t="n">
        <x:f>SUM($K$6:K6)</x:f>
        <x:v>7000</x:v>
      </x:c>
      <x:c r="N6" s="140" t="str">
        <x:f>IF(C6=0,"Encerrado",IF(L6=0,"Quitado","Aberto"))</x:f>
        <x:v>Aberto</x:v>
      </x:c>
      <x:c r="O6" s="141" t="n">
        <x:f>IF(C6&gt;0,Premissas!$B$35,0)</x:f>
        <x:v>7000</x:v>
      </x:c>
      <x:c r="P6" s="141" t="n">
        <x:f>IF(C6&gt;0,MAX(0,O6-I6),0)</x:f>
        <x:v>4950.840749514332</x:v>
      </x:c>
      <x:c r="Q6" s="141" t="n">
        <x:f>J6-IF(E6-F6&gt;0,MIN(E6-F6,P6),0)</x:f>
        <x:v>0</x:v>
      </x:c>
    </x:row>
    <x:row r="7">
      <x:c r="A7" s="142" t="n">
        <x:v>2</x:v>
      </x:c>
      <x:c r="B7" s="179" t="n">
        <x:f>EDATE(Premissas!$B$4,1)</x:f>
        <x:v>46569</x:v>
      </x:c>
      <x:c r="C7" s="141" t="n">
        <x:f>L6</x:f>
        <x:v>154668.20686953331</x:v>
      </x:c>
      <x:c r="D7" s="141" t="n">
        <x:f>IF(C7&gt;0,C7*Premissas!$B$17,0)</x:f>
        <x:v>0</x:v>
      </x:c>
      <x:c r="E7" s="141" t="n">
        <x:f>C7+D7</x:f>
        <x:v>154668.20686953331</x:v>
      </x:c>
      <x:c r="F7" s="141" t="n">
        <x:f>IF(E7&gt;0,MIN(E7,INDEX(Financiamento!$G$6:$G$485,A7)),0)</x:f>
        <x:v>380.95238095238096</x:v>
      </x:c>
      <x:c r="G7" s="141" t="n">
        <x:f>IF(E7&gt;0,E7*Premissas!$B$15,0)</x:f>
        <x:v>1467.6145885482565</x:v>
      </x:c>
      <x:c r="H7" s="141" t="n">
        <x:f>IF(E7&gt;0,Premissas!$B$18,0)</x:f>
        <x:v>150</x:v>
      </x:c>
      <x:c r="I7" s="141" t="n">
        <x:f>F7+G7+H7</x:f>
        <x:v>1998.5669695006375</x:v>
      </x:c>
      <x:c r="J7" s="141" t="n">
        <x:f>IF(E7-F7&gt;0,MIN(E7-F7,P7),0)</x:f>
        <x:v>5001.433030499363</x:v>
      </x:c>
      <x:c r="K7" s="141" t="n">
        <x:f>I7+J7</x:f>
        <x:v>7000</x:v>
      </x:c>
      <x:c r="L7" s="141" t="n">
        <x:f>MAX(0,E7-F7-J7)</x:f>
        <x:v>149285.8214580816</x:v>
      </x:c>
      <x:c r="M7" s="141" t="n">
        <x:f>SUM($K$6:K7)</x:f>
        <x:v>14000</x:v>
      </x:c>
      <x:c r="N7" s="140" t="str">
        <x:f>IF(C7=0,"Encerrado",IF(L7=0,"Quitado","Aberto"))</x:f>
        <x:v>Aberto</x:v>
      </x:c>
      <x:c r="O7" s="141" t="n">
        <x:f>IF(C7&gt;0,Premissas!$B$35,0)</x:f>
        <x:v>7000</x:v>
      </x:c>
      <x:c r="P7" s="141" t="n">
        <x:f>IF(C7&gt;0,MAX(0,O7-I7),0)</x:f>
        <x:v>5001.433030499363</x:v>
      </x:c>
      <x:c r="Q7" s="141" t="n">
        <x:f>J7-IF(E7-F7&gt;0,MIN(E7-F7,P7),0)</x:f>
        <x:v>0</x:v>
      </x:c>
    </x:row>
    <x:row r="8">
      <x:c r="A8" s="142" t="n">
        <x:v>3</x:v>
      </x:c>
      <x:c r="B8" s="179" t="n">
        <x:f>EDATE(Premissas!$B$4,2)</x:f>
        <x:v>46600</x:v>
      </x:c>
      <x:c r="C8" s="141" t="n">
        <x:f>L7</x:f>
        <x:v>149285.8214580816</x:v>
      </x:c>
      <x:c r="D8" s="141" t="n">
        <x:f>IF(C8&gt;0,C8*Premissas!$B$17,0)</x:f>
        <x:v>0</x:v>
      </x:c>
      <x:c r="E8" s="141" t="n">
        <x:f>C8+D8</x:f>
        <x:v>149285.8214580816</x:v>
      </x:c>
      <x:c r="F8" s="141" t="n">
        <x:f>IF(E8&gt;0,MIN(E8,INDEX(Financiamento!$G$6:$G$485,A8)),0)</x:f>
        <x:v>380.952380952381</x:v>
      </x:c>
      <x:c r="G8" s="141" t="n">
        <x:f>IF(E8&gt;0,E8*Premissas!$B$15,0)</x:f>
        <x:v>1416.5422478848707</x:v>
      </x:c>
      <x:c r="H8" s="141" t="n">
        <x:f>IF(E8&gt;0,Premissas!$B$18,0)</x:f>
        <x:v>150</x:v>
      </x:c>
      <x:c r="I8" s="141" t="n">
        <x:f>F8+G8+H8</x:f>
        <x:v>1947.4946288372516</x:v>
      </x:c>
      <x:c r="J8" s="141" t="n">
        <x:f>IF(E8-F8&gt;0,MIN(E8-F8,P8),0)</x:f>
        <x:v>5052.505371162748</x:v>
      </x:c>
      <x:c r="K8" s="141" t="n">
        <x:f>I8+J8</x:f>
        <x:v>7000</x:v>
      </x:c>
      <x:c r="L8" s="141" t="n">
        <x:f>MAX(0,E8-F8-J8)</x:f>
        <x:v>143852.36370596648</x:v>
      </x:c>
      <x:c r="M8" s="141" t="n">
        <x:f>SUM($K$6:K8)</x:f>
        <x:v>21000</x:v>
      </x:c>
      <x:c r="N8" s="140" t="str">
        <x:f>IF(C8=0,"Encerrado",IF(L8=0,"Quitado","Aberto"))</x:f>
        <x:v>Aberto</x:v>
      </x:c>
      <x:c r="O8" s="141" t="n">
        <x:f>IF(C8&gt;0,Premissas!$B$35,0)</x:f>
        <x:v>7000</x:v>
      </x:c>
      <x:c r="P8" s="141" t="n">
        <x:f>IF(C8&gt;0,MAX(0,O8-I8),0)</x:f>
        <x:v>5052.505371162748</x:v>
      </x:c>
      <x:c r="Q8" s="141" t="n">
        <x:f>J8-IF(E8-F8&gt;0,MIN(E8-F8,P8),0)</x:f>
        <x:v>0</x:v>
      </x:c>
    </x:row>
    <x:row r="9">
      <x:c r="A9" s="142" t="n">
        <x:v>4</x:v>
      </x:c>
      <x:c r="B9" s="179" t="n">
        <x:f>EDATE(Premissas!$B$4,3)</x:f>
        <x:v>46631</x:v>
      </x:c>
      <x:c r="C9" s="141" t="n">
        <x:f>L8</x:f>
        <x:v>143852.36370596648</x:v>
      </x:c>
      <x:c r="D9" s="141" t="n">
        <x:f>IF(C9&gt;0,C9*Premissas!$B$17,0)</x:f>
        <x:v>0</x:v>
      </x:c>
      <x:c r="E9" s="141" t="n">
        <x:f>C9+D9</x:f>
        <x:v>143852.36370596648</x:v>
      </x:c>
      <x:c r="F9" s="141" t="n">
        <x:f>IF(E9&gt;0,MIN(E9,INDEX(Financiamento!$G$6:$G$485,A9)),0)</x:f>
        <x:v>380.9523809523811</x:v>
      </x:c>
      <x:c r="G9" s="141" t="n">
        <x:f>IF(E9&gt;0,E9*Premissas!$B$15,0)</x:f>
        <x:v>1364.9852923562453</x:v>
      </x:c>
      <x:c r="H9" s="141" t="n">
        <x:f>IF(E9&gt;0,Premissas!$B$18,0)</x:f>
        <x:v>150</x:v>
      </x:c>
      <x:c r="I9" s="141" t="n">
        <x:f>F9+G9+H9</x:f>
        <x:v>1895.9376733086265</x:v>
      </x:c>
      <x:c r="J9" s="141" t="n">
        <x:f>IF(E9-F9&gt;0,MIN(E9-F9,P9),0)</x:f>
        <x:v>5104.0623266913735</x:v>
      </x:c>
      <x:c r="K9" s="141" t="n">
        <x:f>I9+J9</x:f>
        <x:v>7000</x:v>
      </x:c>
      <x:c r="L9" s="141" t="n">
        <x:f>MAX(0,E9-F9-J9)</x:f>
        <x:v>138367.34899832273</x:v>
      </x:c>
      <x:c r="M9" s="141" t="n">
        <x:f>SUM($K$6:K9)</x:f>
        <x:v>28000</x:v>
      </x:c>
      <x:c r="N9" s="140" t="str">
        <x:f>IF(C9=0,"Encerrado",IF(L9=0,"Quitado","Aberto"))</x:f>
        <x:v>Aberto</x:v>
      </x:c>
      <x:c r="O9" s="141" t="n">
        <x:f>IF(C9&gt;0,Premissas!$B$35,0)</x:f>
        <x:v>7000</x:v>
      </x:c>
      <x:c r="P9" s="141" t="n">
        <x:f>IF(C9&gt;0,MAX(0,O9-I9),0)</x:f>
        <x:v>5104.0623266913735</x:v>
      </x:c>
      <x:c r="Q9" s="141" t="n">
        <x:f>J9-IF(E9-F9&gt;0,MIN(E9-F9,P9),0)</x:f>
        <x:v>0</x:v>
      </x:c>
    </x:row>
    <x:row r="10">
      <x:c r="A10" s="142" t="n">
        <x:v>5</x:v>
      </x:c>
      <x:c r="B10" s="179" t="n">
        <x:f>EDATE(Premissas!$B$4,4)</x:f>
        <x:v>46661</x:v>
      </x:c>
      <x:c r="C10" s="141" t="n">
        <x:f>L9</x:f>
        <x:v>138367.34899832273</x:v>
      </x:c>
      <x:c r="D10" s="141" t="n">
        <x:f>IF(C10&gt;0,C10*Premissas!$B$17,0)</x:f>
        <x:v>0</x:v>
      </x:c>
      <x:c r="E10" s="141" t="n">
        <x:f>C10+D10</x:f>
        <x:v>138367.34899832273</x:v>
      </x:c>
      <x:c r="F10" s="141" t="n">
        <x:f>IF(E10&gt;0,MIN(E10,INDEX(Financiamento!$G$6:$G$485,A10)),0)</x:f>
        <x:v>380.9523809523811</x:v>
      </x:c>
      <x:c r="G10" s="141" t="n">
        <x:f>IF(E10&gt;0,E10*Premissas!$B$15,0)</x:f>
        <x:v>1312.9391235522712</x:v>
      </x:c>
      <x:c r="H10" s="141" t="n">
        <x:f>IF(E10&gt;0,Premissas!$B$18,0)</x:f>
        <x:v>150</x:v>
      </x:c>
      <x:c r="I10" s="141" t="n">
        <x:f>F10+G10+H10</x:f>
        <x:v>1843.8915045046524</x:v>
      </x:c>
      <x:c r="J10" s="141" t="n">
        <x:f>IF(E10-F10&gt;0,MIN(E10-F10,P10),0)</x:f>
        <x:v>5156.108495495348</x:v>
      </x:c>
      <x:c r="K10" s="141" t="n">
        <x:f>I10+J10</x:f>
        <x:v>7000</x:v>
      </x:c>
      <x:c r="L10" s="141" t="n">
        <x:f>MAX(0,E10-F10-J10)</x:f>
        <x:v>132830.28812187503</x:v>
      </x:c>
      <x:c r="M10" s="141" t="n">
        <x:f>SUM($K$6:K10)</x:f>
        <x:v>35000</x:v>
      </x:c>
      <x:c r="N10" s="140" t="str">
        <x:f>IF(C10=0,"Encerrado",IF(L10=0,"Quitado","Aberto"))</x:f>
        <x:v>Aberto</x:v>
      </x:c>
      <x:c r="O10" s="141" t="n">
        <x:f>IF(C10&gt;0,Premissas!$B$35,0)</x:f>
        <x:v>7000</x:v>
      </x:c>
      <x:c r="P10" s="141" t="n">
        <x:f>IF(C10&gt;0,MAX(0,O10-I10),0)</x:f>
        <x:v>5156.108495495348</x:v>
      </x:c>
      <x:c r="Q10" s="141" t="n">
        <x:f>J10-IF(E10-F10&gt;0,MIN(E10-F10,P10),0)</x:f>
        <x:v>0</x:v>
      </x:c>
    </x:row>
    <x:row r="11">
      <x:c r="A11" s="142" t="n">
        <x:v>6</x:v>
      </x:c>
      <x:c r="B11" s="179" t="n">
        <x:f>EDATE(Premissas!$B$4,5)</x:f>
        <x:v>46692</x:v>
      </x:c>
      <x:c r="C11" s="141" t="n">
        <x:f>L10</x:f>
        <x:v>132830.28812187503</x:v>
      </x:c>
      <x:c r="D11" s="141" t="n">
        <x:f>IF(C11&gt;0,C11*Premissas!$B$17,0)</x:f>
        <x:v>0</x:v>
      </x:c>
      <x:c r="E11" s="141" t="n">
        <x:f>C11+D11</x:f>
        <x:v>132830.28812187503</x:v>
      </x:c>
      <x:c r="F11" s="141" t="n">
        <x:f>IF(E11&gt;0,MIN(E11,INDEX(Financiamento!$G$6:$G$485,A11)),0)</x:f>
        <x:v>380.95238095238113</x:v>
      </x:c>
      <x:c r="G11" s="141" t="n">
        <x:f>IF(E11&gt;0,E11*Premissas!$B$15,0)</x:f>
        <x:v>1260.399099429478</x:v>
      </x:c>
      <x:c r="H11" s="141" t="n">
        <x:f>IF(E11&gt;0,Premissas!$B$18,0)</x:f>
        <x:v>150</x:v>
      </x:c>
      <x:c r="I11" s="141" t="n">
        <x:f>F11+G11+H11</x:f>
        <x:v>1791.3514803818591</x:v>
      </x:c>
      <x:c r="J11" s="141" t="n">
        <x:f>IF(E11-F11&gt;0,MIN(E11-F11,P11),0)</x:f>
        <x:v>5208.648519618141</x:v>
      </x:c>
      <x:c r="K11" s="141" t="n">
        <x:f>I11+J11</x:f>
        <x:v>7000</x:v>
      </x:c>
      <x:c r="L11" s="141" t="n">
        <x:f>MAX(0,E11-F11-J11)</x:f>
        <x:v>127240.68722130451</x:v>
      </x:c>
      <x:c r="M11" s="141" t="n">
        <x:f>SUM($K$6:K11)</x:f>
        <x:v>42000</x:v>
      </x:c>
      <x:c r="N11" s="140" t="str">
        <x:f>IF(C11=0,"Encerrado",IF(L11=0,"Quitado","Aberto"))</x:f>
        <x:v>Aberto</x:v>
      </x:c>
      <x:c r="O11" s="141" t="n">
        <x:f>IF(C11&gt;0,Premissas!$B$35,0)</x:f>
        <x:v>7000</x:v>
      </x:c>
      <x:c r="P11" s="141" t="n">
        <x:f>IF(C11&gt;0,MAX(0,O11-I11),0)</x:f>
        <x:v>5208.648519618141</x:v>
      </x:c>
      <x:c r="Q11" s="141" t="n">
        <x:f>J11-IF(E11-F11&gt;0,MIN(E11-F11,P11),0)</x:f>
        <x:v>0</x:v>
      </x:c>
    </x:row>
    <x:row r="12">
      <x:c r="A12" s="142" t="n">
        <x:v>7</x:v>
      </x:c>
      <x:c r="B12" s="179" t="n">
        <x:f>EDATE(Premissas!$B$4,6)</x:f>
        <x:v>46722</x:v>
      </x:c>
      <x:c r="C12" s="141" t="n">
        <x:f>L11</x:f>
        <x:v>127240.68722130451</x:v>
      </x:c>
      <x:c r="D12" s="141" t="n">
        <x:f>IF(C12&gt;0,C12*Premissas!$B$17,0)</x:f>
        <x:v>0</x:v>
      </x:c>
      <x:c r="E12" s="141" t="n">
        <x:f>C12+D12</x:f>
        <x:v>127240.68722130451</x:v>
      </x:c>
      <x:c r="F12" s="141" t="n">
        <x:f>IF(E12&gt;0,MIN(E12,INDEX(Financiamento!$G$6:$G$485,A12)),0)</x:f>
        <x:v>380.95238095238113</x:v>
      </x:c>
      <x:c r="G12" s="141" t="n">
        <x:f>IF(E12&gt;0,E12*Premissas!$B$15,0)</x:f>
        <x:v>1207.3605338970056</x:v>
      </x:c>
      <x:c r="H12" s="141" t="n">
        <x:f>IF(E12&gt;0,Premissas!$B$18,0)</x:f>
        <x:v>150</x:v>
      </x:c>
      <x:c r="I12" s="141" t="n">
        <x:f>F12+G12+H12</x:f>
        <x:v>1738.3129148493867</x:v>
      </x:c>
      <x:c r="J12" s="141" t="n">
        <x:f>IF(E12-F12&gt;0,MIN(E12-F12,P12),0)</x:f>
        <x:v>5261.687085150614</x:v>
      </x:c>
      <x:c r="K12" s="141" t="n">
        <x:f>I12+J12</x:f>
        <x:v>7000</x:v>
      </x:c>
      <x:c r="L12" s="141" t="n">
        <x:f>MAX(0,E12-F12-J12)</x:f>
        <x:v>121598.04775520152</x:v>
      </x:c>
      <x:c r="M12" s="141" t="n">
        <x:f>SUM($K$6:K12)</x:f>
        <x:v>49000</x:v>
      </x:c>
      <x:c r="N12" s="140" t="str">
        <x:f>IF(C12=0,"Encerrado",IF(L12=0,"Quitado","Aberto"))</x:f>
        <x:v>Aberto</x:v>
      </x:c>
      <x:c r="O12" s="141" t="n">
        <x:f>IF(C12&gt;0,Premissas!$B$35,0)</x:f>
        <x:v>7000</x:v>
      </x:c>
      <x:c r="P12" s="141" t="n">
        <x:f>IF(C12&gt;0,MAX(0,O12-I12),0)</x:f>
        <x:v>5261.687085150614</x:v>
      </x:c>
      <x:c r="Q12" s="141" t="n">
        <x:f>J12-IF(E12-F12&gt;0,MIN(E12-F12,P12),0)</x:f>
        <x:v>0</x:v>
      </x:c>
    </x:row>
    <x:row r="13">
      <x:c r="A13" s="142" t="n">
        <x:v>8</x:v>
      </x:c>
      <x:c r="B13" s="179" t="n">
        <x:f>EDATE(Premissas!$B$4,7)</x:f>
        <x:v>46753</x:v>
      </x:c>
      <x:c r="C13" s="141" t="n">
        <x:f>L12</x:f>
        <x:v>121598.04775520152</x:v>
      </x:c>
      <x:c r="D13" s="141" t="n">
        <x:f>IF(C13&gt;0,C13*Premissas!$B$17,0)</x:f>
        <x:v>0</x:v>
      </x:c>
      <x:c r="E13" s="141" t="n">
        <x:f>C13+D13</x:f>
        <x:v>121598.04775520152</x:v>
      </x:c>
      <x:c r="F13" s="141" t="n">
        <x:f>IF(E13&gt;0,MIN(E13,INDEX(Financiamento!$G$6:$G$485,A13)),0)</x:f>
        <x:v>380.9523809523812</x:v>
      </x:c>
      <x:c r="G13" s="141" t="n">
        <x:f>IF(E13&gt;0,E13*Premissas!$B$15,0)</x:f>
        <x:v>1153.818696398648</x:v>
      </x:c>
      <x:c r="H13" s="141" t="n">
        <x:f>IF(E13&gt;0,Premissas!$B$18,0)</x:f>
        <x:v>150</x:v>
      </x:c>
      <x:c r="I13" s="141" t="n">
        <x:f>F13+G13+H13</x:f>
        <x:v>1684.7710773510291</x:v>
      </x:c>
      <x:c r="J13" s="141" t="n">
        <x:f>IF(E13-F13&gt;0,MIN(E13-F13,P13),0)</x:f>
        <x:v>5315.228922648971</x:v>
      </x:c>
      <x:c r="K13" s="141" t="n">
        <x:f>I13+J13</x:f>
        <x:v>7000</x:v>
      </x:c>
      <x:c r="L13" s="141" t="n">
        <x:f>MAX(0,E13-F13-J13)</x:f>
        <x:v>115901.86645160017</x:v>
      </x:c>
      <x:c r="M13" s="141" t="n">
        <x:f>SUM($K$6:K13)</x:f>
        <x:v>56000</x:v>
      </x:c>
      <x:c r="N13" s="140" t="str">
        <x:f>IF(C13=0,"Encerrado",IF(L13=0,"Quitado","Aberto"))</x:f>
        <x:v>Aberto</x:v>
      </x:c>
      <x:c r="O13" s="141" t="n">
        <x:f>IF(C13&gt;0,Premissas!$B$35,0)</x:f>
        <x:v>7000</x:v>
      </x:c>
      <x:c r="P13" s="141" t="n">
        <x:f>IF(C13&gt;0,MAX(0,O13-I13),0)</x:f>
        <x:v>5315.228922648971</x:v>
      </x:c>
      <x:c r="Q13" s="141" t="n">
        <x:f>J13-IF(E13-F13&gt;0,MIN(E13-F13,P13),0)</x:f>
        <x:v>0</x:v>
      </x:c>
    </x:row>
    <x:row r="14">
      <x:c r="A14" s="142" t="n">
        <x:v>9</x:v>
      </x:c>
      <x:c r="B14" s="179" t="n">
        <x:f>EDATE(Premissas!$B$4,8)</x:f>
        <x:v>46784</x:v>
      </x:c>
      <x:c r="C14" s="141" t="n">
        <x:f>L13</x:f>
        <x:v>115901.86645160017</x:v>
      </x:c>
      <x:c r="D14" s="141" t="n">
        <x:f>IF(C14&gt;0,C14*Premissas!$B$17,0)</x:f>
        <x:v>0</x:v>
      </x:c>
      <x:c r="E14" s="141" t="n">
        <x:f>C14+D14</x:f>
        <x:v>115901.86645160017</x:v>
      </x:c>
      <x:c r="F14" s="141" t="n">
        <x:f>IF(E14&gt;0,MIN(E14,INDEX(Financiamento!$G$6:$G$485,A14)),0)</x:f>
        <x:v>380.95238095238125</x:v>
      </x:c>
      <x:c r="G14" s="141" t="n">
        <x:f>IF(E14&gt;0,E14*Premissas!$B$15,0)</x:f>
        <x:v>1099.7688114909315</x:v>
      </x:c>
      <x:c r="H14" s="141" t="n">
        <x:f>IF(E14&gt;0,Premissas!$B$18,0)</x:f>
        <x:v>150</x:v>
      </x:c>
      <x:c r="I14" s="141" t="n">
        <x:f>F14+G14+H14</x:f>
        <x:v>1630.7211924433127</x:v>
      </x:c>
      <x:c r="J14" s="141" t="n">
        <x:f>IF(E14-F14&gt;0,MIN(E14-F14,P14),0)</x:f>
        <x:v>5369.278807556688</x:v>
      </x:c>
      <x:c r="K14" s="141" t="n">
        <x:f>I14+J14</x:f>
        <x:v>7000</x:v>
      </x:c>
      <x:c r="L14" s="141" t="n">
        <x:f>MAX(0,E14-F14-J14)</x:f>
        <x:v>110151.6352630911</x:v>
      </x:c>
      <x:c r="M14" s="141" t="n">
        <x:f>SUM($K$6:K14)</x:f>
        <x:v>63000</x:v>
      </x:c>
      <x:c r="N14" s="140" t="str">
        <x:f>IF(C14=0,"Encerrado",IF(L14=0,"Quitado","Aberto"))</x:f>
        <x:v>Aberto</x:v>
      </x:c>
      <x:c r="O14" s="141" t="n">
        <x:f>IF(C14&gt;0,Premissas!$B$35,0)</x:f>
        <x:v>7000</x:v>
      </x:c>
      <x:c r="P14" s="141" t="n">
        <x:f>IF(C14&gt;0,MAX(0,O14-I14),0)</x:f>
        <x:v>5369.278807556688</x:v>
      </x:c>
      <x:c r="Q14" s="141" t="n">
        <x:f>J14-IF(E14-F14&gt;0,MIN(E14-F14,P14),0)</x:f>
        <x:v>0</x:v>
      </x:c>
    </x:row>
    <x:row r="15">
      <x:c r="A15" s="142" t="n">
        <x:v>10</x:v>
      </x:c>
      <x:c r="B15" s="179" t="n">
        <x:f>EDATE(Premissas!$B$4,9)</x:f>
        <x:v>46813</x:v>
      </x:c>
      <x:c r="C15" s="141" t="n">
        <x:f>L14</x:f>
        <x:v>110151.6352630911</x:v>
      </x:c>
      <x:c r="D15" s="141" t="n">
        <x:f>IF(C15&gt;0,C15*Premissas!$B$17,0)</x:f>
        <x:v>0</x:v>
      </x:c>
      <x:c r="E15" s="141" t="n">
        <x:f>C15+D15</x:f>
        <x:v>110151.6352630911</x:v>
      </x:c>
      <x:c r="F15" s="141" t="n">
        <x:f>IF(E15&gt;0,MIN(E15,INDEX(Financiamento!$G$6:$G$485,A15)),0)</x:f>
        <x:v>380.95238095238125</x:v>
      </x:c>
      <x:c r="G15" s="141" t="n">
        <x:f>IF(E15&gt;0,E15*Premissas!$B$15,0)</x:f>
        <x:v>1045.2060584171875</x:v>
      </x:c>
      <x:c r="H15" s="141" t="n">
        <x:f>IF(E15&gt;0,Premissas!$B$18,0)</x:f>
        <x:v>150</x:v>
      </x:c>
      <x:c r="I15" s="141" t="n">
        <x:f>F15+G15+H15</x:f>
        <x:v>1576.1584393695687</x:v>
      </x:c>
      <x:c r="J15" s="141" t="n">
        <x:f>IF(E15-F15&gt;0,MIN(E15-F15,P15),0)</x:f>
        <x:v>5423.841560630432</x:v>
      </x:c>
      <x:c r="K15" s="141" t="n">
        <x:f>I15+J15</x:f>
        <x:v>7000</x:v>
      </x:c>
      <x:c r="L15" s="141" t="n">
        <x:f>MAX(0,E15-F15-J15)</x:f>
        <x:v>104346.84132150828</x:v>
      </x:c>
      <x:c r="M15" s="141" t="n">
        <x:f>SUM($K$6:K15)</x:f>
        <x:v>70000</x:v>
      </x:c>
      <x:c r="N15" s="140" t="str">
        <x:f>IF(C15=0,"Encerrado",IF(L15=0,"Quitado","Aberto"))</x:f>
        <x:v>Aberto</x:v>
      </x:c>
      <x:c r="O15" s="141" t="n">
        <x:f>IF(C15&gt;0,Premissas!$B$35,0)</x:f>
        <x:v>7000</x:v>
      </x:c>
      <x:c r="P15" s="141" t="n">
        <x:f>IF(C15&gt;0,MAX(0,O15-I15),0)</x:f>
        <x:v>5423.841560630432</x:v>
      </x:c>
      <x:c r="Q15" s="141" t="n">
        <x:f>J15-IF(E15-F15&gt;0,MIN(E15-F15,P15),0)</x:f>
        <x:v>0</x:v>
      </x:c>
    </x:row>
    <x:row r="16">
      <x:c r="A16" s="142" t="n">
        <x:v>11</x:v>
      </x:c>
      <x:c r="B16" s="179" t="n">
        <x:f>EDATE(Premissas!$B$4,10)</x:f>
        <x:v>46844</x:v>
      </x:c>
      <x:c r="C16" s="141" t="n">
        <x:f>L15</x:f>
        <x:v>104346.84132150828</x:v>
      </x:c>
      <x:c r="D16" s="141" t="n">
        <x:f>IF(C16&gt;0,C16*Premissas!$B$17,0)</x:f>
        <x:v>0</x:v>
      </x:c>
      <x:c r="E16" s="141" t="n">
        <x:f>C16+D16</x:f>
        <x:v>104346.84132150828</x:v>
      </x:c>
      <x:c r="F16" s="141" t="n">
        <x:f>IF(E16&gt;0,MIN(E16,INDEX(Financiamento!$G$6:$G$485,A16)),0)</x:f>
        <x:v>380.9523809523813</x:v>
      </x:c>
      <x:c r="G16" s="141" t="n">
        <x:f>IF(E16&gt;0,E16*Premissas!$B$15,0)</x:f>
        <x:v>990.125570677586</x:v>
      </x:c>
      <x:c r="H16" s="141" t="n">
        <x:f>IF(E16&gt;0,Premissas!$B$18,0)</x:f>
        <x:v>150</x:v>
      </x:c>
      <x:c r="I16" s="141" t="n">
        <x:f>F16+G16+H16</x:f>
        <x:v>1521.0779516299672</x:v>
      </x:c>
      <x:c r="J16" s="141" t="n">
        <x:f>IF(E16-F16&gt;0,MIN(E16-F16,P16),0)</x:f>
        <x:v>5478.922048370033</x:v>
      </x:c>
      <x:c r="K16" s="141" t="n">
        <x:f>I16+J16</x:f>
        <x:v>7000</x:v>
      </x:c>
      <x:c r="L16" s="141" t="n">
        <x:f>MAX(0,E16-F16-J16)</x:f>
        <x:v>98486.96689218587</x:v>
      </x:c>
      <x:c r="M16" s="141" t="n">
        <x:f>SUM($K$6:K16)</x:f>
        <x:v>77000</x:v>
      </x:c>
      <x:c r="N16" s="140" t="str">
        <x:f>IF(C16=0,"Encerrado",IF(L16=0,"Quitado","Aberto"))</x:f>
        <x:v>Aberto</x:v>
      </x:c>
      <x:c r="O16" s="141" t="n">
        <x:f>IF(C16&gt;0,Premissas!$B$35,0)</x:f>
        <x:v>7000</x:v>
      </x:c>
      <x:c r="P16" s="141" t="n">
        <x:f>IF(C16&gt;0,MAX(0,O16-I16),0)</x:f>
        <x:v>5478.922048370033</x:v>
      </x:c>
      <x:c r="Q16" s="141" t="n">
        <x:f>J16-IF(E16-F16&gt;0,MIN(E16-F16,P16),0)</x:f>
        <x:v>0</x:v>
      </x:c>
    </x:row>
    <x:row r="17">
      <x:c r="A17" s="142" t="n">
        <x:v>12</x:v>
      </x:c>
      <x:c r="B17" s="179" t="n">
        <x:f>EDATE(Premissas!$B$4,11)</x:f>
        <x:v>46874</x:v>
      </x:c>
      <x:c r="C17" s="141" t="n">
        <x:f>L16</x:f>
        <x:v>98486.96689218587</x:v>
      </x:c>
      <x:c r="D17" s="141" t="n">
        <x:f>IF(C17&gt;0,C17*Premissas!$B$17,0)</x:f>
        <x:v>0</x:v>
      </x:c>
      <x:c r="E17" s="141" t="n">
        <x:f>C17+D17</x:f>
        <x:v>98486.96689218587</x:v>
      </x:c>
      <x:c r="F17" s="141" t="n">
        <x:f>IF(E17&gt;0,MIN(E17,INDEX(Financiamento!$G$6:$G$485,A17)),0)</x:f>
        <x:v>380.9523809523813</x:v>
      </x:c>
      <x:c r="G17" s="141" t="n">
        <x:f>IF(E17&gt;0,E17*Premissas!$B$15,0)</x:f>
        <x:v>934.5224355950876</x:v>
      </x:c>
      <x:c r="H17" s="141" t="n">
        <x:f>IF(E17&gt;0,Premissas!$B$18,0)</x:f>
        <x:v>150</x:v>
      </x:c>
      <x:c r="I17" s="141" t="n">
        <x:f>F17+G17+H17</x:f>
        <x:v>1465.474816547469</x:v>
      </x:c>
      <x:c r="J17" s="141" t="n">
        <x:f>IF(E17-F17&gt;0,MIN(E17-F17,P17),0)</x:f>
        <x:v>5534.525183452532</x:v>
      </x:c>
      <x:c r="K17" s="141" t="n">
        <x:f>I17+J17</x:f>
        <x:v>7000</x:v>
      </x:c>
      <x:c r="L17" s="141" t="n">
        <x:f>MAX(0,E17-F17-J17)</x:f>
        <x:v>92571.48932778096</x:v>
      </x:c>
      <x:c r="M17" s="141" t="n">
        <x:f>SUM($K$6:K17)</x:f>
        <x:v>84000</x:v>
      </x:c>
      <x:c r="N17" s="140" t="str">
        <x:f>IF(C17=0,"Encerrado",IF(L17=0,"Quitado","Aberto"))</x:f>
        <x:v>Aberto</x:v>
      </x:c>
      <x:c r="O17" s="141" t="n">
        <x:f>IF(C17&gt;0,Premissas!$B$35,0)</x:f>
        <x:v>7000</x:v>
      </x:c>
      <x:c r="P17" s="141" t="n">
        <x:f>IF(C17&gt;0,MAX(0,O17-I17),0)</x:f>
        <x:v>5534.525183452532</x:v>
      </x:c>
      <x:c r="Q17" s="141" t="n">
        <x:f>J17-IF(E17-F17&gt;0,MIN(E17-F17,P17),0)</x:f>
        <x:v>0</x:v>
      </x:c>
    </x:row>
    <x:row r="18">
      <x:c r="A18" s="142" t="n">
        <x:v>13</x:v>
      </x:c>
      <x:c r="B18" s="179" t="n">
        <x:f>EDATE(Premissas!$B$4,12)</x:f>
        <x:v>46905</x:v>
      </x:c>
      <x:c r="C18" s="141" t="n">
        <x:f>L17</x:f>
        <x:v>92571.48932778096</x:v>
      </x:c>
      <x:c r="D18" s="141" t="n">
        <x:f>IF(C18&gt;0,C18*Premissas!$B$17,0)</x:f>
        <x:v>0</x:v>
      </x:c>
      <x:c r="E18" s="141" t="n">
        <x:f>C18+D18</x:f>
        <x:v>92571.48932778096</x:v>
      </x:c>
      <x:c r="F18" s="141" t="n">
        <x:f>IF(E18&gt;0,MIN(E18,INDEX(Financiamento!$G$6:$G$485,A18)),0)</x:f>
        <x:v>380.95238095238136</x:v>
      </x:c>
      <x:c r="G18" s="141" t="n">
        <x:f>IF(E18&gt;0,E18*Premissas!$B$15,0)</x:f>
        <x:v>878.3916938772778</x:v>
      </x:c>
      <x:c r="H18" s="141" t="n">
        <x:f>IF(E18&gt;0,Premissas!$B$18,0)</x:f>
        <x:v>150</x:v>
      </x:c>
      <x:c r="I18" s="141" t="n">
        <x:f>F18+G18+H18</x:f>
        <x:v>1409.3440748296591</x:v>
      </x:c>
      <x:c r="J18" s="141" t="n">
        <x:f>IF(E18-F18&gt;0,MIN(E18-F18,P18),0)</x:f>
        <x:v>5590.655925170341</x:v>
      </x:c>
      <x:c r="K18" s="141" t="n">
        <x:f>I18+J18</x:f>
        <x:v>7000</x:v>
      </x:c>
      <x:c r="L18" s="141" t="n">
        <x:f>MAX(0,E18-F18-J18)</x:f>
        <x:v>86599.88102165824</x:v>
      </x:c>
      <x:c r="M18" s="141" t="n">
        <x:f>SUM($K$6:K18)</x:f>
        <x:v>91000</x:v>
      </x:c>
      <x:c r="N18" s="140" t="str">
        <x:f>IF(C18=0,"Encerrado",IF(L18=0,"Quitado","Aberto"))</x:f>
        <x:v>Aberto</x:v>
      </x:c>
      <x:c r="O18" s="141" t="n">
        <x:f>IF(C18&gt;0,Premissas!$B$35,0)</x:f>
        <x:v>7000</x:v>
      </x:c>
      <x:c r="P18" s="141" t="n">
        <x:f>IF(C18&gt;0,MAX(0,O18-I18),0)</x:f>
        <x:v>5590.655925170341</x:v>
      </x:c>
      <x:c r="Q18" s="141" t="n">
        <x:f>J18-IF(E18-F18&gt;0,MIN(E18-F18,P18),0)</x:f>
        <x:v>0</x:v>
      </x:c>
    </x:row>
    <x:row r="19">
      <x:c r="A19" s="142" t="n">
        <x:v>14</x:v>
      </x:c>
      <x:c r="B19" s="179" t="n">
        <x:f>EDATE(Premissas!$B$4,13)</x:f>
        <x:v>46935</x:v>
      </x:c>
      <x:c r="C19" s="141" t="n">
        <x:f>L18</x:f>
        <x:v>86599.88102165824</x:v>
      </x:c>
      <x:c r="D19" s="141" t="n">
        <x:f>IF(C19&gt;0,C19*Premissas!$B$17,0)</x:f>
        <x:v>0</x:v>
      </x:c>
      <x:c r="E19" s="141" t="n">
        <x:f>C19+D19</x:f>
        <x:v>86599.88102165824</x:v>
      </x:c>
      <x:c r="F19" s="141" t="n">
        <x:f>IF(E19&gt;0,MIN(E19,INDEX(Financiamento!$G$6:$G$485,A19)),0)</x:f>
        <x:v>380.9523809523814</x:v>
      </x:c>
      <x:c r="G19" s="141" t="n">
        <x:f>IF(E19&gt;0,E19*Premissas!$B$15,0)</x:f>
        <x:v>821.7283391740431</x:v>
      </x:c>
      <x:c r="H19" s="141" t="n">
        <x:f>IF(E19&gt;0,Premissas!$B$18,0)</x:f>
        <x:v>150</x:v>
      </x:c>
      <x:c r="I19" s="141" t="n">
        <x:f>F19+G19+H19</x:f>
        <x:v>1352.6807201264246</x:v>
      </x:c>
      <x:c r="J19" s="141" t="n">
        <x:f>IF(E19-F19&gt;0,MIN(E19-F19,P19),0)</x:f>
        <x:v>5647.319279873575</x:v>
      </x:c>
      <x:c r="K19" s="141" t="n">
        <x:f>I19+J19</x:f>
        <x:v>7000</x:v>
      </x:c>
      <x:c r="L19" s="141" t="n">
        <x:f>MAX(0,E19-F19-J19)</x:f>
        <x:v>80571.60936083228</x:v>
      </x:c>
      <x:c r="M19" s="141" t="n">
        <x:f>SUM($K$6:K19)</x:f>
        <x:v>98000</x:v>
      </x:c>
      <x:c r="N19" s="140" t="str">
        <x:f>IF(C19=0,"Encerrado",IF(L19=0,"Quitado","Aberto"))</x:f>
        <x:v>Aberto</x:v>
      </x:c>
      <x:c r="O19" s="141" t="n">
        <x:f>IF(C19&gt;0,Premissas!$B$35,0)</x:f>
        <x:v>7000</x:v>
      </x:c>
      <x:c r="P19" s="141" t="n">
        <x:f>IF(C19&gt;0,MAX(0,O19-I19),0)</x:f>
        <x:v>5647.319279873575</x:v>
      </x:c>
      <x:c r="Q19" s="141" t="n">
        <x:f>J19-IF(E19-F19&gt;0,MIN(E19-F19,P19),0)</x:f>
        <x:v>0</x:v>
      </x:c>
    </x:row>
    <x:row r="20">
      <x:c r="A20" s="142" t="n">
        <x:v>15</x:v>
      </x:c>
      <x:c r="B20" s="179" t="n">
        <x:f>EDATE(Premissas!$B$4,14)</x:f>
        <x:v>46966</x:v>
      </x:c>
      <x:c r="C20" s="141" t="n">
        <x:f>L19</x:f>
        <x:v>80571.60936083228</x:v>
      </x:c>
      <x:c r="D20" s="141" t="n">
        <x:f>IF(C20&gt;0,C20*Premissas!$B$17,0)</x:f>
        <x:v>0</x:v>
      </x:c>
      <x:c r="E20" s="141" t="n">
        <x:f>C20+D20</x:f>
        <x:v>80571.60936083228</x:v>
      </x:c>
      <x:c r="F20" s="141" t="n">
        <x:f>IF(E20&gt;0,MIN(E20,INDEX(Financiamento!$G$6:$G$485,A20)),0)</x:f>
        <x:v>380.9523809523814</x:v>
      </x:c>
      <x:c r="G20" s="141" t="n">
        <x:f>IF(E20&gt;0,E20*Premissas!$B$15,0)</x:f>
        <x:v>764.5273176310506</x:v>
      </x:c>
      <x:c r="H20" s="141" t="n">
        <x:f>IF(E20&gt;0,Premissas!$B$18,0)</x:f>
        <x:v>150</x:v>
      </x:c>
      <x:c r="I20" s="141" t="n">
        <x:f>F20+G20+H20</x:f>
        <x:v>1295.4796985834319</x:v>
      </x:c>
      <x:c r="J20" s="141" t="n">
        <x:f>IF(E20-F20&gt;0,MIN(E20-F20,P20),0)</x:f>
        <x:v>5704.520301416568</x:v>
      </x:c>
      <x:c r="K20" s="141" t="n">
        <x:f>I20+J20</x:f>
        <x:v>7000</x:v>
      </x:c>
      <x:c r="L20" s="141" t="n">
        <x:f>MAX(0,E20-F20-J20)</x:f>
        <x:v>74486.13667846333</x:v>
      </x:c>
      <x:c r="M20" s="141" t="n">
        <x:f>SUM($K$6:K20)</x:f>
        <x:v>105000</x:v>
      </x:c>
      <x:c r="N20" s="140" t="str">
        <x:f>IF(C20=0,"Encerrado",IF(L20=0,"Quitado","Aberto"))</x:f>
        <x:v>Aberto</x:v>
      </x:c>
      <x:c r="O20" s="141" t="n">
        <x:f>IF(C20&gt;0,Premissas!$B$35,0)</x:f>
        <x:v>7000</x:v>
      </x:c>
      <x:c r="P20" s="141" t="n">
        <x:f>IF(C20&gt;0,MAX(0,O20-I20),0)</x:f>
        <x:v>5704.520301416568</x:v>
      </x:c>
      <x:c r="Q20" s="141" t="n">
        <x:f>J20-IF(E20-F20&gt;0,MIN(E20-F20,P20),0)</x:f>
        <x:v>0</x:v>
      </x:c>
    </x:row>
    <x:row r="21">
      <x:c r="A21" s="142" t="n">
        <x:v>16</x:v>
      </x:c>
      <x:c r="B21" s="179" t="n">
        <x:f>EDATE(Premissas!$B$4,15)</x:f>
        <x:v>46997</x:v>
      </x:c>
      <x:c r="C21" s="141" t="n">
        <x:f>L20</x:f>
        <x:v>74486.13667846333</x:v>
      </x:c>
      <x:c r="D21" s="141" t="n">
        <x:f>IF(C21&gt;0,C21*Premissas!$B$17,0)</x:f>
        <x:v>0</x:v>
      </x:c>
      <x:c r="E21" s="141" t="n">
        <x:f>C21+D21</x:f>
        <x:v>74486.13667846333</x:v>
      </x:c>
      <x:c r="F21" s="141" t="n">
        <x:f>IF(E21&gt;0,MIN(E21,INDEX(Financiamento!$G$6:$G$485,A21)),0)</x:f>
        <x:v>380.9523809523815</x:v>
      </x:c>
      <x:c r="G21" s="141" t="n">
        <x:f>IF(E21&gt;0,E21*Premissas!$B$15,0)</x:f>
        <x:v>706.7835274389898</x:v>
      </x:c>
      <x:c r="H21" s="141" t="n">
        <x:f>IF(E21&gt;0,Premissas!$B$18,0)</x:f>
        <x:v>150</x:v>
      </x:c>
      <x:c r="I21" s="141" t="n">
        <x:f>F21+G21+H21</x:f>
        <x:v>1237.7359083913714</x:v>
      </x:c>
      <x:c r="J21" s="141" t="n">
        <x:f>IF(E21-F21&gt;0,MIN(E21-F21,P21),0)</x:f>
        <x:v>5762.264091608628</x:v>
      </x:c>
      <x:c r="K21" s="141" t="n">
        <x:f>I21+J21</x:f>
        <x:v>7000</x:v>
      </x:c>
      <x:c r="L21" s="141" t="n">
        <x:f>MAX(0,E21-F21-J21)</x:f>
        <x:v>68342.92020590232</x:v>
      </x:c>
      <x:c r="M21" s="141" t="n">
        <x:f>SUM($K$6:K21)</x:f>
        <x:v>112000</x:v>
      </x:c>
      <x:c r="N21" s="140" t="str">
        <x:f>IF(C21=0,"Encerrado",IF(L21=0,"Quitado","Aberto"))</x:f>
        <x:v>Aberto</x:v>
      </x:c>
      <x:c r="O21" s="141" t="n">
        <x:f>IF(C21&gt;0,Premissas!$B$35,0)</x:f>
        <x:v>7000</x:v>
      </x:c>
      <x:c r="P21" s="141" t="n">
        <x:f>IF(C21&gt;0,MAX(0,O21-I21),0)</x:f>
        <x:v>5762.264091608628</x:v>
      </x:c>
      <x:c r="Q21" s="141" t="n">
        <x:f>J21-IF(E21-F21&gt;0,MIN(E21-F21,P21),0)</x:f>
        <x:v>0</x:v>
      </x:c>
    </x:row>
    <x:row r="22">
      <x:c r="A22" s="142" t="n">
        <x:v>17</x:v>
      </x:c>
      <x:c r="B22" s="179" t="n">
        <x:f>EDATE(Premissas!$B$4,16)</x:f>
        <x:v>47027</x:v>
      </x:c>
      <x:c r="C22" s="141" t="n">
        <x:f>L21</x:f>
        <x:v>68342.92020590232</x:v>
      </x:c>
      <x:c r="D22" s="141" t="n">
        <x:f>IF(C22&gt;0,C22*Premissas!$B$17,0)</x:f>
        <x:v>0</x:v>
      </x:c>
      <x:c r="E22" s="141" t="n">
        <x:f>C22+D22</x:f>
        <x:v>68342.92020590232</x:v>
      </x:c>
      <x:c r="F22" s="141" t="n">
        <x:f>IF(E22&gt;0,MIN(E22,INDEX(Financiamento!$G$6:$G$485,A22)),0)</x:f>
        <x:v>380.9523809523815</x:v>
      </x:c>
      <x:c r="G22" s="141" t="n">
        <x:f>IF(E22&gt;0,E22*Premissas!$B$15,0)</x:f>
        <x:v>648.4918183785388</x:v>
      </x:c>
      <x:c r="H22" s="141" t="n">
        <x:f>IF(E22&gt;0,Premissas!$B$18,0)</x:f>
        <x:v>150</x:v>
      </x:c>
      <x:c r="I22" s="141" t="n">
        <x:f>F22+G22+H22</x:f>
        <x:v>1179.4441993309204</x:v>
      </x:c>
      <x:c r="J22" s="141" t="n">
        <x:f>IF(E22-F22&gt;0,MIN(E22-F22,P22),0)</x:f>
        <x:v>5820.55580066908</x:v>
      </x:c>
      <x:c r="K22" s="141" t="n">
        <x:f>I22+J22</x:f>
        <x:v>7000</x:v>
      </x:c>
      <x:c r="L22" s="141" t="n">
        <x:f>MAX(0,E22-F22-J22)</x:f>
        <x:v>62141.412024280864</x:v>
      </x:c>
      <x:c r="M22" s="141" t="n">
        <x:f>SUM($K$6:K22)</x:f>
        <x:v>119000</x:v>
      </x:c>
      <x:c r="N22" s="140" t="str">
        <x:f>IF(C22=0,"Encerrado",IF(L22=0,"Quitado","Aberto"))</x:f>
        <x:v>Aberto</x:v>
      </x:c>
      <x:c r="O22" s="141" t="n">
        <x:f>IF(C22&gt;0,Premissas!$B$35,0)</x:f>
        <x:v>7000</x:v>
      </x:c>
      <x:c r="P22" s="141" t="n">
        <x:f>IF(C22&gt;0,MAX(0,O22-I22),0)</x:f>
        <x:v>5820.55580066908</x:v>
      </x:c>
      <x:c r="Q22" s="141" t="n">
        <x:f>J22-IF(E22-F22&gt;0,MIN(E22-F22,P22),0)</x:f>
        <x:v>0</x:v>
      </x:c>
    </x:row>
    <x:row r="23">
      <x:c r="A23" s="142" t="n">
        <x:v>18</x:v>
      </x:c>
      <x:c r="B23" s="179" t="n">
        <x:f>EDATE(Premissas!$B$4,17)</x:f>
        <x:v>47058</x:v>
      </x:c>
      <x:c r="C23" s="141" t="n">
        <x:f>L22</x:f>
        <x:v>62141.412024280864</x:v>
      </x:c>
      <x:c r="D23" s="141" t="n">
        <x:f>IF(C23&gt;0,C23*Premissas!$B$17,0)</x:f>
        <x:v>0</x:v>
      </x:c>
      <x:c r="E23" s="141" t="n">
        <x:f>C23+D23</x:f>
        <x:v>62141.412024280864</x:v>
      </x:c>
      <x:c r="F23" s="141" t="n">
        <x:f>IF(E23&gt;0,MIN(E23,INDEX(Financiamento!$G$6:$G$485,A23)),0)</x:f>
        <x:v>380.95238095238153</x:v>
      </x:c>
      <x:c r="G23" s="141" t="n">
        <x:f>IF(E23&gt;0,E23*Premissas!$B$15,0)</x:f>
        <x:v>589.6469913610102</x:v>
      </x:c>
      <x:c r="H23" s="141" t="n">
        <x:f>IF(E23&gt;0,Premissas!$B$18,0)</x:f>
        <x:v>150</x:v>
      </x:c>
      <x:c r="I23" s="141" t="n">
        <x:f>F23+G23+H23</x:f>
        <x:v>1120.5993723133918</x:v>
      </x:c>
      <x:c r="J23" s="141" t="n">
        <x:f>IF(E23-F23&gt;0,MIN(E23-F23,P23),0)</x:f>
        <x:v>5879.4006276866085</x:v>
      </x:c>
      <x:c r="K23" s="141" t="n">
        <x:f>I23+J23</x:f>
        <x:v>7000</x:v>
      </x:c>
      <x:c r="L23" s="141" t="n">
        <x:f>MAX(0,E23-F23-J23)</x:f>
        <x:v>55881.05901564188</x:v>
      </x:c>
      <x:c r="M23" s="141" t="n">
        <x:f>SUM($K$6:K23)</x:f>
        <x:v>126000</x:v>
      </x:c>
      <x:c r="N23" s="140" t="str">
        <x:f>IF(C23=0,"Encerrado",IF(L23=0,"Quitado","Aberto"))</x:f>
        <x:v>Aberto</x:v>
      </x:c>
      <x:c r="O23" s="141" t="n">
        <x:f>IF(C23&gt;0,Premissas!$B$35,0)</x:f>
        <x:v>7000</x:v>
      </x:c>
      <x:c r="P23" s="141" t="n">
        <x:f>IF(C23&gt;0,MAX(0,O23-I23),0)</x:f>
        <x:v>5879.4006276866085</x:v>
      </x:c>
      <x:c r="Q23" s="141" t="n">
        <x:f>J23-IF(E23-F23&gt;0,MIN(E23-F23,P23),0)</x:f>
        <x:v>0</x:v>
      </x:c>
    </x:row>
    <x:row r="24">
      <x:c r="A24" s="142" t="n">
        <x:v>19</x:v>
      </x:c>
      <x:c r="B24" s="179" t="n">
        <x:f>EDATE(Premissas!$B$4,18)</x:f>
        <x:v>47088</x:v>
      </x:c>
      <x:c r="C24" s="141" t="n">
        <x:f>L23</x:f>
        <x:v>55881.05901564188</x:v>
      </x:c>
      <x:c r="D24" s="141" t="n">
        <x:f>IF(C24&gt;0,C24*Premissas!$B$17,0)</x:f>
        <x:v>0</x:v>
      </x:c>
      <x:c r="E24" s="141" t="n">
        <x:f>C24+D24</x:f>
        <x:v>55881.05901564188</x:v>
      </x:c>
      <x:c r="F24" s="141" t="n">
        <x:f>IF(E24&gt;0,MIN(E24,INDEX(Financiamento!$G$6:$G$485,A24)),0)</x:f>
        <x:v>380.9523809523816</x:v>
      </x:c>
      <x:c r="G24" s="141" t="n">
        <x:f>IF(E24&gt;0,E24*Premissas!$B$15,0)</x:f>
        <x:v>530.2437979646409</x:v>
      </x:c>
      <x:c r="H24" s="141" t="n">
        <x:f>IF(E24&gt;0,Premissas!$B$18,0)</x:f>
        <x:v>150</x:v>
      </x:c>
      <x:c r="I24" s="141" t="n">
        <x:f>F24+G24+H24</x:f>
        <x:v>1061.1961789170225</x:v>
      </x:c>
      <x:c r="J24" s="141" t="n">
        <x:f>IF(E24-F24&gt;0,MIN(E24-F24,P24),0)</x:f>
        <x:v>5938.803821082977</x:v>
      </x:c>
      <x:c r="K24" s="141" t="n">
        <x:f>I24+J24</x:f>
        <x:v>7000</x:v>
      </x:c>
      <x:c r="L24" s="141" t="n">
        <x:f>MAX(0,E24-F24-J24)</x:f>
        <x:v>49561.30281360652</x:v>
      </x:c>
      <x:c r="M24" s="141" t="n">
        <x:f>SUM($K$6:K24)</x:f>
        <x:v>133000</x:v>
      </x:c>
      <x:c r="N24" s="140" t="str">
        <x:f>IF(C24=0,"Encerrado",IF(L24=0,"Quitado","Aberto"))</x:f>
        <x:v>Aberto</x:v>
      </x:c>
      <x:c r="O24" s="141" t="n">
        <x:f>IF(C24&gt;0,Premissas!$B$35,0)</x:f>
        <x:v>7000</x:v>
      </x:c>
      <x:c r="P24" s="141" t="n">
        <x:f>IF(C24&gt;0,MAX(0,O24-I24),0)</x:f>
        <x:v>5938.803821082977</x:v>
      </x:c>
      <x:c r="Q24" s="141" t="n">
        <x:f>J24-IF(E24-F24&gt;0,MIN(E24-F24,P24),0)</x:f>
        <x:v>0</x:v>
      </x:c>
    </x:row>
    <x:row r="25">
      <x:c r="A25" s="142" t="n">
        <x:v>20</x:v>
      </x:c>
      <x:c r="B25" s="179" t="n">
        <x:f>EDATE(Premissas!$B$4,19)</x:f>
        <x:v>47119</x:v>
      </x:c>
      <x:c r="C25" s="141" t="n">
        <x:f>L24</x:f>
        <x:v>49561.30281360652</x:v>
      </x:c>
      <x:c r="D25" s="141" t="n">
        <x:f>IF(C25&gt;0,C25*Premissas!$B$17,0)</x:f>
        <x:v>0</x:v>
      </x:c>
      <x:c r="E25" s="141" t="n">
        <x:f>C25+D25</x:f>
        <x:v>49561.30281360652</x:v>
      </x:c>
      <x:c r="F25" s="141" t="n">
        <x:f>IF(E25&gt;0,MIN(E25,INDEX(Financiamento!$G$6:$G$485,A25)),0)</x:f>
        <x:v>380.9523809523816</x:v>
      </x:c>
      <x:c r="G25" s="141" t="n">
        <x:f>IF(E25&gt;0,E25*Premissas!$B$15,0)</x:f>
        <x:v>470.27693996648037</x:v>
      </x:c>
      <x:c r="H25" s="141" t="n">
        <x:f>IF(E25&gt;0,Premissas!$B$18,0)</x:f>
        <x:v>150</x:v>
      </x:c>
      <x:c r="I25" s="141" t="n">
        <x:f>F25+G25+H25</x:f>
        <x:v>1001.229320918862</x:v>
      </x:c>
      <x:c r="J25" s="141" t="n">
        <x:f>IF(E25-F25&gt;0,MIN(E25-F25,P25),0)</x:f>
        <x:v>5998.770679081138</x:v>
      </x:c>
      <x:c r="K25" s="141" t="n">
        <x:f>I25+J25</x:f>
        <x:v>7000</x:v>
      </x:c>
      <x:c r="L25" s="141" t="n">
        <x:f>MAX(0,E25-F25-J25)</x:f>
        <x:v>43181.579753573</x:v>
      </x:c>
      <x:c r="M25" s="141" t="n">
        <x:f>SUM($K$6:K25)</x:f>
        <x:v>140000</x:v>
      </x:c>
      <x:c r="N25" s="140" t="str">
        <x:f>IF(C25=0,"Encerrado",IF(L25=0,"Quitado","Aberto"))</x:f>
        <x:v>Aberto</x:v>
      </x:c>
      <x:c r="O25" s="141" t="n">
        <x:f>IF(C25&gt;0,Premissas!$B$35,0)</x:f>
        <x:v>7000</x:v>
      </x:c>
      <x:c r="P25" s="141" t="n">
        <x:f>IF(C25&gt;0,MAX(0,O25-I25),0)</x:f>
        <x:v>5998.770679081138</x:v>
      </x:c>
      <x:c r="Q25" s="141" t="n">
        <x:f>J25-IF(E25-F25&gt;0,MIN(E25-F25,P25),0)</x:f>
        <x:v>0</x:v>
      </x:c>
    </x:row>
    <x:row r="26">
      <x:c r="A26" s="142" t="n">
        <x:v>21</x:v>
      </x:c>
      <x:c r="B26" s="179" t="n">
        <x:f>EDATE(Premissas!$B$4,20)</x:f>
        <x:v>47150</x:v>
      </x:c>
      <x:c r="C26" s="141" t="n">
        <x:f>L25</x:f>
        <x:v>43181.579753573</x:v>
      </x:c>
      <x:c r="D26" s="141" t="n">
        <x:f>IF(C26&gt;0,C26*Premissas!$B$17,0)</x:f>
        <x:v>0</x:v>
      </x:c>
      <x:c r="E26" s="141" t="n">
        <x:f>C26+D26</x:f>
        <x:v>43181.579753573</x:v>
      </x:c>
      <x:c r="F26" s="141" t="n">
        <x:f>IF(E26&gt;0,MIN(E26,INDEX(Financiamento!$G$6:$G$485,A26)),0)</x:f>
        <x:v>380.95238095238165</x:v>
      </x:c>
      <x:c r="G26" s="141" t="n">
        <x:f>IF(E26&gt;0,E26*Premissas!$B$15,0)</x:f>
        <x:v>409.7410688698378</x:v>
      </x:c>
      <x:c r="H26" s="141" t="n">
        <x:f>IF(E26&gt;0,Premissas!$B$18,0)</x:f>
        <x:v>150</x:v>
      </x:c>
      <x:c r="I26" s="141" t="n">
        <x:f>F26+G26+H26</x:f>
        <x:v>940.6934498222195</x:v>
      </x:c>
      <x:c r="J26" s="141" t="n">
        <x:f>IF(E26-F26&gt;0,MIN(E26-F26,P26),0)</x:f>
        <x:v>6059.30655017778</x:v>
      </x:c>
      <x:c r="K26" s="141" t="n">
        <x:f>I26+J26</x:f>
        <x:v>7000</x:v>
      </x:c>
      <x:c r="L26" s="141" t="n">
        <x:f>MAX(0,E26-F26-J26)</x:f>
        <x:v>36741.32082244284</x:v>
      </x:c>
      <x:c r="M26" s="141" t="n">
        <x:f>SUM($K$6:K26)</x:f>
        <x:v>147000</x:v>
      </x:c>
      <x:c r="N26" s="140" t="str">
        <x:f>IF(C26=0,"Encerrado",IF(L26=0,"Quitado","Aberto"))</x:f>
        <x:v>Aberto</x:v>
      </x:c>
      <x:c r="O26" s="141" t="n">
        <x:f>IF(C26&gt;0,Premissas!$B$35,0)</x:f>
        <x:v>7000</x:v>
      </x:c>
      <x:c r="P26" s="141" t="n">
        <x:f>IF(C26&gt;0,MAX(0,O26-I26),0)</x:f>
        <x:v>6059.30655017778</x:v>
      </x:c>
      <x:c r="Q26" s="141" t="n">
        <x:f>J26-IF(E26-F26&gt;0,MIN(E26-F26,P26),0)</x:f>
        <x:v>0</x:v>
      </x:c>
    </x:row>
    <x:row r="27">
      <x:c r="A27" s="142" t="n">
        <x:v>22</x:v>
      </x:c>
      <x:c r="B27" s="179" t="n">
        <x:f>EDATE(Premissas!$B$4,21)</x:f>
        <x:v>47178</x:v>
      </x:c>
      <x:c r="C27" s="141" t="n">
        <x:f>L26</x:f>
        <x:v>36741.32082244284</x:v>
      </x:c>
      <x:c r="D27" s="141" t="n">
        <x:f>IF(C27&gt;0,C27*Premissas!$B$17,0)</x:f>
        <x:v>0</x:v>
      </x:c>
      <x:c r="E27" s="141" t="n">
        <x:f>C27+D27</x:f>
        <x:v>36741.32082244284</x:v>
      </x:c>
      <x:c r="F27" s="141" t="n">
        <x:f>IF(E27&gt;0,MIN(E27,INDEX(Financiamento!$G$6:$G$485,A27)),0)</x:f>
        <x:v>380.9523809523817</x:v>
      </x:c>
      <x:c r="G27" s="141" t="n">
        <x:f>IF(E27&gt;0,E27*Premissas!$B$15,0)</x:f>
        <x:v>348.6307854272445</x:v>
      </x:c>
      <x:c r="H27" s="141" t="n">
        <x:f>IF(E27&gt;0,Premissas!$B$18,0)</x:f>
        <x:v>150</x:v>
      </x:c>
      <x:c r="I27" s="141" t="n">
        <x:f>F27+G27+H27</x:f>
        <x:v>879.5831663796262</x:v>
      </x:c>
      <x:c r="J27" s="141" t="n">
        <x:f>IF(E27-F27&gt;0,MIN(E27-F27,P27),0)</x:f>
        <x:v>6120.416833620374</x:v>
      </x:c>
      <x:c r="K27" s="141" t="n">
        <x:f>I27+J27</x:f>
        <x:v>7000</x:v>
      </x:c>
      <x:c r="L27" s="141" t="n">
        <x:f>MAX(0,E27-F27-J27)</x:f>
        <x:v>30239.951607870084</x:v>
      </x:c>
      <x:c r="M27" s="141" t="n">
        <x:f>SUM($K$6:K27)</x:f>
        <x:v>154000</x:v>
      </x:c>
      <x:c r="N27" s="140" t="str">
        <x:f>IF(C27=0,"Encerrado",IF(L27=0,"Quitado","Aberto"))</x:f>
        <x:v>Aberto</x:v>
      </x:c>
      <x:c r="O27" s="141" t="n">
        <x:f>IF(C27&gt;0,Premissas!$B$35,0)</x:f>
        <x:v>7000</x:v>
      </x:c>
      <x:c r="P27" s="141" t="n">
        <x:f>IF(C27&gt;0,MAX(0,O27-I27),0)</x:f>
        <x:v>6120.416833620374</x:v>
      </x:c>
      <x:c r="Q27" s="141" t="n">
        <x:f>J27-IF(E27-F27&gt;0,MIN(E27-F27,P27),0)</x:f>
        <x:v>0</x:v>
      </x:c>
    </x:row>
    <x:row r="28">
      <x:c r="A28" s="142" t="n">
        <x:v>23</x:v>
      </x:c>
      <x:c r="B28" s="179" t="n">
        <x:f>EDATE(Premissas!$B$4,22)</x:f>
        <x:v>47209</x:v>
      </x:c>
      <x:c r="C28" s="141" t="n">
        <x:f>L27</x:f>
        <x:v>30239.951607870084</x:v>
      </x:c>
      <x:c r="D28" s="141" t="n">
        <x:f>IF(C28&gt;0,C28*Premissas!$B$17,0)</x:f>
        <x:v>0</x:v>
      </x:c>
      <x:c r="E28" s="141" t="n">
        <x:f>C28+D28</x:f>
        <x:v>30239.951607870084</x:v>
      </x:c>
      <x:c r="F28" s="141" t="n">
        <x:f>IF(E28&gt;0,MIN(E28,INDEX(Financiamento!$G$6:$G$485,A28)),0)</x:f>
        <x:v>380.95238095238165</x:v>
      </x:c>
      <x:c r="G28" s="141" t="n">
        <x:f>IF(E28&gt;0,E28*Premissas!$B$15,0)</x:f>
        <x:v>286.94063915889086</x:v>
      </x:c>
      <x:c r="H28" s="141" t="n">
        <x:f>IF(E28&gt;0,Premissas!$B$18,0)</x:f>
        <x:v>150</x:v>
      </x:c>
      <x:c r="I28" s="141" t="n">
        <x:f>F28+G28+H28</x:f>
        <x:v>817.8930201112726</x:v>
      </x:c>
      <x:c r="J28" s="141" t="n">
        <x:f>IF(E28-F28&gt;0,MIN(E28-F28,P28),0)</x:f>
        <x:v>6182.106979888727</x:v>
      </x:c>
      <x:c r="K28" s="141" t="n">
        <x:f>I28+J28</x:f>
        <x:v>7000</x:v>
      </x:c>
      <x:c r="L28" s="141" t="n">
        <x:f>MAX(0,E28-F28-J28)</x:f>
        <x:v>23676.892247028976</x:v>
      </x:c>
      <x:c r="M28" s="141" t="n">
        <x:f>SUM($K$6:K28)</x:f>
        <x:v>161000</x:v>
      </x:c>
      <x:c r="N28" s="140" t="str">
        <x:f>IF(C28=0,"Encerrado",IF(L28=0,"Quitado","Aberto"))</x:f>
        <x:v>Aberto</x:v>
      </x:c>
      <x:c r="O28" s="141" t="n">
        <x:f>IF(C28&gt;0,Premissas!$B$35,0)</x:f>
        <x:v>7000</x:v>
      </x:c>
      <x:c r="P28" s="141" t="n">
        <x:f>IF(C28&gt;0,MAX(0,O28-I28),0)</x:f>
        <x:v>6182.106979888727</x:v>
      </x:c>
      <x:c r="Q28" s="141" t="n">
        <x:f>J28-IF(E28-F28&gt;0,MIN(E28-F28,P28),0)</x:f>
        <x:v>0</x:v>
      </x:c>
    </x:row>
    <x:row r="29">
      <x:c r="A29" s="142" t="n">
        <x:v>24</x:v>
      </x:c>
      <x:c r="B29" s="179" t="n">
        <x:f>EDATE(Premissas!$B$4,23)</x:f>
        <x:v>47239</x:v>
      </x:c>
      <x:c r="C29" s="141" t="n">
        <x:f>L28</x:f>
        <x:v>23676.892247028976</x:v>
      </x:c>
      <x:c r="D29" s="141" t="n">
        <x:f>IF(C29&gt;0,C29*Premissas!$B$17,0)</x:f>
        <x:v>0</x:v>
      </x:c>
      <x:c r="E29" s="141" t="n">
        <x:f>C29+D29</x:f>
        <x:v>23676.892247028976</x:v>
      </x:c>
      <x:c r="F29" s="141" t="n">
        <x:f>IF(E29&gt;0,MIN(E29,INDEX(Financiamento!$G$6:$G$485,A29)),0)</x:f>
        <x:v>380.9523809523816</x:v>
      </x:c>
      <x:c r="G29" s="141" t="n">
        <x:f>IF(E29&gt;0,E29*Premissas!$B$15,0)</x:f>
        <x:v>224.66512786649264</x:v>
      </x:c>
      <x:c r="H29" s="141" t="n">
        <x:f>IF(E29&gt;0,Premissas!$B$18,0)</x:f>
        <x:v>150</x:v>
      </x:c>
      <x:c r="I29" s="141" t="n">
        <x:f>F29+G29+H29</x:f>
        <x:v>755.6175088188743</x:v>
      </x:c>
      <x:c r="J29" s="141" t="n">
        <x:f>IF(E29-F29&gt;0,MIN(E29-F29,P29),0)</x:f>
        <x:v>6244.382491181126</x:v>
      </x:c>
      <x:c r="K29" s="141" t="n">
        <x:f>I29+J29</x:f>
        <x:v>7000</x:v>
      </x:c>
      <x:c r="L29" s="141" t="n">
        <x:f>MAX(0,E29-F29-J29)</x:f>
        <x:v>17051.55737489547</x:v>
      </x:c>
      <x:c r="M29" s="141" t="n">
        <x:f>SUM($K$6:K29)</x:f>
        <x:v>168000</x:v>
      </x:c>
      <x:c r="N29" s="140" t="str">
        <x:f>IF(C29=0,"Encerrado",IF(L29=0,"Quitado","Aberto"))</x:f>
        <x:v>Aberto</x:v>
      </x:c>
      <x:c r="O29" s="141" t="n">
        <x:f>IF(C29&gt;0,Premissas!$B$35,0)</x:f>
        <x:v>7000</x:v>
      </x:c>
      <x:c r="P29" s="141" t="n">
        <x:f>IF(C29&gt;0,MAX(0,O29-I29),0)</x:f>
        <x:v>6244.382491181126</x:v>
      </x:c>
      <x:c r="Q29" s="141" t="n">
        <x:f>J29-IF(E29-F29&gt;0,MIN(E29-F29,P29),0)</x:f>
        <x:v>0</x:v>
      </x:c>
    </x:row>
    <x:row r="30">
      <x:c r="A30" s="142" t="n">
        <x:v>25</x:v>
      </x:c>
      <x:c r="B30" s="179" t="n">
        <x:f>EDATE(Premissas!$B$4,24)</x:f>
        <x:v>47270</x:v>
      </x:c>
      <x:c r="C30" s="141" t="n">
        <x:f>L29</x:f>
        <x:v>17051.55737489547</x:v>
      </x:c>
      <x:c r="D30" s="141" t="n">
        <x:f>IF(C30&gt;0,C30*Premissas!$B$17,0)</x:f>
        <x:v>0</x:v>
      </x:c>
      <x:c r="E30" s="141" t="n">
        <x:f>C30+D30</x:f>
        <x:v>17051.55737489547</x:v>
      </x:c>
      <x:c r="F30" s="141" t="n">
        <x:f>IF(E30&gt;0,MIN(E30,INDEX(Financiamento!$G$6:$G$485,A30)),0)</x:f>
        <x:v>380.95238095238165</x:v>
      </x:c>
      <x:c r="G30" s="141" t="n">
        <x:f>IF(E30&gt;0,E30*Premissas!$B$15,0)</x:f>
        <x:v>161.79869714254556</x:v>
      </x:c>
      <x:c r="H30" s="141" t="n">
        <x:f>IF(E30&gt;0,Premissas!$B$18,0)</x:f>
        <x:v>150</x:v>
      </x:c>
      <x:c r="I30" s="141" t="n">
        <x:f>F30+G30+H30</x:f>
        <x:v>692.7510780949272</x:v>
      </x:c>
      <x:c r="J30" s="141" t="n">
        <x:f>IF(E30-F30&gt;0,MIN(E30-F30,P30),0)</x:f>
        <x:v>6307.248921905073</x:v>
      </x:c>
      <x:c r="K30" s="141" t="n">
        <x:f>I30+J30</x:f>
        <x:v>7000</x:v>
      </x:c>
      <x:c r="L30" s="141" t="n">
        <x:f>MAX(0,E30-F30-J30)</x:f>
        <x:v>10363.356072038016</x:v>
      </x:c>
      <x:c r="M30" s="141" t="n">
        <x:f>SUM($K$6:K30)</x:f>
        <x:v>175000</x:v>
      </x:c>
      <x:c r="N30" s="140" t="str">
        <x:f>IF(C30=0,"Encerrado",IF(L30=0,"Quitado","Aberto"))</x:f>
        <x:v>Aberto</x:v>
      </x:c>
      <x:c r="O30" s="141" t="n">
        <x:f>IF(C30&gt;0,Premissas!$B$35,0)</x:f>
        <x:v>7000</x:v>
      </x:c>
      <x:c r="P30" s="141" t="n">
        <x:f>IF(C30&gt;0,MAX(0,O30-I30),0)</x:f>
        <x:v>6307.248921905073</x:v>
      </x:c>
      <x:c r="Q30" s="141" t="n">
        <x:f>J30-IF(E30-F30&gt;0,MIN(E30-F30,P30),0)</x:f>
        <x:v>0</x:v>
      </x:c>
    </x:row>
    <x:row r="31">
      <x:c r="A31" s="142" t="n">
        <x:v>26</x:v>
      </x:c>
      <x:c r="B31" s="179" t="n">
        <x:f>EDATE(Premissas!$B$4,25)</x:f>
        <x:v>47300</x:v>
      </x:c>
      <x:c r="C31" s="141" t="n">
        <x:f>L30</x:f>
        <x:v>10363.356072038016</x:v>
      </x:c>
      <x:c r="D31" s="141" t="n">
        <x:f>IF(C31&gt;0,C31*Premissas!$B$17,0)</x:f>
        <x:v>0</x:v>
      </x:c>
      <x:c r="E31" s="141" t="n">
        <x:f>C31+D31</x:f>
        <x:v>10363.356072038016</x:v>
      </x:c>
      <x:c r="F31" s="141" t="n">
        <x:f>IF(E31&gt;0,MIN(E31,INDEX(Financiamento!$G$6:$G$485,A31)),0)</x:f>
        <x:v>380.9523809523817</x:v>
      </x:c>
      <x:c r="G31" s="141" t="n">
        <x:f>IF(E31&gt;0,E31*Premissas!$B$15,0)</x:f>
        <x:v>98.33573987492262</x:v>
      </x:c>
      <x:c r="H31" s="141" t="n">
        <x:f>IF(E31&gt;0,Premissas!$B$18,0)</x:f>
        <x:v>150</x:v>
      </x:c>
      <x:c r="I31" s="141" t="n">
        <x:f>F31+G31+H31</x:f>
        <x:v>629.2881208273043</x:v>
      </x:c>
      <x:c r="J31" s="141" t="n">
        <x:f>IF(E31-F31&gt;0,MIN(E31-F31,P31),0)</x:f>
        <x:v>6370.711879172695</x:v>
      </x:c>
      <x:c r="K31" s="141" t="n">
        <x:f>I31+J31</x:f>
        <x:v>7000</x:v>
      </x:c>
      <x:c r="L31" s="141" t="n">
        <x:f>MAX(0,E31-F31-J31)</x:f>
        <x:v>3611.6918119129386</x:v>
      </x:c>
      <x:c r="M31" s="141" t="n">
        <x:f>SUM($K$6:K31)</x:f>
        <x:v>182000</x:v>
      </x:c>
      <x:c r="N31" s="140" t="str">
        <x:f>IF(C31=0,"Encerrado",IF(L31=0,"Quitado","Aberto"))</x:f>
        <x:v>Aberto</x:v>
      </x:c>
      <x:c r="O31" s="141" t="n">
        <x:f>IF(C31&gt;0,Premissas!$B$35,0)</x:f>
        <x:v>7000</x:v>
      </x:c>
      <x:c r="P31" s="141" t="n">
        <x:f>IF(C31&gt;0,MAX(0,O31-I31),0)</x:f>
        <x:v>6370.711879172695</x:v>
      </x:c>
      <x:c r="Q31" s="141" t="n">
        <x:f>J31-IF(E31-F31&gt;0,MIN(E31-F31,P31),0)</x:f>
        <x:v>0</x:v>
      </x:c>
    </x:row>
    <x:row r="32">
      <x:c r="A32" s="142" t="n">
        <x:v>27</x:v>
      </x:c>
      <x:c r="B32" s="179" t="n">
        <x:f>EDATE(Premissas!$B$4,26)</x:f>
        <x:v>47331</x:v>
      </x:c>
      <x:c r="C32" s="141" t="n">
        <x:f>L31</x:f>
        <x:v>3611.6918119129386</x:v>
      </x:c>
      <x:c r="D32" s="141" t="n">
        <x:f>IF(C32&gt;0,C32*Premissas!$B$17,0)</x:f>
        <x:v>0</x:v>
      </x:c>
      <x:c r="E32" s="141" t="n">
        <x:f>C32+D32</x:f>
        <x:v>3611.6918119129386</x:v>
      </x:c>
      <x:c r="F32" s="141" t="n">
        <x:f>IF(E32&gt;0,MIN(E32,INDEX(Financiamento!$G$6:$G$485,A32)),0)</x:f>
        <x:v>380.95238095238165</x:v>
      </x:c>
      <x:c r="G32" s="141" t="n">
        <x:f>IF(E32&gt;0,E32*Premissas!$B$15,0)</x:f>
        <x:v>34.27059574677093</x:v>
      </x:c>
      <x:c r="H32" s="141" t="n">
        <x:f>IF(E32&gt;0,Premissas!$B$18,0)</x:f>
        <x:v>150</x:v>
      </x:c>
      <x:c r="I32" s="141" t="n">
        <x:f>F32+G32+H32</x:f>
        <x:v>565.2229766991526</x:v>
      </x:c>
      <x:c r="J32" s="141" t="n">
        <x:f>IF(E32-F32&gt;0,MIN(E32-F32,P32),0)</x:f>
        <x:v>3230.739430960557</x:v>
      </x:c>
      <x:c r="K32" s="141" t="n">
        <x:f>I32+J32</x:f>
        <x:v>3795.9624076597097</x:v>
      </x:c>
      <x:c r="L32" s="141" t="n">
        <x:f>MAX(0,E32-F32-J32)</x:f>
        <x:v>0</x:v>
      </x:c>
      <x:c r="M32" s="141" t="n">
        <x:f>SUM($K$6:K32)</x:f>
        <x:v>185795.9624076597</x:v>
      </x:c>
      <x:c r="N32" s="140" t="str">
        <x:f>IF(C32=0,"Encerrado",IF(L32=0,"Quitado","Aberto"))</x:f>
        <x:v>Quitado</x:v>
      </x:c>
      <x:c r="O32" s="141" t="n">
        <x:f>IF(C32&gt;0,Premissas!$B$35,0)</x:f>
        <x:v>7000</x:v>
      </x:c>
      <x:c r="P32" s="141" t="n">
        <x:f>IF(C32&gt;0,MAX(0,O32-I32),0)</x:f>
        <x:v>6434.777023300848</x:v>
      </x:c>
      <x:c r="Q32" s="141" t="n">
        <x:f>J32-IF(E32-F32&gt;0,MIN(E32-F32,P32),0)</x:f>
        <x:v>0</x:v>
      </x:c>
    </x:row>
    <x:row r="33">
      <x:c r="A33" s="142" t="n">
        <x:v>28</x:v>
      </x:c>
      <x:c r="B33" s="179" t="n">
        <x:f>EDATE(Premissas!$B$4,27)</x:f>
        <x:v>47362</x:v>
      </x:c>
      <x:c r="C33" s="141" t="n">
        <x:f>L32</x:f>
        <x:v>0</x:v>
      </x:c>
      <x:c r="D33" s="141" t="n">
        <x:f>IF(C33&gt;0,C33*Premissas!$B$17,0)</x:f>
        <x:v>0</x:v>
      </x:c>
      <x:c r="E33" s="141" t="n">
        <x:f>C33+D33</x:f>
        <x:v>0</x:v>
      </x:c>
      <x:c r="F33" s="141" t="n">
        <x:f>IF(E33&gt;0,MIN(E33,INDEX(Financiamento!$G$6:$G$485,A33)),0)</x:f>
        <x:v>0</x:v>
      </x:c>
      <x:c r="G33" s="141" t="n">
        <x:f>IF(E33&gt;0,E33*Premissas!$B$15,0)</x:f>
        <x:v>0</x:v>
      </x:c>
      <x:c r="H33" s="141" t="n">
        <x:f>IF(E33&gt;0,Premissas!$B$18,0)</x:f>
        <x:v>0</x:v>
      </x:c>
      <x:c r="I33" s="141" t="n">
        <x:f>F33+G33+H33</x:f>
        <x:v>0</x:v>
      </x:c>
      <x:c r="J33" s="141" t="n">
        <x:f>IF(E33-F33&gt;0,MIN(E33-F33,P33),0)</x:f>
        <x:v>0</x:v>
      </x:c>
      <x:c r="K33" s="141" t="n">
        <x:f>I33+J33</x:f>
        <x:v>0</x:v>
      </x:c>
      <x:c r="L33" s="141" t="n">
        <x:f>MAX(0,E33-F33-J33)</x:f>
        <x:v>0</x:v>
      </x:c>
      <x:c r="M33" s="141" t="n">
        <x:f>SUM($K$6:K33)</x:f>
        <x:v>185795.9624076597</x:v>
      </x:c>
      <x:c r="N33" s="140" t="str">
        <x:f>IF(C33=0,"Encerrado",IF(L33=0,"Quitado","Aberto"))</x:f>
        <x:v>Encerrado</x:v>
      </x:c>
      <x:c r="O33" s="141" t="n">
        <x:f>IF(C33&gt;0,Premissas!$B$35,0)</x:f>
        <x:v>0</x:v>
      </x:c>
      <x:c r="P33" s="141" t="n">
        <x:f>IF(C33&gt;0,MAX(0,O33-I33),0)</x:f>
        <x:v>0</x:v>
      </x:c>
      <x:c r="Q33" s="141" t="n">
        <x:f>J33-IF(E33-F33&gt;0,MIN(E33-F33,P33),0)</x:f>
        <x:v>0</x:v>
      </x:c>
    </x:row>
    <x:row r="34">
      <x:c r="A34" s="142" t="n">
        <x:v>29</x:v>
      </x:c>
      <x:c r="B34" s="179" t="n">
        <x:f>EDATE(Premissas!$B$4,28)</x:f>
        <x:v>47392</x:v>
      </x:c>
      <x:c r="C34" s="141" t="n">
        <x:f>L33</x:f>
        <x:v>0</x:v>
      </x:c>
      <x:c r="D34" s="141" t="n">
        <x:f>IF(C34&gt;0,C34*Premissas!$B$17,0)</x:f>
        <x:v>0</x:v>
      </x:c>
      <x:c r="E34" s="141" t="n">
        <x:f>C34+D34</x:f>
        <x:v>0</x:v>
      </x:c>
      <x:c r="F34" s="141" t="n">
        <x:f>IF(E34&gt;0,MIN(E34,INDEX(Financiamento!$G$6:$G$485,A34)),0)</x:f>
        <x:v>0</x:v>
      </x:c>
      <x:c r="G34" s="141" t="n">
        <x:f>IF(E34&gt;0,E34*Premissas!$B$15,0)</x:f>
        <x:v>0</x:v>
      </x:c>
      <x:c r="H34" s="141" t="n">
        <x:f>IF(E34&gt;0,Premissas!$B$18,0)</x:f>
        <x:v>0</x:v>
      </x:c>
      <x:c r="I34" s="141" t="n">
        <x:f>F34+G34+H34</x:f>
        <x:v>0</x:v>
      </x:c>
      <x:c r="J34" s="141" t="n">
        <x:f>IF(E34-F34&gt;0,MIN(E34-F34,P34),0)</x:f>
        <x:v>0</x:v>
      </x:c>
      <x:c r="K34" s="141" t="n">
        <x:f>I34+J34</x:f>
        <x:v>0</x:v>
      </x:c>
      <x:c r="L34" s="141" t="n">
        <x:f>MAX(0,E34-F34-J34)</x:f>
        <x:v>0</x:v>
      </x:c>
      <x:c r="M34" s="141" t="n">
        <x:f>SUM($K$6:K34)</x:f>
        <x:v>185795.9624076597</x:v>
      </x:c>
      <x:c r="N34" s="140" t="str">
        <x:f>IF(C34=0,"Encerrado",IF(L34=0,"Quitado","Aberto"))</x:f>
        <x:v>Encerrado</x:v>
      </x:c>
      <x:c r="O34" s="141" t="n">
        <x:f>IF(C34&gt;0,Premissas!$B$35,0)</x:f>
        <x:v>0</x:v>
      </x:c>
      <x:c r="P34" s="141" t="n">
        <x:f>IF(C34&gt;0,MAX(0,O34-I34),0)</x:f>
        <x:v>0</x:v>
      </x:c>
      <x:c r="Q34" s="141" t="n">
        <x:f>J34-IF(E34-F34&gt;0,MIN(E34-F34,P34),0)</x:f>
        <x:v>0</x:v>
      </x:c>
    </x:row>
    <x:row r="35">
      <x:c r="A35" s="142" t="n">
        <x:v>30</x:v>
      </x:c>
      <x:c r="B35" s="179" t="n">
        <x:f>EDATE(Premissas!$B$4,29)</x:f>
        <x:v>47423</x:v>
      </x:c>
      <x:c r="C35" s="141" t="n">
        <x:f>L34</x:f>
        <x:v>0</x:v>
      </x:c>
      <x:c r="D35" s="141" t="n">
        <x:f>IF(C35&gt;0,C35*Premissas!$B$17,0)</x:f>
        <x:v>0</x:v>
      </x:c>
      <x:c r="E35" s="141" t="n">
        <x:f>C35+D35</x:f>
        <x:v>0</x:v>
      </x:c>
      <x:c r="F35" s="141" t="n">
        <x:f>IF(E35&gt;0,MIN(E35,INDEX(Financiamento!$G$6:$G$485,A35)),0)</x:f>
        <x:v>0</x:v>
      </x:c>
      <x:c r="G35" s="141" t="n">
        <x:f>IF(E35&gt;0,E35*Premissas!$B$15,0)</x:f>
        <x:v>0</x:v>
      </x:c>
      <x:c r="H35" s="141" t="n">
        <x:f>IF(E35&gt;0,Premissas!$B$18,0)</x:f>
        <x:v>0</x:v>
      </x:c>
      <x:c r="I35" s="141" t="n">
        <x:f>F35+G35+H35</x:f>
        <x:v>0</x:v>
      </x:c>
      <x:c r="J35" s="141" t="n">
        <x:f>IF(E35-F35&gt;0,MIN(E35-F35,P35),0)</x:f>
        <x:v>0</x:v>
      </x:c>
      <x:c r="K35" s="141" t="n">
        <x:f>I35+J35</x:f>
        <x:v>0</x:v>
      </x:c>
      <x:c r="L35" s="141" t="n">
        <x:f>MAX(0,E35-F35-J35)</x:f>
        <x:v>0</x:v>
      </x:c>
      <x:c r="M35" s="141" t="n">
        <x:f>SUM($K$6:K35)</x:f>
        <x:v>185795.9624076597</x:v>
      </x:c>
      <x:c r="N35" s="140" t="str">
        <x:f>IF(C35=0,"Encerrado",IF(L35=0,"Quitado","Aberto"))</x:f>
        <x:v>Encerrado</x:v>
      </x:c>
      <x:c r="O35" s="141" t="n">
        <x:f>IF(C35&gt;0,Premissas!$B$35,0)</x:f>
        <x:v>0</x:v>
      </x:c>
      <x:c r="P35" s="141" t="n">
        <x:f>IF(C35&gt;0,MAX(0,O35-I35),0)</x:f>
        <x:v>0</x:v>
      </x:c>
      <x:c r="Q35" s="141" t="n">
        <x:f>J35-IF(E35-F35&gt;0,MIN(E35-F35,P35),0)</x:f>
        <x:v>0</x:v>
      </x:c>
    </x:row>
    <x:row r="36">
      <x:c r="A36" s="142" t="n">
        <x:v>31</x:v>
      </x:c>
      <x:c r="B36" s="179" t="n">
        <x:f>EDATE(Premissas!$B$4,30)</x:f>
        <x:v>47453</x:v>
      </x:c>
      <x:c r="C36" s="141" t="n">
        <x:f>L35</x:f>
        <x:v>0</x:v>
      </x:c>
      <x:c r="D36" s="141" t="n">
        <x:f>IF(C36&gt;0,C36*Premissas!$B$17,0)</x:f>
        <x:v>0</x:v>
      </x:c>
      <x:c r="E36" s="141" t="n">
        <x:f>C36+D36</x:f>
        <x:v>0</x:v>
      </x:c>
      <x:c r="F36" s="141" t="n">
        <x:f>IF(E36&gt;0,MIN(E36,INDEX(Financiamento!$G$6:$G$485,A36)),0)</x:f>
        <x:v>0</x:v>
      </x:c>
      <x:c r="G36" s="141" t="n">
        <x:f>IF(E36&gt;0,E36*Premissas!$B$15,0)</x:f>
        <x:v>0</x:v>
      </x:c>
      <x:c r="H36" s="141" t="n">
        <x:f>IF(E36&gt;0,Premissas!$B$18,0)</x:f>
        <x:v>0</x:v>
      </x:c>
      <x:c r="I36" s="141" t="n">
        <x:f>F36+G36+H36</x:f>
        <x:v>0</x:v>
      </x:c>
      <x:c r="J36" s="141" t="n">
        <x:f>IF(E36-F36&gt;0,MIN(E36-F36,P36),0)</x:f>
        <x:v>0</x:v>
      </x:c>
      <x:c r="K36" s="141" t="n">
        <x:f>I36+J36</x:f>
        <x:v>0</x:v>
      </x:c>
      <x:c r="L36" s="141" t="n">
        <x:f>MAX(0,E36-F36-J36)</x:f>
        <x:v>0</x:v>
      </x:c>
      <x:c r="M36" s="141" t="n">
        <x:f>SUM($K$6:K36)</x:f>
        <x:v>185795.9624076597</x:v>
      </x:c>
      <x:c r="N36" s="140" t="str">
        <x:f>IF(C36=0,"Encerrado",IF(L36=0,"Quitado","Aberto"))</x:f>
        <x:v>Encerrado</x:v>
      </x:c>
      <x:c r="O36" s="141" t="n">
        <x:f>IF(C36&gt;0,Premissas!$B$35,0)</x:f>
        <x:v>0</x:v>
      </x:c>
      <x:c r="P36" s="141" t="n">
        <x:f>IF(C36&gt;0,MAX(0,O36-I36),0)</x:f>
        <x:v>0</x:v>
      </x:c>
      <x:c r="Q36" s="141" t="n">
        <x:f>J36-IF(E36-F36&gt;0,MIN(E36-F36,P36),0)</x:f>
        <x:v>0</x:v>
      </x:c>
    </x:row>
    <x:row r="37">
      <x:c r="A37" s="142" t="n">
        <x:v>32</x:v>
      </x:c>
      <x:c r="B37" s="179" t="n">
        <x:f>EDATE(Premissas!$B$4,31)</x:f>
        <x:v>47484</x:v>
      </x:c>
      <x:c r="C37" s="141" t="n">
        <x:f>L36</x:f>
        <x:v>0</x:v>
      </x:c>
      <x:c r="D37" s="141" t="n">
        <x:f>IF(C37&gt;0,C37*Premissas!$B$17,0)</x:f>
        <x:v>0</x:v>
      </x:c>
      <x:c r="E37" s="141" t="n">
        <x:f>C37+D37</x:f>
        <x:v>0</x:v>
      </x:c>
      <x:c r="F37" s="141" t="n">
        <x:f>IF(E37&gt;0,MIN(E37,INDEX(Financiamento!$G$6:$G$485,A37)),0)</x:f>
        <x:v>0</x:v>
      </x:c>
      <x:c r="G37" s="141" t="n">
        <x:f>IF(E37&gt;0,E37*Premissas!$B$15,0)</x:f>
        <x:v>0</x:v>
      </x:c>
      <x:c r="H37" s="141" t="n">
        <x:f>IF(E37&gt;0,Premissas!$B$18,0)</x:f>
        <x:v>0</x:v>
      </x:c>
      <x:c r="I37" s="141" t="n">
        <x:f>F37+G37+H37</x:f>
        <x:v>0</x:v>
      </x:c>
      <x:c r="J37" s="141" t="n">
        <x:f>IF(E37-F37&gt;0,MIN(E37-F37,P37),0)</x:f>
        <x:v>0</x:v>
      </x:c>
      <x:c r="K37" s="141" t="n">
        <x:f>I37+J37</x:f>
        <x:v>0</x:v>
      </x:c>
      <x:c r="L37" s="141" t="n">
        <x:f>MAX(0,E37-F37-J37)</x:f>
        <x:v>0</x:v>
      </x:c>
      <x:c r="M37" s="141" t="n">
        <x:f>SUM($K$6:K37)</x:f>
        <x:v>185795.9624076597</x:v>
      </x:c>
      <x:c r="N37" s="140" t="str">
        <x:f>IF(C37=0,"Encerrado",IF(L37=0,"Quitado","Aberto"))</x:f>
        <x:v>Encerrado</x:v>
      </x:c>
      <x:c r="O37" s="141" t="n">
        <x:f>IF(C37&gt;0,Premissas!$B$35,0)</x:f>
        <x:v>0</x:v>
      </x:c>
      <x:c r="P37" s="141" t="n">
        <x:f>IF(C37&gt;0,MAX(0,O37-I37),0)</x:f>
        <x:v>0</x:v>
      </x:c>
      <x:c r="Q37" s="141" t="n">
        <x:f>J37-IF(E37-F37&gt;0,MIN(E37-F37,P37),0)</x:f>
        <x:v>0</x:v>
      </x:c>
    </x:row>
    <x:row r="38">
      <x:c r="A38" s="142" t="n">
        <x:v>33</x:v>
      </x:c>
      <x:c r="B38" s="179" t="n">
        <x:f>EDATE(Premissas!$B$4,32)</x:f>
        <x:v>47515</x:v>
      </x:c>
      <x:c r="C38" s="141" t="n">
        <x:f>L37</x:f>
        <x:v>0</x:v>
      </x:c>
      <x:c r="D38" s="141" t="n">
        <x:f>IF(C38&gt;0,C38*Premissas!$B$17,0)</x:f>
        <x:v>0</x:v>
      </x:c>
      <x:c r="E38" s="141" t="n">
        <x:f>C38+D38</x:f>
        <x:v>0</x:v>
      </x:c>
      <x:c r="F38" s="141" t="n">
        <x:f>IF(E38&gt;0,MIN(E38,INDEX(Financiamento!$G$6:$G$485,A38)),0)</x:f>
        <x:v>0</x:v>
      </x:c>
      <x:c r="G38" s="141" t="n">
        <x:f>IF(E38&gt;0,E38*Premissas!$B$15,0)</x:f>
        <x:v>0</x:v>
      </x:c>
      <x:c r="H38" s="141" t="n">
        <x:f>IF(E38&gt;0,Premissas!$B$18,0)</x:f>
        <x:v>0</x:v>
      </x:c>
      <x:c r="I38" s="141" t="n">
        <x:f>F38+G38+H38</x:f>
        <x:v>0</x:v>
      </x:c>
      <x:c r="J38" s="141" t="n">
        <x:f>IF(E38-F38&gt;0,MIN(E38-F38,P38),0)</x:f>
        <x:v>0</x:v>
      </x:c>
      <x:c r="K38" s="141" t="n">
        <x:f>I38+J38</x:f>
        <x:v>0</x:v>
      </x:c>
      <x:c r="L38" s="141" t="n">
        <x:f>MAX(0,E38-F38-J38)</x:f>
        <x:v>0</x:v>
      </x:c>
      <x:c r="M38" s="141" t="n">
        <x:f>SUM($K$6:K38)</x:f>
        <x:v>185795.9624076597</x:v>
      </x:c>
      <x:c r="N38" s="140" t="str">
        <x:f>IF(C38=0,"Encerrado",IF(L38=0,"Quitado","Aberto"))</x:f>
        <x:v>Encerrado</x:v>
      </x:c>
      <x:c r="O38" s="141" t="n">
        <x:f>IF(C38&gt;0,Premissas!$B$35,0)</x:f>
        <x:v>0</x:v>
      </x:c>
      <x:c r="P38" s="141" t="n">
        <x:f>IF(C38&gt;0,MAX(0,O38-I38),0)</x:f>
        <x:v>0</x:v>
      </x:c>
      <x:c r="Q38" s="141" t="n">
        <x:f>J38-IF(E38-F38&gt;0,MIN(E38-F38,P38),0)</x:f>
        <x:v>0</x:v>
      </x:c>
    </x:row>
    <x:row r="39">
      <x:c r="A39" s="142" t="n">
        <x:v>34</x:v>
      </x:c>
      <x:c r="B39" s="179" t="n">
        <x:f>EDATE(Premissas!$B$4,33)</x:f>
        <x:v>47543</x:v>
      </x:c>
      <x:c r="C39" s="141" t="n">
        <x:f>L38</x:f>
        <x:v>0</x:v>
      </x:c>
      <x:c r="D39" s="141" t="n">
        <x:f>IF(C39&gt;0,C39*Premissas!$B$17,0)</x:f>
        <x:v>0</x:v>
      </x:c>
      <x:c r="E39" s="141" t="n">
        <x:f>C39+D39</x:f>
        <x:v>0</x:v>
      </x:c>
      <x:c r="F39" s="141" t="n">
        <x:f>IF(E39&gt;0,MIN(E39,INDEX(Financiamento!$G$6:$G$485,A39)),0)</x:f>
        <x:v>0</x:v>
      </x:c>
      <x:c r="G39" s="141" t="n">
        <x:f>IF(E39&gt;0,E39*Premissas!$B$15,0)</x:f>
        <x:v>0</x:v>
      </x:c>
      <x:c r="H39" s="141" t="n">
        <x:f>IF(E39&gt;0,Premissas!$B$18,0)</x:f>
        <x:v>0</x:v>
      </x:c>
      <x:c r="I39" s="141" t="n">
        <x:f>F39+G39+H39</x:f>
        <x:v>0</x:v>
      </x:c>
      <x:c r="J39" s="141" t="n">
        <x:f>IF(E39-F39&gt;0,MIN(E39-F39,P39),0)</x:f>
        <x:v>0</x:v>
      </x:c>
      <x:c r="K39" s="141" t="n">
        <x:f>I39+J39</x:f>
        <x:v>0</x:v>
      </x:c>
      <x:c r="L39" s="141" t="n">
        <x:f>MAX(0,E39-F39-J39)</x:f>
        <x:v>0</x:v>
      </x:c>
      <x:c r="M39" s="141" t="n">
        <x:f>SUM($K$6:K39)</x:f>
        <x:v>185795.9624076597</x:v>
      </x:c>
      <x:c r="N39" s="140" t="str">
        <x:f>IF(C39=0,"Encerrado",IF(L39=0,"Quitado","Aberto"))</x:f>
        <x:v>Encerrado</x:v>
      </x:c>
      <x:c r="O39" s="141" t="n">
        <x:f>IF(C39&gt;0,Premissas!$B$35,0)</x:f>
        <x:v>0</x:v>
      </x:c>
      <x:c r="P39" s="141" t="n">
        <x:f>IF(C39&gt;0,MAX(0,O39-I39),0)</x:f>
        <x:v>0</x:v>
      </x:c>
      <x:c r="Q39" s="141" t="n">
        <x:f>J39-IF(E39-F39&gt;0,MIN(E39-F39,P39),0)</x:f>
        <x:v>0</x:v>
      </x:c>
    </x:row>
    <x:row r="40">
      <x:c r="A40" s="142" t="n">
        <x:v>35</x:v>
      </x:c>
      <x:c r="B40" s="179" t="n">
        <x:f>EDATE(Premissas!$B$4,34)</x:f>
        <x:v>47574</x:v>
      </x:c>
      <x:c r="C40" s="141" t="n">
        <x:f>L39</x:f>
        <x:v>0</x:v>
      </x:c>
      <x:c r="D40" s="141" t="n">
        <x:f>IF(C40&gt;0,C40*Premissas!$B$17,0)</x:f>
        <x:v>0</x:v>
      </x:c>
      <x:c r="E40" s="141" t="n">
        <x:f>C40+D40</x:f>
        <x:v>0</x:v>
      </x:c>
      <x:c r="F40" s="141" t="n">
        <x:f>IF(E40&gt;0,MIN(E40,INDEX(Financiamento!$G$6:$G$485,A40)),0)</x:f>
        <x:v>0</x:v>
      </x:c>
      <x:c r="G40" s="141" t="n">
        <x:f>IF(E40&gt;0,E40*Premissas!$B$15,0)</x:f>
        <x:v>0</x:v>
      </x:c>
      <x:c r="H40" s="141" t="n">
        <x:f>IF(E40&gt;0,Premissas!$B$18,0)</x:f>
        <x:v>0</x:v>
      </x:c>
      <x:c r="I40" s="141" t="n">
        <x:f>F40+G40+H40</x:f>
        <x:v>0</x:v>
      </x:c>
      <x:c r="J40" s="141" t="n">
        <x:f>IF(E40-F40&gt;0,MIN(E40-F40,P40),0)</x:f>
        <x:v>0</x:v>
      </x:c>
      <x:c r="K40" s="141" t="n">
        <x:f>I40+J40</x:f>
        <x:v>0</x:v>
      </x:c>
      <x:c r="L40" s="141" t="n">
        <x:f>MAX(0,E40-F40-J40)</x:f>
        <x:v>0</x:v>
      </x:c>
      <x:c r="M40" s="141" t="n">
        <x:f>SUM($K$6:K40)</x:f>
        <x:v>185795.9624076597</x:v>
      </x:c>
      <x:c r="N40" s="140" t="str">
        <x:f>IF(C40=0,"Encerrado",IF(L40=0,"Quitado","Aberto"))</x:f>
        <x:v>Encerrado</x:v>
      </x:c>
      <x:c r="O40" s="141" t="n">
        <x:f>IF(C40&gt;0,Premissas!$B$35,0)</x:f>
        <x:v>0</x:v>
      </x:c>
      <x:c r="P40" s="141" t="n">
        <x:f>IF(C40&gt;0,MAX(0,O40-I40),0)</x:f>
        <x:v>0</x:v>
      </x:c>
      <x:c r="Q40" s="141" t="n">
        <x:f>J40-IF(E40-F40&gt;0,MIN(E40-F40,P40),0)</x:f>
        <x:v>0</x:v>
      </x:c>
    </x:row>
    <x:row r="41">
      <x:c r="A41" s="142" t="n">
        <x:v>36</x:v>
      </x:c>
      <x:c r="B41" s="179" t="n">
        <x:f>EDATE(Premissas!$B$4,35)</x:f>
        <x:v>47604</x:v>
      </x:c>
      <x:c r="C41" s="141" t="n">
        <x:f>L40</x:f>
        <x:v>0</x:v>
      </x:c>
      <x:c r="D41" s="141" t="n">
        <x:f>IF(C41&gt;0,C41*Premissas!$B$17,0)</x:f>
        <x:v>0</x:v>
      </x:c>
      <x:c r="E41" s="141" t="n">
        <x:f>C41+D41</x:f>
        <x:v>0</x:v>
      </x:c>
      <x:c r="F41" s="141" t="n">
        <x:f>IF(E41&gt;0,MIN(E41,INDEX(Financiamento!$G$6:$G$485,A41)),0)</x:f>
        <x:v>0</x:v>
      </x:c>
      <x:c r="G41" s="141" t="n">
        <x:f>IF(E41&gt;0,E41*Premissas!$B$15,0)</x:f>
        <x:v>0</x:v>
      </x:c>
      <x:c r="H41" s="141" t="n">
        <x:f>IF(E41&gt;0,Premissas!$B$18,0)</x:f>
        <x:v>0</x:v>
      </x:c>
      <x:c r="I41" s="141" t="n">
        <x:f>F41+G41+H41</x:f>
        <x:v>0</x:v>
      </x:c>
      <x:c r="J41" s="141" t="n">
        <x:f>IF(E41-F41&gt;0,MIN(E41-F41,P41),0)</x:f>
        <x:v>0</x:v>
      </x:c>
      <x:c r="K41" s="141" t="n">
        <x:f>I41+J41</x:f>
        <x:v>0</x:v>
      </x:c>
      <x:c r="L41" s="141" t="n">
        <x:f>MAX(0,E41-F41-J41)</x:f>
        <x:v>0</x:v>
      </x:c>
      <x:c r="M41" s="141" t="n">
        <x:f>SUM($K$6:K41)</x:f>
        <x:v>185795.9624076597</x:v>
      </x:c>
      <x:c r="N41" s="140" t="str">
        <x:f>IF(C41=0,"Encerrado",IF(L41=0,"Quitado","Aberto"))</x:f>
        <x:v>Encerrado</x:v>
      </x:c>
      <x:c r="O41" s="141" t="n">
        <x:f>IF(C41&gt;0,Premissas!$B$35,0)</x:f>
        <x:v>0</x:v>
      </x:c>
      <x:c r="P41" s="141" t="n">
        <x:f>IF(C41&gt;0,MAX(0,O41-I41),0)</x:f>
        <x:v>0</x:v>
      </x:c>
      <x:c r="Q41" s="141" t="n">
        <x:f>J41-IF(E41-F41&gt;0,MIN(E41-F41,P41),0)</x:f>
        <x:v>0</x:v>
      </x:c>
    </x:row>
    <x:row r="42">
      <x:c r="A42" s="142" t="n">
        <x:v>37</x:v>
      </x:c>
      <x:c r="B42" s="179" t="n">
        <x:f>EDATE(Premissas!$B$4,36)</x:f>
        <x:v>47635</x:v>
      </x:c>
      <x:c r="C42" s="141" t="n">
        <x:f>L41</x:f>
        <x:v>0</x:v>
      </x:c>
      <x:c r="D42" s="141" t="n">
        <x:f>IF(C42&gt;0,C42*Premissas!$B$17,0)</x:f>
        <x:v>0</x:v>
      </x:c>
      <x:c r="E42" s="141" t="n">
        <x:f>C42+D42</x:f>
        <x:v>0</x:v>
      </x:c>
      <x:c r="F42" s="141" t="n">
        <x:f>IF(E42&gt;0,MIN(E42,INDEX(Financiamento!$G$6:$G$485,A42)),0)</x:f>
        <x:v>0</x:v>
      </x:c>
      <x:c r="G42" s="141" t="n">
        <x:f>IF(E42&gt;0,E42*Premissas!$B$15,0)</x:f>
        <x:v>0</x:v>
      </x:c>
      <x:c r="H42" s="141" t="n">
        <x:f>IF(E42&gt;0,Premissas!$B$18,0)</x:f>
        <x:v>0</x:v>
      </x:c>
      <x:c r="I42" s="141" t="n">
        <x:f>F42+G42+H42</x:f>
        <x:v>0</x:v>
      </x:c>
      <x:c r="J42" s="141" t="n">
        <x:f>IF(E42-F42&gt;0,MIN(E42-F42,P42),0)</x:f>
        <x:v>0</x:v>
      </x:c>
      <x:c r="K42" s="141" t="n">
        <x:f>I42+J42</x:f>
        <x:v>0</x:v>
      </x:c>
      <x:c r="L42" s="141" t="n">
        <x:f>MAX(0,E42-F42-J42)</x:f>
        <x:v>0</x:v>
      </x:c>
      <x:c r="M42" s="141" t="n">
        <x:f>SUM($K$6:K42)</x:f>
        <x:v>185795.9624076597</x:v>
      </x:c>
      <x:c r="N42" s="140" t="str">
        <x:f>IF(C42=0,"Encerrado",IF(L42=0,"Quitado","Aberto"))</x:f>
        <x:v>Encerrado</x:v>
      </x:c>
      <x:c r="O42" s="141" t="n">
        <x:f>IF(C42&gt;0,Premissas!$B$35,0)</x:f>
        <x:v>0</x:v>
      </x:c>
      <x:c r="P42" s="141" t="n">
        <x:f>IF(C42&gt;0,MAX(0,O42-I42),0)</x:f>
        <x:v>0</x:v>
      </x:c>
      <x:c r="Q42" s="141" t="n">
        <x:f>J42-IF(E42-F42&gt;0,MIN(E42-F42,P42),0)</x:f>
        <x:v>0</x:v>
      </x:c>
    </x:row>
    <x:row r="43">
      <x:c r="A43" s="142" t="n">
        <x:v>38</x:v>
      </x:c>
      <x:c r="B43" s="179" t="n">
        <x:f>EDATE(Premissas!$B$4,37)</x:f>
        <x:v>47665</x:v>
      </x:c>
      <x:c r="C43" s="141" t="n">
        <x:f>L42</x:f>
        <x:v>0</x:v>
      </x:c>
      <x:c r="D43" s="141" t="n">
        <x:f>IF(C43&gt;0,C43*Premissas!$B$17,0)</x:f>
        <x:v>0</x:v>
      </x:c>
      <x:c r="E43" s="141" t="n">
        <x:f>C43+D43</x:f>
        <x:v>0</x:v>
      </x:c>
      <x:c r="F43" s="141" t="n">
        <x:f>IF(E43&gt;0,MIN(E43,INDEX(Financiamento!$G$6:$G$485,A43)),0)</x:f>
        <x:v>0</x:v>
      </x:c>
      <x:c r="G43" s="141" t="n">
        <x:f>IF(E43&gt;0,E43*Premissas!$B$15,0)</x:f>
        <x:v>0</x:v>
      </x:c>
      <x:c r="H43" s="141" t="n">
        <x:f>IF(E43&gt;0,Premissas!$B$18,0)</x:f>
        <x:v>0</x:v>
      </x:c>
      <x:c r="I43" s="141" t="n">
        <x:f>F43+G43+H43</x:f>
        <x:v>0</x:v>
      </x:c>
      <x:c r="J43" s="141" t="n">
        <x:f>IF(E43-F43&gt;0,MIN(E43-F43,P43),0)</x:f>
        <x:v>0</x:v>
      </x:c>
      <x:c r="K43" s="141" t="n">
        <x:f>I43+J43</x:f>
        <x:v>0</x:v>
      </x:c>
      <x:c r="L43" s="141" t="n">
        <x:f>MAX(0,E43-F43-J43)</x:f>
        <x:v>0</x:v>
      </x:c>
      <x:c r="M43" s="141" t="n">
        <x:f>SUM($K$6:K43)</x:f>
        <x:v>185795.9624076597</x:v>
      </x:c>
      <x:c r="N43" s="140" t="str">
        <x:f>IF(C43=0,"Encerrado",IF(L43=0,"Quitado","Aberto"))</x:f>
        <x:v>Encerrado</x:v>
      </x:c>
      <x:c r="O43" s="141" t="n">
        <x:f>IF(C43&gt;0,Premissas!$B$35,0)</x:f>
        <x:v>0</x:v>
      </x:c>
      <x:c r="P43" s="141" t="n">
        <x:f>IF(C43&gt;0,MAX(0,O43-I43),0)</x:f>
        <x:v>0</x:v>
      </x:c>
      <x:c r="Q43" s="141" t="n">
        <x:f>J43-IF(E43-F43&gt;0,MIN(E43-F43,P43),0)</x:f>
        <x:v>0</x:v>
      </x:c>
    </x:row>
    <x:row r="44">
      <x:c r="A44" s="142" t="n">
        <x:v>39</x:v>
      </x:c>
      <x:c r="B44" s="179" t="n">
        <x:f>EDATE(Premissas!$B$4,38)</x:f>
        <x:v>47696</x:v>
      </x:c>
      <x:c r="C44" s="141" t="n">
        <x:f>L43</x:f>
        <x:v>0</x:v>
      </x:c>
      <x:c r="D44" s="141" t="n">
        <x:f>IF(C44&gt;0,C44*Premissas!$B$17,0)</x:f>
        <x:v>0</x:v>
      </x:c>
      <x:c r="E44" s="141" t="n">
        <x:f>C44+D44</x:f>
        <x:v>0</x:v>
      </x:c>
      <x:c r="F44" s="141" t="n">
        <x:f>IF(E44&gt;0,MIN(E44,INDEX(Financiamento!$G$6:$G$485,A44)),0)</x:f>
        <x:v>0</x:v>
      </x:c>
      <x:c r="G44" s="141" t="n">
        <x:f>IF(E44&gt;0,E44*Premissas!$B$15,0)</x:f>
        <x:v>0</x:v>
      </x:c>
      <x:c r="H44" s="141" t="n">
        <x:f>IF(E44&gt;0,Premissas!$B$18,0)</x:f>
        <x:v>0</x:v>
      </x:c>
      <x:c r="I44" s="141" t="n">
        <x:f>F44+G44+H44</x:f>
        <x:v>0</x:v>
      </x:c>
      <x:c r="J44" s="141" t="n">
        <x:f>IF(E44-F44&gt;0,MIN(E44-F44,P44),0)</x:f>
        <x:v>0</x:v>
      </x:c>
      <x:c r="K44" s="141" t="n">
        <x:f>I44+J44</x:f>
        <x:v>0</x:v>
      </x:c>
      <x:c r="L44" s="141" t="n">
        <x:f>MAX(0,E44-F44-J44)</x:f>
        <x:v>0</x:v>
      </x:c>
      <x:c r="M44" s="141" t="n">
        <x:f>SUM($K$6:K44)</x:f>
        <x:v>185795.9624076597</x:v>
      </x:c>
      <x:c r="N44" s="140" t="str">
        <x:f>IF(C44=0,"Encerrado",IF(L44=0,"Quitado","Aberto"))</x:f>
        <x:v>Encerrado</x:v>
      </x:c>
      <x:c r="O44" s="141" t="n">
        <x:f>IF(C44&gt;0,Premissas!$B$35,0)</x:f>
        <x:v>0</x:v>
      </x:c>
      <x:c r="P44" s="141" t="n">
        <x:f>IF(C44&gt;0,MAX(0,O44-I44),0)</x:f>
        <x:v>0</x:v>
      </x:c>
      <x:c r="Q44" s="141" t="n">
        <x:f>J44-IF(E44-F44&gt;0,MIN(E44-F44,P44),0)</x:f>
        <x:v>0</x:v>
      </x:c>
    </x:row>
    <x:row r="45">
      <x:c r="A45" s="142" t="n">
        <x:v>40</x:v>
      </x:c>
      <x:c r="B45" s="179" t="n">
        <x:f>EDATE(Premissas!$B$4,39)</x:f>
        <x:v>47727</x:v>
      </x:c>
      <x:c r="C45" s="141" t="n">
        <x:f>L44</x:f>
        <x:v>0</x:v>
      </x:c>
      <x:c r="D45" s="141" t="n">
        <x:f>IF(C45&gt;0,C45*Premissas!$B$17,0)</x:f>
        <x:v>0</x:v>
      </x:c>
      <x:c r="E45" s="141" t="n">
        <x:f>C45+D45</x:f>
        <x:v>0</x:v>
      </x:c>
      <x:c r="F45" s="141" t="n">
        <x:f>IF(E45&gt;0,MIN(E45,INDEX(Financiamento!$G$6:$G$485,A45)),0)</x:f>
        <x:v>0</x:v>
      </x:c>
      <x:c r="G45" s="141" t="n">
        <x:f>IF(E45&gt;0,E45*Premissas!$B$15,0)</x:f>
        <x:v>0</x:v>
      </x:c>
      <x:c r="H45" s="141" t="n">
        <x:f>IF(E45&gt;0,Premissas!$B$18,0)</x:f>
        <x:v>0</x:v>
      </x:c>
      <x:c r="I45" s="141" t="n">
        <x:f>F45+G45+H45</x:f>
        <x:v>0</x:v>
      </x:c>
      <x:c r="J45" s="141" t="n">
        <x:f>IF(E45-F45&gt;0,MIN(E45-F45,P45),0)</x:f>
        <x:v>0</x:v>
      </x:c>
      <x:c r="K45" s="141" t="n">
        <x:f>I45+J45</x:f>
        <x:v>0</x:v>
      </x:c>
      <x:c r="L45" s="141" t="n">
        <x:f>MAX(0,E45-F45-J45)</x:f>
        <x:v>0</x:v>
      </x:c>
      <x:c r="M45" s="141" t="n">
        <x:f>SUM($K$6:K45)</x:f>
        <x:v>185795.9624076597</x:v>
      </x:c>
      <x:c r="N45" s="140" t="str">
        <x:f>IF(C45=0,"Encerrado",IF(L45=0,"Quitado","Aberto"))</x:f>
        <x:v>Encerrado</x:v>
      </x:c>
      <x:c r="O45" s="141" t="n">
        <x:f>IF(C45&gt;0,Premissas!$B$35,0)</x:f>
        <x:v>0</x:v>
      </x:c>
      <x:c r="P45" s="141" t="n">
        <x:f>IF(C45&gt;0,MAX(0,O45-I45),0)</x:f>
        <x:v>0</x:v>
      </x:c>
      <x:c r="Q45" s="141" t="n">
        <x:f>J45-IF(E45-F45&gt;0,MIN(E45-F45,P45),0)</x:f>
        <x:v>0</x:v>
      </x:c>
    </x:row>
    <x:row r="46">
      <x:c r="A46" s="142" t="n">
        <x:v>41</x:v>
      </x:c>
      <x:c r="B46" s="179" t="n">
        <x:f>EDATE(Premissas!$B$4,40)</x:f>
        <x:v>47757</x:v>
      </x:c>
      <x:c r="C46" s="141" t="n">
        <x:f>L45</x:f>
        <x:v>0</x:v>
      </x:c>
      <x:c r="D46" s="141" t="n">
        <x:f>IF(C46&gt;0,C46*Premissas!$B$17,0)</x:f>
        <x:v>0</x:v>
      </x:c>
      <x:c r="E46" s="141" t="n">
        <x:f>C46+D46</x:f>
        <x:v>0</x:v>
      </x:c>
      <x:c r="F46" s="141" t="n">
        <x:f>IF(E46&gt;0,MIN(E46,INDEX(Financiamento!$G$6:$G$485,A46)),0)</x:f>
        <x:v>0</x:v>
      </x:c>
      <x:c r="G46" s="141" t="n">
        <x:f>IF(E46&gt;0,E46*Premissas!$B$15,0)</x:f>
        <x:v>0</x:v>
      </x:c>
      <x:c r="H46" s="141" t="n">
        <x:f>IF(E46&gt;0,Premissas!$B$18,0)</x:f>
        <x:v>0</x:v>
      </x:c>
      <x:c r="I46" s="141" t="n">
        <x:f>F46+G46+H46</x:f>
        <x:v>0</x:v>
      </x:c>
      <x:c r="J46" s="141" t="n">
        <x:f>IF(E46-F46&gt;0,MIN(E46-F46,P46),0)</x:f>
        <x:v>0</x:v>
      </x:c>
      <x:c r="K46" s="141" t="n">
        <x:f>I46+J46</x:f>
        <x:v>0</x:v>
      </x:c>
      <x:c r="L46" s="141" t="n">
        <x:f>MAX(0,E46-F46-J46)</x:f>
        <x:v>0</x:v>
      </x:c>
      <x:c r="M46" s="141" t="n">
        <x:f>SUM($K$6:K46)</x:f>
        <x:v>185795.9624076597</x:v>
      </x:c>
      <x:c r="N46" s="140" t="str">
        <x:f>IF(C46=0,"Encerrado",IF(L46=0,"Quitado","Aberto"))</x:f>
        <x:v>Encerrado</x:v>
      </x:c>
      <x:c r="O46" s="141" t="n">
        <x:f>IF(C46&gt;0,Premissas!$B$35,0)</x:f>
        <x:v>0</x:v>
      </x:c>
      <x:c r="P46" s="141" t="n">
        <x:f>IF(C46&gt;0,MAX(0,O46-I46),0)</x:f>
        <x:v>0</x:v>
      </x:c>
      <x:c r="Q46" s="141" t="n">
        <x:f>J46-IF(E46-F46&gt;0,MIN(E46-F46,P46),0)</x:f>
        <x:v>0</x:v>
      </x:c>
    </x:row>
    <x:row r="47">
      <x:c r="A47" s="142" t="n">
        <x:v>42</x:v>
      </x:c>
      <x:c r="B47" s="179" t="n">
        <x:f>EDATE(Premissas!$B$4,41)</x:f>
        <x:v>47788</x:v>
      </x:c>
      <x:c r="C47" s="141" t="n">
        <x:f>L46</x:f>
        <x:v>0</x:v>
      </x:c>
      <x:c r="D47" s="141" t="n">
        <x:f>IF(C47&gt;0,C47*Premissas!$B$17,0)</x:f>
        <x:v>0</x:v>
      </x:c>
      <x:c r="E47" s="141" t="n">
        <x:f>C47+D47</x:f>
        <x:v>0</x:v>
      </x:c>
      <x:c r="F47" s="141" t="n">
        <x:f>IF(E47&gt;0,MIN(E47,INDEX(Financiamento!$G$6:$G$485,A47)),0)</x:f>
        <x:v>0</x:v>
      </x:c>
      <x:c r="G47" s="141" t="n">
        <x:f>IF(E47&gt;0,E47*Premissas!$B$15,0)</x:f>
        <x:v>0</x:v>
      </x:c>
      <x:c r="H47" s="141" t="n">
        <x:f>IF(E47&gt;0,Premissas!$B$18,0)</x:f>
        <x:v>0</x:v>
      </x:c>
      <x:c r="I47" s="141" t="n">
        <x:f>F47+G47+H47</x:f>
        <x:v>0</x:v>
      </x:c>
      <x:c r="J47" s="141" t="n">
        <x:f>IF(E47-F47&gt;0,MIN(E47-F47,P47),0)</x:f>
        <x:v>0</x:v>
      </x:c>
      <x:c r="K47" s="141" t="n">
        <x:f>I47+J47</x:f>
        <x:v>0</x:v>
      </x:c>
      <x:c r="L47" s="141" t="n">
        <x:f>MAX(0,E47-F47-J47)</x:f>
        <x:v>0</x:v>
      </x:c>
      <x:c r="M47" s="141" t="n">
        <x:f>SUM($K$6:K47)</x:f>
        <x:v>185795.9624076597</x:v>
      </x:c>
      <x:c r="N47" s="140" t="str">
        <x:f>IF(C47=0,"Encerrado",IF(L47=0,"Quitado","Aberto"))</x:f>
        <x:v>Encerrado</x:v>
      </x:c>
      <x:c r="O47" s="141" t="n">
        <x:f>IF(C47&gt;0,Premissas!$B$35,0)</x:f>
        <x:v>0</x:v>
      </x:c>
      <x:c r="P47" s="141" t="n">
        <x:f>IF(C47&gt;0,MAX(0,O47-I47),0)</x:f>
        <x:v>0</x:v>
      </x:c>
      <x:c r="Q47" s="141" t="n">
        <x:f>J47-IF(E47-F47&gt;0,MIN(E47-F47,P47),0)</x:f>
        <x:v>0</x:v>
      </x:c>
    </x:row>
    <x:row r="48">
      <x:c r="A48" s="142" t="n">
        <x:v>43</x:v>
      </x:c>
      <x:c r="B48" s="179" t="n">
        <x:f>EDATE(Premissas!$B$4,42)</x:f>
        <x:v>47818</x:v>
      </x:c>
      <x:c r="C48" s="141" t="n">
        <x:f>L47</x:f>
        <x:v>0</x:v>
      </x:c>
      <x:c r="D48" s="141" t="n">
        <x:f>IF(C48&gt;0,C48*Premissas!$B$17,0)</x:f>
        <x:v>0</x:v>
      </x:c>
      <x:c r="E48" s="141" t="n">
        <x:f>C48+D48</x:f>
        <x:v>0</x:v>
      </x:c>
      <x:c r="F48" s="141" t="n">
        <x:f>IF(E48&gt;0,MIN(E48,INDEX(Financiamento!$G$6:$G$485,A48)),0)</x:f>
        <x:v>0</x:v>
      </x:c>
      <x:c r="G48" s="141" t="n">
        <x:f>IF(E48&gt;0,E48*Premissas!$B$15,0)</x:f>
        <x:v>0</x:v>
      </x:c>
      <x:c r="H48" s="141" t="n">
        <x:f>IF(E48&gt;0,Premissas!$B$18,0)</x:f>
        <x:v>0</x:v>
      </x:c>
      <x:c r="I48" s="141" t="n">
        <x:f>F48+G48+H48</x:f>
        <x:v>0</x:v>
      </x:c>
      <x:c r="J48" s="141" t="n">
        <x:f>IF(E48-F48&gt;0,MIN(E48-F48,P48),0)</x:f>
        <x:v>0</x:v>
      </x:c>
      <x:c r="K48" s="141" t="n">
        <x:f>I48+J48</x:f>
        <x:v>0</x:v>
      </x:c>
      <x:c r="L48" s="141" t="n">
        <x:f>MAX(0,E48-F48-J48)</x:f>
        <x:v>0</x:v>
      </x:c>
      <x:c r="M48" s="141" t="n">
        <x:f>SUM($K$6:K48)</x:f>
        <x:v>185795.9624076597</x:v>
      </x:c>
      <x:c r="N48" s="140" t="str">
        <x:f>IF(C48=0,"Encerrado",IF(L48=0,"Quitado","Aberto"))</x:f>
        <x:v>Encerrado</x:v>
      </x:c>
      <x:c r="O48" s="141" t="n">
        <x:f>IF(C48&gt;0,Premissas!$B$35,0)</x:f>
        <x:v>0</x:v>
      </x:c>
      <x:c r="P48" s="141" t="n">
        <x:f>IF(C48&gt;0,MAX(0,O48-I48),0)</x:f>
        <x:v>0</x:v>
      </x:c>
      <x:c r="Q48" s="141" t="n">
        <x:f>J48-IF(E48-F48&gt;0,MIN(E48-F48,P48),0)</x:f>
        <x:v>0</x:v>
      </x:c>
    </x:row>
    <x:row r="49">
      <x:c r="A49" s="142" t="n">
        <x:v>44</x:v>
      </x:c>
      <x:c r="B49" s="179" t="n">
        <x:f>EDATE(Premissas!$B$4,43)</x:f>
        <x:v>47849</x:v>
      </x:c>
      <x:c r="C49" s="141" t="n">
        <x:f>L48</x:f>
        <x:v>0</x:v>
      </x:c>
      <x:c r="D49" s="141" t="n">
        <x:f>IF(C49&gt;0,C49*Premissas!$B$17,0)</x:f>
        <x:v>0</x:v>
      </x:c>
      <x:c r="E49" s="141" t="n">
        <x:f>C49+D49</x:f>
        <x:v>0</x:v>
      </x:c>
      <x:c r="F49" s="141" t="n">
        <x:f>IF(E49&gt;0,MIN(E49,INDEX(Financiamento!$G$6:$G$485,A49)),0)</x:f>
        <x:v>0</x:v>
      </x:c>
      <x:c r="G49" s="141" t="n">
        <x:f>IF(E49&gt;0,E49*Premissas!$B$15,0)</x:f>
        <x:v>0</x:v>
      </x:c>
      <x:c r="H49" s="141" t="n">
        <x:f>IF(E49&gt;0,Premissas!$B$18,0)</x:f>
        <x:v>0</x:v>
      </x:c>
      <x:c r="I49" s="141" t="n">
        <x:f>F49+G49+H49</x:f>
        <x:v>0</x:v>
      </x:c>
      <x:c r="J49" s="141" t="n">
        <x:f>IF(E49-F49&gt;0,MIN(E49-F49,P49),0)</x:f>
        <x:v>0</x:v>
      </x:c>
      <x:c r="K49" s="141" t="n">
        <x:f>I49+J49</x:f>
        <x:v>0</x:v>
      </x:c>
      <x:c r="L49" s="141" t="n">
        <x:f>MAX(0,E49-F49-J49)</x:f>
        <x:v>0</x:v>
      </x:c>
      <x:c r="M49" s="141" t="n">
        <x:f>SUM($K$6:K49)</x:f>
        <x:v>185795.9624076597</x:v>
      </x:c>
      <x:c r="N49" s="140" t="str">
        <x:f>IF(C49=0,"Encerrado",IF(L49=0,"Quitado","Aberto"))</x:f>
        <x:v>Encerrado</x:v>
      </x:c>
      <x:c r="O49" s="141" t="n">
        <x:f>IF(C49&gt;0,Premissas!$B$35,0)</x:f>
        <x:v>0</x:v>
      </x:c>
      <x:c r="P49" s="141" t="n">
        <x:f>IF(C49&gt;0,MAX(0,O49-I49),0)</x:f>
        <x:v>0</x:v>
      </x:c>
      <x:c r="Q49" s="141" t="n">
        <x:f>J49-IF(E49-F49&gt;0,MIN(E49-F49,P49),0)</x:f>
        <x:v>0</x:v>
      </x:c>
    </x:row>
    <x:row r="50">
      <x:c r="A50" s="142" t="n">
        <x:v>45</x:v>
      </x:c>
      <x:c r="B50" s="179" t="n">
        <x:f>EDATE(Premissas!$B$4,44)</x:f>
        <x:v>47880</x:v>
      </x:c>
      <x:c r="C50" s="141" t="n">
        <x:f>L49</x:f>
        <x:v>0</x:v>
      </x:c>
      <x:c r="D50" s="141" t="n">
        <x:f>IF(C50&gt;0,C50*Premissas!$B$17,0)</x:f>
        <x:v>0</x:v>
      </x:c>
      <x:c r="E50" s="141" t="n">
        <x:f>C50+D50</x:f>
        <x:v>0</x:v>
      </x:c>
      <x:c r="F50" s="141" t="n">
        <x:f>IF(E50&gt;0,MIN(E50,INDEX(Financiamento!$G$6:$G$485,A50)),0)</x:f>
        <x:v>0</x:v>
      </x:c>
      <x:c r="G50" s="141" t="n">
        <x:f>IF(E50&gt;0,E50*Premissas!$B$15,0)</x:f>
        <x:v>0</x:v>
      </x:c>
      <x:c r="H50" s="141" t="n">
        <x:f>IF(E50&gt;0,Premissas!$B$18,0)</x:f>
        <x:v>0</x:v>
      </x:c>
      <x:c r="I50" s="141" t="n">
        <x:f>F50+G50+H50</x:f>
        <x:v>0</x:v>
      </x:c>
      <x:c r="J50" s="141" t="n">
        <x:f>IF(E50-F50&gt;0,MIN(E50-F50,P50),0)</x:f>
        <x:v>0</x:v>
      </x:c>
      <x:c r="K50" s="141" t="n">
        <x:f>I50+J50</x:f>
        <x:v>0</x:v>
      </x:c>
      <x:c r="L50" s="141" t="n">
        <x:f>MAX(0,E50-F50-J50)</x:f>
        <x:v>0</x:v>
      </x:c>
      <x:c r="M50" s="141" t="n">
        <x:f>SUM($K$6:K50)</x:f>
        <x:v>185795.9624076597</x:v>
      </x:c>
      <x:c r="N50" s="140" t="str">
        <x:f>IF(C50=0,"Encerrado",IF(L50=0,"Quitado","Aberto"))</x:f>
        <x:v>Encerrado</x:v>
      </x:c>
      <x:c r="O50" s="141" t="n">
        <x:f>IF(C50&gt;0,Premissas!$B$35,0)</x:f>
        <x:v>0</x:v>
      </x:c>
      <x:c r="P50" s="141" t="n">
        <x:f>IF(C50&gt;0,MAX(0,O50-I50),0)</x:f>
        <x:v>0</x:v>
      </x:c>
      <x:c r="Q50" s="141" t="n">
        <x:f>J50-IF(E50-F50&gt;0,MIN(E50-F50,P50),0)</x:f>
        <x:v>0</x:v>
      </x:c>
    </x:row>
    <x:row r="51">
      <x:c r="A51" s="142" t="n">
        <x:v>46</x:v>
      </x:c>
      <x:c r="B51" s="179" t="n">
        <x:f>EDATE(Premissas!$B$4,45)</x:f>
        <x:v>47908</x:v>
      </x:c>
      <x:c r="C51" s="141" t="n">
        <x:f>L50</x:f>
        <x:v>0</x:v>
      </x:c>
      <x:c r="D51" s="141" t="n">
        <x:f>IF(C51&gt;0,C51*Premissas!$B$17,0)</x:f>
        <x:v>0</x:v>
      </x:c>
      <x:c r="E51" s="141" t="n">
        <x:f>C51+D51</x:f>
        <x:v>0</x:v>
      </x:c>
      <x:c r="F51" s="141" t="n">
        <x:f>IF(E51&gt;0,MIN(E51,INDEX(Financiamento!$G$6:$G$485,A51)),0)</x:f>
        <x:v>0</x:v>
      </x:c>
      <x:c r="G51" s="141" t="n">
        <x:f>IF(E51&gt;0,E51*Premissas!$B$15,0)</x:f>
        <x:v>0</x:v>
      </x:c>
      <x:c r="H51" s="141" t="n">
        <x:f>IF(E51&gt;0,Premissas!$B$18,0)</x:f>
        <x:v>0</x:v>
      </x:c>
      <x:c r="I51" s="141" t="n">
        <x:f>F51+G51+H51</x:f>
        <x:v>0</x:v>
      </x:c>
      <x:c r="J51" s="141" t="n">
        <x:f>IF(E51-F51&gt;0,MIN(E51-F51,P51),0)</x:f>
        <x:v>0</x:v>
      </x:c>
      <x:c r="K51" s="141" t="n">
        <x:f>I51+J51</x:f>
        <x:v>0</x:v>
      </x:c>
      <x:c r="L51" s="141" t="n">
        <x:f>MAX(0,E51-F51-J51)</x:f>
        <x:v>0</x:v>
      </x:c>
      <x:c r="M51" s="141" t="n">
        <x:f>SUM($K$6:K51)</x:f>
        <x:v>185795.9624076597</x:v>
      </x:c>
      <x:c r="N51" s="140" t="str">
        <x:f>IF(C51=0,"Encerrado",IF(L51=0,"Quitado","Aberto"))</x:f>
        <x:v>Encerrado</x:v>
      </x:c>
      <x:c r="O51" s="141" t="n">
        <x:f>IF(C51&gt;0,Premissas!$B$35,0)</x:f>
        <x:v>0</x:v>
      </x:c>
      <x:c r="P51" s="141" t="n">
        <x:f>IF(C51&gt;0,MAX(0,O51-I51),0)</x:f>
        <x:v>0</x:v>
      </x:c>
      <x:c r="Q51" s="141" t="n">
        <x:f>J51-IF(E51-F51&gt;0,MIN(E51-F51,P51),0)</x:f>
        <x:v>0</x:v>
      </x:c>
    </x:row>
    <x:row r="52">
      <x:c r="A52" s="142" t="n">
        <x:v>47</x:v>
      </x:c>
      <x:c r="B52" s="179" t="n">
        <x:f>EDATE(Premissas!$B$4,46)</x:f>
        <x:v>47939</x:v>
      </x:c>
      <x:c r="C52" s="141" t="n">
        <x:f>L51</x:f>
        <x:v>0</x:v>
      </x:c>
      <x:c r="D52" s="141" t="n">
        <x:f>IF(C52&gt;0,C52*Premissas!$B$17,0)</x:f>
        <x:v>0</x:v>
      </x:c>
      <x:c r="E52" s="141" t="n">
        <x:f>C52+D52</x:f>
        <x:v>0</x:v>
      </x:c>
      <x:c r="F52" s="141" t="n">
        <x:f>IF(E52&gt;0,MIN(E52,INDEX(Financiamento!$G$6:$G$485,A52)),0)</x:f>
        <x:v>0</x:v>
      </x:c>
      <x:c r="G52" s="141" t="n">
        <x:f>IF(E52&gt;0,E52*Premissas!$B$15,0)</x:f>
        <x:v>0</x:v>
      </x:c>
      <x:c r="H52" s="141" t="n">
        <x:f>IF(E52&gt;0,Premissas!$B$18,0)</x:f>
        <x:v>0</x:v>
      </x:c>
      <x:c r="I52" s="141" t="n">
        <x:f>F52+G52+H52</x:f>
        <x:v>0</x:v>
      </x:c>
      <x:c r="J52" s="141" t="n">
        <x:f>IF(E52-F52&gt;0,MIN(E52-F52,P52),0)</x:f>
        <x:v>0</x:v>
      </x:c>
      <x:c r="K52" s="141" t="n">
        <x:f>I52+J52</x:f>
        <x:v>0</x:v>
      </x:c>
      <x:c r="L52" s="141" t="n">
        <x:f>MAX(0,E52-F52-J52)</x:f>
        <x:v>0</x:v>
      </x:c>
      <x:c r="M52" s="141" t="n">
        <x:f>SUM($K$6:K52)</x:f>
        <x:v>185795.9624076597</x:v>
      </x:c>
      <x:c r="N52" s="140" t="str">
        <x:f>IF(C52=0,"Encerrado",IF(L52=0,"Quitado","Aberto"))</x:f>
        <x:v>Encerrado</x:v>
      </x:c>
      <x:c r="O52" s="141" t="n">
        <x:f>IF(C52&gt;0,Premissas!$B$35,0)</x:f>
        <x:v>0</x:v>
      </x:c>
      <x:c r="P52" s="141" t="n">
        <x:f>IF(C52&gt;0,MAX(0,O52-I52),0)</x:f>
        <x:v>0</x:v>
      </x:c>
      <x:c r="Q52" s="141" t="n">
        <x:f>J52-IF(E52-F52&gt;0,MIN(E52-F52,P52),0)</x:f>
        <x:v>0</x:v>
      </x:c>
    </x:row>
    <x:row r="53">
      <x:c r="A53" s="142" t="n">
        <x:v>48</x:v>
      </x:c>
      <x:c r="B53" s="179" t="n">
        <x:f>EDATE(Premissas!$B$4,47)</x:f>
        <x:v>47969</x:v>
      </x:c>
      <x:c r="C53" s="141" t="n">
        <x:f>L52</x:f>
        <x:v>0</x:v>
      </x:c>
      <x:c r="D53" s="141" t="n">
        <x:f>IF(C53&gt;0,C53*Premissas!$B$17,0)</x:f>
        <x:v>0</x:v>
      </x:c>
      <x:c r="E53" s="141" t="n">
        <x:f>C53+D53</x:f>
        <x:v>0</x:v>
      </x:c>
      <x:c r="F53" s="141" t="n">
        <x:f>IF(E53&gt;0,MIN(E53,INDEX(Financiamento!$G$6:$G$485,A53)),0)</x:f>
        <x:v>0</x:v>
      </x:c>
      <x:c r="G53" s="141" t="n">
        <x:f>IF(E53&gt;0,E53*Premissas!$B$15,0)</x:f>
        <x:v>0</x:v>
      </x:c>
      <x:c r="H53" s="141" t="n">
        <x:f>IF(E53&gt;0,Premissas!$B$18,0)</x:f>
        <x:v>0</x:v>
      </x:c>
      <x:c r="I53" s="141" t="n">
        <x:f>F53+G53+H53</x:f>
        <x:v>0</x:v>
      </x:c>
      <x:c r="J53" s="141" t="n">
        <x:f>IF(E53-F53&gt;0,MIN(E53-F53,P53),0)</x:f>
        <x:v>0</x:v>
      </x:c>
      <x:c r="K53" s="141" t="n">
        <x:f>I53+J53</x:f>
        <x:v>0</x:v>
      </x:c>
      <x:c r="L53" s="141" t="n">
        <x:f>MAX(0,E53-F53-J53)</x:f>
        <x:v>0</x:v>
      </x:c>
      <x:c r="M53" s="141" t="n">
        <x:f>SUM($K$6:K53)</x:f>
        <x:v>185795.9624076597</x:v>
      </x:c>
      <x:c r="N53" s="140" t="str">
        <x:f>IF(C53=0,"Encerrado",IF(L53=0,"Quitado","Aberto"))</x:f>
        <x:v>Encerrado</x:v>
      </x:c>
      <x:c r="O53" s="141" t="n">
        <x:f>IF(C53&gt;0,Premissas!$B$35,0)</x:f>
        <x:v>0</x:v>
      </x:c>
      <x:c r="P53" s="141" t="n">
        <x:f>IF(C53&gt;0,MAX(0,O53-I53),0)</x:f>
        <x:v>0</x:v>
      </x:c>
      <x:c r="Q53" s="141" t="n">
        <x:f>J53-IF(E53-F53&gt;0,MIN(E53-F53,P53),0)</x:f>
        <x:v>0</x:v>
      </x:c>
    </x:row>
    <x:row r="54">
      <x:c r="A54" s="142" t="n">
        <x:v>49</x:v>
      </x:c>
      <x:c r="B54" s="179" t="n">
        <x:f>EDATE(Premissas!$B$4,48)</x:f>
        <x:v>48000</x:v>
      </x:c>
      <x:c r="C54" s="141" t="n">
        <x:f>L53</x:f>
        <x:v>0</x:v>
      </x:c>
      <x:c r="D54" s="141" t="n">
        <x:f>IF(C54&gt;0,C54*Premissas!$B$17,0)</x:f>
        <x:v>0</x:v>
      </x:c>
      <x:c r="E54" s="141" t="n">
        <x:f>C54+D54</x:f>
        <x:v>0</x:v>
      </x:c>
      <x:c r="F54" s="141" t="n">
        <x:f>IF(E54&gt;0,MIN(E54,INDEX(Financiamento!$G$6:$G$485,A54)),0)</x:f>
        <x:v>0</x:v>
      </x:c>
      <x:c r="G54" s="141" t="n">
        <x:f>IF(E54&gt;0,E54*Premissas!$B$15,0)</x:f>
        <x:v>0</x:v>
      </x:c>
      <x:c r="H54" s="141" t="n">
        <x:f>IF(E54&gt;0,Premissas!$B$18,0)</x:f>
        <x:v>0</x:v>
      </x:c>
      <x:c r="I54" s="141" t="n">
        <x:f>F54+G54+H54</x:f>
        <x:v>0</x:v>
      </x:c>
      <x:c r="J54" s="141" t="n">
        <x:f>IF(E54-F54&gt;0,MIN(E54-F54,P54),0)</x:f>
        <x:v>0</x:v>
      </x:c>
      <x:c r="K54" s="141" t="n">
        <x:f>I54+J54</x:f>
        <x:v>0</x:v>
      </x:c>
      <x:c r="L54" s="141" t="n">
        <x:f>MAX(0,E54-F54-J54)</x:f>
        <x:v>0</x:v>
      </x:c>
      <x:c r="M54" s="141" t="n">
        <x:f>SUM($K$6:K54)</x:f>
        <x:v>185795.9624076597</x:v>
      </x:c>
      <x:c r="N54" s="140" t="str">
        <x:f>IF(C54=0,"Encerrado",IF(L54=0,"Quitado","Aberto"))</x:f>
        <x:v>Encerrado</x:v>
      </x:c>
      <x:c r="O54" s="141" t="n">
        <x:f>IF(C54&gt;0,Premissas!$B$35,0)</x:f>
        <x:v>0</x:v>
      </x:c>
      <x:c r="P54" s="141" t="n">
        <x:f>IF(C54&gt;0,MAX(0,O54-I54),0)</x:f>
        <x:v>0</x:v>
      </x:c>
      <x:c r="Q54" s="141" t="n">
        <x:f>J54-IF(E54-F54&gt;0,MIN(E54-F54,P54),0)</x:f>
        <x:v>0</x:v>
      </x:c>
    </x:row>
    <x:row r="55">
      <x:c r="A55" s="142" t="n">
        <x:v>50</x:v>
      </x:c>
      <x:c r="B55" s="179" t="n">
        <x:f>EDATE(Premissas!$B$4,49)</x:f>
        <x:v>48030</x:v>
      </x:c>
      <x:c r="C55" s="141" t="n">
        <x:f>L54</x:f>
        <x:v>0</x:v>
      </x:c>
      <x:c r="D55" s="141" t="n">
        <x:f>IF(C55&gt;0,C55*Premissas!$B$17,0)</x:f>
        <x:v>0</x:v>
      </x:c>
      <x:c r="E55" s="141" t="n">
        <x:f>C55+D55</x:f>
        <x:v>0</x:v>
      </x:c>
      <x:c r="F55" s="141" t="n">
        <x:f>IF(E55&gt;0,MIN(E55,INDEX(Financiamento!$G$6:$G$485,A55)),0)</x:f>
        <x:v>0</x:v>
      </x:c>
      <x:c r="G55" s="141" t="n">
        <x:f>IF(E55&gt;0,E55*Premissas!$B$15,0)</x:f>
        <x:v>0</x:v>
      </x:c>
      <x:c r="H55" s="141" t="n">
        <x:f>IF(E55&gt;0,Premissas!$B$18,0)</x:f>
        <x:v>0</x:v>
      </x:c>
      <x:c r="I55" s="141" t="n">
        <x:f>F55+G55+H55</x:f>
        <x:v>0</x:v>
      </x:c>
      <x:c r="J55" s="141" t="n">
        <x:f>IF(E55-F55&gt;0,MIN(E55-F55,P55),0)</x:f>
        <x:v>0</x:v>
      </x:c>
      <x:c r="K55" s="141" t="n">
        <x:f>I55+J55</x:f>
        <x:v>0</x:v>
      </x:c>
      <x:c r="L55" s="141" t="n">
        <x:f>MAX(0,E55-F55-J55)</x:f>
        <x:v>0</x:v>
      </x:c>
      <x:c r="M55" s="141" t="n">
        <x:f>SUM($K$6:K55)</x:f>
        <x:v>185795.9624076597</x:v>
      </x:c>
      <x:c r="N55" s="140" t="str">
        <x:f>IF(C55=0,"Encerrado",IF(L55=0,"Quitado","Aberto"))</x:f>
        <x:v>Encerrado</x:v>
      </x:c>
      <x:c r="O55" s="141" t="n">
        <x:f>IF(C55&gt;0,Premissas!$B$35,0)</x:f>
        <x:v>0</x:v>
      </x:c>
      <x:c r="P55" s="141" t="n">
        <x:f>IF(C55&gt;0,MAX(0,O55-I55),0)</x:f>
        <x:v>0</x:v>
      </x:c>
      <x:c r="Q55" s="141" t="n">
        <x:f>J55-IF(E55-F55&gt;0,MIN(E55-F55,P55),0)</x:f>
        <x:v>0</x:v>
      </x:c>
    </x:row>
    <x:row r="56">
      <x:c r="A56" s="142" t="n">
        <x:v>51</x:v>
      </x:c>
      <x:c r="B56" s="179" t="n">
        <x:f>EDATE(Premissas!$B$4,50)</x:f>
        <x:v>48061</x:v>
      </x:c>
      <x:c r="C56" s="141" t="n">
        <x:f>L55</x:f>
        <x:v>0</x:v>
      </x:c>
      <x:c r="D56" s="141" t="n">
        <x:f>IF(C56&gt;0,C56*Premissas!$B$17,0)</x:f>
        <x:v>0</x:v>
      </x:c>
      <x:c r="E56" s="141" t="n">
        <x:f>C56+D56</x:f>
        <x:v>0</x:v>
      </x:c>
      <x:c r="F56" s="141" t="n">
        <x:f>IF(E56&gt;0,MIN(E56,INDEX(Financiamento!$G$6:$G$485,A56)),0)</x:f>
        <x:v>0</x:v>
      </x:c>
      <x:c r="G56" s="141" t="n">
        <x:f>IF(E56&gt;0,E56*Premissas!$B$15,0)</x:f>
        <x:v>0</x:v>
      </x:c>
      <x:c r="H56" s="141" t="n">
        <x:f>IF(E56&gt;0,Premissas!$B$18,0)</x:f>
        <x:v>0</x:v>
      </x:c>
      <x:c r="I56" s="141" t="n">
        <x:f>F56+G56+H56</x:f>
        <x:v>0</x:v>
      </x:c>
      <x:c r="J56" s="141" t="n">
        <x:f>IF(E56-F56&gt;0,MIN(E56-F56,P56),0)</x:f>
        <x:v>0</x:v>
      </x:c>
      <x:c r="K56" s="141" t="n">
        <x:f>I56+J56</x:f>
        <x:v>0</x:v>
      </x:c>
      <x:c r="L56" s="141" t="n">
        <x:f>MAX(0,E56-F56-J56)</x:f>
        <x:v>0</x:v>
      </x:c>
      <x:c r="M56" s="141" t="n">
        <x:f>SUM($K$6:K56)</x:f>
        <x:v>185795.9624076597</x:v>
      </x:c>
      <x:c r="N56" s="140" t="str">
        <x:f>IF(C56=0,"Encerrado",IF(L56=0,"Quitado","Aberto"))</x:f>
        <x:v>Encerrado</x:v>
      </x:c>
      <x:c r="O56" s="141" t="n">
        <x:f>IF(C56&gt;0,Premissas!$B$35,0)</x:f>
        <x:v>0</x:v>
      </x:c>
      <x:c r="P56" s="141" t="n">
        <x:f>IF(C56&gt;0,MAX(0,O56-I56),0)</x:f>
        <x:v>0</x:v>
      </x:c>
      <x:c r="Q56" s="141" t="n">
        <x:f>J56-IF(E56-F56&gt;0,MIN(E56-F56,P56),0)</x:f>
        <x:v>0</x:v>
      </x:c>
    </x:row>
    <x:row r="57">
      <x:c r="A57" s="142" t="n">
        <x:v>52</x:v>
      </x:c>
      <x:c r="B57" s="179" t="n">
        <x:f>EDATE(Premissas!$B$4,51)</x:f>
        <x:v>48092</x:v>
      </x:c>
      <x:c r="C57" s="141" t="n">
        <x:f>L56</x:f>
        <x:v>0</x:v>
      </x:c>
      <x:c r="D57" s="141" t="n">
        <x:f>IF(C57&gt;0,C57*Premissas!$B$17,0)</x:f>
        <x:v>0</x:v>
      </x:c>
      <x:c r="E57" s="141" t="n">
        <x:f>C57+D57</x:f>
        <x:v>0</x:v>
      </x:c>
      <x:c r="F57" s="141" t="n">
        <x:f>IF(E57&gt;0,MIN(E57,INDEX(Financiamento!$G$6:$G$485,A57)),0)</x:f>
        <x:v>0</x:v>
      </x:c>
      <x:c r="G57" s="141" t="n">
        <x:f>IF(E57&gt;0,E57*Premissas!$B$15,0)</x:f>
        <x:v>0</x:v>
      </x:c>
      <x:c r="H57" s="141" t="n">
        <x:f>IF(E57&gt;0,Premissas!$B$18,0)</x:f>
        <x:v>0</x:v>
      </x:c>
      <x:c r="I57" s="141" t="n">
        <x:f>F57+G57+H57</x:f>
        <x:v>0</x:v>
      </x:c>
      <x:c r="J57" s="141" t="n">
        <x:f>IF(E57-F57&gt;0,MIN(E57-F57,P57),0)</x:f>
        <x:v>0</x:v>
      </x:c>
      <x:c r="K57" s="141" t="n">
        <x:f>I57+J57</x:f>
        <x:v>0</x:v>
      </x:c>
      <x:c r="L57" s="141" t="n">
        <x:f>MAX(0,E57-F57-J57)</x:f>
        <x:v>0</x:v>
      </x:c>
      <x:c r="M57" s="141" t="n">
        <x:f>SUM($K$6:K57)</x:f>
        <x:v>185795.9624076597</x:v>
      </x:c>
      <x:c r="N57" s="140" t="str">
        <x:f>IF(C57=0,"Encerrado",IF(L57=0,"Quitado","Aberto"))</x:f>
        <x:v>Encerrado</x:v>
      </x:c>
      <x:c r="O57" s="141" t="n">
        <x:f>IF(C57&gt;0,Premissas!$B$35,0)</x:f>
        <x:v>0</x:v>
      </x:c>
      <x:c r="P57" s="141" t="n">
        <x:f>IF(C57&gt;0,MAX(0,O57-I57),0)</x:f>
        <x:v>0</x:v>
      </x:c>
      <x:c r="Q57" s="141" t="n">
        <x:f>J57-IF(E57-F57&gt;0,MIN(E57-F57,P57),0)</x:f>
        <x:v>0</x:v>
      </x:c>
    </x:row>
    <x:row r="58">
      <x:c r="A58" s="142" t="n">
        <x:v>53</x:v>
      </x:c>
      <x:c r="B58" s="179" t="n">
        <x:f>EDATE(Premissas!$B$4,52)</x:f>
        <x:v>48122</x:v>
      </x:c>
      <x:c r="C58" s="141" t="n">
        <x:f>L57</x:f>
        <x:v>0</x:v>
      </x:c>
      <x:c r="D58" s="141" t="n">
        <x:f>IF(C58&gt;0,C58*Premissas!$B$17,0)</x:f>
        <x:v>0</x:v>
      </x:c>
      <x:c r="E58" s="141" t="n">
        <x:f>C58+D58</x:f>
        <x:v>0</x:v>
      </x:c>
      <x:c r="F58" s="141" t="n">
        <x:f>IF(E58&gt;0,MIN(E58,INDEX(Financiamento!$G$6:$G$485,A58)),0)</x:f>
        <x:v>0</x:v>
      </x:c>
      <x:c r="G58" s="141" t="n">
        <x:f>IF(E58&gt;0,E58*Premissas!$B$15,0)</x:f>
        <x:v>0</x:v>
      </x:c>
      <x:c r="H58" s="141" t="n">
        <x:f>IF(E58&gt;0,Premissas!$B$18,0)</x:f>
        <x:v>0</x:v>
      </x:c>
      <x:c r="I58" s="141" t="n">
        <x:f>F58+G58+H58</x:f>
        <x:v>0</x:v>
      </x:c>
      <x:c r="J58" s="141" t="n">
        <x:f>IF(E58-F58&gt;0,MIN(E58-F58,P58),0)</x:f>
        <x:v>0</x:v>
      </x:c>
      <x:c r="K58" s="141" t="n">
        <x:f>I58+J58</x:f>
        <x:v>0</x:v>
      </x:c>
      <x:c r="L58" s="141" t="n">
        <x:f>MAX(0,E58-F58-J58)</x:f>
        <x:v>0</x:v>
      </x:c>
      <x:c r="M58" s="141" t="n">
        <x:f>SUM($K$6:K58)</x:f>
        <x:v>185795.9624076597</x:v>
      </x:c>
      <x:c r="N58" s="140" t="str">
        <x:f>IF(C58=0,"Encerrado",IF(L58=0,"Quitado","Aberto"))</x:f>
        <x:v>Encerrado</x:v>
      </x:c>
      <x:c r="O58" s="141" t="n">
        <x:f>IF(C58&gt;0,Premissas!$B$35,0)</x:f>
        <x:v>0</x:v>
      </x:c>
      <x:c r="P58" s="141" t="n">
        <x:f>IF(C58&gt;0,MAX(0,O58-I58),0)</x:f>
        <x:v>0</x:v>
      </x:c>
      <x:c r="Q58" s="141" t="n">
        <x:f>J58-IF(E58-F58&gt;0,MIN(E58-F58,P58),0)</x:f>
        <x:v>0</x:v>
      </x:c>
    </x:row>
    <x:row r="59">
      <x:c r="A59" s="142" t="n">
        <x:v>54</x:v>
      </x:c>
      <x:c r="B59" s="179" t="n">
        <x:f>EDATE(Premissas!$B$4,53)</x:f>
        <x:v>48153</x:v>
      </x:c>
      <x:c r="C59" s="141" t="n">
        <x:f>L58</x:f>
        <x:v>0</x:v>
      </x:c>
      <x:c r="D59" s="141" t="n">
        <x:f>IF(C59&gt;0,C59*Premissas!$B$17,0)</x:f>
        <x:v>0</x:v>
      </x:c>
      <x:c r="E59" s="141" t="n">
        <x:f>C59+D59</x:f>
        <x:v>0</x:v>
      </x:c>
      <x:c r="F59" s="141" t="n">
        <x:f>IF(E59&gt;0,MIN(E59,INDEX(Financiamento!$G$6:$G$485,A59)),0)</x:f>
        <x:v>0</x:v>
      </x:c>
      <x:c r="G59" s="141" t="n">
        <x:f>IF(E59&gt;0,E59*Premissas!$B$15,0)</x:f>
        <x:v>0</x:v>
      </x:c>
      <x:c r="H59" s="141" t="n">
        <x:f>IF(E59&gt;0,Premissas!$B$18,0)</x:f>
        <x:v>0</x:v>
      </x:c>
      <x:c r="I59" s="141" t="n">
        <x:f>F59+G59+H59</x:f>
        <x:v>0</x:v>
      </x:c>
      <x:c r="J59" s="141" t="n">
        <x:f>IF(E59-F59&gt;0,MIN(E59-F59,P59),0)</x:f>
        <x:v>0</x:v>
      </x:c>
      <x:c r="K59" s="141" t="n">
        <x:f>I59+J59</x:f>
        <x:v>0</x:v>
      </x:c>
      <x:c r="L59" s="141" t="n">
        <x:f>MAX(0,E59-F59-J59)</x:f>
        <x:v>0</x:v>
      </x:c>
      <x:c r="M59" s="141" t="n">
        <x:f>SUM($K$6:K59)</x:f>
        <x:v>185795.9624076597</x:v>
      </x:c>
      <x:c r="N59" s="140" t="str">
        <x:f>IF(C59=0,"Encerrado",IF(L59=0,"Quitado","Aberto"))</x:f>
        <x:v>Encerrado</x:v>
      </x:c>
      <x:c r="O59" s="141" t="n">
        <x:f>IF(C59&gt;0,Premissas!$B$35,0)</x:f>
        <x:v>0</x:v>
      </x:c>
      <x:c r="P59" s="141" t="n">
        <x:f>IF(C59&gt;0,MAX(0,O59-I59),0)</x:f>
        <x:v>0</x:v>
      </x:c>
      <x:c r="Q59" s="141" t="n">
        <x:f>J59-IF(E59-F59&gt;0,MIN(E59-F59,P59),0)</x:f>
        <x:v>0</x:v>
      </x:c>
    </x:row>
    <x:row r="60">
      <x:c r="A60" s="142" t="n">
        <x:v>55</x:v>
      </x:c>
      <x:c r="B60" s="179" t="n">
        <x:f>EDATE(Premissas!$B$4,54)</x:f>
        <x:v>48183</x:v>
      </x:c>
      <x:c r="C60" s="141" t="n">
        <x:f>L59</x:f>
        <x:v>0</x:v>
      </x:c>
      <x:c r="D60" s="141" t="n">
        <x:f>IF(C60&gt;0,C60*Premissas!$B$17,0)</x:f>
        <x:v>0</x:v>
      </x:c>
      <x:c r="E60" s="141" t="n">
        <x:f>C60+D60</x:f>
        <x:v>0</x:v>
      </x:c>
      <x:c r="F60" s="141" t="n">
        <x:f>IF(E60&gt;0,MIN(E60,INDEX(Financiamento!$G$6:$G$485,A60)),0)</x:f>
        <x:v>0</x:v>
      </x:c>
      <x:c r="G60" s="141" t="n">
        <x:f>IF(E60&gt;0,E60*Premissas!$B$15,0)</x:f>
        <x:v>0</x:v>
      </x:c>
      <x:c r="H60" s="141" t="n">
        <x:f>IF(E60&gt;0,Premissas!$B$18,0)</x:f>
        <x:v>0</x:v>
      </x:c>
      <x:c r="I60" s="141" t="n">
        <x:f>F60+G60+H60</x:f>
        <x:v>0</x:v>
      </x:c>
      <x:c r="J60" s="141" t="n">
        <x:f>IF(E60-F60&gt;0,MIN(E60-F60,P60),0)</x:f>
        <x:v>0</x:v>
      </x:c>
      <x:c r="K60" s="141" t="n">
        <x:f>I60+J60</x:f>
        <x:v>0</x:v>
      </x:c>
      <x:c r="L60" s="141" t="n">
        <x:f>MAX(0,E60-F60-J60)</x:f>
        <x:v>0</x:v>
      </x:c>
      <x:c r="M60" s="141" t="n">
        <x:f>SUM($K$6:K60)</x:f>
        <x:v>185795.9624076597</x:v>
      </x:c>
      <x:c r="N60" s="140" t="str">
        <x:f>IF(C60=0,"Encerrado",IF(L60=0,"Quitado","Aberto"))</x:f>
        <x:v>Encerrado</x:v>
      </x:c>
      <x:c r="O60" s="141" t="n">
        <x:f>IF(C60&gt;0,Premissas!$B$35,0)</x:f>
        <x:v>0</x:v>
      </x:c>
      <x:c r="P60" s="141" t="n">
        <x:f>IF(C60&gt;0,MAX(0,O60-I60),0)</x:f>
        <x:v>0</x:v>
      </x:c>
      <x:c r="Q60" s="141" t="n">
        <x:f>J60-IF(E60-F60&gt;0,MIN(E60-F60,P60),0)</x:f>
        <x:v>0</x:v>
      </x:c>
    </x:row>
    <x:row r="61">
      <x:c r="A61" s="142" t="n">
        <x:v>56</x:v>
      </x:c>
      <x:c r="B61" s="179" t="n">
        <x:f>EDATE(Premissas!$B$4,55)</x:f>
        <x:v>48214</x:v>
      </x:c>
      <x:c r="C61" s="141" t="n">
        <x:f>L60</x:f>
        <x:v>0</x:v>
      </x:c>
      <x:c r="D61" s="141" t="n">
        <x:f>IF(C61&gt;0,C61*Premissas!$B$17,0)</x:f>
        <x:v>0</x:v>
      </x:c>
      <x:c r="E61" s="141" t="n">
        <x:f>C61+D61</x:f>
        <x:v>0</x:v>
      </x:c>
      <x:c r="F61" s="141" t="n">
        <x:f>IF(E61&gt;0,MIN(E61,INDEX(Financiamento!$G$6:$G$485,A61)),0)</x:f>
        <x:v>0</x:v>
      </x:c>
      <x:c r="G61" s="141" t="n">
        <x:f>IF(E61&gt;0,E61*Premissas!$B$15,0)</x:f>
        <x:v>0</x:v>
      </x:c>
      <x:c r="H61" s="141" t="n">
        <x:f>IF(E61&gt;0,Premissas!$B$18,0)</x:f>
        <x:v>0</x:v>
      </x:c>
      <x:c r="I61" s="141" t="n">
        <x:f>F61+G61+H61</x:f>
        <x:v>0</x:v>
      </x:c>
      <x:c r="J61" s="141" t="n">
        <x:f>IF(E61-F61&gt;0,MIN(E61-F61,P61),0)</x:f>
        <x:v>0</x:v>
      </x:c>
      <x:c r="K61" s="141" t="n">
        <x:f>I61+J61</x:f>
        <x:v>0</x:v>
      </x:c>
      <x:c r="L61" s="141" t="n">
        <x:f>MAX(0,E61-F61-J61)</x:f>
        <x:v>0</x:v>
      </x:c>
      <x:c r="M61" s="141" t="n">
        <x:f>SUM($K$6:K61)</x:f>
        <x:v>185795.9624076597</x:v>
      </x:c>
      <x:c r="N61" s="140" t="str">
        <x:f>IF(C61=0,"Encerrado",IF(L61=0,"Quitado","Aberto"))</x:f>
        <x:v>Encerrado</x:v>
      </x:c>
      <x:c r="O61" s="141" t="n">
        <x:f>IF(C61&gt;0,Premissas!$B$35,0)</x:f>
        <x:v>0</x:v>
      </x:c>
      <x:c r="P61" s="141" t="n">
        <x:f>IF(C61&gt;0,MAX(0,O61-I61),0)</x:f>
        <x:v>0</x:v>
      </x:c>
      <x:c r="Q61" s="141" t="n">
        <x:f>J61-IF(E61-F61&gt;0,MIN(E61-F61,P61),0)</x:f>
        <x:v>0</x:v>
      </x:c>
    </x:row>
    <x:row r="62">
      <x:c r="A62" s="142" t="n">
        <x:v>57</x:v>
      </x:c>
      <x:c r="B62" s="179" t="n">
        <x:f>EDATE(Premissas!$B$4,56)</x:f>
        <x:v>48245</x:v>
      </x:c>
      <x:c r="C62" s="141" t="n">
        <x:f>L61</x:f>
        <x:v>0</x:v>
      </x:c>
      <x:c r="D62" s="141" t="n">
        <x:f>IF(C62&gt;0,C62*Premissas!$B$17,0)</x:f>
        <x:v>0</x:v>
      </x:c>
      <x:c r="E62" s="141" t="n">
        <x:f>C62+D62</x:f>
        <x:v>0</x:v>
      </x:c>
      <x:c r="F62" s="141" t="n">
        <x:f>IF(E62&gt;0,MIN(E62,INDEX(Financiamento!$G$6:$G$485,A62)),0)</x:f>
        <x:v>0</x:v>
      </x:c>
      <x:c r="G62" s="141" t="n">
        <x:f>IF(E62&gt;0,E62*Premissas!$B$15,0)</x:f>
        <x:v>0</x:v>
      </x:c>
      <x:c r="H62" s="141" t="n">
        <x:f>IF(E62&gt;0,Premissas!$B$18,0)</x:f>
        <x:v>0</x:v>
      </x:c>
      <x:c r="I62" s="141" t="n">
        <x:f>F62+G62+H62</x:f>
        <x:v>0</x:v>
      </x:c>
      <x:c r="J62" s="141" t="n">
        <x:f>IF(E62-F62&gt;0,MIN(E62-F62,P62),0)</x:f>
        <x:v>0</x:v>
      </x:c>
      <x:c r="K62" s="141" t="n">
        <x:f>I62+J62</x:f>
        <x:v>0</x:v>
      </x:c>
      <x:c r="L62" s="141" t="n">
        <x:f>MAX(0,E62-F62-J62)</x:f>
        <x:v>0</x:v>
      </x:c>
      <x:c r="M62" s="141" t="n">
        <x:f>SUM($K$6:K62)</x:f>
        <x:v>185795.9624076597</x:v>
      </x:c>
      <x:c r="N62" s="140" t="str">
        <x:f>IF(C62=0,"Encerrado",IF(L62=0,"Quitado","Aberto"))</x:f>
        <x:v>Encerrado</x:v>
      </x:c>
      <x:c r="O62" s="141" t="n">
        <x:f>IF(C62&gt;0,Premissas!$B$35,0)</x:f>
        <x:v>0</x:v>
      </x:c>
      <x:c r="P62" s="141" t="n">
        <x:f>IF(C62&gt;0,MAX(0,O62-I62),0)</x:f>
        <x:v>0</x:v>
      </x:c>
      <x:c r="Q62" s="141" t="n">
        <x:f>J62-IF(E62-F62&gt;0,MIN(E62-F62,P62),0)</x:f>
        <x:v>0</x:v>
      </x:c>
    </x:row>
    <x:row r="63">
      <x:c r="A63" s="142" t="n">
        <x:v>58</x:v>
      </x:c>
      <x:c r="B63" s="179" t="n">
        <x:f>EDATE(Premissas!$B$4,57)</x:f>
        <x:v>48274</x:v>
      </x:c>
      <x:c r="C63" s="141" t="n">
        <x:f>L62</x:f>
        <x:v>0</x:v>
      </x:c>
      <x:c r="D63" s="141" t="n">
        <x:f>IF(C63&gt;0,C63*Premissas!$B$17,0)</x:f>
        <x:v>0</x:v>
      </x:c>
      <x:c r="E63" s="141" t="n">
        <x:f>C63+D63</x:f>
        <x:v>0</x:v>
      </x:c>
      <x:c r="F63" s="141" t="n">
        <x:f>IF(E63&gt;0,MIN(E63,INDEX(Financiamento!$G$6:$G$485,A63)),0)</x:f>
        <x:v>0</x:v>
      </x:c>
      <x:c r="G63" s="141" t="n">
        <x:f>IF(E63&gt;0,E63*Premissas!$B$15,0)</x:f>
        <x:v>0</x:v>
      </x:c>
      <x:c r="H63" s="141" t="n">
        <x:f>IF(E63&gt;0,Premissas!$B$18,0)</x:f>
        <x:v>0</x:v>
      </x:c>
      <x:c r="I63" s="141" t="n">
        <x:f>F63+G63+H63</x:f>
        <x:v>0</x:v>
      </x:c>
      <x:c r="J63" s="141" t="n">
        <x:f>IF(E63-F63&gt;0,MIN(E63-F63,P63),0)</x:f>
        <x:v>0</x:v>
      </x:c>
      <x:c r="K63" s="141" t="n">
        <x:f>I63+J63</x:f>
        <x:v>0</x:v>
      </x:c>
      <x:c r="L63" s="141" t="n">
        <x:f>MAX(0,E63-F63-J63)</x:f>
        <x:v>0</x:v>
      </x:c>
      <x:c r="M63" s="141" t="n">
        <x:f>SUM($K$6:K63)</x:f>
        <x:v>185795.9624076597</x:v>
      </x:c>
      <x:c r="N63" s="140" t="str">
        <x:f>IF(C63=0,"Encerrado",IF(L63=0,"Quitado","Aberto"))</x:f>
        <x:v>Encerrado</x:v>
      </x:c>
      <x:c r="O63" s="141" t="n">
        <x:f>IF(C63&gt;0,Premissas!$B$35,0)</x:f>
        <x:v>0</x:v>
      </x:c>
      <x:c r="P63" s="141" t="n">
        <x:f>IF(C63&gt;0,MAX(0,O63-I63),0)</x:f>
        <x:v>0</x:v>
      </x:c>
      <x:c r="Q63" s="141" t="n">
        <x:f>J63-IF(E63-F63&gt;0,MIN(E63-F63,P63),0)</x:f>
        <x:v>0</x:v>
      </x:c>
    </x:row>
    <x:row r="64">
      <x:c r="A64" s="142" t="n">
        <x:v>59</x:v>
      </x:c>
      <x:c r="B64" s="179" t="n">
        <x:f>EDATE(Premissas!$B$4,58)</x:f>
        <x:v>48305</x:v>
      </x:c>
      <x:c r="C64" s="141" t="n">
        <x:f>L63</x:f>
        <x:v>0</x:v>
      </x:c>
      <x:c r="D64" s="141" t="n">
        <x:f>IF(C64&gt;0,C64*Premissas!$B$17,0)</x:f>
        <x:v>0</x:v>
      </x:c>
      <x:c r="E64" s="141" t="n">
        <x:f>C64+D64</x:f>
        <x:v>0</x:v>
      </x:c>
      <x:c r="F64" s="141" t="n">
        <x:f>IF(E64&gt;0,MIN(E64,INDEX(Financiamento!$G$6:$G$485,A64)),0)</x:f>
        <x:v>0</x:v>
      </x:c>
      <x:c r="G64" s="141" t="n">
        <x:f>IF(E64&gt;0,E64*Premissas!$B$15,0)</x:f>
        <x:v>0</x:v>
      </x:c>
      <x:c r="H64" s="141" t="n">
        <x:f>IF(E64&gt;0,Premissas!$B$18,0)</x:f>
        <x:v>0</x:v>
      </x:c>
      <x:c r="I64" s="141" t="n">
        <x:f>F64+G64+H64</x:f>
        <x:v>0</x:v>
      </x:c>
      <x:c r="J64" s="141" t="n">
        <x:f>IF(E64-F64&gt;0,MIN(E64-F64,P64),0)</x:f>
        <x:v>0</x:v>
      </x:c>
      <x:c r="K64" s="141" t="n">
        <x:f>I64+J64</x:f>
        <x:v>0</x:v>
      </x:c>
      <x:c r="L64" s="141" t="n">
        <x:f>MAX(0,E64-F64-J64)</x:f>
        <x:v>0</x:v>
      </x:c>
      <x:c r="M64" s="141" t="n">
        <x:f>SUM($K$6:K64)</x:f>
        <x:v>185795.9624076597</x:v>
      </x:c>
      <x:c r="N64" s="140" t="str">
        <x:f>IF(C64=0,"Encerrado",IF(L64=0,"Quitado","Aberto"))</x:f>
        <x:v>Encerrado</x:v>
      </x:c>
      <x:c r="O64" s="141" t="n">
        <x:f>IF(C64&gt;0,Premissas!$B$35,0)</x:f>
        <x:v>0</x:v>
      </x:c>
      <x:c r="P64" s="141" t="n">
        <x:f>IF(C64&gt;0,MAX(0,O64-I64),0)</x:f>
        <x:v>0</x:v>
      </x:c>
      <x:c r="Q64" s="141" t="n">
        <x:f>J64-IF(E64-F64&gt;0,MIN(E64-F64,P64),0)</x:f>
        <x:v>0</x:v>
      </x:c>
    </x:row>
    <x:row r="65">
      <x:c r="A65" s="142" t="n">
        <x:v>60</x:v>
      </x:c>
      <x:c r="B65" s="179" t="n">
        <x:f>EDATE(Premissas!$B$4,59)</x:f>
        <x:v>48335</x:v>
      </x:c>
      <x:c r="C65" s="141" t="n">
        <x:f>L64</x:f>
        <x:v>0</x:v>
      </x:c>
      <x:c r="D65" s="141" t="n">
        <x:f>IF(C65&gt;0,C65*Premissas!$B$17,0)</x:f>
        <x:v>0</x:v>
      </x:c>
      <x:c r="E65" s="141" t="n">
        <x:f>C65+D65</x:f>
        <x:v>0</x:v>
      </x:c>
      <x:c r="F65" s="141" t="n">
        <x:f>IF(E65&gt;0,MIN(E65,INDEX(Financiamento!$G$6:$G$485,A65)),0)</x:f>
        <x:v>0</x:v>
      </x:c>
      <x:c r="G65" s="141" t="n">
        <x:f>IF(E65&gt;0,E65*Premissas!$B$15,0)</x:f>
        <x:v>0</x:v>
      </x:c>
      <x:c r="H65" s="141" t="n">
        <x:f>IF(E65&gt;0,Premissas!$B$18,0)</x:f>
        <x:v>0</x:v>
      </x:c>
      <x:c r="I65" s="141" t="n">
        <x:f>F65+G65+H65</x:f>
        <x:v>0</x:v>
      </x:c>
      <x:c r="J65" s="141" t="n">
        <x:f>IF(E65-F65&gt;0,MIN(E65-F65,P65),0)</x:f>
        <x:v>0</x:v>
      </x:c>
      <x:c r="K65" s="141" t="n">
        <x:f>I65+J65</x:f>
        <x:v>0</x:v>
      </x:c>
      <x:c r="L65" s="141" t="n">
        <x:f>MAX(0,E65-F65-J65)</x:f>
        <x:v>0</x:v>
      </x:c>
      <x:c r="M65" s="141" t="n">
        <x:f>SUM($K$6:K65)</x:f>
        <x:v>185795.9624076597</x:v>
      </x:c>
      <x:c r="N65" s="140" t="str">
        <x:f>IF(C65=0,"Encerrado",IF(L65=0,"Quitado","Aberto"))</x:f>
        <x:v>Encerrado</x:v>
      </x:c>
      <x:c r="O65" s="141" t="n">
        <x:f>IF(C65&gt;0,Premissas!$B$35,0)</x:f>
        <x:v>0</x:v>
      </x:c>
      <x:c r="P65" s="141" t="n">
        <x:f>IF(C65&gt;0,MAX(0,O65-I65),0)</x:f>
        <x:v>0</x:v>
      </x:c>
      <x:c r="Q65" s="141" t="n">
        <x:f>J65-IF(E65-F65&gt;0,MIN(E65-F65,P65),0)</x:f>
        <x:v>0</x:v>
      </x:c>
    </x:row>
    <x:row r="66">
      <x:c r="A66" s="142" t="n">
        <x:v>61</x:v>
      </x:c>
      <x:c r="B66" s="179" t="n">
        <x:f>EDATE(Premissas!$B$4,60)</x:f>
        <x:v>48366</x:v>
      </x:c>
      <x:c r="C66" s="141" t="n">
        <x:f>L65</x:f>
        <x:v>0</x:v>
      </x:c>
      <x:c r="D66" s="141" t="n">
        <x:f>IF(C66&gt;0,C66*Premissas!$B$17,0)</x:f>
        <x:v>0</x:v>
      </x:c>
      <x:c r="E66" s="141" t="n">
        <x:f>C66+D66</x:f>
        <x:v>0</x:v>
      </x:c>
      <x:c r="F66" s="141" t="n">
        <x:f>IF(E66&gt;0,MIN(E66,INDEX(Financiamento!$G$6:$G$485,A66)),0)</x:f>
        <x:v>0</x:v>
      </x:c>
      <x:c r="G66" s="141" t="n">
        <x:f>IF(E66&gt;0,E66*Premissas!$B$15,0)</x:f>
        <x:v>0</x:v>
      </x:c>
      <x:c r="H66" s="141" t="n">
        <x:f>IF(E66&gt;0,Premissas!$B$18,0)</x:f>
        <x:v>0</x:v>
      </x:c>
      <x:c r="I66" s="141" t="n">
        <x:f>F66+G66+H66</x:f>
        <x:v>0</x:v>
      </x:c>
      <x:c r="J66" s="141" t="n">
        <x:f>IF(E66-F66&gt;0,MIN(E66-F66,P66),0)</x:f>
        <x:v>0</x:v>
      </x:c>
      <x:c r="K66" s="141" t="n">
        <x:f>I66+J66</x:f>
        <x:v>0</x:v>
      </x:c>
      <x:c r="L66" s="141" t="n">
        <x:f>MAX(0,E66-F66-J66)</x:f>
        <x:v>0</x:v>
      </x:c>
      <x:c r="M66" s="141" t="n">
        <x:f>SUM($K$6:K66)</x:f>
        <x:v>185795.9624076597</x:v>
      </x:c>
      <x:c r="N66" s="140" t="str">
        <x:f>IF(C66=0,"Encerrado",IF(L66=0,"Quitado","Aberto"))</x:f>
        <x:v>Encerrado</x:v>
      </x:c>
      <x:c r="O66" s="141" t="n">
        <x:f>IF(C66&gt;0,Premissas!$B$35,0)</x:f>
        <x:v>0</x:v>
      </x:c>
      <x:c r="P66" s="141" t="n">
        <x:f>IF(C66&gt;0,MAX(0,O66-I66),0)</x:f>
        <x:v>0</x:v>
      </x:c>
      <x:c r="Q66" s="141" t="n">
        <x:f>J66-IF(E66-F66&gt;0,MIN(E66-F66,P66),0)</x:f>
        <x:v>0</x:v>
      </x:c>
    </x:row>
    <x:row r="67">
      <x:c r="A67" s="142" t="n">
        <x:v>62</x:v>
      </x:c>
      <x:c r="B67" s="179" t="n">
        <x:f>EDATE(Premissas!$B$4,61)</x:f>
        <x:v>48396</x:v>
      </x:c>
      <x:c r="C67" s="141" t="n">
        <x:f>L66</x:f>
        <x:v>0</x:v>
      </x:c>
      <x:c r="D67" s="141" t="n">
        <x:f>IF(C67&gt;0,C67*Premissas!$B$17,0)</x:f>
        <x:v>0</x:v>
      </x:c>
      <x:c r="E67" s="141" t="n">
        <x:f>C67+D67</x:f>
        <x:v>0</x:v>
      </x:c>
      <x:c r="F67" s="141" t="n">
        <x:f>IF(E67&gt;0,MIN(E67,INDEX(Financiamento!$G$6:$G$485,A67)),0)</x:f>
        <x:v>0</x:v>
      </x:c>
      <x:c r="G67" s="141" t="n">
        <x:f>IF(E67&gt;0,E67*Premissas!$B$15,0)</x:f>
        <x:v>0</x:v>
      </x:c>
      <x:c r="H67" s="141" t="n">
        <x:f>IF(E67&gt;0,Premissas!$B$18,0)</x:f>
        <x:v>0</x:v>
      </x:c>
      <x:c r="I67" s="141" t="n">
        <x:f>F67+G67+H67</x:f>
        <x:v>0</x:v>
      </x:c>
      <x:c r="J67" s="141" t="n">
        <x:f>IF(E67-F67&gt;0,MIN(E67-F67,P67),0)</x:f>
        <x:v>0</x:v>
      </x:c>
      <x:c r="K67" s="141" t="n">
        <x:f>I67+J67</x:f>
        <x:v>0</x:v>
      </x:c>
      <x:c r="L67" s="141" t="n">
        <x:f>MAX(0,E67-F67-J67)</x:f>
        <x:v>0</x:v>
      </x:c>
      <x:c r="M67" s="141" t="n">
        <x:f>SUM($K$6:K67)</x:f>
        <x:v>185795.9624076597</x:v>
      </x:c>
      <x:c r="N67" s="140" t="str">
        <x:f>IF(C67=0,"Encerrado",IF(L67=0,"Quitado","Aberto"))</x:f>
        <x:v>Encerrado</x:v>
      </x:c>
      <x:c r="O67" s="141" t="n">
        <x:f>IF(C67&gt;0,Premissas!$B$35,0)</x:f>
        <x:v>0</x:v>
      </x:c>
      <x:c r="P67" s="141" t="n">
        <x:f>IF(C67&gt;0,MAX(0,O67-I67),0)</x:f>
        <x:v>0</x:v>
      </x:c>
      <x:c r="Q67" s="141" t="n">
        <x:f>J67-IF(E67-F67&gt;0,MIN(E67-F67,P67),0)</x:f>
        <x:v>0</x:v>
      </x:c>
    </x:row>
    <x:row r="68">
      <x:c r="A68" s="142" t="n">
        <x:v>63</x:v>
      </x:c>
      <x:c r="B68" s="179" t="n">
        <x:f>EDATE(Premissas!$B$4,62)</x:f>
        <x:v>48427</x:v>
      </x:c>
      <x:c r="C68" s="141" t="n">
        <x:f>L67</x:f>
        <x:v>0</x:v>
      </x:c>
      <x:c r="D68" s="141" t="n">
        <x:f>IF(C68&gt;0,C68*Premissas!$B$17,0)</x:f>
        <x:v>0</x:v>
      </x:c>
      <x:c r="E68" s="141" t="n">
        <x:f>C68+D68</x:f>
        <x:v>0</x:v>
      </x:c>
      <x:c r="F68" s="141" t="n">
        <x:f>IF(E68&gt;0,MIN(E68,INDEX(Financiamento!$G$6:$G$485,A68)),0)</x:f>
        <x:v>0</x:v>
      </x:c>
      <x:c r="G68" s="141" t="n">
        <x:f>IF(E68&gt;0,E68*Premissas!$B$15,0)</x:f>
        <x:v>0</x:v>
      </x:c>
      <x:c r="H68" s="141" t="n">
        <x:f>IF(E68&gt;0,Premissas!$B$18,0)</x:f>
        <x:v>0</x:v>
      </x:c>
      <x:c r="I68" s="141" t="n">
        <x:f>F68+G68+H68</x:f>
        <x:v>0</x:v>
      </x:c>
      <x:c r="J68" s="141" t="n">
        <x:f>IF(E68-F68&gt;0,MIN(E68-F68,P68),0)</x:f>
        <x:v>0</x:v>
      </x:c>
      <x:c r="K68" s="141" t="n">
        <x:f>I68+J68</x:f>
        <x:v>0</x:v>
      </x:c>
      <x:c r="L68" s="141" t="n">
        <x:f>MAX(0,E68-F68-J68)</x:f>
        <x:v>0</x:v>
      </x:c>
      <x:c r="M68" s="141" t="n">
        <x:f>SUM($K$6:K68)</x:f>
        <x:v>185795.9624076597</x:v>
      </x:c>
      <x:c r="N68" s="140" t="str">
        <x:f>IF(C68=0,"Encerrado",IF(L68=0,"Quitado","Aberto"))</x:f>
        <x:v>Encerrado</x:v>
      </x:c>
      <x:c r="O68" s="141" t="n">
        <x:f>IF(C68&gt;0,Premissas!$B$35,0)</x:f>
        <x:v>0</x:v>
      </x:c>
      <x:c r="P68" s="141" t="n">
        <x:f>IF(C68&gt;0,MAX(0,O68-I68),0)</x:f>
        <x:v>0</x:v>
      </x:c>
      <x:c r="Q68" s="141" t="n">
        <x:f>J68-IF(E68-F68&gt;0,MIN(E68-F68,P68),0)</x:f>
        <x:v>0</x:v>
      </x:c>
    </x:row>
    <x:row r="69">
      <x:c r="A69" s="142" t="n">
        <x:v>64</x:v>
      </x:c>
      <x:c r="B69" s="179" t="n">
        <x:f>EDATE(Premissas!$B$4,63)</x:f>
        <x:v>48458</x:v>
      </x:c>
      <x:c r="C69" s="141" t="n">
        <x:f>L68</x:f>
        <x:v>0</x:v>
      </x:c>
      <x:c r="D69" s="141" t="n">
        <x:f>IF(C69&gt;0,C69*Premissas!$B$17,0)</x:f>
        <x:v>0</x:v>
      </x:c>
      <x:c r="E69" s="141" t="n">
        <x:f>C69+D69</x:f>
        <x:v>0</x:v>
      </x:c>
      <x:c r="F69" s="141" t="n">
        <x:f>IF(E69&gt;0,MIN(E69,INDEX(Financiamento!$G$6:$G$485,A69)),0)</x:f>
        <x:v>0</x:v>
      </x:c>
      <x:c r="G69" s="141" t="n">
        <x:f>IF(E69&gt;0,E69*Premissas!$B$15,0)</x:f>
        <x:v>0</x:v>
      </x:c>
      <x:c r="H69" s="141" t="n">
        <x:f>IF(E69&gt;0,Premissas!$B$18,0)</x:f>
        <x:v>0</x:v>
      </x:c>
      <x:c r="I69" s="141" t="n">
        <x:f>F69+G69+H69</x:f>
        <x:v>0</x:v>
      </x:c>
      <x:c r="J69" s="141" t="n">
        <x:f>IF(E69-F69&gt;0,MIN(E69-F69,P69),0)</x:f>
        <x:v>0</x:v>
      </x:c>
      <x:c r="K69" s="141" t="n">
        <x:f>I69+J69</x:f>
        <x:v>0</x:v>
      </x:c>
      <x:c r="L69" s="141" t="n">
        <x:f>MAX(0,E69-F69-J69)</x:f>
        <x:v>0</x:v>
      </x:c>
      <x:c r="M69" s="141" t="n">
        <x:f>SUM($K$6:K69)</x:f>
        <x:v>185795.9624076597</x:v>
      </x:c>
      <x:c r="N69" s="140" t="str">
        <x:f>IF(C69=0,"Encerrado",IF(L69=0,"Quitado","Aberto"))</x:f>
        <x:v>Encerrado</x:v>
      </x:c>
      <x:c r="O69" s="141" t="n">
        <x:f>IF(C69&gt;0,Premissas!$B$35,0)</x:f>
        <x:v>0</x:v>
      </x:c>
      <x:c r="P69" s="141" t="n">
        <x:f>IF(C69&gt;0,MAX(0,O69-I69),0)</x:f>
        <x:v>0</x:v>
      </x:c>
      <x:c r="Q69" s="141" t="n">
        <x:f>J69-IF(E69-F69&gt;0,MIN(E69-F69,P69),0)</x:f>
        <x:v>0</x:v>
      </x:c>
    </x:row>
    <x:row r="70">
      <x:c r="A70" s="142" t="n">
        <x:v>65</x:v>
      </x:c>
      <x:c r="B70" s="179" t="n">
        <x:f>EDATE(Premissas!$B$4,64)</x:f>
        <x:v>48488</x:v>
      </x:c>
      <x:c r="C70" s="141" t="n">
        <x:f>L69</x:f>
        <x:v>0</x:v>
      </x:c>
      <x:c r="D70" s="141" t="n">
        <x:f>IF(C70&gt;0,C70*Premissas!$B$17,0)</x:f>
        <x:v>0</x:v>
      </x:c>
      <x:c r="E70" s="141" t="n">
        <x:f>C70+D70</x:f>
        <x:v>0</x:v>
      </x:c>
      <x:c r="F70" s="141" t="n">
        <x:f>IF(E70&gt;0,MIN(E70,INDEX(Financiamento!$G$6:$G$485,A70)),0)</x:f>
        <x:v>0</x:v>
      </x:c>
      <x:c r="G70" s="141" t="n">
        <x:f>IF(E70&gt;0,E70*Premissas!$B$15,0)</x:f>
        <x:v>0</x:v>
      </x:c>
      <x:c r="H70" s="141" t="n">
        <x:f>IF(E70&gt;0,Premissas!$B$18,0)</x:f>
        <x:v>0</x:v>
      </x:c>
      <x:c r="I70" s="141" t="n">
        <x:f>F70+G70+H70</x:f>
        <x:v>0</x:v>
      </x:c>
      <x:c r="J70" s="141" t="n">
        <x:f>IF(E70-F70&gt;0,MIN(E70-F70,P70),0)</x:f>
        <x:v>0</x:v>
      </x:c>
      <x:c r="K70" s="141" t="n">
        <x:f>I70+J70</x:f>
        <x:v>0</x:v>
      </x:c>
      <x:c r="L70" s="141" t="n">
        <x:f>MAX(0,E70-F70-J70)</x:f>
        <x:v>0</x:v>
      </x:c>
      <x:c r="M70" s="141" t="n">
        <x:f>SUM($K$6:K70)</x:f>
        <x:v>185795.9624076597</x:v>
      </x:c>
      <x:c r="N70" s="140" t="str">
        <x:f>IF(C70=0,"Encerrado",IF(L70=0,"Quitado","Aberto"))</x:f>
        <x:v>Encerrado</x:v>
      </x:c>
      <x:c r="O70" s="141" t="n">
        <x:f>IF(C70&gt;0,Premissas!$B$35,0)</x:f>
        <x:v>0</x:v>
      </x:c>
      <x:c r="P70" s="141" t="n">
        <x:f>IF(C70&gt;0,MAX(0,O70-I70),0)</x:f>
        <x:v>0</x:v>
      </x:c>
      <x:c r="Q70" s="141" t="n">
        <x:f>J70-IF(E70-F70&gt;0,MIN(E70-F70,P70),0)</x:f>
        <x:v>0</x:v>
      </x:c>
    </x:row>
    <x:row r="71">
      <x:c r="A71" s="142" t="n">
        <x:v>66</x:v>
      </x:c>
      <x:c r="B71" s="179" t="n">
        <x:f>EDATE(Premissas!$B$4,65)</x:f>
        <x:v>48519</x:v>
      </x:c>
      <x:c r="C71" s="141" t="n">
        <x:f>L70</x:f>
        <x:v>0</x:v>
      </x:c>
      <x:c r="D71" s="141" t="n">
        <x:f>IF(C71&gt;0,C71*Premissas!$B$17,0)</x:f>
        <x:v>0</x:v>
      </x:c>
      <x:c r="E71" s="141" t="n">
        <x:f>C71+D71</x:f>
        <x:v>0</x:v>
      </x:c>
      <x:c r="F71" s="141" t="n">
        <x:f>IF(E71&gt;0,MIN(E71,INDEX(Financiamento!$G$6:$G$485,A71)),0)</x:f>
        <x:v>0</x:v>
      </x:c>
      <x:c r="G71" s="141" t="n">
        <x:f>IF(E71&gt;0,E71*Premissas!$B$15,0)</x:f>
        <x:v>0</x:v>
      </x:c>
      <x:c r="H71" s="141" t="n">
        <x:f>IF(E71&gt;0,Premissas!$B$18,0)</x:f>
        <x:v>0</x:v>
      </x:c>
      <x:c r="I71" s="141" t="n">
        <x:f>F71+G71+H71</x:f>
        <x:v>0</x:v>
      </x:c>
      <x:c r="J71" s="141" t="n">
        <x:f>IF(E71-F71&gt;0,MIN(E71-F71,P71),0)</x:f>
        <x:v>0</x:v>
      </x:c>
      <x:c r="K71" s="141" t="n">
        <x:f>I71+J71</x:f>
        <x:v>0</x:v>
      </x:c>
      <x:c r="L71" s="141" t="n">
        <x:f>MAX(0,E71-F71-J71)</x:f>
        <x:v>0</x:v>
      </x:c>
      <x:c r="M71" s="141" t="n">
        <x:f>SUM($K$6:K71)</x:f>
        <x:v>185795.9624076597</x:v>
      </x:c>
      <x:c r="N71" s="140" t="str">
        <x:f>IF(C71=0,"Encerrado",IF(L71=0,"Quitado","Aberto"))</x:f>
        <x:v>Encerrado</x:v>
      </x:c>
      <x:c r="O71" s="141" t="n">
        <x:f>IF(C71&gt;0,Premissas!$B$35,0)</x:f>
        <x:v>0</x:v>
      </x:c>
      <x:c r="P71" s="141" t="n">
        <x:f>IF(C71&gt;0,MAX(0,O71-I71),0)</x:f>
        <x:v>0</x:v>
      </x:c>
      <x:c r="Q71" s="141" t="n">
        <x:f>J71-IF(E71-F71&gt;0,MIN(E71-F71,P71),0)</x:f>
        <x:v>0</x:v>
      </x:c>
    </x:row>
    <x:row r="72">
      <x:c r="A72" s="142" t="n">
        <x:v>67</x:v>
      </x:c>
      <x:c r="B72" s="179" t="n">
        <x:f>EDATE(Premissas!$B$4,66)</x:f>
        <x:v>48549</x:v>
      </x:c>
      <x:c r="C72" s="141" t="n">
        <x:f>L71</x:f>
        <x:v>0</x:v>
      </x:c>
      <x:c r="D72" s="141" t="n">
        <x:f>IF(C72&gt;0,C72*Premissas!$B$17,0)</x:f>
        <x:v>0</x:v>
      </x:c>
      <x:c r="E72" s="141" t="n">
        <x:f>C72+D72</x:f>
        <x:v>0</x:v>
      </x:c>
      <x:c r="F72" s="141" t="n">
        <x:f>IF(E72&gt;0,MIN(E72,INDEX(Financiamento!$G$6:$G$485,A72)),0)</x:f>
        <x:v>0</x:v>
      </x:c>
      <x:c r="G72" s="141" t="n">
        <x:f>IF(E72&gt;0,E72*Premissas!$B$15,0)</x:f>
        <x:v>0</x:v>
      </x:c>
      <x:c r="H72" s="141" t="n">
        <x:f>IF(E72&gt;0,Premissas!$B$18,0)</x:f>
        <x:v>0</x:v>
      </x:c>
      <x:c r="I72" s="141" t="n">
        <x:f>F72+G72+H72</x:f>
        <x:v>0</x:v>
      </x:c>
      <x:c r="J72" s="141" t="n">
        <x:f>IF(E72-F72&gt;0,MIN(E72-F72,P72),0)</x:f>
        <x:v>0</x:v>
      </x:c>
      <x:c r="K72" s="141" t="n">
        <x:f>I72+J72</x:f>
        <x:v>0</x:v>
      </x:c>
      <x:c r="L72" s="141" t="n">
        <x:f>MAX(0,E72-F72-J72)</x:f>
        <x:v>0</x:v>
      </x:c>
      <x:c r="M72" s="141" t="n">
        <x:f>SUM($K$6:K72)</x:f>
        <x:v>185795.9624076597</x:v>
      </x:c>
      <x:c r="N72" s="140" t="str">
        <x:f>IF(C72=0,"Encerrado",IF(L72=0,"Quitado","Aberto"))</x:f>
        <x:v>Encerrado</x:v>
      </x:c>
      <x:c r="O72" s="141" t="n">
        <x:f>IF(C72&gt;0,Premissas!$B$35,0)</x:f>
        <x:v>0</x:v>
      </x:c>
      <x:c r="P72" s="141" t="n">
        <x:f>IF(C72&gt;0,MAX(0,O72-I72),0)</x:f>
        <x:v>0</x:v>
      </x:c>
      <x:c r="Q72" s="141" t="n">
        <x:f>J72-IF(E72-F72&gt;0,MIN(E72-F72,P72),0)</x:f>
        <x:v>0</x:v>
      </x:c>
    </x:row>
    <x:row r="73">
      <x:c r="A73" s="142" t="n">
        <x:v>68</x:v>
      </x:c>
      <x:c r="B73" s="179" t="n">
        <x:f>EDATE(Premissas!$B$4,67)</x:f>
        <x:v>48580</x:v>
      </x:c>
      <x:c r="C73" s="141" t="n">
        <x:f>L72</x:f>
        <x:v>0</x:v>
      </x:c>
      <x:c r="D73" s="141" t="n">
        <x:f>IF(C73&gt;0,C73*Premissas!$B$17,0)</x:f>
        <x:v>0</x:v>
      </x:c>
      <x:c r="E73" s="141" t="n">
        <x:f>C73+D73</x:f>
        <x:v>0</x:v>
      </x:c>
      <x:c r="F73" s="141" t="n">
        <x:f>IF(E73&gt;0,MIN(E73,INDEX(Financiamento!$G$6:$G$485,A73)),0)</x:f>
        <x:v>0</x:v>
      </x:c>
      <x:c r="G73" s="141" t="n">
        <x:f>IF(E73&gt;0,E73*Premissas!$B$15,0)</x:f>
        <x:v>0</x:v>
      </x:c>
      <x:c r="H73" s="141" t="n">
        <x:f>IF(E73&gt;0,Premissas!$B$18,0)</x:f>
        <x:v>0</x:v>
      </x:c>
      <x:c r="I73" s="141" t="n">
        <x:f>F73+G73+H73</x:f>
        <x:v>0</x:v>
      </x:c>
      <x:c r="J73" s="141" t="n">
        <x:f>IF(E73-F73&gt;0,MIN(E73-F73,P73),0)</x:f>
        <x:v>0</x:v>
      </x:c>
      <x:c r="K73" s="141" t="n">
        <x:f>I73+J73</x:f>
        <x:v>0</x:v>
      </x:c>
      <x:c r="L73" s="141" t="n">
        <x:f>MAX(0,E73-F73-J73)</x:f>
        <x:v>0</x:v>
      </x:c>
      <x:c r="M73" s="141" t="n">
        <x:f>SUM($K$6:K73)</x:f>
        <x:v>185795.9624076597</x:v>
      </x:c>
      <x:c r="N73" s="140" t="str">
        <x:f>IF(C73=0,"Encerrado",IF(L73=0,"Quitado","Aberto"))</x:f>
        <x:v>Encerrado</x:v>
      </x:c>
      <x:c r="O73" s="141" t="n">
        <x:f>IF(C73&gt;0,Premissas!$B$35,0)</x:f>
        <x:v>0</x:v>
      </x:c>
      <x:c r="P73" s="141" t="n">
        <x:f>IF(C73&gt;0,MAX(0,O73-I73),0)</x:f>
        <x:v>0</x:v>
      </x:c>
      <x:c r="Q73" s="141" t="n">
        <x:f>J73-IF(E73-F73&gt;0,MIN(E73-F73,P73),0)</x:f>
        <x:v>0</x:v>
      </x:c>
    </x:row>
    <x:row r="74">
      <x:c r="A74" s="142" t="n">
        <x:v>69</x:v>
      </x:c>
      <x:c r="B74" s="179" t="n">
        <x:f>EDATE(Premissas!$B$4,68)</x:f>
        <x:v>48611</x:v>
      </x:c>
      <x:c r="C74" s="141" t="n">
        <x:f>L73</x:f>
        <x:v>0</x:v>
      </x:c>
      <x:c r="D74" s="141" t="n">
        <x:f>IF(C74&gt;0,C74*Premissas!$B$17,0)</x:f>
        <x:v>0</x:v>
      </x:c>
      <x:c r="E74" s="141" t="n">
        <x:f>C74+D74</x:f>
        <x:v>0</x:v>
      </x:c>
      <x:c r="F74" s="141" t="n">
        <x:f>IF(E74&gt;0,MIN(E74,INDEX(Financiamento!$G$6:$G$485,A74)),0)</x:f>
        <x:v>0</x:v>
      </x:c>
      <x:c r="G74" s="141" t="n">
        <x:f>IF(E74&gt;0,E74*Premissas!$B$15,0)</x:f>
        <x:v>0</x:v>
      </x:c>
      <x:c r="H74" s="141" t="n">
        <x:f>IF(E74&gt;0,Premissas!$B$18,0)</x:f>
        <x:v>0</x:v>
      </x:c>
      <x:c r="I74" s="141" t="n">
        <x:f>F74+G74+H74</x:f>
        <x:v>0</x:v>
      </x:c>
      <x:c r="J74" s="141" t="n">
        <x:f>IF(E74-F74&gt;0,MIN(E74-F74,P74),0)</x:f>
        <x:v>0</x:v>
      </x:c>
      <x:c r="K74" s="141" t="n">
        <x:f>I74+J74</x:f>
        <x:v>0</x:v>
      </x:c>
      <x:c r="L74" s="141" t="n">
        <x:f>MAX(0,E74-F74-J74)</x:f>
        <x:v>0</x:v>
      </x:c>
      <x:c r="M74" s="141" t="n">
        <x:f>SUM($K$6:K74)</x:f>
        <x:v>185795.9624076597</x:v>
      </x:c>
      <x:c r="N74" s="140" t="str">
        <x:f>IF(C74=0,"Encerrado",IF(L74=0,"Quitado","Aberto"))</x:f>
        <x:v>Encerrado</x:v>
      </x:c>
      <x:c r="O74" s="141" t="n">
        <x:f>IF(C74&gt;0,Premissas!$B$35,0)</x:f>
        <x:v>0</x:v>
      </x:c>
      <x:c r="P74" s="141" t="n">
        <x:f>IF(C74&gt;0,MAX(0,O74-I74),0)</x:f>
        <x:v>0</x:v>
      </x:c>
      <x:c r="Q74" s="141" t="n">
        <x:f>J74-IF(E74-F74&gt;0,MIN(E74-F74,P74),0)</x:f>
        <x:v>0</x:v>
      </x:c>
    </x:row>
    <x:row r="75">
      <x:c r="A75" s="142" t="n">
        <x:v>70</x:v>
      </x:c>
      <x:c r="B75" s="179" t="n">
        <x:f>EDATE(Premissas!$B$4,69)</x:f>
        <x:v>48639</x:v>
      </x:c>
      <x:c r="C75" s="141" t="n">
        <x:f>L74</x:f>
        <x:v>0</x:v>
      </x:c>
      <x:c r="D75" s="141" t="n">
        <x:f>IF(C75&gt;0,C75*Premissas!$B$17,0)</x:f>
        <x:v>0</x:v>
      </x:c>
      <x:c r="E75" s="141" t="n">
        <x:f>C75+D75</x:f>
        <x:v>0</x:v>
      </x:c>
      <x:c r="F75" s="141" t="n">
        <x:f>IF(E75&gt;0,MIN(E75,INDEX(Financiamento!$G$6:$G$485,A75)),0)</x:f>
        <x:v>0</x:v>
      </x:c>
      <x:c r="G75" s="141" t="n">
        <x:f>IF(E75&gt;0,E75*Premissas!$B$15,0)</x:f>
        <x:v>0</x:v>
      </x:c>
      <x:c r="H75" s="141" t="n">
        <x:f>IF(E75&gt;0,Premissas!$B$18,0)</x:f>
        <x:v>0</x:v>
      </x:c>
      <x:c r="I75" s="141" t="n">
        <x:f>F75+G75+H75</x:f>
        <x:v>0</x:v>
      </x:c>
      <x:c r="J75" s="141" t="n">
        <x:f>IF(E75-F75&gt;0,MIN(E75-F75,P75),0)</x:f>
        <x:v>0</x:v>
      </x:c>
      <x:c r="K75" s="141" t="n">
        <x:f>I75+J75</x:f>
        <x:v>0</x:v>
      </x:c>
      <x:c r="L75" s="141" t="n">
        <x:f>MAX(0,E75-F75-J75)</x:f>
        <x:v>0</x:v>
      </x:c>
      <x:c r="M75" s="141" t="n">
        <x:f>SUM($K$6:K75)</x:f>
        <x:v>185795.9624076597</x:v>
      </x:c>
      <x:c r="N75" s="140" t="str">
        <x:f>IF(C75=0,"Encerrado",IF(L75=0,"Quitado","Aberto"))</x:f>
        <x:v>Encerrado</x:v>
      </x:c>
      <x:c r="O75" s="141" t="n">
        <x:f>IF(C75&gt;0,Premissas!$B$35,0)</x:f>
        <x:v>0</x:v>
      </x:c>
      <x:c r="P75" s="141" t="n">
        <x:f>IF(C75&gt;0,MAX(0,O75-I75),0)</x:f>
        <x:v>0</x:v>
      </x:c>
      <x:c r="Q75" s="141" t="n">
        <x:f>J75-IF(E75-F75&gt;0,MIN(E75-F75,P75),0)</x:f>
        <x:v>0</x:v>
      </x:c>
    </x:row>
    <x:row r="76">
      <x:c r="A76" s="142" t="n">
        <x:v>71</x:v>
      </x:c>
      <x:c r="B76" s="179" t="n">
        <x:f>EDATE(Premissas!$B$4,70)</x:f>
        <x:v>48670</x:v>
      </x:c>
      <x:c r="C76" s="141" t="n">
        <x:f>L75</x:f>
        <x:v>0</x:v>
      </x:c>
      <x:c r="D76" s="141" t="n">
        <x:f>IF(C76&gt;0,C76*Premissas!$B$17,0)</x:f>
        <x:v>0</x:v>
      </x:c>
      <x:c r="E76" s="141" t="n">
        <x:f>C76+D76</x:f>
        <x:v>0</x:v>
      </x:c>
      <x:c r="F76" s="141" t="n">
        <x:f>IF(E76&gt;0,MIN(E76,INDEX(Financiamento!$G$6:$G$485,A76)),0)</x:f>
        <x:v>0</x:v>
      </x:c>
      <x:c r="G76" s="141" t="n">
        <x:f>IF(E76&gt;0,E76*Premissas!$B$15,0)</x:f>
        <x:v>0</x:v>
      </x:c>
      <x:c r="H76" s="141" t="n">
        <x:f>IF(E76&gt;0,Premissas!$B$18,0)</x:f>
        <x:v>0</x:v>
      </x:c>
      <x:c r="I76" s="141" t="n">
        <x:f>F76+G76+H76</x:f>
        <x:v>0</x:v>
      </x:c>
      <x:c r="J76" s="141" t="n">
        <x:f>IF(E76-F76&gt;0,MIN(E76-F76,P76),0)</x:f>
        <x:v>0</x:v>
      </x:c>
      <x:c r="K76" s="141" t="n">
        <x:f>I76+J76</x:f>
        <x:v>0</x:v>
      </x:c>
      <x:c r="L76" s="141" t="n">
        <x:f>MAX(0,E76-F76-J76)</x:f>
        <x:v>0</x:v>
      </x:c>
      <x:c r="M76" s="141" t="n">
        <x:f>SUM($K$6:K76)</x:f>
        <x:v>185795.9624076597</x:v>
      </x:c>
      <x:c r="N76" s="140" t="str">
        <x:f>IF(C76=0,"Encerrado",IF(L76=0,"Quitado","Aberto"))</x:f>
        <x:v>Encerrado</x:v>
      </x:c>
      <x:c r="O76" s="141" t="n">
        <x:f>IF(C76&gt;0,Premissas!$B$35,0)</x:f>
        <x:v>0</x:v>
      </x:c>
      <x:c r="P76" s="141" t="n">
        <x:f>IF(C76&gt;0,MAX(0,O76-I76),0)</x:f>
        <x:v>0</x:v>
      </x:c>
      <x:c r="Q76" s="141" t="n">
        <x:f>J76-IF(E76-F76&gt;0,MIN(E76-F76,P76),0)</x:f>
        <x:v>0</x:v>
      </x:c>
    </x:row>
    <x:row r="77">
      <x:c r="A77" s="142" t="n">
        <x:v>72</x:v>
      </x:c>
      <x:c r="B77" s="179" t="n">
        <x:f>EDATE(Premissas!$B$4,71)</x:f>
        <x:v>48700</x:v>
      </x:c>
      <x:c r="C77" s="141" t="n">
        <x:f>L76</x:f>
        <x:v>0</x:v>
      </x:c>
      <x:c r="D77" s="141" t="n">
        <x:f>IF(C77&gt;0,C77*Premissas!$B$17,0)</x:f>
        <x:v>0</x:v>
      </x:c>
      <x:c r="E77" s="141" t="n">
        <x:f>C77+D77</x:f>
        <x:v>0</x:v>
      </x:c>
      <x:c r="F77" s="141" t="n">
        <x:f>IF(E77&gt;0,MIN(E77,INDEX(Financiamento!$G$6:$G$485,A77)),0)</x:f>
        <x:v>0</x:v>
      </x:c>
      <x:c r="G77" s="141" t="n">
        <x:f>IF(E77&gt;0,E77*Premissas!$B$15,0)</x:f>
        <x:v>0</x:v>
      </x:c>
      <x:c r="H77" s="141" t="n">
        <x:f>IF(E77&gt;0,Premissas!$B$18,0)</x:f>
        <x:v>0</x:v>
      </x:c>
      <x:c r="I77" s="141" t="n">
        <x:f>F77+G77+H77</x:f>
        <x:v>0</x:v>
      </x:c>
      <x:c r="J77" s="141" t="n">
        <x:f>IF(E77-F77&gt;0,MIN(E77-F77,P77),0)</x:f>
        <x:v>0</x:v>
      </x:c>
      <x:c r="K77" s="141" t="n">
        <x:f>I77+J77</x:f>
        <x:v>0</x:v>
      </x:c>
      <x:c r="L77" s="141" t="n">
        <x:f>MAX(0,E77-F77-J77)</x:f>
        <x:v>0</x:v>
      </x:c>
      <x:c r="M77" s="141" t="n">
        <x:f>SUM($K$6:K77)</x:f>
        <x:v>185795.9624076597</x:v>
      </x:c>
      <x:c r="N77" s="140" t="str">
        <x:f>IF(C77=0,"Encerrado",IF(L77=0,"Quitado","Aberto"))</x:f>
        <x:v>Encerrado</x:v>
      </x:c>
      <x:c r="O77" s="141" t="n">
        <x:f>IF(C77&gt;0,Premissas!$B$35,0)</x:f>
        <x:v>0</x:v>
      </x:c>
      <x:c r="P77" s="141" t="n">
        <x:f>IF(C77&gt;0,MAX(0,O77-I77),0)</x:f>
        <x:v>0</x:v>
      </x:c>
      <x:c r="Q77" s="141" t="n">
        <x:f>J77-IF(E77-F77&gt;0,MIN(E77-F77,P77),0)</x:f>
        <x:v>0</x:v>
      </x:c>
    </x:row>
    <x:row r="78">
      <x:c r="A78" s="142" t="n">
        <x:v>73</x:v>
      </x:c>
      <x:c r="B78" s="179" t="n">
        <x:f>EDATE(Premissas!$B$4,72)</x:f>
        <x:v>48731</x:v>
      </x:c>
      <x:c r="C78" s="141" t="n">
        <x:f>L77</x:f>
        <x:v>0</x:v>
      </x:c>
      <x:c r="D78" s="141" t="n">
        <x:f>IF(C78&gt;0,C78*Premissas!$B$17,0)</x:f>
        <x:v>0</x:v>
      </x:c>
      <x:c r="E78" s="141" t="n">
        <x:f>C78+D78</x:f>
        <x:v>0</x:v>
      </x:c>
      <x:c r="F78" s="141" t="n">
        <x:f>IF(E78&gt;0,MIN(E78,INDEX(Financiamento!$G$6:$G$485,A78)),0)</x:f>
        <x:v>0</x:v>
      </x:c>
      <x:c r="G78" s="141" t="n">
        <x:f>IF(E78&gt;0,E78*Premissas!$B$15,0)</x:f>
        <x:v>0</x:v>
      </x:c>
      <x:c r="H78" s="141" t="n">
        <x:f>IF(E78&gt;0,Premissas!$B$18,0)</x:f>
        <x:v>0</x:v>
      </x:c>
      <x:c r="I78" s="141" t="n">
        <x:f>F78+G78+H78</x:f>
        <x:v>0</x:v>
      </x:c>
      <x:c r="J78" s="141" t="n">
        <x:f>IF(E78-F78&gt;0,MIN(E78-F78,P78),0)</x:f>
        <x:v>0</x:v>
      </x:c>
      <x:c r="K78" s="141" t="n">
        <x:f>I78+J78</x:f>
        <x:v>0</x:v>
      </x:c>
      <x:c r="L78" s="141" t="n">
        <x:f>MAX(0,E78-F78-J78)</x:f>
        <x:v>0</x:v>
      </x:c>
      <x:c r="M78" s="141" t="n">
        <x:f>SUM($K$6:K78)</x:f>
        <x:v>185795.9624076597</x:v>
      </x:c>
      <x:c r="N78" s="140" t="str">
        <x:f>IF(C78=0,"Encerrado",IF(L78=0,"Quitado","Aberto"))</x:f>
        <x:v>Encerrado</x:v>
      </x:c>
      <x:c r="O78" s="141" t="n">
        <x:f>IF(C78&gt;0,Premissas!$B$35,0)</x:f>
        <x:v>0</x:v>
      </x:c>
      <x:c r="P78" s="141" t="n">
        <x:f>IF(C78&gt;0,MAX(0,O78-I78),0)</x:f>
        <x:v>0</x:v>
      </x:c>
      <x:c r="Q78" s="141" t="n">
        <x:f>J78-IF(E78-F78&gt;0,MIN(E78-F78,P78),0)</x:f>
        <x:v>0</x:v>
      </x:c>
    </x:row>
    <x:row r="79">
      <x:c r="A79" s="142" t="n">
        <x:v>74</x:v>
      </x:c>
      <x:c r="B79" s="179" t="n">
        <x:f>EDATE(Premissas!$B$4,73)</x:f>
        <x:v>48761</x:v>
      </x:c>
      <x:c r="C79" s="141" t="n">
        <x:f>L78</x:f>
        <x:v>0</x:v>
      </x:c>
      <x:c r="D79" s="141" t="n">
        <x:f>IF(C79&gt;0,C79*Premissas!$B$17,0)</x:f>
        <x:v>0</x:v>
      </x:c>
      <x:c r="E79" s="141" t="n">
        <x:f>C79+D79</x:f>
        <x:v>0</x:v>
      </x:c>
      <x:c r="F79" s="141" t="n">
        <x:f>IF(E79&gt;0,MIN(E79,INDEX(Financiamento!$G$6:$G$485,A79)),0)</x:f>
        <x:v>0</x:v>
      </x:c>
      <x:c r="G79" s="141" t="n">
        <x:f>IF(E79&gt;0,E79*Premissas!$B$15,0)</x:f>
        <x:v>0</x:v>
      </x:c>
      <x:c r="H79" s="141" t="n">
        <x:f>IF(E79&gt;0,Premissas!$B$18,0)</x:f>
        <x:v>0</x:v>
      </x:c>
      <x:c r="I79" s="141" t="n">
        <x:f>F79+G79+H79</x:f>
        <x:v>0</x:v>
      </x:c>
      <x:c r="J79" s="141" t="n">
        <x:f>IF(E79-F79&gt;0,MIN(E79-F79,P79),0)</x:f>
        <x:v>0</x:v>
      </x:c>
      <x:c r="K79" s="141" t="n">
        <x:f>I79+J79</x:f>
        <x:v>0</x:v>
      </x:c>
      <x:c r="L79" s="141" t="n">
        <x:f>MAX(0,E79-F79-J79)</x:f>
        <x:v>0</x:v>
      </x:c>
      <x:c r="M79" s="141" t="n">
        <x:f>SUM($K$6:K79)</x:f>
        <x:v>185795.9624076597</x:v>
      </x:c>
      <x:c r="N79" s="140" t="str">
        <x:f>IF(C79=0,"Encerrado",IF(L79=0,"Quitado","Aberto"))</x:f>
        <x:v>Encerrado</x:v>
      </x:c>
      <x:c r="O79" s="141" t="n">
        <x:f>IF(C79&gt;0,Premissas!$B$35,0)</x:f>
        <x:v>0</x:v>
      </x:c>
      <x:c r="P79" s="141" t="n">
        <x:f>IF(C79&gt;0,MAX(0,O79-I79),0)</x:f>
        <x:v>0</x:v>
      </x:c>
      <x:c r="Q79" s="141" t="n">
        <x:f>J79-IF(E79-F79&gt;0,MIN(E79-F79,P79),0)</x:f>
        <x:v>0</x:v>
      </x:c>
    </x:row>
    <x:row r="80">
      <x:c r="A80" s="142" t="n">
        <x:v>75</x:v>
      </x:c>
      <x:c r="B80" s="179" t="n">
        <x:f>EDATE(Premissas!$B$4,74)</x:f>
        <x:v>48792</x:v>
      </x:c>
      <x:c r="C80" s="141" t="n">
        <x:f>L79</x:f>
        <x:v>0</x:v>
      </x:c>
      <x:c r="D80" s="141" t="n">
        <x:f>IF(C80&gt;0,C80*Premissas!$B$17,0)</x:f>
        <x:v>0</x:v>
      </x:c>
      <x:c r="E80" s="141" t="n">
        <x:f>C80+D80</x:f>
        <x:v>0</x:v>
      </x:c>
      <x:c r="F80" s="141" t="n">
        <x:f>IF(E80&gt;0,MIN(E80,INDEX(Financiamento!$G$6:$G$485,A80)),0)</x:f>
        <x:v>0</x:v>
      </x:c>
      <x:c r="G80" s="141" t="n">
        <x:f>IF(E80&gt;0,E80*Premissas!$B$15,0)</x:f>
        <x:v>0</x:v>
      </x:c>
      <x:c r="H80" s="141" t="n">
        <x:f>IF(E80&gt;0,Premissas!$B$18,0)</x:f>
        <x:v>0</x:v>
      </x:c>
      <x:c r="I80" s="141" t="n">
        <x:f>F80+G80+H80</x:f>
        <x:v>0</x:v>
      </x:c>
      <x:c r="J80" s="141" t="n">
        <x:f>IF(E80-F80&gt;0,MIN(E80-F80,P80),0)</x:f>
        <x:v>0</x:v>
      </x:c>
      <x:c r="K80" s="141" t="n">
        <x:f>I80+J80</x:f>
        <x:v>0</x:v>
      </x:c>
      <x:c r="L80" s="141" t="n">
        <x:f>MAX(0,E80-F80-J80)</x:f>
        <x:v>0</x:v>
      </x:c>
      <x:c r="M80" s="141" t="n">
        <x:f>SUM($K$6:K80)</x:f>
        <x:v>185795.9624076597</x:v>
      </x:c>
      <x:c r="N80" s="140" t="str">
        <x:f>IF(C80=0,"Encerrado",IF(L80=0,"Quitado","Aberto"))</x:f>
        <x:v>Encerrado</x:v>
      </x:c>
      <x:c r="O80" s="141" t="n">
        <x:f>IF(C80&gt;0,Premissas!$B$35,0)</x:f>
        <x:v>0</x:v>
      </x:c>
      <x:c r="P80" s="141" t="n">
        <x:f>IF(C80&gt;0,MAX(0,O80-I80),0)</x:f>
        <x:v>0</x:v>
      </x:c>
      <x:c r="Q80" s="141" t="n">
        <x:f>J80-IF(E80-F80&gt;0,MIN(E80-F80,P80),0)</x:f>
        <x:v>0</x:v>
      </x:c>
    </x:row>
    <x:row r="81">
      <x:c r="A81" s="142" t="n">
        <x:v>76</x:v>
      </x:c>
      <x:c r="B81" s="179" t="n">
        <x:f>EDATE(Premissas!$B$4,75)</x:f>
        <x:v>48823</x:v>
      </x:c>
      <x:c r="C81" s="141" t="n">
        <x:f>L80</x:f>
        <x:v>0</x:v>
      </x:c>
      <x:c r="D81" s="141" t="n">
        <x:f>IF(C81&gt;0,C81*Premissas!$B$17,0)</x:f>
        <x:v>0</x:v>
      </x:c>
      <x:c r="E81" s="141" t="n">
        <x:f>C81+D81</x:f>
        <x:v>0</x:v>
      </x:c>
      <x:c r="F81" s="141" t="n">
        <x:f>IF(E81&gt;0,MIN(E81,INDEX(Financiamento!$G$6:$G$485,A81)),0)</x:f>
        <x:v>0</x:v>
      </x:c>
      <x:c r="G81" s="141" t="n">
        <x:f>IF(E81&gt;0,E81*Premissas!$B$15,0)</x:f>
        <x:v>0</x:v>
      </x:c>
      <x:c r="H81" s="141" t="n">
        <x:f>IF(E81&gt;0,Premissas!$B$18,0)</x:f>
        <x:v>0</x:v>
      </x:c>
      <x:c r="I81" s="141" t="n">
        <x:f>F81+G81+H81</x:f>
        <x:v>0</x:v>
      </x:c>
      <x:c r="J81" s="141" t="n">
        <x:f>IF(E81-F81&gt;0,MIN(E81-F81,P81),0)</x:f>
        <x:v>0</x:v>
      </x:c>
      <x:c r="K81" s="141" t="n">
        <x:f>I81+J81</x:f>
        <x:v>0</x:v>
      </x:c>
      <x:c r="L81" s="141" t="n">
        <x:f>MAX(0,E81-F81-J81)</x:f>
        <x:v>0</x:v>
      </x:c>
      <x:c r="M81" s="141" t="n">
        <x:f>SUM($K$6:K81)</x:f>
        <x:v>185795.9624076597</x:v>
      </x:c>
      <x:c r="N81" s="140" t="str">
        <x:f>IF(C81=0,"Encerrado",IF(L81=0,"Quitado","Aberto"))</x:f>
        <x:v>Encerrado</x:v>
      </x:c>
      <x:c r="O81" s="141" t="n">
        <x:f>IF(C81&gt;0,Premissas!$B$35,0)</x:f>
        <x:v>0</x:v>
      </x:c>
      <x:c r="P81" s="141" t="n">
        <x:f>IF(C81&gt;0,MAX(0,O81-I81),0)</x:f>
        <x:v>0</x:v>
      </x:c>
      <x:c r="Q81" s="141" t="n">
        <x:f>J81-IF(E81-F81&gt;0,MIN(E81-F81,P81),0)</x:f>
        <x:v>0</x:v>
      </x:c>
    </x:row>
    <x:row r="82">
      <x:c r="A82" s="142" t="n">
        <x:v>77</x:v>
      </x:c>
      <x:c r="B82" s="179" t="n">
        <x:f>EDATE(Premissas!$B$4,76)</x:f>
        <x:v>48853</x:v>
      </x:c>
      <x:c r="C82" s="141" t="n">
        <x:f>L81</x:f>
        <x:v>0</x:v>
      </x:c>
      <x:c r="D82" s="141" t="n">
        <x:f>IF(C82&gt;0,C82*Premissas!$B$17,0)</x:f>
        <x:v>0</x:v>
      </x:c>
      <x:c r="E82" s="141" t="n">
        <x:f>C82+D82</x:f>
        <x:v>0</x:v>
      </x:c>
      <x:c r="F82" s="141" t="n">
        <x:f>IF(E82&gt;0,MIN(E82,INDEX(Financiamento!$G$6:$G$485,A82)),0)</x:f>
        <x:v>0</x:v>
      </x:c>
      <x:c r="G82" s="141" t="n">
        <x:f>IF(E82&gt;0,E82*Premissas!$B$15,0)</x:f>
        <x:v>0</x:v>
      </x:c>
      <x:c r="H82" s="141" t="n">
        <x:f>IF(E82&gt;0,Premissas!$B$18,0)</x:f>
        <x:v>0</x:v>
      </x:c>
      <x:c r="I82" s="141" t="n">
        <x:f>F82+G82+H82</x:f>
        <x:v>0</x:v>
      </x:c>
      <x:c r="J82" s="141" t="n">
        <x:f>IF(E82-F82&gt;0,MIN(E82-F82,P82),0)</x:f>
        <x:v>0</x:v>
      </x:c>
      <x:c r="K82" s="141" t="n">
        <x:f>I82+J82</x:f>
        <x:v>0</x:v>
      </x:c>
      <x:c r="L82" s="141" t="n">
        <x:f>MAX(0,E82-F82-J82)</x:f>
        <x:v>0</x:v>
      </x:c>
      <x:c r="M82" s="141" t="n">
        <x:f>SUM($K$6:K82)</x:f>
        <x:v>185795.9624076597</x:v>
      </x:c>
      <x:c r="N82" s="140" t="str">
        <x:f>IF(C82=0,"Encerrado",IF(L82=0,"Quitado","Aberto"))</x:f>
        <x:v>Encerrado</x:v>
      </x:c>
      <x:c r="O82" s="141" t="n">
        <x:f>IF(C82&gt;0,Premissas!$B$35,0)</x:f>
        <x:v>0</x:v>
      </x:c>
      <x:c r="P82" s="141" t="n">
        <x:f>IF(C82&gt;0,MAX(0,O82-I82),0)</x:f>
        <x:v>0</x:v>
      </x:c>
      <x:c r="Q82" s="141" t="n">
        <x:f>J82-IF(E82-F82&gt;0,MIN(E82-F82,P82),0)</x:f>
        <x:v>0</x:v>
      </x:c>
    </x:row>
    <x:row r="83">
      <x:c r="A83" s="142" t="n">
        <x:v>78</x:v>
      </x:c>
      <x:c r="B83" s="179" t="n">
        <x:f>EDATE(Premissas!$B$4,77)</x:f>
        <x:v>48884</x:v>
      </x:c>
      <x:c r="C83" s="141" t="n">
        <x:f>L82</x:f>
        <x:v>0</x:v>
      </x:c>
      <x:c r="D83" s="141" t="n">
        <x:f>IF(C83&gt;0,C83*Premissas!$B$17,0)</x:f>
        <x:v>0</x:v>
      </x:c>
      <x:c r="E83" s="141" t="n">
        <x:f>C83+D83</x:f>
        <x:v>0</x:v>
      </x:c>
      <x:c r="F83" s="141" t="n">
        <x:f>IF(E83&gt;0,MIN(E83,INDEX(Financiamento!$G$6:$G$485,A83)),0)</x:f>
        <x:v>0</x:v>
      </x:c>
      <x:c r="G83" s="141" t="n">
        <x:f>IF(E83&gt;0,E83*Premissas!$B$15,0)</x:f>
        <x:v>0</x:v>
      </x:c>
      <x:c r="H83" s="141" t="n">
        <x:f>IF(E83&gt;0,Premissas!$B$18,0)</x:f>
        <x:v>0</x:v>
      </x:c>
      <x:c r="I83" s="141" t="n">
        <x:f>F83+G83+H83</x:f>
        <x:v>0</x:v>
      </x:c>
      <x:c r="J83" s="141" t="n">
        <x:f>IF(E83-F83&gt;0,MIN(E83-F83,P83),0)</x:f>
        <x:v>0</x:v>
      </x:c>
      <x:c r="K83" s="141" t="n">
        <x:f>I83+J83</x:f>
        <x:v>0</x:v>
      </x:c>
      <x:c r="L83" s="141" t="n">
        <x:f>MAX(0,E83-F83-J83)</x:f>
        <x:v>0</x:v>
      </x:c>
      <x:c r="M83" s="141" t="n">
        <x:f>SUM($K$6:K83)</x:f>
        <x:v>185795.9624076597</x:v>
      </x:c>
      <x:c r="N83" s="140" t="str">
        <x:f>IF(C83=0,"Encerrado",IF(L83=0,"Quitado","Aberto"))</x:f>
        <x:v>Encerrado</x:v>
      </x:c>
      <x:c r="O83" s="141" t="n">
        <x:f>IF(C83&gt;0,Premissas!$B$35,0)</x:f>
        <x:v>0</x:v>
      </x:c>
      <x:c r="P83" s="141" t="n">
        <x:f>IF(C83&gt;0,MAX(0,O83-I83),0)</x:f>
        <x:v>0</x:v>
      </x:c>
      <x:c r="Q83" s="141" t="n">
        <x:f>J83-IF(E83-F83&gt;0,MIN(E83-F83,P83),0)</x:f>
        <x:v>0</x:v>
      </x:c>
    </x:row>
    <x:row r="84">
      <x:c r="A84" s="142" t="n">
        <x:v>79</x:v>
      </x:c>
      <x:c r="B84" s="179" t="n">
        <x:f>EDATE(Premissas!$B$4,78)</x:f>
        <x:v>48914</x:v>
      </x:c>
      <x:c r="C84" s="141" t="n">
        <x:f>L83</x:f>
        <x:v>0</x:v>
      </x:c>
      <x:c r="D84" s="141" t="n">
        <x:f>IF(C84&gt;0,C84*Premissas!$B$17,0)</x:f>
        <x:v>0</x:v>
      </x:c>
      <x:c r="E84" s="141" t="n">
        <x:f>C84+D84</x:f>
        <x:v>0</x:v>
      </x:c>
      <x:c r="F84" s="141" t="n">
        <x:f>IF(E84&gt;0,MIN(E84,INDEX(Financiamento!$G$6:$G$485,A84)),0)</x:f>
        <x:v>0</x:v>
      </x:c>
      <x:c r="G84" s="141" t="n">
        <x:f>IF(E84&gt;0,E84*Premissas!$B$15,0)</x:f>
        <x:v>0</x:v>
      </x:c>
      <x:c r="H84" s="141" t="n">
        <x:f>IF(E84&gt;0,Premissas!$B$18,0)</x:f>
        <x:v>0</x:v>
      </x:c>
      <x:c r="I84" s="141" t="n">
        <x:f>F84+G84+H84</x:f>
        <x:v>0</x:v>
      </x:c>
      <x:c r="J84" s="141" t="n">
        <x:f>IF(E84-F84&gt;0,MIN(E84-F84,P84),0)</x:f>
        <x:v>0</x:v>
      </x:c>
      <x:c r="K84" s="141" t="n">
        <x:f>I84+J84</x:f>
        <x:v>0</x:v>
      </x:c>
      <x:c r="L84" s="141" t="n">
        <x:f>MAX(0,E84-F84-J84)</x:f>
        <x:v>0</x:v>
      </x:c>
      <x:c r="M84" s="141" t="n">
        <x:f>SUM($K$6:K84)</x:f>
        <x:v>185795.9624076597</x:v>
      </x:c>
      <x:c r="N84" s="140" t="str">
        <x:f>IF(C84=0,"Encerrado",IF(L84=0,"Quitado","Aberto"))</x:f>
        <x:v>Encerrado</x:v>
      </x:c>
      <x:c r="O84" s="141" t="n">
        <x:f>IF(C84&gt;0,Premissas!$B$35,0)</x:f>
        <x:v>0</x:v>
      </x:c>
      <x:c r="P84" s="141" t="n">
        <x:f>IF(C84&gt;0,MAX(0,O84-I84),0)</x:f>
        <x:v>0</x:v>
      </x:c>
      <x:c r="Q84" s="141" t="n">
        <x:f>J84-IF(E84-F84&gt;0,MIN(E84-F84,P84),0)</x:f>
        <x:v>0</x:v>
      </x:c>
    </x:row>
    <x:row r="85">
      <x:c r="A85" s="142" t="n">
        <x:v>80</x:v>
      </x:c>
      <x:c r="B85" s="179" t="n">
        <x:f>EDATE(Premissas!$B$4,79)</x:f>
        <x:v>48945</x:v>
      </x:c>
      <x:c r="C85" s="141" t="n">
        <x:f>L84</x:f>
        <x:v>0</x:v>
      </x:c>
      <x:c r="D85" s="141" t="n">
        <x:f>IF(C85&gt;0,C85*Premissas!$B$17,0)</x:f>
        <x:v>0</x:v>
      </x:c>
      <x:c r="E85" s="141" t="n">
        <x:f>C85+D85</x:f>
        <x:v>0</x:v>
      </x:c>
      <x:c r="F85" s="141" t="n">
        <x:f>IF(E85&gt;0,MIN(E85,INDEX(Financiamento!$G$6:$G$485,A85)),0)</x:f>
        <x:v>0</x:v>
      </x:c>
      <x:c r="G85" s="141" t="n">
        <x:f>IF(E85&gt;0,E85*Premissas!$B$15,0)</x:f>
        <x:v>0</x:v>
      </x:c>
      <x:c r="H85" s="141" t="n">
        <x:f>IF(E85&gt;0,Premissas!$B$18,0)</x:f>
        <x:v>0</x:v>
      </x:c>
      <x:c r="I85" s="141" t="n">
        <x:f>F85+G85+H85</x:f>
        <x:v>0</x:v>
      </x:c>
      <x:c r="J85" s="141" t="n">
        <x:f>IF(E85-F85&gt;0,MIN(E85-F85,P85),0)</x:f>
        <x:v>0</x:v>
      </x:c>
      <x:c r="K85" s="141" t="n">
        <x:f>I85+J85</x:f>
        <x:v>0</x:v>
      </x:c>
      <x:c r="L85" s="141" t="n">
        <x:f>MAX(0,E85-F85-J85)</x:f>
        <x:v>0</x:v>
      </x:c>
      <x:c r="M85" s="141" t="n">
        <x:f>SUM($K$6:K85)</x:f>
        <x:v>185795.9624076597</x:v>
      </x:c>
      <x:c r="N85" s="140" t="str">
        <x:f>IF(C85=0,"Encerrado",IF(L85=0,"Quitado","Aberto"))</x:f>
        <x:v>Encerrado</x:v>
      </x:c>
      <x:c r="O85" s="141" t="n">
        <x:f>IF(C85&gt;0,Premissas!$B$35,0)</x:f>
        <x:v>0</x:v>
      </x:c>
      <x:c r="P85" s="141" t="n">
        <x:f>IF(C85&gt;0,MAX(0,O85-I85),0)</x:f>
        <x:v>0</x:v>
      </x:c>
      <x:c r="Q85" s="141" t="n">
        <x:f>J85-IF(E85-F85&gt;0,MIN(E85-F85,P85),0)</x:f>
        <x:v>0</x:v>
      </x:c>
    </x:row>
    <x:row r="86">
      <x:c r="A86" s="142" t="n">
        <x:v>81</x:v>
      </x:c>
      <x:c r="B86" s="179" t="n">
        <x:f>EDATE(Premissas!$B$4,80)</x:f>
        <x:v>48976</x:v>
      </x:c>
      <x:c r="C86" s="141" t="n">
        <x:f>L85</x:f>
        <x:v>0</x:v>
      </x:c>
      <x:c r="D86" s="141" t="n">
        <x:f>IF(C86&gt;0,C86*Premissas!$B$17,0)</x:f>
        <x:v>0</x:v>
      </x:c>
      <x:c r="E86" s="141" t="n">
        <x:f>C86+D86</x:f>
        <x:v>0</x:v>
      </x:c>
      <x:c r="F86" s="141" t="n">
        <x:f>IF(E86&gt;0,MIN(E86,INDEX(Financiamento!$G$6:$G$485,A86)),0)</x:f>
        <x:v>0</x:v>
      </x:c>
      <x:c r="G86" s="141" t="n">
        <x:f>IF(E86&gt;0,E86*Premissas!$B$15,0)</x:f>
        <x:v>0</x:v>
      </x:c>
      <x:c r="H86" s="141" t="n">
        <x:f>IF(E86&gt;0,Premissas!$B$18,0)</x:f>
        <x:v>0</x:v>
      </x:c>
      <x:c r="I86" s="141" t="n">
        <x:f>F86+G86+H86</x:f>
        <x:v>0</x:v>
      </x:c>
      <x:c r="J86" s="141" t="n">
        <x:f>IF(E86-F86&gt;0,MIN(E86-F86,P86),0)</x:f>
        <x:v>0</x:v>
      </x:c>
      <x:c r="K86" s="141" t="n">
        <x:f>I86+J86</x:f>
        <x:v>0</x:v>
      </x:c>
      <x:c r="L86" s="141" t="n">
        <x:f>MAX(0,E86-F86-J86)</x:f>
        <x:v>0</x:v>
      </x:c>
      <x:c r="M86" s="141" t="n">
        <x:f>SUM($K$6:K86)</x:f>
        <x:v>185795.9624076597</x:v>
      </x:c>
      <x:c r="N86" s="140" t="str">
        <x:f>IF(C86=0,"Encerrado",IF(L86=0,"Quitado","Aberto"))</x:f>
        <x:v>Encerrado</x:v>
      </x:c>
      <x:c r="O86" s="141" t="n">
        <x:f>IF(C86&gt;0,Premissas!$B$35,0)</x:f>
        <x:v>0</x:v>
      </x:c>
      <x:c r="P86" s="141" t="n">
        <x:f>IF(C86&gt;0,MAX(0,O86-I86),0)</x:f>
        <x:v>0</x:v>
      </x:c>
      <x:c r="Q86" s="141" t="n">
        <x:f>J86-IF(E86-F86&gt;0,MIN(E86-F86,P86),0)</x:f>
        <x:v>0</x:v>
      </x:c>
    </x:row>
    <x:row r="87">
      <x:c r="A87" s="142" t="n">
        <x:v>82</x:v>
      </x:c>
      <x:c r="B87" s="179" t="n">
        <x:f>EDATE(Premissas!$B$4,81)</x:f>
        <x:v>49004</x:v>
      </x:c>
      <x:c r="C87" s="141" t="n">
        <x:f>L86</x:f>
        <x:v>0</x:v>
      </x:c>
      <x:c r="D87" s="141" t="n">
        <x:f>IF(C87&gt;0,C87*Premissas!$B$17,0)</x:f>
        <x:v>0</x:v>
      </x:c>
      <x:c r="E87" s="141" t="n">
        <x:f>C87+D87</x:f>
        <x:v>0</x:v>
      </x:c>
      <x:c r="F87" s="141" t="n">
        <x:f>IF(E87&gt;0,MIN(E87,INDEX(Financiamento!$G$6:$G$485,A87)),0)</x:f>
        <x:v>0</x:v>
      </x:c>
      <x:c r="G87" s="141" t="n">
        <x:f>IF(E87&gt;0,E87*Premissas!$B$15,0)</x:f>
        <x:v>0</x:v>
      </x:c>
      <x:c r="H87" s="141" t="n">
        <x:f>IF(E87&gt;0,Premissas!$B$18,0)</x:f>
        <x:v>0</x:v>
      </x:c>
      <x:c r="I87" s="141" t="n">
        <x:f>F87+G87+H87</x:f>
        <x:v>0</x:v>
      </x:c>
      <x:c r="J87" s="141" t="n">
        <x:f>IF(E87-F87&gt;0,MIN(E87-F87,P87),0)</x:f>
        <x:v>0</x:v>
      </x:c>
      <x:c r="K87" s="141" t="n">
        <x:f>I87+J87</x:f>
        <x:v>0</x:v>
      </x:c>
      <x:c r="L87" s="141" t="n">
        <x:f>MAX(0,E87-F87-J87)</x:f>
        <x:v>0</x:v>
      </x:c>
      <x:c r="M87" s="141" t="n">
        <x:f>SUM($K$6:K87)</x:f>
        <x:v>185795.9624076597</x:v>
      </x:c>
      <x:c r="N87" s="140" t="str">
        <x:f>IF(C87=0,"Encerrado",IF(L87=0,"Quitado","Aberto"))</x:f>
        <x:v>Encerrado</x:v>
      </x:c>
      <x:c r="O87" s="141" t="n">
        <x:f>IF(C87&gt;0,Premissas!$B$35,0)</x:f>
        <x:v>0</x:v>
      </x:c>
      <x:c r="P87" s="141" t="n">
        <x:f>IF(C87&gt;0,MAX(0,O87-I87),0)</x:f>
        <x:v>0</x:v>
      </x:c>
      <x:c r="Q87" s="141" t="n">
        <x:f>J87-IF(E87-F87&gt;0,MIN(E87-F87,P87),0)</x:f>
        <x:v>0</x:v>
      </x:c>
    </x:row>
    <x:row r="88">
      <x:c r="A88" s="142" t="n">
        <x:v>83</x:v>
      </x:c>
      <x:c r="B88" s="179" t="n">
        <x:f>EDATE(Premissas!$B$4,82)</x:f>
        <x:v>49035</x:v>
      </x:c>
      <x:c r="C88" s="141" t="n">
        <x:f>L87</x:f>
        <x:v>0</x:v>
      </x:c>
      <x:c r="D88" s="141" t="n">
        <x:f>IF(C88&gt;0,C88*Premissas!$B$17,0)</x:f>
        <x:v>0</x:v>
      </x:c>
      <x:c r="E88" s="141" t="n">
        <x:f>C88+D88</x:f>
        <x:v>0</x:v>
      </x:c>
      <x:c r="F88" s="141" t="n">
        <x:f>IF(E88&gt;0,MIN(E88,INDEX(Financiamento!$G$6:$G$485,A88)),0)</x:f>
        <x:v>0</x:v>
      </x:c>
      <x:c r="G88" s="141" t="n">
        <x:f>IF(E88&gt;0,E88*Premissas!$B$15,0)</x:f>
        <x:v>0</x:v>
      </x:c>
      <x:c r="H88" s="141" t="n">
        <x:f>IF(E88&gt;0,Premissas!$B$18,0)</x:f>
        <x:v>0</x:v>
      </x:c>
      <x:c r="I88" s="141" t="n">
        <x:f>F88+G88+H88</x:f>
        <x:v>0</x:v>
      </x:c>
      <x:c r="J88" s="141" t="n">
        <x:f>IF(E88-F88&gt;0,MIN(E88-F88,P88),0)</x:f>
        <x:v>0</x:v>
      </x:c>
      <x:c r="K88" s="141" t="n">
        <x:f>I88+J88</x:f>
        <x:v>0</x:v>
      </x:c>
      <x:c r="L88" s="141" t="n">
        <x:f>MAX(0,E88-F88-J88)</x:f>
        <x:v>0</x:v>
      </x:c>
      <x:c r="M88" s="141" t="n">
        <x:f>SUM($K$6:K88)</x:f>
        <x:v>185795.9624076597</x:v>
      </x:c>
      <x:c r="N88" s="140" t="str">
        <x:f>IF(C88=0,"Encerrado",IF(L88=0,"Quitado","Aberto"))</x:f>
        <x:v>Encerrado</x:v>
      </x:c>
      <x:c r="O88" s="141" t="n">
        <x:f>IF(C88&gt;0,Premissas!$B$35,0)</x:f>
        <x:v>0</x:v>
      </x:c>
      <x:c r="P88" s="141" t="n">
        <x:f>IF(C88&gt;0,MAX(0,O88-I88),0)</x:f>
        <x:v>0</x:v>
      </x:c>
      <x:c r="Q88" s="141" t="n">
        <x:f>J88-IF(E88-F88&gt;0,MIN(E88-F88,P88),0)</x:f>
        <x:v>0</x:v>
      </x:c>
    </x:row>
    <x:row r="89">
      <x:c r="A89" s="142" t="n">
        <x:v>84</x:v>
      </x:c>
      <x:c r="B89" s="179" t="n">
        <x:f>EDATE(Premissas!$B$4,83)</x:f>
        <x:v>49065</x:v>
      </x:c>
      <x:c r="C89" s="141" t="n">
        <x:f>L88</x:f>
        <x:v>0</x:v>
      </x:c>
      <x:c r="D89" s="141" t="n">
        <x:f>IF(C89&gt;0,C89*Premissas!$B$17,0)</x:f>
        <x:v>0</x:v>
      </x:c>
      <x:c r="E89" s="141" t="n">
        <x:f>C89+D89</x:f>
        <x:v>0</x:v>
      </x:c>
      <x:c r="F89" s="141" t="n">
        <x:f>IF(E89&gt;0,MIN(E89,INDEX(Financiamento!$G$6:$G$485,A89)),0)</x:f>
        <x:v>0</x:v>
      </x:c>
      <x:c r="G89" s="141" t="n">
        <x:f>IF(E89&gt;0,E89*Premissas!$B$15,0)</x:f>
        <x:v>0</x:v>
      </x:c>
      <x:c r="H89" s="141" t="n">
        <x:f>IF(E89&gt;0,Premissas!$B$18,0)</x:f>
        <x:v>0</x:v>
      </x:c>
      <x:c r="I89" s="141" t="n">
        <x:f>F89+G89+H89</x:f>
        <x:v>0</x:v>
      </x:c>
      <x:c r="J89" s="141" t="n">
        <x:f>IF(E89-F89&gt;0,MIN(E89-F89,P89),0)</x:f>
        <x:v>0</x:v>
      </x:c>
      <x:c r="K89" s="141" t="n">
        <x:f>I89+J89</x:f>
        <x:v>0</x:v>
      </x:c>
      <x:c r="L89" s="141" t="n">
        <x:f>MAX(0,E89-F89-J89)</x:f>
        <x:v>0</x:v>
      </x:c>
      <x:c r="M89" s="141" t="n">
        <x:f>SUM($K$6:K89)</x:f>
        <x:v>185795.9624076597</x:v>
      </x:c>
      <x:c r="N89" s="140" t="str">
        <x:f>IF(C89=0,"Encerrado",IF(L89=0,"Quitado","Aberto"))</x:f>
        <x:v>Encerrado</x:v>
      </x:c>
      <x:c r="O89" s="141" t="n">
        <x:f>IF(C89&gt;0,Premissas!$B$35,0)</x:f>
        <x:v>0</x:v>
      </x:c>
      <x:c r="P89" s="141" t="n">
        <x:f>IF(C89&gt;0,MAX(0,O89-I89),0)</x:f>
        <x:v>0</x:v>
      </x:c>
      <x:c r="Q89" s="141" t="n">
        <x:f>J89-IF(E89-F89&gt;0,MIN(E89-F89,P89),0)</x:f>
        <x:v>0</x:v>
      </x:c>
    </x:row>
    <x:row r="90">
      <x:c r="A90" s="142" t="n">
        <x:v>85</x:v>
      </x:c>
      <x:c r="B90" s="179" t="n">
        <x:f>EDATE(Premissas!$B$4,84)</x:f>
        <x:v>49096</x:v>
      </x:c>
      <x:c r="C90" s="141" t="n">
        <x:f>L89</x:f>
        <x:v>0</x:v>
      </x:c>
      <x:c r="D90" s="141" t="n">
        <x:f>IF(C90&gt;0,C90*Premissas!$B$17,0)</x:f>
        <x:v>0</x:v>
      </x:c>
      <x:c r="E90" s="141" t="n">
        <x:f>C90+D90</x:f>
        <x:v>0</x:v>
      </x:c>
      <x:c r="F90" s="141" t="n">
        <x:f>IF(E90&gt;0,MIN(E90,INDEX(Financiamento!$G$6:$G$485,A90)),0)</x:f>
        <x:v>0</x:v>
      </x:c>
      <x:c r="G90" s="141" t="n">
        <x:f>IF(E90&gt;0,E90*Premissas!$B$15,0)</x:f>
        <x:v>0</x:v>
      </x:c>
      <x:c r="H90" s="141" t="n">
        <x:f>IF(E90&gt;0,Premissas!$B$18,0)</x:f>
        <x:v>0</x:v>
      </x:c>
      <x:c r="I90" s="141" t="n">
        <x:f>F90+G90+H90</x:f>
        <x:v>0</x:v>
      </x:c>
      <x:c r="J90" s="141" t="n">
        <x:f>IF(E90-F90&gt;0,MIN(E90-F90,P90),0)</x:f>
        <x:v>0</x:v>
      </x:c>
      <x:c r="K90" s="141" t="n">
        <x:f>I90+J90</x:f>
        <x:v>0</x:v>
      </x:c>
      <x:c r="L90" s="141" t="n">
        <x:f>MAX(0,E90-F90-J90)</x:f>
        <x:v>0</x:v>
      </x:c>
      <x:c r="M90" s="141" t="n">
        <x:f>SUM($K$6:K90)</x:f>
        <x:v>185795.9624076597</x:v>
      </x:c>
      <x:c r="N90" s="140" t="str">
        <x:f>IF(C90=0,"Encerrado",IF(L90=0,"Quitado","Aberto"))</x:f>
        <x:v>Encerrado</x:v>
      </x:c>
      <x:c r="O90" s="141" t="n">
        <x:f>IF(C90&gt;0,Premissas!$B$35,0)</x:f>
        <x:v>0</x:v>
      </x:c>
      <x:c r="P90" s="141" t="n">
        <x:f>IF(C90&gt;0,MAX(0,O90-I90),0)</x:f>
        <x:v>0</x:v>
      </x:c>
      <x:c r="Q90" s="141" t="n">
        <x:f>J90-IF(E90-F90&gt;0,MIN(E90-F90,P90),0)</x:f>
        <x:v>0</x:v>
      </x:c>
    </x:row>
    <x:row r="91">
      <x:c r="A91" s="142" t="n">
        <x:v>86</x:v>
      </x:c>
      <x:c r="B91" s="179" t="n">
        <x:f>EDATE(Premissas!$B$4,85)</x:f>
        <x:v>49126</x:v>
      </x:c>
      <x:c r="C91" s="141" t="n">
        <x:f>L90</x:f>
        <x:v>0</x:v>
      </x:c>
      <x:c r="D91" s="141" t="n">
        <x:f>IF(C91&gt;0,C91*Premissas!$B$17,0)</x:f>
        <x:v>0</x:v>
      </x:c>
      <x:c r="E91" s="141" t="n">
        <x:f>C91+D91</x:f>
        <x:v>0</x:v>
      </x:c>
      <x:c r="F91" s="141" t="n">
        <x:f>IF(E91&gt;0,MIN(E91,INDEX(Financiamento!$G$6:$G$485,A91)),0)</x:f>
        <x:v>0</x:v>
      </x:c>
      <x:c r="G91" s="141" t="n">
        <x:f>IF(E91&gt;0,E91*Premissas!$B$15,0)</x:f>
        <x:v>0</x:v>
      </x:c>
      <x:c r="H91" s="141" t="n">
        <x:f>IF(E91&gt;0,Premissas!$B$18,0)</x:f>
        <x:v>0</x:v>
      </x:c>
      <x:c r="I91" s="141" t="n">
        <x:f>F91+G91+H91</x:f>
        <x:v>0</x:v>
      </x:c>
      <x:c r="J91" s="141" t="n">
        <x:f>IF(E91-F91&gt;0,MIN(E91-F91,P91),0)</x:f>
        <x:v>0</x:v>
      </x:c>
      <x:c r="K91" s="141" t="n">
        <x:f>I91+J91</x:f>
        <x:v>0</x:v>
      </x:c>
      <x:c r="L91" s="141" t="n">
        <x:f>MAX(0,E91-F91-J91)</x:f>
        <x:v>0</x:v>
      </x:c>
      <x:c r="M91" s="141" t="n">
        <x:f>SUM($K$6:K91)</x:f>
        <x:v>185795.9624076597</x:v>
      </x:c>
      <x:c r="N91" s="140" t="str">
        <x:f>IF(C91=0,"Encerrado",IF(L91=0,"Quitado","Aberto"))</x:f>
        <x:v>Encerrado</x:v>
      </x:c>
      <x:c r="O91" s="141" t="n">
        <x:f>IF(C91&gt;0,Premissas!$B$35,0)</x:f>
        <x:v>0</x:v>
      </x:c>
      <x:c r="P91" s="141" t="n">
        <x:f>IF(C91&gt;0,MAX(0,O91-I91),0)</x:f>
        <x:v>0</x:v>
      </x:c>
      <x:c r="Q91" s="141" t="n">
        <x:f>J91-IF(E91-F91&gt;0,MIN(E91-F91,P91),0)</x:f>
        <x:v>0</x:v>
      </x:c>
    </x:row>
    <x:row r="92">
      <x:c r="A92" s="142" t="n">
        <x:v>87</x:v>
      </x:c>
      <x:c r="B92" s="179" t="n">
        <x:f>EDATE(Premissas!$B$4,86)</x:f>
        <x:v>49157</x:v>
      </x:c>
      <x:c r="C92" s="141" t="n">
        <x:f>L91</x:f>
        <x:v>0</x:v>
      </x:c>
      <x:c r="D92" s="141" t="n">
        <x:f>IF(C92&gt;0,C92*Premissas!$B$17,0)</x:f>
        <x:v>0</x:v>
      </x:c>
      <x:c r="E92" s="141" t="n">
        <x:f>C92+D92</x:f>
        <x:v>0</x:v>
      </x:c>
      <x:c r="F92" s="141" t="n">
        <x:f>IF(E92&gt;0,MIN(E92,INDEX(Financiamento!$G$6:$G$485,A92)),0)</x:f>
        <x:v>0</x:v>
      </x:c>
      <x:c r="G92" s="141" t="n">
        <x:f>IF(E92&gt;0,E92*Premissas!$B$15,0)</x:f>
        <x:v>0</x:v>
      </x:c>
      <x:c r="H92" s="141" t="n">
        <x:f>IF(E92&gt;0,Premissas!$B$18,0)</x:f>
        <x:v>0</x:v>
      </x:c>
      <x:c r="I92" s="141" t="n">
        <x:f>F92+G92+H92</x:f>
        <x:v>0</x:v>
      </x:c>
      <x:c r="J92" s="141" t="n">
        <x:f>IF(E92-F92&gt;0,MIN(E92-F92,P92),0)</x:f>
        <x:v>0</x:v>
      </x:c>
      <x:c r="K92" s="141" t="n">
        <x:f>I92+J92</x:f>
        <x:v>0</x:v>
      </x:c>
      <x:c r="L92" s="141" t="n">
        <x:f>MAX(0,E92-F92-J92)</x:f>
        <x:v>0</x:v>
      </x:c>
      <x:c r="M92" s="141" t="n">
        <x:f>SUM($K$6:K92)</x:f>
        <x:v>185795.9624076597</x:v>
      </x:c>
      <x:c r="N92" s="140" t="str">
        <x:f>IF(C92=0,"Encerrado",IF(L92=0,"Quitado","Aberto"))</x:f>
        <x:v>Encerrado</x:v>
      </x:c>
      <x:c r="O92" s="141" t="n">
        <x:f>IF(C92&gt;0,Premissas!$B$35,0)</x:f>
        <x:v>0</x:v>
      </x:c>
      <x:c r="P92" s="141" t="n">
        <x:f>IF(C92&gt;0,MAX(0,O92-I92),0)</x:f>
        <x:v>0</x:v>
      </x:c>
      <x:c r="Q92" s="141" t="n">
        <x:f>J92-IF(E92-F92&gt;0,MIN(E92-F92,P92),0)</x:f>
        <x:v>0</x:v>
      </x:c>
    </x:row>
    <x:row r="93">
      <x:c r="A93" s="142" t="n">
        <x:v>88</x:v>
      </x:c>
      <x:c r="B93" s="179" t="n">
        <x:f>EDATE(Premissas!$B$4,87)</x:f>
        <x:v>49188</x:v>
      </x:c>
      <x:c r="C93" s="141" t="n">
        <x:f>L92</x:f>
        <x:v>0</x:v>
      </x:c>
      <x:c r="D93" s="141" t="n">
        <x:f>IF(C93&gt;0,C93*Premissas!$B$17,0)</x:f>
        <x:v>0</x:v>
      </x:c>
      <x:c r="E93" s="141" t="n">
        <x:f>C93+D93</x:f>
        <x:v>0</x:v>
      </x:c>
      <x:c r="F93" s="141" t="n">
        <x:f>IF(E93&gt;0,MIN(E93,INDEX(Financiamento!$G$6:$G$485,A93)),0)</x:f>
        <x:v>0</x:v>
      </x:c>
      <x:c r="G93" s="141" t="n">
        <x:f>IF(E93&gt;0,E93*Premissas!$B$15,0)</x:f>
        <x:v>0</x:v>
      </x:c>
      <x:c r="H93" s="141" t="n">
        <x:f>IF(E93&gt;0,Premissas!$B$18,0)</x:f>
        <x:v>0</x:v>
      </x:c>
      <x:c r="I93" s="141" t="n">
        <x:f>F93+G93+H93</x:f>
        <x:v>0</x:v>
      </x:c>
      <x:c r="J93" s="141" t="n">
        <x:f>IF(E93-F93&gt;0,MIN(E93-F93,P93),0)</x:f>
        <x:v>0</x:v>
      </x:c>
      <x:c r="K93" s="141" t="n">
        <x:f>I93+J93</x:f>
        <x:v>0</x:v>
      </x:c>
      <x:c r="L93" s="141" t="n">
        <x:f>MAX(0,E93-F93-J93)</x:f>
        <x:v>0</x:v>
      </x:c>
      <x:c r="M93" s="141" t="n">
        <x:f>SUM($K$6:K93)</x:f>
        <x:v>185795.9624076597</x:v>
      </x:c>
      <x:c r="N93" s="140" t="str">
        <x:f>IF(C93=0,"Encerrado",IF(L93=0,"Quitado","Aberto"))</x:f>
        <x:v>Encerrado</x:v>
      </x:c>
      <x:c r="O93" s="141" t="n">
        <x:f>IF(C93&gt;0,Premissas!$B$35,0)</x:f>
        <x:v>0</x:v>
      </x:c>
      <x:c r="P93" s="141" t="n">
        <x:f>IF(C93&gt;0,MAX(0,O93-I93),0)</x:f>
        <x:v>0</x:v>
      </x:c>
      <x:c r="Q93" s="141" t="n">
        <x:f>J93-IF(E93-F93&gt;0,MIN(E93-F93,P93),0)</x:f>
        <x:v>0</x:v>
      </x:c>
    </x:row>
    <x:row r="94">
      <x:c r="A94" s="142" t="n">
        <x:v>89</x:v>
      </x:c>
      <x:c r="B94" s="179" t="n">
        <x:f>EDATE(Premissas!$B$4,88)</x:f>
        <x:v>49218</x:v>
      </x:c>
      <x:c r="C94" s="141" t="n">
        <x:f>L93</x:f>
        <x:v>0</x:v>
      </x:c>
      <x:c r="D94" s="141" t="n">
        <x:f>IF(C94&gt;0,C94*Premissas!$B$17,0)</x:f>
        <x:v>0</x:v>
      </x:c>
      <x:c r="E94" s="141" t="n">
        <x:f>C94+D94</x:f>
        <x:v>0</x:v>
      </x:c>
      <x:c r="F94" s="141" t="n">
        <x:f>IF(E94&gt;0,MIN(E94,INDEX(Financiamento!$G$6:$G$485,A94)),0)</x:f>
        <x:v>0</x:v>
      </x:c>
      <x:c r="G94" s="141" t="n">
        <x:f>IF(E94&gt;0,E94*Premissas!$B$15,0)</x:f>
        <x:v>0</x:v>
      </x:c>
      <x:c r="H94" s="141" t="n">
        <x:f>IF(E94&gt;0,Premissas!$B$18,0)</x:f>
        <x:v>0</x:v>
      </x:c>
      <x:c r="I94" s="141" t="n">
        <x:f>F94+G94+H94</x:f>
        <x:v>0</x:v>
      </x:c>
      <x:c r="J94" s="141" t="n">
        <x:f>IF(E94-F94&gt;0,MIN(E94-F94,P94),0)</x:f>
        <x:v>0</x:v>
      </x:c>
      <x:c r="K94" s="141" t="n">
        <x:f>I94+J94</x:f>
        <x:v>0</x:v>
      </x:c>
      <x:c r="L94" s="141" t="n">
        <x:f>MAX(0,E94-F94-J94)</x:f>
        <x:v>0</x:v>
      </x:c>
      <x:c r="M94" s="141" t="n">
        <x:f>SUM($K$6:K94)</x:f>
        <x:v>185795.9624076597</x:v>
      </x:c>
      <x:c r="N94" s="140" t="str">
        <x:f>IF(C94=0,"Encerrado",IF(L94=0,"Quitado","Aberto"))</x:f>
        <x:v>Encerrado</x:v>
      </x:c>
      <x:c r="O94" s="141" t="n">
        <x:f>IF(C94&gt;0,Premissas!$B$35,0)</x:f>
        <x:v>0</x:v>
      </x:c>
      <x:c r="P94" s="141" t="n">
        <x:f>IF(C94&gt;0,MAX(0,O94-I94),0)</x:f>
        <x:v>0</x:v>
      </x:c>
      <x:c r="Q94" s="141" t="n">
        <x:f>J94-IF(E94-F94&gt;0,MIN(E94-F94,P94),0)</x:f>
        <x:v>0</x:v>
      </x:c>
    </x:row>
    <x:row r="95">
      <x:c r="A95" s="142" t="n">
        <x:v>90</x:v>
      </x:c>
      <x:c r="B95" s="179" t="n">
        <x:f>EDATE(Premissas!$B$4,89)</x:f>
        <x:v>49249</x:v>
      </x:c>
      <x:c r="C95" s="141" t="n">
        <x:f>L94</x:f>
        <x:v>0</x:v>
      </x:c>
      <x:c r="D95" s="141" t="n">
        <x:f>IF(C95&gt;0,C95*Premissas!$B$17,0)</x:f>
        <x:v>0</x:v>
      </x:c>
      <x:c r="E95" s="141" t="n">
        <x:f>C95+D95</x:f>
        <x:v>0</x:v>
      </x:c>
      <x:c r="F95" s="141" t="n">
        <x:f>IF(E95&gt;0,MIN(E95,INDEX(Financiamento!$G$6:$G$485,A95)),0)</x:f>
        <x:v>0</x:v>
      </x:c>
      <x:c r="G95" s="141" t="n">
        <x:f>IF(E95&gt;0,E95*Premissas!$B$15,0)</x:f>
        <x:v>0</x:v>
      </x:c>
      <x:c r="H95" s="141" t="n">
        <x:f>IF(E95&gt;0,Premissas!$B$18,0)</x:f>
        <x:v>0</x:v>
      </x:c>
      <x:c r="I95" s="141" t="n">
        <x:f>F95+G95+H95</x:f>
        <x:v>0</x:v>
      </x:c>
      <x:c r="J95" s="141" t="n">
        <x:f>IF(E95-F95&gt;0,MIN(E95-F95,P95),0)</x:f>
        <x:v>0</x:v>
      </x:c>
      <x:c r="K95" s="141" t="n">
        <x:f>I95+J95</x:f>
        <x:v>0</x:v>
      </x:c>
      <x:c r="L95" s="141" t="n">
        <x:f>MAX(0,E95-F95-J95)</x:f>
        <x:v>0</x:v>
      </x:c>
      <x:c r="M95" s="141" t="n">
        <x:f>SUM($K$6:K95)</x:f>
        <x:v>185795.9624076597</x:v>
      </x:c>
      <x:c r="N95" s="140" t="str">
        <x:f>IF(C95=0,"Encerrado",IF(L95=0,"Quitado","Aberto"))</x:f>
        <x:v>Encerrado</x:v>
      </x:c>
      <x:c r="O95" s="141" t="n">
        <x:f>IF(C95&gt;0,Premissas!$B$35,0)</x:f>
        <x:v>0</x:v>
      </x:c>
      <x:c r="P95" s="141" t="n">
        <x:f>IF(C95&gt;0,MAX(0,O95-I95),0)</x:f>
        <x:v>0</x:v>
      </x:c>
      <x:c r="Q95" s="141" t="n">
        <x:f>J95-IF(E95-F95&gt;0,MIN(E95-F95,P95),0)</x:f>
        <x:v>0</x:v>
      </x:c>
    </x:row>
    <x:row r="96">
      <x:c r="A96" s="142" t="n">
        <x:v>91</x:v>
      </x:c>
      <x:c r="B96" s="179" t="n">
        <x:f>EDATE(Premissas!$B$4,90)</x:f>
        <x:v>49279</x:v>
      </x:c>
      <x:c r="C96" s="141" t="n">
        <x:f>L95</x:f>
        <x:v>0</x:v>
      </x:c>
      <x:c r="D96" s="141" t="n">
        <x:f>IF(C96&gt;0,C96*Premissas!$B$17,0)</x:f>
        <x:v>0</x:v>
      </x:c>
      <x:c r="E96" s="141" t="n">
        <x:f>C96+D96</x:f>
        <x:v>0</x:v>
      </x:c>
      <x:c r="F96" s="141" t="n">
        <x:f>IF(E96&gt;0,MIN(E96,INDEX(Financiamento!$G$6:$G$485,A96)),0)</x:f>
        <x:v>0</x:v>
      </x:c>
      <x:c r="G96" s="141" t="n">
        <x:f>IF(E96&gt;0,E96*Premissas!$B$15,0)</x:f>
        <x:v>0</x:v>
      </x:c>
      <x:c r="H96" s="141" t="n">
        <x:f>IF(E96&gt;0,Premissas!$B$18,0)</x:f>
        <x:v>0</x:v>
      </x:c>
      <x:c r="I96" s="141" t="n">
        <x:f>F96+G96+H96</x:f>
        <x:v>0</x:v>
      </x:c>
      <x:c r="J96" s="141" t="n">
        <x:f>IF(E96-F96&gt;0,MIN(E96-F96,P96),0)</x:f>
        <x:v>0</x:v>
      </x:c>
      <x:c r="K96" s="141" t="n">
        <x:f>I96+J96</x:f>
        <x:v>0</x:v>
      </x:c>
      <x:c r="L96" s="141" t="n">
        <x:f>MAX(0,E96-F96-J96)</x:f>
        <x:v>0</x:v>
      </x:c>
      <x:c r="M96" s="141" t="n">
        <x:f>SUM($K$6:K96)</x:f>
        <x:v>185795.9624076597</x:v>
      </x:c>
      <x:c r="N96" s="140" t="str">
        <x:f>IF(C96=0,"Encerrado",IF(L96=0,"Quitado","Aberto"))</x:f>
        <x:v>Encerrado</x:v>
      </x:c>
      <x:c r="O96" s="141" t="n">
        <x:f>IF(C96&gt;0,Premissas!$B$35,0)</x:f>
        <x:v>0</x:v>
      </x:c>
      <x:c r="P96" s="141" t="n">
        <x:f>IF(C96&gt;0,MAX(0,O96-I96),0)</x:f>
        <x:v>0</x:v>
      </x:c>
      <x:c r="Q96" s="141" t="n">
        <x:f>J96-IF(E96-F96&gt;0,MIN(E96-F96,P96),0)</x:f>
        <x:v>0</x:v>
      </x:c>
    </x:row>
    <x:row r="97">
      <x:c r="A97" s="142" t="n">
        <x:v>92</x:v>
      </x:c>
      <x:c r="B97" s="179" t="n">
        <x:f>EDATE(Premissas!$B$4,91)</x:f>
        <x:v>49310</x:v>
      </x:c>
      <x:c r="C97" s="141" t="n">
        <x:f>L96</x:f>
        <x:v>0</x:v>
      </x:c>
      <x:c r="D97" s="141" t="n">
        <x:f>IF(C97&gt;0,C97*Premissas!$B$17,0)</x:f>
        <x:v>0</x:v>
      </x:c>
      <x:c r="E97" s="141" t="n">
        <x:f>C97+D97</x:f>
        <x:v>0</x:v>
      </x:c>
      <x:c r="F97" s="141" t="n">
        <x:f>IF(E97&gt;0,MIN(E97,INDEX(Financiamento!$G$6:$G$485,A97)),0)</x:f>
        <x:v>0</x:v>
      </x:c>
      <x:c r="G97" s="141" t="n">
        <x:f>IF(E97&gt;0,E97*Premissas!$B$15,0)</x:f>
        <x:v>0</x:v>
      </x:c>
      <x:c r="H97" s="141" t="n">
        <x:f>IF(E97&gt;0,Premissas!$B$18,0)</x:f>
        <x:v>0</x:v>
      </x:c>
      <x:c r="I97" s="141" t="n">
        <x:f>F97+G97+H97</x:f>
        <x:v>0</x:v>
      </x:c>
      <x:c r="J97" s="141" t="n">
        <x:f>IF(E97-F97&gt;0,MIN(E97-F97,P97),0)</x:f>
        <x:v>0</x:v>
      </x:c>
      <x:c r="K97" s="141" t="n">
        <x:f>I97+J97</x:f>
        <x:v>0</x:v>
      </x:c>
      <x:c r="L97" s="141" t="n">
        <x:f>MAX(0,E97-F97-J97)</x:f>
        <x:v>0</x:v>
      </x:c>
      <x:c r="M97" s="141" t="n">
        <x:f>SUM($K$6:K97)</x:f>
        <x:v>185795.9624076597</x:v>
      </x:c>
      <x:c r="N97" s="140" t="str">
        <x:f>IF(C97=0,"Encerrado",IF(L97=0,"Quitado","Aberto"))</x:f>
        <x:v>Encerrado</x:v>
      </x:c>
      <x:c r="O97" s="141" t="n">
        <x:f>IF(C97&gt;0,Premissas!$B$35,0)</x:f>
        <x:v>0</x:v>
      </x:c>
      <x:c r="P97" s="141" t="n">
        <x:f>IF(C97&gt;0,MAX(0,O97-I97),0)</x:f>
        <x:v>0</x:v>
      </x:c>
      <x:c r="Q97" s="141" t="n">
        <x:f>J97-IF(E97-F97&gt;0,MIN(E97-F97,P97),0)</x:f>
        <x:v>0</x:v>
      </x:c>
    </x:row>
    <x:row r="98">
      <x:c r="A98" s="142" t="n">
        <x:v>93</x:v>
      </x:c>
      <x:c r="B98" s="179" t="n">
        <x:f>EDATE(Premissas!$B$4,92)</x:f>
        <x:v>49341</x:v>
      </x:c>
      <x:c r="C98" s="141" t="n">
        <x:f>L97</x:f>
        <x:v>0</x:v>
      </x:c>
      <x:c r="D98" s="141" t="n">
        <x:f>IF(C98&gt;0,C98*Premissas!$B$17,0)</x:f>
        <x:v>0</x:v>
      </x:c>
      <x:c r="E98" s="141" t="n">
        <x:f>C98+D98</x:f>
        <x:v>0</x:v>
      </x:c>
      <x:c r="F98" s="141" t="n">
        <x:f>IF(E98&gt;0,MIN(E98,INDEX(Financiamento!$G$6:$G$485,A98)),0)</x:f>
        <x:v>0</x:v>
      </x:c>
      <x:c r="G98" s="141" t="n">
        <x:f>IF(E98&gt;0,E98*Premissas!$B$15,0)</x:f>
        <x:v>0</x:v>
      </x:c>
      <x:c r="H98" s="141" t="n">
        <x:f>IF(E98&gt;0,Premissas!$B$18,0)</x:f>
        <x:v>0</x:v>
      </x:c>
      <x:c r="I98" s="141" t="n">
        <x:f>F98+G98+H98</x:f>
        <x:v>0</x:v>
      </x:c>
      <x:c r="J98" s="141" t="n">
        <x:f>IF(E98-F98&gt;0,MIN(E98-F98,P98),0)</x:f>
        <x:v>0</x:v>
      </x:c>
      <x:c r="K98" s="141" t="n">
        <x:f>I98+J98</x:f>
        <x:v>0</x:v>
      </x:c>
      <x:c r="L98" s="141" t="n">
        <x:f>MAX(0,E98-F98-J98)</x:f>
        <x:v>0</x:v>
      </x:c>
      <x:c r="M98" s="141" t="n">
        <x:f>SUM($K$6:K98)</x:f>
        <x:v>185795.9624076597</x:v>
      </x:c>
      <x:c r="N98" s="140" t="str">
        <x:f>IF(C98=0,"Encerrado",IF(L98=0,"Quitado","Aberto"))</x:f>
        <x:v>Encerrado</x:v>
      </x:c>
      <x:c r="O98" s="141" t="n">
        <x:f>IF(C98&gt;0,Premissas!$B$35,0)</x:f>
        <x:v>0</x:v>
      </x:c>
      <x:c r="P98" s="141" t="n">
        <x:f>IF(C98&gt;0,MAX(0,O98-I98),0)</x:f>
        <x:v>0</x:v>
      </x:c>
      <x:c r="Q98" s="141" t="n">
        <x:f>J98-IF(E98-F98&gt;0,MIN(E98-F98,P98),0)</x:f>
        <x:v>0</x:v>
      </x:c>
    </x:row>
    <x:row r="99">
      <x:c r="A99" s="142" t="n">
        <x:v>94</x:v>
      </x:c>
      <x:c r="B99" s="179" t="n">
        <x:f>EDATE(Premissas!$B$4,93)</x:f>
        <x:v>49369</x:v>
      </x:c>
      <x:c r="C99" s="141" t="n">
        <x:f>L98</x:f>
        <x:v>0</x:v>
      </x:c>
      <x:c r="D99" s="141" t="n">
        <x:f>IF(C99&gt;0,C99*Premissas!$B$17,0)</x:f>
        <x:v>0</x:v>
      </x:c>
      <x:c r="E99" s="141" t="n">
        <x:f>C99+D99</x:f>
        <x:v>0</x:v>
      </x:c>
      <x:c r="F99" s="141" t="n">
        <x:f>IF(E99&gt;0,MIN(E99,INDEX(Financiamento!$G$6:$G$485,A99)),0)</x:f>
        <x:v>0</x:v>
      </x:c>
      <x:c r="G99" s="141" t="n">
        <x:f>IF(E99&gt;0,E99*Premissas!$B$15,0)</x:f>
        <x:v>0</x:v>
      </x:c>
      <x:c r="H99" s="141" t="n">
        <x:f>IF(E99&gt;0,Premissas!$B$18,0)</x:f>
        <x:v>0</x:v>
      </x:c>
      <x:c r="I99" s="141" t="n">
        <x:f>F99+G99+H99</x:f>
        <x:v>0</x:v>
      </x:c>
      <x:c r="J99" s="141" t="n">
        <x:f>IF(E99-F99&gt;0,MIN(E99-F99,P99),0)</x:f>
        <x:v>0</x:v>
      </x:c>
      <x:c r="K99" s="141" t="n">
        <x:f>I99+J99</x:f>
        <x:v>0</x:v>
      </x:c>
      <x:c r="L99" s="141" t="n">
        <x:f>MAX(0,E99-F99-J99)</x:f>
        <x:v>0</x:v>
      </x:c>
      <x:c r="M99" s="141" t="n">
        <x:f>SUM($K$6:K99)</x:f>
        <x:v>185795.9624076597</x:v>
      </x:c>
      <x:c r="N99" s="140" t="str">
        <x:f>IF(C99=0,"Encerrado",IF(L99=0,"Quitado","Aberto"))</x:f>
        <x:v>Encerrado</x:v>
      </x:c>
      <x:c r="O99" s="141" t="n">
        <x:f>IF(C99&gt;0,Premissas!$B$35,0)</x:f>
        <x:v>0</x:v>
      </x:c>
      <x:c r="P99" s="141" t="n">
        <x:f>IF(C99&gt;0,MAX(0,O99-I99),0)</x:f>
        <x:v>0</x:v>
      </x:c>
      <x:c r="Q99" s="141" t="n">
        <x:f>J99-IF(E99-F99&gt;0,MIN(E99-F99,P99),0)</x:f>
        <x:v>0</x:v>
      </x:c>
    </x:row>
    <x:row r="100">
      <x:c r="A100" s="142" t="n">
        <x:v>95</x:v>
      </x:c>
      <x:c r="B100" s="179" t="n">
        <x:f>EDATE(Premissas!$B$4,94)</x:f>
        <x:v>49400</x:v>
      </x:c>
      <x:c r="C100" s="141" t="n">
        <x:f>L99</x:f>
        <x:v>0</x:v>
      </x:c>
      <x:c r="D100" s="141" t="n">
        <x:f>IF(C100&gt;0,C100*Premissas!$B$17,0)</x:f>
        <x:v>0</x:v>
      </x:c>
      <x:c r="E100" s="141" t="n">
        <x:f>C100+D100</x:f>
        <x:v>0</x:v>
      </x:c>
      <x:c r="F100" s="141" t="n">
        <x:f>IF(E100&gt;0,MIN(E100,INDEX(Financiamento!$G$6:$G$485,A100)),0)</x:f>
        <x:v>0</x:v>
      </x:c>
      <x:c r="G100" s="141" t="n">
        <x:f>IF(E100&gt;0,E100*Premissas!$B$15,0)</x:f>
        <x:v>0</x:v>
      </x:c>
      <x:c r="H100" s="141" t="n">
        <x:f>IF(E100&gt;0,Premissas!$B$18,0)</x:f>
        <x:v>0</x:v>
      </x:c>
      <x:c r="I100" s="141" t="n">
        <x:f>F100+G100+H100</x:f>
        <x:v>0</x:v>
      </x:c>
      <x:c r="J100" s="141" t="n">
        <x:f>IF(E100-F100&gt;0,MIN(E100-F100,P100),0)</x:f>
        <x:v>0</x:v>
      </x:c>
      <x:c r="K100" s="141" t="n">
        <x:f>I100+J100</x:f>
        <x:v>0</x:v>
      </x:c>
      <x:c r="L100" s="141" t="n">
        <x:f>MAX(0,E100-F100-J100)</x:f>
        <x:v>0</x:v>
      </x:c>
      <x:c r="M100" s="141" t="n">
        <x:f>SUM($K$6:K100)</x:f>
        <x:v>185795.9624076597</x:v>
      </x:c>
      <x:c r="N100" s="140" t="str">
        <x:f>IF(C100=0,"Encerrado",IF(L100=0,"Quitado","Aberto"))</x:f>
        <x:v>Encerrado</x:v>
      </x:c>
      <x:c r="O100" s="141" t="n">
        <x:f>IF(C100&gt;0,Premissas!$B$35,0)</x:f>
        <x:v>0</x:v>
      </x:c>
      <x:c r="P100" s="141" t="n">
        <x:f>IF(C100&gt;0,MAX(0,O100-I100),0)</x:f>
        <x:v>0</x:v>
      </x:c>
      <x:c r="Q100" s="141" t="n">
        <x:f>J100-IF(E100-F100&gt;0,MIN(E100-F100,P100),0)</x:f>
        <x:v>0</x:v>
      </x:c>
    </x:row>
    <x:row r="101">
      <x:c r="A101" s="142" t="n">
        <x:v>96</x:v>
      </x:c>
      <x:c r="B101" s="179" t="n">
        <x:f>EDATE(Premissas!$B$4,95)</x:f>
        <x:v>49430</x:v>
      </x:c>
      <x:c r="C101" s="141" t="n">
        <x:f>L100</x:f>
        <x:v>0</x:v>
      </x:c>
      <x:c r="D101" s="141" t="n">
        <x:f>IF(C101&gt;0,C101*Premissas!$B$17,0)</x:f>
        <x:v>0</x:v>
      </x:c>
      <x:c r="E101" s="141" t="n">
        <x:f>C101+D101</x:f>
        <x:v>0</x:v>
      </x:c>
      <x:c r="F101" s="141" t="n">
        <x:f>IF(E101&gt;0,MIN(E101,INDEX(Financiamento!$G$6:$G$485,A101)),0)</x:f>
        <x:v>0</x:v>
      </x:c>
      <x:c r="G101" s="141" t="n">
        <x:f>IF(E101&gt;0,E101*Premissas!$B$15,0)</x:f>
        <x:v>0</x:v>
      </x:c>
      <x:c r="H101" s="141" t="n">
        <x:f>IF(E101&gt;0,Premissas!$B$18,0)</x:f>
        <x:v>0</x:v>
      </x:c>
      <x:c r="I101" s="141" t="n">
        <x:f>F101+G101+H101</x:f>
        <x:v>0</x:v>
      </x:c>
      <x:c r="J101" s="141" t="n">
        <x:f>IF(E101-F101&gt;0,MIN(E101-F101,P101),0)</x:f>
        <x:v>0</x:v>
      </x:c>
      <x:c r="K101" s="141" t="n">
        <x:f>I101+J101</x:f>
        <x:v>0</x:v>
      </x:c>
      <x:c r="L101" s="141" t="n">
        <x:f>MAX(0,E101-F101-J101)</x:f>
        <x:v>0</x:v>
      </x:c>
      <x:c r="M101" s="141" t="n">
        <x:f>SUM($K$6:K101)</x:f>
        <x:v>185795.9624076597</x:v>
      </x:c>
      <x:c r="N101" s="140" t="str">
        <x:f>IF(C101=0,"Encerrado",IF(L101=0,"Quitado","Aberto"))</x:f>
        <x:v>Encerrado</x:v>
      </x:c>
      <x:c r="O101" s="141" t="n">
        <x:f>IF(C101&gt;0,Premissas!$B$35,0)</x:f>
        <x:v>0</x:v>
      </x:c>
      <x:c r="P101" s="141" t="n">
        <x:f>IF(C101&gt;0,MAX(0,O101-I101),0)</x:f>
        <x:v>0</x:v>
      </x:c>
      <x:c r="Q101" s="141" t="n">
        <x:f>J101-IF(E101-F101&gt;0,MIN(E101-F101,P101),0)</x:f>
        <x:v>0</x:v>
      </x:c>
    </x:row>
    <x:row r="102">
      <x:c r="A102" s="142" t="n">
        <x:v>97</x:v>
      </x:c>
      <x:c r="B102" s="179" t="n">
        <x:f>EDATE(Premissas!$B$4,96)</x:f>
        <x:v>49461</x:v>
      </x:c>
      <x:c r="C102" s="141" t="n">
        <x:f>L101</x:f>
        <x:v>0</x:v>
      </x:c>
      <x:c r="D102" s="141" t="n">
        <x:f>IF(C102&gt;0,C102*Premissas!$B$17,0)</x:f>
        <x:v>0</x:v>
      </x:c>
      <x:c r="E102" s="141" t="n">
        <x:f>C102+D102</x:f>
        <x:v>0</x:v>
      </x:c>
      <x:c r="F102" s="141" t="n">
        <x:f>IF(E102&gt;0,MIN(E102,INDEX(Financiamento!$G$6:$G$485,A102)),0)</x:f>
        <x:v>0</x:v>
      </x:c>
      <x:c r="G102" s="141" t="n">
        <x:f>IF(E102&gt;0,E102*Premissas!$B$15,0)</x:f>
        <x:v>0</x:v>
      </x:c>
      <x:c r="H102" s="141" t="n">
        <x:f>IF(E102&gt;0,Premissas!$B$18,0)</x:f>
        <x:v>0</x:v>
      </x:c>
      <x:c r="I102" s="141" t="n">
        <x:f>F102+G102+H102</x:f>
        <x:v>0</x:v>
      </x:c>
      <x:c r="J102" s="141" t="n">
        <x:f>IF(E102-F102&gt;0,MIN(E102-F102,P102),0)</x:f>
        <x:v>0</x:v>
      </x:c>
      <x:c r="K102" s="141" t="n">
        <x:f>I102+J102</x:f>
        <x:v>0</x:v>
      </x:c>
      <x:c r="L102" s="141" t="n">
        <x:f>MAX(0,E102-F102-J102)</x:f>
        <x:v>0</x:v>
      </x:c>
      <x:c r="M102" s="141" t="n">
        <x:f>SUM($K$6:K102)</x:f>
        <x:v>185795.9624076597</x:v>
      </x:c>
      <x:c r="N102" s="140" t="str">
        <x:f>IF(C102=0,"Encerrado",IF(L102=0,"Quitado","Aberto"))</x:f>
        <x:v>Encerrado</x:v>
      </x:c>
      <x:c r="O102" s="141" t="n">
        <x:f>IF(C102&gt;0,Premissas!$B$35,0)</x:f>
        <x:v>0</x:v>
      </x:c>
      <x:c r="P102" s="141" t="n">
        <x:f>IF(C102&gt;0,MAX(0,O102-I102),0)</x:f>
        <x:v>0</x:v>
      </x:c>
      <x:c r="Q102" s="141" t="n">
        <x:f>J102-IF(E102-F102&gt;0,MIN(E102-F102,P102),0)</x:f>
        <x:v>0</x:v>
      </x:c>
    </x:row>
    <x:row r="103">
      <x:c r="A103" s="142" t="n">
        <x:v>98</x:v>
      </x:c>
      <x:c r="B103" s="179" t="n">
        <x:f>EDATE(Premissas!$B$4,97)</x:f>
        <x:v>49491</x:v>
      </x:c>
      <x:c r="C103" s="141" t="n">
        <x:f>L102</x:f>
        <x:v>0</x:v>
      </x:c>
      <x:c r="D103" s="141" t="n">
        <x:f>IF(C103&gt;0,C103*Premissas!$B$17,0)</x:f>
        <x:v>0</x:v>
      </x:c>
      <x:c r="E103" s="141" t="n">
        <x:f>C103+D103</x:f>
        <x:v>0</x:v>
      </x:c>
      <x:c r="F103" s="141" t="n">
        <x:f>IF(E103&gt;0,MIN(E103,INDEX(Financiamento!$G$6:$G$485,A103)),0)</x:f>
        <x:v>0</x:v>
      </x:c>
      <x:c r="G103" s="141" t="n">
        <x:f>IF(E103&gt;0,E103*Premissas!$B$15,0)</x:f>
        <x:v>0</x:v>
      </x:c>
      <x:c r="H103" s="141" t="n">
        <x:f>IF(E103&gt;0,Premissas!$B$18,0)</x:f>
        <x:v>0</x:v>
      </x:c>
      <x:c r="I103" s="141" t="n">
        <x:f>F103+G103+H103</x:f>
        <x:v>0</x:v>
      </x:c>
      <x:c r="J103" s="141" t="n">
        <x:f>IF(E103-F103&gt;0,MIN(E103-F103,P103),0)</x:f>
        <x:v>0</x:v>
      </x:c>
      <x:c r="K103" s="141" t="n">
        <x:f>I103+J103</x:f>
        <x:v>0</x:v>
      </x:c>
      <x:c r="L103" s="141" t="n">
        <x:f>MAX(0,E103-F103-J103)</x:f>
        <x:v>0</x:v>
      </x:c>
      <x:c r="M103" s="141" t="n">
        <x:f>SUM($K$6:K103)</x:f>
        <x:v>185795.9624076597</x:v>
      </x:c>
      <x:c r="N103" s="140" t="str">
        <x:f>IF(C103=0,"Encerrado",IF(L103=0,"Quitado","Aberto"))</x:f>
        <x:v>Encerrado</x:v>
      </x:c>
      <x:c r="O103" s="141" t="n">
        <x:f>IF(C103&gt;0,Premissas!$B$35,0)</x:f>
        <x:v>0</x:v>
      </x:c>
      <x:c r="P103" s="141" t="n">
        <x:f>IF(C103&gt;0,MAX(0,O103-I103),0)</x:f>
        <x:v>0</x:v>
      </x:c>
      <x:c r="Q103" s="141" t="n">
        <x:f>J103-IF(E103-F103&gt;0,MIN(E103-F103,P103),0)</x:f>
        <x:v>0</x:v>
      </x:c>
    </x:row>
    <x:row r="104">
      <x:c r="A104" s="142" t="n">
        <x:v>99</x:v>
      </x:c>
      <x:c r="B104" s="179" t="n">
        <x:f>EDATE(Premissas!$B$4,98)</x:f>
        <x:v>49522</x:v>
      </x:c>
      <x:c r="C104" s="141" t="n">
        <x:f>L103</x:f>
        <x:v>0</x:v>
      </x:c>
      <x:c r="D104" s="141" t="n">
        <x:f>IF(C104&gt;0,C104*Premissas!$B$17,0)</x:f>
        <x:v>0</x:v>
      </x:c>
      <x:c r="E104" s="141" t="n">
        <x:f>C104+D104</x:f>
        <x:v>0</x:v>
      </x:c>
      <x:c r="F104" s="141" t="n">
        <x:f>IF(E104&gt;0,MIN(E104,INDEX(Financiamento!$G$6:$G$485,A104)),0)</x:f>
        <x:v>0</x:v>
      </x:c>
      <x:c r="G104" s="141" t="n">
        <x:f>IF(E104&gt;0,E104*Premissas!$B$15,0)</x:f>
        <x:v>0</x:v>
      </x:c>
      <x:c r="H104" s="141" t="n">
        <x:f>IF(E104&gt;0,Premissas!$B$18,0)</x:f>
        <x:v>0</x:v>
      </x:c>
      <x:c r="I104" s="141" t="n">
        <x:f>F104+G104+H104</x:f>
        <x:v>0</x:v>
      </x:c>
      <x:c r="J104" s="141" t="n">
        <x:f>IF(E104-F104&gt;0,MIN(E104-F104,P104),0)</x:f>
        <x:v>0</x:v>
      </x:c>
      <x:c r="K104" s="141" t="n">
        <x:f>I104+J104</x:f>
        <x:v>0</x:v>
      </x:c>
      <x:c r="L104" s="141" t="n">
        <x:f>MAX(0,E104-F104-J104)</x:f>
        <x:v>0</x:v>
      </x:c>
      <x:c r="M104" s="141" t="n">
        <x:f>SUM($K$6:K104)</x:f>
        <x:v>185795.9624076597</x:v>
      </x:c>
      <x:c r="N104" s="140" t="str">
        <x:f>IF(C104=0,"Encerrado",IF(L104=0,"Quitado","Aberto"))</x:f>
        <x:v>Encerrado</x:v>
      </x:c>
      <x:c r="O104" s="141" t="n">
        <x:f>IF(C104&gt;0,Premissas!$B$35,0)</x:f>
        <x:v>0</x:v>
      </x:c>
      <x:c r="P104" s="141" t="n">
        <x:f>IF(C104&gt;0,MAX(0,O104-I104),0)</x:f>
        <x:v>0</x:v>
      </x:c>
      <x:c r="Q104" s="141" t="n">
        <x:f>J104-IF(E104-F104&gt;0,MIN(E104-F104,P104),0)</x:f>
        <x:v>0</x:v>
      </x:c>
    </x:row>
    <x:row r="105">
      <x:c r="A105" s="142" t="n">
        <x:v>100</x:v>
      </x:c>
      <x:c r="B105" s="179" t="n">
        <x:f>EDATE(Premissas!$B$4,99)</x:f>
        <x:v>49553</x:v>
      </x:c>
      <x:c r="C105" s="141" t="n">
        <x:f>L104</x:f>
        <x:v>0</x:v>
      </x:c>
      <x:c r="D105" s="141" t="n">
        <x:f>IF(C105&gt;0,C105*Premissas!$B$17,0)</x:f>
        <x:v>0</x:v>
      </x:c>
      <x:c r="E105" s="141" t="n">
        <x:f>C105+D105</x:f>
        <x:v>0</x:v>
      </x:c>
      <x:c r="F105" s="141" t="n">
        <x:f>IF(E105&gt;0,MIN(E105,INDEX(Financiamento!$G$6:$G$485,A105)),0)</x:f>
        <x:v>0</x:v>
      </x:c>
      <x:c r="G105" s="141" t="n">
        <x:f>IF(E105&gt;0,E105*Premissas!$B$15,0)</x:f>
        <x:v>0</x:v>
      </x:c>
      <x:c r="H105" s="141" t="n">
        <x:f>IF(E105&gt;0,Premissas!$B$18,0)</x:f>
        <x:v>0</x:v>
      </x:c>
      <x:c r="I105" s="141" t="n">
        <x:f>F105+G105+H105</x:f>
        <x:v>0</x:v>
      </x:c>
      <x:c r="J105" s="141" t="n">
        <x:f>IF(E105-F105&gt;0,MIN(E105-F105,P105),0)</x:f>
        <x:v>0</x:v>
      </x:c>
      <x:c r="K105" s="141" t="n">
        <x:f>I105+J105</x:f>
        <x:v>0</x:v>
      </x:c>
      <x:c r="L105" s="141" t="n">
        <x:f>MAX(0,E105-F105-J105)</x:f>
        <x:v>0</x:v>
      </x:c>
      <x:c r="M105" s="141" t="n">
        <x:f>SUM($K$6:K105)</x:f>
        <x:v>185795.9624076597</x:v>
      </x:c>
      <x:c r="N105" s="140" t="str">
        <x:f>IF(C105=0,"Encerrado",IF(L105=0,"Quitado","Aberto"))</x:f>
        <x:v>Encerrado</x:v>
      </x:c>
      <x:c r="O105" s="141" t="n">
        <x:f>IF(C105&gt;0,Premissas!$B$35,0)</x:f>
        <x:v>0</x:v>
      </x:c>
      <x:c r="P105" s="141" t="n">
        <x:f>IF(C105&gt;0,MAX(0,O105-I105),0)</x:f>
        <x:v>0</x:v>
      </x:c>
      <x:c r="Q105" s="141" t="n">
        <x:f>J105-IF(E105-F105&gt;0,MIN(E105-F105,P105),0)</x:f>
        <x:v>0</x:v>
      </x:c>
    </x:row>
    <x:row r="106">
      <x:c r="A106" s="142" t="n">
        <x:v>101</x:v>
      </x:c>
      <x:c r="B106" s="179" t="n">
        <x:f>EDATE(Premissas!$B$4,100)</x:f>
        <x:v>49583</x:v>
      </x:c>
      <x:c r="C106" s="141" t="n">
        <x:f>L105</x:f>
        <x:v>0</x:v>
      </x:c>
      <x:c r="D106" s="141" t="n">
        <x:f>IF(C106&gt;0,C106*Premissas!$B$17,0)</x:f>
        <x:v>0</x:v>
      </x:c>
      <x:c r="E106" s="141" t="n">
        <x:f>C106+D106</x:f>
        <x:v>0</x:v>
      </x:c>
      <x:c r="F106" s="141" t="n">
        <x:f>IF(E106&gt;0,MIN(E106,INDEX(Financiamento!$G$6:$G$485,A106)),0)</x:f>
        <x:v>0</x:v>
      </x:c>
      <x:c r="G106" s="141" t="n">
        <x:f>IF(E106&gt;0,E106*Premissas!$B$15,0)</x:f>
        <x:v>0</x:v>
      </x:c>
      <x:c r="H106" s="141" t="n">
        <x:f>IF(E106&gt;0,Premissas!$B$18,0)</x:f>
        <x:v>0</x:v>
      </x:c>
      <x:c r="I106" s="141" t="n">
        <x:f>F106+G106+H106</x:f>
        <x:v>0</x:v>
      </x:c>
      <x:c r="J106" s="141" t="n">
        <x:f>IF(E106-F106&gt;0,MIN(E106-F106,P106),0)</x:f>
        <x:v>0</x:v>
      </x:c>
      <x:c r="K106" s="141" t="n">
        <x:f>I106+J106</x:f>
        <x:v>0</x:v>
      </x:c>
      <x:c r="L106" s="141" t="n">
        <x:f>MAX(0,E106-F106-J106)</x:f>
        <x:v>0</x:v>
      </x:c>
      <x:c r="M106" s="141" t="n">
        <x:f>SUM($K$6:K106)</x:f>
        <x:v>185795.9624076597</x:v>
      </x:c>
      <x:c r="N106" s="140" t="str">
        <x:f>IF(C106=0,"Encerrado",IF(L106=0,"Quitado","Aberto"))</x:f>
        <x:v>Encerrado</x:v>
      </x:c>
      <x:c r="O106" s="141" t="n">
        <x:f>IF(C106&gt;0,Premissas!$B$35,0)</x:f>
        <x:v>0</x:v>
      </x:c>
      <x:c r="P106" s="141" t="n">
        <x:f>IF(C106&gt;0,MAX(0,O106-I106),0)</x:f>
        <x:v>0</x:v>
      </x:c>
      <x:c r="Q106" s="141" t="n">
        <x:f>J106-IF(E106-F106&gt;0,MIN(E106-F106,P106),0)</x:f>
        <x:v>0</x:v>
      </x:c>
    </x:row>
    <x:row r="107">
      <x:c r="A107" s="142" t="n">
        <x:v>102</x:v>
      </x:c>
      <x:c r="B107" s="179" t="n">
        <x:f>EDATE(Premissas!$B$4,101)</x:f>
        <x:v>49614</x:v>
      </x:c>
      <x:c r="C107" s="141" t="n">
        <x:f>L106</x:f>
        <x:v>0</x:v>
      </x:c>
      <x:c r="D107" s="141" t="n">
        <x:f>IF(C107&gt;0,C107*Premissas!$B$17,0)</x:f>
        <x:v>0</x:v>
      </x:c>
      <x:c r="E107" s="141" t="n">
        <x:f>C107+D107</x:f>
        <x:v>0</x:v>
      </x:c>
      <x:c r="F107" s="141" t="n">
        <x:f>IF(E107&gt;0,MIN(E107,INDEX(Financiamento!$G$6:$G$485,A107)),0)</x:f>
        <x:v>0</x:v>
      </x:c>
      <x:c r="G107" s="141" t="n">
        <x:f>IF(E107&gt;0,E107*Premissas!$B$15,0)</x:f>
        <x:v>0</x:v>
      </x:c>
      <x:c r="H107" s="141" t="n">
        <x:f>IF(E107&gt;0,Premissas!$B$18,0)</x:f>
        <x:v>0</x:v>
      </x:c>
      <x:c r="I107" s="141" t="n">
        <x:f>F107+G107+H107</x:f>
        <x:v>0</x:v>
      </x:c>
      <x:c r="J107" s="141" t="n">
        <x:f>IF(E107-F107&gt;0,MIN(E107-F107,P107),0)</x:f>
        <x:v>0</x:v>
      </x:c>
      <x:c r="K107" s="141" t="n">
        <x:f>I107+J107</x:f>
        <x:v>0</x:v>
      </x:c>
      <x:c r="L107" s="141" t="n">
        <x:f>MAX(0,E107-F107-J107)</x:f>
        <x:v>0</x:v>
      </x:c>
      <x:c r="M107" s="141" t="n">
        <x:f>SUM($K$6:K107)</x:f>
        <x:v>185795.9624076597</x:v>
      </x:c>
      <x:c r="N107" s="140" t="str">
        <x:f>IF(C107=0,"Encerrado",IF(L107=0,"Quitado","Aberto"))</x:f>
        <x:v>Encerrado</x:v>
      </x:c>
      <x:c r="O107" s="141" t="n">
        <x:f>IF(C107&gt;0,Premissas!$B$35,0)</x:f>
        <x:v>0</x:v>
      </x:c>
      <x:c r="P107" s="141" t="n">
        <x:f>IF(C107&gt;0,MAX(0,O107-I107),0)</x:f>
        <x:v>0</x:v>
      </x:c>
      <x:c r="Q107" s="141" t="n">
        <x:f>J107-IF(E107-F107&gt;0,MIN(E107-F107,P107),0)</x:f>
        <x:v>0</x:v>
      </x:c>
    </x:row>
    <x:row r="108">
      <x:c r="A108" s="142" t="n">
        <x:v>103</x:v>
      </x:c>
      <x:c r="B108" s="179" t="n">
        <x:f>EDATE(Premissas!$B$4,102)</x:f>
        <x:v>49644</x:v>
      </x:c>
      <x:c r="C108" s="141" t="n">
        <x:f>L107</x:f>
        <x:v>0</x:v>
      </x:c>
      <x:c r="D108" s="141" t="n">
        <x:f>IF(C108&gt;0,C108*Premissas!$B$17,0)</x:f>
        <x:v>0</x:v>
      </x:c>
      <x:c r="E108" s="141" t="n">
        <x:f>C108+D108</x:f>
        <x:v>0</x:v>
      </x:c>
      <x:c r="F108" s="141" t="n">
        <x:f>IF(E108&gt;0,MIN(E108,INDEX(Financiamento!$G$6:$G$485,A108)),0)</x:f>
        <x:v>0</x:v>
      </x:c>
      <x:c r="G108" s="141" t="n">
        <x:f>IF(E108&gt;0,E108*Premissas!$B$15,0)</x:f>
        <x:v>0</x:v>
      </x:c>
      <x:c r="H108" s="141" t="n">
        <x:f>IF(E108&gt;0,Premissas!$B$18,0)</x:f>
        <x:v>0</x:v>
      </x:c>
      <x:c r="I108" s="141" t="n">
        <x:f>F108+G108+H108</x:f>
        <x:v>0</x:v>
      </x:c>
      <x:c r="J108" s="141" t="n">
        <x:f>IF(E108-F108&gt;0,MIN(E108-F108,P108),0)</x:f>
        <x:v>0</x:v>
      </x:c>
      <x:c r="K108" s="141" t="n">
        <x:f>I108+J108</x:f>
        <x:v>0</x:v>
      </x:c>
      <x:c r="L108" s="141" t="n">
        <x:f>MAX(0,E108-F108-J108)</x:f>
        <x:v>0</x:v>
      </x:c>
      <x:c r="M108" s="141" t="n">
        <x:f>SUM($K$6:K108)</x:f>
        <x:v>185795.9624076597</x:v>
      </x:c>
      <x:c r="N108" s="140" t="str">
        <x:f>IF(C108=0,"Encerrado",IF(L108=0,"Quitado","Aberto"))</x:f>
        <x:v>Encerrado</x:v>
      </x:c>
      <x:c r="O108" s="141" t="n">
        <x:f>IF(C108&gt;0,Premissas!$B$35,0)</x:f>
        <x:v>0</x:v>
      </x:c>
      <x:c r="P108" s="141" t="n">
        <x:f>IF(C108&gt;0,MAX(0,O108-I108),0)</x:f>
        <x:v>0</x:v>
      </x:c>
      <x:c r="Q108" s="141" t="n">
        <x:f>J108-IF(E108-F108&gt;0,MIN(E108-F108,P108),0)</x:f>
        <x:v>0</x:v>
      </x:c>
    </x:row>
    <x:row r="109">
      <x:c r="A109" s="142" t="n">
        <x:v>104</x:v>
      </x:c>
      <x:c r="B109" s="179" t="n">
        <x:f>EDATE(Premissas!$B$4,103)</x:f>
        <x:v>49675</x:v>
      </x:c>
      <x:c r="C109" s="141" t="n">
        <x:f>L108</x:f>
        <x:v>0</x:v>
      </x:c>
      <x:c r="D109" s="141" t="n">
        <x:f>IF(C109&gt;0,C109*Premissas!$B$17,0)</x:f>
        <x:v>0</x:v>
      </x:c>
      <x:c r="E109" s="141" t="n">
        <x:f>C109+D109</x:f>
        <x:v>0</x:v>
      </x:c>
      <x:c r="F109" s="141" t="n">
        <x:f>IF(E109&gt;0,MIN(E109,INDEX(Financiamento!$G$6:$G$485,A109)),0)</x:f>
        <x:v>0</x:v>
      </x:c>
      <x:c r="G109" s="141" t="n">
        <x:f>IF(E109&gt;0,E109*Premissas!$B$15,0)</x:f>
        <x:v>0</x:v>
      </x:c>
      <x:c r="H109" s="141" t="n">
        <x:f>IF(E109&gt;0,Premissas!$B$18,0)</x:f>
        <x:v>0</x:v>
      </x:c>
      <x:c r="I109" s="141" t="n">
        <x:f>F109+G109+H109</x:f>
        <x:v>0</x:v>
      </x:c>
      <x:c r="J109" s="141" t="n">
        <x:f>IF(E109-F109&gt;0,MIN(E109-F109,P109),0)</x:f>
        <x:v>0</x:v>
      </x:c>
      <x:c r="K109" s="141" t="n">
        <x:f>I109+J109</x:f>
        <x:v>0</x:v>
      </x:c>
      <x:c r="L109" s="141" t="n">
        <x:f>MAX(0,E109-F109-J109)</x:f>
        <x:v>0</x:v>
      </x:c>
      <x:c r="M109" s="141" t="n">
        <x:f>SUM($K$6:K109)</x:f>
        <x:v>185795.9624076597</x:v>
      </x:c>
      <x:c r="N109" s="140" t="str">
        <x:f>IF(C109=0,"Encerrado",IF(L109=0,"Quitado","Aberto"))</x:f>
        <x:v>Encerrado</x:v>
      </x:c>
      <x:c r="O109" s="141" t="n">
        <x:f>IF(C109&gt;0,Premissas!$B$35,0)</x:f>
        <x:v>0</x:v>
      </x:c>
      <x:c r="P109" s="141" t="n">
        <x:f>IF(C109&gt;0,MAX(0,O109-I109),0)</x:f>
        <x:v>0</x:v>
      </x:c>
      <x:c r="Q109" s="141" t="n">
        <x:f>J109-IF(E109-F109&gt;0,MIN(E109-F109,P109),0)</x:f>
        <x:v>0</x:v>
      </x:c>
    </x:row>
    <x:row r="110">
      <x:c r="A110" s="142" t="n">
        <x:v>105</x:v>
      </x:c>
      <x:c r="B110" s="179" t="n">
        <x:f>EDATE(Premissas!$B$4,104)</x:f>
        <x:v>49706</x:v>
      </x:c>
      <x:c r="C110" s="141" t="n">
        <x:f>L109</x:f>
        <x:v>0</x:v>
      </x:c>
      <x:c r="D110" s="141" t="n">
        <x:f>IF(C110&gt;0,C110*Premissas!$B$17,0)</x:f>
        <x:v>0</x:v>
      </x:c>
      <x:c r="E110" s="141" t="n">
        <x:f>C110+D110</x:f>
        <x:v>0</x:v>
      </x:c>
      <x:c r="F110" s="141" t="n">
        <x:f>IF(E110&gt;0,MIN(E110,INDEX(Financiamento!$G$6:$G$485,A110)),0)</x:f>
        <x:v>0</x:v>
      </x:c>
      <x:c r="G110" s="141" t="n">
        <x:f>IF(E110&gt;0,E110*Premissas!$B$15,0)</x:f>
        <x:v>0</x:v>
      </x:c>
      <x:c r="H110" s="141" t="n">
        <x:f>IF(E110&gt;0,Premissas!$B$18,0)</x:f>
        <x:v>0</x:v>
      </x:c>
      <x:c r="I110" s="141" t="n">
        <x:f>F110+G110+H110</x:f>
        <x:v>0</x:v>
      </x:c>
      <x:c r="J110" s="141" t="n">
        <x:f>IF(E110-F110&gt;0,MIN(E110-F110,P110),0)</x:f>
        <x:v>0</x:v>
      </x:c>
      <x:c r="K110" s="141" t="n">
        <x:f>I110+J110</x:f>
        <x:v>0</x:v>
      </x:c>
      <x:c r="L110" s="141" t="n">
        <x:f>MAX(0,E110-F110-J110)</x:f>
        <x:v>0</x:v>
      </x:c>
      <x:c r="M110" s="141" t="n">
        <x:f>SUM($K$6:K110)</x:f>
        <x:v>185795.9624076597</x:v>
      </x:c>
      <x:c r="N110" s="140" t="str">
        <x:f>IF(C110=0,"Encerrado",IF(L110=0,"Quitado","Aberto"))</x:f>
        <x:v>Encerrado</x:v>
      </x:c>
      <x:c r="O110" s="141" t="n">
        <x:f>IF(C110&gt;0,Premissas!$B$35,0)</x:f>
        <x:v>0</x:v>
      </x:c>
      <x:c r="P110" s="141" t="n">
        <x:f>IF(C110&gt;0,MAX(0,O110-I110),0)</x:f>
        <x:v>0</x:v>
      </x:c>
      <x:c r="Q110" s="141" t="n">
        <x:f>J110-IF(E110-F110&gt;0,MIN(E110-F110,P110),0)</x:f>
        <x:v>0</x:v>
      </x:c>
    </x:row>
    <x:row r="111">
      <x:c r="A111" s="142" t="n">
        <x:v>106</x:v>
      </x:c>
      <x:c r="B111" s="179" t="n">
        <x:f>EDATE(Premissas!$B$4,105)</x:f>
        <x:v>49735</x:v>
      </x:c>
      <x:c r="C111" s="141" t="n">
        <x:f>L110</x:f>
        <x:v>0</x:v>
      </x:c>
      <x:c r="D111" s="141" t="n">
        <x:f>IF(C111&gt;0,C111*Premissas!$B$17,0)</x:f>
        <x:v>0</x:v>
      </x:c>
      <x:c r="E111" s="141" t="n">
        <x:f>C111+D111</x:f>
        <x:v>0</x:v>
      </x:c>
      <x:c r="F111" s="141" t="n">
        <x:f>IF(E111&gt;0,MIN(E111,INDEX(Financiamento!$G$6:$G$485,A111)),0)</x:f>
        <x:v>0</x:v>
      </x:c>
      <x:c r="G111" s="141" t="n">
        <x:f>IF(E111&gt;0,E111*Premissas!$B$15,0)</x:f>
        <x:v>0</x:v>
      </x:c>
      <x:c r="H111" s="141" t="n">
        <x:f>IF(E111&gt;0,Premissas!$B$18,0)</x:f>
        <x:v>0</x:v>
      </x:c>
      <x:c r="I111" s="141" t="n">
        <x:f>F111+G111+H111</x:f>
        <x:v>0</x:v>
      </x:c>
      <x:c r="J111" s="141" t="n">
        <x:f>IF(E111-F111&gt;0,MIN(E111-F111,P111),0)</x:f>
        <x:v>0</x:v>
      </x:c>
      <x:c r="K111" s="141" t="n">
        <x:f>I111+J111</x:f>
        <x:v>0</x:v>
      </x:c>
      <x:c r="L111" s="141" t="n">
        <x:f>MAX(0,E111-F111-J111)</x:f>
        <x:v>0</x:v>
      </x:c>
      <x:c r="M111" s="141" t="n">
        <x:f>SUM($K$6:K111)</x:f>
        <x:v>185795.9624076597</x:v>
      </x:c>
      <x:c r="N111" s="140" t="str">
        <x:f>IF(C111=0,"Encerrado",IF(L111=0,"Quitado","Aberto"))</x:f>
        <x:v>Encerrado</x:v>
      </x:c>
      <x:c r="O111" s="141" t="n">
        <x:f>IF(C111&gt;0,Premissas!$B$35,0)</x:f>
        <x:v>0</x:v>
      </x:c>
      <x:c r="P111" s="141" t="n">
        <x:f>IF(C111&gt;0,MAX(0,O111-I111),0)</x:f>
        <x:v>0</x:v>
      </x:c>
      <x:c r="Q111" s="141" t="n">
        <x:f>J111-IF(E111-F111&gt;0,MIN(E111-F111,P111),0)</x:f>
        <x:v>0</x:v>
      </x:c>
    </x:row>
    <x:row r="112">
      <x:c r="A112" s="142" t="n">
        <x:v>107</x:v>
      </x:c>
      <x:c r="B112" s="179" t="n">
        <x:f>EDATE(Premissas!$B$4,106)</x:f>
        <x:v>49766</x:v>
      </x:c>
      <x:c r="C112" s="141" t="n">
        <x:f>L111</x:f>
        <x:v>0</x:v>
      </x:c>
      <x:c r="D112" s="141" t="n">
        <x:f>IF(C112&gt;0,C112*Premissas!$B$17,0)</x:f>
        <x:v>0</x:v>
      </x:c>
      <x:c r="E112" s="141" t="n">
        <x:f>C112+D112</x:f>
        <x:v>0</x:v>
      </x:c>
      <x:c r="F112" s="141" t="n">
        <x:f>IF(E112&gt;0,MIN(E112,INDEX(Financiamento!$G$6:$G$485,A112)),0)</x:f>
        <x:v>0</x:v>
      </x:c>
      <x:c r="G112" s="141" t="n">
        <x:f>IF(E112&gt;0,E112*Premissas!$B$15,0)</x:f>
        <x:v>0</x:v>
      </x:c>
      <x:c r="H112" s="141" t="n">
        <x:f>IF(E112&gt;0,Premissas!$B$18,0)</x:f>
        <x:v>0</x:v>
      </x:c>
      <x:c r="I112" s="141" t="n">
        <x:f>F112+G112+H112</x:f>
        <x:v>0</x:v>
      </x:c>
      <x:c r="J112" s="141" t="n">
        <x:f>IF(E112-F112&gt;0,MIN(E112-F112,P112),0)</x:f>
        <x:v>0</x:v>
      </x:c>
      <x:c r="K112" s="141" t="n">
        <x:f>I112+J112</x:f>
        <x:v>0</x:v>
      </x:c>
      <x:c r="L112" s="141" t="n">
        <x:f>MAX(0,E112-F112-J112)</x:f>
        <x:v>0</x:v>
      </x:c>
      <x:c r="M112" s="141" t="n">
        <x:f>SUM($K$6:K112)</x:f>
        <x:v>185795.9624076597</x:v>
      </x:c>
      <x:c r="N112" s="140" t="str">
        <x:f>IF(C112=0,"Encerrado",IF(L112=0,"Quitado","Aberto"))</x:f>
        <x:v>Encerrado</x:v>
      </x:c>
      <x:c r="O112" s="141" t="n">
        <x:f>IF(C112&gt;0,Premissas!$B$35,0)</x:f>
        <x:v>0</x:v>
      </x:c>
      <x:c r="P112" s="141" t="n">
        <x:f>IF(C112&gt;0,MAX(0,O112-I112),0)</x:f>
        <x:v>0</x:v>
      </x:c>
      <x:c r="Q112" s="141" t="n">
        <x:f>J112-IF(E112-F112&gt;0,MIN(E112-F112,P112),0)</x:f>
        <x:v>0</x:v>
      </x:c>
    </x:row>
    <x:row r="113">
      <x:c r="A113" s="142" t="n">
        <x:v>108</x:v>
      </x:c>
      <x:c r="B113" s="179" t="n">
        <x:f>EDATE(Premissas!$B$4,107)</x:f>
        <x:v>49796</x:v>
      </x:c>
      <x:c r="C113" s="141" t="n">
        <x:f>L112</x:f>
        <x:v>0</x:v>
      </x:c>
      <x:c r="D113" s="141" t="n">
        <x:f>IF(C113&gt;0,C113*Premissas!$B$17,0)</x:f>
        <x:v>0</x:v>
      </x:c>
      <x:c r="E113" s="141" t="n">
        <x:f>C113+D113</x:f>
        <x:v>0</x:v>
      </x:c>
      <x:c r="F113" s="141" t="n">
        <x:f>IF(E113&gt;0,MIN(E113,INDEX(Financiamento!$G$6:$G$485,A113)),0)</x:f>
        <x:v>0</x:v>
      </x:c>
      <x:c r="G113" s="141" t="n">
        <x:f>IF(E113&gt;0,E113*Premissas!$B$15,0)</x:f>
        <x:v>0</x:v>
      </x:c>
      <x:c r="H113" s="141" t="n">
        <x:f>IF(E113&gt;0,Premissas!$B$18,0)</x:f>
        <x:v>0</x:v>
      </x:c>
      <x:c r="I113" s="141" t="n">
        <x:f>F113+G113+H113</x:f>
        <x:v>0</x:v>
      </x:c>
      <x:c r="J113" s="141" t="n">
        <x:f>IF(E113-F113&gt;0,MIN(E113-F113,P113),0)</x:f>
        <x:v>0</x:v>
      </x:c>
      <x:c r="K113" s="141" t="n">
        <x:f>I113+J113</x:f>
        <x:v>0</x:v>
      </x:c>
      <x:c r="L113" s="141" t="n">
        <x:f>MAX(0,E113-F113-J113)</x:f>
        <x:v>0</x:v>
      </x:c>
      <x:c r="M113" s="141" t="n">
        <x:f>SUM($K$6:K113)</x:f>
        <x:v>185795.9624076597</x:v>
      </x:c>
      <x:c r="N113" s="140" t="str">
        <x:f>IF(C113=0,"Encerrado",IF(L113=0,"Quitado","Aberto"))</x:f>
        <x:v>Encerrado</x:v>
      </x:c>
      <x:c r="O113" s="141" t="n">
        <x:f>IF(C113&gt;0,Premissas!$B$35,0)</x:f>
        <x:v>0</x:v>
      </x:c>
      <x:c r="P113" s="141" t="n">
        <x:f>IF(C113&gt;0,MAX(0,O113-I113),0)</x:f>
        <x:v>0</x:v>
      </x:c>
      <x:c r="Q113" s="141" t="n">
        <x:f>J113-IF(E113-F113&gt;0,MIN(E113-F113,P113),0)</x:f>
        <x:v>0</x:v>
      </x:c>
    </x:row>
    <x:row r="114">
      <x:c r="A114" s="142" t="n">
        <x:v>109</x:v>
      </x:c>
      <x:c r="B114" s="179" t="n">
        <x:f>EDATE(Premissas!$B$4,108)</x:f>
        <x:v>49827</x:v>
      </x:c>
      <x:c r="C114" s="141" t="n">
        <x:f>L113</x:f>
        <x:v>0</x:v>
      </x:c>
      <x:c r="D114" s="141" t="n">
        <x:f>IF(C114&gt;0,C114*Premissas!$B$17,0)</x:f>
        <x:v>0</x:v>
      </x:c>
      <x:c r="E114" s="141" t="n">
        <x:f>C114+D114</x:f>
        <x:v>0</x:v>
      </x:c>
      <x:c r="F114" s="141" t="n">
        <x:f>IF(E114&gt;0,MIN(E114,INDEX(Financiamento!$G$6:$G$485,A114)),0)</x:f>
        <x:v>0</x:v>
      </x:c>
      <x:c r="G114" s="141" t="n">
        <x:f>IF(E114&gt;0,E114*Premissas!$B$15,0)</x:f>
        <x:v>0</x:v>
      </x:c>
      <x:c r="H114" s="141" t="n">
        <x:f>IF(E114&gt;0,Premissas!$B$18,0)</x:f>
        <x:v>0</x:v>
      </x:c>
      <x:c r="I114" s="141" t="n">
        <x:f>F114+G114+H114</x:f>
        <x:v>0</x:v>
      </x:c>
      <x:c r="J114" s="141" t="n">
        <x:f>IF(E114-F114&gt;0,MIN(E114-F114,P114),0)</x:f>
        <x:v>0</x:v>
      </x:c>
      <x:c r="K114" s="141" t="n">
        <x:f>I114+J114</x:f>
        <x:v>0</x:v>
      </x:c>
      <x:c r="L114" s="141" t="n">
        <x:f>MAX(0,E114-F114-J114)</x:f>
        <x:v>0</x:v>
      </x:c>
      <x:c r="M114" s="141" t="n">
        <x:f>SUM($K$6:K114)</x:f>
        <x:v>185795.9624076597</x:v>
      </x:c>
      <x:c r="N114" s="140" t="str">
        <x:f>IF(C114=0,"Encerrado",IF(L114=0,"Quitado","Aberto"))</x:f>
        <x:v>Encerrado</x:v>
      </x:c>
      <x:c r="O114" s="141" t="n">
        <x:f>IF(C114&gt;0,Premissas!$B$35,0)</x:f>
        <x:v>0</x:v>
      </x:c>
      <x:c r="P114" s="141" t="n">
        <x:f>IF(C114&gt;0,MAX(0,O114-I114),0)</x:f>
        <x:v>0</x:v>
      </x:c>
      <x:c r="Q114" s="141" t="n">
        <x:f>J114-IF(E114-F114&gt;0,MIN(E114-F114,P114),0)</x:f>
        <x:v>0</x:v>
      </x:c>
    </x:row>
    <x:row r="115">
      <x:c r="A115" s="142" t="n">
        <x:v>110</x:v>
      </x:c>
      <x:c r="B115" s="179" t="n">
        <x:f>EDATE(Premissas!$B$4,109)</x:f>
        <x:v>49857</x:v>
      </x:c>
      <x:c r="C115" s="141" t="n">
        <x:f>L114</x:f>
        <x:v>0</x:v>
      </x:c>
      <x:c r="D115" s="141" t="n">
        <x:f>IF(C115&gt;0,C115*Premissas!$B$17,0)</x:f>
        <x:v>0</x:v>
      </x:c>
      <x:c r="E115" s="141" t="n">
        <x:f>C115+D115</x:f>
        <x:v>0</x:v>
      </x:c>
      <x:c r="F115" s="141" t="n">
        <x:f>IF(E115&gt;0,MIN(E115,INDEX(Financiamento!$G$6:$G$485,A115)),0)</x:f>
        <x:v>0</x:v>
      </x:c>
      <x:c r="G115" s="141" t="n">
        <x:f>IF(E115&gt;0,E115*Premissas!$B$15,0)</x:f>
        <x:v>0</x:v>
      </x:c>
      <x:c r="H115" s="141" t="n">
        <x:f>IF(E115&gt;0,Premissas!$B$18,0)</x:f>
        <x:v>0</x:v>
      </x:c>
      <x:c r="I115" s="141" t="n">
        <x:f>F115+G115+H115</x:f>
        <x:v>0</x:v>
      </x:c>
      <x:c r="J115" s="141" t="n">
        <x:f>IF(E115-F115&gt;0,MIN(E115-F115,P115),0)</x:f>
        <x:v>0</x:v>
      </x:c>
      <x:c r="K115" s="141" t="n">
        <x:f>I115+J115</x:f>
        <x:v>0</x:v>
      </x:c>
      <x:c r="L115" s="141" t="n">
        <x:f>MAX(0,E115-F115-J115)</x:f>
        <x:v>0</x:v>
      </x:c>
      <x:c r="M115" s="141" t="n">
        <x:f>SUM($K$6:K115)</x:f>
        <x:v>185795.9624076597</x:v>
      </x:c>
      <x:c r="N115" s="140" t="str">
        <x:f>IF(C115=0,"Encerrado",IF(L115=0,"Quitado","Aberto"))</x:f>
        <x:v>Encerrado</x:v>
      </x:c>
      <x:c r="O115" s="141" t="n">
        <x:f>IF(C115&gt;0,Premissas!$B$35,0)</x:f>
        <x:v>0</x:v>
      </x:c>
      <x:c r="P115" s="141" t="n">
        <x:f>IF(C115&gt;0,MAX(0,O115-I115),0)</x:f>
        <x:v>0</x:v>
      </x:c>
      <x:c r="Q115" s="141" t="n">
        <x:f>J115-IF(E115-F115&gt;0,MIN(E115-F115,P115),0)</x:f>
        <x:v>0</x:v>
      </x:c>
    </x:row>
    <x:row r="116">
      <x:c r="A116" s="142" t="n">
        <x:v>111</x:v>
      </x:c>
      <x:c r="B116" s="179" t="n">
        <x:f>EDATE(Premissas!$B$4,110)</x:f>
        <x:v>49888</x:v>
      </x:c>
      <x:c r="C116" s="141" t="n">
        <x:f>L115</x:f>
        <x:v>0</x:v>
      </x:c>
      <x:c r="D116" s="141" t="n">
        <x:f>IF(C116&gt;0,C116*Premissas!$B$17,0)</x:f>
        <x:v>0</x:v>
      </x:c>
      <x:c r="E116" s="141" t="n">
        <x:f>C116+D116</x:f>
        <x:v>0</x:v>
      </x:c>
      <x:c r="F116" s="141" t="n">
        <x:f>IF(E116&gt;0,MIN(E116,INDEX(Financiamento!$G$6:$G$485,A116)),0)</x:f>
        <x:v>0</x:v>
      </x:c>
      <x:c r="G116" s="141" t="n">
        <x:f>IF(E116&gt;0,E116*Premissas!$B$15,0)</x:f>
        <x:v>0</x:v>
      </x:c>
      <x:c r="H116" s="141" t="n">
        <x:f>IF(E116&gt;0,Premissas!$B$18,0)</x:f>
        <x:v>0</x:v>
      </x:c>
      <x:c r="I116" s="141" t="n">
        <x:f>F116+G116+H116</x:f>
        <x:v>0</x:v>
      </x:c>
      <x:c r="J116" s="141" t="n">
        <x:f>IF(E116-F116&gt;0,MIN(E116-F116,P116),0)</x:f>
        <x:v>0</x:v>
      </x:c>
      <x:c r="K116" s="141" t="n">
        <x:f>I116+J116</x:f>
        <x:v>0</x:v>
      </x:c>
      <x:c r="L116" s="141" t="n">
        <x:f>MAX(0,E116-F116-J116)</x:f>
        <x:v>0</x:v>
      </x:c>
      <x:c r="M116" s="141" t="n">
        <x:f>SUM($K$6:K116)</x:f>
        <x:v>185795.9624076597</x:v>
      </x:c>
      <x:c r="N116" s="140" t="str">
        <x:f>IF(C116=0,"Encerrado",IF(L116=0,"Quitado","Aberto"))</x:f>
        <x:v>Encerrado</x:v>
      </x:c>
      <x:c r="O116" s="141" t="n">
        <x:f>IF(C116&gt;0,Premissas!$B$35,0)</x:f>
        <x:v>0</x:v>
      </x:c>
      <x:c r="P116" s="141" t="n">
        <x:f>IF(C116&gt;0,MAX(0,O116-I116),0)</x:f>
        <x:v>0</x:v>
      </x:c>
      <x:c r="Q116" s="141" t="n">
        <x:f>J116-IF(E116-F116&gt;0,MIN(E116-F116,P116),0)</x:f>
        <x:v>0</x:v>
      </x:c>
    </x:row>
    <x:row r="117">
      <x:c r="A117" s="142" t="n">
        <x:v>112</x:v>
      </x:c>
      <x:c r="B117" s="179" t="n">
        <x:f>EDATE(Premissas!$B$4,111)</x:f>
        <x:v>49919</x:v>
      </x:c>
      <x:c r="C117" s="141" t="n">
        <x:f>L116</x:f>
        <x:v>0</x:v>
      </x:c>
      <x:c r="D117" s="141" t="n">
        <x:f>IF(C117&gt;0,C117*Premissas!$B$17,0)</x:f>
        <x:v>0</x:v>
      </x:c>
      <x:c r="E117" s="141" t="n">
        <x:f>C117+D117</x:f>
        <x:v>0</x:v>
      </x:c>
      <x:c r="F117" s="141" t="n">
        <x:f>IF(E117&gt;0,MIN(E117,INDEX(Financiamento!$G$6:$G$485,A117)),0)</x:f>
        <x:v>0</x:v>
      </x:c>
      <x:c r="G117" s="141" t="n">
        <x:f>IF(E117&gt;0,E117*Premissas!$B$15,0)</x:f>
        <x:v>0</x:v>
      </x:c>
      <x:c r="H117" s="141" t="n">
        <x:f>IF(E117&gt;0,Premissas!$B$18,0)</x:f>
        <x:v>0</x:v>
      </x:c>
      <x:c r="I117" s="141" t="n">
        <x:f>F117+G117+H117</x:f>
        <x:v>0</x:v>
      </x:c>
      <x:c r="J117" s="141" t="n">
        <x:f>IF(E117-F117&gt;0,MIN(E117-F117,P117),0)</x:f>
        <x:v>0</x:v>
      </x:c>
      <x:c r="K117" s="141" t="n">
        <x:f>I117+J117</x:f>
        <x:v>0</x:v>
      </x:c>
      <x:c r="L117" s="141" t="n">
        <x:f>MAX(0,E117-F117-J117)</x:f>
        <x:v>0</x:v>
      </x:c>
      <x:c r="M117" s="141" t="n">
        <x:f>SUM($K$6:K117)</x:f>
        <x:v>185795.9624076597</x:v>
      </x:c>
      <x:c r="N117" s="140" t="str">
        <x:f>IF(C117=0,"Encerrado",IF(L117=0,"Quitado","Aberto"))</x:f>
        <x:v>Encerrado</x:v>
      </x:c>
      <x:c r="O117" s="141" t="n">
        <x:f>IF(C117&gt;0,Premissas!$B$35,0)</x:f>
        <x:v>0</x:v>
      </x:c>
      <x:c r="P117" s="141" t="n">
        <x:f>IF(C117&gt;0,MAX(0,O117-I117),0)</x:f>
        <x:v>0</x:v>
      </x:c>
      <x:c r="Q117" s="141" t="n">
        <x:f>J117-IF(E117-F117&gt;0,MIN(E117-F117,P117),0)</x:f>
        <x:v>0</x:v>
      </x:c>
    </x:row>
    <x:row r="118">
      <x:c r="A118" s="142" t="n">
        <x:v>113</x:v>
      </x:c>
      <x:c r="B118" s="179" t="n">
        <x:f>EDATE(Premissas!$B$4,112)</x:f>
        <x:v>49949</x:v>
      </x:c>
      <x:c r="C118" s="141" t="n">
        <x:f>L117</x:f>
        <x:v>0</x:v>
      </x:c>
      <x:c r="D118" s="141" t="n">
        <x:f>IF(C118&gt;0,C118*Premissas!$B$17,0)</x:f>
        <x:v>0</x:v>
      </x:c>
      <x:c r="E118" s="141" t="n">
        <x:f>C118+D118</x:f>
        <x:v>0</x:v>
      </x:c>
      <x:c r="F118" s="141" t="n">
        <x:f>IF(E118&gt;0,MIN(E118,INDEX(Financiamento!$G$6:$G$485,A118)),0)</x:f>
        <x:v>0</x:v>
      </x:c>
      <x:c r="G118" s="141" t="n">
        <x:f>IF(E118&gt;0,E118*Premissas!$B$15,0)</x:f>
        <x:v>0</x:v>
      </x:c>
      <x:c r="H118" s="141" t="n">
        <x:f>IF(E118&gt;0,Premissas!$B$18,0)</x:f>
        <x:v>0</x:v>
      </x:c>
      <x:c r="I118" s="141" t="n">
        <x:f>F118+G118+H118</x:f>
        <x:v>0</x:v>
      </x:c>
      <x:c r="J118" s="141" t="n">
        <x:f>IF(E118-F118&gt;0,MIN(E118-F118,P118),0)</x:f>
        <x:v>0</x:v>
      </x:c>
      <x:c r="K118" s="141" t="n">
        <x:f>I118+J118</x:f>
        <x:v>0</x:v>
      </x:c>
      <x:c r="L118" s="141" t="n">
        <x:f>MAX(0,E118-F118-J118)</x:f>
        <x:v>0</x:v>
      </x:c>
      <x:c r="M118" s="141" t="n">
        <x:f>SUM($K$6:K118)</x:f>
        <x:v>185795.9624076597</x:v>
      </x:c>
      <x:c r="N118" s="140" t="str">
        <x:f>IF(C118=0,"Encerrado",IF(L118=0,"Quitado","Aberto"))</x:f>
        <x:v>Encerrado</x:v>
      </x:c>
      <x:c r="O118" s="141" t="n">
        <x:f>IF(C118&gt;0,Premissas!$B$35,0)</x:f>
        <x:v>0</x:v>
      </x:c>
      <x:c r="P118" s="141" t="n">
        <x:f>IF(C118&gt;0,MAX(0,O118-I118),0)</x:f>
        <x:v>0</x:v>
      </x:c>
      <x:c r="Q118" s="141" t="n">
        <x:f>J118-IF(E118-F118&gt;0,MIN(E118-F118,P118),0)</x:f>
        <x:v>0</x:v>
      </x:c>
    </x:row>
    <x:row r="119">
      <x:c r="A119" s="142" t="n">
        <x:v>114</x:v>
      </x:c>
      <x:c r="B119" s="179" t="n">
        <x:f>EDATE(Premissas!$B$4,113)</x:f>
        <x:v>49980</x:v>
      </x:c>
      <x:c r="C119" s="141" t="n">
        <x:f>L118</x:f>
        <x:v>0</x:v>
      </x:c>
      <x:c r="D119" s="141" t="n">
        <x:f>IF(C119&gt;0,C119*Premissas!$B$17,0)</x:f>
        <x:v>0</x:v>
      </x:c>
      <x:c r="E119" s="141" t="n">
        <x:f>C119+D119</x:f>
        <x:v>0</x:v>
      </x:c>
      <x:c r="F119" s="141" t="n">
        <x:f>IF(E119&gt;0,MIN(E119,INDEX(Financiamento!$G$6:$G$485,A119)),0)</x:f>
        <x:v>0</x:v>
      </x:c>
      <x:c r="G119" s="141" t="n">
        <x:f>IF(E119&gt;0,E119*Premissas!$B$15,0)</x:f>
        <x:v>0</x:v>
      </x:c>
      <x:c r="H119" s="141" t="n">
        <x:f>IF(E119&gt;0,Premissas!$B$18,0)</x:f>
        <x:v>0</x:v>
      </x:c>
      <x:c r="I119" s="141" t="n">
        <x:f>F119+G119+H119</x:f>
        <x:v>0</x:v>
      </x:c>
      <x:c r="J119" s="141" t="n">
        <x:f>IF(E119-F119&gt;0,MIN(E119-F119,P119),0)</x:f>
        <x:v>0</x:v>
      </x:c>
      <x:c r="K119" s="141" t="n">
        <x:f>I119+J119</x:f>
        <x:v>0</x:v>
      </x:c>
      <x:c r="L119" s="141" t="n">
        <x:f>MAX(0,E119-F119-J119)</x:f>
        <x:v>0</x:v>
      </x:c>
      <x:c r="M119" s="141" t="n">
        <x:f>SUM($K$6:K119)</x:f>
        <x:v>185795.9624076597</x:v>
      </x:c>
      <x:c r="N119" s="140" t="str">
        <x:f>IF(C119=0,"Encerrado",IF(L119=0,"Quitado","Aberto"))</x:f>
        <x:v>Encerrado</x:v>
      </x:c>
      <x:c r="O119" s="141" t="n">
        <x:f>IF(C119&gt;0,Premissas!$B$35,0)</x:f>
        <x:v>0</x:v>
      </x:c>
      <x:c r="P119" s="141" t="n">
        <x:f>IF(C119&gt;0,MAX(0,O119-I119),0)</x:f>
        <x:v>0</x:v>
      </x:c>
      <x:c r="Q119" s="141" t="n">
        <x:f>J119-IF(E119-F119&gt;0,MIN(E119-F119,P119),0)</x:f>
        <x:v>0</x:v>
      </x:c>
    </x:row>
    <x:row r="120">
      <x:c r="A120" s="142" t="n">
        <x:v>115</x:v>
      </x:c>
      <x:c r="B120" s="179" t="n">
        <x:f>EDATE(Premissas!$B$4,114)</x:f>
        <x:v>50010</x:v>
      </x:c>
      <x:c r="C120" s="141" t="n">
        <x:f>L119</x:f>
        <x:v>0</x:v>
      </x:c>
      <x:c r="D120" s="141" t="n">
        <x:f>IF(C120&gt;0,C120*Premissas!$B$17,0)</x:f>
        <x:v>0</x:v>
      </x:c>
      <x:c r="E120" s="141" t="n">
        <x:f>C120+D120</x:f>
        <x:v>0</x:v>
      </x:c>
      <x:c r="F120" s="141" t="n">
        <x:f>IF(E120&gt;0,MIN(E120,INDEX(Financiamento!$G$6:$G$485,A120)),0)</x:f>
        <x:v>0</x:v>
      </x:c>
      <x:c r="G120" s="141" t="n">
        <x:f>IF(E120&gt;0,E120*Premissas!$B$15,0)</x:f>
        <x:v>0</x:v>
      </x:c>
      <x:c r="H120" s="141" t="n">
        <x:f>IF(E120&gt;0,Premissas!$B$18,0)</x:f>
        <x:v>0</x:v>
      </x:c>
      <x:c r="I120" s="141" t="n">
        <x:f>F120+G120+H120</x:f>
        <x:v>0</x:v>
      </x:c>
      <x:c r="J120" s="141" t="n">
        <x:f>IF(E120-F120&gt;0,MIN(E120-F120,P120),0)</x:f>
        <x:v>0</x:v>
      </x:c>
      <x:c r="K120" s="141" t="n">
        <x:f>I120+J120</x:f>
        <x:v>0</x:v>
      </x:c>
      <x:c r="L120" s="141" t="n">
        <x:f>MAX(0,E120-F120-J120)</x:f>
        <x:v>0</x:v>
      </x:c>
      <x:c r="M120" s="141" t="n">
        <x:f>SUM($K$6:K120)</x:f>
        <x:v>185795.9624076597</x:v>
      </x:c>
      <x:c r="N120" s="140" t="str">
        <x:f>IF(C120=0,"Encerrado",IF(L120=0,"Quitado","Aberto"))</x:f>
        <x:v>Encerrado</x:v>
      </x:c>
      <x:c r="O120" s="141" t="n">
        <x:f>IF(C120&gt;0,Premissas!$B$35,0)</x:f>
        <x:v>0</x:v>
      </x:c>
      <x:c r="P120" s="141" t="n">
        <x:f>IF(C120&gt;0,MAX(0,O120-I120),0)</x:f>
        <x:v>0</x:v>
      </x:c>
      <x:c r="Q120" s="141" t="n">
        <x:f>J120-IF(E120-F120&gt;0,MIN(E120-F120,P120),0)</x:f>
        <x:v>0</x:v>
      </x:c>
    </x:row>
    <x:row r="121">
      <x:c r="A121" s="142" t="n">
        <x:v>116</x:v>
      </x:c>
      <x:c r="B121" s="179" t="n">
        <x:f>EDATE(Premissas!$B$4,115)</x:f>
        <x:v>50041</x:v>
      </x:c>
      <x:c r="C121" s="141" t="n">
        <x:f>L120</x:f>
        <x:v>0</x:v>
      </x:c>
      <x:c r="D121" s="141" t="n">
        <x:f>IF(C121&gt;0,C121*Premissas!$B$17,0)</x:f>
        <x:v>0</x:v>
      </x:c>
      <x:c r="E121" s="141" t="n">
        <x:f>C121+D121</x:f>
        <x:v>0</x:v>
      </x:c>
      <x:c r="F121" s="141" t="n">
        <x:f>IF(E121&gt;0,MIN(E121,INDEX(Financiamento!$G$6:$G$485,A121)),0)</x:f>
        <x:v>0</x:v>
      </x:c>
      <x:c r="G121" s="141" t="n">
        <x:f>IF(E121&gt;0,E121*Premissas!$B$15,0)</x:f>
        <x:v>0</x:v>
      </x:c>
      <x:c r="H121" s="141" t="n">
        <x:f>IF(E121&gt;0,Premissas!$B$18,0)</x:f>
        <x:v>0</x:v>
      </x:c>
      <x:c r="I121" s="141" t="n">
        <x:f>F121+G121+H121</x:f>
        <x:v>0</x:v>
      </x:c>
      <x:c r="J121" s="141" t="n">
        <x:f>IF(E121-F121&gt;0,MIN(E121-F121,P121),0)</x:f>
        <x:v>0</x:v>
      </x:c>
      <x:c r="K121" s="141" t="n">
        <x:f>I121+J121</x:f>
        <x:v>0</x:v>
      </x:c>
      <x:c r="L121" s="141" t="n">
        <x:f>MAX(0,E121-F121-J121)</x:f>
        <x:v>0</x:v>
      </x:c>
      <x:c r="M121" s="141" t="n">
        <x:f>SUM($K$6:K121)</x:f>
        <x:v>185795.9624076597</x:v>
      </x:c>
      <x:c r="N121" s="140" t="str">
        <x:f>IF(C121=0,"Encerrado",IF(L121=0,"Quitado","Aberto"))</x:f>
        <x:v>Encerrado</x:v>
      </x:c>
      <x:c r="O121" s="141" t="n">
        <x:f>IF(C121&gt;0,Premissas!$B$35,0)</x:f>
        <x:v>0</x:v>
      </x:c>
      <x:c r="P121" s="141" t="n">
        <x:f>IF(C121&gt;0,MAX(0,O121-I121),0)</x:f>
        <x:v>0</x:v>
      </x:c>
      <x:c r="Q121" s="141" t="n">
        <x:f>J121-IF(E121-F121&gt;0,MIN(E121-F121,P121),0)</x:f>
        <x:v>0</x:v>
      </x:c>
    </x:row>
    <x:row r="122">
      <x:c r="A122" s="142" t="n">
        <x:v>117</x:v>
      </x:c>
      <x:c r="B122" s="179" t="n">
        <x:f>EDATE(Premissas!$B$4,116)</x:f>
        <x:v>50072</x:v>
      </x:c>
      <x:c r="C122" s="141" t="n">
        <x:f>L121</x:f>
        <x:v>0</x:v>
      </x:c>
      <x:c r="D122" s="141" t="n">
        <x:f>IF(C122&gt;0,C122*Premissas!$B$17,0)</x:f>
        <x:v>0</x:v>
      </x:c>
      <x:c r="E122" s="141" t="n">
        <x:f>C122+D122</x:f>
        <x:v>0</x:v>
      </x:c>
      <x:c r="F122" s="141" t="n">
        <x:f>IF(E122&gt;0,MIN(E122,INDEX(Financiamento!$G$6:$G$485,A122)),0)</x:f>
        <x:v>0</x:v>
      </x:c>
      <x:c r="G122" s="141" t="n">
        <x:f>IF(E122&gt;0,E122*Premissas!$B$15,0)</x:f>
        <x:v>0</x:v>
      </x:c>
      <x:c r="H122" s="141" t="n">
        <x:f>IF(E122&gt;0,Premissas!$B$18,0)</x:f>
        <x:v>0</x:v>
      </x:c>
      <x:c r="I122" s="141" t="n">
        <x:f>F122+G122+H122</x:f>
        <x:v>0</x:v>
      </x:c>
      <x:c r="J122" s="141" t="n">
        <x:f>IF(E122-F122&gt;0,MIN(E122-F122,P122),0)</x:f>
        <x:v>0</x:v>
      </x:c>
      <x:c r="K122" s="141" t="n">
        <x:f>I122+J122</x:f>
        <x:v>0</x:v>
      </x:c>
      <x:c r="L122" s="141" t="n">
        <x:f>MAX(0,E122-F122-J122)</x:f>
        <x:v>0</x:v>
      </x:c>
      <x:c r="M122" s="141" t="n">
        <x:f>SUM($K$6:K122)</x:f>
        <x:v>185795.9624076597</x:v>
      </x:c>
      <x:c r="N122" s="140" t="str">
        <x:f>IF(C122=0,"Encerrado",IF(L122=0,"Quitado","Aberto"))</x:f>
        <x:v>Encerrado</x:v>
      </x:c>
      <x:c r="O122" s="141" t="n">
        <x:f>IF(C122&gt;0,Premissas!$B$35,0)</x:f>
        <x:v>0</x:v>
      </x:c>
      <x:c r="P122" s="141" t="n">
        <x:f>IF(C122&gt;0,MAX(0,O122-I122),0)</x:f>
        <x:v>0</x:v>
      </x:c>
      <x:c r="Q122" s="141" t="n">
        <x:f>J122-IF(E122-F122&gt;0,MIN(E122-F122,P122),0)</x:f>
        <x:v>0</x:v>
      </x:c>
    </x:row>
    <x:row r="123">
      <x:c r="A123" s="142" t="n">
        <x:v>118</x:v>
      </x:c>
      <x:c r="B123" s="179" t="n">
        <x:f>EDATE(Premissas!$B$4,117)</x:f>
        <x:v>50100</x:v>
      </x:c>
      <x:c r="C123" s="141" t="n">
        <x:f>L122</x:f>
        <x:v>0</x:v>
      </x:c>
      <x:c r="D123" s="141" t="n">
        <x:f>IF(C123&gt;0,C123*Premissas!$B$17,0)</x:f>
        <x:v>0</x:v>
      </x:c>
      <x:c r="E123" s="141" t="n">
        <x:f>C123+D123</x:f>
        <x:v>0</x:v>
      </x:c>
      <x:c r="F123" s="141" t="n">
        <x:f>IF(E123&gt;0,MIN(E123,INDEX(Financiamento!$G$6:$G$485,A123)),0)</x:f>
        <x:v>0</x:v>
      </x:c>
      <x:c r="G123" s="141" t="n">
        <x:f>IF(E123&gt;0,E123*Premissas!$B$15,0)</x:f>
        <x:v>0</x:v>
      </x:c>
      <x:c r="H123" s="141" t="n">
        <x:f>IF(E123&gt;0,Premissas!$B$18,0)</x:f>
        <x:v>0</x:v>
      </x:c>
      <x:c r="I123" s="141" t="n">
        <x:f>F123+G123+H123</x:f>
        <x:v>0</x:v>
      </x:c>
      <x:c r="J123" s="141" t="n">
        <x:f>IF(E123-F123&gt;0,MIN(E123-F123,P123),0)</x:f>
        <x:v>0</x:v>
      </x:c>
      <x:c r="K123" s="141" t="n">
        <x:f>I123+J123</x:f>
        <x:v>0</x:v>
      </x:c>
      <x:c r="L123" s="141" t="n">
        <x:f>MAX(0,E123-F123-J123)</x:f>
        <x:v>0</x:v>
      </x:c>
      <x:c r="M123" s="141" t="n">
        <x:f>SUM($K$6:K123)</x:f>
        <x:v>185795.9624076597</x:v>
      </x:c>
      <x:c r="N123" s="140" t="str">
        <x:f>IF(C123=0,"Encerrado",IF(L123=0,"Quitado","Aberto"))</x:f>
        <x:v>Encerrado</x:v>
      </x:c>
      <x:c r="O123" s="141" t="n">
        <x:f>IF(C123&gt;0,Premissas!$B$35,0)</x:f>
        <x:v>0</x:v>
      </x:c>
      <x:c r="P123" s="141" t="n">
        <x:f>IF(C123&gt;0,MAX(0,O123-I123),0)</x:f>
        <x:v>0</x:v>
      </x:c>
      <x:c r="Q123" s="141" t="n">
        <x:f>J123-IF(E123-F123&gt;0,MIN(E123-F123,P123),0)</x:f>
        <x:v>0</x:v>
      </x:c>
    </x:row>
    <x:row r="124">
      <x:c r="A124" s="142" t="n">
        <x:v>119</x:v>
      </x:c>
      <x:c r="B124" s="179" t="n">
        <x:f>EDATE(Premissas!$B$4,118)</x:f>
        <x:v>50131</x:v>
      </x:c>
      <x:c r="C124" s="141" t="n">
        <x:f>L123</x:f>
        <x:v>0</x:v>
      </x:c>
      <x:c r="D124" s="141" t="n">
        <x:f>IF(C124&gt;0,C124*Premissas!$B$17,0)</x:f>
        <x:v>0</x:v>
      </x:c>
      <x:c r="E124" s="141" t="n">
        <x:f>C124+D124</x:f>
        <x:v>0</x:v>
      </x:c>
      <x:c r="F124" s="141" t="n">
        <x:f>IF(E124&gt;0,MIN(E124,INDEX(Financiamento!$G$6:$G$485,A124)),0)</x:f>
        <x:v>0</x:v>
      </x:c>
      <x:c r="G124" s="141" t="n">
        <x:f>IF(E124&gt;0,E124*Premissas!$B$15,0)</x:f>
        <x:v>0</x:v>
      </x:c>
      <x:c r="H124" s="141" t="n">
        <x:f>IF(E124&gt;0,Premissas!$B$18,0)</x:f>
        <x:v>0</x:v>
      </x:c>
      <x:c r="I124" s="141" t="n">
        <x:f>F124+G124+H124</x:f>
        <x:v>0</x:v>
      </x:c>
      <x:c r="J124" s="141" t="n">
        <x:f>IF(E124-F124&gt;0,MIN(E124-F124,P124),0)</x:f>
        <x:v>0</x:v>
      </x:c>
      <x:c r="K124" s="141" t="n">
        <x:f>I124+J124</x:f>
        <x:v>0</x:v>
      </x:c>
      <x:c r="L124" s="141" t="n">
        <x:f>MAX(0,E124-F124-J124)</x:f>
        <x:v>0</x:v>
      </x:c>
      <x:c r="M124" s="141" t="n">
        <x:f>SUM($K$6:K124)</x:f>
        <x:v>185795.9624076597</x:v>
      </x:c>
      <x:c r="N124" s="140" t="str">
        <x:f>IF(C124=0,"Encerrado",IF(L124=0,"Quitado","Aberto"))</x:f>
        <x:v>Encerrado</x:v>
      </x:c>
      <x:c r="O124" s="141" t="n">
        <x:f>IF(C124&gt;0,Premissas!$B$35,0)</x:f>
        <x:v>0</x:v>
      </x:c>
      <x:c r="P124" s="141" t="n">
        <x:f>IF(C124&gt;0,MAX(0,O124-I124),0)</x:f>
        <x:v>0</x:v>
      </x:c>
      <x:c r="Q124" s="141" t="n">
        <x:f>J124-IF(E124-F124&gt;0,MIN(E124-F124,P124),0)</x:f>
        <x:v>0</x:v>
      </x:c>
    </x:row>
    <x:row r="125">
      <x:c r="A125" s="142" t="n">
        <x:v>120</x:v>
      </x:c>
      <x:c r="B125" s="179" t="n">
        <x:f>EDATE(Premissas!$B$4,119)</x:f>
        <x:v>50161</x:v>
      </x:c>
      <x:c r="C125" s="141" t="n">
        <x:f>L124</x:f>
        <x:v>0</x:v>
      </x:c>
      <x:c r="D125" s="141" t="n">
        <x:f>IF(C125&gt;0,C125*Premissas!$B$17,0)</x:f>
        <x:v>0</x:v>
      </x:c>
      <x:c r="E125" s="141" t="n">
        <x:f>C125+D125</x:f>
        <x:v>0</x:v>
      </x:c>
      <x:c r="F125" s="141" t="n">
        <x:f>IF(E125&gt;0,MIN(E125,INDEX(Financiamento!$G$6:$G$485,A125)),0)</x:f>
        <x:v>0</x:v>
      </x:c>
      <x:c r="G125" s="141" t="n">
        <x:f>IF(E125&gt;0,E125*Premissas!$B$15,0)</x:f>
        <x:v>0</x:v>
      </x:c>
      <x:c r="H125" s="141" t="n">
        <x:f>IF(E125&gt;0,Premissas!$B$18,0)</x:f>
        <x:v>0</x:v>
      </x:c>
      <x:c r="I125" s="141" t="n">
        <x:f>F125+G125+H125</x:f>
        <x:v>0</x:v>
      </x:c>
      <x:c r="J125" s="141" t="n">
        <x:f>IF(E125-F125&gt;0,MIN(E125-F125,P125),0)</x:f>
        <x:v>0</x:v>
      </x:c>
      <x:c r="K125" s="141" t="n">
        <x:f>I125+J125</x:f>
        <x:v>0</x:v>
      </x:c>
      <x:c r="L125" s="141" t="n">
        <x:f>MAX(0,E125-F125-J125)</x:f>
        <x:v>0</x:v>
      </x:c>
      <x:c r="M125" s="141" t="n">
        <x:f>SUM($K$6:K125)</x:f>
        <x:v>185795.9624076597</x:v>
      </x:c>
      <x:c r="N125" s="140" t="str">
        <x:f>IF(C125=0,"Encerrado",IF(L125=0,"Quitado","Aberto"))</x:f>
        <x:v>Encerrado</x:v>
      </x:c>
      <x:c r="O125" s="141" t="n">
        <x:f>IF(C125&gt;0,Premissas!$B$35,0)</x:f>
        <x:v>0</x:v>
      </x:c>
      <x:c r="P125" s="141" t="n">
        <x:f>IF(C125&gt;0,MAX(0,O125-I125),0)</x:f>
        <x:v>0</x:v>
      </x:c>
      <x:c r="Q125" s="141" t="n">
        <x:f>J125-IF(E125-F125&gt;0,MIN(E125-F125,P125),0)</x:f>
        <x:v>0</x:v>
      </x:c>
    </x:row>
    <x:row r="126">
      <x:c r="A126" s="142" t="n">
        <x:v>121</x:v>
      </x:c>
      <x:c r="B126" s="179" t="n">
        <x:f>EDATE(Premissas!$B$4,120)</x:f>
        <x:v>50192</x:v>
      </x:c>
      <x:c r="C126" s="141" t="n">
        <x:f>L125</x:f>
        <x:v>0</x:v>
      </x:c>
      <x:c r="D126" s="141" t="n">
        <x:f>IF(C126&gt;0,C126*Premissas!$B$17,0)</x:f>
        <x:v>0</x:v>
      </x:c>
      <x:c r="E126" s="141" t="n">
        <x:f>C126+D126</x:f>
        <x:v>0</x:v>
      </x:c>
      <x:c r="F126" s="141" t="n">
        <x:f>IF(E126&gt;0,MIN(E126,INDEX(Financiamento!$G$6:$G$485,A126)),0)</x:f>
        <x:v>0</x:v>
      </x:c>
      <x:c r="G126" s="141" t="n">
        <x:f>IF(E126&gt;0,E126*Premissas!$B$15,0)</x:f>
        <x:v>0</x:v>
      </x:c>
      <x:c r="H126" s="141" t="n">
        <x:f>IF(E126&gt;0,Premissas!$B$18,0)</x:f>
        <x:v>0</x:v>
      </x:c>
      <x:c r="I126" s="141" t="n">
        <x:f>F126+G126+H126</x:f>
        <x:v>0</x:v>
      </x:c>
      <x:c r="J126" s="141" t="n">
        <x:f>IF(E126-F126&gt;0,MIN(E126-F126,P126),0)</x:f>
        <x:v>0</x:v>
      </x:c>
      <x:c r="K126" s="141" t="n">
        <x:f>I126+J126</x:f>
        <x:v>0</x:v>
      </x:c>
      <x:c r="L126" s="141" t="n">
        <x:f>MAX(0,E126-F126-J126)</x:f>
        <x:v>0</x:v>
      </x:c>
      <x:c r="M126" s="141" t="n">
        <x:f>SUM($K$6:K126)</x:f>
        <x:v>185795.9624076597</x:v>
      </x:c>
      <x:c r="N126" s="140" t="str">
        <x:f>IF(C126=0,"Encerrado",IF(L126=0,"Quitado","Aberto"))</x:f>
        <x:v>Encerrado</x:v>
      </x:c>
      <x:c r="O126" s="141" t="n">
        <x:f>IF(C126&gt;0,Premissas!$B$35,0)</x:f>
        <x:v>0</x:v>
      </x:c>
      <x:c r="P126" s="141" t="n">
        <x:f>IF(C126&gt;0,MAX(0,O126-I126),0)</x:f>
        <x:v>0</x:v>
      </x:c>
      <x:c r="Q126" s="141" t="n">
        <x:f>J126-IF(E126-F126&gt;0,MIN(E126-F126,P126),0)</x:f>
        <x:v>0</x:v>
      </x:c>
    </x:row>
    <x:row r="127">
      <x:c r="A127" s="142" t="n">
        <x:v>122</x:v>
      </x:c>
      <x:c r="B127" s="179" t="n">
        <x:f>EDATE(Premissas!$B$4,121)</x:f>
        <x:v>50222</x:v>
      </x:c>
      <x:c r="C127" s="141" t="n">
        <x:f>L126</x:f>
        <x:v>0</x:v>
      </x:c>
      <x:c r="D127" s="141" t="n">
        <x:f>IF(C127&gt;0,C127*Premissas!$B$17,0)</x:f>
        <x:v>0</x:v>
      </x:c>
      <x:c r="E127" s="141" t="n">
        <x:f>C127+D127</x:f>
        <x:v>0</x:v>
      </x:c>
      <x:c r="F127" s="141" t="n">
        <x:f>IF(E127&gt;0,MIN(E127,INDEX(Financiamento!$G$6:$G$485,A127)),0)</x:f>
        <x:v>0</x:v>
      </x:c>
      <x:c r="G127" s="141" t="n">
        <x:f>IF(E127&gt;0,E127*Premissas!$B$15,0)</x:f>
        <x:v>0</x:v>
      </x:c>
      <x:c r="H127" s="141" t="n">
        <x:f>IF(E127&gt;0,Premissas!$B$18,0)</x:f>
        <x:v>0</x:v>
      </x:c>
      <x:c r="I127" s="141" t="n">
        <x:f>F127+G127+H127</x:f>
        <x:v>0</x:v>
      </x:c>
      <x:c r="J127" s="141" t="n">
        <x:f>IF(E127-F127&gt;0,MIN(E127-F127,P127),0)</x:f>
        <x:v>0</x:v>
      </x:c>
      <x:c r="K127" s="141" t="n">
        <x:f>I127+J127</x:f>
        <x:v>0</x:v>
      </x:c>
      <x:c r="L127" s="141" t="n">
        <x:f>MAX(0,E127-F127-J127)</x:f>
        <x:v>0</x:v>
      </x:c>
      <x:c r="M127" s="141" t="n">
        <x:f>SUM($K$6:K127)</x:f>
        <x:v>185795.9624076597</x:v>
      </x:c>
      <x:c r="N127" s="140" t="str">
        <x:f>IF(C127=0,"Encerrado",IF(L127=0,"Quitado","Aberto"))</x:f>
        <x:v>Encerrado</x:v>
      </x:c>
      <x:c r="O127" s="141" t="n">
        <x:f>IF(C127&gt;0,Premissas!$B$35,0)</x:f>
        <x:v>0</x:v>
      </x:c>
      <x:c r="P127" s="141" t="n">
        <x:f>IF(C127&gt;0,MAX(0,O127-I127),0)</x:f>
        <x:v>0</x:v>
      </x:c>
      <x:c r="Q127" s="141" t="n">
        <x:f>J127-IF(E127-F127&gt;0,MIN(E127-F127,P127),0)</x:f>
        <x:v>0</x:v>
      </x:c>
    </x:row>
    <x:row r="128">
      <x:c r="A128" s="142" t="n">
        <x:v>123</x:v>
      </x:c>
      <x:c r="B128" s="179" t="n">
        <x:f>EDATE(Premissas!$B$4,122)</x:f>
        <x:v>50253</x:v>
      </x:c>
      <x:c r="C128" s="141" t="n">
        <x:f>L127</x:f>
        <x:v>0</x:v>
      </x:c>
      <x:c r="D128" s="141" t="n">
        <x:f>IF(C128&gt;0,C128*Premissas!$B$17,0)</x:f>
        <x:v>0</x:v>
      </x:c>
      <x:c r="E128" s="141" t="n">
        <x:f>C128+D128</x:f>
        <x:v>0</x:v>
      </x:c>
      <x:c r="F128" s="141" t="n">
        <x:f>IF(E128&gt;0,MIN(E128,INDEX(Financiamento!$G$6:$G$485,A128)),0)</x:f>
        <x:v>0</x:v>
      </x:c>
      <x:c r="G128" s="141" t="n">
        <x:f>IF(E128&gt;0,E128*Premissas!$B$15,0)</x:f>
        <x:v>0</x:v>
      </x:c>
      <x:c r="H128" s="141" t="n">
        <x:f>IF(E128&gt;0,Premissas!$B$18,0)</x:f>
        <x:v>0</x:v>
      </x:c>
      <x:c r="I128" s="141" t="n">
        <x:f>F128+G128+H128</x:f>
        <x:v>0</x:v>
      </x:c>
      <x:c r="J128" s="141" t="n">
        <x:f>IF(E128-F128&gt;0,MIN(E128-F128,P128),0)</x:f>
        <x:v>0</x:v>
      </x:c>
      <x:c r="K128" s="141" t="n">
        <x:f>I128+J128</x:f>
        <x:v>0</x:v>
      </x:c>
      <x:c r="L128" s="141" t="n">
        <x:f>MAX(0,E128-F128-J128)</x:f>
        <x:v>0</x:v>
      </x:c>
      <x:c r="M128" s="141" t="n">
        <x:f>SUM($K$6:K128)</x:f>
        <x:v>185795.9624076597</x:v>
      </x:c>
      <x:c r="N128" s="140" t="str">
        <x:f>IF(C128=0,"Encerrado",IF(L128=0,"Quitado","Aberto"))</x:f>
        <x:v>Encerrado</x:v>
      </x:c>
      <x:c r="O128" s="141" t="n">
        <x:f>IF(C128&gt;0,Premissas!$B$35,0)</x:f>
        <x:v>0</x:v>
      </x:c>
      <x:c r="P128" s="141" t="n">
        <x:f>IF(C128&gt;0,MAX(0,O128-I128),0)</x:f>
        <x:v>0</x:v>
      </x:c>
      <x:c r="Q128" s="141" t="n">
        <x:f>J128-IF(E128-F128&gt;0,MIN(E128-F128,P128),0)</x:f>
        <x:v>0</x:v>
      </x:c>
    </x:row>
    <x:row r="129">
      <x:c r="A129" s="142" t="n">
        <x:v>124</x:v>
      </x:c>
      <x:c r="B129" s="179" t="n">
        <x:f>EDATE(Premissas!$B$4,123)</x:f>
        <x:v>50284</x:v>
      </x:c>
      <x:c r="C129" s="141" t="n">
        <x:f>L128</x:f>
        <x:v>0</x:v>
      </x:c>
      <x:c r="D129" s="141" t="n">
        <x:f>IF(C129&gt;0,C129*Premissas!$B$17,0)</x:f>
        <x:v>0</x:v>
      </x:c>
      <x:c r="E129" s="141" t="n">
        <x:f>C129+D129</x:f>
        <x:v>0</x:v>
      </x:c>
      <x:c r="F129" s="141" t="n">
        <x:f>IF(E129&gt;0,MIN(E129,INDEX(Financiamento!$G$6:$G$485,A129)),0)</x:f>
        <x:v>0</x:v>
      </x:c>
      <x:c r="G129" s="141" t="n">
        <x:f>IF(E129&gt;0,E129*Premissas!$B$15,0)</x:f>
        <x:v>0</x:v>
      </x:c>
      <x:c r="H129" s="141" t="n">
        <x:f>IF(E129&gt;0,Premissas!$B$18,0)</x:f>
        <x:v>0</x:v>
      </x:c>
      <x:c r="I129" s="141" t="n">
        <x:f>F129+G129+H129</x:f>
        <x:v>0</x:v>
      </x:c>
      <x:c r="J129" s="141" t="n">
        <x:f>IF(E129-F129&gt;0,MIN(E129-F129,P129),0)</x:f>
        <x:v>0</x:v>
      </x:c>
      <x:c r="K129" s="141" t="n">
        <x:f>I129+J129</x:f>
        <x:v>0</x:v>
      </x:c>
      <x:c r="L129" s="141" t="n">
        <x:f>MAX(0,E129-F129-J129)</x:f>
        <x:v>0</x:v>
      </x:c>
      <x:c r="M129" s="141" t="n">
        <x:f>SUM($K$6:K129)</x:f>
        <x:v>185795.9624076597</x:v>
      </x:c>
      <x:c r="N129" s="140" t="str">
        <x:f>IF(C129=0,"Encerrado",IF(L129=0,"Quitado","Aberto"))</x:f>
        <x:v>Encerrado</x:v>
      </x:c>
      <x:c r="O129" s="141" t="n">
        <x:f>IF(C129&gt;0,Premissas!$B$35,0)</x:f>
        <x:v>0</x:v>
      </x:c>
      <x:c r="P129" s="141" t="n">
        <x:f>IF(C129&gt;0,MAX(0,O129-I129),0)</x:f>
        <x:v>0</x:v>
      </x:c>
      <x:c r="Q129" s="141" t="n">
        <x:f>J129-IF(E129-F129&gt;0,MIN(E129-F129,P129),0)</x:f>
        <x:v>0</x:v>
      </x:c>
    </x:row>
    <x:row r="130">
      <x:c r="A130" s="142" t="n">
        <x:v>125</x:v>
      </x:c>
      <x:c r="B130" s="179" t="n">
        <x:f>EDATE(Premissas!$B$4,124)</x:f>
        <x:v>50314</x:v>
      </x:c>
      <x:c r="C130" s="141" t="n">
        <x:f>L129</x:f>
        <x:v>0</x:v>
      </x:c>
      <x:c r="D130" s="141" t="n">
        <x:f>IF(C130&gt;0,C130*Premissas!$B$17,0)</x:f>
        <x:v>0</x:v>
      </x:c>
      <x:c r="E130" s="141" t="n">
        <x:f>C130+D130</x:f>
        <x:v>0</x:v>
      </x:c>
      <x:c r="F130" s="141" t="n">
        <x:f>IF(E130&gt;0,MIN(E130,INDEX(Financiamento!$G$6:$G$485,A130)),0)</x:f>
        <x:v>0</x:v>
      </x:c>
      <x:c r="G130" s="141" t="n">
        <x:f>IF(E130&gt;0,E130*Premissas!$B$15,0)</x:f>
        <x:v>0</x:v>
      </x:c>
      <x:c r="H130" s="141" t="n">
        <x:f>IF(E130&gt;0,Premissas!$B$18,0)</x:f>
        <x:v>0</x:v>
      </x:c>
      <x:c r="I130" s="141" t="n">
        <x:f>F130+G130+H130</x:f>
        <x:v>0</x:v>
      </x:c>
      <x:c r="J130" s="141" t="n">
        <x:f>IF(E130-F130&gt;0,MIN(E130-F130,P130),0)</x:f>
        <x:v>0</x:v>
      </x:c>
      <x:c r="K130" s="141" t="n">
        <x:f>I130+J130</x:f>
        <x:v>0</x:v>
      </x:c>
      <x:c r="L130" s="141" t="n">
        <x:f>MAX(0,E130-F130-J130)</x:f>
        <x:v>0</x:v>
      </x:c>
      <x:c r="M130" s="141" t="n">
        <x:f>SUM($K$6:K130)</x:f>
        <x:v>185795.9624076597</x:v>
      </x:c>
      <x:c r="N130" s="140" t="str">
        <x:f>IF(C130=0,"Encerrado",IF(L130=0,"Quitado","Aberto"))</x:f>
        <x:v>Encerrado</x:v>
      </x:c>
      <x:c r="O130" s="141" t="n">
        <x:f>IF(C130&gt;0,Premissas!$B$35,0)</x:f>
        <x:v>0</x:v>
      </x:c>
      <x:c r="P130" s="141" t="n">
        <x:f>IF(C130&gt;0,MAX(0,O130-I130),0)</x:f>
        <x:v>0</x:v>
      </x:c>
      <x:c r="Q130" s="141" t="n">
        <x:f>J130-IF(E130-F130&gt;0,MIN(E130-F130,P130),0)</x:f>
        <x:v>0</x:v>
      </x:c>
    </x:row>
    <x:row r="131">
      <x:c r="A131" s="142" t="n">
        <x:v>126</x:v>
      </x:c>
      <x:c r="B131" s="179" t="n">
        <x:f>EDATE(Premissas!$B$4,125)</x:f>
        <x:v>50345</x:v>
      </x:c>
      <x:c r="C131" s="141" t="n">
        <x:f>L130</x:f>
        <x:v>0</x:v>
      </x:c>
      <x:c r="D131" s="141" t="n">
        <x:f>IF(C131&gt;0,C131*Premissas!$B$17,0)</x:f>
        <x:v>0</x:v>
      </x:c>
      <x:c r="E131" s="141" t="n">
        <x:f>C131+D131</x:f>
        <x:v>0</x:v>
      </x:c>
      <x:c r="F131" s="141" t="n">
        <x:f>IF(E131&gt;0,MIN(E131,INDEX(Financiamento!$G$6:$G$485,A131)),0)</x:f>
        <x:v>0</x:v>
      </x:c>
      <x:c r="G131" s="141" t="n">
        <x:f>IF(E131&gt;0,E131*Premissas!$B$15,0)</x:f>
        <x:v>0</x:v>
      </x:c>
      <x:c r="H131" s="141" t="n">
        <x:f>IF(E131&gt;0,Premissas!$B$18,0)</x:f>
        <x:v>0</x:v>
      </x:c>
      <x:c r="I131" s="141" t="n">
        <x:f>F131+G131+H131</x:f>
        <x:v>0</x:v>
      </x:c>
      <x:c r="J131" s="141" t="n">
        <x:f>IF(E131-F131&gt;0,MIN(E131-F131,P131),0)</x:f>
        <x:v>0</x:v>
      </x:c>
      <x:c r="K131" s="141" t="n">
        <x:f>I131+J131</x:f>
        <x:v>0</x:v>
      </x:c>
      <x:c r="L131" s="141" t="n">
        <x:f>MAX(0,E131-F131-J131)</x:f>
        <x:v>0</x:v>
      </x:c>
      <x:c r="M131" s="141" t="n">
        <x:f>SUM($K$6:K131)</x:f>
        <x:v>185795.9624076597</x:v>
      </x:c>
      <x:c r="N131" s="140" t="str">
        <x:f>IF(C131=0,"Encerrado",IF(L131=0,"Quitado","Aberto"))</x:f>
        <x:v>Encerrado</x:v>
      </x:c>
      <x:c r="O131" s="141" t="n">
        <x:f>IF(C131&gt;0,Premissas!$B$35,0)</x:f>
        <x:v>0</x:v>
      </x:c>
      <x:c r="P131" s="141" t="n">
        <x:f>IF(C131&gt;0,MAX(0,O131-I131),0)</x:f>
        <x:v>0</x:v>
      </x:c>
      <x:c r="Q131" s="141" t="n">
        <x:f>J131-IF(E131-F131&gt;0,MIN(E131-F131,P131),0)</x:f>
        <x:v>0</x:v>
      </x:c>
    </x:row>
    <x:row r="132">
      <x:c r="A132" s="142" t="n">
        <x:v>127</x:v>
      </x:c>
      <x:c r="B132" s="179" t="n">
        <x:f>EDATE(Premissas!$B$4,126)</x:f>
        <x:v>50375</x:v>
      </x:c>
      <x:c r="C132" s="141" t="n">
        <x:f>L131</x:f>
        <x:v>0</x:v>
      </x:c>
      <x:c r="D132" s="141" t="n">
        <x:f>IF(C132&gt;0,C132*Premissas!$B$17,0)</x:f>
        <x:v>0</x:v>
      </x:c>
      <x:c r="E132" s="141" t="n">
        <x:f>C132+D132</x:f>
        <x:v>0</x:v>
      </x:c>
      <x:c r="F132" s="141" t="n">
        <x:f>IF(E132&gt;0,MIN(E132,INDEX(Financiamento!$G$6:$G$485,A132)),0)</x:f>
        <x:v>0</x:v>
      </x:c>
      <x:c r="G132" s="141" t="n">
        <x:f>IF(E132&gt;0,E132*Premissas!$B$15,0)</x:f>
        <x:v>0</x:v>
      </x:c>
      <x:c r="H132" s="141" t="n">
        <x:f>IF(E132&gt;0,Premissas!$B$18,0)</x:f>
        <x:v>0</x:v>
      </x:c>
      <x:c r="I132" s="141" t="n">
        <x:f>F132+G132+H132</x:f>
        <x:v>0</x:v>
      </x:c>
      <x:c r="J132" s="141" t="n">
        <x:f>IF(E132-F132&gt;0,MIN(E132-F132,P132),0)</x:f>
        <x:v>0</x:v>
      </x:c>
      <x:c r="K132" s="141" t="n">
        <x:f>I132+J132</x:f>
        <x:v>0</x:v>
      </x:c>
      <x:c r="L132" s="141" t="n">
        <x:f>MAX(0,E132-F132-J132)</x:f>
        <x:v>0</x:v>
      </x:c>
      <x:c r="M132" s="141" t="n">
        <x:f>SUM($K$6:K132)</x:f>
        <x:v>185795.9624076597</x:v>
      </x:c>
      <x:c r="N132" s="140" t="str">
        <x:f>IF(C132=0,"Encerrado",IF(L132=0,"Quitado","Aberto"))</x:f>
        <x:v>Encerrado</x:v>
      </x:c>
      <x:c r="O132" s="141" t="n">
        <x:f>IF(C132&gt;0,Premissas!$B$35,0)</x:f>
        <x:v>0</x:v>
      </x:c>
      <x:c r="P132" s="141" t="n">
        <x:f>IF(C132&gt;0,MAX(0,O132-I132),0)</x:f>
        <x:v>0</x:v>
      </x:c>
      <x:c r="Q132" s="141" t="n">
        <x:f>J132-IF(E132-F132&gt;0,MIN(E132-F132,P132),0)</x:f>
        <x:v>0</x:v>
      </x:c>
    </x:row>
    <x:row r="133">
      <x:c r="A133" s="142" t="n">
        <x:v>128</x:v>
      </x:c>
      <x:c r="B133" s="179" t="n">
        <x:f>EDATE(Premissas!$B$4,127)</x:f>
        <x:v>50406</x:v>
      </x:c>
      <x:c r="C133" s="141" t="n">
        <x:f>L132</x:f>
        <x:v>0</x:v>
      </x:c>
      <x:c r="D133" s="141" t="n">
        <x:f>IF(C133&gt;0,C133*Premissas!$B$17,0)</x:f>
        <x:v>0</x:v>
      </x:c>
      <x:c r="E133" s="141" t="n">
        <x:f>C133+D133</x:f>
        <x:v>0</x:v>
      </x:c>
      <x:c r="F133" s="141" t="n">
        <x:f>IF(E133&gt;0,MIN(E133,INDEX(Financiamento!$G$6:$G$485,A133)),0)</x:f>
        <x:v>0</x:v>
      </x:c>
      <x:c r="G133" s="141" t="n">
        <x:f>IF(E133&gt;0,E133*Premissas!$B$15,0)</x:f>
        <x:v>0</x:v>
      </x:c>
      <x:c r="H133" s="141" t="n">
        <x:f>IF(E133&gt;0,Premissas!$B$18,0)</x:f>
        <x:v>0</x:v>
      </x:c>
      <x:c r="I133" s="141" t="n">
        <x:f>F133+G133+H133</x:f>
        <x:v>0</x:v>
      </x:c>
      <x:c r="J133" s="141" t="n">
        <x:f>IF(E133-F133&gt;0,MIN(E133-F133,P133),0)</x:f>
        <x:v>0</x:v>
      </x:c>
      <x:c r="K133" s="141" t="n">
        <x:f>I133+J133</x:f>
        <x:v>0</x:v>
      </x:c>
      <x:c r="L133" s="141" t="n">
        <x:f>MAX(0,E133-F133-J133)</x:f>
        <x:v>0</x:v>
      </x:c>
      <x:c r="M133" s="141" t="n">
        <x:f>SUM($K$6:K133)</x:f>
        <x:v>185795.9624076597</x:v>
      </x:c>
      <x:c r="N133" s="140" t="str">
        <x:f>IF(C133=0,"Encerrado",IF(L133=0,"Quitado","Aberto"))</x:f>
        <x:v>Encerrado</x:v>
      </x:c>
      <x:c r="O133" s="141" t="n">
        <x:f>IF(C133&gt;0,Premissas!$B$35,0)</x:f>
        <x:v>0</x:v>
      </x:c>
      <x:c r="P133" s="141" t="n">
        <x:f>IF(C133&gt;0,MAX(0,O133-I133),0)</x:f>
        <x:v>0</x:v>
      </x:c>
      <x:c r="Q133" s="141" t="n">
        <x:f>J133-IF(E133-F133&gt;0,MIN(E133-F133,P133),0)</x:f>
        <x:v>0</x:v>
      </x:c>
    </x:row>
    <x:row r="134">
      <x:c r="A134" s="142" t="n">
        <x:v>129</x:v>
      </x:c>
      <x:c r="B134" s="179" t="n">
        <x:f>EDATE(Premissas!$B$4,128)</x:f>
        <x:v>50437</x:v>
      </x:c>
      <x:c r="C134" s="141" t="n">
        <x:f>L133</x:f>
        <x:v>0</x:v>
      </x:c>
      <x:c r="D134" s="141" t="n">
        <x:f>IF(C134&gt;0,C134*Premissas!$B$17,0)</x:f>
        <x:v>0</x:v>
      </x:c>
      <x:c r="E134" s="141" t="n">
        <x:f>C134+D134</x:f>
        <x:v>0</x:v>
      </x:c>
      <x:c r="F134" s="141" t="n">
        <x:f>IF(E134&gt;0,MIN(E134,INDEX(Financiamento!$G$6:$G$485,A134)),0)</x:f>
        <x:v>0</x:v>
      </x:c>
      <x:c r="G134" s="141" t="n">
        <x:f>IF(E134&gt;0,E134*Premissas!$B$15,0)</x:f>
        <x:v>0</x:v>
      </x:c>
      <x:c r="H134" s="141" t="n">
        <x:f>IF(E134&gt;0,Premissas!$B$18,0)</x:f>
        <x:v>0</x:v>
      </x:c>
      <x:c r="I134" s="141" t="n">
        <x:f>F134+G134+H134</x:f>
        <x:v>0</x:v>
      </x:c>
      <x:c r="J134" s="141" t="n">
        <x:f>IF(E134-F134&gt;0,MIN(E134-F134,P134),0)</x:f>
        <x:v>0</x:v>
      </x:c>
      <x:c r="K134" s="141" t="n">
        <x:f>I134+J134</x:f>
        <x:v>0</x:v>
      </x:c>
      <x:c r="L134" s="141" t="n">
        <x:f>MAX(0,E134-F134-J134)</x:f>
        <x:v>0</x:v>
      </x:c>
      <x:c r="M134" s="141" t="n">
        <x:f>SUM($K$6:K134)</x:f>
        <x:v>185795.9624076597</x:v>
      </x:c>
      <x:c r="N134" s="140" t="str">
        <x:f>IF(C134=0,"Encerrado",IF(L134=0,"Quitado","Aberto"))</x:f>
        <x:v>Encerrado</x:v>
      </x:c>
      <x:c r="O134" s="141" t="n">
        <x:f>IF(C134&gt;0,Premissas!$B$35,0)</x:f>
        <x:v>0</x:v>
      </x:c>
      <x:c r="P134" s="141" t="n">
        <x:f>IF(C134&gt;0,MAX(0,O134-I134),0)</x:f>
        <x:v>0</x:v>
      </x:c>
      <x:c r="Q134" s="141" t="n">
        <x:f>J134-IF(E134-F134&gt;0,MIN(E134-F134,P134),0)</x:f>
        <x:v>0</x:v>
      </x:c>
    </x:row>
    <x:row r="135">
      <x:c r="A135" s="142" t="n">
        <x:v>130</x:v>
      </x:c>
      <x:c r="B135" s="179" t="n">
        <x:f>EDATE(Premissas!$B$4,129)</x:f>
        <x:v>50465</x:v>
      </x:c>
      <x:c r="C135" s="141" t="n">
        <x:f>L134</x:f>
        <x:v>0</x:v>
      </x:c>
      <x:c r="D135" s="141" t="n">
        <x:f>IF(C135&gt;0,C135*Premissas!$B$17,0)</x:f>
        <x:v>0</x:v>
      </x:c>
      <x:c r="E135" s="141" t="n">
        <x:f>C135+D135</x:f>
        <x:v>0</x:v>
      </x:c>
      <x:c r="F135" s="141" t="n">
        <x:f>IF(E135&gt;0,MIN(E135,INDEX(Financiamento!$G$6:$G$485,A135)),0)</x:f>
        <x:v>0</x:v>
      </x:c>
      <x:c r="G135" s="141" t="n">
        <x:f>IF(E135&gt;0,E135*Premissas!$B$15,0)</x:f>
        <x:v>0</x:v>
      </x:c>
      <x:c r="H135" s="141" t="n">
        <x:f>IF(E135&gt;0,Premissas!$B$18,0)</x:f>
        <x:v>0</x:v>
      </x:c>
      <x:c r="I135" s="141" t="n">
        <x:f>F135+G135+H135</x:f>
        <x:v>0</x:v>
      </x:c>
      <x:c r="J135" s="141" t="n">
        <x:f>IF(E135-F135&gt;0,MIN(E135-F135,P135),0)</x:f>
        <x:v>0</x:v>
      </x:c>
      <x:c r="K135" s="141" t="n">
        <x:f>I135+J135</x:f>
        <x:v>0</x:v>
      </x:c>
      <x:c r="L135" s="141" t="n">
        <x:f>MAX(0,E135-F135-J135)</x:f>
        <x:v>0</x:v>
      </x:c>
      <x:c r="M135" s="141" t="n">
        <x:f>SUM($K$6:K135)</x:f>
        <x:v>185795.9624076597</x:v>
      </x:c>
      <x:c r="N135" s="140" t="str">
        <x:f>IF(C135=0,"Encerrado",IF(L135=0,"Quitado","Aberto"))</x:f>
        <x:v>Encerrado</x:v>
      </x:c>
      <x:c r="O135" s="141" t="n">
        <x:f>IF(C135&gt;0,Premissas!$B$35,0)</x:f>
        <x:v>0</x:v>
      </x:c>
      <x:c r="P135" s="141" t="n">
        <x:f>IF(C135&gt;0,MAX(0,O135-I135),0)</x:f>
        <x:v>0</x:v>
      </x:c>
      <x:c r="Q135" s="141" t="n">
        <x:f>J135-IF(E135-F135&gt;0,MIN(E135-F135,P135),0)</x:f>
        <x:v>0</x:v>
      </x:c>
    </x:row>
    <x:row r="136">
      <x:c r="A136" s="142" t="n">
        <x:v>131</x:v>
      </x:c>
      <x:c r="B136" s="179" t="n">
        <x:f>EDATE(Premissas!$B$4,130)</x:f>
        <x:v>50496</x:v>
      </x:c>
      <x:c r="C136" s="141" t="n">
        <x:f>L135</x:f>
        <x:v>0</x:v>
      </x:c>
      <x:c r="D136" s="141" t="n">
        <x:f>IF(C136&gt;0,C136*Premissas!$B$17,0)</x:f>
        <x:v>0</x:v>
      </x:c>
      <x:c r="E136" s="141" t="n">
        <x:f>C136+D136</x:f>
        <x:v>0</x:v>
      </x:c>
      <x:c r="F136" s="141" t="n">
        <x:f>IF(E136&gt;0,MIN(E136,INDEX(Financiamento!$G$6:$G$485,A136)),0)</x:f>
        <x:v>0</x:v>
      </x:c>
      <x:c r="G136" s="141" t="n">
        <x:f>IF(E136&gt;0,E136*Premissas!$B$15,0)</x:f>
        <x:v>0</x:v>
      </x:c>
      <x:c r="H136" s="141" t="n">
        <x:f>IF(E136&gt;0,Premissas!$B$18,0)</x:f>
        <x:v>0</x:v>
      </x:c>
      <x:c r="I136" s="141" t="n">
        <x:f>F136+G136+H136</x:f>
        <x:v>0</x:v>
      </x:c>
      <x:c r="J136" s="141" t="n">
        <x:f>IF(E136-F136&gt;0,MIN(E136-F136,P136),0)</x:f>
        <x:v>0</x:v>
      </x:c>
      <x:c r="K136" s="141" t="n">
        <x:f>I136+J136</x:f>
        <x:v>0</x:v>
      </x:c>
      <x:c r="L136" s="141" t="n">
        <x:f>MAX(0,E136-F136-J136)</x:f>
        <x:v>0</x:v>
      </x:c>
      <x:c r="M136" s="141" t="n">
        <x:f>SUM($K$6:K136)</x:f>
        <x:v>185795.9624076597</x:v>
      </x:c>
      <x:c r="N136" s="140" t="str">
        <x:f>IF(C136=0,"Encerrado",IF(L136=0,"Quitado","Aberto"))</x:f>
        <x:v>Encerrado</x:v>
      </x:c>
      <x:c r="O136" s="141" t="n">
        <x:f>IF(C136&gt;0,Premissas!$B$35,0)</x:f>
        <x:v>0</x:v>
      </x:c>
      <x:c r="P136" s="141" t="n">
        <x:f>IF(C136&gt;0,MAX(0,O136-I136),0)</x:f>
        <x:v>0</x:v>
      </x:c>
      <x:c r="Q136" s="141" t="n">
        <x:f>J136-IF(E136-F136&gt;0,MIN(E136-F136,P136),0)</x:f>
        <x:v>0</x:v>
      </x:c>
    </x:row>
    <x:row r="137">
      <x:c r="A137" s="142" t="n">
        <x:v>132</x:v>
      </x:c>
      <x:c r="B137" s="179" t="n">
        <x:f>EDATE(Premissas!$B$4,131)</x:f>
        <x:v>50526</x:v>
      </x:c>
      <x:c r="C137" s="141" t="n">
        <x:f>L136</x:f>
        <x:v>0</x:v>
      </x:c>
      <x:c r="D137" s="141" t="n">
        <x:f>IF(C137&gt;0,C137*Premissas!$B$17,0)</x:f>
        <x:v>0</x:v>
      </x:c>
      <x:c r="E137" s="141" t="n">
        <x:f>C137+D137</x:f>
        <x:v>0</x:v>
      </x:c>
      <x:c r="F137" s="141" t="n">
        <x:f>IF(E137&gt;0,MIN(E137,INDEX(Financiamento!$G$6:$G$485,A137)),0)</x:f>
        <x:v>0</x:v>
      </x:c>
      <x:c r="G137" s="141" t="n">
        <x:f>IF(E137&gt;0,E137*Premissas!$B$15,0)</x:f>
        <x:v>0</x:v>
      </x:c>
      <x:c r="H137" s="141" t="n">
        <x:f>IF(E137&gt;0,Premissas!$B$18,0)</x:f>
        <x:v>0</x:v>
      </x:c>
      <x:c r="I137" s="141" t="n">
        <x:f>F137+G137+H137</x:f>
        <x:v>0</x:v>
      </x:c>
      <x:c r="J137" s="141" t="n">
        <x:f>IF(E137-F137&gt;0,MIN(E137-F137,P137),0)</x:f>
        <x:v>0</x:v>
      </x:c>
      <x:c r="K137" s="141" t="n">
        <x:f>I137+J137</x:f>
        <x:v>0</x:v>
      </x:c>
      <x:c r="L137" s="141" t="n">
        <x:f>MAX(0,E137-F137-J137)</x:f>
        <x:v>0</x:v>
      </x:c>
      <x:c r="M137" s="141" t="n">
        <x:f>SUM($K$6:K137)</x:f>
        <x:v>185795.9624076597</x:v>
      </x:c>
      <x:c r="N137" s="140" t="str">
        <x:f>IF(C137=0,"Encerrado",IF(L137=0,"Quitado","Aberto"))</x:f>
        <x:v>Encerrado</x:v>
      </x:c>
      <x:c r="O137" s="141" t="n">
        <x:f>IF(C137&gt;0,Premissas!$B$35,0)</x:f>
        <x:v>0</x:v>
      </x:c>
      <x:c r="P137" s="141" t="n">
        <x:f>IF(C137&gt;0,MAX(0,O137-I137),0)</x:f>
        <x:v>0</x:v>
      </x:c>
      <x:c r="Q137" s="141" t="n">
        <x:f>J137-IF(E137-F137&gt;0,MIN(E137-F137,P137),0)</x:f>
        <x:v>0</x:v>
      </x:c>
    </x:row>
    <x:row r="138">
      <x:c r="A138" s="142" t="n">
        <x:v>133</x:v>
      </x:c>
      <x:c r="B138" s="179" t="n">
        <x:f>EDATE(Premissas!$B$4,132)</x:f>
        <x:v>50557</x:v>
      </x:c>
      <x:c r="C138" s="141" t="n">
        <x:f>L137</x:f>
        <x:v>0</x:v>
      </x:c>
      <x:c r="D138" s="141" t="n">
        <x:f>IF(C138&gt;0,C138*Premissas!$B$17,0)</x:f>
        <x:v>0</x:v>
      </x:c>
      <x:c r="E138" s="141" t="n">
        <x:f>C138+D138</x:f>
        <x:v>0</x:v>
      </x:c>
      <x:c r="F138" s="141" t="n">
        <x:f>IF(E138&gt;0,MIN(E138,INDEX(Financiamento!$G$6:$G$485,A138)),0)</x:f>
        <x:v>0</x:v>
      </x:c>
      <x:c r="G138" s="141" t="n">
        <x:f>IF(E138&gt;0,E138*Premissas!$B$15,0)</x:f>
        <x:v>0</x:v>
      </x:c>
      <x:c r="H138" s="141" t="n">
        <x:f>IF(E138&gt;0,Premissas!$B$18,0)</x:f>
        <x:v>0</x:v>
      </x:c>
      <x:c r="I138" s="141" t="n">
        <x:f>F138+G138+H138</x:f>
        <x:v>0</x:v>
      </x:c>
      <x:c r="J138" s="141" t="n">
        <x:f>IF(E138-F138&gt;0,MIN(E138-F138,P138),0)</x:f>
        <x:v>0</x:v>
      </x:c>
      <x:c r="K138" s="141" t="n">
        <x:f>I138+J138</x:f>
        <x:v>0</x:v>
      </x:c>
      <x:c r="L138" s="141" t="n">
        <x:f>MAX(0,E138-F138-J138)</x:f>
        <x:v>0</x:v>
      </x:c>
      <x:c r="M138" s="141" t="n">
        <x:f>SUM($K$6:K138)</x:f>
        <x:v>185795.9624076597</x:v>
      </x:c>
      <x:c r="N138" s="140" t="str">
        <x:f>IF(C138=0,"Encerrado",IF(L138=0,"Quitado","Aberto"))</x:f>
        <x:v>Encerrado</x:v>
      </x:c>
      <x:c r="O138" s="141" t="n">
        <x:f>IF(C138&gt;0,Premissas!$B$35,0)</x:f>
        <x:v>0</x:v>
      </x:c>
      <x:c r="P138" s="141" t="n">
        <x:f>IF(C138&gt;0,MAX(0,O138-I138),0)</x:f>
        <x:v>0</x:v>
      </x:c>
      <x:c r="Q138" s="141" t="n">
        <x:f>J138-IF(E138-F138&gt;0,MIN(E138-F138,P138),0)</x:f>
        <x:v>0</x:v>
      </x:c>
    </x:row>
    <x:row r="139">
      <x:c r="A139" s="142" t="n">
        <x:v>134</x:v>
      </x:c>
      <x:c r="B139" s="179" t="n">
        <x:f>EDATE(Premissas!$B$4,133)</x:f>
        <x:v>50587</x:v>
      </x:c>
      <x:c r="C139" s="141" t="n">
        <x:f>L138</x:f>
        <x:v>0</x:v>
      </x:c>
      <x:c r="D139" s="141" t="n">
        <x:f>IF(C139&gt;0,C139*Premissas!$B$17,0)</x:f>
        <x:v>0</x:v>
      </x:c>
      <x:c r="E139" s="141" t="n">
        <x:f>C139+D139</x:f>
        <x:v>0</x:v>
      </x:c>
      <x:c r="F139" s="141" t="n">
        <x:f>IF(E139&gt;0,MIN(E139,INDEX(Financiamento!$G$6:$G$485,A139)),0)</x:f>
        <x:v>0</x:v>
      </x:c>
      <x:c r="G139" s="141" t="n">
        <x:f>IF(E139&gt;0,E139*Premissas!$B$15,0)</x:f>
        <x:v>0</x:v>
      </x:c>
      <x:c r="H139" s="141" t="n">
        <x:f>IF(E139&gt;0,Premissas!$B$18,0)</x:f>
        <x:v>0</x:v>
      </x:c>
      <x:c r="I139" s="141" t="n">
        <x:f>F139+G139+H139</x:f>
        <x:v>0</x:v>
      </x:c>
      <x:c r="J139" s="141" t="n">
        <x:f>IF(E139-F139&gt;0,MIN(E139-F139,P139),0)</x:f>
        <x:v>0</x:v>
      </x:c>
      <x:c r="K139" s="141" t="n">
        <x:f>I139+J139</x:f>
        <x:v>0</x:v>
      </x:c>
      <x:c r="L139" s="141" t="n">
        <x:f>MAX(0,E139-F139-J139)</x:f>
        <x:v>0</x:v>
      </x:c>
      <x:c r="M139" s="141" t="n">
        <x:f>SUM($K$6:K139)</x:f>
        <x:v>185795.9624076597</x:v>
      </x:c>
      <x:c r="N139" s="140" t="str">
        <x:f>IF(C139=0,"Encerrado",IF(L139=0,"Quitado","Aberto"))</x:f>
        <x:v>Encerrado</x:v>
      </x:c>
      <x:c r="O139" s="141" t="n">
        <x:f>IF(C139&gt;0,Premissas!$B$35,0)</x:f>
        <x:v>0</x:v>
      </x:c>
      <x:c r="P139" s="141" t="n">
        <x:f>IF(C139&gt;0,MAX(0,O139-I139),0)</x:f>
        <x:v>0</x:v>
      </x:c>
      <x:c r="Q139" s="141" t="n">
        <x:f>J139-IF(E139-F139&gt;0,MIN(E139-F139,P139),0)</x:f>
        <x:v>0</x:v>
      </x:c>
    </x:row>
    <x:row r="140">
      <x:c r="A140" s="142" t="n">
        <x:v>135</x:v>
      </x:c>
      <x:c r="B140" s="179" t="n">
        <x:f>EDATE(Premissas!$B$4,134)</x:f>
        <x:v>50618</x:v>
      </x:c>
      <x:c r="C140" s="141" t="n">
        <x:f>L139</x:f>
        <x:v>0</x:v>
      </x:c>
      <x:c r="D140" s="141" t="n">
        <x:f>IF(C140&gt;0,C140*Premissas!$B$17,0)</x:f>
        <x:v>0</x:v>
      </x:c>
      <x:c r="E140" s="141" t="n">
        <x:f>C140+D140</x:f>
        <x:v>0</x:v>
      </x:c>
      <x:c r="F140" s="141" t="n">
        <x:f>IF(E140&gt;0,MIN(E140,INDEX(Financiamento!$G$6:$G$485,A140)),0)</x:f>
        <x:v>0</x:v>
      </x:c>
      <x:c r="G140" s="141" t="n">
        <x:f>IF(E140&gt;0,E140*Premissas!$B$15,0)</x:f>
        <x:v>0</x:v>
      </x:c>
      <x:c r="H140" s="141" t="n">
        <x:f>IF(E140&gt;0,Premissas!$B$18,0)</x:f>
        <x:v>0</x:v>
      </x:c>
      <x:c r="I140" s="141" t="n">
        <x:f>F140+G140+H140</x:f>
        <x:v>0</x:v>
      </x:c>
      <x:c r="J140" s="141" t="n">
        <x:f>IF(E140-F140&gt;0,MIN(E140-F140,P140),0)</x:f>
        <x:v>0</x:v>
      </x:c>
      <x:c r="K140" s="141" t="n">
        <x:f>I140+J140</x:f>
        <x:v>0</x:v>
      </x:c>
      <x:c r="L140" s="141" t="n">
        <x:f>MAX(0,E140-F140-J140)</x:f>
        <x:v>0</x:v>
      </x:c>
      <x:c r="M140" s="141" t="n">
        <x:f>SUM($K$6:K140)</x:f>
        <x:v>185795.9624076597</x:v>
      </x:c>
      <x:c r="N140" s="140" t="str">
        <x:f>IF(C140=0,"Encerrado",IF(L140=0,"Quitado","Aberto"))</x:f>
        <x:v>Encerrado</x:v>
      </x:c>
      <x:c r="O140" s="141" t="n">
        <x:f>IF(C140&gt;0,Premissas!$B$35,0)</x:f>
        <x:v>0</x:v>
      </x:c>
      <x:c r="P140" s="141" t="n">
        <x:f>IF(C140&gt;0,MAX(0,O140-I140),0)</x:f>
        <x:v>0</x:v>
      </x:c>
      <x:c r="Q140" s="141" t="n">
        <x:f>J140-IF(E140-F140&gt;0,MIN(E140-F140,P140),0)</x:f>
        <x:v>0</x:v>
      </x:c>
    </x:row>
    <x:row r="141">
      <x:c r="A141" s="142" t="n">
        <x:v>136</x:v>
      </x:c>
      <x:c r="B141" s="179" t="n">
        <x:f>EDATE(Premissas!$B$4,135)</x:f>
        <x:v>50649</x:v>
      </x:c>
      <x:c r="C141" s="141" t="n">
        <x:f>L140</x:f>
        <x:v>0</x:v>
      </x:c>
      <x:c r="D141" s="141" t="n">
        <x:f>IF(C141&gt;0,C141*Premissas!$B$17,0)</x:f>
        <x:v>0</x:v>
      </x:c>
      <x:c r="E141" s="141" t="n">
        <x:f>C141+D141</x:f>
        <x:v>0</x:v>
      </x:c>
      <x:c r="F141" s="141" t="n">
        <x:f>IF(E141&gt;0,MIN(E141,INDEX(Financiamento!$G$6:$G$485,A141)),0)</x:f>
        <x:v>0</x:v>
      </x:c>
      <x:c r="G141" s="141" t="n">
        <x:f>IF(E141&gt;0,E141*Premissas!$B$15,0)</x:f>
        <x:v>0</x:v>
      </x:c>
      <x:c r="H141" s="141" t="n">
        <x:f>IF(E141&gt;0,Premissas!$B$18,0)</x:f>
        <x:v>0</x:v>
      </x:c>
      <x:c r="I141" s="141" t="n">
        <x:f>F141+G141+H141</x:f>
        <x:v>0</x:v>
      </x:c>
      <x:c r="J141" s="141" t="n">
        <x:f>IF(E141-F141&gt;0,MIN(E141-F141,P141),0)</x:f>
        <x:v>0</x:v>
      </x:c>
      <x:c r="K141" s="141" t="n">
        <x:f>I141+J141</x:f>
        <x:v>0</x:v>
      </x:c>
      <x:c r="L141" s="141" t="n">
        <x:f>MAX(0,E141-F141-J141)</x:f>
        <x:v>0</x:v>
      </x:c>
      <x:c r="M141" s="141" t="n">
        <x:f>SUM($K$6:K141)</x:f>
        <x:v>185795.9624076597</x:v>
      </x:c>
      <x:c r="N141" s="140" t="str">
        <x:f>IF(C141=0,"Encerrado",IF(L141=0,"Quitado","Aberto"))</x:f>
        <x:v>Encerrado</x:v>
      </x:c>
      <x:c r="O141" s="141" t="n">
        <x:f>IF(C141&gt;0,Premissas!$B$35,0)</x:f>
        <x:v>0</x:v>
      </x:c>
      <x:c r="P141" s="141" t="n">
        <x:f>IF(C141&gt;0,MAX(0,O141-I141),0)</x:f>
        <x:v>0</x:v>
      </x:c>
      <x:c r="Q141" s="141" t="n">
        <x:f>J141-IF(E141-F141&gt;0,MIN(E141-F141,P141),0)</x:f>
        <x:v>0</x:v>
      </x:c>
    </x:row>
    <x:row r="142">
      <x:c r="A142" s="142" t="n">
        <x:v>137</x:v>
      </x:c>
      <x:c r="B142" s="179" t="n">
        <x:f>EDATE(Premissas!$B$4,136)</x:f>
        <x:v>50679</x:v>
      </x:c>
      <x:c r="C142" s="141" t="n">
        <x:f>L141</x:f>
        <x:v>0</x:v>
      </x:c>
      <x:c r="D142" s="141" t="n">
        <x:f>IF(C142&gt;0,C142*Premissas!$B$17,0)</x:f>
        <x:v>0</x:v>
      </x:c>
      <x:c r="E142" s="141" t="n">
        <x:f>C142+D142</x:f>
        <x:v>0</x:v>
      </x:c>
      <x:c r="F142" s="141" t="n">
        <x:f>IF(E142&gt;0,MIN(E142,INDEX(Financiamento!$G$6:$G$485,A142)),0)</x:f>
        <x:v>0</x:v>
      </x:c>
      <x:c r="G142" s="141" t="n">
        <x:f>IF(E142&gt;0,E142*Premissas!$B$15,0)</x:f>
        <x:v>0</x:v>
      </x:c>
      <x:c r="H142" s="141" t="n">
        <x:f>IF(E142&gt;0,Premissas!$B$18,0)</x:f>
        <x:v>0</x:v>
      </x:c>
      <x:c r="I142" s="141" t="n">
        <x:f>F142+G142+H142</x:f>
        <x:v>0</x:v>
      </x:c>
      <x:c r="J142" s="141" t="n">
        <x:f>IF(E142-F142&gt;0,MIN(E142-F142,P142),0)</x:f>
        <x:v>0</x:v>
      </x:c>
      <x:c r="K142" s="141" t="n">
        <x:f>I142+J142</x:f>
        <x:v>0</x:v>
      </x:c>
      <x:c r="L142" s="141" t="n">
        <x:f>MAX(0,E142-F142-J142)</x:f>
        <x:v>0</x:v>
      </x:c>
      <x:c r="M142" s="141" t="n">
        <x:f>SUM($K$6:K142)</x:f>
        <x:v>185795.9624076597</x:v>
      </x:c>
      <x:c r="N142" s="140" t="str">
        <x:f>IF(C142=0,"Encerrado",IF(L142=0,"Quitado","Aberto"))</x:f>
        <x:v>Encerrado</x:v>
      </x:c>
      <x:c r="O142" s="141" t="n">
        <x:f>IF(C142&gt;0,Premissas!$B$35,0)</x:f>
        <x:v>0</x:v>
      </x:c>
      <x:c r="P142" s="141" t="n">
        <x:f>IF(C142&gt;0,MAX(0,O142-I142),0)</x:f>
        <x:v>0</x:v>
      </x:c>
      <x:c r="Q142" s="141" t="n">
        <x:f>J142-IF(E142-F142&gt;0,MIN(E142-F142,P142),0)</x:f>
        <x:v>0</x:v>
      </x:c>
    </x:row>
    <x:row r="143">
      <x:c r="A143" s="142" t="n">
        <x:v>138</x:v>
      </x:c>
      <x:c r="B143" s="179" t="n">
        <x:f>EDATE(Premissas!$B$4,137)</x:f>
        <x:v>50710</x:v>
      </x:c>
      <x:c r="C143" s="141" t="n">
        <x:f>L142</x:f>
        <x:v>0</x:v>
      </x:c>
      <x:c r="D143" s="141" t="n">
        <x:f>IF(C143&gt;0,C143*Premissas!$B$17,0)</x:f>
        <x:v>0</x:v>
      </x:c>
      <x:c r="E143" s="141" t="n">
        <x:f>C143+D143</x:f>
        <x:v>0</x:v>
      </x:c>
      <x:c r="F143" s="141" t="n">
        <x:f>IF(E143&gt;0,MIN(E143,INDEX(Financiamento!$G$6:$G$485,A143)),0)</x:f>
        <x:v>0</x:v>
      </x:c>
      <x:c r="G143" s="141" t="n">
        <x:f>IF(E143&gt;0,E143*Premissas!$B$15,0)</x:f>
        <x:v>0</x:v>
      </x:c>
      <x:c r="H143" s="141" t="n">
        <x:f>IF(E143&gt;0,Premissas!$B$18,0)</x:f>
        <x:v>0</x:v>
      </x:c>
      <x:c r="I143" s="141" t="n">
        <x:f>F143+G143+H143</x:f>
        <x:v>0</x:v>
      </x:c>
      <x:c r="J143" s="141" t="n">
        <x:f>IF(E143-F143&gt;0,MIN(E143-F143,P143),0)</x:f>
        <x:v>0</x:v>
      </x:c>
      <x:c r="K143" s="141" t="n">
        <x:f>I143+J143</x:f>
        <x:v>0</x:v>
      </x:c>
      <x:c r="L143" s="141" t="n">
        <x:f>MAX(0,E143-F143-J143)</x:f>
        <x:v>0</x:v>
      </x:c>
      <x:c r="M143" s="141" t="n">
        <x:f>SUM($K$6:K143)</x:f>
        <x:v>185795.9624076597</x:v>
      </x:c>
      <x:c r="N143" s="140" t="str">
        <x:f>IF(C143=0,"Encerrado",IF(L143=0,"Quitado","Aberto"))</x:f>
        <x:v>Encerrado</x:v>
      </x:c>
      <x:c r="O143" s="141" t="n">
        <x:f>IF(C143&gt;0,Premissas!$B$35,0)</x:f>
        <x:v>0</x:v>
      </x:c>
      <x:c r="P143" s="141" t="n">
        <x:f>IF(C143&gt;0,MAX(0,O143-I143),0)</x:f>
        <x:v>0</x:v>
      </x:c>
      <x:c r="Q143" s="141" t="n">
        <x:f>J143-IF(E143-F143&gt;0,MIN(E143-F143,P143),0)</x:f>
        <x:v>0</x:v>
      </x:c>
    </x:row>
    <x:row r="144">
      <x:c r="A144" s="142" t="n">
        <x:v>139</x:v>
      </x:c>
      <x:c r="B144" s="179" t="n">
        <x:f>EDATE(Premissas!$B$4,138)</x:f>
        <x:v>50740</x:v>
      </x:c>
      <x:c r="C144" s="141" t="n">
        <x:f>L143</x:f>
        <x:v>0</x:v>
      </x:c>
      <x:c r="D144" s="141" t="n">
        <x:f>IF(C144&gt;0,C144*Premissas!$B$17,0)</x:f>
        <x:v>0</x:v>
      </x:c>
      <x:c r="E144" s="141" t="n">
        <x:f>C144+D144</x:f>
        <x:v>0</x:v>
      </x:c>
      <x:c r="F144" s="141" t="n">
        <x:f>IF(E144&gt;0,MIN(E144,INDEX(Financiamento!$G$6:$G$485,A144)),0)</x:f>
        <x:v>0</x:v>
      </x:c>
      <x:c r="G144" s="141" t="n">
        <x:f>IF(E144&gt;0,E144*Premissas!$B$15,0)</x:f>
        <x:v>0</x:v>
      </x:c>
      <x:c r="H144" s="141" t="n">
        <x:f>IF(E144&gt;0,Premissas!$B$18,0)</x:f>
        <x:v>0</x:v>
      </x:c>
      <x:c r="I144" s="141" t="n">
        <x:f>F144+G144+H144</x:f>
        <x:v>0</x:v>
      </x:c>
      <x:c r="J144" s="141" t="n">
        <x:f>IF(E144-F144&gt;0,MIN(E144-F144,P144),0)</x:f>
        <x:v>0</x:v>
      </x:c>
      <x:c r="K144" s="141" t="n">
        <x:f>I144+J144</x:f>
        <x:v>0</x:v>
      </x:c>
      <x:c r="L144" s="141" t="n">
        <x:f>MAX(0,E144-F144-J144)</x:f>
        <x:v>0</x:v>
      </x:c>
      <x:c r="M144" s="141" t="n">
        <x:f>SUM($K$6:K144)</x:f>
        <x:v>185795.9624076597</x:v>
      </x:c>
      <x:c r="N144" s="140" t="str">
        <x:f>IF(C144=0,"Encerrado",IF(L144=0,"Quitado","Aberto"))</x:f>
        <x:v>Encerrado</x:v>
      </x:c>
      <x:c r="O144" s="141" t="n">
        <x:f>IF(C144&gt;0,Premissas!$B$35,0)</x:f>
        <x:v>0</x:v>
      </x:c>
      <x:c r="P144" s="141" t="n">
        <x:f>IF(C144&gt;0,MAX(0,O144-I144),0)</x:f>
        <x:v>0</x:v>
      </x:c>
      <x:c r="Q144" s="141" t="n">
        <x:f>J144-IF(E144-F144&gt;0,MIN(E144-F144,P144),0)</x:f>
        <x:v>0</x:v>
      </x:c>
    </x:row>
    <x:row r="145">
      <x:c r="A145" s="142" t="n">
        <x:v>140</x:v>
      </x:c>
      <x:c r="B145" s="179" t="n">
        <x:f>EDATE(Premissas!$B$4,139)</x:f>
        <x:v>50771</x:v>
      </x:c>
      <x:c r="C145" s="141" t="n">
        <x:f>L144</x:f>
        <x:v>0</x:v>
      </x:c>
      <x:c r="D145" s="141" t="n">
        <x:f>IF(C145&gt;0,C145*Premissas!$B$17,0)</x:f>
        <x:v>0</x:v>
      </x:c>
      <x:c r="E145" s="141" t="n">
        <x:f>C145+D145</x:f>
        <x:v>0</x:v>
      </x:c>
      <x:c r="F145" s="141" t="n">
        <x:f>IF(E145&gt;0,MIN(E145,INDEX(Financiamento!$G$6:$G$485,A145)),0)</x:f>
        <x:v>0</x:v>
      </x:c>
      <x:c r="G145" s="141" t="n">
        <x:f>IF(E145&gt;0,E145*Premissas!$B$15,0)</x:f>
        <x:v>0</x:v>
      </x:c>
      <x:c r="H145" s="141" t="n">
        <x:f>IF(E145&gt;0,Premissas!$B$18,0)</x:f>
        <x:v>0</x:v>
      </x:c>
      <x:c r="I145" s="141" t="n">
        <x:f>F145+G145+H145</x:f>
        <x:v>0</x:v>
      </x:c>
      <x:c r="J145" s="141" t="n">
        <x:f>IF(E145-F145&gt;0,MIN(E145-F145,P145),0)</x:f>
        <x:v>0</x:v>
      </x:c>
      <x:c r="K145" s="141" t="n">
        <x:f>I145+J145</x:f>
        <x:v>0</x:v>
      </x:c>
      <x:c r="L145" s="141" t="n">
        <x:f>MAX(0,E145-F145-J145)</x:f>
        <x:v>0</x:v>
      </x:c>
      <x:c r="M145" s="141" t="n">
        <x:f>SUM($K$6:K145)</x:f>
        <x:v>185795.9624076597</x:v>
      </x:c>
      <x:c r="N145" s="140" t="str">
        <x:f>IF(C145=0,"Encerrado",IF(L145=0,"Quitado","Aberto"))</x:f>
        <x:v>Encerrado</x:v>
      </x:c>
      <x:c r="O145" s="141" t="n">
        <x:f>IF(C145&gt;0,Premissas!$B$35,0)</x:f>
        <x:v>0</x:v>
      </x:c>
      <x:c r="P145" s="141" t="n">
        <x:f>IF(C145&gt;0,MAX(0,O145-I145),0)</x:f>
        <x:v>0</x:v>
      </x:c>
      <x:c r="Q145" s="141" t="n">
        <x:f>J145-IF(E145-F145&gt;0,MIN(E145-F145,P145),0)</x:f>
        <x:v>0</x:v>
      </x:c>
    </x:row>
    <x:row r="146">
      <x:c r="A146" s="142" t="n">
        <x:v>141</x:v>
      </x:c>
      <x:c r="B146" s="179" t="n">
        <x:f>EDATE(Premissas!$B$4,140)</x:f>
        <x:v>50802</x:v>
      </x:c>
      <x:c r="C146" s="141" t="n">
        <x:f>L145</x:f>
        <x:v>0</x:v>
      </x:c>
      <x:c r="D146" s="141" t="n">
        <x:f>IF(C146&gt;0,C146*Premissas!$B$17,0)</x:f>
        <x:v>0</x:v>
      </x:c>
      <x:c r="E146" s="141" t="n">
        <x:f>C146+D146</x:f>
        <x:v>0</x:v>
      </x:c>
      <x:c r="F146" s="141" t="n">
        <x:f>IF(E146&gt;0,MIN(E146,INDEX(Financiamento!$G$6:$G$485,A146)),0)</x:f>
        <x:v>0</x:v>
      </x:c>
      <x:c r="G146" s="141" t="n">
        <x:f>IF(E146&gt;0,E146*Premissas!$B$15,0)</x:f>
        <x:v>0</x:v>
      </x:c>
      <x:c r="H146" s="141" t="n">
        <x:f>IF(E146&gt;0,Premissas!$B$18,0)</x:f>
        <x:v>0</x:v>
      </x:c>
      <x:c r="I146" s="141" t="n">
        <x:f>F146+G146+H146</x:f>
        <x:v>0</x:v>
      </x:c>
      <x:c r="J146" s="141" t="n">
        <x:f>IF(E146-F146&gt;0,MIN(E146-F146,P146),0)</x:f>
        <x:v>0</x:v>
      </x:c>
      <x:c r="K146" s="141" t="n">
        <x:f>I146+J146</x:f>
        <x:v>0</x:v>
      </x:c>
      <x:c r="L146" s="141" t="n">
        <x:f>MAX(0,E146-F146-J146)</x:f>
        <x:v>0</x:v>
      </x:c>
      <x:c r="M146" s="141" t="n">
        <x:f>SUM($K$6:K146)</x:f>
        <x:v>185795.9624076597</x:v>
      </x:c>
      <x:c r="N146" s="140" t="str">
        <x:f>IF(C146=0,"Encerrado",IF(L146=0,"Quitado","Aberto"))</x:f>
        <x:v>Encerrado</x:v>
      </x:c>
      <x:c r="O146" s="141" t="n">
        <x:f>IF(C146&gt;0,Premissas!$B$35,0)</x:f>
        <x:v>0</x:v>
      </x:c>
      <x:c r="P146" s="141" t="n">
        <x:f>IF(C146&gt;0,MAX(0,O146-I146),0)</x:f>
        <x:v>0</x:v>
      </x:c>
      <x:c r="Q146" s="141" t="n">
        <x:f>J146-IF(E146-F146&gt;0,MIN(E146-F146,P146),0)</x:f>
        <x:v>0</x:v>
      </x:c>
    </x:row>
    <x:row r="147">
      <x:c r="A147" s="142" t="n">
        <x:v>142</x:v>
      </x:c>
      <x:c r="B147" s="179" t="n">
        <x:f>EDATE(Premissas!$B$4,141)</x:f>
        <x:v>50830</x:v>
      </x:c>
      <x:c r="C147" s="141" t="n">
        <x:f>L146</x:f>
        <x:v>0</x:v>
      </x:c>
      <x:c r="D147" s="141" t="n">
        <x:f>IF(C147&gt;0,C147*Premissas!$B$17,0)</x:f>
        <x:v>0</x:v>
      </x:c>
      <x:c r="E147" s="141" t="n">
        <x:f>C147+D147</x:f>
        <x:v>0</x:v>
      </x:c>
      <x:c r="F147" s="141" t="n">
        <x:f>IF(E147&gt;0,MIN(E147,INDEX(Financiamento!$G$6:$G$485,A147)),0)</x:f>
        <x:v>0</x:v>
      </x:c>
      <x:c r="G147" s="141" t="n">
        <x:f>IF(E147&gt;0,E147*Premissas!$B$15,0)</x:f>
        <x:v>0</x:v>
      </x:c>
      <x:c r="H147" s="141" t="n">
        <x:f>IF(E147&gt;0,Premissas!$B$18,0)</x:f>
        <x:v>0</x:v>
      </x:c>
      <x:c r="I147" s="141" t="n">
        <x:f>F147+G147+H147</x:f>
        <x:v>0</x:v>
      </x:c>
      <x:c r="J147" s="141" t="n">
        <x:f>IF(E147-F147&gt;0,MIN(E147-F147,P147),0)</x:f>
        <x:v>0</x:v>
      </x:c>
      <x:c r="K147" s="141" t="n">
        <x:f>I147+J147</x:f>
        <x:v>0</x:v>
      </x:c>
      <x:c r="L147" s="141" t="n">
        <x:f>MAX(0,E147-F147-J147)</x:f>
        <x:v>0</x:v>
      </x:c>
      <x:c r="M147" s="141" t="n">
        <x:f>SUM($K$6:K147)</x:f>
        <x:v>185795.9624076597</x:v>
      </x:c>
      <x:c r="N147" s="140" t="str">
        <x:f>IF(C147=0,"Encerrado",IF(L147=0,"Quitado","Aberto"))</x:f>
        <x:v>Encerrado</x:v>
      </x:c>
      <x:c r="O147" s="141" t="n">
        <x:f>IF(C147&gt;0,Premissas!$B$35,0)</x:f>
        <x:v>0</x:v>
      </x:c>
      <x:c r="P147" s="141" t="n">
        <x:f>IF(C147&gt;0,MAX(0,O147-I147),0)</x:f>
        <x:v>0</x:v>
      </x:c>
      <x:c r="Q147" s="141" t="n">
        <x:f>J147-IF(E147-F147&gt;0,MIN(E147-F147,P147),0)</x:f>
        <x:v>0</x:v>
      </x:c>
    </x:row>
    <x:row r="148">
      <x:c r="A148" s="142" t="n">
        <x:v>143</x:v>
      </x:c>
      <x:c r="B148" s="179" t="n">
        <x:f>EDATE(Premissas!$B$4,142)</x:f>
        <x:v>50861</x:v>
      </x:c>
      <x:c r="C148" s="141" t="n">
        <x:f>L147</x:f>
        <x:v>0</x:v>
      </x:c>
      <x:c r="D148" s="141" t="n">
        <x:f>IF(C148&gt;0,C148*Premissas!$B$17,0)</x:f>
        <x:v>0</x:v>
      </x:c>
      <x:c r="E148" s="141" t="n">
        <x:f>C148+D148</x:f>
        <x:v>0</x:v>
      </x:c>
      <x:c r="F148" s="141" t="n">
        <x:f>IF(E148&gt;0,MIN(E148,INDEX(Financiamento!$G$6:$G$485,A148)),0)</x:f>
        <x:v>0</x:v>
      </x:c>
      <x:c r="G148" s="141" t="n">
        <x:f>IF(E148&gt;0,E148*Premissas!$B$15,0)</x:f>
        <x:v>0</x:v>
      </x:c>
      <x:c r="H148" s="141" t="n">
        <x:f>IF(E148&gt;0,Premissas!$B$18,0)</x:f>
        <x:v>0</x:v>
      </x:c>
      <x:c r="I148" s="141" t="n">
        <x:f>F148+G148+H148</x:f>
        <x:v>0</x:v>
      </x:c>
      <x:c r="J148" s="141" t="n">
        <x:f>IF(E148-F148&gt;0,MIN(E148-F148,P148),0)</x:f>
        <x:v>0</x:v>
      </x:c>
      <x:c r="K148" s="141" t="n">
        <x:f>I148+J148</x:f>
        <x:v>0</x:v>
      </x:c>
      <x:c r="L148" s="141" t="n">
        <x:f>MAX(0,E148-F148-J148)</x:f>
        <x:v>0</x:v>
      </x:c>
      <x:c r="M148" s="141" t="n">
        <x:f>SUM($K$6:K148)</x:f>
        <x:v>185795.9624076597</x:v>
      </x:c>
      <x:c r="N148" s="140" t="str">
        <x:f>IF(C148=0,"Encerrado",IF(L148=0,"Quitado","Aberto"))</x:f>
        <x:v>Encerrado</x:v>
      </x:c>
      <x:c r="O148" s="141" t="n">
        <x:f>IF(C148&gt;0,Premissas!$B$35,0)</x:f>
        <x:v>0</x:v>
      </x:c>
      <x:c r="P148" s="141" t="n">
        <x:f>IF(C148&gt;0,MAX(0,O148-I148),0)</x:f>
        <x:v>0</x:v>
      </x:c>
      <x:c r="Q148" s="141" t="n">
        <x:f>J148-IF(E148-F148&gt;0,MIN(E148-F148,P148),0)</x:f>
        <x:v>0</x:v>
      </x:c>
    </x:row>
    <x:row r="149">
      <x:c r="A149" s="142" t="n">
        <x:v>144</x:v>
      </x:c>
      <x:c r="B149" s="179" t="n">
        <x:f>EDATE(Premissas!$B$4,143)</x:f>
        <x:v>50891</x:v>
      </x:c>
      <x:c r="C149" s="141" t="n">
        <x:f>L148</x:f>
        <x:v>0</x:v>
      </x:c>
      <x:c r="D149" s="141" t="n">
        <x:f>IF(C149&gt;0,C149*Premissas!$B$17,0)</x:f>
        <x:v>0</x:v>
      </x:c>
      <x:c r="E149" s="141" t="n">
        <x:f>C149+D149</x:f>
        <x:v>0</x:v>
      </x:c>
      <x:c r="F149" s="141" t="n">
        <x:f>IF(E149&gt;0,MIN(E149,INDEX(Financiamento!$G$6:$G$485,A149)),0)</x:f>
        <x:v>0</x:v>
      </x:c>
      <x:c r="G149" s="141" t="n">
        <x:f>IF(E149&gt;0,E149*Premissas!$B$15,0)</x:f>
        <x:v>0</x:v>
      </x:c>
      <x:c r="H149" s="141" t="n">
        <x:f>IF(E149&gt;0,Premissas!$B$18,0)</x:f>
        <x:v>0</x:v>
      </x:c>
      <x:c r="I149" s="141" t="n">
        <x:f>F149+G149+H149</x:f>
        <x:v>0</x:v>
      </x:c>
      <x:c r="J149" s="141" t="n">
        <x:f>IF(E149-F149&gt;0,MIN(E149-F149,P149),0)</x:f>
        <x:v>0</x:v>
      </x:c>
      <x:c r="K149" s="141" t="n">
        <x:f>I149+J149</x:f>
        <x:v>0</x:v>
      </x:c>
      <x:c r="L149" s="141" t="n">
        <x:f>MAX(0,E149-F149-J149)</x:f>
        <x:v>0</x:v>
      </x:c>
      <x:c r="M149" s="141" t="n">
        <x:f>SUM($K$6:K149)</x:f>
        <x:v>185795.9624076597</x:v>
      </x:c>
      <x:c r="N149" s="140" t="str">
        <x:f>IF(C149=0,"Encerrado",IF(L149=0,"Quitado","Aberto"))</x:f>
        <x:v>Encerrado</x:v>
      </x:c>
      <x:c r="O149" s="141" t="n">
        <x:f>IF(C149&gt;0,Premissas!$B$35,0)</x:f>
        <x:v>0</x:v>
      </x:c>
      <x:c r="P149" s="141" t="n">
        <x:f>IF(C149&gt;0,MAX(0,O149-I149),0)</x:f>
        <x:v>0</x:v>
      </x:c>
      <x:c r="Q149" s="141" t="n">
        <x:f>J149-IF(E149-F149&gt;0,MIN(E149-F149,P149),0)</x:f>
        <x:v>0</x:v>
      </x:c>
    </x:row>
    <x:row r="150">
      <x:c r="A150" s="142" t="n">
        <x:v>145</x:v>
      </x:c>
      <x:c r="B150" s="179" t="n">
        <x:f>EDATE(Premissas!$B$4,144)</x:f>
        <x:v>50922</x:v>
      </x:c>
      <x:c r="C150" s="141" t="n">
        <x:f>L149</x:f>
        <x:v>0</x:v>
      </x:c>
      <x:c r="D150" s="141" t="n">
        <x:f>IF(C150&gt;0,C150*Premissas!$B$17,0)</x:f>
        <x:v>0</x:v>
      </x:c>
      <x:c r="E150" s="141" t="n">
        <x:f>C150+D150</x:f>
        <x:v>0</x:v>
      </x:c>
      <x:c r="F150" s="141" t="n">
        <x:f>IF(E150&gt;0,MIN(E150,INDEX(Financiamento!$G$6:$G$485,A150)),0)</x:f>
        <x:v>0</x:v>
      </x:c>
      <x:c r="G150" s="141" t="n">
        <x:f>IF(E150&gt;0,E150*Premissas!$B$15,0)</x:f>
        <x:v>0</x:v>
      </x:c>
      <x:c r="H150" s="141" t="n">
        <x:f>IF(E150&gt;0,Premissas!$B$18,0)</x:f>
        <x:v>0</x:v>
      </x:c>
      <x:c r="I150" s="141" t="n">
        <x:f>F150+G150+H150</x:f>
        <x:v>0</x:v>
      </x:c>
      <x:c r="J150" s="141" t="n">
        <x:f>IF(E150-F150&gt;0,MIN(E150-F150,P150),0)</x:f>
        <x:v>0</x:v>
      </x:c>
      <x:c r="K150" s="141" t="n">
        <x:f>I150+J150</x:f>
        <x:v>0</x:v>
      </x:c>
      <x:c r="L150" s="141" t="n">
        <x:f>MAX(0,E150-F150-J150)</x:f>
        <x:v>0</x:v>
      </x:c>
      <x:c r="M150" s="141" t="n">
        <x:f>SUM($K$6:K150)</x:f>
        <x:v>185795.9624076597</x:v>
      </x:c>
      <x:c r="N150" s="140" t="str">
        <x:f>IF(C150=0,"Encerrado",IF(L150=0,"Quitado","Aberto"))</x:f>
        <x:v>Encerrado</x:v>
      </x:c>
      <x:c r="O150" s="141" t="n">
        <x:f>IF(C150&gt;0,Premissas!$B$35,0)</x:f>
        <x:v>0</x:v>
      </x:c>
      <x:c r="P150" s="141" t="n">
        <x:f>IF(C150&gt;0,MAX(0,O150-I150),0)</x:f>
        <x:v>0</x:v>
      </x:c>
      <x:c r="Q150" s="141" t="n">
        <x:f>J150-IF(E150-F150&gt;0,MIN(E150-F150,P150),0)</x:f>
        <x:v>0</x:v>
      </x:c>
    </x:row>
    <x:row r="151">
      <x:c r="A151" s="142" t="n">
        <x:v>146</x:v>
      </x:c>
      <x:c r="B151" s="179" t="n">
        <x:f>EDATE(Premissas!$B$4,145)</x:f>
        <x:v>50952</x:v>
      </x:c>
      <x:c r="C151" s="141" t="n">
        <x:f>L150</x:f>
        <x:v>0</x:v>
      </x:c>
      <x:c r="D151" s="141" t="n">
        <x:f>IF(C151&gt;0,C151*Premissas!$B$17,0)</x:f>
        <x:v>0</x:v>
      </x:c>
      <x:c r="E151" s="141" t="n">
        <x:f>C151+D151</x:f>
        <x:v>0</x:v>
      </x:c>
      <x:c r="F151" s="141" t="n">
        <x:f>IF(E151&gt;0,MIN(E151,INDEX(Financiamento!$G$6:$G$485,A151)),0)</x:f>
        <x:v>0</x:v>
      </x:c>
      <x:c r="G151" s="141" t="n">
        <x:f>IF(E151&gt;0,E151*Premissas!$B$15,0)</x:f>
        <x:v>0</x:v>
      </x:c>
      <x:c r="H151" s="141" t="n">
        <x:f>IF(E151&gt;0,Premissas!$B$18,0)</x:f>
        <x:v>0</x:v>
      </x:c>
      <x:c r="I151" s="141" t="n">
        <x:f>F151+G151+H151</x:f>
        <x:v>0</x:v>
      </x:c>
      <x:c r="J151" s="141" t="n">
        <x:f>IF(E151-F151&gt;0,MIN(E151-F151,P151),0)</x:f>
        <x:v>0</x:v>
      </x:c>
      <x:c r="K151" s="141" t="n">
        <x:f>I151+J151</x:f>
        <x:v>0</x:v>
      </x:c>
      <x:c r="L151" s="141" t="n">
        <x:f>MAX(0,E151-F151-J151)</x:f>
        <x:v>0</x:v>
      </x:c>
      <x:c r="M151" s="141" t="n">
        <x:f>SUM($K$6:K151)</x:f>
        <x:v>185795.9624076597</x:v>
      </x:c>
      <x:c r="N151" s="140" t="str">
        <x:f>IF(C151=0,"Encerrado",IF(L151=0,"Quitado","Aberto"))</x:f>
        <x:v>Encerrado</x:v>
      </x:c>
      <x:c r="O151" s="141" t="n">
        <x:f>IF(C151&gt;0,Premissas!$B$35,0)</x:f>
        <x:v>0</x:v>
      </x:c>
      <x:c r="P151" s="141" t="n">
        <x:f>IF(C151&gt;0,MAX(0,O151-I151),0)</x:f>
        <x:v>0</x:v>
      </x:c>
      <x:c r="Q151" s="141" t="n">
        <x:f>J151-IF(E151-F151&gt;0,MIN(E151-F151,P151),0)</x:f>
        <x:v>0</x:v>
      </x:c>
    </x:row>
    <x:row r="152">
      <x:c r="A152" s="142" t="n">
        <x:v>147</x:v>
      </x:c>
      <x:c r="B152" s="179" t="n">
        <x:f>EDATE(Premissas!$B$4,146)</x:f>
        <x:v>50983</x:v>
      </x:c>
      <x:c r="C152" s="141" t="n">
        <x:f>L151</x:f>
        <x:v>0</x:v>
      </x:c>
      <x:c r="D152" s="141" t="n">
        <x:f>IF(C152&gt;0,C152*Premissas!$B$17,0)</x:f>
        <x:v>0</x:v>
      </x:c>
      <x:c r="E152" s="141" t="n">
        <x:f>C152+D152</x:f>
        <x:v>0</x:v>
      </x:c>
      <x:c r="F152" s="141" t="n">
        <x:f>IF(E152&gt;0,MIN(E152,INDEX(Financiamento!$G$6:$G$485,A152)),0)</x:f>
        <x:v>0</x:v>
      </x:c>
      <x:c r="G152" s="141" t="n">
        <x:f>IF(E152&gt;0,E152*Premissas!$B$15,0)</x:f>
        <x:v>0</x:v>
      </x:c>
      <x:c r="H152" s="141" t="n">
        <x:f>IF(E152&gt;0,Premissas!$B$18,0)</x:f>
        <x:v>0</x:v>
      </x:c>
      <x:c r="I152" s="141" t="n">
        <x:f>F152+G152+H152</x:f>
        <x:v>0</x:v>
      </x:c>
      <x:c r="J152" s="141" t="n">
        <x:f>IF(E152-F152&gt;0,MIN(E152-F152,P152),0)</x:f>
        <x:v>0</x:v>
      </x:c>
      <x:c r="K152" s="141" t="n">
        <x:f>I152+J152</x:f>
        <x:v>0</x:v>
      </x:c>
      <x:c r="L152" s="141" t="n">
        <x:f>MAX(0,E152-F152-J152)</x:f>
        <x:v>0</x:v>
      </x:c>
      <x:c r="M152" s="141" t="n">
        <x:f>SUM($K$6:K152)</x:f>
        <x:v>185795.9624076597</x:v>
      </x:c>
      <x:c r="N152" s="140" t="str">
        <x:f>IF(C152=0,"Encerrado",IF(L152=0,"Quitado","Aberto"))</x:f>
        <x:v>Encerrado</x:v>
      </x:c>
      <x:c r="O152" s="141" t="n">
        <x:f>IF(C152&gt;0,Premissas!$B$35,0)</x:f>
        <x:v>0</x:v>
      </x:c>
      <x:c r="P152" s="141" t="n">
        <x:f>IF(C152&gt;0,MAX(0,O152-I152),0)</x:f>
        <x:v>0</x:v>
      </x:c>
      <x:c r="Q152" s="141" t="n">
        <x:f>J152-IF(E152-F152&gt;0,MIN(E152-F152,P152),0)</x:f>
        <x:v>0</x:v>
      </x:c>
    </x:row>
    <x:row r="153">
      <x:c r="A153" s="142" t="n">
        <x:v>148</x:v>
      </x:c>
      <x:c r="B153" s="179" t="n">
        <x:f>EDATE(Premissas!$B$4,147)</x:f>
        <x:v>51014</x:v>
      </x:c>
      <x:c r="C153" s="141" t="n">
        <x:f>L152</x:f>
        <x:v>0</x:v>
      </x:c>
      <x:c r="D153" s="141" t="n">
        <x:f>IF(C153&gt;0,C153*Premissas!$B$17,0)</x:f>
        <x:v>0</x:v>
      </x:c>
      <x:c r="E153" s="141" t="n">
        <x:f>C153+D153</x:f>
        <x:v>0</x:v>
      </x:c>
      <x:c r="F153" s="141" t="n">
        <x:f>IF(E153&gt;0,MIN(E153,INDEX(Financiamento!$G$6:$G$485,A153)),0)</x:f>
        <x:v>0</x:v>
      </x:c>
      <x:c r="G153" s="141" t="n">
        <x:f>IF(E153&gt;0,E153*Premissas!$B$15,0)</x:f>
        <x:v>0</x:v>
      </x:c>
      <x:c r="H153" s="141" t="n">
        <x:f>IF(E153&gt;0,Premissas!$B$18,0)</x:f>
        <x:v>0</x:v>
      </x:c>
      <x:c r="I153" s="141" t="n">
        <x:f>F153+G153+H153</x:f>
        <x:v>0</x:v>
      </x:c>
      <x:c r="J153" s="141" t="n">
        <x:f>IF(E153-F153&gt;0,MIN(E153-F153,P153),0)</x:f>
        <x:v>0</x:v>
      </x:c>
      <x:c r="K153" s="141" t="n">
        <x:f>I153+J153</x:f>
        <x:v>0</x:v>
      </x:c>
      <x:c r="L153" s="141" t="n">
        <x:f>MAX(0,E153-F153-J153)</x:f>
        <x:v>0</x:v>
      </x:c>
      <x:c r="M153" s="141" t="n">
        <x:f>SUM($K$6:K153)</x:f>
        <x:v>185795.9624076597</x:v>
      </x:c>
      <x:c r="N153" s="140" t="str">
        <x:f>IF(C153=0,"Encerrado",IF(L153=0,"Quitado","Aberto"))</x:f>
        <x:v>Encerrado</x:v>
      </x:c>
      <x:c r="O153" s="141" t="n">
        <x:f>IF(C153&gt;0,Premissas!$B$35,0)</x:f>
        <x:v>0</x:v>
      </x:c>
      <x:c r="P153" s="141" t="n">
        <x:f>IF(C153&gt;0,MAX(0,O153-I153),0)</x:f>
        <x:v>0</x:v>
      </x:c>
      <x:c r="Q153" s="141" t="n">
        <x:f>J153-IF(E153-F153&gt;0,MIN(E153-F153,P153),0)</x:f>
        <x:v>0</x:v>
      </x:c>
    </x:row>
    <x:row r="154">
      <x:c r="A154" s="142" t="n">
        <x:v>149</x:v>
      </x:c>
      <x:c r="B154" s="179" t="n">
        <x:f>EDATE(Premissas!$B$4,148)</x:f>
        <x:v>51044</x:v>
      </x:c>
      <x:c r="C154" s="141" t="n">
        <x:f>L153</x:f>
        <x:v>0</x:v>
      </x:c>
      <x:c r="D154" s="141" t="n">
        <x:f>IF(C154&gt;0,C154*Premissas!$B$17,0)</x:f>
        <x:v>0</x:v>
      </x:c>
      <x:c r="E154" s="141" t="n">
        <x:f>C154+D154</x:f>
        <x:v>0</x:v>
      </x:c>
      <x:c r="F154" s="141" t="n">
        <x:f>IF(E154&gt;0,MIN(E154,INDEX(Financiamento!$G$6:$G$485,A154)),0)</x:f>
        <x:v>0</x:v>
      </x:c>
      <x:c r="G154" s="141" t="n">
        <x:f>IF(E154&gt;0,E154*Premissas!$B$15,0)</x:f>
        <x:v>0</x:v>
      </x:c>
      <x:c r="H154" s="141" t="n">
        <x:f>IF(E154&gt;0,Premissas!$B$18,0)</x:f>
        <x:v>0</x:v>
      </x:c>
      <x:c r="I154" s="141" t="n">
        <x:f>F154+G154+H154</x:f>
        <x:v>0</x:v>
      </x:c>
      <x:c r="J154" s="141" t="n">
        <x:f>IF(E154-F154&gt;0,MIN(E154-F154,P154),0)</x:f>
        <x:v>0</x:v>
      </x:c>
      <x:c r="K154" s="141" t="n">
        <x:f>I154+J154</x:f>
        <x:v>0</x:v>
      </x:c>
      <x:c r="L154" s="141" t="n">
        <x:f>MAX(0,E154-F154-J154)</x:f>
        <x:v>0</x:v>
      </x:c>
      <x:c r="M154" s="141" t="n">
        <x:f>SUM($K$6:K154)</x:f>
        <x:v>185795.9624076597</x:v>
      </x:c>
      <x:c r="N154" s="140" t="str">
        <x:f>IF(C154=0,"Encerrado",IF(L154=0,"Quitado","Aberto"))</x:f>
        <x:v>Encerrado</x:v>
      </x:c>
      <x:c r="O154" s="141" t="n">
        <x:f>IF(C154&gt;0,Premissas!$B$35,0)</x:f>
        <x:v>0</x:v>
      </x:c>
      <x:c r="P154" s="141" t="n">
        <x:f>IF(C154&gt;0,MAX(0,O154-I154),0)</x:f>
        <x:v>0</x:v>
      </x:c>
      <x:c r="Q154" s="141" t="n">
        <x:f>J154-IF(E154-F154&gt;0,MIN(E154-F154,P154),0)</x:f>
        <x:v>0</x:v>
      </x:c>
    </x:row>
    <x:row r="155">
      <x:c r="A155" s="142" t="n">
        <x:v>150</x:v>
      </x:c>
      <x:c r="B155" s="179" t="n">
        <x:f>EDATE(Premissas!$B$4,149)</x:f>
        <x:v>51075</x:v>
      </x:c>
      <x:c r="C155" s="141" t="n">
        <x:f>L154</x:f>
        <x:v>0</x:v>
      </x:c>
      <x:c r="D155" s="141" t="n">
        <x:f>IF(C155&gt;0,C155*Premissas!$B$17,0)</x:f>
        <x:v>0</x:v>
      </x:c>
      <x:c r="E155" s="141" t="n">
        <x:f>C155+D155</x:f>
        <x:v>0</x:v>
      </x:c>
      <x:c r="F155" s="141" t="n">
        <x:f>IF(E155&gt;0,MIN(E155,INDEX(Financiamento!$G$6:$G$485,A155)),0)</x:f>
        <x:v>0</x:v>
      </x:c>
      <x:c r="G155" s="141" t="n">
        <x:f>IF(E155&gt;0,E155*Premissas!$B$15,0)</x:f>
        <x:v>0</x:v>
      </x:c>
      <x:c r="H155" s="141" t="n">
        <x:f>IF(E155&gt;0,Premissas!$B$18,0)</x:f>
        <x:v>0</x:v>
      </x:c>
      <x:c r="I155" s="141" t="n">
        <x:f>F155+G155+H155</x:f>
        <x:v>0</x:v>
      </x:c>
      <x:c r="J155" s="141" t="n">
        <x:f>IF(E155-F155&gt;0,MIN(E155-F155,P155),0)</x:f>
        <x:v>0</x:v>
      </x:c>
      <x:c r="K155" s="141" t="n">
        <x:f>I155+J155</x:f>
        <x:v>0</x:v>
      </x:c>
      <x:c r="L155" s="141" t="n">
        <x:f>MAX(0,E155-F155-J155)</x:f>
        <x:v>0</x:v>
      </x:c>
      <x:c r="M155" s="141" t="n">
        <x:f>SUM($K$6:K155)</x:f>
        <x:v>185795.9624076597</x:v>
      </x:c>
      <x:c r="N155" s="140" t="str">
        <x:f>IF(C155=0,"Encerrado",IF(L155=0,"Quitado","Aberto"))</x:f>
        <x:v>Encerrado</x:v>
      </x:c>
      <x:c r="O155" s="141" t="n">
        <x:f>IF(C155&gt;0,Premissas!$B$35,0)</x:f>
        <x:v>0</x:v>
      </x:c>
      <x:c r="P155" s="141" t="n">
        <x:f>IF(C155&gt;0,MAX(0,O155-I155),0)</x:f>
        <x:v>0</x:v>
      </x:c>
      <x:c r="Q155" s="141" t="n">
        <x:f>J155-IF(E155-F155&gt;0,MIN(E155-F155,P155),0)</x:f>
        <x:v>0</x:v>
      </x:c>
    </x:row>
    <x:row r="156">
      <x:c r="A156" s="142" t="n">
        <x:v>151</x:v>
      </x:c>
      <x:c r="B156" s="179" t="n">
        <x:f>EDATE(Premissas!$B$4,150)</x:f>
        <x:v>51105</x:v>
      </x:c>
      <x:c r="C156" s="141" t="n">
        <x:f>L155</x:f>
        <x:v>0</x:v>
      </x:c>
      <x:c r="D156" s="141" t="n">
        <x:f>IF(C156&gt;0,C156*Premissas!$B$17,0)</x:f>
        <x:v>0</x:v>
      </x:c>
      <x:c r="E156" s="141" t="n">
        <x:f>C156+D156</x:f>
        <x:v>0</x:v>
      </x:c>
      <x:c r="F156" s="141" t="n">
        <x:f>IF(E156&gt;0,MIN(E156,INDEX(Financiamento!$G$6:$G$485,A156)),0)</x:f>
        <x:v>0</x:v>
      </x:c>
      <x:c r="G156" s="141" t="n">
        <x:f>IF(E156&gt;0,E156*Premissas!$B$15,0)</x:f>
        <x:v>0</x:v>
      </x:c>
      <x:c r="H156" s="141" t="n">
        <x:f>IF(E156&gt;0,Premissas!$B$18,0)</x:f>
        <x:v>0</x:v>
      </x:c>
      <x:c r="I156" s="141" t="n">
        <x:f>F156+G156+H156</x:f>
        <x:v>0</x:v>
      </x:c>
      <x:c r="J156" s="141" t="n">
        <x:f>IF(E156-F156&gt;0,MIN(E156-F156,P156),0)</x:f>
        <x:v>0</x:v>
      </x:c>
      <x:c r="K156" s="141" t="n">
        <x:f>I156+J156</x:f>
        <x:v>0</x:v>
      </x:c>
      <x:c r="L156" s="141" t="n">
        <x:f>MAX(0,E156-F156-J156)</x:f>
        <x:v>0</x:v>
      </x:c>
      <x:c r="M156" s="141" t="n">
        <x:f>SUM($K$6:K156)</x:f>
        <x:v>185795.9624076597</x:v>
      </x:c>
      <x:c r="N156" s="140" t="str">
        <x:f>IF(C156=0,"Encerrado",IF(L156=0,"Quitado","Aberto"))</x:f>
        <x:v>Encerrado</x:v>
      </x:c>
      <x:c r="O156" s="141" t="n">
        <x:f>IF(C156&gt;0,Premissas!$B$35,0)</x:f>
        <x:v>0</x:v>
      </x:c>
      <x:c r="P156" s="141" t="n">
        <x:f>IF(C156&gt;0,MAX(0,O156-I156),0)</x:f>
        <x:v>0</x:v>
      </x:c>
      <x:c r="Q156" s="141" t="n">
        <x:f>J156-IF(E156-F156&gt;0,MIN(E156-F156,P156),0)</x:f>
        <x:v>0</x:v>
      </x:c>
    </x:row>
    <x:row r="157">
      <x:c r="A157" s="142" t="n">
        <x:v>152</x:v>
      </x:c>
      <x:c r="B157" s="179" t="n">
        <x:f>EDATE(Premissas!$B$4,151)</x:f>
        <x:v>51136</x:v>
      </x:c>
      <x:c r="C157" s="141" t="n">
        <x:f>L156</x:f>
        <x:v>0</x:v>
      </x:c>
      <x:c r="D157" s="141" t="n">
        <x:f>IF(C157&gt;0,C157*Premissas!$B$17,0)</x:f>
        <x:v>0</x:v>
      </x:c>
      <x:c r="E157" s="141" t="n">
        <x:f>C157+D157</x:f>
        <x:v>0</x:v>
      </x:c>
      <x:c r="F157" s="141" t="n">
        <x:f>IF(E157&gt;0,MIN(E157,INDEX(Financiamento!$G$6:$G$485,A157)),0)</x:f>
        <x:v>0</x:v>
      </x:c>
      <x:c r="G157" s="141" t="n">
        <x:f>IF(E157&gt;0,E157*Premissas!$B$15,0)</x:f>
        <x:v>0</x:v>
      </x:c>
      <x:c r="H157" s="141" t="n">
        <x:f>IF(E157&gt;0,Premissas!$B$18,0)</x:f>
        <x:v>0</x:v>
      </x:c>
      <x:c r="I157" s="141" t="n">
        <x:f>F157+G157+H157</x:f>
        <x:v>0</x:v>
      </x:c>
      <x:c r="J157" s="141" t="n">
        <x:f>IF(E157-F157&gt;0,MIN(E157-F157,P157),0)</x:f>
        <x:v>0</x:v>
      </x:c>
      <x:c r="K157" s="141" t="n">
        <x:f>I157+J157</x:f>
        <x:v>0</x:v>
      </x:c>
      <x:c r="L157" s="141" t="n">
        <x:f>MAX(0,E157-F157-J157)</x:f>
        <x:v>0</x:v>
      </x:c>
      <x:c r="M157" s="141" t="n">
        <x:f>SUM($K$6:K157)</x:f>
        <x:v>185795.9624076597</x:v>
      </x:c>
      <x:c r="N157" s="140" t="str">
        <x:f>IF(C157=0,"Encerrado",IF(L157=0,"Quitado","Aberto"))</x:f>
        <x:v>Encerrado</x:v>
      </x:c>
      <x:c r="O157" s="141" t="n">
        <x:f>IF(C157&gt;0,Premissas!$B$35,0)</x:f>
        <x:v>0</x:v>
      </x:c>
      <x:c r="P157" s="141" t="n">
        <x:f>IF(C157&gt;0,MAX(0,O157-I157),0)</x:f>
        <x:v>0</x:v>
      </x:c>
      <x:c r="Q157" s="141" t="n">
        <x:f>J157-IF(E157-F157&gt;0,MIN(E157-F157,P157),0)</x:f>
        <x:v>0</x:v>
      </x:c>
    </x:row>
    <x:row r="158">
      <x:c r="A158" s="142" t="n">
        <x:v>153</x:v>
      </x:c>
      <x:c r="B158" s="179" t="n">
        <x:f>EDATE(Premissas!$B$4,152)</x:f>
        <x:v>51167</x:v>
      </x:c>
      <x:c r="C158" s="141" t="n">
        <x:f>L157</x:f>
        <x:v>0</x:v>
      </x:c>
      <x:c r="D158" s="141" t="n">
        <x:f>IF(C158&gt;0,C158*Premissas!$B$17,0)</x:f>
        <x:v>0</x:v>
      </x:c>
      <x:c r="E158" s="141" t="n">
        <x:f>C158+D158</x:f>
        <x:v>0</x:v>
      </x:c>
      <x:c r="F158" s="141" t="n">
        <x:f>IF(E158&gt;0,MIN(E158,INDEX(Financiamento!$G$6:$G$485,A158)),0)</x:f>
        <x:v>0</x:v>
      </x:c>
      <x:c r="G158" s="141" t="n">
        <x:f>IF(E158&gt;0,E158*Premissas!$B$15,0)</x:f>
        <x:v>0</x:v>
      </x:c>
      <x:c r="H158" s="141" t="n">
        <x:f>IF(E158&gt;0,Premissas!$B$18,0)</x:f>
        <x:v>0</x:v>
      </x:c>
      <x:c r="I158" s="141" t="n">
        <x:f>F158+G158+H158</x:f>
        <x:v>0</x:v>
      </x:c>
      <x:c r="J158" s="141" t="n">
        <x:f>IF(E158-F158&gt;0,MIN(E158-F158,P158),0)</x:f>
        <x:v>0</x:v>
      </x:c>
      <x:c r="K158" s="141" t="n">
        <x:f>I158+J158</x:f>
        <x:v>0</x:v>
      </x:c>
      <x:c r="L158" s="141" t="n">
        <x:f>MAX(0,E158-F158-J158)</x:f>
        <x:v>0</x:v>
      </x:c>
      <x:c r="M158" s="141" t="n">
        <x:f>SUM($K$6:K158)</x:f>
        <x:v>185795.9624076597</x:v>
      </x:c>
      <x:c r="N158" s="140" t="str">
        <x:f>IF(C158=0,"Encerrado",IF(L158=0,"Quitado","Aberto"))</x:f>
        <x:v>Encerrado</x:v>
      </x:c>
      <x:c r="O158" s="141" t="n">
        <x:f>IF(C158&gt;0,Premissas!$B$35,0)</x:f>
        <x:v>0</x:v>
      </x:c>
      <x:c r="P158" s="141" t="n">
        <x:f>IF(C158&gt;0,MAX(0,O158-I158),0)</x:f>
        <x:v>0</x:v>
      </x:c>
      <x:c r="Q158" s="141" t="n">
        <x:f>J158-IF(E158-F158&gt;0,MIN(E158-F158,P158),0)</x:f>
        <x:v>0</x:v>
      </x:c>
    </x:row>
    <x:row r="159">
      <x:c r="A159" s="142" t="n">
        <x:v>154</x:v>
      </x:c>
      <x:c r="B159" s="179" t="n">
        <x:f>EDATE(Premissas!$B$4,153)</x:f>
        <x:v>51196</x:v>
      </x:c>
      <x:c r="C159" s="141" t="n">
        <x:f>L158</x:f>
        <x:v>0</x:v>
      </x:c>
      <x:c r="D159" s="141" t="n">
        <x:f>IF(C159&gt;0,C159*Premissas!$B$17,0)</x:f>
        <x:v>0</x:v>
      </x:c>
      <x:c r="E159" s="141" t="n">
        <x:f>C159+D159</x:f>
        <x:v>0</x:v>
      </x:c>
      <x:c r="F159" s="141" t="n">
        <x:f>IF(E159&gt;0,MIN(E159,INDEX(Financiamento!$G$6:$G$485,A159)),0)</x:f>
        <x:v>0</x:v>
      </x:c>
      <x:c r="G159" s="141" t="n">
        <x:f>IF(E159&gt;0,E159*Premissas!$B$15,0)</x:f>
        <x:v>0</x:v>
      </x:c>
      <x:c r="H159" s="141" t="n">
        <x:f>IF(E159&gt;0,Premissas!$B$18,0)</x:f>
        <x:v>0</x:v>
      </x:c>
      <x:c r="I159" s="141" t="n">
        <x:f>F159+G159+H159</x:f>
        <x:v>0</x:v>
      </x:c>
      <x:c r="J159" s="141" t="n">
        <x:f>IF(E159-F159&gt;0,MIN(E159-F159,P159),0)</x:f>
        <x:v>0</x:v>
      </x:c>
      <x:c r="K159" s="141" t="n">
        <x:f>I159+J159</x:f>
        <x:v>0</x:v>
      </x:c>
      <x:c r="L159" s="141" t="n">
        <x:f>MAX(0,E159-F159-J159)</x:f>
        <x:v>0</x:v>
      </x:c>
      <x:c r="M159" s="141" t="n">
        <x:f>SUM($K$6:K159)</x:f>
        <x:v>185795.9624076597</x:v>
      </x:c>
      <x:c r="N159" s="140" t="str">
        <x:f>IF(C159=0,"Encerrado",IF(L159=0,"Quitado","Aberto"))</x:f>
        <x:v>Encerrado</x:v>
      </x:c>
      <x:c r="O159" s="141" t="n">
        <x:f>IF(C159&gt;0,Premissas!$B$35,0)</x:f>
        <x:v>0</x:v>
      </x:c>
      <x:c r="P159" s="141" t="n">
        <x:f>IF(C159&gt;0,MAX(0,O159-I159),0)</x:f>
        <x:v>0</x:v>
      </x:c>
      <x:c r="Q159" s="141" t="n">
        <x:f>J159-IF(E159-F159&gt;0,MIN(E159-F159,P159),0)</x:f>
        <x:v>0</x:v>
      </x:c>
    </x:row>
    <x:row r="160">
      <x:c r="A160" s="142" t="n">
        <x:v>155</x:v>
      </x:c>
      <x:c r="B160" s="179" t="n">
        <x:f>EDATE(Premissas!$B$4,154)</x:f>
        <x:v>51227</x:v>
      </x:c>
      <x:c r="C160" s="141" t="n">
        <x:f>L159</x:f>
        <x:v>0</x:v>
      </x:c>
      <x:c r="D160" s="141" t="n">
        <x:f>IF(C160&gt;0,C160*Premissas!$B$17,0)</x:f>
        <x:v>0</x:v>
      </x:c>
      <x:c r="E160" s="141" t="n">
        <x:f>C160+D160</x:f>
        <x:v>0</x:v>
      </x:c>
      <x:c r="F160" s="141" t="n">
        <x:f>IF(E160&gt;0,MIN(E160,INDEX(Financiamento!$G$6:$G$485,A160)),0)</x:f>
        <x:v>0</x:v>
      </x:c>
      <x:c r="G160" s="141" t="n">
        <x:f>IF(E160&gt;0,E160*Premissas!$B$15,0)</x:f>
        <x:v>0</x:v>
      </x:c>
      <x:c r="H160" s="141" t="n">
        <x:f>IF(E160&gt;0,Premissas!$B$18,0)</x:f>
        <x:v>0</x:v>
      </x:c>
      <x:c r="I160" s="141" t="n">
        <x:f>F160+G160+H160</x:f>
        <x:v>0</x:v>
      </x:c>
      <x:c r="J160" s="141" t="n">
        <x:f>IF(E160-F160&gt;0,MIN(E160-F160,P160),0)</x:f>
        <x:v>0</x:v>
      </x:c>
      <x:c r="K160" s="141" t="n">
        <x:f>I160+J160</x:f>
        <x:v>0</x:v>
      </x:c>
      <x:c r="L160" s="141" t="n">
        <x:f>MAX(0,E160-F160-J160)</x:f>
        <x:v>0</x:v>
      </x:c>
      <x:c r="M160" s="141" t="n">
        <x:f>SUM($K$6:K160)</x:f>
        <x:v>185795.9624076597</x:v>
      </x:c>
      <x:c r="N160" s="140" t="str">
        <x:f>IF(C160=0,"Encerrado",IF(L160=0,"Quitado","Aberto"))</x:f>
        <x:v>Encerrado</x:v>
      </x:c>
      <x:c r="O160" s="141" t="n">
        <x:f>IF(C160&gt;0,Premissas!$B$35,0)</x:f>
        <x:v>0</x:v>
      </x:c>
      <x:c r="P160" s="141" t="n">
        <x:f>IF(C160&gt;0,MAX(0,O160-I160),0)</x:f>
        <x:v>0</x:v>
      </x:c>
      <x:c r="Q160" s="141" t="n">
        <x:f>J160-IF(E160-F160&gt;0,MIN(E160-F160,P160),0)</x:f>
        <x:v>0</x:v>
      </x:c>
    </x:row>
    <x:row r="161">
      <x:c r="A161" s="142" t="n">
        <x:v>156</x:v>
      </x:c>
      <x:c r="B161" s="179" t="n">
        <x:f>EDATE(Premissas!$B$4,155)</x:f>
        <x:v>51257</x:v>
      </x:c>
      <x:c r="C161" s="141" t="n">
        <x:f>L160</x:f>
        <x:v>0</x:v>
      </x:c>
      <x:c r="D161" s="141" t="n">
        <x:f>IF(C161&gt;0,C161*Premissas!$B$17,0)</x:f>
        <x:v>0</x:v>
      </x:c>
      <x:c r="E161" s="141" t="n">
        <x:f>C161+D161</x:f>
        <x:v>0</x:v>
      </x:c>
      <x:c r="F161" s="141" t="n">
        <x:f>IF(E161&gt;0,MIN(E161,INDEX(Financiamento!$G$6:$G$485,A161)),0)</x:f>
        <x:v>0</x:v>
      </x:c>
      <x:c r="G161" s="141" t="n">
        <x:f>IF(E161&gt;0,E161*Premissas!$B$15,0)</x:f>
        <x:v>0</x:v>
      </x:c>
      <x:c r="H161" s="141" t="n">
        <x:f>IF(E161&gt;0,Premissas!$B$18,0)</x:f>
        <x:v>0</x:v>
      </x:c>
      <x:c r="I161" s="141" t="n">
        <x:f>F161+G161+H161</x:f>
        <x:v>0</x:v>
      </x:c>
      <x:c r="J161" s="141" t="n">
        <x:f>IF(E161-F161&gt;0,MIN(E161-F161,P161),0)</x:f>
        <x:v>0</x:v>
      </x:c>
      <x:c r="K161" s="141" t="n">
        <x:f>I161+J161</x:f>
        <x:v>0</x:v>
      </x:c>
      <x:c r="L161" s="141" t="n">
        <x:f>MAX(0,E161-F161-J161)</x:f>
        <x:v>0</x:v>
      </x:c>
      <x:c r="M161" s="141" t="n">
        <x:f>SUM($K$6:K161)</x:f>
        <x:v>185795.9624076597</x:v>
      </x:c>
      <x:c r="N161" s="140" t="str">
        <x:f>IF(C161=0,"Encerrado",IF(L161=0,"Quitado","Aberto"))</x:f>
        <x:v>Encerrado</x:v>
      </x:c>
      <x:c r="O161" s="141" t="n">
        <x:f>IF(C161&gt;0,Premissas!$B$35,0)</x:f>
        <x:v>0</x:v>
      </x:c>
      <x:c r="P161" s="141" t="n">
        <x:f>IF(C161&gt;0,MAX(0,O161-I161),0)</x:f>
        <x:v>0</x:v>
      </x:c>
      <x:c r="Q161" s="141" t="n">
        <x:f>J161-IF(E161-F161&gt;0,MIN(E161-F161,P161),0)</x:f>
        <x:v>0</x:v>
      </x:c>
    </x:row>
    <x:row r="162">
      <x:c r="A162" s="142" t="n">
        <x:v>157</x:v>
      </x:c>
      <x:c r="B162" s="179" t="n">
        <x:f>EDATE(Premissas!$B$4,156)</x:f>
        <x:v>51288</x:v>
      </x:c>
      <x:c r="C162" s="141" t="n">
        <x:f>L161</x:f>
        <x:v>0</x:v>
      </x:c>
      <x:c r="D162" s="141" t="n">
        <x:f>IF(C162&gt;0,C162*Premissas!$B$17,0)</x:f>
        <x:v>0</x:v>
      </x:c>
      <x:c r="E162" s="141" t="n">
        <x:f>C162+D162</x:f>
        <x:v>0</x:v>
      </x:c>
      <x:c r="F162" s="141" t="n">
        <x:f>IF(E162&gt;0,MIN(E162,INDEX(Financiamento!$G$6:$G$485,A162)),0)</x:f>
        <x:v>0</x:v>
      </x:c>
      <x:c r="G162" s="141" t="n">
        <x:f>IF(E162&gt;0,E162*Premissas!$B$15,0)</x:f>
        <x:v>0</x:v>
      </x:c>
      <x:c r="H162" s="141" t="n">
        <x:f>IF(E162&gt;0,Premissas!$B$18,0)</x:f>
        <x:v>0</x:v>
      </x:c>
      <x:c r="I162" s="141" t="n">
        <x:f>F162+G162+H162</x:f>
        <x:v>0</x:v>
      </x:c>
      <x:c r="J162" s="141" t="n">
        <x:f>IF(E162-F162&gt;0,MIN(E162-F162,P162),0)</x:f>
        <x:v>0</x:v>
      </x:c>
      <x:c r="K162" s="141" t="n">
        <x:f>I162+J162</x:f>
        <x:v>0</x:v>
      </x:c>
      <x:c r="L162" s="141" t="n">
        <x:f>MAX(0,E162-F162-J162)</x:f>
        <x:v>0</x:v>
      </x:c>
      <x:c r="M162" s="141" t="n">
        <x:f>SUM($K$6:K162)</x:f>
        <x:v>185795.9624076597</x:v>
      </x:c>
      <x:c r="N162" s="140" t="str">
        <x:f>IF(C162=0,"Encerrado",IF(L162=0,"Quitado","Aberto"))</x:f>
        <x:v>Encerrado</x:v>
      </x:c>
      <x:c r="O162" s="141" t="n">
        <x:f>IF(C162&gt;0,Premissas!$B$35,0)</x:f>
        <x:v>0</x:v>
      </x:c>
      <x:c r="P162" s="141" t="n">
        <x:f>IF(C162&gt;0,MAX(0,O162-I162),0)</x:f>
        <x:v>0</x:v>
      </x:c>
      <x:c r="Q162" s="141" t="n">
        <x:f>J162-IF(E162-F162&gt;0,MIN(E162-F162,P162),0)</x:f>
        <x:v>0</x:v>
      </x:c>
    </x:row>
    <x:row r="163">
      <x:c r="A163" s="142" t="n">
        <x:v>158</x:v>
      </x:c>
      <x:c r="B163" s="179" t="n">
        <x:f>EDATE(Premissas!$B$4,157)</x:f>
        <x:v>51318</x:v>
      </x:c>
      <x:c r="C163" s="141" t="n">
        <x:f>L162</x:f>
        <x:v>0</x:v>
      </x:c>
      <x:c r="D163" s="141" t="n">
        <x:f>IF(C163&gt;0,C163*Premissas!$B$17,0)</x:f>
        <x:v>0</x:v>
      </x:c>
      <x:c r="E163" s="141" t="n">
        <x:f>C163+D163</x:f>
        <x:v>0</x:v>
      </x:c>
      <x:c r="F163" s="141" t="n">
        <x:f>IF(E163&gt;0,MIN(E163,INDEX(Financiamento!$G$6:$G$485,A163)),0)</x:f>
        <x:v>0</x:v>
      </x:c>
      <x:c r="G163" s="141" t="n">
        <x:f>IF(E163&gt;0,E163*Premissas!$B$15,0)</x:f>
        <x:v>0</x:v>
      </x:c>
      <x:c r="H163" s="141" t="n">
        <x:f>IF(E163&gt;0,Premissas!$B$18,0)</x:f>
        <x:v>0</x:v>
      </x:c>
      <x:c r="I163" s="141" t="n">
        <x:f>F163+G163+H163</x:f>
        <x:v>0</x:v>
      </x:c>
      <x:c r="J163" s="141" t="n">
        <x:f>IF(E163-F163&gt;0,MIN(E163-F163,P163),0)</x:f>
        <x:v>0</x:v>
      </x:c>
      <x:c r="K163" s="141" t="n">
        <x:f>I163+J163</x:f>
        <x:v>0</x:v>
      </x:c>
      <x:c r="L163" s="141" t="n">
        <x:f>MAX(0,E163-F163-J163)</x:f>
        <x:v>0</x:v>
      </x:c>
      <x:c r="M163" s="141" t="n">
        <x:f>SUM($K$6:K163)</x:f>
        <x:v>185795.9624076597</x:v>
      </x:c>
      <x:c r="N163" s="140" t="str">
        <x:f>IF(C163=0,"Encerrado",IF(L163=0,"Quitado","Aberto"))</x:f>
        <x:v>Encerrado</x:v>
      </x:c>
      <x:c r="O163" s="141" t="n">
        <x:f>IF(C163&gt;0,Premissas!$B$35,0)</x:f>
        <x:v>0</x:v>
      </x:c>
      <x:c r="P163" s="141" t="n">
        <x:f>IF(C163&gt;0,MAX(0,O163-I163),0)</x:f>
        <x:v>0</x:v>
      </x:c>
      <x:c r="Q163" s="141" t="n">
        <x:f>J163-IF(E163-F163&gt;0,MIN(E163-F163,P163),0)</x:f>
        <x:v>0</x:v>
      </x:c>
    </x:row>
    <x:row r="164">
      <x:c r="A164" s="142" t="n">
        <x:v>159</x:v>
      </x:c>
      <x:c r="B164" s="179" t="n">
        <x:f>EDATE(Premissas!$B$4,158)</x:f>
        <x:v>51349</x:v>
      </x:c>
      <x:c r="C164" s="141" t="n">
        <x:f>L163</x:f>
        <x:v>0</x:v>
      </x:c>
      <x:c r="D164" s="141" t="n">
        <x:f>IF(C164&gt;0,C164*Premissas!$B$17,0)</x:f>
        <x:v>0</x:v>
      </x:c>
      <x:c r="E164" s="141" t="n">
        <x:f>C164+D164</x:f>
        <x:v>0</x:v>
      </x:c>
      <x:c r="F164" s="141" t="n">
        <x:f>IF(E164&gt;0,MIN(E164,INDEX(Financiamento!$G$6:$G$485,A164)),0)</x:f>
        <x:v>0</x:v>
      </x:c>
      <x:c r="G164" s="141" t="n">
        <x:f>IF(E164&gt;0,E164*Premissas!$B$15,0)</x:f>
        <x:v>0</x:v>
      </x:c>
      <x:c r="H164" s="141" t="n">
        <x:f>IF(E164&gt;0,Premissas!$B$18,0)</x:f>
        <x:v>0</x:v>
      </x:c>
      <x:c r="I164" s="141" t="n">
        <x:f>F164+G164+H164</x:f>
        <x:v>0</x:v>
      </x:c>
      <x:c r="J164" s="141" t="n">
        <x:f>IF(E164-F164&gt;0,MIN(E164-F164,P164),0)</x:f>
        <x:v>0</x:v>
      </x:c>
      <x:c r="K164" s="141" t="n">
        <x:f>I164+J164</x:f>
        <x:v>0</x:v>
      </x:c>
      <x:c r="L164" s="141" t="n">
        <x:f>MAX(0,E164-F164-J164)</x:f>
        <x:v>0</x:v>
      </x:c>
      <x:c r="M164" s="141" t="n">
        <x:f>SUM($K$6:K164)</x:f>
        <x:v>185795.9624076597</x:v>
      </x:c>
      <x:c r="N164" s="140" t="str">
        <x:f>IF(C164=0,"Encerrado",IF(L164=0,"Quitado","Aberto"))</x:f>
        <x:v>Encerrado</x:v>
      </x:c>
      <x:c r="O164" s="141" t="n">
        <x:f>IF(C164&gt;0,Premissas!$B$35,0)</x:f>
        <x:v>0</x:v>
      </x:c>
      <x:c r="P164" s="141" t="n">
        <x:f>IF(C164&gt;0,MAX(0,O164-I164),0)</x:f>
        <x:v>0</x:v>
      </x:c>
      <x:c r="Q164" s="141" t="n">
        <x:f>J164-IF(E164-F164&gt;0,MIN(E164-F164,P164),0)</x:f>
        <x:v>0</x:v>
      </x:c>
    </x:row>
    <x:row r="165">
      <x:c r="A165" s="142" t="n">
        <x:v>160</x:v>
      </x:c>
      <x:c r="B165" s="179" t="n">
        <x:f>EDATE(Premissas!$B$4,159)</x:f>
        <x:v>51380</x:v>
      </x:c>
      <x:c r="C165" s="141" t="n">
        <x:f>L164</x:f>
        <x:v>0</x:v>
      </x:c>
      <x:c r="D165" s="141" t="n">
        <x:f>IF(C165&gt;0,C165*Premissas!$B$17,0)</x:f>
        <x:v>0</x:v>
      </x:c>
      <x:c r="E165" s="141" t="n">
        <x:f>C165+D165</x:f>
        <x:v>0</x:v>
      </x:c>
      <x:c r="F165" s="141" t="n">
        <x:f>IF(E165&gt;0,MIN(E165,INDEX(Financiamento!$G$6:$G$485,A165)),0)</x:f>
        <x:v>0</x:v>
      </x:c>
      <x:c r="G165" s="141" t="n">
        <x:f>IF(E165&gt;0,E165*Premissas!$B$15,0)</x:f>
        <x:v>0</x:v>
      </x:c>
      <x:c r="H165" s="141" t="n">
        <x:f>IF(E165&gt;0,Premissas!$B$18,0)</x:f>
        <x:v>0</x:v>
      </x:c>
      <x:c r="I165" s="141" t="n">
        <x:f>F165+G165+H165</x:f>
        <x:v>0</x:v>
      </x:c>
      <x:c r="J165" s="141" t="n">
        <x:f>IF(E165-F165&gt;0,MIN(E165-F165,P165),0)</x:f>
        <x:v>0</x:v>
      </x:c>
      <x:c r="K165" s="141" t="n">
        <x:f>I165+J165</x:f>
        <x:v>0</x:v>
      </x:c>
      <x:c r="L165" s="141" t="n">
        <x:f>MAX(0,E165-F165-J165)</x:f>
        <x:v>0</x:v>
      </x:c>
      <x:c r="M165" s="141" t="n">
        <x:f>SUM($K$6:K165)</x:f>
        <x:v>185795.9624076597</x:v>
      </x:c>
      <x:c r="N165" s="140" t="str">
        <x:f>IF(C165=0,"Encerrado",IF(L165=0,"Quitado","Aberto"))</x:f>
        <x:v>Encerrado</x:v>
      </x:c>
      <x:c r="O165" s="141" t="n">
        <x:f>IF(C165&gt;0,Premissas!$B$35,0)</x:f>
        <x:v>0</x:v>
      </x:c>
      <x:c r="P165" s="141" t="n">
        <x:f>IF(C165&gt;0,MAX(0,O165-I165),0)</x:f>
        <x:v>0</x:v>
      </x:c>
      <x:c r="Q165" s="141" t="n">
        <x:f>J165-IF(E165-F165&gt;0,MIN(E165-F165,P165),0)</x:f>
        <x:v>0</x:v>
      </x:c>
    </x:row>
    <x:row r="166">
      <x:c r="A166" s="142" t="n">
        <x:v>161</x:v>
      </x:c>
      <x:c r="B166" s="179" t="n">
        <x:f>EDATE(Premissas!$B$4,160)</x:f>
        <x:v>51410</x:v>
      </x:c>
      <x:c r="C166" s="141" t="n">
        <x:f>L165</x:f>
        <x:v>0</x:v>
      </x:c>
      <x:c r="D166" s="141" t="n">
        <x:f>IF(C166&gt;0,C166*Premissas!$B$17,0)</x:f>
        <x:v>0</x:v>
      </x:c>
      <x:c r="E166" s="141" t="n">
        <x:f>C166+D166</x:f>
        <x:v>0</x:v>
      </x:c>
      <x:c r="F166" s="141" t="n">
        <x:f>IF(E166&gt;0,MIN(E166,INDEX(Financiamento!$G$6:$G$485,A166)),0)</x:f>
        <x:v>0</x:v>
      </x:c>
      <x:c r="G166" s="141" t="n">
        <x:f>IF(E166&gt;0,E166*Premissas!$B$15,0)</x:f>
        <x:v>0</x:v>
      </x:c>
      <x:c r="H166" s="141" t="n">
        <x:f>IF(E166&gt;0,Premissas!$B$18,0)</x:f>
        <x:v>0</x:v>
      </x:c>
      <x:c r="I166" s="141" t="n">
        <x:f>F166+G166+H166</x:f>
        <x:v>0</x:v>
      </x:c>
      <x:c r="J166" s="141" t="n">
        <x:f>IF(E166-F166&gt;0,MIN(E166-F166,P166),0)</x:f>
        <x:v>0</x:v>
      </x:c>
      <x:c r="K166" s="141" t="n">
        <x:f>I166+J166</x:f>
        <x:v>0</x:v>
      </x:c>
      <x:c r="L166" s="141" t="n">
        <x:f>MAX(0,E166-F166-J166)</x:f>
        <x:v>0</x:v>
      </x:c>
      <x:c r="M166" s="141" t="n">
        <x:f>SUM($K$6:K166)</x:f>
        <x:v>185795.9624076597</x:v>
      </x:c>
      <x:c r="N166" s="140" t="str">
        <x:f>IF(C166=0,"Encerrado",IF(L166=0,"Quitado","Aberto"))</x:f>
        <x:v>Encerrado</x:v>
      </x:c>
      <x:c r="O166" s="141" t="n">
        <x:f>IF(C166&gt;0,Premissas!$B$35,0)</x:f>
        <x:v>0</x:v>
      </x:c>
      <x:c r="P166" s="141" t="n">
        <x:f>IF(C166&gt;0,MAX(0,O166-I166),0)</x:f>
        <x:v>0</x:v>
      </x:c>
      <x:c r="Q166" s="141" t="n">
        <x:f>J166-IF(E166-F166&gt;0,MIN(E166-F166,P166),0)</x:f>
        <x:v>0</x:v>
      </x:c>
    </x:row>
    <x:row r="167">
      <x:c r="A167" s="142" t="n">
        <x:v>162</x:v>
      </x:c>
      <x:c r="B167" s="179" t="n">
        <x:f>EDATE(Premissas!$B$4,161)</x:f>
        <x:v>51441</x:v>
      </x:c>
      <x:c r="C167" s="141" t="n">
        <x:f>L166</x:f>
        <x:v>0</x:v>
      </x:c>
      <x:c r="D167" s="141" t="n">
        <x:f>IF(C167&gt;0,C167*Premissas!$B$17,0)</x:f>
        <x:v>0</x:v>
      </x:c>
      <x:c r="E167" s="141" t="n">
        <x:f>C167+D167</x:f>
        <x:v>0</x:v>
      </x:c>
      <x:c r="F167" s="141" t="n">
        <x:f>IF(E167&gt;0,MIN(E167,INDEX(Financiamento!$G$6:$G$485,A167)),0)</x:f>
        <x:v>0</x:v>
      </x:c>
      <x:c r="G167" s="141" t="n">
        <x:f>IF(E167&gt;0,E167*Premissas!$B$15,0)</x:f>
        <x:v>0</x:v>
      </x:c>
      <x:c r="H167" s="141" t="n">
        <x:f>IF(E167&gt;0,Premissas!$B$18,0)</x:f>
        <x:v>0</x:v>
      </x:c>
      <x:c r="I167" s="141" t="n">
        <x:f>F167+G167+H167</x:f>
        <x:v>0</x:v>
      </x:c>
      <x:c r="J167" s="141" t="n">
        <x:f>IF(E167-F167&gt;0,MIN(E167-F167,P167),0)</x:f>
        <x:v>0</x:v>
      </x:c>
      <x:c r="K167" s="141" t="n">
        <x:f>I167+J167</x:f>
        <x:v>0</x:v>
      </x:c>
      <x:c r="L167" s="141" t="n">
        <x:f>MAX(0,E167-F167-J167)</x:f>
        <x:v>0</x:v>
      </x:c>
      <x:c r="M167" s="141" t="n">
        <x:f>SUM($K$6:K167)</x:f>
        <x:v>185795.9624076597</x:v>
      </x:c>
      <x:c r="N167" s="140" t="str">
        <x:f>IF(C167=0,"Encerrado",IF(L167=0,"Quitado","Aberto"))</x:f>
        <x:v>Encerrado</x:v>
      </x:c>
      <x:c r="O167" s="141" t="n">
        <x:f>IF(C167&gt;0,Premissas!$B$35,0)</x:f>
        <x:v>0</x:v>
      </x:c>
      <x:c r="P167" s="141" t="n">
        <x:f>IF(C167&gt;0,MAX(0,O167-I167),0)</x:f>
        <x:v>0</x:v>
      </x:c>
      <x:c r="Q167" s="141" t="n">
        <x:f>J167-IF(E167-F167&gt;0,MIN(E167-F167,P167),0)</x:f>
        <x:v>0</x:v>
      </x:c>
    </x:row>
    <x:row r="168">
      <x:c r="A168" s="142" t="n">
        <x:v>163</x:v>
      </x:c>
      <x:c r="B168" s="179" t="n">
        <x:f>EDATE(Premissas!$B$4,162)</x:f>
        <x:v>51471</x:v>
      </x:c>
      <x:c r="C168" s="141" t="n">
        <x:f>L167</x:f>
        <x:v>0</x:v>
      </x:c>
      <x:c r="D168" s="141" t="n">
        <x:f>IF(C168&gt;0,C168*Premissas!$B$17,0)</x:f>
        <x:v>0</x:v>
      </x:c>
      <x:c r="E168" s="141" t="n">
        <x:f>C168+D168</x:f>
        <x:v>0</x:v>
      </x:c>
      <x:c r="F168" s="141" t="n">
        <x:f>IF(E168&gt;0,MIN(E168,INDEX(Financiamento!$G$6:$G$485,A168)),0)</x:f>
        <x:v>0</x:v>
      </x:c>
      <x:c r="G168" s="141" t="n">
        <x:f>IF(E168&gt;0,E168*Premissas!$B$15,0)</x:f>
        <x:v>0</x:v>
      </x:c>
      <x:c r="H168" s="141" t="n">
        <x:f>IF(E168&gt;0,Premissas!$B$18,0)</x:f>
        <x:v>0</x:v>
      </x:c>
      <x:c r="I168" s="141" t="n">
        <x:f>F168+G168+H168</x:f>
        <x:v>0</x:v>
      </x:c>
      <x:c r="J168" s="141" t="n">
        <x:f>IF(E168-F168&gt;0,MIN(E168-F168,P168),0)</x:f>
        <x:v>0</x:v>
      </x:c>
      <x:c r="K168" s="141" t="n">
        <x:f>I168+J168</x:f>
        <x:v>0</x:v>
      </x:c>
      <x:c r="L168" s="141" t="n">
        <x:f>MAX(0,E168-F168-J168)</x:f>
        <x:v>0</x:v>
      </x:c>
      <x:c r="M168" s="141" t="n">
        <x:f>SUM($K$6:K168)</x:f>
        <x:v>185795.9624076597</x:v>
      </x:c>
      <x:c r="N168" s="140" t="str">
        <x:f>IF(C168=0,"Encerrado",IF(L168=0,"Quitado","Aberto"))</x:f>
        <x:v>Encerrado</x:v>
      </x:c>
      <x:c r="O168" s="141" t="n">
        <x:f>IF(C168&gt;0,Premissas!$B$35,0)</x:f>
        <x:v>0</x:v>
      </x:c>
      <x:c r="P168" s="141" t="n">
        <x:f>IF(C168&gt;0,MAX(0,O168-I168),0)</x:f>
        <x:v>0</x:v>
      </x:c>
      <x:c r="Q168" s="141" t="n">
        <x:f>J168-IF(E168-F168&gt;0,MIN(E168-F168,P168),0)</x:f>
        <x:v>0</x:v>
      </x:c>
    </x:row>
    <x:row r="169">
      <x:c r="A169" s="142" t="n">
        <x:v>164</x:v>
      </x:c>
      <x:c r="B169" s="179" t="n">
        <x:f>EDATE(Premissas!$B$4,163)</x:f>
        <x:v>51502</x:v>
      </x:c>
      <x:c r="C169" s="141" t="n">
        <x:f>L168</x:f>
        <x:v>0</x:v>
      </x:c>
      <x:c r="D169" s="141" t="n">
        <x:f>IF(C169&gt;0,C169*Premissas!$B$17,0)</x:f>
        <x:v>0</x:v>
      </x:c>
      <x:c r="E169" s="141" t="n">
        <x:f>C169+D169</x:f>
        <x:v>0</x:v>
      </x:c>
      <x:c r="F169" s="141" t="n">
        <x:f>IF(E169&gt;0,MIN(E169,INDEX(Financiamento!$G$6:$G$485,A169)),0)</x:f>
        <x:v>0</x:v>
      </x:c>
      <x:c r="G169" s="141" t="n">
        <x:f>IF(E169&gt;0,E169*Premissas!$B$15,0)</x:f>
        <x:v>0</x:v>
      </x:c>
      <x:c r="H169" s="141" t="n">
        <x:f>IF(E169&gt;0,Premissas!$B$18,0)</x:f>
        <x:v>0</x:v>
      </x:c>
      <x:c r="I169" s="141" t="n">
        <x:f>F169+G169+H169</x:f>
        <x:v>0</x:v>
      </x:c>
      <x:c r="J169" s="141" t="n">
        <x:f>IF(E169-F169&gt;0,MIN(E169-F169,P169),0)</x:f>
        <x:v>0</x:v>
      </x:c>
      <x:c r="K169" s="141" t="n">
        <x:f>I169+J169</x:f>
        <x:v>0</x:v>
      </x:c>
      <x:c r="L169" s="141" t="n">
        <x:f>MAX(0,E169-F169-J169)</x:f>
        <x:v>0</x:v>
      </x:c>
      <x:c r="M169" s="141" t="n">
        <x:f>SUM($K$6:K169)</x:f>
        <x:v>185795.9624076597</x:v>
      </x:c>
      <x:c r="N169" s="140" t="str">
        <x:f>IF(C169=0,"Encerrado",IF(L169=0,"Quitado","Aberto"))</x:f>
        <x:v>Encerrado</x:v>
      </x:c>
      <x:c r="O169" s="141" t="n">
        <x:f>IF(C169&gt;0,Premissas!$B$35,0)</x:f>
        <x:v>0</x:v>
      </x:c>
      <x:c r="P169" s="141" t="n">
        <x:f>IF(C169&gt;0,MAX(0,O169-I169),0)</x:f>
        <x:v>0</x:v>
      </x:c>
      <x:c r="Q169" s="141" t="n">
        <x:f>J169-IF(E169-F169&gt;0,MIN(E169-F169,P169),0)</x:f>
        <x:v>0</x:v>
      </x:c>
    </x:row>
    <x:row r="170">
      <x:c r="A170" s="142" t="n">
        <x:v>165</x:v>
      </x:c>
      <x:c r="B170" s="179" t="n">
        <x:f>EDATE(Premissas!$B$4,164)</x:f>
        <x:v>51533</x:v>
      </x:c>
      <x:c r="C170" s="141" t="n">
        <x:f>L169</x:f>
        <x:v>0</x:v>
      </x:c>
      <x:c r="D170" s="141" t="n">
        <x:f>IF(C170&gt;0,C170*Premissas!$B$17,0)</x:f>
        <x:v>0</x:v>
      </x:c>
      <x:c r="E170" s="141" t="n">
        <x:f>C170+D170</x:f>
        <x:v>0</x:v>
      </x:c>
      <x:c r="F170" s="141" t="n">
        <x:f>IF(E170&gt;0,MIN(E170,INDEX(Financiamento!$G$6:$G$485,A170)),0)</x:f>
        <x:v>0</x:v>
      </x:c>
      <x:c r="G170" s="141" t="n">
        <x:f>IF(E170&gt;0,E170*Premissas!$B$15,0)</x:f>
        <x:v>0</x:v>
      </x:c>
      <x:c r="H170" s="141" t="n">
        <x:f>IF(E170&gt;0,Premissas!$B$18,0)</x:f>
        <x:v>0</x:v>
      </x:c>
      <x:c r="I170" s="141" t="n">
        <x:f>F170+G170+H170</x:f>
        <x:v>0</x:v>
      </x:c>
      <x:c r="J170" s="141" t="n">
        <x:f>IF(E170-F170&gt;0,MIN(E170-F170,P170),0)</x:f>
        <x:v>0</x:v>
      </x:c>
      <x:c r="K170" s="141" t="n">
        <x:f>I170+J170</x:f>
        <x:v>0</x:v>
      </x:c>
      <x:c r="L170" s="141" t="n">
        <x:f>MAX(0,E170-F170-J170)</x:f>
        <x:v>0</x:v>
      </x:c>
      <x:c r="M170" s="141" t="n">
        <x:f>SUM($K$6:K170)</x:f>
        <x:v>185795.9624076597</x:v>
      </x:c>
      <x:c r="N170" s="140" t="str">
        <x:f>IF(C170=0,"Encerrado",IF(L170=0,"Quitado","Aberto"))</x:f>
        <x:v>Encerrado</x:v>
      </x:c>
      <x:c r="O170" s="141" t="n">
        <x:f>IF(C170&gt;0,Premissas!$B$35,0)</x:f>
        <x:v>0</x:v>
      </x:c>
      <x:c r="P170" s="141" t="n">
        <x:f>IF(C170&gt;0,MAX(0,O170-I170),0)</x:f>
        <x:v>0</x:v>
      </x:c>
      <x:c r="Q170" s="141" t="n">
        <x:f>J170-IF(E170-F170&gt;0,MIN(E170-F170,P170),0)</x:f>
        <x:v>0</x:v>
      </x:c>
    </x:row>
    <x:row r="171">
      <x:c r="A171" s="142" t="n">
        <x:v>166</x:v>
      </x:c>
      <x:c r="B171" s="179" t="n">
        <x:f>EDATE(Premissas!$B$4,165)</x:f>
        <x:v>51561</x:v>
      </x:c>
      <x:c r="C171" s="141" t="n">
        <x:f>L170</x:f>
        <x:v>0</x:v>
      </x:c>
      <x:c r="D171" s="141" t="n">
        <x:f>IF(C171&gt;0,C171*Premissas!$B$17,0)</x:f>
        <x:v>0</x:v>
      </x:c>
      <x:c r="E171" s="141" t="n">
        <x:f>C171+D171</x:f>
        <x:v>0</x:v>
      </x:c>
      <x:c r="F171" s="141" t="n">
        <x:f>IF(E171&gt;0,MIN(E171,INDEX(Financiamento!$G$6:$G$485,A171)),0)</x:f>
        <x:v>0</x:v>
      </x:c>
      <x:c r="G171" s="141" t="n">
        <x:f>IF(E171&gt;0,E171*Premissas!$B$15,0)</x:f>
        <x:v>0</x:v>
      </x:c>
      <x:c r="H171" s="141" t="n">
        <x:f>IF(E171&gt;0,Premissas!$B$18,0)</x:f>
        <x:v>0</x:v>
      </x:c>
      <x:c r="I171" s="141" t="n">
        <x:f>F171+G171+H171</x:f>
        <x:v>0</x:v>
      </x:c>
      <x:c r="J171" s="141" t="n">
        <x:f>IF(E171-F171&gt;0,MIN(E171-F171,P171),0)</x:f>
        <x:v>0</x:v>
      </x:c>
      <x:c r="K171" s="141" t="n">
        <x:f>I171+J171</x:f>
        <x:v>0</x:v>
      </x:c>
      <x:c r="L171" s="141" t="n">
        <x:f>MAX(0,E171-F171-J171)</x:f>
        <x:v>0</x:v>
      </x:c>
      <x:c r="M171" s="141" t="n">
        <x:f>SUM($K$6:K171)</x:f>
        <x:v>185795.9624076597</x:v>
      </x:c>
      <x:c r="N171" s="140" t="str">
        <x:f>IF(C171=0,"Encerrado",IF(L171=0,"Quitado","Aberto"))</x:f>
        <x:v>Encerrado</x:v>
      </x:c>
      <x:c r="O171" s="141" t="n">
        <x:f>IF(C171&gt;0,Premissas!$B$35,0)</x:f>
        <x:v>0</x:v>
      </x:c>
      <x:c r="P171" s="141" t="n">
        <x:f>IF(C171&gt;0,MAX(0,O171-I171),0)</x:f>
        <x:v>0</x:v>
      </x:c>
      <x:c r="Q171" s="141" t="n">
        <x:f>J171-IF(E171-F171&gt;0,MIN(E171-F171,P171),0)</x:f>
        <x:v>0</x:v>
      </x:c>
    </x:row>
    <x:row r="172">
      <x:c r="A172" s="142" t="n">
        <x:v>167</x:v>
      </x:c>
      <x:c r="B172" s="179" t="n">
        <x:f>EDATE(Premissas!$B$4,166)</x:f>
        <x:v>51592</x:v>
      </x:c>
      <x:c r="C172" s="141" t="n">
        <x:f>L171</x:f>
        <x:v>0</x:v>
      </x:c>
      <x:c r="D172" s="141" t="n">
        <x:f>IF(C172&gt;0,C172*Premissas!$B$17,0)</x:f>
        <x:v>0</x:v>
      </x:c>
      <x:c r="E172" s="141" t="n">
        <x:f>C172+D172</x:f>
        <x:v>0</x:v>
      </x:c>
      <x:c r="F172" s="141" t="n">
        <x:f>IF(E172&gt;0,MIN(E172,INDEX(Financiamento!$G$6:$G$485,A172)),0)</x:f>
        <x:v>0</x:v>
      </x:c>
      <x:c r="G172" s="141" t="n">
        <x:f>IF(E172&gt;0,E172*Premissas!$B$15,0)</x:f>
        <x:v>0</x:v>
      </x:c>
      <x:c r="H172" s="141" t="n">
        <x:f>IF(E172&gt;0,Premissas!$B$18,0)</x:f>
        <x:v>0</x:v>
      </x:c>
      <x:c r="I172" s="141" t="n">
        <x:f>F172+G172+H172</x:f>
        <x:v>0</x:v>
      </x:c>
      <x:c r="J172" s="141" t="n">
        <x:f>IF(E172-F172&gt;0,MIN(E172-F172,P172),0)</x:f>
        <x:v>0</x:v>
      </x:c>
      <x:c r="K172" s="141" t="n">
        <x:f>I172+J172</x:f>
        <x:v>0</x:v>
      </x:c>
      <x:c r="L172" s="141" t="n">
        <x:f>MAX(0,E172-F172-J172)</x:f>
        <x:v>0</x:v>
      </x:c>
      <x:c r="M172" s="141" t="n">
        <x:f>SUM($K$6:K172)</x:f>
        <x:v>185795.9624076597</x:v>
      </x:c>
      <x:c r="N172" s="140" t="str">
        <x:f>IF(C172=0,"Encerrado",IF(L172=0,"Quitado","Aberto"))</x:f>
        <x:v>Encerrado</x:v>
      </x:c>
      <x:c r="O172" s="141" t="n">
        <x:f>IF(C172&gt;0,Premissas!$B$35,0)</x:f>
        <x:v>0</x:v>
      </x:c>
      <x:c r="P172" s="141" t="n">
        <x:f>IF(C172&gt;0,MAX(0,O172-I172),0)</x:f>
        <x:v>0</x:v>
      </x:c>
      <x:c r="Q172" s="141" t="n">
        <x:f>J172-IF(E172-F172&gt;0,MIN(E172-F172,P172),0)</x:f>
        <x:v>0</x:v>
      </x:c>
    </x:row>
    <x:row r="173">
      <x:c r="A173" s="142" t="n">
        <x:v>168</x:v>
      </x:c>
      <x:c r="B173" s="179" t="n">
        <x:f>EDATE(Premissas!$B$4,167)</x:f>
        <x:v>51622</x:v>
      </x:c>
      <x:c r="C173" s="141" t="n">
        <x:f>L172</x:f>
        <x:v>0</x:v>
      </x:c>
      <x:c r="D173" s="141" t="n">
        <x:f>IF(C173&gt;0,C173*Premissas!$B$17,0)</x:f>
        <x:v>0</x:v>
      </x:c>
      <x:c r="E173" s="141" t="n">
        <x:f>C173+D173</x:f>
        <x:v>0</x:v>
      </x:c>
      <x:c r="F173" s="141" t="n">
        <x:f>IF(E173&gt;0,MIN(E173,INDEX(Financiamento!$G$6:$G$485,A173)),0)</x:f>
        <x:v>0</x:v>
      </x:c>
      <x:c r="G173" s="141" t="n">
        <x:f>IF(E173&gt;0,E173*Premissas!$B$15,0)</x:f>
        <x:v>0</x:v>
      </x:c>
      <x:c r="H173" s="141" t="n">
        <x:f>IF(E173&gt;0,Premissas!$B$18,0)</x:f>
        <x:v>0</x:v>
      </x:c>
      <x:c r="I173" s="141" t="n">
        <x:f>F173+G173+H173</x:f>
        <x:v>0</x:v>
      </x:c>
      <x:c r="J173" s="141" t="n">
        <x:f>IF(E173-F173&gt;0,MIN(E173-F173,P173),0)</x:f>
        <x:v>0</x:v>
      </x:c>
      <x:c r="K173" s="141" t="n">
        <x:f>I173+J173</x:f>
        <x:v>0</x:v>
      </x:c>
      <x:c r="L173" s="141" t="n">
        <x:f>MAX(0,E173-F173-J173)</x:f>
        <x:v>0</x:v>
      </x:c>
      <x:c r="M173" s="141" t="n">
        <x:f>SUM($K$6:K173)</x:f>
        <x:v>185795.9624076597</x:v>
      </x:c>
      <x:c r="N173" s="140" t="str">
        <x:f>IF(C173=0,"Encerrado",IF(L173=0,"Quitado","Aberto"))</x:f>
        <x:v>Encerrado</x:v>
      </x:c>
      <x:c r="O173" s="141" t="n">
        <x:f>IF(C173&gt;0,Premissas!$B$35,0)</x:f>
        <x:v>0</x:v>
      </x:c>
      <x:c r="P173" s="141" t="n">
        <x:f>IF(C173&gt;0,MAX(0,O173-I173),0)</x:f>
        <x:v>0</x:v>
      </x:c>
      <x:c r="Q173" s="141" t="n">
        <x:f>J173-IF(E173-F173&gt;0,MIN(E173-F173,P173),0)</x:f>
        <x:v>0</x:v>
      </x:c>
    </x:row>
    <x:row r="174">
      <x:c r="A174" s="142" t="n">
        <x:v>169</x:v>
      </x:c>
      <x:c r="B174" s="179" t="n">
        <x:f>EDATE(Premissas!$B$4,168)</x:f>
        <x:v>51653</x:v>
      </x:c>
      <x:c r="C174" s="141" t="n">
        <x:f>L173</x:f>
        <x:v>0</x:v>
      </x:c>
      <x:c r="D174" s="141" t="n">
        <x:f>IF(C174&gt;0,C174*Premissas!$B$17,0)</x:f>
        <x:v>0</x:v>
      </x:c>
      <x:c r="E174" s="141" t="n">
        <x:f>C174+D174</x:f>
        <x:v>0</x:v>
      </x:c>
      <x:c r="F174" s="141" t="n">
        <x:f>IF(E174&gt;0,MIN(E174,INDEX(Financiamento!$G$6:$G$485,A174)),0)</x:f>
        <x:v>0</x:v>
      </x:c>
      <x:c r="G174" s="141" t="n">
        <x:f>IF(E174&gt;0,E174*Premissas!$B$15,0)</x:f>
        <x:v>0</x:v>
      </x:c>
      <x:c r="H174" s="141" t="n">
        <x:f>IF(E174&gt;0,Premissas!$B$18,0)</x:f>
        <x:v>0</x:v>
      </x:c>
      <x:c r="I174" s="141" t="n">
        <x:f>F174+G174+H174</x:f>
        <x:v>0</x:v>
      </x:c>
      <x:c r="J174" s="141" t="n">
        <x:f>IF(E174-F174&gt;0,MIN(E174-F174,P174),0)</x:f>
        <x:v>0</x:v>
      </x:c>
      <x:c r="K174" s="141" t="n">
        <x:f>I174+J174</x:f>
        <x:v>0</x:v>
      </x:c>
      <x:c r="L174" s="141" t="n">
        <x:f>MAX(0,E174-F174-J174)</x:f>
        <x:v>0</x:v>
      </x:c>
      <x:c r="M174" s="141" t="n">
        <x:f>SUM($K$6:K174)</x:f>
        <x:v>185795.9624076597</x:v>
      </x:c>
      <x:c r="N174" s="140" t="str">
        <x:f>IF(C174=0,"Encerrado",IF(L174=0,"Quitado","Aberto"))</x:f>
        <x:v>Encerrado</x:v>
      </x:c>
      <x:c r="O174" s="141" t="n">
        <x:f>IF(C174&gt;0,Premissas!$B$35,0)</x:f>
        <x:v>0</x:v>
      </x:c>
      <x:c r="P174" s="141" t="n">
        <x:f>IF(C174&gt;0,MAX(0,O174-I174),0)</x:f>
        <x:v>0</x:v>
      </x:c>
      <x:c r="Q174" s="141" t="n">
        <x:f>J174-IF(E174-F174&gt;0,MIN(E174-F174,P174),0)</x:f>
        <x:v>0</x:v>
      </x:c>
    </x:row>
    <x:row r="175">
      <x:c r="A175" s="142" t="n">
        <x:v>170</x:v>
      </x:c>
      <x:c r="B175" s="179" t="n">
        <x:f>EDATE(Premissas!$B$4,169)</x:f>
        <x:v>51683</x:v>
      </x:c>
      <x:c r="C175" s="141" t="n">
        <x:f>L174</x:f>
        <x:v>0</x:v>
      </x:c>
      <x:c r="D175" s="141" t="n">
        <x:f>IF(C175&gt;0,C175*Premissas!$B$17,0)</x:f>
        <x:v>0</x:v>
      </x:c>
      <x:c r="E175" s="141" t="n">
        <x:f>C175+D175</x:f>
        <x:v>0</x:v>
      </x:c>
      <x:c r="F175" s="141" t="n">
        <x:f>IF(E175&gt;0,MIN(E175,INDEX(Financiamento!$G$6:$G$485,A175)),0)</x:f>
        <x:v>0</x:v>
      </x:c>
      <x:c r="G175" s="141" t="n">
        <x:f>IF(E175&gt;0,E175*Premissas!$B$15,0)</x:f>
        <x:v>0</x:v>
      </x:c>
      <x:c r="H175" s="141" t="n">
        <x:f>IF(E175&gt;0,Premissas!$B$18,0)</x:f>
        <x:v>0</x:v>
      </x:c>
      <x:c r="I175" s="141" t="n">
        <x:f>F175+G175+H175</x:f>
        <x:v>0</x:v>
      </x:c>
      <x:c r="J175" s="141" t="n">
        <x:f>IF(E175-F175&gt;0,MIN(E175-F175,P175),0)</x:f>
        <x:v>0</x:v>
      </x:c>
      <x:c r="K175" s="141" t="n">
        <x:f>I175+J175</x:f>
        <x:v>0</x:v>
      </x:c>
      <x:c r="L175" s="141" t="n">
        <x:f>MAX(0,E175-F175-J175)</x:f>
        <x:v>0</x:v>
      </x:c>
      <x:c r="M175" s="141" t="n">
        <x:f>SUM($K$6:K175)</x:f>
        <x:v>185795.9624076597</x:v>
      </x:c>
      <x:c r="N175" s="140" t="str">
        <x:f>IF(C175=0,"Encerrado",IF(L175=0,"Quitado","Aberto"))</x:f>
        <x:v>Encerrado</x:v>
      </x:c>
      <x:c r="O175" s="141" t="n">
        <x:f>IF(C175&gt;0,Premissas!$B$35,0)</x:f>
        <x:v>0</x:v>
      </x:c>
      <x:c r="P175" s="141" t="n">
        <x:f>IF(C175&gt;0,MAX(0,O175-I175),0)</x:f>
        <x:v>0</x:v>
      </x:c>
      <x:c r="Q175" s="141" t="n">
        <x:f>J175-IF(E175-F175&gt;0,MIN(E175-F175,P175),0)</x:f>
        <x:v>0</x:v>
      </x:c>
    </x:row>
    <x:row r="176">
      <x:c r="A176" s="142" t="n">
        <x:v>171</x:v>
      </x:c>
      <x:c r="B176" s="179" t="n">
        <x:f>EDATE(Premissas!$B$4,170)</x:f>
        <x:v>51714</x:v>
      </x:c>
      <x:c r="C176" s="141" t="n">
        <x:f>L175</x:f>
        <x:v>0</x:v>
      </x:c>
      <x:c r="D176" s="141" t="n">
        <x:f>IF(C176&gt;0,C176*Premissas!$B$17,0)</x:f>
        <x:v>0</x:v>
      </x:c>
      <x:c r="E176" s="141" t="n">
        <x:f>C176+D176</x:f>
        <x:v>0</x:v>
      </x:c>
      <x:c r="F176" s="141" t="n">
        <x:f>IF(E176&gt;0,MIN(E176,INDEX(Financiamento!$G$6:$G$485,A176)),0)</x:f>
        <x:v>0</x:v>
      </x:c>
      <x:c r="G176" s="141" t="n">
        <x:f>IF(E176&gt;0,E176*Premissas!$B$15,0)</x:f>
        <x:v>0</x:v>
      </x:c>
      <x:c r="H176" s="141" t="n">
        <x:f>IF(E176&gt;0,Premissas!$B$18,0)</x:f>
        <x:v>0</x:v>
      </x:c>
      <x:c r="I176" s="141" t="n">
        <x:f>F176+G176+H176</x:f>
        <x:v>0</x:v>
      </x:c>
      <x:c r="J176" s="141" t="n">
        <x:f>IF(E176-F176&gt;0,MIN(E176-F176,P176),0)</x:f>
        <x:v>0</x:v>
      </x:c>
      <x:c r="K176" s="141" t="n">
        <x:f>I176+J176</x:f>
        <x:v>0</x:v>
      </x:c>
      <x:c r="L176" s="141" t="n">
        <x:f>MAX(0,E176-F176-J176)</x:f>
        <x:v>0</x:v>
      </x:c>
      <x:c r="M176" s="141" t="n">
        <x:f>SUM($K$6:K176)</x:f>
        <x:v>185795.9624076597</x:v>
      </x:c>
      <x:c r="N176" s="140" t="str">
        <x:f>IF(C176=0,"Encerrado",IF(L176=0,"Quitado","Aberto"))</x:f>
        <x:v>Encerrado</x:v>
      </x:c>
      <x:c r="O176" s="141" t="n">
        <x:f>IF(C176&gt;0,Premissas!$B$35,0)</x:f>
        <x:v>0</x:v>
      </x:c>
      <x:c r="P176" s="141" t="n">
        <x:f>IF(C176&gt;0,MAX(0,O176-I176),0)</x:f>
        <x:v>0</x:v>
      </x:c>
      <x:c r="Q176" s="141" t="n">
        <x:f>J176-IF(E176-F176&gt;0,MIN(E176-F176,P176),0)</x:f>
        <x:v>0</x:v>
      </x:c>
    </x:row>
    <x:row r="177">
      <x:c r="A177" s="142" t="n">
        <x:v>172</x:v>
      </x:c>
      <x:c r="B177" s="179" t="n">
        <x:f>EDATE(Premissas!$B$4,171)</x:f>
        <x:v>51745</x:v>
      </x:c>
      <x:c r="C177" s="141" t="n">
        <x:f>L176</x:f>
        <x:v>0</x:v>
      </x:c>
      <x:c r="D177" s="141" t="n">
        <x:f>IF(C177&gt;0,C177*Premissas!$B$17,0)</x:f>
        <x:v>0</x:v>
      </x:c>
      <x:c r="E177" s="141" t="n">
        <x:f>C177+D177</x:f>
        <x:v>0</x:v>
      </x:c>
      <x:c r="F177" s="141" t="n">
        <x:f>IF(E177&gt;0,MIN(E177,INDEX(Financiamento!$G$6:$G$485,A177)),0)</x:f>
        <x:v>0</x:v>
      </x:c>
      <x:c r="G177" s="141" t="n">
        <x:f>IF(E177&gt;0,E177*Premissas!$B$15,0)</x:f>
        <x:v>0</x:v>
      </x:c>
      <x:c r="H177" s="141" t="n">
        <x:f>IF(E177&gt;0,Premissas!$B$18,0)</x:f>
        <x:v>0</x:v>
      </x:c>
      <x:c r="I177" s="141" t="n">
        <x:f>F177+G177+H177</x:f>
        <x:v>0</x:v>
      </x:c>
      <x:c r="J177" s="141" t="n">
        <x:f>IF(E177-F177&gt;0,MIN(E177-F177,P177),0)</x:f>
        <x:v>0</x:v>
      </x:c>
      <x:c r="K177" s="141" t="n">
        <x:f>I177+J177</x:f>
        <x:v>0</x:v>
      </x:c>
      <x:c r="L177" s="141" t="n">
        <x:f>MAX(0,E177-F177-J177)</x:f>
        <x:v>0</x:v>
      </x:c>
      <x:c r="M177" s="141" t="n">
        <x:f>SUM($K$6:K177)</x:f>
        <x:v>185795.9624076597</x:v>
      </x:c>
      <x:c r="N177" s="140" t="str">
        <x:f>IF(C177=0,"Encerrado",IF(L177=0,"Quitado","Aberto"))</x:f>
        <x:v>Encerrado</x:v>
      </x:c>
      <x:c r="O177" s="141" t="n">
        <x:f>IF(C177&gt;0,Premissas!$B$35,0)</x:f>
        <x:v>0</x:v>
      </x:c>
      <x:c r="P177" s="141" t="n">
        <x:f>IF(C177&gt;0,MAX(0,O177-I177),0)</x:f>
        <x:v>0</x:v>
      </x:c>
      <x:c r="Q177" s="141" t="n">
        <x:f>J177-IF(E177-F177&gt;0,MIN(E177-F177,P177),0)</x:f>
        <x:v>0</x:v>
      </x:c>
    </x:row>
    <x:row r="178">
      <x:c r="A178" s="142" t="n">
        <x:v>173</x:v>
      </x:c>
      <x:c r="B178" s="179" t="n">
        <x:f>EDATE(Premissas!$B$4,172)</x:f>
        <x:v>51775</x:v>
      </x:c>
      <x:c r="C178" s="141" t="n">
        <x:f>L177</x:f>
        <x:v>0</x:v>
      </x:c>
      <x:c r="D178" s="141" t="n">
        <x:f>IF(C178&gt;0,C178*Premissas!$B$17,0)</x:f>
        <x:v>0</x:v>
      </x:c>
      <x:c r="E178" s="141" t="n">
        <x:f>C178+D178</x:f>
        <x:v>0</x:v>
      </x:c>
      <x:c r="F178" s="141" t="n">
        <x:f>IF(E178&gt;0,MIN(E178,INDEX(Financiamento!$G$6:$G$485,A178)),0)</x:f>
        <x:v>0</x:v>
      </x:c>
      <x:c r="G178" s="141" t="n">
        <x:f>IF(E178&gt;0,E178*Premissas!$B$15,0)</x:f>
        <x:v>0</x:v>
      </x:c>
      <x:c r="H178" s="141" t="n">
        <x:f>IF(E178&gt;0,Premissas!$B$18,0)</x:f>
        <x:v>0</x:v>
      </x:c>
      <x:c r="I178" s="141" t="n">
        <x:f>F178+G178+H178</x:f>
        <x:v>0</x:v>
      </x:c>
      <x:c r="J178" s="141" t="n">
        <x:f>IF(E178-F178&gt;0,MIN(E178-F178,P178),0)</x:f>
        <x:v>0</x:v>
      </x:c>
      <x:c r="K178" s="141" t="n">
        <x:f>I178+J178</x:f>
        <x:v>0</x:v>
      </x:c>
      <x:c r="L178" s="141" t="n">
        <x:f>MAX(0,E178-F178-J178)</x:f>
        <x:v>0</x:v>
      </x:c>
      <x:c r="M178" s="141" t="n">
        <x:f>SUM($K$6:K178)</x:f>
        <x:v>185795.9624076597</x:v>
      </x:c>
      <x:c r="N178" s="140" t="str">
        <x:f>IF(C178=0,"Encerrado",IF(L178=0,"Quitado","Aberto"))</x:f>
        <x:v>Encerrado</x:v>
      </x:c>
      <x:c r="O178" s="141" t="n">
        <x:f>IF(C178&gt;0,Premissas!$B$35,0)</x:f>
        <x:v>0</x:v>
      </x:c>
      <x:c r="P178" s="141" t="n">
        <x:f>IF(C178&gt;0,MAX(0,O178-I178),0)</x:f>
        <x:v>0</x:v>
      </x:c>
      <x:c r="Q178" s="141" t="n">
        <x:f>J178-IF(E178-F178&gt;0,MIN(E178-F178,P178),0)</x:f>
        <x:v>0</x:v>
      </x:c>
    </x:row>
    <x:row r="179">
      <x:c r="A179" s="142" t="n">
        <x:v>174</x:v>
      </x:c>
      <x:c r="B179" s="179" t="n">
        <x:f>EDATE(Premissas!$B$4,173)</x:f>
        <x:v>51806</x:v>
      </x:c>
      <x:c r="C179" s="141" t="n">
        <x:f>L178</x:f>
        <x:v>0</x:v>
      </x:c>
      <x:c r="D179" s="141" t="n">
        <x:f>IF(C179&gt;0,C179*Premissas!$B$17,0)</x:f>
        <x:v>0</x:v>
      </x:c>
      <x:c r="E179" s="141" t="n">
        <x:f>C179+D179</x:f>
        <x:v>0</x:v>
      </x:c>
      <x:c r="F179" s="141" t="n">
        <x:f>IF(E179&gt;0,MIN(E179,INDEX(Financiamento!$G$6:$G$485,A179)),0)</x:f>
        <x:v>0</x:v>
      </x:c>
      <x:c r="G179" s="141" t="n">
        <x:f>IF(E179&gt;0,E179*Premissas!$B$15,0)</x:f>
        <x:v>0</x:v>
      </x:c>
      <x:c r="H179" s="141" t="n">
        <x:f>IF(E179&gt;0,Premissas!$B$18,0)</x:f>
        <x:v>0</x:v>
      </x:c>
      <x:c r="I179" s="141" t="n">
        <x:f>F179+G179+H179</x:f>
        <x:v>0</x:v>
      </x:c>
      <x:c r="J179" s="141" t="n">
        <x:f>IF(E179-F179&gt;0,MIN(E179-F179,P179),0)</x:f>
        <x:v>0</x:v>
      </x:c>
      <x:c r="K179" s="141" t="n">
        <x:f>I179+J179</x:f>
        <x:v>0</x:v>
      </x:c>
      <x:c r="L179" s="141" t="n">
        <x:f>MAX(0,E179-F179-J179)</x:f>
        <x:v>0</x:v>
      </x:c>
      <x:c r="M179" s="141" t="n">
        <x:f>SUM($K$6:K179)</x:f>
        <x:v>185795.9624076597</x:v>
      </x:c>
      <x:c r="N179" s="140" t="str">
        <x:f>IF(C179=0,"Encerrado",IF(L179=0,"Quitado","Aberto"))</x:f>
        <x:v>Encerrado</x:v>
      </x:c>
      <x:c r="O179" s="141" t="n">
        <x:f>IF(C179&gt;0,Premissas!$B$35,0)</x:f>
        <x:v>0</x:v>
      </x:c>
      <x:c r="P179" s="141" t="n">
        <x:f>IF(C179&gt;0,MAX(0,O179-I179),0)</x:f>
        <x:v>0</x:v>
      </x:c>
      <x:c r="Q179" s="141" t="n">
        <x:f>J179-IF(E179-F179&gt;0,MIN(E179-F179,P179),0)</x:f>
        <x:v>0</x:v>
      </x:c>
    </x:row>
    <x:row r="180">
      <x:c r="A180" s="142" t="n">
        <x:v>175</x:v>
      </x:c>
      <x:c r="B180" s="179" t="n">
        <x:f>EDATE(Premissas!$B$4,174)</x:f>
        <x:v>51836</x:v>
      </x:c>
      <x:c r="C180" s="141" t="n">
        <x:f>L179</x:f>
        <x:v>0</x:v>
      </x:c>
      <x:c r="D180" s="141" t="n">
        <x:f>IF(C180&gt;0,C180*Premissas!$B$17,0)</x:f>
        <x:v>0</x:v>
      </x:c>
      <x:c r="E180" s="141" t="n">
        <x:f>C180+D180</x:f>
        <x:v>0</x:v>
      </x:c>
      <x:c r="F180" s="141" t="n">
        <x:f>IF(E180&gt;0,MIN(E180,INDEX(Financiamento!$G$6:$G$485,A180)),0)</x:f>
        <x:v>0</x:v>
      </x:c>
      <x:c r="G180" s="141" t="n">
        <x:f>IF(E180&gt;0,E180*Premissas!$B$15,0)</x:f>
        <x:v>0</x:v>
      </x:c>
      <x:c r="H180" s="141" t="n">
        <x:f>IF(E180&gt;0,Premissas!$B$18,0)</x:f>
        <x:v>0</x:v>
      </x:c>
      <x:c r="I180" s="141" t="n">
        <x:f>F180+G180+H180</x:f>
        <x:v>0</x:v>
      </x:c>
      <x:c r="J180" s="141" t="n">
        <x:f>IF(E180-F180&gt;0,MIN(E180-F180,P180),0)</x:f>
        <x:v>0</x:v>
      </x:c>
      <x:c r="K180" s="141" t="n">
        <x:f>I180+J180</x:f>
        <x:v>0</x:v>
      </x:c>
      <x:c r="L180" s="141" t="n">
        <x:f>MAX(0,E180-F180-J180)</x:f>
        <x:v>0</x:v>
      </x:c>
      <x:c r="M180" s="141" t="n">
        <x:f>SUM($K$6:K180)</x:f>
        <x:v>185795.9624076597</x:v>
      </x:c>
      <x:c r="N180" s="140" t="str">
        <x:f>IF(C180=0,"Encerrado",IF(L180=0,"Quitado","Aberto"))</x:f>
        <x:v>Encerrado</x:v>
      </x:c>
      <x:c r="O180" s="141" t="n">
        <x:f>IF(C180&gt;0,Premissas!$B$35,0)</x:f>
        <x:v>0</x:v>
      </x:c>
      <x:c r="P180" s="141" t="n">
        <x:f>IF(C180&gt;0,MAX(0,O180-I180),0)</x:f>
        <x:v>0</x:v>
      </x:c>
      <x:c r="Q180" s="141" t="n">
        <x:f>J180-IF(E180-F180&gt;0,MIN(E180-F180,P180),0)</x:f>
        <x:v>0</x:v>
      </x:c>
    </x:row>
    <x:row r="181">
      <x:c r="A181" s="142" t="n">
        <x:v>176</x:v>
      </x:c>
      <x:c r="B181" s="179" t="n">
        <x:f>EDATE(Premissas!$B$4,175)</x:f>
        <x:v>51867</x:v>
      </x:c>
      <x:c r="C181" s="141" t="n">
        <x:f>L180</x:f>
        <x:v>0</x:v>
      </x:c>
      <x:c r="D181" s="141" t="n">
        <x:f>IF(C181&gt;0,C181*Premissas!$B$17,0)</x:f>
        <x:v>0</x:v>
      </x:c>
      <x:c r="E181" s="141" t="n">
        <x:f>C181+D181</x:f>
        <x:v>0</x:v>
      </x:c>
      <x:c r="F181" s="141" t="n">
        <x:f>IF(E181&gt;0,MIN(E181,INDEX(Financiamento!$G$6:$G$485,A181)),0)</x:f>
        <x:v>0</x:v>
      </x:c>
      <x:c r="G181" s="141" t="n">
        <x:f>IF(E181&gt;0,E181*Premissas!$B$15,0)</x:f>
        <x:v>0</x:v>
      </x:c>
      <x:c r="H181" s="141" t="n">
        <x:f>IF(E181&gt;0,Premissas!$B$18,0)</x:f>
        <x:v>0</x:v>
      </x:c>
      <x:c r="I181" s="141" t="n">
        <x:f>F181+G181+H181</x:f>
        <x:v>0</x:v>
      </x:c>
      <x:c r="J181" s="141" t="n">
        <x:f>IF(E181-F181&gt;0,MIN(E181-F181,P181),0)</x:f>
        <x:v>0</x:v>
      </x:c>
      <x:c r="K181" s="141" t="n">
        <x:f>I181+J181</x:f>
        <x:v>0</x:v>
      </x:c>
      <x:c r="L181" s="141" t="n">
        <x:f>MAX(0,E181-F181-J181)</x:f>
        <x:v>0</x:v>
      </x:c>
      <x:c r="M181" s="141" t="n">
        <x:f>SUM($K$6:K181)</x:f>
        <x:v>185795.9624076597</x:v>
      </x:c>
      <x:c r="N181" s="140" t="str">
        <x:f>IF(C181=0,"Encerrado",IF(L181=0,"Quitado","Aberto"))</x:f>
        <x:v>Encerrado</x:v>
      </x:c>
      <x:c r="O181" s="141" t="n">
        <x:f>IF(C181&gt;0,Premissas!$B$35,0)</x:f>
        <x:v>0</x:v>
      </x:c>
      <x:c r="P181" s="141" t="n">
        <x:f>IF(C181&gt;0,MAX(0,O181-I181),0)</x:f>
        <x:v>0</x:v>
      </x:c>
      <x:c r="Q181" s="141" t="n">
        <x:f>J181-IF(E181-F181&gt;0,MIN(E181-F181,P181),0)</x:f>
        <x:v>0</x:v>
      </x:c>
    </x:row>
    <x:row r="182">
      <x:c r="A182" s="142" t="n">
        <x:v>177</x:v>
      </x:c>
      <x:c r="B182" s="179" t="n">
        <x:f>EDATE(Premissas!$B$4,176)</x:f>
        <x:v>51898</x:v>
      </x:c>
      <x:c r="C182" s="141" t="n">
        <x:f>L181</x:f>
        <x:v>0</x:v>
      </x:c>
      <x:c r="D182" s="141" t="n">
        <x:f>IF(C182&gt;0,C182*Premissas!$B$17,0)</x:f>
        <x:v>0</x:v>
      </x:c>
      <x:c r="E182" s="141" t="n">
        <x:f>C182+D182</x:f>
        <x:v>0</x:v>
      </x:c>
      <x:c r="F182" s="141" t="n">
        <x:f>IF(E182&gt;0,MIN(E182,INDEX(Financiamento!$G$6:$G$485,A182)),0)</x:f>
        <x:v>0</x:v>
      </x:c>
      <x:c r="G182" s="141" t="n">
        <x:f>IF(E182&gt;0,E182*Premissas!$B$15,0)</x:f>
        <x:v>0</x:v>
      </x:c>
      <x:c r="H182" s="141" t="n">
        <x:f>IF(E182&gt;0,Premissas!$B$18,0)</x:f>
        <x:v>0</x:v>
      </x:c>
      <x:c r="I182" s="141" t="n">
        <x:f>F182+G182+H182</x:f>
        <x:v>0</x:v>
      </x:c>
      <x:c r="J182" s="141" t="n">
        <x:f>IF(E182-F182&gt;0,MIN(E182-F182,P182),0)</x:f>
        <x:v>0</x:v>
      </x:c>
      <x:c r="K182" s="141" t="n">
        <x:f>I182+J182</x:f>
        <x:v>0</x:v>
      </x:c>
      <x:c r="L182" s="141" t="n">
        <x:f>MAX(0,E182-F182-J182)</x:f>
        <x:v>0</x:v>
      </x:c>
      <x:c r="M182" s="141" t="n">
        <x:f>SUM($K$6:K182)</x:f>
        <x:v>185795.9624076597</x:v>
      </x:c>
      <x:c r="N182" s="140" t="str">
        <x:f>IF(C182=0,"Encerrado",IF(L182=0,"Quitado","Aberto"))</x:f>
        <x:v>Encerrado</x:v>
      </x:c>
      <x:c r="O182" s="141" t="n">
        <x:f>IF(C182&gt;0,Premissas!$B$35,0)</x:f>
        <x:v>0</x:v>
      </x:c>
      <x:c r="P182" s="141" t="n">
        <x:f>IF(C182&gt;0,MAX(0,O182-I182),0)</x:f>
        <x:v>0</x:v>
      </x:c>
      <x:c r="Q182" s="141" t="n">
        <x:f>J182-IF(E182-F182&gt;0,MIN(E182-F182,P182),0)</x:f>
        <x:v>0</x:v>
      </x:c>
    </x:row>
    <x:row r="183">
      <x:c r="A183" s="142" t="n">
        <x:v>178</x:v>
      </x:c>
      <x:c r="B183" s="179" t="n">
        <x:f>EDATE(Premissas!$B$4,177)</x:f>
        <x:v>51926</x:v>
      </x:c>
      <x:c r="C183" s="141" t="n">
        <x:f>L182</x:f>
        <x:v>0</x:v>
      </x:c>
      <x:c r="D183" s="141" t="n">
        <x:f>IF(C183&gt;0,C183*Premissas!$B$17,0)</x:f>
        <x:v>0</x:v>
      </x:c>
      <x:c r="E183" s="141" t="n">
        <x:f>C183+D183</x:f>
        <x:v>0</x:v>
      </x:c>
      <x:c r="F183" s="141" t="n">
        <x:f>IF(E183&gt;0,MIN(E183,INDEX(Financiamento!$G$6:$G$485,A183)),0)</x:f>
        <x:v>0</x:v>
      </x:c>
      <x:c r="G183" s="141" t="n">
        <x:f>IF(E183&gt;0,E183*Premissas!$B$15,0)</x:f>
        <x:v>0</x:v>
      </x:c>
      <x:c r="H183" s="141" t="n">
        <x:f>IF(E183&gt;0,Premissas!$B$18,0)</x:f>
        <x:v>0</x:v>
      </x:c>
      <x:c r="I183" s="141" t="n">
        <x:f>F183+G183+H183</x:f>
        <x:v>0</x:v>
      </x:c>
      <x:c r="J183" s="141" t="n">
        <x:f>IF(E183-F183&gt;0,MIN(E183-F183,P183),0)</x:f>
        <x:v>0</x:v>
      </x:c>
      <x:c r="K183" s="141" t="n">
        <x:f>I183+J183</x:f>
        <x:v>0</x:v>
      </x:c>
      <x:c r="L183" s="141" t="n">
        <x:f>MAX(0,E183-F183-J183)</x:f>
        <x:v>0</x:v>
      </x:c>
      <x:c r="M183" s="141" t="n">
        <x:f>SUM($K$6:K183)</x:f>
        <x:v>185795.9624076597</x:v>
      </x:c>
      <x:c r="N183" s="140" t="str">
        <x:f>IF(C183=0,"Encerrado",IF(L183=0,"Quitado","Aberto"))</x:f>
        <x:v>Encerrado</x:v>
      </x:c>
      <x:c r="O183" s="141" t="n">
        <x:f>IF(C183&gt;0,Premissas!$B$35,0)</x:f>
        <x:v>0</x:v>
      </x:c>
      <x:c r="P183" s="141" t="n">
        <x:f>IF(C183&gt;0,MAX(0,O183-I183),0)</x:f>
        <x:v>0</x:v>
      </x:c>
      <x:c r="Q183" s="141" t="n">
        <x:f>J183-IF(E183-F183&gt;0,MIN(E183-F183,P183),0)</x:f>
        <x:v>0</x:v>
      </x:c>
    </x:row>
    <x:row r="184">
      <x:c r="A184" s="142" t="n">
        <x:v>179</x:v>
      </x:c>
      <x:c r="B184" s="179" t="n">
        <x:f>EDATE(Premissas!$B$4,178)</x:f>
        <x:v>51957</x:v>
      </x:c>
      <x:c r="C184" s="141" t="n">
        <x:f>L183</x:f>
        <x:v>0</x:v>
      </x:c>
      <x:c r="D184" s="141" t="n">
        <x:f>IF(C184&gt;0,C184*Premissas!$B$17,0)</x:f>
        <x:v>0</x:v>
      </x:c>
      <x:c r="E184" s="141" t="n">
        <x:f>C184+D184</x:f>
        <x:v>0</x:v>
      </x:c>
      <x:c r="F184" s="141" t="n">
        <x:f>IF(E184&gt;0,MIN(E184,INDEX(Financiamento!$G$6:$G$485,A184)),0)</x:f>
        <x:v>0</x:v>
      </x:c>
      <x:c r="G184" s="141" t="n">
        <x:f>IF(E184&gt;0,E184*Premissas!$B$15,0)</x:f>
        <x:v>0</x:v>
      </x:c>
      <x:c r="H184" s="141" t="n">
        <x:f>IF(E184&gt;0,Premissas!$B$18,0)</x:f>
        <x:v>0</x:v>
      </x:c>
      <x:c r="I184" s="141" t="n">
        <x:f>F184+G184+H184</x:f>
        <x:v>0</x:v>
      </x:c>
      <x:c r="J184" s="141" t="n">
        <x:f>IF(E184-F184&gt;0,MIN(E184-F184,P184),0)</x:f>
        <x:v>0</x:v>
      </x:c>
      <x:c r="K184" s="141" t="n">
        <x:f>I184+J184</x:f>
        <x:v>0</x:v>
      </x:c>
      <x:c r="L184" s="141" t="n">
        <x:f>MAX(0,E184-F184-J184)</x:f>
        <x:v>0</x:v>
      </x:c>
      <x:c r="M184" s="141" t="n">
        <x:f>SUM($K$6:K184)</x:f>
        <x:v>185795.9624076597</x:v>
      </x:c>
      <x:c r="N184" s="140" t="str">
        <x:f>IF(C184=0,"Encerrado",IF(L184=0,"Quitado","Aberto"))</x:f>
        <x:v>Encerrado</x:v>
      </x:c>
      <x:c r="O184" s="141" t="n">
        <x:f>IF(C184&gt;0,Premissas!$B$35,0)</x:f>
        <x:v>0</x:v>
      </x:c>
      <x:c r="P184" s="141" t="n">
        <x:f>IF(C184&gt;0,MAX(0,O184-I184),0)</x:f>
        <x:v>0</x:v>
      </x:c>
      <x:c r="Q184" s="141" t="n">
        <x:f>J184-IF(E184-F184&gt;0,MIN(E184-F184,P184),0)</x:f>
        <x:v>0</x:v>
      </x:c>
    </x:row>
    <x:row r="185">
      <x:c r="A185" s="142" t="n">
        <x:v>180</x:v>
      </x:c>
      <x:c r="B185" s="179" t="n">
        <x:f>EDATE(Premissas!$B$4,179)</x:f>
        <x:v>51987</x:v>
      </x:c>
      <x:c r="C185" s="141" t="n">
        <x:f>L184</x:f>
        <x:v>0</x:v>
      </x:c>
      <x:c r="D185" s="141" t="n">
        <x:f>IF(C185&gt;0,C185*Premissas!$B$17,0)</x:f>
        <x:v>0</x:v>
      </x:c>
      <x:c r="E185" s="141" t="n">
        <x:f>C185+D185</x:f>
        <x:v>0</x:v>
      </x:c>
      <x:c r="F185" s="141" t="n">
        <x:f>IF(E185&gt;0,MIN(E185,INDEX(Financiamento!$G$6:$G$485,A185)),0)</x:f>
        <x:v>0</x:v>
      </x:c>
      <x:c r="G185" s="141" t="n">
        <x:f>IF(E185&gt;0,E185*Premissas!$B$15,0)</x:f>
        <x:v>0</x:v>
      </x:c>
      <x:c r="H185" s="141" t="n">
        <x:f>IF(E185&gt;0,Premissas!$B$18,0)</x:f>
        <x:v>0</x:v>
      </x:c>
      <x:c r="I185" s="141" t="n">
        <x:f>F185+G185+H185</x:f>
        <x:v>0</x:v>
      </x:c>
      <x:c r="J185" s="141" t="n">
        <x:f>IF(E185-F185&gt;0,MIN(E185-F185,P185),0)</x:f>
        <x:v>0</x:v>
      </x:c>
      <x:c r="K185" s="141" t="n">
        <x:f>I185+J185</x:f>
        <x:v>0</x:v>
      </x:c>
      <x:c r="L185" s="141" t="n">
        <x:f>MAX(0,E185-F185-J185)</x:f>
        <x:v>0</x:v>
      </x:c>
      <x:c r="M185" s="141" t="n">
        <x:f>SUM($K$6:K185)</x:f>
        <x:v>185795.9624076597</x:v>
      </x:c>
      <x:c r="N185" s="140" t="str">
        <x:f>IF(C185=0,"Encerrado",IF(L185=0,"Quitado","Aberto"))</x:f>
        <x:v>Encerrado</x:v>
      </x:c>
      <x:c r="O185" s="141" t="n">
        <x:f>IF(C185&gt;0,Premissas!$B$35,0)</x:f>
        <x:v>0</x:v>
      </x:c>
      <x:c r="P185" s="141" t="n">
        <x:f>IF(C185&gt;0,MAX(0,O185-I185),0)</x:f>
        <x:v>0</x:v>
      </x:c>
      <x:c r="Q185" s="141" t="n">
        <x:f>J185-IF(E185-F185&gt;0,MIN(E185-F185,P185),0)</x:f>
        <x:v>0</x:v>
      </x:c>
    </x:row>
    <x:row r="186">
      <x:c r="A186" s="142" t="n">
        <x:v>181</x:v>
      </x:c>
      <x:c r="B186" s="179" t="n">
        <x:f>EDATE(Premissas!$B$4,180)</x:f>
        <x:v>52018</x:v>
      </x:c>
      <x:c r="C186" s="141" t="n">
        <x:f>L185</x:f>
        <x:v>0</x:v>
      </x:c>
      <x:c r="D186" s="141" t="n">
        <x:f>IF(C186&gt;0,C186*Premissas!$B$17,0)</x:f>
        <x:v>0</x:v>
      </x:c>
      <x:c r="E186" s="141" t="n">
        <x:f>C186+D186</x:f>
        <x:v>0</x:v>
      </x:c>
      <x:c r="F186" s="141" t="n">
        <x:f>IF(E186&gt;0,MIN(E186,INDEX(Financiamento!$G$6:$G$485,A186)),0)</x:f>
        <x:v>0</x:v>
      </x:c>
      <x:c r="G186" s="141" t="n">
        <x:f>IF(E186&gt;0,E186*Premissas!$B$15,0)</x:f>
        <x:v>0</x:v>
      </x:c>
      <x:c r="H186" s="141" t="n">
        <x:f>IF(E186&gt;0,Premissas!$B$18,0)</x:f>
        <x:v>0</x:v>
      </x:c>
      <x:c r="I186" s="141" t="n">
        <x:f>F186+G186+H186</x:f>
        <x:v>0</x:v>
      </x:c>
      <x:c r="J186" s="141" t="n">
        <x:f>IF(E186-F186&gt;0,MIN(E186-F186,P186),0)</x:f>
        <x:v>0</x:v>
      </x:c>
      <x:c r="K186" s="141" t="n">
        <x:f>I186+J186</x:f>
        <x:v>0</x:v>
      </x:c>
      <x:c r="L186" s="141" t="n">
        <x:f>MAX(0,E186-F186-J186)</x:f>
        <x:v>0</x:v>
      </x:c>
      <x:c r="M186" s="141" t="n">
        <x:f>SUM($K$6:K186)</x:f>
        <x:v>185795.9624076597</x:v>
      </x:c>
      <x:c r="N186" s="140" t="str">
        <x:f>IF(C186=0,"Encerrado",IF(L186=0,"Quitado","Aberto"))</x:f>
        <x:v>Encerrado</x:v>
      </x:c>
      <x:c r="O186" s="141" t="n">
        <x:f>IF(C186&gt;0,Premissas!$B$35,0)</x:f>
        <x:v>0</x:v>
      </x:c>
      <x:c r="P186" s="141" t="n">
        <x:f>IF(C186&gt;0,MAX(0,O186-I186),0)</x:f>
        <x:v>0</x:v>
      </x:c>
      <x:c r="Q186" s="141" t="n">
        <x:f>J186-IF(E186-F186&gt;0,MIN(E186-F186,P186),0)</x:f>
        <x:v>0</x:v>
      </x:c>
    </x:row>
    <x:row r="187">
      <x:c r="A187" s="142" t="n">
        <x:v>182</x:v>
      </x:c>
      <x:c r="B187" s="179" t="n">
        <x:f>EDATE(Premissas!$B$4,181)</x:f>
        <x:v>52048</x:v>
      </x:c>
      <x:c r="C187" s="141" t="n">
        <x:f>L186</x:f>
        <x:v>0</x:v>
      </x:c>
      <x:c r="D187" s="141" t="n">
        <x:f>IF(C187&gt;0,C187*Premissas!$B$17,0)</x:f>
        <x:v>0</x:v>
      </x:c>
      <x:c r="E187" s="141" t="n">
        <x:f>C187+D187</x:f>
        <x:v>0</x:v>
      </x:c>
      <x:c r="F187" s="141" t="n">
        <x:f>IF(E187&gt;0,MIN(E187,INDEX(Financiamento!$G$6:$G$485,A187)),0)</x:f>
        <x:v>0</x:v>
      </x:c>
      <x:c r="G187" s="141" t="n">
        <x:f>IF(E187&gt;0,E187*Premissas!$B$15,0)</x:f>
        <x:v>0</x:v>
      </x:c>
      <x:c r="H187" s="141" t="n">
        <x:f>IF(E187&gt;0,Premissas!$B$18,0)</x:f>
        <x:v>0</x:v>
      </x:c>
      <x:c r="I187" s="141" t="n">
        <x:f>F187+G187+H187</x:f>
        <x:v>0</x:v>
      </x:c>
      <x:c r="J187" s="141" t="n">
        <x:f>IF(E187-F187&gt;0,MIN(E187-F187,P187),0)</x:f>
        <x:v>0</x:v>
      </x:c>
      <x:c r="K187" s="141" t="n">
        <x:f>I187+J187</x:f>
        <x:v>0</x:v>
      </x:c>
      <x:c r="L187" s="141" t="n">
        <x:f>MAX(0,E187-F187-J187)</x:f>
        <x:v>0</x:v>
      </x:c>
      <x:c r="M187" s="141" t="n">
        <x:f>SUM($K$6:K187)</x:f>
        <x:v>185795.9624076597</x:v>
      </x:c>
      <x:c r="N187" s="140" t="str">
        <x:f>IF(C187=0,"Encerrado",IF(L187=0,"Quitado","Aberto"))</x:f>
        <x:v>Encerrado</x:v>
      </x:c>
      <x:c r="O187" s="141" t="n">
        <x:f>IF(C187&gt;0,Premissas!$B$35,0)</x:f>
        <x:v>0</x:v>
      </x:c>
      <x:c r="P187" s="141" t="n">
        <x:f>IF(C187&gt;0,MAX(0,O187-I187),0)</x:f>
        <x:v>0</x:v>
      </x:c>
      <x:c r="Q187" s="141" t="n">
        <x:f>J187-IF(E187-F187&gt;0,MIN(E187-F187,P187),0)</x:f>
        <x:v>0</x:v>
      </x:c>
    </x:row>
    <x:row r="188">
      <x:c r="A188" s="142" t="n">
        <x:v>183</x:v>
      </x:c>
      <x:c r="B188" s="179" t="n">
        <x:f>EDATE(Premissas!$B$4,182)</x:f>
        <x:v>52079</x:v>
      </x:c>
      <x:c r="C188" s="141" t="n">
        <x:f>L187</x:f>
        <x:v>0</x:v>
      </x:c>
      <x:c r="D188" s="141" t="n">
        <x:f>IF(C188&gt;0,C188*Premissas!$B$17,0)</x:f>
        <x:v>0</x:v>
      </x:c>
      <x:c r="E188" s="141" t="n">
        <x:f>C188+D188</x:f>
        <x:v>0</x:v>
      </x:c>
      <x:c r="F188" s="141" t="n">
        <x:f>IF(E188&gt;0,MIN(E188,INDEX(Financiamento!$G$6:$G$485,A188)),0)</x:f>
        <x:v>0</x:v>
      </x:c>
      <x:c r="G188" s="141" t="n">
        <x:f>IF(E188&gt;0,E188*Premissas!$B$15,0)</x:f>
        <x:v>0</x:v>
      </x:c>
      <x:c r="H188" s="141" t="n">
        <x:f>IF(E188&gt;0,Premissas!$B$18,0)</x:f>
        <x:v>0</x:v>
      </x:c>
      <x:c r="I188" s="141" t="n">
        <x:f>F188+G188+H188</x:f>
        <x:v>0</x:v>
      </x:c>
      <x:c r="J188" s="141" t="n">
        <x:f>IF(E188-F188&gt;0,MIN(E188-F188,P188),0)</x:f>
        <x:v>0</x:v>
      </x:c>
      <x:c r="K188" s="141" t="n">
        <x:f>I188+J188</x:f>
        <x:v>0</x:v>
      </x:c>
      <x:c r="L188" s="141" t="n">
        <x:f>MAX(0,E188-F188-J188)</x:f>
        <x:v>0</x:v>
      </x:c>
      <x:c r="M188" s="141" t="n">
        <x:f>SUM($K$6:K188)</x:f>
        <x:v>185795.9624076597</x:v>
      </x:c>
      <x:c r="N188" s="140" t="str">
        <x:f>IF(C188=0,"Encerrado",IF(L188=0,"Quitado","Aberto"))</x:f>
        <x:v>Encerrado</x:v>
      </x:c>
      <x:c r="O188" s="141" t="n">
        <x:f>IF(C188&gt;0,Premissas!$B$35,0)</x:f>
        <x:v>0</x:v>
      </x:c>
      <x:c r="P188" s="141" t="n">
        <x:f>IF(C188&gt;0,MAX(0,O188-I188),0)</x:f>
        <x:v>0</x:v>
      </x:c>
      <x:c r="Q188" s="141" t="n">
        <x:f>J188-IF(E188-F188&gt;0,MIN(E188-F188,P188),0)</x:f>
        <x:v>0</x:v>
      </x:c>
    </x:row>
    <x:row r="189">
      <x:c r="A189" s="142" t="n">
        <x:v>184</x:v>
      </x:c>
      <x:c r="B189" s="179" t="n">
        <x:f>EDATE(Premissas!$B$4,183)</x:f>
        <x:v>52110</x:v>
      </x:c>
      <x:c r="C189" s="141" t="n">
        <x:f>L188</x:f>
        <x:v>0</x:v>
      </x:c>
      <x:c r="D189" s="141" t="n">
        <x:f>IF(C189&gt;0,C189*Premissas!$B$17,0)</x:f>
        <x:v>0</x:v>
      </x:c>
      <x:c r="E189" s="141" t="n">
        <x:f>C189+D189</x:f>
        <x:v>0</x:v>
      </x:c>
      <x:c r="F189" s="141" t="n">
        <x:f>IF(E189&gt;0,MIN(E189,INDEX(Financiamento!$G$6:$G$485,A189)),0)</x:f>
        <x:v>0</x:v>
      </x:c>
      <x:c r="G189" s="141" t="n">
        <x:f>IF(E189&gt;0,E189*Premissas!$B$15,0)</x:f>
        <x:v>0</x:v>
      </x:c>
      <x:c r="H189" s="141" t="n">
        <x:f>IF(E189&gt;0,Premissas!$B$18,0)</x:f>
        <x:v>0</x:v>
      </x:c>
      <x:c r="I189" s="141" t="n">
        <x:f>F189+G189+H189</x:f>
        <x:v>0</x:v>
      </x:c>
      <x:c r="J189" s="141" t="n">
        <x:f>IF(E189-F189&gt;0,MIN(E189-F189,P189),0)</x:f>
        <x:v>0</x:v>
      </x:c>
      <x:c r="K189" s="141" t="n">
        <x:f>I189+J189</x:f>
        <x:v>0</x:v>
      </x:c>
      <x:c r="L189" s="141" t="n">
        <x:f>MAX(0,E189-F189-J189)</x:f>
        <x:v>0</x:v>
      </x:c>
      <x:c r="M189" s="141" t="n">
        <x:f>SUM($K$6:K189)</x:f>
        <x:v>185795.9624076597</x:v>
      </x:c>
      <x:c r="N189" s="140" t="str">
        <x:f>IF(C189=0,"Encerrado",IF(L189=0,"Quitado","Aberto"))</x:f>
        <x:v>Encerrado</x:v>
      </x:c>
      <x:c r="O189" s="141" t="n">
        <x:f>IF(C189&gt;0,Premissas!$B$35,0)</x:f>
        <x:v>0</x:v>
      </x:c>
      <x:c r="P189" s="141" t="n">
        <x:f>IF(C189&gt;0,MAX(0,O189-I189),0)</x:f>
        <x:v>0</x:v>
      </x:c>
      <x:c r="Q189" s="141" t="n">
        <x:f>J189-IF(E189-F189&gt;0,MIN(E189-F189,P189),0)</x:f>
        <x:v>0</x:v>
      </x:c>
    </x:row>
    <x:row r="190">
      <x:c r="A190" s="142" t="n">
        <x:v>185</x:v>
      </x:c>
      <x:c r="B190" s="179" t="n">
        <x:f>EDATE(Premissas!$B$4,184)</x:f>
        <x:v>52140</x:v>
      </x:c>
      <x:c r="C190" s="141" t="n">
        <x:f>L189</x:f>
        <x:v>0</x:v>
      </x:c>
      <x:c r="D190" s="141" t="n">
        <x:f>IF(C190&gt;0,C190*Premissas!$B$17,0)</x:f>
        <x:v>0</x:v>
      </x:c>
      <x:c r="E190" s="141" t="n">
        <x:f>C190+D190</x:f>
        <x:v>0</x:v>
      </x:c>
      <x:c r="F190" s="141" t="n">
        <x:f>IF(E190&gt;0,MIN(E190,INDEX(Financiamento!$G$6:$G$485,A190)),0)</x:f>
        <x:v>0</x:v>
      </x:c>
      <x:c r="G190" s="141" t="n">
        <x:f>IF(E190&gt;0,E190*Premissas!$B$15,0)</x:f>
        <x:v>0</x:v>
      </x:c>
      <x:c r="H190" s="141" t="n">
        <x:f>IF(E190&gt;0,Premissas!$B$18,0)</x:f>
        <x:v>0</x:v>
      </x:c>
      <x:c r="I190" s="141" t="n">
        <x:f>F190+G190+H190</x:f>
        <x:v>0</x:v>
      </x:c>
      <x:c r="J190" s="141" t="n">
        <x:f>IF(E190-F190&gt;0,MIN(E190-F190,P190),0)</x:f>
        <x:v>0</x:v>
      </x:c>
      <x:c r="K190" s="141" t="n">
        <x:f>I190+J190</x:f>
        <x:v>0</x:v>
      </x:c>
      <x:c r="L190" s="141" t="n">
        <x:f>MAX(0,E190-F190-J190)</x:f>
        <x:v>0</x:v>
      </x:c>
      <x:c r="M190" s="141" t="n">
        <x:f>SUM($K$6:K190)</x:f>
        <x:v>185795.9624076597</x:v>
      </x:c>
      <x:c r="N190" s="140" t="str">
        <x:f>IF(C190=0,"Encerrado",IF(L190=0,"Quitado","Aberto"))</x:f>
        <x:v>Encerrado</x:v>
      </x:c>
      <x:c r="O190" s="141" t="n">
        <x:f>IF(C190&gt;0,Premissas!$B$35,0)</x:f>
        <x:v>0</x:v>
      </x:c>
      <x:c r="P190" s="141" t="n">
        <x:f>IF(C190&gt;0,MAX(0,O190-I190),0)</x:f>
        <x:v>0</x:v>
      </x:c>
      <x:c r="Q190" s="141" t="n">
        <x:f>J190-IF(E190-F190&gt;0,MIN(E190-F190,P190),0)</x:f>
        <x:v>0</x:v>
      </x:c>
    </x:row>
    <x:row r="191">
      <x:c r="A191" s="142" t="n">
        <x:v>186</x:v>
      </x:c>
      <x:c r="B191" s="179" t="n">
        <x:f>EDATE(Premissas!$B$4,185)</x:f>
        <x:v>52171</x:v>
      </x:c>
      <x:c r="C191" s="141" t="n">
        <x:f>L190</x:f>
        <x:v>0</x:v>
      </x:c>
      <x:c r="D191" s="141" t="n">
        <x:f>IF(C191&gt;0,C191*Premissas!$B$17,0)</x:f>
        <x:v>0</x:v>
      </x:c>
      <x:c r="E191" s="141" t="n">
        <x:f>C191+D191</x:f>
        <x:v>0</x:v>
      </x:c>
      <x:c r="F191" s="141" t="n">
        <x:f>IF(E191&gt;0,MIN(E191,INDEX(Financiamento!$G$6:$G$485,A191)),0)</x:f>
        <x:v>0</x:v>
      </x:c>
      <x:c r="G191" s="141" t="n">
        <x:f>IF(E191&gt;0,E191*Premissas!$B$15,0)</x:f>
        <x:v>0</x:v>
      </x:c>
      <x:c r="H191" s="141" t="n">
        <x:f>IF(E191&gt;0,Premissas!$B$18,0)</x:f>
        <x:v>0</x:v>
      </x:c>
      <x:c r="I191" s="141" t="n">
        <x:f>F191+G191+H191</x:f>
        <x:v>0</x:v>
      </x:c>
      <x:c r="J191" s="141" t="n">
        <x:f>IF(E191-F191&gt;0,MIN(E191-F191,P191),0)</x:f>
        <x:v>0</x:v>
      </x:c>
      <x:c r="K191" s="141" t="n">
        <x:f>I191+J191</x:f>
        <x:v>0</x:v>
      </x:c>
      <x:c r="L191" s="141" t="n">
        <x:f>MAX(0,E191-F191-J191)</x:f>
        <x:v>0</x:v>
      </x:c>
      <x:c r="M191" s="141" t="n">
        <x:f>SUM($K$6:K191)</x:f>
        <x:v>185795.9624076597</x:v>
      </x:c>
      <x:c r="N191" s="140" t="str">
        <x:f>IF(C191=0,"Encerrado",IF(L191=0,"Quitado","Aberto"))</x:f>
        <x:v>Encerrado</x:v>
      </x:c>
      <x:c r="O191" s="141" t="n">
        <x:f>IF(C191&gt;0,Premissas!$B$35,0)</x:f>
        <x:v>0</x:v>
      </x:c>
      <x:c r="P191" s="141" t="n">
        <x:f>IF(C191&gt;0,MAX(0,O191-I191),0)</x:f>
        <x:v>0</x:v>
      </x:c>
      <x:c r="Q191" s="141" t="n">
        <x:f>J191-IF(E191-F191&gt;0,MIN(E191-F191,P191),0)</x:f>
        <x:v>0</x:v>
      </x:c>
    </x:row>
    <x:row r="192">
      <x:c r="A192" s="142" t="n">
        <x:v>187</x:v>
      </x:c>
      <x:c r="B192" s="179" t="n">
        <x:f>EDATE(Premissas!$B$4,186)</x:f>
        <x:v>52201</x:v>
      </x:c>
      <x:c r="C192" s="141" t="n">
        <x:f>L191</x:f>
        <x:v>0</x:v>
      </x:c>
      <x:c r="D192" s="141" t="n">
        <x:f>IF(C192&gt;0,C192*Premissas!$B$17,0)</x:f>
        <x:v>0</x:v>
      </x:c>
      <x:c r="E192" s="141" t="n">
        <x:f>C192+D192</x:f>
        <x:v>0</x:v>
      </x:c>
      <x:c r="F192" s="141" t="n">
        <x:f>IF(E192&gt;0,MIN(E192,INDEX(Financiamento!$G$6:$G$485,A192)),0)</x:f>
        <x:v>0</x:v>
      </x:c>
      <x:c r="G192" s="141" t="n">
        <x:f>IF(E192&gt;0,E192*Premissas!$B$15,0)</x:f>
        <x:v>0</x:v>
      </x:c>
      <x:c r="H192" s="141" t="n">
        <x:f>IF(E192&gt;0,Premissas!$B$18,0)</x:f>
        <x:v>0</x:v>
      </x:c>
      <x:c r="I192" s="141" t="n">
        <x:f>F192+G192+H192</x:f>
        <x:v>0</x:v>
      </x:c>
      <x:c r="J192" s="141" t="n">
        <x:f>IF(E192-F192&gt;0,MIN(E192-F192,P192),0)</x:f>
        <x:v>0</x:v>
      </x:c>
      <x:c r="K192" s="141" t="n">
        <x:f>I192+J192</x:f>
        <x:v>0</x:v>
      </x:c>
      <x:c r="L192" s="141" t="n">
        <x:f>MAX(0,E192-F192-J192)</x:f>
        <x:v>0</x:v>
      </x:c>
      <x:c r="M192" s="141" t="n">
        <x:f>SUM($K$6:K192)</x:f>
        <x:v>185795.9624076597</x:v>
      </x:c>
      <x:c r="N192" s="140" t="str">
        <x:f>IF(C192=0,"Encerrado",IF(L192=0,"Quitado","Aberto"))</x:f>
        <x:v>Encerrado</x:v>
      </x:c>
      <x:c r="O192" s="141" t="n">
        <x:f>IF(C192&gt;0,Premissas!$B$35,0)</x:f>
        <x:v>0</x:v>
      </x:c>
      <x:c r="P192" s="141" t="n">
        <x:f>IF(C192&gt;0,MAX(0,O192-I192),0)</x:f>
        <x:v>0</x:v>
      </x:c>
      <x:c r="Q192" s="141" t="n">
        <x:f>J192-IF(E192-F192&gt;0,MIN(E192-F192,P192),0)</x:f>
        <x:v>0</x:v>
      </x:c>
    </x:row>
    <x:row r="193">
      <x:c r="A193" s="142" t="n">
        <x:v>188</x:v>
      </x:c>
      <x:c r="B193" s="179" t="n">
        <x:f>EDATE(Premissas!$B$4,187)</x:f>
        <x:v>52232</x:v>
      </x:c>
      <x:c r="C193" s="141" t="n">
        <x:f>L192</x:f>
        <x:v>0</x:v>
      </x:c>
      <x:c r="D193" s="141" t="n">
        <x:f>IF(C193&gt;0,C193*Premissas!$B$17,0)</x:f>
        <x:v>0</x:v>
      </x:c>
      <x:c r="E193" s="141" t="n">
        <x:f>C193+D193</x:f>
        <x:v>0</x:v>
      </x:c>
      <x:c r="F193" s="141" t="n">
        <x:f>IF(E193&gt;0,MIN(E193,INDEX(Financiamento!$G$6:$G$485,A193)),0)</x:f>
        <x:v>0</x:v>
      </x:c>
      <x:c r="G193" s="141" t="n">
        <x:f>IF(E193&gt;0,E193*Premissas!$B$15,0)</x:f>
        <x:v>0</x:v>
      </x:c>
      <x:c r="H193" s="141" t="n">
        <x:f>IF(E193&gt;0,Premissas!$B$18,0)</x:f>
        <x:v>0</x:v>
      </x:c>
      <x:c r="I193" s="141" t="n">
        <x:f>F193+G193+H193</x:f>
        <x:v>0</x:v>
      </x:c>
      <x:c r="J193" s="141" t="n">
        <x:f>IF(E193-F193&gt;0,MIN(E193-F193,P193),0)</x:f>
        <x:v>0</x:v>
      </x:c>
      <x:c r="K193" s="141" t="n">
        <x:f>I193+J193</x:f>
        <x:v>0</x:v>
      </x:c>
      <x:c r="L193" s="141" t="n">
        <x:f>MAX(0,E193-F193-J193)</x:f>
        <x:v>0</x:v>
      </x:c>
      <x:c r="M193" s="141" t="n">
        <x:f>SUM($K$6:K193)</x:f>
        <x:v>185795.9624076597</x:v>
      </x:c>
      <x:c r="N193" s="140" t="str">
        <x:f>IF(C193=0,"Encerrado",IF(L193=0,"Quitado","Aberto"))</x:f>
        <x:v>Encerrado</x:v>
      </x:c>
      <x:c r="O193" s="141" t="n">
        <x:f>IF(C193&gt;0,Premissas!$B$35,0)</x:f>
        <x:v>0</x:v>
      </x:c>
      <x:c r="P193" s="141" t="n">
        <x:f>IF(C193&gt;0,MAX(0,O193-I193),0)</x:f>
        <x:v>0</x:v>
      </x:c>
      <x:c r="Q193" s="141" t="n">
        <x:f>J193-IF(E193-F193&gt;0,MIN(E193-F193,P193),0)</x:f>
        <x:v>0</x:v>
      </x:c>
    </x:row>
    <x:row r="194">
      <x:c r="A194" s="142" t="n">
        <x:v>189</x:v>
      </x:c>
      <x:c r="B194" s="179" t="n">
        <x:f>EDATE(Premissas!$B$4,188)</x:f>
        <x:v>52263</x:v>
      </x:c>
      <x:c r="C194" s="141" t="n">
        <x:f>L193</x:f>
        <x:v>0</x:v>
      </x:c>
      <x:c r="D194" s="141" t="n">
        <x:f>IF(C194&gt;0,C194*Premissas!$B$17,0)</x:f>
        <x:v>0</x:v>
      </x:c>
      <x:c r="E194" s="141" t="n">
        <x:f>C194+D194</x:f>
        <x:v>0</x:v>
      </x:c>
      <x:c r="F194" s="141" t="n">
        <x:f>IF(E194&gt;0,MIN(E194,INDEX(Financiamento!$G$6:$G$485,A194)),0)</x:f>
        <x:v>0</x:v>
      </x:c>
      <x:c r="G194" s="141" t="n">
        <x:f>IF(E194&gt;0,E194*Premissas!$B$15,0)</x:f>
        <x:v>0</x:v>
      </x:c>
      <x:c r="H194" s="141" t="n">
        <x:f>IF(E194&gt;0,Premissas!$B$18,0)</x:f>
        <x:v>0</x:v>
      </x:c>
      <x:c r="I194" s="141" t="n">
        <x:f>F194+G194+H194</x:f>
        <x:v>0</x:v>
      </x:c>
      <x:c r="J194" s="141" t="n">
        <x:f>IF(E194-F194&gt;0,MIN(E194-F194,P194),0)</x:f>
        <x:v>0</x:v>
      </x:c>
      <x:c r="K194" s="141" t="n">
        <x:f>I194+J194</x:f>
        <x:v>0</x:v>
      </x:c>
      <x:c r="L194" s="141" t="n">
        <x:f>MAX(0,E194-F194-J194)</x:f>
        <x:v>0</x:v>
      </x:c>
      <x:c r="M194" s="141" t="n">
        <x:f>SUM($K$6:K194)</x:f>
        <x:v>185795.9624076597</x:v>
      </x:c>
      <x:c r="N194" s="140" t="str">
        <x:f>IF(C194=0,"Encerrado",IF(L194=0,"Quitado","Aberto"))</x:f>
        <x:v>Encerrado</x:v>
      </x:c>
      <x:c r="O194" s="141" t="n">
        <x:f>IF(C194&gt;0,Premissas!$B$35,0)</x:f>
        <x:v>0</x:v>
      </x:c>
      <x:c r="P194" s="141" t="n">
        <x:f>IF(C194&gt;0,MAX(0,O194-I194),0)</x:f>
        <x:v>0</x:v>
      </x:c>
      <x:c r="Q194" s="141" t="n">
        <x:f>J194-IF(E194-F194&gt;0,MIN(E194-F194,P194),0)</x:f>
        <x:v>0</x:v>
      </x:c>
    </x:row>
    <x:row r="195">
      <x:c r="A195" s="142" t="n">
        <x:v>190</x:v>
      </x:c>
      <x:c r="B195" s="179" t="n">
        <x:f>EDATE(Premissas!$B$4,189)</x:f>
        <x:v>52291</x:v>
      </x:c>
      <x:c r="C195" s="141" t="n">
        <x:f>L194</x:f>
        <x:v>0</x:v>
      </x:c>
      <x:c r="D195" s="141" t="n">
        <x:f>IF(C195&gt;0,C195*Premissas!$B$17,0)</x:f>
        <x:v>0</x:v>
      </x:c>
      <x:c r="E195" s="141" t="n">
        <x:f>C195+D195</x:f>
        <x:v>0</x:v>
      </x:c>
      <x:c r="F195" s="141" t="n">
        <x:f>IF(E195&gt;0,MIN(E195,INDEX(Financiamento!$G$6:$G$485,A195)),0)</x:f>
        <x:v>0</x:v>
      </x:c>
      <x:c r="G195" s="141" t="n">
        <x:f>IF(E195&gt;0,E195*Premissas!$B$15,0)</x:f>
        <x:v>0</x:v>
      </x:c>
      <x:c r="H195" s="141" t="n">
        <x:f>IF(E195&gt;0,Premissas!$B$18,0)</x:f>
        <x:v>0</x:v>
      </x:c>
      <x:c r="I195" s="141" t="n">
        <x:f>F195+G195+H195</x:f>
        <x:v>0</x:v>
      </x:c>
      <x:c r="J195" s="141" t="n">
        <x:f>IF(E195-F195&gt;0,MIN(E195-F195,P195),0)</x:f>
        <x:v>0</x:v>
      </x:c>
      <x:c r="K195" s="141" t="n">
        <x:f>I195+J195</x:f>
        <x:v>0</x:v>
      </x:c>
      <x:c r="L195" s="141" t="n">
        <x:f>MAX(0,E195-F195-J195)</x:f>
        <x:v>0</x:v>
      </x:c>
      <x:c r="M195" s="141" t="n">
        <x:f>SUM($K$6:K195)</x:f>
        <x:v>185795.9624076597</x:v>
      </x:c>
      <x:c r="N195" s="140" t="str">
        <x:f>IF(C195=0,"Encerrado",IF(L195=0,"Quitado","Aberto"))</x:f>
        <x:v>Encerrado</x:v>
      </x:c>
      <x:c r="O195" s="141" t="n">
        <x:f>IF(C195&gt;0,Premissas!$B$35,0)</x:f>
        <x:v>0</x:v>
      </x:c>
      <x:c r="P195" s="141" t="n">
        <x:f>IF(C195&gt;0,MAX(0,O195-I195),0)</x:f>
        <x:v>0</x:v>
      </x:c>
      <x:c r="Q195" s="141" t="n">
        <x:f>J195-IF(E195-F195&gt;0,MIN(E195-F195,P195),0)</x:f>
        <x:v>0</x:v>
      </x:c>
    </x:row>
    <x:row r="196">
      <x:c r="A196" s="142" t="n">
        <x:v>191</x:v>
      </x:c>
      <x:c r="B196" s="179" t="n">
        <x:f>EDATE(Premissas!$B$4,190)</x:f>
        <x:v>52322</x:v>
      </x:c>
      <x:c r="C196" s="141" t="n">
        <x:f>L195</x:f>
        <x:v>0</x:v>
      </x:c>
      <x:c r="D196" s="141" t="n">
        <x:f>IF(C196&gt;0,C196*Premissas!$B$17,0)</x:f>
        <x:v>0</x:v>
      </x:c>
      <x:c r="E196" s="141" t="n">
        <x:f>C196+D196</x:f>
        <x:v>0</x:v>
      </x:c>
      <x:c r="F196" s="141" t="n">
        <x:f>IF(E196&gt;0,MIN(E196,INDEX(Financiamento!$G$6:$G$485,A196)),0)</x:f>
        <x:v>0</x:v>
      </x:c>
      <x:c r="G196" s="141" t="n">
        <x:f>IF(E196&gt;0,E196*Premissas!$B$15,0)</x:f>
        <x:v>0</x:v>
      </x:c>
      <x:c r="H196" s="141" t="n">
        <x:f>IF(E196&gt;0,Premissas!$B$18,0)</x:f>
        <x:v>0</x:v>
      </x:c>
      <x:c r="I196" s="141" t="n">
        <x:f>F196+G196+H196</x:f>
        <x:v>0</x:v>
      </x:c>
      <x:c r="J196" s="141" t="n">
        <x:f>IF(E196-F196&gt;0,MIN(E196-F196,P196),0)</x:f>
        <x:v>0</x:v>
      </x:c>
      <x:c r="K196" s="141" t="n">
        <x:f>I196+J196</x:f>
        <x:v>0</x:v>
      </x:c>
      <x:c r="L196" s="141" t="n">
        <x:f>MAX(0,E196-F196-J196)</x:f>
        <x:v>0</x:v>
      </x:c>
      <x:c r="M196" s="141" t="n">
        <x:f>SUM($K$6:K196)</x:f>
        <x:v>185795.9624076597</x:v>
      </x:c>
      <x:c r="N196" s="140" t="str">
        <x:f>IF(C196=0,"Encerrado",IF(L196=0,"Quitado","Aberto"))</x:f>
        <x:v>Encerrado</x:v>
      </x:c>
      <x:c r="O196" s="141" t="n">
        <x:f>IF(C196&gt;0,Premissas!$B$35,0)</x:f>
        <x:v>0</x:v>
      </x:c>
      <x:c r="P196" s="141" t="n">
        <x:f>IF(C196&gt;0,MAX(0,O196-I196),0)</x:f>
        <x:v>0</x:v>
      </x:c>
      <x:c r="Q196" s="141" t="n">
        <x:f>J196-IF(E196-F196&gt;0,MIN(E196-F196,P196),0)</x:f>
        <x:v>0</x:v>
      </x:c>
    </x:row>
    <x:row r="197">
      <x:c r="A197" s="142" t="n">
        <x:v>192</x:v>
      </x:c>
      <x:c r="B197" s="179" t="n">
        <x:f>EDATE(Premissas!$B$4,191)</x:f>
        <x:v>52352</x:v>
      </x:c>
      <x:c r="C197" s="141" t="n">
        <x:f>L196</x:f>
        <x:v>0</x:v>
      </x:c>
      <x:c r="D197" s="141" t="n">
        <x:f>IF(C197&gt;0,C197*Premissas!$B$17,0)</x:f>
        <x:v>0</x:v>
      </x:c>
      <x:c r="E197" s="141" t="n">
        <x:f>C197+D197</x:f>
        <x:v>0</x:v>
      </x:c>
      <x:c r="F197" s="141" t="n">
        <x:f>IF(E197&gt;0,MIN(E197,INDEX(Financiamento!$G$6:$G$485,A197)),0)</x:f>
        <x:v>0</x:v>
      </x:c>
      <x:c r="G197" s="141" t="n">
        <x:f>IF(E197&gt;0,E197*Premissas!$B$15,0)</x:f>
        <x:v>0</x:v>
      </x:c>
      <x:c r="H197" s="141" t="n">
        <x:f>IF(E197&gt;0,Premissas!$B$18,0)</x:f>
        <x:v>0</x:v>
      </x:c>
      <x:c r="I197" s="141" t="n">
        <x:f>F197+G197+H197</x:f>
        <x:v>0</x:v>
      </x:c>
      <x:c r="J197" s="141" t="n">
        <x:f>IF(E197-F197&gt;0,MIN(E197-F197,P197),0)</x:f>
        <x:v>0</x:v>
      </x:c>
      <x:c r="K197" s="141" t="n">
        <x:f>I197+J197</x:f>
        <x:v>0</x:v>
      </x:c>
      <x:c r="L197" s="141" t="n">
        <x:f>MAX(0,E197-F197-J197)</x:f>
        <x:v>0</x:v>
      </x:c>
      <x:c r="M197" s="141" t="n">
        <x:f>SUM($K$6:K197)</x:f>
        <x:v>185795.9624076597</x:v>
      </x:c>
      <x:c r="N197" s="140" t="str">
        <x:f>IF(C197=0,"Encerrado",IF(L197=0,"Quitado","Aberto"))</x:f>
        <x:v>Encerrado</x:v>
      </x:c>
      <x:c r="O197" s="141" t="n">
        <x:f>IF(C197&gt;0,Premissas!$B$35,0)</x:f>
        <x:v>0</x:v>
      </x:c>
      <x:c r="P197" s="141" t="n">
        <x:f>IF(C197&gt;0,MAX(0,O197-I197),0)</x:f>
        <x:v>0</x:v>
      </x:c>
      <x:c r="Q197" s="141" t="n">
        <x:f>J197-IF(E197-F197&gt;0,MIN(E197-F197,P197),0)</x:f>
        <x:v>0</x:v>
      </x:c>
    </x:row>
    <x:row r="198">
      <x:c r="A198" s="142" t="n">
        <x:v>193</x:v>
      </x:c>
      <x:c r="B198" s="179" t="n">
        <x:f>EDATE(Premissas!$B$4,192)</x:f>
        <x:v>52383</x:v>
      </x:c>
      <x:c r="C198" s="141" t="n">
        <x:f>L197</x:f>
        <x:v>0</x:v>
      </x:c>
      <x:c r="D198" s="141" t="n">
        <x:f>IF(C198&gt;0,C198*Premissas!$B$17,0)</x:f>
        <x:v>0</x:v>
      </x:c>
      <x:c r="E198" s="141" t="n">
        <x:f>C198+D198</x:f>
        <x:v>0</x:v>
      </x:c>
      <x:c r="F198" s="141" t="n">
        <x:f>IF(E198&gt;0,MIN(E198,INDEX(Financiamento!$G$6:$G$485,A198)),0)</x:f>
        <x:v>0</x:v>
      </x:c>
      <x:c r="G198" s="141" t="n">
        <x:f>IF(E198&gt;0,E198*Premissas!$B$15,0)</x:f>
        <x:v>0</x:v>
      </x:c>
      <x:c r="H198" s="141" t="n">
        <x:f>IF(E198&gt;0,Premissas!$B$18,0)</x:f>
        <x:v>0</x:v>
      </x:c>
      <x:c r="I198" s="141" t="n">
        <x:f>F198+G198+H198</x:f>
        <x:v>0</x:v>
      </x:c>
      <x:c r="J198" s="141" t="n">
        <x:f>IF(E198-F198&gt;0,MIN(E198-F198,P198),0)</x:f>
        <x:v>0</x:v>
      </x:c>
      <x:c r="K198" s="141" t="n">
        <x:f>I198+J198</x:f>
        <x:v>0</x:v>
      </x:c>
      <x:c r="L198" s="141" t="n">
        <x:f>MAX(0,E198-F198-J198)</x:f>
        <x:v>0</x:v>
      </x:c>
      <x:c r="M198" s="141" t="n">
        <x:f>SUM($K$6:K198)</x:f>
        <x:v>185795.9624076597</x:v>
      </x:c>
      <x:c r="N198" s="140" t="str">
        <x:f>IF(C198=0,"Encerrado",IF(L198=0,"Quitado","Aberto"))</x:f>
        <x:v>Encerrado</x:v>
      </x:c>
      <x:c r="O198" s="141" t="n">
        <x:f>IF(C198&gt;0,Premissas!$B$35,0)</x:f>
        <x:v>0</x:v>
      </x:c>
      <x:c r="P198" s="141" t="n">
        <x:f>IF(C198&gt;0,MAX(0,O198-I198),0)</x:f>
        <x:v>0</x:v>
      </x:c>
      <x:c r="Q198" s="141" t="n">
        <x:f>J198-IF(E198-F198&gt;0,MIN(E198-F198,P198),0)</x:f>
        <x:v>0</x:v>
      </x:c>
    </x:row>
    <x:row r="199">
      <x:c r="A199" s="142" t="n">
        <x:v>194</x:v>
      </x:c>
      <x:c r="B199" s="179" t="n">
        <x:f>EDATE(Premissas!$B$4,193)</x:f>
        <x:v>52413</x:v>
      </x:c>
      <x:c r="C199" s="141" t="n">
        <x:f>L198</x:f>
        <x:v>0</x:v>
      </x:c>
      <x:c r="D199" s="141" t="n">
        <x:f>IF(C199&gt;0,C199*Premissas!$B$17,0)</x:f>
        <x:v>0</x:v>
      </x:c>
      <x:c r="E199" s="141" t="n">
        <x:f>C199+D199</x:f>
        <x:v>0</x:v>
      </x:c>
      <x:c r="F199" s="141" t="n">
        <x:f>IF(E199&gt;0,MIN(E199,INDEX(Financiamento!$G$6:$G$485,A199)),0)</x:f>
        <x:v>0</x:v>
      </x:c>
      <x:c r="G199" s="141" t="n">
        <x:f>IF(E199&gt;0,E199*Premissas!$B$15,0)</x:f>
        <x:v>0</x:v>
      </x:c>
      <x:c r="H199" s="141" t="n">
        <x:f>IF(E199&gt;0,Premissas!$B$18,0)</x:f>
        <x:v>0</x:v>
      </x:c>
      <x:c r="I199" s="141" t="n">
        <x:f>F199+G199+H199</x:f>
        <x:v>0</x:v>
      </x:c>
      <x:c r="J199" s="141" t="n">
        <x:f>IF(E199-F199&gt;0,MIN(E199-F199,P199),0)</x:f>
        <x:v>0</x:v>
      </x:c>
      <x:c r="K199" s="141" t="n">
        <x:f>I199+J199</x:f>
        <x:v>0</x:v>
      </x:c>
      <x:c r="L199" s="141" t="n">
        <x:f>MAX(0,E199-F199-J199)</x:f>
        <x:v>0</x:v>
      </x:c>
      <x:c r="M199" s="141" t="n">
        <x:f>SUM($K$6:K199)</x:f>
        <x:v>185795.9624076597</x:v>
      </x:c>
      <x:c r="N199" s="140" t="str">
        <x:f>IF(C199=0,"Encerrado",IF(L199=0,"Quitado","Aberto"))</x:f>
        <x:v>Encerrado</x:v>
      </x:c>
      <x:c r="O199" s="141" t="n">
        <x:f>IF(C199&gt;0,Premissas!$B$35,0)</x:f>
        <x:v>0</x:v>
      </x:c>
      <x:c r="P199" s="141" t="n">
        <x:f>IF(C199&gt;0,MAX(0,O199-I199),0)</x:f>
        <x:v>0</x:v>
      </x:c>
      <x:c r="Q199" s="141" t="n">
        <x:f>J199-IF(E199-F199&gt;0,MIN(E199-F199,P199),0)</x:f>
        <x:v>0</x:v>
      </x:c>
    </x:row>
    <x:row r="200">
      <x:c r="A200" s="142" t="n">
        <x:v>195</x:v>
      </x:c>
      <x:c r="B200" s="179" t="n">
        <x:f>EDATE(Premissas!$B$4,194)</x:f>
        <x:v>52444</x:v>
      </x:c>
      <x:c r="C200" s="141" t="n">
        <x:f>L199</x:f>
        <x:v>0</x:v>
      </x:c>
      <x:c r="D200" s="141" t="n">
        <x:f>IF(C200&gt;0,C200*Premissas!$B$17,0)</x:f>
        <x:v>0</x:v>
      </x:c>
      <x:c r="E200" s="141" t="n">
        <x:f>C200+D200</x:f>
        <x:v>0</x:v>
      </x:c>
      <x:c r="F200" s="141" t="n">
        <x:f>IF(E200&gt;0,MIN(E200,INDEX(Financiamento!$G$6:$G$485,A200)),0)</x:f>
        <x:v>0</x:v>
      </x:c>
      <x:c r="G200" s="141" t="n">
        <x:f>IF(E200&gt;0,E200*Premissas!$B$15,0)</x:f>
        <x:v>0</x:v>
      </x:c>
      <x:c r="H200" s="141" t="n">
        <x:f>IF(E200&gt;0,Premissas!$B$18,0)</x:f>
        <x:v>0</x:v>
      </x:c>
      <x:c r="I200" s="141" t="n">
        <x:f>F200+G200+H200</x:f>
        <x:v>0</x:v>
      </x:c>
      <x:c r="J200" s="141" t="n">
        <x:f>IF(E200-F200&gt;0,MIN(E200-F200,P200),0)</x:f>
        <x:v>0</x:v>
      </x:c>
      <x:c r="K200" s="141" t="n">
        <x:f>I200+J200</x:f>
        <x:v>0</x:v>
      </x:c>
      <x:c r="L200" s="141" t="n">
        <x:f>MAX(0,E200-F200-J200)</x:f>
        <x:v>0</x:v>
      </x:c>
      <x:c r="M200" s="141" t="n">
        <x:f>SUM($K$6:K200)</x:f>
        <x:v>185795.9624076597</x:v>
      </x:c>
      <x:c r="N200" s="140" t="str">
        <x:f>IF(C200=0,"Encerrado",IF(L200=0,"Quitado","Aberto"))</x:f>
        <x:v>Encerrado</x:v>
      </x:c>
      <x:c r="O200" s="141" t="n">
        <x:f>IF(C200&gt;0,Premissas!$B$35,0)</x:f>
        <x:v>0</x:v>
      </x:c>
      <x:c r="P200" s="141" t="n">
        <x:f>IF(C200&gt;0,MAX(0,O200-I200),0)</x:f>
        <x:v>0</x:v>
      </x:c>
      <x:c r="Q200" s="141" t="n">
        <x:f>J200-IF(E200-F200&gt;0,MIN(E200-F200,P200),0)</x:f>
        <x:v>0</x:v>
      </x:c>
    </x:row>
    <x:row r="201">
      <x:c r="A201" s="142" t="n">
        <x:v>196</x:v>
      </x:c>
      <x:c r="B201" s="179" t="n">
        <x:f>EDATE(Premissas!$B$4,195)</x:f>
        <x:v>52475</x:v>
      </x:c>
      <x:c r="C201" s="141" t="n">
        <x:f>L200</x:f>
        <x:v>0</x:v>
      </x:c>
      <x:c r="D201" s="141" t="n">
        <x:f>IF(C201&gt;0,C201*Premissas!$B$17,0)</x:f>
        <x:v>0</x:v>
      </x:c>
      <x:c r="E201" s="141" t="n">
        <x:f>C201+D201</x:f>
        <x:v>0</x:v>
      </x:c>
      <x:c r="F201" s="141" t="n">
        <x:f>IF(E201&gt;0,MIN(E201,INDEX(Financiamento!$G$6:$G$485,A201)),0)</x:f>
        <x:v>0</x:v>
      </x:c>
      <x:c r="G201" s="141" t="n">
        <x:f>IF(E201&gt;0,E201*Premissas!$B$15,0)</x:f>
        <x:v>0</x:v>
      </x:c>
      <x:c r="H201" s="141" t="n">
        <x:f>IF(E201&gt;0,Premissas!$B$18,0)</x:f>
        <x:v>0</x:v>
      </x:c>
      <x:c r="I201" s="141" t="n">
        <x:f>F201+G201+H201</x:f>
        <x:v>0</x:v>
      </x:c>
      <x:c r="J201" s="141" t="n">
        <x:f>IF(E201-F201&gt;0,MIN(E201-F201,P201),0)</x:f>
        <x:v>0</x:v>
      </x:c>
      <x:c r="K201" s="141" t="n">
        <x:f>I201+J201</x:f>
        <x:v>0</x:v>
      </x:c>
      <x:c r="L201" s="141" t="n">
        <x:f>MAX(0,E201-F201-J201)</x:f>
        <x:v>0</x:v>
      </x:c>
      <x:c r="M201" s="141" t="n">
        <x:f>SUM($K$6:K201)</x:f>
        <x:v>185795.9624076597</x:v>
      </x:c>
      <x:c r="N201" s="140" t="str">
        <x:f>IF(C201=0,"Encerrado",IF(L201=0,"Quitado","Aberto"))</x:f>
        <x:v>Encerrado</x:v>
      </x:c>
      <x:c r="O201" s="141" t="n">
        <x:f>IF(C201&gt;0,Premissas!$B$35,0)</x:f>
        <x:v>0</x:v>
      </x:c>
      <x:c r="P201" s="141" t="n">
        <x:f>IF(C201&gt;0,MAX(0,O201-I201),0)</x:f>
        <x:v>0</x:v>
      </x:c>
      <x:c r="Q201" s="141" t="n">
        <x:f>J201-IF(E201-F201&gt;0,MIN(E201-F201,P201),0)</x:f>
        <x:v>0</x:v>
      </x:c>
    </x:row>
    <x:row r="202">
      <x:c r="A202" s="142" t="n">
        <x:v>197</x:v>
      </x:c>
      <x:c r="B202" s="179" t="n">
        <x:f>EDATE(Premissas!$B$4,196)</x:f>
        <x:v>52505</x:v>
      </x:c>
      <x:c r="C202" s="141" t="n">
        <x:f>L201</x:f>
        <x:v>0</x:v>
      </x:c>
      <x:c r="D202" s="141" t="n">
        <x:f>IF(C202&gt;0,C202*Premissas!$B$17,0)</x:f>
        <x:v>0</x:v>
      </x:c>
      <x:c r="E202" s="141" t="n">
        <x:f>C202+D202</x:f>
        <x:v>0</x:v>
      </x:c>
      <x:c r="F202" s="141" t="n">
        <x:f>IF(E202&gt;0,MIN(E202,INDEX(Financiamento!$G$6:$G$485,A202)),0)</x:f>
        <x:v>0</x:v>
      </x:c>
      <x:c r="G202" s="141" t="n">
        <x:f>IF(E202&gt;0,E202*Premissas!$B$15,0)</x:f>
        <x:v>0</x:v>
      </x:c>
      <x:c r="H202" s="141" t="n">
        <x:f>IF(E202&gt;0,Premissas!$B$18,0)</x:f>
        <x:v>0</x:v>
      </x:c>
      <x:c r="I202" s="141" t="n">
        <x:f>F202+G202+H202</x:f>
        <x:v>0</x:v>
      </x:c>
      <x:c r="J202" s="141" t="n">
        <x:f>IF(E202-F202&gt;0,MIN(E202-F202,P202),0)</x:f>
        <x:v>0</x:v>
      </x:c>
      <x:c r="K202" s="141" t="n">
        <x:f>I202+J202</x:f>
        <x:v>0</x:v>
      </x:c>
      <x:c r="L202" s="141" t="n">
        <x:f>MAX(0,E202-F202-J202)</x:f>
        <x:v>0</x:v>
      </x:c>
      <x:c r="M202" s="141" t="n">
        <x:f>SUM($K$6:K202)</x:f>
        <x:v>185795.9624076597</x:v>
      </x:c>
      <x:c r="N202" s="140" t="str">
        <x:f>IF(C202=0,"Encerrado",IF(L202=0,"Quitado","Aberto"))</x:f>
        <x:v>Encerrado</x:v>
      </x:c>
      <x:c r="O202" s="141" t="n">
        <x:f>IF(C202&gt;0,Premissas!$B$35,0)</x:f>
        <x:v>0</x:v>
      </x:c>
      <x:c r="P202" s="141" t="n">
        <x:f>IF(C202&gt;0,MAX(0,O202-I202),0)</x:f>
        <x:v>0</x:v>
      </x:c>
      <x:c r="Q202" s="141" t="n">
        <x:f>J202-IF(E202-F202&gt;0,MIN(E202-F202,P202),0)</x:f>
        <x:v>0</x:v>
      </x:c>
    </x:row>
    <x:row r="203">
      <x:c r="A203" s="142" t="n">
        <x:v>198</x:v>
      </x:c>
      <x:c r="B203" s="179" t="n">
        <x:f>EDATE(Premissas!$B$4,197)</x:f>
        <x:v>52536</x:v>
      </x:c>
      <x:c r="C203" s="141" t="n">
        <x:f>L202</x:f>
        <x:v>0</x:v>
      </x:c>
      <x:c r="D203" s="141" t="n">
        <x:f>IF(C203&gt;0,C203*Premissas!$B$17,0)</x:f>
        <x:v>0</x:v>
      </x:c>
      <x:c r="E203" s="141" t="n">
        <x:f>C203+D203</x:f>
        <x:v>0</x:v>
      </x:c>
      <x:c r="F203" s="141" t="n">
        <x:f>IF(E203&gt;0,MIN(E203,INDEX(Financiamento!$G$6:$G$485,A203)),0)</x:f>
        <x:v>0</x:v>
      </x:c>
      <x:c r="G203" s="141" t="n">
        <x:f>IF(E203&gt;0,E203*Premissas!$B$15,0)</x:f>
        <x:v>0</x:v>
      </x:c>
      <x:c r="H203" s="141" t="n">
        <x:f>IF(E203&gt;0,Premissas!$B$18,0)</x:f>
        <x:v>0</x:v>
      </x:c>
      <x:c r="I203" s="141" t="n">
        <x:f>F203+G203+H203</x:f>
        <x:v>0</x:v>
      </x:c>
      <x:c r="J203" s="141" t="n">
        <x:f>IF(E203-F203&gt;0,MIN(E203-F203,P203),0)</x:f>
        <x:v>0</x:v>
      </x:c>
      <x:c r="K203" s="141" t="n">
        <x:f>I203+J203</x:f>
        <x:v>0</x:v>
      </x:c>
      <x:c r="L203" s="141" t="n">
        <x:f>MAX(0,E203-F203-J203)</x:f>
        <x:v>0</x:v>
      </x:c>
      <x:c r="M203" s="141" t="n">
        <x:f>SUM($K$6:K203)</x:f>
        <x:v>185795.9624076597</x:v>
      </x:c>
      <x:c r="N203" s="140" t="str">
        <x:f>IF(C203=0,"Encerrado",IF(L203=0,"Quitado","Aberto"))</x:f>
        <x:v>Encerrado</x:v>
      </x:c>
      <x:c r="O203" s="141" t="n">
        <x:f>IF(C203&gt;0,Premissas!$B$35,0)</x:f>
        <x:v>0</x:v>
      </x:c>
      <x:c r="P203" s="141" t="n">
        <x:f>IF(C203&gt;0,MAX(0,O203-I203),0)</x:f>
        <x:v>0</x:v>
      </x:c>
      <x:c r="Q203" s="141" t="n">
        <x:f>J203-IF(E203-F203&gt;0,MIN(E203-F203,P203),0)</x:f>
        <x:v>0</x:v>
      </x:c>
    </x:row>
    <x:row r="204">
      <x:c r="A204" s="142" t="n">
        <x:v>199</x:v>
      </x:c>
      <x:c r="B204" s="179" t="n">
        <x:f>EDATE(Premissas!$B$4,198)</x:f>
        <x:v>52566</x:v>
      </x:c>
      <x:c r="C204" s="141" t="n">
        <x:f>L203</x:f>
        <x:v>0</x:v>
      </x:c>
      <x:c r="D204" s="141" t="n">
        <x:f>IF(C204&gt;0,C204*Premissas!$B$17,0)</x:f>
        <x:v>0</x:v>
      </x:c>
      <x:c r="E204" s="141" t="n">
        <x:f>C204+D204</x:f>
        <x:v>0</x:v>
      </x:c>
      <x:c r="F204" s="141" t="n">
        <x:f>IF(E204&gt;0,MIN(E204,INDEX(Financiamento!$G$6:$G$485,A204)),0)</x:f>
        <x:v>0</x:v>
      </x:c>
      <x:c r="G204" s="141" t="n">
        <x:f>IF(E204&gt;0,E204*Premissas!$B$15,0)</x:f>
        <x:v>0</x:v>
      </x:c>
      <x:c r="H204" s="141" t="n">
        <x:f>IF(E204&gt;0,Premissas!$B$18,0)</x:f>
        <x:v>0</x:v>
      </x:c>
      <x:c r="I204" s="141" t="n">
        <x:f>F204+G204+H204</x:f>
        <x:v>0</x:v>
      </x:c>
      <x:c r="J204" s="141" t="n">
        <x:f>IF(E204-F204&gt;0,MIN(E204-F204,P204),0)</x:f>
        <x:v>0</x:v>
      </x:c>
      <x:c r="K204" s="141" t="n">
        <x:f>I204+J204</x:f>
        <x:v>0</x:v>
      </x:c>
      <x:c r="L204" s="141" t="n">
        <x:f>MAX(0,E204-F204-J204)</x:f>
        <x:v>0</x:v>
      </x:c>
      <x:c r="M204" s="141" t="n">
        <x:f>SUM($K$6:K204)</x:f>
        <x:v>185795.9624076597</x:v>
      </x:c>
      <x:c r="N204" s="140" t="str">
        <x:f>IF(C204=0,"Encerrado",IF(L204=0,"Quitado","Aberto"))</x:f>
        <x:v>Encerrado</x:v>
      </x:c>
      <x:c r="O204" s="141" t="n">
        <x:f>IF(C204&gt;0,Premissas!$B$35,0)</x:f>
        <x:v>0</x:v>
      </x:c>
      <x:c r="P204" s="141" t="n">
        <x:f>IF(C204&gt;0,MAX(0,O204-I204),0)</x:f>
        <x:v>0</x:v>
      </x:c>
      <x:c r="Q204" s="141" t="n">
        <x:f>J204-IF(E204-F204&gt;0,MIN(E204-F204,P204),0)</x:f>
        <x:v>0</x:v>
      </x:c>
    </x:row>
    <x:row r="205">
      <x:c r="A205" s="142" t="n">
        <x:v>200</x:v>
      </x:c>
      <x:c r="B205" s="179" t="n">
        <x:f>EDATE(Premissas!$B$4,199)</x:f>
        <x:v>52597</x:v>
      </x:c>
      <x:c r="C205" s="141" t="n">
        <x:f>L204</x:f>
        <x:v>0</x:v>
      </x:c>
      <x:c r="D205" s="141" t="n">
        <x:f>IF(C205&gt;0,C205*Premissas!$B$17,0)</x:f>
        <x:v>0</x:v>
      </x:c>
      <x:c r="E205" s="141" t="n">
        <x:f>C205+D205</x:f>
        <x:v>0</x:v>
      </x:c>
      <x:c r="F205" s="141" t="n">
        <x:f>IF(E205&gt;0,MIN(E205,INDEX(Financiamento!$G$6:$G$485,A205)),0)</x:f>
        <x:v>0</x:v>
      </x:c>
      <x:c r="G205" s="141" t="n">
        <x:f>IF(E205&gt;0,E205*Premissas!$B$15,0)</x:f>
        <x:v>0</x:v>
      </x:c>
      <x:c r="H205" s="141" t="n">
        <x:f>IF(E205&gt;0,Premissas!$B$18,0)</x:f>
        <x:v>0</x:v>
      </x:c>
      <x:c r="I205" s="141" t="n">
        <x:f>F205+G205+H205</x:f>
        <x:v>0</x:v>
      </x:c>
      <x:c r="J205" s="141" t="n">
        <x:f>IF(E205-F205&gt;0,MIN(E205-F205,P205),0)</x:f>
        <x:v>0</x:v>
      </x:c>
      <x:c r="K205" s="141" t="n">
        <x:f>I205+J205</x:f>
        <x:v>0</x:v>
      </x:c>
      <x:c r="L205" s="141" t="n">
        <x:f>MAX(0,E205-F205-J205)</x:f>
        <x:v>0</x:v>
      </x:c>
      <x:c r="M205" s="141" t="n">
        <x:f>SUM($K$6:K205)</x:f>
        <x:v>185795.9624076597</x:v>
      </x:c>
      <x:c r="N205" s="140" t="str">
        <x:f>IF(C205=0,"Encerrado",IF(L205=0,"Quitado","Aberto"))</x:f>
        <x:v>Encerrado</x:v>
      </x:c>
      <x:c r="O205" s="141" t="n">
        <x:f>IF(C205&gt;0,Premissas!$B$35,0)</x:f>
        <x:v>0</x:v>
      </x:c>
      <x:c r="P205" s="141" t="n">
        <x:f>IF(C205&gt;0,MAX(0,O205-I205),0)</x:f>
        <x:v>0</x:v>
      </x:c>
      <x:c r="Q205" s="141" t="n">
        <x:f>J205-IF(E205-F205&gt;0,MIN(E205-F205,P205),0)</x:f>
        <x:v>0</x:v>
      </x:c>
    </x:row>
    <x:row r="206">
      <x:c r="A206" s="142" t="n">
        <x:v>201</x:v>
      </x:c>
      <x:c r="B206" s="179" t="n">
        <x:f>EDATE(Premissas!$B$4,200)</x:f>
        <x:v>52628</x:v>
      </x:c>
      <x:c r="C206" s="141" t="n">
        <x:f>L205</x:f>
        <x:v>0</x:v>
      </x:c>
      <x:c r="D206" s="141" t="n">
        <x:f>IF(C206&gt;0,C206*Premissas!$B$17,0)</x:f>
        <x:v>0</x:v>
      </x:c>
      <x:c r="E206" s="141" t="n">
        <x:f>C206+D206</x:f>
        <x:v>0</x:v>
      </x:c>
      <x:c r="F206" s="141" t="n">
        <x:f>IF(E206&gt;0,MIN(E206,INDEX(Financiamento!$G$6:$G$485,A206)),0)</x:f>
        <x:v>0</x:v>
      </x:c>
      <x:c r="G206" s="141" t="n">
        <x:f>IF(E206&gt;0,E206*Premissas!$B$15,0)</x:f>
        <x:v>0</x:v>
      </x:c>
      <x:c r="H206" s="141" t="n">
        <x:f>IF(E206&gt;0,Premissas!$B$18,0)</x:f>
        <x:v>0</x:v>
      </x:c>
      <x:c r="I206" s="141" t="n">
        <x:f>F206+G206+H206</x:f>
        <x:v>0</x:v>
      </x:c>
      <x:c r="J206" s="141" t="n">
        <x:f>IF(E206-F206&gt;0,MIN(E206-F206,P206),0)</x:f>
        <x:v>0</x:v>
      </x:c>
      <x:c r="K206" s="141" t="n">
        <x:f>I206+J206</x:f>
        <x:v>0</x:v>
      </x:c>
      <x:c r="L206" s="141" t="n">
        <x:f>MAX(0,E206-F206-J206)</x:f>
        <x:v>0</x:v>
      </x:c>
      <x:c r="M206" s="141" t="n">
        <x:f>SUM($K$6:K206)</x:f>
        <x:v>185795.9624076597</x:v>
      </x:c>
      <x:c r="N206" s="140" t="str">
        <x:f>IF(C206=0,"Encerrado",IF(L206=0,"Quitado","Aberto"))</x:f>
        <x:v>Encerrado</x:v>
      </x:c>
      <x:c r="O206" s="141" t="n">
        <x:f>IF(C206&gt;0,Premissas!$B$35,0)</x:f>
        <x:v>0</x:v>
      </x:c>
      <x:c r="P206" s="141" t="n">
        <x:f>IF(C206&gt;0,MAX(0,O206-I206),0)</x:f>
        <x:v>0</x:v>
      </x:c>
      <x:c r="Q206" s="141" t="n">
        <x:f>J206-IF(E206-F206&gt;0,MIN(E206-F206,P206),0)</x:f>
        <x:v>0</x:v>
      </x:c>
    </x:row>
    <x:row r="207">
      <x:c r="A207" s="142" t="n">
        <x:v>202</x:v>
      </x:c>
      <x:c r="B207" s="179" t="n">
        <x:f>EDATE(Premissas!$B$4,201)</x:f>
        <x:v>52657</x:v>
      </x:c>
      <x:c r="C207" s="141" t="n">
        <x:f>L206</x:f>
        <x:v>0</x:v>
      </x:c>
      <x:c r="D207" s="141" t="n">
        <x:f>IF(C207&gt;0,C207*Premissas!$B$17,0)</x:f>
        <x:v>0</x:v>
      </x:c>
      <x:c r="E207" s="141" t="n">
        <x:f>C207+D207</x:f>
        <x:v>0</x:v>
      </x:c>
      <x:c r="F207" s="141" t="n">
        <x:f>IF(E207&gt;0,MIN(E207,INDEX(Financiamento!$G$6:$G$485,A207)),0)</x:f>
        <x:v>0</x:v>
      </x:c>
      <x:c r="G207" s="141" t="n">
        <x:f>IF(E207&gt;0,E207*Premissas!$B$15,0)</x:f>
        <x:v>0</x:v>
      </x:c>
      <x:c r="H207" s="141" t="n">
        <x:f>IF(E207&gt;0,Premissas!$B$18,0)</x:f>
        <x:v>0</x:v>
      </x:c>
      <x:c r="I207" s="141" t="n">
        <x:f>F207+G207+H207</x:f>
        <x:v>0</x:v>
      </x:c>
      <x:c r="J207" s="141" t="n">
        <x:f>IF(E207-F207&gt;0,MIN(E207-F207,P207),0)</x:f>
        <x:v>0</x:v>
      </x:c>
      <x:c r="K207" s="141" t="n">
        <x:f>I207+J207</x:f>
        <x:v>0</x:v>
      </x:c>
      <x:c r="L207" s="141" t="n">
        <x:f>MAX(0,E207-F207-J207)</x:f>
        <x:v>0</x:v>
      </x:c>
      <x:c r="M207" s="141" t="n">
        <x:f>SUM($K$6:K207)</x:f>
        <x:v>185795.9624076597</x:v>
      </x:c>
      <x:c r="N207" s="140" t="str">
        <x:f>IF(C207=0,"Encerrado",IF(L207=0,"Quitado","Aberto"))</x:f>
        <x:v>Encerrado</x:v>
      </x:c>
      <x:c r="O207" s="141" t="n">
        <x:f>IF(C207&gt;0,Premissas!$B$35,0)</x:f>
        <x:v>0</x:v>
      </x:c>
      <x:c r="P207" s="141" t="n">
        <x:f>IF(C207&gt;0,MAX(0,O207-I207),0)</x:f>
        <x:v>0</x:v>
      </x:c>
      <x:c r="Q207" s="141" t="n">
        <x:f>J207-IF(E207-F207&gt;0,MIN(E207-F207,P207),0)</x:f>
        <x:v>0</x:v>
      </x:c>
    </x:row>
    <x:row r="208">
      <x:c r="A208" s="142" t="n">
        <x:v>203</x:v>
      </x:c>
      <x:c r="B208" s="179" t="n">
        <x:f>EDATE(Premissas!$B$4,202)</x:f>
        <x:v>52688</x:v>
      </x:c>
      <x:c r="C208" s="141" t="n">
        <x:f>L207</x:f>
        <x:v>0</x:v>
      </x:c>
      <x:c r="D208" s="141" t="n">
        <x:f>IF(C208&gt;0,C208*Premissas!$B$17,0)</x:f>
        <x:v>0</x:v>
      </x:c>
      <x:c r="E208" s="141" t="n">
        <x:f>C208+D208</x:f>
        <x:v>0</x:v>
      </x:c>
      <x:c r="F208" s="141" t="n">
        <x:f>IF(E208&gt;0,MIN(E208,INDEX(Financiamento!$G$6:$G$485,A208)),0)</x:f>
        <x:v>0</x:v>
      </x:c>
      <x:c r="G208" s="141" t="n">
        <x:f>IF(E208&gt;0,E208*Premissas!$B$15,0)</x:f>
        <x:v>0</x:v>
      </x:c>
      <x:c r="H208" s="141" t="n">
        <x:f>IF(E208&gt;0,Premissas!$B$18,0)</x:f>
        <x:v>0</x:v>
      </x:c>
      <x:c r="I208" s="141" t="n">
        <x:f>F208+G208+H208</x:f>
        <x:v>0</x:v>
      </x:c>
      <x:c r="J208" s="141" t="n">
        <x:f>IF(E208-F208&gt;0,MIN(E208-F208,P208),0)</x:f>
        <x:v>0</x:v>
      </x:c>
      <x:c r="K208" s="141" t="n">
        <x:f>I208+J208</x:f>
        <x:v>0</x:v>
      </x:c>
      <x:c r="L208" s="141" t="n">
        <x:f>MAX(0,E208-F208-J208)</x:f>
        <x:v>0</x:v>
      </x:c>
      <x:c r="M208" s="141" t="n">
        <x:f>SUM($K$6:K208)</x:f>
        <x:v>185795.9624076597</x:v>
      </x:c>
      <x:c r="N208" s="140" t="str">
        <x:f>IF(C208=0,"Encerrado",IF(L208=0,"Quitado","Aberto"))</x:f>
        <x:v>Encerrado</x:v>
      </x:c>
      <x:c r="O208" s="141" t="n">
        <x:f>IF(C208&gt;0,Premissas!$B$35,0)</x:f>
        <x:v>0</x:v>
      </x:c>
      <x:c r="P208" s="141" t="n">
        <x:f>IF(C208&gt;0,MAX(0,O208-I208),0)</x:f>
        <x:v>0</x:v>
      </x:c>
      <x:c r="Q208" s="141" t="n">
        <x:f>J208-IF(E208-F208&gt;0,MIN(E208-F208,P208),0)</x:f>
        <x:v>0</x:v>
      </x:c>
    </x:row>
    <x:row r="209">
      <x:c r="A209" s="142" t="n">
        <x:v>204</x:v>
      </x:c>
      <x:c r="B209" s="179" t="n">
        <x:f>EDATE(Premissas!$B$4,203)</x:f>
        <x:v>52718</x:v>
      </x:c>
      <x:c r="C209" s="141" t="n">
        <x:f>L208</x:f>
        <x:v>0</x:v>
      </x:c>
      <x:c r="D209" s="141" t="n">
        <x:f>IF(C209&gt;0,C209*Premissas!$B$17,0)</x:f>
        <x:v>0</x:v>
      </x:c>
      <x:c r="E209" s="141" t="n">
        <x:f>C209+D209</x:f>
        <x:v>0</x:v>
      </x:c>
      <x:c r="F209" s="141" t="n">
        <x:f>IF(E209&gt;0,MIN(E209,INDEX(Financiamento!$G$6:$G$485,A209)),0)</x:f>
        <x:v>0</x:v>
      </x:c>
      <x:c r="G209" s="141" t="n">
        <x:f>IF(E209&gt;0,E209*Premissas!$B$15,0)</x:f>
        <x:v>0</x:v>
      </x:c>
      <x:c r="H209" s="141" t="n">
        <x:f>IF(E209&gt;0,Premissas!$B$18,0)</x:f>
        <x:v>0</x:v>
      </x:c>
      <x:c r="I209" s="141" t="n">
        <x:f>F209+G209+H209</x:f>
        <x:v>0</x:v>
      </x:c>
      <x:c r="J209" s="141" t="n">
        <x:f>IF(E209-F209&gt;0,MIN(E209-F209,P209),0)</x:f>
        <x:v>0</x:v>
      </x:c>
      <x:c r="K209" s="141" t="n">
        <x:f>I209+J209</x:f>
        <x:v>0</x:v>
      </x:c>
      <x:c r="L209" s="141" t="n">
        <x:f>MAX(0,E209-F209-J209)</x:f>
        <x:v>0</x:v>
      </x:c>
      <x:c r="M209" s="141" t="n">
        <x:f>SUM($K$6:K209)</x:f>
        <x:v>185795.9624076597</x:v>
      </x:c>
      <x:c r="N209" s="140" t="str">
        <x:f>IF(C209=0,"Encerrado",IF(L209=0,"Quitado","Aberto"))</x:f>
        <x:v>Encerrado</x:v>
      </x:c>
      <x:c r="O209" s="141" t="n">
        <x:f>IF(C209&gt;0,Premissas!$B$35,0)</x:f>
        <x:v>0</x:v>
      </x:c>
      <x:c r="P209" s="141" t="n">
        <x:f>IF(C209&gt;0,MAX(0,O209-I209),0)</x:f>
        <x:v>0</x:v>
      </x:c>
      <x:c r="Q209" s="141" t="n">
        <x:f>J209-IF(E209-F209&gt;0,MIN(E209-F209,P209),0)</x:f>
        <x:v>0</x:v>
      </x:c>
    </x:row>
    <x:row r="210">
      <x:c r="A210" s="142" t="n">
        <x:v>205</x:v>
      </x:c>
      <x:c r="B210" s="179" t="n">
        <x:f>EDATE(Premissas!$B$4,204)</x:f>
        <x:v>52749</x:v>
      </x:c>
      <x:c r="C210" s="141" t="n">
        <x:f>L209</x:f>
        <x:v>0</x:v>
      </x:c>
      <x:c r="D210" s="141" t="n">
        <x:f>IF(C210&gt;0,C210*Premissas!$B$17,0)</x:f>
        <x:v>0</x:v>
      </x:c>
      <x:c r="E210" s="141" t="n">
        <x:f>C210+D210</x:f>
        <x:v>0</x:v>
      </x:c>
      <x:c r="F210" s="141" t="n">
        <x:f>IF(E210&gt;0,MIN(E210,INDEX(Financiamento!$G$6:$G$485,A210)),0)</x:f>
        <x:v>0</x:v>
      </x:c>
      <x:c r="G210" s="141" t="n">
        <x:f>IF(E210&gt;0,E210*Premissas!$B$15,0)</x:f>
        <x:v>0</x:v>
      </x:c>
      <x:c r="H210" s="141" t="n">
        <x:f>IF(E210&gt;0,Premissas!$B$18,0)</x:f>
        <x:v>0</x:v>
      </x:c>
      <x:c r="I210" s="141" t="n">
        <x:f>F210+G210+H210</x:f>
        <x:v>0</x:v>
      </x:c>
      <x:c r="J210" s="141" t="n">
        <x:f>IF(E210-F210&gt;0,MIN(E210-F210,P210),0)</x:f>
        <x:v>0</x:v>
      </x:c>
      <x:c r="K210" s="141" t="n">
        <x:f>I210+J210</x:f>
        <x:v>0</x:v>
      </x:c>
      <x:c r="L210" s="141" t="n">
        <x:f>MAX(0,E210-F210-J210)</x:f>
        <x:v>0</x:v>
      </x:c>
      <x:c r="M210" s="141" t="n">
        <x:f>SUM($K$6:K210)</x:f>
        <x:v>185795.9624076597</x:v>
      </x:c>
      <x:c r="N210" s="140" t="str">
        <x:f>IF(C210=0,"Encerrado",IF(L210=0,"Quitado","Aberto"))</x:f>
        <x:v>Encerrado</x:v>
      </x:c>
      <x:c r="O210" s="141" t="n">
        <x:f>IF(C210&gt;0,Premissas!$B$35,0)</x:f>
        <x:v>0</x:v>
      </x:c>
      <x:c r="P210" s="141" t="n">
        <x:f>IF(C210&gt;0,MAX(0,O210-I210),0)</x:f>
        <x:v>0</x:v>
      </x:c>
      <x:c r="Q210" s="141" t="n">
        <x:f>J210-IF(E210-F210&gt;0,MIN(E210-F210,P210),0)</x:f>
        <x:v>0</x:v>
      </x:c>
    </x:row>
    <x:row r="211">
      <x:c r="A211" s="142" t="n">
        <x:v>206</x:v>
      </x:c>
      <x:c r="B211" s="179" t="n">
        <x:f>EDATE(Premissas!$B$4,205)</x:f>
        <x:v>52779</x:v>
      </x:c>
      <x:c r="C211" s="141" t="n">
        <x:f>L210</x:f>
        <x:v>0</x:v>
      </x:c>
      <x:c r="D211" s="141" t="n">
        <x:f>IF(C211&gt;0,C211*Premissas!$B$17,0)</x:f>
        <x:v>0</x:v>
      </x:c>
      <x:c r="E211" s="141" t="n">
        <x:f>C211+D211</x:f>
        <x:v>0</x:v>
      </x:c>
      <x:c r="F211" s="141" t="n">
        <x:f>IF(E211&gt;0,MIN(E211,INDEX(Financiamento!$G$6:$G$485,A211)),0)</x:f>
        <x:v>0</x:v>
      </x:c>
      <x:c r="G211" s="141" t="n">
        <x:f>IF(E211&gt;0,E211*Premissas!$B$15,0)</x:f>
        <x:v>0</x:v>
      </x:c>
      <x:c r="H211" s="141" t="n">
        <x:f>IF(E211&gt;0,Premissas!$B$18,0)</x:f>
        <x:v>0</x:v>
      </x:c>
      <x:c r="I211" s="141" t="n">
        <x:f>F211+G211+H211</x:f>
        <x:v>0</x:v>
      </x:c>
      <x:c r="J211" s="141" t="n">
        <x:f>IF(E211-F211&gt;0,MIN(E211-F211,P211),0)</x:f>
        <x:v>0</x:v>
      </x:c>
      <x:c r="K211" s="141" t="n">
        <x:f>I211+J211</x:f>
        <x:v>0</x:v>
      </x:c>
      <x:c r="L211" s="141" t="n">
        <x:f>MAX(0,E211-F211-J211)</x:f>
        <x:v>0</x:v>
      </x:c>
      <x:c r="M211" s="141" t="n">
        <x:f>SUM($K$6:K211)</x:f>
        <x:v>185795.9624076597</x:v>
      </x:c>
      <x:c r="N211" s="140" t="str">
        <x:f>IF(C211=0,"Encerrado",IF(L211=0,"Quitado","Aberto"))</x:f>
        <x:v>Encerrado</x:v>
      </x:c>
      <x:c r="O211" s="141" t="n">
        <x:f>IF(C211&gt;0,Premissas!$B$35,0)</x:f>
        <x:v>0</x:v>
      </x:c>
      <x:c r="P211" s="141" t="n">
        <x:f>IF(C211&gt;0,MAX(0,O211-I211),0)</x:f>
        <x:v>0</x:v>
      </x:c>
      <x:c r="Q211" s="141" t="n">
        <x:f>J211-IF(E211-F211&gt;0,MIN(E211-F211,P211),0)</x:f>
        <x:v>0</x:v>
      </x:c>
    </x:row>
    <x:row r="212">
      <x:c r="A212" s="142" t="n">
        <x:v>207</x:v>
      </x:c>
      <x:c r="B212" s="179" t="n">
        <x:f>EDATE(Premissas!$B$4,206)</x:f>
        <x:v>52810</x:v>
      </x:c>
      <x:c r="C212" s="141" t="n">
        <x:f>L211</x:f>
        <x:v>0</x:v>
      </x:c>
      <x:c r="D212" s="141" t="n">
        <x:f>IF(C212&gt;0,C212*Premissas!$B$17,0)</x:f>
        <x:v>0</x:v>
      </x:c>
      <x:c r="E212" s="141" t="n">
        <x:f>C212+D212</x:f>
        <x:v>0</x:v>
      </x:c>
      <x:c r="F212" s="141" t="n">
        <x:f>IF(E212&gt;0,MIN(E212,INDEX(Financiamento!$G$6:$G$485,A212)),0)</x:f>
        <x:v>0</x:v>
      </x:c>
      <x:c r="G212" s="141" t="n">
        <x:f>IF(E212&gt;0,E212*Premissas!$B$15,0)</x:f>
        <x:v>0</x:v>
      </x:c>
      <x:c r="H212" s="141" t="n">
        <x:f>IF(E212&gt;0,Premissas!$B$18,0)</x:f>
        <x:v>0</x:v>
      </x:c>
      <x:c r="I212" s="141" t="n">
        <x:f>F212+G212+H212</x:f>
        <x:v>0</x:v>
      </x:c>
      <x:c r="J212" s="141" t="n">
        <x:f>IF(E212-F212&gt;0,MIN(E212-F212,P212),0)</x:f>
        <x:v>0</x:v>
      </x:c>
      <x:c r="K212" s="141" t="n">
        <x:f>I212+J212</x:f>
        <x:v>0</x:v>
      </x:c>
      <x:c r="L212" s="141" t="n">
        <x:f>MAX(0,E212-F212-J212)</x:f>
        <x:v>0</x:v>
      </x:c>
      <x:c r="M212" s="141" t="n">
        <x:f>SUM($K$6:K212)</x:f>
        <x:v>185795.9624076597</x:v>
      </x:c>
      <x:c r="N212" s="140" t="str">
        <x:f>IF(C212=0,"Encerrado",IF(L212=0,"Quitado","Aberto"))</x:f>
        <x:v>Encerrado</x:v>
      </x:c>
      <x:c r="O212" s="141" t="n">
        <x:f>IF(C212&gt;0,Premissas!$B$35,0)</x:f>
        <x:v>0</x:v>
      </x:c>
      <x:c r="P212" s="141" t="n">
        <x:f>IF(C212&gt;0,MAX(0,O212-I212),0)</x:f>
        <x:v>0</x:v>
      </x:c>
      <x:c r="Q212" s="141" t="n">
        <x:f>J212-IF(E212-F212&gt;0,MIN(E212-F212,P212),0)</x:f>
        <x:v>0</x:v>
      </x:c>
    </x:row>
    <x:row r="213">
      <x:c r="A213" s="142" t="n">
        <x:v>208</x:v>
      </x:c>
      <x:c r="B213" s="179" t="n">
        <x:f>EDATE(Premissas!$B$4,207)</x:f>
        <x:v>52841</x:v>
      </x:c>
      <x:c r="C213" s="141" t="n">
        <x:f>L212</x:f>
        <x:v>0</x:v>
      </x:c>
      <x:c r="D213" s="141" t="n">
        <x:f>IF(C213&gt;0,C213*Premissas!$B$17,0)</x:f>
        <x:v>0</x:v>
      </x:c>
      <x:c r="E213" s="141" t="n">
        <x:f>C213+D213</x:f>
        <x:v>0</x:v>
      </x:c>
      <x:c r="F213" s="141" t="n">
        <x:f>IF(E213&gt;0,MIN(E213,INDEX(Financiamento!$G$6:$G$485,A213)),0)</x:f>
        <x:v>0</x:v>
      </x:c>
      <x:c r="G213" s="141" t="n">
        <x:f>IF(E213&gt;0,E213*Premissas!$B$15,0)</x:f>
        <x:v>0</x:v>
      </x:c>
      <x:c r="H213" s="141" t="n">
        <x:f>IF(E213&gt;0,Premissas!$B$18,0)</x:f>
        <x:v>0</x:v>
      </x:c>
      <x:c r="I213" s="141" t="n">
        <x:f>F213+G213+H213</x:f>
        <x:v>0</x:v>
      </x:c>
      <x:c r="J213" s="141" t="n">
        <x:f>IF(E213-F213&gt;0,MIN(E213-F213,P213),0)</x:f>
        <x:v>0</x:v>
      </x:c>
      <x:c r="K213" s="141" t="n">
        <x:f>I213+J213</x:f>
        <x:v>0</x:v>
      </x:c>
      <x:c r="L213" s="141" t="n">
        <x:f>MAX(0,E213-F213-J213)</x:f>
        <x:v>0</x:v>
      </x:c>
      <x:c r="M213" s="141" t="n">
        <x:f>SUM($K$6:K213)</x:f>
        <x:v>185795.9624076597</x:v>
      </x:c>
      <x:c r="N213" s="140" t="str">
        <x:f>IF(C213=0,"Encerrado",IF(L213=0,"Quitado","Aberto"))</x:f>
        <x:v>Encerrado</x:v>
      </x:c>
      <x:c r="O213" s="141" t="n">
        <x:f>IF(C213&gt;0,Premissas!$B$35,0)</x:f>
        <x:v>0</x:v>
      </x:c>
      <x:c r="P213" s="141" t="n">
        <x:f>IF(C213&gt;0,MAX(0,O213-I213),0)</x:f>
        <x:v>0</x:v>
      </x:c>
      <x:c r="Q213" s="141" t="n">
        <x:f>J213-IF(E213-F213&gt;0,MIN(E213-F213,P213),0)</x:f>
        <x:v>0</x:v>
      </x:c>
    </x:row>
    <x:row r="214">
      <x:c r="A214" s="142" t="n">
        <x:v>209</x:v>
      </x:c>
      <x:c r="B214" s="179" t="n">
        <x:f>EDATE(Premissas!$B$4,208)</x:f>
        <x:v>52871</x:v>
      </x:c>
      <x:c r="C214" s="141" t="n">
        <x:f>L213</x:f>
        <x:v>0</x:v>
      </x:c>
      <x:c r="D214" s="141" t="n">
        <x:f>IF(C214&gt;0,C214*Premissas!$B$17,0)</x:f>
        <x:v>0</x:v>
      </x:c>
      <x:c r="E214" s="141" t="n">
        <x:f>C214+D214</x:f>
        <x:v>0</x:v>
      </x:c>
      <x:c r="F214" s="141" t="n">
        <x:f>IF(E214&gt;0,MIN(E214,INDEX(Financiamento!$G$6:$G$485,A214)),0)</x:f>
        <x:v>0</x:v>
      </x:c>
      <x:c r="G214" s="141" t="n">
        <x:f>IF(E214&gt;0,E214*Premissas!$B$15,0)</x:f>
        <x:v>0</x:v>
      </x:c>
      <x:c r="H214" s="141" t="n">
        <x:f>IF(E214&gt;0,Premissas!$B$18,0)</x:f>
        <x:v>0</x:v>
      </x:c>
      <x:c r="I214" s="141" t="n">
        <x:f>F214+G214+H214</x:f>
        <x:v>0</x:v>
      </x:c>
      <x:c r="J214" s="141" t="n">
        <x:f>IF(E214-F214&gt;0,MIN(E214-F214,P214),0)</x:f>
        <x:v>0</x:v>
      </x:c>
      <x:c r="K214" s="141" t="n">
        <x:f>I214+J214</x:f>
        <x:v>0</x:v>
      </x:c>
      <x:c r="L214" s="141" t="n">
        <x:f>MAX(0,E214-F214-J214)</x:f>
        <x:v>0</x:v>
      </x:c>
      <x:c r="M214" s="141" t="n">
        <x:f>SUM($K$6:K214)</x:f>
        <x:v>185795.9624076597</x:v>
      </x:c>
      <x:c r="N214" s="140" t="str">
        <x:f>IF(C214=0,"Encerrado",IF(L214=0,"Quitado","Aberto"))</x:f>
        <x:v>Encerrado</x:v>
      </x:c>
      <x:c r="O214" s="141" t="n">
        <x:f>IF(C214&gt;0,Premissas!$B$35,0)</x:f>
        <x:v>0</x:v>
      </x:c>
      <x:c r="P214" s="141" t="n">
        <x:f>IF(C214&gt;0,MAX(0,O214-I214),0)</x:f>
        <x:v>0</x:v>
      </x:c>
      <x:c r="Q214" s="141" t="n">
        <x:f>J214-IF(E214-F214&gt;0,MIN(E214-F214,P214),0)</x:f>
        <x:v>0</x:v>
      </x:c>
    </x:row>
    <x:row r="215">
      <x:c r="A215" s="142" t="n">
        <x:v>210</x:v>
      </x:c>
      <x:c r="B215" s="179" t="n">
        <x:f>EDATE(Premissas!$B$4,209)</x:f>
        <x:v>52902</x:v>
      </x:c>
      <x:c r="C215" s="141" t="n">
        <x:f>L214</x:f>
        <x:v>0</x:v>
      </x:c>
      <x:c r="D215" s="141" t="n">
        <x:f>IF(C215&gt;0,C215*Premissas!$B$17,0)</x:f>
        <x:v>0</x:v>
      </x:c>
      <x:c r="E215" s="141" t="n">
        <x:f>C215+D215</x:f>
        <x:v>0</x:v>
      </x:c>
      <x:c r="F215" s="141" t="n">
        <x:f>IF(E215&gt;0,MIN(E215,INDEX(Financiamento!$G$6:$G$485,A215)),0)</x:f>
        <x:v>0</x:v>
      </x:c>
      <x:c r="G215" s="141" t="n">
        <x:f>IF(E215&gt;0,E215*Premissas!$B$15,0)</x:f>
        <x:v>0</x:v>
      </x:c>
      <x:c r="H215" s="141" t="n">
        <x:f>IF(E215&gt;0,Premissas!$B$18,0)</x:f>
        <x:v>0</x:v>
      </x:c>
      <x:c r="I215" s="141" t="n">
        <x:f>F215+G215+H215</x:f>
        <x:v>0</x:v>
      </x:c>
      <x:c r="J215" s="141" t="n">
        <x:f>IF(E215-F215&gt;0,MIN(E215-F215,P215),0)</x:f>
        <x:v>0</x:v>
      </x:c>
      <x:c r="K215" s="141" t="n">
        <x:f>I215+J215</x:f>
        <x:v>0</x:v>
      </x:c>
      <x:c r="L215" s="141" t="n">
        <x:f>MAX(0,E215-F215-J215)</x:f>
        <x:v>0</x:v>
      </x:c>
      <x:c r="M215" s="141" t="n">
        <x:f>SUM($K$6:K215)</x:f>
        <x:v>185795.9624076597</x:v>
      </x:c>
      <x:c r="N215" s="140" t="str">
        <x:f>IF(C215=0,"Encerrado",IF(L215=0,"Quitado","Aberto"))</x:f>
        <x:v>Encerrado</x:v>
      </x:c>
      <x:c r="O215" s="141" t="n">
        <x:f>IF(C215&gt;0,Premissas!$B$35,0)</x:f>
        <x:v>0</x:v>
      </x:c>
      <x:c r="P215" s="141" t="n">
        <x:f>IF(C215&gt;0,MAX(0,O215-I215),0)</x:f>
        <x:v>0</x:v>
      </x:c>
      <x:c r="Q215" s="141" t="n">
        <x:f>J215-IF(E215-F215&gt;0,MIN(E215-F215,P215),0)</x:f>
        <x:v>0</x:v>
      </x:c>
    </x:row>
    <x:row r="216">
      <x:c r="A216" s="142" t="n">
        <x:v>211</x:v>
      </x:c>
      <x:c r="B216" s="179" t="n">
        <x:f>EDATE(Premissas!$B$4,210)</x:f>
        <x:v>52932</x:v>
      </x:c>
      <x:c r="C216" s="141" t="n">
        <x:f>L215</x:f>
        <x:v>0</x:v>
      </x:c>
      <x:c r="D216" s="141" t="n">
        <x:f>IF(C216&gt;0,C216*Premissas!$B$17,0)</x:f>
        <x:v>0</x:v>
      </x:c>
      <x:c r="E216" s="141" t="n">
        <x:f>C216+D216</x:f>
        <x:v>0</x:v>
      </x:c>
      <x:c r="F216" s="141" t="n">
        <x:f>IF(E216&gt;0,MIN(E216,INDEX(Financiamento!$G$6:$G$485,A216)),0)</x:f>
        <x:v>0</x:v>
      </x:c>
      <x:c r="G216" s="141" t="n">
        <x:f>IF(E216&gt;0,E216*Premissas!$B$15,0)</x:f>
        <x:v>0</x:v>
      </x:c>
      <x:c r="H216" s="141" t="n">
        <x:f>IF(E216&gt;0,Premissas!$B$18,0)</x:f>
        <x:v>0</x:v>
      </x:c>
      <x:c r="I216" s="141" t="n">
        <x:f>F216+G216+H216</x:f>
        <x:v>0</x:v>
      </x:c>
      <x:c r="J216" s="141" t="n">
        <x:f>IF(E216-F216&gt;0,MIN(E216-F216,P216),0)</x:f>
        <x:v>0</x:v>
      </x:c>
      <x:c r="K216" s="141" t="n">
        <x:f>I216+J216</x:f>
        <x:v>0</x:v>
      </x:c>
      <x:c r="L216" s="141" t="n">
        <x:f>MAX(0,E216-F216-J216)</x:f>
        <x:v>0</x:v>
      </x:c>
      <x:c r="M216" s="141" t="n">
        <x:f>SUM($K$6:K216)</x:f>
        <x:v>185795.9624076597</x:v>
      </x:c>
      <x:c r="N216" s="140" t="str">
        <x:f>IF(C216=0,"Encerrado",IF(L216=0,"Quitado","Aberto"))</x:f>
        <x:v>Encerrado</x:v>
      </x:c>
      <x:c r="O216" s="141" t="n">
        <x:f>IF(C216&gt;0,Premissas!$B$35,0)</x:f>
        <x:v>0</x:v>
      </x:c>
      <x:c r="P216" s="141" t="n">
        <x:f>IF(C216&gt;0,MAX(0,O216-I216),0)</x:f>
        <x:v>0</x:v>
      </x:c>
      <x:c r="Q216" s="141" t="n">
        <x:f>J216-IF(E216-F216&gt;0,MIN(E216-F216,P216),0)</x:f>
        <x:v>0</x:v>
      </x:c>
    </x:row>
    <x:row r="217">
      <x:c r="A217" s="142" t="n">
        <x:v>212</x:v>
      </x:c>
      <x:c r="B217" s="179" t="n">
        <x:f>EDATE(Premissas!$B$4,211)</x:f>
        <x:v>52963</x:v>
      </x:c>
      <x:c r="C217" s="141" t="n">
        <x:f>L216</x:f>
        <x:v>0</x:v>
      </x:c>
      <x:c r="D217" s="141" t="n">
        <x:f>IF(C217&gt;0,C217*Premissas!$B$17,0)</x:f>
        <x:v>0</x:v>
      </x:c>
      <x:c r="E217" s="141" t="n">
        <x:f>C217+D217</x:f>
        <x:v>0</x:v>
      </x:c>
      <x:c r="F217" s="141" t="n">
        <x:f>IF(E217&gt;0,MIN(E217,INDEX(Financiamento!$G$6:$G$485,A217)),0)</x:f>
        <x:v>0</x:v>
      </x:c>
      <x:c r="G217" s="141" t="n">
        <x:f>IF(E217&gt;0,E217*Premissas!$B$15,0)</x:f>
        <x:v>0</x:v>
      </x:c>
      <x:c r="H217" s="141" t="n">
        <x:f>IF(E217&gt;0,Premissas!$B$18,0)</x:f>
        <x:v>0</x:v>
      </x:c>
      <x:c r="I217" s="141" t="n">
        <x:f>F217+G217+H217</x:f>
        <x:v>0</x:v>
      </x:c>
      <x:c r="J217" s="141" t="n">
        <x:f>IF(E217-F217&gt;0,MIN(E217-F217,P217),0)</x:f>
        <x:v>0</x:v>
      </x:c>
      <x:c r="K217" s="141" t="n">
        <x:f>I217+J217</x:f>
        <x:v>0</x:v>
      </x:c>
      <x:c r="L217" s="141" t="n">
        <x:f>MAX(0,E217-F217-J217)</x:f>
        <x:v>0</x:v>
      </x:c>
      <x:c r="M217" s="141" t="n">
        <x:f>SUM($K$6:K217)</x:f>
        <x:v>185795.9624076597</x:v>
      </x:c>
      <x:c r="N217" s="140" t="str">
        <x:f>IF(C217=0,"Encerrado",IF(L217=0,"Quitado","Aberto"))</x:f>
        <x:v>Encerrado</x:v>
      </x:c>
      <x:c r="O217" s="141" t="n">
        <x:f>IF(C217&gt;0,Premissas!$B$35,0)</x:f>
        <x:v>0</x:v>
      </x:c>
      <x:c r="P217" s="141" t="n">
        <x:f>IF(C217&gt;0,MAX(0,O217-I217),0)</x:f>
        <x:v>0</x:v>
      </x:c>
      <x:c r="Q217" s="141" t="n">
        <x:f>J217-IF(E217-F217&gt;0,MIN(E217-F217,P217),0)</x:f>
        <x:v>0</x:v>
      </x:c>
    </x:row>
    <x:row r="218">
      <x:c r="A218" s="142" t="n">
        <x:v>213</x:v>
      </x:c>
      <x:c r="B218" s="179" t="n">
        <x:f>EDATE(Premissas!$B$4,212)</x:f>
        <x:v>52994</x:v>
      </x:c>
      <x:c r="C218" s="141" t="n">
        <x:f>L217</x:f>
        <x:v>0</x:v>
      </x:c>
      <x:c r="D218" s="141" t="n">
        <x:f>IF(C218&gt;0,C218*Premissas!$B$17,0)</x:f>
        <x:v>0</x:v>
      </x:c>
      <x:c r="E218" s="141" t="n">
        <x:f>C218+D218</x:f>
        <x:v>0</x:v>
      </x:c>
      <x:c r="F218" s="141" t="n">
        <x:f>IF(E218&gt;0,MIN(E218,INDEX(Financiamento!$G$6:$G$485,A218)),0)</x:f>
        <x:v>0</x:v>
      </x:c>
      <x:c r="G218" s="141" t="n">
        <x:f>IF(E218&gt;0,E218*Premissas!$B$15,0)</x:f>
        <x:v>0</x:v>
      </x:c>
      <x:c r="H218" s="141" t="n">
        <x:f>IF(E218&gt;0,Premissas!$B$18,0)</x:f>
        <x:v>0</x:v>
      </x:c>
      <x:c r="I218" s="141" t="n">
        <x:f>F218+G218+H218</x:f>
        <x:v>0</x:v>
      </x:c>
      <x:c r="J218" s="141" t="n">
        <x:f>IF(E218-F218&gt;0,MIN(E218-F218,P218),0)</x:f>
        <x:v>0</x:v>
      </x:c>
      <x:c r="K218" s="141" t="n">
        <x:f>I218+J218</x:f>
        <x:v>0</x:v>
      </x:c>
      <x:c r="L218" s="141" t="n">
        <x:f>MAX(0,E218-F218-J218)</x:f>
        <x:v>0</x:v>
      </x:c>
      <x:c r="M218" s="141" t="n">
        <x:f>SUM($K$6:K218)</x:f>
        <x:v>185795.9624076597</x:v>
      </x:c>
      <x:c r="N218" s="140" t="str">
        <x:f>IF(C218=0,"Encerrado",IF(L218=0,"Quitado","Aberto"))</x:f>
        <x:v>Encerrado</x:v>
      </x:c>
      <x:c r="O218" s="141" t="n">
        <x:f>IF(C218&gt;0,Premissas!$B$35,0)</x:f>
        <x:v>0</x:v>
      </x:c>
      <x:c r="P218" s="141" t="n">
        <x:f>IF(C218&gt;0,MAX(0,O218-I218),0)</x:f>
        <x:v>0</x:v>
      </x:c>
      <x:c r="Q218" s="141" t="n">
        <x:f>J218-IF(E218-F218&gt;0,MIN(E218-F218,P218),0)</x:f>
        <x:v>0</x:v>
      </x:c>
    </x:row>
    <x:row r="219">
      <x:c r="A219" s="142" t="n">
        <x:v>214</x:v>
      </x:c>
      <x:c r="B219" s="179" t="n">
        <x:f>EDATE(Premissas!$B$4,213)</x:f>
        <x:v>53022</x:v>
      </x:c>
      <x:c r="C219" s="141" t="n">
        <x:f>L218</x:f>
        <x:v>0</x:v>
      </x:c>
      <x:c r="D219" s="141" t="n">
        <x:f>IF(C219&gt;0,C219*Premissas!$B$17,0)</x:f>
        <x:v>0</x:v>
      </x:c>
      <x:c r="E219" s="141" t="n">
        <x:f>C219+D219</x:f>
        <x:v>0</x:v>
      </x:c>
      <x:c r="F219" s="141" t="n">
        <x:f>IF(E219&gt;0,MIN(E219,INDEX(Financiamento!$G$6:$G$485,A219)),0)</x:f>
        <x:v>0</x:v>
      </x:c>
      <x:c r="G219" s="141" t="n">
        <x:f>IF(E219&gt;0,E219*Premissas!$B$15,0)</x:f>
        <x:v>0</x:v>
      </x:c>
      <x:c r="H219" s="141" t="n">
        <x:f>IF(E219&gt;0,Premissas!$B$18,0)</x:f>
        <x:v>0</x:v>
      </x:c>
      <x:c r="I219" s="141" t="n">
        <x:f>F219+G219+H219</x:f>
        <x:v>0</x:v>
      </x:c>
      <x:c r="J219" s="141" t="n">
        <x:f>IF(E219-F219&gt;0,MIN(E219-F219,P219),0)</x:f>
        <x:v>0</x:v>
      </x:c>
      <x:c r="K219" s="141" t="n">
        <x:f>I219+J219</x:f>
        <x:v>0</x:v>
      </x:c>
      <x:c r="L219" s="141" t="n">
        <x:f>MAX(0,E219-F219-J219)</x:f>
        <x:v>0</x:v>
      </x:c>
      <x:c r="M219" s="141" t="n">
        <x:f>SUM($K$6:K219)</x:f>
        <x:v>185795.9624076597</x:v>
      </x:c>
      <x:c r="N219" s="140" t="str">
        <x:f>IF(C219=0,"Encerrado",IF(L219=0,"Quitado","Aberto"))</x:f>
        <x:v>Encerrado</x:v>
      </x:c>
      <x:c r="O219" s="141" t="n">
        <x:f>IF(C219&gt;0,Premissas!$B$35,0)</x:f>
        <x:v>0</x:v>
      </x:c>
      <x:c r="P219" s="141" t="n">
        <x:f>IF(C219&gt;0,MAX(0,O219-I219),0)</x:f>
        <x:v>0</x:v>
      </x:c>
      <x:c r="Q219" s="141" t="n">
        <x:f>J219-IF(E219-F219&gt;0,MIN(E219-F219,P219),0)</x:f>
        <x:v>0</x:v>
      </x:c>
    </x:row>
    <x:row r="220">
      <x:c r="A220" s="142" t="n">
        <x:v>215</x:v>
      </x:c>
      <x:c r="B220" s="179" t="n">
        <x:f>EDATE(Premissas!$B$4,214)</x:f>
        <x:v>53053</x:v>
      </x:c>
      <x:c r="C220" s="141" t="n">
        <x:f>L219</x:f>
        <x:v>0</x:v>
      </x:c>
      <x:c r="D220" s="141" t="n">
        <x:f>IF(C220&gt;0,C220*Premissas!$B$17,0)</x:f>
        <x:v>0</x:v>
      </x:c>
      <x:c r="E220" s="141" t="n">
        <x:f>C220+D220</x:f>
        <x:v>0</x:v>
      </x:c>
      <x:c r="F220" s="141" t="n">
        <x:f>IF(E220&gt;0,MIN(E220,INDEX(Financiamento!$G$6:$G$485,A220)),0)</x:f>
        <x:v>0</x:v>
      </x:c>
      <x:c r="G220" s="141" t="n">
        <x:f>IF(E220&gt;0,E220*Premissas!$B$15,0)</x:f>
        <x:v>0</x:v>
      </x:c>
      <x:c r="H220" s="141" t="n">
        <x:f>IF(E220&gt;0,Premissas!$B$18,0)</x:f>
        <x:v>0</x:v>
      </x:c>
      <x:c r="I220" s="141" t="n">
        <x:f>F220+G220+H220</x:f>
        <x:v>0</x:v>
      </x:c>
      <x:c r="J220" s="141" t="n">
        <x:f>IF(E220-F220&gt;0,MIN(E220-F220,P220),0)</x:f>
        <x:v>0</x:v>
      </x:c>
      <x:c r="K220" s="141" t="n">
        <x:f>I220+J220</x:f>
        <x:v>0</x:v>
      </x:c>
      <x:c r="L220" s="141" t="n">
        <x:f>MAX(0,E220-F220-J220)</x:f>
        <x:v>0</x:v>
      </x:c>
      <x:c r="M220" s="141" t="n">
        <x:f>SUM($K$6:K220)</x:f>
        <x:v>185795.9624076597</x:v>
      </x:c>
      <x:c r="N220" s="140" t="str">
        <x:f>IF(C220=0,"Encerrado",IF(L220=0,"Quitado","Aberto"))</x:f>
        <x:v>Encerrado</x:v>
      </x:c>
      <x:c r="O220" s="141" t="n">
        <x:f>IF(C220&gt;0,Premissas!$B$35,0)</x:f>
        <x:v>0</x:v>
      </x:c>
      <x:c r="P220" s="141" t="n">
        <x:f>IF(C220&gt;0,MAX(0,O220-I220),0)</x:f>
        <x:v>0</x:v>
      </x:c>
      <x:c r="Q220" s="141" t="n">
        <x:f>J220-IF(E220-F220&gt;0,MIN(E220-F220,P220),0)</x:f>
        <x:v>0</x:v>
      </x:c>
    </x:row>
    <x:row r="221">
      <x:c r="A221" s="142" t="n">
        <x:v>216</x:v>
      </x:c>
      <x:c r="B221" s="179" t="n">
        <x:f>EDATE(Premissas!$B$4,215)</x:f>
        <x:v>53083</x:v>
      </x:c>
      <x:c r="C221" s="141" t="n">
        <x:f>L220</x:f>
        <x:v>0</x:v>
      </x:c>
      <x:c r="D221" s="141" t="n">
        <x:f>IF(C221&gt;0,C221*Premissas!$B$17,0)</x:f>
        <x:v>0</x:v>
      </x:c>
      <x:c r="E221" s="141" t="n">
        <x:f>C221+D221</x:f>
        <x:v>0</x:v>
      </x:c>
      <x:c r="F221" s="141" t="n">
        <x:f>IF(E221&gt;0,MIN(E221,INDEX(Financiamento!$G$6:$G$485,A221)),0)</x:f>
        <x:v>0</x:v>
      </x:c>
      <x:c r="G221" s="141" t="n">
        <x:f>IF(E221&gt;0,E221*Premissas!$B$15,0)</x:f>
        <x:v>0</x:v>
      </x:c>
      <x:c r="H221" s="141" t="n">
        <x:f>IF(E221&gt;0,Premissas!$B$18,0)</x:f>
        <x:v>0</x:v>
      </x:c>
      <x:c r="I221" s="141" t="n">
        <x:f>F221+G221+H221</x:f>
        <x:v>0</x:v>
      </x:c>
      <x:c r="J221" s="141" t="n">
        <x:f>IF(E221-F221&gt;0,MIN(E221-F221,P221),0)</x:f>
        <x:v>0</x:v>
      </x:c>
      <x:c r="K221" s="141" t="n">
        <x:f>I221+J221</x:f>
        <x:v>0</x:v>
      </x:c>
      <x:c r="L221" s="141" t="n">
        <x:f>MAX(0,E221-F221-J221)</x:f>
        <x:v>0</x:v>
      </x:c>
      <x:c r="M221" s="141" t="n">
        <x:f>SUM($K$6:K221)</x:f>
        <x:v>185795.9624076597</x:v>
      </x:c>
      <x:c r="N221" s="140" t="str">
        <x:f>IF(C221=0,"Encerrado",IF(L221=0,"Quitado","Aberto"))</x:f>
        <x:v>Encerrado</x:v>
      </x:c>
      <x:c r="O221" s="141" t="n">
        <x:f>IF(C221&gt;0,Premissas!$B$35,0)</x:f>
        <x:v>0</x:v>
      </x:c>
      <x:c r="P221" s="141" t="n">
        <x:f>IF(C221&gt;0,MAX(0,O221-I221),0)</x:f>
        <x:v>0</x:v>
      </x:c>
      <x:c r="Q221" s="141" t="n">
        <x:f>J221-IF(E221-F221&gt;0,MIN(E221-F221,P221),0)</x:f>
        <x:v>0</x:v>
      </x:c>
    </x:row>
    <x:row r="222">
      <x:c r="A222" s="142" t="n">
        <x:v>217</x:v>
      </x:c>
      <x:c r="B222" s="179" t="n">
        <x:f>EDATE(Premissas!$B$4,216)</x:f>
        <x:v>53114</x:v>
      </x:c>
      <x:c r="C222" s="141" t="n">
        <x:f>L221</x:f>
        <x:v>0</x:v>
      </x:c>
      <x:c r="D222" s="141" t="n">
        <x:f>IF(C222&gt;0,C222*Premissas!$B$17,0)</x:f>
        <x:v>0</x:v>
      </x:c>
      <x:c r="E222" s="141" t="n">
        <x:f>C222+D222</x:f>
        <x:v>0</x:v>
      </x:c>
      <x:c r="F222" s="141" t="n">
        <x:f>IF(E222&gt;0,MIN(E222,INDEX(Financiamento!$G$6:$G$485,A222)),0)</x:f>
        <x:v>0</x:v>
      </x:c>
      <x:c r="G222" s="141" t="n">
        <x:f>IF(E222&gt;0,E222*Premissas!$B$15,0)</x:f>
        <x:v>0</x:v>
      </x:c>
      <x:c r="H222" s="141" t="n">
        <x:f>IF(E222&gt;0,Premissas!$B$18,0)</x:f>
        <x:v>0</x:v>
      </x:c>
      <x:c r="I222" s="141" t="n">
        <x:f>F222+G222+H222</x:f>
        <x:v>0</x:v>
      </x:c>
      <x:c r="J222" s="141" t="n">
        <x:f>IF(E222-F222&gt;0,MIN(E222-F222,P222),0)</x:f>
        <x:v>0</x:v>
      </x:c>
      <x:c r="K222" s="141" t="n">
        <x:f>I222+J222</x:f>
        <x:v>0</x:v>
      </x:c>
      <x:c r="L222" s="141" t="n">
        <x:f>MAX(0,E222-F222-J222)</x:f>
        <x:v>0</x:v>
      </x:c>
      <x:c r="M222" s="141" t="n">
        <x:f>SUM($K$6:K222)</x:f>
        <x:v>185795.9624076597</x:v>
      </x:c>
      <x:c r="N222" s="140" t="str">
        <x:f>IF(C222=0,"Encerrado",IF(L222=0,"Quitado","Aberto"))</x:f>
        <x:v>Encerrado</x:v>
      </x:c>
      <x:c r="O222" s="141" t="n">
        <x:f>IF(C222&gt;0,Premissas!$B$35,0)</x:f>
        <x:v>0</x:v>
      </x:c>
      <x:c r="P222" s="141" t="n">
        <x:f>IF(C222&gt;0,MAX(0,O222-I222),0)</x:f>
        <x:v>0</x:v>
      </x:c>
      <x:c r="Q222" s="141" t="n">
        <x:f>J222-IF(E222-F222&gt;0,MIN(E222-F222,P222),0)</x:f>
        <x:v>0</x:v>
      </x:c>
    </x:row>
    <x:row r="223">
      <x:c r="A223" s="142" t="n">
        <x:v>218</x:v>
      </x:c>
      <x:c r="B223" s="179" t="n">
        <x:f>EDATE(Premissas!$B$4,217)</x:f>
        <x:v>53144</x:v>
      </x:c>
      <x:c r="C223" s="141" t="n">
        <x:f>L222</x:f>
        <x:v>0</x:v>
      </x:c>
      <x:c r="D223" s="141" t="n">
        <x:f>IF(C223&gt;0,C223*Premissas!$B$17,0)</x:f>
        <x:v>0</x:v>
      </x:c>
      <x:c r="E223" s="141" t="n">
        <x:f>C223+D223</x:f>
        <x:v>0</x:v>
      </x:c>
      <x:c r="F223" s="141" t="n">
        <x:f>IF(E223&gt;0,MIN(E223,INDEX(Financiamento!$G$6:$G$485,A223)),0)</x:f>
        <x:v>0</x:v>
      </x:c>
      <x:c r="G223" s="141" t="n">
        <x:f>IF(E223&gt;0,E223*Premissas!$B$15,0)</x:f>
        <x:v>0</x:v>
      </x:c>
      <x:c r="H223" s="141" t="n">
        <x:f>IF(E223&gt;0,Premissas!$B$18,0)</x:f>
        <x:v>0</x:v>
      </x:c>
      <x:c r="I223" s="141" t="n">
        <x:f>F223+G223+H223</x:f>
        <x:v>0</x:v>
      </x:c>
      <x:c r="J223" s="141" t="n">
        <x:f>IF(E223-F223&gt;0,MIN(E223-F223,P223),0)</x:f>
        <x:v>0</x:v>
      </x:c>
      <x:c r="K223" s="141" t="n">
        <x:f>I223+J223</x:f>
        <x:v>0</x:v>
      </x:c>
      <x:c r="L223" s="141" t="n">
        <x:f>MAX(0,E223-F223-J223)</x:f>
        <x:v>0</x:v>
      </x:c>
      <x:c r="M223" s="141" t="n">
        <x:f>SUM($K$6:K223)</x:f>
        <x:v>185795.9624076597</x:v>
      </x:c>
      <x:c r="N223" s="140" t="str">
        <x:f>IF(C223=0,"Encerrado",IF(L223=0,"Quitado","Aberto"))</x:f>
        <x:v>Encerrado</x:v>
      </x:c>
      <x:c r="O223" s="141" t="n">
        <x:f>IF(C223&gt;0,Premissas!$B$35,0)</x:f>
        <x:v>0</x:v>
      </x:c>
      <x:c r="P223" s="141" t="n">
        <x:f>IF(C223&gt;0,MAX(0,O223-I223),0)</x:f>
        <x:v>0</x:v>
      </x:c>
      <x:c r="Q223" s="141" t="n">
        <x:f>J223-IF(E223-F223&gt;0,MIN(E223-F223,P223),0)</x:f>
        <x:v>0</x:v>
      </x:c>
    </x:row>
    <x:row r="224">
      <x:c r="A224" s="142" t="n">
        <x:v>219</x:v>
      </x:c>
      <x:c r="B224" s="179" t="n">
        <x:f>EDATE(Premissas!$B$4,218)</x:f>
        <x:v>53175</x:v>
      </x:c>
      <x:c r="C224" s="141" t="n">
        <x:f>L223</x:f>
        <x:v>0</x:v>
      </x:c>
      <x:c r="D224" s="141" t="n">
        <x:f>IF(C224&gt;0,C224*Premissas!$B$17,0)</x:f>
        <x:v>0</x:v>
      </x:c>
      <x:c r="E224" s="141" t="n">
        <x:f>C224+D224</x:f>
        <x:v>0</x:v>
      </x:c>
      <x:c r="F224" s="141" t="n">
        <x:f>IF(E224&gt;0,MIN(E224,INDEX(Financiamento!$G$6:$G$485,A224)),0)</x:f>
        <x:v>0</x:v>
      </x:c>
      <x:c r="G224" s="141" t="n">
        <x:f>IF(E224&gt;0,E224*Premissas!$B$15,0)</x:f>
        <x:v>0</x:v>
      </x:c>
      <x:c r="H224" s="141" t="n">
        <x:f>IF(E224&gt;0,Premissas!$B$18,0)</x:f>
        <x:v>0</x:v>
      </x:c>
      <x:c r="I224" s="141" t="n">
        <x:f>F224+G224+H224</x:f>
        <x:v>0</x:v>
      </x:c>
      <x:c r="J224" s="141" t="n">
        <x:f>IF(E224-F224&gt;0,MIN(E224-F224,P224),0)</x:f>
        <x:v>0</x:v>
      </x:c>
      <x:c r="K224" s="141" t="n">
        <x:f>I224+J224</x:f>
        <x:v>0</x:v>
      </x:c>
      <x:c r="L224" s="141" t="n">
        <x:f>MAX(0,E224-F224-J224)</x:f>
        <x:v>0</x:v>
      </x:c>
      <x:c r="M224" s="141" t="n">
        <x:f>SUM($K$6:K224)</x:f>
        <x:v>185795.9624076597</x:v>
      </x:c>
      <x:c r="N224" s="140" t="str">
        <x:f>IF(C224=0,"Encerrado",IF(L224=0,"Quitado","Aberto"))</x:f>
        <x:v>Encerrado</x:v>
      </x:c>
      <x:c r="O224" s="141" t="n">
        <x:f>IF(C224&gt;0,Premissas!$B$35,0)</x:f>
        <x:v>0</x:v>
      </x:c>
      <x:c r="P224" s="141" t="n">
        <x:f>IF(C224&gt;0,MAX(0,O224-I224),0)</x:f>
        <x:v>0</x:v>
      </x:c>
      <x:c r="Q224" s="141" t="n">
        <x:f>J224-IF(E224-F224&gt;0,MIN(E224-F224,P224),0)</x:f>
        <x:v>0</x:v>
      </x:c>
    </x:row>
    <x:row r="225">
      <x:c r="A225" s="142" t="n">
        <x:v>220</x:v>
      </x:c>
      <x:c r="B225" s="179" t="n">
        <x:f>EDATE(Premissas!$B$4,219)</x:f>
        <x:v>53206</x:v>
      </x:c>
      <x:c r="C225" s="141" t="n">
        <x:f>L224</x:f>
        <x:v>0</x:v>
      </x:c>
      <x:c r="D225" s="141" t="n">
        <x:f>IF(C225&gt;0,C225*Premissas!$B$17,0)</x:f>
        <x:v>0</x:v>
      </x:c>
      <x:c r="E225" s="141" t="n">
        <x:f>C225+D225</x:f>
        <x:v>0</x:v>
      </x:c>
      <x:c r="F225" s="141" t="n">
        <x:f>IF(E225&gt;0,MIN(E225,INDEX(Financiamento!$G$6:$G$485,A225)),0)</x:f>
        <x:v>0</x:v>
      </x:c>
      <x:c r="G225" s="141" t="n">
        <x:f>IF(E225&gt;0,E225*Premissas!$B$15,0)</x:f>
        <x:v>0</x:v>
      </x:c>
      <x:c r="H225" s="141" t="n">
        <x:f>IF(E225&gt;0,Premissas!$B$18,0)</x:f>
        <x:v>0</x:v>
      </x:c>
      <x:c r="I225" s="141" t="n">
        <x:f>F225+G225+H225</x:f>
        <x:v>0</x:v>
      </x:c>
      <x:c r="J225" s="141" t="n">
        <x:f>IF(E225-F225&gt;0,MIN(E225-F225,P225),0)</x:f>
        <x:v>0</x:v>
      </x:c>
      <x:c r="K225" s="141" t="n">
        <x:f>I225+J225</x:f>
        <x:v>0</x:v>
      </x:c>
      <x:c r="L225" s="141" t="n">
        <x:f>MAX(0,E225-F225-J225)</x:f>
        <x:v>0</x:v>
      </x:c>
      <x:c r="M225" s="141" t="n">
        <x:f>SUM($K$6:K225)</x:f>
        <x:v>185795.9624076597</x:v>
      </x:c>
      <x:c r="N225" s="140" t="str">
        <x:f>IF(C225=0,"Encerrado",IF(L225=0,"Quitado","Aberto"))</x:f>
        <x:v>Encerrado</x:v>
      </x:c>
      <x:c r="O225" s="141" t="n">
        <x:f>IF(C225&gt;0,Premissas!$B$35,0)</x:f>
        <x:v>0</x:v>
      </x:c>
      <x:c r="P225" s="141" t="n">
        <x:f>IF(C225&gt;0,MAX(0,O225-I225),0)</x:f>
        <x:v>0</x:v>
      </x:c>
      <x:c r="Q225" s="141" t="n">
        <x:f>J225-IF(E225-F225&gt;0,MIN(E225-F225,P225),0)</x:f>
        <x:v>0</x:v>
      </x:c>
    </x:row>
    <x:row r="226">
      <x:c r="A226" s="142" t="n">
        <x:v>221</x:v>
      </x:c>
      <x:c r="B226" s="179" t="n">
        <x:f>EDATE(Premissas!$B$4,220)</x:f>
        <x:v>53236</x:v>
      </x:c>
      <x:c r="C226" s="141" t="n">
        <x:f>L225</x:f>
        <x:v>0</x:v>
      </x:c>
      <x:c r="D226" s="141" t="n">
        <x:f>IF(C226&gt;0,C226*Premissas!$B$17,0)</x:f>
        <x:v>0</x:v>
      </x:c>
      <x:c r="E226" s="141" t="n">
        <x:f>C226+D226</x:f>
        <x:v>0</x:v>
      </x:c>
      <x:c r="F226" s="141" t="n">
        <x:f>IF(E226&gt;0,MIN(E226,INDEX(Financiamento!$G$6:$G$485,A226)),0)</x:f>
        <x:v>0</x:v>
      </x:c>
      <x:c r="G226" s="141" t="n">
        <x:f>IF(E226&gt;0,E226*Premissas!$B$15,0)</x:f>
        <x:v>0</x:v>
      </x:c>
      <x:c r="H226" s="141" t="n">
        <x:f>IF(E226&gt;0,Premissas!$B$18,0)</x:f>
        <x:v>0</x:v>
      </x:c>
      <x:c r="I226" s="141" t="n">
        <x:f>F226+G226+H226</x:f>
        <x:v>0</x:v>
      </x:c>
      <x:c r="J226" s="141" t="n">
        <x:f>IF(E226-F226&gt;0,MIN(E226-F226,P226),0)</x:f>
        <x:v>0</x:v>
      </x:c>
      <x:c r="K226" s="141" t="n">
        <x:f>I226+J226</x:f>
        <x:v>0</x:v>
      </x:c>
      <x:c r="L226" s="141" t="n">
        <x:f>MAX(0,E226-F226-J226)</x:f>
        <x:v>0</x:v>
      </x:c>
      <x:c r="M226" s="141" t="n">
        <x:f>SUM($K$6:K226)</x:f>
        <x:v>185795.9624076597</x:v>
      </x:c>
      <x:c r="N226" s="140" t="str">
        <x:f>IF(C226=0,"Encerrado",IF(L226=0,"Quitado","Aberto"))</x:f>
        <x:v>Encerrado</x:v>
      </x:c>
      <x:c r="O226" s="141" t="n">
        <x:f>IF(C226&gt;0,Premissas!$B$35,0)</x:f>
        <x:v>0</x:v>
      </x:c>
      <x:c r="P226" s="141" t="n">
        <x:f>IF(C226&gt;0,MAX(0,O226-I226),0)</x:f>
        <x:v>0</x:v>
      </x:c>
      <x:c r="Q226" s="141" t="n">
        <x:f>J226-IF(E226-F226&gt;0,MIN(E226-F226,P226),0)</x:f>
        <x:v>0</x:v>
      </x:c>
    </x:row>
    <x:row r="227">
      <x:c r="A227" s="142" t="n">
        <x:v>222</x:v>
      </x:c>
      <x:c r="B227" s="179" t="n">
        <x:f>EDATE(Premissas!$B$4,221)</x:f>
        <x:v>53267</x:v>
      </x:c>
      <x:c r="C227" s="141" t="n">
        <x:f>L226</x:f>
        <x:v>0</x:v>
      </x:c>
      <x:c r="D227" s="141" t="n">
        <x:f>IF(C227&gt;0,C227*Premissas!$B$17,0)</x:f>
        <x:v>0</x:v>
      </x:c>
      <x:c r="E227" s="141" t="n">
        <x:f>C227+D227</x:f>
        <x:v>0</x:v>
      </x:c>
      <x:c r="F227" s="141" t="n">
        <x:f>IF(E227&gt;0,MIN(E227,INDEX(Financiamento!$G$6:$G$485,A227)),0)</x:f>
        <x:v>0</x:v>
      </x:c>
      <x:c r="G227" s="141" t="n">
        <x:f>IF(E227&gt;0,E227*Premissas!$B$15,0)</x:f>
        <x:v>0</x:v>
      </x:c>
      <x:c r="H227" s="141" t="n">
        <x:f>IF(E227&gt;0,Premissas!$B$18,0)</x:f>
        <x:v>0</x:v>
      </x:c>
      <x:c r="I227" s="141" t="n">
        <x:f>F227+G227+H227</x:f>
        <x:v>0</x:v>
      </x:c>
      <x:c r="J227" s="141" t="n">
        <x:f>IF(E227-F227&gt;0,MIN(E227-F227,P227),0)</x:f>
        <x:v>0</x:v>
      </x:c>
      <x:c r="K227" s="141" t="n">
        <x:f>I227+J227</x:f>
        <x:v>0</x:v>
      </x:c>
      <x:c r="L227" s="141" t="n">
        <x:f>MAX(0,E227-F227-J227)</x:f>
        <x:v>0</x:v>
      </x:c>
      <x:c r="M227" s="141" t="n">
        <x:f>SUM($K$6:K227)</x:f>
        <x:v>185795.9624076597</x:v>
      </x:c>
      <x:c r="N227" s="140" t="str">
        <x:f>IF(C227=0,"Encerrado",IF(L227=0,"Quitado","Aberto"))</x:f>
        <x:v>Encerrado</x:v>
      </x:c>
      <x:c r="O227" s="141" t="n">
        <x:f>IF(C227&gt;0,Premissas!$B$35,0)</x:f>
        <x:v>0</x:v>
      </x:c>
      <x:c r="P227" s="141" t="n">
        <x:f>IF(C227&gt;0,MAX(0,O227-I227),0)</x:f>
        <x:v>0</x:v>
      </x:c>
      <x:c r="Q227" s="141" t="n">
        <x:f>J227-IF(E227-F227&gt;0,MIN(E227-F227,P227),0)</x:f>
        <x:v>0</x:v>
      </x:c>
    </x:row>
    <x:row r="228">
      <x:c r="A228" s="142" t="n">
        <x:v>223</x:v>
      </x:c>
      <x:c r="B228" s="179" t="n">
        <x:f>EDATE(Premissas!$B$4,222)</x:f>
        <x:v>53297</x:v>
      </x:c>
      <x:c r="C228" s="141" t="n">
        <x:f>L227</x:f>
        <x:v>0</x:v>
      </x:c>
      <x:c r="D228" s="141" t="n">
        <x:f>IF(C228&gt;0,C228*Premissas!$B$17,0)</x:f>
        <x:v>0</x:v>
      </x:c>
      <x:c r="E228" s="141" t="n">
        <x:f>C228+D228</x:f>
        <x:v>0</x:v>
      </x:c>
      <x:c r="F228" s="141" t="n">
        <x:f>IF(E228&gt;0,MIN(E228,INDEX(Financiamento!$G$6:$G$485,A228)),0)</x:f>
        <x:v>0</x:v>
      </x:c>
      <x:c r="G228" s="141" t="n">
        <x:f>IF(E228&gt;0,E228*Premissas!$B$15,0)</x:f>
        <x:v>0</x:v>
      </x:c>
      <x:c r="H228" s="141" t="n">
        <x:f>IF(E228&gt;0,Premissas!$B$18,0)</x:f>
        <x:v>0</x:v>
      </x:c>
      <x:c r="I228" s="141" t="n">
        <x:f>F228+G228+H228</x:f>
        <x:v>0</x:v>
      </x:c>
      <x:c r="J228" s="141" t="n">
        <x:f>IF(E228-F228&gt;0,MIN(E228-F228,P228),0)</x:f>
        <x:v>0</x:v>
      </x:c>
      <x:c r="K228" s="141" t="n">
        <x:f>I228+J228</x:f>
        <x:v>0</x:v>
      </x:c>
      <x:c r="L228" s="141" t="n">
        <x:f>MAX(0,E228-F228-J228)</x:f>
        <x:v>0</x:v>
      </x:c>
      <x:c r="M228" s="141" t="n">
        <x:f>SUM($K$6:K228)</x:f>
        <x:v>185795.9624076597</x:v>
      </x:c>
      <x:c r="N228" s="140" t="str">
        <x:f>IF(C228=0,"Encerrado",IF(L228=0,"Quitado","Aberto"))</x:f>
        <x:v>Encerrado</x:v>
      </x:c>
      <x:c r="O228" s="141" t="n">
        <x:f>IF(C228&gt;0,Premissas!$B$35,0)</x:f>
        <x:v>0</x:v>
      </x:c>
      <x:c r="P228" s="141" t="n">
        <x:f>IF(C228&gt;0,MAX(0,O228-I228),0)</x:f>
        <x:v>0</x:v>
      </x:c>
      <x:c r="Q228" s="141" t="n">
        <x:f>J228-IF(E228-F228&gt;0,MIN(E228-F228,P228),0)</x:f>
        <x:v>0</x:v>
      </x:c>
    </x:row>
    <x:row r="229">
      <x:c r="A229" s="142" t="n">
        <x:v>224</x:v>
      </x:c>
      <x:c r="B229" s="179" t="n">
        <x:f>EDATE(Premissas!$B$4,223)</x:f>
        <x:v>53328</x:v>
      </x:c>
      <x:c r="C229" s="141" t="n">
        <x:f>L228</x:f>
        <x:v>0</x:v>
      </x:c>
      <x:c r="D229" s="141" t="n">
        <x:f>IF(C229&gt;0,C229*Premissas!$B$17,0)</x:f>
        <x:v>0</x:v>
      </x:c>
      <x:c r="E229" s="141" t="n">
        <x:f>C229+D229</x:f>
        <x:v>0</x:v>
      </x:c>
      <x:c r="F229" s="141" t="n">
        <x:f>IF(E229&gt;0,MIN(E229,INDEX(Financiamento!$G$6:$G$485,A229)),0)</x:f>
        <x:v>0</x:v>
      </x:c>
      <x:c r="G229" s="141" t="n">
        <x:f>IF(E229&gt;0,E229*Premissas!$B$15,0)</x:f>
        <x:v>0</x:v>
      </x:c>
      <x:c r="H229" s="141" t="n">
        <x:f>IF(E229&gt;0,Premissas!$B$18,0)</x:f>
        <x:v>0</x:v>
      </x:c>
      <x:c r="I229" s="141" t="n">
        <x:f>F229+G229+H229</x:f>
        <x:v>0</x:v>
      </x:c>
      <x:c r="J229" s="141" t="n">
        <x:f>IF(E229-F229&gt;0,MIN(E229-F229,P229),0)</x:f>
        <x:v>0</x:v>
      </x:c>
      <x:c r="K229" s="141" t="n">
        <x:f>I229+J229</x:f>
        <x:v>0</x:v>
      </x:c>
      <x:c r="L229" s="141" t="n">
        <x:f>MAX(0,E229-F229-J229)</x:f>
        <x:v>0</x:v>
      </x:c>
      <x:c r="M229" s="141" t="n">
        <x:f>SUM($K$6:K229)</x:f>
        <x:v>185795.9624076597</x:v>
      </x:c>
      <x:c r="N229" s="140" t="str">
        <x:f>IF(C229=0,"Encerrado",IF(L229=0,"Quitado","Aberto"))</x:f>
        <x:v>Encerrado</x:v>
      </x:c>
      <x:c r="O229" s="141" t="n">
        <x:f>IF(C229&gt;0,Premissas!$B$35,0)</x:f>
        <x:v>0</x:v>
      </x:c>
      <x:c r="P229" s="141" t="n">
        <x:f>IF(C229&gt;0,MAX(0,O229-I229),0)</x:f>
        <x:v>0</x:v>
      </x:c>
      <x:c r="Q229" s="141" t="n">
        <x:f>J229-IF(E229-F229&gt;0,MIN(E229-F229,P229),0)</x:f>
        <x:v>0</x:v>
      </x:c>
    </x:row>
    <x:row r="230">
      <x:c r="A230" s="142" t="n">
        <x:v>225</x:v>
      </x:c>
      <x:c r="B230" s="179" t="n">
        <x:f>EDATE(Premissas!$B$4,224)</x:f>
        <x:v>53359</x:v>
      </x:c>
      <x:c r="C230" s="141" t="n">
        <x:f>L229</x:f>
        <x:v>0</x:v>
      </x:c>
      <x:c r="D230" s="141" t="n">
        <x:f>IF(C230&gt;0,C230*Premissas!$B$17,0)</x:f>
        <x:v>0</x:v>
      </x:c>
      <x:c r="E230" s="141" t="n">
        <x:f>C230+D230</x:f>
        <x:v>0</x:v>
      </x:c>
      <x:c r="F230" s="141" t="n">
        <x:f>IF(E230&gt;0,MIN(E230,INDEX(Financiamento!$G$6:$G$485,A230)),0)</x:f>
        <x:v>0</x:v>
      </x:c>
      <x:c r="G230" s="141" t="n">
        <x:f>IF(E230&gt;0,E230*Premissas!$B$15,0)</x:f>
        <x:v>0</x:v>
      </x:c>
      <x:c r="H230" s="141" t="n">
        <x:f>IF(E230&gt;0,Premissas!$B$18,0)</x:f>
        <x:v>0</x:v>
      </x:c>
      <x:c r="I230" s="141" t="n">
        <x:f>F230+G230+H230</x:f>
        <x:v>0</x:v>
      </x:c>
      <x:c r="J230" s="141" t="n">
        <x:f>IF(E230-F230&gt;0,MIN(E230-F230,P230),0)</x:f>
        <x:v>0</x:v>
      </x:c>
      <x:c r="K230" s="141" t="n">
        <x:f>I230+J230</x:f>
        <x:v>0</x:v>
      </x:c>
      <x:c r="L230" s="141" t="n">
        <x:f>MAX(0,E230-F230-J230)</x:f>
        <x:v>0</x:v>
      </x:c>
      <x:c r="M230" s="141" t="n">
        <x:f>SUM($K$6:K230)</x:f>
        <x:v>185795.9624076597</x:v>
      </x:c>
      <x:c r="N230" s="140" t="str">
        <x:f>IF(C230=0,"Encerrado",IF(L230=0,"Quitado","Aberto"))</x:f>
        <x:v>Encerrado</x:v>
      </x:c>
      <x:c r="O230" s="141" t="n">
        <x:f>IF(C230&gt;0,Premissas!$B$35,0)</x:f>
        <x:v>0</x:v>
      </x:c>
      <x:c r="P230" s="141" t="n">
        <x:f>IF(C230&gt;0,MAX(0,O230-I230),0)</x:f>
        <x:v>0</x:v>
      </x:c>
      <x:c r="Q230" s="141" t="n">
        <x:f>J230-IF(E230-F230&gt;0,MIN(E230-F230,P230),0)</x:f>
        <x:v>0</x:v>
      </x:c>
    </x:row>
    <x:row r="231">
      <x:c r="A231" s="142" t="n">
        <x:v>226</x:v>
      </x:c>
      <x:c r="B231" s="179" t="n">
        <x:f>EDATE(Premissas!$B$4,225)</x:f>
        <x:v>53387</x:v>
      </x:c>
      <x:c r="C231" s="141" t="n">
        <x:f>L230</x:f>
        <x:v>0</x:v>
      </x:c>
      <x:c r="D231" s="141" t="n">
        <x:f>IF(C231&gt;0,C231*Premissas!$B$17,0)</x:f>
        <x:v>0</x:v>
      </x:c>
      <x:c r="E231" s="141" t="n">
        <x:f>C231+D231</x:f>
        <x:v>0</x:v>
      </x:c>
      <x:c r="F231" s="141" t="n">
        <x:f>IF(E231&gt;0,MIN(E231,INDEX(Financiamento!$G$6:$G$485,A231)),0)</x:f>
        <x:v>0</x:v>
      </x:c>
      <x:c r="G231" s="141" t="n">
        <x:f>IF(E231&gt;0,E231*Premissas!$B$15,0)</x:f>
        <x:v>0</x:v>
      </x:c>
      <x:c r="H231" s="141" t="n">
        <x:f>IF(E231&gt;0,Premissas!$B$18,0)</x:f>
        <x:v>0</x:v>
      </x:c>
      <x:c r="I231" s="141" t="n">
        <x:f>F231+G231+H231</x:f>
        <x:v>0</x:v>
      </x:c>
      <x:c r="J231" s="141" t="n">
        <x:f>IF(E231-F231&gt;0,MIN(E231-F231,P231),0)</x:f>
        <x:v>0</x:v>
      </x:c>
      <x:c r="K231" s="141" t="n">
        <x:f>I231+J231</x:f>
        <x:v>0</x:v>
      </x:c>
      <x:c r="L231" s="141" t="n">
        <x:f>MAX(0,E231-F231-J231)</x:f>
        <x:v>0</x:v>
      </x:c>
      <x:c r="M231" s="141" t="n">
        <x:f>SUM($K$6:K231)</x:f>
        <x:v>185795.9624076597</x:v>
      </x:c>
      <x:c r="N231" s="140" t="str">
        <x:f>IF(C231=0,"Encerrado",IF(L231=0,"Quitado","Aberto"))</x:f>
        <x:v>Encerrado</x:v>
      </x:c>
      <x:c r="O231" s="141" t="n">
        <x:f>IF(C231&gt;0,Premissas!$B$35,0)</x:f>
        <x:v>0</x:v>
      </x:c>
      <x:c r="P231" s="141" t="n">
        <x:f>IF(C231&gt;0,MAX(0,O231-I231),0)</x:f>
        <x:v>0</x:v>
      </x:c>
      <x:c r="Q231" s="141" t="n">
        <x:f>J231-IF(E231-F231&gt;0,MIN(E231-F231,P231),0)</x:f>
        <x:v>0</x:v>
      </x:c>
    </x:row>
    <x:row r="232">
      <x:c r="A232" s="142" t="n">
        <x:v>227</x:v>
      </x:c>
      <x:c r="B232" s="179" t="n">
        <x:f>EDATE(Premissas!$B$4,226)</x:f>
        <x:v>53418</x:v>
      </x:c>
      <x:c r="C232" s="141" t="n">
        <x:f>L231</x:f>
        <x:v>0</x:v>
      </x:c>
      <x:c r="D232" s="141" t="n">
        <x:f>IF(C232&gt;0,C232*Premissas!$B$17,0)</x:f>
        <x:v>0</x:v>
      </x:c>
      <x:c r="E232" s="141" t="n">
        <x:f>C232+D232</x:f>
        <x:v>0</x:v>
      </x:c>
      <x:c r="F232" s="141" t="n">
        <x:f>IF(E232&gt;0,MIN(E232,INDEX(Financiamento!$G$6:$G$485,A232)),0)</x:f>
        <x:v>0</x:v>
      </x:c>
      <x:c r="G232" s="141" t="n">
        <x:f>IF(E232&gt;0,E232*Premissas!$B$15,0)</x:f>
        <x:v>0</x:v>
      </x:c>
      <x:c r="H232" s="141" t="n">
        <x:f>IF(E232&gt;0,Premissas!$B$18,0)</x:f>
        <x:v>0</x:v>
      </x:c>
      <x:c r="I232" s="141" t="n">
        <x:f>F232+G232+H232</x:f>
        <x:v>0</x:v>
      </x:c>
      <x:c r="J232" s="141" t="n">
        <x:f>IF(E232-F232&gt;0,MIN(E232-F232,P232),0)</x:f>
        <x:v>0</x:v>
      </x:c>
      <x:c r="K232" s="141" t="n">
        <x:f>I232+J232</x:f>
        <x:v>0</x:v>
      </x:c>
      <x:c r="L232" s="141" t="n">
        <x:f>MAX(0,E232-F232-J232)</x:f>
        <x:v>0</x:v>
      </x:c>
      <x:c r="M232" s="141" t="n">
        <x:f>SUM($K$6:K232)</x:f>
        <x:v>185795.9624076597</x:v>
      </x:c>
      <x:c r="N232" s="140" t="str">
        <x:f>IF(C232=0,"Encerrado",IF(L232=0,"Quitado","Aberto"))</x:f>
        <x:v>Encerrado</x:v>
      </x:c>
      <x:c r="O232" s="141" t="n">
        <x:f>IF(C232&gt;0,Premissas!$B$35,0)</x:f>
        <x:v>0</x:v>
      </x:c>
      <x:c r="P232" s="141" t="n">
        <x:f>IF(C232&gt;0,MAX(0,O232-I232),0)</x:f>
        <x:v>0</x:v>
      </x:c>
      <x:c r="Q232" s="141" t="n">
        <x:f>J232-IF(E232-F232&gt;0,MIN(E232-F232,P232),0)</x:f>
        <x:v>0</x:v>
      </x:c>
    </x:row>
    <x:row r="233">
      <x:c r="A233" s="142" t="n">
        <x:v>228</x:v>
      </x:c>
      <x:c r="B233" s="179" t="n">
        <x:f>EDATE(Premissas!$B$4,227)</x:f>
        <x:v>53448</x:v>
      </x:c>
      <x:c r="C233" s="141" t="n">
        <x:f>L232</x:f>
        <x:v>0</x:v>
      </x:c>
      <x:c r="D233" s="141" t="n">
        <x:f>IF(C233&gt;0,C233*Premissas!$B$17,0)</x:f>
        <x:v>0</x:v>
      </x:c>
      <x:c r="E233" s="141" t="n">
        <x:f>C233+D233</x:f>
        <x:v>0</x:v>
      </x:c>
      <x:c r="F233" s="141" t="n">
        <x:f>IF(E233&gt;0,MIN(E233,INDEX(Financiamento!$G$6:$G$485,A233)),0)</x:f>
        <x:v>0</x:v>
      </x:c>
      <x:c r="G233" s="141" t="n">
        <x:f>IF(E233&gt;0,E233*Premissas!$B$15,0)</x:f>
        <x:v>0</x:v>
      </x:c>
      <x:c r="H233" s="141" t="n">
        <x:f>IF(E233&gt;0,Premissas!$B$18,0)</x:f>
        <x:v>0</x:v>
      </x:c>
      <x:c r="I233" s="141" t="n">
        <x:f>F233+G233+H233</x:f>
        <x:v>0</x:v>
      </x:c>
      <x:c r="J233" s="141" t="n">
        <x:f>IF(E233-F233&gt;0,MIN(E233-F233,P233),0)</x:f>
        <x:v>0</x:v>
      </x:c>
      <x:c r="K233" s="141" t="n">
        <x:f>I233+J233</x:f>
        <x:v>0</x:v>
      </x:c>
      <x:c r="L233" s="141" t="n">
        <x:f>MAX(0,E233-F233-J233)</x:f>
        <x:v>0</x:v>
      </x:c>
      <x:c r="M233" s="141" t="n">
        <x:f>SUM($K$6:K233)</x:f>
        <x:v>185795.9624076597</x:v>
      </x:c>
      <x:c r="N233" s="140" t="str">
        <x:f>IF(C233=0,"Encerrado",IF(L233=0,"Quitado","Aberto"))</x:f>
        <x:v>Encerrado</x:v>
      </x:c>
      <x:c r="O233" s="141" t="n">
        <x:f>IF(C233&gt;0,Premissas!$B$35,0)</x:f>
        <x:v>0</x:v>
      </x:c>
      <x:c r="P233" s="141" t="n">
        <x:f>IF(C233&gt;0,MAX(0,O233-I233),0)</x:f>
        <x:v>0</x:v>
      </x:c>
      <x:c r="Q233" s="141" t="n">
        <x:f>J233-IF(E233-F233&gt;0,MIN(E233-F233,P233),0)</x:f>
        <x:v>0</x:v>
      </x:c>
    </x:row>
    <x:row r="234">
      <x:c r="A234" s="142" t="n">
        <x:v>229</x:v>
      </x:c>
      <x:c r="B234" s="179" t="n">
        <x:f>EDATE(Premissas!$B$4,228)</x:f>
        <x:v>53479</x:v>
      </x:c>
      <x:c r="C234" s="141" t="n">
        <x:f>L233</x:f>
        <x:v>0</x:v>
      </x:c>
      <x:c r="D234" s="141" t="n">
        <x:f>IF(C234&gt;0,C234*Premissas!$B$17,0)</x:f>
        <x:v>0</x:v>
      </x:c>
      <x:c r="E234" s="141" t="n">
        <x:f>C234+D234</x:f>
        <x:v>0</x:v>
      </x:c>
      <x:c r="F234" s="141" t="n">
        <x:f>IF(E234&gt;0,MIN(E234,INDEX(Financiamento!$G$6:$G$485,A234)),0)</x:f>
        <x:v>0</x:v>
      </x:c>
      <x:c r="G234" s="141" t="n">
        <x:f>IF(E234&gt;0,E234*Premissas!$B$15,0)</x:f>
        <x:v>0</x:v>
      </x:c>
      <x:c r="H234" s="141" t="n">
        <x:f>IF(E234&gt;0,Premissas!$B$18,0)</x:f>
        <x:v>0</x:v>
      </x:c>
      <x:c r="I234" s="141" t="n">
        <x:f>F234+G234+H234</x:f>
        <x:v>0</x:v>
      </x:c>
      <x:c r="J234" s="141" t="n">
        <x:f>IF(E234-F234&gt;0,MIN(E234-F234,P234),0)</x:f>
        <x:v>0</x:v>
      </x:c>
      <x:c r="K234" s="141" t="n">
        <x:f>I234+J234</x:f>
        <x:v>0</x:v>
      </x:c>
      <x:c r="L234" s="141" t="n">
        <x:f>MAX(0,E234-F234-J234)</x:f>
        <x:v>0</x:v>
      </x:c>
      <x:c r="M234" s="141" t="n">
        <x:f>SUM($K$6:K234)</x:f>
        <x:v>185795.9624076597</x:v>
      </x:c>
      <x:c r="N234" s="140" t="str">
        <x:f>IF(C234=0,"Encerrado",IF(L234=0,"Quitado","Aberto"))</x:f>
        <x:v>Encerrado</x:v>
      </x:c>
      <x:c r="O234" s="141" t="n">
        <x:f>IF(C234&gt;0,Premissas!$B$35,0)</x:f>
        <x:v>0</x:v>
      </x:c>
      <x:c r="P234" s="141" t="n">
        <x:f>IF(C234&gt;0,MAX(0,O234-I234),0)</x:f>
        <x:v>0</x:v>
      </x:c>
      <x:c r="Q234" s="141" t="n">
        <x:f>J234-IF(E234-F234&gt;0,MIN(E234-F234,P234),0)</x:f>
        <x:v>0</x:v>
      </x:c>
    </x:row>
    <x:row r="235">
      <x:c r="A235" s="142" t="n">
        <x:v>230</x:v>
      </x:c>
      <x:c r="B235" s="179" t="n">
        <x:f>EDATE(Premissas!$B$4,229)</x:f>
        <x:v>53509</x:v>
      </x:c>
      <x:c r="C235" s="141" t="n">
        <x:f>L234</x:f>
        <x:v>0</x:v>
      </x:c>
      <x:c r="D235" s="141" t="n">
        <x:f>IF(C235&gt;0,C235*Premissas!$B$17,0)</x:f>
        <x:v>0</x:v>
      </x:c>
      <x:c r="E235" s="141" t="n">
        <x:f>C235+D235</x:f>
        <x:v>0</x:v>
      </x:c>
      <x:c r="F235" s="141" t="n">
        <x:f>IF(E235&gt;0,MIN(E235,INDEX(Financiamento!$G$6:$G$485,A235)),0)</x:f>
        <x:v>0</x:v>
      </x:c>
      <x:c r="G235" s="141" t="n">
        <x:f>IF(E235&gt;0,E235*Premissas!$B$15,0)</x:f>
        <x:v>0</x:v>
      </x:c>
      <x:c r="H235" s="141" t="n">
        <x:f>IF(E235&gt;0,Premissas!$B$18,0)</x:f>
        <x:v>0</x:v>
      </x:c>
      <x:c r="I235" s="141" t="n">
        <x:f>F235+G235+H235</x:f>
        <x:v>0</x:v>
      </x:c>
      <x:c r="J235" s="141" t="n">
        <x:f>IF(E235-F235&gt;0,MIN(E235-F235,P235),0)</x:f>
        <x:v>0</x:v>
      </x:c>
      <x:c r="K235" s="141" t="n">
        <x:f>I235+J235</x:f>
        <x:v>0</x:v>
      </x:c>
      <x:c r="L235" s="141" t="n">
        <x:f>MAX(0,E235-F235-J235)</x:f>
        <x:v>0</x:v>
      </x:c>
      <x:c r="M235" s="141" t="n">
        <x:f>SUM($K$6:K235)</x:f>
        <x:v>185795.9624076597</x:v>
      </x:c>
      <x:c r="N235" s="140" t="str">
        <x:f>IF(C235=0,"Encerrado",IF(L235=0,"Quitado","Aberto"))</x:f>
        <x:v>Encerrado</x:v>
      </x:c>
      <x:c r="O235" s="141" t="n">
        <x:f>IF(C235&gt;0,Premissas!$B$35,0)</x:f>
        <x:v>0</x:v>
      </x:c>
      <x:c r="P235" s="141" t="n">
        <x:f>IF(C235&gt;0,MAX(0,O235-I235),0)</x:f>
        <x:v>0</x:v>
      </x:c>
      <x:c r="Q235" s="141" t="n">
        <x:f>J235-IF(E235-F235&gt;0,MIN(E235-F235,P235),0)</x:f>
        <x:v>0</x:v>
      </x:c>
    </x:row>
    <x:row r="236">
      <x:c r="A236" s="142" t="n">
        <x:v>231</x:v>
      </x:c>
      <x:c r="B236" s="179" t="n">
        <x:f>EDATE(Premissas!$B$4,230)</x:f>
        <x:v>53540</x:v>
      </x:c>
      <x:c r="C236" s="141" t="n">
        <x:f>L235</x:f>
        <x:v>0</x:v>
      </x:c>
      <x:c r="D236" s="141" t="n">
        <x:f>IF(C236&gt;0,C236*Premissas!$B$17,0)</x:f>
        <x:v>0</x:v>
      </x:c>
      <x:c r="E236" s="141" t="n">
        <x:f>C236+D236</x:f>
        <x:v>0</x:v>
      </x:c>
      <x:c r="F236" s="141" t="n">
        <x:f>IF(E236&gt;0,MIN(E236,INDEX(Financiamento!$G$6:$G$485,A236)),0)</x:f>
        <x:v>0</x:v>
      </x:c>
      <x:c r="G236" s="141" t="n">
        <x:f>IF(E236&gt;0,E236*Premissas!$B$15,0)</x:f>
        <x:v>0</x:v>
      </x:c>
      <x:c r="H236" s="141" t="n">
        <x:f>IF(E236&gt;0,Premissas!$B$18,0)</x:f>
        <x:v>0</x:v>
      </x:c>
      <x:c r="I236" s="141" t="n">
        <x:f>F236+G236+H236</x:f>
        <x:v>0</x:v>
      </x:c>
      <x:c r="J236" s="141" t="n">
        <x:f>IF(E236-F236&gt;0,MIN(E236-F236,P236),0)</x:f>
        <x:v>0</x:v>
      </x:c>
      <x:c r="K236" s="141" t="n">
        <x:f>I236+J236</x:f>
        <x:v>0</x:v>
      </x:c>
      <x:c r="L236" s="141" t="n">
        <x:f>MAX(0,E236-F236-J236)</x:f>
        <x:v>0</x:v>
      </x:c>
      <x:c r="M236" s="141" t="n">
        <x:f>SUM($K$6:K236)</x:f>
        <x:v>185795.9624076597</x:v>
      </x:c>
      <x:c r="N236" s="140" t="str">
        <x:f>IF(C236=0,"Encerrado",IF(L236=0,"Quitado","Aberto"))</x:f>
        <x:v>Encerrado</x:v>
      </x:c>
      <x:c r="O236" s="141" t="n">
        <x:f>IF(C236&gt;0,Premissas!$B$35,0)</x:f>
        <x:v>0</x:v>
      </x:c>
      <x:c r="P236" s="141" t="n">
        <x:f>IF(C236&gt;0,MAX(0,O236-I236),0)</x:f>
        <x:v>0</x:v>
      </x:c>
      <x:c r="Q236" s="141" t="n">
        <x:f>J236-IF(E236-F236&gt;0,MIN(E236-F236,P236),0)</x:f>
        <x:v>0</x:v>
      </x:c>
    </x:row>
    <x:row r="237">
      <x:c r="A237" s="142" t="n">
        <x:v>232</x:v>
      </x:c>
      <x:c r="B237" s="179" t="n">
        <x:f>EDATE(Premissas!$B$4,231)</x:f>
        <x:v>53571</x:v>
      </x:c>
      <x:c r="C237" s="141" t="n">
        <x:f>L236</x:f>
        <x:v>0</x:v>
      </x:c>
      <x:c r="D237" s="141" t="n">
        <x:f>IF(C237&gt;0,C237*Premissas!$B$17,0)</x:f>
        <x:v>0</x:v>
      </x:c>
      <x:c r="E237" s="141" t="n">
        <x:f>C237+D237</x:f>
        <x:v>0</x:v>
      </x:c>
      <x:c r="F237" s="141" t="n">
        <x:f>IF(E237&gt;0,MIN(E237,INDEX(Financiamento!$G$6:$G$485,A237)),0)</x:f>
        <x:v>0</x:v>
      </x:c>
      <x:c r="G237" s="141" t="n">
        <x:f>IF(E237&gt;0,E237*Premissas!$B$15,0)</x:f>
        <x:v>0</x:v>
      </x:c>
      <x:c r="H237" s="141" t="n">
        <x:f>IF(E237&gt;0,Premissas!$B$18,0)</x:f>
        <x:v>0</x:v>
      </x:c>
      <x:c r="I237" s="141" t="n">
        <x:f>F237+G237+H237</x:f>
        <x:v>0</x:v>
      </x:c>
      <x:c r="J237" s="141" t="n">
        <x:f>IF(E237-F237&gt;0,MIN(E237-F237,P237),0)</x:f>
        <x:v>0</x:v>
      </x:c>
      <x:c r="K237" s="141" t="n">
        <x:f>I237+J237</x:f>
        <x:v>0</x:v>
      </x:c>
      <x:c r="L237" s="141" t="n">
        <x:f>MAX(0,E237-F237-J237)</x:f>
        <x:v>0</x:v>
      </x:c>
      <x:c r="M237" s="141" t="n">
        <x:f>SUM($K$6:K237)</x:f>
        <x:v>185795.9624076597</x:v>
      </x:c>
      <x:c r="N237" s="140" t="str">
        <x:f>IF(C237=0,"Encerrado",IF(L237=0,"Quitado","Aberto"))</x:f>
        <x:v>Encerrado</x:v>
      </x:c>
      <x:c r="O237" s="141" t="n">
        <x:f>IF(C237&gt;0,Premissas!$B$35,0)</x:f>
        <x:v>0</x:v>
      </x:c>
      <x:c r="P237" s="141" t="n">
        <x:f>IF(C237&gt;0,MAX(0,O237-I237),0)</x:f>
        <x:v>0</x:v>
      </x:c>
      <x:c r="Q237" s="141" t="n">
        <x:f>J237-IF(E237-F237&gt;0,MIN(E237-F237,P237),0)</x:f>
        <x:v>0</x:v>
      </x:c>
    </x:row>
    <x:row r="238">
      <x:c r="A238" s="142" t="n">
        <x:v>233</x:v>
      </x:c>
      <x:c r="B238" s="179" t="n">
        <x:f>EDATE(Premissas!$B$4,232)</x:f>
        <x:v>53601</x:v>
      </x:c>
      <x:c r="C238" s="141" t="n">
        <x:f>L237</x:f>
        <x:v>0</x:v>
      </x:c>
      <x:c r="D238" s="141" t="n">
        <x:f>IF(C238&gt;0,C238*Premissas!$B$17,0)</x:f>
        <x:v>0</x:v>
      </x:c>
      <x:c r="E238" s="141" t="n">
        <x:f>C238+D238</x:f>
        <x:v>0</x:v>
      </x:c>
      <x:c r="F238" s="141" t="n">
        <x:f>IF(E238&gt;0,MIN(E238,INDEX(Financiamento!$G$6:$G$485,A238)),0)</x:f>
        <x:v>0</x:v>
      </x:c>
      <x:c r="G238" s="141" t="n">
        <x:f>IF(E238&gt;0,E238*Premissas!$B$15,0)</x:f>
        <x:v>0</x:v>
      </x:c>
      <x:c r="H238" s="141" t="n">
        <x:f>IF(E238&gt;0,Premissas!$B$18,0)</x:f>
        <x:v>0</x:v>
      </x:c>
      <x:c r="I238" s="141" t="n">
        <x:f>F238+G238+H238</x:f>
        <x:v>0</x:v>
      </x:c>
      <x:c r="J238" s="141" t="n">
        <x:f>IF(E238-F238&gt;0,MIN(E238-F238,P238),0)</x:f>
        <x:v>0</x:v>
      </x:c>
      <x:c r="K238" s="141" t="n">
        <x:f>I238+J238</x:f>
        <x:v>0</x:v>
      </x:c>
      <x:c r="L238" s="141" t="n">
        <x:f>MAX(0,E238-F238-J238)</x:f>
        <x:v>0</x:v>
      </x:c>
      <x:c r="M238" s="141" t="n">
        <x:f>SUM($K$6:K238)</x:f>
        <x:v>185795.9624076597</x:v>
      </x:c>
      <x:c r="N238" s="140" t="str">
        <x:f>IF(C238=0,"Encerrado",IF(L238=0,"Quitado","Aberto"))</x:f>
        <x:v>Encerrado</x:v>
      </x:c>
      <x:c r="O238" s="141" t="n">
        <x:f>IF(C238&gt;0,Premissas!$B$35,0)</x:f>
        <x:v>0</x:v>
      </x:c>
      <x:c r="P238" s="141" t="n">
        <x:f>IF(C238&gt;0,MAX(0,O238-I238),0)</x:f>
        <x:v>0</x:v>
      </x:c>
      <x:c r="Q238" s="141" t="n">
        <x:f>J238-IF(E238-F238&gt;0,MIN(E238-F238,P238),0)</x:f>
        <x:v>0</x:v>
      </x:c>
    </x:row>
    <x:row r="239">
      <x:c r="A239" s="142" t="n">
        <x:v>234</x:v>
      </x:c>
      <x:c r="B239" s="179" t="n">
        <x:f>EDATE(Premissas!$B$4,233)</x:f>
        <x:v>53632</x:v>
      </x:c>
      <x:c r="C239" s="141" t="n">
        <x:f>L238</x:f>
        <x:v>0</x:v>
      </x:c>
      <x:c r="D239" s="141" t="n">
        <x:f>IF(C239&gt;0,C239*Premissas!$B$17,0)</x:f>
        <x:v>0</x:v>
      </x:c>
      <x:c r="E239" s="141" t="n">
        <x:f>C239+D239</x:f>
        <x:v>0</x:v>
      </x:c>
      <x:c r="F239" s="141" t="n">
        <x:f>IF(E239&gt;0,MIN(E239,INDEX(Financiamento!$G$6:$G$485,A239)),0)</x:f>
        <x:v>0</x:v>
      </x:c>
      <x:c r="G239" s="141" t="n">
        <x:f>IF(E239&gt;0,E239*Premissas!$B$15,0)</x:f>
        <x:v>0</x:v>
      </x:c>
      <x:c r="H239" s="141" t="n">
        <x:f>IF(E239&gt;0,Premissas!$B$18,0)</x:f>
        <x:v>0</x:v>
      </x:c>
      <x:c r="I239" s="141" t="n">
        <x:f>F239+G239+H239</x:f>
        <x:v>0</x:v>
      </x:c>
      <x:c r="J239" s="141" t="n">
        <x:f>IF(E239-F239&gt;0,MIN(E239-F239,P239),0)</x:f>
        <x:v>0</x:v>
      </x:c>
      <x:c r="K239" s="141" t="n">
        <x:f>I239+J239</x:f>
        <x:v>0</x:v>
      </x:c>
      <x:c r="L239" s="141" t="n">
        <x:f>MAX(0,E239-F239-J239)</x:f>
        <x:v>0</x:v>
      </x:c>
      <x:c r="M239" s="141" t="n">
        <x:f>SUM($K$6:K239)</x:f>
        <x:v>185795.9624076597</x:v>
      </x:c>
      <x:c r="N239" s="140" t="str">
        <x:f>IF(C239=0,"Encerrado",IF(L239=0,"Quitado","Aberto"))</x:f>
        <x:v>Encerrado</x:v>
      </x:c>
      <x:c r="O239" s="141" t="n">
        <x:f>IF(C239&gt;0,Premissas!$B$35,0)</x:f>
        <x:v>0</x:v>
      </x:c>
      <x:c r="P239" s="141" t="n">
        <x:f>IF(C239&gt;0,MAX(0,O239-I239),0)</x:f>
        <x:v>0</x:v>
      </x:c>
      <x:c r="Q239" s="141" t="n">
        <x:f>J239-IF(E239-F239&gt;0,MIN(E239-F239,P239),0)</x:f>
        <x:v>0</x:v>
      </x:c>
    </x:row>
    <x:row r="240">
      <x:c r="A240" s="142" t="n">
        <x:v>235</x:v>
      </x:c>
      <x:c r="B240" s="179" t="n">
        <x:f>EDATE(Premissas!$B$4,234)</x:f>
        <x:v>53662</x:v>
      </x:c>
      <x:c r="C240" s="141" t="n">
        <x:f>L239</x:f>
        <x:v>0</x:v>
      </x:c>
      <x:c r="D240" s="141" t="n">
        <x:f>IF(C240&gt;0,C240*Premissas!$B$17,0)</x:f>
        <x:v>0</x:v>
      </x:c>
      <x:c r="E240" s="141" t="n">
        <x:f>C240+D240</x:f>
        <x:v>0</x:v>
      </x:c>
      <x:c r="F240" s="141" t="n">
        <x:f>IF(E240&gt;0,MIN(E240,INDEX(Financiamento!$G$6:$G$485,A240)),0)</x:f>
        <x:v>0</x:v>
      </x:c>
      <x:c r="G240" s="141" t="n">
        <x:f>IF(E240&gt;0,E240*Premissas!$B$15,0)</x:f>
        <x:v>0</x:v>
      </x:c>
      <x:c r="H240" s="141" t="n">
        <x:f>IF(E240&gt;0,Premissas!$B$18,0)</x:f>
        <x:v>0</x:v>
      </x:c>
      <x:c r="I240" s="141" t="n">
        <x:f>F240+G240+H240</x:f>
        <x:v>0</x:v>
      </x:c>
      <x:c r="J240" s="141" t="n">
        <x:f>IF(E240-F240&gt;0,MIN(E240-F240,P240),0)</x:f>
        <x:v>0</x:v>
      </x:c>
      <x:c r="K240" s="141" t="n">
        <x:f>I240+J240</x:f>
        <x:v>0</x:v>
      </x:c>
      <x:c r="L240" s="141" t="n">
        <x:f>MAX(0,E240-F240-J240)</x:f>
        <x:v>0</x:v>
      </x:c>
      <x:c r="M240" s="141" t="n">
        <x:f>SUM($K$6:K240)</x:f>
        <x:v>185795.9624076597</x:v>
      </x:c>
      <x:c r="N240" s="140" t="str">
        <x:f>IF(C240=0,"Encerrado",IF(L240=0,"Quitado","Aberto"))</x:f>
        <x:v>Encerrado</x:v>
      </x:c>
      <x:c r="O240" s="141" t="n">
        <x:f>IF(C240&gt;0,Premissas!$B$35,0)</x:f>
        <x:v>0</x:v>
      </x:c>
      <x:c r="P240" s="141" t="n">
        <x:f>IF(C240&gt;0,MAX(0,O240-I240),0)</x:f>
        <x:v>0</x:v>
      </x:c>
      <x:c r="Q240" s="141" t="n">
        <x:f>J240-IF(E240-F240&gt;0,MIN(E240-F240,P240),0)</x:f>
        <x:v>0</x:v>
      </x:c>
    </x:row>
    <x:row r="241">
      <x:c r="A241" s="142" t="n">
        <x:v>236</x:v>
      </x:c>
      <x:c r="B241" s="179" t="n">
        <x:f>EDATE(Premissas!$B$4,235)</x:f>
        <x:v>53693</x:v>
      </x:c>
      <x:c r="C241" s="141" t="n">
        <x:f>L240</x:f>
        <x:v>0</x:v>
      </x:c>
      <x:c r="D241" s="141" t="n">
        <x:f>IF(C241&gt;0,C241*Premissas!$B$17,0)</x:f>
        <x:v>0</x:v>
      </x:c>
      <x:c r="E241" s="141" t="n">
        <x:f>C241+D241</x:f>
        <x:v>0</x:v>
      </x:c>
      <x:c r="F241" s="141" t="n">
        <x:f>IF(E241&gt;0,MIN(E241,INDEX(Financiamento!$G$6:$G$485,A241)),0)</x:f>
        <x:v>0</x:v>
      </x:c>
      <x:c r="G241" s="141" t="n">
        <x:f>IF(E241&gt;0,E241*Premissas!$B$15,0)</x:f>
        <x:v>0</x:v>
      </x:c>
      <x:c r="H241" s="141" t="n">
        <x:f>IF(E241&gt;0,Premissas!$B$18,0)</x:f>
        <x:v>0</x:v>
      </x:c>
      <x:c r="I241" s="141" t="n">
        <x:f>F241+G241+H241</x:f>
        <x:v>0</x:v>
      </x:c>
      <x:c r="J241" s="141" t="n">
        <x:f>IF(E241-F241&gt;0,MIN(E241-F241,P241),0)</x:f>
        <x:v>0</x:v>
      </x:c>
      <x:c r="K241" s="141" t="n">
        <x:f>I241+J241</x:f>
        <x:v>0</x:v>
      </x:c>
      <x:c r="L241" s="141" t="n">
        <x:f>MAX(0,E241-F241-J241)</x:f>
        <x:v>0</x:v>
      </x:c>
      <x:c r="M241" s="141" t="n">
        <x:f>SUM($K$6:K241)</x:f>
        <x:v>185795.9624076597</x:v>
      </x:c>
      <x:c r="N241" s="140" t="str">
        <x:f>IF(C241=0,"Encerrado",IF(L241=0,"Quitado","Aberto"))</x:f>
        <x:v>Encerrado</x:v>
      </x:c>
      <x:c r="O241" s="141" t="n">
        <x:f>IF(C241&gt;0,Premissas!$B$35,0)</x:f>
        <x:v>0</x:v>
      </x:c>
      <x:c r="P241" s="141" t="n">
        <x:f>IF(C241&gt;0,MAX(0,O241-I241),0)</x:f>
        <x:v>0</x:v>
      </x:c>
      <x:c r="Q241" s="141" t="n">
        <x:f>J241-IF(E241-F241&gt;0,MIN(E241-F241,P241),0)</x:f>
        <x:v>0</x:v>
      </x:c>
    </x:row>
    <x:row r="242">
      <x:c r="A242" s="142" t="n">
        <x:v>237</x:v>
      </x:c>
      <x:c r="B242" s="179" t="n">
        <x:f>EDATE(Premissas!$B$4,236)</x:f>
        <x:v>53724</x:v>
      </x:c>
      <x:c r="C242" s="141" t="n">
        <x:f>L241</x:f>
        <x:v>0</x:v>
      </x:c>
      <x:c r="D242" s="141" t="n">
        <x:f>IF(C242&gt;0,C242*Premissas!$B$17,0)</x:f>
        <x:v>0</x:v>
      </x:c>
      <x:c r="E242" s="141" t="n">
        <x:f>C242+D242</x:f>
        <x:v>0</x:v>
      </x:c>
      <x:c r="F242" s="141" t="n">
        <x:f>IF(E242&gt;0,MIN(E242,INDEX(Financiamento!$G$6:$G$485,A242)),0)</x:f>
        <x:v>0</x:v>
      </x:c>
      <x:c r="G242" s="141" t="n">
        <x:f>IF(E242&gt;0,E242*Premissas!$B$15,0)</x:f>
        <x:v>0</x:v>
      </x:c>
      <x:c r="H242" s="141" t="n">
        <x:f>IF(E242&gt;0,Premissas!$B$18,0)</x:f>
        <x:v>0</x:v>
      </x:c>
      <x:c r="I242" s="141" t="n">
        <x:f>F242+G242+H242</x:f>
        <x:v>0</x:v>
      </x:c>
      <x:c r="J242" s="141" t="n">
        <x:f>IF(E242-F242&gt;0,MIN(E242-F242,P242),0)</x:f>
        <x:v>0</x:v>
      </x:c>
      <x:c r="K242" s="141" t="n">
        <x:f>I242+J242</x:f>
        <x:v>0</x:v>
      </x:c>
      <x:c r="L242" s="141" t="n">
        <x:f>MAX(0,E242-F242-J242)</x:f>
        <x:v>0</x:v>
      </x:c>
      <x:c r="M242" s="141" t="n">
        <x:f>SUM($K$6:K242)</x:f>
        <x:v>185795.9624076597</x:v>
      </x:c>
      <x:c r="N242" s="140" t="str">
        <x:f>IF(C242=0,"Encerrado",IF(L242=0,"Quitado","Aberto"))</x:f>
        <x:v>Encerrado</x:v>
      </x:c>
      <x:c r="O242" s="141" t="n">
        <x:f>IF(C242&gt;0,Premissas!$B$35,0)</x:f>
        <x:v>0</x:v>
      </x:c>
      <x:c r="P242" s="141" t="n">
        <x:f>IF(C242&gt;0,MAX(0,O242-I242),0)</x:f>
        <x:v>0</x:v>
      </x:c>
      <x:c r="Q242" s="141" t="n">
        <x:f>J242-IF(E242-F242&gt;0,MIN(E242-F242,P242),0)</x:f>
        <x:v>0</x:v>
      </x:c>
    </x:row>
    <x:row r="243">
      <x:c r="A243" s="142" t="n">
        <x:v>238</x:v>
      </x:c>
      <x:c r="B243" s="179" t="n">
        <x:f>EDATE(Premissas!$B$4,237)</x:f>
        <x:v>53752</x:v>
      </x:c>
      <x:c r="C243" s="141" t="n">
        <x:f>L242</x:f>
        <x:v>0</x:v>
      </x:c>
      <x:c r="D243" s="141" t="n">
        <x:f>IF(C243&gt;0,C243*Premissas!$B$17,0)</x:f>
        <x:v>0</x:v>
      </x:c>
      <x:c r="E243" s="141" t="n">
        <x:f>C243+D243</x:f>
        <x:v>0</x:v>
      </x:c>
      <x:c r="F243" s="141" t="n">
        <x:f>IF(E243&gt;0,MIN(E243,INDEX(Financiamento!$G$6:$G$485,A243)),0)</x:f>
        <x:v>0</x:v>
      </x:c>
      <x:c r="G243" s="141" t="n">
        <x:f>IF(E243&gt;0,E243*Premissas!$B$15,0)</x:f>
        <x:v>0</x:v>
      </x:c>
      <x:c r="H243" s="141" t="n">
        <x:f>IF(E243&gt;0,Premissas!$B$18,0)</x:f>
        <x:v>0</x:v>
      </x:c>
      <x:c r="I243" s="141" t="n">
        <x:f>F243+G243+H243</x:f>
        <x:v>0</x:v>
      </x:c>
      <x:c r="J243" s="141" t="n">
        <x:f>IF(E243-F243&gt;0,MIN(E243-F243,P243),0)</x:f>
        <x:v>0</x:v>
      </x:c>
      <x:c r="K243" s="141" t="n">
        <x:f>I243+J243</x:f>
        <x:v>0</x:v>
      </x:c>
      <x:c r="L243" s="141" t="n">
        <x:f>MAX(0,E243-F243-J243)</x:f>
        <x:v>0</x:v>
      </x:c>
      <x:c r="M243" s="141" t="n">
        <x:f>SUM($K$6:K243)</x:f>
        <x:v>185795.9624076597</x:v>
      </x:c>
      <x:c r="N243" s="140" t="str">
        <x:f>IF(C243=0,"Encerrado",IF(L243=0,"Quitado","Aberto"))</x:f>
        <x:v>Encerrado</x:v>
      </x:c>
      <x:c r="O243" s="141" t="n">
        <x:f>IF(C243&gt;0,Premissas!$B$35,0)</x:f>
        <x:v>0</x:v>
      </x:c>
      <x:c r="P243" s="141" t="n">
        <x:f>IF(C243&gt;0,MAX(0,O243-I243),0)</x:f>
        <x:v>0</x:v>
      </x:c>
      <x:c r="Q243" s="141" t="n">
        <x:f>J243-IF(E243-F243&gt;0,MIN(E243-F243,P243),0)</x:f>
        <x:v>0</x:v>
      </x:c>
    </x:row>
    <x:row r="244">
      <x:c r="A244" s="142" t="n">
        <x:v>239</x:v>
      </x:c>
      <x:c r="B244" s="179" t="n">
        <x:f>EDATE(Premissas!$B$4,238)</x:f>
        <x:v>53783</x:v>
      </x:c>
      <x:c r="C244" s="141" t="n">
        <x:f>L243</x:f>
        <x:v>0</x:v>
      </x:c>
      <x:c r="D244" s="141" t="n">
        <x:f>IF(C244&gt;0,C244*Premissas!$B$17,0)</x:f>
        <x:v>0</x:v>
      </x:c>
      <x:c r="E244" s="141" t="n">
        <x:f>C244+D244</x:f>
        <x:v>0</x:v>
      </x:c>
      <x:c r="F244" s="141" t="n">
        <x:f>IF(E244&gt;0,MIN(E244,INDEX(Financiamento!$G$6:$G$485,A244)),0)</x:f>
        <x:v>0</x:v>
      </x:c>
      <x:c r="G244" s="141" t="n">
        <x:f>IF(E244&gt;0,E244*Premissas!$B$15,0)</x:f>
        <x:v>0</x:v>
      </x:c>
      <x:c r="H244" s="141" t="n">
        <x:f>IF(E244&gt;0,Premissas!$B$18,0)</x:f>
        <x:v>0</x:v>
      </x:c>
      <x:c r="I244" s="141" t="n">
        <x:f>F244+G244+H244</x:f>
        <x:v>0</x:v>
      </x:c>
      <x:c r="J244" s="141" t="n">
        <x:f>IF(E244-F244&gt;0,MIN(E244-F244,P244),0)</x:f>
        <x:v>0</x:v>
      </x:c>
      <x:c r="K244" s="141" t="n">
        <x:f>I244+J244</x:f>
        <x:v>0</x:v>
      </x:c>
      <x:c r="L244" s="141" t="n">
        <x:f>MAX(0,E244-F244-J244)</x:f>
        <x:v>0</x:v>
      </x:c>
      <x:c r="M244" s="141" t="n">
        <x:f>SUM($K$6:K244)</x:f>
        <x:v>185795.9624076597</x:v>
      </x:c>
      <x:c r="N244" s="140" t="str">
        <x:f>IF(C244=0,"Encerrado",IF(L244=0,"Quitado","Aberto"))</x:f>
        <x:v>Encerrado</x:v>
      </x:c>
      <x:c r="O244" s="141" t="n">
        <x:f>IF(C244&gt;0,Premissas!$B$35,0)</x:f>
        <x:v>0</x:v>
      </x:c>
      <x:c r="P244" s="141" t="n">
        <x:f>IF(C244&gt;0,MAX(0,O244-I244),0)</x:f>
        <x:v>0</x:v>
      </x:c>
      <x:c r="Q244" s="141" t="n">
        <x:f>J244-IF(E244-F244&gt;0,MIN(E244-F244,P244),0)</x:f>
        <x:v>0</x:v>
      </x:c>
    </x:row>
    <x:row r="245">
      <x:c r="A245" s="142" t="n">
        <x:v>240</x:v>
      </x:c>
      <x:c r="B245" s="179" t="n">
        <x:f>EDATE(Premissas!$B$4,239)</x:f>
        <x:v>53813</x:v>
      </x:c>
      <x:c r="C245" s="141" t="n">
        <x:f>L244</x:f>
        <x:v>0</x:v>
      </x:c>
      <x:c r="D245" s="141" t="n">
        <x:f>IF(C245&gt;0,C245*Premissas!$B$17,0)</x:f>
        <x:v>0</x:v>
      </x:c>
      <x:c r="E245" s="141" t="n">
        <x:f>C245+D245</x:f>
        <x:v>0</x:v>
      </x:c>
      <x:c r="F245" s="141" t="n">
        <x:f>IF(E245&gt;0,MIN(E245,INDEX(Financiamento!$G$6:$G$485,A245)),0)</x:f>
        <x:v>0</x:v>
      </x:c>
      <x:c r="G245" s="141" t="n">
        <x:f>IF(E245&gt;0,E245*Premissas!$B$15,0)</x:f>
        <x:v>0</x:v>
      </x:c>
      <x:c r="H245" s="141" t="n">
        <x:f>IF(E245&gt;0,Premissas!$B$18,0)</x:f>
        <x:v>0</x:v>
      </x:c>
      <x:c r="I245" s="141" t="n">
        <x:f>F245+G245+H245</x:f>
        <x:v>0</x:v>
      </x:c>
      <x:c r="J245" s="141" t="n">
        <x:f>IF(E245-F245&gt;0,MIN(E245-F245,P245),0)</x:f>
        <x:v>0</x:v>
      </x:c>
      <x:c r="K245" s="141" t="n">
        <x:f>I245+J245</x:f>
        <x:v>0</x:v>
      </x:c>
      <x:c r="L245" s="141" t="n">
        <x:f>MAX(0,E245-F245-J245)</x:f>
        <x:v>0</x:v>
      </x:c>
      <x:c r="M245" s="141" t="n">
        <x:f>SUM($K$6:K245)</x:f>
        <x:v>185795.9624076597</x:v>
      </x:c>
      <x:c r="N245" s="140" t="str">
        <x:f>IF(C245=0,"Encerrado",IF(L245=0,"Quitado","Aberto"))</x:f>
        <x:v>Encerrado</x:v>
      </x:c>
      <x:c r="O245" s="141" t="n">
        <x:f>IF(C245&gt;0,Premissas!$B$35,0)</x:f>
        <x:v>0</x:v>
      </x:c>
      <x:c r="P245" s="141" t="n">
        <x:f>IF(C245&gt;0,MAX(0,O245-I245),0)</x:f>
        <x:v>0</x:v>
      </x:c>
      <x:c r="Q245" s="141" t="n">
        <x:f>J245-IF(E245-F245&gt;0,MIN(E245-F245,P245),0)</x:f>
        <x:v>0</x:v>
      </x:c>
    </x:row>
    <x:row r="246">
      <x:c r="A246" s="142" t="n">
        <x:v>241</x:v>
      </x:c>
      <x:c r="B246" s="179" t="n">
        <x:f>EDATE(Premissas!$B$4,240)</x:f>
        <x:v>53844</x:v>
      </x:c>
      <x:c r="C246" s="141" t="n">
        <x:f>L245</x:f>
        <x:v>0</x:v>
      </x:c>
      <x:c r="D246" s="141" t="n">
        <x:f>IF(C246&gt;0,C246*Premissas!$B$17,0)</x:f>
        <x:v>0</x:v>
      </x:c>
      <x:c r="E246" s="141" t="n">
        <x:f>C246+D246</x:f>
        <x:v>0</x:v>
      </x:c>
      <x:c r="F246" s="141" t="n">
        <x:f>IF(E246&gt;0,MIN(E246,INDEX(Financiamento!$G$6:$G$485,A246)),0)</x:f>
        <x:v>0</x:v>
      </x:c>
      <x:c r="G246" s="141" t="n">
        <x:f>IF(E246&gt;0,E246*Premissas!$B$15,0)</x:f>
        <x:v>0</x:v>
      </x:c>
      <x:c r="H246" s="141" t="n">
        <x:f>IF(E246&gt;0,Premissas!$B$18,0)</x:f>
        <x:v>0</x:v>
      </x:c>
      <x:c r="I246" s="141" t="n">
        <x:f>F246+G246+H246</x:f>
        <x:v>0</x:v>
      </x:c>
      <x:c r="J246" s="141" t="n">
        <x:f>IF(E246-F246&gt;0,MIN(E246-F246,P246),0)</x:f>
        <x:v>0</x:v>
      </x:c>
      <x:c r="K246" s="141" t="n">
        <x:f>I246+J246</x:f>
        <x:v>0</x:v>
      </x:c>
      <x:c r="L246" s="141" t="n">
        <x:f>MAX(0,E246-F246-J246)</x:f>
        <x:v>0</x:v>
      </x:c>
      <x:c r="M246" s="141" t="n">
        <x:f>SUM($K$6:K246)</x:f>
        <x:v>185795.9624076597</x:v>
      </x:c>
      <x:c r="N246" s="140" t="str">
        <x:f>IF(C246=0,"Encerrado",IF(L246=0,"Quitado","Aberto"))</x:f>
        <x:v>Encerrado</x:v>
      </x:c>
      <x:c r="O246" s="141" t="n">
        <x:f>IF(C246&gt;0,Premissas!$B$35,0)</x:f>
        <x:v>0</x:v>
      </x:c>
      <x:c r="P246" s="141" t="n">
        <x:f>IF(C246&gt;0,MAX(0,O246-I246),0)</x:f>
        <x:v>0</x:v>
      </x:c>
      <x:c r="Q246" s="141" t="n">
        <x:f>J246-IF(E246-F246&gt;0,MIN(E246-F246,P246),0)</x:f>
        <x:v>0</x:v>
      </x:c>
    </x:row>
    <x:row r="247">
      <x:c r="A247" s="142" t="n">
        <x:v>242</x:v>
      </x:c>
      <x:c r="B247" s="179" t="n">
        <x:f>EDATE(Premissas!$B$4,241)</x:f>
        <x:v>53874</x:v>
      </x:c>
      <x:c r="C247" s="141" t="n">
        <x:f>L246</x:f>
        <x:v>0</x:v>
      </x:c>
      <x:c r="D247" s="141" t="n">
        <x:f>IF(C247&gt;0,C247*Premissas!$B$17,0)</x:f>
        <x:v>0</x:v>
      </x:c>
      <x:c r="E247" s="141" t="n">
        <x:f>C247+D247</x:f>
        <x:v>0</x:v>
      </x:c>
      <x:c r="F247" s="141" t="n">
        <x:f>IF(E247&gt;0,MIN(E247,INDEX(Financiamento!$G$6:$G$485,A247)),0)</x:f>
        <x:v>0</x:v>
      </x:c>
      <x:c r="G247" s="141" t="n">
        <x:f>IF(E247&gt;0,E247*Premissas!$B$15,0)</x:f>
        <x:v>0</x:v>
      </x:c>
      <x:c r="H247" s="141" t="n">
        <x:f>IF(E247&gt;0,Premissas!$B$18,0)</x:f>
        <x:v>0</x:v>
      </x:c>
      <x:c r="I247" s="141" t="n">
        <x:f>F247+G247+H247</x:f>
        <x:v>0</x:v>
      </x:c>
      <x:c r="J247" s="141" t="n">
        <x:f>IF(E247-F247&gt;0,MIN(E247-F247,P247),0)</x:f>
        <x:v>0</x:v>
      </x:c>
      <x:c r="K247" s="141" t="n">
        <x:f>I247+J247</x:f>
        <x:v>0</x:v>
      </x:c>
      <x:c r="L247" s="141" t="n">
        <x:f>MAX(0,E247-F247-J247)</x:f>
        <x:v>0</x:v>
      </x:c>
      <x:c r="M247" s="141" t="n">
        <x:f>SUM($K$6:K247)</x:f>
        <x:v>185795.9624076597</x:v>
      </x:c>
      <x:c r="N247" s="140" t="str">
        <x:f>IF(C247=0,"Encerrado",IF(L247=0,"Quitado","Aberto"))</x:f>
        <x:v>Encerrado</x:v>
      </x:c>
      <x:c r="O247" s="141" t="n">
        <x:f>IF(C247&gt;0,Premissas!$B$35,0)</x:f>
        <x:v>0</x:v>
      </x:c>
      <x:c r="P247" s="141" t="n">
        <x:f>IF(C247&gt;0,MAX(0,O247-I247),0)</x:f>
        <x:v>0</x:v>
      </x:c>
      <x:c r="Q247" s="141" t="n">
        <x:f>J247-IF(E247-F247&gt;0,MIN(E247-F247,P247),0)</x:f>
        <x:v>0</x:v>
      </x:c>
    </x:row>
    <x:row r="248">
      <x:c r="A248" s="142" t="n">
        <x:v>243</x:v>
      </x:c>
      <x:c r="B248" s="179" t="n">
        <x:f>EDATE(Premissas!$B$4,242)</x:f>
        <x:v>53905</x:v>
      </x:c>
      <x:c r="C248" s="141" t="n">
        <x:f>L247</x:f>
        <x:v>0</x:v>
      </x:c>
      <x:c r="D248" s="141" t="n">
        <x:f>IF(C248&gt;0,C248*Premissas!$B$17,0)</x:f>
        <x:v>0</x:v>
      </x:c>
      <x:c r="E248" s="141" t="n">
        <x:f>C248+D248</x:f>
        <x:v>0</x:v>
      </x:c>
      <x:c r="F248" s="141" t="n">
        <x:f>IF(E248&gt;0,MIN(E248,INDEX(Financiamento!$G$6:$G$485,A248)),0)</x:f>
        <x:v>0</x:v>
      </x:c>
      <x:c r="G248" s="141" t="n">
        <x:f>IF(E248&gt;0,E248*Premissas!$B$15,0)</x:f>
        <x:v>0</x:v>
      </x:c>
      <x:c r="H248" s="141" t="n">
        <x:f>IF(E248&gt;0,Premissas!$B$18,0)</x:f>
        <x:v>0</x:v>
      </x:c>
      <x:c r="I248" s="141" t="n">
        <x:f>F248+G248+H248</x:f>
        <x:v>0</x:v>
      </x:c>
      <x:c r="J248" s="141" t="n">
        <x:f>IF(E248-F248&gt;0,MIN(E248-F248,P248),0)</x:f>
        <x:v>0</x:v>
      </x:c>
      <x:c r="K248" s="141" t="n">
        <x:f>I248+J248</x:f>
        <x:v>0</x:v>
      </x:c>
      <x:c r="L248" s="141" t="n">
        <x:f>MAX(0,E248-F248-J248)</x:f>
        <x:v>0</x:v>
      </x:c>
      <x:c r="M248" s="141" t="n">
        <x:f>SUM($K$6:K248)</x:f>
        <x:v>185795.9624076597</x:v>
      </x:c>
      <x:c r="N248" s="140" t="str">
        <x:f>IF(C248=0,"Encerrado",IF(L248=0,"Quitado","Aberto"))</x:f>
        <x:v>Encerrado</x:v>
      </x:c>
      <x:c r="O248" s="141" t="n">
        <x:f>IF(C248&gt;0,Premissas!$B$35,0)</x:f>
        <x:v>0</x:v>
      </x:c>
      <x:c r="P248" s="141" t="n">
        <x:f>IF(C248&gt;0,MAX(0,O248-I248),0)</x:f>
        <x:v>0</x:v>
      </x:c>
      <x:c r="Q248" s="141" t="n">
        <x:f>J248-IF(E248-F248&gt;0,MIN(E248-F248,P248),0)</x:f>
        <x:v>0</x:v>
      </x:c>
    </x:row>
    <x:row r="249">
      <x:c r="A249" s="142" t="n">
        <x:v>244</x:v>
      </x:c>
      <x:c r="B249" s="179" t="n">
        <x:f>EDATE(Premissas!$B$4,243)</x:f>
        <x:v>53936</x:v>
      </x:c>
      <x:c r="C249" s="141" t="n">
        <x:f>L248</x:f>
        <x:v>0</x:v>
      </x:c>
      <x:c r="D249" s="141" t="n">
        <x:f>IF(C249&gt;0,C249*Premissas!$B$17,0)</x:f>
        <x:v>0</x:v>
      </x:c>
      <x:c r="E249" s="141" t="n">
        <x:f>C249+D249</x:f>
        <x:v>0</x:v>
      </x:c>
      <x:c r="F249" s="141" t="n">
        <x:f>IF(E249&gt;0,MIN(E249,INDEX(Financiamento!$G$6:$G$485,A249)),0)</x:f>
        <x:v>0</x:v>
      </x:c>
      <x:c r="G249" s="141" t="n">
        <x:f>IF(E249&gt;0,E249*Premissas!$B$15,0)</x:f>
        <x:v>0</x:v>
      </x:c>
      <x:c r="H249" s="141" t="n">
        <x:f>IF(E249&gt;0,Premissas!$B$18,0)</x:f>
        <x:v>0</x:v>
      </x:c>
      <x:c r="I249" s="141" t="n">
        <x:f>F249+G249+H249</x:f>
        <x:v>0</x:v>
      </x:c>
      <x:c r="J249" s="141" t="n">
        <x:f>IF(E249-F249&gt;0,MIN(E249-F249,P249),0)</x:f>
        <x:v>0</x:v>
      </x:c>
      <x:c r="K249" s="141" t="n">
        <x:f>I249+J249</x:f>
        <x:v>0</x:v>
      </x:c>
      <x:c r="L249" s="141" t="n">
        <x:f>MAX(0,E249-F249-J249)</x:f>
        <x:v>0</x:v>
      </x:c>
      <x:c r="M249" s="141" t="n">
        <x:f>SUM($K$6:K249)</x:f>
        <x:v>185795.9624076597</x:v>
      </x:c>
      <x:c r="N249" s="140" t="str">
        <x:f>IF(C249=0,"Encerrado",IF(L249=0,"Quitado","Aberto"))</x:f>
        <x:v>Encerrado</x:v>
      </x:c>
      <x:c r="O249" s="141" t="n">
        <x:f>IF(C249&gt;0,Premissas!$B$35,0)</x:f>
        <x:v>0</x:v>
      </x:c>
      <x:c r="P249" s="141" t="n">
        <x:f>IF(C249&gt;0,MAX(0,O249-I249),0)</x:f>
        <x:v>0</x:v>
      </x:c>
      <x:c r="Q249" s="141" t="n">
        <x:f>J249-IF(E249-F249&gt;0,MIN(E249-F249,P249),0)</x:f>
        <x:v>0</x:v>
      </x:c>
    </x:row>
    <x:row r="250">
      <x:c r="A250" s="142" t="n">
        <x:v>245</x:v>
      </x:c>
      <x:c r="B250" s="179" t="n">
        <x:f>EDATE(Premissas!$B$4,244)</x:f>
        <x:v>53966</x:v>
      </x:c>
      <x:c r="C250" s="141" t="n">
        <x:f>L249</x:f>
        <x:v>0</x:v>
      </x:c>
      <x:c r="D250" s="141" t="n">
        <x:f>IF(C250&gt;0,C250*Premissas!$B$17,0)</x:f>
        <x:v>0</x:v>
      </x:c>
      <x:c r="E250" s="141" t="n">
        <x:f>C250+D250</x:f>
        <x:v>0</x:v>
      </x:c>
      <x:c r="F250" s="141" t="n">
        <x:f>IF(E250&gt;0,MIN(E250,INDEX(Financiamento!$G$6:$G$485,A250)),0)</x:f>
        <x:v>0</x:v>
      </x:c>
      <x:c r="G250" s="141" t="n">
        <x:f>IF(E250&gt;0,E250*Premissas!$B$15,0)</x:f>
        <x:v>0</x:v>
      </x:c>
      <x:c r="H250" s="141" t="n">
        <x:f>IF(E250&gt;0,Premissas!$B$18,0)</x:f>
        <x:v>0</x:v>
      </x:c>
      <x:c r="I250" s="141" t="n">
        <x:f>F250+G250+H250</x:f>
        <x:v>0</x:v>
      </x:c>
      <x:c r="J250" s="141" t="n">
        <x:f>IF(E250-F250&gt;0,MIN(E250-F250,P250),0)</x:f>
        <x:v>0</x:v>
      </x:c>
      <x:c r="K250" s="141" t="n">
        <x:f>I250+J250</x:f>
        <x:v>0</x:v>
      </x:c>
      <x:c r="L250" s="141" t="n">
        <x:f>MAX(0,E250-F250-J250)</x:f>
        <x:v>0</x:v>
      </x:c>
      <x:c r="M250" s="141" t="n">
        <x:f>SUM($K$6:K250)</x:f>
        <x:v>185795.9624076597</x:v>
      </x:c>
      <x:c r="N250" s="140" t="str">
        <x:f>IF(C250=0,"Encerrado",IF(L250=0,"Quitado","Aberto"))</x:f>
        <x:v>Encerrado</x:v>
      </x:c>
      <x:c r="O250" s="141" t="n">
        <x:f>IF(C250&gt;0,Premissas!$B$35,0)</x:f>
        <x:v>0</x:v>
      </x:c>
      <x:c r="P250" s="141" t="n">
        <x:f>IF(C250&gt;0,MAX(0,O250-I250),0)</x:f>
        <x:v>0</x:v>
      </x:c>
      <x:c r="Q250" s="141" t="n">
        <x:f>J250-IF(E250-F250&gt;0,MIN(E250-F250,P250),0)</x:f>
        <x:v>0</x:v>
      </x:c>
    </x:row>
    <x:row r="251">
      <x:c r="A251" s="142" t="n">
        <x:v>246</x:v>
      </x:c>
      <x:c r="B251" s="179" t="n">
        <x:f>EDATE(Premissas!$B$4,245)</x:f>
        <x:v>53997</x:v>
      </x:c>
      <x:c r="C251" s="141" t="n">
        <x:f>L250</x:f>
        <x:v>0</x:v>
      </x:c>
      <x:c r="D251" s="141" t="n">
        <x:f>IF(C251&gt;0,C251*Premissas!$B$17,0)</x:f>
        <x:v>0</x:v>
      </x:c>
      <x:c r="E251" s="141" t="n">
        <x:f>C251+D251</x:f>
        <x:v>0</x:v>
      </x:c>
      <x:c r="F251" s="141" t="n">
        <x:f>IF(E251&gt;0,MIN(E251,INDEX(Financiamento!$G$6:$G$485,A251)),0)</x:f>
        <x:v>0</x:v>
      </x:c>
      <x:c r="G251" s="141" t="n">
        <x:f>IF(E251&gt;0,E251*Premissas!$B$15,0)</x:f>
        <x:v>0</x:v>
      </x:c>
      <x:c r="H251" s="141" t="n">
        <x:f>IF(E251&gt;0,Premissas!$B$18,0)</x:f>
        <x:v>0</x:v>
      </x:c>
      <x:c r="I251" s="141" t="n">
        <x:f>F251+G251+H251</x:f>
        <x:v>0</x:v>
      </x:c>
      <x:c r="J251" s="141" t="n">
        <x:f>IF(E251-F251&gt;0,MIN(E251-F251,P251),0)</x:f>
        <x:v>0</x:v>
      </x:c>
      <x:c r="K251" s="141" t="n">
        <x:f>I251+J251</x:f>
        <x:v>0</x:v>
      </x:c>
      <x:c r="L251" s="141" t="n">
        <x:f>MAX(0,E251-F251-J251)</x:f>
        <x:v>0</x:v>
      </x:c>
      <x:c r="M251" s="141" t="n">
        <x:f>SUM($K$6:K251)</x:f>
        <x:v>185795.9624076597</x:v>
      </x:c>
      <x:c r="N251" s="140" t="str">
        <x:f>IF(C251=0,"Encerrado",IF(L251=0,"Quitado","Aberto"))</x:f>
        <x:v>Encerrado</x:v>
      </x:c>
      <x:c r="O251" s="141" t="n">
        <x:f>IF(C251&gt;0,Premissas!$B$35,0)</x:f>
        <x:v>0</x:v>
      </x:c>
      <x:c r="P251" s="141" t="n">
        <x:f>IF(C251&gt;0,MAX(0,O251-I251),0)</x:f>
        <x:v>0</x:v>
      </x:c>
      <x:c r="Q251" s="141" t="n">
        <x:f>J251-IF(E251-F251&gt;0,MIN(E251-F251,P251),0)</x:f>
        <x:v>0</x:v>
      </x:c>
    </x:row>
    <x:row r="252">
      <x:c r="A252" s="142" t="n">
        <x:v>247</x:v>
      </x:c>
      <x:c r="B252" s="179" t="n">
        <x:f>EDATE(Premissas!$B$4,246)</x:f>
        <x:v>54027</x:v>
      </x:c>
      <x:c r="C252" s="141" t="n">
        <x:f>L251</x:f>
        <x:v>0</x:v>
      </x:c>
      <x:c r="D252" s="141" t="n">
        <x:f>IF(C252&gt;0,C252*Premissas!$B$17,0)</x:f>
        <x:v>0</x:v>
      </x:c>
      <x:c r="E252" s="141" t="n">
        <x:f>C252+D252</x:f>
        <x:v>0</x:v>
      </x:c>
      <x:c r="F252" s="141" t="n">
        <x:f>IF(E252&gt;0,MIN(E252,INDEX(Financiamento!$G$6:$G$485,A252)),0)</x:f>
        <x:v>0</x:v>
      </x:c>
      <x:c r="G252" s="141" t="n">
        <x:f>IF(E252&gt;0,E252*Premissas!$B$15,0)</x:f>
        <x:v>0</x:v>
      </x:c>
      <x:c r="H252" s="141" t="n">
        <x:f>IF(E252&gt;0,Premissas!$B$18,0)</x:f>
        <x:v>0</x:v>
      </x:c>
      <x:c r="I252" s="141" t="n">
        <x:f>F252+G252+H252</x:f>
        <x:v>0</x:v>
      </x:c>
      <x:c r="J252" s="141" t="n">
        <x:f>IF(E252-F252&gt;0,MIN(E252-F252,P252),0)</x:f>
        <x:v>0</x:v>
      </x:c>
      <x:c r="K252" s="141" t="n">
        <x:f>I252+J252</x:f>
        <x:v>0</x:v>
      </x:c>
      <x:c r="L252" s="141" t="n">
        <x:f>MAX(0,E252-F252-J252)</x:f>
        <x:v>0</x:v>
      </x:c>
      <x:c r="M252" s="141" t="n">
        <x:f>SUM($K$6:K252)</x:f>
        <x:v>185795.9624076597</x:v>
      </x:c>
      <x:c r="N252" s="140" t="str">
        <x:f>IF(C252=0,"Encerrado",IF(L252=0,"Quitado","Aberto"))</x:f>
        <x:v>Encerrado</x:v>
      </x:c>
      <x:c r="O252" s="141" t="n">
        <x:f>IF(C252&gt;0,Premissas!$B$35,0)</x:f>
        <x:v>0</x:v>
      </x:c>
      <x:c r="P252" s="141" t="n">
        <x:f>IF(C252&gt;0,MAX(0,O252-I252),0)</x:f>
        <x:v>0</x:v>
      </x:c>
      <x:c r="Q252" s="141" t="n">
        <x:f>J252-IF(E252-F252&gt;0,MIN(E252-F252,P252),0)</x:f>
        <x:v>0</x:v>
      </x:c>
    </x:row>
    <x:row r="253">
      <x:c r="A253" s="142" t="n">
        <x:v>248</x:v>
      </x:c>
      <x:c r="B253" s="179" t="n">
        <x:f>EDATE(Premissas!$B$4,247)</x:f>
        <x:v>54058</x:v>
      </x:c>
      <x:c r="C253" s="141" t="n">
        <x:f>L252</x:f>
        <x:v>0</x:v>
      </x:c>
      <x:c r="D253" s="141" t="n">
        <x:f>IF(C253&gt;0,C253*Premissas!$B$17,0)</x:f>
        <x:v>0</x:v>
      </x:c>
      <x:c r="E253" s="141" t="n">
        <x:f>C253+D253</x:f>
        <x:v>0</x:v>
      </x:c>
      <x:c r="F253" s="141" t="n">
        <x:f>IF(E253&gt;0,MIN(E253,INDEX(Financiamento!$G$6:$G$485,A253)),0)</x:f>
        <x:v>0</x:v>
      </x:c>
      <x:c r="G253" s="141" t="n">
        <x:f>IF(E253&gt;0,E253*Premissas!$B$15,0)</x:f>
        <x:v>0</x:v>
      </x:c>
      <x:c r="H253" s="141" t="n">
        <x:f>IF(E253&gt;0,Premissas!$B$18,0)</x:f>
        <x:v>0</x:v>
      </x:c>
      <x:c r="I253" s="141" t="n">
        <x:f>F253+G253+H253</x:f>
        <x:v>0</x:v>
      </x:c>
      <x:c r="J253" s="141" t="n">
        <x:f>IF(E253-F253&gt;0,MIN(E253-F253,P253),0)</x:f>
        <x:v>0</x:v>
      </x:c>
      <x:c r="K253" s="141" t="n">
        <x:f>I253+J253</x:f>
        <x:v>0</x:v>
      </x:c>
      <x:c r="L253" s="141" t="n">
        <x:f>MAX(0,E253-F253-J253)</x:f>
        <x:v>0</x:v>
      </x:c>
      <x:c r="M253" s="141" t="n">
        <x:f>SUM($K$6:K253)</x:f>
        <x:v>185795.9624076597</x:v>
      </x:c>
      <x:c r="N253" s="140" t="str">
        <x:f>IF(C253=0,"Encerrado",IF(L253=0,"Quitado","Aberto"))</x:f>
        <x:v>Encerrado</x:v>
      </x:c>
      <x:c r="O253" s="141" t="n">
        <x:f>IF(C253&gt;0,Premissas!$B$35,0)</x:f>
        <x:v>0</x:v>
      </x:c>
      <x:c r="P253" s="141" t="n">
        <x:f>IF(C253&gt;0,MAX(0,O253-I253),0)</x:f>
        <x:v>0</x:v>
      </x:c>
      <x:c r="Q253" s="141" t="n">
        <x:f>J253-IF(E253-F253&gt;0,MIN(E253-F253,P253),0)</x:f>
        <x:v>0</x:v>
      </x:c>
    </x:row>
    <x:row r="254">
      <x:c r="A254" s="142" t="n">
        <x:v>249</x:v>
      </x:c>
      <x:c r="B254" s="179" t="n">
        <x:f>EDATE(Premissas!$B$4,248)</x:f>
        <x:v>54089</x:v>
      </x:c>
      <x:c r="C254" s="141" t="n">
        <x:f>L253</x:f>
        <x:v>0</x:v>
      </x:c>
      <x:c r="D254" s="141" t="n">
        <x:f>IF(C254&gt;0,C254*Premissas!$B$17,0)</x:f>
        <x:v>0</x:v>
      </x:c>
      <x:c r="E254" s="141" t="n">
        <x:f>C254+D254</x:f>
        <x:v>0</x:v>
      </x:c>
      <x:c r="F254" s="141" t="n">
        <x:f>IF(E254&gt;0,MIN(E254,INDEX(Financiamento!$G$6:$G$485,A254)),0)</x:f>
        <x:v>0</x:v>
      </x:c>
      <x:c r="G254" s="141" t="n">
        <x:f>IF(E254&gt;0,E254*Premissas!$B$15,0)</x:f>
        <x:v>0</x:v>
      </x:c>
      <x:c r="H254" s="141" t="n">
        <x:f>IF(E254&gt;0,Premissas!$B$18,0)</x:f>
        <x:v>0</x:v>
      </x:c>
      <x:c r="I254" s="141" t="n">
        <x:f>F254+G254+H254</x:f>
        <x:v>0</x:v>
      </x:c>
      <x:c r="J254" s="141" t="n">
        <x:f>IF(E254-F254&gt;0,MIN(E254-F254,P254),0)</x:f>
        <x:v>0</x:v>
      </x:c>
      <x:c r="K254" s="141" t="n">
        <x:f>I254+J254</x:f>
        <x:v>0</x:v>
      </x:c>
      <x:c r="L254" s="141" t="n">
        <x:f>MAX(0,E254-F254-J254)</x:f>
        <x:v>0</x:v>
      </x:c>
      <x:c r="M254" s="141" t="n">
        <x:f>SUM($K$6:K254)</x:f>
        <x:v>185795.9624076597</x:v>
      </x:c>
      <x:c r="N254" s="140" t="str">
        <x:f>IF(C254=0,"Encerrado",IF(L254=0,"Quitado","Aberto"))</x:f>
        <x:v>Encerrado</x:v>
      </x:c>
      <x:c r="O254" s="141" t="n">
        <x:f>IF(C254&gt;0,Premissas!$B$35,0)</x:f>
        <x:v>0</x:v>
      </x:c>
      <x:c r="P254" s="141" t="n">
        <x:f>IF(C254&gt;0,MAX(0,O254-I254),0)</x:f>
        <x:v>0</x:v>
      </x:c>
      <x:c r="Q254" s="141" t="n">
        <x:f>J254-IF(E254-F254&gt;0,MIN(E254-F254,P254),0)</x:f>
        <x:v>0</x:v>
      </x:c>
    </x:row>
    <x:row r="255">
      <x:c r="A255" s="142" t="n">
        <x:v>250</x:v>
      </x:c>
      <x:c r="B255" s="179" t="n">
        <x:f>EDATE(Premissas!$B$4,249)</x:f>
        <x:v>54118</x:v>
      </x:c>
      <x:c r="C255" s="141" t="n">
        <x:f>L254</x:f>
        <x:v>0</x:v>
      </x:c>
      <x:c r="D255" s="141" t="n">
        <x:f>IF(C255&gt;0,C255*Premissas!$B$17,0)</x:f>
        <x:v>0</x:v>
      </x:c>
      <x:c r="E255" s="141" t="n">
        <x:f>C255+D255</x:f>
        <x:v>0</x:v>
      </x:c>
      <x:c r="F255" s="141" t="n">
        <x:f>IF(E255&gt;0,MIN(E255,INDEX(Financiamento!$G$6:$G$485,A255)),0)</x:f>
        <x:v>0</x:v>
      </x:c>
      <x:c r="G255" s="141" t="n">
        <x:f>IF(E255&gt;0,E255*Premissas!$B$15,0)</x:f>
        <x:v>0</x:v>
      </x:c>
      <x:c r="H255" s="141" t="n">
        <x:f>IF(E255&gt;0,Premissas!$B$18,0)</x:f>
        <x:v>0</x:v>
      </x:c>
      <x:c r="I255" s="141" t="n">
        <x:f>F255+G255+H255</x:f>
        <x:v>0</x:v>
      </x:c>
      <x:c r="J255" s="141" t="n">
        <x:f>IF(E255-F255&gt;0,MIN(E255-F255,P255),0)</x:f>
        <x:v>0</x:v>
      </x:c>
      <x:c r="K255" s="141" t="n">
        <x:f>I255+J255</x:f>
        <x:v>0</x:v>
      </x:c>
      <x:c r="L255" s="141" t="n">
        <x:f>MAX(0,E255-F255-J255)</x:f>
        <x:v>0</x:v>
      </x:c>
      <x:c r="M255" s="141" t="n">
        <x:f>SUM($K$6:K255)</x:f>
        <x:v>185795.9624076597</x:v>
      </x:c>
      <x:c r="N255" s="140" t="str">
        <x:f>IF(C255=0,"Encerrado",IF(L255=0,"Quitado","Aberto"))</x:f>
        <x:v>Encerrado</x:v>
      </x:c>
      <x:c r="O255" s="141" t="n">
        <x:f>IF(C255&gt;0,Premissas!$B$35,0)</x:f>
        <x:v>0</x:v>
      </x:c>
      <x:c r="P255" s="141" t="n">
        <x:f>IF(C255&gt;0,MAX(0,O255-I255),0)</x:f>
        <x:v>0</x:v>
      </x:c>
      <x:c r="Q255" s="141" t="n">
        <x:f>J255-IF(E255-F255&gt;0,MIN(E255-F255,P255),0)</x:f>
        <x:v>0</x:v>
      </x:c>
    </x:row>
    <x:row r="256">
      <x:c r="A256" s="142" t="n">
        <x:v>251</x:v>
      </x:c>
      <x:c r="B256" s="179" t="n">
        <x:f>EDATE(Premissas!$B$4,250)</x:f>
        <x:v>54149</x:v>
      </x:c>
      <x:c r="C256" s="141" t="n">
        <x:f>L255</x:f>
        <x:v>0</x:v>
      </x:c>
      <x:c r="D256" s="141" t="n">
        <x:f>IF(C256&gt;0,C256*Premissas!$B$17,0)</x:f>
        <x:v>0</x:v>
      </x:c>
      <x:c r="E256" s="141" t="n">
        <x:f>C256+D256</x:f>
        <x:v>0</x:v>
      </x:c>
      <x:c r="F256" s="141" t="n">
        <x:f>IF(E256&gt;0,MIN(E256,INDEX(Financiamento!$G$6:$G$485,A256)),0)</x:f>
        <x:v>0</x:v>
      </x:c>
      <x:c r="G256" s="141" t="n">
        <x:f>IF(E256&gt;0,E256*Premissas!$B$15,0)</x:f>
        <x:v>0</x:v>
      </x:c>
      <x:c r="H256" s="141" t="n">
        <x:f>IF(E256&gt;0,Premissas!$B$18,0)</x:f>
        <x:v>0</x:v>
      </x:c>
      <x:c r="I256" s="141" t="n">
        <x:f>F256+G256+H256</x:f>
        <x:v>0</x:v>
      </x:c>
      <x:c r="J256" s="141" t="n">
        <x:f>IF(E256-F256&gt;0,MIN(E256-F256,P256),0)</x:f>
        <x:v>0</x:v>
      </x:c>
      <x:c r="K256" s="141" t="n">
        <x:f>I256+J256</x:f>
        <x:v>0</x:v>
      </x:c>
      <x:c r="L256" s="141" t="n">
        <x:f>MAX(0,E256-F256-J256)</x:f>
        <x:v>0</x:v>
      </x:c>
      <x:c r="M256" s="141" t="n">
        <x:f>SUM($K$6:K256)</x:f>
        <x:v>185795.9624076597</x:v>
      </x:c>
      <x:c r="N256" s="140" t="str">
        <x:f>IF(C256=0,"Encerrado",IF(L256=0,"Quitado","Aberto"))</x:f>
        <x:v>Encerrado</x:v>
      </x:c>
      <x:c r="O256" s="141" t="n">
        <x:f>IF(C256&gt;0,Premissas!$B$35,0)</x:f>
        <x:v>0</x:v>
      </x:c>
      <x:c r="P256" s="141" t="n">
        <x:f>IF(C256&gt;0,MAX(0,O256-I256),0)</x:f>
        <x:v>0</x:v>
      </x:c>
      <x:c r="Q256" s="141" t="n">
        <x:f>J256-IF(E256-F256&gt;0,MIN(E256-F256,P256),0)</x:f>
        <x:v>0</x:v>
      </x:c>
    </x:row>
    <x:row r="257">
      <x:c r="A257" s="142" t="n">
        <x:v>252</x:v>
      </x:c>
      <x:c r="B257" s="179" t="n">
        <x:f>EDATE(Premissas!$B$4,251)</x:f>
        <x:v>54179</x:v>
      </x:c>
      <x:c r="C257" s="141" t="n">
        <x:f>L256</x:f>
        <x:v>0</x:v>
      </x:c>
      <x:c r="D257" s="141" t="n">
        <x:f>IF(C257&gt;0,C257*Premissas!$B$17,0)</x:f>
        <x:v>0</x:v>
      </x:c>
      <x:c r="E257" s="141" t="n">
        <x:f>C257+D257</x:f>
        <x:v>0</x:v>
      </x:c>
      <x:c r="F257" s="141" t="n">
        <x:f>IF(E257&gt;0,MIN(E257,INDEX(Financiamento!$G$6:$G$485,A257)),0)</x:f>
        <x:v>0</x:v>
      </x:c>
      <x:c r="G257" s="141" t="n">
        <x:f>IF(E257&gt;0,E257*Premissas!$B$15,0)</x:f>
        <x:v>0</x:v>
      </x:c>
      <x:c r="H257" s="141" t="n">
        <x:f>IF(E257&gt;0,Premissas!$B$18,0)</x:f>
        <x:v>0</x:v>
      </x:c>
      <x:c r="I257" s="141" t="n">
        <x:f>F257+G257+H257</x:f>
        <x:v>0</x:v>
      </x:c>
      <x:c r="J257" s="141" t="n">
        <x:f>IF(E257-F257&gt;0,MIN(E257-F257,P257),0)</x:f>
        <x:v>0</x:v>
      </x:c>
      <x:c r="K257" s="141" t="n">
        <x:f>I257+J257</x:f>
        <x:v>0</x:v>
      </x:c>
      <x:c r="L257" s="141" t="n">
        <x:f>MAX(0,E257-F257-J257)</x:f>
        <x:v>0</x:v>
      </x:c>
      <x:c r="M257" s="141" t="n">
        <x:f>SUM($K$6:K257)</x:f>
        <x:v>185795.9624076597</x:v>
      </x:c>
      <x:c r="N257" s="140" t="str">
        <x:f>IF(C257=0,"Encerrado",IF(L257=0,"Quitado","Aberto"))</x:f>
        <x:v>Encerrado</x:v>
      </x:c>
      <x:c r="O257" s="141" t="n">
        <x:f>IF(C257&gt;0,Premissas!$B$35,0)</x:f>
        <x:v>0</x:v>
      </x:c>
      <x:c r="P257" s="141" t="n">
        <x:f>IF(C257&gt;0,MAX(0,O257-I257),0)</x:f>
        <x:v>0</x:v>
      </x:c>
      <x:c r="Q257" s="141" t="n">
        <x:f>J257-IF(E257-F257&gt;0,MIN(E257-F257,P257),0)</x:f>
        <x:v>0</x:v>
      </x:c>
    </x:row>
    <x:row r="258">
      <x:c r="A258" s="142" t="n">
        <x:v>253</x:v>
      </x:c>
      <x:c r="B258" s="179" t="n">
        <x:f>EDATE(Premissas!$B$4,252)</x:f>
        <x:v>54210</x:v>
      </x:c>
      <x:c r="C258" s="141" t="n">
        <x:f>L257</x:f>
        <x:v>0</x:v>
      </x:c>
      <x:c r="D258" s="141" t="n">
        <x:f>IF(C258&gt;0,C258*Premissas!$B$17,0)</x:f>
        <x:v>0</x:v>
      </x:c>
      <x:c r="E258" s="141" t="n">
        <x:f>C258+D258</x:f>
        <x:v>0</x:v>
      </x:c>
      <x:c r="F258" s="141" t="n">
        <x:f>IF(E258&gt;0,MIN(E258,INDEX(Financiamento!$G$6:$G$485,A258)),0)</x:f>
        <x:v>0</x:v>
      </x:c>
      <x:c r="G258" s="141" t="n">
        <x:f>IF(E258&gt;0,E258*Premissas!$B$15,0)</x:f>
        <x:v>0</x:v>
      </x:c>
      <x:c r="H258" s="141" t="n">
        <x:f>IF(E258&gt;0,Premissas!$B$18,0)</x:f>
        <x:v>0</x:v>
      </x:c>
      <x:c r="I258" s="141" t="n">
        <x:f>F258+G258+H258</x:f>
        <x:v>0</x:v>
      </x:c>
      <x:c r="J258" s="141" t="n">
        <x:f>IF(E258-F258&gt;0,MIN(E258-F258,P258),0)</x:f>
        <x:v>0</x:v>
      </x:c>
      <x:c r="K258" s="141" t="n">
        <x:f>I258+J258</x:f>
        <x:v>0</x:v>
      </x:c>
      <x:c r="L258" s="141" t="n">
        <x:f>MAX(0,E258-F258-J258)</x:f>
        <x:v>0</x:v>
      </x:c>
      <x:c r="M258" s="141" t="n">
        <x:f>SUM($K$6:K258)</x:f>
        <x:v>185795.9624076597</x:v>
      </x:c>
      <x:c r="N258" s="140" t="str">
        <x:f>IF(C258=0,"Encerrado",IF(L258=0,"Quitado","Aberto"))</x:f>
        <x:v>Encerrado</x:v>
      </x:c>
      <x:c r="O258" s="141" t="n">
        <x:f>IF(C258&gt;0,Premissas!$B$35,0)</x:f>
        <x:v>0</x:v>
      </x:c>
      <x:c r="P258" s="141" t="n">
        <x:f>IF(C258&gt;0,MAX(0,O258-I258),0)</x:f>
        <x:v>0</x:v>
      </x:c>
      <x:c r="Q258" s="141" t="n">
        <x:f>J258-IF(E258-F258&gt;0,MIN(E258-F258,P258),0)</x:f>
        <x:v>0</x:v>
      </x:c>
    </x:row>
    <x:row r="259">
      <x:c r="A259" s="142" t="n">
        <x:v>254</x:v>
      </x:c>
      <x:c r="B259" s="179" t="n">
        <x:f>EDATE(Premissas!$B$4,253)</x:f>
        <x:v>54240</x:v>
      </x:c>
      <x:c r="C259" s="141" t="n">
        <x:f>L258</x:f>
        <x:v>0</x:v>
      </x:c>
      <x:c r="D259" s="141" t="n">
        <x:f>IF(C259&gt;0,C259*Premissas!$B$17,0)</x:f>
        <x:v>0</x:v>
      </x:c>
      <x:c r="E259" s="141" t="n">
        <x:f>C259+D259</x:f>
        <x:v>0</x:v>
      </x:c>
      <x:c r="F259" s="141" t="n">
        <x:f>IF(E259&gt;0,MIN(E259,INDEX(Financiamento!$G$6:$G$485,A259)),0)</x:f>
        <x:v>0</x:v>
      </x:c>
      <x:c r="G259" s="141" t="n">
        <x:f>IF(E259&gt;0,E259*Premissas!$B$15,0)</x:f>
        <x:v>0</x:v>
      </x:c>
      <x:c r="H259" s="141" t="n">
        <x:f>IF(E259&gt;0,Premissas!$B$18,0)</x:f>
        <x:v>0</x:v>
      </x:c>
      <x:c r="I259" s="141" t="n">
        <x:f>F259+G259+H259</x:f>
        <x:v>0</x:v>
      </x:c>
      <x:c r="J259" s="141" t="n">
        <x:f>IF(E259-F259&gt;0,MIN(E259-F259,P259),0)</x:f>
        <x:v>0</x:v>
      </x:c>
      <x:c r="K259" s="141" t="n">
        <x:f>I259+J259</x:f>
        <x:v>0</x:v>
      </x:c>
      <x:c r="L259" s="141" t="n">
        <x:f>MAX(0,E259-F259-J259)</x:f>
        <x:v>0</x:v>
      </x:c>
      <x:c r="M259" s="141" t="n">
        <x:f>SUM($K$6:K259)</x:f>
        <x:v>185795.9624076597</x:v>
      </x:c>
      <x:c r="N259" s="140" t="str">
        <x:f>IF(C259=0,"Encerrado",IF(L259=0,"Quitado","Aberto"))</x:f>
        <x:v>Encerrado</x:v>
      </x:c>
      <x:c r="O259" s="141" t="n">
        <x:f>IF(C259&gt;0,Premissas!$B$35,0)</x:f>
        <x:v>0</x:v>
      </x:c>
      <x:c r="P259" s="141" t="n">
        <x:f>IF(C259&gt;0,MAX(0,O259-I259),0)</x:f>
        <x:v>0</x:v>
      </x:c>
      <x:c r="Q259" s="141" t="n">
        <x:f>J259-IF(E259-F259&gt;0,MIN(E259-F259,P259),0)</x:f>
        <x:v>0</x:v>
      </x:c>
    </x:row>
    <x:row r="260">
      <x:c r="A260" s="142" t="n">
        <x:v>255</x:v>
      </x:c>
      <x:c r="B260" s="179" t="n">
        <x:f>EDATE(Premissas!$B$4,254)</x:f>
        <x:v>54271</x:v>
      </x:c>
      <x:c r="C260" s="141" t="n">
        <x:f>L259</x:f>
        <x:v>0</x:v>
      </x:c>
      <x:c r="D260" s="141" t="n">
        <x:f>IF(C260&gt;0,C260*Premissas!$B$17,0)</x:f>
        <x:v>0</x:v>
      </x:c>
      <x:c r="E260" s="141" t="n">
        <x:f>C260+D260</x:f>
        <x:v>0</x:v>
      </x:c>
      <x:c r="F260" s="141" t="n">
        <x:f>IF(E260&gt;0,MIN(E260,INDEX(Financiamento!$G$6:$G$485,A260)),0)</x:f>
        <x:v>0</x:v>
      </x:c>
      <x:c r="G260" s="141" t="n">
        <x:f>IF(E260&gt;0,E260*Premissas!$B$15,0)</x:f>
        <x:v>0</x:v>
      </x:c>
      <x:c r="H260" s="141" t="n">
        <x:f>IF(E260&gt;0,Premissas!$B$18,0)</x:f>
        <x:v>0</x:v>
      </x:c>
      <x:c r="I260" s="141" t="n">
        <x:f>F260+G260+H260</x:f>
        <x:v>0</x:v>
      </x:c>
      <x:c r="J260" s="141" t="n">
        <x:f>IF(E260-F260&gt;0,MIN(E260-F260,P260),0)</x:f>
        <x:v>0</x:v>
      </x:c>
      <x:c r="K260" s="141" t="n">
        <x:f>I260+J260</x:f>
        <x:v>0</x:v>
      </x:c>
      <x:c r="L260" s="141" t="n">
        <x:f>MAX(0,E260-F260-J260)</x:f>
        <x:v>0</x:v>
      </x:c>
      <x:c r="M260" s="141" t="n">
        <x:f>SUM($K$6:K260)</x:f>
        <x:v>185795.9624076597</x:v>
      </x:c>
      <x:c r="N260" s="140" t="str">
        <x:f>IF(C260=0,"Encerrado",IF(L260=0,"Quitado","Aberto"))</x:f>
        <x:v>Encerrado</x:v>
      </x:c>
      <x:c r="O260" s="141" t="n">
        <x:f>IF(C260&gt;0,Premissas!$B$35,0)</x:f>
        <x:v>0</x:v>
      </x:c>
      <x:c r="P260" s="141" t="n">
        <x:f>IF(C260&gt;0,MAX(0,O260-I260),0)</x:f>
        <x:v>0</x:v>
      </x:c>
      <x:c r="Q260" s="141" t="n">
        <x:f>J260-IF(E260-F260&gt;0,MIN(E260-F260,P260),0)</x:f>
        <x:v>0</x:v>
      </x:c>
    </x:row>
    <x:row r="261">
      <x:c r="A261" s="142" t="n">
        <x:v>256</x:v>
      </x:c>
      <x:c r="B261" s="179" t="n">
        <x:f>EDATE(Premissas!$B$4,255)</x:f>
        <x:v>54302</x:v>
      </x:c>
      <x:c r="C261" s="141" t="n">
        <x:f>L260</x:f>
        <x:v>0</x:v>
      </x:c>
      <x:c r="D261" s="141" t="n">
        <x:f>IF(C261&gt;0,C261*Premissas!$B$17,0)</x:f>
        <x:v>0</x:v>
      </x:c>
      <x:c r="E261" s="141" t="n">
        <x:f>C261+D261</x:f>
        <x:v>0</x:v>
      </x:c>
      <x:c r="F261" s="141" t="n">
        <x:f>IF(E261&gt;0,MIN(E261,INDEX(Financiamento!$G$6:$G$485,A261)),0)</x:f>
        <x:v>0</x:v>
      </x:c>
      <x:c r="G261" s="141" t="n">
        <x:f>IF(E261&gt;0,E261*Premissas!$B$15,0)</x:f>
        <x:v>0</x:v>
      </x:c>
      <x:c r="H261" s="141" t="n">
        <x:f>IF(E261&gt;0,Premissas!$B$18,0)</x:f>
        <x:v>0</x:v>
      </x:c>
      <x:c r="I261" s="141" t="n">
        <x:f>F261+G261+H261</x:f>
        <x:v>0</x:v>
      </x:c>
      <x:c r="J261" s="141" t="n">
        <x:f>IF(E261-F261&gt;0,MIN(E261-F261,P261),0)</x:f>
        <x:v>0</x:v>
      </x:c>
      <x:c r="K261" s="141" t="n">
        <x:f>I261+J261</x:f>
        <x:v>0</x:v>
      </x:c>
      <x:c r="L261" s="141" t="n">
        <x:f>MAX(0,E261-F261-J261)</x:f>
        <x:v>0</x:v>
      </x:c>
      <x:c r="M261" s="141" t="n">
        <x:f>SUM($K$6:K261)</x:f>
        <x:v>185795.9624076597</x:v>
      </x:c>
      <x:c r="N261" s="140" t="str">
        <x:f>IF(C261=0,"Encerrado",IF(L261=0,"Quitado","Aberto"))</x:f>
        <x:v>Encerrado</x:v>
      </x:c>
      <x:c r="O261" s="141" t="n">
        <x:f>IF(C261&gt;0,Premissas!$B$35,0)</x:f>
        <x:v>0</x:v>
      </x:c>
      <x:c r="P261" s="141" t="n">
        <x:f>IF(C261&gt;0,MAX(0,O261-I261),0)</x:f>
        <x:v>0</x:v>
      </x:c>
      <x:c r="Q261" s="141" t="n">
        <x:f>J261-IF(E261-F261&gt;0,MIN(E261-F261,P261),0)</x:f>
        <x:v>0</x:v>
      </x:c>
    </x:row>
    <x:row r="262">
      <x:c r="A262" s="142" t="n">
        <x:v>257</x:v>
      </x:c>
      <x:c r="B262" s="179" t="n">
        <x:f>EDATE(Premissas!$B$4,256)</x:f>
        <x:v>54332</x:v>
      </x:c>
      <x:c r="C262" s="141" t="n">
        <x:f>L261</x:f>
        <x:v>0</x:v>
      </x:c>
      <x:c r="D262" s="141" t="n">
        <x:f>IF(C262&gt;0,C262*Premissas!$B$17,0)</x:f>
        <x:v>0</x:v>
      </x:c>
      <x:c r="E262" s="141" t="n">
        <x:f>C262+D262</x:f>
        <x:v>0</x:v>
      </x:c>
      <x:c r="F262" s="141" t="n">
        <x:f>IF(E262&gt;0,MIN(E262,INDEX(Financiamento!$G$6:$G$485,A262)),0)</x:f>
        <x:v>0</x:v>
      </x:c>
      <x:c r="G262" s="141" t="n">
        <x:f>IF(E262&gt;0,E262*Premissas!$B$15,0)</x:f>
        <x:v>0</x:v>
      </x:c>
      <x:c r="H262" s="141" t="n">
        <x:f>IF(E262&gt;0,Premissas!$B$18,0)</x:f>
        <x:v>0</x:v>
      </x:c>
      <x:c r="I262" s="141" t="n">
        <x:f>F262+G262+H262</x:f>
        <x:v>0</x:v>
      </x:c>
      <x:c r="J262" s="141" t="n">
        <x:f>IF(E262-F262&gt;0,MIN(E262-F262,P262),0)</x:f>
        <x:v>0</x:v>
      </x:c>
      <x:c r="K262" s="141" t="n">
        <x:f>I262+J262</x:f>
        <x:v>0</x:v>
      </x:c>
      <x:c r="L262" s="141" t="n">
        <x:f>MAX(0,E262-F262-J262)</x:f>
        <x:v>0</x:v>
      </x:c>
      <x:c r="M262" s="141" t="n">
        <x:f>SUM($K$6:K262)</x:f>
        <x:v>185795.9624076597</x:v>
      </x:c>
      <x:c r="N262" s="140" t="str">
        <x:f>IF(C262=0,"Encerrado",IF(L262=0,"Quitado","Aberto"))</x:f>
        <x:v>Encerrado</x:v>
      </x:c>
      <x:c r="O262" s="141" t="n">
        <x:f>IF(C262&gt;0,Premissas!$B$35,0)</x:f>
        <x:v>0</x:v>
      </x:c>
      <x:c r="P262" s="141" t="n">
        <x:f>IF(C262&gt;0,MAX(0,O262-I262),0)</x:f>
        <x:v>0</x:v>
      </x:c>
      <x:c r="Q262" s="141" t="n">
        <x:f>J262-IF(E262-F262&gt;0,MIN(E262-F262,P262),0)</x:f>
        <x:v>0</x:v>
      </x:c>
    </x:row>
    <x:row r="263">
      <x:c r="A263" s="142" t="n">
        <x:v>258</x:v>
      </x:c>
      <x:c r="B263" s="179" t="n">
        <x:f>EDATE(Premissas!$B$4,257)</x:f>
        <x:v>54363</x:v>
      </x:c>
      <x:c r="C263" s="141" t="n">
        <x:f>L262</x:f>
        <x:v>0</x:v>
      </x:c>
      <x:c r="D263" s="141" t="n">
        <x:f>IF(C263&gt;0,C263*Premissas!$B$17,0)</x:f>
        <x:v>0</x:v>
      </x:c>
      <x:c r="E263" s="141" t="n">
        <x:f>C263+D263</x:f>
        <x:v>0</x:v>
      </x:c>
      <x:c r="F263" s="141" t="n">
        <x:f>IF(E263&gt;0,MIN(E263,INDEX(Financiamento!$G$6:$G$485,A263)),0)</x:f>
        <x:v>0</x:v>
      </x:c>
      <x:c r="G263" s="141" t="n">
        <x:f>IF(E263&gt;0,E263*Premissas!$B$15,0)</x:f>
        <x:v>0</x:v>
      </x:c>
      <x:c r="H263" s="141" t="n">
        <x:f>IF(E263&gt;0,Premissas!$B$18,0)</x:f>
        <x:v>0</x:v>
      </x:c>
      <x:c r="I263" s="141" t="n">
        <x:f>F263+G263+H263</x:f>
        <x:v>0</x:v>
      </x:c>
      <x:c r="J263" s="141" t="n">
        <x:f>IF(E263-F263&gt;0,MIN(E263-F263,P263),0)</x:f>
        <x:v>0</x:v>
      </x:c>
      <x:c r="K263" s="141" t="n">
        <x:f>I263+J263</x:f>
        <x:v>0</x:v>
      </x:c>
      <x:c r="L263" s="141" t="n">
        <x:f>MAX(0,E263-F263-J263)</x:f>
        <x:v>0</x:v>
      </x:c>
      <x:c r="M263" s="141" t="n">
        <x:f>SUM($K$6:K263)</x:f>
        <x:v>185795.9624076597</x:v>
      </x:c>
      <x:c r="N263" s="140" t="str">
        <x:f>IF(C263=0,"Encerrado",IF(L263=0,"Quitado","Aberto"))</x:f>
        <x:v>Encerrado</x:v>
      </x:c>
      <x:c r="O263" s="141" t="n">
        <x:f>IF(C263&gt;0,Premissas!$B$35,0)</x:f>
        <x:v>0</x:v>
      </x:c>
      <x:c r="P263" s="141" t="n">
        <x:f>IF(C263&gt;0,MAX(0,O263-I263),0)</x:f>
        <x:v>0</x:v>
      </x:c>
      <x:c r="Q263" s="141" t="n">
        <x:f>J263-IF(E263-F263&gt;0,MIN(E263-F263,P263),0)</x:f>
        <x:v>0</x:v>
      </x:c>
    </x:row>
    <x:row r="264">
      <x:c r="A264" s="142" t="n">
        <x:v>259</x:v>
      </x:c>
      <x:c r="B264" s="179" t="n">
        <x:f>EDATE(Premissas!$B$4,258)</x:f>
        <x:v>54393</x:v>
      </x:c>
      <x:c r="C264" s="141" t="n">
        <x:f>L263</x:f>
        <x:v>0</x:v>
      </x:c>
      <x:c r="D264" s="141" t="n">
        <x:f>IF(C264&gt;0,C264*Premissas!$B$17,0)</x:f>
        <x:v>0</x:v>
      </x:c>
      <x:c r="E264" s="141" t="n">
        <x:f>C264+D264</x:f>
        <x:v>0</x:v>
      </x:c>
      <x:c r="F264" s="141" t="n">
        <x:f>IF(E264&gt;0,MIN(E264,INDEX(Financiamento!$G$6:$G$485,A264)),0)</x:f>
        <x:v>0</x:v>
      </x:c>
      <x:c r="G264" s="141" t="n">
        <x:f>IF(E264&gt;0,E264*Premissas!$B$15,0)</x:f>
        <x:v>0</x:v>
      </x:c>
      <x:c r="H264" s="141" t="n">
        <x:f>IF(E264&gt;0,Premissas!$B$18,0)</x:f>
        <x:v>0</x:v>
      </x:c>
      <x:c r="I264" s="141" t="n">
        <x:f>F264+G264+H264</x:f>
        <x:v>0</x:v>
      </x:c>
      <x:c r="J264" s="141" t="n">
        <x:f>IF(E264-F264&gt;0,MIN(E264-F264,P264),0)</x:f>
        <x:v>0</x:v>
      </x:c>
      <x:c r="K264" s="141" t="n">
        <x:f>I264+J264</x:f>
        <x:v>0</x:v>
      </x:c>
      <x:c r="L264" s="141" t="n">
        <x:f>MAX(0,E264-F264-J264)</x:f>
        <x:v>0</x:v>
      </x:c>
      <x:c r="M264" s="141" t="n">
        <x:f>SUM($K$6:K264)</x:f>
        <x:v>185795.9624076597</x:v>
      </x:c>
      <x:c r="N264" s="140" t="str">
        <x:f>IF(C264=0,"Encerrado",IF(L264=0,"Quitado","Aberto"))</x:f>
        <x:v>Encerrado</x:v>
      </x:c>
      <x:c r="O264" s="141" t="n">
        <x:f>IF(C264&gt;0,Premissas!$B$35,0)</x:f>
        <x:v>0</x:v>
      </x:c>
      <x:c r="P264" s="141" t="n">
        <x:f>IF(C264&gt;0,MAX(0,O264-I264),0)</x:f>
        <x:v>0</x:v>
      </x:c>
      <x:c r="Q264" s="141" t="n">
        <x:f>J264-IF(E264-F264&gt;0,MIN(E264-F264,P264),0)</x:f>
        <x:v>0</x:v>
      </x:c>
    </x:row>
    <x:row r="265">
      <x:c r="A265" s="142" t="n">
        <x:v>260</x:v>
      </x:c>
      <x:c r="B265" s="179" t="n">
        <x:f>EDATE(Premissas!$B$4,259)</x:f>
        <x:v>54424</x:v>
      </x:c>
      <x:c r="C265" s="141" t="n">
        <x:f>L264</x:f>
        <x:v>0</x:v>
      </x:c>
      <x:c r="D265" s="141" t="n">
        <x:f>IF(C265&gt;0,C265*Premissas!$B$17,0)</x:f>
        <x:v>0</x:v>
      </x:c>
      <x:c r="E265" s="141" t="n">
        <x:f>C265+D265</x:f>
        <x:v>0</x:v>
      </x:c>
      <x:c r="F265" s="141" t="n">
        <x:f>IF(E265&gt;0,MIN(E265,INDEX(Financiamento!$G$6:$G$485,A265)),0)</x:f>
        <x:v>0</x:v>
      </x:c>
      <x:c r="G265" s="141" t="n">
        <x:f>IF(E265&gt;0,E265*Premissas!$B$15,0)</x:f>
        <x:v>0</x:v>
      </x:c>
      <x:c r="H265" s="141" t="n">
        <x:f>IF(E265&gt;0,Premissas!$B$18,0)</x:f>
        <x:v>0</x:v>
      </x:c>
      <x:c r="I265" s="141" t="n">
        <x:f>F265+G265+H265</x:f>
        <x:v>0</x:v>
      </x:c>
      <x:c r="J265" s="141" t="n">
        <x:f>IF(E265-F265&gt;0,MIN(E265-F265,P265),0)</x:f>
        <x:v>0</x:v>
      </x:c>
      <x:c r="K265" s="141" t="n">
        <x:f>I265+J265</x:f>
        <x:v>0</x:v>
      </x:c>
      <x:c r="L265" s="141" t="n">
        <x:f>MAX(0,E265-F265-J265)</x:f>
        <x:v>0</x:v>
      </x:c>
      <x:c r="M265" s="141" t="n">
        <x:f>SUM($K$6:K265)</x:f>
        <x:v>185795.9624076597</x:v>
      </x:c>
      <x:c r="N265" s="140" t="str">
        <x:f>IF(C265=0,"Encerrado",IF(L265=0,"Quitado","Aberto"))</x:f>
        <x:v>Encerrado</x:v>
      </x:c>
      <x:c r="O265" s="141" t="n">
        <x:f>IF(C265&gt;0,Premissas!$B$35,0)</x:f>
        <x:v>0</x:v>
      </x:c>
      <x:c r="P265" s="141" t="n">
        <x:f>IF(C265&gt;0,MAX(0,O265-I265),0)</x:f>
        <x:v>0</x:v>
      </x:c>
      <x:c r="Q265" s="141" t="n">
        <x:f>J265-IF(E265-F265&gt;0,MIN(E265-F265,P265),0)</x:f>
        <x:v>0</x:v>
      </x:c>
    </x:row>
    <x:row r="266">
      <x:c r="A266" s="142" t="n">
        <x:v>261</x:v>
      </x:c>
      <x:c r="B266" s="179" t="n">
        <x:f>EDATE(Premissas!$B$4,260)</x:f>
        <x:v>54455</x:v>
      </x:c>
      <x:c r="C266" s="141" t="n">
        <x:f>L265</x:f>
        <x:v>0</x:v>
      </x:c>
      <x:c r="D266" s="141" t="n">
        <x:f>IF(C266&gt;0,C266*Premissas!$B$17,0)</x:f>
        <x:v>0</x:v>
      </x:c>
      <x:c r="E266" s="141" t="n">
        <x:f>C266+D266</x:f>
        <x:v>0</x:v>
      </x:c>
      <x:c r="F266" s="141" t="n">
        <x:f>IF(E266&gt;0,MIN(E266,INDEX(Financiamento!$G$6:$G$485,A266)),0)</x:f>
        <x:v>0</x:v>
      </x:c>
      <x:c r="G266" s="141" t="n">
        <x:f>IF(E266&gt;0,E266*Premissas!$B$15,0)</x:f>
        <x:v>0</x:v>
      </x:c>
      <x:c r="H266" s="141" t="n">
        <x:f>IF(E266&gt;0,Premissas!$B$18,0)</x:f>
        <x:v>0</x:v>
      </x:c>
      <x:c r="I266" s="141" t="n">
        <x:f>F266+G266+H266</x:f>
        <x:v>0</x:v>
      </x:c>
      <x:c r="J266" s="141" t="n">
        <x:f>IF(E266-F266&gt;0,MIN(E266-F266,P266),0)</x:f>
        <x:v>0</x:v>
      </x:c>
      <x:c r="K266" s="141" t="n">
        <x:f>I266+J266</x:f>
        <x:v>0</x:v>
      </x:c>
      <x:c r="L266" s="141" t="n">
        <x:f>MAX(0,E266-F266-J266)</x:f>
        <x:v>0</x:v>
      </x:c>
      <x:c r="M266" s="141" t="n">
        <x:f>SUM($K$6:K266)</x:f>
        <x:v>185795.9624076597</x:v>
      </x:c>
      <x:c r="N266" s="140" t="str">
        <x:f>IF(C266=0,"Encerrado",IF(L266=0,"Quitado","Aberto"))</x:f>
        <x:v>Encerrado</x:v>
      </x:c>
      <x:c r="O266" s="141" t="n">
        <x:f>IF(C266&gt;0,Premissas!$B$35,0)</x:f>
        <x:v>0</x:v>
      </x:c>
      <x:c r="P266" s="141" t="n">
        <x:f>IF(C266&gt;0,MAX(0,O266-I266),0)</x:f>
        <x:v>0</x:v>
      </x:c>
      <x:c r="Q266" s="141" t="n">
        <x:f>J266-IF(E266-F266&gt;0,MIN(E266-F266,P266),0)</x:f>
        <x:v>0</x:v>
      </x:c>
    </x:row>
    <x:row r="267">
      <x:c r="A267" s="142" t="n">
        <x:v>262</x:v>
      </x:c>
      <x:c r="B267" s="179" t="n">
        <x:f>EDATE(Premissas!$B$4,261)</x:f>
        <x:v>54483</x:v>
      </x:c>
      <x:c r="C267" s="141" t="n">
        <x:f>L266</x:f>
        <x:v>0</x:v>
      </x:c>
      <x:c r="D267" s="141" t="n">
        <x:f>IF(C267&gt;0,C267*Premissas!$B$17,0)</x:f>
        <x:v>0</x:v>
      </x:c>
      <x:c r="E267" s="141" t="n">
        <x:f>C267+D267</x:f>
        <x:v>0</x:v>
      </x:c>
      <x:c r="F267" s="141" t="n">
        <x:f>IF(E267&gt;0,MIN(E267,INDEX(Financiamento!$G$6:$G$485,A267)),0)</x:f>
        <x:v>0</x:v>
      </x:c>
      <x:c r="G267" s="141" t="n">
        <x:f>IF(E267&gt;0,E267*Premissas!$B$15,0)</x:f>
        <x:v>0</x:v>
      </x:c>
      <x:c r="H267" s="141" t="n">
        <x:f>IF(E267&gt;0,Premissas!$B$18,0)</x:f>
        <x:v>0</x:v>
      </x:c>
      <x:c r="I267" s="141" t="n">
        <x:f>F267+G267+H267</x:f>
        <x:v>0</x:v>
      </x:c>
      <x:c r="J267" s="141" t="n">
        <x:f>IF(E267-F267&gt;0,MIN(E267-F267,P267),0)</x:f>
        <x:v>0</x:v>
      </x:c>
      <x:c r="K267" s="141" t="n">
        <x:f>I267+J267</x:f>
        <x:v>0</x:v>
      </x:c>
      <x:c r="L267" s="141" t="n">
        <x:f>MAX(0,E267-F267-J267)</x:f>
        <x:v>0</x:v>
      </x:c>
      <x:c r="M267" s="141" t="n">
        <x:f>SUM($K$6:K267)</x:f>
        <x:v>185795.9624076597</x:v>
      </x:c>
      <x:c r="N267" s="140" t="str">
        <x:f>IF(C267=0,"Encerrado",IF(L267=0,"Quitado","Aberto"))</x:f>
        <x:v>Encerrado</x:v>
      </x:c>
      <x:c r="O267" s="141" t="n">
        <x:f>IF(C267&gt;0,Premissas!$B$35,0)</x:f>
        <x:v>0</x:v>
      </x:c>
      <x:c r="P267" s="141" t="n">
        <x:f>IF(C267&gt;0,MAX(0,O267-I267),0)</x:f>
        <x:v>0</x:v>
      </x:c>
      <x:c r="Q267" s="141" t="n">
        <x:f>J267-IF(E267-F267&gt;0,MIN(E267-F267,P267),0)</x:f>
        <x:v>0</x:v>
      </x:c>
    </x:row>
    <x:row r="268">
      <x:c r="A268" s="142" t="n">
        <x:v>263</x:v>
      </x:c>
      <x:c r="B268" s="179" t="n">
        <x:f>EDATE(Premissas!$B$4,262)</x:f>
        <x:v>54514</x:v>
      </x:c>
      <x:c r="C268" s="141" t="n">
        <x:f>L267</x:f>
        <x:v>0</x:v>
      </x:c>
      <x:c r="D268" s="141" t="n">
        <x:f>IF(C268&gt;0,C268*Premissas!$B$17,0)</x:f>
        <x:v>0</x:v>
      </x:c>
      <x:c r="E268" s="141" t="n">
        <x:f>C268+D268</x:f>
        <x:v>0</x:v>
      </x:c>
      <x:c r="F268" s="141" t="n">
        <x:f>IF(E268&gt;0,MIN(E268,INDEX(Financiamento!$G$6:$G$485,A268)),0)</x:f>
        <x:v>0</x:v>
      </x:c>
      <x:c r="G268" s="141" t="n">
        <x:f>IF(E268&gt;0,E268*Premissas!$B$15,0)</x:f>
        <x:v>0</x:v>
      </x:c>
      <x:c r="H268" s="141" t="n">
        <x:f>IF(E268&gt;0,Premissas!$B$18,0)</x:f>
        <x:v>0</x:v>
      </x:c>
      <x:c r="I268" s="141" t="n">
        <x:f>F268+G268+H268</x:f>
        <x:v>0</x:v>
      </x:c>
      <x:c r="J268" s="141" t="n">
        <x:f>IF(E268-F268&gt;0,MIN(E268-F268,P268),0)</x:f>
        <x:v>0</x:v>
      </x:c>
      <x:c r="K268" s="141" t="n">
        <x:f>I268+J268</x:f>
        <x:v>0</x:v>
      </x:c>
      <x:c r="L268" s="141" t="n">
        <x:f>MAX(0,E268-F268-J268)</x:f>
        <x:v>0</x:v>
      </x:c>
      <x:c r="M268" s="141" t="n">
        <x:f>SUM($K$6:K268)</x:f>
        <x:v>185795.9624076597</x:v>
      </x:c>
      <x:c r="N268" s="140" t="str">
        <x:f>IF(C268=0,"Encerrado",IF(L268=0,"Quitado","Aberto"))</x:f>
        <x:v>Encerrado</x:v>
      </x:c>
      <x:c r="O268" s="141" t="n">
        <x:f>IF(C268&gt;0,Premissas!$B$35,0)</x:f>
        <x:v>0</x:v>
      </x:c>
      <x:c r="P268" s="141" t="n">
        <x:f>IF(C268&gt;0,MAX(0,O268-I268),0)</x:f>
        <x:v>0</x:v>
      </x:c>
      <x:c r="Q268" s="141" t="n">
        <x:f>J268-IF(E268-F268&gt;0,MIN(E268-F268,P268),0)</x:f>
        <x:v>0</x:v>
      </x:c>
    </x:row>
    <x:row r="269">
      <x:c r="A269" s="142" t="n">
        <x:v>264</x:v>
      </x:c>
      <x:c r="B269" s="179" t="n">
        <x:f>EDATE(Premissas!$B$4,263)</x:f>
        <x:v>54544</x:v>
      </x:c>
      <x:c r="C269" s="141" t="n">
        <x:f>L268</x:f>
        <x:v>0</x:v>
      </x:c>
      <x:c r="D269" s="141" t="n">
        <x:f>IF(C269&gt;0,C269*Premissas!$B$17,0)</x:f>
        <x:v>0</x:v>
      </x:c>
      <x:c r="E269" s="141" t="n">
        <x:f>C269+D269</x:f>
        <x:v>0</x:v>
      </x:c>
      <x:c r="F269" s="141" t="n">
        <x:f>IF(E269&gt;0,MIN(E269,INDEX(Financiamento!$G$6:$G$485,A269)),0)</x:f>
        <x:v>0</x:v>
      </x:c>
      <x:c r="G269" s="141" t="n">
        <x:f>IF(E269&gt;0,E269*Premissas!$B$15,0)</x:f>
        <x:v>0</x:v>
      </x:c>
      <x:c r="H269" s="141" t="n">
        <x:f>IF(E269&gt;0,Premissas!$B$18,0)</x:f>
        <x:v>0</x:v>
      </x:c>
      <x:c r="I269" s="141" t="n">
        <x:f>F269+G269+H269</x:f>
        <x:v>0</x:v>
      </x:c>
      <x:c r="J269" s="141" t="n">
        <x:f>IF(E269-F269&gt;0,MIN(E269-F269,P269),0)</x:f>
        <x:v>0</x:v>
      </x:c>
      <x:c r="K269" s="141" t="n">
        <x:f>I269+J269</x:f>
        <x:v>0</x:v>
      </x:c>
      <x:c r="L269" s="141" t="n">
        <x:f>MAX(0,E269-F269-J269)</x:f>
        <x:v>0</x:v>
      </x:c>
      <x:c r="M269" s="141" t="n">
        <x:f>SUM($K$6:K269)</x:f>
        <x:v>185795.9624076597</x:v>
      </x:c>
      <x:c r="N269" s="140" t="str">
        <x:f>IF(C269=0,"Encerrado",IF(L269=0,"Quitado","Aberto"))</x:f>
        <x:v>Encerrado</x:v>
      </x:c>
      <x:c r="O269" s="141" t="n">
        <x:f>IF(C269&gt;0,Premissas!$B$35,0)</x:f>
        <x:v>0</x:v>
      </x:c>
      <x:c r="P269" s="141" t="n">
        <x:f>IF(C269&gt;0,MAX(0,O269-I269),0)</x:f>
        <x:v>0</x:v>
      </x:c>
      <x:c r="Q269" s="141" t="n">
        <x:f>J269-IF(E269-F269&gt;0,MIN(E269-F269,P269),0)</x:f>
        <x:v>0</x:v>
      </x:c>
    </x:row>
    <x:row r="270">
      <x:c r="A270" s="142" t="n">
        <x:v>265</x:v>
      </x:c>
      <x:c r="B270" s="179" t="n">
        <x:f>EDATE(Premissas!$B$4,264)</x:f>
        <x:v>54575</x:v>
      </x:c>
      <x:c r="C270" s="141" t="n">
        <x:f>L269</x:f>
        <x:v>0</x:v>
      </x:c>
      <x:c r="D270" s="141" t="n">
        <x:f>IF(C270&gt;0,C270*Premissas!$B$17,0)</x:f>
        <x:v>0</x:v>
      </x:c>
      <x:c r="E270" s="141" t="n">
        <x:f>C270+D270</x:f>
        <x:v>0</x:v>
      </x:c>
      <x:c r="F270" s="141" t="n">
        <x:f>IF(E270&gt;0,MIN(E270,INDEX(Financiamento!$G$6:$G$485,A270)),0)</x:f>
        <x:v>0</x:v>
      </x:c>
      <x:c r="G270" s="141" t="n">
        <x:f>IF(E270&gt;0,E270*Premissas!$B$15,0)</x:f>
        <x:v>0</x:v>
      </x:c>
      <x:c r="H270" s="141" t="n">
        <x:f>IF(E270&gt;0,Premissas!$B$18,0)</x:f>
        <x:v>0</x:v>
      </x:c>
      <x:c r="I270" s="141" t="n">
        <x:f>F270+G270+H270</x:f>
        <x:v>0</x:v>
      </x:c>
      <x:c r="J270" s="141" t="n">
        <x:f>IF(E270-F270&gt;0,MIN(E270-F270,P270),0)</x:f>
        <x:v>0</x:v>
      </x:c>
      <x:c r="K270" s="141" t="n">
        <x:f>I270+J270</x:f>
        <x:v>0</x:v>
      </x:c>
      <x:c r="L270" s="141" t="n">
        <x:f>MAX(0,E270-F270-J270)</x:f>
        <x:v>0</x:v>
      </x:c>
      <x:c r="M270" s="141" t="n">
        <x:f>SUM($K$6:K270)</x:f>
        <x:v>185795.9624076597</x:v>
      </x:c>
      <x:c r="N270" s="140" t="str">
        <x:f>IF(C270=0,"Encerrado",IF(L270=0,"Quitado","Aberto"))</x:f>
        <x:v>Encerrado</x:v>
      </x:c>
      <x:c r="O270" s="141" t="n">
        <x:f>IF(C270&gt;0,Premissas!$B$35,0)</x:f>
        <x:v>0</x:v>
      </x:c>
      <x:c r="P270" s="141" t="n">
        <x:f>IF(C270&gt;0,MAX(0,O270-I270),0)</x:f>
        <x:v>0</x:v>
      </x:c>
      <x:c r="Q270" s="141" t="n">
        <x:f>J270-IF(E270-F270&gt;0,MIN(E270-F270,P270),0)</x:f>
        <x:v>0</x:v>
      </x:c>
    </x:row>
    <x:row r="271">
      <x:c r="A271" s="142" t="n">
        <x:v>266</x:v>
      </x:c>
      <x:c r="B271" s="179" t="n">
        <x:f>EDATE(Premissas!$B$4,265)</x:f>
        <x:v>54605</x:v>
      </x:c>
      <x:c r="C271" s="141" t="n">
        <x:f>L270</x:f>
        <x:v>0</x:v>
      </x:c>
      <x:c r="D271" s="141" t="n">
        <x:f>IF(C271&gt;0,C271*Premissas!$B$17,0)</x:f>
        <x:v>0</x:v>
      </x:c>
      <x:c r="E271" s="141" t="n">
        <x:f>C271+D271</x:f>
        <x:v>0</x:v>
      </x:c>
      <x:c r="F271" s="141" t="n">
        <x:f>IF(E271&gt;0,MIN(E271,INDEX(Financiamento!$G$6:$G$485,A271)),0)</x:f>
        <x:v>0</x:v>
      </x:c>
      <x:c r="G271" s="141" t="n">
        <x:f>IF(E271&gt;0,E271*Premissas!$B$15,0)</x:f>
        <x:v>0</x:v>
      </x:c>
      <x:c r="H271" s="141" t="n">
        <x:f>IF(E271&gt;0,Premissas!$B$18,0)</x:f>
        <x:v>0</x:v>
      </x:c>
      <x:c r="I271" s="141" t="n">
        <x:f>F271+G271+H271</x:f>
        <x:v>0</x:v>
      </x:c>
      <x:c r="J271" s="141" t="n">
        <x:f>IF(E271-F271&gt;0,MIN(E271-F271,P271),0)</x:f>
        <x:v>0</x:v>
      </x:c>
      <x:c r="K271" s="141" t="n">
        <x:f>I271+J271</x:f>
        <x:v>0</x:v>
      </x:c>
      <x:c r="L271" s="141" t="n">
        <x:f>MAX(0,E271-F271-J271)</x:f>
        <x:v>0</x:v>
      </x:c>
      <x:c r="M271" s="141" t="n">
        <x:f>SUM($K$6:K271)</x:f>
        <x:v>185795.9624076597</x:v>
      </x:c>
      <x:c r="N271" s="140" t="str">
        <x:f>IF(C271=0,"Encerrado",IF(L271=0,"Quitado","Aberto"))</x:f>
        <x:v>Encerrado</x:v>
      </x:c>
      <x:c r="O271" s="141" t="n">
        <x:f>IF(C271&gt;0,Premissas!$B$35,0)</x:f>
        <x:v>0</x:v>
      </x:c>
      <x:c r="P271" s="141" t="n">
        <x:f>IF(C271&gt;0,MAX(0,O271-I271),0)</x:f>
        <x:v>0</x:v>
      </x:c>
      <x:c r="Q271" s="141" t="n">
        <x:f>J271-IF(E271-F271&gt;0,MIN(E271-F271,P271),0)</x:f>
        <x:v>0</x:v>
      </x:c>
    </x:row>
    <x:row r="272">
      <x:c r="A272" s="142" t="n">
        <x:v>267</x:v>
      </x:c>
      <x:c r="B272" s="179" t="n">
        <x:f>EDATE(Premissas!$B$4,266)</x:f>
        <x:v>54636</x:v>
      </x:c>
      <x:c r="C272" s="141" t="n">
        <x:f>L271</x:f>
        <x:v>0</x:v>
      </x:c>
      <x:c r="D272" s="141" t="n">
        <x:f>IF(C272&gt;0,C272*Premissas!$B$17,0)</x:f>
        <x:v>0</x:v>
      </x:c>
      <x:c r="E272" s="141" t="n">
        <x:f>C272+D272</x:f>
        <x:v>0</x:v>
      </x:c>
      <x:c r="F272" s="141" t="n">
        <x:f>IF(E272&gt;0,MIN(E272,INDEX(Financiamento!$G$6:$G$485,A272)),0)</x:f>
        <x:v>0</x:v>
      </x:c>
      <x:c r="G272" s="141" t="n">
        <x:f>IF(E272&gt;0,E272*Premissas!$B$15,0)</x:f>
        <x:v>0</x:v>
      </x:c>
      <x:c r="H272" s="141" t="n">
        <x:f>IF(E272&gt;0,Premissas!$B$18,0)</x:f>
        <x:v>0</x:v>
      </x:c>
      <x:c r="I272" s="141" t="n">
        <x:f>F272+G272+H272</x:f>
        <x:v>0</x:v>
      </x:c>
      <x:c r="J272" s="141" t="n">
        <x:f>IF(E272-F272&gt;0,MIN(E272-F272,P272),0)</x:f>
        <x:v>0</x:v>
      </x:c>
      <x:c r="K272" s="141" t="n">
        <x:f>I272+J272</x:f>
        <x:v>0</x:v>
      </x:c>
      <x:c r="L272" s="141" t="n">
        <x:f>MAX(0,E272-F272-J272)</x:f>
        <x:v>0</x:v>
      </x:c>
      <x:c r="M272" s="141" t="n">
        <x:f>SUM($K$6:K272)</x:f>
        <x:v>185795.9624076597</x:v>
      </x:c>
      <x:c r="N272" s="140" t="str">
        <x:f>IF(C272=0,"Encerrado",IF(L272=0,"Quitado","Aberto"))</x:f>
        <x:v>Encerrado</x:v>
      </x:c>
      <x:c r="O272" s="141" t="n">
        <x:f>IF(C272&gt;0,Premissas!$B$35,0)</x:f>
        <x:v>0</x:v>
      </x:c>
      <x:c r="P272" s="141" t="n">
        <x:f>IF(C272&gt;0,MAX(0,O272-I272),0)</x:f>
        <x:v>0</x:v>
      </x:c>
      <x:c r="Q272" s="141" t="n">
        <x:f>J272-IF(E272-F272&gt;0,MIN(E272-F272,P272),0)</x:f>
        <x:v>0</x:v>
      </x:c>
    </x:row>
    <x:row r="273">
      <x:c r="A273" s="142" t="n">
        <x:v>268</x:v>
      </x:c>
      <x:c r="B273" s="179" t="n">
        <x:f>EDATE(Premissas!$B$4,267)</x:f>
        <x:v>54667</x:v>
      </x:c>
      <x:c r="C273" s="141" t="n">
        <x:f>L272</x:f>
        <x:v>0</x:v>
      </x:c>
      <x:c r="D273" s="141" t="n">
        <x:f>IF(C273&gt;0,C273*Premissas!$B$17,0)</x:f>
        <x:v>0</x:v>
      </x:c>
      <x:c r="E273" s="141" t="n">
        <x:f>C273+D273</x:f>
        <x:v>0</x:v>
      </x:c>
      <x:c r="F273" s="141" t="n">
        <x:f>IF(E273&gt;0,MIN(E273,INDEX(Financiamento!$G$6:$G$485,A273)),0)</x:f>
        <x:v>0</x:v>
      </x:c>
      <x:c r="G273" s="141" t="n">
        <x:f>IF(E273&gt;0,E273*Premissas!$B$15,0)</x:f>
        <x:v>0</x:v>
      </x:c>
      <x:c r="H273" s="141" t="n">
        <x:f>IF(E273&gt;0,Premissas!$B$18,0)</x:f>
        <x:v>0</x:v>
      </x:c>
      <x:c r="I273" s="141" t="n">
        <x:f>F273+G273+H273</x:f>
        <x:v>0</x:v>
      </x:c>
      <x:c r="J273" s="141" t="n">
        <x:f>IF(E273-F273&gt;0,MIN(E273-F273,P273),0)</x:f>
        <x:v>0</x:v>
      </x:c>
      <x:c r="K273" s="141" t="n">
        <x:f>I273+J273</x:f>
        <x:v>0</x:v>
      </x:c>
      <x:c r="L273" s="141" t="n">
        <x:f>MAX(0,E273-F273-J273)</x:f>
        <x:v>0</x:v>
      </x:c>
      <x:c r="M273" s="141" t="n">
        <x:f>SUM($K$6:K273)</x:f>
        <x:v>185795.9624076597</x:v>
      </x:c>
      <x:c r="N273" s="140" t="str">
        <x:f>IF(C273=0,"Encerrado",IF(L273=0,"Quitado","Aberto"))</x:f>
        <x:v>Encerrado</x:v>
      </x:c>
      <x:c r="O273" s="141" t="n">
        <x:f>IF(C273&gt;0,Premissas!$B$35,0)</x:f>
        <x:v>0</x:v>
      </x:c>
      <x:c r="P273" s="141" t="n">
        <x:f>IF(C273&gt;0,MAX(0,O273-I273),0)</x:f>
        <x:v>0</x:v>
      </x:c>
      <x:c r="Q273" s="141" t="n">
        <x:f>J273-IF(E273-F273&gt;0,MIN(E273-F273,P273),0)</x:f>
        <x:v>0</x:v>
      </x:c>
    </x:row>
    <x:row r="274">
      <x:c r="A274" s="142" t="n">
        <x:v>269</x:v>
      </x:c>
      <x:c r="B274" s="179" t="n">
        <x:f>EDATE(Premissas!$B$4,268)</x:f>
        <x:v>54697</x:v>
      </x:c>
      <x:c r="C274" s="141" t="n">
        <x:f>L273</x:f>
        <x:v>0</x:v>
      </x:c>
      <x:c r="D274" s="141" t="n">
        <x:f>IF(C274&gt;0,C274*Premissas!$B$17,0)</x:f>
        <x:v>0</x:v>
      </x:c>
      <x:c r="E274" s="141" t="n">
        <x:f>C274+D274</x:f>
        <x:v>0</x:v>
      </x:c>
      <x:c r="F274" s="141" t="n">
        <x:f>IF(E274&gt;0,MIN(E274,INDEX(Financiamento!$G$6:$G$485,A274)),0)</x:f>
        <x:v>0</x:v>
      </x:c>
      <x:c r="G274" s="141" t="n">
        <x:f>IF(E274&gt;0,E274*Premissas!$B$15,0)</x:f>
        <x:v>0</x:v>
      </x:c>
      <x:c r="H274" s="141" t="n">
        <x:f>IF(E274&gt;0,Premissas!$B$18,0)</x:f>
        <x:v>0</x:v>
      </x:c>
      <x:c r="I274" s="141" t="n">
        <x:f>F274+G274+H274</x:f>
        <x:v>0</x:v>
      </x:c>
      <x:c r="J274" s="141" t="n">
        <x:f>IF(E274-F274&gt;0,MIN(E274-F274,P274),0)</x:f>
        <x:v>0</x:v>
      </x:c>
      <x:c r="K274" s="141" t="n">
        <x:f>I274+J274</x:f>
        <x:v>0</x:v>
      </x:c>
      <x:c r="L274" s="141" t="n">
        <x:f>MAX(0,E274-F274-J274)</x:f>
        <x:v>0</x:v>
      </x:c>
      <x:c r="M274" s="141" t="n">
        <x:f>SUM($K$6:K274)</x:f>
        <x:v>185795.9624076597</x:v>
      </x:c>
      <x:c r="N274" s="140" t="str">
        <x:f>IF(C274=0,"Encerrado",IF(L274=0,"Quitado","Aberto"))</x:f>
        <x:v>Encerrado</x:v>
      </x:c>
      <x:c r="O274" s="141" t="n">
        <x:f>IF(C274&gt;0,Premissas!$B$35,0)</x:f>
        <x:v>0</x:v>
      </x:c>
      <x:c r="P274" s="141" t="n">
        <x:f>IF(C274&gt;0,MAX(0,O274-I274),0)</x:f>
        <x:v>0</x:v>
      </x:c>
      <x:c r="Q274" s="141" t="n">
        <x:f>J274-IF(E274-F274&gt;0,MIN(E274-F274,P274),0)</x:f>
        <x:v>0</x:v>
      </x:c>
    </x:row>
    <x:row r="275">
      <x:c r="A275" s="142" t="n">
        <x:v>270</x:v>
      </x:c>
      <x:c r="B275" s="179" t="n">
        <x:f>EDATE(Premissas!$B$4,269)</x:f>
        <x:v>54728</x:v>
      </x:c>
      <x:c r="C275" s="141" t="n">
        <x:f>L274</x:f>
        <x:v>0</x:v>
      </x:c>
      <x:c r="D275" s="141" t="n">
        <x:f>IF(C275&gt;0,C275*Premissas!$B$17,0)</x:f>
        <x:v>0</x:v>
      </x:c>
      <x:c r="E275" s="141" t="n">
        <x:f>C275+D275</x:f>
        <x:v>0</x:v>
      </x:c>
      <x:c r="F275" s="141" t="n">
        <x:f>IF(E275&gt;0,MIN(E275,INDEX(Financiamento!$G$6:$G$485,A275)),0)</x:f>
        <x:v>0</x:v>
      </x:c>
      <x:c r="G275" s="141" t="n">
        <x:f>IF(E275&gt;0,E275*Premissas!$B$15,0)</x:f>
        <x:v>0</x:v>
      </x:c>
      <x:c r="H275" s="141" t="n">
        <x:f>IF(E275&gt;0,Premissas!$B$18,0)</x:f>
        <x:v>0</x:v>
      </x:c>
      <x:c r="I275" s="141" t="n">
        <x:f>F275+G275+H275</x:f>
        <x:v>0</x:v>
      </x:c>
      <x:c r="J275" s="141" t="n">
        <x:f>IF(E275-F275&gt;0,MIN(E275-F275,P275),0)</x:f>
        <x:v>0</x:v>
      </x:c>
      <x:c r="K275" s="141" t="n">
        <x:f>I275+J275</x:f>
        <x:v>0</x:v>
      </x:c>
      <x:c r="L275" s="141" t="n">
        <x:f>MAX(0,E275-F275-J275)</x:f>
        <x:v>0</x:v>
      </x:c>
      <x:c r="M275" s="141" t="n">
        <x:f>SUM($K$6:K275)</x:f>
        <x:v>185795.9624076597</x:v>
      </x:c>
      <x:c r="N275" s="140" t="str">
        <x:f>IF(C275=0,"Encerrado",IF(L275=0,"Quitado","Aberto"))</x:f>
        <x:v>Encerrado</x:v>
      </x:c>
      <x:c r="O275" s="141" t="n">
        <x:f>IF(C275&gt;0,Premissas!$B$35,0)</x:f>
        <x:v>0</x:v>
      </x:c>
      <x:c r="P275" s="141" t="n">
        <x:f>IF(C275&gt;0,MAX(0,O275-I275),0)</x:f>
        <x:v>0</x:v>
      </x:c>
      <x:c r="Q275" s="141" t="n">
        <x:f>J275-IF(E275-F275&gt;0,MIN(E275-F275,P275),0)</x:f>
        <x:v>0</x:v>
      </x:c>
    </x:row>
    <x:row r="276">
      <x:c r="A276" s="142" t="n">
        <x:v>271</x:v>
      </x:c>
      <x:c r="B276" s="179" t="n">
        <x:f>EDATE(Premissas!$B$4,270)</x:f>
        <x:v>54758</x:v>
      </x:c>
      <x:c r="C276" s="141" t="n">
        <x:f>L275</x:f>
        <x:v>0</x:v>
      </x:c>
      <x:c r="D276" s="141" t="n">
        <x:f>IF(C276&gt;0,C276*Premissas!$B$17,0)</x:f>
        <x:v>0</x:v>
      </x:c>
      <x:c r="E276" s="141" t="n">
        <x:f>C276+D276</x:f>
        <x:v>0</x:v>
      </x:c>
      <x:c r="F276" s="141" t="n">
        <x:f>IF(E276&gt;0,MIN(E276,INDEX(Financiamento!$G$6:$G$485,A276)),0)</x:f>
        <x:v>0</x:v>
      </x:c>
      <x:c r="G276" s="141" t="n">
        <x:f>IF(E276&gt;0,E276*Premissas!$B$15,0)</x:f>
        <x:v>0</x:v>
      </x:c>
      <x:c r="H276" s="141" t="n">
        <x:f>IF(E276&gt;0,Premissas!$B$18,0)</x:f>
        <x:v>0</x:v>
      </x:c>
      <x:c r="I276" s="141" t="n">
        <x:f>F276+G276+H276</x:f>
        <x:v>0</x:v>
      </x:c>
      <x:c r="J276" s="141" t="n">
        <x:f>IF(E276-F276&gt;0,MIN(E276-F276,P276),0)</x:f>
        <x:v>0</x:v>
      </x:c>
      <x:c r="K276" s="141" t="n">
        <x:f>I276+J276</x:f>
        <x:v>0</x:v>
      </x:c>
      <x:c r="L276" s="141" t="n">
        <x:f>MAX(0,E276-F276-J276)</x:f>
        <x:v>0</x:v>
      </x:c>
      <x:c r="M276" s="141" t="n">
        <x:f>SUM($K$6:K276)</x:f>
        <x:v>185795.9624076597</x:v>
      </x:c>
      <x:c r="N276" s="140" t="str">
        <x:f>IF(C276=0,"Encerrado",IF(L276=0,"Quitado","Aberto"))</x:f>
        <x:v>Encerrado</x:v>
      </x:c>
      <x:c r="O276" s="141" t="n">
        <x:f>IF(C276&gt;0,Premissas!$B$35,0)</x:f>
        <x:v>0</x:v>
      </x:c>
      <x:c r="P276" s="141" t="n">
        <x:f>IF(C276&gt;0,MAX(0,O276-I276),0)</x:f>
        <x:v>0</x:v>
      </x:c>
      <x:c r="Q276" s="141" t="n">
        <x:f>J276-IF(E276-F276&gt;0,MIN(E276-F276,P276),0)</x:f>
        <x:v>0</x:v>
      </x:c>
    </x:row>
    <x:row r="277">
      <x:c r="A277" s="142" t="n">
        <x:v>272</x:v>
      </x:c>
      <x:c r="B277" s="179" t="n">
        <x:f>EDATE(Premissas!$B$4,271)</x:f>
        <x:v>54789</x:v>
      </x:c>
      <x:c r="C277" s="141" t="n">
        <x:f>L276</x:f>
        <x:v>0</x:v>
      </x:c>
      <x:c r="D277" s="141" t="n">
        <x:f>IF(C277&gt;0,C277*Premissas!$B$17,0)</x:f>
        <x:v>0</x:v>
      </x:c>
      <x:c r="E277" s="141" t="n">
        <x:f>C277+D277</x:f>
        <x:v>0</x:v>
      </x:c>
      <x:c r="F277" s="141" t="n">
        <x:f>IF(E277&gt;0,MIN(E277,INDEX(Financiamento!$G$6:$G$485,A277)),0)</x:f>
        <x:v>0</x:v>
      </x:c>
      <x:c r="G277" s="141" t="n">
        <x:f>IF(E277&gt;0,E277*Premissas!$B$15,0)</x:f>
        <x:v>0</x:v>
      </x:c>
      <x:c r="H277" s="141" t="n">
        <x:f>IF(E277&gt;0,Premissas!$B$18,0)</x:f>
        <x:v>0</x:v>
      </x:c>
      <x:c r="I277" s="141" t="n">
        <x:f>F277+G277+H277</x:f>
        <x:v>0</x:v>
      </x:c>
      <x:c r="J277" s="141" t="n">
        <x:f>IF(E277-F277&gt;0,MIN(E277-F277,P277),0)</x:f>
        <x:v>0</x:v>
      </x:c>
      <x:c r="K277" s="141" t="n">
        <x:f>I277+J277</x:f>
        <x:v>0</x:v>
      </x:c>
      <x:c r="L277" s="141" t="n">
        <x:f>MAX(0,E277-F277-J277)</x:f>
        <x:v>0</x:v>
      </x:c>
      <x:c r="M277" s="141" t="n">
        <x:f>SUM($K$6:K277)</x:f>
        <x:v>185795.9624076597</x:v>
      </x:c>
      <x:c r="N277" s="140" t="str">
        <x:f>IF(C277=0,"Encerrado",IF(L277=0,"Quitado","Aberto"))</x:f>
        <x:v>Encerrado</x:v>
      </x:c>
      <x:c r="O277" s="141" t="n">
        <x:f>IF(C277&gt;0,Premissas!$B$35,0)</x:f>
        <x:v>0</x:v>
      </x:c>
      <x:c r="P277" s="141" t="n">
        <x:f>IF(C277&gt;0,MAX(0,O277-I277),0)</x:f>
        <x:v>0</x:v>
      </x:c>
      <x:c r="Q277" s="141" t="n">
        <x:f>J277-IF(E277-F277&gt;0,MIN(E277-F277,P277),0)</x:f>
        <x:v>0</x:v>
      </x:c>
    </x:row>
    <x:row r="278">
      <x:c r="A278" s="142" t="n">
        <x:v>273</x:v>
      </x:c>
      <x:c r="B278" s="179" t="n">
        <x:f>EDATE(Premissas!$B$4,272)</x:f>
        <x:v>54820</x:v>
      </x:c>
      <x:c r="C278" s="141" t="n">
        <x:f>L277</x:f>
        <x:v>0</x:v>
      </x:c>
      <x:c r="D278" s="141" t="n">
        <x:f>IF(C278&gt;0,C278*Premissas!$B$17,0)</x:f>
        <x:v>0</x:v>
      </x:c>
      <x:c r="E278" s="141" t="n">
        <x:f>C278+D278</x:f>
        <x:v>0</x:v>
      </x:c>
      <x:c r="F278" s="141" t="n">
        <x:f>IF(E278&gt;0,MIN(E278,INDEX(Financiamento!$G$6:$G$485,A278)),0)</x:f>
        <x:v>0</x:v>
      </x:c>
      <x:c r="G278" s="141" t="n">
        <x:f>IF(E278&gt;0,E278*Premissas!$B$15,0)</x:f>
        <x:v>0</x:v>
      </x:c>
      <x:c r="H278" s="141" t="n">
        <x:f>IF(E278&gt;0,Premissas!$B$18,0)</x:f>
        <x:v>0</x:v>
      </x:c>
      <x:c r="I278" s="141" t="n">
        <x:f>F278+G278+H278</x:f>
        <x:v>0</x:v>
      </x:c>
      <x:c r="J278" s="141" t="n">
        <x:f>IF(E278-F278&gt;0,MIN(E278-F278,P278),0)</x:f>
        <x:v>0</x:v>
      </x:c>
      <x:c r="K278" s="141" t="n">
        <x:f>I278+J278</x:f>
        <x:v>0</x:v>
      </x:c>
      <x:c r="L278" s="141" t="n">
        <x:f>MAX(0,E278-F278-J278)</x:f>
        <x:v>0</x:v>
      </x:c>
      <x:c r="M278" s="141" t="n">
        <x:f>SUM($K$6:K278)</x:f>
        <x:v>185795.9624076597</x:v>
      </x:c>
      <x:c r="N278" s="140" t="str">
        <x:f>IF(C278=0,"Encerrado",IF(L278=0,"Quitado","Aberto"))</x:f>
        <x:v>Encerrado</x:v>
      </x:c>
      <x:c r="O278" s="141" t="n">
        <x:f>IF(C278&gt;0,Premissas!$B$35,0)</x:f>
        <x:v>0</x:v>
      </x:c>
      <x:c r="P278" s="141" t="n">
        <x:f>IF(C278&gt;0,MAX(0,O278-I278),0)</x:f>
        <x:v>0</x:v>
      </x:c>
      <x:c r="Q278" s="141" t="n">
        <x:f>J278-IF(E278-F278&gt;0,MIN(E278-F278,P278),0)</x:f>
        <x:v>0</x:v>
      </x:c>
    </x:row>
    <x:row r="279">
      <x:c r="A279" s="142" t="n">
        <x:v>274</x:v>
      </x:c>
      <x:c r="B279" s="179" t="n">
        <x:f>EDATE(Premissas!$B$4,273)</x:f>
        <x:v>54848</x:v>
      </x:c>
      <x:c r="C279" s="141" t="n">
        <x:f>L278</x:f>
        <x:v>0</x:v>
      </x:c>
      <x:c r="D279" s="141" t="n">
        <x:f>IF(C279&gt;0,C279*Premissas!$B$17,0)</x:f>
        <x:v>0</x:v>
      </x:c>
      <x:c r="E279" s="141" t="n">
        <x:f>C279+D279</x:f>
        <x:v>0</x:v>
      </x:c>
      <x:c r="F279" s="141" t="n">
        <x:f>IF(E279&gt;0,MIN(E279,INDEX(Financiamento!$G$6:$G$485,A279)),0)</x:f>
        <x:v>0</x:v>
      </x:c>
      <x:c r="G279" s="141" t="n">
        <x:f>IF(E279&gt;0,E279*Premissas!$B$15,0)</x:f>
        <x:v>0</x:v>
      </x:c>
      <x:c r="H279" s="141" t="n">
        <x:f>IF(E279&gt;0,Premissas!$B$18,0)</x:f>
        <x:v>0</x:v>
      </x:c>
      <x:c r="I279" s="141" t="n">
        <x:f>F279+G279+H279</x:f>
        <x:v>0</x:v>
      </x:c>
      <x:c r="J279" s="141" t="n">
        <x:f>IF(E279-F279&gt;0,MIN(E279-F279,P279),0)</x:f>
        <x:v>0</x:v>
      </x:c>
      <x:c r="K279" s="141" t="n">
        <x:f>I279+J279</x:f>
        <x:v>0</x:v>
      </x:c>
      <x:c r="L279" s="141" t="n">
        <x:f>MAX(0,E279-F279-J279)</x:f>
        <x:v>0</x:v>
      </x:c>
      <x:c r="M279" s="141" t="n">
        <x:f>SUM($K$6:K279)</x:f>
        <x:v>185795.9624076597</x:v>
      </x:c>
      <x:c r="N279" s="140" t="str">
        <x:f>IF(C279=0,"Encerrado",IF(L279=0,"Quitado","Aberto"))</x:f>
        <x:v>Encerrado</x:v>
      </x:c>
      <x:c r="O279" s="141" t="n">
        <x:f>IF(C279&gt;0,Premissas!$B$35,0)</x:f>
        <x:v>0</x:v>
      </x:c>
      <x:c r="P279" s="141" t="n">
        <x:f>IF(C279&gt;0,MAX(0,O279-I279),0)</x:f>
        <x:v>0</x:v>
      </x:c>
      <x:c r="Q279" s="141" t="n">
        <x:f>J279-IF(E279-F279&gt;0,MIN(E279-F279,P279),0)</x:f>
        <x:v>0</x:v>
      </x:c>
    </x:row>
    <x:row r="280">
      <x:c r="A280" s="142" t="n">
        <x:v>275</x:v>
      </x:c>
      <x:c r="B280" s="179" t="n">
        <x:f>EDATE(Premissas!$B$4,274)</x:f>
        <x:v>54879</x:v>
      </x:c>
      <x:c r="C280" s="141" t="n">
        <x:f>L279</x:f>
        <x:v>0</x:v>
      </x:c>
      <x:c r="D280" s="141" t="n">
        <x:f>IF(C280&gt;0,C280*Premissas!$B$17,0)</x:f>
        <x:v>0</x:v>
      </x:c>
      <x:c r="E280" s="141" t="n">
        <x:f>C280+D280</x:f>
        <x:v>0</x:v>
      </x:c>
      <x:c r="F280" s="141" t="n">
        <x:f>IF(E280&gt;0,MIN(E280,INDEX(Financiamento!$G$6:$G$485,A280)),0)</x:f>
        <x:v>0</x:v>
      </x:c>
      <x:c r="G280" s="141" t="n">
        <x:f>IF(E280&gt;0,E280*Premissas!$B$15,0)</x:f>
        <x:v>0</x:v>
      </x:c>
      <x:c r="H280" s="141" t="n">
        <x:f>IF(E280&gt;0,Premissas!$B$18,0)</x:f>
        <x:v>0</x:v>
      </x:c>
      <x:c r="I280" s="141" t="n">
        <x:f>F280+G280+H280</x:f>
        <x:v>0</x:v>
      </x:c>
      <x:c r="J280" s="141" t="n">
        <x:f>IF(E280-F280&gt;0,MIN(E280-F280,P280),0)</x:f>
        <x:v>0</x:v>
      </x:c>
      <x:c r="K280" s="141" t="n">
        <x:f>I280+J280</x:f>
        <x:v>0</x:v>
      </x:c>
      <x:c r="L280" s="141" t="n">
        <x:f>MAX(0,E280-F280-J280)</x:f>
        <x:v>0</x:v>
      </x:c>
      <x:c r="M280" s="141" t="n">
        <x:f>SUM($K$6:K280)</x:f>
        <x:v>185795.9624076597</x:v>
      </x:c>
      <x:c r="N280" s="140" t="str">
        <x:f>IF(C280=0,"Encerrado",IF(L280=0,"Quitado","Aberto"))</x:f>
        <x:v>Encerrado</x:v>
      </x:c>
      <x:c r="O280" s="141" t="n">
        <x:f>IF(C280&gt;0,Premissas!$B$35,0)</x:f>
        <x:v>0</x:v>
      </x:c>
      <x:c r="P280" s="141" t="n">
        <x:f>IF(C280&gt;0,MAX(0,O280-I280),0)</x:f>
        <x:v>0</x:v>
      </x:c>
      <x:c r="Q280" s="141" t="n">
        <x:f>J280-IF(E280-F280&gt;0,MIN(E280-F280,P280),0)</x:f>
        <x:v>0</x:v>
      </x:c>
    </x:row>
    <x:row r="281">
      <x:c r="A281" s="142" t="n">
        <x:v>276</x:v>
      </x:c>
      <x:c r="B281" s="179" t="n">
        <x:f>EDATE(Premissas!$B$4,275)</x:f>
        <x:v>54909</x:v>
      </x:c>
      <x:c r="C281" s="141" t="n">
        <x:f>L280</x:f>
        <x:v>0</x:v>
      </x:c>
      <x:c r="D281" s="141" t="n">
        <x:f>IF(C281&gt;0,C281*Premissas!$B$17,0)</x:f>
        <x:v>0</x:v>
      </x:c>
      <x:c r="E281" s="141" t="n">
        <x:f>C281+D281</x:f>
        <x:v>0</x:v>
      </x:c>
      <x:c r="F281" s="141" t="n">
        <x:f>IF(E281&gt;0,MIN(E281,INDEX(Financiamento!$G$6:$G$485,A281)),0)</x:f>
        <x:v>0</x:v>
      </x:c>
      <x:c r="G281" s="141" t="n">
        <x:f>IF(E281&gt;0,E281*Premissas!$B$15,0)</x:f>
        <x:v>0</x:v>
      </x:c>
      <x:c r="H281" s="141" t="n">
        <x:f>IF(E281&gt;0,Premissas!$B$18,0)</x:f>
        <x:v>0</x:v>
      </x:c>
      <x:c r="I281" s="141" t="n">
        <x:f>F281+G281+H281</x:f>
        <x:v>0</x:v>
      </x:c>
      <x:c r="J281" s="141" t="n">
        <x:f>IF(E281-F281&gt;0,MIN(E281-F281,P281),0)</x:f>
        <x:v>0</x:v>
      </x:c>
      <x:c r="K281" s="141" t="n">
        <x:f>I281+J281</x:f>
        <x:v>0</x:v>
      </x:c>
      <x:c r="L281" s="141" t="n">
        <x:f>MAX(0,E281-F281-J281)</x:f>
        <x:v>0</x:v>
      </x:c>
      <x:c r="M281" s="141" t="n">
        <x:f>SUM($K$6:K281)</x:f>
        <x:v>185795.9624076597</x:v>
      </x:c>
      <x:c r="N281" s="140" t="str">
        <x:f>IF(C281=0,"Encerrado",IF(L281=0,"Quitado","Aberto"))</x:f>
        <x:v>Encerrado</x:v>
      </x:c>
      <x:c r="O281" s="141" t="n">
        <x:f>IF(C281&gt;0,Premissas!$B$35,0)</x:f>
        <x:v>0</x:v>
      </x:c>
      <x:c r="P281" s="141" t="n">
        <x:f>IF(C281&gt;0,MAX(0,O281-I281),0)</x:f>
        <x:v>0</x:v>
      </x:c>
      <x:c r="Q281" s="141" t="n">
        <x:f>J281-IF(E281-F281&gt;0,MIN(E281-F281,P281),0)</x:f>
        <x:v>0</x:v>
      </x:c>
    </x:row>
    <x:row r="282">
      <x:c r="A282" s="142" t="n">
        <x:v>277</x:v>
      </x:c>
      <x:c r="B282" s="179" t="n">
        <x:f>EDATE(Premissas!$B$4,276)</x:f>
        <x:v>54940</x:v>
      </x:c>
      <x:c r="C282" s="141" t="n">
        <x:f>L281</x:f>
        <x:v>0</x:v>
      </x:c>
      <x:c r="D282" s="141" t="n">
        <x:f>IF(C282&gt;0,C282*Premissas!$B$17,0)</x:f>
        <x:v>0</x:v>
      </x:c>
      <x:c r="E282" s="141" t="n">
        <x:f>C282+D282</x:f>
        <x:v>0</x:v>
      </x:c>
      <x:c r="F282" s="141" t="n">
        <x:f>IF(E282&gt;0,MIN(E282,INDEX(Financiamento!$G$6:$G$485,A282)),0)</x:f>
        <x:v>0</x:v>
      </x:c>
      <x:c r="G282" s="141" t="n">
        <x:f>IF(E282&gt;0,E282*Premissas!$B$15,0)</x:f>
        <x:v>0</x:v>
      </x:c>
      <x:c r="H282" s="141" t="n">
        <x:f>IF(E282&gt;0,Premissas!$B$18,0)</x:f>
        <x:v>0</x:v>
      </x:c>
      <x:c r="I282" s="141" t="n">
        <x:f>F282+G282+H282</x:f>
        <x:v>0</x:v>
      </x:c>
      <x:c r="J282" s="141" t="n">
        <x:f>IF(E282-F282&gt;0,MIN(E282-F282,P282),0)</x:f>
        <x:v>0</x:v>
      </x:c>
      <x:c r="K282" s="141" t="n">
        <x:f>I282+J282</x:f>
        <x:v>0</x:v>
      </x:c>
      <x:c r="L282" s="141" t="n">
        <x:f>MAX(0,E282-F282-J282)</x:f>
        <x:v>0</x:v>
      </x:c>
      <x:c r="M282" s="141" t="n">
        <x:f>SUM($K$6:K282)</x:f>
        <x:v>185795.9624076597</x:v>
      </x:c>
      <x:c r="N282" s="140" t="str">
        <x:f>IF(C282=0,"Encerrado",IF(L282=0,"Quitado","Aberto"))</x:f>
        <x:v>Encerrado</x:v>
      </x:c>
      <x:c r="O282" s="141" t="n">
        <x:f>IF(C282&gt;0,Premissas!$B$35,0)</x:f>
        <x:v>0</x:v>
      </x:c>
      <x:c r="P282" s="141" t="n">
        <x:f>IF(C282&gt;0,MAX(0,O282-I282),0)</x:f>
        <x:v>0</x:v>
      </x:c>
      <x:c r="Q282" s="141" t="n">
        <x:f>J282-IF(E282-F282&gt;0,MIN(E282-F282,P282),0)</x:f>
        <x:v>0</x:v>
      </x:c>
    </x:row>
    <x:row r="283">
      <x:c r="A283" s="142" t="n">
        <x:v>278</x:v>
      </x:c>
      <x:c r="B283" s="179" t="n">
        <x:f>EDATE(Premissas!$B$4,277)</x:f>
        <x:v>54970</x:v>
      </x:c>
      <x:c r="C283" s="141" t="n">
        <x:f>L282</x:f>
        <x:v>0</x:v>
      </x:c>
      <x:c r="D283" s="141" t="n">
        <x:f>IF(C283&gt;0,C283*Premissas!$B$17,0)</x:f>
        <x:v>0</x:v>
      </x:c>
      <x:c r="E283" s="141" t="n">
        <x:f>C283+D283</x:f>
        <x:v>0</x:v>
      </x:c>
      <x:c r="F283" s="141" t="n">
        <x:f>IF(E283&gt;0,MIN(E283,INDEX(Financiamento!$G$6:$G$485,A283)),0)</x:f>
        <x:v>0</x:v>
      </x:c>
      <x:c r="G283" s="141" t="n">
        <x:f>IF(E283&gt;0,E283*Premissas!$B$15,0)</x:f>
        <x:v>0</x:v>
      </x:c>
      <x:c r="H283" s="141" t="n">
        <x:f>IF(E283&gt;0,Premissas!$B$18,0)</x:f>
        <x:v>0</x:v>
      </x:c>
      <x:c r="I283" s="141" t="n">
        <x:f>F283+G283+H283</x:f>
        <x:v>0</x:v>
      </x:c>
      <x:c r="J283" s="141" t="n">
        <x:f>IF(E283-F283&gt;0,MIN(E283-F283,P283),0)</x:f>
        <x:v>0</x:v>
      </x:c>
      <x:c r="K283" s="141" t="n">
        <x:f>I283+J283</x:f>
        <x:v>0</x:v>
      </x:c>
      <x:c r="L283" s="141" t="n">
        <x:f>MAX(0,E283-F283-J283)</x:f>
        <x:v>0</x:v>
      </x:c>
      <x:c r="M283" s="141" t="n">
        <x:f>SUM($K$6:K283)</x:f>
        <x:v>185795.9624076597</x:v>
      </x:c>
      <x:c r="N283" s="140" t="str">
        <x:f>IF(C283=0,"Encerrado",IF(L283=0,"Quitado","Aberto"))</x:f>
        <x:v>Encerrado</x:v>
      </x:c>
      <x:c r="O283" s="141" t="n">
        <x:f>IF(C283&gt;0,Premissas!$B$35,0)</x:f>
        <x:v>0</x:v>
      </x:c>
      <x:c r="P283" s="141" t="n">
        <x:f>IF(C283&gt;0,MAX(0,O283-I283),0)</x:f>
        <x:v>0</x:v>
      </x:c>
      <x:c r="Q283" s="141" t="n">
        <x:f>J283-IF(E283-F283&gt;0,MIN(E283-F283,P283),0)</x:f>
        <x:v>0</x:v>
      </x:c>
    </x:row>
    <x:row r="284">
      <x:c r="A284" s="142" t="n">
        <x:v>279</x:v>
      </x:c>
      <x:c r="B284" s="179" t="n">
        <x:f>EDATE(Premissas!$B$4,278)</x:f>
        <x:v>55001</x:v>
      </x:c>
      <x:c r="C284" s="141" t="n">
        <x:f>L283</x:f>
        <x:v>0</x:v>
      </x:c>
      <x:c r="D284" s="141" t="n">
        <x:f>IF(C284&gt;0,C284*Premissas!$B$17,0)</x:f>
        <x:v>0</x:v>
      </x:c>
      <x:c r="E284" s="141" t="n">
        <x:f>C284+D284</x:f>
        <x:v>0</x:v>
      </x:c>
      <x:c r="F284" s="141" t="n">
        <x:f>IF(E284&gt;0,MIN(E284,INDEX(Financiamento!$G$6:$G$485,A284)),0)</x:f>
        <x:v>0</x:v>
      </x:c>
      <x:c r="G284" s="141" t="n">
        <x:f>IF(E284&gt;0,E284*Premissas!$B$15,0)</x:f>
        <x:v>0</x:v>
      </x:c>
      <x:c r="H284" s="141" t="n">
        <x:f>IF(E284&gt;0,Premissas!$B$18,0)</x:f>
        <x:v>0</x:v>
      </x:c>
      <x:c r="I284" s="141" t="n">
        <x:f>F284+G284+H284</x:f>
        <x:v>0</x:v>
      </x:c>
      <x:c r="J284" s="141" t="n">
        <x:f>IF(E284-F284&gt;0,MIN(E284-F284,P284),0)</x:f>
        <x:v>0</x:v>
      </x:c>
      <x:c r="K284" s="141" t="n">
        <x:f>I284+J284</x:f>
        <x:v>0</x:v>
      </x:c>
      <x:c r="L284" s="141" t="n">
        <x:f>MAX(0,E284-F284-J284)</x:f>
        <x:v>0</x:v>
      </x:c>
      <x:c r="M284" s="141" t="n">
        <x:f>SUM($K$6:K284)</x:f>
        <x:v>185795.9624076597</x:v>
      </x:c>
      <x:c r="N284" s="140" t="str">
        <x:f>IF(C284=0,"Encerrado",IF(L284=0,"Quitado","Aberto"))</x:f>
        <x:v>Encerrado</x:v>
      </x:c>
      <x:c r="O284" s="141" t="n">
        <x:f>IF(C284&gt;0,Premissas!$B$35,0)</x:f>
        <x:v>0</x:v>
      </x:c>
      <x:c r="P284" s="141" t="n">
        <x:f>IF(C284&gt;0,MAX(0,O284-I284),0)</x:f>
        <x:v>0</x:v>
      </x:c>
      <x:c r="Q284" s="141" t="n">
        <x:f>J284-IF(E284-F284&gt;0,MIN(E284-F284,P284),0)</x:f>
        <x:v>0</x:v>
      </x:c>
    </x:row>
    <x:row r="285">
      <x:c r="A285" s="142" t="n">
        <x:v>280</x:v>
      </x:c>
      <x:c r="B285" s="179" t="n">
        <x:f>EDATE(Premissas!$B$4,279)</x:f>
        <x:v>55032</x:v>
      </x:c>
      <x:c r="C285" s="141" t="n">
        <x:f>L284</x:f>
        <x:v>0</x:v>
      </x:c>
      <x:c r="D285" s="141" t="n">
        <x:f>IF(C285&gt;0,C285*Premissas!$B$17,0)</x:f>
        <x:v>0</x:v>
      </x:c>
      <x:c r="E285" s="141" t="n">
        <x:f>C285+D285</x:f>
        <x:v>0</x:v>
      </x:c>
      <x:c r="F285" s="141" t="n">
        <x:f>IF(E285&gt;0,MIN(E285,INDEX(Financiamento!$G$6:$G$485,A285)),0)</x:f>
        <x:v>0</x:v>
      </x:c>
      <x:c r="G285" s="141" t="n">
        <x:f>IF(E285&gt;0,E285*Premissas!$B$15,0)</x:f>
        <x:v>0</x:v>
      </x:c>
      <x:c r="H285" s="141" t="n">
        <x:f>IF(E285&gt;0,Premissas!$B$18,0)</x:f>
        <x:v>0</x:v>
      </x:c>
      <x:c r="I285" s="141" t="n">
        <x:f>F285+G285+H285</x:f>
        <x:v>0</x:v>
      </x:c>
      <x:c r="J285" s="141" t="n">
        <x:f>IF(E285-F285&gt;0,MIN(E285-F285,P285),0)</x:f>
        <x:v>0</x:v>
      </x:c>
      <x:c r="K285" s="141" t="n">
        <x:f>I285+J285</x:f>
        <x:v>0</x:v>
      </x:c>
      <x:c r="L285" s="141" t="n">
        <x:f>MAX(0,E285-F285-J285)</x:f>
        <x:v>0</x:v>
      </x:c>
      <x:c r="M285" s="141" t="n">
        <x:f>SUM($K$6:K285)</x:f>
        <x:v>185795.9624076597</x:v>
      </x:c>
      <x:c r="N285" s="140" t="str">
        <x:f>IF(C285=0,"Encerrado",IF(L285=0,"Quitado","Aberto"))</x:f>
        <x:v>Encerrado</x:v>
      </x:c>
      <x:c r="O285" s="141" t="n">
        <x:f>IF(C285&gt;0,Premissas!$B$35,0)</x:f>
        <x:v>0</x:v>
      </x:c>
      <x:c r="P285" s="141" t="n">
        <x:f>IF(C285&gt;0,MAX(0,O285-I285),0)</x:f>
        <x:v>0</x:v>
      </x:c>
      <x:c r="Q285" s="141" t="n">
        <x:f>J285-IF(E285-F285&gt;0,MIN(E285-F285,P285),0)</x:f>
        <x:v>0</x:v>
      </x:c>
    </x:row>
    <x:row r="286">
      <x:c r="A286" s="142" t="n">
        <x:v>281</x:v>
      </x:c>
      <x:c r="B286" s="179" t="n">
        <x:f>EDATE(Premissas!$B$4,280)</x:f>
        <x:v>55062</x:v>
      </x:c>
      <x:c r="C286" s="141" t="n">
        <x:f>L285</x:f>
        <x:v>0</x:v>
      </x:c>
      <x:c r="D286" s="141" t="n">
        <x:f>IF(C286&gt;0,C286*Premissas!$B$17,0)</x:f>
        <x:v>0</x:v>
      </x:c>
      <x:c r="E286" s="141" t="n">
        <x:f>C286+D286</x:f>
        <x:v>0</x:v>
      </x:c>
      <x:c r="F286" s="141" t="n">
        <x:f>IF(E286&gt;0,MIN(E286,INDEX(Financiamento!$G$6:$G$485,A286)),0)</x:f>
        <x:v>0</x:v>
      </x:c>
      <x:c r="G286" s="141" t="n">
        <x:f>IF(E286&gt;0,E286*Premissas!$B$15,0)</x:f>
        <x:v>0</x:v>
      </x:c>
      <x:c r="H286" s="141" t="n">
        <x:f>IF(E286&gt;0,Premissas!$B$18,0)</x:f>
        <x:v>0</x:v>
      </x:c>
      <x:c r="I286" s="141" t="n">
        <x:f>F286+G286+H286</x:f>
        <x:v>0</x:v>
      </x:c>
      <x:c r="J286" s="141" t="n">
        <x:f>IF(E286-F286&gt;0,MIN(E286-F286,P286),0)</x:f>
        <x:v>0</x:v>
      </x:c>
      <x:c r="K286" s="141" t="n">
        <x:f>I286+J286</x:f>
        <x:v>0</x:v>
      </x:c>
      <x:c r="L286" s="141" t="n">
        <x:f>MAX(0,E286-F286-J286)</x:f>
        <x:v>0</x:v>
      </x:c>
      <x:c r="M286" s="141" t="n">
        <x:f>SUM($K$6:K286)</x:f>
        <x:v>185795.9624076597</x:v>
      </x:c>
      <x:c r="N286" s="140" t="str">
        <x:f>IF(C286=0,"Encerrado",IF(L286=0,"Quitado","Aberto"))</x:f>
        <x:v>Encerrado</x:v>
      </x:c>
      <x:c r="O286" s="141" t="n">
        <x:f>IF(C286&gt;0,Premissas!$B$35,0)</x:f>
        <x:v>0</x:v>
      </x:c>
      <x:c r="P286" s="141" t="n">
        <x:f>IF(C286&gt;0,MAX(0,O286-I286),0)</x:f>
        <x:v>0</x:v>
      </x:c>
      <x:c r="Q286" s="141" t="n">
        <x:f>J286-IF(E286-F286&gt;0,MIN(E286-F286,P286),0)</x:f>
        <x:v>0</x:v>
      </x:c>
    </x:row>
    <x:row r="287">
      <x:c r="A287" s="142" t="n">
        <x:v>282</x:v>
      </x:c>
      <x:c r="B287" s="179" t="n">
        <x:f>EDATE(Premissas!$B$4,281)</x:f>
        <x:v>55093</x:v>
      </x:c>
      <x:c r="C287" s="141" t="n">
        <x:f>L286</x:f>
        <x:v>0</x:v>
      </x:c>
      <x:c r="D287" s="141" t="n">
        <x:f>IF(C287&gt;0,C287*Premissas!$B$17,0)</x:f>
        <x:v>0</x:v>
      </x:c>
      <x:c r="E287" s="141" t="n">
        <x:f>C287+D287</x:f>
        <x:v>0</x:v>
      </x:c>
      <x:c r="F287" s="141" t="n">
        <x:f>IF(E287&gt;0,MIN(E287,INDEX(Financiamento!$G$6:$G$485,A287)),0)</x:f>
        <x:v>0</x:v>
      </x:c>
      <x:c r="G287" s="141" t="n">
        <x:f>IF(E287&gt;0,E287*Premissas!$B$15,0)</x:f>
        <x:v>0</x:v>
      </x:c>
      <x:c r="H287" s="141" t="n">
        <x:f>IF(E287&gt;0,Premissas!$B$18,0)</x:f>
        <x:v>0</x:v>
      </x:c>
      <x:c r="I287" s="141" t="n">
        <x:f>F287+G287+H287</x:f>
        <x:v>0</x:v>
      </x:c>
      <x:c r="J287" s="141" t="n">
        <x:f>IF(E287-F287&gt;0,MIN(E287-F287,P287),0)</x:f>
        <x:v>0</x:v>
      </x:c>
      <x:c r="K287" s="141" t="n">
        <x:f>I287+J287</x:f>
        <x:v>0</x:v>
      </x:c>
      <x:c r="L287" s="141" t="n">
        <x:f>MAX(0,E287-F287-J287)</x:f>
        <x:v>0</x:v>
      </x:c>
      <x:c r="M287" s="141" t="n">
        <x:f>SUM($K$6:K287)</x:f>
        <x:v>185795.9624076597</x:v>
      </x:c>
      <x:c r="N287" s="140" t="str">
        <x:f>IF(C287=0,"Encerrado",IF(L287=0,"Quitado","Aberto"))</x:f>
        <x:v>Encerrado</x:v>
      </x:c>
      <x:c r="O287" s="141" t="n">
        <x:f>IF(C287&gt;0,Premissas!$B$35,0)</x:f>
        <x:v>0</x:v>
      </x:c>
      <x:c r="P287" s="141" t="n">
        <x:f>IF(C287&gt;0,MAX(0,O287-I287),0)</x:f>
        <x:v>0</x:v>
      </x:c>
      <x:c r="Q287" s="141" t="n">
        <x:f>J287-IF(E287-F287&gt;0,MIN(E287-F287,P287),0)</x:f>
        <x:v>0</x:v>
      </x:c>
    </x:row>
    <x:row r="288">
      <x:c r="A288" s="142" t="n">
        <x:v>283</x:v>
      </x:c>
      <x:c r="B288" s="179" t="n">
        <x:f>EDATE(Premissas!$B$4,282)</x:f>
        <x:v>55123</x:v>
      </x:c>
      <x:c r="C288" s="141" t="n">
        <x:f>L287</x:f>
        <x:v>0</x:v>
      </x:c>
      <x:c r="D288" s="141" t="n">
        <x:f>IF(C288&gt;0,C288*Premissas!$B$17,0)</x:f>
        <x:v>0</x:v>
      </x:c>
      <x:c r="E288" s="141" t="n">
        <x:f>C288+D288</x:f>
        <x:v>0</x:v>
      </x:c>
      <x:c r="F288" s="141" t="n">
        <x:f>IF(E288&gt;0,MIN(E288,INDEX(Financiamento!$G$6:$G$485,A288)),0)</x:f>
        <x:v>0</x:v>
      </x:c>
      <x:c r="G288" s="141" t="n">
        <x:f>IF(E288&gt;0,E288*Premissas!$B$15,0)</x:f>
        <x:v>0</x:v>
      </x:c>
      <x:c r="H288" s="141" t="n">
        <x:f>IF(E288&gt;0,Premissas!$B$18,0)</x:f>
        <x:v>0</x:v>
      </x:c>
      <x:c r="I288" s="141" t="n">
        <x:f>F288+G288+H288</x:f>
        <x:v>0</x:v>
      </x:c>
      <x:c r="J288" s="141" t="n">
        <x:f>IF(E288-F288&gt;0,MIN(E288-F288,P288),0)</x:f>
        <x:v>0</x:v>
      </x:c>
      <x:c r="K288" s="141" t="n">
        <x:f>I288+J288</x:f>
        <x:v>0</x:v>
      </x:c>
      <x:c r="L288" s="141" t="n">
        <x:f>MAX(0,E288-F288-J288)</x:f>
        <x:v>0</x:v>
      </x:c>
      <x:c r="M288" s="141" t="n">
        <x:f>SUM($K$6:K288)</x:f>
        <x:v>185795.9624076597</x:v>
      </x:c>
      <x:c r="N288" s="140" t="str">
        <x:f>IF(C288=0,"Encerrado",IF(L288=0,"Quitado","Aberto"))</x:f>
        <x:v>Encerrado</x:v>
      </x:c>
      <x:c r="O288" s="141" t="n">
        <x:f>IF(C288&gt;0,Premissas!$B$35,0)</x:f>
        <x:v>0</x:v>
      </x:c>
      <x:c r="P288" s="141" t="n">
        <x:f>IF(C288&gt;0,MAX(0,O288-I288),0)</x:f>
        <x:v>0</x:v>
      </x:c>
      <x:c r="Q288" s="141" t="n">
        <x:f>J288-IF(E288-F288&gt;0,MIN(E288-F288,P288),0)</x:f>
        <x:v>0</x:v>
      </x:c>
    </x:row>
    <x:row r="289">
      <x:c r="A289" s="142" t="n">
        <x:v>284</x:v>
      </x:c>
      <x:c r="B289" s="179" t="n">
        <x:f>EDATE(Premissas!$B$4,283)</x:f>
        <x:v>55154</x:v>
      </x:c>
      <x:c r="C289" s="141" t="n">
        <x:f>L288</x:f>
        <x:v>0</x:v>
      </x:c>
      <x:c r="D289" s="141" t="n">
        <x:f>IF(C289&gt;0,C289*Premissas!$B$17,0)</x:f>
        <x:v>0</x:v>
      </x:c>
      <x:c r="E289" s="141" t="n">
        <x:f>C289+D289</x:f>
        <x:v>0</x:v>
      </x:c>
      <x:c r="F289" s="141" t="n">
        <x:f>IF(E289&gt;0,MIN(E289,INDEX(Financiamento!$G$6:$G$485,A289)),0)</x:f>
        <x:v>0</x:v>
      </x:c>
      <x:c r="G289" s="141" t="n">
        <x:f>IF(E289&gt;0,E289*Premissas!$B$15,0)</x:f>
        <x:v>0</x:v>
      </x:c>
      <x:c r="H289" s="141" t="n">
        <x:f>IF(E289&gt;0,Premissas!$B$18,0)</x:f>
        <x:v>0</x:v>
      </x:c>
      <x:c r="I289" s="141" t="n">
        <x:f>F289+G289+H289</x:f>
        <x:v>0</x:v>
      </x:c>
      <x:c r="J289" s="141" t="n">
        <x:f>IF(E289-F289&gt;0,MIN(E289-F289,P289),0)</x:f>
        <x:v>0</x:v>
      </x:c>
      <x:c r="K289" s="141" t="n">
        <x:f>I289+J289</x:f>
        <x:v>0</x:v>
      </x:c>
      <x:c r="L289" s="141" t="n">
        <x:f>MAX(0,E289-F289-J289)</x:f>
        <x:v>0</x:v>
      </x:c>
      <x:c r="M289" s="141" t="n">
        <x:f>SUM($K$6:K289)</x:f>
        <x:v>185795.9624076597</x:v>
      </x:c>
      <x:c r="N289" s="140" t="str">
        <x:f>IF(C289=0,"Encerrado",IF(L289=0,"Quitado","Aberto"))</x:f>
        <x:v>Encerrado</x:v>
      </x:c>
      <x:c r="O289" s="141" t="n">
        <x:f>IF(C289&gt;0,Premissas!$B$35,0)</x:f>
        <x:v>0</x:v>
      </x:c>
      <x:c r="P289" s="141" t="n">
        <x:f>IF(C289&gt;0,MAX(0,O289-I289),0)</x:f>
        <x:v>0</x:v>
      </x:c>
      <x:c r="Q289" s="141" t="n">
        <x:f>J289-IF(E289-F289&gt;0,MIN(E289-F289,P289),0)</x:f>
        <x:v>0</x:v>
      </x:c>
    </x:row>
    <x:row r="290">
      <x:c r="A290" s="142" t="n">
        <x:v>285</x:v>
      </x:c>
      <x:c r="B290" s="179" t="n">
        <x:f>EDATE(Premissas!$B$4,284)</x:f>
        <x:v>55185</x:v>
      </x:c>
      <x:c r="C290" s="141" t="n">
        <x:f>L289</x:f>
        <x:v>0</x:v>
      </x:c>
      <x:c r="D290" s="141" t="n">
        <x:f>IF(C290&gt;0,C290*Premissas!$B$17,0)</x:f>
        <x:v>0</x:v>
      </x:c>
      <x:c r="E290" s="141" t="n">
        <x:f>C290+D290</x:f>
        <x:v>0</x:v>
      </x:c>
      <x:c r="F290" s="141" t="n">
        <x:f>IF(E290&gt;0,MIN(E290,INDEX(Financiamento!$G$6:$G$485,A290)),0)</x:f>
        <x:v>0</x:v>
      </x:c>
      <x:c r="G290" s="141" t="n">
        <x:f>IF(E290&gt;0,E290*Premissas!$B$15,0)</x:f>
        <x:v>0</x:v>
      </x:c>
      <x:c r="H290" s="141" t="n">
        <x:f>IF(E290&gt;0,Premissas!$B$18,0)</x:f>
        <x:v>0</x:v>
      </x:c>
      <x:c r="I290" s="141" t="n">
        <x:f>F290+G290+H290</x:f>
        <x:v>0</x:v>
      </x:c>
      <x:c r="J290" s="141" t="n">
        <x:f>IF(E290-F290&gt;0,MIN(E290-F290,P290),0)</x:f>
        <x:v>0</x:v>
      </x:c>
      <x:c r="K290" s="141" t="n">
        <x:f>I290+J290</x:f>
        <x:v>0</x:v>
      </x:c>
      <x:c r="L290" s="141" t="n">
        <x:f>MAX(0,E290-F290-J290)</x:f>
        <x:v>0</x:v>
      </x:c>
      <x:c r="M290" s="141" t="n">
        <x:f>SUM($K$6:K290)</x:f>
        <x:v>185795.9624076597</x:v>
      </x:c>
      <x:c r="N290" s="140" t="str">
        <x:f>IF(C290=0,"Encerrado",IF(L290=0,"Quitado","Aberto"))</x:f>
        <x:v>Encerrado</x:v>
      </x:c>
      <x:c r="O290" s="141" t="n">
        <x:f>IF(C290&gt;0,Premissas!$B$35,0)</x:f>
        <x:v>0</x:v>
      </x:c>
      <x:c r="P290" s="141" t="n">
        <x:f>IF(C290&gt;0,MAX(0,O290-I290),0)</x:f>
        <x:v>0</x:v>
      </x:c>
      <x:c r="Q290" s="141" t="n">
        <x:f>J290-IF(E290-F290&gt;0,MIN(E290-F290,P290),0)</x:f>
        <x:v>0</x:v>
      </x:c>
    </x:row>
    <x:row r="291">
      <x:c r="A291" s="142" t="n">
        <x:v>286</x:v>
      </x:c>
      <x:c r="B291" s="179" t="n">
        <x:f>EDATE(Premissas!$B$4,285)</x:f>
        <x:v>55213</x:v>
      </x:c>
      <x:c r="C291" s="141" t="n">
        <x:f>L290</x:f>
        <x:v>0</x:v>
      </x:c>
      <x:c r="D291" s="141" t="n">
        <x:f>IF(C291&gt;0,C291*Premissas!$B$17,0)</x:f>
        <x:v>0</x:v>
      </x:c>
      <x:c r="E291" s="141" t="n">
        <x:f>C291+D291</x:f>
        <x:v>0</x:v>
      </x:c>
      <x:c r="F291" s="141" t="n">
        <x:f>IF(E291&gt;0,MIN(E291,INDEX(Financiamento!$G$6:$G$485,A291)),0)</x:f>
        <x:v>0</x:v>
      </x:c>
      <x:c r="G291" s="141" t="n">
        <x:f>IF(E291&gt;0,E291*Premissas!$B$15,0)</x:f>
        <x:v>0</x:v>
      </x:c>
      <x:c r="H291" s="141" t="n">
        <x:f>IF(E291&gt;0,Premissas!$B$18,0)</x:f>
        <x:v>0</x:v>
      </x:c>
      <x:c r="I291" s="141" t="n">
        <x:f>F291+G291+H291</x:f>
        <x:v>0</x:v>
      </x:c>
      <x:c r="J291" s="141" t="n">
        <x:f>IF(E291-F291&gt;0,MIN(E291-F291,P291),0)</x:f>
        <x:v>0</x:v>
      </x:c>
      <x:c r="K291" s="141" t="n">
        <x:f>I291+J291</x:f>
        <x:v>0</x:v>
      </x:c>
      <x:c r="L291" s="141" t="n">
        <x:f>MAX(0,E291-F291-J291)</x:f>
        <x:v>0</x:v>
      </x:c>
      <x:c r="M291" s="141" t="n">
        <x:f>SUM($K$6:K291)</x:f>
        <x:v>185795.9624076597</x:v>
      </x:c>
      <x:c r="N291" s="140" t="str">
        <x:f>IF(C291=0,"Encerrado",IF(L291=0,"Quitado","Aberto"))</x:f>
        <x:v>Encerrado</x:v>
      </x:c>
      <x:c r="O291" s="141" t="n">
        <x:f>IF(C291&gt;0,Premissas!$B$35,0)</x:f>
        <x:v>0</x:v>
      </x:c>
      <x:c r="P291" s="141" t="n">
        <x:f>IF(C291&gt;0,MAX(0,O291-I291),0)</x:f>
        <x:v>0</x:v>
      </x:c>
      <x:c r="Q291" s="141" t="n">
        <x:f>J291-IF(E291-F291&gt;0,MIN(E291-F291,P291),0)</x:f>
        <x:v>0</x:v>
      </x:c>
    </x:row>
    <x:row r="292">
      <x:c r="A292" s="142" t="n">
        <x:v>287</x:v>
      </x:c>
      <x:c r="B292" s="179" t="n">
        <x:f>EDATE(Premissas!$B$4,286)</x:f>
        <x:v>55244</x:v>
      </x:c>
      <x:c r="C292" s="141" t="n">
        <x:f>L291</x:f>
        <x:v>0</x:v>
      </x:c>
      <x:c r="D292" s="141" t="n">
        <x:f>IF(C292&gt;0,C292*Premissas!$B$17,0)</x:f>
        <x:v>0</x:v>
      </x:c>
      <x:c r="E292" s="141" t="n">
        <x:f>C292+D292</x:f>
        <x:v>0</x:v>
      </x:c>
      <x:c r="F292" s="141" t="n">
        <x:f>IF(E292&gt;0,MIN(E292,INDEX(Financiamento!$G$6:$G$485,A292)),0)</x:f>
        <x:v>0</x:v>
      </x:c>
      <x:c r="G292" s="141" t="n">
        <x:f>IF(E292&gt;0,E292*Premissas!$B$15,0)</x:f>
        <x:v>0</x:v>
      </x:c>
      <x:c r="H292" s="141" t="n">
        <x:f>IF(E292&gt;0,Premissas!$B$18,0)</x:f>
        <x:v>0</x:v>
      </x:c>
      <x:c r="I292" s="141" t="n">
        <x:f>F292+G292+H292</x:f>
        <x:v>0</x:v>
      </x:c>
      <x:c r="J292" s="141" t="n">
        <x:f>IF(E292-F292&gt;0,MIN(E292-F292,P292),0)</x:f>
        <x:v>0</x:v>
      </x:c>
      <x:c r="K292" s="141" t="n">
        <x:f>I292+J292</x:f>
        <x:v>0</x:v>
      </x:c>
      <x:c r="L292" s="141" t="n">
        <x:f>MAX(0,E292-F292-J292)</x:f>
        <x:v>0</x:v>
      </x:c>
      <x:c r="M292" s="141" t="n">
        <x:f>SUM($K$6:K292)</x:f>
        <x:v>185795.9624076597</x:v>
      </x:c>
      <x:c r="N292" s="140" t="str">
        <x:f>IF(C292=0,"Encerrado",IF(L292=0,"Quitado","Aberto"))</x:f>
        <x:v>Encerrado</x:v>
      </x:c>
      <x:c r="O292" s="141" t="n">
        <x:f>IF(C292&gt;0,Premissas!$B$35,0)</x:f>
        <x:v>0</x:v>
      </x:c>
      <x:c r="P292" s="141" t="n">
        <x:f>IF(C292&gt;0,MAX(0,O292-I292),0)</x:f>
        <x:v>0</x:v>
      </x:c>
      <x:c r="Q292" s="141" t="n">
        <x:f>J292-IF(E292-F292&gt;0,MIN(E292-F292,P292),0)</x:f>
        <x:v>0</x:v>
      </x:c>
    </x:row>
    <x:row r="293">
      <x:c r="A293" s="142" t="n">
        <x:v>288</x:v>
      </x:c>
      <x:c r="B293" s="179" t="n">
        <x:f>EDATE(Premissas!$B$4,287)</x:f>
        <x:v>55274</x:v>
      </x:c>
      <x:c r="C293" s="141" t="n">
        <x:f>L292</x:f>
        <x:v>0</x:v>
      </x:c>
      <x:c r="D293" s="141" t="n">
        <x:f>IF(C293&gt;0,C293*Premissas!$B$17,0)</x:f>
        <x:v>0</x:v>
      </x:c>
      <x:c r="E293" s="141" t="n">
        <x:f>C293+D293</x:f>
        <x:v>0</x:v>
      </x:c>
      <x:c r="F293" s="141" t="n">
        <x:f>IF(E293&gt;0,MIN(E293,INDEX(Financiamento!$G$6:$G$485,A293)),0)</x:f>
        <x:v>0</x:v>
      </x:c>
      <x:c r="G293" s="141" t="n">
        <x:f>IF(E293&gt;0,E293*Premissas!$B$15,0)</x:f>
        <x:v>0</x:v>
      </x:c>
      <x:c r="H293" s="141" t="n">
        <x:f>IF(E293&gt;0,Premissas!$B$18,0)</x:f>
        <x:v>0</x:v>
      </x:c>
      <x:c r="I293" s="141" t="n">
        <x:f>F293+G293+H293</x:f>
        <x:v>0</x:v>
      </x:c>
      <x:c r="J293" s="141" t="n">
        <x:f>IF(E293-F293&gt;0,MIN(E293-F293,P293),0)</x:f>
        <x:v>0</x:v>
      </x:c>
      <x:c r="K293" s="141" t="n">
        <x:f>I293+J293</x:f>
        <x:v>0</x:v>
      </x:c>
      <x:c r="L293" s="141" t="n">
        <x:f>MAX(0,E293-F293-J293)</x:f>
        <x:v>0</x:v>
      </x:c>
      <x:c r="M293" s="141" t="n">
        <x:f>SUM($K$6:K293)</x:f>
        <x:v>185795.9624076597</x:v>
      </x:c>
      <x:c r="N293" s="140" t="str">
        <x:f>IF(C293=0,"Encerrado",IF(L293=0,"Quitado","Aberto"))</x:f>
        <x:v>Encerrado</x:v>
      </x:c>
      <x:c r="O293" s="141" t="n">
        <x:f>IF(C293&gt;0,Premissas!$B$35,0)</x:f>
        <x:v>0</x:v>
      </x:c>
      <x:c r="P293" s="141" t="n">
        <x:f>IF(C293&gt;0,MAX(0,O293-I293),0)</x:f>
        <x:v>0</x:v>
      </x:c>
      <x:c r="Q293" s="141" t="n">
        <x:f>J293-IF(E293-F293&gt;0,MIN(E293-F293,P293),0)</x:f>
        <x:v>0</x:v>
      </x:c>
    </x:row>
    <x:row r="294">
      <x:c r="A294" s="142" t="n">
        <x:v>289</x:v>
      </x:c>
      <x:c r="B294" s="179" t="n">
        <x:f>EDATE(Premissas!$B$4,288)</x:f>
        <x:v>55305</x:v>
      </x:c>
      <x:c r="C294" s="141" t="n">
        <x:f>L293</x:f>
        <x:v>0</x:v>
      </x:c>
      <x:c r="D294" s="141" t="n">
        <x:f>IF(C294&gt;0,C294*Premissas!$B$17,0)</x:f>
        <x:v>0</x:v>
      </x:c>
      <x:c r="E294" s="141" t="n">
        <x:f>C294+D294</x:f>
        <x:v>0</x:v>
      </x:c>
      <x:c r="F294" s="141" t="n">
        <x:f>IF(E294&gt;0,MIN(E294,INDEX(Financiamento!$G$6:$G$485,A294)),0)</x:f>
        <x:v>0</x:v>
      </x:c>
      <x:c r="G294" s="141" t="n">
        <x:f>IF(E294&gt;0,E294*Premissas!$B$15,0)</x:f>
        <x:v>0</x:v>
      </x:c>
      <x:c r="H294" s="141" t="n">
        <x:f>IF(E294&gt;0,Premissas!$B$18,0)</x:f>
        <x:v>0</x:v>
      </x:c>
      <x:c r="I294" s="141" t="n">
        <x:f>F294+G294+H294</x:f>
        <x:v>0</x:v>
      </x:c>
      <x:c r="J294" s="141" t="n">
        <x:f>IF(E294-F294&gt;0,MIN(E294-F294,P294),0)</x:f>
        <x:v>0</x:v>
      </x:c>
      <x:c r="K294" s="141" t="n">
        <x:f>I294+J294</x:f>
        <x:v>0</x:v>
      </x:c>
      <x:c r="L294" s="141" t="n">
        <x:f>MAX(0,E294-F294-J294)</x:f>
        <x:v>0</x:v>
      </x:c>
      <x:c r="M294" s="141" t="n">
        <x:f>SUM($K$6:K294)</x:f>
        <x:v>185795.9624076597</x:v>
      </x:c>
      <x:c r="N294" s="140" t="str">
        <x:f>IF(C294=0,"Encerrado",IF(L294=0,"Quitado","Aberto"))</x:f>
        <x:v>Encerrado</x:v>
      </x:c>
      <x:c r="O294" s="141" t="n">
        <x:f>IF(C294&gt;0,Premissas!$B$35,0)</x:f>
        <x:v>0</x:v>
      </x:c>
      <x:c r="P294" s="141" t="n">
        <x:f>IF(C294&gt;0,MAX(0,O294-I294),0)</x:f>
        <x:v>0</x:v>
      </x:c>
      <x:c r="Q294" s="141" t="n">
        <x:f>J294-IF(E294-F294&gt;0,MIN(E294-F294,P294),0)</x:f>
        <x:v>0</x:v>
      </x:c>
    </x:row>
    <x:row r="295">
      <x:c r="A295" s="142" t="n">
        <x:v>290</x:v>
      </x:c>
      <x:c r="B295" s="179" t="n">
        <x:f>EDATE(Premissas!$B$4,289)</x:f>
        <x:v>55335</x:v>
      </x:c>
      <x:c r="C295" s="141" t="n">
        <x:f>L294</x:f>
        <x:v>0</x:v>
      </x:c>
      <x:c r="D295" s="141" t="n">
        <x:f>IF(C295&gt;0,C295*Premissas!$B$17,0)</x:f>
        <x:v>0</x:v>
      </x:c>
      <x:c r="E295" s="141" t="n">
        <x:f>C295+D295</x:f>
        <x:v>0</x:v>
      </x:c>
      <x:c r="F295" s="141" t="n">
        <x:f>IF(E295&gt;0,MIN(E295,INDEX(Financiamento!$G$6:$G$485,A295)),0)</x:f>
        <x:v>0</x:v>
      </x:c>
      <x:c r="G295" s="141" t="n">
        <x:f>IF(E295&gt;0,E295*Premissas!$B$15,0)</x:f>
        <x:v>0</x:v>
      </x:c>
      <x:c r="H295" s="141" t="n">
        <x:f>IF(E295&gt;0,Premissas!$B$18,0)</x:f>
        <x:v>0</x:v>
      </x:c>
      <x:c r="I295" s="141" t="n">
        <x:f>F295+G295+H295</x:f>
        <x:v>0</x:v>
      </x:c>
      <x:c r="J295" s="141" t="n">
        <x:f>IF(E295-F295&gt;0,MIN(E295-F295,P295),0)</x:f>
        <x:v>0</x:v>
      </x:c>
      <x:c r="K295" s="141" t="n">
        <x:f>I295+J295</x:f>
        <x:v>0</x:v>
      </x:c>
      <x:c r="L295" s="141" t="n">
        <x:f>MAX(0,E295-F295-J295)</x:f>
        <x:v>0</x:v>
      </x:c>
      <x:c r="M295" s="141" t="n">
        <x:f>SUM($K$6:K295)</x:f>
        <x:v>185795.9624076597</x:v>
      </x:c>
      <x:c r="N295" s="140" t="str">
        <x:f>IF(C295=0,"Encerrado",IF(L295=0,"Quitado","Aberto"))</x:f>
        <x:v>Encerrado</x:v>
      </x:c>
      <x:c r="O295" s="141" t="n">
        <x:f>IF(C295&gt;0,Premissas!$B$35,0)</x:f>
        <x:v>0</x:v>
      </x:c>
      <x:c r="P295" s="141" t="n">
        <x:f>IF(C295&gt;0,MAX(0,O295-I295),0)</x:f>
        <x:v>0</x:v>
      </x:c>
      <x:c r="Q295" s="141" t="n">
        <x:f>J295-IF(E295-F295&gt;0,MIN(E295-F295,P295),0)</x:f>
        <x:v>0</x:v>
      </x:c>
    </x:row>
    <x:row r="296">
      <x:c r="A296" s="142" t="n">
        <x:v>291</x:v>
      </x:c>
      <x:c r="B296" s="179" t="n">
        <x:f>EDATE(Premissas!$B$4,290)</x:f>
        <x:v>55366</x:v>
      </x:c>
      <x:c r="C296" s="141" t="n">
        <x:f>L295</x:f>
        <x:v>0</x:v>
      </x:c>
      <x:c r="D296" s="141" t="n">
        <x:f>IF(C296&gt;0,C296*Premissas!$B$17,0)</x:f>
        <x:v>0</x:v>
      </x:c>
      <x:c r="E296" s="141" t="n">
        <x:f>C296+D296</x:f>
        <x:v>0</x:v>
      </x:c>
      <x:c r="F296" s="141" t="n">
        <x:f>IF(E296&gt;0,MIN(E296,INDEX(Financiamento!$G$6:$G$485,A296)),0)</x:f>
        <x:v>0</x:v>
      </x:c>
      <x:c r="G296" s="141" t="n">
        <x:f>IF(E296&gt;0,E296*Premissas!$B$15,0)</x:f>
        <x:v>0</x:v>
      </x:c>
      <x:c r="H296" s="141" t="n">
        <x:f>IF(E296&gt;0,Premissas!$B$18,0)</x:f>
        <x:v>0</x:v>
      </x:c>
      <x:c r="I296" s="141" t="n">
        <x:f>F296+G296+H296</x:f>
        <x:v>0</x:v>
      </x:c>
      <x:c r="J296" s="141" t="n">
        <x:f>IF(E296-F296&gt;0,MIN(E296-F296,P296),0)</x:f>
        <x:v>0</x:v>
      </x:c>
      <x:c r="K296" s="141" t="n">
        <x:f>I296+J296</x:f>
        <x:v>0</x:v>
      </x:c>
      <x:c r="L296" s="141" t="n">
        <x:f>MAX(0,E296-F296-J296)</x:f>
        <x:v>0</x:v>
      </x:c>
      <x:c r="M296" s="141" t="n">
        <x:f>SUM($K$6:K296)</x:f>
        <x:v>185795.9624076597</x:v>
      </x:c>
      <x:c r="N296" s="140" t="str">
        <x:f>IF(C296=0,"Encerrado",IF(L296=0,"Quitado","Aberto"))</x:f>
        <x:v>Encerrado</x:v>
      </x:c>
      <x:c r="O296" s="141" t="n">
        <x:f>IF(C296&gt;0,Premissas!$B$35,0)</x:f>
        <x:v>0</x:v>
      </x:c>
      <x:c r="P296" s="141" t="n">
        <x:f>IF(C296&gt;0,MAX(0,O296-I296),0)</x:f>
        <x:v>0</x:v>
      </x:c>
      <x:c r="Q296" s="141" t="n">
        <x:f>J296-IF(E296-F296&gt;0,MIN(E296-F296,P296),0)</x:f>
        <x:v>0</x:v>
      </x:c>
    </x:row>
    <x:row r="297">
      <x:c r="A297" s="142" t="n">
        <x:v>292</x:v>
      </x:c>
      <x:c r="B297" s="179" t="n">
        <x:f>EDATE(Premissas!$B$4,291)</x:f>
        <x:v>55397</x:v>
      </x:c>
      <x:c r="C297" s="141" t="n">
        <x:f>L296</x:f>
        <x:v>0</x:v>
      </x:c>
      <x:c r="D297" s="141" t="n">
        <x:f>IF(C297&gt;0,C297*Premissas!$B$17,0)</x:f>
        <x:v>0</x:v>
      </x:c>
      <x:c r="E297" s="141" t="n">
        <x:f>C297+D297</x:f>
        <x:v>0</x:v>
      </x:c>
      <x:c r="F297" s="141" t="n">
        <x:f>IF(E297&gt;0,MIN(E297,INDEX(Financiamento!$G$6:$G$485,A297)),0)</x:f>
        <x:v>0</x:v>
      </x:c>
      <x:c r="G297" s="141" t="n">
        <x:f>IF(E297&gt;0,E297*Premissas!$B$15,0)</x:f>
        <x:v>0</x:v>
      </x:c>
      <x:c r="H297" s="141" t="n">
        <x:f>IF(E297&gt;0,Premissas!$B$18,0)</x:f>
        <x:v>0</x:v>
      </x:c>
      <x:c r="I297" s="141" t="n">
        <x:f>F297+G297+H297</x:f>
        <x:v>0</x:v>
      </x:c>
      <x:c r="J297" s="141" t="n">
        <x:f>IF(E297-F297&gt;0,MIN(E297-F297,P297),0)</x:f>
        <x:v>0</x:v>
      </x:c>
      <x:c r="K297" s="141" t="n">
        <x:f>I297+J297</x:f>
        <x:v>0</x:v>
      </x:c>
      <x:c r="L297" s="141" t="n">
        <x:f>MAX(0,E297-F297-J297)</x:f>
        <x:v>0</x:v>
      </x:c>
      <x:c r="M297" s="141" t="n">
        <x:f>SUM($K$6:K297)</x:f>
        <x:v>185795.9624076597</x:v>
      </x:c>
      <x:c r="N297" s="140" t="str">
        <x:f>IF(C297=0,"Encerrado",IF(L297=0,"Quitado","Aberto"))</x:f>
        <x:v>Encerrado</x:v>
      </x:c>
      <x:c r="O297" s="141" t="n">
        <x:f>IF(C297&gt;0,Premissas!$B$35,0)</x:f>
        <x:v>0</x:v>
      </x:c>
      <x:c r="P297" s="141" t="n">
        <x:f>IF(C297&gt;0,MAX(0,O297-I297),0)</x:f>
        <x:v>0</x:v>
      </x:c>
      <x:c r="Q297" s="141" t="n">
        <x:f>J297-IF(E297-F297&gt;0,MIN(E297-F297,P297),0)</x:f>
        <x:v>0</x:v>
      </x:c>
    </x:row>
    <x:row r="298">
      <x:c r="A298" s="142" t="n">
        <x:v>293</x:v>
      </x:c>
      <x:c r="B298" s="179" t="n">
        <x:f>EDATE(Premissas!$B$4,292)</x:f>
        <x:v>55427</x:v>
      </x:c>
      <x:c r="C298" s="141" t="n">
        <x:f>L297</x:f>
        <x:v>0</x:v>
      </x:c>
      <x:c r="D298" s="141" t="n">
        <x:f>IF(C298&gt;0,C298*Premissas!$B$17,0)</x:f>
        <x:v>0</x:v>
      </x:c>
      <x:c r="E298" s="141" t="n">
        <x:f>C298+D298</x:f>
        <x:v>0</x:v>
      </x:c>
      <x:c r="F298" s="141" t="n">
        <x:f>IF(E298&gt;0,MIN(E298,INDEX(Financiamento!$G$6:$G$485,A298)),0)</x:f>
        <x:v>0</x:v>
      </x:c>
      <x:c r="G298" s="141" t="n">
        <x:f>IF(E298&gt;0,E298*Premissas!$B$15,0)</x:f>
        <x:v>0</x:v>
      </x:c>
      <x:c r="H298" s="141" t="n">
        <x:f>IF(E298&gt;0,Premissas!$B$18,0)</x:f>
        <x:v>0</x:v>
      </x:c>
      <x:c r="I298" s="141" t="n">
        <x:f>F298+G298+H298</x:f>
        <x:v>0</x:v>
      </x:c>
      <x:c r="J298" s="141" t="n">
        <x:f>IF(E298-F298&gt;0,MIN(E298-F298,P298),0)</x:f>
        <x:v>0</x:v>
      </x:c>
      <x:c r="K298" s="141" t="n">
        <x:f>I298+J298</x:f>
        <x:v>0</x:v>
      </x:c>
      <x:c r="L298" s="141" t="n">
        <x:f>MAX(0,E298-F298-J298)</x:f>
        <x:v>0</x:v>
      </x:c>
      <x:c r="M298" s="141" t="n">
        <x:f>SUM($K$6:K298)</x:f>
        <x:v>185795.9624076597</x:v>
      </x:c>
      <x:c r="N298" s="140" t="str">
        <x:f>IF(C298=0,"Encerrado",IF(L298=0,"Quitado","Aberto"))</x:f>
        <x:v>Encerrado</x:v>
      </x:c>
      <x:c r="O298" s="141" t="n">
        <x:f>IF(C298&gt;0,Premissas!$B$35,0)</x:f>
        <x:v>0</x:v>
      </x:c>
      <x:c r="P298" s="141" t="n">
        <x:f>IF(C298&gt;0,MAX(0,O298-I298),0)</x:f>
        <x:v>0</x:v>
      </x:c>
      <x:c r="Q298" s="141" t="n">
        <x:f>J298-IF(E298-F298&gt;0,MIN(E298-F298,P298),0)</x:f>
        <x:v>0</x:v>
      </x:c>
    </x:row>
    <x:row r="299">
      <x:c r="A299" s="142" t="n">
        <x:v>294</x:v>
      </x:c>
      <x:c r="B299" s="179" t="n">
        <x:f>EDATE(Premissas!$B$4,293)</x:f>
        <x:v>55458</x:v>
      </x:c>
      <x:c r="C299" s="141" t="n">
        <x:f>L298</x:f>
        <x:v>0</x:v>
      </x:c>
      <x:c r="D299" s="141" t="n">
        <x:f>IF(C299&gt;0,C299*Premissas!$B$17,0)</x:f>
        <x:v>0</x:v>
      </x:c>
      <x:c r="E299" s="141" t="n">
        <x:f>C299+D299</x:f>
        <x:v>0</x:v>
      </x:c>
      <x:c r="F299" s="141" t="n">
        <x:f>IF(E299&gt;0,MIN(E299,INDEX(Financiamento!$G$6:$G$485,A299)),0)</x:f>
        <x:v>0</x:v>
      </x:c>
      <x:c r="G299" s="141" t="n">
        <x:f>IF(E299&gt;0,E299*Premissas!$B$15,0)</x:f>
        <x:v>0</x:v>
      </x:c>
      <x:c r="H299" s="141" t="n">
        <x:f>IF(E299&gt;0,Premissas!$B$18,0)</x:f>
        <x:v>0</x:v>
      </x:c>
      <x:c r="I299" s="141" t="n">
        <x:f>F299+G299+H299</x:f>
        <x:v>0</x:v>
      </x:c>
      <x:c r="J299" s="141" t="n">
        <x:f>IF(E299-F299&gt;0,MIN(E299-F299,P299),0)</x:f>
        <x:v>0</x:v>
      </x:c>
      <x:c r="K299" s="141" t="n">
        <x:f>I299+J299</x:f>
        <x:v>0</x:v>
      </x:c>
      <x:c r="L299" s="141" t="n">
        <x:f>MAX(0,E299-F299-J299)</x:f>
        <x:v>0</x:v>
      </x:c>
      <x:c r="M299" s="141" t="n">
        <x:f>SUM($K$6:K299)</x:f>
        <x:v>185795.9624076597</x:v>
      </x:c>
      <x:c r="N299" s="140" t="str">
        <x:f>IF(C299=0,"Encerrado",IF(L299=0,"Quitado","Aberto"))</x:f>
        <x:v>Encerrado</x:v>
      </x:c>
      <x:c r="O299" s="141" t="n">
        <x:f>IF(C299&gt;0,Premissas!$B$35,0)</x:f>
        <x:v>0</x:v>
      </x:c>
      <x:c r="P299" s="141" t="n">
        <x:f>IF(C299&gt;0,MAX(0,O299-I299),0)</x:f>
        <x:v>0</x:v>
      </x:c>
      <x:c r="Q299" s="141" t="n">
        <x:f>J299-IF(E299-F299&gt;0,MIN(E299-F299,P299),0)</x:f>
        <x:v>0</x:v>
      </x:c>
    </x:row>
    <x:row r="300">
      <x:c r="A300" s="142" t="n">
        <x:v>295</x:v>
      </x:c>
      <x:c r="B300" s="179" t="n">
        <x:f>EDATE(Premissas!$B$4,294)</x:f>
        <x:v>55488</x:v>
      </x:c>
      <x:c r="C300" s="141" t="n">
        <x:f>L299</x:f>
        <x:v>0</x:v>
      </x:c>
      <x:c r="D300" s="141" t="n">
        <x:f>IF(C300&gt;0,C300*Premissas!$B$17,0)</x:f>
        <x:v>0</x:v>
      </x:c>
      <x:c r="E300" s="141" t="n">
        <x:f>C300+D300</x:f>
        <x:v>0</x:v>
      </x:c>
      <x:c r="F300" s="141" t="n">
        <x:f>IF(E300&gt;0,MIN(E300,INDEX(Financiamento!$G$6:$G$485,A300)),0)</x:f>
        <x:v>0</x:v>
      </x:c>
      <x:c r="G300" s="141" t="n">
        <x:f>IF(E300&gt;0,E300*Premissas!$B$15,0)</x:f>
        <x:v>0</x:v>
      </x:c>
      <x:c r="H300" s="141" t="n">
        <x:f>IF(E300&gt;0,Premissas!$B$18,0)</x:f>
        <x:v>0</x:v>
      </x:c>
      <x:c r="I300" s="141" t="n">
        <x:f>F300+G300+H300</x:f>
        <x:v>0</x:v>
      </x:c>
      <x:c r="J300" s="141" t="n">
        <x:f>IF(E300-F300&gt;0,MIN(E300-F300,P300),0)</x:f>
        <x:v>0</x:v>
      </x:c>
      <x:c r="K300" s="141" t="n">
        <x:f>I300+J300</x:f>
        <x:v>0</x:v>
      </x:c>
      <x:c r="L300" s="141" t="n">
        <x:f>MAX(0,E300-F300-J300)</x:f>
        <x:v>0</x:v>
      </x:c>
      <x:c r="M300" s="141" t="n">
        <x:f>SUM($K$6:K300)</x:f>
        <x:v>185795.9624076597</x:v>
      </x:c>
      <x:c r="N300" s="140" t="str">
        <x:f>IF(C300=0,"Encerrado",IF(L300=0,"Quitado","Aberto"))</x:f>
        <x:v>Encerrado</x:v>
      </x:c>
      <x:c r="O300" s="141" t="n">
        <x:f>IF(C300&gt;0,Premissas!$B$35,0)</x:f>
        <x:v>0</x:v>
      </x:c>
      <x:c r="P300" s="141" t="n">
        <x:f>IF(C300&gt;0,MAX(0,O300-I300),0)</x:f>
        <x:v>0</x:v>
      </x:c>
      <x:c r="Q300" s="141" t="n">
        <x:f>J300-IF(E300-F300&gt;0,MIN(E300-F300,P300),0)</x:f>
        <x:v>0</x:v>
      </x:c>
    </x:row>
    <x:row r="301">
      <x:c r="A301" s="142" t="n">
        <x:v>296</x:v>
      </x:c>
      <x:c r="B301" s="179" t="n">
        <x:f>EDATE(Premissas!$B$4,295)</x:f>
        <x:v>55519</x:v>
      </x:c>
      <x:c r="C301" s="141" t="n">
        <x:f>L300</x:f>
        <x:v>0</x:v>
      </x:c>
      <x:c r="D301" s="141" t="n">
        <x:f>IF(C301&gt;0,C301*Premissas!$B$17,0)</x:f>
        <x:v>0</x:v>
      </x:c>
      <x:c r="E301" s="141" t="n">
        <x:f>C301+D301</x:f>
        <x:v>0</x:v>
      </x:c>
      <x:c r="F301" s="141" t="n">
        <x:f>IF(E301&gt;0,MIN(E301,INDEX(Financiamento!$G$6:$G$485,A301)),0)</x:f>
        <x:v>0</x:v>
      </x:c>
      <x:c r="G301" s="141" t="n">
        <x:f>IF(E301&gt;0,E301*Premissas!$B$15,0)</x:f>
        <x:v>0</x:v>
      </x:c>
      <x:c r="H301" s="141" t="n">
        <x:f>IF(E301&gt;0,Premissas!$B$18,0)</x:f>
        <x:v>0</x:v>
      </x:c>
      <x:c r="I301" s="141" t="n">
        <x:f>F301+G301+H301</x:f>
        <x:v>0</x:v>
      </x:c>
      <x:c r="J301" s="141" t="n">
        <x:f>IF(E301-F301&gt;0,MIN(E301-F301,P301),0)</x:f>
        <x:v>0</x:v>
      </x:c>
      <x:c r="K301" s="141" t="n">
        <x:f>I301+J301</x:f>
        <x:v>0</x:v>
      </x:c>
      <x:c r="L301" s="141" t="n">
        <x:f>MAX(0,E301-F301-J301)</x:f>
        <x:v>0</x:v>
      </x:c>
      <x:c r="M301" s="141" t="n">
        <x:f>SUM($K$6:K301)</x:f>
        <x:v>185795.9624076597</x:v>
      </x:c>
      <x:c r="N301" s="140" t="str">
        <x:f>IF(C301=0,"Encerrado",IF(L301=0,"Quitado","Aberto"))</x:f>
        <x:v>Encerrado</x:v>
      </x:c>
      <x:c r="O301" s="141" t="n">
        <x:f>IF(C301&gt;0,Premissas!$B$35,0)</x:f>
        <x:v>0</x:v>
      </x:c>
      <x:c r="P301" s="141" t="n">
        <x:f>IF(C301&gt;0,MAX(0,O301-I301),0)</x:f>
        <x:v>0</x:v>
      </x:c>
      <x:c r="Q301" s="141" t="n">
        <x:f>J301-IF(E301-F301&gt;0,MIN(E301-F301,P301),0)</x:f>
        <x:v>0</x:v>
      </x:c>
    </x:row>
    <x:row r="302">
      <x:c r="A302" s="142" t="n">
        <x:v>297</x:v>
      </x:c>
      <x:c r="B302" s="179" t="n">
        <x:f>EDATE(Premissas!$B$4,296)</x:f>
        <x:v>55550</x:v>
      </x:c>
      <x:c r="C302" s="141" t="n">
        <x:f>L301</x:f>
        <x:v>0</x:v>
      </x:c>
      <x:c r="D302" s="141" t="n">
        <x:f>IF(C302&gt;0,C302*Premissas!$B$17,0)</x:f>
        <x:v>0</x:v>
      </x:c>
      <x:c r="E302" s="141" t="n">
        <x:f>C302+D302</x:f>
        <x:v>0</x:v>
      </x:c>
      <x:c r="F302" s="141" t="n">
        <x:f>IF(E302&gt;0,MIN(E302,INDEX(Financiamento!$G$6:$G$485,A302)),0)</x:f>
        <x:v>0</x:v>
      </x:c>
      <x:c r="G302" s="141" t="n">
        <x:f>IF(E302&gt;0,E302*Premissas!$B$15,0)</x:f>
        <x:v>0</x:v>
      </x:c>
      <x:c r="H302" s="141" t="n">
        <x:f>IF(E302&gt;0,Premissas!$B$18,0)</x:f>
        <x:v>0</x:v>
      </x:c>
      <x:c r="I302" s="141" t="n">
        <x:f>F302+G302+H302</x:f>
        <x:v>0</x:v>
      </x:c>
      <x:c r="J302" s="141" t="n">
        <x:f>IF(E302-F302&gt;0,MIN(E302-F302,P302),0)</x:f>
        <x:v>0</x:v>
      </x:c>
      <x:c r="K302" s="141" t="n">
        <x:f>I302+J302</x:f>
        <x:v>0</x:v>
      </x:c>
      <x:c r="L302" s="141" t="n">
        <x:f>MAX(0,E302-F302-J302)</x:f>
        <x:v>0</x:v>
      </x:c>
      <x:c r="M302" s="141" t="n">
        <x:f>SUM($K$6:K302)</x:f>
        <x:v>185795.9624076597</x:v>
      </x:c>
      <x:c r="N302" s="140" t="str">
        <x:f>IF(C302=0,"Encerrado",IF(L302=0,"Quitado","Aberto"))</x:f>
        <x:v>Encerrado</x:v>
      </x:c>
      <x:c r="O302" s="141" t="n">
        <x:f>IF(C302&gt;0,Premissas!$B$35,0)</x:f>
        <x:v>0</x:v>
      </x:c>
      <x:c r="P302" s="141" t="n">
        <x:f>IF(C302&gt;0,MAX(0,O302-I302),0)</x:f>
        <x:v>0</x:v>
      </x:c>
      <x:c r="Q302" s="141" t="n">
        <x:f>J302-IF(E302-F302&gt;0,MIN(E302-F302,P302),0)</x:f>
        <x:v>0</x:v>
      </x:c>
    </x:row>
    <x:row r="303">
      <x:c r="A303" s="142" t="n">
        <x:v>298</x:v>
      </x:c>
      <x:c r="B303" s="179" t="n">
        <x:f>EDATE(Premissas!$B$4,297)</x:f>
        <x:v>55579</x:v>
      </x:c>
      <x:c r="C303" s="141" t="n">
        <x:f>L302</x:f>
        <x:v>0</x:v>
      </x:c>
      <x:c r="D303" s="141" t="n">
        <x:f>IF(C303&gt;0,C303*Premissas!$B$17,0)</x:f>
        <x:v>0</x:v>
      </x:c>
      <x:c r="E303" s="141" t="n">
        <x:f>C303+D303</x:f>
        <x:v>0</x:v>
      </x:c>
      <x:c r="F303" s="141" t="n">
        <x:f>IF(E303&gt;0,MIN(E303,INDEX(Financiamento!$G$6:$G$485,A303)),0)</x:f>
        <x:v>0</x:v>
      </x:c>
      <x:c r="G303" s="141" t="n">
        <x:f>IF(E303&gt;0,E303*Premissas!$B$15,0)</x:f>
        <x:v>0</x:v>
      </x:c>
      <x:c r="H303" s="141" t="n">
        <x:f>IF(E303&gt;0,Premissas!$B$18,0)</x:f>
        <x:v>0</x:v>
      </x:c>
      <x:c r="I303" s="141" t="n">
        <x:f>F303+G303+H303</x:f>
        <x:v>0</x:v>
      </x:c>
      <x:c r="J303" s="141" t="n">
        <x:f>IF(E303-F303&gt;0,MIN(E303-F303,P303),0)</x:f>
        <x:v>0</x:v>
      </x:c>
      <x:c r="K303" s="141" t="n">
        <x:f>I303+J303</x:f>
        <x:v>0</x:v>
      </x:c>
      <x:c r="L303" s="141" t="n">
        <x:f>MAX(0,E303-F303-J303)</x:f>
        <x:v>0</x:v>
      </x:c>
      <x:c r="M303" s="141" t="n">
        <x:f>SUM($K$6:K303)</x:f>
        <x:v>185795.9624076597</x:v>
      </x:c>
      <x:c r="N303" s="140" t="str">
        <x:f>IF(C303=0,"Encerrado",IF(L303=0,"Quitado","Aberto"))</x:f>
        <x:v>Encerrado</x:v>
      </x:c>
      <x:c r="O303" s="141" t="n">
        <x:f>IF(C303&gt;0,Premissas!$B$35,0)</x:f>
        <x:v>0</x:v>
      </x:c>
      <x:c r="P303" s="141" t="n">
        <x:f>IF(C303&gt;0,MAX(0,O303-I303),0)</x:f>
        <x:v>0</x:v>
      </x:c>
      <x:c r="Q303" s="141" t="n">
        <x:f>J303-IF(E303-F303&gt;0,MIN(E303-F303,P303),0)</x:f>
        <x:v>0</x:v>
      </x:c>
    </x:row>
    <x:row r="304">
      <x:c r="A304" s="142" t="n">
        <x:v>299</x:v>
      </x:c>
      <x:c r="B304" s="179" t="n">
        <x:f>EDATE(Premissas!$B$4,298)</x:f>
        <x:v>55610</x:v>
      </x:c>
      <x:c r="C304" s="141" t="n">
        <x:f>L303</x:f>
        <x:v>0</x:v>
      </x:c>
      <x:c r="D304" s="141" t="n">
        <x:f>IF(C304&gt;0,C304*Premissas!$B$17,0)</x:f>
        <x:v>0</x:v>
      </x:c>
      <x:c r="E304" s="141" t="n">
        <x:f>C304+D304</x:f>
        <x:v>0</x:v>
      </x:c>
      <x:c r="F304" s="141" t="n">
        <x:f>IF(E304&gt;0,MIN(E304,INDEX(Financiamento!$G$6:$G$485,A304)),0)</x:f>
        <x:v>0</x:v>
      </x:c>
      <x:c r="G304" s="141" t="n">
        <x:f>IF(E304&gt;0,E304*Premissas!$B$15,0)</x:f>
        <x:v>0</x:v>
      </x:c>
      <x:c r="H304" s="141" t="n">
        <x:f>IF(E304&gt;0,Premissas!$B$18,0)</x:f>
        <x:v>0</x:v>
      </x:c>
      <x:c r="I304" s="141" t="n">
        <x:f>F304+G304+H304</x:f>
        <x:v>0</x:v>
      </x:c>
      <x:c r="J304" s="141" t="n">
        <x:f>IF(E304-F304&gt;0,MIN(E304-F304,P304),0)</x:f>
        <x:v>0</x:v>
      </x:c>
      <x:c r="K304" s="141" t="n">
        <x:f>I304+J304</x:f>
        <x:v>0</x:v>
      </x:c>
      <x:c r="L304" s="141" t="n">
        <x:f>MAX(0,E304-F304-J304)</x:f>
        <x:v>0</x:v>
      </x:c>
      <x:c r="M304" s="141" t="n">
        <x:f>SUM($K$6:K304)</x:f>
        <x:v>185795.9624076597</x:v>
      </x:c>
      <x:c r="N304" s="140" t="str">
        <x:f>IF(C304=0,"Encerrado",IF(L304=0,"Quitado","Aberto"))</x:f>
        <x:v>Encerrado</x:v>
      </x:c>
      <x:c r="O304" s="141" t="n">
        <x:f>IF(C304&gt;0,Premissas!$B$35,0)</x:f>
        <x:v>0</x:v>
      </x:c>
      <x:c r="P304" s="141" t="n">
        <x:f>IF(C304&gt;0,MAX(0,O304-I304),0)</x:f>
        <x:v>0</x:v>
      </x:c>
      <x:c r="Q304" s="141" t="n">
        <x:f>J304-IF(E304-F304&gt;0,MIN(E304-F304,P304),0)</x:f>
        <x:v>0</x:v>
      </x:c>
    </x:row>
    <x:row r="305">
      <x:c r="A305" s="142" t="n">
        <x:v>300</x:v>
      </x:c>
      <x:c r="B305" s="179" t="n">
        <x:f>EDATE(Premissas!$B$4,299)</x:f>
        <x:v>55640</x:v>
      </x:c>
      <x:c r="C305" s="141" t="n">
        <x:f>L304</x:f>
        <x:v>0</x:v>
      </x:c>
      <x:c r="D305" s="141" t="n">
        <x:f>IF(C305&gt;0,C305*Premissas!$B$17,0)</x:f>
        <x:v>0</x:v>
      </x:c>
      <x:c r="E305" s="141" t="n">
        <x:f>C305+D305</x:f>
        <x:v>0</x:v>
      </x:c>
      <x:c r="F305" s="141" t="n">
        <x:f>IF(E305&gt;0,MIN(E305,INDEX(Financiamento!$G$6:$G$485,A305)),0)</x:f>
        <x:v>0</x:v>
      </x:c>
      <x:c r="G305" s="141" t="n">
        <x:f>IF(E305&gt;0,E305*Premissas!$B$15,0)</x:f>
        <x:v>0</x:v>
      </x:c>
      <x:c r="H305" s="141" t="n">
        <x:f>IF(E305&gt;0,Premissas!$B$18,0)</x:f>
        <x:v>0</x:v>
      </x:c>
      <x:c r="I305" s="141" t="n">
        <x:f>F305+G305+H305</x:f>
        <x:v>0</x:v>
      </x:c>
      <x:c r="J305" s="141" t="n">
        <x:f>IF(E305-F305&gt;0,MIN(E305-F305,P305),0)</x:f>
        <x:v>0</x:v>
      </x:c>
      <x:c r="K305" s="141" t="n">
        <x:f>I305+J305</x:f>
        <x:v>0</x:v>
      </x:c>
      <x:c r="L305" s="141" t="n">
        <x:f>MAX(0,E305-F305-J305)</x:f>
        <x:v>0</x:v>
      </x:c>
      <x:c r="M305" s="141" t="n">
        <x:f>SUM($K$6:K305)</x:f>
        <x:v>185795.9624076597</x:v>
      </x:c>
      <x:c r="N305" s="140" t="str">
        <x:f>IF(C305=0,"Encerrado",IF(L305=0,"Quitado","Aberto"))</x:f>
        <x:v>Encerrado</x:v>
      </x:c>
      <x:c r="O305" s="141" t="n">
        <x:f>IF(C305&gt;0,Premissas!$B$35,0)</x:f>
        <x:v>0</x:v>
      </x:c>
      <x:c r="P305" s="141" t="n">
        <x:f>IF(C305&gt;0,MAX(0,O305-I305),0)</x:f>
        <x:v>0</x:v>
      </x:c>
      <x:c r="Q305" s="141" t="n">
        <x:f>J305-IF(E305-F305&gt;0,MIN(E305-F305,P305),0)</x:f>
        <x:v>0</x:v>
      </x:c>
    </x:row>
    <x:row r="306">
      <x:c r="A306" s="142" t="n">
        <x:v>301</x:v>
      </x:c>
      <x:c r="B306" s="179" t="n">
        <x:f>EDATE(Premissas!$B$4,300)</x:f>
        <x:v>55671</x:v>
      </x:c>
      <x:c r="C306" s="141" t="n">
        <x:f>L305</x:f>
        <x:v>0</x:v>
      </x:c>
      <x:c r="D306" s="141" t="n">
        <x:f>IF(C306&gt;0,C306*Premissas!$B$17,0)</x:f>
        <x:v>0</x:v>
      </x:c>
      <x:c r="E306" s="141" t="n">
        <x:f>C306+D306</x:f>
        <x:v>0</x:v>
      </x:c>
      <x:c r="F306" s="141" t="n">
        <x:f>IF(E306&gt;0,MIN(E306,INDEX(Financiamento!$G$6:$G$485,A306)),0)</x:f>
        <x:v>0</x:v>
      </x:c>
      <x:c r="G306" s="141" t="n">
        <x:f>IF(E306&gt;0,E306*Premissas!$B$15,0)</x:f>
        <x:v>0</x:v>
      </x:c>
      <x:c r="H306" s="141" t="n">
        <x:f>IF(E306&gt;0,Premissas!$B$18,0)</x:f>
        <x:v>0</x:v>
      </x:c>
      <x:c r="I306" s="141" t="n">
        <x:f>F306+G306+H306</x:f>
        <x:v>0</x:v>
      </x:c>
      <x:c r="J306" s="141" t="n">
        <x:f>IF(E306-F306&gt;0,MIN(E306-F306,P306),0)</x:f>
        <x:v>0</x:v>
      </x:c>
      <x:c r="K306" s="141" t="n">
        <x:f>I306+J306</x:f>
        <x:v>0</x:v>
      </x:c>
      <x:c r="L306" s="141" t="n">
        <x:f>MAX(0,E306-F306-J306)</x:f>
        <x:v>0</x:v>
      </x:c>
      <x:c r="M306" s="141" t="n">
        <x:f>SUM($K$6:K306)</x:f>
        <x:v>185795.9624076597</x:v>
      </x:c>
      <x:c r="N306" s="140" t="str">
        <x:f>IF(C306=0,"Encerrado",IF(L306=0,"Quitado","Aberto"))</x:f>
        <x:v>Encerrado</x:v>
      </x:c>
      <x:c r="O306" s="141" t="n">
        <x:f>IF(C306&gt;0,Premissas!$B$35,0)</x:f>
        <x:v>0</x:v>
      </x:c>
      <x:c r="P306" s="141" t="n">
        <x:f>IF(C306&gt;0,MAX(0,O306-I306),0)</x:f>
        <x:v>0</x:v>
      </x:c>
      <x:c r="Q306" s="141" t="n">
        <x:f>J306-IF(E306-F306&gt;0,MIN(E306-F306,P306),0)</x:f>
        <x:v>0</x:v>
      </x:c>
    </x:row>
    <x:row r="307">
      <x:c r="A307" s="142" t="n">
        <x:v>302</x:v>
      </x:c>
      <x:c r="B307" s="179" t="n">
        <x:f>EDATE(Premissas!$B$4,301)</x:f>
        <x:v>55701</x:v>
      </x:c>
      <x:c r="C307" s="141" t="n">
        <x:f>L306</x:f>
        <x:v>0</x:v>
      </x:c>
      <x:c r="D307" s="141" t="n">
        <x:f>IF(C307&gt;0,C307*Premissas!$B$17,0)</x:f>
        <x:v>0</x:v>
      </x:c>
      <x:c r="E307" s="141" t="n">
        <x:f>C307+D307</x:f>
        <x:v>0</x:v>
      </x:c>
      <x:c r="F307" s="141" t="n">
        <x:f>IF(E307&gt;0,MIN(E307,INDEX(Financiamento!$G$6:$G$485,A307)),0)</x:f>
        <x:v>0</x:v>
      </x:c>
      <x:c r="G307" s="141" t="n">
        <x:f>IF(E307&gt;0,E307*Premissas!$B$15,0)</x:f>
        <x:v>0</x:v>
      </x:c>
      <x:c r="H307" s="141" t="n">
        <x:f>IF(E307&gt;0,Premissas!$B$18,0)</x:f>
        <x:v>0</x:v>
      </x:c>
      <x:c r="I307" s="141" t="n">
        <x:f>F307+G307+H307</x:f>
        <x:v>0</x:v>
      </x:c>
      <x:c r="J307" s="141" t="n">
        <x:f>IF(E307-F307&gt;0,MIN(E307-F307,P307),0)</x:f>
        <x:v>0</x:v>
      </x:c>
      <x:c r="K307" s="141" t="n">
        <x:f>I307+J307</x:f>
        <x:v>0</x:v>
      </x:c>
      <x:c r="L307" s="141" t="n">
        <x:f>MAX(0,E307-F307-J307)</x:f>
        <x:v>0</x:v>
      </x:c>
      <x:c r="M307" s="141" t="n">
        <x:f>SUM($K$6:K307)</x:f>
        <x:v>185795.9624076597</x:v>
      </x:c>
      <x:c r="N307" s="140" t="str">
        <x:f>IF(C307=0,"Encerrado",IF(L307=0,"Quitado","Aberto"))</x:f>
        <x:v>Encerrado</x:v>
      </x:c>
      <x:c r="O307" s="141" t="n">
        <x:f>IF(C307&gt;0,Premissas!$B$35,0)</x:f>
        <x:v>0</x:v>
      </x:c>
      <x:c r="P307" s="141" t="n">
        <x:f>IF(C307&gt;0,MAX(0,O307-I307),0)</x:f>
        <x:v>0</x:v>
      </x:c>
      <x:c r="Q307" s="141" t="n">
        <x:f>J307-IF(E307-F307&gt;0,MIN(E307-F307,P307),0)</x:f>
        <x:v>0</x:v>
      </x:c>
    </x:row>
    <x:row r="308">
      <x:c r="A308" s="142" t="n">
        <x:v>303</x:v>
      </x:c>
      <x:c r="B308" s="179" t="n">
        <x:f>EDATE(Premissas!$B$4,302)</x:f>
        <x:v>55732</x:v>
      </x:c>
      <x:c r="C308" s="141" t="n">
        <x:f>L307</x:f>
        <x:v>0</x:v>
      </x:c>
      <x:c r="D308" s="141" t="n">
        <x:f>IF(C308&gt;0,C308*Premissas!$B$17,0)</x:f>
        <x:v>0</x:v>
      </x:c>
      <x:c r="E308" s="141" t="n">
        <x:f>C308+D308</x:f>
        <x:v>0</x:v>
      </x:c>
      <x:c r="F308" s="141" t="n">
        <x:f>IF(E308&gt;0,MIN(E308,INDEX(Financiamento!$G$6:$G$485,A308)),0)</x:f>
        <x:v>0</x:v>
      </x:c>
      <x:c r="G308" s="141" t="n">
        <x:f>IF(E308&gt;0,E308*Premissas!$B$15,0)</x:f>
        <x:v>0</x:v>
      </x:c>
      <x:c r="H308" s="141" t="n">
        <x:f>IF(E308&gt;0,Premissas!$B$18,0)</x:f>
        <x:v>0</x:v>
      </x:c>
      <x:c r="I308" s="141" t="n">
        <x:f>F308+G308+H308</x:f>
        <x:v>0</x:v>
      </x:c>
      <x:c r="J308" s="141" t="n">
        <x:f>IF(E308-F308&gt;0,MIN(E308-F308,P308),0)</x:f>
        <x:v>0</x:v>
      </x:c>
      <x:c r="K308" s="141" t="n">
        <x:f>I308+J308</x:f>
        <x:v>0</x:v>
      </x:c>
      <x:c r="L308" s="141" t="n">
        <x:f>MAX(0,E308-F308-J308)</x:f>
        <x:v>0</x:v>
      </x:c>
      <x:c r="M308" s="141" t="n">
        <x:f>SUM($K$6:K308)</x:f>
        <x:v>185795.9624076597</x:v>
      </x:c>
      <x:c r="N308" s="140" t="str">
        <x:f>IF(C308=0,"Encerrado",IF(L308=0,"Quitado","Aberto"))</x:f>
        <x:v>Encerrado</x:v>
      </x:c>
      <x:c r="O308" s="141" t="n">
        <x:f>IF(C308&gt;0,Premissas!$B$35,0)</x:f>
        <x:v>0</x:v>
      </x:c>
      <x:c r="P308" s="141" t="n">
        <x:f>IF(C308&gt;0,MAX(0,O308-I308),0)</x:f>
        <x:v>0</x:v>
      </x:c>
      <x:c r="Q308" s="141" t="n">
        <x:f>J308-IF(E308-F308&gt;0,MIN(E308-F308,P308),0)</x:f>
        <x:v>0</x:v>
      </x:c>
    </x:row>
    <x:row r="309">
      <x:c r="A309" s="142" t="n">
        <x:v>304</x:v>
      </x:c>
      <x:c r="B309" s="179" t="n">
        <x:f>EDATE(Premissas!$B$4,303)</x:f>
        <x:v>55763</x:v>
      </x:c>
      <x:c r="C309" s="141" t="n">
        <x:f>L308</x:f>
        <x:v>0</x:v>
      </x:c>
      <x:c r="D309" s="141" t="n">
        <x:f>IF(C309&gt;0,C309*Premissas!$B$17,0)</x:f>
        <x:v>0</x:v>
      </x:c>
      <x:c r="E309" s="141" t="n">
        <x:f>C309+D309</x:f>
        <x:v>0</x:v>
      </x:c>
      <x:c r="F309" s="141" t="n">
        <x:f>IF(E309&gt;0,MIN(E309,INDEX(Financiamento!$G$6:$G$485,A309)),0)</x:f>
        <x:v>0</x:v>
      </x:c>
      <x:c r="G309" s="141" t="n">
        <x:f>IF(E309&gt;0,E309*Premissas!$B$15,0)</x:f>
        <x:v>0</x:v>
      </x:c>
      <x:c r="H309" s="141" t="n">
        <x:f>IF(E309&gt;0,Premissas!$B$18,0)</x:f>
        <x:v>0</x:v>
      </x:c>
      <x:c r="I309" s="141" t="n">
        <x:f>F309+G309+H309</x:f>
        <x:v>0</x:v>
      </x:c>
      <x:c r="J309" s="141" t="n">
        <x:f>IF(E309-F309&gt;0,MIN(E309-F309,P309),0)</x:f>
        <x:v>0</x:v>
      </x:c>
      <x:c r="K309" s="141" t="n">
        <x:f>I309+J309</x:f>
        <x:v>0</x:v>
      </x:c>
      <x:c r="L309" s="141" t="n">
        <x:f>MAX(0,E309-F309-J309)</x:f>
        <x:v>0</x:v>
      </x:c>
      <x:c r="M309" s="141" t="n">
        <x:f>SUM($K$6:K309)</x:f>
        <x:v>185795.9624076597</x:v>
      </x:c>
      <x:c r="N309" s="140" t="str">
        <x:f>IF(C309=0,"Encerrado",IF(L309=0,"Quitado","Aberto"))</x:f>
        <x:v>Encerrado</x:v>
      </x:c>
      <x:c r="O309" s="141" t="n">
        <x:f>IF(C309&gt;0,Premissas!$B$35,0)</x:f>
        <x:v>0</x:v>
      </x:c>
      <x:c r="P309" s="141" t="n">
        <x:f>IF(C309&gt;0,MAX(0,O309-I309),0)</x:f>
        <x:v>0</x:v>
      </x:c>
      <x:c r="Q309" s="141" t="n">
        <x:f>J309-IF(E309-F309&gt;0,MIN(E309-F309,P309),0)</x:f>
        <x:v>0</x:v>
      </x:c>
    </x:row>
    <x:row r="310">
      <x:c r="A310" s="142" t="n">
        <x:v>305</x:v>
      </x:c>
      <x:c r="B310" s="179" t="n">
        <x:f>EDATE(Premissas!$B$4,304)</x:f>
        <x:v>55793</x:v>
      </x:c>
      <x:c r="C310" s="141" t="n">
        <x:f>L309</x:f>
        <x:v>0</x:v>
      </x:c>
      <x:c r="D310" s="141" t="n">
        <x:f>IF(C310&gt;0,C310*Premissas!$B$17,0)</x:f>
        <x:v>0</x:v>
      </x:c>
      <x:c r="E310" s="141" t="n">
        <x:f>C310+D310</x:f>
        <x:v>0</x:v>
      </x:c>
      <x:c r="F310" s="141" t="n">
        <x:f>IF(E310&gt;0,MIN(E310,INDEX(Financiamento!$G$6:$G$485,A310)),0)</x:f>
        <x:v>0</x:v>
      </x:c>
      <x:c r="G310" s="141" t="n">
        <x:f>IF(E310&gt;0,E310*Premissas!$B$15,0)</x:f>
        <x:v>0</x:v>
      </x:c>
      <x:c r="H310" s="141" t="n">
        <x:f>IF(E310&gt;0,Premissas!$B$18,0)</x:f>
        <x:v>0</x:v>
      </x:c>
      <x:c r="I310" s="141" t="n">
        <x:f>F310+G310+H310</x:f>
        <x:v>0</x:v>
      </x:c>
      <x:c r="J310" s="141" t="n">
        <x:f>IF(E310-F310&gt;0,MIN(E310-F310,P310),0)</x:f>
        <x:v>0</x:v>
      </x:c>
      <x:c r="K310" s="141" t="n">
        <x:f>I310+J310</x:f>
        <x:v>0</x:v>
      </x:c>
      <x:c r="L310" s="141" t="n">
        <x:f>MAX(0,E310-F310-J310)</x:f>
        <x:v>0</x:v>
      </x:c>
      <x:c r="M310" s="141" t="n">
        <x:f>SUM($K$6:K310)</x:f>
        <x:v>185795.9624076597</x:v>
      </x:c>
      <x:c r="N310" s="140" t="str">
        <x:f>IF(C310=0,"Encerrado",IF(L310=0,"Quitado","Aberto"))</x:f>
        <x:v>Encerrado</x:v>
      </x:c>
      <x:c r="O310" s="141" t="n">
        <x:f>IF(C310&gt;0,Premissas!$B$35,0)</x:f>
        <x:v>0</x:v>
      </x:c>
      <x:c r="P310" s="141" t="n">
        <x:f>IF(C310&gt;0,MAX(0,O310-I310),0)</x:f>
        <x:v>0</x:v>
      </x:c>
      <x:c r="Q310" s="141" t="n">
        <x:f>J310-IF(E310-F310&gt;0,MIN(E310-F310,P310),0)</x:f>
        <x:v>0</x:v>
      </x:c>
    </x:row>
    <x:row r="311">
      <x:c r="A311" s="142" t="n">
        <x:v>306</x:v>
      </x:c>
      <x:c r="B311" s="179" t="n">
        <x:f>EDATE(Premissas!$B$4,305)</x:f>
        <x:v>55824</x:v>
      </x:c>
      <x:c r="C311" s="141" t="n">
        <x:f>L310</x:f>
        <x:v>0</x:v>
      </x:c>
      <x:c r="D311" s="141" t="n">
        <x:f>IF(C311&gt;0,C311*Premissas!$B$17,0)</x:f>
        <x:v>0</x:v>
      </x:c>
      <x:c r="E311" s="141" t="n">
        <x:f>C311+D311</x:f>
        <x:v>0</x:v>
      </x:c>
      <x:c r="F311" s="141" t="n">
        <x:f>IF(E311&gt;0,MIN(E311,INDEX(Financiamento!$G$6:$G$485,A311)),0)</x:f>
        <x:v>0</x:v>
      </x:c>
      <x:c r="G311" s="141" t="n">
        <x:f>IF(E311&gt;0,E311*Premissas!$B$15,0)</x:f>
        <x:v>0</x:v>
      </x:c>
      <x:c r="H311" s="141" t="n">
        <x:f>IF(E311&gt;0,Premissas!$B$18,0)</x:f>
        <x:v>0</x:v>
      </x:c>
      <x:c r="I311" s="141" t="n">
        <x:f>F311+G311+H311</x:f>
        <x:v>0</x:v>
      </x:c>
      <x:c r="J311" s="141" t="n">
        <x:f>IF(E311-F311&gt;0,MIN(E311-F311,P311),0)</x:f>
        <x:v>0</x:v>
      </x:c>
      <x:c r="K311" s="141" t="n">
        <x:f>I311+J311</x:f>
        <x:v>0</x:v>
      </x:c>
      <x:c r="L311" s="141" t="n">
        <x:f>MAX(0,E311-F311-J311)</x:f>
        <x:v>0</x:v>
      </x:c>
      <x:c r="M311" s="141" t="n">
        <x:f>SUM($K$6:K311)</x:f>
        <x:v>185795.9624076597</x:v>
      </x:c>
      <x:c r="N311" s="140" t="str">
        <x:f>IF(C311=0,"Encerrado",IF(L311=0,"Quitado","Aberto"))</x:f>
        <x:v>Encerrado</x:v>
      </x:c>
      <x:c r="O311" s="141" t="n">
        <x:f>IF(C311&gt;0,Premissas!$B$35,0)</x:f>
        <x:v>0</x:v>
      </x:c>
      <x:c r="P311" s="141" t="n">
        <x:f>IF(C311&gt;0,MAX(0,O311-I311),0)</x:f>
        <x:v>0</x:v>
      </x:c>
      <x:c r="Q311" s="141" t="n">
        <x:f>J311-IF(E311-F311&gt;0,MIN(E311-F311,P311),0)</x:f>
        <x:v>0</x:v>
      </x:c>
    </x:row>
    <x:row r="312">
      <x:c r="A312" s="142" t="n">
        <x:v>307</x:v>
      </x:c>
      <x:c r="B312" s="179" t="n">
        <x:f>EDATE(Premissas!$B$4,306)</x:f>
        <x:v>55854</x:v>
      </x:c>
      <x:c r="C312" s="141" t="n">
        <x:f>L311</x:f>
        <x:v>0</x:v>
      </x:c>
      <x:c r="D312" s="141" t="n">
        <x:f>IF(C312&gt;0,C312*Premissas!$B$17,0)</x:f>
        <x:v>0</x:v>
      </x:c>
      <x:c r="E312" s="141" t="n">
        <x:f>C312+D312</x:f>
        <x:v>0</x:v>
      </x:c>
      <x:c r="F312" s="141" t="n">
        <x:f>IF(E312&gt;0,MIN(E312,INDEX(Financiamento!$G$6:$G$485,A312)),0)</x:f>
        <x:v>0</x:v>
      </x:c>
      <x:c r="G312" s="141" t="n">
        <x:f>IF(E312&gt;0,E312*Premissas!$B$15,0)</x:f>
        <x:v>0</x:v>
      </x:c>
      <x:c r="H312" s="141" t="n">
        <x:f>IF(E312&gt;0,Premissas!$B$18,0)</x:f>
        <x:v>0</x:v>
      </x:c>
      <x:c r="I312" s="141" t="n">
        <x:f>F312+G312+H312</x:f>
        <x:v>0</x:v>
      </x:c>
      <x:c r="J312" s="141" t="n">
        <x:f>IF(E312-F312&gt;0,MIN(E312-F312,P312),0)</x:f>
        <x:v>0</x:v>
      </x:c>
      <x:c r="K312" s="141" t="n">
        <x:f>I312+J312</x:f>
        <x:v>0</x:v>
      </x:c>
      <x:c r="L312" s="141" t="n">
        <x:f>MAX(0,E312-F312-J312)</x:f>
        <x:v>0</x:v>
      </x:c>
      <x:c r="M312" s="141" t="n">
        <x:f>SUM($K$6:K312)</x:f>
        <x:v>185795.9624076597</x:v>
      </x:c>
      <x:c r="N312" s="140" t="str">
        <x:f>IF(C312=0,"Encerrado",IF(L312=0,"Quitado","Aberto"))</x:f>
        <x:v>Encerrado</x:v>
      </x:c>
      <x:c r="O312" s="141" t="n">
        <x:f>IF(C312&gt;0,Premissas!$B$35,0)</x:f>
        <x:v>0</x:v>
      </x:c>
      <x:c r="P312" s="141" t="n">
        <x:f>IF(C312&gt;0,MAX(0,O312-I312),0)</x:f>
        <x:v>0</x:v>
      </x:c>
      <x:c r="Q312" s="141" t="n">
        <x:f>J312-IF(E312-F312&gt;0,MIN(E312-F312,P312),0)</x:f>
        <x:v>0</x:v>
      </x:c>
    </x:row>
    <x:row r="313">
      <x:c r="A313" s="142" t="n">
        <x:v>308</x:v>
      </x:c>
      <x:c r="B313" s="179" t="n">
        <x:f>EDATE(Premissas!$B$4,307)</x:f>
        <x:v>55885</x:v>
      </x:c>
      <x:c r="C313" s="141" t="n">
        <x:f>L312</x:f>
        <x:v>0</x:v>
      </x:c>
      <x:c r="D313" s="141" t="n">
        <x:f>IF(C313&gt;0,C313*Premissas!$B$17,0)</x:f>
        <x:v>0</x:v>
      </x:c>
      <x:c r="E313" s="141" t="n">
        <x:f>C313+D313</x:f>
        <x:v>0</x:v>
      </x:c>
      <x:c r="F313" s="141" t="n">
        <x:f>IF(E313&gt;0,MIN(E313,INDEX(Financiamento!$G$6:$G$485,A313)),0)</x:f>
        <x:v>0</x:v>
      </x:c>
      <x:c r="G313" s="141" t="n">
        <x:f>IF(E313&gt;0,E313*Premissas!$B$15,0)</x:f>
        <x:v>0</x:v>
      </x:c>
      <x:c r="H313" s="141" t="n">
        <x:f>IF(E313&gt;0,Premissas!$B$18,0)</x:f>
        <x:v>0</x:v>
      </x:c>
      <x:c r="I313" s="141" t="n">
        <x:f>F313+G313+H313</x:f>
        <x:v>0</x:v>
      </x:c>
      <x:c r="J313" s="141" t="n">
        <x:f>IF(E313-F313&gt;0,MIN(E313-F313,P313),0)</x:f>
        <x:v>0</x:v>
      </x:c>
      <x:c r="K313" s="141" t="n">
        <x:f>I313+J313</x:f>
        <x:v>0</x:v>
      </x:c>
      <x:c r="L313" s="141" t="n">
        <x:f>MAX(0,E313-F313-J313)</x:f>
        <x:v>0</x:v>
      </x:c>
      <x:c r="M313" s="141" t="n">
        <x:f>SUM($K$6:K313)</x:f>
        <x:v>185795.9624076597</x:v>
      </x:c>
      <x:c r="N313" s="140" t="str">
        <x:f>IF(C313=0,"Encerrado",IF(L313=0,"Quitado","Aberto"))</x:f>
        <x:v>Encerrado</x:v>
      </x:c>
      <x:c r="O313" s="141" t="n">
        <x:f>IF(C313&gt;0,Premissas!$B$35,0)</x:f>
        <x:v>0</x:v>
      </x:c>
      <x:c r="P313" s="141" t="n">
        <x:f>IF(C313&gt;0,MAX(0,O313-I313),0)</x:f>
        <x:v>0</x:v>
      </x:c>
      <x:c r="Q313" s="141" t="n">
        <x:f>J313-IF(E313-F313&gt;0,MIN(E313-F313,P313),0)</x:f>
        <x:v>0</x:v>
      </x:c>
    </x:row>
    <x:row r="314">
      <x:c r="A314" s="142" t="n">
        <x:v>309</x:v>
      </x:c>
      <x:c r="B314" s="179" t="n">
        <x:f>EDATE(Premissas!$B$4,308)</x:f>
        <x:v>55916</x:v>
      </x:c>
      <x:c r="C314" s="141" t="n">
        <x:f>L313</x:f>
        <x:v>0</x:v>
      </x:c>
      <x:c r="D314" s="141" t="n">
        <x:f>IF(C314&gt;0,C314*Premissas!$B$17,0)</x:f>
        <x:v>0</x:v>
      </x:c>
      <x:c r="E314" s="141" t="n">
        <x:f>C314+D314</x:f>
        <x:v>0</x:v>
      </x:c>
      <x:c r="F314" s="141" t="n">
        <x:f>IF(E314&gt;0,MIN(E314,INDEX(Financiamento!$G$6:$G$485,A314)),0)</x:f>
        <x:v>0</x:v>
      </x:c>
      <x:c r="G314" s="141" t="n">
        <x:f>IF(E314&gt;0,E314*Premissas!$B$15,0)</x:f>
        <x:v>0</x:v>
      </x:c>
      <x:c r="H314" s="141" t="n">
        <x:f>IF(E314&gt;0,Premissas!$B$18,0)</x:f>
        <x:v>0</x:v>
      </x:c>
      <x:c r="I314" s="141" t="n">
        <x:f>F314+G314+H314</x:f>
        <x:v>0</x:v>
      </x:c>
      <x:c r="J314" s="141" t="n">
        <x:f>IF(E314-F314&gt;0,MIN(E314-F314,P314),0)</x:f>
        <x:v>0</x:v>
      </x:c>
      <x:c r="K314" s="141" t="n">
        <x:f>I314+J314</x:f>
        <x:v>0</x:v>
      </x:c>
      <x:c r="L314" s="141" t="n">
        <x:f>MAX(0,E314-F314-J314)</x:f>
        <x:v>0</x:v>
      </x:c>
      <x:c r="M314" s="141" t="n">
        <x:f>SUM($K$6:K314)</x:f>
        <x:v>185795.9624076597</x:v>
      </x:c>
      <x:c r="N314" s="140" t="str">
        <x:f>IF(C314=0,"Encerrado",IF(L314=0,"Quitado","Aberto"))</x:f>
        <x:v>Encerrado</x:v>
      </x:c>
      <x:c r="O314" s="141" t="n">
        <x:f>IF(C314&gt;0,Premissas!$B$35,0)</x:f>
        <x:v>0</x:v>
      </x:c>
      <x:c r="P314" s="141" t="n">
        <x:f>IF(C314&gt;0,MAX(0,O314-I314),0)</x:f>
        <x:v>0</x:v>
      </x:c>
      <x:c r="Q314" s="141" t="n">
        <x:f>J314-IF(E314-F314&gt;0,MIN(E314-F314,P314),0)</x:f>
        <x:v>0</x:v>
      </x:c>
    </x:row>
    <x:row r="315">
      <x:c r="A315" s="142" t="n">
        <x:v>310</x:v>
      </x:c>
      <x:c r="B315" s="179" t="n">
        <x:f>EDATE(Premissas!$B$4,309)</x:f>
        <x:v>55944</x:v>
      </x:c>
      <x:c r="C315" s="141" t="n">
        <x:f>L314</x:f>
        <x:v>0</x:v>
      </x:c>
      <x:c r="D315" s="141" t="n">
        <x:f>IF(C315&gt;0,C315*Premissas!$B$17,0)</x:f>
        <x:v>0</x:v>
      </x:c>
      <x:c r="E315" s="141" t="n">
        <x:f>C315+D315</x:f>
        <x:v>0</x:v>
      </x:c>
      <x:c r="F315" s="141" t="n">
        <x:f>IF(E315&gt;0,MIN(E315,INDEX(Financiamento!$G$6:$G$485,A315)),0)</x:f>
        <x:v>0</x:v>
      </x:c>
      <x:c r="G315" s="141" t="n">
        <x:f>IF(E315&gt;0,E315*Premissas!$B$15,0)</x:f>
        <x:v>0</x:v>
      </x:c>
      <x:c r="H315" s="141" t="n">
        <x:f>IF(E315&gt;0,Premissas!$B$18,0)</x:f>
        <x:v>0</x:v>
      </x:c>
      <x:c r="I315" s="141" t="n">
        <x:f>F315+G315+H315</x:f>
        <x:v>0</x:v>
      </x:c>
      <x:c r="J315" s="141" t="n">
        <x:f>IF(E315-F315&gt;0,MIN(E315-F315,P315),0)</x:f>
        <x:v>0</x:v>
      </x:c>
      <x:c r="K315" s="141" t="n">
        <x:f>I315+J315</x:f>
        <x:v>0</x:v>
      </x:c>
      <x:c r="L315" s="141" t="n">
        <x:f>MAX(0,E315-F315-J315)</x:f>
        <x:v>0</x:v>
      </x:c>
      <x:c r="M315" s="141" t="n">
        <x:f>SUM($K$6:K315)</x:f>
        <x:v>185795.9624076597</x:v>
      </x:c>
      <x:c r="N315" s="140" t="str">
        <x:f>IF(C315=0,"Encerrado",IF(L315=0,"Quitado","Aberto"))</x:f>
        <x:v>Encerrado</x:v>
      </x:c>
      <x:c r="O315" s="141" t="n">
        <x:f>IF(C315&gt;0,Premissas!$B$35,0)</x:f>
        <x:v>0</x:v>
      </x:c>
      <x:c r="P315" s="141" t="n">
        <x:f>IF(C315&gt;0,MAX(0,O315-I315),0)</x:f>
        <x:v>0</x:v>
      </x:c>
      <x:c r="Q315" s="141" t="n">
        <x:f>J315-IF(E315-F315&gt;0,MIN(E315-F315,P315),0)</x:f>
        <x:v>0</x:v>
      </x:c>
    </x:row>
    <x:row r="316">
      <x:c r="A316" s="142" t="n">
        <x:v>311</x:v>
      </x:c>
      <x:c r="B316" s="179" t="n">
        <x:f>EDATE(Premissas!$B$4,310)</x:f>
        <x:v>55975</x:v>
      </x:c>
      <x:c r="C316" s="141" t="n">
        <x:f>L315</x:f>
        <x:v>0</x:v>
      </x:c>
      <x:c r="D316" s="141" t="n">
        <x:f>IF(C316&gt;0,C316*Premissas!$B$17,0)</x:f>
        <x:v>0</x:v>
      </x:c>
      <x:c r="E316" s="141" t="n">
        <x:f>C316+D316</x:f>
        <x:v>0</x:v>
      </x:c>
      <x:c r="F316" s="141" t="n">
        <x:f>IF(E316&gt;0,MIN(E316,INDEX(Financiamento!$G$6:$G$485,A316)),0)</x:f>
        <x:v>0</x:v>
      </x:c>
      <x:c r="G316" s="141" t="n">
        <x:f>IF(E316&gt;0,E316*Premissas!$B$15,0)</x:f>
        <x:v>0</x:v>
      </x:c>
      <x:c r="H316" s="141" t="n">
        <x:f>IF(E316&gt;0,Premissas!$B$18,0)</x:f>
        <x:v>0</x:v>
      </x:c>
      <x:c r="I316" s="141" t="n">
        <x:f>F316+G316+H316</x:f>
        <x:v>0</x:v>
      </x:c>
      <x:c r="J316" s="141" t="n">
        <x:f>IF(E316-F316&gt;0,MIN(E316-F316,P316),0)</x:f>
        <x:v>0</x:v>
      </x:c>
      <x:c r="K316" s="141" t="n">
        <x:f>I316+J316</x:f>
        <x:v>0</x:v>
      </x:c>
      <x:c r="L316" s="141" t="n">
        <x:f>MAX(0,E316-F316-J316)</x:f>
        <x:v>0</x:v>
      </x:c>
      <x:c r="M316" s="141" t="n">
        <x:f>SUM($K$6:K316)</x:f>
        <x:v>185795.9624076597</x:v>
      </x:c>
      <x:c r="N316" s="140" t="str">
        <x:f>IF(C316=0,"Encerrado",IF(L316=0,"Quitado","Aberto"))</x:f>
        <x:v>Encerrado</x:v>
      </x:c>
      <x:c r="O316" s="141" t="n">
        <x:f>IF(C316&gt;0,Premissas!$B$35,0)</x:f>
        <x:v>0</x:v>
      </x:c>
      <x:c r="P316" s="141" t="n">
        <x:f>IF(C316&gt;0,MAX(0,O316-I316),0)</x:f>
        <x:v>0</x:v>
      </x:c>
      <x:c r="Q316" s="141" t="n">
        <x:f>J316-IF(E316-F316&gt;0,MIN(E316-F316,P316),0)</x:f>
        <x:v>0</x:v>
      </x:c>
    </x:row>
    <x:row r="317">
      <x:c r="A317" s="142" t="n">
        <x:v>312</x:v>
      </x:c>
      <x:c r="B317" s="179" t="n">
        <x:f>EDATE(Premissas!$B$4,311)</x:f>
        <x:v>56005</x:v>
      </x:c>
      <x:c r="C317" s="141" t="n">
        <x:f>L316</x:f>
        <x:v>0</x:v>
      </x:c>
      <x:c r="D317" s="141" t="n">
        <x:f>IF(C317&gt;0,C317*Premissas!$B$17,0)</x:f>
        <x:v>0</x:v>
      </x:c>
      <x:c r="E317" s="141" t="n">
        <x:f>C317+D317</x:f>
        <x:v>0</x:v>
      </x:c>
      <x:c r="F317" s="141" t="n">
        <x:f>IF(E317&gt;0,MIN(E317,INDEX(Financiamento!$G$6:$G$485,A317)),0)</x:f>
        <x:v>0</x:v>
      </x:c>
      <x:c r="G317" s="141" t="n">
        <x:f>IF(E317&gt;0,E317*Premissas!$B$15,0)</x:f>
        <x:v>0</x:v>
      </x:c>
      <x:c r="H317" s="141" t="n">
        <x:f>IF(E317&gt;0,Premissas!$B$18,0)</x:f>
        <x:v>0</x:v>
      </x:c>
      <x:c r="I317" s="141" t="n">
        <x:f>F317+G317+H317</x:f>
        <x:v>0</x:v>
      </x:c>
      <x:c r="J317" s="141" t="n">
        <x:f>IF(E317-F317&gt;0,MIN(E317-F317,P317),0)</x:f>
        <x:v>0</x:v>
      </x:c>
      <x:c r="K317" s="141" t="n">
        <x:f>I317+J317</x:f>
        <x:v>0</x:v>
      </x:c>
      <x:c r="L317" s="141" t="n">
        <x:f>MAX(0,E317-F317-J317)</x:f>
        <x:v>0</x:v>
      </x:c>
      <x:c r="M317" s="141" t="n">
        <x:f>SUM($K$6:K317)</x:f>
        <x:v>185795.9624076597</x:v>
      </x:c>
      <x:c r="N317" s="140" t="str">
        <x:f>IF(C317=0,"Encerrado",IF(L317=0,"Quitado","Aberto"))</x:f>
        <x:v>Encerrado</x:v>
      </x:c>
      <x:c r="O317" s="141" t="n">
        <x:f>IF(C317&gt;0,Premissas!$B$35,0)</x:f>
        <x:v>0</x:v>
      </x:c>
      <x:c r="P317" s="141" t="n">
        <x:f>IF(C317&gt;0,MAX(0,O317-I317),0)</x:f>
        <x:v>0</x:v>
      </x:c>
      <x:c r="Q317" s="141" t="n">
        <x:f>J317-IF(E317-F317&gt;0,MIN(E317-F317,P317),0)</x:f>
        <x:v>0</x:v>
      </x:c>
    </x:row>
    <x:row r="318">
      <x:c r="A318" s="142" t="n">
        <x:v>313</x:v>
      </x:c>
      <x:c r="B318" s="179" t="n">
        <x:f>EDATE(Premissas!$B$4,312)</x:f>
        <x:v>56036</x:v>
      </x:c>
      <x:c r="C318" s="141" t="n">
        <x:f>L317</x:f>
        <x:v>0</x:v>
      </x:c>
      <x:c r="D318" s="141" t="n">
        <x:f>IF(C318&gt;0,C318*Premissas!$B$17,0)</x:f>
        <x:v>0</x:v>
      </x:c>
      <x:c r="E318" s="141" t="n">
        <x:f>C318+D318</x:f>
        <x:v>0</x:v>
      </x:c>
      <x:c r="F318" s="141" t="n">
        <x:f>IF(E318&gt;0,MIN(E318,INDEX(Financiamento!$G$6:$G$485,A318)),0)</x:f>
        <x:v>0</x:v>
      </x:c>
      <x:c r="G318" s="141" t="n">
        <x:f>IF(E318&gt;0,E318*Premissas!$B$15,0)</x:f>
        <x:v>0</x:v>
      </x:c>
      <x:c r="H318" s="141" t="n">
        <x:f>IF(E318&gt;0,Premissas!$B$18,0)</x:f>
        <x:v>0</x:v>
      </x:c>
      <x:c r="I318" s="141" t="n">
        <x:f>F318+G318+H318</x:f>
        <x:v>0</x:v>
      </x:c>
      <x:c r="J318" s="141" t="n">
        <x:f>IF(E318-F318&gt;0,MIN(E318-F318,P318),0)</x:f>
        <x:v>0</x:v>
      </x:c>
      <x:c r="K318" s="141" t="n">
        <x:f>I318+J318</x:f>
        <x:v>0</x:v>
      </x:c>
      <x:c r="L318" s="141" t="n">
        <x:f>MAX(0,E318-F318-J318)</x:f>
        <x:v>0</x:v>
      </x:c>
      <x:c r="M318" s="141" t="n">
        <x:f>SUM($K$6:K318)</x:f>
        <x:v>185795.9624076597</x:v>
      </x:c>
      <x:c r="N318" s="140" t="str">
        <x:f>IF(C318=0,"Encerrado",IF(L318=0,"Quitado","Aberto"))</x:f>
        <x:v>Encerrado</x:v>
      </x:c>
      <x:c r="O318" s="141" t="n">
        <x:f>IF(C318&gt;0,Premissas!$B$35,0)</x:f>
        <x:v>0</x:v>
      </x:c>
      <x:c r="P318" s="141" t="n">
        <x:f>IF(C318&gt;0,MAX(0,O318-I318),0)</x:f>
        <x:v>0</x:v>
      </x:c>
      <x:c r="Q318" s="141" t="n">
        <x:f>J318-IF(E318-F318&gt;0,MIN(E318-F318,P318),0)</x:f>
        <x:v>0</x:v>
      </x:c>
    </x:row>
    <x:row r="319">
      <x:c r="A319" s="142" t="n">
        <x:v>314</x:v>
      </x:c>
      <x:c r="B319" s="179" t="n">
        <x:f>EDATE(Premissas!$B$4,313)</x:f>
        <x:v>56066</x:v>
      </x:c>
      <x:c r="C319" s="141" t="n">
        <x:f>L318</x:f>
        <x:v>0</x:v>
      </x:c>
      <x:c r="D319" s="141" t="n">
        <x:f>IF(C319&gt;0,C319*Premissas!$B$17,0)</x:f>
        <x:v>0</x:v>
      </x:c>
      <x:c r="E319" s="141" t="n">
        <x:f>C319+D319</x:f>
        <x:v>0</x:v>
      </x:c>
      <x:c r="F319" s="141" t="n">
        <x:f>IF(E319&gt;0,MIN(E319,INDEX(Financiamento!$G$6:$G$485,A319)),0)</x:f>
        <x:v>0</x:v>
      </x:c>
      <x:c r="G319" s="141" t="n">
        <x:f>IF(E319&gt;0,E319*Premissas!$B$15,0)</x:f>
        <x:v>0</x:v>
      </x:c>
      <x:c r="H319" s="141" t="n">
        <x:f>IF(E319&gt;0,Premissas!$B$18,0)</x:f>
        <x:v>0</x:v>
      </x:c>
      <x:c r="I319" s="141" t="n">
        <x:f>F319+G319+H319</x:f>
        <x:v>0</x:v>
      </x:c>
      <x:c r="J319" s="141" t="n">
        <x:f>IF(E319-F319&gt;0,MIN(E319-F319,P319),0)</x:f>
        <x:v>0</x:v>
      </x:c>
      <x:c r="K319" s="141" t="n">
        <x:f>I319+J319</x:f>
        <x:v>0</x:v>
      </x:c>
      <x:c r="L319" s="141" t="n">
        <x:f>MAX(0,E319-F319-J319)</x:f>
        <x:v>0</x:v>
      </x:c>
      <x:c r="M319" s="141" t="n">
        <x:f>SUM($K$6:K319)</x:f>
        <x:v>185795.9624076597</x:v>
      </x:c>
      <x:c r="N319" s="140" t="str">
        <x:f>IF(C319=0,"Encerrado",IF(L319=0,"Quitado","Aberto"))</x:f>
        <x:v>Encerrado</x:v>
      </x:c>
      <x:c r="O319" s="141" t="n">
        <x:f>IF(C319&gt;0,Premissas!$B$35,0)</x:f>
        <x:v>0</x:v>
      </x:c>
      <x:c r="P319" s="141" t="n">
        <x:f>IF(C319&gt;0,MAX(0,O319-I319),0)</x:f>
        <x:v>0</x:v>
      </x:c>
      <x:c r="Q319" s="141" t="n">
        <x:f>J319-IF(E319-F319&gt;0,MIN(E319-F319,P319),0)</x:f>
        <x:v>0</x:v>
      </x:c>
    </x:row>
    <x:row r="320">
      <x:c r="A320" s="142" t="n">
        <x:v>315</x:v>
      </x:c>
      <x:c r="B320" s="179" t="n">
        <x:f>EDATE(Premissas!$B$4,314)</x:f>
        <x:v>56097</x:v>
      </x:c>
      <x:c r="C320" s="141" t="n">
        <x:f>L319</x:f>
        <x:v>0</x:v>
      </x:c>
      <x:c r="D320" s="141" t="n">
        <x:f>IF(C320&gt;0,C320*Premissas!$B$17,0)</x:f>
        <x:v>0</x:v>
      </x:c>
      <x:c r="E320" s="141" t="n">
        <x:f>C320+D320</x:f>
        <x:v>0</x:v>
      </x:c>
      <x:c r="F320" s="141" t="n">
        <x:f>IF(E320&gt;0,MIN(E320,INDEX(Financiamento!$G$6:$G$485,A320)),0)</x:f>
        <x:v>0</x:v>
      </x:c>
      <x:c r="G320" s="141" t="n">
        <x:f>IF(E320&gt;0,E320*Premissas!$B$15,0)</x:f>
        <x:v>0</x:v>
      </x:c>
      <x:c r="H320" s="141" t="n">
        <x:f>IF(E320&gt;0,Premissas!$B$18,0)</x:f>
        <x:v>0</x:v>
      </x:c>
      <x:c r="I320" s="141" t="n">
        <x:f>F320+G320+H320</x:f>
        <x:v>0</x:v>
      </x:c>
      <x:c r="J320" s="141" t="n">
        <x:f>IF(E320-F320&gt;0,MIN(E320-F320,P320),0)</x:f>
        <x:v>0</x:v>
      </x:c>
      <x:c r="K320" s="141" t="n">
        <x:f>I320+J320</x:f>
        <x:v>0</x:v>
      </x:c>
      <x:c r="L320" s="141" t="n">
        <x:f>MAX(0,E320-F320-J320)</x:f>
        <x:v>0</x:v>
      </x:c>
      <x:c r="M320" s="141" t="n">
        <x:f>SUM($K$6:K320)</x:f>
        <x:v>185795.9624076597</x:v>
      </x:c>
      <x:c r="N320" s="140" t="str">
        <x:f>IF(C320=0,"Encerrado",IF(L320=0,"Quitado","Aberto"))</x:f>
        <x:v>Encerrado</x:v>
      </x:c>
      <x:c r="O320" s="141" t="n">
        <x:f>IF(C320&gt;0,Premissas!$B$35,0)</x:f>
        <x:v>0</x:v>
      </x:c>
      <x:c r="P320" s="141" t="n">
        <x:f>IF(C320&gt;0,MAX(0,O320-I320),0)</x:f>
        <x:v>0</x:v>
      </x:c>
      <x:c r="Q320" s="141" t="n">
        <x:f>J320-IF(E320-F320&gt;0,MIN(E320-F320,P320),0)</x:f>
        <x:v>0</x:v>
      </x:c>
    </x:row>
    <x:row r="321">
      <x:c r="A321" s="142" t="n">
        <x:v>316</x:v>
      </x:c>
      <x:c r="B321" s="179" t="n">
        <x:f>EDATE(Premissas!$B$4,315)</x:f>
        <x:v>56128</x:v>
      </x:c>
      <x:c r="C321" s="141" t="n">
        <x:f>L320</x:f>
        <x:v>0</x:v>
      </x:c>
      <x:c r="D321" s="141" t="n">
        <x:f>IF(C321&gt;0,C321*Premissas!$B$17,0)</x:f>
        <x:v>0</x:v>
      </x:c>
      <x:c r="E321" s="141" t="n">
        <x:f>C321+D321</x:f>
        <x:v>0</x:v>
      </x:c>
      <x:c r="F321" s="141" t="n">
        <x:f>IF(E321&gt;0,MIN(E321,INDEX(Financiamento!$G$6:$G$485,A321)),0)</x:f>
        <x:v>0</x:v>
      </x:c>
      <x:c r="G321" s="141" t="n">
        <x:f>IF(E321&gt;0,E321*Premissas!$B$15,0)</x:f>
        <x:v>0</x:v>
      </x:c>
      <x:c r="H321" s="141" t="n">
        <x:f>IF(E321&gt;0,Premissas!$B$18,0)</x:f>
        <x:v>0</x:v>
      </x:c>
      <x:c r="I321" s="141" t="n">
        <x:f>F321+G321+H321</x:f>
        <x:v>0</x:v>
      </x:c>
      <x:c r="J321" s="141" t="n">
        <x:f>IF(E321-F321&gt;0,MIN(E321-F321,P321),0)</x:f>
        <x:v>0</x:v>
      </x:c>
      <x:c r="K321" s="141" t="n">
        <x:f>I321+J321</x:f>
        <x:v>0</x:v>
      </x:c>
      <x:c r="L321" s="141" t="n">
        <x:f>MAX(0,E321-F321-J321)</x:f>
        <x:v>0</x:v>
      </x:c>
      <x:c r="M321" s="141" t="n">
        <x:f>SUM($K$6:K321)</x:f>
        <x:v>185795.9624076597</x:v>
      </x:c>
      <x:c r="N321" s="140" t="str">
        <x:f>IF(C321=0,"Encerrado",IF(L321=0,"Quitado","Aberto"))</x:f>
        <x:v>Encerrado</x:v>
      </x:c>
      <x:c r="O321" s="141" t="n">
        <x:f>IF(C321&gt;0,Premissas!$B$35,0)</x:f>
        <x:v>0</x:v>
      </x:c>
      <x:c r="P321" s="141" t="n">
        <x:f>IF(C321&gt;0,MAX(0,O321-I321),0)</x:f>
        <x:v>0</x:v>
      </x:c>
      <x:c r="Q321" s="141" t="n">
        <x:f>J321-IF(E321-F321&gt;0,MIN(E321-F321,P321),0)</x:f>
        <x:v>0</x:v>
      </x:c>
    </x:row>
    <x:row r="322">
      <x:c r="A322" s="142" t="n">
        <x:v>317</x:v>
      </x:c>
      <x:c r="B322" s="179" t="n">
        <x:f>EDATE(Premissas!$B$4,316)</x:f>
        <x:v>56158</x:v>
      </x:c>
      <x:c r="C322" s="141" t="n">
        <x:f>L321</x:f>
        <x:v>0</x:v>
      </x:c>
      <x:c r="D322" s="141" t="n">
        <x:f>IF(C322&gt;0,C322*Premissas!$B$17,0)</x:f>
        <x:v>0</x:v>
      </x:c>
      <x:c r="E322" s="141" t="n">
        <x:f>C322+D322</x:f>
        <x:v>0</x:v>
      </x:c>
      <x:c r="F322" s="141" t="n">
        <x:f>IF(E322&gt;0,MIN(E322,INDEX(Financiamento!$G$6:$G$485,A322)),0)</x:f>
        <x:v>0</x:v>
      </x:c>
      <x:c r="G322" s="141" t="n">
        <x:f>IF(E322&gt;0,E322*Premissas!$B$15,0)</x:f>
        <x:v>0</x:v>
      </x:c>
      <x:c r="H322" s="141" t="n">
        <x:f>IF(E322&gt;0,Premissas!$B$18,0)</x:f>
        <x:v>0</x:v>
      </x:c>
      <x:c r="I322" s="141" t="n">
        <x:f>F322+G322+H322</x:f>
        <x:v>0</x:v>
      </x:c>
      <x:c r="J322" s="141" t="n">
        <x:f>IF(E322-F322&gt;0,MIN(E322-F322,P322),0)</x:f>
        <x:v>0</x:v>
      </x:c>
      <x:c r="K322" s="141" t="n">
        <x:f>I322+J322</x:f>
        <x:v>0</x:v>
      </x:c>
      <x:c r="L322" s="141" t="n">
        <x:f>MAX(0,E322-F322-J322)</x:f>
        <x:v>0</x:v>
      </x:c>
      <x:c r="M322" s="141" t="n">
        <x:f>SUM($K$6:K322)</x:f>
        <x:v>185795.9624076597</x:v>
      </x:c>
      <x:c r="N322" s="140" t="str">
        <x:f>IF(C322=0,"Encerrado",IF(L322=0,"Quitado","Aberto"))</x:f>
        <x:v>Encerrado</x:v>
      </x:c>
      <x:c r="O322" s="141" t="n">
        <x:f>IF(C322&gt;0,Premissas!$B$35,0)</x:f>
        <x:v>0</x:v>
      </x:c>
      <x:c r="P322" s="141" t="n">
        <x:f>IF(C322&gt;0,MAX(0,O322-I322),0)</x:f>
        <x:v>0</x:v>
      </x:c>
      <x:c r="Q322" s="141" t="n">
        <x:f>J322-IF(E322-F322&gt;0,MIN(E322-F322,P322),0)</x:f>
        <x:v>0</x:v>
      </x:c>
    </x:row>
    <x:row r="323">
      <x:c r="A323" s="142" t="n">
        <x:v>318</x:v>
      </x:c>
      <x:c r="B323" s="179" t="n">
        <x:f>EDATE(Premissas!$B$4,317)</x:f>
        <x:v>56189</x:v>
      </x:c>
      <x:c r="C323" s="141" t="n">
        <x:f>L322</x:f>
        <x:v>0</x:v>
      </x:c>
      <x:c r="D323" s="141" t="n">
        <x:f>IF(C323&gt;0,C323*Premissas!$B$17,0)</x:f>
        <x:v>0</x:v>
      </x:c>
      <x:c r="E323" s="141" t="n">
        <x:f>C323+D323</x:f>
        <x:v>0</x:v>
      </x:c>
      <x:c r="F323" s="141" t="n">
        <x:f>IF(E323&gt;0,MIN(E323,INDEX(Financiamento!$G$6:$G$485,A323)),0)</x:f>
        <x:v>0</x:v>
      </x:c>
      <x:c r="G323" s="141" t="n">
        <x:f>IF(E323&gt;0,E323*Premissas!$B$15,0)</x:f>
        <x:v>0</x:v>
      </x:c>
      <x:c r="H323" s="141" t="n">
        <x:f>IF(E323&gt;0,Premissas!$B$18,0)</x:f>
        <x:v>0</x:v>
      </x:c>
      <x:c r="I323" s="141" t="n">
        <x:f>F323+G323+H323</x:f>
        <x:v>0</x:v>
      </x:c>
      <x:c r="J323" s="141" t="n">
        <x:f>IF(E323-F323&gt;0,MIN(E323-F323,P323),0)</x:f>
        <x:v>0</x:v>
      </x:c>
      <x:c r="K323" s="141" t="n">
        <x:f>I323+J323</x:f>
        <x:v>0</x:v>
      </x:c>
      <x:c r="L323" s="141" t="n">
        <x:f>MAX(0,E323-F323-J323)</x:f>
        <x:v>0</x:v>
      </x:c>
      <x:c r="M323" s="141" t="n">
        <x:f>SUM($K$6:K323)</x:f>
        <x:v>185795.9624076597</x:v>
      </x:c>
      <x:c r="N323" s="140" t="str">
        <x:f>IF(C323=0,"Encerrado",IF(L323=0,"Quitado","Aberto"))</x:f>
        <x:v>Encerrado</x:v>
      </x:c>
      <x:c r="O323" s="141" t="n">
        <x:f>IF(C323&gt;0,Premissas!$B$35,0)</x:f>
        <x:v>0</x:v>
      </x:c>
      <x:c r="P323" s="141" t="n">
        <x:f>IF(C323&gt;0,MAX(0,O323-I323),0)</x:f>
        <x:v>0</x:v>
      </x:c>
      <x:c r="Q323" s="141" t="n">
        <x:f>J323-IF(E323-F323&gt;0,MIN(E323-F323,P323),0)</x:f>
        <x:v>0</x:v>
      </x:c>
    </x:row>
    <x:row r="324">
      <x:c r="A324" s="142" t="n">
        <x:v>319</x:v>
      </x:c>
      <x:c r="B324" s="179" t="n">
        <x:f>EDATE(Premissas!$B$4,318)</x:f>
        <x:v>56219</x:v>
      </x:c>
      <x:c r="C324" s="141" t="n">
        <x:f>L323</x:f>
        <x:v>0</x:v>
      </x:c>
      <x:c r="D324" s="141" t="n">
        <x:f>IF(C324&gt;0,C324*Premissas!$B$17,0)</x:f>
        <x:v>0</x:v>
      </x:c>
      <x:c r="E324" s="141" t="n">
        <x:f>C324+D324</x:f>
        <x:v>0</x:v>
      </x:c>
      <x:c r="F324" s="141" t="n">
        <x:f>IF(E324&gt;0,MIN(E324,INDEX(Financiamento!$G$6:$G$485,A324)),0)</x:f>
        <x:v>0</x:v>
      </x:c>
      <x:c r="G324" s="141" t="n">
        <x:f>IF(E324&gt;0,E324*Premissas!$B$15,0)</x:f>
        <x:v>0</x:v>
      </x:c>
      <x:c r="H324" s="141" t="n">
        <x:f>IF(E324&gt;0,Premissas!$B$18,0)</x:f>
        <x:v>0</x:v>
      </x:c>
      <x:c r="I324" s="141" t="n">
        <x:f>F324+G324+H324</x:f>
        <x:v>0</x:v>
      </x:c>
      <x:c r="J324" s="141" t="n">
        <x:f>IF(E324-F324&gt;0,MIN(E324-F324,P324),0)</x:f>
        <x:v>0</x:v>
      </x:c>
      <x:c r="K324" s="141" t="n">
        <x:f>I324+J324</x:f>
        <x:v>0</x:v>
      </x:c>
      <x:c r="L324" s="141" t="n">
        <x:f>MAX(0,E324-F324-J324)</x:f>
        <x:v>0</x:v>
      </x:c>
      <x:c r="M324" s="141" t="n">
        <x:f>SUM($K$6:K324)</x:f>
        <x:v>185795.9624076597</x:v>
      </x:c>
      <x:c r="N324" s="140" t="str">
        <x:f>IF(C324=0,"Encerrado",IF(L324=0,"Quitado","Aberto"))</x:f>
        <x:v>Encerrado</x:v>
      </x:c>
      <x:c r="O324" s="141" t="n">
        <x:f>IF(C324&gt;0,Premissas!$B$35,0)</x:f>
        <x:v>0</x:v>
      </x:c>
      <x:c r="P324" s="141" t="n">
        <x:f>IF(C324&gt;0,MAX(0,O324-I324),0)</x:f>
        <x:v>0</x:v>
      </x:c>
      <x:c r="Q324" s="141" t="n">
        <x:f>J324-IF(E324-F324&gt;0,MIN(E324-F324,P324),0)</x:f>
        <x:v>0</x:v>
      </x:c>
    </x:row>
    <x:row r="325">
      <x:c r="A325" s="142" t="n">
        <x:v>320</x:v>
      </x:c>
      <x:c r="B325" s="179" t="n">
        <x:f>EDATE(Premissas!$B$4,319)</x:f>
        <x:v>56250</x:v>
      </x:c>
      <x:c r="C325" s="141" t="n">
        <x:f>L324</x:f>
        <x:v>0</x:v>
      </x:c>
      <x:c r="D325" s="141" t="n">
        <x:f>IF(C325&gt;0,C325*Premissas!$B$17,0)</x:f>
        <x:v>0</x:v>
      </x:c>
      <x:c r="E325" s="141" t="n">
        <x:f>C325+D325</x:f>
        <x:v>0</x:v>
      </x:c>
      <x:c r="F325" s="141" t="n">
        <x:f>IF(E325&gt;0,MIN(E325,INDEX(Financiamento!$G$6:$G$485,A325)),0)</x:f>
        <x:v>0</x:v>
      </x:c>
      <x:c r="G325" s="141" t="n">
        <x:f>IF(E325&gt;0,E325*Premissas!$B$15,0)</x:f>
        <x:v>0</x:v>
      </x:c>
      <x:c r="H325" s="141" t="n">
        <x:f>IF(E325&gt;0,Premissas!$B$18,0)</x:f>
        <x:v>0</x:v>
      </x:c>
      <x:c r="I325" s="141" t="n">
        <x:f>F325+G325+H325</x:f>
        <x:v>0</x:v>
      </x:c>
      <x:c r="J325" s="141" t="n">
        <x:f>IF(E325-F325&gt;0,MIN(E325-F325,P325),0)</x:f>
        <x:v>0</x:v>
      </x:c>
      <x:c r="K325" s="141" t="n">
        <x:f>I325+J325</x:f>
        <x:v>0</x:v>
      </x:c>
      <x:c r="L325" s="141" t="n">
        <x:f>MAX(0,E325-F325-J325)</x:f>
        <x:v>0</x:v>
      </x:c>
      <x:c r="M325" s="141" t="n">
        <x:f>SUM($K$6:K325)</x:f>
        <x:v>185795.9624076597</x:v>
      </x:c>
      <x:c r="N325" s="140" t="str">
        <x:f>IF(C325=0,"Encerrado",IF(L325=0,"Quitado","Aberto"))</x:f>
        <x:v>Encerrado</x:v>
      </x:c>
      <x:c r="O325" s="141" t="n">
        <x:f>IF(C325&gt;0,Premissas!$B$35,0)</x:f>
        <x:v>0</x:v>
      </x:c>
      <x:c r="P325" s="141" t="n">
        <x:f>IF(C325&gt;0,MAX(0,O325-I325),0)</x:f>
        <x:v>0</x:v>
      </x:c>
      <x:c r="Q325" s="141" t="n">
        <x:f>J325-IF(E325-F325&gt;0,MIN(E325-F325,P325),0)</x:f>
        <x:v>0</x:v>
      </x:c>
    </x:row>
    <x:row r="326">
      <x:c r="A326" s="142" t="n">
        <x:v>321</x:v>
      </x:c>
      <x:c r="B326" s="179" t="n">
        <x:f>EDATE(Premissas!$B$4,320)</x:f>
        <x:v>56281</x:v>
      </x:c>
      <x:c r="C326" s="141" t="n">
        <x:f>L325</x:f>
        <x:v>0</x:v>
      </x:c>
      <x:c r="D326" s="141" t="n">
        <x:f>IF(C326&gt;0,C326*Premissas!$B$17,0)</x:f>
        <x:v>0</x:v>
      </x:c>
      <x:c r="E326" s="141" t="n">
        <x:f>C326+D326</x:f>
        <x:v>0</x:v>
      </x:c>
      <x:c r="F326" s="141" t="n">
        <x:f>IF(E326&gt;0,MIN(E326,INDEX(Financiamento!$G$6:$G$485,A326)),0)</x:f>
        <x:v>0</x:v>
      </x:c>
      <x:c r="G326" s="141" t="n">
        <x:f>IF(E326&gt;0,E326*Premissas!$B$15,0)</x:f>
        <x:v>0</x:v>
      </x:c>
      <x:c r="H326" s="141" t="n">
        <x:f>IF(E326&gt;0,Premissas!$B$18,0)</x:f>
        <x:v>0</x:v>
      </x:c>
      <x:c r="I326" s="141" t="n">
        <x:f>F326+G326+H326</x:f>
        <x:v>0</x:v>
      </x:c>
      <x:c r="J326" s="141" t="n">
        <x:f>IF(E326-F326&gt;0,MIN(E326-F326,P326),0)</x:f>
        <x:v>0</x:v>
      </x:c>
      <x:c r="K326" s="141" t="n">
        <x:f>I326+J326</x:f>
        <x:v>0</x:v>
      </x:c>
      <x:c r="L326" s="141" t="n">
        <x:f>MAX(0,E326-F326-J326)</x:f>
        <x:v>0</x:v>
      </x:c>
      <x:c r="M326" s="141" t="n">
        <x:f>SUM($K$6:K326)</x:f>
        <x:v>185795.9624076597</x:v>
      </x:c>
      <x:c r="N326" s="140" t="str">
        <x:f>IF(C326=0,"Encerrado",IF(L326=0,"Quitado","Aberto"))</x:f>
        <x:v>Encerrado</x:v>
      </x:c>
      <x:c r="O326" s="141" t="n">
        <x:f>IF(C326&gt;0,Premissas!$B$35,0)</x:f>
        <x:v>0</x:v>
      </x:c>
      <x:c r="P326" s="141" t="n">
        <x:f>IF(C326&gt;0,MAX(0,O326-I326),0)</x:f>
        <x:v>0</x:v>
      </x:c>
      <x:c r="Q326" s="141" t="n">
        <x:f>J326-IF(E326-F326&gt;0,MIN(E326-F326,P326),0)</x:f>
        <x:v>0</x:v>
      </x:c>
    </x:row>
    <x:row r="327">
      <x:c r="A327" s="142" t="n">
        <x:v>322</x:v>
      </x:c>
      <x:c r="B327" s="179" t="n">
        <x:f>EDATE(Premissas!$B$4,321)</x:f>
        <x:v>56309</x:v>
      </x:c>
      <x:c r="C327" s="141" t="n">
        <x:f>L326</x:f>
        <x:v>0</x:v>
      </x:c>
      <x:c r="D327" s="141" t="n">
        <x:f>IF(C327&gt;0,C327*Premissas!$B$17,0)</x:f>
        <x:v>0</x:v>
      </x:c>
      <x:c r="E327" s="141" t="n">
        <x:f>C327+D327</x:f>
        <x:v>0</x:v>
      </x:c>
      <x:c r="F327" s="141" t="n">
        <x:f>IF(E327&gt;0,MIN(E327,INDEX(Financiamento!$G$6:$G$485,A327)),0)</x:f>
        <x:v>0</x:v>
      </x:c>
      <x:c r="G327" s="141" t="n">
        <x:f>IF(E327&gt;0,E327*Premissas!$B$15,0)</x:f>
        <x:v>0</x:v>
      </x:c>
      <x:c r="H327" s="141" t="n">
        <x:f>IF(E327&gt;0,Premissas!$B$18,0)</x:f>
        <x:v>0</x:v>
      </x:c>
      <x:c r="I327" s="141" t="n">
        <x:f>F327+G327+H327</x:f>
        <x:v>0</x:v>
      </x:c>
      <x:c r="J327" s="141" t="n">
        <x:f>IF(E327-F327&gt;0,MIN(E327-F327,P327),0)</x:f>
        <x:v>0</x:v>
      </x:c>
      <x:c r="K327" s="141" t="n">
        <x:f>I327+J327</x:f>
        <x:v>0</x:v>
      </x:c>
      <x:c r="L327" s="141" t="n">
        <x:f>MAX(0,E327-F327-J327)</x:f>
        <x:v>0</x:v>
      </x:c>
      <x:c r="M327" s="141" t="n">
        <x:f>SUM($K$6:K327)</x:f>
        <x:v>185795.9624076597</x:v>
      </x:c>
      <x:c r="N327" s="140" t="str">
        <x:f>IF(C327=0,"Encerrado",IF(L327=0,"Quitado","Aberto"))</x:f>
        <x:v>Encerrado</x:v>
      </x:c>
      <x:c r="O327" s="141" t="n">
        <x:f>IF(C327&gt;0,Premissas!$B$35,0)</x:f>
        <x:v>0</x:v>
      </x:c>
      <x:c r="P327" s="141" t="n">
        <x:f>IF(C327&gt;0,MAX(0,O327-I327),0)</x:f>
        <x:v>0</x:v>
      </x:c>
      <x:c r="Q327" s="141" t="n">
        <x:f>J327-IF(E327-F327&gt;0,MIN(E327-F327,P327),0)</x:f>
        <x:v>0</x:v>
      </x:c>
    </x:row>
    <x:row r="328">
      <x:c r="A328" s="142" t="n">
        <x:v>323</x:v>
      </x:c>
      <x:c r="B328" s="179" t="n">
        <x:f>EDATE(Premissas!$B$4,322)</x:f>
        <x:v>56340</x:v>
      </x:c>
      <x:c r="C328" s="141" t="n">
        <x:f>L327</x:f>
        <x:v>0</x:v>
      </x:c>
      <x:c r="D328" s="141" t="n">
        <x:f>IF(C328&gt;0,C328*Premissas!$B$17,0)</x:f>
        <x:v>0</x:v>
      </x:c>
      <x:c r="E328" s="141" t="n">
        <x:f>C328+D328</x:f>
        <x:v>0</x:v>
      </x:c>
      <x:c r="F328" s="141" t="n">
        <x:f>IF(E328&gt;0,MIN(E328,INDEX(Financiamento!$G$6:$G$485,A328)),0)</x:f>
        <x:v>0</x:v>
      </x:c>
      <x:c r="G328" s="141" t="n">
        <x:f>IF(E328&gt;0,E328*Premissas!$B$15,0)</x:f>
        <x:v>0</x:v>
      </x:c>
      <x:c r="H328" s="141" t="n">
        <x:f>IF(E328&gt;0,Premissas!$B$18,0)</x:f>
        <x:v>0</x:v>
      </x:c>
      <x:c r="I328" s="141" t="n">
        <x:f>F328+G328+H328</x:f>
        <x:v>0</x:v>
      </x:c>
      <x:c r="J328" s="141" t="n">
        <x:f>IF(E328-F328&gt;0,MIN(E328-F328,P328),0)</x:f>
        <x:v>0</x:v>
      </x:c>
      <x:c r="K328" s="141" t="n">
        <x:f>I328+J328</x:f>
        <x:v>0</x:v>
      </x:c>
      <x:c r="L328" s="141" t="n">
        <x:f>MAX(0,E328-F328-J328)</x:f>
        <x:v>0</x:v>
      </x:c>
      <x:c r="M328" s="141" t="n">
        <x:f>SUM($K$6:K328)</x:f>
        <x:v>185795.9624076597</x:v>
      </x:c>
      <x:c r="N328" s="140" t="str">
        <x:f>IF(C328=0,"Encerrado",IF(L328=0,"Quitado","Aberto"))</x:f>
        <x:v>Encerrado</x:v>
      </x:c>
      <x:c r="O328" s="141" t="n">
        <x:f>IF(C328&gt;0,Premissas!$B$35,0)</x:f>
        <x:v>0</x:v>
      </x:c>
      <x:c r="P328" s="141" t="n">
        <x:f>IF(C328&gt;0,MAX(0,O328-I328),0)</x:f>
        <x:v>0</x:v>
      </x:c>
      <x:c r="Q328" s="141" t="n">
        <x:f>J328-IF(E328-F328&gt;0,MIN(E328-F328,P328),0)</x:f>
        <x:v>0</x:v>
      </x:c>
    </x:row>
    <x:row r="329">
      <x:c r="A329" s="142" t="n">
        <x:v>324</x:v>
      </x:c>
      <x:c r="B329" s="179" t="n">
        <x:f>EDATE(Premissas!$B$4,323)</x:f>
        <x:v>56370</x:v>
      </x:c>
      <x:c r="C329" s="141" t="n">
        <x:f>L328</x:f>
        <x:v>0</x:v>
      </x:c>
      <x:c r="D329" s="141" t="n">
        <x:f>IF(C329&gt;0,C329*Premissas!$B$17,0)</x:f>
        <x:v>0</x:v>
      </x:c>
      <x:c r="E329" s="141" t="n">
        <x:f>C329+D329</x:f>
        <x:v>0</x:v>
      </x:c>
      <x:c r="F329" s="141" t="n">
        <x:f>IF(E329&gt;0,MIN(E329,INDEX(Financiamento!$G$6:$G$485,A329)),0)</x:f>
        <x:v>0</x:v>
      </x:c>
      <x:c r="G329" s="141" t="n">
        <x:f>IF(E329&gt;0,E329*Premissas!$B$15,0)</x:f>
        <x:v>0</x:v>
      </x:c>
      <x:c r="H329" s="141" t="n">
        <x:f>IF(E329&gt;0,Premissas!$B$18,0)</x:f>
        <x:v>0</x:v>
      </x:c>
      <x:c r="I329" s="141" t="n">
        <x:f>F329+G329+H329</x:f>
        <x:v>0</x:v>
      </x:c>
      <x:c r="J329" s="141" t="n">
        <x:f>IF(E329-F329&gt;0,MIN(E329-F329,P329),0)</x:f>
        <x:v>0</x:v>
      </x:c>
      <x:c r="K329" s="141" t="n">
        <x:f>I329+J329</x:f>
        <x:v>0</x:v>
      </x:c>
      <x:c r="L329" s="141" t="n">
        <x:f>MAX(0,E329-F329-J329)</x:f>
        <x:v>0</x:v>
      </x:c>
      <x:c r="M329" s="141" t="n">
        <x:f>SUM($K$6:K329)</x:f>
        <x:v>185795.9624076597</x:v>
      </x:c>
      <x:c r="N329" s="140" t="str">
        <x:f>IF(C329=0,"Encerrado",IF(L329=0,"Quitado","Aberto"))</x:f>
        <x:v>Encerrado</x:v>
      </x:c>
      <x:c r="O329" s="141" t="n">
        <x:f>IF(C329&gt;0,Premissas!$B$35,0)</x:f>
        <x:v>0</x:v>
      </x:c>
      <x:c r="P329" s="141" t="n">
        <x:f>IF(C329&gt;0,MAX(0,O329-I329),0)</x:f>
        <x:v>0</x:v>
      </x:c>
      <x:c r="Q329" s="141" t="n">
        <x:f>J329-IF(E329-F329&gt;0,MIN(E329-F329,P329),0)</x:f>
        <x:v>0</x:v>
      </x:c>
    </x:row>
    <x:row r="330">
      <x:c r="A330" s="142" t="n">
        <x:v>325</x:v>
      </x:c>
      <x:c r="B330" s="179" t="n">
        <x:f>EDATE(Premissas!$B$4,324)</x:f>
        <x:v>56401</x:v>
      </x:c>
      <x:c r="C330" s="141" t="n">
        <x:f>L329</x:f>
        <x:v>0</x:v>
      </x:c>
      <x:c r="D330" s="141" t="n">
        <x:f>IF(C330&gt;0,C330*Premissas!$B$17,0)</x:f>
        <x:v>0</x:v>
      </x:c>
      <x:c r="E330" s="141" t="n">
        <x:f>C330+D330</x:f>
        <x:v>0</x:v>
      </x:c>
      <x:c r="F330" s="141" t="n">
        <x:f>IF(E330&gt;0,MIN(E330,INDEX(Financiamento!$G$6:$G$485,A330)),0)</x:f>
        <x:v>0</x:v>
      </x:c>
      <x:c r="G330" s="141" t="n">
        <x:f>IF(E330&gt;0,E330*Premissas!$B$15,0)</x:f>
        <x:v>0</x:v>
      </x:c>
      <x:c r="H330" s="141" t="n">
        <x:f>IF(E330&gt;0,Premissas!$B$18,0)</x:f>
        <x:v>0</x:v>
      </x:c>
      <x:c r="I330" s="141" t="n">
        <x:f>F330+G330+H330</x:f>
        <x:v>0</x:v>
      </x:c>
      <x:c r="J330" s="141" t="n">
        <x:f>IF(E330-F330&gt;0,MIN(E330-F330,P330),0)</x:f>
        <x:v>0</x:v>
      </x:c>
      <x:c r="K330" s="141" t="n">
        <x:f>I330+J330</x:f>
        <x:v>0</x:v>
      </x:c>
      <x:c r="L330" s="141" t="n">
        <x:f>MAX(0,E330-F330-J330)</x:f>
        <x:v>0</x:v>
      </x:c>
      <x:c r="M330" s="141" t="n">
        <x:f>SUM($K$6:K330)</x:f>
        <x:v>185795.9624076597</x:v>
      </x:c>
      <x:c r="N330" s="140" t="str">
        <x:f>IF(C330=0,"Encerrado",IF(L330=0,"Quitado","Aberto"))</x:f>
        <x:v>Encerrado</x:v>
      </x:c>
      <x:c r="O330" s="141" t="n">
        <x:f>IF(C330&gt;0,Premissas!$B$35,0)</x:f>
        <x:v>0</x:v>
      </x:c>
      <x:c r="P330" s="141" t="n">
        <x:f>IF(C330&gt;0,MAX(0,O330-I330),0)</x:f>
        <x:v>0</x:v>
      </x:c>
      <x:c r="Q330" s="141" t="n">
        <x:f>J330-IF(E330-F330&gt;0,MIN(E330-F330,P330),0)</x:f>
        <x:v>0</x:v>
      </x:c>
    </x:row>
    <x:row r="331">
      <x:c r="A331" s="142" t="n">
        <x:v>326</x:v>
      </x:c>
      <x:c r="B331" s="179" t="n">
        <x:f>EDATE(Premissas!$B$4,325)</x:f>
        <x:v>56431</x:v>
      </x:c>
      <x:c r="C331" s="141" t="n">
        <x:f>L330</x:f>
        <x:v>0</x:v>
      </x:c>
      <x:c r="D331" s="141" t="n">
        <x:f>IF(C331&gt;0,C331*Premissas!$B$17,0)</x:f>
        <x:v>0</x:v>
      </x:c>
      <x:c r="E331" s="141" t="n">
        <x:f>C331+D331</x:f>
        <x:v>0</x:v>
      </x:c>
      <x:c r="F331" s="141" t="n">
        <x:f>IF(E331&gt;0,MIN(E331,INDEX(Financiamento!$G$6:$G$485,A331)),0)</x:f>
        <x:v>0</x:v>
      </x:c>
      <x:c r="G331" s="141" t="n">
        <x:f>IF(E331&gt;0,E331*Premissas!$B$15,0)</x:f>
        <x:v>0</x:v>
      </x:c>
      <x:c r="H331" s="141" t="n">
        <x:f>IF(E331&gt;0,Premissas!$B$18,0)</x:f>
        <x:v>0</x:v>
      </x:c>
      <x:c r="I331" s="141" t="n">
        <x:f>F331+G331+H331</x:f>
        <x:v>0</x:v>
      </x:c>
      <x:c r="J331" s="141" t="n">
        <x:f>IF(E331-F331&gt;0,MIN(E331-F331,P331),0)</x:f>
        <x:v>0</x:v>
      </x:c>
      <x:c r="K331" s="141" t="n">
        <x:f>I331+J331</x:f>
        <x:v>0</x:v>
      </x:c>
      <x:c r="L331" s="141" t="n">
        <x:f>MAX(0,E331-F331-J331)</x:f>
        <x:v>0</x:v>
      </x:c>
      <x:c r="M331" s="141" t="n">
        <x:f>SUM($K$6:K331)</x:f>
        <x:v>185795.9624076597</x:v>
      </x:c>
      <x:c r="N331" s="140" t="str">
        <x:f>IF(C331=0,"Encerrado",IF(L331=0,"Quitado","Aberto"))</x:f>
        <x:v>Encerrado</x:v>
      </x:c>
      <x:c r="O331" s="141" t="n">
        <x:f>IF(C331&gt;0,Premissas!$B$35,0)</x:f>
        <x:v>0</x:v>
      </x:c>
      <x:c r="P331" s="141" t="n">
        <x:f>IF(C331&gt;0,MAX(0,O331-I331),0)</x:f>
        <x:v>0</x:v>
      </x:c>
      <x:c r="Q331" s="141" t="n">
        <x:f>J331-IF(E331-F331&gt;0,MIN(E331-F331,P331),0)</x:f>
        <x:v>0</x:v>
      </x:c>
    </x:row>
    <x:row r="332">
      <x:c r="A332" s="142" t="n">
        <x:v>327</x:v>
      </x:c>
      <x:c r="B332" s="179" t="n">
        <x:f>EDATE(Premissas!$B$4,326)</x:f>
        <x:v>56462</x:v>
      </x:c>
      <x:c r="C332" s="141" t="n">
        <x:f>L331</x:f>
        <x:v>0</x:v>
      </x:c>
      <x:c r="D332" s="141" t="n">
        <x:f>IF(C332&gt;0,C332*Premissas!$B$17,0)</x:f>
        <x:v>0</x:v>
      </x:c>
      <x:c r="E332" s="141" t="n">
        <x:f>C332+D332</x:f>
        <x:v>0</x:v>
      </x:c>
      <x:c r="F332" s="141" t="n">
        <x:f>IF(E332&gt;0,MIN(E332,INDEX(Financiamento!$G$6:$G$485,A332)),0)</x:f>
        <x:v>0</x:v>
      </x:c>
      <x:c r="G332" s="141" t="n">
        <x:f>IF(E332&gt;0,E332*Premissas!$B$15,0)</x:f>
        <x:v>0</x:v>
      </x:c>
      <x:c r="H332" s="141" t="n">
        <x:f>IF(E332&gt;0,Premissas!$B$18,0)</x:f>
        <x:v>0</x:v>
      </x:c>
      <x:c r="I332" s="141" t="n">
        <x:f>F332+G332+H332</x:f>
        <x:v>0</x:v>
      </x:c>
      <x:c r="J332" s="141" t="n">
        <x:f>IF(E332-F332&gt;0,MIN(E332-F332,P332),0)</x:f>
        <x:v>0</x:v>
      </x:c>
      <x:c r="K332" s="141" t="n">
        <x:f>I332+J332</x:f>
        <x:v>0</x:v>
      </x:c>
      <x:c r="L332" s="141" t="n">
        <x:f>MAX(0,E332-F332-J332)</x:f>
        <x:v>0</x:v>
      </x:c>
      <x:c r="M332" s="141" t="n">
        <x:f>SUM($K$6:K332)</x:f>
        <x:v>185795.9624076597</x:v>
      </x:c>
      <x:c r="N332" s="140" t="str">
        <x:f>IF(C332=0,"Encerrado",IF(L332=0,"Quitado","Aberto"))</x:f>
        <x:v>Encerrado</x:v>
      </x:c>
      <x:c r="O332" s="141" t="n">
        <x:f>IF(C332&gt;0,Premissas!$B$35,0)</x:f>
        <x:v>0</x:v>
      </x:c>
      <x:c r="P332" s="141" t="n">
        <x:f>IF(C332&gt;0,MAX(0,O332-I332),0)</x:f>
        <x:v>0</x:v>
      </x:c>
      <x:c r="Q332" s="141" t="n">
        <x:f>J332-IF(E332-F332&gt;0,MIN(E332-F332,P332),0)</x:f>
        <x:v>0</x:v>
      </x:c>
    </x:row>
    <x:row r="333">
      <x:c r="A333" s="142" t="n">
        <x:v>328</x:v>
      </x:c>
      <x:c r="B333" s="179" t="n">
        <x:f>EDATE(Premissas!$B$4,327)</x:f>
        <x:v>56493</x:v>
      </x:c>
      <x:c r="C333" s="141" t="n">
        <x:f>L332</x:f>
        <x:v>0</x:v>
      </x:c>
      <x:c r="D333" s="141" t="n">
        <x:f>IF(C333&gt;0,C333*Premissas!$B$17,0)</x:f>
        <x:v>0</x:v>
      </x:c>
      <x:c r="E333" s="141" t="n">
        <x:f>C333+D333</x:f>
        <x:v>0</x:v>
      </x:c>
      <x:c r="F333" s="141" t="n">
        <x:f>IF(E333&gt;0,MIN(E333,INDEX(Financiamento!$G$6:$G$485,A333)),0)</x:f>
        <x:v>0</x:v>
      </x:c>
      <x:c r="G333" s="141" t="n">
        <x:f>IF(E333&gt;0,E333*Premissas!$B$15,0)</x:f>
        <x:v>0</x:v>
      </x:c>
      <x:c r="H333" s="141" t="n">
        <x:f>IF(E333&gt;0,Premissas!$B$18,0)</x:f>
        <x:v>0</x:v>
      </x:c>
      <x:c r="I333" s="141" t="n">
        <x:f>F333+G333+H333</x:f>
        <x:v>0</x:v>
      </x:c>
      <x:c r="J333" s="141" t="n">
        <x:f>IF(E333-F333&gt;0,MIN(E333-F333,P333),0)</x:f>
        <x:v>0</x:v>
      </x:c>
      <x:c r="K333" s="141" t="n">
        <x:f>I333+J333</x:f>
        <x:v>0</x:v>
      </x:c>
      <x:c r="L333" s="141" t="n">
        <x:f>MAX(0,E333-F333-J333)</x:f>
        <x:v>0</x:v>
      </x:c>
      <x:c r="M333" s="141" t="n">
        <x:f>SUM($K$6:K333)</x:f>
        <x:v>185795.9624076597</x:v>
      </x:c>
      <x:c r="N333" s="140" t="str">
        <x:f>IF(C333=0,"Encerrado",IF(L333=0,"Quitado","Aberto"))</x:f>
        <x:v>Encerrado</x:v>
      </x:c>
      <x:c r="O333" s="141" t="n">
        <x:f>IF(C333&gt;0,Premissas!$B$35,0)</x:f>
        <x:v>0</x:v>
      </x:c>
      <x:c r="P333" s="141" t="n">
        <x:f>IF(C333&gt;0,MAX(0,O333-I333),0)</x:f>
        <x:v>0</x:v>
      </x:c>
      <x:c r="Q333" s="141" t="n">
        <x:f>J333-IF(E333-F333&gt;0,MIN(E333-F333,P333),0)</x:f>
        <x:v>0</x:v>
      </x:c>
    </x:row>
    <x:row r="334">
      <x:c r="A334" s="142" t="n">
        <x:v>329</x:v>
      </x:c>
      <x:c r="B334" s="179" t="n">
        <x:f>EDATE(Premissas!$B$4,328)</x:f>
        <x:v>56523</x:v>
      </x:c>
      <x:c r="C334" s="141" t="n">
        <x:f>L333</x:f>
        <x:v>0</x:v>
      </x:c>
      <x:c r="D334" s="141" t="n">
        <x:f>IF(C334&gt;0,C334*Premissas!$B$17,0)</x:f>
        <x:v>0</x:v>
      </x:c>
      <x:c r="E334" s="141" t="n">
        <x:f>C334+D334</x:f>
        <x:v>0</x:v>
      </x:c>
      <x:c r="F334" s="141" t="n">
        <x:f>IF(E334&gt;0,MIN(E334,INDEX(Financiamento!$G$6:$G$485,A334)),0)</x:f>
        <x:v>0</x:v>
      </x:c>
      <x:c r="G334" s="141" t="n">
        <x:f>IF(E334&gt;0,E334*Premissas!$B$15,0)</x:f>
        <x:v>0</x:v>
      </x:c>
      <x:c r="H334" s="141" t="n">
        <x:f>IF(E334&gt;0,Premissas!$B$18,0)</x:f>
        <x:v>0</x:v>
      </x:c>
      <x:c r="I334" s="141" t="n">
        <x:f>F334+G334+H334</x:f>
        <x:v>0</x:v>
      </x:c>
      <x:c r="J334" s="141" t="n">
        <x:f>IF(E334-F334&gt;0,MIN(E334-F334,P334),0)</x:f>
        <x:v>0</x:v>
      </x:c>
      <x:c r="K334" s="141" t="n">
        <x:f>I334+J334</x:f>
        <x:v>0</x:v>
      </x:c>
      <x:c r="L334" s="141" t="n">
        <x:f>MAX(0,E334-F334-J334)</x:f>
        <x:v>0</x:v>
      </x:c>
      <x:c r="M334" s="141" t="n">
        <x:f>SUM($K$6:K334)</x:f>
        <x:v>185795.9624076597</x:v>
      </x:c>
      <x:c r="N334" s="140" t="str">
        <x:f>IF(C334=0,"Encerrado",IF(L334=0,"Quitado","Aberto"))</x:f>
        <x:v>Encerrado</x:v>
      </x:c>
      <x:c r="O334" s="141" t="n">
        <x:f>IF(C334&gt;0,Premissas!$B$35,0)</x:f>
        <x:v>0</x:v>
      </x:c>
      <x:c r="P334" s="141" t="n">
        <x:f>IF(C334&gt;0,MAX(0,O334-I334),0)</x:f>
        <x:v>0</x:v>
      </x:c>
      <x:c r="Q334" s="141" t="n">
        <x:f>J334-IF(E334-F334&gt;0,MIN(E334-F334,P334),0)</x:f>
        <x:v>0</x:v>
      </x:c>
    </x:row>
    <x:row r="335">
      <x:c r="A335" s="142" t="n">
        <x:v>330</x:v>
      </x:c>
      <x:c r="B335" s="179" t="n">
        <x:f>EDATE(Premissas!$B$4,329)</x:f>
        <x:v>56554</x:v>
      </x:c>
      <x:c r="C335" s="141" t="n">
        <x:f>L334</x:f>
        <x:v>0</x:v>
      </x:c>
      <x:c r="D335" s="141" t="n">
        <x:f>IF(C335&gt;0,C335*Premissas!$B$17,0)</x:f>
        <x:v>0</x:v>
      </x:c>
      <x:c r="E335" s="141" t="n">
        <x:f>C335+D335</x:f>
        <x:v>0</x:v>
      </x:c>
      <x:c r="F335" s="141" t="n">
        <x:f>IF(E335&gt;0,MIN(E335,INDEX(Financiamento!$G$6:$G$485,A335)),0)</x:f>
        <x:v>0</x:v>
      </x:c>
      <x:c r="G335" s="141" t="n">
        <x:f>IF(E335&gt;0,E335*Premissas!$B$15,0)</x:f>
        <x:v>0</x:v>
      </x:c>
      <x:c r="H335" s="141" t="n">
        <x:f>IF(E335&gt;0,Premissas!$B$18,0)</x:f>
        <x:v>0</x:v>
      </x:c>
      <x:c r="I335" s="141" t="n">
        <x:f>F335+G335+H335</x:f>
        <x:v>0</x:v>
      </x:c>
      <x:c r="J335" s="141" t="n">
        <x:f>IF(E335-F335&gt;0,MIN(E335-F335,P335),0)</x:f>
        <x:v>0</x:v>
      </x:c>
      <x:c r="K335" s="141" t="n">
        <x:f>I335+J335</x:f>
        <x:v>0</x:v>
      </x:c>
      <x:c r="L335" s="141" t="n">
        <x:f>MAX(0,E335-F335-J335)</x:f>
        <x:v>0</x:v>
      </x:c>
      <x:c r="M335" s="141" t="n">
        <x:f>SUM($K$6:K335)</x:f>
        <x:v>185795.9624076597</x:v>
      </x:c>
      <x:c r="N335" s="140" t="str">
        <x:f>IF(C335=0,"Encerrado",IF(L335=0,"Quitado","Aberto"))</x:f>
        <x:v>Encerrado</x:v>
      </x:c>
      <x:c r="O335" s="141" t="n">
        <x:f>IF(C335&gt;0,Premissas!$B$35,0)</x:f>
        <x:v>0</x:v>
      </x:c>
      <x:c r="P335" s="141" t="n">
        <x:f>IF(C335&gt;0,MAX(0,O335-I335),0)</x:f>
        <x:v>0</x:v>
      </x:c>
      <x:c r="Q335" s="141" t="n">
        <x:f>J335-IF(E335-F335&gt;0,MIN(E335-F335,P335),0)</x:f>
        <x:v>0</x:v>
      </x:c>
    </x:row>
    <x:row r="336">
      <x:c r="A336" s="142" t="n">
        <x:v>331</x:v>
      </x:c>
      <x:c r="B336" s="179" t="n">
        <x:f>EDATE(Premissas!$B$4,330)</x:f>
        <x:v>56584</x:v>
      </x:c>
      <x:c r="C336" s="141" t="n">
        <x:f>L335</x:f>
        <x:v>0</x:v>
      </x:c>
      <x:c r="D336" s="141" t="n">
        <x:f>IF(C336&gt;0,C336*Premissas!$B$17,0)</x:f>
        <x:v>0</x:v>
      </x:c>
      <x:c r="E336" s="141" t="n">
        <x:f>C336+D336</x:f>
        <x:v>0</x:v>
      </x:c>
      <x:c r="F336" s="141" t="n">
        <x:f>IF(E336&gt;0,MIN(E336,INDEX(Financiamento!$G$6:$G$485,A336)),0)</x:f>
        <x:v>0</x:v>
      </x:c>
      <x:c r="G336" s="141" t="n">
        <x:f>IF(E336&gt;0,E336*Premissas!$B$15,0)</x:f>
        <x:v>0</x:v>
      </x:c>
      <x:c r="H336" s="141" t="n">
        <x:f>IF(E336&gt;0,Premissas!$B$18,0)</x:f>
        <x:v>0</x:v>
      </x:c>
      <x:c r="I336" s="141" t="n">
        <x:f>F336+G336+H336</x:f>
        <x:v>0</x:v>
      </x:c>
      <x:c r="J336" s="141" t="n">
        <x:f>IF(E336-F336&gt;0,MIN(E336-F336,P336),0)</x:f>
        <x:v>0</x:v>
      </x:c>
      <x:c r="K336" s="141" t="n">
        <x:f>I336+J336</x:f>
        <x:v>0</x:v>
      </x:c>
      <x:c r="L336" s="141" t="n">
        <x:f>MAX(0,E336-F336-J336)</x:f>
        <x:v>0</x:v>
      </x:c>
      <x:c r="M336" s="141" t="n">
        <x:f>SUM($K$6:K336)</x:f>
        <x:v>185795.9624076597</x:v>
      </x:c>
      <x:c r="N336" s="140" t="str">
        <x:f>IF(C336=0,"Encerrado",IF(L336=0,"Quitado","Aberto"))</x:f>
        <x:v>Encerrado</x:v>
      </x:c>
      <x:c r="O336" s="141" t="n">
        <x:f>IF(C336&gt;0,Premissas!$B$35,0)</x:f>
        <x:v>0</x:v>
      </x:c>
      <x:c r="P336" s="141" t="n">
        <x:f>IF(C336&gt;0,MAX(0,O336-I336),0)</x:f>
        <x:v>0</x:v>
      </x:c>
      <x:c r="Q336" s="141" t="n">
        <x:f>J336-IF(E336-F336&gt;0,MIN(E336-F336,P336),0)</x:f>
        <x:v>0</x:v>
      </x:c>
    </x:row>
    <x:row r="337">
      <x:c r="A337" s="142" t="n">
        <x:v>332</x:v>
      </x:c>
      <x:c r="B337" s="179" t="n">
        <x:f>EDATE(Premissas!$B$4,331)</x:f>
        <x:v>56615</x:v>
      </x:c>
      <x:c r="C337" s="141" t="n">
        <x:f>L336</x:f>
        <x:v>0</x:v>
      </x:c>
      <x:c r="D337" s="141" t="n">
        <x:f>IF(C337&gt;0,C337*Premissas!$B$17,0)</x:f>
        <x:v>0</x:v>
      </x:c>
      <x:c r="E337" s="141" t="n">
        <x:f>C337+D337</x:f>
        <x:v>0</x:v>
      </x:c>
      <x:c r="F337" s="141" t="n">
        <x:f>IF(E337&gt;0,MIN(E337,INDEX(Financiamento!$G$6:$G$485,A337)),0)</x:f>
        <x:v>0</x:v>
      </x:c>
      <x:c r="G337" s="141" t="n">
        <x:f>IF(E337&gt;0,E337*Premissas!$B$15,0)</x:f>
        <x:v>0</x:v>
      </x:c>
      <x:c r="H337" s="141" t="n">
        <x:f>IF(E337&gt;0,Premissas!$B$18,0)</x:f>
        <x:v>0</x:v>
      </x:c>
      <x:c r="I337" s="141" t="n">
        <x:f>F337+G337+H337</x:f>
        <x:v>0</x:v>
      </x:c>
      <x:c r="J337" s="141" t="n">
        <x:f>IF(E337-F337&gt;0,MIN(E337-F337,P337),0)</x:f>
        <x:v>0</x:v>
      </x:c>
      <x:c r="K337" s="141" t="n">
        <x:f>I337+J337</x:f>
        <x:v>0</x:v>
      </x:c>
      <x:c r="L337" s="141" t="n">
        <x:f>MAX(0,E337-F337-J337)</x:f>
        <x:v>0</x:v>
      </x:c>
      <x:c r="M337" s="141" t="n">
        <x:f>SUM($K$6:K337)</x:f>
        <x:v>185795.9624076597</x:v>
      </x:c>
      <x:c r="N337" s="140" t="str">
        <x:f>IF(C337=0,"Encerrado",IF(L337=0,"Quitado","Aberto"))</x:f>
        <x:v>Encerrado</x:v>
      </x:c>
      <x:c r="O337" s="141" t="n">
        <x:f>IF(C337&gt;0,Premissas!$B$35,0)</x:f>
        <x:v>0</x:v>
      </x:c>
      <x:c r="P337" s="141" t="n">
        <x:f>IF(C337&gt;0,MAX(0,O337-I337),0)</x:f>
        <x:v>0</x:v>
      </x:c>
      <x:c r="Q337" s="141" t="n">
        <x:f>J337-IF(E337-F337&gt;0,MIN(E337-F337,P337),0)</x:f>
        <x:v>0</x:v>
      </x:c>
    </x:row>
    <x:row r="338">
      <x:c r="A338" s="142" t="n">
        <x:v>333</x:v>
      </x:c>
      <x:c r="B338" s="179" t="n">
        <x:f>EDATE(Premissas!$B$4,332)</x:f>
        <x:v>56646</x:v>
      </x:c>
      <x:c r="C338" s="141" t="n">
        <x:f>L337</x:f>
        <x:v>0</x:v>
      </x:c>
      <x:c r="D338" s="141" t="n">
        <x:f>IF(C338&gt;0,C338*Premissas!$B$17,0)</x:f>
        <x:v>0</x:v>
      </x:c>
      <x:c r="E338" s="141" t="n">
        <x:f>C338+D338</x:f>
        <x:v>0</x:v>
      </x:c>
      <x:c r="F338" s="141" t="n">
        <x:f>IF(E338&gt;0,MIN(E338,INDEX(Financiamento!$G$6:$G$485,A338)),0)</x:f>
        <x:v>0</x:v>
      </x:c>
      <x:c r="G338" s="141" t="n">
        <x:f>IF(E338&gt;0,E338*Premissas!$B$15,0)</x:f>
        <x:v>0</x:v>
      </x:c>
      <x:c r="H338" s="141" t="n">
        <x:f>IF(E338&gt;0,Premissas!$B$18,0)</x:f>
        <x:v>0</x:v>
      </x:c>
      <x:c r="I338" s="141" t="n">
        <x:f>F338+G338+H338</x:f>
        <x:v>0</x:v>
      </x:c>
      <x:c r="J338" s="141" t="n">
        <x:f>IF(E338-F338&gt;0,MIN(E338-F338,P338),0)</x:f>
        <x:v>0</x:v>
      </x:c>
      <x:c r="K338" s="141" t="n">
        <x:f>I338+J338</x:f>
        <x:v>0</x:v>
      </x:c>
      <x:c r="L338" s="141" t="n">
        <x:f>MAX(0,E338-F338-J338)</x:f>
        <x:v>0</x:v>
      </x:c>
      <x:c r="M338" s="141" t="n">
        <x:f>SUM($K$6:K338)</x:f>
        <x:v>185795.9624076597</x:v>
      </x:c>
      <x:c r="N338" s="140" t="str">
        <x:f>IF(C338=0,"Encerrado",IF(L338=0,"Quitado","Aberto"))</x:f>
        <x:v>Encerrado</x:v>
      </x:c>
      <x:c r="O338" s="141" t="n">
        <x:f>IF(C338&gt;0,Premissas!$B$35,0)</x:f>
        <x:v>0</x:v>
      </x:c>
      <x:c r="P338" s="141" t="n">
        <x:f>IF(C338&gt;0,MAX(0,O338-I338),0)</x:f>
        <x:v>0</x:v>
      </x:c>
      <x:c r="Q338" s="141" t="n">
        <x:f>J338-IF(E338-F338&gt;0,MIN(E338-F338,P338),0)</x:f>
        <x:v>0</x:v>
      </x:c>
    </x:row>
    <x:row r="339">
      <x:c r="A339" s="142" t="n">
        <x:v>334</x:v>
      </x:c>
      <x:c r="B339" s="179" t="n">
        <x:f>EDATE(Premissas!$B$4,333)</x:f>
        <x:v>56674</x:v>
      </x:c>
      <x:c r="C339" s="141" t="n">
        <x:f>L338</x:f>
        <x:v>0</x:v>
      </x:c>
      <x:c r="D339" s="141" t="n">
        <x:f>IF(C339&gt;0,C339*Premissas!$B$17,0)</x:f>
        <x:v>0</x:v>
      </x:c>
      <x:c r="E339" s="141" t="n">
        <x:f>C339+D339</x:f>
        <x:v>0</x:v>
      </x:c>
      <x:c r="F339" s="141" t="n">
        <x:f>IF(E339&gt;0,MIN(E339,INDEX(Financiamento!$G$6:$G$485,A339)),0)</x:f>
        <x:v>0</x:v>
      </x:c>
      <x:c r="G339" s="141" t="n">
        <x:f>IF(E339&gt;0,E339*Premissas!$B$15,0)</x:f>
        <x:v>0</x:v>
      </x:c>
      <x:c r="H339" s="141" t="n">
        <x:f>IF(E339&gt;0,Premissas!$B$18,0)</x:f>
        <x:v>0</x:v>
      </x:c>
      <x:c r="I339" s="141" t="n">
        <x:f>F339+G339+H339</x:f>
        <x:v>0</x:v>
      </x:c>
      <x:c r="J339" s="141" t="n">
        <x:f>IF(E339-F339&gt;0,MIN(E339-F339,P339),0)</x:f>
        <x:v>0</x:v>
      </x:c>
      <x:c r="K339" s="141" t="n">
        <x:f>I339+J339</x:f>
        <x:v>0</x:v>
      </x:c>
      <x:c r="L339" s="141" t="n">
        <x:f>MAX(0,E339-F339-J339)</x:f>
        <x:v>0</x:v>
      </x:c>
      <x:c r="M339" s="141" t="n">
        <x:f>SUM($K$6:K339)</x:f>
        <x:v>185795.9624076597</x:v>
      </x:c>
      <x:c r="N339" s="140" t="str">
        <x:f>IF(C339=0,"Encerrado",IF(L339=0,"Quitado","Aberto"))</x:f>
        <x:v>Encerrado</x:v>
      </x:c>
      <x:c r="O339" s="141" t="n">
        <x:f>IF(C339&gt;0,Premissas!$B$35,0)</x:f>
        <x:v>0</x:v>
      </x:c>
      <x:c r="P339" s="141" t="n">
        <x:f>IF(C339&gt;0,MAX(0,O339-I339),0)</x:f>
        <x:v>0</x:v>
      </x:c>
      <x:c r="Q339" s="141" t="n">
        <x:f>J339-IF(E339-F339&gt;0,MIN(E339-F339,P339),0)</x:f>
        <x:v>0</x:v>
      </x:c>
    </x:row>
    <x:row r="340">
      <x:c r="A340" s="142" t="n">
        <x:v>335</x:v>
      </x:c>
      <x:c r="B340" s="179" t="n">
        <x:f>EDATE(Premissas!$B$4,334)</x:f>
        <x:v>56705</x:v>
      </x:c>
      <x:c r="C340" s="141" t="n">
        <x:f>L339</x:f>
        <x:v>0</x:v>
      </x:c>
      <x:c r="D340" s="141" t="n">
        <x:f>IF(C340&gt;0,C340*Premissas!$B$17,0)</x:f>
        <x:v>0</x:v>
      </x:c>
      <x:c r="E340" s="141" t="n">
        <x:f>C340+D340</x:f>
        <x:v>0</x:v>
      </x:c>
      <x:c r="F340" s="141" t="n">
        <x:f>IF(E340&gt;0,MIN(E340,INDEX(Financiamento!$G$6:$G$485,A340)),0)</x:f>
        <x:v>0</x:v>
      </x:c>
      <x:c r="G340" s="141" t="n">
        <x:f>IF(E340&gt;0,E340*Premissas!$B$15,0)</x:f>
        <x:v>0</x:v>
      </x:c>
      <x:c r="H340" s="141" t="n">
        <x:f>IF(E340&gt;0,Premissas!$B$18,0)</x:f>
        <x:v>0</x:v>
      </x:c>
      <x:c r="I340" s="141" t="n">
        <x:f>F340+G340+H340</x:f>
        <x:v>0</x:v>
      </x:c>
      <x:c r="J340" s="141" t="n">
        <x:f>IF(E340-F340&gt;0,MIN(E340-F340,P340),0)</x:f>
        <x:v>0</x:v>
      </x:c>
      <x:c r="K340" s="141" t="n">
        <x:f>I340+J340</x:f>
        <x:v>0</x:v>
      </x:c>
      <x:c r="L340" s="141" t="n">
        <x:f>MAX(0,E340-F340-J340)</x:f>
        <x:v>0</x:v>
      </x:c>
      <x:c r="M340" s="141" t="n">
        <x:f>SUM($K$6:K340)</x:f>
        <x:v>185795.9624076597</x:v>
      </x:c>
      <x:c r="N340" s="140" t="str">
        <x:f>IF(C340=0,"Encerrado",IF(L340=0,"Quitado","Aberto"))</x:f>
        <x:v>Encerrado</x:v>
      </x:c>
      <x:c r="O340" s="141" t="n">
        <x:f>IF(C340&gt;0,Premissas!$B$35,0)</x:f>
        <x:v>0</x:v>
      </x:c>
      <x:c r="P340" s="141" t="n">
        <x:f>IF(C340&gt;0,MAX(0,O340-I340),0)</x:f>
        <x:v>0</x:v>
      </x:c>
      <x:c r="Q340" s="141" t="n">
        <x:f>J340-IF(E340-F340&gt;0,MIN(E340-F340,P340),0)</x:f>
        <x:v>0</x:v>
      </x:c>
    </x:row>
    <x:row r="341">
      <x:c r="A341" s="142" t="n">
        <x:v>336</x:v>
      </x:c>
      <x:c r="B341" s="179" t="n">
        <x:f>EDATE(Premissas!$B$4,335)</x:f>
        <x:v>56735</x:v>
      </x:c>
      <x:c r="C341" s="141" t="n">
        <x:f>L340</x:f>
        <x:v>0</x:v>
      </x:c>
      <x:c r="D341" s="141" t="n">
        <x:f>IF(C341&gt;0,C341*Premissas!$B$17,0)</x:f>
        <x:v>0</x:v>
      </x:c>
      <x:c r="E341" s="141" t="n">
        <x:f>C341+D341</x:f>
        <x:v>0</x:v>
      </x:c>
      <x:c r="F341" s="141" t="n">
        <x:f>IF(E341&gt;0,MIN(E341,INDEX(Financiamento!$G$6:$G$485,A341)),0)</x:f>
        <x:v>0</x:v>
      </x:c>
      <x:c r="G341" s="141" t="n">
        <x:f>IF(E341&gt;0,E341*Premissas!$B$15,0)</x:f>
        <x:v>0</x:v>
      </x:c>
      <x:c r="H341" s="141" t="n">
        <x:f>IF(E341&gt;0,Premissas!$B$18,0)</x:f>
        <x:v>0</x:v>
      </x:c>
      <x:c r="I341" s="141" t="n">
        <x:f>F341+G341+H341</x:f>
        <x:v>0</x:v>
      </x:c>
      <x:c r="J341" s="141" t="n">
        <x:f>IF(E341-F341&gt;0,MIN(E341-F341,P341),0)</x:f>
        <x:v>0</x:v>
      </x:c>
      <x:c r="K341" s="141" t="n">
        <x:f>I341+J341</x:f>
        <x:v>0</x:v>
      </x:c>
      <x:c r="L341" s="141" t="n">
        <x:f>MAX(0,E341-F341-J341)</x:f>
        <x:v>0</x:v>
      </x:c>
      <x:c r="M341" s="141" t="n">
        <x:f>SUM($K$6:K341)</x:f>
        <x:v>185795.9624076597</x:v>
      </x:c>
      <x:c r="N341" s="140" t="str">
        <x:f>IF(C341=0,"Encerrado",IF(L341=0,"Quitado","Aberto"))</x:f>
        <x:v>Encerrado</x:v>
      </x:c>
      <x:c r="O341" s="141" t="n">
        <x:f>IF(C341&gt;0,Premissas!$B$35,0)</x:f>
        <x:v>0</x:v>
      </x:c>
      <x:c r="P341" s="141" t="n">
        <x:f>IF(C341&gt;0,MAX(0,O341-I341),0)</x:f>
        <x:v>0</x:v>
      </x:c>
      <x:c r="Q341" s="141" t="n">
        <x:f>J341-IF(E341-F341&gt;0,MIN(E341-F341,P341),0)</x:f>
        <x:v>0</x:v>
      </x:c>
    </x:row>
    <x:row r="342">
      <x:c r="A342" s="142" t="n">
        <x:v>337</x:v>
      </x:c>
      <x:c r="B342" s="179" t="n">
        <x:f>EDATE(Premissas!$B$4,336)</x:f>
        <x:v>56766</x:v>
      </x:c>
      <x:c r="C342" s="141" t="n">
        <x:f>L341</x:f>
        <x:v>0</x:v>
      </x:c>
      <x:c r="D342" s="141" t="n">
        <x:f>IF(C342&gt;0,C342*Premissas!$B$17,0)</x:f>
        <x:v>0</x:v>
      </x:c>
      <x:c r="E342" s="141" t="n">
        <x:f>C342+D342</x:f>
        <x:v>0</x:v>
      </x:c>
      <x:c r="F342" s="141" t="n">
        <x:f>IF(E342&gt;0,MIN(E342,INDEX(Financiamento!$G$6:$G$485,A342)),0)</x:f>
        <x:v>0</x:v>
      </x:c>
      <x:c r="G342" s="141" t="n">
        <x:f>IF(E342&gt;0,E342*Premissas!$B$15,0)</x:f>
        <x:v>0</x:v>
      </x:c>
      <x:c r="H342" s="141" t="n">
        <x:f>IF(E342&gt;0,Premissas!$B$18,0)</x:f>
        <x:v>0</x:v>
      </x:c>
      <x:c r="I342" s="141" t="n">
        <x:f>F342+G342+H342</x:f>
        <x:v>0</x:v>
      </x:c>
      <x:c r="J342" s="141" t="n">
        <x:f>IF(E342-F342&gt;0,MIN(E342-F342,P342),0)</x:f>
        <x:v>0</x:v>
      </x:c>
      <x:c r="K342" s="141" t="n">
        <x:f>I342+J342</x:f>
        <x:v>0</x:v>
      </x:c>
      <x:c r="L342" s="141" t="n">
        <x:f>MAX(0,E342-F342-J342)</x:f>
        <x:v>0</x:v>
      </x:c>
      <x:c r="M342" s="141" t="n">
        <x:f>SUM($K$6:K342)</x:f>
        <x:v>185795.9624076597</x:v>
      </x:c>
      <x:c r="N342" s="140" t="str">
        <x:f>IF(C342=0,"Encerrado",IF(L342=0,"Quitado","Aberto"))</x:f>
        <x:v>Encerrado</x:v>
      </x:c>
      <x:c r="O342" s="141" t="n">
        <x:f>IF(C342&gt;0,Premissas!$B$35,0)</x:f>
        <x:v>0</x:v>
      </x:c>
      <x:c r="P342" s="141" t="n">
        <x:f>IF(C342&gt;0,MAX(0,O342-I342),0)</x:f>
        <x:v>0</x:v>
      </x:c>
      <x:c r="Q342" s="141" t="n">
        <x:f>J342-IF(E342-F342&gt;0,MIN(E342-F342,P342),0)</x:f>
        <x:v>0</x:v>
      </x:c>
    </x:row>
    <x:row r="343">
      <x:c r="A343" s="142" t="n">
        <x:v>338</x:v>
      </x:c>
      <x:c r="B343" s="179" t="n">
        <x:f>EDATE(Premissas!$B$4,337)</x:f>
        <x:v>56796</x:v>
      </x:c>
      <x:c r="C343" s="141" t="n">
        <x:f>L342</x:f>
        <x:v>0</x:v>
      </x:c>
      <x:c r="D343" s="141" t="n">
        <x:f>IF(C343&gt;0,C343*Premissas!$B$17,0)</x:f>
        <x:v>0</x:v>
      </x:c>
      <x:c r="E343" s="141" t="n">
        <x:f>C343+D343</x:f>
        <x:v>0</x:v>
      </x:c>
      <x:c r="F343" s="141" t="n">
        <x:f>IF(E343&gt;0,MIN(E343,INDEX(Financiamento!$G$6:$G$485,A343)),0)</x:f>
        <x:v>0</x:v>
      </x:c>
      <x:c r="G343" s="141" t="n">
        <x:f>IF(E343&gt;0,E343*Premissas!$B$15,0)</x:f>
        <x:v>0</x:v>
      </x:c>
      <x:c r="H343" s="141" t="n">
        <x:f>IF(E343&gt;0,Premissas!$B$18,0)</x:f>
        <x:v>0</x:v>
      </x:c>
      <x:c r="I343" s="141" t="n">
        <x:f>F343+G343+H343</x:f>
        <x:v>0</x:v>
      </x:c>
      <x:c r="J343" s="141" t="n">
        <x:f>IF(E343-F343&gt;0,MIN(E343-F343,P343),0)</x:f>
        <x:v>0</x:v>
      </x:c>
      <x:c r="K343" s="141" t="n">
        <x:f>I343+J343</x:f>
        <x:v>0</x:v>
      </x:c>
      <x:c r="L343" s="141" t="n">
        <x:f>MAX(0,E343-F343-J343)</x:f>
        <x:v>0</x:v>
      </x:c>
      <x:c r="M343" s="141" t="n">
        <x:f>SUM($K$6:K343)</x:f>
        <x:v>185795.9624076597</x:v>
      </x:c>
      <x:c r="N343" s="140" t="str">
        <x:f>IF(C343=0,"Encerrado",IF(L343=0,"Quitado","Aberto"))</x:f>
        <x:v>Encerrado</x:v>
      </x:c>
      <x:c r="O343" s="141" t="n">
        <x:f>IF(C343&gt;0,Premissas!$B$35,0)</x:f>
        <x:v>0</x:v>
      </x:c>
      <x:c r="P343" s="141" t="n">
        <x:f>IF(C343&gt;0,MAX(0,O343-I343),0)</x:f>
        <x:v>0</x:v>
      </x:c>
      <x:c r="Q343" s="141" t="n">
        <x:f>J343-IF(E343-F343&gt;0,MIN(E343-F343,P343),0)</x:f>
        <x:v>0</x:v>
      </x:c>
    </x:row>
    <x:row r="344">
      <x:c r="A344" s="142" t="n">
        <x:v>339</x:v>
      </x:c>
      <x:c r="B344" s="179" t="n">
        <x:f>EDATE(Premissas!$B$4,338)</x:f>
        <x:v>56827</x:v>
      </x:c>
      <x:c r="C344" s="141" t="n">
        <x:f>L343</x:f>
        <x:v>0</x:v>
      </x:c>
      <x:c r="D344" s="141" t="n">
        <x:f>IF(C344&gt;0,C344*Premissas!$B$17,0)</x:f>
        <x:v>0</x:v>
      </x:c>
      <x:c r="E344" s="141" t="n">
        <x:f>C344+D344</x:f>
        <x:v>0</x:v>
      </x:c>
      <x:c r="F344" s="141" t="n">
        <x:f>IF(E344&gt;0,MIN(E344,INDEX(Financiamento!$G$6:$G$485,A344)),0)</x:f>
        <x:v>0</x:v>
      </x:c>
      <x:c r="G344" s="141" t="n">
        <x:f>IF(E344&gt;0,E344*Premissas!$B$15,0)</x:f>
        <x:v>0</x:v>
      </x:c>
      <x:c r="H344" s="141" t="n">
        <x:f>IF(E344&gt;0,Premissas!$B$18,0)</x:f>
        <x:v>0</x:v>
      </x:c>
      <x:c r="I344" s="141" t="n">
        <x:f>F344+G344+H344</x:f>
        <x:v>0</x:v>
      </x:c>
      <x:c r="J344" s="141" t="n">
        <x:f>IF(E344-F344&gt;0,MIN(E344-F344,P344),0)</x:f>
        <x:v>0</x:v>
      </x:c>
      <x:c r="K344" s="141" t="n">
        <x:f>I344+J344</x:f>
        <x:v>0</x:v>
      </x:c>
      <x:c r="L344" s="141" t="n">
        <x:f>MAX(0,E344-F344-J344)</x:f>
        <x:v>0</x:v>
      </x:c>
      <x:c r="M344" s="141" t="n">
        <x:f>SUM($K$6:K344)</x:f>
        <x:v>185795.9624076597</x:v>
      </x:c>
      <x:c r="N344" s="140" t="str">
        <x:f>IF(C344=0,"Encerrado",IF(L344=0,"Quitado","Aberto"))</x:f>
        <x:v>Encerrado</x:v>
      </x:c>
      <x:c r="O344" s="141" t="n">
        <x:f>IF(C344&gt;0,Premissas!$B$35,0)</x:f>
        <x:v>0</x:v>
      </x:c>
      <x:c r="P344" s="141" t="n">
        <x:f>IF(C344&gt;0,MAX(0,O344-I344),0)</x:f>
        <x:v>0</x:v>
      </x:c>
      <x:c r="Q344" s="141" t="n">
        <x:f>J344-IF(E344-F344&gt;0,MIN(E344-F344,P344),0)</x:f>
        <x:v>0</x:v>
      </x:c>
    </x:row>
    <x:row r="345">
      <x:c r="A345" s="142" t="n">
        <x:v>340</x:v>
      </x:c>
      <x:c r="B345" s="179" t="n">
        <x:f>EDATE(Premissas!$B$4,339)</x:f>
        <x:v>56858</x:v>
      </x:c>
      <x:c r="C345" s="141" t="n">
        <x:f>L344</x:f>
        <x:v>0</x:v>
      </x:c>
      <x:c r="D345" s="141" t="n">
        <x:f>IF(C345&gt;0,C345*Premissas!$B$17,0)</x:f>
        <x:v>0</x:v>
      </x:c>
      <x:c r="E345" s="141" t="n">
        <x:f>C345+D345</x:f>
        <x:v>0</x:v>
      </x:c>
      <x:c r="F345" s="141" t="n">
        <x:f>IF(E345&gt;0,MIN(E345,INDEX(Financiamento!$G$6:$G$485,A345)),0)</x:f>
        <x:v>0</x:v>
      </x:c>
      <x:c r="G345" s="141" t="n">
        <x:f>IF(E345&gt;0,E345*Premissas!$B$15,0)</x:f>
        <x:v>0</x:v>
      </x:c>
      <x:c r="H345" s="141" t="n">
        <x:f>IF(E345&gt;0,Premissas!$B$18,0)</x:f>
        <x:v>0</x:v>
      </x:c>
      <x:c r="I345" s="141" t="n">
        <x:f>F345+G345+H345</x:f>
        <x:v>0</x:v>
      </x:c>
      <x:c r="J345" s="141" t="n">
        <x:f>IF(E345-F345&gt;0,MIN(E345-F345,P345),0)</x:f>
        <x:v>0</x:v>
      </x:c>
      <x:c r="K345" s="141" t="n">
        <x:f>I345+J345</x:f>
        <x:v>0</x:v>
      </x:c>
      <x:c r="L345" s="141" t="n">
        <x:f>MAX(0,E345-F345-J345)</x:f>
        <x:v>0</x:v>
      </x:c>
      <x:c r="M345" s="141" t="n">
        <x:f>SUM($K$6:K345)</x:f>
        <x:v>185795.9624076597</x:v>
      </x:c>
      <x:c r="N345" s="140" t="str">
        <x:f>IF(C345=0,"Encerrado",IF(L345=0,"Quitado","Aberto"))</x:f>
        <x:v>Encerrado</x:v>
      </x:c>
      <x:c r="O345" s="141" t="n">
        <x:f>IF(C345&gt;0,Premissas!$B$35,0)</x:f>
        <x:v>0</x:v>
      </x:c>
      <x:c r="P345" s="141" t="n">
        <x:f>IF(C345&gt;0,MAX(0,O345-I345),0)</x:f>
        <x:v>0</x:v>
      </x:c>
      <x:c r="Q345" s="141" t="n">
        <x:f>J345-IF(E345-F345&gt;0,MIN(E345-F345,P345),0)</x:f>
        <x:v>0</x:v>
      </x:c>
    </x:row>
    <x:row r="346">
      <x:c r="A346" s="142" t="n">
        <x:v>341</x:v>
      </x:c>
      <x:c r="B346" s="179" t="n">
        <x:f>EDATE(Premissas!$B$4,340)</x:f>
        <x:v>56888</x:v>
      </x:c>
      <x:c r="C346" s="141" t="n">
        <x:f>L345</x:f>
        <x:v>0</x:v>
      </x:c>
      <x:c r="D346" s="141" t="n">
        <x:f>IF(C346&gt;0,C346*Premissas!$B$17,0)</x:f>
        <x:v>0</x:v>
      </x:c>
      <x:c r="E346" s="141" t="n">
        <x:f>C346+D346</x:f>
        <x:v>0</x:v>
      </x:c>
      <x:c r="F346" s="141" t="n">
        <x:f>IF(E346&gt;0,MIN(E346,INDEX(Financiamento!$G$6:$G$485,A346)),0)</x:f>
        <x:v>0</x:v>
      </x:c>
      <x:c r="G346" s="141" t="n">
        <x:f>IF(E346&gt;0,E346*Premissas!$B$15,0)</x:f>
        <x:v>0</x:v>
      </x:c>
      <x:c r="H346" s="141" t="n">
        <x:f>IF(E346&gt;0,Premissas!$B$18,0)</x:f>
        <x:v>0</x:v>
      </x:c>
      <x:c r="I346" s="141" t="n">
        <x:f>F346+G346+H346</x:f>
        <x:v>0</x:v>
      </x:c>
      <x:c r="J346" s="141" t="n">
        <x:f>IF(E346-F346&gt;0,MIN(E346-F346,P346),0)</x:f>
        <x:v>0</x:v>
      </x:c>
      <x:c r="K346" s="141" t="n">
        <x:f>I346+J346</x:f>
        <x:v>0</x:v>
      </x:c>
      <x:c r="L346" s="141" t="n">
        <x:f>MAX(0,E346-F346-J346)</x:f>
        <x:v>0</x:v>
      </x:c>
      <x:c r="M346" s="141" t="n">
        <x:f>SUM($K$6:K346)</x:f>
        <x:v>185795.9624076597</x:v>
      </x:c>
      <x:c r="N346" s="140" t="str">
        <x:f>IF(C346=0,"Encerrado",IF(L346=0,"Quitado","Aberto"))</x:f>
        <x:v>Encerrado</x:v>
      </x:c>
      <x:c r="O346" s="141" t="n">
        <x:f>IF(C346&gt;0,Premissas!$B$35,0)</x:f>
        <x:v>0</x:v>
      </x:c>
      <x:c r="P346" s="141" t="n">
        <x:f>IF(C346&gt;0,MAX(0,O346-I346),0)</x:f>
        <x:v>0</x:v>
      </x:c>
      <x:c r="Q346" s="141" t="n">
        <x:f>J346-IF(E346-F346&gt;0,MIN(E346-F346,P346),0)</x:f>
        <x:v>0</x:v>
      </x:c>
    </x:row>
    <x:row r="347">
      <x:c r="A347" s="142" t="n">
        <x:v>342</x:v>
      </x:c>
      <x:c r="B347" s="179" t="n">
        <x:f>EDATE(Premissas!$B$4,341)</x:f>
        <x:v>56919</x:v>
      </x:c>
      <x:c r="C347" s="141" t="n">
        <x:f>L346</x:f>
        <x:v>0</x:v>
      </x:c>
      <x:c r="D347" s="141" t="n">
        <x:f>IF(C347&gt;0,C347*Premissas!$B$17,0)</x:f>
        <x:v>0</x:v>
      </x:c>
      <x:c r="E347" s="141" t="n">
        <x:f>C347+D347</x:f>
        <x:v>0</x:v>
      </x:c>
      <x:c r="F347" s="141" t="n">
        <x:f>IF(E347&gt;0,MIN(E347,INDEX(Financiamento!$G$6:$G$485,A347)),0)</x:f>
        <x:v>0</x:v>
      </x:c>
      <x:c r="G347" s="141" t="n">
        <x:f>IF(E347&gt;0,E347*Premissas!$B$15,0)</x:f>
        <x:v>0</x:v>
      </x:c>
      <x:c r="H347" s="141" t="n">
        <x:f>IF(E347&gt;0,Premissas!$B$18,0)</x:f>
        <x:v>0</x:v>
      </x:c>
      <x:c r="I347" s="141" t="n">
        <x:f>F347+G347+H347</x:f>
        <x:v>0</x:v>
      </x:c>
      <x:c r="J347" s="141" t="n">
        <x:f>IF(E347-F347&gt;0,MIN(E347-F347,P347),0)</x:f>
        <x:v>0</x:v>
      </x:c>
      <x:c r="K347" s="141" t="n">
        <x:f>I347+J347</x:f>
        <x:v>0</x:v>
      </x:c>
      <x:c r="L347" s="141" t="n">
        <x:f>MAX(0,E347-F347-J347)</x:f>
        <x:v>0</x:v>
      </x:c>
      <x:c r="M347" s="141" t="n">
        <x:f>SUM($K$6:K347)</x:f>
        <x:v>185795.9624076597</x:v>
      </x:c>
      <x:c r="N347" s="140" t="str">
        <x:f>IF(C347=0,"Encerrado",IF(L347=0,"Quitado","Aberto"))</x:f>
        <x:v>Encerrado</x:v>
      </x:c>
      <x:c r="O347" s="141" t="n">
        <x:f>IF(C347&gt;0,Premissas!$B$35,0)</x:f>
        <x:v>0</x:v>
      </x:c>
      <x:c r="P347" s="141" t="n">
        <x:f>IF(C347&gt;0,MAX(0,O347-I347),0)</x:f>
        <x:v>0</x:v>
      </x:c>
      <x:c r="Q347" s="141" t="n">
        <x:f>J347-IF(E347-F347&gt;0,MIN(E347-F347,P347),0)</x:f>
        <x:v>0</x:v>
      </x:c>
    </x:row>
    <x:row r="348">
      <x:c r="A348" s="142" t="n">
        <x:v>343</x:v>
      </x:c>
      <x:c r="B348" s="179" t="n">
        <x:f>EDATE(Premissas!$B$4,342)</x:f>
        <x:v>56949</x:v>
      </x:c>
      <x:c r="C348" s="141" t="n">
        <x:f>L347</x:f>
        <x:v>0</x:v>
      </x:c>
      <x:c r="D348" s="141" t="n">
        <x:f>IF(C348&gt;0,C348*Premissas!$B$17,0)</x:f>
        <x:v>0</x:v>
      </x:c>
      <x:c r="E348" s="141" t="n">
        <x:f>C348+D348</x:f>
        <x:v>0</x:v>
      </x:c>
      <x:c r="F348" s="141" t="n">
        <x:f>IF(E348&gt;0,MIN(E348,INDEX(Financiamento!$G$6:$G$485,A348)),0)</x:f>
        <x:v>0</x:v>
      </x:c>
      <x:c r="G348" s="141" t="n">
        <x:f>IF(E348&gt;0,E348*Premissas!$B$15,0)</x:f>
        <x:v>0</x:v>
      </x:c>
      <x:c r="H348" s="141" t="n">
        <x:f>IF(E348&gt;0,Premissas!$B$18,0)</x:f>
        <x:v>0</x:v>
      </x:c>
      <x:c r="I348" s="141" t="n">
        <x:f>F348+G348+H348</x:f>
        <x:v>0</x:v>
      </x:c>
      <x:c r="J348" s="141" t="n">
        <x:f>IF(E348-F348&gt;0,MIN(E348-F348,P348),0)</x:f>
        <x:v>0</x:v>
      </x:c>
      <x:c r="K348" s="141" t="n">
        <x:f>I348+J348</x:f>
        <x:v>0</x:v>
      </x:c>
      <x:c r="L348" s="141" t="n">
        <x:f>MAX(0,E348-F348-J348)</x:f>
        <x:v>0</x:v>
      </x:c>
      <x:c r="M348" s="141" t="n">
        <x:f>SUM($K$6:K348)</x:f>
        <x:v>185795.9624076597</x:v>
      </x:c>
      <x:c r="N348" s="140" t="str">
        <x:f>IF(C348=0,"Encerrado",IF(L348=0,"Quitado","Aberto"))</x:f>
        <x:v>Encerrado</x:v>
      </x:c>
      <x:c r="O348" s="141" t="n">
        <x:f>IF(C348&gt;0,Premissas!$B$35,0)</x:f>
        <x:v>0</x:v>
      </x:c>
      <x:c r="P348" s="141" t="n">
        <x:f>IF(C348&gt;0,MAX(0,O348-I348),0)</x:f>
        <x:v>0</x:v>
      </x:c>
      <x:c r="Q348" s="141" t="n">
        <x:f>J348-IF(E348-F348&gt;0,MIN(E348-F348,P348),0)</x:f>
        <x:v>0</x:v>
      </x:c>
    </x:row>
    <x:row r="349">
      <x:c r="A349" s="142" t="n">
        <x:v>344</x:v>
      </x:c>
      <x:c r="B349" s="179" t="n">
        <x:f>EDATE(Premissas!$B$4,343)</x:f>
        <x:v>56980</x:v>
      </x:c>
      <x:c r="C349" s="141" t="n">
        <x:f>L348</x:f>
        <x:v>0</x:v>
      </x:c>
      <x:c r="D349" s="141" t="n">
        <x:f>IF(C349&gt;0,C349*Premissas!$B$17,0)</x:f>
        <x:v>0</x:v>
      </x:c>
      <x:c r="E349" s="141" t="n">
        <x:f>C349+D349</x:f>
        <x:v>0</x:v>
      </x:c>
      <x:c r="F349" s="141" t="n">
        <x:f>IF(E349&gt;0,MIN(E349,INDEX(Financiamento!$G$6:$G$485,A349)),0)</x:f>
        <x:v>0</x:v>
      </x:c>
      <x:c r="G349" s="141" t="n">
        <x:f>IF(E349&gt;0,E349*Premissas!$B$15,0)</x:f>
        <x:v>0</x:v>
      </x:c>
      <x:c r="H349" s="141" t="n">
        <x:f>IF(E349&gt;0,Premissas!$B$18,0)</x:f>
        <x:v>0</x:v>
      </x:c>
      <x:c r="I349" s="141" t="n">
        <x:f>F349+G349+H349</x:f>
        <x:v>0</x:v>
      </x:c>
      <x:c r="J349" s="141" t="n">
        <x:f>IF(E349-F349&gt;0,MIN(E349-F349,P349),0)</x:f>
        <x:v>0</x:v>
      </x:c>
      <x:c r="K349" s="141" t="n">
        <x:f>I349+J349</x:f>
        <x:v>0</x:v>
      </x:c>
      <x:c r="L349" s="141" t="n">
        <x:f>MAX(0,E349-F349-J349)</x:f>
        <x:v>0</x:v>
      </x:c>
      <x:c r="M349" s="141" t="n">
        <x:f>SUM($K$6:K349)</x:f>
        <x:v>185795.9624076597</x:v>
      </x:c>
      <x:c r="N349" s="140" t="str">
        <x:f>IF(C349=0,"Encerrado",IF(L349=0,"Quitado","Aberto"))</x:f>
        <x:v>Encerrado</x:v>
      </x:c>
      <x:c r="O349" s="141" t="n">
        <x:f>IF(C349&gt;0,Premissas!$B$35,0)</x:f>
        <x:v>0</x:v>
      </x:c>
      <x:c r="P349" s="141" t="n">
        <x:f>IF(C349&gt;0,MAX(0,O349-I349),0)</x:f>
        <x:v>0</x:v>
      </x:c>
      <x:c r="Q349" s="141" t="n">
        <x:f>J349-IF(E349-F349&gt;0,MIN(E349-F349,P349),0)</x:f>
        <x:v>0</x:v>
      </x:c>
    </x:row>
    <x:row r="350">
      <x:c r="A350" s="142" t="n">
        <x:v>345</x:v>
      </x:c>
      <x:c r="B350" s="179" t="n">
        <x:f>EDATE(Premissas!$B$4,344)</x:f>
        <x:v>57011</x:v>
      </x:c>
      <x:c r="C350" s="141" t="n">
        <x:f>L349</x:f>
        <x:v>0</x:v>
      </x:c>
      <x:c r="D350" s="141" t="n">
        <x:f>IF(C350&gt;0,C350*Premissas!$B$17,0)</x:f>
        <x:v>0</x:v>
      </x:c>
      <x:c r="E350" s="141" t="n">
        <x:f>C350+D350</x:f>
        <x:v>0</x:v>
      </x:c>
      <x:c r="F350" s="141" t="n">
        <x:f>IF(E350&gt;0,MIN(E350,INDEX(Financiamento!$G$6:$G$485,A350)),0)</x:f>
        <x:v>0</x:v>
      </x:c>
      <x:c r="G350" s="141" t="n">
        <x:f>IF(E350&gt;0,E350*Premissas!$B$15,0)</x:f>
        <x:v>0</x:v>
      </x:c>
      <x:c r="H350" s="141" t="n">
        <x:f>IF(E350&gt;0,Premissas!$B$18,0)</x:f>
        <x:v>0</x:v>
      </x:c>
      <x:c r="I350" s="141" t="n">
        <x:f>F350+G350+H350</x:f>
        <x:v>0</x:v>
      </x:c>
      <x:c r="J350" s="141" t="n">
        <x:f>IF(E350-F350&gt;0,MIN(E350-F350,P350),0)</x:f>
        <x:v>0</x:v>
      </x:c>
      <x:c r="K350" s="141" t="n">
        <x:f>I350+J350</x:f>
        <x:v>0</x:v>
      </x:c>
      <x:c r="L350" s="141" t="n">
        <x:f>MAX(0,E350-F350-J350)</x:f>
        <x:v>0</x:v>
      </x:c>
      <x:c r="M350" s="141" t="n">
        <x:f>SUM($K$6:K350)</x:f>
        <x:v>185795.9624076597</x:v>
      </x:c>
      <x:c r="N350" s="140" t="str">
        <x:f>IF(C350=0,"Encerrado",IF(L350=0,"Quitado","Aberto"))</x:f>
        <x:v>Encerrado</x:v>
      </x:c>
      <x:c r="O350" s="141" t="n">
        <x:f>IF(C350&gt;0,Premissas!$B$35,0)</x:f>
        <x:v>0</x:v>
      </x:c>
      <x:c r="P350" s="141" t="n">
        <x:f>IF(C350&gt;0,MAX(0,O350-I350),0)</x:f>
        <x:v>0</x:v>
      </x:c>
      <x:c r="Q350" s="141" t="n">
        <x:f>J350-IF(E350-F350&gt;0,MIN(E350-F350,P350),0)</x:f>
        <x:v>0</x:v>
      </x:c>
    </x:row>
    <x:row r="351">
      <x:c r="A351" s="142" t="n">
        <x:v>346</x:v>
      </x:c>
      <x:c r="B351" s="179" t="n">
        <x:f>EDATE(Premissas!$B$4,345)</x:f>
        <x:v>57040</x:v>
      </x:c>
      <x:c r="C351" s="141" t="n">
        <x:f>L350</x:f>
        <x:v>0</x:v>
      </x:c>
      <x:c r="D351" s="141" t="n">
        <x:f>IF(C351&gt;0,C351*Premissas!$B$17,0)</x:f>
        <x:v>0</x:v>
      </x:c>
      <x:c r="E351" s="141" t="n">
        <x:f>C351+D351</x:f>
        <x:v>0</x:v>
      </x:c>
      <x:c r="F351" s="141" t="n">
        <x:f>IF(E351&gt;0,MIN(E351,INDEX(Financiamento!$G$6:$G$485,A351)),0)</x:f>
        <x:v>0</x:v>
      </x:c>
      <x:c r="G351" s="141" t="n">
        <x:f>IF(E351&gt;0,E351*Premissas!$B$15,0)</x:f>
        <x:v>0</x:v>
      </x:c>
      <x:c r="H351" s="141" t="n">
        <x:f>IF(E351&gt;0,Premissas!$B$18,0)</x:f>
        <x:v>0</x:v>
      </x:c>
      <x:c r="I351" s="141" t="n">
        <x:f>F351+G351+H351</x:f>
        <x:v>0</x:v>
      </x:c>
      <x:c r="J351" s="141" t="n">
        <x:f>IF(E351-F351&gt;0,MIN(E351-F351,P351),0)</x:f>
        <x:v>0</x:v>
      </x:c>
      <x:c r="K351" s="141" t="n">
        <x:f>I351+J351</x:f>
        <x:v>0</x:v>
      </x:c>
      <x:c r="L351" s="141" t="n">
        <x:f>MAX(0,E351-F351-J351)</x:f>
        <x:v>0</x:v>
      </x:c>
      <x:c r="M351" s="141" t="n">
        <x:f>SUM($K$6:K351)</x:f>
        <x:v>185795.9624076597</x:v>
      </x:c>
      <x:c r="N351" s="140" t="str">
        <x:f>IF(C351=0,"Encerrado",IF(L351=0,"Quitado","Aberto"))</x:f>
        <x:v>Encerrado</x:v>
      </x:c>
      <x:c r="O351" s="141" t="n">
        <x:f>IF(C351&gt;0,Premissas!$B$35,0)</x:f>
        <x:v>0</x:v>
      </x:c>
      <x:c r="P351" s="141" t="n">
        <x:f>IF(C351&gt;0,MAX(0,O351-I351),0)</x:f>
        <x:v>0</x:v>
      </x:c>
      <x:c r="Q351" s="141" t="n">
        <x:f>J351-IF(E351-F351&gt;0,MIN(E351-F351,P351),0)</x:f>
        <x:v>0</x:v>
      </x:c>
    </x:row>
    <x:row r="352">
      <x:c r="A352" s="142" t="n">
        <x:v>347</x:v>
      </x:c>
      <x:c r="B352" s="179" t="n">
        <x:f>EDATE(Premissas!$B$4,346)</x:f>
        <x:v>57071</x:v>
      </x:c>
      <x:c r="C352" s="141" t="n">
        <x:f>L351</x:f>
        <x:v>0</x:v>
      </x:c>
      <x:c r="D352" s="141" t="n">
        <x:f>IF(C352&gt;0,C352*Premissas!$B$17,0)</x:f>
        <x:v>0</x:v>
      </x:c>
      <x:c r="E352" s="141" t="n">
        <x:f>C352+D352</x:f>
        <x:v>0</x:v>
      </x:c>
      <x:c r="F352" s="141" t="n">
        <x:f>IF(E352&gt;0,MIN(E352,INDEX(Financiamento!$G$6:$G$485,A352)),0)</x:f>
        <x:v>0</x:v>
      </x:c>
      <x:c r="G352" s="141" t="n">
        <x:f>IF(E352&gt;0,E352*Premissas!$B$15,0)</x:f>
        <x:v>0</x:v>
      </x:c>
      <x:c r="H352" s="141" t="n">
        <x:f>IF(E352&gt;0,Premissas!$B$18,0)</x:f>
        <x:v>0</x:v>
      </x:c>
      <x:c r="I352" s="141" t="n">
        <x:f>F352+G352+H352</x:f>
        <x:v>0</x:v>
      </x:c>
      <x:c r="J352" s="141" t="n">
        <x:f>IF(E352-F352&gt;0,MIN(E352-F352,P352),0)</x:f>
        <x:v>0</x:v>
      </x:c>
      <x:c r="K352" s="141" t="n">
        <x:f>I352+J352</x:f>
        <x:v>0</x:v>
      </x:c>
      <x:c r="L352" s="141" t="n">
        <x:f>MAX(0,E352-F352-J352)</x:f>
        <x:v>0</x:v>
      </x:c>
      <x:c r="M352" s="141" t="n">
        <x:f>SUM($K$6:K352)</x:f>
        <x:v>185795.9624076597</x:v>
      </x:c>
      <x:c r="N352" s="140" t="str">
        <x:f>IF(C352=0,"Encerrado",IF(L352=0,"Quitado","Aberto"))</x:f>
        <x:v>Encerrado</x:v>
      </x:c>
      <x:c r="O352" s="141" t="n">
        <x:f>IF(C352&gt;0,Premissas!$B$35,0)</x:f>
        <x:v>0</x:v>
      </x:c>
      <x:c r="P352" s="141" t="n">
        <x:f>IF(C352&gt;0,MAX(0,O352-I352),0)</x:f>
        <x:v>0</x:v>
      </x:c>
      <x:c r="Q352" s="141" t="n">
        <x:f>J352-IF(E352-F352&gt;0,MIN(E352-F352,P352),0)</x:f>
        <x:v>0</x:v>
      </x:c>
    </x:row>
    <x:row r="353">
      <x:c r="A353" s="142" t="n">
        <x:v>348</x:v>
      </x:c>
      <x:c r="B353" s="179" t="n">
        <x:f>EDATE(Premissas!$B$4,347)</x:f>
        <x:v>57101</x:v>
      </x:c>
      <x:c r="C353" s="141" t="n">
        <x:f>L352</x:f>
        <x:v>0</x:v>
      </x:c>
      <x:c r="D353" s="141" t="n">
        <x:f>IF(C353&gt;0,C353*Premissas!$B$17,0)</x:f>
        <x:v>0</x:v>
      </x:c>
      <x:c r="E353" s="141" t="n">
        <x:f>C353+D353</x:f>
        <x:v>0</x:v>
      </x:c>
      <x:c r="F353" s="141" t="n">
        <x:f>IF(E353&gt;0,MIN(E353,INDEX(Financiamento!$G$6:$G$485,A353)),0)</x:f>
        <x:v>0</x:v>
      </x:c>
      <x:c r="G353" s="141" t="n">
        <x:f>IF(E353&gt;0,E353*Premissas!$B$15,0)</x:f>
        <x:v>0</x:v>
      </x:c>
      <x:c r="H353" s="141" t="n">
        <x:f>IF(E353&gt;0,Premissas!$B$18,0)</x:f>
        <x:v>0</x:v>
      </x:c>
      <x:c r="I353" s="141" t="n">
        <x:f>F353+G353+H353</x:f>
        <x:v>0</x:v>
      </x:c>
      <x:c r="J353" s="141" t="n">
        <x:f>IF(E353-F353&gt;0,MIN(E353-F353,P353),0)</x:f>
        <x:v>0</x:v>
      </x:c>
      <x:c r="K353" s="141" t="n">
        <x:f>I353+J353</x:f>
        <x:v>0</x:v>
      </x:c>
      <x:c r="L353" s="141" t="n">
        <x:f>MAX(0,E353-F353-J353)</x:f>
        <x:v>0</x:v>
      </x:c>
      <x:c r="M353" s="141" t="n">
        <x:f>SUM($K$6:K353)</x:f>
        <x:v>185795.9624076597</x:v>
      </x:c>
      <x:c r="N353" s="140" t="str">
        <x:f>IF(C353=0,"Encerrado",IF(L353=0,"Quitado","Aberto"))</x:f>
        <x:v>Encerrado</x:v>
      </x:c>
      <x:c r="O353" s="141" t="n">
        <x:f>IF(C353&gt;0,Premissas!$B$35,0)</x:f>
        <x:v>0</x:v>
      </x:c>
      <x:c r="P353" s="141" t="n">
        <x:f>IF(C353&gt;0,MAX(0,O353-I353),0)</x:f>
        <x:v>0</x:v>
      </x:c>
      <x:c r="Q353" s="141" t="n">
        <x:f>J353-IF(E353-F353&gt;0,MIN(E353-F353,P353),0)</x:f>
        <x:v>0</x:v>
      </x:c>
    </x:row>
    <x:row r="354">
      <x:c r="A354" s="142" t="n">
        <x:v>349</x:v>
      </x:c>
      <x:c r="B354" s="179" t="n">
        <x:f>EDATE(Premissas!$B$4,348)</x:f>
        <x:v>57132</x:v>
      </x:c>
      <x:c r="C354" s="141" t="n">
        <x:f>L353</x:f>
        <x:v>0</x:v>
      </x:c>
      <x:c r="D354" s="141" t="n">
        <x:f>IF(C354&gt;0,C354*Premissas!$B$17,0)</x:f>
        <x:v>0</x:v>
      </x:c>
      <x:c r="E354" s="141" t="n">
        <x:f>C354+D354</x:f>
        <x:v>0</x:v>
      </x:c>
      <x:c r="F354" s="141" t="n">
        <x:f>IF(E354&gt;0,MIN(E354,INDEX(Financiamento!$G$6:$G$485,A354)),0)</x:f>
        <x:v>0</x:v>
      </x:c>
      <x:c r="G354" s="141" t="n">
        <x:f>IF(E354&gt;0,E354*Premissas!$B$15,0)</x:f>
        <x:v>0</x:v>
      </x:c>
      <x:c r="H354" s="141" t="n">
        <x:f>IF(E354&gt;0,Premissas!$B$18,0)</x:f>
        <x:v>0</x:v>
      </x:c>
      <x:c r="I354" s="141" t="n">
        <x:f>F354+G354+H354</x:f>
        <x:v>0</x:v>
      </x:c>
      <x:c r="J354" s="141" t="n">
        <x:f>IF(E354-F354&gt;0,MIN(E354-F354,P354),0)</x:f>
        <x:v>0</x:v>
      </x:c>
      <x:c r="K354" s="141" t="n">
        <x:f>I354+J354</x:f>
        <x:v>0</x:v>
      </x:c>
      <x:c r="L354" s="141" t="n">
        <x:f>MAX(0,E354-F354-J354)</x:f>
        <x:v>0</x:v>
      </x:c>
      <x:c r="M354" s="141" t="n">
        <x:f>SUM($K$6:K354)</x:f>
        <x:v>185795.9624076597</x:v>
      </x:c>
      <x:c r="N354" s="140" t="str">
        <x:f>IF(C354=0,"Encerrado",IF(L354=0,"Quitado","Aberto"))</x:f>
        <x:v>Encerrado</x:v>
      </x:c>
      <x:c r="O354" s="141" t="n">
        <x:f>IF(C354&gt;0,Premissas!$B$35,0)</x:f>
        <x:v>0</x:v>
      </x:c>
      <x:c r="P354" s="141" t="n">
        <x:f>IF(C354&gt;0,MAX(0,O354-I354),0)</x:f>
        <x:v>0</x:v>
      </x:c>
      <x:c r="Q354" s="141" t="n">
        <x:f>J354-IF(E354-F354&gt;0,MIN(E354-F354,P354),0)</x:f>
        <x:v>0</x:v>
      </x:c>
    </x:row>
    <x:row r="355">
      <x:c r="A355" s="142" t="n">
        <x:v>350</x:v>
      </x:c>
      <x:c r="B355" s="179" t="n">
        <x:f>EDATE(Premissas!$B$4,349)</x:f>
        <x:v>57162</x:v>
      </x:c>
      <x:c r="C355" s="141" t="n">
        <x:f>L354</x:f>
        <x:v>0</x:v>
      </x:c>
      <x:c r="D355" s="141" t="n">
        <x:f>IF(C355&gt;0,C355*Premissas!$B$17,0)</x:f>
        <x:v>0</x:v>
      </x:c>
      <x:c r="E355" s="141" t="n">
        <x:f>C355+D355</x:f>
        <x:v>0</x:v>
      </x:c>
      <x:c r="F355" s="141" t="n">
        <x:f>IF(E355&gt;0,MIN(E355,INDEX(Financiamento!$G$6:$G$485,A355)),0)</x:f>
        <x:v>0</x:v>
      </x:c>
      <x:c r="G355" s="141" t="n">
        <x:f>IF(E355&gt;0,E355*Premissas!$B$15,0)</x:f>
        <x:v>0</x:v>
      </x:c>
      <x:c r="H355" s="141" t="n">
        <x:f>IF(E355&gt;0,Premissas!$B$18,0)</x:f>
        <x:v>0</x:v>
      </x:c>
      <x:c r="I355" s="141" t="n">
        <x:f>F355+G355+H355</x:f>
        <x:v>0</x:v>
      </x:c>
      <x:c r="J355" s="141" t="n">
        <x:f>IF(E355-F355&gt;0,MIN(E355-F355,P355),0)</x:f>
        <x:v>0</x:v>
      </x:c>
      <x:c r="K355" s="141" t="n">
        <x:f>I355+J355</x:f>
        <x:v>0</x:v>
      </x:c>
      <x:c r="L355" s="141" t="n">
        <x:f>MAX(0,E355-F355-J355)</x:f>
        <x:v>0</x:v>
      </x:c>
      <x:c r="M355" s="141" t="n">
        <x:f>SUM($K$6:K355)</x:f>
        <x:v>185795.9624076597</x:v>
      </x:c>
      <x:c r="N355" s="140" t="str">
        <x:f>IF(C355=0,"Encerrado",IF(L355=0,"Quitado","Aberto"))</x:f>
        <x:v>Encerrado</x:v>
      </x:c>
      <x:c r="O355" s="141" t="n">
        <x:f>IF(C355&gt;0,Premissas!$B$35,0)</x:f>
        <x:v>0</x:v>
      </x:c>
      <x:c r="P355" s="141" t="n">
        <x:f>IF(C355&gt;0,MAX(0,O355-I355),0)</x:f>
        <x:v>0</x:v>
      </x:c>
      <x:c r="Q355" s="141" t="n">
        <x:f>J355-IF(E355-F355&gt;0,MIN(E355-F355,P355),0)</x:f>
        <x:v>0</x:v>
      </x:c>
    </x:row>
    <x:row r="356">
      <x:c r="A356" s="142" t="n">
        <x:v>351</x:v>
      </x:c>
      <x:c r="B356" s="179" t="n">
        <x:f>EDATE(Premissas!$B$4,350)</x:f>
        <x:v>57193</x:v>
      </x:c>
      <x:c r="C356" s="141" t="n">
        <x:f>L355</x:f>
        <x:v>0</x:v>
      </x:c>
      <x:c r="D356" s="141" t="n">
        <x:f>IF(C356&gt;0,C356*Premissas!$B$17,0)</x:f>
        <x:v>0</x:v>
      </x:c>
      <x:c r="E356" s="141" t="n">
        <x:f>C356+D356</x:f>
        <x:v>0</x:v>
      </x:c>
      <x:c r="F356" s="141" t="n">
        <x:f>IF(E356&gt;0,MIN(E356,INDEX(Financiamento!$G$6:$G$485,A356)),0)</x:f>
        <x:v>0</x:v>
      </x:c>
      <x:c r="G356" s="141" t="n">
        <x:f>IF(E356&gt;0,E356*Premissas!$B$15,0)</x:f>
        <x:v>0</x:v>
      </x:c>
      <x:c r="H356" s="141" t="n">
        <x:f>IF(E356&gt;0,Premissas!$B$18,0)</x:f>
        <x:v>0</x:v>
      </x:c>
      <x:c r="I356" s="141" t="n">
        <x:f>F356+G356+H356</x:f>
        <x:v>0</x:v>
      </x:c>
      <x:c r="J356" s="141" t="n">
        <x:f>IF(E356-F356&gt;0,MIN(E356-F356,P356),0)</x:f>
        <x:v>0</x:v>
      </x:c>
      <x:c r="K356" s="141" t="n">
        <x:f>I356+J356</x:f>
        <x:v>0</x:v>
      </x:c>
      <x:c r="L356" s="141" t="n">
        <x:f>MAX(0,E356-F356-J356)</x:f>
        <x:v>0</x:v>
      </x:c>
      <x:c r="M356" s="141" t="n">
        <x:f>SUM($K$6:K356)</x:f>
        <x:v>185795.9624076597</x:v>
      </x:c>
      <x:c r="N356" s="140" t="str">
        <x:f>IF(C356=0,"Encerrado",IF(L356=0,"Quitado","Aberto"))</x:f>
        <x:v>Encerrado</x:v>
      </x:c>
      <x:c r="O356" s="141" t="n">
        <x:f>IF(C356&gt;0,Premissas!$B$35,0)</x:f>
        <x:v>0</x:v>
      </x:c>
      <x:c r="P356" s="141" t="n">
        <x:f>IF(C356&gt;0,MAX(0,O356-I356),0)</x:f>
        <x:v>0</x:v>
      </x:c>
      <x:c r="Q356" s="141" t="n">
        <x:f>J356-IF(E356-F356&gt;0,MIN(E356-F356,P356),0)</x:f>
        <x:v>0</x:v>
      </x:c>
    </x:row>
    <x:row r="357">
      <x:c r="A357" s="142" t="n">
        <x:v>352</x:v>
      </x:c>
      <x:c r="B357" s="179" t="n">
        <x:f>EDATE(Premissas!$B$4,351)</x:f>
        <x:v>57224</x:v>
      </x:c>
      <x:c r="C357" s="141" t="n">
        <x:f>L356</x:f>
        <x:v>0</x:v>
      </x:c>
      <x:c r="D357" s="141" t="n">
        <x:f>IF(C357&gt;0,C357*Premissas!$B$17,0)</x:f>
        <x:v>0</x:v>
      </x:c>
      <x:c r="E357" s="141" t="n">
        <x:f>C357+D357</x:f>
        <x:v>0</x:v>
      </x:c>
      <x:c r="F357" s="141" t="n">
        <x:f>IF(E357&gt;0,MIN(E357,INDEX(Financiamento!$G$6:$G$485,A357)),0)</x:f>
        <x:v>0</x:v>
      </x:c>
      <x:c r="G357" s="141" t="n">
        <x:f>IF(E357&gt;0,E357*Premissas!$B$15,0)</x:f>
        <x:v>0</x:v>
      </x:c>
      <x:c r="H357" s="141" t="n">
        <x:f>IF(E357&gt;0,Premissas!$B$18,0)</x:f>
        <x:v>0</x:v>
      </x:c>
      <x:c r="I357" s="141" t="n">
        <x:f>F357+G357+H357</x:f>
        <x:v>0</x:v>
      </x:c>
      <x:c r="J357" s="141" t="n">
        <x:f>IF(E357-F357&gt;0,MIN(E357-F357,P357),0)</x:f>
        <x:v>0</x:v>
      </x:c>
      <x:c r="K357" s="141" t="n">
        <x:f>I357+J357</x:f>
        <x:v>0</x:v>
      </x:c>
      <x:c r="L357" s="141" t="n">
        <x:f>MAX(0,E357-F357-J357)</x:f>
        <x:v>0</x:v>
      </x:c>
      <x:c r="M357" s="141" t="n">
        <x:f>SUM($K$6:K357)</x:f>
        <x:v>185795.9624076597</x:v>
      </x:c>
      <x:c r="N357" s="140" t="str">
        <x:f>IF(C357=0,"Encerrado",IF(L357=0,"Quitado","Aberto"))</x:f>
        <x:v>Encerrado</x:v>
      </x:c>
      <x:c r="O357" s="141" t="n">
        <x:f>IF(C357&gt;0,Premissas!$B$35,0)</x:f>
        <x:v>0</x:v>
      </x:c>
      <x:c r="P357" s="141" t="n">
        <x:f>IF(C357&gt;0,MAX(0,O357-I357),0)</x:f>
        <x:v>0</x:v>
      </x:c>
      <x:c r="Q357" s="141" t="n">
        <x:f>J357-IF(E357-F357&gt;0,MIN(E357-F357,P357),0)</x:f>
        <x:v>0</x:v>
      </x:c>
    </x:row>
    <x:row r="358">
      <x:c r="A358" s="142" t="n">
        <x:v>353</x:v>
      </x:c>
      <x:c r="B358" s="179" t="n">
        <x:f>EDATE(Premissas!$B$4,352)</x:f>
        <x:v>57254</x:v>
      </x:c>
      <x:c r="C358" s="141" t="n">
        <x:f>L357</x:f>
        <x:v>0</x:v>
      </x:c>
      <x:c r="D358" s="141" t="n">
        <x:f>IF(C358&gt;0,C358*Premissas!$B$17,0)</x:f>
        <x:v>0</x:v>
      </x:c>
      <x:c r="E358" s="141" t="n">
        <x:f>C358+D358</x:f>
        <x:v>0</x:v>
      </x:c>
      <x:c r="F358" s="141" t="n">
        <x:f>IF(E358&gt;0,MIN(E358,INDEX(Financiamento!$G$6:$G$485,A358)),0)</x:f>
        <x:v>0</x:v>
      </x:c>
      <x:c r="G358" s="141" t="n">
        <x:f>IF(E358&gt;0,E358*Premissas!$B$15,0)</x:f>
        <x:v>0</x:v>
      </x:c>
      <x:c r="H358" s="141" t="n">
        <x:f>IF(E358&gt;0,Premissas!$B$18,0)</x:f>
        <x:v>0</x:v>
      </x:c>
      <x:c r="I358" s="141" t="n">
        <x:f>F358+G358+H358</x:f>
        <x:v>0</x:v>
      </x:c>
      <x:c r="J358" s="141" t="n">
        <x:f>IF(E358-F358&gt;0,MIN(E358-F358,P358),0)</x:f>
        <x:v>0</x:v>
      </x:c>
      <x:c r="K358" s="141" t="n">
        <x:f>I358+J358</x:f>
        <x:v>0</x:v>
      </x:c>
      <x:c r="L358" s="141" t="n">
        <x:f>MAX(0,E358-F358-J358)</x:f>
        <x:v>0</x:v>
      </x:c>
      <x:c r="M358" s="141" t="n">
        <x:f>SUM($K$6:K358)</x:f>
        <x:v>185795.9624076597</x:v>
      </x:c>
      <x:c r="N358" s="140" t="str">
        <x:f>IF(C358=0,"Encerrado",IF(L358=0,"Quitado","Aberto"))</x:f>
        <x:v>Encerrado</x:v>
      </x:c>
      <x:c r="O358" s="141" t="n">
        <x:f>IF(C358&gt;0,Premissas!$B$35,0)</x:f>
        <x:v>0</x:v>
      </x:c>
      <x:c r="P358" s="141" t="n">
        <x:f>IF(C358&gt;0,MAX(0,O358-I358),0)</x:f>
        <x:v>0</x:v>
      </x:c>
      <x:c r="Q358" s="141" t="n">
        <x:f>J358-IF(E358-F358&gt;0,MIN(E358-F358,P358),0)</x:f>
        <x:v>0</x:v>
      </x:c>
    </x:row>
    <x:row r="359">
      <x:c r="A359" s="142" t="n">
        <x:v>354</x:v>
      </x:c>
      <x:c r="B359" s="179" t="n">
        <x:f>EDATE(Premissas!$B$4,353)</x:f>
        <x:v>57285</x:v>
      </x:c>
      <x:c r="C359" s="141" t="n">
        <x:f>L358</x:f>
        <x:v>0</x:v>
      </x:c>
      <x:c r="D359" s="141" t="n">
        <x:f>IF(C359&gt;0,C359*Premissas!$B$17,0)</x:f>
        <x:v>0</x:v>
      </x:c>
      <x:c r="E359" s="141" t="n">
        <x:f>C359+D359</x:f>
        <x:v>0</x:v>
      </x:c>
      <x:c r="F359" s="141" t="n">
        <x:f>IF(E359&gt;0,MIN(E359,INDEX(Financiamento!$G$6:$G$485,A359)),0)</x:f>
        <x:v>0</x:v>
      </x:c>
      <x:c r="G359" s="141" t="n">
        <x:f>IF(E359&gt;0,E359*Premissas!$B$15,0)</x:f>
        <x:v>0</x:v>
      </x:c>
      <x:c r="H359" s="141" t="n">
        <x:f>IF(E359&gt;0,Premissas!$B$18,0)</x:f>
        <x:v>0</x:v>
      </x:c>
      <x:c r="I359" s="141" t="n">
        <x:f>F359+G359+H359</x:f>
        <x:v>0</x:v>
      </x:c>
      <x:c r="J359" s="141" t="n">
        <x:f>IF(E359-F359&gt;0,MIN(E359-F359,P359),0)</x:f>
        <x:v>0</x:v>
      </x:c>
      <x:c r="K359" s="141" t="n">
        <x:f>I359+J359</x:f>
        <x:v>0</x:v>
      </x:c>
      <x:c r="L359" s="141" t="n">
        <x:f>MAX(0,E359-F359-J359)</x:f>
        <x:v>0</x:v>
      </x:c>
      <x:c r="M359" s="141" t="n">
        <x:f>SUM($K$6:K359)</x:f>
        <x:v>185795.9624076597</x:v>
      </x:c>
      <x:c r="N359" s="140" t="str">
        <x:f>IF(C359=0,"Encerrado",IF(L359=0,"Quitado","Aberto"))</x:f>
        <x:v>Encerrado</x:v>
      </x:c>
      <x:c r="O359" s="141" t="n">
        <x:f>IF(C359&gt;0,Premissas!$B$35,0)</x:f>
        <x:v>0</x:v>
      </x:c>
      <x:c r="P359" s="141" t="n">
        <x:f>IF(C359&gt;0,MAX(0,O359-I359),0)</x:f>
        <x:v>0</x:v>
      </x:c>
      <x:c r="Q359" s="141" t="n">
        <x:f>J359-IF(E359-F359&gt;0,MIN(E359-F359,P359),0)</x:f>
        <x:v>0</x:v>
      </x:c>
    </x:row>
    <x:row r="360">
      <x:c r="A360" s="142" t="n">
        <x:v>355</x:v>
      </x:c>
      <x:c r="B360" s="179" t="n">
        <x:f>EDATE(Premissas!$B$4,354)</x:f>
        <x:v>57315</x:v>
      </x:c>
      <x:c r="C360" s="141" t="n">
        <x:f>L359</x:f>
        <x:v>0</x:v>
      </x:c>
      <x:c r="D360" s="141" t="n">
        <x:f>IF(C360&gt;0,C360*Premissas!$B$17,0)</x:f>
        <x:v>0</x:v>
      </x:c>
      <x:c r="E360" s="141" t="n">
        <x:f>C360+D360</x:f>
        <x:v>0</x:v>
      </x:c>
      <x:c r="F360" s="141" t="n">
        <x:f>IF(E360&gt;0,MIN(E360,INDEX(Financiamento!$G$6:$G$485,A360)),0)</x:f>
        <x:v>0</x:v>
      </x:c>
      <x:c r="G360" s="141" t="n">
        <x:f>IF(E360&gt;0,E360*Premissas!$B$15,0)</x:f>
        <x:v>0</x:v>
      </x:c>
      <x:c r="H360" s="141" t="n">
        <x:f>IF(E360&gt;0,Premissas!$B$18,0)</x:f>
        <x:v>0</x:v>
      </x:c>
      <x:c r="I360" s="141" t="n">
        <x:f>F360+G360+H360</x:f>
        <x:v>0</x:v>
      </x:c>
      <x:c r="J360" s="141" t="n">
        <x:f>IF(E360-F360&gt;0,MIN(E360-F360,P360),0)</x:f>
        <x:v>0</x:v>
      </x:c>
      <x:c r="K360" s="141" t="n">
        <x:f>I360+J360</x:f>
        <x:v>0</x:v>
      </x:c>
      <x:c r="L360" s="141" t="n">
        <x:f>MAX(0,E360-F360-J360)</x:f>
        <x:v>0</x:v>
      </x:c>
      <x:c r="M360" s="141" t="n">
        <x:f>SUM($K$6:K360)</x:f>
        <x:v>185795.9624076597</x:v>
      </x:c>
      <x:c r="N360" s="140" t="str">
        <x:f>IF(C360=0,"Encerrado",IF(L360=0,"Quitado","Aberto"))</x:f>
        <x:v>Encerrado</x:v>
      </x:c>
      <x:c r="O360" s="141" t="n">
        <x:f>IF(C360&gt;0,Premissas!$B$35,0)</x:f>
        <x:v>0</x:v>
      </x:c>
      <x:c r="P360" s="141" t="n">
        <x:f>IF(C360&gt;0,MAX(0,O360-I360),0)</x:f>
        <x:v>0</x:v>
      </x:c>
      <x:c r="Q360" s="141" t="n">
        <x:f>J360-IF(E360-F360&gt;0,MIN(E360-F360,P360),0)</x:f>
        <x:v>0</x:v>
      </x:c>
    </x:row>
    <x:row r="361">
      <x:c r="A361" s="142" t="n">
        <x:v>356</x:v>
      </x:c>
      <x:c r="B361" s="179" t="n">
        <x:f>EDATE(Premissas!$B$4,355)</x:f>
        <x:v>57346</x:v>
      </x:c>
      <x:c r="C361" s="141" t="n">
        <x:f>L360</x:f>
        <x:v>0</x:v>
      </x:c>
      <x:c r="D361" s="141" t="n">
        <x:f>IF(C361&gt;0,C361*Premissas!$B$17,0)</x:f>
        <x:v>0</x:v>
      </x:c>
      <x:c r="E361" s="141" t="n">
        <x:f>C361+D361</x:f>
        <x:v>0</x:v>
      </x:c>
      <x:c r="F361" s="141" t="n">
        <x:f>IF(E361&gt;0,MIN(E361,INDEX(Financiamento!$G$6:$G$485,A361)),0)</x:f>
        <x:v>0</x:v>
      </x:c>
      <x:c r="G361" s="141" t="n">
        <x:f>IF(E361&gt;0,E361*Premissas!$B$15,0)</x:f>
        <x:v>0</x:v>
      </x:c>
      <x:c r="H361" s="141" t="n">
        <x:f>IF(E361&gt;0,Premissas!$B$18,0)</x:f>
        <x:v>0</x:v>
      </x:c>
      <x:c r="I361" s="141" t="n">
        <x:f>F361+G361+H361</x:f>
        <x:v>0</x:v>
      </x:c>
      <x:c r="J361" s="141" t="n">
        <x:f>IF(E361-F361&gt;0,MIN(E361-F361,P361),0)</x:f>
        <x:v>0</x:v>
      </x:c>
      <x:c r="K361" s="141" t="n">
        <x:f>I361+J361</x:f>
        <x:v>0</x:v>
      </x:c>
      <x:c r="L361" s="141" t="n">
        <x:f>MAX(0,E361-F361-J361)</x:f>
        <x:v>0</x:v>
      </x:c>
      <x:c r="M361" s="141" t="n">
        <x:f>SUM($K$6:K361)</x:f>
        <x:v>185795.9624076597</x:v>
      </x:c>
      <x:c r="N361" s="140" t="str">
        <x:f>IF(C361=0,"Encerrado",IF(L361=0,"Quitado","Aberto"))</x:f>
        <x:v>Encerrado</x:v>
      </x:c>
      <x:c r="O361" s="141" t="n">
        <x:f>IF(C361&gt;0,Premissas!$B$35,0)</x:f>
        <x:v>0</x:v>
      </x:c>
      <x:c r="P361" s="141" t="n">
        <x:f>IF(C361&gt;0,MAX(0,O361-I361),0)</x:f>
        <x:v>0</x:v>
      </x:c>
      <x:c r="Q361" s="141" t="n">
        <x:f>J361-IF(E361-F361&gt;0,MIN(E361-F361,P361),0)</x:f>
        <x:v>0</x:v>
      </x:c>
    </x:row>
    <x:row r="362">
      <x:c r="A362" s="142" t="n">
        <x:v>357</x:v>
      </x:c>
      <x:c r="B362" s="179" t="n">
        <x:f>EDATE(Premissas!$B$4,356)</x:f>
        <x:v>57377</x:v>
      </x:c>
      <x:c r="C362" s="141" t="n">
        <x:f>L361</x:f>
        <x:v>0</x:v>
      </x:c>
      <x:c r="D362" s="141" t="n">
        <x:f>IF(C362&gt;0,C362*Premissas!$B$17,0)</x:f>
        <x:v>0</x:v>
      </x:c>
      <x:c r="E362" s="141" t="n">
        <x:f>C362+D362</x:f>
        <x:v>0</x:v>
      </x:c>
      <x:c r="F362" s="141" t="n">
        <x:f>IF(E362&gt;0,MIN(E362,INDEX(Financiamento!$G$6:$G$485,A362)),0)</x:f>
        <x:v>0</x:v>
      </x:c>
      <x:c r="G362" s="141" t="n">
        <x:f>IF(E362&gt;0,E362*Premissas!$B$15,0)</x:f>
        <x:v>0</x:v>
      </x:c>
      <x:c r="H362" s="141" t="n">
        <x:f>IF(E362&gt;0,Premissas!$B$18,0)</x:f>
        <x:v>0</x:v>
      </x:c>
      <x:c r="I362" s="141" t="n">
        <x:f>F362+G362+H362</x:f>
        <x:v>0</x:v>
      </x:c>
      <x:c r="J362" s="141" t="n">
        <x:f>IF(E362-F362&gt;0,MIN(E362-F362,P362),0)</x:f>
        <x:v>0</x:v>
      </x:c>
      <x:c r="K362" s="141" t="n">
        <x:f>I362+J362</x:f>
        <x:v>0</x:v>
      </x:c>
      <x:c r="L362" s="141" t="n">
        <x:f>MAX(0,E362-F362-J362)</x:f>
        <x:v>0</x:v>
      </x:c>
      <x:c r="M362" s="141" t="n">
        <x:f>SUM($K$6:K362)</x:f>
        <x:v>185795.9624076597</x:v>
      </x:c>
      <x:c r="N362" s="140" t="str">
        <x:f>IF(C362=0,"Encerrado",IF(L362=0,"Quitado","Aberto"))</x:f>
        <x:v>Encerrado</x:v>
      </x:c>
      <x:c r="O362" s="141" t="n">
        <x:f>IF(C362&gt;0,Premissas!$B$35,0)</x:f>
        <x:v>0</x:v>
      </x:c>
      <x:c r="P362" s="141" t="n">
        <x:f>IF(C362&gt;0,MAX(0,O362-I362),0)</x:f>
        <x:v>0</x:v>
      </x:c>
      <x:c r="Q362" s="141" t="n">
        <x:f>J362-IF(E362-F362&gt;0,MIN(E362-F362,P362),0)</x:f>
        <x:v>0</x:v>
      </x:c>
    </x:row>
    <x:row r="363">
      <x:c r="A363" s="142" t="n">
        <x:v>358</x:v>
      </x:c>
      <x:c r="B363" s="179" t="n">
        <x:f>EDATE(Premissas!$B$4,357)</x:f>
        <x:v>57405</x:v>
      </x:c>
      <x:c r="C363" s="141" t="n">
        <x:f>L362</x:f>
        <x:v>0</x:v>
      </x:c>
      <x:c r="D363" s="141" t="n">
        <x:f>IF(C363&gt;0,C363*Premissas!$B$17,0)</x:f>
        <x:v>0</x:v>
      </x:c>
      <x:c r="E363" s="141" t="n">
        <x:f>C363+D363</x:f>
        <x:v>0</x:v>
      </x:c>
      <x:c r="F363" s="141" t="n">
        <x:f>IF(E363&gt;0,MIN(E363,INDEX(Financiamento!$G$6:$G$485,A363)),0)</x:f>
        <x:v>0</x:v>
      </x:c>
      <x:c r="G363" s="141" t="n">
        <x:f>IF(E363&gt;0,E363*Premissas!$B$15,0)</x:f>
        <x:v>0</x:v>
      </x:c>
      <x:c r="H363" s="141" t="n">
        <x:f>IF(E363&gt;0,Premissas!$B$18,0)</x:f>
        <x:v>0</x:v>
      </x:c>
      <x:c r="I363" s="141" t="n">
        <x:f>F363+G363+H363</x:f>
        <x:v>0</x:v>
      </x:c>
      <x:c r="J363" s="141" t="n">
        <x:f>IF(E363-F363&gt;0,MIN(E363-F363,P363),0)</x:f>
        <x:v>0</x:v>
      </x:c>
      <x:c r="K363" s="141" t="n">
        <x:f>I363+J363</x:f>
        <x:v>0</x:v>
      </x:c>
      <x:c r="L363" s="141" t="n">
        <x:f>MAX(0,E363-F363-J363)</x:f>
        <x:v>0</x:v>
      </x:c>
      <x:c r="M363" s="141" t="n">
        <x:f>SUM($K$6:K363)</x:f>
        <x:v>185795.9624076597</x:v>
      </x:c>
      <x:c r="N363" s="140" t="str">
        <x:f>IF(C363=0,"Encerrado",IF(L363=0,"Quitado","Aberto"))</x:f>
        <x:v>Encerrado</x:v>
      </x:c>
      <x:c r="O363" s="141" t="n">
        <x:f>IF(C363&gt;0,Premissas!$B$35,0)</x:f>
        <x:v>0</x:v>
      </x:c>
      <x:c r="P363" s="141" t="n">
        <x:f>IF(C363&gt;0,MAX(0,O363-I363),0)</x:f>
        <x:v>0</x:v>
      </x:c>
      <x:c r="Q363" s="141" t="n">
        <x:f>J363-IF(E363-F363&gt;0,MIN(E363-F363,P363),0)</x:f>
        <x:v>0</x:v>
      </x:c>
    </x:row>
    <x:row r="364">
      <x:c r="A364" s="142" t="n">
        <x:v>359</x:v>
      </x:c>
      <x:c r="B364" s="179" t="n">
        <x:f>EDATE(Premissas!$B$4,358)</x:f>
        <x:v>57436</x:v>
      </x:c>
      <x:c r="C364" s="141" t="n">
        <x:f>L363</x:f>
        <x:v>0</x:v>
      </x:c>
      <x:c r="D364" s="141" t="n">
        <x:f>IF(C364&gt;0,C364*Premissas!$B$17,0)</x:f>
        <x:v>0</x:v>
      </x:c>
      <x:c r="E364" s="141" t="n">
        <x:f>C364+D364</x:f>
        <x:v>0</x:v>
      </x:c>
      <x:c r="F364" s="141" t="n">
        <x:f>IF(E364&gt;0,MIN(E364,INDEX(Financiamento!$G$6:$G$485,A364)),0)</x:f>
        <x:v>0</x:v>
      </x:c>
      <x:c r="G364" s="141" t="n">
        <x:f>IF(E364&gt;0,E364*Premissas!$B$15,0)</x:f>
        <x:v>0</x:v>
      </x:c>
      <x:c r="H364" s="141" t="n">
        <x:f>IF(E364&gt;0,Premissas!$B$18,0)</x:f>
        <x:v>0</x:v>
      </x:c>
      <x:c r="I364" s="141" t="n">
        <x:f>F364+G364+H364</x:f>
        <x:v>0</x:v>
      </x:c>
      <x:c r="J364" s="141" t="n">
        <x:f>IF(E364-F364&gt;0,MIN(E364-F364,P364),0)</x:f>
        <x:v>0</x:v>
      </x:c>
      <x:c r="K364" s="141" t="n">
        <x:f>I364+J364</x:f>
        <x:v>0</x:v>
      </x:c>
      <x:c r="L364" s="141" t="n">
        <x:f>MAX(0,E364-F364-J364)</x:f>
        <x:v>0</x:v>
      </x:c>
      <x:c r="M364" s="141" t="n">
        <x:f>SUM($K$6:K364)</x:f>
        <x:v>185795.9624076597</x:v>
      </x:c>
      <x:c r="N364" s="140" t="str">
        <x:f>IF(C364=0,"Encerrado",IF(L364=0,"Quitado","Aberto"))</x:f>
        <x:v>Encerrado</x:v>
      </x:c>
      <x:c r="O364" s="141" t="n">
        <x:f>IF(C364&gt;0,Premissas!$B$35,0)</x:f>
        <x:v>0</x:v>
      </x:c>
      <x:c r="P364" s="141" t="n">
        <x:f>IF(C364&gt;0,MAX(0,O364-I364),0)</x:f>
        <x:v>0</x:v>
      </x:c>
      <x:c r="Q364" s="141" t="n">
        <x:f>J364-IF(E364-F364&gt;0,MIN(E364-F364,P364),0)</x:f>
        <x:v>0</x:v>
      </x:c>
    </x:row>
    <x:row r="365">
      <x:c r="A365" s="142" t="n">
        <x:v>360</x:v>
      </x:c>
      <x:c r="B365" s="179" t="n">
        <x:f>EDATE(Premissas!$B$4,359)</x:f>
        <x:v>57466</x:v>
      </x:c>
      <x:c r="C365" s="141" t="n">
        <x:f>L364</x:f>
        <x:v>0</x:v>
      </x:c>
      <x:c r="D365" s="141" t="n">
        <x:f>IF(C365&gt;0,C365*Premissas!$B$17,0)</x:f>
        <x:v>0</x:v>
      </x:c>
      <x:c r="E365" s="141" t="n">
        <x:f>C365+D365</x:f>
        <x:v>0</x:v>
      </x:c>
      <x:c r="F365" s="141" t="n">
        <x:f>IF(E365&gt;0,MIN(E365,INDEX(Financiamento!$G$6:$G$485,A365)),0)</x:f>
        <x:v>0</x:v>
      </x:c>
      <x:c r="G365" s="141" t="n">
        <x:f>IF(E365&gt;0,E365*Premissas!$B$15,0)</x:f>
        <x:v>0</x:v>
      </x:c>
      <x:c r="H365" s="141" t="n">
        <x:f>IF(E365&gt;0,Premissas!$B$18,0)</x:f>
        <x:v>0</x:v>
      </x:c>
      <x:c r="I365" s="141" t="n">
        <x:f>F365+G365+H365</x:f>
        <x:v>0</x:v>
      </x:c>
      <x:c r="J365" s="141" t="n">
        <x:f>IF(E365-F365&gt;0,MIN(E365-F365,P365),0)</x:f>
        <x:v>0</x:v>
      </x:c>
      <x:c r="K365" s="141" t="n">
        <x:f>I365+J365</x:f>
        <x:v>0</x:v>
      </x:c>
      <x:c r="L365" s="141" t="n">
        <x:f>MAX(0,E365-F365-J365)</x:f>
        <x:v>0</x:v>
      </x:c>
      <x:c r="M365" s="141" t="n">
        <x:f>SUM($K$6:K365)</x:f>
        <x:v>185795.9624076597</x:v>
      </x:c>
      <x:c r="N365" s="140" t="str">
        <x:f>IF(C365=0,"Encerrado",IF(L365=0,"Quitado","Aberto"))</x:f>
        <x:v>Encerrado</x:v>
      </x:c>
      <x:c r="O365" s="141" t="n">
        <x:f>IF(C365&gt;0,Premissas!$B$35,0)</x:f>
        <x:v>0</x:v>
      </x:c>
      <x:c r="P365" s="141" t="n">
        <x:f>IF(C365&gt;0,MAX(0,O365-I365),0)</x:f>
        <x:v>0</x:v>
      </x:c>
      <x:c r="Q365" s="141" t="n">
        <x:f>J365-IF(E365-F365&gt;0,MIN(E365-F365,P365),0)</x:f>
        <x:v>0</x:v>
      </x:c>
    </x:row>
    <x:row r="366">
      <x:c r="A366" s="142" t="n">
        <x:v>361</x:v>
      </x:c>
      <x:c r="B366" s="179" t="n">
        <x:f>EDATE(Premissas!$B$4,360)</x:f>
        <x:v>57497</x:v>
      </x:c>
      <x:c r="C366" s="141" t="n">
        <x:f>L365</x:f>
        <x:v>0</x:v>
      </x:c>
      <x:c r="D366" s="141" t="n">
        <x:f>IF(C366&gt;0,C366*Premissas!$B$17,0)</x:f>
        <x:v>0</x:v>
      </x:c>
      <x:c r="E366" s="141" t="n">
        <x:f>C366+D366</x:f>
        <x:v>0</x:v>
      </x:c>
      <x:c r="F366" s="141" t="n">
        <x:f>IF(E366&gt;0,MIN(E366,INDEX(Financiamento!$G$6:$G$485,A366)),0)</x:f>
        <x:v>0</x:v>
      </x:c>
      <x:c r="G366" s="141" t="n">
        <x:f>IF(E366&gt;0,E366*Premissas!$B$15,0)</x:f>
        <x:v>0</x:v>
      </x:c>
      <x:c r="H366" s="141" t="n">
        <x:f>IF(E366&gt;0,Premissas!$B$18,0)</x:f>
        <x:v>0</x:v>
      </x:c>
      <x:c r="I366" s="141" t="n">
        <x:f>F366+G366+H366</x:f>
        <x:v>0</x:v>
      </x:c>
      <x:c r="J366" s="141" t="n">
        <x:f>IF(E366-F366&gt;0,MIN(E366-F366,P366),0)</x:f>
        <x:v>0</x:v>
      </x:c>
      <x:c r="K366" s="141" t="n">
        <x:f>I366+J366</x:f>
        <x:v>0</x:v>
      </x:c>
      <x:c r="L366" s="141" t="n">
        <x:f>MAX(0,E366-F366-J366)</x:f>
        <x:v>0</x:v>
      </x:c>
      <x:c r="M366" s="141" t="n">
        <x:f>SUM($K$6:K366)</x:f>
        <x:v>185795.9624076597</x:v>
      </x:c>
      <x:c r="N366" s="140" t="str">
        <x:f>IF(C366=0,"Encerrado",IF(L366=0,"Quitado","Aberto"))</x:f>
        <x:v>Encerrado</x:v>
      </x:c>
      <x:c r="O366" s="141" t="n">
        <x:f>IF(C366&gt;0,Premissas!$B$35,0)</x:f>
        <x:v>0</x:v>
      </x:c>
      <x:c r="P366" s="141" t="n">
        <x:f>IF(C366&gt;0,MAX(0,O366-I366),0)</x:f>
        <x:v>0</x:v>
      </x:c>
      <x:c r="Q366" s="141" t="n">
        <x:f>J366-IF(E366-F366&gt;0,MIN(E366-F366,P366),0)</x:f>
        <x:v>0</x:v>
      </x:c>
    </x:row>
    <x:row r="367">
      <x:c r="A367" s="142" t="n">
        <x:v>362</x:v>
      </x:c>
      <x:c r="B367" s="179" t="n">
        <x:f>EDATE(Premissas!$B$4,361)</x:f>
        <x:v>57527</x:v>
      </x:c>
      <x:c r="C367" s="141" t="n">
        <x:f>L366</x:f>
        <x:v>0</x:v>
      </x:c>
      <x:c r="D367" s="141" t="n">
        <x:f>IF(C367&gt;0,C367*Premissas!$B$17,0)</x:f>
        <x:v>0</x:v>
      </x:c>
      <x:c r="E367" s="141" t="n">
        <x:f>C367+D367</x:f>
        <x:v>0</x:v>
      </x:c>
      <x:c r="F367" s="141" t="n">
        <x:f>IF(E367&gt;0,MIN(E367,INDEX(Financiamento!$G$6:$G$485,A367)),0)</x:f>
        <x:v>0</x:v>
      </x:c>
      <x:c r="G367" s="141" t="n">
        <x:f>IF(E367&gt;0,E367*Premissas!$B$15,0)</x:f>
        <x:v>0</x:v>
      </x:c>
      <x:c r="H367" s="141" t="n">
        <x:f>IF(E367&gt;0,Premissas!$B$18,0)</x:f>
        <x:v>0</x:v>
      </x:c>
      <x:c r="I367" s="141" t="n">
        <x:f>F367+G367+H367</x:f>
        <x:v>0</x:v>
      </x:c>
      <x:c r="J367" s="141" t="n">
        <x:f>IF(E367-F367&gt;0,MIN(E367-F367,P367),0)</x:f>
        <x:v>0</x:v>
      </x:c>
      <x:c r="K367" s="141" t="n">
        <x:f>I367+J367</x:f>
        <x:v>0</x:v>
      </x:c>
      <x:c r="L367" s="141" t="n">
        <x:f>MAX(0,E367-F367-J367)</x:f>
        <x:v>0</x:v>
      </x:c>
      <x:c r="M367" s="141" t="n">
        <x:f>SUM($K$6:K367)</x:f>
        <x:v>185795.9624076597</x:v>
      </x:c>
      <x:c r="N367" s="140" t="str">
        <x:f>IF(C367=0,"Encerrado",IF(L367=0,"Quitado","Aberto"))</x:f>
        <x:v>Encerrado</x:v>
      </x:c>
      <x:c r="O367" s="141" t="n">
        <x:f>IF(C367&gt;0,Premissas!$B$35,0)</x:f>
        <x:v>0</x:v>
      </x:c>
      <x:c r="P367" s="141" t="n">
        <x:f>IF(C367&gt;0,MAX(0,O367-I367),0)</x:f>
        <x:v>0</x:v>
      </x:c>
      <x:c r="Q367" s="141" t="n">
        <x:f>J367-IF(E367-F367&gt;0,MIN(E367-F367,P367),0)</x:f>
        <x:v>0</x:v>
      </x:c>
    </x:row>
    <x:row r="368">
      <x:c r="A368" s="142" t="n">
        <x:v>363</x:v>
      </x:c>
      <x:c r="B368" s="179" t="n">
        <x:f>EDATE(Premissas!$B$4,362)</x:f>
        <x:v>57558</x:v>
      </x:c>
      <x:c r="C368" s="141" t="n">
        <x:f>L367</x:f>
        <x:v>0</x:v>
      </x:c>
      <x:c r="D368" s="141" t="n">
        <x:f>IF(C368&gt;0,C368*Premissas!$B$17,0)</x:f>
        <x:v>0</x:v>
      </x:c>
      <x:c r="E368" s="141" t="n">
        <x:f>C368+D368</x:f>
        <x:v>0</x:v>
      </x:c>
      <x:c r="F368" s="141" t="n">
        <x:f>IF(E368&gt;0,MIN(E368,INDEX(Financiamento!$G$6:$G$485,A368)),0)</x:f>
        <x:v>0</x:v>
      </x:c>
      <x:c r="G368" s="141" t="n">
        <x:f>IF(E368&gt;0,E368*Premissas!$B$15,0)</x:f>
        <x:v>0</x:v>
      </x:c>
      <x:c r="H368" s="141" t="n">
        <x:f>IF(E368&gt;0,Premissas!$B$18,0)</x:f>
        <x:v>0</x:v>
      </x:c>
      <x:c r="I368" s="141" t="n">
        <x:f>F368+G368+H368</x:f>
        <x:v>0</x:v>
      </x:c>
      <x:c r="J368" s="141" t="n">
        <x:f>IF(E368-F368&gt;0,MIN(E368-F368,P368),0)</x:f>
        <x:v>0</x:v>
      </x:c>
      <x:c r="K368" s="141" t="n">
        <x:f>I368+J368</x:f>
        <x:v>0</x:v>
      </x:c>
      <x:c r="L368" s="141" t="n">
        <x:f>MAX(0,E368-F368-J368)</x:f>
        <x:v>0</x:v>
      </x:c>
      <x:c r="M368" s="141" t="n">
        <x:f>SUM($K$6:K368)</x:f>
        <x:v>185795.9624076597</x:v>
      </x:c>
      <x:c r="N368" s="140" t="str">
        <x:f>IF(C368=0,"Encerrado",IF(L368=0,"Quitado","Aberto"))</x:f>
        <x:v>Encerrado</x:v>
      </x:c>
      <x:c r="O368" s="141" t="n">
        <x:f>IF(C368&gt;0,Premissas!$B$35,0)</x:f>
        <x:v>0</x:v>
      </x:c>
      <x:c r="P368" s="141" t="n">
        <x:f>IF(C368&gt;0,MAX(0,O368-I368),0)</x:f>
        <x:v>0</x:v>
      </x:c>
      <x:c r="Q368" s="141" t="n">
        <x:f>J368-IF(E368-F368&gt;0,MIN(E368-F368,P368),0)</x:f>
        <x:v>0</x:v>
      </x:c>
    </x:row>
    <x:row r="369">
      <x:c r="A369" s="142" t="n">
        <x:v>364</x:v>
      </x:c>
      <x:c r="B369" s="179" t="n">
        <x:f>EDATE(Premissas!$B$4,363)</x:f>
        <x:v>57589</x:v>
      </x:c>
      <x:c r="C369" s="141" t="n">
        <x:f>L368</x:f>
        <x:v>0</x:v>
      </x:c>
      <x:c r="D369" s="141" t="n">
        <x:f>IF(C369&gt;0,C369*Premissas!$B$17,0)</x:f>
        <x:v>0</x:v>
      </x:c>
      <x:c r="E369" s="141" t="n">
        <x:f>C369+D369</x:f>
        <x:v>0</x:v>
      </x:c>
      <x:c r="F369" s="141" t="n">
        <x:f>IF(E369&gt;0,MIN(E369,INDEX(Financiamento!$G$6:$G$485,A369)),0)</x:f>
        <x:v>0</x:v>
      </x:c>
      <x:c r="G369" s="141" t="n">
        <x:f>IF(E369&gt;0,E369*Premissas!$B$15,0)</x:f>
        <x:v>0</x:v>
      </x:c>
      <x:c r="H369" s="141" t="n">
        <x:f>IF(E369&gt;0,Premissas!$B$18,0)</x:f>
        <x:v>0</x:v>
      </x:c>
      <x:c r="I369" s="141" t="n">
        <x:f>F369+G369+H369</x:f>
        <x:v>0</x:v>
      </x:c>
      <x:c r="J369" s="141" t="n">
        <x:f>IF(E369-F369&gt;0,MIN(E369-F369,P369),0)</x:f>
        <x:v>0</x:v>
      </x:c>
      <x:c r="K369" s="141" t="n">
        <x:f>I369+J369</x:f>
        <x:v>0</x:v>
      </x:c>
      <x:c r="L369" s="141" t="n">
        <x:f>MAX(0,E369-F369-J369)</x:f>
        <x:v>0</x:v>
      </x:c>
      <x:c r="M369" s="141" t="n">
        <x:f>SUM($K$6:K369)</x:f>
        <x:v>185795.9624076597</x:v>
      </x:c>
      <x:c r="N369" s="140" t="str">
        <x:f>IF(C369=0,"Encerrado",IF(L369=0,"Quitado","Aberto"))</x:f>
        <x:v>Encerrado</x:v>
      </x:c>
      <x:c r="O369" s="141" t="n">
        <x:f>IF(C369&gt;0,Premissas!$B$35,0)</x:f>
        <x:v>0</x:v>
      </x:c>
      <x:c r="P369" s="141" t="n">
        <x:f>IF(C369&gt;0,MAX(0,O369-I369),0)</x:f>
        <x:v>0</x:v>
      </x:c>
      <x:c r="Q369" s="141" t="n">
        <x:f>J369-IF(E369-F369&gt;0,MIN(E369-F369,P369),0)</x:f>
        <x:v>0</x:v>
      </x:c>
    </x:row>
    <x:row r="370">
      <x:c r="A370" s="142" t="n">
        <x:v>365</x:v>
      </x:c>
      <x:c r="B370" s="179" t="n">
        <x:f>EDATE(Premissas!$B$4,364)</x:f>
        <x:v>57619</x:v>
      </x:c>
      <x:c r="C370" s="141" t="n">
        <x:f>L369</x:f>
        <x:v>0</x:v>
      </x:c>
      <x:c r="D370" s="141" t="n">
        <x:f>IF(C370&gt;0,C370*Premissas!$B$17,0)</x:f>
        <x:v>0</x:v>
      </x:c>
      <x:c r="E370" s="141" t="n">
        <x:f>C370+D370</x:f>
        <x:v>0</x:v>
      </x:c>
      <x:c r="F370" s="141" t="n">
        <x:f>IF(E370&gt;0,MIN(E370,INDEX(Financiamento!$G$6:$G$485,A370)),0)</x:f>
        <x:v>0</x:v>
      </x:c>
      <x:c r="G370" s="141" t="n">
        <x:f>IF(E370&gt;0,E370*Premissas!$B$15,0)</x:f>
        <x:v>0</x:v>
      </x:c>
      <x:c r="H370" s="141" t="n">
        <x:f>IF(E370&gt;0,Premissas!$B$18,0)</x:f>
        <x:v>0</x:v>
      </x:c>
      <x:c r="I370" s="141" t="n">
        <x:f>F370+G370+H370</x:f>
        <x:v>0</x:v>
      </x:c>
      <x:c r="J370" s="141" t="n">
        <x:f>IF(E370-F370&gt;0,MIN(E370-F370,P370),0)</x:f>
        <x:v>0</x:v>
      </x:c>
      <x:c r="K370" s="141" t="n">
        <x:f>I370+J370</x:f>
        <x:v>0</x:v>
      </x:c>
      <x:c r="L370" s="141" t="n">
        <x:f>MAX(0,E370-F370-J370)</x:f>
        <x:v>0</x:v>
      </x:c>
      <x:c r="M370" s="141" t="n">
        <x:f>SUM($K$6:K370)</x:f>
        <x:v>185795.9624076597</x:v>
      </x:c>
      <x:c r="N370" s="140" t="str">
        <x:f>IF(C370=0,"Encerrado",IF(L370=0,"Quitado","Aberto"))</x:f>
        <x:v>Encerrado</x:v>
      </x:c>
      <x:c r="O370" s="141" t="n">
        <x:f>IF(C370&gt;0,Premissas!$B$35,0)</x:f>
        <x:v>0</x:v>
      </x:c>
      <x:c r="P370" s="141" t="n">
        <x:f>IF(C370&gt;0,MAX(0,O370-I370),0)</x:f>
        <x:v>0</x:v>
      </x:c>
      <x:c r="Q370" s="141" t="n">
        <x:f>J370-IF(E370-F370&gt;0,MIN(E370-F370,P370),0)</x:f>
        <x:v>0</x:v>
      </x:c>
    </x:row>
    <x:row r="371">
      <x:c r="A371" s="142" t="n">
        <x:v>366</x:v>
      </x:c>
      <x:c r="B371" s="179" t="n">
        <x:f>EDATE(Premissas!$B$4,365)</x:f>
        <x:v>57650</x:v>
      </x:c>
      <x:c r="C371" s="141" t="n">
        <x:f>L370</x:f>
        <x:v>0</x:v>
      </x:c>
      <x:c r="D371" s="141" t="n">
        <x:f>IF(C371&gt;0,C371*Premissas!$B$17,0)</x:f>
        <x:v>0</x:v>
      </x:c>
      <x:c r="E371" s="141" t="n">
        <x:f>C371+D371</x:f>
        <x:v>0</x:v>
      </x:c>
      <x:c r="F371" s="141" t="n">
        <x:f>IF(E371&gt;0,MIN(E371,INDEX(Financiamento!$G$6:$G$485,A371)),0)</x:f>
        <x:v>0</x:v>
      </x:c>
      <x:c r="G371" s="141" t="n">
        <x:f>IF(E371&gt;0,E371*Premissas!$B$15,0)</x:f>
        <x:v>0</x:v>
      </x:c>
      <x:c r="H371" s="141" t="n">
        <x:f>IF(E371&gt;0,Premissas!$B$18,0)</x:f>
        <x:v>0</x:v>
      </x:c>
      <x:c r="I371" s="141" t="n">
        <x:f>F371+G371+H371</x:f>
        <x:v>0</x:v>
      </x:c>
      <x:c r="J371" s="141" t="n">
        <x:f>IF(E371-F371&gt;0,MIN(E371-F371,P371),0)</x:f>
        <x:v>0</x:v>
      </x:c>
      <x:c r="K371" s="141" t="n">
        <x:f>I371+J371</x:f>
        <x:v>0</x:v>
      </x:c>
      <x:c r="L371" s="141" t="n">
        <x:f>MAX(0,E371-F371-J371)</x:f>
        <x:v>0</x:v>
      </x:c>
      <x:c r="M371" s="141" t="n">
        <x:f>SUM($K$6:K371)</x:f>
        <x:v>185795.9624076597</x:v>
      </x:c>
      <x:c r="N371" s="140" t="str">
        <x:f>IF(C371=0,"Encerrado",IF(L371=0,"Quitado","Aberto"))</x:f>
        <x:v>Encerrado</x:v>
      </x:c>
      <x:c r="O371" s="141" t="n">
        <x:f>IF(C371&gt;0,Premissas!$B$35,0)</x:f>
        <x:v>0</x:v>
      </x:c>
      <x:c r="P371" s="141" t="n">
        <x:f>IF(C371&gt;0,MAX(0,O371-I371),0)</x:f>
        <x:v>0</x:v>
      </x:c>
      <x:c r="Q371" s="141" t="n">
        <x:f>J371-IF(E371-F371&gt;0,MIN(E371-F371,P371),0)</x:f>
        <x:v>0</x:v>
      </x:c>
    </x:row>
    <x:row r="372">
      <x:c r="A372" s="142" t="n">
        <x:v>367</x:v>
      </x:c>
      <x:c r="B372" s="179" t="n">
        <x:f>EDATE(Premissas!$B$4,366)</x:f>
        <x:v>57680</x:v>
      </x:c>
      <x:c r="C372" s="141" t="n">
        <x:f>L371</x:f>
        <x:v>0</x:v>
      </x:c>
      <x:c r="D372" s="141" t="n">
        <x:f>IF(C372&gt;0,C372*Premissas!$B$17,0)</x:f>
        <x:v>0</x:v>
      </x:c>
      <x:c r="E372" s="141" t="n">
        <x:f>C372+D372</x:f>
        <x:v>0</x:v>
      </x:c>
      <x:c r="F372" s="141" t="n">
        <x:f>IF(E372&gt;0,MIN(E372,INDEX(Financiamento!$G$6:$G$485,A372)),0)</x:f>
        <x:v>0</x:v>
      </x:c>
      <x:c r="G372" s="141" t="n">
        <x:f>IF(E372&gt;0,E372*Premissas!$B$15,0)</x:f>
        <x:v>0</x:v>
      </x:c>
      <x:c r="H372" s="141" t="n">
        <x:f>IF(E372&gt;0,Premissas!$B$18,0)</x:f>
        <x:v>0</x:v>
      </x:c>
      <x:c r="I372" s="141" t="n">
        <x:f>F372+G372+H372</x:f>
        <x:v>0</x:v>
      </x:c>
      <x:c r="J372" s="141" t="n">
        <x:f>IF(E372-F372&gt;0,MIN(E372-F372,P372),0)</x:f>
        <x:v>0</x:v>
      </x:c>
      <x:c r="K372" s="141" t="n">
        <x:f>I372+J372</x:f>
        <x:v>0</x:v>
      </x:c>
      <x:c r="L372" s="141" t="n">
        <x:f>MAX(0,E372-F372-J372)</x:f>
        <x:v>0</x:v>
      </x:c>
      <x:c r="M372" s="141" t="n">
        <x:f>SUM($K$6:K372)</x:f>
        <x:v>185795.9624076597</x:v>
      </x:c>
      <x:c r="N372" s="140" t="str">
        <x:f>IF(C372=0,"Encerrado",IF(L372=0,"Quitado","Aberto"))</x:f>
        <x:v>Encerrado</x:v>
      </x:c>
      <x:c r="O372" s="141" t="n">
        <x:f>IF(C372&gt;0,Premissas!$B$35,0)</x:f>
        <x:v>0</x:v>
      </x:c>
      <x:c r="P372" s="141" t="n">
        <x:f>IF(C372&gt;0,MAX(0,O372-I372),0)</x:f>
        <x:v>0</x:v>
      </x:c>
      <x:c r="Q372" s="141" t="n">
        <x:f>J372-IF(E372-F372&gt;0,MIN(E372-F372,P372),0)</x:f>
        <x:v>0</x:v>
      </x:c>
    </x:row>
    <x:row r="373">
      <x:c r="A373" s="142" t="n">
        <x:v>368</x:v>
      </x:c>
      <x:c r="B373" s="179" t="n">
        <x:f>EDATE(Premissas!$B$4,367)</x:f>
        <x:v>57711</x:v>
      </x:c>
      <x:c r="C373" s="141" t="n">
        <x:f>L372</x:f>
        <x:v>0</x:v>
      </x:c>
      <x:c r="D373" s="141" t="n">
        <x:f>IF(C373&gt;0,C373*Premissas!$B$17,0)</x:f>
        <x:v>0</x:v>
      </x:c>
      <x:c r="E373" s="141" t="n">
        <x:f>C373+D373</x:f>
        <x:v>0</x:v>
      </x:c>
      <x:c r="F373" s="141" t="n">
        <x:f>IF(E373&gt;0,MIN(E373,INDEX(Financiamento!$G$6:$G$485,A373)),0)</x:f>
        <x:v>0</x:v>
      </x:c>
      <x:c r="G373" s="141" t="n">
        <x:f>IF(E373&gt;0,E373*Premissas!$B$15,0)</x:f>
        <x:v>0</x:v>
      </x:c>
      <x:c r="H373" s="141" t="n">
        <x:f>IF(E373&gt;0,Premissas!$B$18,0)</x:f>
        <x:v>0</x:v>
      </x:c>
      <x:c r="I373" s="141" t="n">
        <x:f>F373+G373+H373</x:f>
        <x:v>0</x:v>
      </x:c>
      <x:c r="J373" s="141" t="n">
        <x:f>IF(E373-F373&gt;0,MIN(E373-F373,P373),0)</x:f>
        <x:v>0</x:v>
      </x:c>
      <x:c r="K373" s="141" t="n">
        <x:f>I373+J373</x:f>
        <x:v>0</x:v>
      </x:c>
      <x:c r="L373" s="141" t="n">
        <x:f>MAX(0,E373-F373-J373)</x:f>
        <x:v>0</x:v>
      </x:c>
      <x:c r="M373" s="141" t="n">
        <x:f>SUM($K$6:K373)</x:f>
        <x:v>185795.9624076597</x:v>
      </x:c>
      <x:c r="N373" s="140" t="str">
        <x:f>IF(C373=0,"Encerrado",IF(L373=0,"Quitado","Aberto"))</x:f>
        <x:v>Encerrado</x:v>
      </x:c>
      <x:c r="O373" s="141" t="n">
        <x:f>IF(C373&gt;0,Premissas!$B$35,0)</x:f>
        <x:v>0</x:v>
      </x:c>
      <x:c r="P373" s="141" t="n">
        <x:f>IF(C373&gt;0,MAX(0,O373-I373),0)</x:f>
        <x:v>0</x:v>
      </x:c>
      <x:c r="Q373" s="141" t="n">
        <x:f>J373-IF(E373-F373&gt;0,MIN(E373-F373,P373),0)</x:f>
        <x:v>0</x:v>
      </x:c>
    </x:row>
    <x:row r="374">
      <x:c r="A374" s="142" t="n">
        <x:v>369</x:v>
      </x:c>
      <x:c r="B374" s="179" t="n">
        <x:f>EDATE(Premissas!$B$4,368)</x:f>
        <x:v>57742</x:v>
      </x:c>
      <x:c r="C374" s="141" t="n">
        <x:f>L373</x:f>
        <x:v>0</x:v>
      </x:c>
      <x:c r="D374" s="141" t="n">
        <x:f>IF(C374&gt;0,C374*Premissas!$B$17,0)</x:f>
        <x:v>0</x:v>
      </x:c>
      <x:c r="E374" s="141" t="n">
        <x:f>C374+D374</x:f>
        <x:v>0</x:v>
      </x:c>
      <x:c r="F374" s="141" t="n">
        <x:f>IF(E374&gt;0,MIN(E374,INDEX(Financiamento!$G$6:$G$485,A374)),0)</x:f>
        <x:v>0</x:v>
      </x:c>
      <x:c r="G374" s="141" t="n">
        <x:f>IF(E374&gt;0,E374*Premissas!$B$15,0)</x:f>
        <x:v>0</x:v>
      </x:c>
      <x:c r="H374" s="141" t="n">
        <x:f>IF(E374&gt;0,Premissas!$B$18,0)</x:f>
        <x:v>0</x:v>
      </x:c>
      <x:c r="I374" s="141" t="n">
        <x:f>F374+G374+H374</x:f>
        <x:v>0</x:v>
      </x:c>
      <x:c r="J374" s="141" t="n">
        <x:f>IF(E374-F374&gt;0,MIN(E374-F374,P374),0)</x:f>
        <x:v>0</x:v>
      </x:c>
      <x:c r="K374" s="141" t="n">
        <x:f>I374+J374</x:f>
        <x:v>0</x:v>
      </x:c>
      <x:c r="L374" s="141" t="n">
        <x:f>MAX(0,E374-F374-J374)</x:f>
        <x:v>0</x:v>
      </x:c>
      <x:c r="M374" s="141" t="n">
        <x:f>SUM($K$6:K374)</x:f>
        <x:v>185795.9624076597</x:v>
      </x:c>
      <x:c r="N374" s="140" t="str">
        <x:f>IF(C374=0,"Encerrado",IF(L374=0,"Quitado","Aberto"))</x:f>
        <x:v>Encerrado</x:v>
      </x:c>
      <x:c r="O374" s="141" t="n">
        <x:f>IF(C374&gt;0,Premissas!$B$35,0)</x:f>
        <x:v>0</x:v>
      </x:c>
      <x:c r="P374" s="141" t="n">
        <x:f>IF(C374&gt;0,MAX(0,O374-I374),0)</x:f>
        <x:v>0</x:v>
      </x:c>
      <x:c r="Q374" s="141" t="n">
        <x:f>J374-IF(E374-F374&gt;0,MIN(E374-F374,P374),0)</x:f>
        <x:v>0</x:v>
      </x:c>
    </x:row>
    <x:row r="375">
      <x:c r="A375" s="142" t="n">
        <x:v>370</x:v>
      </x:c>
      <x:c r="B375" s="179" t="n">
        <x:f>EDATE(Premissas!$B$4,369)</x:f>
        <x:v>57770</x:v>
      </x:c>
      <x:c r="C375" s="141" t="n">
        <x:f>L374</x:f>
        <x:v>0</x:v>
      </x:c>
      <x:c r="D375" s="141" t="n">
        <x:f>IF(C375&gt;0,C375*Premissas!$B$17,0)</x:f>
        <x:v>0</x:v>
      </x:c>
      <x:c r="E375" s="141" t="n">
        <x:f>C375+D375</x:f>
        <x:v>0</x:v>
      </x:c>
      <x:c r="F375" s="141" t="n">
        <x:f>IF(E375&gt;0,MIN(E375,INDEX(Financiamento!$G$6:$G$485,A375)),0)</x:f>
        <x:v>0</x:v>
      </x:c>
      <x:c r="G375" s="141" t="n">
        <x:f>IF(E375&gt;0,E375*Premissas!$B$15,0)</x:f>
        <x:v>0</x:v>
      </x:c>
      <x:c r="H375" s="141" t="n">
        <x:f>IF(E375&gt;0,Premissas!$B$18,0)</x:f>
        <x:v>0</x:v>
      </x:c>
      <x:c r="I375" s="141" t="n">
        <x:f>F375+G375+H375</x:f>
        <x:v>0</x:v>
      </x:c>
      <x:c r="J375" s="141" t="n">
        <x:f>IF(E375-F375&gt;0,MIN(E375-F375,P375),0)</x:f>
        <x:v>0</x:v>
      </x:c>
      <x:c r="K375" s="141" t="n">
        <x:f>I375+J375</x:f>
        <x:v>0</x:v>
      </x:c>
      <x:c r="L375" s="141" t="n">
        <x:f>MAX(0,E375-F375-J375)</x:f>
        <x:v>0</x:v>
      </x:c>
      <x:c r="M375" s="141" t="n">
        <x:f>SUM($K$6:K375)</x:f>
        <x:v>185795.9624076597</x:v>
      </x:c>
      <x:c r="N375" s="140" t="str">
        <x:f>IF(C375=0,"Encerrado",IF(L375=0,"Quitado","Aberto"))</x:f>
        <x:v>Encerrado</x:v>
      </x:c>
      <x:c r="O375" s="141" t="n">
        <x:f>IF(C375&gt;0,Premissas!$B$35,0)</x:f>
        <x:v>0</x:v>
      </x:c>
      <x:c r="P375" s="141" t="n">
        <x:f>IF(C375&gt;0,MAX(0,O375-I375),0)</x:f>
        <x:v>0</x:v>
      </x:c>
      <x:c r="Q375" s="141" t="n">
        <x:f>J375-IF(E375-F375&gt;0,MIN(E375-F375,P375),0)</x:f>
        <x:v>0</x:v>
      </x:c>
    </x:row>
    <x:row r="376">
      <x:c r="A376" s="142" t="n">
        <x:v>371</x:v>
      </x:c>
      <x:c r="B376" s="179" t="n">
        <x:f>EDATE(Premissas!$B$4,370)</x:f>
        <x:v>57801</x:v>
      </x:c>
      <x:c r="C376" s="141" t="n">
        <x:f>L375</x:f>
        <x:v>0</x:v>
      </x:c>
      <x:c r="D376" s="141" t="n">
        <x:f>IF(C376&gt;0,C376*Premissas!$B$17,0)</x:f>
        <x:v>0</x:v>
      </x:c>
      <x:c r="E376" s="141" t="n">
        <x:f>C376+D376</x:f>
        <x:v>0</x:v>
      </x:c>
      <x:c r="F376" s="141" t="n">
        <x:f>IF(E376&gt;0,MIN(E376,INDEX(Financiamento!$G$6:$G$485,A376)),0)</x:f>
        <x:v>0</x:v>
      </x:c>
      <x:c r="G376" s="141" t="n">
        <x:f>IF(E376&gt;0,E376*Premissas!$B$15,0)</x:f>
        <x:v>0</x:v>
      </x:c>
      <x:c r="H376" s="141" t="n">
        <x:f>IF(E376&gt;0,Premissas!$B$18,0)</x:f>
        <x:v>0</x:v>
      </x:c>
      <x:c r="I376" s="141" t="n">
        <x:f>F376+G376+H376</x:f>
        <x:v>0</x:v>
      </x:c>
      <x:c r="J376" s="141" t="n">
        <x:f>IF(E376-F376&gt;0,MIN(E376-F376,P376),0)</x:f>
        <x:v>0</x:v>
      </x:c>
      <x:c r="K376" s="141" t="n">
        <x:f>I376+J376</x:f>
        <x:v>0</x:v>
      </x:c>
      <x:c r="L376" s="141" t="n">
        <x:f>MAX(0,E376-F376-J376)</x:f>
        <x:v>0</x:v>
      </x:c>
      <x:c r="M376" s="141" t="n">
        <x:f>SUM($K$6:K376)</x:f>
        <x:v>185795.9624076597</x:v>
      </x:c>
      <x:c r="N376" s="140" t="str">
        <x:f>IF(C376=0,"Encerrado",IF(L376=0,"Quitado","Aberto"))</x:f>
        <x:v>Encerrado</x:v>
      </x:c>
      <x:c r="O376" s="141" t="n">
        <x:f>IF(C376&gt;0,Premissas!$B$35,0)</x:f>
        <x:v>0</x:v>
      </x:c>
      <x:c r="P376" s="141" t="n">
        <x:f>IF(C376&gt;0,MAX(0,O376-I376),0)</x:f>
        <x:v>0</x:v>
      </x:c>
      <x:c r="Q376" s="141" t="n">
        <x:f>J376-IF(E376-F376&gt;0,MIN(E376-F376,P376),0)</x:f>
        <x:v>0</x:v>
      </x:c>
    </x:row>
    <x:row r="377">
      <x:c r="A377" s="142" t="n">
        <x:v>372</x:v>
      </x:c>
      <x:c r="B377" s="179" t="n">
        <x:f>EDATE(Premissas!$B$4,371)</x:f>
        <x:v>57831</x:v>
      </x:c>
      <x:c r="C377" s="141" t="n">
        <x:f>L376</x:f>
        <x:v>0</x:v>
      </x:c>
      <x:c r="D377" s="141" t="n">
        <x:f>IF(C377&gt;0,C377*Premissas!$B$17,0)</x:f>
        <x:v>0</x:v>
      </x:c>
      <x:c r="E377" s="141" t="n">
        <x:f>C377+D377</x:f>
        <x:v>0</x:v>
      </x:c>
      <x:c r="F377" s="141" t="n">
        <x:f>IF(E377&gt;0,MIN(E377,INDEX(Financiamento!$G$6:$G$485,A377)),0)</x:f>
        <x:v>0</x:v>
      </x:c>
      <x:c r="G377" s="141" t="n">
        <x:f>IF(E377&gt;0,E377*Premissas!$B$15,0)</x:f>
        <x:v>0</x:v>
      </x:c>
      <x:c r="H377" s="141" t="n">
        <x:f>IF(E377&gt;0,Premissas!$B$18,0)</x:f>
        <x:v>0</x:v>
      </x:c>
      <x:c r="I377" s="141" t="n">
        <x:f>F377+G377+H377</x:f>
        <x:v>0</x:v>
      </x:c>
      <x:c r="J377" s="141" t="n">
        <x:f>IF(E377-F377&gt;0,MIN(E377-F377,P377),0)</x:f>
        <x:v>0</x:v>
      </x:c>
      <x:c r="K377" s="141" t="n">
        <x:f>I377+J377</x:f>
        <x:v>0</x:v>
      </x:c>
      <x:c r="L377" s="141" t="n">
        <x:f>MAX(0,E377-F377-J377)</x:f>
        <x:v>0</x:v>
      </x:c>
      <x:c r="M377" s="141" t="n">
        <x:f>SUM($K$6:K377)</x:f>
        <x:v>185795.9624076597</x:v>
      </x:c>
      <x:c r="N377" s="140" t="str">
        <x:f>IF(C377=0,"Encerrado",IF(L377=0,"Quitado","Aberto"))</x:f>
        <x:v>Encerrado</x:v>
      </x:c>
      <x:c r="O377" s="141" t="n">
        <x:f>IF(C377&gt;0,Premissas!$B$35,0)</x:f>
        <x:v>0</x:v>
      </x:c>
      <x:c r="P377" s="141" t="n">
        <x:f>IF(C377&gt;0,MAX(0,O377-I377),0)</x:f>
        <x:v>0</x:v>
      </x:c>
      <x:c r="Q377" s="141" t="n">
        <x:f>J377-IF(E377-F377&gt;0,MIN(E377-F377,P377),0)</x:f>
        <x:v>0</x:v>
      </x:c>
    </x:row>
    <x:row r="378">
      <x:c r="A378" s="142" t="n">
        <x:v>373</x:v>
      </x:c>
      <x:c r="B378" s="179" t="n">
        <x:f>EDATE(Premissas!$B$4,372)</x:f>
        <x:v>57862</x:v>
      </x:c>
      <x:c r="C378" s="141" t="n">
        <x:f>L377</x:f>
        <x:v>0</x:v>
      </x:c>
      <x:c r="D378" s="141" t="n">
        <x:f>IF(C378&gt;0,C378*Premissas!$B$17,0)</x:f>
        <x:v>0</x:v>
      </x:c>
      <x:c r="E378" s="141" t="n">
        <x:f>C378+D378</x:f>
        <x:v>0</x:v>
      </x:c>
      <x:c r="F378" s="141" t="n">
        <x:f>IF(E378&gt;0,MIN(E378,INDEX(Financiamento!$G$6:$G$485,A378)),0)</x:f>
        <x:v>0</x:v>
      </x:c>
      <x:c r="G378" s="141" t="n">
        <x:f>IF(E378&gt;0,E378*Premissas!$B$15,0)</x:f>
        <x:v>0</x:v>
      </x:c>
      <x:c r="H378" s="141" t="n">
        <x:f>IF(E378&gt;0,Premissas!$B$18,0)</x:f>
        <x:v>0</x:v>
      </x:c>
      <x:c r="I378" s="141" t="n">
        <x:f>F378+G378+H378</x:f>
        <x:v>0</x:v>
      </x:c>
      <x:c r="J378" s="141" t="n">
        <x:f>IF(E378-F378&gt;0,MIN(E378-F378,P378),0)</x:f>
        <x:v>0</x:v>
      </x:c>
      <x:c r="K378" s="141" t="n">
        <x:f>I378+J378</x:f>
        <x:v>0</x:v>
      </x:c>
      <x:c r="L378" s="141" t="n">
        <x:f>MAX(0,E378-F378-J378)</x:f>
        <x:v>0</x:v>
      </x:c>
      <x:c r="M378" s="141" t="n">
        <x:f>SUM($K$6:K378)</x:f>
        <x:v>185795.9624076597</x:v>
      </x:c>
      <x:c r="N378" s="140" t="str">
        <x:f>IF(C378=0,"Encerrado",IF(L378=0,"Quitado","Aberto"))</x:f>
        <x:v>Encerrado</x:v>
      </x:c>
      <x:c r="O378" s="141" t="n">
        <x:f>IF(C378&gt;0,Premissas!$B$35,0)</x:f>
        <x:v>0</x:v>
      </x:c>
      <x:c r="P378" s="141" t="n">
        <x:f>IF(C378&gt;0,MAX(0,O378-I378),0)</x:f>
        <x:v>0</x:v>
      </x:c>
      <x:c r="Q378" s="141" t="n">
        <x:f>J378-IF(E378-F378&gt;0,MIN(E378-F378,P378),0)</x:f>
        <x:v>0</x:v>
      </x:c>
    </x:row>
    <x:row r="379">
      <x:c r="A379" s="142" t="n">
        <x:v>374</x:v>
      </x:c>
      <x:c r="B379" s="179" t="n">
        <x:f>EDATE(Premissas!$B$4,373)</x:f>
        <x:v>57892</x:v>
      </x:c>
      <x:c r="C379" s="141" t="n">
        <x:f>L378</x:f>
        <x:v>0</x:v>
      </x:c>
      <x:c r="D379" s="141" t="n">
        <x:f>IF(C379&gt;0,C379*Premissas!$B$17,0)</x:f>
        <x:v>0</x:v>
      </x:c>
      <x:c r="E379" s="141" t="n">
        <x:f>C379+D379</x:f>
        <x:v>0</x:v>
      </x:c>
      <x:c r="F379" s="141" t="n">
        <x:f>IF(E379&gt;0,MIN(E379,INDEX(Financiamento!$G$6:$G$485,A379)),0)</x:f>
        <x:v>0</x:v>
      </x:c>
      <x:c r="G379" s="141" t="n">
        <x:f>IF(E379&gt;0,E379*Premissas!$B$15,0)</x:f>
        <x:v>0</x:v>
      </x:c>
      <x:c r="H379" s="141" t="n">
        <x:f>IF(E379&gt;0,Premissas!$B$18,0)</x:f>
        <x:v>0</x:v>
      </x:c>
      <x:c r="I379" s="141" t="n">
        <x:f>F379+G379+H379</x:f>
        <x:v>0</x:v>
      </x:c>
      <x:c r="J379" s="141" t="n">
        <x:f>IF(E379-F379&gt;0,MIN(E379-F379,P379),0)</x:f>
        <x:v>0</x:v>
      </x:c>
      <x:c r="K379" s="141" t="n">
        <x:f>I379+J379</x:f>
        <x:v>0</x:v>
      </x:c>
      <x:c r="L379" s="141" t="n">
        <x:f>MAX(0,E379-F379-J379)</x:f>
        <x:v>0</x:v>
      </x:c>
      <x:c r="M379" s="141" t="n">
        <x:f>SUM($K$6:K379)</x:f>
        <x:v>185795.9624076597</x:v>
      </x:c>
      <x:c r="N379" s="140" t="str">
        <x:f>IF(C379=0,"Encerrado",IF(L379=0,"Quitado","Aberto"))</x:f>
        <x:v>Encerrado</x:v>
      </x:c>
      <x:c r="O379" s="141" t="n">
        <x:f>IF(C379&gt;0,Premissas!$B$35,0)</x:f>
        <x:v>0</x:v>
      </x:c>
      <x:c r="P379" s="141" t="n">
        <x:f>IF(C379&gt;0,MAX(0,O379-I379),0)</x:f>
        <x:v>0</x:v>
      </x:c>
      <x:c r="Q379" s="141" t="n">
        <x:f>J379-IF(E379-F379&gt;0,MIN(E379-F379,P379),0)</x:f>
        <x:v>0</x:v>
      </x:c>
    </x:row>
    <x:row r="380">
      <x:c r="A380" s="142" t="n">
        <x:v>375</x:v>
      </x:c>
      <x:c r="B380" s="179" t="n">
        <x:f>EDATE(Premissas!$B$4,374)</x:f>
        <x:v>57923</x:v>
      </x:c>
      <x:c r="C380" s="141" t="n">
        <x:f>L379</x:f>
        <x:v>0</x:v>
      </x:c>
      <x:c r="D380" s="141" t="n">
        <x:f>IF(C380&gt;0,C380*Premissas!$B$17,0)</x:f>
        <x:v>0</x:v>
      </x:c>
      <x:c r="E380" s="141" t="n">
        <x:f>C380+D380</x:f>
        <x:v>0</x:v>
      </x:c>
      <x:c r="F380" s="141" t="n">
        <x:f>IF(E380&gt;0,MIN(E380,INDEX(Financiamento!$G$6:$G$485,A380)),0)</x:f>
        <x:v>0</x:v>
      </x:c>
      <x:c r="G380" s="141" t="n">
        <x:f>IF(E380&gt;0,E380*Premissas!$B$15,0)</x:f>
        <x:v>0</x:v>
      </x:c>
      <x:c r="H380" s="141" t="n">
        <x:f>IF(E380&gt;0,Premissas!$B$18,0)</x:f>
        <x:v>0</x:v>
      </x:c>
      <x:c r="I380" s="141" t="n">
        <x:f>F380+G380+H380</x:f>
        <x:v>0</x:v>
      </x:c>
      <x:c r="J380" s="141" t="n">
        <x:f>IF(E380-F380&gt;0,MIN(E380-F380,P380),0)</x:f>
        <x:v>0</x:v>
      </x:c>
      <x:c r="K380" s="141" t="n">
        <x:f>I380+J380</x:f>
        <x:v>0</x:v>
      </x:c>
      <x:c r="L380" s="141" t="n">
        <x:f>MAX(0,E380-F380-J380)</x:f>
        <x:v>0</x:v>
      </x:c>
      <x:c r="M380" s="141" t="n">
        <x:f>SUM($K$6:K380)</x:f>
        <x:v>185795.9624076597</x:v>
      </x:c>
      <x:c r="N380" s="140" t="str">
        <x:f>IF(C380=0,"Encerrado",IF(L380=0,"Quitado","Aberto"))</x:f>
        <x:v>Encerrado</x:v>
      </x:c>
      <x:c r="O380" s="141" t="n">
        <x:f>IF(C380&gt;0,Premissas!$B$35,0)</x:f>
        <x:v>0</x:v>
      </x:c>
      <x:c r="P380" s="141" t="n">
        <x:f>IF(C380&gt;0,MAX(0,O380-I380),0)</x:f>
        <x:v>0</x:v>
      </x:c>
      <x:c r="Q380" s="141" t="n">
        <x:f>J380-IF(E380-F380&gt;0,MIN(E380-F380,P380),0)</x:f>
        <x:v>0</x:v>
      </x:c>
    </x:row>
    <x:row r="381">
      <x:c r="A381" s="142" t="n">
        <x:v>376</x:v>
      </x:c>
      <x:c r="B381" s="179" t="n">
        <x:f>EDATE(Premissas!$B$4,375)</x:f>
        <x:v>57954</x:v>
      </x:c>
      <x:c r="C381" s="141" t="n">
        <x:f>L380</x:f>
        <x:v>0</x:v>
      </x:c>
      <x:c r="D381" s="141" t="n">
        <x:f>IF(C381&gt;0,C381*Premissas!$B$17,0)</x:f>
        <x:v>0</x:v>
      </x:c>
      <x:c r="E381" s="141" t="n">
        <x:f>C381+D381</x:f>
        <x:v>0</x:v>
      </x:c>
      <x:c r="F381" s="141" t="n">
        <x:f>IF(E381&gt;0,MIN(E381,INDEX(Financiamento!$G$6:$G$485,A381)),0)</x:f>
        <x:v>0</x:v>
      </x:c>
      <x:c r="G381" s="141" t="n">
        <x:f>IF(E381&gt;0,E381*Premissas!$B$15,0)</x:f>
        <x:v>0</x:v>
      </x:c>
      <x:c r="H381" s="141" t="n">
        <x:f>IF(E381&gt;0,Premissas!$B$18,0)</x:f>
        <x:v>0</x:v>
      </x:c>
      <x:c r="I381" s="141" t="n">
        <x:f>F381+G381+H381</x:f>
        <x:v>0</x:v>
      </x:c>
      <x:c r="J381" s="141" t="n">
        <x:f>IF(E381-F381&gt;0,MIN(E381-F381,P381),0)</x:f>
        <x:v>0</x:v>
      </x:c>
      <x:c r="K381" s="141" t="n">
        <x:f>I381+J381</x:f>
        <x:v>0</x:v>
      </x:c>
      <x:c r="L381" s="141" t="n">
        <x:f>MAX(0,E381-F381-J381)</x:f>
        <x:v>0</x:v>
      </x:c>
      <x:c r="M381" s="141" t="n">
        <x:f>SUM($K$6:K381)</x:f>
        <x:v>185795.9624076597</x:v>
      </x:c>
      <x:c r="N381" s="140" t="str">
        <x:f>IF(C381=0,"Encerrado",IF(L381=0,"Quitado","Aberto"))</x:f>
        <x:v>Encerrado</x:v>
      </x:c>
      <x:c r="O381" s="141" t="n">
        <x:f>IF(C381&gt;0,Premissas!$B$35,0)</x:f>
        <x:v>0</x:v>
      </x:c>
      <x:c r="P381" s="141" t="n">
        <x:f>IF(C381&gt;0,MAX(0,O381-I381),0)</x:f>
        <x:v>0</x:v>
      </x:c>
      <x:c r="Q381" s="141" t="n">
        <x:f>J381-IF(E381-F381&gt;0,MIN(E381-F381,P381),0)</x:f>
        <x:v>0</x:v>
      </x:c>
    </x:row>
    <x:row r="382">
      <x:c r="A382" s="142" t="n">
        <x:v>377</x:v>
      </x:c>
      <x:c r="B382" s="179" t="n">
        <x:f>EDATE(Premissas!$B$4,376)</x:f>
        <x:v>57984</x:v>
      </x:c>
      <x:c r="C382" s="141" t="n">
        <x:f>L381</x:f>
        <x:v>0</x:v>
      </x:c>
      <x:c r="D382" s="141" t="n">
        <x:f>IF(C382&gt;0,C382*Premissas!$B$17,0)</x:f>
        <x:v>0</x:v>
      </x:c>
      <x:c r="E382" s="141" t="n">
        <x:f>C382+D382</x:f>
        <x:v>0</x:v>
      </x:c>
      <x:c r="F382" s="141" t="n">
        <x:f>IF(E382&gt;0,MIN(E382,INDEX(Financiamento!$G$6:$G$485,A382)),0)</x:f>
        <x:v>0</x:v>
      </x:c>
      <x:c r="G382" s="141" t="n">
        <x:f>IF(E382&gt;0,E382*Premissas!$B$15,0)</x:f>
        <x:v>0</x:v>
      </x:c>
      <x:c r="H382" s="141" t="n">
        <x:f>IF(E382&gt;0,Premissas!$B$18,0)</x:f>
        <x:v>0</x:v>
      </x:c>
      <x:c r="I382" s="141" t="n">
        <x:f>F382+G382+H382</x:f>
        <x:v>0</x:v>
      </x:c>
      <x:c r="J382" s="141" t="n">
        <x:f>IF(E382-F382&gt;0,MIN(E382-F382,P382),0)</x:f>
        <x:v>0</x:v>
      </x:c>
      <x:c r="K382" s="141" t="n">
        <x:f>I382+J382</x:f>
        <x:v>0</x:v>
      </x:c>
      <x:c r="L382" s="141" t="n">
        <x:f>MAX(0,E382-F382-J382)</x:f>
        <x:v>0</x:v>
      </x:c>
      <x:c r="M382" s="141" t="n">
        <x:f>SUM($K$6:K382)</x:f>
        <x:v>185795.9624076597</x:v>
      </x:c>
      <x:c r="N382" s="140" t="str">
        <x:f>IF(C382=0,"Encerrado",IF(L382=0,"Quitado","Aberto"))</x:f>
        <x:v>Encerrado</x:v>
      </x:c>
      <x:c r="O382" s="141" t="n">
        <x:f>IF(C382&gt;0,Premissas!$B$35,0)</x:f>
        <x:v>0</x:v>
      </x:c>
      <x:c r="P382" s="141" t="n">
        <x:f>IF(C382&gt;0,MAX(0,O382-I382),0)</x:f>
        <x:v>0</x:v>
      </x:c>
      <x:c r="Q382" s="141" t="n">
        <x:f>J382-IF(E382-F382&gt;0,MIN(E382-F382,P382),0)</x:f>
        <x:v>0</x:v>
      </x:c>
    </x:row>
    <x:row r="383">
      <x:c r="A383" s="142" t="n">
        <x:v>378</x:v>
      </x:c>
      <x:c r="B383" s="179" t="n">
        <x:f>EDATE(Premissas!$B$4,377)</x:f>
        <x:v>58015</x:v>
      </x:c>
      <x:c r="C383" s="141" t="n">
        <x:f>L382</x:f>
        <x:v>0</x:v>
      </x:c>
      <x:c r="D383" s="141" t="n">
        <x:f>IF(C383&gt;0,C383*Premissas!$B$17,0)</x:f>
        <x:v>0</x:v>
      </x:c>
      <x:c r="E383" s="141" t="n">
        <x:f>C383+D383</x:f>
        <x:v>0</x:v>
      </x:c>
      <x:c r="F383" s="141" t="n">
        <x:f>IF(E383&gt;0,MIN(E383,INDEX(Financiamento!$G$6:$G$485,A383)),0)</x:f>
        <x:v>0</x:v>
      </x:c>
      <x:c r="G383" s="141" t="n">
        <x:f>IF(E383&gt;0,E383*Premissas!$B$15,0)</x:f>
        <x:v>0</x:v>
      </x:c>
      <x:c r="H383" s="141" t="n">
        <x:f>IF(E383&gt;0,Premissas!$B$18,0)</x:f>
        <x:v>0</x:v>
      </x:c>
      <x:c r="I383" s="141" t="n">
        <x:f>F383+G383+H383</x:f>
        <x:v>0</x:v>
      </x:c>
      <x:c r="J383" s="141" t="n">
        <x:f>IF(E383-F383&gt;0,MIN(E383-F383,P383),0)</x:f>
        <x:v>0</x:v>
      </x:c>
      <x:c r="K383" s="141" t="n">
        <x:f>I383+J383</x:f>
        <x:v>0</x:v>
      </x:c>
      <x:c r="L383" s="141" t="n">
        <x:f>MAX(0,E383-F383-J383)</x:f>
        <x:v>0</x:v>
      </x:c>
      <x:c r="M383" s="141" t="n">
        <x:f>SUM($K$6:K383)</x:f>
        <x:v>185795.9624076597</x:v>
      </x:c>
      <x:c r="N383" s="140" t="str">
        <x:f>IF(C383=0,"Encerrado",IF(L383=0,"Quitado","Aberto"))</x:f>
        <x:v>Encerrado</x:v>
      </x:c>
      <x:c r="O383" s="141" t="n">
        <x:f>IF(C383&gt;0,Premissas!$B$35,0)</x:f>
        <x:v>0</x:v>
      </x:c>
      <x:c r="P383" s="141" t="n">
        <x:f>IF(C383&gt;0,MAX(0,O383-I383),0)</x:f>
        <x:v>0</x:v>
      </x:c>
      <x:c r="Q383" s="141" t="n">
        <x:f>J383-IF(E383-F383&gt;0,MIN(E383-F383,P383),0)</x:f>
        <x:v>0</x:v>
      </x:c>
    </x:row>
    <x:row r="384">
      <x:c r="A384" s="142" t="n">
        <x:v>379</x:v>
      </x:c>
      <x:c r="B384" s="179" t="n">
        <x:f>EDATE(Premissas!$B$4,378)</x:f>
        <x:v>58045</x:v>
      </x:c>
      <x:c r="C384" s="141" t="n">
        <x:f>L383</x:f>
        <x:v>0</x:v>
      </x:c>
      <x:c r="D384" s="141" t="n">
        <x:f>IF(C384&gt;0,C384*Premissas!$B$17,0)</x:f>
        <x:v>0</x:v>
      </x:c>
      <x:c r="E384" s="141" t="n">
        <x:f>C384+D384</x:f>
        <x:v>0</x:v>
      </x:c>
      <x:c r="F384" s="141" t="n">
        <x:f>IF(E384&gt;0,MIN(E384,INDEX(Financiamento!$G$6:$G$485,A384)),0)</x:f>
        <x:v>0</x:v>
      </x:c>
      <x:c r="G384" s="141" t="n">
        <x:f>IF(E384&gt;0,E384*Premissas!$B$15,0)</x:f>
        <x:v>0</x:v>
      </x:c>
      <x:c r="H384" s="141" t="n">
        <x:f>IF(E384&gt;0,Premissas!$B$18,0)</x:f>
        <x:v>0</x:v>
      </x:c>
      <x:c r="I384" s="141" t="n">
        <x:f>F384+G384+H384</x:f>
        <x:v>0</x:v>
      </x:c>
      <x:c r="J384" s="141" t="n">
        <x:f>IF(E384-F384&gt;0,MIN(E384-F384,P384),0)</x:f>
        <x:v>0</x:v>
      </x:c>
      <x:c r="K384" s="141" t="n">
        <x:f>I384+J384</x:f>
        <x:v>0</x:v>
      </x:c>
      <x:c r="L384" s="141" t="n">
        <x:f>MAX(0,E384-F384-J384)</x:f>
        <x:v>0</x:v>
      </x:c>
      <x:c r="M384" s="141" t="n">
        <x:f>SUM($K$6:K384)</x:f>
        <x:v>185795.9624076597</x:v>
      </x:c>
      <x:c r="N384" s="140" t="str">
        <x:f>IF(C384=0,"Encerrado",IF(L384=0,"Quitado","Aberto"))</x:f>
        <x:v>Encerrado</x:v>
      </x:c>
      <x:c r="O384" s="141" t="n">
        <x:f>IF(C384&gt;0,Premissas!$B$35,0)</x:f>
        <x:v>0</x:v>
      </x:c>
      <x:c r="P384" s="141" t="n">
        <x:f>IF(C384&gt;0,MAX(0,O384-I384),0)</x:f>
        <x:v>0</x:v>
      </x:c>
      <x:c r="Q384" s="141" t="n">
        <x:f>J384-IF(E384-F384&gt;0,MIN(E384-F384,P384),0)</x:f>
        <x:v>0</x:v>
      </x:c>
    </x:row>
    <x:row r="385">
      <x:c r="A385" s="142" t="n">
        <x:v>380</x:v>
      </x:c>
      <x:c r="B385" s="179" t="n">
        <x:f>EDATE(Premissas!$B$4,379)</x:f>
        <x:v>58076</x:v>
      </x:c>
      <x:c r="C385" s="141" t="n">
        <x:f>L384</x:f>
        <x:v>0</x:v>
      </x:c>
      <x:c r="D385" s="141" t="n">
        <x:f>IF(C385&gt;0,C385*Premissas!$B$17,0)</x:f>
        <x:v>0</x:v>
      </x:c>
      <x:c r="E385" s="141" t="n">
        <x:f>C385+D385</x:f>
        <x:v>0</x:v>
      </x:c>
      <x:c r="F385" s="141" t="n">
        <x:f>IF(E385&gt;0,MIN(E385,INDEX(Financiamento!$G$6:$G$485,A385)),0)</x:f>
        <x:v>0</x:v>
      </x:c>
      <x:c r="G385" s="141" t="n">
        <x:f>IF(E385&gt;0,E385*Premissas!$B$15,0)</x:f>
        <x:v>0</x:v>
      </x:c>
      <x:c r="H385" s="141" t="n">
        <x:f>IF(E385&gt;0,Premissas!$B$18,0)</x:f>
        <x:v>0</x:v>
      </x:c>
      <x:c r="I385" s="141" t="n">
        <x:f>F385+G385+H385</x:f>
        <x:v>0</x:v>
      </x:c>
      <x:c r="J385" s="141" t="n">
        <x:f>IF(E385-F385&gt;0,MIN(E385-F385,P385),0)</x:f>
        <x:v>0</x:v>
      </x:c>
      <x:c r="K385" s="141" t="n">
        <x:f>I385+J385</x:f>
        <x:v>0</x:v>
      </x:c>
      <x:c r="L385" s="141" t="n">
        <x:f>MAX(0,E385-F385-J385)</x:f>
        <x:v>0</x:v>
      </x:c>
      <x:c r="M385" s="141" t="n">
        <x:f>SUM($K$6:K385)</x:f>
        <x:v>185795.9624076597</x:v>
      </x:c>
      <x:c r="N385" s="140" t="str">
        <x:f>IF(C385=0,"Encerrado",IF(L385=0,"Quitado","Aberto"))</x:f>
        <x:v>Encerrado</x:v>
      </x:c>
      <x:c r="O385" s="141" t="n">
        <x:f>IF(C385&gt;0,Premissas!$B$35,0)</x:f>
        <x:v>0</x:v>
      </x:c>
      <x:c r="P385" s="141" t="n">
        <x:f>IF(C385&gt;0,MAX(0,O385-I385),0)</x:f>
        <x:v>0</x:v>
      </x:c>
      <x:c r="Q385" s="141" t="n">
        <x:f>J385-IF(E385-F385&gt;0,MIN(E385-F385,P385),0)</x:f>
        <x:v>0</x:v>
      </x:c>
    </x:row>
    <x:row r="386">
      <x:c r="A386" s="142" t="n">
        <x:v>381</x:v>
      </x:c>
      <x:c r="B386" s="179" t="n">
        <x:f>EDATE(Premissas!$B$4,380)</x:f>
        <x:v>58107</x:v>
      </x:c>
      <x:c r="C386" s="141" t="n">
        <x:f>L385</x:f>
        <x:v>0</x:v>
      </x:c>
      <x:c r="D386" s="141" t="n">
        <x:f>IF(C386&gt;0,C386*Premissas!$B$17,0)</x:f>
        <x:v>0</x:v>
      </x:c>
      <x:c r="E386" s="141" t="n">
        <x:f>C386+D386</x:f>
        <x:v>0</x:v>
      </x:c>
      <x:c r="F386" s="141" t="n">
        <x:f>IF(E386&gt;0,MIN(E386,INDEX(Financiamento!$G$6:$G$485,A386)),0)</x:f>
        <x:v>0</x:v>
      </x:c>
      <x:c r="G386" s="141" t="n">
        <x:f>IF(E386&gt;0,E386*Premissas!$B$15,0)</x:f>
        <x:v>0</x:v>
      </x:c>
      <x:c r="H386" s="141" t="n">
        <x:f>IF(E386&gt;0,Premissas!$B$18,0)</x:f>
        <x:v>0</x:v>
      </x:c>
      <x:c r="I386" s="141" t="n">
        <x:f>F386+G386+H386</x:f>
        <x:v>0</x:v>
      </x:c>
      <x:c r="J386" s="141" t="n">
        <x:f>IF(E386-F386&gt;0,MIN(E386-F386,P386),0)</x:f>
        <x:v>0</x:v>
      </x:c>
      <x:c r="K386" s="141" t="n">
        <x:f>I386+J386</x:f>
        <x:v>0</x:v>
      </x:c>
      <x:c r="L386" s="141" t="n">
        <x:f>MAX(0,E386-F386-J386)</x:f>
        <x:v>0</x:v>
      </x:c>
      <x:c r="M386" s="141" t="n">
        <x:f>SUM($K$6:K386)</x:f>
        <x:v>185795.9624076597</x:v>
      </x:c>
      <x:c r="N386" s="140" t="str">
        <x:f>IF(C386=0,"Encerrado",IF(L386=0,"Quitado","Aberto"))</x:f>
        <x:v>Encerrado</x:v>
      </x:c>
      <x:c r="O386" s="141" t="n">
        <x:f>IF(C386&gt;0,Premissas!$B$35,0)</x:f>
        <x:v>0</x:v>
      </x:c>
      <x:c r="P386" s="141" t="n">
        <x:f>IF(C386&gt;0,MAX(0,O386-I386),0)</x:f>
        <x:v>0</x:v>
      </x:c>
      <x:c r="Q386" s="141" t="n">
        <x:f>J386-IF(E386-F386&gt;0,MIN(E386-F386,P386),0)</x:f>
        <x:v>0</x:v>
      </x:c>
    </x:row>
    <x:row r="387">
      <x:c r="A387" s="142" t="n">
        <x:v>382</x:v>
      </x:c>
      <x:c r="B387" s="179" t="n">
        <x:f>EDATE(Premissas!$B$4,381)</x:f>
        <x:v>58135</x:v>
      </x:c>
      <x:c r="C387" s="141" t="n">
        <x:f>L386</x:f>
        <x:v>0</x:v>
      </x:c>
      <x:c r="D387" s="141" t="n">
        <x:f>IF(C387&gt;0,C387*Premissas!$B$17,0)</x:f>
        <x:v>0</x:v>
      </x:c>
      <x:c r="E387" s="141" t="n">
        <x:f>C387+D387</x:f>
        <x:v>0</x:v>
      </x:c>
      <x:c r="F387" s="141" t="n">
        <x:f>IF(E387&gt;0,MIN(E387,INDEX(Financiamento!$G$6:$G$485,A387)),0)</x:f>
        <x:v>0</x:v>
      </x:c>
      <x:c r="G387" s="141" t="n">
        <x:f>IF(E387&gt;0,E387*Premissas!$B$15,0)</x:f>
        <x:v>0</x:v>
      </x:c>
      <x:c r="H387" s="141" t="n">
        <x:f>IF(E387&gt;0,Premissas!$B$18,0)</x:f>
        <x:v>0</x:v>
      </x:c>
      <x:c r="I387" s="141" t="n">
        <x:f>F387+G387+H387</x:f>
        <x:v>0</x:v>
      </x:c>
      <x:c r="J387" s="141" t="n">
        <x:f>IF(E387-F387&gt;0,MIN(E387-F387,P387),0)</x:f>
        <x:v>0</x:v>
      </x:c>
      <x:c r="K387" s="141" t="n">
        <x:f>I387+J387</x:f>
        <x:v>0</x:v>
      </x:c>
      <x:c r="L387" s="141" t="n">
        <x:f>MAX(0,E387-F387-J387)</x:f>
        <x:v>0</x:v>
      </x:c>
      <x:c r="M387" s="141" t="n">
        <x:f>SUM($K$6:K387)</x:f>
        <x:v>185795.9624076597</x:v>
      </x:c>
      <x:c r="N387" s="140" t="str">
        <x:f>IF(C387=0,"Encerrado",IF(L387=0,"Quitado","Aberto"))</x:f>
        <x:v>Encerrado</x:v>
      </x:c>
      <x:c r="O387" s="141" t="n">
        <x:f>IF(C387&gt;0,Premissas!$B$35,0)</x:f>
        <x:v>0</x:v>
      </x:c>
      <x:c r="P387" s="141" t="n">
        <x:f>IF(C387&gt;0,MAX(0,O387-I387),0)</x:f>
        <x:v>0</x:v>
      </x:c>
      <x:c r="Q387" s="141" t="n">
        <x:f>J387-IF(E387-F387&gt;0,MIN(E387-F387,P387),0)</x:f>
        <x:v>0</x:v>
      </x:c>
    </x:row>
    <x:row r="388">
      <x:c r="A388" s="142" t="n">
        <x:v>383</x:v>
      </x:c>
      <x:c r="B388" s="179" t="n">
        <x:f>EDATE(Premissas!$B$4,382)</x:f>
        <x:v>58166</x:v>
      </x:c>
      <x:c r="C388" s="141" t="n">
        <x:f>L387</x:f>
        <x:v>0</x:v>
      </x:c>
      <x:c r="D388" s="141" t="n">
        <x:f>IF(C388&gt;0,C388*Premissas!$B$17,0)</x:f>
        <x:v>0</x:v>
      </x:c>
      <x:c r="E388" s="141" t="n">
        <x:f>C388+D388</x:f>
        <x:v>0</x:v>
      </x:c>
      <x:c r="F388" s="141" t="n">
        <x:f>IF(E388&gt;0,MIN(E388,INDEX(Financiamento!$G$6:$G$485,A388)),0)</x:f>
        <x:v>0</x:v>
      </x:c>
      <x:c r="G388" s="141" t="n">
        <x:f>IF(E388&gt;0,E388*Premissas!$B$15,0)</x:f>
        <x:v>0</x:v>
      </x:c>
      <x:c r="H388" s="141" t="n">
        <x:f>IF(E388&gt;0,Premissas!$B$18,0)</x:f>
        <x:v>0</x:v>
      </x:c>
      <x:c r="I388" s="141" t="n">
        <x:f>F388+G388+H388</x:f>
        <x:v>0</x:v>
      </x:c>
      <x:c r="J388" s="141" t="n">
        <x:f>IF(E388-F388&gt;0,MIN(E388-F388,P388),0)</x:f>
        <x:v>0</x:v>
      </x:c>
      <x:c r="K388" s="141" t="n">
        <x:f>I388+J388</x:f>
        <x:v>0</x:v>
      </x:c>
      <x:c r="L388" s="141" t="n">
        <x:f>MAX(0,E388-F388-J388)</x:f>
        <x:v>0</x:v>
      </x:c>
      <x:c r="M388" s="141" t="n">
        <x:f>SUM($K$6:K388)</x:f>
        <x:v>185795.9624076597</x:v>
      </x:c>
      <x:c r="N388" s="140" t="str">
        <x:f>IF(C388=0,"Encerrado",IF(L388=0,"Quitado","Aberto"))</x:f>
        <x:v>Encerrado</x:v>
      </x:c>
      <x:c r="O388" s="141" t="n">
        <x:f>IF(C388&gt;0,Premissas!$B$35,0)</x:f>
        <x:v>0</x:v>
      </x:c>
      <x:c r="P388" s="141" t="n">
        <x:f>IF(C388&gt;0,MAX(0,O388-I388),0)</x:f>
        <x:v>0</x:v>
      </x:c>
      <x:c r="Q388" s="141" t="n">
        <x:f>J388-IF(E388-F388&gt;0,MIN(E388-F388,P388),0)</x:f>
        <x:v>0</x:v>
      </x:c>
    </x:row>
    <x:row r="389">
      <x:c r="A389" s="142" t="n">
        <x:v>384</x:v>
      </x:c>
      <x:c r="B389" s="179" t="n">
        <x:f>EDATE(Premissas!$B$4,383)</x:f>
        <x:v>58196</x:v>
      </x:c>
      <x:c r="C389" s="141" t="n">
        <x:f>L388</x:f>
        <x:v>0</x:v>
      </x:c>
      <x:c r="D389" s="141" t="n">
        <x:f>IF(C389&gt;0,C389*Premissas!$B$17,0)</x:f>
        <x:v>0</x:v>
      </x:c>
      <x:c r="E389" s="141" t="n">
        <x:f>C389+D389</x:f>
        <x:v>0</x:v>
      </x:c>
      <x:c r="F389" s="141" t="n">
        <x:f>IF(E389&gt;0,MIN(E389,INDEX(Financiamento!$G$6:$G$485,A389)),0)</x:f>
        <x:v>0</x:v>
      </x:c>
      <x:c r="G389" s="141" t="n">
        <x:f>IF(E389&gt;0,E389*Premissas!$B$15,0)</x:f>
        <x:v>0</x:v>
      </x:c>
      <x:c r="H389" s="141" t="n">
        <x:f>IF(E389&gt;0,Premissas!$B$18,0)</x:f>
        <x:v>0</x:v>
      </x:c>
      <x:c r="I389" s="141" t="n">
        <x:f>F389+G389+H389</x:f>
        <x:v>0</x:v>
      </x:c>
      <x:c r="J389" s="141" t="n">
        <x:f>IF(E389-F389&gt;0,MIN(E389-F389,P389),0)</x:f>
        <x:v>0</x:v>
      </x:c>
      <x:c r="K389" s="141" t="n">
        <x:f>I389+J389</x:f>
        <x:v>0</x:v>
      </x:c>
      <x:c r="L389" s="141" t="n">
        <x:f>MAX(0,E389-F389-J389)</x:f>
        <x:v>0</x:v>
      </x:c>
      <x:c r="M389" s="141" t="n">
        <x:f>SUM($K$6:K389)</x:f>
        <x:v>185795.9624076597</x:v>
      </x:c>
      <x:c r="N389" s="140" t="str">
        <x:f>IF(C389=0,"Encerrado",IF(L389=0,"Quitado","Aberto"))</x:f>
        <x:v>Encerrado</x:v>
      </x:c>
      <x:c r="O389" s="141" t="n">
        <x:f>IF(C389&gt;0,Premissas!$B$35,0)</x:f>
        <x:v>0</x:v>
      </x:c>
      <x:c r="P389" s="141" t="n">
        <x:f>IF(C389&gt;0,MAX(0,O389-I389),0)</x:f>
        <x:v>0</x:v>
      </x:c>
      <x:c r="Q389" s="141" t="n">
        <x:f>J389-IF(E389-F389&gt;0,MIN(E389-F389,P389),0)</x:f>
        <x:v>0</x:v>
      </x:c>
    </x:row>
    <x:row r="390">
      <x:c r="A390" s="142" t="n">
        <x:v>385</x:v>
      </x:c>
      <x:c r="B390" s="179" t="n">
        <x:f>EDATE(Premissas!$B$4,384)</x:f>
        <x:v>58227</x:v>
      </x:c>
      <x:c r="C390" s="141" t="n">
        <x:f>L389</x:f>
        <x:v>0</x:v>
      </x:c>
      <x:c r="D390" s="141" t="n">
        <x:f>IF(C390&gt;0,C390*Premissas!$B$17,0)</x:f>
        <x:v>0</x:v>
      </x:c>
      <x:c r="E390" s="141" t="n">
        <x:f>C390+D390</x:f>
        <x:v>0</x:v>
      </x:c>
      <x:c r="F390" s="141" t="n">
        <x:f>IF(E390&gt;0,MIN(E390,INDEX(Financiamento!$G$6:$G$485,A390)),0)</x:f>
        <x:v>0</x:v>
      </x:c>
      <x:c r="G390" s="141" t="n">
        <x:f>IF(E390&gt;0,E390*Premissas!$B$15,0)</x:f>
        <x:v>0</x:v>
      </x:c>
      <x:c r="H390" s="141" t="n">
        <x:f>IF(E390&gt;0,Premissas!$B$18,0)</x:f>
        <x:v>0</x:v>
      </x:c>
      <x:c r="I390" s="141" t="n">
        <x:f>F390+G390+H390</x:f>
        <x:v>0</x:v>
      </x:c>
      <x:c r="J390" s="141" t="n">
        <x:f>IF(E390-F390&gt;0,MIN(E390-F390,P390),0)</x:f>
        <x:v>0</x:v>
      </x:c>
      <x:c r="K390" s="141" t="n">
        <x:f>I390+J390</x:f>
        <x:v>0</x:v>
      </x:c>
      <x:c r="L390" s="141" t="n">
        <x:f>MAX(0,E390-F390-J390)</x:f>
        <x:v>0</x:v>
      </x:c>
      <x:c r="M390" s="141" t="n">
        <x:f>SUM($K$6:K390)</x:f>
        <x:v>185795.9624076597</x:v>
      </x:c>
      <x:c r="N390" s="140" t="str">
        <x:f>IF(C390=0,"Encerrado",IF(L390=0,"Quitado","Aberto"))</x:f>
        <x:v>Encerrado</x:v>
      </x:c>
      <x:c r="O390" s="141" t="n">
        <x:f>IF(C390&gt;0,Premissas!$B$35,0)</x:f>
        <x:v>0</x:v>
      </x:c>
      <x:c r="P390" s="141" t="n">
        <x:f>IF(C390&gt;0,MAX(0,O390-I390),0)</x:f>
        <x:v>0</x:v>
      </x:c>
      <x:c r="Q390" s="141" t="n">
        <x:f>J390-IF(E390-F390&gt;0,MIN(E390-F390,P390),0)</x:f>
        <x:v>0</x:v>
      </x:c>
    </x:row>
    <x:row r="391">
      <x:c r="A391" s="142" t="n">
        <x:v>386</x:v>
      </x:c>
      <x:c r="B391" s="179" t="n">
        <x:f>EDATE(Premissas!$B$4,385)</x:f>
        <x:v>58257</x:v>
      </x:c>
      <x:c r="C391" s="141" t="n">
        <x:f>L390</x:f>
        <x:v>0</x:v>
      </x:c>
      <x:c r="D391" s="141" t="n">
        <x:f>IF(C391&gt;0,C391*Premissas!$B$17,0)</x:f>
        <x:v>0</x:v>
      </x:c>
      <x:c r="E391" s="141" t="n">
        <x:f>C391+D391</x:f>
        <x:v>0</x:v>
      </x:c>
      <x:c r="F391" s="141" t="n">
        <x:f>IF(E391&gt;0,MIN(E391,INDEX(Financiamento!$G$6:$G$485,A391)),0)</x:f>
        <x:v>0</x:v>
      </x:c>
      <x:c r="G391" s="141" t="n">
        <x:f>IF(E391&gt;0,E391*Premissas!$B$15,0)</x:f>
        <x:v>0</x:v>
      </x:c>
      <x:c r="H391" s="141" t="n">
        <x:f>IF(E391&gt;0,Premissas!$B$18,0)</x:f>
        <x:v>0</x:v>
      </x:c>
      <x:c r="I391" s="141" t="n">
        <x:f>F391+G391+H391</x:f>
        <x:v>0</x:v>
      </x:c>
      <x:c r="J391" s="141" t="n">
        <x:f>IF(E391-F391&gt;0,MIN(E391-F391,P391),0)</x:f>
        <x:v>0</x:v>
      </x:c>
      <x:c r="K391" s="141" t="n">
        <x:f>I391+J391</x:f>
        <x:v>0</x:v>
      </x:c>
      <x:c r="L391" s="141" t="n">
        <x:f>MAX(0,E391-F391-J391)</x:f>
        <x:v>0</x:v>
      </x:c>
      <x:c r="M391" s="141" t="n">
        <x:f>SUM($K$6:K391)</x:f>
        <x:v>185795.9624076597</x:v>
      </x:c>
      <x:c r="N391" s="140" t="str">
        <x:f>IF(C391=0,"Encerrado",IF(L391=0,"Quitado","Aberto"))</x:f>
        <x:v>Encerrado</x:v>
      </x:c>
      <x:c r="O391" s="141" t="n">
        <x:f>IF(C391&gt;0,Premissas!$B$35,0)</x:f>
        <x:v>0</x:v>
      </x:c>
      <x:c r="P391" s="141" t="n">
        <x:f>IF(C391&gt;0,MAX(0,O391-I391),0)</x:f>
        <x:v>0</x:v>
      </x:c>
      <x:c r="Q391" s="141" t="n">
        <x:f>J391-IF(E391-F391&gt;0,MIN(E391-F391,P391),0)</x:f>
        <x:v>0</x:v>
      </x:c>
    </x:row>
    <x:row r="392">
      <x:c r="A392" s="142" t="n">
        <x:v>387</x:v>
      </x:c>
      <x:c r="B392" s="179" t="n">
        <x:f>EDATE(Premissas!$B$4,386)</x:f>
        <x:v>58288</x:v>
      </x:c>
      <x:c r="C392" s="141" t="n">
        <x:f>L391</x:f>
        <x:v>0</x:v>
      </x:c>
      <x:c r="D392" s="141" t="n">
        <x:f>IF(C392&gt;0,C392*Premissas!$B$17,0)</x:f>
        <x:v>0</x:v>
      </x:c>
      <x:c r="E392" s="141" t="n">
        <x:f>C392+D392</x:f>
        <x:v>0</x:v>
      </x:c>
      <x:c r="F392" s="141" t="n">
        <x:f>IF(E392&gt;0,MIN(E392,INDEX(Financiamento!$G$6:$G$485,A392)),0)</x:f>
        <x:v>0</x:v>
      </x:c>
      <x:c r="G392" s="141" t="n">
        <x:f>IF(E392&gt;0,E392*Premissas!$B$15,0)</x:f>
        <x:v>0</x:v>
      </x:c>
      <x:c r="H392" s="141" t="n">
        <x:f>IF(E392&gt;0,Premissas!$B$18,0)</x:f>
        <x:v>0</x:v>
      </x:c>
      <x:c r="I392" s="141" t="n">
        <x:f>F392+G392+H392</x:f>
        <x:v>0</x:v>
      </x:c>
      <x:c r="J392" s="141" t="n">
        <x:f>IF(E392-F392&gt;0,MIN(E392-F392,P392),0)</x:f>
        <x:v>0</x:v>
      </x:c>
      <x:c r="K392" s="141" t="n">
        <x:f>I392+J392</x:f>
        <x:v>0</x:v>
      </x:c>
      <x:c r="L392" s="141" t="n">
        <x:f>MAX(0,E392-F392-J392)</x:f>
        <x:v>0</x:v>
      </x:c>
      <x:c r="M392" s="141" t="n">
        <x:f>SUM($K$6:K392)</x:f>
        <x:v>185795.9624076597</x:v>
      </x:c>
      <x:c r="N392" s="140" t="str">
        <x:f>IF(C392=0,"Encerrado",IF(L392=0,"Quitado","Aberto"))</x:f>
        <x:v>Encerrado</x:v>
      </x:c>
      <x:c r="O392" s="141" t="n">
        <x:f>IF(C392&gt;0,Premissas!$B$35,0)</x:f>
        <x:v>0</x:v>
      </x:c>
      <x:c r="P392" s="141" t="n">
        <x:f>IF(C392&gt;0,MAX(0,O392-I392),0)</x:f>
        <x:v>0</x:v>
      </x:c>
      <x:c r="Q392" s="141" t="n">
        <x:f>J392-IF(E392-F392&gt;0,MIN(E392-F392,P392),0)</x:f>
        <x:v>0</x:v>
      </x:c>
    </x:row>
    <x:row r="393">
      <x:c r="A393" s="142" t="n">
        <x:v>388</x:v>
      </x:c>
      <x:c r="B393" s="179" t="n">
        <x:f>EDATE(Premissas!$B$4,387)</x:f>
        <x:v>58319</x:v>
      </x:c>
      <x:c r="C393" s="141" t="n">
        <x:f>L392</x:f>
        <x:v>0</x:v>
      </x:c>
      <x:c r="D393" s="141" t="n">
        <x:f>IF(C393&gt;0,C393*Premissas!$B$17,0)</x:f>
        <x:v>0</x:v>
      </x:c>
      <x:c r="E393" s="141" t="n">
        <x:f>C393+D393</x:f>
        <x:v>0</x:v>
      </x:c>
      <x:c r="F393" s="141" t="n">
        <x:f>IF(E393&gt;0,MIN(E393,INDEX(Financiamento!$G$6:$G$485,A393)),0)</x:f>
        <x:v>0</x:v>
      </x:c>
      <x:c r="G393" s="141" t="n">
        <x:f>IF(E393&gt;0,E393*Premissas!$B$15,0)</x:f>
        <x:v>0</x:v>
      </x:c>
      <x:c r="H393" s="141" t="n">
        <x:f>IF(E393&gt;0,Premissas!$B$18,0)</x:f>
        <x:v>0</x:v>
      </x:c>
      <x:c r="I393" s="141" t="n">
        <x:f>F393+G393+H393</x:f>
        <x:v>0</x:v>
      </x:c>
      <x:c r="J393" s="141" t="n">
        <x:f>IF(E393-F393&gt;0,MIN(E393-F393,P393),0)</x:f>
        <x:v>0</x:v>
      </x:c>
      <x:c r="K393" s="141" t="n">
        <x:f>I393+J393</x:f>
        <x:v>0</x:v>
      </x:c>
      <x:c r="L393" s="141" t="n">
        <x:f>MAX(0,E393-F393-J393)</x:f>
        <x:v>0</x:v>
      </x:c>
      <x:c r="M393" s="141" t="n">
        <x:f>SUM($K$6:K393)</x:f>
        <x:v>185795.9624076597</x:v>
      </x:c>
      <x:c r="N393" s="140" t="str">
        <x:f>IF(C393=0,"Encerrado",IF(L393=0,"Quitado","Aberto"))</x:f>
        <x:v>Encerrado</x:v>
      </x:c>
      <x:c r="O393" s="141" t="n">
        <x:f>IF(C393&gt;0,Premissas!$B$35,0)</x:f>
        <x:v>0</x:v>
      </x:c>
      <x:c r="P393" s="141" t="n">
        <x:f>IF(C393&gt;0,MAX(0,O393-I393),0)</x:f>
        <x:v>0</x:v>
      </x:c>
      <x:c r="Q393" s="141" t="n">
        <x:f>J393-IF(E393-F393&gt;0,MIN(E393-F393,P393),0)</x:f>
        <x:v>0</x:v>
      </x:c>
    </x:row>
    <x:row r="394">
      <x:c r="A394" s="142" t="n">
        <x:v>389</x:v>
      </x:c>
      <x:c r="B394" s="179" t="n">
        <x:f>EDATE(Premissas!$B$4,388)</x:f>
        <x:v>58349</x:v>
      </x:c>
      <x:c r="C394" s="141" t="n">
        <x:f>L393</x:f>
        <x:v>0</x:v>
      </x:c>
      <x:c r="D394" s="141" t="n">
        <x:f>IF(C394&gt;0,C394*Premissas!$B$17,0)</x:f>
        <x:v>0</x:v>
      </x:c>
      <x:c r="E394" s="141" t="n">
        <x:f>C394+D394</x:f>
        <x:v>0</x:v>
      </x:c>
      <x:c r="F394" s="141" t="n">
        <x:f>IF(E394&gt;0,MIN(E394,INDEX(Financiamento!$G$6:$G$485,A394)),0)</x:f>
        <x:v>0</x:v>
      </x:c>
      <x:c r="G394" s="141" t="n">
        <x:f>IF(E394&gt;0,E394*Premissas!$B$15,0)</x:f>
        <x:v>0</x:v>
      </x:c>
      <x:c r="H394" s="141" t="n">
        <x:f>IF(E394&gt;0,Premissas!$B$18,0)</x:f>
        <x:v>0</x:v>
      </x:c>
      <x:c r="I394" s="141" t="n">
        <x:f>F394+G394+H394</x:f>
        <x:v>0</x:v>
      </x:c>
      <x:c r="J394" s="141" t="n">
        <x:f>IF(E394-F394&gt;0,MIN(E394-F394,P394),0)</x:f>
        <x:v>0</x:v>
      </x:c>
      <x:c r="K394" s="141" t="n">
        <x:f>I394+J394</x:f>
        <x:v>0</x:v>
      </x:c>
      <x:c r="L394" s="141" t="n">
        <x:f>MAX(0,E394-F394-J394)</x:f>
        <x:v>0</x:v>
      </x:c>
      <x:c r="M394" s="141" t="n">
        <x:f>SUM($K$6:K394)</x:f>
        <x:v>185795.9624076597</x:v>
      </x:c>
      <x:c r="N394" s="140" t="str">
        <x:f>IF(C394=0,"Encerrado",IF(L394=0,"Quitado","Aberto"))</x:f>
        <x:v>Encerrado</x:v>
      </x:c>
      <x:c r="O394" s="141" t="n">
        <x:f>IF(C394&gt;0,Premissas!$B$35,0)</x:f>
        <x:v>0</x:v>
      </x:c>
      <x:c r="P394" s="141" t="n">
        <x:f>IF(C394&gt;0,MAX(0,O394-I394),0)</x:f>
        <x:v>0</x:v>
      </x:c>
      <x:c r="Q394" s="141" t="n">
        <x:f>J394-IF(E394-F394&gt;0,MIN(E394-F394,P394),0)</x:f>
        <x:v>0</x:v>
      </x:c>
    </x:row>
    <x:row r="395">
      <x:c r="A395" s="142" t="n">
        <x:v>390</x:v>
      </x:c>
      <x:c r="B395" s="179" t="n">
        <x:f>EDATE(Premissas!$B$4,389)</x:f>
        <x:v>58380</x:v>
      </x:c>
      <x:c r="C395" s="141" t="n">
        <x:f>L394</x:f>
        <x:v>0</x:v>
      </x:c>
      <x:c r="D395" s="141" t="n">
        <x:f>IF(C395&gt;0,C395*Premissas!$B$17,0)</x:f>
        <x:v>0</x:v>
      </x:c>
      <x:c r="E395" s="141" t="n">
        <x:f>C395+D395</x:f>
        <x:v>0</x:v>
      </x:c>
      <x:c r="F395" s="141" t="n">
        <x:f>IF(E395&gt;0,MIN(E395,INDEX(Financiamento!$G$6:$G$485,A395)),0)</x:f>
        <x:v>0</x:v>
      </x:c>
      <x:c r="G395" s="141" t="n">
        <x:f>IF(E395&gt;0,E395*Premissas!$B$15,0)</x:f>
        <x:v>0</x:v>
      </x:c>
      <x:c r="H395" s="141" t="n">
        <x:f>IF(E395&gt;0,Premissas!$B$18,0)</x:f>
        <x:v>0</x:v>
      </x:c>
      <x:c r="I395" s="141" t="n">
        <x:f>F395+G395+H395</x:f>
        <x:v>0</x:v>
      </x:c>
      <x:c r="J395" s="141" t="n">
        <x:f>IF(E395-F395&gt;0,MIN(E395-F395,P395),0)</x:f>
        <x:v>0</x:v>
      </x:c>
      <x:c r="K395" s="141" t="n">
        <x:f>I395+J395</x:f>
        <x:v>0</x:v>
      </x:c>
      <x:c r="L395" s="141" t="n">
        <x:f>MAX(0,E395-F395-J395)</x:f>
        <x:v>0</x:v>
      </x:c>
      <x:c r="M395" s="141" t="n">
        <x:f>SUM($K$6:K395)</x:f>
        <x:v>185795.9624076597</x:v>
      </x:c>
      <x:c r="N395" s="140" t="str">
        <x:f>IF(C395=0,"Encerrado",IF(L395=0,"Quitado","Aberto"))</x:f>
        <x:v>Encerrado</x:v>
      </x:c>
      <x:c r="O395" s="141" t="n">
        <x:f>IF(C395&gt;0,Premissas!$B$35,0)</x:f>
        <x:v>0</x:v>
      </x:c>
      <x:c r="P395" s="141" t="n">
        <x:f>IF(C395&gt;0,MAX(0,O395-I395),0)</x:f>
        <x:v>0</x:v>
      </x:c>
      <x:c r="Q395" s="141" t="n">
        <x:f>J395-IF(E395-F395&gt;0,MIN(E395-F395,P395),0)</x:f>
        <x:v>0</x:v>
      </x:c>
    </x:row>
    <x:row r="396">
      <x:c r="A396" s="142" t="n">
        <x:v>391</x:v>
      </x:c>
      <x:c r="B396" s="179" t="n">
        <x:f>EDATE(Premissas!$B$4,390)</x:f>
        <x:v>58410</x:v>
      </x:c>
      <x:c r="C396" s="141" t="n">
        <x:f>L395</x:f>
        <x:v>0</x:v>
      </x:c>
      <x:c r="D396" s="141" t="n">
        <x:f>IF(C396&gt;0,C396*Premissas!$B$17,0)</x:f>
        <x:v>0</x:v>
      </x:c>
      <x:c r="E396" s="141" t="n">
        <x:f>C396+D396</x:f>
        <x:v>0</x:v>
      </x:c>
      <x:c r="F396" s="141" t="n">
        <x:f>IF(E396&gt;0,MIN(E396,INDEX(Financiamento!$G$6:$G$485,A396)),0)</x:f>
        <x:v>0</x:v>
      </x:c>
      <x:c r="G396" s="141" t="n">
        <x:f>IF(E396&gt;0,E396*Premissas!$B$15,0)</x:f>
        <x:v>0</x:v>
      </x:c>
      <x:c r="H396" s="141" t="n">
        <x:f>IF(E396&gt;0,Premissas!$B$18,0)</x:f>
        <x:v>0</x:v>
      </x:c>
      <x:c r="I396" s="141" t="n">
        <x:f>F396+G396+H396</x:f>
        <x:v>0</x:v>
      </x:c>
      <x:c r="J396" s="141" t="n">
        <x:f>IF(E396-F396&gt;0,MIN(E396-F396,P396),0)</x:f>
        <x:v>0</x:v>
      </x:c>
      <x:c r="K396" s="141" t="n">
        <x:f>I396+J396</x:f>
        <x:v>0</x:v>
      </x:c>
      <x:c r="L396" s="141" t="n">
        <x:f>MAX(0,E396-F396-J396)</x:f>
        <x:v>0</x:v>
      </x:c>
      <x:c r="M396" s="141" t="n">
        <x:f>SUM($K$6:K396)</x:f>
        <x:v>185795.9624076597</x:v>
      </x:c>
      <x:c r="N396" s="140" t="str">
        <x:f>IF(C396=0,"Encerrado",IF(L396=0,"Quitado","Aberto"))</x:f>
        <x:v>Encerrado</x:v>
      </x:c>
      <x:c r="O396" s="141" t="n">
        <x:f>IF(C396&gt;0,Premissas!$B$35,0)</x:f>
        <x:v>0</x:v>
      </x:c>
      <x:c r="P396" s="141" t="n">
        <x:f>IF(C396&gt;0,MAX(0,O396-I396),0)</x:f>
        <x:v>0</x:v>
      </x:c>
      <x:c r="Q396" s="141" t="n">
        <x:f>J396-IF(E396-F396&gt;0,MIN(E396-F396,P396),0)</x:f>
        <x:v>0</x:v>
      </x:c>
    </x:row>
    <x:row r="397">
      <x:c r="A397" s="142" t="n">
        <x:v>392</x:v>
      </x:c>
      <x:c r="B397" s="179" t="n">
        <x:f>EDATE(Premissas!$B$4,391)</x:f>
        <x:v>58441</x:v>
      </x:c>
      <x:c r="C397" s="141" t="n">
        <x:f>L396</x:f>
        <x:v>0</x:v>
      </x:c>
      <x:c r="D397" s="141" t="n">
        <x:f>IF(C397&gt;0,C397*Premissas!$B$17,0)</x:f>
        <x:v>0</x:v>
      </x:c>
      <x:c r="E397" s="141" t="n">
        <x:f>C397+D397</x:f>
        <x:v>0</x:v>
      </x:c>
      <x:c r="F397" s="141" t="n">
        <x:f>IF(E397&gt;0,MIN(E397,INDEX(Financiamento!$G$6:$G$485,A397)),0)</x:f>
        <x:v>0</x:v>
      </x:c>
      <x:c r="G397" s="141" t="n">
        <x:f>IF(E397&gt;0,E397*Premissas!$B$15,0)</x:f>
        <x:v>0</x:v>
      </x:c>
      <x:c r="H397" s="141" t="n">
        <x:f>IF(E397&gt;0,Premissas!$B$18,0)</x:f>
        <x:v>0</x:v>
      </x:c>
      <x:c r="I397" s="141" t="n">
        <x:f>F397+G397+H397</x:f>
        <x:v>0</x:v>
      </x:c>
      <x:c r="J397" s="141" t="n">
        <x:f>IF(E397-F397&gt;0,MIN(E397-F397,P397),0)</x:f>
        <x:v>0</x:v>
      </x:c>
      <x:c r="K397" s="141" t="n">
        <x:f>I397+J397</x:f>
        <x:v>0</x:v>
      </x:c>
      <x:c r="L397" s="141" t="n">
        <x:f>MAX(0,E397-F397-J397)</x:f>
        <x:v>0</x:v>
      </x:c>
      <x:c r="M397" s="141" t="n">
        <x:f>SUM($K$6:K397)</x:f>
        <x:v>185795.9624076597</x:v>
      </x:c>
      <x:c r="N397" s="140" t="str">
        <x:f>IF(C397=0,"Encerrado",IF(L397=0,"Quitado","Aberto"))</x:f>
        <x:v>Encerrado</x:v>
      </x:c>
      <x:c r="O397" s="141" t="n">
        <x:f>IF(C397&gt;0,Premissas!$B$35,0)</x:f>
        <x:v>0</x:v>
      </x:c>
      <x:c r="P397" s="141" t="n">
        <x:f>IF(C397&gt;0,MAX(0,O397-I397),0)</x:f>
        <x:v>0</x:v>
      </x:c>
      <x:c r="Q397" s="141" t="n">
        <x:f>J397-IF(E397-F397&gt;0,MIN(E397-F397,P397),0)</x:f>
        <x:v>0</x:v>
      </x:c>
    </x:row>
    <x:row r="398">
      <x:c r="A398" s="142" t="n">
        <x:v>393</x:v>
      </x:c>
      <x:c r="B398" s="179" t="n">
        <x:f>EDATE(Premissas!$B$4,392)</x:f>
        <x:v>58472</x:v>
      </x:c>
      <x:c r="C398" s="141" t="n">
        <x:f>L397</x:f>
        <x:v>0</x:v>
      </x:c>
      <x:c r="D398" s="141" t="n">
        <x:f>IF(C398&gt;0,C398*Premissas!$B$17,0)</x:f>
        <x:v>0</x:v>
      </x:c>
      <x:c r="E398" s="141" t="n">
        <x:f>C398+D398</x:f>
        <x:v>0</x:v>
      </x:c>
      <x:c r="F398" s="141" t="n">
        <x:f>IF(E398&gt;0,MIN(E398,INDEX(Financiamento!$G$6:$G$485,A398)),0)</x:f>
        <x:v>0</x:v>
      </x:c>
      <x:c r="G398" s="141" t="n">
        <x:f>IF(E398&gt;0,E398*Premissas!$B$15,0)</x:f>
        <x:v>0</x:v>
      </x:c>
      <x:c r="H398" s="141" t="n">
        <x:f>IF(E398&gt;0,Premissas!$B$18,0)</x:f>
        <x:v>0</x:v>
      </x:c>
      <x:c r="I398" s="141" t="n">
        <x:f>F398+G398+H398</x:f>
        <x:v>0</x:v>
      </x:c>
      <x:c r="J398" s="141" t="n">
        <x:f>IF(E398-F398&gt;0,MIN(E398-F398,P398),0)</x:f>
        <x:v>0</x:v>
      </x:c>
      <x:c r="K398" s="141" t="n">
        <x:f>I398+J398</x:f>
        <x:v>0</x:v>
      </x:c>
      <x:c r="L398" s="141" t="n">
        <x:f>MAX(0,E398-F398-J398)</x:f>
        <x:v>0</x:v>
      </x:c>
      <x:c r="M398" s="141" t="n">
        <x:f>SUM($K$6:K398)</x:f>
        <x:v>185795.9624076597</x:v>
      </x:c>
      <x:c r="N398" s="140" t="str">
        <x:f>IF(C398=0,"Encerrado",IF(L398=0,"Quitado","Aberto"))</x:f>
        <x:v>Encerrado</x:v>
      </x:c>
      <x:c r="O398" s="141" t="n">
        <x:f>IF(C398&gt;0,Premissas!$B$35,0)</x:f>
        <x:v>0</x:v>
      </x:c>
      <x:c r="P398" s="141" t="n">
        <x:f>IF(C398&gt;0,MAX(0,O398-I398),0)</x:f>
        <x:v>0</x:v>
      </x:c>
      <x:c r="Q398" s="141" t="n">
        <x:f>J398-IF(E398-F398&gt;0,MIN(E398-F398,P398),0)</x:f>
        <x:v>0</x:v>
      </x:c>
    </x:row>
    <x:row r="399">
      <x:c r="A399" s="142" t="n">
        <x:v>394</x:v>
      </x:c>
      <x:c r="B399" s="179" t="n">
        <x:f>EDATE(Premissas!$B$4,393)</x:f>
        <x:v>58501</x:v>
      </x:c>
      <x:c r="C399" s="141" t="n">
        <x:f>L398</x:f>
        <x:v>0</x:v>
      </x:c>
      <x:c r="D399" s="141" t="n">
        <x:f>IF(C399&gt;0,C399*Premissas!$B$17,0)</x:f>
        <x:v>0</x:v>
      </x:c>
      <x:c r="E399" s="141" t="n">
        <x:f>C399+D399</x:f>
        <x:v>0</x:v>
      </x:c>
      <x:c r="F399" s="141" t="n">
        <x:f>IF(E399&gt;0,MIN(E399,INDEX(Financiamento!$G$6:$G$485,A399)),0)</x:f>
        <x:v>0</x:v>
      </x:c>
      <x:c r="G399" s="141" t="n">
        <x:f>IF(E399&gt;0,E399*Premissas!$B$15,0)</x:f>
        <x:v>0</x:v>
      </x:c>
      <x:c r="H399" s="141" t="n">
        <x:f>IF(E399&gt;0,Premissas!$B$18,0)</x:f>
        <x:v>0</x:v>
      </x:c>
      <x:c r="I399" s="141" t="n">
        <x:f>F399+G399+H399</x:f>
        <x:v>0</x:v>
      </x:c>
      <x:c r="J399" s="141" t="n">
        <x:f>IF(E399-F399&gt;0,MIN(E399-F399,P399),0)</x:f>
        <x:v>0</x:v>
      </x:c>
      <x:c r="K399" s="141" t="n">
        <x:f>I399+J399</x:f>
        <x:v>0</x:v>
      </x:c>
      <x:c r="L399" s="141" t="n">
        <x:f>MAX(0,E399-F399-J399)</x:f>
        <x:v>0</x:v>
      </x:c>
      <x:c r="M399" s="141" t="n">
        <x:f>SUM($K$6:K399)</x:f>
        <x:v>185795.9624076597</x:v>
      </x:c>
      <x:c r="N399" s="140" t="str">
        <x:f>IF(C399=0,"Encerrado",IF(L399=0,"Quitado","Aberto"))</x:f>
        <x:v>Encerrado</x:v>
      </x:c>
      <x:c r="O399" s="141" t="n">
        <x:f>IF(C399&gt;0,Premissas!$B$35,0)</x:f>
        <x:v>0</x:v>
      </x:c>
      <x:c r="P399" s="141" t="n">
        <x:f>IF(C399&gt;0,MAX(0,O399-I399),0)</x:f>
        <x:v>0</x:v>
      </x:c>
      <x:c r="Q399" s="141" t="n">
        <x:f>J399-IF(E399-F399&gt;0,MIN(E399-F399,P399),0)</x:f>
        <x:v>0</x:v>
      </x:c>
    </x:row>
    <x:row r="400">
      <x:c r="A400" s="142" t="n">
        <x:v>395</x:v>
      </x:c>
      <x:c r="B400" s="179" t="n">
        <x:f>EDATE(Premissas!$B$4,394)</x:f>
        <x:v>58532</x:v>
      </x:c>
      <x:c r="C400" s="141" t="n">
        <x:f>L399</x:f>
        <x:v>0</x:v>
      </x:c>
      <x:c r="D400" s="141" t="n">
        <x:f>IF(C400&gt;0,C400*Premissas!$B$17,0)</x:f>
        <x:v>0</x:v>
      </x:c>
      <x:c r="E400" s="141" t="n">
        <x:f>C400+D400</x:f>
        <x:v>0</x:v>
      </x:c>
      <x:c r="F400" s="141" t="n">
        <x:f>IF(E400&gt;0,MIN(E400,INDEX(Financiamento!$G$6:$G$485,A400)),0)</x:f>
        <x:v>0</x:v>
      </x:c>
      <x:c r="G400" s="141" t="n">
        <x:f>IF(E400&gt;0,E400*Premissas!$B$15,0)</x:f>
        <x:v>0</x:v>
      </x:c>
      <x:c r="H400" s="141" t="n">
        <x:f>IF(E400&gt;0,Premissas!$B$18,0)</x:f>
        <x:v>0</x:v>
      </x:c>
      <x:c r="I400" s="141" t="n">
        <x:f>F400+G400+H400</x:f>
        <x:v>0</x:v>
      </x:c>
      <x:c r="J400" s="141" t="n">
        <x:f>IF(E400-F400&gt;0,MIN(E400-F400,P400),0)</x:f>
        <x:v>0</x:v>
      </x:c>
      <x:c r="K400" s="141" t="n">
        <x:f>I400+J400</x:f>
        <x:v>0</x:v>
      </x:c>
      <x:c r="L400" s="141" t="n">
        <x:f>MAX(0,E400-F400-J400)</x:f>
        <x:v>0</x:v>
      </x:c>
      <x:c r="M400" s="141" t="n">
        <x:f>SUM($K$6:K400)</x:f>
        <x:v>185795.9624076597</x:v>
      </x:c>
      <x:c r="N400" s="140" t="str">
        <x:f>IF(C400=0,"Encerrado",IF(L400=0,"Quitado","Aberto"))</x:f>
        <x:v>Encerrado</x:v>
      </x:c>
      <x:c r="O400" s="141" t="n">
        <x:f>IF(C400&gt;0,Premissas!$B$35,0)</x:f>
        <x:v>0</x:v>
      </x:c>
      <x:c r="P400" s="141" t="n">
        <x:f>IF(C400&gt;0,MAX(0,O400-I400),0)</x:f>
        <x:v>0</x:v>
      </x:c>
      <x:c r="Q400" s="141" t="n">
        <x:f>J400-IF(E400-F400&gt;0,MIN(E400-F400,P400),0)</x:f>
        <x:v>0</x:v>
      </x:c>
    </x:row>
    <x:row r="401">
      <x:c r="A401" s="142" t="n">
        <x:v>396</x:v>
      </x:c>
      <x:c r="B401" s="179" t="n">
        <x:f>EDATE(Premissas!$B$4,395)</x:f>
        <x:v>58562</x:v>
      </x:c>
      <x:c r="C401" s="141" t="n">
        <x:f>L400</x:f>
        <x:v>0</x:v>
      </x:c>
      <x:c r="D401" s="141" t="n">
        <x:f>IF(C401&gt;0,C401*Premissas!$B$17,0)</x:f>
        <x:v>0</x:v>
      </x:c>
      <x:c r="E401" s="141" t="n">
        <x:f>C401+D401</x:f>
        <x:v>0</x:v>
      </x:c>
      <x:c r="F401" s="141" t="n">
        <x:f>IF(E401&gt;0,MIN(E401,INDEX(Financiamento!$G$6:$G$485,A401)),0)</x:f>
        <x:v>0</x:v>
      </x:c>
      <x:c r="G401" s="141" t="n">
        <x:f>IF(E401&gt;0,E401*Premissas!$B$15,0)</x:f>
        <x:v>0</x:v>
      </x:c>
      <x:c r="H401" s="141" t="n">
        <x:f>IF(E401&gt;0,Premissas!$B$18,0)</x:f>
        <x:v>0</x:v>
      </x:c>
      <x:c r="I401" s="141" t="n">
        <x:f>F401+G401+H401</x:f>
        <x:v>0</x:v>
      </x:c>
      <x:c r="J401" s="141" t="n">
        <x:f>IF(E401-F401&gt;0,MIN(E401-F401,P401),0)</x:f>
        <x:v>0</x:v>
      </x:c>
      <x:c r="K401" s="141" t="n">
        <x:f>I401+J401</x:f>
        <x:v>0</x:v>
      </x:c>
      <x:c r="L401" s="141" t="n">
        <x:f>MAX(0,E401-F401-J401)</x:f>
        <x:v>0</x:v>
      </x:c>
      <x:c r="M401" s="141" t="n">
        <x:f>SUM($K$6:K401)</x:f>
        <x:v>185795.9624076597</x:v>
      </x:c>
      <x:c r="N401" s="140" t="str">
        <x:f>IF(C401=0,"Encerrado",IF(L401=0,"Quitado","Aberto"))</x:f>
        <x:v>Encerrado</x:v>
      </x:c>
      <x:c r="O401" s="141" t="n">
        <x:f>IF(C401&gt;0,Premissas!$B$35,0)</x:f>
        <x:v>0</x:v>
      </x:c>
      <x:c r="P401" s="141" t="n">
        <x:f>IF(C401&gt;0,MAX(0,O401-I401),0)</x:f>
        <x:v>0</x:v>
      </x:c>
      <x:c r="Q401" s="141" t="n">
        <x:f>J401-IF(E401-F401&gt;0,MIN(E401-F401,P401),0)</x:f>
        <x:v>0</x:v>
      </x:c>
    </x:row>
    <x:row r="402">
      <x:c r="A402" s="142" t="n">
        <x:v>397</x:v>
      </x:c>
      <x:c r="B402" s="179" t="n">
        <x:f>EDATE(Premissas!$B$4,396)</x:f>
        <x:v>58593</x:v>
      </x:c>
      <x:c r="C402" s="141" t="n">
        <x:f>L401</x:f>
        <x:v>0</x:v>
      </x:c>
      <x:c r="D402" s="141" t="n">
        <x:f>IF(C402&gt;0,C402*Premissas!$B$17,0)</x:f>
        <x:v>0</x:v>
      </x:c>
      <x:c r="E402" s="141" t="n">
        <x:f>C402+D402</x:f>
        <x:v>0</x:v>
      </x:c>
      <x:c r="F402" s="141" t="n">
        <x:f>IF(E402&gt;0,MIN(E402,INDEX(Financiamento!$G$6:$G$485,A402)),0)</x:f>
        <x:v>0</x:v>
      </x:c>
      <x:c r="G402" s="141" t="n">
        <x:f>IF(E402&gt;0,E402*Premissas!$B$15,0)</x:f>
        <x:v>0</x:v>
      </x:c>
      <x:c r="H402" s="141" t="n">
        <x:f>IF(E402&gt;0,Premissas!$B$18,0)</x:f>
        <x:v>0</x:v>
      </x:c>
      <x:c r="I402" s="141" t="n">
        <x:f>F402+G402+H402</x:f>
        <x:v>0</x:v>
      </x:c>
      <x:c r="J402" s="141" t="n">
        <x:f>IF(E402-F402&gt;0,MIN(E402-F402,P402),0)</x:f>
        <x:v>0</x:v>
      </x:c>
      <x:c r="K402" s="141" t="n">
        <x:f>I402+J402</x:f>
        <x:v>0</x:v>
      </x:c>
      <x:c r="L402" s="141" t="n">
        <x:f>MAX(0,E402-F402-J402)</x:f>
        <x:v>0</x:v>
      </x:c>
      <x:c r="M402" s="141" t="n">
        <x:f>SUM($K$6:K402)</x:f>
        <x:v>185795.9624076597</x:v>
      </x:c>
      <x:c r="N402" s="140" t="str">
        <x:f>IF(C402=0,"Encerrado",IF(L402=0,"Quitado","Aberto"))</x:f>
        <x:v>Encerrado</x:v>
      </x:c>
      <x:c r="O402" s="141" t="n">
        <x:f>IF(C402&gt;0,Premissas!$B$35,0)</x:f>
        <x:v>0</x:v>
      </x:c>
      <x:c r="P402" s="141" t="n">
        <x:f>IF(C402&gt;0,MAX(0,O402-I402),0)</x:f>
        <x:v>0</x:v>
      </x:c>
      <x:c r="Q402" s="141" t="n">
        <x:f>J402-IF(E402-F402&gt;0,MIN(E402-F402,P402),0)</x:f>
        <x:v>0</x:v>
      </x:c>
    </x:row>
    <x:row r="403">
      <x:c r="A403" s="142" t="n">
        <x:v>398</x:v>
      </x:c>
      <x:c r="B403" s="179" t="n">
        <x:f>EDATE(Premissas!$B$4,397)</x:f>
        <x:v>58623</x:v>
      </x:c>
      <x:c r="C403" s="141" t="n">
        <x:f>L402</x:f>
        <x:v>0</x:v>
      </x:c>
      <x:c r="D403" s="141" t="n">
        <x:f>IF(C403&gt;0,C403*Premissas!$B$17,0)</x:f>
        <x:v>0</x:v>
      </x:c>
      <x:c r="E403" s="141" t="n">
        <x:f>C403+D403</x:f>
        <x:v>0</x:v>
      </x:c>
      <x:c r="F403" s="141" t="n">
        <x:f>IF(E403&gt;0,MIN(E403,INDEX(Financiamento!$G$6:$G$485,A403)),0)</x:f>
        <x:v>0</x:v>
      </x:c>
      <x:c r="G403" s="141" t="n">
        <x:f>IF(E403&gt;0,E403*Premissas!$B$15,0)</x:f>
        <x:v>0</x:v>
      </x:c>
      <x:c r="H403" s="141" t="n">
        <x:f>IF(E403&gt;0,Premissas!$B$18,0)</x:f>
        <x:v>0</x:v>
      </x:c>
      <x:c r="I403" s="141" t="n">
        <x:f>F403+G403+H403</x:f>
        <x:v>0</x:v>
      </x:c>
      <x:c r="J403" s="141" t="n">
        <x:f>IF(E403-F403&gt;0,MIN(E403-F403,P403),0)</x:f>
        <x:v>0</x:v>
      </x:c>
      <x:c r="K403" s="141" t="n">
        <x:f>I403+J403</x:f>
        <x:v>0</x:v>
      </x:c>
      <x:c r="L403" s="141" t="n">
        <x:f>MAX(0,E403-F403-J403)</x:f>
        <x:v>0</x:v>
      </x:c>
      <x:c r="M403" s="141" t="n">
        <x:f>SUM($K$6:K403)</x:f>
        <x:v>185795.9624076597</x:v>
      </x:c>
      <x:c r="N403" s="140" t="str">
        <x:f>IF(C403=0,"Encerrado",IF(L403=0,"Quitado","Aberto"))</x:f>
        <x:v>Encerrado</x:v>
      </x:c>
      <x:c r="O403" s="141" t="n">
        <x:f>IF(C403&gt;0,Premissas!$B$35,0)</x:f>
        <x:v>0</x:v>
      </x:c>
      <x:c r="P403" s="141" t="n">
        <x:f>IF(C403&gt;0,MAX(0,O403-I403),0)</x:f>
        <x:v>0</x:v>
      </x:c>
      <x:c r="Q403" s="141" t="n">
        <x:f>J403-IF(E403-F403&gt;0,MIN(E403-F403,P403),0)</x:f>
        <x:v>0</x:v>
      </x:c>
    </x:row>
    <x:row r="404">
      <x:c r="A404" s="142" t="n">
        <x:v>399</x:v>
      </x:c>
      <x:c r="B404" s="179" t="n">
        <x:f>EDATE(Premissas!$B$4,398)</x:f>
        <x:v>58654</x:v>
      </x:c>
      <x:c r="C404" s="141" t="n">
        <x:f>L403</x:f>
        <x:v>0</x:v>
      </x:c>
      <x:c r="D404" s="141" t="n">
        <x:f>IF(C404&gt;0,C404*Premissas!$B$17,0)</x:f>
        <x:v>0</x:v>
      </x:c>
      <x:c r="E404" s="141" t="n">
        <x:f>C404+D404</x:f>
        <x:v>0</x:v>
      </x:c>
      <x:c r="F404" s="141" t="n">
        <x:f>IF(E404&gt;0,MIN(E404,INDEX(Financiamento!$G$6:$G$485,A404)),0)</x:f>
        <x:v>0</x:v>
      </x:c>
      <x:c r="G404" s="141" t="n">
        <x:f>IF(E404&gt;0,E404*Premissas!$B$15,0)</x:f>
        <x:v>0</x:v>
      </x:c>
      <x:c r="H404" s="141" t="n">
        <x:f>IF(E404&gt;0,Premissas!$B$18,0)</x:f>
        <x:v>0</x:v>
      </x:c>
      <x:c r="I404" s="141" t="n">
        <x:f>F404+G404+H404</x:f>
        <x:v>0</x:v>
      </x:c>
      <x:c r="J404" s="141" t="n">
        <x:f>IF(E404-F404&gt;0,MIN(E404-F404,P404),0)</x:f>
        <x:v>0</x:v>
      </x:c>
      <x:c r="K404" s="141" t="n">
        <x:f>I404+J404</x:f>
        <x:v>0</x:v>
      </x:c>
      <x:c r="L404" s="141" t="n">
        <x:f>MAX(0,E404-F404-J404)</x:f>
        <x:v>0</x:v>
      </x:c>
      <x:c r="M404" s="141" t="n">
        <x:f>SUM($K$6:K404)</x:f>
        <x:v>185795.9624076597</x:v>
      </x:c>
      <x:c r="N404" s="140" t="str">
        <x:f>IF(C404=0,"Encerrado",IF(L404=0,"Quitado","Aberto"))</x:f>
        <x:v>Encerrado</x:v>
      </x:c>
      <x:c r="O404" s="141" t="n">
        <x:f>IF(C404&gt;0,Premissas!$B$35,0)</x:f>
        <x:v>0</x:v>
      </x:c>
      <x:c r="P404" s="141" t="n">
        <x:f>IF(C404&gt;0,MAX(0,O404-I404),0)</x:f>
        <x:v>0</x:v>
      </x:c>
      <x:c r="Q404" s="141" t="n">
        <x:f>J404-IF(E404-F404&gt;0,MIN(E404-F404,P404),0)</x:f>
        <x:v>0</x:v>
      </x:c>
    </x:row>
    <x:row r="405">
      <x:c r="A405" s="142" t="n">
        <x:v>400</x:v>
      </x:c>
      <x:c r="B405" s="179" t="n">
        <x:f>EDATE(Premissas!$B$4,399)</x:f>
        <x:v>58685</x:v>
      </x:c>
      <x:c r="C405" s="141" t="n">
        <x:f>L404</x:f>
        <x:v>0</x:v>
      </x:c>
      <x:c r="D405" s="141" t="n">
        <x:f>IF(C405&gt;0,C405*Premissas!$B$17,0)</x:f>
        <x:v>0</x:v>
      </x:c>
      <x:c r="E405" s="141" t="n">
        <x:f>C405+D405</x:f>
        <x:v>0</x:v>
      </x:c>
      <x:c r="F405" s="141" t="n">
        <x:f>IF(E405&gt;0,MIN(E405,INDEX(Financiamento!$G$6:$G$485,A405)),0)</x:f>
        <x:v>0</x:v>
      </x:c>
      <x:c r="G405" s="141" t="n">
        <x:f>IF(E405&gt;0,E405*Premissas!$B$15,0)</x:f>
        <x:v>0</x:v>
      </x:c>
      <x:c r="H405" s="141" t="n">
        <x:f>IF(E405&gt;0,Premissas!$B$18,0)</x:f>
        <x:v>0</x:v>
      </x:c>
      <x:c r="I405" s="141" t="n">
        <x:f>F405+G405+H405</x:f>
        <x:v>0</x:v>
      </x:c>
      <x:c r="J405" s="141" t="n">
        <x:f>IF(E405-F405&gt;0,MIN(E405-F405,P405),0)</x:f>
        <x:v>0</x:v>
      </x:c>
      <x:c r="K405" s="141" t="n">
        <x:f>I405+J405</x:f>
        <x:v>0</x:v>
      </x:c>
      <x:c r="L405" s="141" t="n">
        <x:f>MAX(0,E405-F405-J405)</x:f>
        <x:v>0</x:v>
      </x:c>
      <x:c r="M405" s="141" t="n">
        <x:f>SUM($K$6:K405)</x:f>
        <x:v>185795.9624076597</x:v>
      </x:c>
      <x:c r="N405" s="140" t="str">
        <x:f>IF(C405=0,"Encerrado",IF(L405=0,"Quitado","Aberto"))</x:f>
        <x:v>Encerrado</x:v>
      </x:c>
      <x:c r="O405" s="141" t="n">
        <x:f>IF(C405&gt;0,Premissas!$B$35,0)</x:f>
        <x:v>0</x:v>
      </x:c>
      <x:c r="P405" s="141" t="n">
        <x:f>IF(C405&gt;0,MAX(0,O405-I405),0)</x:f>
        <x:v>0</x:v>
      </x:c>
      <x:c r="Q405" s="141" t="n">
        <x:f>J405-IF(E405-F405&gt;0,MIN(E405-F405,P405),0)</x:f>
        <x:v>0</x:v>
      </x:c>
    </x:row>
    <x:row r="406">
      <x:c r="A406" s="142" t="n">
        <x:v>401</x:v>
      </x:c>
      <x:c r="B406" s="179" t="n">
        <x:f>EDATE(Premissas!$B$4,400)</x:f>
        <x:v>58715</x:v>
      </x:c>
      <x:c r="C406" s="141" t="n">
        <x:f>L405</x:f>
        <x:v>0</x:v>
      </x:c>
      <x:c r="D406" s="141" t="n">
        <x:f>IF(C406&gt;0,C406*Premissas!$B$17,0)</x:f>
        <x:v>0</x:v>
      </x:c>
      <x:c r="E406" s="141" t="n">
        <x:f>C406+D406</x:f>
        <x:v>0</x:v>
      </x:c>
      <x:c r="F406" s="141" t="n">
        <x:f>IF(E406&gt;0,MIN(E406,INDEX(Financiamento!$G$6:$G$485,A406)),0)</x:f>
        <x:v>0</x:v>
      </x:c>
      <x:c r="G406" s="141" t="n">
        <x:f>IF(E406&gt;0,E406*Premissas!$B$15,0)</x:f>
        <x:v>0</x:v>
      </x:c>
      <x:c r="H406" s="141" t="n">
        <x:f>IF(E406&gt;0,Premissas!$B$18,0)</x:f>
        <x:v>0</x:v>
      </x:c>
      <x:c r="I406" s="141" t="n">
        <x:f>F406+G406+H406</x:f>
        <x:v>0</x:v>
      </x:c>
      <x:c r="J406" s="141" t="n">
        <x:f>IF(E406-F406&gt;0,MIN(E406-F406,P406),0)</x:f>
        <x:v>0</x:v>
      </x:c>
      <x:c r="K406" s="141" t="n">
        <x:f>I406+J406</x:f>
        <x:v>0</x:v>
      </x:c>
      <x:c r="L406" s="141" t="n">
        <x:f>MAX(0,E406-F406-J406)</x:f>
        <x:v>0</x:v>
      </x:c>
      <x:c r="M406" s="141" t="n">
        <x:f>SUM($K$6:K406)</x:f>
        <x:v>185795.9624076597</x:v>
      </x:c>
      <x:c r="N406" s="140" t="str">
        <x:f>IF(C406=0,"Encerrado",IF(L406=0,"Quitado","Aberto"))</x:f>
        <x:v>Encerrado</x:v>
      </x:c>
      <x:c r="O406" s="141" t="n">
        <x:f>IF(C406&gt;0,Premissas!$B$35,0)</x:f>
        <x:v>0</x:v>
      </x:c>
      <x:c r="P406" s="141" t="n">
        <x:f>IF(C406&gt;0,MAX(0,O406-I406),0)</x:f>
        <x:v>0</x:v>
      </x:c>
      <x:c r="Q406" s="141" t="n">
        <x:f>J406-IF(E406-F406&gt;0,MIN(E406-F406,P406),0)</x:f>
        <x:v>0</x:v>
      </x:c>
    </x:row>
    <x:row r="407">
      <x:c r="A407" s="142" t="n">
        <x:v>402</x:v>
      </x:c>
      <x:c r="B407" s="179" t="n">
        <x:f>EDATE(Premissas!$B$4,401)</x:f>
        <x:v>58746</x:v>
      </x:c>
      <x:c r="C407" s="141" t="n">
        <x:f>L406</x:f>
        <x:v>0</x:v>
      </x:c>
      <x:c r="D407" s="141" t="n">
        <x:f>IF(C407&gt;0,C407*Premissas!$B$17,0)</x:f>
        <x:v>0</x:v>
      </x:c>
      <x:c r="E407" s="141" t="n">
        <x:f>C407+D407</x:f>
        <x:v>0</x:v>
      </x:c>
      <x:c r="F407" s="141" t="n">
        <x:f>IF(E407&gt;0,MIN(E407,INDEX(Financiamento!$G$6:$G$485,A407)),0)</x:f>
        <x:v>0</x:v>
      </x:c>
      <x:c r="G407" s="141" t="n">
        <x:f>IF(E407&gt;0,E407*Premissas!$B$15,0)</x:f>
        <x:v>0</x:v>
      </x:c>
      <x:c r="H407" s="141" t="n">
        <x:f>IF(E407&gt;0,Premissas!$B$18,0)</x:f>
        <x:v>0</x:v>
      </x:c>
      <x:c r="I407" s="141" t="n">
        <x:f>F407+G407+H407</x:f>
        <x:v>0</x:v>
      </x:c>
      <x:c r="J407" s="141" t="n">
        <x:f>IF(E407-F407&gt;0,MIN(E407-F407,P407),0)</x:f>
        <x:v>0</x:v>
      </x:c>
      <x:c r="K407" s="141" t="n">
        <x:f>I407+J407</x:f>
        <x:v>0</x:v>
      </x:c>
      <x:c r="L407" s="141" t="n">
        <x:f>MAX(0,E407-F407-J407)</x:f>
        <x:v>0</x:v>
      </x:c>
      <x:c r="M407" s="141" t="n">
        <x:f>SUM($K$6:K407)</x:f>
        <x:v>185795.9624076597</x:v>
      </x:c>
      <x:c r="N407" s="140" t="str">
        <x:f>IF(C407=0,"Encerrado",IF(L407=0,"Quitado","Aberto"))</x:f>
        <x:v>Encerrado</x:v>
      </x:c>
      <x:c r="O407" s="141" t="n">
        <x:f>IF(C407&gt;0,Premissas!$B$35,0)</x:f>
        <x:v>0</x:v>
      </x:c>
      <x:c r="P407" s="141" t="n">
        <x:f>IF(C407&gt;0,MAX(0,O407-I407),0)</x:f>
        <x:v>0</x:v>
      </x:c>
      <x:c r="Q407" s="141" t="n">
        <x:f>J407-IF(E407-F407&gt;0,MIN(E407-F407,P407),0)</x:f>
        <x:v>0</x:v>
      </x:c>
    </x:row>
    <x:row r="408">
      <x:c r="A408" s="142" t="n">
        <x:v>403</x:v>
      </x:c>
      <x:c r="B408" s="179" t="n">
        <x:f>EDATE(Premissas!$B$4,402)</x:f>
        <x:v>58776</x:v>
      </x:c>
      <x:c r="C408" s="141" t="n">
        <x:f>L407</x:f>
        <x:v>0</x:v>
      </x:c>
      <x:c r="D408" s="141" t="n">
        <x:f>IF(C408&gt;0,C408*Premissas!$B$17,0)</x:f>
        <x:v>0</x:v>
      </x:c>
      <x:c r="E408" s="141" t="n">
        <x:f>C408+D408</x:f>
        <x:v>0</x:v>
      </x:c>
      <x:c r="F408" s="141" t="n">
        <x:f>IF(E408&gt;0,MIN(E408,INDEX(Financiamento!$G$6:$G$485,A408)),0)</x:f>
        <x:v>0</x:v>
      </x:c>
      <x:c r="G408" s="141" t="n">
        <x:f>IF(E408&gt;0,E408*Premissas!$B$15,0)</x:f>
        <x:v>0</x:v>
      </x:c>
      <x:c r="H408" s="141" t="n">
        <x:f>IF(E408&gt;0,Premissas!$B$18,0)</x:f>
        <x:v>0</x:v>
      </x:c>
      <x:c r="I408" s="141" t="n">
        <x:f>F408+G408+H408</x:f>
        <x:v>0</x:v>
      </x:c>
      <x:c r="J408" s="141" t="n">
        <x:f>IF(E408-F408&gt;0,MIN(E408-F408,P408),0)</x:f>
        <x:v>0</x:v>
      </x:c>
      <x:c r="K408" s="141" t="n">
        <x:f>I408+J408</x:f>
        <x:v>0</x:v>
      </x:c>
      <x:c r="L408" s="141" t="n">
        <x:f>MAX(0,E408-F408-J408)</x:f>
        <x:v>0</x:v>
      </x:c>
      <x:c r="M408" s="141" t="n">
        <x:f>SUM($K$6:K408)</x:f>
        <x:v>185795.9624076597</x:v>
      </x:c>
      <x:c r="N408" s="140" t="str">
        <x:f>IF(C408=0,"Encerrado",IF(L408=0,"Quitado","Aberto"))</x:f>
        <x:v>Encerrado</x:v>
      </x:c>
      <x:c r="O408" s="141" t="n">
        <x:f>IF(C408&gt;0,Premissas!$B$35,0)</x:f>
        <x:v>0</x:v>
      </x:c>
      <x:c r="P408" s="141" t="n">
        <x:f>IF(C408&gt;0,MAX(0,O408-I408),0)</x:f>
        <x:v>0</x:v>
      </x:c>
      <x:c r="Q408" s="141" t="n">
        <x:f>J408-IF(E408-F408&gt;0,MIN(E408-F408,P408),0)</x:f>
        <x:v>0</x:v>
      </x:c>
    </x:row>
    <x:row r="409">
      <x:c r="A409" s="142" t="n">
        <x:v>404</x:v>
      </x:c>
      <x:c r="B409" s="179" t="n">
        <x:f>EDATE(Premissas!$B$4,403)</x:f>
        <x:v>58807</x:v>
      </x:c>
      <x:c r="C409" s="141" t="n">
        <x:f>L408</x:f>
        <x:v>0</x:v>
      </x:c>
      <x:c r="D409" s="141" t="n">
        <x:f>IF(C409&gt;0,C409*Premissas!$B$17,0)</x:f>
        <x:v>0</x:v>
      </x:c>
      <x:c r="E409" s="141" t="n">
        <x:f>C409+D409</x:f>
        <x:v>0</x:v>
      </x:c>
      <x:c r="F409" s="141" t="n">
        <x:f>IF(E409&gt;0,MIN(E409,INDEX(Financiamento!$G$6:$G$485,A409)),0)</x:f>
        <x:v>0</x:v>
      </x:c>
      <x:c r="G409" s="141" t="n">
        <x:f>IF(E409&gt;0,E409*Premissas!$B$15,0)</x:f>
        <x:v>0</x:v>
      </x:c>
      <x:c r="H409" s="141" t="n">
        <x:f>IF(E409&gt;0,Premissas!$B$18,0)</x:f>
        <x:v>0</x:v>
      </x:c>
      <x:c r="I409" s="141" t="n">
        <x:f>F409+G409+H409</x:f>
        <x:v>0</x:v>
      </x:c>
      <x:c r="J409" s="141" t="n">
        <x:f>IF(E409-F409&gt;0,MIN(E409-F409,P409),0)</x:f>
        <x:v>0</x:v>
      </x:c>
      <x:c r="K409" s="141" t="n">
        <x:f>I409+J409</x:f>
        <x:v>0</x:v>
      </x:c>
      <x:c r="L409" s="141" t="n">
        <x:f>MAX(0,E409-F409-J409)</x:f>
        <x:v>0</x:v>
      </x:c>
      <x:c r="M409" s="141" t="n">
        <x:f>SUM($K$6:K409)</x:f>
        <x:v>185795.9624076597</x:v>
      </x:c>
      <x:c r="N409" s="140" t="str">
        <x:f>IF(C409=0,"Encerrado",IF(L409=0,"Quitado","Aberto"))</x:f>
        <x:v>Encerrado</x:v>
      </x:c>
      <x:c r="O409" s="141" t="n">
        <x:f>IF(C409&gt;0,Premissas!$B$35,0)</x:f>
        <x:v>0</x:v>
      </x:c>
      <x:c r="P409" s="141" t="n">
        <x:f>IF(C409&gt;0,MAX(0,O409-I409),0)</x:f>
        <x:v>0</x:v>
      </x:c>
      <x:c r="Q409" s="141" t="n">
        <x:f>J409-IF(E409-F409&gt;0,MIN(E409-F409,P409),0)</x:f>
        <x:v>0</x:v>
      </x:c>
    </x:row>
    <x:row r="410">
      <x:c r="A410" s="142" t="n">
        <x:v>405</x:v>
      </x:c>
      <x:c r="B410" s="179" t="n">
        <x:f>EDATE(Premissas!$B$4,404)</x:f>
        <x:v>58838</x:v>
      </x:c>
      <x:c r="C410" s="141" t="n">
        <x:f>L409</x:f>
        <x:v>0</x:v>
      </x:c>
      <x:c r="D410" s="141" t="n">
        <x:f>IF(C410&gt;0,C410*Premissas!$B$17,0)</x:f>
        <x:v>0</x:v>
      </x:c>
      <x:c r="E410" s="141" t="n">
        <x:f>C410+D410</x:f>
        <x:v>0</x:v>
      </x:c>
      <x:c r="F410" s="141" t="n">
        <x:f>IF(E410&gt;0,MIN(E410,INDEX(Financiamento!$G$6:$G$485,A410)),0)</x:f>
        <x:v>0</x:v>
      </x:c>
      <x:c r="G410" s="141" t="n">
        <x:f>IF(E410&gt;0,E410*Premissas!$B$15,0)</x:f>
        <x:v>0</x:v>
      </x:c>
      <x:c r="H410" s="141" t="n">
        <x:f>IF(E410&gt;0,Premissas!$B$18,0)</x:f>
        <x:v>0</x:v>
      </x:c>
      <x:c r="I410" s="141" t="n">
        <x:f>F410+G410+H410</x:f>
        <x:v>0</x:v>
      </x:c>
      <x:c r="J410" s="141" t="n">
        <x:f>IF(E410-F410&gt;0,MIN(E410-F410,P410),0)</x:f>
        <x:v>0</x:v>
      </x:c>
      <x:c r="K410" s="141" t="n">
        <x:f>I410+J410</x:f>
        <x:v>0</x:v>
      </x:c>
      <x:c r="L410" s="141" t="n">
        <x:f>MAX(0,E410-F410-J410)</x:f>
        <x:v>0</x:v>
      </x:c>
      <x:c r="M410" s="141" t="n">
        <x:f>SUM($K$6:K410)</x:f>
        <x:v>185795.9624076597</x:v>
      </x:c>
      <x:c r="N410" s="140" t="str">
        <x:f>IF(C410=0,"Encerrado",IF(L410=0,"Quitado","Aberto"))</x:f>
        <x:v>Encerrado</x:v>
      </x:c>
      <x:c r="O410" s="141" t="n">
        <x:f>IF(C410&gt;0,Premissas!$B$35,0)</x:f>
        <x:v>0</x:v>
      </x:c>
      <x:c r="P410" s="141" t="n">
        <x:f>IF(C410&gt;0,MAX(0,O410-I410),0)</x:f>
        <x:v>0</x:v>
      </x:c>
      <x:c r="Q410" s="141" t="n">
        <x:f>J410-IF(E410-F410&gt;0,MIN(E410-F410,P410),0)</x:f>
        <x:v>0</x:v>
      </x:c>
    </x:row>
    <x:row r="411">
      <x:c r="A411" s="142" t="n">
        <x:v>406</x:v>
      </x:c>
      <x:c r="B411" s="179" t="n">
        <x:f>EDATE(Premissas!$B$4,405)</x:f>
        <x:v>58866</x:v>
      </x:c>
      <x:c r="C411" s="141" t="n">
        <x:f>L410</x:f>
        <x:v>0</x:v>
      </x:c>
      <x:c r="D411" s="141" t="n">
        <x:f>IF(C411&gt;0,C411*Premissas!$B$17,0)</x:f>
        <x:v>0</x:v>
      </x:c>
      <x:c r="E411" s="141" t="n">
        <x:f>C411+D411</x:f>
        <x:v>0</x:v>
      </x:c>
      <x:c r="F411" s="141" t="n">
        <x:f>IF(E411&gt;0,MIN(E411,INDEX(Financiamento!$G$6:$G$485,A411)),0)</x:f>
        <x:v>0</x:v>
      </x:c>
      <x:c r="G411" s="141" t="n">
        <x:f>IF(E411&gt;0,E411*Premissas!$B$15,0)</x:f>
        <x:v>0</x:v>
      </x:c>
      <x:c r="H411" s="141" t="n">
        <x:f>IF(E411&gt;0,Premissas!$B$18,0)</x:f>
        <x:v>0</x:v>
      </x:c>
      <x:c r="I411" s="141" t="n">
        <x:f>F411+G411+H411</x:f>
        <x:v>0</x:v>
      </x:c>
      <x:c r="J411" s="141" t="n">
        <x:f>IF(E411-F411&gt;0,MIN(E411-F411,P411),0)</x:f>
        <x:v>0</x:v>
      </x:c>
      <x:c r="K411" s="141" t="n">
        <x:f>I411+J411</x:f>
        <x:v>0</x:v>
      </x:c>
      <x:c r="L411" s="141" t="n">
        <x:f>MAX(0,E411-F411-J411)</x:f>
        <x:v>0</x:v>
      </x:c>
      <x:c r="M411" s="141" t="n">
        <x:f>SUM($K$6:K411)</x:f>
        <x:v>185795.9624076597</x:v>
      </x:c>
      <x:c r="N411" s="140" t="str">
        <x:f>IF(C411=0,"Encerrado",IF(L411=0,"Quitado","Aberto"))</x:f>
        <x:v>Encerrado</x:v>
      </x:c>
      <x:c r="O411" s="141" t="n">
        <x:f>IF(C411&gt;0,Premissas!$B$35,0)</x:f>
        <x:v>0</x:v>
      </x:c>
      <x:c r="P411" s="141" t="n">
        <x:f>IF(C411&gt;0,MAX(0,O411-I411),0)</x:f>
        <x:v>0</x:v>
      </x:c>
      <x:c r="Q411" s="141" t="n">
        <x:f>J411-IF(E411-F411&gt;0,MIN(E411-F411,P411),0)</x:f>
        <x:v>0</x:v>
      </x:c>
    </x:row>
    <x:row r="412">
      <x:c r="A412" s="142" t="n">
        <x:v>407</x:v>
      </x:c>
      <x:c r="B412" s="179" t="n">
        <x:f>EDATE(Premissas!$B$4,406)</x:f>
        <x:v>58897</x:v>
      </x:c>
      <x:c r="C412" s="141" t="n">
        <x:f>L411</x:f>
        <x:v>0</x:v>
      </x:c>
      <x:c r="D412" s="141" t="n">
        <x:f>IF(C412&gt;0,C412*Premissas!$B$17,0)</x:f>
        <x:v>0</x:v>
      </x:c>
      <x:c r="E412" s="141" t="n">
        <x:f>C412+D412</x:f>
        <x:v>0</x:v>
      </x:c>
      <x:c r="F412" s="141" t="n">
        <x:f>IF(E412&gt;0,MIN(E412,INDEX(Financiamento!$G$6:$G$485,A412)),0)</x:f>
        <x:v>0</x:v>
      </x:c>
      <x:c r="G412" s="141" t="n">
        <x:f>IF(E412&gt;0,E412*Premissas!$B$15,0)</x:f>
        <x:v>0</x:v>
      </x:c>
      <x:c r="H412" s="141" t="n">
        <x:f>IF(E412&gt;0,Premissas!$B$18,0)</x:f>
        <x:v>0</x:v>
      </x:c>
      <x:c r="I412" s="141" t="n">
        <x:f>F412+G412+H412</x:f>
        <x:v>0</x:v>
      </x:c>
      <x:c r="J412" s="141" t="n">
        <x:f>IF(E412-F412&gt;0,MIN(E412-F412,P412),0)</x:f>
        <x:v>0</x:v>
      </x:c>
      <x:c r="K412" s="141" t="n">
        <x:f>I412+J412</x:f>
        <x:v>0</x:v>
      </x:c>
      <x:c r="L412" s="141" t="n">
        <x:f>MAX(0,E412-F412-J412)</x:f>
        <x:v>0</x:v>
      </x:c>
      <x:c r="M412" s="141" t="n">
        <x:f>SUM($K$6:K412)</x:f>
        <x:v>185795.9624076597</x:v>
      </x:c>
      <x:c r="N412" s="140" t="str">
        <x:f>IF(C412=0,"Encerrado",IF(L412=0,"Quitado","Aberto"))</x:f>
        <x:v>Encerrado</x:v>
      </x:c>
      <x:c r="O412" s="141" t="n">
        <x:f>IF(C412&gt;0,Premissas!$B$35,0)</x:f>
        <x:v>0</x:v>
      </x:c>
      <x:c r="P412" s="141" t="n">
        <x:f>IF(C412&gt;0,MAX(0,O412-I412),0)</x:f>
        <x:v>0</x:v>
      </x:c>
      <x:c r="Q412" s="141" t="n">
        <x:f>J412-IF(E412-F412&gt;0,MIN(E412-F412,P412),0)</x:f>
        <x:v>0</x:v>
      </x:c>
    </x:row>
    <x:row r="413">
      <x:c r="A413" s="142" t="n">
        <x:v>408</x:v>
      </x:c>
      <x:c r="B413" s="179" t="n">
        <x:f>EDATE(Premissas!$B$4,407)</x:f>
        <x:v>58927</x:v>
      </x:c>
      <x:c r="C413" s="141" t="n">
        <x:f>L412</x:f>
        <x:v>0</x:v>
      </x:c>
      <x:c r="D413" s="141" t="n">
        <x:f>IF(C413&gt;0,C413*Premissas!$B$17,0)</x:f>
        <x:v>0</x:v>
      </x:c>
      <x:c r="E413" s="141" t="n">
        <x:f>C413+D413</x:f>
        <x:v>0</x:v>
      </x:c>
      <x:c r="F413" s="141" t="n">
        <x:f>IF(E413&gt;0,MIN(E413,INDEX(Financiamento!$G$6:$G$485,A413)),0)</x:f>
        <x:v>0</x:v>
      </x:c>
      <x:c r="G413" s="141" t="n">
        <x:f>IF(E413&gt;0,E413*Premissas!$B$15,0)</x:f>
        <x:v>0</x:v>
      </x:c>
      <x:c r="H413" s="141" t="n">
        <x:f>IF(E413&gt;0,Premissas!$B$18,0)</x:f>
        <x:v>0</x:v>
      </x:c>
      <x:c r="I413" s="141" t="n">
        <x:f>F413+G413+H413</x:f>
        <x:v>0</x:v>
      </x:c>
      <x:c r="J413" s="141" t="n">
        <x:f>IF(E413-F413&gt;0,MIN(E413-F413,P413),0)</x:f>
        <x:v>0</x:v>
      </x:c>
      <x:c r="K413" s="141" t="n">
        <x:f>I413+J413</x:f>
        <x:v>0</x:v>
      </x:c>
      <x:c r="L413" s="141" t="n">
        <x:f>MAX(0,E413-F413-J413)</x:f>
        <x:v>0</x:v>
      </x:c>
      <x:c r="M413" s="141" t="n">
        <x:f>SUM($K$6:K413)</x:f>
        <x:v>185795.9624076597</x:v>
      </x:c>
      <x:c r="N413" s="140" t="str">
        <x:f>IF(C413=0,"Encerrado",IF(L413=0,"Quitado","Aberto"))</x:f>
        <x:v>Encerrado</x:v>
      </x:c>
      <x:c r="O413" s="141" t="n">
        <x:f>IF(C413&gt;0,Premissas!$B$35,0)</x:f>
        <x:v>0</x:v>
      </x:c>
      <x:c r="P413" s="141" t="n">
        <x:f>IF(C413&gt;0,MAX(0,O413-I413),0)</x:f>
        <x:v>0</x:v>
      </x:c>
      <x:c r="Q413" s="141" t="n">
        <x:f>J413-IF(E413-F413&gt;0,MIN(E413-F413,P413),0)</x:f>
        <x:v>0</x:v>
      </x:c>
    </x:row>
    <x:row r="414">
      <x:c r="A414" s="142" t="n">
        <x:v>409</x:v>
      </x:c>
      <x:c r="B414" s="179" t="n">
        <x:f>EDATE(Premissas!$B$4,408)</x:f>
        <x:v>58958</x:v>
      </x:c>
      <x:c r="C414" s="141" t="n">
        <x:f>L413</x:f>
        <x:v>0</x:v>
      </x:c>
      <x:c r="D414" s="141" t="n">
        <x:f>IF(C414&gt;0,C414*Premissas!$B$17,0)</x:f>
        <x:v>0</x:v>
      </x:c>
      <x:c r="E414" s="141" t="n">
        <x:f>C414+D414</x:f>
        <x:v>0</x:v>
      </x:c>
      <x:c r="F414" s="141" t="n">
        <x:f>IF(E414&gt;0,MIN(E414,INDEX(Financiamento!$G$6:$G$485,A414)),0)</x:f>
        <x:v>0</x:v>
      </x:c>
      <x:c r="G414" s="141" t="n">
        <x:f>IF(E414&gt;0,E414*Premissas!$B$15,0)</x:f>
        <x:v>0</x:v>
      </x:c>
      <x:c r="H414" s="141" t="n">
        <x:f>IF(E414&gt;0,Premissas!$B$18,0)</x:f>
        <x:v>0</x:v>
      </x:c>
      <x:c r="I414" s="141" t="n">
        <x:f>F414+G414+H414</x:f>
        <x:v>0</x:v>
      </x:c>
      <x:c r="J414" s="141" t="n">
        <x:f>IF(E414-F414&gt;0,MIN(E414-F414,P414),0)</x:f>
        <x:v>0</x:v>
      </x:c>
      <x:c r="K414" s="141" t="n">
        <x:f>I414+J414</x:f>
        <x:v>0</x:v>
      </x:c>
      <x:c r="L414" s="141" t="n">
        <x:f>MAX(0,E414-F414-J414)</x:f>
        <x:v>0</x:v>
      </x:c>
      <x:c r="M414" s="141" t="n">
        <x:f>SUM($K$6:K414)</x:f>
        <x:v>185795.9624076597</x:v>
      </x:c>
      <x:c r="N414" s="140" t="str">
        <x:f>IF(C414=0,"Encerrado",IF(L414=0,"Quitado","Aberto"))</x:f>
        <x:v>Encerrado</x:v>
      </x:c>
      <x:c r="O414" s="141" t="n">
        <x:f>IF(C414&gt;0,Premissas!$B$35,0)</x:f>
        <x:v>0</x:v>
      </x:c>
      <x:c r="P414" s="141" t="n">
        <x:f>IF(C414&gt;0,MAX(0,O414-I414),0)</x:f>
        <x:v>0</x:v>
      </x:c>
      <x:c r="Q414" s="141" t="n">
        <x:f>J414-IF(E414-F414&gt;0,MIN(E414-F414,P414),0)</x:f>
        <x:v>0</x:v>
      </x:c>
    </x:row>
    <x:row r="415">
      <x:c r="A415" s="142" t="n">
        <x:v>410</x:v>
      </x:c>
      <x:c r="B415" s="179" t="n">
        <x:f>EDATE(Premissas!$B$4,409)</x:f>
        <x:v>58988</x:v>
      </x:c>
      <x:c r="C415" s="141" t="n">
        <x:f>L414</x:f>
        <x:v>0</x:v>
      </x:c>
      <x:c r="D415" s="141" t="n">
        <x:f>IF(C415&gt;0,C415*Premissas!$B$17,0)</x:f>
        <x:v>0</x:v>
      </x:c>
      <x:c r="E415" s="141" t="n">
        <x:f>C415+D415</x:f>
        <x:v>0</x:v>
      </x:c>
      <x:c r="F415" s="141" t="n">
        <x:f>IF(E415&gt;0,MIN(E415,INDEX(Financiamento!$G$6:$G$485,A415)),0)</x:f>
        <x:v>0</x:v>
      </x:c>
      <x:c r="G415" s="141" t="n">
        <x:f>IF(E415&gt;0,E415*Premissas!$B$15,0)</x:f>
        <x:v>0</x:v>
      </x:c>
      <x:c r="H415" s="141" t="n">
        <x:f>IF(E415&gt;0,Premissas!$B$18,0)</x:f>
        <x:v>0</x:v>
      </x:c>
      <x:c r="I415" s="141" t="n">
        <x:f>F415+G415+H415</x:f>
        <x:v>0</x:v>
      </x:c>
      <x:c r="J415" s="141" t="n">
        <x:f>IF(E415-F415&gt;0,MIN(E415-F415,P415),0)</x:f>
        <x:v>0</x:v>
      </x:c>
      <x:c r="K415" s="141" t="n">
        <x:f>I415+J415</x:f>
        <x:v>0</x:v>
      </x:c>
      <x:c r="L415" s="141" t="n">
        <x:f>MAX(0,E415-F415-J415)</x:f>
        <x:v>0</x:v>
      </x:c>
      <x:c r="M415" s="141" t="n">
        <x:f>SUM($K$6:K415)</x:f>
        <x:v>185795.9624076597</x:v>
      </x:c>
      <x:c r="N415" s="140" t="str">
        <x:f>IF(C415=0,"Encerrado",IF(L415=0,"Quitado","Aberto"))</x:f>
        <x:v>Encerrado</x:v>
      </x:c>
      <x:c r="O415" s="141" t="n">
        <x:f>IF(C415&gt;0,Premissas!$B$35,0)</x:f>
        <x:v>0</x:v>
      </x:c>
      <x:c r="P415" s="141" t="n">
        <x:f>IF(C415&gt;0,MAX(0,O415-I415),0)</x:f>
        <x:v>0</x:v>
      </x:c>
      <x:c r="Q415" s="141" t="n">
        <x:f>J415-IF(E415-F415&gt;0,MIN(E415-F415,P415),0)</x:f>
        <x:v>0</x:v>
      </x:c>
    </x:row>
    <x:row r="416">
      <x:c r="A416" s="142" t="n">
        <x:v>411</x:v>
      </x:c>
      <x:c r="B416" s="179" t="n">
        <x:f>EDATE(Premissas!$B$4,410)</x:f>
        <x:v>59019</x:v>
      </x:c>
      <x:c r="C416" s="141" t="n">
        <x:f>L415</x:f>
        <x:v>0</x:v>
      </x:c>
      <x:c r="D416" s="141" t="n">
        <x:f>IF(C416&gt;0,C416*Premissas!$B$17,0)</x:f>
        <x:v>0</x:v>
      </x:c>
      <x:c r="E416" s="141" t="n">
        <x:f>C416+D416</x:f>
        <x:v>0</x:v>
      </x:c>
      <x:c r="F416" s="141" t="n">
        <x:f>IF(E416&gt;0,MIN(E416,INDEX(Financiamento!$G$6:$G$485,A416)),0)</x:f>
        <x:v>0</x:v>
      </x:c>
      <x:c r="G416" s="141" t="n">
        <x:f>IF(E416&gt;0,E416*Premissas!$B$15,0)</x:f>
        <x:v>0</x:v>
      </x:c>
      <x:c r="H416" s="141" t="n">
        <x:f>IF(E416&gt;0,Premissas!$B$18,0)</x:f>
        <x:v>0</x:v>
      </x:c>
      <x:c r="I416" s="141" t="n">
        <x:f>F416+G416+H416</x:f>
        <x:v>0</x:v>
      </x:c>
      <x:c r="J416" s="141" t="n">
        <x:f>IF(E416-F416&gt;0,MIN(E416-F416,P416),0)</x:f>
        <x:v>0</x:v>
      </x:c>
      <x:c r="K416" s="141" t="n">
        <x:f>I416+J416</x:f>
        <x:v>0</x:v>
      </x:c>
      <x:c r="L416" s="141" t="n">
        <x:f>MAX(0,E416-F416-J416)</x:f>
        <x:v>0</x:v>
      </x:c>
      <x:c r="M416" s="141" t="n">
        <x:f>SUM($K$6:K416)</x:f>
        <x:v>185795.9624076597</x:v>
      </x:c>
      <x:c r="N416" s="140" t="str">
        <x:f>IF(C416=0,"Encerrado",IF(L416=0,"Quitado","Aberto"))</x:f>
        <x:v>Encerrado</x:v>
      </x:c>
      <x:c r="O416" s="141" t="n">
        <x:f>IF(C416&gt;0,Premissas!$B$35,0)</x:f>
        <x:v>0</x:v>
      </x:c>
      <x:c r="P416" s="141" t="n">
        <x:f>IF(C416&gt;0,MAX(0,O416-I416),0)</x:f>
        <x:v>0</x:v>
      </x:c>
      <x:c r="Q416" s="141" t="n">
        <x:f>J416-IF(E416-F416&gt;0,MIN(E416-F416,P416),0)</x:f>
        <x:v>0</x:v>
      </x:c>
    </x:row>
    <x:row r="417">
      <x:c r="A417" s="142" t="n">
        <x:v>412</x:v>
      </x:c>
      <x:c r="B417" s="179" t="n">
        <x:f>EDATE(Premissas!$B$4,411)</x:f>
        <x:v>59050</x:v>
      </x:c>
      <x:c r="C417" s="141" t="n">
        <x:f>L416</x:f>
        <x:v>0</x:v>
      </x:c>
      <x:c r="D417" s="141" t="n">
        <x:f>IF(C417&gt;0,C417*Premissas!$B$17,0)</x:f>
        <x:v>0</x:v>
      </x:c>
      <x:c r="E417" s="141" t="n">
        <x:f>C417+D417</x:f>
        <x:v>0</x:v>
      </x:c>
      <x:c r="F417" s="141" t="n">
        <x:f>IF(E417&gt;0,MIN(E417,INDEX(Financiamento!$G$6:$G$485,A417)),0)</x:f>
        <x:v>0</x:v>
      </x:c>
      <x:c r="G417" s="141" t="n">
        <x:f>IF(E417&gt;0,E417*Premissas!$B$15,0)</x:f>
        <x:v>0</x:v>
      </x:c>
      <x:c r="H417" s="141" t="n">
        <x:f>IF(E417&gt;0,Premissas!$B$18,0)</x:f>
        <x:v>0</x:v>
      </x:c>
      <x:c r="I417" s="141" t="n">
        <x:f>F417+G417+H417</x:f>
        <x:v>0</x:v>
      </x:c>
      <x:c r="J417" s="141" t="n">
        <x:f>IF(E417-F417&gt;0,MIN(E417-F417,P417),0)</x:f>
        <x:v>0</x:v>
      </x:c>
      <x:c r="K417" s="141" t="n">
        <x:f>I417+J417</x:f>
        <x:v>0</x:v>
      </x:c>
      <x:c r="L417" s="141" t="n">
        <x:f>MAX(0,E417-F417-J417)</x:f>
        <x:v>0</x:v>
      </x:c>
      <x:c r="M417" s="141" t="n">
        <x:f>SUM($K$6:K417)</x:f>
        <x:v>185795.9624076597</x:v>
      </x:c>
      <x:c r="N417" s="140" t="str">
        <x:f>IF(C417=0,"Encerrado",IF(L417=0,"Quitado","Aberto"))</x:f>
        <x:v>Encerrado</x:v>
      </x:c>
      <x:c r="O417" s="141" t="n">
        <x:f>IF(C417&gt;0,Premissas!$B$35,0)</x:f>
        <x:v>0</x:v>
      </x:c>
      <x:c r="P417" s="141" t="n">
        <x:f>IF(C417&gt;0,MAX(0,O417-I417),0)</x:f>
        <x:v>0</x:v>
      </x:c>
      <x:c r="Q417" s="141" t="n">
        <x:f>J417-IF(E417-F417&gt;0,MIN(E417-F417,P417),0)</x:f>
        <x:v>0</x:v>
      </x:c>
    </x:row>
    <x:row r="418">
      <x:c r="A418" s="142" t="n">
        <x:v>413</x:v>
      </x:c>
      <x:c r="B418" s="179" t="n">
        <x:f>EDATE(Premissas!$B$4,412)</x:f>
        <x:v>59080</x:v>
      </x:c>
      <x:c r="C418" s="141" t="n">
        <x:f>L417</x:f>
        <x:v>0</x:v>
      </x:c>
      <x:c r="D418" s="141" t="n">
        <x:f>IF(C418&gt;0,C418*Premissas!$B$17,0)</x:f>
        <x:v>0</x:v>
      </x:c>
      <x:c r="E418" s="141" t="n">
        <x:f>C418+D418</x:f>
        <x:v>0</x:v>
      </x:c>
      <x:c r="F418" s="141" t="n">
        <x:f>IF(E418&gt;0,MIN(E418,INDEX(Financiamento!$G$6:$G$485,A418)),0)</x:f>
        <x:v>0</x:v>
      </x:c>
      <x:c r="G418" s="141" t="n">
        <x:f>IF(E418&gt;0,E418*Premissas!$B$15,0)</x:f>
        <x:v>0</x:v>
      </x:c>
      <x:c r="H418" s="141" t="n">
        <x:f>IF(E418&gt;0,Premissas!$B$18,0)</x:f>
        <x:v>0</x:v>
      </x:c>
      <x:c r="I418" s="141" t="n">
        <x:f>F418+G418+H418</x:f>
        <x:v>0</x:v>
      </x:c>
      <x:c r="J418" s="141" t="n">
        <x:f>IF(E418-F418&gt;0,MIN(E418-F418,P418),0)</x:f>
        <x:v>0</x:v>
      </x:c>
      <x:c r="K418" s="141" t="n">
        <x:f>I418+J418</x:f>
        <x:v>0</x:v>
      </x:c>
      <x:c r="L418" s="141" t="n">
        <x:f>MAX(0,E418-F418-J418)</x:f>
        <x:v>0</x:v>
      </x:c>
      <x:c r="M418" s="141" t="n">
        <x:f>SUM($K$6:K418)</x:f>
        <x:v>185795.9624076597</x:v>
      </x:c>
      <x:c r="N418" s="140" t="str">
        <x:f>IF(C418=0,"Encerrado",IF(L418=0,"Quitado","Aberto"))</x:f>
        <x:v>Encerrado</x:v>
      </x:c>
      <x:c r="O418" s="141" t="n">
        <x:f>IF(C418&gt;0,Premissas!$B$35,0)</x:f>
        <x:v>0</x:v>
      </x:c>
      <x:c r="P418" s="141" t="n">
        <x:f>IF(C418&gt;0,MAX(0,O418-I418),0)</x:f>
        <x:v>0</x:v>
      </x:c>
      <x:c r="Q418" s="141" t="n">
        <x:f>J418-IF(E418-F418&gt;0,MIN(E418-F418,P418),0)</x:f>
        <x:v>0</x:v>
      </x:c>
    </x:row>
    <x:row r="419">
      <x:c r="A419" s="142" t="n">
        <x:v>414</x:v>
      </x:c>
      <x:c r="B419" s="179" t="n">
        <x:f>EDATE(Premissas!$B$4,413)</x:f>
        <x:v>59111</x:v>
      </x:c>
      <x:c r="C419" s="141" t="n">
        <x:f>L418</x:f>
        <x:v>0</x:v>
      </x:c>
      <x:c r="D419" s="141" t="n">
        <x:f>IF(C419&gt;0,C419*Premissas!$B$17,0)</x:f>
        <x:v>0</x:v>
      </x:c>
      <x:c r="E419" s="141" t="n">
        <x:f>C419+D419</x:f>
        <x:v>0</x:v>
      </x:c>
      <x:c r="F419" s="141" t="n">
        <x:f>IF(E419&gt;0,MIN(E419,INDEX(Financiamento!$G$6:$G$485,A419)),0)</x:f>
        <x:v>0</x:v>
      </x:c>
      <x:c r="G419" s="141" t="n">
        <x:f>IF(E419&gt;0,E419*Premissas!$B$15,0)</x:f>
        <x:v>0</x:v>
      </x:c>
      <x:c r="H419" s="141" t="n">
        <x:f>IF(E419&gt;0,Premissas!$B$18,0)</x:f>
        <x:v>0</x:v>
      </x:c>
      <x:c r="I419" s="141" t="n">
        <x:f>F419+G419+H419</x:f>
        <x:v>0</x:v>
      </x:c>
      <x:c r="J419" s="141" t="n">
        <x:f>IF(E419-F419&gt;0,MIN(E419-F419,P419),0)</x:f>
        <x:v>0</x:v>
      </x:c>
      <x:c r="K419" s="141" t="n">
        <x:f>I419+J419</x:f>
        <x:v>0</x:v>
      </x:c>
      <x:c r="L419" s="141" t="n">
        <x:f>MAX(0,E419-F419-J419)</x:f>
        <x:v>0</x:v>
      </x:c>
      <x:c r="M419" s="141" t="n">
        <x:f>SUM($K$6:K419)</x:f>
        <x:v>185795.9624076597</x:v>
      </x:c>
      <x:c r="N419" s="140" t="str">
        <x:f>IF(C419=0,"Encerrado",IF(L419=0,"Quitado","Aberto"))</x:f>
        <x:v>Encerrado</x:v>
      </x:c>
      <x:c r="O419" s="141" t="n">
        <x:f>IF(C419&gt;0,Premissas!$B$35,0)</x:f>
        <x:v>0</x:v>
      </x:c>
      <x:c r="P419" s="141" t="n">
        <x:f>IF(C419&gt;0,MAX(0,O419-I419),0)</x:f>
        <x:v>0</x:v>
      </x:c>
      <x:c r="Q419" s="141" t="n">
        <x:f>J419-IF(E419-F419&gt;0,MIN(E419-F419,P419),0)</x:f>
        <x:v>0</x:v>
      </x:c>
    </x:row>
    <x:row r="420">
      <x:c r="A420" s="142" t="n">
        <x:v>415</x:v>
      </x:c>
      <x:c r="B420" s="179" t="n">
        <x:f>EDATE(Premissas!$B$4,414)</x:f>
        <x:v>59141</x:v>
      </x:c>
      <x:c r="C420" s="141" t="n">
        <x:f>L419</x:f>
        <x:v>0</x:v>
      </x:c>
      <x:c r="D420" s="141" t="n">
        <x:f>IF(C420&gt;0,C420*Premissas!$B$17,0)</x:f>
        <x:v>0</x:v>
      </x:c>
      <x:c r="E420" s="141" t="n">
        <x:f>C420+D420</x:f>
        <x:v>0</x:v>
      </x:c>
      <x:c r="F420" s="141" t="n">
        <x:f>IF(E420&gt;0,MIN(E420,INDEX(Financiamento!$G$6:$G$485,A420)),0)</x:f>
        <x:v>0</x:v>
      </x:c>
      <x:c r="G420" s="141" t="n">
        <x:f>IF(E420&gt;0,E420*Premissas!$B$15,0)</x:f>
        <x:v>0</x:v>
      </x:c>
      <x:c r="H420" s="141" t="n">
        <x:f>IF(E420&gt;0,Premissas!$B$18,0)</x:f>
        <x:v>0</x:v>
      </x:c>
      <x:c r="I420" s="141" t="n">
        <x:f>F420+G420+H420</x:f>
        <x:v>0</x:v>
      </x:c>
      <x:c r="J420" s="141" t="n">
        <x:f>IF(E420-F420&gt;0,MIN(E420-F420,P420),0)</x:f>
        <x:v>0</x:v>
      </x:c>
      <x:c r="K420" s="141" t="n">
        <x:f>I420+J420</x:f>
        <x:v>0</x:v>
      </x:c>
      <x:c r="L420" s="141" t="n">
        <x:f>MAX(0,E420-F420-J420)</x:f>
        <x:v>0</x:v>
      </x:c>
      <x:c r="M420" s="141" t="n">
        <x:f>SUM($K$6:K420)</x:f>
        <x:v>185795.9624076597</x:v>
      </x:c>
      <x:c r="N420" s="140" t="str">
        <x:f>IF(C420=0,"Encerrado",IF(L420=0,"Quitado","Aberto"))</x:f>
        <x:v>Encerrado</x:v>
      </x:c>
      <x:c r="O420" s="141" t="n">
        <x:f>IF(C420&gt;0,Premissas!$B$35,0)</x:f>
        <x:v>0</x:v>
      </x:c>
      <x:c r="P420" s="141" t="n">
        <x:f>IF(C420&gt;0,MAX(0,O420-I420),0)</x:f>
        <x:v>0</x:v>
      </x:c>
      <x:c r="Q420" s="141" t="n">
        <x:f>J420-IF(E420-F420&gt;0,MIN(E420-F420,P420),0)</x:f>
        <x:v>0</x:v>
      </x:c>
    </x:row>
    <x:row r="421">
      <x:c r="A421" s="142" t="n">
        <x:v>416</x:v>
      </x:c>
      <x:c r="B421" s="179" t="n">
        <x:f>EDATE(Premissas!$B$4,415)</x:f>
        <x:v>59172</x:v>
      </x:c>
      <x:c r="C421" s="141" t="n">
        <x:f>L420</x:f>
        <x:v>0</x:v>
      </x:c>
      <x:c r="D421" s="141" t="n">
        <x:f>IF(C421&gt;0,C421*Premissas!$B$17,0)</x:f>
        <x:v>0</x:v>
      </x:c>
      <x:c r="E421" s="141" t="n">
        <x:f>C421+D421</x:f>
        <x:v>0</x:v>
      </x:c>
      <x:c r="F421" s="141" t="n">
        <x:f>IF(E421&gt;0,MIN(E421,INDEX(Financiamento!$G$6:$G$485,A421)),0)</x:f>
        <x:v>0</x:v>
      </x:c>
      <x:c r="G421" s="141" t="n">
        <x:f>IF(E421&gt;0,E421*Premissas!$B$15,0)</x:f>
        <x:v>0</x:v>
      </x:c>
      <x:c r="H421" s="141" t="n">
        <x:f>IF(E421&gt;0,Premissas!$B$18,0)</x:f>
        <x:v>0</x:v>
      </x:c>
      <x:c r="I421" s="141" t="n">
        <x:f>F421+G421+H421</x:f>
        <x:v>0</x:v>
      </x:c>
      <x:c r="J421" s="141" t="n">
        <x:f>IF(E421-F421&gt;0,MIN(E421-F421,P421),0)</x:f>
        <x:v>0</x:v>
      </x:c>
      <x:c r="K421" s="141" t="n">
        <x:f>I421+J421</x:f>
        <x:v>0</x:v>
      </x:c>
      <x:c r="L421" s="141" t="n">
        <x:f>MAX(0,E421-F421-J421)</x:f>
        <x:v>0</x:v>
      </x:c>
      <x:c r="M421" s="141" t="n">
        <x:f>SUM($K$6:K421)</x:f>
        <x:v>185795.9624076597</x:v>
      </x:c>
      <x:c r="N421" s="140" t="str">
        <x:f>IF(C421=0,"Encerrado",IF(L421=0,"Quitado","Aberto"))</x:f>
        <x:v>Encerrado</x:v>
      </x:c>
      <x:c r="O421" s="141" t="n">
        <x:f>IF(C421&gt;0,Premissas!$B$35,0)</x:f>
        <x:v>0</x:v>
      </x:c>
      <x:c r="P421" s="141" t="n">
        <x:f>IF(C421&gt;0,MAX(0,O421-I421),0)</x:f>
        <x:v>0</x:v>
      </x:c>
      <x:c r="Q421" s="141" t="n">
        <x:f>J421-IF(E421-F421&gt;0,MIN(E421-F421,P421),0)</x:f>
        <x:v>0</x:v>
      </x:c>
    </x:row>
    <x:row r="422">
      <x:c r="A422" s="142" t="n">
        <x:v>417</x:v>
      </x:c>
      <x:c r="B422" s="179" t="n">
        <x:f>EDATE(Premissas!$B$4,416)</x:f>
        <x:v>59203</x:v>
      </x:c>
      <x:c r="C422" s="141" t="n">
        <x:f>L421</x:f>
        <x:v>0</x:v>
      </x:c>
      <x:c r="D422" s="141" t="n">
        <x:f>IF(C422&gt;0,C422*Premissas!$B$17,0)</x:f>
        <x:v>0</x:v>
      </x:c>
      <x:c r="E422" s="141" t="n">
        <x:f>C422+D422</x:f>
        <x:v>0</x:v>
      </x:c>
      <x:c r="F422" s="141" t="n">
        <x:f>IF(E422&gt;0,MIN(E422,INDEX(Financiamento!$G$6:$G$485,A422)),0)</x:f>
        <x:v>0</x:v>
      </x:c>
      <x:c r="G422" s="141" t="n">
        <x:f>IF(E422&gt;0,E422*Premissas!$B$15,0)</x:f>
        <x:v>0</x:v>
      </x:c>
      <x:c r="H422" s="141" t="n">
        <x:f>IF(E422&gt;0,Premissas!$B$18,0)</x:f>
        <x:v>0</x:v>
      </x:c>
      <x:c r="I422" s="141" t="n">
        <x:f>F422+G422+H422</x:f>
        <x:v>0</x:v>
      </x:c>
      <x:c r="J422" s="141" t="n">
        <x:f>IF(E422-F422&gt;0,MIN(E422-F422,P422),0)</x:f>
        <x:v>0</x:v>
      </x:c>
      <x:c r="K422" s="141" t="n">
        <x:f>I422+J422</x:f>
        <x:v>0</x:v>
      </x:c>
      <x:c r="L422" s="141" t="n">
        <x:f>MAX(0,E422-F422-J422)</x:f>
        <x:v>0</x:v>
      </x:c>
      <x:c r="M422" s="141" t="n">
        <x:f>SUM($K$6:K422)</x:f>
        <x:v>185795.9624076597</x:v>
      </x:c>
      <x:c r="N422" s="140" t="str">
        <x:f>IF(C422=0,"Encerrado",IF(L422=0,"Quitado","Aberto"))</x:f>
        <x:v>Encerrado</x:v>
      </x:c>
      <x:c r="O422" s="141" t="n">
        <x:f>IF(C422&gt;0,Premissas!$B$35,0)</x:f>
        <x:v>0</x:v>
      </x:c>
      <x:c r="P422" s="141" t="n">
        <x:f>IF(C422&gt;0,MAX(0,O422-I422),0)</x:f>
        <x:v>0</x:v>
      </x:c>
      <x:c r="Q422" s="141" t="n">
        <x:f>J422-IF(E422-F422&gt;0,MIN(E422-F422,P422),0)</x:f>
        <x:v>0</x:v>
      </x:c>
    </x:row>
    <x:row r="423">
      <x:c r="A423" s="142" t="n">
        <x:v>418</x:v>
      </x:c>
      <x:c r="B423" s="179" t="n">
        <x:f>EDATE(Premissas!$B$4,417)</x:f>
        <x:v>59231</x:v>
      </x:c>
      <x:c r="C423" s="141" t="n">
        <x:f>L422</x:f>
        <x:v>0</x:v>
      </x:c>
      <x:c r="D423" s="141" t="n">
        <x:f>IF(C423&gt;0,C423*Premissas!$B$17,0)</x:f>
        <x:v>0</x:v>
      </x:c>
      <x:c r="E423" s="141" t="n">
        <x:f>C423+D423</x:f>
        <x:v>0</x:v>
      </x:c>
      <x:c r="F423" s="141" t="n">
        <x:f>IF(E423&gt;0,MIN(E423,INDEX(Financiamento!$G$6:$G$485,A423)),0)</x:f>
        <x:v>0</x:v>
      </x:c>
      <x:c r="G423" s="141" t="n">
        <x:f>IF(E423&gt;0,E423*Premissas!$B$15,0)</x:f>
        <x:v>0</x:v>
      </x:c>
      <x:c r="H423" s="141" t="n">
        <x:f>IF(E423&gt;0,Premissas!$B$18,0)</x:f>
        <x:v>0</x:v>
      </x:c>
      <x:c r="I423" s="141" t="n">
        <x:f>F423+G423+H423</x:f>
        <x:v>0</x:v>
      </x:c>
      <x:c r="J423" s="141" t="n">
        <x:f>IF(E423-F423&gt;0,MIN(E423-F423,P423),0)</x:f>
        <x:v>0</x:v>
      </x:c>
      <x:c r="K423" s="141" t="n">
        <x:f>I423+J423</x:f>
        <x:v>0</x:v>
      </x:c>
      <x:c r="L423" s="141" t="n">
        <x:f>MAX(0,E423-F423-J423)</x:f>
        <x:v>0</x:v>
      </x:c>
      <x:c r="M423" s="141" t="n">
        <x:f>SUM($K$6:K423)</x:f>
        <x:v>185795.9624076597</x:v>
      </x:c>
      <x:c r="N423" s="140" t="str">
        <x:f>IF(C423=0,"Encerrado",IF(L423=0,"Quitado","Aberto"))</x:f>
        <x:v>Encerrado</x:v>
      </x:c>
      <x:c r="O423" s="141" t="n">
        <x:f>IF(C423&gt;0,Premissas!$B$35,0)</x:f>
        <x:v>0</x:v>
      </x:c>
      <x:c r="P423" s="141" t="n">
        <x:f>IF(C423&gt;0,MAX(0,O423-I423),0)</x:f>
        <x:v>0</x:v>
      </x:c>
      <x:c r="Q423" s="141" t="n">
        <x:f>J423-IF(E423-F423&gt;0,MIN(E423-F423,P423),0)</x:f>
        <x:v>0</x:v>
      </x:c>
    </x:row>
    <x:row r="424">
      <x:c r="A424" s="142" t="n">
        <x:v>419</x:v>
      </x:c>
      <x:c r="B424" s="179" t="n">
        <x:f>EDATE(Premissas!$B$4,418)</x:f>
        <x:v>59262</x:v>
      </x:c>
      <x:c r="C424" s="141" t="n">
        <x:f>L423</x:f>
        <x:v>0</x:v>
      </x:c>
      <x:c r="D424" s="141" t="n">
        <x:f>IF(C424&gt;0,C424*Premissas!$B$17,0)</x:f>
        <x:v>0</x:v>
      </x:c>
      <x:c r="E424" s="141" t="n">
        <x:f>C424+D424</x:f>
        <x:v>0</x:v>
      </x:c>
      <x:c r="F424" s="141" t="n">
        <x:f>IF(E424&gt;0,MIN(E424,INDEX(Financiamento!$G$6:$G$485,A424)),0)</x:f>
        <x:v>0</x:v>
      </x:c>
      <x:c r="G424" s="141" t="n">
        <x:f>IF(E424&gt;0,E424*Premissas!$B$15,0)</x:f>
        <x:v>0</x:v>
      </x:c>
      <x:c r="H424" s="141" t="n">
        <x:f>IF(E424&gt;0,Premissas!$B$18,0)</x:f>
        <x:v>0</x:v>
      </x:c>
      <x:c r="I424" s="141" t="n">
        <x:f>F424+G424+H424</x:f>
        <x:v>0</x:v>
      </x:c>
      <x:c r="J424" s="141" t="n">
        <x:f>IF(E424-F424&gt;0,MIN(E424-F424,P424),0)</x:f>
        <x:v>0</x:v>
      </x:c>
      <x:c r="K424" s="141" t="n">
        <x:f>I424+J424</x:f>
        <x:v>0</x:v>
      </x:c>
      <x:c r="L424" s="141" t="n">
        <x:f>MAX(0,E424-F424-J424)</x:f>
        <x:v>0</x:v>
      </x:c>
      <x:c r="M424" s="141" t="n">
        <x:f>SUM($K$6:K424)</x:f>
        <x:v>185795.9624076597</x:v>
      </x:c>
      <x:c r="N424" s="140" t="str">
        <x:f>IF(C424=0,"Encerrado",IF(L424=0,"Quitado","Aberto"))</x:f>
        <x:v>Encerrado</x:v>
      </x:c>
      <x:c r="O424" s="141" t="n">
        <x:f>IF(C424&gt;0,Premissas!$B$35,0)</x:f>
        <x:v>0</x:v>
      </x:c>
      <x:c r="P424" s="141" t="n">
        <x:f>IF(C424&gt;0,MAX(0,O424-I424),0)</x:f>
        <x:v>0</x:v>
      </x:c>
      <x:c r="Q424" s="141" t="n">
        <x:f>J424-IF(E424-F424&gt;0,MIN(E424-F424,P424),0)</x:f>
        <x:v>0</x:v>
      </x:c>
    </x:row>
    <x:row r="425">
      <x:c r="A425" s="142" t="n">
        <x:v>420</x:v>
      </x:c>
      <x:c r="B425" s="179" t="n">
        <x:f>EDATE(Premissas!$B$4,419)</x:f>
        <x:v>59292</x:v>
      </x:c>
      <x:c r="C425" s="141" t="n">
        <x:f>L424</x:f>
        <x:v>0</x:v>
      </x:c>
      <x:c r="D425" s="141" t="n">
        <x:f>IF(C425&gt;0,C425*Premissas!$B$17,0)</x:f>
        <x:v>0</x:v>
      </x:c>
      <x:c r="E425" s="141" t="n">
        <x:f>C425+D425</x:f>
        <x:v>0</x:v>
      </x:c>
      <x:c r="F425" s="141" t="n">
        <x:f>IF(E425&gt;0,MIN(E425,INDEX(Financiamento!$G$6:$G$485,A425)),0)</x:f>
        <x:v>0</x:v>
      </x:c>
      <x:c r="G425" s="141" t="n">
        <x:f>IF(E425&gt;0,E425*Premissas!$B$15,0)</x:f>
        <x:v>0</x:v>
      </x:c>
      <x:c r="H425" s="141" t="n">
        <x:f>IF(E425&gt;0,Premissas!$B$18,0)</x:f>
        <x:v>0</x:v>
      </x:c>
      <x:c r="I425" s="141" t="n">
        <x:f>F425+G425+H425</x:f>
        <x:v>0</x:v>
      </x:c>
      <x:c r="J425" s="141" t="n">
        <x:f>IF(E425-F425&gt;0,MIN(E425-F425,P425),0)</x:f>
        <x:v>0</x:v>
      </x:c>
      <x:c r="K425" s="141" t="n">
        <x:f>I425+J425</x:f>
        <x:v>0</x:v>
      </x:c>
      <x:c r="L425" s="141" t="n">
        <x:f>MAX(0,E425-F425-J425)</x:f>
        <x:v>0</x:v>
      </x:c>
      <x:c r="M425" s="141" t="n">
        <x:f>SUM($K$6:K425)</x:f>
        <x:v>185795.9624076597</x:v>
      </x:c>
      <x:c r="N425" s="140" t="str">
        <x:f>IF(C425=0,"Encerrado",IF(L425=0,"Quitado","Aberto"))</x:f>
        <x:v>Encerrado</x:v>
      </x:c>
      <x:c r="O425" s="141" t="n">
        <x:f>IF(C425&gt;0,Premissas!$B$35,0)</x:f>
        <x:v>0</x:v>
      </x:c>
      <x:c r="P425" s="141" t="n">
        <x:f>IF(C425&gt;0,MAX(0,O425-I425),0)</x:f>
        <x:v>0</x:v>
      </x:c>
      <x:c r="Q425" s="141" t="n">
        <x:f>J425-IF(E425-F425&gt;0,MIN(E425-F425,P425),0)</x:f>
        <x:v>0</x:v>
      </x:c>
    </x:row>
    <x:row r="426">
      <x:c r="A426" s="142" t="n">
        <x:v>421</x:v>
      </x:c>
      <x:c r="B426" s="179" t="n">
        <x:f>EDATE(Premissas!$B$4,420)</x:f>
        <x:v>59323</x:v>
      </x:c>
      <x:c r="C426" s="141" t="n">
        <x:f>L425</x:f>
        <x:v>0</x:v>
      </x:c>
      <x:c r="D426" s="141" t="n">
        <x:f>IF(C426&gt;0,C426*Premissas!$B$17,0)</x:f>
        <x:v>0</x:v>
      </x:c>
      <x:c r="E426" s="141" t="n">
        <x:f>C426+D426</x:f>
        <x:v>0</x:v>
      </x:c>
      <x:c r="F426" s="141" t="n">
        <x:f>IF(E426&gt;0,MIN(E426,INDEX(Financiamento!$G$6:$G$485,A426)),0)</x:f>
        <x:v>0</x:v>
      </x:c>
      <x:c r="G426" s="141" t="n">
        <x:f>IF(E426&gt;0,E426*Premissas!$B$15,0)</x:f>
        <x:v>0</x:v>
      </x:c>
      <x:c r="H426" s="141" t="n">
        <x:f>IF(E426&gt;0,Premissas!$B$18,0)</x:f>
        <x:v>0</x:v>
      </x:c>
      <x:c r="I426" s="141" t="n">
        <x:f>F426+G426+H426</x:f>
        <x:v>0</x:v>
      </x:c>
      <x:c r="J426" s="141" t="n">
        <x:f>IF(E426-F426&gt;0,MIN(E426-F426,P426),0)</x:f>
        <x:v>0</x:v>
      </x:c>
      <x:c r="K426" s="141" t="n">
        <x:f>I426+J426</x:f>
        <x:v>0</x:v>
      </x:c>
      <x:c r="L426" s="141" t="n">
        <x:f>MAX(0,E426-F426-J426)</x:f>
        <x:v>0</x:v>
      </x:c>
      <x:c r="M426" s="141" t="n">
        <x:f>SUM($K$6:K426)</x:f>
        <x:v>185795.9624076597</x:v>
      </x:c>
      <x:c r="N426" s="140" t="str">
        <x:f>IF(C426=0,"Encerrado",IF(L426=0,"Quitado","Aberto"))</x:f>
        <x:v>Encerrado</x:v>
      </x:c>
      <x:c r="O426" s="141" t="n">
        <x:f>IF(C426&gt;0,Premissas!$B$35,0)</x:f>
        <x:v>0</x:v>
      </x:c>
      <x:c r="P426" s="141" t="n">
        <x:f>IF(C426&gt;0,MAX(0,O426-I426),0)</x:f>
        <x:v>0</x:v>
      </x:c>
      <x:c r="Q426" s="141" t="n">
        <x:f>J426-IF(E426-F426&gt;0,MIN(E426-F426,P426),0)</x:f>
        <x:v>0</x:v>
      </x:c>
    </x:row>
    <x:row r="427">
      <x:c r="A427" s="142" t="n">
        <x:v>422</x:v>
      </x:c>
      <x:c r="B427" s="179" t="n">
        <x:f>EDATE(Premissas!$B$4,421)</x:f>
        <x:v>59353</x:v>
      </x:c>
      <x:c r="C427" s="141" t="n">
        <x:f>L426</x:f>
        <x:v>0</x:v>
      </x:c>
      <x:c r="D427" s="141" t="n">
        <x:f>IF(C427&gt;0,C427*Premissas!$B$17,0)</x:f>
        <x:v>0</x:v>
      </x:c>
      <x:c r="E427" s="141" t="n">
        <x:f>C427+D427</x:f>
        <x:v>0</x:v>
      </x:c>
      <x:c r="F427" s="141" t="n">
        <x:f>IF(E427&gt;0,MIN(E427,INDEX(Financiamento!$G$6:$G$485,A427)),0)</x:f>
        <x:v>0</x:v>
      </x:c>
      <x:c r="G427" s="141" t="n">
        <x:f>IF(E427&gt;0,E427*Premissas!$B$15,0)</x:f>
        <x:v>0</x:v>
      </x:c>
      <x:c r="H427" s="141" t="n">
        <x:f>IF(E427&gt;0,Premissas!$B$18,0)</x:f>
        <x:v>0</x:v>
      </x:c>
      <x:c r="I427" s="141" t="n">
        <x:f>F427+G427+H427</x:f>
        <x:v>0</x:v>
      </x:c>
      <x:c r="J427" s="141" t="n">
        <x:f>IF(E427-F427&gt;0,MIN(E427-F427,P427),0)</x:f>
        <x:v>0</x:v>
      </x:c>
      <x:c r="K427" s="141" t="n">
        <x:f>I427+J427</x:f>
        <x:v>0</x:v>
      </x:c>
      <x:c r="L427" s="141" t="n">
        <x:f>MAX(0,E427-F427-J427)</x:f>
        <x:v>0</x:v>
      </x:c>
      <x:c r="M427" s="141" t="n">
        <x:f>SUM($K$6:K427)</x:f>
        <x:v>185795.9624076597</x:v>
      </x:c>
      <x:c r="N427" s="140" t="str">
        <x:f>IF(C427=0,"Encerrado",IF(L427=0,"Quitado","Aberto"))</x:f>
        <x:v>Encerrado</x:v>
      </x:c>
      <x:c r="O427" s="141" t="n">
        <x:f>IF(C427&gt;0,Premissas!$B$35,0)</x:f>
        <x:v>0</x:v>
      </x:c>
      <x:c r="P427" s="141" t="n">
        <x:f>IF(C427&gt;0,MAX(0,O427-I427),0)</x:f>
        <x:v>0</x:v>
      </x:c>
      <x:c r="Q427" s="141" t="n">
        <x:f>J427-IF(E427-F427&gt;0,MIN(E427-F427,P427),0)</x:f>
        <x:v>0</x:v>
      </x:c>
    </x:row>
    <x:row r="428">
      <x:c r="A428" s="142" t="n">
        <x:v>423</x:v>
      </x:c>
      <x:c r="B428" s="179" t="n">
        <x:f>EDATE(Premissas!$B$4,422)</x:f>
        <x:v>59384</x:v>
      </x:c>
      <x:c r="C428" s="141" t="n">
        <x:f>L427</x:f>
        <x:v>0</x:v>
      </x:c>
      <x:c r="D428" s="141" t="n">
        <x:f>IF(C428&gt;0,C428*Premissas!$B$17,0)</x:f>
        <x:v>0</x:v>
      </x:c>
      <x:c r="E428" s="141" t="n">
        <x:f>C428+D428</x:f>
        <x:v>0</x:v>
      </x:c>
      <x:c r="F428" s="141" t="n">
        <x:f>IF(E428&gt;0,MIN(E428,INDEX(Financiamento!$G$6:$G$485,A428)),0)</x:f>
        <x:v>0</x:v>
      </x:c>
      <x:c r="G428" s="141" t="n">
        <x:f>IF(E428&gt;0,E428*Premissas!$B$15,0)</x:f>
        <x:v>0</x:v>
      </x:c>
      <x:c r="H428" s="141" t="n">
        <x:f>IF(E428&gt;0,Premissas!$B$18,0)</x:f>
        <x:v>0</x:v>
      </x:c>
      <x:c r="I428" s="141" t="n">
        <x:f>F428+G428+H428</x:f>
        <x:v>0</x:v>
      </x:c>
      <x:c r="J428" s="141" t="n">
        <x:f>IF(E428-F428&gt;0,MIN(E428-F428,P428),0)</x:f>
        <x:v>0</x:v>
      </x:c>
      <x:c r="K428" s="141" t="n">
        <x:f>I428+J428</x:f>
        <x:v>0</x:v>
      </x:c>
      <x:c r="L428" s="141" t="n">
        <x:f>MAX(0,E428-F428-J428)</x:f>
        <x:v>0</x:v>
      </x:c>
      <x:c r="M428" s="141" t="n">
        <x:f>SUM($K$6:K428)</x:f>
        <x:v>185795.9624076597</x:v>
      </x:c>
      <x:c r="N428" s="140" t="str">
        <x:f>IF(C428=0,"Encerrado",IF(L428=0,"Quitado","Aberto"))</x:f>
        <x:v>Encerrado</x:v>
      </x:c>
      <x:c r="O428" s="141" t="n">
        <x:f>IF(C428&gt;0,Premissas!$B$35,0)</x:f>
        <x:v>0</x:v>
      </x:c>
      <x:c r="P428" s="141" t="n">
        <x:f>IF(C428&gt;0,MAX(0,O428-I428),0)</x:f>
        <x:v>0</x:v>
      </x:c>
      <x:c r="Q428" s="141" t="n">
        <x:f>J428-IF(E428-F428&gt;0,MIN(E428-F428,P428),0)</x:f>
        <x:v>0</x:v>
      </x:c>
    </x:row>
    <x:row r="429">
      <x:c r="A429" s="142" t="n">
        <x:v>424</x:v>
      </x:c>
      <x:c r="B429" s="179" t="n">
        <x:f>EDATE(Premissas!$B$4,423)</x:f>
        <x:v>59415</x:v>
      </x:c>
      <x:c r="C429" s="141" t="n">
        <x:f>L428</x:f>
        <x:v>0</x:v>
      </x:c>
      <x:c r="D429" s="141" t="n">
        <x:f>IF(C429&gt;0,C429*Premissas!$B$17,0)</x:f>
        <x:v>0</x:v>
      </x:c>
      <x:c r="E429" s="141" t="n">
        <x:f>C429+D429</x:f>
        <x:v>0</x:v>
      </x:c>
      <x:c r="F429" s="141" t="n">
        <x:f>IF(E429&gt;0,MIN(E429,INDEX(Financiamento!$G$6:$G$485,A429)),0)</x:f>
        <x:v>0</x:v>
      </x:c>
      <x:c r="G429" s="141" t="n">
        <x:f>IF(E429&gt;0,E429*Premissas!$B$15,0)</x:f>
        <x:v>0</x:v>
      </x:c>
      <x:c r="H429" s="141" t="n">
        <x:f>IF(E429&gt;0,Premissas!$B$18,0)</x:f>
        <x:v>0</x:v>
      </x:c>
      <x:c r="I429" s="141" t="n">
        <x:f>F429+G429+H429</x:f>
        <x:v>0</x:v>
      </x:c>
      <x:c r="J429" s="141" t="n">
        <x:f>IF(E429-F429&gt;0,MIN(E429-F429,P429),0)</x:f>
        <x:v>0</x:v>
      </x:c>
      <x:c r="K429" s="141" t="n">
        <x:f>I429+J429</x:f>
        <x:v>0</x:v>
      </x:c>
      <x:c r="L429" s="141" t="n">
        <x:f>MAX(0,E429-F429-J429)</x:f>
        <x:v>0</x:v>
      </x:c>
      <x:c r="M429" s="141" t="n">
        <x:f>SUM($K$6:K429)</x:f>
        <x:v>185795.9624076597</x:v>
      </x:c>
      <x:c r="N429" s="140" t="str">
        <x:f>IF(C429=0,"Encerrado",IF(L429=0,"Quitado","Aberto"))</x:f>
        <x:v>Encerrado</x:v>
      </x:c>
      <x:c r="O429" s="141" t="n">
        <x:f>IF(C429&gt;0,Premissas!$B$35,0)</x:f>
        <x:v>0</x:v>
      </x:c>
      <x:c r="P429" s="141" t="n">
        <x:f>IF(C429&gt;0,MAX(0,O429-I429),0)</x:f>
        <x:v>0</x:v>
      </x:c>
      <x:c r="Q429" s="141" t="n">
        <x:f>J429-IF(E429-F429&gt;0,MIN(E429-F429,P429),0)</x:f>
        <x:v>0</x:v>
      </x:c>
    </x:row>
    <x:row r="430">
      <x:c r="A430" s="142" t="n">
        <x:v>425</x:v>
      </x:c>
      <x:c r="B430" s="179" t="n">
        <x:f>EDATE(Premissas!$B$4,424)</x:f>
        <x:v>59445</x:v>
      </x:c>
      <x:c r="C430" s="141" t="n">
        <x:f>L429</x:f>
        <x:v>0</x:v>
      </x:c>
      <x:c r="D430" s="141" t="n">
        <x:f>IF(C430&gt;0,C430*Premissas!$B$17,0)</x:f>
        <x:v>0</x:v>
      </x:c>
      <x:c r="E430" s="141" t="n">
        <x:f>C430+D430</x:f>
        <x:v>0</x:v>
      </x:c>
      <x:c r="F430" s="141" t="n">
        <x:f>IF(E430&gt;0,MIN(E430,INDEX(Financiamento!$G$6:$G$485,A430)),0)</x:f>
        <x:v>0</x:v>
      </x:c>
      <x:c r="G430" s="141" t="n">
        <x:f>IF(E430&gt;0,E430*Premissas!$B$15,0)</x:f>
        <x:v>0</x:v>
      </x:c>
      <x:c r="H430" s="141" t="n">
        <x:f>IF(E430&gt;0,Premissas!$B$18,0)</x:f>
        <x:v>0</x:v>
      </x:c>
      <x:c r="I430" s="141" t="n">
        <x:f>F430+G430+H430</x:f>
        <x:v>0</x:v>
      </x:c>
      <x:c r="J430" s="141" t="n">
        <x:f>IF(E430-F430&gt;0,MIN(E430-F430,P430),0)</x:f>
        <x:v>0</x:v>
      </x:c>
      <x:c r="K430" s="141" t="n">
        <x:f>I430+J430</x:f>
        <x:v>0</x:v>
      </x:c>
      <x:c r="L430" s="141" t="n">
        <x:f>MAX(0,E430-F430-J430)</x:f>
        <x:v>0</x:v>
      </x:c>
      <x:c r="M430" s="141" t="n">
        <x:f>SUM($K$6:K430)</x:f>
        <x:v>185795.9624076597</x:v>
      </x:c>
      <x:c r="N430" s="140" t="str">
        <x:f>IF(C430=0,"Encerrado",IF(L430=0,"Quitado","Aberto"))</x:f>
        <x:v>Encerrado</x:v>
      </x:c>
      <x:c r="O430" s="141" t="n">
        <x:f>IF(C430&gt;0,Premissas!$B$35,0)</x:f>
        <x:v>0</x:v>
      </x:c>
      <x:c r="P430" s="141" t="n">
        <x:f>IF(C430&gt;0,MAX(0,O430-I430),0)</x:f>
        <x:v>0</x:v>
      </x:c>
      <x:c r="Q430" s="141" t="n">
        <x:f>J430-IF(E430-F430&gt;0,MIN(E430-F430,P430),0)</x:f>
        <x:v>0</x:v>
      </x:c>
    </x:row>
    <x:row r="431">
      <x:c r="A431" s="142" t="n">
        <x:v>426</x:v>
      </x:c>
      <x:c r="B431" s="179" t="n">
        <x:f>EDATE(Premissas!$B$4,425)</x:f>
        <x:v>59476</x:v>
      </x:c>
      <x:c r="C431" s="141" t="n">
        <x:f>L430</x:f>
        <x:v>0</x:v>
      </x:c>
      <x:c r="D431" s="141" t="n">
        <x:f>IF(C431&gt;0,C431*Premissas!$B$17,0)</x:f>
        <x:v>0</x:v>
      </x:c>
      <x:c r="E431" s="141" t="n">
        <x:f>C431+D431</x:f>
        <x:v>0</x:v>
      </x:c>
      <x:c r="F431" s="141" t="n">
        <x:f>IF(E431&gt;0,MIN(E431,INDEX(Financiamento!$G$6:$G$485,A431)),0)</x:f>
        <x:v>0</x:v>
      </x:c>
      <x:c r="G431" s="141" t="n">
        <x:f>IF(E431&gt;0,E431*Premissas!$B$15,0)</x:f>
        <x:v>0</x:v>
      </x:c>
      <x:c r="H431" s="141" t="n">
        <x:f>IF(E431&gt;0,Premissas!$B$18,0)</x:f>
        <x:v>0</x:v>
      </x:c>
      <x:c r="I431" s="141" t="n">
        <x:f>F431+G431+H431</x:f>
        <x:v>0</x:v>
      </x:c>
      <x:c r="J431" s="141" t="n">
        <x:f>IF(E431-F431&gt;0,MIN(E431-F431,P431),0)</x:f>
        <x:v>0</x:v>
      </x:c>
      <x:c r="K431" s="141" t="n">
        <x:f>I431+J431</x:f>
        <x:v>0</x:v>
      </x:c>
      <x:c r="L431" s="141" t="n">
        <x:f>MAX(0,E431-F431-J431)</x:f>
        <x:v>0</x:v>
      </x:c>
      <x:c r="M431" s="141" t="n">
        <x:f>SUM($K$6:K431)</x:f>
        <x:v>185795.9624076597</x:v>
      </x:c>
      <x:c r="N431" s="140" t="str">
        <x:f>IF(C431=0,"Encerrado",IF(L431=0,"Quitado","Aberto"))</x:f>
        <x:v>Encerrado</x:v>
      </x:c>
      <x:c r="O431" s="141" t="n">
        <x:f>IF(C431&gt;0,Premissas!$B$35,0)</x:f>
        <x:v>0</x:v>
      </x:c>
      <x:c r="P431" s="141" t="n">
        <x:f>IF(C431&gt;0,MAX(0,O431-I431),0)</x:f>
        <x:v>0</x:v>
      </x:c>
      <x:c r="Q431" s="141" t="n">
        <x:f>J431-IF(E431-F431&gt;0,MIN(E431-F431,P431),0)</x:f>
        <x:v>0</x:v>
      </x:c>
    </x:row>
    <x:row r="432">
      <x:c r="A432" s="142" t="n">
        <x:v>427</x:v>
      </x:c>
      <x:c r="B432" s="179" t="n">
        <x:f>EDATE(Premissas!$B$4,426)</x:f>
        <x:v>59506</x:v>
      </x:c>
      <x:c r="C432" s="141" t="n">
        <x:f>L431</x:f>
        <x:v>0</x:v>
      </x:c>
      <x:c r="D432" s="141" t="n">
        <x:f>IF(C432&gt;0,C432*Premissas!$B$17,0)</x:f>
        <x:v>0</x:v>
      </x:c>
      <x:c r="E432" s="141" t="n">
        <x:f>C432+D432</x:f>
        <x:v>0</x:v>
      </x:c>
      <x:c r="F432" s="141" t="n">
        <x:f>IF(E432&gt;0,MIN(E432,INDEX(Financiamento!$G$6:$G$485,A432)),0)</x:f>
        <x:v>0</x:v>
      </x:c>
      <x:c r="G432" s="141" t="n">
        <x:f>IF(E432&gt;0,E432*Premissas!$B$15,0)</x:f>
        <x:v>0</x:v>
      </x:c>
      <x:c r="H432" s="141" t="n">
        <x:f>IF(E432&gt;0,Premissas!$B$18,0)</x:f>
        <x:v>0</x:v>
      </x:c>
      <x:c r="I432" s="141" t="n">
        <x:f>F432+G432+H432</x:f>
        <x:v>0</x:v>
      </x:c>
      <x:c r="J432" s="141" t="n">
        <x:f>IF(E432-F432&gt;0,MIN(E432-F432,P432),0)</x:f>
        <x:v>0</x:v>
      </x:c>
      <x:c r="K432" s="141" t="n">
        <x:f>I432+J432</x:f>
        <x:v>0</x:v>
      </x:c>
      <x:c r="L432" s="141" t="n">
        <x:f>MAX(0,E432-F432-J432)</x:f>
        <x:v>0</x:v>
      </x:c>
      <x:c r="M432" s="141" t="n">
        <x:f>SUM($K$6:K432)</x:f>
        <x:v>185795.9624076597</x:v>
      </x:c>
      <x:c r="N432" s="140" t="str">
        <x:f>IF(C432=0,"Encerrado",IF(L432=0,"Quitado","Aberto"))</x:f>
        <x:v>Encerrado</x:v>
      </x:c>
      <x:c r="O432" s="141" t="n">
        <x:f>IF(C432&gt;0,Premissas!$B$35,0)</x:f>
        <x:v>0</x:v>
      </x:c>
      <x:c r="P432" s="141" t="n">
        <x:f>IF(C432&gt;0,MAX(0,O432-I432),0)</x:f>
        <x:v>0</x:v>
      </x:c>
      <x:c r="Q432" s="141" t="n">
        <x:f>J432-IF(E432-F432&gt;0,MIN(E432-F432,P432),0)</x:f>
        <x:v>0</x:v>
      </x:c>
    </x:row>
    <x:row r="433">
      <x:c r="A433" s="142" t="n">
        <x:v>428</x:v>
      </x:c>
      <x:c r="B433" s="179" t="n">
        <x:f>EDATE(Premissas!$B$4,427)</x:f>
        <x:v>59537</x:v>
      </x:c>
      <x:c r="C433" s="141" t="n">
        <x:f>L432</x:f>
        <x:v>0</x:v>
      </x:c>
      <x:c r="D433" s="141" t="n">
        <x:f>IF(C433&gt;0,C433*Premissas!$B$17,0)</x:f>
        <x:v>0</x:v>
      </x:c>
      <x:c r="E433" s="141" t="n">
        <x:f>C433+D433</x:f>
        <x:v>0</x:v>
      </x:c>
      <x:c r="F433" s="141" t="n">
        <x:f>IF(E433&gt;0,MIN(E433,INDEX(Financiamento!$G$6:$G$485,A433)),0)</x:f>
        <x:v>0</x:v>
      </x:c>
      <x:c r="G433" s="141" t="n">
        <x:f>IF(E433&gt;0,E433*Premissas!$B$15,0)</x:f>
        <x:v>0</x:v>
      </x:c>
      <x:c r="H433" s="141" t="n">
        <x:f>IF(E433&gt;0,Premissas!$B$18,0)</x:f>
        <x:v>0</x:v>
      </x:c>
      <x:c r="I433" s="141" t="n">
        <x:f>F433+G433+H433</x:f>
        <x:v>0</x:v>
      </x:c>
      <x:c r="J433" s="141" t="n">
        <x:f>IF(E433-F433&gt;0,MIN(E433-F433,P433),0)</x:f>
        <x:v>0</x:v>
      </x:c>
      <x:c r="K433" s="141" t="n">
        <x:f>I433+J433</x:f>
        <x:v>0</x:v>
      </x:c>
      <x:c r="L433" s="141" t="n">
        <x:f>MAX(0,E433-F433-J433)</x:f>
        <x:v>0</x:v>
      </x:c>
      <x:c r="M433" s="141" t="n">
        <x:f>SUM($K$6:K433)</x:f>
        <x:v>185795.9624076597</x:v>
      </x:c>
      <x:c r="N433" s="140" t="str">
        <x:f>IF(C433=0,"Encerrado",IF(L433=0,"Quitado","Aberto"))</x:f>
        <x:v>Encerrado</x:v>
      </x:c>
      <x:c r="O433" s="141" t="n">
        <x:f>IF(C433&gt;0,Premissas!$B$35,0)</x:f>
        <x:v>0</x:v>
      </x:c>
      <x:c r="P433" s="141" t="n">
        <x:f>IF(C433&gt;0,MAX(0,O433-I433),0)</x:f>
        <x:v>0</x:v>
      </x:c>
      <x:c r="Q433" s="141" t="n">
        <x:f>J433-IF(E433-F433&gt;0,MIN(E433-F433,P433),0)</x:f>
        <x:v>0</x:v>
      </x:c>
    </x:row>
    <x:row r="434">
      <x:c r="A434" s="142" t="n">
        <x:v>429</x:v>
      </x:c>
      <x:c r="B434" s="179" t="n">
        <x:f>EDATE(Premissas!$B$4,428)</x:f>
        <x:v>59568</x:v>
      </x:c>
      <x:c r="C434" s="141" t="n">
        <x:f>L433</x:f>
        <x:v>0</x:v>
      </x:c>
      <x:c r="D434" s="141" t="n">
        <x:f>IF(C434&gt;0,C434*Premissas!$B$17,0)</x:f>
        <x:v>0</x:v>
      </x:c>
      <x:c r="E434" s="141" t="n">
        <x:f>C434+D434</x:f>
        <x:v>0</x:v>
      </x:c>
      <x:c r="F434" s="141" t="n">
        <x:f>IF(E434&gt;0,MIN(E434,INDEX(Financiamento!$G$6:$G$485,A434)),0)</x:f>
        <x:v>0</x:v>
      </x:c>
      <x:c r="G434" s="141" t="n">
        <x:f>IF(E434&gt;0,E434*Premissas!$B$15,0)</x:f>
        <x:v>0</x:v>
      </x:c>
      <x:c r="H434" s="141" t="n">
        <x:f>IF(E434&gt;0,Premissas!$B$18,0)</x:f>
        <x:v>0</x:v>
      </x:c>
      <x:c r="I434" s="141" t="n">
        <x:f>F434+G434+H434</x:f>
        <x:v>0</x:v>
      </x:c>
      <x:c r="J434" s="141" t="n">
        <x:f>IF(E434-F434&gt;0,MIN(E434-F434,P434),0)</x:f>
        <x:v>0</x:v>
      </x:c>
      <x:c r="K434" s="141" t="n">
        <x:f>I434+J434</x:f>
        <x:v>0</x:v>
      </x:c>
      <x:c r="L434" s="141" t="n">
        <x:f>MAX(0,E434-F434-J434)</x:f>
        <x:v>0</x:v>
      </x:c>
      <x:c r="M434" s="141" t="n">
        <x:f>SUM($K$6:K434)</x:f>
        <x:v>185795.9624076597</x:v>
      </x:c>
      <x:c r="N434" s="140" t="str">
        <x:f>IF(C434=0,"Encerrado",IF(L434=0,"Quitado","Aberto"))</x:f>
        <x:v>Encerrado</x:v>
      </x:c>
      <x:c r="O434" s="141" t="n">
        <x:f>IF(C434&gt;0,Premissas!$B$35,0)</x:f>
        <x:v>0</x:v>
      </x:c>
      <x:c r="P434" s="141" t="n">
        <x:f>IF(C434&gt;0,MAX(0,O434-I434),0)</x:f>
        <x:v>0</x:v>
      </x:c>
      <x:c r="Q434" s="141" t="n">
        <x:f>J434-IF(E434-F434&gt;0,MIN(E434-F434,P434),0)</x:f>
        <x:v>0</x:v>
      </x:c>
    </x:row>
    <x:row r="435">
      <x:c r="A435" s="142" t="n">
        <x:v>430</x:v>
      </x:c>
      <x:c r="B435" s="179" t="n">
        <x:f>EDATE(Premissas!$B$4,429)</x:f>
        <x:v>59596</x:v>
      </x:c>
      <x:c r="C435" s="141" t="n">
        <x:f>L434</x:f>
        <x:v>0</x:v>
      </x:c>
      <x:c r="D435" s="141" t="n">
        <x:f>IF(C435&gt;0,C435*Premissas!$B$17,0)</x:f>
        <x:v>0</x:v>
      </x:c>
      <x:c r="E435" s="141" t="n">
        <x:f>C435+D435</x:f>
        <x:v>0</x:v>
      </x:c>
      <x:c r="F435" s="141" t="n">
        <x:f>IF(E435&gt;0,MIN(E435,INDEX(Financiamento!$G$6:$G$485,A435)),0)</x:f>
        <x:v>0</x:v>
      </x:c>
      <x:c r="G435" s="141" t="n">
        <x:f>IF(E435&gt;0,E435*Premissas!$B$15,0)</x:f>
        <x:v>0</x:v>
      </x:c>
      <x:c r="H435" s="141" t="n">
        <x:f>IF(E435&gt;0,Premissas!$B$18,0)</x:f>
        <x:v>0</x:v>
      </x:c>
      <x:c r="I435" s="141" t="n">
        <x:f>F435+G435+H435</x:f>
        <x:v>0</x:v>
      </x:c>
      <x:c r="J435" s="141" t="n">
        <x:f>IF(E435-F435&gt;0,MIN(E435-F435,P435),0)</x:f>
        <x:v>0</x:v>
      </x:c>
      <x:c r="K435" s="141" t="n">
        <x:f>I435+J435</x:f>
        <x:v>0</x:v>
      </x:c>
      <x:c r="L435" s="141" t="n">
        <x:f>MAX(0,E435-F435-J435)</x:f>
        <x:v>0</x:v>
      </x:c>
      <x:c r="M435" s="141" t="n">
        <x:f>SUM($K$6:K435)</x:f>
        <x:v>185795.9624076597</x:v>
      </x:c>
      <x:c r="N435" s="140" t="str">
        <x:f>IF(C435=0,"Encerrado",IF(L435=0,"Quitado","Aberto"))</x:f>
        <x:v>Encerrado</x:v>
      </x:c>
      <x:c r="O435" s="141" t="n">
        <x:f>IF(C435&gt;0,Premissas!$B$35,0)</x:f>
        <x:v>0</x:v>
      </x:c>
      <x:c r="P435" s="141" t="n">
        <x:f>IF(C435&gt;0,MAX(0,O435-I435),0)</x:f>
        <x:v>0</x:v>
      </x:c>
      <x:c r="Q435" s="141" t="n">
        <x:f>J435-IF(E435-F435&gt;0,MIN(E435-F435,P435),0)</x:f>
        <x:v>0</x:v>
      </x:c>
    </x:row>
    <x:row r="436">
      <x:c r="A436" s="142" t="n">
        <x:v>431</x:v>
      </x:c>
      <x:c r="B436" s="179" t="n">
        <x:f>EDATE(Premissas!$B$4,430)</x:f>
        <x:v>59627</x:v>
      </x:c>
      <x:c r="C436" s="141" t="n">
        <x:f>L435</x:f>
        <x:v>0</x:v>
      </x:c>
      <x:c r="D436" s="141" t="n">
        <x:f>IF(C436&gt;0,C436*Premissas!$B$17,0)</x:f>
        <x:v>0</x:v>
      </x:c>
      <x:c r="E436" s="141" t="n">
        <x:f>C436+D436</x:f>
        <x:v>0</x:v>
      </x:c>
      <x:c r="F436" s="141" t="n">
        <x:f>IF(E436&gt;0,MIN(E436,INDEX(Financiamento!$G$6:$G$485,A436)),0)</x:f>
        <x:v>0</x:v>
      </x:c>
      <x:c r="G436" s="141" t="n">
        <x:f>IF(E436&gt;0,E436*Premissas!$B$15,0)</x:f>
        <x:v>0</x:v>
      </x:c>
      <x:c r="H436" s="141" t="n">
        <x:f>IF(E436&gt;0,Premissas!$B$18,0)</x:f>
        <x:v>0</x:v>
      </x:c>
      <x:c r="I436" s="141" t="n">
        <x:f>F436+G436+H436</x:f>
        <x:v>0</x:v>
      </x:c>
      <x:c r="J436" s="141" t="n">
        <x:f>IF(E436-F436&gt;0,MIN(E436-F436,P436),0)</x:f>
        <x:v>0</x:v>
      </x:c>
      <x:c r="K436" s="141" t="n">
        <x:f>I436+J436</x:f>
        <x:v>0</x:v>
      </x:c>
      <x:c r="L436" s="141" t="n">
        <x:f>MAX(0,E436-F436-J436)</x:f>
        <x:v>0</x:v>
      </x:c>
      <x:c r="M436" s="141" t="n">
        <x:f>SUM($K$6:K436)</x:f>
        <x:v>185795.9624076597</x:v>
      </x:c>
      <x:c r="N436" s="140" t="str">
        <x:f>IF(C436=0,"Encerrado",IF(L436=0,"Quitado","Aberto"))</x:f>
        <x:v>Encerrado</x:v>
      </x:c>
      <x:c r="O436" s="141" t="n">
        <x:f>IF(C436&gt;0,Premissas!$B$35,0)</x:f>
        <x:v>0</x:v>
      </x:c>
      <x:c r="P436" s="141" t="n">
        <x:f>IF(C436&gt;0,MAX(0,O436-I436),0)</x:f>
        <x:v>0</x:v>
      </x:c>
      <x:c r="Q436" s="141" t="n">
        <x:f>J436-IF(E436-F436&gt;0,MIN(E436-F436,P436),0)</x:f>
        <x:v>0</x:v>
      </x:c>
    </x:row>
    <x:row r="437">
      <x:c r="A437" s="142" t="n">
        <x:v>432</x:v>
      </x:c>
      <x:c r="B437" s="179" t="n">
        <x:f>EDATE(Premissas!$B$4,431)</x:f>
        <x:v>59657</x:v>
      </x:c>
      <x:c r="C437" s="141" t="n">
        <x:f>L436</x:f>
        <x:v>0</x:v>
      </x:c>
      <x:c r="D437" s="141" t="n">
        <x:f>IF(C437&gt;0,C437*Premissas!$B$17,0)</x:f>
        <x:v>0</x:v>
      </x:c>
      <x:c r="E437" s="141" t="n">
        <x:f>C437+D437</x:f>
        <x:v>0</x:v>
      </x:c>
      <x:c r="F437" s="141" t="n">
        <x:f>IF(E437&gt;0,MIN(E437,INDEX(Financiamento!$G$6:$G$485,A437)),0)</x:f>
        <x:v>0</x:v>
      </x:c>
      <x:c r="G437" s="141" t="n">
        <x:f>IF(E437&gt;0,E437*Premissas!$B$15,0)</x:f>
        <x:v>0</x:v>
      </x:c>
      <x:c r="H437" s="141" t="n">
        <x:f>IF(E437&gt;0,Premissas!$B$18,0)</x:f>
        <x:v>0</x:v>
      </x:c>
      <x:c r="I437" s="141" t="n">
        <x:f>F437+G437+H437</x:f>
        <x:v>0</x:v>
      </x:c>
      <x:c r="J437" s="141" t="n">
        <x:f>IF(E437-F437&gt;0,MIN(E437-F437,P437),0)</x:f>
        <x:v>0</x:v>
      </x:c>
      <x:c r="K437" s="141" t="n">
        <x:f>I437+J437</x:f>
        <x:v>0</x:v>
      </x:c>
      <x:c r="L437" s="141" t="n">
        <x:f>MAX(0,E437-F437-J437)</x:f>
        <x:v>0</x:v>
      </x:c>
      <x:c r="M437" s="141" t="n">
        <x:f>SUM($K$6:K437)</x:f>
        <x:v>185795.9624076597</x:v>
      </x:c>
      <x:c r="N437" s="140" t="str">
        <x:f>IF(C437=0,"Encerrado",IF(L437=0,"Quitado","Aberto"))</x:f>
        <x:v>Encerrado</x:v>
      </x:c>
      <x:c r="O437" s="141" t="n">
        <x:f>IF(C437&gt;0,Premissas!$B$35,0)</x:f>
        <x:v>0</x:v>
      </x:c>
      <x:c r="P437" s="141" t="n">
        <x:f>IF(C437&gt;0,MAX(0,O437-I437),0)</x:f>
        <x:v>0</x:v>
      </x:c>
      <x:c r="Q437" s="141" t="n">
        <x:f>J437-IF(E437-F437&gt;0,MIN(E437-F437,P437),0)</x:f>
        <x:v>0</x:v>
      </x:c>
    </x:row>
    <x:row r="438">
      <x:c r="A438" s="142" t="n">
        <x:v>433</x:v>
      </x:c>
      <x:c r="B438" s="179" t="n">
        <x:f>EDATE(Premissas!$B$4,432)</x:f>
        <x:v>59688</x:v>
      </x:c>
      <x:c r="C438" s="141" t="n">
        <x:f>L437</x:f>
        <x:v>0</x:v>
      </x:c>
      <x:c r="D438" s="141" t="n">
        <x:f>IF(C438&gt;0,C438*Premissas!$B$17,0)</x:f>
        <x:v>0</x:v>
      </x:c>
      <x:c r="E438" s="141" t="n">
        <x:f>C438+D438</x:f>
        <x:v>0</x:v>
      </x:c>
      <x:c r="F438" s="141" t="n">
        <x:f>IF(E438&gt;0,MIN(E438,INDEX(Financiamento!$G$6:$G$485,A438)),0)</x:f>
        <x:v>0</x:v>
      </x:c>
      <x:c r="G438" s="141" t="n">
        <x:f>IF(E438&gt;0,E438*Premissas!$B$15,0)</x:f>
        <x:v>0</x:v>
      </x:c>
      <x:c r="H438" s="141" t="n">
        <x:f>IF(E438&gt;0,Premissas!$B$18,0)</x:f>
        <x:v>0</x:v>
      </x:c>
      <x:c r="I438" s="141" t="n">
        <x:f>F438+G438+H438</x:f>
        <x:v>0</x:v>
      </x:c>
      <x:c r="J438" s="141" t="n">
        <x:f>IF(E438-F438&gt;0,MIN(E438-F438,P438),0)</x:f>
        <x:v>0</x:v>
      </x:c>
      <x:c r="K438" s="141" t="n">
        <x:f>I438+J438</x:f>
        <x:v>0</x:v>
      </x:c>
      <x:c r="L438" s="141" t="n">
        <x:f>MAX(0,E438-F438-J438)</x:f>
        <x:v>0</x:v>
      </x:c>
      <x:c r="M438" s="141" t="n">
        <x:f>SUM($K$6:K438)</x:f>
        <x:v>185795.9624076597</x:v>
      </x:c>
      <x:c r="N438" s="140" t="str">
        <x:f>IF(C438=0,"Encerrado",IF(L438=0,"Quitado","Aberto"))</x:f>
        <x:v>Encerrado</x:v>
      </x:c>
      <x:c r="O438" s="141" t="n">
        <x:f>IF(C438&gt;0,Premissas!$B$35,0)</x:f>
        <x:v>0</x:v>
      </x:c>
      <x:c r="P438" s="141" t="n">
        <x:f>IF(C438&gt;0,MAX(0,O438-I438),0)</x:f>
        <x:v>0</x:v>
      </x:c>
      <x:c r="Q438" s="141" t="n">
        <x:f>J438-IF(E438-F438&gt;0,MIN(E438-F438,P438),0)</x:f>
        <x:v>0</x:v>
      </x:c>
    </x:row>
    <x:row r="439">
      <x:c r="A439" s="142" t="n">
        <x:v>434</x:v>
      </x:c>
      <x:c r="B439" s="179" t="n">
        <x:f>EDATE(Premissas!$B$4,433)</x:f>
        <x:v>59718</x:v>
      </x:c>
      <x:c r="C439" s="141" t="n">
        <x:f>L438</x:f>
        <x:v>0</x:v>
      </x:c>
      <x:c r="D439" s="141" t="n">
        <x:f>IF(C439&gt;0,C439*Premissas!$B$17,0)</x:f>
        <x:v>0</x:v>
      </x:c>
      <x:c r="E439" s="141" t="n">
        <x:f>C439+D439</x:f>
        <x:v>0</x:v>
      </x:c>
      <x:c r="F439" s="141" t="n">
        <x:f>IF(E439&gt;0,MIN(E439,INDEX(Financiamento!$G$6:$G$485,A439)),0)</x:f>
        <x:v>0</x:v>
      </x:c>
      <x:c r="G439" s="141" t="n">
        <x:f>IF(E439&gt;0,E439*Premissas!$B$15,0)</x:f>
        <x:v>0</x:v>
      </x:c>
      <x:c r="H439" s="141" t="n">
        <x:f>IF(E439&gt;0,Premissas!$B$18,0)</x:f>
        <x:v>0</x:v>
      </x:c>
      <x:c r="I439" s="141" t="n">
        <x:f>F439+G439+H439</x:f>
        <x:v>0</x:v>
      </x:c>
      <x:c r="J439" s="141" t="n">
        <x:f>IF(E439-F439&gt;0,MIN(E439-F439,P439),0)</x:f>
        <x:v>0</x:v>
      </x:c>
      <x:c r="K439" s="141" t="n">
        <x:f>I439+J439</x:f>
        <x:v>0</x:v>
      </x:c>
      <x:c r="L439" s="141" t="n">
        <x:f>MAX(0,E439-F439-J439)</x:f>
        <x:v>0</x:v>
      </x:c>
      <x:c r="M439" s="141" t="n">
        <x:f>SUM($K$6:K439)</x:f>
        <x:v>185795.9624076597</x:v>
      </x:c>
      <x:c r="N439" s="140" t="str">
        <x:f>IF(C439=0,"Encerrado",IF(L439=0,"Quitado","Aberto"))</x:f>
        <x:v>Encerrado</x:v>
      </x:c>
      <x:c r="O439" s="141" t="n">
        <x:f>IF(C439&gt;0,Premissas!$B$35,0)</x:f>
        <x:v>0</x:v>
      </x:c>
      <x:c r="P439" s="141" t="n">
        <x:f>IF(C439&gt;0,MAX(0,O439-I439),0)</x:f>
        <x:v>0</x:v>
      </x:c>
      <x:c r="Q439" s="141" t="n">
        <x:f>J439-IF(E439-F439&gt;0,MIN(E439-F439,P439),0)</x:f>
        <x:v>0</x:v>
      </x:c>
    </x:row>
    <x:row r="440">
      <x:c r="A440" s="142" t="n">
        <x:v>435</x:v>
      </x:c>
      <x:c r="B440" s="179" t="n">
        <x:f>EDATE(Premissas!$B$4,434)</x:f>
        <x:v>59749</x:v>
      </x:c>
      <x:c r="C440" s="141" t="n">
        <x:f>L439</x:f>
        <x:v>0</x:v>
      </x:c>
      <x:c r="D440" s="141" t="n">
        <x:f>IF(C440&gt;0,C440*Premissas!$B$17,0)</x:f>
        <x:v>0</x:v>
      </x:c>
      <x:c r="E440" s="141" t="n">
        <x:f>C440+D440</x:f>
        <x:v>0</x:v>
      </x:c>
      <x:c r="F440" s="141" t="n">
        <x:f>IF(E440&gt;0,MIN(E440,INDEX(Financiamento!$G$6:$G$485,A440)),0)</x:f>
        <x:v>0</x:v>
      </x:c>
      <x:c r="G440" s="141" t="n">
        <x:f>IF(E440&gt;0,E440*Premissas!$B$15,0)</x:f>
        <x:v>0</x:v>
      </x:c>
      <x:c r="H440" s="141" t="n">
        <x:f>IF(E440&gt;0,Premissas!$B$18,0)</x:f>
        <x:v>0</x:v>
      </x:c>
      <x:c r="I440" s="141" t="n">
        <x:f>F440+G440+H440</x:f>
        <x:v>0</x:v>
      </x:c>
      <x:c r="J440" s="141" t="n">
        <x:f>IF(E440-F440&gt;0,MIN(E440-F440,P440),0)</x:f>
        <x:v>0</x:v>
      </x:c>
      <x:c r="K440" s="141" t="n">
        <x:f>I440+J440</x:f>
        <x:v>0</x:v>
      </x:c>
      <x:c r="L440" s="141" t="n">
        <x:f>MAX(0,E440-F440-J440)</x:f>
        <x:v>0</x:v>
      </x:c>
      <x:c r="M440" s="141" t="n">
        <x:f>SUM($K$6:K440)</x:f>
        <x:v>185795.9624076597</x:v>
      </x:c>
      <x:c r="N440" s="140" t="str">
        <x:f>IF(C440=0,"Encerrado",IF(L440=0,"Quitado","Aberto"))</x:f>
        <x:v>Encerrado</x:v>
      </x:c>
      <x:c r="O440" s="141" t="n">
        <x:f>IF(C440&gt;0,Premissas!$B$35,0)</x:f>
        <x:v>0</x:v>
      </x:c>
      <x:c r="P440" s="141" t="n">
        <x:f>IF(C440&gt;0,MAX(0,O440-I440),0)</x:f>
        <x:v>0</x:v>
      </x:c>
      <x:c r="Q440" s="141" t="n">
        <x:f>J440-IF(E440-F440&gt;0,MIN(E440-F440,P440),0)</x:f>
        <x:v>0</x:v>
      </x:c>
    </x:row>
    <x:row r="441">
      <x:c r="A441" s="142" t="n">
        <x:v>436</x:v>
      </x:c>
      <x:c r="B441" s="179" t="n">
        <x:f>EDATE(Premissas!$B$4,435)</x:f>
        <x:v>59780</x:v>
      </x:c>
      <x:c r="C441" s="141" t="n">
        <x:f>L440</x:f>
        <x:v>0</x:v>
      </x:c>
      <x:c r="D441" s="141" t="n">
        <x:f>IF(C441&gt;0,C441*Premissas!$B$17,0)</x:f>
        <x:v>0</x:v>
      </x:c>
      <x:c r="E441" s="141" t="n">
        <x:f>C441+D441</x:f>
        <x:v>0</x:v>
      </x:c>
      <x:c r="F441" s="141" t="n">
        <x:f>IF(E441&gt;0,MIN(E441,INDEX(Financiamento!$G$6:$G$485,A441)),0)</x:f>
        <x:v>0</x:v>
      </x:c>
      <x:c r="G441" s="141" t="n">
        <x:f>IF(E441&gt;0,E441*Premissas!$B$15,0)</x:f>
        <x:v>0</x:v>
      </x:c>
      <x:c r="H441" s="141" t="n">
        <x:f>IF(E441&gt;0,Premissas!$B$18,0)</x:f>
        <x:v>0</x:v>
      </x:c>
      <x:c r="I441" s="141" t="n">
        <x:f>F441+G441+H441</x:f>
        <x:v>0</x:v>
      </x:c>
      <x:c r="J441" s="141" t="n">
        <x:f>IF(E441-F441&gt;0,MIN(E441-F441,P441),0)</x:f>
        <x:v>0</x:v>
      </x:c>
      <x:c r="K441" s="141" t="n">
        <x:f>I441+J441</x:f>
        <x:v>0</x:v>
      </x:c>
      <x:c r="L441" s="141" t="n">
        <x:f>MAX(0,E441-F441-J441)</x:f>
        <x:v>0</x:v>
      </x:c>
      <x:c r="M441" s="141" t="n">
        <x:f>SUM($K$6:K441)</x:f>
        <x:v>185795.9624076597</x:v>
      </x:c>
      <x:c r="N441" s="140" t="str">
        <x:f>IF(C441=0,"Encerrado",IF(L441=0,"Quitado","Aberto"))</x:f>
        <x:v>Encerrado</x:v>
      </x:c>
      <x:c r="O441" s="141" t="n">
        <x:f>IF(C441&gt;0,Premissas!$B$35,0)</x:f>
        <x:v>0</x:v>
      </x:c>
      <x:c r="P441" s="141" t="n">
        <x:f>IF(C441&gt;0,MAX(0,O441-I441),0)</x:f>
        <x:v>0</x:v>
      </x:c>
      <x:c r="Q441" s="141" t="n">
        <x:f>J441-IF(E441-F441&gt;0,MIN(E441-F441,P441),0)</x:f>
        <x:v>0</x:v>
      </x:c>
    </x:row>
    <x:row r="442">
      <x:c r="A442" s="142" t="n">
        <x:v>437</x:v>
      </x:c>
      <x:c r="B442" s="179" t="n">
        <x:f>EDATE(Premissas!$B$4,436)</x:f>
        <x:v>59810</x:v>
      </x:c>
      <x:c r="C442" s="141" t="n">
        <x:f>L441</x:f>
        <x:v>0</x:v>
      </x:c>
      <x:c r="D442" s="141" t="n">
        <x:f>IF(C442&gt;0,C442*Premissas!$B$17,0)</x:f>
        <x:v>0</x:v>
      </x:c>
      <x:c r="E442" s="141" t="n">
        <x:f>C442+D442</x:f>
        <x:v>0</x:v>
      </x:c>
      <x:c r="F442" s="141" t="n">
        <x:f>IF(E442&gt;0,MIN(E442,INDEX(Financiamento!$G$6:$G$485,A442)),0)</x:f>
        <x:v>0</x:v>
      </x:c>
      <x:c r="G442" s="141" t="n">
        <x:f>IF(E442&gt;0,E442*Premissas!$B$15,0)</x:f>
        <x:v>0</x:v>
      </x:c>
      <x:c r="H442" s="141" t="n">
        <x:f>IF(E442&gt;0,Premissas!$B$18,0)</x:f>
        <x:v>0</x:v>
      </x:c>
      <x:c r="I442" s="141" t="n">
        <x:f>F442+G442+H442</x:f>
        <x:v>0</x:v>
      </x:c>
      <x:c r="J442" s="141" t="n">
        <x:f>IF(E442-F442&gt;0,MIN(E442-F442,P442),0)</x:f>
        <x:v>0</x:v>
      </x:c>
      <x:c r="K442" s="141" t="n">
        <x:f>I442+J442</x:f>
        <x:v>0</x:v>
      </x:c>
      <x:c r="L442" s="141" t="n">
        <x:f>MAX(0,E442-F442-J442)</x:f>
        <x:v>0</x:v>
      </x:c>
      <x:c r="M442" s="141" t="n">
        <x:f>SUM($K$6:K442)</x:f>
        <x:v>185795.9624076597</x:v>
      </x:c>
      <x:c r="N442" s="140" t="str">
        <x:f>IF(C442=0,"Encerrado",IF(L442=0,"Quitado","Aberto"))</x:f>
        <x:v>Encerrado</x:v>
      </x:c>
      <x:c r="O442" s="141" t="n">
        <x:f>IF(C442&gt;0,Premissas!$B$35,0)</x:f>
        <x:v>0</x:v>
      </x:c>
      <x:c r="P442" s="141" t="n">
        <x:f>IF(C442&gt;0,MAX(0,O442-I442),0)</x:f>
        <x:v>0</x:v>
      </x:c>
      <x:c r="Q442" s="141" t="n">
        <x:f>J442-IF(E442-F442&gt;0,MIN(E442-F442,P442),0)</x:f>
        <x:v>0</x:v>
      </x:c>
    </x:row>
    <x:row r="443">
      <x:c r="A443" s="142" t="n">
        <x:v>438</x:v>
      </x:c>
      <x:c r="B443" s="179" t="n">
        <x:f>EDATE(Premissas!$B$4,437)</x:f>
        <x:v>59841</x:v>
      </x:c>
      <x:c r="C443" s="141" t="n">
        <x:f>L442</x:f>
        <x:v>0</x:v>
      </x:c>
      <x:c r="D443" s="141" t="n">
        <x:f>IF(C443&gt;0,C443*Premissas!$B$17,0)</x:f>
        <x:v>0</x:v>
      </x:c>
      <x:c r="E443" s="141" t="n">
        <x:f>C443+D443</x:f>
        <x:v>0</x:v>
      </x:c>
      <x:c r="F443" s="141" t="n">
        <x:f>IF(E443&gt;0,MIN(E443,INDEX(Financiamento!$G$6:$G$485,A443)),0)</x:f>
        <x:v>0</x:v>
      </x:c>
      <x:c r="G443" s="141" t="n">
        <x:f>IF(E443&gt;0,E443*Premissas!$B$15,0)</x:f>
        <x:v>0</x:v>
      </x:c>
      <x:c r="H443" s="141" t="n">
        <x:f>IF(E443&gt;0,Premissas!$B$18,0)</x:f>
        <x:v>0</x:v>
      </x:c>
      <x:c r="I443" s="141" t="n">
        <x:f>F443+G443+H443</x:f>
        <x:v>0</x:v>
      </x:c>
      <x:c r="J443" s="141" t="n">
        <x:f>IF(E443-F443&gt;0,MIN(E443-F443,P443),0)</x:f>
        <x:v>0</x:v>
      </x:c>
      <x:c r="K443" s="141" t="n">
        <x:f>I443+J443</x:f>
        <x:v>0</x:v>
      </x:c>
      <x:c r="L443" s="141" t="n">
        <x:f>MAX(0,E443-F443-J443)</x:f>
        <x:v>0</x:v>
      </x:c>
      <x:c r="M443" s="141" t="n">
        <x:f>SUM($K$6:K443)</x:f>
        <x:v>185795.9624076597</x:v>
      </x:c>
      <x:c r="N443" s="140" t="str">
        <x:f>IF(C443=0,"Encerrado",IF(L443=0,"Quitado","Aberto"))</x:f>
        <x:v>Encerrado</x:v>
      </x:c>
      <x:c r="O443" s="141" t="n">
        <x:f>IF(C443&gt;0,Premissas!$B$35,0)</x:f>
        <x:v>0</x:v>
      </x:c>
      <x:c r="P443" s="141" t="n">
        <x:f>IF(C443&gt;0,MAX(0,O443-I443),0)</x:f>
        <x:v>0</x:v>
      </x:c>
      <x:c r="Q443" s="141" t="n">
        <x:f>J443-IF(E443-F443&gt;0,MIN(E443-F443,P443),0)</x:f>
        <x:v>0</x:v>
      </x:c>
    </x:row>
    <x:row r="444">
      <x:c r="A444" s="142" t="n">
        <x:v>439</x:v>
      </x:c>
      <x:c r="B444" s="179" t="n">
        <x:f>EDATE(Premissas!$B$4,438)</x:f>
        <x:v>59871</x:v>
      </x:c>
      <x:c r="C444" s="141" t="n">
        <x:f>L443</x:f>
        <x:v>0</x:v>
      </x:c>
      <x:c r="D444" s="141" t="n">
        <x:f>IF(C444&gt;0,C444*Premissas!$B$17,0)</x:f>
        <x:v>0</x:v>
      </x:c>
      <x:c r="E444" s="141" t="n">
        <x:f>C444+D444</x:f>
        <x:v>0</x:v>
      </x:c>
      <x:c r="F444" s="141" t="n">
        <x:f>IF(E444&gt;0,MIN(E444,INDEX(Financiamento!$G$6:$G$485,A444)),0)</x:f>
        <x:v>0</x:v>
      </x:c>
      <x:c r="G444" s="141" t="n">
        <x:f>IF(E444&gt;0,E444*Premissas!$B$15,0)</x:f>
        <x:v>0</x:v>
      </x:c>
      <x:c r="H444" s="141" t="n">
        <x:f>IF(E444&gt;0,Premissas!$B$18,0)</x:f>
        <x:v>0</x:v>
      </x:c>
      <x:c r="I444" s="141" t="n">
        <x:f>F444+G444+H444</x:f>
        <x:v>0</x:v>
      </x:c>
      <x:c r="J444" s="141" t="n">
        <x:f>IF(E444-F444&gt;0,MIN(E444-F444,P444),0)</x:f>
        <x:v>0</x:v>
      </x:c>
      <x:c r="K444" s="141" t="n">
        <x:f>I444+J444</x:f>
        <x:v>0</x:v>
      </x:c>
      <x:c r="L444" s="141" t="n">
        <x:f>MAX(0,E444-F444-J444)</x:f>
        <x:v>0</x:v>
      </x:c>
      <x:c r="M444" s="141" t="n">
        <x:f>SUM($K$6:K444)</x:f>
        <x:v>185795.9624076597</x:v>
      </x:c>
      <x:c r="N444" s="140" t="str">
        <x:f>IF(C444=0,"Encerrado",IF(L444=0,"Quitado","Aberto"))</x:f>
        <x:v>Encerrado</x:v>
      </x:c>
      <x:c r="O444" s="141" t="n">
        <x:f>IF(C444&gt;0,Premissas!$B$35,0)</x:f>
        <x:v>0</x:v>
      </x:c>
      <x:c r="P444" s="141" t="n">
        <x:f>IF(C444&gt;0,MAX(0,O444-I444),0)</x:f>
        <x:v>0</x:v>
      </x:c>
      <x:c r="Q444" s="141" t="n">
        <x:f>J444-IF(E444-F444&gt;0,MIN(E444-F444,P444),0)</x:f>
        <x:v>0</x:v>
      </x:c>
    </x:row>
    <x:row r="445">
      <x:c r="A445" s="142" t="n">
        <x:v>440</x:v>
      </x:c>
      <x:c r="B445" s="179" t="n">
        <x:f>EDATE(Premissas!$B$4,439)</x:f>
        <x:v>59902</x:v>
      </x:c>
      <x:c r="C445" s="141" t="n">
        <x:f>L444</x:f>
        <x:v>0</x:v>
      </x:c>
      <x:c r="D445" s="141" t="n">
        <x:f>IF(C445&gt;0,C445*Premissas!$B$17,0)</x:f>
        <x:v>0</x:v>
      </x:c>
      <x:c r="E445" s="141" t="n">
        <x:f>C445+D445</x:f>
        <x:v>0</x:v>
      </x:c>
      <x:c r="F445" s="141" t="n">
        <x:f>IF(E445&gt;0,MIN(E445,INDEX(Financiamento!$G$6:$G$485,A445)),0)</x:f>
        <x:v>0</x:v>
      </x:c>
      <x:c r="G445" s="141" t="n">
        <x:f>IF(E445&gt;0,E445*Premissas!$B$15,0)</x:f>
        <x:v>0</x:v>
      </x:c>
      <x:c r="H445" s="141" t="n">
        <x:f>IF(E445&gt;0,Premissas!$B$18,0)</x:f>
        <x:v>0</x:v>
      </x:c>
      <x:c r="I445" s="141" t="n">
        <x:f>F445+G445+H445</x:f>
        <x:v>0</x:v>
      </x:c>
      <x:c r="J445" s="141" t="n">
        <x:f>IF(E445-F445&gt;0,MIN(E445-F445,P445),0)</x:f>
        <x:v>0</x:v>
      </x:c>
      <x:c r="K445" s="141" t="n">
        <x:f>I445+J445</x:f>
        <x:v>0</x:v>
      </x:c>
      <x:c r="L445" s="141" t="n">
        <x:f>MAX(0,E445-F445-J445)</x:f>
        <x:v>0</x:v>
      </x:c>
      <x:c r="M445" s="141" t="n">
        <x:f>SUM($K$6:K445)</x:f>
        <x:v>185795.9624076597</x:v>
      </x:c>
      <x:c r="N445" s="140" t="str">
        <x:f>IF(C445=0,"Encerrado",IF(L445=0,"Quitado","Aberto"))</x:f>
        <x:v>Encerrado</x:v>
      </x:c>
      <x:c r="O445" s="141" t="n">
        <x:f>IF(C445&gt;0,Premissas!$B$35,0)</x:f>
        <x:v>0</x:v>
      </x:c>
      <x:c r="P445" s="141" t="n">
        <x:f>IF(C445&gt;0,MAX(0,O445-I445),0)</x:f>
        <x:v>0</x:v>
      </x:c>
      <x:c r="Q445" s="141" t="n">
        <x:f>J445-IF(E445-F445&gt;0,MIN(E445-F445,P445),0)</x:f>
        <x:v>0</x:v>
      </x:c>
    </x:row>
    <x:row r="446">
      <x:c r="A446" s="142" t="n">
        <x:v>441</x:v>
      </x:c>
      <x:c r="B446" s="179" t="n">
        <x:f>EDATE(Premissas!$B$4,440)</x:f>
        <x:v>59933</x:v>
      </x:c>
      <x:c r="C446" s="141" t="n">
        <x:f>L445</x:f>
        <x:v>0</x:v>
      </x:c>
      <x:c r="D446" s="141" t="n">
        <x:f>IF(C446&gt;0,C446*Premissas!$B$17,0)</x:f>
        <x:v>0</x:v>
      </x:c>
      <x:c r="E446" s="141" t="n">
        <x:f>C446+D446</x:f>
        <x:v>0</x:v>
      </x:c>
      <x:c r="F446" s="141" t="n">
        <x:f>IF(E446&gt;0,MIN(E446,INDEX(Financiamento!$G$6:$G$485,A446)),0)</x:f>
        <x:v>0</x:v>
      </x:c>
      <x:c r="G446" s="141" t="n">
        <x:f>IF(E446&gt;0,E446*Premissas!$B$15,0)</x:f>
        <x:v>0</x:v>
      </x:c>
      <x:c r="H446" s="141" t="n">
        <x:f>IF(E446&gt;0,Premissas!$B$18,0)</x:f>
        <x:v>0</x:v>
      </x:c>
      <x:c r="I446" s="141" t="n">
        <x:f>F446+G446+H446</x:f>
        <x:v>0</x:v>
      </x:c>
      <x:c r="J446" s="141" t="n">
        <x:f>IF(E446-F446&gt;0,MIN(E446-F446,P446),0)</x:f>
        <x:v>0</x:v>
      </x:c>
      <x:c r="K446" s="141" t="n">
        <x:f>I446+J446</x:f>
        <x:v>0</x:v>
      </x:c>
      <x:c r="L446" s="141" t="n">
        <x:f>MAX(0,E446-F446-J446)</x:f>
        <x:v>0</x:v>
      </x:c>
      <x:c r="M446" s="141" t="n">
        <x:f>SUM($K$6:K446)</x:f>
        <x:v>185795.9624076597</x:v>
      </x:c>
      <x:c r="N446" s="140" t="str">
        <x:f>IF(C446=0,"Encerrado",IF(L446=0,"Quitado","Aberto"))</x:f>
        <x:v>Encerrado</x:v>
      </x:c>
      <x:c r="O446" s="141" t="n">
        <x:f>IF(C446&gt;0,Premissas!$B$35,0)</x:f>
        <x:v>0</x:v>
      </x:c>
      <x:c r="P446" s="141" t="n">
        <x:f>IF(C446&gt;0,MAX(0,O446-I446),0)</x:f>
        <x:v>0</x:v>
      </x:c>
      <x:c r="Q446" s="141" t="n">
        <x:f>J446-IF(E446-F446&gt;0,MIN(E446-F446,P446),0)</x:f>
        <x:v>0</x:v>
      </x:c>
    </x:row>
    <x:row r="447">
      <x:c r="A447" s="142" t="n">
        <x:v>442</x:v>
      </x:c>
      <x:c r="B447" s="179" t="n">
        <x:f>EDATE(Premissas!$B$4,441)</x:f>
        <x:v>59962</x:v>
      </x:c>
      <x:c r="C447" s="141" t="n">
        <x:f>L446</x:f>
        <x:v>0</x:v>
      </x:c>
      <x:c r="D447" s="141" t="n">
        <x:f>IF(C447&gt;0,C447*Premissas!$B$17,0)</x:f>
        <x:v>0</x:v>
      </x:c>
      <x:c r="E447" s="141" t="n">
        <x:f>C447+D447</x:f>
        <x:v>0</x:v>
      </x:c>
      <x:c r="F447" s="141" t="n">
        <x:f>IF(E447&gt;0,MIN(E447,INDEX(Financiamento!$G$6:$G$485,A447)),0)</x:f>
        <x:v>0</x:v>
      </x:c>
      <x:c r="G447" s="141" t="n">
        <x:f>IF(E447&gt;0,E447*Premissas!$B$15,0)</x:f>
        <x:v>0</x:v>
      </x:c>
      <x:c r="H447" s="141" t="n">
        <x:f>IF(E447&gt;0,Premissas!$B$18,0)</x:f>
        <x:v>0</x:v>
      </x:c>
      <x:c r="I447" s="141" t="n">
        <x:f>F447+G447+H447</x:f>
        <x:v>0</x:v>
      </x:c>
      <x:c r="J447" s="141" t="n">
        <x:f>IF(E447-F447&gt;0,MIN(E447-F447,P447),0)</x:f>
        <x:v>0</x:v>
      </x:c>
      <x:c r="K447" s="141" t="n">
        <x:f>I447+J447</x:f>
        <x:v>0</x:v>
      </x:c>
      <x:c r="L447" s="141" t="n">
        <x:f>MAX(0,E447-F447-J447)</x:f>
        <x:v>0</x:v>
      </x:c>
      <x:c r="M447" s="141" t="n">
        <x:f>SUM($K$6:K447)</x:f>
        <x:v>185795.9624076597</x:v>
      </x:c>
      <x:c r="N447" s="140" t="str">
        <x:f>IF(C447=0,"Encerrado",IF(L447=0,"Quitado","Aberto"))</x:f>
        <x:v>Encerrado</x:v>
      </x:c>
      <x:c r="O447" s="141" t="n">
        <x:f>IF(C447&gt;0,Premissas!$B$35,0)</x:f>
        <x:v>0</x:v>
      </x:c>
      <x:c r="P447" s="141" t="n">
        <x:f>IF(C447&gt;0,MAX(0,O447-I447),0)</x:f>
        <x:v>0</x:v>
      </x:c>
      <x:c r="Q447" s="141" t="n">
        <x:f>J447-IF(E447-F447&gt;0,MIN(E447-F447,P447),0)</x:f>
        <x:v>0</x:v>
      </x:c>
    </x:row>
    <x:row r="448">
      <x:c r="A448" s="142" t="n">
        <x:v>443</x:v>
      </x:c>
      <x:c r="B448" s="179" t="n">
        <x:f>EDATE(Premissas!$B$4,442)</x:f>
        <x:v>59993</x:v>
      </x:c>
      <x:c r="C448" s="141" t="n">
        <x:f>L447</x:f>
        <x:v>0</x:v>
      </x:c>
      <x:c r="D448" s="141" t="n">
        <x:f>IF(C448&gt;0,C448*Premissas!$B$17,0)</x:f>
        <x:v>0</x:v>
      </x:c>
      <x:c r="E448" s="141" t="n">
        <x:f>C448+D448</x:f>
        <x:v>0</x:v>
      </x:c>
      <x:c r="F448" s="141" t="n">
        <x:f>IF(E448&gt;0,MIN(E448,INDEX(Financiamento!$G$6:$G$485,A448)),0)</x:f>
        <x:v>0</x:v>
      </x:c>
      <x:c r="G448" s="141" t="n">
        <x:f>IF(E448&gt;0,E448*Premissas!$B$15,0)</x:f>
        <x:v>0</x:v>
      </x:c>
      <x:c r="H448" s="141" t="n">
        <x:f>IF(E448&gt;0,Premissas!$B$18,0)</x:f>
        <x:v>0</x:v>
      </x:c>
      <x:c r="I448" s="141" t="n">
        <x:f>F448+G448+H448</x:f>
        <x:v>0</x:v>
      </x:c>
      <x:c r="J448" s="141" t="n">
        <x:f>IF(E448-F448&gt;0,MIN(E448-F448,P448),0)</x:f>
        <x:v>0</x:v>
      </x:c>
      <x:c r="K448" s="141" t="n">
        <x:f>I448+J448</x:f>
        <x:v>0</x:v>
      </x:c>
      <x:c r="L448" s="141" t="n">
        <x:f>MAX(0,E448-F448-J448)</x:f>
        <x:v>0</x:v>
      </x:c>
      <x:c r="M448" s="141" t="n">
        <x:f>SUM($K$6:K448)</x:f>
        <x:v>185795.9624076597</x:v>
      </x:c>
      <x:c r="N448" s="140" t="str">
        <x:f>IF(C448=0,"Encerrado",IF(L448=0,"Quitado","Aberto"))</x:f>
        <x:v>Encerrado</x:v>
      </x:c>
      <x:c r="O448" s="141" t="n">
        <x:f>IF(C448&gt;0,Premissas!$B$35,0)</x:f>
        <x:v>0</x:v>
      </x:c>
      <x:c r="P448" s="141" t="n">
        <x:f>IF(C448&gt;0,MAX(0,O448-I448),0)</x:f>
        <x:v>0</x:v>
      </x:c>
      <x:c r="Q448" s="141" t="n">
        <x:f>J448-IF(E448-F448&gt;0,MIN(E448-F448,P448),0)</x:f>
        <x:v>0</x:v>
      </x:c>
    </x:row>
    <x:row r="449">
      <x:c r="A449" s="142" t="n">
        <x:v>444</x:v>
      </x:c>
      <x:c r="B449" s="179" t="n">
        <x:f>EDATE(Premissas!$B$4,443)</x:f>
        <x:v>60023</x:v>
      </x:c>
      <x:c r="C449" s="141" t="n">
        <x:f>L448</x:f>
        <x:v>0</x:v>
      </x:c>
      <x:c r="D449" s="141" t="n">
        <x:f>IF(C449&gt;0,C449*Premissas!$B$17,0)</x:f>
        <x:v>0</x:v>
      </x:c>
      <x:c r="E449" s="141" t="n">
        <x:f>C449+D449</x:f>
        <x:v>0</x:v>
      </x:c>
      <x:c r="F449" s="141" t="n">
        <x:f>IF(E449&gt;0,MIN(E449,INDEX(Financiamento!$G$6:$G$485,A449)),0)</x:f>
        <x:v>0</x:v>
      </x:c>
      <x:c r="G449" s="141" t="n">
        <x:f>IF(E449&gt;0,E449*Premissas!$B$15,0)</x:f>
        <x:v>0</x:v>
      </x:c>
      <x:c r="H449" s="141" t="n">
        <x:f>IF(E449&gt;0,Premissas!$B$18,0)</x:f>
        <x:v>0</x:v>
      </x:c>
      <x:c r="I449" s="141" t="n">
        <x:f>F449+G449+H449</x:f>
        <x:v>0</x:v>
      </x:c>
      <x:c r="J449" s="141" t="n">
        <x:f>IF(E449-F449&gt;0,MIN(E449-F449,P449),0)</x:f>
        <x:v>0</x:v>
      </x:c>
      <x:c r="K449" s="141" t="n">
        <x:f>I449+J449</x:f>
        <x:v>0</x:v>
      </x:c>
      <x:c r="L449" s="141" t="n">
        <x:f>MAX(0,E449-F449-J449)</x:f>
        <x:v>0</x:v>
      </x:c>
      <x:c r="M449" s="141" t="n">
        <x:f>SUM($K$6:K449)</x:f>
        <x:v>185795.9624076597</x:v>
      </x:c>
      <x:c r="N449" s="140" t="str">
        <x:f>IF(C449=0,"Encerrado",IF(L449=0,"Quitado","Aberto"))</x:f>
        <x:v>Encerrado</x:v>
      </x:c>
      <x:c r="O449" s="141" t="n">
        <x:f>IF(C449&gt;0,Premissas!$B$35,0)</x:f>
        <x:v>0</x:v>
      </x:c>
      <x:c r="P449" s="141" t="n">
        <x:f>IF(C449&gt;0,MAX(0,O449-I449),0)</x:f>
        <x:v>0</x:v>
      </x:c>
      <x:c r="Q449" s="141" t="n">
        <x:f>J449-IF(E449-F449&gt;0,MIN(E449-F449,P449),0)</x:f>
        <x:v>0</x:v>
      </x:c>
    </x:row>
    <x:row r="450">
      <x:c r="A450" s="142" t="n">
        <x:v>445</x:v>
      </x:c>
      <x:c r="B450" s="179" t="n">
        <x:f>EDATE(Premissas!$B$4,444)</x:f>
        <x:v>60054</x:v>
      </x:c>
      <x:c r="C450" s="141" t="n">
        <x:f>L449</x:f>
        <x:v>0</x:v>
      </x:c>
      <x:c r="D450" s="141" t="n">
        <x:f>IF(C450&gt;0,C450*Premissas!$B$17,0)</x:f>
        <x:v>0</x:v>
      </x:c>
      <x:c r="E450" s="141" t="n">
        <x:f>C450+D450</x:f>
        <x:v>0</x:v>
      </x:c>
      <x:c r="F450" s="141" t="n">
        <x:f>IF(E450&gt;0,MIN(E450,INDEX(Financiamento!$G$6:$G$485,A450)),0)</x:f>
        <x:v>0</x:v>
      </x:c>
      <x:c r="G450" s="141" t="n">
        <x:f>IF(E450&gt;0,E450*Premissas!$B$15,0)</x:f>
        <x:v>0</x:v>
      </x:c>
      <x:c r="H450" s="141" t="n">
        <x:f>IF(E450&gt;0,Premissas!$B$18,0)</x:f>
        <x:v>0</x:v>
      </x:c>
      <x:c r="I450" s="141" t="n">
        <x:f>F450+G450+H450</x:f>
        <x:v>0</x:v>
      </x:c>
      <x:c r="J450" s="141" t="n">
        <x:f>IF(E450-F450&gt;0,MIN(E450-F450,P450),0)</x:f>
        <x:v>0</x:v>
      </x:c>
      <x:c r="K450" s="141" t="n">
        <x:f>I450+J450</x:f>
        <x:v>0</x:v>
      </x:c>
      <x:c r="L450" s="141" t="n">
        <x:f>MAX(0,E450-F450-J450)</x:f>
        <x:v>0</x:v>
      </x:c>
      <x:c r="M450" s="141" t="n">
        <x:f>SUM($K$6:K450)</x:f>
        <x:v>185795.9624076597</x:v>
      </x:c>
      <x:c r="N450" s="140" t="str">
        <x:f>IF(C450=0,"Encerrado",IF(L450=0,"Quitado","Aberto"))</x:f>
        <x:v>Encerrado</x:v>
      </x:c>
      <x:c r="O450" s="141" t="n">
        <x:f>IF(C450&gt;0,Premissas!$B$35,0)</x:f>
        <x:v>0</x:v>
      </x:c>
      <x:c r="P450" s="141" t="n">
        <x:f>IF(C450&gt;0,MAX(0,O450-I450),0)</x:f>
        <x:v>0</x:v>
      </x:c>
      <x:c r="Q450" s="141" t="n">
        <x:f>J450-IF(E450-F450&gt;0,MIN(E450-F450,P450),0)</x:f>
        <x:v>0</x:v>
      </x:c>
    </x:row>
    <x:row r="451">
      <x:c r="A451" s="142" t="n">
        <x:v>446</x:v>
      </x:c>
      <x:c r="B451" s="179" t="n">
        <x:f>EDATE(Premissas!$B$4,445)</x:f>
        <x:v>60084</x:v>
      </x:c>
      <x:c r="C451" s="141" t="n">
        <x:f>L450</x:f>
        <x:v>0</x:v>
      </x:c>
      <x:c r="D451" s="141" t="n">
        <x:f>IF(C451&gt;0,C451*Premissas!$B$17,0)</x:f>
        <x:v>0</x:v>
      </x:c>
      <x:c r="E451" s="141" t="n">
        <x:f>C451+D451</x:f>
        <x:v>0</x:v>
      </x:c>
      <x:c r="F451" s="141" t="n">
        <x:f>IF(E451&gt;0,MIN(E451,INDEX(Financiamento!$G$6:$G$485,A451)),0)</x:f>
        <x:v>0</x:v>
      </x:c>
      <x:c r="G451" s="141" t="n">
        <x:f>IF(E451&gt;0,E451*Premissas!$B$15,0)</x:f>
        <x:v>0</x:v>
      </x:c>
      <x:c r="H451" s="141" t="n">
        <x:f>IF(E451&gt;0,Premissas!$B$18,0)</x:f>
        <x:v>0</x:v>
      </x:c>
      <x:c r="I451" s="141" t="n">
        <x:f>F451+G451+H451</x:f>
        <x:v>0</x:v>
      </x:c>
      <x:c r="J451" s="141" t="n">
        <x:f>IF(E451-F451&gt;0,MIN(E451-F451,P451),0)</x:f>
        <x:v>0</x:v>
      </x:c>
      <x:c r="K451" s="141" t="n">
        <x:f>I451+J451</x:f>
        <x:v>0</x:v>
      </x:c>
      <x:c r="L451" s="141" t="n">
        <x:f>MAX(0,E451-F451-J451)</x:f>
        <x:v>0</x:v>
      </x:c>
      <x:c r="M451" s="141" t="n">
        <x:f>SUM($K$6:K451)</x:f>
        <x:v>185795.9624076597</x:v>
      </x:c>
      <x:c r="N451" s="140" t="str">
        <x:f>IF(C451=0,"Encerrado",IF(L451=0,"Quitado","Aberto"))</x:f>
        <x:v>Encerrado</x:v>
      </x:c>
      <x:c r="O451" s="141" t="n">
        <x:f>IF(C451&gt;0,Premissas!$B$35,0)</x:f>
        <x:v>0</x:v>
      </x:c>
      <x:c r="P451" s="141" t="n">
        <x:f>IF(C451&gt;0,MAX(0,O451-I451),0)</x:f>
        <x:v>0</x:v>
      </x:c>
      <x:c r="Q451" s="141" t="n">
        <x:f>J451-IF(E451-F451&gt;0,MIN(E451-F451,P451),0)</x:f>
        <x:v>0</x:v>
      </x:c>
    </x:row>
    <x:row r="452">
      <x:c r="A452" s="142" t="n">
        <x:v>447</x:v>
      </x:c>
      <x:c r="B452" s="179" t="n">
        <x:f>EDATE(Premissas!$B$4,446)</x:f>
        <x:v>60115</x:v>
      </x:c>
      <x:c r="C452" s="141" t="n">
        <x:f>L451</x:f>
        <x:v>0</x:v>
      </x:c>
      <x:c r="D452" s="141" t="n">
        <x:f>IF(C452&gt;0,C452*Premissas!$B$17,0)</x:f>
        <x:v>0</x:v>
      </x:c>
      <x:c r="E452" s="141" t="n">
        <x:f>C452+D452</x:f>
        <x:v>0</x:v>
      </x:c>
      <x:c r="F452" s="141" t="n">
        <x:f>IF(E452&gt;0,MIN(E452,INDEX(Financiamento!$G$6:$G$485,A452)),0)</x:f>
        <x:v>0</x:v>
      </x:c>
      <x:c r="G452" s="141" t="n">
        <x:f>IF(E452&gt;0,E452*Premissas!$B$15,0)</x:f>
        <x:v>0</x:v>
      </x:c>
      <x:c r="H452" s="141" t="n">
        <x:f>IF(E452&gt;0,Premissas!$B$18,0)</x:f>
        <x:v>0</x:v>
      </x:c>
      <x:c r="I452" s="141" t="n">
        <x:f>F452+G452+H452</x:f>
        <x:v>0</x:v>
      </x:c>
      <x:c r="J452" s="141" t="n">
        <x:f>IF(E452-F452&gt;0,MIN(E452-F452,P452),0)</x:f>
        <x:v>0</x:v>
      </x:c>
      <x:c r="K452" s="141" t="n">
        <x:f>I452+J452</x:f>
        <x:v>0</x:v>
      </x:c>
      <x:c r="L452" s="141" t="n">
        <x:f>MAX(0,E452-F452-J452)</x:f>
        <x:v>0</x:v>
      </x:c>
      <x:c r="M452" s="141" t="n">
        <x:f>SUM($K$6:K452)</x:f>
        <x:v>185795.9624076597</x:v>
      </x:c>
      <x:c r="N452" s="140" t="str">
        <x:f>IF(C452=0,"Encerrado",IF(L452=0,"Quitado","Aberto"))</x:f>
        <x:v>Encerrado</x:v>
      </x:c>
      <x:c r="O452" s="141" t="n">
        <x:f>IF(C452&gt;0,Premissas!$B$35,0)</x:f>
        <x:v>0</x:v>
      </x:c>
      <x:c r="P452" s="141" t="n">
        <x:f>IF(C452&gt;0,MAX(0,O452-I452),0)</x:f>
        <x:v>0</x:v>
      </x:c>
      <x:c r="Q452" s="141" t="n">
        <x:f>J452-IF(E452-F452&gt;0,MIN(E452-F452,P452),0)</x:f>
        <x:v>0</x:v>
      </x:c>
    </x:row>
    <x:row r="453">
      <x:c r="A453" s="142" t="n">
        <x:v>448</x:v>
      </x:c>
      <x:c r="B453" s="179" t="n">
        <x:f>EDATE(Premissas!$B$4,447)</x:f>
        <x:v>60146</x:v>
      </x:c>
      <x:c r="C453" s="141" t="n">
        <x:f>L452</x:f>
        <x:v>0</x:v>
      </x:c>
      <x:c r="D453" s="141" t="n">
        <x:f>IF(C453&gt;0,C453*Premissas!$B$17,0)</x:f>
        <x:v>0</x:v>
      </x:c>
      <x:c r="E453" s="141" t="n">
        <x:f>C453+D453</x:f>
        <x:v>0</x:v>
      </x:c>
      <x:c r="F453" s="141" t="n">
        <x:f>IF(E453&gt;0,MIN(E453,INDEX(Financiamento!$G$6:$G$485,A453)),0)</x:f>
        <x:v>0</x:v>
      </x:c>
      <x:c r="G453" s="141" t="n">
        <x:f>IF(E453&gt;0,E453*Premissas!$B$15,0)</x:f>
        <x:v>0</x:v>
      </x:c>
      <x:c r="H453" s="141" t="n">
        <x:f>IF(E453&gt;0,Premissas!$B$18,0)</x:f>
        <x:v>0</x:v>
      </x:c>
      <x:c r="I453" s="141" t="n">
        <x:f>F453+G453+H453</x:f>
        <x:v>0</x:v>
      </x:c>
      <x:c r="J453" s="141" t="n">
        <x:f>IF(E453-F453&gt;0,MIN(E453-F453,P453),0)</x:f>
        <x:v>0</x:v>
      </x:c>
      <x:c r="K453" s="141" t="n">
        <x:f>I453+J453</x:f>
        <x:v>0</x:v>
      </x:c>
      <x:c r="L453" s="141" t="n">
        <x:f>MAX(0,E453-F453-J453)</x:f>
        <x:v>0</x:v>
      </x:c>
      <x:c r="M453" s="141" t="n">
        <x:f>SUM($K$6:K453)</x:f>
        <x:v>185795.9624076597</x:v>
      </x:c>
      <x:c r="N453" s="140" t="str">
        <x:f>IF(C453=0,"Encerrado",IF(L453=0,"Quitado","Aberto"))</x:f>
        <x:v>Encerrado</x:v>
      </x:c>
      <x:c r="O453" s="141" t="n">
        <x:f>IF(C453&gt;0,Premissas!$B$35,0)</x:f>
        <x:v>0</x:v>
      </x:c>
      <x:c r="P453" s="141" t="n">
        <x:f>IF(C453&gt;0,MAX(0,O453-I453),0)</x:f>
        <x:v>0</x:v>
      </x:c>
      <x:c r="Q453" s="141" t="n">
        <x:f>J453-IF(E453-F453&gt;0,MIN(E453-F453,P453),0)</x:f>
        <x:v>0</x:v>
      </x:c>
    </x:row>
    <x:row r="454">
      <x:c r="A454" s="142" t="n">
        <x:v>449</x:v>
      </x:c>
      <x:c r="B454" s="179" t="n">
        <x:f>EDATE(Premissas!$B$4,448)</x:f>
        <x:v>60176</x:v>
      </x:c>
      <x:c r="C454" s="141" t="n">
        <x:f>L453</x:f>
        <x:v>0</x:v>
      </x:c>
      <x:c r="D454" s="141" t="n">
        <x:f>IF(C454&gt;0,C454*Premissas!$B$17,0)</x:f>
        <x:v>0</x:v>
      </x:c>
      <x:c r="E454" s="141" t="n">
        <x:f>C454+D454</x:f>
        <x:v>0</x:v>
      </x:c>
      <x:c r="F454" s="141" t="n">
        <x:f>IF(E454&gt;0,MIN(E454,INDEX(Financiamento!$G$6:$G$485,A454)),0)</x:f>
        <x:v>0</x:v>
      </x:c>
      <x:c r="G454" s="141" t="n">
        <x:f>IF(E454&gt;0,E454*Premissas!$B$15,0)</x:f>
        <x:v>0</x:v>
      </x:c>
      <x:c r="H454" s="141" t="n">
        <x:f>IF(E454&gt;0,Premissas!$B$18,0)</x:f>
        <x:v>0</x:v>
      </x:c>
      <x:c r="I454" s="141" t="n">
        <x:f>F454+G454+H454</x:f>
        <x:v>0</x:v>
      </x:c>
      <x:c r="J454" s="141" t="n">
        <x:f>IF(E454-F454&gt;0,MIN(E454-F454,P454),0)</x:f>
        <x:v>0</x:v>
      </x:c>
      <x:c r="K454" s="141" t="n">
        <x:f>I454+J454</x:f>
        <x:v>0</x:v>
      </x:c>
      <x:c r="L454" s="141" t="n">
        <x:f>MAX(0,E454-F454-J454)</x:f>
        <x:v>0</x:v>
      </x:c>
      <x:c r="M454" s="141" t="n">
        <x:f>SUM($K$6:K454)</x:f>
        <x:v>185795.9624076597</x:v>
      </x:c>
      <x:c r="N454" s="140" t="str">
        <x:f>IF(C454=0,"Encerrado",IF(L454=0,"Quitado","Aberto"))</x:f>
        <x:v>Encerrado</x:v>
      </x:c>
      <x:c r="O454" s="141" t="n">
        <x:f>IF(C454&gt;0,Premissas!$B$35,0)</x:f>
        <x:v>0</x:v>
      </x:c>
      <x:c r="P454" s="141" t="n">
        <x:f>IF(C454&gt;0,MAX(0,O454-I454),0)</x:f>
        <x:v>0</x:v>
      </x:c>
      <x:c r="Q454" s="141" t="n">
        <x:f>J454-IF(E454-F454&gt;0,MIN(E454-F454,P454),0)</x:f>
        <x:v>0</x:v>
      </x:c>
    </x:row>
    <x:row r="455">
      <x:c r="A455" s="142" t="n">
        <x:v>450</x:v>
      </x:c>
      <x:c r="B455" s="179" t="n">
        <x:f>EDATE(Premissas!$B$4,449)</x:f>
        <x:v>60207</x:v>
      </x:c>
      <x:c r="C455" s="141" t="n">
        <x:f>L454</x:f>
        <x:v>0</x:v>
      </x:c>
      <x:c r="D455" s="141" t="n">
        <x:f>IF(C455&gt;0,C455*Premissas!$B$17,0)</x:f>
        <x:v>0</x:v>
      </x:c>
      <x:c r="E455" s="141" t="n">
        <x:f>C455+D455</x:f>
        <x:v>0</x:v>
      </x:c>
      <x:c r="F455" s="141" t="n">
        <x:f>IF(E455&gt;0,MIN(E455,INDEX(Financiamento!$G$6:$G$485,A455)),0)</x:f>
        <x:v>0</x:v>
      </x:c>
      <x:c r="G455" s="141" t="n">
        <x:f>IF(E455&gt;0,E455*Premissas!$B$15,0)</x:f>
        <x:v>0</x:v>
      </x:c>
      <x:c r="H455" s="141" t="n">
        <x:f>IF(E455&gt;0,Premissas!$B$18,0)</x:f>
        <x:v>0</x:v>
      </x:c>
      <x:c r="I455" s="141" t="n">
        <x:f>F455+G455+H455</x:f>
        <x:v>0</x:v>
      </x:c>
      <x:c r="J455" s="141" t="n">
        <x:f>IF(E455-F455&gt;0,MIN(E455-F455,P455),0)</x:f>
        <x:v>0</x:v>
      </x:c>
      <x:c r="K455" s="141" t="n">
        <x:f>I455+J455</x:f>
        <x:v>0</x:v>
      </x:c>
      <x:c r="L455" s="141" t="n">
        <x:f>MAX(0,E455-F455-J455)</x:f>
        <x:v>0</x:v>
      </x:c>
      <x:c r="M455" s="141" t="n">
        <x:f>SUM($K$6:K455)</x:f>
        <x:v>185795.9624076597</x:v>
      </x:c>
      <x:c r="N455" s="140" t="str">
        <x:f>IF(C455=0,"Encerrado",IF(L455=0,"Quitado","Aberto"))</x:f>
        <x:v>Encerrado</x:v>
      </x:c>
      <x:c r="O455" s="141" t="n">
        <x:f>IF(C455&gt;0,Premissas!$B$35,0)</x:f>
        <x:v>0</x:v>
      </x:c>
      <x:c r="P455" s="141" t="n">
        <x:f>IF(C455&gt;0,MAX(0,O455-I455),0)</x:f>
        <x:v>0</x:v>
      </x:c>
      <x:c r="Q455" s="141" t="n">
        <x:f>J455-IF(E455-F455&gt;0,MIN(E455-F455,P455),0)</x:f>
        <x:v>0</x:v>
      </x:c>
    </x:row>
    <x:row r="456">
      <x:c r="A456" s="142" t="n">
        <x:v>451</x:v>
      </x:c>
      <x:c r="B456" s="179" t="n">
        <x:f>EDATE(Premissas!$B$4,450)</x:f>
        <x:v>60237</x:v>
      </x:c>
      <x:c r="C456" s="141" t="n">
        <x:f>L455</x:f>
        <x:v>0</x:v>
      </x:c>
      <x:c r="D456" s="141" t="n">
        <x:f>IF(C456&gt;0,C456*Premissas!$B$17,0)</x:f>
        <x:v>0</x:v>
      </x:c>
      <x:c r="E456" s="141" t="n">
        <x:f>C456+D456</x:f>
        <x:v>0</x:v>
      </x:c>
      <x:c r="F456" s="141" t="n">
        <x:f>IF(E456&gt;0,MIN(E456,INDEX(Financiamento!$G$6:$G$485,A456)),0)</x:f>
        <x:v>0</x:v>
      </x:c>
      <x:c r="G456" s="141" t="n">
        <x:f>IF(E456&gt;0,E456*Premissas!$B$15,0)</x:f>
        <x:v>0</x:v>
      </x:c>
      <x:c r="H456" s="141" t="n">
        <x:f>IF(E456&gt;0,Premissas!$B$18,0)</x:f>
        <x:v>0</x:v>
      </x:c>
      <x:c r="I456" s="141" t="n">
        <x:f>F456+G456+H456</x:f>
        <x:v>0</x:v>
      </x:c>
      <x:c r="J456" s="141" t="n">
        <x:f>IF(E456-F456&gt;0,MIN(E456-F456,P456),0)</x:f>
        <x:v>0</x:v>
      </x:c>
      <x:c r="K456" s="141" t="n">
        <x:f>I456+J456</x:f>
        <x:v>0</x:v>
      </x:c>
      <x:c r="L456" s="141" t="n">
        <x:f>MAX(0,E456-F456-J456)</x:f>
        <x:v>0</x:v>
      </x:c>
      <x:c r="M456" s="141" t="n">
        <x:f>SUM($K$6:K456)</x:f>
        <x:v>185795.9624076597</x:v>
      </x:c>
      <x:c r="N456" s="140" t="str">
        <x:f>IF(C456=0,"Encerrado",IF(L456=0,"Quitado","Aberto"))</x:f>
        <x:v>Encerrado</x:v>
      </x:c>
      <x:c r="O456" s="141" t="n">
        <x:f>IF(C456&gt;0,Premissas!$B$35,0)</x:f>
        <x:v>0</x:v>
      </x:c>
      <x:c r="P456" s="141" t="n">
        <x:f>IF(C456&gt;0,MAX(0,O456-I456),0)</x:f>
        <x:v>0</x:v>
      </x:c>
      <x:c r="Q456" s="141" t="n">
        <x:f>J456-IF(E456-F456&gt;0,MIN(E456-F456,P456),0)</x:f>
        <x:v>0</x:v>
      </x:c>
    </x:row>
    <x:row r="457">
      <x:c r="A457" s="142" t="n">
        <x:v>452</x:v>
      </x:c>
      <x:c r="B457" s="179" t="n">
        <x:f>EDATE(Premissas!$B$4,451)</x:f>
        <x:v>60268</x:v>
      </x:c>
      <x:c r="C457" s="141" t="n">
        <x:f>L456</x:f>
        <x:v>0</x:v>
      </x:c>
      <x:c r="D457" s="141" t="n">
        <x:f>IF(C457&gt;0,C457*Premissas!$B$17,0)</x:f>
        <x:v>0</x:v>
      </x:c>
      <x:c r="E457" s="141" t="n">
        <x:f>C457+D457</x:f>
        <x:v>0</x:v>
      </x:c>
      <x:c r="F457" s="141" t="n">
        <x:f>IF(E457&gt;0,MIN(E457,INDEX(Financiamento!$G$6:$G$485,A457)),0)</x:f>
        <x:v>0</x:v>
      </x:c>
      <x:c r="G457" s="141" t="n">
        <x:f>IF(E457&gt;0,E457*Premissas!$B$15,0)</x:f>
        <x:v>0</x:v>
      </x:c>
      <x:c r="H457" s="141" t="n">
        <x:f>IF(E457&gt;0,Premissas!$B$18,0)</x:f>
        <x:v>0</x:v>
      </x:c>
      <x:c r="I457" s="141" t="n">
        <x:f>F457+G457+H457</x:f>
        <x:v>0</x:v>
      </x:c>
      <x:c r="J457" s="141" t="n">
        <x:f>IF(E457-F457&gt;0,MIN(E457-F457,P457),0)</x:f>
        <x:v>0</x:v>
      </x:c>
      <x:c r="K457" s="141" t="n">
        <x:f>I457+J457</x:f>
        <x:v>0</x:v>
      </x:c>
      <x:c r="L457" s="141" t="n">
        <x:f>MAX(0,E457-F457-J457)</x:f>
        <x:v>0</x:v>
      </x:c>
      <x:c r="M457" s="141" t="n">
        <x:f>SUM($K$6:K457)</x:f>
        <x:v>185795.9624076597</x:v>
      </x:c>
      <x:c r="N457" s="140" t="str">
        <x:f>IF(C457=0,"Encerrado",IF(L457=0,"Quitado","Aberto"))</x:f>
        <x:v>Encerrado</x:v>
      </x:c>
      <x:c r="O457" s="141" t="n">
        <x:f>IF(C457&gt;0,Premissas!$B$35,0)</x:f>
        <x:v>0</x:v>
      </x:c>
      <x:c r="P457" s="141" t="n">
        <x:f>IF(C457&gt;0,MAX(0,O457-I457),0)</x:f>
        <x:v>0</x:v>
      </x:c>
      <x:c r="Q457" s="141" t="n">
        <x:f>J457-IF(E457-F457&gt;0,MIN(E457-F457,P457),0)</x:f>
        <x:v>0</x:v>
      </x:c>
    </x:row>
    <x:row r="458">
      <x:c r="A458" s="142" t="n">
        <x:v>453</x:v>
      </x:c>
      <x:c r="B458" s="179" t="n">
        <x:f>EDATE(Premissas!$B$4,452)</x:f>
        <x:v>60299</x:v>
      </x:c>
      <x:c r="C458" s="141" t="n">
        <x:f>L457</x:f>
        <x:v>0</x:v>
      </x:c>
      <x:c r="D458" s="141" t="n">
        <x:f>IF(C458&gt;0,C458*Premissas!$B$17,0)</x:f>
        <x:v>0</x:v>
      </x:c>
      <x:c r="E458" s="141" t="n">
        <x:f>C458+D458</x:f>
        <x:v>0</x:v>
      </x:c>
      <x:c r="F458" s="141" t="n">
        <x:f>IF(E458&gt;0,MIN(E458,INDEX(Financiamento!$G$6:$G$485,A458)),0)</x:f>
        <x:v>0</x:v>
      </x:c>
      <x:c r="G458" s="141" t="n">
        <x:f>IF(E458&gt;0,E458*Premissas!$B$15,0)</x:f>
        <x:v>0</x:v>
      </x:c>
      <x:c r="H458" s="141" t="n">
        <x:f>IF(E458&gt;0,Premissas!$B$18,0)</x:f>
        <x:v>0</x:v>
      </x:c>
      <x:c r="I458" s="141" t="n">
        <x:f>F458+G458+H458</x:f>
        <x:v>0</x:v>
      </x:c>
      <x:c r="J458" s="141" t="n">
        <x:f>IF(E458-F458&gt;0,MIN(E458-F458,P458),0)</x:f>
        <x:v>0</x:v>
      </x:c>
      <x:c r="K458" s="141" t="n">
        <x:f>I458+J458</x:f>
        <x:v>0</x:v>
      </x:c>
      <x:c r="L458" s="141" t="n">
        <x:f>MAX(0,E458-F458-J458)</x:f>
        <x:v>0</x:v>
      </x:c>
      <x:c r="M458" s="141" t="n">
        <x:f>SUM($K$6:K458)</x:f>
        <x:v>185795.9624076597</x:v>
      </x:c>
      <x:c r="N458" s="140" t="str">
        <x:f>IF(C458=0,"Encerrado",IF(L458=0,"Quitado","Aberto"))</x:f>
        <x:v>Encerrado</x:v>
      </x:c>
      <x:c r="O458" s="141" t="n">
        <x:f>IF(C458&gt;0,Premissas!$B$35,0)</x:f>
        <x:v>0</x:v>
      </x:c>
      <x:c r="P458" s="141" t="n">
        <x:f>IF(C458&gt;0,MAX(0,O458-I458),0)</x:f>
        <x:v>0</x:v>
      </x:c>
      <x:c r="Q458" s="141" t="n">
        <x:f>J458-IF(E458-F458&gt;0,MIN(E458-F458,P458),0)</x:f>
        <x:v>0</x:v>
      </x:c>
    </x:row>
    <x:row r="459">
      <x:c r="A459" s="142" t="n">
        <x:v>454</x:v>
      </x:c>
      <x:c r="B459" s="179" t="n">
        <x:f>EDATE(Premissas!$B$4,453)</x:f>
        <x:v>60327</x:v>
      </x:c>
      <x:c r="C459" s="141" t="n">
        <x:f>L458</x:f>
        <x:v>0</x:v>
      </x:c>
      <x:c r="D459" s="141" t="n">
        <x:f>IF(C459&gt;0,C459*Premissas!$B$17,0)</x:f>
        <x:v>0</x:v>
      </x:c>
      <x:c r="E459" s="141" t="n">
        <x:f>C459+D459</x:f>
        <x:v>0</x:v>
      </x:c>
      <x:c r="F459" s="141" t="n">
        <x:f>IF(E459&gt;0,MIN(E459,INDEX(Financiamento!$G$6:$G$485,A459)),0)</x:f>
        <x:v>0</x:v>
      </x:c>
      <x:c r="G459" s="141" t="n">
        <x:f>IF(E459&gt;0,E459*Premissas!$B$15,0)</x:f>
        <x:v>0</x:v>
      </x:c>
      <x:c r="H459" s="141" t="n">
        <x:f>IF(E459&gt;0,Premissas!$B$18,0)</x:f>
        <x:v>0</x:v>
      </x:c>
      <x:c r="I459" s="141" t="n">
        <x:f>F459+G459+H459</x:f>
        <x:v>0</x:v>
      </x:c>
      <x:c r="J459" s="141" t="n">
        <x:f>IF(E459-F459&gt;0,MIN(E459-F459,P459),0)</x:f>
        <x:v>0</x:v>
      </x:c>
      <x:c r="K459" s="141" t="n">
        <x:f>I459+J459</x:f>
        <x:v>0</x:v>
      </x:c>
      <x:c r="L459" s="141" t="n">
        <x:f>MAX(0,E459-F459-J459)</x:f>
        <x:v>0</x:v>
      </x:c>
      <x:c r="M459" s="141" t="n">
        <x:f>SUM($K$6:K459)</x:f>
        <x:v>185795.9624076597</x:v>
      </x:c>
      <x:c r="N459" s="140" t="str">
        <x:f>IF(C459=0,"Encerrado",IF(L459=0,"Quitado","Aberto"))</x:f>
        <x:v>Encerrado</x:v>
      </x:c>
      <x:c r="O459" s="141" t="n">
        <x:f>IF(C459&gt;0,Premissas!$B$35,0)</x:f>
        <x:v>0</x:v>
      </x:c>
      <x:c r="P459" s="141" t="n">
        <x:f>IF(C459&gt;0,MAX(0,O459-I459),0)</x:f>
        <x:v>0</x:v>
      </x:c>
      <x:c r="Q459" s="141" t="n">
        <x:f>J459-IF(E459-F459&gt;0,MIN(E459-F459,P459),0)</x:f>
        <x:v>0</x:v>
      </x:c>
    </x:row>
    <x:row r="460">
      <x:c r="A460" s="142" t="n">
        <x:v>455</x:v>
      </x:c>
      <x:c r="B460" s="179" t="n">
        <x:f>EDATE(Premissas!$B$4,454)</x:f>
        <x:v>60358</x:v>
      </x:c>
      <x:c r="C460" s="141" t="n">
        <x:f>L459</x:f>
        <x:v>0</x:v>
      </x:c>
      <x:c r="D460" s="141" t="n">
        <x:f>IF(C460&gt;0,C460*Premissas!$B$17,0)</x:f>
        <x:v>0</x:v>
      </x:c>
      <x:c r="E460" s="141" t="n">
        <x:f>C460+D460</x:f>
        <x:v>0</x:v>
      </x:c>
      <x:c r="F460" s="141" t="n">
        <x:f>IF(E460&gt;0,MIN(E460,INDEX(Financiamento!$G$6:$G$485,A460)),0)</x:f>
        <x:v>0</x:v>
      </x:c>
      <x:c r="G460" s="141" t="n">
        <x:f>IF(E460&gt;0,E460*Premissas!$B$15,0)</x:f>
        <x:v>0</x:v>
      </x:c>
      <x:c r="H460" s="141" t="n">
        <x:f>IF(E460&gt;0,Premissas!$B$18,0)</x:f>
        <x:v>0</x:v>
      </x:c>
      <x:c r="I460" s="141" t="n">
        <x:f>F460+G460+H460</x:f>
        <x:v>0</x:v>
      </x:c>
      <x:c r="J460" s="141" t="n">
        <x:f>IF(E460-F460&gt;0,MIN(E460-F460,P460),0)</x:f>
        <x:v>0</x:v>
      </x:c>
      <x:c r="K460" s="141" t="n">
        <x:f>I460+J460</x:f>
        <x:v>0</x:v>
      </x:c>
      <x:c r="L460" s="141" t="n">
        <x:f>MAX(0,E460-F460-J460)</x:f>
        <x:v>0</x:v>
      </x:c>
      <x:c r="M460" s="141" t="n">
        <x:f>SUM($K$6:K460)</x:f>
        <x:v>185795.9624076597</x:v>
      </x:c>
      <x:c r="N460" s="140" t="str">
        <x:f>IF(C460=0,"Encerrado",IF(L460=0,"Quitado","Aberto"))</x:f>
        <x:v>Encerrado</x:v>
      </x:c>
      <x:c r="O460" s="141" t="n">
        <x:f>IF(C460&gt;0,Premissas!$B$35,0)</x:f>
        <x:v>0</x:v>
      </x:c>
      <x:c r="P460" s="141" t="n">
        <x:f>IF(C460&gt;0,MAX(0,O460-I460),0)</x:f>
        <x:v>0</x:v>
      </x:c>
      <x:c r="Q460" s="141" t="n">
        <x:f>J460-IF(E460-F460&gt;0,MIN(E460-F460,P460),0)</x:f>
        <x:v>0</x:v>
      </x:c>
    </x:row>
    <x:row r="461">
      <x:c r="A461" s="142" t="n">
        <x:v>456</x:v>
      </x:c>
      <x:c r="B461" s="179" t="n">
        <x:f>EDATE(Premissas!$B$4,455)</x:f>
        <x:v>60388</x:v>
      </x:c>
      <x:c r="C461" s="141" t="n">
        <x:f>L460</x:f>
        <x:v>0</x:v>
      </x:c>
      <x:c r="D461" s="141" t="n">
        <x:f>IF(C461&gt;0,C461*Premissas!$B$17,0)</x:f>
        <x:v>0</x:v>
      </x:c>
      <x:c r="E461" s="141" t="n">
        <x:f>C461+D461</x:f>
        <x:v>0</x:v>
      </x:c>
      <x:c r="F461" s="141" t="n">
        <x:f>IF(E461&gt;0,MIN(E461,INDEX(Financiamento!$G$6:$G$485,A461)),0)</x:f>
        <x:v>0</x:v>
      </x:c>
      <x:c r="G461" s="141" t="n">
        <x:f>IF(E461&gt;0,E461*Premissas!$B$15,0)</x:f>
        <x:v>0</x:v>
      </x:c>
      <x:c r="H461" s="141" t="n">
        <x:f>IF(E461&gt;0,Premissas!$B$18,0)</x:f>
        <x:v>0</x:v>
      </x:c>
      <x:c r="I461" s="141" t="n">
        <x:f>F461+G461+H461</x:f>
        <x:v>0</x:v>
      </x:c>
      <x:c r="J461" s="141" t="n">
        <x:f>IF(E461-F461&gt;0,MIN(E461-F461,P461),0)</x:f>
        <x:v>0</x:v>
      </x:c>
      <x:c r="K461" s="141" t="n">
        <x:f>I461+J461</x:f>
        <x:v>0</x:v>
      </x:c>
      <x:c r="L461" s="141" t="n">
        <x:f>MAX(0,E461-F461-J461)</x:f>
        <x:v>0</x:v>
      </x:c>
      <x:c r="M461" s="141" t="n">
        <x:f>SUM($K$6:K461)</x:f>
        <x:v>185795.9624076597</x:v>
      </x:c>
      <x:c r="N461" s="140" t="str">
        <x:f>IF(C461=0,"Encerrado",IF(L461=0,"Quitado","Aberto"))</x:f>
        <x:v>Encerrado</x:v>
      </x:c>
      <x:c r="O461" s="141" t="n">
        <x:f>IF(C461&gt;0,Premissas!$B$35,0)</x:f>
        <x:v>0</x:v>
      </x:c>
      <x:c r="P461" s="141" t="n">
        <x:f>IF(C461&gt;0,MAX(0,O461-I461),0)</x:f>
        <x:v>0</x:v>
      </x:c>
      <x:c r="Q461" s="141" t="n">
        <x:f>J461-IF(E461-F461&gt;0,MIN(E461-F461,P461),0)</x:f>
        <x:v>0</x:v>
      </x:c>
    </x:row>
    <x:row r="462">
      <x:c r="A462" s="142" t="n">
        <x:v>457</x:v>
      </x:c>
      <x:c r="B462" s="179" t="n">
        <x:f>EDATE(Premissas!$B$4,456)</x:f>
        <x:v>60419</x:v>
      </x:c>
      <x:c r="C462" s="141" t="n">
        <x:f>L461</x:f>
        <x:v>0</x:v>
      </x:c>
      <x:c r="D462" s="141" t="n">
        <x:f>IF(C462&gt;0,C462*Premissas!$B$17,0)</x:f>
        <x:v>0</x:v>
      </x:c>
      <x:c r="E462" s="141" t="n">
        <x:f>C462+D462</x:f>
        <x:v>0</x:v>
      </x:c>
      <x:c r="F462" s="141" t="n">
        <x:f>IF(E462&gt;0,MIN(E462,INDEX(Financiamento!$G$6:$G$485,A462)),0)</x:f>
        <x:v>0</x:v>
      </x:c>
      <x:c r="G462" s="141" t="n">
        <x:f>IF(E462&gt;0,E462*Premissas!$B$15,0)</x:f>
        <x:v>0</x:v>
      </x:c>
      <x:c r="H462" s="141" t="n">
        <x:f>IF(E462&gt;0,Premissas!$B$18,0)</x:f>
        <x:v>0</x:v>
      </x:c>
      <x:c r="I462" s="141" t="n">
        <x:f>F462+G462+H462</x:f>
        <x:v>0</x:v>
      </x:c>
      <x:c r="J462" s="141" t="n">
        <x:f>IF(E462-F462&gt;0,MIN(E462-F462,P462),0)</x:f>
        <x:v>0</x:v>
      </x:c>
      <x:c r="K462" s="141" t="n">
        <x:f>I462+J462</x:f>
        <x:v>0</x:v>
      </x:c>
      <x:c r="L462" s="141" t="n">
        <x:f>MAX(0,E462-F462-J462)</x:f>
        <x:v>0</x:v>
      </x:c>
      <x:c r="M462" s="141" t="n">
        <x:f>SUM($K$6:K462)</x:f>
        <x:v>185795.9624076597</x:v>
      </x:c>
      <x:c r="N462" s="140" t="str">
        <x:f>IF(C462=0,"Encerrado",IF(L462=0,"Quitado","Aberto"))</x:f>
        <x:v>Encerrado</x:v>
      </x:c>
      <x:c r="O462" s="141" t="n">
        <x:f>IF(C462&gt;0,Premissas!$B$35,0)</x:f>
        <x:v>0</x:v>
      </x:c>
      <x:c r="P462" s="141" t="n">
        <x:f>IF(C462&gt;0,MAX(0,O462-I462),0)</x:f>
        <x:v>0</x:v>
      </x:c>
      <x:c r="Q462" s="141" t="n">
        <x:f>J462-IF(E462-F462&gt;0,MIN(E462-F462,P462),0)</x:f>
        <x:v>0</x:v>
      </x:c>
    </x:row>
    <x:row r="463">
      <x:c r="A463" s="142" t="n">
        <x:v>458</x:v>
      </x:c>
      <x:c r="B463" s="179" t="n">
        <x:f>EDATE(Premissas!$B$4,457)</x:f>
        <x:v>60449</x:v>
      </x:c>
      <x:c r="C463" s="141" t="n">
        <x:f>L462</x:f>
        <x:v>0</x:v>
      </x:c>
      <x:c r="D463" s="141" t="n">
        <x:f>IF(C463&gt;0,C463*Premissas!$B$17,0)</x:f>
        <x:v>0</x:v>
      </x:c>
      <x:c r="E463" s="141" t="n">
        <x:f>C463+D463</x:f>
        <x:v>0</x:v>
      </x:c>
      <x:c r="F463" s="141" t="n">
        <x:f>IF(E463&gt;0,MIN(E463,INDEX(Financiamento!$G$6:$G$485,A463)),0)</x:f>
        <x:v>0</x:v>
      </x:c>
      <x:c r="G463" s="141" t="n">
        <x:f>IF(E463&gt;0,E463*Premissas!$B$15,0)</x:f>
        <x:v>0</x:v>
      </x:c>
      <x:c r="H463" s="141" t="n">
        <x:f>IF(E463&gt;0,Premissas!$B$18,0)</x:f>
        <x:v>0</x:v>
      </x:c>
      <x:c r="I463" s="141" t="n">
        <x:f>F463+G463+H463</x:f>
        <x:v>0</x:v>
      </x:c>
      <x:c r="J463" s="141" t="n">
        <x:f>IF(E463-F463&gt;0,MIN(E463-F463,P463),0)</x:f>
        <x:v>0</x:v>
      </x:c>
      <x:c r="K463" s="141" t="n">
        <x:f>I463+J463</x:f>
        <x:v>0</x:v>
      </x:c>
      <x:c r="L463" s="141" t="n">
        <x:f>MAX(0,E463-F463-J463)</x:f>
        <x:v>0</x:v>
      </x:c>
      <x:c r="M463" s="141" t="n">
        <x:f>SUM($K$6:K463)</x:f>
        <x:v>185795.9624076597</x:v>
      </x:c>
      <x:c r="N463" s="140" t="str">
        <x:f>IF(C463=0,"Encerrado",IF(L463=0,"Quitado","Aberto"))</x:f>
        <x:v>Encerrado</x:v>
      </x:c>
      <x:c r="O463" s="141" t="n">
        <x:f>IF(C463&gt;0,Premissas!$B$35,0)</x:f>
        <x:v>0</x:v>
      </x:c>
      <x:c r="P463" s="141" t="n">
        <x:f>IF(C463&gt;0,MAX(0,O463-I463),0)</x:f>
        <x:v>0</x:v>
      </x:c>
      <x:c r="Q463" s="141" t="n">
        <x:f>J463-IF(E463-F463&gt;0,MIN(E463-F463,P463),0)</x:f>
        <x:v>0</x:v>
      </x:c>
    </x:row>
    <x:row r="464">
      <x:c r="A464" s="142" t="n">
        <x:v>459</x:v>
      </x:c>
      <x:c r="B464" s="179" t="n">
        <x:f>EDATE(Premissas!$B$4,458)</x:f>
        <x:v>60480</x:v>
      </x:c>
      <x:c r="C464" s="141" t="n">
        <x:f>L463</x:f>
        <x:v>0</x:v>
      </x:c>
      <x:c r="D464" s="141" t="n">
        <x:f>IF(C464&gt;0,C464*Premissas!$B$17,0)</x:f>
        <x:v>0</x:v>
      </x:c>
      <x:c r="E464" s="141" t="n">
        <x:f>C464+D464</x:f>
        <x:v>0</x:v>
      </x:c>
      <x:c r="F464" s="141" t="n">
        <x:f>IF(E464&gt;0,MIN(E464,INDEX(Financiamento!$G$6:$G$485,A464)),0)</x:f>
        <x:v>0</x:v>
      </x:c>
      <x:c r="G464" s="141" t="n">
        <x:f>IF(E464&gt;0,E464*Premissas!$B$15,0)</x:f>
        <x:v>0</x:v>
      </x:c>
      <x:c r="H464" s="141" t="n">
        <x:f>IF(E464&gt;0,Premissas!$B$18,0)</x:f>
        <x:v>0</x:v>
      </x:c>
      <x:c r="I464" s="141" t="n">
        <x:f>F464+G464+H464</x:f>
        <x:v>0</x:v>
      </x:c>
      <x:c r="J464" s="141" t="n">
        <x:f>IF(E464-F464&gt;0,MIN(E464-F464,P464),0)</x:f>
        <x:v>0</x:v>
      </x:c>
      <x:c r="K464" s="141" t="n">
        <x:f>I464+J464</x:f>
        <x:v>0</x:v>
      </x:c>
      <x:c r="L464" s="141" t="n">
        <x:f>MAX(0,E464-F464-J464)</x:f>
        <x:v>0</x:v>
      </x:c>
      <x:c r="M464" s="141" t="n">
        <x:f>SUM($K$6:K464)</x:f>
        <x:v>185795.9624076597</x:v>
      </x:c>
      <x:c r="N464" s="140" t="str">
        <x:f>IF(C464=0,"Encerrado",IF(L464=0,"Quitado","Aberto"))</x:f>
        <x:v>Encerrado</x:v>
      </x:c>
      <x:c r="O464" s="141" t="n">
        <x:f>IF(C464&gt;0,Premissas!$B$35,0)</x:f>
        <x:v>0</x:v>
      </x:c>
      <x:c r="P464" s="141" t="n">
        <x:f>IF(C464&gt;0,MAX(0,O464-I464),0)</x:f>
        <x:v>0</x:v>
      </x:c>
      <x:c r="Q464" s="141" t="n">
        <x:f>J464-IF(E464-F464&gt;0,MIN(E464-F464,P464),0)</x:f>
        <x:v>0</x:v>
      </x:c>
    </x:row>
    <x:row r="465">
      <x:c r="A465" s="142" t="n">
        <x:v>460</x:v>
      </x:c>
      <x:c r="B465" s="179" t="n">
        <x:f>EDATE(Premissas!$B$4,459)</x:f>
        <x:v>60511</x:v>
      </x:c>
      <x:c r="C465" s="141" t="n">
        <x:f>L464</x:f>
        <x:v>0</x:v>
      </x:c>
      <x:c r="D465" s="141" t="n">
        <x:f>IF(C465&gt;0,C465*Premissas!$B$17,0)</x:f>
        <x:v>0</x:v>
      </x:c>
      <x:c r="E465" s="141" t="n">
        <x:f>C465+D465</x:f>
        <x:v>0</x:v>
      </x:c>
      <x:c r="F465" s="141" t="n">
        <x:f>IF(E465&gt;0,MIN(E465,INDEX(Financiamento!$G$6:$G$485,A465)),0)</x:f>
        <x:v>0</x:v>
      </x:c>
      <x:c r="G465" s="141" t="n">
        <x:f>IF(E465&gt;0,E465*Premissas!$B$15,0)</x:f>
        <x:v>0</x:v>
      </x:c>
      <x:c r="H465" s="141" t="n">
        <x:f>IF(E465&gt;0,Premissas!$B$18,0)</x:f>
        <x:v>0</x:v>
      </x:c>
      <x:c r="I465" s="141" t="n">
        <x:f>F465+G465+H465</x:f>
        <x:v>0</x:v>
      </x:c>
      <x:c r="J465" s="141" t="n">
        <x:f>IF(E465-F465&gt;0,MIN(E465-F465,P465),0)</x:f>
        <x:v>0</x:v>
      </x:c>
      <x:c r="K465" s="141" t="n">
        <x:f>I465+J465</x:f>
        <x:v>0</x:v>
      </x:c>
      <x:c r="L465" s="141" t="n">
        <x:f>MAX(0,E465-F465-J465)</x:f>
        <x:v>0</x:v>
      </x:c>
      <x:c r="M465" s="141" t="n">
        <x:f>SUM($K$6:K465)</x:f>
        <x:v>185795.9624076597</x:v>
      </x:c>
      <x:c r="N465" s="140" t="str">
        <x:f>IF(C465=0,"Encerrado",IF(L465=0,"Quitado","Aberto"))</x:f>
        <x:v>Encerrado</x:v>
      </x:c>
      <x:c r="O465" s="141" t="n">
        <x:f>IF(C465&gt;0,Premissas!$B$35,0)</x:f>
        <x:v>0</x:v>
      </x:c>
      <x:c r="P465" s="141" t="n">
        <x:f>IF(C465&gt;0,MAX(0,O465-I465),0)</x:f>
        <x:v>0</x:v>
      </x:c>
      <x:c r="Q465" s="141" t="n">
        <x:f>J465-IF(E465-F465&gt;0,MIN(E465-F465,P465),0)</x:f>
        <x:v>0</x:v>
      </x:c>
    </x:row>
    <x:row r="466">
      <x:c r="A466" s="142" t="n">
        <x:v>461</x:v>
      </x:c>
      <x:c r="B466" s="179" t="n">
        <x:f>EDATE(Premissas!$B$4,460)</x:f>
        <x:v>60541</x:v>
      </x:c>
      <x:c r="C466" s="141" t="n">
        <x:f>L465</x:f>
        <x:v>0</x:v>
      </x:c>
      <x:c r="D466" s="141" t="n">
        <x:f>IF(C466&gt;0,C466*Premissas!$B$17,0)</x:f>
        <x:v>0</x:v>
      </x:c>
      <x:c r="E466" s="141" t="n">
        <x:f>C466+D466</x:f>
        <x:v>0</x:v>
      </x:c>
      <x:c r="F466" s="141" t="n">
        <x:f>IF(E466&gt;0,MIN(E466,INDEX(Financiamento!$G$6:$G$485,A466)),0)</x:f>
        <x:v>0</x:v>
      </x:c>
      <x:c r="G466" s="141" t="n">
        <x:f>IF(E466&gt;0,E466*Premissas!$B$15,0)</x:f>
        <x:v>0</x:v>
      </x:c>
      <x:c r="H466" s="141" t="n">
        <x:f>IF(E466&gt;0,Premissas!$B$18,0)</x:f>
        <x:v>0</x:v>
      </x:c>
      <x:c r="I466" s="141" t="n">
        <x:f>F466+G466+H466</x:f>
        <x:v>0</x:v>
      </x:c>
      <x:c r="J466" s="141" t="n">
        <x:f>IF(E466-F466&gt;0,MIN(E466-F466,P466),0)</x:f>
        <x:v>0</x:v>
      </x:c>
      <x:c r="K466" s="141" t="n">
        <x:f>I466+J466</x:f>
        <x:v>0</x:v>
      </x:c>
      <x:c r="L466" s="141" t="n">
        <x:f>MAX(0,E466-F466-J466)</x:f>
        <x:v>0</x:v>
      </x:c>
      <x:c r="M466" s="141" t="n">
        <x:f>SUM($K$6:K466)</x:f>
        <x:v>185795.9624076597</x:v>
      </x:c>
      <x:c r="N466" s="140" t="str">
        <x:f>IF(C466=0,"Encerrado",IF(L466=0,"Quitado","Aberto"))</x:f>
        <x:v>Encerrado</x:v>
      </x:c>
      <x:c r="O466" s="141" t="n">
        <x:f>IF(C466&gt;0,Premissas!$B$35,0)</x:f>
        <x:v>0</x:v>
      </x:c>
      <x:c r="P466" s="141" t="n">
        <x:f>IF(C466&gt;0,MAX(0,O466-I466),0)</x:f>
        <x:v>0</x:v>
      </x:c>
      <x:c r="Q466" s="141" t="n">
        <x:f>J466-IF(E466-F466&gt;0,MIN(E466-F466,P466),0)</x:f>
        <x:v>0</x:v>
      </x:c>
    </x:row>
    <x:row r="467">
      <x:c r="A467" s="142" t="n">
        <x:v>462</x:v>
      </x:c>
      <x:c r="B467" s="179" t="n">
        <x:f>EDATE(Premissas!$B$4,461)</x:f>
        <x:v>60572</x:v>
      </x:c>
      <x:c r="C467" s="141" t="n">
        <x:f>L466</x:f>
        <x:v>0</x:v>
      </x:c>
      <x:c r="D467" s="141" t="n">
        <x:f>IF(C467&gt;0,C467*Premissas!$B$17,0)</x:f>
        <x:v>0</x:v>
      </x:c>
      <x:c r="E467" s="141" t="n">
        <x:f>C467+D467</x:f>
        <x:v>0</x:v>
      </x:c>
      <x:c r="F467" s="141" t="n">
        <x:f>IF(E467&gt;0,MIN(E467,INDEX(Financiamento!$G$6:$G$485,A467)),0)</x:f>
        <x:v>0</x:v>
      </x:c>
      <x:c r="G467" s="141" t="n">
        <x:f>IF(E467&gt;0,E467*Premissas!$B$15,0)</x:f>
        <x:v>0</x:v>
      </x:c>
      <x:c r="H467" s="141" t="n">
        <x:f>IF(E467&gt;0,Premissas!$B$18,0)</x:f>
        <x:v>0</x:v>
      </x:c>
      <x:c r="I467" s="141" t="n">
        <x:f>F467+G467+H467</x:f>
        <x:v>0</x:v>
      </x:c>
      <x:c r="J467" s="141" t="n">
        <x:f>IF(E467-F467&gt;0,MIN(E467-F467,P467),0)</x:f>
        <x:v>0</x:v>
      </x:c>
      <x:c r="K467" s="141" t="n">
        <x:f>I467+J467</x:f>
        <x:v>0</x:v>
      </x:c>
      <x:c r="L467" s="141" t="n">
        <x:f>MAX(0,E467-F467-J467)</x:f>
        <x:v>0</x:v>
      </x:c>
      <x:c r="M467" s="141" t="n">
        <x:f>SUM($K$6:K467)</x:f>
        <x:v>185795.9624076597</x:v>
      </x:c>
      <x:c r="N467" s="140" t="str">
        <x:f>IF(C467=0,"Encerrado",IF(L467=0,"Quitado","Aberto"))</x:f>
        <x:v>Encerrado</x:v>
      </x:c>
      <x:c r="O467" s="141" t="n">
        <x:f>IF(C467&gt;0,Premissas!$B$35,0)</x:f>
        <x:v>0</x:v>
      </x:c>
      <x:c r="P467" s="141" t="n">
        <x:f>IF(C467&gt;0,MAX(0,O467-I467),0)</x:f>
        <x:v>0</x:v>
      </x:c>
      <x:c r="Q467" s="141" t="n">
        <x:f>J467-IF(E467-F467&gt;0,MIN(E467-F467,P467),0)</x:f>
        <x:v>0</x:v>
      </x:c>
    </x:row>
    <x:row r="468">
      <x:c r="A468" s="142" t="n">
        <x:v>463</x:v>
      </x:c>
      <x:c r="B468" s="179" t="n">
        <x:f>EDATE(Premissas!$B$4,462)</x:f>
        <x:v>60602</x:v>
      </x:c>
      <x:c r="C468" s="141" t="n">
        <x:f>L467</x:f>
        <x:v>0</x:v>
      </x:c>
      <x:c r="D468" s="141" t="n">
        <x:f>IF(C468&gt;0,C468*Premissas!$B$17,0)</x:f>
        <x:v>0</x:v>
      </x:c>
      <x:c r="E468" s="141" t="n">
        <x:f>C468+D468</x:f>
        <x:v>0</x:v>
      </x:c>
      <x:c r="F468" s="141" t="n">
        <x:f>IF(E468&gt;0,MIN(E468,INDEX(Financiamento!$G$6:$G$485,A468)),0)</x:f>
        <x:v>0</x:v>
      </x:c>
      <x:c r="G468" s="141" t="n">
        <x:f>IF(E468&gt;0,E468*Premissas!$B$15,0)</x:f>
        <x:v>0</x:v>
      </x:c>
      <x:c r="H468" s="141" t="n">
        <x:f>IF(E468&gt;0,Premissas!$B$18,0)</x:f>
        <x:v>0</x:v>
      </x:c>
      <x:c r="I468" s="141" t="n">
        <x:f>F468+G468+H468</x:f>
        <x:v>0</x:v>
      </x:c>
      <x:c r="J468" s="141" t="n">
        <x:f>IF(E468-F468&gt;0,MIN(E468-F468,P468),0)</x:f>
        <x:v>0</x:v>
      </x:c>
      <x:c r="K468" s="141" t="n">
        <x:f>I468+J468</x:f>
        <x:v>0</x:v>
      </x:c>
      <x:c r="L468" s="141" t="n">
        <x:f>MAX(0,E468-F468-J468)</x:f>
        <x:v>0</x:v>
      </x:c>
      <x:c r="M468" s="141" t="n">
        <x:f>SUM($K$6:K468)</x:f>
        <x:v>185795.9624076597</x:v>
      </x:c>
      <x:c r="N468" s="140" t="str">
        <x:f>IF(C468=0,"Encerrado",IF(L468=0,"Quitado","Aberto"))</x:f>
        <x:v>Encerrado</x:v>
      </x:c>
      <x:c r="O468" s="141" t="n">
        <x:f>IF(C468&gt;0,Premissas!$B$35,0)</x:f>
        <x:v>0</x:v>
      </x:c>
      <x:c r="P468" s="141" t="n">
        <x:f>IF(C468&gt;0,MAX(0,O468-I468),0)</x:f>
        <x:v>0</x:v>
      </x:c>
      <x:c r="Q468" s="141" t="n">
        <x:f>J468-IF(E468-F468&gt;0,MIN(E468-F468,P468),0)</x:f>
        <x:v>0</x:v>
      </x:c>
    </x:row>
    <x:row r="469">
      <x:c r="A469" s="142" t="n">
        <x:v>464</x:v>
      </x:c>
      <x:c r="B469" s="179" t="n">
        <x:f>EDATE(Premissas!$B$4,463)</x:f>
        <x:v>60633</x:v>
      </x:c>
      <x:c r="C469" s="141" t="n">
        <x:f>L468</x:f>
        <x:v>0</x:v>
      </x:c>
      <x:c r="D469" s="141" t="n">
        <x:f>IF(C469&gt;0,C469*Premissas!$B$17,0)</x:f>
        <x:v>0</x:v>
      </x:c>
      <x:c r="E469" s="141" t="n">
        <x:f>C469+D469</x:f>
        <x:v>0</x:v>
      </x:c>
      <x:c r="F469" s="141" t="n">
        <x:f>IF(E469&gt;0,MIN(E469,INDEX(Financiamento!$G$6:$G$485,A469)),0)</x:f>
        <x:v>0</x:v>
      </x:c>
      <x:c r="G469" s="141" t="n">
        <x:f>IF(E469&gt;0,E469*Premissas!$B$15,0)</x:f>
        <x:v>0</x:v>
      </x:c>
      <x:c r="H469" s="141" t="n">
        <x:f>IF(E469&gt;0,Premissas!$B$18,0)</x:f>
        <x:v>0</x:v>
      </x:c>
      <x:c r="I469" s="141" t="n">
        <x:f>F469+G469+H469</x:f>
        <x:v>0</x:v>
      </x:c>
      <x:c r="J469" s="141" t="n">
        <x:f>IF(E469-F469&gt;0,MIN(E469-F469,P469),0)</x:f>
        <x:v>0</x:v>
      </x:c>
      <x:c r="K469" s="141" t="n">
        <x:f>I469+J469</x:f>
        <x:v>0</x:v>
      </x:c>
      <x:c r="L469" s="141" t="n">
        <x:f>MAX(0,E469-F469-J469)</x:f>
        <x:v>0</x:v>
      </x:c>
      <x:c r="M469" s="141" t="n">
        <x:f>SUM($K$6:K469)</x:f>
        <x:v>185795.9624076597</x:v>
      </x:c>
      <x:c r="N469" s="140" t="str">
        <x:f>IF(C469=0,"Encerrado",IF(L469=0,"Quitado","Aberto"))</x:f>
        <x:v>Encerrado</x:v>
      </x:c>
      <x:c r="O469" s="141" t="n">
        <x:f>IF(C469&gt;0,Premissas!$B$35,0)</x:f>
        <x:v>0</x:v>
      </x:c>
      <x:c r="P469" s="141" t="n">
        <x:f>IF(C469&gt;0,MAX(0,O469-I469),0)</x:f>
        <x:v>0</x:v>
      </x:c>
      <x:c r="Q469" s="141" t="n">
        <x:f>J469-IF(E469-F469&gt;0,MIN(E469-F469,P469),0)</x:f>
        <x:v>0</x:v>
      </x:c>
    </x:row>
    <x:row r="470">
      <x:c r="A470" s="142" t="n">
        <x:v>465</x:v>
      </x:c>
      <x:c r="B470" s="179" t="n">
        <x:f>EDATE(Premissas!$B$4,464)</x:f>
        <x:v>60664</x:v>
      </x:c>
      <x:c r="C470" s="141" t="n">
        <x:f>L469</x:f>
        <x:v>0</x:v>
      </x:c>
      <x:c r="D470" s="141" t="n">
        <x:f>IF(C470&gt;0,C470*Premissas!$B$17,0)</x:f>
        <x:v>0</x:v>
      </x:c>
      <x:c r="E470" s="141" t="n">
        <x:f>C470+D470</x:f>
        <x:v>0</x:v>
      </x:c>
      <x:c r="F470" s="141" t="n">
        <x:f>IF(E470&gt;0,MIN(E470,INDEX(Financiamento!$G$6:$G$485,A470)),0)</x:f>
        <x:v>0</x:v>
      </x:c>
      <x:c r="G470" s="141" t="n">
        <x:f>IF(E470&gt;0,E470*Premissas!$B$15,0)</x:f>
        <x:v>0</x:v>
      </x:c>
      <x:c r="H470" s="141" t="n">
        <x:f>IF(E470&gt;0,Premissas!$B$18,0)</x:f>
        <x:v>0</x:v>
      </x:c>
      <x:c r="I470" s="141" t="n">
        <x:f>F470+G470+H470</x:f>
        <x:v>0</x:v>
      </x:c>
      <x:c r="J470" s="141" t="n">
        <x:f>IF(E470-F470&gt;0,MIN(E470-F470,P470),0)</x:f>
        <x:v>0</x:v>
      </x:c>
      <x:c r="K470" s="141" t="n">
        <x:f>I470+J470</x:f>
        <x:v>0</x:v>
      </x:c>
      <x:c r="L470" s="141" t="n">
        <x:f>MAX(0,E470-F470-J470)</x:f>
        <x:v>0</x:v>
      </x:c>
      <x:c r="M470" s="141" t="n">
        <x:f>SUM($K$6:K470)</x:f>
        <x:v>185795.9624076597</x:v>
      </x:c>
      <x:c r="N470" s="140" t="str">
        <x:f>IF(C470=0,"Encerrado",IF(L470=0,"Quitado","Aberto"))</x:f>
        <x:v>Encerrado</x:v>
      </x:c>
      <x:c r="O470" s="141" t="n">
        <x:f>IF(C470&gt;0,Premissas!$B$35,0)</x:f>
        <x:v>0</x:v>
      </x:c>
      <x:c r="P470" s="141" t="n">
        <x:f>IF(C470&gt;0,MAX(0,O470-I470),0)</x:f>
        <x:v>0</x:v>
      </x:c>
      <x:c r="Q470" s="141" t="n">
        <x:f>J470-IF(E470-F470&gt;0,MIN(E470-F470,P470),0)</x:f>
        <x:v>0</x:v>
      </x:c>
    </x:row>
    <x:row r="471">
      <x:c r="A471" s="142" t="n">
        <x:v>466</x:v>
      </x:c>
      <x:c r="B471" s="179" t="n">
        <x:f>EDATE(Premissas!$B$4,465)</x:f>
        <x:v>60692</x:v>
      </x:c>
      <x:c r="C471" s="141" t="n">
        <x:f>L470</x:f>
        <x:v>0</x:v>
      </x:c>
      <x:c r="D471" s="141" t="n">
        <x:f>IF(C471&gt;0,C471*Premissas!$B$17,0)</x:f>
        <x:v>0</x:v>
      </x:c>
      <x:c r="E471" s="141" t="n">
        <x:f>C471+D471</x:f>
        <x:v>0</x:v>
      </x:c>
      <x:c r="F471" s="141" t="n">
        <x:f>IF(E471&gt;0,MIN(E471,INDEX(Financiamento!$G$6:$G$485,A471)),0)</x:f>
        <x:v>0</x:v>
      </x:c>
      <x:c r="G471" s="141" t="n">
        <x:f>IF(E471&gt;0,E471*Premissas!$B$15,0)</x:f>
        <x:v>0</x:v>
      </x:c>
      <x:c r="H471" s="141" t="n">
        <x:f>IF(E471&gt;0,Premissas!$B$18,0)</x:f>
        <x:v>0</x:v>
      </x:c>
      <x:c r="I471" s="141" t="n">
        <x:f>F471+G471+H471</x:f>
        <x:v>0</x:v>
      </x:c>
      <x:c r="J471" s="141" t="n">
        <x:f>IF(E471-F471&gt;0,MIN(E471-F471,P471),0)</x:f>
        <x:v>0</x:v>
      </x:c>
      <x:c r="K471" s="141" t="n">
        <x:f>I471+J471</x:f>
        <x:v>0</x:v>
      </x:c>
      <x:c r="L471" s="141" t="n">
        <x:f>MAX(0,E471-F471-J471)</x:f>
        <x:v>0</x:v>
      </x:c>
      <x:c r="M471" s="141" t="n">
        <x:f>SUM($K$6:K471)</x:f>
        <x:v>185795.9624076597</x:v>
      </x:c>
      <x:c r="N471" s="140" t="str">
        <x:f>IF(C471=0,"Encerrado",IF(L471=0,"Quitado","Aberto"))</x:f>
        <x:v>Encerrado</x:v>
      </x:c>
      <x:c r="O471" s="141" t="n">
        <x:f>IF(C471&gt;0,Premissas!$B$35,0)</x:f>
        <x:v>0</x:v>
      </x:c>
      <x:c r="P471" s="141" t="n">
        <x:f>IF(C471&gt;0,MAX(0,O471-I471),0)</x:f>
        <x:v>0</x:v>
      </x:c>
      <x:c r="Q471" s="141" t="n">
        <x:f>J471-IF(E471-F471&gt;0,MIN(E471-F471,P471),0)</x:f>
        <x:v>0</x:v>
      </x:c>
    </x:row>
    <x:row r="472">
      <x:c r="A472" s="142" t="n">
        <x:v>467</x:v>
      </x:c>
      <x:c r="B472" s="179" t="n">
        <x:f>EDATE(Premissas!$B$4,466)</x:f>
        <x:v>60723</x:v>
      </x:c>
      <x:c r="C472" s="141" t="n">
        <x:f>L471</x:f>
        <x:v>0</x:v>
      </x:c>
      <x:c r="D472" s="141" t="n">
        <x:f>IF(C472&gt;0,C472*Premissas!$B$17,0)</x:f>
        <x:v>0</x:v>
      </x:c>
      <x:c r="E472" s="141" t="n">
        <x:f>C472+D472</x:f>
        <x:v>0</x:v>
      </x:c>
      <x:c r="F472" s="141" t="n">
        <x:f>IF(E472&gt;0,MIN(E472,INDEX(Financiamento!$G$6:$G$485,A472)),0)</x:f>
        <x:v>0</x:v>
      </x:c>
      <x:c r="G472" s="141" t="n">
        <x:f>IF(E472&gt;0,E472*Premissas!$B$15,0)</x:f>
        <x:v>0</x:v>
      </x:c>
      <x:c r="H472" s="141" t="n">
        <x:f>IF(E472&gt;0,Premissas!$B$18,0)</x:f>
        <x:v>0</x:v>
      </x:c>
      <x:c r="I472" s="141" t="n">
        <x:f>F472+G472+H472</x:f>
        <x:v>0</x:v>
      </x:c>
      <x:c r="J472" s="141" t="n">
        <x:f>IF(E472-F472&gt;0,MIN(E472-F472,P472),0)</x:f>
        <x:v>0</x:v>
      </x:c>
      <x:c r="K472" s="141" t="n">
        <x:f>I472+J472</x:f>
        <x:v>0</x:v>
      </x:c>
      <x:c r="L472" s="141" t="n">
        <x:f>MAX(0,E472-F472-J472)</x:f>
        <x:v>0</x:v>
      </x:c>
      <x:c r="M472" s="141" t="n">
        <x:f>SUM($K$6:K472)</x:f>
        <x:v>185795.9624076597</x:v>
      </x:c>
      <x:c r="N472" s="140" t="str">
        <x:f>IF(C472=0,"Encerrado",IF(L472=0,"Quitado","Aberto"))</x:f>
        <x:v>Encerrado</x:v>
      </x:c>
      <x:c r="O472" s="141" t="n">
        <x:f>IF(C472&gt;0,Premissas!$B$35,0)</x:f>
        <x:v>0</x:v>
      </x:c>
      <x:c r="P472" s="141" t="n">
        <x:f>IF(C472&gt;0,MAX(0,O472-I472),0)</x:f>
        <x:v>0</x:v>
      </x:c>
      <x:c r="Q472" s="141" t="n">
        <x:f>J472-IF(E472-F472&gt;0,MIN(E472-F472,P472),0)</x:f>
        <x:v>0</x:v>
      </x:c>
    </x:row>
    <x:row r="473">
      <x:c r="A473" s="142" t="n">
        <x:v>468</x:v>
      </x:c>
      <x:c r="B473" s="179" t="n">
        <x:f>EDATE(Premissas!$B$4,467)</x:f>
        <x:v>60753</x:v>
      </x:c>
      <x:c r="C473" s="141" t="n">
        <x:f>L472</x:f>
        <x:v>0</x:v>
      </x:c>
      <x:c r="D473" s="141" t="n">
        <x:f>IF(C473&gt;0,C473*Premissas!$B$17,0)</x:f>
        <x:v>0</x:v>
      </x:c>
      <x:c r="E473" s="141" t="n">
        <x:f>C473+D473</x:f>
        <x:v>0</x:v>
      </x:c>
      <x:c r="F473" s="141" t="n">
        <x:f>IF(E473&gt;0,MIN(E473,INDEX(Financiamento!$G$6:$G$485,A473)),0)</x:f>
        <x:v>0</x:v>
      </x:c>
      <x:c r="G473" s="141" t="n">
        <x:f>IF(E473&gt;0,E473*Premissas!$B$15,0)</x:f>
        <x:v>0</x:v>
      </x:c>
      <x:c r="H473" s="141" t="n">
        <x:f>IF(E473&gt;0,Premissas!$B$18,0)</x:f>
        <x:v>0</x:v>
      </x:c>
      <x:c r="I473" s="141" t="n">
        <x:f>F473+G473+H473</x:f>
        <x:v>0</x:v>
      </x:c>
      <x:c r="J473" s="141" t="n">
        <x:f>IF(E473-F473&gt;0,MIN(E473-F473,P473),0)</x:f>
        <x:v>0</x:v>
      </x:c>
      <x:c r="K473" s="141" t="n">
        <x:f>I473+J473</x:f>
        <x:v>0</x:v>
      </x:c>
      <x:c r="L473" s="141" t="n">
        <x:f>MAX(0,E473-F473-J473)</x:f>
        <x:v>0</x:v>
      </x:c>
      <x:c r="M473" s="141" t="n">
        <x:f>SUM($K$6:K473)</x:f>
        <x:v>185795.9624076597</x:v>
      </x:c>
      <x:c r="N473" s="140" t="str">
        <x:f>IF(C473=0,"Encerrado",IF(L473=0,"Quitado","Aberto"))</x:f>
        <x:v>Encerrado</x:v>
      </x:c>
      <x:c r="O473" s="141" t="n">
        <x:f>IF(C473&gt;0,Premissas!$B$35,0)</x:f>
        <x:v>0</x:v>
      </x:c>
      <x:c r="P473" s="141" t="n">
        <x:f>IF(C473&gt;0,MAX(0,O473-I473),0)</x:f>
        <x:v>0</x:v>
      </x:c>
      <x:c r="Q473" s="141" t="n">
        <x:f>J473-IF(E473-F473&gt;0,MIN(E473-F473,P473),0)</x:f>
        <x:v>0</x:v>
      </x:c>
    </x:row>
    <x:row r="474">
      <x:c r="A474" s="142" t="n">
        <x:v>469</x:v>
      </x:c>
      <x:c r="B474" s="179" t="n">
        <x:f>EDATE(Premissas!$B$4,468)</x:f>
        <x:v>60784</x:v>
      </x:c>
      <x:c r="C474" s="141" t="n">
        <x:f>L473</x:f>
        <x:v>0</x:v>
      </x:c>
      <x:c r="D474" s="141" t="n">
        <x:f>IF(C474&gt;0,C474*Premissas!$B$17,0)</x:f>
        <x:v>0</x:v>
      </x:c>
      <x:c r="E474" s="141" t="n">
        <x:f>C474+D474</x:f>
        <x:v>0</x:v>
      </x:c>
      <x:c r="F474" s="141" t="n">
        <x:f>IF(E474&gt;0,MIN(E474,INDEX(Financiamento!$G$6:$G$485,A474)),0)</x:f>
        <x:v>0</x:v>
      </x:c>
      <x:c r="G474" s="141" t="n">
        <x:f>IF(E474&gt;0,E474*Premissas!$B$15,0)</x:f>
        <x:v>0</x:v>
      </x:c>
      <x:c r="H474" s="141" t="n">
        <x:f>IF(E474&gt;0,Premissas!$B$18,0)</x:f>
        <x:v>0</x:v>
      </x:c>
      <x:c r="I474" s="141" t="n">
        <x:f>F474+G474+H474</x:f>
        <x:v>0</x:v>
      </x:c>
      <x:c r="J474" s="141" t="n">
        <x:f>IF(E474-F474&gt;0,MIN(E474-F474,P474),0)</x:f>
        <x:v>0</x:v>
      </x:c>
      <x:c r="K474" s="141" t="n">
        <x:f>I474+J474</x:f>
        <x:v>0</x:v>
      </x:c>
      <x:c r="L474" s="141" t="n">
        <x:f>MAX(0,E474-F474-J474)</x:f>
        <x:v>0</x:v>
      </x:c>
      <x:c r="M474" s="141" t="n">
        <x:f>SUM($K$6:K474)</x:f>
        <x:v>185795.9624076597</x:v>
      </x:c>
      <x:c r="N474" s="140" t="str">
        <x:f>IF(C474=0,"Encerrado",IF(L474=0,"Quitado","Aberto"))</x:f>
        <x:v>Encerrado</x:v>
      </x:c>
      <x:c r="O474" s="141" t="n">
        <x:f>IF(C474&gt;0,Premissas!$B$35,0)</x:f>
        <x:v>0</x:v>
      </x:c>
      <x:c r="P474" s="141" t="n">
        <x:f>IF(C474&gt;0,MAX(0,O474-I474),0)</x:f>
        <x:v>0</x:v>
      </x:c>
      <x:c r="Q474" s="141" t="n">
        <x:f>J474-IF(E474-F474&gt;0,MIN(E474-F474,P474),0)</x:f>
        <x:v>0</x:v>
      </x:c>
    </x:row>
    <x:row r="475">
      <x:c r="A475" s="142" t="n">
        <x:v>470</x:v>
      </x:c>
      <x:c r="B475" s="179" t="n">
        <x:f>EDATE(Premissas!$B$4,469)</x:f>
        <x:v>60814</x:v>
      </x:c>
      <x:c r="C475" s="141" t="n">
        <x:f>L474</x:f>
        <x:v>0</x:v>
      </x:c>
      <x:c r="D475" s="141" t="n">
        <x:f>IF(C475&gt;0,C475*Premissas!$B$17,0)</x:f>
        <x:v>0</x:v>
      </x:c>
      <x:c r="E475" s="141" t="n">
        <x:f>C475+D475</x:f>
        <x:v>0</x:v>
      </x:c>
      <x:c r="F475" s="141" t="n">
        <x:f>IF(E475&gt;0,MIN(E475,INDEX(Financiamento!$G$6:$G$485,A475)),0)</x:f>
        <x:v>0</x:v>
      </x:c>
      <x:c r="G475" s="141" t="n">
        <x:f>IF(E475&gt;0,E475*Premissas!$B$15,0)</x:f>
        <x:v>0</x:v>
      </x:c>
      <x:c r="H475" s="141" t="n">
        <x:f>IF(E475&gt;0,Premissas!$B$18,0)</x:f>
        <x:v>0</x:v>
      </x:c>
      <x:c r="I475" s="141" t="n">
        <x:f>F475+G475+H475</x:f>
        <x:v>0</x:v>
      </x:c>
      <x:c r="J475" s="141" t="n">
        <x:f>IF(E475-F475&gt;0,MIN(E475-F475,P475),0)</x:f>
        <x:v>0</x:v>
      </x:c>
      <x:c r="K475" s="141" t="n">
        <x:f>I475+J475</x:f>
        <x:v>0</x:v>
      </x:c>
      <x:c r="L475" s="141" t="n">
        <x:f>MAX(0,E475-F475-J475)</x:f>
        <x:v>0</x:v>
      </x:c>
      <x:c r="M475" s="141" t="n">
        <x:f>SUM($K$6:K475)</x:f>
        <x:v>185795.9624076597</x:v>
      </x:c>
      <x:c r="N475" s="140" t="str">
        <x:f>IF(C475=0,"Encerrado",IF(L475=0,"Quitado","Aberto"))</x:f>
        <x:v>Encerrado</x:v>
      </x:c>
      <x:c r="O475" s="141" t="n">
        <x:f>IF(C475&gt;0,Premissas!$B$35,0)</x:f>
        <x:v>0</x:v>
      </x:c>
      <x:c r="P475" s="141" t="n">
        <x:f>IF(C475&gt;0,MAX(0,O475-I475),0)</x:f>
        <x:v>0</x:v>
      </x:c>
      <x:c r="Q475" s="141" t="n">
        <x:f>J475-IF(E475-F475&gt;0,MIN(E475-F475,P475),0)</x:f>
        <x:v>0</x:v>
      </x:c>
    </x:row>
    <x:row r="476">
      <x:c r="A476" s="142" t="n">
        <x:v>471</x:v>
      </x:c>
      <x:c r="B476" s="179" t="n">
        <x:f>EDATE(Premissas!$B$4,470)</x:f>
        <x:v>60845</x:v>
      </x:c>
      <x:c r="C476" s="141" t="n">
        <x:f>L475</x:f>
        <x:v>0</x:v>
      </x:c>
      <x:c r="D476" s="141" t="n">
        <x:f>IF(C476&gt;0,C476*Premissas!$B$17,0)</x:f>
        <x:v>0</x:v>
      </x:c>
      <x:c r="E476" s="141" t="n">
        <x:f>C476+D476</x:f>
        <x:v>0</x:v>
      </x:c>
      <x:c r="F476" s="141" t="n">
        <x:f>IF(E476&gt;0,MIN(E476,INDEX(Financiamento!$G$6:$G$485,A476)),0)</x:f>
        <x:v>0</x:v>
      </x:c>
      <x:c r="G476" s="141" t="n">
        <x:f>IF(E476&gt;0,E476*Premissas!$B$15,0)</x:f>
        <x:v>0</x:v>
      </x:c>
      <x:c r="H476" s="141" t="n">
        <x:f>IF(E476&gt;0,Premissas!$B$18,0)</x:f>
        <x:v>0</x:v>
      </x:c>
      <x:c r="I476" s="141" t="n">
        <x:f>F476+G476+H476</x:f>
        <x:v>0</x:v>
      </x:c>
      <x:c r="J476" s="141" t="n">
        <x:f>IF(E476-F476&gt;0,MIN(E476-F476,P476),0)</x:f>
        <x:v>0</x:v>
      </x:c>
      <x:c r="K476" s="141" t="n">
        <x:f>I476+J476</x:f>
        <x:v>0</x:v>
      </x:c>
      <x:c r="L476" s="141" t="n">
        <x:f>MAX(0,E476-F476-J476)</x:f>
        <x:v>0</x:v>
      </x:c>
      <x:c r="M476" s="141" t="n">
        <x:f>SUM($K$6:K476)</x:f>
        <x:v>185795.9624076597</x:v>
      </x:c>
      <x:c r="N476" s="140" t="str">
        <x:f>IF(C476=0,"Encerrado",IF(L476=0,"Quitado","Aberto"))</x:f>
        <x:v>Encerrado</x:v>
      </x:c>
      <x:c r="O476" s="141" t="n">
        <x:f>IF(C476&gt;0,Premissas!$B$35,0)</x:f>
        <x:v>0</x:v>
      </x:c>
      <x:c r="P476" s="141" t="n">
        <x:f>IF(C476&gt;0,MAX(0,O476-I476),0)</x:f>
        <x:v>0</x:v>
      </x:c>
      <x:c r="Q476" s="141" t="n">
        <x:f>J476-IF(E476-F476&gt;0,MIN(E476-F476,P476),0)</x:f>
        <x:v>0</x:v>
      </x:c>
    </x:row>
    <x:row r="477">
      <x:c r="A477" s="142" t="n">
        <x:v>472</x:v>
      </x:c>
      <x:c r="B477" s="179" t="n">
        <x:f>EDATE(Premissas!$B$4,471)</x:f>
        <x:v>60876</x:v>
      </x:c>
      <x:c r="C477" s="141" t="n">
        <x:f>L476</x:f>
        <x:v>0</x:v>
      </x:c>
      <x:c r="D477" s="141" t="n">
        <x:f>IF(C477&gt;0,C477*Premissas!$B$17,0)</x:f>
        <x:v>0</x:v>
      </x:c>
      <x:c r="E477" s="141" t="n">
        <x:f>C477+D477</x:f>
        <x:v>0</x:v>
      </x:c>
      <x:c r="F477" s="141" t="n">
        <x:f>IF(E477&gt;0,MIN(E477,INDEX(Financiamento!$G$6:$G$485,A477)),0)</x:f>
        <x:v>0</x:v>
      </x:c>
      <x:c r="G477" s="141" t="n">
        <x:f>IF(E477&gt;0,E477*Premissas!$B$15,0)</x:f>
        <x:v>0</x:v>
      </x:c>
      <x:c r="H477" s="141" t="n">
        <x:f>IF(E477&gt;0,Premissas!$B$18,0)</x:f>
        <x:v>0</x:v>
      </x:c>
      <x:c r="I477" s="141" t="n">
        <x:f>F477+G477+H477</x:f>
        <x:v>0</x:v>
      </x:c>
      <x:c r="J477" s="141" t="n">
        <x:f>IF(E477-F477&gt;0,MIN(E477-F477,P477),0)</x:f>
        <x:v>0</x:v>
      </x:c>
      <x:c r="K477" s="141" t="n">
        <x:f>I477+J477</x:f>
        <x:v>0</x:v>
      </x:c>
      <x:c r="L477" s="141" t="n">
        <x:f>MAX(0,E477-F477-J477)</x:f>
        <x:v>0</x:v>
      </x:c>
      <x:c r="M477" s="141" t="n">
        <x:f>SUM($K$6:K477)</x:f>
        <x:v>185795.9624076597</x:v>
      </x:c>
      <x:c r="N477" s="140" t="str">
        <x:f>IF(C477=0,"Encerrado",IF(L477=0,"Quitado","Aberto"))</x:f>
        <x:v>Encerrado</x:v>
      </x:c>
      <x:c r="O477" s="141" t="n">
        <x:f>IF(C477&gt;0,Premissas!$B$35,0)</x:f>
        <x:v>0</x:v>
      </x:c>
      <x:c r="P477" s="141" t="n">
        <x:f>IF(C477&gt;0,MAX(0,O477-I477),0)</x:f>
        <x:v>0</x:v>
      </x:c>
      <x:c r="Q477" s="141" t="n">
        <x:f>J477-IF(E477-F477&gt;0,MIN(E477-F477,P477),0)</x:f>
        <x:v>0</x:v>
      </x:c>
    </x:row>
    <x:row r="478">
      <x:c r="A478" s="142" t="n">
        <x:v>473</x:v>
      </x:c>
      <x:c r="B478" s="179" t="n">
        <x:f>EDATE(Premissas!$B$4,472)</x:f>
        <x:v>60906</x:v>
      </x:c>
      <x:c r="C478" s="141" t="n">
        <x:f>L477</x:f>
        <x:v>0</x:v>
      </x:c>
      <x:c r="D478" s="141" t="n">
        <x:f>IF(C478&gt;0,C478*Premissas!$B$17,0)</x:f>
        <x:v>0</x:v>
      </x:c>
      <x:c r="E478" s="141" t="n">
        <x:f>C478+D478</x:f>
        <x:v>0</x:v>
      </x:c>
      <x:c r="F478" s="141" t="n">
        <x:f>IF(E478&gt;0,MIN(E478,INDEX(Financiamento!$G$6:$G$485,A478)),0)</x:f>
        <x:v>0</x:v>
      </x:c>
      <x:c r="G478" s="141" t="n">
        <x:f>IF(E478&gt;0,E478*Premissas!$B$15,0)</x:f>
        <x:v>0</x:v>
      </x:c>
      <x:c r="H478" s="141" t="n">
        <x:f>IF(E478&gt;0,Premissas!$B$18,0)</x:f>
        <x:v>0</x:v>
      </x:c>
      <x:c r="I478" s="141" t="n">
        <x:f>F478+G478+H478</x:f>
        <x:v>0</x:v>
      </x:c>
      <x:c r="J478" s="141" t="n">
        <x:f>IF(E478-F478&gt;0,MIN(E478-F478,P478),0)</x:f>
        <x:v>0</x:v>
      </x:c>
      <x:c r="K478" s="141" t="n">
        <x:f>I478+J478</x:f>
        <x:v>0</x:v>
      </x:c>
      <x:c r="L478" s="141" t="n">
        <x:f>MAX(0,E478-F478-J478)</x:f>
        <x:v>0</x:v>
      </x:c>
      <x:c r="M478" s="141" t="n">
        <x:f>SUM($K$6:K478)</x:f>
        <x:v>185795.9624076597</x:v>
      </x:c>
      <x:c r="N478" s="140" t="str">
        <x:f>IF(C478=0,"Encerrado",IF(L478=0,"Quitado","Aberto"))</x:f>
        <x:v>Encerrado</x:v>
      </x:c>
      <x:c r="O478" s="141" t="n">
        <x:f>IF(C478&gt;0,Premissas!$B$35,0)</x:f>
        <x:v>0</x:v>
      </x:c>
      <x:c r="P478" s="141" t="n">
        <x:f>IF(C478&gt;0,MAX(0,O478-I478),0)</x:f>
        <x:v>0</x:v>
      </x:c>
      <x:c r="Q478" s="141" t="n">
        <x:f>J478-IF(E478-F478&gt;0,MIN(E478-F478,P478),0)</x:f>
        <x:v>0</x:v>
      </x:c>
    </x:row>
    <x:row r="479">
      <x:c r="A479" s="142" t="n">
        <x:v>474</x:v>
      </x:c>
      <x:c r="B479" s="179" t="n">
        <x:f>EDATE(Premissas!$B$4,473)</x:f>
        <x:v>60937</x:v>
      </x:c>
      <x:c r="C479" s="141" t="n">
        <x:f>L478</x:f>
        <x:v>0</x:v>
      </x:c>
      <x:c r="D479" s="141" t="n">
        <x:f>IF(C479&gt;0,C479*Premissas!$B$17,0)</x:f>
        <x:v>0</x:v>
      </x:c>
      <x:c r="E479" s="141" t="n">
        <x:f>C479+D479</x:f>
        <x:v>0</x:v>
      </x:c>
      <x:c r="F479" s="141" t="n">
        <x:f>IF(E479&gt;0,MIN(E479,INDEX(Financiamento!$G$6:$G$485,A479)),0)</x:f>
        <x:v>0</x:v>
      </x:c>
      <x:c r="G479" s="141" t="n">
        <x:f>IF(E479&gt;0,E479*Premissas!$B$15,0)</x:f>
        <x:v>0</x:v>
      </x:c>
      <x:c r="H479" s="141" t="n">
        <x:f>IF(E479&gt;0,Premissas!$B$18,0)</x:f>
        <x:v>0</x:v>
      </x:c>
      <x:c r="I479" s="141" t="n">
        <x:f>F479+G479+H479</x:f>
        <x:v>0</x:v>
      </x:c>
      <x:c r="J479" s="141" t="n">
        <x:f>IF(E479-F479&gt;0,MIN(E479-F479,P479),0)</x:f>
        <x:v>0</x:v>
      </x:c>
      <x:c r="K479" s="141" t="n">
        <x:f>I479+J479</x:f>
        <x:v>0</x:v>
      </x:c>
      <x:c r="L479" s="141" t="n">
        <x:f>MAX(0,E479-F479-J479)</x:f>
        <x:v>0</x:v>
      </x:c>
      <x:c r="M479" s="141" t="n">
        <x:f>SUM($K$6:K479)</x:f>
        <x:v>185795.9624076597</x:v>
      </x:c>
      <x:c r="N479" s="140" t="str">
        <x:f>IF(C479=0,"Encerrado",IF(L479=0,"Quitado","Aberto"))</x:f>
        <x:v>Encerrado</x:v>
      </x:c>
      <x:c r="O479" s="141" t="n">
        <x:f>IF(C479&gt;0,Premissas!$B$35,0)</x:f>
        <x:v>0</x:v>
      </x:c>
      <x:c r="P479" s="141" t="n">
        <x:f>IF(C479&gt;0,MAX(0,O479-I479),0)</x:f>
        <x:v>0</x:v>
      </x:c>
      <x:c r="Q479" s="141" t="n">
        <x:f>J479-IF(E479-F479&gt;0,MIN(E479-F479,P479),0)</x:f>
        <x:v>0</x:v>
      </x:c>
    </x:row>
    <x:row r="480">
      <x:c r="A480" s="142" t="n">
        <x:v>475</x:v>
      </x:c>
      <x:c r="B480" s="179" t="n">
        <x:f>EDATE(Premissas!$B$4,474)</x:f>
        <x:v>60967</x:v>
      </x:c>
      <x:c r="C480" s="141" t="n">
        <x:f>L479</x:f>
        <x:v>0</x:v>
      </x:c>
      <x:c r="D480" s="141" t="n">
        <x:f>IF(C480&gt;0,C480*Premissas!$B$17,0)</x:f>
        <x:v>0</x:v>
      </x:c>
      <x:c r="E480" s="141" t="n">
        <x:f>C480+D480</x:f>
        <x:v>0</x:v>
      </x:c>
      <x:c r="F480" s="141" t="n">
        <x:f>IF(E480&gt;0,MIN(E480,INDEX(Financiamento!$G$6:$G$485,A480)),0)</x:f>
        <x:v>0</x:v>
      </x:c>
      <x:c r="G480" s="141" t="n">
        <x:f>IF(E480&gt;0,E480*Premissas!$B$15,0)</x:f>
        <x:v>0</x:v>
      </x:c>
      <x:c r="H480" s="141" t="n">
        <x:f>IF(E480&gt;0,Premissas!$B$18,0)</x:f>
        <x:v>0</x:v>
      </x:c>
      <x:c r="I480" s="141" t="n">
        <x:f>F480+G480+H480</x:f>
        <x:v>0</x:v>
      </x:c>
      <x:c r="J480" s="141" t="n">
        <x:f>IF(E480-F480&gt;0,MIN(E480-F480,P480),0)</x:f>
        <x:v>0</x:v>
      </x:c>
      <x:c r="K480" s="141" t="n">
        <x:f>I480+J480</x:f>
        <x:v>0</x:v>
      </x:c>
      <x:c r="L480" s="141" t="n">
        <x:f>MAX(0,E480-F480-J480)</x:f>
        <x:v>0</x:v>
      </x:c>
      <x:c r="M480" s="141" t="n">
        <x:f>SUM($K$6:K480)</x:f>
        <x:v>185795.9624076597</x:v>
      </x:c>
      <x:c r="N480" s="140" t="str">
        <x:f>IF(C480=0,"Encerrado",IF(L480=0,"Quitado","Aberto"))</x:f>
        <x:v>Encerrado</x:v>
      </x:c>
      <x:c r="O480" s="141" t="n">
        <x:f>IF(C480&gt;0,Premissas!$B$35,0)</x:f>
        <x:v>0</x:v>
      </x:c>
      <x:c r="P480" s="141" t="n">
        <x:f>IF(C480&gt;0,MAX(0,O480-I480),0)</x:f>
        <x:v>0</x:v>
      </x:c>
      <x:c r="Q480" s="141" t="n">
        <x:f>J480-IF(E480-F480&gt;0,MIN(E480-F480,P480),0)</x:f>
        <x:v>0</x:v>
      </x:c>
    </x:row>
    <x:row r="481">
      <x:c r="A481" s="142" t="n">
        <x:v>476</x:v>
      </x:c>
      <x:c r="B481" s="179" t="n">
        <x:f>EDATE(Premissas!$B$4,475)</x:f>
        <x:v>60998</x:v>
      </x:c>
      <x:c r="C481" s="141" t="n">
        <x:f>L480</x:f>
        <x:v>0</x:v>
      </x:c>
      <x:c r="D481" s="141" t="n">
        <x:f>IF(C481&gt;0,C481*Premissas!$B$17,0)</x:f>
        <x:v>0</x:v>
      </x:c>
      <x:c r="E481" s="141" t="n">
        <x:f>C481+D481</x:f>
        <x:v>0</x:v>
      </x:c>
      <x:c r="F481" s="141" t="n">
        <x:f>IF(E481&gt;0,MIN(E481,INDEX(Financiamento!$G$6:$G$485,A481)),0)</x:f>
        <x:v>0</x:v>
      </x:c>
      <x:c r="G481" s="141" t="n">
        <x:f>IF(E481&gt;0,E481*Premissas!$B$15,0)</x:f>
        <x:v>0</x:v>
      </x:c>
      <x:c r="H481" s="141" t="n">
        <x:f>IF(E481&gt;0,Premissas!$B$18,0)</x:f>
        <x:v>0</x:v>
      </x:c>
      <x:c r="I481" s="141" t="n">
        <x:f>F481+G481+H481</x:f>
        <x:v>0</x:v>
      </x:c>
      <x:c r="J481" s="141" t="n">
        <x:f>IF(E481-F481&gt;0,MIN(E481-F481,P481),0)</x:f>
        <x:v>0</x:v>
      </x:c>
      <x:c r="K481" s="141" t="n">
        <x:f>I481+J481</x:f>
        <x:v>0</x:v>
      </x:c>
      <x:c r="L481" s="141" t="n">
        <x:f>MAX(0,E481-F481-J481)</x:f>
        <x:v>0</x:v>
      </x:c>
      <x:c r="M481" s="141" t="n">
        <x:f>SUM($K$6:K481)</x:f>
        <x:v>185795.9624076597</x:v>
      </x:c>
      <x:c r="N481" s="140" t="str">
        <x:f>IF(C481=0,"Encerrado",IF(L481=0,"Quitado","Aberto"))</x:f>
        <x:v>Encerrado</x:v>
      </x:c>
      <x:c r="O481" s="141" t="n">
        <x:f>IF(C481&gt;0,Premissas!$B$35,0)</x:f>
        <x:v>0</x:v>
      </x:c>
      <x:c r="P481" s="141" t="n">
        <x:f>IF(C481&gt;0,MAX(0,O481-I481),0)</x:f>
        <x:v>0</x:v>
      </x:c>
      <x:c r="Q481" s="141" t="n">
        <x:f>J481-IF(E481-F481&gt;0,MIN(E481-F481,P481),0)</x:f>
        <x:v>0</x:v>
      </x:c>
    </x:row>
    <x:row r="482">
      <x:c r="A482" s="142" t="n">
        <x:v>477</x:v>
      </x:c>
      <x:c r="B482" s="179" t="n">
        <x:f>EDATE(Premissas!$B$4,476)</x:f>
        <x:v>61029</x:v>
      </x:c>
      <x:c r="C482" s="141" t="n">
        <x:f>L481</x:f>
        <x:v>0</x:v>
      </x:c>
      <x:c r="D482" s="141" t="n">
        <x:f>IF(C482&gt;0,C482*Premissas!$B$17,0)</x:f>
        <x:v>0</x:v>
      </x:c>
      <x:c r="E482" s="141" t="n">
        <x:f>C482+D482</x:f>
        <x:v>0</x:v>
      </x:c>
      <x:c r="F482" s="141" t="n">
        <x:f>IF(E482&gt;0,MIN(E482,INDEX(Financiamento!$G$6:$G$485,A482)),0)</x:f>
        <x:v>0</x:v>
      </x:c>
      <x:c r="G482" s="141" t="n">
        <x:f>IF(E482&gt;0,E482*Premissas!$B$15,0)</x:f>
        <x:v>0</x:v>
      </x:c>
      <x:c r="H482" s="141" t="n">
        <x:f>IF(E482&gt;0,Premissas!$B$18,0)</x:f>
        <x:v>0</x:v>
      </x:c>
      <x:c r="I482" s="141" t="n">
        <x:f>F482+G482+H482</x:f>
        <x:v>0</x:v>
      </x:c>
      <x:c r="J482" s="141" t="n">
        <x:f>IF(E482-F482&gt;0,MIN(E482-F482,P482),0)</x:f>
        <x:v>0</x:v>
      </x:c>
      <x:c r="K482" s="141" t="n">
        <x:f>I482+J482</x:f>
        <x:v>0</x:v>
      </x:c>
      <x:c r="L482" s="141" t="n">
        <x:f>MAX(0,E482-F482-J482)</x:f>
        <x:v>0</x:v>
      </x:c>
      <x:c r="M482" s="141" t="n">
        <x:f>SUM($K$6:K482)</x:f>
        <x:v>185795.9624076597</x:v>
      </x:c>
      <x:c r="N482" s="140" t="str">
        <x:f>IF(C482=0,"Encerrado",IF(L482=0,"Quitado","Aberto"))</x:f>
        <x:v>Encerrado</x:v>
      </x:c>
      <x:c r="O482" s="141" t="n">
        <x:f>IF(C482&gt;0,Premissas!$B$35,0)</x:f>
        <x:v>0</x:v>
      </x:c>
      <x:c r="P482" s="141" t="n">
        <x:f>IF(C482&gt;0,MAX(0,O482-I482),0)</x:f>
        <x:v>0</x:v>
      </x:c>
      <x:c r="Q482" s="141" t="n">
        <x:f>J482-IF(E482-F482&gt;0,MIN(E482-F482,P482),0)</x:f>
        <x:v>0</x:v>
      </x:c>
    </x:row>
    <x:row r="483">
      <x:c r="A483" s="142" t="n">
        <x:v>478</x:v>
      </x:c>
      <x:c r="B483" s="179" t="n">
        <x:f>EDATE(Premissas!$B$4,477)</x:f>
        <x:v>61057</x:v>
      </x:c>
      <x:c r="C483" s="141" t="n">
        <x:f>L482</x:f>
        <x:v>0</x:v>
      </x:c>
      <x:c r="D483" s="141" t="n">
        <x:f>IF(C483&gt;0,C483*Premissas!$B$17,0)</x:f>
        <x:v>0</x:v>
      </x:c>
      <x:c r="E483" s="141" t="n">
        <x:f>C483+D483</x:f>
        <x:v>0</x:v>
      </x:c>
      <x:c r="F483" s="141" t="n">
        <x:f>IF(E483&gt;0,MIN(E483,INDEX(Financiamento!$G$6:$G$485,A483)),0)</x:f>
        <x:v>0</x:v>
      </x:c>
      <x:c r="G483" s="141" t="n">
        <x:f>IF(E483&gt;0,E483*Premissas!$B$15,0)</x:f>
        <x:v>0</x:v>
      </x:c>
      <x:c r="H483" s="141" t="n">
        <x:f>IF(E483&gt;0,Premissas!$B$18,0)</x:f>
        <x:v>0</x:v>
      </x:c>
      <x:c r="I483" s="141" t="n">
        <x:f>F483+G483+H483</x:f>
        <x:v>0</x:v>
      </x:c>
      <x:c r="J483" s="141" t="n">
        <x:f>IF(E483-F483&gt;0,MIN(E483-F483,P483),0)</x:f>
        <x:v>0</x:v>
      </x:c>
      <x:c r="K483" s="141" t="n">
        <x:f>I483+J483</x:f>
        <x:v>0</x:v>
      </x:c>
      <x:c r="L483" s="141" t="n">
        <x:f>MAX(0,E483-F483-J483)</x:f>
        <x:v>0</x:v>
      </x:c>
      <x:c r="M483" s="141" t="n">
        <x:f>SUM($K$6:K483)</x:f>
        <x:v>185795.9624076597</x:v>
      </x:c>
      <x:c r="N483" s="140" t="str">
        <x:f>IF(C483=0,"Encerrado",IF(L483=0,"Quitado","Aberto"))</x:f>
        <x:v>Encerrado</x:v>
      </x:c>
      <x:c r="O483" s="141" t="n">
        <x:f>IF(C483&gt;0,Premissas!$B$35,0)</x:f>
        <x:v>0</x:v>
      </x:c>
      <x:c r="P483" s="141" t="n">
        <x:f>IF(C483&gt;0,MAX(0,O483-I483),0)</x:f>
        <x:v>0</x:v>
      </x:c>
      <x:c r="Q483" s="141" t="n">
        <x:f>J483-IF(E483-F483&gt;0,MIN(E483-F483,P483),0)</x:f>
        <x:v>0</x:v>
      </x:c>
    </x:row>
    <x:row r="484">
      <x:c r="A484" s="142" t="n">
        <x:v>479</x:v>
      </x:c>
      <x:c r="B484" s="179" t="n">
        <x:f>EDATE(Premissas!$B$4,478)</x:f>
        <x:v>61088</x:v>
      </x:c>
      <x:c r="C484" s="141" t="n">
        <x:f>L483</x:f>
        <x:v>0</x:v>
      </x:c>
      <x:c r="D484" s="141" t="n">
        <x:f>IF(C484&gt;0,C484*Premissas!$B$17,0)</x:f>
        <x:v>0</x:v>
      </x:c>
      <x:c r="E484" s="141" t="n">
        <x:f>C484+D484</x:f>
        <x:v>0</x:v>
      </x:c>
      <x:c r="F484" s="141" t="n">
        <x:f>IF(E484&gt;0,MIN(E484,INDEX(Financiamento!$G$6:$G$485,A484)),0)</x:f>
        <x:v>0</x:v>
      </x:c>
      <x:c r="G484" s="141" t="n">
        <x:f>IF(E484&gt;0,E484*Premissas!$B$15,0)</x:f>
        <x:v>0</x:v>
      </x:c>
      <x:c r="H484" s="141" t="n">
        <x:f>IF(E484&gt;0,Premissas!$B$18,0)</x:f>
        <x:v>0</x:v>
      </x:c>
      <x:c r="I484" s="141" t="n">
        <x:f>F484+G484+H484</x:f>
        <x:v>0</x:v>
      </x:c>
      <x:c r="J484" s="141" t="n">
        <x:f>IF(E484-F484&gt;0,MIN(E484-F484,P484),0)</x:f>
        <x:v>0</x:v>
      </x:c>
      <x:c r="K484" s="141" t="n">
        <x:f>I484+J484</x:f>
        <x:v>0</x:v>
      </x:c>
      <x:c r="L484" s="141" t="n">
        <x:f>MAX(0,E484-F484-J484)</x:f>
        <x:v>0</x:v>
      </x:c>
      <x:c r="M484" s="141" t="n">
        <x:f>SUM($K$6:K484)</x:f>
        <x:v>185795.9624076597</x:v>
      </x:c>
      <x:c r="N484" s="140" t="str">
        <x:f>IF(C484=0,"Encerrado",IF(L484=0,"Quitado","Aberto"))</x:f>
        <x:v>Encerrado</x:v>
      </x:c>
      <x:c r="O484" s="141" t="n">
        <x:f>IF(C484&gt;0,Premissas!$B$35,0)</x:f>
        <x:v>0</x:v>
      </x:c>
      <x:c r="P484" s="141" t="n">
        <x:f>IF(C484&gt;0,MAX(0,O484-I484),0)</x:f>
        <x:v>0</x:v>
      </x:c>
      <x:c r="Q484" s="141" t="n">
        <x:f>J484-IF(E484-F484&gt;0,MIN(E484-F484,P484),0)</x:f>
        <x:v>0</x:v>
      </x:c>
    </x:row>
    <x:row r="485">
      <x:c r="A485" s="142" t="n">
        <x:v>480</x:v>
      </x:c>
      <x:c r="B485" s="179" t="n">
        <x:f>EDATE(Premissas!$B$4,479)</x:f>
        <x:v>61118</x:v>
      </x:c>
      <x:c r="C485" s="141" t="n">
        <x:f>L484</x:f>
        <x:v>0</x:v>
      </x:c>
      <x:c r="D485" s="141" t="n">
        <x:f>IF(C485&gt;0,C485*Premissas!$B$17,0)</x:f>
        <x:v>0</x:v>
      </x:c>
      <x:c r="E485" s="141" t="n">
        <x:f>C485+D485</x:f>
        <x:v>0</x:v>
      </x:c>
      <x:c r="F485" s="141" t="n">
        <x:f>IF(E485&gt;0,MIN(E485,INDEX(Financiamento!$G$6:$G$485,A485)),0)</x:f>
        <x:v>0</x:v>
      </x:c>
      <x:c r="G485" s="141" t="n">
        <x:f>IF(E485&gt;0,E485*Premissas!$B$15,0)</x:f>
        <x:v>0</x:v>
      </x:c>
      <x:c r="H485" s="141" t="n">
        <x:f>IF(E485&gt;0,Premissas!$B$18,0)</x:f>
        <x:v>0</x:v>
      </x:c>
      <x:c r="I485" s="141" t="n">
        <x:f>F485+G485+H485</x:f>
        <x:v>0</x:v>
      </x:c>
      <x:c r="J485" s="141" t="n">
        <x:f>IF(E485-F485&gt;0,MIN(E485-F485,P485),0)</x:f>
        <x:v>0</x:v>
      </x:c>
      <x:c r="K485" s="141" t="n">
        <x:f>I485+J485</x:f>
        <x:v>0</x:v>
      </x:c>
      <x:c r="L485" s="141" t="n">
        <x:f>MAX(0,E485-F485-J485)</x:f>
        <x:v>0</x:v>
      </x:c>
      <x:c r="M485" s="141" t="n">
        <x:f>SUM($K$6:K485)</x:f>
        <x:v>185795.9624076597</x:v>
      </x:c>
      <x:c r="N485" s="140" t="str">
        <x:f>IF(C485=0,"Encerrado",IF(L485=0,"Quitado","Aberto"))</x:f>
        <x:v>Encerrado</x:v>
      </x:c>
      <x:c r="O485" s="141" t="n">
        <x:f>IF(C485&gt;0,Premissas!$B$35,0)</x:f>
        <x:v>0</x:v>
      </x:c>
      <x:c r="P485" s="141" t="n">
        <x:f>IF(C485&gt;0,MAX(0,O485-I485),0)</x:f>
        <x:v>0</x:v>
      </x:c>
      <x:c r="Q485" s="141" t="n">
        <x:f>J485-IF(E485-F485&gt;0,MIN(E485-F485,P485),0)</x:f>
        <x:v>0</x:v>
      </x:c>
    </x:row>
  </x:sheetData>
  <x:mergeCells>
    <x:mergeCell ref="A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6.8799991607666" hidden="0" customWidth="1"/>
    <x:col min="3" max="3" width="16.8799991607666" hidden="0" customWidth="1"/>
    <x:col min="4" max="4" width="15" hidden="0" customWidth="1"/>
    <x:col min="5" max="5" width="11.880000114440918" hidden="0" customWidth="1"/>
    <x:col min="6" max="6" width="10.630000114440918" hidden="0" customWidth="1"/>
    <x:col min="7" max="7" width="80" hidden="0" customWidth="1"/>
  </x:cols>
  <x:sheetData>
    <x:row r="1" ht="25.5" customHeight="1">
      <x:c r="A1" s="189" t="str">
        <x:v>Checks do modelo</x:v>
      </x:c>
      <x:c r="B1" s="190" t="str">
        <x:v>Checks do modelo</x:v>
      </x:c>
      <x:c r="C1" s="190" t="str">
        <x:v>Checks do modelo</x:v>
      </x:c>
      <x:c r="D1" s="190" t="str">
        <x:v>Checks do modelo</x:v>
      </x:c>
      <x:c r="E1" s="190" t="str">
        <x:v>Checks do modelo</x:v>
      </x:c>
      <x:c r="F1" s="190" t="str">
        <x:v>Checks do modelo</x:v>
      </x:c>
      <x:c r="G1" s="191" t="str">
        <x:v>Checks do modelo</x:v>
      </x:c>
    </x:row>
    <x:row r="2">
      <x:c r="A2" s="130"/>
      <x:c r="B2" s="130"/>
      <x:c r="C2" s="130"/>
      <x:c r="D2" s="130"/>
      <x:c r="E2" s="130"/>
      <x:c r="F2" s="130"/>
      <x:c r="G2" s="130"/>
    </x:row>
    <x:row r="3">
      <x:c r="A3" s="130"/>
      <x:c r="B3" s="130"/>
      <x:c r="C3" s="130"/>
      <x:c r="D3" s="130"/>
      <x:c r="E3" s="130"/>
      <x:c r="F3" s="130"/>
      <x:c r="G3" s="130"/>
    </x:row>
    <x:row r="4" ht="25.5" customHeight="1">
      <x:c r="A4" s="192" t="str">
        <x:v>Check</x:v>
      </x:c>
      <x:c r="B4" s="192" t="str">
        <x:v>Atual</x:v>
      </x:c>
      <x:c r="C4" s="192" t="str">
        <x:v>Esperado</x:v>
      </x:c>
      <x:c r="D4" s="192" t="str">
        <x:v>Diferenca</x:v>
      </x:c>
      <x:c r="E4" s="192" t="str">
        <x:v>Tolerancia</x:v>
      </x:c>
      <x:c r="F4" s="192" t="str">
        <x:v>Status</x:v>
      </x:c>
      <x:c r="G4" s="192" t="str">
        <x:v>Notas</x:v>
      </x:c>
    </x:row>
    <x:row r="5">
      <x:c r="A5" s="145" t="str">
        <x:v>Financiamento selecionado termina zerado</x:v>
      </x:c>
      <x:c r="B5" s="141" t="n">
        <x:f>INDEX(Financiamento!$M$6:$M$485,Premissas!$B$13)</x:f>
        <x:v>0</x:v>
      </x:c>
      <x:c r="C5" s="141" t="n">
        <x:f>0</x:f>
        <x:v>0</x:v>
      </x:c>
      <x:c r="D5" s="141" t="n">
        <x:f>B5-C5</x:f>
        <x:v>0</x:v>
      </x:c>
      <x:c r="E5" s="141" t="n">
        <x:f>1</x:f>
        <x:v>1</x:v>
      </x:c>
      <x:c r="F5" s="140" t="str">
        <x:f>IF(ABS(D5)&lt;=E5,"OK","Revisar")</x:f>
        <x:v>OK</x:v>
      </x:c>
      <x:c r="G5" s="145" t="str">
        <x:v>Saldo final no fim do prazo deve ser zero em SAC e PRICE.</x:v>
      </x:c>
    </x:row>
    <x:row r="6">
      <x:c r="A6" s="145" t="str">
        <x:v>Carta IQ cobre saldo no mes de contemplacao</x:v>
      </x:c>
      <x:c r="B6" s="141" t="n">
        <x:f>Premissas!$B$31</x:f>
        <x:v>137142.8571428574</x:v>
      </x:c>
      <x:c r="C6" s="141" t="n">
        <x:f>Premissas!$B$29</x:f>
        <x:v>137142.8571428574</x:v>
      </x:c>
      <x:c r="D6" s="141" t="n">
        <x:f>B6-C6</x:f>
        <x:v>0</x:v>
      </x:c>
      <x:c r="E6" s="141" t="n">
        <x:f>1</x:f>
        <x:v>1</x:v>
      </x:c>
      <x:c r="F6" s="140" t="str">
        <x:f>IF(ABS(D6)&lt;=E6,"OK","Revisar")</x:f>
        <x:v>OK</x:v>
      </x:c>
      <x:c r="G6" s="145" t="str">
        <x:v>Credito atualizado deve bater com o saldo devedor projetado no mes de contemplacao.</x:v>
      </x:c>
    </x:row>
    <x:row r="7">
      <x:c r="A7" s="145" t="str">
        <x:v>Consorcio direto: credito liquido cobre bem</x:v>
      </x:c>
      <x:c r="B7" s="141" t="n">
        <x:f>'Consorcio Direto'!$B$43</x:f>
        <x:v>266348.64999812335</x:v>
      </x:c>
      <x:c r="C7" s="141" t="n">
        <x:f>'Consorcio Direto'!$B$4</x:f>
        <x:v>266348.64999812335</x:v>
      </x:c>
      <x:c r="D7" s="141" t="n">
        <x:f>B7-C7</x:f>
        <x:v>0</x:v>
      </x:c>
      <x:c r="E7" s="141" t="n">
        <x:f>1</x:f>
        <x:v>1</x:v>
      </x:c>
      <x:c r="F7" s="140" t="str">
        <x:f>IF(B7+E7&gt;=C7,"OK","Revisar")</x:f>
        <x:v>OK</x:v>
      </x:c>
      <x:c r="G7" s="145" t="str">
        <x:v>Credito liquido do consorcio direto deve cobrir o valor do bem ou exigir complemento fora deste bloco.</x:v>
      </x:c>
    </x:row>
    <x:row r="8">
      <x:c r="A8" s="145" t="str">
        <x:v>Consorcio direto: prazo dentro do limite</x:v>
      </x:c>
      <x:c r="B8" s="142" t="n">
        <x:f>'Consorcio Direto'!$B$27</x:f>
        <x:v>240</x:v>
      </x:c>
      <x:c r="C8" s="142" t="n">
        <x:f>480</x:f>
        <x:v>480</x:v>
      </x:c>
      <x:c r="D8" s="142" t="n">
        <x:f>C8-B8</x:f>
        <x:v>240</x:v>
      </x:c>
      <x:c r="E8" s="142" t="n">
        <x:f>0</x:f>
        <x:v>0</x:v>
      </x:c>
      <x:c r="F8" s="140" t="str">
        <x:f>IF(B8&lt;=C8,"OK","Revisar")</x:f>
        <x:v>OK</x:v>
      </x:c>
      <x:c r="G8" s="145" t="str">
        <x:v>Cronograma mensal do consorcio direto suporta ate 480 meses.</x:v>
      </x:c>
    </x:row>
    <x:row r="9">
      <x:c r="A9" s="145" t="str">
        <x:v>Reserva cobre maior entrada/lance/carta</x:v>
      </x:c>
      <x:c r="B9" s="141" t="n">
        <x:f>Premissas!$B$43</x:f>
        <x:v>90000</x:v>
      </x:c>
      <x:c r="C9" s="141" t="n">
        <x:f>Premissas!$B$44</x:f>
        <x:v>47000</x:v>
      </x:c>
      <x:c r="D9" s="141" t="n">
        <x:f>B9-C9</x:f>
        <x:v>43000</x:v>
      </x:c>
      <x:c r="E9" s="141" t="n">
        <x:f>0</x:f>
        <x:v>0</x:v>
      </x:c>
      <x:c r="F9" s="140" t="str">
        <x:f>IF(B9&gt;=C9,"OK","Revisar")</x:f>
        <x:v>OK</x:v>
      </x:c>
      <x:c r="G9" s="145" t="str">
        <x:v>Reserva deve cobrir a maior necessidade inicial relevante entre as estrategias.</x:v>
      </x:c>
    </x:row>
    <x:row r="10">
      <x:c r="A10" s="145" t="str">
        <x:v>Motor: horizonte dentro do limite</x:v>
      </x:c>
      <x:c r="B10" s="142" t="n">
        <x:f>Premissas!$B$39</x:f>
        <x:v>420</x:v>
      </x:c>
      <x:c r="C10" s="142" t="n">
        <x:f>480</x:f>
        <x:v>480</x:v>
      </x:c>
      <x:c r="D10" s="142" t="n">
        <x:f>C10-B10</x:f>
        <x:v>60</x:v>
      </x:c>
      <x:c r="E10" s="142" t="n">
        <x:f>0</x:f>
        <x:v>0</x:v>
      </x:c>
      <x:c r="F10" s="140" t="str">
        <x:f>IF(B10&lt;=C10,"OK","Revisar")</x:f>
        <x:v>OK</x:v>
      </x:c>
      <x:c r="G10" s="145" t="str">
        <x:v>O motor mensal suporta ate 480 meses.</x:v>
      </x:c>
    </x:row>
    <x:row r="11">
      <x:c r="A11" s="145" t="str">
        <x:v>Motor: saldo investido nao fica negativo</x:v>
      </x:c>
      <x:c r="B11" s="141" t="n">
        <x:f>MIN('Motor Caixa'!$R$5:$R$484,'Motor Caixa'!$AH$5:$AH$484,'Motor Caixa'!$AX$5:$AX$484,'Motor Caixa'!$BN$5:$BN$484,'Motor Caixa'!$CD$5:$CD$484)</x:f>
        <x:v>49440</x:v>
      </x:c>
      <x:c r="C11" s="141" t="n">
        <x:f>0</x:f>
        <x:v>0</x:v>
      </x:c>
      <x:c r="D11" s="141" t="n">
        <x:f>B11-C11</x:f>
        <x:v>49440</x:v>
      </x:c>
      <x:c r="E11" s="141" t="n">
        <x:f>0</x:f>
        <x:v>0</x:v>
      </x:c>
      <x:c r="F11" s="140" t="str">
        <x:f>IF(B11&gt;=C11,"OK","Revisar")</x:f>
        <x:v>OK</x:v>
      </x:c>
      <x:c r="G11" s="145" t="str">
        <x:v>Saldo investido e truncado em zero; deficit nao coberto marca inviabilidade.</x:v>
      </x:c>
    </x:row>
    <x:row r="12">
      <x:c r="A12" s="145" t="str">
        <x:v>Motor referencia Consorcio Direto</x:v>
      </x:c>
      <x:c r="B12" s="141" t="n">
        <x:f>Resumo!$C$13</x:f>
        <x:v>60</x:v>
      </x:c>
      <x:c r="C12" s="141" t="n">
        <x:f>'Consorcio Direto'!$B$29</x:f>
        <x:v>60</x:v>
      </x:c>
      <x:c r="D12" s="141" t="n">
        <x:f>B12-C12</x:f>
        <x:v>0</x:v>
      </x:c>
      <x:c r="E12" s="141" t="n">
        <x:f>0</x:f>
        <x:v>0</x:v>
      </x:c>
      <x:c r="F12" s="140" t="str">
        <x:f>IF(B12=C12,"OK","Revisar")</x:f>
        <x:v>OK</x:v>
      </x:c>
      <x:c r="G12" s="145" t="str">
        <x:v>A estrategia 4 usa a aba Consorcio Direto para contemplacao, parcela e lance.</x:v>
      </x:c>
    </x:row>
    <x:row r="13">
      <x:c r="A13" s="145" t="str">
        <x:v>Tipo do bem valido</x:v>
      </x:c>
      <x:c r="B13" s="140" t="str">
        <x:f>Premissas!$B$11</x:f>
        <x:v>Imovel</x:v>
      </x:c>
      <x:c r="C13" s="140" t="str">
        <x:f>"Imovel/Veiculo"</x:f>
        <x:v>Imovel/Veiculo</x:v>
      </x:c>
      <x:c r="D13" s="140" t="n">
        <x:f>IF(OR(B13="Imovel",B13="Veiculo"),0,1)</x:f>
        <x:v>0</x:v>
      </x:c>
      <x:c r="E13" s="140" t="n">
        <x:f>0</x:f>
        <x:v>0</x:v>
      </x:c>
      <x:c r="F13" s="140" t="str">
        <x:f>IF(D13=E13,"OK","Revisar")</x:f>
        <x:v>OK</x:v>
      </x:c>
      <x:c r="G13" s="145" t="str">
        <x:v>Tipo do bem deve ser Imovel ou Veiculo.</x:v>
      </x:c>
    </x:row>
    <x:row r="14">
      <x:c r="A14" s="145" t="str">
        <x:v>Sistema de financiamento valido</x:v>
      </x:c>
      <x:c r="B14" s="140" t="str">
        <x:f>Premissas!$B$19</x:f>
        <x:v>SAC</x:v>
      </x:c>
      <x:c r="C14" s="140" t="str">
        <x:f>"SAC/PRICE"</x:f>
        <x:v>SAC/PRICE</x:v>
      </x:c>
      <x:c r="D14" s="140" t="n">
        <x:f>IF(OR(B14="SAC",B14="PRICE"),0,1)</x:f>
        <x:v>0</x:v>
      </x:c>
      <x:c r="E14" s="140" t="n">
        <x:f>0</x:f>
        <x:v>0</x:v>
      </x:c>
      <x:c r="F14" s="140" t="str">
        <x:f>IF(D14=E14,"OK","Revisar")</x:f>
        <x:v>OK</x:v>
      </x:c>
      <x:c r="G14" s="145" t="str">
        <x:v>Sistema deve ser SAC ou PRICE.</x:v>
      </x:c>
    </x:row>
    <x:row r="15">
      <x:c r="A15" s="145" t="str">
        <x:v>Modelo permanece nominal</x:v>
      </x:c>
      <x:c r="B15" s="140" t="str">
        <x:f>Premissas!$B$65</x:f>
        <x:v>Nominal</x:v>
      </x:c>
      <x:c r="C15" s="140" t="str">
        <x:f>"Nominal"</x:f>
        <x:v>Nominal</x:v>
      </x:c>
      <x:c r="D15" s="140" t="n">
        <x:f>IF(B15=C15,0,1)</x:f>
        <x:v>0</x:v>
      </x:c>
      <x:c r="E15" s="140" t="n">
        <x:f>0</x:f>
        <x:v>0</x:v>
      </x:c>
      <x:c r="F15" s="140" t="str">
        <x:f>IF(B15=C15,"OK","Revisar")</x:f>
        <x:v>OK</x:v>
      </x:c>
      <x:c r="G15" s="145" t="str">
        <x:v>Nao permitir Real sem logica real implementada.</x:v>
      </x:c>
    </x:row>
    <x:row r="16">
      <x:c r="A16" s="145" t="str">
        <x:v>Depreciacao anual dentro do limite</x:v>
      </x:c>
      <x:c r="B16" s="183" t="n">
        <x:f>Premissas!$B$92</x:f>
        <x:v>-0.15</x:v>
      </x:c>
      <x:c r="C16" s="183" t="n">
        <x:f>-100%</x:f>
        <x:v>-1</x:v>
      </x:c>
      <x:c r="D16" s="183" t="n">
        <x:f>B16-C16</x:f>
        <x:v>0.85</x:v>
      </x:c>
      <x:c r="E16" s="183" t="n">
        <x:f>0</x:f>
        <x:v>0</x:v>
      </x:c>
      <x:c r="F16" s="140" t="str">
        <x:f>IF(B16&gt;C16,"OK","Revisar")</x:f>
        <x:v>OK</x:v>
      </x:c>
      <x:c r="G16" s="145" t="str">
        <x:v>A depreciacao anual do veiculo deve ser maior que -100%.</x:v>
      </x:c>
    </x:row>
    <x:row r="17">
      <x:c r="A17" s="145" t="str">
        <x:v>Patrimonio nominal bate formula</x:v>
      </x:c>
      <x:c r="B17" s="141" t="n">
        <x:f>MAX(IF(ISNUMBER(Resumo!$I$10),ABS(Resumo!$I$10-(INDEX('Motor Caixa'!$R$5:$R$484,Premissas!$B$39)+INDEX('Motor Caixa'!$T$5:$T$484,Premissas!$B$39)-INDEX('Motor Caixa'!$S$5:$S$484,Premissas!$B$39))),0),IF(ISNUMBER(Resumo!$I$11),ABS(Resumo!$I$11-(INDEX('Motor Caixa'!$AH$5:$AH$484,Premissas!$B$39)+INDEX('Motor Caixa'!$AJ$5:$AJ$484,Premissas!$B$39)-INDEX('Motor Caixa'!$AI$5:$AI$484,Premissas!$B$39))),0),IF(ISNUMBER(Resumo!$I$12),ABS(Resumo!$I$12-(INDEX('Motor Caixa'!$AX$5:$AX$484,Premissas!$B$39)+INDEX('Motor Caixa'!$AZ$5:$AZ$484,Premissas!$B$39)-INDEX('Motor Caixa'!$AY$5:$AY$484,Premissas!$B$39))),0),IF(ISNUMBER(Resumo!$I$13),ABS(Resumo!$I$13-(INDEX('Motor Caixa'!$BN$5:$BN$484,Premissas!$B$39)+INDEX('Motor Caixa'!$BP$5:$BP$484,Premissas!$B$39)-INDEX('Motor Caixa'!$BO$5:$BO$484,Premissas!$B$39))),0),IF(ISNUMBER(Resumo!$I$14),ABS(Resumo!$I$14-(INDEX('Motor Caixa'!$CD$5:$CD$484,Premissas!$B$39)+INDEX('Motor Caixa'!$CF$5:$CF$484,Premissas!$B$39)-INDEX('Motor Caixa'!$CE$5:$CE$484,Premissas!$B$39))),0))</x:f>
        <x:v>0</x:v>
      </x:c>
      <x:c r="C17" s="141" t="n">
        <x:f>0</x:f>
        <x:v>0</x:v>
      </x:c>
      <x:c r="D17" s="141" t="n">
        <x:f>B17-C17</x:f>
        <x:v>0</x:v>
      </x:c>
      <x:c r="E17" s="141" t="n">
        <x:f>1</x:f>
        <x:v>1</x:v>
      </x:c>
      <x:c r="F17" s="140" t="str">
        <x:f>IF(ABS(D17)&lt;=E17,"OK","Revisar")</x:f>
        <x:v>OK</x:v>
      </x:c>
      <x:c r="G17" s="145" t="str">
        <x:v>Quando a estrategia e executavel, patrimonio nominal = saldo investido + bem - saldo devedor/obrigacao.</x:v>
      </x:c>
    </x:row>
    <x:row r="18">
      <x:c r="A18" s="145" t="str">
        <x:v>Patrimonio bate status</x:v>
      </x:c>
      <x:c r="B18" s="141" t="n">
        <x:f>IF(AND(IF(Resumo!$H$10&gt;1,AND(Resumo!$I$10="Inviavel",Resumo!$J$10="Inviavel"),AND(ISNUMBER(Resumo!$I$10),ISNUMBER(Resumo!$J$10))),IF(Resumo!$H$11&gt;1,AND(Resumo!$I$11="Inviavel",Resumo!$J$11="Inviavel"),AND(ISNUMBER(Resumo!$I$11),ISNUMBER(Resumo!$J$11))),IF(Resumo!$H$12&gt;1,AND(Resumo!$I$12="Inviavel",Resumo!$J$12="Inviavel"),AND(ISNUMBER(Resumo!$I$12),ISNUMBER(Resumo!$J$12))),IF(Resumo!$H$13&gt;1,AND(Resumo!$I$13="Inviavel",Resumo!$J$13="Inviavel"),AND(ISNUMBER(Resumo!$I$13),ISNUMBER(Resumo!$J$13))),IF(Resumo!$H$14&gt;1,AND(Resumo!$I$14="Inviavel",Resumo!$J$14="Inviavel"),AND(ISNUMBER(Resumo!$I$14),ISNUMBER(Resumo!$J$14)))),0,1)</x:f>
        <x:v>0</x:v>
      </x:c>
      <x:c r="C18" s="141" t="n">
        <x:f>0</x:f>
        <x:v>0</x:v>
      </x:c>
      <x:c r="D18" s="141" t="n">
        <x:f>B18-C18</x:f>
        <x:v>0</x:v>
      </x:c>
      <x:c r="E18" s="141" t="n">
        <x:f>0</x:f>
        <x:v>0</x:v>
      </x:c>
      <x:c r="F18" s="140" t="str">
        <x:f>IF(B18=C18,"OK","Revisar")</x:f>
        <x:v>OK</x:v>
      </x:c>
      <x:c r="G18" s="145" t="str">
        <x:v>Se houver deficit nao coberto, patrimonio deve mostrar Inviavel.</x:v>
      </x:c>
    </x:row>
    <x:row r="19">
      <x:c r="A19" s="145" t="str">
        <x:v>Deficit nao coberto marca inviabilidade</x:v>
      </x:c>
      <x:c r="B19" s="141" t="n">
        <x:f>MAX(ABS(IF(Resumo!$O$10="Inviavel",1,0)-IF(Resumo!$H$10&gt;1,1,0)),ABS(IF(Resumo!$O$11="Inviavel",1,0)-IF(Resumo!$H$11&gt;1,1,0)),ABS(IF(Resumo!$O$12="Inviavel",1,0)-IF(Resumo!$H$12&gt;1,1,0)),ABS(IF(Resumo!$O$13="Inviavel",1,0)-IF(Resumo!$H$13&gt;1,1,0)),ABS(IF(Resumo!$O$14="Inviavel",1,0)-IF(Resumo!$H$14&gt;1,1,0)))</x:f>
        <x:v>0</x:v>
      </x:c>
      <x:c r="C19" s="141" t="n">
        <x:f>0</x:f>
        <x:v>0</x:v>
      </x:c>
      <x:c r="D19" s="141" t="n">
        <x:f>B19-C19</x:f>
        <x:v>0</x:v>
      </x:c>
      <x:c r="E19" s="141" t="n">
        <x:f>0</x:f>
        <x:v>0</x:v>
      </x:c>
      <x:c r="F19" s="140" t="str">
        <x:f>IF(B19=C19,"OK","Revisar")</x:f>
        <x:v>OK</x:v>
      </x:c>
      <x:c r="G19" s="145" t="str">
        <x:v>Deficit nao coberto VF deve explicar o Status Inviavel.</x:v>
      </x:c>
    </x:row>
    <x:row r="20">
      <x:c r="A20" s="145" t="str">
        <x:v>Aluguel pago somente em Moradia de Imovel</x:v>
      </x:c>
      <x:c r="B20" s="141" t="n">
        <x:f>IF(OR(Premissas!$B$11&lt;&gt;"Imovel",Premissas!$B$47&lt;&gt;"Moradia"),SUM('Motor Caixa'!$J$5:$J$484,'Motor Caixa'!$Z$5:$Z$484,'Motor Caixa'!$AP$5:$AP$484,'Motor Caixa'!$BF$5:$BF$484,'Motor Caixa'!$BV$5:$BV$484),0)</x:f>
        <x:v>0</x:v>
      </x:c>
      <x:c r="C20" s="141" t="n">
        <x:f>0</x:f>
        <x:v>0</x:v>
      </x:c>
      <x:c r="D20" s="141" t="n">
        <x:f>B20-C20</x:f>
        <x:v>0</x:v>
      </x:c>
      <x:c r="E20" s="141" t="n">
        <x:f>1</x:f>
        <x:v>1</x:v>
      </x:c>
      <x:c r="F20" s="140" t="str">
        <x:f>IF(ABS(D20)&lt;=E20,"OK","Revisar")</x:f>
        <x:v>OK</x:v>
      </x:c>
      <x:c r="G20" s="145" t="str">
        <x:v>Fora de Moradia de Imovel, a coluna de aluguel pago deve ser zero.</x:v>
      </x:c>
    </x:row>
    <x:row r="21">
      <x:c r="A21" s="145" t="str">
        <x:v>Renda somente em Investimento de Imovel</x:v>
      </x:c>
      <x:c r="B21" s="141" t="n">
        <x:f>IF(OR(Premissas!$B$11&lt;&gt;"Imovel",Premissas!$B$47&lt;&gt;"Investimento"),SUM('Motor Caixa'!$K$5:$K$484,'Motor Caixa'!$AA$5:$AA$484,'Motor Caixa'!$AQ$5:$AQ$484,'Motor Caixa'!$BG$5:$BG$484,'Motor Caixa'!$BW$5:$BW$484),0)</x:f>
        <x:v>0</x:v>
      </x:c>
      <x:c r="C21" s="141" t="n">
        <x:f>0</x:f>
        <x:v>0</x:v>
      </x:c>
      <x:c r="D21" s="141" t="n">
        <x:f>B21-C21</x:f>
        <x:v>0</x:v>
      </x:c>
      <x:c r="E21" s="141" t="n">
        <x:f>1</x:f>
        <x:v>1</x:v>
      </x:c>
      <x:c r="F21" s="140" t="str">
        <x:f>IF(ABS(D21)&lt;=E21,"OK","Revisar")</x:f>
        <x:v>OK</x:v>
      </x:c>
      <x:c r="G21" s="145" t="str">
        <x:v>Fora de Investimento de Imovel, a receita do bem deve ser zero.</x:v>
      </x:c>
    </x:row>
    <x:row r="22">
      <x:c r="A22" s="145" t="str">
        <x:v>Consorcio direto sem renda antes de contemplacao/disponibilidade</x:v>
      </x:c>
      <x:c r="B22" s="141" t="n">
        <x:f>SUMIFS('Motor Caixa'!$BG$5:$BG$484,'Motor Caixa'!$A$5:$A$484,"&lt;"&amp;MAX('Consorcio Direto'!$B$29,Premissas!$B$49))</x:f>
        <x:v>0</x:v>
      </x:c>
      <x:c r="C22" s="141" t="n">
        <x:f>0</x:f>
        <x:v>0</x:v>
      </x:c>
      <x:c r="D22" s="141" t="n">
        <x:f>B22-C22</x:f>
        <x:v>0</x:v>
      </x:c>
      <x:c r="E22" s="141" t="n">
        <x:f>1</x:f>
        <x:v>1</x:v>
      </x:c>
      <x:c r="F22" s="140" t="str">
        <x:f>IF(ABS(D22)&lt;=E22,"OK","Revisar")</x:f>
        <x:v>OK</x:v>
      </x:c>
      <x:c r="G22" s="145" t="str">
        <x:v>Renda da estrategia 4 so pode aparecer apos o maior entre contemplacao direta e disponibilidade.</x:v>
      </x:c>
    </x:row>
    <x:row r="23">
      <x:c r="A23" s="145" t="str">
        <x:v>Carta contemplada sem receita antes de aquisicao/disponibilidade</x:v>
      </x:c>
      <x:c r="B23" s="141" t="n">
        <x:f>SUMIFS('Motor Caixa'!$BW$5:$BW$484,'Motor Caixa'!$A$5:$A$484,"&lt;"&amp;MAX('Carta Contemplada'!$B$44,Premissas!$B$49))</x:f>
        <x:v>0</x:v>
      </x:c>
      <x:c r="C23" s="141" t="n">
        <x:f>0</x:f>
        <x:v>0</x:v>
      </x:c>
      <x:c r="D23" s="141" t="n">
        <x:f>B23-C23</x:f>
        <x:v>0</x:v>
      </x:c>
      <x:c r="E23" s="141" t="n">
        <x:f>1</x:f>
        <x:v>1</x:v>
      </x:c>
      <x:c r="F23" s="140" t="str">
        <x:f>IF(ABS(D23)&lt;=E23,"OK","Revisar")</x:f>
        <x:v>OK</x:v>
      </x:c>
      <x:c r="G23" s="145" t="str">
        <x:v>Receita da estrategia 5 so pode aparecer apos o maior entre uso do credito e disponibilidade.</x:v>
      </x:c>
    </x:row>
    <x:row r="24">
      <x:c r="A24" s="145" t="str">
        <x:v>Estrategias recebem renda no mes de acesso</x:v>
      </x:c>
      <x:c r="B24" s="141" t="n">
        <x:f>IF(AND(Premissas!$B$11="Imovel",Premissas!$B$47="Investimento"),MAX(ABS(INDEX('Motor Caixa'!$K$5:$K$484,MAX(Premissas!$B$48,Premissas!$B$49))-INDEX('Motor Caixa'!$E$5:$E$484,MAX(Premissas!$B$48,Premissas!$B$49))),ABS(INDEX('Motor Caixa'!$AA$5:$AA$484,MAX(Premissas!$B$48,Premissas!$B$49))-INDEX('Motor Caixa'!$E$5:$E$484,MAX(Premissas!$B$48,Premissas!$B$49))),ABS(INDEX('Motor Caixa'!$AQ$5:$AQ$484,MAX(Premissas!$B$48,Premissas!$B$49))-INDEX('Motor Caixa'!$E$5:$E$484,MAX(Premissas!$B$48,Premissas!$B$49))),ABS(INDEX('Motor Caixa'!$BG$5:$BG$484,MAX('Consorcio Direto'!$B$29,Premissas!$B$49))-INDEX('Motor Caixa'!$E$5:$E$484,MAX('Consorcio Direto'!$B$29,Premissas!$B$49))),ABS(INDEX('Motor Caixa'!$BW$5:$BW$484,MAX('Carta Contemplada'!$B$44,Premissas!$B$49))-INDEX('Motor Caixa'!$E$5:$E$484,MAX('Carta Contemplada'!$B$44,Premissas!$B$49)))),0)</x:f>
        <x:v>0</x:v>
      </x:c>
      <x:c r="C24" s="141" t="n">
        <x:f>0</x:f>
        <x:v>0</x:v>
      </x:c>
      <x:c r="D24" s="141" t="n">
        <x:f>B24-C24</x:f>
        <x:v>0</x:v>
      </x:c>
      <x:c r="E24" s="141" t="n">
        <x:f>1</x:f>
        <x:v>1</x:v>
      </x:c>
      <x:c r="F24" s="140" t="str">
        <x:f>IF(ABS(D24)&lt;=E24,"OK","Revisar")</x:f>
        <x:v>OK</x:v>
      </x:c>
      <x:c r="G24" s="145" t="str">
        <x:v>Em Investimento de Imovel, as cinco estrategias recebem a receita no mes habilitado.</x:v>
      </x:c>
    </x:row>
    <x:row r="25">
      <x:c r="A25" s="145" t="str">
        <x:v>VPL e Gap usam mesma base temporal</x:v>
      </x:c>
      <x:c r="B25" s="141" t="n">
        <x:f>MAX(IF(ISNUMBER(Resumo!$K$10),ABS(Resumo!$K$10*(1+Premissas!$B$41)^Premissas!$B$39-Resumo!$L$10),0),IF(ISNUMBER(Resumo!$K$11),ABS(Resumo!$K$11*(1+Premissas!$B$41)^Premissas!$B$39-Resumo!$L$11),0),IF(ISNUMBER(Resumo!$K$12),ABS(Resumo!$K$12*(1+Premissas!$B$41)^Premissas!$B$39-Resumo!$L$12),0),IF(ISNUMBER(Resumo!$K$13),ABS(Resumo!$K$13*(1+Premissas!$B$41)^Premissas!$B$39-Resumo!$L$13),0),IF(ISNUMBER(Resumo!$K$14),ABS(Resumo!$K$14*(1+Premissas!$B$41)^Premissas!$B$39-Resumo!$L$14),0))</x:f>
        <x:v>4.656612873077393e-10</x:v>
      </x:c>
      <x:c r="C25" s="141" t="n">
        <x:f>0</x:f>
        <x:v>0</x:v>
      </x:c>
      <x:c r="D25" s="141" t="n">
        <x:f>B25-C25</x:f>
        <x:v>4.656612873077393e-10</x:v>
      </x:c>
      <x:c r="E25" s="141" t="n">
        <x:f>1</x:f>
        <x:v>1</x:v>
      </x:c>
      <x:c r="F25" s="140" t="str">
        <x:f>IF(ABS(D25)&lt;=E25,"OK","Revisar")</x:f>
        <x:v>OK</x:v>
      </x:c>
      <x:c r="G25" s="145" t="str">
        <x:v>VPL deve ser o Gap VF descontado pela taxa de oportunidade.</x:v>
      </x:c>
    </x:row>
    <x:row r="26">
      <x:c r="A26" s="145" t="str">
        <x:v>Inflacao anual esperada nao negativa</x:v>
      </x:c>
      <x:c r="B26" s="183" t="n">
        <x:f>Premissas!$B$67</x:f>
        <x:v>0.06</x:v>
      </x:c>
      <x:c r="C26" s="183" t="n">
        <x:f>0</x:f>
        <x:v>0</x:v>
      </x:c>
      <x:c r="D26" s="183" t="n">
        <x:f>B26-C26</x:f>
        <x:v>0.06</x:v>
      </x:c>
      <x:c r="E26" s="183" t="n">
        <x:f>0</x:f>
        <x:v>0</x:v>
      </x:c>
      <x:c r="F26" s="140" t="str">
        <x:f>IF(B26&gt;=C26,"OK","Revisar")</x:f>
        <x:v>OK</x:v>
      </x:c>
      <x:c r="G26" s="145" t="str">
        <x:v>Inflacao usada apenas para apresentacao em R$ de hoje.</x:v>
      </x:c>
    </x:row>
    <x:row r="27">
      <x:c r="A27" s="145" t="str">
        <x:v>Fator inflacao acumulada &gt;= 1</x:v>
      </x:c>
      <x:c r="B27" s="180" t="n">
        <x:f>Premissas!$B$69</x:f>
        <x:v>7.6860867923123495</x:v>
      </x:c>
      <x:c r="C27" s="180" t="n">
        <x:f>1</x:f>
        <x:v>1</x:v>
      </x:c>
      <x:c r="D27" s="180" t="n">
        <x:f>B27-C27</x:f>
        <x:v>6.6860867923123495</x:v>
      </x:c>
      <x:c r="E27" s="180" t="n">
        <x:f>0</x:f>
        <x:v>0</x:v>
      </x:c>
      <x:c r="F27" s="140" t="str">
        <x:f>IF(B27&gt;=C27,"OK","Revisar")</x:f>
        <x:v>OK</x:v>
      </x:c>
      <x:c r="G27" s="145" t="str">
        <x:v>Com inflacao esperada nao negativa, o fator deve ser no minimo 1.</x:v>
      </x:c>
    </x:row>
    <x:row r="28">
      <x:c r="A28" s="145" t="str">
        <x:v>Patrimonio R$ hoje bate formula</x:v>
      </x:c>
      <x:c r="B28" s="141" t="n">
        <x:f>MAX(IF(ISNUMBER(Resumo!$J$10),ABS(Resumo!$J$10-Resumo!$I$10/Premissas!$B$69),0),IF(ISNUMBER(Resumo!$J$11),ABS(Resumo!$J$11-Resumo!$I$11/Premissas!$B$69),0),IF(ISNUMBER(Resumo!$J$12),ABS(Resumo!$J$12-Resumo!$I$12/Premissas!$B$69),0),IF(ISNUMBER(Resumo!$J$13),ABS(Resumo!$J$13-Resumo!$I$13/Premissas!$B$69),0),IF(ISNUMBER(Resumo!$J$14),ABS(Resumo!$J$14-Resumo!$I$14/Premissas!$B$69),0))</x:f>
        <x:v>0</x:v>
      </x:c>
      <x:c r="C28" s="141" t="n">
        <x:f>0</x:f>
        <x:v>0</x:v>
      </x:c>
      <x:c r="D28" s="141" t="n">
        <x:f>B28-C28</x:f>
        <x:v>0</x:v>
      </x:c>
      <x:c r="E28" s="141" t="n">
        <x:f>1</x:f>
        <x:v>1</x:v>
      </x:c>
      <x:c r="F28" s="140" t="str">
        <x:f>IF(ABS(D28)&lt;=E28,"OK","Revisar")</x:f>
        <x:v>OK</x:v>
      </x:c>
      <x:c r="G28" s="145" t="str">
        <x:v>Patrimonio em R$ de hoje = patrimonio nominal / fator de inflacao, apenas se executavel.</x:v>
      </x:c>
    </x:row>
    <x:row r="29">
      <x:c r="A29" s="145" t="str">
        <x:v>Varreduras de build sem bloqueio</x:v>
      </x:c>
      <x:c r="B29" s="140" t="str">
        <x:f>"Executado"</x:f>
        <x:v>Executado</x:v>
      </x:c>
      <x:c r="C29" s="140" t="str">
        <x:f>"Sem erros bloqueantes"</x:f>
        <x:v>Sem erros bloqueantes</x:v>
      </x:c>
      <x:c r="D29" s="140" t="n">
        <x:f>IF(B29="Executado",0,1)</x:f>
        <x:v>0</x:v>
      </x:c>
      <x:c r="E29" s="140" t="n">
        <x:f>0</x:f>
        <x:v>0</x:v>
      </x:c>
      <x:c r="F29" s="140" t="str">
        <x:f>IF(D29=E29,"OK","Revisar")</x:f>
        <x:v>OK</x:v>
      </x:c>
      <x:c r="G29" s="145" t="str">
        <x:v>O script executa busca de erros Excel, referencias antigas, retorno interno e inflacao indevida antes de salvar.</x:v>
      </x:c>
    </x:row>
    <x:row r="30">
      <x:c r="A30" s="145" t="str">
        <x:v>Status geral</x:v>
      </x:c>
      <x:c r="B30" s="140"/>
      <x:c r="C30" s="140"/>
      <x:c r="D30" s="140"/>
      <x:c r="E30" s="140"/>
      <x:c r="F30" s="140" t="str">
        <x:f>IF(COUNTIF(F5:F29,"Revisar")+COUNTIF(F32:F44,"Revisar")+COUNTIF(F47:F60,"Revisar")=0,"OK","Revisar")</x:f>
        <x:v>OK</x:v>
      </x:c>
      <x:c r="G30" s="145" t="str">
        <x:v>Consolida os checks acima.</x:v>
      </x:c>
    </x:row>
    <x:row r="31">
      <x:c r="A31" s="187" t="str">
        <x:v>Checks adicionais de amortizacao por caixa livre</x:v>
      </x:c>
      <x:c r="B31" s="188" t="str"/>
      <x:c r="C31" s="188" t="str"/>
      <x:c r="D31" s="188" t="str"/>
      <x:c r="E31" s="188" t="str"/>
      <x:c r="F31" s="188" t="str"/>
      <x:c r="G31" s="187" t="str"/>
    </x:row>
    <x:row r="32">
      <x:c r="A32" s="145" t="str">
        <x:v>Amortizacao extra = menor entre sobra de caixa e saldo amortizavel</x:v>
      </x:c>
      <x:c r="B32" s="141" t="n">
        <x:f>MAX(MAX(Amortizacao!$Q$6:$Q$485),-MIN(Amortizacao!$Q$6:$Q$485))</x:f>
        <x:v>0</x:v>
      </x:c>
      <x:c r="C32" s="141" t="n">
        <x:f>0</x:f>
        <x:v>0</x:v>
      </x:c>
      <x:c r="D32" s="141" t="n">
        <x:f>B32-C32</x:f>
        <x:v>0</x:v>
      </x:c>
      <x:c r="E32" s="141" t="n">
        <x:f>1</x:f>
        <x:v>1</x:v>
      </x:c>
      <x:c r="F32" s="140" t="str">
        <x:f>IF(ABS(D32)&lt;=E32,"OK","Revisar")</x:f>
        <x:v>OK</x:v>
      </x:c>
      <x:c r="G32" s="145" t="str">
        <x:v>Valida J = MIN(sobra mensal, saldo apos amortizacao ordinaria).</x:v>
      </x:c>
    </x:row>
    <x:row r="33">
      <x:c r="A33" s="145" t="str">
        <x:v>Sobra para amortizar nunca negativa</x:v>
      </x:c>
      <x:c r="B33" s="141" t="n">
        <x:f>MIN(Amortizacao!$P$6:$P$485)</x:f>
        <x:v>0</x:v>
      </x:c>
      <x:c r="C33" s="141" t="n">
        <x:f>0</x:f>
        <x:v>0</x:v>
      </x:c>
      <x:c r="D33" s="141" t="n">
        <x:f>B33-C33</x:f>
        <x:v>0</x:v>
      </x:c>
      <x:c r="E33" s="141" t="n">
        <x:f>0</x:f>
        <x:v>0</x:v>
      </x:c>
      <x:c r="F33" s="140" t="str">
        <x:f>IF(B33&gt;=C33,"OK","Revisar")</x:f>
        <x:v>OK</x:v>
      </x:c>
      <x:c r="G33" s="145" t="str">
        <x:v>Sobra = MAX(0, caixa livre - prestacao ordinaria do mes).</x:v>
      </x:c>
    </x:row>
    <x:row r="34">
      <x:c r="A34" s="145" t="str">
        <x:v>Caixa livre do cenario 2 vem de Premissas!B42</x:v>
      </x:c>
      <x:c r="B34" s="141" t="n">
        <x:f>Premissas!$B$35</x:f>
        <x:v>7000</x:v>
      </x:c>
      <x:c r="C34" s="141" t="n">
        <x:f>Premissas!$B$42</x:f>
        <x:v>7000</x:v>
      </x:c>
      <x:c r="D34" s="141" t="n">
        <x:f>B34-C34</x:f>
        <x:v>0</x:v>
      </x:c>
      <x:c r="E34" s="141" t="n">
        <x:f>1</x:f>
        <x:v>1</x:v>
      </x:c>
      <x:c r="F34" s="140" t="str">
        <x:f>IF(ABS(D34)&lt;=E34,"OK","Revisar")</x:f>
        <x:v>OK</x:v>
      </x:c>
      <x:c r="G34" s="145" t="str">
        <x:v>Extra nao usa consorcio; usa o caixa livre mensal comum.</x:v>
      </x:c>
    </x:row>
    <x:row r="35">
      <x:c r="A35" s="145"/>
      <x:c r="B35" s="140"/>
      <x:c r="C35" s="140"/>
      <x:c r="D35" s="140"/>
      <x:c r="E35" s="140"/>
      <x:c r="F35" s="140"/>
      <x:c r="G35" s="145"/>
    </x:row>
    <x:row r="36">
      <x:c r="A36" s="187" t="str">
        <x:v>Checks da carta contemplada</x:v>
      </x:c>
      <x:c r="B36" s="188" t="str"/>
      <x:c r="C36" s="188" t="str"/>
      <x:c r="D36" s="188" t="str"/>
      <x:c r="E36" s="188" t="str"/>
      <x:c r="F36" s="188" t="str"/>
      <x:c r="G36" s="187" t="str"/>
    </x:row>
    <x:row r="37">
      <x:c r="A37" s="145" t="str">
        <x:v>Carta: credito liquido + complemento cobre bem</x:v>
      </x:c>
      <x:c r="B37" s="141" t="n">
        <x:f>'Carta Contemplada'!$B$27+'Carta Contemplada'!$B$35</x:f>
        <x:v>200000</x:v>
      </x:c>
      <x:c r="C37" s="141" t="n">
        <x:f>'Carta Contemplada'!$B$4</x:f>
        <x:v>200000</x:v>
      </x:c>
      <x:c r="D37" s="141" t="n">
        <x:f>B37-C37</x:f>
        <x:v>0</x:v>
      </x:c>
      <x:c r="E37" s="141" t="n">
        <x:f>1</x:f>
        <x:v>1</x:v>
      </x:c>
      <x:c r="F37" s="140" t="str">
        <x:f>IF(B37+E37&gt;=C37,"OK","Revisar")</x:f>
        <x:v>OK</x:v>
      </x:c>
      <x:c r="G37" s="145" t="str">
        <x:v>Credito liquido utilizavel mais complemento deve cobrir o valor do bem.</x:v>
      </x:c>
    </x:row>
    <x:row r="38">
      <x:c r="A38" s="145" t="str">
        <x:v>Carta: custo inicial entra no mes correto</x:v>
      </x:c>
      <x:c r="B38" s="141" t="n">
        <x:f>INDEX('Carta Contemplada'!$E$55:$E$1013,'Carta Contemplada'!$B$23)</x:f>
        <x:v>47000</x:v>
      </x:c>
      <x:c r="C38" s="141" t="n">
        <x:f>'Carta Contemplada'!$B$37</x:f>
        <x:v>47000</x:v>
      </x:c>
      <x:c r="D38" s="141" t="n">
        <x:f>B38-C38</x:f>
        <x:v>0</x:v>
      </x:c>
      <x:c r="E38" s="141" t="n">
        <x:f>1</x:f>
        <x:v>1</x:v>
      </x:c>
      <x:c r="F38" s="140" t="str">
        <x:f>IF(ABS(D38)&lt;=E38,"OK","Revisar")</x:f>
        <x:v>OK</x:v>
      </x:c>
      <x:c r="G38" s="145" t="str">
        <x:v>Preco da carta, transferencia e complemento entram no mes de compra.</x:v>
      </x:c>
    </x:row>
    <x:row r="39">
      <x:c r="A39" s="145" t="str">
        <x:v>Carta: quantidade de parcelas restantes</x:v>
      </x:c>
      <x:c r="B39" s="141" t="n">
        <x:f>COUNTIF('Carta Contemplada'!$C$55:$C$1013,"&gt;0")</x:f>
        <x:v>180</x:v>
      </x:c>
      <x:c r="C39" s="141" t="n">
        <x:f>'Carta Contemplada'!$B$31</x:f>
        <x:v>180</x:v>
      </x:c>
      <x:c r="D39" s="141" t="n">
        <x:f>B39-C39</x:f>
        <x:v>0</x:v>
      </x:c>
      <x:c r="E39" s="141" t="n">
        <x:f>0</x:f>
        <x:v>0</x:v>
      </x:c>
      <x:c r="F39" s="140" t="str">
        <x:f>IF(B39=C39,"OK","Revisar")</x:f>
        <x:v>OK</x:v>
      </x:c>
      <x:c r="G39" s="145" t="str">
        <x:v>A soma de meses com parcela deve respeitar a quantidade informada.</x:v>
      </x:c>
    </x:row>
    <x:row r="40">
      <x:c r="A40" s="145" t="str">
        <x:v>Carta: credito excedente nunca vira caixa</x:v>
      </x:c>
      <x:c r="B40" s="141" t="n">
        <x:f>'Carta Contemplada'!$B$36</x:f>
        <x:v>0</x:v>
      </x:c>
      <x:c r="C40" s="141" t="n">
        <x:f>0</x:f>
        <x:v>0</x:v>
      </x:c>
      <x:c r="D40" s="141" t="n">
        <x:f>B40-C40</x:f>
        <x:v>0</x:v>
      </x:c>
      <x:c r="E40" s="141" t="n">
        <x:f>1</x:f>
        <x:v>1</x:v>
      </x:c>
      <x:c r="F40" s="140" t="str">
        <x:f>IF(ABS(D40)&lt;=E40,"OK","Revisar")</x:f>
        <x:v>OK</x:v>
      </x:c>
      <x:c r="G40" s="145" t="str">
        <x:v>O excedente e desconsiderado e nao reduz desembolso nem vira investimento.</x:v>
      </x:c>
    </x:row>
    <x:row r="41">
      <x:c r="A41" s="145" t="str">
        <x:v>Carta: obrigacao remanescente bate resumo</x:v>
      </x:c>
      <x:c r="B41" s="141" t="n">
        <x:f>Resumo!$N$14</x:f>
        <x:v>0</x:v>
      </x:c>
      <x:c r="C41" s="141" t="n">
        <x:f>'Carta Contemplada'!$B$40</x:f>
        <x:v>0</x:v>
      </x:c>
      <x:c r="D41" s="141" t="n">
        <x:f>B41-C41</x:f>
        <x:v>0</x:v>
      </x:c>
      <x:c r="E41" s="141" t="n">
        <x:f>1</x:f>
        <x:v>1</x:v>
      </x:c>
      <x:c r="F41" s="140" t="str">
        <x:f>IF(ABS(D41)&lt;=E41,"OK","Revisar")</x:f>
        <x:v>OK</x:v>
      </x:c>
      <x:c r="G41" s="145" t="str">
        <x:v>Saldo devedor da estrategia 5 no resumo deve bater com a obrigacao remanescente da carta.</x:v>
      </x:c>
    </x:row>
    <x:row r="42">
      <x:c r="A42" s="145" t="str">
        <x:v>Carta: VP parcelas restantes visivel</x:v>
      </x:c>
      <x:c r="B42" s="141" t="n">
        <x:f>'Carta Contemplada'!$B$38</x:f>
        <x:v>142186.5433281194</x:v>
      </x:c>
      <x:c r="C42" s="141" t="n">
        <x:f>0</x:f>
        <x:v>0</x:v>
      </x:c>
      <x:c r="D42" s="141" t="n">
        <x:f>B42-C42</x:f>
        <x:v>142186.5433281194</x:v>
      </x:c>
      <x:c r="E42" s="141" t="n">
        <x:f>0</x:f>
        <x:v>0</x:v>
      </x:c>
      <x:c r="F42" s="140" t="str">
        <x:f>IF(B42&gt;=C42,"OK","Revisar")</x:f>
        <x:v>OK</x:v>
      </x:c>
      <x:c r="G42" s="145" t="str">
        <x:v>VP das parcelas restantes deve ficar visivel para auditoria.</x:v>
      </x:c>
    </x:row>
    <x:row r="43">
      <x:c r="A43" s="145" t="str">
        <x:v>Carta: credito liquido nao negativo</x:v>
      </x:c>
      <x:c r="B43" s="141" t="n">
        <x:f>'Carta Contemplada'!$B$27</x:f>
        <x:v>200000</x:v>
      </x:c>
      <x:c r="C43" s="141" t="n">
        <x:f>0</x:f>
        <x:v>0</x:v>
      </x:c>
      <x:c r="D43" s="141" t="n">
        <x:f>B43-C43</x:f>
        <x:v>200000</x:v>
      </x:c>
      <x:c r="E43" s="141" t="n">
        <x:f>0</x:f>
        <x:v>0</x:v>
      </x:c>
      <x:c r="F43" s="140" t="str">
        <x:f>IF(B43&gt;=C43,"OK","Revisar")</x:f>
        <x:v>OK</x:v>
      </x:c>
      <x:c r="G43" s="145" t="str">
        <x:v>Restricoes nao podem tornar o credito liquido negativo.</x:v>
      </x:c>
    </x:row>
    <x:row r="44">
      <x:c r="A44" s="145" t="str">
        <x:v>Carta: compra ativada ou desativada por lista</x:v>
      </x:c>
      <x:c r="B44" s="140" t="str">
        <x:f>'Carta Contemplada'!$B$22</x:f>
        <x:v>Sim</x:v>
      </x:c>
      <x:c r="C44" s="140" t="str">
        <x:f>"Sim/Nao"</x:f>
        <x:v>Sim/Nao</x:v>
      </x:c>
      <x:c r="D44" s="140" t="n">
        <x:f>IF(OR(B44="Sim",B44="Nao"),0,1)</x:f>
        <x:v>0</x:v>
      </x:c>
      <x:c r="E44" s="140" t="n">
        <x:f>0</x:f>
        <x:v>0</x:v>
      </x:c>
      <x:c r="F44" s="140" t="str">
        <x:f>IF(D44=E44,"OK","Revisar")</x:f>
        <x:v>OK</x:v>
      </x:c>
      <x:c r="G44" s="145" t="str">
        <x:v>Campo deve ser Sim ou Nao.</x:v>
      </x:c>
    </x:row>
    <x:row r="45">
      <x:c r="A45" s="145"/>
      <x:c r="B45" s="140"/>
      <x:c r="C45" s="140"/>
      <x:c r="D45" s="140"/>
      <x:c r="E45" s="140"/>
      <x:c r="F45" s="140"/>
      <x:c r="G45" s="145"/>
    </x:row>
    <x:row r="46">
      <x:c r="A46" s="187" t="str">
        <x:v>Checks de posicao liquida dos consorcios e preco</x:v>
      </x:c>
      <x:c r="B46" s="188" t="str"/>
      <x:c r="C46" s="188" t="str"/>
      <x:c r="D46" s="188" t="str"/>
      <x:c r="E46" s="188" t="str"/>
      <x:c r="F46" s="188" t="str"/>
      <x:c r="G46" s="187" t="str"/>
    </x:row>
    <x:row r="47">
      <x:c r="A47" s="145" t="str">
        <x:v>IQ antes da contemplacao: direito e obrigacao explicitos</x:v>
      </x:c>
      <x:c r="B47" s="141" t="n">
        <x:f>MIN(INDEX('Consorcio IQ'!$N$6:$N$485,MAX(1,Premissas!$B$27-1)),INDEX('Consorcio IQ'!$O$6:$O$485,MAX(1,Premissas!$B$27-1)))</x:f>
        <x:v>90318.94342708873</x:v>
      </x:c>
      <x:c r="C47" s="141" t="n">
        <x:f>0</x:f>
        <x:v>0</x:v>
      </x:c>
      <x:c r="D47" s="141" t="n">
        <x:f>B47-C47</x:f>
        <x:v>90318.94342708873</x:v>
      </x:c>
      <x:c r="E47" s="141" t="n">
        <x:f>0</x:f>
        <x:v>0</x:v>
      </x:c>
      <x:c r="F47" s="140" t="str">
        <x:f>IF(B47&gt;0,"OK","Revisar")</x:f>
        <x:v>OK</x:v>
      </x:c>
      <x:c r="G47" s="145" t="str">
        <x:v>No mes anterior a contemplacao, o direito economico e o VP das parcelas futuras devem ser positivos.</x:v>
      </x:c>
    </x:row>
    <x:row r="48">
      <x:c r="A48" s="145" t="str">
        <x:v>IQ na contemplacao: divida total nao e zerada</x:v>
      </x:c>
      <x:c r="B48" s="141" t="n">
        <x:f>INDEX('Consorcio IQ'!$P$6:$P$485,Premissas!$B$27)</x:f>
        <x:v>90455.7611793387</x:v>
      </x:c>
      <x:c r="C48" s="141" t="n">
        <x:f>INDEX('Consorcio IQ'!$N$6:$N$485,Premissas!$B$27)+MAX(0,INDEX('Consorcio IQ'!$H$6:$H$485,Premissas!$B$27)-INDEX('Consorcio IQ'!$I$6:$I$485,Premissas!$B$27))</x:f>
        <x:v>90455.7611793387</x:v>
      </x:c>
      <x:c r="D48" s="141" t="n">
        <x:f>B48-C48</x:f>
        <x:v>0</x:v>
      </x:c>
      <x:c r="E48" s="141" t="n">
        <x:f>1</x:f>
        <x:v>1</x:v>
      </x:c>
      <x:c r="F48" s="140" t="str">
        <x:f>IF(AND(ABS(D48)&lt;=E48,OR(Premissas!$B$27&gt;=Premissas!$B$25,B48&gt;0)),"OK","Revisar")</x:f>
        <x:v>OK</x:v>
      </x:c>
      <x:c r="G48" s="145" t="str">
        <x:v>A divida total inclui saldo residual do financiamento e VP das parcelas futuras do grupo.</x:v>
      </x:c>
    </x:row>
    <x:row r="49">
      <x:c r="A49" s="145" t="str">
        <x:v>IQ apos contemplacao: divida bate obrigacao</x:v>
      </x:c>
      <x:c r="B49" s="141" t="n">
        <x:f>INDEX('Consorcio IQ'!$P$6:$P$485,MIN(Premissas!$B$25-1,Premissas!$B$27+1))</x:f>
        <x:v>90550.66516690954</x:v>
      </x:c>
      <x:c r="C49" s="141" t="n">
        <x:f>INDEX('Consorcio IQ'!$N$6:$N$485,MIN(Premissas!$B$25-1,Premissas!$B$27+1))</x:f>
        <x:v>90550.66516690954</x:v>
      </x:c>
      <x:c r="D49" s="141" t="n">
        <x:f>B49-C49</x:f>
        <x:v>0</x:v>
      </x:c>
      <x:c r="E49" s="141" t="n">
        <x:f>1</x:f>
        <x:v>1</x:v>
      </x:c>
      <x:c r="F49" s="140" t="str">
        <x:f>IF(ABS(D49)&lt;=E49,"OK","Revisar")</x:f>
        <x:v>OK</x:v>
      </x:c>
      <x:c r="G49" s="145" t="str">
        <x:v>Depois do uso do credito e antes do fim do grupo, a divida deve continuar igual ao VP das parcelas futuras.</x:v>
      </x:c>
    </x:row>
    <x:row r="50">
      <x:c r="A50" s="145" t="str">
        <x:v>Direto antes da contemplacao: direito e obrigacao explicitos</x:v>
      </x:c>
      <x:c r="B50" s="141" t="n">
        <x:f>MIN(INDEX('Consorcio Direto'!$K$55:$K$534,MAX(1,'Consorcio Direto'!$B$29-1)),INDEX('Consorcio Direto'!$L$55:$L$534,MAX(1,'Consorcio Direto'!$B$29-1)))</x:f>
        <x:v>233880.97299643554</x:v>
      </x:c>
      <x:c r="C50" s="141" t="n">
        <x:f>0</x:f>
        <x:v>0</x:v>
      </x:c>
      <x:c r="D50" s="141" t="n">
        <x:f>B50-C50</x:f>
        <x:v>233880.97299643554</x:v>
      </x:c>
      <x:c r="E50" s="141" t="n">
        <x:f>0</x:f>
        <x:v>0</x:v>
      </x:c>
      <x:c r="F50" s="140" t="str">
        <x:f>IF(B50&gt;0,"OK","Revisar")</x:f>
        <x:v>OK</x:v>
      </x:c>
      <x:c r="G50" s="145" t="str">
        <x:v>A cota direta reconhece direito economico descontado e obrigacao em VP antes da contemplacao.</x:v>
      </x:c>
    </x:row>
    <x:row r="51">
      <x:c r="A51" s="145" t="str">
        <x:v>Direto na contemplacao: obrigacao permanece</x:v>
      </x:c>
      <x:c r="B51" s="141" t="n">
        <x:f>INDEX('Consorcio Direto'!$K$55:$K$534,'Consorcio Direto'!$B$29)</x:f>
        <x:v>234235.26267039787</x:v>
      </x:c>
      <x:c r="C51" s="141" t="n">
        <x:f>0</x:f>
        <x:v>0</x:v>
      </x:c>
      <x:c r="D51" s="141" t="n">
        <x:f>B51-C51</x:f>
        <x:v>234235.26267039787</x:v>
      </x:c>
      <x:c r="E51" s="141" t="n">
        <x:f>0</x:f>
        <x:v>0</x:v>
      </x:c>
      <x:c r="F51" s="140" t="str">
        <x:f>IF(OR('Consorcio Direto'!$B$29&gt;='Consorcio Direto'!$B$27,B51&gt;0),"OK","Revisar")</x:f>
        <x:v>OK</x:v>
      </x:c>
      <x:c r="G51" s="145" t="str">
        <x:v>No mes de contemplacao, o bem substitui o direito, mas as parcelas futuras permanecem como divida.</x:v>
      </x:c>
    </x:row>
    <x:row r="52">
      <x:c r="A52" s="145" t="str">
        <x:v>Consorcios antes do fim do grupo mantem obrigacao</x:v>
      </x:c>
      <x:c r="B52" s="141" t="n">
        <x:f>MIN(INDEX('Consorcio IQ'!$N$6:$N$485,Premissas!$B$25-1),INDEX('Consorcio Direto'!$K$55:$K$534,'Consorcio Direto'!$B$27-1))</x:f>
        <x:v>1709.7774861402047</x:v>
      </x:c>
      <x:c r="C52" s="141" t="n">
        <x:f>0</x:f>
        <x:v>0</x:v>
      </x:c>
      <x:c r="D52" s="141" t="n">
        <x:f>B52-C52</x:f>
        <x:v>1709.7774861402047</x:v>
      </x:c>
      <x:c r="E52" s="141" t="n">
        <x:f>0</x:f>
        <x:v>0</x:v>
      </x:c>
      <x:c r="F52" s="140" t="str">
        <x:f>IF(B52&gt;0,"OK","Revisar")</x:f>
        <x:v>OK</x:v>
      </x:c>
      <x:c r="G52" s="145" t="str">
        <x:v>No penultimo mes do grupo, ainda existe a ultima parcela futura em valor presente.</x:v>
      </x:c>
    </x:row>
    <x:row r="53">
      <x:c r="A53" s="145" t="str">
        <x:v>Consorcios zeram obrigacao no fim do grupo</x:v>
      </x:c>
      <x:c r="B53" s="141" t="n">
        <x:f>MAX(INDEX('Consorcio IQ'!$N$6:$N$485,Premissas!$B$25),INDEX('Consorcio Direto'!$K$55:$K$534,'Consorcio Direto'!$B$27))</x:f>
        <x:v>0</x:v>
      </x:c>
      <x:c r="C53" s="141" t="n">
        <x:f>0</x:f>
        <x:v>0</x:v>
      </x:c>
      <x:c r="D53" s="141" t="n">
        <x:f>B53-C53</x:f>
        <x:v>0</x:v>
      </x:c>
      <x:c r="E53" s="141" t="n">
        <x:f>1</x:f>
        <x:v>1</x:v>
      </x:c>
      <x:c r="F53" s="140" t="str">
        <x:f>IF(ABS(D53)&lt;=E53,"OK","Revisar")</x:f>
        <x:v>OK</x:v>
      </x:c>
      <x:c r="G53" s="145" t="str">
        <x:v>Depois da ultima parcela do grupo, a obrigacao remanescente deve ser zero.</x:v>
      </x:c>
    </x:row>
    <x:row r="54">
      <x:c r="A54" s="145" t="str">
        <x:v>Precos seguem regra atual/futuro</x:v>
      </x:c>
      <x:c r="B54" s="141" t="n">
        <x:f>MAX(ABS(Premissas!$B$79-Premissas!$B$6),ABS('Consorcio Direto'!$B$4-MAX(0,Premissas!$B$6*(1+Premissas!$B$66)^(('Consorcio Direto'!$B$29-1)/12))),ABS('Carta Contemplada'!$B$4-MAX(0,Premissas!$B$6*(1+Premissas!$B$66)^(('Carta Contemplada'!$B$44-1)/12))))</x:f>
        <x:v>0</x:v>
      </x:c>
      <x:c r="C54" s="141" t="n">
        <x:f>0</x:f>
        <x:v>0</x:v>
      </x:c>
      <x:c r="D54" s="141" t="n">
        <x:f>B54-C54</x:f>
        <x:v>0</x:v>
      </x:c>
      <x:c r="E54" s="141" t="n">
        <x:f>1</x:f>
        <x:v>1</x:v>
      </x:c>
      <x:c r="F54" s="140" t="str">
        <x:f>IF(ABS(D54)&lt;=E54,"OK","Revisar")</x:f>
        <x:v>OK</x:v>
      </x:c>
      <x:c r="G54" s="145" t="str">
        <x:v>Financiamento usa o valor atual; consorcio direto e carta usam o preco futuro no mes de aquisicao.</x:v>
      </x:c>
    </x:row>
    <x:row r="55">
      <x:c r="A55" s="145" t="str">
        <x:v>Tipo do bem seleciona taxa correta</x:v>
      </x:c>
      <x:c r="B55" s="141" t="n">
        <x:f>ABS(Premissas!$B$66-IF(Premissas!$B$11="Veiculo",Premissas!$B$92,Premissas!$B$91))</x:f>
        <x:v>0</x:v>
      </x:c>
      <x:c r="C55" s="141" t="n">
        <x:f>0</x:f>
        <x:v>0</x:v>
      </x:c>
      <x:c r="D55" s="141" t="n">
        <x:f>B55-C55</x:f>
        <x:v>0</x:v>
      </x:c>
      <x:c r="E55" s="141" t="n">
        <x:f>1</x:f>
        <x:v>1</x:v>
      </x:c>
      <x:c r="F55" s="140" t="str">
        <x:f>IF(ABS(D55)&lt;=E55,"OK","Revisar")</x:f>
        <x:v>OK</x:v>
      </x:c>
      <x:c r="G55" s="145" t="str">
        <x:v>A taxa anual aplicada deve vir do bloco correto do tipo do bem.</x:v>
      </x:c>
    </x:row>
    <x:row r="56">
      <x:c r="A56" s="145" t="str">
        <x:v>Veiculo nao gera aluguel ou renda</x:v>
      </x:c>
      <x:c r="B56" s="141" t="n">
        <x:f>IF(Premissas!$B$11="Veiculo",SUM('Motor Caixa'!$J$5:$J$484,'Motor Caixa'!$Z$5:$Z$484,'Motor Caixa'!$AP$5:$AP$484,'Motor Caixa'!$BF$5:$BF$484,'Motor Caixa'!$BV$5:$BV$484)+SUM('Motor Caixa'!$K$5:$K$484,'Motor Caixa'!$AA$5:$AA$484,'Motor Caixa'!$AQ$5:$AQ$484,'Motor Caixa'!$BG$5:$BG$484,'Motor Caixa'!$BW$5:$BW$484),0)</x:f>
        <x:v>0</x:v>
      </x:c>
      <x:c r="C56" s="141" t="n">
        <x:f>0</x:f>
        <x:v>0</x:v>
      </x:c>
      <x:c r="D56" s="141" t="n">
        <x:f>B56-C56</x:f>
        <x:v>0</x:v>
      </x:c>
      <x:c r="E56" s="141" t="n">
        <x:f>1</x:f>
        <x:v>1</x:v>
      </x:c>
      <x:c r="F56" s="140" t="str">
        <x:f>IF(ABS(D56)&lt;=E56,"OK","Revisar")</x:f>
        <x:v>OK</x:v>
      </x:c>
      <x:c r="G56" s="145" t="str">
        <x:v>Para Veiculo, aluguel pago e receita devem permanecer zerados em todas as estrategias.</x:v>
      </x:c>
    </x:row>
    <x:row r="57">
      <x:c r="A57" s="145" t="str">
        <x:v>Lance fixo e livre sao exclusivos</x:v>
      </x:c>
      <x:c r="B57" s="140" t="n">
        <x:f>IF(AND('Consorcio Direto'!$B$33="Sim",'Consorcio Direto'!$B$35="Sim"),1,0)</x:f>
        <x:v>0</x:v>
      </x:c>
      <x:c r="C57" s="140" t="n">
        <x:f>0</x:f>
        <x:v>0</x:v>
      </x:c>
      <x:c r="D57" s="140" t="n">
        <x:f>B57-C57</x:f>
        <x:v>0</x:v>
      </x:c>
      <x:c r="E57" s="140" t="n">
        <x:f>0</x:f>
        <x:v>0</x:v>
      </x:c>
      <x:c r="F57" s="140" t="str">
        <x:f>IF(D57=E57,"OK","Revisar")</x:f>
        <x:v>OK</x:v>
      </x:c>
      <x:c r="G57" s="145" t="str">
        <x:v>As duas modalidades de lance total nao podem estar ativas simultaneamente.</x:v>
      </x:c>
    </x:row>
    <x:row r="58">
      <x:c r="A58" s="145" t="str">
        <x:v>Lance embutido exige lance total</x:v>
      </x:c>
      <x:c r="B58" s="140" t="n">
        <x:f>IF(AND('Consorcio Direto'!$B$31="Sim",'Consorcio Direto'!$B$38=0),1,0)</x:f>
        <x:v>0</x:v>
      </x:c>
      <x:c r="C58" s="140" t="n">
        <x:f>0</x:f>
        <x:v>0</x:v>
      </x:c>
      <x:c r="D58" s="140" t="n">
        <x:f>B58-C58</x:f>
        <x:v>0</x:v>
      </x:c>
      <x:c r="E58" s="140" t="n">
        <x:f>0</x:f>
        <x:v>0</x:v>
      </x:c>
      <x:c r="F58" s="140" t="str">
        <x:f>IF(D58=E58,"OK","Revisar")</x:f>
        <x:v>OK</x:v>
      </x:c>
      <x:c r="G58" s="145" t="str">
        <x:v>O embutido nao pode existir sem lance fixo ou livre.</x:v>
      </x:c>
    </x:row>
    <x:row r="59">
      <x:c r="A59" s="145" t="str">
        <x:v>Lance embutido nao supera total</x:v>
      </x:c>
      <x:c r="B59" s="183" t="n">
        <x:f>MAX(0,'Consorcio Direto'!$B$37-'Consorcio Direto'!$B$38)</x:f>
        <x:v>0</x:v>
      </x:c>
      <x:c r="C59" s="183" t="n">
        <x:f>0</x:f>
        <x:v>0</x:v>
      </x:c>
      <x:c r="D59" s="183" t="n">
        <x:f>B59-C59</x:f>
        <x:v>0</x:v>
      </x:c>
      <x:c r="E59" s="183" t="n">
        <x:f>0.000001</x:f>
        <x:v>0.000001</x:v>
      </x:c>
      <x:c r="F59" s="140" t="str">
        <x:f>IF(ABS(D59)&lt;=E59,"OK","Revisar")</x:f>
        <x:v>OK</x:v>
      </x:c>
      <x:c r="G59" s="145" t="str">
        <x:v>O percentual embutido efetivo deve ser menor ou igual ao lance total.</x:v>
      </x:c>
    </x:row>
    <x:row r="60">
      <x:c r="A60" s="145" t="str">
        <x:v>Carta nao libera credito excedente</x:v>
      </x:c>
      <x:c r="B60" s="141" t="n">
        <x:f>'Carta Contemplada'!$B$36</x:f>
        <x:v>0</x:v>
      </x:c>
      <x:c r="C60" s="141" t="n">
        <x:f>0</x:f>
        <x:v>0</x:v>
      </x:c>
      <x:c r="D60" s="141" t="n">
        <x:f>B60-C60</x:f>
        <x:v>0</x:v>
      </x:c>
      <x:c r="E60" s="141" t="n">
        <x:f>1</x:f>
        <x:v>1</x:v>
      </x:c>
      <x:c r="F60" s="140" t="str">
        <x:f>IF(ABS(D60)&lt;=E60,"OK","Revisar")</x:f>
        <x:v>OK</x:v>
      </x:c>
      <x:c r="G60" s="145" t="str">
        <x:v>Credito excedente deve permanecer fora do caixa e do patrimonio financeiro.</x:v>
      </x:c>
    </x:row>
  </x:sheetData>
  <x:mergeCells>
    <x:mergeCell ref="A1:G1"/>
    <x:mergeCell ref="A31:G31"/>
    <x:mergeCell ref="A36:G36"/>
    <x:mergeCell ref="A46:G4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8.75" hidden="0" customWidth="1"/>
    <x:col min="3" max="3" width="13.75" hidden="0" customWidth="1"/>
    <x:col min="4" max="4" width="32.5" hidden="0" customWidth="1"/>
    <x:col min="5" max="5" width="53.75" hidden="0" customWidth="1"/>
  </x:cols>
  <x:sheetData>
    <x:row r="1" ht="25.5" customHeight="1">
      <x:c r="A1" s="189" t="str">
        <x:v>Fontes e trilha de auditoria</x:v>
      </x:c>
      <x:c r="B1" s="190" t="str">
        <x:v>Fontes e trilha de auditoria</x:v>
      </x:c>
      <x:c r="C1" s="190" t="str">
        <x:v>Fontes e trilha de auditoria</x:v>
      </x:c>
      <x:c r="D1" s="190" t="str">
        <x:v>Fontes e trilha de auditoria</x:v>
      </x:c>
      <x:c r="E1" s="191" t="str">
        <x:v>Fontes e trilha de auditoria</x:v>
      </x:c>
    </x:row>
    <x:row r="2">
      <x:c r="A2" s="130"/>
      <x:c r="B2" s="130"/>
      <x:c r="C2" s="130"/>
      <x:c r="D2" s="130"/>
      <x:c r="E2" s="130"/>
    </x:row>
    <x:row r="3">
      <x:c r="A3" s="130"/>
      <x:c r="B3" s="130"/>
      <x:c r="C3" s="130"/>
      <x:c r="D3" s="130"/>
      <x:c r="E3" s="130"/>
    </x:row>
    <x:row r="4" ht="25.5" customHeight="1">
      <x:c r="A4" s="192" t="str">
        <x:v>Item</x:v>
      </x:c>
      <x:c r="B4" s="192" t="str">
        <x:v>Valor</x:v>
      </x:c>
      <x:c r="C4" s="192" t="str">
        <x:v>Unidade</x:v>
      </x:c>
      <x:c r="D4" s="192" t="str">
        <x:v>Fonte</x:v>
      </x:c>
      <x:c r="E4" s="192" t="str">
        <x:v>Observacoes</x:v>
      </x:c>
    </x:row>
    <x:row r="5">
      <x:c r="A5" s="140" t="str">
        <x:v>Valor de venda do bem atual</x:v>
      </x:c>
      <x:c r="B5" s="141" t="n">
        <x:f>Premissas!$B$5</x:f>
        <x:v>0</x:v>
      </x:c>
      <x:c r="C5" s="140" t="str">
        <x:v>R$</x:v>
      </x:c>
      <x:c r="D5" s="145" t="str">
        <x:v>Premissa informada pelo usuario</x:v>
      </x:c>
      <x:c r="E5" s="145" t="str">
        <x:v>Usado apenas como liquidez inicial comum aos cenarios.</x:v>
      </x:c>
    </x:row>
    <x:row r="6">
      <x:c r="A6" s="140" t="str">
        <x:v>Valor do bem novo</x:v>
      </x:c>
      <x:c r="B6" s="141" t="n">
        <x:f>Premissas!$B$6</x:f>
        <x:v>200000</x:v>
      </x:c>
      <x:c r="C6" s="140" t="str">
        <x:v>R$</x:v>
      </x:c>
      <x:c r="D6" s="145" t="str">
        <x:v>Premissa informada pelo usuario</x:v>
      </x:c>
      <x:c r="E6" s="145" t="str">
        <x:v>Base de entrada e financiamento.</x:v>
      </x:c>
    </x:row>
    <x:row r="7">
      <x:c r="A7" s="140" t="str">
        <x:v>Entrada</x:v>
      </x:c>
      <x:c r="B7" s="183" t="n">
        <x:f>Premissas!$B$7</x:f>
        <x:v>0.2</x:v>
      </x:c>
      <x:c r="C7" s="140" t="str">
        <x:v>%</x:v>
      </x:c>
      <x:c r="D7" s="145" t="str">
        <x:v>Premissa informada pelo usuario</x:v>
      </x:c>
      <x:c r="E7" s="145" t="str">
        <x:v>Percentual do valor do bem novo.</x:v>
      </x:c>
    </x:row>
    <x:row r="8">
      <x:c r="A8" s="140" t="str">
        <x:v>Tipo do bem</x:v>
      </x:c>
      <x:c r="B8" s="140" t="str">
        <x:f>Premissas!$B$11</x:f>
        <x:v>Imovel</x:v>
      </x:c>
      <x:c r="C8" s="140" t="str">
        <x:v>texto</x:v>
      </x:c>
      <x:c r="D8" s="145" t="str">
        <x:v>Premissa informada pelo usuario</x:v>
      </x:c>
      <x:c r="E8" s="145" t="str">
        <x:v>Lista validada: Imovel ou Veiculo.</x:v>
      </x:c>
    </x:row>
    <x:row r="9">
      <x:c r="A9" s="140" t="str">
        <x:v>Sistema de financiamento</x:v>
      </x:c>
      <x:c r="B9" s="140" t="str">
        <x:f>Premissas!$B$19</x:f>
        <x:v>SAC</x:v>
      </x:c>
      <x:c r="C9" s="140" t="str">
        <x:v>texto</x:v>
      </x:c>
      <x:c r="D9" s="145" t="str">
        <x:v>Premissa informada pelo usuario</x:v>
      </x:c>
      <x:c r="E9" s="145" t="str">
        <x:v>Lista validada: SAC ou PRICE.</x:v>
      </x:c>
    </x:row>
    <x:row r="10">
      <x:c r="A10" s="140" t="str">
        <x:v>Juros financiamento</x:v>
      </x:c>
      <x:c r="B10" s="183" t="n">
        <x:f>Premissas!$B$14</x:f>
        <x:v>0.12</x:v>
      </x:c>
      <x:c r="C10" s="140" t="str">
        <x:v>% a.a.</x:v>
      </x:c>
      <x:c r="D10" s="145" t="str">
        <x:v>Premissa informada pelo usuario</x:v>
      </x:c>
      <x:c r="E10" s="145" t="str">
        <x:v>Convertido para taxa mensal equivalente.</x:v>
      </x:c>
    </x:row>
    <x:row r="11">
      <x:c r="A11" s="140" t="str">
        <x:v>Indexador/correcao do saldo</x:v>
      </x:c>
      <x:c r="B11" s="183" t="n">
        <x:f>Premissas!$B$16</x:f>
        <x:v>0</x:v>
      </x:c>
      <x:c r="C11" s="140" t="str">
        <x:v>% a.a.</x:v>
      </x:c>
      <x:c r="D11" s="145" t="str">
        <x:v>Premissa informada pelo usuario</x:v>
      </x:c>
      <x:c r="E11" s="145" t="str">
        <x:v>Indice contratual generico convertido para taxa mensal equivalente.</x:v>
      </x:c>
    </x:row>
    <x:row r="12">
      <x:c r="A12" s="140" t="str">
        <x:v>Seguro mensal</x:v>
      </x:c>
      <x:c r="B12" s="141" t="n">
        <x:f>Premissas!$B$18</x:f>
        <x:v>150</x:v>
      </x:c>
      <x:c r="C12" s="140" t="str">
        <x:v>R$/mes</x:v>
      </x:c>
      <x:c r="D12" s="145" t="str">
        <x:v>Premissa informada pelo usuario</x:v>
      </x:c>
      <x:c r="E12" s="145" t="str">
        <x:v>Aplicado enquanto houver saldo devedor.</x:v>
      </x:c>
    </x:row>
    <x:row r="13">
      <x:c r="A13" s="140" t="str">
        <x:v>Taxa administracao consorcio</x:v>
      </x:c>
      <x:c r="B13" s="183" t="n">
        <x:f>Premissas!$B$21</x:f>
        <x:v>0.24</x:v>
      </x:c>
      <x:c r="C13" s="140" t="str">
        <x:v>% credito</x:v>
      </x:c>
      <x:c r="D13" s="145" t="str">
        <x:v>Premissa informada pelo usuario</x:v>
      </x:c>
      <x:c r="E13" s="145" t="str">
        <x:v>Componente da taxa total do consorcio.</x:v>
      </x:c>
    </x:row>
    <x:row r="14">
      <x:c r="A14" s="140" t="str">
        <x:v>Fundo reserva consorcio</x:v>
      </x:c>
      <x:c r="B14" s="183" t="n">
        <x:f>Premissas!$B$22</x:f>
        <x:v>0.02</x:v>
      </x:c>
      <x:c r="C14" s="140" t="str">
        <x:v>% credito</x:v>
      </x:c>
      <x:c r="D14" s="145" t="str">
        <x:v>Premissa informada pelo usuario</x:v>
      </x:c>
      <x:c r="E14" s="145" t="str">
        <x:v>Componente da taxa total do consorcio.</x:v>
      </x:c>
    </x:row>
    <x:row r="15">
      <x:c r="A15" s="140" t="str">
        <x:v>Seguro prestamista consorcio</x:v>
      </x:c>
      <x:c r="B15" s="183" t="n">
        <x:f>Premissas!$B$23</x:f>
        <x:v>0.00035</x:v>
      </x:c>
      <x:c r="C15" s="140" t="str">
        <x:v>% credito</x:v>
      </x:c>
      <x:c r="D15" s="145" t="str">
        <x:v>Premissa informada pelo usuario</x:v>
      </x:c>
      <x:c r="E15" s="145" t="str">
        <x:v>Componente da taxa total do consorcio.</x:v>
      </x:c>
    </x:row>
    <x:row r="16">
      <x:c r="A16" s="140" t="str">
        <x:v>Taxas totais do consorcio</x:v>
      </x:c>
      <x:c r="B16" s="183" t="n">
        <x:f>Premissas!$B$24</x:f>
        <x:v>0.26035</x:v>
      </x:c>
      <x:c r="C16" s="140" t="str">
        <x:v>% credito</x:v>
      </x:c>
      <x:c r="D16" s="145" t="str">
        <x:v>Calculo do modelo</x:v>
      </x:c>
      <x:c r="E16" s="145" t="str">
        <x:v>Soma dos componentes discriminados.</x:v>
      </x:c>
    </x:row>
    <x:row r="17">
      <x:c r="A17" s="140" t="str">
        <x:v>Prazo do consorcio</x:v>
      </x:c>
      <x:c r="B17" s="142" t="n">
        <x:f>Premissas!$B$25</x:f>
        <x:v>240</x:v>
      </x:c>
      <x:c r="C17" s="140" t="str">
        <x:v>meses</x:v>
      </x:c>
      <x:c r="D17" s="145" t="str">
        <x:v>Premissa informada pelo usuario</x:v>
      </x:c>
      <x:c r="E17" s="145" t="str">
        <x:v>Parcelas pagas ate o prazo informado, dentro do limite fisico de 480 meses.</x:v>
      </x:c>
    </x:row>
    <x:row r="18">
      <x:c r="A18" s="140" t="str">
        <x:v>Reajuste consorcio</x:v>
      </x:c>
      <x:c r="B18" s="183" t="n">
        <x:f>Premissas!$B$26</x:f>
        <x:v>0.06</x:v>
      </x:c>
      <x:c r="C18" s="140" t="str">
        <x:v>% a.a.</x:v>
      </x:c>
      <x:c r="D18" s="145" t="str">
        <x:v>Premissa informada pelo usuario</x:v>
      </x:c>
      <x:c r="E18" s="145" t="str">
        <x:v>Credito e parcela reajustados por degrau anual.</x:v>
      </x:c>
    </x:row>
    <x:row r="19">
      <x:c r="A19" s="140" t="str">
        <x:v>Mes de contemplacao</x:v>
      </x:c>
      <x:c r="B19" s="142" t="n">
        <x:f>Premissas!$B$27</x:f>
        <x:v>60</x:v>
      </x:c>
      <x:c r="C19" s="140" t="str">
        <x:v>mes</x:v>
      </x:c>
      <x:c r="D19" s="145" t="str">
        <x:v>Preset do modelo</x:v>
      </x:c>
      <x:c r="E19" s="145" t="str">
        <x:v>Editavel em Premissas.</x:v>
      </x:c>
    </x:row>
    <x:row r="20">
      <x:c r="A20" s="140" t="str">
        <x:v>Horizonte custo oportunidade</x:v>
      </x:c>
      <x:c r="B20" s="142" t="n">
        <x:f>Premissas!$B$39</x:f>
        <x:v>420</x:v>
      </x:c>
      <x:c r="C20" s="140" t="str">
        <x:v>meses</x:v>
      </x:c>
      <x:c r="D20" s="145" t="str">
        <x:v>Preset do modelo</x:v>
      </x:c>
      <x:c r="E20" s="145" t="str">
        <x:v>Editavel em Premissas. A aba mensal suporta ate 480 meses.</x:v>
      </x:c>
    </x:row>
    <x:row r="21">
      <x:c r="A21" s="140" t="str">
        <x:v>Rentabilidade liquida</x:v>
      </x:c>
      <x:c r="B21" s="183" t="n">
        <x:f>Premissas!$B$40</x:f>
        <x:v>0.12</x:v>
      </x:c>
      <x:c r="C21" s="140" t="str">
        <x:v>% a.a.</x:v>
      </x:c>
      <x:c r="D21" s="145" t="str">
        <x:v>Preset do modelo</x:v>
      </x:c>
      <x:c r="E21" s="145" t="str">
        <x:v>Editavel em Premissas. Convertida para taxa mensal equivalente.</x:v>
      </x:c>
    </x:row>
    <x:row r="22">
      <x:c r="A22" s="140" t="str">
        <x:v>Caixa livre mensal antes dos fluxos do bem</x:v>
      </x:c>
      <x:c r="B22" s="141" t="n">
        <x:f>Premissas!$B$42</x:f>
        <x:v>7000</x:v>
      </x:c>
      <x:c r="C22" s="140" t="str">
        <x:v>R$/mes</x:v>
      </x:c>
      <x:c r="D22" s="145" t="str">
        <x:v>Premissa informada pelo usuario</x:v>
      </x:c>
      <x:c r="E22" s="145" t="str">
        <x:v>Caixa livre mensal antes de entrada, parcelas, aluguel de espera, renda, consorcio, lances e carta.</x:v>
      </x:c>
    </x:row>
    <x:row r="23">
      <x:c r="A23" s="140" t="str">
        <x:v>Valor em reserva</x:v>
      </x:c>
      <x:c r="B23" s="141" t="n">
        <x:f>Premissas!$B$43</x:f>
        <x:v>90000</x:v>
      </x:c>
      <x:c r="C23" s="140" t="str">
        <x:v>R$</x:v>
      </x:c>
      <x:c r="D23" s="145" t="str">
        <x:v>Premissa informada pelo usuario</x:v>
      </x:c>
      <x:c r="E23" s="145" t="str">
        <x:v>Deve ser no minimo a maior entrada entre as estrategias.</x:v>
      </x:c>
    </x:row>
    <x:row r="24">
      <x:c r="A24" s="140" t="str">
        <x:v>Maior entrada entre estrategias</x:v>
      </x:c>
      <x:c r="B24" s="141" t="n">
        <x:f>Premissas!$B$44</x:f>
        <x:v>47000</x:v>
      </x:c>
      <x:c r="C24" s="140" t="str">
        <x:v>R$</x:v>
      </x:c>
      <x:c r="D24" s="145" t="str">
        <x:v>Calculo do modelo</x:v>
      </x:c>
      <x:c r="E24" s="145" t="str">
        <x:v>Usado para checar se a reserva inicial e suficiente.</x:v>
      </x:c>
    </x:row>
    <x:row r="25">
      <x:c r="A25" s="140" t="str">
        <x:v>Mes de contemplacao consorcio direto</x:v>
      </x:c>
      <x:c r="B25" s="142" t="n">
        <x:f>'Consorcio Direto'!$B$29</x:f>
        <x:v>60</x:v>
      </x:c>
      <x:c r="C25" s="140" t="str">
        <x:v>mes</x:v>
      </x:c>
      <x:c r="D25" s="145" t="str">
        <x:v>Consorcio Direto</x:v>
      </x:c>
      <x:c r="E25" s="145" t="str">
        <x:v>Mes em que o credito fica disponivel na estrategia 4.</x:v>
      </x:c>
    </x:row>
    <x:row r="26">
      <x:c r="A26" s="140" t="str">
        <x:v>Carta inicial consorcio direto</x:v>
      </x:c>
      <x:c r="B26" s="141" t="n">
        <x:f>'Consorcio Direto'!$B$41</x:f>
        <x:v>281297.4371673532</x:v>
      </x:c>
      <x:c r="C26" s="140" t="str">
        <x:v>R$</x:v>
      </x:c>
      <x:c r="D26" s="145" t="str">
        <x:v>Consorcio Direto</x:v>
      </x:c>
      <x:c r="E26" s="145" t="str">
        <x:v>Dimensionada para que o credito liquido cubra o preco aplicavel do bem.</x:v>
      </x:c>
    </x:row>
    <x:row r="27">
      <x:c r="A27" s="140" t="str">
        <x:v>Credito liquido consorcio direto</x:v>
      </x:c>
      <x:c r="B27" s="141" t="n">
        <x:f>'Consorcio Direto'!$B$43</x:f>
        <x:v>266348.64999812335</x:v>
      </x:c>
      <x:c r="C27" s="140" t="str">
        <x:v>R$</x:v>
      </x:c>
      <x:c r="D27" s="145" t="str">
        <x:v>Consorcio Direto</x:v>
      </x:c>
      <x:c r="E27" s="145" t="str">
        <x:v>Credito recebido apos lance embutido.</x:v>
      </x:c>
    </x:row>
    <x:row r="28">
      <x:c r="A28" s="140" t="str">
        <x:v>Lance com recursos do cliente consorcio direto</x:v>
      </x:c>
      <x:c r="B28" s="141" t="n">
        <x:f>'Consorcio Direto'!$B$44</x:f>
        <x:v>0</x:v>
      </x:c>
      <x:c r="C28" s="140" t="str">
        <x:v>R$</x:v>
      </x:c>
      <x:c r="D28" s="145" t="str">
        <x:v>Consorcio Direto</x:v>
      </x:c>
      <x:c r="E28" s="145" t="str">
        <x:v>Descapitalizacao efetiva do cliente quando ha lances combinados.</x:v>
      </x:c>
    </x:row>
    <x:row r="29">
      <x:c r="A29" s="140" t="str">
        <x:v>Parcela inicial consorcio direto</x:v>
      </x:c>
      <x:c r="B29" s="141" t="n">
        <x:f>'Consorcio Direto'!$B$45</x:f>
        <x:v>1477.2217705578066</x:v>
      </x:c>
      <x:c r="C29" s="140" t="str">
        <x:v>R$/mes</x:v>
      </x:c>
      <x:c r="D29" s="145" t="str">
        <x:v>Consorcio Direto</x:v>
      </x:c>
      <x:c r="E29" s="145" t="str">
        <x:v>Primeira parcela antes dos reajustes anuais.</x:v>
      </x:c>
    </x:row>
    <x:row r="30">
      <x:c r="A30" s="140" t="str">
        <x:v>Valor do bem no horizonte</x:v>
      </x:c>
      <x:c r="B30" s="141" t="n">
        <x:f>Premissas!$B$45</x:f>
        <x:v>1529771.1201815843</x:v>
      </x:c>
      <x:c r="C30" s="140" t="str">
        <x:v>R$</x:v>
      </x:c>
      <x:c r="D30" s="145" t="str">
        <x:v>Calculo do modelo</x:v>
      </x:c>
      <x:c r="E30" s="145" t="str">
        <x:v>Considera valorizacao/depreciacao editavel e piso zero para valor residual.</x:v>
      </x:c>
    </x:row>
    <x:row r="31">
      <x:c r="A31" s="140" t="str">
        <x:v>Finalidade do Imovel</x:v>
      </x:c>
      <x:c r="B31" s="140" t="str">
        <x:f>Premissas!$B$47</x:f>
        <x:v>Investimento</x:v>
      </x:c>
      <x:c r="C31" s="140" t="str">
        <x:v>texto</x:v>
      </x:c>
      <x:c r="D31" s="145" t="str">
        <x:v>Premissa editavel</x:v>
      </x:c>
      <x:c r="E31" s="145" t="str">
        <x:v>Moradia ou Investimento; ignorada quando Tipo do bem = Veiculo.</x:v>
      </x:c>
    </x:row>
    <x:row r="32">
      <x:c r="A32" s="140" t="str">
        <x:v>Mes aquisicao financiamento</x:v>
      </x:c>
      <x:c r="B32" s="142" t="n">
        <x:f>Premissas!$B$48</x:f>
        <x:v>1</x:v>
      </x:c>
      <x:c r="C32" s="140" t="str">
        <x:v>mes</x:v>
      </x:c>
      <x:c r="D32" s="145" t="str">
        <x:v>Convencao do modelo</x:v>
      </x:c>
      <x:c r="E32" s="145" t="str">
        <x:v>Financiamento e IQ compram no mes inicial.</x:v>
      </x:c>
    </x:row>
    <x:row r="33">
      <x:c r="A33" s="140" t="str">
        <x:v>Mes disponibilidade/uso</x:v>
      </x:c>
      <x:c r="B33" s="142" t="n">
        <x:f>Premissas!$B$49</x:f>
        <x:v>1</x:v>
      </x:c>
      <x:c r="C33" s="140" t="str">
        <x:v>mes</x:v>
      </x:c>
      <x:c r="D33" s="145" t="str">
        <x:v>Premissa editavel</x:v>
      </x:c>
      <x:c r="E33" s="145" t="str">
        <x:v>Controla quando uso proprio ou renda podem ocorrer.</x:v>
      </x:c>
    </x:row>
    <x:row r="34">
      <x:c r="A34" s="140" t="str">
        <x:v>Aluguel pago inicial</x:v>
      </x:c>
      <x:c r="B34" s="141" t="n">
        <x:f>Premissas!$B$54</x:f>
        <x:v>700</x:v>
      </x:c>
      <x:c r="C34" s="140" t="str">
        <x:v>R$/mes</x:v>
      </x:c>
      <x:c r="D34" s="145" t="str">
        <x:v>Calculo do modelo</x:v>
      </x:c>
      <x:c r="E34" s="145" t="str">
        <x:v>Moradia de Imovel: aluguel opcional ate a estrategia permitir usar o bem.</x:v>
      </x:c>
    </x:row>
    <x:row r="35">
      <x:c r="A35" s="140" t="str">
        <x:v>Receita liquida inicial</x:v>
      </x:c>
      <x:c r="B35" s="141" t="n">
        <x:f>Premissas!$B$64</x:f>
        <x:v>640</x:v>
      </x:c>
      <x:c r="C35" s="140" t="str">
        <x:v>R$/mes</x:v>
      </x:c>
      <x:c r="D35" s="145" t="str">
        <x:v>Calculo do modelo</x:v>
      </x:c>
      <x:c r="E35" s="145" t="str">
        <x:v>Investimento de Imovel: receita opcional apenas apos aquisicao e disponibilidade.</x:v>
      </x:c>
    </x:row>
    <x:row r="36">
      <x:c r="A36" s="140" t="str">
        <x:v>Modelo nominal</x:v>
      </x:c>
      <x:c r="B36" s="140" t="str">
        <x:f>Premissas!$B$65</x:f>
        <x:v>Nominal</x:v>
      </x:c>
      <x:c r="C36" s="140" t="str">
        <x:v>texto</x:v>
      </x:c>
      <x:c r="D36" s="145" t="str">
        <x:v>Premissa editavel</x:v>
      </x:c>
      <x:c r="E36" s="145" t="str">
        <x:v>A validacao permite apenas Nominal enquanto nao houver logica real.</x:v>
      </x:c>
    </x:row>
    <x:row r="37">
      <x:c r="A37" s="140" t="str">
        <x:v>Taxa anual aplicada ao bem</x:v>
      </x:c>
      <x:c r="B37" s="183" t="n">
        <x:f>Premissas!$B$66</x:f>
        <x:v>0.06</x:v>
      </x:c>
      <x:c r="C37" s="140" t="str">
        <x:v>% a.a.</x:v>
      </x:c>
      <x:c r="D37" s="145" t="str">
        <x:v>Calculo do modelo</x:v>
      </x:c>
      <x:c r="E37" s="145" t="str">
        <x:v>Selecionada automaticamente conforme Imovel ou Veiculo.</x:v>
      </x:c>
    </x:row>
    <x:row r="38">
      <x:c r="A38" s="140" t="str">
        <x:v>Valorizacao anual do Imovel</x:v>
      </x:c>
      <x:c r="B38" s="183" t="n">
        <x:f>Premissas!$B$91</x:f>
        <x:v>0.06</x:v>
      </x:c>
      <x:c r="C38" s="140" t="str">
        <x:v>% a.a.</x:v>
      </x:c>
      <x:c r="D38" s="145" t="str">
        <x:v>Premissa editavel</x:v>
      </x:c>
      <x:c r="E38" s="145" t="str">
        <x:v>Aplicada quando Tipo do bem = Imovel.</x:v>
      </x:c>
    </x:row>
    <x:row r="39">
      <x:c r="A39" s="140" t="str">
        <x:v>Depreciacao anual do Veiculo</x:v>
      </x:c>
      <x:c r="B39" s="183" t="n">
        <x:f>Premissas!$B$92</x:f>
        <x:v>-0.15</x:v>
      </x:c>
      <x:c r="C39" s="140" t="str">
        <x:v>% a.a.</x:v>
      </x:c>
      <x:c r="D39" s="145" t="str">
        <x:v>Premissa editavel</x:v>
      </x:c>
      <x:c r="E39" s="145" t="str">
        <x:v>Aplicada quando Tipo do bem = Veiculo; deve ser maior que -100%.</x:v>
      </x:c>
    </x:row>
    <x:row r="40">
      <x:c r="A40" s="140" t="str">
        <x:v>Regra do preco na aquisicao</x:v>
      </x:c>
      <x:c r="B40" s="140" t="str">
        <x:f>Premissas!$B$78</x:f>
        <x:v>Financiamento atual; consorcio futuro</x:v>
      </x:c>
      <x:c r="C40" s="140" t="str">
        <x:v>texto</x:v>
      </x:c>
      <x:c r="D40" s="145" t="str">
        <x:v>Convencao do modelo</x:v>
      </x:c>
      <x:c r="E40" s="145" t="str">
        <x:v>Financiamento atual; consorcios pelo preco futuro.</x:v>
      </x:c>
    </x:row>
    <x:row r="41">
      <x:c r="A41" s="140" t="str">
        <x:v>Preco do financiamento na aquisicao</x:v>
      </x:c>
      <x:c r="B41" s="141" t="n">
        <x:f>Premissas!$B$79</x:f>
        <x:v>200000</x:v>
      </x:c>
      <x:c r="C41" s="140" t="str">
        <x:v>R$</x:v>
      </x:c>
      <x:c r="D41" s="145" t="str">
        <x:v>Calculo do modelo</x:v>
      </x:c>
      <x:c r="E41" s="145" t="str">
        <x:v>Base da entrada e do valor financiado.</x:v>
      </x:c>
    </x:row>
    <x:row r="42">
      <x:c r="A42" s="140" t="str">
        <x:v>Inflacao anual esperada</x:v>
      </x:c>
      <x:c r="B42" s="183" t="n">
        <x:f>Premissas!$B$67</x:f>
        <x:v>0.06</x:v>
      </x:c>
      <x:c r="C42" s="140" t="str">
        <x:v>% a.a.</x:v>
      </x:c>
      <x:c r="D42" s="145" t="str">
        <x:v>Premissa editavel</x:v>
      </x:c>
      <x:c r="E42" s="145" t="str">
        <x:v>Usada apenas para converter valores nominais futuros em R$ de hoje.</x:v>
      </x:c>
    </x:row>
    <x:row r="43">
      <x:c r="A43" s="140" t="str">
        <x:v>Inflacao mensal equivalente</x:v>
      </x:c>
      <x:c r="B43" s="183" t="n">
        <x:f>Premissas!$B$68</x:f>
        <x:v>0.004867550565343048</x:v>
      </x:c>
      <x:c r="C43" s="140" t="str">
        <x:v>% a.m.</x:v>
      </x:c>
      <x:c r="D43" s="145" t="str">
        <x:v>Calculo do modelo</x:v>
      </x:c>
      <x:c r="E43" s="145" t="str">
        <x:v>Equivalente mensal composto da inflacao esperada.</x:v>
      </x:c>
    </x:row>
    <x:row r="44">
      <x:c r="A44" s="140" t="str">
        <x:v>Fator inflacao acumulada no horizonte</x:v>
      </x:c>
      <x:c r="B44" s="180" t="n">
        <x:f>Premissas!$B$69</x:f>
        <x:v>7.6860867923123495</x:v>
      </x:c>
      <x:c r="C44" s="140" t="str">
        <x:v>x</x:v>
      </x:c>
      <x:c r="D44" s="145" t="str">
        <x:v>Calculo do modelo</x:v>
      </x:c>
      <x:c r="E44" s="145" t="str">
        <x:v>Fator usado apenas nas colunas de apresentacao do Resumo.</x:v>
      </x:c>
    </x:row>
    <x:row r="45">
      <x:c r="A45" s="140" t="str">
        <x:v>Observacao sobre inflacao</x:v>
      </x:c>
      <x:c r="B45" s="140" t="str">
        <x:f>Premissas!$D$67</x:f>
        <x:v>Preset de 6% a.a.; usada apenas para converter valores nominais futuros em R$ de hoje. Nao altera o motor nominal.</x:v>
      </x:c>
      <x:c r="C45" s="140" t="str">
        <x:v>texto</x:v>
      </x:c>
      <x:c r="D45" s="145" t="str">
        <x:v>Convencao do modelo</x:v>
      </x:c>
      <x:c r="E45" s="145" t="str">
        <x:v>A inflacao nao altera o Motor Caixa nem as logicas de financiamento, consorcio, renda/custos do bem, deficit nao coberto, VPL ou Gap.</x:v>
      </x:c>
    </x:row>
    <x:row r="46">
      <x:c r="A46" s="140" t="str">
        <x:v>FV base sem compra</x:v>
      </x:c>
      <x:c r="B46" s="141" t="n">
        <x:f>INDEX('Motor Caixa'!$G$5:$G$484,Premissas!$B$39)</x:f>
        <x:v>42920519.71350744</x:v>
      </x:c>
      <x:c r="C46" s="140" t="str">
        <x:v>R$</x:v>
      </x:c>
      <x:c r="D46" s="145" t="str">
        <x:v>Motor Caixa</x:v>
      </x:c>
      <x:c r="E46" s="145" t="str">
        <x:v>Reserva e capacidade mensal investidas a taxa de oportunidade.</x:v>
      </x:c>
    </x:row>
    <x:row r="47">
      <x:c r="A47" s="140" t="str">
        <x:v>IQ: obrigacao no horizonte</x:v>
      </x:c>
      <x:c r="B47" s="141" t="n">
        <x:f>INDEX('Consorcio IQ'!$N$6:$N$485,Premissas!$B$39)</x:f>
        <x:v>0</x:v>
      </x:c>
      <x:c r="C47" s="140" t="str">
        <x:v>R$</x:v>
      </x:c>
      <x:c r="D47" s="145" t="str">
        <x:v>Consorcio IQ</x:v>
      </x:c>
      <x:c r="E47" s="145" t="str">
        <x:v>VP das parcelas futuras depois da parcela do mes do horizonte.</x:v>
      </x:c>
    </x:row>
    <x:row r="48">
      <x:c r="A48" s="140" t="str">
        <x:v>IQ: direito economico no horizonte</x:v>
      </x:c>
      <x:c r="B48" s="141" t="n">
        <x:f>INDEX('Consorcio IQ'!$O$6:$O$485,Premissas!$B$39)</x:f>
        <x:v>0</x:v>
      </x:c>
      <x:c r="C48" s="140" t="str">
        <x:v>R$</x:v>
      </x:c>
      <x:c r="D48" s="145" t="str">
        <x:v>Consorcio IQ</x:v>
      </x:c>
      <x:c r="E48" s="145" t="str">
        <x:v>Direito conservador antes da contemplacao; zera quando o credito e utilizado.</x:v>
      </x:c>
    </x:row>
    <x:row r="49">
      <x:c r="A49" s="140" t="str">
        <x:v>IQ: divida total no horizonte</x:v>
      </x:c>
      <x:c r="B49" s="141" t="n">
        <x:f>INDEX('Consorcio IQ'!$P$6:$P$485,Premissas!$B$39)</x:f>
        <x:v>0</x:v>
      </x:c>
      <x:c r="C49" s="140" t="str">
        <x:v>R$</x:v>
      </x:c>
      <x:c r="D49" s="145" t="str">
        <x:v>Consorcio IQ</x:v>
      </x:c>
      <x:c r="E49" s="145" t="str">
        <x:v>Saldo residual do financiamento mais VP das parcelas futuras.</x:v>
      </x:c>
    </x:row>
    <x:row r="50">
      <x:c r="A50" s="140" t="str">
        <x:v>Direto: obrigacao no horizonte</x:v>
      </x:c>
      <x:c r="B50" s="141" t="n">
        <x:f>INDEX('Consorcio Direto'!$K$55:$K$534,Premissas!$B$39)</x:f>
        <x:v>0</x:v>
      </x:c>
      <x:c r="C50" s="140" t="str">
        <x:v>R$</x:v>
      </x:c>
      <x:c r="D50" s="145" t="str">
        <x:v>Consorcio Direto</x:v>
      </x:c>
      <x:c r="E50" s="145" t="str">
        <x:v>VP das parcelas futuras depois da parcela do mes do horizonte.</x:v>
      </x:c>
    </x:row>
    <x:row r="51">
      <x:c r="A51" s="140" t="str">
        <x:v>Direto: direito economico no horizonte</x:v>
      </x:c>
      <x:c r="B51" s="141" t="n">
        <x:f>INDEX('Consorcio Direto'!$L$55:$L$534,Premissas!$B$39)</x:f>
        <x:v>0</x:v>
      </x:c>
      <x:c r="C51" s="140" t="str">
        <x:v>R$</x:v>
      </x:c>
      <x:c r="D51" s="145" t="str">
        <x:v>Consorcio Direto</x:v>
      </x:c>
      <x:c r="E51" s="145" t="str">
        <x:v>Direito conservador antes da contemplacao; zera quando o bem e adquirido.</x:v>
      </x:c>
    </x:row>
    <x:row r="52">
      <x:c r="A52" s="140" t="str">
        <x:v>Carta contemplada ativa</x:v>
      </x:c>
      <x:c r="B52" s="140" t="str">
        <x:f>'Carta Contemplada'!$B$22</x:f>
        <x:v>Sim</x:v>
      </x:c>
      <x:c r="C52" s="140" t="str">
        <x:v>texto</x:v>
      </x:c>
      <x:c r="D52" s="145" t="str">
        <x:v>Carta Contemplada</x:v>
      </x:c>
      <x:c r="E52" s="145" t="str">
        <x:v>Controla a estrategia 5.</x:v>
      </x:c>
    </x:row>
    <x:row r="53">
      <x:c r="A53" s="140" t="str">
        <x:v>Mes de compra da carta</x:v>
      </x:c>
      <x:c r="B53" s="142" t="n">
        <x:f>'Carta Contemplada'!$B$23</x:f>
        <x:v>1</x:v>
      </x:c>
      <x:c r="C53" s="140" t="str">
        <x:v>mes</x:v>
      </x:c>
      <x:c r="D53" s="145" t="str">
        <x:v>Carta Contemplada</x:v>
      </x:c>
      <x:c r="E53" s="145" t="str">
        <x:v>Mes de transferencia e pagamento do custo inicial.</x:v>
      </x:c>
    </x:row>
    <x:row r="54">
      <x:c r="A54" s="140" t="str">
        <x:v>Mes de uso do credito da carta</x:v>
      </x:c>
      <x:c r="B54" s="142" t="n">
        <x:f>'Carta Contemplada'!$B$24</x:f>
        <x:v>1</x:v>
      </x:c>
      <x:c r="C54" s="140" t="str">
        <x:v>mes</x:v>
      </x:c>
      <x:c r="D54" s="145" t="str">
        <x:v>Carta Contemplada</x:v>
      </x:c>
      <x:c r="E54" s="145" t="str">
        <x:v>Mes em que o credito fica disponivel, sujeito a aprovacao da administradora.</x:v>
      </x:c>
    </x:row>
    <x:row r="55">
      <x:c r="A55" s="140" t="str">
        <x:v>Credito bruto da carta</x:v>
      </x:c>
      <x:c r="B55" s="141" t="n">
        <x:f>'Carta Contemplada'!$B$25</x:f>
        <x:v>200000</x:v>
      </x:c>
      <x:c r="C55" s="140" t="str">
        <x:v>R$</x:v>
      </x:c>
      <x:c r="D55" s="145" t="str">
        <x:v>Carta Contemplada</x:v>
      </x:c>
      <x:c r="E55" s="145" t="str">
        <x:v>Credito atualizado informado para a carta contemplada.</x:v>
      </x:c>
    </x:row>
    <x:row r="56">
      <x:c r="A56" s="140" t="str">
        <x:v>Credito liquido utilizavel carta</x:v>
      </x:c>
      <x:c r="B56" s="141" t="n">
        <x:f>'Carta Contemplada'!$B$27</x:f>
        <x:v>200000</x:v>
      </x:c>
      <x:c r="C56" s="140" t="str">
        <x:v>R$</x:v>
      </x:c>
      <x:c r="D56" s="145" t="str">
        <x:v>Carta Contemplada</x:v>
      </x:c>
      <x:c r="E56" s="145" t="str">
        <x:v>Credito bruto menos restricoes do credito.</x:v>
      </x:c>
    </x:row>
    <x:row r="57">
      <x:c r="A57" s="140" t="str">
        <x:v>Preco pago pela carta</x:v>
      </x:c>
      <x:c r="B57" s="141" t="n">
        <x:f>'Carta Contemplada'!$B$28</x:f>
        <x:v>45000</x:v>
      </x:c>
      <x:c r="C57" s="140" t="str">
        <x:v>R$</x:v>
      </x:c>
      <x:c r="D57" s="145" t="str">
        <x:v>Carta Contemplada</x:v>
      </x:c>
      <x:c r="E57" s="145" t="str">
        <x:v>Preco efetivo pago pela cessao da carta.</x:v>
      </x:c>
    </x:row>
    <x:row r="58">
      <x:c r="A58" s="140" t="str">
        <x:v>Taxa de transferencia carta</x:v>
      </x:c>
      <x:c r="B58" s="141" t="n">
        <x:f>'Carta Contemplada'!$B$30</x:f>
        <x:v>2000</x:v>
      </x:c>
      <x:c r="C58" s="140" t="str">
        <x:v>R$</x:v>
      </x:c>
      <x:c r="D58" s="145" t="str">
        <x:v>Carta Contemplada</x:v>
      </x:c>
      <x:c r="E58" s="145" t="str">
        <x:v>Taxas de transferencia/cessao e custos administrativos.</x:v>
      </x:c>
    </x:row>
    <x:row r="59">
      <x:c r="A59" s="140" t="str">
        <x:v>Parcelas restantes carta</x:v>
      </x:c>
      <x:c r="B59" s="142" t="n">
        <x:f>'Carta Contemplada'!$B$31</x:f>
        <x:v>180</x:v>
      </x:c>
      <x:c r="C59" s="140" t="str">
        <x:v>meses</x:v>
      </x:c>
      <x:c r="D59" s="145" t="str">
        <x:v>Carta Contemplada</x:v>
      </x:c>
      <x:c r="E59" s="145" t="str">
        <x:v>Quantidade de parcelas assumidas pelo comprador.</x:v>
      </x:c>
    </x:row>
    <x:row r="60">
      <x:c r="A60" s="140" t="str">
        <x:v>Parcela atual carta</x:v>
      </x:c>
      <x:c r="B60" s="141" t="n">
        <x:f>'Carta Contemplada'!$B$32</x:f>
        <x:v>1200</x:v>
      </x:c>
      <x:c r="C60" s="140" t="str">
        <x:v>R$/mes</x:v>
      </x:c>
      <x:c r="D60" s="145" t="str">
        <x:v>Carta Contemplada</x:v>
      </x:c>
      <x:c r="E60" s="145" t="str">
        <x:v>Parcela vigente no mes de compra.</x:v>
      </x:c>
    </x:row>
    <x:row r="61">
      <x:c r="A61" s="140" t="str">
        <x:v>Reajuste anual carta</x:v>
      </x:c>
      <x:c r="B61" s="183" t="n">
        <x:f>'Carta Contemplada'!$B$33</x:f>
        <x:v>0.06</x:v>
      </x:c>
      <x:c r="C61" s="140" t="str">
        <x:v>% a.a.</x:v>
      </x:c>
      <x:c r="D61" s="145" t="str">
        <x:v>Carta Contemplada</x:v>
      </x:c>
      <x:c r="E61" s="145" t="str">
        <x:v>Reajuste anual por degrau das parcelas restantes.</x:v>
      </x:c>
    </x:row>
    <x:row r="62">
      <x:c r="A62" s="140" t="str">
        <x:v>Complemento necessario carta</x:v>
      </x:c>
      <x:c r="B62" s="141" t="n">
        <x:f>'Carta Contemplada'!$B$35</x:f>
        <x:v>0</x:v>
      </x:c>
      <x:c r="C62" s="140" t="str">
        <x:v>R$</x:v>
      </x:c>
      <x:c r="D62" s="145" t="str">
        <x:v>Carta Contemplada</x:v>
      </x:c>
      <x:c r="E62" s="145" t="str">
        <x:v>Complemento de recursos proprios se credito liquido nao cobrir o bem.</x:v>
      </x:c>
    </x:row>
    <x:row r="63">
      <x:c r="A63" s="140" t="str">
        <x:v>Custo inicial total carta</x:v>
      </x:c>
      <x:c r="B63" s="141" t="n">
        <x:f>'Carta Contemplada'!$B$37</x:f>
        <x:v>47000</x:v>
      </x:c>
      <x:c r="C63" s="140" t="str">
        <x:v>R$</x:v>
      </x:c>
      <x:c r="D63" s="145" t="str">
        <x:v>Carta Contemplada</x:v>
      </x:c>
      <x:c r="E63" s="145" t="str">
        <x:v>Preco pago + transferencia + complemento; excedente nao reduz o custo.</x:v>
      </x:c>
    </x:row>
    <x:row r="64">
      <x:c r="A64" s="140" t="str">
        <x:v>VP parcelas restantes carta</x:v>
      </x:c>
      <x:c r="B64" s="141" t="n">
        <x:f>'Carta Contemplada'!$B$38</x:f>
        <x:v>142186.5433281194</x:v>
      </x:c>
      <x:c r="C64" s="140" t="str">
        <x:v>R$</x:v>
      </x:c>
      <x:c r="D64" s="145" t="str">
        <x:v>Carta Contemplada</x:v>
      </x:c>
      <x:c r="E64" s="145" t="str">
        <x:v>Valor presente das parcelas restantes pela taxa de oportunidade.</x:v>
      </x:c>
    </x:row>
    <x:row r="65">
      <x:c r="A65" s="140" t="str">
        <x:v>Custo economico carta</x:v>
      </x:c>
      <x:c r="B65" s="141" t="n">
        <x:f>'Carta Contemplada'!$B$39</x:f>
        <x:v>-10813.456671880587</x:v>
      </x:c>
      <x:c r="C65" s="140" t="str">
        <x:v>R$</x:v>
      </x:c>
      <x:c r="D65" s="145" t="str">
        <x:v>Carta Contemplada</x:v>
      </x:c>
      <x:c r="E65" s="145" t="str">
        <x:v>Preco + transferencia + VP parcelas - credito liquido.</x:v>
      </x:c>
    </x:row>
    <x:row r="66">
      <x:c r="A66" s="140" t="str">
        <x:v>Obrigacao carta no horizonte</x:v>
      </x:c>
      <x:c r="B66" s="141" t="n">
        <x:f>'Carta Contemplada'!$B$40</x:f>
        <x:v>0</x:v>
      </x:c>
      <x:c r="C66" s="140" t="str">
        <x:v>R$</x:v>
      </x:c>
      <x:c r="D66" s="145" t="str">
        <x:v>Carta Contemplada</x:v>
      </x:c>
      <x:c r="E66" s="145" t="str">
        <x:v>Obrigacao remanescente descontada no horizonte.</x:v>
      </x:c>
    </x:row>
    <x:row r="67">
      <x:c r="A67" s="140" t="str">
        <x:v>Patrimonio estrategia carta</x:v>
      </x:c>
      <x:c r="B67" s="141" t="n">
        <x:f>INDEX('Motor Caixa'!$CG$5:$CG$484,Premissas!$B$39)</x:f>
        <x:v>40570273.313163735</x:v>
      </x:c>
      <x:c r="C67" s="140" t="str">
        <x:v>R$</x:v>
      </x:c>
      <x:c r="D67" s="145" t="str">
        <x:v>Motor Caixa</x:v>
      </x:c>
      <x:c r="E67" s="145" t="str">
        <x:v>Patrimonio bruto da quinta estrategia antes do filtro de inviabilidade.</x:v>
      </x:c>
    </x:row>
  </x:sheetData>
  <x:mergeCells>
    <x:mergeCell ref="A1:E1"/>
  </x:mergeCells>
  <x:pageMargins left="0.7" right="0.7" top="0.75" bottom="0.75" header="0.3" footer="0.3"/>
</x:worksheet>
</file>